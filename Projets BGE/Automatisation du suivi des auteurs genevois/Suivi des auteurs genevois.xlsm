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lavilledegeneve-my.sharepoint.com/personal/thomas_kerboul_geneve_ch/Documents/98_EF/excel/wikidata/"/>
    </mc:Choice>
  </mc:AlternateContent>
  <xr:revisionPtr revIDLastSave="10" documentId="13_ncr:1_{F007F931-9694-4666-AB5B-40CB618A9EC9}" xr6:coauthVersionLast="47" xr6:coauthVersionMax="47" xr10:uidLastSave="{5E46561E-C2E8-4B92-A74F-247D23ED8EB2}"/>
  <bookViews>
    <workbookView xWindow="-120" yWindow="-120" windowWidth="29040" windowHeight="15720" firstSheet="3" activeTab="3" xr2:uid="{DD552243-7F7E-47A8-AC22-F7F4A81A9416}"/>
  </bookViews>
  <sheets>
    <sheet name="Horodatage" sheetId="4" state="hidden" r:id="rId1"/>
    <sheet name="Source" sheetId="6" state="hidden" r:id="rId2"/>
    <sheet name="Liste_PPN_URL" sheetId="17" state="hidden" r:id="rId3"/>
    <sheet name="Interactif" sheetId="5" r:id="rId4"/>
    <sheet name="Final" sheetId="16" state="hidden" r:id="rId5"/>
    <sheet name="Comparatif" sheetId="18" r:id="rId6"/>
  </sheets>
  <definedNames>
    <definedName name="_xlpm.DateActuelle" hidden="1" xlm="1">#NAME?</definedName>
    <definedName name="_xlpm.DateHistorique" hidden="1" xlm="1">#NAME?</definedName>
    <definedName name="_xlpm.PPN" hidden="1" xlm="1">#NAME?</definedName>
    <definedName name="CodeInstitution">Interactif!$P$4</definedName>
    <definedName name="DonnéesExternes_3" localSheetId="0" hidden="1">Horodatage!$A$1:$A$2</definedName>
    <definedName name="DonnéesExternes_7" localSheetId="4" hidden="1">Final!$A$1:$N$2054</definedName>
    <definedName name="DonnéesExternes_8" localSheetId="2" hidden="1">Liste_PPN_URL!$A$1:$C$2054</definedName>
    <definedName name="SourcePowerQuery">Source!$A$3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16" l="1"/>
  <c r="O3"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O817" i="16"/>
  <c r="O818" i="16"/>
  <c r="O819" i="16"/>
  <c r="O820" i="16"/>
  <c r="O821" i="16"/>
  <c r="O822" i="16"/>
  <c r="O823" i="16"/>
  <c r="O824" i="16"/>
  <c r="O825" i="16"/>
  <c r="O826" i="16"/>
  <c r="O827" i="16"/>
  <c r="O828" i="16"/>
  <c r="O829" i="16"/>
  <c r="O830" i="16"/>
  <c r="O831" i="16"/>
  <c r="O832" i="16"/>
  <c r="O833" i="16"/>
  <c r="O834" i="16"/>
  <c r="O835" i="16"/>
  <c r="O836" i="16"/>
  <c r="O837" i="16"/>
  <c r="O838" i="16"/>
  <c r="O839" i="16"/>
  <c r="O840" i="16"/>
  <c r="O841" i="16"/>
  <c r="O842" i="16"/>
  <c r="O843" i="16"/>
  <c r="O844" i="16"/>
  <c r="O845" i="16"/>
  <c r="O846" i="16"/>
  <c r="O847" i="16"/>
  <c r="O848" i="16"/>
  <c r="O849" i="16"/>
  <c r="O850" i="16"/>
  <c r="O851" i="16"/>
  <c r="O852" i="16"/>
  <c r="O853" i="16"/>
  <c r="O854" i="16"/>
  <c r="O855" i="16"/>
  <c r="O856" i="16"/>
  <c r="O857" i="16"/>
  <c r="O858" i="16"/>
  <c r="O859" i="16"/>
  <c r="O860" i="16"/>
  <c r="O861" i="16"/>
  <c r="O862" i="16"/>
  <c r="O863" i="16"/>
  <c r="O864" i="16"/>
  <c r="O865" i="16"/>
  <c r="O866" i="16"/>
  <c r="O867" i="16"/>
  <c r="O868" i="16"/>
  <c r="O869" i="16"/>
  <c r="O870" i="16"/>
  <c r="O871" i="16"/>
  <c r="O872" i="16"/>
  <c r="O873" i="16"/>
  <c r="O874" i="16"/>
  <c r="O875" i="16"/>
  <c r="O876" i="16"/>
  <c r="O877" i="16"/>
  <c r="O878" i="16"/>
  <c r="O879" i="16"/>
  <c r="O880" i="16"/>
  <c r="O881" i="16"/>
  <c r="O882" i="16"/>
  <c r="O883" i="16"/>
  <c r="O884" i="16"/>
  <c r="O885" i="16"/>
  <c r="O886" i="16"/>
  <c r="O887" i="16"/>
  <c r="O888" i="16"/>
  <c r="O889" i="16"/>
  <c r="O890" i="16"/>
  <c r="O891" i="16"/>
  <c r="O892" i="16"/>
  <c r="O893" i="16"/>
  <c r="O894" i="16"/>
  <c r="O895" i="16"/>
  <c r="O896" i="16"/>
  <c r="O897" i="16"/>
  <c r="O898" i="16"/>
  <c r="O899" i="16"/>
  <c r="O900" i="16"/>
  <c r="O901" i="16"/>
  <c r="O902" i="16"/>
  <c r="O903" i="16"/>
  <c r="O904" i="16"/>
  <c r="O905" i="16"/>
  <c r="O906" i="16"/>
  <c r="O907" i="16"/>
  <c r="O908" i="16"/>
  <c r="O909" i="16"/>
  <c r="O910" i="16"/>
  <c r="O911" i="16"/>
  <c r="O912" i="16"/>
  <c r="O913" i="16"/>
  <c r="O914" i="16"/>
  <c r="O915" i="16"/>
  <c r="O916" i="16"/>
  <c r="O917" i="16"/>
  <c r="O918" i="16"/>
  <c r="O919" i="16"/>
  <c r="O920" i="16"/>
  <c r="O921" i="16"/>
  <c r="O922" i="16"/>
  <c r="O923" i="16"/>
  <c r="O924" i="16"/>
  <c r="O925" i="16"/>
  <c r="O926" i="16"/>
  <c r="O927" i="16"/>
  <c r="O928" i="16"/>
  <c r="O929" i="16"/>
  <c r="O930" i="16"/>
  <c r="O931" i="16"/>
  <c r="O932" i="16"/>
  <c r="O933" i="16"/>
  <c r="O934" i="16"/>
  <c r="O935" i="16"/>
  <c r="O936" i="16"/>
  <c r="O937" i="16"/>
  <c r="O938" i="16"/>
  <c r="O939" i="16"/>
  <c r="O940" i="16"/>
  <c r="O941" i="16"/>
  <c r="O942" i="16"/>
  <c r="O943" i="16"/>
  <c r="O944" i="16"/>
  <c r="O945" i="16"/>
  <c r="O946" i="16"/>
  <c r="O947" i="16"/>
  <c r="O948" i="16"/>
  <c r="O949" i="16"/>
  <c r="O950" i="16"/>
  <c r="O951" i="16"/>
  <c r="O952" i="16"/>
  <c r="O953" i="16"/>
  <c r="O954" i="16"/>
  <c r="O955" i="16"/>
  <c r="O956" i="16"/>
  <c r="O957" i="16"/>
  <c r="O958" i="16"/>
  <c r="O959" i="16"/>
  <c r="O960" i="16"/>
  <c r="O961" i="16"/>
  <c r="O962" i="16"/>
  <c r="O963" i="16"/>
  <c r="O964" i="16"/>
  <c r="O965" i="16"/>
  <c r="O966" i="16"/>
  <c r="O967" i="16"/>
  <c r="O968" i="16"/>
  <c r="O969" i="16"/>
  <c r="O970" i="16"/>
  <c r="O971" i="16"/>
  <c r="O972" i="16"/>
  <c r="O973" i="16"/>
  <c r="O974" i="16"/>
  <c r="O975" i="16"/>
  <c r="O976" i="16"/>
  <c r="O977" i="16"/>
  <c r="O978" i="16"/>
  <c r="O979" i="16"/>
  <c r="O980" i="16"/>
  <c r="O981" i="16"/>
  <c r="O982" i="16"/>
  <c r="O983" i="16"/>
  <c r="O984" i="16"/>
  <c r="O985" i="16"/>
  <c r="O986" i="16"/>
  <c r="O987" i="16"/>
  <c r="O988" i="16"/>
  <c r="O989" i="16"/>
  <c r="O990" i="16"/>
  <c r="O991" i="16"/>
  <c r="O992" i="16"/>
  <c r="O993" i="16"/>
  <c r="O994" i="16"/>
  <c r="O995" i="16"/>
  <c r="O996" i="16"/>
  <c r="O997" i="16"/>
  <c r="O998" i="16"/>
  <c r="O999" i="16"/>
  <c r="O1000" i="16"/>
  <c r="O1001" i="16"/>
  <c r="O1002" i="16"/>
  <c r="O1003" i="16"/>
  <c r="O1004" i="16"/>
  <c r="O1005" i="16"/>
  <c r="O1006" i="16"/>
  <c r="O1007" i="16"/>
  <c r="O1008" i="16"/>
  <c r="O1009" i="16"/>
  <c r="O1010" i="16"/>
  <c r="O1011" i="16"/>
  <c r="O1012" i="16"/>
  <c r="O1013" i="16"/>
  <c r="O1014" i="16"/>
  <c r="O1015" i="16"/>
  <c r="O1016" i="16"/>
  <c r="O1017" i="16"/>
  <c r="O1018" i="16"/>
  <c r="O1019" i="16"/>
  <c r="O1020" i="16"/>
  <c r="O1021" i="16"/>
  <c r="O1022" i="16"/>
  <c r="O1023" i="16"/>
  <c r="O1024" i="16"/>
  <c r="O1025" i="16"/>
  <c r="O1026" i="16"/>
  <c r="O1027" i="16"/>
  <c r="O1028" i="16"/>
  <c r="O1029" i="16"/>
  <c r="O1030" i="16"/>
  <c r="O1031" i="16"/>
  <c r="O1032" i="16"/>
  <c r="O1033" i="16"/>
  <c r="O1034" i="16"/>
  <c r="O1035" i="16"/>
  <c r="O1036" i="16"/>
  <c r="O1037" i="16"/>
  <c r="O1038" i="16"/>
  <c r="O1039" i="16"/>
  <c r="O1040" i="16"/>
  <c r="O1041" i="16"/>
  <c r="O1042" i="16"/>
  <c r="O1043" i="16"/>
  <c r="O1044" i="16"/>
  <c r="O1045" i="16"/>
  <c r="O1046" i="16"/>
  <c r="O1047" i="16"/>
  <c r="O1048" i="16"/>
  <c r="O1049" i="16"/>
  <c r="O1050" i="16"/>
  <c r="O1051" i="16"/>
  <c r="O1052" i="16"/>
  <c r="O1053" i="16"/>
  <c r="O1054" i="16"/>
  <c r="O1055" i="16"/>
  <c r="O1056" i="16"/>
  <c r="O1057" i="16"/>
  <c r="O1058" i="16"/>
  <c r="O1059" i="16"/>
  <c r="O1060" i="16"/>
  <c r="O1061" i="16"/>
  <c r="O1062" i="16"/>
  <c r="O1063" i="16"/>
  <c r="O1064" i="16"/>
  <c r="O1065" i="16"/>
  <c r="O1066" i="16"/>
  <c r="O1067" i="16"/>
  <c r="O1068" i="16"/>
  <c r="O1069" i="16"/>
  <c r="O1070" i="16"/>
  <c r="O1071" i="16"/>
  <c r="O1072" i="16"/>
  <c r="O1073" i="16"/>
  <c r="O1074" i="16"/>
  <c r="O1075" i="16"/>
  <c r="O1076" i="16"/>
  <c r="O1077" i="16"/>
  <c r="O1078" i="16"/>
  <c r="O1079" i="16"/>
  <c r="O1080" i="16"/>
  <c r="O1081" i="16"/>
  <c r="O1082" i="16"/>
  <c r="O1083" i="16"/>
  <c r="O1084" i="16"/>
  <c r="O1085" i="16"/>
  <c r="O1086" i="16"/>
  <c r="O1087" i="16"/>
  <c r="O1088" i="16"/>
  <c r="O1089" i="16"/>
  <c r="O1090" i="16"/>
  <c r="O1091" i="16"/>
  <c r="O1092" i="16"/>
  <c r="O1093" i="16"/>
  <c r="O1094" i="16"/>
  <c r="O1095" i="16"/>
  <c r="O1096" i="16"/>
  <c r="O1097" i="16"/>
  <c r="O1098" i="16"/>
  <c r="O1099" i="16"/>
  <c r="O1100" i="16"/>
  <c r="O1101" i="16"/>
  <c r="O1102" i="16"/>
  <c r="O1103" i="16"/>
  <c r="O1104" i="16"/>
  <c r="O1105" i="16"/>
  <c r="O1106" i="16"/>
  <c r="O1107" i="16"/>
  <c r="O1108" i="16"/>
  <c r="O1109" i="16"/>
  <c r="O1110" i="16"/>
  <c r="O1111" i="16"/>
  <c r="O1112" i="16"/>
  <c r="O1113" i="16"/>
  <c r="O1114" i="16"/>
  <c r="O1115" i="16"/>
  <c r="O1116" i="16"/>
  <c r="O1117" i="16"/>
  <c r="O1118" i="16"/>
  <c r="O1119" i="16"/>
  <c r="O1120" i="16"/>
  <c r="O1121" i="16"/>
  <c r="O1122" i="16"/>
  <c r="O1123" i="16"/>
  <c r="O1124" i="16"/>
  <c r="O1125" i="16"/>
  <c r="O1126" i="16"/>
  <c r="O1127" i="16"/>
  <c r="O1128" i="16"/>
  <c r="O1129" i="16"/>
  <c r="O1130" i="16"/>
  <c r="O1131" i="16"/>
  <c r="O1132" i="16"/>
  <c r="O1133" i="16"/>
  <c r="O1134" i="16"/>
  <c r="O1135" i="16"/>
  <c r="O1136" i="16"/>
  <c r="O1137" i="16"/>
  <c r="O1138" i="16"/>
  <c r="O1139" i="16"/>
  <c r="O1140" i="16"/>
  <c r="O1141" i="16"/>
  <c r="O1142" i="16"/>
  <c r="O1143" i="16"/>
  <c r="O1144" i="16"/>
  <c r="O1145" i="16"/>
  <c r="O1146" i="16"/>
  <c r="O1147" i="16"/>
  <c r="O1148" i="16"/>
  <c r="O1149" i="16"/>
  <c r="O1150" i="16"/>
  <c r="O1151" i="16"/>
  <c r="O1152" i="16"/>
  <c r="O1153" i="16"/>
  <c r="O1154" i="16"/>
  <c r="O1155" i="16"/>
  <c r="O1156" i="16"/>
  <c r="O1157" i="16"/>
  <c r="O1158" i="16"/>
  <c r="O1159" i="16"/>
  <c r="O1160" i="16"/>
  <c r="O1161" i="16"/>
  <c r="O1162" i="16"/>
  <c r="O1163" i="16"/>
  <c r="O1164" i="16"/>
  <c r="O1165" i="16"/>
  <c r="O1166" i="16"/>
  <c r="O1167" i="16"/>
  <c r="O1168" i="16"/>
  <c r="O1169" i="16"/>
  <c r="O1170" i="16"/>
  <c r="O1171" i="16"/>
  <c r="O1172" i="16"/>
  <c r="O1173" i="16"/>
  <c r="O1174" i="16"/>
  <c r="O1175" i="16"/>
  <c r="O1176" i="16"/>
  <c r="O1177" i="16"/>
  <c r="O1178" i="16"/>
  <c r="O1179" i="16"/>
  <c r="O1180" i="16"/>
  <c r="O1181" i="16"/>
  <c r="O1182" i="16"/>
  <c r="O1183" i="16"/>
  <c r="O1184" i="16"/>
  <c r="O1185" i="16"/>
  <c r="O1186" i="16"/>
  <c r="O1187" i="16"/>
  <c r="O1188" i="16"/>
  <c r="O1189" i="16"/>
  <c r="O1190" i="16"/>
  <c r="O1191" i="16"/>
  <c r="O1192" i="16"/>
  <c r="O1193" i="16"/>
  <c r="O1194" i="16"/>
  <c r="O1195" i="16"/>
  <c r="O1196" i="16"/>
  <c r="O1197" i="16"/>
  <c r="O1198" i="16"/>
  <c r="O1199" i="16"/>
  <c r="O1200" i="16"/>
  <c r="O1201" i="16"/>
  <c r="O1202" i="16"/>
  <c r="O1203" i="16"/>
  <c r="O1204" i="16"/>
  <c r="O1205" i="16"/>
  <c r="O1206" i="16"/>
  <c r="O1207" i="16"/>
  <c r="O1208" i="16"/>
  <c r="O1209" i="16"/>
  <c r="O1210" i="16"/>
  <c r="O1211" i="16"/>
  <c r="O1212" i="16"/>
  <c r="O1213" i="16"/>
  <c r="O1214" i="16"/>
  <c r="O1215" i="16"/>
  <c r="O1216" i="16"/>
  <c r="O1217" i="16"/>
  <c r="O1218" i="16"/>
  <c r="O1219" i="16"/>
  <c r="O1220" i="16"/>
  <c r="O1221" i="16"/>
  <c r="O1222" i="16"/>
  <c r="O1223" i="16"/>
  <c r="O1224" i="16"/>
  <c r="O1225" i="16"/>
  <c r="O1226" i="16"/>
  <c r="O1227" i="16"/>
  <c r="O1228" i="16"/>
  <c r="O1229" i="16"/>
  <c r="O1230" i="16"/>
  <c r="O1231" i="16"/>
  <c r="O1232" i="16"/>
  <c r="O1233" i="16"/>
  <c r="O1234" i="16"/>
  <c r="O1235" i="16"/>
  <c r="O1236" i="16"/>
  <c r="O1237" i="16"/>
  <c r="O1238" i="16"/>
  <c r="O1239" i="16"/>
  <c r="O1240" i="16"/>
  <c r="O1241" i="16"/>
  <c r="O1242" i="16"/>
  <c r="O1243" i="16"/>
  <c r="O1244" i="16"/>
  <c r="O1245" i="16"/>
  <c r="O1246" i="16"/>
  <c r="O1247" i="16"/>
  <c r="O1248" i="16"/>
  <c r="O1249" i="16"/>
  <c r="O1250" i="16"/>
  <c r="O1251" i="16"/>
  <c r="O1252" i="16"/>
  <c r="O1253" i="16"/>
  <c r="O1254" i="16"/>
  <c r="O1255" i="16"/>
  <c r="O1256" i="16"/>
  <c r="O1257" i="16"/>
  <c r="O1258" i="16"/>
  <c r="O1259" i="16"/>
  <c r="O1260" i="16"/>
  <c r="O1261" i="16"/>
  <c r="O1262" i="16"/>
  <c r="O1263" i="16"/>
  <c r="O1264" i="16"/>
  <c r="O1265" i="16"/>
  <c r="O1266" i="16"/>
  <c r="O1267" i="16"/>
  <c r="O1268" i="16"/>
  <c r="O1269" i="16"/>
  <c r="O1270" i="16"/>
  <c r="O1271" i="16"/>
  <c r="O1272" i="16"/>
  <c r="O1273" i="16"/>
  <c r="O1274" i="16"/>
  <c r="O1275" i="16"/>
  <c r="O1276" i="16"/>
  <c r="O1277" i="16"/>
  <c r="O1278" i="16"/>
  <c r="O1279" i="16"/>
  <c r="O1280" i="16"/>
  <c r="O1281" i="16"/>
  <c r="O1282" i="16"/>
  <c r="O1283" i="16"/>
  <c r="O1284" i="16"/>
  <c r="O1285" i="16"/>
  <c r="O1286" i="16"/>
  <c r="O1287" i="16"/>
  <c r="O1288" i="16"/>
  <c r="O1289" i="16"/>
  <c r="O1290" i="16"/>
  <c r="O1291" i="16"/>
  <c r="O1292" i="16"/>
  <c r="O1293" i="16"/>
  <c r="O1294" i="16"/>
  <c r="O1295" i="16"/>
  <c r="O1296" i="16"/>
  <c r="O1297" i="16"/>
  <c r="O1298" i="16"/>
  <c r="O1299" i="16"/>
  <c r="O1300" i="16"/>
  <c r="O1301" i="16"/>
  <c r="O1302" i="16"/>
  <c r="O1303" i="16"/>
  <c r="O1304" i="16"/>
  <c r="O1305" i="16"/>
  <c r="O1306" i="16"/>
  <c r="O1307" i="16"/>
  <c r="O1308" i="16"/>
  <c r="O1309" i="16"/>
  <c r="O1310" i="16"/>
  <c r="O1311" i="16"/>
  <c r="O1312" i="16"/>
  <c r="O1313" i="16"/>
  <c r="O1314" i="16"/>
  <c r="O1315" i="16"/>
  <c r="O1316" i="16"/>
  <c r="O1317" i="16"/>
  <c r="O1318" i="16"/>
  <c r="O1319" i="16"/>
  <c r="O1320" i="16"/>
  <c r="O1321" i="16"/>
  <c r="O1322" i="16"/>
  <c r="O1323" i="16"/>
  <c r="O1324" i="16"/>
  <c r="O1325" i="16"/>
  <c r="O1326" i="16"/>
  <c r="O1327" i="16"/>
  <c r="O1328" i="16"/>
  <c r="O1329" i="16"/>
  <c r="O1330" i="16"/>
  <c r="O1331" i="16"/>
  <c r="O1332" i="16"/>
  <c r="O1333" i="16"/>
  <c r="O1334" i="16"/>
  <c r="O1335" i="16"/>
  <c r="O1336" i="16"/>
  <c r="O1337" i="16"/>
  <c r="O1338" i="16"/>
  <c r="O1339" i="16"/>
  <c r="O1340" i="16"/>
  <c r="O1341" i="16"/>
  <c r="O1342" i="16"/>
  <c r="O1343" i="16"/>
  <c r="O1344" i="16"/>
  <c r="O1345" i="16"/>
  <c r="O1346" i="16"/>
  <c r="O1347" i="16"/>
  <c r="O1348" i="16"/>
  <c r="O1349" i="16"/>
  <c r="O1350" i="16"/>
  <c r="O1351" i="16"/>
  <c r="O1352" i="16"/>
  <c r="O1353" i="16"/>
  <c r="O1354" i="16"/>
  <c r="O1355" i="16"/>
  <c r="O1356" i="16"/>
  <c r="O1357" i="16"/>
  <c r="O1358" i="16"/>
  <c r="O1359" i="16"/>
  <c r="O1360" i="16"/>
  <c r="O1361" i="16"/>
  <c r="O1362" i="16"/>
  <c r="O1363" i="16"/>
  <c r="O1364" i="16"/>
  <c r="O1365" i="16"/>
  <c r="O1366" i="16"/>
  <c r="O1367" i="16"/>
  <c r="O1368" i="16"/>
  <c r="O1369" i="16"/>
  <c r="O1370" i="16"/>
  <c r="O1371" i="16"/>
  <c r="O1372" i="16"/>
  <c r="O1373" i="16"/>
  <c r="O1374" i="16"/>
  <c r="O1375" i="16"/>
  <c r="O1376" i="16"/>
  <c r="O1377" i="16"/>
  <c r="O1378" i="16"/>
  <c r="O1379" i="16"/>
  <c r="O1380" i="16"/>
  <c r="O1381" i="16"/>
  <c r="O1382" i="16"/>
  <c r="O1383" i="16"/>
  <c r="O1384" i="16"/>
  <c r="O1385" i="16"/>
  <c r="O1386" i="16"/>
  <c r="O1387" i="16"/>
  <c r="O1388" i="16"/>
  <c r="O1389" i="16"/>
  <c r="O1390" i="16"/>
  <c r="O1391" i="16"/>
  <c r="O1392" i="16"/>
  <c r="O1393" i="16"/>
  <c r="O1394" i="16"/>
  <c r="O1395" i="16"/>
  <c r="O1396" i="16"/>
  <c r="O1397" i="16"/>
  <c r="O1398" i="16"/>
  <c r="O1399" i="16"/>
  <c r="O1400" i="16"/>
  <c r="O1401" i="16"/>
  <c r="O1402" i="16"/>
  <c r="O1403" i="16"/>
  <c r="O1404" i="16"/>
  <c r="O1405" i="16"/>
  <c r="O1406" i="16"/>
  <c r="O1407" i="16"/>
  <c r="O1408" i="16"/>
  <c r="O1409" i="16"/>
  <c r="O1410" i="16"/>
  <c r="O1411" i="16"/>
  <c r="O1412" i="16"/>
  <c r="O1413" i="16"/>
  <c r="O1414" i="16"/>
  <c r="O1415" i="16"/>
  <c r="O1416" i="16"/>
  <c r="O1417" i="16"/>
  <c r="O1418" i="16"/>
  <c r="O1419" i="16"/>
  <c r="O1420" i="16"/>
  <c r="O1421" i="16"/>
  <c r="O1422" i="16"/>
  <c r="O1423" i="16"/>
  <c r="O1424" i="16"/>
  <c r="O1425" i="16"/>
  <c r="O1426" i="16"/>
  <c r="O1427" i="16"/>
  <c r="O1428" i="16"/>
  <c r="O1429" i="16"/>
  <c r="O1430" i="16"/>
  <c r="O1431" i="16"/>
  <c r="O1432" i="16"/>
  <c r="O1433" i="16"/>
  <c r="O1434" i="16"/>
  <c r="O1435" i="16"/>
  <c r="O1436" i="16"/>
  <c r="O1437" i="16"/>
  <c r="O1438" i="16"/>
  <c r="O1439" i="16"/>
  <c r="O1440" i="16"/>
  <c r="O1441" i="16"/>
  <c r="O1442" i="16"/>
  <c r="O1443" i="16"/>
  <c r="O1444" i="16"/>
  <c r="O1445" i="16"/>
  <c r="O1446" i="16"/>
  <c r="O1447" i="16"/>
  <c r="O1448" i="16"/>
  <c r="O1449" i="16"/>
  <c r="O1450" i="16"/>
  <c r="O1451" i="16"/>
  <c r="O1452" i="16"/>
  <c r="O1453" i="16"/>
  <c r="O1454" i="16"/>
  <c r="O1455" i="16"/>
  <c r="O1456" i="16"/>
  <c r="O1457" i="16"/>
  <c r="O1458" i="16"/>
  <c r="O1459" i="16"/>
  <c r="O1460" i="16"/>
  <c r="O1461" i="16"/>
  <c r="O1462" i="16"/>
  <c r="O1463" i="16"/>
  <c r="O1464" i="16"/>
  <c r="O1465" i="16"/>
  <c r="O1466" i="16"/>
  <c r="O1467" i="16"/>
  <c r="O1468" i="16"/>
  <c r="O1469" i="16"/>
  <c r="O1470" i="16"/>
  <c r="O1471" i="16"/>
  <c r="O1472" i="16"/>
  <c r="O1473" i="16"/>
  <c r="O1474" i="16"/>
  <c r="O1475" i="16"/>
  <c r="O1476" i="16"/>
  <c r="O1477" i="16"/>
  <c r="O1478" i="16"/>
  <c r="O1479" i="16"/>
  <c r="O1480" i="16"/>
  <c r="O1481" i="16"/>
  <c r="O1482" i="16"/>
  <c r="O1483" i="16"/>
  <c r="O1484" i="16"/>
  <c r="O1485" i="16"/>
  <c r="O1486" i="16"/>
  <c r="O1487" i="16"/>
  <c r="O1488" i="16"/>
  <c r="O1489" i="16"/>
  <c r="O1490" i="16"/>
  <c r="O1491" i="16"/>
  <c r="O1492" i="16"/>
  <c r="O1493" i="16"/>
  <c r="O1494" i="16"/>
  <c r="O1495" i="16"/>
  <c r="O1496" i="16"/>
  <c r="O1497" i="16"/>
  <c r="O1498" i="16"/>
  <c r="O1499" i="16"/>
  <c r="O1500" i="16"/>
  <c r="O1501" i="16"/>
  <c r="O1502" i="16"/>
  <c r="O1503" i="16"/>
  <c r="O1504" i="16"/>
  <c r="O1505" i="16"/>
  <c r="O1506" i="16"/>
  <c r="O1507" i="16"/>
  <c r="O1508" i="16"/>
  <c r="O1509" i="16"/>
  <c r="O1510" i="16"/>
  <c r="O1511" i="16"/>
  <c r="O1512" i="16"/>
  <c r="O1513" i="16"/>
  <c r="O1514" i="16"/>
  <c r="O1515" i="16"/>
  <c r="O1516" i="16"/>
  <c r="O1517" i="16"/>
  <c r="O1518" i="16"/>
  <c r="O1519" i="16"/>
  <c r="O1520" i="16"/>
  <c r="O1521" i="16"/>
  <c r="O1522" i="16"/>
  <c r="O1523" i="16"/>
  <c r="O1524" i="16"/>
  <c r="O1525" i="16"/>
  <c r="O1526" i="16"/>
  <c r="O1527" i="16"/>
  <c r="O1528" i="16"/>
  <c r="O1529" i="16"/>
  <c r="O1530" i="16"/>
  <c r="O1531" i="16"/>
  <c r="O1532" i="16"/>
  <c r="O1533" i="16"/>
  <c r="O1534" i="16"/>
  <c r="O1535" i="16"/>
  <c r="O1536" i="16"/>
  <c r="O1537" i="16"/>
  <c r="O1538" i="16"/>
  <c r="O1539" i="16"/>
  <c r="O1540" i="16"/>
  <c r="O1541" i="16"/>
  <c r="O1542" i="16"/>
  <c r="O1543" i="16"/>
  <c r="O1544" i="16"/>
  <c r="O1545" i="16"/>
  <c r="O1546" i="16"/>
  <c r="O1547" i="16"/>
  <c r="O1548" i="16"/>
  <c r="O1549" i="16"/>
  <c r="O1550" i="16"/>
  <c r="O1551" i="16"/>
  <c r="O1552" i="16"/>
  <c r="O1553" i="16"/>
  <c r="O1554" i="16"/>
  <c r="O1555" i="16"/>
  <c r="O1556" i="16"/>
  <c r="O1557" i="16"/>
  <c r="O1558" i="16"/>
  <c r="O1559" i="16"/>
  <c r="O1560" i="16"/>
  <c r="O1561" i="16"/>
  <c r="O1562" i="16"/>
  <c r="O1563" i="16"/>
  <c r="O1564" i="16"/>
  <c r="O1565" i="16"/>
  <c r="O1566" i="16"/>
  <c r="O1567" i="16"/>
  <c r="O1568" i="16"/>
  <c r="O1569" i="16"/>
  <c r="O1570" i="16"/>
  <c r="O1571" i="16"/>
  <c r="O1572" i="16"/>
  <c r="O1573" i="16"/>
  <c r="O1574" i="16"/>
  <c r="O1575" i="16"/>
  <c r="O1576" i="16"/>
  <c r="O1577" i="16"/>
  <c r="O1578" i="16"/>
  <c r="O1579" i="16"/>
  <c r="O1580" i="16"/>
  <c r="O1581" i="16"/>
  <c r="O1582" i="16"/>
  <c r="O1583" i="16"/>
  <c r="O1584" i="16"/>
  <c r="O1585" i="16"/>
  <c r="O1586" i="16"/>
  <c r="O1587" i="16"/>
  <c r="O1588" i="16"/>
  <c r="O1589" i="16"/>
  <c r="O1590" i="16"/>
  <c r="O1591" i="16"/>
  <c r="O1592" i="16"/>
  <c r="O1593" i="16"/>
  <c r="O1594" i="16"/>
  <c r="O1595" i="16"/>
  <c r="O1596" i="16"/>
  <c r="O1597" i="16"/>
  <c r="O1598" i="16"/>
  <c r="O1599" i="16"/>
  <c r="O1600" i="16"/>
  <c r="O1601" i="16"/>
  <c r="O1602" i="16"/>
  <c r="O1603" i="16"/>
  <c r="O1604" i="16"/>
  <c r="O1605" i="16"/>
  <c r="O1606" i="16"/>
  <c r="O1607" i="16"/>
  <c r="O1608" i="16"/>
  <c r="O1609" i="16"/>
  <c r="O1610" i="16"/>
  <c r="O1611" i="16"/>
  <c r="O1612" i="16"/>
  <c r="O1613" i="16"/>
  <c r="O1614" i="16"/>
  <c r="O1615" i="16"/>
  <c r="O1616" i="16"/>
  <c r="O1617" i="16"/>
  <c r="O1618" i="16"/>
  <c r="O1619" i="16"/>
  <c r="O1620" i="16"/>
  <c r="O1621" i="16"/>
  <c r="O1622" i="16"/>
  <c r="O1623" i="16"/>
  <c r="O1624" i="16"/>
  <c r="O1625" i="16"/>
  <c r="O1626" i="16"/>
  <c r="O1627" i="16"/>
  <c r="O1628" i="16"/>
  <c r="O1629" i="16"/>
  <c r="O1630" i="16"/>
  <c r="O1631" i="16"/>
  <c r="O1632" i="16"/>
  <c r="O1633" i="16"/>
  <c r="O1634" i="16"/>
  <c r="O1635" i="16"/>
  <c r="O1636" i="16"/>
  <c r="O1637" i="16"/>
  <c r="O1638" i="16"/>
  <c r="O1639" i="16"/>
  <c r="O1640" i="16"/>
  <c r="O1641" i="16"/>
  <c r="O1642" i="16"/>
  <c r="O1643" i="16"/>
  <c r="O1644" i="16"/>
  <c r="O1645" i="16"/>
  <c r="O1646" i="16"/>
  <c r="O1647" i="16"/>
  <c r="O1648" i="16"/>
  <c r="O1649" i="16"/>
  <c r="O1650" i="16"/>
  <c r="O1651" i="16"/>
  <c r="O1652" i="16"/>
  <c r="O1653" i="16"/>
  <c r="O1654" i="16"/>
  <c r="O1655" i="16"/>
  <c r="O1656" i="16"/>
  <c r="O1657" i="16"/>
  <c r="O1658" i="16"/>
  <c r="O1659" i="16"/>
  <c r="O1660" i="16"/>
  <c r="O1661" i="16"/>
  <c r="O1662" i="16"/>
  <c r="O1663" i="16"/>
  <c r="O1664" i="16"/>
  <c r="O1665" i="16"/>
  <c r="O1666" i="16"/>
  <c r="O1667" i="16"/>
  <c r="O1668" i="16"/>
  <c r="O1669" i="16"/>
  <c r="O1670" i="16"/>
  <c r="O1671" i="16"/>
  <c r="O1672" i="16"/>
  <c r="O1673" i="16"/>
  <c r="O1674" i="16"/>
  <c r="O1675" i="16"/>
  <c r="O1676" i="16"/>
  <c r="O1677" i="16"/>
  <c r="O1678" i="16"/>
  <c r="O1679" i="16"/>
  <c r="O1680" i="16"/>
  <c r="O1681" i="16"/>
  <c r="O1682" i="16"/>
  <c r="O1683" i="16"/>
  <c r="O1684" i="16"/>
  <c r="O1685" i="16"/>
  <c r="O1686" i="16"/>
  <c r="O1687" i="16"/>
  <c r="O1688" i="16"/>
  <c r="O1689" i="16"/>
  <c r="O1690" i="16"/>
  <c r="O1691" i="16"/>
  <c r="O1692" i="16"/>
  <c r="O1693" i="16"/>
  <c r="O1694" i="16"/>
  <c r="O1695" i="16"/>
  <c r="O1696" i="16"/>
  <c r="O1697" i="16"/>
  <c r="O1698" i="16"/>
  <c r="O1699" i="16"/>
  <c r="O1700" i="16"/>
  <c r="O1701" i="16"/>
  <c r="O1702" i="16"/>
  <c r="O1703" i="16"/>
  <c r="O1704" i="16"/>
  <c r="O1705" i="16"/>
  <c r="O1706" i="16"/>
  <c r="O1707" i="16"/>
  <c r="O1708" i="16"/>
  <c r="O1709" i="16"/>
  <c r="O1710" i="16"/>
  <c r="O1711" i="16"/>
  <c r="O1712" i="16"/>
  <c r="O1713" i="16"/>
  <c r="O1714" i="16"/>
  <c r="O1715" i="16"/>
  <c r="O1716" i="16"/>
  <c r="O1717" i="16"/>
  <c r="O1718" i="16"/>
  <c r="O1719" i="16"/>
  <c r="O1720" i="16"/>
  <c r="O1721" i="16"/>
  <c r="O1722" i="16"/>
  <c r="O1723" i="16"/>
  <c r="O1724" i="16"/>
  <c r="O1725" i="16"/>
  <c r="O1726" i="16"/>
  <c r="O1727" i="16"/>
  <c r="O1728" i="16"/>
  <c r="O1729" i="16"/>
  <c r="O1730" i="16"/>
  <c r="O1731" i="16"/>
  <c r="O1732" i="16"/>
  <c r="O1733" i="16"/>
  <c r="O1734" i="16"/>
  <c r="O1735" i="16"/>
  <c r="O1736" i="16"/>
  <c r="O1737" i="16"/>
  <c r="O1738" i="16"/>
  <c r="O1739" i="16"/>
  <c r="O1740" i="16"/>
  <c r="O1741" i="16"/>
  <c r="O1742" i="16"/>
  <c r="O1743" i="16"/>
  <c r="O1744" i="16"/>
  <c r="O1745" i="16"/>
  <c r="O1746" i="16"/>
  <c r="O1747" i="16"/>
  <c r="O1748" i="16"/>
  <c r="O1749" i="16"/>
  <c r="O1750" i="16"/>
  <c r="O1751" i="16"/>
  <c r="O1752" i="16"/>
  <c r="O1753" i="16"/>
  <c r="O1754" i="16"/>
  <c r="O1755" i="16"/>
  <c r="O1756" i="16"/>
  <c r="O1757" i="16"/>
  <c r="O1758" i="16"/>
  <c r="O1759" i="16"/>
  <c r="O1760" i="16"/>
  <c r="O1761" i="16"/>
  <c r="O1762" i="16"/>
  <c r="O1763" i="16"/>
  <c r="O1764" i="16"/>
  <c r="O1765" i="16"/>
  <c r="O1766" i="16"/>
  <c r="O1767" i="16"/>
  <c r="O1768" i="16"/>
  <c r="O1769" i="16"/>
  <c r="O1770" i="16"/>
  <c r="O1771" i="16"/>
  <c r="O1772" i="16"/>
  <c r="O1773" i="16"/>
  <c r="O1774" i="16"/>
  <c r="O1775" i="16"/>
  <c r="O1776" i="16"/>
  <c r="O1777" i="16"/>
  <c r="O1778" i="16"/>
  <c r="O1779" i="16"/>
  <c r="O1780" i="16"/>
  <c r="O1781" i="16"/>
  <c r="O1782" i="16"/>
  <c r="O1783" i="16"/>
  <c r="O1784" i="16"/>
  <c r="O1785" i="16"/>
  <c r="O1786" i="16"/>
  <c r="O1787" i="16"/>
  <c r="O1788" i="16"/>
  <c r="O1789" i="16"/>
  <c r="O1790" i="16"/>
  <c r="O1791" i="16"/>
  <c r="O1792" i="16"/>
  <c r="O1793" i="16"/>
  <c r="O1794" i="16"/>
  <c r="O1795" i="16"/>
  <c r="O1796" i="16"/>
  <c r="O1797" i="16"/>
  <c r="O1798" i="16"/>
  <c r="O1799" i="16"/>
  <c r="O1800" i="16"/>
  <c r="O1801" i="16"/>
  <c r="O1802" i="16"/>
  <c r="O1803" i="16"/>
  <c r="O1804" i="16"/>
  <c r="O1805" i="16"/>
  <c r="O1806" i="16"/>
  <c r="O1807" i="16"/>
  <c r="O1808" i="16"/>
  <c r="O1809" i="16"/>
  <c r="O1810" i="16"/>
  <c r="O1811" i="16"/>
  <c r="O1812" i="16"/>
  <c r="O1813" i="16"/>
  <c r="O1814" i="16"/>
  <c r="O1815" i="16"/>
  <c r="O1816" i="16"/>
  <c r="O1817" i="16"/>
  <c r="O1818" i="16"/>
  <c r="O1819" i="16"/>
  <c r="O1820" i="16"/>
  <c r="O1821" i="16"/>
  <c r="O1822" i="16"/>
  <c r="O1823" i="16"/>
  <c r="O1824" i="16"/>
  <c r="O1825" i="16"/>
  <c r="O1826" i="16"/>
  <c r="O1827" i="16"/>
  <c r="O1828" i="16"/>
  <c r="O1829" i="16"/>
  <c r="O1830" i="16"/>
  <c r="O1831" i="16"/>
  <c r="O1832" i="16"/>
  <c r="O1833" i="16"/>
  <c r="O1834" i="16"/>
  <c r="O1835" i="16"/>
  <c r="O1836" i="16"/>
  <c r="O1837" i="16"/>
  <c r="O1838" i="16"/>
  <c r="O1839" i="16"/>
  <c r="O1840" i="16"/>
  <c r="O1841" i="16"/>
  <c r="O1842" i="16"/>
  <c r="O1843" i="16"/>
  <c r="O1844" i="16"/>
  <c r="O1845" i="16"/>
  <c r="O1846" i="16"/>
  <c r="O1847" i="16"/>
  <c r="O1848" i="16"/>
  <c r="O1849" i="16"/>
  <c r="O1850" i="16"/>
  <c r="O1851" i="16"/>
  <c r="O1852" i="16"/>
  <c r="O1853" i="16"/>
  <c r="O1854" i="16"/>
  <c r="O1855" i="16"/>
  <c r="O1856" i="16"/>
  <c r="O1857" i="16"/>
  <c r="O1858" i="16"/>
  <c r="O1859" i="16"/>
  <c r="O1860" i="16"/>
  <c r="O1861" i="16"/>
  <c r="O1862" i="16"/>
  <c r="O1863" i="16"/>
  <c r="O1864" i="16"/>
  <c r="O1865" i="16"/>
  <c r="O1866" i="16"/>
  <c r="O1867" i="16"/>
  <c r="O1868" i="16"/>
  <c r="O1869" i="16"/>
  <c r="O1870" i="16"/>
  <c r="O1871" i="16"/>
  <c r="O1872" i="16"/>
  <c r="O1873" i="16"/>
  <c r="O1874" i="16"/>
  <c r="O1875" i="16"/>
  <c r="O1876" i="16"/>
  <c r="O1877" i="16"/>
  <c r="O1878" i="16"/>
  <c r="O1879" i="16"/>
  <c r="O1880" i="16"/>
  <c r="O1881" i="16"/>
  <c r="O1882" i="16"/>
  <c r="O1883" i="16"/>
  <c r="O1884" i="16"/>
  <c r="O1885" i="16"/>
  <c r="O1886" i="16"/>
  <c r="O1887" i="16"/>
  <c r="O1888" i="16"/>
  <c r="O1889" i="16"/>
  <c r="O1890" i="16"/>
  <c r="O1891" i="16"/>
  <c r="O1892" i="16"/>
  <c r="O1893" i="16"/>
  <c r="O1894" i="16"/>
  <c r="O1895" i="16"/>
  <c r="O1896" i="16"/>
  <c r="O1897" i="16"/>
  <c r="O1898" i="16"/>
  <c r="O1899" i="16"/>
  <c r="O1900" i="16"/>
  <c r="O1901" i="16"/>
  <c r="O1902" i="16"/>
  <c r="O1903" i="16"/>
  <c r="O1904" i="16"/>
  <c r="O1905" i="16"/>
  <c r="O1906" i="16"/>
  <c r="O1907" i="16"/>
  <c r="O1908" i="16"/>
  <c r="O1909" i="16"/>
  <c r="O1910" i="16"/>
  <c r="O1911" i="16"/>
  <c r="O1912" i="16"/>
  <c r="O1913" i="16"/>
  <c r="O1914" i="16"/>
  <c r="O1915" i="16"/>
  <c r="O1916" i="16"/>
  <c r="O1917" i="16"/>
  <c r="O1918" i="16"/>
  <c r="O1919" i="16"/>
  <c r="O1920" i="16"/>
  <c r="O1921" i="16"/>
  <c r="O1922" i="16"/>
  <c r="O1923" i="16"/>
  <c r="O1924" i="16"/>
  <c r="O1925" i="16"/>
  <c r="O1926" i="16"/>
  <c r="O1927" i="16"/>
  <c r="O1928" i="16"/>
  <c r="O1929" i="16"/>
  <c r="O1930" i="16"/>
  <c r="O1931" i="16"/>
  <c r="O1932" i="16"/>
  <c r="O1933" i="16"/>
  <c r="O1934" i="16"/>
  <c r="O1935" i="16"/>
  <c r="O1936" i="16"/>
  <c r="O1937" i="16"/>
  <c r="O1938" i="16"/>
  <c r="O1939" i="16"/>
  <c r="O1940" i="16"/>
  <c r="O1941" i="16"/>
  <c r="O1942" i="16"/>
  <c r="O1943" i="16"/>
  <c r="O1944" i="16"/>
  <c r="O1945" i="16"/>
  <c r="O1946" i="16"/>
  <c r="O1947" i="16"/>
  <c r="O1948" i="16"/>
  <c r="O1949" i="16"/>
  <c r="O1950" i="16"/>
  <c r="O1951" i="16"/>
  <c r="O1952" i="16"/>
  <c r="O1953" i="16"/>
  <c r="O1954" i="16"/>
  <c r="O1955" i="16"/>
  <c r="O1956" i="16"/>
  <c r="O1957" i="16"/>
  <c r="O1958" i="16"/>
  <c r="O1959" i="16"/>
  <c r="O1960" i="16"/>
  <c r="O1961" i="16"/>
  <c r="O1962" i="16"/>
  <c r="O1963" i="16"/>
  <c r="O1964" i="16"/>
  <c r="O1965" i="16"/>
  <c r="O1966" i="16"/>
  <c r="O1967" i="16"/>
  <c r="O1968" i="16"/>
  <c r="O1969" i="16"/>
  <c r="O1970" i="16"/>
  <c r="O1971" i="16"/>
  <c r="O1972" i="16"/>
  <c r="O1973" i="16"/>
  <c r="O1974" i="16"/>
  <c r="O1975" i="16"/>
  <c r="O1976" i="16"/>
  <c r="O1977" i="16"/>
  <c r="O1978" i="16"/>
  <c r="O1979" i="16"/>
  <c r="O1980" i="16"/>
  <c r="O1981" i="16"/>
  <c r="O1982" i="16"/>
  <c r="O1983" i="16"/>
  <c r="O1984" i="16"/>
  <c r="O1985" i="16"/>
  <c r="O1986" i="16"/>
  <c r="O1987" i="16"/>
  <c r="O1988" i="16"/>
  <c r="O1989" i="16"/>
  <c r="O1990" i="16"/>
  <c r="O1991" i="16"/>
  <c r="O1992" i="16"/>
  <c r="O1993" i="16"/>
  <c r="O1994" i="16"/>
  <c r="O1995" i="16"/>
  <c r="O1996" i="16"/>
  <c r="O1997" i="16"/>
  <c r="O1998" i="16"/>
  <c r="O1999" i="16"/>
  <c r="O2000" i="16"/>
  <c r="O2001" i="16"/>
  <c r="O2002" i="16"/>
  <c r="O2003" i="16"/>
  <c r="O2004" i="16"/>
  <c r="O2005" i="16"/>
  <c r="O2006" i="16"/>
  <c r="O2007" i="16"/>
  <c r="O2008" i="16"/>
  <c r="O2009" i="16"/>
  <c r="O2010" i="16"/>
  <c r="O2011" i="16"/>
  <c r="O2012" i="16"/>
  <c r="O2013" i="16"/>
  <c r="O2014" i="16"/>
  <c r="O2015" i="16"/>
  <c r="O2016" i="16"/>
  <c r="O2017" i="16"/>
  <c r="O2018" i="16"/>
  <c r="O2019" i="16"/>
  <c r="O2020" i="16"/>
  <c r="O2021" i="16"/>
  <c r="O2022" i="16"/>
  <c r="O2023" i="16"/>
  <c r="O2024" i="16"/>
  <c r="O2025" i="16"/>
  <c r="O2026" i="16"/>
  <c r="O2027" i="16"/>
  <c r="O2028" i="16"/>
  <c r="O2029" i="16"/>
  <c r="O2030" i="16"/>
  <c r="O2031" i="16"/>
  <c r="O2032" i="16"/>
  <c r="O2033" i="16"/>
  <c r="O2034" i="16"/>
  <c r="O2035" i="16"/>
  <c r="O2036" i="16"/>
  <c r="O2037" i="16"/>
  <c r="O2038" i="16"/>
  <c r="O2039" i="16"/>
  <c r="O2040" i="16"/>
  <c r="O2041" i="16"/>
  <c r="O2042" i="16"/>
  <c r="O2043" i="16"/>
  <c r="O2044" i="16"/>
  <c r="O2045" i="16"/>
  <c r="O2046" i="16"/>
  <c r="O2047" i="16"/>
  <c r="O2048" i="16"/>
  <c r="O2049" i="16"/>
  <c r="O2050" i="16"/>
  <c r="O2051" i="16"/>
  <c r="O2052" i="16"/>
  <c r="O2053" i="16"/>
  <c r="O2054" i="16"/>
  <c r="P2"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P701" i="16"/>
  <c r="P702" i="16"/>
  <c r="P703" i="16"/>
  <c r="P704" i="16"/>
  <c r="P705" i="16"/>
  <c r="P706" i="16"/>
  <c r="P707" i="16"/>
  <c r="P708" i="16"/>
  <c r="P709" i="16"/>
  <c r="P710" i="16"/>
  <c r="P711" i="16"/>
  <c r="P712" i="16"/>
  <c r="P713" i="16"/>
  <c r="P714" i="16"/>
  <c r="P715" i="16"/>
  <c r="P716" i="16"/>
  <c r="P717" i="16"/>
  <c r="P718" i="16"/>
  <c r="P719" i="16"/>
  <c r="P720" i="16"/>
  <c r="P721" i="16"/>
  <c r="P722" i="16"/>
  <c r="P723" i="16"/>
  <c r="P724" i="16"/>
  <c r="P725" i="16"/>
  <c r="P726" i="16"/>
  <c r="P727" i="16"/>
  <c r="P728" i="16"/>
  <c r="P729" i="16"/>
  <c r="P730" i="16"/>
  <c r="P731" i="16"/>
  <c r="P732" i="16"/>
  <c r="P733" i="16"/>
  <c r="P734" i="16"/>
  <c r="P735" i="16"/>
  <c r="P736" i="16"/>
  <c r="P737" i="16"/>
  <c r="P738" i="16"/>
  <c r="P739" i="16"/>
  <c r="P740" i="16"/>
  <c r="P741" i="16"/>
  <c r="P742" i="16"/>
  <c r="P743" i="16"/>
  <c r="P744" i="16"/>
  <c r="P745" i="16"/>
  <c r="P746" i="16"/>
  <c r="P747" i="16"/>
  <c r="P748" i="16"/>
  <c r="P749" i="16"/>
  <c r="P750" i="16"/>
  <c r="P751" i="16"/>
  <c r="P752" i="16"/>
  <c r="P753" i="16"/>
  <c r="P754" i="16"/>
  <c r="P755" i="16"/>
  <c r="P756" i="16"/>
  <c r="P757" i="16"/>
  <c r="P758" i="16"/>
  <c r="P759" i="16"/>
  <c r="P760" i="16"/>
  <c r="P761" i="16"/>
  <c r="P762" i="16"/>
  <c r="P763" i="16"/>
  <c r="P764" i="16"/>
  <c r="P765" i="16"/>
  <c r="P766" i="16"/>
  <c r="P767" i="16"/>
  <c r="P768" i="16"/>
  <c r="P769" i="16"/>
  <c r="P770" i="16"/>
  <c r="P771" i="16"/>
  <c r="P772" i="16"/>
  <c r="P773" i="16"/>
  <c r="P774" i="16"/>
  <c r="P775" i="16"/>
  <c r="P776" i="16"/>
  <c r="P777" i="16"/>
  <c r="P778" i="16"/>
  <c r="P779" i="16"/>
  <c r="P780" i="16"/>
  <c r="P781" i="16"/>
  <c r="P782" i="16"/>
  <c r="P783" i="16"/>
  <c r="P784" i="16"/>
  <c r="P785" i="16"/>
  <c r="P786" i="16"/>
  <c r="P787" i="16"/>
  <c r="P788" i="16"/>
  <c r="P789" i="16"/>
  <c r="P790" i="16"/>
  <c r="P791" i="16"/>
  <c r="P792" i="16"/>
  <c r="P793" i="16"/>
  <c r="P794" i="16"/>
  <c r="P795" i="16"/>
  <c r="P796" i="16"/>
  <c r="P797" i="16"/>
  <c r="P798" i="16"/>
  <c r="P799" i="16"/>
  <c r="P800" i="16"/>
  <c r="P801" i="16"/>
  <c r="P802" i="16"/>
  <c r="P803" i="16"/>
  <c r="P804" i="16"/>
  <c r="P805" i="16"/>
  <c r="P806" i="16"/>
  <c r="P807" i="16"/>
  <c r="P808" i="16"/>
  <c r="P809" i="16"/>
  <c r="P810" i="16"/>
  <c r="P811" i="16"/>
  <c r="P812" i="16"/>
  <c r="P813" i="16"/>
  <c r="P814" i="16"/>
  <c r="P815" i="16"/>
  <c r="P816" i="16"/>
  <c r="P817" i="16"/>
  <c r="P818" i="16"/>
  <c r="P819" i="16"/>
  <c r="P820" i="16"/>
  <c r="P821" i="16"/>
  <c r="P822" i="16"/>
  <c r="P823" i="16"/>
  <c r="P824" i="16"/>
  <c r="P825" i="16"/>
  <c r="P826" i="16"/>
  <c r="P827" i="16"/>
  <c r="P828" i="16"/>
  <c r="P829" i="16"/>
  <c r="P830" i="16"/>
  <c r="P831" i="16"/>
  <c r="P832" i="16"/>
  <c r="P833" i="16"/>
  <c r="P834" i="16"/>
  <c r="P835" i="16"/>
  <c r="P836" i="16"/>
  <c r="P837" i="16"/>
  <c r="P838" i="16"/>
  <c r="P839" i="16"/>
  <c r="P840" i="16"/>
  <c r="P841" i="16"/>
  <c r="P842" i="16"/>
  <c r="P843" i="16"/>
  <c r="P844" i="16"/>
  <c r="P845" i="16"/>
  <c r="P846" i="16"/>
  <c r="P847" i="16"/>
  <c r="P848" i="16"/>
  <c r="P849" i="16"/>
  <c r="P850" i="16"/>
  <c r="P851" i="16"/>
  <c r="P852" i="16"/>
  <c r="P853" i="16"/>
  <c r="P854" i="16"/>
  <c r="P855" i="16"/>
  <c r="P856" i="16"/>
  <c r="P857" i="16"/>
  <c r="P858" i="16"/>
  <c r="P859" i="16"/>
  <c r="P860" i="16"/>
  <c r="P861" i="16"/>
  <c r="P862" i="16"/>
  <c r="P863" i="16"/>
  <c r="P864" i="16"/>
  <c r="P865" i="16"/>
  <c r="P866" i="16"/>
  <c r="P867" i="16"/>
  <c r="P868" i="16"/>
  <c r="P869" i="16"/>
  <c r="P870" i="16"/>
  <c r="P871" i="16"/>
  <c r="P872" i="16"/>
  <c r="P873" i="16"/>
  <c r="P874" i="16"/>
  <c r="P875" i="16"/>
  <c r="P876" i="16"/>
  <c r="P877" i="16"/>
  <c r="P878" i="16"/>
  <c r="P879" i="16"/>
  <c r="P880" i="16"/>
  <c r="P881" i="16"/>
  <c r="P882" i="16"/>
  <c r="P883" i="16"/>
  <c r="P884" i="16"/>
  <c r="P885" i="16"/>
  <c r="P886" i="16"/>
  <c r="P887" i="16"/>
  <c r="P888" i="16"/>
  <c r="P889" i="16"/>
  <c r="P890" i="16"/>
  <c r="P891" i="16"/>
  <c r="P892" i="16"/>
  <c r="P893" i="16"/>
  <c r="P894" i="16"/>
  <c r="P895" i="16"/>
  <c r="P896" i="16"/>
  <c r="P897" i="16"/>
  <c r="P898" i="16"/>
  <c r="P899" i="16"/>
  <c r="P900" i="16"/>
  <c r="P901" i="16"/>
  <c r="P902" i="16"/>
  <c r="P903" i="16"/>
  <c r="P904" i="16"/>
  <c r="P905" i="16"/>
  <c r="P906" i="16"/>
  <c r="P907" i="16"/>
  <c r="P908" i="16"/>
  <c r="P909" i="16"/>
  <c r="P910" i="16"/>
  <c r="P911" i="16"/>
  <c r="P912" i="16"/>
  <c r="P913" i="16"/>
  <c r="P914" i="16"/>
  <c r="P915" i="16"/>
  <c r="P916" i="16"/>
  <c r="P917" i="16"/>
  <c r="P918" i="16"/>
  <c r="P919" i="16"/>
  <c r="P920" i="16"/>
  <c r="P921" i="16"/>
  <c r="P922" i="16"/>
  <c r="P923" i="16"/>
  <c r="P924" i="16"/>
  <c r="P925" i="16"/>
  <c r="P926" i="16"/>
  <c r="P927" i="16"/>
  <c r="P928" i="16"/>
  <c r="P929" i="16"/>
  <c r="P930" i="16"/>
  <c r="P931" i="16"/>
  <c r="P932" i="16"/>
  <c r="P933" i="16"/>
  <c r="P934" i="16"/>
  <c r="P935" i="16"/>
  <c r="P936" i="16"/>
  <c r="P937" i="16"/>
  <c r="P938" i="16"/>
  <c r="P939" i="16"/>
  <c r="P940" i="16"/>
  <c r="P941" i="16"/>
  <c r="P942" i="16"/>
  <c r="P943" i="16"/>
  <c r="P944" i="16"/>
  <c r="P945" i="16"/>
  <c r="P946" i="16"/>
  <c r="P947" i="16"/>
  <c r="P948" i="16"/>
  <c r="P949" i="16"/>
  <c r="P950" i="16"/>
  <c r="P951" i="16"/>
  <c r="P952" i="16"/>
  <c r="P953" i="16"/>
  <c r="P954" i="16"/>
  <c r="P955" i="16"/>
  <c r="P956" i="16"/>
  <c r="P957" i="16"/>
  <c r="P958" i="16"/>
  <c r="P959" i="16"/>
  <c r="P960" i="16"/>
  <c r="P961" i="16"/>
  <c r="P962" i="16"/>
  <c r="P963" i="16"/>
  <c r="P964" i="16"/>
  <c r="P965" i="16"/>
  <c r="P966" i="16"/>
  <c r="P967" i="16"/>
  <c r="P968" i="16"/>
  <c r="P969" i="16"/>
  <c r="P970" i="16"/>
  <c r="P971" i="16"/>
  <c r="P972" i="16"/>
  <c r="P973" i="16"/>
  <c r="P974" i="16"/>
  <c r="P975" i="16"/>
  <c r="P976" i="16"/>
  <c r="P977" i="16"/>
  <c r="P978" i="16"/>
  <c r="P979" i="16"/>
  <c r="P980" i="16"/>
  <c r="P981" i="16"/>
  <c r="P982" i="16"/>
  <c r="P983" i="16"/>
  <c r="P984" i="16"/>
  <c r="P985" i="16"/>
  <c r="P986" i="16"/>
  <c r="P987" i="16"/>
  <c r="P988" i="16"/>
  <c r="P989" i="16"/>
  <c r="P990" i="16"/>
  <c r="P991" i="16"/>
  <c r="P992" i="16"/>
  <c r="P993" i="16"/>
  <c r="P994" i="16"/>
  <c r="P995" i="16"/>
  <c r="P996" i="16"/>
  <c r="P997" i="16"/>
  <c r="P998" i="16"/>
  <c r="P999" i="16"/>
  <c r="P1000" i="16"/>
  <c r="P1001" i="16"/>
  <c r="P1002" i="16"/>
  <c r="P1003" i="16"/>
  <c r="P1004" i="16"/>
  <c r="P1005" i="16"/>
  <c r="P1006" i="16"/>
  <c r="P1007" i="16"/>
  <c r="P1008" i="16"/>
  <c r="P1009" i="16"/>
  <c r="P1010" i="16"/>
  <c r="P1011" i="16"/>
  <c r="P1012" i="16"/>
  <c r="P1013" i="16"/>
  <c r="P1014" i="16"/>
  <c r="P1015" i="16"/>
  <c r="P1016" i="16"/>
  <c r="P1017" i="16"/>
  <c r="P1018" i="16"/>
  <c r="P1019" i="16"/>
  <c r="P1020" i="16"/>
  <c r="P1021" i="16"/>
  <c r="P1022" i="16"/>
  <c r="P1023" i="16"/>
  <c r="P1024" i="16"/>
  <c r="P1025" i="16"/>
  <c r="P1026" i="16"/>
  <c r="P1027" i="16"/>
  <c r="P1028" i="16"/>
  <c r="P1029" i="16"/>
  <c r="P1030" i="16"/>
  <c r="P1031" i="16"/>
  <c r="P1032" i="16"/>
  <c r="P1033" i="16"/>
  <c r="P1034" i="16"/>
  <c r="P1035" i="16"/>
  <c r="P1036" i="16"/>
  <c r="P1037" i="16"/>
  <c r="P1038" i="16"/>
  <c r="P1039" i="16"/>
  <c r="P1040" i="16"/>
  <c r="P1041" i="16"/>
  <c r="P1042" i="16"/>
  <c r="P1043" i="16"/>
  <c r="P1044" i="16"/>
  <c r="P1045" i="16"/>
  <c r="P1046" i="16"/>
  <c r="P1047" i="16"/>
  <c r="P1048" i="16"/>
  <c r="P1049" i="16"/>
  <c r="P1050" i="16"/>
  <c r="P1051" i="16"/>
  <c r="P1052" i="16"/>
  <c r="P1053" i="16"/>
  <c r="P1054" i="16"/>
  <c r="P1055" i="16"/>
  <c r="P1056" i="16"/>
  <c r="P1057" i="16"/>
  <c r="P1058" i="16"/>
  <c r="P1059" i="16"/>
  <c r="P1060" i="16"/>
  <c r="P1061" i="16"/>
  <c r="P1062" i="16"/>
  <c r="P1063" i="16"/>
  <c r="P1064" i="16"/>
  <c r="P1065" i="16"/>
  <c r="P1066" i="16"/>
  <c r="P1067" i="16"/>
  <c r="P1068" i="16"/>
  <c r="P1069" i="16"/>
  <c r="P1070" i="16"/>
  <c r="P1071" i="16"/>
  <c r="P1072" i="16"/>
  <c r="P1073" i="16"/>
  <c r="P1074" i="16"/>
  <c r="P1075" i="16"/>
  <c r="P1076" i="16"/>
  <c r="P1077" i="16"/>
  <c r="P1078" i="16"/>
  <c r="P1079" i="16"/>
  <c r="P1080" i="16"/>
  <c r="P1081" i="16"/>
  <c r="P1082" i="16"/>
  <c r="P1083" i="16"/>
  <c r="P1084" i="16"/>
  <c r="P1085" i="16"/>
  <c r="P1086" i="16"/>
  <c r="P1087" i="16"/>
  <c r="P1088" i="16"/>
  <c r="P1089" i="16"/>
  <c r="P1090" i="16"/>
  <c r="P1091" i="16"/>
  <c r="P1092" i="16"/>
  <c r="P1093" i="16"/>
  <c r="P1094" i="16"/>
  <c r="P1095" i="16"/>
  <c r="P1096" i="16"/>
  <c r="P1097" i="16"/>
  <c r="P1098" i="16"/>
  <c r="P1099" i="16"/>
  <c r="P1100" i="16"/>
  <c r="P1101" i="16"/>
  <c r="P1102" i="16"/>
  <c r="P1103" i="16"/>
  <c r="P1104" i="16"/>
  <c r="P1105" i="16"/>
  <c r="P1106" i="16"/>
  <c r="P1107" i="16"/>
  <c r="P1108" i="16"/>
  <c r="P1109" i="16"/>
  <c r="P1110" i="16"/>
  <c r="P1111" i="16"/>
  <c r="P1112" i="16"/>
  <c r="P1113" i="16"/>
  <c r="P1114" i="16"/>
  <c r="P1115" i="16"/>
  <c r="P1116" i="16"/>
  <c r="P1117" i="16"/>
  <c r="P1118" i="16"/>
  <c r="P1119" i="16"/>
  <c r="P1120" i="16"/>
  <c r="P1121" i="16"/>
  <c r="P1122" i="16"/>
  <c r="P1123" i="16"/>
  <c r="P1124" i="16"/>
  <c r="P1125" i="16"/>
  <c r="P1126" i="16"/>
  <c r="P1127" i="16"/>
  <c r="P1128" i="16"/>
  <c r="P1129" i="16"/>
  <c r="P1130" i="16"/>
  <c r="P1131" i="16"/>
  <c r="P1132" i="16"/>
  <c r="P1133" i="16"/>
  <c r="P1134" i="16"/>
  <c r="P1135" i="16"/>
  <c r="P1136" i="16"/>
  <c r="P1137" i="16"/>
  <c r="P1138" i="16"/>
  <c r="P1139" i="16"/>
  <c r="P1140" i="16"/>
  <c r="P1141" i="16"/>
  <c r="P1142" i="16"/>
  <c r="P1143" i="16"/>
  <c r="P1144" i="16"/>
  <c r="P1145" i="16"/>
  <c r="P1146" i="16"/>
  <c r="P1147" i="16"/>
  <c r="P1148" i="16"/>
  <c r="P1149" i="16"/>
  <c r="P1150" i="16"/>
  <c r="P1151" i="16"/>
  <c r="P1152" i="16"/>
  <c r="P1153" i="16"/>
  <c r="P1154" i="16"/>
  <c r="P1155" i="16"/>
  <c r="P1156" i="16"/>
  <c r="P1157" i="16"/>
  <c r="P1158" i="16"/>
  <c r="P1159" i="16"/>
  <c r="P1160" i="16"/>
  <c r="P1161" i="16"/>
  <c r="P1162" i="16"/>
  <c r="P1163" i="16"/>
  <c r="P1164" i="16"/>
  <c r="P1165" i="16"/>
  <c r="P1166" i="16"/>
  <c r="P1167" i="16"/>
  <c r="P1168" i="16"/>
  <c r="P1169" i="16"/>
  <c r="P1170" i="16"/>
  <c r="P1171" i="16"/>
  <c r="P1172" i="16"/>
  <c r="P1173" i="16"/>
  <c r="P1174" i="16"/>
  <c r="P1175" i="16"/>
  <c r="P1176" i="16"/>
  <c r="P1177" i="16"/>
  <c r="P1178" i="16"/>
  <c r="P1179" i="16"/>
  <c r="P1180" i="16"/>
  <c r="P1181" i="16"/>
  <c r="P1182" i="16"/>
  <c r="P1183" i="16"/>
  <c r="P1184" i="16"/>
  <c r="P1185" i="16"/>
  <c r="P1186" i="16"/>
  <c r="P1187" i="16"/>
  <c r="P1188" i="16"/>
  <c r="P1189" i="16"/>
  <c r="P1190" i="16"/>
  <c r="P1191" i="16"/>
  <c r="P1192" i="16"/>
  <c r="P1193" i="16"/>
  <c r="P1194" i="16"/>
  <c r="P1195" i="16"/>
  <c r="P1196" i="16"/>
  <c r="P1197" i="16"/>
  <c r="P1198" i="16"/>
  <c r="P1199" i="16"/>
  <c r="P1200" i="16"/>
  <c r="P1201" i="16"/>
  <c r="P1202" i="16"/>
  <c r="P1203" i="16"/>
  <c r="P1204" i="16"/>
  <c r="P1205" i="16"/>
  <c r="P1206" i="16"/>
  <c r="P1207" i="16"/>
  <c r="P1208" i="16"/>
  <c r="P1209" i="16"/>
  <c r="P1210" i="16"/>
  <c r="P1211" i="16"/>
  <c r="P1212" i="16"/>
  <c r="P1213" i="16"/>
  <c r="P1214" i="16"/>
  <c r="P1215" i="16"/>
  <c r="P1216" i="16"/>
  <c r="P1217" i="16"/>
  <c r="P1218" i="16"/>
  <c r="P1219" i="16"/>
  <c r="P1220" i="16"/>
  <c r="P1221" i="16"/>
  <c r="P1222" i="16"/>
  <c r="P1223" i="16"/>
  <c r="P1224" i="16"/>
  <c r="P1225" i="16"/>
  <c r="P1226" i="16"/>
  <c r="P1227" i="16"/>
  <c r="P1228" i="16"/>
  <c r="P1229" i="16"/>
  <c r="P1230" i="16"/>
  <c r="P1231" i="16"/>
  <c r="P1232" i="16"/>
  <c r="P1233" i="16"/>
  <c r="P1234" i="16"/>
  <c r="P1235" i="16"/>
  <c r="P1236" i="16"/>
  <c r="P1237" i="16"/>
  <c r="P1238" i="16"/>
  <c r="P1239" i="16"/>
  <c r="P1240" i="16"/>
  <c r="P1241" i="16"/>
  <c r="P1242" i="16"/>
  <c r="P1243" i="16"/>
  <c r="P1244" i="16"/>
  <c r="P1245" i="16"/>
  <c r="P1246" i="16"/>
  <c r="P1247" i="16"/>
  <c r="P1248" i="16"/>
  <c r="P1249" i="16"/>
  <c r="P1250" i="16"/>
  <c r="P1251" i="16"/>
  <c r="P1252" i="16"/>
  <c r="P1253" i="16"/>
  <c r="P1254" i="16"/>
  <c r="P1255" i="16"/>
  <c r="P1256" i="16"/>
  <c r="P1257" i="16"/>
  <c r="P1258" i="16"/>
  <c r="P1259" i="16"/>
  <c r="P1260" i="16"/>
  <c r="P1261" i="16"/>
  <c r="P1262" i="16"/>
  <c r="P1263" i="16"/>
  <c r="P1264" i="16"/>
  <c r="P1265" i="16"/>
  <c r="P1266" i="16"/>
  <c r="P1267" i="16"/>
  <c r="P1268" i="16"/>
  <c r="P1269" i="16"/>
  <c r="P1270" i="16"/>
  <c r="P1271" i="16"/>
  <c r="P1272" i="16"/>
  <c r="P1273" i="16"/>
  <c r="P1274" i="16"/>
  <c r="P1275" i="16"/>
  <c r="P1276" i="16"/>
  <c r="P1277" i="16"/>
  <c r="P1278" i="16"/>
  <c r="P1279" i="16"/>
  <c r="P1280" i="16"/>
  <c r="P1281" i="16"/>
  <c r="P1282" i="16"/>
  <c r="P1283" i="16"/>
  <c r="P1284" i="16"/>
  <c r="P1285" i="16"/>
  <c r="P1286" i="16"/>
  <c r="P1287" i="16"/>
  <c r="P1288" i="16"/>
  <c r="P1289" i="16"/>
  <c r="P1290" i="16"/>
  <c r="P1291" i="16"/>
  <c r="P1292" i="16"/>
  <c r="P1293" i="16"/>
  <c r="P1294" i="16"/>
  <c r="P1295" i="16"/>
  <c r="P1296" i="16"/>
  <c r="P1297" i="16"/>
  <c r="P1298" i="16"/>
  <c r="P1299" i="16"/>
  <c r="P1300" i="16"/>
  <c r="P1301" i="16"/>
  <c r="P1302" i="16"/>
  <c r="P1303" i="16"/>
  <c r="P1304" i="16"/>
  <c r="P1305" i="16"/>
  <c r="P1306" i="16"/>
  <c r="P1307" i="16"/>
  <c r="P1308" i="16"/>
  <c r="P1309" i="16"/>
  <c r="P1310" i="16"/>
  <c r="P1311" i="16"/>
  <c r="P1312" i="16"/>
  <c r="P1313" i="16"/>
  <c r="P1314" i="16"/>
  <c r="P1315" i="16"/>
  <c r="P1316" i="16"/>
  <c r="P1317" i="16"/>
  <c r="P1318" i="16"/>
  <c r="P1319" i="16"/>
  <c r="P1320" i="16"/>
  <c r="P1321" i="16"/>
  <c r="P1322" i="16"/>
  <c r="P1323" i="16"/>
  <c r="P1324" i="16"/>
  <c r="P1325" i="16"/>
  <c r="P1326" i="16"/>
  <c r="P1327" i="16"/>
  <c r="P1328" i="16"/>
  <c r="P1329" i="16"/>
  <c r="P1330" i="16"/>
  <c r="P1331" i="16"/>
  <c r="P1332" i="16"/>
  <c r="P1333" i="16"/>
  <c r="P1334" i="16"/>
  <c r="P1335" i="16"/>
  <c r="P1336" i="16"/>
  <c r="P1337" i="16"/>
  <c r="P1338" i="16"/>
  <c r="P1339" i="16"/>
  <c r="P1340" i="16"/>
  <c r="P1341" i="16"/>
  <c r="P1342" i="16"/>
  <c r="P1343" i="16"/>
  <c r="P1344" i="16"/>
  <c r="P1345" i="16"/>
  <c r="P1346" i="16"/>
  <c r="P1347" i="16"/>
  <c r="P1348" i="16"/>
  <c r="P1349" i="16"/>
  <c r="P1350" i="16"/>
  <c r="P1351" i="16"/>
  <c r="P1352" i="16"/>
  <c r="P1353" i="16"/>
  <c r="P1354" i="16"/>
  <c r="P1355" i="16"/>
  <c r="P1356" i="16"/>
  <c r="P1357" i="16"/>
  <c r="P1358" i="16"/>
  <c r="P1359" i="16"/>
  <c r="P1360" i="16"/>
  <c r="P1361" i="16"/>
  <c r="P1362" i="16"/>
  <c r="P1363" i="16"/>
  <c r="P1364" i="16"/>
  <c r="P1365" i="16"/>
  <c r="P1366" i="16"/>
  <c r="P1367" i="16"/>
  <c r="P1368" i="16"/>
  <c r="P1369" i="16"/>
  <c r="P1370" i="16"/>
  <c r="P1371" i="16"/>
  <c r="P1372" i="16"/>
  <c r="P1373" i="16"/>
  <c r="P1374" i="16"/>
  <c r="P1375" i="16"/>
  <c r="P1376" i="16"/>
  <c r="P1377" i="16"/>
  <c r="P1378" i="16"/>
  <c r="P1379" i="16"/>
  <c r="P1380" i="16"/>
  <c r="P1381" i="16"/>
  <c r="P1382" i="16"/>
  <c r="P1383" i="16"/>
  <c r="P1384" i="16"/>
  <c r="P1385" i="16"/>
  <c r="P1386" i="16"/>
  <c r="P1387" i="16"/>
  <c r="P1388" i="16"/>
  <c r="P1389" i="16"/>
  <c r="P1390" i="16"/>
  <c r="P1391" i="16"/>
  <c r="P1392" i="16"/>
  <c r="P1393" i="16"/>
  <c r="P1394" i="16"/>
  <c r="P1395" i="16"/>
  <c r="P1396" i="16"/>
  <c r="P1397" i="16"/>
  <c r="P1398" i="16"/>
  <c r="P1399" i="16"/>
  <c r="P1400" i="16"/>
  <c r="P1401" i="16"/>
  <c r="P1402" i="16"/>
  <c r="P1403" i="16"/>
  <c r="P1404" i="16"/>
  <c r="P1405" i="16"/>
  <c r="P1406" i="16"/>
  <c r="P1407" i="16"/>
  <c r="P1408" i="16"/>
  <c r="P1409" i="16"/>
  <c r="P1410" i="16"/>
  <c r="P1411" i="16"/>
  <c r="P1412" i="16"/>
  <c r="P1413" i="16"/>
  <c r="P1414" i="16"/>
  <c r="P1415" i="16"/>
  <c r="P1416" i="16"/>
  <c r="P1417" i="16"/>
  <c r="P1418" i="16"/>
  <c r="P1419" i="16"/>
  <c r="P1420" i="16"/>
  <c r="P1421" i="16"/>
  <c r="P1422" i="16"/>
  <c r="P1423" i="16"/>
  <c r="P1424" i="16"/>
  <c r="P1425" i="16"/>
  <c r="P1426" i="16"/>
  <c r="P1427" i="16"/>
  <c r="P1428" i="16"/>
  <c r="P1429" i="16"/>
  <c r="P1430" i="16"/>
  <c r="P1431" i="16"/>
  <c r="P1432" i="16"/>
  <c r="P1433" i="16"/>
  <c r="P1434" i="16"/>
  <c r="P1435" i="16"/>
  <c r="P1436" i="16"/>
  <c r="P1437" i="16"/>
  <c r="P1438" i="16"/>
  <c r="P1439" i="16"/>
  <c r="P1440" i="16"/>
  <c r="P1441" i="16"/>
  <c r="P1442" i="16"/>
  <c r="P1443" i="16"/>
  <c r="P1444" i="16"/>
  <c r="P1445" i="16"/>
  <c r="P1446" i="16"/>
  <c r="P1447" i="16"/>
  <c r="P1448" i="16"/>
  <c r="P1449" i="16"/>
  <c r="P1450" i="16"/>
  <c r="P1451" i="16"/>
  <c r="P1452" i="16"/>
  <c r="P1453" i="16"/>
  <c r="P1454" i="16"/>
  <c r="P1455" i="16"/>
  <c r="P1456" i="16"/>
  <c r="P1457" i="16"/>
  <c r="P1458" i="16"/>
  <c r="P1459" i="16"/>
  <c r="P1460" i="16"/>
  <c r="P1461" i="16"/>
  <c r="P1462" i="16"/>
  <c r="P1463" i="16"/>
  <c r="P1464" i="16"/>
  <c r="P1465" i="16"/>
  <c r="P1466" i="16"/>
  <c r="P1467" i="16"/>
  <c r="P1468" i="16"/>
  <c r="P1469" i="16"/>
  <c r="P1470" i="16"/>
  <c r="P1471" i="16"/>
  <c r="P1472" i="16"/>
  <c r="P1473" i="16"/>
  <c r="P1474" i="16"/>
  <c r="P1475" i="16"/>
  <c r="P1476" i="16"/>
  <c r="P1477" i="16"/>
  <c r="P1478" i="16"/>
  <c r="P1479" i="16"/>
  <c r="P1480" i="16"/>
  <c r="P1481" i="16"/>
  <c r="P1482" i="16"/>
  <c r="P1483" i="16"/>
  <c r="P1484" i="16"/>
  <c r="P1485" i="16"/>
  <c r="P1486" i="16"/>
  <c r="P1487" i="16"/>
  <c r="P1488" i="16"/>
  <c r="P1489" i="16"/>
  <c r="P1490" i="16"/>
  <c r="P1491" i="16"/>
  <c r="P1492" i="16"/>
  <c r="P1493" i="16"/>
  <c r="P1494" i="16"/>
  <c r="P1495" i="16"/>
  <c r="P1496" i="16"/>
  <c r="P1497" i="16"/>
  <c r="P1498" i="16"/>
  <c r="P1499" i="16"/>
  <c r="P1500" i="16"/>
  <c r="P1501" i="16"/>
  <c r="P1502" i="16"/>
  <c r="P1503" i="16"/>
  <c r="P1504" i="16"/>
  <c r="P1505" i="16"/>
  <c r="P1506" i="16"/>
  <c r="P1507" i="16"/>
  <c r="P1508" i="16"/>
  <c r="P1509" i="16"/>
  <c r="P1510" i="16"/>
  <c r="P1511" i="16"/>
  <c r="P1512" i="16"/>
  <c r="P1513" i="16"/>
  <c r="P1514" i="16"/>
  <c r="P1515" i="16"/>
  <c r="P1516" i="16"/>
  <c r="P1517" i="16"/>
  <c r="P1518" i="16"/>
  <c r="P1519" i="16"/>
  <c r="P1520" i="16"/>
  <c r="P1521" i="16"/>
  <c r="P1522" i="16"/>
  <c r="P1523" i="16"/>
  <c r="P1524" i="16"/>
  <c r="P1525" i="16"/>
  <c r="P1526" i="16"/>
  <c r="P1527" i="16"/>
  <c r="P1528" i="16"/>
  <c r="P1529" i="16"/>
  <c r="P1530" i="16"/>
  <c r="P1531" i="16"/>
  <c r="P1532" i="16"/>
  <c r="P1533" i="16"/>
  <c r="P1534" i="16"/>
  <c r="P1535" i="16"/>
  <c r="P1536" i="16"/>
  <c r="P1537" i="16"/>
  <c r="P1538" i="16"/>
  <c r="P1539" i="16"/>
  <c r="P1540" i="16"/>
  <c r="P1541" i="16"/>
  <c r="P1542" i="16"/>
  <c r="P1543" i="16"/>
  <c r="P1544" i="16"/>
  <c r="P1545" i="16"/>
  <c r="P1546" i="16"/>
  <c r="P1547" i="16"/>
  <c r="P1548" i="16"/>
  <c r="P1549" i="16"/>
  <c r="P1550" i="16"/>
  <c r="P1551" i="16"/>
  <c r="P1552" i="16"/>
  <c r="P1553" i="16"/>
  <c r="P1554" i="16"/>
  <c r="P1555" i="16"/>
  <c r="P1556" i="16"/>
  <c r="P1557" i="16"/>
  <c r="P1558" i="16"/>
  <c r="P1559" i="16"/>
  <c r="P1560" i="16"/>
  <c r="P1561" i="16"/>
  <c r="P1562" i="16"/>
  <c r="P1563" i="16"/>
  <c r="P1564" i="16"/>
  <c r="P1565" i="16"/>
  <c r="P1566" i="16"/>
  <c r="P1567" i="16"/>
  <c r="P1568" i="16"/>
  <c r="P1569" i="16"/>
  <c r="P1570" i="16"/>
  <c r="P1571" i="16"/>
  <c r="P1572" i="16"/>
  <c r="P1573" i="16"/>
  <c r="P1574" i="16"/>
  <c r="P1575" i="16"/>
  <c r="P1576" i="16"/>
  <c r="P1577" i="16"/>
  <c r="P1578" i="16"/>
  <c r="P1579" i="16"/>
  <c r="P1580" i="16"/>
  <c r="P1581" i="16"/>
  <c r="P1582" i="16"/>
  <c r="P1583" i="16"/>
  <c r="P1584" i="16"/>
  <c r="P1585" i="16"/>
  <c r="P1586" i="16"/>
  <c r="P1587" i="16"/>
  <c r="P1588" i="16"/>
  <c r="P1589" i="16"/>
  <c r="P1590" i="16"/>
  <c r="P1591" i="16"/>
  <c r="P1592" i="16"/>
  <c r="P1593" i="16"/>
  <c r="P1594" i="16"/>
  <c r="P1595" i="16"/>
  <c r="P1596" i="16"/>
  <c r="P1597" i="16"/>
  <c r="P1598" i="16"/>
  <c r="P1599" i="16"/>
  <c r="P1600" i="16"/>
  <c r="P1601" i="16"/>
  <c r="P1602" i="16"/>
  <c r="P1603" i="16"/>
  <c r="P1604" i="16"/>
  <c r="P1605" i="16"/>
  <c r="P1606" i="16"/>
  <c r="P1607" i="16"/>
  <c r="P1608" i="16"/>
  <c r="P1609" i="16"/>
  <c r="P1610" i="16"/>
  <c r="P1611" i="16"/>
  <c r="P1612" i="16"/>
  <c r="P1613" i="16"/>
  <c r="P1614" i="16"/>
  <c r="P1615" i="16"/>
  <c r="P1616" i="16"/>
  <c r="P1617" i="16"/>
  <c r="P1618" i="16"/>
  <c r="P1619" i="16"/>
  <c r="P1620" i="16"/>
  <c r="P1621" i="16"/>
  <c r="P1622" i="16"/>
  <c r="P1623" i="16"/>
  <c r="P1624" i="16"/>
  <c r="P1625" i="16"/>
  <c r="P1626" i="16"/>
  <c r="P1627" i="16"/>
  <c r="P1628" i="16"/>
  <c r="P1629" i="16"/>
  <c r="P1630" i="16"/>
  <c r="P1631" i="16"/>
  <c r="P1632" i="16"/>
  <c r="P1633" i="16"/>
  <c r="P1634" i="16"/>
  <c r="P1635" i="16"/>
  <c r="P1636" i="16"/>
  <c r="P1637" i="16"/>
  <c r="P1638" i="16"/>
  <c r="P1639" i="16"/>
  <c r="P1640" i="16"/>
  <c r="P1641" i="16"/>
  <c r="P1642" i="16"/>
  <c r="P1643" i="16"/>
  <c r="P1644" i="16"/>
  <c r="P1645" i="16"/>
  <c r="P1646" i="16"/>
  <c r="P1647" i="16"/>
  <c r="P1648" i="16"/>
  <c r="P1649" i="16"/>
  <c r="P1650" i="16"/>
  <c r="P1651" i="16"/>
  <c r="P1652" i="16"/>
  <c r="P1653" i="16"/>
  <c r="P1654" i="16"/>
  <c r="P1655" i="16"/>
  <c r="P1656" i="16"/>
  <c r="P1657" i="16"/>
  <c r="P1658" i="16"/>
  <c r="P1659" i="16"/>
  <c r="P1660" i="16"/>
  <c r="P1661" i="16"/>
  <c r="P1662" i="16"/>
  <c r="P1663" i="16"/>
  <c r="P1664" i="16"/>
  <c r="P1665" i="16"/>
  <c r="P1666" i="16"/>
  <c r="P1667" i="16"/>
  <c r="P1668" i="16"/>
  <c r="P1669" i="16"/>
  <c r="P1670" i="16"/>
  <c r="P1671" i="16"/>
  <c r="P1672" i="16"/>
  <c r="P1673" i="16"/>
  <c r="P1674" i="16"/>
  <c r="P1675" i="16"/>
  <c r="P1676" i="16"/>
  <c r="P1677" i="16"/>
  <c r="P1678" i="16"/>
  <c r="P1679" i="16"/>
  <c r="P1680" i="16"/>
  <c r="P1681" i="16"/>
  <c r="P1682" i="16"/>
  <c r="P1683" i="16"/>
  <c r="P1684" i="16"/>
  <c r="P1685" i="16"/>
  <c r="P1686" i="16"/>
  <c r="P1687" i="16"/>
  <c r="P1688" i="16"/>
  <c r="P1689" i="16"/>
  <c r="P1690" i="16"/>
  <c r="P1691" i="16"/>
  <c r="P1692" i="16"/>
  <c r="P1693" i="16"/>
  <c r="P1694" i="16"/>
  <c r="P1695" i="16"/>
  <c r="P1696" i="16"/>
  <c r="P1697" i="16"/>
  <c r="P1698" i="16"/>
  <c r="P1699" i="16"/>
  <c r="P1700" i="16"/>
  <c r="P1701" i="16"/>
  <c r="P1702" i="16"/>
  <c r="P1703" i="16"/>
  <c r="P1704" i="16"/>
  <c r="P1705" i="16"/>
  <c r="P1706" i="16"/>
  <c r="P1707" i="16"/>
  <c r="P1708" i="16"/>
  <c r="P1709" i="16"/>
  <c r="P1710" i="16"/>
  <c r="P1711" i="16"/>
  <c r="P1712" i="16"/>
  <c r="P1713" i="16"/>
  <c r="P1714" i="16"/>
  <c r="P1715" i="16"/>
  <c r="P1716" i="16"/>
  <c r="P1717" i="16"/>
  <c r="P1718" i="16"/>
  <c r="P1719" i="16"/>
  <c r="P1720" i="16"/>
  <c r="P1721" i="16"/>
  <c r="P1722" i="16"/>
  <c r="P1723" i="16"/>
  <c r="P1724" i="16"/>
  <c r="P1725" i="16"/>
  <c r="P1726" i="16"/>
  <c r="P1727" i="16"/>
  <c r="P1728" i="16"/>
  <c r="P1729" i="16"/>
  <c r="P1730" i="16"/>
  <c r="P1731" i="16"/>
  <c r="P1732" i="16"/>
  <c r="P1733" i="16"/>
  <c r="P1734" i="16"/>
  <c r="P1735" i="16"/>
  <c r="P1736" i="16"/>
  <c r="P1737" i="16"/>
  <c r="P1738" i="16"/>
  <c r="P1739" i="16"/>
  <c r="P1740" i="16"/>
  <c r="P1741" i="16"/>
  <c r="P1742" i="16"/>
  <c r="P1743" i="16"/>
  <c r="P1744" i="16"/>
  <c r="P1745" i="16"/>
  <c r="P1746" i="16"/>
  <c r="P1747" i="16"/>
  <c r="P1748" i="16"/>
  <c r="P1749" i="16"/>
  <c r="P1750" i="16"/>
  <c r="P1751" i="16"/>
  <c r="P1752" i="16"/>
  <c r="P1753" i="16"/>
  <c r="P1754" i="16"/>
  <c r="P1755" i="16"/>
  <c r="P1756" i="16"/>
  <c r="P1757" i="16"/>
  <c r="P1758" i="16"/>
  <c r="P1759" i="16"/>
  <c r="P1760" i="16"/>
  <c r="P1761" i="16"/>
  <c r="P1762" i="16"/>
  <c r="P1763" i="16"/>
  <c r="P1764" i="16"/>
  <c r="P1765" i="16"/>
  <c r="P1766" i="16"/>
  <c r="P1767" i="16"/>
  <c r="P1768" i="16"/>
  <c r="P1769" i="16"/>
  <c r="P1770" i="16"/>
  <c r="P1771" i="16"/>
  <c r="P1772" i="16"/>
  <c r="P1773" i="16"/>
  <c r="P1774" i="16"/>
  <c r="P1775" i="16"/>
  <c r="P1776" i="16"/>
  <c r="P1777" i="16"/>
  <c r="P1778" i="16"/>
  <c r="P1779" i="16"/>
  <c r="P1780" i="16"/>
  <c r="P1781" i="16"/>
  <c r="P1782" i="16"/>
  <c r="P1783" i="16"/>
  <c r="P1784" i="16"/>
  <c r="P1785" i="16"/>
  <c r="P1786" i="16"/>
  <c r="P1787" i="16"/>
  <c r="P1788" i="16"/>
  <c r="P1789" i="16"/>
  <c r="P1790" i="16"/>
  <c r="P1791" i="16"/>
  <c r="P1792" i="16"/>
  <c r="P1793" i="16"/>
  <c r="P1794" i="16"/>
  <c r="P1795" i="16"/>
  <c r="P1796" i="16"/>
  <c r="P1797" i="16"/>
  <c r="P1798" i="16"/>
  <c r="P1799" i="16"/>
  <c r="P1800" i="16"/>
  <c r="P1801" i="16"/>
  <c r="P1802" i="16"/>
  <c r="P1803" i="16"/>
  <c r="P1804" i="16"/>
  <c r="P1805" i="16"/>
  <c r="P1806" i="16"/>
  <c r="P1807" i="16"/>
  <c r="P1808" i="16"/>
  <c r="P1809" i="16"/>
  <c r="P1810" i="16"/>
  <c r="P1811" i="16"/>
  <c r="P1812" i="16"/>
  <c r="P1813" i="16"/>
  <c r="P1814" i="16"/>
  <c r="P1815" i="16"/>
  <c r="P1816" i="16"/>
  <c r="P1817" i="16"/>
  <c r="P1818" i="16"/>
  <c r="P1819" i="16"/>
  <c r="P1820" i="16"/>
  <c r="P1821" i="16"/>
  <c r="P1822" i="16"/>
  <c r="P1823" i="16"/>
  <c r="P1824" i="16"/>
  <c r="P1825" i="16"/>
  <c r="P1826" i="16"/>
  <c r="P1827" i="16"/>
  <c r="P1828" i="16"/>
  <c r="P1829" i="16"/>
  <c r="P1830" i="16"/>
  <c r="P1831" i="16"/>
  <c r="P1832" i="16"/>
  <c r="P1833" i="16"/>
  <c r="P1834" i="16"/>
  <c r="P1835" i="16"/>
  <c r="P1836" i="16"/>
  <c r="P1837" i="16"/>
  <c r="P1838" i="16"/>
  <c r="P1839" i="16"/>
  <c r="P1840" i="16"/>
  <c r="P1841" i="16"/>
  <c r="P1842" i="16"/>
  <c r="P1843" i="16"/>
  <c r="P1844" i="16"/>
  <c r="P1845" i="16"/>
  <c r="P1846" i="16"/>
  <c r="P1847" i="16"/>
  <c r="P1848" i="16"/>
  <c r="P1849" i="16"/>
  <c r="P1850" i="16"/>
  <c r="P1851" i="16"/>
  <c r="P1852" i="16"/>
  <c r="P1853" i="16"/>
  <c r="P1854" i="16"/>
  <c r="P1855" i="16"/>
  <c r="P1856" i="16"/>
  <c r="P1857" i="16"/>
  <c r="P1858" i="16"/>
  <c r="P1859" i="16"/>
  <c r="P1860" i="16"/>
  <c r="P1861" i="16"/>
  <c r="P1862" i="16"/>
  <c r="P1863" i="16"/>
  <c r="P1864" i="16"/>
  <c r="P1865" i="16"/>
  <c r="P1866" i="16"/>
  <c r="P1867" i="16"/>
  <c r="P1868" i="16"/>
  <c r="P1869" i="16"/>
  <c r="P1870" i="16"/>
  <c r="P1871" i="16"/>
  <c r="P1872" i="16"/>
  <c r="P1873" i="16"/>
  <c r="P1874" i="16"/>
  <c r="P1875" i="16"/>
  <c r="P1876" i="16"/>
  <c r="P1877" i="16"/>
  <c r="P1878" i="16"/>
  <c r="P1879" i="16"/>
  <c r="P1880" i="16"/>
  <c r="P1881" i="16"/>
  <c r="P1882" i="16"/>
  <c r="P1883" i="16"/>
  <c r="P1884" i="16"/>
  <c r="P1885" i="16"/>
  <c r="P1886" i="16"/>
  <c r="P1887" i="16"/>
  <c r="P1888" i="16"/>
  <c r="P1889" i="16"/>
  <c r="P1890" i="16"/>
  <c r="P1891" i="16"/>
  <c r="P1892" i="16"/>
  <c r="P1893" i="16"/>
  <c r="P1894" i="16"/>
  <c r="P1895" i="16"/>
  <c r="P1896" i="16"/>
  <c r="P1897" i="16"/>
  <c r="P1898" i="16"/>
  <c r="P1899" i="16"/>
  <c r="P1900" i="16"/>
  <c r="P1901" i="16"/>
  <c r="P1902" i="16"/>
  <c r="P1903" i="16"/>
  <c r="P1904" i="16"/>
  <c r="P1905" i="16"/>
  <c r="P1906" i="16"/>
  <c r="P1907" i="16"/>
  <c r="P1908" i="16"/>
  <c r="P1909" i="16"/>
  <c r="P1910" i="16"/>
  <c r="P1911" i="16"/>
  <c r="P1912" i="16"/>
  <c r="P1913" i="16"/>
  <c r="P1914" i="16"/>
  <c r="P1915" i="16"/>
  <c r="P1916" i="16"/>
  <c r="P1917" i="16"/>
  <c r="P1918" i="16"/>
  <c r="P1919" i="16"/>
  <c r="P1920" i="16"/>
  <c r="P1921" i="16"/>
  <c r="P1922" i="16"/>
  <c r="P1923" i="16"/>
  <c r="P1924" i="16"/>
  <c r="P1925" i="16"/>
  <c r="P1926" i="16"/>
  <c r="P1927" i="16"/>
  <c r="P1928" i="16"/>
  <c r="P1929" i="16"/>
  <c r="P1930" i="16"/>
  <c r="P1931" i="16"/>
  <c r="P1932" i="16"/>
  <c r="P1933" i="16"/>
  <c r="P1934" i="16"/>
  <c r="P1935" i="16"/>
  <c r="P1936" i="16"/>
  <c r="P1937" i="16"/>
  <c r="P1938" i="16"/>
  <c r="P1939" i="16"/>
  <c r="P1940" i="16"/>
  <c r="P1941" i="16"/>
  <c r="P1942" i="16"/>
  <c r="P1943" i="16"/>
  <c r="P1944" i="16"/>
  <c r="P1945" i="16"/>
  <c r="P1946" i="16"/>
  <c r="P1947" i="16"/>
  <c r="P1948" i="16"/>
  <c r="P1949" i="16"/>
  <c r="P1950" i="16"/>
  <c r="P1951" i="16"/>
  <c r="P1952" i="16"/>
  <c r="P1953" i="16"/>
  <c r="P1954" i="16"/>
  <c r="P1955" i="16"/>
  <c r="P1956" i="16"/>
  <c r="P1957" i="16"/>
  <c r="P1958" i="16"/>
  <c r="P1959" i="16"/>
  <c r="P1960" i="16"/>
  <c r="P1961" i="16"/>
  <c r="P1962" i="16"/>
  <c r="P1963" i="16"/>
  <c r="P1964" i="16"/>
  <c r="P1965" i="16"/>
  <c r="P1966" i="16"/>
  <c r="P1967" i="16"/>
  <c r="P1968" i="16"/>
  <c r="P1969" i="16"/>
  <c r="P1970" i="16"/>
  <c r="P1971" i="16"/>
  <c r="P1972" i="16"/>
  <c r="P1973" i="16"/>
  <c r="P1974" i="16"/>
  <c r="P1975" i="16"/>
  <c r="P1976" i="16"/>
  <c r="P1977" i="16"/>
  <c r="P1978" i="16"/>
  <c r="P1979" i="16"/>
  <c r="P1980" i="16"/>
  <c r="P1981" i="16"/>
  <c r="P1982" i="16"/>
  <c r="P1983" i="16"/>
  <c r="P1984" i="16"/>
  <c r="P1985" i="16"/>
  <c r="P1986" i="16"/>
  <c r="P1987" i="16"/>
  <c r="P1988" i="16"/>
  <c r="P1989" i="16"/>
  <c r="P1990" i="16"/>
  <c r="P1991" i="16"/>
  <c r="P1992" i="16"/>
  <c r="P1993" i="16"/>
  <c r="P1994" i="16"/>
  <c r="P1995" i="16"/>
  <c r="P1996" i="16"/>
  <c r="P1997" i="16"/>
  <c r="P1998" i="16"/>
  <c r="P1999" i="16"/>
  <c r="P2000" i="16"/>
  <c r="P2001" i="16"/>
  <c r="P2002" i="16"/>
  <c r="P2003" i="16"/>
  <c r="P2004" i="16"/>
  <c r="P2005" i="16"/>
  <c r="P2006" i="16"/>
  <c r="P2007" i="16"/>
  <c r="P2008" i="16"/>
  <c r="P2009" i="16"/>
  <c r="P2010" i="16"/>
  <c r="P2011" i="16"/>
  <c r="P2012" i="16"/>
  <c r="P2013" i="16"/>
  <c r="P2014" i="16"/>
  <c r="P2015" i="16"/>
  <c r="P2016" i="16"/>
  <c r="P2017" i="16"/>
  <c r="P2018" i="16"/>
  <c r="P2019" i="16"/>
  <c r="P2020" i="16"/>
  <c r="P2021" i="16"/>
  <c r="P2022" i="16"/>
  <c r="P2023" i="16"/>
  <c r="P2024" i="16"/>
  <c r="P2025" i="16"/>
  <c r="P2026" i="16"/>
  <c r="P2027" i="16"/>
  <c r="P2028" i="16"/>
  <c r="P2029" i="16"/>
  <c r="P2030" i="16"/>
  <c r="P2031" i="16"/>
  <c r="P2032" i="16"/>
  <c r="P2033" i="16"/>
  <c r="P2034" i="16"/>
  <c r="P2035" i="16"/>
  <c r="P2036" i="16"/>
  <c r="P2037" i="16"/>
  <c r="P2038" i="16"/>
  <c r="P2039" i="16"/>
  <c r="P2040" i="16"/>
  <c r="P2041" i="16"/>
  <c r="P2042" i="16"/>
  <c r="P2043" i="16"/>
  <c r="P2044" i="16"/>
  <c r="P2045" i="16"/>
  <c r="P2046" i="16"/>
  <c r="P2047" i="16"/>
  <c r="P2048" i="16"/>
  <c r="P2049" i="16"/>
  <c r="P2050" i="16"/>
  <c r="P2051" i="16"/>
  <c r="P2052" i="16"/>
  <c r="P2053" i="16"/>
  <c r="P2054" i="16"/>
  <c r="X266" i="16"/>
  <c r="X265" i="16"/>
  <c r="X264" i="16"/>
  <c r="X263" i="16"/>
  <c r="X262" i="16"/>
  <c r="X261" i="16"/>
  <c r="X260" i="16"/>
  <c r="X259" i="16"/>
  <c r="X258" i="16"/>
  <c r="X257" i="16"/>
  <c r="X256" i="16"/>
  <c r="X255" i="16"/>
  <c r="X254" i="16"/>
  <c r="X253" i="16"/>
  <c r="X252" i="16"/>
  <c r="X251" i="16"/>
  <c r="X250" i="16"/>
  <c r="X249" i="16"/>
  <c r="X248" i="16"/>
  <c r="X247" i="16"/>
  <c r="X246" i="16"/>
  <c r="X245" i="16"/>
  <c r="X244" i="16"/>
  <c r="X243" i="16"/>
  <c r="X242" i="16"/>
  <c r="X241" i="16"/>
  <c r="X240" i="16"/>
  <c r="X239" i="16"/>
  <c r="X238" i="16"/>
  <c r="X237" i="16"/>
  <c r="X236" i="16"/>
  <c r="X235" i="16"/>
  <c r="X234" i="16"/>
  <c r="X233" i="16"/>
  <c r="X232" i="16"/>
  <c r="X231" i="16"/>
  <c r="X230" i="16"/>
  <c r="X229" i="16"/>
  <c r="X228" i="16"/>
  <c r="X227" i="16"/>
  <c r="X226" i="16"/>
  <c r="X225" i="16"/>
  <c r="X224" i="16"/>
  <c r="X223" i="16"/>
  <c r="X222" i="16"/>
  <c r="X221" i="16"/>
  <c r="X220" i="16"/>
  <c r="X219" i="16"/>
  <c r="X218" i="16"/>
  <c r="X217" i="16"/>
  <c r="X216" i="16"/>
  <c r="X215" i="16"/>
  <c r="X214" i="16"/>
  <c r="X213" i="16"/>
  <c r="X212" i="16"/>
  <c r="X211" i="16"/>
  <c r="X210" i="16"/>
  <c r="X209" i="16"/>
  <c r="X208" i="16"/>
  <c r="X207" i="16"/>
  <c r="X206" i="16"/>
  <c r="X205" i="16"/>
  <c r="X204" i="16"/>
  <c r="X203" i="16"/>
  <c r="X202" i="16"/>
  <c r="X201" i="16"/>
  <c r="X200" i="16"/>
  <c r="X199" i="16"/>
  <c r="X198" i="16"/>
  <c r="X197" i="16"/>
  <c r="X196" i="16"/>
  <c r="X195" i="16"/>
  <c r="X194" i="16"/>
  <c r="X193" i="16"/>
  <c r="X192" i="16"/>
  <c r="X191" i="16"/>
  <c r="X190" i="16"/>
  <c r="X189" i="16"/>
  <c r="X188" i="16"/>
  <c r="X187" i="16"/>
  <c r="X186" i="16"/>
  <c r="X185" i="16"/>
  <c r="X184" i="16"/>
  <c r="X183" i="16"/>
  <c r="X182" i="16"/>
  <c r="X181" i="16"/>
  <c r="X180" i="16"/>
  <c r="X179" i="16"/>
  <c r="X178" i="16"/>
  <c r="X177" i="16"/>
  <c r="X176" i="16"/>
  <c r="X175" i="16"/>
  <c r="X174" i="16"/>
  <c r="X173" i="16"/>
  <c r="X172" i="16"/>
  <c r="X171" i="16"/>
  <c r="X170" i="16"/>
  <c r="X169" i="16"/>
  <c r="X168" i="16"/>
  <c r="X167" i="16"/>
  <c r="X166" i="16"/>
  <c r="X165" i="16"/>
  <c r="X164" i="16"/>
  <c r="X163" i="16"/>
  <c r="X162" i="16"/>
  <c r="X161" i="16"/>
  <c r="X160" i="16"/>
  <c r="X159" i="16"/>
  <c r="X158" i="16"/>
  <c r="X157" i="16"/>
  <c r="X156" i="16"/>
  <c r="X155" i="16"/>
  <c r="X154" i="16"/>
  <c r="X153" i="16"/>
  <c r="X152" i="16"/>
  <c r="X151" i="16"/>
  <c r="X150" i="16"/>
  <c r="X149" i="16"/>
  <c r="X148" i="16"/>
  <c r="X147" i="16"/>
  <c r="X146" i="16"/>
  <c r="X145" i="16"/>
  <c r="X14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8" i="16"/>
  <c r="X57" i="16"/>
  <c r="X56" i="16"/>
  <c r="X55" i="16"/>
  <c r="X54" i="16"/>
  <c r="X53"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X3" i="16"/>
  <c r="X2"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X517" i="16"/>
  <c r="X518" i="16"/>
  <c r="X519" i="16"/>
  <c r="X520" i="16"/>
  <c r="X521" i="16"/>
  <c r="X522" i="16"/>
  <c r="X523" i="16"/>
  <c r="X524" i="16"/>
  <c r="X525" i="16"/>
  <c r="X526" i="16"/>
  <c r="X527" i="16"/>
  <c r="X528" i="16"/>
  <c r="X529" i="16"/>
  <c r="X530" i="16"/>
  <c r="X531" i="16"/>
  <c r="X532" i="16"/>
  <c r="X533" i="16"/>
  <c r="X534" i="16"/>
  <c r="X535" i="16"/>
  <c r="X536" i="16"/>
  <c r="X537" i="16"/>
  <c r="X538" i="16"/>
  <c r="X539" i="16"/>
  <c r="X540" i="16"/>
  <c r="X541" i="16"/>
  <c r="X542" i="16"/>
  <c r="X543" i="16"/>
  <c r="X544" i="16"/>
  <c r="X545" i="16"/>
  <c r="X546" i="16"/>
  <c r="X547" i="16"/>
  <c r="X548" i="16"/>
  <c r="X549" i="16"/>
  <c r="X550" i="16"/>
  <c r="X551" i="16"/>
  <c r="X552" i="16"/>
  <c r="X553" i="16"/>
  <c r="X554" i="16"/>
  <c r="X555" i="16"/>
  <c r="X556" i="16"/>
  <c r="X557" i="16"/>
  <c r="X558" i="16"/>
  <c r="X559" i="16"/>
  <c r="X560" i="16"/>
  <c r="X561" i="16"/>
  <c r="X562" i="16"/>
  <c r="X563" i="16"/>
  <c r="X564" i="16"/>
  <c r="X565" i="16"/>
  <c r="X566" i="16"/>
  <c r="X567" i="16"/>
  <c r="X568" i="16"/>
  <c r="X569" i="16"/>
  <c r="X570" i="16"/>
  <c r="X571" i="16"/>
  <c r="X572" i="16"/>
  <c r="X573" i="16"/>
  <c r="X574" i="16"/>
  <c r="X575" i="16"/>
  <c r="X576" i="16"/>
  <c r="X577" i="16"/>
  <c r="X578" i="16"/>
  <c r="X579" i="16"/>
  <c r="X580" i="16"/>
  <c r="X581" i="16"/>
  <c r="X582" i="16"/>
  <c r="X583" i="16"/>
  <c r="X584" i="16"/>
  <c r="X585" i="16"/>
  <c r="X586" i="16"/>
  <c r="X587" i="16"/>
  <c r="X588" i="16"/>
  <c r="X589" i="16"/>
  <c r="X590" i="16"/>
  <c r="X591" i="16"/>
  <c r="X592" i="16"/>
  <c r="X593" i="16"/>
  <c r="X594" i="16"/>
  <c r="X595" i="16"/>
  <c r="X596" i="16"/>
  <c r="X597" i="16"/>
  <c r="X598" i="16"/>
  <c r="X599" i="16"/>
  <c r="X600" i="16"/>
  <c r="X601" i="16"/>
  <c r="X602" i="16"/>
  <c r="X603" i="16"/>
  <c r="X604" i="16"/>
  <c r="X605" i="16"/>
  <c r="X606" i="16"/>
  <c r="X607" i="16"/>
  <c r="X608" i="16"/>
  <c r="X609" i="16"/>
  <c r="X610" i="16"/>
  <c r="X611" i="16"/>
  <c r="X612" i="16"/>
  <c r="X613" i="16"/>
  <c r="X614" i="16"/>
  <c r="X615" i="16"/>
  <c r="X616" i="16"/>
  <c r="X617" i="16"/>
  <c r="X618" i="16"/>
  <c r="X619" i="16"/>
  <c r="X620" i="16"/>
  <c r="X621" i="16"/>
  <c r="X622" i="16"/>
  <c r="X623" i="16"/>
  <c r="X624" i="16"/>
  <c r="X625" i="16"/>
  <c r="X626" i="16"/>
  <c r="X627" i="16"/>
  <c r="X628" i="16"/>
  <c r="X629" i="16"/>
  <c r="X630" i="16"/>
  <c r="X631" i="16"/>
  <c r="X632" i="16"/>
  <c r="X633" i="16"/>
  <c r="X634" i="16"/>
  <c r="X635" i="16"/>
  <c r="X636" i="16"/>
  <c r="X637" i="16"/>
  <c r="X638" i="16"/>
  <c r="X639" i="16"/>
  <c r="X640" i="16"/>
  <c r="X641" i="16"/>
  <c r="X642" i="16"/>
  <c r="X643" i="16"/>
  <c r="X644" i="16"/>
  <c r="X645" i="16"/>
  <c r="X646" i="16"/>
  <c r="X647" i="16"/>
  <c r="X648" i="16"/>
  <c r="X649" i="16"/>
  <c r="X650" i="16"/>
  <c r="X651" i="16"/>
  <c r="X652" i="16"/>
  <c r="X653" i="16"/>
  <c r="X654" i="16"/>
  <c r="X655" i="16"/>
  <c r="X656" i="16"/>
  <c r="X657" i="16"/>
  <c r="X658" i="16"/>
  <c r="X659" i="16"/>
  <c r="X660" i="16"/>
  <c r="X661" i="16"/>
  <c r="X662" i="16"/>
  <c r="X663" i="16"/>
  <c r="X664" i="16"/>
  <c r="X665" i="16"/>
  <c r="X666" i="16"/>
  <c r="X667" i="16"/>
  <c r="X668" i="16"/>
  <c r="X669" i="16"/>
  <c r="X670" i="16"/>
  <c r="X671" i="16"/>
  <c r="X672" i="16"/>
  <c r="X673" i="16"/>
  <c r="X674" i="16"/>
  <c r="X675" i="16"/>
  <c r="X676" i="16"/>
  <c r="X677" i="16"/>
  <c r="X678" i="16"/>
  <c r="X679" i="16"/>
  <c r="X680" i="16"/>
  <c r="X681" i="16"/>
  <c r="X682" i="16"/>
  <c r="X683" i="16"/>
  <c r="X684" i="16"/>
  <c r="X685" i="16"/>
  <c r="X686" i="16"/>
  <c r="X687" i="16"/>
  <c r="X688" i="16"/>
  <c r="X689" i="16"/>
  <c r="X690" i="16"/>
  <c r="X691" i="16"/>
  <c r="X692" i="16"/>
  <c r="X693" i="16"/>
  <c r="X694" i="16"/>
  <c r="X695" i="16"/>
  <c r="X696" i="16"/>
  <c r="X697" i="16"/>
  <c r="X698" i="16"/>
  <c r="X699" i="16"/>
  <c r="X700" i="16"/>
  <c r="X701" i="16"/>
  <c r="X702" i="16"/>
  <c r="X703" i="16"/>
  <c r="X704" i="16"/>
  <c r="X705" i="16"/>
  <c r="X706" i="16"/>
  <c r="X707" i="16"/>
  <c r="X708" i="16"/>
  <c r="X709" i="16"/>
  <c r="X710" i="16"/>
  <c r="X711" i="16"/>
  <c r="X712" i="16"/>
  <c r="X713" i="16"/>
  <c r="X714" i="16"/>
  <c r="X715" i="16"/>
  <c r="X716" i="16"/>
  <c r="X717" i="16"/>
  <c r="X718" i="16"/>
  <c r="X719" i="16"/>
  <c r="X720" i="16"/>
  <c r="X721" i="16"/>
  <c r="X722" i="16"/>
  <c r="X723" i="16"/>
  <c r="X724" i="16"/>
  <c r="X725" i="16"/>
  <c r="X726" i="16"/>
  <c r="X727" i="16"/>
  <c r="X728" i="16"/>
  <c r="X729" i="16"/>
  <c r="X730" i="16"/>
  <c r="X731" i="16"/>
  <c r="X732" i="16"/>
  <c r="X733" i="16"/>
  <c r="X734" i="16"/>
  <c r="X735" i="16"/>
  <c r="X736" i="16"/>
  <c r="X737" i="16"/>
  <c r="X738" i="16"/>
  <c r="X739" i="16"/>
  <c r="X740" i="16"/>
  <c r="X741" i="16"/>
  <c r="X742" i="16"/>
  <c r="X743" i="16"/>
  <c r="X744" i="16"/>
  <c r="X745" i="16"/>
  <c r="X746" i="16"/>
  <c r="X747" i="16"/>
  <c r="X748" i="16"/>
  <c r="X749" i="16"/>
  <c r="X750" i="16"/>
  <c r="X751" i="16"/>
  <c r="X752" i="16"/>
  <c r="X753" i="16"/>
  <c r="X754" i="16"/>
  <c r="X755" i="16"/>
  <c r="X756" i="16"/>
  <c r="X757" i="16"/>
  <c r="X758" i="16"/>
  <c r="X759" i="16"/>
  <c r="X760" i="16"/>
  <c r="X761" i="16"/>
  <c r="X762" i="16"/>
  <c r="X763" i="16"/>
  <c r="X764" i="16"/>
  <c r="X765" i="16"/>
  <c r="X766" i="16"/>
  <c r="X767" i="16"/>
  <c r="X768" i="16"/>
  <c r="X769" i="16"/>
  <c r="X770" i="16"/>
  <c r="X771" i="16"/>
  <c r="X772" i="16"/>
  <c r="X773" i="16"/>
  <c r="X774" i="16"/>
  <c r="X775" i="16"/>
  <c r="X776" i="16"/>
  <c r="X777" i="16"/>
  <c r="X778" i="16"/>
  <c r="X779" i="16"/>
  <c r="X780" i="16"/>
  <c r="X781" i="16"/>
  <c r="X782" i="16"/>
  <c r="X783" i="16"/>
  <c r="X784" i="16"/>
  <c r="X785" i="16"/>
  <c r="X786" i="16"/>
  <c r="X787" i="16"/>
  <c r="X788" i="16"/>
  <c r="X789" i="16"/>
  <c r="X790" i="16"/>
  <c r="X791" i="16"/>
  <c r="X792" i="16"/>
  <c r="X793" i="16"/>
  <c r="X794" i="16"/>
  <c r="X795" i="16"/>
  <c r="X796" i="16"/>
  <c r="X797" i="16"/>
  <c r="X798" i="16"/>
  <c r="X799" i="16"/>
  <c r="X800" i="16"/>
  <c r="X801" i="16"/>
  <c r="X802" i="16"/>
  <c r="X803" i="16"/>
  <c r="X804" i="16"/>
  <c r="X805" i="16"/>
  <c r="X806" i="16"/>
  <c r="X807" i="16"/>
  <c r="X808" i="16"/>
  <c r="X809" i="16"/>
  <c r="X810" i="16"/>
  <c r="X811" i="16"/>
  <c r="X812" i="16"/>
  <c r="X813" i="16"/>
  <c r="X814" i="16"/>
  <c r="X815" i="16"/>
  <c r="X816" i="16"/>
  <c r="X817" i="16"/>
  <c r="X818" i="16"/>
  <c r="X819" i="16"/>
  <c r="X820" i="16"/>
  <c r="X821" i="16"/>
  <c r="X822" i="16"/>
  <c r="X823" i="16"/>
  <c r="X824" i="16"/>
  <c r="X825" i="16"/>
  <c r="X826" i="16"/>
  <c r="X827" i="16"/>
  <c r="X828" i="16"/>
  <c r="X829" i="16"/>
  <c r="X830" i="16"/>
  <c r="X831" i="16"/>
  <c r="X832" i="16"/>
  <c r="X833" i="16"/>
  <c r="X834" i="16"/>
  <c r="X835" i="16"/>
  <c r="X836" i="16"/>
  <c r="X837" i="16"/>
  <c r="X838" i="16"/>
  <c r="X839" i="16"/>
  <c r="X840" i="16"/>
  <c r="X841" i="16"/>
  <c r="X842" i="16"/>
  <c r="X843" i="16"/>
  <c r="X844" i="16"/>
  <c r="X845" i="16"/>
  <c r="X846" i="16"/>
  <c r="X847" i="16"/>
  <c r="X848" i="16"/>
  <c r="X849" i="16"/>
  <c r="X850" i="16"/>
  <c r="X851" i="16"/>
  <c r="X852" i="16"/>
  <c r="X853" i="16"/>
  <c r="X854" i="16"/>
  <c r="X855" i="16"/>
  <c r="X856" i="16"/>
  <c r="X857" i="16"/>
  <c r="X858" i="16"/>
  <c r="X859" i="16"/>
  <c r="X860" i="16"/>
  <c r="X861" i="16"/>
  <c r="X862" i="16"/>
  <c r="X863" i="16"/>
  <c r="X864" i="16"/>
  <c r="X865" i="16"/>
  <c r="X866" i="16"/>
  <c r="X867" i="16"/>
  <c r="X868" i="16"/>
  <c r="X869" i="16"/>
  <c r="X870" i="16"/>
  <c r="X871" i="16"/>
  <c r="X872" i="16"/>
  <c r="X873" i="16"/>
  <c r="X874" i="16"/>
  <c r="X875" i="16"/>
  <c r="X876" i="16"/>
  <c r="X877" i="16"/>
  <c r="X878" i="16"/>
  <c r="X879" i="16"/>
  <c r="X880" i="16"/>
  <c r="X881" i="16"/>
  <c r="X882" i="16"/>
  <c r="X883" i="16"/>
  <c r="X884" i="16"/>
  <c r="X885" i="16"/>
  <c r="X886" i="16"/>
  <c r="X887" i="16"/>
  <c r="X888" i="16"/>
  <c r="X889" i="16"/>
  <c r="X890" i="16"/>
  <c r="X891" i="16"/>
  <c r="X892" i="16"/>
  <c r="X893" i="16"/>
  <c r="X894" i="16"/>
  <c r="X895" i="16"/>
  <c r="X896" i="16"/>
  <c r="X897" i="16"/>
  <c r="X898" i="16"/>
  <c r="X899" i="16"/>
  <c r="X900" i="16"/>
  <c r="X901" i="16"/>
  <c r="X902" i="16"/>
  <c r="X903" i="16"/>
  <c r="X904" i="16"/>
  <c r="X905" i="16"/>
  <c r="X906" i="16"/>
  <c r="X907" i="16"/>
  <c r="X908" i="16"/>
  <c r="X909" i="16"/>
  <c r="X910" i="16"/>
  <c r="X911" i="16"/>
  <c r="X912" i="16"/>
  <c r="X913" i="16"/>
  <c r="X914" i="16"/>
  <c r="X915" i="16"/>
  <c r="X916" i="16"/>
  <c r="X917" i="16"/>
  <c r="X918" i="16"/>
  <c r="X919" i="16"/>
  <c r="X920" i="16"/>
  <c r="X921" i="16"/>
  <c r="X922" i="16"/>
  <c r="X923" i="16"/>
  <c r="X924" i="16"/>
  <c r="X925" i="16"/>
  <c r="X926" i="16"/>
  <c r="X927" i="16"/>
  <c r="X928" i="16"/>
  <c r="X929" i="16"/>
  <c r="X930" i="16"/>
  <c r="X931" i="16"/>
  <c r="X932" i="16"/>
  <c r="X933" i="16"/>
  <c r="X934" i="16"/>
  <c r="X935" i="16"/>
  <c r="X936" i="16"/>
  <c r="X937" i="16"/>
  <c r="X938" i="16"/>
  <c r="X939" i="16"/>
  <c r="X940" i="16"/>
  <c r="X941" i="16"/>
  <c r="X942" i="16"/>
  <c r="X943" i="16"/>
  <c r="X944" i="16"/>
  <c r="X945" i="16"/>
  <c r="X946" i="16"/>
  <c r="X947" i="16"/>
  <c r="X948" i="16"/>
  <c r="X949" i="16"/>
  <c r="X950" i="16"/>
  <c r="X951" i="16"/>
  <c r="X952" i="16"/>
  <c r="X953" i="16"/>
  <c r="X954" i="16"/>
  <c r="X955" i="16"/>
  <c r="X956" i="16"/>
  <c r="X957" i="16"/>
  <c r="X958" i="16"/>
  <c r="X959" i="16"/>
  <c r="X960" i="16"/>
  <c r="X961" i="16"/>
  <c r="X962" i="16"/>
  <c r="X963" i="16"/>
  <c r="X964" i="16"/>
  <c r="X965" i="16"/>
  <c r="X966" i="16"/>
  <c r="X967" i="16"/>
  <c r="X968" i="16"/>
  <c r="X969" i="16"/>
  <c r="X970" i="16"/>
  <c r="X971" i="16"/>
  <c r="X972" i="16"/>
  <c r="X973" i="16"/>
  <c r="X974" i="16"/>
  <c r="X975" i="16"/>
  <c r="X976" i="16"/>
  <c r="X977" i="16"/>
  <c r="X978" i="16"/>
  <c r="X979" i="16"/>
  <c r="X980" i="16"/>
  <c r="X981" i="16"/>
  <c r="X982" i="16"/>
  <c r="X983" i="16"/>
  <c r="X984" i="16"/>
  <c r="X985" i="16"/>
  <c r="X986" i="16"/>
  <c r="X987" i="16"/>
  <c r="X988" i="16"/>
  <c r="X989" i="16"/>
  <c r="X990" i="16"/>
  <c r="X991" i="16"/>
  <c r="X992" i="16"/>
  <c r="X993" i="16"/>
  <c r="X994" i="16"/>
  <c r="X995" i="16"/>
  <c r="X996" i="16"/>
  <c r="X997" i="16"/>
  <c r="X998" i="16"/>
  <c r="X999" i="16"/>
  <c r="X1000" i="16"/>
  <c r="X1001" i="16"/>
  <c r="X1002" i="16"/>
  <c r="X1003" i="16"/>
  <c r="X1004" i="16"/>
  <c r="X1005" i="16"/>
  <c r="X1006" i="16"/>
  <c r="X1007" i="16"/>
  <c r="X1008" i="16"/>
  <c r="X1009" i="16"/>
  <c r="X1010" i="16"/>
  <c r="X1011" i="16"/>
  <c r="X1012" i="16"/>
  <c r="X1013" i="16"/>
  <c r="X1014" i="16"/>
  <c r="X1015" i="16"/>
  <c r="X1016" i="16"/>
  <c r="X1017" i="16"/>
  <c r="X1018" i="16"/>
  <c r="X1019" i="16"/>
  <c r="X1020" i="16"/>
  <c r="X1021" i="16"/>
  <c r="X1022" i="16"/>
  <c r="X1023" i="16"/>
  <c r="X1024" i="16"/>
  <c r="X1025" i="16"/>
  <c r="X1026" i="16"/>
  <c r="X1027" i="16"/>
  <c r="X1028" i="16"/>
  <c r="X1029" i="16"/>
  <c r="X1030" i="16"/>
  <c r="X1031" i="16"/>
  <c r="X1032" i="16"/>
  <c r="X1033" i="16"/>
  <c r="X1034" i="16"/>
  <c r="X1035" i="16"/>
  <c r="X1036" i="16"/>
  <c r="X1037" i="16"/>
  <c r="X1038" i="16"/>
  <c r="X1039" i="16"/>
  <c r="X1040" i="16"/>
  <c r="X1041" i="16"/>
  <c r="X1042" i="16"/>
  <c r="X1043" i="16"/>
  <c r="X1044" i="16"/>
  <c r="X1045" i="16"/>
  <c r="X1046" i="16"/>
  <c r="X1047" i="16"/>
  <c r="X1048" i="16"/>
  <c r="X1049" i="16"/>
  <c r="X1050" i="16"/>
  <c r="X1051" i="16"/>
  <c r="X1052" i="16"/>
  <c r="X1053" i="16"/>
  <c r="X1054" i="16"/>
  <c r="X1055" i="16"/>
  <c r="X1056" i="16"/>
  <c r="X1057" i="16"/>
  <c r="X1058" i="16"/>
  <c r="X1059" i="16"/>
  <c r="X1060" i="16"/>
  <c r="X1061" i="16"/>
  <c r="X1062" i="16"/>
  <c r="X1063" i="16"/>
  <c r="X1064" i="16"/>
  <c r="X1065" i="16"/>
  <c r="X1066" i="16"/>
  <c r="X1067" i="16"/>
  <c r="X1068" i="16"/>
  <c r="X1069" i="16"/>
  <c r="X1070" i="16"/>
  <c r="X1071" i="16"/>
  <c r="X1072" i="16"/>
  <c r="X1073" i="16"/>
  <c r="X1074" i="16"/>
  <c r="X1075" i="16"/>
  <c r="X1076" i="16"/>
  <c r="X1077" i="16"/>
  <c r="X1078" i="16"/>
  <c r="X1079" i="16"/>
  <c r="X1080" i="16"/>
  <c r="X1081" i="16"/>
  <c r="X1082" i="16"/>
  <c r="X1083" i="16"/>
  <c r="X1084" i="16"/>
  <c r="X1085" i="16"/>
  <c r="X1086" i="16"/>
  <c r="X1087" i="16"/>
  <c r="X1088" i="16"/>
  <c r="X1089" i="16"/>
  <c r="X1090" i="16"/>
  <c r="X1091" i="16"/>
  <c r="X1092" i="16"/>
  <c r="X1093" i="16"/>
  <c r="X1094" i="16"/>
  <c r="X1095" i="16"/>
  <c r="X1096" i="16"/>
  <c r="X1097" i="16"/>
  <c r="X1098" i="16"/>
  <c r="X1099" i="16"/>
  <c r="X1100" i="16"/>
  <c r="X1101" i="16"/>
  <c r="X1102" i="16"/>
  <c r="X1103" i="16"/>
  <c r="X1104" i="16"/>
  <c r="X1105" i="16"/>
  <c r="X1106" i="16"/>
  <c r="X1107" i="16"/>
  <c r="X1108" i="16"/>
  <c r="X1109" i="16"/>
  <c r="X1110" i="16"/>
  <c r="X1111" i="16"/>
  <c r="X1112" i="16"/>
  <c r="X1113" i="16"/>
  <c r="X1114" i="16"/>
  <c r="X1115" i="16"/>
  <c r="X1116" i="16"/>
  <c r="X1117" i="16"/>
  <c r="X1118" i="16"/>
  <c r="X1119" i="16"/>
  <c r="X1120" i="16"/>
  <c r="X1121" i="16"/>
  <c r="X1122" i="16"/>
  <c r="X1123" i="16"/>
  <c r="X1124" i="16"/>
  <c r="X1125" i="16"/>
  <c r="X1126" i="16"/>
  <c r="X1127" i="16"/>
  <c r="X1128" i="16"/>
  <c r="X1129" i="16"/>
  <c r="X1130" i="16"/>
  <c r="X1131" i="16"/>
  <c r="X1132" i="16"/>
  <c r="X1133" i="16"/>
  <c r="X1134" i="16"/>
  <c r="X1135" i="16"/>
  <c r="X1136" i="16"/>
  <c r="X1137" i="16"/>
  <c r="X1138" i="16"/>
  <c r="X1139" i="16"/>
  <c r="X1140" i="16"/>
  <c r="X1141" i="16"/>
  <c r="X1142" i="16"/>
  <c r="X1143" i="16"/>
  <c r="X1144" i="16"/>
  <c r="X1145" i="16"/>
  <c r="X1146" i="16"/>
  <c r="X1147" i="16"/>
  <c r="X1148" i="16"/>
  <c r="X1149" i="16"/>
  <c r="X1150" i="16"/>
  <c r="X1151" i="16"/>
  <c r="X1152" i="16"/>
  <c r="X1153" i="16"/>
  <c r="X1154" i="16"/>
  <c r="X1155" i="16"/>
  <c r="X1156" i="16"/>
  <c r="X1157" i="16"/>
  <c r="X1158" i="16"/>
  <c r="X1159" i="16"/>
  <c r="X1160" i="16"/>
  <c r="X1161" i="16"/>
  <c r="X1162" i="16"/>
  <c r="X1163" i="16"/>
  <c r="X1164" i="16"/>
  <c r="X1165" i="16"/>
  <c r="X1166" i="16"/>
  <c r="X1167" i="16"/>
  <c r="X1168" i="16"/>
  <c r="X1169" i="16"/>
  <c r="X1170" i="16"/>
  <c r="X1171" i="16"/>
  <c r="X1172" i="16"/>
  <c r="X1173" i="16"/>
  <c r="X1174" i="16"/>
  <c r="X1175" i="16"/>
  <c r="X1176" i="16"/>
  <c r="X1177" i="16"/>
  <c r="X1178" i="16"/>
  <c r="X1179" i="16"/>
  <c r="X1180" i="16"/>
  <c r="X1181" i="16"/>
  <c r="X1182" i="16"/>
  <c r="X1183" i="16"/>
  <c r="X1184" i="16"/>
  <c r="X1185" i="16"/>
  <c r="X1186" i="16"/>
  <c r="X1187" i="16"/>
  <c r="X1188" i="16"/>
  <c r="X1189" i="16"/>
  <c r="X1190" i="16"/>
  <c r="X1191" i="16"/>
  <c r="X1192" i="16"/>
  <c r="X1193" i="16"/>
  <c r="X1194" i="16"/>
  <c r="X1195" i="16"/>
  <c r="X1196" i="16"/>
  <c r="X1197" i="16"/>
  <c r="X1198" i="16"/>
  <c r="X1199" i="16"/>
  <c r="X1200" i="16"/>
  <c r="X1201" i="16"/>
  <c r="X1202" i="16"/>
  <c r="X1203" i="16"/>
  <c r="X1204" i="16"/>
  <c r="X1205" i="16"/>
  <c r="X1206" i="16"/>
  <c r="X1207" i="16"/>
  <c r="X1208" i="16"/>
  <c r="X1209" i="16"/>
  <c r="X1210" i="16"/>
  <c r="X1211" i="16"/>
  <c r="X1212" i="16"/>
  <c r="X1213" i="16"/>
  <c r="X1214" i="16"/>
  <c r="X1215" i="16"/>
  <c r="X1216" i="16"/>
  <c r="X1217" i="16"/>
  <c r="X1218" i="16"/>
  <c r="X1219" i="16"/>
  <c r="X1220" i="16"/>
  <c r="X1221" i="16"/>
  <c r="X1222" i="16"/>
  <c r="X1223" i="16"/>
  <c r="X1224" i="16"/>
  <c r="X1225" i="16"/>
  <c r="X1226" i="16"/>
  <c r="X1227" i="16"/>
  <c r="X1228" i="16"/>
  <c r="X1229" i="16"/>
  <c r="X1230" i="16"/>
  <c r="X1231" i="16"/>
  <c r="X1232" i="16"/>
  <c r="X1233" i="16"/>
  <c r="X1234" i="16"/>
  <c r="X1235" i="16"/>
  <c r="X1236" i="16"/>
  <c r="X1237" i="16"/>
  <c r="X1238" i="16"/>
  <c r="X1239" i="16"/>
  <c r="X1240" i="16"/>
  <c r="X1241" i="16"/>
  <c r="X1242" i="16"/>
  <c r="X1243" i="16"/>
  <c r="X1244" i="16"/>
  <c r="X1245" i="16"/>
  <c r="X1246" i="16"/>
  <c r="X1247" i="16"/>
  <c r="X1248" i="16"/>
  <c r="X1249" i="16"/>
  <c r="X1250" i="16"/>
  <c r="X1251" i="16"/>
  <c r="X1252" i="16"/>
  <c r="X1253" i="16"/>
  <c r="X1254" i="16"/>
  <c r="X1255" i="16"/>
  <c r="X1256" i="16"/>
  <c r="X1257" i="16"/>
  <c r="X1258" i="16"/>
  <c r="X1259" i="16"/>
  <c r="X1260" i="16"/>
  <c r="X1261" i="16"/>
  <c r="X1262" i="16"/>
  <c r="X1263" i="16"/>
  <c r="X1264" i="16"/>
  <c r="X1265" i="16"/>
  <c r="X1266" i="16"/>
  <c r="X1267" i="16"/>
  <c r="X1268" i="16"/>
  <c r="X1269" i="16"/>
  <c r="X1270" i="16"/>
  <c r="X1271" i="16"/>
  <c r="X1272" i="16"/>
  <c r="X1273" i="16"/>
  <c r="X1274" i="16"/>
  <c r="X1275" i="16"/>
  <c r="X1276" i="16"/>
  <c r="X1277" i="16"/>
  <c r="X1278" i="16"/>
  <c r="X1279" i="16"/>
  <c r="X1280" i="16"/>
  <c r="X1281" i="16"/>
  <c r="X1282" i="16"/>
  <c r="X1283" i="16"/>
  <c r="X1284" i="16"/>
  <c r="X1285" i="16"/>
  <c r="X1286" i="16"/>
  <c r="X1287" i="16"/>
  <c r="X1288" i="16"/>
  <c r="X1289" i="16"/>
  <c r="X1290" i="16"/>
  <c r="X1291" i="16"/>
  <c r="X1292" i="16"/>
  <c r="X1293" i="16"/>
  <c r="X1294" i="16"/>
  <c r="X1295" i="16"/>
  <c r="X1296" i="16"/>
  <c r="X1297" i="16"/>
  <c r="X1298" i="16"/>
  <c r="X1299" i="16"/>
  <c r="X1300" i="16"/>
  <c r="X1301" i="16"/>
  <c r="X1302" i="16"/>
  <c r="X1303" i="16"/>
  <c r="X1304" i="16"/>
  <c r="X1305" i="16"/>
  <c r="X1306" i="16"/>
  <c r="X1307" i="16"/>
  <c r="X1308" i="16"/>
  <c r="X1309" i="16"/>
  <c r="X1310" i="16"/>
  <c r="X1311" i="16"/>
  <c r="X1312" i="16"/>
  <c r="X1313" i="16"/>
  <c r="X1314" i="16"/>
  <c r="X1315" i="16"/>
  <c r="X1316" i="16"/>
  <c r="X1317" i="16"/>
  <c r="X1318" i="16"/>
  <c r="X1319" i="16"/>
  <c r="X1320" i="16"/>
  <c r="X1321" i="16"/>
  <c r="X1322" i="16"/>
  <c r="X1323" i="16"/>
  <c r="X1324" i="16"/>
  <c r="X1325" i="16"/>
  <c r="X1326" i="16"/>
  <c r="X1327" i="16"/>
  <c r="X1328" i="16"/>
  <c r="X1329" i="16"/>
  <c r="X1330" i="16"/>
  <c r="X1331" i="16"/>
  <c r="X1332" i="16"/>
  <c r="X1333" i="16"/>
  <c r="X1334" i="16"/>
  <c r="X1335" i="16"/>
  <c r="X1336" i="16"/>
  <c r="X1337" i="16"/>
  <c r="X1338" i="16"/>
  <c r="X1339" i="16"/>
  <c r="X1340" i="16"/>
  <c r="X1341" i="16"/>
  <c r="X1342" i="16"/>
  <c r="X1343" i="16"/>
  <c r="X1344" i="16"/>
  <c r="X1345" i="16"/>
  <c r="X1346" i="16"/>
  <c r="X1347" i="16"/>
  <c r="X1348" i="16"/>
  <c r="X1349" i="16"/>
  <c r="X1350" i="16"/>
  <c r="X1351" i="16"/>
  <c r="X1352" i="16"/>
  <c r="X1353" i="16"/>
  <c r="X1354" i="16"/>
  <c r="X1355" i="16"/>
  <c r="X1356" i="16"/>
  <c r="X1357" i="16"/>
  <c r="X1358" i="16"/>
  <c r="X1359" i="16"/>
  <c r="X1360" i="16"/>
  <c r="X1361" i="16"/>
  <c r="X1362" i="16"/>
  <c r="X1363" i="16"/>
  <c r="X1364" i="16"/>
  <c r="X1365" i="16"/>
  <c r="X1366" i="16"/>
  <c r="X1367" i="16"/>
  <c r="X1368" i="16"/>
  <c r="X1369" i="16"/>
  <c r="X1370" i="16"/>
  <c r="X1371" i="16"/>
  <c r="X1372" i="16"/>
  <c r="X1373" i="16"/>
  <c r="X1374" i="16"/>
  <c r="X1375" i="16"/>
  <c r="X1376" i="16"/>
  <c r="X1377" i="16"/>
  <c r="X1378" i="16"/>
  <c r="X1379" i="16"/>
  <c r="X1380" i="16"/>
  <c r="X1381" i="16"/>
  <c r="X1382" i="16"/>
  <c r="X1383" i="16"/>
  <c r="X1384" i="16"/>
  <c r="X1385" i="16"/>
  <c r="X1386" i="16"/>
  <c r="X1387" i="16"/>
  <c r="X1388" i="16"/>
  <c r="X1389" i="16"/>
  <c r="X1390" i="16"/>
  <c r="X1391" i="16"/>
  <c r="X1392" i="16"/>
  <c r="X1393" i="16"/>
  <c r="X1394" i="16"/>
  <c r="X1395" i="16"/>
  <c r="X1396" i="16"/>
  <c r="X1397" i="16"/>
  <c r="X1398" i="16"/>
  <c r="X1399" i="16"/>
  <c r="X1400" i="16"/>
  <c r="X1401" i="16"/>
  <c r="X1402" i="16"/>
  <c r="X1403" i="16"/>
  <c r="X1404" i="16"/>
  <c r="X1405" i="16"/>
  <c r="X1406" i="16"/>
  <c r="X1407" i="16"/>
  <c r="X1408" i="16"/>
  <c r="X1409" i="16"/>
  <c r="X1410" i="16"/>
  <c r="X1411" i="16"/>
  <c r="X1412" i="16"/>
  <c r="X1413" i="16"/>
  <c r="X1414" i="16"/>
  <c r="X1415" i="16"/>
  <c r="X1416" i="16"/>
  <c r="X1417" i="16"/>
  <c r="X1418" i="16"/>
  <c r="X1419" i="16"/>
  <c r="X1420" i="16"/>
  <c r="X1421" i="16"/>
  <c r="X1422" i="16"/>
  <c r="X1423" i="16"/>
  <c r="X1424" i="16"/>
  <c r="X1425" i="16"/>
  <c r="X1426" i="16"/>
  <c r="X1427" i="16"/>
  <c r="X1428" i="16"/>
  <c r="X1429" i="16"/>
  <c r="X1430" i="16"/>
  <c r="X1431" i="16"/>
  <c r="X1432" i="16"/>
  <c r="X1433" i="16"/>
  <c r="X1434" i="16"/>
  <c r="X1435" i="16"/>
  <c r="X1436" i="16"/>
  <c r="X1437" i="16"/>
  <c r="X1438" i="16"/>
  <c r="X1439" i="16"/>
  <c r="X1440" i="16"/>
  <c r="X1441" i="16"/>
  <c r="X1442" i="16"/>
  <c r="X1443" i="16"/>
  <c r="X1444" i="16"/>
  <c r="X1445" i="16"/>
  <c r="X1446" i="16"/>
  <c r="X1447" i="16"/>
  <c r="X1448" i="16"/>
  <c r="X1449" i="16"/>
  <c r="X1450" i="16"/>
  <c r="X1451" i="16"/>
  <c r="X1452" i="16"/>
  <c r="X1453" i="16"/>
  <c r="X1454" i="16"/>
  <c r="X1455" i="16"/>
  <c r="X1456" i="16"/>
  <c r="X1457" i="16"/>
  <c r="X1458" i="16"/>
  <c r="X1459" i="16"/>
  <c r="X1460" i="16"/>
  <c r="X1461" i="16"/>
  <c r="X1462" i="16"/>
  <c r="X1463" i="16"/>
  <c r="X1464" i="16"/>
  <c r="X1465" i="16"/>
  <c r="X1466" i="16"/>
  <c r="X1467" i="16"/>
  <c r="X1468" i="16"/>
  <c r="X1469" i="16"/>
  <c r="X1470" i="16"/>
  <c r="X1471" i="16"/>
  <c r="X1472" i="16"/>
  <c r="X1473" i="16"/>
  <c r="X1474" i="16"/>
  <c r="X1475" i="16"/>
  <c r="X1476" i="16"/>
  <c r="X1477" i="16"/>
  <c r="X1478" i="16"/>
  <c r="X1479" i="16"/>
  <c r="X1480" i="16"/>
  <c r="X1481" i="16"/>
  <c r="X1482" i="16"/>
  <c r="X1483" i="16"/>
  <c r="X1484" i="16"/>
  <c r="X1485" i="16"/>
  <c r="X1486" i="16"/>
  <c r="X1487" i="16"/>
  <c r="X1488" i="16"/>
  <c r="X1489" i="16"/>
  <c r="X1490" i="16"/>
  <c r="X1491" i="16"/>
  <c r="X1492" i="16"/>
  <c r="X1493" i="16"/>
  <c r="X1494" i="16"/>
  <c r="X1495" i="16"/>
  <c r="X1496" i="16"/>
  <c r="X1497" i="16"/>
  <c r="X1498" i="16"/>
  <c r="X1499" i="16"/>
  <c r="X1500" i="16"/>
  <c r="X1501" i="16"/>
  <c r="X1502" i="16"/>
  <c r="X1503" i="16"/>
  <c r="X1504" i="16"/>
  <c r="X1505" i="16"/>
  <c r="X1506" i="16"/>
  <c r="X1507" i="16"/>
  <c r="X1508" i="16"/>
  <c r="X1509" i="16"/>
  <c r="X1510" i="16"/>
  <c r="X1511" i="16"/>
  <c r="X1512" i="16"/>
  <c r="X1513" i="16"/>
  <c r="X1514" i="16"/>
  <c r="X1515" i="16"/>
  <c r="X1516" i="16"/>
  <c r="X1517" i="16"/>
  <c r="X1518" i="16"/>
  <c r="X1519" i="16"/>
  <c r="X1520" i="16"/>
  <c r="X1521" i="16"/>
  <c r="X1522" i="16"/>
  <c r="X1523" i="16"/>
  <c r="X1524" i="16"/>
  <c r="X1525" i="16"/>
  <c r="X1526" i="16"/>
  <c r="X1527" i="16"/>
  <c r="X1528" i="16"/>
  <c r="X1529" i="16"/>
  <c r="X1530" i="16"/>
  <c r="X1531" i="16"/>
  <c r="X1532" i="16"/>
  <c r="X1533" i="16"/>
  <c r="X1534" i="16"/>
  <c r="X1535" i="16"/>
  <c r="X1536" i="16"/>
  <c r="X1537" i="16"/>
  <c r="X1538" i="16"/>
  <c r="X1539" i="16"/>
  <c r="X1540" i="16"/>
  <c r="X1541" i="16"/>
  <c r="X1542" i="16"/>
  <c r="X1543" i="16"/>
  <c r="X1544" i="16"/>
  <c r="X1545" i="16"/>
  <c r="X1546" i="16"/>
  <c r="X1547" i="16"/>
  <c r="X1548" i="16"/>
  <c r="X1549" i="16"/>
  <c r="X1550" i="16"/>
  <c r="X1551" i="16"/>
  <c r="X1552" i="16"/>
  <c r="X1553" i="16"/>
  <c r="X1554" i="16"/>
  <c r="X1555" i="16"/>
  <c r="X1556" i="16"/>
  <c r="X1557" i="16"/>
  <c r="X1558" i="16"/>
  <c r="X1559" i="16"/>
  <c r="X1560" i="16"/>
  <c r="X1561" i="16"/>
  <c r="X1562" i="16"/>
  <c r="X1563" i="16"/>
  <c r="X1564" i="16"/>
  <c r="X1565" i="16"/>
  <c r="X1566" i="16"/>
  <c r="X1567" i="16"/>
  <c r="X1568" i="16"/>
  <c r="X1569" i="16"/>
  <c r="X1570" i="16"/>
  <c r="X1571" i="16"/>
  <c r="X1572" i="16"/>
  <c r="X1573" i="16"/>
  <c r="X1574" i="16"/>
  <c r="X1575" i="16"/>
  <c r="X1576" i="16"/>
  <c r="X1577" i="16"/>
  <c r="X1578" i="16"/>
  <c r="X1579" i="16"/>
  <c r="X1580" i="16"/>
  <c r="X1581" i="16"/>
  <c r="X1582" i="16"/>
  <c r="X1583" i="16"/>
  <c r="X1584" i="16"/>
  <c r="X1585" i="16"/>
  <c r="X1586" i="16"/>
  <c r="X1587" i="16"/>
  <c r="X1588" i="16"/>
  <c r="X1589" i="16"/>
  <c r="X1590" i="16"/>
  <c r="X1591" i="16"/>
  <c r="X1592" i="16"/>
  <c r="X1593" i="16"/>
  <c r="X1594" i="16"/>
  <c r="X1595" i="16"/>
  <c r="X1596" i="16"/>
  <c r="X1597" i="16"/>
  <c r="X1598" i="16"/>
  <c r="X1599" i="16"/>
  <c r="X1600" i="16"/>
  <c r="X1601" i="16"/>
  <c r="X1602" i="16"/>
  <c r="X1603" i="16"/>
  <c r="X1604" i="16"/>
  <c r="X1605" i="16"/>
  <c r="X1606" i="16"/>
  <c r="X1607" i="16"/>
  <c r="X1608" i="16"/>
  <c r="X1609" i="16"/>
  <c r="X1610" i="16"/>
  <c r="X1611" i="16"/>
  <c r="X1612" i="16"/>
  <c r="X1613" i="16"/>
  <c r="X1614" i="16"/>
  <c r="X1615" i="16"/>
  <c r="X1616" i="16"/>
  <c r="X1617" i="16"/>
  <c r="X1618" i="16"/>
  <c r="X1619" i="16"/>
  <c r="X1620" i="16"/>
  <c r="X1621" i="16"/>
  <c r="X1622" i="16"/>
  <c r="X1623" i="16"/>
  <c r="X1624" i="16"/>
  <c r="X1625" i="16"/>
  <c r="X1626" i="16"/>
  <c r="X1627" i="16"/>
  <c r="X1628" i="16"/>
  <c r="X1629" i="16"/>
  <c r="X1630" i="16"/>
  <c r="X1631" i="16"/>
  <c r="X1632" i="16"/>
  <c r="X1633" i="16"/>
  <c r="X1634" i="16"/>
  <c r="X1635" i="16"/>
  <c r="X1636" i="16"/>
  <c r="X1637" i="16"/>
  <c r="X1638" i="16"/>
  <c r="X1639" i="16"/>
  <c r="X1640" i="16"/>
  <c r="X1641" i="16"/>
  <c r="X1642" i="16"/>
  <c r="X1643" i="16"/>
  <c r="X1644" i="16"/>
  <c r="X1645" i="16"/>
  <c r="X1646" i="16"/>
  <c r="X1647" i="16"/>
  <c r="X1648" i="16"/>
  <c r="X1649" i="16"/>
  <c r="X1650" i="16"/>
  <c r="X1651" i="16"/>
  <c r="X1652" i="16"/>
  <c r="X1653" i="16"/>
  <c r="X1654" i="16"/>
  <c r="X1655" i="16"/>
  <c r="X1656" i="16"/>
  <c r="X1657" i="16"/>
  <c r="X1658" i="16"/>
  <c r="X1659" i="16"/>
  <c r="X1660" i="16"/>
  <c r="X1661" i="16"/>
  <c r="X1662" i="16"/>
  <c r="X1663" i="16"/>
  <c r="X1664" i="16"/>
  <c r="X1665" i="16"/>
  <c r="X1666" i="16"/>
  <c r="X1667" i="16"/>
  <c r="X1668" i="16"/>
  <c r="X1669" i="16"/>
  <c r="X1670" i="16"/>
  <c r="X1671" i="16"/>
  <c r="X1672" i="16"/>
  <c r="X1673" i="16"/>
  <c r="X1674" i="16"/>
  <c r="X1675" i="16"/>
  <c r="X1676" i="16"/>
  <c r="X1677" i="16"/>
  <c r="X1678" i="16"/>
  <c r="X1679" i="16"/>
  <c r="X1680" i="16"/>
  <c r="X1681" i="16"/>
  <c r="X1682" i="16"/>
  <c r="X1683" i="16"/>
  <c r="X1684" i="16"/>
  <c r="X1685" i="16"/>
  <c r="X1686" i="16"/>
  <c r="X1687" i="16"/>
  <c r="X1688" i="16"/>
  <c r="X1689" i="16"/>
  <c r="X1690" i="16"/>
  <c r="X1691" i="16"/>
  <c r="X1692" i="16"/>
  <c r="X1693" i="16"/>
  <c r="X1694" i="16"/>
  <c r="X1695" i="16"/>
  <c r="X1696" i="16"/>
  <c r="X1697" i="16"/>
  <c r="X1698" i="16"/>
  <c r="X1699" i="16"/>
  <c r="X1700" i="16"/>
  <c r="X1701" i="16"/>
  <c r="X1702" i="16"/>
  <c r="X1703" i="16"/>
  <c r="X1704" i="16"/>
  <c r="X1705" i="16"/>
  <c r="X1706" i="16"/>
  <c r="X1707" i="16"/>
  <c r="X1708" i="16"/>
  <c r="X1709" i="16"/>
  <c r="X1710" i="16"/>
  <c r="X1711" i="16"/>
  <c r="X1712" i="16"/>
  <c r="X1713" i="16"/>
  <c r="X1714" i="16"/>
  <c r="X1715" i="16"/>
  <c r="X1716" i="16"/>
  <c r="X1717" i="16"/>
  <c r="X1718" i="16"/>
  <c r="X1719" i="16"/>
  <c r="X1720" i="16"/>
  <c r="X1721" i="16"/>
  <c r="X1722" i="16"/>
  <c r="X1723" i="16"/>
  <c r="X1724" i="16"/>
  <c r="X1725" i="16"/>
  <c r="X1726" i="16"/>
  <c r="X1727" i="16"/>
  <c r="X1728" i="16"/>
  <c r="X1729" i="16"/>
  <c r="X1730" i="16"/>
  <c r="X1731" i="16"/>
  <c r="X1732" i="16"/>
  <c r="X1733" i="16"/>
  <c r="X1734" i="16"/>
  <c r="X1735" i="16"/>
  <c r="X1736" i="16"/>
  <c r="X1737" i="16"/>
  <c r="X1738" i="16"/>
  <c r="X1739" i="16"/>
  <c r="X1740" i="16"/>
  <c r="X1741" i="16"/>
  <c r="X1742" i="16"/>
  <c r="X1743" i="16"/>
  <c r="X1744" i="16"/>
  <c r="X1745" i="16"/>
  <c r="X1746" i="16"/>
  <c r="X1747" i="16"/>
  <c r="X1748" i="16"/>
  <c r="X1749" i="16"/>
  <c r="X1750" i="16"/>
  <c r="X1751" i="16"/>
  <c r="X1752" i="16"/>
  <c r="X1753" i="16"/>
  <c r="X1754" i="16"/>
  <c r="X1755" i="16"/>
  <c r="X1756" i="16"/>
  <c r="X1757" i="16"/>
  <c r="X1758" i="16"/>
  <c r="X1759" i="16"/>
  <c r="X1760" i="16"/>
  <c r="X1761" i="16"/>
  <c r="X1762" i="16"/>
  <c r="X1763" i="16"/>
  <c r="X1764" i="16"/>
  <c r="X1765" i="16"/>
  <c r="X1766" i="16"/>
  <c r="X1767" i="16"/>
  <c r="X1768" i="16"/>
  <c r="X1769" i="16"/>
  <c r="X1770" i="16"/>
  <c r="X1771" i="16"/>
  <c r="X1772" i="16"/>
  <c r="X1773" i="16"/>
  <c r="X1774" i="16"/>
  <c r="X1775" i="16"/>
  <c r="X1776" i="16"/>
  <c r="X1777" i="16"/>
  <c r="X1778" i="16"/>
  <c r="X1779" i="16"/>
  <c r="X1780" i="16"/>
  <c r="X1781" i="16"/>
  <c r="X1782" i="16"/>
  <c r="X1783" i="16"/>
  <c r="X1784" i="16"/>
  <c r="X1785" i="16"/>
  <c r="X1786" i="16"/>
  <c r="X1787" i="16"/>
  <c r="X1788" i="16"/>
  <c r="X1789" i="16"/>
  <c r="X1790" i="16"/>
  <c r="X1791" i="16"/>
  <c r="X1792" i="16"/>
  <c r="X1793" i="16"/>
  <c r="X1794" i="16"/>
  <c r="X1795" i="16"/>
  <c r="X1796" i="16"/>
  <c r="X1797" i="16"/>
  <c r="X1798" i="16"/>
  <c r="X1799" i="16"/>
  <c r="X1800" i="16"/>
  <c r="X1801" i="16"/>
  <c r="X1802" i="16"/>
  <c r="X1803" i="16"/>
  <c r="X1804" i="16"/>
  <c r="X1805" i="16"/>
  <c r="X1806" i="16"/>
  <c r="X1807" i="16"/>
  <c r="X1808" i="16"/>
  <c r="X1809" i="16"/>
  <c r="X1810" i="16"/>
  <c r="X1811" i="16"/>
  <c r="X1812" i="16"/>
  <c r="X1813" i="16"/>
  <c r="X1814" i="16"/>
  <c r="X1815" i="16"/>
  <c r="X1816" i="16"/>
  <c r="X1817" i="16"/>
  <c r="X1818" i="16"/>
  <c r="X1819" i="16"/>
  <c r="X1820" i="16"/>
  <c r="X1821" i="16"/>
  <c r="X1822" i="16"/>
  <c r="X1823" i="16"/>
  <c r="X1824" i="16"/>
  <c r="X1825" i="16"/>
  <c r="X1826" i="16"/>
  <c r="X1827" i="16"/>
  <c r="X1828" i="16"/>
  <c r="X1829" i="16"/>
  <c r="X1830" i="16"/>
  <c r="X1831" i="16"/>
  <c r="X1832" i="16"/>
  <c r="X1833" i="16"/>
  <c r="X1834" i="16"/>
  <c r="X1835" i="16"/>
  <c r="X1836" i="16"/>
  <c r="X1837" i="16"/>
  <c r="X1838" i="16"/>
  <c r="X1839" i="16"/>
  <c r="X1840" i="16"/>
  <c r="X1841" i="16"/>
  <c r="X1842" i="16"/>
  <c r="X1843" i="16"/>
  <c r="X1844" i="16"/>
  <c r="X1845" i="16"/>
  <c r="X1846" i="16"/>
  <c r="X1847" i="16"/>
  <c r="X1848" i="16"/>
  <c r="X1849" i="16"/>
  <c r="X1850" i="16"/>
  <c r="X1851" i="16"/>
  <c r="X1852" i="16"/>
  <c r="X1853" i="16"/>
  <c r="X1854" i="16"/>
  <c r="X1855" i="16"/>
  <c r="X1856" i="16"/>
  <c r="X1857" i="16"/>
  <c r="X1858" i="16"/>
  <c r="X1859" i="16"/>
  <c r="X1860" i="16"/>
  <c r="X1861" i="16"/>
  <c r="X1862" i="16"/>
  <c r="X1863" i="16"/>
  <c r="X1864" i="16"/>
  <c r="X1865" i="16"/>
  <c r="X1866" i="16"/>
  <c r="X1867" i="16"/>
  <c r="X1868" i="16"/>
  <c r="X1869" i="16"/>
  <c r="X1870" i="16"/>
  <c r="X1871" i="16"/>
  <c r="X1872" i="16"/>
  <c r="X1873" i="16"/>
  <c r="X1874" i="16"/>
  <c r="X1875" i="16"/>
  <c r="X1876" i="16"/>
  <c r="X1877" i="16"/>
  <c r="X1878" i="16"/>
  <c r="X1879" i="16"/>
  <c r="X1880" i="16"/>
  <c r="X1881" i="16"/>
  <c r="X1882" i="16"/>
  <c r="X1883" i="16"/>
  <c r="X1884" i="16"/>
  <c r="X1885" i="16"/>
  <c r="X1886" i="16"/>
  <c r="X1887" i="16"/>
  <c r="X1888" i="16"/>
  <c r="X1889" i="16"/>
  <c r="X1890" i="16"/>
  <c r="X1891" i="16"/>
  <c r="X1892" i="16"/>
  <c r="X1893" i="16"/>
  <c r="X1894" i="16"/>
  <c r="X1895" i="16"/>
  <c r="X1896" i="16"/>
  <c r="X1897" i="16"/>
  <c r="X1898" i="16"/>
  <c r="X1899" i="16"/>
  <c r="X1900" i="16"/>
  <c r="X1901" i="16"/>
  <c r="X1902" i="16"/>
  <c r="X1903" i="16"/>
  <c r="X1904" i="16"/>
  <c r="X1905" i="16"/>
  <c r="X1906" i="16"/>
  <c r="X1907" i="16"/>
  <c r="X1908" i="16"/>
  <c r="X1909" i="16"/>
  <c r="X1910" i="16"/>
  <c r="X1911" i="16"/>
  <c r="X1912" i="16"/>
  <c r="X1913" i="16"/>
  <c r="X1914" i="16"/>
  <c r="X1915" i="16"/>
  <c r="X1916" i="16"/>
  <c r="X1917" i="16"/>
  <c r="X1918" i="16"/>
  <c r="X1919" i="16"/>
  <c r="X1920" i="16"/>
  <c r="X1921" i="16"/>
  <c r="X1922" i="16"/>
  <c r="X1923" i="16"/>
  <c r="X1924" i="16"/>
  <c r="X1925" i="16"/>
  <c r="X1926" i="16"/>
  <c r="X1927" i="16"/>
  <c r="X1928" i="16"/>
  <c r="X1929" i="16"/>
  <c r="X1930" i="16"/>
  <c r="X1931" i="16"/>
  <c r="X1932" i="16"/>
  <c r="X1933" i="16"/>
  <c r="X1934" i="16"/>
  <c r="X1935" i="16"/>
  <c r="X1936" i="16"/>
  <c r="X1937" i="16"/>
  <c r="X1938" i="16"/>
  <c r="X1939" i="16"/>
  <c r="X1940" i="16"/>
  <c r="X1941" i="16"/>
  <c r="X1942" i="16"/>
  <c r="X1943" i="16"/>
  <c r="X1944" i="16"/>
  <c r="X1945" i="16"/>
  <c r="X1946" i="16"/>
  <c r="X1947" i="16"/>
  <c r="X1948" i="16"/>
  <c r="X1949" i="16"/>
  <c r="X1950" i="16"/>
  <c r="X1951" i="16"/>
  <c r="X1952" i="16"/>
  <c r="X1953" i="16"/>
  <c r="X1954" i="16"/>
  <c r="X1955" i="16"/>
  <c r="X1956" i="16"/>
  <c r="X1957" i="16"/>
  <c r="X1958" i="16"/>
  <c r="X1959" i="16"/>
  <c r="X1960" i="16"/>
  <c r="X1961" i="16"/>
  <c r="X1962" i="16"/>
  <c r="X1963" i="16"/>
  <c r="X1964" i="16"/>
  <c r="X1965" i="16"/>
  <c r="X1966" i="16"/>
  <c r="X1967" i="16"/>
  <c r="X1968" i="16"/>
  <c r="X1969" i="16"/>
  <c r="X1970" i="16"/>
  <c r="X1971" i="16"/>
  <c r="X1972" i="16"/>
  <c r="X1973" i="16"/>
  <c r="X1974" i="16"/>
  <c r="X1975" i="16"/>
  <c r="X1976" i="16"/>
  <c r="X1977" i="16"/>
  <c r="X1978" i="16"/>
  <c r="X1979" i="16"/>
  <c r="X1980" i="16"/>
  <c r="X1981" i="16"/>
  <c r="X1982" i="16"/>
  <c r="X1983" i="16"/>
  <c r="X1984" i="16"/>
  <c r="X1985" i="16"/>
  <c r="X1986" i="16"/>
  <c r="X1987" i="16"/>
  <c r="X1988" i="16"/>
  <c r="X1989" i="16"/>
  <c r="X1990" i="16"/>
  <c r="X1991" i="16"/>
  <c r="X1992" i="16"/>
  <c r="X1993" i="16"/>
  <c r="X1994" i="16"/>
  <c r="X1995" i="16"/>
  <c r="X1996" i="16"/>
  <c r="X1997" i="16"/>
  <c r="X1998" i="16"/>
  <c r="X1999" i="16"/>
  <c r="X2000" i="16"/>
  <c r="X2001" i="16"/>
  <c r="X2002" i="16"/>
  <c r="X2003" i="16"/>
  <c r="X2004" i="16"/>
  <c r="X2005" i="16"/>
  <c r="X2006" i="16"/>
  <c r="X2007" i="16"/>
  <c r="X2008" i="16"/>
  <c r="X2009" i="16"/>
  <c r="X2010" i="16"/>
  <c r="X2011" i="16"/>
  <c r="X2012" i="16"/>
  <c r="X2013" i="16"/>
  <c r="X2014" i="16"/>
  <c r="X2015" i="16"/>
  <c r="X2016" i="16"/>
  <c r="X2017" i="16"/>
  <c r="X2018" i="16"/>
  <c r="X2019" i="16"/>
  <c r="X2020" i="16"/>
  <c r="X2021" i="16"/>
  <c r="X2022" i="16"/>
  <c r="X2023" i="16"/>
  <c r="X2024" i="16"/>
  <c r="X2025" i="16"/>
  <c r="X2026" i="16"/>
  <c r="X2027" i="16"/>
  <c r="X2028" i="16"/>
  <c r="X2029" i="16"/>
  <c r="X2030" i="16"/>
  <c r="X2031" i="16"/>
  <c r="X2032" i="16"/>
  <c r="X2033" i="16"/>
  <c r="X2034" i="16"/>
  <c r="X2035" i="16"/>
  <c r="X2036" i="16"/>
  <c r="X2037" i="16"/>
  <c r="X2038" i="16"/>
  <c r="X2039" i="16"/>
  <c r="X2040" i="16"/>
  <c r="X2041" i="16"/>
  <c r="X2042" i="16"/>
  <c r="X2043" i="16"/>
  <c r="X2044" i="16"/>
  <c r="X2045" i="16"/>
  <c r="X2046" i="16"/>
  <c r="X2047" i="16"/>
  <c r="X2048" i="16"/>
  <c r="X2049" i="16"/>
  <c r="X2050" i="16"/>
  <c r="X2051" i="16"/>
  <c r="X2052" i="16"/>
  <c r="X2053" i="16"/>
  <c r="X2054" i="16"/>
  <c r="X2055" i="16"/>
  <c r="X2056" i="16"/>
  <c r="X2057" i="16"/>
  <c r="X2058" i="16"/>
  <c r="X2059" i="16"/>
  <c r="X2060" i="16"/>
  <c r="X2061" i="16"/>
  <c r="X2062" i="16"/>
  <c r="X2063" i="16"/>
  <c r="X2064" i="16"/>
  <c r="X2065" i="16"/>
  <c r="X2066" i="16"/>
  <c r="X2067" i="16"/>
  <c r="X2068" i="16"/>
  <c r="X2069" i="16"/>
  <c r="X2070" i="16"/>
  <c r="X2071" i="16"/>
  <c r="X2072" i="16"/>
  <c r="X2073" i="16"/>
  <c r="X2074" i="16"/>
  <c r="X2075" i="16"/>
  <c r="X2076" i="16"/>
  <c r="X2077" i="16"/>
  <c r="X2078" i="16"/>
  <c r="X2079" i="16"/>
  <c r="X2080" i="16"/>
  <c r="X2081" i="16"/>
  <c r="X2082" i="16"/>
  <c r="X2083" i="16"/>
  <c r="X2084" i="16"/>
  <c r="X2085" i="16"/>
  <c r="X2086" i="16"/>
  <c r="X2087" i="16"/>
  <c r="X2088" i="16"/>
  <c r="X2089" i="16"/>
  <c r="X2090" i="16"/>
  <c r="X2091" i="16"/>
  <c r="X2092" i="16"/>
  <c r="X2093" i="16"/>
  <c r="X2094" i="16"/>
  <c r="X2095" i="16"/>
  <c r="X2096" i="16"/>
  <c r="X2097" i="16"/>
  <c r="X2098" i="16"/>
  <c r="X2099" i="16"/>
  <c r="X2100" i="16"/>
  <c r="X2101" i="16"/>
  <c r="X2102" i="16"/>
  <c r="X2103" i="16"/>
  <c r="X2104" i="16"/>
  <c r="X2105" i="16"/>
  <c r="X2106" i="16"/>
  <c r="X2107" i="16"/>
  <c r="X2108" i="16"/>
  <c r="X2109" i="16"/>
  <c r="X2110" i="16"/>
  <c r="X2111" i="16"/>
  <c r="X2112" i="16"/>
  <c r="X2113" i="16"/>
  <c r="X2114" i="16"/>
  <c r="X2115" i="16"/>
  <c r="X2116" i="16"/>
  <c r="X2117" i="16"/>
  <c r="X2118" i="16"/>
  <c r="X2119" i="16"/>
  <c r="X2120" i="16"/>
  <c r="X2121" i="16"/>
  <c r="X2122" i="16"/>
  <c r="X2123" i="16"/>
  <c r="X2124" i="16"/>
  <c r="X2125" i="16"/>
  <c r="X2126" i="16"/>
  <c r="X2127" i="16"/>
  <c r="X2128" i="16"/>
  <c r="X2129" i="16"/>
  <c r="X2130" i="16"/>
  <c r="X2131" i="16"/>
  <c r="X2132" i="16"/>
  <c r="X2133" i="16"/>
  <c r="X2134" i="16"/>
  <c r="X2135" i="16"/>
  <c r="X2136" i="16"/>
  <c r="X2137" i="16"/>
  <c r="X2138" i="16"/>
  <c r="X2139" i="16"/>
  <c r="X2140" i="16"/>
  <c r="X2141" i="16"/>
  <c r="X2142" i="16"/>
  <c r="X2143" i="16"/>
  <c r="X2144" i="16"/>
  <c r="X2145" i="16"/>
  <c r="X2146" i="16"/>
  <c r="X2147" i="16"/>
  <c r="X2148" i="16"/>
  <c r="X2149" i="16"/>
  <c r="X2150" i="16"/>
  <c r="X2151" i="16"/>
  <c r="X2152" i="16"/>
  <c r="X2153" i="16"/>
  <c r="X2154" i="16"/>
  <c r="X2155" i="16"/>
  <c r="X2156" i="16"/>
  <c r="X2157" i="16"/>
  <c r="X2158" i="16"/>
  <c r="X2159" i="16"/>
  <c r="X2160" i="16"/>
  <c r="X2161" i="16"/>
  <c r="X2162" i="16"/>
  <c r="X2163" i="16"/>
  <c r="X2164" i="16"/>
  <c r="X2165" i="16"/>
  <c r="X2166" i="16"/>
  <c r="X2167" i="16"/>
  <c r="X2168" i="16"/>
  <c r="X2169" i="16"/>
  <c r="X2170" i="16"/>
  <c r="X2171" i="16"/>
  <c r="X2172" i="16"/>
  <c r="X2173" i="16"/>
  <c r="X2174" i="16"/>
  <c r="X2175" i="16"/>
  <c r="X2176" i="16"/>
  <c r="X2177" i="16"/>
  <c r="X2178" i="16"/>
  <c r="X2179" i="16"/>
  <c r="X2180" i="16"/>
  <c r="X2181" i="16"/>
  <c r="X2182" i="16"/>
  <c r="X2183" i="16"/>
  <c r="X2184" i="16"/>
  <c r="X2185" i="16"/>
  <c r="X2186" i="16"/>
  <c r="X2187" i="16"/>
  <c r="X2188" i="16"/>
  <c r="X2189" i="16"/>
  <c r="X2190" i="16"/>
  <c r="X2191" i="16"/>
  <c r="X2192" i="16"/>
  <c r="X2193" i="16"/>
  <c r="X2194" i="16"/>
  <c r="X2195" i="16"/>
  <c r="X2196" i="16"/>
  <c r="X2197" i="16"/>
  <c r="X2198" i="16"/>
  <c r="X2199" i="16"/>
  <c r="X2200" i="16"/>
  <c r="X2201" i="16"/>
  <c r="X2202" i="16"/>
  <c r="X2203" i="16"/>
  <c r="X2204" i="16"/>
  <c r="X2205" i="16"/>
  <c r="X2206" i="16"/>
  <c r="X2207" i="16"/>
  <c r="X2208" i="16"/>
  <c r="X2209" i="16"/>
  <c r="X2210" i="16"/>
  <c r="X2211" i="16"/>
  <c r="X2212" i="16"/>
  <c r="X2213" i="16"/>
  <c r="X2214" i="16"/>
  <c r="X2215" i="16"/>
  <c r="X2216" i="16"/>
  <c r="X2217" i="16"/>
  <c r="X2218" i="16"/>
  <c r="X2219" i="16"/>
  <c r="X2220" i="16"/>
  <c r="X2221" i="16"/>
  <c r="X2222" i="16"/>
  <c r="X2223" i="16"/>
  <c r="X2224" i="16"/>
  <c r="X2225" i="16"/>
  <c r="X2226" i="16"/>
  <c r="X2227" i="16"/>
  <c r="X2228" i="16"/>
  <c r="X2229" i="16"/>
  <c r="X2230" i="16"/>
  <c r="X2231" i="16"/>
  <c r="X2232" i="16"/>
  <c r="X2233" i="16"/>
  <c r="X2234" i="16"/>
  <c r="X2235" i="16"/>
  <c r="X2236" i="16"/>
  <c r="X2237" i="16"/>
  <c r="X2238" i="16"/>
  <c r="X2239" i="16"/>
  <c r="X2240" i="16"/>
  <c r="X2241" i="16"/>
  <c r="X2242" i="16"/>
  <c r="X2243" i="16"/>
  <c r="X2244" i="16"/>
  <c r="X2245" i="16"/>
  <c r="X2246" i="16"/>
  <c r="X2247" i="16"/>
  <c r="X2248" i="16"/>
  <c r="X2249" i="16"/>
  <c r="X2250" i="16"/>
  <c r="X2251" i="16"/>
  <c r="X2252" i="16"/>
  <c r="X2253" i="16"/>
  <c r="X2254" i="16"/>
  <c r="X2255" i="16"/>
  <c r="X2256" i="16"/>
  <c r="X2257" i="16"/>
  <c r="X2258" i="16"/>
  <c r="X2259" i="16"/>
  <c r="X2260" i="16"/>
  <c r="X2261" i="16"/>
  <c r="X2262" i="16"/>
  <c r="X2263" i="16"/>
  <c r="X2264" i="16"/>
  <c r="X2265" i="16"/>
  <c r="X2266" i="16"/>
  <c r="X2267" i="16"/>
  <c r="X2268" i="16"/>
  <c r="X2269" i="16"/>
  <c r="X2270" i="16"/>
  <c r="X2271" i="16"/>
  <c r="X2272" i="16"/>
  <c r="X2273" i="16"/>
  <c r="X2274" i="16"/>
  <c r="X2275" i="16"/>
  <c r="X2276" i="16"/>
  <c r="X2277" i="16"/>
  <c r="X2278" i="16"/>
  <c r="X2279" i="16"/>
  <c r="X2280" i="16"/>
  <c r="X2281" i="16"/>
  <c r="X2282" i="16"/>
  <c r="X2283" i="16"/>
  <c r="X2284" i="16"/>
  <c r="X2285" i="16"/>
  <c r="X2286" i="16"/>
  <c r="X2287" i="16"/>
  <c r="X2288" i="16"/>
  <c r="X2289" i="16"/>
  <c r="X2290" i="16"/>
  <c r="X2291" i="16"/>
  <c r="X2292" i="16"/>
  <c r="X2293" i="16"/>
  <c r="X2294" i="16"/>
  <c r="X2295" i="16"/>
  <c r="X2296" i="16"/>
  <c r="X2297" i="16"/>
  <c r="X2298" i="16"/>
  <c r="X2299" i="16"/>
  <c r="X2300" i="16"/>
  <c r="X2301" i="16"/>
  <c r="X2302" i="16"/>
  <c r="X2303" i="16"/>
  <c r="X2304" i="16"/>
  <c r="X2305" i="16"/>
  <c r="X2306" i="16"/>
  <c r="X2307" i="16"/>
  <c r="X2308" i="16"/>
  <c r="X2309" i="16"/>
  <c r="X2310" i="16"/>
  <c r="X2311" i="16"/>
  <c r="X2312" i="16"/>
  <c r="X2313" i="16"/>
  <c r="X2314" i="16"/>
  <c r="X2315" i="16"/>
  <c r="X2316" i="16"/>
  <c r="X2317" i="16"/>
  <c r="X2318" i="16"/>
  <c r="X2319" i="16"/>
  <c r="X2320" i="16"/>
  <c r="X2321" i="16"/>
  <c r="X2322" i="16"/>
  <c r="X2323" i="16"/>
  <c r="X2324" i="16"/>
  <c r="X2325" i="16"/>
  <c r="X2326" i="16"/>
  <c r="X2327" i="16"/>
  <c r="X2328" i="16"/>
  <c r="X2329" i="16"/>
  <c r="X2330" i="16"/>
  <c r="X2331" i="16"/>
  <c r="X2332" i="16"/>
  <c r="X2333" i="16"/>
  <c r="X2334" i="16"/>
  <c r="X2335" i="16"/>
  <c r="X2336" i="16"/>
  <c r="X2337" i="16"/>
  <c r="X2338" i="16"/>
  <c r="X2339" i="16"/>
  <c r="X2340" i="16"/>
  <c r="X2341" i="16"/>
  <c r="X2342" i="16"/>
  <c r="X2343" i="16"/>
  <c r="X2344" i="16"/>
  <c r="X2345" i="16"/>
  <c r="X2346" i="16"/>
  <c r="X2347" i="16"/>
  <c r="X2348" i="16"/>
  <c r="X2349" i="16"/>
  <c r="X2350" i="16"/>
  <c r="X2351" i="16"/>
  <c r="X2352" i="16"/>
  <c r="X2353" i="16"/>
  <c r="X2354" i="16"/>
  <c r="X2355" i="16"/>
  <c r="X2356" i="16"/>
  <c r="X2357" i="16"/>
  <c r="X2358" i="16"/>
  <c r="X2359" i="16"/>
  <c r="X2360" i="16"/>
  <c r="X2361" i="16"/>
  <c r="X2362" i="16"/>
  <c r="X2363" i="16"/>
  <c r="X2364" i="16"/>
  <c r="X2365" i="16"/>
  <c r="X2366" i="16"/>
  <c r="X2367" i="16"/>
  <c r="X2368" i="16"/>
  <c r="X2369" i="16"/>
  <c r="X2370" i="16"/>
  <c r="X2371" i="16"/>
  <c r="X2372" i="16"/>
  <c r="X2373" i="16"/>
  <c r="X2374" i="16"/>
  <c r="X2375" i="16"/>
  <c r="X2376" i="16"/>
  <c r="X2377" i="16"/>
  <c r="X2378" i="16"/>
  <c r="X2379" i="16"/>
  <c r="X2380" i="16"/>
  <c r="X2381" i="16"/>
  <c r="X2382" i="16"/>
  <c r="X2383" i="16"/>
  <c r="X2384" i="16"/>
  <c r="X2385" i="16"/>
  <c r="X2386" i="16"/>
  <c r="X2387" i="16"/>
  <c r="X2388" i="16"/>
  <c r="X2389" i="16"/>
  <c r="X2390" i="16"/>
  <c r="X2391" i="16"/>
  <c r="X2392" i="16"/>
  <c r="X2393" i="16"/>
  <c r="X2394" i="16"/>
  <c r="X2395" i="16"/>
  <c r="X2396" i="16"/>
  <c r="X2397" i="16"/>
  <c r="X2398" i="16"/>
  <c r="X2399" i="16"/>
  <c r="X2400" i="16"/>
  <c r="X2401" i="16"/>
  <c r="X2402" i="16"/>
  <c r="X2403" i="16"/>
  <c r="X2404" i="16"/>
  <c r="X2405" i="16"/>
  <c r="X2406" i="16"/>
  <c r="X2407" i="16"/>
  <c r="X2408" i="16"/>
  <c r="X2409" i="16"/>
  <c r="X2410" i="16"/>
  <c r="X2411" i="16"/>
  <c r="X2412" i="16"/>
  <c r="X2413" i="16"/>
  <c r="X2414" i="16"/>
  <c r="X2415" i="16"/>
  <c r="X2416" i="16"/>
  <c r="X2417" i="16"/>
  <c r="X2418" i="16"/>
  <c r="X2419" i="16"/>
  <c r="X2420" i="16"/>
  <c r="X2421" i="16"/>
  <c r="X2422" i="16"/>
  <c r="X2423" i="16"/>
  <c r="X2424" i="16"/>
  <c r="X2425" i="16"/>
  <c r="X2426" i="16"/>
  <c r="X2427" i="16"/>
  <c r="X2428" i="16"/>
  <c r="X2429" i="16"/>
  <c r="X2430" i="16"/>
  <c r="X2431" i="16"/>
  <c r="X2432" i="16"/>
  <c r="X2433" i="16"/>
  <c r="X2434" i="16"/>
  <c r="X2435" i="16"/>
  <c r="X2436" i="16"/>
  <c r="X2437" i="16"/>
  <c r="X2438" i="16"/>
  <c r="X2439" i="16"/>
  <c r="X2440" i="16"/>
  <c r="X2441" i="16"/>
  <c r="X2442" i="16"/>
  <c r="X2443" i="16"/>
  <c r="X2444" i="16"/>
  <c r="X2445" i="16"/>
  <c r="X2446" i="16"/>
  <c r="X2447" i="16"/>
  <c r="X2448" i="16"/>
  <c r="X2449" i="16"/>
  <c r="X2450" i="16"/>
  <c r="X2451" i="16"/>
  <c r="X2452" i="16"/>
  <c r="X2453" i="16"/>
  <c r="X2454" i="16"/>
  <c r="X2455" i="16"/>
  <c r="X2456" i="16"/>
  <c r="X2457" i="16"/>
  <c r="X2458" i="16"/>
  <c r="X2459" i="16"/>
  <c r="X2460" i="16"/>
  <c r="X2461" i="16"/>
  <c r="X2462" i="16"/>
  <c r="X2463" i="16"/>
  <c r="X2464" i="16"/>
  <c r="X2465" i="16"/>
  <c r="X2466" i="16"/>
  <c r="X2467" i="16"/>
  <c r="X2468" i="16"/>
  <c r="X2469" i="16"/>
  <c r="X2470" i="16"/>
  <c r="X2471" i="16"/>
  <c r="X2472" i="16"/>
  <c r="X2473" i="16"/>
  <c r="X2474" i="16"/>
  <c r="X2475" i="16"/>
  <c r="X2476" i="16"/>
  <c r="X2477" i="16"/>
  <c r="X2478" i="16"/>
  <c r="X2479" i="16"/>
  <c r="X2480" i="16"/>
  <c r="X2481" i="16"/>
  <c r="X2482" i="16"/>
  <c r="X2483" i="16"/>
  <c r="X2484" i="16"/>
  <c r="X2485" i="16"/>
  <c r="X2486" i="16"/>
  <c r="X2487" i="16"/>
  <c r="X2488" i="16"/>
  <c r="X2489" i="16"/>
  <c r="X2490" i="16"/>
  <c r="X2491" i="16"/>
  <c r="X2492" i="16"/>
  <c r="X2493" i="16"/>
  <c r="X2494" i="16"/>
  <c r="X2495" i="16"/>
  <c r="X2496" i="16"/>
  <c r="X2497" i="16"/>
  <c r="X2498" i="16"/>
  <c r="X2499" i="16"/>
  <c r="X2500" i="16"/>
  <c r="X2501" i="16"/>
  <c r="X2502" i="16"/>
  <c r="X2503" i="16"/>
  <c r="X2504" i="16"/>
  <c r="X2505" i="16"/>
  <c r="X2506" i="16"/>
  <c r="X2507" i="16"/>
  <c r="X2508" i="16"/>
  <c r="X2509" i="16"/>
  <c r="X2510" i="16"/>
  <c r="X2511" i="16"/>
  <c r="X2512" i="16"/>
  <c r="X2513" i="16"/>
  <c r="X2514" i="16"/>
  <c r="X2515" i="16"/>
  <c r="X2516" i="16"/>
  <c r="X2517" i="16"/>
  <c r="X2518" i="16"/>
  <c r="X2519" i="16"/>
  <c r="X2520" i="16"/>
  <c r="X2521" i="16"/>
  <c r="X2522" i="16"/>
  <c r="X2523" i="16"/>
  <c r="X2524" i="16"/>
  <c r="X2525" i="16"/>
  <c r="X2526" i="16"/>
  <c r="X2527" i="16"/>
  <c r="X2528" i="16"/>
  <c r="X2529" i="16"/>
  <c r="X2530" i="16"/>
  <c r="X2531" i="16"/>
  <c r="X2532" i="16"/>
  <c r="X2533" i="16"/>
  <c r="X2534" i="16"/>
  <c r="X2535" i="16"/>
  <c r="X2536" i="16"/>
  <c r="X2537" i="16"/>
  <c r="X2538" i="16"/>
  <c r="X2539" i="16"/>
  <c r="X2540" i="16"/>
  <c r="X2541" i="16"/>
  <c r="X2542" i="16"/>
  <c r="X2543" i="16"/>
  <c r="X2544" i="16"/>
  <c r="X2545" i="16"/>
  <c r="X2546" i="16"/>
  <c r="X2547" i="16"/>
  <c r="X2548" i="16"/>
  <c r="X2549" i="16"/>
  <c r="X2550" i="16"/>
  <c r="X2551" i="16"/>
  <c r="X2552" i="16"/>
  <c r="X2553" i="16"/>
  <c r="X2554" i="16"/>
  <c r="X2555" i="16"/>
  <c r="X2556" i="16"/>
  <c r="X2557" i="16"/>
  <c r="X2558" i="16"/>
  <c r="X2559" i="16"/>
  <c r="X2560" i="16"/>
  <c r="X2561" i="16"/>
  <c r="X2562" i="16"/>
  <c r="X2563" i="16"/>
  <c r="X2564" i="16"/>
  <c r="X2565" i="16"/>
  <c r="X2566" i="16"/>
  <c r="X2567" i="16"/>
  <c r="X2568" i="16"/>
  <c r="X2569" i="16"/>
  <c r="X2570" i="16"/>
  <c r="X2571" i="16"/>
  <c r="X2572" i="16"/>
  <c r="X2573" i="16"/>
  <c r="X2574" i="16"/>
  <c r="X2575" i="16"/>
  <c r="X2576" i="16"/>
  <c r="X2577" i="16"/>
  <c r="X2578" i="16"/>
  <c r="X2579" i="16"/>
  <c r="X2580" i="16"/>
  <c r="X2581" i="16"/>
  <c r="X2582" i="16"/>
  <c r="X2583" i="16"/>
  <c r="X2584" i="16"/>
  <c r="X2585" i="16"/>
  <c r="X2586" i="16"/>
  <c r="X2587" i="16"/>
  <c r="X2588" i="16"/>
  <c r="X2589" i="16"/>
  <c r="X2590" i="16"/>
  <c r="X2591" i="16"/>
  <c r="X2592" i="16"/>
  <c r="X2593" i="16"/>
  <c r="X2594" i="16"/>
  <c r="X2595" i="16"/>
  <c r="X2596" i="16"/>
  <c r="X2597" i="16"/>
  <c r="X2598" i="16"/>
  <c r="X2599" i="16"/>
  <c r="X2600" i="16"/>
  <c r="X2601" i="16"/>
  <c r="X2602" i="16"/>
  <c r="X2603" i="16"/>
  <c r="X2604" i="16"/>
  <c r="X2605" i="16"/>
  <c r="X2606" i="16"/>
  <c r="X2607" i="16"/>
  <c r="X2608" i="16"/>
  <c r="X2609" i="16"/>
  <c r="X2610" i="16"/>
  <c r="X2611" i="16"/>
  <c r="X2612" i="16"/>
  <c r="X2613" i="16"/>
  <c r="X2614" i="16"/>
  <c r="X2615" i="16"/>
  <c r="X2616" i="16"/>
  <c r="X2617" i="16"/>
  <c r="X2618" i="16"/>
  <c r="X2619" i="16"/>
  <c r="X2620" i="16"/>
  <c r="X2621" i="16"/>
  <c r="X2622" i="16"/>
  <c r="X2623" i="16"/>
  <c r="X2624" i="16"/>
  <c r="X2625" i="16"/>
  <c r="X2626" i="16"/>
  <c r="X2627" i="16"/>
  <c r="X2628" i="16"/>
  <c r="X2629" i="16"/>
  <c r="X2630" i="16"/>
  <c r="X2631" i="16"/>
  <c r="X2632" i="16"/>
  <c r="X2633" i="16"/>
  <c r="X2634" i="16"/>
  <c r="X2635" i="16"/>
  <c r="X2636" i="16"/>
  <c r="X2637" i="16"/>
  <c r="X2638" i="16"/>
  <c r="X2639" i="16"/>
  <c r="X2640" i="16"/>
  <c r="X2641" i="16"/>
  <c r="X2642" i="16"/>
  <c r="X2643" i="16"/>
  <c r="X2644" i="16"/>
  <c r="X2645" i="16"/>
  <c r="X2646" i="16"/>
  <c r="X2647" i="16"/>
  <c r="X2648" i="16"/>
  <c r="X2649" i="16"/>
  <c r="X2650" i="16"/>
  <c r="X2651" i="16"/>
  <c r="X2652" i="16"/>
  <c r="X2653" i="16"/>
  <c r="X2654" i="16"/>
  <c r="X2655" i="16"/>
  <c r="X2656" i="16"/>
  <c r="X2657" i="16"/>
  <c r="X2658" i="16"/>
  <c r="X2659" i="16"/>
  <c r="X2660" i="16"/>
  <c r="X2661" i="16"/>
  <c r="X2662" i="16"/>
  <c r="X2663" i="16"/>
  <c r="X2664" i="16"/>
  <c r="X2665" i="16"/>
  <c r="X2666" i="16"/>
  <c r="X2667" i="16"/>
  <c r="X2668" i="16"/>
  <c r="X2669" i="16"/>
  <c r="X2670" i="16"/>
  <c r="X2671" i="16"/>
  <c r="X2672" i="16"/>
  <c r="X2673" i="16"/>
  <c r="X2674" i="16"/>
  <c r="X2675" i="16"/>
  <c r="X2676" i="16"/>
  <c r="X2677" i="16"/>
  <c r="X2678" i="16"/>
  <c r="X2679" i="16"/>
  <c r="X2680" i="16"/>
  <c r="X2681" i="16"/>
  <c r="X2682" i="16"/>
  <c r="X2683" i="16"/>
  <c r="X2684" i="16"/>
  <c r="X2685" i="16"/>
  <c r="X2686" i="16"/>
  <c r="X2687" i="16"/>
  <c r="X2688" i="16"/>
  <c r="X2689" i="16"/>
  <c r="X2690" i="16"/>
  <c r="X2691" i="16"/>
  <c r="X2692" i="16"/>
  <c r="X2693" i="16"/>
  <c r="X2694" i="16"/>
  <c r="X2695" i="16"/>
  <c r="X2696" i="16"/>
  <c r="X2697" i="16"/>
  <c r="X2698" i="16"/>
  <c r="X2699" i="16"/>
  <c r="X2700" i="16"/>
  <c r="X2701" i="16"/>
  <c r="X2702" i="16"/>
  <c r="X2703" i="16"/>
  <c r="X2704" i="16"/>
  <c r="X2705" i="16"/>
  <c r="X2706" i="16"/>
  <c r="X2707" i="16"/>
  <c r="X2708" i="16"/>
  <c r="X2709" i="16"/>
  <c r="X2710" i="16"/>
  <c r="X2711" i="16"/>
  <c r="X2712" i="16"/>
  <c r="X2713" i="16"/>
  <c r="X2714" i="16"/>
  <c r="X2715" i="16"/>
  <c r="X2716" i="16"/>
  <c r="X2717" i="16"/>
  <c r="X2718" i="16"/>
  <c r="X2719" i="16"/>
  <c r="X2720" i="16"/>
  <c r="X2721" i="16"/>
  <c r="X2722" i="16"/>
  <c r="X2723" i="16"/>
  <c r="X2724" i="16"/>
  <c r="X2725" i="16"/>
  <c r="X2726" i="16"/>
  <c r="X2727" i="16"/>
  <c r="X2728" i="16"/>
  <c r="X2729" i="16"/>
  <c r="X2730" i="16"/>
  <c r="X2731" i="16"/>
  <c r="X2732" i="16"/>
  <c r="X2733" i="16"/>
  <c r="X2734" i="16"/>
  <c r="X2735" i="16"/>
  <c r="X2736" i="16"/>
  <c r="X2737" i="16"/>
  <c r="X2738" i="16"/>
  <c r="X2739" i="16"/>
  <c r="X2740" i="16"/>
  <c r="X2741" i="16"/>
  <c r="X2742" i="16"/>
  <c r="X2743" i="16"/>
  <c r="X2744" i="16"/>
  <c r="X2745" i="16"/>
  <c r="X2746" i="16"/>
  <c r="X2747" i="16"/>
  <c r="X2748" i="16"/>
  <c r="X2749" i="16"/>
  <c r="X2750" i="16"/>
  <c r="X2751" i="16"/>
  <c r="X2752" i="16"/>
  <c r="X2753" i="16"/>
  <c r="X2754" i="16"/>
  <c r="X2755" i="16"/>
  <c r="X2756" i="16"/>
  <c r="X2757" i="16"/>
  <c r="X2758" i="16"/>
  <c r="X2759" i="16"/>
  <c r="X2760" i="16"/>
  <c r="X2761" i="16"/>
  <c r="X2762" i="16"/>
  <c r="X2763" i="16"/>
  <c r="X2764" i="16"/>
  <c r="X2765" i="16"/>
  <c r="X2766" i="16"/>
  <c r="X2767" i="16"/>
  <c r="X2768" i="16"/>
  <c r="X2769" i="16"/>
  <c r="X2770" i="16"/>
  <c r="X2771" i="16"/>
  <c r="X2772" i="16"/>
  <c r="X2773" i="16"/>
  <c r="X2774" i="16"/>
  <c r="X2775" i="16"/>
  <c r="X2776" i="16"/>
  <c r="X2777" i="16"/>
  <c r="X2778" i="16"/>
  <c r="X2779" i="16"/>
  <c r="X2780" i="16"/>
  <c r="X2781" i="16"/>
  <c r="X2782" i="16"/>
  <c r="X2783" i="16"/>
  <c r="X2784" i="16"/>
  <c r="X2785" i="16"/>
  <c r="X2786" i="16"/>
  <c r="X2787" i="16"/>
  <c r="X2788" i="16"/>
  <c r="X2789" i="16"/>
  <c r="X2790" i="16"/>
  <c r="X2791" i="16"/>
  <c r="X2792" i="16"/>
  <c r="X2793" i="16"/>
  <c r="X2794" i="16"/>
  <c r="X2795" i="16"/>
  <c r="X2796" i="16"/>
  <c r="X2797" i="16"/>
  <c r="X2798" i="16"/>
  <c r="X2799" i="16"/>
  <c r="X2800" i="16"/>
  <c r="X2801" i="16"/>
  <c r="X2802" i="16"/>
  <c r="X2803" i="16"/>
  <c r="X2804" i="16"/>
  <c r="X2805" i="16"/>
  <c r="X2806" i="16"/>
  <c r="X2807" i="16"/>
  <c r="X2808" i="16"/>
  <c r="X2809" i="16"/>
  <c r="X2810" i="16"/>
  <c r="X2811" i="16"/>
  <c r="X2812" i="16"/>
  <c r="X2813" i="16"/>
  <c r="X2814" i="16"/>
  <c r="X2815" i="16"/>
  <c r="X2816" i="16"/>
  <c r="X2817" i="16"/>
  <c r="X2818" i="16"/>
  <c r="X2819" i="16"/>
  <c r="X2820" i="16"/>
  <c r="X2821" i="16"/>
  <c r="X2822" i="16"/>
  <c r="X2823" i="16"/>
  <c r="X2824" i="16"/>
  <c r="X2825" i="16"/>
  <c r="X2826" i="16"/>
  <c r="X2827" i="16"/>
  <c r="X2828" i="16"/>
  <c r="X2829" i="16"/>
  <c r="X2830" i="16"/>
  <c r="X2831" i="16"/>
  <c r="X2832" i="16"/>
  <c r="X2833" i="16"/>
  <c r="X2834" i="16"/>
  <c r="X2835" i="16"/>
  <c r="X2836" i="16"/>
  <c r="X2837" i="16"/>
  <c r="X2838" i="16"/>
  <c r="X2839" i="16"/>
  <c r="X2840" i="16"/>
  <c r="X2841" i="16"/>
  <c r="X2842" i="16"/>
  <c r="X2843" i="16"/>
  <c r="X2844" i="16"/>
  <c r="X2845" i="16"/>
  <c r="X2846" i="16"/>
  <c r="X2847" i="16"/>
  <c r="X2848" i="16"/>
  <c r="X2849" i="16"/>
  <c r="X2850" i="16"/>
  <c r="X2851" i="16"/>
  <c r="X2852" i="16"/>
  <c r="X2853" i="16"/>
  <c r="X2854" i="16"/>
  <c r="X2855" i="16"/>
  <c r="X2856" i="16"/>
  <c r="X2857" i="16"/>
  <c r="X2858" i="16"/>
  <c r="X2859" i="16"/>
  <c r="X2860" i="16"/>
  <c r="X2861" i="16"/>
  <c r="X2862" i="16"/>
  <c r="X2863" i="16"/>
  <c r="X2864" i="16"/>
  <c r="X2865" i="16"/>
  <c r="X2866" i="16"/>
  <c r="X2867" i="16"/>
  <c r="X2868" i="16"/>
  <c r="X2869" i="16"/>
  <c r="X2870" i="16"/>
  <c r="X2871" i="16"/>
  <c r="X2872" i="16"/>
  <c r="X2873" i="16"/>
  <c r="X2874" i="16"/>
  <c r="X2875" i="16"/>
  <c r="X2876" i="16"/>
  <c r="X2877" i="16"/>
  <c r="X2878" i="16"/>
  <c r="X2879" i="16"/>
  <c r="X2880" i="16"/>
  <c r="X2881" i="16"/>
  <c r="X2882" i="16"/>
  <c r="X2883" i="16"/>
  <c r="X2884" i="16"/>
  <c r="X2885" i="16"/>
  <c r="X2886" i="16"/>
  <c r="X2887" i="16"/>
  <c r="X2888" i="16"/>
  <c r="X2889" i="16"/>
  <c r="X2890" i="16"/>
  <c r="X2891" i="16"/>
  <c r="X2892" i="16"/>
  <c r="X2893" i="16"/>
  <c r="X2894" i="16"/>
  <c r="X2895" i="16"/>
  <c r="X2896" i="16"/>
  <c r="X2897" i="16"/>
  <c r="X2898" i="16"/>
  <c r="X2899" i="16"/>
  <c r="X2900" i="16"/>
  <c r="X2901" i="16"/>
  <c r="X2902" i="16"/>
  <c r="X2903" i="16"/>
  <c r="X2904" i="16"/>
  <c r="X2905" i="16"/>
  <c r="X2906" i="16"/>
  <c r="X2907" i="16"/>
  <c r="X2908" i="16"/>
  <c r="X2909" i="16"/>
  <c r="X2910" i="16"/>
  <c r="X2911" i="16"/>
  <c r="X2912" i="16"/>
  <c r="X2913" i="16"/>
  <c r="X2914" i="16"/>
  <c r="X2915" i="16"/>
  <c r="X2916" i="16"/>
  <c r="X2917" i="16"/>
  <c r="X2918" i="16"/>
  <c r="X2919" i="16"/>
  <c r="X2920" i="16"/>
  <c r="X2921" i="16"/>
  <c r="X2922" i="16"/>
  <c r="X2923" i="16"/>
  <c r="X2924" i="16"/>
  <c r="X2925" i="16"/>
  <c r="X2926" i="16"/>
  <c r="X2927" i="16"/>
  <c r="X2928" i="16"/>
  <c r="X2929" i="16"/>
  <c r="X2930" i="16"/>
  <c r="X2931" i="16"/>
  <c r="X2932" i="16"/>
  <c r="X2933" i="16"/>
  <c r="X2934" i="16"/>
  <c r="X2935" i="16"/>
  <c r="X2936" i="16"/>
  <c r="X2937" i="16"/>
  <c r="X2938" i="16"/>
  <c r="X2939" i="16"/>
  <c r="X2940" i="16"/>
  <c r="X2941" i="16"/>
  <c r="X2942" i="16"/>
  <c r="X2943" i="16"/>
  <c r="X2944" i="16"/>
  <c r="X2945" i="16"/>
  <c r="X2946" i="16"/>
  <c r="X2947" i="16"/>
  <c r="X2948" i="16"/>
  <c r="X2949" i="16"/>
  <c r="X2950" i="16"/>
  <c r="X2951" i="16"/>
  <c r="X2952" i="16"/>
  <c r="X2953" i="16"/>
  <c r="X2954" i="16"/>
  <c r="X2955" i="16"/>
  <c r="X2956" i="16"/>
  <c r="X2957" i="16"/>
  <c r="X2958" i="16"/>
  <c r="X2959" i="16"/>
  <c r="X2960" i="16"/>
  <c r="X2961" i="16"/>
  <c r="X2962" i="16"/>
  <c r="X2963" i="16"/>
  <c r="X2964" i="16"/>
  <c r="X2965" i="16"/>
  <c r="X2966" i="16"/>
  <c r="X2967" i="16"/>
  <c r="X2968" i="16"/>
  <c r="X2969" i="16"/>
  <c r="X2970" i="16"/>
  <c r="X2971" i="16"/>
  <c r="X2972" i="16"/>
  <c r="X2973" i="16"/>
  <c r="X2974" i="16"/>
  <c r="X2975" i="16"/>
  <c r="X2976" i="16"/>
  <c r="X2977" i="16"/>
  <c r="X2978" i="16"/>
  <c r="X2979" i="16"/>
  <c r="X2980" i="16"/>
  <c r="X2981" i="16"/>
  <c r="X2982" i="16"/>
  <c r="X2983" i="16"/>
  <c r="X2984" i="16"/>
  <c r="X2985" i="16"/>
  <c r="X2986" i="16"/>
  <c r="X2987" i="16"/>
  <c r="X2988" i="16"/>
  <c r="X2989" i="16"/>
  <c r="X2990" i="16"/>
  <c r="X2991" i="16"/>
  <c r="X2992" i="16"/>
  <c r="X2993" i="16"/>
  <c r="X2994" i="16"/>
  <c r="X2995" i="16"/>
  <c r="X2996" i="16"/>
  <c r="X2997" i="16"/>
  <c r="X2998" i="16"/>
  <c r="X2999" i="16"/>
  <c r="X3000" i="16"/>
  <c r="X3001" i="16"/>
  <c r="X3002" i="16"/>
  <c r="X3003" i="16"/>
  <c r="X3004" i="16"/>
  <c r="X3005" i="16"/>
  <c r="X3006" i="16"/>
  <c r="X3007" i="16"/>
  <c r="X3008" i="16"/>
  <c r="X3009" i="16"/>
  <c r="X3010" i="16"/>
  <c r="X3011" i="16"/>
  <c r="X3012" i="16"/>
  <c r="X3013" i="16"/>
  <c r="X3014" i="16"/>
  <c r="X3015" i="16"/>
  <c r="X3016" i="16"/>
  <c r="X3017" i="16"/>
  <c r="X3018" i="16"/>
  <c r="X3019" i="16"/>
  <c r="X3020" i="16"/>
  <c r="X3021" i="16"/>
  <c r="X3022" i="16"/>
  <c r="X3023" i="16"/>
  <c r="X3024" i="16"/>
  <c r="X3025" i="16"/>
  <c r="X3026" i="16"/>
  <c r="X3027" i="16"/>
  <c r="X3028" i="16"/>
  <c r="X3029" i="16"/>
  <c r="X3030" i="16"/>
  <c r="X3031" i="16"/>
  <c r="X3032" i="16"/>
  <c r="X3033" i="16"/>
  <c r="X3034" i="16"/>
  <c r="X3035" i="16"/>
  <c r="X3036" i="16"/>
  <c r="X3037" i="16"/>
  <c r="X3038" i="16"/>
  <c r="X3039" i="16"/>
  <c r="X3040" i="16"/>
  <c r="X3041" i="16"/>
  <c r="X3042" i="16"/>
  <c r="X3043" i="16"/>
  <c r="X3044" i="16"/>
  <c r="X3045" i="16"/>
  <c r="X3046" i="16"/>
  <c r="X3047" i="16"/>
  <c r="X3048" i="16"/>
  <c r="X3049" i="16"/>
  <c r="X3050" i="16"/>
  <c r="X3051" i="16"/>
  <c r="X3052" i="16"/>
  <c r="X3053" i="16"/>
  <c r="X3054" i="16"/>
  <c r="X3055" i="16"/>
  <c r="X3056" i="16"/>
  <c r="X3057" i="16"/>
  <c r="X3058" i="16"/>
  <c r="X3059" i="16"/>
  <c r="X3060" i="16"/>
  <c r="X3061" i="16"/>
  <c r="X3062" i="16"/>
  <c r="X3063" i="16"/>
  <c r="X3064" i="16"/>
  <c r="X3065" i="16"/>
  <c r="X3066" i="16"/>
  <c r="X3067" i="16"/>
  <c r="X3068" i="16"/>
  <c r="X3069" i="16"/>
  <c r="X3070" i="16"/>
  <c r="X3071" i="16"/>
  <c r="X3072" i="16"/>
  <c r="X3073" i="16"/>
  <c r="X3074" i="16"/>
  <c r="X3075" i="16"/>
  <c r="X3076" i="16"/>
  <c r="X3077" i="16"/>
  <c r="X3078" i="16"/>
  <c r="X3079" i="16"/>
  <c r="X3080" i="16"/>
  <c r="X3081" i="16"/>
  <c r="X3082" i="16"/>
  <c r="X3083" i="16"/>
  <c r="X3084" i="16"/>
  <c r="X3085" i="16"/>
  <c r="X3086" i="16"/>
  <c r="X3087" i="16"/>
  <c r="X3088" i="16"/>
  <c r="X3089" i="16"/>
  <c r="X3090" i="16"/>
  <c r="X3091" i="16"/>
  <c r="X3092" i="16"/>
  <c r="X3093" i="16"/>
  <c r="X3094" i="16"/>
  <c r="X3095" i="16"/>
  <c r="X3096" i="16"/>
  <c r="X3097" i="16"/>
  <c r="X3098" i="16"/>
  <c r="X3099" i="16"/>
  <c r="X3100" i="16"/>
  <c r="X3101" i="16"/>
  <c r="X3102" i="16"/>
  <c r="X3103" i="16"/>
  <c r="X3104" i="16"/>
  <c r="X3105" i="16"/>
  <c r="X3106" i="16"/>
  <c r="X3107" i="16"/>
  <c r="X3108" i="16"/>
  <c r="X3109" i="16"/>
  <c r="X3110" i="16"/>
  <c r="X3111" i="16"/>
  <c r="X3112" i="16"/>
  <c r="X3113" i="16"/>
  <c r="X3114" i="16"/>
  <c r="X3115" i="16"/>
  <c r="X3116" i="16"/>
  <c r="X3117" i="16"/>
  <c r="X3118" i="16"/>
  <c r="X3119" i="16"/>
  <c r="X3120" i="16"/>
  <c r="X3121" i="16"/>
  <c r="X3122" i="16"/>
  <c r="X3123" i="16"/>
  <c r="X3124" i="16"/>
  <c r="X3125" i="16"/>
  <c r="X3126" i="16"/>
  <c r="X3127" i="16"/>
  <c r="X3128" i="16"/>
  <c r="X3129" i="16"/>
  <c r="X3130" i="16"/>
  <c r="X3131" i="16"/>
  <c r="X3132" i="16"/>
  <c r="X3133" i="16"/>
  <c r="X3134" i="16"/>
  <c r="X3135" i="16"/>
  <c r="X3136" i="16"/>
  <c r="X3137" i="16"/>
  <c r="X3138" i="16"/>
  <c r="X3139" i="16"/>
  <c r="X3140" i="16"/>
  <c r="X3141" i="16"/>
  <c r="X3142" i="16"/>
  <c r="X3143" i="16"/>
  <c r="X3144" i="16"/>
  <c r="X3145" i="16"/>
  <c r="X3146" i="16"/>
  <c r="X3147" i="16"/>
  <c r="X3148" i="16"/>
  <c r="X3149" i="16"/>
  <c r="X3150" i="16"/>
  <c r="X3151" i="16"/>
  <c r="X3152" i="16"/>
  <c r="X3153" i="16"/>
  <c r="X3154" i="16"/>
  <c r="X3155" i="16"/>
  <c r="X3156" i="16"/>
  <c r="X3157" i="16"/>
  <c r="X3158" i="16"/>
  <c r="X3159" i="16"/>
  <c r="X3160" i="16"/>
  <c r="X3161" i="16"/>
  <c r="X3162" i="16"/>
  <c r="X3163" i="16"/>
  <c r="X3164" i="16"/>
  <c r="X3165" i="16"/>
  <c r="X3166" i="16"/>
  <c r="X3167" i="16"/>
  <c r="X3168" i="16"/>
  <c r="X3169" i="16"/>
  <c r="X3170" i="16"/>
  <c r="X3171" i="16"/>
  <c r="X3172" i="16"/>
  <c r="X3173" i="16"/>
  <c r="X3174" i="16"/>
  <c r="X3175" i="16"/>
  <c r="X3176" i="16"/>
  <c r="X3177" i="16"/>
  <c r="X3178" i="16"/>
  <c r="X3179" i="16"/>
  <c r="X3180" i="16"/>
  <c r="X3181" i="16"/>
  <c r="X3182" i="16"/>
  <c r="X3183" i="16"/>
  <c r="X3184" i="16"/>
  <c r="X3185" i="16"/>
  <c r="X3186" i="16"/>
  <c r="X3187" i="16"/>
  <c r="X3188" i="16"/>
  <c r="X3189" i="16"/>
  <c r="X3190" i="16"/>
  <c r="X3191" i="16"/>
  <c r="X3192" i="16"/>
  <c r="X3193" i="16"/>
  <c r="X3194" i="16"/>
  <c r="X3195" i="16"/>
  <c r="X3196" i="16"/>
  <c r="X3197" i="16"/>
  <c r="X3198" i="16"/>
  <c r="X3199" i="16"/>
  <c r="X3200" i="16"/>
  <c r="X3201" i="16"/>
  <c r="X3202" i="16"/>
  <c r="X3203" i="16"/>
  <c r="X3204" i="16"/>
  <c r="X3205" i="16"/>
  <c r="X3206" i="16"/>
  <c r="X3207" i="16"/>
  <c r="X3208" i="16"/>
  <c r="X3209" i="16"/>
  <c r="X3210" i="16"/>
  <c r="X3211" i="16"/>
  <c r="X3212" i="16"/>
  <c r="X3213" i="16"/>
  <c r="X3214" i="16"/>
  <c r="X3215" i="16"/>
  <c r="X3216" i="16"/>
  <c r="X3217" i="16"/>
  <c r="X3218" i="16"/>
  <c r="X3219" i="16"/>
  <c r="X3220" i="16"/>
  <c r="X3221" i="16"/>
  <c r="X3222" i="16"/>
  <c r="X3223" i="16"/>
  <c r="X3224" i="16"/>
  <c r="X3225" i="16"/>
  <c r="X3226" i="16"/>
  <c r="X3227" i="16"/>
  <c r="X3228" i="16"/>
  <c r="X3229" i="16"/>
  <c r="X3230" i="16"/>
  <c r="X3231" i="16"/>
  <c r="X3232" i="16"/>
  <c r="X3233" i="16"/>
  <c r="X3234" i="16"/>
  <c r="X3235" i="16"/>
  <c r="X3236" i="16"/>
  <c r="X3237" i="16"/>
  <c r="X3238" i="16"/>
  <c r="X3239" i="16"/>
  <c r="X3240" i="16"/>
  <c r="X3241" i="16"/>
  <c r="X3242" i="16"/>
  <c r="X3243" i="16"/>
  <c r="X3244" i="16"/>
  <c r="X3245" i="16"/>
  <c r="X3246" i="16"/>
  <c r="X3247" i="16"/>
  <c r="X3248" i="16"/>
  <c r="X3249" i="16"/>
  <c r="X3250" i="16"/>
  <c r="X3251" i="16"/>
  <c r="X3252" i="16"/>
  <c r="X3253" i="16"/>
  <c r="X3254" i="16"/>
  <c r="X3255" i="16"/>
  <c r="X3256" i="16"/>
  <c r="X3257" i="16"/>
  <c r="X3258" i="16"/>
  <c r="X3259" i="16"/>
  <c r="X3260" i="16"/>
  <c r="X3261" i="16"/>
  <c r="X3262" i="16"/>
  <c r="X3263" i="16"/>
  <c r="X3264" i="16"/>
  <c r="X3265" i="16"/>
  <c r="X3266" i="16"/>
  <c r="X3267" i="16"/>
  <c r="X3268" i="16"/>
  <c r="X3269" i="16"/>
  <c r="X3270" i="16"/>
  <c r="X3271" i="16"/>
  <c r="X3272" i="16"/>
  <c r="X3273" i="16"/>
  <c r="X3274" i="16"/>
  <c r="X3275" i="16"/>
  <c r="X3276" i="16"/>
  <c r="X3277" i="16"/>
  <c r="X3278" i="16"/>
  <c r="X3279" i="16"/>
  <c r="X3280" i="16"/>
  <c r="X3281" i="16"/>
  <c r="X3282" i="16"/>
  <c r="X3283" i="16"/>
  <c r="X3284" i="16"/>
  <c r="X3285" i="16"/>
  <c r="X3286" i="16"/>
  <c r="X3287" i="16"/>
  <c r="X3288" i="16"/>
  <c r="X3289" i="16"/>
  <c r="X3290" i="16"/>
  <c r="X3291" i="16"/>
  <c r="X3292" i="16"/>
  <c r="X3293" i="16"/>
  <c r="X3294" i="16"/>
  <c r="X3295" i="16"/>
  <c r="X3296" i="16"/>
  <c r="X3297" i="16"/>
  <c r="X3298" i="16"/>
  <c r="X3299" i="16"/>
  <c r="X3300" i="16"/>
  <c r="X3301" i="16"/>
  <c r="X3302" i="16"/>
  <c r="X3303" i="16"/>
  <c r="X3304" i="16"/>
  <c r="X3305" i="16"/>
  <c r="X3306" i="16"/>
  <c r="X3307" i="16"/>
  <c r="X3308" i="16"/>
  <c r="X3309" i="16"/>
  <c r="X3310" i="16"/>
  <c r="X3311" i="16"/>
  <c r="X3312" i="16"/>
  <c r="X3313" i="16"/>
  <c r="X3314" i="16"/>
  <c r="X3315" i="16"/>
  <c r="X3316" i="16"/>
  <c r="X3317" i="16"/>
  <c r="X3318" i="16"/>
  <c r="X3319" i="16"/>
  <c r="X3320" i="16"/>
  <c r="X3321" i="16"/>
  <c r="X3322" i="16"/>
  <c r="X3323" i="16"/>
  <c r="X3324" i="16"/>
  <c r="X3325" i="16"/>
  <c r="X3326" i="16"/>
  <c r="X3327" i="16"/>
  <c r="X3328" i="16"/>
  <c r="X3329" i="16"/>
  <c r="X3330" i="16"/>
  <c r="X3331" i="16"/>
  <c r="X3332" i="16"/>
  <c r="X3333" i="16"/>
  <c r="X3334" i="16"/>
  <c r="X3335" i="16"/>
  <c r="X3336" i="16"/>
  <c r="X3337" i="16"/>
  <c r="X3338" i="16"/>
  <c r="X3339" i="16"/>
  <c r="X3340" i="16"/>
  <c r="X3341" i="16"/>
  <c r="X3342" i="16"/>
  <c r="X3343" i="16"/>
  <c r="X3344" i="16"/>
  <c r="X3345" i="16"/>
  <c r="X3346" i="16"/>
  <c r="X3347" i="16"/>
  <c r="X3348" i="16"/>
  <c r="X3349" i="16"/>
  <c r="X3350" i="16"/>
  <c r="X3351" i="16"/>
  <c r="X3352" i="16"/>
  <c r="X3353" i="16"/>
  <c r="X3354" i="16"/>
  <c r="X3355" i="16"/>
  <c r="X3356" i="16"/>
  <c r="X3357" i="16"/>
  <c r="X3358" i="16"/>
  <c r="X3359" i="16"/>
  <c r="X3360" i="16"/>
  <c r="X3361" i="16"/>
  <c r="X3362" i="16"/>
  <c r="X3363" i="16"/>
  <c r="X3364" i="16"/>
  <c r="X3365" i="16"/>
  <c r="X3366" i="16"/>
  <c r="X3367" i="16"/>
  <c r="X3368" i="16"/>
  <c r="X3369" i="16"/>
  <c r="X3370" i="16"/>
  <c r="X3371" i="16"/>
  <c r="X3372" i="16"/>
  <c r="X3373" i="16"/>
  <c r="X3374" i="16"/>
  <c r="X3375" i="16"/>
  <c r="X3376" i="16"/>
  <c r="X3377" i="16"/>
  <c r="X3378" i="16"/>
  <c r="X3379" i="16"/>
  <c r="X3380" i="16"/>
  <c r="X3381" i="16"/>
  <c r="X3382" i="16"/>
  <c r="X3383" i="16"/>
  <c r="X3384" i="16"/>
  <c r="X3385" i="16"/>
  <c r="X3386" i="16"/>
  <c r="X3387" i="16"/>
  <c r="X3388" i="16"/>
  <c r="X3389" i="16"/>
  <c r="X3390" i="16"/>
  <c r="X3391" i="16"/>
  <c r="X3392" i="16"/>
  <c r="X3393" i="16"/>
  <c r="X3394" i="16"/>
  <c r="X3395" i="16"/>
  <c r="X3396" i="16"/>
  <c r="X3397" i="16"/>
  <c r="X3398" i="16"/>
  <c r="X3399" i="16"/>
  <c r="X3400" i="16"/>
  <c r="X3401" i="16"/>
  <c r="X3402" i="16"/>
  <c r="X3403" i="16"/>
  <c r="X3404" i="16"/>
  <c r="X3405" i="16"/>
  <c r="X3406" i="16"/>
  <c r="X3407" i="16"/>
  <c r="X3408" i="16"/>
  <c r="X3409" i="16"/>
  <c r="X3410" i="16"/>
  <c r="X3411" i="16"/>
  <c r="X3412" i="16"/>
  <c r="X3413" i="16"/>
  <c r="X3414" i="16"/>
  <c r="X3415" i="16"/>
  <c r="X3416" i="16"/>
  <c r="X3417" i="16"/>
  <c r="X3418" i="16"/>
  <c r="X3419" i="16"/>
  <c r="X3420" i="16"/>
  <c r="X3421" i="16"/>
  <c r="X3422" i="16"/>
  <c r="X3423" i="16"/>
  <c r="X3424" i="16"/>
  <c r="X3425" i="16"/>
  <c r="X3426" i="16"/>
  <c r="X3427" i="16"/>
  <c r="X3428" i="16"/>
  <c r="X3429" i="16"/>
  <c r="X3430" i="16"/>
  <c r="X3431" i="16"/>
  <c r="X3432" i="16"/>
  <c r="X3433" i="16"/>
  <c r="X3434" i="16"/>
  <c r="X3435" i="16"/>
  <c r="X3436" i="16"/>
  <c r="X3437" i="16"/>
  <c r="X3438" i="16"/>
  <c r="X3439" i="16"/>
  <c r="X3440" i="16"/>
  <c r="X3441" i="16"/>
  <c r="X3442" i="16"/>
  <c r="X3443" i="16"/>
  <c r="X3444" i="16"/>
  <c r="X3445" i="16"/>
  <c r="X3446" i="16"/>
  <c r="X3447" i="16"/>
  <c r="X3448" i="16"/>
  <c r="X3449" i="16"/>
  <c r="X3450" i="16"/>
  <c r="X3451" i="16"/>
  <c r="X3452" i="16"/>
  <c r="X3453" i="16"/>
  <c r="X3454" i="16"/>
  <c r="X3455" i="16"/>
  <c r="X3456" i="16"/>
  <c r="X3457" i="16"/>
  <c r="X3458" i="16"/>
  <c r="X3459" i="16"/>
  <c r="X3460" i="16"/>
  <c r="X3461" i="16"/>
  <c r="X3462" i="16"/>
  <c r="X3463" i="16"/>
  <c r="X3464" i="16"/>
  <c r="X3465" i="16"/>
  <c r="X3466" i="16"/>
  <c r="X3467" i="16"/>
  <c r="X3468" i="16"/>
  <c r="X3469" i="16"/>
  <c r="X3470" i="16"/>
  <c r="X3471" i="16"/>
  <c r="X3472" i="16"/>
  <c r="X3473" i="16"/>
  <c r="X3474" i="16"/>
  <c r="X3475" i="16"/>
  <c r="X3476" i="16"/>
  <c r="X3477" i="16"/>
  <c r="X3478" i="16"/>
  <c r="X3479" i="16"/>
  <c r="X3480" i="16"/>
  <c r="X3481" i="16"/>
  <c r="X3482" i="16"/>
  <c r="X3483" i="16"/>
  <c r="X3484" i="16"/>
  <c r="X3485" i="16"/>
  <c r="X3486" i="16"/>
  <c r="X3487" i="16"/>
  <c r="X3488" i="16"/>
  <c r="X3489" i="16"/>
  <c r="X3490" i="16"/>
  <c r="X3491" i="16"/>
  <c r="X3492" i="16"/>
  <c r="X3493" i="16"/>
  <c r="X3494" i="16"/>
  <c r="X3495" i="16"/>
  <c r="X3496" i="16"/>
  <c r="X3497" i="16"/>
  <c r="X3498" i="16"/>
  <c r="X3499" i="16"/>
  <c r="X3500" i="16"/>
  <c r="X3501" i="16"/>
  <c r="X3502" i="16"/>
  <c r="X3503" i="16"/>
  <c r="X3504" i="16"/>
  <c r="X3505" i="16"/>
  <c r="X3506" i="16"/>
  <c r="X3507" i="16"/>
  <c r="X3508" i="16"/>
  <c r="X3509" i="16"/>
  <c r="X3510" i="16"/>
  <c r="X3511" i="16"/>
  <c r="X3512" i="16"/>
  <c r="X3513" i="16"/>
  <c r="X3514" i="16"/>
  <c r="X3515" i="16"/>
  <c r="X3516" i="16"/>
  <c r="X3517" i="16"/>
  <c r="X3518" i="16"/>
  <c r="X3519" i="16"/>
  <c r="X3520" i="16"/>
  <c r="X3521" i="16"/>
  <c r="X3522" i="16"/>
  <c r="X3523" i="16"/>
  <c r="X3524" i="16"/>
  <c r="X3525" i="16"/>
  <c r="X3526" i="16"/>
  <c r="X3527" i="16"/>
  <c r="X3528" i="16"/>
  <c r="X3529" i="16"/>
  <c r="X3530" i="16"/>
  <c r="X3531" i="16"/>
  <c r="X3532" i="16"/>
  <c r="X3533" i="16"/>
  <c r="X3534" i="16"/>
  <c r="X3535" i="16"/>
  <c r="X3536" i="16"/>
  <c r="X3537" i="16"/>
  <c r="X3538" i="16"/>
  <c r="X3539" i="16"/>
  <c r="X3540" i="16"/>
  <c r="X3541" i="16"/>
  <c r="X3542" i="16"/>
  <c r="X3543" i="16"/>
  <c r="X3544" i="16"/>
  <c r="X3545" i="16"/>
  <c r="X3546" i="16"/>
  <c r="X3547" i="16"/>
  <c r="X3548" i="16"/>
  <c r="X3549" i="16"/>
  <c r="X3550" i="16"/>
  <c r="X3551" i="16"/>
  <c r="X3552" i="16"/>
  <c r="X3553" i="16"/>
  <c r="X3554" i="16"/>
  <c r="X3555" i="16"/>
  <c r="X3556" i="16"/>
  <c r="X3557" i="16"/>
  <c r="X3558" i="16"/>
  <c r="X3559" i="16"/>
  <c r="X3560" i="16"/>
  <c r="X3561" i="16"/>
  <c r="X3562" i="16"/>
  <c r="X3563" i="16"/>
  <c r="X3564" i="16"/>
  <c r="X3565" i="16"/>
  <c r="X3566" i="16"/>
  <c r="X3567" i="16"/>
  <c r="X3568" i="16"/>
  <c r="X3569" i="16"/>
  <c r="X3570" i="16"/>
  <c r="X3571" i="16"/>
  <c r="X3572" i="16"/>
  <c r="X3573" i="16"/>
  <c r="X3574" i="16"/>
  <c r="X3575" i="16"/>
  <c r="X3576" i="16"/>
  <c r="X3577" i="16"/>
  <c r="X3578" i="16"/>
  <c r="X3579" i="16"/>
  <c r="X3580" i="16"/>
  <c r="X3581" i="16"/>
  <c r="X3582" i="16"/>
  <c r="X3583" i="16"/>
  <c r="X3584" i="16"/>
  <c r="X3585" i="16"/>
  <c r="X3586" i="16"/>
  <c r="X3587" i="16"/>
  <c r="X3588" i="16"/>
  <c r="X3589" i="16"/>
  <c r="X3590" i="16"/>
  <c r="X3591" i="16"/>
  <c r="X3592" i="16"/>
  <c r="X3593" i="16"/>
  <c r="X3594" i="16"/>
  <c r="X3595" i="16"/>
  <c r="X3596" i="16"/>
  <c r="X3597" i="16"/>
  <c r="X3598" i="16"/>
  <c r="X3599" i="16"/>
  <c r="X3600" i="16"/>
  <c r="X3601" i="16"/>
  <c r="X3602" i="16"/>
  <c r="X3603" i="16"/>
  <c r="X3604" i="16"/>
  <c r="X3605" i="16"/>
  <c r="X3606" i="16"/>
  <c r="X3607" i="16"/>
  <c r="X3608" i="16"/>
  <c r="X3609" i="16"/>
  <c r="X3610" i="16"/>
  <c r="X3611" i="16"/>
  <c r="X3612" i="16"/>
  <c r="X3613" i="16"/>
  <c r="X3614" i="16"/>
  <c r="X3615" i="16"/>
  <c r="X3616" i="16"/>
  <c r="X3617" i="16"/>
  <c r="X3618" i="16"/>
  <c r="X3619" i="16"/>
  <c r="X3620" i="16"/>
  <c r="X3621" i="16"/>
  <c r="X3622" i="16"/>
  <c r="X3623" i="16"/>
  <c r="X3624" i="16"/>
  <c r="X3625" i="16"/>
  <c r="X3626" i="16"/>
  <c r="X3627" i="16"/>
  <c r="X3628" i="16"/>
  <c r="X3629" i="16"/>
  <c r="X3630" i="16"/>
  <c r="X3631" i="16"/>
  <c r="X3632" i="16"/>
  <c r="X3633" i="16"/>
  <c r="X3634" i="16"/>
  <c r="X3635" i="16"/>
  <c r="X3636" i="16"/>
  <c r="X3637" i="16"/>
  <c r="X3638" i="16"/>
  <c r="X3639" i="16"/>
  <c r="X3640" i="16"/>
  <c r="X3641" i="16"/>
  <c r="X3642" i="16"/>
  <c r="X3643" i="16"/>
  <c r="X3644" i="16"/>
  <c r="X3645" i="16"/>
  <c r="X3646" i="16"/>
  <c r="X3647" i="16"/>
  <c r="X3648" i="16"/>
  <c r="X3649" i="16"/>
  <c r="X3650" i="16"/>
  <c r="X3651" i="16"/>
  <c r="X3652" i="16"/>
  <c r="X3653" i="16"/>
  <c r="X3654" i="16"/>
  <c r="X3655" i="16"/>
  <c r="X3656" i="16"/>
  <c r="X3657" i="16"/>
  <c r="X3658" i="16"/>
  <c r="X3659" i="16"/>
  <c r="X3660" i="16"/>
  <c r="X3661" i="16"/>
  <c r="X3662" i="16"/>
  <c r="X3663" i="16"/>
  <c r="X3664" i="16"/>
  <c r="X3665" i="16"/>
  <c r="X3666" i="16"/>
  <c r="X3667" i="16"/>
  <c r="X3668" i="16"/>
  <c r="X3669" i="16"/>
  <c r="X3670" i="16"/>
  <c r="X3671" i="16"/>
  <c r="X3672" i="16"/>
  <c r="X3673" i="16"/>
  <c r="X3674" i="16"/>
  <c r="X3675" i="16"/>
  <c r="X3676" i="16"/>
  <c r="X3677" i="16"/>
  <c r="X3678" i="16"/>
  <c r="X3679" i="16"/>
  <c r="X3680" i="16"/>
  <c r="X3681" i="16"/>
  <c r="X3682" i="16"/>
  <c r="X3683" i="16"/>
  <c r="X3684" i="16"/>
  <c r="X3685" i="16"/>
  <c r="X3686" i="16"/>
  <c r="X3687" i="16"/>
  <c r="X3688" i="16"/>
  <c r="X3689" i="16"/>
  <c r="X3690" i="16"/>
  <c r="X3691" i="16"/>
  <c r="X3692" i="16"/>
  <c r="X3693" i="16"/>
  <c r="X3694" i="16"/>
  <c r="X3695" i="16"/>
  <c r="X3696" i="16"/>
  <c r="X3697" i="16"/>
  <c r="X3698" i="16"/>
  <c r="X3699" i="16"/>
  <c r="X3700" i="16"/>
  <c r="X3701" i="16"/>
  <c r="X3702" i="16"/>
  <c r="X3703" i="16"/>
  <c r="X3704" i="16"/>
  <c r="X3705" i="16"/>
  <c r="X3706" i="16"/>
  <c r="X3707" i="16"/>
  <c r="X3708" i="16"/>
  <c r="X3709" i="16"/>
  <c r="X3710" i="16"/>
  <c r="X3711" i="16"/>
  <c r="X3712" i="16"/>
  <c r="X3713" i="16"/>
  <c r="X3714" i="16"/>
  <c r="X3715" i="16"/>
  <c r="X3716" i="16"/>
  <c r="X3717" i="16"/>
  <c r="X3718" i="16"/>
  <c r="X3719" i="16"/>
  <c r="X3720" i="16"/>
  <c r="X3721" i="16"/>
  <c r="X3722" i="16"/>
  <c r="X3723" i="16"/>
  <c r="X3724" i="16"/>
  <c r="X3725" i="16"/>
  <c r="X3726" i="16"/>
  <c r="X3727" i="16"/>
  <c r="X3728" i="16"/>
  <c r="X3729" i="16"/>
  <c r="X3730" i="16"/>
  <c r="X3731" i="16"/>
  <c r="X3732" i="16"/>
  <c r="X3733" i="16"/>
  <c r="X3734" i="16"/>
  <c r="X3735" i="16"/>
  <c r="X3736" i="16"/>
  <c r="X3737" i="16"/>
  <c r="X3738" i="16"/>
  <c r="X3739" i="16"/>
  <c r="X3740" i="16"/>
  <c r="X3741" i="16"/>
  <c r="X3742" i="16"/>
  <c r="X3743" i="16"/>
  <c r="X3744" i="16"/>
  <c r="X3745" i="16"/>
  <c r="X3746" i="16"/>
  <c r="X3747" i="16"/>
  <c r="X3748" i="16"/>
  <c r="X3749" i="16"/>
  <c r="X3750" i="16"/>
  <c r="X3751" i="16"/>
  <c r="X3752" i="16"/>
  <c r="X3753" i="16"/>
  <c r="X3754" i="16"/>
  <c r="X3755" i="16"/>
  <c r="X3756" i="16"/>
  <c r="X3757" i="16"/>
  <c r="X3758" i="16"/>
  <c r="X3759" i="16"/>
  <c r="X3760" i="16"/>
  <c r="X3761" i="16"/>
  <c r="X3762" i="16"/>
  <c r="X3763" i="16"/>
  <c r="X3764" i="16"/>
  <c r="X3765" i="16"/>
  <c r="X3766" i="16"/>
  <c r="X3767" i="16"/>
  <c r="X3768" i="16"/>
  <c r="X3769" i="16"/>
  <c r="X3770" i="16"/>
  <c r="X3771" i="16"/>
  <c r="X3772" i="16"/>
  <c r="X3773" i="16"/>
  <c r="X3774" i="16"/>
  <c r="X3775" i="16"/>
  <c r="X3776" i="16"/>
  <c r="X3777" i="16"/>
  <c r="X3778" i="16"/>
  <c r="X3779" i="16"/>
  <c r="X3780" i="16"/>
  <c r="X3781" i="16"/>
  <c r="X3782" i="16"/>
  <c r="X3783" i="16"/>
  <c r="X3784" i="16"/>
  <c r="X3785" i="16"/>
  <c r="X3786" i="16"/>
  <c r="X3787" i="16"/>
  <c r="X3788" i="16"/>
  <c r="X3789" i="16"/>
  <c r="X3790" i="16"/>
  <c r="X3791" i="16"/>
  <c r="X3792" i="16"/>
  <c r="X3793" i="16"/>
  <c r="X3794" i="16"/>
  <c r="X3795" i="16"/>
  <c r="X3796" i="16"/>
  <c r="X3797" i="16"/>
  <c r="X3798" i="16"/>
  <c r="X3799" i="16"/>
  <c r="X3800" i="16"/>
  <c r="X3801" i="16"/>
  <c r="X3802" i="16"/>
  <c r="X3803" i="16"/>
  <c r="X3804" i="16"/>
  <c r="X3805" i="16"/>
  <c r="X3806" i="16"/>
  <c r="X3807" i="16"/>
  <c r="X3808" i="16"/>
  <c r="X3809" i="16"/>
  <c r="X3810" i="16"/>
  <c r="X3811" i="16"/>
  <c r="X3812" i="16"/>
  <c r="X3813" i="16"/>
  <c r="X3814" i="16"/>
  <c r="X3815" i="16"/>
  <c r="X3816" i="16"/>
  <c r="X3817" i="16"/>
  <c r="X3818" i="16"/>
  <c r="X3819" i="16"/>
  <c r="X3820" i="16"/>
  <c r="X3821" i="16"/>
  <c r="X3822" i="16"/>
  <c r="X3823" i="16"/>
  <c r="X3824" i="16"/>
  <c r="X3825" i="16"/>
  <c r="X3826" i="16"/>
  <c r="X3827" i="16"/>
  <c r="X3828" i="16"/>
  <c r="X3829" i="16"/>
  <c r="X3830" i="16"/>
  <c r="X3831" i="16"/>
  <c r="X3832" i="16"/>
  <c r="X3833" i="16"/>
  <c r="X3834" i="16"/>
  <c r="X3835" i="16"/>
  <c r="X3836" i="16"/>
  <c r="X3837" i="16"/>
  <c r="X3838" i="16"/>
  <c r="X3839" i="16"/>
  <c r="X3840" i="16"/>
  <c r="X3841" i="16"/>
  <c r="X3842" i="16"/>
  <c r="X3843" i="16"/>
  <c r="X3844" i="16"/>
  <c r="X3845" i="16"/>
  <c r="X3846" i="16"/>
  <c r="X3847" i="16"/>
  <c r="X3848" i="16"/>
  <c r="X3849" i="16"/>
  <c r="X3850" i="16"/>
  <c r="X3851" i="16"/>
  <c r="X3852" i="16"/>
  <c r="X3853" i="16"/>
  <c r="X3854" i="16"/>
  <c r="X3855" i="16"/>
  <c r="X3856" i="16"/>
  <c r="X3857" i="16"/>
  <c r="X3858" i="16"/>
  <c r="X3859" i="16"/>
  <c r="X3860" i="16"/>
  <c r="X3861" i="16"/>
  <c r="X3862" i="16"/>
  <c r="X3863" i="16"/>
  <c r="X3864" i="16"/>
  <c r="X3865" i="16"/>
  <c r="X3866" i="16"/>
  <c r="X3867" i="16"/>
  <c r="X3868" i="16"/>
  <c r="X3869" i="16"/>
  <c r="X3870" i="16"/>
  <c r="X3871" i="16"/>
  <c r="X3872" i="16"/>
  <c r="X3873" i="16"/>
  <c r="X3874" i="16"/>
  <c r="X3875" i="16"/>
  <c r="X3876" i="16"/>
  <c r="X3877" i="16"/>
  <c r="X3878" i="16"/>
  <c r="X3879" i="16"/>
  <c r="X3880" i="16"/>
  <c r="X3881" i="16"/>
  <c r="X3882" i="16"/>
  <c r="X3883" i="16"/>
  <c r="X3884" i="16"/>
  <c r="X3885" i="16"/>
  <c r="X3886" i="16"/>
  <c r="X3887" i="16"/>
  <c r="X3888" i="16"/>
  <c r="X3889" i="16"/>
  <c r="X3890" i="16"/>
  <c r="X3891" i="16"/>
  <c r="X3892" i="16"/>
  <c r="X3893" i="16"/>
  <c r="X3894" i="16"/>
  <c r="X3895" i="16"/>
  <c r="X3896" i="16"/>
  <c r="X3897" i="16"/>
  <c r="X3898" i="16"/>
  <c r="X3899" i="16"/>
  <c r="X3900" i="16"/>
  <c r="X3901" i="16"/>
  <c r="X3902" i="16"/>
  <c r="X3903" i="16"/>
  <c r="X3904" i="16"/>
  <c r="X3905" i="16"/>
  <c r="X3906" i="16"/>
  <c r="X3907" i="16"/>
  <c r="X3908" i="16"/>
  <c r="X3909" i="16"/>
  <c r="X3910" i="16"/>
  <c r="X3911" i="16"/>
  <c r="X3912" i="16"/>
  <c r="X3913" i="16"/>
  <c r="X3914" i="16"/>
  <c r="X3915" i="16"/>
  <c r="X3916" i="16"/>
  <c r="X3917" i="16"/>
  <c r="X3918" i="16"/>
  <c r="X3919" i="16"/>
  <c r="X3920" i="16"/>
  <c r="X3921" i="16"/>
  <c r="X3922" i="16"/>
  <c r="X3923" i="16"/>
  <c r="X3924" i="16"/>
  <c r="X3925" i="16"/>
  <c r="X3926" i="16"/>
  <c r="X3927" i="16"/>
  <c r="X3928" i="16"/>
  <c r="X3929" i="16"/>
  <c r="X3930" i="16"/>
  <c r="X3931" i="16"/>
  <c r="X3932" i="16"/>
  <c r="X3933" i="16"/>
  <c r="X3934" i="16"/>
  <c r="X3935" i="16"/>
  <c r="X3936" i="16"/>
  <c r="X3937" i="16"/>
  <c r="X3938" i="16"/>
  <c r="X3939" i="16"/>
  <c r="X3940" i="16"/>
  <c r="X3941" i="16"/>
  <c r="X3942" i="16"/>
  <c r="X3943" i="16"/>
  <c r="X3944" i="16"/>
  <c r="X3945" i="16"/>
  <c r="X3946" i="16"/>
  <c r="X3947" i="16"/>
  <c r="X3948" i="16"/>
  <c r="X3949" i="16"/>
  <c r="X3950" i="16"/>
  <c r="X3951" i="16"/>
  <c r="X3952" i="16"/>
  <c r="X3953" i="16"/>
  <c r="X3954" i="16"/>
  <c r="X3955" i="16"/>
  <c r="X3956" i="16"/>
  <c r="X3957" i="16"/>
  <c r="X3958" i="16"/>
  <c r="X3959" i="16"/>
  <c r="X3960" i="16"/>
  <c r="X3961" i="16"/>
  <c r="X3962" i="16"/>
  <c r="X3963" i="16"/>
  <c r="X3964" i="16"/>
  <c r="X3965" i="16"/>
  <c r="X3966" i="16"/>
  <c r="X3967" i="16"/>
  <c r="X3968" i="16"/>
  <c r="X3969" i="16"/>
  <c r="X3970" i="16"/>
  <c r="X3971" i="16"/>
  <c r="X3972" i="16"/>
  <c r="X3973" i="16"/>
  <c r="X3974" i="16"/>
  <c r="X3975" i="16"/>
  <c r="X3976" i="16"/>
  <c r="X3977" i="16"/>
  <c r="X3978" i="16"/>
  <c r="X3979" i="16"/>
  <c r="X3980" i="16"/>
  <c r="X3981" i="16"/>
  <c r="X3982" i="16"/>
  <c r="X3983" i="16"/>
  <c r="X3984" i="16"/>
  <c r="X3985" i="16"/>
  <c r="X3986" i="16"/>
  <c r="X3987" i="16"/>
  <c r="X3988" i="16"/>
  <c r="X3989" i="16"/>
  <c r="X3990" i="16"/>
  <c r="X3991" i="16"/>
  <c r="X3992" i="16"/>
  <c r="X3993" i="16"/>
  <c r="X3994" i="16"/>
  <c r="X3995" i="16"/>
  <c r="X3996" i="16"/>
  <c r="X3997" i="16"/>
  <c r="X3998" i="16"/>
  <c r="X3999" i="16"/>
  <c r="X4000" i="16"/>
  <c r="X4001" i="16"/>
  <c r="X4002" i="16"/>
  <c r="X4003" i="16"/>
  <c r="X4004" i="16"/>
  <c r="X4005" i="16"/>
  <c r="X4006" i="16"/>
  <c r="X4007" i="16"/>
  <c r="X4008" i="16"/>
  <c r="X4009" i="16"/>
  <c r="X4010" i="16"/>
  <c r="X4011" i="16"/>
  <c r="X4012" i="16"/>
  <c r="X4013" i="16"/>
  <c r="X4014" i="16"/>
  <c r="X4015" i="16"/>
  <c r="X4016" i="16"/>
  <c r="X4017" i="16"/>
  <c r="X4018" i="16"/>
  <c r="X4019" i="16"/>
  <c r="X4020" i="16"/>
  <c r="X4021" i="16"/>
  <c r="X4022" i="16"/>
  <c r="X4023" i="16"/>
  <c r="X4024" i="16"/>
  <c r="X4025" i="16"/>
  <c r="X4026" i="16"/>
  <c r="X4027" i="16"/>
  <c r="X4028" i="16"/>
  <c r="X4029" i="16"/>
  <c r="X4030" i="16"/>
  <c r="X4031" i="16"/>
  <c r="X4032" i="16"/>
  <c r="X4033" i="16"/>
  <c r="X4034" i="16"/>
  <c r="X4035" i="16"/>
  <c r="X4036" i="16"/>
  <c r="X4037" i="16"/>
  <c r="X4038" i="16"/>
  <c r="X4039" i="16"/>
  <c r="X4040" i="16"/>
  <c r="X4041" i="16"/>
  <c r="X4042" i="16"/>
  <c r="X4043" i="16"/>
  <c r="X4044" i="16"/>
  <c r="X4045" i="16"/>
  <c r="X4046" i="16"/>
  <c r="X4047" i="16"/>
  <c r="X4048" i="16"/>
  <c r="X4049" i="16"/>
  <c r="X4050" i="16"/>
  <c r="X4051" i="16"/>
  <c r="X4052" i="16"/>
  <c r="X4053" i="16"/>
  <c r="X4054" i="16"/>
  <c r="X4055" i="16"/>
  <c r="X4056" i="16"/>
  <c r="X4057" i="16"/>
  <c r="X4058" i="16"/>
  <c r="X4059" i="16"/>
  <c r="X4060" i="16"/>
  <c r="X4061" i="16"/>
  <c r="X4062" i="16"/>
  <c r="X4063" i="16"/>
  <c r="X4064" i="16"/>
  <c r="X4065" i="16"/>
  <c r="X4066" i="16"/>
  <c r="X4067" i="16"/>
  <c r="X4068" i="16"/>
  <c r="X4069" i="16"/>
  <c r="X4070" i="16"/>
  <c r="X4071" i="16"/>
  <c r="X4072" i="16"/>
  <c r="X4073" i="16"/>
  <c r="X4074" i="16"/>
  <c r="X4075" i="16"/>
  <c r="X4076" i="16"/>
  <c r="X4077" i="16"/>
  <c r="X4078" i="16"/>
  <c r="X4079" i="16"/>
  <c r="X4080" i="16"/>
  <c r="X4081" i="16"/>
  <c r="X4082" i="16"/>
  <c r="X4083" i="16"/>
  <c r="X4084" i="16"/>
  <c r="X4085" i="16"/>
  <c r="X4086" i="16"/>
  <c r="X4087" i="16"/>
  <c r="X4088" i="16"/>
  <c r="X4089" i="16"/>
  <c r="X4090" i="16"/>
  <c r="X4091" i="16"/>
  <c r="X4092" i="16"/>
  <c r="X4093" i="16"/>
  <c r="X4094" i="16"/>
  <c r="X4095" i="16"/>
  <c r="X4096" i="16"/>
  <c r="X4097" i="16"/>
  <c r="X4098" i="16"/>
  <c r="X4099" i="16"/>
  <c r="X4100" i="16"/>
  <c r="X4101" i="16"/>
  <c r="X4102" i="16"/>
  <c r="X4103" i="16"/>
  <c r="X4104" i="16"/>
  <c r="X4105" i="16"/>
  <c r="X4106" i="16"/>
  <c r="X4107" i="16"/>
  <c r="X4108" i="16"/>
  <c r="X4109" i="16"/>
  <c r="X4110" i="16"/>
  <c r="X4111" i="16"/>
  <c r="X4112" i="16"/>
  <c r="X4113" i="16"/>
  <c r="X4114" i="16"/>
  <c r="X4115" i="16"/>
  <c r="X4116" i="16"/>
  <c r="X4117" i="16"/>
  <c r="X4118" i="16"/>
  <c r="X4119" i="16"/>
  <c r="X4120" i="16"/>
  <c r="X4121" i="16"/>
  <c r="X4122" i="16"/>
  <c r="X4123" i="16"/>
  <c r="X4124" i="16"/>
  <c r="X4125" i="16"/>
  <c r="X4126" i="16"/>
  <c r="X4127" i="16"/>
  <c r="X4128" i="16"/>
  <c r="X4129" i="16"/>
  <c r="X4130" i="16"/>
  <c r="X4131" i="16"/>
  <c r="X4132" i="16"/>
  <c r="X4133" i="16"/>
  <c r="X4134" i="16"/>
  <c r="X4135" i="16"/>
  <c r="X4136" i="16"/>
  <c r="X4137" i="16"/>
  <c r="X4138" i="16"/>
  <c r="X4139" i="16"/>
  <c r="X4140" i="16"/>
  <c r="X4141" i="16"/>
  <c r="X4142" i="16"/>
  <c r="X4143" i="16"/>
  <c r="X4144" i="16"/>
  <c r="X4145" i="16"/>
  <c r="X4146" i="16"/>
  <c r="X4147" i="16"/>
  <c r="X4148" i="16"/>
  <c r="X4149" i="16"/>
  <c r="X4150" i="16"/>
  <c r="X4151" i="16"/>
  <c r="X4152" i="16"/>
  <c r="X4153" i="16"/>
  <c r="X4154" i="16"/>
  <c r="X4155" i="16"/>
  <c r="X4156" i="16"/>
  <c r="X4157" i="16"/>
  <c r="X4158" i="16"/>
  <c r="X4159" i="16"/>
  <c r="X4160" i="16"/>
  <c r="X4161" i="16"/>
  <c r="X4162" i="16"/>
  <c r="X4163" i="16"/>
  <c r="X4164" i="16"/>
  <c r="X4165" i="16"/>
  <c r="X4166" i="16"/>
  <c r="X4167" i="16"/>
  <c r="X4168" i="16"/>
  <c r="X4169" i="16"/>
  <c r="X4170" i="16"/>
  <c r="X4171" i="16"/>
  <c r="X4172" i="16"/>
  <c r="X4173" i="16"/>
  <c r="X4174" i="16"/>
  <c r="X4175" i="16"/>
  <c r="X4176" i="16"/>
  <c r="X4177" i="16"/>
  <c r="X4178" i="16"/>
  <c r="X4179" i="16"/>
  <c r="X4180" i="16"/>
  <c r="X4181" i="16"/>
  <c r="X4182" i="16"/>
  <c r="X4183" i="16"/>
  <c r="X4184" i="16"/>
  <c r="X4185" i="16"/>
  <c r="X4186" i="16"/>
  <c r="X4187" i="16"/>
  <c r="X4188" i="16"/>
  <c r="X4189" i="16"/>
  <c r="X4190" i="16"/>
  <c r="X4191" i="16"/>
  <c r="X4192" i="16"/>
  <c r="X4193" i="16"/>
  <c r="X4194" i="16"/>
  <c r="X4195" i="16"/>
  <c r="X4196" i="16"/>
  <c r="X4197" i="16"/>
  <c r="X4198" i="16"/>
  <c r="X4199" i="16"/>
  <c r="X4200" i="16"/>
  <c r="X4201" i="16"/>
  <c r="X4202" i="16"/>
  <c r="X4203" i="16"/>
  <c r="X4204" i="16"/>
  <c r="X4205" i="16"/>
  <c r="X4206" i="16"/>
  <c r="X4207" i="16"/>
  <c r="X4208" i="16"/>
  <c r="X4209" i="16"/>
  <c r="X4210" i="16"/>
  <c r="X4211" i="16"/>
  <c r="X4212" i="16"/>
  <c r="X4213" i="16"/>
  <c r="X4214" i="16"/>
  <c r="X4215" i="16"/>
  <c r="X4216" i="16"/>
  <c r="X4217" i="16"/>
  <c r="X4218" i="16"/>
  <c r="X4219" i="16"/>
  <c r="X4220" i="16"/>
  <c r="X4221" i="16"/>
  <c r="X4222" i="16"/>
  <c r="X4223" i="16"/>
  <c r="X4224" i="16"/>
  <c r="X4225" i="16"/>
  <c r="X4226" i="16"/>
  <c r="X4227" i="16"/>
  <c r="X4228" i="16"/>
  <c r="X4229" i="16"/>
  <c r="X4230" i="16"/>
  <c r="X4231" i="16"/>
  <c r="X4232" i="16"/>
  <c r="X4233" i="16"/>
  <c r="X4234" i="16"/>
  <c r="X4235" i="16"/>
  <c r="X4236" i="16"/>
  <c r="X4237" i="16"/>
  <c r="X4238" i="16"/>
  <c r="X4239" i="16"/>
  <c r="X4240" i="16"/>
  <c r="X4241" i="16"/>
  <c r="X4242" i="16"/>
  <c r="X4243" i="16"/>
  <c r="X4244" i="16"/>
  <c r="X4245" i="16"/>
  <c r="X4246" i="16"/>
  <c r="X4247" i="16"/>
  <c r="X4248" i="16"/>
  <c r="X4249" i="16"/>
  <c r="X4250" i="16"/>
  <c r="X4251" i="16"/>
  <c r="X4252" i="16"/>
  <c r="X4253" i="16"/>
  <c r="X4254" i="16"/>
  <c r="X4255" i="16"/>
  <c r="X4256" i="16"/>
  <c r="X4257" i="16"/>
  <c r="X4258" i="16"/>
  <c r="X4259" i="16"/>
  <c r="X4260" i="16"/>
  <c r="X4261" i="16"/>
  <c r="X4262" i="16"/>
  <c r="X4263" i="16"/>
  <c r="X4264" i="16"/>
  <c r="X4265" i="16"/>
  <c r="X4266" i="16"/>
  <c r="X4267" i="16"/>
  <c r="X4268" i="16"/>
  <c r="X4269" i="16"/>
  <c r="X4270" i="16"/>
  <c r="X4271" i="16"/>
  <c r="X4272" i="16"/>
  <c r="X4273" i="16"/>
  <c r="X4274" i="16"/>
  <c r="X4275" i="16"/>
  <c r="X4276" i="16"/>
  <c r="X4277" i="16"/>
  <c r="X4278" i="16"/>
  <c r="X4279" i="16"/>
  <c r="X4280" i="16"/>
  <c r="X4281" i="16"/>
  <c r="X4282" i="16"/>
  <c r="X4283" i="16"/>
  <c r="X4284" i="16"/>
  <c r="X4285" i="16"/>
  <c r="X4286" i="16"/>
  <c r="X4287" i="16"/>
  <c r="X4288" i="16"/>
  <c r="X4289" i="16"/>
  <c r="X4290" i="16"/>
  <c r="X4291" i="16"/>
  <c r="X4292" i="16"/>
  <c r="X4293" i="16"/>
  <c r="X4294" i="16"/>
  <c r="X4295" i="16"/>
  <c r="X4296" i="16"/>
  <c r="X4297" i="16"/>
  <c r="X4298" i="16"/>
  <c r="X4299" i="16"/>
  <c r="X4300" i="16"/>
  <c r="X4301" i="16"/>
  <c r="X4302" i="16"/>
  <c r="X4303" i="16"/>
  <c r="X4304" i="16"/>
  <c r="X4305" i="16"/>
  <c r="X4306" i="16"/>
  <c r="X4307" i="16"/>
  <c r="X4308" i="16"/>
  <c r="X4309" i="16"/>
  <c r="X4310" i="16"/>
  <c r="X4311" i="16"/>
  <c r="X4312" i="16"/>
  <c r="X4313" i="16"/>
  <c r="X4314" i="16"/>
  <c r="X4315" i="16"/>
  <c r="X4316" i="16"/>
  <c r="X4317" i="16"/>
  <c r="X4318" i="16"/>
  <c r="X4319" i="16"/>
  <c r="X4320" i="16"/>
  <c r="X4321" i="16"/>
  <c r="X4322" i="16"/>
  <c r="X4323" i="16"/>
  <c r="X4324" i="16"/>
  <c r="X4325" i="16"/>
  <c r="X4326" i="16"/>
  <c r="X4327" i="16"/>
  <c r="X4328" i="16"/>
  <c r="X4329" i="16"/>
  <c r="X4330" i="16"/>
  <c r="X4331" i="16"/>
  <c r="X4332" i="16"/>
  <c r="X4333" i="16"/>
  <c r="X4334" i="16"/>
  <c r="X4335" i="16"/>
  <c r="X4336" i="16"/>
  <c r="X4337" i="16"/>
  <c r="X4338" i="16"/>
  <c r="X4339" i="16"/>
  <c r="X4340" i="16"/>
  <c r="X4341" i="16"/>
  <c r="X4342" i="16"/>
  <c r="X4343" i="16"/>
  <c r="X4344" i="16"/>
  <c r="X4345" i="16"/>
  <c r="X4346" i="16"/>
  <c r="X4347" i="16"/>
  <c r="X4348" i="16"/>
  <c r="X4349" i="16"/>
  <c r="X4350" i="16"/>
  <c r="X4351" i="16"/>
  <c r="X4352" i="16"/>
  <c r="X4353" i="16"/>
  <c r="X4354" i="16"/>
  <c r="X4355" i="16"/>
  <c r="X4356" i="16"/>
  <c r="X4357" i="16"/>
  <c r="X4358" i="16"/>
  <c r="X4359" i="16"/>
  <c r="X4360" i="16"/>
  <c r="X4361" i="16"/>
  <c r="X4362" i="16"/>
  <c r="X4363" i="16"/>
  <c r="X4364" i="16"/>
  <c r="X4365" i="16"/>
  <c r="X4366" i="16"/>
  <c r="X4367" i="16"/>
  <c r="X4368" i="16"/>
  <c r="X4369" i="16"/>
  <c r="X4370" i="16"/>
  <c r="X4371" i="16"/>
  <c r="X4372" i="16"/>
  <c r="X4373" i="16"/>
  <c r="X4374" i="16"/>
  <c r="X4375" i="16"/>
  <c r="X4376" i="16"/>
  <c r="X4377" i="16"/>
  <c r="X4378" i="16"/>
  <c r="X4379" i="16"/>
  <c r="X4380" i="16"/>
  <c r="X4381" i="16"/>
  <c r="X4382" i="16"/>
  <c r="X4383" i="16"/>
  <c r="X4384" i="16"/>
  <c r="X4385" i="16"/>
  <c r="X4386" i="16"/>
  <c r="X4387" i="16"/>
  <c r="X4388" i="16"/>
  <c r="X4389" i="16"/>
  <c r="X4390" i="16"/>
  <c r="X4391" i="16"/>
  <c r="X4392" i="16"/>
  <c r="X4393" i="16"/>
  <c r="X4394" i="16"/>
  <c r="X4395" i="16"/>
  <c r="X4396" i="16"/>
  <c r="X4397" i="16"/>
  <c r="X4398" i="16"/>
  <c r="X4399" i="16"/>
  <c r="X4400" i="16"/>
  <c r="X4401" i="16"/>
  <c r="X4402" i="16"/>
  <c r="X4403" i="16"/>
  <c r="X4404" i="16"/>
  <c r="X4405" i="16"/>
  <c r="X4406" i="16"/>
  <c r="X4407" i="16"/>
  <c r="X4408" i="16"/>
  <c r="X4409" i="16"/>
  <c r="X4410" i="16"/>
  <c r="X4411" i="16"/>
  <c r="X4412" i="16"/>
  <c r="X4413" i="16"/>
  <c r="X4414" i="16"/>
  <c r="X4415" i="16"/>
  <c r="X4416" i="16"/>
  <c r="X4417" i="16"/>
  <c r="X4418" i="16"/>
  <c r="X4419" i="16"/>
  <c r="X4420" i="16"/>
  <c r="X4421" i="16"/>
  <c r="X4422" i="16"/>
  <c r="X4423" i="16"/>
  <c r="X4424" i="16"/>
  <c r="X4425" i="16"/>
  <c r="X4426" i="16"/>
  <c r="X4427" i="16"/>
  <c r="X4428" i="16"/>
  <c r="X4429" i="16"/>
  <c r="X4430" i="16"/>
  <c r="X4431" i="16"/>
  <c r="X4432" i="16"/>
  <c r="X4433" i="16"/>
  <c r="X4434" i="16"/>
  <c r="X4435" i="16"/>
  <c r="X4436" i="16"/>
  <c r="X4437" i="16"/>
  <c r="X4438" i="16"/>
  <c r="X4439" i="16"/>
  <c r="X4440" i="16"/>
  <c r="X4441" i="16"/>
  <c r="X4442" i="16"/>
  <c r="X4443" i="16"/>
  <c r="X4444" i="16"/>
  <c r="X4445" i="16"/>
  <c r="X4446" i="16"/>
  <c r="X4447" i="16"/>
  <c r="X4448" i="16"/>
  <c r="X4449" i="16"/>
  <c r="X4450" i="16"/>
  <c r="X4451" i="16"/>
  <c r="X4452" i="16"/>
  <c r="X4453" i="16"/>
  <c r="X4454" i="16"/>
  <c r="X4455" i="16"/>
  <c r="X4456" i="16"/>
  <c r="X4457" i="16"/>
  <c r="X4458" i="16"/>
  <c r="X4459" i="16"/>
  <c r="X4460" i="16"/>
  <c r="X4461" i="16"/>
  <c r="X4462" i="16"/>
  <c r="X4463" i="16"/>
  <c r="X4464" i="16"/>
  <c r="X4465" i="16"/>
  <c r="X4466" i="16"/>
  <c r="X4467" i="16"/>
  <c r="X4468" i="16"/>
  <c r="X4469" i="16"/>
  <c r="X4470" i="16"/>
  <c r="X4471" i="16"/>
  <c r="X4472" i="16"/>
  <c r="X4473" i="16"/>
  <c r="X4474" i="16"/>
  <c r="X4475" i="16"/>
  <c r="X4476" i="16"/>
  <c r="X4477" i="16"/>
  <c r="X4478" i="16"/>
  <c r="X4479" i="16"/>
  <c r="X4480" i="16"/>
  <c r="X4481" i="16"/>
  <c r="X4482" i="16"/>
  <c r="X4483" i="16"/>
  <c r="X4484" i="16"/>
  <c r="X4485" i="16"/>
  <c r="X4486" i="16"/>
  <c r="X4487" i="16"/>
  <c r="X4488" i="16"/>
  <c r="X4489" i="16"/>
  <c r="X4490" i="16"/>
  <c r="X4491" i="16"/>
  <c r="X4492" i="16"/>
  <c r="X4493" i="16"/>
  <c r="X4494" i="16"/>
  <c r="X4495" i="16"/>
  <c r="X4496" i="16"/>
  <c r="X4497" i="16"/>
  <c r="X4498" i="16"/>
  <c r="X4499" i="16"/>
  <c r="X4500" i="16"/>
  <c r="X4501" i="16"/>
  <c r="X4502" i="16"/>
  <c r="X4503" i="16"/>
  <c r="X4504" i="16"/>
  <c r="X4505" i="16"/>
  <c r="X4506" i="16"/>
  <c r="X4507" i="16"/>
  <c r="X4508" i="16"/>
  <c r="X4509" i="16"/>
  <c r="X4510" i="16"/>
  <c r="X4511" i="16"/>
  <c r="X4512" i="16"/>
  <c r="X4513" i="16"/>
  <c r="X4514" i="16"/>
  <c r="X4515" i="16"/>
  <c r="X4516" i="16"/>
  <c r="X4517" i="16"/>
  <c r="X4518" i="16"/>
  <c r="X4519" i="16"/>
  <c r="X4520" i="16"/>
  <c r="X4521" i="16"/>
  <c r="X4522" i="16"/>
  <c r="X4523" i="16"/>
  <c r="X4524" i="16"/>
  <c r="X4525" i="16"/>
  <c r="X4526" i="16"/>
  <c r="X4527" i="16"/>
  <c r="X4528" i="16"/>
  <c r="X4529" i="16"/>
  <c r="X4530" i="16"/>
  <c r="X4531" i="16"/>
  <c r="X4532" i="16"/>
  <c r="X4533" i="16"/>
  <c r="X4534" i="16"/>
  <c r="X4535" i="16"/>
  <c r="X4536" i="16"/>
  <c r="X4537" i="16"/>
  <c r="X4538" i="16"/>
  <c r="X4539" i="16"/>
  <c r="X4540" i="16"/>
  <c r="X4541" i="16"/>
  <c r="X4542" i="16"/>
  <c r="X4543" i="16"/>
  <c r="X4544" i="16"/>
  <c r="X4545" i="16"/>
  <c r="X4546" i="16"/>
  <c r="X4547" i="16"/>
  <c r="X4548" i="16"/>
  <c r="X4549" i="16"/>
  <c r="X4550" i="16"/>
  <c r="X4551" i="16"/>
  <c r="X4552" i="16"/>
  <c r="X4553" i="16"/>
  <c r="X4554" i="16"/>
  <c r="X4555" i="16"/>
  <c r="X4556" i="16"/>
  <c r="X4557" i="16"/>
  <c r="X4558" i="16"/>
  <c r="X4559" i="16"/>
  <c r="X4560" i="16"/>
  <c r="X4561" i="16"/>
  <c r="X4562" i="16"/>
  <c r="X4563" i="16"/>
  <c r="X4564" i="16"/>
  <c r="X4565" i="16"/>
  <c r="X4566" i="16"/>
  <c r="X4567" i="16"/>
  <c r="X4568" i="16"/>
  <c r="X4569" i="16"/>
  <c r="X4570" i="16"/>
  <c r="X4571" i="16"/>
  <c r="X4572" i="16"/>
  <c r="X4573" i="16"/>
  <c r="X4574" i="16"/>
  <c r="X4575" i="16"/>
  <c r="X4576" i="16"/>
  <c r="X4577" i="16"/>
  <c r="X4578" i="16"/>
  <c r="X4579" i="16"/>
  <c r="X4580" i="16"/>
  <c r="X4581" i="16"/>
  <c r="X4582" i="16"/>
  <c r="X4583" i="16"/>
  <c r="X4584" i="16"/>
  <c r="X4585" i="16"/>
  <c r="X4586" i="16"/>
  <c r="X4587" i="16"/>
  <c r="X4588" i="16"/>
  <c r="X4589" i="16"/>
  <c r="X4590" i="16"/>
  <c r="X4591" i="16"/>
  <c r="X4592" i="16"/>
  <c r="X4593" i="16"/>
  <c r="X4594" i="16"/>
  <c r="X4595" i="16"/>
  <c r="X4596" i="16"/>
  <c r="X4597" i="16"/>
  <c r="X4598" i="16"/>
  <c r="X4599" i="16"/>
  <c r="X4600" i="16"/>
  <c r="X4601" i="16"/>
  <c r="X4602" i="16"/>
  <c r="X4603" i="16"/>
  <c r="X4604" i="16"/>
  <c r="X4605" i="16"/>
  <c r="X4606" i="16"/>
  <c r="X4607" i="16"/>
  <c r="X4608" i="16"/>
  <c r="X4609" i="16"/>
  <c r="X4610" i="16"/>
  <c r="X4611" i="16"/>
  <c r="X4612" i="16"/>
  <c r="X4613" i="16"/>
  <c r="X4614" i="16"/>
  <c r="X4615" i="16"/>
  <c r="X4616" i="16"/>
  <c r="X4617" i="16"/>
  <c r="X4618" i="16"/>
  <c r="X4619" i="16"/>
  <c r="X4620" i="16"/>
  <c r="X4621" i="16"/>
  <c r="X4622" i="16"/>
  <c r="X4623" i="16"/>
  <c r="X4624" i="16"/>
  <c r="X4625" i="16"/>
  <c r="X4626" i="16"/>
  <c r="X4627" i="16"/>
  <c r="X4628" i="16"/>
  <c r="X4629" i="16"/>
  <c r="X4630" i="16"/>
  <c r="X4631" i="16"/>
  <c r="X4632" i="16"/>
  <c r="X4633" i="16"/>
  <c r="X4634" i="16"/>
  <c r="X4635" i="16"/>
  <c r="X4636" i="16"/>
  <c r="X4637" i="16"/>
  <c r="X4638" i="16"/>
  <c r="X4639" i="16"/>
  <c r="X4640" i="16"/>
  <c r="X4641" i="16"/>
  <c r="X4642" i="16"/>
  <c r="X4643" i="16"/>
  <c r="X4644" i="16"/>
  <c r="X4645" i="16"/>
  <c r="X4646" i="16"/>
  <c r="X4647" i="16"/>
  <c r="X4648" i="16"/>
  <c r="X4649" i="16"/>
  <c r="X4650" i="16"/>
  <c r="X4651" i="16"/>
  <c r="X4652" i="16"/>
  <c r="X4653" i="16"/>
  <c r="X4654" i="16"/>
  <c r="X4655" i="16"/>
  <c r="X4656" i="16"/>
  <c r="X4657" i="16"/>
  <c r="X4658" i="16"/>
  <c r="X4659" i="16"/>
  <c r="X4660" i="16"/>
  <c r="X4661" i="16"/>
  <c r="X4662" i="16"/>
  <c r="X4663" i="16"/>
  <c r="X4664" i="16"/>
  <c r="X4665" i="16"/>
  <c r="X4666" i="16"/>
  <c r="X4667" i="16"/>
  <c r="X4668" i="16"/>
  <c r="X4669" i="16"/>
  <c r="X4670" i="16"/>
  <c r="X4671" i="16"/>
  <c r="X4672" i="16"/>
  <c r="X4673" i="16"/>
  <c r="X4674" i="16"/>
  <c r="X4675" i="16"/>
  <c r="X4676" i="16"/>
  <c r="X4677" i="16"/>
  <c r="X4678" i="16"/>
  <c r="X4679" i="16"/>
  <c r="X4680" i="16"/>
  <c r="X4681" i="16"/>
  <c r="X4682" i="16"/>
  <c r="X4683" i="16"/>
  <c r="X4684" i="16"/>
  <c r="X4685" i="16"/>
  <c r="X4686" i="16"/>
  <c r="X4687" i="16"/>
  <c r="X4688" i="16"/>
  <c r="X4689" i="16"/>
  <c r="X4690" i="16"/>
  <c r="X4691" i="16"/>
  <c r="X4692" i="16"/>
  <c r="X4693" i="16"/>
  <c r="X4694" i="16"/>
  <c r="X4695" i="16"/>
  <c r="X4696" i="16"/>
  <c r="X4697" i="16"/>
  <c r="X4698" i="16"/>
  <c r="X4699" i="16"/>
  <c r="X4700" i="16"/>
  <c r="X4701" i="16"/>
  <c r="X4702" i="16"/>
  <c r="X4703" i="16"/>
  <c r="X4704" i="16"/>
  <c r="X4705" i="16"/>
  <c r="X4706" i="16"/>
  <c r="X4707" i="16"/>
  <c r="X4708" i="16"/>
  <c r="X4709" i="16"/>
  <c r="X4710" i="16"/>
  <c r="X4711" i="16"/>
  <c r="X4712" i="16"/>
  <c r="X4713" i="16"/>
  <c r="X4714" i="16"/>
  <c r="X4715" i="16"/>
  <c r="X4716" i="16"/>
  <c r="X4717" i="16"/>
  <c r="X4718" i="16"/>
  <c r="X4719" i="16"/>
  <c r="X4720" i="16"/>
  <c r="X4721" i="16"/>
  <c r="X4722" i="16"/>
  <c r="X4723" i="16"/>
  <c r="X4724" i="16"/>
  <c r="X4725" i="16"/>
  <c r="X4726" i="16"/>
  <c r="X4727" i="16"/>
  <c r="X4728" i="16"/>
  <c r="X4729" i="16"/>
  <c r="X4730" i="16"/>
  <c r="X4731" i="16"/>
  <c r="X4732" i="16"/>
  <c r="X4733" i="16"/>
  <c r="X4734" i="16"/>
  <c r="X4735" i="16"/>
  <c r="X4736" i="16"/>
  <c r="X4737" i="16"/>
  <c r="X4738" i="16"/>
  <c r="X4739" i="16"/>
  <c r="X4740" i="16"/>
  <c r="X4741" i="16"/>
  <c r="X4742" i="16"/>
  <c r="X4743" i="16"/>
  <c r="X4744" i="16"/>
  <c r="X4745" i="16"/>
  <c r="X4746" i="16"/>
  <c r="X4747" i="16"/>
  <c r="X4748" i="16"/>
  <c r="X4749" i="16"/>
  <c r="X4750" i="16"/>
  <c r="X4751" i="16"/>
  <c r="X4752" i="16"/>
  <c r="X4753" i="16"/>
  <c r="X4754" i="16"/>
  <c r="X4755" i="16"/>
  <c r="X4756" i="16"/>
  <c r="X4757" i="16"/>
  <c r="X4758" i="16"/>
  <c r="X4759" i="16"/>
  <c r="X4760" i="16"/>
  <c r="X4761" i="16"/>
  <c r="X4762" i="16"/>
  <c r="X4763" i="16"/>
  <c r="X4764" i="16"/>
  <c r="X4765" i="16"/>
  <c r="X4766" i="16"/>
  <c r="X4767" i="16"/>
  <c r="X4768" i="16"/>
  <c r="X4769" i="16"/>
  <c r="X4770" i="16"/>
  <c r="X4771" i="16"/>
  <c r="X4772" i="16"/>
  <c r="X4773" i="16"/>
  <c r="X4774" i="16"/>
  <c r="X4775" i="16"/>
  <c r="X4776" i="16"/>
  <c r="X4777" i="16"/>
  <c r="X4778" i="16"/>
  <c r="X4779" i="16"/>
  <c r="X4780" i="16"/>
  <c r="X4781" i="16"/>
  <c r="X4782" i="16"/>
  <c r="X4783" i="16"/>
  <c r="X4784" i="16"/>
  <c r="X4785" i="16"/>
  <c r="X4786" i="16"/>
  <c r="X4787" i="16"/>
  <c r="X4788" i="16"/>
  <c r="X4789" i="16"/>
  <c r="X4790" i="16"/>
  <c r="X4791" i="16"/>
  <c r="X4792" i="16"/>
  <c r="X4793" i="16"/>
  <c r="X4794" i="16"/>
  <c r="X4795" i="16"/>
  <c r="X4796" i="16"/>
  <c r="X4797" i="16"/>
  <c r="X4798" i="16"/>
  <c r="X4799" i="16"/>
  <c r="X4800" i="16"/>
  <c r="X4801" i="16"/>
  <c r="X4802" i="16"/>
  <c r="X4803" i="16"/>
  <c r="X4804" i="16"/>
  <c r="X4805" i="16"/>
  <c r="X4806" i="16"/>
  <c r="X4807" i="16"/>
  <c r="X4808" i="16"/>
  <c r="X4809" i="16"/>
  <c r="X4810" i="16"/>
  <c r="X4811" i="16"/>
  <c r="X4812" i="16"/>
  <c r="X4813" i="16"/>
  <c r="X4814" i="16"/>
  <c r="X4815" i="16"/>
  <c r="X4816" i="16"/>
  <c r="X4817" i="16"/>
  <c r="X4818" i="16"/>
  <c r="X4819" i="16"/>
  <c r="X4820" i="16"/>
  <c r="X4821" i="16"/>
  <c r="X4822" i="16"/>
  <c r="X4823" i="16"/>
  <c r="X4824" i="16"/>
  <c r="X4825" i="16"/>
  <c r="X4826" i="16"/>
  <c r="X4827" i="16"/>
  <c r="X4828" i="16"/>
  <c r="X4829" i="16"/>
  <c r="X4830" i="16"/>
  <c r="X4831" i="16"/>
  <c r="X4832" i="16"/>
  <c r="X4833" i="16"/>
  <c r="X4834" i="16"/>
  <c r="X4835" i="16"/>
  <c r="X4836" i="16"/>
  <c r="X4837" i="16"/>
  <c r="X4838" i="16"/>
  <c r="X4839" i="16"/>
  <c r="X4840" i="16"/>
  <c r="X4841" i="16"/>
  <c r="X4842" i="16"/>
  <c r="X4843" i="16"/>
  <c r="X4844" i="16"/>
  <c r="X4845" i="16"/>
  <c r="X4846" i="16"/>
  <c r="X4847" i="16"/>
  <c r="X4848" i="16"/>
  <c r="X4849" i="16"/>
  <c r="X4850" i="16"/>
  <c r="X4851" i="16"/>
  <c r="X4852" i="16"/>
  <c r="X4853" i="16"/>
  <c r="X4854" i="16"/>
  <c r="X4855" i="16"/>
  <c r="X4856" i="16"/>
  <c r="X4857" i="16"/>
  <c r="X4858" i="16"/>
  <c r="X4859" i="16"/>
  <c r="X4860" i="16"/>
  <c r="X4861" i="16"/>
  <c r="X4862" i="16"/>
  <c r="X4863" i="16"/>
  <c r="X4864" i="16"/>
  <c r="X4865" i="16"/>
  <c r="X4866" i="16"/>
  <c r="X4867" i="16"/>
  <c r="X4868" i="16"/>
  <c r="X4869" i="16"/>
  <c r="X4870" i="16"/>
  <c r="X4871" i="16"/>
  <c r="X4872" i="16"/>
  <c r="X4873" i="16"/>
  <c r="X4874" i="16"/>
  <c r="X4875" i="16"/>
  <c r="X4876" i="16"/>
  <c r="X4877" i="16"/>
  <c r="X4878" i="16"/>
  <c r="X4879" i="16"/>
  <c r="X4880" i="16"/>
  <c r="X4881" i="16"/>
  <c r="X4882" i="16"/>
  <c r="X4883" i="16"/>
  <c r="X4884" i="16"/>
  <c r="X4885" i="16"/>
  <c r="X4886" i="16"/>
  <c r="X4887" i="16"/>
  <c r="X4888" i="16"/>
  <c r="X4889" i="16"/>
  <c r="X4890" i="16"/>
  <c r="X4891" i="16"/>
  <c r="X4892" i="16"/>
  <c r="X4893" i="16"/>
  <c r="X4894" i="16"/>
  <c r="X4895" i="16"/>
  <c r="X4896" i="16"/>
  <c r="X4897" i="16"/>
  <c r="X4898" i="16"/>
  <c r="X4899" i="16"/>
  <c r="X4900" i="16"/>
  <c r="X4901" i="16"/>
  <c r="X4902" i="16"/>
  <c r="X4903" i="16"/>
  <c r="X4904" i="16"/>
  <c r="X4905" i="16"/>
  <c r="X4906" i="16"/>
  <c r="X4907" i="16"/>
  <c r="X4908" i="16"/>
  <c r="X4909" i="16"/>
  <c r="X4910" i="16"/>
  <c r="X4911" i="16"/>
  <c r="X4912" i="16"/>
  <c r="X4913" i="16"/>
  <c r="X4914" i="16"/>
  <c r="X4915" i="16"/>
  <c r="X4916" i="16"/>
  <c r="X4917" i="16"/>
  <c r="X4918" i="16"/>
  <c r="X4919" i="16"/>
  <c r="X4920" i="16"/>
  <c r="X4921" i="16"/>
  <c r="X4922" i="16"/>
  <c r="X4923" i="16"/>
  <c r="X4924" i="16"/>
  <c r="X4925" i="16"/>
  <c r="X4926" i="16"/>
  <c r="X4927" i="16"/>
  <c r="X4928" i="16"/>
  <c r="X4929" i="16"/>
  <c r="X4930" i="16"/>
  <c r="X4931" i="16"/>
  <c r="X4932" i="16"/>
  <c r="X4933" i="16"/>
  <c r="X4934" i="16"/>
  <c r="X4935" i="16"/>
  <c r="X4936" i="16"/>
  <c r="X4937" i="16"/>
  <c r="X4938" i="16"/>
  <c r="X4939" i="16"/>
  <c r="X4940" i="16"/>
  <c r="X4941" i="16"/>
  <c r="X4942" i="16"/>
  <c r="X4943" i="16"/>
  <c r="X4944" i="16"/>
  <c r="X4945" i="16"/>
  <c r="X4946" i="16"/>
  <c r="X4947" i="16"/>
  <c r="X4948" i="16"/>
  <c r="X4949" i="16"/>
  <c r="X4950" i="16"/>
  <c r="X4951" i="16"/>
  <c r="X4952" i="16"/>
  <c r="X4953" i="16"/>
  <c r="X4954" i="16"/>
  <c r="X4955" i="16"/>
  <c r="X4956" i="16"/>
  <c r="X4957" i="16"/>
  <c r="X4958" i="16"/>
  <c r="X4959" i="16"/>
  <c r="X4960" i="16"/>
  <c r="X4961" i="16"/>
  <c r="X4962" i="16"/>
  <c r="X4963" i="16"/>
  <c r="X4964" i="16"/>
  <c r="X4965" i="16"/>
  <c r="X4966" i="16"/>
  <c r="X4967" i="16"/>
  <c r="X4968" i="16"/>
  <c r="X4969" i="16"/>
  <c r="X4970" i="16"/>
  <c r="X4971" i="16"/>
  <c r="X4972" i="16"/>
  <c r="X4973" i="16"/>
  <c r="X4974" i="16"/>
  <c r="X4975" i="16"/>
  <c r="X4976" i="16"/>
  <c r="X4977" i="16"/>
  <c r="X4978" i="16"/>
  <c r="X4979" i="16"/>
  <c r="X4980" i="16"/>
  <c r="X4981" i="16"/>
  <c r="X4982" i="16"/>
  <c r="X4983" i="16"/>
  <c r="X4984" i="16"/>
  <c r="X4985" i="16"/>
  <c r="X4986" i="16"/>
  <c r="X4987" i="16"/>
  <c r="X4988" i="16"/>
  <c r="X4989" i="16"/>
  <c r="X4990" i="16"/>
  <c r="X4991" i="16"/>
  <c r="X4992" i="16"/>
  <c r="X4993" i="16"/>
  <c r="X4994" i="16"/>
  <c r="X4995" i="16"/>
  <c r="X4996" i="16"/>
  <c r="X4997" i="16"/>
  <c r="X4998" i="16"/>
  <c r="X4999" i="16"/>
  <c r="X5000" i="16"/>
  <c r="X5001" i="16"/>
  <c r="X5002" i="16"/>
  <c r="X5003" i="16"/>
  <c r="X5004" i="16"/>
  <c r="X5005" i="16"/>
  <c r="X5006" i="16"/>
  <c r="X5007" i="16"/>
  <c r="X5008" i="16"/>
  <c r="X5009" i="16"/>
  <c r="X5010" i="16"/>
  <c r="X5011" i="16"/>
  <c r="X5012" i="16"/>
  <c r="X5013" i="16"/>
  <c r="X5014" i="16"/>
  <c r="X5015" i="16"/>
  <c r="X5016" i="16"/>
  <c r="X5017" i="16"/>
  <c r="X5018" i="16"/>
  <c r="X5019" i="16"/>
  <c r="X5020" i="16"/>
  <c r="X5021" i="16"/>
  <c r="X5022" i="16"/>
  <c r="X5023" i="16"/>
  <c r="X5024" i="16"/>
  <c r="X5025" i="16"/>
  <c r="X5026" i="16"/>
  <c r="X5027" i="16"/>
  <c r="X5028" i="16"/>
  <c r="X5029" i="16"/>
  <c r="X5030" i="16"/>
  <c r="X5031" i="16"/>
  <c r="X5032" i="16"/>
  <c r="X5033" i="16"/>
  <c r="X5034" i="16"/>
  <c r="X5035" i="16"/>
  <c r="X5036" i="16"/>
  <c r="X5037" i="16"/>
  <c r="X5038" i="16"/>
  <c r="X5039" i="16"/>
  <c r="X5040" i="16"/>
  <c r="X5041" i="16"/>
  <c r="X5042" i="16"/>
  <c r="X5043" i="16"/>
  <c r="X5044" i="16"/>
  <c r="X5045" i="16"/>
  <c r="X5046" i="16"/>
  <c r="X5047" i="16"/>
  <c r="X5048" i="16"/>
  <c r="X5049" i="16"/>
  <c r="X5050" i="16"/>
  <c r="X5051" i="16"/>
  <c r="X5052" i="16"/>
  <c r="X5053" i="16"/>
  <c r="X5054" i="16"/>
  <c r="X5055" i="16"/>
  <c r="X5056" i="16"/>
  <c r="X5057" i="16"/>
  <c r="X5058" i="16"/>
  <c r="X5059" i="16"/>
  <c r="X5060" i="16"/>
  <c r="X5061" i="16"/>
  <c r="X5062" i="16"/>
  <c r="X5063" i="16"/>
  <c r="X5064" i="16"/>
  <c r="X5065" i="16"/>
  <c r="X5066" i="16"/>
  <c r="X5067" i="16"/>
  <c r="X5068" i="16"/>
  <c r="X5069" i="16"/>
  <c r="X5070" i="16"/>
  <c r="X5071" i="16"/>
  <c r="X5072" i="16"/>
  <c r="X5073" i="16"/>
  <c r="X5074" i="16"/>
  <c r="X5075" i="16"/>
  <c r="X5076" i="16"/>
  <c r="X5077" i="16"/>
  <c r="X5078" i="16"/>
  <c r="X5079" i="16"/>
  <c r="X5080" i="16"/>
  <c r="X5081" i="16"/>
  <c r="X5082" i="16"/>
  <c r="X5083" i="16"/>
  <c r="X5084" i="16"/>
  <c r="X5085" i="16"/>
  <c r="X5086" i="16"/>
  <c r="X5087" i="16"/>
  <c r="X5088" i="16"/>
  <c r="X5089" i="16"/>
  <c r="X5090" i="16"/>
  <c r="X5091" i="16"/>
  <c r="X5092" i="16"/>
  <c r="X5093" i="16"/>
  <c r="X5094" i="16"/>
  <c r="X5095" i="16"/>
  <c r="X5096" i="16"/>
  <c r="X5097" i="16"/>
  <c r="X5098" i="16"/>
  <c r="X5099" i="16"/>
  <c r="X5100" i="16"/>
  <c r="X5101" i="16"/>
  <c r="X5102" i="16"/>
  <c r="X5103" i="16"/>
  <c r="X5104" i="16"/>
  <c r="X5105" i="16"/>
  <c r="X5106" i="16"/>
  <c r="X5107" i="16"/>
  <c r="X5108" i="16"/>
  <c r="X5109" i="16"/>
  <c r="X5110" i="16"/>
  <c r="X5111" i="16"/>
  <c r="X5112" i="16"/>
  <c r="X5113" i="16"/>
  <c r="X5114" i="16"/>
  <c r="X5115" i="16"/>
  <c r="X5116" i="16"/>
  <c r="X5117" i="16"/>
  <c r="X5118" i="16"/>
  <c r="X5119" i="16"/>
  <c r="X5120" i="16"/>
  <c r="X5121" i="16"/>
  <c r="X5122" i="16"/>
  <c r="X5123" i="16"/>
  <c r="X5124" i="16"/>
  <c r="X5125" i="16"/>
  <c r="X5126" i="16"/>
  <c r="X5127" i="16"/>
  <c r="X5128" i="16"/>
  <c r="X5129" i="16"/>
  <c r="X5130" i="16"/>
  <c r="X5131" i="16"/>
  <c r="X5132" i="16"/>
  <c r="X5133" i="16"/>
  <c r="X5134" i="16"/>
  <c r="X5135" i="16"/>
  <c r="X5136" i="16"/>
  <c r="X5137" i="16"/>
  <c r="X5138" i="16"/>
  <c r="X5139" i="16"/>
  <c r="X5140" i="16"/>
  <c r="X5141" i="16"/>
  <c r="X5142" i="16"/>
  <c r="X5143" i="16"/>
  <c r="X5144" i="16"/>
  <c r="X5145" i="16"/>
  <c r="X5146" i="16"/>
  <c r="X5147" i="16"/>
  <c r="X5148" i="16"/>
  <c r="X5149" i="16"/>
  <c r="X5150" i="16"/>
  <c r="X5151" i="16"/>
  <c r="X5152" i="16"/>
  <c r="X5153" i="16"/>
  <c r="X5154" i="16"/>
  <c r="X5155" i="16"/>
  <c r="X5156" i="16"/>
  <c r="X5157" i="16"/>
  <c r="X5158" i="16"/>
  <c r="X5159" i="16"/>
  <c r="X5160" i="16"/>
  <c r="X5161" i="16"/>
  <c r="X5162" i="16"/>
  <c r="X5163" i="16"/>
  <c r="X5164" i="16"/>
  <c r="X5165" i="16"/>
  <c r="X5166" i="16"/>
  <c r="X5167" i="16"/>
  <c r="X5168" i="16"/>
  <c r="X5169" i="16"/>
  <c r="X5170" i="16"/>
  <c r="X5171" i="16"/>
  <c r="X5172" i="16"/>
  <c r="X5173" i="16"/>
  <c r="X5174" i="16"/>
  <c r="X5175" i="16"/>
  <c r="X5176" i="16"/>
  <c r="X5177" i="16"/>
  <c r="X5178" i="16"/>
  <c r="X5179" i="16"/>
  <c r="X5180" i="16"/>
  <c r="X5181" i="16"/>
  <c r="X5182" i="16"/>
  <c r="X5183" i="16"/>
  <c r="X5184" i="16"/>
  <c r="X5185" i="16"/>
  <c r="X5186" i="16"/>
  <c r="X5187" i="16"/>
  <c r="X5188" i="16"/>
  <c r="X5189" i="16"/>
  <c r="X5190" i="16"/>
  <c r="X5191" i="16"/>
  <c r="X5192" i="16"/>
  <c r="X5193" i="16"/>
  <c r="X5194" i="16"/>
  <c r="X5195" i="16"/>
  <c r="X5196" i="16"/>
  <c r="X5197" i="16"/>
  <c r="X5198" i="16"/>
  <c r="X5199" i="16"/>
  <c r="X5200" i="16"/>
  <c r="X5201" i="16"/>
  <c r="X5202" i="16"/>
  <c r="X5203" i="16"/>
  <c r="X5204" i="16"/>
  <c r="X5205" i="16"/>
  <c r="X5206" i="16"/>
  <c r="X5207" i="16"/>
  <c r="X5208" i="16"/>
  <c r="X5209" i="16"/>
  <c r="X5210" i="16"/>
  <c r="X5211" i="16"/>
  <c r="X5212" i="16"/>
  <c r="X5213" i="16"/>
  <c r="X5214" i="16"/>
  <c r="X5215" i="16"/>
  <c r="X5216" i="16"/>
  <c r="X5217" i="16"/>
  <c r="X5218" i="16"/>
  <c r="X5219" i="16"/>
  <c r="X5220" i="16"/>
  <c r="X5221" i="16"/>
  <c r="X5222" i="16"/>
  <c r="X5223" i="16"/>
  <c r="X5224" i="16"/>
  <c r="X5225" i="16"/>
  <c r="X5226" i="16"/>
  <c r="X5227" i="16"/>
  <c r="X5228" i="16"/>
  <c r="X5229" i="16"/>
  <c r="X5230" i="16"/>
  <c r="X5231" i="16"/>
  <c r="X5232" i="16"/>
  <c r="X5233" i="16"/>
  <c r="X5234" i="16"/>
  <c r="X5235" i="16"/>
  <c r="X5236" i="16"/>
  <c r="X5237" i="16"/>
  <c r="X5238" i="16"/>
  <c r="X5239" i="16"/>
  <c r="X5240" i="16"/>
  <c r="X5241" i="16"/>
  <c r="X5242" i="16"/>
  <c r="X5243" i="16"/>
  <c r="X5244" i="16"/>
  <c r="X5245" i="16"/>
  <c r="X5246" i="16"/>
  <c r="X5247" i="16"/>
  <c r="X5248" i="16"/>
  <c r="X5249" i="16"/>
  <c r="X5250" i="16"/>
  <c r="X5251" i="16"/>
  <c r="X5252" i="16"/>
  <c r="X5253" i="16"/>
  <c r="X5254" i="16"/>
  <c r="X5255" i="16"/>
  <c r="X5256" i="16"/>
  <c r="X5257" i="16"/>
  <c r="X5258" i="16"/>
  <c r="X5259" i="16"/>
  <c r="X5260" i="16"/>
  <c r="X5261" i="16"/>
  <c r="X5262" i="16"/>
  <c r="X5263" i="16"/>
  <c r="X5264" i="16"/>
  <c r="X5265" i="16"/>
  <c r="X5266" i="16"/>
  <c r="X5267" i="16"/>
  <c r="X5268" i="16"/>
  <c r="X5269" i="16"/>
  <c r="X5270" i="16"/>
  <c r="X5271" i="16"/>
  <c r="X5272" i="16"/>
  <c r="X5273" i="16"/>
  <c r="X5274" i="16"/>
  <c r="X5275" i="16"/>
  <c r="X5276" i="16"/>
  <c r="X5277" i="16"/>
  <c r="X5278" i="16"/>
  <c r="X5279" i="16"/>
  <c r="X5280" i="16"/>
  <c r="X5281" i="16"/>
  <c r="X5282" i="16"/>
  <c r="X5283" i="16"/>
  <c r="X5284" i="16"/>
  <c r="X5285" i="16"/>
  <c r="X5286" i="16"/>
  <c r="X5287" i="16"/>
  <c r="X5288" i="16"/>
  <c r="X5289" i="16"/>
  <c r="X5290" i="16"/>
  <c r="X5291" i="16"/>
  <c r="X5292" i="16"/>
  <c r="X5293" i="16"/>
  <c r="X5294" i="16"/>
  <c r="X5295" i="16"/>
  <c r="X5296" i="16"/>
  <c r="X5297" i="16"/>
  <c r="X5298" i="16"/>
  <c r="X5299" i="16"/>
  <c r="X5300" i="16"/>
  <c r="X5301" i="16"/>
  <c r="X5302" i="16"/>
  <c r="X5303" i="16"/>
  <c r="X5304" i="16"/>
  <c r="X5305" i="16"/>
  <c r="X5306" i="16"/>
  <c r="X5307" i="16"/>
  <c r="X5308" i="16"/>
  <c r="X5309" i="16"/>
  <c r="X5310" i="16"/>
  <c r="X5311" i="16"/>
  <c r="X5312" i="16"/>
  <c r="X5313" i="16"/>
  <c r="X5314" i="16"/>
  <c r="X5315" i="16"/>
  <c r="X5316" i="16"/>
  <c r="X5317" i="16"/>
  <c r="X5318" i="16"/>
  <c r="X5319" i="16"/>
  <c r="X5320" i="16"/>
  <c r="X5321" i="16"/>
  <c r="X5322" i="16"/>
  <c r="X5323" i="16"/>
  <c r="X5324" i="16"/>
  <c r="X5325" i="16"/>
  <c r="X5326" i="16"/>
  <c r="X5327" i="16"/>
  <c r="X5328" i="16"/>
  <c r="X5329" i="16"/>
  <c r="X5330" i="16"/>
  <c r="X5331" i="16"/>
  <c r="X5332" i="16"/>
  <c r="X5333" i="16"/>
  <c r="X5334" i="16"/>
  <c r="X5335" i="16"/>
  <c r="X5336" i="16"/>
  <c r="X5337" i="16"/>
  <c r="X5338" i="16"/>
  <c r="X5339" i="16"/>
  <c r="X5340" i="16"/>
  <c r="X5341" i="16"/>
  <c r="X5342" i="16"/>
  <c r="X5343" i="16"/>
  <c r="X5344" i="16"/>
  <c r="X5345" i="16"/>
  <c r="X5346" i="16"/>
  <c r="X5347" i="16"/>
  <c r="X5348" i="16"/>
  <c r="X5349" i="16"/>
  <c r="X5350" i="16"/>
  <c r="X5351" i="16"/>
  <c r="X5352" i="16"/>
  <c r="X5353" i="16"/>
  <c r="X5354" i="16"/>
  <c r="X5355" i="16"/>
  <c r="X5356" i="16"/>
  <c r="X5357" i="16"/>
  <c r="X5358" i="16"/>
  <c r="X5359" i="16"/>
  <c r="X5360" i="16"/>
  <c r="X5361" i="16"/>
  <c r="X5362" i="16"/>
  <c r="X5363" i="16"/>
  <c r="X5364" i="16"/>
  <c r="X5365" i="16"/>
  <c r="X5366" i="16"/>
  <c r="X5367" i="16"/>
  <c r="X5368" i="16"/>
  <c r="X5369" i="16"/>
  <c r="X5370" i="16"/>
  <c r="X5371" i="16"/>
  <c r="X5372" i="16"/>
  <c r="X5373" i="16"/>
  <c r="X5374" i="16"/>
  <c r="X5375" i="16"/>
  <c r="X5376" i="16"/>
  <c r="X5377" i="16"/>
  <c r="X5378" i="16"/>
  <c r="X5379" i="16"/>
  <c r="X5380" i="16"/>
  <c r="X5381" i="16"/>
  <c r="X5382" i="16"/>
  <c r="X5383" i="16"/>
  <c r="X5384" i="16"/>
  <c r="X5385" i="16"/>
  <c r="X5386" i="16"/>
  <c r="X5387" i="16"/>
  <c r="X5388" i="16"/>
  <c r="X5389" i="16"/>
  <c r="X5390" i="16"/>
  <c r="X5391" i="16"/>
  <c r="X5392" i="16"/>
  <c r="X5393" i="16"/>
  <c r="X5394" i="16"/>
  <c r="X5395" i="16"/>
  <c r="X5396" i="16"/>
  <c r="X5397" i="16"/>
  <c r="X5398" i="16"/>
  <c r="X5399" i="16"/>
  <c r="X5400" i="16"/>
  <c r="X5401" i="16"/>
  <c r="X5402" i="16"/>
  <c r="X5403" i="16"/>
  <c r="X5404" i="16"/>
  <c r="X5405" i="16"/>
  <c r="X5406" i="16"/>
  <c r="X5407" i="16"/>
  <c r="X5408" i="16"/>
  <c r="X5409" i="16"/>
  <c r="X5410" i="16"/>
  <c r="X5411" i="16"/>
  <c r="X5412" i="16"/>
  <c r="X5413" i="16"/>
  <c r="X5414" i="16"/>
  <c r="X5415" i="16"/>
  <c r="X5416" i="16"/>
  <c r="X5417" i="16"/>
  <c r="X5418" i="16"/>
  <c r="X5419" i="16"/>
  <c r="X5420" i="16"/>
  <c r="X5421" i="16"/>
  <c r="X5422" i="16"/>
  <c r="X5423" i="16"/>
  <c r="X5424" i="16"/>
  <c r="X5425" i="16"/>
  <c r="X5426" i="16"/>
  <c r="X5427" i="16"/>
  <c r="X5428" i="16"/>
  <c r="X5429" i="16"/>
  <c r="X5430" i="16"/>
  <c r="X5431" i="16"/>
  <c r="X5432" i="16"/>
  <c r="X5433" i="16"/>
  <c r="X5434" i="16"/>
  <c r="X5435" i="16"/>
  <c r="X5436" i="16"/>
  <c r="X5437" i="16"/>
  <c r="X5438" i="16"/>
  <c r="X5439" i="16"/>
  <c r="X5440" i="16"/>
  <c r="X5441" i="16"/>
  <c r="X5442" i="16"/>
  <c r="X5443" i="16"/>
  <c r="X5444" i="16"/>
  <c r="X5445" i="16"/>
  <c r="X5446" i="16"/>
  <c r="X5447" i="16"/>
  <c r="X5448" i="16"/>
  <c r="X5449" i="16"/>
  <c r="X5450" i="16"/>
  <c r="X5451" i="16"/>
  <c r="X5452" i="16"/>
  <c r="X5453" i="16"/>
  <c r="X5454" i="16"/>
  <c r="X5455" i="16"/>
  <c r="X5456" i="16"/>
  <c r="X5457" i="16"/>
  <c r="X5458" i="16"/>
  <c r="X5459" i="16"/>
  <c r="X5460" i="16"/>
  <c r="X5461" i="16"/>
  <c r="X5462" i="16"/>
  <c r="X5463" i="16"/>
  <c r="X5464" i="16"/>
  <c r="X5465" i="16"/>
  <c r="X5466" i="16"/>
  <c r="X5467" i="16"/>
  <c r="X5468" i="16"/>
  <c r="X5469" i="16"/>
  <c r="X5470" i="16"/>
  <c r="X5471" i="16"/>
  <c r="X5472" i="16"/>
  <c r="X5473" i="16"/>
  <c r="X5474" i="16"/>
  <c r="X5475" i="16"/>
  <c r="X5476" i="16"/>
  <c r="X5477" i="16"/>
  <c r="X5478" i="16"/>
  <c r="X5479" i="16"/>
  <c r="X5480" i="16"/>
  <c r="X5481" i="16"/>
  <c r="X5482" i="16"/>
  <c r="X5483" i="16"/>
  <c r="X5484" i="16"/>
  <c r="X5485" i="16"/>
  <c r="X5486" i="16"/>
  <c r="X5487" i="16"/>
  <c r="X5488" i="16"/>
  <c r="X5489" i="16"/>
  <c r="X5490" i="16"/>
  <c r="X5491" i="16"/>
  <c r="X5492" i="16"/>
  <c r="X5493" i="16"/>
  <c r="X5494" i="16"/>
  <c r="X5495" i="16"/>
  <c r="X5496" i="16"/>
  <c r="X5497" i="16"/>
  <c r="X5498" i="16"/>
  <c r="X5499" i="16"/>
  <c r="X5500" i="16"/>
  <c r="X5501" i="16"/>
  <c r="X5502" i="16"/>
  <c r="X5503" i="16"/>
  <c r="X5504" i="16"/>
  <c r="X5505" i="16"/>
  <c r="X5506" i="16"/>
  <c r="X5507" i="16"/>
  <c r="X5508" i="16"/>
  <c r="X5509" i="16"/>
  <c r="X5510" i="16"/>
  <c r="X5511" i="16"/>
  <c r="X5512" i="16"/>
  <c r="X5513" i="16"/>
  <c r="X5514" i="16"/>
  <c r="X5515" i="16"/>
  <c r="X5516" i="16"/>
  <c r="X5517" i="16"/>
  <c r="X5518" i="16"/>
  <c r="X5519" i="16"/>
  <c r="X5520" i="16"/>
  <c r="X5521" i="16"/>
  <c r="X5522" i="16"/>
  <c r="X5523" i="16"/>
  <c r="X5524" i="16"/>
  <c r="X5525" i="16"/>
  <c r="X5526" i="16"/>
  <c r="X5527" i="16"/>
  <c r="X5528" i="16"/>
  <c r="X5529" i="16"/>
  <c r="X5530" i="16"/>
  <c r="X5531" i="16"/>
  <c r="X5532" i="16"/>
  <c r="X5533" i="16"/>
  <c r="X5534" i="16"/>
  <c r="X5535" i="16"/>
  <c r="X5536" i="16"/>
  <c r="X5537" i="16"/>
  <c r="X5538" i="16"/>
  <c r="X5539" i="16"/>
  <c r="X5540" i="16"/>
  <c r="X5541" i="16"/>
  <c r="X5542" i="16"/>
  <c r="X5543" i="16"/>
  <c r="X5544" i="16"/>
  <c r="X5545" i="16"/>
  <c r="X5546" i="16"/>
  <c r="X5547" i="16"/>
  <c r="X5548" i="16"/>
  <c r="X5549" i="16"/>
  <c r="X5550" i="16"/>
  <c r="X5551" i="16"/>
  <c r="X5552" i="16"/>
  <c r="X5553" i="16"/>
  <c r="X5554" i="16"/>
  <c r="X5555" i="16"/>
  <c r="X5556" i="16"/>
  <c r="X5557" i="16"/>
  <c r="X5558" i="16"/>
  <c r="X5559" i="16"/>
  <c r="X5560" i="16"/>
  <c r="X5561" i="16"/>
  <c r="X5562" i="16"/>
  <c r="X5563" i="16"/>
  <c r="X5564" i="16"/>
  <c r="X5565" i="16"/>
  <c r="X5566" i="16"/>
  <c r="X5567" i="16"/>
  <c r="X5568" i="16"/>
  <c r="X5569" i="16"/>
  <c r="X5570" i="16"/>
  <c r="X5571" i="16"/>
  <c r="X5572" i="16"/>
  <c r="X5573" i="16"/>
  <c r="X5574" i="16"/>
  <c r="X5575" i="16"/>
  <c r="X5576" i="16"/>
  <c r="X5577" i="16"/>
  <c r="X5578" i="16"/>
  <c r="X5579" i="16"/>
  <c r="X5580" i="16"/>
  <c r="X5581" i="16"/>
  <c r="X5582" i="16"/>
  <c r="X5583" i="16"/>
  <c r="X5584" i="16"/>
  <c r="X5585" i="16"/>
  <c r="X5586" i="16"/>
  <c r="X5587" i="16"/>
  <c r="X5588" i="16"/>
  <c r="X5589" i="16"/>
  <c r="X5590" i="16"/>
  <c r="X5591" i="16"/>
  <c r="X5592" i="16"/>
  <c r="X5593" i="16"/>
  <c r="X5594" i="16"/>
  <c r="X5595" i="16"/>
  <c r="X5596" i="16"/>
  <c r="X5597" i="16"/>
  <c r="X5598" i="16"/>
  <c r="X5599" i="16"/>
  <c r="X5600" i="16"/>
  <c r="X5601" i="16"/>
  <c r="X5602" i="16"/>
  <c r="X5603" i="16"/>
  <c r="X5604" i="16"/>
  <c r="X5605" i="16"/>
  <c r="X5606" i="16"/>
  <c r="X5607" i="16"/>
  <c r="X5608" i="16"/>
  <c r="X5609" i="16"/>
  <c r="X5610" i="16"/>
  <c r="X5611" i="16"/>
  <c r="X5612" i="16"/>
  <c r="X5613" i="16"/>
  <c r="X5614" i="16"/>
  <c r="X5615" i="16"/>
  <c r="X5616" i="16"/>
  <c r="X5617" i="16"/>
  <c r="X5618" i="16"/>
  <c r="X5619" i="16"/>
  <c r="X5620" i="16"/>
  <c r="X5621" i="16"/>
  <c r="X5622" i="16"/>
  <c r="X5623" i="16"/>
  <c r="X5624" i="16"/>
  <c r="X5625" i="16"/>
  <c r="X5626" i="16"/>
  <c r="X5627" i="16"/>
  <c r="X5628" i="16"/>
  <c r="X5629" i="16"/>
  <c r="X5630" i="16"/>
  <c r="X5631" i="16"/>
  <c r="X5632" i="16"/>
  <c r="X5633" i="16"/>
  <c r="X5634" i="16"/>
  <c r="X5635" i="16"/>
  <c r="X5636" i="16"/>
  <c r="X5637" i="16"/>
  <c r="X5638" i="16"/>
  <c r="X5639" i="16"/>
  <c r="X5640" i="16"/>
  <c r="X5641" i="16"/>
  <c r="X5642" i="16"/>
  <c r="X5643" i="16"/>
  <c r="X5644" i="16"/>
  <c r="X5645" i="16"/>
  <c r="X5646" i="16"/>
  <c r="X5647" i="16"/>
  <c r="X5648" i="16"/>
  <c r="X5649" i="16"/>
  <c r="X5650" i="16"/>
  <c r="X5651" i="16"/>
  <c r="X5652" i="16"/>
  <c r="X5653" i="16"/>
  <c r="X5654" i="16"/>
  <c r="X5655" i="16"/>
  <c r="X5656" i="16"/>
  <c r="X5657" i="16"/>
  <c r="X5658" i="16"/>
  <c r="X5659" i="16"/>
  <c r="X5660" i="16"/>
  <c r="X5661" i="16"/>
  <c r="X5662" i="16"/>
  <c r="X5663" i="16"/>
  <c r="X5664" i="16"/>
  <c r="X5665" i="16"/>
  <c r="X5666" i="16"/>
  <c r="X5667" i="16"/>
  <c r="X5668" i="16"/>
  <c r="X5669" i="16"/>
  <c r="X5670" i="16"/>
  <c r="X5671" i="16"/>
  <c r="X5672" i="16"/>
  <c r="X5673" i="16"/>
  <c r="X5674" i="16"/>
  <c r="X5675" i="16"/>
  <c r="X5676" i="16"/>
  <c r="X5677" i="16"/>
  <c r="X5678" i="16"/>
  <c r="X5679" i="16"/>
  <c r="X5680" i="16"/>
  <c r="X5681" i="16"/>
  <c r="X5682" i="16"/>
  <c r="X5683" i="16"/>
  <c r="X5684" i="16"/>
  <c r="X5685" i="16"/>
  <c r="X5686" i="16"/>
  <c r="X5687" i="16"/>
  <c r="X5688" i="16"/>
  <c r="X5689" i="16"/>
  <c r="X5690" i="16"/>
  <c r="X5691" i="16"/>
  <c r="X5692" i="16"/>
  <c r="X5693" i="16"/>
  <c r="X5694" i="16"/>
  <c r="X5695" i="16"/>
  <c r="X5696" i="16"/>
  <c r="X5697" i="16"/>
  <c r="X5698" i="16"/>
  <c r="X5699" i="16"/>
  <c r="X5700" i="16"/>
  <c r="X5701" i="16"/>
  <c r="X5702" i="16"/>
  <c r="X5703" i="16"/>
  <c r="X5704" i="16"/>
  <c r="X5705" i="16"/>
  <c r="X5706" i="16"/>
  <c r="X5707" i="16"/>
  <c r="X5708" i="16"/>
  <c r="X5709" i="16"/>
  <c r="X5710" i="16"/>
  <c r="X5711" i="16"/>
  <c r="X5712" i="16"/>
  <c r="X5713" i="16"/>
  <c r="X5714" i="16"/>
  <c r="X5715" i="16"/>
  <c r="X5716" i="16"/>
  <c r="X5717" i="16"/>
  <c r="X5718" i="16"/>
  <c r="X5719" i="16"/>
  <c r="X5720" i="16"/>
  <c r="X5721" i="16"/>
  <c r="X5722" i="16"/>
  <c r="X5723" i="16"/>
  <c r="X5724" i="16"/>
  <c r="X5725" i="16"/>
  <c r="X5726" i="16"/>
  <c r="X5727" i="16"/>
  <c r="X5728" i="16"/>
  <c r="X5729" i="16"/>
  <c r="X5730" i="16"/>
  <c r="X5731" i="16"/>
  <c r="X5732" i="16"/>
  <c r="X5733" i="16"/>
  <c r="X5734" i="16"/>
  <c r="X5735" i="16"/>
  <c r="X5736" i="16"/>
  <c r="X5737" i="16"/>
  <c r="X5738" i="16"/>
  <c r="X5739" i="16"/>
  <c r="X5740" i="16"/>
  <c r="X5741" i="16"/>
  <c r="X5742" i="16"/>
  <c r="X5743" i="16"/>
  <c r="X5744" i="16"/>
  <c r="X5745" i="16"/>
  <c r="X5746" i="16"/>
  <c r="X5747" i="16"/>
  <c r="X5748" i="16"/>
  <c r="X5749" i="16"/>
  <c r="X5750" i="16"/>
  <c r="X5751" i="16"/>
  <c r="X5752" i="16"/>
  <c r="X5753" i="16"/>
  <c r="X5754" i="16"/>
  <c r="X5755" i="16"/>
  <c r="X5756" i="16"/>
  <c r="X5757" i="16"/>
  <c r="X5758" i="16"/>
  <c r="X5759" i="16"/>
  <c r="X5760" i="16"/>
  <c r="X5761" i="16"/>
  <c r="X5762" i="16"/>
  <c r="X5763" i="16"/>
  <c r="X5764" i="16"/>
  <c r="X5765" i="16"/>
  <c r="X5766" i="16"/>
  <c r="X5767" i="16"/>
  <c r="X5768" i="16"/>
  <c r="X5769" i="16"/>
  <c r="X5770" i="16"/>
  <c r="X5771" i="16"/>
  <c r="X5772" i="16"/>
  <c r="X5773" i="16"/>
  <c r="X5774" i="16"/>
  <c r="X5775" i="16"/>
  <c r="X5776" i="16"/>
  <c r="X5777" i="16"/>
  <c r="X5778" i="16"/>
  <c r="X5779" i="16"/>
  <c r="X5780" i="16"/>
  <c r="X5781" i="16"/>
  <c r="X5782" i="16"/>
  <c r="X5783" i="16"/>
  <c r="X5784" i="16"/>
  <c r="X5785" i="16"/>
  <c r="X5786" i="16"/>
  <c r="X5787" i="16"/>
  <c r="X5788" i="16"/>
  <c r="X5789" i="16"/>
  <c r="X5790" i="16"/>
  <c r="X5791" i="16"/>
  <c r="X5792" i="16"/>
  <c r="X5793" i="16"/>
  <c r="X5794" i="16"/>
  <c r="X5795" i="16"/>
  <c r="X5796" i="16"/>
  <c r="X5797" i="16"/>
  <c r="X5798" i="16"/>
  <c r="X5799" i="16"/>
  <c r="X5800" i="16"/>
  <c r="X5801" i="16"/>
  <c r="X5802" i="16"/>
  <c r="X5803" i="16"/>
  <c r="X5804" i="16"/>
  <c r="X5805" i="16"/>
  <c r="X5806" i="16"/>
  <c r="X5807" i="16"/>
  <c r="X5808" i="16"/>
  <c r="X5809" i="16"/>
  <c r="X5810" i="16"/>
  <c r="X5811" i="16"/>
  <c r="X5812" i="16"/>
  <c r="X5813" i="16"/>
  <c r="X5814" i="16"/>
  <c r="X5815" i="16"/>
  <c r="X5816" i="16"/>
  <c r="X5817" i="16"/>
  <c r="X5818" i="16"/>
  <c r="X5819" i="16"/>
  <c r="X5820" i="16"/>
  <c r="X5821" i="16"/>
  <c r="X5822" i="16"/>
  <c r="X5823" i="16"/>
  <c r="X5824" i="16"/>
  <c r="X5825" i="16"/>
  <c r="X5826" i="16"/>
  <c r="X5827" i="16"/>
  <c r="X5828" i="16"/>
  <c r="X5829" i="16"/>
  <c r="X5830" i="16"/>
  <c r="X5831" i="16"/>
  <c r="X5832" i="16"/>
  <c r="X5833" i="16"/>
  <c r="X5834" i="16"/>
  <c r="X5835" i="16"/>
  <c r="X5836" i="16"/>
  <c r="X5837" i="16"/>
  <c r="X5838" i="16"/>
  <c r="X5839" i="16"/>
  <c r="X5840" i="16"/>
  <c r="X5841" i="16"/>
  <c r="X5842" i="16"/>
  <c r="X5843" i="16"/>
  <c r="X5844" i="16"/>
  <c r="X5845" i="16"/>
  <c r="X5846" i="16"/>
  <c r="X5847" i="16"/>
  <c r="X5848" i="16"/>
  <c r="X5849" i="16"/>
  <c r="X5850" i="16"/>
  <c r="X5851" i="16"/>
  <c r="X5852" i="16"/>
  <c r="X5853" i="16"/>
  <c r="X5854" i="16"/>
  <c r="X5855" i="16"/>
  <c r="X5856" i="16"/>
  <c r="X5857" i="16"/>
  <c r="X5858" i="16"/>
  <c r="X5859" i="16"/>
  <c r="X5860" i="16"/>
  <c r="X5861" i="16"/>
  <c r="X5862" i="16"/>
  <c r="X5863" i="16"/>
  <c r="X5864" i="16"/>
  <c r="X5865" i="16"/>
  <c r="X5866" i="16"/>
  <c r="X5867" i="16"/>
  <c r="X5868" i="16"/>
  <c r="X5869" i="16"/>
  <c r="X5870" i="16"/>
  <c r="X5871" i="16"/>
  <c r="X5872" i="16"/>
  <c r="X5873" i="16"/>
  <c r="X5874" i="16"/>
  <c r="X5875" i="16"/>
  <c r="X5876" i="16"/>
  <c r="X5877" i="16"/>
  <c r="X5878" i="16"/>
  <c r="X5879" i="16"/>
  <c r="X5880" i="16"/>
  <c r="X5881" i="16"/>
  <c r="X5882" i="16"/>
  <c r="X5883" i="16"/>
  <c r="X5884" i="16"/>
  <c r="X5885" i="16"/>
  <c r="X5886" i="16"/>
  <c r="X5887" i="16"/>
  <c r="X5888" i="16"/>
  <c r="X5889" i="16"/>
  <c r="X5890" i="16"/>
  <c r="X5891" i="16"/>
  <c r="X5892" i="16"/>
  <c r="X5893" i="16"/>
  <c r="X5894" i="16"/>
  <c r="X5895" i="16"/>
  <c r="X5896" i="16"/>
  <c r="X5897" i="16"/>
  <c r="X5898" i="16"/>
  <c r="X5899" i="16"/>
  <c r="X5900" i="16"/>
  <c r="X5901" i="16"/>
  <c r="X5902" i="16"/>
  <c r="X5903" i="16"/>
  <c r="X5904" i="16"/>
  <c r="X5905" i="16"/>
  <c r="X5906" i="16"/>
  <c r="X5907" i="16"/>
  <c r="X5908" i="16"/>
  <c r="X5909" i="16"/>
  <c r="X5910" i="16"/>
  <c r="X5911" i="16"/>
  <c r="X5912" i="16"/>
  <c r="X5913" i="16"/>
  <c r="X5914" i="16"/>
  <c r="X5915" i="16"/>
  <c r="X5916" i="16"/>
  <c r="X5917" i="16"/>
  <c r="X5918" i="16"/>
  <c r="X5919" i="16"/>
  <c r="X5920" i="16"/>
  <c r="X5921" i="16"/>
  <c r="X5922" i="16"/>
  <c r="X5923" i="16"/>
  <c r="X5924" i="16"/>
  <c r="X5925" i="16"/>
  <c r="X5926" i="16"/>
  <c r="X5927" i="16"/>
  <c r="X5928" i="16"/>
  <c r="X5929" i="16"/>
  <c r="X5930" i="16"/>
  <c r="X5931" i="16"/>
  <c r="X5932" i="16"/>
  <c r="X5933" i="16"/>
  <c r="X5934" i="16"/>
  <c r="X5935" i="16"/>
  <c r="X5936" i="16"/>
  <c r="X5937" i="16"/>
  <c r="X5938" i="16"/>
  <c r="X5939" i="16"/>
  <c r="X5940" i="16"/>
  <c r="X5941" i="16"/>
  <c r="X5942" i="16"/>
  <c r="X5943" i="16"/>
  <c r="X5944" i="16"/>
  <c r="X5945" i="16"/>
  <c r="X5946" i="16"/>
  <c r="X5947" i="16"/>
  <c r="X5948" i="16"/>
  <c r="X5949" i="16"/>
  <c r="X5950" i="16"/>
  <c r="X5951" i="16"/>
  <c r="X5952" i="16"/>
  <c r="X5953" i="16"/>
  <c r="X5954" i="16"/>
  <c r="X5955" i="16"/>
  <c r="X5956" i="16"/>
  <c r="X5957" i="16"/>
  <c r="X5958" i="16"/>
  <c r="X5959" i="16"/>
  <c r="X5960" i="16"/>
  <c r="X5961" i="16"/>
  <c r="X5962" i="16"/>
  <c r="X5963" i="16"/>
  <c r="X5964" i="16"/>
  <c r="X5965" i="16"/>
  <c r="X5966" i="16"/>
  <c r="X5967" i="16"/>
  <c r="X5968" i="16"/>
  <c r="X5969" i="16"/>
  <c r="X5970" i="16"/>
  <c r="X5971" i="16"/>
  <c r="X5972" i="16"/>
  <c r="X5973" i="16"/>
  <c r="X5974" i="16"/>
  <c r="X5975" i="16"/>
  <c r="X5976" i="16"/>
  <c r="X5977" i="16"/>
  <c r="X5978" i="16"/>
  <c r="X5979" i="16"/>
  <c r="X5980" i="16"/>
  <c r="X5981" i="16"/>
  <c r="X5982" i="16"/>
  <c r="X5983" i="16"/>
  <c r="X5984" i="16"/>
  <c r="X5985" i="16"/>
  <c r="X5986" i="16"/>
  <c r="X5987" i="16"/>
  <c r="X5988" i="16"/>
  <c r="X5989" i="16"/>
  <c r="X5990" i="16"/>
  <c r="X5991" i="16"/>
  <c r="X5992" i="16"/>
  <c r="X5993" i="16"/>
  <c r="X5994" i="16"/>
  <c r="X5995" i="16"/>
  <c r="X5996" i="16"/>
  <c r="X5997" i="16"/>
  <c r="X5998" i="16"/>
  <c r="X5999" i="16"/>
  <c r="X6000" i="16"/>
  <c r="X6001" i="16"/>
  <c r="X6002" i="16"/>
  <c r="X6003" i="16"/>
  <c r="X6004" i="16"/>
  <c r="X6005" i="16"/>
  <c r="X6006" i="16"/>
  <c r="X6007" i="16"/>
  <c r="X6008" i="16"/>
  <c r="X6009" i="16"/>
  <c r="X6010" i="16"/>
  <c r="X6011" i="16"/>
  <c r="X6012" i="16"/>
  <c r="X6013" i="16"/>
  <c r="X6014" i="16"/>
  <c r="X6015" i="16"/>
  <c r="X6016" i="16"/>
  <c r="X6017" i="16"/>
  <c r="X6018" i="16"/>
  <c r="X6019" i="16"/>
  <c r="X6020" i="16"/>
  <c r="X6021" i="16"/>
  <c r="X6022" i="16"/>
  <c r="X6023" i="16"/>
  <c r="X6024" i="16"/>
  <c r="X6025" i="16"/>
  <c r="X6026" i="16"/>
  <c r="X6027" i="16"/>
  <c r="X6028" i="16"/>
  <c r="X6029" i="16"/>
  <c r="X6030" i="16"/>
  <c r="X6031" i="16"/>
  <c r="X6032" i="16"/>
  <c r="X6033" i="16"/>
  <c r="X6034" i="16"/>
  <c r="X6035" i="16"/>
  <c r="X6036" i="16"/>
  <c r="X6037" i="16"/>
  <c r="X6038" i="16"/>
  <c r="X6039" i="16"/>
  <c r="X6040" i="16"/>
  <c r="X6041" i="16"/>
  <c r="X6042" i="16"/>
  <c r="X6043" i="16"/>
  <c r="X6044" i="16"/>
  <c r="X6045" i="16"/>
  <c r="X6046" i="16"/>
  <c r="X6047" i="16"/>
  <c r="X6048" i="16"/>
  <c r="X6049" i="16"/>
  <c r="X6050" i="16"/>
  <c r="X6051" i="16"/>
  <c r="X6052" i="16"/>
  <c r="X6053" i="16"/>
  <c r="X6054" i="16"/>
  <c r="X6055" i="16"/>
  <c r="X6056" i="16"/>
  <c r="X6057" i="16"/>
  <c r="X6058" i="16"/>
  <c r="X6059" i="16"/>
  <c r="X6060" i="16"/>
  <c r="X6061" i="16"/>
  <c r="X6062" i="16"/>
  <c r="X6063" i="16"/>
  <c r="X6064" i="16"/>
  <c r="X6065" i="16"/>
  <c r="X6066" i="16"/>
  <c r="X6067" i="16"/>
  <c r="X6068" i="16"/>
  <c r="X6069" i="16"/>
  <c r="X6070" i="16"/>
  <c r="X6071" i="16"/>
  <c r="X6072" i="16"/>
  <c r="X6073" i="16"/>
  <c r="X6074" i="16"/>
  <c r="X6075" i="16"/>
  <c r="X6076" i="16"/>
  <c r="X6077" i="16"/>
  <c r="X6078" i="16"/>
  <c r="X6079" i="16"/>
  <c r="X6080" i="16"/>
  <c r="X6081" i="16"/>
  <c r="X6082" i="16"/>
  <c r="X6083" i="16"/>
  <c r="X6084" i="16"/>
  <c r="X6085" i="16"/>
  <c r="X6086" i="16"/>
  <c r="X6087" i="16"/>
  <c r="X6088" i="16"/>
  <c r="X6089" i="16"/>
  <c r="X6090" i="16"/>
  <c r="X6091" i="16"/>
  <c r="X6092" i="16"/>
  <c r="X6093" i="16"/>
  <c r="X6094" i="16"/>
  <c r="X6095" i="16"/>
  <c r="X6096" i="16"/>
  <c r="X6097" i="16"/>
  <c r="X6098" i="16"/>
  <c r="X6099" i="16"/>
  <c r="X6100" i="16"/>
  <c r="X6101" i="16"/>
  <c r="X6102" i="16"/>
  <c r="X6103" i="16"/>
  <c r="X6104" i="16"/>
  <c r="X6105" i="16"/>
  <c r="X6106" i="16"/>
  <c r="X6107" i="16"/>
  <c r="X6108" i="16"/>
  <c r="X6109" i="16"/>
  <c r="X6110" i="16"/>
  <c r="X6111" i="16"/>
  <c r="X6112" i="16"/>
  <c r="X6113" i="16"/>
  <c r="X6114" i="16"/>
  <c r="X6115" i="16"/>
  <c r="X6116" i="16"/>
  <c r="X6117" i="16"/>
  <c r="X6118" i="16"/>
  <c r="X6119" i="16"/>
  <c r="X6120" i="16"/>
  <c r="X6121" i="16"/>
  <c r="X6122" i="16"/>
  <c r="X6123" i="16"/>
  <c r="X6124" i="16"/>
  <c r="X6125" i="16"/>
  <c r="X6126" i="16"/>
  <c r="X6127" i="16"/>
  <c r="X6128" i="16"/>
  <c r="X6129" i="16"/>
  <c r="X6130" i="16"/>
  <c r="X6131" i="16"/>
  <c r="X6132" i="16"/>
  <c r="X6133" i="16"/>
  <c r="X6134" i="16"/>
  <c r="X6135" i="16"/>
  <c r="X6136" i="16"/>
  <c r="X6137" i="16"/>
  <c r="X6138" i="16"/>
  <c r="X6139" i="16"/>
  <c r="X6140" i="16"/>
  <c r="X6141" i="16"/>
  <c r="X6142" i="16"/>
  <c r="X6143" i="16"/>
  <c r="X6144" i="16"/>
  <c r="X6145" i="16"/>
  <c r="X6146" i="16"/>
  <c r="X6147" i="16"/>
  <c r="X6148" i="16"/>
  <c r="X6149" i="16"/>
  <c r="X6150" i="16"/>
  <c r="X6151" i="16"/>
  <c r="X6152" i="16"/>
  <c r="X6153" i="16"/>
  <c r="X6154" i="16"/>
  <c r="X6155" i="16"/>
  <c r="X6156" i="16"/>
  <c r="X6157" i="16"/>
  <c r="X6158" i="16"/>
  <c r="X6159" i="16"/>
  <c r="X6160" i="16"/>
  <c r="X6161" i="16"/>
  <c r="X6162" i="16"/>
  <c r="X6163" i="16"/>
  <c r="X6164" i="16"/>
  <c r="X6165" i="16"/>
  <c r="X6166" i="16"/>
  <c r="X6167" i="16"/>
  <c r="X6168" i="16"/>
  <c r="X6169" i="16"/>
  <c r="X6170" i="16"/>
  <c r="X6171" i="16"/>
  <c r="X6172" i="16"/>
  <c r="X6173" i="16"/>
  <c r="X6174" i="16"/>
  <c r="X6175" i="16"/>
  <c r="X6176" i="16"/>
  <c r="X6177" i="16"/>
  <c r="X6178" i="16"/>
  <c r="X6179" i="16"/>
  <c r="X6180" i="16"/>
  <c r="X6181" i="16"/>
  <c r="X6182" i="16"/>
  <c r="X6183" i="16"/>
  <c r="X6184" i="16"/>
  <c r="X6185" i="16"/>
  <c r="X6186" i="16"/>
  <c r="X6187" i="16"/>
  <c r="X6188" i="16"/>
  <c r="X6189" i="16"/>
  <c r="X6190" i="16"/>
  <c r="X6191" i="16"/>
  <c r="X6192" i="16"/>
  <c r="X6193" i="16"/>
  <c r="X6194" i="16"/>
  <c r="X6195" i="16"/>
  <c r="X6196" i="16"/>
  <c r="X6197" i="16"/>
  <c r="X6198" i="16"/>
  <c r="X6199" i="16"/>
  <c r="X6200" i="16"/>
  <c r="X6201" i="16"/>
  <c r="X6202" i="16"/>
  <c r="X6203" i="16"/>
  <c r="X6204" i="16"/>
  <c r="X6205" i="16"/>
  <c r="X6206" i="16"/>
  <c r="X6207" i="16"/>
  <c r="X6208" i="16"/>
  <c r="X6209" i="16"/>
  <c r="X6210" i="16"/>
  <c r="X6211" i="16"/>
  <c r="X6212" i="16"/>
  <c r="X6213" i="16"/>
  <c r="X6214" i="16"/>
  <c r="X6215" i="16"/>
  <c r="X6216" i="16"/>
  <c r="X6217" i="16"/>
  <c r="X6218" i="16"/>
  <c r="X6219" i="16"/>
  <c r="X6220" i="16"/>
  <c r="X6221" i="16"/>
  <c r="X6222" i="16"/>
  <c r="X6223" i="16"/>
  <c r="X6224" i="16"/>
  <c r="X6225" i="16"/>
  <c r="X6226" i="16"/>
  <c r="X6227" i="16"/>
  <c r="X6228" i="16"/>
  <c r="X6229" i="16"/>
  <c r="X6230" i="16"/>
  <c r="X6231" i="16"/>
  <c r="X6232" i="16"/>
  <c r="X6233" i="16"/>
  <c r="X6234" i="16"/>
  <c r="X6235" i="16"/>
  <c r="X6236" i="16"/>
  <c r="X6237" i="16"/>
  <c r="X6238" i="16"/>
  <c r="X6239" i="16"/>
  <c r="X6240" i="16"/>
  <c r="X6241" i="16"/>
  <c r="X6242" i="16"/>
  <c r="X6243" i="16"/>
  <c r="X6244" i="16"/>
  <c r="X6245" i="16"/>
  <c r="X6246" i="16"/>
  <c r="X6247" i="16"/>
  <c r="X6248" i="16"/>
  <c r="X6249" i="16"/>
  <c r="X6250" i="16"/>
  <c r="X6251" i="16"/>
  <c r="X6252" i="16"/>
  <c r="X6253" i="16"/>
  <c r="X6254" i="16"/>
  <c r="X6255" i="16"/>
  <c r="X6256" i="16"/>
  <c r="X6257" i="16"/>
  <c r="X6258" i="16"/>
  <c r="X6259" i="16"/>
  <c r="X6260" i="16"/>
  <c r="X6261" i="16"/>
  <c r="X6262" i="16"/>
  <c r="X6263" i="16"/>
  <c r="X6264" i="16"/>
  <c r="X6265" i="16"/>
  <c r="X6266" i="16"/>
  <c r="X6267" i="16"/>
  <c r="X6268" i="16"/>
  <c r="X6269" i="16"/>
  <c r="X6270" i="16"/>
  <c r="X6271" i="16"/>
  <c r="X6272" i="16"/>
  <c r="X6273" i="16"/>
  <c r="X6274" i="16"/>
  <c r="X6275" i="16"/>
  <c r="X6276" i="16"/>
  <c r="X6277" i="16"/>
  <c r="X6278" i="16"/>
  <c r="X6279" i="16"/>
  <c r="X6280" i="16"/>
  <c r="X6281" i="16"/>
  <c r="X6282" i="16"/>
  <c r="X6283" i="16"/>
  <c r="X6284" i="16"/>
  <c r="X6285" i="16"/>
  <c r="X6286" i="16"/>
  <c r="X6287" i="16"/>
  <c r="X6288" i="16"/>
  <c r="X6289" i="16"/>
  <c r="X6290" i="16"/>
  <c r="X6291" i="16"/>
  <c r="X6292" i="16"/>
  <c r="X6293" i="16"/>
  <c r="X6294" i="16"/>
  <c r="X6295" i="16"/>
  <c r="X6296" i="16"/>
  <c r="X6297" i="16"/>
  <c r="X6298" i="16"/>
  <c r="X6299" i="16"/>
  <c r="X6300" i="16"/>
  <c r="X6301" i="16"/>
  <c r="X6302" i="16"/>
  <c r="X6303" i="16"/>
  <c r="X6304" i="16"/>
  <c r="X6305" i="16"/>
  <c r="X6306" i="16"/>
  <c r="X6307" i="16"/>
  <c r="X6308" i="16"/>
  <c r="X6309" i="16"/>
  <c r="X6310" i="16"/>
  <c r="X6311" i="16"/>
  <c r="X6312" i="16"/>
  <c r="X6313" i="16"/>
  <c r="X6314" i="16"/>
  <c r="X6315" i="16"/>
  <c r="X6316" i="16"/>
  <c r="X6317" i="16"/>
  <c r="X6318" i="16"/>
  <c r="X6319" i="16"/>
  <c r="X6320" i="16"/>
  <c r="X6321" i="16"/>
  <c r="X6322" i="16"/>
  <c r="X6323" i="16"/>
  <c r="X6324" i="16"/>
  <c r="X6325" i="16"/>
  <c r="X6326" i="16"/>
  <c r="X6327" i="16"/>
  <c r="X6328" i="16"/>
  <c r="X6329" i="16"/>
  <c r="X6330" i="16"/>
  <c r="X6331" i="16"/>
  <c r="X6332" i="16"/>
  <c r="X6333" i="16"/>
  <c r="X6334" i="16"/>
  <c r="X6335" i="16"/>
  <c r="X6336" i="16"/>
  <c r="X6337" i="16"/>
  <c r="X6338" i="16"/>
  <c r="X6339" i="16"/>
  <c r="X6340" i="16"/>
  <c r="X6341" i="16"/>
  <c r="X6342" i="16"/>
  <c r="X6343" i="16"/>
  <c r="X6344" i="16"/>
  <c r="X6345" i="16"/>
  <c r="X6346" i="16"/>
  <c r="X6347" i="16"/>
  <c r="X6348" i="16"/>
  <c r="X6349" i="16"/>
  <c r="X6350" i="16"/>
  <c r="X6351" i="16"/>
  <c r="X6352" i="16"/>
  <c r="X6353" i="16"/>
  <c r="X6354" i="16"/>
  <c r="X6355" i="16"/>
  <c r="X6356" i="16"/>
  <c r="X6357" i="16"/>
  <c r="X6358" i="16"/>
  <c r="X6359" i="16"/>
  <c r="X6360" i="16"/>
  <c r="X6361" i="16"/>
  <c r="X6362" i="16"/>
  <c r="X6363" i="16"/>
  <c r="X6364" i="16"/>
  <c r="X6365" i="16"/>
  <c r="X6366" i="16"/>
  <c r="X6367" i="16"/>
  <c r="X6368" i="16"/>
  <c r="X6369" i="16"/>
  <c r="X6370" i="16"/>
  <c r="X6371" i="16"/>
  <c r="X6372" i="16"/>
  <c r="X6373" i="16"/>
  <c r="X6374" i="16"/>
  <c r="X6375" i="16"/>
  <c r="X6376" i="16"/>
  <c r="X6377" i="16"/>
  <c r="X6378" i="16"/>
  <c r="X6379" i="16"/>
  <c r="X6380" i="16"/>
  <c r="X6381" i="16"/>
  <c r="X6382" i="16"/>
  <c r="X6383" i="16"/>
  <c r="X6384" i="16"/>
  <c r="X6385" i="16"/>
  <c r="X6386" i="16"/>
  <c r="X6387" i="16"/>
  <c r="X6388" i="16"/>
  <c r="X6389" i="16"/>
  <c r="X6390" i="16"/>
  <c r="X6391" i="16"/>
  <c r="X6392" i="16"/>
  <c r="X6393" i="16"/>
  <c r="X6394" i="16"/>
  <c r="X6395" i="16"/>
  <c r="X6396" i="16"/>
  <c r="X6397" i="16"/>
  <c r="X6398" i="16"/>
  <c r="X6399" i="16"/>
  <c r="X6400" i="16"/>
  <c r="X6401" i="16"/>
  <c r="X6402" i="16"/>
  <c r="X6403" i="16"/>
  <c r="X6404" i="16"/>
  <c r="X6405" i="16"/>
  <c r="X6406" i="16"/>
  <c r="X6407" i="16"/>
  <c r="X6408" i="16"/>
  <c r="X6409" i="16"/>
  <c r="X6410" i="16"/>
  <c r="X6411" i="16"/>
  <c r="X6412" i="16"/>
  <c r="X6413" i="16"/>
  <c r="X6414" i="16"/>
  <c r="X6415" i="16"/>
  <c r="X6416" i="16"/>
  <c r="X6417" i="16"/>
  <c r="X6418" i="16"/>
  <c r="X6419" i="16"/>
  <c r="X6420" i="16"/>
  <c r="X6421" i="16"/>
  <c r="X6422" i="16"/>
  <c r="X6423" i="16"/>
  <c r="X6424" i="16"/>
  <c r="X6425" i="16"/>
  <c r="X6426" i="16"/>
  <c r="X6427" i="16"/>
  <c r="X6428" i="16"/>
  <c r="X6429" i="16"/>
  <c r="X6430" i="16"/>
  <c r="X6431" i="16"/>
  <c r="X6432" i="16"/>
  <c r="X6433" i="16"/>
  <c r="X6434" i="16"/>
  <c r="X6435" i="16"/>
  <c r="X6436" i="16"/>
  <c r="X6437" i="16"/>
  <c r="X6438" i="16"/>
  <c r="X6439" i="16"/>
  <c r="X6440" i="16"/>
  <c r="X6441" i="16"/>
  <c r="X6442" i="16"/>
  <c r="X6443" i="16"/>
  <c r="X6444" i="16"/>
  <c r="X6445" i="16"/>
  <c r="X6446" i="16"/>
  <c r="X6447" i="16"/>
  <c r="X6448" i="16"/>
  <c r="X6449" i="16"/>
  <c r="X6450" i="16"/>
  <c r="X6451" i="16"/>
  <c r="X6452" i="16"/>
  <c r="X6453" i="16"/>
  <c r="X6454" i="16"/>
  <c r="X6455" i="16"/>
  <c r="X6456" i="16"/>
  <c r="X6457" i="16"/>
  <c r="X6458" i="16"/>
  <c r="X6459" i="16"/>
  <c r="X6460" i="16"/>
  <c r="X6461" i="16"/>
  <c r="X6462" i="16"/>
  <c r="X6463" i="16"/>
  <c r="X6464" i="16"/>
  <c r="X6465" i="16"/>
  <c r="X6466" i="16"/>
  <c r="X6467" i="16"/>
  <c r="X6468" i="16"/>
  <c r="X6469" i="16"/>
  <c r="X6470" i="16"/>
  <c r="X6471" i="16"/>
  <c r="X6472" i="16"/>
  <c r="X6473" i="16"/>
  <c r="X6474" i="16"/>
  <c r="X6475" i="16"/>
  <c r="X6476" i="16"/>
  <c r="X6477" i="16"/>
  <c r="X6478" i="16"/>
  <c r="X6479" i="16"/>
  <c r="X6480" i="16"/>
  <c r="X6481" i="16"/>
  <c r="X6482" i="16"/>
  <c r="X6483" i="16"/>
  <c r="X6484" i="16"/>
  <c r="X6485" i="16"/>
  <c r="X6486" i="16"/>
  <c r="X6487" i="16"/>
  <c r="X6488" i="16"/>
  <c r="X6489" i="16"/>
  <c r="X6490" i="16"/>
  <c r="X6491" i="16"/>
  <c r="X6492" i="16"/>
  <c r="X6493" i="16"/>
  <c r="X6494" i="16"/>
  <c r="X6495" i="16"/>
  <c r="X6496" i="16"/>
  <c r="X6497" i="16"/>
  <c r="X6498" i="16"/>
  <c r="X6499" i="16"/>
  <c r="X6500" i="16"/>
  <c r="X6501" i="16"/>
  <c r="X6502" i="16"/>
  <c r="X6503" i="16"/>
  <c r="X6504" i="16"/>
  <c r="X6505" i="16"/>
  <c r="X6506" i="16"/>
  <c r="X6507" i="16"/>
  <c r="X6508" i="16"/>
  <c r="X6509" i="16"/>
  <c r="X6510" i="16"/>
  <c r="X6511" i="16"/>
  <c r="X6512" i="16"/>
  <c r="X6513" i="16"/>
  <c r="X6514" i="16"/>
  <c r="X6515" i="16"/>
  <c r="X6516" i="16"/>
  <c r="X6517" i="16"/>
  <c r="X6518" i="16"/>
  <c r="X6519" i="16"/>
  <c r="X6520" i="16"/>
  <c r="X6521" i="16"/>
  <c r="X6522" i="16"/>
  <c r="X6523" i="16"/>
  <c r="X6524" i="16"/>
  <c r="X6525" i="16"/>
  <c r="X6526" i="16"/>
  <c r="X6527" i="16"/>
  <c r="X6528" i="16"/>
  <c r="X6529" i="16"/>
  <c r="X6530" i="16"/>
  <c r="X6531" i="16"/>
  <c r="X6532" i="16"/>
  <c r="X6533" i="16"/>
  <c r="X6534" i="16"/>
  <c r="X6535" i="16"/>
  <c r="X6536" i="16"/>
  <c r="X6537" i="16"/>
  <c r="X6538" i="16"/>
  <c r="X6539" i="16"/>
  <c r="X6540" i="16"/>
  <c r="X6541" i="16"/>
  <c r="X6542" i="16"/>
  <c r="X6543" i="16"/>
  <c r="X6544" i="16"/>
  <c r="X6545" i="16"/>
  <c r="X6546" i="16"/>
  <c r="X6547" i="16"/>
  <c r="X6548" i="16"/>
  <c r="X6549" i="16"/>
  <c r="X6550" i="16"/>
  <c r="X6551" i="16"/>
  <c r="X6552" i="16"/>
  <c r="X6553" i="16"/>
  <c r="X6554" i="16"/>
  <c r="X6555" i="16"/>
  <c r="X6556" i="16"/>
  <c r="X6557" i="16"/>
  <c r="X6558" i="16"/>
  <c r="X6559" i="16"/>
  <c r="X6560" i="16"/>
  <c r="X6561" i="16"/>
  <c r="X6562" i="16"/>
  <c r="X6563" i="16"/>
  <c r="X6564" i="16"/>
  <c r="X6565" i="16"/>
  <c r="X6566" i="16"/>
  <c r="X6567" i="16"/>
  <c r="X6568" i="16"/>
  <c r="X6569" i="16"/>
  <c r="X6570" i="16"/>
  <c r="X6571" i="16"/>
  <c r="X6572" i="16"/>
  <c r="X6573" i="16"/>
  <c r="X6574" i="16"/>
  <c r="X6575" i="16"/>
  <c r="X6576" i="16"/>
  <c r="X6577" i="16"/>
  <c r="X6578" i="16"/>
  <c r="X6579" i="16"/>
  <c r="X6580" i="16"/>
  <c r="X6581" i="16"/>
  <c r="X6582" i="16"/>
  <c r="X6583" i="16"/>
  <c r="X6584" i="16"/>
  <c r="X6585" i="16"/>
  <c r="X6586" i="16"/>
  <c r="X6587" i="16"/>
  <c r="X6588" i="16"/>
  <c r="X6589" i="16"/>
  <c r="X6590" i="16"/>
  <c r="X6591" i="16"/>
  <c r="X6592" i="16"/>
  <c r="X6593" i="16"/>
  <c r="X6594" i="16"/>
  <c r="X6595" i="16"/>
  <c r="X6596" i="16"/>
  <c r="X6597" i="16"/>
  <c r="X6598" i="16"/>
  <c r="X6599" i="16"/>
  <c r="X6600" i="16"/>
  <c r="X6601" i="16"/>
  <c r="X6602" i="16"/>
  <c r="X6603" i="16"/>
  <c r="X6604" i="16"/>
  <c r="X6605" i="16"/>
  <c r="X6606" i="16"/>
  <c r="X6607" i="16"/>
  <c r="X6608" i="16"/>
  <c r="X6609" i="16"/>
  <c r="X6610" i="16"/>
  <c r="X6611" i="16"/>
  <c r="X6612" i="16"/>
  <c r="X6613" i="16"/>
  <c r="X6614" i="16"/>
  <c r="X6615" i="16"/>
  <c r="X6616" i="16"/>
  <c r="X6617" i="16"/>
  <c r="X6618" i="16"/>
  <c r="X6619" i="16"/>
  <c r="X6620" i="16"/>
  <c r="X6621" i="16"/>
  <c r="X6622" i="16"/>
  <c r="X6623" i="16"/>
  <c r="X6624" i="16"/>
  <c r="X6625" i="16"/>
  <c r="X6626" i="16"/>
  <c r="X6627" i="16"/>
  <c r="X6628" i="16"/>
  <c r="X6629" i="16"/>
  <c r="X6630" i="16"/>
  <c r="X6631" i="16"/>
  <c r="X6632" i="16"/>
  <c r="X6633" i="16"/>
  <c r="X6634" i="16"/>
  <c r="X6635" i="16"/>
  <c r="X6636" i="16"/>
  <c r="X6637" i="16"/>
  <c r="X6638" i="16"/>
  <c r="X6639" i="16"/>
  <c r="X6640" i="16"/>
  <c r="X6641" i="16"/>
  <c r="X6642" i="16"/>
  <c r="X6643" i="16"/>
  <c r="X6644" i="16"/>
  <c r="X6645" i="16"/>
  <c r="X6646" i="16"/>
  <c r="X6647" i="16"/>
  <c r="X6648" i="16"/>
  <c r="X6649" i="16"/>
  <c r="X6650" i="16"/>
  <c r="X6651" i="16"/>
  <c r="X6652" i="16"/>
  <c r="X6653" i="16"/>
  <c r="X6654" i="16"/>
  <c r="X6655" i="16"/>
  <c r="X6656" i="16"/>
  <c r="X6657" i="16"/>
  <c r="X6658" i="16"/>
  <c r="X6659" i="16"/>
  <c r="X6660" i="16"/>
  <c r="X6661" i="16"/>
  <c r="X6662" i="16"/>
  <c r="X6663" i="16"/>
  <c r="X6664" i="16"/>
  <c r="X6665" i="16"/>
  <c r="X6666" i="16"/>
  <c r="X6667" i="16"/>
  <c r="X6668" i="16"/>
  <c r="X6669" i="16"/>
  <c r="X6670" i="16"/>
  <c r="X6671" i="16"/>
  <c r="X6672" i="16"/>
  <c r="X6673" i="16"/>
  <c r="X6674" i="16"/>
  <c r="X6675" i="16"/>
  <c r="X6676" i="16"/>
  <c r="X6677" i="16"/>
  <c r="X6678" i="16"/>
  <c r="X6679" i="16"/>
  <c r="X6680" i="16"/>
  <c r="X6681" i="16"/>
  <c r="X6682" i="16"/>
  <c r="X6683" i="16"/>
  <c r="X6684" i="16"/>
  <c r="X6685" i="16"/>
  <c r="X6686" i="16"/>
  <c r="X6687" i="16"/>
  <c r="X6688" i="16"/>
  <c r="X6689" i="16"/>
  <c r="X6690" i="16"/>
  <c r="X6691" i="16"/>
  <c r="X6692" i="16"/>
  <c r="X6693" i="16"/>
  <c r="X6694" i="16"/>
  <c r="X6695" i="16"/>
  <c r="X6696" i="16"/>
  <c r="X6697" i="16"/>
  <c r="X6698" i="16"/>
  <c r="X6699" i="16"/>
  <c r="X6700" i="16"/>
  <c r="X6701" i="16"/>
  <c r="X6702" i="16"/>
  <c r="X6703" i="16"/>
  <c r="X6704" i="16"/>
  <c r="X6705" i="16"/>
  <c r="X6706" i="16"/>
  <c r="X6707" i="16"/>
  <c r="X6708" i="16"/>
  <c r="X6709" i="16"/>
  <c r="X6710" i="16"/>
  <c r="X6711" i="16"/>
  <c r="X6712" i="16"/>
  <c r="X6713" i="16"/>
  <c r="X6714" i="16"/>
  <c r="X6715" i="16"/>
  <c r="X6716" i="16"/>
  <c r="X6717" i="16"/>
  <c r="X6718" i="16"/>
  <c r="X6719" i="16"/>
  <c r="X6720" i="16"/>
  <c r="X6721" i="16"/>
  <c r="X6722" i="16"/>
  <c r="X6723" i="16"/>
  <c r="X6724" i="16"/>
  <c r="X6725" i="16"/>
  <c r="X6726" i="16"/>
  <c r="X6727" i="16"/>
  <c r="X6728" i="16"/>
  <c r="X6729" i="16"/>
  <c r="X6730" i="16"/>
  <c r="X6731" i="16"/>
  <c r="X6732" i="16"/>
  <c r="X6733" i="16"/>
  <c r="X6734" i="16"/>
  <c r="X6735" i="16"/>
  <c r="X6736" i="16"/>
  <c r="X6737" i="16"/>
  <c r="X6738" i="16"/>
  <c r="X6739" i="16"/>
  <c r="X6740" i="16"/>
  <c r="X6741" i="16"/>
  <c r="X6742" i="16"/>
  <c r="X6743" i="16"/>
  <c r="X6744" i="16"/>
  <c r="X6745" i="16"/>
  <c r="X6746" i="16"/>
  <c r="X6747" i="16"/>
  <c r="X6748" i="16"/>
  <c r="X6749" i="16"/>
  <c r="X6750" i="16"/>
  <c r="X6751" i="16"/>
  <c r="X6752" i="16"/>
  <c r="X6753" i="16"/>
  <c r="X6754" i="16"/>
  <c r="X6755" i="16"/>
  <c r="X6756" i="16"/>
  <c r="X6757" i="16"/>
  <c r="X6758" i="16"/>
  <c r="X6759" i="16"/>
  <c r="X6760" i="16"/>
  <c r="X6761" i="16"/>
  <c r="X6762" i="16"/>
  <c r="X6763" i="16"/>
  <c r="X6764" i="16"/>
  <c r="X6765" i="16"/>
  <c r="X6766" i="16"/>
  <c r="X6767" i="16"/>
  <c r="X6768" i="16"/>
  <c r="X6769" i="16"/>
  <c r="X6770" i="16"/>
  <c r="X6771" i="16"/>
  <c r="X6772" i="16"/>
  <c r="X6773" i="16"/>
  <c r="X6774" i="16"/>
  <c r="X6775" i="16"/>
  <c r="X6776" i="16"/>
  <c r="X6777" i="16"/>
  <c r="X6778" i="16"/>
  <c r="X6779" i="16"/>
  <c r="X6780" i="16"/>
  <c r="X6781" i="16"/>
  <c r="X6782" i="16"/>
  <c r="X6783" i="16"/>
  <c r="X6784" i="16"/>
  <c r="X6785" i="16"/>
  <c r="X6786" i="16"/>
  <c r="X6787" i="16"/>
  <c r="X6788" i="16"/>
  <c r="X6789" i="16"/>
  <c r="X6790" i="16"/>
  <c r="X6791" i="16"/>
  <c r="X6792" i="16"/>
  <c r="X6793" i="16"/>
  <c r="X6794" i="16"/>
  <c r="X6795" i="16"/>
  <c r="X6796" i="16"/>
  <c r="X6797" i="16"/>
  <c r="X6798" i="16"/>
  <c r="X6799" i="16"/>
  <c r="X6800" i="16"/>
  <c r="X6801" i="16"/>
  <c r="X6802" i="16"/>
  <c r="X6803" i="16"/>
  <c r="X6804" i="16"/>
  <c r="X6805" i="16"/>
  <c r="X6806" i="16"/>
  <c r="X6807" i="16"/>
  <c r="X6808" i="16"/>
  <c r="X6809" i="16"/>
  <c r="X6810" i="16"/>
  <c r="X6811" i="16"/>
  <c r="X6812" i="16"/>
  <c r="X6813" i="16"/>
  <c r="X6814" i="16"/>
  <c r="X6815" i="16"/>
  <c r="X6816" i="16"/>
  <c r="X6817" i="16"/>
  <c r="X6818" i="16"/>
  <c r="X6819" i="16"/>
  <c r="X6820" i="16"/>
  <c r="X6821" i="16"/>
  <c r="X6822" i="16"/>
  <c r="X6823" i="16"/>
  <c r="X6824" i="16"/>
  <c r="X6825" i="16"/>
  <c r="X6826" i="16"/>
  <c r="X6827" i="16"/>
  <c r="X6828" i="16"/>
  <c r="X6829" i="16"/>
  <c r="X6830" i="16"/>
  <c r="X6831" i="16"/>
  <c r="X6832" i="16"/>
  <c r="X6833" i="16"/>
  <c r="X6834" i="16"/>
  <c r="X6835" i="16"/>
  <c r="X6836" i="16"/>
  <c r="X6837" i="16"/>
  <c r="X6838" i="16"/>
  <c r="X6839" i="16"/>
  <c r="X6840" i="16"/>
  <c r="X6841" i="16"/>
  <c r="X6842" i="16"/>
  <c r="X6843" i="16"/>
  <c r="X6844" i="16"/>
  <c r="X6845" i="16"/>
  <c r="X6846" i="16"/>
  <c r="X6847" i="16"/>
  <c r="X6848" i="16"/>
  <c r="X6849" i="16"/>
  <c r="X6850" i="16"/>
  <c r="X6851" i="16"/>
  <c r="X6852" i="16"/>
  <c r="X6853" i="16"/>
  <c r="X6854" i="16"/>
  <c r="X6855" i="16"/>
  <c r="X6856" i="16"/>
  <c r="X6857" i="16"/>
  <c r="X6858" i="16"/>
  <c r="X6859" i="16"/>
  <c r="X6860" i="16"/>
  <c r="X6861" i="16"/>
  <c r="X6862" i="16"/>
  <c r="X6863" i="16"/>
  <c r="X6864" i="16"/>
  <c r="X6865" i="16"/>
  <c r="X6866" i="16"/>
  <c r="X6867" i="16"/>
  <c r="X6868" i="16"/>
  <c r="X6869" i="16"/>
  <c r="X6870" i="16"/>
  <c r="X6871" i="16"/>
  <c r="X6872" i="16"/>
  <c r="X6873" i="16"/>
  <c r="X6874" i="16"/>
  <c r="X6875" i="16"/>
  <c r="X6876" i="16"/>
  <c r="X6877" i="16"/>
  <c r="X6878" i="16"/>
  <c r="X6879" i="16"/>
  <c r="X6880" i="16"/>
  <c r="X6881" i="16"/>
  <c r="X6882" i="16"/>
  <c r="X6883" i="16"/>
  <c r="X6884" i="16"/>
  <c r="X6885" i="16"/>
  <c r="X6886" i="16"/>
  <c r="X6887" i="16"/>
  <c r="X6888" i="16"/>
  <c r="X6889" i="16"/>
  <c r="X6890" i="16"/>
  <c r="X6891" i="16"/>
  <c r="X6892" i="16"/>
  <c r="X6893" i="16"/>
  <c r="X6894" i="16"/>
  <c r="X6895" i="16"/>
  <c r="X6896" i="16"/>
  <c r="X6897" i="16"/>
  <c r="X6898" i="16"/>
  <c r="X6899" i="16"/>
  <c r="X6900" i="16"/>
  <c r="X6901" i="16"/>
  <c r="X6902" i="16"/>
  <c r="X6903" i="16"/>
  <c r="X6904" i="16"/>
  <c r="X6905" i="16"/>
  <c r="X6906" i="16"/>
  <c r="X6907" i="16"/>
  <c r="X6908" i="16"/>
  <c r="X6909" i="16"/>
  <c r="X6910" i="16"/>
  <c r="X6911" i="16"/>
  <c r="X6912" i="16"/>
  <c r="X6913" i="16"/>
  <c r="X6914" i="16"/>
  <c r="X6915" i="16"/>
  <c r="X6916" i="16"/>
  <c r="X6917" i="16"/>
  <c r="X6918" i="16"/>
  <c r="X6919" i="16"/>
  <c r="X6920" i="16"/>
  <c r="X6921" i="16"/>
  <c r="X6922" i="16"/>
  <c r="X6923" i="16"/>
  <c r="X6924" i="16"/>
  <c r="X6925" i="16"/>
  <c r="X6926" i="16"/>
  <c r="X6927" i="16"/>
  <c r="X6928" i="16"/>
  <c r="X6929" i="16"/>
  <c r="X6930" i="16"/>
  <c r="X6931" i="16"/>
  <c r="X6932" i="16"/>
  <c r="X6933" i="16"/>
  <c r="X6934" i="16"/>
  <c r="X6935" i="16"/>
  <c r="X6936" i="16"/>
  <c r="X6937" i="16"/>
  <c r="X6938" i="16"/>
  <c r="X6939" i="16"/>
  <c r="X6940" i="16"/>
  <c r="X6941" i="16"/>
  <c r="X6942" i="16"/>
  <c r="X6943" i="16"/>
  <c r="X6944" i="16"/>
  <c r="X6945" i="16"/>
  <c r="X6946" i="16"/>
  <c r="X6947" i="16"/>
  <c r="X6948" i="16"/>
  <c r="X6949" i="16"/>
  <c r="X6950" i="16"/>
  <c r="X6951" i="16"/>
  <c r="X6952" i="16"/>
  <c r="X6953" i="16"/>
  <c r="X6954" i="16"/>
  <c r="X6955" i="16"/>
  <c r="X6956" i="16"/>
  <c r="X6957" i="16"/>
  <c r="X6958" i="16"/>
  <c r="X6959" i="16"/>
  <c r="X6960" i="16"/>
  <c r="X6961" i="16"/>
  <c r="X6962" i="16"/>
  <c r="X6963" i="16"/>
  <c r="X6964" i="16"/>
  <c r="X6965" i="16"/>
  <c r="X6966" i="16"/>
  <c r="X6967" i="16"/>
  <c r="X6968" i="16"/>
  <c r="X6969" i="16"/>
  <c r="X6970" i="16"/>
  <c r="X6971" i="16"/>
  <c r="X6972" i="16"/>
  <c r="X6973" i="16"/>
  <c r="X6974" i="16"/>
  <c r="X6975" i="16"/>
  <c r="X6976" i="16"/>
  <c r="X6977" i="16"/>
  <c r="X6978" i="16"/>
  <c r="X6979" i="16"/>
  <c r="X6980" i="16"/>
  <c r="X6981" i="16"/>
  <c r="X6982" i="16"/>
  <c r="X6983" i="16"/>
  <c r="X6984" i="16"/>
  <c r="X6985" i="16"/>
  <c r="X6986" i="16"/>
  <c r="X6987" i="16"/>
  <c r="X6988" i="16"/>
  <c r="X6989" i="16"/>
  <c r="X6990" i="16"/>
  <c r="X6991" i="16"/>
  <c r="X6992" i="16"/>
  <c r="X6993" i="16"/>
  <c r="X6994" i="16"/>
  <c r="X6995" i="16"/>
  <c r="X6996" i="16"/>
  <c r="X6997" i="16"/>
  <c r="X6998" i="16"/>
  <c r="X6999" i="16"/>
  <c r="X7000" i="16"/>
  <c r="X7001" i="16"/>
  <c r="X7002" i="16"/>
  <c r="X7003" i="16"/>
  <c r="X7004" i="16"/>
  <c r="X7005" i="16"/>
  <c r="X7006" i="16"/>
  <c r="X7007" i="16"/>
  <c r="X7008" i="16"/>
  <c r="X7009" i="16"/>
  <c r="X7010" i="16"/>
  <c r="X7011" i="16"/>
  <c r="X7012" i="16"/>
  <c r="X7013" i="16"/>
  <c r="X7014" i="16"/>
  <c r="X7015" i="16"/>
  <c r="X7016" i="16"/>
  <c r="X7017" i="16"/>
  <c r="X7018" i="16"/>
  <c r="X7019" i="16"/>
  <c r="X7020" i="16"/>
  <c r="X7021" i="16"/>
  <c r="X7022" i="16"/>
  <c r="X7023" i="16"/>
  <c r="X7024" i="16"/>
  <c r="X7025" i="16"/>
  <c r="X7026" i="16"/>
  <c r="X7027" i="16"/>
  <c r="X7028" i="16"/>
  <c r="X7029" i="16"/>
  <c r="X7030" i="16"/>
  <c r="X7031" i="16"/>
  <c r="X7032" i="16"/>
  <c r="X7033" i="16"/>
  <c r="X7034" i="16"/>
  <c r="X7035" i="16"/>
  <c r="X7036" i="16"/>
  <c r="X7037" i="16"/>
  <c r="X7038" i="16"/>
  <c r="X7039" i="16"/>
  <c r="X7040" i="16"/>
  <c r="X7041" i="16"/>
  <c r="X7042" i="16"/>
  <c r="X7043" i="16"/>
  <c r="X7044" i="16"/>
  <c r="X7045" i="16"/>
  <c r="X7046" i="16"/>
  <c r="X7047" i="16"/>
  <c r="X7048" i="16"/>
  <c r="X7049" i="16"/>
  <c r="X7050" i="16"/>
  <c r="X7051" i="16"/>
  <c r="X7052" i="16"/>
  <c r="X7053" i="16"/>
  <c r="X7054" i="16"/>
  <c r="X7055" i="16"/>
  <c r="X7056" i="16"/>
  <c r="X7057" i="16"/>
  <c r="X7058" i="16"/>
  <c r="X7059" i="16"/>
  <c r="X7060" i="16"/>
  <c r="X7061" i="16"/>
  <c r="X7062" i="16"/>
  <c r="X7063" i="16"/>
  <c r="X7064" i="16"/>
  <c r="X7065" i="16"/>
  <c r="X7066" i="16"/>
  <c r="X7067" i="16"/>
  <c r="X7068" i="16"/>
  <c r="X7069" i="16"/>
  <c r="X7070" i="16"/>
  <c r="X7071" i="16"/>
  <c r="X7072" i="16"/>
  <c r="X7073" i="16"/>
  <c r="X7074" i="16"/>
  <c r="X7075" i="16"/>
  <c r="X7076" i="16"/>
  <c r="X7077" i="16"/>
  <c r="X7078" i="16"/>
  <c r="X7079" i="16"/>
  <c r="X7080" i="16"/>
  <c r="X7081" i="16"/>
  <c r="X7082" i="16"/>
  <c r="X7083" i="16"/>
  <c r="X7084" i="16"/>
  <c r="X7085" i="16"/>
  <c r="X7086" i="16"/>
  <c r="X7087" i="16"/>
  <c r="X7088" i="16"/>
  <c r="X7089" i="16"/>
  <c r="X7090" i="16"/>
  <c r="X7091" i="16"/>
  <c r="X7092" i="16"/>
  <c r="X7093" i="16"/>
  <c r="X7094" i="16"/>
  <c r="X7095" i="16"/>
  <c r="X7096" i="16"/>
  <c r="X7097" i="16"/>
  <c r="X7098" i="16"/>
  <c r="X7099" i="16"/>
  <c r="X7100" i="16"/>
  <c r="X7101" i="16"/>
  <c r="X7102" i="16"/>
  <c r="X7103" i="16"/>
  <c r="X7104" i="16"/>
  <c r="X7105" i="16"/>
  <c r="X7106" i="16"/>
  <c r="X7107" i="16"/>
  <c r="X7108" i="16"/>
  <c r="X7109" i="16"/>
  <c r="X7110" i="16"/>
  <c r="X7111" i="16"/>
  <c r="X7112" i="16"/>
  <c r="X7113" i="16"/>
  <c r="X7114" i="16"/>
  <c r="X7115" i="16"/>
  <c r="X7116" i="16"/>
  <c r="X7117" i="16"/>
  <c r="X7118" i="16"/>
  <c r="X7119" i="16"/>
  <c r="X7120" i="16"/>
  <c r="X7121" i="16"/>
  <c r="X7122" i="16"/>
  <c r="X7123" i="16"/>
  <c r="X7124" i="16"/>
  <c r="X7125" i="16"/>
  <c r="X7126" i="16"/>
  <c r="X7127" i="16"/>
  <c r="X7128" i="16"/>
  <c r="X7129" i="16"/>
  <c r="X7130" i="16"/>
  <c r="X7131" i="16"/>
  <c r="X7132" i="16"/>
  <c r="X7133" i="16"/>
  <c r="X7134" i="16"/>
  <c r="X7135" i="16"/>
  <c r="X7136" i="16"/>
  <c r="X7137" i="16"/>
  <c r="X7138" i="16"/>
  <c r="X7139" i="16"/>
  <c r="X7140" i="16"/>
  <c r="X7141" i="16"/>
  <c r="X7142" i="16"/>
  <c r="X7143" i="16"/>
  <c r="X7144" i="16"/>
  <c r="X7145" i="16"/>
  <c r="X7146" i="16"/>
  <c r="X7147" i="16"/>
  <c r="X7148" i="16"/>
  <c r="X7149" i="16"/>
  <c r="X7150" i="16"/>
  <c r="X7151" i="16"/>
  <c r="X7152" i="16"/>
  <c r="X7153" i="16"/>
  <c r="X7154" i="16"/>
  <c r="X7155" i="16"/>
  <c r="X7156" i="16"/>
  <c r="X7157" i="16"/>
  <c r="X7158" i="16"/>
  <c r="X7159" i="16"/>
  <c r="X7160" i="16"/>
  <c r="X7161" i="16"/>
  <c r="X7162" i="16"/>
  <c r="X7163" i="16"/>
  <c r="X7164" i="16"/>
  <c r="X7165" i="16"/>
  <c r="X7166" i="16"/>
  <c r="X7167" i="16"/>
  <c r="X7168" i="16"/>
  <c r="X7169" i="16"/>
  <c r="X7170" i="16"/>
  <c r="X7171" i="16"/>
  <c r="X7172" i="16"/>
  <c r="X7173" i="16"/>
  <c r="X7174" i="16"/>
  <c r="X7175" i="16"/>
  <c r="X7176" i="16"/>
  <c r="X7177" i="16"/>
  <c r="X7178" i="16"/>
  <c r="X7179" i="16"/>
  <c r="X7180" i="16"/>
  <c r="X7181" i="16"/>
  <c r="X7182" i="16"/>
  <c r="X7183" i="16"/>
  <c r="X7184" i="16"/>
  <c r="X7185" i="16"/>
  <c r="X7186" i="16"/>
  <c r="X7187" i="16"/>
  <c r="X7188" i="16"/>
  <c r="X7189" i="16"/>
  <c r="X7190" i="16"/>
  <c r="X7191" i="16"/>
  <c r="X7192" i="16"/>
  <c r="X7193" i="16"/>
  <c r="X7194" i="16"/>
  <c r="X7195" i="16"/>
  <c r="X7196" i="16"/>
  <c r="X7197" i="16"/>
  <c r="X7198" i="16"/>
  <c r="X7199" i="16"/>
  <c r="X7200" i="16"/>
  <c r="X7201" i="16"/>
  <c r="X7202" i="16"/>
  <c r="X7203" i="16"/>
  <c r="X7204" i="16"/>
  <c r="X7205" i="16"/>
  <c r="X7206" i="16"/>
  <c r="X7207" i="16"/>
  <c r="X7208" i="16"/>
  <c r="X7209" i="16"/>
  <c r="X7210" i="16"/>
  <c r="X7211" i="16"/>
  <c r="X7212" i="16"/>
  <c r="X7213" i="16"/>
  <c r="X7214" i="16"/>
  <c r="X7215" i="16"/>
  <c r="X7216" i="16"/>
  <c r="X7217" i="16"/>
  <c r="X7218" i="16"/>
  <c r="X7219" i="16"/>
  <c r="X7220" i="16"/>
  <c r="X7221" i="16"/>
  <c r="X7222" i="16"/>
  <c r="X7223" i="16"/>
  <c r="X7224" i="16"/>
  <c r="X7225" i="16"/>
  <c r="X7226" i="16"/>
  <c r="X7227" i="16"/>
  <c r="X7228" i="16"/>
  <c r="X7229" i="16"/>
  <c r="X7230" i="16"/>
  <c r="X7231" i="16"/>
  <c r="X7232" i="16"/>
  <c r="X7233" i="16"/>
  <c r="X7234" i="16"/>
  <c r="X7235" i="16"/>
  <c r="X7236" i="16"/>
  <c r="X7237" i="16"/>
  <c r="X7238" i="16"/>
  <c r="X7239" i="16"/>
  <c r="X7240" i="16"/>
  <c r="X7241" i="16"/>
  <c r="X7242" i="16"/>
  <c r="X7243" i="16"/>
  <c r="X7244" i="16"/>
  <c r="X7245" i="16"/>
  <c r="X7246" i="16"/>
  <c r="X7247" i="16"/>
  <c r="X7248" i="16"/>
  <c r="X7249" i="16"/>
  <c r="X7250" i="16"/>
  <c r="X7251" i="16"/>
  <c r="X7252" i="16"/>
  <c r="X7253" i="16"/>
  <c r="X7254" i="16"/>
  <c r="X7255" i="16"/>
  <c r="X7256" i="16"/>
  <c r="X7257" i="16"/>
  <c r="X7258" i="16"/>
  <c r="X7259" i="16"/>
  <c r="X7260" i="16"/>
  <c r="X7261" i="16"/>
  <c r="X7262" i="16"/>
  <c r="X7263" i="16"/>
  <c r="X7264" i="16"/>
  <c r="X7265" i="16"/>
  <c r="X7266" i="16"/>
  <c r="X7267" i="16"/>
  <c r="X7268" i="16"/>
  <c r="X7269" i="16"/>
  <c r="X7270" i="16"/>
  <c r="X7271" i="16"/>
  <c r="X7272" i="16"/>
  <c r="X7273" i="16"/>
  <c r="X7274" i="16"/>
  <c r="X7275" i="16"/>
  <c r="X7276" i="16"/>
  <c r="X7277" i="16"/>
  <c r="X7278" i="16"/>
  <c r="X7279" i="16"/>
  <c r="X7280" i="16"/>
  <c r="X7281" i="16"/>
  <c r="X7282" i="16"/>
  <c r="X7283" i="16"/>
  <c r="X7284" i="16"/>
  <c r="X7285" i="16"/>
  <c r="X7286" i="16"/>
  <c r="X7287" i="16"/>
  <c r="X7288" i="16"/>
  <c r="X7289" i="16"/>
  <c r="X7290" i="16"/>
  <c r="X7291" i="16"/>
  <c r="X7292" i="16"/>
  <c r="X7293" i="16"/>
  <c r="X7294" i="16"/>
  <c r="X7295" i="16"/>
  <c r="X7296" i="16"/>
  <c r="X7297" i="16"/>
  <c r="X7298" i="16"/>
  <c r="X7299" i="16"/>
  <c r="X7300" i="16"/>
  <c r="X7301" i="16"/>
  <c r="X7302" i="16"/>
  <c r="X7303" i="16"/>
  <c r="X7304" i="16"/>
  <c r="X7305" i="16"/>
  <c r="X7306" i="16"/>
  <c r="X7307" i="16"/>
  <c r="X7308" i="16"/>
  <c r="X7309" i="16"/>
  <c r="X7310" i="16"/>
  <c r="X7311" i="16"/>
  <c r="X7312" i="16"/>
  <c r="X7313" i="16"/>
  <c r="X7314" i="16"/>
  <c r="X7315" i="16"/>
  <c r="X7316" i="16"/>
  <c r="X7317" i="16"/>
  <c r="X7318" i="16"/>
  <c r="X7319" i="16"/>
  <c r="X7320" i="16"/>
  <c r="X7321" i="16"/>
  <c r="X7322" i="16"/>
  <c r="X7323" i="16"/>
  <c r="X7324" i="16"/>
  <c r="X7325" i="16"/>
  <c r="X7326" i="16"/>
  <c r="X7327" i="16"/>
  <c r="X7328" i="16"/>
  <c r="X7329" i="16"/>
  <c r="X7330" i="16"/>
  <c r="X7331" i="16"/>
  <c r="X7332" i="16"/>
  <c r="X7333" i="16"/>
  <c r="X7334" i="16"/>
  <c r="X7335" i="16"/>
  <c r="X7336" i="16"/>
  <c r="X7337" i="16"/>
  <c r="X7338" i="16"/>
  <c r="X7339" i="16"/>
  <c r="X7340" i="16"/>
  <c r="X7341" i="16"/>
  <c r="X7342" i="16"/>
  <c r="X7343" i="16"/>
  <c r="X7344" i="16"/>
  <c r="X7345" i="16"/>
  <c r="X7346" i="16"/>
  <c r="X7347" i="16"/>
  <c r="X7348" i="16"/>
  <c r="X7349" i="16"/>
  <c r="X7350" i="16"/>
  <c r="X7351" i="16"/>
  <c r="X7352" i="16"/>
  <c r="X7353" i="16"/>
  <c r="X7354" i="16"/>
  <c r="X7355" i="16"/>
  <c r="X7356" i="16"/>
  <c r="X7357" i="16"/>
  <c r="X7358" i="16"/>
  <c r="X7359" i="16"/>
  <c r="X7360" i="16"/>
  <c r="X7361" i="16"/>
  <c r="X7362" i="16"/>
  <c r="X7363" i="16"/>
  <c r="X7364" i="16"/>
  <c r="X7365" i="16"/>
  <c r="X7366" i="16"/>
  <c r="X7367" i="16"/>
  <c r="X7368" i="16"/>
  <c r="X7369" i="16"/>
  <c r="X7370" i="16"/>
  <c r="X7371" i="16"/>
  <c r="X7372" i="16"/>
  <c r="X7373" i="16"/>
  <c r="X7374" i="16"/>
  <c r="X7375" i="16"/>
  <c r="X7376" i="16"/>
  <c r="X7377" i="16"/>
  <c r="X7378" i="16"/>
  <c r="X7379" i="16"/>
  <c r="X7380" i="16"/>
  <c r="X7381" i="16"/>
  <c r="X7382" i="16"/>
  <c r="X7383" i="16"/>
  <c r="X7384" i="16"/>
  <c r="X7385" i="16"/>
  <c r="X7386" i="16"/>
  <c r="X7387" i="16"/>
  <c r="X7388" i="16"/>
  <c r="X7389" i="16"/>
  <c r="X7390" i="16"/>
  <c r="X7391" i="16"/>
  <c r="X7392" i="16"/>
  <c r="X7393" i="16"/>
  <c r="X7394" i="16"/>
  <c r="X7395" i="16"/>
  <c r="X7396" i="16"/>
  <c r="X7397" i="16"/>
  <c r="X7398" i="16"/>
  <c r="X7399" i="16"/>
  <c r="X7400" i="16"/>
  <c r="X7401" i="16"/>
  <c r="X7402" i="16"/>
  <c r="X7403" i="16"/>
  <c r="X7404" i="16"/>
  <c r="X7405" i="16"/>
  <c r="X7406" i="16"/>
  <c r="X7407" i="16"/>
  <c r="X7408" i="16"/>
  <c r="X7409" i="16"/>
  <c r="X7410" i="16"/>
  <c r="X7411" i="16"/>
  <c r="X7412" i="16"/>
  <c r="X7413" i="16"/>
  <c r="X7414" i="16"/>
  <c r="X7415" i="16"/>
  <c r="X7416" i="16"/>
  <c r="X7417" i="16"/>
  <c r="X7418" i="16"/>
  <c r="X7419" i="16"/>
  <c r="X7420" i="16"/>
  <c r="X7421" i="16"/>
  <c r="X7422" i="16"/>
  <c r="X7423" i="16"/>
  <c r="X7424" i="16"/>
  <c r="X7425" i="16"/>
  <c r="X7426" i="16"/>
  <c r="X7427" i="16"/>
  <c r="X7428" i="16"/>
  <c r="X7429" i="16"/>
  <c r="X7430" i="16"/>
  <c r="X7431" i="16"/>
  <c r="X7432" i="16"/>
  <c r="X7433" i="16"/>
  <c r="X7434" i="16"/>
  <c r="X7435" i="16"/>
  <c r="X7436" i="16"/>
  <c r="X7437" i="16"/>
  <c r="X7438" i="16"/>
  <c r="X7439" i="16"/>
  <c r="X7440" i="16"/>
  <c r="X7441" i="16"/>
  <c r="X7442" i="16"/>
  <c r="X7443" i="16"/>
  <c r="X7444" i="16"/>
  <c r="X7445" i="16"/>
  <c r="X7446" i="16"/>
  <c r="X7447" i="16"/>
  <c r="X7448" i="16"/>
  <c r="X7449" i="16"/>
  <c r="X7450" i="16"/>
  <c r="X7451" i="16"/>
  <c r="X7452" i="16"/>
  <c r="X7453" i="16"/>
  <c r="X7454" i="16"/>
  <c r="X7455" i="16"/>
  <c r="X7456" i="16"/>
  <c r="X7457" i="16"/>
  <c r="X7458" i="16"/>
  <c r="X7459" i="16"/>
  <c r="X7460" i="16"/>
  <c r="X7461" i="16"/>
  <c r="X7462" i="16"/>
  <c r="X7463" i="16"/>
  <c r="X7464" i="16"/>
  <c r="X7465" i="16"/>
  <c r="X7466" i="16"/>
  <c r="X7467" i="16"/>
  <c r="X7468" i="16"/>
  <c r="X7469" i="16"/>
  <c r="X7470" i="16"/>
  <c r="X7471" i="16"/>
  <c r="X7472" i="16"/>
  <c r="X7473" i="16"/>
  <c r="X7474" i="16"/>
  <c r="X7475" i="16"/>
  <c r="X7476" i="16"/>
  <c r="X7477" i="16"/>
  <c r="X7478" i="16"/>
  <c r="X7479" i="16"/>
  <c r="X7480" i="16"/>
  <c r="X7481" i="16"/>
  <c r="X7482" i="16"/>
  <c r="X7483" i="16"/>
  <c r="X7484" i="16"/>
  <c r="X7485" i="16"/>
  <c r="X7486" i="16"/>
  <c r="X7487" i="16"/>
  <c r="X7488" i="16"/>
  <c r="X7489" i="16"/>
  <c r="X7490" i="16"/>
  <c r="X7491" i="16"/>
  <c r="X7492" i="16"/>
  <c r="X7493" i="16"/>
  <c r="X7494" i="16"/>
  <c r="X7495" i="16"/>
  <c r="X7496" i="16"/>
  <c r="X7497" i="16"/>
  <c r="X7498" i="16"/>
  <c r="X7499" i="16"/>
  <c r="X7500" i="16"/>
  <c r="X7501" i="16"/>
  <c r="X7502" i="16"/>
  <c r="X7503" i="16"/>
  <c r="X7504" i="16"/>
  <c r="X7505" i="16"/>
  <c r="X7506" i="16"/>
  <c r="X7507" i="16"/>
  <c r="X7508" i="16"/>
  <c r="X7509" i="16"/>
  <c r="X7510" i="16"/>
  <c r="X7511" i="16"/>
  <c r="X7512" i="16"/>
  <c r="X7513" i="16"/>
  <c r="X7514" i="16"/>
  <c r="X7515" i="16"/>
  <c r="X7516" i="16"/>
  <c r="X7517" i="16"/>
  <c r="X7518" i="16"/>
  <c r="X7519" i="16"/>
  <c r="X7520" i="16"/>
  <c r="X7521" i="16"/>
  <c r="X7522" i="16"/>
  <c r="X7523" i="16"/>
  <c r="X7524" i="16"/>
  <c r="X7525" i="16"/>
  <c r="X7526" i="16"/>
  <c r="X7527" i="16"/>
  <c r="X7528" i="16"/>
  <c r="X7529" i="16"/>
  <c r="X7530" i="16"/>
  <c r="X7531" i="16"/>
  <c r="X7532" i="16"/>
  <c r="X7533" i="16"/>
  <c r="X7534" i="16"/>
  <c r="X7535" i="16"/>
  <c r="X7536" i="16"/>
  <c r="X7537" i="16"/>
  <c r="X7538" i="16"/>
  <c r="X7539" i="16"/>
  <c r="X7540" i="16"/>
  <c r="X7541" i="16"/>
  <c r="X7542" i="16"/>
  <c r="X7543" i="16"/>
  <c r="X7544" i="16"/>
  <c r="X7545" i="16"/>
  <c r="X7546" i="16"/>
  <c r="X7547" i="16"/>
  <c r="X7548" i="16"/>
  <c r="X7549" i="16"/>
  <c r="X7550" i="16"/>
  <c r="X7551" i="16"/>
  <c r="X7552" i="16"/>
  <c r="X7553" i="16"/>
  <c r="X7554" i="16"/>
  <c r="X7555" i="16"/>
  <c r="X7556" i="16"/>
  <c r="X7557" i="16"/>
  <c r="X7558" i="16"/>
  <c r="X7559" i="16"/>
  <c r="X7560" i="16"/>
  <c r="X7561" i="16"/>
  <c r="X7562" i="16"/>
  <c r="X7563" i="16"/>
  <c r="X7564" i="16"/>
  <c r="X7565" i="16"/>
  <c r="X7566" i="16"/>
  <c r="X7567" i="16"/>
  <c r="X7568" i="16"/>
  <c r="X7569" i="16"/>
  <c r="X7570" i="16"/>
  <c r="X7571" i="16"/>
  <c r="X7572" i="16"/>
  <c r="X7573" i="16"/>
  <c r="X7574" i="16"/>
  <c r="X7575" i="16"/>
  <c r="X7576" i="16"/>
  <c r="X7577" i="16"/>
  <c r="X7578" i="16"/>
  <c r="X7579" i="16"/>
  <c r="X7580" i="16"/>
  <c r="X7581" i="16"/>
  <c r="X7582" i="16"/>
  <c r="X7583" i="16"/>
  <c r="X7584" i="16"/>
  <c r="X7585" i="16"/>
  <c r="X7586" i="16"/>
  <c r="X7587" i="16"/>
  <c r="X7588" i="16"/>
  <c r="X7589" i="16"/>
  <c r="X7590" i="16"/>
  <c r="X7591" i="16"/>
  <c r="X7592" i="16"/>
  <c r="X7593" i="16"/>
  <c r="X7594" i="16"/>
  <c r="X7595" i="16"/>
  <c r="X7596" i="16"/>
  <c r="X7597" i="16"/>
  <c r="X7598" i="16"/>
  <c r="X7599" i="16"/>
  <c r="X7600" i="16"/>
  <c r="X7601" i="16"/>
  <c r="X7602" i="16"/>
  <c r="X7603" i="16"/>
  <c r="X7604" i="16"/>
  <c r="X7605" i="16"/>
  <c r="X7606" i="16"/>
  <c r="X7607" i="16"/>
  <c r="X7608" i="16"/>
  <c r="X7609" i="16"/>
  <c r="X7610" i="16"/>
  <c r="X7611" i="16"/>
  <c r="X7612" i="16"/>
  <c r="X7613" i="16"/>
  <c r="X7614" i="16"/>
  <c r="X7615" i="16"/>
  <c r="X7616" i="16"/>
  <c r="X7617" i="16"/>
  <c r="X7618" i="16"/>
  <c r="X7619" i="16"/>
  <c r="X7620" i="16"/>
  <c r="X7621" i="16"/>
  <c r="X7622" i="16"/>
  <c r="X7623" i="16"/>
  <c r="X7624" i="16"/>
  <c r="X7625" i="16"/>
  <c r="X7626" i="16"/>
  <c r="X7627" i="16"/>
  <c r="X7628" i="16"/>
  <c r="X7629" i="16"/>
  <c r="X7630" i="16"/>
  <c r="X7631" i="16"/>
  <c r="X7632" i="16"/>
  <c r="X7633" i="16"/>
  <c r="X7634" i="16"/>
  <c r="X7635" i="16"/>
  <c r="X7636" i="16"/>
  <c r="X7637" i="16"/>
  <c r="X7638" i="16"/>
  <c r="X7639" i="16"/>
  <c r="X7640" i="16"/>
  <c r="X7641" i="16"/>
  <c r="X7642" i="16"/>
  <c r="X7643" i="16"/>
  <c r="X7644" i="16"/>
  <c r="X7645" i="16"/>
  <c r="X7646" i="16"/>
  <c r="X7647" i="16"/>
  <c r="X7648" i="16"/>
  <c r="X7649" i="16"/>
  <c r="X7650" i="16"/>
  <c r="X7651" i="16"/>
  <c r="X7652" i="16"/>
  <c r="X7653" i="16"/>
  <c r="X7654" i="16"/>
  <c r="X7655" i="16"/>
  <c r="X7656" i="16"/>
  <c r="X7657" i="16"/>
  <c r="X7658" i="16"/>
  <c r="X7659" i="16"/>
  <c r="X7660" i="16"/>
  <c r="X7661" i="16"/>
  <c r="X7662" i="16"/>
  <c r="X7663" i="16"/>
  <c r="X7664" i="16"/>
  <c r="X7665" i="16"/>
  <c r="X7666" i="16"/>
  <c r="X7667" i="16"/>
  <c r="X7668" i="16"/>
  <c r="X7669" i="16"/>
  <c r="X7670" i="16"/>
  <c r="X7671" i="16"/>
  <c r="X7672" i="16"/>
  <c r="X7673" i="16"/>
  <c r="X7674" i="16"/>
  <c r="X7675" i="16"/>
  <c r="X7676" i="16"/>
  <c r="X7677" i="16"/>
  <c r="X7678" i="16"/>
  <c r="X7679" i="16"/>
  <c r="X7680" i="16"/>
  <c r="X7681" i="16"/>
  <c r="X7682" i="16"/>
  <c r="X7683" i="16"/>
  <c r="X7684" i="16"/>
  <c r="X7685" i="16"/>
  <c r="X7686" i="16"/>
  <c r="X7687" i="16"/>
  <c r="X7688" i="16"/>
  <c r="X7689" i="16"/>
  <c r="X7690" i="16"/>
  <c r="X7691" i="16"/>
  <c r="X7692" i="16"/>
  <c r="X7693" i="16"/>
  <c r="X7694" i="16"/>
  <c r="X7695" i="16"/>
  <c r="X7696" i="16"/>
  <c r="X7697" i="16"/>
  <c r="X7698" i="16"/>
  <c r="X7699" i="16"/>
  <c r="X7700" i="16"/>
  <c r="X7701" i="16"/>
  <c r="X7702" i="16"/>
  <c r="X7703" i="16"/>
  <c r="X7704" i="16"/>
  <c r="X7705" i="16"/>
  <c r="X7706" i="16"/>
  <c r="X7707" i="16"/>
  <c r="X7708" i="16"/>
  <c r="X7709" i="16"/>
  <c r="X7710" i="16"/>
  <c r="X7711" i="16"/>
  <c r="X7712" i="16"/>
  <c r="X7713" i="16"/>
  <c r="X7714" i="16"/>
  <c r="X7715" i="16"/>
  <c r="X7716" i="16"/>
  <c r="X7717" i="16"/>
  <c r="X7718" i="16"/>
  <c r="X7719" i="16"/>
  <c r="X7720" i="16"/>
  <c r="X7721" i="16"/>
  <c r="X7722" i="16"/>
  <c r="X7723" i="16"/>
  <c r="X7724" i="16"/>
  <c r="X7725" i="16"/>
  <c r="X7726" i="16"/>
  <c r="X7727" i="16"/>
  <c r="X7728" i="16"/>
  <c r="X7729" i="16"/>
  <c r="X7730" i="16"/>
  <c r="X7731" i="16"/>
  <c r="X7732" i="16"/>
  <c r="X7733" i="16"/>
  <c r="X7734" i="16"/>
  <c r="X7735" i="16"/>
  <c r="X7736" i="16"/>
  <c r="X7737" i="16"/>
  <c r="X7738" i="16"/>
  <c r="X7739" i="16"/>
  <c r="X7740" i="16"/>
  <c r="X7741" i="16"/>
  <c r="X7742" i="16"/>
  <c r="X7743" i="16"/>
  <c r="X7744" i="16"/>
  <c r="X7745" i="16"/>
  <c r="X7746" i="16"/>
  <c r="X7747" i="16"/>
  <c r="X7748" i="16"/>
  <c r="X7749" i="16"/>
  <c r="X7750" i="16"/>
  <c r="X7751" i="16"/>
  <c r="X7752" i="16"/>
  <c r="X7753" i="16"/>
  <c r="X7754" i="16"/>
  <c r="X7755" i="16"/>
  <c r="X7756" i="16"/>
  <c r="X7757" i="16"/>
  <c r="X7758" i="16"/>
  <c r="X7759" i="16"/>
  <c r="X7760" i="16"/>
  <c r="X7761" i="16"/>
  <c r="X7762" i="16"/>
  <c r="X7763" i="16"/>
  <c r="X7764" i="16"/>
  <c r="X7765" i="16"/>
  <c r="X7766" i="16"/>
  <c r="X7767" i="16"/>
  <c r="X7768" i="16"/>
  <c r="X7769" i="16"/>
  <c r="X7770" i="16"/>
  <c r="X7771" i="16"/>
  <c r="X7772" i="16"/>
  <c r="X7773" i="16"/>
  <c r="X7774" i="16"/>
  <c r="X7775" i="16"/>
  <c r="X7776" i="16"/>
  <c r="X7777" i="16"/>
  <c r="X7778" i="16"/>
  <c r="X7779" i="16"/>
  <c r="X7780" i="16"/>
  <c r="X7781" i="16"/>
  <c r="X7782" i="16"/>
  <c r="X7783" i="16"/>
  <c r="X7784" i="16"/>
  <c r="X7785" i="16"/>
  <c r="X7786" i="16"/>
  <c r="X7787" i="16"/>
  <c r="X7788" i="16"/>
  <c r="X7789" i="16"/>
  <c r="X7790" i="16"/>
  <c r="X7791" i="16"/>
  <c r="X7792" i="16"/>
  <c r="X7793" i="16"/>
  <c r="X7794" i="16"/>
  <c r="X7795" i="16"/>
  <c r="X7796" i="16"/>
  <c r="X7797" i="16"/>
  <c r="X7798" i="16"/>
  <c r="X7799" i="16"/>
  <c r="X7800" i="16"/>
  <c r="X7801" i="16"/>
  <c r="X7802" i="16"/>
  <c r="X7803" i="16"/>
  <c r="X7804" i="16"/>
  <c r="X7805" i="16"/>
  <c r="X7806" i="16"/>
  <c r="X7807" i="16"/>
  <c r="X7808" i="16"/>
  <c r="X7809" i="16"/>
  <c r="X7810" i="16"/>
  <c r="X7811" i="16"/>
  <c r="X7812" i="16"/>
  <c r="X7813" i="16"/>
  <c r="X7814" i="16"/>
  <c r="X7815" i="16"/>
  <c r="X7816" i="16"/>
  <c r="X7817" i="16"/>
  <c r="X7818" i="16"/>
  <c r="X7819" i="16"/>
  <c r="X7820" i="16"/>
  <c r="X7821" i="16"/>
  <c r="X7822" i="16"/>
  <c r="X7823" i="16"/>
  <c r="X7824" i="16"/>
  <c r="X7825" i="16"/>
  <c r="X7826" i="16"/>
  <c r="X7827" i="16"/>
  <c r="X7828" i="16"/>
  <c r="X7829" i="16"/>
  <c r="X7830" i="16"/>
  <c r="X7831" i="16"/>
  <c r="X7832" i="16"/>
  <c r="X7833" i="16"/>
  <c r="X7834" i="16"/>
  <c r="X7835" i="16"/>
  <c r="X7836" i="16"/>
  <c r="X7837" i="16"/>
  <c r="X7838" i="16"/>
  <c r="X7839" i="16"/>
  <c r="X7840" i="16"/>
  <c r="X7841" i="16"/>
  <c r="X7842" i="16"/>
  <c r="X7843" i="16"/>
  <c r="X7844" i="16"/>
  <c r="X7845" i="16"/>
  <c r="X7846" i="16"/>
  <c r="X7847" i="16"/>
  <c r="X7848" i="16"/>
  <c r="X7849" i="16"/>
  <c r="X7850" i="16"/>
  <c r="X7851" i="16"/>
  <c r="X7852" i="16"/>
  <c r="X7853" i="16"/>
  <c r="X7854" i="16"/>
  <c r="X7855" i="16"/>
  <c r="X7856" i="16"/>
  <c r="X7857" i="16"/>
  <c r="X7858" i="16"/>
  <c r="X7859" i="16"/>
  <c r="X7860" i="16"/>
  <c r="X7861" i="16"/>
  <c r="X7862" i="16"/>
  <c r="X7863" i="16"/>
  <c r="X7864" i="16"/>
  <c r="X7865" i="16"/>
  <c r="X7866" i="16"/>
  <c r="X7867" i="16"/>
  <c r="X7868" i="16"/>
  <c r="X7869" i="16"/>
  <c r="X7870" i="16"/>
  <c r="X7871" i="16"/>
  <c r="X7872" i="16"/>
  <c r="X7873" i="16"/>
  <c r="X7874" i="16"/>
  <c r="X7875" i="16"/>
  <c r="X7876" i="16"/>
  <c r="X7877" i="16"/>
  <c r="X7878" i="16"/>
  <c r="X7879" i="16"/>
  <c r="X7880" i="16"/>
  <c r="X7881" i="16"/>
  <c r="X7882" i="16"/>
  <c r="X7883" i="16"/>
  <c r="X7884" i="16"/>
  <c r="X7885" i="16"/>
  <c r="X7886" i="16"/>
  <c r="X7887" i="16"/>
  <c r="X7888" i="16"/>
  <c r="X7889" i="16"/>
  <c r="X7890" i="16"/>
  <c r="X7891" i="16"/>
  <c r="X7892" i="16"/>
  <c r="X7893" i="16"/>
  <c r="X7894" i="16"/>
  <c r="X7895" i="16"/>
  <c r="X7896" i="16"/>
  <c r="X7897" i="16"/>
  <c r="X7898" i="16"/>
  <c r="X7899" i="16"/>
  <c r="X7900" i="16"/>
  <c r="X7901" i="16"/>
  <c r="X7902" i="16"/>
  <c r="X7903" i="16"/>
  <c r="X7904" i="16"/>
  <c r="X7905" i="16"/>
  <c r="X7906" i="16"/>
  <c r="X7907" i="16"/>
  <c r="X7908" i="16"/>
  <c r="X7909" i="16"/>
  <c r="X7910" i="16"/>
  <c r="X7911" i="16"/>
  <c r="X7912" i="16"/>
  <c r="X7913" i="16"/>
  <c r="X7914" i="16"/>
  <c r="X7915" i="16"/>
  <c r="X7916" i="16"/>
  <c r="X7917" i="16"/>
  <c r="X7918" i="16"/>
  <c r="X7919" i="16"/>
  <c r="X7920" i="16"/>
  <c r="X7921" i="16"/>
  <c r="X7922" i="16"/>
  <c r="X7923" i="16"/>
  <c r="X7924" i="16"/>
  <c r="X7925" i="16"/>
  <c r="X7926" i="16"/>
  <c r="X7927" i="16"/>
  <c r="X7928" i="16"/>
  <c r="X7929" i="16"/>
  <c r="X7930" i="16"/>
  <c r="X7931" i="16"/>
  <c r="X7932" i="16"/>
  <c r="X7933" i="16"/>
  <c r="X7934" i="16"/>
  <c r="X7935" i="16"/>
  <c r="X7936" i="16"/>
  <c r="X7937" i="16"/>
  <c r="X7938" i="16"/>
  <c r="X7939" i="16"/>
  <c r="X7940" i="16"/>
  <c r="X7941" i="16"/>
  <c r="X7942" i="16"/>
  <c r="X7943" i="16"/>
  <c r="X7944" i="16"/>
  <c r="X7945" i="16"/>
  <c r="X7946" i="16"/>
  <c r="X7947" i="16"/>
  <c r="X7948" i="16"/>
  <c r="X7949" i="16"/>
  <c r="X7950" i="16"/>
  <c r="X7951" i="16"/>
  <c r="X7952" i="16"/>
  <c r="X7953" i="16"/>
  <c r="X7954" i="16"/>
  <c r="X7955" i="16"/>
  <c r="X7956" i="16"/>
  <c r="X7957" i="16"/>
  <c r="X7958" i="16"/>
  <c r="X7959" i="16"/>
  <c r="X7960" i="16"/>
  <c r="X7961" i="16"/>
  <c r="X7962" i="16"/>
  <c r="X7963" i="16"/>
  <c r="X7964" i="16"/>
  <c r="X7965" i="16"/>
  <c r="X7966" i="16"/>
  <c r="X7967" i="16"/>
  <c r="X7968" i="16"/>
  <c r="X7969" i="16"/>
  <c r="X7970" i="16"/>
  <c r="X7971" i="16"/>
  <c r="X7972" i="16"/>
  <c r="X7973" i="16"/>
  <c r="X7974" i="16"/>
  <c r="X7975" i="16"/>
  <c r="X7976" i="16"/>
  <c r="X7977" i="16"/>
  <c r="X7978" i="16"/>
  <c r="X7979" i="16"/>
  <c r="X7980" i="16"/>
  <c r="X7981" i="16"/>
  <c r="X7982" i="16"/>
  <c r="X7983" i="16"/>
  <c r="X7984" i="16"/>
  <c r="X7985" i="16"/>
  <c r="X7986" i="16"/>
  <c r="X7987" i="16"/>
  <c r="X7988" i="16"/>
  <c r="X7989" i="16"/>
  <c r="X7990" i="16"/>
  <c r="X7991" i="16"/>
  <c r="X7992" i="16"/>
  <c r="X7993" i="16"/>
  <c r="X7994" i="16"/>
  <c r="X7995" i="16"/>
  <c r="X7996" i="16"/>
  <c r="X7997" i="16"/>
  <c r="X7998" i="16"/>
  <c r="X7999" i="16"/>
  <c r="X8000" i="16"/>
  <c r="X8001" i="16"/>
  <c r="X8002" i="16"/>
  <c r="X8003" i="16"/>
  <c r="X8004" i="16"/>
  <c r="X8005" i="16"/>
  <c r="X8006" i="16"/>
  <c r="X8007" i="16"/>
  <c r="X8008" i="16"/>
  <c r="X8009" i="16"/>
  <c r="X8010" i="16"/>
  <c r="X8011" i="16"/>
  <c r="X8012" i="16"/>
  <c r="X8013" i="16"/>
  <c r="X8014" i="16"/>
  <c r="X8015" i="16"/>
  <c r="X8016" i="16"/>
  <c r="X8017" i="16"/>
  <c r="X8018" i="16"/>
  <c r="X8019" i="16"/>
  <c r="X8020" i="16"/>
  <c r="X8021" i="16"/>
  <c r="X8022" i="16"/>
  <c r="X8023" i="16"/>
  <c r="X8024" i="16"/>
  <c r="X8025" i="16"/>
  <c r="X8026" i="16"/>
  <c r="X8027" i="16"/>
  <c r="X8028" i="16"/>
  <c r="X8029" i="16"/>
  <c r="X8030" i="16"/>
  <c r="X8031" i="16"/>
  <c r="X8032" i="16"/>
  <c r="X8033" i="16"/>
  <c r="X8034" i="16"/>
  <c r="X8035" i="16"/>
  <c r="X8036" i="16"/>
  <c r="X8037" i="16"/>
  <c r="X8038" i="16"/>
  <c r="X8039" i="16"/>
  <c r="X8040" i="16"/>
  <c r="X8041" i="16"/>
  <c r="X8042" i="16"/>
  <c r="X8043" i="16"/>
  <c r="X8044" i="16"/>
  <c r="X8045" i="16"/>
  <c r="X8046" i="16"/>
  <c r="X8047" i="16"/>
  <c r="X8048" i="16"/>
  <c r="X8049" i="16"/>
  <c r="X8050" i="16"/>
  <c r="X8051" i="16"/>
  <c r="X8052" i="16"/>
  <c r="X8053" i="16"/>
  <c r="X8054" i="16"/>
  <c r="X8055" i="16"/>
  <c r="X8056" i="16"/>
  <c r="X8057" i="16"/>
  <c r="X8058" i="16"/>
  <c r="X8059" i="16"/>
  <c r="X8060" i="16"/>
  <c r="X8061" i="16"/>
  <c r="X8062" i="16"/>
  <c r="X8063" i="16"/>
  <c r="X8064" i="16"/>
  <c r="X8065" i="16"/>
  <c r="X8066" i="16"/>
  <c r="X8067" i="16"/>
  <c r="X8068" i="16"/>
  <c r="X8069" i="16"/>
  <c r="X8070" i="16"/>
  <c r="X8071" i="16"/>
  <c r="X8072" i="16"/>
  <c r="X8073" i="16"/>
  <c r="X8074" i="16"/>
  <c r="X8075" i="16"/>
  <c r="X8076" i="16"/>
  <c r="X8077" i="16"/>
  <c r="X8078" i="16"/>
  <c r="X8079" i="16"/>
  <c r="X8080" i="16"/>
  <c r="X8081" i="16"/>
  <c r="X8082" i="16"/>
  <c r="X8083" i="16"/>
  <c r="X8084" i="16"/>
  <c r="X8085" i="16"/>
  <c r="X8086" i="16"/>
  <c r="X8087" i="16"/>
  <c r="X8088" i="16"/>
  <c r="X8089" i="16"/>
  <c r="X8090" i="16"/>
  <c r="X8091" i="16"/>
  <c r="X8092" i="16"/>
  <c r="X8093" i="16"/>
  <c r="X8094" i="16"/>
  <c r="X8095" i="16"/>
  <c r="X8096" i="16"/>
  <c r="X8097" i="16"/>
  <c r="X8098" i="16"/>
  <c r="X8099" i="16"/>
  <c r="X8100" i="16"/>
  <c r="X8101" i="16"/>
  <c r="X8102" i="16"/>
  <c r="X8103" i="16"/>
  <c r="X8104" i="16"/>
  <c r="X8105" i="16"/>
  <c r="X8106" i="16"/>
  <c r="X8107" i="16"/>
  <c r="X8108" i="16"/>
  <c r="X8109" i="16"/>
  <c r="X8110" i="16"/>
  <c r="X8111" i="16"/>
  <c r="X8112" i="16"/>
  <c r="X8113" i="16"/>
  <c r="X8114" i="16"/>
  <c r="X8115" i="16"/>
  <c r="X8116" i="16"/>
  <c r="X8117" i="16"/>
  <c r="X8118" i="16"/>
  <c r="X8119" i="16"/>
  <c r="X8120" i="16"/>
  <c r="X8121" i="16"/>
  <c r="X8122" i="16"/>
  <c r="X8123" i="16"/>
  <c r="X8124" i="16"/>
  <c r="X8125" i="16"/>
  <c r="X8126" i="16"/>
  <c r="X8127" i="16"/>
  <c r="X8128" i="16"/>
  <c r="X8129" i="16"/>
  <c r="X8130" i="16"/>
  <c r="X8131" i="16"/>
  <c r="X8132" i="16"/>
  <c r="X8133" i="16"/>
  <c r="X8134" i="16"/>
  <c r="X8135" i="16"/>
  <c r="X8136" i="16"/>
  <c r="X8137" i="16"/>
  <c r="X8138" i="16"/>
  <c r="X8139" i="16"/>
  <c r="X8140" i="16"/>
  <c r="X8141" i="16"/>
  <c r="X8142" i="16"/>
  <c r="X8143" i="16"/>
  <c r="X8144" i="16"/>
  <c r="X8145" i="16"/>
  <c r="X8146" i="16"/>
  <c r="X8147" i="16"/>
  <c r="X8148" i="16"/>
  <c r="X8149" i="16"/>
  <c r="X8150" i="16"/>
  <c r="X8151" i="16"/>
  <c r="X8152" i="16"/>
  <c r="X8153" i="16"/>
  <c r="X8154" i="16"/>
  <c r="X8155" i="16"/>
  <c r="X8156" i="16"/>
  <c r="X8157" i="16"/>
  <c r="X8158" i="16"/>
  <c r="X8159" i="16"/>
  <c r="X8160" i="16"/>
  <c r="X8161" i="16"/>
  <c r="X8162" i="16"/>
  <c r="X8163" i="16"/>
  <c r="X8164" i="16"/>
  <c r="X8165" i="16"/>
  <c r="X8166" i="16"/>
  <c r="X8167" i="16"/>
  <c r="X8168" i="16"/>
  <c r="X8169" i="16"/>
  <c r="X8170" i="16"/>
  <c r="X8171" i="16"/>
  <c r="X8172" i="16"/>
  <c r="X8173" i="16"/>
  <c r="X8174" i="16"/>
  <c r="X8175" i="16"/>
  <c r="X8176" i="16"/>
  <c r="X8177" i="16"/>
  <c r="X8178" i="16"/>
  <c r="X8179" i="16"/>
  <c r="X8180" i="16"/>
  <c r="X8181" i="16"/>
  <c r="X8182" i="16"/>
  <c r="X8183" i="16"/>
  <c r="X8184" i="16"/>
  <c r="X8185" i="16"/>
  <c r="X8186" i="16"/>
  <c r="X8187" i="16"/>
  <c r="X8188" i="16"/>
  <c r="X8189" i="16"/>
  <c r="X8190" i="16"/>
  <c r="X8191" i="16"/>
  <c r="X8192" i="16"/>
  <c r="X8193" i="16"/>
  <c r="X8194" i="16"/>
  <c r="X8195" i="16"/>
  <c r="X8196" i="16"/>
  <c r="X8197" i="16"/>
  <c r="X8198" i="16"/>
  <c r="X8199" i="16"/>
  <c r="X8200" i="16"/>
  <c r="X8201" i="16"/>
  <c r="X8202" i="16"/>
  <c r="X8203" i="16"/>
  <c r="X8204" i="16"/>
  <c r="X8205" i="16"/>
  <c r="X8206" i="16"/>
  <c r="X8207" i="16"/>
  <c r="X8208" i="16"/>
  <c r="X8209" i="16"/>
  <c r="X8210" i="16"/>
  <c r="X8211" i="16"/>
  <c r="X8212" i="16"/>
  <c r="X8213" i="16"/>
  <c r="X8214" i="16"/>
  <c r="X8215" i="16"/>
  <c r="X8216" i="16"/>
  <c r="X8217" i="16"/>
  <c r="X8218" i="16"/>
  <c r="X8219" i="16"/>
  <c r="X8220" i="16"/>
  <c r="X8221" i="16"/>
  <c r="X8222" i="16"/>
  <c r="X8223" i="16"/>
  <c r="X8224" i="16"/>
  <c r="X8225" i="16"/>
  <c r="X8226" i="16"/>
  <c r="X8227" i="16"/>
  <c r="X8228" i="16"/>
  <c r="X8229" i="16"/>
  <c r="X8230" i="16"/>
  <c r="X8231" i="16"/>
  <c r="X8232" i="16"/>
  <c r="X8233" i="16"/>
  <c r="X8234" i="16"/>
  <c r="X8235" i="16"/>
  <c r="X8236" i="16"/>
  <c r="X8237" i="16"/>
  <c r="X8238" i="16"/>
  <c r="X8239" i="16"/>
  <c r="X8240" i="16"/>
  <c r="X8241" i="16"/>
  <c r="X8242" i="16"/>
  <c r="X8243" i="16"/>
  <c r="X8244" i="16"/>
  <c r="X8245" i="16"/>
  <c r="X8246" i="16"/>
  <c r="X8247" i="16"/>
  <c r="X8248" i="16"/>
  <c r="X8249" i="16"/>
  <c r="X8250" i="16"/>
  <c r="X8251" i="16"/>
  <c r="X8252" i="16"/>
  <c r="X8253" i="16"/>
  <c r="X8254" i="16"/>
  <c r="X8255" i="16"/>
  <c r="X8256" i="16"/>
  <c r="X8257" i="16"/>
  <c r="X8258" i="16"/>
  <c r="X8259" i="16"/>
  <c r="X8260" i="16"/>
  <c r="X8261" i="16"/>
  <c r="X8262" i="16"/>
  <c r="X8263" i="16"/>
  <c r="X8264" i="16"/>
  <c r="X8265" i="16"/>
  <c r="X8266" i="16"/>
  <c r="X8267" i="16"/>
  <c r="X8268" i="16"/>
  <c r="X8269" i="16"/>
  <c r="X8270" i="16"/>
  <c r="X8271" i="16"/>
  <c r="X8272" i="16"/>
  <c r="X8273" i="16"/>
  <c r="X8274" i="16"/>
  <c r="X8275" i="16"/>
  <c r="X8276" i="16"/>
  <c r="X8277" i="16"/>
  <c r="X8278" i="16"/>
  <c r="X8279" i="16"/>
  <c r="X8280" i="16"/>
  <c r="X8281" i="16"/>
  <c r="X8282" i="16"/>
  <c r="X8283" i="16"/>
  <c r="X8284" i="16"/>
  <c r="X8285" i="16"/>
  <c r="X8286" i="16"/>
  <c r="X8287" i="16"/>
  <c r="X8288" i="16"/>
  <c r="X8289" i="16"/>
  <c r="X8290" i="16"/>
  <c r="X8291" i="16"/>
  <c r="X8292" i="16"/>
  <c r="X8293" i="16"/>
  <c r="X8294" i="16"/>
  <c r="X8295" i="16"/>
  <c r="X8296" i="16"/>
  <c r="X8297" i="16"/>
  <c r="X8298" i="16"/>
  <c r="X8299" i="16"/>
  <c r="X8300" i="16"/>
  <c r="X8301" i="16"/>
  <c r="X8302" i="16"/>
  <c r="X8303" i="16"/>
  <c r="X8304" i="16"/>
  <c r="X8305" i="16"/>
  <c r="X8306" i="16"/>
  <c r="X8307" i="16"/>
  <c r="X8308" i="16"/>
  <c r="X8309" i="16"/>
  <c r="X8310" i="16"/>
  <c r="X8311" i="16"/>
  <c r="X8312" i="16"/>
  <c r="X8313" i="16"/>
  <c r="X8314" i="16"/>
  <c r="X8315" i="16"/>
  <c r="X8316" i="16"/>
  <c r="X8317" i="16"/>
  <c r="X8318" i="16"/>
  <c r="X8319" i="16"/>
  <c r="X8320" i="16"/>
  <c r="X8321" i="16"/>
  <c r="X8322" i="16"/>
  <c r="X8323" i="16"/>
  <c r="X8324" i="16"/>
  <c r="X8325" i="16"/>
  <c r="X8326" i="16"/>
  <c r="X8327" i="16"/>
  <c r="X8328" i="16"/>
  <c r="X8329" i="16"/>
  <c r="X8330" i="16"/>
  <c r="X8331" i="16"/>
  <c r="X8332" i="16"/>
  <c r="X8333" i="16"/>
  <c r="X8334" i="16"/>
  <c r="X8335" i="16"/>
  <c r="X8336" i="16"/>
  <c r="X8337" i="16"/>
  <c r="X8338" i="16"/>
  <c r="X8339" i="16"/>
  <c r="X8340" i="16"/>
  <c r="X8341" i="16"/>
  <c r="X8342" i="16"/>
  <c r="X8343" i="16"/>
  <c r="X8344" i="16"/>
  <c r="X8345" i="16"/>
  <c r="X8346" i="16"/>
  <c r="X8347" i="16"/>
  <c r="X8348" i="16"/>
  <c r="X8349" i="16"/>
  <c r="X8350" i="16"/>
  <c r="X8351" i="16"/>
  <c r="X8352" i="16"/>
  <c r="X8353" i="16"/>
  <c r="X8354" i="16"/>
  <c r="X8355" i="16"/>
  <c r="X8356" i="16"/>
  <c r="X8357" i="16"/>
  <c r="X8358" i="16"/>
  <c r="X8359" i="16"/>
  <c r="X8360" i="16"/>
  <c r="X8361" i="16"/>
  <c r="X8362" i="16"/>
  <c r="X8363" i="16"/>
  <c r="X8364" i="16"/>
  <c r="X8365" i="16"/>
  <c r="X8366" i="16"/>
  <c r="X8367" i="16"/>
  <c r="X8368" i="16"/>
  <c r="X8369" i="16"/>
  <c r="X8370" i="16"/>
  <c r="X8371" i="16"/>
  <c r="X8372" i="16"/>
  <c r="X8373" i="16"/>
  <c r="X8374" i="16"/>
  <c r="X8375" i="16"/>
  <c r="X8376" i="16"/>
  <c r="X8377" i="16"/>
  <c r="X8378" i="16"/>
  <c r="X8379" i="16"/>
  <c r="X8380" i="16"/>
  <c r="X8381" i="16"/>
  <c r="X8382" i="16"/>
  <c r="X8383" i="16"/>
  <c r="X8384" i="16"/>
  <c r="X8385" i="16"/>
  <c r="X8386" i="16"/>
  <c r="X8387" i="16"/>
  <c r="X8388" i="16"/>
  <c r="X8389" i="16"/>
  <c r="X8390" i="16"/>
  <c r="X8391" i="16"/>
  <c r="X8392" i="16"/>
  <c r="X8393" i="16"/>
  <c r="X8394" i="16"/>
  <c r="X8395" i="16"/>
  <c r="X8396" i="16"/>
  <c r="X8397" i="16"/>
  <c r="X8398" i="16"/>
  <c r="X8399" i="16"/>
  <c r="X8400" i="16"/>
  <c r="X8401" i="16"/>
  <c r="X8402" i="16"/>
  <c r="X8403" i="16"/>
  <c r="X8404" i="16"/>
  <c r="X8405" i="16"/>
  <c r="X8406" i="16"/>
  <c r="X8407" i="16"/>
  <c r="X8408" i="16"/>
  <c r="X8409" i="16"/>
  <c r="X8410" i="16"/>
  <c r="X8411" i="16"/>
  <c r="X8412" i="16"/>
  <c r="X8413" i="16"/>
  <c r="X8414" i="16"/>
  <c r="X8415" i="16"/>
  <c r="X8416" i="16"/>
  <c r="X8417" i="16"/>
  <c r="X8418" i="16"/>
  <c r="X8419" i="16"/>
  <c r="X8420" i="16"/>
  <c r="X8421" i="16"/>
  <c r="X8422" i="16"/>
  <c r="X8423" i="16"/>
  <c r="X8424" i="16"/>
  <c r="X8425" i="16"/>
  <c r="X8426" i="16"/>
  <c r="X8427" i="16"/>
  <c r="X8428" i="16"/>
  <c r="X8429" i="16"/>
  <c r="X8430" i="16"/>
  <c r="X8431" i="16"/>
  <c r="X8432" i="16"/>
  <c r="X8433" i="16"/>
  <c r="X8434" i="16"/>
  <c r="X8435" i="16"/>
  <c r="X8436" i="16"/>
  <c r="X8437" i="16"/>
  <c r="X8438" i="16"/>
  <c r="X8439" i="16"/>
  <c r="X8440" i="16"/>
  <c r="X8441" i="16"/>
  <c r="X8442" i="16"/>
  <c r="X8443" i="16"/>
  <c r="X8444" i="16"/>
  <c r="X8445" i="16"/>
  <c r="X8446" i="16"/>
  <c r="X8447" i="16"/>
  <c r="X8448" i="16"/>
  <c r="X8449" i="16"/>
  <c r="X8450" i="16"/>
  <c r="X8451" i="16"/>
  <c r="X8452" i="16"/>
  <c r="X8453" i="16"/>
  <c r="X8454" i="16"/>
  <c r="X8455" i="16"/>
  <c r="X8456" i="16"/>
  <c r="X8457" i="16"/>
  <c r="X8458" i="16"/>
  <c r="X8459" i="16"/>
  <c r="X8460" i="16"/>
  <c r="X8461" i="16"/>
  <c r="X8462" i="16"/>
  <c r="X8463" i="16"/>
  <c r="X8464" i="16"/>
  <c r="X8465" i="16"/>
  <c r="X8466" i="16"/>
  <c r="X8467" i="16"/>
  <c r="X8468" i="16"/>
  <c r="X8469" i="16"/>
  <c r="X8470" i="16"/>
  <c r="X8471" i="16"/>
  <c r="X8472" i="16"/>
  <c r="X8473" i="16"/>
  <c r="X8474" i="16"/>
  <c r="X8475" i="16"/>
  <c r="X8476" i="16"/>
  <c r="X8477" i="16"/>
  <c r="X8478" i="16"/>
  <c r="X8479" i="16"/>
  <c r="X8480" i="16"/>
  <c r="X8481" i="16"/>
  <c r="X8482" i="16"/>
  <c r="X8483" i="16"/>
  <c r="X8484" i="16"/>
  <c r="X8485" i="16"/>
  <c r="X8486" i="16"/>
  <c r="X8487" i="16"/>
  <c r="X8488" i="16"/>
  <c r="X8489" i="16"/>
  <c r="X8490" i="16"/>
  <c r="X8491" i="16"/>
  <c r="X8492" i="16"/>
  <c r="X8493" i="16"/>
  <c r="X8494" i="16"/>
  <c r="X8495" i="16"/>
  <c r="X8496" i="16"/>
  <c r="X8497" i="16"/>
  <c r="X8498" i="16"/>
  <c r="X8499" i="16"/>
  <c r="X8500" i="16"/>
  <c r="X8501" i="16"/>
  <c r="X8502" i="16"/>
  <c r="X8503" i="16"/>
  <c r="X8504" i="16"/>
  <c r="X8505" i="16"/>
  <c r="X8506" i="16"/>
  <c r="X8507" i="16"/>
  <c r="X8508" i="16"/>
  <c r="X8509" i="16"/>
  <c r="X8510" i="16"/>
  <c r="X8511" i="16"/>
  <c r="X8512" i="16"/>
  <c r="X8513" i="16"/>
  <c r="X8514" i="16"/>
  <c r="X8515" i="16"/>
  <c r="X8516" i="16"/>
  <c r="X8517" i="16"/>
  <c r="X8518" i="16"/>
  <c r="X8519" i="16"/>
  <c r="X8520" i="16"/>
  <c r="X8521" i="16"/>
  <c r="X8522" i="16"/>
  <c r="X8523" i="16"/>
  <c r="X8524" i="16"/>
  <c r="X8525" i="16"/>
  <c r="X8526" i="16"/>
  <c r="X8527" i="16"/>
  <c r="X8528" i="16"/>
  <c r="X8529" i="16"/>
  <c r="X8530" i="16"/>
  <c r="X8531" i="16"/>
  <c r="X8532" i="16"/>
  <c r="X8533" i="16"/>
  <c r="X8534" i="16"/>
  <c r="X8535" i="16"/>
  <c r="X8536" i="16"/>
  <c r="X8537" i="16"/>
  <c r="X8538" i="16"/>
  <c r="X8539" i="16"/>
  <c r="X8540" i="16"/>
  <c r="X8541" i="16"/>
  <c r="X8542" i="16"/>
  <c r="X8543" i="16"/>
  <c r="X8544" i="16"/>
  <c r="X8545" i="16"/>
  <c r="X8546" i="16"/>
  <c r="X8547" i="16"/>
  <c r="X8548" i="16"/>
  <c r="X8549" i="16"/>
  <c r="X8550" i="16"/>
  <c r="X8551" i="16"/>
  <c r="X8552" i="16"/>
  <c r="X8553" i="16"/>
  <c r="X8554" i="16"/>
  <c r="X8555" i="16"/>
  <c r="X8556" i="16"/>
  <c r="X8557" i="16"/>
  <c r="X8558" i="16"/>
  <c r="X8559" i="16"/>
  <c r="X8560" i="16"/>
  <c r="X8561" i="16"/>
  <c r="X8562" i="16"/>
  <c r="X8563" i="16"/>
  <c r="X8564" i="16"/>
  <c r="X8565" i="16"/>
  <c r="X8566" i="16"/>
  <c r="X8567" i="16"/>
  <c r="X8568" i="16"/>
  <c r="X8569" i="16"/>
  <c r="X8570" i="16"/>
  <c r="X8571" i="16"/>
  <c r="X8572" i="16"/>
  <c r="X8573" i="16"/>
  <c r="X8574" i="16"/>
  <c r="X8575" i="16"/>
  <c r="X8576" i="16"/>
  <c r="X8577" i="16"/>
  <c r="X8578" i="16"/>
  <c r="X8579" i="16"/>
  <c r="X8580" i="16"/>
  <c r="X8581" i="16"/>
  <c r="X8582" i="16"/>
  <c r="X8583" i="16"/>
  <c r="X8584" i="16"/>
  <c r="X8585" i="16"/>
  <c r="X8586" i="16"/>
  <c r="X8587" i="16"/>
  <c r="X8588" i="16"/>
  <c r="X8589" i="16"/>
  <c r="X8590" i="16"/>
  <c r="X8591" i="16"/>
  <c r="X8592" i="16"/>
  <c r="X8593" i="16"/>
  <c r="X8594" i="16"/>
  <c r="X8595" i="16"/>
  <c r="X8596" i="16"/>
  <c r="X8597" i="16"/>
  <c r="X8598" i="16"/>
  <c r="X8599" i="16"/>
  <c r="X8600" i="16"/>
  <c r="X8601" i="16"/>
  <c r="X8602" i="16"/>
  <c r="X8603" i="16"/>
  <c r="X8604" i="16"/>
  <c r="X8605" i="16"/>
  <c r="X8606" i="16"/>
  <c r="X8607" i="16"/>
  <c r="X8608" i="16"/>
  <c r="X8609" i="16"/>
  <c r="X8610" i="16"/>
  <c r="X8611" i="16"/>
  <c r="X8612" i="16"/>
  <c r="X8613" i="16"/>
  <c r="X8614" i="16"/>
  <c r="X8615" i="16"/>
  <c r="X8616" i="16"/>
  <c r="X8617" i="16"/>
  <c r="X8618" i="16"/>
  <c r="X8619" i="16"/>
  <c r="X8620" i="16"/>
  <c r="X8621" i="16"/>
  <c r="X8622" i="16"/>
  <c r="X8623" i="16"/>
  <c r="X8624" i="16"/>
  <c r="X8625" i="16"/>
  <c r="X8626" i="16"/>
  <c r="X8627" i="16"/>
  <c r="X8628" i="16"/>
  <c r="X8629" i="16"/>
  <c r="X8630" i="16"/>
  <c r="X8631" i="16"/>
  <c r="X8632" i="16"/>
  <c r="X8633" i="16"/>
  <c r="X8634" i="16"/>
  <c r="X8635" i="16"/>
  <c r="X8636" i="16"/>
  <c r="X8637" i="16"/>
  <c r="X8638" i="16"/>
  <c r="X8639" i="16"/>
  <c r="X8640" i="16"/>
  <c r="X8641" i="16"/>
  <c r="X8642" i="16"/>
  <c r="X8643" i="16"/>
  <c r="X8644" i="16"/>
  <c r="X8645" i="16"/>
  <c r="X8646" i="16"/>
  <c r="X8647" i="16"/>
  <c r="X8648" i="16"/>
  <c r="X8649" i="16"/>
  <c r="X8650" i="16"/>
  <c r="X8651" i="16"/>
  <c r="X8652" i="16"/>
  <c r="X8653" i="16"/>
  <c r="X8654" i="16"/>
  <c r="X8655" i="16"/>
  <c r="X8656" i="16"/>
  <c r="X8657" i="16"/>
  <c r="X8658" i="16"/>
  <c r="X8659" i="16"/>
  <c r="X8660" i="16"/>
  <c r="X8661" i="16"/>
  <c r="X8662" i="16"/>
  <c r="X8663" i="16"/>
  <c r="X8664" i="16"/>
  <c r="X8665" i="16"/>
  <c r="X8666" i="16"/>
  <c r="X8667" i="16"/>
  <c r="X8668" i="16"/>
  <c r="X8669" i="16"/>
  <c r="X8670" i="16"/>
  <c r="X8671" i="16"/>
  <c r="X8672" i="16"/>
  <c r="X8673" i="16"/>
  <c r="X8674" i="16"/>
  <c r="X8675" i="16"/>
  <c r="X8676" i="16"/>
  <c r="X8677" i="16"/>
  <c r="X8678" i="16"/>
  <c r="X8679" i="16"/>
  <c r="X8680" i="16"/>
  <c r="X8681" i="16"/>
  <c r="X8682" i="16"/>
  <c r="X8683" i="16"/>
  <c r="X8684" i="16"/>
  <c r="X8685" i="16"/>
  <c r="X8686" i="16"/>
  <c r="X8687" i="16"/>
  <c r="X8688" i="16"/>
  <c r="X8689" i="16"/>
  <c r="X8690" i="16"/>
  <c r="X8691" i="16"/>
  <c r="X8692" i="16"/>
  <c r="X8693" i="16"/>
  <c r="X8694" i="16"/>
  <c r="X8695" i="16"/>
  <c r="X8696" i="16"/>
  <c r="X8697" i="16"/>
  <c r="X8698" i="16"/>
  <c r="X8699" i="16"/>
  <c r="X8700" i="16"/>
  <c r="X8701" i="16"/>
  <c r="X8702" i="16"/>
  <c r="X8703" i="16"/>
  <c r="X8704" i="16"/>
  <c r="X8705" i="16"/>
  <c r="X8706" i="16"/>
  <c r="X8707" i="16"/>
  <c r="X8708" i="16"/>
  <c r="X8709" i="16"/>
  <c r="X8710" i="16"/>
  <c r="X8711" i="16"/>
  <c r="X8712" i="16"/>
  <c r="X8713" i="16"/>
  <c r="X8714" i="16"/>
  <c r="X8715" i="16"/>
  <c r="X8716" i="16"/>
  <c r="X8717" i="16"/>
  <c r="X8718" i="16"/>
  <c r="X8719" i="16"/>
  <c r="X8720" i="16"/>
  <c r="X8721" i="16"/>
  <c r="X8722" i="16"/>
  <c r="X8723" i="16"/>
  <c r="X8724" i="16"/>
  <c r="X8725" i="16"/>
  <c r="X8726" i="16"/>
  <c r="X8727" i="16"/>
  <c r="X8728" i="16"/>
  <c r="X8729" i="16"/>
  <c r="X8730" i="16"/>
  <c r="X8731" i="16"/>
  <c r="X8732" i="16"/>
  <c r="X8733" i="16"/>
  <c r="X8734" i="16"/>
  <c r="X8735" i="16"/>
  <c r="X8736" i="16"/>
  <c r="X8737" i="16"/>
  <c r="X8738" i="16"/>
  <c r="X8739" i="16"/>
  <c r="X8740" i="16"/>
  <c r="X8741" i="16"/>
  <c r="X8742" i="16"/>
  <c r="X8743" i="16"/>
  <c r="X8744" i="16"/>
  <c r="X8745" i="16"/>
  <c r="X8746" i="16"/>
  <c r="X8747" i="16"/>
  <c r="X8748" i="16"/>
  <c r="X8749" i="16"/>
  <c r="X8750" i="16"/>
  <c r="X8751" i="16"/>
  <c r="X8752" i="16"/>
  <c r="X8753" i="16"/>
  <c r="X8754" i="16"/>
  <c r="X8755" i="16"/>
  <c r="X8756" i="16"/>
  <c r="X8757" i="16"/>
  <c r="X8758" i="16"/>
  <c r="X8759" i="16"/>
  <c r="X8760" i="16"/>
  <c r="X8761" i="16"/>
  <c r="X8762" i="16"/>
  <c r="X8763" i="16"/>
  <c r="X8764" i="16"/>
  <c r="X8765" i="16"/>
  <c r="X8766" i="16"/>
  <c r="X8767" i="16"/>
  <c r="X8768" i="16"/>
  <c r="X8769" i="16"/>
  <c r="X8770" i="16"/>
  <c r="X8771" i="16"/>
  <c r="X8772" i="16"/>
  <c r="X8773" i="16"/>
  <c r="X8774" i="16"/>
  <c r="X8775" i="16"/>
  <c r="X8776" i="16"/>
  <c r="X8777" i="16"/>
  <c r="X8778" i="16"/>
  <c r="X8779" i="16"/>
  <c r="X8780" i="16"/>
  <c r="X8781" i="16"/>
  <c r="X8782" i="16"/>
  <c r="X8783" i="16"/>
  <c r="X8784" i="16"/>
  <c r="X8785" i="16"/>
  <c r="X8786" i="16"/>
  <c r="X8787" i="16"/>
  <c r="X8788" i="16"/>
  <c r="X8789" i="16"/>
  <c r="X8790" i="16"/>
  <c r="X8791" i="16"/>
  <c r="X8792" i="16"/>
  <c r="X8793" i="16"/>
  <c r="X8794" i="16"/>
  <c r="X8795" i="16"/>
  <c r="X8796" i="16"/>
  <c r="X8797" i="16"/>
  <c r="X8798" i="16"/>
  <c r="X8799" i="16"/>
  <c r="X8800" i="16"/>
  <c r="X8801" i="16"/>
  <c r="X8802" i="16"/>
  <c r="X8803" i="16"/>
  <c r="X8804" i="16"/>
  <c r="X8805" i="16"/>
  <c r="X8806" i="16"/>
  <c r="X8807" i="16"/>
  <c r="X8808" i="16"/>
  <c r="X8809" i="16"/>
  <c r="X8810" i="16"/>
  <c r="X8811" i="16"/>
  <c r="X8812" i="16"/>
  <c r="X8813" i="16"/>
  <c r="X8814" i="16"/>
  <c r="X8815" i="16"/>
  <c r="X8816" i="16"/>
  <c r="X8817" i="16"/>
  <c r="X8818" i="16"/>
  <c r="X8819" i="16"/>
  <c r="X8820" i="16"/>
  <c r="X8821" i="16"/>
  <c r="X8822" i="16"/>
  <c r="X8823" i="16"/>
  <c r="X8824" i="16"/>
  <c r="X8825" i="16"/>
  <c r="X8826" i="16"/>
  <c r="X8827" i="16"/>
  <c r="X8828" i="16"/>
  <c r="X8829" i="16"/>
  <c r="X8830" i="16"/>
  <c r="X8831" i="16"/>
  <c r="X8832" i="16"/>
  <c r="X8833" i="16"/>
  <c r="X8834" i="16"/>
  <c r="X8835" i="16"/>
  <c r="X8836" i="16"/>
  <c r="X8837" i="16"/>
  <c r="X8838" i="16"/>
  <c r="X8839" i="16"/>
  <c r="X8840" i="16"/>
  <c r="X8841" i="16"/>
  <c r="X8842" i="16"/>
  <c r="X8843" i="16"/>
  <c r="X8844" i="16"/>
  <c r="X8845" i="16"/>
  <c r="X8846" i="16"/>
  <c r="X8847" i="16"/>
  <c r="X8848" i="16"/>
  <c r="X8849" i="16"/>
  <c r="X8850" i="16"/>
  <c r="X8851" i="16"/>
  <c r="X8852" i="16"/>
  <c r="X8853" i="16"/>
  <c r="X8854" i="16"/>
  <c r="X8855" i="16"/>
  <c r="X8856" i="16"/>
  <c r="X8857" i="16"/>
  <c r="X8858" i="16"/>
  <c r="X8859" i="16"/>
  <c r="X8860" i="16"/>
  <c r="X8861" i="16"/>
  <c r="X8862" i="16"/>
  <c r="X8863" i="16"/>
  <c r="X8864" i="16"/>
  <c r="X8865" i="16"/>
  <c r="X8866" i="16"/>
  <c r="X8867" i="16"/>
  <c r="X8868" i="16"/>
  <c r="X8869" i="16"/>
  <c r="X8870" i="16"/>
  <c r="X8871" i="16"/>
  <c r="X8872" i="16"/>
  <c r="X8873" i="16"/>
  <c r="X8874" i="16"/>
  <c r="X8875" i="16"/>
  <c r="X8876" i="16"/>
  <c r="X8877" i="16"/>
  <c r="X8878" i="16"/>
  <c r="X8879" i="16"/>
  <c r="X8880" i="16"/>
  <c r="X8881" i="16"/>
  <c r="X8882" i="16"/>
  <c r="X8883" i="16"/>
  <c r="X8884" i="16"/>
  <c r="X8885" i="16"/>
  <c r="X8886" i="16"/>
  <c r="X8887" i="16"/>
  <c r="X8888" i="16"/>
  <c r="X8889" i="16"/>
  <c r="X8890" i="16"/>
  <c r="X8891" i="16"/>
  <c r="X8892" i="16"/>
  <c r="X8893" i="16"/>
  <c r="X8894" i="16"/>
  <c r="X8895" i="16"/>
  <c r="X8896" i="16"/>
  <c r="X8897" i="16"/>
  <c r="X8898" i="16"/>
  <c r="X8899" i="16"/>
  <c r="X8900" i="16"/>
  <c r="X8901" i="16"/>
  <c r="X8902" i="16"/>
  <c r="X8903" i="16"/>
  <c r="X8904" i="16"/>
  <c r="X8905" i="16"/>
  <c r="X8906" i="16"/>
  <c r="X8907" i="16"/>
  <c r="X8908" i="16"/>
  <c r="X8909" i="16"/>
  <c r="X8910" i="16"/>
  <c r="X8911" i="16"/>
  <c r="X8912" i="16"/>
  <c r="X8913" i="16"/>
  <c r="X8914" i="16"/>
  <c r="X8915" i="16"/>
  <c r="X8916" i="16"/>
  <c r="X8917" i="16"/>
  <c r="X8918" i="16"/>
  <c r="X8919" i="16"/>
  <c r="X8920" i="16"/>
  <c r="X8921" i="16"/>
  <c r="X8922" i="16"/>
  <c r="X8923" i="16"/>
  <c r="X8924" i="16"/>
  <c r="X8925" i="16"/>
  <c r="X8926" i="16"/>
  <c r="X8927" i="16"/>
  <c r="X8928" i="16"/>
  <c r="X8929" i="16"/>
  <c r="X8930" i="16"/>
  <c r="X8931" i="16"/>
  <c r="X8932" i="16"/>
  <c r="X8933" i="16"/>
  <c r="X8934" i="16"/>
  <c r="X8935" i="16"/>
  <c r="X8936" i="16"/>
  <c r="X8937" i="16"/>
  <c r="X8938" i="16"/>
  <c r="X8939" i="16"/>
  <c r="X8940" i="16"/>
  <c r="X8941" i="16"/>
  <c r="X8942" i="16"/>
  <c r="X8943" i="16"/>
  <c r="X8944" i="16"/>
  <c r="X8945" i="16"/>
  <c r="X8946" i="16"/>
  <c r="X8947" i="16"/>
  <c r="X8948" i="16"/>
  <c r="X8949" i="16"/>
  <c r="X8950" i="16"/>
  <c r="X8951" i="16"/>
  <c r="X8952" i="16"/>
  <c r="X8953" i="16"/>
  <c r="X8954" i="16"/>
  <c r="X8955" i="16"/>
  <c r="X8956" i="16"/>
  <c r="X8957" i="16"/>
  <c r="X8958" i="16"/>
  <c r="X8959" i="16"/>
  <c r="X8960" i="16"/>
  <c r="X8961" i="16"/>
  <c r="X8962" i="16"/>
  <c r="X8963" i="16"/>
  <c r="X8964" i="16"/>
  <c r="X8965" i="16"/>
  <c r="X8966" i="16"/>
  <c r="X8967" i="16"/>
  <c r="X8968" i="16"/>
  <c r="X8969" i="16"/>
  <c r="X8970" i="16"/>
  <c r="X8971" i="16"/>
  <c r="X8972" i="16"/>
  <c r="X8973" i="16"/>
  <c r="X8974" i="16"/>
  <c r="X8975" i="16"/>
  <c r="X8976" i="16"/>
  <c r="X8977" i="16"/>
  <c r="X8978" i="16"/>
  <c r="X8979" i="16"/>
  <c r="X8980" i="16"/>
  <c r="X8981" i="16"/>
  <c r="X8982" i="16"/>
  <c r="X8983" i="16"/>
  <c r="X8984" i="16"/>
  <c r="X8985" i="16"/>
  <c r="X8986" i="16"/>
  <c r="X8987" i="16"/>
  <c r="X8988" i="16"/>
  <c r="X8989" i="16"/>
  <c r="X8990" i="16"/>
  <c r="X8991" i="16"/>
  <c r="X8992" i="16"/>
  <c r="X8993" i="16"/>
  <c r="X8994" i="16"/>
  <c r="X8995" i="16"/>
  <c r="X8996" i="16"/>
  <c r="X8997" i="16"/>
  <c r="X8998" i="16"/>
  <c r="X8999" i="16"/>
  <c r="X9000" i="16"/>
  <c r="X9001" i="16"/>
  <c r="X9002" i="16"/>
  <c r="X9003" i="16"/>
  <c r="X9004" i="16"/>
  <c r="X9005" i="16"/>
  <c r="X9006" i="16"/>
  <c r="X9007" i="16"/>
  <c r="X9008" i="16"/>
  <c r="X9009" i="16"/>
  <c r="X9010" i="16"/>
  <c r="X9011" i="16"/>
  <c r="X9012" i="16"/>
  <c r="X9013" i="16"/>
  <c r="X9014" i="16"/>
  <c r="X9015" i="16"/>
  <c r="X9016" i="16"/>
  <c r="X9017" i="16"/>
  <c r="X9018" i="16"/>
  <c r="X9019" i="16"/>
  <c r="X9020" i="16"/>
  <c r="X9021" i="16"/>
  <c r="X9022" i="16"/>
  <c r="X9023" i="16"/>
  <c r="X9024" i="16"/>
  <c r="X9025" i="16"/>
  <c r="X9026" i="16"/>
  <c r="X9027" i="16"/>
  <c r="X9028" i="16"/>
  <c r="X9029" i="16"/>
  <c r="X9030" i="16"/>
  <c r="X9031" i="16"/>
  <c r="X9032" i="16"/>
  <c r="X9033" i="16"/>
  <c r="X9034" i="16"/>
  <c r="X9035" i="16"/>
  <c r="X9036" i="16"/>
  <c r="X9037" i="16"/>
  <c r="X9038" i="16"/>
  <c r="X9039" i="16"/>
  <c r="X9040" i="16"/>
  <c r="X9041" i="16"/>
  <c r="X9042" i="16"/>
  <c r="X9043" i="16"/>
  <c r="X9044" i="16"/>
  <c r="X9045" i="16"/>
  <c r="X9046" i="16"/>
  <c r="X9047" i="16"/>
  <c r="X9048" i="16"/>
  <c r="X9049" i="16"/>
  <c r="X9050" i="16"/>
  <c r="X9051" i="16"/>
  <c r="X9052" i="16"/>
  <c r="X9053" i="16"/>
  <c r="X9054" i="16"/>
  <c r="X9055" i="16"/>
  <c r="X9056" i="16"/>
  <c r="X9057" i="16"/>
  <c r="X9058" i="16"/>
  <c r="X9059" i="16"/>
  <c r="X9060" i="16"/>
  <c r="X9061" i="16"/>
  <c r="X9062" i="16"/>
  <c r="X9063" i="16"/>
  <c r="X9064" i="16"/>
  <c r="X9065" i="16"/>
  <c r="X9066" i="16"/>
  <c r="X9067" i="16"/>
  <c r="X9068" i="16"/>
  <c r="X9069" i="16"/>
  <c r="X9070" i="16"/>
  <c r="X9071" i="16"/>
  <c r="X9072" i="16"/>
  <c r="X9073" i="16"/>
  <c r="X9074" i="16"/>
  <c r="X9075" i="16"/>
  <c r="X9076" i="16"/>
  <c r="X9077" i="16"/>
  <c r="X9078" i="16"/>
  <c r="X9079" i="16"/>
  <c r="X9080" i="16"/>
  <c r="X9081" i="16"/>
  <c r="X9082" i="16"/>
  <c r="X9083" i="16"/>
  <c r="X9084" i="16"/>
  <c r="X9085" i="16"/>
  <c r="X9086" i="16"/>
  <c r="X9087" i="16"/>
  <c r="X9088" i="16"/>
  <c r="X9089" i="16"/>
  <c r="X9090" i="16"/>
  <c r="X9091" i="16"/>
  <c r="X9092" i="16"/>
  <c r="X9093" i="16"/>
  <c r="X9094" i="16"/>
  <c r="X9095" i="16"/>
  <c r="X9096" i="16"/>
  <c r="X9097" i="16"/>
  <c r="X9098" i="16"/>
  <c r="X9099" i="16"/>
  <c r="X9100" i="16"/>
  <c r="X9101" i="16"/>
  <c r="X9102" i="16"/>
  <c r="X9103" i="16"/>
  <c r="X9104" i="16"/>
  <c r="X9105" i="16"/>
  <c r="X9106" i="16"/>
  <c r="X9107" i="16"/>
  <c r="X9108" i="16"/>
  <c r="X9109" i="16"/>
  <c r="X9110" i="16"/>
  <c r="X9111" i="16"/>
  <c r="X9112" i="16"/>
  <c r="X9113" i="16"/>
  <c r="X9114" i="16"/>
  <c r="X9115" i="16"/>
  <c r="X9116" i="16"/>
  <c r="X9117" i="16"/>
  <c r="X9118" i="16"/>
  <c r="X9119" i="16"/>
  <c r="X9120" i="16"/>
  <c r="X9121" i="16"/>
  <c r="X9122" i="16"/>
  <c r="X9123" i="16"/>
  <c r="X9124" i="16"/>
  <c r="X9125" i="16"/>
  <c r="X9126" i="16"/>
  <c r="X9127" i="16"/>
  <c r="X9128" i="16"/>
  <c r="X9129" i="16"/>
  <c r="X9130" i="16"/>
  <c r="X9131" i="16"/>
  <c r="X9132" i="16"/>
  <c r="X9133" i="16"/>
  <c r="X9134" i="16"/>
  <c r="X9135" i="16"/>
  <c r="X9136" i="16"/>
  <c r="X9137" i="16"/>
  <c r="X9138" i="16"/>
  <c r="X9139" i="16"/>
  <c r="X9140" i="16"/>
  <c r="X9141" i="16"/>
  <c r="X9142" i="16"/>
  <c r="X9143" i="16"/>
  <c r="X9144" i="16"/>
  <c r="X9145" i="16"/>
  <c r="X9146" i="16"/>
  <c r="X9147" i="16"/>
  <c r="X9148" i="16"/>
  <c r="X9149" i="16"/>
  <c r="X9150" i="16"/>
  <c r="X9151" i="16"/>
  <c r="X9152" i="16"/>
  <c r="X9153" i="16"/>
  <c r="X9154" i="16"/>
  <c r="X9155" i="16"/>
  <c r="X9156" i="16"/>
  <c r="X9157" i="16"/>
  <c r="X9158" i="16"/>
  <c r="X9159" i="16"/>
  <c r="X9160" i="16"/>
  <c r="X9161" i="16"/>
  <c r="X9162" i="16"/>
  <c r="X9163" i="16"/>
  <c r="X9164" i="16"/>
  <c r="X9165" i="16"/>
  <c r="X9166" i="16"/>
  <c r="X9167" i="16"/>
  <c r="X9168" i="16"/>
  <c r="X9169" i="16"/>
  <c r="X9170" i="16"/>
  <c r="X9171" i="16"/>
  <c r="X9172" i="16"/>
  <c r="X9173" i="16"/>
  <c r="X9174" i="16"/>
  <c r="X9175" i="16"/>
  <c r="X9176" i="16"/>
  <c r="X9177" i="16"/>
  <c r="X9178" i="16"/>
  <c r="X9179" i="16"/>
  <c r="X9180" i="16"/>
  <c r="X9181" i="16"/>
  <c r="X9182" i="16"/>
  <c r="X9183" i="16"/>
  <c r="X9184" i="16"/>
  <c r="X9185" i="16"/>
  <c r="X9186" i="16"/>
  <c r="X9187" i="16"/>
  <c r="X9188" i="16"/>
  <c r="X9189" i="16"/>
  <c r="X9190" i="16"/>
  <c r="X9191" i="16"/>
  <c r="X9192" i="16"/>
  <c r="X9193" i="16"/>
  <c r="X9194" i="16"/>
  <c r="X9195" i="16"/>
  <c r="X9196" i="16"/>
  <c r="X9197" i="16"/>
  <c r="X9198" i="16"/>
  <c r="X9199" i="16"/>
  <c r="X9200" i="16"/>
  <c r="X9201" i="16"/>
  <c r="X9202" i="16"/>
  <c r="X9203" i="16"/>
  <c r="X9204" i="16"/>
  <c r="X9205" i="16"/>
  <c r="X9206" i="16"/>
  <c r="X9207" i="16"/>
  <c r="X9208" i="16"/>
  <c r="X9209" i="16"/>
  <c r="X9210" i="16"/>
  <c r="X9211" i="16"/>
  <c r="X9212" i="16"/>
  <c r="X9213" i="16"/>
  <c r="X9214" i="16"/>
  <c r="X9215" i="16"/>
  <c r="X9216" i="16"/>
  <c r="X9217" i="16"/>
  <c r="X9218" i="16"/>
  <c r="X9219" i="16"/>
  <c r="X9220" i="16"/>
  <c r="X9221" i="16"/>
  <c r="X9222" i="16"/>
  <c r="X9223" i="16"/>
  <c r="X9224" i="16"/>
  <c r="X9225" i="16"/>
  <c r="X9226" i="16"/>
  <c r="X9227" i="16"/>
  <c r="X9228" i="16"/>
  <c r="X9229" i="16"/>
  <c r="X9230" i="16"/>
  <c r="X9231" i="16"/>
  <c r="X9232" i="16"/>
  <c r="X9233" i="16"/>
  <c r="X9234" i="16"/>
  <c r="X9235" i="16"/>
  <c r="X9236" i="16"/>
  <c r="X9237" i="16"/>
  <c r="X9238" i="16"/>
  <c r="X9239" i="16"/>
  <c r="X9240" i="16"/>
  <c r="X9241" i="16"/>
  <c r="X9242" i="16"/>
  <c r="X9243" i="16"/>
  <c r="X9244" i="16"/>
  <c r="X9245" i="16"/>
  <c r="X9246" i="16"/>
  <c r="X9247" i="16"/>
  <c r="X9248" i="16"/>
  <c r="X9249" i="16"/>
  <c r="X9250" i="16"/>
  <c r="X9251" i="16"/>
  <c r="X9252" i="16"/>
  <c r="X9253" i="16"/>
  <c r="X9254" i="16"/>
  <c r="X9255" i="16"/>
  <c r="X9256" i="16"/>
  <c r="X9257" i="16"/>
  <c r="X9258" i="16"/>
  <c r="X9259" i="16"/>
  <c r="X9260" i="16"/>
  <c r="X9261" i="16"/>
  <c r="X9262" i="16"/>
  <c r="X9263" i="16"/>
  <c r="X9264" i="16"/>
  <c r="X9265" i="16"/>
  <c r="X9266" i="16"/>
  <c r="X9267" i="16"/>
  <c r="X9268" i="16"/>
  <c r="X9269" i="16"/>
  <c r="X9270" i="16"/>
  <c r="X9271" i="16"/>
  <c r="X9272" i="16"/>
  <c r="X9273" i="16"/>
  <c r="X9274" i="16"/>
  <c r="X9275" i="16"/>
  <c r="X9276" i="16"/>
  <c r="X9277" i="16"/>
  <c r="X9278" i="16"/>
  <c r="X9279" i="16"/>
  <c r="X9280" i="16"/>
  <c r="X9281" i="16"/>
  <c r="X9282" i="16"/>
  <c r="X9283" i="16"/>
  <c r="X9284" i="16"/>
  <c r="X9285" i="16"/>
  <c r="X9286" i="16"/>
  <c r="X9287" i="16"/>
  <c r="X9288" i="16"/>
  <c r="X9289" i="16"/>
  <c r="X9290" i="16"/>
  <c r="X9291" i="16"/>
  <c r="X9292" i="16"/>
  <c r="X9293" i="16"/>
  <c r="X9294" i="16"/>
  <c r="X9295" i="16"/>
  <c r="X9296" i="16"/>
  <c r="X9297" i="16"/>
  <c r="X9298" i="16"/>
  <c r="X9299" i="16"/>
  <c r="X9300" i="16"/>
  <c r="X9301" i="16"/>
  <c r="X9302" i="16"/>
  <c r="X9303" i="16"/>
  <c r="X9304" i="16"/>
  <c r="X9305" i="16"/>
  <c r="X9306" i="16"/>
  <c r="X9307" i="16"/>
  <c r="X9308" i="16"/>
  <c r="X9309" i="16"/>
  <c r="X9310" i="16"/>
  <c r="X9311" i="16"/>
  <c r="X9312" i="16"/>
  <c r="X9313" i="16"/>
  <c r="X9314" i="16"/>
  <c r="X9315" i="16"/>
  <c r="X9316" i="16"/>
  <c r="X9317" i="16"/>
  <c r="X9318" i="16"/>
  <c r="X9319" i="16"/>
  <c r="X9320" i="16"/>
  <c r="X9321" i="16"/>
  <c r="X9322" i="16"/>
  <c r="X9323" i="16"/>
  <c r="X9324" i="16"/>
  <c r="X9325" i="16"/>
  <c r="X9326" i="16"/>
  <c r="X9327" i="16"/>
  <c r="X9328" i="16"/>
  <c r="X9329" i="16"/>
  <c r="X9330" i="16"/>
  <c r="X9331" i="16"/>
  <c r="X9332" i="16"/>
  <c r="X9333" i="16"/>
  <c r="X9334" i="16"/>
  <c r="X9335" i="16"/>
  <c r="X9336" i="16"/>
  <c r="X9337" i="16"/>
  <c r="X9338" i="16"/>
  <c r="X9339" i="16"/>
  <c r="X9340" i="16"/>
  <c r="X9341" i="16"/>
  <c r="X9342" i="16"/>
  <c r="X9343" i="16"/>
  <c r="X9344" i="16"/>
  <c r="X9345" i="16"/>
  <c r="X9346" i="16"/>
  <c r="X9347" i="16"/>
  <c r="X9348" i="16"/>
  <c r="X9349" i="16"/>
  <c r="X9350" i="16"/>
  <c r="X9351" i="16"/>
  <c r="X9352" i="16"/>
  <c r="X9353" i="16"/>
  <c r="X9354" i="16"/>
  <c r="X9355" i="16"/>
  <c r="X9356" i="16"/>
  <c r="X9357" i="16"/>
  <c r="X9358" i="16"/>
  <c r="X9359" i="16"/>
  <c r="X9360" i="16"/>
  <c r="X9361" i="16"/>
  <c r="X9362" i="16"/>
  <c r="X9363" i="16"/>
  <c r="X9364" i="16"/>
  <c r="X9365" i="16"/>
  <c r="X9366" i="16"/>
  <c r="X9367" i="16"/>
  <c r="X9368" i="16"/>
  <c r="X9369" i="16"/>
  <c r="X9370" i="16"/>
  <c r="X9371" i="16"/>
  <c r="X9372" i="16"/>
  <c r="X9373" i="16"/>
  <c r="X9374" i="16"/>
  <c r="X9375" i="16"/>
  <c r="X9376" i="16"/>
  <c r="X9377" i="16"/>
  <c r="X9378" i="16"/>
  <c r="X9379" i="16"/>
  <c r="X9380" i="16"/>
  <c r="X9381" i="16"/>
  <c r="X9382" i="16"/>
  <c r="X9383" i="16"/>
  <c r="X9384" i="16"/>
  <c r="X9385" i="16"/>
  <c r="X9386" i="16"/>
  <c r="X9387" i="16"/>
  <c r="X9388" i="16"/>
  <c r="X9389" i="16"/>
  <c r="X9390" i="16"/>
  <c r="X9391" i="16"/>
  <c r="X9392" i="16"/>
  <c r="X9393" i="16"/>
  <c r="X9394" i="16"/>
  <c r="X9395" i="16"/>
  <c r="X9396" i="16"/>
  <c r="X9397" i="16"/>
  <c r="X9398" i="16"/>
  <c r="X9399" i="16"/>
  <c r="X9400" i="16"/>
  <c r="X9401" i="16"/>
  <c r="X9402" i="16"/>
  <c r="X9403" i="16"/>
  <c r="X9404" i="16"/>
  <c r="X9405" i="16"/>
  <c r="X9406" i="16"/>
  <c r="X9407" i="16"/>
  <c r="X9408" i="16"/>
  <c r="X9409" i="16"/>
  <c r="X9410" i="16"/>
  <c r="X9411" i="16"/>
  <c r="X9412" i="16"/>
  <c r="X9413" i="16"/>
  <c r="X9414" i="16"/>
  <c r="X9415" i="16"/>
  <c r="X9416" i="16"/>
  <c r="X9417" i="16"/>
  <c r="X9418" i="16"/>
  <c r="X9419" i="16"/>
  <c r="X9420" i="16"/>
  <c r="X9421" i="16"/>
  <c r="X9422" i="16"/>
  <c r="X9423" i="16"/>
  <c r="X9424" i="16"/>
  <c r="X9425" i="16"/>
  <c r="X9426" i="16"/>
  <c r="X9427" i="16"/>
  <c r="X9428" i="16"/>
  <c r="X9429" i="16"/>
  <c r="X9430" i="16"/>
  <c r="X9431" i="16"/>
  <c r="X9432" i="16"/>
  <c r="X9433" i="16"/>
  <c r="X9434" i="16"/>
  <c r="X9435" i="16"/>
  <c r="X9436" i="16"/>
  <c r="X9437" i="16"/>
  <c r="X9438" i="16"/>
  <c r="X9439" i="16"/>
  <c r="X9440" i="16"/>
  <c r="X9441" i="16"/>
  <c r="X9442" i="16"/>
  <c r="X9443" i="16"/>
  <c r="X9444" i="16"/>
  <c r="X9445" i="16"/>
  <c r="X9446" i="16"/>
  <c r="X9447" i="16"/>
  <c r="X9448" i="16"/>
  <c r="X9449" i="16"/>
  <c r="X9450" i="16"/>
  <c r="X9451" i="16"/>
  <c r="X9452" i="16"/>
  <c r="X9453" i="16"/>
  <c r="X9454" i="16"/>
  <c r="X9455" i="16"/>
  <c r="X9456" i="16"/>
  <c r="X9457" i="16"/>
  <c r="X9458" i="16"/>
  <c r="X9459" i="16"/>
  <c r="X9460" i="16"/>
  <c r="X9461" i="16"/>
  <c r="X9462" i="16"/>
  <c r="X9463" i="16"/>
  <c r="X9464" i="16"/>
  <c r="X9465" i="16"/>
  <c r="X9466" i="16"/>
  <c r="X9467" i="16"/>
  <c r="X9468" i="16"/>
  <c r="X9469" i="16"/>
  <c r="X9470" i="16"/>
  <c r="X9471" i="16"/>
  <c r="X9472" i="16"/>
  <c r="X9473" i="16"/>
  <c r="X9474" i="16"/>
  <c r="X9475" i="16"/>
  <c r="X9476" i="16"/>
  <c r="X9477" i="16"/>
  <c r="X9478" i="16"/>
  <c r="X9479" i="16"/>
  <c r="X9480" i="16"/>
  <c r="X9481" i="16"/>
  <c r="X9482" i="16"/>
  <c r="X9483" i="16"/>
  <c r="X9484" i="16"/>
  <c r="X9485" i="16"/>
  <c r="X9486" i="16"/>
  <c r="X9487" i="16"/>
  <c r="X9488" i="16"/>
  <c r="X9489" i="16"/>
  <c r="X9490" i="16"/>
  <c r="X9491" i="16"/>
  <c r="X9492" i="16"/>
  <c r="X9493" i="16"/>
  <c r="X9494" i="16"/>
  <c r="X9495" i="16"/>
  <c r="X9496" i="16"/>
  <c r="X9497" i="16"/>
  <c r="X9498" i="16"/>
  <c r="X9499" i="16"/>
  <c r="X9500" i="16"/>
  <c r="X9501" i="16"/>
  <c r="X9502" i="16"/>
  <c r="X9503" i="16"/>
  <c r="X9504" i="16"/>
  <c r="X9505" i="16"/>
  <c r="X9506" i="16"/>
  <c r="X9507" i="16"/>
  <c r="X9508" i="16"/>
  <c r="X9509" i="16"/>
  <c r="X9510" i="16"/>
  <c r="X9511" i="16"/>
  <c r="X9512" i="16"/>
  <c r="X9513" i="16"/>
  <c r="X9514" i="16"/>
  <c r="X9515" i="16"/>
  <c r="X9516" i="16"/>
  <c r="X9517" i="16"/>
  <c r="X9518" i="16"/>
  <c r="X9519" i="16"/>
  <c r="X9520" i="16"/>
  <c r="X9521" i="16"/>
  <c r="X9522" i="16"/>
  <c r="X9523" i="16"/>
  <c r="X9524" i="16"/>
  <c r="X9525" i="16"/>
  <c r="X9526" i="16"/>
  <c r="X9527" i="16"/>
  <c r="X9528" i="16"/>
  <c r="X9529" i="16"/>
  <c r="X9530" i="16"/>
  <c r="X9531" i="16"/>
  <c r="X9532" i="16"/>
  <c r="X9533" i="16"/>
  <c r="X9534" i="16"/>
  <c r="X9535" i="16"/>
  <c r="X9536" i="16"/>
  <c r="X9537" i="16"/>
  <c r="X9538" i="16"/>
  <c r="X9539" i="16"/>
  <c r="X9540" i="16"/>
  <c r="X9541" i="16"/>
  <c r="X9542" i="16"/>
  <c r="X9543" i="16"/>
  <c r="X9544" i="16"/>
  <c r="X9545" i="16"/>
  <c r="X9546" i="16"/>
  <c r="X9547" i="16"/>
  <c r="X9548" i="16"/>
  <c r="X9549" i="16"/>
  <c r="X9550" i="16"/>
  <c r="X9551" i="16"/>
  <c r="X9552" i="16"/>
  <c r="X9553" i="16"/>
  <c r="X9554" i="16"/>
  <c r="X9555" i="16"/>
  <c r="X9556" i="16"/>
  <c r="X9557" i="16"/>
  <c r="X9558" i="16"/>
  <c r="X9559" i="16"/>
  <c r="X9560" i="16"/>
  <c r="X9561" i="16"/>
  <c r="X9562" i="16"/>
  <c r="X9563" i="16"/>
  <c r="X9564" i="16"/>
  <c r="X9565" i="16"/>
  <c r="X9566" i="16"/>
  <c r="X9567" i="16"/>
  <c r="X9568" i="16"/>
  <c r="X9569" i="16"/>
  <c r="X9570" i="16"/>
  <c r="X9571" i="16"/>
  <c r="X9572" i="16"/>
  <c r="X9573" i="16"/>
  <c r="X9574" i="16"/>
  <c r="X9575" i="16"/>
  <c r="X9576" i="16"/>
  <c r="X9577" i="16"/>
  <c r="X9578" i="16"/>
  <c r="X9579" i="16"/>
  <c r="X9580" i="16"/>
  <c r="X9581" i="16"/>
  <c r="X9582" i="16"/>
  <c r="X9583" i="16"/>
  <c r="X9584" i="16"/>
  <c r="X9585" i="16"/>
  <c r="X9586" i="16"/>
  <c r="X9587" i="16"/>
  <c r="X9588" i="16"/>
  <c r="X9589" i="16"/>
  <c r="X9590" i="16"/>
  <c r="X9591" i="16"/>
  <c r="X9592" i="16"/>
  <c r="X9593" i="16"/>
  <c r="X9594" i="16"/>
  <c r="X9595" i="16"/>
  <c r="X9596" i="16"/>
  <c r="X9597" i="16"/>
  <c r="X9598" i="16"/>
  <c r="X9599" i="16"/>
  <c r="X9600" i="16"/>
  <c r="X9601" i="16"/>
  <c r="X9602" i="16"/>
  <c r="X9603" i="16"/>
  <c r="X9604" i="16"/>
  <c r="X9605" i="16"/>
  <c r="X9606" i="16"/>
  <c r="X9607" i="16"/>
  <c r="X9608" i="16"/>
  <c r="X9609" i="16"/>
  <c r="X9610" i="16"/>
  <c r="X9611" i="16"/>
  <c r="X9612" i="16"/>
  <c r="X9613" i="16"/>
  <c r="X9614" i="16"/>
  <c r="X9615" i="16"/>
  <c r="X9616" i="16"/>
  <c r="X9617" i="16"/>
  <c r="X9618" i="16"/>
  <c r="X9619" i="16"/>
  <c r="X9620" i="16"/>
  <c r="X9621" i="16"/>
  <c r="X9622" i="16"/>
  <c r="X9623" i="16"/>
  <c r="X9624" i="16"/>
  <c r="X9625" i="16"/>
  <c r="X9626" i="16"/>
  <c r="X9627" i="16"/>
  <c r="X9628" i="16"/>
  <c r="X9629" i="16"/>
  <c r="X9630" i="16"/>
  <c r="X9631" i="16"/>
  <c r="X9632" i="16"/>
  <c r="X9633" i="16"/>
  <c r="X9634" i="16"/>
  <c r="X9635" i="16"/>
  <c r="X9636" i="16"/>
  <c r="X9637" i="16"/>
  <c r="X9638" i="16"/>
  <c r="X9639" i="16"/>
  <c r="X9640" i="16"/>
  <c r="X9641" i="16"/>
  <c r="X9642" i="16"/>
  <c r="X9643" i="16"/>
  <c r="X9644" i="16"/>
  <c r="X9645" i="16"/>
  <c r="X9646" i="16"/>
  <c r="X9647" i="16"/>
  <c r="X9648" i="16"/>
  <c r="X9649" i="16"/>
  <c r="X9650" i="16"/>
  <c r="X9651" i="16"/>
  <c r="X9652" i="16"/>
  <c r="X9653" i="16"/>
  <c r="X9654" i="16"/>
  <c r="X9655" i="16"/>
  <c r="X9656" i="16"/>
  <c r="X9657" i="16"/>
  <c r="X9658" i="16"/>
  <c r="X9659" i="16"/>
  <c r="X9660" i="16"/>
  <c r="X9661" i="16"/>
  <c r="X9662" i="16"/>
  <c r="X9663" i="16"/>
  <c r="X9664" i="16"/>
  <c r="X9665" i="16"/>
  <c r="X9666" i="16"/>
  <c r="X9667" i="16"/>
  <c r="X9668" i="16"/>
  <c r="X9669" i="16"/>
  <c r="X9670" i="16"/>
  <c r="X9671" i="16"/>
  <c r="X9672" i="16"/>
  <c r="X9673" i="16"/>
  <c r="X9674" i="16"/>
  <c r="X9675" i="16"/>
  <c r="X9676" i="16"/>
  <c r="X9677" i="16"/>
  <c r="X9678" i="16"/>
  <c r="X9679" i="16"/>
  <c r="X9680" i="16"/>
  <c r="X9681" i="16"/>
  <c r="X9682" i="16"/>
  <c r="X9683" i="16"/>
  <c r="X9684" i="16"/>
  <c r="X9685" i="16"/>
  <c r="X9686" i="16"/>
  <c r="X9687" i="16"/>
  <c r="X9688" i="16"/>
  <c r="X9689" i="16"/>
  <c r="X9690" i="16"/>
  <c r="X9691" i="16"/>
  <c r="X9692" i="16"/>
  <c r="X9693" i="16"/>
  <c r="X9694" i="16"/>
  <c r="X9695" i="16"/>
  <c r="X9696" i="16"/>
  <c r="X9697" i="16"/>
  <c r="X9698" i="16"/>
  <c r="X9699" i="16"/>
  <c r="X9700" i="16"/>
  <c r="X9701" i="16"/>
  <c r="X9702" i="16"/>
  <c r="X9703" i="16"/>
  <c r="X9704" i="16"/>
  <c r="X9705" i="16"/>
  <c r="X9706" i="16"/>
  <c r="X9707" i="16"/>
  <c r="X9708" i="16"/>
  <c r="X9709" i="16"/>
  <c r="X9710" i="16"/>
  <c r="X9711" i="16"/>
  <c r="X9712" i="16"/>
  <c r="X9713" i="16"/>
  <c r="X9714" i="16"/>
  <c r="X9715" i="16"/>
  <c r="X9716" i="16"/>
  <c r="X9717" i="16"/>
  <c r="X9718" i="16"/>
  <c r="X9719" i="16"/>
  <c r="X9720" i="16"/>
  <c r="X9721" i="16"/>
  <c r="X9722" i="16"/>
  <c r="X9723" i="16"/>
  <c r="X9724" i="16"/>
  <c r="X9725" i="16"/>
  <c r="X9726" i="16"/>
  <c r="X9727" i="16"/>
  <c r="X9728" i="16"/>
  <c r="X9729" i="16"/>
  <c r="X9730" i="16"/>
  <c r="X9731" i="16"/>
  <c r="X9732" i="16"/>
  <c r="X9733" i="16"/>
  <c r="X9734" i="16"/>
  <c r="X9735" i="16"/>
  <c r="X9736" i="16"/>
  <c r="X9737" i="16"/>
  <c r="X9738" i="16"/>
  <c r="X9739" i="16"/>
  <c r="X9740" i="16"/>
  <c r="X9741" i="16"/>
  <c r="X9742" i="16"/>
  <c r="X9743" i="16"/>
  <c r="X9744" i="16"/>
  <c r="X9745" i="16"/>
  <c r="X9746" i="16"/>
  <c r="X9747" i="16"/>
  <c r="X9748" i="16"/>
  <c r="X9749" i="16"/>
  <c r="X9750" i="16"/>
  <c r="X9751" i="16"/>
  <c r="X9752" i="16"/>
  <c r="X9753" i="16"/>
  <c r="X9754" i="16"/>
  <c r="X9755" i="16"/>
  <c r="X9756" i="16"/>
  <c r="X9757" i="16"/>
  <c r="X9758" i="16"/>
  <c r="X9759" i="16"/>
  <c r="X9760" i="16"/>
  <c r="X9761" i="16"/>
  <c r="X9762" i="16"/>
  <c r="X9763" i="16"/>
  <c r="X9764" i="16"/>
  <c r="X9765" i="16"/>
  <c r="X9766" i="16"/>
  <c r="X9767" i="16"/>
  <c r="X9768" i="16"/>
  <c r="X9769" i="16"/>
  <c r="X9770" i="16"/>
  <c r="X9771" i="16"/>
  <c r="X9772" i="16"/>
  <c r="X9773" i="16"/>
  <c r="X9774" i="16"/>
  <c r="X9775" i="16"/>
  <c r="X9776" i="16"/>
  <c r="X9777" i="16"/>
  <c r="X9778" i="16"/>
  <c r="X9779" i="16"/>
  <c r="X9780" i="16"/>
  <c r="X9781" i="16"/>
  <c r="X9782" i="16"/>
  <c r="X9783" i="16"/>
  <c r="X9784" i="16"/>
  <c r="X9785" i="16"/>
  <c r="X9786" i="16"/>
  <c r="X9787" i="16"/>
  <c r="X9788" i="16"/>
  <c r="X9789" i="16"/>
  <c r="X9790" i="16"/>
  <c r="X9791" i="16"/>
  <c r="X9792" i="16"/>
  <c r="X9793" i="16"/>
  <c r="X9794" i="16"/>
  <c r="X9795" i="16"/>
  <c r="X9796" i="16"/>
  <c r="X9797" i="16"/>
  <c r="X9798" i="16"/>
  <c r="X9799" i="16"/>
  <c r="X9800" i="16"/>
  <c r="X9801" i="16"/>
  <c r="X9802" i="16"/>
  <c r="X9803" i="16"/>
  <c r="X9804" i="16"/>
  <c r="X9805" i="16"/>
  <c r="X9806" i="16"/>
  <c r="X9807" i="16"/>
  <c r="X9808" i="16"/>
  <c r="X9809" i="16"/>
  <c r="X9810" i="16"/>
  <c r="X9811" i="16"/>
  <c r="X9812" i="16"/>
  <c r="X9813" i="16"/>
  <c r="X9814" i="16"/>
  <c r="X9815" i="16"/>
  <c r="X9816" i="16"/>
  <c r="X9817" i="16"/>
  <c r="X9818" i="16"/>
  <c r="X9819" i="16"/>
  <c r="X9820" i="16"/>
  <c r="X9821" i="16"/>
  <c r="X9822" i="16"/>
  <c r="X9823" i="16"/>
  <c r="X9824" i="16"/>
  <c r="X9825" i="16"/>
  <c r="X9826" i="16"/>
  <c r="X9827" i="16"/>
  <c r="X9828" i="16"/>
  <c r="X9829" i="16"/>
  <c r="X9830" i="16"/>
  <c r="X9831" i="16"/>
  <c r="X9832" i="16"/>
  <c r="X9833" i="16"/>
  <c r="X9834" i="16"/>
  <c r="X9835" i="16"/>
  <c r="X9836" i="16"/>
  <c r="X9837" i="16"/>
  <c r="X9838" i="16"/>
  <c r="X9839" i="16"/>
  <c r="X9840" i="16"/>
  <c r="X9841" i="16"/>
  <c r="X9842" i="16"/>
  <c r="X9843" i="16"/>
  <c r="X9844" i="16"/>
  <c r="X9845" i="16"/>
  <c r="X9846" i="16"/>
  <c r="X9847" i="16"/>
  <c r="X9848" i="16"/>
  <c r="X9849" i="16"/>
  <c r="X9850" i="16"/>
  <c r="X9851" i="16"/>
  <c r="X9852" i="16"/>
  <c r="X9853" i="16"/>
  <c r="X9854" i="16"/>
  <c r="X9855" i="16"/>
  <c r="X9856" i="16"/>
  <c r="X9857" i="16"/>
  <c r="X9858" i="16"/>
  <c r="X9859" i="16"/>
  <c r="X9860" i="16"/>
  <c r="X9861" i="16"/>
  <c r="X9862" i="16"/>
  <c r="X9863" i="16"/>
  <c r="X9864" i="16"/>
  <c r="X9865" i="16"/>
  <c r="X9866" i="16"/>
  <c r="X9867" i="16"/>
  <c r="X9868" i="16"/>
  <c r="X9869" i="16"/>
  <c r="X9870" i="16"/>
  <c r="X9871" i="16"/>
  <c r="X9872" i="16"/>
  <c r="X9873" i="16"/>
  <c r="X9874" i="16"/>
  <c r="X9875" i="16"/>
  <c r="X9876" i="16"/>
  <c r="X9877" i="16"/>
  <c r="X9878" i="16"/>
  <c r="X9879" i="16"/>
  <c r="X9880" i="16"/>
  <c r="X9881" i="16"/>
  <c r="X9882" i="16"/>
  <c r="X9883" i="16"/>
  <c r="X9884" i="16"/>
  <c r="X9885" i="16"/>
  <c r="X9886" i="16"/>
  <c r="X9887" i="16"/>
  <c r="X9888" i="16"/>
  <c r="X9889" i="16"/>
  <c r="X9890" i="16"/>
  <c r="X9891" i="16"/>
  <c r="X9892" i="16"/>
  <c r="X9893" i="16"/>
  <c r="X9894" i="16"/>
  <c r="X9895" i="16"/>
  <c r="X9896" i="16"/>
  <c r="X9897" i="16"/>
  <c r="X9898" i="16"/>
  <c r="X9899" i="16"/>
  <c r="X9900" i="16"/>
  <c r="X9901" i="16"/>
  <c r="X9902" i="16"/>
  <c r="X9903" i="16"/>
  <c r="X9904" i="16"/>
  <c r="X9905" i="16"/>
  <c r="X9906" i="16"/>
  <c r="X9907" i="16"/>
  <c r="X9908" i="16"/>
  <c r="X9909" i="16"/>
  <c r="X9910" i="16"/>
  <c r="X9911" i="16"/>
  <c r="X9912" i="16"/>
  <c r="X9913" i="16"/>
  <c r="X9914" i="16"/>
  <c r="X9915" i="16"/>
  <c r="X9916" i="16"/>
  <c r="X9917" i="16"/>
  <c r="X9918" i="16"/>
  <c r="X9919" i="16"/>
  <c r="X9920" i="16"/>
  <c r="X9921" i="16"/>
  <c r="X9922" i="16"/>
  <c r="X9923" i="16"/>
  <c r="X9924" i="16"/>
  <c r="X9925" i="16"/>
  <c r="X9926" i="16"/>
  <c r="X9927" i="16"/>
  <c r="X9928" i="16"/>
  <c r="X9929" i="16"/>
  <c r="X9930" i="16"/>
  <c r="X9931" i="16"/>
  <c r="X9932" i="16"/>
  <c r="X9933" i="16"/>
  <c r="X9934" i="16"/>
  <c r="X9935" i="16"/>
  <c r="X9936" i="16"/>
  <c r="X9937" i="16"/>
  <c r="X9938" i="16"/>
  <c r="X9939" i="16"/>
  <c r="X9940" i="16"/>
  <c r="X9941" i="16"/>
  <c r="X9942" i="16"/>
  <c r="X9943" i="16"/>
  <c r="X9944" i="16"/>
  <c r="X9945" i="16"/>
  <c r="X9946" i="16"/>
  <c r="X9947" i="16"/>
  <c r="X9948" i="16"/>
  <c r="X9949" i="16"/>
  <c r="X9950" i="16"/>
  <c r="X9951" i="16"/>
  <c r="X9952" i="16"/>
  <c r="X9953" i="16"/>
  <c r="X9954" i="16"/>
  <c r="X9955" i="16"/>
  <c r="X9956" i="16"/>
  <c r="X9957" i="16"/>
  <c r="X9958" i="16"/>
  <c r="X9959" i="16"/>
  <c r="X9960" i="16"/>
  <c r="X9961" i="16"/>
  <c r="X9962" i="16"/>
  <c r="X9963" i="16"/>
  <c r="X9964" i="16"/>
  <c r="X9965" i="16"/>
  <c r="X9966" i="16"/>
  <c r="X9967" i="16"/>
  <c r="X9968" i="16"/>
  <c r="X9969" i="16"/>
  <c r="X9970" i="16"/>
  <c r="X9971" i="16"/>
  <c r="X9972" i="16"/>
  <c r="X9973" i="16"/>
  <c r="X9974" i="16"/>
  <c r="X9975" i="16"/>
  <c r="X9976" i="16"/>
  <c r="X9977" i="16"/>
  <c r="X9978" i="16"/>
  <c r="X9979" i="16"/>
  <c r="X9980" i="16"/>
  <c r="X9981" i="16"/>
  <c r="X9982" i="16"/>
  <c r="X9983" i="16"/>
  <c r="X9984" i="16"/>
  <c r="X9985" i="16"/>
  <c r="X9986" i="16"/>
  <c r="X9987" i="16"/>
  <c r="X9988" i="16"/>
  <c r="X9989" i="16"/>
  <c r="X9990" i="16"/>
  <c r="X9991" i="16"/>
  <c r="X9992" i="16"/>
  <c r="X9993" i="16"/>
  <c r="X9994" i="16"/>
  <c r="X9995" i="16"/>
  <c r="X9996" i="16"/>
  <c r="X9997" i="16"/>
  <c r="X9998" i="16"/>
  <c r="X9999" i="16"/>
  <c r="X10000" i="16"/>
  <c r="AC2" i="16" l="1"/>
  <c r="AB2" i="16"/>
  <c r="G13" i="5"/>
  <c r="AD2054" i="16"/>
  <c r="AD2055" i="16"/>
  <c r="AD2056" i="16"/>
  <c r="AD2057" i="16"/>
  <c r="AD2058" i="16"/>
  <c r="AD2059" i="16"/>
  <c r="AD2060" i="16"/>
  <c r="AD2061" i="16"/>
  <c r="AD2062" i="16"/>
  <c r="AD2063" i="16"/>
  <c r="AD2064" i="16"/>
  <c r="AD2065" i="16"/>
  <c r="AD2066" i="16"/>
  <c r="AD2067" i="16"/>
  <c r="AD2068" i="16"/>
  <c r="AD2069" i="16"/>
  <c r="AD2070" i="16"/>
  <c r="AD2071" i="16"/>
  <c r="AD2072" i="16"/>
  <c r="AD2073" i="16"/>
  <c r="AD2074" i="16"/>
  <c r="AD2075" i="16"/>
  <c r="AD2076" i="16"/>
  <c r="AD2077" i="16"/>
  <c r="AD2078" i="16"/>
  <c r="AD2079" i="16"/>
  <c r="AD2080" i="16"/>
  <c r="AD2081" i="16"/>
  <c r="AD2082" i="16"/>
  <c r="AD2083" i="16"/>
  <c r="AD2084" i="16"/>
  <c r="AD2085" i="16"/>
  <c r="AD2086" i="16"/>
  <c r="AD2087" i="16"/>
  <c r="AD2088" i="16"/>
  <c r="AD2089" i="16"/>
  <c r="AD2090" i="16"/>
  <c r="AD2091" i="16"/>
  <c r="AD2092" i="16"/>
  <c r="AD2093" i="16"/>
  <c r="AD2094" i="16"/>
  <c r="AD2095" i="16"/>
  <c r="AD2096" i="16"/>
  <c r="AD2097" i="16"/>
  <c r="AD2098" i="16"/>
  <c r="AD2099" i="16"/>
  <c r="AD2100" i="16"/>
  <c r="AD2101" i="16"/>
  <c r="AD2102" i="16"/>
  <c r="AD2103" i="16"/>
  <c r="AD2104" i="16"/>
  <c r="AD2105" i="16"/>
  <c r="AD2106" i="16"/>
  <c r="AD2107" i="16"/>
  <c r="AD2108" i="16"/>
  <c r="AD2109" i="16"/>
  <c r="AD2110" i="16"/>
  <c r="AD2111" i="16"/>
  <c r="AD2112" i="16"/>
  <c r="AD2113" i="16"/>
  <c r="AD2114" i="16"/>
  <c r="AD2115" i="16"/>
  <c r="AD2116" i="16"/>
  <c r="AD2117" i="16"/>
  <c r="AD2118" i="16"/>
  <c r="AD2119" i="16"/>
  <c r="AD2120" i="16"/>
  <c r="AD2121" i="16"/>
  <c r="AD2122" i="16"/>
  <c r="AD2123" i="16"/>
  <c r="AD2124" i="16"/>
  <c r="AD2125" i="16"/>
  <c r="AD2126" i="16"/>
  <c r="AD2127" i="16"/>
  <c r="AD2128" i="16"/>
  <c r="AD2129" i="16"/>
  <c r="AD2130" i="16"/>
  <c r="AD2131" i="16"/>
  <c r="AD2132" i="16"/>
  <c r="AD2133" i="16"/>
  <c r="AD2134" i="16"/>
  <c r="AD2135" i="16"/>
  <c r="AD2136" i="16"/>
  <c r="AD2137" i="16"/>
  <c r="AD2138" i="16"/>
  <c r="AD2139" i="16"/>
  <c r="AD2140" i="16"/>
  <c r="AD2141" i="16"/>
  <c r="AD2142" i="16"/>
  <c r="AD2143" i="16"/>
  <c r="AD2144" i="16"/>
  <c r="AD2145" i="16"/>
  <c r="AD2146" i="16"/>
  <c r="AD2147" i="16"/>
  <c r="AD2148" i="16"/>
  <c r="AD2149" i="16"/>
  <c r="AD2150" i="16"/>
  <c r="AD2151" i="16"/>
  <c r="AD2152" i="16"/>
  <c r="AD2153" i="16"/>
  <c r="AD2154" i="16"/>
  <c r="AD2155" i="16"/>
  <c r="AD2156" i="16"/>
  <c r="AD2157" i="16"/>
  <c r="AD2158" i="16"/>
  <c r="AD2159" i="16"/>
  <c r="AD2160" i="16"/>
  <c r="AD2161" i="16"/>
  <c r="AD2162" i="16"/>
  <c r="AD2163" i="16"/>
  <c r="AD2164" i="16"/>
  <c r="AD2165" i="16"/>
  <c r="AD2166" i="16"/>
  <c r="AD2167" i="16"/>
  <c r="AD2168" i="16"/>
  <c r="AD2169" i="16"/>
  <c r="AD2170" i="16"/>
  <c r="AD2171" i="16"/>
  <c r="AD2172" i="16"/>
  <c r="AD2173" i="16"/>
  <c r="AD2174" i="16"/>
  <c r="AD2175" i="16"/>
  <c r="AD2176" i="16"/>
  <c r="AD2177" i="16"/>
  <c r="AD2178" i="16"/>
  <c r="AD2179" i="16"/>
  <c r="AD2180" i="16"/>
  <c r="AD2181" i="16"/>
  <c r="AD2182" i="16"/>
  <c r="AD2183" i="16"/>
  <c r="AD2184" i="16"/>
  <c r="AD2185" i="16"/>
  <c r="AD2186" i="16"/>
  <c r="AD2187" i="16"/>
  <c r="AD2188" i="16"/>
  <c r="AD2189" i="16"/>
  <c r="AD2190" i="16"/>
  <c r="AD2191" i="16"/>
  <c r="AD2192" i="16"/>
  <c r="AD2193" i="16"/>
  <c r="AD2194" i="16"/>
  <c r="AD2195" i="16"/>
  <c r="AD2196" i="16"/>
  <c r="AD2197" i="16"/>
  <c r="AD2198" i="16"/>
  <c r="AD2199" i="16"/>
  <c r="AD2200" i="16"/>
  <c r="AD2201" i="16"/>
  <c r="AD2202" i="16"/>
  <c r="AD2203" i="16"/>
  <c r="AD2204" i="16"/>
  <c r="AD2205" i="16"/>
  <c r="AD2206" i="16"/>
  <c r="AD2207" i="16"/>
  <c r="AD2208" i="16"/>
  <c r="AD2209" i="16"/>
  <c r="AD2210" i="16"/>
  <c r="AD2211" i="16"/>
  <c r="AD2212" i="16"/>
  <c r="AD2213" i="16"/>
  <c r="AD2214" i="16"/>
  <c r="AD2215" i="16"/>
  <c r="AD2216" i="16"/>
  <c r="AD2217" i="16"/>
  <c r="AD2218" i="16"/>
  <c r="AD2219" i="16"/>
  <c r="AD2220" i="16"/>
  <c r="AD2221" i="16"/>
  <c r="AD2222" i="16"/>
  <c r="AD2223" i="16"/>
  <c r="AD2224" i="16"/>
  <c r="AD2225" i="16"/>
  <c r="AD2226" i="16"/>
  <c r="AD2227" i="16"/>
  <c r="AD2228" i="16"/>
  <c r="AD2229" i="16"/>
  <c r="AD2230" i="16"/>
  <c r="AD2231" i="16"/>
  <c r="AD2232" i="16"/>
  <c r="AD2233" i="16"/>
  <c r="AD2234" i="16"/>
  <c r="AD2235" i="16"/>
  <c r="AD2236" i="16"/>
  <c r="AD2237" i="16"/>
  <c r="AD2238" i="16"/>
  <c r="AD2239" i="16"/>
  <c r="AD2240" i="16"/>
  <c r="AD2241" i="16"/>
  <c r="AD2242" i="16"/>
  <c r="AD2243" i="16"/>
  <c r="AD2244" i="16"/>
  <c r="AD2245" i="16"/>
  <c r="AD2246" i="16"/>
  <c r="AD2247" i="16"/>
  <c r="AD2248" i="16"/>
  <c r="AD2249" i="16"/>
  <c r="AD2250" i="16"/>
  <c r="AD2251" i="16"/>
  <c r="AD2252" i="16"/>
  <c r="AD2253" i="16"/>
  <c r="AD2254" i="16"/>
  <c r="AD2255" i="16"/>
  <c r="AD2256" i="16"/>
  <c r="AD2257" i="16"/>
  <c r="AD2258" i="16"/>
  <c r="AD2259" i="16"/>
  <c r="AD2260" i="16"/>
  <c r="AD2261" i="16"/>
  <c r="AD2262" i="16"/>
  <c r="AD2263" i="16"/>
  <c r="AD2264" i="16"/>
  <c r="AD2265" i="16"/>
  <c r="AD2266" i="16"/>
  <c r="AD2267" i="16"/>
  <c r="AD2268" i="16"/>
  <c r="AD2269" i="16"/>
  <c r="AD2270" i="16"/>
  <c r="AD2271" i="16"/>
  <c r="AD2272" i="16"/>
  <c r="AD2273" i="16"/>
  <c r="AD2274" i="16"/>
  <c r="AD2275" i="16"/>
  <c r="AD2276" i="16"/>
  <c r="AD2277" i="16"/>
  <c r="AD2278" i="16"/>
  <c r="AD2279" i="16"/>
  <c r="AD2280" i="16"/>
  <c r="AD2281" i="16"/>
  <c r="AD2282" i="16"/>
  <c r="AD2283" i="16"/>
  <c r="AD2284" i="16"/>
  <c r="AD2285" i="16"/>
  <c r="AD2286" i="16"/>
  <c r="AD2287" i="16"/>
  <c r="AD2288" i="16"/>
  <c r="AD2289" i="16"/>
  <c r="AD2290" i="16"/>
  <c r="AD2291" i="16"/>
  <c r="AD2292" i="16"/>
  <c r="AD2293" i="16"/>
  <c r="AD2294" i="16"/>
  <c r="AD2295" i="16"/>
  <c r="AD2296" i="16"/>
  <c r="AD2297" i="16"/>
  <c r="AD2298" i="16"/>
  <c r="AD2299" i="16"/>
  <c r="AD2300" i="16"/>
  <c r="AD2301" i="16"/>
  <c r="AD2302" i="16"/>
  <c r="AD2303" i="16"/>
  <c r="AD2304" i="16"/>
  <c r="AD2305" i="16"/>
  <c r="AD2306" i="16"/>
  <c r="AD2307" i="16"/>
  <c r="AD2308" i="16"/>
  <c r="AD2309" i="16"/>
  <c r="AD2310" i="16"/>
  <c r="AD2311" i="16"/>
  <c r="AD2312" i="16"/>
  <c r="AD2313" i="16"/>
  <c r="AD2314" i="16"/>
  <c r="AD2315" i="16"/>
  <c r="AD2316" i="16"/>
  <c r="AD2317" i="16"/>
  <c r="AD2318" i="16"/>
  <c r="AD2319" i="16"/>
  <c r="AD2320" i="16"/>
  <c r="AD2321" i="16"/>
  <c r="AD2322" i="16"/>
  <c r="AD2323" i="16"/>
  <c r="AD2324" i="16"/>
  <c r="AD2325" i="16"/>
  <c r="AD2326" i="16"/>
  <c r="AD2327" i="16"/>
  <c r="AD2328" i="16"/>
  <c r="AD2329" i="16"/>
  <c r="AD2330" i="16"/>
  <c r="AD2331" i="16"/>
  <c r="AD2332" i="16"/>
  <c r="AD2333" i="16"/>
  <c r="AD2334" i="16"/>
  <c r="AD2335" i="16"/>
  <c r="AD2336" i="16"/>
  <c r="AD2337" i="16"/>
  <c r="AD2338" i="16"/>
  <c r="AD2339" i="16"/>
  <c r="AD2340" i="16"/>
  <c r="AD2341" i="16"/>
  <c r="AD2342" i="16"/>
  <c r="AD2343" i="16"/>
  <c r="AD2344" i="16"/>
  <c r="AD2345" i="16"/>
  <c r="AD2346" i="16"/>
  <c r="AD2347" i="16"/>
  <c r="AD2348" i="16"/>
  <c r="AD2349" i="16"/>
  <c r="AD2350" i="16"/>
  <c r="AD2351" i="16"/>
  <c r="AD2352" i="16"/>
  <c r="AD2353" i="16"/>
  <c r="AD2354" i="16"/>
  <c r="AD2355" i="16"/>
  <c r="AD2356" i="16"/>
  <c r="AD2357" i="16"/>
  <c r="AD2358" i="16"/>
  <c r="AD2359" i="16"/>
  <c r="AD2360" i="16"/>
  <c r="AD2361" i="16"/>
  <c r="AD2362" i="16"/>
  <c r="AD2363" i="16"/>
  <c r="AD2364" i="16"/>
  <c r="AD2365" i="16"/>
  <c r="AD2366" i="16"/>
  <c r="AD2367" i="16"/>
  <c r="AD2368" i="16"/>
  <c r="AD2369" i="16"/>
  <c r="AD2370" i="16"/>
  <c r="AD2371" i="16"/>
  <c r="AD2372" i="16"/>
  <c r="AD2373" i="16"/>
  <c r="AD2374" i="16"/>
  <c r="AD2375" i="16"/>
  <c r="AD2376" i="16"/>
  <c r="AD2377" i="16"/>
  <c r="AD2378" i="16"/>
  <c r="AD2379" i="16"/>
  <c r="AD2380" i="16"/>
  <c r="AD2381" i="16"/>
  <c r="AD2382" i="16"/>
  <c r="AD2383" i="16"/>
  <c r="AD2384" i="16"/>
  <c r="AD2385" i="16"/>
  <c r="AD2386" i="16"/>
  <c r="AD2387" i="16"/>
  <c r="AD2388" i="16"/>
  <c r="AD2389" i="16"/>
  <c r="AD2390" i="16"/>
  <c r="AD2391" i="16"/>
  <c r="AD2392" i="16"/>
  <c r="AD2393" i="16"/>
  <c r="AD2394" i="16"/>
  <c r="AD2395" i="16"/>
  <c r="AD2396" i="16"/>
  <c r="AD2397" i="16"/>
  <c r="AD2398" i="16"/>
  <c r="AD2399" i="16"/>
  <c r="AD2400" i="16"/>
  <c r="AD2401" i="16"/>
  <c r="AD2402" i="16"/>
  <c r="AD2403" i="16"/>
  <c r="AD2404" i="16"/>
  <c r="AD2405" i="16"/>
  <c r="AD2406" i="16"/>
  <c r="AD2407" i="16"/>
  <c r="AD2408" i="16"/>
  <c r="AD2409" i="16"/>
  <c r="AD2410" i="16"/>
  <c r="AD2411" i="16"/>
  <c r="AD2412" i="16"/>
  <c r="AD2413" i="16"/>
  <c r="AD2414" i="16"/>
  <c r="AD2415" i="16"/>
  <c r="AD2416" i="16"/>
  <c r="AD2417" i="16"/>
  <c r="AD2418" i="16"/>
  <c r="AD2419" i="16"/>
  <c r="AD2420" i="16"/>
  <c r="AD2421" i="16"/>
  <c r="AD2422" i="16"/>
  <c r="AD2423" i="16"/>
  <c r="AD2424" i="16"/>
  <c r="AD2425" i="16"/>
  <c r="AD2426" i="16"/>
  <c r="AD2427" i="16"/>
  <c r="AD2428" i="16"/>
  <c r="AD2429" i="16"/>
  <c r="AD2430" i="16"/>
  <c r="AD2431" i="16"/>
  <c r="AD2432" i="16"/>
  <c r="AD2433" i="16"/>
  <c r="AD2434" i="16"/>
  <c r="AD2435" i="16"/>
  <c r="AD2436" i="16"/>
  <c r="AD2437" i="16"/>
  <c r="AD2438" i="16"/>
  <c r="AD2439" i="16"/>
  <c r="AD2440" i="16"/>
  <c r="AD2441" i="16"/>
  <c r="AD2442" i="16"/>
  <c r="AD2443" i="16"/>
  <c r="AD2444" i="16"/>
  <c r="AD2445" i="16"/>
  <c r="AD2446" i="16"/>
  <c r="AD2447" i="16"/>
  <c r="AD2448" i="16"/>
  <c r="AD2449" i="16"/>
  <c r="AD2450" i="16"/>
  <c r="AD2451" i="16"/>
  <c r="AD2452" i="16"/>
  <c r="AD2453" i="16"/>
  <c r="AD2454" i="16"/>
  <c r="AD2455" i="16"/>
  <c r="AD2456" i="16"/>
  <c r="AD2457" i="16"/>
  <c r="AD2458" i="16"/>
  <c r="AD2459" i="16"/>
  <c r="AD2460" i="16"/>
  <c r="AD2461" i="16"/>
  <c r="AD2462" i="16"/>
  <c r="AD2463" i="16"/>
  <c r="AD2464" i="16"/>
  <c r="AD2465" i="16"/>
  <c r="AD2466" i="16"/>
  <c r="AD2467" i="16"/>
  <c r="AD2468" i="16"/>
  <c r="AD2469" i="16"/>
  <c r="AD2470" i="16"/>
  <c r="AD2471" i="16"/>
  <c r="AD2472" i="16"/>
  <c r="AD2473" i="16"/>
  <c r="AD2474" i="16"/>
  <c r="AD2475" i="16"/>
  <c r="AD2476" i="16"/>
  <c r="AD2477" i="16"/>
  <c r="AD2478" i="16"/>
  <c r="AD2479" i="16"/>
  <c r="AD2480" i="16"/>
  <c r="AD2481" i="16"/>
  <c r="AD2482" i="16"/>
  <c r="AD2483" i="16"/>
  <c r="AD2484" i="16"/>
  <c r="AD2485" i="16"/>
  <c r="AD2486" i="16"/>
  <c r="AD2487" i="16"/>
  <c r="AD2488" i="16"/>
  <c r="AD2489" i="16"/>
  <c r="AD2490" i="16"/>
  <c r="AD2491" i="16"/>
  <c r="AD2492" i="16"/>
  <c r="AD2493" i="16"/>
  <c r="AD2494" i="16"/>
  <c r="AD2495" i="16"/>
  <c r="AD2496" i="16"/>
  <c r="AD2497" i="16"/>
  <c r="AD2498" i="16"/>
  <c r="AD2499" i="16"/>
  <c r="AD2500" i="16"/>
  <c r="AD2501" i="16"/>
  <c r="AD2502" i="16"/>
  <c r="AD2503" i="16"/>
  <c r="AD2504" i="16"/>
  <c r="AD2505" i="16"/>
  <c r="AD2506" i="16"/>
  <c r="AD2507" i="16"/>
  <c r="AD2508" i="16"/>
  <c r="AD2509" i="16"/>
  <c r="AD2510" i="16"/>
  <c r="AD2511" i="16"/>
  <c r="AD2512" i="16"/>
  <c r="AD2513" i="16"/>
  <c r="AD2514" i="16"/>
  <c r="AD2515" i="16"/>
  <c r="AD2516" i="16"/>
  <c r="AD2517" i="16"/>
  <c r="AD2518" i="16"/>
  <c r="AD2519" i="16"/>
  <c r="AD2520" i="16"/>
  <c r="AD2521" i="16"/>
  <c r="AD2522" i="16"/>
  <c r="AD2523" i="16"/>
  <c r="AD2524" i="16"/>
  <c r="AD2525" i="16"/>
  <c r="AD2526" i="16"/>
  <c r="AD2527" i="16"/>
  <c r="AD2528" i="16"/>
  <c r="AD2529" i="16"/>
  <c r="AD2530" i="16"/>
  <c r="AD2531" i="16"/>
  <c r="AD2532" i="16"/>
  <c r="AD2533" i="16"/>
  <c r="AD2534" i="16"/>
  <c r="AD2535" i="16"/>
  <c r="AD2536" i="16"/>
  <c r="AD2537" i="16"/>
  <c r="AD2538" i="16"/>
  <c r="AD2539" i="16"/>
  <c r="AD2540" i="16"/>
  <c r="AD2541" i="16"/>
  <c r="AD2542" i="16"/>
  <c r="AD2543" i="16"/>
  <c r="AD2544" i="16"/>
  <c r="AD2545" i="16"/>
  <c r="AD2546" i="16"/>
  <c r="AD2547" i="16"/>
  <c r="AD2548" i="16"/>
  <c r="AD2549" i="16"/>
  <c r="AD2550" i="16"/>
  <c r="AD2551" i="16"/>
  <c r="AD2552" i="16"/>
  <c r="AD2553" i="16"/>
  <c r="AD2554" i="16"/>
  <c r="AD2555" i="16"/>
  <c r="AD2556" i="16"/>
  <c r="AD2557" i="16"/>
  <c r="AD2558" i="16"/>
  <c r="AD2559" i="16"/>
  <c r="AD2560" i="16"/>
  <c r="AD2561" i="16"/>
  <c r="AD2562" i="16"/>
  <c r="AD2563" i="16"/>
  <c r="AD2564" i="16"/>
  <c r="AD2565" i="16"/>
  <c r="AD2566" i="16"/>
  <c r="AD2567" i="16"/>
  <c r="AD2568" i="16"/>
  <c r="AD2569" i="16"/>
  <c r="AD2570" i="16"/>
  <c r="AD2571" i="16"/>
  <c r="AD2572" i="16"/>
  <c r="AD2573" i="16"/>
  <c r="AD2574" i="16"/>
  <c r="AD2575" i="16"/>
  <c r="AD2576" i="16"/>
  <c r="AD2577" i="16"/>
  <c r="AD2578" i="16"/>
  <c r="AD2579" i="16"/>
  <c r="AD2580" i="16"/>
  <c r="AD2581" i="16"/>
  <c r="AD2582" i="16"/>
  <c r="AD2583" i="16"/>
  <c r="AD2584" i="16"/>
  <c r="AD2585" i="16"/>
  <c r="AD2586" i="16"/>
  <c r="AD2587" i="16"/>
  <c r="AD2588" i="16"/>
  <c r="AD2589" i="16"/>
  <c r="AD2590" i="16"/>
  <c r="AD2591" i="16"/>
  <c r="AD2592" i="16"/>
  <c r="AD2593" i="16"/>
  <c r="AD2594" i="16"/>
  <c r="AD2595" i="16"/>
  <c r="AD2596" i="16"/>
  <c r="AD2597" i="16"/>
  <c r="AD2598" i="16"/>
  <c r="AD2599" i="16"/>
  <c r="AD2600" i="16"/>
  <c r="AD2601" i="16"/>
  <c r="AD2602" i="16"/>
  <c r="AD2603" i="16"/>
  <c r="AD2604" i="16"/>
  <c r="AD2605" i="16"/>
  <c r="AD2606" i="16"/>
  <c r="AD2607" i="16"/>
  <c r="AD2608" i="16"/>
  <c r="AD2609" i="16"/>
  <c r="AD2610" i="16"/>
  <c r="AD2611" i="16"/>
  <c r="AD2612" i="16"/>
  <c r="AD2613" i="16"/>
  <c r="AD2614" i="16"/>
  <c r="AD2615" i="16"/>
  <c r="AD2616" i="16"/>
  <c r="AD2617" i="16"/>
  <c r="AD2618" i="16"/>
  <c r="AD2619" i="16"/>
  <c r="AD2620" i="16"/>
  <c r="AD2621" i="16"/>
  <c r="AD2622" i="16"/>
  <c r="AD2623" i="16"/>
  <c r="AD2624" i="16"/>
  <c r="AD2625" i="16"/>
  <c r="AD2626" i="16"/>
  <c r="AD2627" i="16"/>
  <c r="AD2628" i="16"/>
  <c r="AD2629" i="16"/>
  <c r="AD2630" i="16"/>
  <c r="AD2631" i="16"/>
  <c r="AD2632" i="16"/>
  <c r="AD2633" i="16"/>
  <c r="AD2634" i="16"/>
  <c r="AD2635" i="16"/>
  <c r="AD2636" i="16"/>
  <c r="AD2637" i="16"/>
  <c r="AD2638" i="16"/>
  <c r="AD2639" i="16"/>
  <c r="AD2640" i="16"/>
  <c r="AD2641" i="16"/>
  <c r="AD2642" i="16"/>
  <c r="AD2643" i="16"/>
  <c r="AD2644" i="16"/>
  <c r="AD2645" i="16"/>
  <c r="AD2646" i="16"/>
  <c r="AD2647" i="16"/>
  <c r="AD2648" i="16"/>
  <c r="AD2649" i="16"/>
  <c r="AD2650" i="16"/>
  <c r="AD2651" i="16"/>
  <c r="AD2652" i="16"/>
  <c r="AD2653" i="16"/>
  <c r="AD2654" i="16"/>
  <c r="AD2655" i="16"/>
  <c r="AD2656" i="16"/>
  <c r="AD2657" i="16"/>
  <c r="AD2658" i="16"/>
  <c r="AD2659" i="16"/>
  <c r="AD2660" i="16"/>
  <c r="AD2661" i="16"/>
  <c r="AD2662" i="16"/>
  <c r="AD2663" i="16"/>
  <c r="AD2664" i="16"/>
  <c r="AD2665" i="16"/>
  <c r="AD2666" i="16"/>
  <c r="AD2667" i="16"/>
  <c r="AD2668" i="16"/>
  <c r="AD2669" i="16"/>
  <c r="AD2670" i="16"/>
  <c r="AD2671" i="16"/>
  <c r="AD2672" i="16"/>
  <c r="AD2673" i="16"/>
  <c r="AD2674" i="16"/>
  <c r="AD2675" i="16"/>
  <c r="AD2676" i="16"/>
  <c r="AD2677" i="16"/>
  <c r="AD2678" i="16"/>
  <c r="AD2679" i="16"/>
  <c r="AD2680" i="16"/>
  <c r="AD2681" i="16"/>
  <c r="AD2682" i="16"/>
  <c r="AD2683" i="16"/>
  <c r="AD2684" i="16"/>
  <c r="AD2685" i="16"/>
  <c r="AD2686" i="16"/>
  <c r="AD2687" i="16"/>
  <c r="AD2688" i="16"/>
  <c r="AD2689" i="16"/>
  <c r="AD2690" i="16"/>
  <c r="AD2691" i="16"/>
  <c r="AD2692" i="16"/>
  <c r="AD2693" i="16"/>
  <c r="AD2694" i="16"/>
  <c r="AD2695" i="16"/>
  <c r="AD2696" i="16"/>
  <c r="AD2697" i="16"/>
  <c r="AD2698" i="16"/>
  <c r="AD2699" i="16"/>
  <c r="AD2700" i="16"/>
  <c r="AD2701" i="16"/>
  <c r="AD2702" i="16"/>
  <c r="AD2703" i="16"/>
  <c r="AD2704" i="16"/>
  <c r="AD2705" i="16"/>
  <c r="AD2706" i="16"/>
  <c r="AD2707" i="16"/>
  <c r="AD2708" i="16"/>
  <c r="AD2709" i="16"/>
  <c r="AD2710" i="16"/>
  <c r="AD2711" i="16"/>
  <c r="AD2712" i="16"/>
  <c r="AD2713" i="16"/>
  <c r="AD2714" i="16"/>
  <c r="AD2715" i="16"/>
  <c r="AD2716" i="16"/>
  <c r="AD2717" i="16"/>
  <c r="AD2718" i="16"/>
  <c r="AD2719" i="16"/>
  <c r="AD2720" i="16"/>
  <c r="AD2721" i="16"/>
  <c r="AD2722" i="16"/>
  <c r="AD2723" i="16"/>
  <c r="AD2724" i="16"/>
  <c r="AD2725" i="16"/>
  <c r="AD2726" i="16"/>
  <c r="AD2727" i="16"/>
  <c r="AD2728" i="16"/>
  <c r="AD2729" i="16"/>
  <c r="AD2730" i="16"/>
  <c r="AD2731" i="16"/>
  <c r="AD2732" i="16"/>
  <c r="AD2733" i="16"/>
  <c r="AD2734" i="16"/>
  <c r="AD2735" i="16"/>
  <c r="AD2736" i="16"/>
  <c r="AD2737" i="16"/>
  <c r="AD2738" i="16"/>
  <c r="AD2739" i="16"/>
  <c r="AD2740" i="16"/>
  <c r="AD2741" i="16"/>
  <c r="AD2742" i="16"/>
  <c r="AD2743" i="16"/>
  <c r="AD2744" i="16"/>
  <c r="AD2745" i="16"/>
  <c r="AD2746" i="16"/>
  <c r="AD2747" i="16"/>
  <c r="AD2748" i="16"/>
  <c r="AD2749" i="16"/>
  <c r="AD2750" i="16"/>
  <c r="AD2751" i="16"/>
  <c r="AD2752" i="16"/>
  <c r="AD2753" i="16"/>
  <c r="AD2754" i="16"/>
  <c r="AD2755" i="16"/>
  <c r="AD2756" i="16"/>
  <c r="AD2757" i="16"/>
  <c r="AD2758" i="16"/>
  <c r="AD2759" i="16"/>
  <c r="AD2760" i="16"/>
  <c r="AD2761" i="16"/>
  <c r="AD2762" i="16"/>
  <c r="AD2763" i="16"/>
  <c r="AD2764" i="16"/>
  <c r="AD2765" i="16"/>
  <c r="AD2766" i="16"/>
  <c r="AD2767" i="16"/>
  <c r="AD2768" i="16"/>
  <c r="AD2769" i="16"/>
  <c r="AD2770" i="16"/>
  <c r="AD2771" i="16"/>
  <c r="AD2772" i="16"/>
  <c r="AD2773" i="16"/>
  <c r="AD2774" i="16"/>
  <c r="AD2775" i="16"/>
  <c r="AD2776" i="16"/>
  <c r="AD2777" i="16"/>
  <c r="AD2778" i="16"/>
  <c r="AD2779" i="16"/>
  <c r="AD2780" i="16"/>
  <c r="AD2781" i="16"/>
  <c r="AD2782" i="16"/>
  <c r="AD2783" i="16"/>
  <c r="AD2784" i="16"/>
  <c r="AD2785" i="16"/>
  <c r="AD2786" i="16"/>
  <c r="AD2787" i="16"/>
  <c r="AD2788" i="16"/>
  <c r="AD2789" i="16"/>
  <c r="AD2790" i="16"/>
  <c r="AD2791" i="16"/>
  <c r="AD2792" i="16"/>
  <c r="AD2793" i="16"/>
  <c r="AD2794" i="16"/>
  <c r="AD2795" i="16"/>
  <c r="AD2796" i="16"/>
  <c r="AD2797" i="16"/>
  <c r="AD2798" i="16"/>
  <c r="AD2799" i="16"/>
  <c r="AD2800" i="16"/>
  <c r="AD2801" i="16"/>
  <c r="AD2802" i="16"/>
  <c r="AD2803" i="16"/>
  <c r="AD2804" i="16"/>
  <c r="AD2805" i="16"/>
  <c r="AD2806" i="16"/>
  <c r="AD2807" i="16"/>
  <c r="AD2808" i="16"/>
  <c r="AD2809" i="16"/>
  <c r="AD2810" i="16"/>
  <c r="AD2811" i="16"/>
  <c r="AD2812" i="16"/>
  <c r="AD2813" i="16"/>
  <c r="AD2814" i="16"/>
  <c r="AD2815" i="16"/>
  <c r="AD2816" i="16"/>
  <c r="AD2817" i="16"/>
  <c r="AD2818" i="16"/>
  <c r="AD2819" i="16"/>
  <c r="AD2820" i="16"/>
  <c r="AD2821" i="16"/>
  <c r="AD2822" i="16"/>
  <c r="AD2823" i="16"/>
  <c r="AD2824" i="16"/>
  <c r="AD2825" i="16"/>
  <c r="AD2826" i="16"/>
  <c r="AD2827" i="16"/>
  <c r="AD2828" i="16"/>
  <c r="AD2829" i="16"/>
  <c r="AD2830" i="16"/>
  <c r="AD2831" i="16"/>
  <c r="AD2832" i="16"/>
  <c r="AD2833" i="16"/>
  <c r="AD2834" i="16"/>
  <c r="AD2835" i="16"/>
  <c r="AD2836" i="16"/>
  <c r="AD2837" i="16"/>
  <c r="AD2838" i="16"/>
  <c r="AD2839" i="16"/>
  <c r="AD2840" i="16"/>
  <c r="AD2841" i="16"/>
  <c r="AD2842" i="16"/>
  <c r="AD2843" i="16"/>
  <c r="AD2844" i="16"/>
  <c r="AD2845" i="16"/>
  <c r="AD2846" i="16"/>
  <c r="AD2847" i="16"/>
  <c r="AD2848" i="16"/>
  <c r="AD2849" i="16"/>
  <c r="AD2850" i="16"/>
  <c r="AD2851" i="16"/>
  <c r="AD2852" i="16"/>
  <c r="AD2853" i="16"/>
  <c r="AD2854" i="16"/>
  <c r="AD2855" i="16"/>
  <c r="AD2856" i="16"/>
  <c r="AD2857" i="16"/>
  <c r="AD2858" i="16"/>
  <c r="AD2859" i="16"/>
  <c r="AD2860" i="16"/>
  <c r="AD2861" i="16"/>
  <c r="AD2862" i="16"/>
  <c r="AD2863" i="16"/>
  <c r="AD2864" i="16"/>
  <c r="AD2865" i="16"/>
  <c r="AD2866" i="16"/>
  <c r="AD2867" i="16"/>
  <c r="AD2868" i="16"/>
  <c r="AD2869" i="16"/>
  <c r="AD2870" i="16"/>
  <c r="AD2871" i="16"/>
  <c r="AD2872" i="16"/>
  <c r="AD2873" i="16"/>
  <c r="AD2874" i="16"/>
  <c r="AD2875" i="16"/>
  <c r="AD2876" i="16"/>
  <c r="AD2877" i="16"/>
  <c r="AD2878" i="16"/>
  <c r="AD2879" i="16"/>
  <c r="AD2880" i="16"/>
  <c r="AD2881" i="16"/>
  <c r="AD2882" i="16"/>
  <c r="AD2883" i="16"/>
  <c r="AD2884" i="16"/>
  <c r="AD2885" i="16"/>
  <c r="AD2886" i="16"/>
  <c r="AD2887" i="16"/>
  <c r="AD2888" i="16"/>
  <c r="AD2889" i="16"/>
  <c r="AD2890" i="16"/>
  <c r="AD2891" i="16"/>
  <c r="AD2892" i="16"/>
  <c r="AD2893" i="16"/>
  <c r="AD2894" i="16"/>
  <c r="AD2895" i="16"/>
  <c r="AD2896" i="16"/>
  <c r="AD2897" i="16"/>
  <c r="AD2898" i="16"/>
  <c r="AD2899" i="16"/>
  <c r="AD2900" i="16"/>
  <c r="AD2901" i="16"/>
  <c r="AD2902" i="16"/>
  <c r="AD2903" i="16"/>
  <c r="AD2904" i="16"/>
  <c r="AD2905" i="16"/>
  <c r="AD2906" i="16"/>
  <c r="AD2907" i="16"/>
  <c r="AD2908" i="16"/>
  <c r="AD2909" i="16"/>
  <c r="AD2910" i="16"/>
  <c r="AD2911" i="16"/>
  <c r="AD2912" i="16"/>
  <c r="AD2913" i="16"/>
  <c r="AD2914" i="16"/>
  <c r="AD2915" i="16"/>
  <c r="AD2916" i="16"/>
  <c r="AD2917" i="16"/>
  <c r="AD2918" i="16"/>
  <c r="AD2919" i="16"/>
  <c r="AD2920" i="16"/>
  <c r="AD2921" i="16"/>
  <c r="AD2922" i="16"/>
  <c r="AD2923" i="16"/>
  <c r="AD2924" i="16"/>
  <c r="AD2925" i="16"/>
  <c r="AD2926" i="16"/>
  <c r="AD2927" i="16"/>
  <c r="AD2928" i="16"/>
  <c r="AD2929" i="16"/>
  <c r="AD2930" i="16"/>
  <c r="AD2931" i="16"/>
  <c r="AD2932" i="16"/>
  <c r="AD2933" i="16"/>
  <c r="AD2934" i="16"/>
  <c r="AD2935" i="16"/>
  <c r="AD2936" i="16"/>
  <c r="AD2937" i="16"/>
  <c r="AD2938" i="16"/>
  <c r="AD2939" i="16"/>
  <c r="AD2940" i="16"/>
  <c r="AD2941" i="16"/>
  <c r="AD2942" i="16"/>
  <c r="AD2943" i="16"/>
  <c r="AD2944" i="16"/>
  <c r="AD2945" i="16"/>
  <c r="AD2946" i="16"/>
  <c r="AD2947" i="16"/>
  <c r="AD2948" i="16"/>
  <c r="AD2949" i="16"/>
  <c r="AD2950" i="16"/>
  <c r="AD2951" i="16"/>
  <c r="AD2952" i="16"/>
  <c r="AD2953" i="16"/>
  <c r="AD2954" i="16"/>
  <c r="AD2955" i="16"/>
  <c r="AD2956" i="16"/>
  <c r="AD2957" i="16"/>
  <c r="AD2958" i="16"/>
  <c r="AD2959" i="16"/>
  <c r="AD2960" i="16"/>
  <c r="AD2961" i="16"/>
  <c r="AD2962" i="16"/>
  <c r="AD2963" i="16"/>
  <c r="AD2964" i="16"/>
  <c r="AD2965" i="16"/>
  <c r="AD2966" i="16"/>
  <c r="AD2967" i="16"/>
  <c r="AD2968" i="16"/>
  <c r="AD2969" i="16"/>
  <c r="AD2970" i="16"/>
  <c r="AD2971" i="16"/>
  <c r="AD2972" i="16"/>
  <c r="AD2973" i="16"/>
  <c r="AD2974" i="16"/>
  <c r="AD2975" i="16"/>
  <c r="AD2976" i="16"/>
  <c r="AD2977" i="16"/>
  <c r="AD2978" i="16"/>
  <c r="AD2979" i="16"/>
  <c r="AD2980" i="16"/>
  <c r="AD2981" i="16"/>
  <c r="AD2982" i="16"/>
  <c r="AD2983" i="16"/>
  <c r="AD2984" i="16"/>
  <c r="AD2985" i="16"/>
  <c r="AD2986" i="16"/>
  <c r="AD2987" i="16"/>
  <c r="AD2988" i="16"/>
  <c r="AD2989" i="16"/>
  <c r="AD2990" i="16"/>
  <c r="AD2991" i="16"/>
  <c r="AD2992" i="16"/>
  <c r="AD2993" i="16"/>
  <c r="AD2994" i="16"/>
  <c r="AD2995" i="16"/>
  <c r="AD2996" i="16"/>
  <c r="AD2997" i="16"/>
  <c r="AD2998" i="16"/>
  <c r="AD2999" i="16"/>
  <c r="AD3000" i="16"/>
  <c r="AD3001" i="16"/>
  <c r="AD3002" i="16"/>
  <c r="AD3003" i="16"/>
  <c r="AD3004" i="16"/>
  <c r="AD3005" i="16"/>
  <c r="AD3006" i="16"/>
  <c r="AD3007" i="16"/>
  <c r="AD3008" i="16"/>
  <c r="AD3009" i="16"/>
  <c r="AD3010" i="16"/>
  <c r="AD3011" i="16"/>
  <c r="AD3012" i="16"/>
  <c r="AD3013" i="16"/>
  <c r="AD3014" i="16"/>
  <c r="AD3015" i="16"/>
  <c r="AD3016" i="16"/>
  <c r="AD3017" i="16"/>
  <c r="AD3018" i="16"/>
  <c r="AD3019" i="16"/>
  <c r="AD3020" i="16"/>
  <c r="AD3021" i="16"/>
  <c r="AD3022" i="16"/>
  <c r="AD3023" i="16"/>
  <c r="AD3024" i="16"/>
  <c r="AD3025" i="16"/>
  <c r="AD3026" i="16"/>
  <c r="AD3027" i="16"/>
  <c r="AD3028" i="16"/>
  <c r="AD3029" i="16"/>
  <c r="AD3030" i="16"/>
  <c r="AD3031" i="16"/>
  <c r="AD3032" i="16"/>
  <c r="AD3033" i="16"/>
  <c r="AD3034" i="16"/>
  <c r="AD3035" i="16"/>
  <c r="AD3036" i="16"/>
  <c r="AD3037" i="16"/>
  <c r="AD3038" i="16"/>
  <c r="AD3039" i="16"/>
  <c r="AD3040" i="16"/>
  <c r="AD3041" i="16"/>
  <c r="AD3042" i="16"/>
  <c r="AD3043" i="16"/>
  <c r="AD3044" i="16"/>
  <c r="AD3045" i="16"/>
  <c r="AD3046" i="16"/>
  <c r="AD3047" i="16"/>
  <c r="AD3048" i="16"/>
  <c r="AD3049" i="16"/>
  <c r="AD3050" i="16"/>
  <c r="AD3051" i="16"/>
  <c r="AD3052" i="16"/>
  <c r="AD3053" i="16"/>
  <c r="AD3054" i="16"/>
  <c r="AD3055" i="16"/>
  <c r="AD3056" i="16"/>
  <c r="AD3057" i="16"/>
  <c r="AD3058" i="16"/>
  <c r="AD3059" i="16"/>
  <c r="AD3060" i="16"/>
  <c r="AD3061" i="16"/>
  <c r="AD3062" i="16"/>
  <c r="AD3063" i="16"/>
  <c r="AD3064" i="16"/>
  <c r="AD3065" i="16"/>
  <c r="AD3066" i="16"/>
  <c r="AD3067" i="16"/>
  <c r="AD3068" i="16"/>
  <c r="AD3069" i="16"/>
  <c r="AD3070" i="16"/>
  <c r="AD3071" i="16"/>
  <c r="AD3072" i="16"/>
  <c r="AD3073" i="16"/>
  <c r="AD3074" i="16"/>
  <c r="AD3075" i="16"/>
  <c r="AD3076" i="16"/>
  <c r="AD3077" i="16"/>
  <c r="AD3078" i="16"/>
  <c r="AD3079" i="16"/>
  <c r="AD3080" i="16"/>
  <c r="AD3081" i="16"/>
  <c r="AD3082" i="16"/>
  <c r="AD3083" i="16"/>
  <c r="AD3084" i="16"/>
  <c r="AD3085" i="16"/>
  <c r="AD3086" i="16"/>
  <c r="AD3087" i="16"/>
  <c r="AD3088" i="16"/>
  <c r="AD3089" i="16"/>
  <c r="AD3090" i="16"/>
  <c r="AD3091" i="16"/>
  <c r="AD3092" i="16"/>
  <c r="AD3093" i="16"/>
  <c r="AD3094" i="16"/>
  <c r="AD3095" i="16"/>
  <c r="AD3096" i="16"/>
  <c r="AD3097" i="16"/>
  <c r="AD3098" i="16"/>
  <c r="AD3099" i="16"/>
  <c r="AD3100" i="16"/>
  <c r="AD3101" i="16"/>
  <c r="AD3102" i="16"/>
  <c r="AD3103" i="16"/>
  <c r="AD3104" i="16"/>
  <c r="AD3105" i="16"/>
  <c r="AD3106" i="16"/>
  <c r="AD3107" i="16"/>
  <c r="AD3108" i="16"/>
  <c r="AD3109" i="16"/>
  <c r="AD3110" i="16"/>
  <c r="AD3111" i="16"/>
  <c r="AD3112" i="16"/>
  <c r="AD3113" i="16"/>
  <c r="AD3114" i="16"/>
  <c r="AD3115" i="16"/>
  <c r="AD3116" i="16"/>
  <c r="AD3117" i="16"/>
  <c r="AD3118" i="16"/>
  <c r="AD3119" i="16"/>
  <c r="AD3120" i="16"/>
  <c r="AD3121" i="16"/>
  <c r="AD3122" i="16"/>
  <c r="AD3123" i="16"/>
  <c r="AD3124" i="16"/>
  <c r="AD3125" i="16"/>
  <c r="AD3126" i="16"/>
  <c r="AD3127" i="16"/>
  <c r="AD3128" i="16"/>
  <c r="AD3129" i="16"/>
  <c r="AD3130" i="16"/>
  <c r="AD3131" i="16"/>
  <c r="AD3132" i="16"/>
  <c r="AD3133" i="16"/>
  <c r="AD3134" i="16"/>
  <c r="AD3135" i="16"/>
  <c r="AD3136" i="16"/>
  <c r="AD3137" i="16"/>
  <c r="AD3138" i="16"/>
  <c r="AD3139" i="16"/>
  <c r="AD3140" i="16"/>
  <c r="AD3141" i="16"/>
  <c r="AD3142" i="16"/>
  <c r="AD3143" i="16"/>
  <c r="AD3144" i="16"/>
  <c r="AD3145" i="16"/>
  <c r="AD3146" i="16"/>
  <c r="AD3147" i="16"/>
  <c r="AD3148" i="16"/>
  <c r="AD3149" i="16"/>
  <c r="AD3150" i="16"/>
  <c r="AD3151" i="16"/>
  <c r="AD3152" i="16"/>
  <c r="AD3153" i="16"/>
  <c r="AD3154" i="16"/>
  <c r="AD3155" i="16"/>
  <c r="AD3156" i="16"/>
  <c r="AD3157" i="16"/>
  <c r="AD3158" i="16"/>
  <c r="AD3159" i="16"/>
  <c r="AD3160" i="16"/>
  <c r="AD3161" i="16"/>
  <c r="AD3162" i="16"/>
  <c r="AD3163" i="16"/>
  <c r="AD3164" i="16"/>
  <c r="AD3165" i="16"/>
  <c r="AD3166" i="16"/>
  <c r="AD3167" i="16"/>
  <c r="AD3168" i="16"/>
  <c r="AD3169" i="16"/>
  <c r="AD3170" i="16"/>
  <c r="AD3171" i="16"/>
  <c r="AD3172" i="16"/>
  <c r="AD3173" i="16"/>
  <c r="AD3174" i="16"/>
  <c r="AD3175" i="16"/>
  <c r="AD3176" i="16"/>
  <c r="AD3177" i="16"/>
  <c r="AD3178" i="16"/>
  <c r="AD3179" i="16"/>
  <c r="AD3180" i="16"/>
  <c r="AD3181" i="16"/>
  <c r="AD3182" i="16"/>
  <c r="AD3183" i="16"/>
  <c r="AD3184" i="16"/>
  <c r="AD3185" i="16"/>
  <c r="AD3186" i="16"/>
  <c r="AD3187" i="16"/>
  <c r="AD3188" i="16"/>
  <c r="AD3189" i="16"/>
  <c r="AD3190" i="16"/>
  <c r="AD3191" i="16"/>
  <c r="AD3192" i="16"/>
  <c r="AD3193" i="16"/>
  <c r="AD3194" i="16"/>
  <c r="AD3195" i="16"/>
  <c r="AD3196" i="16"/>
  <c r="AD3197" i="16"/>
  <c r="AD3198" i="16"/>
  <c r="AD3199" i="16"/>
  <c r="AD3200" i="16"/>
  <c r="AD3201" i="16"/>
  <c r="AD3202" i="16"/>
  <c r="AD3203" i="16"/>
  <c r="AD3204" i="16"/>
  <c r="AD3205" i="16"/>
  <c r="AD3206" i="16"/>
  <c r="AD3207" i="16"/>
  <c r="AD3208" i="16"/>
  <c r="AD3209" i="16"/>
  <c r="AD3210" i="16"/>
  <c r="AD3211" i="16"/>
  <c r="AD3212" i="16"/>
  <c r="AD3213" i="16"/>
  <c r="AD3214" i="16"/>
  <c r="AD3215" i="16"/>
  <c r="AD3216" i="16"/>
  <c r="AD3217" i="16"/>
  <c r="AD3218" i="16"/>
  <c r="AD3219" i="16"/>
  <c r="AD3220" i="16"/>
  <c r="AD3221" i="16"/>
  <c r="AD3222" i="16"/>
  <c r="AD3223" i="16"/>
  <c r="AD3224" i="16"/>
  <c r="AD3225" i="16"/>
  <c r="AD3226" i="16"/>
  <c r="AD3227" i="16"/>
  <c r="AD3228" i="16"/>
  <c r="AD3229" i="16"/>
  <c r="AD3230" i="16"/>
  <c r="AD3231" i="16"/>
  <c r="AD3232" i="16"/>
  <c r="AD3233" i="16"/>
  <c r="AD3234" i="16"/>
  <c r="AD3235" i="16"/>
  <c r="AD3236" i="16"/>
  <c r="AD3237" i="16"/>
  <c r="AD3238" i="16"/>
  <c r="AD3239" i="16"/>
  <c r="AD3240" i="16"/>
  <c r="AD3241" i="16"/>
  <c r="AD3242" i="16"/>
  <c r="AD3243" i="16"/>
  <c r="AD3244" i="16"/>
  <c r="AD3245" i="16"/>
  <c r="AD3246" i="16"/>
  <c r="AD3247" i="16"/>
  <c r="AD3248" i="16"/>
  <c r="AD3249" i="16"/>
  <c r="AD3250" i="16"/>
  <c r="AD3251" i="16"/>
  <c r="AD3252" i="16"/>
  <c r="AD3253" i="16"/>
  <c r="AD3254" i="16"/>
  <c r="AD3255" i="16"/>
  <c r="AD3256" i="16"/>
  <c r="AD3257" i="16"/>
  <c r="AD3258" i="16"/>
  <c r="AD3259" i="16"/>
  <c r="AD3260" i="16"/>
  <c r="AD3261" i="16"/>
  <c r="AD3262" i="16"/>
  <c r="AD3263" i="16"/>
  <c r="AD3264" i="16"/>
  <c r="AD3265" i="16"/>
  <c r="AD3266" i="16"/>
  <c r="AD3267" i="16"/>
  <c r="AD3268" i="16"/>
  <c r="AD3269" i="16"/>
  <c r="AD3270" i="16"/>
  <c r="AD3271" i="16"/>
  <c r="AD3272" i="16"/>
  <c r="AD3273" i="16"/>
  <c r="AD3274" i="16"/>
  <c r="AD3275" i="16"/>
  <c r="AD3276" i="16"/>
  <c r="AD3277" i="16"/>
  <c r="AD3278" i="16"/>
  <c r="AD3279" i="16"/>
  <c r="AD3280" i="16"/>
  <c r="AD3281" i="16"/>
  <c r="AD3282" i="16"/>
  <c r="AD3283" i="16"/>
  <c r="AD3284" i="16"/>
  <c r="AD3285" i="16"/>
  <c r="AD3286" i="16"/>
  <c r="AD3287" i="16"/>
  <c r="AD3288" i="16"/>
  <c r="AD3289" i="16"/>
  <c r="AD3290" i="16"/>
  <c r="AD3291" i="16"/>
  <c r="AD3292" i="16"/>
  <c r="AD3293" i="16"/>
  <c r="AD3294" i="16"/>
  <c r="AD3295" i="16"/>
  <c r="AD3296" i="16"/>
  <c r="AD3297" i="16"/>
  <c r="AD3298" i="16"/>
  <c r="AD3299" i="16"/>
  <c r="AD3300" i="16"/>
  <c r="AD3301" i="16"/>
  <c r="AD3302" i="16"/>
  <c r="AD3303" i="16"/>
  <c r="AD3304" i="16"/>
  <c r="AD3305" i="16"/>
  <c r="AD3306" i="16"/>
  <c r="AD3307" i="16"/>
  <c r="AD3308" i="16"/>
  <c r="AD3309" i="16"/>
  <c r="AD3310" i="16"/>
  <c r="AD3311" i="16"/>
  <c r="AD3312" i="16"/>
  <c r="AD3313" i="16"/>
  <c r="AD3314" i="16"/>
  <c r="AD3315" i="16"/>
  <c r="AD3316" i="16"/>
  <c r="AD3317" i="16"/>
  <c r="AD3318" i="16"/>
  <c r="AD3319" i="16"/>
  <c r="AD3320" i="16"/>
  <c r="AD3321" i="16"/>
  <c r="AD3322" i="16"/>
  <c r="AD3323" i="16"/>
  <c r="AD3324" i="16"/>
  <c r="AD3325" i="16"/>
  <c r="AD3326" i="16"/>
  <c r="AD3327" i="16"/>
  <c r="AD3328" i="16"/>
  <c r="AD3329" i="16"/>
  <c r="AD3330" i="16"/>
  <c r="AD3331" i="16"/>
  <c r="AD3332" i="16"/>
  <c r="AD3333" i="16"/>
  <c r="AD3334" i="16"/>
  <c r="AD3335" i="16"/>
  <c r="AD3336" i="16"/>
  <c r="AD3337" i="16"/>
  <c r="AD3338" i="16"/>
  <c r="AD3339" i="16"/>
  <c r="AD3340" i="16"/>
  <c r="AD3341" i="16"/>
  <c r="AD3342" i="16"/>
  <c r="AD3343" i="16"/>
  <c r="AD3344" i="16"/>
  <c r="AD3345" i="16"/>
  <c r="AD3346" i="16"/>
  <c r="AD3347" i="16"/>
  <c r="AD3348" i="16"/>
  <c r="AD3349" i="16"/>
  <c r="AD3350" i="16"/>
  <c r="AD3351" i="16"/>
  <c r="AD3352" i="16"/>
  <c r="AD3353" i="16"/>
  <c r="AD3354" i="16"/>
  <c r="AD3355" i="16"/>
  <c r="AD3356" i="16"/>
  <c r="AD3357" i="16"/>
  <c r="AD3358" i="16"/>
  <c r="AD3359" i="16"/>
  <c r="AD3360" i="16"/>
  <c r="AD3361" i="16"/>
  <c r="AD3362" i="16"/>
  <c r="AD3363" i="16"/>
  <c r="AD3364" i="16"/>
  <c r="AD3365" i="16"/>
  <c r="AD3366" i="16"/>
  <c r="AD3367" i="16"/>
  <c r="AD3368" i="16"/>
  <c r="AD3369" i="16"/>
  <c r="AD3370" i="16"/>
  <c r="AD3371" i="16"/>
  <c r="AD3372" i="16"/>
  <c r="AD3373" i="16"/>
  <c r="AD3374" i="16"/>
  <c r="AD3375" i="16"/>
  <c r="AD3376" i="16"/>
  <c r="AD3377" i="16"/>
  <c r="AD3378" i="16"/>
  <c r="AD3379" i="16"/>
  <c r="AD3380" i="16"/>
  <c r="AD3381" i="16"/>
  <c r="AD3382" i="16"/>
  <c r="AD3383" i="16"/>
  <c r="AD3384" i="16"/>
  <c r="AD3385" i="16"/>
  <c r="AD3386" i="16"/>
  <c r="AD3387" i="16"/>
  <c r="AD3388" i="16"/>
  <c r="AD3389" i="16"/>
  <c r="AD3390" i="16"/>
  <c r="AD3391" i="16"/>
  <c r="AD3392" i="16"/>
  <c r="AD3393" i="16"/>
  <c r="AD3394" i="16"/>
  <c r="AD3395" i="16"/>
  <c r="AD3396" i="16"/>
  <c r="AD3397" i="16"/>
  <c r="AD3398" i="16"/>
  <c r="AD3399" i="16"/>
  <c r="AD3400" i="16"/>
  <c r="AD3401" i="16"/>
  <c r="AD3402" i="16"/>
  <c r="AD3403" i="16"/>
  <c r="AD3404" i="16"/>
  <c r="AD3405" i="16"/>
  <c r="AD3406" i="16"/>
  <c r="AD3407" i="16"/>
  <c r="AD3408" i="16"/>
  <c r="AD3409" i="16"/>
  <c r="AD3410" i="16"/>
  <c r="AD3411" i="16"/>
  <c r="AD3412" i="16"/>
  <c r="AD3413" i="16"/>
  <c r="AD3414" i="16"/>
  <c r="AD3415" i="16"/>
  <c r="AD3416" i="16"/>
  <c r="AD3417" i="16"/>
  <c r="AD3418" i="16"/>
  <c r="AD3419" i="16"/>
  <c r="AD3420" i="16"/>
  <c r="AD3421" i="16"/>
  <c r="AD3422" i="16"/>
  <c r="AD3423" i="16"/>
  <c r="AD3424" i="16"/>
  <c r="AD3425" i="16"/>
  <c r="AD3426" i="16"/>
  <c r="AD3427" i="16"/>
  <c r="AD3428" i="16"/>
  <c r="AD3429" i="16"/>
  <c r="AD3430" i="16"/>
  <c r="AD3431" i="16"/>
  <c r="AD3432" i="16"/>
  <c r="AD3433" i="16"/>
  <c r="AD3434" i="16"/>
  <c r="AD3435" i="16"/>
  <c r="AD3436" i="16"/>
  <c r="AD3437" i="16"/>
  <c r="AD3438" i="16"/>
  <c r="AD3439" i="16"/>
  <c r="AD3440" i="16"/>
  <c r="AD3441" i="16"/>
  <c r="AD3442" i="16"/>
  <c r="AD3443" i="16"/>
  <c r="AD3444" i="16"/>
  <c r="AD3445" i="16"/>
  <c r="AD3446" i="16"/>
  <c r="AD3447" i="16"/>
  <c r="AD3448" i="16"/>
  <c r="AD3449" i="16"/>
  <c r="AD3450" i="16"/>
  <c r="AD3451" i="16"/>
  <c r="AD3452" i="16"/>
  <c r="AD3453" i="16"/>
  <c r="AD3454" i="16"/>
  <c r="AD3455" i="16"/>
  <c r="AD3456" i="16"/>
  <c r="AD3457" i="16"/>
  <c r="AD3458" i="16"/>
  <c r="AD3459" i="16"/>
  <c r="AD3460" i="16"/>
  <c r="AD3461" i="16"/>
  <c r="AD3462" i="16"/>
  <c r="AD3463" i="16"/>
  <c r="AD3464" i="16"/>
  <c r="AD3465" i="16"/>
  <c r="AD3466" i="16"/>
  <c r="AD3467" i="16"/>
  <c r="AD3468" i="16"/>
  <c r="AD3469" i="16"/>
  <c r="AD3470" i="16"/>
  <c r="AD3471" i="16"/>
  <c r="AD3472" i="16"/>
  <c r="AD3473" i="16"/>
  <c r="AD3474" i="16"/>
  <c r="AD3475" i="16"/>
  <c r="AD3476" i="16"/>
  <c r="AD3477" i="16"/>
  <c r="AD3478" i="16"/>
  <c r="AD3479" i="16"/>
  <c r="AD3480" i="16"/>
  <c r="AD3481" i="16"/>
  <c r="AD3482" i="16"/>
  <c r="AD3483" i="16"/>
  <c r="AD3484" i="16"/>
  <c r="AD3485" i="16"/>
  <c r="AD3486" i="16"/>
  <c r="AD3487" i="16"/>
  <c r="AD3488" i="16"/>
  <c r="AD3489" i="16"/>
  <c r="AD3490" i="16"/>
  <c r="AD3491" i="16"/>
  <c r="AD3492" i="16"/>
  <c r="AD3493" i="16"/>
  <c r="AD3494" i="16"/>
  <c r="AD3495" i="16"/>
  <c r="AD3496" i="16"/>
  <c r="AD3497" i="16"/>
  <c r="AD3498" i="16"/>
  <c r="AD3499" i="16"/>
  <c r="AD3500" i="16"/>
  <c r="AD3501" i="16"/>
  <c r="AD3502"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3523" i="16"/>
  <c r="AD3524" i="16"/>
  <c r="AD3525" i="16"/>
  <c r="AD3526" i="16"/>
  <c r="AD3527" i="16"/>
  <c r="AD3528" i="16"/>
  <c r="AD3529" i="16"/>
  <c r="AD3530" i="16"/>
  <c r="AD3531" i="16"/>
  <c r="AD3532" i="16"/>
  <c r="AD3533" i="16"/>
  <c r="AD3534" i="16"/>
  <c r="AD3535" i="16"/>
  <c r="AD3536" i="16"/>
  <c r="AD3537" i="16"/>
  <c r="AD3538" i="16"/>
  <c r="AD3539" i="16"/>
  <c r="AD3540" i="16"/>
  <c r="AD3541" i="16"/>
  <c r="AD3542" i="16"/>
  <c r="AD3543" i="16"/>
  <c r="AD3544" i="16"/>
  <c r="AD3545" i="16"/>
  <c r="AD3546" i="16"/>
  <c r="AD3547" i="16"/>
  <c r="AD3548" i="16"/>
  <c r="AD3549" i="16"/>
  <c r="AD3550" i="16"/>
  <c r="AD3551" i="16"/>
  <c r="AD3552" i="16"/>
  <c r="AD3553" i="16"/>
  <c r="AD3554" i="16"/>
  <c r="AD3555" i="16"/>
  <c r="AD3556" i="16"/>
  <c r="AD3557" i="16"/>
  <c r="AD3558" i="16"/>
  <c r="AD3559" i="16"/>
  <c r="AD3560" i="16"/>
  <c r="AD3561" i="16"/>
  <c r="AD3562" i="16"/>
  <c r="AD3563" i="16"/>
  <c r="AD3564" i="16"/>
  <c r="AD3565" i="16"/>
  <c r="AD3566" i="16"/>
  <c r="AD3567" i="16"/>
  <c r="AD3568" i="16"/>
  <c r="AD3569" i="16"/>
  <c r="AD3570" i="16"/>
  <c r="AD3571" i="16"/>
  <c r="AD3572" i="16"/>
  <c r="AD3573" i="16"/>
  <c r="AD3574" i="16"/>
  <c r="AD3575" i="16"/>
  <c r="AD3576" i="16"/>
  <c r="AD3577" i="16"/>
  <c r="AD3578" i="16"/>
  <c r="AD3579" i="16"/>
  <c r="AD3580" i="16"/>
  <c r="AD3581" i="16"/>
  <c r="AD3582" i="16"/>
  <c r="AD3583" i="16"/>
  <c r="AD3584" i="16"/>
  <c r="AD3585" i="16"/>
  <c r="AD3586" i="16"/>
  <c r="AD3587" i="16"/>
  <c r="AD3588" i="16"/>
  <c r="AD3589" i="16"/>
  <c r="AD3590" i="16"/>
  <c r="AD3591" i="16"/>
  <c r="AD3592" i="16"/>
  <c r="AD3593" i="16"/>
  <c r="AD3594" i="16"/>
  <c r="AD3595" i="16"/>
  <c r="AD3596" i="16"/>
  <c r="AD3597" i="16"/>
  <c r="AD3598" i="16"/>
  <c r="AD3599" i="16"/>
  <c r="AD3600" i="16"/>
  <c r="AD3601" i="16"/>
  <c r="AD3602" i="16"/>
  <c r="AD3603" i="16"/>
  <c r="AD3604" i="16"/>
  <c r="AD3605" i="16"/>
  <c r="AD3606" i="16"/>
  <c r="AD3607" i="16"/>
  <c r="AD3608" i="16"/>
  <c r="AD3609" i="16"/>
  <c r="AD3610" i="16"/>
  <c r="AD3611" i="16"/>
  <c r="AD3612" i="16"/>
  <c r="AD3613" i="16"/>
  <c r="AD3614" i="16"/>
  <c r="AD3615" i="16"/>
  <c r="AD3616" i="16"/>
  <c r="AD3617" i="16"/>
  <c r="AD3618" i="16"/>
  <c r="AD3619" i="16"/>
  <c r="AD3620" i="16"/>
  <c r="AD3621" i="16"/>
  <c r="AD3622" i="16"/>
  <c r="AD3623" i="16"/>
  <c r="AD3624" i="16"/>
  <c r="AD3625" i="16"/>
  <c r="AD3626" i="16"/>
  <c r="AD3627" i="16"/>
  <c r="AD3628" i="16"/>
  <c r="AD3629" i="16"/>
  <c r="AD3630" i="16"/>
  <c r="AD3631" i="16"/>
  <c r="AD3632" i="16"/>
  <c r="AD3633" i="16"/>
  <c r="AD3634" i="16"/>
  <c r="AD3635" i="16"/>
  <c r="AD3636" i="16"/>
  <c r="AD3637" i="16"/>
  <c r="AD3638" i="16"/>
  <c r="AD3639" i="16"/>
  <c r="AD3640" i="16"/>
  <c r="AD3641" i="16"/>
  <c r="AD3642" i="16"/>
  <c r="AD3643" i="16"/>
  <c r="AD3644" i="16"/>
  <c r="AD3645" i="16"/>
  <c r="AD3646" i="16"/>
  <c r="AD3647" i="16"/>
  <c r="AD3648" i="16"/>
  <c r="AD3649" i="16"/>
  <c r="AD3650" i="16"/>
  <c r="AD3651" i="16"/>
  <c r="AD3652" i="16"/>
  <c r="AD3653" i="16"/>
  <c r="AD3654" i="16"/>
  <c r="AD3655" i="16"/>
  <c r="AD3656" i="16"/>
  <c r="AD3657" i="16"/>
  <c r="AD3658" i="16"/>
  <c r="AD3659" i="16"/>
  <c r="AD3660" i="16"/>
  <c r="AD3661" i="16"/>
  <c r="AD3662" i="16"/>
  <c r="AD3663" i="16"/>
  <c r="AD3664" i="16"/>
  <c r="AD3665" i="16"/>
  <c r="AD3666" i="16"/>
  <c r="AD3667" i="16"/>
  <c r="AD3668" i="16"/>
  <c r="AD3669" i="16"/>
  <c r="AD3670" i="16"/>
  <c r="AD3671" i="16"/>
  <c r="AD3672" i="16"/>
  <c r="AD3673" i="16"/>
  <c r="AD3674" i="16"/>
  <c r="AD3675" i="16"/>
  <c r="AD3676" i="16"/>
  <c r="AD3677" i="16"/>
  <c r="AD3678" i="16"/>
  <c r="AD3679" i="16"/>
  <c r="AD3680" i="16"/>
  <c r="AD3681" i="16"/>
  <c r="AD3682" i="16"/>
  <c r="AD3683" i="16"/>
  <c r="AD3684" i="16"/>
  <c r="AD3685" i="16"/>
  <c r="AD3686" i="16"/>
  <c r="AD3687" i="16"/>
  <c r="AD3688" i="16"/>
  <c r="AD3689" i="16"/>
  <c r="AD3690" i="16"/>
  <c r="AD3691" i="16"/>
  <c r="AD3692" i="16"/>
  <c r="AD3693" i="16"/>
  <c r="AD3694" i="16"/>
  <c r="AD3695" i="16"/>
  <c r="AD3696" i="16"/>
  <c r="AD3697" i="16"/>
  <c r="AD3698" i="16"/>
  <c r="AD3699" i="16"/>
  <c r="AD3700" i="16"/>
  <c r="AD3701" i="16"/>
  <c r="AD3702" i="16"/>
  <c r="AD3703" i="16"/>
  <c r="AD3704" i="16"/>
  <c r="AD3705" i="16"/>
  <c r="AD3706" i="16"/>
  <c r="AD3707" i="16"/>
  <c r="AD3708" i="16"/>
  <c r="AD3709" i="16"/>
  <c r="AD3710" i="16"/>
  <c r="AD3711" i="16"/>
  <c r="AD3712" i="16"/>
  <c r="AD3713" i="16"/>
  <c r="AD3714" i="16"/>
  <c r="AD3715" i="16"/>
  <c r="AD3716" i="16"/>
  <c r="AD3717" i="16"/>
  <c r="AD3718" i="16"/>
  <c r="AD3719" i="16"/>
  <c r="AD3720" i="16"/>
  <c r="AD3721" i="16"/>
  <c r="AD3722" i="16"/>
  <c r="AD3723" i="16"/>
  <c r="AD3724" i="16"/>
  <c r="AD3725" i="16"/>
  <c r="AD3726" i="16"/>
  <c r="AD3727" i="16"/>
  <c r="AD3728" i="16"/>
  <c r="AD3729" i="16"/>
  <c r="AD3730" i="16"/>
  <c r="AD3731" i="16"/>
  <c r="AD3732" i="16"/>
  <c r="AD3733" i="16"/>
  <c r="AD3734" i="16"/>
  <c r="AD3735" i="16"/>
  <c r="AD3736" i="16"/>
  <c r="AD3737" i="16"/>
  <c r="AD3738" i="16"/>
  <c r="AD3739" i="16"/>
  <c r="AD3740" i="16"/>
  <c r="AD3741" i="16"/>
  <c r="AD3742" i="16"/>
  <c r="AD3743" i="16"/>
  <c r="AD3744" i="16"/>
  <c r="AD3745" i="16"/>
  <c r="AD3746" i="16"/>
  <c r="AD3747" i="16"/>
  <c r="AD3748" i="16"/>
  <c r="AD3749" i="16"/>
  <c r="AD3750" i="16"/>
  <c r="AD3751" i="16"/>
  <c r="AD3752" i="16"/>
  <c r="AD3753" i="16"/>
  <c r="AD3754" i="16"/>
  <c r="AD3755" i="16"/>
  <c r="AD3756" i="16"/>
  <c r="AD3757" i="16"/>
  <c r="AD3758" i="16"/>
  <c r="AD3759" i="16"/>
  <c r="AD3760" i="16"/>
  <c r="AD3761" i="16"/>
  <c r="AD3762" i="16"/>
  <c r="AD3763" i="16"/>
  <c r="AD3764" i="16"/>
  <c r="AD3765" i="16"/>
  <c r="AD3766" i="16"/>
  <c r="AD3767" i="16"/>
  <c r="AD3768" i="16"/>
  <c r="AD3769" i="16"/>
  <c r="AD3770" i="16"/>
  <c r="AD3771" i="16"/>
  <c r="AD3772" i="16"/>
  <c r="AD3773" i="16"/>
  <c r="AD3774" i="16"/>
  <c r="AD3775" i="16"/>
  <c r="AD3776" i="16"/>
  <c r="AD3777" i="16"/>
  <c r="AD3778" i="16"/>
  <c r="AD3779" i="16"/>
  <c r="AD3780" i="16"/>
  <c r="AD3781" i="16"/>
  <c r="AD3782" i="16"/>
  <c r="AD3783" i="16"/>
  <c r="AD3784" i="16"/>
  <c r="AD3785" i="16"/>
  <c r="AD3786" i="16"/>
  <c r="AD3787" i="16"/>
  <c r="AD3788" i="16"/>
  <c r="AD3789" i="16"/>
  <c r="AD3790" i="16"/>
  <c r="AD3791" i="16"/>
  <c r="AD3792" i="16"/>
  <c r="AD3793" i="16"/>
  <c r="AD3794" i="16"/>
  <c r="AD3795" i="16"/>
  <c r="AD3796" i="16"/>
  <c r="AD3797" i="16"/>
  <c r="AD3798" i="16"/>
  <c r="AD3799" i="16"/>
  <c r="AD3800" i="16"/>
  <c r="AD3801" i="16"/>
  <c r="AD3802" i="16"/>
  <c r="AD3803" i="16"/>
  <c r="AD3804" i="16"/>
  <c r="AD3805" i="16"/>
  <c r="AD3806" i="16"/>
  <c r="AD3807" i="16"/>
  <c r="AD3808" i="16"/>
  <c r="AD3809" i="16"/>
  <c r="AD3810" i="16"/>
  <c r="AD3811" i="16"/>
  <c r="AD3812" i="16"/>
  <c r="AD3813" i="16"/>
  <c r="AD3814" i="16"/>
  <c r="AD3815" i="16"/>
  <c r="AD3816" i="16"/>
  <c r="AD3817" i="16"/>
  <c r="AD3818" i="16"/>
  <c r="AD3819" i="16"/>
  <c r="AD3820" i="16"/>
  <c r="AD3821" i="16"/>
  <c r="AD3822" i="16"/>
  <c r="AD3823" i="16"/>
  <c r="AD3824" i="16"/>
  <c r="AD3825" i="16"/>
  <c r="AD3826" i="16"/>
  <c r="AD3827" i="16"/>
  <c r="AD3828" i="16"/>
  <c r="AD3829" i="16"/>
  <c r="AD3830" i="16"/>
  <c r="AD3831" i="16"/>
  <c r="AD3832" i="16"/>
  <c r="AD3833" i="16"/>
  <c r="AD3834" i="16"/>
  <c r="AD3835" i="16"/>
  <c r="AD3836" i="16"/>
  <c r="AD3837" i="16"/>
  <c r="AD3838" i="16"/>
  <c r="AD3839" i="16"/>
  <c r="AD3840" i="16"/>
  <c r="AD3841" i="16"/>
  <c r="AD3842" i="16"/>
  <c r="AD3843" i="16"/>
  <c r="AD3844" i="16"/>
  <c r="AD3845" i="16"/>
  <c r="AD3846" i="16"/>
  <c r="AD3847" i="16"/>
  <c r="AD3848" i="16"/>
  <c r="AD3849" i="16"/>
  <c r="AD3850" i="16"/>
  <c r="AD3851" i="16"/>
  <c r="AD3852" i="16"/>
  <c r="AD3853" i="16"/>
  <c r="AD3854" i="16"/>
  <c r="AD3855" i="16"/>
  <c r="AD3856" i="16"/>
  <c r="AD3857" i="16"/>
  <c r="AD3858" i="16"/>
  <c r="AD3859" i="16"/>
  <c r="AD3860" i="16"/>
  <c r="AD3861" i="16"/>
  <c r="AD3862" i="16"/>
  <c r="AD3863" i="16"/>
  <c r="AD3864" i="16"/>
  <c r="AD3865" i="16"/>
  <c r="AD3866" i="16"/>
  <c r="AD3867" i="16"/>
  <c r="AD3868" i="16"/>
  <c r="AD3869" i="16"/>
  <c r="AD3870" i="16"/>
  <c r="AD3871" i="16"/>
  <c r="AD3872" i="16"/>
  <c r="AD3873" i="16"/>
  <c r="AD3874" i="16"/>
  <c r="AD3875" i="16"/>
  <c r="AD3876" i="16"/>
  <c r="AD3877" i="16"/>
  <c r="AD3878" i="16"/>
  <c r="AD3879" i="16"/>
  <c r="AD3880" i="16"/>
  <c r="AD3881" i="16"/>
  <c r="AD3882" i="16"/>
  <c r="AD3883" i="16"/>
  <c r="AD3884" i="16"/>
  <c r="AD3885" i="16"/>
  <c r="AD3886" i="16"/>
  <c r="AD3887" i="16"/>
  <c r="AD3888" i="16"/>
  <c r="AD3889" i="16"/>
  <c r="AD3890" i="16"/>
  <c r="AD3891" i="16"/>
  <c r="AD3892" i="16"/>
  <c r="AD3893" i="16"/>
  <c r="AD3894" i="16"/>
  <c r="AD3895" i="16"/>
  <c r="AD3896" i="16"/>
  <c r="AD3897" i="16"/>
  <c r="AD3898" i="16"/>
  <c r="AD3899" i="16"/>
  <c r="AD3900" i="16"/>
  <c r="AD3901" i="16"/>
  <c r="AD3902" i="16"/>
  <c r="AD3903" i="16"/>
  <c r="AD3904" i="16"/>
  <c r="AD3905" i="16"/>
  <c r="AD3906" i="16"/>
  <c r="AD3907" i="16"/>
  <c r="AD3908" i="16"/>
  <c r="AD3909" i="16"/>
  <c r="AD3910" i="16"/>
  <c r="AD3911" i="16"/>
  <c r="AD3912" i="16"/>
  <c r="AD3913" i="16"/>
  <c r="AD3914" i="16"/>
  <c r="AD3915" i="16"/>
  <c r="AD3916" i="16"/>
  <c r="AD3917" i="16"/>
  <c r="AD3918" i="16"/>
  <c r="AD3919" i="16"/>
  <c r="AD3920" i="16"/>
  <c r="AD3921" i="16"/>
  <c r="AD3922" i="16"/>
  <c r="AD3923" i="16"/>
  <c r="AD3924" i="16"/>
  <c r="AD3925" i="16"/>
  <c r="AD3926" i="16"/>
  <c r="AD3927" i="16"/>
  <c r="AD3928" i="16"/>
  <c r="AD3929" i="16"/>
  <c r="AD3930" i="16"/>
  <c r="AD3931" i="16"/>
  <c r="AD3932" i="16"/>
  <c r="AD3933" i="16"/>
  <c r="AD3934" i="16"/>
  <c r="AD3935" i="16"/>
  <c r="AD3936" i="16"/>
  <c r="AD3937" i="16"/>
  <c r="AD3938" i="16"/>
  <c r="AD3939" i="16"/>
  <c r="AD3940" i="16"/>
  <c r="AD3941" i="16"/>
  <c r="AD3942" i="16"/>
  <c r="AD3943" i="16"/>
  <c r="AD3944" i="16"/>
  <c r="AD3945" i="16"/>
  <c r="AD3946" i="16"/>
  <c r="AD3947" i="16"/>
  <c r="AD3948" i="16"/>
  <c r="AD3949" i="16"/>
  <c r="AD3950" i="16"/>
  <c r="AD3951" i="16"/>
  <c r="AD3952" i="16"/>
  <c r="AD3953" i="16"/>
  <c r="AD3954" i="16"/>
  <c r="AD3955" i="16"/>
  <c r="AD3956" i="16"/>
  <c r="AD3957" i="16"/>
  <c r="AD3958" i="16"/>
  <c r="AD3959" i="16"/>
  <c r="AD3960" i="16"/>
  <c r="AD3961" i="16"/>
  <c r="AD3962" i="16"/>
  <c r="AD3963" i="16"/>
  <c r="AD3964" i="16"/>
  <c r="AD3965" i="16"/>
  <c r="AD3966" i="16"/>
  <c r="AD3967" i="16"/>
  <c r="AD3968" i="16"/>
  <c r="AD3969" i="16"/>
  <c r="AD3970" i="16"/>
  <c r="AD3971" i="16"/>
  <c r="AD3972" i="16"/>
  <c r="AD3973" i="16"/>
  <c r="AD3974" i="16"/>
  <c r="AD3975" i="16"/>
  <c r="AD3976" i="16"/>
  <c r="AD3977" i="16"/>
  <c r="AD3978" i="16"/>
  <c r="AD3979" i="16"/>
  <c r="AD3980" i="16"/>
  <c r="AD3981" i="16"/>
  <c r="AD3982" i="16"/>
  <c r="AD3983" i="16"/>
  <c r="AD3984" i="16"/>
  <c r="AD3985" i="16"/>
  <c r="AD3986" i="16"/>
  <c r="AD3987" i="16"/>
  <c r="AD3988" i="16"/>
  <c r="AD3989" i="16"/>
  <c r="AD3990" i="16"/>
  <c r="AD3991" i="16"/>
  <c r="AD3992" i="16"/>
  <c r="AD3993" i="16"/>
  <c r="AD3994" i="16"/>
  <c r="AD3995" i="16"/>
  <c r="AD3996" i="16"/>
  <c r="AD3997" i="16"/>
  <c r="AD3998" i="16"/>
  <c r="AD3999" i="16"/>
  <c r="AD4000" i="16"/>
  <c r="AD4001" i="16"/>
  <c r="AD4002" i="16"/>
  <c r="AD4003" i="16"/>
  <c r="AD4004" i="16"/>
  <c r="AD4005" i="16"/>
  <c r="AD4006" i="16"/>
  <c r="AD4007" i="16"/>
  <c r="AD4008" i="16"/>
  <c r="AD4009" i="16"/>
  <c r="AD4010" i="16"/>
  <c r="AD4011" i="16"/>
  <c r="AD4012" i="16"/>
  <c r="AD4013" i="16"/>
  <c r="AD4014" i="16"/>
  <c r="AD4015" i="16"/>
  <c r="AD4016" i="16"/>
  <c r="AD4017" i="16"/>
  <c r="AD4018" i="16"/>
  <c r="AD4019" i="16"/>
  <c r="AD4020" i="16"/>
  <c r="AD4021" i="16"/>
  <c r="AD4022" i="16"/>
  <c r="AD4023" i="16"/>
  <c r="AD4024" i="16"/>
  <c r="AD4025" i="16"/>
  <c r="AD4026" i="16"/>
  <c r="AD4027" i="16"/>
  <c r="AD4028" i="16"/>
  <c r="AD4029" i="16"/>
  <c r="AD4030" i="16"/>
  <c r="AD4031" i="16"/>
  <c r="AD4032" i="16"/>
  <c r="AD4033" i="16"/>
  <c r="AD4034" i="16"/>
  <c r="AD4035" i="16"/>
  <c r="AD4036" i="16"/>
  <c r="AD4037" i="16"/>
  <c r="AD4038" i="16"/>
  <c r="AD4039" i="16"/>
  <c r="AD4040" i="16"/>
  <c r="AD4041" i="16"/>
  <c r="AD4042" i="16"/>
  <c r="AD4043" i="16"/>
  <c r="AD4044" i="16"/>
  <c r="AD4045" i="16"/>
  <c r="AD4046" i="16"/>
  <c r="AD4047" i="16"/>
  <c r="AD4048" i="16"/>
  <c r="AD4049" i="16"/>
  <c r="AD4050" i="16"/>
  <c r="AD4051" i="16"/>
  <c r="AD4052" i="16"/>
  <c r="AD4053" i="16"/>
  <c r="AD4054" i="16"/>
  <c r="AD4055" i="16"/>
  <c r="AD4056" i="16"/>
  <c r="AD4057" i="16"/>
  <c r="AD4058" i="16"/>
  <c r="AD4059" i="16"/>
  <c r="AD4060" i="16"/>
  <c r="AD4061" i="16"/>
  <c r="AD4062" i="16"/>
  <c r="AD4063" i="16"/>
  <c r="AD4064" i="16"/>
  <c r="AD4065" i="16"/>
  <c r="AD4066" i="16"/>
  <c r="AD4067" i="16"/>
  <c r="AD4068" i="16"/>
  <c r="AD4069" i="16"/>
  <c r="AD4070" i="16"/>
  <c r="AD4071" i="16"/>
  <c r="AD4072" i="16"/>
  <c r="AD4073" i="16"/>
  <c r="AD4074" i="16"/>
  <c r="AD4075" i="16"/>
  <c r="AD4076" i="16"/>
  <c r="AD4077" i="16"/>
  <c r="AD4078" i="16"/>
  <c r="AD4079" i="16"/>
  <c r="AD4080" i="16"/>
  <c r="AD4081" i="16"/>
  <c r="AD4082" i="16"/>
  <c r="AD4083" i="16"/>
  <c r="AD4084" i="16"/>
  <c r="AD4085" i="16"/>
  <c r="AD4086" i="16"/>
  <c r="AD4087" i="16"/>
  <c r="AD4088" i="16"/>
  <c r="AD4089" i="16"/>
  <c r="AD4090" i="16"/>
  <c r="AD4091" i="16"/>
  <c r="AD4092" i="16"/>
  <c r="AD4093" i="16"/>
  <c r="AD4094" i="16"/>
  <c r="AD4095" i="16"/>
  <c r="AD4096" i="16"/>
  <c r="AD4097" i="16"/>
  <c r="AD4098" i="16"/>
  <c r="AD4099" i="16"/>
  <c r="AD4100" i="16"/>
  <c r="AD4101" i="16"/>
  <c r="AD4102" i="16"/>
  <c r="AD4103" i="16"/>
  <c r="AD4104" i="16"/>
  <c r="AD4105" i="16"/>
  <c r="AD4106" i="16"/>
  <c r="AD4107" i="16"/>
  <c r="AD4108" i="16"/>
  <c r="AD4109" i="16"/>
  <c r="AD4110" i="16"/>
  <c r="AD4111" i="16"/>
  <c r="AD4112" i="16"/>
  <c r="AD4113" i="16"/>
  <c r="AD4114" i="16"/>
  <c r="AD4115" i="16"/>
  <c r="AD4116" i="16"/>
  <c r="AD4117" i="16"/>
  <c r="AD4118" i="16"/>
  <c r="AD4119" i="16"/>
  <c r="AD4120" i="16"/>
  <c r="AD4121" i="16"/>
  <c r="AD4122" i="16"/>
  <c r="AD4123" i="16"/>
  <c r="AD4124" i="16"/>
  <c r="AD4125" i="16"/>
  <c r="AD4126" i="16"/>
  <c r="AD4127" i="16"/>
  <c r="AD4128" i="16"/>
  <c r="AD4129" i="16"/>
  <c r="AD4130" i="16"/>
  <c r="AD4131" i="16"/>
  <c r="AD4132" i="16"/>
  <c r="AD4133" i="16"/>
  <c r="AD4134" i="16"/>
  <c r="AD4135" i="16"/>
  <c r="AD4136" i="16"/>
  <c r="AD4137" i="16"/>
  <c r="AD4138" i="16"/>
  <c r="AD4139" i="16"/>
  <c r="AD4140" i="16"/>
  <c r="AD4141" i="16"/>
  <c r="AD4142" i="16"/>
  <c r="AD4143" i="16"/>
  <c r="AD4144" i="16"/>
  <c r="AD4145" i="16"/>
  <c r="AD4146" i="16"/>
  <c r="AD4147" i="16"/>
  <c r="AD4148" i="16"/>
  <c r="AD4149" i="16"/>
  <c r="AD4150" i="16"/>
  <c r="AD4151" i="16"/>
  <c r="AD4152" i="16"/>
  <c r="AD4153" i="16"/>
  <c r="AD4154" i="16"/>
  <c r="AD4155" i="16"/>
  <c r="AD4156" i="16"/>
  <c r="AD4157" i="16"/>
  <c r="AD4158" i="16"/>
  <c r="AD4159" i="16"/>
  <c r="AD4160" i="16"/>
  <c r="AD4161" i="16"/>
  <c r="AD4162" i="16"/>
  <c r="AD4163" i="16"/>
  <c r="AD4164" i="16"/>
  <c r="AD4165" i="16"/>
  <c r="AD4166" i="16"/>
  <c r="AD4167" i="16"/>
  <c r="AD4168" i="16"/>
  <c r="AD4169" i="16"/>
  <c r="AD4170" i="16"/>
  <c r="AD4171" i="16"/>
  <c r="AD4172" i="16"/>
  <c r="AD4173" i="16"/>
  <c r="AD4174" i="16"/>
  <c r="AD4175" i="16"/>
  <c r="AD4176" i="16"/>
  <c r="AD4177" i="16"/>
  <c r="AD4178" i="16"/>
  <c r="AD4179" i="16"/>
  <c r="AD4180" i="16"/>
  <c r="AD4181" i="16"/>
  <c r="AD4182" i="16"/>
  <c r="AD4183" i="16"/>
  <c r="AD4184" i="16"/>
  <c r="AD4185" i="16"/>
  <c r="AD4186" i="16"/>
  <c r="AD4187" i="16"/>
  <c r="AD4188" i="16"/>
  <c r="AD4189" i="16"/>
  <c r="AD4190" i="16"/>
  <c r="AD4191" i="16"/>
  <c r="AD4192" i="16"/>
  <c r="AD4193" i="16"/>
  <c r="AD4194" i="16"/>
  <c r="AD4195" i="16"/>
  <c r="AD4196" i="16"/>
  <c r="AD4197" i="16"/>
  <c r="AD4198" i="16"/>
  <c r="AD4199" i="16"/>
  <c r="AD4200" i="16"/>
  <c r="AD4201" i="16"/>
  <c r="AD4202" i="16"/>
  <c r="AD4203" i="16"/>
  <c r="AD4204" i="16"/>
  <c r="AD4205" i="16"/>
  <c r="AD4206" i="16"/>
  <c r="AD4207" i="16"/>
  <c r="AD4208" i="16"/>
  <c r="AD4209" i="16"/>
  <c r="AD4210" i="16"/>
  <c r="AD4211" i="16"/>
  <c r="AD4212" i="16"/>
  <c r="AD4213" i="16"/>
  <c r="AD4214" i="16"/>
  <c r="AD4215" i="16"/>
  <c r="AD4216" i="16"/>
  <c r="AD4217" i="16"/>
  <c r="AD4218" i="16"/>
  <c r="AD4219" i="16"/>
  <c r="AD4220" i="16"/>
  <c r="AD4221" i="16"/>
  <c r="AD4222" i="16"/>
  <c r="AD4223" i="16"/>
  <c r="AD4224" i="16"/>
  <c r="AD4225" i="16"/>
  <c r="AD4226" i="16"/>
  <c r="AD4227" i="16"/>
  <c r="AD4228" i="16"/>
  <c r="AD4229" i="16"/>
  <c r="AD4230" i="16"/>
  <c r="AD4231" i="16"/>
  <c r="AD4232" i="16"/>
  <c r="AD4233" i="16"/>
  <c r="AD4234" i="16"/>
  <c r="AD4235" i="16"/>
  <c r="AD4236" i="16"/>
  <c r="AD4237" i="16"/>
  <c r="AD4238" i="16"/>
  <c r="AD4239" i="16"/>
  <c r="AD4240" i="16"/>
  <c r="AD4241" i="16"/>
  <c r="AD4242" i="16"/>
  <c r="AD4243" i="16"/>
  <c r="AD4244" i="16"/>
  <c r="AD4245" i="16"/>
  <c r="AD4246" i="16"/>
  <c r="AD4247" i="16"/>
  <c r="AD4248" i="16"/>
  <c r="AD4249" i="16"/>
  <c r="AD4250" i="16"/>
  <c r="AD4251" i="16"/>
  <c r="AD4252" i="16"/>
  <c r="AD4253" i="16"/>
  <c r="AD4254" i="16"/>
  <c r="AD4255" i="16"/>
  <c r="AD4256" i="16"/>
  <c r="AD4257" i="16"/>
  <c r="AD4258" i="16"/>
  <c r="AD4259" i="16"/>
  <c r="AD4260" i="16"/>
  <c r="AD4261" i="16"/>
  <c r="AD4262" i="16"/>
  <c r="AD4263" i="16"/>
  <c r="AD4264" i="16"/>
  <c r="AD4265" i="16"/>
  <c r="AD4266" i="16"/>
  <c r="AD4267" i="16"/>
  <c r="AD4268" i="16"/>
  <c r="AD4269" i="16"/>
  <c r="AD4270" i="16"/>
  <c r="AD4271" i="16"/>
  <c r="AD4272" i="16"/>
  <c r="AD4273" i="16"/>
  <c r="AD4274" i="16"/>
  <c r="AD4275" i="16"/>
  <c r="AD4276" i="16"/>
  <c r="AD4277" i="16"/>
  <c r="AD4278" i="16"/>
  <c r="AD4279" i="16"/>
  <c r="AD4280" i="16"/>
  <c r="AD4281" i="16"/>
  <c r="AD4282" i="16"/>
  <c r="AD4283" i="16"/>
  <c r="AD4284" i="16"/>
  <c r="AD4285" i="16"/>
  <c r="AD4286" i="16"/>
  <c r="AD4287" i="16"/>
  <c r="AD4288" i="16"/>
  <c r="AD4289" i="16"/>
  <c r="AD4290" i="16"/>
  <c r="AD4291" i="16"/>
  <c r="AD4292" i="16"/>
  <c r="AD4293" i="16"/>
  <c r="AD4294" i="16"/>
  <c r="AD4295" i="16"/>
  <c r="AD4296" i="16"/>
  <c r="AD4297" i="16"/>
  <c r="AD4298" i="16"/>
  <c r="AD4299" i="16"/>
  <c r="AD4300" i="16"/>
  <c r="AD4301" i="16"/>
  <c r="AD4302" i="16"/>
  <c r="AD4303" i="16"/>
  <c r="AD4304" i="16"/>
  <c r="AD4305" i="16"/>
  <c r="AD4306" i="16"/>
  <c r="AD4307" i="16"/>
  <c r="AD4308" i="16"/>
  <c r="AD4309" i="16"/>
  <c r="AD4310" i="16"/>
  <c r="AD4311" i="16"/>
  <c r="AD4312" i="16"/>
  <c r="AD4313" i="16"/>
  <c r="AD4314" i="16"/>
  <c r="AD4315" i="16"/>
  <c r="AD4316" i="16"/>
  <c r="AD4317" i="16"/>
  <c r="AD4318" i="16"/>
  <c r="AD4319" i="16"/>
  <c r="AD4320" i="16"/>
  <c r="AD4321" i="16"/>
  <c r="AD4322" i="16"/>
  <c r="AD4323" i="16"/>
  <c r="AD4324" i="16"/>
  <c r="AD4325" i="16"/>
  <c r="AD4326" i="16"/>
  <c r="AD4327" i="16"/>
  <c r="AD4328" i="16"/>
  <c r="AD4329" i="16"/>
  <c r="AD4330" i="16"/>
  <c r="AD4331" i="16"/>
  <c r="AD4332" i="16"/>
  <c r="AD4333" i="16"/>
  <c r="AD4334" i="16"/>
  <c r="AD4335" i="16"/>
  <c r="AD4336" i="16"/>
  <c r="AD4337" i="16"/>
  <c r="AD4338" i="16"/>
  <c r="AD4339" i="16"/>
  <c r="AD4340" i="16"/>
  <c r="AD4341" i="16"/>
  <c r="AD4342" i="16"/>
  <c r="AD4343" i="16"/>
  <c r="AD4344" i="16"/>
  <c r="AD4345" i="16"/>
  <c r="AD4346" i="16"/>
  <c r="AD4347" i="16"/>
  <c r="AD4348" i="16"/>
  <c r="AD4349" i="16"/>
  <c r="AD4350" i="16"/>
  <c r="AD4351" i="16"/>
  <c r="AD4352" i="16"/>
  <c r="AD4353" i="16"/>
  <c r="AD4354" i="16"/>
  <c r="AD4355" i="16"/>
  <c r="AD4356" i="16"/>
  <c r="AD4357" i="16"/>
  <c r="AD4358" i="16"/>
  <c r="AD4359" i="16"/>
  <c r="AD4360" i="16"/>
  <c r="AD4361" i="16"/>
  <c r="AD4362" i="16"/>
  <c r="AD4363" i="16"/>
  <c r="AD4364" i="16"/>
  <c r="AD4365" i="16"/>
  <c r="AD4366" i="16"/>
  <c r="AD4367" i="16"/>
  <c r="AD4368" i="16"/>
  <c r="AD4369" i="16"/>
  <c r="AD4370" i="16"/>
  <c r="AD4371" i="16"/>
  <c r="AD4372" i="16"/>
  <c r="AD4373" i="16"/>
  <c r="AD4374" i="16"/>
  <c r="AD4375" i="16"/>
  <c r="AD4376" i="16"/>
  <c r="AD4377" i="16"/>
  <c r="AD4378" i="16"/>
  <c r="AD4379" i="16"/>
  <c r="AD4380" i="16"/>
  <c r="AD4381" i="16"/>
  <c r="AD4382" i="16"/>
  <c r="AD4383" i="16"/>
  <c r="AD4384" i="16"/>
  <c r="AD4385" i="16"/>
  <c r="AD4386" i="16"/>
  <c r="AD4387" i="16"/>
  <c r="AD4388" i="16"/>
  <c r="AD4389" i="16"/>
  <c r="AD4390" i="16"/>
  <c r="AD4391" i="16"/>
  <c r="AD4392" i="16"/>
  <c r="AD4393" i="16"/>
  <c r="AD4394" i="16"/>
  <c r="AD4395" i="16"/>
  <c r="AD4396" i="16"/>
  <c r="AD4397" i="16"/>
  <c r="AD4398" i="16"/>
  <c r="AD4399" i="16"/>
  <c r="AD4400" i="16"/>
  <c r="AD4401" i="16"/>
  <c r="AD4402" i="16"/>
  <c r="AD4403" i="16"/>
  <c r="AD4404" i="16"/>
  <c r="AD4405" i="16"/>
  <c r="AD4406" i="16"/>
  <c r="AD4407" i="16"/>
  <c r="AD4408" i="16"/>
  <c r="AD4409" i="16"/>
  <c r="AD4410" i="16"/>
  <c r="AD4411" i="16"/>
  <c r="AD4412" i="16"/>
  <c r="AD4413" i="16"/>
  <c r="AD4414" i="16"/>
  <c r="AD4415" i="16"/>
  <c r="AD4416" i="16"/>
  <c r="AD4417" i="16"/>
  <c r="AD4418" i="16"/>
  <c r="AD4419" i="16"/>
  <c r="AD4420" i="16"/>
  <c r="AD4421" i="16"/>
  <c r="AD4422" i="16"/>
  <c r="AD4423" i="16"/>
  <c r="AD4424" i="16"/>
  <c r="AD4425" i="16"/>
  <c r="AD4426" i="16"/>
  <c r="AD4427" i="16"/>
  <c r="AD4428" i="16"/>
  <c r="AD4429" i="16"/>
  <c r="AD4430" i="16"/>
  <c r="AD4431" i="16"/>
  <c r="AD4432" i="16"/>
  <c r="AD4433" i="16"/>
  <c r="AD4434" i="16"/>
  <c r="AD4435" i="16"/>
  <c r="AD4436" i="16"/>
  <c r="AD4437" i="16"/>
  <c r="AD4438" i="16"/>
  <c r="AD4439" i="16"/>
  <c r="AD4440" i="16"/>
  <c r="AD4441" i="16"/>
  <c r="AD4442" i="16"/>
  <c r="AD4443" i="16"/>
  <c r="AD4444" i="16"/>
  <c r="AD4445" i="16"/>
  <c r="AD4446" i="16"/>
  <c r="AD4447" i="16"/>
  <c r="AD4448" i="16"/>
  <c r="AD4449" i="16"/>
  <c r="AD4450" i="16"/>
  <c r="AD4451" i="16"/>
  <c r="AD4452" i="16"/>
  <c r="AD4453" i="16"/>
  <c r="AD4454" i="16"/>
  <c r="AD4455" i="16"/>
  <c r="AD4456" i="16"/>
  <c r="AD4457" i="16"/>
  <c r="AD4458" i="16"/>
  <c r="AD4459" i="16"/>
  <c r="AD4460" i="16"/>
  <c r="AD4461" i="16"/>
  <c r="AD4462" i="16"/>
  <c r="AD4463" i="16"/>
  <c r="AD4464" i="16"/>
  <c r="AD4465" i="16"/>
  <c r="AD4466" i="16"/>
  <c r="AD4467" i="16"/>
  <c r="AD4468" i="16"/>
  <c r="AD4469" i="16"/>
  <c r="AD4470" i="16"/>
  <c r="AD4471" i="16"/>
  <c r="AD4472" i="16"/>
  <c r="AD4473" i="16"/>
  <c r="AD4474" i="16"/>
  <c r="AD4475" i="16"/>
  <c r="AD4476" i="16"/>
  <c r="AD4477" i="16"/>
  <c r="AD4478" i="16"/>
  <c r="AD4479" i="16"/>
  <c r="AD4480" i="16"/>
  <c r="AD4481" i="16"/>
  <c r="AD4482" i="16"/>
  <c r="AD4483" i="16"/>
  <c r="AD4484" i="16"/>
  <c r="AD4485" i="16"/>
  <c r="AD4486" i="16"/>
  <c r="AD4487" i="16"/>
  <c r="AD4488" i="16"/>
  <c r="AD4489" i="16"/>
  <c r="AD4490" i="16"/>
  <c r="AD4491" i="16"/>
  <c r="AD4492" i="16"/>
  <c r="AD4493" i="16"/>
  <c r="AD4494" i="16"/>
  <c r="AD4495" i="16"/>
  <c r="AD4496" i="16"/>
  <c r="AD4497" i="16"/>
  <c r="AD4498" i="16"/>
  <c r="AD4499" i="16"/>
  <c r="AD4500" i="16"/>
  <c r="AD4501" i="16"/>
  <c r="AD4502" i="16"/>
  <c r="AD4503" i="16"/>
  <c r="AD4504" i="16"/>
  <c r="AD4505" i="16"/>
  <c r="AD4506" i="16"/>
  <c r="AD4507" i="16"/>
  <c r="AD4508" i="16"/>
  <c r="AD4509" i="16"/>
  <c r="AD4510" i="16"/>
  <c r="AD4511" i="16"/>
  <c r="AD4512" i="16"/>
  <c r="AD4513" i="16"/>
  <c r="AD4514" i="16"/>
  <c r="AD4515" i="16"/>
  <c r="AD4516" i="16"/>
  <c r="AD4517" i="16"/>
  <c r="AD4518" i="16"/>
  <c r="AD4519" i="16"/>
  <c r="AD4520" i="16"/>
  <c r="AD4521" i="16"/>
  <c r="AD4522" i="16"/>
  <c r="AD4523" i="16"/>
  <c r="AD4524" i="16"/>
  <c r="AD4525" i="16"/>
  <c r="AD4526" i="16"/>
  <c r="AD4527" i="16"/>
  <c r="AD4528" i="16"/>
  <c r="AD4529" i="16"/>
  <c r="AD4530" i="16"/>
  <c r="AD4531" i="16"/>
  <c r="AD4532" i="16"/>
  <c r="AD4533" i="16"/>
  <c r="AD4534" i="16"/>
  <c r="AD4535" i="16"/>
  <c r="AD4536" i="16"/>
  <c r="AD4537" i="16"/>
  <c r="AD4538" i="16"/>
  <c r="AD4539" i="16"/>
  <c r="AD4540" i="16"/>
  <c r="AD4541" i="16"/>
  <c r="AD4542" i="16"/>
  <c r="AD4543" i="16"/>
  <c r="AD4544" i="16"/>
  <c r="AD4545" i="16"/>
  <c r="AD4546" i="16"/>
  <c r="AD4547" i="16"/>
  <c r="AD4548" i="16"/>
  <c r="AD4549" i="16"/>
  <c r="AD4550" i="16"/>
  <c r="AD4551" i="16"/>
  <c r="AD4552" i="16"/>
  <c r="AD4553" i="16"/>
  <c r="AD4554" i="16"/>
  <c r="AD4555" i="16"/>
  <c r="AD4556" i="16"/>
  <c r="AD4557" i="16"/>
  <c r="AD4558" i="16"/>
  <c r="AD4559" i="16"/>
  <c r="AD4560" i="16"/>
  <c r="AD4561" i="16"/>
  <c r="AD4562" i="16"/>
  <c r="AD4563" i="16"/>
  <c r="AD4564" i="16"/>
  <c r="AD4565" i="16"/>
  <c r="AD4566" i="16"/>
  <c r="AD4567" i="16"/>
  <c r="AD4568" i="16"/>
  <c r="AD4569" i="16"/>
  <c r="AD4570" i="16"/>
  <c r="AD4571" i="16"/>
  <c r="AD4572" i="16"/>
  <c r="AD4573" i="16"/>
  <c r="AD4574" i="16"/>
  <c r="AD4575" i="16"/>
  <c r="AD4576" i="16"/>
  <c r="AD4577" i="16"/>
  <c r="AD4578" i="16"/>
  <c r="AD4579" i="16"/>
  <c r="AD4580" i="16"/>
  <c r="AD4581" i="16"/>
  <c r="AD4582" i="16"/>
  <c r="AD4583" i="16"/>
  <c r="AD4584" i="16"/>
  <c r="AD4585" i="16"/>
  <c r="AD4586" i="16"/>
  <c r="AD4587" i="16"/>
  <c r="AD4588" i="16"/>
  <c r="AD4589" i="16"/>
  <c r="AD4590" i="16"/>
  <c r="AD4591" i="16"/>
  <c r="AD4592" i="16"/>
  <c r="AD4593" i="16"/>
  <c r="AD4594" i="16"/>
  <c r="AD4595" i="16"/>
  <c r="AD4596" i="16"/>
  <c r="AD4597" i="16"/>
  <c r="AD4598" i="16"/>
  <c r="AD4599" i="16"/>
  <c r="AD4600" i="16"/>
  <c r="AD4601" i="16"/>
  <c r="AD4602" i="16"/>
  <c r="AD4603" i="16"/>
  <c r="AD4604" i="16"/>
  <c r="AD4605" i="16"/>
  <c r="AD4606" i="16"/>
  <c r="AD4607" i="16"/>
  <c r="AD4608" i="16"/>
  <c r="AD4609" i="16"/>
  <c r="AD4610" i="16"/>
  <c r="AD4611" i="16"/>
  <c r="AD4612" i="16"/>
  <c r="AD4613" i="16"/>
  <c r="AD4614" i="16"/>
  <c r="AD4615" i="16"/>
  <c r="AD4616" i="16"/>
  <c r="AD4617" i="16"/>
  <c r="AD4618" i="16"/>
  <c r="AD4619" i="16"/>
  <c r="AD4620" i="16"/>
  <c r="AD4621" i="16"/>
  <c r="AD4622" i="16"/>
  <c r="AD4623" i="16"/>
  <c r="AD4624" i="16"/>
  <c r="AD4625" i="16"/>
  <c r="AD4626" i="16"/>
  <c r="AD4627" i="16"/>
  <c r="AD4628" i="16"/>
  <c r="AD4629" i="16"/>
  <c r="AD4630" i="16"/>
  <c r="AD4631" i="16"/>
  <c r="AD4632" i="16"/>
  <c r="AD4633" i="16"/>
  <c r="AD4634" i="16"/>
  <c r="AD4635" i="16"/>
  <c r="AD4636" i="16"/>
  <c r="AD4637" i="16"/>
  <c r="AD4638" i="16"/>
  <c r="AD4639" i="16"/>
  <c r="AD4640" i="16"/>
  <c r="AD4641" i="16"/>
  <c r="AD4642" i="16"/>
  <c r="AD4643" i="16"/>
  <c r="AD4644" i="16"/>
  <c r="AD4645" i="16"/>
  <c r="AD4646" i="16"/>
  <c r="AD4647" i="16"/>
  <c r="AD4648" i="16"/>
  <c r="AD4649" i="16"/>
  <c r="AD4650" i="16"/>
  <c r="AD4651" i="16"/>
  <c r="AD4652" i="16"/>
  <c r="AD4653" i="16"/>
  <c r="AD4654" i="16"/>
  <c r="AD4655" i="16"/>
  <c r="AD4656" i="16"/>
  <c r="AD4657" i="16"/>
  <c r="AD4658" i="16"/>
  <c r="AD4659" i="16"/>
  <c r="AD4660" i="16"/>
  <c r="AD4661" i="16"/>
  <c r="AD4662" i="16"/>
  <c r="AD4663" i="16"/>
  <c r="AD4664" i="16"/>
  <c r="AD4665" i="16"/>
  <c r="AD4666" i="16"/>
  <c r="AD4667" i="16"/>
  <c r="AD4668" i="16"/>
  <c r="AD4669" i="16"/>
  <c r="AD4670" i="16"/>
  <c r="AD4671" i="16"/>
  <c r="AD4672" i="16"/>
  <c r="AD4673" i="16"/>
  <c r="AD4674" i="16"/>
  <c r="AD4675" i="16"/>
  <c r="AD4676" i="16"/>
  <c r="AD4677" i="16"/>
  <c r="AD4678" i="16"/>
  <c r="AD4679" i="16"/>
  <c r="AD4680" i="16"/>
  <c r="AD4681" i="16"/>
  <c r="AD4682" i="16"/>
  <c r="AD4683" i="16"/>
  <c r="AD4684" i="16"/>
  <c r="AD4685" i="16"/>
  <c r="AD4686" i="16"/>
  <c r="AD4687" i="16"/>
  <c r="AD4688" i="16"/>
  <c r="AD4689" i="16"/>
  <c r="AD4690" i="16"/>
  <c r="AD4691" i="16"/>
  <c r="AD4692" i="16"/>
  <c r="AD4693" i="16"/>
  <c r="AD4694" i="16"/>
  <c r="AD4695" i="16"/>
  <c r="AD4696" i="16"/>
  <c r="AD4697" i="16"/>
  <c r="AD4698" i="16"/>
  <c r="AD4699" i="16"/>
  <c r="AD4700" i="16"/>
  <c r="AD4701" i="16"/>
  <c r="AD4702" i="16"/>
  <c r="AD4703" i="16"/>
  <c r="AD4704" i="16"/>
  <c r="AD4705" i="16"/>
  <c r="AD4706" i="16"/>
  <c r="AD4707" i="16"/>
  <c r="AD4708" i="16"/>
  <c r="AD4709" i="16"/>
  <c r="AD4710" i="16"/>
  <c r="AD4711" i="16"/>
  <c r="AD4712" i="16"/>
  <c r="AD4713" i="16"/>
  <c r="AD4714" i="16"/>
  <c r="AD4715" i="16"/>
  <c r="AD4716" i="16"/>
  <c r="AD4717" i="16"/>
  <c r="AD4718" i="16"/>
  <c r="AD4719" i="16"/>
  <c r="AD4720" i="16"/>
  <c r="AD4721" i="16"/>
  <c r="AD4722" i="16"/>
  <c r="AD4723" i="16"/>
  <c r="AD4724" i="16"/>
  <c r="AD4725" i="16"/>
  <c r="AD4726" i="16"/>
  <c r="AD4727" i="16"/>
  <c r="AD4728" i="16"/>
  <c r="AD4729" i="16"/>
  <c r="AD4730" i="16"/>
  <c r="AD4731" i="16"/>
  <c r="AD4732" i="16"/>
  <c r="AD4733" i="16"/>
  <c r="AD4734" i="16"/>
  <c r="AD4735" i="16"/>
  <c r="AD4736" i="16"/>
  <c r="AD4737" i="16"/>
  <c r="AD4738" i="16"/>
  <c r="AD4739" i="16"/>
  <c r="AD4740" i="16"/>
  <c r="AD4741" i="16"/>
  <c r="AD4742" i="16"/>
  <c r="AD4743" i="16"/>
  <c r="AD4744" i="16"/>
  <c r="AD4745" i="16"/>
  <c r="AD4746" i="16"/>
  <c r="AD4747" i="16"/>
  <c r="AD4748" i="16"/>
  <c r="AD4749" i="16"/>
  <c r="AD4750" i="16"/>
  <c r="AD4751" i="16"/>
  <c r="AD4752" i="16"/>
  <c r="AD4753" i="16"/>
  <c r="AD4754" i="16"/>
  <c r="AD4755" i="16"/>
  <c r="AD4756" i="16"/>
  <c r="AD4757" i="16"/>
  <c r="AD4758" i="16"/>
  <c r="AD4759" i="16"/>
  <c r="AD4760" i="16"/>
  <c r="AD4761" i="16"/>
  <c r="AD4762" i="16"/>
  <c r="AD4763" i="16"/>
  <c r="AD4764" i="16"/>
  <c r="AD4765" i="16"/>
  <c r="AD4766" i="16"/>
  <c r="AD4767" i="16"/>
  <c r="AD4768" i="16"/>
  <c r="AD4769" i="16"/>
  <c r="AD4770" i="16"/>
  <c r="AD4771" i="16"/>
  <c r="AD4772" i="16"/>
  <c r="AD4773" i="16"/>
  <c r="AD4774" i="16"/>
  <c r="AD4775" i="16"/>
  <c r="AD4776" i="16"/>
  <c r="AD4777" i="16"/>
  <c r="AD4778" i="16"/>
  <c r="AD4779" i="16"/>
  <c r="AD4780" i="16"/>
  <c r="AD4781" i="16"/>
  <c r="AD4782" i="16"/>
  <c r="AD4783" i="16"/>
  <c r="AD4784" i="16"/>
  <c r="AD4785" i="16"/>
  <c r="AD4786" i="16"/>
  <c r="AD4787" i="16"/>
  <c r="AD4788" i="16"/>
  <c r="AD4789" i="16"/>
  <c r="AD4790" i="16"/>
  <c r="AD4791" i="16"/>
  <c r="AD4792" i="16"/>
  <c r="AD4793" i="16"/>
  <c r="AD4794" i="16"/>
  <c r="AD4795" i="16"/>
  <c r="AD4796" i="16"/>
  <c r="AD4797" i="16"/>
  <c r="AD4798" i="16"/>
  <c r="AD4799" i="16"/>
  <c r="AD4800" i="16"/>
  <c r="AD4801" i="16"/>
  <c r="AD4802" i="16"/>
  <c r="AD4803" i="16"/>
  <c r="AD4804" i="16"/>
  <c r="AD4805" i="16"/>
  <c r="AD4806" i="16"/>
  <c r="AD4807" i="16"/>
  <c r="AD4808" i="16"/>
  <c r="AD4809" i="16"/>
  <c r="AD4810" i="16"/>
  <c r="AD4811" i="16"/>
  <c r="AD4812" i="16"/>
  <c r="AD4813" i="16"/>
  <c r="AD4814" i="16"/>
  <c r="AD4815" i="16"/>
  <c r="AD4816" i="16"/>
  <c r="AD4817" i="16"/>
  <c r="AD4818" i="16"/>
  <c r="AD4819" i="16"/>
  <c r="AD4820" i="16"/>
  <c r="AD4821" i="16"/>
  <c r="AD4822" i="16"/>
  <c r="AD4823" i="16"/>
  <c r="AD4824" i="16"/>
  <c r="AD4825" i="16"/>
  <c r="AD4826" i="16"/>
  <c r="AD4827" i="16"/>
  <c r="AD4828" i="16"/>
  <c r="AD4829" i="16"/>
  <c r="AD4830" i="16"/>
  <c r="AD4831" i="16"/>
  <c r="AD4832" i="16"/>
  <c r="AD4833" i="16"/>
  <c r="AD4834" i="16"/>
  <c r="AD4835" i="16"/>
  <c r="AD4836" i="16"/>
  <c r="AD4837" i="16"/>
  <c r="AD4838" i="16"/>
  <c r="AD4839" i="16"/>
  <c r="AD4840" i="16"/>
  <c r="AD4841" i="16"/>
  <c r="AD4842" i="16"/>
  <c r="AD4843" i="16"/>
  <c r="AD4844" i="16"/>
  <c r="AD4845" i="16"/>
  <c r="AD4846" i="16"/>
  <c r="AD4847" i="16"/>
  <c r="AD4848" i="16"/>
  <c r="AD4849" i="16"/>
  <c r="AD4850" i="16"/>
  <c r="AD4851" i="16"/>
  <c r="AD4852" i="16"/>
  <c r="AD4853" i="16"/>
  <c r="AD4854" i="16"/>
  <c r="AD4855" i="16"/>
  <c r="AD4856" i="16"/>
  <c r="AD4857" i="16"/>
  <c r="AD4858" i="16"/>
  <c r="AD4859" i="16"/>
  <c r="AD4860" i="16"/>
  <c r="AD4861" i="16"/>
  <c r="AD4862" i="16"/>
  <c r="AD4863" i="16"/>
  <c r="AD4864" i="16"/>
  <c r="AD4865" i="16"/>
  <c r="AD4866" i="16"/>
  <c r="AD4867" i="16"/>
  <c r="AD4868" i="16"/>
  <c r="AD4869" i="16"/>
  <c r="AD4870" i="16"/>
  <c r="AD4871" i="16"/>
  <c r="AD4872" i="16"/>
  <c r="AD4873" i="16"/>
  <c r="AD4874" i="16"/>
  <c r="AD4875" i="16"/>
  <c r="AD4876" i="16"/>
  <c r="AD4877" i="16"/>
  <c r="AD4878" i="16"/>
  <c r="AD4879" i="16"/>
  <c r="AD4880" i="16"/>
  <c r="AD4881" i="16"/>
  <c r="AD4882" i="16"/>
  <c r="AD4883" i="16"/>
  <c r="AD4884" i="16"/>
  <c r="AD4885" i="16"/>
  <c r="AD4886" i="16"/>
  <c r="AD4887" i="16"/>
  <c r="AD4888" i="16"/>
  <c r="AD4889" i="16"/>
  <c r="AD4890" i="16"/>
  <c r="AD4891" i="16"/>
  <c r="AD4892" i="16"/>
  <c r="AD4893" i="16"/>
  <c r="AD4894" i="16"/>
  <c r="AD4895" i="16"/>
  <c r="AD4896" i="16"/>
  <c r="AD4897" i="16"/>
  <c r="AD4898" i="16"/>
  <c r="AD4899" i="16"/>
  <c r="AD4900" i="16"/>
  <c r="AD4901" i="16"/>
  <c r="AD4902" i="16"/>
  <c r="AD4903" i="16"/>
  <c r="AD4904" i="16"/>
  <c r="AD4905" i="16"/>
  <c r="AD4906" i="16"/>
  <c r="AD4907" i="16"/>
  <c r="AD4908" i="16"/>
  <c r="AD4909" i="16"/>
  <c r="AD4910" i="16"/>
  <c r="AD4911" i="16"/>
  <c r="AD4912" i="16"/>
  <c r="AD4913" i="16"/>
  <c r="AD4914" i="16"/>
  <c r="AD4915" i="16"/>
  <c r="AD4916" i="16"/>
  <c r="AD4917" i="16"/>
  <c r="AD4918" i="16"/>
  <c r="AD4919" i="16"/>
  <c r="AD4920" i="16"/>
  <c r="AD4921" i="16"/>
  <c r="AD4922" i="16"/>
  <c r="AD4923" i="16"/>
  <c r="AD4924" i="16"/>
  <c r="AD4925" i="16"/>
  <c r="AD4926" i="16"/>
  <c r="AD4927" i="16"/>
  <c r="AD4928" i="16"/>
  <c r="AD4929" i="16"/>
  <c r="AD4930" i="16"/>
  <c r="AD4931" i="16"/>
  <c r="AD4932" i="16"/>
  <c r="AD4933" i="16"/>
  <c r="AD4934" i="16"/>
  <c r="AD4935" i="16"/>
  <c r="AD4936" i="16"/>
  <c r="AD4937" i="16"/>
  <c r="AD4938" i="16"/>
  <c r="AD4939" i="16"/>
  <c r="AD4940" i="16"/>
  <c r="AD4941" i="16"/>
  <c r="AD4942" i="16"/>
  <c r="AD4943" i="16"/>
  <c r="AD4944" i="16"/>
  <c r="AD4945" i="16"/>
  <c r="AD4946" i="16"/>
  <c r="AD4947" i="16"/>
  <c r="AD4948" i="16"/>
  <c r="AD4949" i="16"/>
  <c r="AD4950" i="16"/>
  <c r="AD4951" i="16"/>
  <c r="AD4952" i="16"/>
  <c r="AD4953" i="16"/>
  <c r="AD4954" i="16"/>
  <c r="AD4955" i="16"/>
  <c r="AD4956" i="16"/>
  <c r="AD4957" i="16"/>
  <c r="AD4958" i="16"/>
  <c r="AD4959" i="16"/>
  <c r="AD4960" i="16"/>
  <c r="AD4961" i="16"/>
  <c r="AD4962" i="16"/>
  <c r="AD4963" i="16"/>
  <c r="AD4964" i="16"/>
  <c r="AD4965" i="16"/>
  <c r="AD4966" i="16"/>
  <c r="AD4967" i="16"/>
  <c r="AD4968" i="16"/>
  <c r="AD4969" i="16"/>
  <c r="AD4970" i="16"/>
  <c r="AD4971" i="16"/>
  <c r="AD4972" i="16"/>
  <c r="AD4973" i="16"/>
  <c r="AD4974" i="16"/>
  <c r="AD4975" i="16"/>
  <c r="AD4976" i="16"/>
  <c r="AD4977" i="16"/>
  <c r="AD4978" i="16"/>
  <c r="AD4979" i="16"/>
  <c r="AD4980" i="16"/>
  <c r="AD4981" i="16"/>
  <c r="AD4982" i="16"/>
  <c r="AD4983" i="16"/>
  <c r="AD4984" i="16"/>
  <c r="AD4985" i="16"/>
  <c r="AD4986" i="16"/>
  <c r="AD4987" i="16"/>
  <c r="AD4988" i="16"/>
  <c r="AD4989" i="16"/>
  <c r="AD4990" i="16"/>
  <c r="AD4991" i="16"/>
  <c r="AD4992" i="16"/>
  <c r="AD4993" i="16"/>
  <c r="AD4994" i="16"/>
  <c r="AD4995" i="16"/>
  <c r="AD4996" i="16"/>
  <c r="AD4997" i="16"/>
  <c r="AD4998" i="16"/>
  <c r="AD4999" i="16"/>
  <c r="AD5000" i="16"/>
  <c r="AD5001" i="16"/>
  <c r="AD5002" i="16"/>
  <c r="AD5003" i="16"/>
  <c r="AD5004" i="16"/>
  <c r="AD5005" i="16"/>
  <c r="AD5006" i="16"/>
  <c r="AD5007" i="16"/>
  <c r="AD5008" i="16"/>
  <c r="AD5009" i="16"/>
  <c r="AD5010" i="16"/>
  <c r="AD5011" i="16"/>
  <c r="AD5012" i="16"/>
  <c r="AD5013" i="16"/>
  <c r="AD5014" i="16"/>
  <c r="AD5015" i="16"/>
  <c r="AD5016" i="16"/>
  <c r="AD5017" i="16"/>
  <c r="AD5018" i="16"/>
  <c r="AD5019" i="16"/>
  <c r="AD5020" i="16"/>
  <c r="AD5021" i="16"/>
  <c r="AD5022" i="16"/>
  <c r="AD5023" i="16"/>
  <c r="AD5024" i="16"/>
  <c r="AD5025" i="16"/>
  <c r="AD5026" i="16"/>
  <c r="AD5027" i="16"/>
  <c r="AD5028" i="16"/>
  <c r="AD5029" i="16"/>
  <c r="AD5030" i="16"/>
  <c r="AD5031" i="16"/>
  <c r="AD5032" i="16"/>
  <c r="AD5033" i="16"/>
  <c r="AD5034" i="16"/>
  <c r="AD5035" i="16"/>
  <c r="AD5036" i="16"/>
  <c r="AD5037" i="16"/>
  <c r="AD5038" i="16"/>
  <c r="AD5039" i="16"/>
  <c r="AD5040" i="16"/>
  <c r="AD5041" i="16"/>
  <c r="AD5042" i="16"/>
  <c r="AD5043" i="16"/>
  <c r="AD5044" i="16"/>
  <c r="AD5045" i="16"/>
  <c r="AD5046" i="16"/>
  <c r="AD5047" i="16"/>
  <c r="AD5048" i="16"/>
  <c r="AD5049" i="16"/>
  <c r="AD5050" i="16"/>
  <c r="AD5051" i="16"/>
  <c r="AD5052" i="16"/>
  <c r="AD5053" i="16"/>
  <c r="AD5054" i="16"/>
  <c r="AD5055" i="16"/>
  <c r="AD5056" i="16"/>
  <c r="AD5057" i="16"/>
  <c r="AD5058" i="16"/>
  <c r="AD5059" i="16"/>
  <c r="AD5060" i="16"/>
  <c r="AD5061" i="16"/>
  <c r="AD5062" i="16"/>
  <c r="AD5063" i="16"/>
  <c r="AD5064" i="16"/>
  <c r="AD5065" i="16"/>
  <c r="AD5066" i="16"/>
  <c r="AD5067" i="16"/>
  <c r="AD5068" i="16"/>
  <c r="AD5069" i="16"/>
  <c r="AD5070" i="16"/>
  <c r="AD5071" i="16"/>
  <c r="AD5072" i="16"/>
  <c r="AD5073" i="16"/>
  <c r="AD5074" i="16"/>
  <c r="AD5075" i="16"/>
  <c r="AD5076" i="16"/>
  <c r="AD5077" i="16"/>
  <c r="AD5078" i="16"/>
  <c r="AD5079" i="16"/>
  <c r="AD5080" i="16"/>
  <c r="AD5081" i="16"/>
  <c r="AD5082" i="16"/>
  <c r="AD5083" i="16"/>
  <c r="AD5084" i="16"/>
  <c r="AD5085" i="16"/>
  <c r="AD5086" i="16"/>
  <c r="AD5087" i="16"/>
  <c r="AD5088" i="16"/>
  <c r="AD5089" i="16"/>
  <c r="AD5090" i="16"/>
  <c r="AD5091" i="16"/>
  <c r="AD5092" i="16"/>
  <c r="AD5093" i="16"/>
  <c r="AD5094" i="16"/>
  <c r="AD5095" i="16"/>
  <c r="AD5096" i="16"/>
  <c r="AD5097" i="16"/>
  <c r="AD5098" i="16"/>
  <c r="AD5099" i="16"/>
  <c r="AD5100" i="16"/>
  <c r="AD5101" i="16"/>
  <c r="AD5102" i="16"/>
  <c r="AD5103" i="16"/>
  <c r="AD5104" i="16"/>
  <c r="AD5105" i="16"/>
  <c r="AD5106" i="16"/>
  <c r="AD5107" i="16"/>
  <c r="AD5108" i="16"/>
  <c r="AD5109" i="16"/>
  <c r="AD5110" i="16"/>
  <c r="AD5111" i="16"/>
  <c r="AD5112" i="16"/>
  <c r="AD5113" i="16"/>
  <c r="AD5114" i="16"/>
  <c r="AD5115" i="16"/>
  <c r="AD5116" i="16"/>
  <c r="AD5117" i="16"/>
  <c r="AD5118" i="16"/>
  <c r="AD5119" i="16"/>
  <c r="AD5120" i="16"/>
  <c r="AD5121" i="16"/>
  <c r="AD5122" i="16"/>
  <c r="AD5123" i="16"/>
  <c r="AD5124" i="16"/>
  <c r="AD5125" i="16"/>
  <c r="AD5126" i="16"/>
  <c r="AD5127" i="16"/>
  <c r="AD5128" i="16"/>
  <c r="AD5129" i="16"/>
  <c r="AD5130" i="16"/>
  <c r="AD5131" i="16"/>
  <c r="AD5132" i="16"/>
  <c r="AD5133" i="16"/>
  <c r="AD5134" i="16"/>
  <c r="AD5135" i="16"/>
  <c r="AD5136" i="16"/>
  <c r="AD5137" i="16"/>
  <c r="AD5138" i="16"/>
  <c r="AD5139" i="16"/>
  <c r="AD5140" i="16"/>
  <c r="AD5141" i="16"/>
  <c r="AD5142" i="16"/>
  <c r="AD5143" i="16"/>
  <c r="AD5144" i="16"/>
  <c r="AD5145" i="16"/>
  <c r="AD5146" i="16"/>
  <c r="AD5147" i="16"/>
  <c r="AD5148" i="16"/>
  <c r="AD5149" i="16"/>
  <c r="AD5150" i="16"/>
  <c r="AD5151" i="16"/>
  <c r="AD5152" i="16"/>
  <c r="AD5153" i="16"/>
  <c r="AD5154" i="16"/>
  <c r="AD5155" i="16"/>
  <c r="AD5156" i="16"/>
  <c r="AD5157" i="16"/>
  <c r="AD5158" i="16"/>
  <c r="AD5159" i="16"/>
  <c r="AD5160" i="16"/>
  <c r="AD5161" i="16"/>
  <c r="AD5162" i="16"/>
  <c r="AD5163" i="16"/>
  <c r="AD5164" i="16"/>
  <c r="AD5165" i="16"/>
  <c r="AD5166" i="16"/>
  <c r="AD5167" i="16"/>
  <c r="AD5168" i="16"/>
  <c r="AD5169" i="16"/>
  <c r="AD5170" i="16"/>
  <c r="AD5171" i="16"/>
  <c r="AD5172" i="16"/>
  <c r="AD5173" i="16"/>
  <c r="AD5174" i="16"/>
  <c r="AD5175" i="16"/>
  <c r="AD5176" i="16"/>
  <c r="AD5177" i="16"/>
  <c r="AD5178" i="16"/>
  <c r="AD5179" i="16"/>
  <c r="AD5180" i="16"/>
  <c r="AD5181" i="16"/>
  <c r="AD5182" i="16"/>
  <c r="AD5183" i="16"/>
  <c r="AD5184" i="16"/>
  <c r="AD5185" i="16"/>
  <c r="AD5186" i="16"/>
  <c r="AD5187" i="16"/>
  <c r="AD5188" i="16"/>
  <c r="AD5189" i="16"/>
  <c r="AD5190" i="16"/>
  <c r="AD5191" i="16"/>
  <c r="AD5192" i="16"/>
  <c r="AD5193" i="16"/>
  <c r="AD5194" i="16"/>
  <c r="AD5195" i="16"/>
  <c r="AD5196" i="16"/>
  <c r="AD5197" i="16"/>
  <c r="AD5198" i="16"/>
  <c r="AD5199" i="16"/>
  <c r="AD5200" i="16"/>
  <c r="AD5201" i="16"/>
  <c r="AD5202" i="16"/>
  <c r="AD5203" i="16"/>
  <c r="AD5204" i="16"/>
  <c r="AD5205" i="16"/>
  <c r="AD5206" i="16"/>
  <c r="AD5207" i="16"/>
  <c r="AD5208" i="16"/>
  <c r="AD5209" i="16"/>
  <c r="AD5210" i="16"/>
  <c r="AD5211" i="16"/>
  <c r="AD5212" i="16"/>
  <c r="AD5213" i="16"/>
  <c r="AD5214" i="16"/>
  <c r="AD5215" i="16"/>
  <c r="AD5216" i="16"/>
  <c r="AD5217" i="16"/>
  <c r="AD5218" i="16"/>
  <c r="AD5219" i="16"/>
  <c r="AD5220" i="16"/>
  <c r="AD5221" i="16"/>
  <c r="AD5222" i="16"/>
  <c r="AD5223" i="16"/>
  <c r="AD5224" i="16"/>
  <c r="AD5225" i="16"/>
  <c r="AD5226" i="16"/>
  <c r="AD5227" i="16"/>
  <c r="AD5228" i="16"/>
  <c r="AD5229" i="16"/>
  <c r="AD5230" i="16"/>
  <c r="AD5231" i="16"/>
  <c r="AD5232" i="16"/>
  <c r="AD5233" i="16"/>
  <c r="AD5234" i="16"/>
  <c r="AD5235" i="16"/>
  <c r="AD5236" i="16"/>
  <c r="AD5237" i="16"/>
  <c r="AD5238" i="16"/>
  <c r="AD5239" i="16"/>
  <c r="AD5240" i="16"/>
  <c r="AD5241" i="16"/>
  <c r="AD5242" i="16"/>
  <c r="AD5243" i="16"/>
  <c r="AD5244" i="16"/>
  <c r="AD5245" i="16"/>
  <c r="AD5246" i="16"/>
  <c r="AD5247" i="16"/>
  <c r="AD5248" i="16"/>
  <c r="AD5249" i="16"/>
  <c r="AD5250" i="16"/>
  <c r="AD5251" i="16"/>
  <c r="AD5252" i="16"/>
  <c r="AD5253" i="16"/>
  <c r="AD5254" i="16"/>
  <c r="AD5255" i="16"/>
  <c r="AD5256" i="16"/>
  <c r="AD5257" i="16"/>
  <c r="AD5258" i="16"/>
  <c r="AD5259" i="16"/>
  <c r="AD5260" i="16"/>
  <c r="AD5261" i="16"/>
  <c r="AD5262" i="16"/>
  <c r="AD5263" i="16"/>
  <c r="AD5264" i="16"/>
  <c r="AD5265" i="16"/>
  <c r="AD5266" i="16"/>
  <c r="AD5267" i="16"/>
  <c r="AD5268" i="16"/>
  <c r="AD5269" i="16"/>
  <c r="AD5270" i="16"/>
  <c r="AD5271" i="16"/>
  <c r="AD5272" i="16"/>
  <c r="AD5273" i="16"/>
  <c r="AD5274" i="16"/>
  <c r="AD5275" i="16"/>
  <c r="AD5276" i="16"/>
  <c r="AD5277" i="16"/>
  <c r="AD5278" i="16"/>
  <c r="AD5279" i="16"/>
  <c r="AD5280" i="16"/>
  <c r="AD5281" i="16"/>
  <c r="AD5282" i="16"/>
  <c r="AD5283" i="16"/>
  <c r="AD5284" i="16"/>
  <c r="AD5285" i="16"/>
  <c r="AD5286" i="16"/>
  <c r="AD5287" i="16"/>
  <c r="AD5288" i="16"/>
  <c r="AD5289" i="16"/>
  <c r="AD5290" i="16"/>
  <c r="AD5291" i="16"/>
  <c r="AD5292" i="16"/>
  <c r="AD5293" i="16"/>
  <c r="AD5294" i="16"/>
  <c r="AD5295" i="16"/>
  <c r="AD5296" i="16"/>
  <c r="AD5297" i="16"/>
  <c r="AD5298" i="16"/>
  <c r="AD5299" i="16"/>
  <c r="AD5300" i="16"/>
  <c r="AD5301" i="16"/>
  <c r="AD5302" i="16"/>
  <c r="AD5303" i="16"/>
  <c r="AD5304" i="16"/>
  <c r="AD5305" i="16"/>
  <c r="AD5306" i="16"/>
  <c r="AD5307" i="16"/>
  <c r="AD5308" i="16"/>
  <c r="AD5309" i="16"/>
  <c r="AD5310" i="16"/>
  <c r="AD5311" i="16"/>
  <c r="AD5312" i="16"/>
  <c r="AD5313" i="16"/>
  <c r="AD5314" i="16"/>
  <c r="AD5315" i="16"/>
  <c r="AD5316" i="16"/>
  <c r="AD5317" i="16"/>
  <c r="AD5318" i="16"/>
  <c r="AD5319" i="16"/>
  <c r="AD5320" i="16"/>
  <c r="AD5321" i="16"/>
  <c r="AD5322" i="16"/>
  <c r="AD5323" i="16"/>
  <c r="AD5324" i="16"/>
  <c r="AD5325" i="16"/>
  <c r="AD5326" i="16"/>
  <c r="AD5327" i="16"/>
  <c r="AD5328" i="16"/>
  <c r="AD5329" i="16"/>
  <c r="AD5330" i="16"/>
  <c r="AD5331" i="16"/>
  <c r="AD5332" i="16"/>
  <c r="AD5333" i="16"/>
  <c r="AD5334" i="16"/>
  <c r="AD5335" i="16"/>
  <c r="AD5336" i="16"/>
  <c r="AD5337" i="16"/>
  <c r="AD5338" i="16"/>
  <c r="AD5339" i="16"/>
  <c r="AD5340" i="16"/>
  <c r="AD5341" i="16"/>
  <c r="AD5342" i="16"/>
  <c r="AD5343" i="16"/>
  <c r="AD5344" i="16"/>
  <c r="AD5345" i="16"/>
  <c r="AD5346" i="16"/>
  <c r="AD5347" i="16"/>
  <c r="AD5348" i="16"/>
  <c r="AD5349" i="16"/>
  <c r="AD5350" i="16"/>
  <c r="AD5351" i="16"/>
  <c r="AD5352" i="16"/>
  <c r="AD5353" i="16"/>
  <c r="AD5354" i="16"/>
  <c r="AD5355" i="16"/>
  <c r="AD5356" i="16"/>
  <c r="AD5357" i="16"/>
  <c r="AD5358" i="16"/>
  <c r="AD5359" i="16"/>
  <c r="AD5360" i="16"/>
  <c r="AD5361" i="16"/>
  <c r="AD5362" i="16"/>
  <c r="AD5363" i="16"/>
  <c r="AD5364" i="16"/>
  <c r="AD5365" i="16"/>
  <c r="AD5366" i="16"/>
  <c r="AD5367" i="16"/>
  <c r="AD5368" i="16"/>
  <c r="AD5369" i="16"/>
  <c r="AD5370" i="16"/>
  <c r="AD5371" i="16"/>
  <c r="AD5372" i="16"/>
  <c r="AD5373" i="16"/>
  <c r="AD5374" i="16"/>
  <c r="AD5375" i="16"/>
  <c r="AD5376" i="16"/>
  <c r="AD5377" i="16"/>
  <c r="AD5378" i="16"/>
  <c r="AD5379" i="16"/>
  <c r="AD5380" i="16"/>
  <c r="AD5381" i="16"/>
  <c r="AD5382" i="16"/>
  <c r="AD5383" i="16"/>
  <c r="AD5384" i="16"/>
  <c r="AD5385" i="16"/>
  <c r="AD5386" i="16"/>
  <c r="AD5387" i="16"/>
  <c r="AD5388" i="16"/>
  <c r="AD5389" i="16"/>
  <c r="AD5390" i="16"/>
  <c r="AD5391" i="16"/>
  <c r="AD5392" i="16"/>
  <c r="AD5393" i="16"/>
  <c r="AD5394" i="16"/>
  <c r="AD5395" i="16"/>
  <c r="AD5396" i="16"/>
  <c r="AD5397" i="16"/>
  <c r="AD5398" i="16"/>
  <c r="AD5399" i="16"/>
  <c r="AD5400" i="16"/>
  <c r="AD5401" i="16"/>
  <c r="AD5402" i="16"/>
  <c r="AD5403" i="16"/>
  <c r="AD5404" i="16"/>
  <c r="AD5405" i="16"/>
  <c r="AD5406" i="16"/>
  <c r="AD5407" i="16"/>
  <c r="AD5408" i="16"/>
  <c r="AD5409" i="16"/>
  <c r="AD5410" i="16"/>
  <c r="AD5411" i="16"/>
  <c r="AD5412" i="16"/>
  <c r="AD5413" i="16"/>
  <c r="AD5414" i="16"/>
  <c r="AD5415" i="16"/>
  <c r="AD5416" i="16"/>
  <c r="AD5417" i="16"/>
  <c r="AD5418" i="16"/>
  <c r="AD5419" i="16"/>
  <c r="AD5420" i="16"/>
  <c r="AD5421" i="16"/>
  <c r="AD5422" i="16"/>
  <c r="AD5423" i="16"/>
  <c r="AD5424" i="16"/>
  <c r="AD5425" i="16"/>
  <c r="AD5426" i="16"/>
  <c r="AD5427" i="16"/>
  <c r="AD5428" i="16"/>
  <c r="AD5429" i="16"/>
  <c r="AD5430" i="16"/>
  <c r="AD5431" i="16"/>
  <c r="AD5432" i="16"/>
  <c r="AD5433" i="16"/>
  <c r="AD5434" i="16"/>
  <c r="AD5435" i="16"/>
  <c r="AD5436" i="16"/>
  <c r="AD5437" i="16"/>
  <c r="AD5438" i="16"/>
  <c r="AD5439" i="16"/>
  <c r="AD5440" i="16"/>
  <c r="AD5441" i="16"/>
  <c r="AD5442" i="16"/>
  <c r="AD5443" i="16"/>
  <c r="AD5444" i="16"/>
  <c r="AD5445" i="16"/>
  <c r="AD5446" i="16"/>
  <c r="AD5447" i="16"/>
  <c r="AD5448" i="16"/>
  <c r="AD5449" i="16"/>
  <c r="AD5450" i="16"/>
  <c r="AD5451" i="16"/>
  <c r="AD5452" i="16"/>
  <c r="AD5453" i="16"/>
  <c r="AD5454" i="16"/>
  <c r="AD5455" i="16"/>
  <c r="AD5456" i="16"/>
  <c r="AD5457" i="16"/>
  <c r="AD5458" i="16"/>
  <c r="AD5459" i="16"/>
  <c r="AD5460" i="16"/>
  <c r="AD5461" i="16"/>
  <c r="AD5462" i="16"/>
  <c r="AD5463" i="16"/>
  <c r="AD5464" i="16"/>
  <c r="AD5465" i="16"/>
  <c r="AD5466" i="16"/>
  <c r="AD5467" i="16"/>
  <c r="AD5468" i="16"/>
  <c r="AD5469" i="16"/>
  <c r="AD5470" i="16"/>
  <c r="AD5471" i="16"/>
  <c r="AD5472" i="16"/>
  <c r="AD5473" i="16"/>
  <c r="AD5474" i="16"/>
  <c r="AD5475" i="16"/>
  <c r="AD5476" i="16"/>
  <c r="AD5477" i="16"/>
  <c r="AD5478" i="16"/>
  <c r="AD5479" i="16"/>
  <c r="AD5480" i="16"/>
  <c r="AD5481" i="16"/>
  <c r="AD5482" i="16"/>
  <c r="AD5483" i="16"/>
  <c r="AD5484" i="16"/>
  <c r="AD5485" i="16"/>
  <c r="AD5486" i="16"/>
  <c r="AD5487" i="16"/>
  <c r="AD5488" i="16"/>
  <c r="AD5489" i="16"/>
  <c r="AD5490" i="16"/>
  <c r="AD5491" i="16"/>
  <c r="AD5492" i="16"/>
  <c r="AD5493" i="16"/>
  <c r="AD5494" i="16"/>
  <c r="AD5495" i="16"/>
  <c r="AD5496" i="16"/>
  <c r="AD5497" i="16"/>
  <c r="AD5498" i="16"/>
  <c r="AD5499" i="16"/>
  <c r="AD5500" i="16"/>
  <c r="AD5501" i="16"/>
  <c r="AD5502" i="16"/>
  <c r="AD5503" i="16"/>
  <c r="AD5504" i="16"/>
  <c r="AD5505" i="16"/>
  <c r="AD5506" i="16"/>
  <c r="AD5507" i="16"/>
  <c r="AD5508" i="16"/>
  <c r="AD5509" i="16"/>
  <c r="AD5510" i="16"/>
  <c r="AD5511" i="16"/>
  <c r="AD5512" i="16"/>
  <c r="AD5513" i="16"/>
  <c r="AD5514" i="16"/>
  <c r="AD5515" i="16"/>
  <c r="AD5516" i="16"/>
  <c r="AD5517" i="16"/>
  <c r="AD5518" i="16"/>
  <c r="AD5519" i="16"/>
  <c r="AD5520" i="16"/>
  <c r="AD5521" i="16"/>
  <c r="AD5522" i="16"/>
  <c r="AD5523" i="16"/>
  <c r="AD5524" i="16"/>
  <c r="AD5525" i="16"/>
  <c r="AD5526" i="16"/>
  <c r="AD5527" i="16"/>
  <c r="AD5528" i="16"/>
  <c r="AD5529" i="16"/>
  <c r="AD5530" i="16"/>
  <c r="AD5531" i="16"/>
  <c r="AD5532" i="16"/>
  <c r="AD5533" i="16"/>
  <c r="AD5534" i="16"/>
  <c r="AD5535" i="16"/>
  <c r="AD5536" i="16"/>
  <c r="AD5537" i="16"/>
  <c r="AD5538" i="16"/>
  <c r="AD5539" i="16"/>
  <c r="AD5540" i="16"/>
  <c r="AD5541" i="16"/>
  <c r="AD5542" i="16"/>
  <c r="AD5543" i="16"/>
  <c r="AD5544" i="16"/>
  <c r="AD5545" i="16"/>
  <c r="AD5546" i="16"/>
  <c r="AD5547" i="16"/>
  <c r="AD5548" i="16"/>
  <c r="AD5549" i="16"/>
  <c r="AD5550" i="16"/>
  <c r="AD5551" i="16"/>
  <c r="AD5552" i="16"/>
  <c r="AD5553" i="16"/>
  <c r="AD5554" i="16"/>
  <c r="AD5555" i="16"/>
  <c r="AD5556" i="16"/>
  <c r="AD5557" i="16"/>
  <c r="AD5558" i="16"/>
  <c r="AD5559" i="16"/>
  <c r="AD5560" i="16"/>
  <c r="AD5561" i="16"/>
  <c r="AD5562" i="16"/>
  <c r="AD5563" i="16"/>
  <c r="AD5564" i="16"/>
  <c r="AD5565" i="16"/>
  <c r="AD5566" i="16"/>
  <c r="AD5567" i="16"/>
  <c r="AD5568" i="16"/>
  <c r="AD5569" i="16"/>
  <c r="AD5570" i="16"/>
  <c r="AD5571" i="16"/>
  <c r="AD5572" i="16"/>
  <c r="AD5573" i="16"/>
  <c r="AD5574" i="16"/>
  <c r="AD5575" i="16"/>
  <c r="AD5576" i="16"/>
  <c r="AD5577" i="16"/>
  <c r="AD5578" i="16"/>
  <c r="AD5579" i="16"/>
  <c r="AD5580" i="16"/>
  <c r="AD5581" i="16"/>
  <c r="AD5582" i="16"/>
  <c r="AD5583" i="16"/>
  <c r="AD5584" i="16"/>
  <c r="AD5585" i="16"/>
  <c r="AD5586" i="16"/>
  <c r="AD5587" i="16"/>
  <c r="AD5588" i="16"/>
  <c r="AD5589" i="16"/>
  <c r="AD5590" i="16"/>
  <c r="AD5591" i="16"/>
  <c r="AD5592" i="16"/>
  <c r="AD5593" i="16"/>
  <c r="AD5594" i="16"/>
  <c r="AD5595" i="16"/>
  <c r="AD5596" i="16"/>
  <c r="AD5597" i="16"/>
  <c r="AD5598" i="16"/>
  <c r="AD5599" i="16"/>
  <c r="AD5600" i="16"/>
  <c r="AD5601" i="16"/>
  <c r="AD5602" i="16"/>
  <c r="AD5603" i="16"/>
  <c r="AD5604" i="16"/>
  <c r="AD5605" i="16"/>
  <c r="AD5606" i="16"/>
  <c r="AD5607" i="16"/>
  <c r="AD5608" i="16"/>
  <c r="AD5609" i="16"/>
  <c r="AD5610" i="16"/>
  <c r="AD5611" i="16"/>
  <c r="AD5612" i="16"/>
  <c r="AD5613" i="16"/>
  <c r="AD5614" i="16"/>
  <c r="AD5615" i="16"/>
  <c r="AD5616" i="16"/>
  <c r="AD5617" i="16"/>
  <c r="AD5618" i="16"/>
  <c r="AD5619" i="16"/>
  <c r="AD5620" i="16"/>
  <c r="AD5621" i="16"/>
  <c r="AD5622" i="16"/>
  <c r="AD5623" i="16"/>
  <c r="AD5624" i="16"/>
  <c r="AD5625" i="16"/>
  <c r="AD5626" i="16"/>
  <c r="AD5627" i="16"/>
  <c r="AD5628" i="16"/>
  <c r="AD5629" i="16"/>
  <c r="AD5630" i="16"/>
  <c r="AD5631" i="16"/>
  <c r="AD5632" i="16"/>
  <c r="AD5633" i="16"/>
  <c r="AD5634" i="16"/>
  <c r="AD5635" i="16"/>
  <c r="AD5636" i="16"/>
  <c r="AD5637" i="16"/>
  <c r="AD5638" i="16"/>
  <c r="AD5639" i="16"/>
  <c r="AD5640" i="16"/>
  <c r="AD5641" i="16"/>
  <c r="AD5642" i="16"/>
  <c r="AD5643" i="16"/>
  <c r="AD5644" i="16"/>
  <c r="AD5645" i="16"/>
  <c r="AD5646" i="16"/>
  <c r="AD5647" i="16"/>
  <c r="AD5648" i="16"/>
  <c r="AD5649" i="16"/>
  <c r="AD5650" i="16"/>
  <c r="AD5651" i="16"/>
  <c r="AD5652" i="16"/>
  <c r="AD5653" i="16"/>
  <c r="AD5654" i="16"/>
  <c r="AD5655" i="16"/>
  <c r="AD5656" i="16"/>
  <c r="AD5657" i="16"/>
  <c r="AD5658" i="16"/>
  <c r="AD5659" i="16"/>
  <c r="AD5660" i="16"/>
  <c r="AD5661" i="16"/>
  <c r="AD5662" i="16"/>
  <c r="AD5663" i="16"/>
  <c r="AD5664" i="16"/>
  <c r="AD5665" i="16"/>
  <c r="AD5666" i="16"/>
  <c r="AD5667" i="16"/>
  <c r="AD5668" i="16"/>
  <c r="AD5669" i="16"/>
  <c r="AD5670" i="16"/>
  <c r="AD5671" i="16"/>
  <c r="AD5672" i="16"/>
  <c r="AD5673" i="16"/>
  <c r="AD5674" i="16"/>
  <c r="AD5675" i="16"/>
  <c r="AD5676" i="16"/>
  <c r="AD5677" i="16"/>
  <c r="AD5678" i="16"/>
  <c r="AD5679" i="16"/>
  <c r="AD5680" i="16"/>
  <c r="AD5681" i="16"/>
  <c r="AD5682" i="16"/>
  <c r="AD5683" i="16"/>
  <c r="AD5684" i="16"/>
  <c r="AD5685" i="16"/>
  <c r="AD5686" i="16"/>
  <c r="AD5687" i="16"/>
  <c r="AD5688" i="16"/>
  <c r="AD5689" i="16"/>
  <c r="AD5690" i="16"/>
  <c r="AD5691" i="16"/>
  <c r="AD5692" i="16"/>
  <c r="AD5693" i="16"/>
  <c r="AD5694" i="16"/>
  <c r="AD5695" i="16"/>
  <c r="AD5696" i="16"/>
  <c r="AD5697" i="16"/>
  <c r="AD5698" i="16"/>
  <c r="AD5699" i="16"/>
  <c r="AD5700" i="16"/>
  <c r="AD5701" i="16"/>
  <c r="AD5702" i="16"/>
  <c r="AD5703" i="16"/>
  <c r="AD5704" i="16"/>
  <c r="AD5705" i="16"/>
  <c r="AD5706" i="16"/>
  <c r="AD5707" i="16"/>
  <c r="AD5708" i="16"/>
  <c r="AD5709" i="16"/>
  <c r="AD5710" i="16"/>
  <c r="AD5711" i="16"/>
  <c r="AD5712" i="16"/>
  <c r="AD5713" i="16"/>
  <c r="AD5714" i="16"/>
  <c r="AD5715" i="16"/>
  <c r="AD5716" i="16"/>
  <c r="AD5717" i="16"/>
  <c r="AD5718" i="16"/>
  <c r="AD5719" i="16"/>
  <c r="AD5720" i="16"/>
  <c r="AD5721" i="16"/>
  <c r="AD5722" i="16"/>
  <c r="AD5723" i="16"/>
  <c r="AD5724" i="16"/>
  <c r="AD5725" i="16"/>
  <c r="AD5726" i="16"/>
  <c r="AD5727" i="16"/>
  <c r="AD5728" i="16"/>
  <c r="AD5729" i="16"/>
  <c r="AD5730" i="16"/>
  <c r="AD5731" i="16"/>
  <c r="AD5732" i="16"/>
  <c r="AD5733" i="16"/>
  <c r="AD5734" i="16"/>
  <c r="AD5735" i="16"/>
  <c r="AD5736" i="16"/>
  <c r="AD5737" i="16"/>
  <c r="AD5738" i="16"/>
  <c r="AD5739" i="16"/>
  <c r="AD5740" i="16"/>
  <c r="AD5741" i="16"/>
  <c r="AD5742" i="16"/>
  <c r="AD5743" i="16"/>
  <c r="AD5744" i="16"/>
  <c r="AD5745" i="16"/>
  <c r="AD5746" i="16"/>
  <c r="AD5747" i="16"/>
  <c r="AD5748" i="16"/>
  <c r="AD5749" i="16"/>
  <c r="AD5750" i="16"/>
  <c r="AD5751" i="16"/>
  <c r="AD5752" i="16"/>
  <c r="AD5753" i="16"/>
  <c r="AD5754" i="16"/>
  <c r="AD5755" i="16"/>
  <c r="AD5756" i="16"/>
  <c r="AD5757" i="16"/>
  <c r="AD5758" i="16"/>
  <c r="AD5759" i="16"/>
  <c r="AD5760" i="16"/>
  <c r="AD5761" i="16"/>
  <c r="AD5762" i="16"/>
  <c r="AD5763" i="16"/>
  <c r="AD5764" i="16"/>
  <c r="AD5765" i="16"/>
  <c r="AD5766" i="16"/>
  <c r="AD5767" i="16"/>
  <c r="AD5768" i="16"/>
  <c r="AD5769" i="16"/>
  <c r="AD5770" i="16"/>
  <c r="AD5771" i="16"/>
  <c r="AD5772" i="16"/>
  <c r="AD5773" i="16"/>
  <c r="AD5774" i="16"/>
  <c r="AD5775" i="16"/>
  <c r="AD5776" i="16"/>
  <c r="AD5777" i="16"/>
  <c r="AD5778" i="16"/>
  <c r="AD5779" i="16"/>
  <c r="AD5780" i="16"/>
  <c r="AD5781" i="16"/>
  <c r="AD5782" i="16"/>
  <c r="AD5783" i="16"/>
  <c r="AD5784" i="16"/>
  <c r="AD5785" i="16"/>
  <c r="AD5786" i="16"/>
  <c r="AD5787" i="16"/>
  <c r="AD5788" i="16"/>
  <c r="AD5789" i="16"/>
  <c r="AD5790" i="16"/>
  <c r="AD5791" i="16"/>
  <c r="AD5792" i="16"/>
  <c r="AD5793" i="16"/>
  <c r="AD5794" i="16"/>
  <c r="AD5795" i="16"/>
  <c r="AD5796" i="16"/>
  <c r="AD5797" i="16"/>
  <c r="AD5798" i="16"/>
  <c r="AD5799" i="16"/>
  <c r="AD5800" i="16"/>
  <c r="AD5801" i="16"/>
  <c r="AD5802" i="16"/>
  <c r="AD5803" i="16"/>
  <c r="AD5804" i="16"/>
  <c r="AD5805" i="16"/>
  <c r="AD5806" i="16"/>
  <c r="AD5807" i="16"/>
  <c r="AD5808" i="16"/>
  <c r="AD5809" i="16"/>
  <c r="AD5810" i="16"/>
  <c r="AD5811" i="16"/>
  <c r="AD5812" i="16"/>
  <c r="AD5813" i="16"/>
  <c r="AD5814" i="16"/>
  <c r="AD5815" i="16"/>
  <c r="AD5816" i="16"/>
  <c r="AD5817" i="16"/>
  <c r="AD5818" i="16"/>
  <c r="AD5819" i="16"/>
  <c r="AD5820" i="16"/>
  <c r="AD5821" i="16"/>
  <c r="AD5822" i="16"/>
  <c r="AD5823" i="16"/>
  <c r="AD5824" i="16"/>
  <c r="AD5825" i="16"/>
  <c r="AD5826" i="16"/>
  <c r="AD5827" i="16"/>
  <c r="AD5828" i="16"/>
  <c r="AD5829" i="16"/>
  <c r="AD5830" i="16"/>
  <c r="AD5831" i="16"/>
  <c r="AD5832" i="16"/>
  <c r="AD5833" i="16"/>
  <c r="AD5834" i="16"/>
  <c r="AD5835" i="16"/>
  <c r="AD5836" i="16"/>
  <c r="AD5837" i="16"/>
  <c r="AD5838" i="16"/>
  <c r="AD5839" i="16"/>
  <c r="AD5840" i="16"/>
  <c r="AD5841" i="16"/>
  <c r="AD5842" i="16"/>
  <c r="AD5843" i="16"/>
  <c r="AD5844" i="16"/>
  <c r="AD5845" i="16"/>
  <c r="AD5846" i="16"/>
  <c r="AD5847" i="16"/>
  <c r="AD5848" i="16"/>
  <c r="AD5849" i="16"/>
  <c r="AD5850" i="16"/>
  <c r="AD5851" i="16"/>
  <c r="AD5852" i="16"/>
  <c r="AD5853" i="16"/>
  <c r="AD5854" i="16"/>
  <c r="AD5855" i="16"/>
  <c r="AD5856" i="16"/>
  <c r="AD5857" i="16"/>
  <c r="AD5858" i="16"/>
  <c r="AD5859" i="16"/>
  <c r="AD5860" i="16"/>
  <c r="AD5861" i="16"/>
  <c r="AD5862" i="16"/>
  <c r="AD5863" i="16"/>
  <c r="AD5864" i="16"/>
  <c r="AD5865" i="16"/>
  <c r="AD5866" i="16"/>
  <c r="AD5867" i="16"/>
  <c r="AD5868" i="16"/>
  <c r="AD5869" i="16"/>
  <c r="AD5870" i="16"/>
  <c r="AD5871" i="16"/>
  <c r="AD5872" i="16"/>
  <c r="AD5873" i="16"/>
  <c r="AD5874" i="16"/>
  <c r="AD5875" i="16"/>
  <c r="AD5876" i="16"/>
  <c r="AD5877" i="16"/>
  <c r="AD5878" i="16"/>
  <c r="AD5879" i="16"/>
  <c r="AD5880" i="16"/>
  <c r="AD5881" i="16"/>
  <c r="AD5882" i="16"/>
  <c r="AD5883" i="16"/>
  <c r="AD5884" i="16"/>
  <c r="AD5885" i="16"/>
  <c r="AD5886" i="16"/>
  <c r="AD5887" i="16"/>
  <c r="AD5888" i="16"/>
  <c r="AD5889" i="16"/>
  <c r="AD5890" i="16"/>
  <c r="AD5891" i="16"/>
  <c r="AD5892" i="16"/>
  <c r="AD5893" i="16"/>
  <c r="AD5894" i="16"/>
  <c r="AD5895" i="16"/>
  <c r="AD5896" i="16"/>
  <c r="AD5897" i="16"/>
  <c r="AD5898" i="16"/>
  <c r="AD5899" i="16"/>
  <c r="AD5900" i="16"/>
  <c r="AD5901" i="16"/>
  <c r="AD5902" i="16"/>
  <c r="AD5903" i="16"/>
  <c r="AD5904" i="16"/>
  <c r="AD5905" i="16"/>
  <c r="AD5906" i="16"/>
  <c r="AD5907" i="16"/>
  <c r="AD5908" i="16"/>
  <c r="AD5909" i="16"/>
  <c r="AD5910" i="16"/>
  <c r="AD5911" i="16"/>
  <c r="AD5912" i="16"/>
  <c r="AD5913" i="16"/>
  <c r="AD5914" i="16"/>
  <c r="AD5915" i="16"/>
  <c r="AD5916" i="16"/>
  <c r="AD5917" i="16"/>
  <c r="AD5918" i="16"/>
  <c r="AD5919" i="16"/>
  <c r="AD5920" i="16"/>
  <c r="AD5921" i="16"/>
  <c r="AD5922" i="16"/>
  <c r="AD5923" i="16"/>
  <c r="AD5924" i="16"/>
  <c r="AD5925" i="16"/>
  <c r="AD5926" i="16"/>
  <c r="AD5927" i="16"/>
  <c r="AD5928" i="16"/>
  <c r="AD5929" i="16"/>
  <c r="AD5930" i="16"/>
  <c r="AD5931" i="16"/>
  <c r="AD5932" i="16"/>
  <c r="AD5933" i="16"/>
  <c r="AD5934" i="16"/>
  <c r="AD5935" i="16"/>
  <c r="AD5936" i="16"/>
  <c r="AD5937" i="16"/>
  <c r="AD5938" i="16"/>
  <c r="AD5939" i="16"/>
  <c r="AD5940" i="16"/>
  <c r="AD5941" i="16"/>
  <c r="AD5942" i="16"/>
  <c r="AD5943" i="16"/>
  <c r="AD5944" i="16"/>
  <c r="AD5945" i="16"/>
  <c r="AD5946" i="16"/>
  <c r="AD5947" i="16"/>
  <c r="AD5948" i="16"/>
  <c r="AD5949" i="16"/>
  <c r="AD5950" i="16"/>
  <c r="AD5951" i="16"/>
  <c r="AD5952" i="16"/>
  <c r="AD5953" i="16"/>
  <c r="AD5954" i="16"/>
  <c r="AD5955" i="16"/>
  <c r="AD5956" i="16"/>
  <c r="AD5957" i="16"/>
  <c r="AD5958" i="16"/>
  <c r="AD5959" i="16"/>
  <c r="AD5960" i="16"/>
  <c r="AD5961" i="16"/>
  <c r="AD5962" i="16"/>
  <c r="AD5963" i="16"/>
  <c r="AD5964" i="16"/>
  <c r="AD5965" i="16"/>
  <c r="AD5966" i="16"/>
  <c r="AD5967" i="16"/>
  <c r="AD5968" i="16"/>
  <c r="AD5969" i="16"/>
  <c r="AD5970" i="16"/>
  <c r="AD5971" i="16"/>
  <c r="AD5972" i="16"/>
  <c r="AD5973" i="16"/>
  <c r="AD5974" i="16"/>
  <c r="AD5975" i="16"/>
  <c r="AD5976" i="16"/>
  <c r="AD5977" i="16"/>
  <c r="AD5978" i="16"/>
  <c r="AD5979" i="16"/>
  <c r="AD5980" i="16"/>
  <c r="AD5981" i="16"/>
  <c r="AD5982" i="16"/>
  <c r="AD5983" i="16"/>
  <c r="AD5984" i="16"/>
  <c r="AD5985" i="16"/>
  <c r="AD5986" i="16"/>
  <c r="AD5987" i="16"/>
  <c r="AD5988" i="16"/>
  <c r="AD5989" i="16"/>
  <c r="AD5990" i="16"/>
  <c r="AD5991" i="16"/>
  <c r="AD5992" i="16"/>
  <c r="AD5993" i="16"/>
  <c r="AD5994" i="16"/>
  <c r="AD5995" i="16"/>
  <c r="AD5996" i="16"/>
  <c r="AD5997" i="16"/>
  <c r="AD5998" i="16"/>
  <c r="AD5999" i="16"/>
  <c r="AD6000" i="16"/>
  <c r="AD6001" i="16"/>
  <c r="AD6002" i="16"/>
  <c r="AD6003" i="16"/>
  <c r="AD6004" i="16"/>
  <c r="AD6005" i="16"/>
  <c r="AD6006" i="16"/>
  <c r="AD6007" i="16"/>
  <c r="AD6008" i="16"/>
  <c r="AD6009" i="16"/>
  <c r="AD6010" i="16"/>
  <c r="AD6011" i="16"/>
  <c r="AD6012" i="16"/>
  <c r="AD6013" i="16"/>
  <c r="AD6014" i="16"/>
  <c r="AD6015" i="16"/>
  <c r="AD6016" i="16"/>
  <c r="AD6017" i="16"/>
  <c r="AD6018" i="16"/>
  <c r="AD6019" i="16"/>
  <c r="AD6020" i="16"/>
  <c r="AD6021" i="16"/>
  <c r="AD6022" i="16"/>
  <c r="AD6023" i="16"/>
  <c r="AD6024" i="16"/>
  <c r="AD6025" i="16"/>
  <c r="AD6026" i="16"/>
  <c r="AD6027" i="16"/>
  <c r="AD6028" i="16"/>
  <c r="AD6029" i="16"/>
  <c r="AD6030" i="16"/>
  <c r="AD6031" i="16"/>
  <c r="AD6032" i="16"/>
  <c r="AD6033" i="16"/>
  <c r="AD6034" i="16"/>
  <c r="AD6035" i="16"/>
  <c r="AD6036" i="16"/>
  <c r="AD6037" i="16"/>
  <c r="AD6038" i="16"/>
  <c r="AD6039" i="16"/>
  <c r="AD6040" i="16"/>
  <c r="AD6041" i="16"/>
  <c r="AD6042" i="16"/>
  <c r="AD6043" i="16"/>
  <c r="AD6044" i="16"/>
  <c r="AD6045" i="16"/>
  <c r="AD6046" i="16"/>
  <c r="AD6047" i="16"/>
  <c r="AD6048" i="16"/>
  <c r="AD6049" i="16"/>
  <c r="AD6050" i="16"/>
  <c r="AD6051" i="16"/>
  <c r="AD6052" i="16"/>
  <c r="AD6053" i="16"/>
  <c r="AD6054" i="16"/>
  <c r="AD6055" i="16"/>
  <c r="AD6056" i="16"/>
  <c r="AD6057" i="16"/>
  <c r="AD6058" i="16"/>
  <c r="AD6059" i="16"/>
  <c r="AD6060" i="16"/>
  <c r="AD6061" i="16"/>
  <c r="AD6062" i="16"/>
  <c r="AD6063" i="16"/>
  <c r="AD6064" i="16"/>
  <c r="AD6065" i="16"/>
  <c r="AD6066" i="16"/>
  <c r="AD6067" i="16"/>
  <c r="AD6068" i="16"/>
  <c r="AD6069" i="16"/>
  <c r="AD6070" i="16"/>
  <c r="AD6071" i="16"/>
  <c r="AD6072" i="16"/>
  <c r="AD6073" i="16"/>
  <c r="AD6074" i="16"/>
  <c r="AD6075" i="16"/>
  <c r="AD6076" i="16"/>
  <c r="AD6077" i="16"/>
  <c r="AD6078" i="16"/>
  <c r="AD6079" i="16"/>
  <c r="AD6080" i="16"/>
  <c r="AD6081" i="16"/>
  <c r="AD6082" i="16"/>
  <c r="AD6083" i="16"/>
  <c r="AD6084" i="16"/>
  <c r="AD6085" i="16"/>
  <c r="AD6086" i="16"/>
  <c r="AD6087" i="16"/>
  <c r="AD6088" i="16"/>
  <c r="AD6089" i="16"/>
  <c r="AD6090" i="16"/>
  <c r="AD6091" i="16"/>
  <c r="AD6092" i="16"/>
  <c r="AD6093" i="16"/>
  <c r="AD6094" i="16"/>
  <c r="AD6095" i="16"/>
  <c r="AD6096" i="16"/>
  <c r="AD6097" i="16"/>
  <c r="AD6098" i="16"/>
  <c r="AD6099" i="16"/>
  <c r="AD6100" i="16"/>
  <c r="AD6101" i="16"/>
  <c r="AD6102" i="16"/>
  <c r="AD6103" i="16"/>
  <c r="AD6104" i="16"/>
  <c r="AD6105" i="16"/>
  <c r="AD6106" i="16"/>
  <c r="AD6107" i="16"/>
  <c r="AD6108" i="16"/>
  <c r="AD6109" i="16"/>
  <c r="AD6110" i="16"/>
  <c r="AD6111" i="16"/>
  <c r="AD6112" i="16"/>
  <c r="AD6113" i="16"/>
  <c r="AD6114" i="16"/>
  <c r="AD6115" i="16"/>
  <c r="AD6116" i="16"/>
  <c r="AD6117" i="16"/>
  <c r="AD6118" i="16"/>
  <c r="AD6119" i="16"/>
  <c r="AD6120" i="16"/>
  <c r="AD6121" i="16"/>
  <c r="AD6122" i="16"/>
  <c r="AD6123" i="16"/>
  <c r="AD6124" i="16"/>
  <c r="AD6125" i="16"/>
  <c r="AD6126" i="16"/>
  <c r="AD6127" i="16"/>
  <c r="AD6128" i="16"/>
  <c r="AD6129" i="16"/>
  <c r="AD6130" i="16"/>
  <c r="AD6131" i="16"/>
  <c r="AD6132" i="16"/>
  <c r="AD6133" i="16"/>
  <c r="AD6134" i="16"/>
  <c r="AD6135" i="16"/>
  <c r="AD6136" i="16"/>
  <c r="AD6137" i="16"/>
  <c r="AD6138" i="16"/>
  <c r="AD6139" i="16"/>
  <c r="AD6140" i="16"/>
  <c r="AD6141" i="16"/>
  <c r="AD6142" i="16"/>
  <c r="AD6143" i="16"/>
  <c r="AD6144" i="16"/>
  <c r="AD6145" i="16"/>
  <c r="AD6146" i="16"/>
  <c r="AD6147" i="16"/>
  <c r="AD6148" i="16"/>
  <c r="AD6149" i="16"/>
  <c r="AD6150" i="16"/>
  <c r="AD6151" i="16"/>
  <c r="AD6152" i="16"/>
  <c r="AD6153" i="16"/>
  <c r="AD6154" i="16"/>
  <c r="AD6155" i="16"/>
  <c r="AD6156" i="16"/>
  <c r="AD6157" i="16"/>
  <c r="AD6158" i="16"/>
  <c r="AD6159" i="16"/>
  <c r="AD6160" i="16"/>
  <c r="AD6161" i="16"/>
  <c r="AD6162" i="16"/>
  <c r="AD6163" i="16"/>
  <c r="AD6164" i="16"/>
  <c r="AD6165" i="16"/>
  <c r="AD6166" i="16"/>
  <c r="AD6167" i="16"/>
  <c r="AD6168" i="16"/>
  <c r="AD6169" i="16"/>
  <c r="AD6170" i="16"/>
  <c r="AD6171" i="16"/>
  <c r="AD6172" i="16"/>
  <c r="AD6173" i="16"/>
  <c r="AD6174" i="16"/>
  <c r="AD6175" i="16"/>
  <c r="AD6176" i="16"/>
  <c r="AD6177" i="16"/>
  <c r="AD6178" i="16"/>
  <c r="AD6179" i="16"/>
  <c r="AD6180" i="16"/>
  <c r="AD6181" i="16"/>
  <c r="AD6182" i="16"/>
  <c r="AD6183" i="16"/>
  <c r="AD6184" i="16"/>
  <c r="AD6185" i="16"/>
  <c r="AD6186" i="16"/>
  <c r="AD6187" i="16"/>
  <c r="AD6188" i="16"/>
  <c r="AD6189" i="16"/>
  <c r="AD6190" i="16"/>
  <c r="AD6191" i="16"/>
  <c r="AD6192" i="16"/>
  <c r="AD6193" i="16"/>
  <c r="AD6194" i="16"/>
  <c r="AD6195" i="16"/>
  <c r="AD6196" i="16"/>
  <c r="AD6197" i="16"/>
  <c r="AD6198" i="16"/>
  <c r="AD6199" i="16"/>
  <c r="AD6200" i="16"/>
  <c r="AD6201" i="16"/>
  <c r="AD6202" i="16"/>
  <c r="AD6203" i="16"/>
  <c r="AD6204" i="16"/>
  <c r="AD6205" i="16"/>
  <c r="AD6206" i="16"/>
  <c r="AD6207" i="16"/>
  <c r="AD6208" i="16"/>
  <c r="AD6209" i="16"/>
  <c r="AD6210" i="16"/>
  <c r="AD6211" i="16"/>
  <c r="AD6212" i="16"/>
  <c r="AD6213" i="16"/>
  <c r="AD6214" i="16"/>
  <c r="AD6215" i="16"/>
  <c r="AD6216" i="16"/>
  <c r="AD6217" i="16"/>
  <c r="AD6218" i="16"/>
  <c r="AD6219" i="16"/>
  <c r="AD6220" i="16"/>
  <c r="AD6221" i="16"/>
  <c r="AD6222" i="16"/>
  <c r="AD6223" i="16"/>
  <c r="AD6224" i="16"/>
  <c r="AD6225" i="16"/>
  <c r="AD6226" i="16"/>
  <c r="AD6227" i="16"/>
  <c r="AD6228" i="16"/>
  <c r="AD6229" i="16"/>
  <c r="AD6230" i="16"/>
  <c r="AD6231" i="16"/>
  <c r="AD6232" i="16"/>
  <c r="AD6233" i="16"/>
  <c r="AD6234" i="16"/>
  <c r="AD6235" i="16"/>
  <c r="AD6236" i="16"/>
  <c r="AD6237" i="16"/>
  <c r="AD6238" i="16"/>
  <c r="AD6239" i="16"/>
  <c r="AD6240" i="16"/>
  <c r="AD6241" i="16"/>
  <c r="AD6242" i="16"/>
  <c r="AD6243" i="16"/>
  <c r="AD6244" i="16"/>
  <c r="AD6245" i="16"/>
  <c r="AD6246" i="16"/>
  <c r="AD6247" i="16"/>
  <c r="AD6248" i="16"/>
  <c r="AD6249" i="16"/>
  <c r="AD6250" i="16"/>
  <c r="AD6251" i="16"/>
  <c r="AD6252" i="16"/>
  <c r="AD6253" i="16"/>
  <c r="AD6254" i="16"/>
  <c r="AD6255" i="16"/>
  <c r="AD6256" i="16"/>
  <c r="AD6257" i="16"/>
  <c r="AD6258" i="16"/>
  <c r="AD6259" i="16"/>
  <c r="AD6260" i="16"/>
  <c r="AD6261" i="16"/>
  <c r="AD6262" i="16"/>
  <c r="AD6263" i="16"/>
  <c r="AD6264" i="16"/>
  <c r="AD6265" i="16"/>
  <c r="AD6266" i="16"/>
  <c r="AD6267" i="16"/>
  <c r="AD6268" i="16"/>
  <c r="AD6269" i="16"/>
  <c r="AD6270" i="16"/>
  <c r="AD6271" i="16"/>
  <c r="AD6272" i="16"/>
  <c r="AD6273" i="16"/>
  <c r="AD6274" i="16"/>
  <c r="AD6275" i="16"/>
  <c r="AD6276" i="16"/>
  <c r="AD6277" i="16"/>
  <c r="AD6278" i="16"/>
  <c r="AD6279" i="16"/>
  <c r="AD6280" i="16"/>
  <c r="AD6281" i="16"/>
  <c r="AD6282" i="16"/>
  <c r="AD6283" i="16"/>
  <c r="AD6284" i="16"/>
  <c r="AD6285" i="16"/>
  <c r="AD6286" i="16"/>
  <c r="AD6287" i="16"/>
  <c r="AD6288" i="16"/>
  <c r="AD6289" i="16"/>
  <c r="AD6290" i="16"/>
  <c r="AD6291" i="16"/>
  <c r="AD6292" i="16"/>
  <c r="AD6293" i="16"/>
  <c r="AD6294" i="16"/>
  <c r="AD6295" i="16"/>
  <c r="AD6296" i="16"/>
  <c r="AD6297" i="16"/>
  <c r="AD6298" i="16"/>
  <c r="AD6299" i="16"/>
  <c r="AD6300" i="16"/>
  <c r="AD6301" i="16"/>
  <c r="AD6302" i="16"/>
  <c r="AD6303" i="16"/>
  <c r="AD6304" i="16"/>
  <c r="AD6305" i="16"/>
  <c r="AD6306" i="16"/>
  <c r="AD6307" i="16"/>
  <c r="AD6308" i="16"/>
  <c r="AD6309" i="16"/>
  <c r="AD6310" i="16"/>
  <c r="AD6311" i="16"/>
  <c r="AD6312" i="16"/>
  <c r="AD6313" i="16"/>
  <c r="AD6314" i="16"/>
  <c r="AD6315" i="16"/>
  <c r="AD6316" i="16"/>
  <c r="AD6317" i="16"/>
  <c r="AD6318" i="16"/>
  <c r="AD6319" i="16"/>
  <c r="AD6320" i="16"/>
  <c r="AD6321" i="16"/>
  <c r="AD6322" i="16"/>
  <c r="AD6323" i="16"/>
  <c r="AD6324" i="16"/>
  <c r="AD6325" i="16"/>
  <c r="AD6326" i="16"/>
  <c r="AD6327" i="16"/>
  <c r="AD6328" i="16"/>
  <c r="AD6329" i="16"/>
  <c r="AD6330" i="16"/>
  <c r="AD6331" i="16"/>
  <c r="AD6332" i="16"/>
  <c r="AD6333" i="16"/>
  <c r="AD6334" i="16"/>
  <c r="AD6335" i="16"/>
  <c r="AD6336" i="16"/>
  <c r="AD6337" i="16"/>
  <c r="AD6338" i="16"/>
  <c r="AD6339" i="16"/>
  <c r="AD6340" i="16"/>
  <c r="AD6341" i="16"/>
  <c r="AD6342" i="16"/>
  <c r="AD6343" i="16"/>
  <c r="AD6344" i="16"/>
  <c r="AD6345" i="16"/>
  <c r="AD6346" i="16"/>
  <c r="AD6347" i="16"/>
  <c r="AD6348" i="16"/>
  <c r="AD6349" i="16"/>
  <c r="AD6350" i="16"/>
  <c r="AD6351" i="16"/>
  <c r="AD6352" i="16"/>
  <c r="AD6353" i="16"/>
  <c r="AD6354" i="16"/>
  <c r="AD6355" i="16"/>
  <c r="AD6356" i="16"/>
  <c r="AD6357" i="16"/>
  <c r="AD6358" i="16"/>
  <c r="AD6359" i="16"/>
  <c r="AD6360" i="16"/>
  <c r="AD6361" i="16"/>
  <c r="AD6362" i="16"/>
  <c r="AD6363" i="16"/>
  <c r="AD6364" i="16"/>
  <c r="AD6365" i="16"/>
  <c r="AD6366" i="16"/>
  <c r="AD6367" i="16"/>
  <c r="AD6368" i="16"/>
  <c r="AD6369" i="16"/>
  <c r="AD6370" i="16"/>
  <c r="AD6371" i="16"/>
  <c r="AD6372" i="16"/>
  <c r="AD6373" i="16"/>
  <c r="AD6374" i="16"/>
  <c r="AD6375" i="16"/>
  <c r="AD6376" i="16"/>
  <c r="AD6377" i="16"/>
  <c r="AD6378" i="16"/>
  <c r="AD6379" i="16"/>
  <c r="AD6380" i="16"/>
  <c r="AD6381" i="16"/>
  <c r="AD6382" i="16"/>
  <c r="AD6383" i="16"/>
  <c r="AD6384" i="16"/>
  <c r="AD6385" i="16"/>
  <c r="AD6386" i="16"/>
  <c r="AD6387" i="16"/>
  <c r="AD6388" i="16"/>
  <c r="AD6389" i="16"/>
  <c r="AD6390" i="16"/>
  <c r="AD6391" i="16"/>
  <c r="AD6392" i="16"/>
  <c r="AD6393" i="16"/>
  <c r="AD6394" i="16"/>
  <c r="AD6395" i="16"/>
  <c r="AD6396" i="16"/>
  <c r="AD6397" i="16"/>
  <c r="AD6398" i="16"/>
  <c r="AD6399" i="16"/>
  <c r="AD6400" i="16"/>
  <c r="AD6401" i="16"/>
  <c r="AD6402" i="16"/>
  <c r="AD6403" i="16"/>
  <c r="AD6404" i="16"/>
  <c r="AD6405" i="16"/>
  <c r="AD6406" i="16"/>
  <c r="AD6407" i="16"/>
  <c r="AD6408" i="16"/>
  <c r="AD6409" i="16"/>
  <c r="AD6410" i="16"/>
  <c r="AD6411" i="16"/>
  <c r="AD6412" i="16"/>
  <c r="AD6413" i="16"/>
  <c r="AD6414" i="16"/>
  <c r="AD6415" i="16"/>
  <c r="AD6416" i="16"/>
  <c r="AD6417" i="16"/>
  <c r="AD6418" i="16"/>
  <c r="AD6419" i="16"/>
  <c r="AD6420" i="16"/>
  <c r="AD6421" i="16"/>
  <c r="AD6422" i="16"/>
  <c r="AD6423" i="16"/>
  <c r="AD6424" i="16"/>
  <c r="AD6425" i="16"/>
  <c r="AD6426" i="16"/>
  <c r="AD6427" i="16"/>
  <c r="AD6428" i="16"/>
  <c r="AD6429" i="16"/>
  <c r="AD6430" i="16"/>
  <c r="AD6431" i="16"/>
  <c r="AD6432" i="16"/>
  <c r="AD6433" i="16"/>
  <c r="AD6434" i="16"/>
  <c r="AD6435" i="16"/>
  <c r="AD6436" i="16"/>
  <c r="AD6437" i="16"/>
  <c r="AD6438" i="16"/>
  <c r="AD6439" i="16"/>
  <c r="AD6440" i="16"/>
  <c r="AD6441" i="16"/>
  <c r="AD6442" i="16"/>
  <c r="AD6443" i="16"/>
  <c r="AD6444" i="16"/>
  <c r="AD6445" i="16"/>
  <c r="AD6446" i="16"/>
  <c r="AD6447" i="16"/>
  <c r="AD6448" i="16"/>
  <c r="AD6449" i="16"/>
  <c r="AD6450" i="16"/>
  <c r="AD6451" i="16"/>
  <c r="AD6452" i="16"/>
  <c r="AD6453" i="16"/>
  <c r="AD6454" i="16"/>
  <c r="AD6455" i="16"/>
  <c r="AD6456" i="16"/>
  <c r="AD6457" i="16"/>
  <c r="AD6458" i="16"/>
  <c r="AD6459" i="16"/>
  <c r="AD6460" i="16"/>
  <c r="AD6461" i="16"/>
  <c r="AD6462" i="16"/>
  <c r="AD6463" i="16"/>
  <c r="AD6464" i="16"/>
  <c r="AD6465" i="16"/>
  <c r="AD6466" i="16"/>
  <c r="AD6467" i="16"/>
  <c r="AD6468" i="16"/>
  <c r="AD6469" i="16"/>
  <c r="AD6470" i="16"/>
  <c r="AD6471" i="16"/>
  <c r="AD6472" i="16"/>
  <c r="AD6473" i="16"/>
  <c r="AD6474" i="16"/>
  <c r="AD6475" i="16"/>
  <c r="AD6476" i="16"/>
  <c r="AD6477" i="16"/>
  <c r="AD6478" i="16"/>
  <c r="AD6479" i="16"/>
  <c r="AD6480" i="16"/>
  <c r="AD6481" i="16"/>
  <c r="AD6482" i="16"/>
  <c r="AD6483" i="16"/>
  <c r="AD6484" i="16"/>
  <c r="AD6485" i="16"/>
  <c r="AD6486" i="16"/>
  <c r="AD6487" i="16"/>
  <c r="AD6488" i="16"/>
  <c r="AD6489" i="16"/>
  <c r="AD6490" i="16"/>
  <c r="AD6491" i="16"/>
  <c r="AD6492" i="16"/>
  <c r="AD6493" i="16"/>
  <c r="AD6494" i="16"/>
  <c r="AD6495" i="16"/>
  <c r="AD6496" i="16"/>
  <c r="AD6497" i="16"/>
  <c r="AD6498" i="16"/>
  <c r="AD6499" i="16"/>
  <c r="AD6500" i="16"/>
  <c r="AD6501" i="16"/>
  <c r="AD6502" i="16"/>
  <c r="AD6503" i="16"/>
  <c r="AD6504" i="16"/>
  <c r="AD6505" i="16"/>
  <c r="AD6506" i="16"/>
  <c r="AD6507" i="16"/>
  <c r="AD6508" i="16"/>
  <c r="AD6509" i="16"/>
  <c r="AD6510" i="16"/>
  <c r="AD6511" i="16"/>
  <c r="AD6512" i="16"/>
  <c r="AD6513" i="16"/>
  <c r="AD6514" i="16"/>
  <c r="AD6515" i="16"/>
  <c r="AD6516" i="16"/>
  <c r="AD6517" i="16"/>
  <c r="AD6518" i="16"/>
  <c r="AD6519" i="16"/>
  <c r="AD6520" i="16"/>
  <c r="AD6521" i="16"/>
  <c r="AD6522" i="16"/>
  <c r="AD6523" i="16"/>
  <c r="AD6524" i="16"/>
  <c r="AD6525" i="16"/>
  <c r="AD6526" i="16"/>
  <c r="AD6527" i="16"/>
  <c r="AD6528" i="16"/>
  <c r="AD6529" i="16"/>
  <c r="AD6530" i="16"/>
  <c r="AD6531" i="16"/>
  <c r="AD6532" i="16"/>
  <c r="AD6533" i="16"/>
  <c r="AD6534" i="16"/>
  <c r="AD6535" i="16"/>
  <c r="AD6536" i="16"/>
  <c r="AD6537" i="16"/>
  <c r="AD6538" i="16"/>
  <c r="AD6539" i="16"/>
  <c r="AD6540" i="16"/>
  <c r="AD6541" i="16"/>
  <c r="AD6542" i="16"/>
  <c r="AD6543" i="16"/>
  <c r="AD6544" i="16"/>
  <c r="AD6545" i="16"/>
  <c r="AD6546" i="16"/>
  <c r="AD6547" i="16"/>
  <c r="AD6548" i="16"/>
  <c r="AD6549" i="16"/>
  <c r="AD6550" i="16"/>
  <c r="AD6551" i="16"/>
  <c r="AD6552" i="16"/>
  <c r="AD6553" i="16"/>
  <c r="AD6554" i="16"/>
  <c r="AD6555" i="16"/>
  <c r="AD6556" i="16"/>
  <c r="AD6557" i="16"/>
  <c r="AD6558" i="16"/>
  <c r="AD6559" i="16"/>
  <c r="AD6560" i="16"/>
  <c r="AD6561" i="16"/>
  <c r="AD6562" i="16"/>
  <c r="AD6563" i="16"/>
  <c r="AD6564" i="16"/>
  <c r="AD6565" i="16"/>
  <c r="AD6566" i="16"/>
  <c r="AD6567" i="16"/>
  <c r="AD6568" i="16"/>
  <c r="AD6569" i="16"/>
  <c r="AD6570" i="16"/>
  <c r="AD6571" i="16"/>
  <c r="AD6572" i="16"/>
  <c r="AD6573" i="16"/>
  <c r="AD6574" i="16"/>
  <c r="AD6575" i="16"/>
  <c r="AD6576" i="16"/>
  <c r="AD6577" i="16"/>
  <c r="AD6578" i="16"/>
  <c r="AD6579" i="16"/>
  <c r="AD6580" i="16"/>
  <c r="AD6581" i="16"/>
  <c r="AD6582" i="16"/>
  <c r="AD6583" i="16"/>
  <c r="AD6584" i="16"/>
  <c r="AD6585" i="16"/>
  <c r="AD6586" i="16"/>
  <c r="AD6587" i="16"/>
  <c r="AD6588" i="16"/>
  <c r="AD6589" i="16"/>
  <c r="AD6590" i="16"/>
  <c r="AD6591" i="16"/>
  <c r="AD6592" i="16"/>
  <c r="AD6593" i="16"/>
  <c r="AD6594" i="16"/>
  <c r="AD6595" i="16"/>
  <c r="AD6596" i="16"/>
  <c r="AD6597" i="16"/>
  <c r="AD6598" i="16"/>
  <c r="AD6599" i="16"/>
  <c r="AD6600" i="16"/>
  <c r="AD6601" i="16"/>
  <c r="AD6602" i="16"/>
  <c r="AD6603" i="16"/>
  <c r="AD6604" i="16"/>
  <c r="AD6605" i="16"/>
  <c r="AD6606" i="16"/>
  <c r="AD6607" i="16"/>
  <c r="AD6608" i="16"/>
  <c r="AD6609" i="16"/>
  <c r="AD6610" i="16"/>
  <c r="AD6611" i="16"/>
  <c r="AD6612" i="16"/>
  <c r="AD6613" i="16"/>
  <c r="AD6614" i="16"/>
  <c r="AD6615" i="16"/>
  <c r="AD6616" i="16"/>
  <c r="AD6617" i="16"/>
  <c r="AD6618" i="16"/>
  <c r="AD6619" i="16"/>
  <c r="AD6620" i="16"/>
  <c r="AD6621" i="16"/>
  <c r="AD6622" i="16"/>
  <c r="AD6623" i="16"/>
  <c r="AD6624" i="16"/>
  <c r="AD6625" i="16"/>
  <c r="AD6626" i="16"/>
  <c r="AD6627" i="16"/>
  <c r="AD6628" i="16"/>
  <c r="AD6629" i="16"/>
  <c r="AD6630" i="16"/>
  <c r="AD6631" i="16"/>
  <c r="AD6632" i="16"/>
  <c r="AD6633" i="16"/>
  <c r="AD6634" i="16"/>
  <c r="AD6635" i="16"/>
  <c r="AD6636" i="16"/>
  <c r="AD6637" i="16"/>
  <c r="AD6638" i="16"/>
  <c r="AD6639" i="16"/>
  <c r="AD6640" i="16"/>
  <c r="AD6641" i="16"/>
  <c r="AD6642" i="16"/>
  <c r="AD6643" i="16"/>
  <c r="AD6644" i="16"/>
  <c r="AD6645" i="16"/>
  <c r="AD6646" i="16"/>
  <c r="AD6647" i="16"/>
  <c r="AD6648" i="16"/>
  <c r="AD6649" i="16"/>
  <c r="AD6650" i="16"/>
  <c r="AD6651" i="16"/>
  <c r="AD6652" i="16"/>
  <c r="AD6653" i="16"/>
  <c r="AD6654" i="16"/>
  <c r="AD6655" i="16"/>
  <c r="AD6656" i="16"/>
  <c r="AD6657" i="16"/>
  <c r="AD6658" i="16"/>
  <c r="AD6659" i="16"/>
  <c r="AD6660" i="16"/>
  <c r="AD6661" i="16"/>
  <c r="AD6662" i="16"/>
  <c r="AD6663" i="16"/>
  <c r="AD6664" i="16"/>
  <c r="AD6665" i="16"/>
  <c r="AD6666" i="16"/>
  <c r="AD6667" i="16"/>
  <c r="AD6668" i="16"/>
  <c r="AD6669" i="16"/>
  <c r="AD6670" i="16"/>
  <c r="AD6671" i="16"/>
  <c r="AD6672" i="16"/>
  <c r="AD6673" i="16"/>
  <c r="AD6674" i="16"/>
  <c r="AD6675" i="16"/>
  <c r="AD6676" i="16"/>
  <c r="AD6677" i="16"/>
  <c r="AD6678" i="16"/>
  <c r="AD6679" i="16"/>
  <c r="AD6680" i="16"/>
  <c r="AD6681" i="16"/>
  <c r="AD6682" i="16"/>
  <c r="AD6683" i="16"/>
  <c r="AD6684" i="16"/>
  <c r="AD6685" i="16"/>
  <c r="AD6686" i="16"/>
  <c r="AD6687" i="16"/>
  <c r="AD6688" i="16"/>
  <c r="AD6689" i="16"/>
  <c r="AD6690" i="16"/>
  <c r="AD6691" i="16"/>
  <c r="AD6692" i="16"/>
  <c r="AD6693" i="16"/>
  <c r="AD6694" i="16"/>
  <c r="AD6695" i="16"/>
  <c r="AD6696" i="16"/>
  <c r="AD6697" i="16"/>
  <c r="AD6698" i="16"/>
  <c r="AD6699" i="16"/>
  <c r="AD6700" i="16"/>
  <c r="AD6701" i="16"/>
  <c r="AD6702" i="16"/>
  <c r="AD6703" i="16"/>
  <c r="AD6704" i="16"/>
  <c r="AD6705" i="16"/>
  <c r="AD6706" i="16"/>
  <c r="AD6707" i="16"/>
  <c r="AD6708" i="16"/>
  <c r="AD6709" i="16"/>
  <c r="AD6710" i="16"/>
  <c r="AD6711" i="16"/>
  <c r="AD6712" i="16"/>
  <c r="AD6713" i="16"/>
  <c r="AD6714" i="16"/>
  <c r="AD6715" i="16"/>
  <c r="AD6716" i="16"/>
  <c r="AD6717" i="16"/>
  <c r="AD6718" i="16"/>
  <c r="AD6719" i="16"/>
  <c r="AD6720" i="16"/>
  <c r="AD6721" i="16"/>
  <c r="AD6722" i="16"/>
  <c r="AD6723" i="16"/>
  <c r="AD6724" i="16"/>
  <c r="AD6725" i="16"/>
  <c r="AD6726" i="16"/>
  <c r="AD6727" i="16"/>
  <c r="AD6728" i="16"/>
  <c r="AD6729" i="16"/>
  <c r="AD6730" i="16"/>
  <c r="AD6731" i="16"/>
  <c r="AD6732" i="16"/>
  <c r="AD6733" i="16"/>
  <c r="AD6734" i="16"/>
  <c r="AD6735" i="16"/>
  <c r="AD6736" i="16"/>
  <c r="AD6737" i="16"/>
  <c r="AD6738" i="16"/>
  <c r="AD6739" i="16"/>
  <c r="AD6740" i="16"/>
  <c r="AD6741" i="16"/>
  <c r="AD6742" i="16"/>
  <c r="AD6743" i="16"/>
  <c r="AD6744" i="16"/>
  <c r="AD6745" i="16"/>
  <c r="AD6746" i="16"/>
  <c r="AD6747" i="16"/>
  <c r="AD6748" i="16"/>
  <c r="AD6749" i="16"/>
  <c r="AD6750" i="16"/>
  <c r="AD6751" i="16"/>
  <c r="AD6752" i="16"/>
  <c r="AD6753" i="16"/>
  <c r="AD6754" i="16"/>
  <c r="AD6755" i="16"/>
  <c r="AD6756" i="16"/>
  <c r="AD6757" i="16"/>
  <c r="AD6758" i="16"/>
  <c r="AD6759" i="16"/>
  <c r="AD6760" i="16"/>
  <c r="AD6761" i="16"/>
  <c r="AD6762" i="16"/>
  <c r="AD6763" i="16"/>
  <c r="AD6764" i="16"/>
  <c r="AD6765" i="16"/>
  <c r="AD6766" i="16"/>
  <c r="AD6767" i="16"/>
  <c r="AD6768" i="16"/>
  <c r="AD6769" i="16"/>
  <c r="AD6770" i="16"/>
  <c r="AD6771" i="16"/>
  <c r="AD6772" i="16"/>
  <c r="AD6773" i="16"/>
  <c r="AD6774" i="16"/>
  <c r="AD6775" i="16"/>
  <c r="AD6776" i="16"/>
  <c r="AD6777" i="16"/>
  <c r="AD6778" i="16"/>
  <c r="AD6779" i="16"/>
  <c r="AD6780" i="16"/>
  <c r="AD6781" i="16"/>
  <c r="AD6782" i="16"/>
  <c r="AD6783" i="16"/>
  <c r="AD6784" i="16"/>
  <c r="AD6785" i="16"/>
  <c r="AD6786" i="16"/>
  <c r="AD6787" i="16"/>
  <c r="AD6788" i="16"/>
  <c r="AD6789" i="16"/>
  <c r="AD6790" i="16"/>
  <c r="AD6791" i="16"/>
  <c r="AD6792" i="16"/>
  <c r="AD6793" i="16"/>
  <c r="AD6794" i="16"/>
  <c r="AD6795" i="16"/>
  <c r="AD6796" i="16"/>
  <c r="AD6797" i="16"/>
  <c r="AD6798" i="16"/>
  <c r="AD6799" i="16"/>
  <c r="AD6800" i="16"/>
  <c r="AD6801" i="16"/>
  <c r="AD6802" i="16"/>
  <c r="AD6803" i="16"/>
  <c r="AD6804" i="16"/>
  <c r="AD6805" i="16"/>
  <c r="AD6806" i="16"/>
  <c r="AD6807" i="16"/>
  <c r="AD6808" i="16"/>
  <c r="AD6809" i="16"/>
  <c r="AD6810" i="16"/>
  <c r="AD6811" i="16"/>
  <c r="AD6812" i="16"/>
  <c r="AD6813" i="16"/>
  <c r="AD6814" i="16"/>
  <c r="AD6815" i="16"/>
  <c r="AD6816" i="16"/>
  <c r="AD6817" i="16"/>
  <c r="AD6818" i="16"/>
  <c r="AD6819" i="16"/>
  <c r="AD6820" i="16"/>
  <c r="AD6821" i="16"/>
  <c r="AD6822" i="16"/>
  <c r="AD6823" i="16"/>
  <c r="AD6824" i="16"/>
  <c r="AD6825" i="16"/>
  <c r="AD6826" i="16"/>
  <c r="AD6827" i="16"/>
  <c r="AD6828" i="16"/>
  <c r="AD6829" i="16"/>
  <c r="AD6830" i="16"/>
  <c r="AD6831" i="16"/>
  <c r="AD6832" i="16"/>
  <c r="AD6833" i="16"/>
  <c r="AD6834" i="16"/>
  <c r="AD6835" i="16"/>
  <c r="AD6836" i="16"/>
  <c r="AD6837" i="16"/>
  <c r="AD6838" i="16"/>
  <c r="AD6839" i="16"/>
  <c r="AD6840" i="16"/>
  <c r="AD6841" i="16"/>
  <c r="AD6842" i="16"/>
  <c r="AD6843" i="16"/>
  <c r="AD6844" i="16"/>
  <c r="AD6845" i="16"/>
  <c r="AD6846" i="16"/>
  <c r="AD6847" i="16"/>
  <c r="AD6848" i="16"/>
  <c r="AD6849" i="16"/>
  <c r="AD6850" i="16"/>
  <c r="AD6851" i="16"/>
  <c r="AD6852" i="16"/>
  <c r="AD6853" i="16"/>
  <c r="AD6854" i="16"/>
  <c r="AD6855" i="16"/>
  <c r="AD6856" i="16"/>
  <c r="AD6857" i="16"/>
  <c r="AD6858" i="16"/>
  <c r="AD6859" i="16"/>
  <c r="AD6860" i="16"/>
  <c r="AD6861" i="16"/>
  <c r="AD6862" i="16"/>
  <c r="AD6863" i="16"/>
  <c r="AD6864" i="16"/>
  <c r="AD6865" i="16"/>
  <c r="AD6866" i="16"/>
  <c r="AD6867" i="16"/>
  <c r="AD6868" i="16"/>
  <c r="AD6869" i="16"/>
  <c r="AD6870" i="16"/>
  <c r="AD6871" i="16"/>
  <c r="AD6872" i="16"/>
  <c r="AD6873" i="16"/>
  <c r="AD6874" i="16"/>
  <c r="AD6875" i="16"/>
  <c r="AD6876" i="16"/>
  <c r="AD6877" i="16"/>
  <c r="AD6878" i="16"/>
  <c r="AD6879" i="16"/>
  <c r="AD6880" i="16"/>
  <c r="AD6881" i="16"/>
  <c r="AD6882" i="16"/>
  <c r="AD6883" i="16"/>
  <c r="AD6884" i="16"/>
  <c r="AD6885" i="16"/>
  <c r="AD6886" i="16"/>
  <c r="AD6887" i="16"/>
  <c r="AD6888" i="16"/>
  <c r="AD6889" i="16"/>
  <c r="AD6890" i="16"/>
  <c r="AD6891" i="16"/>
  <c r="AD6892" i="16"/>
  <c r="AD6893" i="16"/>
  <c r="AD6894" i="16"/>
  <c r="AD6895" i="16"/>
  <c r="AD6896" i="16"/>
  <c r="AD6897" i="16"/>
  <c r="AD6898" i="16"/>
  <c r="AD6899" i="16"/>
  <c r="AD6900" i="16"/>
  <c r="AD6901" i="16"/>
  <c r="AD6902" i="16"/>
  <c r="AD6903" i="16"/>
  <c r="AD6904" i="16"/>
  <c r="AD6905" i="16"/>
  <c r="AD6906" i="16"/>
  <c r="AD6907" i="16"/>
  <c r="AD6908" i="16"/>
  <c r="AD6909" i="16"/>
  <c r="AD6910" i="16"/>
  <c r="AD6911" i="16"/>
  <c r="AD6912" i="16"/>
  <c r="AD6913" i="16"/>
  <c r="AD6914" i="16"/>
  <c r="AD6915" i="16"/>
  <c r="AD6916" i="16"/>
  <c r="AD6917" i="16"/>
  <c r="AD6918" i="16"/>
  <c r="AD6919" i="16"/>
  <c r="AD6920" i="16"/>
  <c r="AD6921" i="16"/>
  <c r="AD6922" i="16"/>
  <c r="AD6923" i="16"/>
  <c r="AD6924" i="16"/>
  <c r="AD6925" i="16"/>
  <c r="AD6926" i="16"/>
  <c r="AD6927" i="16"/>
  <c r="AD6928" i="16"/>
  <c r="AD6929" i="16"/>
  <c r="AD6930" i="16"/>
  <c r="AD6931" i="16"/>
  <c r="AD6932" i="16"/>
  <c r="AD6933" i="16"/>
  <c r="AD6934" i="16"/>
  <c r="AD6935" i="16"/>
  <c r="AD6936" i="16"/>
  <c r="AD6937" i="16"/>
  <c r="AD6938" i="16"/>
  <c r="AD6939" i="16"/>
  <c r="AD6940" i="16"/>
  <c r="AD6941" i="16"/>
  <c r="AD6942" i="16"/>
  <c r="AD6943" i="16"/>
  <c r="AD6944" i="16"/>
  <c r="AD6945" i="16"/>
  <c r="AD6946" i="16"/>
  <c r="AD6947" i="16"/>
  <c r="AD6948" i="16"/>
  <c r="AD6949" i="16"/>
  <c r="AD6950" i="16"/>
  <c r="AD6951" i="16"/>
  <c r="AD6952" i="16"/>
  <c r="AD6953" i="16"/>
  <c r="AD6954" i="16"/>
  <c r="AD6955" i="16"/>
  <c r="AD6956" i="16"/>
  <c r="AD6957" i="16"/>
  <c r="AD6958" i="16"/>
  <c r="AD6959" i="16"/>
  <c r="AD6960" i="16"/>
  <c r="AD6961" i="16"/>
  <c r="AD6962" i="16"/>
  <c r="AD6963" i="16"/>
  <c r="AD6964" i="16"/>
  <c r="AD6965" i="16"/>
  <c r="AD6966" i="16"/>
  <c r="AD6967" i="16"/>
  <c r="AD6968" i="16"/>
  <c r="AD6969" i="16"/>
  <c r="AD6970" i="16"/>
  <c r="AD6971" i="16"/>
  <c r="AD6972" i="16"/>
  <c r="AD6973" i="16"/>
  <c r="AD6974" i="16"/>
  <c r="AD6975" i="16"/>
  <c r="AD6976" i="16"/>
  <c r="AD6977" i="16"/>
  <c r="AD6978" i="16"/>
  <c r="AD6979" i="16"/>
  <c r="AD6980" i="16"/>
  <c r="AD6981" i="16"/>
  <c r="AD6982" i="16"/>
  <c r="AD6983" i="16"/>
  <c r="AD6984" i="16"/>
  <c r="AD6985" i="16"/>
  <c r="AD6986" i="16"/>
  <c r="AD6987" i="16"/>
  <c r="AD6988" i="16"/>
  <c r="AD6989" i="16"/>
  <c r="AD6990" i="16"/>
  <c r="AD6991" i="16"/>
  <c r="AD6992" i="16"/>
  <c r="AD6993" i="16"/>
  <c r="AD6994" i="16"/>
  <c r="AD6995" i="16"/>
  <c r="AD6996" i="16"/>
  <c r="AD6997" i="16"/>
  <c r="AD6998" i="16"/>
  <c r="AD6999" i="16"/>
  <c r="AD7000" i="16"/>
  <c r="AD7001" i="16"/>
  <c r="AD7002" i="16"/>
  <c r="AD7003" i="16"/>
  <c r="AD7004" i="16"/>
  <c r="AD7005" i="16"/>
  <c r="AD7006" i="16"/>
  <c r="AD7007" i="16"/>
  <c r="AD7008" i="16"/>
  <c r="AD7009" i="16"/>
  <c r="AD7010" i="16"/>
  <c r="AD7011" i="16"/>
  <c r="AD7012" i="16"/>
  <c r="AD7013" i="16"/>
  <c r="AD7014" i="16"/>
  <c r="AD7015" i="16"/>
  <c r="AD7016" i="16"/>
  <c r="AD7017" i="16"/>
  <c r="AD7018" i="16"/>
  <c r="AD7019" i="16"/>
  <c r="AD7020" i="16"/>
  <c r="AD7021" i="16"/>
  <c r="AD7022" i="16"/>
  <c r="AD7023" i="16"/>
  <c r="AD7024" i="16"/>
  <c r="AD7025" i="16"/>
  <c r="AD7026" i="16"/>
  <c r="AD7027" i="16"/>
  <c r="AD7028" i="16"/>
  <c r="AD7029" i="16"/>
  <c r="AD7030" i="16"/>
  <c r="AD7031" i="16"/>
  <c r="AD7032" i="16"/>
  <c r="AD7033" i="16"/>
  <c r="AD7034" i="16"/>
  <c r="AD7035" i="16"/>
  <c r="AD7036" i="16"/>
  <c r="AD7037" i="16"/>
  <c r="AD7038" i="16"/>
  <c r="AD7039" i="16"/>
  <c r="AD7040" i="16"/>
  <c r="AD7041" i="16"/>
  <c r="AD7042" i="16"/>
  <c r="AD7043" i="16"/>
  <c r="AD7044" i="16"/>
  <c r="AD7045" i="16"/>
  <c r="AD7046" i="16"/>
  <c r="AD7047" i="16"/>
  <c r="AD7048" i="16"/>
  <c r="AD7049" i="16"/>
  <c r="AD7050" i="16"/>
  <c r="AD7051" i="16"/>
  <c r="AD7052" i="16"/>
  <c r="AD7053" i="16"/>
  <c r="AD7054" i="16"/>
  <c r="AD7055" i="16"/>
  <c r="AD7056" i="16"/>
  <c r="AD7057" i="16"/>
  <c r="AD7058" i="16"/>
  <c r="AD7059" i="16"/>
  <c r="AD7060" i="16"/>
  <c r="AD7061" i="16"/>
  <c r="AD7062" i="16"/>
  <c r="AD7063" i="16"/>
  <c r="AD7064" i="16"/>
  <c r="AD7065" i="16"/>
  <c r="AD7066" i="16"/>
  <c r="AD7067" i="16"/>
  <c r="AD7068" i="16"/>
  <c r="AD7069" i="16"/>
  <c r="AD7070" i="16"/>
  <c r="AD7071" i="16"/>
  <c r="AD7072" i="16"/>
  <c r="AD7073" i="16"/>
  <c r="AD7074" i="16"/>
  <c r="AD7075" i="16"/>
  <c r="AD7076" i="16"/>
  <c r="AD7077" i="16"/>
  <c r="AD7078" i="16"/>
  <c r="AD7079" i="16"/>
  <c r="AD7080" i="16"/>
  <c r="AD7081" i="16"/>
  <c r="AD7082" i="16"/>
  <c r="AD7083" i="16"/>
  <c r="AD7084" i="16"/>
  <c r="AD7085" i="16"/>
  <c r="AD7086" i="16"/>
  <c r="AD7087" i="16"/>
  <c r="AD7088" i="16"/>
  <c r="AD7089" i="16"/>
  <c r="AD7090" i="16"/>
  <c r="AD7091" i="16"/>
  <c r="AD7092" i="16"/>
  <c r="AD7093" i="16"/>
  <c r="AD7094" i="16"/>
  <c r="AD7095" i="16"/>
  <c r="AD7096" i="16"/>
  <c r="AD7097" i="16"/>
  <c r="AD7098" i="16"/>
  <c r="AD7099" i="16"/>
  <c r="AD7100" i="16"/>
  <c r="AD7101" i="16"/>
  <c r="AD7102" i="16"/>
  <c r="AD7103" i="16"/>
  <c r="AD7104" i="16"/>
  <c r="AD7105" i="16"/>
  <c r="AD7106" i="16"/>
  <c r="AD7107" i="16"/>
  <c r="AD7108" i="16"/>
  <c r="AD7109" i="16"/>
  <c r="AD7110" i="16"/>
  <c r="AD7111" i="16"/>
  <c r="AD7112" i="16"/>
  <c r="AD7113" i="16"/>
  <c r="AD7114" i="16"/>
  <c r="AD7115" i="16"/>
  <c r="AD7116" i="16"/>
  <c r="AD7117" i="16"/>
  <c r="AD7118" i="16"/>
  <c r="AD7119" i="16"/>
  <c r="AD7120" i="16"/>
  <c r="AD7121" i="16"/>
  <c r="AD7122" i="16"/>
  <c r="AD7123" i="16"/>
  <c r="AD7124" i="16"/>
  <c r="AD7125" i="16"/>
  <c r="AD7126" i="16"/>
  <c r="AD7127" i="16"/>
  <c r="AD7128" i="16"/>
  <c r="AD7129" i="16"/>
  <c r="AD7130" i="16"/>
  <c r="AD7131" i="16"/>
  <c r="AD7132" i="16"/>
  <c r="AD7133" i="16"/>
  <c r="AD7134" i="16"/>
  <c r="AD7135" i="16"/>
  <c r="AD7136" i="16"/>
  <c r="AD7137" i="16"/>
  <c r="AD7138" i="16"/>
  <c r="AD7139" i="16"/>
  <c r="AD7140" i="16"/>
  <c r="AD7141" i="16"/>
  <c r="AD7142" i="16"/>
  <c r="AD7143" i="16"/>
  <c r="AD7144" i="16"/>
  <c r="AD7145" i="16"/>
  <c r="AD7146" i="16"/>
  <c r="AD7147" i="16"/>
  <c r="AD7148" i="16"/>
  <c r="AD7149" i="16"/>
  <c r="AD7150" i="16"/>
  <c r="AD7151" i="16"/>
  <c r="AD7152" i="16"/>
  <c r="AD7153" i="16"/>
  <c r="AD7154" i="16"/>
  <c r="AD7155" i="16"/>
  <c r="AD7156" i="16"/>
  <c r="AD7157" i="16"/>
  <c r="AD7158" i="16"/>
  <c r="AD7159" i="16"/>
  <c r="AD7160" i="16"/>
  <c r="AD7161" i="16"/>
  <c r="AD7162" i="16"/>
  <c r="AD7163" i="16"/>
  <c r="AD7164" i="16"/>
  <c r="AD7165" i="16"/>
  <c r="AD7166" i="16"/>
  <c r="AD7167" i="16"/>
  <c r="AD7168" i="16"/>
  <c r="AD7169" i="16"/>
  <c r="AD7170" i="16"/>
  <c r="AD7171" i="16"/>
  <c r="AD7172" i="16"/>
  <c r="AD7173" i="16"/>
  <c r="AD7174" i="16"/>
  <c r="AD7175" i="16"/>
  <c r="AD7176" i="16"/>
  <c r="AD7177" i="16"/>
  <c r="AD7178" i="16"/>
  <c r="AD7179" i="16"/>
  <c r="AD7180" i="16"/>
  <c r="AD7181" i="16"/>
  <c r="AD7182" i="16"/>
  <c r="AD7183" i="16"/>
  <c r="AD7184" i="16"/>
  <c r="AD7185" i="16"/>
  <c r="AD7186" i="16"/>
  <c r="AD7187" i="16"/>
  <c r="AD7188" i="16"/>
  <c r="AD7189" i="16"/>
  <c r="AD7190" i="16"/>
  <c r="AD7191" i="16"/>
  <c r="AD7192" i="16"/>
  <c r="AD7193" i="16"/>
  <c r="AD7194" i="16"/>
  <c r="AD7195" i="16"/>
  <c r="AD7196" i="16"/>
  <c r="AD7197" i="16"/>
  <c r="AD7198" i="16"/>
  <c r="AD7199" i="16"/>
  <c r="AD7200" i="16"/>
  <c r="AD7201" i="16"/>
  <c r="AD7202" i="16"/>
  <c r="AD7203" i="16"/>
  <c r="AD7204" i="16"/>
  <c r="AD7205" i="16"/>
  <c r="AD7206" i="16"/>
  <c r="AD7207" i="16"/>
  <c r="AD7208" i="16"/>
  <c r="AD7209" i="16"/>
  <c r="AD7210" i="16"/>
  <c r="AD7211" i="16"/>
  <c r="AD7212" i="16"/>
  <c r="AD7213" i="16"/>
  <c r="AD7214" i="16"/>
  <c r="AD7215" i="16"/>
  <c r="AD7216" i="16"/>
  <c r="AD7217" i="16"/>
  <c r="AD7218" i="16"/>
  <c r="AD7219" i="16"/>
  <c r="AD7220" i="16"/>
  <c r="AD7221" i="16"/>
  <c r="AD7222" i="16"/>
  <c r="AD7223" i="16"/>
  <c r="AD7224" i="16"/>
  <c r="AD7225" i="16"/>
  <c r="AD7226" i="16"/>
  <c r="AD7227" i="16"/>
  <c r="AD7228" i="16"/>
  <c r="AD7229" i="16"/>
  <c r="AD7230" i="16"/>
  <c r="AD7231" i="16"/>
  <c r="AD7232" i="16"/>
  <c r="AD7233" i="16"/>
  <c r="AD7234" i="16"/>
  <c r="AD7235" i="16"/>
  <c r="AD7236" i="16"/>
  <c r="AD7237" i="16"/>
  <c r="AD7238" i="16"/>
  <c r="AD7239" i="16"/>
  <c r="AD7240" i="16"/>
  <c r="AD7241" i="16"/>
  <c r="AD7242" i="16"/>
  <c r="AD7243" i="16"/>
  <c r="AD7244" i="16"/>
  <c r="AD7245" i="16"/>
  <c r="AD7246" i="16"/>
  <c r="AD7247" i="16"/>
  <c r="AD7248" i="16"/>
  <c r="AD7249" i="16"/>
  <c r="AD7250" i="16"/>
  <c r="AD7251" i="16"/>
  <c r="AD7252" i="16"/>
  <c r="AD7253" i="16"/>
  <c r="AD7254" i="16"/>
  <c r="AD7255" i="16"/>
  <c r="AD7256" i="16"/>
  <c r="AD7257" i="16"/>
  <c r="AD7258" i="16"/>
  <c r="AD7259" i="16"/>
  <c r="AD7260" i="16"/>
  <c r="AD7261" i="16"/>
  <c r="AD7262" i="16"/>
  <c r="AD7263" i="16"/>
  <c r="AD7264" i="16"/>
  <c r="AD7265" i="16"/>
  <c r="AD7266" i="16"/>
  <c r="AD7267" i="16"/>
  <c r="AD7268" i="16"/>
  <c r="AD7269" i="16"/>
  <c r="AD7270" i="16"/>
  <c r="AD7271" i="16"/>
  <c r="AD7272" i="16"/>
  <c r="AD7273" i="16"/>
  <c r="AD7274" i="16"/>
  <c r="AD7275" i="16"/>
  <c r="AD7276" i="16"/>
  <c r="AD7277" i="16"/>
  <c r="AD7278" i="16"/>
  <c r="AD7279" i="16"/>
  <c r="AD7280" i="16"/>
  <c r="AD7281" i="16"/>
  <c r="AD7282" i="16"/>
  <c r="AD7283" i="16"/>
  <c r="AD7284" i="16"/>
  <c r="AD7285" i="16"/>
  <c r="AD7286" i="16"/>
  <c r="AD7287" i="16"/>
  <c r="AD7288" i="16"/>
  <c r="AD7289" i="16"/>
  <c r="AD7290" i="16"/>
  <c r="AD7291" i="16"/>
  <c r="AD7292" i="16"/>
  <c r="AD7293" i="16"/>
  <c r="AD7294" i="16"/>
  <c r="AD7295" i="16"/>
  <c r="AD7296" i="16"/>
  <c r="AD7297" i="16"/>
  <c r="AD7298" i="16"/>
  <c r="AD7299" i="16"/>
  <c r="AD7300" i="16"/>
  <c r="AD7301" i="16"/>
  <c r="AD7302" i="16"/>
  <c r="AD7303" i="16"/>
  <c r="AD7304" i="16"/>
  <c r="AD7305" i="16"/>
  <c r="AD7306" i="16"/>
  <c r="AD7307" i="16"/>
  <c r="AD7308" i="16"/>
  <c r="AD7309" i="16"/>
  <c r="AD7310" i="16"/>
  <c r="AD7311" i="16"/>
  <c r="AD7312" i="16"/>
  <c r="AD7313" i="16"/>
  <c r="AD7314" i="16"/>
  <c r="AD7315" i="16"/>
  <c r="AD7316" i="16"/>
  <c r="AD7317" i="16"/>
  <c r="AD7318" i="16"/>
  <c r="AD7319" i="16"/>
  <c r="AD7320" i="16"/>
  <c r="AD7321" i="16"/>
  <c r="AD7322" i="16"/>
  <c r="AD7323" i="16"/>
  <c r="AD7324" i="16"/>
  <c r="AD7325" i="16"/>
  <c r="AD7326" i="16"/>
  <c r="AD7327" i="16"/>
  <c r="AD7328" i="16"/>
  <c r="AD7329" i="16"/>
  <c r="AD7330" i="16"/>
  <c r="AD7331" i="16"/>
  <c r="AD7332" i="16"/>
  <c r="AD7333" i="16"/>
  <c r="AD7334" i="16"/>
  <c r="AD7335" i="16"/>
  <c r="AD7336" i="16"/>
  <c r="AD7337" i="16"/>
  <c r="AD7338" i="16"/>
  <c r="AD7339" i="16"/>
  <c r="AD7340" i="16"/>
  <c r="AD7341" i="16"/>
  <c r="AD7342" i="16"/>
  <c r="AD7343" i="16"/>
  <c r="AD7344" i="16"/>
  <c r="AD7345" i="16"/>
  <c r="AD7346" i="16"/>
  <c r="AD7347" i="16"/>
  <c r="AD7348" i="16"/>
  <c r="AD7349" i="16"/>
  <c r="AD7350" i="16"/>
  <c r="AD7351" i="16"/>
  <c r="AD7352" i="16"/>
  <c r="AD7353" i="16"/>
  <c r="AD7354" i="16"/>
  <c r="AD7355" i="16"/>
  <c r="AD7356" i="16"/>
  <c r="AD7357" i="16"/>
  <c r="AD7358" i="16"/>
  <c r="AD7359" i="16"/>
  <c r="AD7360" i="16"/>
  <c r="AD7361" i="16"/>
  <c r="AD7362" i="16"/>
  <c r="AD7363" i="16"/>
  <c r="AD7364" i="16"/>
  <c r="AD7365" i="16"/>
  <c r="AD7366" i="16"/>
  <c r="AD7367" i="16"/>
  <c r="AD7368" i="16"/>
  <c r="AD7369" i="16"/>
  <c r="AD7370" i="16"/>
  <c r="AD7371" i="16"/>
  <c r="AD7372" i="16"/>
  <c r="AD7373" i="16"/>
  <c r="AD7374" i="16"/>
  <c r="AD7375" i="16"/>
  <c r="AD7376" i="16"/>
  <c r="AD7377" i="16"/>
  <c r="AD7378" i="16"/>
  <c r="AD7379" i="16"/>
  <c r="AD7380" i="16"/>
  <c r="AD7381" i="16"/>
  <c r="AD7382" i="16"/>
  <c r="AD7383" i="16"/>
  <c r="AD7384" i="16"/>
  <c r="AD7385" i="16"/>
  <c r="AD7386" i="16"/>
  <c r="AD7387" i="16"/>
  <c r="AD7388" i="16"/>
  <c r="AD7389" i="16"/>
  <c r="AD7390" i="16"/>
  <c r="AD7391" i="16"/>
  <c r="AD7392" i="16"/>
  <c r="AD7393" i="16"/>
  <c r="AD7394" i="16"/>
  <c r="AD7395" i="16"/>
  <c r="AD7396" i="16"/>
  <c r="AD7397" i="16"/>
  <c r="AD7398" i="16"/>
  <c r="AD7399" i="16"/>
  <c r="AD7400" i="16"/>
  <c r="AD7401" i="16"/>
  <c r="AD7402" i="16"/>
  <c r="AD7403" i="16"/>
  <c r="AD7404" i="16"/>
  <c r="AD7405" i="16"/>
  <c r="AD7406" i="16"/>
  <c r="AD7407" i="16"/>
  <c r="AD7408" i="16"/>
  <c r="AD7409" i="16"/>
  <c r="AD7410" i="16"/>
  <c r="AD7411" i="16"/>
  <c r="AD7412" i="16"/>
  <c r="AD7413" i="16"/>
  <c r="AD7414" i="16"/>
  <c r="AD7415" i="16"/>
  <c r="AD7416" i="16"/>
  <c r="AD7417" i="16"/>
  <c r="AD7418" i="16"/>
  <c r="AD7419" i="16"/>
  <c r="AD7420" i="16"/>
  <c r="AD7421" i="16"/>
  <c r="AD7422" i="16"/>
  <c r="AD7423" i="16"/>
  <c r="AD7424" i="16"/>
  <c r="AD7425" i="16"/>
  <c r="AD7426" i="16"/>
  <c r="AD7427" i="16"/>
  <c r="AD7428" i="16"/>
  <c r="AD7429" i="16"/>
  <c r="AD7430" i="16"/>
  <c r="AD7431" i="16"/>
  <c r="AD7432" i="16"/>
  <c r="AD7433" i="16"/>
  <c r="AD7434" i="16"/>
  <c r="AD7435" i="16"/>
  <c r="AD7436" i="16"/>
  <c r="AD7437" i="16"/>
  <c r="AD7438" i="16"/>
  <c r="AD7439" i="16"/>
  <c r="AD7440" i="16"/>
  <c r="AD7441" i="16"/>
  <c r="AD7442" i="16"/>
  <c r="AD7443" i="16"/>
  <c r="AD7444" i="16"/>
  <c r="AD7445" i="16"/>
  <c r="AD7446" i="16"/>
  <c r="AD7447" i="16"/>
  <c r="AD7448" i="16"/>
  <c r="AD7449" i="16"/>
  <c r="AD7450" i="16"/>
  <c r="AD7451" i="16"/>
  <c r="AD7452" i="16"/>
  <c r="AD7453" i="16"/>
  <c r="AD7454" i="16"/>
  <c r="AD7455" i="16"/>
  <c r="AD7456" i="16"/>
  <c r="AD7457" i="16"/>
  <c r="AD7458" i="16"/>
  <c r="AD7459" i="16"/>
  <c r="AD7460" i="16"/>
  <c r="AD7461" i="16"/>
  <c r="AD7462" i="16"/>
  <c r="AD7463" i="16"/>
  <c r="AD7464" i="16"/>
  <c r="AD7465" i="16"/>
  <c r="AD7466" i="16"/>
  <c r="AD7467" i="16"/>
  <c r="AD7468" i="16"/>
  <c r="AD7469" i="16"/>
  <c r="AD7470" i="16"/>
  <c r="AD7471" i="16"/>
  <c r="AD7472" i="16"/>
  <c r="AD7473" i="16"/>
  <c r="AD7474" i="16"/>
  <c r="AD7475" i="16"/>
  <c r="AD7476" i="16"/>
  <c r="AD7477" i="16"/>
  <c r="AD7478" i="16"/>
  <c r="AD7479" i="16"/>
  <c r="AD7480" i="16"/>
  <c r="AD7481" i="16"/>
  <c r="AD7482" i="16"/>
  <c r="AD7483" i="16"/>
  <c r="AD7484" i="16"/>
  <c r="AD7485" i="16"/>
  <c r="AD7486" i="16"/>
  <c r="AD7487" i="16"/>
  <c r="AD7488" i="16"/>
  <c r="AD7489" i="16"/>
  <c r="AD7490" i="16"/>
  <c r="AD7491" i="16"/>
  <c r="AD7492" i="16"/>
  <c r="AD7493" i="16"/>
  <c r="AD7494" i="16"/>
  <c r="AD7495" i="16"/>
  <c r="AD7496" i="16"/>
  <c r="AD7497" i="16"/>
  <c r="AD7498" i="16"/>
  <c r="AD7499" i="16"/>
  <c r="AD7500" i="16"/>
  <c r="AD7501" i="16"/>
  <c r="AD7502" i="16"/>
  <c r="AD7503" i="16"/>
  <c r="AD7504" i="16"/>
  <c r="AD7505" i="16"/>
  <c r="AD7506" i="16"/>
  <c r="AD7507" i="16"/>
  <c r="AD7508" i="16"/>
  <c r="AD7509" i="16"/>
  <c r="AD7510" i="16"/>
  <c r="AD7511" i="16"/>
  <c r="AD7512" i="16"/>
  <c r="AD7513" i="16"/>
  <c r="AD7514" i="16"/>
  <c r="AD7515" i="16"/>
  <c r="AD7516" i="16"/>
  <c r="AD7517" i="16"/>
  <c r="AD7518" i="16"/>
  <c r="AD7519" i="16"/>
  <c r="AD7520" i="16"/>
  <c r="AD7521" i="16"/>
  <c r="AD7522" i="16"/>
  <c r="AD7523" i="16"/>
  <c r="AD7524" i="16"/>
  <c r="AD7525" i="16"/>
  <c r="AD7526" i="16"/>
  <c r="AD7527" i="16"/>
  <c r="AD7528" i="16"/>
  <c r="AD7529" i="16"/>
  <c r="AD7530" i="16"/>
  <c r="AD7531" i="16"/>
  <c r="AD7532" i="16"/>
  <c r="AD7533" i="16"/>
  <c r="AD7534" i="16"/>
  <c r="AD7535" i="16"/>
  <c r="AD7536" i="16"/>
  <c r="AD7537" i="16"/>
  <c r="AD7538" i="16"/>
  <c r="AD7539" i="16"/>
  <c r="AD7540" i="16"/>
  <c r="AD7541" i="16"/>
  <c r="AD7542" i="16"/>
  <c r="AD7543" i="16"/>
  <c r="AD7544" i="16"/>
  <c r="AD7545" i="16"/>
  <c r="AD7546" i="16"/>
  <c r="AD7547" i="16"/>
  <c r="AD7548" i="16"/>
  <c r="AD7549" i="16"/>
  <c r="AD7550" i="16"/>
  <c r="AD7551" i="16"/>
  <c r="AD7552" i="16"/>
  <c r="AD7553" i="16"/>
  <c r="AD7554" i="16"/>
  <c r="AD7555" i="16"/>
  <c r="AD7556" i="16"/>
  <c r="AD7557" i="16"/>
  <c r="AD7558" i="16"/>
  <c r="AD7559" i="16"/>
  <c r="AD7560" i="16"/>
  <c r="AD7561" i="16"/>
  <c r="AD7562" i="16"/>
  <c r="AD7563" i="16"/>
  <c r="AD7564" i="16"/>
  <c r="AD7565" i="16"/>
  <c r="AD7566" i="16"/>
  <c r="AD7567" i="16"/>
  <c r="AD7568" i="16"/>
  <c r="AD7569" i="16"/>
  <c r="AD7570" i="16"/>
  <c r="AD7571" i="16"/>
  <c r="AD7572" i="16"/>
  <c r="AD7573" i="16"/>
  <c r="AD7574" i="16"/>
  <c r="AD7575" i="16"/>
  <c r="AD7576" i="16"/>
  <c r="AD7577" i="16"/>
  <c r="AD7578" i="16"/>
  <c r="AD7579" i="16"/>
  <c r="AD7580" i="16"/>
  <c r="AD7581" i="16"/>
  <c r="AD7582" i="16"/>
  <c r="AD7583" i="16"/>
  <c r="AD7584" i="16"/>
  <c r="AD7585" i="16"/>
  <c r="AD7586" i="16"/>
  <c r="AD7587" i="16"/>
  <c r="AD7588" i="16"/>
  <c r="AD7589" i="16"/>
  <c r="AD7590" i="16"/>
  <c r="AD7591" i="16"/>
  <c r="AD7592" i="16"/>
  <c r="AD7593" i="16"/>
  <c r="AD7594" i="16"/>
  <c r="AD7595" i="16"/>
  <c r="AD7596" i="16"/>
  <c r="AD7597" i="16"/>
  <c r="AD7598" i="16"/>
  <c r="AD7599" i="16"/>
  <c r="AD7600" i="16"/>
  <c r="AD7601" i="16"/>
  <c r="AD7602" i="16"/>
  <c r="AD7603" i="16"/>
  <c r="AD7604" i="16"/>
  <c r="AD7605" i="16"/>
  <c r="AD7606" i="16"/>
  <c r="AD7607" i="16"/>
  <c r="AD7608" i="16"/>
  <c r="AD7609" i="16"/>
  <c r="AD7610" i="16"/>
  <c r="AD7611" i="16"/>
  <c r="AD7612" i="16"/>
  <c r="AD7613" i="16"/>
  <c r="AD7614" i="16"/>
  <c r="AD7615" i="16"/>
  <c r="AD7616" i="16"/>
  <c r="AD7617" i="16"/>
  <c r="AD7618" i="16"/>
  <c r="AD7619" i="16"/>
  <c r="AD7620" i="16"/>
  <c r="AD7621" i="16"/>
  <c r="AD7622" i="16"/>
  <c r="AD7623" i="16"/>
  <c r="AD7624" i="16"/>
  <c r="AD7625" i="16"/>
  <c r="AD7626" i="16"/>
  <c r="AD7627" i="16"/>
  <c r="AD7628" i="16"/>
  <c r="AD7629" i="16"/>
  <c r="AD7630" i="16"/>
  <c r="AD7631" i="16"/>
  <c r="AD7632" i="16"/>
  <c r="AD7633" i="16"/>
  <c r="AD7634" i="16"/>
  <c r="AD7635" i="16"/>
  <c r="AD7636" i="16"/>
  <c r="AD7637" i="16"/>
  <c r="AD7638" i="16"/>
  <c r="AD7639" i="16"/>
  <c r="AD7640" i="16"/>
  <c r="AD7641" i="16"/>
  <c r="AD7642" i="16"/>
  <c r="AD7643" i="16"/>
  <c r="AD7644" i="16"/>
  <c r="AD7645" i="16"/>
  <c r="AD7646" i="16"/>
  <c r="AD7647" i="16"/>
  <c r="AD7648" i="16"/>
  <c r="AD7649" i="16"/>
  <c r="AD7650" i="16"/>
  <c r="AD7651" i="16"/>
  <c r="AD7652" i="16"/>
  <c r="AD7653" i="16"/>
  <c r="AD7654" i="16"/>
  <c r="AD7655" i="16"/>
  <c r="AD7656" i="16"/>
  <c r="AD7657" i="16"/>
  <c r="AD7658" i="16"/>
  <c r="AD7659" i="16"/>
  <c r="AD7660" i="16"/>
  <c r="AD7661" i="16"/>
  <c r="AD7662" i="16"/>
  <c r="AD7663" i="16"/>
  <c r="AD7664" i="16"/>
  <c r="AD7665" i="16"/>
  <c r="AD7666" i="16"/>
  <c r="AD7667" i="16"/>
  <c r="AD7668" i="16"/>
  <c r="AD7669" i="16"/>
  <c r="AD7670" i="16"/>
  <c r="AD7671" i="16"/>
  <c r="AD7672" i="16"/>
  <c r="AD7673" i="16"/>
  <c r="AD7674" i="16"/>
  <c r="AD7675" i="16"/>
  <c r="AD7676" i="16"/>
  <c r="AD7677" i="16"/>
  <c r="AD7678" i="16"/>
  <c r="AD7679" i="16"/>
  <c r="AD7680" i="16"/>
  <c r="AD7681" i="16"/>
  <c r="AD7682" i="16"/>
  <c r="AD7683" i="16"/>
  <c r="AD7684" i="16"/>
  <c r="AD7685" i="16"/>
  <c r="AD7686" i="16"/>
  <c r="AD7687" i="16"/>
  <c r="AD7688" i="16"/>
  <c r="AD7689" i="16"/>
  <c r="AD7690" i="16"/>
  <c r="AD7691" i="16"/>
  <c r="AD7692" i="16"/>
  <c r="AD7693" i="16"/>
  <c r="AD7694" i="16"/>
  <c r="AD7695" i="16"/>
  <c r="AD7696" i="16"/>
  <c r="AD7697" i="16"/>
  <c r="AD7698" i="16"/>
  <c r="AD7699" i="16"/>
  <c r="AD7700" i="16"/>
  <c r="AD7701" i="16"/>
  <c r="AD7702" i="16"/>
  <c r="AD7703" i="16"/>
  <c r="AD7704" i="16"/>
  <c r="AD7705" i="16"/>
  <c r="AD7706" i="16"/>
  <c r="AD7707" i="16"/>
  <c r="AD7708" i="16"/>
  <c r="AD7709" i="16"/>
  <c r="AD7710" i="16"/>
  <c r="AD7711" i="16"/>
  <c r="AD7712" i="16"/>
  <c r="AD7713" i="16"/>
  <c r="AD7714" i="16"/>
  <c r="AD7715" i="16"/>
  <c r="AD7716" i="16"/>
  <c r="AD7717" i="16"/>
  <c r="AD7718" i="16"/>
  <c r="AD7719" i="16"/>
  <c r="AD7720" i="16"/>
  <c r="AD7721" i="16"/>
  <c r="AD7722" i="16"/>
  <c r="AD7723" i="16"/>
  <c r="AD7724" i="16"/>
  <c r="AD7725" i="16"/>
  <c r="AD7726" i="16"/>
  <c r="AD7727" i="16"/>
  <c r="AD7728" i="16"/>
  <c r="AD7729" i="16"/>
  <c r="AD7730" i="16"/>
  <c r="AD7731" i="16"/>
  <c r="AD7732" i="16"/>
  <c r="AD7733" i="16"/>
  <c r="AD7734" i="16"/>
  <c r="AD7735" i="16"/>
  <c r="AD7736" i="16"/>
  <c r="AD7737" i="16"/>
  <c r="AD7738" i="16"/>
  <c r="AD7739" i="16"/>
  <c r="AD7740" i="16"/>
  <c r="AD7741" i="16"/>
  <c r="AD7742" i="16"/>
  <c r="AD7743" i="16"/>
  <c r="AD7744" i="16"/>
  <c r="AD7745" i="16"/>
  <c r="AD7746" i="16"/>
  <c r="AD7747" i="16"/>
  <c r="AD7748" i="16"/>
  <c r="AD7749" i="16"/>
  <c r="AD7750" i="16"/>
  <c r="AD7751" i="16"/>
  <c r="AD7752" i="16"/>
  <c r="AD7753" i="16"/>
  <c r="AD7754" i="16"/>
  <c r="AD7755" i="16"/>
  <c r="AD7756" i="16"/>
  <c r="AD7757" i="16"/>
  <c r="AD7758" i="16"/>
  <c r="AD7759" i="16"/>
  <c r="AD7760" i="16"/>
  <c r="AD7761" i="16"/>
  <c r="AD7762" i="16"/>
  <c r="AD7763" i="16"/>
  <c r="AD7764" i="16"/>
  <c r="AD7765" i="16"/>
  <c r="AD7766" i="16"/>
  <c r="AD7767" i="16"/>
  <c r="AD7768" i="16"/>
  <c r="AD7769" i="16"/>
  <c r="AD7770" i="16"/>
  <c r="AD7771" i="16"/>
  <c r="AD7772" i="16"/>
  <c r="AD7773" i="16"/>
  <c r="AD7774" i="16"/>
  <c r="AD7775" i="16"/>
  <c r="AD7776" i="16"/>
  <c r="AD7777" i="16"/>
  <c r="AD7778" i="16"/>
  <c r="AD7779" i="16"/>
  <c r="AD7780" i="16"/>
  <c r="AD7781" i="16"/>
  <c r="AD7782" i="16"/>
  <c r="AD7783" i="16"/>
  <c r="AD7784" i="16"/>
  <c r="AD7785" i="16"/>
  <c r="AD7786" i="16"/>
  <c r="AD7787" i="16"/>
  <c r="AD7788" i="16"/>
  <c r="AD7789" i="16"/>
  <c r="AD7790" i="16"/>
  <c r="AD7791" i="16"/>
  <c r="AD7792" i="16"/>
  <c r="AD7793" i="16"/>
  <c r="AD7794" i="16"/>
  <c r="AD7795" i="16"/>
  <c r="AD7796" i="16"/>
  <c r="AD7797" i="16"/>
  <c r="AD7798" i="16"/>
  <c r="AD7799" i="16"/>
  <c r="AD7800" i="16"/>
  <c r="AD7801" i="16"/>
  <c r="AD7802" i="16"/>
  <c r="AD7803" i="16"/>
  <c r="AD7804" i="16"/>
  <c r="AD7805" i="16"/>
  <c r="AD7806" i="16"/>
  <c r="AD7807" i="16"/>
  <c r="AD7808" i="16"/>
  <c r="AD7809" i="16"/>
  <c r="AD7810" i="16"/>
  <c r="AD7811" i="16"/>
  <c r="AD7812" i="16"/>
  <c r="AD7813" i="16"/>
  <c r="AD7814" i="16"/>
  <c r="AD7815" i="16"/>
  <c r="AD7816" i="16"/>
  <c r="AD7817" i="16"/>
  <c r="AD7818" i="16"/>
  <c r="AD7819" i="16"/>
  <c r="AD7820" i="16"/>
  <c r="AD7821" i="16"/>
  <c r="AD7822" i="16"/>
  <c r="AD7823" i="16"/>
  <c r="AD7824" i="16"/>
  <c r="AD7825" i="16"/>
  <c r="AD7826" i="16"/>
  <c r="AD7827" i="16"/>
  <c r="AD7828" i="16"/>
  <c r="AD7829" i="16"/>
  <c r="AD7830" i="16"/>
  <c r="AD7831" i="16"/>
  <c r="AD7832" i="16"/>
  <c r="AD7833" i="16"/>
  <c r="AD7834" i="16"/>
  <c r="AD7835" i="16"/>
  <c r="AD7836" i="16"/>
  <c r="AD7837" i="16"/>
  <c r="AD7838" i="16"/>
  <c r="AD7839" i="16"/>
  <c r="AD7840" i="16"/>
  <c r="AD7841" i="16"/>
  <c r="AD7842" i="16"/>
  <c r="AD7843" i="16"/>
  <c r="AD7844" i="16"/>
  <c r="AD7845" i="16"/>
  <c r="AD7846" i="16"/>
  <c r="AD7847" i="16"/>
  <c r="AD7848" i="16"/>
  <c r="AD7849" i="16"/>
  <c r="AD7850" i="16"/>
  <c r="AD7851" i="16"/>
  <c r="AD7852" i="16"/>
  <c r="AD7853" i="16"/>
  <c r="AD7854" i="16"/>
  <c r="AD7855" i="16"/>
  <c r="AD7856" i="16"/>
  <c r="AD7857" i="16"/>
  <c r="AD7858" i="16"/>
  <c r="AD7859" i="16"/>
  <c r="AD7860" i="16"/>
  <c r="AD7861" i="16"/>
  <c r="AD7862" i="16"/>
  <c r="AD7863" i="16"/>
  <c r="AD7864" i="16"/>
  <c r="AD7865" i="16"/>
  <c r="AD7866" i="16"/>
  <c r="AD7867" i="16"/>
  <c r="AD7868" i="16"/>
  <c r="AD7869" i="16"/>
  <c r="AD7870" i="16"/>
  <c r="AD7871" i="16"/>
  <c r="AD7872" i="16"/>
  <c r="AD7873" i="16"/>
  <c r="AD7874" i="16"/>
  <c r="AD7875" i="16"/>
  <c r="AD7876" i="16"/>
  <c r="AD7877" i="16"/>
  <c r="AD7878" i="16"/>
  <c r="AD7879" i="16"/>
  <c r="AD7880" i="16"/>
  <c r="AD7881" i="16"/>
  <c r="AD7882" i="16"/>
  <c r="AD7883" i="16"/>
  <c r="AD7884" i="16"/>
  <c r="AD7885" i="16"/>
  <c r="AD7886" i="16"/>
  <c r="AD7887" i="16"/>
  <c r="AD7888" i="16"/>
  <c r="AD7889" i="16"/>
  <c r="AD7890" i="16"/>
  <c r="AD7891" i="16"/>
  <c r="AD7892" i="16"/>
  <c r="AD7893" i="16"/>
  <c r="AD7894" i="16"/>
  <c r="AD7895" i="16"/>
  <c r="AD7896" i="16"/>
  <c r="AD7897" i="16"/>
  <c r="AD7898" i="16"/>
  <c r="AD7899" i="16"/>
  <c r="AD7900" i="16"/>
  <c r="AD7901" i="16"/>
  <c r="AD7902" i="16"/>
  <c r="AD7903" i="16"/>
  <c r="AD7904" i="16"/>
  <c r="AD7905" i="16"/>
  <c r="AD7906" i="16"/>
  <c r="AD7907" i="16"/>
  <c r="AD7908" i="16"/>
  <c r="AD7909" i="16"/>
  <c r="AD7910" i="16"/>
  <c r="AD7911" i="16"/>
  <c r="AD7912" i="16"/>
  <c r="AD7913" i="16"/>
  <c r="AD7914" i="16"/>
  <c r="AD7915" i="16"/>
  <c r="AD7916" i="16"/>
  <c r="AD7917" i="16"/>
  <c r="AD7918" i="16"/>
  <c r="AD7919" i="16"/>
  <c r="AD7920" i="16"/>
  <c r="AD7921" i="16"/>
  <c r="AD7922" i="16"/>
  <c r="AD7923" i="16"/>
  <c r="AD7924" i="16"/>
  <c r="AD7925" i="16"/>
  <c r="AD7926" i="16"/>
  <c r="AD7927" i="16"/>
  <c r="AD7928" i="16"/>
  <c r="AD7929" i="16"/>
  <c r="AD7930" i="16"/>
  <c r="AD7931" i="16"/>
  <c r="AD7932" i="16"/>
  <c r="AD7933" i="16"/>
  <c r="AD7934" i="16"/>
  <c r="AD7935" i="16"/>
  <c r="AD7936" i="16"/>
  <c r="AD7937" i="16"/>
  <c r="AD7938" i="16"/>
  <c r="AD7939" i="16"/>
  <c r="AD7940" i="16"/>
  <c r="AD7941" i="16"/>
  <c r="AD7942" i="16"/>
  <c r="AD7943" i="16"/>
  <c r="AD7944" i="16"/>
  <c r="AD7945" i="16"/>
  <c r="AD7946" i="16"/>
  <c r="AD7947" i="16"/>
  <c r="AD7948" i="16"/>
  <c r="AD7949" i="16"/>
  <c r="AD7950" i="16"/>
  <c r="AD7951" i="16"/>
  <c r="AD7952" i="16"/>
  <c r="AD7953" i="16"/>
  <c r="AD7954" i="16"/>
  <c r="AD7955" i="16"/>
  <c r="AD7956" i="16"/>
  <c r="AD7957" i="16"/>
  <c r="AD7958" i="16"/>
  <c r="AD7959" i="16"/>
  <c r="AD7960" i="16"/>
  <c r="AD7961" i="16"/>
  <c r="AD7962" i="16"/>
  <c r="AD7963" i="16"/>
  <c r="AD7964" i="16"/>
  <c r="AD7965" i="16"/>
  <c r="AD7966" i="16"/>
  <c r="AD7967" i="16"/>
  <c r="AD7968" i="16"/>
  <c r="AD7969" i="16"/>
  <c r="AD7970" i="16"/>
  <c r="AD7971" i="16"/>
  <c r="AD7972" i="16"/>
  <c r="AD7973" i="16"/>
  <c r="AD7974" i="16"/>
  <c r="AD7975" i="16"/>
  <c r="AD7976" i="16"/>
  <c r="AD7977" i="16"/>
  <c r="AD7978" i="16"/>
  <c r="AD7979" i="16"/>
  <c r="AD7980" i="16"/>
  <c r="AD7981" i="16"/>
  <c r="AD7982" i="16"/>
  <c r="AD7983" i="16"/>
  <c r="AD7984" i="16"/>
  <c r="AD7985" i="16"/>
  <c r="AD7986" i="16"/>
  <c r="AD7987" i="16"/>
  <c r="AD7988" i="16"/>
  <c r="AD7989" i="16"/>
  <c r="AD7990" i="16"/>
  <c r="AD7991" i="16"/>
  <c r="AD7992" i="16"/>
  <c r="AD7993" i="16"/>
  <c r="AD7994" i="16"/>
  <c r="AD7995" i="16"/>
  <c r="AD7996" i="16"/>
  <c r="AD7997" i="16"/>
  <c r="AD7998" i="16"/>
  <c r="AD7999" i="16"/>
  <c r="AD8000" i="16"/>
  <c r="AD8001" i="16"/>
  <c r="AD8002" i="16"/>
  <c r="AD8003" i="16"/>
  <c r="AD8004" i="16"/>
  <c r="AD8005" i="16"/>
  <c r="AD8006" i="16"/>
  <c r="AD8007" i="16"/>
  <c r="AD8008" i="16"/>
  <c r="AD8009" i="16"/>
  <c r="AD8010" i="16"/>
  <c r="AD8011" i="16"/>
  <c r="AD8012" i="16"/>
  <c r="AD8013" i="16"/>
  <c r="AD8014" i="16"/>
  <c r="AD8015" i="16"/>
  <c r="AD8016" i="16"/>
  <c r="AD8017" i="16"/>
  <c r="AD8018" i="16"/>
  <c r="AD8019" i="16"/>
  <c r="AD8020" i="16"/>
  <c r="AD8021" i="16"/>
  <c r="AD8022" i="16"/>
  <c r="AD8023" i="16"/>
  <c r="AD8024" i="16"/>
  <c r="AD8025" i="16"/>
  <c r="AD8026" i="16"/>
  <c r="AD8027" i="16"/>
  <c r="AD8028" i="16"/>
  <c r="AD8029" i="16"/>
  <c r="AD8030" i="16"/>
  <c r="AD8031" i="16"/>
  <c r="AD8032" i="16"/>
  <c r="AD8033" i="16"/>
  <c r="AD8034" i="16"/>
  <c r="AD8035" i="16"/>
  <c r="AD8036" i="16"/>
  <c r="AD8037" i="16"/>
  <c r="AD8038" i="16"/>
  <c r="AD8039" i="16"/>
  <c r="AD8040" i="16"/>
  <c r="AD8041" i="16"/>
  <c r="AD8042" i="16"/>
  <c r="AD8043" i="16"/>
  <c r="AD8044" i="16"/>
  <c r="AD8045" i="16"/>
  <c r="AD8046" i="16"/>
  <c r="AD8047" i="16"/>
  <c r="AD8048" i="16"/>
  <c r="AD8049" i="16"/>
  <c r="AD8050" i="16"/>
  <c r="AD8051" i="16"/>
  <c r="AD8052" i="16"/>
  <c r="AD8053" i="16"/>
  <c r="AD8054" i="16"/>
  <c r="AD8055" i="16"/>
  <c r="AD8056" i="16"/>
  <c r="AD8057" i="16"/>
  <c r="AD8058" i="16"/>
  <c r="AD8059" i="16"/>
  <c r="AD8060" i="16"/>
  <c r="AD8061" i="16"/>
  <c r="AD8062" i="16"/>
  <c r="AD8063" i="16"/>
  <c r="AD8064" i="16"/>
  <c r="AD8065" i="16"/>
  <c r="AD8066" i="16"/>
  <c r="AD8067" i="16"/>
  <c r="AD8068" i="16"/>
  <c r="AD8069" i="16"/>
  <c r="AD8070" i="16"/>
  <c r="AD8071" i="16"/>
  <c r="AD8072" i="16"/>
  <c r="AD8073" i="16"/>
  <c r="AD8074" i="16"/>
  <c r="AD8075" i="16"/>
  <c r="AD8076" i="16"/>
  <c r="AD8077" i="16"/>
  <c r="AD8078" i="16"/>
  <c r="AD8079" i="16"/>
  <c r="AD8080" i="16"/>
  <c r="AD8081" i="16"/>
  <c r="AD8082" i="16"/>
  <c r="AD8083" i="16"/>
  <c r="AD8084" i="16"/>
  <c r="AD8085" i="16"/>
  <c r="AD8086" i="16"/>
  <c r="AD8087" i="16"/>
  <c r="AD8088" i="16"/>
  <c r="AD8089" i="16"/>
  <c r="AD8090" i="16"/>
  <c r="AD8091" i="16"/>
  <c r="AD8092" i="16"/>
  <c r="AD8093" i="16"/>
  <c r="AD8094" i="16"/>
  <c r="AD8095" i="16"/>
  <c r="AD8096" i="16"/>
  <c r="AD8097" i="16"/>
  <c r="AD8098" i="16"/>
  <c r="AD8099" i="16"/>
  <c r="AD8100" i="16"/>
  <c r="AD8101" i="16"/>
  <c r="AD8102" i="16"/>
  <c r="AD8103" i="16"/>
  <c r="AD8104" i="16"/>
  <c r="AD8105" i="16"/>
  <c r="AD8106" i="16"/>
  <c r="AD8107" i="16"/>
  <c r="AD8108" i="16"/>
  <c r="AD8109" i="16"/>
  <c r="AD8110" i="16"/>
  <c r="AD8111" i="16"/>
  <c r="AD8112" i="16"/>
  <c r="AD8113" i="16"/>
  <c r="AD8114" i="16"/>
  <c r="AD8115" i="16"/>
  <c r="AD8116" i="16"/>
  <c r="AD8117" i="16"/>
  <c r="AD8118" i="16"/>
  <c r="AD8119" i="16"/>
  <c r="AD8120" i="16"/>
  <c r="AD8121" i="16"/>
  <c r="AD8122" i="16"/>
  <c r="AD8123" i="16"/>
  <c r="AD8124" i="16"/>
  <c r="AD8125" i="16"/>
  <c r="AD8126" i="16"/>
  <c r="AD8127" i="16"/>
  <c r="AD8128" i="16"/>
  <c r="AD8129" i="16"/>
  <c r="AD8130" i="16"/>
  <c r="AD8131" i="16"/>
  <c r="AD8132" i="16"/>
  <c r="AD8133" i="16"/>
  <c r="AD8134" i="16"/>
  <c r="AD8135" i="16"/>
  <c r="AD8136" i="16"/>
  <c r="AD8137" i="16"/>
  <c r="AD8138" i="16"/>
  <c r="AD8139" i="16"/>
  <c r="AD8140" i="16"/>
  <c r="AD8141" i="16"/>
  <c r="AD8142" i="16"/>
  <c r="AD8143" i="16"/>
  <c r="AD8144" i="16"/>
  <c r="AD8145" i="16"/>
  <c r="AD8146" i="16"/>
  <c r="AD8147" i="16"/>
  <c r="AD8148" i="16"/>
  <c r="AD8149" i="16"/>
  <c r="AD8150" i="16"/>
  <c r="AD8151" i="16"/>
  <c r="AD8152" i="16"/>
  <c r="AD8153" i="16"/>
  <c r="AD8154" i="16"/>
  <c r="AD8155" i="16"/>
  <c r="AD8156" i="16"/>
  <c r="AD8157" i="16"/>
  <c r="AD8158" i="16"/>
  <c r="AD8159" i="16"/>
  <c r="AD8160" i="16"/>
  <c r="AD8161" i="16"/>
  <c r="AD8162" i="16"/>
  <c r="AD8163" i="16"/>
  <c r="AD8164" i="16"/>
  <c r="AD8165" i="16"/>
  <c r="AD8166" i="16"/>
  <c r="AD8167" i="16"/>
  <c r="AD8168" i="16"/>
  <c r="AD8169" i="16"/>
  <c r="AD8170" i="16"/>
  <c r="AD8171" i="16"/>
  <c r="AD8172" i="16"/>
  <c r="AD8173" i="16"/>
  <c r="AD8174" i="16"/>
  <c r="AD8175" i="16"/>
  <c r="AD8176" i="16"/>
  <c r="AD8177" i="16"/>
  <c r="AD8178" i="16"/>
  <c r="AD8179" i="16"/>
  <c r="AD8180" i="16"/>
  <c r="AD8181" i="16"/>
  <c r="AD8182" i="16"/>
  <c r="AD8183" i="16"/>
  <c r="AD8184" i="16"/>
  <c r="AD8185" i="16"/>
  <c r="AD8186" i="16"/>
  <c r="AD8187" i="16"/>
  <c r="AD8188" i="16"/>
  <c r="AD8189" i="16"/>
  <c r="AD8190" i="16"/>
  <c r="AD8191" i="16"/>
  <c r="AD8192" i="16"/>
  <c r="AD8193" i="16"/>
  <c r="AD8194" i="16"/>
  <c r="AD8195" i="16"/>
  <c r="AD8196" i="16"/>
  <c r="AD8197" i="16"/>
  <c r="AD8198" i="16"/>
  <c r="AD8199" i="16"/>
  <c r="AD8200" i="16"/>
  <c r="AD8201" i="16"/>
  <c r="AD8202" i="16"/>
  <c r="AD8203" i="16"/>
  <c r="AD8204" i="16"/>
  <c r="AD8205" i="16"/>
  <c r="AD8206" i="16"/>
  <c r="AD8207" i="16"/>
  <c r="AD8208" i="16"/>
  <c r="AD8209" i="16"/>
  <c r="AD8210" i="16"/>
  <c r="AD8211" i="16"/>
  <c r="AD8212" i="16"/>
  <c r="AD8213" i="16"/>
  <c r="AD8214" i="16"/>
  <c r="AD8215" i="16"/>
  <c r="AD8216" i="16"/>
  <c r="AD8217" i="16"/>
  <c r="AD8218" i="16"/>
  <c r="AD8219" i="16"/>
  <c r="AD8220" i="16"/>
  <c r="AD8221" i="16"/>
  <c r="AD8222" i="16"/>
  <c r="AD8223" i="16"/>
  <c r="AD8224" i="16"/>
  <c r="AD8225" i="16"/>
  <c r="AD8226" i="16"/>
  <c r="AD8227" i="16"/>
  <c r="AD8228" i="16"/>
  <c r="AD8229" i="16"/>
  <c r="AD8230" i="16"/>
  <c r="AD8231" i="16"/>
  <c r="AD8232" i="16"/>
  <c r="AD8233" i="16"/>
  <c r="AD8234" i="16"/>
  <c r="AD8235" i="16"/>
  <c r="AD8236" i="16"/>
  <c r="AD8237" i="16"/>
  <c r="AD8238" i="16"/>
  <c r="AD8239" i="16"/>
  <c r="AD8240" i="16"/>
  <c r="AD8241" i="16"/>
  <c r="AD8242" i="16"/>
  <c r="AD8243" i="16"/>
  <c r="AD8244" i="16"/>
  <c r="AD8245" i="16"/>
  <c r="AD8246" i="16"/>
  <c r="AD8247" i="16"/>
  <c r="AD8248" i="16"/>
  <c r="AD8249" i="16"/>
  <c r="AD8250" i="16"/>
  <c r="AD8251" i="16"/>
  <c r="AD8252" i="16"/>
  <c r="AD8253" i="16"/>
  <c r="AD8254" i="16"/>
  <c r="AD8255" i="16"/>
  <c r="AD8256" i="16"/>
  <c r="AD8257" i="16"/>
  <c r="AD8258" i="16"/>
  <c r="AD8259" i="16"/>
  <c r="AD8260" i="16"/>
  <c r="AD8261" i="16"/>
  <c r="AD8262" i="16"/>
  <c r="AD8263" i="16"/>
  <c r="AD8264" i="16"/>
  <c r="AD8265" i="16"/>
  <c r="AD8266" i="16"/>
  <c r="AD8267" i="16"/>
  <c r="AD8268" i="16"/>
  <c r="AD8269" i="16"/>
  <c r="AD8270" i="16"/>
  <c r="AD8271" i="16"/>
  <c r="AD8272" i="16"/>
  <c r="AD8273" i="16"/>
  <c r="AD8274" i="16"/>
  <c r="AD8275" i="16"/>
  <c r="AD8276" i="16"/>
  <c r="AD8277" i="16"/>
  <c r="AD8278" i="16"/>
  <c r="AD8279" i="16"/>
  <c r="AD8280" i="16"/>
  <c r="AD8281" i="16"/>
  <c r="AD8282" i="16"/>
  <c r="AD8283" i="16"/>
  <c r="AD8284" i="16"/>
  <c r="AD8285" i="16"/>
  <c r="AD8286" i="16"/>
  <c r="AD8287" i="16"/>
  <c r="AD8288" i="16"/>
  <c r="AD8289" i="16"/>
  <c r="AD8290" i="16"/>
  <c r="AD8291" i="16"/>
  <c r="AD8292" i="16"/>
  <c r="AD8293" i="16"/>
  <c r="AD8294" i="16"/>
  <c r="AD8295" i="16"/>
  <c r="AD8296" i="16"/>
  <c r="AD8297" i="16"/>
  <c r="AD8298" i="16"/>
  <c r="AD8299" i="16"/>
  <c r="AD8300" i="16"/>
  <c r="AD8301" i="16"/>
  <c r="AD8302" i="16"/>
  <c r="AD8303" i="16"/>
  <c r="AD8304" i="16"/>
  <c r="AD8305" i="16"/>
  <c r="AD8306" i="16"/>
  <c r="AD8307" i="16"/>
  <c r="AD8308" i="16"/>
  <c r="AD8309" i="16"/>
  <c r="AD8310" i="16"/>
  <c r="AD8311" i="16"/>
  <c r="AD8312" i="16"/>
  <c r="AD8313" i="16"/>
  <c r="AD8314" i="16"/>
  <c r="AD8315" i="16"/>
  <c r="AD8316" i="16"/>
  <c r="AD8317" i="16"/>
  <c r="AD8318" i="16"/>
  <c r="AD8319" i="16"/>
  <c r="AD8320" i="16"/>
  <c r="AD8321" i="16"/>
  <c r="AD8322" i="16"/>
  <c r="AD8323" i="16"/>
  <c r="AD8324" i="16"/>
  <c r="AD8325" i="16"/>
  <c r="AD8326" i="16"/>
  <c r="AD8327" i="16"/>
  <c r="AD8328" i="16"/>
  <c r="AD8329" i="16"/>
  <c r="AD8330" i="16"/>
  <c r="AD8331" i="16"/>
  <c r="AD8332" i="16"/>
  <c r="AD8333" i="16"/>
  <c r="AD8334" i="16"/>
  <c r="AD8335" i="16"/>
  <c r="AD8336" i="16"/>
  <c r="AD8337" i="16"/>
  <c r="AD8338" i="16"/>
  <c r="AD8339" i="16"/>
  <c r="AD8340" i="16"/>
  <c r="AD8341" i="16"/>
  <c r="AD8342" i="16"/>
  <c r="AD8343" i="16"/>
  <c r="AD8344" i="16"/>
  <c r="AD8345" i="16"/>
  <c r="AD8346" i="16"/>
  <c r="AD8347" i="16"/>
  <c r="AD8348" i="16"/>
  <c r="AD8349" i="16"/>
  <c r="AD8350" i="16"/>
  <c r="AD8351" i="16"/>
  <c r="AD8352" i="16"/>
  <c r="AD8353" i="16"/>
  <c r="AD8354" i="16"/>
  <c r="AD8355" i="16"/>
  <c r="AD8356" i="16"/>
  <c r="AD8357" i="16"/>
  <c r="AD8358" i="16"/>
  <c r="AD8359" i="16"/>
  <c r="AD8360" i="16"/>
  <c r="AD8361" i="16"/>
  <c r="AD8362" i="16"/>
  <c r="AD8363" i="16"/>
  <c r="AD8364" i="16"/>
  <c r="AD8365" i="16"/>
  <c r="AD8366" i="16"/>
  <c r="AD8367" i="16"/>
  <c r="AD8368" i="16"/>
  <c r="AD8369" i="16"/>
  <c r="AD8370" i="16"/>
  <c r="AD8371" i="16"/>
  <c r="AD8372" i="16"/>
  <c r="AD8373" i="16"/>
  <c r="AD8374" i="16"/>
  <c r="AD8375" i="16"/>
  <c r="AD8376" i="16"/>
  <c r="AD8377" i="16"/>
  <c r="AD8378" i="16"/>
  <c r="AD8379" i="16"/>
  <c r="AD8380" i="16"/>
  <c r="AD8381" i="16"/>
  <c r="AD8382" i="16"/>
  <c r="AD8383" i="16"/>
  <c r="AD8384" i="16"/>
  <c r="AD8385" i="16"/>
  <c r="AD8386" i="16"/>
  <c r="AD8387" i="16"/>
  <c r="AD8388" i="16"/>
  <c r="AD8389" i="16"/>
  <c r="AD8390" i="16"/>
  <c r="AD8391" i="16"/>
  <c r="AD8392" i="16"/>
  <c r="AD8393" i="16"/>
  <c r="AD8394" i="16"/>
  <c r="AD8395" i="16"/>
  <c r="AD8396" i="16"/>
  <c r="AD8397" i="16"/>
  <c r="AD8398" i="16"/>
  <c r="AD8399" i="16"/>
  <c r="AD8400" i="16"/>
  <c r="AD8401" i="16"/>
  <c r="AD8402" i="16"/>
  <c r="AD8403" i="16"/>
  <c r="AD8404" i="16"/>
  <c r="AD8405" i="16"/>
  <c r="AD8406" i="16"/>
  <c r="AD8407" i="16"/>
  <c r="AD8408" i="16"/>
  <c r="AD8409" i="16"/>
  <c r="AD8410" i="16"/>
  <c r="AD8411" i="16"/>
  <c r="AD8412" i="16"/>
  <c r="AD8413" i="16"/>
  <c r="AD8414" i="16"/>
  <c r="AD8415" i="16"/>
  <c r="AD8416" i="16"/>
  <c r="AD8417" i="16"/>
  <c r="AD8418" i="16"/>
  <c r="AD8419" i="16"/>
  <c r="AD8420" i="16"/>
  <c r="AD8421" i="16"/>
  <c r="AD8422" i="16"/>
  <c r="AD8423" i="16"/>
  <c r="AD8424" i="16"/>
  <c r="AD8425" i="16"/>
  <c r="AD8426" i="16"/>
  <c r="AD8427" i="16"/>
  <c r="AD8428" i="16"/>
  <c r="AD8429" i="16"/>
  <c r="AD8430" i="16"/>
  <c r="AD8431" i="16"/>
  <c r="AD8432" i="16"/>
  <c r="AD8433" i="16"/>
  <c r="AD8434" i="16"/>
  <c r="AD8435" i="16"/>
  <c r="AD8436" i="16"/>
  <c r="AD8437" i="16"/>
  <c r="AD8438" i="16"/>
  <c r="AD8439" i="16"/>
  <c r="AD8440" i="16"/>
  <c r="AD8441" i="16"/>
  <c r="AD8442" i="16"/>
  <c r="AD8443" i="16"/>
  <c r="AD8444" i="16"/>
  <c r="AD8445" i="16"/>
  <c r="AD8446" i="16"/>
  <c r="AD8447" i="16"/>
  <c r="AD8448" i="16"/>
  <c r="AD8449" i="16"/>
  <c r="AD8450" i="16"/>
  <c r="AD8451" i="16"/>
  <c r="AD8452" i="16"/>
  <c r="AD8453" i="16"/>
  <c r="AD8454" i="16"/>
  <c r="AD8455" i="16"/>
  <c r="AD8456" i="16"/>
  <c r="AD8457" i="16"/>
  <c r="AD8458" i="16"/>
  <c r="AD8459" i="16"/>
  <c r="AD8460" i="16"/>
  <c r="AD8461" i="16"/>
  <c r="AD8462" i="16"/>
  <c r="AD8463" i="16"/>
  <c r="AD8464" i="16"/>
  <c r="AD8465" i="16"/>
  <c r="AD8466" i="16"/>
  <c r="AD8467" i="16"/>
  <c r="AD8468" i="16"/>
  <c r="AD8469" i="16"/>
  <c r="AD8470" i="16"/>
  <c r="AD8471" i="16"/>
  <c r="AD8472" i="16"/>
  <c r="AD8473" i="16"/>
  <c r="AD8474" i="16"/>
  <c r="AD8475" i="16"/>
  <c r="AD8476" i="16"/>
  <c r="AD8477" i="16"/>
  <c r="AD8478" i="16"/>
  <c r="AD8479" i="16"/>
  <c r="AD8480" i="16"/>
  <c r="AD8481" i="16"/>
  <c r="AD8482" i="16"/>
  <c r="AD8483" i="16"/>
  <c r="AD8484" i="16"/>
  <c r="AD8485" i="16"/>
  <c r="AD8486" i="16"/>
  <c r="AD8487" i="16"/>
  <c r="AD8488" i="16"/>
  <c r="AD8489" i="16"/>
  <c r="AD8490" i="16"/>
  <c r="AD8491" i="16"/>
  <c r="AD8492" i="16"/>
  <c r="AD8493" i="16"/>
  <c r="AD8494" i="16"/>
  <c r="AD8495" i="16"/>
  <c r="AD8496" i="16"/>
  <c r="AD8497" i="16"/>
  <c r="AD8498" i="16"/>
  <c r="AD8499" i="16"/>
  <c r="AD8500" i="16"/>
  <c r="AD8501" i="16"/>
  <c r="AD8502" i="16"/>
  <c r="AD8503" i="16"/>
  <c r="AD8504" i="16"/>
  <c r="AD8505" i="16"/>
  <c r="AD8506" i="16"/>
  <c r="AD8507" i="16"/>
  <c r="AD8508" i="16"/>
  <c r="AD8509" i="16"/>
  <c r="AD8510" i="16"/>
  <c r="AD8511" i="16"/>
  <c r="AD8512" i="16"/>
  <c r="AD8513" i="16"/>
  <c r="AD8514" i="16"/>
  <c r="AD8515" i="16"/>
  <c r="AD8516" i="16"/>
  <c r="AD8517" i="16"/>
  <c r="AD8518" i="16"/>
  <c r="AD8519" i="16"/>
  <c r="AD8520" i="16"/>
  <c r="AD8521" i="16"/>
  <c r="AD8522" i="16"/>
  <c r="AD8523" i="16"/>
  <c r="AD8524" i="16"/>
  <c r="AD8525" i="16"/>
  <c r="AD8526" i="16"/>
  <c r="AD8527" i="16"/>
  <c r="AD8528" i="16"/>
  <c r="AD8529" i="16"/>
  <c r="AD8530" i="16"/>
  <c r="AD8531" i="16"/>
  <c r="AD8532" i="16"/>
  <c r="AD8533" i="16"/>
  <c r="AD8534" i="16"/>
  <c r="AD8535" i="16"/>
  <c r="AD8536" i="16"/>
  <c r="AD8537" i="16"/>
  <c r="AD8538" i="16"/>
  <c r="AD8539" i="16"/>
  <c r="AD8540" i="16"/>
  <c r="AD8541" i="16"/>
  <c r="AD8542" i="16"/>
  <c r="AD8543" i="16"/>
  <c r="AD8544" i="16"/>
  <c r="AD8545" i="16"/>
  <c r="AD8546" i="16"/>
  <c r="AD8547" i="16"/>
  <c r="AD8548" i="16"/>
  <c r="AD8549" i="16"/>
  <c r="AD8550" i="16"/>
  <c r="AD8551" i="16"/>
  <c r="AD8552" i="16"/>
  <c r="AD8553" i="16"/>
  <c r="AD8554" i="16"/>
  <c r="AD8555" i="16"/>
  <c r="AD8556" i="16"/>
  <c r="AD8557" i="16"/>
  <c r="AD8558" i="16"/>
  <c r="AD8559" i="16"/>
  <c r="AD8560" i="16"/>
  <c r="AD8561" i="16"/>
  <c r="AD8562" i="16"/>
  <c r="AD8563" i="16"/>
  <c r="AD8564" i="16"/>
  <c r="AD8565" i="16"/>
  <c r="AD8566" i="16"/>
  <c r="AD8567" i="16"/>
  <c r="AD8568" i="16"/>
  <c r="AD8569" i="16"/>
  <c r="AD8570" i="16"/>
  <c r="AD8571" i="16"/>
  <c r="AD8572" i="16"/>
  <c r="AD8573" i="16"/>
  <c r="AD8574" i="16"/>
  <c r="AD8575" i="16"/>
  <c r="AD8576" i="16"/>
  <c r="AD8577" i="16"/>
  <c r="AD8578" i="16"/>
  <c r="AD8579" i="16"/>
  <c r="AD8580" i="16"/>
  <c r="AD8581" i="16"/>
  <c r="AD8582" i="16"/>
  <c r="AD8583" i="16"/>
  <c r="AD8584" i="16"/>
  <c r="AD8585" i="16"/>
  <c r="AD8586" i="16"/>
  <c r="AD8587" i="16"/>
  <c r="AD8588" i="16"/>
  <c r="AD8589" i="16"/>
  <c r="AD8590" i="16"/>
  <c r="AD8591" i="16"/>
  <c r="AD8592" i="16"/>
  <c r="AD8593" i="16"/>
  <c r="AD8594" i="16"/>
  <c r="AD8595" i="16"/>
  <c r="AD8596" i="16"/>
  <c r="AD8597" i="16"/>
  <c r="AD8598" i="16"/>
  <c r="AD8599" i="16"/>
  <c r="AD8600" i="16"/>
  <c r="AD8601" i="16"/>
  <c r="AD8602" i="16"/>
  <c r="AD8603" i="16"/>
  <c r="AD8604" i="16"/>
  <c r="AD8605" i="16"/>
  <c r="AD8606" i="16"/>
  <c r="AD8607" i="16"/>
  <c r="AD8608" i="16"/>
  <c r="AD8609" i="16"/>
  <c r="AD8610" i="16"/>
  <c r="AD8611" i="16"/>
  <c r="AD8612" i="16"/>
  <c r="AD8613" i="16"/>
  <c r="AD8614" i="16"/>
  <c r="AD8615" i="16"/>
  <c r="AD8616" i="16"/>
  <c r="AD8617" i="16"/>
  <c r="AD8618" i="16"/>
  <c r="AD8619" i="16"/>
  <c r="AD8620" i="16"/>
  <c r="AD8621" i="16"/>
  <c r="AD8622" i="16"/>
  <c r="AD8623" i="16"/>
  <c r="AD8624" i="16"/>
  <c r="AD8625" i="16"/>
  <c r="AD8626" i="16"/>
  <c r="AD8627" i="16"/>
  <c r="AD8628" i="16"/>
  <c r="AD8629" i="16"/>
  <c r="AD8630" i="16"/>
  <c r="AD8631" i="16"/>
  <c r="AD8632" i="16"/>
  <c r="AD8633" i="16"/>
  <c r="AD8634" i="16"/>
  <c r="AD8635" i="16"/>
  <c r="AD8636" i="16"/>
  <c r="AD8637" i="16"/>
  <c r="AD8638" i="16"/>
  <c r="AD8639" i="16"/>
  <c r="AD8640" i="16"/>
  <c r="AD8641" i="16"/>
  <c r="AD8642" i="16"/>
  <c r="AD8643" i="16"/>
  <c r="AD8644" i="16"/>
  <c r="AD8645" i="16"/>
  <c r="AD8646" i="16"/>
  <c r="AD8647" i="16"/>
  <c r="AD8648" i="16"/>
  <c r="AD8649" i="16"/>
  <c r="AD8650" i="16"/>
  <c r="AD8651" i="16"/>
  <c r="AD8652" i="16"/>
  <c r="AD8653" i="16"/>
  <c r="AD8654" i="16"/>
  <c r="AD8655" i="16"/>
  <c r="AD8656" i="16"/>
  <c r="AD8657" i="16"/>
  <c r="AD8658" i="16"/>
  <c r="AD8659" i="16"/>
  <c r="AD8660" i="16"/>
  <c r="AD8661" i="16"/>
  <c r="AD8662" i="16"/>
  <c r="AD8663" i="16"/>
  <c r="AD8664" i="16"/>
  <c r="AD8665" i="16"/>
  <c r="AD8666" i="16"/>
  <c r="AD8667" i="16"/>
  <c r="AD8668" i="16"/>
  <c r="AD8669" i="16"/>
  <c r="AD8670" i="16"/>
  <c r="AD8671" i="16"/>
  <c r="AD8672" i="16"/>
  <c r="AD8673" i="16"/>
  <c r="AD8674" i="16"/>
  <c r="AD8675" i="16"/>
  <c r="AD8676" i="16"/>
  <c r="AD8677" i="16"/>
  <c r="AD8678" i="16"/>
  <c r="AD8679" i="16"/>
  <c r="AD8680" i="16"/>
  <c r="AD8681" i="16"/>
  <c r="AD8682" i="16"/>
  <c r="AD8683" i="16"/>
  <c r="AD8684" i="16"/>
  <c r="AD8685" i="16"/>
  <c r="AD8686" i="16"/>
  <c r="AD8687" i="16"/>
  <c r="AD8688" i="16"/>
  <c r="AD8689" i="16"/>
  <c r="AD8690" i="16"/>
  <c r="AD8691" i="16"/>
  <c r="AD8692" i="16"/>
  <c r="AD8693" i="16"/>
  <c r="AD8694" i="16"/>
  <c r="AD8695" i="16"/>
  <c r="AD8696" i="16"/>
  <c r="AD8697" i="16"/>
  <c r="AD8698" i="16"/>
  <c r="AD8699" i="16"/>
  <c r="AD8700" i="16"/>
  <c r="AD8701" i="16"/>
  <c r="AD8702" i="16"/>
  <c r="AD8703" i="16"/>
  <c r="AD8704" i="16"/>
  <c r="AD8705" i="16"/>
  <c r="AD8706" i="16"/>
  <c r="AD8707" i="16"/>
  <c r="AD8708" i="16"/>
  <c r="AD8709" i="16"/>
  <c r="AD8710" i="16"/>
  <c r="AD8711" i="16"/>
  <c r="AD8712" i="16"/>
  <c r="AD8713" i="16"/>
  <c r="AD8714" i="16"/>
  <c r="AD8715" i="16"/>
  <c r="AD8716" i="16"/>
  <c r="AD8717" i="16"/>
  <c r="AD8718" i="16"/>
  <c r="AD8719" i="16"/>
  <c r="AD8720" i="16"/>
  <c r="AD8721" i="16"/>
  <c r="AD8722" i="16"/>
  <c r="AD8723" i="16"/>
  <c r="AD8724" i="16"/>
  <c r="AD8725" i="16"/>
  <c r="AD8726" i="16"/>
  <c r="AD8727" i="16"/>
  <c r="AD8728" i="16"/>
  <c r="AD8729" i="16"/>
  <c r="AD8730" i="16"/>
  <c r="AD8731" i="16"/>
  <c r="AD8732" i="16"/>
  <c r="AD8733" i="16"/>
  <c r="AD8734" i="16"/>
  <c r="AD8735" i="16"/>
  <c r="AD8736" i="16"/>
  <c r="AD8737" i="16"/>
  <c r="AD8738" i="16"/>
  <c r="AD8739" i="16"/>
  <c r="AD8740" i="16"/>
  <c r="AD8741" i="16"/>
  <c r="AD8742" i="16"/>
  <c r="AD8743" i="16"/>
  <c r="AD8744" i="16"/>
  <c r="AD8745" i="16"/>
  <c r="AD8746" i="16"/>
  <c r="AD8747" i="16"/>
  <c r="AD8748" i="16"/>
  <c r="AD8749" i="16"/>
  <c r="AD8750" i="16"/>
  <c r="AD8751" i="16"/>
  <c r="AD8752" i="16"/>
  <c r="AD8753" i="16"/>
  <c r="AD8754" i="16"/>
  <c r="AD8755" i="16"/>
  <c r="AD8756" i="16"/>
  <c r="AD8757" i="16"/>
  <c r="AD8758" i="16"/>
  <c r="AD8759" i="16"/>
  <c r="AD8760" i="16"/>
  <c r="AD8761" i="16"/>
  <c r="AD8762" i="16"/>
  <c r="AD8763" i="16"/>
  <c r="AD8764" i="16"/>
  <c r="AD8765" i="16"/>
  <c r="AD8766" i="16"/>
  <c r="AD8767" i="16"/>
  <c r="AD8768" i="16"/>
  <c r="AD8769" i="16"/>
  <c r="AD8770" i="16"/>
  <c r="AD8771" i="16"/>
  <c r="AD8772" i="16"/>
  <c r="AD8773" i="16"/>
  <c r="AD8774" i="16"/>
  <c r="AD8775" i="16"/>
  <c r="AD8776" i="16"/>
  <c r="AD8777" i="16"/>
  <c r="AD8778" i="16"/>
  <c r="AD8779" i="16"/>
  <c r="AD8780" i="16"/>
  <c r="AD8781" i="16"/>
  <c r="AD8782" i="16"/>
  <c r="AD8783" i="16"/>
  <c r="AD8784" i="16"/>
  <c r="AD8785" i="16"/>
  <c r="AD8786" i="16"/>
  <c r="AD8787" i="16"/>
  <c r="AD8788" i="16"/>
  <c r="AD8789" i="16"/>
  <c r="AD8790" i="16"/>
  <c r="AD8791" i="16"/>
  <c r="AD8792" i="16"/>
  <c r="AD8793" i="16"/>
  <c r="AD8794" i="16"/>
  <c r="AD8795" i="16"/>
  <c r="AD8796" i="16"/>
  <c r="AD8797" i="16"/>
  <c r="AD8798" i="16"/>
  <c r="AD8799" i="16"/>
  <c r="AD8800" i="16"/>
  <c r="AD8801" i="16"/>
  <c r="AD8802" i="16"/>
  <c r="AD8803" i="16"/>
  <c r="AD8804" i="16"/>
  <c r="AD8805" i="16"/>
  <c r="AD8806" i="16"/>
  <c r="AD8807" i="16"/>
  <c r="AD8808" i="16"/>
  <c r="AD8809" i="16"/>
  <c r="AD8810" i="16"/>
  <c r="AD8811" i="16"/>
  <c r="AD8812" i="16"/>
  <c r="AD8813" i="16"/>
  <c r="AD8814" i="16"/>
  <c r="AD8815" i="16"/>
  <c r="AD8816" i="16"/>
  <c r="AD8817" i="16"/>
  <c r="AD8818" i="16"/>
  <c r="AD8819" i="16"/>
  <c r="AD8820" i="16"/>
  <c r="AD8821" i="16"/>
  <c r="AD8822" i="16"/>
  <c r="AD8823" i="16"/>
  <c r="AD8824" i="16"/>
  <c r="AD8825" i="16"/>
  <c r="AD8826" i="16"/>
  <c r="AD8827" i="16"/>
  <c r="AD8828" i="16"/>
  <c r="AD8829" i="16"/>
  <c r="AD8830" i="16"/>
  <c r="AD8831" i="16"/>
  <c r="AD8832" i="16"/>
  <c r="AD8833" i="16"/>
  <c r="AD8834" i="16"/>
  <c r="AD8835" i="16"/>
  <c r="AD8836" i="16"/>
  <c r="AD8837" i="16"/>
  <c r="AD8838" i="16"/>
  <c r="AD8839" i="16"/>
  <c r="AD8840" i="16"/>
  <c r="AD8841" i="16"/>
  <c r="AD8842" i="16"/>
  <c r="AD8843" i="16"/>
  <c r="AD8844" i="16"/>
  <c r="AD8845" i="16"/>
  <c r="AD8846" i="16"/>
  <c r="AD8847" i="16"/>
  <c r="AD8848" i="16"/>
  <c r="AD8849" i="16"/>
  <c r="AD8850" i="16"/>
  <c r="AD8851" i="16"/>
  <c r="AD8852" i="16"/>
  <c r="AD8853" i="16"/>
  <c r="AD8854" i="16"/>
  <c r="AD8855" i="16"/>
  <c r="AD8856" i="16"/>
  <c r="AD8857" i="16"/>
  <c r="AD8858" i="16"/>
  <c r="AD8859" i="16"/>
  <c r="AD8860" i="16"/>
  <c r="AD8861" i="16"/>
  <c r="AD8862" i="16"/>
  <c r="AD8863" i="16"/>
  <c r="AD8864" i="16"/>
  <c r="AD8865" i="16"/>
  <c r="AD8866" i="16"/>
  <c r="AD8867" i="16"/>
  <c r="AD8868" i="16"/>
  <c r="AD8869" i="16"/>
  <c r="AD8870" i="16"/>
  <c r="AD8871" i="16"/>
  <c r="AD8872" i="16"/>
  <c r="AD8873" i="16"/>
  <c r="AD8874" i="16"/>
  <c r="AD8875" i="16"/>
  <c r="AD8876" i="16"/>
  <c r="AD8877" i="16"/>
  <c r="AD8878" i="16"/>
  <c r="AD8879" i="16"/>
  <c r="AD8880" i="16"/>
  <c r="AD8881" i="16"/>
  <c r="AD8882" i="16"/>
  <c r="AD8883" i="16"/>
  <c r="AD8884" i="16"/>
  <c r="AD8885" i="16"/>
  <c r="AD8886" i="16"/>
  <c r="AD8887" i="16"/>
  <c r="AD8888" i="16"/>
  <c r="AD8889" i="16"/>
  <c r="AD8890" i="16"/>
  <c r="AD8891" i="16"/>
  <c r="AD8892" i="16"/>
  <c r="AD8893" i="16"/>
  <c r="AD8894" i="16"/>
  <c r="AD8895" i="16"/>
  <c r="AD8896" i="16"/>
  <c r="AD8897" i="16"/>
  <c r="AD8898" i="16"/>
  <c r="AD8899" i="16"/>
  <c r="AD8900" i="16"/>
  <c r="AD8901" i="16"/>
  <c r="AD8902" i="16"/>
  <c r="AD8903" i="16"/>
  <c r="AD8904" i="16"/>
  <c r="AD8905" i="16"/>
  <c r="AD8906" i="16"/>
  <c r="AD8907" i="16"/>
  <c r="AD8908" i="16"/>
  <c r="AD8909" i="16"/>
  <c r="AD8910" i="16"/>
  <c r="AD8911" i="16"/>
  <c r="AD8912" i="16"/>
  <c r="AD8913" i="16"/>
  <c r="AD8914" i="16"/>
  <c r="AD8915" i="16"/>
  <c r="AD8916" i="16"/>
  <c r="AD8917" i="16"/>
  <c r="AD8918" i="16"/>
  <c r="AD8919" i="16"/>
  <c r="AD8920" i="16"/>
  <c r="AD8921" i="16"/>
  <c r="AD8922" i="16"/>
  <c r="AD8923" i="16"/>
  <c r="AD8924" i="16"/>
  <c r="AD8925" i="16"/>
  <c r="AD8926" i="16"/>
  <c r="AD8927" i="16"/>
  <c r="AD8928" i="16"/>
  <c r="AD8929" i="16"/>
  <c r="AD8930" i="16"/>
  <c r="AD8931" i="16"/>
  <c r="AD8932" i="16"/>
  <c r="AD8933" i="16"/>
  <c r="AD8934" i="16"/>
  <c r="AD8935" i="16"/>
  <c r="AD8936" i="16"/>
  <c r="AD8937" i="16"/>
  <c r="AD8938" i="16"/>
  <c r="AD8939" i="16"/>
  <c r="AD8940" i="16"/>
  <c r="AD8941" i="16"/>
  <c r="AD8942" i="16"/>
  <c r="AD8943" i="16"/>
  <c r="AD8944" i="16"/>
  <c r="AD8945" i="16"/>
  <c r="AD8946" i="16"/>
  <c r="AD8947" i="16"/>
  <c r="AD8948" i="16"/>
  <c r="AD8949" i="16"/>
  <c r="AD8950" i="16"/>
  <c r="AD8951" i="16"/>
  <c r="AD8952" i="16"/>
  <c r="AD8953" i="16"/>
  <c r="AD8954" i="16"/>
  <c r="AD8955" i="16"/>
  <c r="AD8956" i="16"/>
  <c r="AD8957" i="16"/>
  <c r="AD8958" i="16"/>
  <c r="AD8959" i="16"/>
  <c r="AD8960" i="16"/>
  <c r="AD8961" i="16"/>
  <c r="AD8962" i="16"/>
  <c r="AD8963" i="16"/>
  <c r="AD8964" i="16"/>
  <c r="AD8965" i="16"/>
  <c r="AD8966" i="16"/>
  <c r="AD8967" i="16"/>
  <c r="AD8968" i="16"/>
  <c r="AD8969" i="16"/>
  <c r="AD8970" i="16"/>
  <c r="AD8971" i="16"/>
  <c r="AD8972" i="16"/>
  <c r="AD8973" i="16"/>
  <c r="AD8974" i="16"/>
  <c r="AD8975" i="16"/>
  <c r="AD8976" i="16"/>
  <c r="AD8977" i="16"/>
  <c r="AD8978" i="16"/>
  <c r="AD8979" i="16"/>
  <c r="AD8980" i="16"/>
  <c r="AD8981" i="16"/>
  <c r="AD8982" i="16"/>
  <c r="AD8983" i="16"/>
  <c r="AD8984" i="16"/>
  <c r="AD8985" i="16"/>
  <c r="AD8986" i="16"/>
  <c r="AD8987" i="16"/>
  <c r="AD8988" i="16"/>
  <c r="AD8989" i="16"/>
  <c r="AD8990" i="16"/>
  <c r="AD8991" i="16"/>
  <c r="AD8992" i="16"/>
  <c r="AD8993" i="16"/>
  <c r="AD8994" i="16"/>
  <c r="AD8995" i="16"/>
  <c r="AD8996" i="16"/>
  <c r="AD8997" i="16"/>
  <c r="AD8998" i="16"/>
  <c r="AD8999" i="16"/>
  <c r="AD9000" i="16"/>
  <c r="AD9001" i="16"/>
  <c r="AD9002" i="16"/>
  <c r="AD9003" i="16"/>
  <c r="AD9004" i="16"/>
  <c r="AD9005" i="16"/>
  <c r="AD9006" i="16"/>
  <c r="AD9007" i="16"/>
  <c r="AD9008" i="16"/>
  <c r="AD9009" i="16"/>
  <c r="AD9010" i="16"/>
  <c r="AD9011" i="16"/>
  <c r="AD9012" i="16"/>
  <c r="AD9013" i="16"/>
  <c r="AD9014" i="16"/>
  <c r="AD9015" i="16"/>
  <c r="AD9016" i="16"/>
  <c r="AD9017" i="16"/>
  <c r="AD9018" i="16"/>
  <c r="AD9019" i="16"/>
  <c r="AD9020" i="16"/>
  <c r="AD9021" i="16"/>
  <c r="AD9022" i="16"/>
  <c r="AD9023" i="16"/>
  <c r="AD9024" i="16"/>
  <c r="AD9025" i="16"/>
  <c r="AD9026" i="16"/>
  <c r="AD9027" i="16"/>
  <c r="AD9028" i="16"/>
  <c r="AD9029" i="16"/>
  <c r="AD9030" i="16"/>
  <c r="AD9031" i="16"/>
  <c r="AD9032" i="16"/>
  <c r="AD9033" i="16"/>
  <c r="AD9034" i="16"/>
  <c r="AD9035" i="16"/>
  <c r="AD9036" i="16"/>
  <c r="AD9037" i="16"/>
  <c r="AD9038" i="16"/>
  <c r="AD9039" i="16"/>
  <c r="AD9040" i="16"/>
  <c r="AD9041" i="16"/>
  <c r="AD9042" i="16"/>
  <c r="AD9043" i="16"/>
  <c r="AD9044" i="16"/>
  <c r="AD9045" i="16"/>
  <c r="AD9046" i="16"/>
  <c r="AD9047" i="16"/>
  <c r="AD9048" i="16"/>
  <c r="AD9049" i="16"/>
  <c r="AD9050" i="16"/>
  <c r="AD9051" i="16"/>
  <c r="AD9052" i="16"/>
  <c r="AD9053" i="16"/>
  <c r="AD9054" i="16"/>
  <c r="AD9055" i="16"/>
  <c r="AD9056" i="16"/>
  <c r="AD9057" i="16"/>
  <c r="AD9058" i="16"/>
  <c r="AD9059" i="16"/>
  <c r="AD9060" i="16"/>
  <c r="AD9061" i="16"/>
  <c r="AD9062" i="16"/>
  <c r="AD9063" i="16"/>
  <c r="AD9064" i="16"/>
  <c r="AD9065" i="16"/>
  <c r="AD9066" i="16"/>
  <c r="AD9067" i="16"/>
  <c r="AD9068" i="16"/>
  <c r="AD9069" i="16"/>
  <c r="AD9070" i="16"/>
  <c r="AD9071" i="16"/>
  <c r="AD9072" i="16"/>
  <c r="AD9073" i="16"/>
  <c r="AD9074" i="16"/>
  <c r="AD9075" i="16"/>
  <c r="AD9076" i="16"/>
  <c r="AD9077" i="16"/>
  <c r="AD9078" i="16"/>
  <c r="AD9079" i="16"/>
  <c r="AD9080" i="16"/>
  <c r="AD9081" i="16"/>
  <c r="AD9082" i="16"/>
  <c r="AD9083" i="16"/>
  <c r="AD9084" i="16"/>
  <c r="AD9085" i="16"/>
  <c r="AD9086" i="16"/>
  <c r="AD9087" i="16"/>
  <c r="AD9088" i="16"/>
  <c r="AD9089" i="16"/>
  <c r="AD9090" i="16"/>
  <c r="AD9091" i="16"/>
  <c r="AD9092" i="16"/>
  <c r="AD9093" i="16"/>
  <c r="AD9094" i="16"/>
  <c r="AD9095" i="16"/>
  <c r="AD9096" i="16"/>
  <c r="AD9097" i="16"/>
  <c r="AD9098" i="16"/>
  <c r="AD9099" i="16"/>
  <c r="AD9100" i="16"/>
  <c r="AD9101" i="16"/>
  <c r="AD9102" i="16"/>
  <c r="AD9103" i="16"/>
  <c r="AD9104" i="16"/>
  <c r="AD9105" i="16"/>
  <c r="AD9106" i="16"/>
  <c r="AD9107" i="16"/>
  <c r="AD9108" i="16"/>
  <c r="AD9109" i="16"/>
  <c r="AD9110" i="16"/>
  <c r="AD9111" i="16"/>
  <c r="AD9112" i="16"/>
  <c r="AD9113" i="16"/>
  <c r="AD9114" i="16"/>
  <c r="AD9115" i="16"/>
  <c r="AD9116" i="16"/>
  <c r="AD9117" i="16"/>
  <c r="AD9118" i="16"/>
  <c r="AD9119" i="16"/>
  <c r="AD9120" i="16"/>
  <c r="AD9121" i="16"/>
  <c r="AD9122" i="16"/>
  <c r="AD9123" i="16"/>
  <c r="AD9124" i="16"/>
  <c r="AD9125" i="16"/>
  <c r="AD9126" i="16"/>
  <c r="AD9127" i="16"/>
  <c r="AD9128" i="16"/>
  <c r="AD9129" i="16"/>
  <c r="AD9130" i="16"/>
  <c r="AD9131" i="16"/>
  <c r="AD9132" i="16"/>
  <c r="AD9133" i="16"/>
  <c r="AD9134" i="16"/>
  <c r="AD9135" i="16"/>
  <c r="AD9136" i="16"/>
  <c r="AD9137" i="16"/>
  <c r="AD9138" i="16"/>
  <c r="AD9139" i="16"/>
  <c r="AD9140" i="16"/>
  <c r="AD9141" i="16"/>
  <c r="AD9142" i="16"/>
  <c r="AD9143" i="16"/>
  <c r="AD9144" i="16"/>
  <c r="AD9145" i="16"/>
  <c r="AD9146" i="16"/>
  <c r="AD9147" i="16"/>
  <c r="AD9148" i="16"/>
  <c r="AD9149" i="16"/>
  <c r="AD9150" i="16"/>
  <c r="AD9151" i="16"/>
  <c r="AD9152" i="16"/>
  <c r="AD9153" i="16"/>
  <c r="AD9154" i="16"/>
  <c r="AD9155" i="16"/>
  <c r="AD9156" i="16"/>
  <c r="AD9157" i="16"/>
  <c r="AD9158" i="16"/>
  <c r="AD9159" i="16"/>
  <c r="AD9160" i="16"/>
  <c r="AD9161" i="16"/>
  <c r="AD9162" i="16"/>
  <c r="AD9163" i="16"/>
  <c r="AD9164" i="16"/>
  <c r="AD9165" i="16"/>
  <c r="AD9166" i="16"/>
  <c r="AD9167" i="16"/>
  <c r="AD9168" i="16"/>
  <c r="AD9169" i="16"/>
  <c r="AD9170" i="16"/>
  <c r="AD9171" i="16"/>
  <c r="AD9172" i="16"/>
  <c r="AD9173" i="16"/>
  <c r="AD9174" i="16"/>
  <c r="AD9175" i="16"/>
  <c r="AD9176" i="16"/>
  <c r="AD9177" i="16"/>
  <c r="AD9178" i="16"/>
  <c r="AD9179" i="16"/>
  <c r="AD9180" i="16"/>
  <c r="AD9181" i="16"/>
  <c r="AD9182" i="16"/>
  <c r="AD9183" i="16"/>
  <c r="AD9184" i="16"/>
  <c r="AD9185" i="16"/>
  <c r="AD9186" i="16"/>
  <c r="AD9187" i="16"/>
  <c r="AD9188" i="16"/>
  <c r="AD9189" i="16"/>
  <c r="AD9190" i="16"/>
  <c r="AD9191" i="16"/>
  <c r="AD9192" i="16"/>
  <c r="AD9193" i="16"/>
  <c r="AD9194" i="16"/>
  <c r="AD9195" i="16"/>
  <c r="AD9196" i="16"/>
  <c r="AD9197" i="16"/>
  <c r="AD9198" i="16"/>
  <c r="AD9199" i="16"/>
  <c r="AD9200" i="16"/>
  <c r="AD9201" i="16"/>
  <c r="AD9202" i="16"/>
  <c r="AD9203" i="16"/>
  <c r="AD9204" i="16"/>
  <c r="AD9205" i="16"/>
  <c r="AD9206" i="16"/>
  <c r="AD9207" i="16"/>
  <c r="AD9208" i="16"/>
  <c r="AD9209" i="16"/>
  <c r="AD9210" i="16"/>
  <c r="AD9211" i="16"/>
  <c r="AD9212" i="16"/>
  <c r="AD9213" i="16"/>
  <c r="AD9214" i="16"/>
  <c r="AD9215" i="16"/>
  <c r="AD9216" i="16"/>
  <c r="AD9217" i="16"/>
  <c r="AD9218" i="16"/>
  <c r="AD9219" i="16"/>
  <c r="AD9220" i="16"/>
  <c r="AD9221" i="16"/>
  <c r="AD9222" i="16"/>
  <c r="AD9223" i="16"/>
  <c r="AD9224" i="16"/>
  <c r="AD9225" i="16"/>
  <c r="AD9226" i="16"/>
  <c r="AD9227" i="16"/>
  <c r="AD9228" i="16"/>
  <c r="AD9229" i="16"/>
  <c r="AD9230" i="16"/>
  <c r="AD9231" i="16"/>
  <c r="AD9232" i="16"/>
  <c r="AD9233" i="16"/>
  <c r="AD9234" i="16"/>
  <c r="AD9235" i="16"/>
  <c r="AD9236" i="16"/>
  <c r="AD9237" i="16"/>
  <c r="AD9238" i="16"/>
  <c r="AD9239" i="16"/>
  <c r="AD9240" i="16"/>
  <c r="AD9241" i="16"/>
  <c r="AD9242" i="16"/>
  <c r="AD9243" i="16"/>
  <c r="AD9244" i="16"/>
  <c r="AD9245" i="16"/>
  <c r="AD9246" i="16"/>
  <c r="AD9247" i="16"/>
  <c r="AD9248" i="16"/>
  <c r="AD9249" i="16"/>
  <c r="AD9250" i="16"/>
  <c r="AD9251" i="16"/>
  <c r="AD9252" i="16"/>
  <c r="AD9253" i="16"/>
  <c r="AD9254" i="16"/>
  <c r="AD9255" i="16"/>
  <c r="AD9256" i="16"/>
  <c r="AD9257" i="16"/>
  <c r="AD9258" i="16"/>
  <c r="AD9259" i="16"/>
  <c r="AD9260" i="16"/>
  <c r="AD9261" i="16"/>
  <c r="AD9262" i="16"/>
  <c r="AD9263" i="16"/>
  <c r="AD9264" i="16"/>
  <c r="AD9265" i="16"/>
  <c r="AD9266" i="16"/>
  <c r="AD9267" i="16"/>
  <c r="AD9268" i="16"/>
  <c r="AD9269" i="16"/>
  <c r="AD9270" i="16"/>
  <c r="AD9271" i="16"/>
  <c r="AD9272" i="16"/>
  <c r="AD9273" i="16"/>
  <c r="AD9274" i="16"/>
  <c r="AD9275" i="16"/>
  <c r="AD9276" i="16"/>
  <c r="AD9277" i="16"/>
  <c r="AD9278" i="16"/>
  <c r="AD9279" i="16"/>
  <c r="AD9280" i="16"/>
  <c r="AD9281" i="16"/>
  <c r="AD9282" i="16"/>
  <c r="AD9283" i="16"/>
  <c r="AD9284" i="16"/>
  <c r="AD9285" i="16"/>
  <c r="AD9286" i="16"/>
  <c r="AD9287" i="16"/>
  <c r="AD9288" i="16"/>
  <c r="AD9289" i="16"/>
  <c r="AD9290" i="16"/>
  <c r="AD9291" i="16"/>
  <c r="AD9292" i="16"/>
  <c r="AD9293" i="16"/>
  <c r="AD9294" i="16"/>
  <c r="AD9295" i="16"/>
  <c r="AD9296" i="16"/>
  <c r="AD9297" i="16"/>
  <c r="AD9298" i="16"/>
  <c r="AD9299" i="16"/>
  <c r="AD9300" i="16"/>
  <c r="AD9301" i="16"/>
  <c r="AD9302" i="16"/>
  <c r="AD9303" i="16"/>
  <c r="AD9304" i="16"/>
  <c r="AD9305" i="16"/>
  <c r="AD9306" i="16"/>
  <c r="AD9307" i="16"/>
  <c r="AD9308" i="16"/>
  <c r="AD9309" i="16"/>
  <c r="AD9310" i="16"/>
  <c r="AD9311" i="16"/>
  <c r="AD9312" i="16"/>
  <c r="AD9313" i="16"/>
  <c r="AD9314" i="16"/>
  <c r="AD9315" i="16"/>
  <c r="AD9316" i="16"/>
  <c r="AD9317" i="16"/>
  <c r="AD9318" i="16"/>
  <c r="AD9319" i="16"/>
  <c r="AD9320" i="16"/>
  <c r="AD9321" i="16"/>
  <c r="AD9322" i="16"/>
  <c r="AD9323" i="16"/>
  <c r="AD9324" i="16"/>
  <c r="AD9325" i="16"/>
  <c r="AD9326" i="16"/>
  <c r="AD9327" i="16"/>
  <c r="AD9328" i="16"/>
  <c r="AD9329" i="16"/>
  <c r="AD9330" i="16"/>
  <c r="AD9331" i="16"/>
  <c r="AD9332" i="16"/>
  <c r="AD9333" i="16"/>
  <c r="AD9334" i="16"/>
  <c r="AD9335" i="16"/>
  <c r="AD9336" i="16"/>
  <c r="AD9337" i="16"/>
  <c r="AD9338" i="16"/>
  <c r="AD9339" i="16"/>
  <c r="AD9340" i="16"/>
  <c r="AD9341" i="16"/>
  <c r="AD9342" i="16"/>
  <c r="AD9343" i="16"/>
  <c r="AD9344" i="16"/>
  <c r="AD9345" i="16"/>
  <c r="AD9346" i="16"/>
  <c r="AD9347" i="16"/>
  <c r="AD9348" i="16"/>
  <c r="AD9349" i="16"/>
  <c r="AD9350" i="16"/>
  <c r="AD9351" i="16"/>
  <c r="AD9352" i="16"/>
  <c r="AD9353" i="16"/>
  <c r="AD9354" i="16"/>
  <c r="AD9355" i="16"/>
  <c r="AD9356" i="16"/>
  <c r="AD9357" i="16"/>
  <c r="AD9358" i="16"/>
  <c r="AD9359" i="16"/>
  <c r="AD9360" i="16"/>
  <c r="AD9361" i="16"/>
  <c r="AD9362" i="16"/>
  <c r="AD9363" i="16"/>
  <c r="AD9364" i="16"/>
  <c r="AD9365" i="16"/>
  <c r="AD9366" i="16"/>
  <c r="AD9367" i="16"/>
  <c r="AD9368" i="16"/>
  <c r="AD9369" i="16"/>
  <c r="AD9370" i="16"/>
  <c r="AD9371" i="16"/>
  <c r="AD9372" i="16"/>
  <c r="AD9373" i="16"/>
  <c r="AD9374" i="16"/>
  <c r="AD9375" i="16"/>
  <c r="AD9376" i="16"/>
  <c r="AD9377" i="16"/>
  <c r="AD9378" i="16"/>
  <c r="AD9379" i="16"/>
  <c r="AD9380" i="16"/>
  <c r="AD9381" i="16"/>
  <c r="AD9382" i="16"/>
  <c r="AD9383" i="16"/>
  <c r="AD9384" i="16"/>
  <c r="AD9385" i="16"/>
  <c r="AD9386" i="16"/>
  <c r="AD9387" i="16"/>
  <c r="AD9388" i="16"/>
  <c r="AD9389" i="16"/>
  <c r="AD9390" i="16"/>
  <c r="AD9391" i="16"/>
  <c r="AD9392" i="16"/>
  <c r="AD9393" i="16"/>
  <c r="AD9394" i="16"/>
  <c r="AD9395" i="16"/>
  <c r="AD9396" i="16"/>
  <c r="AD9397" i="16"/>
  <c r="AD9398" i="16"/>
  <c r="AD9399" i="16"/>
  <c r="AD9400" i="16"/>
  <c r="AD9401" i="16"/>
  <c r="AD9402" i="16"/>
  <c r="AD9403" i="16"/>
  <c r="AD9404" i="16"/>
  <c r="AD9405" i="16"/>
  <c r="AD9406" i="16"/>
  <c r="AD9407" i="16"/>
  <c r="AD9408" i="16"/>
  <c r="AD9409" i="16"/>
  <c r="AD9410" i="16"/>
  <c r="AD9411" i="16"/>
  <c r="AD9412" i="16"/>
  <c r="AD9413" i="16"/>
  <c r="AD9414" i="16"/>
  <c r="AD9415" i="16"/>
  <c r="AD9416" i="16"/>
  <c r="AD9417" i="16"/>
  <c r="AD9418" i="16"/>
  <c r="AD9419" i="16"/>
  <c r="AD9420" i="16"/>
  <c r="AD9421" i="16"/>
  <c r="AD9422" i="16"/>
  <c r="AD9423" i="16"/>
  <c r="AD9424" i="16"/>
  <c r="AD9425" i="16"/>
  <c r="AD9426" i="16"/>
  <c r="AD9427" i="16"/>
  <c r="AD9428" i="16"/>
  <c r="AD9429" i="16"/>
  <c r="AD9430" i="16"/>
  <c r="AD9431" i="16"/>
  <c r="AD9432" i="16"/>
  <c r="AD9433" i="16"/>
  <c r="AD9434" i="16"/>
  <c r="AD9435" i="16"/>
  <c r="AD9436" i="16"/>
  <c r="AD9437" i="16"/>
  <c r="AD9438" i="16"/>
  <c r="AD9439" i="16"/>
  <c r="AD9440" i="16"/>
  <c r="AD9441" i="16"/>
  <c r="AD9442" i="16"/>
  <c r="AD9443" i="16"/>
  <c r="AD9444" i="16"/>
  <c r="AD9445" i="16"/>
  <c r="AD9446" i="16"/>
  <c r="AD9447" i="16"/>
  <c r="AD9448" i="16"/>
  <c r="AD9449" i="16"/>
  <c r="AD9450" i="16"/>
  <c r="AD9451" i="16"/>
  <c r="AD9452" i="16"/>
  <c r="AD9453" i="16"/>
  <c r="AD9454" i="16"/>
  <c r="AD9455" i="16"/>
  <c r="AD9456" i="16"/>
  <c r="AD9457" i="16"/>
  <c r="AD9458" i="16"/>
  <c r="AD9459" i="16"/>
  <c r="AD9460" i="16"/>
  <c r="AD9461" i="16"/>
  <c r="AD9462" i="16"/>
  <c r="AD9463" i="16"/>
  <c r="AD9464" i="16"/>
  <c r="AD9465" i="16"/>
  <c r="AD9466" i="16"/>
  <c r="AD9467" i="16"/>
  <c r="AD9468" i="16"/>
  <c r="AD9469" i="16"/>
  <c r="AD9470" i="16"/>
  <c r="AD9471" i="16"/>
  <c r="AD9472" i="16"/>
  <c r="AD9473" i="16"/>
  <c r="AD9474" i="16"/>
  <c r="AD9475" i="16"/>
  <c r="AD9476" i="16"/>
  <c r="AD9477" i="16"/>
  <c r="AD9478" i="16"/>
  <c r="AD9479" i="16"/>
  <c r="AD9480" i="16"/>
  <c r="AD9481" i="16"/>
  <c r="AD9482" i="16"/>
  <c r="AD9483" i="16"/>
  <c r="AD9484" i="16"/>
  <c r="AD9485" i="16"/>
  <c r="AD9486" i="16"/>
  <c r="AD9487" i="16"/>
  <c r="AD9488" i="16"/>
  <c r="AD9489" i="16"/>
  <c r="AD9490" i="16"/>
  <c r="AD9491" i="16"/>
  <c r="AD9492" i="16"/>
  <c r="AD9493" i="16"/>
  <c r="AD9494" i="16"/>
  <c r="AD9495" i="16"/>
  <c r="AD9496" i="16"/>
  <c r="AD9497" i="16"/>
  <c r="AD9498" i="16"/>
  <c r="AD9499" i="16"/>
  <c r="AD9500" i="16"/>
  <c r="AD9501" i="16"/>
  <c r="AD9502" i="16"/>
  <c r="AD9503" i="16"/>
  <c r="AD9504" i="16"/>
  <c r="AD9505" i="16"/>
  <c r="AD9506" i="16"/>
  <c r="AD9507" i="16"/>
  <c r="AD9508" i="16"/>
  <c r="AD9509" i="16"/>
  <c r="AD9510" i="16"/>
  <c r="AD9511" i="16"/>
  <c r="AD9512" i="16"/>
  <c r="AD9513" i="16"/>
  <c r="AD9514" i="16"/>
  <c r="AD9515" i="16"/>
  <c r="AD9516" i="16"/>
  <c r="AD9517" i="16"/>
  <c r="AD9518" i="16"/>
  <c r="AD9519" i="16"/>
  <c r="AD9520" i="16"/>
  <c r="AD9521" i="16"/>
  <c r="AD9522" i="16"/>
  <c r="AD9523" i="16"/>
  <c r="AD9524" i="16"/>
  <c r="AD9525" i="16"/>
  <c r="AD9526" i="16"/>
  <c r="AD9527" i="16"/>
  <c r="AD9528" i="16"/>
  <c r="AD9529" i="16"/>
  <c r="AD9530" i="16"/>
  <c r="AD9531" i="16"/>
  <c r="AD9532" i="16"/>
  <c r="AD9533" i="16"/>
  <c r="AD9534" i="16"/>
  <c r="AD9535" i="16"/>
  <c r="AD9536" i="16"/>
  <c r="AD9537" i="16"/>
  <c r="AD9538" i="16"/>
  <c r="AD9539" i="16"/>
  <c r="AD9540" i="16"/>
  <c r="AD9541" i="16"/>
  <c r="AD9542" i="16"/>
  <c r="AD9543" i="16"/>
  <c r="AD9544" i="16"/>
  <c r="AD9545" i="16"/>
  <c r="AD9546" i="16"/>
  <c r="AD9547" i="16"/>
  <c r="AD9548" i="16"/>
  <c r="AD9549" i="16"/>
  <c r="AD9550" i="16"/>
  <c r="AD9551" i="16"/>
  <c r="AD9552" i="16"/>
  <c r="AD9553" i="16"/>
  <c r="AD9554" i="16"/>
  <c r="AD9555" i="16"/>
  <c r="AD9556" i="16"/>
  <c r="AD9557" i="16"/>
  <c r="AD9558" i="16"/>
  <c r="AD9559" i="16"/>
  <c r="AD9560" i="16"/>
  <c r="AD9561" i="16"/>
  <c r="AD9562" i="16"/>
  <c r="AD9563" i="16"/>
  <c r="AD9564" i="16"/>
  <c r="AD9565" i="16"/>
  <c r="AD9566" i="16"/>
  <c r="AD9567" i="16"/>
  <c r="AD9568" i="16"/>
  <c r="AD9569" i="16"/>
  <c r="AD9570" i="16"/>
  <c r="AD9571" i="16"/>
  <c r="AD9572" i="16"/>
  <c r="AD9573" i="16"/>
  <c r="AD9574" i="16"/>
  <c r="AD9575" i="16"/>
  <c r="AD9576" i="16"/>
  <c r="AD9577" i="16"/>
  <c r="AD9578" i="16"/>
  <c r="AD9579" i="16"/>
  <c r="AD9580" i="16"/>
  <c r="AD9581" i="16"/>
  <c r="AD9582" i="16"/>
  <c r="AD9583" i="16"/>
  <c r="AD9584" i="16"/>
  <c r="AD9585" i="16"/>
  <c r="AD9586" i="16"/>
  <c r="AD9587" i="16"/>
  <c r="AD9588" i="16"/>
  <c r="AD9589" i="16"/>
  <c r="AD9590" i="16"/>
  <c r="AD9591" i="16"/>
  <c r="AD9592" i="16"/>
  <c r="AD9593" i="16"/>
  <c r="AD9594" i="16"/>
  <c r="AD9595" i="16"/>
  <c r="AD9596" i="16"/>
  <c r="AD9597" i="16"/>
  <c r="AD9598" i="16"/>
  <c r="AD9599" i="16"/>
  <c r="AD9600" i="16"/>
  <c r="AD9601" i="16"/>
  <c r="AD9602" i="16"/>
  <c r="AD9603" i="16"/>
  <c r="AD9604" i="16"/>
  <c r="AD9605" i="16"/>
  <c r="AD9606" i="16"/>
  <c r="AD9607" i="16"/>
  <c r="AD9608" i="16"/>
  <c r="AD9609" i="16"/>
  <c r="AD9610" i="16"/>
  <c r="AD9611" i="16"/>
  <c r="AD9612" i="16"/>
  <c r="AD9613" i="16"/>
  <c r="AD9614" i="16"/>
  <c r="AD9615" i="16"/>
  <c r="AD9616" i="16"/>
  <c r="AD9617" i="16"/>
  <c r="AD9618" i="16"/>
  <c r="AD9619" i="16"/>
  <c r="AD9620" i="16"/>
  <c r="AD9621" i="16"/>
  <c r="AD9622" i="16"/>
  <c r="AD9623" i="16"/>
  <c r="AD9624" i="16"/>
  <c r="AD9625" i="16"/>
  <c r="AD9626" i="16"/>
  <c r="AD9627" i="16"/>
  <c r="AD9628" i="16"/>
  <c r="AD9629" i="16"/>
  <c r="AD9630" i="16"/>
  <c r="AD9631" i="16"/>
  <c r="AD9632" i="16"/>
  <c r="AD9633" i="16"/>
  <c r="AD9634" i="16"/>
  <c r="AD9635" i="16"/>
  <c r="AD9636" i="16"/>
  <c r="AD9637" i="16"/>
  <c r="AD9638" i="16"/>
  <c r="AD9639" i="16"/>
  <c r="AD9640" i="16"/>
  <c r="AD9641" i="16"/>
  <c r="AD9642" i="16"/>
  <c r="AD9643" i="16"/>
  <c r="AD9644" i="16"/>
  <c r="AD9645" i="16"/>
  <c r="AD9646" i="16"/>
  <c r="AD9647" i="16"/>
  <c r="AD9648" i="16"/>
  <c r="AD9649" i="16"/>
  <c r="AD9650" i="16"/>
  <c r="AD9651" i="16"/>
  <c r="AD9652" i="16"/>
  <c r="AD9653" i="16"/>
  <c r="AD9654" i="16"/>
  <c r="AD9655" i="16"/>
  <c r="AD9656" i="16"/>
  <c r="AD9657" i="16"/>
  <c r="AD9658" i="16"/>
  <c r="AD9659" i="16"/>
  <c r="AD9660" i="16"/>
  <c r="AD9661" i="16"/>
  <c r="AD9662" i="16"/>
  <c r="AD9663" i="16"/>
  <c r="AD9664" i="16"/>
  <c r="AD9665" i="16"/>
  <c r="AD9666" i="16"/>
  <c r="AD9667" i="16"/>
  <c r="AD9668" i="16"/>
  <c r="AD9669" i="16"/>
  <c r="AD9670" i="16"/>
  <c r="AD9671" i="16"/>
  <c r="AD9672" i="16"/>
  <c r="AD9673" i="16"/>
  <c r="AD9674" i="16"/>
  <c r="AD9675" i="16"/>
  <c r="AD9676" i="16"/>
  <c r="AD9677" i="16"/>
  <c r="AD9678" i="16"/>
  <c r="AD9679" i="16"/>
  <c r="AD9680" i="16"/>
  <c r="AD9681" i="16"/>
  <c r="AD9682" i="16"/>
  <c r="AD9683" i="16"/>
  <c r="AD9684" i="16"/>
  <c r="AD9685" i="16"/>
  <c r="AD9686" i="16"/>
  <c r="AD9687" i="16"/>
  <c r="AD9688" i="16"/>
  <c r="AD9689" i="16"/>
  <c r="AD9690" i="16"/>
  <c r="AD9691" i="16"/>
  <c r="AD9692" i="16"/>
  <c r="AD9693" i="16"/>
  <c r="AD9694" i="16"/>
  <c r="AD9695" i="16"/>
  <c r="AD9696" i="16"/>
  <c r="AD9697" i="16"/>
  <c r="AD9698" i="16"/>
  <c r="AD9699" i="16"/>
  <c r="AD9700" i="16"/>
  <c r="AD9701" i="16"/>
  <c r="AD9702" i="16"/>
  <c r="AD9703" i="16"/>
  <c r="AD9704" i="16"/>
  <c r="AD9705" i="16"/>
  <c r="AD9706" i="16"/>
  <c r="AD9707" i="16"/>
  <c r="AD9708" i="16"/>
  <c r="AD9709" i="16"/>
  <c r="AD9710" i="16"/>
  <c r="AD9711" i="16"/>
  <c r="AD9712" i="16"/>
  <c r="AD9713" i="16"/>
  <c r="AD9714" i="16"/>
  <c r="AD9715" i="16"/>
  <c r="AD9716" i="16"/>
  <c r="AD9717" i="16"/>
  <c r="AD9718" i="16"/>
  <c r="AD9719" i="16"/>
  <c r="AD9720" i="16"/>
  <c r="AD9721" i="16"/>
  <c r="AD9722" i="16"/>
  <c r="AD9723" i="16"/>
  <c r="AD9724" i="16"/>
  <c r="AD9725" i="16"/>
  <c r="AD9726" i="16"/>
  <c r="AD9727" i="16"/>
  <c r="AD9728" i="16"/>
  <c r="AD9729" i="16"/>
  <c r="AD9730" i="16"/>
  <c r="AD9731" i="16"/>
  <c r="AD9732" i="16"/>
  <c r="AD9733" i="16"/>
  <c r="AD9734" i="16"/>
  <c r="AD9735" i="16"/>
  <c r="AD9736" i="16"/>
  <c r="AD9737" i="16"/>
  <c r="AD9738" i="16"/>
  <c r="AD9739" i="16"/>
  <c r="AD9740" i="16"/>
  <c r="AD9741" i="16"/>
  <c r="AD9742" i="16"/>
  <c r="AD9743" i="16"/>
  <c r="AD9744" i="16"/>
  <c r="AD9745" i="16"/>
  <c r="AD9746" i="16"/>
  <c r="AD9747" i="16"/>
  <c r="AD9748" i="16"/>
  <c r="AD9749" i="16"/>
  <c r="AD9750" i="16"/>
  <c r="AD9751" i="16"/>
  <c r="AD9752" i="16"/>
  <c r="AD9753" i="16"/>
  <c r="AD9754" i="16"/>
  <c r="AD9755" i="16"/>
  <c r="AD9756" i="16"/>
  <c r="AD9757" i="16"/>
  <c r="AD9758" i="16"/>
  <c r="AD9759" i="16"/>
  <c r="AD9760" i="16"/>
  <c r="AD9761" i="16"/>
  <c r="AD9762" i="16"/>
  <c r="AD9763" i="16"/>
  <c r="AD9764" i="16"/>
  <c r="AD9765" i="16"/>
  <c r="AD9766" i="16"/>
  <c r="AD9767" i="16"/>
  <c r="AD9768" i="16"/>
  <c r="AD9769" i="16"/>
  <c r="AD9770" i="16"/>
  <c r="AD9771" i="16"/>
  <c r="AD9772" i="16"/>
  <c r="AD9773" i="16"/>
  <c r="AD9774" i="16"/>
  <c r="AD9775" i="16"/>
  <c r="AD9776" i="16"/>
  <c r="AD9777" i="16"/>
  <c r="AD9778" i="16"/>
  <c r="AD9779" i="16"/>
  <c r="AD9780" i="16"/>
  <c r="AD9781" i="16"/>
  <c r="AD9782" i="16"/>
  <c r="AD9783" i="16"/>
  <c r="AD9784" i="16"/>
  <c r="AD9785" i="16"/>
  <c r="AD9786" i="16"/>
  <c r="AD9787" i="16"/>
  <c r="AD9788" i="16"/>
  <c r="AD9789" i="16"/>
  <c r="AD9790" i="16"/>
  <c r="AD9791" i="16"/>
  <c r="AD9792" i="16"/>
  <c r="AD9793" i="16"/>
  <c r="AD9794" i="16"/>
  <c r="AD9795" i="16"/>
  <c r="AD9796" i="16"/>
  <c r="AD9797" i="16"/>
  <c r="AD9798" i="16"/>
  <c r="AD9799" i="16"/>
  <c r="AD9800" i="16"/>
  <c r="AD9801" i="16"/>
  <c r="AD9802" i="16"/>
  <c r="AD9803" i="16"/>
  <c r="AD9804" i="16"/>
  <c r="AD9805" i="16"/>
  <c r="AD9806" i="16"/>
  <c r="AD9807" i="16"/>
  <c r="AD9808" i="16"/>
  <c r="AD9809" i="16"/>
  <c r="AD9810" i="16"/>
  <c r="AD9811" i="16"/>
  <c r="AD9812" i="16"/>
  <c r="AD9813" i="16"/>
  <c r="AD9814" i="16"/>
  <c r="AD9815" i="16"/>
  <c r="AD9816" i="16"/>
  <c r="AD9817" i="16"/>
  <c r="AD9818" i="16"/>
  <c r="AD9819" i="16"/>
  <c r="AD9820" i="16"/>
  <c r="AD9821" i="16"/>
  <c r="AD9822" i="16"/>
  <c r="AD9823" i="16"/>
  <c r="AD9824" i="16"/>
  <c r="AD9825" i="16"/>
  <c r="AD9826" i="16"/>
  <c r="AD9827" i="16"/>
  <c r="AD9828" i="16"/>
  <c r="AD9829" i="16"/>
  <c r="AD9830" i="16"/>
  <c r="AD9831" i="16"/>
  <c r="AD9832" i="16"/>
  <c r="AD9833" i="16"/>
  <c r="AD9834" i="16"/>
  <c r="AD9835" i="16"/>
  <c r="AD9836" i="16"/>
  <c r="AD9837" i="16"/>
  <c r="AD9838" i="16"/>
  <c r="AD9839" i="16"/>
  <c r="AD9840" i="16"/>
  <c r="AD9841" i="16"/>
  <c r="AD9842" i="16"/>
  <c r="AD9843" i="16"/>
  <c r="AD9844" i="16"/>
  <c r="AD9845" i="16"/>
  <c r="AD9846" i="16"/>
  <c r="AD9847" i="16"/>
  <c r="AD9848" i="16"/>
  <c r="AD9849" i="16"/>
  <c r="AD9850" i="16"/>
  <c r="AD9851" i="16"/>
  <c r="AD9852" i="16"/>
  <c r="AD9853" i="16"/>
  <c r="AD9854" i="16"/>
  <c r="AD9855" i="16"/>
  <c r="AD9856" i="16"/>
  <c r="AD9857" i="16"/>
  <c r="AD9858" i="16"/>
  <c r="AD9859" i="16"/>
  <c r="AD9860" i="16"/>
  <c r="AD9861" i="16"/>
  <c r="AD9862" i="16"/>
  <c r="AD9863" i="16"/>
  <c r="AD9864" i="16"/>
  <c r="AD9865" i="16"/>
  <c r="AD9866" i="16"/>
  <c r="AD9867" i="16"/>
  <c r="AD9868" i="16"/>
  <c r="AD9869" i="16"/>
  <c r="AD9870" i="16"/>
  <c r="AD9871" i="16"/>
  <c r="AD9872" i="16"/>
  <c r="AD9873" i="16"/>
  <c r="AD9874" i="16"/>
  <c r="AD9875" i="16"/>
  <c r="AD9876" i="16"/>
  <c r="AD9877" i="16"/>
  <c r="AD9878" i="16"/>
  <c r="AD9879" i="16"/>
  <c r="AD9880" i="16"/>
  <c r="AD9881" i="16"/>
  <c r="AD9882" i="16"/>
  <c r="AD9883" i="16"/>
  <c r="AD9884" i="16"/>
  <c r="AD9885" i="16"/>
  <c r="AD9886" i="16"/>
  <c r="AD9887" i="16"/>
  <c r="AD9888" i="16"/>
  <c r="AD9889" i="16"/>
  <c r="AD9890" i="16"/>
  <c r="AD9891" i="16"/>
  <c r="AD9892" i="16"/>
  <c r="AD9893" i="16"/>
  <c r="AD9894" i="16"/>
  <c r="AD9895" i="16"/>
  <c r="AD9896" i="16"/>
  <c r="AD9897" i="16"/>
  <c r="AD9898" i="16"/>
  <c r="AD9899" i="16"/>
  <c r="AD9900" i="16"/>
  <c r="AD9901" i="16"/>
  <c r="AD9902" i="16"/>
  <c r="AD9903" i="16"/>
  <c r="AD9904" i="16"/>
  <c r="AD9905" i="16"/>
  <c r="AD9906" i="16"/>
  <c r="AD9907" i="16"/>
  <c r="AD9908" i="16"/>
  <c r="AD9909" i="16"/>
  <c r="AD9910" i="16"/>
  <c r="AD9911" i="16"/>
  <c r="AD9912" i="16"/>
  <c r="AD9913" i="16"/>
  <c r="AD9914" i="16"/>
  <c r="AD9915" i="16"/>
  <c r="AD9916" i="16"/>
  <c r="AD9917" i="16"/>
  <c r="AD9918" i="16"/>
  <c r="AD9919" i="16"/>
  <c r="AD9920" i="16"/>
  <c r="AD9921" i="16"/>
  <c r="AD9922" i="16"/>
  <c r="AD9923" i="16"/>
  <c r="AD9924" i="16"/>
  <c r="AD9925" i="16"/>
  <c r="AD9926" i="16"/>
  <c r="AD9927" i="16"/>
  <c r="AD9928" i="16"/>
  <c r="AD9929" i="16"/>
  <c r="AD9930" i="16"/>
  <c r="AD9931" i="16"/>
  <c r="AD9932" i="16"/>
  <c r="AD9933" i="16"/>
  <c r="AD9934" i="16"/>
  <c r="AD9935" i="16"/>
  <c r="AD9936" i="16"/>
  <c r="AD9937" i="16"/>
  <c r="AD9938" i="16"/>
  <c r="AD9939" i="16"/>
  <c r="AD9940" i="16"/>
  <c r="AD9941" i="16"/>
  <c r="AD9942" i="16"/>
  <c r="AD9943" i="16"/>
  <c r="AD9944" i="16"/>
  <c r="AD9945" i="16"/>
  <c r="AD9946" i="16"/>
  <c r="AD9947" i="16"/>
  <c r="AD9948" i="16"/>
  <c r="AD9949" i="16"/>
  <c r="AD9950" i="16"/>
  <c r="AD9951" i="16"/>
  <c r="AD9952" i="16"/>
  <c r="AD9953" i="16"/>
  <c r="AD9954" i="16"/>
  <c r="AD9955" i="16"/>
  <c r="AD9956" i="16"/>
  <c r="AD9957" i="16"/>
  <c r="AD9958" i="16"/>
  <c r="AD9959" i="16"/>
  <c r="AD9960" i="16"/>
  <c r="AD9961" i="16"/>
  <c r="AD9962" i="16"/>
  <c r="AD9963" i="16"/>
  <c r="AD9964" i="16"/>
  <c r="AD9965" i="16"/>
  <c r="AD9966" i="16"/>
  <c r="AD9967" i="16"/>
  <c r="AD9968" i="16"/>
  <c r="AD9969" i="16"/>
  <c r="AD9970" i="16"/>
  <c r="AD9971" i="16"/>
  <c r="AD9972" i="16"/>
  <c r="AD9973" i="16"/>
  <c r="AD9974" i="16"/>
  <c r="AD9975" i="16"/>
  <c r="AD9976" i="16"/>
  <c r="AD9977" i="16"/>
  <c r="AD9978" i="16"/>
  <c r="AD9979" i="16"/>
  <c r="AD9980" i="16"/>
  <c r="AD9981" i="16"/>
  <c r="AD9982" i="16"/>
  <c r="AD9983" i="16"/>
  <c r="AD9984" i="16"/>
  <c r="AD9985" i="16"/>
  <c r="AD9986" i="16"/>
  <c r="AD9987" i="16"/>
  <c r="AD9988" i="16"/>
  <c r="AD9989" i="16"/>
  <c r="AD9990" i="16"/>
  <c r="AD9991" i="16"/>
  <c r="AD9992" i="16"/>
  <c r="AD9993" i="16"/>
  <c r="AD9994" i="16"/>
  <c r="AD9995" i="16"/>
  <c r="AD9996" i="16"/>
  <c r="AD9997" i="16"/>
  <c r="AD9998" i="16"/>
  <c r="AD9999" i="16"/>
  <c r="AD10000" i="16"/>
  <c r="AD2" i="16" l="1"/>
  <c r="A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D898EBD-8D58-4D11-93E5-EE43D8359F06}" keepAlive="1" name="Requête - Dates et genre" description="Connexion à la requête « Dates et genre » dans le classeur." type="5" refreshedVersion="0">
    <dbPr connection="Provider=Microsoft.Mashup.OleDb.1;Data Source=$Workbook$;Location=&quot;Dates et genre&quot;;Extended Properties=&quot;&quot;" command="SELECT * FROM [Dates et genre]"/>
  </connection>
  <connection id="2" xr16:uid="{7D55B994-E0F6-4CCB-95A8-29BC6C6E38D2}" keepAlive="1" name="Requête - Décès" description="Connexion à la requête « Décès » dans le classeur." type="5" refreshedVersion="0">
    <dbPr connection="Provider=Microsoft.Mashup.OleDb.1;Data Source=$Workbook$;Location=Décès;Extended Properties=&quot;&quot;" command="SELECT * FROM [Décès]"/>
  </connection>
  <connection id="3" xr16:uid="{FD708F2B-EE4E-40DC-93B7-BA237512ED59}" keepAlive="1" name="Requête - Final(1)" description="Connexion à la requête « Final » dans le classeur." type="5" refreshedVersion="8" saveData="1">
    <dbPr connection="Provider=Microsoft.Mashup.OleDb.1;Data Source=$Workbook$;Location=Final;Extended Properties=&quot;&quot;" command="SELECT * FROM [Final]"/>
  </connection>
  <connection id="4" xr16:uid="{E7C3822D-8365-4C6A-99D6-6A1FFC553A88}" keepAlive="1" name="Requête - Final_Sans_VGE" description="Connexion à la requête « Final_Sans_VGE » dans le classeur." type="5" refreshedVersion="8" saveData="1">
    <dbPr connection="Provider=Microsoft.Mashup.OleDb.1;Data Source=$Workbook$;Location=Final_Sans_VGE;Extended Properties=&quot;&quot;" command="SELECT * FROM [Final_Sans_VGE]"/>
  </connection>
  <connection id="5" xr16:uid="{A26AC272-AAAF-4E50-B365-F2C615C94A6B}" keepAlive="1" name="Requête - Genre" description="Connexion à la requête « Genre » dans le classeur." type="5" refreshedVersion="0">
    <dbPr connection="Provider=Microsoft.Mashup.OleDb.1;Data Source=$Workbook$;Location=Genre;Extended Properties=&quot;&quot;" command="SELECT * FROM [Genre]"/>
  </connection>
  <connection id="6" xr16:uid="{7446034B-941B-4CA8-BD00-273E2D254A55}" keepAlive="1" name="Requête - Horodatage" description="Connexion à la requête « Horodatage » dans le classeur." type="5" refreshedVersion="8" saveData="1">
    <dbPr connection="Provider=Microsoft.Mashup.OleDb.1;Data Source=$Workbook$;Location=Horodatage;Extended Properties=&quot;&quot;" command="SELECT * FROM [Horodatage]"/>
  </connection>
  <connection id="7" xr16:uid="{EDDFEB5F-CDBA-4F93-B485-B9C09BB991E8}" keepAlive="1" name="Requête - Liste_PPN_URL" description="Connexion à la requête « Liste_PPN_URL » dans le classeur." type="5" refreshedVersion="8" saveData="1">
    <dbPr connection="Provider=Microsoft.Mashup.OleDb.1;Data Source=$Workbook$;Location=Liste_PPN_URL;Extended Properties=&quot;&quot;" command="SELECT * FROM [Liste_PPN_URL]"/>
  </connection>
  <connection id="8" xr16:uid="{67F0CCF7-E0D3-4FD1-B197-898A30B09C92}" keepAlive="1" name="Requête - Liste_PPN_URL1" description="Connexion à la requête « Liste_PPN_URL » dans le classeur." type="5" refreshedVersion="8" saveData="1">
    <dbPr connection="Provider=Microsoft.Mashup.OleDb.1;Data Source=$Workbook$;Location=Liste_PPN_URL;Extended Properties=&quot;&quot;" command="SELECT * FROM [Liste_PPN_URL]"/>
  </connection>
  <connection id="9" xr16:uid="{9280845F-02A4-4999-9F34-C6FA5A1A908C}" keepAlive="1" name="Requête - Naissance" description="Connexion à la requête « Naissance » dans le classeur." type="5" refreshedVersion="0">
    <dbPr connection="Provider=Microsoft.Mashup.OleDb.1;Data Source=$Workbook$;Location=Naissance;Extended Properties=&quot;&quot;" command="SELECT * FROM [Naissance]"/>
  </connection>
  <connection id="10" xr16:uid="{216F9CE8-FED1-4629-8B02-A98311D9FCC0}" keepAlive="1" name="Requête - Notes" description="Connexion à la requête « Notes » dans le classeur." type="5" refreshedVersion="8" saveData="1">
    <dbPr connection="Provider=Microsoft.Mashup.OleDb.1;Data Source=$Workbook$;Location=Notes;Extended Properties=&quot;&quot;" command="SELECT * FROM [Notes]"/>
  </connection>
  <connection id="11" xr16:uid="{EA531EAF-F3A5-40A7-B085-BE635A82D7F5}" keepAlive="1" name="Requête - Resultats_VGE(1)" description="Connexion à la requête « Resultats_VGE » dans le classeur." type="5" refreshedVersion="8" saveData="1">
    <dbPr connection="Provider=Microsoft.Mashup.OleDb.1;Data Source=$Workbook$;Location=Resultats_VGE;Extended Properties=&quot;&quot;" command="SELECT * FROM [Resultats_VGE]"/>
  </connection>
  <connection id="12" xr16:uid="{D33C2447-599E-4D57-B949-C4BD4EA8A742}" keepAlive="1" name="Requête - Wikidata infos" description="Connexion à la requête « Wikidata infos » dans le classeur." type="5" refreshedVersion="0" saveData="1">
    <dbPr connection="Provider=Microsoft.Mashup.OleDb.1;Data Source=$Workbook$;Location=&quot;Wikidata infos&quot;;Extended Properties=&quot;&quot;" command="SELECT * FROM [Wikidata infos]"/>
  </connection>
</connections>
</file>

<file path=xl/sharedStrings.xml><?xml version="1.0" encoding="utf-8"?>
<sst xmlns="http://schemas.openxmlformats.org/spreadsheetml/2006/main" count="26958" uniqueCount="10534">
  <si>
    <t>ppn_z</t>
  </si>
  <si>
    <t>Info</t>
  </si>
  <si>
    <t>Naissance</t>
  </si>
  <si>
    <t>Décès</t>
  </si>
  <si>
    <t>Genre</t>
  </si>
  <si>
    <t>date_modif</t>
  </si>
  <si>
    <t>Horodatage</t>
  </si>
  <si>
    <t>Collection VGE</t>
  </si>
  <si>
    <t>Collection Swisscovery</t>
  </si>
  <si>
    <t>Différence</t>
  </si>
  <si>
    <t>masculin</t>
  </si>
  <si>
    <t>féminin</t>
  </si>
  <si>
    <t>19XX</t>
  </si>
  <si>
    <t>LieuNaissance</t>
  </si>
  <si>
    <t>Genève</t>
  </si>
  <si>
    <t>Lausanne</t>
  </si>
  <si>
    <t>Sion</t>
  </si>
  <si>
    <t>Fribourg</t>
  </si>
  <si>
    <t>Saint-Maurice</t>
  </si>
  <si>
    <t>LieuDeces</t>
  </si>
  <si>
    <t>LieuEducation</t>
  </si>
  <si>
    <t>Employeur</t>
  </si>
  <si>
    <t/>
  </si>
  <si>
    <t>Choix du flux</t>
  </si>
  <si>
    <t>Source URL</t>
  </si>
  <si>
    <t>#La source URL permet la recherche du nombre de livre</t>
  </si>
  <si>
    <t>VGE</t>
  </si>
  <si>
    <t>Lien source</t>
  </si>
  <si>
    <t>1937</t>
  </si>
  <si>
    <t>1952</t>
  </si>
  <si>
    <t>1928</t>
  </si>
  <si>
    <t>1939</t>
  </si>
  <si>
    <t>2014</t>
  </si>
  <si>
    <t>1992</t>
  </si>
  <si>
    <t>1919</t>
  </si>
  <si>
    <t>1961</t>
  </si>
  <si>
    <t>1984</t>
  </si>
  <si>
    <t>1946</t>
  </si>
  <si>
    <t>2016</t>
  </si>
  <si>
    <t>1971</t>
  </si>
  <si>
    <t>1965</t>
  </si>
  <si>
    <t>1900</t>
  </si>
  <si>
    <t>1980</t>
  </si>
  <si>
    <t>1954</t>
  </si>
  <si>
    <t>1966</t>
  </si>
  <si>
    <t>1985</t>
  </si>
  <si>
    <t>1947</t>
  </si>
  <si>
    <t>2017</t>
  </si>
  <si>
    <t>1968</t>
  </si>
  <si>
    <t>1982</t>
  </si>
  <si>
    <t>1918</t>
  </si>
  <si>
    <t>1995</t>
  </si>
  <si>
    <t>1986</t>
  </si>
  <si>
    <t>1948</t>
  </si>
  <si>
    <t>1945</t>
  </si>
  <si>
    <t>1970</t>
  </si>
  <si>
    <t>1956</t>
  </si>
  <si>
    <t>1981</t>
  </si>
  <si>
    <t>1996</t>
  </si>
  <si>
    <t>1999</t>
  </si>
  <si>
    <t>1940</t>
  </si>
  <si>
    <t>1987</t>
  </si>
  <si>
    <t>1960</t>
  </si>
  <si>
    <t>1888</t>
  </si>
  <si>
    <t>1955</t>
  </si>
  <si>
    <t>1953</t>
  </si>
  <si>
    <t>1924</t>
  </si>
  <si>
    <t>1895</t>
  </si>
  <si>
    <t>1957</t>
  </si>
  <si>
    <t>1972</t>
  </si>
  <si>
    <t>1989</t>
  </si>
  <si>
    <t>1962</t>
  </si>
  <si>
    <t>1979</t>
  </si>
  <si>
    <t>2005</t>
  </si>
  <si>
    <t>1938</t>
  </si>
  <si>
    <t>1977</t>
  </si>
  <si>
    <t>1973</t>
  </si>
  <si>
    <t>1959</t>
  </si>
  <si>
    <t>1967</t>
  </si>
  <si>
    <t>1942</t>
  </si>
  <si>
    <t>1994</t>
  </si>
  <si>
    <t>1969</t>
  </si>
  <si>
    <t>1983</t>
  </si>
  <si>
    <t>1951</t>
  </si>
  <si>
    <t>2002</t>
  </si>
  <si>
    <t>1943</t>
  </si>
  <si>
    <t>1949</t>
  </si>
  <si>
    <t>2019</t>
  </si>
  <si>
    <t>1974</t>
  </si>
  <si>
    <t>1941</t>
  </si>
  <si>
    <t>1964</t>
  </si>
  <si>
    <t>1878</t>
  </si>
  <si>
    <t>1958</t>
  </si>
  <si>
    <t>1883</t>
  </si>
  <si>
    <t>1902</t>
  </si>
  <si>
    <t>1901</t>
  </si>
  <si>
    <t>1905</t>
  </si>
  <si>
    <t>1842</t>
  </si>
  <si>
    <t>URL VGE</t>
  </si>
  <si>
    <t>URL Swisscovery</t>
  </si>
  <si>
    <t>Dernier horodatage</t>
  </si>
  <si>
    <t>Type</t>
  </si>
  <si>
    <t>Commentaires</t>
  </si>
  <si>
    <t>Nouveau</t>
  </si>
  <si>
    <t>Modifié</t>
  </si>
  <si>
    <t>Total</t>
  </si>
  <si>
    <t>Ajouts / modifications depuis dernière actualisation</t>
  </si>
  <si>
    <t>Notes</t>
  </si>
  <si>
    <t>2024</t>
  </si>
  <si>
    <t>1975</t>
  </si>
  <si>
    <t>Université de Lausanne</t>
  </si>
  <si>
    <t>indéterminé</t>
  </si>
  <si>
    <t>2022</t>
  </si>
  <si>
    <t>Université de Neuchâtel</t>
  </si>
  <si>
    <t>canton de Vaud</t>
  </si>
  <si>
    <t>2025</t>
  </si>
  <si>
    <t>1935</t>
  </si>
  <si>
    <t>2021</t>
  </si>
  <si>
    <t>Neuchâtel</t>
  </si>
  <si>
    <t>2001</t>
  </si>
  <si>
    <t>1988</t>
  </si>
  <si>
    <t>1991</t>
  </si>
  <si>
    <t>1929</t>
  </si>
  <si>
    <t>2018</t>
  </si>
  <si>
    <t>1915</t>
  </si>
  <si>
    <t>Illustrateur</t>
  </si>
  <si>
    <t>Artiste</t>
  </si>
  <si>
    <t>2023</t>
  </si>
  <si>
    <t>1861</t>
  </si>
  <si>
    <t>1927</t>
  </si>
  <si>
    <t>Artiste suisse</t>
  </si>
  <si>
    <t>20XX</t>
  </si>
  <si>
    <t>1906</t>
  </si>
  <si>
    <t>Paris</t>
  </si>
  <si>
    <t>Journaliste et autrice</t>
  </si>
  <si>
    <t>Vevey</t>
  </si>
  <si>
    <t>1866</t>
  </si>
  <si>
    <t>2000</t>
  </si>
  <si>
    <t>Écrivain</t>
  </si>
  <si>
    <t>1920</t>
  </si>
  <si>
    <t>Université de Genève</t>
  </si>
  <si>
    <t>1931</t>
  </si>
  <si>
    <t>2015</t>
  </si>
  <si>
    <t>1922</t>
  </si>
  <si>
    <t>Juriste</t>
  </si>
  <si>
    <t>1826</t>
  </si>
  <si>
    <t>1872</t>
  </si>
  <si>
    <t>2012</t>
  </si>
  <si>
    <t>2020</t>
  </si>
  <si>
    <t>1881</t>
  </si>
  <si>
    <t>Journaliste</t>
  </si>
  <si>
    <t>Morges</t>
  </si>
  <si>
    <t>18XX</t>
  </si>
  <si>
    <t>Zurich</t>
  </si>
  <si>
    <t>1930</t>
  </si>
  <si>
    <t>Montreux</t>
  </si>
  <si>
    <t>1914</t>
  </si>
  <si>
    <t>2008</t>
  </si>
  <si>
    <t>Peintre</t>
  </si>
  <si>
    <t>1993</t>
  </si>
  <si>
    <t>Moscou</t>
  </si>
  <si>
    <t>2003</t>
  </si>
  <si>
    <t>Historienne de l'art</t>
  </si>
  <si>
    <t>Budapest</t>
  </si>
  <si>
    <t>École normale supérieure</t>
  </si>
  <si>
    <t>1772</t>
  </si>
  <si>
    <t>1821</t>
  </si>
  <si>
    <t>1845</t>
  </si>
  <si>
    <t>1859</t>
  </si>
  <si>
    <t>GEN_AUT</t>
  </si>
  <si>
    <t>027096904</t>
  </si>
  <si>
    <t>https://swisscovery.slsp.ch/view/sru/41SLSP_NETWORK?version=1.2&amp;operation=searchRetrieve&amp;recordSchema=marcxml&amp;query=alma.authority_id=027096904&amp;maximumRecords=0</t>
  </si>
  <si>
    <t>https://swisscovery.slsp.ch/view/sru/41SLSP_VGE?version=1.2&amp;operation=searchRetrieve&amp;recordSchema=marcxml&amp;query=alma.authority_id=027096904&amp;maximumRecords=0</t>
  </si>
  <si>
    <t>119646234</t>
  </si>
  <si>
    <t>https://swisscovery.slsp.ch/view/sru/41SLSP_NETWORK?version=1.2&amp;operation=searchRetrieve&amp;recordSchema=marcxml&amp;query=alma.authority_id=119646234&amp;maximumRecords=0</t>
  </si>
  <si>
    <t>https://swisscovery.slsp.ch/view/sru/41SLSP_VGE?version=1.2&amp;operation=searchRetrieve&amp;recordSchema=marcxml&amp;query=alma.authority_id=119646234&amp;maximumRecords=0</t>
  </si>
  <si>
    <t>035166029</t>
  </si>
  <si>
    <t>https://swisscovery.slsp.ch/view/sru/41SLSP_NETWORK?version=1.2&amp;operation=searchRetrieve&amp;recordSchema=marcxml&amp;query=alma.authority_id=035166029&amp;maximumRecords=0</t>
  </si>
  <si>
    <t>https://swisscovery.slsp.ch/view/sru/41SLSP_VGE?version=1.2&amp;operation=searchRetrieve&amp;recordSchema=marcxml&amp;query=alma.authority_id=035166029&amp;maximumRecords=0</t>
  </si>
  <si>
    <t>258450320</t>
  </si>
  <si>
    <t>https://swisscovery.slsp.ch/view/sru/41SLSP_NETWORK?version=1.2&amp;operation=searchRetrieve&amp;recordSchema=marcxml&amp;query=alma.authority_id=258450320&amp;maximumRecords=0</t>
  </si>
  <si>
    <t>https://swisscovery.slsp.ch/view/sru/41SLSP_VGE?version=1.2&amp;operation=searchRetrieve&amp;recordSchema=marcxml&amp;query=alma.authority_id=258450320&amp;maximumRecords=0</t>
  </si>
  <si>
    <t>053483049</t>
  </si>
  <si>
    <t>https://swisscovery.slsp.ch/view/sru/41SLSP_NETWORK?version=1.2&amp;operation=searchRetrieve&amp;recordSchema=marcxml&amp;query=alma.authority_id=053483049&amp;maximumRecords=0</t>
  </si>
  <si>
    <t>https://swisscovery.slsp.ch/view/sru/41SLSP_VGE?version=1.2&amp;operation=searchRetrieve&amp;recordSchema=marcxml&amp;query=alma.authority_id=053483049&amp;maximumRecords=0</t>
  </si>
  <si>
    <t>178850187</t>
  </si>
  <si>
    <t>https://swisscovery.slsp.ch/view/sru/41SLSP_NETWORK?version=1.2&amp;operation=searchRetrieve&amp;recordSchema=marcxml&amp;query=alma.authority_id=178850187&amp;maximumRecords=0</t>
  </si>
  <si>
    <t>https://swisscovery.slsp.ch/view/sru/41SLSP_VGE?version=1.2&amp;operation=searchRetrieve&amp;recordSchema=marcxml&amp;query=alma.authority_id=178850187&amp;maximumRecords=0</t>
  </si>
  <si>
    <t>06694158X</t>
  </si>
  <si>
    <t>https://swisscovery.slsp.ch/view/sru/41SLSP_NETWORK?version=1.2&amp;operation=searchRetrieve&amp;recordSchema=marcxml&amp;query=alma.authority_id=06694158X&amp;maximumRecords=0</t>
  </si>
  <si>
    <t>https://swisscovery.slsp.ch/view/sru/41SLSP_VGE?version=1.2&amp;operation=searchRetrieve&amp;recordSchema=marcxml&amp;query=alma.authority_id=06694158X&amp;maximumRecords=0</t>
  </si>
  <si>
    <t>143119206</t>
  </si>
  <si>
    <t>https://swisscovery.slsp.ch/view/sru/41SLSP_NETWORK?version=1.2&amp;operation=searchRetrieve&amp;recordSchema=marcxml&amp;query=alma.authority_id=143119206&amp;maximumRecords=0</t>
  </si>
  <si>
    <t>https://swisscovery.slsp.ch/view/sru/41SLSP_VGE?version=1.2&amp;operation=searchRetrieve&amp;recordSchema=marcxml&amp;query=alma.authority_id=143119206&amp;maximumRecords=0</t>
  </si>
  <si>
    <t>113527810</t>
  </si>
  <si>
    <t>https://swisscovery.slsp.ch/view/sru/41SLSP_NETWORK?version=1.2&amp;operation=searchRetrieve&amp;recordSchema=marcxml&amp;query=alma.authority_id=113527810&amp;maximumRecords=0</t>
  </si>
  <si>
    <t>https://swisscovery.slsp.ch/view/sru/41SLSP_VGE?version=1.2&amp;operation=searchRetrieve&amp;recordSchema=marcxml&amp;query=alma.authority_id=113527810&amp;maximumRecords=0</t>
  </si>
  <si>
    <t>262630605</t>
  </si>
  <si>
    <t>https://swisscovery.slsp.ch/view/sru/41SLSP_NETWORK?version=1.2&amp;operation=searchRetrieve&amp;recordSchema=marcxml&amp;query=alma.authority_id=262630605&amp;maximumRecords=0</t>
  </si>
  <si>
    <t>https://swisscovery.slsp.ch/view/sru/41SLSP_VGE?version=1.2&amp;operation=searchRetrieve&amp;recordSchema=marcxml&amp;query=alma.authority_id=262630605&amp;maximumRecords=0</t>
  </si>
  <si>
    <t>121438724</t>
  </si>
  <si>
    <t>https://swisscovery.slsp.ch/view/sru/41SLSP_NETWORK?version=1.2&amp;operation=searchRetrieve&amp;recordSchema=marcxml&amp;query=alma.authority_id=121438724&amp;maximumRecords=0</t>
  </si>
  <si>
    <t>https://swisscovery.slsp.ch/view/sru/41SLSP_VGE?version=1.2&amp;operation=searchRetrieve&amp;recordSchema=marcxml&amp;query=alma.authority_id=121438724&amp;maximumRecords=0</t>
  </si>
  <si>
    <t>254184901</t>
  </si>
  <si>
    <t>https://swisscovery.slsp.ch/view/sru/41SLSP_NETWORK?version=1.2&amp;operation=searchRetrieve&amp;recordSchema=marcxml&amp;query=alma.authority_id=254184901&amp;maximumRecords=0</t>
  </si>
  <si>
    <t>https://swisscovery.slsp.ch/view/sru/41SLSP_VGE?version=1.2&amp;operation=searchRetrieve&amp;recordSchema=marcxml&amp;query=alma.authority_id=254184901&amp;maximumRecords=0</t>
  </si>
  <si>
    <t>099246007</t>
  </si>
  <si>
    <t>https://swisscovery.slsp.ch/view/sru/41SLSP_NETWORK?version=1.2&amp;operation=searchRetrieve&amp;recordSchema=marcxml&amp;query=alma.authority_id=099246007&amp;maximumRecords=0</t>
  </si>
  <si>
    <t>https://swisscovery.slsp.ch/view/sru/41SLSP_VGE?version=1.2&amp;operation=searchRetrieve&amp;recordSchema=marcxml&amp;query=alma.authority_id=099246007&amp;maximumRecords=0</t>
  </si>
  <si>
    <t>142296740</t>
  </si>
  <si>
    <t>https://swisscovery.slsp.ch/view/sru/41SLSP_NETWORK?version=1.2&amp;operation=searchRetrieve&amp;recordSchema=marcxml&amp;query=alma.authority_id=142296740&amp;maximumRecords=0</t>
  </si>
  <si>
    <t>https://swisscovery.slsp.ch/view/sru/41SLSP_VGE?version=1.2&amp;operation=searchRetrieve&amp;recordSchema=marcxml&amp;query=alma.authority_id=142296740&amp;maximumRecords=0</t>
  </si>
  <si>
    <t>260151440</t>
  </si>
  <si>
    <t>https://swisscovery.slsp.ch/view/sru/41SLSP_NETWORK?version=1.2&amp;operation=searchRetrieve&amp;recordSchema=marcxml&amp;query=alma.authority_id=260151440&amp;maximumRecords=0</t>
  </si>
  <si>
    <t>https://swisscovery.slsp.ch/view/sru/41SLSP_VGE?version=1.2&amp;operation=searchRetrieve&amp;recordSchema=marcxml&amp;query=alma.authority_id=260151440&amp;maximumRecords=0</t>
  </si>
  <si>
    <t>195557298</t>
  </si>
  <si>
    <t>https://swisscovery.slsp.ch/view/sru/41SLSP_NETWORK?version=1.2&amp;operation=searchRetrieve&amp;recordSchema=marcxml&amp;query=alma.authority_id=195557298&amp;maximumRecords=0</t>
  </si>
  <si>
    <t>https://swisscovery.slsp.ch/view/sru/41SLSP_VGE?version=1.2&amp;operation=searchRetrieve&amp;recordSchema=marcxml&amp;query=alma.authority_id=195557298&amp;maximumRecords=0</t>
  </si>
  <si>
    <t>252699645</t>
  </si>
  <si>
    <t>https://swisscovery.slsp.ch/view/sru/41SLSP_NETWORK?version=1.2&amp;operation=searchRetrieve&amp;recordSchema=marcxml&amp;query=alma.authority_id=252699645&amp;maximumRecords=0</t>
  </si>
  <si>
    <t>https://swisscovery.slsp.ch/view/sru/41SLSP_VGE?version=1.2&amp;operation=searchRetrieve&amp;recordSchema=marcxml&amp;query=alma.authority_id=252699645&amp;maximumRecords=0</t>
  </si>
  <si>
    <t>161847218</t>
  </si>
  <si>
    <t>https://swisscovery.slsp.ch/view/sru/41SLSP_NETWORK?version=1.2&amp;operation=searchRetrieve&amp;recordSchema=marcxml&amp;query=alma.authority_id=161847218&amp;maximumRecords=0</t>
  </si>
  <si>
    <t>https://swisscovery.slsp.ch/view/sru/41SLSP_VGE?version=1.2&amp;operation=searchRetrieve&amp;recordSchema=marcxml&amp;query=alma.authority_id=161847218&amp;maximumRecords=0</t>
  </si>
  <si>
    <t>186010648</t>
  </si>
  <si>
    <t>https://swisscovery.slsp.ch/view/sru/41SLSP_NETWORK?version=1.2&amp;operation=searchRetrieve&amp;recordSchema=marcxml&amp;query=alma.authority_id=186010648&amp;maximumRecords=0</t>
  </si>
  <si>
    <t>https://swisscovery.slsp.ch/view/sru/41SLSP_VGE?version=1.2&amp;operation=searchRetrieve&amp;recordSchema=marcxml&amp;query=alma.authority_id=186010648&amp;maximumRecords=0</t>
  </si>
  <si>
    <t>252982703</t>
  </si>
  <si>
    <t>https://swisscovery.slsp.ch/view/sru/41SLSP_NETWORK?version=1.2&amp;operation=searchRetrieve&amp;recordSchema=marcxml&amp;query=alma.authority_id=252982703&amp;maximumRecords=0</t>
  </si>
  <si>
    <t>https://swisscovery.slsp.ch/view/sru/41SLSP_VGE?version=1.2&amp;operation=searchRetrieve&amp;recordSchema=marcxml&amp;query=alma.authority_id=252982703&amp;maximumRecords=0</t>
  </si>
  <si>
    <t>25980052X</t>
  </si>
  <si>
    <t>https://swisscovery.slsp.ch/view/sru/41SLSP_NETWORK?version=1.2&amp;operation=searchRetrieve&amp;recordSchema=marcxml&amp;query=alma.authority_id=25980052X&amp;maximumRecords=0</t>
  </si>
  <si>
    <t>https://swisscovery.slsp.ch/view/sru/41SLSP_VGE?version=1.2&amp;operation=searchRetrieve&amp;recordSchema=marcxml&amp;query=alma.authority_id=25980052X&amp;maximumRecords=0</t>
  </si>
  <si>
    <t>162195656</t>
  </si>
  <si>
    <t>https://swisscovery.slsp.ch/view/sru/41SLSP_NETWORK?version=1.2&amp;operation=searchRetrieve&amp;recordSchema=marcxml&amp;query=alma.authority_id=162195656&amp;maximumRecords=0</t>
  </si>
  <si>
    <t>https://swisscovery.slsp.ch/view/sru/41SLSP_VGE?version=1.2&amp;operation=searchRetrieve&amp;recordSchema=marcxml&amp;query=alma.authority_id=162195656&amp;maximumRecords=0</t>
  </si>
  <si>
    <t>260730793</t>
  </si>
  <si>
    <t>https://swisscovery.slsp.ch/view/sru/41SLSP_NETWORK?version=1.2&amp;operation=searchRetrieve&amp;recordSchema=marcxml&amp;query=alma.authority_id=260730793&amp;maximumRecords=0</t>
  </si>
  <si>
    <t>https://swisscovery.slsp.ch/view/sru/41SLSP_VGE?version=1.2&amp;operation=searchRetrieve&amp;recordSchema=marcxml&amp;query=alma.authority_id=260730793&amp;maximumRecords=0</t>
  </si>
  <si>
    <t>171524306</t>
  </si>
  <si>
    <t>https://swisscovery.slsp.ch/view/sru/41SLSP_NETWORK?version=1.2&amp;operation=searchRetrieve&amp;recordSchema=marcxml&amp;query=alma.authority_id=171524306&amp;maximumRecords=0</t>
  </si>
  <si>
    <t>https://swisscovery.slsp.ch/view/sru/41SLSP_VGE?version=1.2&amp;operation=searchRetrieve&amp;recordSchema=marcxml&amp;query=alma.authority_id=171524306&amp;maximumRecords=0</t>
  </si>
  <si>
    <t>255641591</t>
  </si>
  <si>
    <t>https://swisscovery.slsp.ch/view/sru/41SLSP_NETWORK?version=1.2&amp;operation=searchRetrieve&amp;recordSchema=marcxml&amp;query=alma.authority_id=255641591&amp;maximumRecords=0</t>
  </si>
  <si>
    <t>https://swisscovery.slsp.ch/view/sru/41SLSP_VGE?version=1.2&amp;operation=searchRetrieve&amp;recordSchema=marcxml&amp;query=alma.authority_id=255641591&amp;maximumRecords=0</t>
  </si>
  <si>
    <t>254379516</t>
  </si>
  <si>
    <t>https://swisscovery.slsp.ch/view/sru/41SLSP_NETWORK?version=1.2&amp;operation=searchRetrieve&amp;recordSchema=marcxml&amp;query=alma.authority_id=254379516&amp;maximumRecords=0</t>
  </si>
  <si>
    <t>https://swisscovery.slsp.ch/view/sru/41SLSP_VGE?version=1.2&amp;operation=searchRetrieve&amp;recordSchema=marcxml&amp;query=alma.authority_id=254379516&amp;maximumRecords=0</t>
  </si>
  <si>
    <t>252687965</t>
  </si>
  <si>
    <t>https://swisscovery.slsp.ch/view/sru/41SLSP_NETWORK?version=1.2&amp;operation=searchRetrieve&amp;recordSchema=marcxml&amp;query=alma.authority_id=252687965&amp;maximumRecords=0</t>
  </si>
  <si>
    <t>https://swisscovery.slsp.ch/view/sru/41SLSP_VGE?version=1.2&amp;operation=searchRetrieve&amp;recordSchema=marcxml&amp;query=alma.authority_id=252687965&amp;maximumRecords=0</t>
  </si>
  <si>
    <t>178408069</t>
  </si>
  <si>
    <t>https://swisscovery.slsp.ch/view/sru/41SLSP_NETWORK?version=1.2&amp;operation=searchRetrieve&amp;recordSchema=marcxml&amp;query=alma.authority_id=178408069&amp;maximumRecords=0</t>
  </si>
  <si>
    <t>https://swisscovery.slsp.ch/view/sru/41SLSP_VGE?version=1.2&amp;operation=searchRetrieve&amp;recordSchema=marcxml&amp;query=alma.authority_id=178408069&amp;maximumRecords=0</t>
  </si>
  <si>
    <t>27599659X</t>
  </si>
  <si>
    <t>https://swisscovery.slsp.ch/view/sru/41SLSP_NETWORK?version=1.2&amp;operation=searchRetrieve&amp;recordSchema=marcxml&amp;query=alma.authority_id=27599659X&amp;maximumRecords=0</t>
  </si>
  <si>
    <t>https://swisscovery.slsp.ch/view/sru/41SLSP_VGE?version=1.2&amp;operation=searchRetrieve&amp;recordSchema=marcxml&amp;query=alma.authority_id=27599659X&amp;maximumRecords=0</t>
  </si>
  <si>
    <t>254750621</t>
  </si>
  <si>
    <t>https://swisscovery.slsp.ch/view/sru/41SLSP_NETWORK?version=1.2&amp;operation=searchRetrieve&amp;recordSchema=marcxml&amp;query=alma.authority_id=254750621&amp;maximumRecords=0</t>
  </si>
  <si>
    <t>https://swisscovery.slsp.ch/view/sru/41SLSP_VGE?version=1.2&amp;operation=searchRetrieve&amp;recordSchema=marcxml&amp;query=alma.authority_id=254750621&amp;maximumRecords=0</t>
  </si>
  <si>
    <t>185427987</t>
  </si>
  <si>
    <t>https://swisscovery.slsp.ch/view/sru/41SLSP_NETWORK?version=1.2&amp;operation=searchRetrieve&amp;recordSchema=marcxml&amp;query=alma.authority_id=185427987&amp;maximumRecords=0</t>
  </si>
  <si>
    <t>https://swisscovery.slsp.ch/view/sru/41SLSP_VGE?version=1.2&amp;operation=searchRetrieve&amp;recordSchema=marcxml&amp;query=alma.authority_id=185427987&amp;maximumRecords=0</t>
  </si>
  <si>
    <t>259792926</t>
  </si>
  <si>
    <t>https://swisscovery.slsp.ch/view/sru/41SLSP_NETWORK?version=1.2&amp;operation=searchRetrieve&amp;recordSchema=marcxml&amp;query=alma.authority_id=259792926&amp;maximumRecords=0</t>
  </si>
  <si>
    <t>https://swisscovery.slsp.ch/view/sru/41SLSP_VGE?version=1.2&amp;operation=searchRetrieve&amp;recordSchema=marcxml&amp;query=alma.authority_id=259792926&amp;maximumRecords=0</t>
  </si>
  <si>
    <t>186080913</t>
  </si>
  <si>
    <t>https://swisscovery.slsp.ch/view/sru/41SLSP_NETWORK?version=1.2&amp;operation=searchRetrieve&amp;recordSchema=marcxml&amp;query=alma.authority_id=186080913&amp;maximumRecords=0</t>
  </si>
  <si>
    <t>https://swisscovery.slsp.ch/view/sru/41SLSP_VGE?version=1.2&amp;operation=searchRetrieve&amp;recordSchema=marcxml&amp;query=alma.authority_id=186080913&amp;maximumRecords=0</t>
  </si>
  <si>
    <t>258598247</t>
  </si>
  <si>
    <t>https://swisscovery.slsp.ch/view/sru/41SLSP_NETWORK?version=1.2&amp;operation=searchRetrieve&amp;recordSchema=marcxml&amp;query=alma.authority_id=258598247&amp;maximumRecords=0</t>
  </si>
  <si>
    <t>https://swisscovery.slsp.ch/view/sru/41SLSP_VGE?version=1.2&amp;operation=searchRetrieve&amp;recordSchema=marcxml&amp;query=alma.authority_id=258598247&amp;maximumRecords=0</t>
  </si>
  <si>
    <t>254951201</t>
  </si>
  <si>
    <t>https://swisscovery.slsp.ch/view/sru/41SLSP_NETWORK?version=1.2&amp;operation=searchRetrieve&amp;recordSchema=marcxml&amp;query=alma.authority_id=254951201&amp;maximumRecords=0</t>
  </si>
  <si>
    <t>https://swisscovery.slsp.ch/view/sru/41SLSP_VGE?version=1.2&amp;operation=searchRetrieve&amp;recordSchema=marcxml&amp;query=alma.authority_id=254951201&amp;maximumRecords=0</t>
  </si>
  <si>
    <t>255641427</t>
  </si>
  <si>
    <t>https://swisscovery.slsp.ch/view/sru/41SLSP_NETWORK?version=1.2&amp;operation=searchRetrieve&amp;recordSchema=marcxml&amp;query=alma.authority_id=255641427&amp;maximumRecords=0</t>
  </si>
  <si>
    <t>https://swisscovery.slsp.ch/view/sru/41SLSP_VGE?version=1.2&amp;operation=searchRetrieve&amp;recordSchema=marcxml&amp;query=alma.authority_id=255641427&amp;maximumRecords=0</t>
  </si>
  <si>
    <t>196439353</t>
  </si>
  <si>
    <t>https://swisscovery.slsp.ch/view/sru/41SLSP_NETWORK?version=1.2&amp;operation=searchRetrieve&amp;recordSchema=marcxml&amp;query=alma.authority_id=196439353&amp;maximumRecords=0</t>
  </si>
  <si>
    <t>https://swisscovery.slsp.ch/view/sru/41SLSP_VGE?version=1.2&amp;operation=searchRetrieve&amp;recordSchema=marcxml&amp;query=alma.authority_id=196439353&amp;maximumRecords=0</t>
  </si>
  <si>
    <t>25897866X</t>
  </si>
  <si>
    <t>https://swisscovery.slsp.ch/view/sru/41SLSP_NETWORK?version=1.2&amp;operation=searchRetrieve&amp;recordSchema=marcxml&amp;query=alma.authority_id=25897866X&amp;maximumRecords=0</t>
  </si>
  <si>
    <t>https://swisscovery.slsp.ch/view/sru/41SLSP_VGE?version=1.2&amp;operation=searchRetrieve&amp;recordSchema=marcxml&amp;query=alma.authority_id=25897866X&amp;maximumRecords=0</t>
  </si>
  <si>
    <t>255237839</t>
  </si>
  <si>
    <t>https://swisscovery.slsp.ch/view/sru/41SLSP_NETWORK?version=1.2&amp;operation=searchRetrieve&amp;recordSchema=marcxml&amp;query=alma.authority_id=255237839&amp;maximumRecords=0</t>
  </si>
  <si>
    <t>https://swisscovery.slsp.ch/view/sru/41SLSP_VGE?version=1.2&amp;operation=searchRetrieve&amp;recordSchema=marcxml&amp;query=alma.authority_id=255237839&amp;maximumRecords=0</t>
  </si>
  <si>
    <t>229087752</t>
  </si>
  <si>
    <t>https://swisscovery.slsp.ch/view/sru/41SLSP_NETWORK?version=1.2&amp;operation=searchRetrieve&amp;recordSchema=marcxml&amp;query=alma.authority_id=229087752&amp;maximumRecords=0</t>
  </si>
  <si>
    <t>https://swisscovery.slsp.ch/view/sru/41SLSP_VGE?version=1.2&amp;operation=searchRetrieve&amp;recordSchema=marcxml&amp;query=alma.authority_id=229087752&amp;maximumRecords=0</t>
  </si>
  <si>
    <t>231208103</t>
  </si>
  <si>
    <t>https://swisscovery.slsp.ch/view/sru/41SLSP_NETWORK?version=1.2&amp;operation=searchRetrieve&amp;recordSchema=marcxml&amp;query=alma.authority_id=231208103&amp;maximumRecords=0</t>
  </si>
  <si>
    <t>https://swisscovery.slsp.ch/view/sru/41SLSP_VGE?version=1.2&amp;operation=searchRetrieve&amp;recordSchema=marcxml&amp;query=alma.authority_id=231208103&amp;maximumRecords=0</t>
  </si>
  <si>
    <t>263088952</t>
  </si>
  <si>
    <t>https://swisscovery.slsp.ch/view/sru/41SLSP_NETWORK?version=1.2&amp;operation=searchRetrieve&amp;recordSchema=marcxml&amp;query=alma.authority_id=263088952&amp;maximumRecords=0</t>
  </si>
  <si>
    <t>https://swisscovery.slsp.ch/view/sru/41SLSP_VGE?version=1.2&amp;operation=searchRetrieve&amp;recordSchema=marcxml&amp;query=alma.authority_id=263088952&amp;maximumRecords=0</t>
  </si>
  <si>
    <t>269110763</t>
  </si>
  <si>
    <t>https://swisscovery.slsp.ch/view/sru/41SLSP_NETWORK?version=1.2&amp;operation=searchRetrieve&amp;recordSchema=marcxml&amp;query=alma.authority_id=269110763&amp;maximumRecords=0</t>
  </si>
  <si>
    <t>https://swisscovery.slsp.ch/view/sru/41SLSP_VGE?version=1.2&amp;operation=searchRetrieve&amp;recordSchema=marcxml&amp;query=alma.authority_id=269110763&amp;maximumRecords=0</t>
  </si>
  <si>
    <t>255914415</t>
  </si>
  <si>
    <t>https://swisscovery.slsp.ch/view/sru/41SLSP_NETWORK?version=1.2&amp;operation=searchRetrieve&amp;recordSchema=marcxml&amp;query=alma.authority_id=255914415&amp;maximumRecords=0</t>
  </si>
  <si>
    <t>https://swisscovery.slsp.ch/view/sru/41SLSP_VGE?version=1.2&amp;operation=searchRetrieve&amp;recordSchema=marcxml&amp;query=alma.authority_id=255914415&amp;maximumRecords=0</t>
  </si>
  <si>
    <t>250513102</t>
  </si>
  <si>
    <t>https://swisscovery.slsp.ch/view/sru/41SLSP_NETWORK?version=1.2&amp;operation=searchRetrieve&amp;recordSchema=marcxml&amp;query=alma.authority_id=250513102&amp;maximumRecords=0</t>
  </si>
  <si>
    <t>https://swisscovery.slsp.ch/view/sru/41SLSP_VGE?version=1.2&amp;operation=searchRetrieve&amp;recordSchema=marcxml&amp;query=alma.authority_id=250513102&amp;maximumRecords=0</t>
  </si>
  <si>
    <t>259426784</t>
  </si>
  <si>
    <t>https://swisscovery.slsp.ch/view/sru/41SLSP_NETWORK?version=1.2&amp;operation=searchRetrieve&amp;recordSchema=marcxml&amp;query=alma.authority_id=259426784&amp;maximumRecords=0</t>
  </si>
  <si>
    <t>https://swisscovery.slsp.ch/view/sru/41SLSP_VGE?version=1.2&amp;operation=searchRetrieve&amp;recordSchema=marcxml&amp;query=alma.authority_id=259426784&amp;maximumRecords=0</t>
  </si>
  <si>
    <t>167953737</t>
  </si>
  <si>
    <t>https://swisscovery.slsp.ch/view/sru/41SLSP_NETWORK?version=1.2&amp;operation=searchRetrieve&amp;recordSchema=marcxml&amp;query=alma.authority_id=167953737&amp;maximumRecords=0</t>
  </si>
  <si>
    <t>https://swisscovery.slsp.ch/view/sru/41SLSP_VGE?version=1.2&amp;operation=searchRetrieve&amp;recordSchema=marcxml&amp;query=alma.authority_id=167953737&amp;maximumRecords=0</t>
  </si>
  <si>
    <t>26253178X</t>
  </si>
  <si>
    <t>https://swisscovery.slsp.ch/view/sru/41SLSP_NETWORK?version=1.2&amp;operation=searchRetrieve&amp;recordSchema=marcxml&amp;query=alma.authority_id=26253178X&amp;maximumRecords=0</t>
  </si>
  <si>
    <t>https://swisscovery.slsp.ch/view/sru/41SLSP_VGE?version=1.2&amp;operation=searchRetrieve&amp;recordSchema=marcxml&amp;query=alma.authority_id=26253178X&amp;maximumRecords=0</t>
  </si>
  <si>
    <t>260077399</t>
  </si>
  <si>
    <t>https://swisscovery.slsp.ch/view/sru/41SLSP_NETWORK?version=1.2&amp;operation=searchRetrieve&amp;recordSchema=marcxml&amp;query=alma.authority_id=260077399&amp;maximumRecords=0</t>
  </si>
  <si>
    <t>https://swisscovery.slsp.ch/view/sru/41SLSP_VGE?version=1.2&amp;operation=searchRetrieve&amp;recordSchema=marcxml&amp;query=alma.authority_id=260077399&amp;maximumRecords=0</t>
  </si>
  <si>
    <t>268886393</t>
  </si>
  <si>
    <t>https://swisscovery.slsp.ch/view/sru/41SLSP_NETWORK?version=1.2&amp;operation=searchRetrieve&amp;recordSchema=marcxml&amp;query=alma.authority_id=268886393&amp;maximumRecords=0</t>
  </si>
  <si>
    <t>https://swisscovery.slsp.ch/view/sru/41SLSP_VGE?version=1.2&amp;operation=searchRetrieve&amp;recordSchema=marcxml&amp;query=alma.authority_id=268886393&amp;maximumRecords=0</t>
  </si>
  <si>
    <t>254929850</t>
  </si>
  <si>
    <t>https://swisscovery.slsp.ch/view/sru/41SLSP_NETWORK?version=1.2&amp;operation=searchRetrieve&amp;recordSchema=marcxml&amp;query=alma.authority_id=254929850&amp;maximumRecords=0</t>
  </si>
  <si>
    <t>https://swisscovery.slsp.ch/view/sru/41SLSP_VGE?version=1.2&amp;operation=searchRetrieve&amp;recordSchema=marcxml&amp;query=alma.authority_id=254929850&amp;maximumRecords=0</t>
  </si>
  <si>
    <t>269275169</t>
  </si>
  <si>
    <t>https://swisscovery.slsp.ch/view/sru/41SLSP_NETWORK?version=1.2&amp;operation=searchRetrieve&amp;recordSchema=marcxml&amp;query=alma.authority_id=269275169&amp;maximumRecords=0</t>
  </si>
  <si>
    <t>https://swisscovery.slsp.ch/view/sru/41SLSP_VGE?version=1.2&amp;operation=searchRetrieve&amp;recordSchema=marcxml&amp;query=alma.authority_id=269275169&amp;maximumRecords=0</t>
  </si>
  <si>
    <t>275468046</t>
  </si>
  <si>
    <t>https://swisscovery.slsp.ch/view/sru/41SLSP_NETWORK?version=1.2&amp;operation=searchRetrieve&amp;recordSchema=marcxml&amp;query=alma.authority_id=275468046&amp;maximumRecords=0</t>
  </si>
  <si>
    <t>https://swisscovery.slsp.ch/view/sru/41SLSP_VGE?version=1.2&amp;operation=searchRetrieve&amp;recordSchema=marcxml&amp;query=alma.authority_id=275468046&amp;maximumRecords=0</t>
  </si>
  <si>
    <t>184029376</t>
  </si>
  <si>
    <t>https://swisscovery.slsp.ch/view/sru/41SLSP_NETWORK?version=1.2&amp;operation=searchRetrieve&amp;recordSchema=marcxml&amp;query=alma.authority_id=184029376&amp;maximumRecords=0</t>
  </si>
  <si>
    <t>https://swisscovery.slsp.ch/view/sru/41SLSP_VGE?version=1.2&amp;operation=searchRetrieve&amp;recordSchema=marcxml&amp;query=alma.authority_id=184029376&amp;maximumRecords=0</t>
  </si>
  <si>
    <t>272496804</t>
  </si>
  <si>
    <t>https://swisscovery.slsp.ch/view/sru/41SLSP_NETWORK?version=1.2&amp;operation=searchRetrieve&amp;recordSchema=marcxml&amp;query=alma.authority_id=272496804&amp;maximumRecords=0</t>
  </si>
  <si>
    <t>https://swisscovery.slsp.ch/view/sru/41SLSP_VGE?version=1.2&amp;operation=searchRetrieve&amp;recordSchema=marcxml&amp;query=alma.authority_id=272496804&amp;maximumRecords=0</t>
  </si>
  <si>
    <t>254496555</t>
  </si>
  <si>
    <t>https://swisscovery.slsp.ch/view/sru/41SLSP_NETWORK?version=1.2&amp;operation=searchRetrieve&amp;recordSchema=marcxml&amp;query=alma.authority_id=254496555&amp;maximumRecords=0</t>
  </si>
  <si>
    <t>https://swisscovery.slsp.ch/view/sru/41SLSP_VGE?version=1.2&amp;operation=searchRetrieve&amp;recordSchema=marcxml&amp;query=alma.authority_id=254496555&amp;maximumRecords=0</t>
  </si>
  <si>
    <t>26173010X</t>
  </si>
  <si>
    <t>https://swisscovery.slsp.ch/view/sru/41SLSP_NETWORK?version=1.2&amp;operation=searchRetrieve&amp;recordSchema=marcxml&amp;query=alma.authority_id=26173010X&amp;maximumRecords=0</t>
  </si>
  <si>
    <t>https://swisscovery.slsp.ch/view/sru/41SLSP_VGE?version=1.2&amp;operation=searchRetrieve&amp;recordSchema=marcxml&amp;query=alma.authority_id=26173010X&amp;maximumRecords=0</t>
  </si>
  <si>
    <t>257598154</t>
  </si>
  <si>
    <t>https://swisscovery.slsp.ch/view/sru/41SLSP_NETWORK?version=1.2&amp;operation=searchRetrieve&amp;recordSchema=marcxml&amp;query=alma.authority_id=257598154&amp;maximumRecords=0</t>
  </si>
  <si>
    <t>https://swisscovery.slsp.ch/view/sru/41SLSP_VGE?version=1.2&amp;operation=searchRetrieve&amp;recordSchema=marcxml&amp;query=alma.authority_id=257598154&amp;maximumRecords=0</t>
  </si>
  <si>
    <t>258759062</t>
  </si>
  <si>
    <t>https://swisscovery.slsp.ch/view/sru/41SLSP_NETWORK?version=1.2&amp;operation=searchRetrieve&amp;recordSchema=marcxml&amp;query=alma.authority_id=258759062&amp;maximumRecords=0</t>
  </si>
  <si>
    <t>https://swisscovery.slsp.ch/view/sru/41SLSP_VGE?version=1.2&amp;operation=searchRetrieve&amp;recordSchema=marcxml&amp;query=alma.authority_id=258759062&amp;maximumRecords=0</t>
  </si>
  <si>
    <t>25477153X</t>
  </si>
  <si>
    <t>https://swisscovery.slsp.ch/view/sru/41SLSP_NETWORK?version=1.2&amp;operation=searchRetrieve&amp;recordSchema=marcxml&amp;query=alma.authority_id=25477153X&amp;maximumRecords=0</t>
  </si>
  <si>
    <t>https://swisscovery.slsp.ch/view/sru/41SLSP_VGE?version=1.2&amp;operation=searchRetrieve&amp;recordSchema=marcxml&amp;query=alma.authority_id=25477153X&amp;maximumRecords=0</t>
  </si>
  <si>
    <t>260147591</t>
  </si>
  <si>
    <t>https://swisscovery.slsp.ch/view/sru/41SLSP_NETWORK?version=1.2&amp;operation=searchRetrieve&amp;recordSchema=marcxml&amp;query=alma.authority_id=260147591&amp;maximumRecords=0</t>
  </si>
  <si>
    <t>https://swisscovery.slsp.ch/view/sru/41SLSP_VGE?version=1.2&amp;operation=searchRetrieve&amp;recordSchema=marcxml&amp;query=alma.authority_id=260147591&amp;maximumRecords=0</t>
  </si>
  <si>
    <t>263089207</t>
  </si>
  <si>
    <t>https://swisscovery.slsp.ch/view/sru/41SLSP_NETWORK?version=1.2&amp;operation=searchRetrieve&amp;recordSchema=marcxml&amp;query=alma.authority_id=263089207&amp;maximumRecords=0</t>
  </si>
  <si>
    <t>https://swisscovery.slsp.ch/view/sru/41SLSP_VGE?version=1.2&amp;operation=searchRetrieve&amp;recordSchema=marcxml&amp;query=alma.authority_id=263089207&amp;maximumRecords=0</t>
  </si>
  <si>
    <t>254929001</t>
  </si>
  <si>
    <t>https://swisscovery.slsp.ch/view/sru/41SLSP_NETWORK?version=1.2&amp;operation=searchRetrieve&amp;recordSchema=marcxml&amp;query=alma.authority_id=254929001&amp;maximumRecords=0</t>
  </si>
  <si>
    <t>https://swisscovery.slsp.ch/view/sru/41SLSP_VGE?version=1.2&amp;operation=searchRetrieve&amp;recordSchema=marcxml&amp;query=alma.authority_id=254929001&amp;maximumRecords=0</t>
  </si>
  <si>
    <t>254934218</t>
  </si>
  <si>
    <t>https://swisscovery.slsp.ch/view/sru/41SLSP_NETWORK?version=1.2&amp;operation=searchRetrieve&amp;recordSchema=marcxml&amp;query=alma.authority_id=254934218&amp;maximumRecords=0</t>
  </si>
  <si>
    <t>https://swisscovery.slsp.ch/view/sru/41SLSP_VGE?version=1.2&amp;operation=searchRetrieve&amp;recordSchema=marcxml&amp;query=alma.authority_id=254934218&amp;maximumRecords=0</t>
  </si>
  <si>
    <t>255300522</t>
  </si>
  <si>
    <t>https://swisscovery.slsp.ch/view/sru/41SLSP_NETWORK?version=1.2&amp;operation=searchRetrieve&amp;recordSchema=marcxml&amp;query=alma.authority_id=255300522&amp;maximumRecords=0</t>
  </si>
  <si>
    <t>https://swisscovery.slsp.ch/view/sru/41SLSP_VGE?version=1.2&amp;operation=searchRetrieve&amp;recordSchema=marcxml&amp;query=alma.authority_id=255300522&amp;maximumRecords=0</t>
  </si>
  <si>
    <t>260657824</t>
  </si>
  <si>
    <t>https://swisscovery.slsp.ch/view/sru/41SLSP_NETWORK?version=1.2&amp;operation=searchRetrieve&amp;recordSchema=marcxml&amp;query=alma.authority_id=260657824&amp;maximumRecords=0</t>
  </si>
  <si>
    <t>https://swisscovery.slsp.ch/view/sru/41SLSP_VGE?version=1.2&amp;operation=searchRetrieve&amp;recordSchema=marcxml&amp;query=alma.authority_id=260657824&amp;maximumRecords=0</t>
  </si>
  <si>
    <t>275305651</t>
  </si>
  <si>
    <t>https://swisscovery.slsp.ch/view/sru/41SLSP_NETWORK?version=1.2&amp;operation=searchRetrieve&amp;recordSchema=marcxml&amp;query=alma.authority_id=275305651&amp;maximumRecords=0</t>
  </si>
  <si>
    <t>https://swisscovery.slsp.ch/view/sru/41SLSP_VGE?version=1.2&amp;operation=searchRetrieve&amp;recordSchema=marcxml&amp;query=alma.authority_id=275305651&amp;maximumRecords=0</t>
  </si>
  <si>
    <t>255185812</t>
  </si>
  <si>
    <t>https://swisscovery.slsp.ch/view/sru/41SLSP_NETWORK?version=1.2&amp;operation=searchRetrieve&amp;recordSchema=marcxml&amp;query=alma.authority_id=255185812&amp;maximumRecords=0</t>
  </si>
  <si>
    <t>https://swisscovery.slsp.ch/view/sru/41SLSP_VGE?version=1.2&amp;operation=searchRetrieve&amp;recordSchema=marcxml&amp;query=alma.authority_id=255185812&amp;maximumRecords=0</t>
  </si>
  <si>
    <t>254881475</t>
  </si>
  <si>
    <t>https://swisscovery.slsp.ch/view/sru/41SLSP_NETWORK?version=1.2&amp;operation=searchRetrieve&amp;recordSchema=marcxml&amp;query=alma.authority_id=254881475&amp;maximumRecords=0</t>
  </si>
  <si>
    <t>https://swisscovery.slsp.ch/view/sru/41SLSP_VGE?version=1.2&amp;operation=searchRetrieve&amp;recordSchema=marcxml&amp;query=alma.authority_id=254881475&amp;maximumRecords=0</t>
  </si>
  <si>
    <t>261568191</t>
  </si>
  <si>
    <t>https://swisscovery.slsp.ch/view/sru/41SLSP_NETWORK?version=1.2&amp;operation=searchRetrieve&amp;recordSchema=marcxml&amp;query=alma.authority_id=261568191&amp;maximumRecords=0</t>
  </si>
  <si>
    <t>https://swisscovery.slsp.ch/view/sru/41SLSP_VGE?version=1.2&amp;operation=searchRetrieve&amp;recordSchema=marcxml&amp;query=alma.authority_id=261568191&amp;maximumRecords=0</t>
  </si>
  <si>
    <t>260727628</t>
  </si>
  <si>
    <t>https://swisscovery.slsp.ch/view/sru/41SLSP_NETWORK?version=1.2&amp;operation=searchRetrieve&amp;recordSchema=marcxml&amp;query=alma.authority_id=260727628&amp;maximumRecords=0</t>
  </si>
  <si>
    <t>https://swisscovery.slsp.ch/view/sru/41SLSP_VGE?version=1.2&amp;operation=searchRetrieve&amp;recordSchema=marcxml&amp;query=alma.authority_id=260727628&amp;maximumRecords=0</t>
  </si>
  <si>
    <t>255163088</t>
  </si>
  <si>
    <t>https://swisscovery.slsp.ch/view/sru/41SLSP_NETWORK?version=1.2&amp;operation=searchRetrieve&amp;recordSchema=marcxml&amp;query=alma.authority_id=255163088&amp;maximumRecords=0</t>
  </si>
  <si>
    <t>https://swisscovery.slsp.ch/view/sru/41SLSP_VGE?version=1.2&amp;operation=searchRetrieve&amp;recordSchema=marcxml&amp;query=alma.authority_id=255163088&amp;maximumRecords=0</t>
  </si>
  <si>
    <t>261162748</t>
  </si>
  <si>
    <t>https://swisscovery.slsp.ch/view/sru/41SLSP_NETWORK?version=1.2&amp;operation=searchRetrieve&amp;recordSchema=marcxml&amp;query=alma.authority_id=261162748&amp;maximumRecords=0</t>
  </si>
  <si>
    <t>https://swisscovery.slsp.ch/view/sru/41SLSP_VGE?version=1.2&amp;operation=searchRetrieve&amp;recordSchema=marcxml&amp;query=alma.authority_id=261162748&amp;maximumRecords=0</t>
  </si>
  <si>
    <t>256957282</t>
  </si>
  <si>
    <t>https://swisscovery.slsp.ch/view/sru/41SLSP_NETWORK?version=1.2&amp;operation=searchRetrieve&amp;recordSchema=marcxml&amp;query=alma.authority_id=256957282&amp;maximumRecords=0</t>
  </si>
  <si>
    <t>https://swisscovery.slsp.ch/view/sru/41SLSP_VGE?version=1.2&amp;operation=searchRetrieve&amp;recordSchema=marcxml&amp;query=alma.authority_id=256957282&amp;maximumRecords=0</t>
  </si>
  <si>
    <t>255096135</t>
  </si>
  <si>
    <t>https://swisscovery.slsp.ch/view/sru/41SLSP_NETWORK?version=1.2&amp;operation=searchRetrieve&amp;recordSchema=marcxml&amp;query=alma.authority_id=255096135&amp;maximumRecords=0</t>
  </si>
  <si>
    <t>https://swisscovery.slsp.ch/view/sru/41SLSP_VGE?version=1.2&amp;operation=searchRetrieve&amp;recordSchema=marcxml&amp;query=alma.authority_id=255096135&amp;maximumRecords=0</t>
  </si>
  <si>
    <t>255079842</t>
  </si>
  <si>
    <t>https://swisscovery.slsp.ch/view/sru/41SLSP_NETWORK?version=1.2&amp;operation=searchRetrieve&amp;recordSchema=marcxml&amp;query=alma.authority_id=255079842&amp;maximumRecords=0</t>
  </si>
  <si>
    <t>https://swisscovery.slsp.ch/view/sru/41SLSP_VGE?version=1.2&amp;operation=searchRetrieve&amp;recordSchema=marcxml&amp;query=alma.authority_id=255079842&amp;maximumRecords=0</t>
  </si>
  <si>
    <t>261425374</t>
  </si>
  <si>
    <t>https://swisscovery.slsp.ch/view/sru/41SLSP_NETWORK?version=1.2&amp;operation=searchRetrieve&amp;recordSchema=marcxml&amp;query=alma.authority_id=261425374&amp;maximumRecords=0</t>
  </si>
  <si>
    <t>https://swisscovery.slsp.ch/view/sru/41SLSP_VGE?version=1.2&amp;operation=searchRetrieve&amp;recordSchema=marcxml&amp;query=alma.authority_id=261425374&amp;maximumRecords=0</t>
  </si>
  <si>
    <t>260223336</t>
  </si>
  <si>
    <t>https://swisscovery.slsp.ch/view/sru/41SLSP_NETWORK?version=1.2&amp;operation=searchRetrieve&amp;recordSchema=marcxml&amp;query=alma.authority_id=260223336&amp;maximumRecords=0</t>
  </si>
  <si>
    <t>https://swisscovery.slsp.ch/view/sru/41SLSP_VGE?version=1.2&amp;operation=searchRetrieve&amp;recordSchema=marcxml&amp;query=alma.authority_id=260223336&amp;maximumRecords=0</t>
  </si>
  <si>
    <t>255095813</t>
  </si>
  <si>
    <t>https://swisscovery.slsp.ch/view/sru/41SLSP_NETWORK?version=1.2&amp;operation=searchRetrieve&amp;recordSchema=marcxml&amp;query=alma.authority_id=255095813&amp;maximumRecords=0</t>
  </si>
  <si>
    <t>https://swisscovery.slsp.ch/view/sru/41SLSP_VGE?version=1.2&amp;operation=searchRetrieve&amp;recordSchema=marcxml&amp;query=alma.authority_id=255095813&amp;maximumRecords=0</t>
  </si>
  <si>
    <t>259296309</t>
  </si>
  <si>
    <t>https://swisscovery.slsp.ch/view/sru/41SLSP_NETWORK?version=1.2&amp;operation=searchRetrieve&amp;recordSchema=marcxml&amp;query=alma.authority_id=259296309&amp;maximumRecords=0</t>
  </si>
  <si>
    <t>https://swisscovery.slsp.ch/view/sru/41SLSP_VGE?version=1.2&amp;operation=searchRetrieve&amp;recordSchema=marcxml&amp;query=alma.authority_id=259296309&amp;maximumRecords=0</t>
  </si>
  <si>
    <t>255097158</t>
  </si>
  <si>
    <t>https://swisscovery.slsp.ch/view/sru/41SLSP_NETWORK?version=1.2&amp;operation=searchRetrieve&amp;recordSchema=marcxml&amp;query=alma.authority_id=255097158&amp;maximumRecords=0</t>
  </si>
  <si>
    <t>https://swisscovery.slsp.ch/view/sru/41SLSP_VGE?version=1.2&amp;operation=searchRetrieve&amp;recordSchema=marcxml&amp;query=alma.authority_id=255097158&amp;maximumRecords=0</t>
  </si>
  <si>
    <t>255226489</t>
  </si>
  <si>
    <t>https://swisscovery.slsp.ch/view/sru/41SLSP_NETWORK?version=1.2&amp;operation=searchRetrieve&amp;recordSchema=marcxml&amp;query=alma.authority_id=255226489&amp;maximumRecords=0</t>
  </si>
  <si>
    <t>https://swisscovery.slsp.ch/view/sru/41SLSP_VGE?version=1.2&amp;operation=searchRetrieve&amp;recordSchema=marcxml&amp;query=alma.authority_id=255226489&amp;maximumRecords=0</t>
  </si>
  <si>
    <t>255097557</t>
  </si>
  <si>
    <t>https://swisscovery.slsp.ch/view/sru/41SLSP_NETWORK?version=1.2&amp;operation=searchRetrieve&amp;recordSchema=marcxml&amp;query=alma.authority_id=255097557&amp;maximumRecords=0</t>
  </si>
  <si>
    <t>https://swisscovery.slsp.ch/view/sru/41SLSP_VGE?version=1.2&amp;operation=searchRetrieve&amp;recordSchema=marcxml&amp;query=alma.authority_id=255097557&amp;maximumRecords=0</t>
  </si>
  <si>
    <t>244081794</t>
  </si>
  <si>
    <t>https://swisscovery.slsp.ch/view/sru/41SLSP_NETWORK?version=1.2&amp;operation=searchRetrieve&amp;recordSchema=marcxml&amp;query=alma.authority_id=244081794&amp;maximumRecords=0</t>
  </si>
  <si>
    <t>https://swisscovery.slsp.ch/view/sru/41SLSP_VGE?version=1.2&amp;operation=searchRetrieve&amp;recordSchema=marcxml&amp;query=alma.authority_id=244081794&amp;maximumRecords=0</t>
  </si>
  <si>
    <t>273642952</t>
  </si>
  <si>
    <t>https://swisscovery.slsp.ch/view/sru/41SLSP_NETWORK?version=1.2&amp;operation=searchRetrieve&amp;recordSchema=marcxml&amp;query=alma.authority_id=273642952&amp;maximumRecords=0</t>
  </si>
  <si>
    <t>https://swisscovery.slsp.ch/view/sru/41SLSP_VGE?version=1.2&amp;operation=searchRetrieve&amp;recordSchema=marcxml&amp;query=alma.authority_id=273642952&amp;maximumRecords=0</t>
  </si>
  <si>
    <t>255098111</t>
  </si>
  <si>
    <t>https://swisscovery.slsp.ch/view/sru/41SLSP_NETWORK?version=1.2&amp;operation=searchRetrieve&amp;recordSchema=marcxml&amp;query=alma.authority_id=255098111&amp;maximumRecords=0</t>
  </si>
  <si>
    <t>https://swisscovery.slsp.ch/view/sru/41SLSP_VGE?version=1.2&amp;operation=searchRetrieve&amp;recordSchema=marcxml&amp;query=alma.authority_id=255098111&amp;maximumRecords=0</t>
  </si>
  <si>
    <t>258486317</t>
  </si>
  <si>
    <t>https://swisscovery.slsp.ch/view/sru/41SLSP_NETWORK?version=1.2&amp;operation=searchRetrieve&amp;recordSchema=marcxml&amp;query=alma.authority_id=258486317&amp;maximumRecords=0</t>
  </si>
  <si>
    <t>https://swisscovery.slsp.ch/view/sru/41SLSP_VGE?version=1.2&amp;operation=searchRetrieve&amp;recordSchema=marcxml&amp;query=alma.authority_id=258486317&amp;maximumRecords=0</t>
  </si>
  <si>
    <t>261897543</t>
  </si>
  <si>
    <t>https://swisscovery.slsp.ch/view/sru/41SLSP_NETWORK?version=1.2&amp;operation=searchRetrieve&amp;recordSchema=marcxml&amp;query=alma.authority_id=261897543&amp;maximumRecords=0</t>
  </si>
  <si>
    <t>https://swisscovery.slsp.ch/view/sru/41SLSP_VGE?version=1.2&amp;operation=searchRetrieve&amp;recordSchema=marcxml&amp;query=alma.authority_id=261897543&amp;maximumRecords=0</t>
  </si>
  <si>
    <t>275859754</t>
  </si>
  <si>
    <t>https://swisscovery.slsp.ch/view/sru/41SLSP_NETWORK?version=1.2&amp;operation=searchRetrieve&amp;recordSchema=marcxml&amp;query=alma.authority_id=275859754&amp;maximumRecords=0</t>
  </si>
  <si>
    <t>https://swisscovery.slsp.ch/view/sru/41SLSP_VGE?version=1.2&amp;operation=searchRetrieve&amp;recordSchema=marcxml&amp;query=alma.authority_id=275859754&amp;maximumRecords=0</t>
  </si>
  <si>
    <t>255098499</t>
  </si>
  <si>
    <t>https://swisscovery.slsp.ch/view/sru/41SLSP_NETWORK?version=1.2&amp;operation=searchRetrieve&amp;recordSchema=marcxml&amp;query=alma.authority_id=255098499&amp;maximumRecords=0</t>
  </si>
  <si>
    <t>https://swisscovery.slsp.ch/view/sru/41SLSP_VGE?version=1.2&amp;operation=searchRetrieve&amp;recordSchema=marcxml&amp;query=alma.authority_id=255098499&amp;maximumRecords=0</t>
  </si>
  <si>
    <t>26308910X</t>
  </si>
  <si>
    <t>https://swisscovery.slsp.ch/view/sru/41SLSP_NETWORK?version=1.2&amp;operation=searchRetrieve&amp;recordSchema=marcxml&amp;query=alma.authority_id=26308910X&amp;maximumRecords=0</t>
  </si>
  <si>
    <t>https://swisscovery.slsp.ch/view/sru/41SLSP_VGE?version=1.2&amp;operation=searchRetrieve&amp;recordSchema=marcxml&amp;query=alma.authority_id=26308910X&amp;maximumRecords=0</t>
  </si>
  <si>
    <t>255183895</t>
  </si>
  <si>
    <t>https://swisscovery.slsp.ch/view/sru/41SLSP_NETWORK?version=1.2&amp;operation=searchRetrieve&amp;recordSchema=marcxml&amp;query=alma.authority_id=255183895&amp;maximumRecords=0</t>
  </si>
  <si>
    <t>https://swisscovery.slsp.ch/view/sru/41SLSP_VGE?version=1.2&amp;operation=searchRetrieve&amp;recordSchema=marcxml&amp;query=alma.authority_id=255183895&amp;maximumRecords=0</t>
  </si>
  <si>
    <t>275858812</t>
  </si>
  <si>
    <t>https://swisscovery.slsp.ch/view/sru/41SLSP_NETWORK?version=1.2&amp;operation=searchRetrieve&amp;recordSchema=marcxml&amp;query=alma.authority_id=275858812&amp;maximumRecords=0</t>
  </si>
  <si>
    <t>https://swisscovery.slsp.ch/view/sru/41SLSP_VGE?version=1.2&amp;operation=searchRetrieve&amp;recordSchema=marcxml&amp;query=alma.authority_id=275858812&amp;maximumRecords=0</t>
  </si>
  <si>
    <t>262448734</t>
  </si>
  <si>
    <t>https://swisscovery.slsp.ch/view/sru/41SLSP_NETWORK?version=1.2&amp;operation=searchRetrieve&amp;recordSchema=marcxml&amp;query=alma.authority_id=262448734&amp;maximumRecords=0</t>
  </si>
  <si>
    <t>https://swisscovery.slsp.ch/view/sru/41SLSP_VGE?version=1.2&amp;operation=searchRetrieve&amp;recordSchema=marcxml&amp;query=alma.authority_id=262448734&amp;maximumRecords=0</t>
  </si>
  <si>
    <t>083592474</t>
  </si>
  <si>
    <t>https://swisscovery.slsp.ch/view/sru/41SLSP_NETWORK?version=1.2&amp;operation=searchRetrieve&amp;recordSchema=marcxml&amp;query=alma.authority_id=083592474&amp;maximumRecords=0</t>
  </si>
  <si>
    <t>https://swisscovery.slsp.ch/view/sru/41SLSP_VGE?version=1.2&amp;operation=searchRetrieve&amp;recordSchema=marcxml&amp;query=alma.authority_id=083592474&amp;maximumRecords=0</t>
  </si>
  <si>
    <t>255184727</t>
  </si>
  <si>
    <t>https://swisscovery.slsp.ch/view/sru/41SLSP_NETWORK?version=1.2&amp;operation=searchRetrieve&amp;recordSchema=marcxml&amp;query=alma.authority_id=255184727&amp;maximumRecords=0</t>
  </si>
  <si>
    <t>https://swisscovery.slsp.ch/view/sru/41SLSP_VGE?version=1.2&amp;operation=searchRetrieve&amp;recordSchema=marcxml&amp;query=alma.authority_id=255184727&amp;maximumRecords=0</t>
  </si>
  <si>
    <t>255185162</t>
  </si>
  <si>
    <t>https://swisscovery.slsp.ch/view/sru/41SLSP_NETWORK?version=1.2&amp;operation=searchRetrieve&amp;recordSchema=marcxml&amp;query=alma.authority_id=255185162&amp;maximumRecords=0</t>
  </si>
  <si>
    <t>https://swisscovery.slsp.ch/view/sru/41SLSP_VGE?version=1.2&amp;operation=searchRetrieve&amp;recordSchema=marcxml&amp;query=alma.authority_id=255185162&amp;maximumRecords=0</t>
  </si>
  <si>
    <t>26007683X</t>
  </si>
  <si>
    <t>https://swisscovery.slsp.ch/view/sru/41SLSP_NETWORK?version=1.2&amp;operation=searchRetrieve&amp;recordSchema=marcxml&amp;query=alma.authority_id=26007683X&amp;maximumRecords=0</t>
  </si>
  <si>
    <t>https://swisscovery.slsp.ch/view/sru/41SLSP_VGE?version=1.2&amp;operation=searchRetrieve&amp;recordSchema=marcxml&amp;query=alma.authority_id=26007683X&amp;maximumRecords=0</t>
  </si>
  <si>
    <t>263004600</t>
  </si>
  <si>
    <t>https://swisscovery.slsp.ch/view/sru/41SLSP_NETWORK?version=1.2&amp;operation=searchRetrieve&amp;recordSchema=marcxml&amp;query=alma.authority_id=263004600&amp;maximumRecords=0</t>
  </si>
  <si>
    <t>https://swisscovery.slsp.ch/view/sru/41SLSP_VGE?version=1.2&amp;operation=searchRetrieve&amp;recordSchema=marcxml&amp;query=alma.authority_id=263004600&amp;maximumRecords=0</t>
  </si>
  <si>
    <t>255181752</t>
  </si>
  <si>
    <t>https://swisscovery.slsp.ch/view/sru/41SLSP_NETWORK?version=1.2&amp;operation=searchRetrieve&amp;recordSchema=marcxml&amp;query=alma.authority_id=255181752&amp;maximumRecords=0</t>
  </si>
  <si>
    <t>https://swisscovery.slsp.ch/view/sru/41SLSP_VGE?version=1.2&amp;operation=searchRetrieve&amp;recordSchema=marcxml&amp;query=alma.authority_id=255181752&amp;maximumRecords=0</t>
  </si>
  <si>
    <t>254772250</t>
  </si>
  <si>
    <t>https://swisscovery.slsp.ch/view/sru/41SLSP_NETWORK?version=1.2&amp;operation=searchRetrieve&amp;recordSchema=marcxml&amp;query=alma.authority_id=254772250&amp;maximumRecords=0</t>
  </si>
  <si>
    <t>https://swisscovery.slsp.ch/view/sru/41SLSP_VGE?version=1.2&amp;operation=searchRetrieve&amp;recordSchema=marcxml&amp;query=alma.authority_id=254772250&amp;maximumRecords=0</t>
  </si>
  <si>
    <t>258999268</t>
  </si>
  <si>
    <t>https://swisscovery.slsp.ch/view/sru/41SLSP_NETWORK?version=1.2&amp;operation=searchRetrieve&amp;recordSchema=marcxml&amp;query=alma.authority_id=258999268&amp;maximumRecords=0</t>
  </si>
  <si>
    <t>https://swisscovery.slsp.ch/view/sru/41SLSP_VGE?version=1.2&amp;operation=searchRetrieve&amp;recordSchema=marcxml&amp;query=alma.authority_id=258999268&amp;maximumRecords=0</t>
  </si>
  <si>
    <t>263474720</t>
  </si>
  <si>
    <t>https://swisscovery.slsp.ch/view/sru/41SLSP_NETWORK?version=1.2&amp;operation=searchRetrieve&amp;recordSchema=marcxml&amp;query=alma.authority_id=263474720&amp;maximumRecords=0</t>
  </si>
  <si>
    <t>https://swisscovery.slsp.ch/view/sru/41SLSP_VGE?version=1.2&amp;operation=searchRetrieve&amp;recordSchema=marcxml&amp;query=alma.authority_id=263474720&amp;maximumRecords=0</t>
  </si>
  <si>
    <t>256812012</t>
  </si>
  <si>
    <t>https://swisscovery.slsp.ch/view/sru/41SLSP_NETWORK?version=1.2&amp;operation=searchRetrieve&amp;recordSchema=marcxml&amp;query=alma.authority_id=256812012&amp;maximumRecords=0</t>
  </si>
  <si>
    <t>https://swisscovery.slsp.ch/view/sru/41SLSP_VGE?version=1.2&amp;operation=searchRetrieve&amp;recordSchema=marcxml&amp;query=alma.authority_id=256812012&amp;maximumRecords=0</t>
  </si>
  <si>
    <t>263004791</t>
  </si>
  <si>
    <t>https://swisscovery.slsp.ch/view/sru/41SLSP_NETWORK?version=1.2&amp;operation=searchRetrieve&amp;recordSchema=marcxml&amp;query=alma.authority_id=263004791&amp;maximumRecords=0</t>
  </si>
  <si>
    <t>https://swisscovery.slsp.ch/view/sru/41SLSP_VGE?version=1.2&amp;operation=searchRetrieve&amp;recordSchema=marcxml&amp;query=alma.authority_id=263004791&amp;maximumRecords=0</t>
  </si>
  <si>
    <t>263799093</t>
  </si>
  <si>
    <t>https://swisscovery.slsp.ch/view/sru/41SLSP_NETWORK?version=1.2&amp;operation=searchRetrieve&amp;recordSchema=marcxml&amp;query=alma.authority_id=263799093&amp;maximumRecords=0</t>
  </si>
  <si>
    <t>https://swisscovery.slsp.ch/view/sru/41SLSP_VGE?version=1.2&amp;operation=searchRetrieve&amp;recordSchema=marcxml&amp;query=alma.authority_id=263799093&amp;maximumRecords=0</t>
  </si>
  <si>
    <t>255236670</t>
  </si>
  <si>
    <t>https://swisscovery.slsp.ch/view/sru/41SLSP_NETWORK?version=1.2&amp;operation=searchRetrieve&amp;recordSchema=marcxml&amp;query=alma.authority_id=255236670&amp;maximumRecords=0</t>
  </si>
  <si>
    <t>https://swisscovery.slsp.ch/view/sru/41SLSP_VGE?version=1.2&amp;operation=searchRetrieve&amp;recordSchema=marcxml&amp;query=alma.authority_id=255236670&amp;maximumRecords=0</t>
  </si>
  <si>
    <t>255182759</t>
  </si>
  <si>
    <t>https://swisscovery.slsp.ch/view/sru/41SLSP_NETWORK?version=1.2&amp;operation=searchRetrieve&amp;recordSchema=marcxml&amp;query=alma.authority_id=255182759&amp;maximumRecords=0</t>
  </si>
  <si>
    <t>https://swisscovery.slsp.ch/view/sru/41SLSP_VGE?version=1.2&amp;operation=searchRetrieve&amp;recordSchema=marcxml&amp;query=alma.authority_id=255182759&amp;maximumRecords=0</t>
  </si>
  <si>
    <t>255232772</t>
  </si>
  <si>
    <t>https://swisscovery.slsp.ch/view/sru/41SLSP_NETWORK?version=1.2&amp;operation=searchRetrieve&amp;recordSchema=marcxml&amp;query=alma.authority_id=255232772&amp;maximumRecords=0</t>
  </si>
  <si>
    <t>https://swisscovery.slsp.ch/view/sru/41SLSP_VGE?version=1.2&amp;operation=searchRetrieve&amp;recordSchema=marcxml&amp;query=alma.authority_id=255232772&amp;maximumRecords=0</t>
  </si>
  <si>
    <t>116284587</t>
  </si>
  <si>
    <t>https://swisscovery.slsp.ch/view/sru/41SLSP_NETWORK?version=1.2&amp;operation=searchRetrieve&amp;recordSchema=marcxml&amp;query=alma.authority_id=116284587&amp;maximumRecords=0</t>
  </si>
  <si>
    <t>https://swisscovery.slsp.ch/view/sru/41SLSP_VGE?version=1.2&amp;operation=searchRetrieve&amp;recordSchema=marcxml&amp;query=alma.authority_id=116284587&amp;maximumRecords=0</t>
  </si>
  <si>
    <t>260276499</t>
  </si>
  <si>
    <t>https://swisscovery.slsp.ch/view/sru/41SLSP_NETWORK?version=1.2&amp;operation=searchRetrieve&amp;recordSchema=marcxml&amp;query=alma.authority_id=260276499&amp;maximumRecords=0</t>
  </si>
  <si>
    <t>https://swisscovery.slsp.ch/view/sru/41SLSP_VGE?version=1.2&amp;operation=searchRetrieve&amp;recordSchema=marcxml&amp;query=alma.authority_id=260276499&amp;maximumRecords=0</t>
  </si>
  <si>
    <t>255225873</t>
  </si>
  <si>
    <t>https://swisscovery.slsp.ch/view/sru/41SLSP_NETWORK?version=1.2&amp;operation=searchRetrieve&amp;recordSchema=marcxml&amp;query=alma.authority_id=255225873&amp;maximumRecords=0</t>
  </si>
  <si>
    <t>https://swisscovery.slsp.ch/view/sru/41SLSP_VGE?version=1.2&amp;operation=searchRetrieve&amp;recordSchema=marcxml&amp;query=alma.authority_id=255225873&amp;maximumRecords=0</t>
  </si>
  <si>
    <t>270504001</t>
  </si>
  <si>
    <t>https://swisscovery.slsp.ch/view/sru/41SLSP_NETWORK?version=1.2&amp;operation=searchRetrieve&amp;recordSchema=marcxml&amp;query=alma.authority_id=270504001&amp;maximumRecords=0</t>
  </si>
  <si>
    <t>https://swisscovery.slsp.ch/view/sru/41SLSP_VGE?version=1.2&amp;operation=searchRetrieve&amp;recordSchema=marcxml&amp;query=alma.authority_id=270504001&amp;maximumRecords=0</t>
  </si>
  <si>
    <t>257528822</t>
  </si>
  <si>
    <t>https://swisscovery.slsp.ch/view/sru/41SLSP_NETWORK?version=1.2&amp;operation=searchRetrieve&amp;recordSchema=marcxml&amp;query=alma.authority_id=257528822&amp;maximumRecords=0</t>
  </si>
  <si>
    <t>https://swisscovery.slsp.ch/view/sru/41SLSP_VGE?version=1.2&amp;operation=searchRetrieve&amp;recordSchema=marcxml&amp;query=alma.authority_id=257528822&amp;maximumRecords=0</t>
  </si>
  <si>
    <t>255234201</t>
  </si>
  <si>
    <t>https://swisscovery.slsp.ch/view/sru/41SLSP_NETWORK?version=1.2&amp;operation=searchRetrieve&amp;recordSchema=marcxml&amp;query=alma.authority_id=255234201&amp;maximumRecords=0</t>
  </si>
  <si>
    <t>https://swisscovery.slsp.ch/view/sru/41SLSP_VGE?version=1.2&amp;operation=searchRetrieve&amp;recordSchema=marcxml&amp;query=alma.authority_id=255234201&amp;maximumRecords=0</t>
  </si>
  <si>
    <t>255205333</t>
  </si>
  <si>
    <t>https://swisscovery.slsp.ch/view/sru/41SLSP_NETWORK?version=1.2&amp;operation=searchRetrieve&amp;recordSchema=marcxml&amp;query=alma.authority_id=255205333&amp;maximumRecords=0</t>
  </si>
  <si>
    <t>https://swisscovery.slsp.ch/view/sru/41SLSP_VGE?version=1.2&amp;operation=searchRetrieve&amp;recordSchema=marcxml&amp;query=alma.authority_id=255205333&amp;maximumRecords=0</t>
  </si>
  <si>
    <t>260389714</t>
  </si>
  <si>
    <t>https://swisscovery.slsp.ch/view/sru/41SLSP_NETWORK?version=1.2&amp;operation=searchRetrieve&amp;recordSchema=marcxml&amp;query=alma.authority_id=260389714&amp;maximumRecords=0</t>
  </si>
  <si>
    <t>https://swisscovery.slsp.ch/view/sru/41SLSP_VGE?version=1.2&amp;operation=searchRetrieve&amp;recordSchema=marcxml&amp;query=alma.authority_id=260389714&amp;maximumRecords=0</t>
  </si>
  <si>
    <t>031502695</t>
  </si>
  <si>
    <t>https://swisscovery.slsp.ch/view/sru/41SLSP_NETWORK?version=1.2&amp;operation=searchRetrieve&amp;recordSchema=marcxml&amp;query=alma.authority_id=031502695&amp;maximumRecords=0</t>
  </si>
  <si>
    <t>https://swisscovery.slsp.ch/view/sru/41SLSP_VGE?version=1.2&amp;operation=searchRetrieve&amp;recordSchema=marcxml&amp;query=alma.authority_id=031502695&amp;maximumRecords=0</t>
  </si>
  <si>
    <t>255228309</t>
  </si>
  <si>
    <t>https://swisscovery.slsp.ch/view/sru/41SLSP_NETWORK?version=1.2&amp;operation=searchRetrieve&amp;recordSchema=marcxml&amp;query=alma.authority_id=255228309&amp;maximumRecords=0</t>
  </si>
  <si>
    <t>https://swisscovery.slsp.ch/view/sru/41SLSP_VGE?version=1.2&amp;operation=searchRetrieve&amp;recordSchema=marcxml&amp;query=alma.authority_id=255228309&amp;maximumRecords=0</t>
  </si>
  <si>
    <t>258216794</t>
  </si>
  <si>
    <t>https://swisscovery.slsp.ch/view/sru/41SLSP_NETWORK?version=1.2&amp;operation=searchRetrieve&amp;recordSchema=marcxml&amp;query=alma.authority_id=258216794&amp;maximumRecords=0</t>
  </si>
  <si>
    <t>https://swisscovery.slsp.ch/view/sru/41SLSP_VGE?version=1.2&amp;operation=searchRetrieve&amp;recordSchema=marcxml&amp;query=alma.authority_id=258216794&amp;maximumRecords=0</t>
  </si>
  <si>
    <t>255235089</t>
  </si>
  <si>
    <t>https://swisscovery.slsp.ch/view/sru/41SLSP_NETWORK?version=1.2&amp;operation=searchRetrieve&amp;recordSchema=marcxml&amp;query=alma.authority_id=255235089&amp;maximumRecords=0</t>
  </si>
  <si>
    <t>https://swisscovery.slsp.ch/view/sru/41SLSP_VGE?version=1.2&amp;operation=searchRetrieve&amp;recordSchema=marcxml&amp;query=alma.authority_id=255235089&amp;maximumRecords=0</t>
  </si>
  <si>
    <t>255229216</t>
  </si>
  <si>
    <t>https://swisscovery.slsp.ch/view/sru/41SLSP_NETWORK?version=1.2&amp;operation=searchRetrieve&amp;recordSchema=marcxml&amp;query=alma.authority_id=255229216&amp;maximumRecords=0</t>
  </si>
  <si>
    <t>https://swisscovery.slsp.ch/view/sru/41SLSP_VGE?version=1.2&amp;operation=searchRetrieve&amp;recordSchema=marcxml&amp;query=alma.authority_id=255229216&amp;maximumRecords=0</t>
  </si>
  <si>
    <t>276105931</t>
  </si>
  <si>
    <t>https://swisscovery.slsp.ch/view/sru/41SLSP_NETWORK?version=1.2&amp;operation=searchRetrieve&amp;recordSchema=marcxml&amp;query=alma.authority_id=276105931&amp;maximumRecords=0</t>
  </si>
  <si>
    <t>https://swisscovery.slsp.ch/view/sru/41SLSP_VGE?version=1.2&amp;operation=searchRetrieve&amp;recordSchema=marcxml&amp;query=alma.authority_id=276105931&amp;maximumRecords=0</t>
  </si>
  <si>
    <t>261422049</t>
  </si>
  <si>
    <t>https://swisscovery.slsp.ch/view/sru/41SLSP_NETWORK?version=1.2&amp;operation=searchRetrieve&amp;recordSchema=marcxml&amp;query=alma.authority_id=261422049&amp;maximumRecords=0</t>
  </si>
  <si>
    <t>https://swisscovery.slsp.ch/view/sru/41SLSP_VGE?version=1.2&amp;operation=searchRetrieve&amp;recordSchema=marcxml&amp;query=alma.authority_id=261422049&amp;maximumRecords=0</t>
  </si>
  <si>
    <t>271711981</t>
  </si>
  <si>
    <t>https://swisscovery.slsp.ch/view/sru/41SLSP_NETWORK?version=1.2&amp;operation=searchRetrieve&amp;recordSchema=marcxml&amp;query=alma.authority_id=271711981&amp;maximumRecords=0</t>
  </si>
  <si>
    <t>https://swisscovery.slsp.ch/view/sru/41SLSP_VGE?version=1.2&amp;operation=searchRetrieve&amp;recordSchema=marcxml&amp;query=alma.authority_id=271711981&amp;maximumRecords=0</t>
  </si>
  <si>
    <t>257528733</t>
  </si>
  <si>
    <t>https://swisscovery.slsp.ch/view/sru/41SLSP_NETWORK?version=1.2&amp;operation=searchRetrieve&amp;recordSchema=marcxml&amp;query=alma.authority_id=257528733&amp;maximumRecords=0</t>
  </si>
  <si>
    <t>https://swisscovery.slsp.ch/view/sru/41SLSP_VGE?version=1.2&amp;operation=searchRetrieve&amp;recordSchema=marcxml&amp;query=alma.authority_id=257528733&amp;maximumRecords=0</t>
  </si>
  <si>
    <t>273506579</t>
  </si>
  <si>
    <t>https://swisscovery.slsp.ch/view/sru/41SLSP_NETWORK?version=1.2&amp;operation=searchRetrieve&amp;recordSchema=marcxml&amp;query=alma.authority_id=273506579&amp;maximumRecords=0</t>
  </si>
  <si>
    <t>https://swisscovery.slsp.ch/view/sru/41SLSP_VGE?version=1.2&amp;operation=searchRetrieve&amp;recordSchema=marcxml&amp;query=alma.authority_id=273506579&amp;maximumRecords=0</t>
  </si>
  <si>
    <t>275341208</t>
  </si>
  <si>
    <t>https://swisscovery.slsp.ch/view/sru/41SLSP_NETWORK?version=1.2&amp;operation=searchRetrieve&amp;recordSchema=marcxml&amp;query=alma.authority_id=275341208&amp;maximumRecords=0</t>
  </si>
  <si>
    <t>https://swisscovery.slsp.ch/view/sru/41SLSP_VGE?version=1.2&amp;operation=searchRetrieve&amp;recordSchema=marcxml&amp;query=alma.authority_id=275341208&amp;maximumRecords=0</t>
  </si>
  <si>
    <t>255299966</t>
  </si>
  <si>
    <t>https://swisscovery.slsp.ch/view/sru/41SLSP_NETWORK?version=1.2&amp;operation=searchRetrieve&amp;recordSchema=marcxml&amp;query=alma.authority_id=255299966&amp;maximumRecords=0</t>
  </si>
  <si>
    <t>https://swisscovery.slsp.ch/view/sru/41SLSP_VGE?version=1.2&amp;operation=searchRetrieve&amp;recordSchema=marcxml&amp;query=alma.authority_id=255299966&amp;maximumRecords=0</t>
  </si>
  <si>
    <t>255241577</t>
  </si>
  <si>
    <t>https://swisscovery.slsp.ch/view/sru/41SLSP_NETWORK?version=1.2&amp;operation=searchRetrieve&amp;recordSchema=marcxml&amp;query=alma.authority_id=255241577&amp;maximumRecords=0</t>
  </si>
  <si>
    <t>https://swisscovery.slsp.ch/view/sru/41SLSP_VGE?version=1.2&amp;operation=searchRetrieve&amp;recordSchema=marcxml&amp;query=alma.authority_id=255241577&amp;maximumRecords=0</t>
  </si>
  <si>
    <t>257398988</t>
  </si>
  <si>
    <t>https://swisscovery.slsp.ch/view/sru/41SLSP_NETWORK?version=1.2&amp;operation=searchRetrieve&amp;recordSchema=marcxml&amp;query=alma.authority_id=257398988&amp;maximumRecords=0</t>
  </si>
  <si>
    <t>https://swisscovery.slsp.ch/view/sru/41SLSP_VGE?version=1.2&amp;operation=searchRetrieve&amp;recordSchema=marcxml&amp;query=alma.authority_id=257398988&amp;maximumRecords=0</t>
  </si>
  <si>
    <t>256168784</t>
  </si>
  <si>
    <t>https://swisscovery.slsp.ch/view/sru/41SLSP_NETWORK?version=1.2&amp;operation=searchRetrieve&amp;recordSchema=marcxml&amp;query=alma.authority_id=256168784&amp;maximumRecords=0</t>
  </si>
  <si>
    <t>https://swisscovery.slsp.ch/view/sru/41SLSP_VGE?version=1.2&amp;operation=searchRetrieve&amp;recordSchema=marcxml&amp;query=alma.authority_id=256168784&amp;maximumRecords=0</t>
  </si>
  <si>
    <t>260492132</t>
  </si>
  <si>
    <t>https://swisscovery.slsp.ch/view/sru/41SLSP_NETWORK?version=1.2&amp;operation=searchRetrieve&amp;recordSchema=marcxml&amp;query=alma.authority_id=260492132&amp;maximumRecords=0</t>
  </si>
  <si>
    <t>https://swisscovery.slsp.ch/view/sru/41SLSP_VGE?version=1.2&amp;operation=searchRetrieve&amp;recordSchema=marcxml&amp;query=alma.authority_id=260492132&amp;maximumRecords=0</t>
  </si>
  <si>
    <t>255333056</t>
  </si>
  <si>
    <t>https://swisscovery.slsp.ch/view/sru/41SLSP_NETWORK?version=1.2&amp;operation=searchRetrieve&amp;recordSchema=marcxml&amp;query=alma.authority_id=255333056&amp;maximumRecords=0</t>
  </si>
  <si>
    <t>https://swisscovery.slsp.ch/view/sru/41SLSP_VGE?version=1.2&amp;operation=searchRetrieve&amp;recordSchema=marcxml&amp;query=alma.authority_id=255333056&amp;maximumRecords=0</t>
  </si>
  <si>
    <t>255911599</t>
  </si>
  <si>
    <t>https://swisscovery.slsp.ch/view/sru/41SLSP_NETWORK?version=1.2&amp;operation=searchRetrieve&amp;recordSchema=marcxml&amp;query=alma.authority_id=255911599&amp;maximumRecords=0</t>
  </si>
  <si>
    <t>https://swisscovery.slsp.ch/view/sru/41SLSP_VGE?version=1.2&amp;operation=searchRetrieve&amp;recordSchema=marcxml&amp;query=alma.authority_id=255911599&amp;maximumRecords=0</t>
  </si>
  <si>
    <t>27720335X</t>
  </si>
  <si>
    <t>https://swisscovery.slsp.ch/view/sru/41SLSP_NETWORK?version=1.2&amp;operation=searchRetrieve&amp;recordSchema=marcxml&amp;query=alma.authority_id=27720335X&amp;maximumRecords=0</t>
  </si>
  <si>
    <t>https://swisscovery.slsp.ch/view/sru/41SLSP_VGE?version=1.2&amp;operation=searchRetrieve&amp;recordSchema=marcxml&amp;query=alma.authority_id=27720335X&amp;maximumRecords=0</t>
  </si>
  <si>
    <t>269345116</t>
  </si>
  <si>
    <t>https://swisscovery.slsp.ch/view/sru/41SLSP_NETWORK?version=1.2&amp;operation=searchRetrieve&amp;recordSchema=marcxml&amp;query=alma.authority_id=269345116&amp;maximumRecords=0</t>
  </si>
  <si>
    <t>https://swisscovery.slsp.ch/view/sru/41SLSP_VGE?version=1.2&amp;operation=searchRetrieve&amp;recordSchema=marcxml&amp;query=alma.authority_id=269345116&amp;maximumRecords=0</t>
  </si>
  <si>
    <t>255333374</t>
  </si>
  <si>
    <t>https://swisscovery.slsp.ch/view/sru/41SLSP_NETWORK?version=1.2&amp;operation=searchRetrieve&amp;recordSchema=marcxml&amp;query=alma.authority_id=255333374&amp;maximumRecords=0</t>
  </si>
  <si>
    <t>https://swisscovery.slsp.ch/view/sru/41SLSP_VGE?version=1.2&amp;operation=searchRetrieve&amp;recordSchema=marcxml&amp;query=alma.authority_id=255333374&amp;maximumRecords=0</t>
  </si>
  <si>
    <t>087925176</t>
  </si>
  <si>
    <t>https://swisscovery.slsp.ch/view/sru/41SLSP_NETWORK?version=1.2&amp;operation=searchRetrieve&amp;recordSchema=marcxml&amp;query=alma.authority_id=087925176&amp;maximumRecords=0</t>
  </si>
  <si>
    <t>https://swisscovery.slsp.ch/view/sru/41SLSP_VGE?version=1.2&amp;operation=searchRetrieve&amp;recordSchema=marcxml&amp;query=alma.authority_id=087925176&amp;maximumRecords=0</t>
  </si>
  <si>
    <t>255334133</t>
  </si>
  <si>
    <t>https://swisscovery.slsp.ch/view/sru/41SLSP_NETWORK?version=1.2&amp;operation=searchRetrieve&amp;recordSchema=marcxml&amp;query=alma.authority_id=255334133&amp;maximumRecords=0</t>
  </si>
  <si>
    <t>https://swisscovery.slsp.ch/view/sru/41SLSP_VGE?version=1.2&amp;operation=searchRetrieve&amp;recordSchema=marcxml&amp;query=alma.authority_id=255334133&amp;maximumRecords=0</t>
  </si>
  <si>
    <t>262335476</t>
  </si>
  <si>
    <t>https://swisscovery.slsp.ch/view/sru/41SLSP_NETWORK?version=1.2&amp;operation=searchRetrieve&amp;recordSchema=marcxml&amp;query=alma.authority_id=262335476&amp;maximumRecords=0</t>
  </si>
  <si>
    <t>https://swisscovery.slsp.ch/view/sru/41SLSP_VGE?version=1.2&amp;operation=searchRetrieve&amp;recordSchema=marcxml&amp;query=alma.authority_id=262335476&amp;maximumRecords=0</t>
  </si>
  <si>
    <t>111700701</t>
  </si>
  <si>
    <t>https://swisscovery.slsp.ch/view/sru/41SLSP_NETWORK?version=1.2&amp;operation=searchRetrieve&amp;recordSchema=marcxml&amp;query=alma.authority_id=111700701&amp;maximumRecords=0</t>
  </si>
  <si>
    <t>https://swisscovery.slsp.ch/view/sru/41SLSP_VGE?version=1.2&amp;operation=searchRetrieve&amp;recordSchema=marcxml&amp;query=alma.authority_id=111700701&amp;maximumRecords=0</t>
  </si>
  <si>
    <t>256786895</t>
  </si>
  <si>
    <t>https://swisscovery.slsp.ch/view/sru/41SLSP_NETWORK?version=1.2&amp;operation=searchRetrieve&amp;recordSchema=marcxml&amp;query=alma.authority_id=256786895&amp;maximumRecords=0</t>
  </si>
  <si>
    <t>https://swisscovery.slsp.ch/view/sru/41SLSP_VGE?version=1.2&amp;operation=searchRetrieve&amp;recordSchema=marcxml&amp;query=alma.authority_id=256786895&amp;maximumRecords=0</t>
  </si>
  <si>
    <t>255334931</t>
  </si>
  <si>
    <t>https://swisscovery.slsp.ch/view/sru/41SLSP_NETWORK?version=1.2&amp;operation=searchRetrieve&amp;recordSchema=marcxml&amp;query=alma.authority_id=255334931&amp;maximumRecords=0</t>
  </si>
  <si>
    <t>https://swisscovery.slsp.ch/view/sru/41SLSP_VGE?version=1.2&amp;operation=searchRetrieve&amp;recordSchema=marcxml&amp;query=alma.authority_id=255334931&amp;maximumRecords=0</t>
  </si>
  <si>
    <t>255382545</t>
  </si>
  <si>
    <t>https://swisscovery.slsp.ch/view/sru/41SLSP_NETWORK?version=1.2&amp;operation=searchRetrieve&amp;recordSchema=marcxml&amp;query=alma.authority_id=255382545&amp;maximumRecords=0</t>
  </si>
  <si>
    <t>https://swisscovery.slsp.ch/view/sru/41SLSP_VGE?version=1.2&amp;operation=searchRetrieve&amp;recordSchema=marcxml&amp;query=alma.authority_id=255382545&amp;maximumRecords=0</t>
  </si>
  <si>
    <t>272986860</t>
  </si>
  <si>
    <t>https://swisscovery.slsp.ch/view/sru/41SLSP_NETWORK?version=1.2&amp;operation=searchRetrieve&amp;recordSchema=marcxml&amp;query=alma.authority_id=272986860&amp;maximumRecords=0</t>
  </si>
  <si>
    <t>https://swisscovery.slsp.ch/view/sru/41SLSP_VGE?version=1.2&amp;operation=searchRetrieve&amp;recordSchema=marcxml&amp;query=alma.authority_id=272986860&amp;maximumRecords=0</t>
  </si>
  <si>
    <t>261569228</t>
  </si>
  <si>
    <t>https://swisscovery.slsp.ch/view/sru/41SLSP_NETWORK?version=1.2&amp;operation=searchRetrieve&amp;recordSchema=marcxml&amp;query=alma.authority_id=261569228&amp;maximumRecords=0</t>
  </si>
  <si>
    <t>https://swisscovery.slsp.ch/view/sru/41SLSP_VGE?version=1.2&amp;operation=searchRetrieve&amp;recordSchema=marcxml&amp;query=alma.authority_id=261569228&amp;maximumRecords=0</t>
  </si>
  <si>
    <t>255640315</t>
  </si>
  <si>
    <t>https://swisscovery.slsp.ch/view/sru/41SLSP_NETWORK?version=1.2&amp;operation=searchRetrieve&amp;recordSchema=marcxml&amp;query=alma.authority_id=255640315&amp;maximumRecords=0</t>
  </si>
  <si>
    <t>https://swisscovery.slsp.ch/view/sru/41SLSP_VGE?version=1.2&amp;operation=searchRetrieve&amp;recordSchema=marcxml&amp;query=alma.authority_id=255640315&amp;maximumRecords=0</t>
  </si>
  <si>
    <t>275601803</t>
  </si>
  <si>
    <t>https://swisscovery.slsp.ch/view/sru/41SLSP_NETWORK?version=1.2&amp;operation=searchRetrieve&amp;recordSchema=marcxml&amp;query=alma.authority_id=275601803&amp;maximumRecords=0</t>
  </si>
  <si>
    <t>https://swisscovery.slsp.ch/view/sru/41SLSP_VGE?version=1.2&amp;operation=searchRetrieve&amp;recordSchema=marcxml&amp;query=alma.authority_id=275601803&amp;maximumRecords=0</t>
  </si>
  <si>
    <t>255641486</t>
  </si>
  <si>
    <t>https://swisscovery.slsp.ch/view/sru/41SLSP_NETWORK?version=1.2&amp;operation=searchRetrieve&amp;recordSchema=marcxml&amp;query=alma.authority_id=255641486&amp;maximumRecords=0</t>
  </si>
  <si>
    <t>https://swisscovery.slsp.ch/view/sru/41SLSP_VGE?version=1.2&amp;operation=searchRetrieve&amp;recordSchema=marcxml&amp;query=alma.authority_id=255641486&amp;maximumRecords=0</t>
  </si>
  <si>
    <t>275824357</t>
  </si>
  <si>
    <t>https://swisscovery.slsp.ch/view/sru/41SLSP_NETWORK?version=1.2&amp;operation=searchRetrieve&amp;recordSchema=marcxml&amp;query=alma.authority_id=275824357&amp;maximumRecords=0</t>
  </si>
  <si>
    <t>https://swisscovery.slsp.ch/view/sru/41SLSP_VGE?version=1.2&amp;operation=searchRetrieve&amp;recordSchema=marcxml&amp;query=alma.authority_id=275824357&amp;maximumRecords=0</t>
  </si>
  <si>
    <t>275154017</t>
  </si>
  <si>
    <t>https://swisscovery.slsp.ch/view/sru/41SLSP_NETWORK?version=1.2&amp;operation=searchRetrieve&amp;recordSchema=marcxml&amp;query=alma.authority_id=275154017&amp;maximumRecords=0</t>
  </si>
  <si>
    <t>https://swisscovery.slsp.ch/view/sru/41SLSP_VGE?version=1.2&amp;operation=searchRetrieve&amp;recordSchema=marcxml&amp;query=alma.authority_id=275154017&amp;maximumRecords=0</t>
  </si>
  <si>
    <t>275534154</t>
  </si>
  <si>
    <t>https://swisscovery.slsp.ch/view/sru/41SLSP_NETWORK?version=1.2&amp;operation=searchRetrieve&amp;recordSchema=marcxml&amp;query=alma.authority_id=275534154&amp;maximumRecords=0</t>
  </si>
  <si>
    <t>https://swisscovery.slsp.ch/view/sru/41SLSP_VGE?version=1.2&amp;operation=searchRetrieve&amp;recordSchema=marcxml&amp;query=alma.authority_id=275534154&amp;maximumRecords=0</t>
  </si>
  <si>
    <t>271092009</t>
  </si>
  <si>
    <t>https://swisscovery.slsp.ch/view/sru/41SLSP_NETWORK?version=1.2&amp;operation=searchRetrieve&amp;recordSchema=marcxml&amp;query=alma.authority_id=271092009&amp;maximumRecords=0</t>
  </si>
  <si>
    <t>https://swisscovery.slsp.ch/view/sru/41SLSP_VGE?version=1.2&amp;operation=searchRetrieve&amp;recordSchema=marcxml&amp;query=alma.authority_id=271092009&amp;maximumRecords=0</t>
  </si>
  <si>
    <t>031889999</t>
  </si>
  <si>
    <t>https://swisscovery.slsp.ch/view/sru/41SLSP_NETWORK?version=1.2&amp;operation=searchRetrieve&amp;recordSchema=marcxml&amp;query=alma.authority_id=031889999&amp;maximumRecords=0</t>
  </si>
  <si>
    <t>https://swisscovery.slsp.ch/view/sru/41SLSP_VGE?version=1.2&amp;operation=searchRetrieve&amp;recordSchema=marcxml&amp;query=alma.authority_id=031889999&amp;maximumRecords=0</t>
  </si>
  <si>
    <t>255640463</t>
  </si>
  <si>
    <t>https://swisscovery.slsp.ch/view/sru/41SLSP_NETWORK?version=1.2&amp;operation=searchRetrieve&amp;recordSchema=marcxml&amp;query=alma.authority_id=255640463&amp;maximumRecords=0</t>
  </si>
  <si>
    <t>https://swisscovery.slsp.ch/view/sru/41SLSP_VGE?version=1.2&amp;operation=searchRetrieve&amp;recordSchema=marcxml&amp;query=alma.authority_id=255640463&amp;maximumRecords=0</t>
  </si>
  <si>
    <t>256050821</t>
  </si>
  <si>
    <t>https://swisscovery.slsp.ch/view/sru/41SLSP_NETWORK?version=1.2&amp;operation=searchRetrieve&amp;recordSchema=marcxml&amp;query=alma.authority_id=256050821&amp;maximumRecords=0</t>
  </si>
  <si>
    <t>https://swisscovery.slsp.ch/view/sru/41SLSP_VGE?version=1.2&amp;operation=searchRetrieve&amp;recordSchema=marcxml&amp;query=alma.authority_id=256050821&amp;maximumRecords=0</t>
  </si>
  <si>
    <t>260279579</t>
  </si>
  <si>
    <t>https://swisscovery.slsp.ch/view/sru/41SLSP_NETWORK?version=1.2&amp;operation=searchRetrieve&amp;recordSchema=marcxml&amp;query=alma.authority_id=260279579&amp;maximumRecords=0</t>
  </si>
  <si>
    <t>https://swisscovery.slsp.ch/view/sru/41SLSP_VGE?version=1.2&amp;operation=searchRetrieve&amp;recordSchema=marcxml&amp;query=alma.authority_id=260279579&amp;maximumRecords=0</t>
  </si>
  <si>
    <t>261428144</t>
  </si>
  <si>
    <t>https://swisscovery.slsp.ch/view/sru/41SLSP_NETWORK?version=1.2&amp;operation=searchRetrieve&amp;recordSchema=marcxml&amp;query=alma.authority_id=261428144&amp;maximumRecords=0</t>
  </si>
  <si>
    <t>https://swisscovery.slsp.ch/view/sru/41SLSP_VGE?version=1.2&amp;operation=searchRetrieve&amp;recordSchema=marcxml&amp;query=alma.authority_id=261428144&amp;maximumRecords=0</t>
  </si>
  <si>
    <t>256295247</t>
  </si>
  <si>
    <t>https://swisscovery.slsp.ch/view/sru/41SLSP_NETWORK?version=1.2&amp;operation=searchRetrieve&amp;recordSchema=marcxml&amp;query=alma.authority_id=256295247&amp;maximumRecords=0</t>
  </si>
  <si>
    <t>https://swisscovery.slsp.ch/view/sru/41SLSP_VGE?version=1.2&amp;operation=searchRetrieve&amp;recordSchema=marcxml&amp;query=alma.authority_id=256295247&amp;maximumRecords=0</t>
  </si>
  <si>
    <t>258417579</t>
  </si>
  <si>
    <t>https://swisscovery.slsp.ch/view/sru/41SLSP_NETWORK?version=1.2&amp;operation=searchRetrieve&amp;recordSchema=marcxml&amp;query=alma.authority_id=258417579&amp;maximumRecords=0</t>
  </si>
  <si>
    <t>https://swisscovery.slsp.ch/view/sru/41SLSP_VGE?version=1.2&amp;operation=searchRetrieve&amp;recordSchema=marcxml&amp;query=alma.authority_id=258417579&amp;maximumRecords=0</t>
  </si>
  <si>
    <t>26037895X</t>
  </si>
  <si>
    <t>https://swisscovery.slsp.ch/view/sru/41SLSP_NETWORK?version=1.2&amp;operation=searchRetrieve&amp;recordSchema=marcxml&amp;query=alma.authority_id=26037895X&amp;maximumRecords=0</t>
  </si>
  <si>
    <t>https://swisscovery.slsp.ch/view/sru/41SLSP_VGE?version=1.2&amp;operation=searchRetrieve&amp;recordSchema=marcxml&amp;query=alma.authority_id=26037895X&amp;maximumRecords=0</t>
  </si>
  <si>
    <t>275995941</t>
  </si>
  <si>
    <t>https://swisscovery.slsp.ch/view/sru/41SLSP_NETWORK?version=1.2&amp;operation=searchRetrieve&amp;recordSchema=marcxml&amp;query=alma.authority_id=275995941&amp;maximumRecords=0</t>
  </si>
  <si>
    <t>https://swisscovery.slsp.ch/view/sru/41SLSP_VGE?version=1.2&amp;operation=searchRetrieve&amp;recordSchema=marcxml&amp;query=alma.authority_id=275995941&amp;maximumRecords=0</t>
  </si>
  <si>
    <t>26024001X</t>
  </si>
  <si>
    <t>https://swisscovery.slsp.ch/view/sru/41SLSP_NETWORK?version=1.2&amp;operation=searchRetrieve&amp;recordSchema=marcxml&amp;query=alma.authority_id=26024001X&amp;maximumRecords=0</t>
  </si>
  <si>
    <t>https://swisscovery.slsp.ch/view/sru/41SLSP_VGE?version=1.2&amp;operation=searchRetrieve&amp;recordSchema=marcxml&amp;query=alma.authority_id=26024001X&amp;maximumRecords=0</t>
  </si>
  <si>
    <t>276097033</t>
  </si>
  <si>
    <t>https://swisscovery.slsp.ch/view/sru/41SLSP_NETWORK?version=1.2&amp;operation=searchRetrieve&amp;recordSchema=marcxml&amp;query=alma.authority_id=276097033&amp;maximumRecords=0</t>
  </si>
  <si>
    <t>https://swisscovery.slsp.ch/view/sru/41SLSP_VGE?version=1.2&amp;operation=searchRetrieve&amp;recordSchema=marcxml&amp;query=alma.authority_id=276097033&amp;maximumRecords=0</t>
  </si>
  <si>
    <t>256986401</t>
  </si>
  <si>
    <t>https://swisscovery.slsp.ch/view/sru/41SLSP_NETWORK?version=1.2&amp;operation=searchRetrieve&amp;recordSchema=marcxml&amp;query=alma.authority_id=256986401&amp;maximumRecords=0</t>
  </si>
  <si>
    <t>https://swisscovery.slsp.ch/view/sru/41SLSP_VGE?version=1.2&amp;operation=searchRetrieve&amp;recordSchema=marcxml&amp;query=alma.authority_id=256986401&amp;maximumRecords=0</t>
  </si>
  <si>
    <t>259324094</t>
  </si>
  <si>
    <t>https://swisscovery.slsp.ch/view/sru/41SLSP_NETWORK?version=1.2&amp;operation=searchRetrieve&amp;recordSchema=marcxml&amp;query=alma.authority_id=259324094&amp;maximumRecords=0</t>
  </si>
  <si>
    <t>https://swisscovery.slsp.ch/view/sru/41SLSP_VGE?version=1.2&amp;operation=searchRetrieve&amp;recordSchema=marcxml&amp;query=alma.authority_id=259324094&amp;maximumRecords=0</t>
  </si>
  <si>
    <t>258975520</t>
  </si>
  <si>
    <t>https://swisscovery.slsp.ch/view/sru/41SLSP_NETWORK?version=1.2&amp;operation=searchRetrieve&amp;recordSchema=marcxml&amp;query=alma.authority_id=258975520&amp;maximumRecords=0</t>
  </si>
  <si>
    <t>https://swisscovery.slsp.ch/view/sru/41SLSP_VGE?version=1.2&amp;operation=searchRetrieve&amp;recordSchema=marcxml&amp;query=alma.authority_id=258975520&amp;maximumRecords=0</t>
  </si>
  <si>
    <t>258138556</t>
  </si>
  <si>
    <t>https://swisscovery.slsp.ch/view/sru/41SLSP_NETWORK?version=1.2&amp;operation=searchRetrieve&amp;recordSchema=marcxml&amp;query=alma.authority_id=258138556&amp;maximumRecords=0</t>
  </si>
  <si>
    <t>https://swisscovery.slsp.ch/view/sru/41SLSP_VGE?version=1.2&amp;operation=searchRetrieve&amp;recordSchema=marcxml&amp;query=alma.authority_id=258138556&amp;maximumRecords=0</t>
  </si>
  <si>
    <t>26452473X</t>
  </si>
  <si>
    <t>https://swisscovery.slsp.ch/view/sru/41SLSP_NETWORK?version=1.2&amp;operation=searchRetrieve&amp;recordSchema=marcxml&amp;query=alma.authority_id=26452473X&amp;maximumRecords=0</t>
  </si>
  <si>
    <t>https://swisscovery.slsp.ch/view/sru/41SLSP_VGE?version=1.2&amp;operation=searchRetrieve&amp;recordSchema=marcxml&amp;query=alma.authority_id=26452473X&amp;maximumRecords=0</t>
  </si>
  <si>
    <t>260262943</t>
  </si>
  <si>
    <t>https://swisscovery.slsp.ch/view/sru/41SLSP_NETWORK?version=1.2&amp;operation=searchRetrieve&amp;recordSchema=marcxml&amp;query=alma.authority_id=260262943&amp;maximumRecords=0</t>
  </si>
  <si>
    <t>https://swisscovery.slsp.ch/view/sru/41SLSP_VGE?version=1.2&amp;operation=searchRetrieve&amp;recordSchema=marcxml&amp;query=alma.authority_id=260262943&amp;maximumRecords=0</t>
  </si>
  <si>
    <t>258998660</t>
  </si>
  <si>
    <t>https://swisscovery.slsp.ch/view/sru/41SLSP_NETWORK?version=1.2&amp;operation=searchRetrieve&amp;recordSchema=marcxml&amp;query=alma.authority_id=258998660&amp;maximumRecords=0</t>
  </si>
  <si>
    <t>https://swisscovery.slsp.ch/view/sru/41SLSP_VGE?version=1.2&amp;operation=searchRetrieve&amp;recordSchema=marcxml&amp;query=alma.authority_id=258998660&amp;maximumRecords=0</t>
  </si>
  <si>
    <t>264288459</t>
  </si>
  <si>
    <t>https://swisscovery.slsp.ch/view/sru/41SLSP_NETWORK?version=1.2&amp;operation=searchRetrieve&amp;recordSchema=marcxml&amp;query=alma.authority_id=264288459&amp;maximumRecords=0</t>
  </si>
  <si>
    <t>https://swisscovery.slsp.ch/view/sru/41SLSP_VGE?version=1.2&amp;operation=searchRetrieve&amp;recordSchema=marcxml&amp;query=alma.authority_id=264288459&amp;maximumRecords=0</t>
  </si>
  <si>
    <t>057093474</t>
  </si>
  <si>
    <t>https://swisscovery.slsp.ch/view/sru/41SLSP_NETWORK?version=1.2&amp;operation=searchRetrieve&amp;recordSchema=marcxml&amp;query=alma.authority_id=057093474&amp;maximumRecords=0</t>
  </si>
  <si>
    <t>https://swisscovery.slsp.ch/view/sru/41SLSP_VGE?version=1.2&amp;operation=searchRetrieve&amp;recordSchema=marcxml&amp;query=alma.authority_id=057093474&amp;maximumRecords=0</t>
  </si>
  <si>
    <t>260069841</t>
  </si>
  <si>
    <t>https://swisscovery.slsp.ch/view/sru/41SLSP_NETWORK?version=1.2&amp;operation=searchRetrieve&amp;recordSchema=marcxml&amp;query=alma.authority_id=260069841&amp;maximumRecords=0</t>
  </si>
  <si>
    <t>https://swisscovery.slsp.ch/view/sru/41SLSP_VGE?version=1.2&amp;operation=searchRetrieve&amp;recordSchema=marcxml&amp;query=alma.authority_id=260069841&amp;maximumRecords=0</t>
  </si>
  <si>
    <t>166412457</t>
  </si>
  <si>
    <t>https://swisscovery.slsp.ch/view/sru/41SLSP_NETWORK?version=1.2&amp;operation=searchRetrieve&amp;recordSchema=marcxml&amp;query=alma.authority_id=166412457&amp;maximumRecords=0</t>
  </si>
  <si>
    <t>https://swisscovery.slsp.ch/view/sru/41SLSP_VGE?version=1.2&amp;operation=searchRetrieve&amp;recordSchema=marcxml&amp;query=alma.authority_id=166412457&amp;maximumRecords=0</t>
  </si>
  <si>
    <t>260338958</t>
  </si>
  <si>
    <t>https://swisscovery.slsp.ch/view/sru/41SLSP_NETWORK?version=1.2&amp;operation=searchRetrieve&amp;recordSchema=marcxml&amp;query=alma.authority_id=260338958&amp;maximumRecords=0</t>
  </si>
  <si>
    <t>https://swisscovery.slsp.ch/view/sru/41SLSP_VGE?version=1.2&amp;operation=searchRetrieve&amp;recordSchema=marcxml&amp;query=alma.authority_id=260338958&amp;maximumRecords=0</t>
  </si>
  <si>
    <t>259958549</t>
  </si>
  <si>
    <t>https://swisscovery.slsp.ch/view/sru/41SLSP_NETWORK?version=1.2&amp;operation=searchRetrieve&amp;recordSchema=marcxml&amp;query=alma.authority_id=259958549&amp;maximumRecords=0</t>
  </si>
  <si>
    <t>https://swisscovery.slsp.ch/view/sru/41SLSP_VGE?version=1.2&amp;operation=searchRetrieve&amp;recordSchema=marcxml&amp;query=alma.authority_id=259958549&amp;maximumRecords=0</t>
  </si>
  <si>
    <t>258592001</t>
  </si>
  <si>
    <t>https://swisscovery.slsp.ch/view/sru/41SLSP_NETWORK?version=1.2&amp;operation=searchRetrieve&amp;recordSchema=marcxml&amp;query=alma.authority_id=258592001&amp;maximumRecords=0</t>
  </si>
  <si>
    <t>https://swisscovery.slsp.ch/view/sru/41SLSP_VGE?version=1.2&amp;operation=searchRetrieve&amp;recordSchema=marcxml&amp;query=alma.authority_id=258592001&amp;maximumRecords=0</t>
  </si>
  <si>
    <t>260506141</t>
  </si>
  <si>
    <t>https://swisscovery.slsp.ch/view/sru/41SLSP_NETWORK?version=1.2&amp;operation=searchRetrieve&amp;recordSchema=marcxml&amp;query=alma.authority_id=260506141&amp;maximumRecords=0</t>
  </si>
  <si>
    <t>https://swisscovery.slsp.ch/view/sru/41SLSP_VGE?version=1.2&amp;operation=searchRetrieve&amp;recordSchema=marcxml&amp;query=alma.authority_id=260506141&amp;maximumRecords=0</t>
  </si>
  <si>
    <t>277548160</t>
  </si>
  <si>
    <t>https://swisscovery.slsp.ch/view/sru/41SLSP_NETWORK?version=1.2&amp;operation=searchRetrieve&amp;recordSchema=marcxml&amp;query=alma.authority_id=277548160&amp;maximumRecords=0</t>
  </si>
  <si>
    <t>https://swisscovery.slsp.ch/view/sru/41SLSP_VGE?version=1.2&amp;operation=searchRetrieve&amp;recordSchema=marcxml&amp;query=alma.authority_id=277548160&amp;maximumRecords=0</t>
  </si>
  <si>
    <t>027066258</t>
  </si>
  <si>
    <t>https://swisscovery.slsp.ch/view/sru/41SLSP_NETWORK?version=1.2&amp;operation=searchRetrieve&amp;recordSchema=marcxml&amp;query=alma.authority_id=027066258&amp;maximumRecords=0</t>
  </si>
  <si>
    <t>https://swisscovery.slsp.ch/view/sru/41SLSP_VGE?version=1.2&amp;operation=searchRetrieve&amp;recordSchema=marcxml&amp;query=alma.authority_id=027066258&amp;maximumRecords=0</t>
  </si>
  <si>
    <t>088991369</t>
  </si>
  <si>
    <t>https://swisscovery.slsp.ch/view/sru/41SLSP_NETWORK?version=1.2&amp;operation=searchRetrieve&amp;recordSchema=marcxml&amp;query=alma.authority_id=088991369&amp;maximumRecords=0</t>
  </si>
  <si>
    <t>https://swisscovery.slsp.ch/view/sru/41SLSP_VGE?version=1.2&amp;operation=searchRetrieve&amp;recordSchema=marcxml&amp;query=alma.authority_id=088991369&amp;maximumRecords=0</t>
  </si>
  <si>
    <t>275324397</t>
  </si>
  <si>
    <t>https://swisscovery.slsp.ch/view/sru/41SLSP_NETWORK?version=1.2&amp;operation=searchRetrieve&amp;recordSchema=marcxml&amp;query=alma.authority_id=275324397&amp;maximumRecords=0</t>
  </si>
  <si>
    <t>https://swisscovery.slsp.ch/view/sru/41SLSP_VGE?version=1.2&amp;operation=searchRetrieve&amp;recordSchema=marcxml&amp;query=alma.authority_id=275324397&amp;maximumRecords=0</t>
  </si>
  <si>
    <t>27534018X</t>
  </si>
  <si>
    <t>https://swisscovery.slsp.ch/view/sru/41SLSP_NETWORK?version=1.2&amp;operation=searchRetrieve&amp;recordSchema=marcxml&amp;query=alma.authority_id=27534018X&amp;maximumRecords=0</t>
  </si>
  <si>
    <t>https://swisscovery.slsp.ch/view/sru/41SLSP_VGE?version=1.2&amp;operation=searchRetrieve&amp;recordSchema=marcxml&amp;query=alma.authority_id=27534018X&amp;maximumRecords=0</t>
  </si>
  <si>
    <t>278500153</t>
  </si>
  <si>
    <t>https://swisscovery.slsp.ch/view/sru/41SLSP_NETWORK?version=1.2&amp;operation=searchRetrieve&amp;recordSchema=marcxml&amp;query=alma.authority_id=278500153&amp;maximumRecords=0</t>
  </si>
  <si>
    <t>https://swisscovery.slsp.ch/view/sru/41SLSP_VGE?version=1.2&amp;operation=searchRetrieve&amp;recordSchema=marcxml&amp;query=alma.authority_id=278500153&amp;maximumRecords=0</t>
  </si>
  <si>
    <t>260077062</t>
  </si>
  <si>
    <t>https://swisscovery.slsp.ch/view/sru/41SLSP_NETWORK?version=1.2&amp;operation=searchRetrieve&amp;recordSchema=marcxml&amp;query=alma.authority_id=260077062&amp;maximumRecords=0</t>
  </si>
  <si>
    <t>https://swisscovery.slsp.ch/view/sru/41SLSP_VGE?version=1.2&amp;operation=searchRetrieve&amp;recordSchema=marcxml&amp;query=alma.authority_id=260077062&amp;maximumRecords=0</t>
  </si>
  <si>
    <t>27583896X</t>
  </si>
  <si>
    <t>https://swisscovery.slsp.ch/view/sru/41SLSP_NETWORK?version=1.2&amp;operation=searchRetrieve&amp;recordSchema=marcxml&amp;query=alma.authority_id=27583896X&amp;maximumRecords=0</t>
  </si>
  <si>
    <t>https://swisscovery.slsp.ch/view/sru/41SLSP_VGE?version=1.2&amp;operation=searchRetrieve&amp;recordSchema=marcxml&amp;query=alma.authority_id=27583896X&amp;maximumRecords=0</t>
  </si>
  <si>
    <t>262746972</t>
  </si>
  <si>
    <t>https://swisscovery.slsp.ch/view/sru/41SLSP_NETWORK?version=1.2&amp;operation=searchRetrieve&amp;recordSchema=marcxml&amp;query=alma.authority_id=262746972&amp;maximumRecords=0</t>
  </si>
  <si>
    <t>https://swisscovery.slsp.ch/view/sru/41SLSP_VGE?version=1.2&amp;operation=searchRetrieve&amp;recordSchema=marcxml&amp;query=alma.authority_id=262746972&amp;maximumRecords=0</t>
  </si>
  <si>
    <t>277571251</t>
  </si>
  <si>
    <t>https://swisscovery.slsp.ch/view/sru/41SLSP_NETWORK?version=1.2&amp;operation=searchRetrieve&amp;recordSchema=marcxml&amp;query=alma.authority_id=277571251&amp;maximumRecords=0</t>
  </si>
  <si>
    <t>https://swisscovery.slsp.ch/view/sru/41SLSP_VGE?version=1.2&amp;operation=searchRetrieve&amp;recordSchema=marcxml&amp;query=alma.authority_id=277571251&amp;maximumRecords=0</t>
  </si>
  <si>
    <t>257971238</t>
  </si>
  <si>
    <t>https://swisscovery.slsp.ch/view/sru/41SLSP_NETWORK?version=1.2&amp;operation=searchRetrieve&amp;recordSchema=marcxml&amp;query=alma.authority_id=257971238&amp;maximumRecords=0</t>
  </si>
  <si>
    <t>https://swisscovery.slsp.ch/view/sru/41SLSP_VGE?version=1.2&amp;operation=searchRetrieve&amp;recordSchema=marcxml&amp;query=alma.authority_id=257971238&amp;maximumRecords=0</t>
  </si>
  <si>
    <t>278920705</t>
  </si>
  <si>
    <t>https://swisscovery.slsp.ch/view/sru/41SLSP_NETWORK?version=1.2&amp;operation=searchRetrieve&amp;recordSchema=marcxml&amp;query=alma.authority_id=278920705&amp;maximumRecords=0</t>
  </si>
  <si>
    <t>https://swisscovery.slsp.ch/view/sru/41SLSP_VGE?version=1.2&amp;operation=searchRetrieve&amp;recordSchema=marcxml&amp;query=alma.authority_id=278920705&amp;maximumRecords=0</t>
  </si>
  <si>
    <t>26482380X</t>
  </si>
  <si>
    <t>https://swisscovery.slsp.ch/view/sru/41SLSP_NETWORK?version=1.2&amp;operation=searchRetrieve&amp;recordSchema=marcxml&amp;query=alma.authority_id=26482380X&amp;maximumRecords=0</t>
  </si>
  <si>
    <t>https://swisscovery.slsp.ch/view/sru/41SLSP_VGE?version=1.2&amp;operation=searchRetrieve&amp;recordSchema=marcxml&amp;query=alma.authority_id=26482380X&amp;maximumRecords=0</t>
  </si>
  <si>
    <t>275601854</t>
  </si>
  <si>
    <t>https://swisscovery.slsp.ch/view/sru/41SLSP_NETWORK?version=1.2&amp;operation=searchRetrieve&amp;recordSchema=marcxml&amp;query=alma.authority_id=275601854&amp;maximumRecords=0</t>
  </si>
  <si>
    <t>https://swisscovery.slsp.ch/view/sru/41SLSP_VGE?version=1.2&amp;operation=searchRetrieve&amp;recordSchema=marcxml&amp;query=alma.authority_id=275601854&amp;maximumRecords=0</t>
  </si>
  <si>
    <t>255888708</t>
  </si>
  <si>
    <t>https://swisscovery.slsp.ch/view/sru/41SLSP_NETWORK?version=1.2&amp;operation=searchRetrieve&amp;recordSchema=marcxml&amp;query=alma.authority_id=255888708&amp;maximumRecords=0</t>
  </si>
  <si>
    <t>https://swisscovery.slsp.ch/view/sru/41SLSP_VGE?version=1.2&amp;operation=searchRetrieve&amp;recordSchema=marcxml&amp;query=alma.authority_id=255888708&amp;maximumRecords=0</t>
  </si>
  <si>
    <t>02703495X</t>
  </si>
  <si>
    <t>https://swisscovery.slsp.ch/view/sru/41SLSP_NETWORK?version=1.2&amp;operation=searchRetrieve&amp;recordSchema=marcxml&amp;query=alma.authority_id=02703495X&amp;maximumRecords=0</t>
  </si>
  <si>
    <t>https://swisscovery.slsp.ch/view/sru/41SLSP_VGE?version=1.2&amp;operation=searchRetrieve&amp;recordSchema=marcxml&amp;query=alma.authority_id=02703495X&amp;maximumRecords=0</t>
  </si>
  <si>
    <t>275824063</t>
  </si>
  <si>
    <t>https://swisscovery.slsp.ch/view/sru/41SLSP_NETWORK?version=1.2&amp;operation=searchRetrieve&amp;recordSchema=marcxml&amp;query=alma.authority_id=275824063&amp;maximumRecords=0</t>
  </si>
  <si>
    <t>https://swisscovery.slsp.ch/view/sru/41SLSP_VGE?version=1.2&amp;operation=searchRetrieve&amp;recordSchema=marcxml&amp;query=alma.authority_id=275824063&amp;maximumRecords=0</t>
  </si>
  <si>
    <t>275824225</t>
  </si>
  <si>
    <t>https://swisscovery.slsp.ch/view/sru/41SLSP_NETWORK?version=1.2&amp;operation=searchRetrieve&amp;recordSchema=marcxml&amp;query=alma.authority_id=275824225&amp;maximumRecords=0</t>
  </si>
  <si>
    <t>https://swisscovery.slsp.ch/view/sru/41SLSP_VGE?version=1.2&amp;operation=searchRetrieve&amp;recordSchema=marcxml&amp;query=alma.authority_id=275824225&amp;maximumRecords=0</t>
  </si>
  <si>
    <t>279371144</t>
  </si>
  <si>
    <t>https://swisscovery.slsp.ch/view/sru/41SLSP_NETWORK?version=1.2&amp;operation=searchRetrieve&amp;recordSchema=marcxml&amp;query=alma.authority_id=279371144&amp;maximumRecords=0</t>
  </si>
  <si>
    <t>https://swisscovery.slsp.ch/view/sru/41SLSP_VGE?version=1.2&amp;operation=searchRetrieve&amp;recordSchema=marcxml&amp;query=alma.authority_id=279371144&amp;maximumRecords=0</t>
  </si>
  <si>
    <t>256115052</t>
  </si>
  <si>
    <t>https://swisscovery.slsp.ch/view/sru/41SLSP_NETWORK?version=1.2&amp;operation=searchRetrieve&amp;recordSchema=marcxml&amp;query=alma.authority_id=256115052&amp;maximumRecords=0</t>
  </si>
  <si>
    <t>https://swisscovery.slsp.ch/view/sru/41SLSP_VGE?version=1.2&amp;operation=searchRetrieve&amp;recordSchema=marcxml&amp;query=alma.authority_id=256115052&amp;maximumRecords=0</t>
  </si>
  <si>
    <t>27596874X</t>
  </si>
  <si>
    <t>https://swisscovery.slsp.ch/view/sru/41SLSP_NETWORK?version=1.2&amp;operation=searchRetrieve&amp;recordSchema=marcxml&amp;query=alma.authority_id=27596874X&amp;maximumRecords=0</t>
  </si>
  <si>
    <t>https://swisscovery.slsp.ch/view/sru/41SLSP_VGE?version=1.2&amp;operation=searchRetrieve&amp;recordSchema=marcxml&amp;query=alma.authority_id=27596874X&amp;maximumRecords=0</t>
  </si>
  <si>
    <t>257528792</t>
  </si>
  <si>
    <t>https://swisscovery.slsp.ch/view/sru/41SLSP_NETWORK?version=1.2&amp;operation=searchRetrieve&amp;recordSchema=marcxml&amp;query=alma.authority_id=257528792&amp;maximumRecords=0</t>
  </si>
  <si>
    <t>https://swisscovery.slsp.ch/view/sru/41SLSP_VGE?version=1.2&amp;operation=searchRetrieve&amp;recordSchema=marcxml&amp;query=alma.authority_id=257528792&amp;maximumRecords=0</t>
  </si>
  <si>
    <t>25798058X</t>
  </si>
  <si>
    <t>https://swisscovery.slsp.ch/view/sru/41SLSP_NETWORK?version=1.2&amp;operation=searchRetrieve&amp;recordSchema=marcxml&amp;query=alma.authority_id=25798058X&amp;maximumRecords=0</t>
  </si>
  <si>
    <t>https://swisscovery.slsp.ch/view/sru/41SLSP_VGE?version=1.2&amp;operation=searchRetrieve&amp;recordSchema=marcxml&amp;query=alma.authority_id=25798058X&amp;maximumRecords=0</t>
  </si>
  <si>
    <t>25845038X</t>
  </si>
  <si>
    <t>https://swisscovery.slsp.ch/view/sru/41SLSP_NETWORK?version=1.2&amp;operation=searchRetrieve&amp;recordSchema=marcxml&amp;query=alma.authority_id=25845038X&amp;maximumRecords=0</t>
  </si>
  <si>
    <t>https://swisscovery.slsp.ch/view/sru/41SLSP_VGE?version=1.2&amp;operation=searchRetrieve&amp;recordSchema=marcxml&amp;query=alma.authority_id=25845038X&amp;maximumRecords=0</t>
  </si>
  <si>
    <t>256791805</t>
  </si>
  <si>
    <t>https://swisscovery.slsp.ch/view/sru/41SLSP_NETWORK?version=1.2&amp;operation=searchRetrieve&amp;recordSchema=marcxml&amp;query=alma.authority_id=256791805&amp;maximumRecords=0</t>
  </si>
  <si>
    <t>https://swisscovery.slsp.ch/view/sru/41SLSP_VGE?version=1.2&amp;operation=searchRetrieve&amp;recordSchema=marcxml&amp;query=alma.authority_id=256791805&amp;maximumRecords=0</t>
  </si>
  <si>
    <t>276039521</t>
  </si>
  <si>
    <t>https://swisscovery.slsp.ch/view/sru/41SLSP_NETWORK?version=1.2&amp;operation=searchRetrieve&amp;recordSchema=marcxml&amp;query=alma.authority_id=276039521&amp;maximumRecords=0</t>
  </si>
  <si>
    <t>https://swisscovery.slsp.ch/view/sru/41SLSP_VGE?version=1.2&amp;operation=searchRetrieve&amp;recordSchema=marcxml&amp;query=alma.authority_id=276039521&amp;maximumRecords=0</t>
  </si>
  <si>
    <t>27604195X</t>
  </si>
  <si>
    <t>https://swisscovery.slsp.ch/view/sru/41SLSP_NETWORK?version=1.2&amp;operation=searchRetrieve&amp;recordSchema=marcxml&amp;query=alma.authority_id=27604195X&amp;maximumRecords=0</t>
  </si>
  <si>
    <t>https://swisscovery.slsp.ch/view/sru/41SLSP_VGE?version=1.2&amp;operation=searchRetrieve&amp;recordSchema=marcxml&amp;query=alma.authority_id=27604195X&amp;maximumRecords=0</t>
  </si>
  <si>
    <t>276090209</t>
  </si>
  <si>
    <t>https://swisscovery.slsp.ch/view/sru/41SLSP_NETWORK?version=1.2&amp;operation=searchRetrieve&amp;recordSchema=marcxml&amp;query=alma.authority_id=276090209&amp;maximumRecords=0</t>
  </si>
  <si>
    <t>https://swisscovery.slsp.ch/view/sru/41SLSP_VGE?version=1.2&amp;operation=searchRetrieve&amp;recordSchema=marcxml&amp;query=alma.authority_id=276090209&amp;maximumRecords=0</t>
  </si>
  <si>
    <t>260344850</t>
  </si>
  <si>
    <t>https://swisscovery.slsp.ch/view/sru/41SLSP_NETWORK?version=1.2&amp;operation=searchRetrieve&amp;recordSchema=marcxml&amp;query=alma.authority_id=260344850&amp;maximumRecords=0</t>
  </si>
  <si>
    <t>https://swisscovery.slsp.ch/view/sru/41SLSP_VGE?version=1.2&amp;operation=searchRetrieve&amp;recordSchema=marcxml&amp;query=alma.authority_id=260344850&amp;maximumRecords=0</t>
  </si>
  <si>
    <t>276105680</t>
  </si>
  <si>
    <t>https://swisscovery.slsp.ch/view/sru/41SLSP_NETWORK?version=1.2&amp;operation=searchRetrieve&amp;recordSchema=marcxml&amp;query=alma.authority_id=276105680&amp;maximumRecords=0</t>
  </si>
  <si>
    <t>https://swisscovery.slsp.ch/view/sru/41SLSP_VGE?version=1.2&amp;operation=searchRetrieve&amp;recordSchema=marcxml&amp;query=alma.authority_id=276105680&amp;maximumRecords=0</t>
  </si>
  <si>
    <t>260377783</t>
  </si>
  <si>
    <t>https://swisscovery.slsp.ch/view/sru/41SLSP_NETWORK?version=1.2&amp;operation=searchRetrieve&amp;recordSchema=marcxml&amp;query=alma.authority_id=260377783&amp;maximumRecords=0</t>
  </si>
  <si>
    <t>https://swisscovery.slsp.ch/view/sru/41SLSP_VGE?version=1.2&amp;operation=searchRetrieve&amp;recordSchema=marcxml&amp;query=alma.authority_id=260377783&amp;maximumRecords=0</t>
  </si>
  <si>
    <t>256811911</t>
  </si>
  <si>
    <t>https://swisscovery.slsp.ch/view/sru/41SLSP_NETWORK?version=1.2&amp;operation=searchRetrieve&amp;recordSchema=marcxml&amp;query=alma.authority_id=256811911&amp;maximumRecords=0</t>
  </si>
  <si>
    <t>https://swisscovery.slsp.ch/view/sru/41SLSP_VGE?version=1.2&amp;operation=searchRetrieve&amp;recordSchema=marcxml&amp;query=alma.authority_id=256811911&amp;maximumRecords=0</t>
  </si>
  <si>
    <t>261270087</t>
  </si>
  <si>
    <t>https://swisscovery.slsp.ch/view/sru/41SLSP_NETWORK?version=1.2&amp;operation=searchRetrieve&amp;recordSchema=marcxml&amp;query=alma.authority_id=261270087&amp;maximumRecords=0</t>
  </si>
  <si>
    <t>https://swisscovery.slsp.ch/view/sru/41SLSP_VGE?version=1.2&amp;operation=searchRetrieve&amp;recordSchema=marcxml&amp;query=alma.authority_id=261270087&amp;maximumRecords=0</t>
  </si>
  <si>
    <t>258092742</t>
  </si>
  <si>
    <t>https://swisscovery.slsp.ch/view/sru/41SLSP_NETWORK?version=1.2&amp;operation=searchRetrieve&amp;recordSchema=marcxml&amp;query=alma.authority_id=258092742&amp;maximumRecords=0</t>
  </si>
  <si>
    <t>https://swisscovery.slsp.ch/view/sru/41SLSP_VGE?version=1.2&amp;operation=searchRetrieve&amp;recordSchema=marcxml&amp;query=alma.authority_id=258092742&amp;maximumRecords=0</t>
  </si>
  <si>
    <t>260336149</t>
  </si>
  <si>
    <t>https://swisscovery.slsp.ch/view/sru/41SLSP_NETWORK?version=1.2&amp;operation=searchRetrieve&amp;recordSchema=marcxml&amp;query=alma.authority_id=260336149&amp;maximumRecords=0</t>
  </si>
  <si>
    <t>https://swisscovery.slsp.ch/view/sru/41SLSP_VGE?version=1.2&amp;operation=searchRetrieve&amp;recordSchema=marcxml&amp;query=alma.authority_id=260336149&amp;maximumRecords=0</t>
  </si>
  <si>
    <t>271683406</t>
  </si>
  <si>
    <t>https://swisscovery.slsp.ch/view/sru/41SLSP_NETWORK?version=1.2&amp;operation=searchRetrieve&amp;recordSchema=marcxml&amp;query=alma.authority_id=271683406&amp;maximumRecords=0</t>
  </si>
  <si>
    <t>https://swisscovery.slsp.ch/view/sru/41SLSP_VGE?version=1.2&amp;operation=searchRetrieve&amp;recordSchema=marcxml&amp;query=alma.authority_id=271683406&amp;maximumRecords=0</t>
  </si>
  <si>
    <t>271943122</t>
  </si>
  <si>
    <t>https://swisscovery.slsp.ch/view/sru/41SLSP_NETWORK?version=1.2&amp;operation=searchRetrieve&amp;recordSchema=marcxml&amp;query=alma.authority_id=271943122&amp;maximumRecords=0</t>
  </si>
  <si>
    <t>https://swisscovery.slsp.ch/view/sru/41SLSP_VGE?version=1.2&amp;operation=searchRetrieve&amp;recordSchema=marcxml&amp;query=alma.authority_id=271943122&amp;maximumRecords=0</t>
  </si>
  <si>
    <t>257614524</t>
  </si>
  <si>
    <t>https://swisscovery.slsp.ch/view/sru/41SLSP_NETWORK?version=1.2&amp;operation=searchRetrieve&amp;recordSchema=marcxml&amp;query=alma.authority_id=257614524&amp;maximumRecords=0</t>
  </si>
  <si>
    <t>https://swisscovery.slsp.ch/view/sru/41SLSP_VGE?version=1.2&amp;operation=searchRetrieve&amp;recordSchema=marcxml&amp;query=alma.authority_id=257614524&amp;maximumRecords=0</t>
  </si>
  <si>
    <t>257747567</t>
  </si>
  <si>
    <t>https://swisscovery.slsp.ch/view/sru/41SLSP_NETWORK?version=1.2&amp;operation=searchRetrieve&amp;recordSchema=marcxml&amp;query=alma.authority_id=257747567&amp;maximumRecords=0</t>
  </si>
  <si>
    <t>https://swisscovery.slsp.ch/view/sru/41SLSP_VGE?version=1.2&amp;operation=searchRetrieve&amp;recordSchema=marcxml&amp;query=alma.authority_id=257747567&amp;maximumRecords=0</t>
  </si>
  <si>
    <t>271941596</t>
  </si>
  <si>
    <t>https://swisscovery.slsp.ch/view/sru/41SLSP_NETWORK?version=1.2&amp;operation=searchRetrieve&amp;recordSchema=marcxml&amp;query=alma.authority_id=271941596&amp;maximumRecords=0</t>
  </si>
  <si>
    <t>https://swisscovery.slsp.ch/view/sru/41SLSP_VGE?version=1.2&amp;operation=searchRetrieve&amp;recordSchema=marcxml&amp;query=alma.authority_id=271941596&amp;maximumRecords=0</t>
  </si>
  <si>
    <t>263840921</t>
  </si>
  <si>
    <t>https://swisscovery.slsp.ch/view/sru/41SLSP_NETWORK?version=1.2&amp;operation=searchRetrieve&amp;recordSchema=marcxml&amp;query=alma.authority_id=263840921&amp;maximumRecords=0</t>
  </si>
  <si>
    <t>https://swisscovery.slsp.ch/view/sru/41SLSP_VGE?version=1.2&amp;operation=searchRetrieve&amp;recordSchema=marcxml&amp;query=alma.authority_id=263840921&amp;maximumRecords=0</t>
  </si>
  <si>
    <t>261413708</t>
  </si>
  <si>
    <t>https://swisscovery.slsp.ch/view/sru/41SLSP_NETWORK?version=1.2&amp;operation=searchRetrieve&amp;recordSchema=marcxml&amp;query=alma.authority_id=261413708&amp;maximumRecords=0</t>
  </si>
  <si>
    <t>https://swisscovery.slsp.ch/view/sru/41SLSP_VGE?version=1.2&amp;operation=searchRetrieve&amp;recordSchema=marcxml&amp;query=alma.authority_id=261413708&amp;maximumRecords=0</t>
  </si>
  <si>
    <t>163264139</t>
  </si>
  <si>
    <t>https://swisscovery.slsp.ch/view/sru/41SLSP_NETWORK?version=1.2&amp;operation=searchRetrieve&amp;recordSchema=marcxml&amp;query=alma.authority_id=163264139&amp;maximumRecords=0</t>
  </si>
  <si>
    <t>https://swisscovery.slsp.ch/view/sru/41SLSP_VGE?version=1.2&amp;operation=searchRetrieve&amp;recordSchema=marcxml&amp;query=alma.authority_id=163264139&amp;maximumRecords=0</t>
  </si>
  <si>
    <t>275097412</t>
  </si>
  <si>
    <t>https://swisscovery.slsp.ch/view/sru/41SLSP_NETWORK?version=1.2&amp;operation=searchRetrieve&amp;recordSchema=marcxml&amp;query=alma.authority_id=275097412&amp;maximumRecords=0</t>
  </si>
  <si>
    <t>https://swisscovery.slsp.ch/view/sru/41SLSP_VGE?version=1.2&amp;operation=searchRetrieve&amp;recordSchema=marcxml&amp;query=alma.authority_id=275097412&amp;maximumRecords=0</t>
  </si>
  <si>
    <t>25871364X</t>
  </si>
  <si>
    <t>https://swisscovery.slsp.ch/view/sru/41SLSP_NETWORK?version=1.2&amp;operation=searchRetrieve&amp;recordSchema=marcxml&amp;query=alma.authority_id=25871364X&amp;maximumRecords=0</t>
  </si>
  <si>
    <t>https://swisscovery.slsp.ch/view/sru/41SLSP_VGE?version=1.2&amp;operation=searchRetrieve&amp;recordSchema=marcxml&amp;query=alma.authority_id=25871364X&amp;maximumRecords=0</t>
  </si>
  <si>
    <t>275154602</t>
  </si>
  <si>
    <t>https://swisscovery.slsp.ch/view/sru/41SLSP_NETWORK?version=1.2&amp;operation=searchRetrieve&amp;recordSchema=marcxml&amp;query=alma.authority_id=275154602&amp;maximumRecords=0</t>
  </si>
  <si>
    <t>https://swisscovery.slsp.ch/view/sru/41SLSP_VGE?version=1.2&amp;operation=searchRetrieve&amp;recordSchema=marcxml&amp;query=alma.authority_id=275154602&amp;maximumRecords=0</t>
  </si>
  <si>
    <t>268491518</t>
  </si>
  <si>
    <t>https://swisscovery.slsp.ch/view/sru/41SLSP_NETWORK?version=1.2&amp;operation=searchRetrieve&amp;recordSchema=marcxml&amp;query=alma.authority_id=268491518&amp;maximumRecords=0</t>
  </si>
  <si>
    <t>https://swisscovery.slsp.ch/view/sru/41SLSP_VGE?version=1.2&amp;operation=searchRetrieve&amp;recordSchema=marcxml&amp;query=alma.authority_id=268491518&amp;maximumRecords=0</t>
  </si>
  <si>
    <t>256511810</t>
  </si>
  <si>
    <t>https://swisscovery.slsp.ch/view/sru/41SLSP_NETWORK?version=1.2&amp;operation=searchRetrieve&amp;recordSchema=marcxml&amp;query=alma.authority_id=256511810&amp;maximumRecords=0</t>
  </si>
  <si>
    <t>https://swisscovery.slsp.ch/view/sru/41SLSP_VGE?version=1.2&amp;operation=searchRetrieve&amp;recordSchema=marcxml&amp;query=alma.authority_id=256511810&amp;maximumRecords=0</t>
  </si>
  <si>
    <t>203878833</t>
  </si>
  <si>
    <t>https://swisscovery.slsp.ch/view/sru/41SLSP_NETWORK?version=1.2&amp;operation=searchRetrieve&amp;recordSchema=marcxml&amp;query=alma.authority_id=203878833&amp;maximumRecords=0</t>
  </si>
  <si>
    <t>https://swisscovery.slsp.ch/view/sru/41SLSP_VGE?version=1.2&amp;operation=searchRetrieve&amp;recordSchema=marcxml&amp;query=alma.authority_id=203878833&amp;maximumRecords=0</t>
  </si>
  <si>
    <t>100956769</t>
  </si>
  <si>
    <t>https://swisscovery.slsp.ch/view/sru/41SLSP_NETWORK?version=1.2&amp;operation=searchRetrieve&amp;recordSchema=marcxml&amp;query=alma.authority_id=100956769&amp;maximumRecords=0</t>
  </si>
  <si>
    <t>https://swisscovery.slsp.ch/view/sru/41SLSP_VGE?version=1.2&amp;operation=searchRetrieve&amp;recordSchema=marcxml&amp;query=alma.authority_id=100956769&amp;maximumRecords=0</t>
  </si>
  <si>
    <t>25691091X</t>
  </si>
  <si>
    <t>https://swisscovery.slsp.ch/view/sru/41SLSP_NETWORK?version=1.2&amp;operation=searchRetrieve&amp;recordSchema=marcxml&amp;query=alma.authority_id=25691091X&amp;maximumRecords=0</t>
  </si>
  <si>
    <t>https://swisscovery.slsp.ch/view/sru/41SLSP_VGE?version=1.2&amp;operation=searchRetrieve&amp;recordSchema=marcxml&amp;query=alma.authority_id=25691091X&amp;maximumRecords=0</t>
  </si>
  <si>
    <t>262842807</t>
  </si>
  <si>
    <t>https://swisscovery.slsp.ch/view/sru/41SLSP_NETWORK?version=1.2&amp;operation=searchRetrieve&amp;recordSchema=marcxml&amp;query=alma.authority_id=262842807&amp;maximumRecords=0</t>
  </si>
  <si>
    <t>https://swisscovery.slsp.ch/view/sru/41SLSP_VGE?version=1.2&amp;operation=searchRetrieve&amp;recordSchema=marcxml&amp;query=alma.authority_id=262842807&amp;maximumRecords=0</t>
  </si>
  <si>
    <t>266371396</t>
  </si>
  <si>
    <t>https://swisscovery.slsp.ch/view/sru/41SLSP_NETWORK?version=1.2&amp;operation=searchRetrieve&amp;recordSchema=marcxml&amp;query=alma.authority_id=266371396&amp;maximumRecords=0</t>
  </si>
  <si>
    <t>https://swisscovery.slsp.ch/view/sru/41SLSP_VGE?version=1.2&amp;operation=searchRetrieve&amp;recordSchema=marcxml&amp;query=alma.authority_id=266371396&amp;maximumRecords=0</t>
  </si>
  <si>
    <t>25678700X</t>
  </si>
  <si>
    <t>https://swisscovery.slsp.ch/view/sru/41SLSP_NETWORK?version=1.2&amp;operation=searchRetrieve&amp;recordSchema=marcxml&amp;query=alma.authority_id=25678700X&amp;maximumRecords=0</t>
  </si>
  <si>
    <t>https://swisscovery.slsp.ch/view/sru/41SLSP_VGE?version=1.2&amp;operation=searchRetrieve&amp;recordSchema=marcxml&amp;query=alma.authority_id=25678700X&amp;maximumRecords=0</t>
  </si>
  <si>
    <t>272664057</t>
  </si>
  <si>
    <t>https://swisscovery.slsp.ch/view/sru/41SLSP_NETWORK?version=1.2&amp;operation=searchRetrieve&amp;recordSchema=marcxml&amp;query=alma.authority_id=272664057&amp;maximumRecords=0</t>
  </si>
  <si>
    <t>https://swisscovery.slsp.ch/view/sru/41SLSP_VGE?version=1.2&amp;operation=searchRetrieve&amp;recordSchema=marcxml&amp;query=alma.authority_id=272664057&amp;maximumRecords=0</t>
  </si>
  <si>
    <t>251251829</t>
  </si>
  <si>
    <t>https://swisscovery.slsp.ch/view/sru/41SLSP_NETWORK?version=1.2&amp;operation=searchRetrieve&amp;recordSchema=marcxml&amp;query=alma.authority_id=251251829&amp;maximumRecords=0</t>
  </si>
  <si>
    <t>https://swisscovery.slsp.ch/view/sru/41SLSP_VGE?version=1.2&amp;operation=searchRetrieve&amp;recordSchema=marcxml&amp;query=alma.authority_id=251251829&amp;maximumRecords=0</t>
  </si>
  <si>
    <t>263471977</t>
  </si>
  <si>
    <t>https://swisscovery.slsp.ch/view/sru/41SLSP_NETWORK?version=1.2&amp;operation=searchRetrieve&amp;recordSchema=marcxml&amp;query=alma.authority_id=263471977&amp;maximumRecords=0</t>
  </si>
  <si>
    <t>https://swisscovery.slsp.ch/view/sru/41SLSP_VGE?version=1.2&amp;operation=searchRetrieve&amp;recordSchema=marcxml&amp;query=alma.authority_id=263471977&amp;maximumRecords=0</t>
  </si>
  <si>
    <t>276928334</t>
  </si>
  <si>
    <t>https://swisscovery.slsp.ch/view/sru/41SLSP_NETWORK?version=1.2&amp;operation=searchRetrieve&amp;recordSchema=marcxml&amp;query=alma.authority_id=276928334&amp;maximumRecords=0</t>
  </si>
  <si>
    <t>https://swisscovery.slsp.ch/view/sru/41SLSP_VGE?version=1.2&amp;operation=searchRetrieve&amp;recordSchema=marcxml&amp;query=alma.authority_id=276928334&amp;maximumRecords=0</t>
  </si>
  <si>
    <t>256039666</t>
  </si>
  <si>
    <t>https://swisscovery.slsp.ch/view/sru/41SLSP_NETWORK?version=1.2&amp;operation=searchRetrieve&amp;recordSchema=marcxml&amp;query=alma.authority_id=256039666&amp;maximumRecords=0</t>
  </si>
  <si>
    <t>https://swisscovery.slsp.ch/view/sru/41SLSP_VGE?version=1.2&amp;operation=searchRetrieve&amp;recordSchema=marcxml&amp;query=alma.authority_id=256039666&amp;maximumRecords=0</t>
  </si>
  <si>
    <t>260338281</t>
  </si>
  <si>
    <t>https://swisscovery.slsp.ch/view/sru/41SLSP_NETWORK?version=1.2&amp;operation=searchRetrieve&amp;recordSchema=marcxml&amp;query=alma.authority_id=260338281&amp;maximumRecords=0</t>
  </si>
  <si>
    <t>https://swisscovery.slsp.ch/view/sru/41SLSP_VGE?version=1.2&amp;operation=searchRetrieve&amp;recordSchema=marcxml&amp;query=alma.authority_id=260338281&amp;maximumRecords=0</t>
  </si>
  <si>
    <t>265236452</t>
  </si>
  <si>
    <t>https://swisscovery.slsp.ch/view/sru/41SLSP_NETWORK?version=1.2&amp;operation=searchRetrieve&amp;recordSchema=marcxml&amp;query=alma.authority_id=265236452&amp;maximumRecords=0</t>
  </si>
  <si>
    <t>https://swisscovery.slsp.ch/view/sru/41SLSP_VGE?version=1.2&amp;operation=searchRetrieve&amp;recordSchema=marcxml&amp;query=alma.authority_id=265236452&amp;maximumRecords=0</t>
  </si>
  <si>
    <t>270609466</t>
  </si>
  <si>
    <t>https://swisscovery.slsp.ch/view/sru/41SLSP_NETWORK?version=1.2&amp;operation=searchRetrieve&amp;recordSchema=marcxml&amp;query=alma.authority_id=270609466&amp;maximumRecords=0</t>
  </si>
  <si>
    <t>https://swisscovery.slsp.ch/view/sru/41SLSP_VGE?version=1.2&amp;operation=searchRetrieve&amp;recordSchema=marcxml&amp;query=alma.authority_id=270609466&amp;maximumRecords=0</t>
  </si>
  <si>
    <t>251625656</t>
  </si>
  <si>
    <t>https://swisscovery.slsp.ch/view/sru/41SLSP_NETWORK?version=1.2&amp;operation=searchRetrieve&amp;recordSchema=marcxml&amp;query=alma.authority_id=251625656&amp;maximumRecords=0</t>
  </si>
  <si>
    <t>https://swisscovery.slsp.ch/view/sru/41SLSP_VGE?version=1.2&amp;operation=searchRetrieve&amp;recordSchema=marcxml&amp;query=alma.authority_id=251625656&amp;maximumRecords=0</t>
  </si>
  <si>
    <t>260404322</t>
  </si>
  <si>
    <t>https://swisscovery.slsp.ch/view/sru/41SLSP_NETWORK?version=1.2&amp;operation=searchRetrieve&amp;recordSchema=marcxml&amp;query=alma.authority_id=260404322&amp;maximumRecords=0</t>
  </si>
  <si>
    <t>https://swisscovery.slsp.ch/view/sru/41SLSP_VGE?version=1.2&amp;operation=searchRetrieve&amp;recordSchema=marcxml&amp;query=alma.authority_id=260404322&amp;maximumRecords=0</t>
  </si>
  <si>
    <t>27720299X</t>
  </si>
  <si>
    <t>https://swisscovery.slsp.ch/view/sru/41SLSP_NETWORK?version=1.2&amp;operation=searchRetrieve&amp;recordSchema=marcxml&amp;query=alma.authority_id=27720299X&amp;maximumRecords=0</t>
  </si>
  <si>
    <t>https://swisscovery.slsp.ch/view/sru/41SLSP_VGE?version=1.2&amp;operation=searchRetrieve&amp;recordSchema=marcxml&amp;query=alma.authority_id=27720299X&amp;maximumRecords=0</t>
  </si>
  <si>
    <t>255907745</t>
  </si>
  <si>
    <t>https://swisscovery.slsp.ch/view/sru/41SLSP_NETWORK?version=1.2&amp;operation=searchRetrieve&amp;recordSchema=marcxml&amp;query=alma.authority_id=255907745&amp;maximumRecords=0</t>
  </si>
  <si>
    <t>https://swisscovery.slsp.ch/view/sru/41SLSP_VGE?version=1.2&amp;operation=searchRetrieve&amp;recordSchema=marcxml&amp;query=alma.authority_id=255907745&amp;maximumRecords=0</t>
  </si>
  <si>
    <t>26990168X</t>
  </si>
  <si>
    <t>https://swisscovery.slsp.ch/view/sru/41SLSP_NETWORK?version=1.2&amp;operation=searchRetrieve&amp;recordSchema=marcxml&amp;query=alma.authority_id=26990168X&amp;maximumRecords=0</t>
  </si>
  <si>
    <t>https://swisscovery.slsp.ch/view/sru/41SLSP_VGE?version=1.2&amp;operation=searchRetrieve&amp;recordSchema=marcxml&amp;query=alma.authority_id=26990168X&amp;maximumRecords=0</t>
  </si>
  <si>
    <t>260925535</t>
  </si>
  <si>
    <t>https://swisscovery.slsp.ch/view/sru/41SLSP_NETWORK?version=1.2&amp;operation=searchRetrieve&amp;recordSchema=marcxml&amp;query=alma.authority_id=260925535&amp;maximumRecords=0</t>
  </si>
  <si>
    <t>https://swisscovery.slsp.ch/view/sru/41SLSP_VGE?version=1.2&amp;operation=searchRetrieve&amp;recordSchema=marcxml&amp;query=alma.authority_id=260925535&amp;maximumRecords=0</t>
  </si>
  <si>
    <t>275097552</t>
  </si>
  <si>
    <t>https://swisscovery.slsp.ch/view/sru/41SLSP_NETWORK?version=1.2&amp;operation=searchRetrieve&amp;recordSchema=marcxml&amp;query=alma.authority_id=275097552&amp;maximumRecords=0</t>
  </si>
  <si>
    <t>https://swisscovery.slsp.ch/view/sru/41SLSP_VGE?version=1.2&amp;operation=searchRetrieve&amp;recordSchema=marcxml&amp;query=alma.authority_id=275097552&amp;maximumRecords=0</t>
  </si>
  <si>
    <t>270105158</t>
  </si>
  <si>
    <t>https://swisscovery.slsp.ch/view/sru/41SLSP_NETWORK?version=1.2&amp;operation=searchRetrieve&amp;recordSchema=marcxml&amp;query=alma.authority_id=270105158&amp;maximumRecords=0</t>
  </si>
  <si>
    <t>https://swisscovery.slsp.ch/view/sru/41SLSP_VGE?version=1.2&amp;operation=searchRetrieve&amp;recordSchema=marcxml&amp;query=alma.authority_id=270105158&amp;maximumRecords=0</t>
  </si>
  <si>
    <t>257969489</t>
  </si>
  <si>
    <t>https://swisscovery.slsp.ch/view/sru/41SLSP_NETWORK?version=1.2&amp;operation=searchRetrieve&amp;recordSchema=marcxml&amp;query=alma.authority_id=257969489&amp;maximumRecords=0</t>
  </si>
  <si>
    <t>https://swisscovery.slsp.ch/view/sru/41SLSP_VGE?version=1.2&amp;operation=searchRetrieve&amp;recordSchema=marcxml&amp;query=alma.authority_id=257969489&amp;maximumRecords=0</t>
  </si>
  <si>
    <t>263475182</t>
  </si>
  <si>
    <t>https://swisscovery.slsp.ch/view/sru/41SLSP_NETWORK?version=1.2&amp;operation=searchRetrieve&amp;recordSchema=marcxml&amp;query=alma.authority_id=263475182&amp;maximumRecords=0</t>
  </si>
  <si>
    <t>https://swisscovery.slsp.ch/view/sru/41SLSP_VGE?version=1.2&amp;operation=searchRetrieve&amp;recordSchema=marcxml&amp;query=alma.authority_id=263475182&amp;maximumRecords=0</t>
  </si>
  <si>
    <t>265778751</t>
  </si>
  <si>
    <t>https://swisscovery.slsp.ch/view/sru/41SLSP_NETWORK?version=1.2&amp;operation=searchRetrieve&amp;recordSchema=marcxml&amp;query=alma.authority_id=265778751&amp;maximumRecords=0</t>
  </si>
  <si>
    <t>https://swisscovery.slsp.ch/view/sru/41SLSP_VGE?version=1.2&amp;operation=searchRetrieve&amp;recordSchema=marcxml&amp;query=alma.authority_id=265778751&amp;maximumRecords=0</t>
  </si>
  <si>
    <t>256042446</t>
  </si>
  <si>
    <t>https://swisscovery.slsp.ch/view/sru/41SLSP_NETWORK?version=1.2&amp;operation=searchRetrieve&amp;recordSchema=marcxml&amp;query=alma.authority_id=256042446&amp;maximumRecords=0</t>
  </si>
  <si>
    <t>https://swisscovery.slsp.ch/view/sru/41SLSP_VGE?version=1.2&amp;operation=searchRetrieve&amp;recordSchema=marcxml&amp;query=alma.authority_id=256042446&amp;maximumRecords=0</t>
  </si>
  <si>
    <t>263913929</t>
  </si>
  <si>
    <t>https://swisscovery.slsp.ch/view/sru/41SLSP_NETWORK?version=1.2&amp;operation=searchRetrieve&amp;recordSchema=marcxml&amp;query=alma.authority_id=263913929&amp;maximumRecords=0</t>
  </si>
  <si>
    <t>https://swisscovery.slsp.ch/view/sru/41SLSP_VGE?version=1.2&amp;operation=searchRetrieve&amp;recordSchema=marcxml&amp;query=alma.authority_id=263913929&amp;maximumRecords=0</t>
  </si>
  <si>
    <t>256511802</t>
  </si>
  <si>
    <t>https://swisscovery.slsp.ch/view/sru/41SLSP_NETWORK?version=1.2&amp;operation=searchRetrieve&amp;recordSchema=marcxml&amp;query=alma.authority_id=256511802&amp;maximumRecords=0</t>
  </si>
  <si>
    <t>https://swisscovery.slsp.ch/view/sru/41SLSP_VGE?version=1.2&amp;operation=searchRetrieve&amp;recordSchema=marcxml&amp;query=alma.authority_id=256511802&amp;maximumRecords=0</t>
  </si>
  <si>
    <t>261273361</t>
  </si>
  <si>
    <t>https://swisscovery.slsp.ch/view/sru/41SLSP_NETWORK?version=1.2&amp;operation=searchRetrieve&amp;recordSchema=marcxml&amp;query=alma.authority_id=261273361&amp;maximumRecords=0</t>
  </si>
  <si>
    <t>https://swisscovery.slsp.ch/view/sru/41SLSP_VGE?version=1.2&amp;operation=searchRetrieve&amp;recordSchema=marcxml&amp;query=alma.authority_id=261273361&amp;maximumRecords=0</t>
  </si>
  <si>
    <t>256038449</t>
  </si>
  <si>
    <t>https://swisscovery.slsp.ch/view/sru/41SLSP_NETWORK?version=1.2&amp;operation=searchRetrieve&amp;recordSchema=marcxml&amp;query=alma.authority_id=256038449&amp;maximumRecords=0</t>
  </si>
  <si>
    <t>https://swisscovery.slsp.ch/view/sru/41SLSP_VGE?version=1.2&amp;operation=searchRetrieve&amp;recordSchema=marcxml&amp;query=alma.authority_id=256038449&amp;maximumRecords=0</t>
  </si>
  <si>
    <t>276949064</t>
  </si>
  <si>
    <t>https://swisscovery.slsp.ch/view/sru/41SLSP_NETWORK?version=1.2&amp;operation=searchRetrieve&amp;recordSchema=marcxml&amp;query=alma.authority_id=276949064&amp;maximumRecords=0</t>
  </si>
  <si>
    <t>https://swisscovery.slsp.ch/view/sru/41SLSP_VGE?version=1.2&amp;operation=searchRetrieve&amp;recordSchema=marcxml&amp;query=alma.authority_id=276949064&amp;maximumRecords=0</t>
  </si>
  <si>
    <t>257528636</t>
  </si>
  <si>
    <t>https://swisscovery.slsp.ch/view/sru/41SLSP_NETWORK?version=1.2&amp;operation=searchRetrieve&amp;recordSchema=marcxml&amp;query=alma.authority_id=257528636&amp;maximumRecords=0</t>
  </si>
  <si>
    <t>https://swisscovery.slsp.ch/view/sru/41SLSP_VGE?version=1.2&amp;operation=searchRetrieve&amp;recordSchema=marcxml&amp;query=alma.authority_id=257528636&amp;maximumRecords=0</t>
  </si>
  <si>
    <t>267462522</t>
  </si>
  <si>
    <t>https://swisscovery.slsp.ch/view/sru/41SLSP_NETWORK?version=1.2&amp;operation=searchRetrieve&amp;recordSchema=marcxml&amp;query=alma.authority_id=267462522&amp;maximumRecords=0</t>
  </si>
  <si>
    <t>https://swisscovery.slsp.ch/view/sru/41SLSP_VGE?version=1.2&amp;operation=searchRetrieve&amp;recordSchema=marcxml&amp;query=alma.authority_id=267462522&amp;maximumRecords=0</t>
  </si>
  <si>
    <t>276212843</t>
  </si>
  <si>
    <t>https://swisscovery.slsp.ch/view/sru/41SLSP_NETWORK?version=1.2&amp;operation=searchRetrieve&amp;recordSchema=marcxml&amp;query=alma.authority_id=276212843&amp;maximumRecords=0</t>
  </si>
  <si>
    <t>https://swisscovery.slsp.ch/view/sru/41SLSP_VGE?version=1.2&amp;operation=searchRetrieve&amp;recordSchema=marcxml&amp;query=alma.authority_id=276212843&amp;maximumRecords=0</t>
  </si>
  <si>
    <t>181307251</t>
  </si>
  <si>
    <t>https://swisscovery.slsp.ch/view/sru/41SLSP_NETWORK?version=1.2&amp;operation=searchRetrieve&amp;recordSchema=marcxml&amp;query=alma.authority_id=181307251&amp;maximumRecords=0</t>
  </si>
  <si>
    <t>https://swisscovery.slsp.ch/view/sru/41SLSP_VGE?version=1.2&amp;operation=searchRetrieve&amp;recordSchema=marcxml&amp;query=alma.authority_id=181307251&amp;maximumRecords=0</t>
  </si>
  <si>
    <t>267516983</t>
  </si>
  <si>
    <t>https://swisscovery.slsp.ch/view/sru/41SLSP_NETWORK?version=1.2&amp;operation=searchRetrieve&amp;recordSchema=marcxml&amp;query=alma.authority_id=267516983&amp;maximumRecords=0</t>
  </si>
  <si>
    <t>https://swisscovery.slsp.ch/view/sru/41SLSP_VGE?version=1.2&amp;operation=searchRetrieve&amp;recordSchema=marcxml&amp;query=alma.authority_id=267516983&amp;maximumRecords=0</t>
  </si>
  <si>
    <t>263475530</t>
  </si>
  <si>
    <t>https://swisscovery.slsp.ch/view/sru/41SLSP_NETWORK?version=1.2&amp;operation=searchRetrieve&amp;recordSchema=marcxml&amp;query=alma.authority_id=263475530&amp;maximumRecords=0</t>
  </si>
  <si>
    <t>https://swisscovery.slsp.ch/view/sru/41SLSP_VGE?version=1.2&amp;operation=searchRetrieve&amp;recordSchema=marcxml&amp;query=alma.authority_id=263475530&amp;maximumRecords=0</t>
  </si>
  <si>
    <t>257528601</t>
  </si>
  <si>
    <t>https://swisscovery.slsp.ch/view/sru/41SLSP_NETWORK?version=1.2&amp;operation=searchRetrieve&amp;recordSchema=marcxml&amp;query=alma.authority_id=257528601&amp;maximumRecords=0</t>
  </si>
  <si>
    <t>https://swisscovery.slsp.ch/view/sru/41SLSP_VGE?version=1.2&amp;operation=searchRetrieve&amp;recordSchema=marcxml&amp;query=alma.authority_id=257528601&amp;maximumRecords=0</t>
  </si>
  <si>
    <t>263512274</t>
  </si>
  <si>
    <t>https://swisscovery.slsp.ch/view/sru/41SLSP_NETWORK?version=1.2&amp;operation=searchRetrieve&amp;recordSchema=marcxml&amp;query=alma.authority_id=263512274&amp;maximumRecords=0</t>
  </si>
  <si>
    <t>https://swisscovery.slsp.ch/view/sru/41SLSP_VGE?version=1.2&amp;operation=searchRetrieve&amp;recordSchema=marcxml&amp;query=alma.authority_id=263512274&amp;maximumRecords=0</t>
  </si>
  <si>
    <t>277288827</t>
  </si>
  <si>
    <t>https://swisscovery.slsp.ch/view/sru/41SLSP_NETWORK?version=1.2&amp;operation=searchRetrieve&amp;recordSchema=marcxml&amp;query=alma.authority_id=277288827&amp;maximumRecords=0</t>
  </si>
  <si>
    <t>https://swisscovery.slsp.ch/view/sru/41SLSP_VGE?version=1.2&amp;operation=searchRetrieve&amp;recordSchema=marcxml&amp;query=alma.authority_id=277288827&amp;maximumRecords=0</t>
  </si>
  <si>
    <t>263513165</t>
  </si>
  <si>
    <t>https://swisscovery.slsp.ch/view/sru/41SLSP_NETWORK?version=1.2&amp;operation=searchRetrieve&amp;recordSchema=marcxml&amp;query=alma.authority_id=263513165&amp;maximumRecords=0</t>
  </si>
  <si>
    <t>https://swisscovery.slsp.ch/view/sru/41SLSP_VGE?version=1.2&amp;operation=searchRetrieve&amp;recordSchema=marcxml&amp;query=alma.authority_id=263513165&amp;maximumRecords=0</t>
  </si>
  <si>
    <t>263797236</t>
  </si>
  <si>
    <t>https://swisscovery.slsp.ch/view/sru/41SLSP_NETWORK?version=1.2&amp;operation=searchRetrieve&amp;recordSchema=marcxml&amp;query=alma.authority_id=263797236&amp;maximumRecords=0</t>
  </si>
  <si>
    <t>https://swisscovery.slsp.ch/view/sru/41SLSP_VGE?version=1.2&amp;operation=searchRetrieve&amp;recordSchema=marcxml&amp;query=alma.authority_id=263797236&amp;maximumRecords=0</t>
  </si>
  <si>
    <t>26374907X</t>
  </si>
  <si>
    <t>https://swisscovery.slsp.ch/view/sru/41SLSP_NETWORK?version=1.2&amp;operation=searchRetrieve&amp;recordSchema=marcxml&amp;query=alma.authority_id=26374907X&amp;maximumRecords=0</t>
  </si>
  <si>
    <t>https://swisscovery.slsp.ch/view/sru/41SLSP_VGE?version=1.2&amp;operation=searchRetrieve&amp;recordSchema=marcxml&amp;query=alma.authority_id=26374907X&amp;maximumRecords=0</t>
  </si>
  <si>
    <t>25589659X</t>
  </si>
  <si>
    <t>https://swisscovery.slsp.ch/view/sru/41SLSP_NETWORK?version=1.2&amp;operation=searchRetrieve&amp;recordSchema=marcxml&amp;query=alma.authority_id=25589659X&amp;maximumRecords=0</t>
  </si>
  <si>
    <t>https://swisscovery.slsp.ch/view/sru/41SLSP_VGE?version=1.2&amp;operation=searchRetrieve&amp;recordSchema=marcxml&amp;query=alma.authority_id=25589659X&amp;maximumRecords=0</t>
  </si>
  <si>
    <t>263782611</t>
  </si>
  <si>
    <t>https://swisscovery.slsp.ch/view/sru/41SLSP_NETWORK?version=1.2&amp;operation=searchRetrieve&amp;recordSchema=marcxml&amp;query=alma.authority_id=263782611&amp;maximumRecords=0</t>
  </si>
  <si>
    <t>https://swisscovery.slsp.ch/view/sru/41SLSP_VGE?version=1.2&amp;operation=searchRetrieve&amp;recordSchema=marcxml&amp;query=alma.authority_id=263782611&amp;maximumRecords=0</t>
  </si>
  <si>
    <t>195466845</t>
  </si>
  <si>
    <t>https://swisscovery.slsp.ch/view/sru/41SLSP_NETWORK?version=1.2&amp;operation=searchRetrieve&amp;recordSchema=marcxml&amp;query=alma.authority_id=195466845&amp;maximumRecords=0</t>
  </si>
  <si>
    <t>https://swisscovery.slsp.ch/view/sru/41SLSP_VGE?version=1.2&amp;operation=searchRetrieve&amp;recordSchema=marcxml&amp;query=alma.authority_id=195466845&amp;maximumRecords=0</t>
  </si>
  <si>
    <t>265346835</t>
  </si>
  <si>
    <t>https://swisscovery.slsp.ch/view/sru/41SLSP_NETWORK?version=1.2&amp;operation=searchRetrieve&amp;recordSchema=marcxml&amp;query=alma.authority_id=265346835&amp;maximumRecords=0</t>
  </si>
  <si>
    <t>https://swisscovery.slsp.ch/view/sru/41SLSP_VGE?version=1.2&amp;operation=searchRetrieve&amp;recordSchema=marcxml&amp;query=alma.authority_id=265346835&amp;maximumRecords=0</t>
  </si>
  <si>
    <t>276644328</t>
  </si>
  <si>
    <t>https://swisscovery.slsp.ch/view/sru/41SLSP_NETWORK?version=1.2&amp;operation=searchRetrieve&amp;recordSchema=marcxml&amp;query=alma.authority_id=276644328&amp;maximumRecords=0</t>
  </si>
  <si>
    <t>https://swisscovery.slsp.ch/view/sru/41SLSP_VGE?version=1.2&amp;operation=searchRetrieve&amp;recordSchema=marcxml&amp;query=alma.authority_id=276644328&amp;maximumRecords=0</t>
  </si>
  <si>
    <t>26545204X</t>
  </si>
  <si>
    <t>https://swisscovery.slsp.ch/view/sru/41SLSP_NETWORK?version=1.2&amp;operation=searchRetrieve&amp;recordSchema=marcxml&amp;query=alma.authority_id=26545204X&amp;maximumRecords=0</t>
  </si>
  <si>
    <t>https://swisscovery.slsp.ch/view/sru/41SLSP_VGE?version=1.2&amp;operation=searchRetrieve&amp;recordSchema=marcxml&amp;query=alma.authority_id=26545204X&amp;maximumRecords=0</t>
  </si>
  <si>
    <t>256353433</t>
  </si>
  <si>
    <t>https://swisscovery.slsp.ch/view/sru/41SLSP_NETWORK?version=1.2&amp;operation=searchRetrieve&amp;recordSchema=marcxml&amp;query=alma.authority_id=256353433&amp;maximumRecords=0</t>
  </si>
  <si>
    <t>https://swisscovery.slsp.ch/view/sru/41SLSP_VGE?version=1.2&amp;operation=searchRetrieve&amp;recordSchema=marcxml&amp;query=alma.authority_id=256353433&amp;maximumRecords=0</t>
  </si>
  <si>
    <t>265475031</t>
  </si>
  <si>
    <t>https://swisscovery.slsp.ch/view/sru/41SLSP_NETWORK?version=1.2&amp;operation=searchRetrieve&amp;recordSchema=marcxml&amp;query=alma.authority_id=265475031&amp;maximumRecords=0</t>
  </si>
  <si>
    <t>https://swisscovery.slsp.ch/view/sru/41SLSP_VGE?version=1.2&amp;operation=searchRetrieve&amp;recordSchema=marcxml&amp;query=alma.authority_id=265475031&amp;maximumRecords=0</t>
  </si>
  <si>
    <t>270069739</t>
  </si>
  <si>
    <t>https://swisscovery.slsp.ch/view/sru/41SLSP_NETWORK?version=1.2&amp;operation=searchRetrieve&amp;recordSchema=marcxml&amp;query=alma.authority_id=270069739&amp;maximumRecords=0</t>
  </si>
  <si>
    <t>https://swisscovery.slsp.ch/view/sru/41SLSP_VGE?version=1.2&amp;operation=searchRetrieve&amp;recordSchema=marcxml&amp;query=alma.authority_id=270069739&amp;maximumRecords=0</t>
  </si>
  <si>
    <t>266329616</t>
  </si>
  <si>
    <t>https://swisscovery.slsp.ch/view/sru/41SLSP_NETWORK?version=1.2&amp;operation=searchRetrieve&amp;recordSchema=marcxml&amp;query=alma.authority_id=266329616&amp;maximumRecords=0</t>
  </si>
  <si>
    <t>https://swisscovery.slsp.ch/view/sru/41SLSP_VGE?version=1.2&amp;operation=searchRetrieve&amp;recordSchema=marcxml&amp;query=alma.authority_id=266329616&amp;maximumRecords=0</t>
  </si>
  <si>
    <t>276115392</t>
  </si>
  <si>
    <t>https://swisscovery.slsp.ch/view/sru/41SLSP_NETWORK?version=1.2&amp;operation=searchRetrieve&amp;recordSchema=marcxml&amp;query=alma.authority_id=276115392&amp;maximumRecords=0</t>
  </si>
  <si>
    <t>https://swisscovery.slsp.ch/view/sru/41SLSP_VGE?version=1.2&amp;operation=searchRetrieve&amp;recordSchema=marcxml&amp;query=alma.authority_id=276115392&amp;maximumRecords=0</t>
  </si>
  <si>
    <t>263893642</t>
  </si>
  <si>
    <t>https://swisscovery.slsp.ch/view/sru/41SLSP_NETWORK?version=1.2&amp;operation=searchRetrieve&amp;recordSchema=marcxml&amp;query=alma.authority_id=263893642&amp;maximumRecords=0</t>
  </si>
  <si>
    <t>https://swisscovery.slsp.ch/view/sru/41SLSP_VGE?version=1.2&amp;operation=searchRetrieve&amp;recordSchema=marcxml&amp;query=alma.authority_id=263893642&amp;maximumRecords=0</t>
  </si>
  <si>
    <t>276263340</t>
  </si>
  <si>
    <t>https://swisscovery.slsp.ch/view/sru/41SLSP_NETWORK?version=1.2&amp;operation=searchRetrieve&amp;recordSchema=marcxml&amp;query=alma.authority_id=276263340&amp;maximumRecords=0</t>
  </si>
  <si>
    <t>https://swisscovery.slsp.ch/view/sru/41SLSP_VGE?version=1.2&amp;operation=searchRetrieve&amp;recordSchema=marcxml&amp;query=alma.authority_id=276263340&amp;maximumRecords=0</t>
  </si>
  <si>
    <t>276213084</t>
  </si>
  <si>
    <t>https://swisscovery.slsp.ch/view/sru/41SLSP_NETWORK?version=1.2&amp;operation=searchRetrieve&amp;recordSchema=marcxml&amp;query=alma.authority_id=276213084&amp;maximumRecords=0</t>
  </si>
  <si>
    <t>https://swisscovery.slsp.ch/view/sru/41SLSP_VGE?version=1.2&amp;operation=searchRetrieve&amp;recordSchema=marcxml&amp;query=alma.authority_id=276213084&amp;maximumRecords=0</t>
  </si>
  <si>
    <t>139065741</t>
  </si>
  <si>
    <t>https://swisscovery.slsp.ch/view/sru/41SLSP_NETWORK?version=1.2&amp;operation=searchRetrieve&amp;recordSchema=marcxml&amp;query=alma.authority_id=139065741&amp;maximumRecords=0</t>
  </si>
  <si>
    <t>https://swisscovery.slsp.ch/view/sru/41SLSP_VGE?version=1.2&amp;operation=searchRetrieve&amp;recordSchema=marcxml&amp;query=alma.authority_id=139065741&amp;maximumRecords=0</t>
  </si>
  <si>
    <t>276225376</t>
  </si>
  <si>
    <t>https://swisscovery.slsp.ch/view/sru/41SLSP_NETWORK?version=1.2&amp;operation=searchRetrieve&amp;recordSchema=marcxml&amp;query=alma.authority_id=276225376&amp;maximumRecords=0</t>
  </si>
  <si>
    <t>https://swisscovery.slsp.ch/view/sru/41SLSP_VGE?version=1.2&amp;operation=searchRetrieve&amp;recordSchema=marcxml&amp;query=alma.authority_id=276225376&amp;maximumRecords=0</t>
  </si>
  <si>
    <t>27331386X</t>
  </si>
  <si>
    <t>https://swisscovery.slsp.ch/view/sru/41SLSP_NETWORK?version=1.2&amp;operation=searchRetrieve&amp;recordSchema=marcxml&amp;query=alma.authority_id=27331386X&amp;maximumRecords=0</t>
  </si>
  <si>
    <t>https://swisscovery.slsp.ch/view/sru/41SLSP_VGE?version=1.2&amp;operation=searchRetrieve&amp;recordSchema=marcxml&amp;query=alma.authority_id=27331386X&amp;maximumRecords=0</t>
  </si>
  <si>
    <t>262835916</t>
  </si>
  <si>
    <t>https://swisscovery.slsp.ch/view/sru/41SLSP_NETWORK?version=1.2&amp;operation=searchRetrieve&amp;recordSchema=marcxml&amp;query=alma.authority_id=262835916&amp;maximumRecords=0</t>
  </si>
  <si>
    <t>https://swisscovery.slsp.ch/view/sru/41SLSP_VGE?version=1.2&amp;operation=searchRetrieve&amp;recordSchema=marcxml&amp;query=alma.authority_id=262835916&amp;maximumRecords=0</t>
  </si>
  <si>
    <t>276264215</t>
  </si>
  <si>
    <t>https://swisscovery.slsp.ch/view/sru/41SLSP_NETWORK?version=1.2&amp;operation=searchRetrieve&amp;recordSchema=marcxml&amp;query=alma.authority_id=276264215&amp;maximumRecords=0</t>
  </si>
  <si>
    <t>https://swisscovery.slsp.ch/view/sru/41SLSP_VGE?version=1.2&amp;operation=searchRetrieve&amp;recordSchema=marcxml&amp;query=alma.authority_id=276264215&amp;maximumRecords=0</t>
  </si>
  <si>
    <t>277419913</t>
  </si>
  <si>
    <t>https://swisscovery.slsp.ch/view/sru/41SLSP_NETWORK?version=1.2&amp;operation=searchRetrieve&amp;recordSchema=marcxml&amp;query=alma.authority_id=277419913&amp;maximumRecords=0</t>
  </si>
  <si>
    <t>https://swisscovery.slsp.ch/view/sru/41SLSP_VGE?version=1.2&amp;operation=searchRetrieve&amp;recordSchema=marcxml&amp;query=alma.authority_id=277419913&amp;maximumRecords=0</t>
  </si>
  <si>
    <t>276268008</t>
  </si>
  <si>
    <t>https://swisscovery.slsp.ch/view/sru/41SLSP_NETWORK?version=1.2&amp;operation=searchRetrieve&amp;recordSchema=marcxml&amp;query=alma.authority_id=276268008&amp;maximumRecords=0</t>
  </si>
  <si>
    <t>https://swisscovery.slsp.ch/view/sru/41SLSP_VGE?version=1.2&amp;operation=searchRetrieve&amp;recordSchema=marcxml&amp;query=alma.authority_id=276268008&amp;maximumRecords=0</t>
  </si>
  <si>
    <t>263742490</t>
  </si>
  <si>
    <t>https://swisscovery.slsp.ch/view/sru/41SLSP_NETWORK?version=1.2&amp;operation=searchRetrieve&amp;recordSchema=marcxml&amp;query=alma.authority_id=263742490&amp;maximumRecords=0</t>
  </si>
  <si>
    <t>https://swisscovery.slsp.ch/view/sru/41SLSP_VGE?version=1.2&amp;operation=searchRetrieve&amp;recordSchema=marcxml&amp;query=alma.authority_id=263742490&amp;maximumRecords=0</t>
  </si>
  <si>
    <t>257583645</t>
  </si>
  <si>
    <t>https://swisscovery.slsp.ch/view/sru/41SLSP_NETWORK?version=1.2&amp;operation=searchRetrieve&amp;recordSchema=marcxml&amp;query=alma.authority_id=257583645&amp;maximumRecords=0</t>
  </si>
  <si>
    <t>https://swisscovery.slsp.ch/view/sru/41SLSP_VGE?version=1.2&amp;operation=searchRetrieve&amp;recordSchema=marcxml&amp;query=alma.authority_id=257583645&amp;maximumRecords=0</t>
  </si>
  <si>
    <t>244199132</t>
  </si>
  <si>
    <t>https://swisscovery.slsp.ch/view/sru/41SLSP_NETWORK?version=1.2&amp;operation=searchRetrieve&amp;recordSchema=marcxml&amp;query=alma.authority_id=244199132&amp;maximumRecords=0</t>
  </si>
  <si>
    <t>https://swisscovery.slsp.ch/view/sru/41SLSP_VGE?version=1.2&amp;operation=searchRetrieve&amp;recordSchema=marcxml&amp;query=alma.authority_id=244199132&amp;maximumRecords=0</t>
  </si>
  <si>
    <t>262841908</t>
  </si>
  <si>
    <t>https://swisscovery.slsp.ch/view/sru/41SLSP_NETWORK?version=1.2&amp;operation=searchRetrieve&amp;recordSchema=marcxml&amp;query=alma.authority_id=262841908&amp;maximumRecords=0</t>
  </si>
  <si>
    <t>https://swisscovery.slsp.ch/view/sru/41SLSP_VGE?version=1.2&amp;operation=searchRetrieve&amp;recordSchema=marcxml&amp;query=alma.authority_id=262841908&amp;maximumRecords=0</t>
  </si>
  <si>
    <t>191228222</t>
  </si>
  <si>
    <t>https://swisscovery.slsp.ch/view/sru/41SLSP_NETWORK?version=1.2&amp;operation=searchRetrieve&amp;recordSchema=marcxml&amp;query=alma.authority_id=191228222&amp;maximumRecords=0</t>
  </si>
  <si>
    <t>https://swisscovery.slsp.ch/view/sru/41SLSP_VGE?version=1.2&amp;operation=searchRetrieve&amp;recordSchema=marcxml&amp;query=alma.authority_id=191228222&amp;maximumRecords=0</t>
  </si>
  <si>
    <t>257476997</t>
  </si>
  <si>
    <t>https://swisscovery.slsp.ch/view/sru/41SLSP_NETWORK?version=1.2&amp;operation=searchRetrieve&amp;recordSchema=marcxml&amp;query=alma.authority_id=257476997&amp;maximumRecords=0</t>
  </si>
  <si>
    <t>https://swisscovery.slsp.ch/view/sru/41SLSP_VGE?version=1.2&amp;operation=searchRetrieve&amp;recordSchema=marcxml&amp;query=alma.authority_id=257476997&amp;maximumRecords=0</t>
  </si>
  <si>
    <t>196081475</t>
  </si>
  <si>
    <t>https://swisscovery.slsp.ch/view/sru/41SLSP_NETWORK?version=1.2&amp;operation=searchRetrieve&amp;recordSchema=marcxml&amp;query=alma.authority_id=196081475&amp;maximumRecords=0</t>
  </si>
  <si>
    <t>https://swisscovery.slsp.ch/view/sru/41SLSP_VGE?version=1.2&amp;operation=searchRetrieve&amp;recordSchema=marcxml&amp;query=alma.authority_id=196081475&amp;maximumRecords=0</t>
  </si>
  <si>
    <t>257584552</t>
  </si>
  <si>
    <t>https://swisscovery.slsp.ch/view/sru/41SLSP_NETWORK?version=1.2&amp;operation=searchRetrieve&amp;recordSchema=marcxml&amp;query=alma.authority_id=257584552&amp;maximumRecords=0</t>
  </si>
  <si>
    <t>https://swisscovery.slsp.ch/view/sru/41SLSP_VGE?version=1.2&amp;operation=searchRetrieve&amp;recordSchema=marcxml&amp;query=alma.authority_id=257584552&amp;maximumRecords=0</t>
  </si>
  <si>
    <t>277006813</t>
  </si>
  <si>
    <t>https://swisscovery.slsp.ch/view/sru/41SLSP_NETWORK?version=1.2&amp;operation=searchRetrieve&amp;recordSchema=marcxml&amp;query=alma.authority_id=277006813&amp;maximumRecords=0</t>
  </si>
  <si>
    <t>https://swisscovery.slsp.ch/view/sru/41SLSP_VGE?version=1.2&amp;operation=searchRetrieve&amp;recordSchema=marcxml&amp;query=alma.authority_id=277006813&amp;maximumRecords=0</t>
  </si>
  <si>
    <t>257620052</t>
  </si>
  <si>
    <t>https://swisscovery.slsp.ch/view/sru/41SLSP_NETWORK?version=1.2&amp;operation=searchRetrieve&amp;recordSchema=marcxml&amp;query=alma.authority_id=257620052&amp;maximumRecords=0</t>
  </si>
  <si>
    <t>https://swisscovery.slsp.ch/view/sru/41SLSP_VGE?version=1.2&amp;operation=searchRetrieve&amp;recordSchema=marcxml&amp;query=alma.authority_id=257620052&amp;maximumRecords=0</t>
  </si>
  <si>
    <t>25631831X</t>
  </si>
  <si>
    <t>https://swisscovery.slsp.ch/view/sru/41SLSP_NETWORK?version=1.2&amp;operation=searchRetrieve&amp;recordSchema=marcxml&amp;query=alma.authority_id=25631831X&amp;maximumRecords=0</t>
  </si>
  <si>
    <t>https://swisscovery.slsp.ch/view/sru/41SLSP_VGE?version=1.2&amp;operation=searchRetrieve&amp;recordSchema=marcxml&amp;query=alma.authority_id=25631831X&amp;maximumRecords=0</t>
  </si>
  <si>
    <t>257598278</t>
  </si>
  <si>
    <t>https://swisscovery.slsp.ch/view/sru/41SLSP_NETWORK?version=1.2&amp;operation=searchRetrieve&amp;recordSchema=marcxml&amp;query=alma.authority_id=257598278&amp;maximumRecords=0</t>
  </si>
  <si>
    <t>https://swisscovery.slsp.ch/view/sru/41SLSP_VGE?version=1.2&amp;operation=searchRetrieve&amp;recordSchema=marcxml&amp;query=alma.authority_id=257598278&amp;maximumRecords=0</t>
  </si>
  <si>
    <t>259701858</t>
  </si>
  <si>
    <t>https://swisscovery.slsp.ch/view/sru/41SLSP_NETWORK?version=1.2&amp;operation=searchRetrieve&amp;recordSchema=marcxml&amp;query=alma.authority_id=259701858&amp;maximumRecords=0</t>
  </si>
  <si>
    <t>https://swisscovery.slsp.ch/view/sru/41SLSP_VGE?version=1.2&amp;operation=searchRetrieve&amp;recordSchema=marcxml&amp;query=alma.authority_id=259701858&amp;maximumRecords=0</t>
  </si>
  <si>
    <t>251623378</t>
  </si>
  <si>
    <t>https://swisscovery.slsp.ch/view/sru/41SLSP_NETWORK?version=1.2&amp;operation=searchRetrieve&amp;recordSchema=marcxml&amp;query=alma.authority_id=251623378&amp;maximumRecords=0</t>
  </si>
  <si>
    <t>https://swisscovery.slsp.ch/view/sru/41SLSP_VGE?version=1.2&amp;operation=searchRetrieve&amp;recordSchema=marcxml&amp;query=alma.authority_id=251623378&amp;maximumRecords=0</t>
  </si>
  <si>
    <t>276940792</t>
  </si>
  <si>
    <t>https://swisscovery.slsp.ch/view/sru/41SLSP_NETWORK?version=1.2&amp;operation=searchRetrieve&amp;recordSchema=marcxml&amp;query=alma.authority_id=276940792&amp;maximumRecords=0</t>
  </si>
  <si>
    <t>https://swisscovery.slsp.ch/view/sru/41SLSP_VGE?version=1.2&amp;operation=searchRetrieve&amp;recordSchema=marcxml&amp;query=alma.authority_id=276940792&amp;maximumRecords=0</t>
  </si>
  <si>
    <t>259857092</t>
  </si>
  <si>
    <t>https://swisscovery.slsp.ch/view/sru/41SLSP_NETWORK?version=1.2&amp;operation=searchRetrieve&amp;recordSchema=marcxml&amp;query=alma.authority_id=259857092&amp;maximumRecords=0</t>
  </si>
  <si>
    <t>https://swisscovery.slsp.ch/view/sru/41SLSP_VGE?version=1.2&amp;operation=searchRetrieve&amp;recordSchema=marcxml&amp;query=alma.authority_id=259857092&amp;maximumRecords=0</t>
  </si>
  <si>
    <t>263748790</t>
  </si>
  <si>
    <t>https://swisscovery.slsp.ch/view/sru/41SLSP_NETWORK?version=1.2&amp;operation=searchRetrieve&amp;recordSchema=marcxml&amp;query=alma.authority_id=263748790&amp;maximumRecords=0</t>
  </si>
  <si>
    <t>https://swisscovery.slsp.ch/view/sru/41SLSP_VGE?version=1.2&amp;operation=searchRetrieve&amp;recordSchema=marcxml&amp;query=alma.authority_id=263748790&amp;maximumRecords=0</t>
  </si>
  <si>
    <t>256444153</t>
  </si>
  <si>
    <t>https://swisscovery.slsp.ch/view/sru/41SLSP_NETWORK?version=1.2&amp;operation=searchRetrieve&amp;recordSchema=marcxml&amp;query=alma.authority_id=256444153&amp;maximumRecords=0</t>
  </si>
  <si>
    <t>https://swisscovery.slsp.ch/view/sru/41SLSP_VGE?version=1.2&amp;operation=searchRetrieve&amp;recordSchema=marcxml&amp;query=alma.authority_id=256444153&amp;maximumRecords=0</t>
  </si>
  <si>
    <t>257968490</t>
  </si>
  <si>
    <t>https://swisscovery.slsp.ch/view/sru/41SLSP_NETWORK?version=1.2&amp;operation=searchRetrieve&amp;recordSchema=marcxml&amp;query=alma.authority_id=257968490&amp;maximumRecords=0</t>
  </si>
  <si>
    <t>https://swisscovery.slsp.ch/view/sru/41SLSP_VGE?version=1.2&amp;operation=searchRetrieve&amp;recordSchema=marcxml&amp;query=alma.authority_id=257968490&amp;maximumRecords=0</t>
  </si>
  <si>
    <t>262844370</t>
  </si>
  <si>
    <t>https://swisscovery.slsp.ch/view/sru/41SLSP_NETWORK?version=1.2&amp;operation=searchRetrieve&amp;recordSchema=marcxml&amp;query=alma.authority_id=262844370&amp;maximumRecords=0</t>
  </si>
  <si>
    <t>https://swisscovery.slsp.ch/view/sru/41SLSP_VGE?version=1.2&amp;operation=searchRetrieve&amp;recordSchema=marcxml&amp;query=alma.authority_id=262844370&amp;maximumRecords=0</t>
  </si>
  <si>
    <t>251593509</t>
  </si>
  <si>
    <t>https://swisscovery.slsp.ch/view/sru/41SLSP_NETWORK?version=1.2&amp;operation=searchRetrieve&amp;recordSchema=marcxml&amp;query=alma.authority_id=251593509&amp;maximumRecords=0</t>
  </si>
  <si>
    <t>https://swisscovery.slsp.ch/view/sru/41SLSP_VGE?version=1.2&amp;operation=searchRetrieve&amp;recordSchema=marcxml&amp;query=alma.authority_id=251593509&amp;maximumRecords=0</t>
  </si>
  <si>
    <t>26072565X</t>
  </si>
  <si>
    <t>https://swisscovery.slsp.ch/view/sru/41SLSP_NETWORK?version=1.2&amp;operation=searchRetrieve&amp;recordSchema=marcxml&amp;query=alma.authority_id=26072565X&amp;maximumRecords=0</t>
  </si>
  <si>
    <t>https://swisscovery.slsp.ch/view/sru/41SLSP_VGE?version=1.2&amp;operation=searchRetrieve&amp;recordSchema=marcxml&amp;query=alma.authority_id=26072565X&amp;maximumRecords=0</t>
  </si>
  <si>
    <t>084159642</t>
  </si>
  <si>
    <t>https://swisscovery.slsp.ch/view/sru/41SLSP_NETWORK?version=1.2&amp;operation=searchRetrieve&amp;recordSchema=marcxml&amp;query=alma.authority_id=084159642&amp;maximumRecords=0</t>
  </si>
  <si>
    <t>https://swisscovery.slsp.ch/view/sru/41SLSP_VGE?version=1.2&amp;operation=searchRetrieve&amp;recordSchema=marcxml&amp;query=alma.authority_id=084159642&amp;maximumRecords=0</t>
  </si>
  <si>
    <t>260725765</t>
  </si>
  <si>
    <t>https://swisscovery.slsp.ch/view/sru/41SLSP_NETWORK?version=1.2&amp;operation=searchRetrieve&amp;recordSchema=marcxml&amp;query=alma.authority_id=260725765&amp;maximumRecords=0</t>
  </si>
  <si>
    <t>https://swisscovery.slsp.ch/view/sru/41SLSP_VGE?version=1.2&amp;operation=searchRetrieve&amp;recordSchema=marcxml&amp;query=alma.authority_id=260725765&amp;maximumRecords=0</t>
  </si>
  <si>
    <t>256036594</t>
  </si>
  <si>
    <t>https://swisscovery.slsp.ch/view/sru/41SLSP_NETWORK?version=1.2&amp;operation=searchRetrieve&amp;recordSchema=marcxml&amp;query=alma.authority_id=256036594&amp;maximumRecords=0</t>
  </si>
  <si>
    <t>https://swisscovery.slsp.ch/view/sru/41SLSP_VGE?version=1.2&amp;operation=searchRetrieve&amp;recordSchema=marcxml&amp;query=alma.authority_id=256036594&amp;maximumRecords=0</t>
  </si>
  <si>
    <t>260727903</t>
  </si>
  <si>
    <t>https://swisscovery.slsp.ch/view/sru/41SLSP_NETWORK?version=1.2&amp;operation=searchRetrieve&amp;recordSchema=marcxml&amp;query=alma.authority_id=260727903&amp;maximumRecords=0</t>
  </si>
  <si>
    <t>https://swisscovery.slsp.ch/view/sru/41SLSP_VGE?version=1.2&amp;operation=searchRetrieve&amp;recordSchema=marcxml&amp;query=alma.authority_id=260727903&amp;maximumRecords=0</t>
  </si>
  <si>
    <t>268110808</t>
  </si>
  <si>
    <t>https://swisscovery.slsp.ch/view/sru/41SLSP_NETWORK?version=1.2&amp;operation=searchRetrieve&amp;recordSchema=marcxml&amp;query=alma.authority_id=268110808&amp;maximumRecords=0</t>
  </si>
  <si>
    <t>https://swisscovery.slsp.ch/view/sru/41SLSP_VGE?version=1.2&amp;operation=searchRetrieve&amp;recordSchema=marcxml&amp;query=alma.authority_id=268110808&amp;maximumRecords=0</t>
  </si>
  <si>
    <t>257609830</t>
  </si>
  <si>
    <t>https://swisscovery.slsp.ch/view/sru/41SLSP_NETWORK?version=1.2&amp;operation=searchRetrieve&amp;recordSchema=marcxml&amp;query=alma.authority_id=257609830&amp;maximumRecords=0</t>
  </si>
  <si>
    <t>https://swisscovery.slsp.ch/view/sru/41SLSP_VGE?version=1.2&amp;operation=searchRetrieve&amp;recordSchema=marcxml&amp;query=alma.authority_id=257609830&amp;maximumRecords=0</t>
  </si>
  <si>
    <t>277427975</t>
  </si>
  <si>
    <t>https://swisscovery.slsp.ch/view/sru/41SLSP_NETWORK?version=1.2&amp;operation=searchRetrieve&amp;recordSchema=marcxml&amp;query=alma.authority_id=277427975&amp;maximumRecords=0</t>
  </si>
  <si>
    <t>https://swisscovery.slsp.ch/view/sru/41SLSP_VGE?version=1.2&amp;operation=searchRetrieve&amp;recordSchema=marcxml&amp;query=alma.authority_id=277427975&amp;maximumRecords=0</t>
  </si>
  <si>
    <t>277381533</t>
  </si>
  <si>
    <t>https://swisscovery.slsp.ch/view/sru/41SLSP_NETWORK?version=1.2&amp;operation=searchRetrieve&amp;recordSchema=marcxml&amp;query=alma.authority_id=277381533&amp;maximumRecords=0</t>
  </si>
  <si>
    <t>https://swisscovery.slsp.ch/view/sru/41SLSP_VGE?version=1.2&amp;operation=searchRetrieve&amp;recordSchema=marcxml&amp;query=alma.authority_id=277381533&amp;maximumRecords=0</t>
  </si>
  <si>
    <t>256112649</t>
  </si>
  <si>
    <t>https://swisscovery.slsp.ch/view/sru/41SLSP_NETWORK?version=1.2&amp;operation=searchRetrieve&amp;recordSchema=marcxml&amp;query=alma.authority_id=256112649&amp;maximumRecords=0</t>
  </si>
  <si>
    <t>https://swisscovery.slsp.ch/view/sru/41SLSP_VGE?version=1.2&amp;operation=searchRetrieve&amp;recordSchema=marcxml&amp;query=alma.authority_id=256112649&amp;maximumRecords=0</t>
  </si>
  <si>
    <t>276565487</t>
  </si>
  <si>
    <t>https://swisscovery.slsp.ch/view/sru/41SLSP_NETWORK?version=1.2&amp;operation=searchRetrieve&amp;recordSchema=marcxml&amp;query=alma.authority_id=276565487&amp;maximumRecords=0</t>
  </si>
  <si>
    <t>https://swisscovery.slsp.ch/view/sru/41SLSP_VGE?version=1.2&amp;operation=searchRetrieve&amp;recordSchema=marcxml&amp;query=alma.authority_id=276565487&amp;maximumRecords=0</t>
  </si>
  <si>
    <t>259851272</t>
  </si>
  <si>
    <t>https://swisscovery.slsp.ch/view/sru/41SLSP_NETWORK?version=1.2&amp;operation=searchRetrieve&amp;recordSchema=marcxml&amp;query=alma.authority_id=259851272&amp;maximumRecords=0</t>
  </si>
  <si>
    <t>https://swisscovery.slsp.ch/view/sru/41SLSP_VGE?version=1.2&amp;operation=searchRetrieve&amp;recordSchema=marcxml&amp;query=alma.authority_id=259851272&amp;maximumRecords=0</t>
  </si>
  <si>
    <t>261736205</t>
  </si>
  <si>
    <t>https://swisscovery.slsp.ch/view/sru/41SLSP_NETWORK?version=1.2&amp;operation=searchRetrieve&amp;recordSchema=marcxml&amp;query=alma.authority_id=261736205&amp;maximumRecords=0</t>
  </si>
  <si>
    <t>https://swisscovery.slsp.ch/view/sru/41SLSP_VGE?version=1.2&amp;operation=searchRetrieve&amp;recordSchema=marcxml&amp;query=alma.authority_id=261736205&amp;maximumRecords=0</t>
  </si>
  <si>
    <t>221535039</t>
  </si>
  <si>
    <t>https://swisscovery.slsp.ch/view/sru/41SLSP_NETWORK?version=1.2&amp;operation=searchRetrieve&amp;recordSchema=marcxml&amp;query=alma.authority_id=221535039&amp;maximumRecords=0</t>
  </si>
  <si>
    <t>https://swisscovery.slsp.ch/view/sru/41SLSP_VGE?version=1.2&amp;operation=searchRetrieve&amp;recordSchema=marcxml&amp;query=alma.authority_id=221535039&amp;maximumRecords=0</t>
  </si>
  <si>
    <t>264182146</t>
  </si>
  <si>
    <t>https://swisscovery.slsp.ch/view/sru/41SLSP_NETWORK?version=1.2&amp;operation=searchRetrieve&amp;recordSchema=marcxml&amp;query=alma.authority_id=264182146&amp;maximumRecords=0</t>
  </si>
  <si>
    <t>https://swisscovery.slsp.ch/view/sru/41SLSP_VGE?version=1.2&amp;operation=searchRetrieve&amp;recordSchema=marcxml&amp;query=alma.authority_id=264182146&amp;maximumRecords=0</t>
  </si>
  <si>
    <t>256351791</t>
  </si>
  <si>
    <t>https://swisscovery.slsp.ch/view/sru/41SLSP_NETWORK?version=1.2&amp;operation=searchRetrieve&amp;recordSchema=marcxml&amp;query=alma.authority_id=256351791&amp;maximumRecords=0</t>
  </si>
  <si>
    <t>https://swisscovery.slsp.ch/view/sru/41SLSP_VGE?version=1.2&amp;operation=searchRetrieve&amp;recordSchema=marcxml&amp;query=alma.authority_id=256351791&amp;maximumRecords=0</t>
  </si>
  <si>
    <t>262462923</t>
  </si>
  <si>
    <t>https://swisscovery.slsp.ch/view/sru/41SLSP_NETWORK?version=1.2&amp;operation=searchRetrieve&amp;recordSchema=marcxml&amp;query=alma.authority_id=262462923&amp;maximumRecords=0</t>
  </si>
  <si>
    <t>https://swisscovery.slsp.ch/view/sru/41SLSP_VGE?version=1.2&amp;operation=searchRetrieve&amp;recordSchema=marcxml&amp;query=alma.authority_id=262462923&amp;maximumRecords=0</t>
  </si>
  <si>
    <t>27728743X</t>
  </si>
  <si>
    <t>https://swisscovery.slsp.ch/view/sru/41SLSP_NETWORK?version=1.2&amp;operation=searchRetrieve&amp;recordSchema=marcxml&amp;query=alma.authority_id=27728743X&amp;maximumRecords=0</t>
  </si>
  <si>
    <t>https://swisscovery.slsp.ch/view/sru/41SLSP_VGE?version=1.2&amp;operation=searchRetrieve&amp;recordSchema=marcxml&amp;query=alma.authority_id=27728743X&amp;maximumRecords=0</t>
  </si>
  <si>
    <t>251319989</t>
  </si>
  <si>
    <t>https://swisscovery.slsp.ch/view/sru/41SLSP_NETWORK?version=1.2&amp;operation=searchRetrieve&amp;recordSchema=marcxml&amp;query=alma.authority_id=251319989&amp;maximumRecords=0</t>
  </si>
  <si>
    <t>https://swisscovery.slsp.ch/view/sru/41SLSP_VGE?version=1.2&amp;operation=searchRetrieve&amp;recordSchema=marcxml&amp;query=alma.authority_id=251319989&amp;maximumRecords=0</t>
  </si>
  <si>
    <t>256763860</t>
  </si>
  <si>
    <t>https://swisscovery.slsp.ch/view/sru/41SLSP_NETWORK?version=1.2&amp;operation=searchRetrieve&amp;recordSchema=marcxml&amp;query=alma.authority_id=256763860&amp;maximumRecords=0</t>
  </si>
  <si>
    <t>https://swisscovery.slsp.ch/view/sru/41SLSP_VGE?version=1.2&amp;operation=searchRetrieve&amp;recordSchema=marcxml&amp;query=alma.authority_id=256763860&amp;maximumRecords=0</t>
  </si>
  <si>
    <t>276262611</t>
  </si>
  <si>
    <t>https://swisscovery.slsp.ch/view/sru/41SLSP_NETWORK?version=1.2&amp;operation=searchRetrieve&amp;recordSchema=marcxml&amp;query=alma.authority_id=276262611&amp;maximumRecords=0</t>
  </si>
  <si>
    <t>https://swisscovery.slsp.ch/view/sru/41SLSP_VGE?version=1.2&amp;operation=searchRetrieve&amp;recordSchema=marcxml&amp;query=alma.authority_id=276262611&amp;maximumRecords=0</t>
  </si>
  <si>
    <t>262580772</t>
  </si>
  <si>
    <t>https://swisscovery.slsp.ch/view/sru/41SLSP_NETWORK?version=1.2&amp;operation=searchRetrieve&amp;recordSchema=marcxml&amp;query=alma.authority_id=262580772&amp;maximumRecords=0</t>
  </si>
  <si>
    <t>https://swisscovery.slsp.ch/view/sru/41SLSP_VGE?version=1.2&amp;operation=searchRetrieve&amp;recordSchema=marcxml&amp;query=alma.authority_id=262580772&amp;maximumRecords=0</t>
  </si>
  <si>
    <t>25594151X</t>
  </si>
  <si>
    <t>https://swisscovery.slsp.ch/view/sru/41SLSP_NETWORK?version=1.2&amp;operation=searchRetrieve&amp;recordSchema=marcxml&amp;query=alma.authority_id=25594151X&amp;maximumRecords=0</t>
  </si>
  <si>
    <t>https://swisscovery.slsp.ch/view/sru/41SLSP_VGE?version=1.2&amp;operation=searchRetrieve&amp;recordSchema=marcxml&amp;query=alma.authority_id=25594151X&amp;maximumRecords=0</t>
  </si>
  <si>
    <t>26283412X</t>
  </si>
  <si>
    <t>https://swisscovery.slsp.ch/view/sru/41SLSP_NETWORK?version=1.2&amp;operation=searchRetrieve&amp;recordSchema=marcxml&amp;query=alma.authority_id=26283412X&amp;maximumRecords=0</t>
  </si>
  <si>
    <t>https://swisscovery.slsp.ch/view/sru/41SLSP_VGE?version=1.2&amp;operation=searchRetrieve&amp;recordSchema=marcxml&amp;query=alma.authority_id=26283412X&amp;maximumRecords=0</t>
  </si>
  <si>
    <t>276464583</t>
  </si>
  <si>
    <t>https://swisscovery.slsp.ch/view/sru/41SLSP_NETWORK?version=1.2&amp;operation=searchRetrieve&amp;recordSchema=marcxml&amp;query=alma.authority_id=276464583&amp;maximumRecords=0</t>
  </si>
  <si>
    <t>https://swisscovery.slsp.ch/view/sru/41SLSP_VGE?version=1.2&amp;operation=searchRetrieve&amp;recordSchema=marcxml&amp;query=alma.authority_id=276464583&amp;maximumRecords=0</t>
  </si>
  <si>
    <t>131163256</t>
  </si>
  <si>
    <t>https://swisscovery.slsp.ch/view/sru/41SLSP_NETWORK?version=1.2&amp;operation=searchRetrieve&amp;recordSchema=marcxml&amp;query=alma.authority_id=131163256&amp;maximumRecords=0</t>
  </si>
  <si>
    <t>https://swisscovery.slsp.ch/view/sru/41SLSP_VGE?version=1.2&amp;operation=searchRetrieve&amp;recordSchema=marcxml&amp;query=alma.authority_id=131163256&amp;maximumRecords=0</t>
  </si>
  <si>
    <t>194174956</t>
  </si>
  <si>
    <t>https://swisscovery.slsp.ch/view/sru/41SLSP_NETWORK?version=1.2&amp;operation=searchRetrieve&amp;recordSchema=marcxml&amp;query=alma.authority_id=194174956&amp;maximumRecords=0</t>
  </si>
  <si>
    <t>https://swisscovery.slsp.ch/view/sru/41SLSP_VGE?version=1.2&amp;operation=searchRetrieve&amp;recordSchema=marcxml&amp;query=alma.authority_id=194174956&amp;maximumRecords=0</t>
  </si>
  <si>
    <t>153533587</t>
  </si>
  <si>
    <t>https://swisscovery.slsp.ch/view/sru/41SLSP_NETWORK?version=1.2&amp;operation=searchRetrieve&amp;recordSchema=marcxml&amp;query=alma.authority_id=153533587&amp;maximumRecords=0</t>
  </si>
  <si>
    <t>https://swisscovery.slsp.ch/view/sru/41SLSP_VGE?version=1.2&amp;operation=searchRetrieve&amp;recordSchema=marcxml&amp;query=alma.authority_id=153533587&amp;maximumRecords=0</t>
  </si>
  <si>
    <t>276635167</t>
  </si>
  <si>
    <t>https://swisscovery.slsp.ch/view/sru/41SLSP_NETWORK?version=1.2&amp;operation=searchRetrieve&amp;recordSchema=marcxml&amp;query=alma.authority_id=276635167&amp;maximumRecords=0</t>
  </si>
  <si>
    <t>https://swisscovery.slsp.ch/view/sru/41SLSP_VGE?version=1.2&amp;operation=searchRetrieve&amp;recordSchema=marcxml&amp;query=alma.authority_id=276635167&amp;maximumRecords=0</t>
  </si>
  <si>
    <t>26372767X</t>
  </si>
  <si>
    <t>https://swisscovery.slsp.ch/view/sru/41SLSP_NETWORK?version=1.2&amp;operation=searchRetrieve&amp;recordSchema=marcxml&amp;query=alma.authority_id=26372767X&amp;maximumRecords=0</t>
  </si>
  <si>
    <t>https://swisscovery.slsp.ch/view/sru/41SLSP_VGE?version=1.2&amp;operation=searchRetrieve&amp;recordSchema=marcxml&amp;query=alma.authority_id=26372767X&amp;maximumRecords=0</t>
  </si>
  <si>
    <t>277086388</t>
  </si>
  <si>
    <t>https://swisscovery.slsp.ch/view/sru/41SLSP_NETWORK?version=1.2&amp;operation=searchRetrieve&amp;recordSchema=marcxml&amp;query=alma.authority_id=277086388&amp;maximumRecords=0</t>
  </si>
  <si>
    <t>https://swisscovery.slsp.ch/view/sru/41SLSP_VGE?version=1.2&amp;operation=searchRetrieve&amp;recordSchema=marcxml&amp;query=alma.authority_id=277086388&amp;maximumRecords=0</t>
  </si>
  <si>
    <t>256109192</t>
  </si>
  <si>
    <t>https://swisscovery.slsp.ch/view/sru/41SLSP_NETWORK?version=1.2&amp;operation=searchRetrieve&amp;recordSchema=marcxml&amp;query=alma.authority_id=256109192&amp;maximumRecords=0</t>
  </si>
  <si>
    <t>https://swisscovery.slsp.ch/view/sru/41SLSP_VGE?version=1.2&amp;operation=searchRetrieve&amp;recordSchema=marcxml&amp;query=alma.authority_id=256109192&amp;maximumRecords=0</t>
  </si>
  <si>
    <t>272533432</t>
  </si>
  <si>
    <t>https://swisscovery.slsp.ch/view/sru/41SLSP_NETWORK?version=1.2&amp;operation=searchRetrieve&amp;recordSchema=marcxml&amp;query=alma.authority_id=272533432&amp;maximumRecords=0</t>
  </si>
  <si>
    <t>https://swisscovery.slsp.ch/view/sru/41SLSP_VGE?version=1.2&amp;operation=searchRetrieve&amp;recordSchema=marcxml&amp;query=alma.authority_id=272533432&amp;maximumRecords=0</t>
  </si>
  <si>
    <t>255941668</t>
  </si>
  <si>
    <t>https://swisscovery.slsp.ch/view/sru/41SLSP_NETWORK?version=1.2&amp;operation=searchRetrieve&amp;recordSchema=marcxml&amp;query=alma.authority_id=255941668&amp;maximumRecords=0</t>
  </si>
  <si>
    <t>https://swisscovery.slsp.ch/view/sru/41SLSP_VGE?version=1.2&amp;operation=searchRetrieve&amp;recordSchema=marcxml&amp;query=alma.authority_id=255941668&amp;maximumRecords=0</t>
  </si>
  <si>
    <t>268467315</t>
  </si>
  <si>
    <t>https://swisscovery.slsp.ch/view/sru/41SLSP_NETWORK?version=1.2&amp;operation=searchRetrieve&amp;recordSchema=marcxml&amp;query=alma.authority_id=268467315&amp;maximumRecords=0</t>
  </si>
  <si>
    <t>https://swisscovery.slsp.ch/view/sru/41SLSP_VGE?version=1.2&amp;operation=searchRetrieve&amp;recordSchema=marcxml&amp;query=alma.authority_id=268467315&amp;maximumRecords=0</t>
  </si>
  <si>
    <t>256108730</t>
  </si>
  <si>
    <t>https://swisscovery.slsp.ch/view/sru/41SLSP_NETWORK?version=1.2&amp;operation=searchRetrieve&amp;recordSchema=marcxml&amp;query=alma.authority_id=256108730&amp;maximumRecords=0</t>
  </si>
  <si>
    <t>https://swisscovery.slsp.ch/view/sru/41SLSP_VGE?version=1.2&amp;operation=searchRetrieve&amp;recordSchema=marcxml&amp;query=alma.authority_id=256108730&amp;maximumRecords=0</t>
  </si>
  <si>
    <t>258308559</t>
  </si>
  <si>
    <t>https://swisscovery.slsp.ch/view/sru/41SLSP_NETWORK?version=1.2&amp;operation=searchRetrieve&amp;recordSchema=marcxml&amp;query=alma.authority_id=258308559&amp;maximumRecords=0</t>
  </si>
  <si>
    <t>https://swisscovery.slsp.ch/view/sru/41SLSP_VGE?version=1.2&amp;operation=searchRetrieve&amp;recordSchema=marcxml&amp;query=alma.authority_id=258308559&amp;maximumRecords=0</t>
  </si>
  <si>
    <t>264142128</t>
  </si>
  <si>
    <t>https://swisscovery.slsp.ch/view/sru/41SLSP_NETWORK?version=1.2&amp;operation=searchRetrieve&amp;recordSchema=marcxml&amp;query=alma.authority_id=264142128&amp;maximumRecords=0</t>
  </si>
  <si>
    <t>https://swisscovery.slsp.ch/view/sru/41SLSP_VGE?version=1.2&amp;operation=searchRetrieve&amp;recordSchema=marcxml&amp;query=alma.authority_id=264142128&amp;maximumRecords=0</t>
  </si>
  <si>
    <t>265299071</t>
  </si>
  <si>
    <t>https://swisscovery.slsp.ch/view/sru/41SLSP_NETWORK?version=1.2&amp;operation=searchRetrieve&amp;recordSchema=marcxml&amp;query=alma.authority_id=265299071&amp;maximumRecords=0</t>
  </si>
  <si>
    <t>https://swisscovery.slsp.ch/view/sru/41SLSP_VGE?version=1.2&amp;operation=searchRetrieve&amp;recordSchema=marcxml&amp;query=alma.authority_id=265299071&amp;maximumRecords=0</t>
  </si>
  <si>
    <t>080204171</t>
  </si>
  <si>
    <t>https://swisscovery.slsp.ch/view/sru/41SLSP_NETWORK?version=1.2&amp;operation=searchRetrieve&amp;recordSchema=marcxml&amp;query=alma.authority_id=080204171&amp;maximumRecords=0</t>
  </si>
  <si>
    <t>https://swisscovery.slsp.ch/view/sru/41SLSP_VGE?version=1.2&amp;operation=searchRetrieve&amp;recordSchema=marcxml&amp;query=alma.authority_id=080204171&amp;maximumRecords=0</t>
  </si>
  <si>
    <t>256763518</t>
  </si>
  <si>
    <t>https://swisscovery.slsp.ch/view/sru/41SLSP_NETWORK?version=1.2&amp;operation=searchRetrieve&amp;recordSchema=marcxml&amp;query=alma.authority_id=256763518&amp;maximumRecords=0</t>
  </si>
  <si>
    <t>https://swisscovery.slsp.ch/view/sru/41SLSP_VGE?version=1.2&amp;operation=searchRetrieve&amp;recordSchema=marcxml&amp;query=alma.authority_id=256763518&amp;maximumRecords=0</t>
  </si>
  <si>
    <t>266096522</t>
  </si>
  <si>
    <t>https://swisscovery.slsp.ch/view/sru/41SLSP_NETWORK?version=1.2&amp;operation=searchRetrieve&amp;recordSchema=marcxml&amp;query=alma.authority_id=266096522&amp;maximumRecords=0</t>
  </si>
  <si>
    <t>https://swisscovery.slsp.ch/view/sru/41SLSP_VGE?version=1.2&amp;operation=searchRetrieve&amp;recordSchema=marcxml&amp;query=alma.authority_id=266096522&amp;maximumRecords=0</t>
  </si>
  <si>
    <t>20050732X</t>
  </si>
  <si>
    <t>https://swisscovery.slsp.ch/view/sru/41SLSP_NETWORK?version=1.2&amp;operation=searchRetrieve&amp;recordSchema=marcxml&amp;query=alma.authority_id=20050732X&amp;maximumRecords=0</t>
  </si>
  <si>
    <t>https://swisscovery.slsp.ch/view/sru/41SLSP_VGE?version=1.2&amp;operation=searchRetrieve&amp;recordSchema=marcxml&amp;query=alma.authority_id=20050732X&amp;maximumRecords=0</t>
  </si>
  <si>
    <t>265784654</t>
  </si>
  <si>
    <t>https://swisscovery.slsp.ch/view/sru/41SLSP_NETWORK?version=1.2&amp;operation=searchRetrieve&amp;recordSchema=marcxml&amp;query=alma.authority_id=265784654&amp;maximumRecords=0</t>
  </si>
  <si>
    <t>https://swisscovery.slsp.ch/view/sru/41SLSP_VGE?version=1.2&amp;operation=searchRetrieve&amp;recordSchema=marcxml&amp;query=alma.authority_id=265784654&amp;maximumRecords=0</t>
  </si>
  <si>
    <t>276842065</t>
  </si>
  <si>
    <t>https://swisscovery.slsp.ch/view/sru/41SLSP_NETWORK?version=1.2&amp;operation=searchRetrieve&amp;recordSchema=marcxml&amp;query=alma.authority_id=276842065&amp;maximumRecords=0</t>
  </si>
  <si>
    <t>https://swisscovery.slsp.ch/view/sru/41SLSP_VGE?version=1.2&amp;operation=searchRetrieve&amp;recordSchema=marcxml&amp;query=alma.authority_id=276842065&amp;maximumRecords=0</t>
  </si>
  <si>
    <t>268677840</t>
  </si>
  <si>
    <t>https://swisscovery.slsp.ch/view/sru/41SLSP_NETWORK?version=1.2&amp;operation=searchRetrieve&amp;recordSchema=marcxml&amp;query=alma.authority_id=268677840&amp;maximumRecords=0</t>
  </si>
  <si>
    <t>https://swisscovery.slsp.ch/view/sru/41SLSP_VGE?version=1.2&amp;operation=searchRetrieve&amp;recordSchema=marcxml&amp;query=alma.authority_id=268677840&amp;maximumRecords=0</t>
  </si>
  <si>
    <t>276842162</t>
  </si>
  <si>
    <t>https://swisscovery.slsp.ch/view/sru/41SLSP_NETWORK?version=1.2&amp;operation=searchRetrieve&amp;recordSchema=marcxml&amp;query=alma.authority_id=276842162&amp;maximumRecords=0</t>
  </si>
  <si>
    <t>https://swisscovery.slsp.ch/view/sru/41SLSP_VGE?version=1.2&amp;operation=searchRetrieve&amp;recordSchema=marcxml&amp;query=alma.authority_id=276842162&amp;maximumRecords=0</t>
  </si>
  <si>
    <t>256060045</t>
  </si>
  <si>
    <t>https://swisscovery.slsp.ch/view/sru/41SLSP_NETWORK?version=1.2&amp;operation=searchRetrieve&amp;recordSchema=marcxml&amp;query=alma.authority_id=256060045&amp;maximumRecords=0</t>
  </si>
  <si>
    <t>https://swisscovery.slsp.ch/view/sru/41SLSP_VGE?version=1.2&amp;operation=searchRetrieve&amp;recordSchema=marcxml&amp;query=alma.authority_id=256060045&amp;maximumRecords=0</t>
  </si>
  <si>
    <t>255938004</t>
  </si>
  <si>
    <t>https://swisscovery.slsp.ch/view/sru/41SLSP_NETWORK?version=1.2&amp;operation=searchRetrieve&amp;recordSchema=marcxml&amp;query=alma.authority_id=255938004&amp;maximumRecords=0</t>
  </si>
  <si>
    <t>https://swisscovery.slsp.ch/view/sru/41SLSP_VGE?version=1.2&amp;operation=searchRetrieve&amp;recordSchema=marcxml&amp;query=alma.authority_id=255938004&amp;maximumRecords=0</t>
  </si>
  <si>
    <t>265815649</t>
  </si>
  <si>
    <t>https://swisscovery.slsp.ch/view/sru/41SLSP_NETWORK?version=1.2&amp;operation=searchRetrieve&amp;recordSchema=marcxml&amp;query=alma.authority_id=265815649&amp;maximumRecords=0</t>
  </si>
  <si>
    <t>https://swisscovery.slsp.ch/view/sru/41SLSP_VGE?version=1.2&amp;operation=searchRetrieve&amp;recordSchema=marcxml&amp;query=alma.authority_id=265815649&amp;maximumRecords=0</t>
  </si>
  <si>
    <t>270994661</t>
  </si>
  <si>
    <t>https://swisscovery.slsp.ch/view/sru/41SLSP_NETWORK?version=1.2&amp;operation=searchRetrieve&amp;recordSchema=marcxml&amp;query=alma.authority_id=270994661&amp;maximumRecords=0</t>
  </si>
  <si>
    <t>https://swisscovery.slsp.ch/view/sru/41SLSP_VGE?version=1.2&amp;operation=searchRetrieve&amp;recordSchema=marcxml&amp;query=alma.authority_id=270994661&amp;maximumRecords=0</t>
  </si>
  <si>
    <t>262267810</t>
  </si>
  <si>
    <t>https://swisscovery.slsp.ch/view/sru/41SLSP_NETWORK?version=1.2&amp;operation=searchRetrieve&amp;recordSchema=marcxml&amp;query=alma.authority_id=262267810&amp;maximumRecords=0</t>
  </si>
  <si>
    <t>https://swisscovery.slsp.ch/view/sru/41SLSP_VGE?version=1.2&amp;operation=searchRetrieve&amp;recordSchema=marcxml&amp;query=alma.authority_id=262267810&amp;maximumRecords=0</t>
  </si>
  <si>
    <t>271516887</t>
  </si>
  <si>
    <t>https://swisscovery.slsp.ch/view/sru/41SLSP_NETWORK?version=1.2&amp;operation=searchRetrieve&amp;recordSchema=marcxml&amp;query=alma.authority_id=271516887&amp;maximumRecords=0</t>
  </si>
  <si>
    <t>https://swisscovery.slsp.ch/view/sru/41SLSP_VGE?version=1.2&amp;operation=searchRetrieve&amp;recordSchema=marcxml&amp;query=alma.authority_id=271516887&amp;maximumRecords=0</t>
  </si>
  <si>
    <t>262996383</t>
  </si>
  <si>
    <t>https://swisscovery.slsp.ch/view/sru/41SLSP_NETWORK?version=1.2&amp;operation=searchRetrieve&amp;recordSchema=marcxml&amp;query=alma.authority_id=262996383&amp;maximumRecords=0</t>
  </si>
  <si>
    <t>https://swisscovery.slsp.ch/view/sru/41SLSP_VGE?version=1.2&amp;operation=searchRetrieve&amp;recordSchema=marcxml&amp;query=alma.authority_id=262996383&amp;maximumRecords=0</t>
  </si>
  <si>
    <t>271531207</t>
  </si>
  <si>
    <t>https://swisscovery.slsp.ch/view/sru/41SLSP_NETWORK?version=1.2&amp;operation=searchRetrieve&amp;recordSchema=marcxml&amp;query=alma.authority_id=271531207&amp;maximumRecords=0</t>
  </si>
  <si>
    <t>https://swisscovery.slsp.ch/view/sru/41SLSP_VGE?version=1.2&amp;operation=searchRetrieve&amp;recordSchema=marcxml&amp;query=alma.authority_id=271531207&amp;maximumRecords=0</t>
  </si>
  <si>
    <t>276746481</t>
  </si>
  <si>
    <t>https://swisscovery.slsp.ch/view/sru/41SLSP_NETWORK?version=1.2&amp;operation=searchRetrieve&amp;recordSchema=marcxml&amp;query=alma.authority_id=276746481&amp;maximumRecords=0</t>
  </si>
  <si>
    <t>https://swisscovery.slsp.ch/view/sru/41SLSP_VGE?version=1.2&amp;operation=searchRetrieve&amp;recordSchema=marcxml&amp;query=alma.authority_id=276746481&amp;maximumRecords=0</t>
  </si>
  <si>
    <t>027105342</t>
  </si>
  <si>
    <t>https://swisscovery.slsp.ch/view/sru/41SLSP_NETWORK?version=1.2&amp;operation=searchRetrieve&amp;recordSchema=marcxml&amp;query=alma.authority_id=027105342&amp;maximumRecords=0</t>
  </si>
  <si>
    <t>https://swisscovery.slsp.ch/view/sru/41SLSP_VGE?version=1.2&amp;operation=searchRetrieve&amp;recordSchema=marcxml&amp;query=alma.authority_id=027105342&amp;maximumRecords=0</t>
  </si>
  <si>
    <t>265311144</t>
  </si>
  <si>
    <t>https://swisscovery.slsp.ch/view/sru/41SLSP_NETWORK?version=1.2&amp;operation=searchRetrieve&amp;recordSchema=marcxml&amp;query=alma.authority_id=265311144&amp;maximumRecords=0</t>
  </si>
  <si>
    <t>https://swisscovery.slsp.ch/view/sru/41SLSP_VGE?version=1.2&amp;operation=searchRetrieve&amp;recordSchema=marcxml&amp;query=alma.authority_id=265311144&amp;maximumRecords=0</t>
  </si>
  <si>
    <t>256911002</t>
  </si>
  <si>
    <t>https://swisscovery.slsp.ch/view/sru/41SLSP_NETWORK?version=1.2&amp;operation=searchRetrieve&amp;recordSchema=marcxml&amp;query=alma.authority_id=256911002&amp;maximumRecords=0</t>
  </si>
  <si>
    <t>https://swisscovery.slsp.ch/view/sru/41SLSP_VGE?version=1.2&amp;operation=searchRetrieve&amp;recordSchema=marcxml&amp;query=alma.authority_id=256911002&amp;maximumRecords=0</t>
  </si>
  <si>
    <t>261274791</t>
  </si>
  <si>
    <t>https://swisscovery.slsp.ch/view/sru/41SLSP_NETWORK?version=1.2&amp;operation=searchRetrieve&amp;recordSchema=marcxml&amp;query=alma.authority_id=261274791&amp;maximumRecords=0</t>
  </si>
  <si>
    <t>https://swisscovery.slsp.ch/view/sru/41SLSP_VGE?version=1.2&amp;operation=searchRetrieve&amp;recordSchema=marcxml&amp;query=alma.authority_id=261274791&amp;maximumRecords=0</t>
  </si>
  <si>
    <t>170747158</t>
  </si>
  <si>
    <t>https://swisscovery.slsp.ch/view/sru/41SLSP_NETWORK?version=1.2&amp;operation=searchRetrieve&amp;recordSchema=marcxml&amp;query=alma.authority_id=170747158&amp;maximumRecords=0</t>
  </si>
  <si>
    <t>https://swisscovery.slsp.ch/view/sru/41SLSP_VGE?version=1.2&amp;operation=searchRetrieve&amp;recordSchema=marcxml&amp;query=alma.authority_id=170747158&amp;maximumRecords=0</t>
  </si>
  <si>
    <t>261274449</t>
  </si>
  <si>
    <t>https://swisscovery.slsp.ch/view/sru/41SLSP_NETWORK?version=1.2&amp;operation=searchRetrieve&amp;recordSchema=marcxml&amp;query=alma.authority_id=261274449&amp;maximumRecords=0</t>
  </si>
  <si>
    <t>https://swisscovery.slsp.ch/view/sru/41SLSP_VGE?version=1.2&amp;operation=searchRetrieve&amp;recordSchema=marcxml&amp;query=alma.authority_id=261274449&amp;maximumRecords=0</t>
  </si>
  <si>
    <t>25979838X</t>
  </si>
  <si>
    <t>https://swisscovery.slsp.ch/view/sru/41SLSP_NETWORK?version=1.2&amp;operation=searchRetrieve&amp;recordSchema=marcxml&amp;query=alma.authority_id=25979838X&amp;maximumRecords=0</t>
  </si>
  <si>
    <t>https://swisscovery.slsp.ch/view/sru/41SLSP_VGE?version=1.2&amp;operation=searchRetrieve&amp;recordSchema=marcxml&amp;query=alma.authority_id=25979838X&amp;maximumRecords=0</t>
  </si>
  <si>
    <t>263845591</t>
  </si>
  <si>
    <t>https://swisscovery.slsp.ch/view/sru/41SLSP_NETWORK?version=1.2&amp;operation=searchRetrieve&amp;recordSchema=marcxml&amp;query=alma.authority_id=263845591&amp;maximumRecords=0</t>
  </si>
  <si>
    <t>https://swisscovery.slsp.ch/view/sru/41SLSP_VGE?version=1.2&amp;operation=searchRetrieve&amp;recordSchema=marcxml&amp;query=alma.authority_id=263845591&amp;maximumRecords=0</t>
  </si>
  <si>
    <t>224902520</t>
  </si>
  <si>
    <t>https://swisscovery.slsp.ch/view/sru/41SLSP_NETWORK?version=1.2&amp;operation=searchRetrieve&amp;recordSchema=marcxml&amp;query=alma.authority_id=224902520&amp;maximumRecords=0</t>
  </si>
  <si>
    <t>https://swisscovery.slsp.ch/view/sru/41SLSP_VGE?version=1.2&amp;operation=searchRetrieve&amp;recordSchema=marcxml&amp;query=alma.authority_id=224902520&amp;maximumRecords=0</t>
  </si>
  <si>
    <t>25932096X</t>
  </si>
  <si>
    <t>https://swisscovery.slsp.ch/view/sru/41SLSP_NETWORK?version=1.2&amp;operation=searchRetrieve&amp;recordSchema=marcxml&amp;query=alma.authority_id=25932096X&amp;maximumRecords=0</t>
  </si>
  <si>
    <t>https://swisscovery.slsp.ch/view/sru/41SLSP_VGE?version=1.2&amp;operation=searchRetrieve&amp;recordSchema=marcxml&amp;query=alma.authority_id=25932096X&amp;maximumRecords=0</t>
  </si>
  <si>
    <t>27109706X</t>
  </si>
  <si>
    <t>https://swisscovery.slsp.ch/view/sru/41SLSP_NETWORK?version=1.2&amp;operation=searchRetrieve&amp;recordSchema=marcxml&amp;query=alma.authority_id=27109706X&amp;maximumRecords=0</t>
  </si>
  <si>
    <t>https://swisscovery.slsp.ch/view/sru/41SLSP_VGE?version=1.2&amp;operation=searchRetrieve&amp;recordSchema=marcxml&amp;query=alma.authority_id=27109706X&amp;maximumRecords=0</t>
  </si>
  <si>
    <t>079068693</t>
  </si>
  <si>
    <t>https://swisscovery.slsp.ch/view/sru/41SLSP_NETWORK?version=1.2&amp;operation=searchRetrieve&amp;recordSchema=marcxml&amp;query=alma.authority_id=079068693&amp;maximumRecords=0</t>
  </si>
  <si>
    <t>https://swisscovery.slsp.ch/view/sru/41SLSP_VGE?version=1.2&amp;operation=searchRetrieve&amp;recordSchema=marcxml&amp;query=alma.authority_id=079068693&amp;maximumRecords=0</t>
  </si>
  <si>
    <t>251622614</t>
  </si>
  <si>
    <t>https://swisscovery.slsp.ch/view/sru/41SLSP_NETWORK?version=1.2&amp;operation=searchRetrieve&amp;recordSchema=marcxml&amp;query=alma.authority_id=251622614&amp;maximumRecords=0</t>
  </si>
  <si>
    <t>https://swisscovery.slsp.ch/view/sru/41SLSP_VGE?version=1.2&amp;operation=searchRetrieve&amp;recordSchema=marcxml&amp;query=alma.authority_id=251622614&amp;maximumRecords=0</t>
  </si>
  <si>
    <t>260592714</t>
  </si>
  <si>
    <t>https://swisscovery.slsp.ch/view/sru/41SLSP_NETWORK?version=1.2&amp;operation=searchRetrieve&amp;recordSchema=marcxml&amp;query=alma.authority_id=260592714&amp;maximumRecords=0</t>
  </si>
  <si>
    <t>https://swisscovery.slsp.ch/view/sru/41SLSP_VGE?version=1.2&amp;operation=searchRetrieve&amp;recordSchema=marcxml&amp;query=alma.authority_id=260592714&amp;maximumRecords=0</t>
  </si>
  <si>
    <t>27050415X</t>
  </si>
  <si>
    <t>https://swisscovery.slsp.ch/view/sru/41SLSP_NETWORK?version=1.2&amp;operation=searchRetrieve&amp;recordSchema=marcxml&amp;query=alma.authority_id=27050415X&amp;maximumRecords=0</t>
  </si>
  <si>
    <t>https://swisscovery.slsp.ch/view/sru/41SLSP_VGE?version=1.2&amp;operation=searchRetrieve&amp;recordSchema=marcxml&amp;query=alma.authority_id=27050415X&amp;maximumRecords=0</t>
  </si>
  <si>
    <t>27734901X</t>
  </si>
  <si>
    <t>https://swisscovery.slsp.ch/view/sru/41SLSP_NETWORK?version=1.2&amp;operation=searchRetrieve&amp;recordSchema=marcxml&amp;query=alma.authority_id=27734901X&amp;maximumRecords=0</t>
  </si>
  <si>
    <t>https://swisscovery.slsp.ch/view/sru/41SLSP_VGE?version=1.2&amp;operation=searchRetrieve&amp;recordSchema=marcxml&amp;query=alma.authority_id=27734901X&amp;maximumRecords=0</t>
  </si>
  <si>
    <t>259329177</t>
  </si>
  <si>
    <t>https://swisscovery.slsp.ch/view/sru/41SLSP_NETWORK?version=1.2&amp;operation=searchRetrieve&amp;recordSchema=marcxml&amp;query=alma.authority_id=259329177&amp;maximumRecords=0</t>
  </si>
  <si>
    <t>https://swisscovery.slsp.ch/view/sru/41SLSP_VGE?version=1.2&amp;operation=searchRetrieve&amp;recordSchema=marcxml&amp;query=alma.authority_id=259329177&amp;maximumRecords=0</t>
  </si>
  <si>
    <t>261594818</t>
  </si>
  <si>
    <t>https://swisscovery.slsp.ch/view/sru/41SLSP_NETWORK?version=1.2&amp;operation=searchRetrieve&amp;recordSchema=marcxml&amp;query=alma.authority_id=261594818&amp;maximumRecords=0</t>
  </si>
  <si>
    <t>https://swisscovery.slsp.ch/view/sru/41SLSP_VGE?version=1.2&amp;operation=searchRetrieve&amp;recordSchema=marcxml&amp;query=alma.authority_id=261594818&amp;maximumRecords=0</t>
  </si>
  <si>
    <t>074914537</t>
  </si>
  <si>
    <t>https://swisscovery.slsp.ch/view/sru/41SLSP_NETWORK?version=1.2&amp;operation=searchRetrieve&amp;recordSchema=marcxml&amp;query=alma.authority_id=074914537&amp;maximumRecords=0</t>
  </si>
  <si>
    <t>https://swisscovery.slsp.ch/view/sru/41SLSP_VGE?version=1.2&amp;operation=searchRetrieve&amp;recordSchema=marcxml&amp;query=alma.authority_id=074914537&amp;maximumRecords=0</t>
  </si>
  <si>
    <t>259435163</t>
  </si>
  <si>
    <t>https://swisscovery.slsp.ch/view/sru/41SLSP_NETWORK?version=1.2&amp;operation=searchRetrieve&amp;recordSchema=marcxml&amp;query=alma.authority_id=259435163&amp;maximumRecords=0</t>
  </si>
  <si>
    <t>https://swisscovery.slsp.ch/view/sru/41SLSP_VGE?version=1.2&amp;operation=searchRetrieve&amp;recordSchema=marcxml&amp;query=alma.authority_id=259435163&amp;maximumRecords=0</t>
  </si>
  <si>
    <t>270511636</t>
  </si>
  <si>
    <t>https://swisscovery.slsp.ch/view/sru/41SLSP_NETWORK?version=1.2&amp;operation=searchRetrieve&amp;recordSchema=marcxml&amp;query=alma.authority_id=270511636&amp;maximumRecords=0</t>
  </si>
  <si>
    <t>https://swisscovery.slsp.ch/view/sru/41SLSP_VGE?version=1.2&amp;operation=searchRetrieve&amp;recordSchema=marcxml&amp;query=alma.authority_id=270511636&amp;maximumRecords=0</t>
  </si>
  <si>
    <t>256349398</t>
  </si>
  <si>
    <t>https://swisscovery.slsp.ch/view/sru/41SLSP_NETWORK?version=1.2&amp;operation=searchRetrieve&amp;recordSchema=marcxml&amp;query=alma.authority_id=256349398&amp;maximumRecords=0</t>
  </si>
  <si>
    <t>https://swisscovery.slsp.ch/view/sru/41SLSP_VGE?version=1.2&amp;operation=searchRetrieve&amp;recordSchema=marcxml&amp;query=alma.authority_id=256349398&amp;maximumRecords=0</t>
  </si>
  <si>
    <t>15378752X</t>
  </si>
  <si>
    <t>https://swisscovery.slsp.ch/view/sru/41SLSP_NETWORK?version=1.2&amp;operation=searchRetrieve&amp;recordSchema=marcxml&amp;query=alma.authority_id=15378752X&amp;maximumRecords=0</t>
  </si>
  <si>
    <t>https://swisscovery.slsp.ch/view/sru/41SLSP_VGE?version=1.2&amp;operation=searchRetrieve&amp;recordSchema=marcxml&amp;query=alma.authority_id=15378752X&amp;maximumRecords=0</t>
  </si>
  <si>
    <t>277348730</t>
  </si>
  <si>
    <t>https://swisscovery.slsp.ch/view/sru/41SLSP_NETWORK?version=1.2&amp;operation=searchRetrieve&amp;recordSchema=marcxml&amp;query=alma.authority_id=277348730&amp;maximumRecords=0</t>
  </si>
  <si>
    <t>https://swisscovery.slsp.ch/view/sru/41SLSP_VGE?version=1.2&amp;operation=searchRetrieve&amp;recordSchema=marcxml&amp;query=alma.authority_id=277348730&amp;maximumRecords=0</t>
  </si>
  <si>
    <t>251543072</t>
  </si>
  <si>
    <t>https://swisscovery.slsp.ch/view/sru/41SLSP_NETWORK?version=1.2&amp;operation=searchRetrieve&amp;recordSchema=marcxml&amp;query=alma.authority_id=251543072&amp;maximumRecords=0</t>
  </si>
  <si>
    <t>https://swisscovery.slsp.ch/view/sru/41SLSP_VGE?version=1.2&amp;operation=searchRetrieve&amp;recordSchema=marcxml&amp;query=alma.authority_id=251543072&amp;maximumRecords=0</t>
  </si>
  <si>
    <t>269878920</t>
  </si>
  <si>
    <t>https://swisscovery.slsp.ch/view/sru/41SLSP_NETWORK?version=1.2&amp;operation=searchRetrieve&amp;recordSchema=marcxml&amp;query=alma.authority_id=269878920&amp;maximumRecords=0</t>
  </si>
  <si>
    <t>https://swisscovery.slsp.ch/view/sru/41SLSP_VGE?version=1.2&amp;operation=searchRetrieve&amp;recordSchema=marcxml&amp;query=alma.authority_id=269878920&amp;maximumRecords=0</t>
  </si>
  <si>
    <t>279110669</t>
  </si>
  <si>
    <t>https://swisscovery.slsp.ch/view/sru/41SLSP_NETWORK?version=1.2&amp;operation=searchRetrieve&amp;recordSchema=marcxml&amp;query=alma.authority_id=279110669&amp;maximumRecords=0</t>
  </si>
  <si>
    <t>https://swisscovery.slsp.ch/view/sru/41SLSP_VGE?version=1.2&amp;operation=searchRetrieve&amp;recordSchema=marcxml&amp;query=alma.authority_id=279110669&amp;maximumRecords=0</t>
  </si>
  <si>
    <t>27870784X</t>
  </si>
  <si>
    <t>https://swisscovery.slsp.ch/view/sru/41SLSP_NETWORK?version=1.2&amp;operation=searchRetrieve&amp;recordSchema=marcxml&amp;query=alma.authority_id=27870784X&amp;maximumRecords=0</t>
  </si>
  <si>
    <t>https://swisscovery.slsp.ch/view/sru/41SLSP_VGE?version=1.2&amp;operation=searchRetrieve&amp;recordSchema=marcxml&amp;query=alma.authority_id=27870784X&amp;maximumRecords=0</t>
  </si>
  <si>
    <t>263612252</t>
  </si>
  <si>
    <t>https://swisscovery.slsp.ch/view/sru/41SLSP_NETWORK?version=1.2&amp;operation=searchRetrieve&amp;recordSchema=marcxml&amp;query=alma.authority_id=263612252&amp;maximumRecords=0</t>
  </si>
  <si>
    <t>https://swisscovery.slsp.ch/view/sru/41SLSP_VGE?version=1.2&amp;operation=searchRetrieve&amp;recordSchema=marcxml&amp;query=alma.authority_id=263612252&amp;maximumRecords=0</t>
  </si>
  <si>
    <t>279585470</t>
  </si>
  <si>
    <t>https://swisscovery.slsp.ch/view/sru/41SLSP_NETWORK?version=1.2&amp;operation=searchRetrieve&amp;recordSchema=marcxml&amp;query=alma.authority_id=279585470&amp;maximumRecords=0</t>
  </si>
  <si>
    <t>https://swisscovery.slsp.ch/view/sru/41SLSP_VGE?version=1.2&amp;operation=searchRetrieve&amp;recordSchema=marcxml&amp;query=alma.authority_id=279585470&amp;maximumRecords=0</t>
  </si>
  <si>
    <t>279738323</t>
  </si>
  <si>
    <t>https://swisscovery.slsp.ch/view/sru/41SLSP_NETWORK?version=1.2&amp;operation=searchRetrieve&amp;recordSchema=marcxml&amp;query=alma.authority_id=279738323&amp;maximumRecords=0</t>
  </si>
  <si>
    <t>https://swisscovery.slsp.ch/view/sru/41SLSP_VGE?version=1.2&amp;operation=searchRetrieve&amp;recordSchema=marcxml&amp;query=alma.authority_id=279738323&amp;maximumRecords=0</t>
  </si>
  <si>
    <t>26703833X</t>
  </si>
  <si>
    <t>https://swisscovery.slsp.ch/view/sru/41SLSP_NETWORK?version=1.2&amp;operation=searchRetrieve&amp;recordSchema=marcxml&amp;query=alma.authority_id=26703833X&amp;maximumRecords=0</t>
  </si>
  <si>
    <t>https://swisscovery.slsp.ch/view/sru/41SLSP_VGE?version=1.2&amp;operation=searchRetrieve&amp;recordSchema=marcxml&amp;query=alma.authority_id=26703833X&amp;maximumRecords=0</t>
  </si>
  <si>
    <t>050825062</t>
  </si>
  <si>
    <t>https://swisscovery.slsp.ch/view/sru/41SLSP_NETWORK?version=1.2&amp;operation=searchRetrieve&amp;recordSchema=marcxml&amp;query=alma.authority_id=050825062&amp;maximumRecords=0</t>
  </si>
  <si>
    <t>https://swisscovery.slsp.ch/view/sru/41SLSP_VGE?version=1.2&amp;operation=searchRetrieve&amp;recordSchema=marcxml&amp;query=alma.authority_id=050825062&amp;maximumRecords=0</t>
  </si>
  <si>
    <t>277546931</t>
  </si>
  <si>
    <t>https://swisscovery.slsp.ch/view/sru/41SLSP_NETWORK?version=1.2&amp;operation=searchRetrieve&amp;recordSchema=marcxml&amp;query=alma.authority_id=277546931&amp;maximumRecords=0</t>
  </si>
  <si>
    <t>https://swisscovery.slsp.ch/view/sru/41SLSP_VGE?version=1.2&amp;operation=searchRetrieve&amp;recordSchema=marcxml&amp;query=alma.authority_id=277546931&amp;maximumRecords=0</t>
  </si>
  <si>
    <t>278881009</t>
  </si>
  <si>
    <t>https://swisscovery.slsp.ch/view/sru/41SLSP_NETWORK?version=1.2&amp;operation=searchRetrieve&amp;recordSchema=marcxml&amp;query=alma.authority_id=278881009&amp;maximumRecords=0</t>
  </si>
  <si>
    <t>https://swisscovery.slsp.ch/view/sru/41SLSP_VGE?version=1.2&amp;operation=searchRetrieve&amp;recordSchema=marcxml&amp;query=alma.authority_id=278881009&amp;maximumRecords=0</t>
  </si>
  <si>
    <t>186066627</t>
  </si>
  <si>
    <t>https://swisscovery.slsp.ch/view/sru/41SLSP_NETWORK?version=1.2&amp;operation=searchRetrieve&amp;recordSchema=marcxml&amp;query=alma.authority_id=186066627&amp;maximumRecords=0</t>
  </si>
  <si>
    <t>https://swisscovery.slsp.ch/view/sru/41SLSP_VGE?version=1.2&amp;operation=searchRetrieve&amp;recordSchema=marcxml&amp;query=alma.authority_id=186066627&amp;maximumRecords=0</t>
  </si>
  <si>
    <t>258131195</t>
  </si>
  <si>
    <t>https://swisscovery.slsp.ch/view/sru/41SLSP_NETWORK?version=1.2&amp;operation=searchRetrieve&amp;recordSchema=marcxml&amp;query=alma.authority_id=258131195&amp;maximumRecords=0</t>
  </si>
  <si>
    <t>https://swisscovery.slsp.ch/view/sru/41SLSP_VGE?version=1.2&amp;operation=searchRetrieve&amp;recordSchema=marcxml&amp;query=alma.authority_id=258131195&amp;maximumRecords=0</t>
  </si>
  <si>
    <t>256699046</t>
  </si>
  <si>
    <t>https://swisscovery.slsp.ch/view/sru/41SLSP_NETWORK?version=1.2&amp;operation=searchRetrieve&amp;recordSchema=marcxml&amp;query=alma.authority_id=256699046&amp;maximumRecords=0</t>
  </si>
  <si>
    <t>https://swisscovery.slsp.ch/view/sru/41SLSP_VGE?version=1.2&amp;operation=searchRetrieve&amp;recordSchema=marcxml&amp;query=alma.authority_id=256699046&amp;maximumRecords=0</t>
  </si>
  <si>
    <t>255014805</t>
  </si>
  <si>
    <t>https://swisscovery.slsp.ch/view/sru/41SLSP_NETWORK?version=1.2&amp;operation=searchRetrieve&amp;recordSchema=marcxml&amp;query=alma.authority_id=255014805&amp;maximumRecords=0</t>
  </si>
  <si>
    <t>https://swisscovery.slsp.ch/view/sru/41SLSP_VGE?version=1.2&amp;operation=searchRetrieve&amp;recordSchema=marcxml&amp;query=alma.authority_id=255014805&amp;maximumRecords=0</t>
  </si>
  <si>
    <t>155708457</t>
  </si>
  <si>
    <t>https://swisscovery.slsp.ch/view/sru/41SLSP_NETWORK?version=1.2&amp;operation=searchRetrieve&amp;recordSchema=marcxml&amp;query=alma.authority_id=155708457&amp;maximumRecords=0</t>
  </si>
  <si>
    <t>https://swisscovery.slsp.ch/view/sru/41SLSP_VGE?version=1.2&amp;operation=searchRetrieve&amp;recordSchema=marcxml&amp;query=alma.authority_id=155708457&amp;maximumRecords=0</t>
  </si>
  <si>
    <t>251445704</t>
  </si>
  <si>
    <t>https://swisscovery.slsp.ch/view/sru/41SLSP_NETWORK?version=1.2&amp;operation=searchRetrieve&amp;recordSchema=marcxml&amp;query=alma.authority_id=251445704&amp;maximumRecords=0</t>
  </si>
  <si>
    <t>https://swisscovery.slsp.ch/view/sru/41SLSP_VGE?version=1.2&amp;operation=searchRetrieve&amp;recordSchema=marcxml&amp;query=alma.authority_id=251445704&amp;maximumRecords=0</t>
  </si>
  <si>
    <t>258021586</t>
  </si>
  <si>
    <t>https://swisscovery.slsp.ch/view/sru/41SLSP_NETWORK?version=1.2&amp;operation=searchRetrieve&amp;recordSchema=marcxml&amp;query=alma.authority_id=258021586&amp;maximumRecords=0</t>
  </si>
  <si>
    <t>https://swisscovery.slsp.ch/view/sru/41SLSP_VGE?version=1.2&amp;operation=searchRetrieve&amp;recordSchema=marcxml&amp;query=alma.authority_id=258021586&amp;maximumRecords=0</t>
  </si>
  <si>
    <t>273872354</t>
  </si>
  <si>
    <t>https://swisscovery.slsp.ch/view/sru/41SLSP_NETWORK?version=1.2&amp;operation=searchRetrieve&amp;recordSchema=marcxml&amp;query=alma.authority_id=273872354&amp;maximumRecords=0</t>
  </si>
  <si>
    <t>https://swisscovery.slsp.ch/view/sru/41SLSP_VGE?version=1.2&amp;operation=searchRetrieve&amp;recordSchema=marcxml&amp;query=alma.authority_id=273872354&amp;maximumRecords=0</t>
  </si>
  <si>
    <t>263411907</t>
  </si>
  <si>
    <t>https://swisscovery.slsp.ch/view/sru/41SLSP_NETWORK?version=1.2&amp;operation=searchRetrieve&amp;recordSchema=marcxml&amp;query=alma.authority_id=263411907&amp;maximumRecords=0</t>
  </si>
  <si>
    <t>https://swisscovery.slsp.ch/view/sru/41SLSP_VGE?version=1.2&amp;operation=searchRetrieve&amp;recordSchema=marcxml&amp;query=alma.authority_id=263411907&amp;maximumRecords=0</t>
  </si>
  <si>
    <t>278881130</t>
  </si>
  <si>
    <t>https://swisscovery.slsp.ch/view/sru/41SLSP_NETWORK?version=1.2&amp;operation=searchRetrieve&amp;recordSchema=marcxml&amp;query=alma.authority_id=278881130&amp;maximumRecords=0</t>
  </si>
  <si>
    <t>https://swisscovery.slsp.ch/view/sru/41SLSP_VGE?version=1.2&amp;operation=searchRetrieve&amp;recordSchema=marcxml&amp;query=alma.authority_id=278881130&amp;maximumRecords=0</t>
  </si>
  <si>
    <t>260380709</t>
  </si>
  <si>
    <t>https://swisscovery.slsp.ch/view/sru/41SLSP_NETWORK?version=1.2&amp;operation=searchRetrieve&amp;recordSchema=marcxml&amp;query=alma.authority_id=260380709&amp;maximumRecords=0</t>
  </si>
  <si>
    <t>https://swisscovery.slsp.ch/view/sru/41SLSP_VGE?version=1.2&amp;operation=searchRetrieve&amp;recordSchema=marcxml&amp;query=alma.authority_id=260380709&amp;maximumRecords=0</t>
  </si>
  <si>
    <t>272704571</t>
  </si>
  <si>
    <t>https://swisscovery.slsp.ch/view/sru/41SLSP_NETWORK?version=1.2&amp;operation=searchRetrieve&amp;recordSchema=marcxml&amp;query=alma.authority_id=272704571&amp;maximumRecords=0</t>
  </si>
  <si>
    <t>https://swisscovery.slsp.ch/view/sru/41SLSP_VGE?version=1.2&amp;operation=searchRetrieve&amp;recordSchema=marcxml&amp;query=alma.authority_id=272704571&amp;maximumRecords=0</t>
  </si>
  <si>
    <t>279825870</t>
  </si>
  <si>
    <t>https://swisscovery.slsp.ch/view/sru/41SLSP_NETWORK?version=1.2&amp;operation=searchRetrieve&amp;recordSchema=marcxml&amp;query=alma.authority_id=279825870&amp;maximumRecords=0</t>
  </si>
  <si>
    <t>https://swisscovery.slsp.ch/view/sru/41SLSP_VGE?version=1.2&amp;operation=searchRetrieve&amp;recordSchema=marcxml&amp;query=alma.authority_id=279825870&amp;maximumRecords=0</t>
  </si>
  <si>
    <t>277610109</t>
  </si>
  <si>
    <t>https://swisscovery.slsp.ch/view/sru/41SLSP_NETWORK?version=1.2&amp;operation=searchRetrieve&amp;recordSchema=marcxml&amp;query=alma.authority_id=277610109&amp;maximumRecords=0</t>
  </si>
  <si>
    <t>https://swisscovery.slsp.ch/view/sru/41SLSP_VGE?version=1.2&amp;operation=searchRetrieve&amp;recordSchema=marcxml&amp;query=alma.authority_id=277610109&amp;maximumRecords=0</t>
  </si>
  <si>
    <t>25702106X</t>
  </si>
  <si>
    <t>https://swisscovery.slsp.ch/view/sru/41SLSP_NETWORK?version=1.2&amp;operation=searchRetrieve&amp;recordSchema=marcxml&amp;query=alma.authority_id=25702106X&amp;maximumRecords=0</t>
  </si>
  <si>
    <t>https://swisscovery.slsp.ch/view/sru/41SLSP_VGE?version=1.2&amp;operation=searchRetrieve&amp;recordSchema=marcxml&amp;query=alma.authority_id=25702106X&amp;maximumRecords=0</t>
  </si>
  <si>
    <t>272397784</t>
  </si>
  <si>
    <t>https://swisscovery.slsp.ch/view/sru/41SLSP_NETWORK?version=1.2&amp;operation=searchRetrieve&amp;recordSchema=marcxml&amp;query=alma.authority_id=272397784&amp;maximumRecords=0</t>
  </si>
  <si>
    <t>https://swisscovery.slsp.ch/view/sru/41SLSP_VGE?version=1.2&amp;operation=searchRetrieve&amp;recordSchema=marcxml&amp;query=alma.authority_id=272397784&amp;maximumRecords=0</t>
  </si>
  <si>
    <t>259946508</t>
  </si>
  <si>
    <t>https://swisscovery.slsp.ch/view/sru/41SLSP_NETWORK?version=1.2&amp;operation=searchRetrieve&amp;recordSchema=marcxml&amp;query=alma.authority_id=259946508&amp;maximumRecords=0</t>
  </si>
  <si>
    <t>https://swisscovery.slsp.ch/view/sru/41SLSP_VGE?version=1.2&amp;operation=searchRetrieve&amp;recordSchema=marcxml&amp;query=alma.authority_id=259946508&amp;maximumRecords=0</t>
  </si>
  <si>
    <t>265291046</t>
  </si>
  <si>
    <t>https://swisscovery.slsp.ch/view/sru/41SLSP_NETWORK?version=1.2&amp;operation=searchRetrieve&amp;recordSchema=marcxml&amp;query=alma.authority_id=265291046&amp;maximumRecords=0</t>
  </si>
  <si>
    <t>https://swisscovery.slsp.ch/view/sru/41SLSP_VGE?version=1.2&amp;operation=searchRetrieve&amp;recordSchema=marcxml&amp;query=alma.authority_id=265291046&amp;maximumRecords=0</t>
  </si>
  <si>
    <t>278506186</t>
  </si>
  <si>
    <t>https://swisscovery.slsp.ch/view/sru/41SLSP_NETWORK?version=1.2&amp;operation=searchRetrieve&amp;recordSchema=marcxml&amp;query=alma.authority_id=278506186&amp;maximumRecords=0</t>
  </si>
  <si>
    <t>https://swisscovery.slsp.ch/view/sru/41SLSP_VGE?version=1.2&amp;operation=searchRetrieve&amp;recordSchema=marcxml&amp;query=alma.authority_id=278506186&amp;maximumRecords=0</t>
  </si>
  <si>
    <t>26360909X</t>
  </si>
  <si>
    <t>https://swisscovery.slsp.ch/view/sru/41SLSP_NETWORK?version=1.2&amp;operation=searchRetrieve&amp;recordSchema=marcxml&amp;query=alma.authority_id=26360909X&amp;maximumRecords=0</t>
  </si>
  <si>
    <t>https://swisscovery.slsp.ch/view/sru/41SLSP_VGE?version=1.2&amp;operation=searchRetrieve&amp;recordSchema=marcxml&amp;query=alma.authority_id=26360909X&amp;maximumRecords=0</t>
  </si>
  <si>
    <t>280449542</t>
  </si>
  <si>
    <t>https://swisscovery.slsp.ch/view/sru/41SLSP_NETWORK?version=1.2&amp;operation=searchRetrieve&amp;recordSchema=marcxml&amp;query=alma.authority_id=280449542&amp;maximumRecords=0</t>
  </si>
  <si>
    <t>https://swisscovery.slsp.ch/view/sru/41SLSP_VGE?version=1.2&amp;operation=searchRetrieve&amp;recordSchema=marcxml&amp;query=alma.authority_id=280449542&amp;maximumRecords=0</t>
  </si>
  <si>
    <t>258021659</t>
  </si>
  <si>
    <t>https://swisscovery.slsp.ch/view/sru/41SLSP_NETWORK?version=1.2&amp;operation=searchRetrieve&amp;recordSchema=marcxml&amp;query=alma.authority_id=258021659&amp;maximumRecords=0</t>
  </si>
  <si>
    <t>https://swisscovery.slsp.ch/view/sru/41SLSP_VGE?version=1.2&amp;operation=searchRetrieve&amp;recordSchema=marcxml&amp;query=alma.authority_id=258021659&amp;maximumRecords=0</t>
  </si>
  <si>
    <t>262561484</t>
  </si>
  <si>
    <t>https://swisscovery.slsp.ch/view/sru/41SLSP_NETWORK?version=1.2&amp;operation=searchRetrieve&amp;recordSchema=marcxml&amp;query=alma.authority_id=262561484&amp;maximumRecords=0</t>
  </si>
  <si>
    <t>https://swisscovery.slsp.ch/view/sru/41SLSP_VGE?version=1.2&amp;operation=searchRetrieve&amp;recordSchema=marcxml&amp;query=alma.authority_id=262561484&amp;maximumRecords=0</t>
  </si>
  <si>
    <t>12860493X</t>
  </si>
  <si>
    <t>https://swisscovery.slsp.ch/view/sru/41SLSP_NETWORK?version=1.2&amp;operation=searchRetrieve&amp;recordSchema=marcxml&amp;query=alma.authority_id=12860493X&amp;maximumRecords=0</t>
  </si>
  <si>
    <t>https://swisscovery.slsp.ch/view/sru/41SLSP_VGE?version=1.2&amp;operation=searchRetrieve&amp;recordSchema=marcxml&amp;query=alma.authority_id=12860493X&amp;maximumRecords=0</t>
  </si>
  <si>
    <t>270725407</t>
  </si>
  <si>
    <t>https://swisscovery.slsp.ch/view/sru/41SLSP_NETWORK?version=1.2&amp;operation=searchRetrieve&amp;recordSchema=marcxml&amp;query=alma.authority_id=270725407&amp;maximumRecords=0</t>
  </si>
  <si>
    <t>https://swisscovery.slsp.ch/view/sru/41SLSP_VGE?version=1.2&amp;operation=searchRetrieve&amp;recordSchema=marcxml&amp;query=alma.authority_id=270725407&amp;maximumRecords=0</t>
  </si>
  <si>
    <t>275155846</t>
  </si>
  <si>
    <t>https://swisscovery.slsp.ch/view/sru/41SLSP_NETWORK?version=1.2&amp;operation=searchRetrieve&amp;recordSchema=marcxml&amp;query=alma.authority_id=275155846&amp;maximumRecords=0</t>
  </si>
  <si>
    <t>https://swisscovery.slsp.ch/view/sru/41SLSP_VGE?version=1.2&amp;operation=searchRetrieve&amp;recordSchema=marcxml&amp;query=alma.authority_id=275155846&amp;maximumRecords=0</t>
  </si>
  <si>
    <t>257614028</t>
  </si>
  <si>
    <t>https://swisscovery.slsp.ch/view/sru/41SLSP_NETWORK?version=1.2&amp;operation=searchRetrieve&amp;recordSchema=marcxml&amp;query=alma.authority_id=257614028&amp;maximumRecords=0</t>
  </si>
  <si>
    <t>https://swisscovery.slsp.ch/view/sru/41SLSP_VGE?version=1.2&amp;operation=searchRetrieve&amp;recordSchema=marcxml&amp;query=alma.authority_id=257614028&amp;maximumRecords=0</t>
  </si>
  <si>
    <t>258147911</t>
  </si>
  <si>
    <t>https://swisscovery.slsp.ch/view/sru/41SLSP_NETWORK?version=1.2&amp;operation=searchRetrieve&amp;recordSchema=marcxml&amp;query=alma.authority_id=258147911&amp;maximumRecords=0</t>
  </si>
  <si>
    <t>https://swisscovery.slsp.ch/view/sru/41SLSP_VGE?version=1.2&amp;operation=searchRetrieve&amp;recordSchema=marcxml&amp;query=alma.authority_id=258147911&amp;maximumRecords=0</t>
  </si>
  <si>
    <t>279820321</t>
  </si>
  <si>
    <t>https://swisscovery.slsp.ch/view/sru/41SLSP_NETWORK?version=1.2&amp;operation=searchRetrieve&amp;recordSchema=marcxml&amp;query=alma.authority_id=279820321&amp;maximumRecords=0</t>
  </si>
  <si>
    <t>https://swisscovery.slsp.ch/view/sru/41SLSP_VGE?version=1.2&amp;operation=searchRetrieve&amp;recordSchema=marcxml&amp;query=alma.authority_id=279820321&amp;maximumRecords=0</t>
  </si>
  <si>
    <t>277419840</t>
  </si>
  <si>
    <t>https://swisscovery.slsp.ch/view/sru/41SLSP_NETWORK?version=1.2&amp;operation=searchRetrieve&amp;recordSchema=marcxml&amp;query=alma.authority_id=277419840&amp;maximumRecords=0</t>
  </si>
  <si>
    <t>https://swisscovery.slsp.ch/view/sru/41SLSP_VGE?version=1.2&amp;operation=searchRetrieve&amp;recordSchema=marcxml&amp;query=alma.authority_id=277419840&amp;maximumRecords=0</t>
  </si>
  <si>
    <t>139615717</t>
  </si>
  <si>
    <t>https://swisscovery.slsp.ch/view/sru/41SLSP_NETWORK?version=1.2&amp;operation=searchRetrieve&amp;recordSchema=marcxml&amp;query=alma.authority_id=139615717&amp;maximumRecords=0</t>
  </si>
  <si>
    <t>https://swisscovery.slsp.ch/view/sru/41SLSP_VGE?version=1.2&amp;operation=searchRetrieve&amp;recordSchema=marcxml&amp;query=alma.authority_id=139615717&amp;maximumRecords=0</t>
  </si>
  <si>
    <t>08567303X</t>
  </si>
  <si>
    <t>https://swisscovery.slsp.ch/view/sru/41SLSP_NETWORK?version=1.2&amp;operation=searchRetrieve&amp;recordSchema=marcxml&amp;query=alma.authority_id=08567303X&amp;maximumRecords=0</t>
  </si>
  <si>
    <t>https://swisscovery.slsp.ch/view/sru/41SLSP_VGE?version=1.2&amp;operation=searchRetrieve&amp;recordSchema=marcxml&amp;query=alma.authority_id=08567303X&amp;maximumRecords=0</t>
  </si>
  <si>
    <t>265356008</t>
  </si>
  <si>
    <t>https://swisscovery.slsp.ch/view/sru/41SLSP_NETWORK?version=1.2&amp;operation=searchRetrieve&amp;recordSchema=marcxml&amp;query=alma.authority_id=265356008&amp;maximumRecords=0</t>
  </si>
  <si>
    <t>https://swisscovery.slsp.ch/view/sru/41SLSP_VGE?version=1.2&amp;operation=searchRetrieve&amp;recordSchema=marcxml&amp;query=alma.authority_id=265356008&amp;maximumRecords=0</t>
  </si>
  <si>
    <t>276269500</t>
  </si>
  <si>
    <t>https://swisscovery.slsp.ch/view/sru/41SLSP_NETWORK?version=1.2&amp;operation=searchRetrieve&amp;recordSchema=marcxml&amp;query=alma.authority_id=276269500&amp;maximumRecords=0</t>
  </si>
  <si>
    <t>https://swisscovery.slsp.ch/view/sru/41SLSP_VGE?version=1.2&amp;operation=searchRetrieve&amp;recordSchema=marcxml&amp;query=alma.authority_id=276269500&amp;maximumRecords=0</t>
  </si>
  <si>
    <t>279473370</t>
  </si>
  <si>
    <t>https://swisscovery.slsp.ch/view/sru/41SLSP_NETWORK?version=1.2&amp;operation=searchRetrieve&amp;recordSchema=marcxml&amp;query=alma.authority_id=279473370&amp;maximumRecords=0</t>
  </si>
  <si>
    <t>https://swisscovery.slsp.ch/view/sru/41SLSP_VGE?version=1.2&amp;operation=searchRetrieve&amp;recordSchema=marcxml&amp;query=alma.authority_id=279473370&amp;maximumRecords=0</t>
  </si>
  <si>
    <t>196228476</t>
  </si>
  <si>
    <t>https://swisscovery.slsp.ch/view/sru/41SLSP_NETWORK?version=1.2&amp;operation=searchRetrieve&amp;recordSchema=marcxml&amp;query=alma.authority_id=196228476&amp;maximumRecords=0</t>
  </si>
  <si>
    <t>https://swisscovery.slsp.ch/view/sru/41SLSP_VGE?version=1.2&amp;operation=searchRetrieve&amp;recordSchema=marcxml&amp;query=alma.authority_id=196228476&amp;maximumRecords=0</t>
  </si>
  <si>
    <t>104540990</t>
  </si>
  <si>
    <t>https://swisscovery.slsp.ch/view/sru/41SLSP_NETWORK?version=1.2&amp;operation=searchRetrieve&amp;recordSchema=marcxml&amp;query=alma.authority_id=104540990&amp;maximumRecords=0</t>
  </si>
  <si>
    <t>https://swisscovery.slsp.ch/view/sru/41SLSP_VGE?version=1.2&amp;operation=searchRetrieve&amp;recordSchema=marcxml&amp;query=alma.authority_id=104540990&amp;maximumRecords=0</t>
  </si>
  <si>
    <t>261422618</t>
  </si>
  <si>
    <t>https://swisscovery.slsp.ch/view/sru/41SLSP_NETWORK?version=1.2&amp;operation=searchRetrieve&amp;recordSchema=marcxml&amp;query=alma.authority_id=261422618&amp;maximumRecords=0</t>
  </si>
  <si>
    <t>https://swisscovery.slsp.ch/view/sru/41SLSP_VGE?version=1.2&amp;operation=searchRetrieve&amp;recordSchema=marcxml&amp;query=alma.authority_id=261422618&amp;maximumRecords=0</t>
  </si>
  <si>
    <t>277575540</t>
  </si>
  <si>
    <t>https://swisscovery.slsp.ch/view/sru/41SLSP_NETWORK?version=1.2&amp;operation=searchRetrieve&amp;recordSchema=marcxml&amp;query=alma.authority_id=277575540&amp;maximumRecords=0</t>
  </si>
  <si>
    <t>https://swisscovery.slsp.ch/view/sru/41SLSP_VGE?version=1.2&amp;operation=searchRetrieve&amp;recordSchema=marcxml&amp;query=alma.authority_id=277575540&amp;maximumRecords=0</t>
  </si>
  <si>
    <t>033136173</t>
  </si>
  <si>
    <t>https://swisscovery.slsp.ch/view/sru/41SLSP_NETWORK?version=1.2&amp;operation=searchRetrieve&amp;recordSchema=marcxml&amp;query=alma.authority_id=033136173&amp;maximumRecords=0</t>
  </si>
  <si>
    <t>https://swisscovery.slsp.ch/view/sru/41SLSP_VGE?version=1.2&amp;operation=searchRetrieve&amp;recordSchema=marcxml&amp;query=alma.authority_id=033136173&amp;maximumRecords=0</t>
  </si>
  <si>
    <t>258138998</t>
  </si>
  <si>
    <t>https://swisscovery.slsp.ch/view/sru/41SLSP_NETWORK?version=1.2&amp;operation=searchRetrieve&amp;recordSchema=marcxml&amp;query=alma.authority_id=258138998&amp;maximumRecords=0</t>
  </si>
  <si>
    <t>https://swisscovery.slsp.ch/view/sru/41SLSP_VGE?version=1.2&amp;operation=searchRetrieve&amp;recordSchema=marcxml&amp;query=alma.authority_id=258138998&amp;maximumRecords=0</t>
  </si>
  <si>
    <t>271456310</t>
  </si>
  <si>
    <t>https://swisscovery.slsp.ch/view/sru/41SLSP_NETWORK?version=1.2&amp;operation=searchRetrieve&amp;recordSchema=marcxml&amp;query=alma.authority_id=271456310&amp;maximumRecords=0</t>
  </si>
  <si>
    <t>https://swisscovery.slsp.ch/view/sru/41SLSP_VGE?version=1.2&amp;operation=searchRetrieve&amp;recordSchema=marcxml&amp;query=alma.authority_id=271456310&amp;maximumRecords=0</t>
  </si>
  <si>
    <t>268843236</t>
  </si>
  <si>
    <t>https://swisscovery.slsp.ch/view/sru/41SLSP_NETWORK?version=1.2&amp;operation=searchRetrieve&amp;recordSchema=marcxml&amp;query=alma.authority_id=268843236&amp;maximumRecords=0</t>
  </si>
  <si>
    <t>https://swisscovery.slsp.ch/view/sru/41SLSP_VGE?version=1.2&amp;operation=searchRetrieve&amp;recordSchema=marcxml&amp;query=alma.authority_id=268843236&amp;maximumRecords=0</t>
  </si>
  <si>
    <t>279050755</t>
  </si>
  <si>
    <t>https://swisscovery.slsp.ch/view/sru/41SLSP_NETWORK?version=1.2&amp;operation=searchRetrieve&amp;recordSchema=marcxml&amp;query=alma.authority_id=279050755&amp;maximumRecords=0</t>
  </si>
  <si>
    <t>https://swisscovery.slsp.ch/view/sru/41SLSP_VGE?version=1.2&amp;operation=searchRetrieve&amp;recordSchema=marcxml&amp;query=alma.authority_id=279050755&amp;maximumRecords=0</t>
  </si>
  <si>
    <t>258280549</t>
  </si>
  <si>
    <t>https://swisscovery.slsp.ch/view/sru/41SLSP_NETWORK?version=1.2&amp;operation=searchRetrieve&amp;recordSchema=marcxml&amp;query=alma.authority_id=258280549&amp;maximumRecords=0</t>
  </si>
  <si>
    <t>https://swisscovery.slsp.ch/view/sru/41SLSP_VGE?version=1.2&amp;operation=searchRetrieve&amp;recordSchema=marcxml&amp;query=alma.authority_id=258280549&amp;maximumRecords=0</t>
  </si>
  <si>
    <t>276272382</t>
  </si>
  <si>
    <t>https://swisscovery.slsp.ch/view/sru/41SLSP_NETWORK?version=1.2&amp;operation=searchRetrieve&amp;recordSchema=marcxml&amp;query=alma.authority_id=276272382&amp;maximumRecords=0</t>
  </si>
  <si>
    <t>https://swisscovery.slsp.ch/view/sru/41SLSP_VGE?version=1.2&amp;operation=searchRetrieve&amp;recordSchema=marcxml&amp;query=alma.authority_id=276272382&amp;maximumRecords=0</t>
  </si>
  <si>
    <t>278608477</t>
  </si>
  <si>
    <t>https://swisscovery.slsp.ch/view/sru/41SLSP_NETWORK?version=1.2&amp;operation=searchRetrieve&amp;recordSchema=marcxml&amp;query=alma.authority_id=278608477&amp;maximumRecords=0</t>
  </si>
  <si>
    <t>https://swisscovery.slsp.ch/view/sru/41SLSP_VGE?version=1.2&amp;operation=searchRetrieve&amp;recordSchema=marcxml&amp;query=alma.authority_id=278608477&amp;maximumRecords=0</t>
  </si>
  <si>
    <t>268843201</t>
  </si>
  <si>
    <t>https://swisscovery.slsp.ch/view/sru/41SLSP_NETWORK?version=1.2&amp;operation=searchRetrieve&amp;recordSchema=marcxml&amp;query=alma.authority_id=268843201&amp;maximumRecords=0</t>
  </si>
  <si>
    <t>https://swisscovery.slsp.ch/view/sru/41SLSP_VGE?version=1.2&amp;operation=searchRetrieve&amp;recordSchema=marcxml&amp;query=alma.authority_id=268843201&amp;maximumRecords=0</t>
  </si>
  <si>
    <t>276238796</t>
  </si>
  <si>
    <t>https://swisscovery.slsp.ch/view/sru/41SLSP_NETWORK?version=1.2&amp;operation=searchRetrieve&amp;recordSchema=marcxml&amp;query=alma.authority_id=276238796&amp;maximumRecords=0</t>
  </si>
  <si>
    <t>https://swisscovery.slsp.ch/view/sru/41SLSP_VGE?version=1.2&amp;operation=searchRetrieve&amp;recordSchema=marcxml&amp;query=alma.authority_id=276238796&amp;maximumRecords=0</t>
  </si>
  <si>
    <t>270852565</t>
  </si>
  <si>
    <t>https://swisscovery.slsp.ch/view/sru/41SLSP_NETWORK?version=1.2&amp;operation=searchRetrieve&amp;recordSchema=marcxml&amp;query=alma.authority_id=270852565&amp;maximumRecords=0</t>
  </si>
  <si>
    <t>https://swisscovery.slsp.ch/view/sru/41SLSP_VGE?version=1.2&amp;operation=searchRetrieve&amp;recordSchema=marcxml&amp;query=alma.authority_id=270852565&amp;maximumRecords=0</t>
  </si>
  <si>
    <t>262580233</t>
  </si>
  <si>
    <t>https://swisscovery.slsp.ch/view/sru/41SLSP_NETWORK?version=1.2&amp;operation=searchRetrieve&amp;recordSchema=marcxml&amp;query=alma.authority_id=262580233&amp;maximumRecords=0</t>
  </si>
  <si>
    <t>https://swisscovery.slsp.ch/view/sru/41SLSP_VGE?version=1.2&amp;operation=searchRetrieve&amp;recordSchema=marcxml&amp;query=alma.authority_id=262580233&amp;maximumRecords=0</t>
  </si>
  <si>
    <t>270507299</t>
  </si>
  <si>
    <t>https://swisscovery.slsp.ch/view/sru/41SLSP_NETWORK?version=1.2&amp;operation=searchRetrieve&amp;recordSchema=marcxml&amp;query=alma.authority_id=270507299&amp;maximumRecords=0</t>
  </si>
  <si>
    <t>https://swisscovery.slsp.ch/view/sru/41SLSP_VGE?version=1.2&amp;operation=searchRetrieve&amp;recordSchema=marcxml&amp;query=alma.authority_id=270507299&amp;maximumRecords=0</t>
  </si>
  <si>
    <t>27116218X</t>
  </si>
  <si>
    <t>https://swisscovery.slsp.ch/view/sru/41SLSP_NETWORK?version=1.2&amp;operation=searchRetrieve&amp;recordSchema=marcxml&amp;query=alma.authority_id=27116218X&amp;maximumRecords=0</t>
  </si>
  <si>
    <t>https://swisscovery.slsp.ch/view/sru/41SLSP_VGE?version=1.2&amp;operation=searchRetrieve&amp;recordSchema=marcxml&amp;query=alma.authority_id=27116218X&amp;maximumRecords=0</t>
  </si>
  <si>
    <t>278708080</t>
  </si>
  <si>
    <t>https://swisscovery.slsp.ch/view/sru/41SLSP_NETWORK?version=1.2&amp;operation=searchRetrieve&amp;recordSchema=marcxml&amp;query=alma.authority_id=278708080&amp;maximumRecords=0</t>
  </si>
  <si>
    <t>https://swisscovery.slsp.ch/view/sru/41SLSP_VGE?version=1.2&amp;operation=searchRetrieve&amp;recordSchema=marcxml&amp;query=alma.authority_id=278708080&amp;maximumRecords=0</t>
  </si>
  <si>
    <t>266153356</t>
  </si>
  <si>
    <t>https://swisscovery.slsp.ch/view/sru/41SLSP_NETWORK?version=1.2&amp;operation=searchRetrieve&amp;recordSchema=marcxml&amp;query=alma.authority_id=266153356&amp;maximumRecords=0</t>
  </si>
  <si>
    <t>https://swisscovery.slsp.ch/view/sru/41SLSP_VGE?version=1.2&amp;operation=searchRetrieve&amp;recordSchema=marcxml&amp;query=alma.authority_id=266153356&amp;maximumRecords=0</t>
  </si>
  <si>
    <t>177627255</t>
  </si>
  <si>
    <t>https://swisscovery.slsp.ch/view/sru/41SLSP_NETWORK?version=1.2&amp;operation=searchRetrieve&amp;recordSchema=marcxml&amp;query=alma.authority_id=177627255&amp;maximumRecords=0</t>
  </si>
  <si>
    <t>https://swisscovery.slsp.ch/view/sru/41SLSP_VGE?version=1.2&amp;operation=searchRetrieve&amp;recordSchema=marcxml&amp;query=alma.authority_id=177627255&amp;maximumRecords=0</t>
  </si>
  <si>
    <t>280506392</t>
  </si>
  <si>
    <t>https://swisscovery.slsp.ch/view/sru/41SLSP_NETWORK?version=1.2&amp;operation=searchRetrieve&amp;recordSchema=marcxml&amp;query=alma.authority_id=280506392&amp;maximumRecords=0</t>
  </si>
  <si>
    <t>https://swisscovery.slsp.ch/view/sru/41SLSP_VGE?version=1.2&amp;operation=searchRetrieve&amp;recordSchema=marcxml&amp;query=alma.authority_id=280506392&amp;maximumRecords=0</t>
  </si>
  <si>
    <t>261009559</t>
  </si>
  <si>
    <t>https://swisscovery.slsp.ch/view/sru/41SLSP_NETWORK?version=1.2&amp;operation=searchRetrieve&amp;recordSchema=marcxml&amp;query=alma.authority_id=261009559&amp;maximumRecords=0</t>
  </si>
  <si>
    <t>https://swisscovery.slsp.ch/view/sru/41SLSP_VGE?version=1.2&amp;operation=searchRetrieve&amp;recordSchema=marcxml&amp;query=alma.authority_id=261009559&amp;maximumRecords=0</t>
  </si>
  <si>
    <t>266422330</t>
  </si>
  <si>
    <t>https://swisscovery.slsp.ch/view/sru/41SLSP_NETWORK?version=1.2&amp;operation=searchRetrieve&amp;recordSchema=marcxml&amp;query=alma.authority_id=266422330&amp;maximumRecords=0</t>
  </si>
  <si>
    <t>https://swisscovery.slsp.ch/view/sru/41SLSP_VGE?version=1.2&amp;operation=searchRetrieve&amp;recordSchema=marcxml&amp;query=alma.authority_id=266422330&amp;maximumRecords=0</t>
  </si>
  <si>
    <t>264693620</t>
  </si>
  <si>
    <t>https://swisscovery.slsp.ch/view/sru/41SLSP_NETWORK?version=1.2&amp;operation=searchRetrieve&amp;recordSchema=marcxml&amp;query=alma.authority_id=264693620&amp;maximumRecords=0</t>
  </si>
  <si>
    <t>https://swisscovery.slsp.ch/view/sru/41SLSP_VGE?version=1.2&amp;operation=searchRetrieve&amp;recordSchema=marcxml&amp;query=alma.authority_id=264693620&amp;maximumRecords=0</t>
  </si>
  <si>
    <t>280510608</t>
  </si>
  <si>
    <t>https://swisscovery.slsp.ch/view/sru/41SLSP_NETWORK?version=1.2&amp;operation=searchRetrieve&amp;recordSchema=marcxml&amp;query=alma.authority_id=280510608&amp;maximumRecords=0</t>
  </si>
  <si>
    <t>https://swisscovery.slsp.ch/view/sru/41SLSP_VGE?version=1.2&amp;operation=searchRetrieve&amp;recordSchema=marcxml&amp;query=alma.authority_id=280510608&amp;maximumRecords=0</t>
  </si>
  <si>
    <t>267046871</t>
  </si>
  <si>
    <t>https://swisscovery.slsp.ch/view/sru/41SLSP_NETWORK?version=1.2&amp;operation=searchRetrieve&amp;recordSchema=marcxml&amp;query=alma.authority_id=267046871&amp;maximumRecords=0</t>
  </si>
  <si>
    <t>https://swisscovery.slsp.ch/view/sru/41SLSP_VGE?version=1.2&amp;operation=searchRetrieve&amp;recordSchema=marcxml&amp;query=alma.authority_id=267046871&amp;maximumRecords=0</t>
  </si>
  <si>
    <t>279820550</t>
  </si>
  <si>
    <t>https://swisscovery.slsp.ch/view/sru/41SLSP_NETWORK?version=1.2&amp;operation=searchRetrieve&amp;recordSchema=marcxml&amp;query=alma.authority_id=279820550&amp;maximumRecords=0</t>
  </si>
  <si>
    <t>https://swisscovery.slsp.ch/view/sru/41SLSP_VGE?version=1.2&amp;operation=searchRetrieve&amp;recordSchema=marcxml&amp;query=alma.authority_id=279820550&amp;maximumRecords=0</t>
  </si>
  <si>
    <t>260397571</t>
  </si>
  <si>
    <t>https://swisscovery.slsp.ch/view/sru/41SLSP_NETWORK?version=1.2&amp;operation=searchRetrieve&amp;recordSchema=marcxml&amp;query=alma.authority_id=260397571&amp;maximumRecords=0</t>
  </si>
  <si>
    <t>https://swisscovery.slsp.ch/view/sru/41SLSP_VGE?version=1.2&amp;operation=searchRetrieve&amp;recordSchema=marcxml&amp;query=alma.authority_id=260397571&amp;maximumRecords=0</t>
  </si>
  <si>
    <t>280604041</t>
  </si>
  <si>
    <t>https://swisscovery.slsp.ch/view/sru/41SLSP_NETWORK?version=1.2&amp;operation=searchRetrieve&amp;recordSchema=marcxml&amp;query=alma.authority_id=280604041&amp;maximumRecords=0</t>
  </si>
  <si>
    <t>https://swisscovery.slsp.ch/view/sru/41SLSP_VGE?version=1.2&amp;operation=searchRetrieve&amp;recordSchema=marcxml&amp;query=alma.authority_id=280604041&amp;maximumRecords=0</t>
  </si>
  <si>
    <t>277059399</t>
  </si>
  <si>
    <t>https://swisscovery.slsp.ch/view/sru/41SLSP_NETWORK?version=1.2&amp;operation=searchRetrieve&amp;recordSchema=marcxml&amp;query=alma.authority_id=277059399&amp;maximumRecords=0</t>
  </si>
  <si>
    <t>https://swisscovery.slsp.ch/view/sru/41SLSP_VGE?version=1.2&amp;operation=searchRetrieve&amp;recordSchema=marcxml&amp;query=alma.authority_id=277059399&amp;maximumRecords=0</t>
  </si>
  <si>
    <t>03479686X</t>
  </si>
  <si>
    <t>https://swisscovery.slsp.ch/view/sru/41SLSP_NETWORK?version=1.2&amp;operation=searchRetrieve&amp;recordSchema=marcxml&amp;query=alma.authority_id=03479686X&amp;maximumRecords=0</t>
  </si>
  <si>
    <t>https://swisscovery.slsp.ch/view/sru/41SLSP_VGE?version=1.2&amp;operation=searchRetrieve&amp;recordSchema=marcxml&amp;query=alma.authority_id=03479686X&amp;maximumRecords=0</t>
  </si>
  <si>
    <t>273632744</t>
  </si>
  <si>
    <t>https://swisscovery.slsp.ch/view/sru/41SLSP_NETWORK?version=1.2&amp;operation=searchRetrieve&amp;recordSchema=marcxml&amp;query=alma.authority_id=273632744&amp;maximumRecords=0</t>
  </si>
  <si>
    <t>https://swisscovery.slsp.ch/view/sru/41SLSP_VGE?version=1.2&amp;operation=searchRetrieve&amp;recordSchema=marcxml&amp;query=alma.authority_id=273632744&amp;maximumRecords=0</t>
  </si>
  <si>
    <t>260563552</t>
  </si>
  <si>
    <t>https://swisscovery.slsp.ch/view/sru/41SLSP_NETWORK?version=1.2&amp;operation=searchRetrieve&amp;recordSchema=marcxml&amp;query=alma.authority_id=260563552&amp;maximumRecords=0</t>
  </si>
  <si>
    <t>https://swisscovery.slsp.ch/view/sru/41SLSP_VGE?version=1.2&amp;operation=searchRetrieve&amp;recordSchema=marcxml&amp;query=alma.authority_id=260563552&amp;maximumRecords=0</t>
  </si>
  <si>
    <t>27705964X</t>
  </si>
  <si>
    <t>https://swisscovery.slsp.ch/view/sru/41SLSP_NETWORK?version=1.2&amp;operation=searchRetrieve&amp;recordSchema=marcxml&amp;query=alma.authority_id=27705964X&amp;maximumRecords=0</t>
  </si>
  <si>
    <t>https://swisscovery.slsp.ch/view/sru/41SLSP_VGE?version=1.2&amp;operation=searchRetrieve&amp;recordSchema=marcxml&amp;query=alma.authority_id=27705964X&amp;maximumRecords=0</t>
  </si>
  <si>
    <t>251625893</t>
  </si>
  <si>
    <t>https://swisscovery.slsp.ch/view/sru/41SLSP_NETWORK?version=1.2&amp;operation=searchRetrieve&amp;recordSchema=marcxml&amp;query=alma.authority_id=251625893&amp;maximumRecords=0</t>
  </si>
  <si>
    <t>https://swisscovery.slsp.ch/view/sru/41SLSP_VGE?version=1.2&amp;operation=searchRetrieve&amp;recordSchema=marcxml&amp;query=alma.authority_id=251625893&amp;maximumRecords=0</t>
  </si>
  <si>
    <t>251358097</t>
  </si>
  <si>
    <t>https://swisscovery.slsp.ch/view/sru/41SLSP_NETWORK?version=1.2&amp;operation=searchRetrieve&amp;recordSchema=marcxml&amp;query=alma.authority_id=251358097&amp;maximumRecords=0</t>
  </si>
  <si>
    <t>https://swisscovery.slsp.ch/view/sru/41SLSP_VGE?version=1.2&amp;operation=searchRetrieve&amp;recordSchema=marcxml&amp;query=alma.authority_id=251358097&amp;maximumRecords=0</t>
  </si>
  <si>
    <t>279371551</t>
  </si>
  <si>
    <t>https://swisscovery.slsp.ch/view/sru/41SLSP_NETWORK?version=1.2&amp;operation=searchRetrieve&amp;recordSchema=marcxml&amp;query=alma.authority_id=279371551&amp;maximumRecords=0</t>
  </si>
  <si>
    <t>https://swisscovery.slsp.ch/view/sru/41SLSP_VGE?version=1.2&amp;operation=searchRetrieve&amp;recordSchema=marcxml&amp;query=alma.authority_id=279371551&amp;maximumRecords=0</t>
  </si>
  <si>
    <t>277059747</t>
  </si>
  <si>
    <t>https://swisscovery.slsp.ch/view/sru/41SLSP_NETWORK?version=1.2&amp;operation=searchRetrieve&amp;recordSchema=marcxml&amp;query=alma.authority_id=277059747&amp;maximumRecords=0</t>
  </si>
  <si>
    <t>https://swisscovery.slsp.ch/view/sru/41SLSP_VGE?version=1.2&amp;operation=searchRetrieve&amp;recordSchema=marcxml&amp;query=alma.authority_id=277059747&amp;maximumRecords=0</t>
  </si>
  <si>
    <t>263069184</t>
  </si>
  <si>
    <t>https://swisscovery.slsp.ch/view/sru/41SLSP_NETWORK?version=1.2&amp;operation=searchRetrieve&amp;recordSchema=marcxml&amp;query=alma.authority_id=263069184&amp;maximumRecords=0</t>
  </si>
  <si>
    <t>https://swisscovery.slsp.ch/view/sru/41SLSP_VGE?version=1.2&amp;operation=searchRetrieve&amp;recordSchema=marcxml&amp;query=alma.authority_id=263069184&amp;maximumRecords=0</t>
  </si>
  <si>
    <t>279333374</t>
  </si>
  <si>
    <t>https://swisscovery.slsp.ch/view/sru/41SLSP_NETWORK?version=1.2&amp;operation=searchRetrieve&amp;recordSchema=marcxml&amp;query=alma.authority_id=279333374&amp;maximumRecords=0</t>
  </si>
  <si>
    <t>https://swisscovery.slsp.ch/view/sru/41SLSP_VGE?version=1.2&amp;operation=searchRetrieve&amp;recordSchema=marcxml&amp;query=alma.authority_id=279333374&amp;maximumRecords=0</t>
  </si>
  <si>
    <t>257530851</t>
  </si>
  <si>
    <t>https://swisscovery.slsp.ch/view/sru/41SLSP_NETWORK?version=1.2&amp;operation=searchRetrieve&amp;recordSchema=marcxml&amp;query=alma.authority_id=257530851&amp;maximumRecords=0</t>
  </si>
  <si>
    <t>https://swisscovery.slsp.ch/view/sru/41SLSP_VGE?version=1.2&amp;operation=searchRetrieve&amp;recordSchema=marcxml&amp;query=alma.authority_id=257530851&amp;maximumRecords=0</t>
  </si>
  <si>
    <t>269915184</t>
  </si>
  <si>
    <t>https://swisscovery.slsp.ch/view/sru/41SLSP_NETWORK?version=1.2&amp;operation=searchRetrieve&amp;recordSchema=marcxml&amp;query=alma.authority_id=269915184&amp;maximumRecords=0</t>
  </si>
  <si>
    <t>https://swisscovery.slsp.ch/view/sru/41SLSP_VGE?version=1.2&amp;operation=searchRetrieve&amp;recordSchema=marcxml&amp;query=alma.authority_id=269915184&amp;maximumRecords=0</t>
  </si>
  <si>
    <t>079039383</t>
  </si>
  <si>
    <t>https://swisscovery.slsp.ch/view/sru/41SLSP_NETWORK?version=1.2&amp;operation=searchRetrieve&amp;recordSchema=marcxml&amp;query=alma.authority_id=079039383&amp;maximumRecords=0</t>
  </si>
  <si>
    <t>https://swisscovery.slsp.ch/view/sru/41SLSP_VGE?version=1.2&amp;operation=searchRetrieve&amp;recordSchema=marcxml&amp;query=alma.authority_id=079039383&amp;maximumRecords=0</t>
  </si>
  <si>
    <t>262022079</t>
  </si>
  <si>
    <t>https://swisscovery.slsp.ch/view/sru/41SLSP_NETWORK?version=1.2&amp;operation=searchRetrieve&amp;recordSchema=marcxml&amp;query=alma.authority_id=262022079&amp;maximumRecords=0</t>
  </si>
  <si>
    <t>https://swisscovery.slsp.ch/view/sru/41SLSP_VGE?version=1.2&amp;operation=searchRetrieve&amp;recordSchema=marcxml&amp;query=alma.authority_id=262022079&amp;maximumRecords=0</t>
  </si>
  <si>
    <t>279764790</t>
  </si>
  <si>
    <t>https://swisscovery.slsp.ch/view/sru/41SLSP_NETWORK?version=1.2&amp;operation=searchRetrieve&amp;recordSchema=marcxml&amp;query=alma.authority_id=279764790&amp;maximumRecords=0</t>
  </si>
  <si>
    <t>https://swisscovery.slsp.ch/view/sru/41SLSP_VGE?version=1.2&amp;operation=searchRetrieve&amp;recordSchema=marcxml&amp;query=alma.authority_id=279764790&amp;maximumRecords=0</t>
  </si>
  <si>
    <t>256299439</t>
  </si>
  <si>
    <t>https://swisscovery.slsp.ch/view/sru/41SLSP_NETWORK?version=1.2&amp;operation=searchRetrieve&amp;recordSchema=marcxml&amp;query=alma.authority_id=256299439&amp;maximumRecords=0</t>
  </si>
  <si>
    <t>https://swisscovery.slsp.ch/view/sru/41SLSP_VGE?version=1.2&amp;operation=searchRetrieve&amp;recordSchema=marcxml&amp;query=alma.authority_id=256299439&amp;maximumRecords=0</t>
  </si>
  <si>
    <t>263637107</t>
  </si>
  <si>
    <t>https://swisscovery.slsp.ch/view/sru/41SLSP_NETWORK?version=1.2&amp;operation=searchRetrieve&amp;recordSchema=marcxml&amp;query=alma.authority_id=263637107&amp;maximumRecords=0</t>
  </si>
  <si>
    <t>https://swisscovery.slsp.ch/view/sru/41SLSP_VGE?version=1.2&amp;operation=searchRetrieve&amp;recordSchema=marcxml&amp;query=alma.authority_id=263637107&amp;maximumRecords=0</t>
  </si>
  <si>
    <t>254647030</t>
  </si>
  <si>
    <t>https://swisscovery.slsp.ch/view/sru/41SLSP_NETWORK?version=1.2&amp;operation=searchRetrieve&amp;recordSchema=marcxml&amp;query=alma.authority_id=254647030&amp;maximumRecords=0</t>
  </si>
  <si>
    <t>https://swisscovery.slsp.ch/view/sru/41SLSP_VGE?version=1.2&amp;operation=searchRetrieve&amp;recordSchema=marcxml&amp;query=alma.authority_id=254647030&amp;maximumRecords=0</t>
  </si>
  <si>
    <t>130221996</t>
  </si>
  <si>
    <t>https://swisscovery.slsp.ch/view/sru/41SLSP_NETWORK?version=1.2&amp;operation=searchRetrieve&amp;recordSchema=marcxml&amp;query=alma.authority_id=130221996&amp;maximumRecords=0</t>
  </si>
  <si>
    <t>https://swisscovery.slsp.ch/view/sru/41SLSP_VGE?version=1.2&amp;operation=searchRetrieve&amp;recordSchema=marcxml&amp;query=alma.authority_id=130221996&amp;maximumRecords=0</t>
  </si>
  <si>
    <t>243190956</t>
  </si>
  <si>
    <t>https://swisscovery.slsp.ch/view/sru/41SLSP_NETWORK?version=1.2&amp;operation=searchRetrieve&amp;recordSchema=marcxml&amp;query=alma.authority_id=243190956&amp;maximumRecords=0</t>
  </si>
  <si>
    <t>https://swisscovery.slsp.ch/view/sru/41SLSP_VGE?version=1.2&amp;operation=searchRetrieve&amp;recordSchema=marcxml&amp;query=alma.authority_id=243190956&amp;maximumRecords=0</t>
  </si>
  <si>
    <t>278505589</t>
  </si>
  <si>
    <t>https://swisscovery.slsp.ch/view/sru/41SLSP_NETWORK?version=1.2&amp;operation=searchRetrieve&amp;recordSchema=marcxml&amp;query=alma.authority_id=278505589&amp;maximumRecords=0</t>
  </si>
  <si>
    <t>https://swisscovery.slsp.ch/view/sru/41SLSP_VGE?version=1.2&amp;operation=searchRetrieve&amp;recordSchema=marcxml&amp;query=alma.authority_id=278505589&amp;maximumRecords=0</t>
  </si>
  <si>
    <t>279767013</t>
  </si>
  <si>
    <t>https://swisscovery.slsp.ch/view/sru/41SLSP_NETWORK?version=1.2&amp;operation=searchRetrieve&amp;recordSchema=marcxml&amp;query=alma.authority_id=279767013&amp;maximumRecords=0</t>
  </si>
  <si>
    <t>https://swisscovery.slsp.ch/view/sru/41SLSP_VGE?version=1.2&amp;operation=searchRetrieve&amp;recordSchema=marcxml&amp;query=alma.authority_id=279767013&amp;maximumRecords=0</t>
  </si>
  <si>
    <t>259795313</t>
  </si>
  <si>
    <t>https://swisscovery.slsp.ch/view/sru/41SLSP_NETWORK?version=1.2&amp;operation=searchRetrieve&amp;recordSchema=marcxml&amp;query=alma.authority_id=259795313&amp;maximumRecords=0</t>
  </si>
  <si>
    <t>https://swisscovery.slsp.ch/view/sru/41SLSP_VGE?version=1.2&amp;operation=searchRetrieve&amp;recordSchema=marcxml&amp;query=alma.authority_id=259795313&amp;maximumRecords=0</t>
  </si>
  <si>
    <t>057594910</t>
  </si>
  <si>
    <t>https://swisscovery.slsp.ch/view/sru/41SLSP_NETWORK?version=1.2&amp;operation=searchRetrieve&amp;recordSchema=marcxml&amp;query=alma.authority_id=057594910&amp;maximumRecords=0</t>
  </si>
  <si>
    <t>https://swisscovery.slsp.ch/view/sru/41SLSP_VGE?version=1.2&amp;operation=searchRetrieve&amp;recordSchema=marcxml&amp;query=alma.authority_id=057594910&amp;maximumRecords=0</t>
  </si>
  <si>
    <t>277508258</t>
  </si>
  <si>
    <t>https://swisscovery.slsp.ch/view/sru/41SLSP_NETWORK?version=1.2&amp;operation=searchRetrieve&amp;recordSchema=marcxml&amp;query=alma.authority_id=277508258&amp;maximumRecords=0</t>
  </si>
  <si>
    <t>https://swisscovery.slsp.ch/view/sru/41SLSP_VGE?version=1.2&amp;operation=searchRetrieve&amp;recordSchema=marcxml&amp;query=alma.authority_id=277508258&amp;maximumRecords=0</t>
  </si>
  <si>
    <t>266371183</t>
  </si>
  <si>
    <t>https://swisscovery.slsp.ch/view/sru/41SLSP_NETWORK?version=1.2&amp;operation=searchRetrieve&amp;recordSchema=marcxml&amp;query=alma.authority_id=266371183&amp;maximumRecords=0</t>
  </si>
  <si>
    <t>https://swisscovery.slsp.ch/view/sru/41SLSP_VGE?version=1.2&amp;operation=searchRetrieve&amp;recordSchema=marcxml&amp;query=alma.authority_id=266371183&amp;maximumRecords=0</t>
  </si>
  <si>
    <t>255734336</t>
  </si>
  <si>
    <t>https://swisscovery.slsp.ch/view/sru/41SLSP_NETWORK?version=1.2&amp;operation=searchRetrieve&amp;recordSchema=marcxml&amp;query=alma.authority_id=255734336&amp;maximumRecords=0</t>
  </si>
  <si>
    <t>https://swisscovery.slsp.ch/view/sru/41SLSP_VGE?version=1.2&amp;operation=searchRetrieve&amp;recordSchema=marcxml&amp;query=alma.authority_id=255734336&amp;maximumRecords=0</t>
  </si>
  <si>
    <t>280792778</t>
  </si>
  <si>
    <t>https://swisscovery.slsp.ch/view/sru/41SLSP_NETWORK?version=1.2&amp;operation=searchRetrieve&amp;recordSchema=marcxml&amp;query=alma.authority_id=280792778&amp;maximumRecords=0</t>
  </si>
  <si>
    <t>https://swisscovery.slsp.ch/view/sru/41SLSP_VGE?version=1.2&amp;operation=searchRetrieve&amp;recordSchema=marcxml&amp;query=alma.authority_id=280792778&amp;maximumRecords=0</t>
  </si>
  <si>
    <t>262846063</t>
  </si>
  <si>
    <t>https://swisscovery.slsp.ch/view/sru/41SLSP_NETWORK?version=1.2&amp;operation=searchRetrieve&amp;recordSchema=marcxml&amp;query=alma.authority_id=262846063&amp;maximumRecords=0</t>
  </si>
  <si>
    <t>https://swisscovery.slsp.ch/view/sru/41SLSP_VGE?version=1.2&amp;operation=searchRetrieve&amp;recordSchema=marcxml&amp;query=alma.authority_id=262846063&amp;maximumRecords=0</t>
  </si>
  <si>
    <t>275266052</t>
  </si>
  <si>
    <t>https://swisscovery.slsp.ch/view/sru/41SLSP_NETWORK?version=1.2&amp;operation=searchRetrieve&amp;recordSchema=marcxml&amp;query=alma.authority_id=275266052&amp;maximumRecords=0</t>
  </si>
  <si>
    <t>https://swisscovery.slsp.ch/view/sru/41SLSP_VGE?version=1.2&amp;operation=searchRetrieve&amp;recordSchema=marcxml&amp;query=alma.authority_id=275266052&amp;maximumRecords=0</t>
  </si>
  <si>
    <t>258598417</t>
  </si>
  <si>
    <t>https://swisscovery.slsp.ch/view/sru/41SLSP_NETWORK?version=1.2&amp;operation=searchRetrieve&amp;recordSchema=marcxml&amp;query=alma.authority_id=258598417&amp;maximumRecords=0</t>
  </si>
  <si>
    <t>https://swisscovery.slsp.ch/view/sru/41SLSP_VGE?version=1.2&amp;operation=searchRetrieve&amp;recordSchema=marcxml&amp;query=alma.authority_id=258598417&amp;maximumRecords=0</t>
  </si>
  <si>
    <t>277514495</t>
  </si>
  <si>
    <t>https://swisscovery.slsp.ch/view/sru/41SLSP_NETWORK?version=1.2&amp;operation=searchRetrieve&amp;recordSchema=marcxml&amp;query=alma.authority_id=277514495&amp;maximumRecords=0</t>
  </si>
  <si>
    <t>https://swisscovery.slsp.ch/view/sru/41SLSP_VGE?version=1.2&amp;operation=searchRetrieve&amp;recordSchema=marcxml&amp;query=alma.authority_id=277514495&amp;maximumRecords=0</t>
  </si>
  <si>
    <t>171852044</t>
  </si>
  <si>
    <t>https://swisscovery.slsp.ch/view/sru/41SLSP_NETWORK?version=1.2&amp;operation=searchRetrieve&amp;recordSchema=marcxml&amp;query=alma.authority_id=171852044&amp;maximumRecords=0</t>
  </si>
  <si>
    <t>https://swisscovery.slsp.ch/view/sru/41SLSP_VGE?version=1.2&amp;operation=searchRetrieve&amp;recordSchema=marcxml&amp;query=alma.authority_id=171852044&amp;maximumRecords=0</t>
  </si>
  <si>
    <t>279735650</t>
  </si>
  <si>
    <t>https://swisscovery.slsp.ch/view/sru/41SLSP_NETWORK?version=1.2&amp;operation=searchRetrieve&amp;recordSchema=marcxml&amp;query=alma.authority_id=279735650&amp;maximumRecords=0</t>
  </si>
  <si>
    <t>https://swisscovery.slsp.ch/view/sru/41SLSP_VGE?version=1.2&amp;operation=searchRetrieve&amp;recordSchema=marcxml&amp;query=alma.authority_id=279735650&amp;maximumRecords=0</t>
  </si>
  <si>
    <t>279585446</t>
  </si>
  <si>
    <t>https://swisscovery.slsp.ch/view/sru/41SLSP_NETWORK?version=1.2&amp;operation=searchRetrieve&amp;recordSchema=marcxml&amp;query=alma.authority_id=279585446&amp;maximumRecords=0</t>
  </si>
  <si>
    <t>https://swisscovery.slsp.ch/view/sru/41SLSP_VGE?version=1.2&amp;operation=searchRetrieve&amp;recordSchema=marcxml&amp;query=alma.authority_id=279585446&amp;maximumRecords=0</t>
  </si>
  <si>
    <t>262579952</t>
  </si>
  <si>
    <t>https://swisscovery.slsp.ch/view/sru/41SLSP_NETWORK?version=1.2&amp;operation=searchRetrieve&amp;recordSchema=marcxml&amp;query=alma.authority_id=262579952&amp;maximumRecords=0</t>
  </si>
  <si>
    <t>https://swisscovery.slsp.ch/view/sru/41SLSP_VGE?version=1.2&amp;operation=searchRetrieve&amp;recordSchema=marcxml&amp;query=alma.authority_id=262579952&amp;maximumRecords=0</t>
  </si>
  <si>
    <t>270278826</t>
  </si>
  <si>
    <t>https://swisscovery.slsp.ch/view/sru/41SLSP_NETWORK?version=1.2&amp;operation=searchRetrieve&amp;recordSchema=marcxml&amp;query=alma.authority_id=270278826&amp;maximumRecords=0</t>
  </si>
  <si>
    <t>https://swisscovery.slsp.ch/view/sru/41SLSP_VGE?version=1.2&amp;operation=searchRetrieve&amp;recordSchema=marcxml&amp;query=alma.authority_id=270278826&amp;maximumRecords=0</t>
  </si>
  <si>
    <t>270609520</t>
  </si>
  <si>
    <t>https://swisscovery.slsp.ch/view/sru/41SLSP_NETWORK?version=1.2&amp;operation=searchRetrieve&amp;recordSchema=marcxml&amp;query=alma.authority_id=270609520&amp;maximumRecords=0</t>
  </si>
  <si>
    <t>https://swisscovery.slsp.ch/view/sru/41SLSP_VGE?version=1.2&amp;operation=searchRetrieve&amp;recordSchema=marcxml&amp;query=alma.authority_id=270609520&amp;maximumRecords=0</t>
  </si>
  <si>
    <t>148474373</t>
  </si>
  <si>
    <t>https://swisscovery.slsp.ch/view/sru/41SLSP_NETWORK?version=1.2&amp;operation=searchRetrieve&amp;recordSchema=marcxml&amp;query=alma.authority_id=148474373&amp;maximumRecords=0</t>
  </si>
  <si>
    <t>https://swisscovery.slsp.ch/view/sru/41SLSP_VGE?version=1.2&amp;operation=searchRetrieve&amp;recordSchema=marcxml&amp;query=alma.authority_id=148474373&amp;maximumRecords=0</t>
  </si>
  <si>
    <t>251371921</t>
  </si>
  <si>
    <t>https://swisscovery.slsp.ch/view/sru/41SLSP_NETWORK?version=1.2&amp;operation=searchRetrieve&amp;recordSchema=marcxml&amp;query=alma.authority_id=251371921&amp;maximumRecords=0</t>
  </si>
  <si>
    <t>https://swisscovery.slsp.ch/view/sru/41SLSP_VGE?version=1.2&amp;operation=searchRetrieve&amp;recordSchema=marcxml&amp;query=alma.authority_id=251371921&amp;maximumRecords=0</t>
  </si>
  <si>
    <t>257583343</t>
  </si>
  <si>
    <t>https://swisscovery.slsp.ch/view/sru/41SLSP_NETWORK?version=1.2&amp;operation=searchRetrieve&amp;recordSchema=marcxml&amp;query=alma.authority_id=257583343&amp;maximumRecords=0</t>
  </si>
  <si>
    <t>https://swisscovery.slsp.ch/view/sru/41SLSP_VGE?version=1.2&amp;operation=searchRetrieve&amp;recordSchema=marcxml&amp;query=alma.authority_id=257583343&amp;maximumRecords=0</t>
  </si>
  <si>
    <t>258450487</t>
  </si>
  <si>
    <t>https://swisscovery.slsp.ch/view/sru/41SLSP_NETWORK?version=1.2&amp;operation=searchRetrieve&amp;recordSchema=marcxml&amp;query=alma.authority_id=258450487&amp;maximumRecords=0</t>
  </si>
  <si>
    <t>https://swisscovery.slsp.ch/view/sru/41SLSP_VGE?version=1.2&amp;operation=searchRetrieve&amp;recordSchema=marcxml&amp;query=alma.authority_id=258450487&amp;maximumRecords=0</t>
  </si>
  <si>
    <t>027047857</t>
  </si>
  <si>
    <t>https://swisscovery.slsp.ch/view/sru/41SLSP_NETWORK?version=1.2&amp;operation=searchRetrieve&amp;recordSchema=marcxml&amp;query=alma.authority_id=027047857&amp;maximumRecords=0</t>
  </si>
  <si>
    <t>https://swisscovery.slsp.ch/view/sru/41SLSP_VGE?version=1.2&amp;operation=searchRetrieve&amp;recordSchema=marcxml&amp;query=alma.authority_id=027047857&amp;maximumRecords=0</t>
  </si>
  <si>
    <t>257746099</t>
  </si>
  <si>
    <t>https://swisscovery.slsp.ch/view/sru/41SLSP_NETWORK?version=1.2&amp;operation=searchRetrieve&amp;recordSchema=marcxml&amp;query=alma.authority_id=257746099&amp;maximumRecords=0</t>
  </si>
  <si>
    <t>https://swisscovery.slsp.ch/view/sru/41SLSP_VGE?version=1.2&amp;operation=searchRetrieve&amp;recordSchema=marcxml&amp;query=alma.authority_id=257746099&amp;maximumRecords=0</t>
  </si>
  <si>
    <t>272566470</t>
  </si>
  <si>
    <t>https://swisscovery.slsp.ch/view/sru/41SLSP_NETWORK?version=1.2&amp;operation=searchRetrieve&amp;recordSchema=marcxml&amp;query=alma.authority_id=272566470&amp;maximumRecords=0</t>
  </si>
  <si>
    <t>https://swisscovery.slsp.ch/view/sru/41SLSP_VGE?version=1.2&amp;operation=searchRetrieve&amp;recordSchema=marcxml&amp;query=alma.authority_id=272566470&amp;maximumRecords=0</t>
  </si>
  <si>
    <t>270645284</t>
  </si>
  <si>
    <t>https://swisscovery.slsp.ch/view/sru/41SLSP_NETWORK?version=1.2&amp;operation=searchRetrieve&amp;recordSchema=marcxml&amp;query=alma.authority_id=270645284&amp;maximumRecords=0</t>
  </si>
  <si>
    <t>https://swisscovery.slsp.ch/view/sru/41SLSP_VGE?version=1.2&amp;operation=searchRetrieve&amp;recordSchema=marcxml&amp;query=alma.authority_id=270645284&amp;maximumRecords=0</t>
  </si>
  <si>
    <t>257967400</t>
  </si>
  <si>
    <t>https://swisscovery.slsp.ch/view/sru/41SLSP_NETWORK?version=1.2&amp;operation=searchRetrieve&amp;recordSchema=marcxml&amp;query=alma.authority_id=257967400&amp;maximumRecords=0</t>
  </si>
  <si>
    <t>https://swisscovery.slsp.ch/view/sru/41SLSP_VGE?version=1.2&amp;operation=searchRetrieve&amp;recordSchema=marcxml&amp;query=alma.authority_id=257967400&amp;maximumRecords=0</t>
  </si>
  <si>
    <t>126267375</t>
  </si>
  <si>
    <t>https://swisscovery.slsp.ch/view/sru/41SLSP_NETWORK?version=1.2&amp;operation=searchRetrieve&amp;recordSchema=marcxml&amp;query=alma.authority_id=126267375&amp;maximumRecords=0</t>
  </si>
  <si>
    <t>https://swisscovery.slsp.ch/view/sru/41SLSP_VGE?version=1.2&amp;operation=searchRetrieve&amp;recordSchema=marcxml&amp;query=alma.authority_id=126267375&amp;maximumRecords=0</t>
  </si>
  <si>
    <t>270250271</t>
  </si>
  <si>
    <t>https://swisscovery.slsp.ch/view/sru/41SLSP_NETWORK?version=1.2&amp;operation=searchRetrieve&amp;recordSchema=marcxml&amp;query=alma.authority_id=270250271&amp;maximumRecords=0</t>
  </si>
  <si>
    <t>https://swisscovery.slsp.ch/view/sru/41SLSP_VGE?version=1.2&amp;operation=searchRetrieve&amp;recordSchema=marcxml&amp;query=alma.authority_id=270250271&amp;maximumRecords=0</t>
  </si>
  <si>
    <t>257954996</t>
  </si>
  <si>
    <t>https://swisscovery.slsp.ch/view/sru/41SLSP_NETWORK?version=1.2&amp;operation=searchRetrieve&amp;recordSchema=marcxml&amp;query=alma.authority_id=257954996&amp;maximumRecords=0</t>
  </si>
  <si>
    <t>https://swisscovery.slsp.ch/view/sru/41SLSP_VGE?version=1.2&amp;operation=searchRetrieve&amp;recordSchema=marcxml&amp;query=alma.authority_id=257954996&amp;maximumRecords=0</t>
  </si>
  <si>
    <t>275275566</t>
  </si>
  <si>
    <t>https://swisscovery.slsp.ch/view/sru/41SLSP_NETWORK?version=1.2&amp;operation=searchRetrieve&amp;recordSchema=marcxml&amp;query=alma.authority_id=275275566&amp;maximumRecords=0</t>
  </si>
  <si>
    <t>https://swisscovery.slsp.ch/view/sru/41SLSP_VGE?version=1.2&amp;operation=searchRetrieve&amp;recordSchema=marcxml&amp;query=alma.authority_id=275275566&amp;maximumRecords=0</t>
  </si>
  <si>
    <t>278608434</t>
  </si>
  <si>
    <t>https://swisscovery.slsp.ch/view/sru/41SLSP_NETWORK?version=1.2&amp;operation=searchRetrieve&amp;recordSchema=marcxml&amp;query=alma.authority_id=278608434&amp;maximumRecords=0</t>
  </si>
  <si>
    <t>https://swisscovery.slsp.ch/view/sru/41SLSP_VGE?version=1.2&amp;operation=searchRetrieve&amp;recordSchema=marcxml&amp;query=alma.authority_id=278608434&amp;maximumRecords=0</t>
  </si>
  <si>
    <t>271324767</t>
  </si>
  <si>
    <t>https://swisscovery.slsp.ch/view/sru/41SLSP_NETWORK?version=1.2&amp;operation=searchRetrieve&amp;recordSchema=marcxml&amp;query=alma.authority_id=271324767&amp;maximumRecords=0</t>
  </si>
  <si>
    <t>https://swisscovery.slsp.ch/view/sru/41SLSP_VGE?version=1.2&amp;operation=searchRetrieve&amp;recordSchema=marcxml&amp;query=alma.authority_id=271324767&amp;maximumRecords=0</t>
  </si>
  <si>
    <t>276670965</t>
  </si>
  <si>
    <t>https://swisscovery.slsp.ch/view/sru/41SLSP_NETWORK?version=1.2&amp;operation=searchRetrieve&amp;recordSchema=marcxml&amp;query=alma.authority_id=276670965&amp;maximumRecords=0</t>
  </si>
  <si>
    <t>https://swisscovery.slsp.ch/view/sru/41SLSP_VGE?version=1.2&amp;operation=searchRetrieve&amp;recordSchema=marcxml&amp;query=alma.authority_id=276670965&amp;maximumRecords=0</t>
  </si>
  <si>
    <t>257746307</t>
  </si>
  <si>
    <t>https://swisscovery.slsp.ch/view/sru/41SLSP_NETWORK?version=1.2&amp;operation=searchRetrieve&amp;recordSchema=marcxml&amp;query=alma.authority_id=257746307&amp;maximumRecords=0</t>
  </si>
  <si>
    <t>https://swisscovery.slsp.ch/view/sru/41SLSP_VGE?version=1.2&amp;operation=searchRetrieve&amp;recordSchema=marcxml&amp;query=alma.authority_id=257746307&amp;maximumRecords=0</t>
  </si>
  <si>
    <t>122188586</t>
  </si>
  <si>
    <t>https://swisscovery.slsp.ch/view/sru/41SLSP_NETWORK?version=1.2&amp;operation=searchRetrieve&amp;recordSchema=marcxml&amp;query=alma.authority_id=122188586&amp;maximumRecords=0</t>
  </si>
  <si>
    <t>https://swisscovery.slsp.ch/view/sru/41SLSP_VGE?version=1.2&amp;operation=searchRetrieve&amp;recordSchema=marcxml&amp;query=alma.authority_id=122188586&amp;maximumRecords=0</t>
  </si>
  <si>
    <t>262437074</t>
  </si>
  <si>
    <t>https://swisscovery.slsp.ch/view/sru/41SLSP_NETWORK?version=1.2&amp;operation=searchRetrieve&amp;recordSchema=marcxml&amp;query=alma.authority_id=262437074&amp;maximumRecords=0</t>
  </si>
  <si>
    <t>https://swisscovery.slsp.ch/view/sru/41SLSP_VGE?version=1.2&amp;operation=searchRetrieve&amp;recordSchema=marcxml&amp;query=alma.authority_id=262437074&amp;maximumRecords=0</t>
  </si>
  <si>
    <t>273237330</t>
  </si>
  <si>
    <t>https://swisscovery.slsp.ch/view/sru/41SLSP_NETWORK?version=1.2&amp;operation=searchRetrieve&amp;recordSchema=marcxml&amp;query=alma.authority_id=273237330&amp;maximumRecords=0</t>
  </si>
  <si>
    <t>https://swisscovery.slsp.ch/view/sru/41SLSP_VGE?version=1.2&amp;operation=searchRetrieve&amp;recordSchema=marcxml&amp;query=alma.authority_id=273237330&amp;maximumRecords=0</t>
  </si>
  <si>
    <t>268345805</t>
  </si>
  <si>
    <t>https://swisscovery.slsp.ch/view/sru/41SLSP_NETWORK?version=1.2&amp;operation=searchRetrieve&amp;recordSchema=marcxml&amp;query=alma.authority_id=268345805&amp;maximumRecords=0</t>
  </si>
  <si>
    <t>https://swisscovery.slsp.ch/view/sru/41SLSP_VGE?version=1.2&amp;operation=searchRetrieve&amp;recordSchema=marcxml&amp;query=alma.authority_id=268345805&amp;maximumRecords=0</t>
  </si>
  <si>
    <t>262437244</t>
  </si>
  <si>
    <t>https://swisscovery.slsp.ch/view/sru/41SLSP_NETWORK?version=1.2&amp;operation=searchRetrieve&amp;recordSchema=marcxml&amp;query=alma.authority_id=262437244&amp;maximumRecords=0</t>
  </si>
  <si>
    <t>https://swisscovery.slsp.ch/view/sru/41SLSP_VGE?version=1.2&amp;operation=searchRetrieve&amp;recordSchema=marcxml&amp;query=alma.authority_id=262437244&amp;maximumRecords=0</t>
  </si>
  <si>
    <t>26437388X</t>
  </si>
  <si>
    <t>https://swisscovery.slsp.ch/view/sru/41SLSP_NETWORK?version=1.2&amp;operation=searchRetrieve&amp;recordSchema=marcxml&amp;query=alma.authority_id=26437388X&amp;maximumRecords=0</t>
  </si>
  <si>
    <t>https://swisscovery.slsp.ch/view/sru/41SLSP_VGE?version=1.2&amp;operation=searchRetrieve&amp;recordSchema=marcxml&amp;query=alma.authority_id=26437388X&amp;maximumRecords=0</t>
  </si>
  <si>
    <t>277571731</t>
  </si>
  <si>
    <t>https://swisscovery.slsp.ch/view/sru/41SLSP_NETWORK?version=1.2&amp;operation=searchRetrieve&amp;recordSchema=marcxml&amp;query=alma.authority_id=277571731&amp;maximumRecords=0</t>
  </si>
  <si>
    <t>https://swisscovery.slsp.ch/view/sru/41SLSP_VGE?version=1.2&amp;operation=searchRetrieve&amp;recordSchema=marcxml&amp;query=alma.authority_id=277571731&amp;maximumRecords=0</t>
  </si>
  <si>
    <t>262760924</t>
  </si>
  <si>
    <t>https://swisscovery.slsp.ch/view/sru/41SLSP_NETWORK?version=1.2&amp;operation=searchRetrieve&amp;recordSchema=marcxml&amp;query=alma.authority_id=262760924&amp;maximumRecords=0</t>
  </si>
  <si>
    <t>https://swisscovery.slsp.ch/view/sru/41SLSP_VGE?version=1.2&amp;operation=searchRetrieve&amp;recordSchema=marcxml&amp;query=alma.authority_id=262760924&amp;maximumRecords=0</t>
  </si>
  <si>
    <t>263879844</t>
  </si>
  <si>
    <t>https://swisscovery.slsp.ch/view/sru/41SLSP_NETWORK?version=1.2&amp;operation=searchRetrieve&amp;recordSchema=marcxml&amp;query=alma.authority_id=263879844&amp;maximumRecords=0</t>
  </si>
  <si>
    <t>https://swisscovery.slsp.ch/view/sru/41SLSP_VGE?version=1.2&amp;operation=searchRetrieve&amp;recordSchema=marcxml&amp;query=alma.authority_id=263879844&amp;maximumRecords=0</t>
  </si>
  <si>
    <t>260379166</t>
  </si>
  <si>
    <t>https://swisscovery.slsp.ch/view/sru/41SLSP_NETWORK?version=1.2&amp;operation=searchRetrieve&amp;recordSchema=marcxml&amp;query=alma.authority_id=260379166&amp;maximumRecords=0</t>
  </si>
  <si>
    <t>https://swisscovery.slsp.ch/view/sru/41SLSP_VGE?version=1.2&amp;operation=searchRetrieve&amp;recordSchema=marcxml&amp;query=alma.authority_id=260379166&amp;maximumRecords=0</t>
  </si>
  <si>
    <t>280654162</t>
  </si>
  <si>
    <t>https://swisscovery.slsp.ch/view/sru/41SLSP_NETWORK?version=1.2&amp;operation=searchRetrieve&amp;recordSchema=marcxml&amp;query=alma.authority_id=280654162&amp;maximumRecords=0</t>
  </si>
  <si>
    <t>https://swisscovery.slsp.ch/view/sru/41SLSP_VGE?version=1.2&amp;operation=searchRetrieve&amp;recordSchema=marcxml&amp;query=alma.authority_id=280654162&amp;maximumRecords=0</t>
  </si>
  <si>
    <t>267782349</t>
  </si>
  <si>
    <t>https://swisscovery.slsp.ch/view/sru/41SLSP_NETWORK?version=1.2&amp;operation=searchRetrieve&amp;recordSchema=marcxml&amp;query=alma.authority_id=267782349&amp;maximumRecords=0</t>
  </si>
  <si>
    <t>https://swisscovery.slsp.ch/view/sru/41SLSP_VGE?version=1.2&amp;operation=searchRetrieve&amp;recordSchema=marcxml&amp;query=alma.authority_id=267782349&amp;maximumRecords=0</t>
  </si>
  <si>
    <t>275070077</t>
  </si>
  <si>
    <t>https://swisscovery.slsp.ch/view/sru/41SLSP_NETWORK?version=1.2&amp;operation=searchRetrieve&amp;recordSchema=marcxml&amp;query=alma.authority_id=275070077&amp;maximumRecords=0</t>
  </si>
  <si>
    <t>https://swisscovery.slsp.ch/view/sru/41SLSP_VGE?version=1.2&amp;operation=searchRetrieve&amp;recordSchema=marcxml&amp;query=alma.authority_id=275070077&amp;maximumRecords=0</t>
  </si>
  <si>
    <t>27999771X</t>
  </si>
  <si>
    <t>https://swisscovery.slsp.ch/view/sru/41SLSP_NETWORK?version=1.2&amp;operation=searchRetrieve&amp;recordSchema=marcxml&amp;query=alma.authority_id=27999771X&amp;maximumRecords=0</t>
  </si>
  <si>
    <t>https://swisscovery.slsp.ch/view/sru/41SLSP_VGE?version=1.2&amp;operation=searchRetrieve&amp;recordSchema=marcxml&amp;query=alma.authority_id=27999771X&amp;maximumRecords=0</t>
  </si>
  <si>
    <t>279820356</t>
  </si>
  <si>
    <t>https://swisscovery.slsp.ch/view/sru/41SLSP_NETWORK?version=1.2&amp;operation=searchRetrieve&amp;recordSchema=marcxml&amp;query=alma.authority_id=279820356&amp;maximumRecords=0</t>
  </si>
  <si>
    <t>https://swisscovery.slsp.ch/view/sru/41SLSP_VGE?version=1.2&amp;operation=searchRetrieve&amp;recordSchema=marcxml&amp;query=alma.authority_id=279820356&amp;maximumRecords=0</t>
  </si>
  <si>
    <t>260397598</t>
  </si>
  <si>
    <t>https://swisscovery.slsp.ch/view/sru/41SLSP_NETWORK?version=1.2&amp;operation=searchRetrieve&amp;recordSchema=marcxml&amp;query=alma.authority_id=260397598&amp;maximumRecords=0</t>
  </si>
  <si>
    <t>https://swisscovery.slsp.ch/view/sru/41SLSP_VGE?version=1.2&amp;operation=searchRetrieve&amp;recordSchema=marcxml&amp;query=alma.authority_id=260397598&amp;maximumRecords=0</t>
  </si>
  <si>
    <t>085464635</t>
  </si>
  <si>
    <t>https://swisscovery.slsp.ch/view/sru/41SLSP_NETWORK?version=1.2&amp;operation=searchRetrieve&amp;recordSchema=marcxml&amp;query=alma.authority_id=085464635&amp;maximumRecords=0</t>
  </si>
  <si>
    <t>https://swisscovery.slsp.ch/view/sru/41SLSP_VGE?version=1.2&amp;operation=searchRetrieve&amp;recordSchema=marcxml&amp;query=alma.authority_id=085464635&amp;maximumRecords=0</t>
  </si>
  <si>
    <t>256293910</t>
  </si>
  <si>
    <t>https://swisscovery.slsp.ch/view/sru/41SLSP_NETWORK?version=1.2&amp;operation=searchRetrieve&amp;recordSchema=marcxml&amp;query=alma.authority_id=256293910&amp;maximumRecords=0</t>
  </si>
  <si>
    <t>https://swisscovery.slsp.ch/view/sru/41SLSP_VGE?version=1.2&amp;operation=searchRetrieve&amp;recordSchema=marcxml&amp;query=alma.authority_id=256293910&amp;maximumRecords=0</t>
  </si>
  <si>
    <t>279986742</t>
  </si>
  <si>
    <t>https://swisscovery.slsp.ch/view/sru/41SLSP_NETWORK?version=1.2&amp;operation=searchRetrieve&amp;recordSchema=marcxml&amp;query=alma.authority_id=279986742&amp;maximumRecords=0</t>
  </si>
  <si>
    <t>https://swisscovery.slsp.ch/view/sru/41SLSP_VGE?version=1.2&amp;operation=searchRetrieve&amp;recordSchema=marcxml&amp;query=alma.authority_id=279986742&amp;maximumRecords=0</t>
  </si>
  <si>
    <t>279627807</t>
  </si>
  <si>
    <t>https://swisscovery.slsp.ch/view/sru/41SLSP_NETWORK?version=1.2&amp;operation=searchRetrieve&amp;recordSchema=marcxml&amp;query=alma.authority_id=279627807&amp;maximumRecords=0</t>
  </si>
  <si>
    <t>https://swisscovery.slsp.ch/view/sru/41SLSP_VGE?version=1.2&amp;operation=searchRetrieve&amp;recordSchema=marcxml&amp;query=alma.authority_id=279627807&amp;maximumRecords=0</t>
  </si>
  <si>
    <t>261027948</t>
  </si>
  <si>
    <t>https://swisscovery.slsp.ch/view/sru/41SLSP_NETWORK?version=1.2&amp;operation=searchRetrieve&amp;recordSchema=marcxml&amp;query=alma.authority_id=261027948&amp;maximumRecords=0</t>
  </si>
  <si>
    <t>https://swisscovery.slsp.ch/view/sru/41SLSP_VGE?version=1.2&amp;operation=searchRetrieve&amp;recordSchema=marcxml&amp;query=alma.authority_id=261027948&amp;maximumRecords=0</t>
  </si>
  <si>
    <t>27867691X</t>
  </si>
  <si>
    <t>https://swisscovery.slsp.ch/view/sru/41SLSP_NETWORK?version=1.2&amp;operation=searchRetrieve&amp;recordSchema=marcxml&amp;query=alma.authority_id=27867691X&amp;maximumRecords=0</t>
  </si>
  <si>
    <t>https://swisscovery.slsp.ch/view/sru/41SLSP_VGE?version=1.2&amp;operation=searchRetrieve&amp;recordSchema=marcxml&amp;query=alma.authority_id=27867691X&amp;maximumRecords=0</t>
  </si>
  <si>
    <t>259299146</t>
  </si>
  <si>
    <t>https://swisscovery.slsp.ch/view/sru/41SLSP_NETWORK?version=1.2&amp;operation=searchRetrieve&amp;recordSchema=marcxml&amp;query=alma.authority_id=259299146&amp;maximumRecords=0</t>
  </si>
  <si>
    <t>https://swisscovery.slsp.ch/view/sru/41SLSP_VGE?version=1.2&amp;operation=searchRetrieve&amp;recordSchema=marcxml&amp;query=alma.authority_id=259299146&amp;maximumRecords=0</t>
  </si>
  <si>
    <t>251250482</t>
  </si>
  <si>
    <t>https://swisscovery.slsp.ch/view/sru/41SLSP_NETWORK?version=1.2&amp;operation=searchRetrieve&amp;recordSchema=marcxml&amp;query=alma.authority_id=251250482&amp;maximumRecords=0</t>
  </si>
  <si>
    <t>https://swisscovery.slsp.ch/view/sru/41SLSP_VGE?version=1.2&amp;operation=searchRetrieve&amp;recordSchema=marcxml&amp;query=alma.authority_id=251250482&amp;maximumRecords=0</t>
  </si>
  <si>
    <t>277674646</t>
  </si>
  <si>
    <t>https://swisscovery.slsp.ch/view/sru/41SLSP_NETWORK?version=1.2&amp;operation=searchRetrieve&amp;recordSchema=marcxml&amp;query=alma.authority_id=277674646&amp;maximumRecords=0</t>
  </si>
  <si>
    <t>https://swisscovery.slsp.ch/view/sru/41SLSP_VGE?version=1.2&amp;operation=searchRetrieve&amp;recordSchema=marcxml&amp;query=alma.authority_id=277674646&amp;maximumRecords=0</t>
  </si>
  <si>
    <t>258726318</t>
  </si>
  <si>
    <t>https://swisscovery.slsp.ch/view/sru/41SLSP_NETWORK?version=1.2&amp;operation=searchRetrieve&amp;recordSchema=marcxml&amp;query=alma.authority_id=258726318&amp;maximumRecords=0</t>
  </si>
  <si>
    <t>https://swisscovery.slsp.ch/view/sru/41SLSP_VGE?version=1.2&amp;operation=searchRetrieve&amp;recordSchema=marcxml&amp;query=alma.authority_id=258726318&amp;maximumRecords=0</t>
  </si>
  <si>
    <t>261925970</t>
  </si>
  <si>
    <t>https://swisscovery.slsp.ch/view/sru/41SLSP_NETWORK?version=1.2&amp;operation=searchRetrieve&amp;recordSchema=marcxml&amp;query=alma.authority_id=261925970&amp;maximumRecords=0</t>
  </si>
  <si>
    <t>https://swisscovery.slsp.ch/view/sru/41SLSP_VGE?version=1.2&amp;operation=searchRetrieve&amp;recordSchema=marcxml&amp;query=alma.authority_id=261925970&amp;maximumRecords=0</t>
  </si>
  <si>
    <t>280653573</t>
  </si>
  <si>
    <t>https://swisscovery.slsp.ch/view/sru/41SLSP_NETWORK?version=1.2&amp;operation=searchRetrieve&amp;recordSchema=marcxml&amp;query=alma.authority_id=280653573&amp;maximumRecords=0</t>
  </si>
  <si>
    <t>https://swisscovery.slsp.ch/view/sru/41SLSP_VGE?version=1.2&amp;operation=searchRetrieve&amp;recordSchema=marcxml&amp;query=alma.authority_id=280653573&amp;maximumRecords=0</t>
  </si>
  <si>
    <t>279932774</t>
  </si>
  <si>
    <t>https://swisscovery.slsp.ch/view/sru/41SLSP_NETWORK?version=1.2&amp;operation=searchRetrieve&amp;recordSchema=marcxml&amp;query=alma.authority_id=279932774&amp;maximumRecords=0</t>
  </si>
  <si>
    <t>https://swisscovery.slsp.ch/view/sru/41SLSP_VGE?version=1.2&amp;operation=searchRetrieve&amp;recordSchema=marcxml&amp;query=alma.authority_id=279932774&amp;maximumRecords=0</t>
  </si>
  <si>
    <t>280608470</t>
  </si>
  <si>
    <t>https://swisscovery.slsp.ch/view/sru/41SLSP_NETWORK?version=1.2&amp;operation=searchRetrieve&amp;recordSchema=marcxml&amp;query=alma.authority_id=280608470&amp;maximumRecords=0</t>
  </si>
  <si>
    <t>https://swisscovery.slsp.ch/view/sru/41SLSP_VGE?version=1.2&amp;operation=searchRetrieve&amp;recordSchema=marcxml&amp;query=alma.authority_id=280608470&amp;maximumRecords=0</t>
  </si>
  <si>
    <t>27387232X</t>
  </si>
  <si>
    <t>https://swisscovery.slsp.ch/view/sru/41SLSP_NETWORK?version=1.2&amp;operation=searchRetrieve&amp;recordSchema=marcxml&amp;query=alma.authority_id=27387232X&amp;maximumRecords=0</t>
  </si>
  <si>
    <t>https://swisscovery.slsp.ch/view/sru/41SLSP_VGE?version=1.2&amp;operation=searchRetrieve&amp;recordSchema=marcxml&amp;query=alma.authority_id=27387232X&amp;maximumRecords=0</t>
  </si>
  <si>
    <t>260343315</t>
  </si>
  <si>
    <t>https://swisscovery.slsp.ch/view/sru/41SLSP_NETWORK?version=1.2&amp;operation=searchRetrieve&amp;recordSchema=marcxml&amp;query=alma.authority_id=260343315&amp;maximumRecords=0</t>
  </si>
  <si>
    <t>https://swisscovery.slsp.ch/view/sru/41SLSP_VGE?version=1.2&amp;operation=searchRetrieve&amp;recordSchema=marcxml&amp;query=alma.authority_id=260343315&amp;maximumRecords=0</t>
  </si>
  <si>
    <t>029501857</t>
  </si>
  <si>
    <t>https://swisscovery.slsp.ch/view/sru/41SLSP_NETWORK?version=1.2&amp;operation=searchRetrieve&amp;recordSchema=marcxml&amp;query=alma.authority_id=029501857&amp;maximumRecords=0</t>
  </si>
  <si>
    <t>https://swisscovery.slsp.ch/view/sru/41SLSP_VGE?version=1.2&amp;operation=searchRetrieve&amp;recordSchema=marcxml&amp;query=alma.authority_id=029501857&amp;maximumRecords=0</t>
  </si>
  <si>
    <t>27368793X</t>
  </si>
  <si>
    <t>https://swisscovery.slsp.ch/view/sru/41SLSP_NETWORK?version=1.2&amp;operation=searchRetrieve&amp;recordSchema=marcxml&amp;query=alma.authority_id=27368793X&amp;maximumRecords=0</t>
  </si>
  <si>
    <t>https://swisscovery.slsp.ch/view/sru/41SLSP_VGE?version=1.2&amp;operation=searchRetrieve&amp;recordSchema=marcxml&amp;query=alma.authority_id=27368793X&amp;maximumRecords=0</t>
  </si>
  <si>
    <t>178858692</t>
  </si>
  <si>
    <t>https://swisscovery.slsp.ch/view/sru/41SLSP_NETWORK?version=1.2&amp;operation=searchRetrieve&amp;recordSchema=marcxml&amp;query=alma.authority_id=178858692&amp;maximumRecords=0</t>
  </si>
  <si>
    <t>https://swisscovery.slsp.ch/view/sru/41SLSP_VGE?version=1.2&amp;operation=searchRetrieve&amp;recordSchema=marcxml&amp;query=alma.authority_id=178858692&amp;maximumRecords=0</t>
  </si>
  <si>
    <t>279820488</t>
  </si>
  <si>
    <t>https://swisscovery.slsp.ch/view/sru/41SLSP_NETWORK?version=1.2&amp;operation=searchRetrieve&amp;recordSchema=marcxml&amp;query=alma.authority_id=279820488&amp;maximumRecords=0</t>
  </si>
  <si>
    <t>https://swisscovery.slsp.ch/view/sru/41SLSP_VGE?version=1.2&amp;operation=searchRetrieve&amp;recordSchema=marcxml&amp;query=alma.authority_id=279820488&amp;maximumRecords=0</t>
  </si>
  <si>
    <t>140811982</t>
  </si>
  <si>
    <t>https://swisscovery.slsp.ch/view/sru/41SLSP_NETWORK?version=1.2&amp;operation=searchRetrieve&amp;recordSchema=marcxml&amp;query=alma.authority_id=140811982&amp;maximumRecords=0</t>
  </si>
  <si>
    <t>https://swisscovery.slsp.ch/view/sru/41SLSP_VGE?version=1.2&amp;operation=searchRetrieve&amp;recordSchema=marcxml&amp;query=alma.authority_id=140811982&amp;maximumRecords=0</t>
  </si>
  <si>
    <t>277674697</t>
  </si>
  <si>
    <t>https://swisscovery.slsp.ch/view/sru/41SLSP_NETWORK?version=1.2&amp;operation=searchRetrieve&amp;recordSchema=marcxml&amp;query=alma.authority_id=277674697&amp;maximumRecords=0</t>
  </si>
  <si>
    <t>https://swisscovery.slsp.ch/view/sru/41SLSP_VGE?version=1.2&amp;operation=searchRetrieve&amp;recordSchema=marcxml&amp;query=alma.authority_id=277674697&amp;maximumRecords=0</t>
  </si>
  <si>
    <t>260344737</t>
  </si>
  <si>
    <t>https://swisscovery.slsp.ch/view/sru/41SLSP_NETWORK?version=1.2&amp;operation=searchRetrieve&amp;recordSchema=marcxml&amp;query=alma.authority_id=260344737&amp;maximumRecords=0</t>
  </si>
  <si>
    <t>https://swisscovery.slsp.ch/view/sru/41SLSP_VGE?version=1.2&amp;operation=searchRetrieve&amp;recordSchema=marcxml&amp;query=alma.authority_id=260344737&amp;maximumRecords=0</t>
  </si>
  <si>
    <t>278706223</t>
  </si>
  <si>
    <t>https://swisscovery.slsp.ch/view/sru/41SLSP_NETWORK?version=1.2&amp;operation=searchRetrieve&amp;recordSchema=marcxml&amp;query=alma.authority_id=278706223&amp;maximumRecords=0</t>
  </si>
  <si>
    <t>https://swisscovery.slsp.ch/view/sru/41SLSP_VGE?version=1.2&amp;operation=searchRetrieve&amp;recordSchema=marcxml&amp;query=alma.authority_id=278706223&amp;maximumRecords=0</t>
  </si>
  <si>
    <t>158516931</t>
  </si>
  <si>
    <t>https://swisscovery.slsp.ch/view/sru/41SLSP_NETWORK?version=1.2&amp;operation=searchRetrieve&amp;recordSchema=marcxml&amp;query=alma.authority_id=158516931&amp;maximumRecords=0</t>
  </si>
  <si>
    <t>https://swisscovery.slsp.ch/view/sru/41SLSP_VGE?version=1.2&amp;operation=searchRetrieve&amp;recordSchema=marcxml&amp;query=alma.authority_id=158516931&amp;maximumRecords=0</t>
  </si>
  <si>
    <t>261053388</t>
  </si>
  <si>
    <t>https://swisscovery.slsp.ch/view/sru/41SLSP_NETWORK?version=1.2&amp;operation=searchRetrieve&amp;recordSchema=marcxml&amp;query=alma.authority_id=261053388&amp;maximumRecords=0</t>
  </si>
  <si>
    <t>https://swisscovery.slsp.ch/view/sru/41SLSP_VGE?version=1.2&amp;operation=searchRetrieve&amp;recordSchema=marcxml&amp;query=alma.authority_id=261053388&amp;maximumRecords=0</t>
  </si>
  <si>
    <t>279282230</t>
  </si>
  <si>
    <t>https://swisscovery.slsp.ch/view/sru/41SLSP_NETWORK?version=1.2&amp;operation=searchRetrieve&amp;recordSchema=marcxml&amp;query=alma.authority_id=279282230&amp;maximumRecords=0</t>
  </si>
  <si>
    <t>https://swisscovery.slsp.ch/view/sru/41SLSP_VGE?version=1.2&amp;operation=searchRetrieve&amp;recordSchema=marcxml&amp;query=alma.authority_id=279282230&amp;maximumRecords=0</t>
  </si>
  <si>
    <t>268602824</t>
  </si>
  <si>
    <t>https://swisscovery.slsp.ch/view/sru/41SLSP_NETWORK?version=1.2&amp;operation=searchRetrieve&amp;recordSchema=marcxml&amp;query=alma.authority_id=268602824&amp;maximumRecords=0</t>
  </si>
  <si>
    <t>https://swisscovery.slsp.ch/view/sru/41SLSP_VGE?version=1.2&amp;operation=searchRetrieve&amp;recordSchema=marcxml&amp;query=alma.authority_id=268602824&amp;maximumRecords=0</t>
  </si>
  <si>
    <t>278499554</t>
  </si>
  <si>
    <t>https://swisscovery.slsp.ch/view/sru/41SLSP_NETWORK?version=1.2&amp;operation=searchRetrieve&amp;recordSchema=marcxml&amp;query=alma.authority_id=278499554&amp;maximumRecords=0</t>
  </si>
  <si>
    <t>https://swisscovery.slsp.ch/view/sru/41SLSP_VGE?version=1.2&amp;operation=searchRetrieve&amp;recordSchema=marcxml&amp;query=alma.authority_id=278499554&amp;maximumRecords=0</t>
  </si>
  <si>
    <t>267782969</t>
  </si>
  <si>
    <t>https://swisscovery.slsp.ch/view/sru/41SLSP_NETWORK?version=1.2&amp;operation=searchRetrieve&amp;recordSchema=marcxml&amp;query=alma.authority_id=267782969&amp;maximumRecords=0</t>
  </si>
  <si>
    <t>https://swisscovery.slsp.ch/view/sru/41SLSP_VGE?version=1.2&amp;operation=searchRetrieve&amp;recordSchema=marcxml&amp;query=alma.authority_id=267782969&amp;maximumRecords=0</t>
  </si>
  <si>
    <t>280799039</t>
  </si>
  <si>
    <t>https://swisscovery.slsp.ch/view/sru/41SLSP_NETWORK?version=1.2&amp;operation=searchRetrieve&amp;recordSchema=marcxml&amp;query=alma.authority_id=280799039&amp;maximumRecords=0</t>
  </si>
  <si>
    <t>https://swisscovery.slsp.ch/view/sru/41SLSP_VGE?version=1.2&amp;operation=searchRetrieve&amp;recordSchema=marcxml&amp;query=alma.authority_id=280799039&amp;maximumRecords=0</t>
  </si>
  <si>
    <t>279371691</t>
  </si>
  <si>
    <t>https://swisscovery.slsp.ch/view/sru/41SLSP_NETWORK?version=1.2&amp;operation=searchRetrieve&amp;recordSchema=marcxml&amp;query=alma.authority_id=279371691&amp;maximumRecords=0</t>
  </si>
  <si>
    <t>https://swisscovery.slsp.ch/view/sru/41SLSP_VGE?version=1.2&amp;operation=searchRetrieve&amp;recordSchema=marcxml&amp;query=alma.authority_id=279371691&amp;maximumRecords=0</t>
  </si>
  <si>
    <t>270854525</t>
  </si>
  <si>
    <t>https://swisscovery.slsp.ch/view/sru/41SLSP_NETWORK?version=1.2&amp;operation=searchRetrieve&amp;recordSchema=marcxml&amp;query=alma.authority_id=270854525&amp;maximumRecords=0</t>
  </si>
  <si>
    <t>https://swisscovery.slsp.ch/view/sru/41SLSP_VGE?version=1.2&amp;operation=searchRetrieve&amp;recordSchema=marcxml&amp;query=alma.authority_id=270854525&amp;maximumRecords=0</t>
  </si>
  <si>
    <t>273870157</t>
  </si>
  <si>
    <t>https://swisscovery.slsp.ch/view/sru/41SLSP_NETWORK?version=1.2&amp;operation=searchRetrieve&amp;recordSchema=marcxml&amp;query=alma.authority_id=273870157&amp;maximumRecords=0</t>
  </si>
  <si>
    <t>https://swisscovery.slsp.ch/view/sru/41SLSP_VGE?version=1.2&amp;operation=searchRetrieve&amp;recordSchema=marcxml&amp;query=alma.authority_id=273870157&amp;maximumRecords=0</t>
  </si>
  <si>
    <t>074239546</t>
  </si>
  <si>
    <t>https://swisscovery.slsp.ch/view/sru/41SLSP_NETWORK?version=1.2&amp;operation=searchRetrieve&amp;recordSchema=marcxml&amp;query=alma.authority_id=074239546&amp;maximumRecords=0</t>
  </si>
  <si>
    <t>https://swisscovery.slsp.ch/view/sru/41SLSP_VGE?version=1.2&amp;operation=searchRetrieve&amp;recordSchema=marcxml&amp;query=alma.authority_id=074239546&amp;maximumRecords=0</t>
  </si>
  <si>
    <t>280653328</t>
  </si>
  <si>
    <t>https://swisscovery.slsp.ch/view/sru/41SLSP_NETWORK?version=1.2&amp;operation=searchRetrieve&amp;recordSchema=marcxml&amp;query=alma.authority_id=280653328&amp;maximumRecords=0</t>
  </si>
  <si>
    <t>https://swisscovery.slsp.ch/view/sru/41SLSP_VGE?version=1.2&amp;operation=searchRetrieve&amp;recordSchema=marcxml&amp;query=alma.authority_id=280653328&amp;maximumRecords=0</t>
  </si>
  <si>
    <t>282213384</t>
  </si>
  <si>
    <t>https://swisscovery.slsp.ch/view/sru/41SLSP_NETWORK?version=1.2&amp;operation=searchRetrieve&amp;recordSchema=marcxml&amp;query=alma.authority_id=282213384&amp;maximumRecords=0</t>
  </si>
  <si>
    <t>https://swisscovery.slsp.ch/view/sru/41SLSP_VGE?version=1.2&amp;operation=searchRetrieve&amp;recordSchema=marcxml&amp;query=alma.authority_id=282213384&amp;maximumRecords=0</t>
  </si>
  <si>
    <t>255861168</t>
  </si>
  <si>
    <t>https://swisscovery.slsp.ch/view/sru/41SLSP_NETWORK?version=1.2&amp;operation=searchRetrieve&amp;recordSchema=marcxml&amp;query=alma.authority_id=255861168&amp;maximumRecords=0</t>
  </si>
  <si>
    <t>https://swisscovery.slsp.ch/view/sru/41SLSP_VGE?version=1.2&amp;operation=searchRetrieve&amp;recordSchema=marcxml&amp;query=alma.authority_id=255861168&amp;maximumRecords=0</t>
  </si>
  <si>
    <t>263413314</t>
  </si>
  <si>
    <t>https://swisscovery.slsp.ch/view/sru/41SLSP_NETWORK?version=1.2&amp;operation=searchRetrieve&amp;recordSchema=marcxml&amp;query=alma.authority_id=263413314&amp;maximumRecords=0</t>
  </si>
  <si>
    <t>https://swisscovery.slsp.ch/view/sru/41SLSP_VGE?version=1.2&amp;operation=searchRetrieve&amp;recordSchema=marcxml&amp;query=alma.authority_id=263413314&amp;maximumRecords=0</t>
  </si>
  <si>
    <t>284104450</t>
  </si>
  <si>
    <t>https://swisscovery.slsp.ch/view/sru/41SLSP_NETWORK?version=1.2&amp;operation=searchRetrieve&amp;recordSchema=marcxml&amp;query=alma.authority_id=284104450&amp;maximumRecords=0</t>
  </si>
  <si>
    <t>https://swisscovery.slsp.ch/view/sru/41SLSP_VGE?version=1.2&amp;operation=searchRetrieve&amp;recordSchema=marcxml&amp;query=alma.authority_id=284104450&amp;maximumRecords=0</t>
  </si>
  <si>
    <t>23008818X</t>
  </si>
  <si>
    <t>https://swisscovery.slsp.ch/view/sru/41SLSP_NETWORK?version=1.2&amp;operation=searchRetrieve&amp;recordSchema=marcxml&amp;query=alma.authority_id=23008818X&amp;maximumRecords=0</t>
  </si>
  <si>
    <t>https://swisscovery.slsp.ch/view/sru/41SLSP_VGE?version=1.2&amp;operation=searchRetrieve&amp;recordSchema=marcxml&amp;query=alma.authority_id=23008818X&amp;maximumRecords=0</t>
  </si>
  <si>
    <t>280905246</t>
  </si>
  <si>
    <t>https://swisscovery.slsp.ch/view/sru/41SLSP_NETWORK?version=1.2&amp;operation=searchRetrieve&amp;recordSchema=marcxml&amp;query=alma.authority_id=280905246&amp;maximumRecords=0</t>
  </si>
  <si>
    <t>https://swisscovery.slsp.ch/view/sru/41SLSP_VGE?version=1.2&amp;operation=searchRetrieve&amp;recordSchema=marcxml&amp;query=alma.authority_id=280905246&amp;maximumRecords=0</t>
  </si>
  <si>
    <t>273382381</t>
  </si>
  <si>
    <t>https://swisscovery.slsp.ch/view/sru/41SLSP_NETWORK?version=1.2&amp;operation=searchRetrieve&amp;recordSchema=marcxml&amp;query=alma.authority_id=273382381&amp;maximumRecords=0</t>
  </si>
  <si>
    <t>https://swisscovery.slsp.ch/view/sru/41SLSP_VGE?version=1.2&amp;operation=searchRetrieve&amp;recordSchema=marcxml&amp;query=alma.authority_id=273382381&amp;maximumRecords=0</t>
  </si>
  <si>
    <t>252675428</t>
  </si>
  <si>
    <t>https://swisscovery.slsp.ch/view/sru/41SLSP_NETWORK?version=1.2&amp;operation=searchRetrieve&amp;recordSchema=marcxml&amp;query=alma.authority_id=252675428&amp;maximumRecords=0</t>
  </si>
  <si>
    <t>https://swisscovery.slsp.ch/view/sru/41SLSP_VGE?version=1.2&amp;operation=searchRetrieve&amp;recordSchema=marcxml&amp;query=alma.authority_id=252675428&amp;maximumRecords=0</t>
  </si>
  <si>
    <t>030536480</t>
  </si>
  <si>
    <t>https://swisscovery.slsp.ch/view/sru/41SLSP_NETWORK?version=1.2&amp;operation=searchRetrieve&amp;recordSchema=marcxml&amp;query=alma.authority_id=030536480&amp;maximumRecords=0</t>
  </si>
  <si>
    <t>https://swisscovery.slsp.ch/view/sru/41SLSP_VGE?version=1.2&amp;operation=searchRetrieve&amp;recordSchema=marcxml&amp;query=alma.authority_id=030536480&amp;maximumRecords=0</t>
  </si>
  <si>
    <t>154726818</t>
  </si>
  <si>
    <t>https://swisscovery.slsp.ch/view/sru/41SLSP_NETWORK?version=1.2&amp;operation=searchRetrieve&amp;recordSchema=marcxml&amp;query=alma.authority_id=154726818&amp;maximumRecords=0</t>
  </si>
  <si>
    <t>https://swisscovery.slsp.ch/view/sru/41SLSP_VGE?version=1.2&amp;operation=searchRetrieve&amp;recordSchema=marcxml&amp;query=alma.authority_id=154726818&amp;maximumRecords=0</t>
  </si>
  <si>
    <t>255831803</t>
  </si>
  <si>
    <t>https://swisscovery.slsp.ch/view/sru/41SLSP_NETWORK?version=1.2&amp;operation=searchRetrieve&amp;recordSchema=marcxml&amp;query=alma.authority_id=255831803&amp;maximumRecords=0</t>
  </si>
  <si>
    <t>https://swisscovery.slsp.ch/view/sru/41SLSP_VGE?version=1.2&amp;operation=searchRetrieve&amp;recordSchema=marcxml&amp;query=alma.authority_id=255831803&amp;maximumRecords=0</t>
  </si>
  <si>
    <t>281224579</t>
  </si>
  <si>
    <t>https://swisscovery.slsp.ch/view/sru/41SLSP_NETWORK?version=1.2&amp;operation=searchRetrieve&amp;recordSchema=marcxml&amp;query=alma.authority_id=281224579&amp;maximumRecords=0</t>
  </si>
  <si>
    <t>https://swisscovery.slsp.ch/view/sru/41SLSP_VGE?version=1.2&amp;operation=searchRetrieve&amp;recordSchema=marcxml&amp;query=alma.authority_id=281224579&amp;maximumRecords=0</t>
  </si>
  <si>
    <t>284349216</t>
  </si>
  <si>
    <t>https://swisscovery.slsp.ch/view/sru/41SLSP_NETWORK?version=1.2&amp;operation=searchRetrieve&amp;recordSchema=marcxml&amp;query=alma.authority_id=284349216&amp;maximumRecords=0</t>
  </si>
  <si>
    <t>https://swisscovery.slsp.ch/view/sru/41SLSP_VGE?version=1.2&amp;operation=searchRetrieve&amp;recordSchema=marcxml&amp;query=alma.authority_id=284349216&amp;maximumRecords=0</t>
  </si>
  <si>
    <t>067735290</t>
  </si>
  <si>
    <t>https://swisscovery.slsp.ch/view/sru/41SLSP_NETWORK?version=1.2&amp;operation=searchRetrieve&amp;recordSchema=marcxml&amp;query=alma.authority_id=067735290&amp;maximumRecords=0</t>
  </si>
  <si>
    <t>https://swisscovery.slsp.ch/view/sru/41SLSP_VGE?version=1.2&amp;operation=searchRetrieve&amp;recordSchema=marcxml&amp;query=alma.authority_id=067735290&amp;maximumRecords=0</t>
  </si>
  <si>
    <t>285118188</t>
  </si>
  <si>
    <t>https://swisscovery.slsp.ch/view/sru/41SLSP_NETWORK?version=1.2&amp;operation=searchRetrieve&amp;recordSchema=marcxml&amp;query=alma.authority_id=285118188&amp;maximumRecords=0</t>
  </si>
  <si>
    <t>https://swisscovery.slsp.ch/view/sru/41SLSP_VGE?version=1.2&amp;operation=searchRetrieve&amp;recordSchema=marcxml&amp;query=alma.authority_id=285118188&amp;maximumRecords=0</t>
  </si>
  <si>
    <t>029519330</t>
  </si>
  <si>
    <t>https://swisscovery.slsp.ch/view/sru/41SLSP_NETWORK?version=1.2&amp;operation=searchRetrieve&amp;recordSchema=marcxml&amp;query=alma.authority_id=029519330&amp;maximumRecords=0</t>
  </si>
  <si>
    <t>https://swisscovery.slsp.ch/view/sru/41SLSP_VGE?version=1.2&amp;operation=searchRetrieve&amp;recordSchema=marcxml&amp;query=alma.authority_id=029519330&amp;maximumRecords=0</t>
  </si>
  <si>
    <t>282520848</t>
  </si>
  <si>
    <t>https://swisscovery.slsp.ch/view/sru/41SLSP_NETWORK?version=1.2&amp;operation=searchRetrieve&amp;recordSchema=marcxml&amp;query=alma.authority_id=282520848&amp;maximumRecords=0</t>
  </si>
  <si>
    <t>https://swisscovery.slsp.ch/view/sru/41SLSP_VGE?version=1.2&amp;operation=searchRetrieve&amp;recordSchema=marcxml&amp;query=alma.authority_id=282520848&amp;maximumRecords=0</t>
  </si>
  <si>
    <t>272304239</t>
  </si>
  <si>
    <t>https://swisscovery.slsp.ch/view/sru/41SLSP_NETWORK?version=1.2&amp;operation=searchRetrieve&amp;recordSchema=marcxml&amp;query=alma.authority_id=272304239&amp;maximumRecords=0</t>
  </si>
  <si>
    <t>https://swisscovery.slsp.ch/view/sru/41SLSP_VGE?version=1.2&amp;operation=searchRetrieve&amp;recordSchema=marcxml&amp;query=alma.authority_id=272304239&amp;maximumRecords=0</t>
  </si>
  <si>
    <t>281764794</t>
  </si>
  <si>
    <t>https://swisscovery.slsp.ch/view/sru/41SLSP_NETWORK?version=1.2&amp;operation=searchRetrieve&amp;recordSchema=marcxml&amp;query=alma.authority_id=281764794&amp;maximumRecords=0</t>
  </si>
  <si>
    <t>https://swisscovery.slsp.ch/view/sru/41SLSP_VGE?version=1.2&amp;operation=searchRetrieve&amp;recordSchema=marcxml&amp;query=alma.authority_id=281764794&amp;maximumRecords=0</t>
  </si>
  <si>
    <t>282727396</t>
  </si>
  <si>
    <t>https://swisscovery.slsp.ch/view/sru/41SLSP_NETWORK?version=1.2&amp;operation=searchRetrieve&amp;recordSchema=marcxml&amp;query=alma.authority_id=282727396&amp;maximumRecords=0</t>
  </si>
  <si>
    <t>https://swisscovery.slsp.ch/view/sru/41SLSP_VGE?version=1.2&amp;operation=searchRetrieve&amp;recordSchema=marcxml&amp;query=alma.authority_id=282727396&amp;maximumRecords=0</t>
  </si>
  <si>
    <t>151269505</t>
  </si>
  <si>
    <t>https://swisscovery.slsp.ch/view/sru/41SLSP_NETWORK?version=1.2&amp;operation=searchRetrieve&amp;recordSchema=marcxml&amp;query=alma.authority_id=151269505&amp;maximumRecords=0</t>
  </si>
  <si>
    <t>https://swisscovery.slsp.ch/view/sru/41SLSP_VGE?version=1.2&amp;operation=searchRetrieve&amp;recordSchema=marcxml&amp;query=alma.authority_id=151269505&amp;maximumRecords=0</t>
  </si>
  <si>
    <t>284343773</t>
  </si>
  <si>
    <t>https://swisscovery.slsp.ch/view/sru/41SLSP_NETWORK?version=1.2&amp;operation=searchRetrieve&amp;recordSchema=marcxml&amp;query=alma.authority_id=284343773&amp;maximumRecords=0</t>
  </si>
  <si>
    <t>https://swisscovery.slsp.ch/view/sru/41SLSP_VGE?version=1.2&amp;operation=searchRetrieve&amp;recordSchema=marcxml&amp;query=alma.authority_id=284343773&amp;maximumRecords=0</t>
  </si>
  <si>
    <t>265322235</t>
  </si>
  <si>
    <t>https://swisscovery.slsp.ch/view/sru/41SLSP_NETWORK?version=1.2&amp;operation=searchRetrieve&amp;recordSchema=marcxml&amp;query=alma.authority_id=265322235&amp;maximumRecords=0</t>
  </si>
  <si>
    <t>https://swisscovery.slsp.ch/view/sru/41SLSP_VGE?version=1.2&amp;operation=searchRetrieve&amp;recordSchema=marcxml&amp;query=alma.authority_id=265322235&amp;maximumRecords=0</t>
  </si>
  <si>
    <t>263719855</t>
  </si>
  <si>
    <t>https://swisscovery.slsp.ch/view/sru/41SLSP_NETWORK?version=1.2&amp;operation=searchRetrieve&amp;recordSchema=marcxml&amp;query=alma.authority_id=263719855&amp;maximumRecords=0</t>
  </si>
  <si>
    <t>https://swisscovery.slsp.ch/view/sru/41SLSP_VGE?version=1.2&amp;operation=searchRetrieve&amp;recordSchema=marcxml&amp;query=alma.authority_id=263719855&amp;maximumRecords=0</t>
  </si>
  <si>
    <t>285031740</t>
  </si>
  <si>
    <t>https://swisscovery.slsp.ch/view/sru/41SLSP_NETWORK?version=1.2&amp;operation=searchRetrieve&amp;recordSchema=marcxml&amp;query=alma.authority_id=285031740&amp;maximumRecords=0</t>
  </si>
  <si>
    <t>https://swisscovery.slsp.ch/view/sru/41SLSP_VGE?version=1.2&amp;operation=searchRetrieve&amp;recordSchema=marcxml&amp;query=alma.authority_id=285031740&amp;maximumRecords=0</t>
  </si>
  <si>
    <t>283103515</t>
  </si>
  <si>
    <t>https://swisscovery.slsp.ch/view/sru/41SLSP_NETWORK?version=1.2&amp;operation=searchRetrieve&amp;recordSchema=marcxml&amp;query=alma.authority_id=283103515&amp;maximumRecords=0</t>
  </si>
  <si>
    <t>https://swisscovery.slsp.ch/view/sru/41SLSP_VGE?version=1.2&amp;operation=searchRetrieve&amp;recordSchema=marcxml&amp;query=alma.authority_id=283103515&amp;maximumRecords=0</t>
  </si>
  <si>
    <t>262736640</t>
  </si>
  <si>
    <t>https://swisscovery.slsp.ch/view/sru/41SLSP_NETWORK?version=1.2&amp;operation=searchRetrieve&amp;recordSchema=marcxml&amp;query=alma.authority_id=262736640&amp;maximumRecords=0</t>
  </si>
  <si>
    <t>https://swisscovery.slsp.ch/view/sru/41SLSP_VGE?version=1.2&amp;operation=searchRetrieve&amp;recordSchema=marcxml&amp;query=alma.authority_id=262736640&amp;maximumRecords=0</t>
  </si>
  <si>
    <t>283582421</t>
  </si>
  <si>
    <t>https://swisscovery.slsp.ch/view/sru/41SLSP_NETWORK?version=1.2&amp;operation=searchRetrieve&amp;recordSchema=marcxml&amp;query=alma.authority_id=283582421&amp;maximumRecords=0</t>
  </si>
  <si>
    <t>https://swisscovery.slsp.ch/view/sru/41SLSP_VGE?version=1.2&amp;operation=searchRetrieve&amp;recordSchema=marcxml&amp;query=alma.authority_id=283582421&amp;maximumRecords=0</t>
  </si>
  <si>
    <t>255660405</t>
  </si>
  <si>
    <t>https://swisscovery.slsp.ch/view/sru/41SLSP_NETWORK?version=1.2&amp;operation=searchRetrieve&amp;recordSchema=marcxml&amp;query=alma.authority_id=255660405&amp;maximumRecords=0</t>
  </si>
  <si>
    <t>https://swisscovery.slsp.ch/view/sru/41SLSP_VGE?version=1.2&amp;operation=searchRetrieve&amp;recordSchema=marcxml&amp;query=alma.authority_id=255660405&amp;maximumRecords=0</t>
  </si>
  <si>
    <t>086284762</t>
  </si>
  <si>
    <t>https://swisscovery.slsp.ch/view/sru/41SLSP_NETWORK?version=1.2&amp;operation=searchRetrieve&amp;recordSchema=marcxml&amp;query=alma.authority_id=086284762&amp;maximumRecords=0</t>
  </si>
  <si>
    <t>https://swisscovery.slsp.ch/view/sru/41SLSP_VGE?version=1.2&amp;operation=searchRetrieve&amp;recordSchema=marcxml&amp;query=alma.authority_id=086284762&amp;maximumRecords=0</t>
  </si>
  <si>
    <t>285055240</t>
  </si>
  <si>
    <t>https://swisscovery.slsp.ch/view/sru/41SLSP_NETWORK?version=1.2&amp;operation=searchRetrieve&amp;recordSchema=marcxml&amp;query=alma.authority_id=285055240&amp;maximumRecords=0</t>
  </si>
  <si>
    <t>https://swisscovery.slsp.ch/view/sru/41SLSP_VGE?version=1.2&amp;operation=searchRetrieve&amp;recordSchema=marcxml&amp;query=alma.authority_id=285055240&amp;maximumRecords=0</t>
  </si>
  <si>
    <t>28086521X</t>
  </si>
  <si>
    <t>https://swisscovery.slsp.ch/view/sru/41SLSP_NETWORK?version=1.2&amp;operation=searchRetrieve&amp;recordSchema=marcxml&amp;query=alma.authority_id=28086521X&amp;maximumRecords=0</t>
  </si>
  <si>
    <t>https://swisscovery.slsp.ch/view/sru/41SLSP_VGE?version=1.2&amp;operation=searchRetrieve&amp;recordSchema=marcxml&amp;query=alma.authority_id=28086521X&amp;maximumRecords=0</t>
  </si>
  <si>
    <t>281360979</t>
  </si>
  <si>
    <t>https://swisscovery.slsp.ch/view/sru/41SLSP_NETWORK?version=1.2&amp;operation=searchRetrieve&amp;recordSchema=marcxml&amp;query=alma.authority_id=281360979&amp;maximumRecords=0</t>
  </si>
  <si>
    <t>https://swisscovery.slsp.ch/view/sru/41SLSP_VGE?version=1.2&amp;operation=searchRetrieve&amp;recordSchema=marcxml&amp;query=alma.authority_id=281360979&amp;maximumRecords=0</t>
  </si>
  <si>
    <t>12855472X</t>
  </si>
  <si>
    <t>https://swisscovery.slsp.ch/view/sru/41SLSP_NETWORK?version=1.2&amp;operation=searchRetrieve&amp;recordSchema=marcxml&amp;query=alma.authority_id=12855472X&amp;maximumRecords=0</t>
  </si>
  <si>
    <t>https://swisscovery.slsp.ch/view/sru/41SLSP_VGE?version=1.2&amp;operation=searchRetrieve&amp;recordSchema=marcxml&amp;query=alma.authority_id=12855472X&amp;maximumRecords=0</t>
  </si>
  <si>
    <t>257528806</t>
  </si>
  <si>
    <t>https://swisscovery.slsp.ch/view/sru/41SLSP_NETWORK?version=1.2&amp;operation=searchRetrieve&amp;recordSchema=marcxml&amp;query=alma.authority_id=257528806&amp;maximumRecords=0</t>
  </si>
  <si>
    <t>https://swisscovery.slsp.ch/view/sru/41SLSP_VGE?version=1.2&amp;operation=searchRetrieve&amp;recordSchema=marcxml&amp;query=alma.authority_id=257528806&amp;maximumRecords=0</t>
  </si>
  <si>
    <t>279720483</t>
  </si>
  <si>
    <t>https://swisscovery.slsp.ch/view/sru/41SLSP_NETWORK?version=1.2&amp;operation=searchRetrieve&amp;recordSchema=marcxml&amp;query=alma.authority_id=279720483&amp;maximumRecords=0</t>
  </si>
  <si>
    <t>https://swisscovery.slsp.ch/view/sru/41SLSP_VGE?version=1.2&amp;operation=searchRetrieve&amp;recordSchema=marcxml&amp;query=alma.authority_id=279720483&amp;maximumRecords=0</t>
  </si>
  <si>
    <t>284744158</t>
  </si>
  <si>
    <t>https://swisscovery.slsp.ch/view/sru/41SLSP_NETWORK?version=1.2&amp;operation=searchRetrieve&amp;recordSchema=marcxml&amp;query=alma.authority_id=284744158&amp;maximumRecords=0</t>
  </si>
  <si>
    <t>https://swisscovery.slsp.ch/view/sru/41SLSP_VGE?version=1.2&amp;operation=searchRetrieve&amp;recordSchema=marcxml&amp;query=alma.authority_id=284744158&amp;maximumRecords=0</t>
  </si>
  <si>
    <t>283801921</t>
  </si>
  <si>
    <t>https://swisscovery.slsp.ch/view/sru/41SLSP_NETWORK?version=1.2&amp;operation=searchRetrieve&amp;recordSchema=marcxml&amp;query=alma.authority_id=283801921&amp;maximumRecords=0</t>
  </si>
  <si>
    <t>https://swisscovery.slsp.ch/view/sru/41SLSP_VGE?version=1.2&amp;operation=searchRetrieve&amp;recordSchema=marcxml&amp;query=alma.authority_id=283801921&amp;maximumRecords=0</t>
  </si>
  <si>
    <t>050388118</t>
  </si>
  <si>
    <t>https://swisscovery.slsp.ch/view/sru/41SLSP_NETWORK?version=1.2&amp;operation=searchRetrieve&amp;recordSchema=marcxml&amp;query=alma.authority_id=050388118&amp;maximumRecords=0</t>
  </si>
  <si>
    <t>https://swisscovery.slsp.ch/view/sru/41SLSP_VGE?version=1.2&amp;operation=searchRetrieve&amp;recordSchema=marcxml&amp;query=alma.authority_id=050388118&amp;maximumRecords=0</t>
  </si>
  <si>
    <t>263608131</t>
  </si>
  <si>
    <t>https://swisscovery.slsp.ch/view/sru/41SLSP_NETWORK?version=1.2&amp;operation=searchRetrieve&amp;recordSchema=marcxml&amp;query=alma.authority_id=263608131&amp;maximumRecords=0</t>
  </si>
  <si>
    <t>https://swisscovery.slsp.ch/view/sru/41SLSP_VGE?version=1.2&amp;operation=searchRetrieve&amp;recordSchema=marcxml&amp;query=alma.authority_id=263608131&amp;maximumRecords=0</t>
  </si>
  <si>
    <t>261393294</t>
  </si>
  <si>
    <t>https://swisscovery.slsp.ch/view/sru/41SLSP_NETWORK?version=1.2&amp;operation=searchRetrieve&amp;recordSchema=marcxml&amp;query=alma.authority_id=261393294&amp;maximumRecords=0</t>
  </si>
  <si>
    <t>https://swisscovery.slsp.ch/view/sru/41SLSP_VGE?version=1.2&amp;operation=searchRetrieve&amp;recordSchema=marcxml&amp;query=alma.authority_id=261393294&amp;maximumRecords=0</t>
  </si>
  <si>
    <t>285165240</t>
  </si>
  <si>
    <t>https://swisscovery.slsp.ch/view/sru/41SLSP_NETWORK?version=1.2&amp;operation=searchRetrieve&amp;recordSchema=marcxml&amp;query=alma.authority_id=285165240&amp;maximumRecords=0</t>
  </si>
  <si>
    <t>https://swisscovery.slsp.ch/view/sru/41SLSP_VGE?version=1.2&amp;operation=searchRetrieve&amp;recordSchema=marcxml&amp;query=alma.authority_id=285165240&amp;maximumRecords=0</t>
  </si>
  <si>
    <t>284744492</t>
  </si>
  <si>
    <t>https://swisscovery.slsp.ch/view/sru/41SLSP_NETWORK?version=1.2&amp;operation=searchRetrieve&amp;recordSchema=marcxml&amp;query=alma.authority_id=284744492&amp;maximumRecords=0</t>
  </si>
  <si>
    <t>https://swisscovery.slsp.ch/view/sru/41SLSP_VGE?version=1.2&amp;operation=searchRetrieve&amp;recordSchema=marcxml&amp;query=alma.authority_id=284744492&amp;maximumRecords=0</t>
  </si>
  <si>
    <t>079042236</t>
  </si>
  <si>
    <t>https://swisscovery.slsp.ch/view/sru/41SLSP_NETWORK?version=1.2&amp;operation=searchRetrieve&amp;recordSchema=marcxml&amp;query=alma.authority_id=079042236&amp;maximumRecords=0</t>
  </si>
  <si>
    <t>https://swisscovery.slsp.ch/view/sru/41SLSP_VGE?version=1.2&amp;operation=searchRetrieve&amp;recordSchema=marcxml&amp;query=alma.authority_id=079042236&amp;maximumRecords=0</t>
  </si>
  <si>
    <t>282728430</t>
  </si>
  <si>
    <t>https://swisscovery.slsp.ch/view/sru/41SLSP_NETWORK?version=1.2&amp;operation=searchRetrieve&amp;recordSchema=marcxml&amp;query=alma.authority_id=282728430&amp;maximumRecords=0</t>
  </si>
  <si>
    <t>https://swisscovery.slsp.ch/view/sru/41SLSP_VGE?version=1.2&amp;operation=searchRetrieve&amp;recordSchema=marcxml&amp;query=alma.authority_id=282728430&amp;maximumRecords=0</t>
  </si>
  <si>
    <t>281779058</t>
  </si>
  <si>
    <t>https://swisscovery.slsp.ch/view/sru/41SLSP_NETWORK?version=1.2&amp;operation=searchRetrieve&amp;recordSchema=marcxml&amp;query=alma.authority_id=281779058&amp;maximumRecords=0</t>
  </si>
  <si>
    <t>https://swisscovery.slsp.ch/view/sru/41SLSP_VGE?version=1.2&amp;operation=searchRetrieve&amp;recordSchema=marcxml&amp;query=alma.authority_id=281779058&amp;maximumRecords=0</t>
  </si>
  <si>
    <t>276378679</t>
  </si>
  <si>
    <t>https://swisscovery.slsp.ch/view/sru/41SLSP_NETWORK?version=1.2&amp;operation=searchRetrieve&amp;recordSchema=marcxml&amp;query=alma.authority_id=276378679&amp;maximumRecords=0</t>
  </si>
  <si>
    <t>https://swisscovery.slsp.ch/view/sru/41SLSP_VGE?version=1.2&amp;operation=searchRetrieve&amp;recordSchema=marcxml&amp;query=alma.authority_id=276378679&amp;maximumRecords=0</t>
  </si>
  <si>
    <t>252747712</t>
  </si>
  <si>
    <t>https://swisscovery.slsp.ch/view/sru/41SLSP_NETWORK?version=1.2&amp;operation=searchRetrieve&amp;recordSchema=marcxml&amp;query=alma.authority_id=252747712&amp;maximumRecords=0</t>
  </si>
  <si>
    <t>https://swisscovery.slsp.ch/view/sru/41SLSP_VGE?version=1.2&amp;operation=searchRetrieve&amp;recordSchema=marcxml&amp;query=alma.authority_id=252747712&amp;maximumRecords=0</t>
  </si>
  <si>
    <t>027012506</t>
  </si>
  <si>
    <t>https://swisscovery.slsp.ch/view/sru/41SLSP_NETWORK?version=1.2&amp;operation=searchRetrieve&amp;recordSchema=marcxml&amp;query=alma.authority_id=027012506&amp;maximumRecords=0</t>
  </si>
  <si>
    <t>https://swisscovery.slsp.ch/view/sru/41SLSP_VGE?version=1.2&amp;operation=searchRetrieve&amp;recordSchema=marcxml&amp;query=alma.authority_id=027012506&amp;maximumRecords=0</t>
  </si>
  <si>
    <t>284429872</t>
  </si>
  <si>
    <t>https://swisscovery.slsp.ch/view/sru/41SLSP_NETWORK?version=1.2&amp;operation=searchRetrieve&amp;recordSchema=marcxml&amp;query=alma.authority_id=284429872&amp;maximumRecords=0</t>
  </si>
  <si>
    <t>https://swisscovery.slsp.ch/view/sru/41SLSP_VGE?version=1.2&amp;operation=searchRetrieve&amp;recordSchema=marcxml&amp;query=alma.authority_id=284429872&amp;maximumRecords=0</t>
  </si>
  <si>
    <t>281923124</t>
  </si>
  <si>
    <t>https://swisscovery.slsp.ch/view/sru/41SLSP_NETWORK?version=1.2&amp;operation=searchRetrieve&amp;recordSchema=marcxml&amp;query=alma.authority_id=281923124&amp;maximumRecords=0</t>
  </si>
  <si>
    <t>https://swisscovery.slsp.ch/view/sru/41SLSP_VGE?version=1.2&amp;operation=searchRetrieve&amp;recordSchema=marcxml&amp;query=alma.authority_id=281923124&amp;maximumRecords=0</t>
  </si>
  <si>
    <t>284848468</t>
  </si>
  <si>
    <t>https://swisscovery.slsp.ch/view/sru/41SLSP_NETWORK?version=1.2&amp;operation=searchRetrieve&amp;recordSchema=marcxml&amp;query=alma.authority_id=284848468&amp;maximumRecords=0</t>
  </si>
  <si>
    <t>https://swisscovery.slsp.ch/view/sru/41SLSP_VGE?version=1.2&amp;operation=searchRetrieve&amp;recordSchema=marcxml&amp;query=alma.authority_id=284848468&amp;maximumRecords=0</t>
  </si>
  <si>
    <t>280861729</t>
  </si>
  <si>
    <t>https://swisscovery.slsp.ch/view/sru/41SLSP_NETWORK?version=1.2&amp;operation=searchRetrieve&amp;recordSchema=marcxml&amp;query=alma.authority_id=280861729&amp;maximumRecords=0</t>
  </si>
  <si>
    <t>https://swisscovery.slsp.ch/view/sru/41SLSP_VGE?version=1.2&amp;operation=searchRetrieve&amp;recordSchema=marcxml&amp;query=alma.authority_id=280861729&amp;maximumRecords=0</t>
  </si>
  <si>
    <t>266360807</t>
  </si>
  <si>
    <t>https://swisscovery.slsp.ch/view/sru/41SLSP_NETWORK?version=1.2&amp;operation=searchRetrieve&amp;recordSchema=marcxml&amp;query=alma.authority_id=266360807&amp;maximumRecords=0</t>
  </si>
  <si>
    <t>https://swisscovery.slsp.ch/view/sru/41SLSP_VGE?version=1.2&amp;operation=searchRetrieve&amp;recordSchema=marcxml&amp;query=alma.authority_id=266360807&amp;maximumRecords=0</t>
  </si>
  <si>
    <t>284744212</t>
  </si>
  <si>
    <t>https://swisscovery.slsp.ch/view/sru/41SLSP_NETWORK?version=1.2&amp;operation=searchRetrieve&amp;recordSchema=marcxml&amp;query=alma.authority_id=284744212&amp;maximumRecords=0</t>
  </si>
  <si>
    <t>https://swisscovery.slsp.ch/view/sru/41SLSP_VGE?version=1.2&amp;operation=searchRetrieve&amp;recordSchema=marcxml&amp;query=alma.authority_id=284744212&amp;maximumRecords=0</t>
  </si>
  <si>
    <t>255937121</t>
  </si>
  <si>
    <t>https://swisscovery.slsp.ch/view/sru/41SLSP_NETWORK?version=1.2&amp;operation=searchRetrieve&amp;recordSchema=marcxml&amp;query=alma.authority_id=255937121&amp;maximumRecords=0</t>
  </si>
  <si>
    <t>https://swisscovery.slsp.ch/view/sru/41SLSP_VGE?version=1.2&amp;operation=searchRetrieve&amp;recordSchema=marcxml&amp;query=alma.authority_id=255937121&amp;maximumRecords=0</t>
  </si>
  <si>
    <t>261116401</t>
  </si>
  <si>
    <t>https://swisscovery.slsp.ch/view/sru/41SLSP_NETWORK?version=1.2&amp;operation=searchRetrieve&amp;recordSchema=marcxml&amp;query=alma.authority_id=261116401&amp;maximumRecords=0</t>
  </si>
  <si>
    <t>https://swisscovery.slsp.ch/view/sru/41SLSP_VGE?version=1.2&amp;operation=searchRetrieve&amp;recordSchema=marcxml&amp;query=alma.authority_id=261116401&amp;maximumRecords=0</t>
  </si>
  <si>
    <t>28090536X</t>
  </si>
  <si>
    <t>https://swisscovery.slsp.ch/view/sru/41SLSP_NETWORK?version=1.2&amp;operation=searchRetrieve&amp;recordSchema=marcxml&amp;query=alma.authority_id=28090536X&amp;maximumRecords=0</t>
  </si>
  <si>
    <t>https://swisscovery.slsp.ch/view/sru/41SLSP_VGE?version=1.2&amp;operation=searchRetrieve&amp;recordSchema=marcxml&amp;query=alma.authority_id=28090536X&amp;maximumRecords=0</t>
  </si>
  <si>
    <t>284368962</t>
  </si>
  <si>
    <t>https://swisscovery.slsp.ch/view/sru/41SLSP_NETWORK?version=1.2&amp;operation=searchRetrieve&amp;recordSchema=marcxml&amp;query=alma.authority_id=284368962&amp;maximumRecords=0</t>
  </si>
  <si>
    <t>https://swisscovery.slsp.ch/view/sru/41SLSP_VGE?version=1.2&amp;operation=searchRetrieve&amp;recordSchema=marcxml&amp;query=alma.authority_id=284368962&amp;maximumRecords=0</t>
  </si>
  <si>
    <t>285137921</t>
  </si>
  <si>
    <t>https://swisscovery.slsp.ch/view/sru/41SLSP_NETWORK?version=1.2&amp;operation=searchRetrieve&amp;recordSchema=marcxml&amp;query=alma.authority_id=285137921&amp;maximumRecords=0</t>
  </si>
  <si>
    <t>https://swisscovery.slsp.ch/view/sru/41SLSP_VGE?version=1.2&amp;operation=searchRetrieve&amp;recordSchema=marcxml&amp;query=alma.authority_id=285137921&amp;maximumRecords=0</t>
  </si>
  <si>
    <t>264619498</t>
  </si>
  <si>
    <t>https://swisscovery.slsp.ch/view/sru/41SLSP_NETWORK?version=1.2&amp;operation=searchRetrieve&amp;recordSchema=marcxml&amp;query=alma.authority_id=264619498&amp;maximumRecords=0</t>
  </si>
  <si>
    <t>https://swisscovery.slsp.ch/view/sru/41SLSP_VGE?version=1.2&amp;operation=searchRetrieve&amp;recordSchema=marcxml&amp;query=alma.authority_id=264619498&amp;maximumRecords=0</t>
  </si>
  <si>
    <t>111360935</t>
  </si>
  <si>
    <t>https://swisscovery.slsp.ch/view/sru/41SLSP_NETWORK?version=1.2&amp;operation=searchRetrieve&amp;recordSchema=marcxml&amp;query=alma.authority_id=111360935&amp;maximumRecords=0</t>
  </si>
  <si>
    <t>https://swisscovery.slsp.ch/view/sru/41SLSP_VGE?version=1.2&amp;operation=searchRetrieve&amp;recordSchema=marcxml&amp;query=alma.authority_id=111360935&amp;maximumRecords=0</t>
  </si>
  <si>
    <t>276213394</t>
  </si>
  <si>
    <t>https://swisscovery.slsp.ch/view/sru/41SLSP_NETWORK?version=1.2&amp;operation=searchRetrieve&amp;recordSchema=marcxml&amp;query=alma.authority_id=276213394&amp;maximumRecords=0</t>
  </si>
  <si>
    <t>https://swisscovery.slsp.ch/view/sru/41SLSP_VGE?version=1.2&amp;operation=searchRetrieve&amp;recordSchema=marcxml&amp;query=alma.authority_id=276213394&amp;maximumRecords=0</t>
  </si>
  <si>
    <t>230453481</t>
  </si>
  <si>
    <t>https://swisscovery.slsp.ch/view/sru/41SLSP_NETWORK?version=1.2&amp;operation=searchRetrieve&amp;recordSchema=marcxml&amp;query=alma.authority_id=230453481&amp;maximumRecords=0</t>
  </si>
  <si>
    <t>https://swisscovery.slsp.ch/view/sru/41SLSP_VGE?version=1.2&amp;operation=searchRetrieve&amp;recordSchema=marcxml&amp;query=alma.authority_id=230453481&amp;maximumRecords=0</t>
  </si>
  <si>
    <t>112515878</t>
  </si>
  <si>
    <t>https://swisscovery.slsp.ch/view/sru/41SLSP_NETWORK?version=1.2&amp;operation=searchRetrieve&amp;recordSchema=marcxml&amp;query=alma.authority_id=112515878&amp;maximumRecords=0</t>
  </si>
  <si>
    <t>https://swisscovery.slsp.ch/view/sru/41SLSP_VGE?version=1.2&amp;operation=searchRetrieve&amp;recordSchema=marcxml&amp;query=alma.authority_id=112515878&amp;maximumRecords=0</t>
  </si>
  <si>
    <t>261009370</t>
  </si>
  <si>
    <t>https://swisscovery.slsp.ch/view/sru/41SLSP_NETWORK?version=1.2&amp;operation=searchRetrieve&amp;recordSchema=marcxml&amp;query=alma.authority_id=261009370&amp;maximumRecords=0</t>
  </si>
  <si>
    <t>https://swisscovery.slsp.ch/view/sru/41SLSP_VGE?version=1.2&amp;operation=searchRetrieve&amp;recordSchema=marcxml&amp;query=alma.authority_id=261009370&amp;maximumRecords=0</t>
  </si>
  <si>
    <t>189414421</t>
  </si>
  <si>
    <t>https://swisscovery.slsp.ch/view/sru/41SLSP_NETWORK?version=1.2&amp;operation=searchRetrieve&amp;recordSchema=marcxml&amp;query=alma.authority_id=189414421&amp;maximumRecords=0</t>
  </si>
  <si>
    <t>https://swisscovery.slsp.ch/view/sru/41SLSP_VGE?version=1.2&amp;operation=searchRetrieve&amp;recordSchema=marcxml&amp;query=alma.authority_id=189414421&amp;maximumRecords=0</t>
  </si>
  <si>
    <t>263578526</t>
  </si>
  <si>
    <t>https://swisscovery.slsp.ch/view/sru/41SLSP_NETWORK?version=1.2&amp;operation=searchRetrieve&amp;recordSchema=marcxml&amp;query=alma.authority_id=263578526&amp;maximumRecords=0</t>
  </si>
  <si>
    <t>https://swisscovery.slsp.ch/view/sru/41SLSP_VGE?version=1.2&amp;operation=searchRetrieve&amp;recordSchema=marcxml&amp;query=alma.authority_id=263578526&amp;maximumRecords=0</t>
  </si>
  <si>
    <t>284744174</t>
  </si>
  <si>
    <t>https://swisscovery.slsp.ch/view/sru/41SLSP_NETWORK?version=1.2&amp;operation=searchRetrieve&amp;recordSchema=marcxml&amp;query=alma.authority_id=284744174&amp;maximumRecords=0</t>
  </si>
  <si>
    <t>https://swisscovery.slsp.ch/view/sru/41SLSP_VGE?version=1.2&amp;operation=searchRetrieve&amp;recordSchema=marcxml&amp;query=alma.authority_id=284744174&amp;maximumRecords=0</t>
  </si>
  <si>
    <t>254923178</t>
  </si>
  <si>
    <t>https://swisscovery.slsp.ch/view/sru/41SLSP_NETWORK?version=1.2&amp;operation=searchRetrieve&amp;recordSchema=marcxml&amp;query=alma.authority_id=254923178&amp;maximumRecords=0</t>
  </si>
  <si>
    <t>https://swisscovery.slsp.ch/view/sru/41SLSP_VGE?version=1.2&amp;operation=searchRetrieve&amp;recordSchema=marcxml&amp;query=alma.authority_id=254923178&amp;maximumRecords=0</t>
  </si>
  <si>
    <t>28433247X</t>
  </si>
  <si>
    <t>https://swisscovery.slsp.ch/view/sru/41SLSP_NETWORK?version=1.2&amp;operation=searchRetrieve&amp;recordSchema=marcxml&amp;query=alma.authority_id=28433247X&amp;maximumRecords=0</t>
  </si>
  <si>
    <t>https://swisscovery.slsp.ch/view/sru/41SLSP_VGE?version=1.2&amp;operation=searchRetrieve&amp;recordSchema=marcxml&amp;query=alma.authority_id=28433247X&amp;maximumRecords=0</t>
  </si>
  <si>
    <t>280864973</t>
  </si>
  <si>
    <t>https://swisscovery.slsp.ch/view/sru/41SLSP_NETWORK?version=1.2&amp;operation=searchRetrieve&amp;recordSchema=marcxml&amp;query=alma.authority_id=280864973&amp;maximumRecords=0</t>
  </si>
  <si>
    <t>https://swisscovery.slsp.ch/view/sru/41SLSP_VGE?version=1.2&amp;operation=searchRetrieve&amp;recordSchema=marcxml&amp;query=alma.authority_id=280864973&amp;maximumRecords=0</t>
  </si>
  <si>
    <t>263674185</t>
  </si>
  <si>
    <t>https://swisscovery.slsp.ch/view/sru/41SLSP_NETWORK?version=1.2&amp;operation=searchRetrieve&amp;recordSchema=marcxml&amp;query=alma.authority_id=263674185&amp;maximumRecords=0</t>
  </si>
  <si>
    <t>https://swisscovery.slsp.ch/view/sru/41SLSP_VGE?version=1.2&amp;operation=searchRetrieve&amp;recordSchema=marcxml&amp;query=alma.authority_id=263674185&amp;maximumRecords=0</t>
  </si>
  <si>
    <t>282184740</t>
  </si>
  <si>
    <t>https://swisscovery.slsp.ch/view/sru/41SLSP_NETWORK?version=1.2&amp;operation=searchRetrieve&amp;recordSchema=marcxml&amp;query=alma.authority_id=282184740&amp;maximumRecords=0</t>
  </si>
  <si>
    <t>https://swisscovery.slsp.ch/view/sru/41SLSP_VGE?version=1.2&amp;operation=searchRetrieve&amp;recordSchema=marcxml&amp;query=alma.authority_id=282184740&amp;maximumRecords=0</t>
  </si>
  <si>
    <t>28054037X</t>
  </si>
  <si>
    <t>https://swisscovery.slsp.ch/view/sru/41SLSP_NETWORK?version=1.2&amp;operation=searchRetrieve&amp;recordSchema=marcxml&amp;query=alma.authority_id=28054037X&amp;maximumRecords=0</t>
  </si>
  <si>
    <t>https://swisscovery.slsp.ch/view/sru/41SLSP_VGE?version=1.2&amp;operation=searchRetrieve&amp;recordSchema=marcxml&amp;query=alma.authority_id=28054037X&amp;maximumRecords=0</t>
  </si>
  <si>
    <t>258184434</t>
  </si>
  <si>
    <t>https://swisscovery.slsp.ch/view/sru/41SLSP_NETWORK?version=1.2&amp;operation=searchRetrieve&amp;recordSchema=marcxml&amp;query=alma.authority_id=258184434&amp;maximumRecords=0</t>
  </si>
  <si>
    <t>https://swisscovery.slsp.ch/view/sru/41SLSP_VGE?version=1.2&amp;operation=searchRetrieve&amp;recordSchema=marcxml&amp;query=alma.authority_id=258184434&amp;maximumRecords=0</t>
  </si>
  <si>
    <t>255834977</t>
  </si>
  <si>
    <t>https://swisscovery.slsp.ch/view/sru/41SLSP_NETWORK?version=1.2&amp;operation=searchRetrieve&amp;recordSchema=marcxml&amp;query=alma.authority_id=255834977&amp;maximumRecords=0</t>
  </si>
  <si>
    <t>https://swisscovery.slsp.ch/view/sru/41SLSP_VGE?version=1.2&amp;operation=searchRetrieve&amp;recordSchema=marcxml&amp;query=alma.authority_id=255834977&amp;maximumRecords=0</t>
  </si>
  <si>
    <t>28434883X</t>
  </si>
  <si>
    <t>https://swisscovery.slsp.ch/view/sru/41SLSP_NETWORK?version=1.2&amp;operation=searchRetrieve&amp;recordSchema=marcxml&amp;query=alma.authority_id=28434883X&amp;maximumRecords=0</t>
  </si>
  <si>
    <t>https://swisscovery.slsp.ch/view/sru/41SLSP_VGE?version=1.2&amp;operation=searchRetrieve&amp;recordSchema=marcxml&amp;query=alma.authority_id=28434883X&amp;maximumRecords=0</t>
  </si>
  <si>
    <t>258255048</t>
  </si>
  <si>
    <t>https://swisscovery.slsp.ch/view/sru/41SLSP_NETWORK?version=1.2&amp;operation=searchRetrieve&amp;recordSchema=marcxml&amp;query=alma.authority_id=258255048&amp;maximumRecords=0</t>
  </si>
  <si>
    <t>https://swisscovery.slsp.ch/view/sru/41SLSP_VGE?version=1.2&amp;operation=searchRetrieve&amp;recordSchema=marcxml&amp;query=alma.authority_id=258255048&amp;maximumRecords=0</t>
  </si>
  <si>
    <t>281764956</t>
  </si>
  <si>
    <t>https://swisscovery.slsp.ch/view/sru/41SLSP_NETWORK?version=1.2&amp;operation=searchRetrieve&amp;recordSchema=marcxml&amp;query=alma.authority_id=281764956&amp;maximumRecords=0</t>
  </si>
  <si>
    <t>https://swisscovery.slsp.ch/view/sru/41SLSP_VGE?version=1.2&amp;operation=searchRetrieve&amp;recordSchema=marcxml&amp;query=alma.authority_id=281764956&amp;maximumRecords=0</t>
  </si>
  <si>
    <t>280869185</t>
  </si>
  <si>
    <t>https://swisscovery.slsp.ch/view/sru/41SLSP_NETWORK?version=1.2&amp;operation=searchRetrieve&amp;recordSchema=marcxml&amp;query=alma.authority_id=280869185&amp;maximumRecords=0</t>
  </si>
  <si>
    <t>https://swisscovery.slsp.ch/view/sru/41SLSP_VGE?version=1.2&amp;operation=searchRetrieve&amp;recordSchema=marcxml&amp;query=alma.authority_id=280869185&amp;maximumRecords=0</t>
  </si>
  <si>
    <t>278410839</t>
  </si>
  <si>
    <t>https://swisscovery.slsp.ch/view/sru/41SLSP_NETWORK?version=1.2&amp;operation=searchRetrieve&amp;recordSchema=marcxml&amp;query=alma.authority_id=278410839&amp;maximumRecords=0</t>
  </si>
  <si>
    <t>https://swisscovery.slsp.ch/view/sru/41SLSP_VGE?version=1.2&amp;operation=searchRetrieve&amp;recordSchema=marcxml&amp;query=alma.authority_id=278410839&amp;maximumRecords=0</t>
  </si>
  <si>
    <t>284332151</t>
  </si>
  <si>
    <t>https://swisscovery.slsp.ch/view/sru/41SLSP_NETWORK?version=1.2&amp;operation=searchRetrieve&amp;recordSchema=marcxml&amp;query=alma.authority_id=284332151&amp;maximumRecords=0</t>
  </si>
  <si>
    <t>https://swisscovery.slsp.ch/view/sru/41SLSP_VGE?version=1.2&amp;operation=searchRetrieve&amp;recordSchema=marcxml&amp;query=alma.authority_id=284332151&amp;maximumRecords=0</t>
  </si>
  <si>
    <t>030353548</t>
  </si>
  <si>
    <t>https://swisscovery.slsp.ch/view/sru/41SLSP_NETWORK?version=1.2&amp;operation=searchRetrieve&amp;recordSchema=marcxml&amp;query=alma.authority_id=030353548&amp;maximumRecords=0</t>
  </si>
  <si>
    <t>https://swisscovery.slsp.ch/view/sru/41SLSP_VGE?version=1.2&amp;operation=searchRetrieve&amp;recordSchema=marcxml&amp;query=alma.authority_id=030353548&amp;maximumRecords=0</t>
  </si>
  <si>
    <t>260469238</t>
  </si>
  <si>
    <t>https://swisscovery.slsp.ch/view/sru/41SLSP_NETWORK?version=1.2&amp;operation=searchRetrieve&amp;recordSchema=marcxml&amp;query=alma.authority_id=260469238&amp;maximumRecords=0</t>
  </si>
  <si>
    <t>https://swisscovery.slsp.ch/view/sru/41SLSP_VGE?version=1.2&amp;operation=searchRetrieve&amp;recordSchema=marcxml&amp;query=alma.authority_id=260469238&amp;maximumRecords=0</t>
  </si>
  <si>
    <t>283718471</t>
  </si>
  <si>
    <t>https://swisscovery.slsp.ch/view/sru/41SLSP_NETWORK?version=1.2&amp;operation=searchRetrieve&amp;recordSchema=marcxml&amp;query=alma.authority_id=283718471&amp;maximumRecords=0</t>
  </si>
  <si>
    <t>https://swisscovery.slsp.ch/view/sru/41SLSP_VGE?version=1.2&amp;operation=searchRetrieve&amp;recordSchema=marcxml&amp;query=alma.authority_id=283718471&amp;maximumRecords=0</t>
  </si>
  <si>
    <t>281585490</t>
  </si>
  <si>
    <t>https://swisscovery.slsp.ch/view/sru/41SLSP_NETWORK?version=1.2&amp;operation=searchRetrieve&amp;recordSchema=marcxml&amp;query=alma.authority_id=281585490&amp;maximumRecords=0</t>
  </si>
  <si>
    <t>https://swisscovery.slsp.ch/view/sru/41SLSP_VGE?version=1.2&amp;operation=searchRetrieve&amp;recordSchema=marcxml&amp;query=alma.authority_id=281585490&amp;maximumRecords=0</t>
  </si>
  <si>
    <t>285091891</t>
  </si>
  <si>
    <t>https://swisscovery.slsp.ch/view/sru/41SLSP_NETWORK?version=1.2&amp;operation=searchRetrieve&amp;recordSchema=marcxml&amp;query=alma.authority_id=285091891&amp;maximumRecords=0</t>
  </si>
  <si>
    <t>https://swisscovery.slsp.ch/view/sru/41SLSP_VGE?version=1.2&amp;operation=searchRetrieve&amp;recordSchema=marcxml&amp;query=alma.authority_id=285091891&amp;maximumRecords=0</t>
  </si>
  <si>
    <t>284106046</t>
  </si>
  <si>
    <t>https://swisscovery.slsp.ch/view/sru/41SLSP_NETWORK?version=1.2&amp;operation=searchRetrieve&amp;recordSchema=marcxml&amp;query=alma.authority_id=284106046&amp;maximumRecords=0</t>
  </si>
  <si>
    <t>https://swisscovery.slsp.ch/view/sru/41SLSP_VGE?version=1.2&amp;operation=searchRetrieve&amp;recordSchema=marcxml&amp;query=alma.authority_id=284106046&amp;maximumRecords=0</t>
  </si>
  <si>
    <t>147595169</t>
  </si>
  <si>
    <t>https://swisscovery.slsp.ch/view/sru/41SLSP_NETWORK?version=1.2&amp;operation=searchRetrieve&amp;recordSchema=marcxml&amp;query=alma.authority_id=147595169&amp;maximumRecords=0</t>
  </si>
  <si>
    <t>https://swisscovery.slsp.ch/view/sru/41SLSP_VGE?version=1.2&amp;operation=searchRetrieve&amp;recordSchema=marcxml&amp;query=alma.authority_id=147595169&amp;maximumRecords=0</t>
  </si>
  <si>
    <t>280862016</t>
  </si>
  <si>
    <t>https://swisscovery.slsp.ch/view/sru/41SLSP_NETWORK?version=1.2&amp;operation=searchRetrieve&amp;recordSchema=marcxml&amp;query=alma.authority_id=280862016&amp;maximumRecords=0</t>
  </si>
  <si>
    <t>https://swisscovery.slsp.ch/view/sru/41SLSP_VGE?version=1.2&amp;operation=searchRetrieve&amp;recordSchema=marcxml&amp;query=alma.authority_id=280862016&amp;maximumRecords=0</t>
  </si>
  <si>
    <t>276259254</t>
  </si>
  <si>
    <t>https://swisscovery.slsp.ch/view/sru/41SLSP_NETWORK?version=1.2&amp;operation=searchRetrieve&amp;recordSchema=marcxml&amp;query=alma.authority_id=276259254&amp;maximumRecords=0</t>
  </si>
  <si>
    <t>https://swisscovery.slsp.ch/view/sru/41SLSP_VGE?version=1.2&amp;operation=searchRetrieve&amp;recordSchema=marcxml&amp;query=alma.authority_id=276259254&amp;maximumRecords=0</t>
  </si>
  <si>
    <t>284517232</t>
  </si>
  <si>
    <t>https://swisscovery.slsp.ch/view/sru/41SLSP_NETWORK?version=1.2&amp;operation=searchRetrieve&amp;recordSchema=marcxml&amp;query=alma.authority_id=284517232&amp;maximumRecords=0</t>
  </si>
  <si>
    <t>https://swisscovery.slsp.ch/view/sru/41SLSP_VGE?version=1.2&amp;operation=searchRetrieve&amp;recordSchema=marcxml&amp;query=alma.authority_id=284517232&amp;maximumRecords=0</t>
  </si>
  <si>
    <t>026858657</t>
  </si>
  <si>
    <t>https://swisscovery.slsp.ch/view/sru/41SLSP_NETWORK?version=1.2&amp;operation=searchRetrieve&amp;recordSchema=marcxml&amp;query=alma.authority_id=026858657&amp;maximumRecords=0</t>
  </si>
  <si>
    <t>https://swisscovery.slsp.ch/view/sru/41SLSP_VGE?version=1.2&amp;operation=searchRetrieve&amp;recordSchema=marcxml&amp;query=alma.authority_id=026858657&amp;maximumRecords=0</t>
  </si>
  <si>
    <t>281002711</t>
  </si>
  <si>
    <t>https://swisscovery.slsp.ch/view/sru/41SLSP_NETWORK?version=1.2&amp;operation=searchRetrieve&amp;recordSchema=marcxml&amp;query=alma.authority_id=281002711&amp;maximumRecords=0</t>
  </si>
  <si>
    <t>https://swisscovery.slsp.ch/view/sru/41SLSP_VGE?version=1.2&amp;operation=searchRetrieve&amp;recordSchema=marcxml&amp;query=alma.authority_id=281002711&amp;maximumRecords=0</t>
  </si>
  <si>
    <t>280813791</t>
  </si>
  <si>
    <t>https://swisscovery.slsp.ch/view/sru/41SLSP_NETWORK?version=1.2&amp;operation=searchRetrieve&amp;recordSchema=marcxml&amp;query=alma.authority_id=280813791&amp;maximumRecords=0</t>
  </si>
  <si>
    <t>https://swisscovery.slsp.ch/view/sru/41SLSP_VGE?version=1.2&amp;operation=searchRetrieve&amp;recordSchema=marcxml&amp;query=alma.authority_id=280813791&amp;maximumRecords=0</t>
  </si>
  <si>
    <t>029067111</t>
  </si>
  <si>
    <t>https://swisscovery.slsp.ch/view/sru/41SLSP_NETWORK?version=1.2&amp;operation=searchRetrieve&amp;recordSchema=marcxml&amp;query=alma.authority_id=029067111&amp;maximumRecords=0</t>
  </si>
  <si>
    <t>https://swisscovery.slsp.ch/view/sru/41SLSP_VGE?version=1.2&amp;operation=searchRetrieve&amp;recordSchema=marcxml&amp;query=alma.authority_id=029067111&amp;maximumRecords=0</t>
  </si>
  <si>
    <t>257084169</t>
  </si>
  <si>
    <t>https://swisscovery.slsp.ch/view/sru/41SLSP_NETWORK?version=1.2&amp;operation=searchRetrieve&amp;recordSchema=marcxml&amp;query=alma.authority_id=257084169&amp;maximumRecords=0</t>
  </si>
  <si>
    <t>https://swisscovery.slsp.ch/view/sru/41SLSP_VGE?version=1.2&amp;operation=searchRetrieve&amp;recordSchema=marcxml&amp;query=alma.authority_id=257084169&amp;maximumRecords=0</t>
  </si>
  <si>
    <t>280861966</t>
  </si>
  <si>
    <t>https://swisscovery.slsp.ch/view/sru/41SLSP_NETWORK?version=1.2&amp;operation=searchRetrieve&amp;recordSchema=marcxml&amp;query=alma.authority_id=280861966&amp;maximumRecords=0</t>
  </si>
  <si>
    <t>https://swisscovery.slsp.ch/view/sru/41SLSP_VGE?version=1.2&amp;operation=searchRetrieve&amp;recordSchema=marcxml&amp;query=alma.authority_id=280861966&amp;maximumRecords=0</t>
  </si>
  <si>
    <t>110296931</t>
  </si>
  <si>
    <t>https://swisscovery.slsp.ch/view/sru/41SLSP_NETWORK?version=1.2&amp;operation=searchRetrieve&amp;recordSchema=marcxml&amp;query=alma.authority_id=110296931&amp;maximumRecords=0</t>
  </si>
  <si>
    <t>https://swisscovery.slsp.ch/view/sru/41SLSP_VGE?version=1.2&amp;operation=searchRetrieve&amp;recordSchema=marcxml&amp;query=alma.authority_id=110296931&amp;maximumRecords=0</t>
  </si>
  <si>
    <t>283217243</t>
  </si>
  <si>
    <t>https://swisscovery.slsp.ch/view/sru/41SLSP_NETWORK?version=1.2&amp;operation=searchRetrieve&amp;recordSchema=marcxml&amp;query=alma.authority_id=283217243&amp;maximumRecords=0</t>
  </si>
  <si>
    <t>https://swisscovery.slsp.ch/view/sru/41SLSP_VGE?version=1.2&amp;operation=searchRetrieve&amp;recordSchema=marcxml&amp;query=alma.authority_id=283217243&amp;maximumRecords=0</t>
  </si>
  <si>
    <t>275318451</t>
  </si>
  <si>
    <t>https://swisscovery.slsp.ch/view/sru/41SLSP_NETWORK?version=1.2&amp;operation=searchRetrieve&amp;recordSchema=marcxml&amp;query=alma.authority_id=275318451&amp;maximumRecords=0</t>
  </si>
  <si>
    <t>https://swisscovery.slsp.ch/view/sru/41SLSP_VGE?version=1.2&amp;operation=searchRetrieve&amp;recordSchema=marcxml&amp;query=alma.authority_id=275318451&amp;maximumRecords=0</t>
  </si>
  <si>
    <t>284774057</t>
  </si>
  <si>
    <t>https://swisscovery.slsp.ch/view/sru/41SLSP_NETWORK?version=1.2&amp;operation=searchRetrieve&amp;recordSchema=marcxml&amp;query=alma.authority_id=284774057&amp;maximumRecords=0</t>
  </si>
  <si>
    <t>https://swisscovery.slsp.ch/view/sru/41SLSP_VGE?version=1.2&amp;operation=searchRetrieve&amp;recordSchema=marcxml&amp;query=alma.authority_id=284774057&amp;maximumRecords=0</t>
  </si>
  <si>
    <t>280862652</t>
  </si>
  <si>
    <t>https://swisscovery.slsp.ch/view/sru/41SLSP_NETWORK?version=1.2&amp;operation=searchRetrieve&amp;recordSchema=marcxml&amp;query=alma.authority_id=280862652&amp;maximumRecords=0</t>
  </si>
  <si>
    <t>https://swisscovery.slsp.ch/view/sru/41SLSP_VGE?version=1.2&amp;operation=searchRetrieve&amp;recordSchema=marcxml&amp;query=alma.authority_id=280862652&amp;maximumRecords=0</t>
  </si>
  <si>
    <t>281840539</t>
  </si>
  <si>
    <t>https://swisscovery.slsp.ch/view/sru/41SLSP_NETWORK?version=1.2&amp;operation=searchRetrieve&amp;recordSchema=marcxml&amp;query=alma.authority_id=281840539&amp;maximumRecords=0</t>
  </si>
  <si>
    <t>https://swisscovery.slsp.ch/view/sru/41SLSP_VGE?version=1.2&amp;operation=searchRetrieve&amp;recordSchema=marcxml&amp;query=alma.authority_id=281840539&amp;maximumRecords=0</t>
  </si>
  <si>
    <t>280862709</t>
  </si>
  <si>
    <t>https://swisscovery.slsp.ch/view/sru/41SLSP_NETWORK?version=1.2&amp;operation=searchRetrieve&amp;recordSchema=marcxml&amp;query=alma.authority_id=280862709&amp;maximumRecords=0</t>
  </si>
  <si>
    <t>https://swisscovery.slsp.ch/view/sru/41SLSP_VGE?version=1.2&amp;operation=searchRetrieve&amp;recordSchema=marcxml&amp;query=alma.authority_id=280862709&amp;maximumRecords=0</t>
  </si>
  <si>
    <t>284104515</t>
  </si>
  <si>
    <t>https://swisscovery.slsp.ch/view/sru/41SLSP_NETWORK?version=1.2&amp;operation=searchRetrieve&amp;recordSchema=marcxml&amp;query=alma.authority_id=284104515&amp;maximumRecords=0</t>
  </si>
  <si>
    <t>https://swisscovery.slsp.ch/view/sru/41SLSP_VGE?version=1.2&amp;operation=searchRetrieve&amp;recordSchema=marcxml&amp;query=alma.authority_id=284104515&amp;maximumRecords=0</t>
  </si>
  <si>
    <t>026774461</t>
  </si>
  <si>
    <t>https://swisscovery.slsp.ch/view/sru/41SLSP_NETWORK?version=1.2&amp;operation=searchRetrieve&amp;recordSchema=marcxml&amp;query=alma.authority_id=026774461&amp;maximumRecords=0</t>
  </si>
  <si>
    <t>https://swisscovery.slsp.ch/view/sru/41SLSP_VGE?version=1.2&amp;operation=searchRetrieve&amp;recordSchema=marcxml&amp;query=alma.authority_id=026774461&amp;maximumRecords=0</t>
  </si>
  <si>
    <t>280865198</t>
  </si>
  <si>
    <t>https://swisscovery.slsp.ch/view/sru/41SLSP_NETWORK?version=1.2&amp;operation=searchRetrieve&amp;recordSchema=marcxml&amp;query=alma.authority_id=280865198&amp;maximumRecords=0</t>
  </si>
  <si>
    <t>https://swisscovery.slsp.ch/view/sru/41SLSP_VGE?version=1.2&amp;operation=searchRetrieve&amp;recordSchema=marcxml&amp;query=alma.authority_id=280865198&amp;maximumRecords=0</t>
  </si>
  <si>
    <t>284330590</t>
  </si>
  <si>
    <t>https://swisscovery.slsp.ch/view/sru/41SLSP_NETWORK?version=1.2&amp;operation=searchRetrieve&amp;recordSchema=marcxml&amp;query=alma.authority_id=284330590&amp;maximumRecords=0</t>
  </si>
  <si>
    <t>https://swisscovery.slsp.ch/view/sru/41SLSP_VGE?version=1.2&amp;operation=searchRetrieve&amp;recordSchema=marcxml&amp;query=alma.authority_id=284330590&amp;maximumRecords=0</t>
  </si>
  <si>
    <t>282188150</t>
  </si>
  <si>
    <t>https://swisscovery.slsp.ch/view/sru/41SLSP_NETWORK?version=1.2&amp;operation=searchRetrieve&amp;recordSchema=marcxml&amp;query=alma.authority_id=282188150&amp;maximumRecords=0</t>
  </si>
  <si>
    <t>https://swisscovery.slsp.ch/view/sru/41SLSP_VGE?version=1.2&amp;operation=searchRetrieve&amp;recordSchema=marcxml&amp;query=alma.authority_id=282188150&amp;maximumRecords=0</t>
  </si>
  <si>
    <t>137097271</t>
  </si>
  <si>
    <t>https://swisscovery.slsp.ch/view/sru/41SLSP_NETWORK?version=1.2&amp;operation=searchRetrieve&amp;recordSchema=marcxml&amp;query=alma.authority_id=137097271&amp;maximumRecords=0</t>
  </si>
  <si>
    <t>https://swisscovery.slsp.ch/view/sru/41SLSP_VGE?version=1.2&amp;operation=searchRetrieve&amp;recordSchema=marcxml&amp;query=alma.authority_id=137097271&amp;maximumRecords=0</t>
  </si>
  <si>
    <t>280866909</t>
  </si>
  <si>
    <t>https://swisscovery.slsp.ch/view/sru/41SLSP_NETWORK?version=1.2&amp;operation=searchRetrieve&amp;recordSchema=marcxml&amp;query=alma.authority_id=280866909&amp;maximumRecords=0</t>
  </si>
  <si>
    <t>https://swisscovery.slsp.ch/view/sru/41SLSP_VGE?version=1.2&amp;operation=searchRetrieve&amp;recordSchema=marcxml&amp;query=alma.authority_id=280866909&amp;maximumRecords=0</t>
  </si>
  <si>
    <t>284683515</t>
  </si>
  <si>
    <t>https://swisscovery.slsp.ch/view/sru/41SLSP_NETWORK?version=1.2&amp;operation=searchRetrieve&amp;recordSchema=marcxml&amp;query=alma.authority_id=284683515&amp;maximumRecords=0</t>
  </si>
  <si>
    <t>https://swisscovery.slsp.ch/view/sru/41SLSP_VGE?version=1.2&amp;operation=searchRetrieve&amp;recordSchema=marcxml&amp;query=alma.authority_id=284683515&amp;maximumRecords=0</t>
  </si>
  <si>
    <t>279049307</t>
  </si>
  <si>
    <t>https://swisscovery.slsp.ch/view/sru/41SLSP_NETWORK?version=1.2&amp;operation=searchRetrieve&amp;recordSchema=marcxml&amp;query=alma.authority_id=279049307&amp;maximumRecords=0</t>
  </si>
  <si>
    <t>https://swisscovery.slsp.ch/view/sru/41SLSP_VGE?version=1.2&amp;operation=searchRetrieve&amp;recordSchema=marcxml&amp;query=alma.authority_id=279049307&amp;maximumRecords=0</t>
  </si>
  <si>
    <t>28267649X</t>
  </si>
  <si>
    <t>https://swisscovery.slsp.ch/view/sru/41SLSP_NETWORK?version=1.2&amp;operation=searchRetrieve&amp;recordSchema=marcxml&amp;query=alma.authority_id=28267649X&amp;maximumRecords=0</t>
  </si>
  <si>
    <t>https://swisscovery.slsp.ch/view/sru/41SLSP_VGE?version=1.2&amp;operation=searchRetrieve&amp;recordSchema=marcxml&amp;query=alma.authority_id=28267649X&amp;maximumRecords=0</t>
  </si>
  <si>
    <t>146369726</t>
  </si>
  <si>
    <t>https://swisscovery.slsp.ch/view/sru/41SLSP_NETWORK?version=1.2&amp;operation=searchRetrieve&amp;recordSchema=marcxml&amp;query=alma.authority_id=146369726&amp;maximumRecords=0</t>
  </si>
  <si>
    <t>https://swisscovery.slsp.ch/view/sru/41SLSP_VGE?version=1.2&amp;operation=searchRetrieve&amp;recordSchema=marcxml&amp;query=alma.authority_id=146369726&amp;maximumRecords=0</t>
  </si>
  <si>
    <t>280893833</t>
  </si>
  <si>
    <t>https://swisscovery.slsp.ch/view/sru/41SLSP_NETWORK?version=1.2&amp;operation=searchRetrieve&amp;recordSchema=marcxml&amp;query=alma.authority_id=280893833&amp;maximumRecords=0</t>
  </si>
  <si>
    <t>https://swisscovery.slsp.ch/view/sru/41SLSP_VGE?version=1.2&amp;operation=searchRetrieve&amp;recordSchema=marcxml&amp;query=alma.authority_id=280893833&amp;maximumRecords=0</t>
  </si>
  <si>
    <t>281840709</t>
  </si>
  <si>
    <t>https://swisscovery.slsp.ch/view/sru/41SLSP_NETWORK?version=1.2&amp;operation=searchRetrieve&amp;recordSchema=marcxml&amp;query=alma.authority_id=281840709&amp;maximumRecords=0</t>
  </si>
  <si>
    <t>https://swisscovery.slsp.ch/view/sru/41SLSP_VGE?version=1.2&amp;operation=searchRetrieve&amp;recordSchema=marcxml&amp;query=alma.authority_id=281840709&amp;maximumRecords=0</t>
  </si>
  <si>
    <t>280904932</t>
  </si>
  <si>
    <t>https://swisscovery.slsp.ch/view/sru/41SLSP_NETWORK?version=1.2&amp;operation=searchRetrieve&amp;recordSchema=marcxml&amp;query=alma.authority_id=280904932&amp;maximumRecords=0</t>
  </si>
  <si>
    <t>https://swisscovery.slsp.ch/view/sru/41SLSP_VGE?version=1.2&amp;operation=searchRetrieve&amp;recordSchema=marcxml&amp;query=alma.authority_id=280904932&amp;maximumRecords=0</t>
  </si>
  <si>
    <t>066947316</t>
  </si>
  <si>
    <t>https://swisscovery.slsp.ch/view/sru/41SLSP_NETWORK?version=1.2&amp;operation=searchRetrieve&amp;recordSchema=marcxml&amp;query=alma.authority_id=066947316&amp;maximumRecords=0</t>
  </si>
  <si>
    <t>https://swisscovery.slsp.ch/view/sru/41SLSP_VGE?version=1.2&amp;operation=searchRetrieve&amp;recordSchema=marcxml&amp;query=alma.authority_id=066947316&amp;maximumRecords=0</t>
  </si>
  <si>
    <t>281667349</t>
  </si>
  <si>
    <t>https://swisscovery.slsp.ch/view/sru/41SLSP_NETWORK?version=1.2&amp;operation=searchRetrieve&amp;recordSchema=marcxml&amp;query=alma.authority_id=281667349&amp;maximumRecords=0</t>
  </si>
  <si>
    <t>https://swisscovery.slsp.ch/view/sru/41SLSP_VGE?version=1.2&amp;operation=searchRetrieve&amp;recordSchema=marcxml&amp;query=alma.authority_id=281667349&amp;maximumRecords=0</t>
  </si>
  <si>
    <t>280912501</t>
  </si>
  <si>
    <t>https://swisscovery.slsp.ch/view/sru/41SLSP_NETWORK?version=1.2&amp;operation=searchRetrieve&amp;recordSchema=marcxml&amp;query=alma.authority_id=280912501&amp;maximumRecords=0</t>
  </si>
  <si>
    <t>https://swisscovery.slsp.ch/view/sru/41SLSP_VGE?version=1.2&amp;operation=searchRetrieve&amp;recordSchema=marcxml&amp;query=alma.authority_id=280912501&amp;maximumRecords=0</t>
  </si>
  <si>
    <t>280907486</t>
  </si>
  <si>
    <t>https://swisscovery.slsp.ch/view/sru/41SLSP_NETWORK?version=1.2&amp;operation=searchRetrieve&amp;recordSchema=marcxml&amp;query=alma.authority_id=280907486&amp;maximumRecords=0</t>
  </si>
  <si>
    <t>https://swisscovery.slsp.ch/view/sru/41SLSP_VGE?version=1.2&amp;operation=searchRetrieve&amp;recordSchema=marcxml&amp;query=alma.authority_id=280907486&amp;maximumRecords=0</t>
  </si>
  <si>
    <t>281778302</t>
  </si>
  <si>
    <t>https://swisscovery.slsp.ch/view/sru/41SLSP_NETWORK?version=1.2&amp;operation=searchRetrieve&amp;recordSchema=marcxml&amp;query=alma.authority_id=281778302&amp;maximumRecords=0</t>
  </si>
  <si>
    <t>https://swisscovery.slsp.ch/view/sru/41SLSP_VGE?version=1.2&amp;operation=searchRetrieve&amp;recordSchema=marcxml&amp;query=alma.authority_id=281778302&amp;maximumRecords=0</t>
  </si>
  <si>
    <t>283093838</t>
  </si>
  <si>
    <t>https://swisscovery.slsp.ch/view/sru/41SLSP_NETWORK?version=1.2&amp;operation=searchRetrieve&amp;recordSchema=marcxml&amp;query=alma.authority_id=283093838&amp;maximumRecords=0</t>
  </si>
  <si>
    <t>https://swisscovery.slsp.ch/view/sru/41SLSP_VGE?version=1.2&amp;operation=searchRetrieve&amp;recordSchema=marcxml&amp;query=alma.authority_id=283093838&amp;maximumRecords=0</t>
  </si>
  <si>
    <t>178453307</t>
  </si>
  <si>
    <t>https://swisscovery.slsp.ch/view/sru/41SLSP_NETWORK?version=1.2&amp;operation=searchRetrieve&amp;recordSchema=marcxml&amp;query=alma.authority_id=178453307&amp;maximumRecords=0</t>
  </si>
  <si>
    <t>https://swisscovery.slsp.ch/view/sru/41SLSP_VGE?version=1.2&amp;operation=searchRetrieve&amp;recordSchema=marcxml&amp;query=alma.authority_id=178453307&amp;maximumRecords=0</t>
  </si>
  <si>
    <t>28436407X</t>
  </si>
  <si>
    <t>https://swisscovery.slsp.ch/view/sru/41SLSP_NETWORK?version=1.2&amp;operation=searchRetrieve&amp;recordSchema=marcxml&amp;query=alma.authority_id=28436407X&amp;maximumRecords=0</t>
  </si>
  <si>
    <t>https://swisscovery.slsp.ch/view/sru/41SLSP_VGE?version=1.2&amp;operation=searchRetrieve&amp;recordSchema=marcxml&amp;query=alma.authority_id=28436407X&amp;maximumRecords=0</t>
  </si>
  <si>
    <t>165808977</t>
  </si>
  <si>
    <t>https://swisscovery.slsp.ch/view/sru/41SLSP_NETWORK?version=1.2&amp;operation=searchRetrieve&amp;recordSchema=marcxml&amp;query=alma.authority_id=165808977&amp;maximumRecords=0</t>
  </si>
  <si>
    <t>https://swisscovery.slsp.ch/view/sru/41SLSP_VGE?version=1.2&amp;operation=searchRetrieve&amp;recordSchema=marcxml&amp;query=alma.authority_id=165808977&amp;maximumRecords=0</t>
  </si>
  <si>
    <t>281639981</t>
  </si>
  <si>
    <t>https://swisscovery.slsp.ch/view/sru/41SLSP_NETWORK?version=1.2&amp;operation=searchRetrieve&amp;recordSchema=marcxml&amp;query=alma.authority_id=281639981&amp;maximumRecords=0</t>
  </si>
  <si>
    <t>https://swisscovery.slsp.ch/view/sru/41SLSP_VGE?version=1.2&amp;operation=searchRetrieve&amp;recordSchema=marcxml&amp;query=alma.authority_id=281639981&amp;maximumRecords=0</t>
  </si>
  <si>
    <t>279733666</t>
  </si>
  <si>
    <t>https://swisscovery.slsp.ch/view/sru/41SLSP_NETWORK?version=1.2&amp;operation=searchRetrieve&amp;recordSchema=marcxml&amp;query=alma.authority_id=279733666&amp;maximumRecords=0</t>
  </si>
  <si>
    <t>https://swisscovery.slsp.ch/view/sru/41SLSP_VGE?version=1.2&amp;operation=searchRetrieve&amp;recordSchema=marcxml&amp;query=alma.authority_id=279733666&amp;maximumRecords=0</t>
  </si>
  <si>
    <t>25815330X</t>
  </si>
  <si>
    <t>https://swisscovery.slsp.ch/view/sru/41SLSP_NETWORK?version=1.2&amp;operation=searchRetrieve&amp;recordSchema=marcxml&amp;query=alma.authority_id=25815330X&amp;maximumRecords=0</t>
  </si>
  <si>
    <t>https://swisscovery.slsp.ch/view/sru/41SLSP_VGE?version=1.2&amp;operation=searchRetrieve&amp;recordSchema=marcxml&amp;query=alma.authority_id=25815330X&amp;maximumRecords=0</t>
  </si>
  <si>
    <t>285137255</t>
  </si>
  <si>
    <t>https://swisscovery.slsp.ch/view/sru/41SLSP_NETWORK?version=1.2&amp;operation=searchRetrieve&amp;recordSchema=marcxml&amp;query=alma.authority_id=285137255&amp;maximumRecords=0</t>
  </si>
  <si>
    <t>https://swisscovery.slsp.ch/view/sru/41SLSP_VGE?version=1.2&amp;operation=searchRetrieve&amp;recordSchema=marcxml&amp;query=alma.authority_id=285137255&amp;maximumRecords=0</t>
  </si>
  <si>
    <t>281699046</t>
  </si>
  <si>
    <t>https://swisscovery.slsp.ch/view/sru/41SLSP_NETWORK?version=1.2&amp;operation=searchRetrieve&amp;recordSchema=marcxml&amp;query=alma.authority_id=281699046&amp;maximumRecords=0</t>
  </si>
  <si>
    <t>https://swisscovery.slsp.ch/view/sru/41SLSP_VGE?version=1.2&amp;operation=searchRetrieve&amp;recordSchema=marcxml&amp;query=alma.authority_id=281699046&amp;maximumRecords=0</t>
  </si>
  <si>
    <t>281728283</t>
  </si>
  <si>
    <t>https://swisscovery.slsp.ch/view/sru/41SLSP_NETWORK?version=1.2&amp;operation=searchRetrieve&amp;recordSchema=marcxml&amp;query=alma.authority_id=281728283&amp;maximumRecords=0</t>
  </si>
  <si>
    <t>https://swisscovery.slsp.ch/view/sru/41SLSP_VGE?version=1.2&amp;operation=searchRetrieve&amp;recordSchema=marcxml&amp;query=alma.authority_id=281728283&amp;maximumRecords=0</t>
  </si>
  <si>
    <t>261910116</t>
  </si>
  <si>
    <t>https://swisscovery.slsp.ch/view/sru/41SLSP_NETWORK?version=1.2&amp;operation=searchRetrieve&amp;recordSchema=marcxml&amp;query=alma.authority_id=261910116&amp;maximumRecords=0</t>
  </si>
  <si>
    <t>https://swisscovery.slsp.ch/view/sru/41SLSP_VGE?version=1.2&amp;operation=searchRetrieve&amp;recordSchema=marcxml&amp;query=alma.authority_id=261910116&amp;maximumRecords=0</t>
  </si>
  <si>
    <t>281778418</t>
  </si>
  <si>
    <t>https://swisscovery.slsp.ch/view/sru/41SLSP_NETWORK?version=1.2&amp;operation=searchRetrieve&amp;recordSchema=marcxml&amp;query=alma.authority_id=281778418&amp;maximumRecords=0</t>
  </si>
  <si>
    <t>https://swisscovery.slsp.ch/view/sru/41SLSP_VGE?version=1.2&amp;operation=searchRetrieve&amp;recordSchema=marcxml&amp;query=alma.authority_id=281778418&amp;maximumRecords=0</t>
  </si>
  <si>
    <t>281754225</t>
  </si>
  <si>
    <t>https://swisscovery.slsp.ch/view/sru/41SLSP_NETWORK?version=1.2&amp;operation=searchRetrieve&amp;recordSchema=marcxml&amp;query=alma.authority_id=281754225&amp;maximumRecords=0</t>
  </si>
  <si>
    <t>https://swisscovery.slsp.ch/view/sru/41SLSP_VGE?version=1.2&amp;operation=searchRetrieve&amp;recordSchema=marcxml&amp;query=alma.authority_id=281754225&amp;maximumRecords=0</t>
  </si>
  <si>
    <t>284329800</t>
  </si>
  <si>
    <t>https://swisscovery.slsp.ch/view/sru/41SLSP_NETWORK?version=1.2&amp;operation=searchRetrieve&amp;recordSchema=marcxml&amp;query=alma.authority_id=284329800&amp;maximumRecords=0</t>
  </si>
  <si>
    <t>https://swisscovery.slsp.ch/view/sru/41SLSP_VGE?version=1.2&amp;operation=searchRetrieve&amp;recordSchema=marcxml&amp;query=alma.authority_id=284329800&amp;maximumRecords=0</t>
  </si>
  <si>
    <t>279946600</t>
  </si>
  <si>
    <t>https://swisscovery.slsp.ch/view/sru/41SLSP_NETWORK?version=1.2&amp;operation=searchRetrieve&amp;recordSchema=marcxml&amp;query=alma.authority_id=279946600&amp;maximumRecords=0</t>
  </si>
  <si>
    <t>https://swisscovery.slsp.ch/view/sru/41SLSP_VGE?version=1.2&amp;operation=searchRetrieve&amp;recordSchema=marcxml&amp;query=alma.authority_id=279946600&amp;maximumRecords=0</t>
  </si>
  <si>
    <t>281564914</t>
  </si>
  <si>
    <t>https://swisscovery.slsp.ch/view/sru/41SLSP_NETWORK?version=1.2&amp;operation=searchRetrieve&amp;recordSchema=marcxml&amp;query=alma.authority_id=281564914&amp;maximumRecords=0</t>
  </si>
  <si>
    <t>https://swisscovery.slsp.ch/view/sru/41SLSP_VGE?version=1.2&amp;operation=searchRetrieve&amp;recordSchema=marcxml&amp;query=alma.authority_id=281564914&amp;maximumRecords=0</t>
  </si>
  <si>
    <t>283722843</t>
  </si>
  <si>
    <t>https://swisscovery.slsp.ch/view/sru/41SLSP_NETWORK?version=1.2&amp;operation=searchRetrieve&amp;recordSchema=marcxml&amp;query=alma.authority_id=283722843&amp;maximumRecords=0</t>
  </si>
  <si>
    <t>https://swisscovery.slsp.ch/view/sru/41SLSP_VGE?version=1.2&amp;operation=searchRetrieve&amp;recordSchema=marcxml&amp;query=alma.authority_id=283722843&amp;maximumRecords=0</t>
  </si>
  <si>
    <t>181758008</t>
  </si>
  <si>
    <t>https://swisscovery.slsp.ch/view/sru/41SLSP_NETWORK?version=1.2&amp;operation=searchRetrieve&amp;recordSchema=marcxml&amp;query=alma.authority_id=181758008&amp;maximumRecords=0</t>
  </si>
  <si>
    <t>https://swisscovery.slsp.ch/view/sru/41SLSP_VGE?version=1.2&amp;operation=searchRetrieve&amp;recordSchema=marcxml&amp;query=alma.authority_id=181758008&amp;maximumRecords=0</t>
  </si>
  <si>
    <t>282930833</t>
  </si>
  <si>
    <t>https://swisscovery.slsp.ch/view/sru/41SLSP_NETWORK?version=1.2&amp;operation=searchRetrieve&amp;recordSchema=marcxml&amp;query=alma.authority_id=282930833&amp;maximumRecords=0</t>
  </si>
  <si>
    <t>https://swisscovery.slsp.ch/view/sru/41SLSP_VGE?version=1.2&amp;operation=searchRetrieve&amp;recordSchema=marcxml&amp;query=alma.authority_id=282930833&amp;maximumRecords=0</t>
  </si>
  <si>
    <t>225841231</t>
  </si>
  <si>
    <t>https://swisscovery.slsp.ch/view/sru/41SLSP_NETWORK?version=1.2&amp;operation=searchRetrieve&amp;recordSchema=marcxml&amp;query=alma.authority_id=225841231&amp;maximumRecords=0</t>
  </si>
  <si>
    <t>https://swisscovery.slsp.ch/view/sru/41SLSP_VGE?version=1.2&amp;operation=searchRetrieve&amp;recordSchema=marcxml&amp;query=alma.authority_id=225841231&amp;maximumRecords=0</t>
  </si>
  <si>
    <t>265360250</t>
  </si>
  <si>
    <t>https://swisscovery.slsp.ch/view/sru/41SLSP_NETWORK?version=1.2&amp;operation=searchRetrieve&amp;recordSchema=marcxml&amp;query=alma.authority_id=265360250&amp;maximumRecords=0</t>
  </si>
  <si>
    <t>https://swisscovery.slsp.ch/view/sru/41SLSP_VGE?version=1.2&amp;operation=searchRetrieve&amp;recordSchema=marcxml&amp;query=alma.authority_id=265360250&amp;maximumRecords=0</t>
  </si>
  <si>
    <t>060938536</t>
  </si>
  <si>
    <t>https://swisscovery.slsp.ch/view/sru/41SLSP_NETWORK?version=1.2&amp;operation=searchRetrieve&amp;recordSchema=marcxml&amp;query=alma.authority_id=060938536&amp;maximumRecords=0</t>
  </si>
  <si>
    <t>https://swisscovery.slsp.ch/view/sru/41SLSP_VGE?version=1.2&amp;operation=searchRetrieve&amp;recordSchema=marcxml&amp;query=alma.authority_id=060938536&amp;maximumRecords=0</t>
  </si>
  <si>
    <t>285054945</t>
  </si>
  <si>
    <t>https://swisscovery.slsp.ch/view/sru/41SLSP_NETWORK?version=1.2&amp;operation=searchRetrieve&amp;recordSchema=marcxml&amp;query=alma.authority_id=285054945&amp;maximumRecords=0</t>
  </si>
  <si>
    <t>https://swisscovery.slsp.ch/view/sru/41SLSP_VGE?version=1.2&amp;operation=searchRetrieve&amp;recordSchema=marcxml&amp;query=alma.authority_id=285054945&amp;maximumRecords=0</t>
  </si>
  <si>
    <t>06689431X</t>
  </si>
  <si>
    <t>https://swisscovery.slsp.ch/view/sru/41SLSP_NETWORK?version=1.2&amp;operation=searchRetrieve&amp;recordSchema=marcxml&amp;query=alma.authority_id=06689431X&amp;maximumRecords=0</t>
  </si>
  <si>
    <t>https://swisscovery.slsp.ch/view/sru/41SLSP_VGE?version=1.2&amp;operation=searchRetrieve&amp;recordSchema=marcxml&amp;query=alma.authority_id=06689431X&amp;maximumRecords=0</t>
  </si>
  <si>
    <t>265264995</t>
  </si>
  <si>
    <t>https://swisscovery.slsp.ch/view/sru/41SLSP_NETWORK?version=1.2&amp;operation=searchRetrieve&amp;recordSchema=marcxml&amp;query=alma.authority_id=265264995&amp;maximumRecords=0</t>
  </si>
  <si>
    <t>https://swisscovery.slsp.ch/view/sru/41SLSP_VGE?version=1.2&amp;operation=searchRetrieve&amp;recordSchema=marcxml&amp;query=alma.authority_id=265264995&amp;maximumRecords=0</t>
  </si>
  <si>
    <t>283717521</t>
  </si>
  <si>
    <t>https://swisscovery.slsp.ch/view/sru/41SLSP_NETWORK?version=1.2&amp;operation=searchRetrieve&amp;recordSchema=marcxml&amp;query=alma.authority_id=283717521&amp;maximumRecords=0</t>
  </si>
  <si>
    <t>https://swisscovery.slsp.ch/view/sru/41SLSP_VGE?version=1.2&amp;operation=searchRetrieve&amp;recordSchema=marcxml&amp;query=alma.authority_id=283717521&amp;maximumRecords=0</t>
  </si>
  <si>
    <t>271395419</t>
  </si>
  <si>
    <t>https://swisscovery.slsp.ch/view/sru/41SLSP_NETWORK?version=1.2&amp;operation=searchRetrieve&amp;recordSchema=marcxml&amp;query=alma.authority_id=271395419&amp;maximumRecords=0</t>
  </si>
  <si>
    <t>https://swisscovery.slsp.ch/view/sru/41SLSP_VGE?version=1.2&amp;operation=searchRetrieve&amp;recordSchema=marcxml&amp;query=alma.authority_id=271395419&amp;maximumRecords=0</t>
  </si>
  <si>
    <t>25897463X</t>
  </si>
  <si>
    <t>https://swisscovery.slsp.ch/view/sru/41SLSP_NETWORK?version=1.2&amp;operation=searchRetrieve&amp;recordSchema=marcxml&amp;query=alma.authority_id=25897463X&amp;maximumRecords=0</t>
  </si>
  <si>
    <t>https://swisscovery.slsp.ch/view/sru/41SLSP_VGE?version=1.2&amp;operation=searchRetrieve&amp;recordSchema=marcxml&amp;query=alma.authority_id=25897463X&amp;maximumRecords=0</t>
  </si>
  <si>
    <t>251359336</t>
  </si>
  <si>
    <t>https://swisscovery.slsp.ch/view/sru/41SLSP_NETWORK?version=1.2&amp;operation=searchRetrieve&amp;recordSchema=marcxml&amp;query=alma.authority_id=251359336&amp;maximumRecords=0</t>
  </si>
  <si>
    <t>https://swisscovery.slsp.ch/view/sru/41SLSP_VGE?version=1.2&amp;operation=searchRetrieve&amp;recordSchema=marcxml&amp;query=alma.authority_id=251359336&amp;maximumRecords=0</t>
  </si>
  <si>
    <t>22888666X</t>
  </si>
  <si>
    <t>https://swisscovery.slsp.ch/view/sru/41SLSP_NETWORK?version=1.2&amp;operation=searchRetrieve&amp;recordSchema=marcxml&amp;query=alma.authority_id=22888666X&amp;maximumRecords=0</t>
  </si>
  <si>
    <t>https://swisscovery.slsp.ch/view/sru/41SLSP_VGE?version=1.2&amp;operation=searchRetrieve&amp;recordSchema=marcxml&amp;query=alma.authority_id=22888666X&amp;maximumRecords=0</t>
  </si>
  <si>
    <t>166901199</t>
  </si>
  <si>
    <t>https://swisscovery.slsp.ch/view/sru/41SLSP_NETWORK?version=1.2&amp;operation=searchRetrieve&amp;recordSchema=marcxml&amp;query=alma.authority_id=166901199&amp;maximumRecords=0</t>
  </si>
  <si>
    <t>https://swisscovery.slsp.ch/view/sru/41SLSP_VGE?version=1.2&amp;operation=searchRetrieve&amp;recordSchema=marcxml&amp;query=alma.authority_id=166901199&amp;maximumRecords=0</t>
  </si>
  <si>
    <t>281923205</t>
  </si>
  <si>
    <t>https://swisscovery.slsp.ch/view/sru/41SLSP_NETWORK?version=1.2&amp;operation=searchRetrieve&amp;recordSchema=marcxml&amp;query=alma.authority_id=281923205&amp;maximumRecords=0</t>
  </si>
  <si>
    <t>https://swisscovery.slsp.ch/view/sru/41SLSP_VGE?version=1.2&amp;operation=searchRetrieve&amp;recordSchema=marcxml&amp;query=alma.authority_id=281923205&amp;maximumRecords=0</t>
  </si>
  <si>
    <t>267802072</t>
  </si>
  <si>
    <t>https://swisscovery.slsp.ch/view/sru/41SLSP_NETWORK?version=1.2&amp;operation=searchRetrieve&amp;recordSchema=marcxml&amp;query=alma.authority_id=267802072&amp;maximumRecords=0</t>
  </si>
  <si>
    <t>https://swisscovery.slsp.ch/view/sru/41SLSP_VGE?version=1.2&amp;operation=searchRetrieve&amp;recordSchema=marcxml&amp;query=alma.authority_id=267802072&amp;maximumRecords=0</t>
  </si>
  <si>
    <t>283851740</t>
  </si>
  <si>
    <t>https://swisscovery.slsp.ch/view/sru/41SLSP_NETWORK?version=1.2&amp;operation=searchRetrieve&amp;recordSchema=marcxml&amp;query=alma.authority_id=283851740&amp;maximumRecords=0</t>
  </si>
  <si>
    <t>https://swisscovery.slsp.ch/view/sru/41SLSP_VGE?version=1.2&amp;operation=searchRetrieve&amp;recordSchema=marcxml&amp;query=alma.authority_id=283851740&amp;maximumRecords=0</t>
  </si>
  <si>
    <t>284848522</t>
  </si>
  <si>
    <t>https://swisscovery.slsp.ch/view/sru/41SLSP_NETWORK?version=1.2&amp;operation=searchRetrieve&amp;recordSchema=marcxml&amp;query=alma.authority_id=284848522&amp;maximumRecords=0</t>
  </si>
  <si>
    <t>https://swisscovery.slsp.ch/view/sru/41SLSP_VGE?version=1.2&amp;operation=searchRetrieve&amp;recordSchema=marcxml&amp;query=alma.authority_id=284848522&amp;maximumRecords=0</t>
  </si>
  <si>
    <t>281890617</t>
  </si>
  <si>
    <t>https://swisscovery.slsp.ch/view/sru/41SLSP_NETWORK?version=1.2&amp;operation=searchRetrieve&amp;recordSchema=marcxml&amp;query=alma.authority_id=281890617&amp;maximumRecords=0</t>
  </si>
  <si>
    <t>https://swisscovery.slsp.ch/view/sru/41SLSP_VGE?version=1.2&amp;operation=searchRetrieve&amp;recordSchema=marcxml&amp;query=alma.authority_id=281890617&amp;maximumRecords=0</t>
  </si>
  <si>
    <t>285165291</t>
  </si>
  <si>
    <t>https://swisscovery.slsp.ch/view/sru/41SLSP_NETWORK?version=1.2&amp;operation=searchRetrieve&amp;recordSchema=marcxml&amp;query=alma.authority_id=285165291&amp;maximumRecords=0</t>
  </si>
  <si>
    <t>https://swisscovery.slsp.ch/view/sru/41SLSP_VGE?version=1.2&amp;operation=searchRetrieve&amp;recordSchema=marcxml&amp;query=alma.authority_id=285165291&amp;maximumRecords=0</t>
  </si>
  <si>
    <t>281913765</t>
  </si>
  <si>
    <t>https://swisscovery.slsp.ch/view/sru/41SLSP_NETWORK?version=1.2&amp;operation=searchRetrieve&amp;recordSchema=marcxml&amp;query=alma.authority_id=281913765&amp;maximumRecords=0</t>
  </si>
  <si>
    <t>https://swisscovery.slsp.ch/view/sru/41SLSP_VGE?version=1.2&amp;operation=searchRetrieve&amp;recordSchema=marcxml&amp;query=alma.authority_id=281913765&amp;maximumRecords=0</t>
  </si>
  <si>
    <t>192144758</t>
  </si>
  <si>
    <t>https://swisscovery.slsp.ch/view/sru/41SLSP_NETWORK?version=1.2&amp;operation=searchRetrieve&amp;recordSchema=marcxml&amp;query=alma.authority_id=192144758&amp;maximumRecords=0</t>
  </si>
  <si>
    <t>https://swisscovery.slsp.ch/view/sru/41SLSP_VGE?version=1.2&amp;operation=searchRetrieve&amp;recordSchema=marcxml&amp;query=alma.authority_id=192144758&amp;maximumRecords=0</t>
  </si>
  <si>
    <t>283718188</t>
  </si>
  <si>
    <t>https://swisscovery.slsp.ch/view/sru/41SLSP_NETWORK?version=1.2&amp;operation=searchRetrieve&amp;recordSchema=marcxml&amp;query=alma.authority_id=283718188&amp;maximumRecords=0</t>
  </si>
  <si>
    <t>https://swisscovery.slsp.ch/view/sru/41SLSP_VGE?version=1.2&amp;operation=searchRetrieve&amp;recordSchema=marcxml&amp;query=alma.authority_id=283718188&amp;maximumRecords=0</t>
  </si>
  <si>
    <t>284856681</t>
  </si>
  <si>
    <t>https://swisscovery.slsp.ch/view/sru/41SLSP_NETWORK?version=1.2&amp;operation=searchRetrieve&amp;recordSchema=marcxml&amp;query=alma.authority_id=284856681&amp;maximumRecords=0</t>
  </si>
  <si>
    <t>https://swisscovery.slsp.ch/view/sru/41SLSP_VGE?version=1.2&amp;operation=searchRetrieve&amp;recordSchema=marcxml&amp;query=alma.authority_id=284856681&amp;maximumRecords=0</t>
  </si>
  <si>
    <t>224676210</t>
  </si>
  <si>
    <t>https://swisscovery.slsp.ch/view/sru/41SLSP_NETWORK?version=1.2&amp;operation=searchRetrieve&amp;recordSchema=marcxml&amp;query=alma.authority_id=224676210&amp;maximumRecords=0</t>
  </si>
  <si>
    <t>https://swisscovery.slsp.ch/view/sru/41SLSP_VGE?version=1.2&amp;operation=searchRetrieve&amp;recordSchema=marcxml&amp;query=alma.authority_id=224676210&amp;maximumRecords=0</t>
  </si>
  <si>
    <t>254179797</t>
  </si>
  <si>
    <t>https://swisscovery.slsp.ch/view/sru/41SLSP_NETWORK?version=1.2&amp;operation=searchRetrieve&amp;recordSchema=marcxml&amp;query=alma.authority_id=254179797&amp;maximumRecords=0</t>
  </si>
  <si>
    <t>https://swisscovery.slsp.ch/view/sru/41SLSP_VGE?version=1.2&amp;operation=searchRetrieve&amp;recordSchema=marcxml&amp;query=alma.authority_id=254179797&amp;maximumRecords=0</t>
  </si>
  <si>
    <t>284149616</t>
  </si>
  <si>
    <t>https://swisscovery.slsp.ch/view/sru/41SLSP_NETWORK?version=1.2&amp;operation=searchRetrieve&amp;recordSchema=marcxml&amp;query=alma.authority_id=284149616&amp;maximumRecords=0</t>
  </si>
  <si>
    <t>https://swisscovery.slsp.ch/view/sru/41SLSP_VGE?version=1.2&amp;operation=searchRetrieve&amp;recordSchema=marcxml&amp;query=alma.authority_id=284149616&amp;maximumRecords=0</t>
  </si>
  <si>
    <t>279380852</t>
  </si>
  <si>
    <t>https://swisscovery.slsp.ch/view/sru/41SLSP_NETWORK?version=1.2&amp;operation=searchRetrieve&amp;recordSchema=marcxml&amp;query=alma.authority_id=279380852&amp;maximumRecords=0</t>
  </si>
  <si>
    <t>https://swisscovery.slsp.ch/view/sru/41SLSP_VGE?version=1.2&amp;operation=searchRetrieve&amp;recordSchema=marcxml&amp;query=alma.authority_id=279380852&amp;maximumRecords=0</t>
  </si>
  <si>
    <t>284311219</t>
  </si>
  <si>
    <t>https://swisscovery.slsp.ch/view/sru/41SLSP_NETWORK?version=1.2&amp;operation=searchRetrieve&amp;recordSchema=marcxml&amp;query=alma.authority_id=284311219&amp;maximumRecords=0</t>
  </si>
  <si>
    <t>https://swisscovery.slsp.ch/view/sru/41SLSP_VGE?version=1.2&amp;operation=searchRetrieve&amp;recordSchema=marcxml&amp;query=alma.authority_id=284311219&amp;maximumRecords=0</t>
  </si>
  <si>
    <t>279145357</t>
  </si>
  <si>
    <t>https://swisscovery.slsp.ch/view/sru/41SLSP_NETWORK?version=1.2&amp;operation=searchRetrieve&amp;recordSchema=marcxml&amp;query=alma.authority_id=279145357&amp;maximumRecords=0</t>
  </si>
  <si>
    <t>https://swisscovery.slsp.ch/view/sru/41SLSP_VGE?version=1.2&amp;operation=searchRetrieve&amp;recordSchema=marcxml&amp;query=alma.authority_id=279145357&amp;maximumRecords=0</t>
  </si>
  <si>
    <t>283558229</t>
  </si>
  <si>
    <t>https://swisscovery.slsp.ch/view/sru/41SLSP_NETWORK?version=1.2&amp;operation=searchRetrieve&amp;recordSchema=marcxml&amp;query=alma.authority_id=283558229&amp;maximumRecords=0</t>
  </si>
  <si>
    <t>https://swisscovery.slsp.ch/view/sru/41SLSP_VGE?version=1.2&amp;operation=searchRetrieve&amp;recordSchema=marcxml&amp;query=alma.authority_id=283558229&amp;maximumRecords=0</t>
  </si>
  <si>
    <t>241582067</t>
  </si>
  <si>
    <t>https://swisscovery.slsp.ch/view/sru/41SLSP_NETWORK?version=1.2&amp;operation=searchRetrieve&amp;recordSchema=marcxml&amp;query=alma.authority_id=241582067&amp;maximumRecords=0</t>
  </si>
  <si>
    <t>https://swisscovery.slsp.ch/view/sru/41SLSP_VGE?version=1.2&amp;operation=searchRetrieve&amp;recordSchema=marcxml&amp;query=alma.authority_id=241582067&amp;maximumRecords=0</t>
  </si>
  <si>
    <t>282187227</t>
  </si>
  <si>
    <t>https://swisscovery.slsp.ch/view/sru/41SLSP_NETWORK?version=1.2&amp;operation=searchRetrieve&amp;recordSchema=marcxml&amp;query=alma.authority_id=282187227&amp;maximumRecords=0</t>
  </si>
  <si>
    <t>https://swisscovery.slsp.ch/view/sru/41SLSP_VGE?version=1.2&amp;operation=searchRetrieve&amp;recordSchema=marcxml&amp;query=alma.authority_id=282187227&amp;maximumRecords=0</t>
  </si>
  <si>
    <t>260683787</t>
  </si>
  <si>
    <t>https://swisscovery.slsp.ch/view/sru/41SLSP_NETWORK?version=1.2&amp;operation=searchRetrieve&amp;recordSchema=marcxml&amp;query=alma.authority_id=260683787&amp;maximumRecords=0</t>
  </si>
  <si>
    <t>https://swisscovery.slsp.ch/view/sru/41SLSP_VGE?version=1.2&amp;operation=searchRetrieve&amp;recordSchema=marcxml&amp;query=alma.authority_id=260683787&amp;maximumRecords=0</t>
  </si>
  <si>
    <t>284853526</t>
  </si>
  <si>
    <t>https://swisscovery.slsp.ch/view/sru/41SLSP_NETWORK?version=1.2&amp;operation=searchRetrieve&amp;recordSchema=marcxml&amp;query=alma.authority_id=284853526&amp;maximumRecords=0</t>
  </si>
  <si>
    <t>https://swisscovery.slsp.ch/view/sru/41SLSP_VGE?version=1.2&amp;operation=searchRetrieve&amp;recordSchema=marcxml&amp;query=alma.authority_id=284853526&amp;maximumRecords=0</t>
  </si>
  <si>
    <t>079856330</t>
  </si>
  <si>
    <t>https://swisscovery.slsp.ch/view/sru/41SLSP_NETWORK?version=1.2&amp;operation=searchRetrieve&amp;recordSchema=marcxml&amp;query=alma.authority_id=079856330&amp;maximumRecords=0</t>
  </si>
  <si>
    <t>https://swisscovery.slsp.ch/view/sru/41SLSP_VGE?version=1.2&amp;operation=searchRetrieve&amp;recordSchema=marcxml&amp;query=alma.authority_id=079856330&amp;maximumRecords=0</t>
  </si>
  <si>
    <t>284292729</t>
  </si>
  <si>
    <t>https://swisscovery.slsp.ch/view/sru/41SLSP_NETWORK?version=1.2&amp;operation=searchRetrieve&amp;recordSchema=marcxml&amp;query=alma.authority_id=284292729&amp;maximumRecords=0</t>
  </si>
  <si>
    <t>https://swisscovery.slsp.ch/view/sru/41SLSP_VGE?version=1.2&amp;operation=searchRetrieve&amp;recordSchema=marcxml&amp;query=alma.authority_id=284292729&amp;maximumRecords=0</t>
  </si>
  <si>
    <t>283597836</t>
  </si>
  <si>
    <t>https://swisscovery.slsp.ch/view/sru/41SLSP_NETWORK?version=1.2&amp;operation=searchRetrieve&amp;recordSchema=marcxml&amp;query=alma.authority_id=283597836&amp;maximumRecords=0</t>
  </si>
  <si>
    <t>https://swisscovery.slsp.ch/view/sru/41SLSP_VGE?version=1.2&amp;operation=searchRetrieve&amp;recordSchema=marcxml&amp;query=alma.authority_id=283597836&amp;maximumRecords=0</t>
  </si>
  <si>
    <t>259940070</t>
  </si>
  <si>
    <t>https://swisscovery.slsp.ch/view/sru/41SLSP_NETWORK?version=1.2&amp;operation=searchRetrieve&amp;recordSchema=marcxml&amp;query=alma.authority_id=259940070&amp;maximumRecords=0</t>
  </si>
  <si>
    <t>https://swisscovery.slsp.ch/view/sru/41SLSP_VGE?version=1.2&amp;operation=searchRetrieve&amp;recordSchema=marcxml&amp;query=alma.authority_id=259940070&amp;maximumRecords=0</t>
  </si>
  <si>
    <t>283722118</t>
  </si>
  <si>
    <t>https://swisscovery.slsp.ch/view/sru/41SLSP_NETWORK?version=1.2&amp;operation=searchRetrieve&amp;recordSchema=marcxml&amp;query=alma.authority_id=283722118&amp;maximumRecords=0</t>
  </si>
  <si>
    <t>https://swisscovery.slsp.ch/view/sru/41SLSP_VGE?version=1.2&amp;operation=searchRetrieve&amp;recordSchema=marcxml&amp;query=alma.authority_id=283722118&amp;maximumRecords=0</t>
  </si>
  <si>
    <t>280466897</t>
  </si>
  <si>
    <t>https://swisscovery.slsp.ch/view/sru/41SLSP_NETWORK?version=1.2&amp;operation=searchRetrieve&amp;recordSchema=marcxml&amp;query=alma.authority_id=280466897&amp;maximumRecords=0</t>
  </si>
  <si>
    <t>https://swisscovery.slsp.ch/view/sru/41SLSP_VGE?version=1.2&amp;operation=searchRetrieve&amp;recordSchema=marcxml&amp;query=alma.authority_id=280466897&amp;maximumRecords=0</t>
  </si>
  <si>
    <t>280463901</t>
  </si>
  <si>
    <t>https://swisscovery.slsp.ch/view/sru/41SLSP_NETWORK?version=1.2&amp;operation=searchRetrieve&amp;recordSchema=marcxml&amp;query=alma.authority_id=280463901&amp;maximumRecords=0</t>
  </si>
  <si>
    <t>https://swisscovery.slsp.ch/view/sru/41SLSP_VGE?version=1.2&amp;operation=searchRetrieve&amp;recordSchema=marcxml&amp;query=alma.authority_id=280463901&amp;maximumRecords=0</t>
  </si>
  <si>
    <t>28308362X</t>
  </si>
  <si>
    <t>https://swisscovery.slsp.ch/view/sru/41SLSP_NETWORK?version=1.2&amp;operation=searchRetrieve&amp;recordSchema=marcxml&amp;query=alma.authority_id=28308362X&amp;maximumRecords=0</t>
  </si>
  <si>
    <t>https://swisscovery.slsp.ch/view/sru/41SLSP_VGE?version=1.2&amp;operation=searchRetrieve&amp;recordSchema=marcxml&amp;query=alma.authority_id=28308362X&amp;maximumRecords=0</t>
  </si>
  <si>
    <t>284576875</t>
  </si>
  <si>
    <t>https://swisscovery.slsp.ch/view/sru/41SLSP_NETWORK?version=1.2&amp;operation=searchRetrieve&amp;recordSchema=marcxml&amp;query=alma.authority_id=284576875&amp;maximumRecords=0</t>
  </si>
  <si>
    <t>https://swisscovery.slsp.ch/view/sru/41SLSP_VGE?version=1.2&amp;operation=searchRetrieve&amp;recordSchema=marcxml&amp;query=alma.authority_id=284576875&amp;maximumRecords=0</t>
  </si>
  <si>
    <t>029278066</t>
  </si>
  <si>
    <t>https://swisscovery.slsp.ch/view/sru/41SLSP_NETWORK?version=1.2&amp;operation=searchRetrieve&amp;recordSchema=marcxml&amp;query=alma.authority_id=029278066&amp;maximumRecords=0</t>
  </si>
  <si>
    <t>https://swisscovery.slsp.ch/view/sru/41SLSP_VGE?version=1.2&amp;operation=searchRetrieve&amp;recordSchema=marcxml&amp;query=alma.authority_id=029278066&amp;maximumRecords=0</t>
  </si>
  <si>
    <t>258545682</t>
  </si>
  <si>
    <t>https://swisscovery.slsp.ch/view/sru/41SLSP_NETWORK?version=1.2&amp;operation=searchRetrieve&amp;recordSchema=marcxml&amp;query=alma.authority_id=258545682&amp;maximumRecords=0</t>
  </si>
  <si>
    <t>https://swisscovery.slsp.ch/view/sru/41SLSP_VGE?version=1.2&amp;operation=searchRetrieve&amp;recordSchema=marcxml&amp;query=alma.authority_id=258545682&amp;maximumRecords=0</t>
  </si>
  <si>
    <t>077284496</t>
  </si>
  <si>
    <t>https://swisscovery.slsp.ch/view/sru/41SLSP_NETWORK?version=1.2&amp;operation=searchRetrieve&amp;recordSchema=marcxml&amp;query=alma.authority_id=077284496&amp;maximumRecords=0</t>
  </si>
  <si>
    <t>https://swisscovery.slsp.ch/view/sru/41SLSP_VGE?version=1.2&amp;operation=searchRetrieve&amp;recordSchema=marcxml&amp;query=alma.authority_id=077284496&amp;maximumRecords=0</t>
  </si>
  <si>
    <t>279826389</t>
  </si>
  <si>
    <t>https://swisscovery.slsp.ch/view/sru/41SLSP_NETWORK?version=1.2&amp;operation=searchRetrieve&amp;recordSchema=marcxml&amp;query=alma.authority_id=279826389&amp;maximumRecords=0</t>
  </si>
  <si>
    <t>https://swisscovery.slsp.ch/view/sru/41SLSP_VGE?version=1.2&amp;operation=searchRetrieve&amp;recordSchema=marcxml&amp;query=alma.authority_id=279826389&amp;maximumRecords=0</t>
  </si>
  <si>
    <t>18742800X</t>
  </si>
  <si>
    <t>https://swisscovery.slsp.ch/view/sru/41SLSP_NETWORK?version=1.2&amp;operation=searchRetrieve&amp;recordSchema=marcxml&amp;query=alma.authority_id=18742800X&amp;maximumRecords=0</t>
  </si>
  <si>
    <t>https://swisscovery.slsp.ch/view/sru/41SLSP_VGE?version=1.2&amp;operation=searchRetrieve&amp;recordSchema=marcxml&amp;query=alma.authority_id=18742800X&amp;maximumRecords=0</t>
  </si>
  <si>
    <t>282726551</t>
  </si>
  <si>
    <t>https://swisscovery.slsp.ch/view/sru/41SLSP_NETWORK?version=1.2&amp;operation=searchRetrieve&amp;recordSchema=marcxml&amp;query=alma.authority_id=282726551&amp;maximumRecords=0</t>
  </si>
  <si>
    <t>https://swisscovery.slsp.ch/view/sru/41SLSP_VGE?version=1.2&amp;operation=searchRetrieve&amp;recordSchema=marcxml&amp;query=alma.authority_id=282726551&amp;maximumRecords=0</t>
  </si>
  <si>
    <t>283156708</t>
  </si>
  <si>
    <t>https://swisscovery.slsp.ch/view/sru/41SLSP_NETWORK?version=1.2&amp;operation=searchRetrieve&amp;recordSchema=marcxml&amp;query=alma.authority_id=283156708&amp;maximumRecords=0</t>
  </si>
  <si>
    <t>https://swisscovery.slsp.ch/view/sru/41SLSP_VGE?version=1.2&amp;operation=searchRetrieve&amp;recordSchema=marcxml&amp;query=alma.authority_id=283156708&amp;maximumRecords=0</t>
  </si>
  <si>
    <t>284428817</t>
  </si>
  <si>
    <t>https://swisscovery.slsp.ch/view/sru/41SLSP_NETWORK?version=1.2&amp;operation=searchRetrieve&amp;recordSchema=marcxml&amp;query=alma.authority_id=284428817&amp;maximumRecords=0</t>
  </si>
  <si>
    <t>https://swisscovery.slsp.ch/view/sru/41SLSP_VGE?version=1.2&amp;operation=searchRetrieve&amp;recordSchema=marcxml&amp;query=alma.authority_id=284428817&amp;maximumRecords=0</t>
  </si>
  <si>
    <t>280769253</t>
  </si>
  <si>
    <t>https://swisscovery.slsp.ch/view/sru/41SLSP_NETWORK?version=1.2&amp;operation=searchRetrieve&amp;recordSchema=marcxml&amp;query=alma.authority_id=280769253&amp;maximumRecords=0</t>
  </si>
  <si>
    <t>https://swisscovery.slsp.ch/view/sru/41SLSP_VGE?version=1.2&amp;operation=searchRetrieve&amp;recordSchema=marcxml&amp;query=alma.authority_id=280769253&amp;maximumRecords=0</t>
  </si>
  <si>
    <t>285055054</t>
  </si>
  <si>
    <t>https://swisscovery.slsp.ch/view/sru/41SLSP_NETWORK?version=1.2&amp;operation=searchRetrieve&amp;recordSchema=marcxml&amp;query=alma.authority_id=285055054&amp;maximumRecords=0</t>
  </si>
  <si>
    <t>https://swisscovery.slsp.ch/view/sru/41SLSP_VGE?version=1.2&amp;operation=searchRetrieve&amp;recordSchema=marcxml&amp;query=alma.authority_id=285055054&amp;maximumRecords=0</t>
  </si>
  <si>
    <t>26736671X</t>
  </si>
  <si>
    <t>https://swisscovery.slsp.ch/view/sru/41SLSP_NETWORK?version=1.2&amp;operation=searchRetrieve&amp;recordSchema=marcxml&amp;query=alma.authority_id=26736671X&amp;maximumRecords=0</t>
  </si>
  <si>
    <t>https://swisscovery.slsp.ch/view/sru/41SLSP_VGE?version=1.2&amp;operation=searchRetrieve&amp;recordSchema=marcxml&amp;query=alma.authority_id=26736671X&amp;maximumRecords=0</t>
  </si>
  <si>
    <t>290862957</t>
  </si>
  <si>
    <t>https://swisscovery.slsp.ch/view/sru/41SLSP_NETWORK?version=1.2&amp;operation=searchRetrieve&amp;recordSchema=marcxml&amp;query=alma.authority_id=290862957&amp;maximumRecords=0</t>
  </si>
  <si>
    <t>https://swisscovery.slsp.ch/view/sru/41SLSP_VGE?version=1.2&amp;operation=searchRetrieve&amp;recordSchema=marcxml&amp;query=alma.authority_id=290862957&amp;maximumRecords=0</t>
  </si>
  <si>
    <t>261573101</t>
  </si>
  <si>
    <t>https://swisscovery.slsp.ch/view/sru/41SLSP_NETWORK?version=1.2&amp;operation=searchRetrieve&amp;recordSchema=marcxml&amp;query=alma.authority_id=261573101&amp;maximumRecords=0</t>
  </si>
  <si>
    <t>https://swisscovery.slsp.ch/view/sru/41SLSP_VGE?version=1.2&amp;operation=searchRetrieve&amp;recordSchema=marcxml&amp;query=alma.authority_id=261573101&amp;maximumRecords=0</t>
  </si>
  <si>
    <t>286910500</t>
  </si>
  <si>
    <t>https://swisscovery.slsp.ch/view/sru/41SLSP_NETWORK?version=1.2&amp;operation=searchRetrieve&amp;recordSchema=marcxml&amp;query=alma.authority_id=286910500&amp;maximumRecords=0</t>
  </si>
  <si>
    <t>https://swisscovery.slsp.ch/view/sru/41SLSP_VGE?version=1.2&amp;operation=searchRetrieve&amp;recordSchema=marcxml&amp;query=alma.authority_id=286910500&amp;maximumRecords=0</t>
  </si>
  <si>
    <t>285165542</t>
  </si>
  <si>
    <t>https://swisscovery.slsp.ch/view/sru/41SLSP_NETWORK?version=1.2&amp;operation=searchRetrieve&amp;recordSchema=marcxml&amp;query=alma.authority_id=285165542&amp;maximumRecords=0</t>
  </si>
  <si>
    <t>https://swisscovery.slsp.ch/view/sru/41SLSP_VGE?version=1.2&amp;operation=searchRetrieve&amp;recordSchema=marcxml&amp;query=alma.authority_id=285165542&amp;maximumRecords=0</t>
  </si>
  <si>
    <t>288945158</t>
  </si>
  <si>
    <t>https://swisscovery.slsp.ch/view/sru/41SLSP_NETWORK?version=1.2&amp;operation=searchRetrieve&amp;recordSchema=marcxml&amp;query=alma.authority_id=288945158&amp;maximumRecords=0</t>
  </si>
  <si>
    <t>https://swisscovery.slsp.ch/view/sru/41SLSP_VGE?version=1.2&amp;operation=searchRetrieve&amp;recordSchema=marcxml&amp;query=alma.authority_id=288945158&amp;maximumRecords=0</t>
  </si>
  <si>
    <t>289280265</t>
  </si>
  <si>
    <t>https://swisscovery.slsp.ch/view/sru/41SLSP_NETWORK?version=1.2&amp;operation=searchRetrieve&amp;recordSchema=marcxml&amp;query=alma.authority_id=289280265&amp;maximumRecords=0</t>
  </si>
  <si>
    <t>https://swisscovery.slsp.ch/view/sru/41SLSP_VGE?version=1.2&amp;operation=searchRetrieve&amp;recordSchema=marcxml&amp;query=alma.authority_id=289280265&amp;maximumRecords=0</t>
  </si>
  <si>
    <t>286907593</t>
  </si>
  <si>
    <t>https://swisscovery.slsp.ch/view/sru/41SLSP_NETWORK?version=1.2&amp;operation=searchRetrieve&amp;recordSchema=marcxml&amp;query=alma.authority_id=286907593&amp;maximumRecords=0</t>
  </si>
  <si>
    <t>https://swisscovery.slsp.ch/view/sru/41SLSP_VGE?version=1.2&amp;operation=searchRetrieve&amp;recordSchema=marcxml&amp;query=alma.authority_id=286907593&amp;maximumRecords=0</t>
  </si>
  <si>
    <t>169034453</t>
  </si>
  <si>
    <t>https://swisscovery.slsp.ch/view/sru/41SLSP_NETWORK?version=1.2&amp;operation=searchRetrieve&amp;recordSchema=marcxml&amp;query=alma.authority_id=169034453&amp;maximumRecords=0</t>
  </si>
  <si>
    <t>https://swisscovery.slsp.ch/view/sru/41SLSP_VGE?version=1.2&amp;operation=searchRetrieve&amp;recordSchema=marcxml&amp;query=alma.authority_id=169034453&amp;maximumRecords=0</t>
  </si>
  <si>
    <t>262334895</t>
  </si>
  <si>
    <t>https://swisscovery.slsp.ch/view/sru/41SLSP_NETWORK?version=1.2&amp;operation=searchRetrieve&amp;recordSchema=marcxml&amp;query=alma.authority_id=262334895&amp;maximumRecords=0</t>
  </si>
  <si>
    <t>https://swisscovery.slsp.ch/view/sru/41SLSP_VGE?version=1.2&amp;operation=searchRetrieve&amp;recordSchema=marcxml&amp;query=alma.authority_id=262334895&amp;maximumRecords=0</t>
  </si>
  <si>
    <t>178405868</t>
  </si>
  <si>
    <t>https://swisscovery.slsp.ch/view/sru/41SLSP_NETWORK?version=1.2&amp;operation=searchRetrieve&amp;recordSchema=marcxml&amp;query=alma.authority_id=178405868&amp;maximumRecords=0</t>
  </si>
  <si>
    <t>https://swisscovery.slsp.ch/view/sru/41SLSP_VGE?version=1.2&amp;operation=searchRetrieve&amp;recordSchema=marcxml&amp;query=alma.authority_id=178405868&amp;maximumRecords=0</t>
  </si>
  <si>
    <t>137114397</t>
  </si>
  <si>
    <t>https://swisscovery.slsp.ch/view/sru/41SLSP_NETWORK?version=1.2&amp;operation=searchRetrieve&amp;recordSchema=marcxml&amp;query=alma.authority_id=137114397&amp;maximumRecords=0</t>
  </si>
  <si>
    <t>https://swisscovery.slsp.ch/view/sru/41SLSP_VGE?version=1.2&amp;operation=searchRetrieve&amp;recordSchema=marcxml&amp;query=alma.authority_id=137114397&amp;maximumRecords=0</t>
  </si>
  <si>
    <t>286907364</t>
  </si>
  <si>
    <t>https://swisscovery.slsp.ch/view/sru/41SLSP_NETWORK?version=1.2&amp;operation=searchRetrieve&amp;recordSchema=marcxml&amp;query=alma.authority_id=286907364&amp;maximumRecords=0</t>
  </si>
  <si>
    <t>https://swisscovery.slsp.ch/view/sru/41SLSP_VGE?version=1.2&amp;operation=searchRetrieve&amp;recordSchema=marcxml&amp;query=alma.authority_id=286907364&amp;maximumRecords=0</t>
  </si>
  <si>
    <t>291042732</t>
  </si>
  <si>
    <t>https://swisscovery.slsp.ch/view/sru/41SLSP_NETWORK?version=1.2&amp;operation=searchRetrieve&amp;recordSchema=marcxml&amp;query=alma.authority_id=291042732&amp;maximumRecords=0</t>
  </si>
  <si>
    <t>https://swisscovery.slsp.ch/view/sru/41SLSP_VGE?version=1.2&amp;operation=searchRetrieve&amp;recordSchema=marcxml&amp;query=alma.authority_id=291042732&amp;maximumRecords=0</t>
  </si>
  <si>
    <t>25351214X</t>
  </si>
  <si>
    <t>https://swisscovery.slsp.ch/view/sru/41SLSP_NETWORK?version=1.2&amp;operation=searchRetrieve&amp;recordSchema=marcxml&amp;query=alma.authority_id=25351214X&amp;maximumRecords=0</t>
  </si>
  <si>
    <t>https://swisscovery.slsp.ch/view/sru/41SLSP_VGE?version=1.2&amp;operation=searchRetrieve&amp;recordSchema=marcxml&amp;query=alma.authority_id=25351214X&amp;maximumRecords=0</t>
  </si>
  <si>
    <t>288918630</t>
  </si>
  <si>
    <t>https://swisscovery.slsp.ch/view/sru/41SLSP_NETWORK?version=1.2&amp;operation=searchRetrieve&amp;recordSchema=marcxml&amp;query=alma.authority_id=288918630&amp;maximumRecords=0</t>
  </si>
  <si>
    <t>https://swisscovery.slsp.ch/view/sru/41SLSP_VGE?version=1.2&amp;operation=searchRetrieve&amp;recordSchema=marcxml&amp;query=alma.authority_id=288918630&amp;maximumRecords=0</t>
  </si>
  <si>
    <t>280448740</t>
  </si>
  <si>
    <t>https://swisscovery.slsp.ch/view/sru/41SLSP_NETWORK?version=1.2&amp;operation=searchRetrieve&amp;recordSchema=marcxml&amp;query=alma.authority_id=280448740&amp;maximumRecords=0</t>
  </si>
  <si>
    <t>https://swisscovery.slsp.ch/view/sru/41SLSP_VGE?version=1.2&amp;operation=searchRetrieve&amp;recordSchema=marcxml&amp;query=alma.authority_id=280448740&amp;maximumRecords=0</t>
  </si>
  <si>
    <t>116276452</t>
  </si>
  <si>
    <t>https://swisscovery.slsp.ch/view/sru/41SLSP_NETWORK?version=1.2&amp;operation=searchRetrieve&amp;recordSchema=marcxml&amp;query=alma.authority_id=116276452&amp;maximumRecords=0</t>
  </si>
  <si>
    <t>https://swisscovery.slsp.ch/view/sru/41SLSP_VGE?version=1.2&amp;operation=searchRetrieve&amp;recordSchema=marcxml&amp;query=alma.authority_id=116276452&amp;maximumRecords=0</t>
  </si>
  <si>
    <t>288952294</t>
  </si>
  <si>
    <t>https://swisscovery.slsp.ch/view/sru/41SLSP_NETWORK?version=1.2&amp;operation=searchRetrieve&amp;recordSchema=marcxml&amp;query=alma.authority_id=288952294&amp;maximumRecords=0</t>
  </si>
  <si>
    <t>https://swisscovery.slsp.ch/view/sru/41SLSP_VGE?version=1.2&amp;operation=searchRetrieve&amp;recordSchema=marcxml&amp;query=alma.authority_id=288952294&amp;maximumRecords=0</t>
  </si>
  <si>
    <t>291291090</t>
  </si>
  <si>
    <t>https://swisscovery.slsp.ch/view/sru/41SLSP_NETWORK?version=1.2&amp;operation=searchRetrieve&amp;recordSchema=marcxml&amp;query=alma.authority_id=291291090&amp;maximumRecords=0</t>
  </si>
  <si>
    <t>https://swisscovery.slsp.ch/view/sru/41SLSP_VGE?version=1.2&amp;operation=searchRetrieve&amp;recordSchema=marcxml&amp;query=alma.authority_id=291291090&amp;maximumRecords=0</t>
  </si>
  <si>
    <t>286472619</t>
  </si>
  <si>
    <t>https://swisscovery.slsp.ch/view/sru/41SLSP_NETWORK?version=1.2&amp;operation=searchRetrieve&amp;recordSchema=marcxml&amp;query=alma.authority_id=286472619&amp;maximumRecords=0</t>
  </si>
  <si>
    <t>https://swisscovery.slsp.ch/view/sru/41SLSP_VGE?version=1.2&amp;operation=searchRetrieve&amp;recordSchema=marcxml&amp;query=alma.authority_id=286472619&amp;maximumRecords=0</t>
  </si>
  <si>
    <t>25813108X</t>
  </si>
  <si>
    <t>https://swisscovery.slsp.ch/view/sru/41SLSP_NETWORK?version=1.2&amp;operation=searchRetrieve&amp;recordSchema=marcxml&amp;query=alma.authority_id=25813108X&amp;maximumRecords=0</t>
  </si>
  <si>
    <t>https://swisscovery.slsp.ch/view/sru/41SLSP_VGE?version=1.2&amp;operation=searchRetrieve&amp;recordSchema=marcxml&amp;query=alma.authority_id=25813108X&amp;maximumRecords=0</t>
  </si>
  <si>
    <t>270520147</t>
  </si>
  <si>
    <t>https://swisscovery.slsp.ch/view/sru/41SLSP_NETWORK?version=1.2&amp;operation=searchRetrieve&amp;recordSchema=marcxml&amp;query=alma.authority_id=270520147&amp;maximumRecords=0</t>
  </si>
  <si>
    <t>https://swisscovery.slsp.ch/view/sru/41SLSP_VGE?version=1.2&amp;operation=searchRetrieve&amp;recordSchema=marcxml&amp;query=alma.authority_id=270520147&amp;maximumRecords=0</t>
  </si>
  <si>
    <t>026988836</t>
  </si>
  <si>
    <t>https://swisscovery.slsp.ch/view/sru/41SLSP_NETWORK?version=1.2&amp;operation=searchRetrieve&amp;recordSchema=marcxml&amp;query=alma.authority_id=026988836&amp;maximumRecords=0</t>
  </si>
  <si>
    <t>https://swisscovery.slsp.ch/view/sru/41SLSP_VGE?version=1.2&amp;operation=searchRetrieve&amp;recordSchema=marcxml&amp;query=alma.authority_id=026988836&amp;maximumRecords=0</t>
  </si>
  <si>
    <t>027005623</t>
  </si>
  <si>
    <t>https://swisscovery.slsp.ch/view/sru/41SLSP_NETWORK?version=1.2&amp;operation=searchRetrieve&amp;recordSchema=marcxml&amp;query=alma.authority_id=027005623&amp;maximumRecords=0</t>
  </si>
  <si>
    <t>https://swisscovery.slsp.ch/view/sru/41SLSP_VGE?version=1.2&amp;operation=searchRetrieve&amp;recordSchema=marcxml&amp;query=alma.authority_id=027005623&amp;maximumRecords=0</t>
  </si>
  <si>
    <t>265116295</t>
  </si>
  <si>
    <t>https://swisscovery.slsp.ch/view/sru/41SLSP_NETWORK?version=1.2&amp;operation=searchRetrieve&amp;recordSchema=marcxml&amp;query=alma.authority_id=265116295&amp;maximumRecords=0</t>
  </si>
  <si>
    <t>https://swisscovery.slsp.ch/view/sru/41SLSP_VGE?version=1.2&amp;operation=searchRetrieve&amp;recordSchema=marcxml&amp;query=alma.authority_id=265116295&amp;maximumRecords=0</t>
  </si>
  <si>
    <t>055280587</t>
  </si>
  <si>
    <t>https://swisscovery.slsp.ch/view/sru/41SLSP_NETWORK?version=1.2&amp;operation=searchRetrieve&amp;recordSchema=marcxml&amp;query=alma.authority_id=055280587&amp;maximumRecords=0</t>
  </si>
  <si>
    <t>https://swisscovery.slsp.ch/view/sru/41SLSP_VGE?version=1.2&amp;operation=searchRetrieve&amp;recordSchema=marcxml&amp;query=alma.authority_id=055280587&amp;maximumRecords=0</t>
  </si>
  <si>
    <t>264673964</t>
  </si>
  <si>
    <t>https://swisscovery.slsp.ch/view/sru/41SLSP_NETWORK?version=1.2&amp;operation=searchRetrieve&amp;recordSchema=marcxml&amp;query=alma.authority_id=264673964&amp;maximumRecords=0</t>
  </si>
  <si>
    <t>https://swisscovery.slsp.ch/view/sru/41SLSP_VGE?version=1.2&amp;operation=searchRetrieve&amp;recordSchema=marcxml&amp;query=alma.authority_id=264673964&amp;maximumRecords=0</t>
  </si>
  <si>
    <t>281363293</t>
  </si>
  <si>
    <t>https://swisscovery.slsp.ch/view/sru/41SLSP_NETWORK?version=1.2&amp;operation=searchRetrieve&amp;recordSchema=marcxml&amp;query=alma.authority_id=281363293&amp;maximumRecords=0</t>
  </si>
  <si>
    <t>https://swisscovery.slsp.ch/view/sru/41SLSP_VGE?version=1.2&amp;operation=searchRetrieve&amp;recordSchema=marcxml&amp;query=alma.authority_id=281363293&amp;maximumRecords=0</t>
  </si>
  <si>
    <t>196906385</t>
  </si>
  <si>
    <t>https://swisscovery.slsp.ch/view/sru/41SLSP_NETWORK?version=1.2&amp;operation=searchRetrieve&amp;recordSchema=marcxml&amp;query=alma.authority_id=196906385&amp;maximumRecords=0</t>
  </si>
  <si>
    <t>https://swisscovery.slsp.ch/view/sru/41SLSP_VGE?version=1.2&amp;operation=searchRetrieve&amp;recordSchema=marcxml&amp;query=alma.authority_id=196906385&amp;maximumRecords=0</t>
  </si>
  <si>
    <t>27973641X</t>
  </si>
  <si>
    <t>https://swisscovery.slsp.ch/view/sru/41SLSP_NETWORK?version=1.2&amp;operation=searchRetrieve&amp;recordSchema=marcxml&amp;query=alma.authority_id=27973641X&amp;maximumRecords=0</t>
  </si>
  <si>
    <t>https://swisscovery.slsp.ch/view/sru/41SLSP_VGE?version=1.2&amp;operation=searchRetrieve&amp;recordSchema=marcxml&amp;query=alma.authority_id=27973641X&amp;maximumRecords=0</t>
  </si>
  <si>
    <t>291461980</t>
  </si>
  <si>
    <t>https://swisscovery.slsp.ch/view/sru/41SLSP_NETWORK?version=1.2&amp;operation=searchRetrieve&amp;recordSchema=marcxml&amp;query=alma.authority_id=291461980&amp;maximumRecords=0</t>
  </si>
  <si>
    <t>https://swisscovery.slsp.ch/view/sru/41SLSP_VGE?version=1.2&amp;operation=searchRetrieve&amp;recordSchema=marcxml&amp;query=alma.authority_id=291461980&amp;maximumRecords=0</t>
  </si>
  <si>
    <t>291461867</t>
  </si>
  <si>
    <t>https://swisscovery.slsp.ch/view/sru/41SLSP_NETWORK?version=1.2&amp;operation=searchRetrieve&amp;recordSchema=marcxml&amp;query=alma.authority_id=291461867&amp;maximumRecords=0</t>
  </si>
  <si>
    <t>https://swisscovery.slsp.ch/view/sru/41SLSP_VGE?version=1.2&amp;operation=searchRetrieve&amp;recordSchema=marcxml&amp;query=alma.authority_id=291461867&amp;maximumRecords=0</t>
  </si>
  <si>
    <t>286903415</t>
  </si>
  <si>
    <t>https://swisscovery.slsp.ch/view/sru/41SLSP_NETWORK?version=1.2&amp;operation=searchRetrieve&amp;recordSchema=marcxml&amp;query=alma.authority_id=286903415&amp;maximumRecords=0</t>
  </si>
  <si>
    <t>https://swisscovery.slsp.ch/view/sru/41SLSP_VGE?version=1.2&amp;operation=searchRetrieve&amp;recordSchema=marcxml&amp;query=alma.authority_id=286903415&amp;maximumRecords=0</t>
  </si>
  <si>
    <t>291461646</t>
  </si>
  <si>
    <t>https://swisscovery.slsp.ch/view/sru/41SLSP_NETWORK?version=1.2&amp;operation=searchRetrieve&amp;recordSchema=marcxml&amp;query=alma.authority_id=291461646&amp;maximumRecords=0</t>
  </si>
  <si>
    <t>https://swisscovery.slsp.ch/view/sru/41SLSP_VGE?version=1.2&amp;operation=searchRetrieve&amp;recordSchema=marcxml&amp;query=alma.authority_id=291461646&amp;maximumRecords=0</t>
  </si>
  <si>
    <t>286921693</t>
  </si>
  <si>
    <t>https://swisscovery.slsp.ch/view/sru/41SLSP_NETWORK?version=1.2&amp;operation=searchRetrieve&amp;recordSchema=marcxml&amp;query=alma.authority_id=286921693&amp;maximumRecords=0</t>
  </si>
  <si>
    <t>https://swisscovery.slsp.ch/view/sru/41SLSP_VGE?version=1.2&amp;operation=searchRetrieve&amp;recordSchema=marcxml&amp;query=alma.authority_id=286921693&amp;maximumRecords=0</t>
  </si>
  <si>
    <t>265320763</t>
  </si>
  <si>
    <t>https://swisscovery.slsp.ch/view/sru/41SLSP_NETWORK?version=1.2&amp;operation=searchRetrieve&amp;recordSchema=marcxml&amp;query=alma.authority_id=265320763&amp;maximumRecords=0</t>
  </si>
  <si>
    <t>https://swisscovery.slsp.ch/view/sru/41SLSP_VGE?version=1.2&amp;operation=searchRetrieve&amp;recordSchema=marcxml&amp;query=alma.authority_id=265320763&amp;maximumRecords=0</t>
  </si>
  <si>
    <t>077876008</t>
  </si>
  <si>
    <t>https://swisscovery.slsp.ch/view/sru/41SLSP_NETWORK?version=1.2&amp;operation=searchRetrieve&amp;recordSchema=marcxml&amp;query=alma.authority_id=077876008&amp;maximumRecords=0</t>
  </si>
  <si>
    <t>https://swisscovery.slsp.ch/view/sru/41SLSP_VGE?version=1.2&amp;operation=searchRetrieve&amp;recordSchema=marcxml&amp;query=alma.authority_id=077876008&amp;maximumRecords=0</t>
  </si>
  <si>
    <t>289013399</t>
  </si>
  <si>
    <t>https://swisscovery.slsp.ch/view/sru/41SLSP_NETWORK?version=1.2&amp;operation=searchRetrieve&amp;recordSchema=marcxml&amp;query=alma.authority_id=289013399&amp;maximumRecords=0</t>
  </si>
  <si>
    <t>https://swisscovery.slsp.ch/view/sru/41SLSP_VGE?version=1.2&amp;operation=searchRetrieve&amp;recordSchema=marcxml&amp;query=alma.authority_id=289013399&amp;maximumRecords=0</t>
  </si>
  <si>
    <t>026928159</t>
  </si>
  <si>
    <t>https://swisscovery.slsp.ch/view/sru/41SLSP_NETWORK?version=1.2&amp;operation=searchRetrieve&amp;recordSchema=marcxml&amp;query=alma.authority_id=026928159&amp;maximumRecords=0</t>
  </si>
  <si>
    <t>https://swisscovery.slsp.ch/view/sru/41SLSP_VGE?version=1.2&amp;operation=searchRetrieve&amp;recordSchema=marcxml&amp;query=alma.authority_id=026928159&amp;maximumRecords=0</t>
  </si>
  <si>
    <t>276255941</t>
  </si>
  <si>
    <t>https://swisscovery.slsp.ch/view/sru/41SLSP_NETWORK?version=1.2&amp;operation=searchRetrieve&amp;recordSchema=marcxml&amp;query=alma.authority_id=276255941&amp;maximumRecords=0</t>
  </si>
  <si>
    <t>https://swisscovery.slsp.ch/view/sru/41SLSP_VGE?version=1.2&amp;operation=searchRetrieve&amp;recordSchema=marcxml&amp;query=alma.authority_id=276255941&amp;maximumRecords=0</t>
  </si>
  <si>
    <t>28996492X</t>
  </si>
  <si>
    <t>https://swisscovery.slsp.ch/view/sru/41SLSP_NETWORK?version=1.2&amp;operation=searchRetrieve&amp;recordSchema=marcxml&amp;query=alma.authority_id=28996492X&amp;maximumRecords=0</t>
  </si>
  <si>
    <t>https://swisscovery.slsp.ch/view/sru/41SLSP_VGE?version=1.2&amp;operation=searchRetrieve&amp;recordSchema=marcxml&amp;query=alma.authority_id=28996492X&amp;maximumRecords=0</t>
  </si>
  <si>
    <t>265641497</t>
  </si>
  <si>
    <t>https://swisscovery.slsp.ch/view/sru/41SLSP_NETWORK?version=1.2&amp;operation=searchRetrieve&amp;recordSchema=marcxml&amp;query=alma.authority_id=265641497&amp;maximumRecords=0</t>
  </si>
  <si>
    <t>https://swisscovery.slsp.ch/view/sru/41SLSP_VGE?version=1.2&amp;operation=searchRetrieve&amp;recordSchema=marcxml&amp;query=alma.authority_id=265641497&amp;maximumRecords=0</t>
  </si>
  <si>
    <t>050504738</t>
  </si>
  <si>
    <t>https://swisscovery.slsp.ch/view/sru/41SLSP_NETWORK?version=1.2&amp;operation=searchRetrieve&amp;recordSchema=marcxml&amp;query=alma.authority_id=050504738&amp;maximumRecords=0</t>
  </si>
  <si>
    <t>https://swisscovery.slsp.ch/view/sru/41SLSP_VGE?version=1.2&amp;operation=searchRetrieve&amp;recordSchema=marcxml&amp;query=alma.authority_id=050504738&amp;maximumRecords=0</t>
  </si>
  <si>
    <t>288949498</t>
  </si>
  <si>
    <t>https://swisscovery.slsp.ch/view/sru/41SLSP_NETWORK?version=1.2&amp;operation=searchRetrieve&amp;recordSchema=marcxml&amp;query=alma.authority_id=288949498&amp;maximumRecords=0</t>
  </si>
  <si>
    <t>https://swisscovery.slsp.ch/view/sru/41SLSP_VGE?version=1.2&amp;operation=searchRetrieve&amp;recordSchema=marcxml&amp;query=alma.authority_id=288949498&amp;maximumRecords=0</t>
  </si>
  <si>
    <t>242234542</t>
  </si>
  <si>
    <t>https://swisscovery.slsp.ch/view/sru/41SLSP_NETWORK?version=1.2&amp;operation=searchRetrieve&amp;recordSchema=marcxml&amp;query=alma.authority_id=242234542&amp;maximumRecords=0</t>
  </si>
  <si>
    <t>https://swisscovery.slsp.ch/view/sru/41SLSP_VGE?version=1.2&amp;operation=searchRetrieve&amp;recordSchema=marcxml&amp;query=alma.authority_id=242234542&amp;maximumRecords=0</t>
  </si>
  <si>
    <t>281826382</t>
  </si>
  <si>
    <t>https://swisscovery.slsp.ch/view/sru/41SLSP_NETWORK?version=1.2&amp;operation=searchRetrieve&amp;recordSchema=marcxml&amp;query=alma.authority_id=281826382&amp;maximumRecords=0</t>
  </si>
  <si>
    <t>https://swisscovery.slsp.ch/view/sru/41SLSP_VGE?version=1.2&amp;operation=searchRetrieve&amp;recordSchema=marcxml&amp;query=alma.authority_id=281826382&amp;maximumRecords=0</t>
  </si>
  <si>
    <t>121623777</t>
  </si>
  <si>
    <t>https://swisscovery.slsp.ch/view/sru/41SLSP_NETWORK?version=1.2&amp;operation=searchRetrieve&amp;recordSchema=marcxml&amp;query=alma.authority_id=121623777&amp;maximumRecords=0</t>
  </si>
  <si>
    <t>https://swisscovery.slsp.ch/view/sru/41SLSP_VGE?version=1.2&amp;operation=searchRetrieve&amp;recordSchema=marcxml&amp;query=alma.authority_id=121623777&amp;maximumRecords=0</t>
  </si>
  <si>
    <t>263584755</t>
  </si>
  <si>
    <t>https://swisscovery.slsp.ch/view/sru/41SLSP_NETWORK?version=1.2&amp;operation=searchRetrieve&amp;recordSchema=marcxml&amp;query=alma.authority_id=263584755&amp;maximumRecords=0</t>
  </si>
  <si>
    <t>https://swisscovery.slsp.ch/view/sru/41SLSP_VGE?version=1.2&amp;operation=searchRetrieve&amp;recordSchema=marcxml&amp;query=alma.authority_id=263584755&amp;maximumRecords=0</t>
  </si>
  <si>
    <t>285168592</t>
  </si>
  <si>
    <t>https://swisscovery.slsp.ch/view/sru/41SLSP_NETWORK?version=1.2&amp;operation=searchRetrieve&amp;recordSchema=marcxml&amp;query=alma.authority_id=285168592&amp;maximumRecords=0</t>
  </si>
  <si>
    <t>https://swisscovery.slsp.ch/view/sru/41SLSP_VGE?version=1.2&amp;operation=searchRetrieve&amp;recordSchema=marcxml&amp;query=alma.authority_id=285168592&amp;maximumRecords=0</t>
  </si>
  <si>
    <t>26347223X</t>
  </si>
  <si>
    <t>https://swisscovery.slsp.ch/view/sru/41SLSP_NETWORK?version=1.2&amp;operation=searchRetrieve&amp;recordSchema=marcxml&amp;query=alma.authority_id=26347223X&amp;maximumRecords=0</t>
  </si>
  <si>
    <t>https://swisscovery.slsp.ch/view/sru/41SLSP_VGE?version=1.2&amp;operation=searchRetrieve&amp;recordSchema=marcxml&amp;query=alma.authority_id=26347223X&amp;maximumRecords=0</t>
  </si>
  <si>
    <t>028460561</t>
  </si>
  <si>
    <t>https://swisscovery.slsp.ch/view/sru/41SLSP_NETWORK?version=1.2&amp;operation=searchRetrieve&amp;recordSchema=marcxml&amp;query=alma.authority_id=028460561&amp;maximumRecords=0</t>
  </si>
  <si>
    <t>https://swisscovery.slsp.ch/view/sru/41SLSP_VGE?version=1.2&amp;operation=searchRetrieve&amp;recordSchema=marcxml&amp;query=alma.authority_id=028460561&amp;maximumRecords=0</t>
  </si>
  <si>
    <t>236125907</t>
  </si>
  <si>
    <t>https://swisscovery.slsp.ch/view/sru/41SLSP_NETWORK?version=1.2&amp;operation=searchRetrieve&amp;recordSchema=marcxml&amp;query=alma.authority_id=236125907&amp;maximumRecords=0</t>
  </si>
  <si>
    <t>https://swisscovery.slsp.ch/view/sru/41SLSP_VGE?version=1.2&amp;operation=searchRetrieve&amp;recordSchema=marcxml&amp;query=alma.authority_id=236125907&amp;maximumRecords=0</t>
  </si>
  <si>
    <t>255405499</t>
  </si>
  <si>
    <t>https://swisscovery.slsp.ch/view/sru/41SLSP_NETWORK?version=1.2&amp;operation=searchRetrieve&amp;recordSchema=marcxml&amp;query=alma.authority_id=255405499&amp;maximumRecords=0</t>
  </si>
  <si>
    <t>https://swisscovery.slsp.ch/view/sru/41SLSP_VGE?version=1.2&amp;operation=searchRetrieve&amp;recordSchema=marcxml&amp;query=alma.authority_id=255405499&amp;maximumRecords=0</t>
  </si>
  <si>
    <t>286911094</t>
  </si>
  <si>
    <t>https://swisscovery.slsp.ch/view/sru/41SLSP_NETWORK?version=1.2&amp;operation=searchRetrieve&amp;recordSchema=marcxml&amp;query=alma.authority_id=286911094&amp;maximumRecords=0</t>
  </si>
  <si>
    <t>https://swisscovery.slsp.ch/view/sru/41SLSP_VGE?version=1.2&amp;operation=searchRetrieve&amp;recordSchema=marcxml&amp;query=alma.authority_id=286911094&amp;maximumRecords=0</t>
  </si>
  <si>
    <t>278706452</t>
  </si>
  <si>
    <t>https://swisscovery.slsp.ch/view/sru/41SLSP_NETWORK?version=1.2&amp;operation=searchRetrieve&amp;recordSchema=marcxml&amp;query=alma.authority_id=278706452&amp;maximumRecords=0</t>
  </si>
  <si>
    <t>https://swisscovery.slsp.ch/view/sru/41SLSP_VGE?version=1.2&amp;operation=searchRetrieve&amp;recordSchema=marcxml&amp;query=alma.authority_id=278706452&amp;maximumRecords=0</t>
  </si>
  <si>
    <t>286745232</t>
  </si>
  <si>
    <t>https://swisscovery.slsp.ch/view/sru/41SLSP_NETWORK?version=1.2&amp;operation=searchRetrieve&amp;recordSchema=marcxml&amp;query=alma.authority_id=286745232&amp;maximumRecords=0</t>
  </si>
  <si>
    <t>https://swisscovery.slsp.ch/view/sru/41SLSP_VGE?version=1.2&amp;operation=searchRetrieve&amp;recordSchema=marcxml&amp;query=alma.authority_id=286745232&amp;maximumRecords=0</t>
  </si>
  <si>
    <t>030721318</t>
  </si>
  <si>
    <t>https://swisscovery.slsp.ch/view/sru/41SLSP_NETWORK?version=1.2&amp;operation=searchRetrieve&amp;recordSchema=marcxml&amp;query=alma.authority_id=030721318&amp;maximumRecords=0</t>
  </si>
  <si>
    <t>https://swisscovery.slsp.ch/view/sru/41SLSP_VGE?version=1.2&amp;operation=searchRetrieve&amp;recordSchema=marcxml&amp;query=alma.authority_id=030721318&amp;maximumRecords=0</t>
  </si>
  <si>
    <t>289013429</t>
  </si>
  <si>
    <t>https://swisscovery.slsp.ch/view/sru/41SLSP_NETWORK?version=1.2&amp;operation=searchRetrieve&amp;recordSchema=marcxml&amp;query=alma.authority_id=289013429&amp;maximumRecords=0</t>
  </si>
  <si>
    <t>https://swisscovery.slsp.ch/view/sru/41SLSP_VGE?version=1.2&amp;operation=searchRetrieve&amp;recordSchema=marcxml&amp;query=alma.authority_id=289013429&amp;maximumRecords=0</t>
  </si>
  <si>
    <t>265709202</t>
  </si>
  <si>
    <t>https://swisscovery.slsp.ch/view/sru/41SLSP_NETWORK?version=1.2&amp;operation=searchRetrieve&amp;recordSchema=marcxml&amp;query=alma.authority_id=265709202&amp;maximumRecords=0</t>
  </si>
  <si>
    <t>https://swisscovery.slsp.ch/view/sru/41SLSP_VGE?version=1.2&amp;operation=searchRetrieve&amp;recordSchema=marcxml&amp;query=alma.authority_id=265709202&amp;maximumRecords=0</t>
  </si>
  <si>
    <t>028735242</t>
  </si>
  <si>
    <t>https://swisscovery.slsp.ch/view/sru/41SLSP_NETWORK?version=1.2&amp;operation=searchRetrieve&amp;recordSchema=marcxml&amp;query=alma.authority_id=028735242&amp;maximumRecords=0</t>
  </si>
  <si>
    <t>https://swisscovery.slsp.ch/view/sru/41SLSP_VGE?version=1.2&amp;operation=searchRetrieve&amp;recordSchema=marcxml&amp;query=alma.authority_id=028735242&amp;maximumRecords=0</t>
  </si>
  <si>
    <t>263600726</t>
  </si>
  <si>
    <t>https://swisscovery.slsp.ch/view/sru/41SLSP_NETWORK?version=1.2&amp;operation=searchRetrieve&amp;recordSchema=marcxml&amp;query=alma.authority_id=263600726&amp;maximumRecords=0</t>
  </si>
  <si>
    <t>https://swisscovery.slsp.ch/view/sru/41SLSP_VGE?version=1.2&amp;operation=searchRetrieve&amp;recordSchema=marcxml&amp;query=alma.authority_id=263600726&amp;maximumRecords=0</t>
  </si>
  <si>
    <t>281996520</t>
  </si>
  <si>
    <t>https://swisscovery.slsp.ch/view/sru/41SLSP_NETWORK?version=1.2&amp;operation=searchRetrieve&amp;recordSchema=marcxml&amp;query=alma.authority_id=281996520&amp;maximumRecords=0</t>
  </si>
  <si>
    <t>https://swisscovery.slsp.ch/view/sru/41SLSP_VGE?version=1.2&amp;operation=searchRetrieve&amp;recordSchema=marcxml&amp;query=alma.authority_id=281996520&amp;maximumRecords=0</t>
  </si>
  <si>
    <t>276267796</t>
  </si>
  <si>
    <t>https://swisscovery.slsp.ch/view/sru/41SLSP_NETWORK?version=1.2&amp;operation=searchRetrieve&amp;recordSchema=marcxml&amp;query=alma.authority_id=276267796&amp;maximumRecords=0</t>
  </si>
  <si>
    <t>https://swisscovery.slsp.ch/view/sru/41SLSP_VGE?version=1.2&amp;operation=searchRetrieve&amp;recordSchema=marcxml&amp;query=alma.authority_id=276267796&amp;maximumRecords=0</t>
  </si>
  <si>
    <t>26299643X</t>
  </si>
  <si>
    <t>https://swisscovery.slsp.ch/view/sru/41SLSP_NETWORK?version=1.2&amp;operation=searchRetrieve&amp;recordSchema=marcxml&amp;query=alma.authority_id=26299643X&amp;maximumRecords=0</t>
  </si>
  <si>
    <t>https://swisscovery.slsp.ch/view/sru/41SLSP_VGE?version=1.2&amp;operation=searchRetrieve&amp;recordSchema=marcxml&amp;query=alma.authority_id=26299643X&amp;maximumRecords=0</t>
  </si>
  <si>
    <t>282000275</t>
  </si>
  <si>
    <t>https://swisscovery.slsp.ch/view/sru/41SLSP_NETWORK?version=1.2&amp;operation=searchRetrieve&amp;recordSchema=marcxml&amp;query=alma.authority_id=282000275&amp;maximumRecords=0</t>
  </si>
  <si>
    <t>https://swisscovery.slsp.ch/view/sru/41SLSP_VGE?version=1.2&amp;operation=searchRetrieve&amp;recordSchema=marcxml&amp;query=alma.authority_id=282000275&amp;maximumRecords=0</t>
  </si>
  <si>
    <t>290861438</t>
  </si>
  <si>
    <t>https://swisscovery.slsp.ch/view/sru/41SLSP_NETWORK?version=1.2&amp;operation=searchRetrieve&amp;recordSchema=marcxml&amp;query=alma.authority_id=290861438&amp;maximumRecords=0</t>
  </si>
  <si>
    <t>https://swisscovery.slsp.ch/view/sru/41SLSP_VGE?version=1.2&amp;operation=searchRetrieve&amp;recordSchema=marcxml&amp;query=alma.authority_id=290861438&amp;maximumRecords=0</t>
  </si>
  <si>
    <t>282427759</t>
  </si>
  <si>
    <t>https://swisscovery.slsp.ch/view/sru/41SLSP_NETWORK?version=1.2&amp;operation=searchRetrieve&amp;recordSchema=marcxml&amp;query=alma.authority_id=282427759&amp;maximumRecords=0</t>
  </si>
  <si>
    <t>https://swisscovery.slsp.ch/view/sru/41SLSP_VGE?version=1.2&amp;operation=searchRetrieve&amp;recordSchema=marcxml&amp;query=alma.authority_id=282427759&amp;maximumRecords=0</t>
  </si>
  <si>
    <t>281364370</t>
  </si>
  <si>
    <t>https://swisscovery.slsp.ch/view/sru/41SLSP_NETWORK?version=1.2&amp;operation=searchRetrieve&amp;recordSchema=marcxml&amp;query=alma.authority_id=281364370&amp;maximumRecords=0</t>
  </si>
  <si>
    <t>https://swisscovery.slsp.ch/view/sru/41SLSP_VGE?version=1.2&amp;operation=searchRetrieve&amp;recordSchema=marcxml&amp;query=alma.authority_id=281364370&amp;maximumRecords=0</t>
  </si>
  <si>
    <t>283189452</t>
  </si>
  <si>
    <t>https://swisscovery.slsp.ch/view/sru/41SLSP_NETWORK?version=1.2&amp;operation=searchRetrieve&amp;recordSchema=marcxml&amp;query=alma.authority_id=283189452&amp;maximumRecords=0</t>
  </si>
  <si>
    <t>https://swisscovery.slsp.ch/view/sru/41SLSP_VGE?version=1.2&amp;operation=searchRetrieve&amp;recordSchema=marcxml&amp;query=alma.authority_id=283189452&amp;maximumRecords=0</t>
  </si>
  <si>
    <t>290861799</t>
  </si>
  <si>
    <t>https://swisscovery.slsp.ch/view/sru/41SLSP_NETWORK?version=1.2&amp;operation=searchRetrieve&amp;recordSchema=marcxml&amp;query=alma.authority_id=290861799&amp;maximumRecords=0</t>
  </si>
  <si>
    <t>https://swisscovery.slsp.ch/view/sru/41SLSP_VGE?version=1.2&amp;operation=searchRetrieve&amp;recordSchema=marcxml&amp;query=alma.authority_id=290861799&amp;maximumRecords=0</t>
  </si>
  <si>
    <t>282002847</t>
  </si>
  <si>
    <t>https://swisscovery.slsp.ch/view/sru/41SLSP_NETWORK?version=1.2&amp;operation=searchRetrieve&amp;recordSchema=marcxml&amp;query=alma.authority_id=282002847&amp;maximumRecords=0</t>
  </si>
  <si>
    <t>https://swisscovery.slsp.ch/view/sru/41SLSP_VGE?version=1.2&amp;operation=searchRetrieve&amp;recordSchema=marcxml&amp;query=alma.authority_id=282002847&amp;maximumRecords=0</t>
  </si>
  <si>
    <t>283050101</t>
  </si>
  <si>
    <t>https://swisscovery.slsp.ch/view/sru/41SLSP_NETWORK?version=1.2&amp;operation=searchRetrieve&amp;recordSchema=marcxml&amp;query=alma.authority_id=283050101&amp;maximumRecords=0</t>
  </si>
  <si>
    <t>https://swisscovery.slsp.ch/view/sru/41SLSP_VGE?version=1.2&amp;operation=searchRetrieve&amp;recordSchema=marcxml&amp;query=alma.authority_id=283050101&amp;maximumRecords=0</t>
  </si>
  <si>
    <t>286922029</t>
  </si>
  <si>
    <t>https://swisscovery.slsp.ch/view/sru/41SLSP_NETWORK?version=1.2&amp;operation=searchRetrieve&amp;recordSchema=marcxml&amp;query=alma.authority_id=286922029&amp;maximumRecords=0</t>
  </si>
  <si>
    <t>https://swisscovery.slsp.ch/view/sru/41SLSP_VGE?version=1.2&amp;operation=searchRetrieve&amp;recordSchema=marcxml&amp;query=alma.authority_id=286922029&amp;maximumRecords=0</t>
  </si>
  <si>
    <t>031174663</t>
  </si>
  <si>
    <t>https://swisscovery.slsp.ch/view/sru/41SLSP_NETWORK?version=1.2&amp;operation=searchRetrieve&amp;recordSchema=marcxml&amp;query=alma.authority_id=031174663&amp;maximumRecords=0</t>
  </si>
  <si>
    <t>https://swisscovery.slsp.ch/view/sru/41SLSP_VGE?version=1.2&amp;operation=searchRetrieve&amp;recordSchema=marcxml&amp;query=alma.authority_id=031174663&amp;maximumRecords=0</t>
  </si>
  <si>
    <t>281626901</t>
  </si>
  <si>
    <t>https://swisscovery.slsp.ch/view/sru/41SLSP_NETWORK?version=1.2&amp;operation=searchRetrieve&amp;recordSchema=marcxml&amp;query=alma.authority_id=281626901&amp;maximumRecords=0</t>
  </si>
  <si>
    <t>https://swisscovery.slsp.ch/view/sru/41SLSP_VGE?version=1.2&amp;operation=searchRetrieve&amp;recordSchema=marcxml&amp;query=alma.authority_id=281626901&amp;maximumRecords=0</t>
  </si>
  <si>
    <t>262842602</t>
  </si>
  <si>
    <t>https://swisscovery.slsp.ch/view/sru/41SLSP_NETWORK?version=1.2&amp;operation=searchRetrieve&amp;recordSchema=marcxml&amp;query=alma.authority_id=262842602&amp;maximumRecords=0</t>
  </si>
  <si>
    <t>https://swisscovery.slsp.ch/view/sru/41SLSP_VGE?version=1.2&amp;operation=searchRetrieve&amp;recordSchema=marcxml&amp;query=alma.authority_id=262842602&amp;maximumRecords=0</t>
  </si>
  <si>
    <t>28692000X</t>
  </si>
  <si>
    <t>https://swisscovery.slsp.ch/view/sru/41SLSP_NETWORK?version=1.2&amp;operation=searchRetrieve&amp;recordSchema=marcxml&amp;query=alma.authority_id=28692000X&amp;maximumRecords=0</t>
  </si>
  <si>
    <t>https://swisscovery.slsp.ch/view/sru/41SLSP_VGE?version=1.2&amp;operation=searchRetrieve&amp;recordSchema=marcxml&amp;query=alma.authority_id=28692000X&amp;maximumRecords=0</t>
  </si>
  <si>
    <t>151528322</t>
  </si>
  <si>
    <t>https://swisscovery.slsp.ch/view/sru/41SLSP_NETWORK?version=1.2&amp;operation=searchRetrieve&amp;recordSchema=marcxml&amp;query=alma.authority_id=151528322&amp;maximumRecords=0</t>
  </si>
  <si>
    <t>https://swisscovery.slsp.ch/view/sru/41SLSP_VGE?version=1.2&amp;operation=searchRetrieve&amp;recordSchema=marcxml&amp;query=alma.authority_id=151528322&amp;maximumRecords=0</t>
  </si>
  <si>
    <t>286927292</t>
  </si>
  <si>
    <t>https://swisscovery.slsp.ch/view/sru/41SLSP_NETWORK?version=1.2&amp;operation=searchRetrieve&amp;recordSchema=marcxml&amp;query=alma.authority_id=286927292&amp;maximumRecords=0</t>
  </si>
  <si>
    <t>https://swisscovery.slsp.ch/view/sru/41SLSP_VGE?version=1.2&amp;operation=searchRetrieve&amp;recordSchema=marcxml&amp;query=alma.authority_id=286927292&amp;maximumRecords=0</t>
  </si>
  <si>
    <t>255704216</t>
  </si>
  <si>
    <t>https://swisscovery.slsp.ch/view/sru/41SLSP_NETWORK?version=1.2&amp;operation=searchRetrieve&amp;recordSchema=marcxml&amp;query=alma.authority_id=255704216&amp;maximumRecords=0</t>
  </si>
  <si>
    <t>https://swisscovery.slsp.ch/view/sru/41SLSP_VGE?version=1.2&amp;operation=searchRetrieve&amp;recordSchema=marcxml&amp;query=alma.authority_id=255704216&amp;maximumRecords=0</t>
  </si>
  <si>
    <t>272664235</t>
  </si>
  <si>
    <t>https://swisscovery.slsp.ch/view/sru/41SLSP_NETWORK?version=1.2&amp;operation=searchRetrieve&amp;recordSchema=marcxml&amp;query=alma.authority_id=272664235&amp;maximumRecords=0</t>
  </si>
  <si>
    <t>https://swisscovery.slsp.ch/view/sru/41SLSP_VGE?version=1.2&amp;operation=searchRetrieve&amp;recordSchema=marcxml&amp;query=alma.authority_id=272664235&amp;maximumRecords=0</t>
  </si>
  <si>
    <t>268465401</t>
  </si>
  <si>
    <t>https://swisscovery.slsp.ch/view/sru/41SLSP_NETWORK?version=1.2&amp;operation=searchRetrieve&amp;recordSchema=marcxml&amp;query=alma.authority_id=268465401&amp;maximumRecords=0</t>
  </si>
  <si>
    <t>https://swisscovery.slsp.ch/view/sru/41SLSP_VGE?version=1.2&amp;operation=searchRetrieve&amp;recordSchema=marcxml&amp;query=alma.authority_id=268465401&amp;maximumRecords=0</t>
  </si>
  <si>
    <t>098212184</t>
  </si>
  <si>
    <t>https://swisscovery.slsp.ch/view/sru/41SLSP_NETWORK?version=1.2&amp;operation=searchRetrieve&amp;recordSchema=marcxml&amp;query=alma.authority_id=098212184&amp;maximumRecords=0</t>
  </si>
  <si>
    <t>https://swisscovery.slsp.ch/view/sru/41SLSP_VGE?version=1.2&amp;operation=searchRetrieve&amp;recordSchema=marcxml&amp;query=alma.authority_id=098212184&amp;maximumRecords=0</t>
  </si>
  <si>
    <t>124082556</t>
  </si>
  <si>
    <t>https://swisscovery.slsp.ch/view/sru/41SLSP_NETWORK?version=1.2&amp;operation=searchRetrieve&amp;recordSchema=marcxml&amp;query=alma.authority_id=124082556&amp;maximumRecords=0</t>
  </si>
  <si>
    <t>https://swisscovery.slsp.ch/view/sru/41SLSP_VGE?version=1.2&amp;operation=searchRetrieve&amp;recordSchema=marcxml&amp;query=alma.authority_id=124082556&amp;maximumRecords=0</t>
  </si>
  <si>
    <t>281763682</t>
  </si>
  <si>
    <t>https://swisscovery.slsp.ch/view/sru/41SLSP_NETWORK?version=1.2&amp;operation=searchRetrieve&amp;recordSchema=marcxml&amp;query=alma.authority_id=281763682&amp;maximumRecords=0</t>
  </si>
  <si>
    <t>https://swisscovery.slsp.ch/view/sru/41SLSP_VGE?version=1.2&amp;operation=searchRetrieve&amp;recordSchema=marcxml&amp;query=alma.authority_id=281763682&amp;maximumRecords=0</t>
  </si>
  <si>
    <t>242286968</t>
  </si>
  <si>
    <t>https://swisscovery.slsp.ch/view/sru/41SLSP_NETWORK?version=1.2&amp;operation=searchRetrieve&amp;recordSchema=marcxml&amp;query=alma.authority_id=242286968&amp;maximumRecords=0</t>
  </si>
  <si>
    <t>https://swisscovery.slsp.ch/view/sru/41SLSP_VGE?version=1.2&amp;operation=searchRetrieve&amp;recordSchema=marcxml&amp;query=alma.authority_id=242286968&amp;maximumRecords=0</t>
  </si>
  <si>
    <t>260896837</t>
  </si>
  <si>
    <t>https://swisscovery.slsp.ch/view/sru/41SLSP_NETWORK?version=1.2&amp;operation=searchRetrieve&amp;recordSchema=marcxml&amp;query=alma.authority_id=260896837&amp;maximumRecords=0</t>
  </si>
  <si>
    <t>https://swisscovery.slsp.ch/view/sru/41SLSP_VGE?version=1.2&amp;operation=searchRetrieve&amp;recordSchema=marcxml&amp;query=alma.authority_id=260896837&amp;maximumRecords=0</t>
  </si>
  <si>
    <t>074870351</t>
  </si>
  <si>
    <t>https://swisscovery.slsp.ch/view/sru/41SLSP_NETWORK?version=1.2&amp;operation=searchRetrieve&amp;recordSchema=marcxml&amp;query=alma.authority_id=074870351&amp;maximumRecords=0</t>
  </si>
  <si>
    <t>https://swisscovery.slsp.ch/view/sru/41SLSP_VGE?version=1.2&amp;operation=searchRetrieve&amp;recordSchema=marcxml&amp;query=alma.authority_id=074870351&amp;maximumRecords=0</t>
  </si>
  <si>
    <t>128959444</t>
  </si>
  <si>
    <t>https://swisscovery.slsp.ch/view/sru/41SLSP_NETWORK?version=1.2&amp;operation=searchRetrieve&amp;recordSchema=marcxml&amp;query=alma.authority_id=128959444&amp;maximumRecords=0</t>
  </si>
  <si>
    <t>https://swisscovery.slsp.ch/view/sru/41SLSP_VGE?version=1.2&amp;operation=searchRetrieve&amp;recordSchema=marcxml&amp;query=alma.authority_id=128959444&amp;maximumRecords=0</t>
  </si>
  <si>
    <t>264673506</t>
  </si>
  <si>
    <t>https://swisscovery.slsp.ch/view/sru/41SLSP_NETWORK?version=1.2&amp;operation=searchRetrieve&amp;recordSchema=marcxml&amp;query=alma.authority_id=264673506&amp;maximumRecords=0</t>
  </si>
  <si>
    <t>https://swisscovery.slsp.ch/view/sru/41SLSP_VGE?version=1.2&amp;operation=searchRetrieve&amp;recordSchema=marcxml&amp;query=alma.authority_id=264673506&amp;maximumRecords=0</t>
  </si>
  <si>
    <t>285794566</t>
  </si>
  <si>
    <t>https://swisscovery.slsp.ch/view/sru/41SLSP_NETWORK?version=1.2&amp;operation=searchRetrieve&amp;recordSchema=marcxml&amp;query=alma.authority_id=285794566&amp;maximumRecords=0</t>
  </si>
  <si>
    <t>https://swisscovery.slsp.ch/view/sru/41SLSP_VGE?version=1.2&amp;operation=searchRetrieve&amp;recordSchema=marcxml&amp;query=alma.authority_id=285794566&amp;maximumRecords=0</t>
  </si>
  <si>
    <t>053495519</t>
  </si>
  <si>
    <t>https://swisscovery.slsp.ch/view/sru/41SLSP_NETWORK?version=1.2&amp;operation=searchRetrieve&amp;recordSchema=marcxml&amp;query=alma.authority_id=053495519&amp;maximumRecords=0</t>
  </si>
  <si>
    <t>https://swisscovery.slsp.ch/view/sru/41SLSP_VGE?version=1.2&amp;operation=searchRetrieve&amp;recordSchema=marcxml&amp;query=alma.authority_id=053495519&amp;maximumRecords=0</t>
  </si>
  <si>
    <t>286789426</t>
  </si>
  <si>
    <t>https://swisscovery.slsp.ch/view/sru/41SLSP_NETWORK?version=1.2&amp;operation=searchRetrieve&amp;recordSchema=marcxml&amp;query=alma.authority_id=286789426&amp;maximumRecords=0</t>
  </si>
  <si>
    <t>https://swisscovery.slsp.ch/view/sru/41SLSP_VGE?version=1.2&amp;operation=searchRetrieve&amp;recordSchema=marcxml&amp;query=alma.authority_id=286789426&amp;maximumRecords=0</t>
  </si>
  <si>
    <t>193608413</t>
  </si>
  <si>
    <t>https://swisscovery.slsp.ch/view/sru/41SLSP_NETWORK?version=1.2&amp;operation=searchRetrieve&amp;recordSchema=marcxml&amp;query=alma.authority_id=193608413&amp;maximumRecords=0</t>
  </si>
  <si>
    <t>https://swisscovery.slsp.ch/view/sru/41SLSP_VGE?version=1.2&amp;operation=searchRetrieve&amp;recordSchema=marcxml&amp;query=alma.authority_id=193608413&amp;maximumRecords=0</t>
  </si>
  <si>
    <t>286903598</t>
  </si>
  <si>
    <t>https://swisscovery.slsp.ch/view/sru/41SLSP_NETWORK?version=1.2&amp;operation=searchRetrieve&amp;recordSchema=marcxml&amp;query=alma.authority_id=286903598&amp;maximumRecords=0</t>
  </si>
  <si>
    <t>https://swisscovery.slsp.ch/view/sru/41SLSP_VGE?version=1.2&amp;operation=searchRetrieve&amp;recordSchema=marcxml&amp;query=alma.authority_id=286903598&amp;maximumRecords=0</t>
  </si>
  <si>
    <t>177085347</t>
  </si>
  <si>
    <t>https://swisscovery.slsp.ch/view/sru/41SLSP_NETWORK?version=1.2&amp;operation=searchRetrieve&amp;recordSchema=marcxml&amp;query=alma.authority_id=177085347&amp;maximumRecords=0</t>
  </si>
  <si>
    <t>https://swisscovery.slsp.ch/view/sru/41SLSP_VGE?version=1.2&amp;operation=searchRetrieve&amp;recordSchema=marcxml&amp;query=alma.authority_id=177085347&amp;maximumRecords=0</t>
  </si>
  <si>
    <t>286910861</t>
  </si>
  <si>
    <t>https://swisscovery.slsp.ch/view/sru/41SLSP_NETWORK?version=1.2&amp;operation=searchRetrieve&amp;recordSchema=marcxml&amp;query=alma.authority_id=286910861&amp;maximumRecords=0</t>
  </si>
  <si>
    <t>https://swisscovery.slsp.ch/view/sru/41SLSP_VGE?version=1.2&amp;operation=searchRetrieve&amp;recordSchema=marcxml&amp;query=alma.authority_id=286910861&amp;maximumRecords=0</t>
  </si>
  <si>
    <t>263875024</t>
  </si>
  <si>
    <t>https://swisscovery.slsp.ch/view/sru/41SLSP_NETWORK?version=1.2&amp;operation=searchRetrieve&amp;recordSchema=marcxml&amp;query=alma.authority_id=263875024&amp;maximumRecords=0</t>
  </si>
  <si>
    <t>https://swisscovery.slsp.ch/view/sru/41SLSP_VGE?version=1.2&amp;operation=searchRetrieve&amp;recordSchema=marcxml&amp;query=alma.authority_id=263875024&amp;maximumRecords=0</t>
  </si>
  <si>
    <t>285476416</t>
  </si>
  <si>
    <t>https://swisscovery.slsp.ch/view/sru/41SLSP_NETWORK?version=1.2&amp;operation=searchRetrieve&amp;recordSchema=marcxml&amp;query=alma.authority_id=285476416&amp;maximumRecords=0</t>
  </si>
  <si>
    <t>https://swisscovery.slsp.ch/view/sru/41SLSP_VGE?version=1.2&amp;operation=searchRetrieve&amp;recordSchema=marcxml&amp;query=alma.authority_id=285476416&amp;maximumRecords=0</t>
  </si>
  <si>
    <t>177355689</t>
  </si>
  <si>
    <t>https://swisscovery.slsp.ch/view/sru/41SLSP_NETWORK?version=1.2&amp;operation=searchRetrieve&amp;recordSchema=marcxml&amp;query=alma.authority_id=177355689&amp;maximumRecords=0</t>
  </si>
  <si>
    <t>https://swisscovery.slsp.ch/view/sru/41SLSP_VGE?version=1.2&amp;operation=searchRetrieve&amp;recordSchema=marcxml&amp;query=alma.authority_id=177355689&amp;maximumRecords=0</t>
  </si>
  <si>
    <t>261715631</t>
  </si>
  <si>
    <t>https://swisscovery.slsp.ch/view/sru/41SLSP_NETWORK?version=1.2&amp;operation=searchRetrieve&amp;recordSchema=marcxml&amp;query=alma.authority_id=261715631&amp;maximumRecords=0</t>
  </si>
  <si>
    <t>https://swisscovery.slsp.ch/view/sru/41SLSP_VGE?version=1.2&amp;operation=searchRetrieve&amp;recordSchema=marcxml&amp;query=alma.authority_id=261715631&amp;maximumRecords=0</t>
  </si>
  <si>
    <t>035322772</t>
  </si>
  <si>
    <t>https://swisscovery.slsp.ch/view/sru/41SLSP_NETWORK?version=1.2&amp;operation=searchRetrieve&amp;recordSchema=marcxml&amp;query=alma.authority_id=035322772&amp;maximumRecords=0</t>
  </si>
  <si>
    <t>https://swisscovery.slsp.ch/view/sru/41SLSP_VGE?version=1.2&amp;operation=searchRetrieve&amp;recordSchema=marcxml&amp;query=alma.authority_id=035322772&amp;maximumRecords=0</t>
  </si>
  <si>
    <t>265387442</t>
  </si>
  <si>
    <t>https://swisscovery.slsp.ch/view/sru/41SLSP_NETWORK?version=1.2&amp;operation=searchRetrieve&amp;recordSchema=marcxml&amp;query=alma.authority_id=265387442&amp;maximumRecords=0</t>
  </si>
  <si>
    <t>https://swisscovery.slsp.ch/view/sru/41SLSP_VGE?version=1.2&amp;operation=searchRetrieve&amp;recordSchema=marcxml&amp;query=alma.authority_id=265387442&amp;maximumRecords=0</t>
  </si>
  <si>
    <t>191348171</t>
  </si>
  <si>
    <t>https://swisscovery.slsp.ch/view/sru/41SLSP_NETWORK?version=1.2&amp;operation=searchRetrieve&amp;recordSchema=marcxml&amp;query=alma.authority_id=191348171&amp;maximumRecords=0</t>
  </si>
  <si>
    <t>https://swisscovery.slsp.ch/view/sru/41SLSP_VGE?version=1.2&amp;operation=searchRetrieve&amp;recordSchema=marcxml&amp;query=alma.authority_id=191348171&amp;maximumRecords=0</t>
  </si>
  <si>
    <t>29094175X</t>
  </si>
  <si>
    <t>https://swisscovery.slsp.ch/view/sru/41SLSP_NETWORK?version=1.2&amp;operation=searchRetrieve&amp;recordSchema=marcxml&amp;query=alma.authority_id=29094175X&amp;maximumRecords=0</t>
  </si>
  <si>
    <t>https://swisscovery.slsp.ch/view/sru/41SLSP_VGE?version=1.2&amp;operation=searchRetrieve&amp;recordSchema=marcxml&amp;query=alma.authority_id=29094175X&amp;maximumRecords=0</t>
  </si>
  <si>
    <t>280984235</t>
  </si>
  <si>
    <t>https://swisscovery.slsp.ch/view/sru/41SLSP_NETWORK?version=1.2&amp;operation=searchRetrieve&amp;recordSchema=marcxml&amp;query=alma.authority_id=280984235&amp;maximumRecords=0</t>
  </si>
  <si>
    <t>https://swisscovery.slsp.ch/view/sru/41SLSP_VGE?version=1.2&amp;operation=searchRetrieve&amp;recordSchema=marcxml&amp;query=alma.authority_id=280984235&amp;maximumRecords=0</t>
  </si>
  <si>
    <t>285780875</t>
  </si>
  <si>
    <t>https://swisscovery.slsp.ch/view/sru/41SLSP_NETWORK?version=1.2&amp;operation=searchRetrieve&amp;recordSchema=marcxml&amp;query=alma.authority_id=285780875&amp;maximumRecords=0</t>
  </si>
  <si>
    <t>https://swisscovery.slsp.ch/view/sru/41SLSP_VGE?version=1.2&amp;operation=searchRetrieve&amp;recordSchema=marcxml&amp;query=alma.authority_id=285780875&amp;maximumRecords=0</t>
  </si>
  <si>
    <t>094490279</t>
  </si>
  <si>
    <t>https://swisscovery.slsp.ch/view/sru/41SLSP_NETWORK?version=1.2&amp;operation=searchRetrieve&amp;recordSchema=marcxml&amp;query=alma.authority_id=094490279&amp;maximumRecords=0</t>
  </si>
  <si>
    <t>https://swisscovery.slsp.ch/view/sru/41SLSP_VGE?version=1.2&amp;operation=searchRetrieve&amp;recordSchema=marcxml&amp;query=alma.authority_id=094490279&amp;maximumRecords=0</t>
  </si>
  <si>
    <t>147377870</t>
  </si>
  <si>
    <t>https://swisscovery.slsp.ch/view/sru/41SLSP_NETWORK?version=1.2&amp;operation=searchRetrieve&amp;recordSchema=marcxml&amp;query=alma.authority_id=147377870&amp;maximumRecords=0</t>
  </si>
  <si>
    <t>https://swisscovery.slsp.ch/view/sru/41SLSP_VGE?version=1.2&amp;operation=searchRetrieve&amp;recordSchema=marcxml&amp;query=alma.authority_id=147377870&amp;maximumRecords=0</t>
  </si>
  <si>
    <t>233031537</t>
  </si>
  <si>
    <t>https://swisscovery.slsp.ch/view/sru/41SLSP_NETWORK?version=1.2&amp;operation=searchRetrieve&amp;recordSchema=marcxml&amp;query=alma.authority_id=233031537&amp;maximumRecords=0</t>
  </si>
  <si>
    <t>https://swisscovery.slsp.ch/view/sru/41SLSP_VGE?version=1.2&amp;operation=searchRetrieve&amp;recordSchema=marcxml&amp;query=alma.authority_id=233031537&amp;maximumRecords=0</t>
  </si>
  <si>
    <t>285495577</t>
  </si>
  <si>
    <t>https://swisscovery.slsp.ch/view/sru/41SLSP_NETWORK?version=1.2&amp;operation=searchRetrieve&amp;recordSchema=marcxml&amp;query=alma.authority_id=285495577&amp;maximumRecords=0</t>
  </si>
  <si>
    <t>https://swisscovery.slsp.ch/view/sru/41SLSP_VGE?version=1.2&amp;operation=searchRetrieve&amp;recordSchema=marcxml&amp;query=alma.authority_id=285495577&amp;maximumRecords=0</t>
  </si>
  <si>
    <t>153014202</t>
  </si>
  <si>
    <t>https://swisscovery.slsp.ch/view/sru/41SLSP_NETWORK?version=1.2&amp;operation=searchRetrieve&amp;recordSchema=marcxml&amp;query=alma.authority_id=153014202&amp;maximumRecords=0</t>
  </si>
  <si>
    <t>https://swisscovery.slsp.ch/view/sru/41SLSP_VGE?version=1.2&amp;operation=searchRetrieve&amp;recordSchema=marcxml&amp;query=alma.authority_id=153014202&amp;maximumRecords=0</t>
  </si>
  <si>
    <t>286906848</t>
  </si>
  <si>
    <t>https://swisscovery.slsp.ch/view/sru/41SLSP_NETWORK?version=1.2&amp;operation=searchRetrieve&amp;recordSchema=marcxml&amp;query=alma.authority_id=286906848&amp;maximumRecords=0</t>
  </si>
  <si>
    <t>https://swisscovery.slsp.ch/view/sru/41SLSP_VGE?version=1.2&amp;operation=searchRetrieve&amp;recordSchema=marcxml&amp;query=alma.authority_id=286906848&amp;maximumRecords=0</t>
  </si>
  <si>
    <t>285780085</t>
  </si>
  <si>
    <t>https://swisscovery.slsp.ch/view/sru/41SLSP_NETWORK?version=1.2&amp;operation=searchRetrieve&amp;recordSchema=marcxml&amp;query=alma.authority_id=285780085&amp;maximumRecords=0</t>
  </si>
  <si>
    <t>https://swisscovery.slsp.ch/view/sru/41SLSP_VGE?version=1.2&amp;operation=searchRetrieve&amp;recordSchema=marcxml&amp;query=alma.authority_id=285780085&amp;maximumRecords=0</t>
  </si>
  <si>
    <t>288949145</t>
  </si>
  <si>
    <t>https://swisscovery.slsp.ch/view/sru/41SLSP_NETWORK?version=1.2&amp;operation=searchRetrieve&amp;recordSchema=marcxml&amp;query=alma.authority_id=288949145&amp;maximumRecords=0</t>
  </si>
  <si>
    <t>https://swisscovery.slsp.ch/view/sru/41SLSP_VGE?version=1.2&amp;operation=searchRetrieve&amp;recordSchema=marcxml&amp;query=alma.authority_id=288949145&amp;maximumRecords=0</t>
  </si>
  <si>
    <t>286894165</t>
  </si>
  <si>
    <t>https://swisscovery.slsp.ch/view/sru/41SLSP_NETWORK?version=1.2&amp;operation=searchRetrieve&amp;recordSchema=marcxml&amp;query=alma.authority_id=286894165&amp;maximumRecords=0</t>
  </si>
  <si>
    <t>https://swisscovery.slsp.ch/view/sru/41SLSP_VGE?version=1.2&amp;operation=searchRetrieve&amp;recordSchema=marcxml&amp;query=alma.authority_id=286894165&amp;maximumRecords=0</t>
  </si>
  <si>
    <t>267358202</t>
  </si>
  <si>
    <t>https://swisscovery.slsp.ch/view/sru/41SLSP_NETWORK?version=1.2&amp;operation=searchRetrieve&amp;recordSchema=marcxml&amp;query=alma.authority_id=267358202&amp;maximumRecords=0</t>
  </si>
  <si>
    <t>https://swisscovery.slsp.ch/view/sru/41SLSP_VGE?version=1.2&amp;operation=searchRetrieve&amp;recordSchema=marcxml&amp;query=alma.authority_id=267358202&amp;maximumRecords=0</t>
  </si>
  <si>
    <t>223789542</t>
  </si>
  <si>
    <t>https://swisscovery.slsp.ch/view/sru/41SLSP_NETWORK?version=1.2&amp;operation=searchRetrieve&amp;recordSchema=marcxml&amp;query=alma.authority_id=223789542&amp;maximumRecords=0</t>
  </si>
  <si>
    <t>https://swisscovery.slsp.ch/view/sru/41SLSP_VGE?version=1.2&amp;operation=searchRetrieve&amp;recordSchema=marcxml&amp;query=alma.authority_id=223789542&amp;maximumRecords=0</t>
  </si>
  <si>
    <t>28579549X</t>
  </si>
  <si>
    <t>https://swisscovery.slsp.ch/view/sru/41SLSP_NETWORK?version=1.2&amp;operation=searchRetrieve&amp;recordSchema=marcxml&amp;query=alma.authority_id=28579549X&amp;maximumRecords=0</t>
  </si>
  <si>
    <t>https://swisscovery.slsp.ch/view/sru/41SLSP_VGE?version=1.2&amp;operation=searchRetrieve&amp;recordSchema=marcxml&amp;query=alma.authority_id=28579549X&amp;maximumRecords=0</t>
  </si>
  <si>
    <t>243671644</t>
  </si>
  <si>
    <t>https://swisscovery.slsp.ch/view/sru/41SLSP_NETWORK?version=1.2&amp;operation=searchRetrieve&amp;recordSchema=marcxml&amp;query=alma.authority_id=243671644&amp;maximumRecords=0</t>
  </si>
  <si>
    <t>https://swisscovery.slsp.ch/view/sru/41SLSP_VGE?version=1.2&amp;operation=searchRetrieve&amp;recordSchema=marcxml&amp;query=alma.authority_id=243671644&amp;maximumRecords=0</t>
  </si>
  <si>
    <t>282603867</t>
  </si>
  <si>
    <t>https://swisscovery.slsp.ch/view/sru/41SLSP_NETWORK?version=1.2&amp;operation=searchRetrieve&amp;recordSchema=marcxml&amp;query=alma.authority_id=282603867&amp;maximumRecords=0</t>
  </si>
  <si>
    <t>https://swisscovery.slsp.ch/view/sru/41SLSP_VGE?version=1.2&amp;operation=searchRetrieve&amp;recordSchema=marcxml&amp;query=alma.authority_id=282603867&amp;maximumRecords=0</t>
  </si>
  <si>
    <t>286006618</t>
  </si>
  <si>
    <t>https://swisscovery.slsp.ch/view/sru/41SLSP_NETWORK?version=1.2&amp;operation=searchRetrieve&amp;recordSchema=marcxml&amp;query=alma.authority_id=286006618&amp;maximumRecords=0</t>
  </si>
  <si>
    <t>https://swisscovery.slsp.ch/view/sru/41SLSP_VGE?version=1.2&amp;operation=searchRetrieve&amp;recordSchema=marcxml&amp;query=alma.authority_id=286006618&amp;maximumRecords=0</t>
  </si>
  <si>
    <t>285796658</t>
  </si>
  <si>
    <t>https://swisscovery.slsp.ch/view/sru/41SLSP_NETWORK?version=1.2&amp;operation=searchRetrieve&amp;recordSchema=marcxml&amp;query=alma.authority_id=285796658&amp;maximumRecords=0</t>
  </si>
  <si>
    <t>https://swisscovery.slsp.ch/view/sru/41SLSP_VGE?version=1.2&amp;operation=searchRetrieve&amp;recordSchema=marcxml&amp;query=alma.authority_id=285796658&amp;maximumRecords=0</t>
  </si>
  <si>
    <t>256039232</t>
  </si>
  <si>
    <t>https://swisscovery.slsp.ch/view/sru/41SLSP_NETWORK?version=1.2&amp;operation=searchRetrieve&amp;recordSchema=marcxml&amp;query=alma.authority_id=256039232&amp;maximumRecords=0</t>
  </si>
  <si>
    <t>https://swisscovery.slsp.ch/view/sru/41SLSP_VGE?version=1.2&amp;operation=searchRetrieve&amp;recordSchema=marcxml&amp;query=alma.authority_id=256039232&amp;maximumRecords=0</t>
  </si>
  <si>
    <t>282608281</t>
  </si>
  <si>
    <t>https://swisscovery.slsp.ch/view/sru/41SLSP_NETWORK?version=1.2&amp;operation=searchRetrieve&amp;recordSchema=marcxml&amp;query=alma.authority_id=282608281&amp;maximumRecords=0</t>
  </si>
  <si>
    <t>https://swisscovery.slsp.ch/view/sru/41SLSP_VGE?version=1.2&amp;operation=searchRetrieve&amp;recordSchema=marcxml&amp;query=alma.authority_id=282608281&amp;maximumRecords=0</t>
  </si>
  <si>
    <t>286033666</t>
  </si>
  <si>
    <t>https://swisscovery.slsp.ch/view/sru/41SLSP_NETWORK?version=1.2&amp;operation=searchRetrieve&amp;recordSchema=marcxml&amp;query=alma.authority_id=286033666&amp;maximumRecords=0</t>
  </si>
  <si>
    <t>https://swisscovery.slsp.ch/view/sru/41SLSP_VGE?version=1.2&amp;operation=searchRetrieve&amp;recordSchema=marcxml&amp;query=alma.authority_id=286033666&amp;maximumRecords=0</t>
  </si>
  <si>
    <t>285796887</t>
  </si>
  <si>
    <t>https://swisscovery.slsp.ch/view/sru/41SLSP_NETWORK?version=1.2&amp;operation=searchRetrieve&amp;recordSchema=marcxml&amp;query=alma.authority_id=285796887&amp;maximumRecords=0</t>
  </si>
  <si>
    <t>https://swisscovery.slsp.ch/view/sru/41SLSP_VGE?version=1.2&amp;operation=searchRetrieve&amp;recordSchema=marcxml&amp;query=alma.authority_id=285796887&amp;maximumRecords=0</t>
  </si>
  <si>
    <t>136866662</t>
  </si>
  <si>
    <t>https://swisscovery.slsp.ch/view/sru/41SLSP_NETWORK?version=1.2&amp;operation=searchRetrieve&amp;recordSchema=marcxml&amp;query=alma.authority_id=136866662&amp;maximumRecords=0</t>
  </si>
  <si>
    <t>https://swisscovery.slsp.ch/view/sru/41SLSP_VGE?version=1.2&amp;operation=searchRetrieve&amp;recordSchema=marcxml&amp;query=alma.authority_id=136866662&amp;maximumRecords=0</t>
  </si>
  <si>
    <t>282627731</t>
  </si>
  <si>
    <t>https://swisscovery.slsp.ch/view/sru/41SLSP_NETWORK?version=1.2&amp;operation=searchRetrieve&amp;recordSchema=marcxml&amp;query=alma.authority_id=282627731&amp;maximumRecords=0</t>
  </si>
  <si>
    <t>https://swisscovery.slsp.ch/view/sru/41SLSP_VGE?version=1.2&amp;operation=searchRetrieve&amp;recordSchema=marcxml&amp;query=alma.authority_id=282627731&amp;maximumRecords=0</t>
  </si>
  <si>
    <t>26736735X</t>
  </si>
  <si>
    <t>https://swisscovery.slsp.ch/view/sru/41SLSP_NETWORK?version=1.2&amp;operation=searchRetrieve&amp;recordSchema=marcxml&amp;query=alma.authority_id=26736735X&amp;maximumRecords=0</t>
  </si>
  <si>
    <t>https://swisscovery.slsp.ch/view/sru/41SLSP_VGE?version=1.2&amp;operation=searchRetrieve&amp;recordSchema=marcxml&amp;query=alma.authority_id=26736735X&amp;maximumRecords=0</t>
  </si>
  <si>
    <t>197945058</t>
  </si>
  <si>
    <t>https://swisscovery.slsp.ch/view/sru/41SLSP_NETWORK?version=1.2&amp;operation=searchRetrieve&amp;recordSchema=marcxml&amp;query=alma.authority_id=197945058&amp;maximumRecords=0</t>
  </si>
  <si>
    <t>https://swisscovery.slsp.ch/view/sru/41SLSP_VGE?version=1.2&amp;operation=searchRetrieve&amp;recordSchema=marcxml&amp;query=alma.authority_id=197945058&amp;maximumRecords=0</t>
  </si>
  <si>
    <t>098993577</t>
  </si>
  <si>
    <t>https://swisscovery.slsp.ch/view/sru/41SLSP_NETWORK?version=1.2&amp;operation=searchRetrieve&amp;recordSchema=marcxml&amp;query=alma.authority_id=098993577&amp;maximumRecords=0</t>
  </si>
  <si>
    <t>https://swisscovery.slsp.ch/view/sru/41SLSP_VGE?version=1.2&amp;operation=searchRetrieve&amp;recordSchema=marcxml&amp;query=alma.authority_id=098993577&amp;maximumRecords=0</t>
  </si>
  <si>
    <t>282720839</t>
  </si>
  <si>
    <t>https://swisscovery.slsp.ch/view/sru/41SLSP_NETWORK?version=1.2&amp;operation=searchRetrieve&amp;recordSchema=marcxml&amp;query=alma.authority_id=282720839&amp;maximumRecords=0</t>
  </si>
  <si>
    <t>https://swisscovery.slsp.ch/view/sru/41SLSP_VGE?version=1.2&amp;operation=searchRetrieve&amp;recordSchema=marcxml&amp;query=alma.authority_id=282720839&amp;maximumRecords=0</t>
  </si>
  <si>
    <t>286703858</t>
  </si>
  <si>
    <t>https://swisscovery.slsp.ch/view/sru/41SLSP_NETWORK?version=1.2&amp;operation=searchRetrieve&amp;recordSchema=marcxml&amp;query=alma.authority_id=286703858&amp;maximumRecords=0</t>
  </si>
  <si>
    <t>https://swisscovery.slsp.ch/view/sru/41SLSP_VGE?version=1.2&amp;operation=searchRetrieve&amp;recordSchema=marcxml&amp;query=alma.authority_id=286703858&amp;maximumRecords=0</t>
  </si>
  <si>
    <t>286714973</t>
  </si>
  <si>
    <t>https://swisscovery.slsp.ch/view/sru/41SLSP_NETWORK?version=1.2&amp;operation=searchRetrieve&amp;recordSchema=marcxml&amp;query=alma.authority_id=286714973&amp;maximumRecords=0</t>
  </si>
  <si>
    <t>https://swisscovery.slsp.ch/view/sru/41SLSP_VGE?version=1.2&amp;operation=searchRetrieve&amp;recordSchema=marcxml&amp;query=alma.authority_id=286714973&amp;maximumRecords=0</t>
  </si>
  <si>
    <t>055280412</t>
  </si>
  <si>
    <t>https://swisscovery.slsp.ch/view/sru/41SLSP_NETWORK?version=1.2&amp;operation=searchRetrieve&amp;recordSchema=marcxml&amp;query=alma.authority_id=055280412&amp;maximumRecords=0</t>
  </si>
  <si>
    <t>https://swisscovery.slsp.ch/view/sru/41SLSP_VGE?version=1.2&amp;operation=searchRetrieve&amp;recordSchema=marcxml&amp;query=alma.authority_id=055280412&amp;maximumRecords=0</t>
  </si>
  <si>
    <t>288947096</t>
  </si>
  <si>
    <t>https://swisscovery.slsp.ch/view/sru/41SLSP_NETWORK?version=1.2&amp;operation=searchRetrieve&amp;recordSchema=marcxml&amp;query=alma.authority_id=288947096&amp;maximumRecords=0</t>
  </si>
  <si>
    <t>https://swisscovery.slsp.ch/view/sru/41SLSP_VGE?version=1.2&amp;operation=searchRetrieve&amp;recordSchema=marcxml&amp;query=alma.authority_id=288947096&amp;maximumRecords=0</t>
  </si>
  <si>
    <t>050238361</t>
  </si>
  <si>
    <t>https://swisscovery.slsp.ch/view/sru/41SLSP_NETWORK?version=1.2&amp;operation=searchRetrieve&amp;recordSchema=marcxml&amp;query=alma.authority_id=050238361&amp;maximumRecords=0</t>
  </si>
  <si>
    <t>https://swisscovery.slsp.ch/view/sru/41SLSP_VGE?version=1.2&amp;operation=searchRetrieve&amp;recordSchema=marcxml&amp;query=alma.authority_id=050238361&amp;maximumRecords=0</t>
  </si>
  <si>
    <t>028813456</t>
  </si>
  <si>
    <t>https://swisscovery.slsp.ch/view/sru/41SLSP_NETWORK?version=1.2&amp;operation=searchRetrieve&amp;recordSchema=marcxml&amp;query=alma.authority_id=028813456&amp;maximumRecords=0</t>
  </si>
  <si>
    <t>https://swisscovery.slsp.ch/view/sru/41SLSP_VGE?version=1.2&amp;operation=searchRetrieve&amp;recordSchema=marcxml&amp;query=alma.authority_id=028813456&amp;maximumRecords=0</t>
  </si>
  <si>
    <t>291043739</t>
  </si>
  <si>
    <t>https://swisscovery.slsp.ch/view/sru/41SLSP_NETWORK?version=1.2&amp;operation=searchRetrieve&amp;recordSchema=marcxml&amp;query=alma.authority_id=291043739&amp;maximumRecords=0</t>
  </si>
  <si>
    <t>https://swisscovery.slsp.ch/view/sru/41SLSP_VGE?version=1.2&amp;operation=searchRetrieve&amp;recordSchema=marcxml&amp;query=alma.authority_id=291043739&amp;maximumRecords=0</t>
  </si>
  <si>
    <t>282732632</t>
  </si>
  <si>
    <t>https://swisscovery.slsp.ch/view/sru/41SLSP_NETWORK?version=1.2&amp;operation=searchRetrieve&amp;recordSchema=marcxml&amp;query=alma.authority_id=282732632&amp;maximumRecords=0</t>
  </si>
  <si>
    <t>https://swisscovery.slsp.ch/view/sru/41SLSP_VGE?version=1.2&amp;operation=searchRetrieve&amp;recordSchema=marcxml&amp;query=alma.authority_id=282732632&amp;maximumRecords=0</t>
  </si>
  <si>
    <t>204441560</t>
  </si>
  <si>
    <t>https://swisscovery.slsp.ch/view/sru/41SLSP_NETWORK?version=1.2&amp;operation=searchRetrieve&amp;recordSchema=marcxml&amp;query=alma.authority_id=204441560&amp;maximumRecords=0</t>
  </si>
  <si>
    <t>https://swisscovery.slsp.ch/view/sru/41SLSP_VGE?version=1.2&amp;operation=searchRetrieve&amp;recordSchema=marcxml&amp;query=alma.authority_id=204441560&amp;maximumRecords=0</t>
  </si>
  <si>
    <t>278689965</t>
  </si>
  <si>
    <t>https://swisscovery.slsp.ch/view/sru/41SLSP_NETWORK?version=1.2&amp;operation=searchRetrieve&amp;recordSchema=marcxml&amp;query=alma.authority_id=278689965&amp;maximumRecords=0</t>
  </si>
  <si>
    <t>https://swisscovery.slsp.ch/view/sru/41SLSP_VGE?version=1.2&amp;operation=searchRetrieve&amp;recordSchema=marcxml&amp;query=alma.authority_id=278689965&amp;maximumRecords=0</t>
  </si>
  <si>
    <t>289103630</t>
  </si>
  <si>
    <t>https://swisscovery.slsp.ch/view/sru/41SLSP_NETWORK?version=1.2&amp;operation=searchRetrieve&amp;recordSchema=marcxml&amp;query=alma.authority_id=289103630&amp;maximumRecords=0</t>
  </si>
  <si>
    <t>https://swisscovery.slsp.ch/view/sru/41SLSP_VGE?version=1.2&amp;operation=searchRetrieve&amp;recordSchema=marcxml&amp;query=alma.authority_id=289103630&amp;maximumRecords=0</t>
  </si>
  <si>
    <t>273870904</t>
  </si>
  <si>
    <t>https://swisscovery.slsp.ch/view/sru/41SLSP_NETWORK?version=1.2&amp;operation=searchRetrieve&amp;recordSchema=marcxml&amp;query=alma.authority_id=273870904&amp;maximumRecords=0</t>
  </si>
  <si>
    <t>https://swisscovery.slsp.ch/view/sru/41SLSP_VGE?version=1.2&amp;operation=searchRetrieve&amp;recordSchema=marcxml&amp;query=alma.authority_id=273870904&amp;maximumRecords=0</t>
  </si>
  <si>
    <t>262844796</t>
  </si>
  <si>
    <t>https://swisscovery.slsp.ch/view/sru/41SLSP_NETWORK?version=1.2&amp;operation=searchRetrieve&amp;recordSchema=marcxml&amp;query=alma.authority_id=262844796&amp;maximumRecords=0</t>
  </si>
  <si>
    <t>https://swisscovery.slsp.ch/view/sru/41SLSP_VGE?version=1.2&amp;operation=searchRetrieve&amp;recordSchema=marcxml&amp;query=alma.authority_id=262844796&amp;maximumRecords=0</t>
  </si>
  <si>
    <t>260221678</t>
  </si>
  <si>
    <t>https://swisscovery.slsp.ch/view/sru/41SLSP_NETWORK?version=1.2&amp;operation=searchRetrieve&amp;recordSchema=marcxml&amp;query=alma.authority_id=260221678&amp;maximumRecords=0</t>
  </si>
  <si>
    <t>https://swisscovery.slsp.ch/view/sru/41SLSP_VGE?version=1.2&amp;operation=searchRetrieve&amp;recordSchema=marcxml&amp;query=alma.authority_id=260221678&amp;maximumRecords=0</t>
  </si>
  <si>
    <t>282806202</t>
  </si>
  <si>
    <t>https://swisscovery.slsp.ch/view/sru/41SLSP_NETWORK?version=1.2&amp;operation=searchRetrieve&amp;recordSchema=marcxml&amp;query=alma.authority_id=282806202&amp;maximumRecords=0</t>
  </si>
  <si>
    <t>https://swisscovery.slsp.ch/view/sru/41SLSP_VGE?version=1.2&amp;operation=searchRetrieve&amp;recordSchema=marcxml&amp;query=alma.authority_id=282806202&amp;maximumRecords=0</t>
  </si>
  <si>
    <t>28891886X</t>
  </si>
  <si>
    <t>https://swisscovery.slsp.ch/view/sru/41SLSP_NETWORK?version=1.2&amp;operation=searchRetrieve&amp;recordSchema=marcxml&amp;query=alma.authority_id=28891886X&amp;maximumRecords=0</t>
  </si>
  <si>
    <t>https://swisscovery.slsp.ch/view/sru/41SLSP_VGE?version=1.2&amp;operation=searchRetrieve&amp;recordSchema=marcxml&amp;query=alma.authority_id=28891886X&amp;maximumRecords=0</t>
  </si>
  <si>
    <t>282824839</t>
  </si>
  <si>
    <t>https://swisscovery.slsp.ch/view/sru/41SLSP_NETWORK?version=1.2&amp;operation=searchRetrieve&amp;recordSchema=marcxml&amp;query=alma.authority_id=282824839&amp;maximumRecords=0</t>
  </si>
  <si>
    <t>https://swisscovery.slsp.ch/view/sru/41SLSP_VGE?version=1.2&amp;operation=searchRetrieve&amp;recordSchema=marcxml&amp;query=alma.authority_id=282824839&amp;maximumRecords=0</t>
  </si>
  <si>
    <t>251591247</t>
  </si>
  <si>
    <t>https://swisscovery.slsp.ch/view/sru/41SLSP_NETWORK?version=1.2&amp;operation=searchRetrieve&amp;recordSchema=marcxml&amp;query=alma.authority_id=251591247&amp;maximumRecords=0</t>
  </si>
  <si>
    <t>https://swisscovery.slsp.ch/view/sru/41SLSP_VGE?version=1.2&amp;operation=searchRetrieve&amp;recordSchema=marcxml&amp;query=alma.authority_id=251591247&amp;maximumRecords=0</t>
  </si>
  <si>
    <t>149773684</t>
  </si>
  <si>
    <t>https://swisscovery.slsp.ch/view/sru/41SLSP_NETWORK?version=1.2&amp;operation=searchRetrieve&amp;recordSchema=marcxml&amp;query=alma.authority_id=149773684&amp;maximumRecords=0</t>
  </si>
  <si>
    <t>https://swisscovery.slsp.ch/view/sru/41SLSP_VGE?version=1.2&amp;operation=searchRetrieve&amp;recordSchema=marcxml&amp;query=alma.authority_id=149773684&amp;maximumRecords=0</t>
  </si>
  <si>
    <t>290095220</t>
  </si>
  <si>
    <t>https://swisscovery.slsp.ch/view/sru/41SLSP_NETWORK?version=1.2&amp;operation=searchRetrieve&amp;recordSchema=marcxml&amp;query=alma.authority_id=290095220&amp;maximumRecords=0</t>
  </si>
  <si>
    <t>https://swisscovery.slsp.ch/view/sru/41SLSP_VGE?version=1.2&amp;operation=searchRetrieve&amp;recordSchema=marcxml&amp;query=alma.authority_id=290095220&amp;maximumRecords=0</t>
  </si>
  <si>
    <t>125032579</t>
  </si>
  <si>
    <t>https://swisscovery.slsp.ch/view/sru/41SLSP_NETWORK?version=1.2&amp;operation=searchRetrieve&amp;recordSchema=marcxml&amp;query=alma.authority_id=125032579&amp;maximumRecords=0</t>
  </si>
  <si>
    <t>https://swisscovery.slsp.ch/view/sru/41SLSP_VGE?version=1.2&amp;operation=searchRetrieve&amp;recordSchema=marcxml&amp;query=alma.authority_id=125032579&amp;maximumRecords=0</t>
  </si>
  <si>
    <t>263836738</t>
  </si>
  <si>
    <t>https://swisscovery.slsp.ch/view/sru/41SLSP_NETWORK?version=1.2&amp;operation=searchRetrieve&amp;recordSchema=marcxml&amp;query=alma.authority_id=263836738&amp;maximumRecords=0</t>
  </si>
  <si>
    <t>https://swisscovery.slsp.ch/view/sru/41SLSP_VGE?version=1.2&amp;operation=searchRetrieve&amp;recordSchema=marcxml&amp;query=alma.authority_id=263836738&amp;maximumRecords=0</t>
  </si>
  <si>
    <t>286472430</t>
  </si>
  <si>
    <t>https://swisscovery.slsp.ch/view/sru/41SLSP_NETWORK?version=1.2&amp;operation=searchRetrieve&amp;recordSchema=marcxml&amp;query=alma.authority_id=286472430&amp;maximumRecords=0</t>
  </si>
  <si>
    <t>https://swisscovery.slsp.ch/view/sru/41SLSP_VGE?version=1.2&amp;operation=searchRetrieve&amp;recordSchema=marcxml&amp;query=alma.authority_id=286472430&amp;maximumRecords=0</t>
  </si>
  <si>
    <t>286066939</t>
  </si>
  <si>
    <t>https://swisscovery.slsp.ch/view/sru/41SLSP_NETWORK?version=1.2&amp;operation=searchRetrieve&amp;recordSchema=marcxml&amp;query=alma.authority_id=286066939&amp;maximumRecords=0</t>
  </si>
  <si>
    <t>https://swisscovery.slsp.ch/view/sru/41SLSP_VGE?version=1.2&amp;operation=searchRetrieve&amp;recordSchema=marcxml&amp;query=alma.authority_id=286066939&amp;maximumRecords=0</t>
  </si>
  <si>
    <t>286910985</t>
  </si>
  <si>
    <t>https://swisscovery.slsp.ch/view/sru/41SLSP_NETWORK?version=1.2&amp;operation=searchRetrieve&amp;recordSchema=marcxml&amp;query=alma.authority_id=286910985&amp;maximumRecords=0</t>
  </si>
  <si>
    <t>https://swisscovery.slsp.ch/view/sru/41SLSP_VGE?version=1.2&amp;operation=searchRetrieve&amp;recordSchema=marcxml&amp;query=alma.authority_id=286910985&amp;maximumRecords=0</t>
  </si>
  <si>
    <t>291383319</t>
  </si>
  <si>
    <t>https://swisscovery.slsp.ch/view/sru/41SLSP_NETWORK?version=1.2&amp;operation=searchRetrieve&amp;recordSchema=marcxml&amp;query=alma.authority_id=291383319&amp;maximumRecords=0</t>
  </si>
  <si>
    <t>https://swisscovery.slsp.ch/view/sru/41SLSP_VGE?version=1.2&amp;operation=searchRetrieve&amp;recordSchema=marcxml&amp;query=alma.authority_id=291383319&amp;maximumRecords=0</t>
  </si>
  <si>
    <t>181338467</t>
  </si>
  <si>
    <t>https://swisscovery.slsp.ch/view/sru/41SLSP_NETWORK?version=1.2&amp;operation=searchRetrieve&amp;recordSchema=marcxml&amp;query=alma.authority_id=181338467&amp;maximumRecords=0</t>
  </si>
  <si>
    <t>https://swisscovery.slsp.ch/view/sru/41SLSP_VGE?version=1.2&amp;operation=searchRetrieve&amp;recordSchema=marcxml&amp;query=alma.authority_id=181338467&amp;maximumRecords=0</t>
  </si>
  <si>
    <t>290445655</t>
  </si>
  <si>
    <t>https://swisscovery.slsp.ch/view/sru/41SLSP_NETWORK?version=1.2&amp;operation=searchRetrieve&amp;recordSchema=marcxml&amp;query=alma.authority_id=290445655&amp;maximumRecords=0</t>
  </si>
  <si>
    <t>https://swisscovery.slsp.ch/view/sru/41SLSP_VGE?version=1.2&amp;operation=searchRetrieve&amp;recordSchema=marcxml&amp;query=alma.authority_id=290445655&amp;maximumRecords=0</t>
  </si>
  <si>
    <t>282870067</t>
  </si>
  <si>
    <t>https://swisscovery.slsp.ch/view/sru/41SLSP_NETWORK?version=1.2&amp;operation=searchRetrieve&amp;recordSchema=marcxml&amp;query=alma.authority_id=282870067&amp;maximumRecords=0</t>
  </si>
  <si>
    <t>https://swisscovery.slsp.ch/view/sru/41SLSP_VGE?version=1.2&amp;operation=searchRetrieve&amp;recordSchema=marcxml&amp;query=alma.authority_id=282870067&amp;maximumRecords=0</t>
  </si>
  <si>
    <t>286910713</t>
  </si>
  <si>
    <t>https://swisscovery.slsp.ch/view/sru/41SLSP_NETWORK?version=1.2&amp;operation=searchRetrieve&amp;recordSchema=marcxml&amp;query=alma.authority_id=286910713&amp;maximumRecords=0</t>
  </si>
  <si>
    <t>https://swisscovery.slsp.ch/view/sru/41SLSP_VGE?version=1.2&amp;operation=searchRetrieve&amp;recordSchema=marcxml&amp;query=alma.authority_id=286910713&amp;maximumRecords=0</t>
  </si>
  <si>
    <t>282879226</t>
  </si>
  <si>
    <t>https://swisscovery.slsp.ch/view/sru/41SLSP_NETWORK?version=1.2&amp;operation=searchRetrieve&amp;recordSchema=marcxml&amp;query=alma.authority_id=282879226&amp;maximumRecords=0</t>
  </si>
  <si>
    <t>https://swisscovery.slsp.ch/view/sru/41SLSP_VGE?version=1.2&amp;operation=searchRetrieve&amp;recordSchema=marcxml&amp;query=alma.authority_id=282879226&amp;maximumRecords=0</t>
  </si>
  <si>
    <t>279741790</t>
  </si>
  <si>
    <t>https://swisscovery.slsp.ch/view/sru/41SLSP_NETWORK?version=1.2&amp;operation=searchRetrieve&amp;recordSchema=marcxml&amp;query=alma.authority_id=279741790&amp;maximumRecords=0</t>
  </si>
  <si>
    <t>https://swisscovery.slsp.ch/view/sru/41SLSP_VGE?version=1.2&amp;operation=searchRetrieve&amp;recordSchema=marcxml&amp;query=alma.authority_id=279741790&amp;maximumRecords=0</t>
  </si>
  <si>
    <t>283725451</t>
  </si>
  <si>
    <t>https://swisscovery.slsp.ch/view/sru/41SLSP_NETWORK?version=1.2&amp;operation=searchRetrieve&amp;recordSchema=marcxml&amp;query=alma.authority_id=283725451&amp;maximumRecords=0</t>
  </si>
  <si>
    <t>https://swisscovery.slsp.ch/view/sru/41SLSP_VGE?version=1.2&amp;operation=searchRetrieve&amp;recordSchema=marcxml&amp;query=alma.authority_id=283725451&amp;maximumRecords=0</t>
  </si>
  <si>
    <t>263851931</t>
  </si>
  <si>
    <t>https://swisscovery.slsp.ch/view/sru/41SLSP_NETWORK?version=1.2&amp;operation=searchRetrieve&amp;recordSchema=marcxml&amp;query=alma.authority_id=263851931&amp;maximumRecords=0</t>
  </si>
  <si>
    <t>https://swisscovery.slsp.ch/view/sru/41SLSP_VGE?version=1.2&amp;operation=searchRetrieve&amp;recordSchema=marcxml&amp;query=alma.authority_id=263851931&amp;maximumRecords=0</t>
  </si>
  <si>
    <t>28894304X</t>
  </si>
  <si>
    <t>https://swisscovery.slsp.ch/view/sru/41SLSP_NETWORK?version=1.2&amp;operation=searchRetrieve&amp;recordSchema=marcxml&amp;query=alma.authority_id=28894304X&amp;maximumRecords=0</t>
  </si>
  <si>
    <t>https://swisscovery.slsp.ch/view/sru/41SLSP_VGE?version=1.2&amp;operation=searchRetrieve&amp;recordSchema=marcxml&amp;query=alma.authority_id=28894304X&amp;maximumRecords=0</t>
  </si>
  <si>
    <t>232460647</t>
  </si>
  <si>
    <t>https://swisscovery.slsp.ch/view/sru/41SLSP_NETWORK?version=1.2&amp;operation=searchRetrieve&amp;recordSchema=marcxml&amp;query=alma.authority_id=232460647&amp;maximumRecords=0</t>
  </si>
  <si>
    <t>https://swisscovery.slsp.ch/view/sru/41SLSP_VGE?version=1.2&amp;operation=searchRetrieve&amp;recordSchema=marcxml&amp;query=alma.authority_id=232460647&amp;maximumRecords=0</t>
  </si>
  <si>
    <t>286715090</t>
  </si>
  <si>
    <t>https://swisscovery.slsp.ch/view/sru/41SLSP_NETWORK?version=1.2&amp;operation=searchRetrieve&amp;recordSchema=marcxml&amp;query=alma.authority_id=286715090&amp;maximumRecords=0</t>
  </si>
  <si>
    <t>https://swisscovery.slsp.ch/view/sru/41SLSP_VGE?version=1.2&amp;operation=searchRetrieve&amp;recordSchema=marcxml&amp;query=alma.authority_id=286715090&amp;maximumRecords=0</t>
  </si>
  <si>
    <t>286903679</t>
  </si>
  <si>
    <t>https://swisscovery.slsp.ch/view/sru/41SLSP_NETWORK?version=1.2&amp;operation=searchRetrieve&amp;recordSchema=marcxml&amp;query=alma.authority_id=286903679&amp;maximumRecords=0</t>
  </si>
  <si>
    <t>https://swisscovery.slsp.ch/view/sru/41SLSP_VGE?version=1.2&amp;operation=searchRetrieve&amp;recordSchema=marcxml&amp;query=alma.authority_id=286903679&amp;maximumRecords=0</t>
  </si>
  <si>
    <t>231753659</t>
  </si>
  <si>
    <t>https://swisscovery.slsp.ch/view/sru/41SLSP_NETWORK?version=1.2&amp;operation=searchRetrieve&amp;recordSchema=marcxml&amp;query=alma.authority_id=231753659&amp;maximumRecords=0</t>
  </si>
  <si>
    <t>https://swisscovery.slsp.ch/view/sru/41SLSP_VGE?version=1.2&amp;operation=searchRetrieve&amp;recordSchema=marcxml&amp;query=alma.authority_id=231753659&amp;maximumRecords=0</t>
  </si>
  <si>
    <t>283582685</t>
  </si>
  <si>
    <t>https://swisscovery.slsp.ch/view/sru/41SLSP_NETWORK?version=1.2&amp;operation=searchRetrieve&amp;recordSchema=marcxml&amp;query=alma.authority_id=283582685&amp;maximumRecords=0</t>
  </si>
  <si>
    <t>https://swisscovery.slsp.ch/view/sru/41SLSP_VGE?version=1.2&amp;operation=searchRetrieve&amp;recordSchema=marcxml&amp;query=alma.authority_id=283582685&amp;maximumRecords=0</t>
  </si>
  <si>
    <t>289013402</t>
  </si>
  <si>
    <t>https://swisscovery.slsp.ch/view/sru/41SLSP_NETWORK?version=1.2&amp;operation=searchRetrieve&amp;recordSchema=marcxml&amp;query=alma.authority_id=289013402&amp;maximumRecords=0</t>
  </si>
  <si>
    <t>https://swisscovery.slsp.ch/view/sru/41SLSP_VGE?version=1.2&amp;operation=searchRetrieve&amp;recordSchema=marcxml&amp;query=alma.authority_id=289013402&amp;maximumRecords=0</t>
  </si>
  <si>
    <t>059090340</t>
  </si>
  <si>
    <t>https://swisscovery.slsp.ch/view/sru/41SLSP_NETWORK?version=1.2&amp;operation=searchRetrieve&amp;recordSchema=marcxml&amp;query=alma.authority_id=059090340&amp;maximumRecords=0</t>
  </si>
  <si>
    <t>https://swisscovery.slsp.ch/view/sru/41SLSP_VGE?version=1.2&amp;operation=searchRetrieve&amp;recordSchema=marcxml&amp;query=alma.authority_id=059090340&amp;maximumRecords=0</t>
  </si>
  <si>
    <t>060753374</t>
  </si>
  <si>
    <t>https://swisscovery.slsp.ch/view/sru/41SLSP_NETWORK?version=1.2&amp;operation=searchRetrieve&amp;recordSchema=marcxml&amp;query=alma.authority_id=060753374&amp;maximumRecords=0</t>
  </si>
  <si>
    <t>https://swisscovery.slsp.ch/view/sru/41SLSP_VGE?version=1.2&amp;operation=searchRetrieve&amp;recordSchema=marcxml&amp;query=alma.authority_id=060753374&amp;maximumRecords=0</t>
  </si>
  <si>
    <t>286691701</t>
  </si>
  <si>
    <t>https://swisscovery.slsp.ch/view/sru/41SLSP_NETWORK?version=1.2&amp;operation=searchRetrieve&amp;recordSchema=marcxml&amp;query=alma.authority_id=286691701&amp;maximumRecords=0</t>
  </si>
  <si>
    <t>https://swisscovery.slsp.ch/view/sru/41SLSP_VGE?version=1.2&amp;operation=searchRetrieve&amp;recordSchema=marcxml&amp;query=alma.authority_id=286691701&amp;maximumRecords=0</t>
  </si>
  <si>
    <t>286907011</t>
  </si>
  <si>
    <t>https://swisscovery.slsp.ch/view/sru/41SLSP_NETWORK?version=1.2&amp;operation=searchRetrieve&amp;recordSchema=marcxml&amp;query=alma.authority_id=286907011&amp;maximumRecords=0</t>
  </si>
  <si>
    <t>https://swisscovery.slsp.ch/view/sru/41SLSP_VGE?version=1.2&amp;operation=searchRetrieve&amp;recordSchema=marcxml&amp;query=alma.authority_id=286907011&amp;maximumRecords=0</t>
  </si>
  <si>
    <t>283220635</t>
  </si>
  <si>
    <t>https://swisscovery.slsp.ch/view/sru/41SLSP_NETWORK?version=1.2&amp;operation=searchRetrieve&amp;recordSchema=marcxml&amp;query=alma.authority_id=283220635&amp;maximumRecords=0</t>
  </si>
  <si>
    <t>https://swisscovery.slsp.ch/view/sru/41SLSP_VGE?version=1.2&amp;operation=searchRetrieve&amp;recordSchema=marcxml&amp;query=alma.authority_id=283220635&amp;maximumRecords=0</t>
  </si>
  <si>
    <t>286705206</t>
  </si>
  <si>
    <t>https://swisscovery.slsp.ch/view/sru/41SLSP_NETWORK?version=1.2&amp;operation=searchRetrieve&amp;recordSchema=marcxml&amp;query=alma.authority_id=286705206&amp;maximumRecords=0</t>
  </si>
  <si>
    <t>https://swisscovery.slsp.ch/view/sru/41SLSP_VGE?version=1.2&amp;operation=searchRetrieve&amp;recordSchema=marcxml&amp;query=alma.authority_id=286705206&amp;maximumRecords=0</t>
  </si>
  <si>
    <t>290858887</t>
  </si>
  <si>
    <t>https://swisscovery.slsp.ch/view/sru/41SLSP_NETWORK?version=1.2&amp;operation=searchRetrieve&amp;recordSchema=marcxml&amp;query=alma.authority_id=290858887&amp;maximumRecords=0</t>
  </si>
  <si>
    <t>https://swisscovery.slsp.ch/view/sru/41SLSP_VGE?version=1.2&amp;operation=searchRetrieve&amp;recordSchema=marcxml&amp;query=alma.authority_id=290858887&amp;maximumRecords=0</t>
  </si>
  <si>
    <t>255837127</t>
  </si>
  <si>
    <t>https://swisscovery.slsp.ch/view/sru/41SLSP_NETWORK?version=1.2&amp;operation=searchRetrieve&amp;recordSchema=marcxml&amp;query=alma.authority_id=255837127&amp;maximumRecords=0</t>
  </si>
  <si>
    <t>https://swisscovery.slsp.ch/view/sru/41SLSP_VGE?version=1.2&amp;operation=searchRetrieve&amp;recordSchema=marcxml&amp;query=alma.authority_id=255837127&amp;maximumRecords=0</t>
  </si>
  <si>
    <t>288949951</t>
  </si>
  <si>
    <t>https://swisscovery.slsp.ch/view/sru/41SLSP_NETWORK?version=1.2&amp;operation=searchRetrieve&amp;recordSchema=marcxml&amp;query=alma.authority_id=288949951&amp;maximumRecords=0</t>
  </si>
  <si>
    <t>https://swisscovery.slsp.ch/view/sru/41SLSP_VGE?version=1.2&amp;operation=searchRetrieve&amp;recordSchema=marcxml&amp;query=alma.authority_id=288949951&amp;maximumRecords=0</t>
  </si>
  <si>
    <t>286715252</t>
  </si>
  <si>
    <t>https://swisscovery.slsp.ch/view/sru/41SLSP_NETWORK?version=1.2&amp;operation=searchRetrieve&amp;recordSchema=marcxml&amp;query=alma.authority_id=286715252&amp;maximumRecords=0</t>
  </si>
  <si>
    <t>https://swisscovery.slsp.ch/view/sru/41SLSP_VGE?version=1.2&amp;operation=searchRetrieve&amp;recordSchema=marcxml&amp;query=alma.authority_id=286715252&amp;maximumRecords=0</t>
  </si>
  <si>
    <t>283363835</t>
  </si>
  <si>
    <t>https://swisscovery.slsp.ch/view/sru/41SLSP_NETWORK?version=1.2&amp;operation=searchRetrieve&amp;recordSchema=marcxml&amp;query=alma.authority_id=283363835&amp;maximumRecords=0</t>
  </si>
  <si>
    <t>https://swisscovery.slsp.ch/view/sru/41SLSP_VGE?version=1.2&amp;operation=searchRetrieve&amp;recordSchema=marcxml&amp;query=alma.authority_id=283363835&amp;maximumRecords=0</t>
  </si>
  <si>
    <t>286907747</t>
  </si>
  <si>
    <t>https://swisscovery.slsp.ch/view/sru/41SLSP_NETWORK?version=1.2&amp;operation=searchRetrieve&amp;recordSchema=marcxml&amp;query=alma.authority_id=286907747&amp;maximumRecords=0</t>
  </si>
  <si>
    <t>https://swisscovery.slsp.ch/view/sru/41SLSP_VGE?version=1.2&amp;operation=searchRetrieve&amp;recordSchema=marcxml&amp;query=alma.authority_id=286907747&amp;maximumRecords=0</t>
  </si>
  <si>
    <t>256361525</t>
  </si>
  <si>
    <t>https://swisscovery.slsp.ch/view/sru/41SLSP_NETWORK?version=1.2&amp;operation=searchRetrieve&amp;recordSchema=marcxml&amp;query=alma.authority_id=256361525&amp;maximumRecords=0</t>
  </si>
  <si>
    <t>https://swisscovery.slsp.ch/view/sru/41SLSP_VGE?version=1.2&amp;operation=searchRetrieve&amp;recordSchema=marcxml&amp;query=alma.authority_id=256361525&amp;maximumRecords=0</t>
  </si>
  <si>
    <t>289054184</t>
  </si>
  <si>
    <t>https://swisscovery.slsp.ch/view/sru/41SLSP_NETWORK?version=1.2&amp;operation=searchRetrieve&amp;recordSchema=marcxml&amp;query=alma.authority_id=289054184&amp;maximumRecords=0</t>
  </si>
  <si>
    <t>https://swisscovery.slsp.ch/view/sru/41SLSP_VGE?version=1.2&amp;operation=searchRetrieve&amp;recordSchema=marcxml&amp;query=alma.authority_id=289054184&amp;maximumRecords=0</t>
  </si>
  <si>
    <t>078049687</t>
  </si>
  <si>
    <t>https://swisscovery.slsp.ch/view/sru/41SLSP_NETWORK?version=1.2&amp;operation=searchRetrieve&amp;recordSchema=marcxml&amp;query=alma.authority_id=078049687&amp;maximumRecords=0</t>
  </si>
  <si>
    <t>https://swisscovery.slsp.ch/view/sru/41SLSP_VGE?version=1.2&amp;operation=searchRetrieve&amp;recordSchema=marcxml&amp;query=alma.authority_id=078049687&amp;maximumRecords=0</t>
  </si>
  <si>
    <t>289013380</t>
  </si>
  <si>
    <t>https://swisscovery.slsp.ch/view/sru/41SLSP_NETWORK?version=1.2&amp;operation=searchRetrieve&amp;recordSchema=marcxml&amp;query=alma.authority_id=289013380&amp;maximumRecords=0</t>
  </si>
  <si>
    <t>https://swisscovery.slsp.ch/view/sru/41SLSP_VGE?version=1.2&amp;operation=searchRetrieve&amp;recordSchema=marcxml&amp;query=alma.authority_id=289013380&amp;maximumRecords=0</t>
  </si>
  <si>
    <t>288913469</t>
  </si>
  <si>
    <t>https://swisscovery.slsp.ch/view/sru/41SLSP_NETWORK?version=1.2&amp;operation=searchRetrieve&amp;recordSchema=marcxml&amp;query=alma.authority_id=288913469&amp;maximumRecords=0</t>
  </si>
  <si>
    <t>https://swisscovery.slsp.ch/view/sru/41SLSP_VGE?version=1.2&amp;operation=searchRetrieve&amp;recordSchema=marcxml&amp;query=alma.authority_id=288913469&amp;maximumRecords=0</t>
  </si>
  <si>
    <t>154673846</t>
  </si>
  <si>
    <t>https://swisscovery.slsp.ch/view/sru/41SLSP_NETWORK?version=1.2&amp;operation=searchRetrieve&amp;recordSchema=marcxml&amp;query=alma.authority_id=154673846&amp;maximumRecords=0</t>
  </si>
  <si>
    <t>https://swisscovery.slsp.ch/view/sru/41SLSP_VGE?version=1.2&amp;operation=searchRetrieve&amp;recordSchema=marcxml&amp;query=alma.authority_id=154673846&amp;maximumRecords=0</t>
  </si>
  <si>
    <t>056941935</t>
  </si>
  <si>
    <t>https://swisscovery.slsp.ch/view/sru/41SLSP_NETWORK?version=1.2&amp;operation=searchRetrieve&amp;recordSchema=marcxml&amp;query=alma.authority_id=056941935&amp;maximumRecords=0</t>
  </si>
  <si>
    <t>https://swisscovery.slsp.ch/view/sru/41SLSP_VGE?version=1.2&amp;operation=searchRetrieve&amp;recordSchema=marcxml&amp;query=alma.authority_id=056941935&amp;maximumRecords=0</t>
  </si>
  <si>
    <t>286910578</t>
  </si>
  <si>
    <t>https://swisscovery.slsp.ch/view/sru/41SLSP_NETWORK?version=1.2&amp;operation=searchRetrieve&amp;recordSchema=marcxml&amp;query=alma.authority_id=286910578&amp;maximumRecords=0</t>
  </si>
  <si>
    <t>https://swisscovery.slsp.ch/view/sru/41SLSP_VGE?version=1.2&amp;operation=searchRetrieve&amp;recordSchema=marcxml&amp;query=alma.authority_id=286910578&amp;maximumRecords=0</t>
  </si>
  <si>
    <t>288969472</t>
  </si>
  <si>
    <t>https://swisscovery.slsp.ch/view/sru/41SLSP_NETWORK?version=1.2&amp;operation=searchRetrieve&amp;recordSchema=marcxml&amp;query=alma.authority_id=288969472&amp;maximumRecords=0</t>
  </si>
  <si>
    <t>https://swisscovery.slsp.ch/view/sru/41SLSP_VGE?version=1.2&amp;operation=searchRetrieve&amp;recordSchema=marcxml&amp;query=alma.authority_id=288969472&amp;maximumRecords=0</t>
  </si>
  <si>
    <t>148604501</t>
  </si>
  <si>
    <t>https://swisscovery.slsp.ch/view/sru/41SLSP_NETWORK?version=1.2&amp;operation=searchRetrieve&amp;recordSchema=marcxml&amp;query=alma.authority_id=148604501&amp;maximumRecords=0</t>
  </si>
  <si>
    <t>https://swisscovery.slsp.ch/view/sru/41SLSP_VGE?version=1.2&amp;operation=searchRetrieve&amp;recordSchema=marcxml&amp;query=alma.authority_id=148604501&amp;maximumRecords=0</t>
  </si>
  <si>
    <t>288917820</t>
  </si>
  <si>
    <t>https://swisscovery.slsp.ch/view/sru/41SLSP_NETWORK?version=1.2&amp;operation=searchRetrieve&amp;recordSchema=marcxml&amp;query=alma.authority_id=288917820&amp;maximumRecords=0</t>
  </si>
  <si>
    <t>https://swisscovery.slsp.ch/view/sru/41SLSP_VGE?version=1.2&amp;operation=searchRetrieve&amp;recordSchema=marcxml&amp;query=alma.authority_id=288917820&amp;maximumRecords=0</t>
  </si>
  <si>
    <t>071351744</t>
  </si>
  <si>
    <t>https://swisscovery.slsp.ch/view/sru/41SLSP_NETWORK?version=1.2&amp;operation=searchRetrieve&amp;recordSchema=marcxml&amp;query=alma.authority_id=071351744&amp;maximumRecords=0</t>
  </si>
  <si>
    <t>https://swisscovery.slsp.ch/view/sru/41SLSP_VGE?version=1.2&amp;operation=searchRetrieve&amp;recordSchema=marcxml&amp;query=alma.authority_id=071351744&amp;maximumRecords=0</t>
  </si>
  <si>
    <t>291461573</t>
  </si>
  <si>
    <t>https://swisscovery.slsp.ch/view/sru/41SLSP_NETWORK?version=1.2&amp;operation=searchRetrieve&amp;recordSchema=marcxml&amp;query=alma.authority_id=291461573&amp;maximumRecords=0</t>
  </si>
  <si>
    <t>https://swisscovery.slsp.ch/view/sru/41SLSP_VGE?version=1.2&amp;operation=searchRetrieve&amp;recordSchema=marcxml&amp;query=alma.authority_id=291461573&amp;maximumRecords=0</t>
  </si>
  <si>
    <t>284046353</t>
  </si>
  <si>
    <t>https://swisscovery.slsp.ch/view/sru/41SLSP_NETWORK?version=1.2&amp;operation=searchRetrieve&amp;recordSchema=marcxml&amp;query=alma.authority_id=284046353&amp;maximumRecords=0</t>
  </si>
  <si>
    <t>https://swisscovery.slsp.ch/view/sru/41SLSP_VGE?version=1.2&amp;operation=searchRetrieve&amp;recordSchema=marcxml&amp;query=alma.authority_id=284046353&amp;maximumRecords=0</t>
  </si>
  <si>
    <t>085781983</t>
  </si>
  <si>
    <t>https://swisscovery.slsp.ch/view/sru/41SLSP_NETWORK?version=1.2&amp;operation=searchRetrieve&amp;recordSchema=marcxml&amp;query=alma.authority_id=085781983&amp;maximumRecords=0</t>
  </si>
  <si>
    <t>https://swisscovery.slsp.ch/view/sru/41SLSP_VGE?version=1.2&amp;operation=searchRetrieve&amp;recordSchema=marcxml&amp;query=alma.authority_id=085781983&amp;maximumRecords=0</t>
  </si>
  <si>
    <t>030448115</t>
  </si>
  <si>
    <t>https://swisscovery.slsp.ch/view/sru/41SLSP_NETWORK?version=1.2&amp;operation=searchRetrieve&amp;recordSchema=marcxml&amp;query=alma.authority_id=030448115&amp;maximumRecords=0</t>
  </si>
  <si>
    <t>https://swisscovery.slsp.ch/view/sru/41SLSP_VGE?version=1.2&amp;operation=searchRetrieve&amp;recordSchema=marcxml&amp;query=alma.authority_id=030448115&amp;maximumRecords=0</t>
  </si>
  <si>
    <t>286822881</t>
  </si>
  <si>
    <t>https://swisscovery.slsp.ch/view/sru/41SLSP_NETWORK?version=1.2&amp;operation=searchRetrieve&amp;recordSchema=marcxml&amp;query=alma.authority_id=286822881&amp;maximumRecords=0</t>
  </si>
  <si>
    <t>https://swisscovery.slsp.ch/view/sru/41SLSP_VGE?version=1.2&amp;operation=searchRetrieve&amp;recordSchema=marcxml&amp;query=alma.authority_id=286822881&amp;maximumRecords=0</t>
  </si>
  <si>
    <t>292183240</t>
  </si>
  <si>
    <t>https://swisscovery.slsp.ch/view/sru/41SLSP_NETWORK?version=1.2&amp;operation=searchRetrieve&amp;recordSchema=marcxml&amp;query=alma.authority_id=292183240&amp;maximumRecords=0</t>
  </si>
  <si>
    <t>https://swisscovery.slsp.ch/view/sru/41SLSP_VGE?version=1.2&amp;operation=searchRetrieve&amp;recordSchema=marcxml&amp;query=alma.authority_id=292183240&amp;maximumRecords=0</t>
  </si>
  <si>
    <t>293219915</t>
  </si>
  <si>
    <t>https://swisscovery.slsp.ch/view/sru/41SLSP_NETWORK?version=1.2&amp;operation=searchRetrieve&amp;recordSchema=marcxml&amp;query=alma.authority_id=293219915&amp;maximumRecords=0</t>
  </si>
  <si>
    <t>https://swisscovery.slsp.ch/view/sru/41SLSP_VGE?version=1.2&amp;operation=searchRetrieve&amp;recordSchema=marcxml&amp;query=alma.authority_id=293219915&amp;maximumRecords=0</t>
  </si>
  <si>
    <t>292941323</t>
  </si>
  <si>
    <t>https://swisscovery.slsp.ch/view/sru/41SLSP_NETWORK?version=1.2&amp;operation=searchRetrieve&amp;recordSchema=marcxml&amp;query=alma.authority_id=292941323&amp;maximumRecords=0</t>
  </si>
  <si>
    <t>https://swisscovery.slsp.ch/view/sru/41SLSP_VGE?version=1.2&amp;operation=searchRetrieve&amp;recordSchema=marcxml&amp;query=alma.authority_id=292941323&amp;maximumRecords=0</t>
  </si>
  <si>
    <t>293203024</t>
  </si>
  <si>
    <t>https://swisscovery.slsp.ch/view/sru/41SLSP_NETWORK?version=1.2&amp;operation=searchRetrieve&amp;recordSchema=marcxml&amp;query=alma.authority_id=293203024&amp;maximumRecords=0</t>
  </si>
  <si>
    <t>https://swisscovery.slsp.ch/view/sru/41SLSP_VGE?version=1.2&amp;operation=searchRetrieve&amp;recordSchema=marcxml&amp;query=alma.authority_id=293203024&amp;maximumRecords=0</t>
  </si>
  <si>
    <t>088791149</t>
  </si>
  <si>
    <t>https://swisscovery.slsp.ch/view/sru/41SLSP_NETWORK?version=1.2&amp;operation=searchRetrieve&amp;recordSchema=marcxml&amp;query=alma.authority_id=088791149&amp;maximumRecords=0</t>
  </si>
  <si>
    <t>https://swisscovery.slsp.ch/view/sru/41SLSP_VGE?version=1.2&amp;operation=searchRetrieve&amp;recordSchema=marcxml&amp;query=alma.authority_id=088791149&amp;maximumRecords=0</t>
  </si>
  <si>
    <t>291576273</t>
  </si>
  <si>
    <t>https://swisscovery.slsp.ch/view/sru/41SLSP_NETWORK?version=1.2&amp;operation=searchRetrieve&amp;recordSchema=marcxml&amp;query=alma.authority_id=291576273&amp;maximumRecords=0</t>
  </si>
  <si>
    <t>https://swisscovery.slsp.ch/view/sru/41SLSP_VGE?version=1.2&amp;operation=searchRetrieve&amp;recordSchema=marcxml&amp;query=alma.authority_id=291576273&amp;maximumRecords=0</t>
  </si>
  <si>
    <t>203034155</t>
  </si>
  <si>
    <t>https://swisscovery.slsp.ch/view/sru/41SLSP_NETWORK?version=1.2&amp;operation=searchRetrieve&amp;recordSchema=marcxml&amp;query=alma.authority_id=203034155&amp;maximumRecords=0</t>
  </si>
  <si>
    <t>https://swisscovery.slsp.ch/view/sru/41SLSP_VGE?version=1.2&amp;operation=searchRetrieve&amp;recordSchema=marcxml&amp;query=alma.authority_id=203034155&amp;maximumRecords=0</t>
  </si>
  <si>
    <t>292142919</t>
  </si>
  <si>
    <t>https://swisscovery.slsp.ch/view/sru/41SLSP_NETWORK?version=1.2&amp;operation=searchRetrieve&amp;recordSchema=marcxml&amp;query=alma.authority_id=292142919&amp;maximumRecords=0</t>
  </si>
  <si>
    <t>https://swisscovery.slsp.ch/view/sru/41SLSP_VGE?version=1.2&amp;operation=searchRetrieve&amp;recordSchema=marcxml&amp;query=alma.authority_id=292142919&amp;maximumRecords=0</t>
  </si>
  <si>
    <t>250203529</t>
  </si>
  <si>
    <t>https://swisscovery.slsp.ch/view/sru/41SLSP_NETWORK?version=1.2&amp;operation=searchRetrieve&amp;recordSchema=marcxml&amp;query=alma.authority_id=250203529&amp;maximumRecords=0</t>
  </si>
  <si>
    <t>https://swisscovery.slsp.ch/view/sru/41SLSP_VGE?version=1.2&amp;operation=searchRetrieve&amp;recordSchema=marcxml&amp;query=alma.authority_id=250203529&amp;maximumRecords=0</t>
  </si>
  <si>
    <t>259700843</t>
  </si>
  <si>
    <t>https://swisscovery.slsp.ch/view/sru/41SLSP_NETWORK?version=1.2&amp;operation=searchRetrieve&amp;recordSchema=marcxml&amp;query=alma.authority_id=259700843&amp;maximumRecords=0</t>
  </si>
  <si>
    <t>https://swisscovery.slsp.ch/view/sru/41SLSP_VGE?version=1.2&amp;operation=searchRetrieve&amp;recordSchema=marcxml&amp;query=alma.authority_id=259700843&amp;maximumRecords=0</t>
  </si>
  <si>
    <t>291574726</t>
  </si>
  <si>
    <t>https://swisscovery.slsp.ch/view/sru/41SLSP_NETWORK?version=1.2&amp;operation=searchRetrieve&amp;recordSchema=marcxml&amp;query=alma.authority_id=291574726&amp;maximumRecords=0</t>
  </si>
  <si>
    <t>https://swisscovery.slsp.ch/view/sru/41SLSP_VGE?version=1.2&amp;operation=searchRetrieve&amp;recordSchema=marcxml&amp;query=alma.authority_id=291574726&amp;maximumRecords=0</t>
  </si>
  <si>
    <t>291573517</t>
  </si>
  <si>
    <t>https://swisscovery.slsp.ch/view/sru/41SLSP_NETWORK?version=1.2&amp;operation=searchRetrieve&amp;recordSchema=marcxml&amp;query=alma.authority_id=291573517&amp;maximumRecords=0</t>
  </si>
  <si>
    <t>https://swisscovery.slsp.ch/view/sru/41SLSP_VGE?version=1.2&amp;operation=searchRetrieve&amp;recordSchema=marcxml&amp;query=alma.authority_id=291573517&amp;maximumRecords=0</t>
  </si>
  <si>
    <t>128167955</t>
  </si>
  <si>
    <t>https://swisscovery.slsp.ch/view/sru/41SLSP_NETWORK?version=1.2&amp;operation=searchRetrieve&amp;recordSchema=marcxml&amp;query=alma.authority_id=128167955&amp;maximumRecords=0</t>
  </si>
  <si>
    <t>https://swisscovery.slsp.ch/view/sru/41SLSP_VGE?version=1.2&amp;operation=searchRetrieve&amp;recordSchema=marcxml&amp;query=alma.authority_id=128167955&amp;maximumRecords=0</t>
  </si>
  <si>
    <t>291580785</t>
  </si>
  <si>
    <t>https://swisscovery.slsp.ch/view/sru/41SLSP_NETWORK?version=1.2&amp;operation=searchRetrieve&amp;recordSchema=marcxml&amp;query=alma.authority_id=291580785&amp;maximumRecords=0</t>
  </si>
  <si>
    <t>https://swisscovery.slsp.ch/view/sru/41SLSP_VGE?version=1.2&amp;operation=searchRetrieve&amp;recordSchema=marcxml&amp;query=alma.authority_id=291580785&amp;maximumRecords=0</t>
  </si>
  <si>
    <t>260085154</t>
  </si>
  <si>
    <t>https://swisscovery.slsp.ch/view/sru/41SLSP_NETWORK?version=1.2&amp;operation=searchRetrieve&amp;recordSchema=marcxml&amp;query=alma.authority_id=260085154&amp;maximumRecords=0</t>
  </si>
  <si>
    <t>https://swisscovery.slsp.ch/view/sru/41SLSP_VGE?version=1.2&amp;operation=searchRetrieve&amp;recordSchema=marcxml&amp;query=alma.authority_id=260085154&amp;maximumRecords=0</t>
  </si>
  <si>
    <t>259848255</t>
  </si>
  <si>
    <t>https://swisscovery.slsp.ch/view/sru/41SLSP_NETWORK?version=1.2&amp;operation=searchRetrieve&amp;recordSchema=marcxml&amp;query=alma.authority_id=259848255&amp;maximumRecords=0</t>
  </si>
  <si>
    <t>https://swisscovery.slsp.ch/view/sru/41SLSP_VGE?version=1.2&amp;operation=searchRetrieve&amp;recordSchema=marcxml&amp;query=alma.authority_id=259848255&amp;maximumRecords=0</t>
  </si>
  <si>
    <t>29321266X</t>
  </si>
  <si>
    <t>https://swisscovery.slsp.ch/view/sru/41SLSP_NETWORK?version=1.2&amp;operation=searchRetrieve&amp;recordSchema=marcxml&amp;query=alma.authority_id=29321266X&amp;maximumRecords=0</t>
  </si>
  <si>
    <t>https://swisscovery.slsp.ch/view/sru/41SLSP_VGE?version=1.2&amp;operation=searchRetrieve&amp;recordSchema=marcxml&amp;query=alma.authority_id=29321266X&amp;maximumRecords=0</t>
  </si>
  <si>
    <t>292487940</t>
  </si>
  <si>
    <t>https://swisscovery.slsp.ch/view/sru/41SLSP_NETWORK?version=1.2&amp;operation=searchRetrieve&amp;recordSchema=marcxml&amp;query=alma.authority_id=292487940&amp;maximumRecords=0</t>
  </si>
  <si>
    <t>https://swisscovery.slsp.ch/view/sru/41SLSP_VGE?version=1.2&amp;operation=searchRetrieve&amp;recordSchema=marcxml&amp;query=alma.authority_id=292487940&amp;maximumRecords=0</t>
  </si>
  <si>
    <t>028331737</t>
  </si>
  <si>
    <t>https://swisscovery.slsp.ch/view/sru/41SLSP_NETWORK?version=1.2&amp;operation=searchRetrieve&amp;recordSchema=marcxml&amp;query=alma.authority_id=028331737&amp;maximumRecords=0</t>
  </si>
  <si>
    <t>https://swisscovery.slsp.ch/view/sru/41SLSP_VGE?version=1.2&amp;operation=searchRetrieve&amp;recordSchema=marcxml&amp;query=alma.authority_id=028331737&amp;maximumRecords=0</t>
  </si>
  <si>
    <t>292389426</t>
  </si>
  <si>
    <t>https://swisscovery.slsp.ch/view/sru/41SLSP_NETWORK?version=1.2&amp;operation=searchRetrieve&amp;recordSchema=marcxml&amp;query=alma.authority_id=292389426&amp;maximumRecords=0</t>
  </si>
  <si>
    <t>https://swisscovery.slsp.ch/view/sru/41SLSP_VGE?version=1.2&amp;operation=searchRetrieve&amp;recordSchema=marcxml&amp;query=alma.authority_id=292389426&amp;maximumRecords=0</t>
  </si>
  <si>
    <t>27297644X</t>
  </si>
  <si>
    <t>https://swisscovery.slsp.ch/view/sru/41SLSP_NETWORK?version=1.2&amp;operation=searchRetrieve&amp;recordSchema=marcxml&amp;query=alma.authority_id=27297644X&amp;maximumRecords=0</t>
  </si>
  <si>
    <t>https://swisscovery.slsp.ch/view/sru/41SLSP_VGE?version=1.2&amp;operation=searchRetrieve&amp;recordSchema=marcxml&amp;query=alma.authority_id=27297644X&amp;maximumRecords=0</t>
  </si>
  <si>
    <t>200862626</t>
  </si>
  <si>
    <t>https://swisscovery.slsp.ch/view/sru/41SLSP_NETWORK?version=1.2&amp;operation=searchRetrieve&amp;recordSchema=marcxml&amp;query=alma.authority_id=200862626&amp;maximumRecords=0</t>
  </si>
  <si>
    <t>https://swisscovery.slsp.ch/view/sru/41SLSP_VGE?version=1.2&amp;operation=searchRetrieve&amp;recordSchema=marcxml&amp;query=alma.authority_id=200862626&amp;maximumRecords=0</t>
  </si>
  <si>
    <t>033724601</t>
  </si>
  <si>
    <t>https://swisscovery.slsp.ch/view/sru/41SLSP_NETWORK?version=1.2&amp;operation=searchRetrieve&amp;recordSchema=marcxml&amp;query=alma.authority_id=033724601&amp;maximumRecords=0</t>
  </si>
  <si>
    <t>https://swisscovery.slsp.ch/view/sru/41SLSP_VGE?version=1.2&amp;operation=searchRetrieve&amp;recordSchema=marcxml&amp;query=alma.authority_id=033724601&amp;maximumRecords=0</t>
  </si>
  <si>
    <t>231859589</t>
  </si>
  <si>
    <t>https://swisscovery.slsp.ch/view/sru/41SLSP_NETWORK?version=1.2&amp;operation=searchRetrieve&amp;recordSchema=marcxml&amp;query=alma.authority_id=231859589&amp;maximumRecords=0</t>
  </si>
  <si>
    <t>https://swisscovery.slsp.ch/view/sru/41SLSP_VGE?version=1.2&amp;operation=searchRetrieve&amp;recordSchema=marcxml&amp;query=alma.authority_id=231859589&amp;maximumRecords=0</t>
  </si>
  <si>
    <t>028628071</t>
  </si>
  <si>
    <t>https://swisscovery.slsp.ch/view/sru/41SLSP_NETWORK?version=1.2&amp;operation=searchRetrieve&amp;recordSchema=marcxml&amp;query=alma.authority_id=028628071&amp;maximumRecords=0</t>
  </si>
  <si>
    <t>https://swisscovery.slsp.ch/view/sru/41SLSP_VGE?version=1.2&amp;operation=searchRetrieve&amp;recordSchema=marcxml&amp;query=alma.authority_id=028628071&amp;maximumRecords=0</t>
  </si>
  <si>
    <t>264056396</t>
  </si>
  <si>
    <t>https://swisscovery.slsp.ch/view/sru/41SLSP_NETWORK?version=1.2&amp;operation=searchRetrieve&amp;recordSchema=marcxml&amp;query=alma.authority_id=264056396&amp;maximumRecords=0</t>
  </si>
  <si>
    <t>https://swisscovery.slsp.ch/view/sru/41SLSP_VGE?version=1.2&amp;operation=searchRetrieve&amp;recordSchema=marcxml&amp;query=alma.authority_id=264056396&amp;maximumRecords=0</t>
  </si>
  <si>
    <t>292178042</t>
  </si>
  <si>
    <t>https://swisscovery.slsp.ch/view/sru/41SLSP_NETWORK?version=1.2&amp;operation=searchRetrieve&amp;recordSchema=marcxml&amp;query=alma.authority_id=292178042&amp;maximumRecords=0</t>
  </si>
  <si>
    <t>https://swisscovery.slsp.ch/view/sru/41SLSP_VGE?version=1.2&amp;operation=searchRetrieve&amp;recordSchema=marcxml&amp;query=alma.authority_id=292178042&amp;maximumRecords=0</t>
  </si>
  <si>
    <t>266659373</t>
  </si>
  <si>
    <t>https://swisscovery.slsp.ch/view/sru/41SLSP_NETWORK?version=1.2&amp;operation=searchRetrieve&amp;recordSchema=marcxml&amp;query=alma.authority_id=266659373&amp;maximumRecords=0</t>
  </si>
  <si>
    <t>https://swisscovery.slsp.ch/view/sru/41SLSP_VGE?version=1.2&amp;operation=searchRetrieve&amp;recordSchema=marcxml&amp;query=alma.authority_id=266659373&amp;maximumRecords=0</t>
  </si>
  <si>
    <t>284673072</t>
  </si>
  <si>
    <t>https://swisscovery.slsp.ch/view/sru/41SLSP_NETWORK?version=1.2&amp;operation=searchRetrieve&amp;recordSchema=marcxml&amp;query=alma.authority_id=284673072&amp;maximumRecords=0</t>
  </si>
  <si>
    <t>https://swisscovery.slsp.ch/view/sru/41SLSP_VGE?version=1.2&amp;operation=searchRetrieve&amp;recordSchema=marcxml&amp;query=alma.authority_id=284673072&amp;maximumRecords=0</t>
  </si>
  <si>
    <t>293170495</t>
  </si>
  <si>
    <t>https://swisscovery.slsp.ch/view/sru/41SLSP_NETWORK?version=1.2&amp;operation=searchRetrieve&amp;recordSchema=marcxml&amp;query=alma.authority_id=293170495&amp;maximumRecords=0</t>
  </si>
  <si>
    <t>https://swisscovery.slsp.ch/view/sru/41SLSP_VGE?version=1.2&amp;operation=searchRetrieve&amp;recordSchema=marcxml&amp;query=alma.authority_id=293170495&amp;maximumRecords=0</t>
  </si>
  <si>
    <t>028254767</t>
  </si>
  <si>
    <t>https://swisscovery.slsp.ch/view/sru/41SLSP_NETWORK?version=1.2&amp;operation=searchRetrieve&amp;recordSchema=marcxml&amp;query=alma.authority_id=028254767&amp;maximumRecords=0</t>
  </si>
  <si>
    <t>https://swisscovery.slsp.ch/view/sru/41SLSP_VGE?version=1.2&amp;operation=searchRetrieve&amp;recordSchema=marcxml&amp;query=alma.authority_id=028254767&amp;maximumRecords=0</t>
  </si>
  <si>
    <t>027405397</t>
  </si>
  <si>
    <t>https://swisscovery.slsp.ch/view/sru/41SLSP_NETWORK?version=1.2&amp;operation=searchRetrieve&amp;recordSchema=marcxml&amp;query=alma.authority_id=027405397&amp;maximumRecords=0</t>
  </si>
  <si>
    <t>https://swisscovery.slsp.ch/view/sru/41SLSP_VGE?version=1.2&amp;operation=searchRetrieve&amp;recordSchema=marcxml&amp;query=alma.authority_id=027405397&amp;maximumRecords=0</t>
  </si>
  <si>
    <t>275316343</t>
  </si>
  <si>
    <t>https://swisscovery.slsp.ch/view/sru/41SLSP_NETWORK?version=1.2&amp;operation=searchRetrieve&amp;recordSchema=marcxml&amp;query=alma.authority_id=275316343&amp;maximumRecords=0</t>
  </si>
  <si>
    <t>https://swisscovery.slsp.ch/view/sru/41SLSP_VGE?version=1.2&amp;operation=searchRetrieve&amp;recordSchema=marcxml&amp;query=alma.authority_id=275316343&amp;maximumRecords=0</t>
  </si>
  <si>
    <t>291578039</t>
  </si>
  <si>
    <t>https://swisscovery.slsp.ch/view/sru/41SLSP_NETWORK?version=1.2&amp;operation=searchRetrieve&amp;recordSchema=marcxml&amp;query=alma.authority_id=291578039&amp;maximumRecords=0</t>
  </si>
  <si>
    <t>https://swisscovery.slsp.ch/view/sru/41SLSP_VGE?version=1.2&amp;operation=searchRetrieve&amp;recordSchema=marcxml&amp;query=alma.authority_id=291578039&amp;maximumRecords=0</t>
  </si>
  <si>
    <t>29157372X</t>
  </si>
  <si>
    <t>https://swisscovery.slsp.ch/view/sru/41SLSP_NETWORK?version=1.2&amp;operation=searchRetrieve&amp;recordSchema=marcxml&amp;query=alma.authority_id=29157372X&amp;maximumRecords=0</t>
  </si>
  <si>
    <t>https://swisscovery.slsp.ch/view/sru/41SLSP_VGE?version=1.2&amp;operation=searchRetrieve&amp;recordSchema=marcxml&amp;query=alma.authority_id=29157372X&amp;maximumRecords=0</t>
  </si>
  <si>
    <t>269876820</t>
  </si>
  <si>
    <t>https://swisscovery.slsp.ch/view/sru/41SLSP_NETWORK?version=1.2&amp;operation=searchRetrieve&amp;recordSchema=marcxml&amp;query=alma.authority_id=269876820&amp;maximumRecords=0</t>
  </si>
  <si>
    <t>https://swisscovery.slsp.ch/view/sru/41SLSP_VGE?version=1.2&amp;operation=searchRetrieve&amp;recordSchema=marcxml&amp;query=alma.authority_id=269876820&amp;maximumRecords=0</t>
  </si>
  <si>
    <t>076175928</t>
  </si>
  <si>
    <t>https://swisscovery.slsp.ch/view/sru/41SLSP_NETWORK?version=1.2&amp;operation=searchRetrieve&amp;recordSchema=marcxml&amp;query=alma.authority_id=076175928&amp;maximumRecords=0</t>
  </si>
  <si>
    <t>https://swisscovery.slsp.ch/view/sru/41SLSP_VGE?version=1.2&amp;operation=searchRetrieve&amp;recordSchema=marcxml&amp;query=alma.authority_id=076175928&amp;maximumRecords=0</t>
  </si>
  <si>
    <t>026867656</t>
  </si>
  <si>
    <t>https://swisscovery.slsp.ch/view/sru/41SLSP_NETWORK?version=1.2&amp;operation=searchRetrieve&amp;recordSchema=marcxml&amp;query=alma.authority_id=026867656&amp;maximumRecords=0</t>
  </si>
  <si>
    <t>https://swisscovery.slsp.ch/view/sru/41SLSP_VGE?version=1.2&amp;operation=searchRetrieve&amp;recordSchema=marcxml&amp;query=alma.authority_id=026867656&amp;maximumRecords=0</t>
  </si>
  <si>
    <t>070427062</t>
  </si>
  <si>
    <t>https://swisscovery.slsp.ch/view/sru/41SLSP_NETWORK?version=1.2&amp;operation=searchRetrieve&amp;recordSchema=marcxml&amp;query=alma.authority_id=070427062&amp;maximumRecords=0</t>
  </si>
  <si>
    <t>https://swisscovery.slsp.ch/view/sru/41SLSP_VGE?version=1.2&amp;operation=searchRetrieve&amp;recordSchema=marcxml&amp;query=alma.authority_id=070427062&amp;maximumRecords=0</t>
  </si>
  <si>
    <t>292182546</t>
  </si>
  <si>
    <t>https://swisscovery.slsp.ch/view/sru/41SLSP_NETWORK?version=1.2&amp;operation=searchRetrieve&amp;recordSchema=marcxml&amp;query=alma.authority_id=292182546&amp;maximumRecords=0</t>
  </si>
  <si>
    <t>https://swisscovery.slsp.ch/view/sru/41SLSP_VGE?version=1.2&amp;operation=searchRetrieve&amp;recordSchema=marcxml&amp;query=alma.authority_id=292182546&amp;maximumRecords=0</t>
  </si>
  <si>
    <t>143123750</t>
  </si>
  <si>
    <t>https://swisscovery.slsp.ch/view/sru/41SLSP_NETWORK?version=1.2&amp;operation=searchRetrieve&amp;recordSchema=marcxml&amp;query=alma.authority_id=143123750&amp;maximumRecords=0</t>
  </si>
  <si>
    <t>https://swisscovery.slsp.ch/view/sru/41SLSP_VGE?version=1.2&amp;operation=searchRetrieve&amp;recordSchema=marcxml&amp;query=alma.authority_id=143123750&amp;maximumRecords=0</t>
  </si>
  <si>
    <t>244806462</t>
  </si>
  <si>
    <t>https://swisscovery.slsp.ch/view/sru/41SLSP_NETWORK?version=1.2&amp;operation=searchRetrieve&amp;recordSchema=marcxml&amp;query=alma.authority_id=244806462&amp;maximumRecords=0</t>
  </si>
  <si>
    <t>https://swisscovery.slsp.ch/view/sru/41SLSP_VGE?version=1.2&amp;operation=searchRetrieve&amp;recordSchema=marcxml&amp;query=alma.authority_id=244806462&amp;maximumRecords=0</t>
  </si>
  <si>
    <t>227411188</t>
  </si>
  <si>
    <t>https://swisscovery.slsp.ch/view/sru/41SLSP_NETWORK?version=1.2&amp;operation=searchRetrieve&amp;recordSchema=marcxml&amp;query=alma.authority_id=227411188&amp;maximumRecords=0</t>
  </si>
  <si>
    <t>https://swisscovery.slsp.ch/view/sru/41SLSP_VGE?version=1.2&amp;operation=searchRetrieve&amp;recordSchema=marcxml&amp;query=alma.authority_id=227411188&amp;maximumRecords=0</t>
  </si>
  <si>
    <t>29122279X</t>
  </si>
  <si>
    <t>https://swisscovery.slsp.ch/view/sru/41SLSP_NETWORK?version=1.2&amp;operation=searchRetrieve&amp;recordSchema=marcxml&amp;query=alma.authority_id=29122279X&amp;maximumRecords=0</t>
  </si>
  <si>
    <t>https://swisscovery.slsp.ch/view/sru/41SLSP_VGE?version=1.2&amp;operation=searchRetrieve&amp;recordSchema=marcxml&amp;query=alma.authority_id=29122279X&amp;maximumRecords=0</t>
  </si>
  <si>
    <t>29325494X</t>
  </si>
  <si>
    <t>https://swisscovery.slsp.ch/view/sru/41SLSP_NETWORK?version=1.2&amp;operation=searchRetrieve&amp;recordSchema=marcxml&amp;query=alma.authority_id=29325494X&amp;maximumRecords=0</t>
  </si>
  <si>
    <t>https://swisscovery.slsp.ch/view/sru/41SLSP_VGE?version=1.2&amp;operation=searchRetrieve&amp;recordSchema=marcxml&amp;query=alma.authority_id=29325494X&amp;maximumRecords=0</t>
  </si>
  <si>
    <t>195643860</t>
  </si>
  <si>
    <t>https://swisscovery.slsp.ch/view/sru/41SLSP_NETWORK?version=1.2&amp;operation=searchRetrieve&amp;recordSchema=marcxml&amp;query=alma.authority_id=195643860&amp;maximumRecords=0</t>
  </si>
  <si>
    <t>https://swisscovery.slsp.ch/view/sru/41SLSP_VGE?version=1.2&amp;operation=searchRetrieve&amp;recordSchema=marcxml&amp;query=alma.authority_id=195643860&amp;maximumRecords=0</t>
  </si>
  <si>
    <t>29347222X</t>
  </si>
  <si>
    <t>https://swisscovery.slsp.ch/view/sru/41SLSP_NETWORK?version=1.2&amp;operation=searchRetrieve&amp;recordSchema=marcxml&amp;query=alma.authority_id=29347222X&amp;maximumRecords=0</t>
  </si>
  <si>
    <t>https://swisscovery.slsp.ch/view/sru/41SLSP_VGE?version=1.2&amp;operation=searchRetrieve&amp;recordSchema=marcxml&amp;query=alma.authority_id=29347222X&amp;maximumRecords=0</t>
  </si>
  <si>
    <t>276385675</t>
  </si>
  <si>
    <t>https://swisscovery.slsp.ch/view/sru/41SLSP_NETWORK?version=1.2&amp;operation=searchRetrieve&amp;recordSchema=marcxml&amp;query=alma.authority_id=276385675&amp;maximumRecords=0</t>
  </si>
  <si>
    <t>https://swisscovery.slsp.ch/view/sru/41SLSP_VGE?version=1.2&amp;operation=searchRetrieve&amp;recordSchema=marcxml&amp;query=alma.authority_id=276385675&amp;maximumRecords=0</t>
  </si>
  <si>
    <t>278894518</t>
  </si>
  <si>
    <t>https://swisscovery.slsp.ch/view/sru/41SLSP_NETWORK?version=1.2&amp;operation=searchRetrieve&amp;recordSchema=marcxml&amp;query=alma.authority_id=278894518&amp;maximumRecords=0</t>
  </si>
  <si>
    <t>https://swisscovery.slsp.ch/view/sru/41SLSP_VGE?version=1.2&amp;operation=searchRetrieve&amp;recordSchema=marcxml&amp;query=alma.authority_id=278894518&amp;maximumRecords=0</t>
  </si>
  <si>
    <t>15498728X</t>
  </si>
  <si>
    <t>https://swisscovery.slsp.ch/view/sru/41SLSP_NETWORK?version=1.2&amp;operation=searchRetrieve&amp;recordSchema=marcxml&amp;query=alma.authority_id=15498728X&amp;maximumRecords=0</t>
  </si>
  <si>
    <t>https://swisscovery.slsp.ch/view/sru/41SLSP_VGE?version=1.2&amp;operation=searchRetrieve&amp;recordSchema=marcxml&amp;query=alma.authority_id=15498728X&amp;maximumRecords=0</t>
  </si>
  <si>
    <t>293149097</t>
  </si>
  <si>
    <t>https://swisscovery.slsp.ch/view/sru/41SLSP_NETWORK?version=1.2&amp;operation=searchRetrieve&amp;recordSchema=marcxml&amp;query=alma.authority_id=293149097&amp;maximumRecords=0</t>
  </si>
  <si>
    <t>https://swisscovery.slsp.ch/view/sru/41SLSP_VGE?version=1.2&amp;operation=searchRetrieve&amp;recordSchema=marcxml&amp;query=alma.authority_id=293149097&amp;maximumRecords=0</t>
  </si>
  <si>
    <t>031940145</t>
  </si>
  <si>
    <t>https://swisscovery.slsp.ch/view/sru/41SLSP_NETWORK?version=1.2&amp;operation=searchRetrieve&amp;recordSchema=marcxml&amp;query=alma.authority_id=031940145&amp;maximumRecords=0</t>
  </si>
  <si>
    <t>https://swisscovery.slsp.ch/view/sru/41SLSP_VGE?version=1.2&amp;operation=searchRetrieve&amp;recordSchema=marcxml&amp;query=alma.authority_id=031940145&amp;maximumRecords=0</t>
  </si>
  <si>
    <t>28455877X</t>
  </si>
  <si>
    <t>https://swisscovery.slsp.ch/view/sru/41SLSP_NETWORK?version=1.2&amp;operation=searchRetrieve&amp;recordSchema=marcxml&amp;query=alma.authority_id=28455877X&amp;maximumRecords=0</t>
  </si>
  <si>
    <t>https://swisscovery.slsp.ch/view/sru/41SLSP_VGE?version=1.2&amp;operation=searchRetrieve&amp;recordSchema=marcxml&amp;query=alma.authority_id=28455877X&amp;maximumRecords=0</t>
  </si>
  <si>
    <t>293445117</t>
  </si>
  <si>
    <t>https://swisscovery.slsp.ch/view/sru/41SLSP_NETWORK?version=1.2&amp;operation=searchRetrieve&amp;recordSchema=marcxml&amp;query=alma.authority_id=293445117&amp;maximumRecords=0</t>
  </si>
  <si>
    <t>https://swisscovery.slsp.ch/view/sru/41SLSP_VGE?version=1.2&amp;operation=searchRetrieve&amp;recordSchema=marcxml&amp;query=alma.authority_id=293445117&amp;maximumRecords=0</t>
  </si>
  <si>
    <t>028823338</t>
  </si>
  <si>
    <t>https://swisscovery.slsp.ch/view/sru/41SLSP_NETWORK?version=1.2&amp;operation=searchRetrieve&amp;recordSchema=marcxml&amp;query=alma.authority_id=028823338&amp;maximumRecords=0</t>
  </si>
  <si>
    <t>https://swisscovery.slsp.ch/view/sru/41SLSP_VGE?version=1.2&amp;operation=searchRetrieve&amp;recordSchema=marcxml&amp;query=alma.authority_id=028823338&amp;maximumRecords=0</t>
  </si>
  <si>
    <t>284937991</t>
  </si>
  <si>
    <t>https://swisscovery.slsp.ch/view/sru/41SLSP_NETWORK?version=1.2&amp;operation=searchRetrieve&amp;recordSchema=marcxml&amp;query=alma.authority_id=284937991&amp;maximumRecords=0</t>
  </si>
  <si>
    <t>https://swisscovery.slsp.ch/view/sru/41SLSP_VGE?version=1.2&amp;operation=searchRetrieve&amp;recordSchema=marcxml&amp;query=alma.authority_id=284937991&amp;maximumRecords=0</t>
  </si>
  <si>
    <t>257810110</t>
  </si>
  <si>
    <t>https://swisscovery.slsp.ch/view/sru/41SLSP_NETWORK?version=1.2&amp;operation=searchRetrieve&amp;recordSchema=marcxml&amp;query=alma.authority_id=257810110&amp;maximumRecords=0</t>
  </si>
  <si>
    <t>https://swisscovery.slsp.ch/view/sru/41SLSP_VGE?version=1.2&amp;operation=searchRetrieve&amp;recordSchema=marcxml&amp;query=alma.authority_id=257810110&amp;maximumRecords=0</t>
  </si>
  <si>
    <t>293431353</t>
  </si>
  <si>
    <t>https://swisscovery.slsp.ch/view/sru/41SLSP_NETWORK?version=1.2&amp;operation=searchRetrieve&amp;recordSchema=marcxml&amp;query=alma.authority_id=293431353&amp;maximumRecords=0</t>
  </si>
  <si>
    <t>https://swisscovery.slsp.ch/view/sru/41SLSP_VGE?version=1.2&amp;operation=searchRetrieve&amp;recordSchema=marcxml&amp;query=alma.authority_id=293431353&amp;maximumRecords=0</t>
  </si>
  <si>
    <t>257377417</t>
  </si>
  <si>
    <t>https://swisscovery.slsp.ch/view/sru/41SLSP_NETWORK?version=1.2&amp;operation=searchRetrieve&amp;recordSchema=marcxml&amp;query=alma.authority_id=257377417&amp;maximumRecords=0</t>
  </si>
  <si>
    <t>https://swisscovery.slsp.ch/view/sru/41SLSP_VGE?version=1.2&amp;operation=searchRetrieve&amp;recordSchema=marcxml&amp;query=alma.authority_id=257377417&amp;maximumRecords=0</t>
  </si>
  <si>
    <t>292933436</t>
  </si>
  <si>
    <t>https://swisscovery.slsp.ch/view/sru/41SLSP_NETWORK?version=1.2&amp;operation=searchRetrieve&amp;recordSchema=marcxml&amp;query=alma.authority_id=292933436&amp;maximumRecords=0</t>
  </si>
  <si>
    <t>https://swisscovery.slsp.ch/view/sru/41SLSP_VGE?version=1.2&amp;operation=searchRetrieve&amp;recordSchema=marcxml&amp;query=alma.authority_id=292933436&amp;maximumRecords=0</t>
  </si>
  <si>
    <t>292177283</t>
  </si>
  <si>
    <t>https://swisscovery.slsp.ch/view/sru/41SLSP_NETWORK?version=1.2&amp;operation=searchRetrieve&amp;recordSchema=marcxml&amp;query=alma.authority_id=292177283&amp;maximumRecords=0</t>
  </si>
  <si>
    <t>https://swisscovery.slsp.ch/view/sru/41SLSP_VGE?version=1.2&amp;operation=searchRetrieve&amp;recordSchema=marcxml&amp;query=alma.authority_id=292177283&amp;maximumRecords=0</t>
  </si>
  <si>
    <t>293116245</t>
  </si>
  <si>
    <t>https://swisscovery.slsp.ch/view/sru/41SLSP_NETWORK?version=1.2&amp;operation=searchRetrieve&amp;recordSchema=marcxml&amp;query=alma.authority_id=293116245&amp;maximumRecords=0</t>
  </si>
  <si>
    <t>https://swisscovery.slsp.ch/view/sru/41SLSP_VGE?version=1.2&amp;operation=searchRetrieve&amp;recordSchema=marcxml&amp;query=alma.authority_id=293116245&amp;maximumRecords=0</t>
  </si>
  <si>
    <t>292183070</t>
  </si>
  <si>
    <t>https://swisscovery.slsp.ch/view/sru/41SLSP_NETWORK?version=1.2&amp;operation=searchRetrieve&amp;recordSchema=marcxml&amp;query=alma.authority_id=292183070&amp;maximumRecords=0</t>
  </si>
  <si>
    <t>https://swisscovery.slsp.ch/view/sru/41SLSP_VGE?version=1.2&amp;operation=searchRetrieve&amp;recordSchema=marcxml&amp;query=alma.authority_id=292183070&amp;maximumRecords=0</t>
  </si>
  <si>
    <t>193033836</t>
  </si>
  <si>
    <t>https://swisscovery.slsp.ch/view/sru/41SLSP_NETWORK?version=1.2&amp;operation=searchRetrieve&amp;recordSchema=marcxml&amp;query=alma.authority_id=193033836&amp;maximumRecords=0</t>
  </si>
  <si>
    <t>https://swisscovery.slsp.ch/view/sru/41SLSP_VGE?version=1.2&amp;operation=searchRetrieve&amp;recordSchema=marcxml&amp;query=alma.authority_id=193033836&amp;maximumRecords=0</t>
  </si>
  <si>
    <t>08884644X</t>
  </si>
  <si>
    <t>https://swisscovery.slsp.ch/view/sru/41SLSP_NETWORK?version=1.2&amp;operation=searchRetrieve&amp;recordSchema=marcxml&amp;query=alma.authority_id=08884644X&amp;maximumRecords=0</t>
  </si>
  <si>
    <t>https://swisscovery.slsp.ch/view/sru/41SLSP_VGE?version=1.2&amp;operation=searchRetrieve&amp;recordSchema=marcxml&amp;query=alma.authority_id=08884644X&amp;maximumRecords=0</t>
  </si>
  <si>
    <t>027101878</t>
  </si>
  <si>
    <t>https://swisscovery.slsp.ch/view/sru/41SLSP_NETWORK?version=1.2&amp;operation=searchRetrieve&amp;recordSchema=marcxml&amp;query=alma.authority_id=027101878&amp;maximumRecords=0</t>
  </si>
  <si>
    <t>https://swisscovery.slsp.ch/view/sru/41SLSP_VGE?version=1.2&amp;operation=searchRetrieve&amp;recordSchema=marcxml&amp;query=alma.authority_id=027101878&amp;maximumRecords=0</t>
  </si>
  <si>
    <t>292312504</t>
  </si>
  <si>
    <t>https://swisscovery.slsp.ch/view/sru/41SLSP_NETWORK?version=1.2&amp;operation=searchRetrieve&amp;recordSchema=marcxml&amp;query=alma.authority_id=292312504&amp;maximumRecords=0</t>
  </si>
  <si>
    <t>https://swisscovery.slsp.ch/view/sru/41SLSP_VGE?version=1.2&amp;operation=searchRetrieve&amp;recordSchema=marcxml&amp;query=alma.authority_id=292312504&amp;maximumRecords=0</t>
  </si>
  <si>
    <t>255461860</t>
  </si>
  <si>
    <t>https://swisscovery.slsp.ch/view/sru/41SLSP_NETWORK?version=1.2&amp;operation=searchRetrieve&amp;recordSchema=marcxml&amp;query=alma.authority_id=255461860&amp;maximumRecords=0</t>
  </si>
  <si>
    <t>https://swisscovery.slsp.ch/view/sru/41SLSP_VGE?version=1.2&amp;operation=searchRetrieve&amp;recordSchema=marcxml&amp;query=alma.authority_id=255461860&amp;maximumRecords=0</t>
  </si>
  <si>
    <t>182564665</t>
  </si>
  <si>
    <t>https://swisscovery.slsp.ch/view/sru/41SLSP_NETWORK?version=1.2&amp;operation=searchRetrieve&amp;recordSchema=marcxml&amp;query=alma.authority_id=182564665&amp;maximumRecords=0</t>
  </si>
  <si>
    <t>https://swisscovery.slsp.ch/view/sru/41SLSP_VGE?version=1.2&amp;operation=searchRetrieve&amp;recordSchema=marcxml&amp;query=alma.authority_id=182564665&amp;maximumRecords=0</t>
  </si>
  <si>
    <t>257467246</t>
  </si>
  <si>
    <t>https://swisscovery.slsp.ch/view/sru/41SLSP_NETWORK?version=1.2&amp;operation=searchRetrieve&amp;recordSchema=marcxml&amp;query=alma.authority_id=257467246&amp;maximumRecords=0</t>
  </si>
  <si>
    <t>https://swisscovery.slsp.ch/view/sru/41SLSP_VGE?version=1.2&amp;operation=searchRetrieve&amp;recordSchema=marcxml&amp;query=alma.authority_id=257467246&amp;maximumRecords=0</t>
  </si>
  <si>
    <t>076683516</t>
  </si>
  <si>
    <t>https://swisscovery.slsp.ch/view/sru/41SLSP_NETWORK?version=1.2&amp;operation=searchRetrieve&amp;recordSchema=marcxml&amp;query=alma.authority_id=076683516&amp;maximumRecords=0</t>
  </si>
  <si>
    <t>https://swisscovery.slsp.ch/view/sru/41SLSP_VGE?version=1.2&amp;operation=searchRetrieve&amp;recordSchema=marcxml&amp;query=alma.authority_id=076683516&amp;maximumRecords=0</t>
  </si>
  <si>
    <t>027084973</t>
  </si>
  <si>
    <t>https://swisscovery.slsp.ch/view/sru/41SLSP_NETWORK?version=1.2&amp;operation=searchRetrieve&amp;recordSchema=marcxml&amp;query=alma.authority_id=027084973&amp;maximumRecords=0</t>
  </si>
  <si>
    <t>https://swisscovery.slsp.ch/view/sru/41SLSP_VGE?version=1.2&amp;operation=searchRetrieve&amp;recordSchema=marcxml&amp;query=alma.authority_id=027084973&amp;maximumRecords=0</t>
  </si>
  <si>
    <t>293376263</t>
  </si>
  <si>
    <t>https://swisscovery.slsp.ch/view/sru/41SLSP_NETWORK?version=1.2&amp;operation=searchRetrieve&amp;recordSchema=marcxml&amp;query=alma.authority_id=293376263&amp;maximumRecords=0</t>
  </si>
  <si>
    <t>https://swisscovery.slsp.ch/view/sru/41SLSP_VGE?version=1.2&amp;operation=searchRetrieve&amp;recordSchema=marcxml&amp;query=alma.authority_id=293376263&amp;maximumRecords=0</t>
  </si>
  <si>
    <t>178546704</t>
  </si>
  <si>
    <t>https://swisscovery.slsp.ch/view/sru/41SLSP_NETWORK?version=1.2&amp;operation=searchRetrieve&amp;recordSchema=marcxml&amp;query=alma.authority_id=178546704&amp;maximumRecords=0</t>
  </si>
  <si>
    <t>https://swisscovery.slsp.ch/view/sru/41SLSP_VGE?version=1.2&amp;operation=searchRetrieve&amp;recordSchema=marcxml&amp;query=alma.authority_id=178546704&amp;maximumRecords=0</t>
  </si>
  <si>
    <t>079730426</t>
  </si>
  <si>
    <t>https://swisscovery.slsp.ch/view/sru/41SLSP_NETWORK?version=1.2&amp;operation=searchRetrieve&amp;recordSchema=marcxml&amp;query=alma.authority_id=079730426&amp;maximumRecords=0</t>
  </si>
  <si>
    <t>https://swisscovery.slsp.ch/view/sru/41SLSP_VGE?version=1.2&amp;operation=searchRetrieve&amp;recordSchema=marcxml&amp;query=alma.authority_id=079730426&amp;maximumRecords=0</t>
  </si>
  <si>
    <t>293513961</t>
  </si>
  <si>
    <t>https://swisscovery.slsp.ch/view/sru/41SLSP_NETWORK?version=1.2&amp;operation=searchRetrieve&amp;recordSchema=marcxml&amp;query=alma.authority_id=293513961&amp;maximumRecords=0</t>
  </si>
  <si>
    <t>https://swisscovery.slsp.ch/view/sru/41SLSP_VGE?version=1.2&amp;operation=searchRetrieve&amp;recordSchema=marcxml&amp;query=alma.authority_id=293513961&amp;maximumRecords=0</t>
  </si>
  <si>
    <t>028785800</t>
  </si>
  <si>
    <t>https://swisscovery.slsp.ch/view/sru/41SLSP_NETWORK?version=1.2&amp;operation=searchRetrieve&amp;recordSchema=marcxml&amp;query=alma.authority_id=028785800&amp;maximumRecords=0</t>
  </si>
  <si>
    <t>https://swisscovery.slsp.ch/view/sru/41SLSP_VGE?version=1.2&amp;operation=searchRetrieve&amp;recordSchema=marcxml&amp;query=alma.authority_id=028785800&amp;maximumRecords=0</t>
  </si>
  <si>
    <t>02876238X</t>
  </si>
  <si>
    <t>https://swisscovery.slsp.ch/view/sru/41SLSP_NETWORK?version=1.2&amp;operation=searchRetrieve&amp;recordSchema=marcxml&amp;query=alma.authority_id=02876238X&amp;maximumRecords=0</t>
  </si>
  <si>
    <t>https://swisscovery.slsp.ch/view/sru/41SLSP_VGE?version=1.2&amp;operation=searchRetrieve&amp;recordSchema=marcxml&amp;query=alma.authority_id=02876238X&amp;maximumRecords=0</t>
  </si>
  <si>
    <t>07859474X</t>
  </si>
  <si>
    <t>https://swisscovery.slsp.ch/view/sru/41SLSP_NETWORK?version=1.2&amp;operation=searchRetrieve&amp;recordSchema=marcxml&amp;query=alma.authority_id=07859474X&amp;maximumRecords=0</t>
  </si>
  <si>
    <t>https://swisscovery.slsp.ch/view/sru/41SLSP_VGE?version=1.2&amp;operation=searchRetrieve&amp;recordSchema=marcxml&amp;query=alma.authority_id=07859474X&amp;maximumRecords=0</t>
  </si>
  <si>
    <t>061090700</t>
  </si>
  <si>
    <t>https://swisscovery.slsp.ch/view/sru/41SLSP_NETWORK?version=1.2&amp;operation=searchRetrieve&amp;recordSchema=marcxml&amp;query=alma.authority_id=061090700&amp;maximumRecords=0</t>
  </si>
  <si>
    <t>https://swisscovery.slsp.ch/view/sru/41SLSP_VGE?version=1.2&amp;operation=searchRetrieve&amp;recordSchema=marcxml&amp;query=alma.authority_id=061090700&amp;maximumRecords=0</t>
  </si>
  <si>
    <t>291573819</t>
  </si>
  <si>
    <t>https://swisscovery.slsp.ch/view/sru/41SLSP_NETWORK?version=1.2&amp;operation=searchRetrieve&amp;recordSchema=marcxml&amp;query=alma.authority_id=291573819&amp;maximumRecords=0</t>
  </si>
  <si>
    <t>https://swisscovery.slsp.ch/view/sru/41SLSP_VGE?version=1.2&amp;operation=searchRetrieve&amp;recordSchema=marcxml&amp;query=alma.authority_id=291573819&amp;maximumRecords=0</t>
  </si>
  <si>
    <t>030305004</t>
  </si>
  <si>
    <t>https://swisscovery.slsp.ch/view/sru/41SLSP_NETWORK?version=1.2&amp;operation=searchRetrieve&amp;recordSchema=marcxml&amp;query=alma.authority_id=030305004&amp;maximumRecords=0</t>
  </si>
  <si>
    <t>https://swisscovery.slsp.ch/view/sru/41SLSP_VGE?version=1.2&amp;operation=searchRetrieve&amp;recordSchema=marcxml&amp;query=alma.authority_id=030305004&amp;maximumRecords=0</t>
  </si>
  <si>
    <t>027452425</t>
  </si>
  <si>
    <t>https://swisscovery.slsp.ch/view/sru/41SLSP_NETWORK?version=1.2&amp;operation=searchRetrieve&amp;recordSchema=marcxml&amp;query=alma.authority_id=027452425&amp;maximumRecords=0</t>
  </si>
  <si>
    <t>https://swisscovery.slsp.ch/view/sru/41SLSP_VGE?version=1.2&amp;operation=searchRetrieve&amp;recordSchema=marcxml&amp;query=alma.authority_id=027452425&amp;maximumRecords=0</t>
  </si>
  <si>
    <t>104535318</t>
  </si>
  <si>
    <t>https://swisscovery.slsp.ch/view/sru/41SLSP_NETWORK?version=1.2&amp;operation=searchRetrieve&amp;recordSchema=marcxml&amp;query=alma.authority_id=104535318&amp;maximumRecords=0</t>
  </si>
  <si>
    <t>https://swisscovery.slsp.ch/view/sru/41SLSP_VGE?version=1.2&amp;operation=searchRetrieve&amp;recordSchema=marcxml&amp;query=alma.authority_id=104535318&amp;maximumRecords=0</t>
  </si>
  <si>
    <t>293116717</t>
  </si>
  <si>
    <t>https://swisscovery.slsp.ch/view/sru/41SLSP_NETWORK?version=1.2&amp;operation=searchRetrieve&amp;recordSchema=marcxml&amp;query=alma.authority_id=293116717&amp;maximumRecords=0</t>
  </si>
  <si>
    <t>https://swisscovery.slsp.ch/view/sru/41SLSP_VGE?version=1.2&amp;operation=searchRetrieve&amp;recordSchema=marcxml&amp;query=alma.authority_id=293116717&amp;maximumRecords=0</t>
  </si>
  <si>
    <t>028733371</t>
  </si>
  <si>
    <t>https://swisscovery.slsp.ch/view/sru/41SLSP_NETWORK?version=1.2&amp;operation=searchRetrieve&amp;recordSchema=marcxml&amp;query=alma.authority_id=028733371&amp;maximumRecords=0</t>
  </si>
  <si>
    <t>https://swisscovery.slsp.ch/view/sru/41SLSP_VGE?version=1.2&amp;operation=searchRetrieve&amp;recordSchema=marcxml&amp;query=alma.authority_id=028733371&amp;maximumRecords=0</t>
  </si>
  <si>
    <t>258309164</t>
  </si>
  <si>
    <t>https://swisscovery.slsp.ch/view/sru/41SLSP_NETWORK?version=1.2&amp;operation=searchRetrieve&amp;recordSchema=marcxml&amp;query=alma.authority_id=258309164&amp;maximumRecords=0</t>
  </si>
  <si>
    <t>https://swisscovery.slsp.ch/view/sru/41SLSP_VGE?version=1.2&amp;operation=searchRetrieve&amp;recordSchema=marcxml&amp;query=alma.authority_id=258309164&amp;maximumRecords=0</t>
  </si>
  <si>
    <t>06705157X</t>
  </si>
  <si>
    <t>https://swisscovery.slsp.ch/view/sru/41SLSP_NETWORK?version=1.2&amp;operation=searchRetrieve&amp;recordSchema=marcxml&amp;query=alma.authority_id=06705157X&amp;maximumRecords=0</t>
  </si>
  <si>
    <t>https://swisscovery.slsp.ch/view/sru/41SLSP_VGE?version=1.2&amp;operation=searchRetrieve&amp;recordSchema=marcxml&amp;query=alma.authority_id=06705157X&amp;maximumRecords=0</t>
  </si>
  <si>
    <t>070436827</t>
  </si>
  <si>
    <t>https://swisscovery.slsp.ch/view/sru/41SLSP_NETWORK?version=1.2&amp;operation=searchRetrieve&amp;recordSchema=marcxml&amp;query=alma.authority_id=070436827&amp;maximumRecords=0</t>
  </si>
  <si>
    <t>https://swisscovery.slsp.ch/view/sru/41SLSP_VGE?version=1.2&amp;operation=searchRetrieve&amp;recordSchema=marcxml&amp;query=alma.authority_id=070436827&amp;maximumRecords=0</t>
  </si>
  <si>
    <t>261040790</t>
  </si>
  <si>
    <t>https://swisscovery.slsp.ch/view/sru/41SLSP_NETWORK?version=1.2&amp;operation=searchRetrieve&amp;recordSchema=marcxml&amp;query=alma.authority_id=261040790&amp;maximumRecords=0</t>
  </si>
  <si>
    <t>https://swisscovery.slsp.ch/view/sru/41SLSP_VGE?version=1.2&amp;operation=searchRetrieve&amp;recordSchema=marcxml&amp;query=alma.authority_id=261040790&amp;maximumRecords=0</t>
  </si>
  <si>
    <t>292290535</t>
  </si>
  <si>
    <t>https://swisscovery.slsp.ch/view/sru/41SLSP_NETWORK?version=1.2&amp;operation=searchRetrieve&amp;recordSchema=marcxml&amp;query=alma.authority_id=292290535&amp;maximumRecords=0</t>
  </si>
  <si>
    <t>https://swisscovery.slsp.ch/view/sru/41SLSP_VGE?version=1.2&amp;operation=searchRetrieve&amp;recordSchema=marcxml&amp;query=alma.authority_id=292290535&amp;maximumRecords=0</t>
  </si>
  <si>
    <t>166021822</t>
  </si>
  <si>
    <t>https://swisscovery.slsp.ch/view/sru/41SLSP_NETWORK?version=1.2&amp;operation=searchRetrieve&amp;recordSchema=marcxml&amp;query=alma.authority_id=166021822&amp;maximumRecords=0</t>
  </si>
  <si>
    <t>https://swisscovery.slsp.ch/view/sru/41SLSP_VGE?version=1.2&amp;operation=searchRetrieve&amp;recordSchema=marcxml&amp;query=alma.authority_id=166021822&amp;maximumRecords=0</t>
  </si>
  <si>
    <t>229552358</t>
  </si>
  <si>
    <t>https://swisscovery.slsp.ch/view/sru/41SLSP_NETWORK?version=1.2&amp;operation=searchRetrieve&amp;recordSchema=marcxml&amp;query=alma.authority_id=229552358&amp;maximumRecords=0</t>
  </si>
  <si>
    <t>https://swisscovery.slsp.ch/view/sru/41SLSP_VGE?version=1.2&amp;operation=searchRetrieve&amp;recordSchema=marcxml&amp;query=alma.authority_id=229552358&amp;maximumRecords=0</t>
  </si>
  <si>
    <t>027194329</t>
  </si>
  <si>
    <t>https://swisscovery.slsp.ch/view/sru/41SLSP_NETWORK?version=1.2&amp;operation=searchRetrieve&amp;recordSchema=marcxml&amp;query=alma.authority_id=027194329&amp;maximumRecords=0</t>
  </si>
  <si>
    <t>https://swisscovery.slsp.ch/view/sru/41SLSP_VGE?version=1.2&amp;operation=searchRetrieve&amp;recordSchema=marcxml&amp;query=alma.authority_id=027194329&amp;maximumRecords=0</t>
  </si>
  <si>
    <t>29213830X</t>
  </si>
  <si>
    <t>https://swisscovery.slsp.ch/view/sru/41SLSP_NETWORK?version=1.2&amp;operation=searchRetrieve&amp;recordSchema=marcxml&amp;query=alma.authority_id=29213830X&amp;maximumRecords=0</t>
  </si>
  <si>
    <t>https://swisscovery.slsp.ch/view/sru/41SLSP_VGE?version=1.2&amp;operation=searchRetrieve&amp;recordSchema=marcxml&amp;query=alma.authority_id=29213830X&amp;maximumRecords=0</t>
  </si>
  <si>
    <t>292715722</t>
  </si>
  <si>
    <t>https://swisscovery.slsp.ch/view/sru/41SLSP_NETWORK?version=1.2&amp;operation=searchRetrieve&amp;recordSchema=marcxml&amp;query=alma.authority_id=292715722&amp;maximumRecords=0</t>
  </si>
  <si>
    <t>https://swisscovery.slsp.ch/view/sru/41SLSP_VGE?version=1.2&amp;operation=searchRetrieve&amp;recordSchema=marcxml&amp;query=alma.authority_id=292715722&amp;maximumRecords=0</t>
  </si>
  <si>
    <t>160368065</t>
  </si>
  <si>
    <t>https://swisscovery.slsp.ch/view/sru/41SLSP_NETWORK?version=1.2&amp;operation=searchRetrieve&amp;recordSchema=marcxml&amp;query=alma.authority_id=160368065&amp;maximumRecords=0</t>
  </si>
  <si>
    <t>https://swisscovery.slsp.ch/view/sru/41SLSP_VGE?version=1.2&amp;operation=searchRetrieve&amp;recordSchema=marcxml&amp;query=alma.authority_id=160368065&amp;maximumRecords=0</t>
  </si>
  <si>
    <t>292332599</t>
  </si>
  <si>
    <t>https://swisscovery.slsp.ch/view/sru/41SLSP_NETWORK?version=1.2&amp;operation=searchRetrieve&amp;recordSchema=marcxml&amp;query=alma.authority_id=292332599&amp;maximumRecords=0</t>
  </si>
  <si>
    <t>https://swisscovery.slsp.ch/view/sru/41SLSP_VGE?version=1.2&amp;operation=searchRetrieve&amp;recordSchema=marcxml&amp;query=alma.authority_id=292332599&amp;maximumRecords=0</t>
  </si>
  <si>
    <t>291580556</t>
  </si>
  <si>
    <t>https://swisscovery.slsp.ch/view/sru/41SLSP_NETWORK?version=1.2&amp;operation=searchRetrieve&amp;recordSchema=marcxml&amp;query=alma.authority_id=291580556&amp;maximumRecords=0</t>
  </si>
  <si>
    <t>https://swisscovery.slsp.ch/view/sru/41SLSP_VGE?version=1.2&amp;operation=searchRetrieve&amp;recordSchema=marcxml&amp;query=alma.authority_id=291580556&amp;maximumRecords=0</t>
  </si>
  <si>
    <t>035419970</t>
  </si>
  <si>
    <t>https://swisscovery.slsp.ch/view/sru/41SLSP_NETWORK?version=1.2&amp;operation=searchRetrieve&amp;recordSchema=marcxml&amp;query=alma.authority_id=035419970&amp;maximumRecords=0</t>
  </si>
  <si>
    <t>https://swisscovery.slsp.ch/view/sru/41SLSP_VGE?version=1.2&amp;operation=searchRetrieve&amp;recordSchema=marcxml&amp;query=alma.authority_id=035419970&amp;maximumRecords=0</t>
  </si>
  <si>
    <t>027137422</t>
  </si>
  <si>
    <t>https://swisscovery.slsp.ch/view/sru/41SLSP_NETWORK?version=1.2&amp;operation=searchRetrieve&amp;recordSchema=marcxml&amp;query=alma.authority_id=027137422&amp;maximumRecords=0</t>
  </si>
  <si>
    <t>https://swisscovery.slsp.ch/view/sru/41SLSP_VGE?version=1.2&amp;operation=searchRetrieve&amp;recordSchema=marcxml&amp;query=alma.authority_id=027137422&amp;maximumRecords=0</t>
  </si>
  <si>
    <t>027287491</t>
  </si>
  <si>
    <t>https://swisscovery.slsp.ch/view/sru/41SLSP_NETWORK?version=1.2&amp;operation=searchRetrieve&amp;recordSchema=marcxml&amp;query=alma.authority_id=027287491&amp;maximumRecords=0</t>
  </si>
  <si>
    <t>https://swisscovery.slsp.ch/view/sru/41SLSP_VGE?version=1.2&amp;operation=searchRetrieve&amp;recordSchema=marcxml&amp;query=alma.authority_id=027287491&amp;maximumRecords=0</t>
  </si>
  <si>
    <t>29158604X</t>
  </si>
  <si>
    <t>https://swisscovery.slsp.ch/view/sru/41SLSP_NETWORK?version=1.2&amp;operation=searchRetrieve&amp;recordSchema=marcxml&amp;query=alma.authority_id=29158604X&amp;maximumRecords=0</t>
  </si>
  <si>
    <t>https://swisscovery.slsp.ch/view/sru/41SLSP_VGE?version=1.2&amp;operation=searchRetrieve&amp;recordSchema=marcxml&amp;query=alma.authority_id=29158604X&amp;maximumRecords=0</t>
  </si>
  <si>
    <t>026742861</t>
  </si>
  <si>
    <t>https://swisscovery.slsp.ch/view/sru/41SLSP_NETWORK?version=1.2&amp;operation=searchRetrieve&amp;recordSchema=marcxml&amp;query=alma.authority_id=026742861&amp;maximumRecords=0</t>
  </si>
  <si>
    <t>https://swisscovery.slsp.ch/view/sru/41SLSP_VGE?version=1.2&amp;operation=searchRetrieve&amp;recordSchema=marcxml&amp;query=alma.authority_id=026742861&amp;maximumRecords=0</t>
  </si>
  <si>
    <t>280595719</t>
  </si>
  <si>
    <t>https://swisscovery.slsp.ch/view/sru/41SLSP_NETWORK?version=1.2&amp;operation=searchRetrieve&amp;recordSchema=marcxml&amp;query=alma.authority_id=280595719&amp;maximumRecords=0</t>
  </si>
  <si>
    <t>https://swisscovery.slsp.ch/view/sru/41SLSP_VGE?version=1.2&amp;operation=searchRetrieve&amp;recordSchema=marcxml&amp;query=alma.authority_id=280595719&amp;maximumRecords=0</t>
  </si>
  <si>
    <t>261057421</t>
  </si>
  <si>
    <t>https://swisscovery.slsp.ch/view/sru/41SLSP_NETWORK?version=1.2&amp;operation=searchRetrieve&amp;recordSchema=marcxml&amp;query=alma.authority_id=261057421&amp;maximumRecords=0</t>
  </si>
  <si>
    <t>https://swisscovery.slsp.ch/view/sru/41SLSP_VGE?version=1.2&amp;operation=searchRetrieve&amp;recordSchema=marcxml&amp;query=alma.authority_id=261057421&amp;maximumRecords=0</t>
  </si>
  <si>
    <t>094538905</t>
  </si>
  <si>
    <t>https://swisscovery.slsp.ch/view/sru/41SLSP_NETWORK?version=1.2&amp;operation=searchRetrieve&amp;recordSchema=marcxml&amp;query=alma.authority_id=094538905&amp;maximumRecords=0</t>
  </si>
  <si>
    <t>https://swisscovery.slsp.ch/view/sru/41SLSP_VGE?version=1.2&amp;operation=searchRetrieve&amp;recordSchema=marcxml&amp;query=alma.authority_id=094538905&amp;maximumRecords=0</t>
  </si>
  <si>
    <t>275648001</t>
  </si>
  <si>
    <t>https://swisscovery.slsp.ch/view/sru/41SLSP_NETWORK?version=1.2&amp;operation=searchRetrieve&amp;recordSchema=marcxml&amp;query=alma.authority_id=275648001&amp;maximumRecords=0</t>
  </si>
  <si>
    <t>https://swisscovery.slsp.ch/view/sru/41SLSP_VGE?version=1.2&amp;operation=searchRetrieve&amp;recordSchema=marcxml&amp;query=alma.authority_id=275648001&amp;maximumRecords=0</t>
  </si>
  <si>
    <t>292667949</t>
  </si>
  <si>
    <t>https://swisscovery.slsp.ch/view/sru/41SLSP_NETWORK?version=1.2&amp;operation=searchRetrieve&amp;recordSchema=marcxml&amp;query=alma.authority_id=292667949&amp;maximumRecords=0</t>
  </si>
  <si>
    <t>https://swisscovery.slsp.ch/view/sru/41SLSP_VGE?version=1.2&amp;operation=searchRetrieve&amp;recordSchema=marcxml&amp;query=alma.authority_id=292667949&amp;maximumRecords=0</t>
  </si>
  <si>
    <t>292015550</t>
  </si>
  <si>
    <t>https://swisscovery.slsp.ch/view/sru/41SLSP_NETWORK?version=1.2&amp;operation=searchRetrieve&amp;recordSchema=marcxml&amp;query=alma.authority_id=292015550&amp;maximumRecords=0</t>
  </si>
  <si>
    <t>https://swisscovery.slsp.ch/view/sru/41SLSP_VGE?version=1.2&amp;operation=searchRetrieve&amp;recordSchema=marcxml&amp;query=alma.authority_id=292015550&amp;maximumRecords=0</t>
  </si>
  <si>
    <t>119051141</t>
  </si>
  <si>
    <t>https://swisscovery.slsp.ch/view/sru/41SLSP_NETWORK?version=1.2&amp;operation=searchRetrieve&amp;recordSchema=marcxml&amp;query=alma.authority_id=119051141&amp;maximumRecords=0</t>
  </si>
  <si>
    <t>https://swisscovery.slsp.ch/view/sru/41SLSP_VGE?version=1.2&amp;operation=searchRetrieve&amp;recordSchema=marcxml&amp;query=alma.authority_id=119051141&amp;maximumRecords=0</t>
  </si>
  <si>
    <t>136804640</t>
  </si>
  <si>
    <t>https://swisscovery.slsp.ch/view/sru/41SLSP_NETWORK?version=1.2&amp;operation=searchRetrieve&amp;recordSchema=marcxml&amp;query=alma.authority_id=136804640&amp;maximumRecords=0</t>
  </si>
  <si>
    <t>https://swisscovery.slsp.ch/view/sru/41SLSP_VGE?version=1.2&amp;operation=searchRetrieve&amp;recordSchema=marcxml&amp;query=alma.authority_id=136804640&amp;maximumRecords=0</t>
  </si>
  <si>
    <t>158154118</t>
  </si>
  <si>
    <t>https://swisscovery.slsp.ch/view/sru/41SLSP_NETWORK?version=1.2&amp;operation=searchRetrieve&amp;recordSchema=marcxml&amp;query=alma.authority_id=158154118&amp;maximumRecords=0</t>
  </si>
  <si>
    <t>https://swisscovery.slsp.ch/view/sru/41SLSP_VGE?version=1.2&amp;operation=searchRetrieve&amp;recordSchema=marcxml&amp;query=alma.authority_id=158154118&amp;maximumRecords=0</t>
  </si>
  <si>
    <t>030190002</t>
  </si>
  <si>
    <t>https://swisscovery.slsp.ch/view/sru/41SLSP_NETWORK?version=1.2&amp;operation=searchRetrieve&amp;recordSchema=marcxml&amp;query=alma.authority_id=030190002&amp;maximumRecords=0</t>
  </si>
  <si>
    <t>https://swisscovery.slsp.ch/view/sru/41SLSP_VGE?version=1.2&amp;operation=searchRetrieve&amp;recordSchema=marcxml&amp;query=alma.authority_id=030190002&amp;maximumRecords=0</t>
  </si>
  <si>
    <t>292139330</t>
  </si>
  <si>
    <t>https://swisscovery.slsp.ch/view/sru/41SLSP_NETWORK?version=1.2&amp;operation=searchRetrieve&amp;recordSchema=marcxml&amp;query=alma.authority_id=292139330&amp;maximumRecords=0</t>
  </si>
  <si>
    <t>https://swisscovery.slsp.ch/view/sru/41SLSP_VGE?version=1.2&amp;operation=searchRetrieve&amp;recordSchema=marcxml&amp;query=alma.authority_id=292139330&amp;maximumRecords=0</t>
  </si>
  <si>
    <t>255543182</t>
  </si>
  <si>
    <t>https://swisscovery.slsp.ch/view/sru/41SLSP_NETWORK?version=1.2&amp;operation=searchRetrieve&amp;recordSchema=marcxml&amp;query=alma.authority_id=255543182&amp;maximumRecords=0</t>
  </si>
  <si>
    <t>https://swisscovery.slsp.ch/view/sru/41SLSP_VGE?version=1.2&amp;operation=searchRetrieve&amp;recordSchema=marcxml&amp;query=alma.authority_id=255543182&amp;maximumRecords=0</t>
  </si>
  <si>
    <t>115849939</t>
  </si>
  <si>
    <t>https://swisscovery.slsp.ch/view/sru/41SLSP_NETWORK?version=1.2&amp;operation=searchRetrieve&amp;recordSchema=marcxml&amp;query=alma.authority_id=115849939&amp;maximumRecords=0</t>
  </si>
  <si>
    <t>https://swisscovery.slsp.ch/view/sru/41SLSP_VGE?version=1.2&amp;operation=searchRetrieve&amp;recordSchema=marcxml&amp;query=alma.authority_id=115849939&amp;maximumRecords=0</t>
  </si>
  <si>
    <t>291629717</t>
  </si>
  <si>
    <t>https://swisscovery.slsp.ch/view/sru/41SLSP_NETWORK?version=1.2&amp;operation=searchRetrieve&amp;recordSchema=marcxml&amp;query=alma.authority_id=291629717&amp;maximumRecords=0</t>
  </si>
  <si>
    <t>https://swisscovery.slsp.ch/view/sru/41SLSP_VGE?version=1.2&amp;operation=searchRetrieve&amp;recordSchema=marcxml&amp;query=alma.authority_id=291629717&amp;maximumRecords=0</t>
  </si>
  <si>
    <t>291586279</t>
  </si>
  <si>
    <t>https://swisscovery.slsp.ch/view/sru/41SLSP_NETWORK?version=1.2&amp;operation=searchRetrieve&amp;recordSchema=marcxml&amp;query=alma.authority_id=291586279&amp;maximumRecords=0</t>
  </si>
  <si>
    <t>https://swisscovery.slsp.ch/view/sru/41SLSP_VGE?version=1.2&amp;operation=searchRetrieve&amp;recordSchema=marcxml&amp;query=alma.authority_id=291586279&amp;maximumRecords=0</t>
  </si>
  <si>
    <t>087658747</t>
  </si>
  <si>
    <t>https://swisscovery.slsp.ch/view/sru/41SLSP_NETWORK?version=1.2&amp;operation=searchRetrieve&amp;recordSchema=marcxml&amp;query=alma.authority_id=087658747&amp;maximumRecords=0</t>
  </si>
  <si>
    <t>https://swisscovery.slsp.ch/view/sru/41SLSP_VGE?version=1.2&amp;operation=searchRetrieve&amp;recordSchema=marcxml&amp;query=alma.authority_id=087658747&amp;maximumRecords=0</t>
  </si>
  <si>
    <t>035303360</t>
  </si>
  <si>
    <t>https://swisscovery.slsp.ch/view/sru/41SLSP_NETWORK?version=1.2&amp;operation=searchRetrieve&amp;recordSchema=marcxml&amp;query=alma.authority_id=035303360&amp;maximumRecords=0</t>
  </si>
  <si>
    <t>https://swisscovery.slsp.ch/view/sru/41SLSP_VGE?version=1.2&amp;operation=searchRetrieve&amp;recordSchema=marcxml&amp;query=alma.authority_id=035303360&amp;maximumRecords=0</t>
  </si>
  <si>
    <t>291658040</t>
  </si>
  <si>
    <t>https://swisscovery.slsp.ch/view/sru/41SLSP_NETWORK?version=1.2&amp;operation=searchRetrieve&amp;recordSchema=marcxml&amp;query=alma.authority_id=291658040&amp;maximumRecords=0</t>
  </si>
  <si>
    <t>https://swisscovery.slsp.ch/view/sru/41SLSP_VGE?version=1.2&amp;operation=searchRetrieve&amp;recordSchema=marcxml&amp;query=alma.authority_id=291658040&amp;maximumRecords=0</t>
  </si>
  <si>
    <t>29342912X</t>
  </si>
  <si>
    <t>https://swisscovery.slsp.ch/view/sru/41SLSP_NETWORK?version=1.2&amp;operation=searchRetrieve&amp;recordSchema=marcxml&amp;query=alma.authority_id=29342912X&amp;maximumRecords=0</t>
  </si>
  <si>
    <t>https://swisscovery.slsp.ch/view/sru/41SLSP_VGE?version=1.2&amp;operation=searchRetrieve&amp;recordSchema=marcxml&amp;query=alma.authority_id=29342912X&amp;maximumRecords=0</t>
  </si>
  <si>
    <t>291766382</t>
  </si>
  <si>
    <t>https://swisscovery.slsp.ch/view/sru/41SLSP_NETWORK?version=1.2&amp;operation=searchRetrieve&amp;recordSchema=marcxml&amp;query=alma.authority_id=291766382&amp;maximumRecords=0</t>
  </si>
  <si>
    <t>https://swisscovery.slsp.ch/view/sru/41SLSP_VGE?version=1.2&amp;operation=searchRetrieve&amp;recordSchema=marcxml&amp;query=alma.authority_id=291766382&amp;maximumRecords=0</t>
  </si>
  <si>
    <t>292144423</t>
  </si>
  <si>
    <t>https://swisscovery.slsp.ch/view/sru/41SLSP_NETWORK?version=1.2&amp;operation=searchRetrieve&amp;recordSchema=marcxml&amp;query=alma.authority_id=292144423&amp;maximumRecords=0</t>
  </si>
  <si>
    <t>https://swisscovery.slsp.ch/view/sru/41SLSP_VGE?version=1.2&amp;operation=searchRetrieve&amp;recordSchema=marcxml&amp;query=alma.authority_id=292144423&amp;maximumRecords=0</t>
  </si>
  <si>
    <t>291766722</t>
  </si>
  <si>
    <t>https://swisscovery.slsp.ch/view/sru/41SLSP_NETWORK?version=1.2&amp;operation=searchRetrieve&amp;recordSchema=marcxml&amp;query=alma.authority_id=291766722&amp;maximumRecords=0</t>
  </si>
  <si>
    <t>https://swisscovery.slsp.ch/view/sru/41SLSP_VGE?version=1.2&amp;operation=searchRetrieve&amp;recordSchema=marcxml&amp;query=alma.authority_id=291766722&amp;maximumRecords=0</t>
  </si>
  <si>
    <t>251622819</t>
  </si>
  <si>
    <t>https://swisscovery.slsp.ch/view/sru/41SLSP_NETWORK?version=1.2&amp;operation=searchRetrieve&amp;recordSchema=marcxml&amp;query=alma.authority_id=251622819&amp;maximumRecords=0</t>
  </si>
  <si>
    <t>https://swisscovery.slsp.ch/view/sru/41SLSP_VGE?version=1.2&amp;operation=searchRetrieve&amp;recordSchema=marcxml&amp;query=alma.authority_id=251622819&amp;maximumRecords=0</t>
  </si>
  <si>
    <t>26372493X</t>
  </si>
  <si>
    <t>https://swisscovery.slsp.ch/view/sru/41SLSP_NETWORK?version=1.2&amp;operation=searchRetrieve&amp;recordSchema=marcxml&amp;query=alma.authority_id=26372493X&amp;maximumRecords=0</t>
  </si>
  <si>
    <t>https://swisscovery.slsp.ch/view/sru/41SLSP_VGE?version=1.2&amp;operation=searchRetrieve&amp;recordSchema=marcxml&amp;query=alma.authority_id=26372493X&amp;maximumRecords=0</t>
  </si>
  <si>
    <t>144226472</t>
  </si>
  <si>
    <t>https://swisscovery.slsp.ch/view/sru/41SLSP_NETWORK?version=1.2&amp;operation=searchRetrieve&amp;recordSchema=marcxml&amp;query=alma.authority_id=144226472&amp;maximumRecords=0</t>
  </si>
  <si>
    <t>https://swisscovery.slsp.ch/view/sru/41SLSP_VGE?version=1.2&amp;operation=searchRetrieve&amp;recordSchema=marcxml&amp;query=alma.authority_id=144226472&amp;maximumRecords=0</t>
  </si>
  <si>
    <t>178531758</t>
  </si>
  <si>
    <t>https://swisscovery.slsp.ch/view/sru/41SLSP_NETWORK?version=1.2&amp;operation=searchRetrieve&amp;recordSchema=marcxml&amp;query=alma.authority_id=178531758&amp;maximumRecords=0</t>
  </si>
  <si>
    <t>https://swisscovery.slsp.ch/view/sru/41SLSP_VGE?version=1.2&amp;operation=searchRetrieve&amp;recordSchema=marcxml&amp;query=alma.authority_id=178531758&amp;maximumRecords=0</t>
  </si>
  <si>
    <t>292158432</t>
  </si>
  <si>
    <t>https://swisscovery.slsp.ch/view/sru/41SLSP_NETWORK?version=1.2&amp;operation=searchRetrieve&amp;recordSchema=marcxml&amp;query=alma.authority_id=292158432&amp;maximumRecords=0</t>
  </si>
  <si>
    <t>https://swisscovery.slsp.ch/view/sru/41SLSP_VGE?version=1.2&amp;operation=searchRetrieve&amp;recordSchema=marcxml&amp;query=alma.authority_id=292158432&amp;maximumRecords=0</t>
  </si>
  <si>
    <t>167633694</t>
  </si>
  <si>
    <t>https://swisscovery.slsp.ch/view/sru/41SLSP_NETWORK?version=1.2&amp;operation=searchRetrieve&amp;recordSchema=marcxml&amp;query=alma.authority_id=167633694&amp;maximumRecords=0</t>
  </si>
  <si>
    <t>https://swisscovery.slsp.ch/view/sru/41SLSP_VGE?version=1.2&amp;operation=searchRetrieve&amp;recordSchema=marcxml&amp;query=alma.authority_id=167633694&amp;maximumRecords=0</t>
  </si>
  <si>
    <t>030321069</t>
  </si>
  <si>
    <t>https://swisscovery.slsp.ch/view/sru/41SLSP_NETWORK?version=1.2&amp;operation=searchRetrieve&amp;recordSchema=marcxml&amp;query=alma.authority_id=030321069&amp;maximumRecords=0</t>
  </si>
  <si>
    <t>https://swisscovery.slsp.ch/view/sru/41SLSP_VGE?version=1.2&amp;operation=searchRetrieve&amp;recordSchema=marcxml&amp;query=alma.authority_id=030321069&amp;maximumRecords=0</t>
  </si>
  <si>
    <t>058564837</t>
  </si>
  <si>
    <t>https://swisscovery.slsp.ch/view/sru/41SLSP_NETWORK?version=1.2&amp;operation=searchRetrieve&amp;recordSchema=marcxml&amp;query=alma.authority_id=058564837&amp;maximumRecords=0</t>
  </si>
  <si>
    <t>https://swisscovery.slsp.ch/view/sru/41SLSP_VGE?version=1.2&amp;operation=searchRetrieve&amp;recordSchema=marcxml&amp;query=alma.authority_id=058564837&amp;maximumRecords=0</t>
  </si>
  <si>
    <t>264691377</t>
  </si>
  <si>
    <t>https://swisscovery.slsp.ch/view/sru/41SLSP_NETWORK?version=1.2&amp;operation=searchRetrieve&amp;recordSchema=marcxml&amp;query=alma.authority_id=264691377&amp;maximumRecords=0</t>
  </si>
  <si>
    <t>https://swisscovery.slsp.ch/view/sru/41SLSP_VGE?version=1.2&amp;operation=searchRetrieve&amp;recordSchema=marcxml&amp;query=alma.authority_id=264691377&amp;maximumRecords=0</t>
  </si>
  <si>
    <t>293206112</t>
  </si>
  <si>
    <t>https://swisscovery.slsp.ch/view/sru/41SLSP_NETWORK?version=1.2&amp;operation=searchRetrieve&amp;recordSchema=marcxml&amp;query=alma.authority_id=293206112&amp;maximumRecords=0</t>
  </si>
  <si>
    <t>https://swisscovery.slsp.ch/view/sru/41SLSP_VGE?version=1.2&amp;operation=searchRetrieve&amp;recordSchema=marcxml&amp;query=alma.authority_id=293206112&amp;maximumRecords=0</t>
  </si>
  <si>
    <t>291581080</t>
  </si>
  <si>
    <t>https://swisscovery.slsp.ch/view/sru/41SLSP_NETWORK?version=1.2&amp;operation=searchRetrieve&amp;recordSchema=marcxml&amp;query=alma.authority_id=291581080&amp;maximumRecords=0</t>
  </si>
  <si>
    <t>https://swisscovery.slsp.ch/view/sru/41SLSP_VGE?version=1.2&amp;operation=searchRetrieve&amp;recordSchema=marcxml&amp;query=alma.authority_id=291581080&amp;maximumRecords=0</t>
  </si>
  <si>
    <t>292143923</t>
  </si>
  <si>
    <t>https://swisscovery.slsp.ch/view/sru/41SLSP_NETWORK?version=1.2&amp;operation=searchRetrieve&amp;recordSchema=marcxml&amp;query=alma.authority_id=292143923&amp;maximumRecords=0</t>
  </si>
  <si>
    <t>https://swisscovery.slsp.ch/view/sru/41SLSP_VGE?version=1.2&amp;operation=searchRetrieve&amp;recordSchema=marcxml&amp;query=alma.authority_id=292143923&amp;maximumRecords=0</t>
  </si>
  <si>
    <t>066891213</t>
  </si>
  <si>
    <t>https://swisscovery.slsp.ch/view/sru/41SLSP_NETWORK?version=1.2&amp;operation=searchRetrieve&amp;recordSchema=marcxml&amp;query=alma.authority_id=066891213&amp;maximumRecords=0</t>
  </si>
  <si>
    <t>https://swisscovery.slsp.ch/view/sru/41SLSP_VGE?version=1.2&amp;operation=searchRetrieve&amp;recordSchema=marcxml&amp;query=alma.authority_id=066891213&amp;maximumRecords=0</t>
  </si>
  <si>
    <t>292143990</t>
  </si>
  <si>
    <t>https://swisscovery.slsp.ch/view/sru/41SLSP_NETWORK?version=1.2&amp;operation=searchRetrieve&amp;recordSchema=marcxml&amp;query=alma.authority_id=292143990&amp;maximumRecords=0</t>
  </si>
  <si>
    <t>https://swisscovery.slsp.ch/view/sru/41SLSP_VGE?version=1.2&amp;operation=searchRetrieve&amp;recordSchema=marcxml&amp;query=alma.authority_id=292143990&amp;maximumRecords=0</t>
  </si>
  <si>
    <t>293495580</t>
  </si>
  <si>
    <t>https://swisscovery.slsp.ch/view/sru/41SLSP_NETWORK?version=1.2&amp;operation=searchRetrieve&amp;recordSchema=marcxml&amp;query=alma.authority_id=293495580&amp;maximumRecords=0</t>
  </si>
  <si>
    <t>https://swisscovery.slsp.ch/view/sru/41SLSP_VGE?version=1.2&amp;operation=searchRetrieve&amp;recordSchema=marcxml&amp;query=alma.authority_id=293495580&amp;maximumRecords=0</t>
  </si>
  <si>
    <t>293402205</t>
  </si>
  <si>
    <t>https://swisscovery.slsp.ch/view/sru/41SLSP_NETWORK?version=1.2&amp;operation=searchRetrieve&amp;recordSchema=marcxml&amp;query=alma.authority_id=293402205&amp;maximumRecords=0</t>
  </si>
  <si>
    <t>https://swisscovery.slsp.ch/view/sru/41SLSP_VGE?version=1.2&amp;operation=searchRetrieve&amp;recordSchema=marcxml&amp;query=alma.authority_id=293402205&amp;maximumRecords=0</t>
  </si>
  <si>
    <t>286648016</t>
  </si>
  <si>
    <t>https://swisscovery.slsp.ch/view/sru/41SLSP_NETWORK?version=1.2&amp;operation=searchRetrieve&amp;recordSchema=marcxml&amp;query=alma.authority_id=286648016&amp;maximumRecords=0</t>
  </si>
  <si>
    <t>https://swisscovery.slsp.ch/view/sru/41SLSP_VGE?version=1.2&amp;operation=searchRetrieve&amp;recordSchema=marcxml&amp;query=alma.authority_id=286648016&amp;maximumRecords=0</t>
  </si>
  <si>
    <t>103614265</t>
  </si>
  <si>
    <t>https://swisscovery.slsp.ch/view/sru/41SLSP_NETWORK?version=1.2&amp;operation=searchRetrieve&amp;recordSchema=marcxml&amp;query=alma.authority_id=103614265&amp;maximumRecords=0</t>
  </si>
  <si>
    <t>https://swisscovery.slsp.ch/view/sru/41SLSP_VGE?version=1.2&amp;operation=searchRetrieve&amp;recordSchema=marcxml&amp;query=alma.authority_id=103614265&amp;maximumRecords=0</t>
  </si>
  <si>
    <t>270732918</t>
  </si>
  <si>
    <t>https://swisscovery.slsp.ch/view/sru/41SLSP_NETWORK?version=1.2&amp;operation=searchRetrieve&amp;recordSchema=marcxml&amp;query=alma.authority_id=270732918&amp;maximumRecords=0</t>
  </si>
  <si>
    <t>https://swisscovery.slsp.ch/view/sru/41SLSP_VGE?version=1.2&amp;operation=searchRetrieve&amp;recordSchema=marcxml&amp;query=alma.authority_id=270732918&amp;maximumRecords=0</t>
  </si>
  <si>
    <t>292182783</t>
  </si>
  <si>
    <t>https://swisscovery.slsp.ch/view/sru/41SLSP_NETWORK?version=1.2&amp;operation=searchRetrieve&amp;recordSchema=marcxml&amp;query=alma.authority_id=292182783&amp;maximumRecords=0</t>
  </si>
  <si>
    <t>https://swisscovery.slsp.ch/view/sru/41SLSP_VGE?version=1.2&amp;operation=searchRetrieve&amp;recordSchema=marcxml&amp;query=alma.authority_id=292182783&amp;maximumRecords=0</t>
  </si>
  <si>
    <t>028051661</t>
  </si>
  <si>
    <t>https://swisscovery.slsp.ch/view/sru/41SLSP_NETWORK?version=1.2&amp;operation=searchRetrieve&amp;recordSchema=marcxml&amp;query=alma.authority_id=028051661&amp;maximumRecords=0</t>
  </si>
  <si>
    <t>https://swisscovery.slsp.ch/view/sru/41SLSP_VGE?version=1.2&amp;operation=searchRetrieve&amp;recordSchema=marcxml&amp;query=alma.authority_id=028051661&amp;maximumRecords=0</t>
  </si>
  <si>
    <t>201308622</t>
  </si>
  <si>
    <t>https://swisscovery.slsp.ch/view/sru/41SLSP_NETWORK?version=1.2&amp;operation=searchRetrieve&amp;recordSchema=marcxml&amp;query=alma.authority_id=201308622&amp;maximumRecords=0</t>
  </si>
  <si>
    <t>https://swisscovery.slsp.ch/view/sru/41SLSP_VGE?version=1.2&amp;operation=searchRetrieve&amp;recordSchema=marcxml&amp;query=alma.authority_id=201308622&amp;maximumRecords=0</t>
  </si>
  <si>
    <t>191370088</t>
  </si>
  <si>
    <t>https://swisscovery.slsp.ch/view/sru/41SLSP_NETWORK?version=1.2&amp;operation=searchRetrieve&amp;recordSchema=marcxml&amp;query=alma.authority_id=191370088&amp;maximumRecords=0</t>
  </si>
  <si>
    <t>https://swisscovery.slsp.ch/view/sru/41SLSP_VGE?version=1.2&amp;operation=searchRetrieve&amp;recordSchema=marcxml&amp;query=alma.authority_id=191370088&amp;maximumRecords=0</t>
  </si>
  <si>
    <t>286703912</t>
  </si>
  <si>
    <t>https://swisscovery.slsp.ch/view/sru/41SLSP_NETWORK?version=1.2&amp;operation=searchRetrieve&amp;recordSchema=marcxml&amp;query=alma.authority_id=286703912&amp;maximumRecords=0</t>
  </si>
  <si>
    <t>https://swisscovery.slsp.ch/view/sru/41SLSP_VGE?version=1.2&amp;operation=searchRetrieve&amp;recordSchema=marcxml&amp;query=alma.authority_id=286703912&amp;maximumRecords=0</t>
  </si>
  <si>
    <t>292314574</t>
  </si>
  <si>
    <t>https://swisscovery.slsp.ch/view/sru/41SLSP_NETWORK?version=1.2&amp;operation=searchRetrieve&amp;recordSchema=marcxml&amp;query=alma.authority_id=292314574&amp;maximumRecords=0</t>
  </si>
  <si>
    <t>https://swisscovery.slsp.ch/view/sru/41SLSP_VGE?version=1.2&amp;operation=searchRetrieve&amp;recordSchema=marcxml&amp;query=alma.authority_id=292314574&amp;maximumRecords=0</t>
  </si>
  <si>
    <t>262337525</t>
  </si>
  <si>
    <t>https://swisscovery.slsp.ch/view/sru/41SLSP_NETWORK?version=1.2&amp;operation=searchRetrieve&amp;recordSchema=marcxml&amp;query=alma.authority_id=262337525&amp;maximumRecords=0</t>
  </si>
  <si>
    <t>https://swisscovery.slsp.ch/view/sru/41SLSP_VGE?version=1.2&amp;operation=searchRetrieve&amp;recordSchema=marcxml&amp;query=alma.authority_id=262337525&amp;maximumRecords=0</t>
  </si>
  <si>
    <t>027124010</t>
  </si>
  <si>
    <t>https://swisscovery.slsp.ch/view/sru/41SLSP_NETWORK?version=1.2&amp;operation=searchRetrieve&amp;recordSchema=marcxml&amp;query=alma.authority_id=027124010&amp;maximumRecords=0</t>
  </si>
  <si>
    <t>https://swisscovery.slsp.ch/view/sru/41SLSP_VGE?version=1.2&amp;operation=searchRetrieve&amp;recordSchema=marcxml&amp;query=alma.authority_id=027124010&amp;maximumRecords=0</t>
  </si>
  <si>
    <t>029086620</t>
  </si>
  <si>
    <t>https://swisscovery.slsp.ch/view/sru/41SLSP_NETWORK?version=1.2&amp;operation=searchRetrieve&amp;recordSchema=marcxml&amp;query=alma.authority_id=029086620&amp;maximumRecords=0</t>
  </si>
  <si>
    <t>https://swisscovery.slsp.ch/view/sru/41SLSP_VGE?version=1.2&amp;operation=searchRetrieve&amp;recordSchema=marcxml&amp;query=alma.authority_id=029086620&amp;maximumRecords=0</t>
  </si>
  <si>
    <t>050373285</t>
  </si>
  <si>
    <t>https://swisscovery.slsp.ch/view/sru/41SLSP_NETWORK?version=1.2&amp;operation=searchRetrieve&amp;recordSchema=marcxml&amp;query=alma.authority_id=050373285&amp;maximumRecords=0</t>
  </si>
  <si>
    <t>https://swisscovery.slsp.ch/view/sru/41SLSP_VGE?version=1.2&amp;operation=searchRetrieve&amp;recordSchema=marcxml&amp;query=alma.authority_id=050373285&amp;maximumRecords=0</t>
  </si>
  <si>
    <t>110946030</t>
  </si>
  <si>
    <t>https://swisscovery.slsp.ch/view/sru/41SLSP_NETWORK?version=1.2&amp;operation=searchRetrieve&amp;recordSchema=marcxml&amp;query=alma.authority_id=110946030&amp;maximumRecords=0</t>
  </si>
  <si>
    <t>https://swisscovery.slsp.ch/view/sru/41SLSP_VGE?version=1.2&amp;operation=searchRetrieve&amp;recordSchema=marcxml&amp;query=alma.authority_id=110946030&amp;maximumRecords=0</t>
  </si>
  <si>
    <t>292558848</t>
  </si>
  <si>
    <t>https://swisscovery.slsp.ch/view/sru/41SLSP_NETWORK?version=1.2&amp;operation=searchRetrieve&amp;recordSchema=marcxml&amp;query=alma.authority_id=292558848&amp;maximumRecords=0</t>
  </si>
  <si>
    <t>https://swisscovery.slsp.ch/view/sru/41SLSP_VGE?version=1.2&amp;operation=searchRetrieve&amp;recordSchema=marcxml&amp;query=alma.authority_id=292558848&amp;maximumRecords=0</t>
  </si>
  <si>
    <t>271520329</t>
  </si>
  <si>
    <t>https://swisscovery.slsp.ch/view/sru/41SLSP_NETWORK?version=1.2&amp;operation=searchRetrieve&amp;recordSchema=marcxml&amp;query=alma.authority_id=271520329&amp;maximumRecords=0</t>
  </si>
  <si>
    <t>https://swisscovery.slsp.ch/view/sru/41SLSP_VGE?version=1.2&amp;operation=searchRetrieve&amp;recordSchema=marcxml&amp;query=alma.authority_id=271520329&amp;maximumRecords=0</t>
  </si>
  <si>
    <t>074746774</t>
  </si>
  <si>
    <t>https://swisscovery.slsp.ch/view/sru/41SLSP_NETWORK?version=1.2&amp;operation=searchRetrieve&amp;recordSchema=marcxml&amp;query=alma.authority_id=074746774&amp;maximumRecords=0</t>
  </si>
  <si>
    <t>https://swisscovery.slsp.ch/view/sru/41SLSP_VGE?version=1.2&amp;operation=searchRetrieve&amp;recordSchema=marcxml&amp;query=alma.authority_id=074746774&amp;maximumRecords=0</t>
  </si>
  <si>
    <t>257267875</t>
  </si>
  <si>
    <t>https://swisscovery.slsp.ch/view/sru/41SLSP_NETWORK?version=1.2&amp;operation=searchRetrieve&amp;recordSchema=marcxml&amp;query=alma.authority_id=257267875&amp;maximumRecords=0</t>
  </si>
  <si>
    <t>https://swisscovery.slsp.ch/view/sru/41SLSP_VGE?version=1.2&amp;operation=searchRetrieve&amp;recordSchema=marcxml&amp;query=alma.authority_id=257267875&amp;maximumRecords=0</t>
  </si>
  <si>
    <t>292668066</t>
  </si>
  <si>
    <t>https://swisscovery.slsp.ch/view/sru/41SLSP_NETWORK?version=1.2&amp;operation=searchRetrieve&amp;recordSchema=marcxml&amp;query=alma.authority_id=292668066&amp;maximumRecords=0</t>
  </si>
  <si>
    <t>https://swisscovery.slsp.ch/view/sru/41SLSP_VGE?version=1.2&amp;operation=searchRetrieve&amp;recordSchema=marcxml&amp;query=alma.authority_id=292668066&amp;maximumRecords=0</t>
  </si>
  <si>
    <t>25162773X</t>
  </si>
  <si>
    <t>https://swisscovery.slsp.ch/view/sru/41SLSP_NETWORK?version=1.2&amp;operation=searchRetrieve&amp;recordSchema=marcxml&amp;query=alma.authority_id=25162773X&amp;maximumRecords=0</t>
  </si>
  <si>
    <t>https://swisscovery.slsp.ch/view/sru/41SLSP_VGE?version=1.2&amp;operation=searchRetrieve&amp;recordSchema=marcxml&amp;query=alma.authority_id=25162773X&amp;maximumRecords=0</t>
  </si>
  <si>
    <t>292179367</t>
  </si>
  <si>
    <t>https://swisscovery.slsp.ch/view/sru/41SLSP_NETWORK?version=1.2&amp;operation=searchRetrieve&amp;recordSchema=marcxml&amp;query=alma.authority_id=292179367&amp;maximumRecords=0</t>
  </si>
  <si>
    <t>https://swisscovery.slsp.ch/view/sru/41SLSP_VGE?version=1.2&amp;operation=searchRetrieve&amp;recordSchema=marcxml&amp;query=alma.authority_id=292179367&amp;maximumRecords=0</t>
  </si>
  <si>
    <t>29293646X</t>
  </si>
  <si>
    <t>https://swisscovery.slsp.ch/view/sru/41SLSP_NETWORK?version=1.2&amp;operation=searchRetrieve&amp;recordSchema=marcxml&amp;query=alma.authority_id=29293646X&amp;maximumRecords=0</t>
  </si>
  <si>
    <t>https://swisscovery.slsp.ch/view/sru/41SLSP_VGE?version=1.2&amp;operation=searchRetrieve&amp;recordSchema=marcxml&amp;query=alma.authority_id=29293646X&amp;maximumRecords=0</t>
  </si>
  <si>
    <t>29234483X</t>
  </si>
  <si>
    <t>https://swisscovery.slsp.ch/view/sru/41SLSP_NETWORK?version=1.2&amp;operation=searchRetrieve&amp;recordSchema=marcxml&amp;query=alma.authority_id=29234483X&amp;maximumRecords=0</t>
  </si>
  <si>
    <t>https://swisscovery.slsp.ch/view/sru/41SLSP_VGE?version=1.2&amp;operation=searchRetrieve&amp;recordSchema=marcxml&amp;query=alma.authority_id=29234483X&amp;maximumRecords=0</t>
  </si>
  <si>
    <t>255660200</t>
  </si>
  <si>
    <t>https://swisscovery.slsp.ch/view/sru/41SLSP_NETWORK?version=1.2&amp;operation=searchRetrieve&amp;recordSchema=marcxml&amp;query=alma.authority_id=255660200&amp;maximumRecords=0</t>
  </si>
  <si>
    <t>https://swisscovery.slsp.ch/view/sru/41SLSP_VGE?version=1.2&amp;operation=searchRetrieve&amp;recordSchema=marcxml&amp;query=alma.authority_id=255660200&amp;maximumRecords=0</t>
  </si>
  <si>
    <t>292183704</t>
  </si>
  <si>
    <t>https://swisscovery.slsp.ch/view/sru/41SLSP_NETWORK?version=1.2&amp;operation=searchRetrieve&amp;recordSchema=marcxml&amp;query=alma.authority_id=292183704&amp;maximumRecords=0</t>
  </si>
  <si>
    <t>https://swisscovery.slsp.ch/view/sru/41SLSP_VGE?version=1.2&amp;operation=searchRetrieve&amp;recordSchema=marcxml&amp;query=alma.authority_id=292183704&amp;maximumRecords=0</t>
  </si>
  <si>
    <t>292712383</t>
  </si>
  <si>
    <t>https://swisscovery.slsp.ch/view/sru/41SLSP_NETWORK?version=1.2&amp;operation=searchRetrieve&amp;recordSchema=marcxml&amp;query=alma.authority_id=292712383&amp;maximumRecords=0</t>
  </si>
  <si>
    <t>https://swisscovery.slsp.ch/view/sru/41SLSP_VGE?version=1.2&amp;operation=searchRetrieve&amp;recordSchema=marcxml&amp;query=alma.authority_id=292712383&amp;maximumRecords=0</t>
  </si>
  <si>
    <t>29231163X</t>
  </si>
  <si>
    <t>https://swisscovery.slsp.ch/view/sru/41SLSP_NETWORK?version=1.2&amp;operation=searchRetrieve&amp;recordSchema=marcxml&amp;query=alma.authority_id=29231163X&amp;maximumRecords=0</t>
  </si>
  <si>
    <t>https://swisscovery.slsp.ch/view/sru/41SLSP_VGE?version=1.2&amp;operation=searchRetrieve&amp;recordSchema=marcxml&amp;query=alma.authority_id=29231163X&amp;maximumRecords=0</t>
  </si>
  <si>
    <t>234943777</t>
  </si>
  <si>
    <t>https://swisscovery.slsp.ch/view/sru/41SLSP_NETWORK?version=1.2&amp;operation=searchRetrieve&amp;recordSchema=marcxml&amp;query=alma.authority_id=234943777&amp;maximumRecords=0</t>
  </si>
  <si>
    <t>https://swisscovery.slsp.ch/view/sru/41SLSP_VGE?version=1.2&amp;operation=searchRetrieve&amp;recordSchema=marcxml&amp;query=alma.authority_id=234943777&amp;maximumRecords=0</t>
  </si>
  <si>
    <t>291578357</t>
  </si>
  <si>
    <t>https://swisscovery.slsp.ch/view/sru/41SLSP_NETWORK?version=1.2&amp;operation=searchRetrieve&amp;recordSchema=marcxml&amp;query=alma.authority_id=291578357&amp;maximumRecords=0</t>
  </si>
  <si>
    <t>https://swisscovery.slsp.ch/view/sru/41SLSP_VGE?version=1.2&amp;operation=searchRetrieve&amp;recordSchema=marcxml&amp;query=alma.authority_id=291578357&amp;maximumRecords=0</t>
  </si>
  <si>
    <t>276300319</t>
  </si>
  <si>
    <t>https://swisscovery.slsp.ch/view/sru/41SLSP_NETWORK?version=1.2&amp;operation=searchRetrieve&amp;recordSchema=marcxml&amp;query=alma.authority_id=276300319&amp;maximumRecords=0</t>
  </si>
  <si>
    <t>https://swisscovery.slsp.ch/view/sru/41SLSP_VGE?version=1.2&amp;operation=searchRetrieve&amp;recordSchema=marcxml&amp;query=alma.authority_id=276300319&amp;maximumRecords=0</t>
  </si>
  <si>
    <t>027009513</t>
  </si>
  <si>
    <t>https://swisscovery.slsp.ch/view/sru/41SLSP_NETWORK?version=1.2&amp;operation=searchRetrieve&amp;recordSchema=marcxml&amp;query=alma.authority_id=027009513&amp;maximumRecords=0</t>
  </si>
  <si>
    <t>https://swisscovery.slsp.ch/view/sru/41SLSP_VGE?version=1.2&amp;operation=searchRetrieve&amp;recordSchema=marcxml&amp;query=alma.authority_id=027009513&amp;maximumRecords=0</t>
  </si>
  <si>
    <t>28675410X</t>
  </si>
  <si>
    <t>https://swisscovery.slsp.ch/view/sru/41SLSP_NETWORK?version=1.2&amp;operation=searchRetrieve&amp;recordSchema=marcxml&amp;query=alma.authority_id=28675410X&amp;maximumRecords=0</t>
  </si>
  <si>
    <t>https://swisscovery.slsp.ch/view/sru/41SLSP_VGE?version=1.2&amp;operation=searchRetrieve&amp;recordSchema=marcxml&amp;query=alma.authority_id=28675410X&amp;maximumRecords=0</t>
  </si>
  <si>
    <t>113156820</t>
  </si>
  <si>
    <t>https://swisscovery.slsp.ch/view/sru/41SLSP_NETWORK?version=1.2&amp;operation=searchRetrieve&amp;recordSchema=marcxml&amp;query=alma.authority_id=113156820&amp;maximumRecords=0</t>
  </si>
  <si>
    <t>https://swisscovery.slsp.ch/view/sru/41SLSP_VGE?version=1.2&amp;operation=searchRetrieve&amp;recordSchema=marcxml&amp;query=alma.authority_id=113156820&amp;maximumRecords=0</t>
  </si>
  <si>
    <t>275813150</t>
  </si>
  <si>
    <t>https://swisscovery.slsp.ch/view/sru/41SLSP_NETWORK?version=1.2&amp;operation=searchRetrieve&amp;recordSchema=marcxml&amp;query=alma.authority_id=275813150&amp;maximumRecords=0</t>
  </si>
  <si>
    <t>https://swisscovery.slsp.ch/view/sru/41SLSP_VGE?version=1.2&amp;operation=searchRetrieve&amp;recordSchema=marcxml&amp;query=alma.authority_id=275813150&amp;maximumRecords=0</t>
  </si>
  <si>
    <t>139178333</t>
  </si>
  <si>
    <t>https://swisscovery.slsp.ch/view/sru/41SLSP_NETWORK?version=1.2&amp;operation=searchRetrieve&amp;recordSchema=marcxml&amp;query=alma.authority_id=139178333&amp;maximumRecords=0</t>
  </si>
  <si>
    <t>https://swisscovery.slsp.ch/view/sru/41SLSP_VGE?version=1.2&amp;operation=searchRetrieve&amp;recordSchema=marcxml&amp;query=alma.authority_id=139178333&amp;maximumRecords=0</t>
  </si>
  <si>
    <t>026759616</t>
  </si>
  <si>
    <t>https://swisscovery.slsp.ch/view/sru/41SLSP_NETWORK?version=1.2&amp;operation=searchRetrieve&amp;recordSchema=marcxml&amp;query=alma.authority_id=026759616&amp;maximumRecords=0</t>
  </si>
  <si>
    <t>https://swisscovery.slsp.ch/view/sru/41SLSP_VGE?version=1.2&amp;operation=searchRetrieve&amp;recordSchema=marcxml&amp;query=alma.authority_id=026759616&amp;maximumRecords=0</t>
  </si>
  <si>
    <t>292936931</t>
  </si>
  <si>
    <t>https://swisscovery.slsp.ch/view/sru/41SLSP_NETWORK?version=1.2&amp;operation=searchRetrieve&amp;recordSchema=marcxml&amp;query=alma.authority_id=292936931&amp;maximumRecords=0</t>
  </si>
  <si>
    <t>https://swisscovery.slsp.ch/view/sru/41SLSP_VGE?version=1.2&amp;operation=searchRetrieve&amp;recordSchema=marcxml&amp;query=alma.authority_id=292936931&amp;maximumRecords=0</t>
  </si>
  <si>
    <t>111664497</t>
  </si>
  <si>
    <t>https://swisscovery.slsp.ch/view/sru/41SLSP_NETWORK?version=1.2&amp;operation=searchRetrieve&amp;recordSchema=marcxml&amp;query=alma.authority_id=111664497&amp;maximumRecords=0</t>
  </si>
  <si>
    <t>https://swisscovery.slsp.ch/view/sru/41SLSP_VGE?version=1.2&amp;operation=searchRetrieve&amp;recordSchema=marcxml&amp;query=alma.authority_id=111664497&amp;maximumRecords=0</t>
  </si>
  <si>
    <t>085260347</t>
  </si>
  <si>
    <t>https://swisscovery.slsp.ch/view/sru/41SLSP_NETWORK?version=1.2&amp;operation=searchRetrieve&amp;recordSchema=marcxml&amp;query=alma.authority_id=085260347&amp;maximumRecords=0</t>
  </si>
  <si>
    <t>https://swisscovery.slsp.ch/view/sru/41SLSP_VGE?version=1.2&amp;operation=searchRetrieve&amp;recordSchema=marcxml&amp;query=alma.authority_id=085260347&amp;maximumRecords=0</t>
  </si>
  <si>
    <t>25672444X</t>
  </si>
  <si>
    <t>https://swisscovery.slsp.ch/view/sru/41SLSP_NETWORK?version=1.2&amp;operation=searchRetrieve&amp;recordSchema=marcxml&amp;query=alma.authority_id=25672444X&amp;maximumRecords=0</t>
  </si>
  <si>
    <t>https://swisscovery.slsp.ch/view/sru/41SLSP_VGE?version=1.2&amp;operation=searchRetrieve&amp;recordSchema=marcxml&amp;query=alma.authority_id=25672444X&amp;maximumRecords=0</t>
  </si>
  <si>
    <t>293213305</t>
  </si>
  <si>
    <t>https://swisscovery.slsp.ch/view/sru/41SLSP_NETWORK?version=1.2&amp;operation=searchRetrieve&amp;recordSchema=marcxml&amp;query=alma.authority_id=293213305&amp;maximumRecords=0</t>
  </si>
  <si>
    <t>https://swisscovery.slsp.ch/view/sru/41SLSP_VGE?version=1.2&amp;operation=searchRetrieve&amp;recordSchema=marcxml&amp;query=alma.authority_id=293213305&amp;maximumRecords=0</t>
  </si>
  <si>
    <t>292315716</t>
  </si>
  <si>
    <t>https://swisscovery.slsp.ch/view/sru/41SLSP_NETWORK?version=1.2&amp;operation=searchRetrieve&amp;recordSchema=marcxml&amp;query=alma.authority_id=292315716&amp;maximumRecords=0</t>
  </si>
  <si>
    <t>https://swisscovery.slsp.ch/view/sru/41SLSP_VGE?version=1.2&amp;operation=searchRetrieve&amp;recordSchema=marcxml&amp;query=alma.authority_id=292315716&amp;maximumRecords=0</t>
  </si>
  <si>
    <t>178578290</t>
  </si>
  <si>
    <t>https://swisscovery.slsp.ch/view/sru/41SLSP_NETWORK?version=1.2&amp;operation=searchRetrieve&amp;recordSchema=marcxml&amp;query=alma.authority_id=178578290&amp;maximumRecords=0</t>
  </si>
  <si>
    <t>https://swisscovery.slsp.ch/view/sru/41SLSP_VGE?version=1.2&amp;operation=searchRetrieve&amp;recordSchema=marcxml&amp;query=alma.authority_id=178578290&amp;maximumRecords=0</t>
  </si>
  <si>
    <t>280723091</t>
  </si>
  <si>
    <t>https://swisscovery.slsp.ch/view/sru/41SLSP_NETWORK?version=1.2&amp;operation=searchRetrieve&amp;recordSchema=marcxml&amp;query=alma.authority_id=280723091&amp;maximumRecords=0</t>
  </si>
  <si>
    <t>https://swisscovery.slsp.ch/view/sru/41SLSP_VGE?version=1.2&amp;operation=searchRetrieve&amp;recordSchema=marcxml&amp;query=alma.authority_id=280723091&amp;maximumRecords=0</t>
  </si>
  <si>
    <t>034116168</t>
  </si>
  <si>
    <t>https://swisscovery.slsp.ch/view/sru/41SLSP_NETWORK?version=1.2&amp;operation=searchRetrieve&amp;recordSchema=marcxml&amp;query=alma.authority_id=034116168&amp;maximumRecords=0</t>
  </si>
  <si>
    <t>https://swisscovery.slsp.ch/view/sru/41SLSP_VGE?version=1.2&amp;operation=searchRetrieve&amp;recordSchema=marcxml&amp;query=alma.authority_id=034116168&amp;maximumRecords=0</t>
  </si>
  <si>
    <t>28683362X</t>
  </si>
  <si>
    <t>https://swisscovery.slsp.ch/view/sru/41SLSP_NETWORK?version=1.2&amp;operation=searchRetrieve&amp;recordSchema=marcxml&amp;query=alma.authority_id=28683362X&amp;maximumRecords=0</t>
  </si>
  <si>
    <t>https://swisscovery.slsp.ch/view/sru/41SLSP_VGE?version=1.2&amp;operation=searchRetrieve&amp;recordSchema=marcxml&amp;query=alma.authority_id=28683362X&amp;maximumRecords=0</t>
  </si>
  <si>
    <t>026584034</t>
  </si>
  <si>
    <t>https://swisscovery.slsp.ch/view/sru/41SLSP_NETWORK?version=1.2&amp;operation=searchRetrieve&amp;recordSchema=marcxml&amp;query=alma.authority_id=026584034&amp;maximumRecords=0</t>
  </si>
  <si>
    <t>https://swisscovery.slsp.ch/view/sru/41SLSP_VGE?version=1.2&amp;operation=searchRetrieve&amp;recordSchema=marcxml&amp;query=alma.authority_id=026584034&amp;maximumRecords=0</t>
  </si>
  <si>
    <t>286855801</t>
  </si>
  <si>
    <t>https://swisscovery.slsp.ch/view/sru/41SLSP_NETWORK?version=1.2&amp;operation=searchRetrieve&amp;recordSchema=marcxml&amp;query=alma.authority_id=286855801&amp;maximumRecords=0</t>
  </si>
  <si>
    <t>https://swisscovery.slsp.ch/view/sru/41SLSP_VGE?version=1.2&amp;operation=searchRetrieve&amp;recordSchema=marcxml&amp;query=alma.authority_id=286855801&amp;maximumRecords=0</t>
  </si>
  <si>
    <t>292668023</t>
  </si>
  <si>
    <t>https://swisscovery.slsp.ch/view/sru/41SLSP_NETWORK?version=1.2&amp;operation=searchRetrieve&amp;recordSchema=marcxml&amp;query=alma.authority_id=292668023&amp;maximumRecords=0</t>
  </si>
  <si>
    <t>https://swisscovery.slsp.ch/view/sru/41SLSP_VGE?version=1.2&amp;operation=searchRetrieve&amp;recordSchema=marcxml&amp;query=alma.authority_id=292668023&amp;maximumRecords=0</t>
  </si>
  <si>
    <t>286856395</t>
  </si>
  <si>
    <t>https://swisscovery.slsp.ch/view/sru/41SLSP_NETWORK?version=1.2&amp;operation=searchRetrieve&amp;recordSchema=marcxml&amp;query=alma.authority_id=286856395&amp;maximumRecords=0</t>
  </si>
  <si>
    <t>https://swisscovery.slsp.ch/view/sru/41SLSP_VGE?version=1.2&amp;operation=searchRetrieve&amp;recordSchema=marcxml&amp;query=alma.authority_id=286856395&amp;maximumRecords=0</t>
  </si>
  <si>
    <t>027096297</t>
  </si>
  <si>
    <t>https://swisscovery.slsp.ch/view/sru/41SLSP_NETWORK?version=1.2&amp;operation=searchRetrieve&amp;recordSchema=marcxml&amp;query=alma.authority_id=027096297&amp;maximumRecords=0</t>
  </si>
  <si>
    <t>https://swisscovery.slsp.ch/view/sru/41SLSP_VGE?version=1.2&amp;operation=searchRetrieve&amp;recordSchema=marcxml&amp;query=alma.authority_id=027096297&amp;maximumRecords=0</t>
  </si>
  <si>
    <t>085878618</t>
  </si>
  <si>
    <t>https://swisscovery.slsp.ch/view/sru/41SLSP_NETWORK?version=1.2&amp;operation=searchRetrieve&amp;recordSchema=marcxml&amp;query=alma.authority_id=085878618&amp;maximumRecords=0</t>
  </si>
  <si>
    <t>https://swisscovery.slsp.ch/view/sru/41SLSP_VGE?version=1.2&amp;operation=searchRetrieve&amp;recordSchema=marcxml&amp;query=alma.authority_id=085878618&amp;maximumRecords=0</t>
  </si>
  <si>
    <t>293549877</t>
  </si>
  <si>
    <t>https://swisscovery.slsp.ch/view/sru/41SLSP_NETWORK?version=1.2&amp;operation=searchRetrieve&amp;recordSchema=marcxml&amp;query=alma.authority_id=293549877&amp;maximumRecords=0</t>
  </si>
  <si>
    <t>https://swisscovery.slsp.ch/view/sru/41SLSP_VGE?version=1.2&amp;operation=searchRetrieve&amp;recordSchema=marcxml&amp;query=alma.authority_id=293549877&amp;maximumRecords=0</t>
  </si>
  <si>
    <t>295026537</t>
  </si>
  <si>
    <t>https://swisscovery.slsp.ch/view/sru/41SLSP_NETWORK?version=1.2&amp;operation=searchRetrieve&amp;recordSchema=marcxml&amp;query=alma.authority_id=295026537&amp;maximumRecords=0</t>
  </si>
  <si>
    <t>https://swisscovery.slsp.ch/view/sru/41SLSP_VGE?version=1.2&amp;operation=searchRetrieve&amp;recordSchema=marcxml&amp;query=alma.authority_id=295026537&amp;maximumRecords=0</t>
  </si>
  <si>
    <t>261867482</t>
  </si>
  <si>
    <t>https://swisscovery.slsp.ch/view/sru/41SLSP_NETWORK?version=1.2&amp;operation=searchRetrieve&amp;recordSchema=marcxml&amp;query=alma.authority_id=261867482&amp;maximumRecords=0</t>
  </si>
  <si>
    <t>https://swisscovery.slsp.ch/view/sru/41SLSP_VGE?version=1.2&amp;operation=searchRetrieve&amp;recordSchema=marcxml&amp;query=alma.authority_id=261867482&amp;maximumRecords=0</t>
  </si>
  <si>
    <t>060269596</t>
  </si>
  <si>
    <t>https://swisscovery.slsp.ch/view/sru/41SLSP_NETWORK?version=1.2&amp;operation=searchRetrieve&amp;recordSchema=marcxml&amp;query=alma.authority_id=060269596&amp;maximumRecords=0</t>
  </si>
  <si>
    <t>https://swisscovery.slsp.ch/view/sru/41SLSP_VGE?version=1.2&amp;operation=searchRetrieve&amp;recordSchema=marcxml&amp;query=alma.authority_id=060269596&amp;maximumRecords=0</t>
  </si>
  <si>
    <t>294415882</t>
  </si>
  <si>
    <t>https://swisscovery.slsp.ch/view/sru/41SLSP_NETWORK?version=1.2&amp;operation=searchRetrieve&amp;recordSchema=marcxml&amp;query=alma.authority_id=294415882&amp;maximumRecords=0</t>
  </si>
  <si>
    <t>https://swisscovery.slsp.ch/view/sru/41SLSP_VGE?version=1.2&amp;operation=searchRetrieve&amp;recordSchema=marcxml&amp;query=alma.authority_id=294415882&amp;maximumRecords=0</t>
  </si>
  <si>
    <t>294181695</t>
  </si>
  <si>
    <t>https://swisscovery.slsp.ch/view/sru/41SLSP_NETWORK?version=1.2&amp;operation=searchRetrieve&amp;recordSchema=marcxml&amp;query=alma.authority_id=294181695&amp;maximumRecords=0</t>
  </si>
  <si>
    <t>https://swisscovery.slsp.ch/view/sru/41SLSP_VGE?version=1.2&amp;operation=searchRetrieve&amp;recordSchema=marcxml&amp;query=alma.authority_id=294181695&amp;maximumRecords=0</t>
  </si>
  <si>
    <t>293507732</t>
  </si>
  <si>
    <t>https://swisscovery.slsp.ch/view/sru/41SLSP_NETWORK?version=1.2&amp;operation=searchRetrieve&amp;recordSchema=marcxml&amp;query=alma.authority_id=293507732&amp;maximumRecords=0</t>
  </si>
  <si>
    <t>https://swisscovery.slsp.ch/view/sru/41SLSP_VGE?version=1.2&amp;operation=searchRetrieve&amp;recordSchema=marcxml&amp;query=alma.authority_id=293507732&amp;maximumRecords=0</t>
  </si>
  <si>
    <t>237431653</t>
  </si>
  <si>
    <t>https://swisscovery.slsp.ch/view/sru/41SLSP_NETWORK?version=1.2&amp;operation=searchRetrieve&amp;recordSchema=marcxml&amp;query=alma.authority_id=237431653&amp;maximumRecords=0</t>
  </si>
  <si>
    <t>https://swisscovery.slsp.ch/view/sru/41SLSP_VGE?version=1.2&amp;operation=searchRetrieve&amp;recordSchema=marcxml&amp;query=alma.authority_id=237431653&amp;maximumRecords=0</t>
  </si>
  <si>
    <t>290557798</t>
  </si>
  <si>
    <t>https://swisscovery.slsp.ch/view/sru/41SLSP_NETWORK?version=1.2&amp;operation=searchRetrieve&amp;recordSchema=marcxml&amp;query=alma.authority_id=290557798&amp;maximumRecords=0</t>
  </si>
  <si>
    <t>https://swisscovery.slsp.ch/view/sru/41SLSP_VGE?version=1.2&amp;operation=searchRetrieve&amp;recordSchema=marcxml&amp;query=alma.authority_id=290557798&amp;maximumRecords=0</t>
  </si>
  <si>
    <t>25598684X</t>
  </si>
  <si>
    <t>https://swisscovery.slsp.ch/view/sru/41SLSP_NETWORK?version=1.2&amp;operation=searchRetrieve&amp;recordSchema=marcxml&amp;query=alma.authority_id=25598684X&amp;maximumRecords=0</t>
  </si>
  <si>
    <t>https://swisscovery.slsp.ch/view/sru/41SLSP_VGE?version=1.2&amp;operation=searchRetrieve&amp;recordSchema=marcxml&amp;query=alma.authority_id=25598684X&amp;maximumRecords=0</t>
  </si>
  <si>
    <t>294173323</t>
  </si>
  <si>
    <t>https://swisscovery.slsp.ch/view/sru/41SLSP_NETWORK?version=1.2&amp;operation=searchRetrieve&amp;recordSchema=marcxml&amp;query=alma.authority_id=294173323&amp;maximumRecords=0</t>
  </si>
  <si>
    <t>https://swisscovery.slsp.ch/view/sru/41SLSP_VGE?version=1.2&amp;operation=searchRetrieve&amp;recordSchema=marcxml&amp;query=alma.authority_id=294173323&amp;maximumRecords=0</t>
  </si>
  <si>
    <t>29345213X</t>
  </si>
  <si>
    <t>https://swisscovery.slsp.ch/view/sru/41SLSP_NETWORK?version=1.2&amp;operation=searchRetrieve&amp;recordSchema=marcxml&amp;query=alma.authority_id=29345213X&amp;maximumRecords=0</t>
  </si>
  <si>
    <t>https://swisscovery.slsp.ch/view/sru/41SLSP_VGE?version=1.2&amp;operation=searchRetrieve&amp;recordSchema=marcxml&amp;query=alma.authority_id=29345213X&amp;maximumRecords=0</t>
  </si>
  <si>
    <t>256879109</t>
  </si>
  <si>
    <t>https://swisscovery.slsp.ch/view/sru/41SLSP_NETWORK?version=1.2&amp;operation=searchRetrieve&amp;recordSchema=marcxml&amp;query=alma.authority_id=256879109&amp;maximumRecords=0</t>
  </si>
  <si>
    <t>https://swisscovery.slsp.ch/view/sru/41SLSP_VGE?version=1.2&amp;operation=searchRetrieve&amp;recordSchema=marcxml&amp;query=alma.authority_id=256879109&amp;maximumRecords=0</t>
  </si>
  <si>
    <t>066906032</t>
  </si>
  <si>
    <t>https://swisscovery.slsp.ch/view/sru/41SLSP_NETWORK?version=1.2&amp;operation=searchRetrieve&amp;recordSchema=marcxml&amp;query=alma.authority_id=066906032&amp;maximumRecords=0</t>
  </si>
  <si>
    <t>https://swisscovery.slsp.ch/view/sru/41SLSP_VGE?version=1.2&amp;operation=searchRetrieve&amp;recordSchema=marcxml&amp;query=alma.authority_id=066906032&amp;maximumRecords=0</t>
  </si>
  <si>
    <t>294293507</t>
  </si>
  <si>
    <t>https://swisscovery.slsp.ch/view/sru/41SLSP_NETWORK?version=1.2&amp;operation=searchRetrieve&amp;recordSchema=marcxml&amp;query=alma.authority_id=294293507&amp;maximumRecords=0</t>
  </si>
  <si>
    <t>https://swisscovery.slsp.ch/view/sru/41SLSP_VGE?version=1.2&amp;operation=searchRetrieve&amp;recordSchema=marcxml&amp;query=alma.authority_id=294293507&amp;maximumRecords=0</t>
  </si>
  <si>
    <t>120169797</t>
  </si>
  <si>
    <t>https://swisscovery.slsp.ch/view/sru/41SLSP_NETWORK?version=1.2&amp;operation=searchRetrieve&amp;recordSchema=marcxml&amp;query=alma.authority_id=120169797&amp;maximumRecords=0</t>
  </si>
  <si>
    <t>https://swisscovery.slsp.ch/view/sru/41SLSP_VGE?version=1.2&amp;operation=searchRetrieve&amp;recordSchema=marcxml&amp;query=alma.authority_id=120169797&amp;maximumRecords=0</t>
  </si>
  <si>
    <t>294291083</t>
  </si>
  <si>
    <t>https://swisscovery.slsp.ch/view/sru/41SLSP_NETWORK?version=1.2&amp;operation=searchRetrieve&amp;recordSchema=marcxml&amp;query=alma.authority_id=294291083&amp;maximumRecords=0</t>
  </si>
  <si>
    <t>https://swisscovery.slsp.ch/view/sru/41SLSP_VGE?version=1.2&amp;operation=searchRetrieve&amp;recordSchema=marcxml&amp;query=alma.authority_id=294291083&amp;maximumRecords=0</t>
  </si>
  <si>
    <t>29396310X</t>
  </si>
  <si>
    <t>https://swisscovery.slsp.ch/view/sru/41SLSP_NETWORK?version=1.2&amp;operation=searchRetrieve&amp;recordSchema=marcxml&amp;query=alma.authority_id=29396310X&amp;maximumRecords=0</t>
  </si>
  <si>
    <t>https://swisscovery.slsp.ch/view/sru/41SLSP_VGE?version=1.2&amp;operation=searchRetrieve&amp;recordSchema=marcxml&amp;query=alma.authority_id=29396310X&amp;maximumRecords=0</t>
  </si>
  <si>
    <t>234025662</t>
  </si>
  <si>
    <t>https://swisscovery.slsp.ch/view/sru/41SLSP_NETWORK?version=1.2&amp;operation=searchRetrieve&amp;recordSchema=marcxml&amp;query=alma.authority_id=234025662&amp;maximumRecords=0</t>
  </si>
  <si>
    <t>https://swisscovery.slsp.ch/view/sru/41SLSP_VGE?version=1.2&amp;operation=searchRetrieve&amp;recordSchema=marcxml&amp;query=alma.authority_id=234025662&amp;maximumRecords=0</t>
  </si>
  <si>
    <t>258977639</t>
  </si>
  <si>
    <t>https://swisscovery.slsp.ch/view/sru/41SLSP_NETWORK?version=1.2&amp;operation=searchRetrieve&amp;recordSchema=marcxml&amp;query=alma.authority_id=258977639&amp;maximumRecords=0</t>
  </si>
  <si>
    <t>https://swisscovery.slsp.ch/view/sru/41SLSP_VGE?version=1.2&amp;operation=searchRetrieve&amp;recordSchema=marcxml&amp;query=alma.authority_id=258977639&amp;maximumRecords=0</t>
  </si>
  <si>
    <t>092856047</t>
  </si>
  <si>
    <t>https://swisscovery.slsp.ch/view/sru/41SLSP_NETWORK?version=1.2&amp;operation=searchRetrieve&amp;recordSchema=marcxml&amp;query=alma.authority_id=092856047&amp;maximumRecords=0</t>
  </si>
  <si>
    <t>https://swisscovery.slsp.ch/view/sru/41SLSP_VGE?version=1.2&amp;operation=searchRetrieve&amp;recordSchema=marcxml&amp;query=alma.authority_id=092856047&amp;maximumRecords=0</t>
  </si>
  <si>
    <t>145892271</t>
  </si>
  <si>
    <t>https://swisscovery.slsp.ch/view/sru/41SLSP_NETWORK?version=1.2&amp;operation=searchRetrieve&amp;recordSchema=marcxml&amp;query=alma.authority_id=145892271&amp;maximumRecords=0</t>
  </si>
  <si>
    <t>https://swisscovery.slsp.ch/view/sru/41SLSP_VGE?version=1.2&amp;operation=searchRetrieve&amp;recordSchema=marcxml&amp;query=alma.authority_id=145892271&amp;maximumRecords=0</t>
  </si>
  <si>
    <t>285414178</t>
  </si>
  <si>
    <t>https://swisscovery.slsp.ch/view/sru/41SLSP_NETWORK?version=1.2&amp;operation=searchRetrieve&amp;recordSchema=marcxml&amp;query=alma.authority_id=285414178&amp;maximumRecords=0</t>
  </si>
  <si>
    <t>https://swisscovery.slsp.ch/view/sru/41SLSP_VGE?version=1.2&amp;operation=searchRetrieve&amp;recordSchema=marcxml&amp;query=alma.authority_id=285414178&amp;maximumRecords=0</t>
  </si>
  <si>
    <t>181046466</t>
  </si>
  <si>
    <t>https://swisscovery.slsp.ch/view/sru/41SLSP_NETWORK?version=1.2&amp;operation=searchRetrieve&amp;recordSchema=marcxml&amp;query=alma.authority_id=181046466&amp;maximumRecords=0</t>
  </si>
  <si>
    <t>https://swisscovery.slsp.ch/view/sru/41SLSP_VGE?version=1.2&amp;operation=searchRetrieve&amp;recordSchema=marcxml&amp;query=alma.authority_id=181046466&amp;maximumRecords=0</t>
  </si>
  <si>
    <t>147125596</t>
  </si>
  <si>
    <t>https://swisscovery.slsp.ch/view/sru/41SLSP_NETWORK?version=1.2&amp;operation=searchRetrieve&amp;recordSchema=marcxml&amp;query=alma.authority_id=147125596&amp;maximumRecords=0</t>
  </si>
  <si>
    <t>https://swisscovery.slsp.ch/view/sru/41SLSP_VGE?version=1.2&amp;operation=searchRetrieve&amp;recordSchema=marcxml&amp;query=alma.authority_id=147125596&amp;maximumRecords=0</t>
  </si>
  <si>
    <t>29326905X</t>
  </si>
  <si>
    <t>https://swisscovery.slsp.ch/view/sru/41SLSP_NETWORK?version=1.2&amp;operation=searchRetrieve&amp;recordSchema=marcxml&amp;query=alma.authority_id=29326905X&amp;maximumRecords=0</t>
  </si>
  <si>
    <t>https://swisscovery.slsp.ch/view/sru/41SLSP_VGE?version=1.2&amp;operation=searchRetrieve&amp;recordSchema=marcxml&amp;query=alma.authority_id=29326905X&amp;maximumRecords=0</t>
  </si>
  <si>
    <t>028734033</t>
  </si>
  <si>
    <t>https://swisscovery.slsp.ch/view/sru/41SLSP_NETWORK?version=1.2&amp;operation=searchRetrieve&amp;recordSchema=marcxml&amp;query=alma.authority_id=028734033&amp;maximumRecords=0</t>
  </si>
  <si>
    <t>https://swisscovery.slsp.ch/view/sru/41SLSP_VGE?version=1.2&amp;operation=searchRetrieve&amp;recordSchema=marcxml&amp;query=alma.authority_id=028734033&amp;maximumRecords=0</t>
  </si>
  <si>
    <t>069493022</t>
  </si>
  <si>
    <t>https://swisscovery.slsp.ch/view/sru/41SLSP_NETWORK?version=1.2&amp;operation=searchRetrieve&amp;recordSchema=marcxml&amp;query=alma.authority_id=069493022&amp;maximumRecords=0</t>
  </si>
  <si>
    <t>https://swisscovery.slsp.ch/view/sru/41SLSP_VGE?version=1.2&amp;operation=searchRetrieve&amp;recordSchema=marcxml&amp;query=alma.authority_id=069493022&amp;maximumRecords=0</t>
  </si>
  <si>
    <t>293629838</t>
  </si>
  <si>
    <t>https://swisscovery.slsp.ch/view/sru/41SLSP_NETWORK?version=1.2&amp;operation=searchRetrieve&amp;recordSchema=marcxml&amp;query=alma.authority_id=293629838&amp;maximumRecords=0</t>
  </si>
  <si>
    <t>https://swisscovery.slsp.ch/view/sru/41SLSP_VGE?version=1.2&amp;operation=searchRetrieve&amp;recordSchema=marcxml&amp;query=alma.authority_id=293629838&amp;maximumRecords=0</t>
  </si>
  <si>
    <t>029947456</t>
  </si>
  <si>
    <t>https://swisscovery.slsp.ch/view/sru/41SLSP_NETWORK?version=1.2&amp;operation=searchRetrieve&amp;recordSchema=marcxml&amp;query=alma.authority_id=029947456&amp;maximumRecords=0</t>
  </si>
  <si>
    <t>https://swisscovery.slsp.ch/view/sru/41SLSP_VGE?version=1.2&amp;operation=searchRetrieve&amp;recordSchema=marcxml&amp;query=alma.authority_id=029947456&amp;maximumRecords=0</t>
  </si>
  <si>
    <t>028739604</t>
  </si>
  <si>
    <t>https://swisscovery.slsp.ch/view/sru/41SLSP_NETWORK?version=1.2&amp;operation=searchRetrieve&amp;recordSchema=marcxml&amp;query=alma.authority_id=028739604&amp;maximumRecords=0</t>
  </si>
  <si>
    <t>https://swisscovery.slsp.ch/view/sru/41SLSP_VGE?version=1.2&amp;operation=searchRetrieve&amp;recordSchema=marcxml&amp;query=alma.authority_id=028739604&amp;maximumRecords=0</t>
  </si>
  <si>
    <t>293650640</t>
  </si>
  <si>
    <t>https://swisscovery.slsp.ch/view/sru/41SLSP_NETWORK?version=1.2&amp;operation=searchRetrieve&amp;recordSchema=marcxml&amp;query=alma.authority_id=293650640&amp;maximumRecords=0</t>
  </si>
  <si>
    <t>https://swisscovery.slsp.ch/view/sru/41SLSP_VGE?version=1.2&amp;operation=searchRetrieve&amp;recordSchema=marcxml&amp;query=alma.authority_id=293650640&amp;maximumRecords=0</t>
  </si>
  <si>
    <t>151601690</t>
  </si>
  <si>
    <t>https://swisscovery.slsp.ch/view/sru/41SLSP_NETWORK?version=1.2&amp;operation=searchRetrieve&amp;recordSchema=marcxml&amp;query=alma.authority_id=151601690&amp;maximumRecords=0</t>
  </si>
  <si>
    <t>https://swisscovery.slsp.ch/view/sru/41SLSP_VGE?version=1.2&amp;operation=searchRetrieve&amp;recordSchema=marcxml&amp;query=alma.authority_id=151601690&amp;maximumRecords=0</t>
  </si>
  <si>
    <t>081146876</t>
  </si>
  <si>
    <t>https://swisscovery.slsp.ch/view/sru/41SLSP_NETWORK?version=1.2&amp;operation=searchRetrieve&amp;recordSchema=marcxml&amp;query=alma.authority_id=081146876&amp;maximumRecords=0</t>
  </si>
  <si>
    <t>https://swisscovery.slsp.ch/view/sru/41SLSP_VGE?version=1.2&amp;operation=searchRetrieve&amp;recordSchema=marcxml&amp;query=alma.authority_id=081146876&amp;maximumRecords=0</t>
  </si>
  <si>
    <t>294134018</t>
  </si>
  <si>
    <t>https://swisscovery.slsp.ch/view/sru/41SLSP_NETWORK?version=1.2&amp;operation=searchRetrieve&amp;recordSchema=marcxml&amp;query=alma.authority_id=294134018&amp;maximumRecords=0</t>
  </si>
  <si>
    <t>https://swisscovery.slsp.ch/view/sru/41SLSP_VGE?version=1.2&amp;operation=searchRetrieve&amp;recordSchema=marcxml&amp;query=alma.authority_id=294134018&amp;maximumRecords=0</t>
  </si>
  <si>
    <t>295172894</t>
  </si>
  <si>
    <t>https://swisscovery.slsp.ch/view/sru/41SLSP_NETWORK?version=1.2&amp;operation=searchRetrieve&amp;recordSchema=marcxml&amp;query=alma.authority_id=295172894&amp;maximumRecords=0</t>
  </si>
  <si>
    <t>https://swisscovery.slsp.ch/view/sru/41SLSP_VGE?version=1.2&amp;operation=searchRetrieve&amp;recordSchema=marcxml&amp;query=alma.authority_id=295172894&amp;maximumRecords=0</t>
  </si>
  <si>
    <t>270891625</t>
  </si>
  <si>
    <t>https://swisscovery.slsp.ch/view/sru/41SLSP_NETWORK?version=1.2&amp;operation=searchRetrieve&amp;recordSchema=marcxml&amp;query=alma.authority_id=270891625&amp;maximumRecords=0</t>
  </si>
  <si>
    <t>https://swisscovery.slsp.ch/view/sru/41SLSP_VGE?version=1.2&amp;operation=searchRetrieve&amp;recordSchema=marcxml&amp;query=alma.authority_id=270891625&amp;maximumRecords=0</t>
  </si>
  <si>
    <t>077927141</t>
  </si>
  <si>
    <t>https://swisscovery.slsp.ch/view/sru/41SLSP_NETWORK?version=1.2&amp;operation=searchRetrieve&amp;recordSchema=marcxml&amp;query=alma.authority_id=077927141&amp;maximumRecords=0</t>
  </si>
  <si>
    <t>https://swisscovery.slsp.ch/view/sru/41SLSP_VGE?version=1.2&amp;operation=searchRetrieve&amp;recordSchema=marcxml&amp;query=alma.authority_id=077927141&amp;maximumRecords=0</t>
  </si>
  <si>
    <t>026519070</t>
  </si>
  <si>
    <t>https://swisscovery.slsp.ch/view/sru/41SLSP_NETWORK?version=1.2&amp;operation=searchRetrieve&amp;recordSchema=marcxml&amp;query=alma.authority_id=026519070&amp;maximumRecords=0</t>
  </si>
  <si>
    <t>https://swisscovery.slsp.ch/view/sru/41SLSP_VGE?version=1.2&amp;operation=searchRetrieve&amp;recordSchema=marcxml&amp;query=alma.authority_id=026519070&amp;maximumRecords=0</t>
  </si>
  <si>
    <t>059366532</t>
  </si>
  <si>
    <t>https://swisscovery.slsp.ch/view/sru/41SLSP_NETWORK?version=1.2&amp;operation=searchRetrieve&amp;recordSchema=marcxml&amp;query=alma.authority_id=059366532&amp;maximumRecords=0</t>
  </si>
  <si>
    <t>https://swisscovery.slsp.ch/view/sru/41SLSP_VGE?version=1.2&amp;operation=searchRetrieve&amp;recordSchema=marcxml&amp;query=alma.authority_id=059366532&amp;maximumRecords=0</t>
  </si>
  <si>
    <t>257394508</t>
  </si>
  <si>
    <t>https://swisscovery.slsp.ch/view/sru/41SLSP_NETWORK?version=1.2&amp;operation=searchRetrieve&amp;recordSchema=marcxml&amp;query=alma.authority_id=257394508&amp;maximumRecords=0</t>
  </si>
  <si>
    <t>https://swisscovery.slsp.ch/view/sru/41SLSP_VGE?version=1.2&amp;operation=searchRetrieve&amp;recordSchema=marcxml&amp;query=alma.authority_id=257394508&amp;maximumRecords=0</t>
  </si>
  <si>
    <t>258045418</t>
  </si>
  <si>
    <t>https://swisscovery.slsp.ch/view/sru/41SLSP_NETWORK?version=1.2&amp;operation=searchRetrieve&amp;recordSchema=marcxml&amp;query=alma.authority_id=258045418&amp;maximumRecords=0</t>
  </si>
  <si>
    <t>https://swisscovery.slsp.ch/view/sru/41SLSP_VGE?version=1.2&amp;operation=searchRetrieve&amp;recordSchema=marcxml&amp;query=alma.authority_id=258045418&amp;maximumRecords=0</t>
  </si>
  <si>
    <t>028789105</t>
  </si>
  <si>
    <t>https://swisscovery.slsp.ch/view/sru/41SLSP_NETWORK?version=1.2&amp;operation=searchRetrieve&amp;recordSchema=marcxml&amp;query=alma.authority_id=028789105&amp;maximumRecords=0</t>
  </si>
  <si>
    <t>https://swisscovery.slsp.ch/view/sru/41SLSP_VGE?version=1.2&amp;operation=searchRetrieve&amp;recordSchema=marcxml&amp;query=alma.authority_id=028789105&amp;maximumRecords=0</t>
  </si>
  <si>
    <t>084025980</t>
  </si>
  <si>
    <t>https://swisscovery.slsp.ch/view/sru/41SLSP_NETWORK?version=1.2&amp;operation=searchRetrieve&amp;recordSchema=marcxml&amp;query=alma.authority_id=084025980&amp;maximumRecords=0</t>
  </si>
  <si>
    <t>https://swisscovery.slsp.ch/view/sru/41SLSP_VGE?version=1.2&amp;operation=searchRetrieve&amp;recordSchema=marcxml&amp;query=alma.authority_id=084025980&amp;maximumRecords=0</t>
  </si>
  <si>
    <t>285483943</t>
  </si>
  <si>
    <t>https://swisscovery.slsp.ch/view/sru/41SLSP_NETWORK?version=1.2&amp;operation=searchRetrieve&amp;recordSchema=marcxml&amp;query=alma.authority_id=285483943&amp;maximumRecords=0</t>
  </si>
  <si>
    <t>https://swisscovery.slsp.ch/view/sru/41SLSP_VGE?version=1.2&amp;operation=searchRetrieve&amp;recordSchema=marcxml&amp;query=alma.authority_id=285483943&amp;maximumRecords=0</t>
  </si>
  <si>
    <t>272861200</t>
  </si>
  <si>
    <t>https://swisscovery.slsp.ch/view/sru/41SLSP_NETWORK?version=1.2&amp;operation=searchRetrieve&amp;recordSchema=marcxml&amp;query=alma.authority_id=272861200&amp;maximumRecords=0</t>
  </si>
  <si>
    <t>https://swisscovery.slsp.ch/view/sru/41SLSP_VGE?version=1.2&amp;operation=searchRetrieve&amp;recordSchema=marcxml&amp;query=alma.authority_id=272861200&amp;maximumRecords=0</t>
  </si>
  <si>
    <t>081548567</t>
  </si>
  <si>
    <t>https://swisscovery.slsp.ch/view/sru/41SLSP_NETWORK?version=1.2&amp;operation=searchRetrieve&amp;recordSchema=marcxml&amp;query=alma.authority_id=081548567&amp;maximumRecords=0</t>
  </si>
  <si>
    <t>https://swisscovery.slsp.ch/view/sru/41SLSP_VGE?version=1.2&amp;operation=searchRetrieve&amp;recordSchema=marcxml&amp;query=alma.authority_id=081548567&amp;maximumRecords=0</t>
  </si>
  <si>
    <t>294289259</t>
  </si>
  <si>
    <t>https://swisscovery.slsp.ch/view/sru/41SLSP_NETWORK?version=1.2&amp;operation=searchRetrieve&amp;recordSchema=marcxml&amp;query=alma.authority_id=294289259&amp;maximumRecords=0</t>
  </si>
  <si>
    <t>https://swisscovery.slsp.ch/view/sru/41SLSP_VGE?version=1.2&amp;operation=searchRetrieve&amp;recordSchema=marcxml&amp;query=alma.authority_id=294289259&amp;maximumRecords=0</t>
  </si>
  <si>
    <t>295048654</t>
  </si>
  <si>
    <t>https://swisscovery.slsp.ch/view/sru/41SLSP_NETWORK?version=1.2&amp;operation=searchRetrieve&amp;recordSchema=marcxml&amp;query=alma.authority_id=295048654&amp;maximumRecords=0</t>
  </si>
  <si>
    <t>https://swisscovery.slsp.ch/view/sru/41SLSP_VGE?version=1.2&amp;operation=searchRetrieve&amp;recordSchema=marcxml&amp;query=alma.authority_id=295048654&amp;maximumRecords=0</t>
  </si>
  <si>
    <t>293588163</t>
  </si>
  <si>
    <t>https://swisscovery.slsp.ch/view/sru/41SLSP_NETWORK?version=1.2&amp;operation=searchRetrieve&amp;recordSchema=marcxml&amp;query=alma.authority_id=293588163&amp;maximumRecords=0</t>
  </si>
  <si>
    <t>https://swisscovery.slsp.ch/view/sru/41SLSP_VGE?version=1.2&amp;operation=searchRetrieve&amp;recordSchema=marcxml&amp;query=alma.authority_id=293588163&amp;maximumRecords=0</t>
  </si>
  <si>
    <t>137841620</t>
  </si>
  <si>
    <t>https://swisscovery.slsp.ch/view/sru/41SLSP_NETWORK?version=1.2&amp;operation=searchRetrieve&amp;recordSchema=marcxml&amp;query=alma.authority_id=137841620&amp;maximumRecords=0</t>
  </si>
  <si>
    <t>https://swisscovery.slsp.ch/view/sru/41SLSP_VGE?version=1.2&amp;operation=searchRetrieve&amp;recordSchema=marcxml&amp;query=alma.authority_id=137841620&amp;maximumRecords=0</t>
  </si>
  <si>
    <t>26384563X</t>
  </si>
  <si>
    <t>https://swisscovery.slsp.ch/view/sru/41SLSP_NETWORK?version=1.2&amp;operation=searchRetrieve&amp;recordSchema=marcxml&amp;query=alma.authority_id=26384563X&amp;maximumRecords=0</t>
  </si>
  <si>
    <t>https://swisscovery.slsp.ch/view/sru/41SLSP_VGE?version=1.2&amp;operation=searchRetrieve&amp;recordSchema=marcxml&amp;query=alma.authority_id=26384563X&amp;maximumRecords=0</t>
  </si>
  <si>
    <t>194169022</t>
  </si>
  <si>
    <t>https://swisscovery.slsp.ch/view/sru/41SLSP_NETWORK?version=1.2&amp;operation=searchRetrieve&amp;recordSchema=marcxml&amp;query=alma.authority_id=194169022&amp;maximumRecords=0</t>
  </si>
  <si>
    <t>https://swisscovery.slsp.ch/view/sru/41SLSP_VGE?version=1.2&amp;operation=searchRetrieve&amp;recordSchema=marcxml&amp;query=alma.authority_id=194169022&amp;maximumRecords=0</t>
  </si>
  <si>
    <t>111659086</t>
  </si>
  <si>
    <t>https://swisscovery.slsp.ch/view/sru/41SLSP_NETWORK?version=1.2&amp;operation=searchRetrieve&amp;recordSchema=marcxml&amp;query=alma.authority_id=111659086&amp;maximumRecords=0</t>
  </si>
  <si>
    <t>https://swisscovery.slsp.ch/view/sru/41SLSP_VGE?version=1.2&amp;operation=searchRetrieve&amp;recordSchema=marcxml&amp;query=alma.authority_id=111659086&amp;maximumRecords=0</t>
  </si>
  <si>
    <t>085588008</t>
  </si>
  <si>
    <t>https://swisscovery.slsp.ch/view/sru/41SLSP_NETWORK?version=1.2&amp;operation=searchRetrieve&amp;recordSchema=marcxml&amp;query=alma.authority_id=085588008&amp;maximumRecords=0</t>
  </si>
  <si>
    <t>https://swisscovery.slsp.ch/view/sru/41SLSP_VGE?version=1.2&amp;operation=searchRetrieve&amp;recordSchema=marcxml&amp;query=alma.authority_id=085588008&amp;maximumRecords=0</t>
  </si>
  <si>
    <t>194887472</t>
  </si>
  <si>
    <t>https://swisscovery.slsp.ch/view/sru/41SLSP_NETWORK?version=1.2&amp;operation=searchRetrieve&amp;recordSchema=marcxml&amp;query=alma.authority_id=194887472&amp;maximumRecords=0</t>
  </si>
  <si>
    <t>https://swisscovery.slsp.ch/view/sru/41SLSP_VGE?version=1.2&amp;operation=searchRetrieve&amp;recordSchema=marcxml&amp;query=alma.authority_id=194887472&amp;maximumRecords=0</t>
  </si>
  <si>
    <t>256837910</t>
  </si>
  <si>
    <t>https://swisscovery.slsp.ch/view/sru/41SLSP_NETWORK?version=1.2&amp;operation=searchRetrieve&amp;recordSchema=marcxml&amp;query=alma.authority_id=256837910&amp;maximumRecords=0</t>
  </si>
  <si>
    <t>https://swisscovery.slsp.ch/view/sru/41SLSP_VGE?version=1.2&amp;operation=searchRetrieve&amp;recordSchema=marcxml&amp;query=alma.authority_id=256837910&amp;maximumRecords=0</t>
  </si>
  <si>
    <t>270852476</t>
  </si>
  <si>
    <t>https://swisscovery.slsp.ch/view/sru/41SLSP_NETWORK?version=1.2&amp;operation=searchRetrieve&amp;recordSchema=marcxml&amp;query=alma.authority_id=270852476&amp;maximumRecords=0</t>
  </si>
  <si>
    <t>https://swisscovery.slsp.ch/view/sru/41SLSP_VGE?version=1.2&amp;operation=searchRetrieve&amp;recordSchema=marcxml&amp;query=alma.authority_id=270852476&amp;maximumRecords=0</t>
  </si>
  <si>
    <t>165451831</t>
  </si>
  <si>
    <t>https://swisscovery.slsp.ch/view/sru/41SLSP_NETWORK?version=1.2&amp;operation=searchRetrieve&amp;recordSchema=marcxml&amp;query=alma.authority_id=165451831&amp;maximumRecords=0</t>
  </si>
  <si>
    <t>https://swisscovery.slsp.ch/view/sru/41SLSP_VGE?version=1.2&amp;operation=searchRetrieve&amp;recordSchema=marcxml&amp;query=alma.authority_id=165451831&amp;maximumRecords=0</t>
  </si>
  <si>
    <t>294220992</t>
  </si>
  <si>
    <t>https://swisscovery.slsp.ch/view/sru/41SLSP_NETWORK?version=1.2&amp;operation=searchRetrieve&amp;recordSchema=marcxml&amp;query=alma.authority_id=294220992&amp;maximumRecords=0</t>
  </si>
  <si>
    <t>https://swisscovery.slsp.ch/view/sru/41SLSP_VGE?version=1.2&amp;operation=searchRetrieve&amp;recordSchema=marcxml&amp;query=alma.authority_id=294220992&amp;maximumRecords=0</t>
  </si>
  <si>
    <t>294477004</t>
  </si>
  <si>
    <t>https://swisscovery.slsp.ch/view/sru/41SLSP_NETWORK?version=1.2&amp;operation=searchRetrieve&amp;recordSchema=marcxml&amp;query=alma.authority_id=294477004&amp;maximumRecords=0</t>
  </si>
  <si>
    <t>https://swisscovery.slsp.ch/view/sru/41SLSP_VGE?version=1.2&amp;operation=searchRetrieve&amp;recordSchema=marcxml&amp;query=alma.authority_id=294477004&amp;maximumRecords=0</t>
  </si>
  <si>
    <t>260731803</t>
  </si>
  <si>
    <t>https://swisscovery.slsp.ch/view/sru/41SLSP_NETWORK?version=1.2&amp;operation=searchRetrieve&amp;recordSchema=marcxml&amp;query=alma.authority_id=260731803&amp;maximumRecords=0</t>
  </si>
  <si>
    <t>https://swisscovery.slsp.ch/view/sru/41SLSP_VGE?version=1.2&amp;operation=searchRetrieve&amp;recordSchema=marcxml&amp;query=alma.authority_id=260731803&amp;maximumRecords=0</t>
  </si>
  <si>
    <t>258129670</t>
  </si>
  <si>
    <t>https://swisscovery.slsp.ch/view/sru/41SLSP_NETWORK?version=1.2&amp;operation=searchRetrieve&amp;recordSchema=marcxml&amp;query=alma.authority_id=258129670&amp;maximumRecords=0</t>
  </si>
  <si>
    <t>https://swisscovery.slsp.ch/view/sru/41SLSP_VGE?version=1.2&amp;operation=searchRetrieve&amp;recordSchema=marcxml&amp;query=alma.authority_id=258129670&amp;maximumRecords=0</t>
  </si>
  <si>
    <t>262836114</t>
  </si>
  <si>
    <t>https://swisscovery.slsp.ch/view/sru/41SLSP_NETWORK?version=1.2&amp;operation=searchRetrieve&amp;recordSchema=marcxml&amp;query=alma.authority_id=262836114&amp;maximumRecords=0</t>
  </si>
  <si>
    <t>https://swisscovery.slsp.ch/view/sru/41SLSP_VGE?version=1.2&amp;operation=searchRetrieve&amp;recordSchema=marcxml&amp;query=alma.authority_id=262836114&amp;maximumRecords=0</t>
  </si>
  <si>
    <t>028417739</t>
  </si>
  <si>
    <t>https://swisscovery.slsp.ch/view/sru/41SLSP_NETWORK?version=1.2&amp;operation=searchRetrieve&amp;recordSchema=marcxml&amp;query=alma.authority_id=028417739&amp;maximumRecords=0</t>
  </si>
  <si>
    <t>https://swisscovery.slsp.ch/view/sru/41SLSP_VGE?version=1.2&amp;operation=searchRetrieve&amp;recordSchema=marcxml&amp;query=alma.authority_id=028417739&amp;maximumRecords=0</t>
  </si>
  <si>
    <t>264290054</t>
  </si>
  <si>
    <t>https://swisscovery.slsp.ch/view/sru/41SLSP_NETWORK?version=1.2&amp;operation=searchRetrieve&amp;recordSchema=marcxml&amp;query=alma.authority_id=264290054&amp;maximumRecords=0</t>
  </si>
  <si>
    <t>https://swisscovery.slsp.ch/view/sru/41SLSP_VGE?version=1.2&amp;operation=searchRetrieve&amp;recordSchema=marcxml&amp;query=alma.authority_id=264290054&amp;maximumRecords=0</t>
  </si>
  <si>
    <t>267419872</t>
  </si>
  <si>
    <t>https://swisscovery.slsp.ch/view/sru/41SLSP_NETWORK?version=1.2&amp;operation=searchRetrieve&amp;recordSchema=marcxml&amp;query=alma.authority_id=267419872&amp;maximumRecords=0</t>
  </si>
  <si>
    <t>https://swisscovery.slsp.ch/view/sru/41SLSP_VGE?version=1.2&amp;operation=searchRetrieve&amp;recordSchema=marcxml&amp;query=alma.authority_id=267419872&amp;maximumRecords=0</t>
  </si>
  <si>
    <t>079865062</t>
  </si>
  <si>
    <t>https://swisscovery.slsp.ch/view/sru/41SLSP_NETWORK?version=1.2&amp;operation=searchRetrieve&amp;recordSchema=marcxml&amp;query=alma.authority_id=079865062&amp;maximumRecords=0</t>
  </si>
  <si>
    <t>https://swisscovery.slsp.ch/view/sru/41SLSP_VGE?version=1.2&amp;operation=searchRetrieve&amp;recordSchema=marcxml&amp;query=alma.authority_id=079865062&amp;maximumRecords=0</t>
  </si>
  <si>
    <t>076242420</t>
  </si>
  <si>
    <t>https://swisscovery.slsp.ch/view/sru/41SLSP_NETWORK?version=1.2&amp;operation=searchRetrieve&amp;recordSchema=marcxml&amp;query=alma.authority_id=076242420&amp;maximumRecords=0</t>
  </si>
  <si>
    <t>https://swisscovery.slsp.ch/view/sru/41SLSP_VGE?version=1.2&amp;operation=searchRetrieve&amp;recordSchema=marcxml&amp;query=alma.authority_id=076242420&amp;maximumRecords=0</t>
  </si>
  <si>
    <t>271911832</t>
  </si>
  <si>
    <t>https://swisscovery.slsp.ch/view/sru/41SLSP_NETWORK?version=1.2&amp;operation=searchRetrieve&amp;recordSchema=marcxml&amp;query=alma.authority_id=271911832&amp;maximumRecords=0</t>
  </si>
  <si>
    <t>https://swisscovery.slsp.ch/view/sru/41SLSP_VGE?version=1.2&amp;operation=searchRetrieve&amp;recordSchema=marcxml&amp;query=alma.authority_id=271911832&amp;maximumRecords=0</t>
  </si>
  <si>
    <t>293611319</t>
  </si>
  <si>
    <t>https://swisscovery.slsp.ch/view/sru/41SLSP_NETWORK?version=1.2&amp;operation=searchRetrieve&amp;recordSchema=marcxml&amp;query=alma.authority_id=293611319&amp;maximumRecords=0</t>
  </si>
  <si>
    <t>https://swisscovery.slsp.ch/view/sru/41SLSP_VGE?version=1.2&amp;operation=searchRetrieve&amp;recordSchema=marcxml&amp;query=alma.authority_id=293611319&amp;maximumRecords=0</t>
  </si>
  <si>
    <t>294387269</t>
  </si>
  <si>
    <t>https://swisscovery.slsp.ch/view/sru/41SLSP_NETWORK?version=1.2&amp;operation=searchRetrieve&amp;recordSchema=marcxml&amp;query=alma.authority_id=294387269&amp;maximumRecords=0</t>
  </si>
  <si>
    <t>https://swisscovery.slsp.ch/view/sru/41SLSP_VGE?version=1.2&amp;operation=searchRetrieve&amp;recordSchema=marcxml&amp;query=alma.authority_id=294387269&amp;maximumRecords=0</t>
  </si>
  <si>
    <t>273870556</t>
  </si>
  <si>
    <t>https://swisscovery.slsp.ch/view/sru/41SLSP_NETWORK?version=1.2&amp;operation=searchRetrieve&amp;recordSchema=marcxml&amp;query=alma.authority_id=273870556&amp;maximumRecords=0</t>
  </si>
  <si>
    <t>https://swisscovery.slsp.ch/view/sru/41SLSP_VGE?version=1.2&amp;operation=searchRetrieve&amp;recordSchema=marcxml&amp;query=alma.authority_id=273870556&amp;maximumRecords=0</t>
  </si>
  <si>
    <t>110355032</t>
  </si>
  <si>
    <t>https://swisscovery.slsp.ch/view/sru/41SLSP_NETWORK?version=1.2&amp;operation=searchRetrieve&amp;recordSchema=marcxml&amp;query=alma.authority_id=110355032&amp;maximumRecords=0</t>
  </si>
  <si>
    <t>https://swisscovery.slsp.ch/view/sru/41SLSP_VGE?version=1.2&amp;operation=searchRetrieve&amp;recordSchema=marcxml&amp;query=alma.authority_id=110355032&amp;maximumRecords=0</t>
  </si>
  <si>
    <t>294217614</t>
  </si>
  <si>
    <t>https://swisscovery.slsp.ch/view/sru/41SLSP_NETWORK?version=1.2&amp;operation=searchRetrieve&amp;recordSchema=marcxml&amp;query=alma.authority_id=294217614&amp;maximumRecords=0</t>
  </si>
  <si>
    <t>https://swisscovery.slsp.ch/view/sru/41SLSP_VGE?version=1.2&amp;operation=searchRetrieve&amp;recordSchema=marcxml&amp;query=alma.authority_id=294217614&amp;maximumRecords=0</t>
  </si>
  <si>
    <t>294415319</t>
  </si>
  <si>
    <t>https://swisscovery.slsp.ch/view/sru/41SLSP_NETWORK?version=1.2&amp;operation=searchRetrieve&amp;recordSchema=marcxml&amp;query=alma.authority_id=294415319&amp;maximumRecords=0</t>
  </si>
  <si>
    <t>https://swisscovery.slsp.ch/view/sru/41SLSP_VGE?version=1.2&amp;operation=searchRetrieve&amp;recordSchema=marcxml&amp;query=alma.authority_id=294415319&amp;maximumRecords=0</t>
  </si>
  <si>
    <t>294292837</t>
  </si>
  <si>
    <t>https://swisscovery.slsp.ch/view/sru/41SLSP_NETWORK?version=1.2&amp;operation=searchRetrieve&amp;recordSchema=marcxml&amp;query=alma.authority_id=294292837&amp;maximumRecords=0</t>
  </si>
  <si>
    <t>https://swisscovery.slsp.ch/view/sru/41SLSP_VGE?version=1.2&amp;operation=searchRetrieve&amp;recordSchema=marcxml&amp;query=alma.authority_id=294292837&amp;maximumRecords=0</t>
  </si>
  <si>
    <t>069513317</t>
  </si>
  <si>
    <t>https://swisscovery.slsp.ch/view/sru/41SLSP_NETWORK?version=1.2&amp;operation=searchRetrieve&amp;recordSchema=marcxml&amp;query=alma.authority_id=069513317&amp;maximumRecords=0</t>
  </si>
  <si>
    <t>https://swisscovery.slsp.ch/view/sru/41SLSP_VGE?version=1.2&amp;operation=searchRetrieve&amp;recordSchema=marcxml&amp;query=alma.authority_id=069513317&amp;maximumRecords=0</t>
  </si>
  <si>
    <t>294176578</t>
  </si>
  <si>
    <t>https://swisscovery.slsp.ch/view/sru/41SLSP_NETWORK?version=1.2&amp;operation=searchRetrieve&amp;recordSchema=marcxml&amp;query=alma.authority_id=294176578&amp;maximumRecords=0</t>
  </si>
  <si>
    <t>https://swisscovery.slsp.ch/view/sru/41SLSP_VGE?version=1.2&amp;operation=searchRetrieve&amp;recordSchema=marcxml&amp;query=alma.authority_id=294176578&amp;maximumRecords=0</t>
  </si>
  <si>
    <t>289957486</t>
  </si>
  <si>
    <t>https://swisscovery.slsp.ch/view/sru/41SLSP_NETWORK?version=1.2&amp;operation=searchRetrieve&amp;recordSchema=marcxml&amp;query=alma.authority_id=289957486&amp;maximumRecords=0</t>
  </si>
  <si>
    <t>https://swisscovery.slsp.ch/view/sru/41SLSP_VGE?version=1.2&amp;operation=searchRetrieve&amp;recordSchema=marcxml&amp;query=alma.authority_id=289957486&amp;maximumRecords=0</t>
  </si>
  <si>
    <t>154750891</t>
  </si>
  <si>
    <t>https://swisscovery.slsp.ch/view/sru/41SLSP_NETWORK?version=1.2&amp;operation=searchRetrieve&amp;recordSchema=marcxml&amp;query=alma.authority_id=154750891&amp;maximumRecords=0</t>
  </si>
  <si>
    <t>https://swisscovery.slsp.ch/view/sru/41SLSP_VGE?version=1.2&amp;operation=searchRetrieve&amp;recordSchema=marcxml&amp;query=alma.authority_id=154750891&amp;maximumRecords=0</t>
  </si>
  <si>
    <t>028731476</t>
  </si>
  <si>
    <t>https://swisscovery.slsp.ch/view/sru/41SLSP_NETWORK?version=1.2&amp;operation=searchRetrieve&amp;recordSchema=marcxml&amp;query=alma.authority_id=028731476&amp;maximumRecords=0</t>
  </si>
  <si>
    <t>https://swisscovery.slsp.ch/view/sru/41SLSP_VGE?version=1.2&amp;operation=searchRetrieve&amp;recordSchema=marcxml&amp;query=alma.authority_id=028731476&amp;maximumRecords=0</t>
  </si>
  <si>
    <t>106958011</t>
  </si>
  <si>
    <t>https://swisscovery.slsp.ch/view/sru/41SLSP_NETWORK?version=1.2&amp;operation=searchRetrieve&amp;recordSchema=marcxml&amp;query=alma.authority_id=106958011&amp;maximumRecords=0</t>
  </si>
  <si>
    <t>https://swisscovery.slsp.ch/view/sru/41SLSP_VGE?version=1.2&amp;operation=searchRetrieve&amp;recordSchema=marcxml&amp;query=alma.authority_id=106958011&amp;maximumRecords=0</t>
  </si>
  <si>
    <t>294906428</t>
  </si>
  <si>
    <t>https://swisscovery.slsp.ch/view/sru/41SLSP_NETWORK?version=1.2&amp;operation=searchRetrieve&amp;recordSchema=marcxml&amp;query=alma.authority_id=294906428&amp;maximumRecords=0</t>
  </si>
  <si>
    <t>https://swisscovery.slsp.ch/view/sru/41SLSP_VGE?version=1.2&amp;operation=searchRetrieve&amp;recordSchema=marcxml&amp;query=alma.authority_id=294906428&amp;maximumRecords=0</t>
  </si>
  <si>
    <t>070424101</t>
  </si>
  <si>
    <t>https://swisscovery.slsp.ch/view/sru/41SLSP_NETWORK?version=1.2&amp;operation=searchRetrieve&amp;recordSchema=marcxml&amp;query=alma.authority_id=070424101&amp;maximumRecords=0</t>
  </si>
  <si>
    <t>https://swisscovery.slsp.ch/view/sru/41SLSP_VGE?version=1.2&amp;operation=searchRetrieve&amp;recordSchema=marcxml&amp;query=alma.authority_id=070424101&amp;maximumRecords=0</t>
  </si>
  <si>
    <t>127446176</t>
  </si>
  <si>
    <t>https://swisscovery.slsp.ch/view/sru/41SLSP_NETWORK?version=1.2&amp;operation=searchRetrieve&amp;recordSchema=marcxml&amp;query=alma.authority_id=127446176&amp;maximumRecords=0</t>
  </si>
  <si>
    <t>https://swisscovery.slsp.ch/view/sru/41SLSP_VGE?version=1.2&amp;operation=searchRetrieve&amp;recordSchema=marcxml&amp;query=alma.authority_id=127446176&amp;maximumRecords=0</t>
  </si>
  <si>
    <t>286690764</t>
  </si>
  <si>
    <t>https://swisscovery.slsp.ch/view/sru/41SLSP_NETWORK?version=1.2&amp;operation=searchRetrieve&amp;recordSchema=marcxml&amp;query=alma.authority_id=286690764&amp;maximumRecords=0</t>
  </si>
  <si>
    <t>https://swisscovery.slsp.ch/view/sru/41SLSP_VGE?version=1.2&amp;operation=searchRetrieve&amp;recordSchema=marcxml&amp;query=alma.authority_id=286690764&amp;maximumRecords=0</t>
  </si>
  <si>
    <t>28077818X</t>
  </si>
  <si>
    <t>https://swisscovery.slsp.ch/view/sru/41SLSP_NETWORK?version=1.2&amp;operation=searchRetrieve&amp;recordSchema=marcxml&amp;query=alma.authority_id=28077818X&amp;maximumRecords=0</t>
  </si>
  <si>
    <t>https://swisscovery.slsp.ch/view/sru/41SLSP_VGE?version=1.2&amp;operation=searchRetrieve&amp;recordSchema=marcxml&amp;query=alma.authority_id=28077818X&amp;maximumRecords=0</t>
  </si>
  <si>
    <t>284138681</t>
  </si>
  <si>
    <t>https://swisscovery.slsp.ch/view/sru/41SLSP_NETWORK?version=1.2&amp;operation=searchRetrieve&amp;recordSchema=marcxml&amp;query=alma.authority_id=284138681&amp;maximumRecords=0</t>
  </si>
  <si>
    <t>https://swisscovery.slsp.ch/view/sru/41SLSP_VGE?version=1.2&amp;operation=searchRetrieve&amp;recordSchema=marcxml&amp;query=alma.authority_id=284138681&amp;maximumRecords=0</t>
  </si>
  <si>
    <t>188134832</t>
  </si>
  <si>
    <t>https://swisscovery.slsp.ch/view/sru/41SLSP_NETWORK?version=1.2&amp;operation=searchRetrieve&amp;recordSchema=marcxml&amp;query=alma.authority_id=188134832&amp;maximumRecords=0</t>
  </si>
  <si>
    <t>https://swisscovery.slsp.ch/view/sru/41SLSP_VGE?version=1.2&amp;operation=searchRetrieve&amp;recordSchema=marcxml&amp;query=alma.authority_id=188134832&amp;maximumRecords=0</t>
  </si>
  <si>
    <t>288916093</t>
  </si>
  <si>
    <t>https://swisscovery.slsp.ch/view/sru/41SLSP_NETWORK?version=1.2&amp;operation=searchRetrieve&amp;recordSchema=marcxml&amp;query=alma.authority_id=288916093&amp;maximumRecords=0</t>
  </si>
  <si>
    <t>https://swisscovery.slsp.ch/view/sru/41SLSP_VGE?version=1.2&amp;operation=searchRetrieve&amp;recordSchema=marcxml&amp;query=alma.authority_id=288916093&amp;maximumRecords=0</t>
  </si>
  <si>
    <t>026965720</t>
  </si>
  <si>
    <t>https://swisscovery.slsp.ch/view/sru/41SLSP_NETWORK?version=1.2&amp;operation=searchRetrieve&amp;recordSchema=marcxml&amp;query=alma.authority_id=026965720&amp;maximumRecords=0</t>
  </si>
  <si>
    <t>https://swisscovery.slsp.ch/view/sru/41SLSP_VGE?version=1.2&amp;operation=searchRetrieve&amp;recordSchema=marcxml&amp;query=alma.authority_id=026965720&amp;maximumRecords=0</t>
  </si>
  <si>
    <t>151918279</t>
  </si>
  <si>
    <t>https://swisscovery.slsp.ch/view/sru/41SLSP_NETWORK?version=1.2&amp;operation=searchRetrieve&amp;recordSchema=marcxml&amp;query=alma.authority_id=151918279&amp;maximumRecords=0</t>
  </si>
  <si>
    <t>https://swisscovery.slsp.ch/view/sru/41SLSP_VGE?version=1.2&amp;operation=searchRetrieve&amp;recordSchema=marcxml&amp;query=alma.authority_id=151918279&amp;maximumRecords=0</t>
  </si>
  <si>
    <t>290451647</t>
  </si>
  <si>
    <t>https://swisscovery.slsp.ch/view/sru/41SLSP_NETWORK?version=1.2&amp;operation=searchRetrieve&amp;recordSchema=marcxml&amp;query=alma.authority_id=290451647&amp;maximumRecords=0</t>
  </si>
  <si>
    <t>https://swisscovery.slsp.ch/view/sru/41SLSP_VGE?version=1.2&amp;operation=searchRetrieve&amp;recordSchema=marcxml&amp;query=alma.authority_id=290451647&amp;maximumRecords=0</t>
  </si>
  <si>
    <t>25629626X</t>
  </si>
  <si>
    <t>https://swisscovery.slsp.ch/view/sru/41SLSP_NETWORK?version=1.2&amp;operation=searchRetrieve&amp;recordSchema=marcxml&amp;query=alma.authority_id=25629626X&amp;maximumRecords=0</t>
  </si>
  <si>
    <t>https://swisscovery.slsp.ch/view/sru/41SLSP_VGE?version=1.2&amp;operation=searchRetrieve&amp;recordSchema=marcxml&amp;query=alma.authority_id=25629626X&amp;maximumRecords=0</t>
  </si>
  <si>
    <t>165163178</t>
  </si>
  <si>
    <t>https://swisscovery.slsp.ch/view/sru/41SLSP_NETWORK?version=1.2&amp;operation=searchRetrieve&amp;recordSchema=marcxml&amp;query=alma.authority_id=165163178&amp;maximumRecords=0</t>
  </si>
  <si>
    <t>https://swisscovery.slsp.ch/view/sru/41SLSP_VGE?version=1.2&amp;operation=searchRetrieve&amp;recordSchema=marcxml&amp;query=alma.authority_id=165163178&amp;maximumRecords=0</t>
  </si>
  <si>
    <t>088991024</t>
  </si>
  <si>
    <t>https://swisscovery.slsp.ch/view/sru/41SLSP_NETWORK?version=1.2&amp;operation=searchRetrieve&amp;recordSchema=marcxml&amp;query=alma.authority_id=088991024&amp;maximumRecords=0</t>
  </si>
  <si>
    <t>https://swisscovery.slsp.ch/view/sru/41SLSP_VGE?version=1.2&amp;operation=searchRetrieve&amp;recordSchema=marcxml&amp;query=alma.authority_id=088991024&amp;maximumRecords=0</t>
  </si>
  <si>
    <t>293675783</t>
  </si>
  <si>
    <t>https://swisscovery.slsp.ch/view/sru/41SLSP_NETWORK?version=1.2&amp;operation=searchRetrieve&amp;recordSchema=marcxml&amp;query=alma.authority_id=293675783&amp;maximumRecords=0</t>
  </si>
  <si>
    <t>https://swisscovery.slsp.ch/view/sru/41SLSP_VGE?version=1.2&amp;operation=searchRetrieve&amp;recordSchema=marcxml&amp;query=alma.authority_id=293675783&amp;maximumRecords=0</t>
  </si>
  <si>
    <t>294414657</t>
  </si>
  <si>
    <t>https://swisscovery.slsp.ch/view/sru/41SLSP_NETWORK?version=1.2&amp;operation=searchRetrieve&amp;recordSchema=marcxml&amp;query=alma.authority_id=294414657&amp;maximumRecords=0</t>
  </si>
  <si>
    <t>https://swisscovery.slsp.ch/view/sru/41SLSP_VGE?version=1.2&amp;operation=searchRetrieve&amp;recordSchema=marcxml&amp;query=alma.authority_id=294414657&amp;maximumRecords=0</t>
  </si>
  <si>
    <t>293555788</t>
  </si>
  <si>
    <t>https://swisscovery.slsp.ch/view/sru/41SLSP_NETWORK?version=1.2&amp;operation=searchRetrieve&amp;recordSchema=marcxml&amp;query=alma.authority_id=293555788&amp;maximumRecords=0</t>
  </si>
  <si>
    <t>https://swisscovery.slsp.ch/view/sru/41SLSP_VGE?version=1.2&amp;operation=searchRetrieve&amp;recordSchema=marcxml&amp;query=alma.authority_id=293555788&amp;maximumRecords=0</t>
  </si>
  <si>
    <t>293573468</t>
  </si>
  <si>
    <t>https://swisscovery.slsp.ch/view/sru/41SLSP_NETWORK?version=1.2&amp;operation=searchRetrieve&amp;recordSchema=marcxml&amp;query=alma.authority_id=293573468&amp;maximumRecords=0</t>
  </si>
  <si>
    <t>https://swisscovery.slsp.ch/view/sru/41SLSP_VGE?version=1.2&amp;operation=searchRetrieve&amp;recordSchema=marcxml&amp;query=alma.authority_id=293573468&amp;maximumRecords=0</t>
  </si>
  <si>
    <t>256792194</t>
  </si>
  <si>
    <t>https://swisscovery.slsp.ch/view/sru/41SLSP_NETWORK?version=1.2&amp;operation=searchRetrieve&amp;recordSchema=marcxml&amp;query=alma.authority_id=256792194&amp;maximumRecords=0</t>
  </si>
  <si>
    <t>https://swisscovery.slsp.ch/view/sru/41SLSP_VGE?version=1.2&amp;operation=searchRetrieve&amp;recordSchema=marcxml&amp;query=alma.authority_id=256792194&amp;maximumRecords=0</t>
  </si>
  <si>
    <t>293490074</t>
  </si>
  <si>
    <t>https://swisscovery.slsp.ch/view/sru/41SLSP_NETWORK?version=1.2&amp;operation=searchRetrieve&amp;recordSchema=marcxml&amp;query=alma.authority_id=293490074&amp;maximumRecords=0</t>
  </si>
  <si>
    <t>https://swisscovery.slsp.ch/view/sru/41SLSP_VGE?version=1.2&amp;operation=searchRetrieve&amp;recordSchema=marcxml&amp;query=alma.authority_id=293490074&amp;maximumRecords=0</t>
  </si>
  <si>
    <t>166814474</t>
  </si>
  <si>
    <t>https://swisscovery.slsp.ch/view/sru/41SLSP_NETWORK?version=1.2&amp;operation=searchRetrieve&amp;recordSchema=marcxml&amp;query=alma.authority_id=166814474&amp;maximumRecords=0</t>
  </si>
  <si>
    <t>https://swisscovery.slsp.ch/view/sru/41SLSP_VGE?version=1.2&amp;operation=searchRetrieve&amp;recordSchema=marcxml&amp;query=alma.authority_id=166814474&amp;maximumRecords=0</t>
  </si>
  <si>
    <t>261033743</t>
  </si>
  <si>
    <t>https://swisscovery.slsp.ch/view/sru/41SLSP_NETWORK?version=1.2&amp;operation=searchRetrieve&amp;recordSchema=marcxml&amp;query=alma.authority_id=261033743&amp;maximumRecords=0</t>
  </si>
  <si>
    <t>https://swisscovery.slsp.ch/view/sru/41SLSP_VGE?version=1.2&amp;operation=searchRetrieve&amp;recordSchema=marcxml&amp;query=alma.authority_id=261033743&amp;maximumRecords=0</t>
  </si>
  <si>
    <t>294221174</t>
  </si>
  <si>
    <t>https://swisscovery.slsp.ch/view/sru/41SLSP_NETWORK?version=1.2&amp;operation=searchRetrieve&amp;recordSchema=marcxml&amp;query=alma.authority_id=294221174&amp;maximumRecords=0</t>
  </si>
  <si>
    <t>https://swisscovery.slsp.ch/view/sru/41SLSP_VGE?version=1.2&amp;operation=searchRetrieve&amp;recordSchema=marcxml&amp;query=alma.authority_id=294221174&amp;maximumRecords=0</t>
  </si>
  <si>
    <t>135686504</t>
  </si>
  <si>
    <t>https://swisscovery.slsp.ch/view/sru/41SLSP_NETWORK?version=1.2&amp;operation=searchRetrieve&amp;recordSchema=marcxml&amp;query=alma.authority_id=135686504&amp;maximumRecords=0</t>
  </si>
  <si>
    <t>https://swisscovery.slsp.ch/view/sru/41SLSP_VGE?version=1.2&amp;operation=searchRetrieve&amp;recordSchema=marcxml&amp;query=alma.authority_id=135686504&amp;maximumRecords=0</t>
  </si>
  <si>
    <t>172339839</t>
  </si>
  <si>
    <t>https://swisscovery.slsp.ch/view/sru/41SLSP_NETWORK?version=1.2&amp;operation=searchRetrieve&amp;recordSchema=marcxml&amp;query=alma.authority_id=172339839&amp;maximumRecords=0</t>
  </si>
  <si>
    <t>https://swisscovery.slsp.ch/view/sru/41SLSP_VGE?version=1.2&amp;operation=searchRetrieve&amp;recordSchema=marcxml&amp;query=alma.authority_id=172339839&amp;maximumRecords=0</t>
  </si>
  <si>
    <t>269810072</t>
  </si>
  <si>
    <t>https://swisscovery.slsp.ch/view/sru/41SLSP_NETWORK?version=1.2&amp;operation=searchRetrieve&amp;recordSchema=marcxml&amp;query=alma.authority_id=269810072&amp;maximumRecords=0</t>
  </si>
  <si>
    <t>https://swisscovery.slsp.ch/view/sru/41SLSP_VGE?version=1.2&amp;operation=searchRetrieve&amp;recordSchema=marcxml&amp;query=alma.authority_id=269810072&amp;maximumRecords=0</t>
  </si>
  <si>
    <t>293592047</t>
  </si>
  <si>
    <t>https://swisscovery.slsp.ch/view/sru/41SLSP_NETWORK?version=1.2&amp;operation=searchRetrieve&amp;recordSchema=marcxml&amp;query=alma.authority_id=293592047&amp;maximumRecords=0</t>
  </si>
  <si>
    <t>https://swisscovery.slsp.ch/view/sru/41SLSP_VGE?version=1.2&amp;operation=searchRetrieve&amp;recordSchema=marcxml&amp;query=alma.authority_id=293592047&amp;maximumRecords=0</t>
  </si>
  <si>
    <t>196483913</t>
  </si>
  <si>
    <t>https://swisscovery.slsp.ch/view/sru/41SLSP_NETWORK?version=1.2&amp;operation=searchRetrieve&amp;recordSchema=marcxml&amp;query=alma.authority_id=196483913&amp;maximumRecords=0</t>
  </si>
  <si>
    <t>https://swisscovery.slsp.ch/view/sru/41SLSP_VGE?version=1.2&amp;operation=searchRetrieve&amp;recordSchema=marcxml&amp;query=alma.authority_id=196483913&amp;maximumRecords=0</t>
  </si>
  <si>
    <t>294289631</t>
  </si>
  <si>
    <t>https://swisscovery.slsp.ch/view/sru/41SLSP_NETWORK?version=1.2&amp;operation=searchRetrieve&amp;recordSchema=marcxml&amp;query=alma.authority_id=294289631&amp;maximumRecords=0</t>
  </si>
  <si>
    <t>https://swisscovery.slsp.ch/view/sru/41SLSP_VGE?version=1.2&amp;operation=searchRetrieve&amp;recordSchema=marcxml&amp;query=alma.authority_id=294289631&amp;maximumRecords=0</t>
  </si>
  <si>
    <t>293521751</t>
  </si>
  <si>
    <t>https://swisscovery.slsp.ch/view/sru/41SLSP_NETWORK?version=1.2&amp;operation=searchRetrieve&amp;recordSchema=marcxml&amp;query=alma.authority_id=293521751&amp;maximumRecords=0</t>
  </si>
  <si>
    <t>https://swisscovery.slsp.ch/view/sru/41SLSP_VGE?version=1.2&amp;operation=searchRetrieve&amp;recordSchema=marcxml&amp;query=alma.authority_id=293521751&amp;maximumRecords=0</t>
  </si>
  <si>
    <t>02868558X</t>
  </si>
  <si>
    <t>https://swisscovery.slsp.ch/view/sru/41SLSP_NETWORK?version=1.2&amp;operation=searchRetrieve&amp;recordSchema=marcxml&amp;query=alma.authority_id=02868558X&amp;maximumRecords=0</t>
  </si>
  <si>
    <t>https://swisscovery.slsp.ch/view/sru/41SLSP_VGE?version=1.2&amp;operation=searchRetrieve&amp;recordSchema=marcxml&amp;query=alma.authority_id=02868558X&amp;maximumRecords=0</t>
  </si>
  <si>
    <t>130952524</t>
  </si>
  <si>
    <t>https://swisscovery.slsp.ch/view/sru/41SLSP_NETWORK?version=1.2&amp;operation=searchRetrieve&amp;recordSchema=marcxml&amp;query=alma.authority_id=130952524&amp;maximumRecords=0</t>
  </si>
  <si>
    <t>https://swisscovery.slsp.ch/view/sru/41SLSP_VGE?version=1.2&amp;operation=searchRetrieve&amp;recordSchema=marcxml&amp;query=alma.authority_id=130952524&amp;maximumRecords=0</t>
  </si>
  <si>
    <t>076633527</t>
  </si>
  <si>
    <t>https://swisscovery.slsp.ch/view/sru/41SLSP_NETWORK?version=1.2&amp;operation=searchRetrieve&amp;recordSchema=marcxml&amp;query=alma.authority_id=076633527&amp;maximumRecords=0</t>
  </si>
  <si>
    <t>https://swisscovery.slsp.ch/view/sru/41SLSP_VGE?version=1.2&amp;operation=searchRetrieve&amp;recordSchema=marcxml&amp;query=alma.authority_id=076633527&amp;maximumRecords=0</t>
  </si>
  <si>
    <t>137630247</t>
  </si>
  <si>
    <t>https://swisscovery.slsp.ch/view/sru/41SLSP_NETWORK?version=1.2&amp;operation=searchRetrieve&amp;recordSchema=marcxml&amp;query=alma.authority_id=137630247&amp;maximumRecords=0</t>
  </si>
  <si>
    <t>https://swisscovery.slsp.ch/view/sru/41SLSP_VGE?version=1.2&amp;operation=searchRetrieve&amp;recordSchema=marcxml&amp;query=alma.authority_id=137630247&amp;maximumRecords=0</t>
  </si>
  <si>
    <t>028542193</t>
  </si>
  <si>
    <t>https://swisscovery.slsp.ch/view/sru/41SLSP_NETWORK?version=1.2&amp;operation=searchRetrieve&amp;recordSchema=marcxml&amp;query=alma.authority_id=028542193&amp;maximumRecords=0</t>
  </si>
  <si>
    <t>https://swisscovery.slsp.ch/view/sru/41SLSP_VGE?version=1.2&amp;operation=searchRetrieve&amp;recordSchema=marcxml&amp;query=alma.authority_id=028542193&amp;maximumRecords=0</t>
  </si>
  <si>
    <t>069441006</t>
  </si>
  <si>
    <t>https://swisscovery.slsp.ch/view/sru/41SLSP_NETWORK?version=1.2&amp;operation=searchRetrieve&amp;recordSchema=marcxml&amp;query=alma.authority_id=069441006&amp;maximumRecords=0</t>
  </si>
  <si>
    <t>https://swisscovery.slsp.ch/view/sru/41SLSP_VGE?version=1.2&amp;operation=searchRetrieve&amp;recordSchema=marcxml&amp;query=alma.authority_id=069441006&amp;maximumRecords=0</t>
  </si>
  <si>
    <t>076683494</t>
  </si>
  <si>
    <t>https://swisscovery.slsp.ch/view/sru/41SLSP_NETWORK?version=1.2&amp;operation=searchRetrieve&amp;recordSchema=marcxml&amp;query=alma.authority_id=076683494&amp;maximumRecords=0</t>
  </si>
  <si>
    <t>https://swisscovery.slsp.ch/view/sru/41SLSP_VGE?version=1.2&amp;operation=searchRetrieve&amp;recordSchema=marcxml&amp;query=alma.authority_id=076683494&amp;maximumRecords=0</t>
  </si>
  <si>
    <t>294206051</t>
  </si>
  <si>
    <t>https://swisscovery.slsp.ch/view/sru/41SLSP_NETWORK?version=1.2&amp;operation=searchRetrieve&amp;recordSchema=marcxml&amp;query=alma.authority_id=294206051&amp;maximumRecords=0</t>
  </si>
  <si>
    <t>https://swisscovery.slsp.ch/view/sru/41SLSP_VGE?version=1.2&amp;operation=searchRetrieve&amp;recordSchema=marcxml&amp;query=alma.authority_id=294206051&amp;maximumRecords=0</t>
  </si>
  <si>
    <t>293372241</t>
  </si>
  <si>
    <t>https://swisscovery.slsp.ch/view/sru/41SLSP_NETWORK?version=1.2&amp;operation=searchRetrieve&amp;recordSchema=marcxml&amp;query=alma.authority_id=293372241&amp;maximumRecords=0</t>
  </si>
  <si>
    <t>https://swisscovery.slsp.ch/view/sru/41SLSP_VGE?version=1.2&amp;operation=searchRetrieve&amp;recordSchema=marcxml&amp;query=alma.authority_id=293372241&amp;maximumRecords=0</t>
  </si>
  <si>
    <t>29353862X</t>
  </si>
  <si>
    <t>https://swisscovery.slsp.ch/view/sru/41SLSP_NETWORK?version=1.2&amp;operation=searchRetrieve&amp;recordSchema=marcxml&amp;query=alma.authority_id=29353862X&amp;maximumRecords=0</t>
  </si>
  <si>
    <t>https://swisscovery.slsp.ch/view/sru/41SLSP_VGE?version=1.2&amp;operation=searchRetrieve&amp;recordSchema=marcxml&amp;query=alma.authority_id=29353862X&amp;maximumRecords=0</t>
  </si>
  <si>
    <t>293592497</t>
  </si>
  <si>
    <t>https://swisscovery.slsp.ch/view/sru/41SLSP_NETWORK?version=1.2&amp;operation=searchRetrieve&amp;recordSchema=marcxml&amp;query=alma.authority_id=293592497&amp;maximumRecords=0</t>
  </si>
  <si>
    <t>https://swisscovery.slsp.ch/view/sru/41SLSP_VGE?version=1.2&amp;operation=searchRetrieve&amp;recordSchema=marcxml&amp;query=alma.authority_id=293592497&amp;maximumRecords=0</t>
  </si>
  <si>
    <t>095923314</t>
  </si>
  <si>
    <t>https://swisscovery.slsp.ch/view/sru/41SLSP_NETWORK?version=1.2&amp;operation=searchRetrieve&amp;recordSchema=marcxml&amp;query=alma.authority_id=095923314&amp;maximumRecords=0</t>
  </si>
  <si>
    <t>https://swisscovery.slsp.ch/view/sru/41SLSP_VGE?version=1.2&amp;operation=searchRetrieve&amp;recordSchema=marcxml&amp;query=alma.authority_id=095923314&amp;maximumRecords=0</t>
  </si>
  <si>
    <t>261033018</t>
  </si>
  <si>
    <t>https://swisscovery.slsp.ch/view/sru/41SLSP_NETWORK?version=1.2&amp;operation=searchRetrieve&amp;recordSchema=marcxml&amp;query=alma.authority_id=261033018&amp;maximumRecords=0</t>
  </si>
  <si>
    <t>https://swisscovery.slsp.ch/view/sru/41SLSP_VGE?version=1.2&amp;operation=searchRetrieve&amp;recordSchema=marcxml&amp;query=alma.authority_id=261033018&amp;maximumRecords=0</t>
  </si>
  <si>
    <t>035517646</t>
  </si>
  <si>
    <t>https://swisscovery.slsp.ch/view/sru/41SLSP_NETWORK?version=1.2&amp;operation=searchRetrieve&amp;recordSchema=marcxml&amp;query=alma.authority_id=035517646&amp;maximumRecords=0</t>
  </si>
  <si>
    <t>https://swisscovery.slsp.ch/view/sru/41SLSP_VGE?version=1.2&amp;operation=searchRetrieve&amp;recordSchema=marcxml&amp;query=alma.authority_id=035517646&amp;maximumRecords=0</t>
  </si>
  <si>
    <t>035308206</t>
  </si>
  <si>
    <t>https://swisscovery.slsp.ch/view/sru/41SLSP_NETWORK?version=1.2&amp;operation=searchRetrieve&amp;recordSchema=marcxml&amp;query=alma.authority_id=035308206&amp;maximumRecords=0</t>
  </si>
  <si>
    <t>https://swisscovery.slsp.ch/view/sru/41SLSP_VGE?version=1.2&amp;operation=searchRetrieve&amp;recordSchema=marcxml&amp;query=alma.authority_id=035308206&amp;maximumRecords=0</t>
  </si>
  <si>
    <t>066947278</t>
  </si>
  <si>
    <t>https://swisscovery.slsp.ch/view/sru/41SLSP_NETWORK?version=1.2&amp;operation=searchRetrieve&amp;recordSchema=marcxml&amp;query=alma.authority_id=066947278&amp;maximumRecords=0</t>
  </si>
  <si>
    <t>https://swisscovery.slsp.ch/view/sru/41SLSP_VGE?version=1.2&amp;operation=searchRetrieve&amp;recordSchema=marcxml&amp;query=alma.authority_id=066947278&amp;maximumRecords=0</t>
  </si>
  <si>
    <t>277571502</t>
  </si>
  <si>
    <t>https://swisscovery.slsp.ch/view/sru/41SLSP_NETWORK?version=1.2&amp;operation=searchRetrieve&amp;recordSchema=marcxml&amp;query=alma.authority_id=277571502&amp;maximumRecords=0</t>
  </si>
  <si>
    <t>https://swisscovery.slsp.ch/view/sru/41SLSP_VGE?version=1.2&amp;operation=searchRetrieve&amp;recordSchema=marcxml&amp;query=alma.authority_id=277571502&amp;maximumRecords=0</t>
  </si>
  <si>
    <t>080730353</t>
  </si>
  <si>
    <t>https://swisscovery.slsp.ch/view/sru/41SLSP_NETWORK?version=1.2&amp;operation=searchRetrieve&amp;recordSchema=marcxml&amp;query=alma.authority_id=080730353&amp;maximumRecords=0</t>
  </si>
  <si>
    <t>https://swisscovery.slsp.ch/view/sru/41SLSP_VGE?version=1.2&amp;operation=searchRetrieve&amp;recordSchema=marcxml&amp;query=alma.authority_id=080730353&amp;maximumRecords=0</t>
  </si>
  <si>
    <t>145651290</t>
  </si>
  <si>
    <t>https://swisscovery.slsp.ch/view/sru/41SLSP_NETWORK?version=1.2&amp;operation=searchRetrieve&amp;recordSchema=marcxml&amp;query=alma.authority_id=145651290&amp;maximumRecords=0</t>
  </si>
  <si>
    <t>https://swisscovery.slsp.ch/view/sru/41SLSP_VGE?version=1.2&amp;operation=searchRetrieve&amp;recordSchema=marcxml&amp;query=alma.authority_id=145651290&amp;maximumRecords=0</t>
  </si>
  <si>
    <t>243746970</t>
  </si>
  <si>
    <t>https://swisscovery.slsp.ch/view/sru/41SLSP_NETWORK?version=1.2&amp;operation=searchRetrieve&amp;recordSchema=marcxml&amp;query=alma.authority_id=243746970&amp;maximumRecords=0</t>
  </si>
  <si>
    <t>https://swisscovery.slsp.ch/view/sru/41SLSP_VGE?version=1.2&amp;operation=searchRetrieve&amp;recordSchema=marcxml&amp;query=alma.authority_id=243746970&amp;maximumRecords=0</t>
  </si>
  <si>
    <t>110419502</t>
  </si>
  <si>
    <t>https://swisscovery.slsp.ch/view/sru/41SLSP_NETWORK?version=1.2&amp;operation=searchRetrieve&amp;recordSchema=marcxml&amp;query=alma.authority_id=110419502&amp;maximumRecords=0</t>
  </si>
  <si>
    <t>https://swisscovery.slsp.ch/view/sru/41SLSP_VGE?version=1.2&amp;operation=searchRetrieve&amp;recordSchema=marcxml&amp;query=alma.authority_id=110419502&amp;maximumRecords=0</t>
  </si>
  <si>
    <t>27664395X</t>
  </si>
  <si>
    <t>https://swisscovery.slsp.ch/view/sru/41SLSP_NETWORK?version=1.2&amp;operation=searchRetrieve&amp;recordSchema=marcxml&amp;query=alma.authority_id=27664395X&amp;maximumRecords=0</t>
  </si>
  <si>
    <t>https://swisscovery.slsp.ch/view/sru/41SLSP_VGE?version=1.2&amp;operation=searchRetrieve&amp;recordSchema=marcxml&amp;query=alma.authority_id=27664395X&amp;maximumRecords=0</t>
  </si>
  <si>
    <t>267982399</t>
  </si>
  <si>
    <t>https://swisscovery.slsp.ch/view/sru/41SLSP_NETWORK?version=1.2&amp;operation=searchRetrieve&amp;recordSchema=marcxml&amp;query=alma.authority_id=267982399&amp;maximumRecords=0</t>
  </si>
  <si>
    <t>https://swisscovery.slsp.ch/view/sru/41SLSP_VGE?version=1.2&amp;operation=searchRetrieve&amp;recordSchema=marcxml&amp;query=alma.authority_id=267982399&amp;maximumRecords=0</t>
  </si>
  <si>
    <t>167554034</t>
  </si>
  <si>
    <t>https://swisscovery.slsp.ch/view/sru/41SLSP_NETWORK?version=1.2&amp;operation=searchRetrieve&amp;recordSchema=marcxml&amp;query=alma.authority_id=167554034&amp;maximumRecords=0</t>
  </si>
  <si>
    <t>https://swisscovery.slsp.ch/view/sru/41SLSP_VGE?version=1.2&amp;operation=searchRetrieve&amp;recordSchema=marcxml&amp;query=alma.authority_id=167554034&amp;maximumRecords=0</t>
  </si>
  <si>
    <t>255537352</t>
  </si>
  <si>
    <t>https://swisscovery.slsp.ch/view/sru/41SLSP_NETWORK?version=1.2&amp;operation=searchRetrieve&amp;recordSchema=marcxml&amp;query=alma.authority_id=255537352&amp;maximumRecords=0</t>
  </si>
  <si>
    <t>https://swisscovery.slsp.ch/view/sru/41SLSP_VGE?version=1.2&amp;operation=searchRetrieve&amp;recordSchema=marcxml&amp;query=alma.authority_id=255537352&amp;maximumRecords=0</t>
  </si>
  <si>
    <t>230066909</t>
  </si>
  <si>
    <t>https://swisscovery.slsp.ch/view/sru/41SLSP_NETWORK?version=1.2&amp;operation=searchRetrieve&amp;recordSchema=marcxml&amp;query=alma.authority_id=230066909&amp;maximumRecords=0</t>
  </si>
  <si>
    <t>https://swisscovery.slsp.ch/view/sru/41SLSP_VGE?version=1.2&amp;operation=searchRetrieve&amp;recordSchema=marcxml&amp;query=alma.authority_id=230066909&amp;maximumRecords=0</t>
  </si>
  <si>
    <t>259087351</t>
  </si>
  <si>
    <t>https://swisscovery.slsp.ch/view/sru/41SLSP_NETWORK?version=1.2&amp;operation=searchRetrieve&amp;recordSchema=marcxml&amp;query=alma.authority_id=259087351&amp;maximumRecords=0</t>
  </si>
  <si>
    <t>https://swisscovery.slsp.ch/view/sru/41SLSP_VGE?version=1.2&amp;operation=searchRetrieve&amp;recordSchema=marcxml&amp;query=alma.authority_id=259087351&amp;maximumRecords=0</t>
  </si>
  <si>
    <t>027170683</t>
  </si>
  <si>
    <t>https://swisscovery.slsp.ch/view/sru/41SLSP_NETWORK?version=1.2&amp;operation=searchRetrieve&amp;recordSchema=marcxml&amp;query=alma.authority_id=027170683&amp;maximumRecords=0</t>
  </si>
  <si>
    <t>https://swisscovery.slsp.ch/view/sru/41SLSP_VGE?version=1.2&amp;operation=searchRetrieve&amp;recordSchema=marcxml&amp;query=alma.authority_id=027170683&amp;maximumRecords=0</t>
  </si>
  <si>
    <t>259101095</t>
  </si>
  <si>
    <t>https://swisscovery.slsp.ch/view/sru/41SLSP_NETWORK?version=1.2&amp;operation=searchRetrieve&amp;recordSchema=marcxml&amp;query=alma.authority_id=259101095&amp;maximumRecords=0</t>
  </si>
  <si>
    <t>https://swisscovery.slsp.ch/view/sru/41SLSP_VGE?version=1.2&amp;operation=searchRetrieve&amp;recordSchema=marcxml&amp;query=alma.authority_id=259101095&amp;maximumRecords=0</t>
  </si>
  <si>
    <t>261218115</t>
  </si>
  <si>
    <t>https://swisscovery.slsp.ch/view/sru/41SLSP_NETWORK?version=1.2&amp;operation=searchRetrieve&amp;recordSchema=marcxml&amp;query=alma.authority_id=261218115&amp;maximumRecords=0</t>
  </si>
  <si>
    <t>https://swisscovery.slsp.ch/view/sru/41SLSP_VGE?version=1.2&amp;operation=searchRetrieve&amp;recordSchema=marcxml&amp;query=alma.authority_id=261218115&amp;maximumRecords=0</t>
  </si>
  <si>
    <t>123046343</t>
  </si>
  <si>
    <t>https://swisscovery.slsp.ch/view/sru/41SLSP_NETWORK?version=1.2&amp;operation=searchRetrieve&amp;recordSchema=marcxml&amp;query=alma.authority_id=123046343&amp;maximumRecords=0</t>
  </si>
  <si>
    <t>https://swisscovery.slsp.ch/view/sru/41SLSP_VGE?version=1.2&amp;operation=searchRetrieve&amp;recordSchema=marcxml&amp;query=alma.authority_id=123046343&amp;maximumRecords=0</t>
  </si>
  <si>
    <t>171174755</t>
  </si>
  <si>
    <t>https://swisscovery.slsp.ch/view/sru/41SLSP_NETWORK?version=1.2&amp;operation=searchRetrieve&amp;recordSchema=marcxml&amp;query=alma.authority_id=171174755&amp;maximumRecords=0</t>
  </si>
  <si>
    <t>https://swisscovery.slsp.ch/view/sru/41SLSP_VGE?version=1.2&amp;operation=searchRetrieve&amp;recordSchema=marcxml&amp;query=alma.authority_id=171174755&amp;maximumRecords=0</t>
  </si>
  <si>
    <t>127564888</t>
  </si>
  <si>
    <t>https://swisscovery.slsp.ch/view/sru/41SLSP_NETWORK?version=1.2&amp;operation=searchRetrieve&amp;recordSchema=marcxml&amp;query=alma.authority_id=127564888&amp;maximumRecords=0</t>
  </si>
  <si>
    <t>https://swisscovery.slsp.ch/view/sru/41SLSP_VGE?version=1.2&amp;operation=searchRetrieve&amp;recordSchema=marcxml&amp;query=alma.authority_id=127564888&amp;maximumRecords=0</t>
  </si>
  <si>
    <t>057326312</t>
  </si>
  <si>
    <t>https://swisscovery.slsp.ch/view/sru/41SLSP_NETWORK?version=1.2&amp;operation=searchRetrieve&amp;recordSchema=marcxml&amp;query=alma.authority_id=057326312&amp;maximumRecords=0</t>
  </si>
  <si>
    <t>https://swisscovery.slsp.ch/view/sru/41SLSP_VGE?version=1.2&amp;operation=searchRetrieve&amp;recordSchema=marcxml&amp;query=alma.authority_id=057326312&amp;maximumRecords=0</t>
  </si>
  <si>
    <t>294176292</t>
  </si>
  <si>
    <t>https://swisscovery.slsp.ch/view/sru/41SLSP_NETWORK?version=1.2&amp;operation=searchRetrieve&amp;recordSchema=marcxml&amp;query=alma.authority_id=294176292&amp;maximumRecords=0</t>
  </si>
  <si>
    <t>https://swisscovery.slsp.ch/view/sru/41SLSP_VGE?version=1.2&amp;operation=searchRetrieve&amp;recordSchema=marcxml&amp;query=alma.authority_id=294176292&amp;maximumRecords=0</t>
  </si>
  <si>
    <t>295207949</t>
  </si>
  <si>
    <t>https://swisscovery.slsp.ch/view/sru/41SLSP_NETWORK?version=1.2&amp;operation=searchRetrieve&amp;recordSchema=marcxml&amp;query=alma.authority_id=295207949&amp;maximumRecords=0</t>
  </si>
  <si>
    <t>https://swisscovery.slsp.ch/view/sru/41SLSP_VGE?version=1.2&amp;operation=searchRetrieve&amp;recordSchema=marcxml&amp;query=alma.authority_id=295207949&amp;maximumRecords=0</t>
  </si>
  <si>
    <t>026876418</t>
  </si>
  <si>
    <t>https://swisscovery.slsp.ch/view/sru/41SLSP_NETWORK?version=1.2&amp;operation=searchRetrieve&amp;recordSchema=marcxml&amp;query=alma.authority_id=026876418&amp;maximumRecords=0</t>
  </si>
  <si>
    <t>https://swisscovery.slsp.ch/view/sru/41SLSP_VGE?version=1.2&amp;operation=searchRetrieve&amp;recordSchema=marcxml&amp;query=alma.authority_id=026876418&amp;maximumRecords=0</t>
  </si>
  <si>
    <t>294398880</t>
  </si>
  <si>
    <t>https://swisscovery.slsp.ch/view/sru/41SLSP_NETWORK?version=1.2&amp;operation=searchRetrieve&amp;recordSchema=marcxml&amp;query=alma.authority_id=294398880&amp;maximumRecords=0</t>
  </si>
  <si>
    <t>https://swisscovery.slsp.ch/view/sru/41SLSP_VGE?version=1.2&amp;operation=searchRetrieve&amp;recordSchema=marcxml&amp;query=alma.authority_id=294398880&amp;maximumRecords=0</t>
  </si>
  <si>
    <t>262580063</t>
  </si>
  <si>
    <t>https://swisscovery.slsp.ch/view/sru/41SLSP_NETWORK?version=1.2&amp;operation=searchRetrieve&amp;recordSchema=marcxml&amp;query=alma.authority_id=262580063&amp;maximumRecords=0</t>
  </si>
  <si>
    <t>https://swisscovery.slsp.ch/view/sru/41SLSP_VGE?version=1.2&amp;operation=searchRetrieve&amp;recordSchema=marcxml&amp;query=alma.authority_id=262580063&amp;maximumRecords=0</t>
  </si>
  <si>
    <t>269356541</t>
  </si>
  <si>
    <t>https://swisscovery.slsp.ch/view/sru/41SLSP_NETWORK?version=1.2&amp;operation=searchRetrieve&amp;recordSchema=marcxml&amp;query=alma.authority_id=269356541&amp;maximumRecords=0</t>
  </si>
  <si>
    <t>https://swisscovery.slsp.ch/view/sru/41SLSP_VGE?version=1.2&amp;operation=searchRetrieve&amp;recordSchema=marcxml&amp;query=alma.authority_id=269356541&amp;maximumRecords=0</t>
  </si>
  <si>
    <t>266652670</t>
  </si>
  <si>
    <t>https://swisscovery.slsp.ch/view/sru/41SLSP_NETWORK?version=1.2&amp;operation=searchRetrieve&amp;recordSchema=marcxml&amp;query=alma.authority_id=266652670&amp;maximumRecords=0</t>
  </si>
  <si>
    <t>https://swisscovery.slsp.ch/view/sru/41SLSP_VGE?version=1.2&amp;operation=searchRetrieve&amp;recordSchema=marcxml&amp;query=alma.authority_id=266652670&amp;maximumRecords=0</t>
  </si>
  <si>
    <t>293656886</t>
  </si>
  <si>
    <t>https://swisscovery.slsp.ch/view/sru/41SLSP_NETWORK?version=1.2&amp;operation=searchRetrieve&amp;recordSchema=marcxml&amp;query=alma.authority_id=293656886&amp;maximumRecords=0</t>
  </si>
  <si>
    <t>https://swisscovery.slsp.ch/view/sru/41SLSP_VGE?version=1.2&amp;operation=searchRetrieve&amp;recordSchema=marcxml&amp;query=alma.authority_id=293656886&amp;maximumRecords=0</t>
  </si>
  <si>
    <t>02881357X</t>
  </si>
  <si>
    <t>https://swisscovery.slsp.ch/view/sru/41SLSP_NETWORK?version=1.2&amp;operation=searchRetrieve&amp;recordSchema=marcxml&amp;query=alma.authority_id=02881357X&amp;maximumRecords=0</t>
  </si>
  <si>
    <t>https://swisscovery.slsp.ch/view/sru/41SLSP_VGE?version=1.2&amp;operation=searchRetrieve&amp;recordSchema=marcxml&amp;query=alma.authority_id=02881357X&amp;maximumRecords=0</t>
  </si>
  <si>
    <t>294292381</t>
  </si>
  <si>
    <t>https://swisscovery.slsp.ch/view/sru/41SLSP_NETWORK?version=1.2&amp;operation=searchRetrieve&amp;recordSchema=marcxml&amp;query=alma.authority_id=294292381&amp;maximumRecords=0</t>
  </si>
  <si>
    <t>https://swisscovery.slsp.ch/view/sru/41SLSP_VGE?version=1.2&amp;operation=searchRetrieve&amp;recordSchema=marcxml&amp;query=alma.authority_id=294292381&amp;maximumRecords=0</t>
  </si>
  <si>
    <t>076685691</t>
  </si>
  <si>
    <t>https://swisscovery.slsp.ch/view/sru/41SLSP_NETWORK?version=1.2&amp;operation=searchRetrieve&amp;recordSchema=marcxml&amp;query=alma.authority_id=076685691&amp;maximumRecords=0</t>
  </si>
  <si>
    <t>https://swisscovery.slsp.ch/view/sru/41SLSP_VGE?version=1.2&amp;operation=searchRetrieve&amp;recordSchema=marcxml&amp;query=alma.authority_id=076685691&amp;maximumRecords=0</t>
  </si>
  <si>
    <t>294279105</t>
  </si>
  <si>
    <t>https://swisscovery.slsp.ch/view/sru/41SLSP_NETWORK?version=1.2&amp;operation=searchRetrieve&amp;recordSchema=marcxml&amp;query=alma.authority_id=294279105&amp;maximumRecords=0</t>
  </si>
  <si>
    <t>https://swisscovery.slsp.ch/view/sru/41SLSP_VGE?version=1.2&amp;operation=searchRetrieve&amp;recordSchema=marcxml&amp;query=alma.authority_id=294279105&amp;maximumRecords=0</t>
  </si>
  <si>
    <t>294504176</t>
  </si>
  <si>
    <t>https://swisscovery.slsp.ch/view/sru/41SLSP_NETWORK?version=1.2&amp;operation=searchRetrieve&amp;recordSchema=marcxml&amp;query=alma.authority_id=294504176&amp;maximumRecords=0</t>
  </si>
  <si>
    <t>https://swisscovery.slsp.ch/view/sru/41SLSP_VGE?version=1.2&amp;operation=searchRetrieve&amp;recordSchema=marcxml&amp;query=alma.authority_id=294504176&amp;maximumRecords=0</t>
  </si>
  <si>
    <t>295032715</t>
  </si>
  <si>
    <t>https://swisscovery.slsp.ch/view/sru/41SLSP_NETWORK?version=1.2&amp;operation=searchRetrieve&amp;recordSchema=marcxml&amp;query=alma.authority_id=295032715&amp;maximumRecords=0</t>
  </si>
  <si>
    <t>https://swisscovery.slsp.ch/view/sru/41SLSP_VGE?version=1.2&amp;operation=searchRetrieve&amp;recordSchema=marcxml&amp;query=alma.authority_id=295032715&amp;maximumRecords=0</t>
  </si>
  <si>
    <t>295036761</t>
  </si>
  <si>
    <t>https://swisscovery.slsp.ch/view/sru/41SLSP_NETWORK?version=1.2&amp;operation=searchRetrieve&amp;recordSchema=marcxml&amp;query=alma.authority_id=295036761&amp;maximumRecords=0</t>
  </si>
  <si>
    <t>https://swisscovery.slsp.ch/view/sru/41SLSP_VGE?version=1.2&amp;operation=searchRetrieve&amp;recordSchema=marcxml&amp;query=alma.authority_id=295036761&amp;maximumRecords=0</t>
  </si>
  <si>
    <t>295034203</t>
  </si>
  <si>
    <t>https://swisscovery.slsp.ch/view/sru/41SLSP_NETWORK?version=1.2&amp;operation=searchRetrieve&amp;recordSchema=marcxml&amp;query=alma.authority_id=295034203&amp;maximumRecords=0</t>
  </si>
  <si>
    <t>https://swisscovery.slsp.ch/view/sru/41SLSP_VGE?version=1.2&amp;operation=searchRetrieve&amp;recordSchema=marcxml&amp;query=alma.authority_id=295034203&amp;maximumRecords=0</t>
  </si>
  <si>
    <t>295184469</t>
  </si>
  <si>
    <t>https://swisscovery.slsp.ch/view/sru/41SLSP_NETWORK?version=1.2&amp;operation=searchRetrieve&amp;recordSchema=marcxml&amp;query=alma.authority_id=295184469&amp;maximumRecords=0</t>
  </si>
  <si>
    <t>https://swisscovery.slsp.ch/view/sru/41SLSP_VGE?version=1.2&amp;operation=searchRetrieve&amp;recordSchema=marcxml&amp;query=alma.authority_id=295184469&amp;maximumRecords=0</t>
  </si>
  <si>
    <t>294111719</t>
  </si>
  <si>
    <t>https://swisscovery.slsp.ch/view/sru/41SLSP_NETWORK?version=1.2&amp;operation=searchRetrieve&amp;recordSchema=marcxml&amp;query=alma.authority_id=294111719&amp;maximumRecords=0</t>
  </si>
  <si>
    <t>https://swisscovery.slsp.ch/view/sru/41SLSP_VGE?version=1.2&amp;operation=searchRetrieve&amp;recordSchema=marcxml&amp;query=alma.authority_id=294111719&amp;maximumRecords=0</t>
  </si>
  <si>
    <t>294294597</t>
  </si>
  <si>
    <t>https://swisscovery.slsp.ch/view/sru/41SLSP_NETWORK?version=1.2&amp;operation=searchRetrieve&amp;recordSchema=marcxml&amp;query=alma.authority_id=294294597&amp;maximumRecords=0</t>
  </si>
  <si>
    <t>https://swisscovery.slsp.ch/view/sru/41SLSP_VGE?version=1.2&amp;operation=searchRetrieve&amp;recordSchema=marcxml&amp;query=alma.authority_id=294294597&amp;maximumRecords=0</t>
  </si>
  <si>
    <t>294854371</t>
  </si>
  <si>
    <t>https://swisscovery.slsp.ch/view/sru/41SLSP_NETWORK?version=1.2&amp;operation=searchRetrieve&amp;recordSchema=marcxml&amp;query=alma.authority_id=294854371&amp;maximumRecords=0</t>
  </si>
  <si>
    <t>https://swisscovery.slsp.ch/view/sru/41SLSP_VGE?version=1.2&amp;operation=searchRetrieve&amp;recordSchema=marcxml&amp;query=alma.authority_id=294854371&amp;maximumRecords=0</t>
  </si>
  <si>
    <t>272669997</t>
  </si>
  <si>
    <t>https://swisscovery.slsp.ch/view/sru/41SLSP_NETWORK?version=1.2&amp;operation=searchRetrieve&amp;recordSchema=marcxml&amp;query=alma.authority_id=272669997&amp;maximumRecords=0</t>
  </si>
  <si>
    <t>https://swisscovery.slsp.ch/view/sru/41SLSP_VGE?version=1.2&amp;operation=searchRetrieve&amp;recordSchema=marcxml&amp;query=alma.authority_id=272669997&amp;maximumRecords=0</t>
  </si>
  <si>
    <t>295201436</t>
  </si>
  <si>
    <t>https://swisscovery.slsp.ch/view/sru/41SLSP_NETWORK?version=1.2&amp;operation=searchRetrieve&amp;recordSchema=marcxml&amp;query=alma.authority_id=295201436&amp;maximumRecords=0</t>
  </si>
  <si>
    <t>https://swisscovery.slsp.ch/view/sru/41SLSP_VGE?version=1.2&amp;operation=searchRetrieve&amp;recordSchema=marcxml&amp;query=alma.authority_id=295201436&amp;maximumRecords=0</t>
  </si>
  <si>
    <t>193465361</t>
  </si>
  <si>
    <t>https://swisscovery.slsp.ch/view/sru/41SLSP_NETWORK?version=1.2&amp;operation=searchRetrieve&amp;recordSchema=marcxml&amp;query=alma.authority_id=193465361&amp;maximumRecords=0</t>
  </si>
  <si>
    <t>https://swisscovery.slsp.ch/view/sru/41SLSP_VGE?version=1.2&amp;operation=searchRetrieve&amp;recordSchema=marcxml&amp;query=alma.authority_id=193465361&amp;maximumRecords=0</t>
  </si>
  <si>
    <t>294318666</t>
  </si>
  <si>
    <t>https://swisscovery.slsp.ch/view/sru/41SLSP_NETWORK?version=1.2&amp;operation=searchRetrieve&amp;recordSchema=marcxml&amp;query=alma.authority_id=294318666&amp;maximumRecords=0</t>
  </si>
  <si>
    <t>https://swisscovery.slsp.ch/view/sru/41SLSP_VGE?version=1.2&amp;operation=searchRetrieve&amp;recordSchema=marcxml&amp;query=alma.authority_id=294318666&amp;maximumRecords=0</t>
  </si>
  <si>
    <t>294906320</t>
  </si>
  <si>
    <t>https://swisscovery.slsp.ch/view/sru/41SLSP_NETWORK?version=1.2&amp;operation=searchRetrieve&amp;recordSchema=marcxml&amp;query=alma.authority_id=294906320&amp;maximumRecords=0</t>
  </si>
  <si>
    <t>https://swisscovery.slsp.ch/view/sru/41SLSP_VGE?version=1.2&amp;operation=searchRetrieve&amp;recordSchema=marcxml&amp;query=alma.authority_id=294906320&amp;maximumRecords=0</t>
  </si>
  <si>
    <t>291749887</t>
  </si>
  <si>
    <t>https://swisscovery.slsp.ch/view/sru/41SLSP_NETWORK?version=1.2&amp;operation=searchRetrieve&amp;recordSchema=marcxml&amp;query=alma.authority_id=291749887&amp;maximumRecords=0</t>
  </si>
  <si>
    <t>https://swisscovery.slsp.ch/view/sru/41SLSP_VGE?version=1.2&amp;operation=searchRetrieve&amp;recordSchema=marcxml&amp;query=alma.authority_id=291749887&amp;maximumRecords=0</t>
  </si>
  <si>
    <t>295166673</t>
  </si>
  <si>
    <t>https://swisscovery.slsp.ch/view/sru/41SLSP_NETWORK?version=1.2&amp;operation=searchRetrieve&amp;recordSchema=marcxml&amp;query=alma.authority_id=295166673&amp;maximumRecords=0</t>
  </si>
  <si>
    <t>https://swisscovery.slsp.ch/view/sru/41SLSP_VGE?version=1.2&amp;operation=searchRetrieve&amp;recordSchema=marcxml&amp;query=alma.authority_id=295166673&amp;maximumRecords=0</t>
  </si>
  <si>
    <t>103965343</t>
  </si>
  <si>
    <t>https://swisscovery.slsp.ch/view/sru/41SLSP_NETWORK?version=1.2&amp;operation=searchRetrieve&amp;recordSchema=marcxml&amp;query=alma.authority_id=103965343&amp;maximumRecords=0</t>
  </si>
  <si>
    <t>https://swisscovery.slsp.ch/view/sru/41SLSP_VGE?version=1.2&amp;operation=searchRetrieve&amp;recordSchema=marcxml&amp;query=alma.authority_id=103965343&amp;maximumRecords=0</t>
  </si>
  <si>
    <t>293516502</t>
  </si>
  <si>
    <t>https://swisscovery.slsp.ch/view/sru/41SLSP_NETWORK?version=1.2&amp;operation=searchRetrieve&amp;recordSchema=marcxml&amp;query=alma.authority_id=293516502&amp;maximumRecords=0</t>
  </si>
  <si>
    <t>https://swisscovery.slsp.ch/view/sru/41SLSP_VGE?version=1.2&amp;operation=searchRetrieve&amp;recordSchema=marcxml&amp;query=alma.authority_id=293516502&amp;maximumRecords=0</t>
  </si>
  <si>
    <t>257127984</t>
  </si>
  <si>
    <t>https://swisscovery.slsp.ch/view/sru/41SLSP_NETWORK?version=1.2&amp;operation=searchRetrieve&amp;recordSchema=marcxml&amp;query=alma.authority_id=257127984&amp;maximumRecords=0</t>
  </si>
  <si>
    <t>https://swisscovery.slsp.ch/view/sru/41SLSP_VGE?version=1.2&amp;operation=searchRetrieve&amp;recordSchema=marcxml&amp;query=alma.authority_id=257127984&amp;maximumRecords=0</t>
  </si>
  <si>
    <t>291593402</t>
  </si>
  <si>
    <t>https://swisscovery.slsp.ch/view/sru/41SLSP_NETWORK?version=1.2&amp;operation=searchRetrieve&amp;recordSchema=marcxml&amp;query=alma.authority_id=291593402&amp;maximumRecords=0</t>
  </si>
  <si>
    <t>https://swisscovery.slsp.ch/view/sru/41SLSP_VGE?version=1.2&amp;operation=searchRetrieve&amp;recordSchema=marcxml&amp;query=alma.authority_id=291593402&amp;maximumRecords=0</t>
  </si>
  <si>
    <t>280776195</t>
  </si>
  <si>
    <t>https://swisscovery.slsp.ch/view/sru/41SLSP_NETWORK?version=1.2&amp;operation=searchRetrieve&amp;recordSchema=marcxml&amp;query=alma.authority_id=280776195&amp;maximumRecords=0</t>
  </si>
  <si>
    <t>https://swisscovery.slsp.ch/view/sru/41SLSP_VGE?version=1.2&amp;operation=searchRetrieve&amp;recordSchema=marcxml&amp;query=alma.authority_id=280776195&amp;maximumRecords=0</t>
  </si>
  <si>
    <t>255370660</t>
  </si>
  <si>
    <t>https://swisscovery.slsp.ch/view/sru/41SLSP_NETWORK?version=1.2&amp;operation=searchRetrieve&amp;recordSchema=marcxml&amp;query=alma.authority_id=255370660&amp;maximumRecords=0</t>
  </si>
  <si>
    <t>https://swisscovery.slsp.ch/view/sru/41SLSP_VGE?version=1.2&amp;operation=searchRetrieve&amp;recordSchema=marcxml&amp;query=alma.authority_id=255370660&amp;maximumRecords=0</t>
  </si>
  <si>
    <t>261156128</t>
  </si>
  <si>
    <t>https://swisscovery.slsp.ch/view/sru/41SLSP_NETWORK?version=1.2&amp;operation=searchRetrieve&amp;recordSchema=marcxml&amp;query=alma.authority_id=261156128&amp;maximumRecords=0</t>
  </si>
  <si>
    <t>https://swisscovery.slsp.ch/view/sru/41SLSP_VGE?version=1.2&amp;operation=searchRetrieve&amp;recordSchema=marcxml&amp;query=alma.authority_id=261156128&amp;maximumRecords=0</t>
  </si>
  <si>
    <t>112900704</t>
  </si>
  <si>
    <t>https://swisscovery.slsp.ch/view/sru/41SLSP_NETWORK?version=1.2&amp;operation=searchRetrieve&amp;recordSchema=marcxml&amp;query=alma.authority_id=112900704&amp;maximumRecords=0</t>
  </si>
  <si>
    <t>https://swisscovery.slsp.ch/view/sru/41SLSP_VGE?version=1.2&amp;operation=searchRetrieve&amp;recordSchema=marcxml&amp;query=alma.authority_id=112900704&amp;maximumRecords=0</t>
  </si>
  <si>
    <t>057255253</t>
  </si>
  <si>
    <t>https://swisscovery.slsp.ch/view/sru/41SLSP_NETWORK?version=1.2&amp;operation=searchRetrieve&amp;recordSchema=marcxml&amp;query=alma.authority_id=057255253&amp;maximumRecords=0</t>
  </si>
  <si>
    <t>https://swisscovery.slsp.ch/view/sru/41SLSP_VGE?version=1.2&amp;operation=searchRetrieve&amp;recordSchema=marcxml&amp;query=alma.authority_id=057255253&amp;maximumRecords=0</t>
  </si>
  <si>
    <t>289965101</t>
  </si>
  <si>
    <t>https://swisscovery.slsp.ch/view/sru/41SLSP_NETWORK?version=1.2&amp;operation=searchRetrieve&amp;recordSchema=marcxml&amp;query=alma.authority_id=289965101&amp;maximumRecords=0</t>
  </si>
  <si>
    <t>https://swisscovery.slsp.ch/view/sru/41SLSP_VGE?version=1.2&amp;operation=searchRetrieve&amp;recordSchema=marcxml&amp;query=alma.authority_id=289965101&amp;maximumRecords=0</t>
  </si>
  <si>
    <t>081175264</t>
  </si>
  <si>
    <t>https://swisscovery.slsp.ch/view/sru/41SLSP_NETWORK?version=1.2&amp;operation=searchRetrieve&amp;recordSchema=marcxml&amp;query=alma.authority_id=081175264&amp;maximumRecords=0</t>
  </si>
  <si>
    <t>https://swisscovery.slsp.ch/view/sru/41SLSP_VGE?version=1.2&amp;operation=searchRetrieve&amp;recordSchema=marcxml&amp;query=alma.authority_id=081175264&amp;maximumRecords=0</t>
  </si>
  <si>
    <t>264311388</t>
  </si>
  <si>
    <t>https://swisscovery.slsp.ch/view/sru/41SLSP_NETWORK?version=1.2&amp;operation=searchRetrieve&amp;recordSchema=marcxml&amp;query=alma.authority_id=264311388&amp;maximumRecords=0</t>
  </si>
  <si>
    <t>https://swisscovery.slsp.ch/view/sru/41SLSP_VGE?version=1.2&amp;operation=searchRetrieve&amp;recordSchema=marcxml&amp;query=alma.authority_id=264311388&amp;maximumRecords=0</t>
  </si>
  <si>
    <t>271665661</t>
  </si>
  <si>
    <t>https://swisscovery.slsp.ch/view/sru/41SLSP_NETWORK?version=1.2&amp;operation=searchRetrieve&amp;recordSchema=marcxml&amp;query=alma.authority_id=271665661&amp;maximumRecords=0</t>
  </si>
  <si>
    <t>https://swisscovery.slsp.ch/view/sru/41SLSP_VGE?version=1.2&amp;operation=searchRetrieve&amp;recordSchema=marcxml&amp;query=alma.authority_id=271665661&amp;maximumRecords=0</t>
  </si>
  <si>
    <t>165837659</t>
  </si>
  <si>
    <t>https://swisscovery.slsp.ch/view/sru/41SLSP_NETWORK?version=1.2&amp;operation=searchRetrieve&amp;recordSchema=marcxml&amp;query=alma.authority_id=165837659&amp;maximumRecords=0</t>
  </si>
  <si>
    <t>https://swisscovery.slsp.ch/view/sru/41SLSP_VGE?version=1.2&amp;operation=searchRetrieve&amp;recordSchema=marcxml&amp;query=alma.authority_id=165837659&amp;maximumRecords=0</t>
  </si>
  <si>
    <t>178117390</t>
  </si>
  <si>
    <t>https://swisscovery.slsp.ch/view/sru/41SLSP_NETWORK?version=1.2&amp;operation=searchRetrieve&amp;recordSchema=marcxml&amp;query=alma.authority_id=178117390&amp;maximumRecords=0</t>
  </si>
  <si>
    <t>https://swisscovery.slsp.ch/view/sru/41SLSP_VGE?version=1.2&amp;operation=searchRetrieve&amp;recordSchema=marcxml&amp;query=alma.authority_id=178117390&amp;maximumRecords=0</t>
  </si>
  <si>
    <t>120354926</t>
  </si>
  <si>
    <t>https://swisscovery.slsp.ch/view/sru/41SLSP_NETWORK?version=1.2&amp;operation=searchRetrieve&amp;recordSchema=marcxml&amp;query=alma.authority_id=120354926&amp;maximumRecords=0</t>
  </si>
  <si>
    <t>https://swisscovery.slsp.ch/view/sru/41SLSP_VGE?version=1.2&amp;operation=searchRetrieve&amp;recordSchema=marcxml&amp;query=alma.authority_id=120354926&amp;maximumRecords=0</t>
  </si>
  <si>
    <t>082101361</t>
  </si>
  <si>
    <t>https://swisscovery.slsp.ch/view/sru/41SLSP_NETWORK?version=1.2&amp;operation=searchRetrieve&amp;recordSchema=marcxml&amp;query=alma.authority_id=082101361&amp;maximumRecords=0</t>
  </si>
  <si>
    <t>https://swisscovery.slsp.ch/view/sru/41SLSP_VGE?version=1.2&amp;operation=searchRetrieve&amp;recordSchema=marcxml&amp;query=alma.authority_id=082101361&amp;maximumRecords=0</t>
  </si>
  <si>
    <t>295166630</t>
  </si>
  <si>
    <t>https://swisscovery.slsp.ch/view/sru/41SLSP_NETWORK?version=1.2&amp;operation=searchRetrieve&amp;recordSchema=marcxml&amp;query=alma.authority_id=295166630&amp;maximumRecords=0</t>
  </si>
  <si>
    <t>https://swisscovery.slsp.ch/view/sru/41SLSP_VGE?version=1.2&amp;operation=searchRetrieve&amp;recordSchema=marcxml&amp;query=alma.authority_id=295166630&amp;maximumRecords=0</t>
  </si>
  <si>
    <t>035143991</t>
  </si>
  <si>
    <t>https://swisscovery.slsp.ch/view/sru/41SLSP_NETWORK?version=1.2&amp;operation=searchRetrieve&amp;recordSchema=marcxml&amp;query=alma.authority_id=035143991&amp;maximumRecords=0</t>
  </si>
  <si>
    <t>https://swisscovery.slsp.ch/view/sru/41SLSP_VGE?version=1.2&amp;operation=searchRetrieve&amp;recordSchema=marcxml&amp;query=alma.authority_id=035143991&amp;maximumRecords=0</t>
  </si>
  <si>
    <t>056905718</t>
  </si>
  <si>
    <t>https://swisscovery.slsp.ch/view/sru/41SLSP_NETWORK?version=1.2&amp;operation=searchRetrieve&amp;recordSchema=marcxml&amp;query=alma.authority_id=056905718&amp;maximumRecords=0</t>
  </si>
  <si>
    <t>https://swisscovery.slsp.ch/view/sru/41SLSP_VGE?version=1.2&amp;operation=searchRetrieve&amp;recordSchema=marcxml&amp;query=alma.authority_id=056905718&amp;maximumRecords=0</t>
  </si>
  <si>
    <t>02762773X</t>
  </si>
  <si>
    <t>https://swisscovery.slsp.ch/view/sru/41SLSP_NETWORK?version=1.2&amp;operation=searchRetrieve&amp;recordSchema=marcxml&amp;query=alma.authority_id=02762773X&amp;maximumRecords=0</t>
  </si>
  <si>
    <t>https://swisscovery.slsp.ch/view/sru/41SLSP_VGE?version=1.2&amp;operation=searchRetrieve&amp;recordSchema=marcxml&amp;query=alma.authority_id=02762773X&amp;maximumRecords=0</t>
  </si>
  <si>
    <t>294202919</t>
  </si>
  <si>
    <t>https://swisscovery.slsp.ch/view/sru/41SLSP_NETWORK?version=1.2&amp;operation=searchRetrieve&amp;recordSchema=marcxml&amp;query=alma.authority_id=294202919&amp;maximumRecords=0</t>
  </si>
  <si>
    <t>https://swisscovery.slsp.ch/view/sru/41SLSP_VGE?version=1.2&amp;operation=searchRetrieve&amp;recordSchema=marcxml&amp;query=alma.authority_id=294202919&amp;maximumRecords=0</t>
  </si>
  <si>
    <t>027045676</t>
  </si>
  <si>
    <t>https://swisscovery.slsp.ch/view/sru/41SLSP_NETWORK?version=1.2&amp;operation=searchRetrieve&amp;recordSchema=marcxml&amp;query=alma.authority_id=027045676&amp;maximumRecords=0</t>
  </si>
  <si>
    <t>https://swisscovery.slsp.ch/view/sru/41SLSP_VGE?version=1.2&amp;operation=searchRetrieve&amp;recordSchema=marcxml&amp;query=alma.authority_id=027045676&amp;maximumRecords=0</t>
  </si>
  <si>
    <t>13554081X</t>
  </si>
  <si>
    <t>https://swisscovery.slsp.ch/view/sru/41SLSP_NETWORK?version=1.2&amp;operation=searchRetrieve&amp;recordSchema=marcxml&amp;query=alma.authority_id=13554081X&amp;maximumRecords=0</t>
  </si>
  <si>
    <t>https://swisscovery.slsp.ch/view/sru/41SLSP_VGE?version=1.2&amp;operation=searchRetrieve&amp;recordSchema=marcxml&amp;query=alma.authority_id=13554081X&amp;maximumRecords=0</t>
  </si>
  <si>
    <t>260396915</t>
  </si>
  <si>
    <t>https://swisscovery.slsp.ch/view/sru/41SLSP_NETWORK?version=1.2&amp;operation=searchRetrieve&amp;recordSchema=marcxml&amp;query=alma.authority_id=260396915&amp;maximumRecords=0</t>
  </si>
  <si>
    <t>https://swisscovery.slsp.ch/view/sru/41SLSP_VGE?version=1.2&amp;operation=searchRetrieve&amp;recordSchema=marcxml&amp;query=alma.authority_id=260396915&amp;maximumRecords=0</t>
  </si>
  <si>
    <t>296549010</t>
  </si>
  <si>
    <t>https://swisscovery.slsp.ch/view/sru/41SLSP_NETWORK?version=1.2&amp;operation=searchRetrieve&amp;recordSchema=marcxml&amp;query=alma.authority_id=296549010&amp;maximumRecords=0</t>
  </si>
  <si>
    <t>https://swisscovery.slsp.ch/view/sru/41SLSP_VGE?version=1.2&amp;operation=searchRetrieve&amp;recordSchema=marcxml&amp;query=alma.authority_id=296549010&amp;maximumRecords=0</t>
  </si>
  <si>
    <t>292101341</t>
  </si>
  <si>
    <t>https://swisscovery.slsp.ch/view/sru/41SLSP_NETWORK?version=1.2&amp;operation=searchRetrieve&amp;recordSchema=marcxml&amp;query=alma.authority_id=292101341&amp;maximumRecords=0</t>
  </si>
  <si>
    <t>https://swisscovery.slsp.ch/view/sru/41SLSP_VGE?version=1.2&amp;operation=searchRetrieve&amp;recordSchema=marcxml&amp;query=alma.authority_id=292101341&amp;maximumRecords=0</t>
  </si>
  <si>
    <t>181169495</t>
  </si>
  <si>
    <t>https://swisscovery.slsp.ch/view/sru/41SLSP_NETWORK?version=1.2&amp;operation=searchRetrieve&amp;recordSchema=marcxml&amp;query=alma.authority_id=181169495&amp;maximumRecords=0</t>
  </si>
  <si>
    <t>https://swisscovery.slsp.ch/view/sru/41SLSP_VGE?version=1.2&amp;operation=searchRetrieve&amp;recordSchema=marcxml&amp;query=alma.authority_id=181169495&amp;maximumRecords=0</t>
  </si>
  <si>
    <t>296651192</t>
  </si>
  <si>
    <t>https://swisscovery.slsp.ch/view/sru/41SLSP_NETWORK?version=1.2&amp;operation=searchRetrieve&amp;recordSchema=marcxml&amp;query=alma.authority_id=296651192&amp;maximumRecords=0</t>
  </si>
  <si>
    <t>https://swisscovery.slsp.ch/view/sru/41SLSP_VGE?version=1.2&amp;operation=searchRetrieve&amp;recordSchema=marcxml&amp;query=alma.authority_id=296651192&amp;maximumRecords=0</t>
  </si>
  <si>
    <t>292101236</t>
  </si>
  <si>
    <t>https://swisscovery.slsp.ch/view/sru/41SLSP_NETWORK?version=1.2&amp;operation=searchRetrieve&amp;recordSchema=marcxml&amp;query=alma.authority_id=292101236&amp;maximumRecords=0</t>
  </si>
  <si>
    <t>https://swisscovery.slsp.ch/view/sru/41SLSP_VGE?version=1.2&amp;operation=searchRetrieve&amp;recordSchema=marcxml&amp;query=alma.authority_id=292101236&amp;maximumRecords=0</t>
  </si>
  <si>
    <t>266145833</t>
  </si>
  <si>
    <t>https://swisscovery.slsp.ch/view/sru/41SLSP_NETWORK?version=1.2&amp;operation=searchRetrieve&amp;recordSchema=marcxml&amp;query=alma.authority_id=266145833&amp;maximumRecords=0</t>
  </si>
  <si>
    <t>https://swisscovery.slsp.ch/view/sru/41SLSP_VGE?version=1.2&amp;operation=searchRetrieve&amp;recordSchema=marcxml&amp;query=alma.authority_id=266145833&amp;maximumRecords=0</t>
  </si>
  <si>
    <t>268916497</t>
  </si>
  <si>
    <t>https://swisscovery.slsp.ch/view/sru/41SLSP_NETWORK?version=1.2&amp;operation=searchRetrieve&amp;recordSchema=marcxml&amp;query=alma.authority_id=268916497&amp;maximumRecords=0</t>
  </si>
  <si>
    <t>https://swisscovery.slsp.ch/view/sru/41SLSP_VGE?version=1.2&amp;operation=searchRetrieve&amp;recordSchema=marcxml&amp;query=alma.authority_id=268916497&amp;maximumRecords=0</t>
  </si>
  <si>
    <t>112026478</t>
  </si>
  <si>
    <t>https://swisscovery.slsp.ch/view/sru/41SLSP_NETWORK?version=1.2&amp;operation=searchRetrieve&amp;recordSchema=marcxml&amp;query=alma.authority_id=112026478&amp;maximumRecords=0</t>
  </si>
  <si>
    <t>https://swisscovery.slsp.ch/view/sru/41SLSP_VGE?version=1.2&amp;operation=searchRetrieve&amp;recordSchema=marcxml&amp;query=alma.authority_id=112026478&amp;maximumRecords=0</t>
  </si>
  <si>
    <t>166499684</t>
  </si>
  <si>
    <t>https://swisscovery.slsp.ch/view/sru/41SLSP_NETWORK?version=1.2&amp;operation=searchRetrieve&amp;recordSchema=marcxml&amp;query=alma.authority_id=166499684&amp;maximumRecords=0</t>
  </si>
  <si>
    <t>https://swisscovery.slsp.ch/view/sru/41SLSP_VGE?version=1.2&amp;operation=searchRetrieve&amp;recordSchema=marcxml&amp;query=alma.authority_id=166499684&amp;maximumRecords=0</t>
  </si>
  <si>
    <t>260705780</t>
  </si>
  <si>
    <t>https://swisscovery.slsp.ch/view/sru/41SLSP_NETWORK?version=1.2&amp;operation=searchRetrieve&amp;recordSchema=marcxml&amp;query=alma.authority_id=260705780&amp;maximumRecords=0</t>
  </si>
  <si>
    <t>https://swisscovery.slsp.ch/view/sru/41SLSP_VGE?version=1.2&amp;operation=searchRetrieve&amp;recordSchema=marcxml&amp;query=alma.authority_id=260705780&amp;maximumRecords=0</t>
  </si>
  <si>
    <t>251405990</t>
  </si>
  <si>
    <t>https://swisscovery.slsp.ch/view/sru/41SLSP_NETWORK?version=1.2&amp;operation=searchRetrieve&amp;recordSchema=marcxml&amp;query=alma.authority_id=251405990&amp;maximumRecords=0</t>
  </si>
  <si>
    <t>https://swisscovery.slsp.ch/view/sru/41SLSP_VGE?version=1.2&amp;operation=searchRetrieve&amp;recordSchema=marcxml&amp;query=alma.authority_id=251405990&amp;maximumRecords=0</t>
  </si>
  <si>
    <t>112328091</t>
  </si>
  <si>
    <t>https://swisscovery.slsp.ch/view/sru/41SLSP_NETWORK?version=1.2&amp;operation=searchRetrieve&amp;recordSchema=marcxml&amp;query=alma.authority_id=112328091&amp;maximumRecords=0</t>
  </si>
  <si>
    <t>https://swisscovery.slsp.ch/view/sru/41SLSP_VGE?version=1.2&amp;operation=searchRetrieve&amp;recordSchema=marcxml&amp;query=alma.authority_id=112328091&amp;maximumRecords=0</t>
  </si>
  <si>
    <t>26214834X</t>
  </si>
  <si>
    <t>https://swisscovery.slsp.ch/view/sru/41SLSP_NETWORK?version=1.2&amp;operation=searchRetrieve&amp;recordSchema=marcxml&amp;query=alma.authority_id=26214834X&amp;maximumRecords=0</t>
  </si>
  <si>
    <t>https://swisscovery.slsp.ch/view/sru/41SLSP_VGE?version=1.2&amp;operation=searchRetrieve&amp;recordSchema=marcxml&amp;query=alma.authority_id=26214834X&amp;maximumRecords=0</t>
  </si>
  <si>
    <t>05906580X</t>
  </si>
  <si>
    <t>https://swisscovery.slsp.ch/view/sru/41SLSP_NETWORK?version=1.2&amp;operation=searchRetrieve&amp;recordSchema=marcxml&amp;query=alma.authority_id=05906580X&amp;maximumRecords=0</t>
  </si>
  <si>
    <t>https://swisscovery.slsp.ch/view/sru/41SLSP_VGE?version=1.2&amp;operation=searchRetrieve&amp;recordSchema=marcxml&amp;query=alma.authority_id=05906580X&amp;maximumRecords=0</t>
  </si>
  <si>
    <t>144392968</t>
  </si>
  <si>
    <t>https://swisscovery.slsp.ch/view/sru/41SLSP_NETWORK?version=1.2&amp;operation=searchRetrieve&amp;recordSchema=marcxml&amp;query=alma.authority_id=144392968&amp;maximumRecords=0</t>
  </si>
  <si>
    <t>https://swisscovery.slsp.ch/view/sru/41SLSP_VGE?version=1.2&amp;operation=searchRetrieve&amp;recordSchema=marcxml&amp;query=alma.authority_id=144392968&amp;maximumRecords=0</t>
  </si>
  <si>
    <t>296147532</t>
  </si>
  <si>
    <t>https://swisscovery.slsp.ch/view/sru/41SLSP_NETWORK?version=1.2&amp;operation=searchRetrieve&amp;recordSchema=marcxml&amp;query=alma.authority_id=296147532&amp;maximumRecords=0</t>
  </si>
  <si>
    <t>https://swisscovery.slsp.ch/view/sru/41SLSP_VGE?version=1.2&amp;operation=searchRetrieve&amp;recordSchema=marcxml&amp;query=alma.authority_id=296147532&amp;maximumRecords=0</t>
  </si>
  <si>
    <t>296514160</t>
  </si>
  <si>
    <t>https://swisscovery.slsp.ch/view/sru/41SLSP_NETWORK?version=1.2&amp;operation=searchRetrieve&amp;recordSchema=marcxml&amp;query=alma.authority_id=296514160&amp;maximumRecords=0</t>
  </si>
  <si>
    <t>https://swisscovery.slsp.ch/view/sru/41SLSP_VGE?version=1.2&amp;operation=searchRetrieve&amp;recordSchema=marcxml&amp;query=alma.authority_id=296514160&amp;maximumRecords=0</t>
  </si>
  <si>
    <t>297060465</t>
  </si>
  <si>
    <t>https://swisscovery.slsp.ch/view/sru/41SLSP_NETWORK?version=1.2&amp;operation=searchRetrieve&amp;recordSchema=marcxml&amp;query=alma.authority_id=297060465&amp;maximumRecords=0</t>
  </si>
  <si>
    <t>https://swisscovery.slsp.ch/view/sru/41SLSP_VGE?version=1.2&amp;operation=searchRetrieve&amp;recordSchema=marcxml&amp;query=alma.authority_id=297060465&amp;maximumRecords=0</t>
  </si>
  <si>
    <t>200606905</t>
  </si>
  <si>
    <t>https://swisscovery.slsp.ch/view/sru/41SLSP_NETWORK?version=1.2&amp;operation=searchRetrieve&amp;recordSchema=marcxml&amp;query=alma.authority_id=200606905&amp;maximumRecords=0</t>
  </si>
  <si>
    <t>https://swisscovery.slsp.ch/view/sru/41SLSP_VGE?version=1.2&amp;operation=searchRetrieve&amp;recordSchema=marcxml&amp;query=alma.authority_id=200606905&amp;maximumRecords=0</t>
  </si>
  <si>
    <t>258019484</t>
  </si>
  <si>
    <t>https://swisscovery.slsp.ch/view/sru/41SLSP_NETWORK?version=1.2&amp;operation=searchRetrieve&amp;recordSchema=marcxml&amp;query=alma.authority_id=258019484&amp;maximumRecords=0</t>
  </si>
  <si>
    <t>https://swisscovery.slsp.ch/view/sru/41SLSP_VGE?version=1.2&amp;operation=searchRetrieve&amp;recordSchema=marcxml&amp;query=alma.authority_id=258019484&amp;maximumRecords=0</t>
  </si>
  <si>
    <t>113783523</t>
  </si>
  <si>
    <t>https://swisscovery.slsp.ch/view/sru/41SLSP_NETWORK?version=1.2&amp;operation=searchRetrieve&amp;recordSchema=marcxml&amp;query=alma.authority_id=113783523&amp;maximumRecords=0</t>
  </si>
  <si>
    <t>https://swisscovery.slsp.ch/view/sru/41SLSP_VGE?version=1.2&amp;operation=searchRetrieve&amp;recordSchema=marcxml&amp;query=alma.authority_id=113783523&amp;maximumRecords=0</t>
  </si>
  <si>
    <t>296651923</t>
  </si>
  <si>
    <t>https://swisscovery.slsp.ch/view/sru/41SLSP_NETWORK?version=1.2&amp;operation=searchRetrieve&amp;recordSchema=marcxml&amp;query=alma.authority_id=296651923&amp;maximumRecords=0</t>
  </si>
  <si>
    <t>https://swisscovery.slsp.ch/view/sru/41SLSP_VGE?version=1.2&amp;operation=searchRetrieve&amp;recordSchema=marcxml&amp;query=alma.authority_id=296651923&amp;maximumRecords=0</t>
  </si>
  <si>
    <t>296614084</t>
  </si>
  <si>
    <t>https://swisscovery.slsp.ch/view/sru/41SLSP_NETWORK?version=1.2&amp;operation=searchRetrieve&amp;recordSchema=marcxml&amp;query=alma.authority_id=296614084&amp;maximumRecords=0</t>
  </si>
  <si>
    <t>https://swisscovery.slsp.ch/view/sru/41SLSP_VGE?version=1.2&amp;operation=searchRetrieve&amp;recordSchema=marcxml&amp;query=alma.authority_id=296614084&amp;maximumRecords=0</t>
  </si>
  <si>
    <t>296669164</t>
  </si>
  <si>
    <t>https://swisscovery.slsp.ch/view/sru/41SLSP_NETWORK?version=1.2&amp;operation=searchRetrieve&amp;recordSchema=marcxml&amp;query=alma.authority_id=296669164&amp;maximumRecords=0</t>
  </si>
  <si>
    <t>https://swisscovery.slsp.ch/view/sru/41SLSP_VGE?version=1.2&amp;operation=searchRetrieve&amp;recordSchema=marcxml&amp;query=alma.authority_id=296669164&amp;maximumRecords=0</t>
  </si>
  <si>
    <t>254111165</t>
  </si>
  <si>
    <t>https://swisscovery.slsp.ch/view/sru/41SLSP_NETWORK?version=1.2&amp;operation=searchRetrieve&amp;recordSchema=marcxml&amp;query=alma.authority_id=254111165&amp;maximumRecords=0</t>
  </si>
  <si>
    <t>https://swisscovery.slsp.ch/view/sru/41SLSP_VGE?version=1.2&amp;operation=searchRetrieve&amp;recordSchema=marcxml&amp;query=alma.authority_id=254111165&amp;maximumRecords=0</t>
  </si>
  <si>
    <t>296700533</t>
  </si>
  <si>
    <t>https://swisscovery.slsp.ch/view/sru/41SLSP_NETWORK?version=1.2&amp;operation=searchRetrieve&amp;recordSchema=marcxml&amp;query=alma.authority_id=296700533&amp;maximumRecords=0</t>
  </si>
  <si>
    <t>https://swisscovery.slsp.ch/view/sru/41SLSP_VGE?version=1.2&amp;operation=searchRetrieve&amp;recordSchema=marcxml&amp;query=alma.authority_id=296700533&amp;maximumRecords=0</t>
  </si>
  <si>
    <t>296670340</t>
  </si>
  <si>
    <t>https://swisscovery.slsp.ch/view/sru/41SLSP_NETWORK?version=1.2&amp;operation=searchRetrieve&amp;recordSchema=marcxml&amp;query=alma.authority_id=296670340&amp;maximumRecords=0</t>
  </si>
  <si>
    <t>https://swisscovery.slsp.ch/view/sru/41SLSP_VGE?version=1.2&amp;operation=searchRetrieve&amp;recordSchema=marcxml&amp;query=alma.authority_id=296670340&amp;maximumRecords=0</t>
  </si>
  <si>
    <t>034981071</t>
  </si>
  <si>
    <t>https://swisscovery.slsp.ch/view/sru/41SLSP_NETWORK?version=1.2&amp;operation=searchRetrieve&amp;recordSchema=marcxml&amp;query=alma.authority_id=034981071&amp;maximumRecords=0</t>
  </si>
  <si>
    <t>https://swisscovery.slsp.ch/view/sru/41SLSP_VGE?version=1.2&amp;operation=searchRetrieve&amp;recordSchema=marcxml&amp;query=alma.authority_id=034981071&amp;maximumRecords=0</t>
  </si>
  <si>
    <t>296218898</t>
  </si>
  <si>
    <t>https://swisscovery.slsp.ch/view/sru/41SLSP_NETWORK?version=1.2&amp;operation=searchRetrieve&amp;recordSchema=marcxml&amp;query=alma.authority_id=296218898&amp;maximumRecords=0</t>
  </si>
  <si>
    <t>https://swisscovery.slsp.ch/view/sru/41SLSP_VGE?version=1.2&amp;operation=searchRetrieve&amp;recordSchema=marcxml&amp;query=alma.authority_id=296218898&amp;maximumRecords=0</t>
  </si>
  <si>
    <t>142554863</t>
  </si>
  <si>
    <t>https://swisscovery.slsp.ch/view/sru/41SLSP_NETWORK?version=1.2&amp;operation=searchRetrieve&amp;recordSchema=marcxml&amp;query=alma.authority_id=142554863&amp;maximumRecords=0</t>
  </si>
  <si>
    <t>https://swisscovery.slsp.ch/view/sru/41SLSP_VGE?version=1.2&amp;operation=searchRetrieve&amp;recordSchema=marcxml&amp;query=alma.authority_id=142554863&amp;maximumRecords=0</t>
  </si>
  <si>
    <t>200642952</t>
  </si>
  <si>
    <t>https://swisscovery.slsp.ch/view/sru/41SLSP_NETWORK?version=1.2&amp;operation=searchRetrieve&amp;recordSchema=marcxml&amp;query=alma.authority_id=200642952&amp;maximumRecords=0</t>
  </si>
  <si>
    <t>https://swisscovery.slsp.ch/view/sru/41SLSP_VGE?version=1.2&amp;operation=searchRetrieve&amp;recordSchema=marcxml&amp;query=alma.authority_id=200642952&amp;maximumRecords=0</t>
  </si>
  <si>
    <t>296511609</t>
  </si>
  <si>
    <t>https://swisscovery.slsp.ch/view/sru/41SLSP_NETWORK?version=1.2&amp;operation=searchRetrieve&amp;recordSchema=marcxml&amp;query=alma.authority_id=296511609&amp;maximumRecords=0</t>
  </si>
  <si>
    <t>https://swisscovery.slsp.ch/view/sru/41SLSP_VGE?version=1.2&amp;operation=searchRetrieve&amp;recordSchema=marcxml&amp;query=alma.authority_id=296511609&amp;maximumRecords=0</t>
  </si>
  <si>
    <t>026461269</t>
  </si>
  <si>
    <t>https://swisscovery.slsp.ch/view/sru/41SLSP_NETWORK?version=1.2&amp;operation=searchRetrieve&amp;recordSchema=marcxml&amp;query=alma.authority_id=026461269&amp;maximumRecords=0</t>
  </si>
  <si>
    <t>https://swisscovery.slsp.ch/view/sru/41SLSP_VGE?version=1.2&amp;operation=searchRetrieve&amp;recordSchema=marcxml&amp;query=alma.authority_id=026461269&amp;maximumRecords=0</t>
  </si>
  <si>
    <t>296997994</t>
  </si>
  <si>
    <t>https://swisscovery.slsp.ch/view/sru/41SLSP_NETWORK?version=1.2&amp;operation=searchRetrieve&amp;recordSchema=marcxml&amp;query=alma.authority_id=296997994&amp;maximumRecords=0</t>
  </si>
  <si>
    <t>https://swisscovery.slsp.ch/view/sru/41SLSP_VGE?version=1.2&amp;operation=searchRetrieve&amp;recordSchema=marcxml&amp;query=alma.authority_id=296997994&amp;maximumRecords=0</t>
  </si>
  <si>
    <t>296513970</t>
  </si>
  <si>
    <t>https://swisscovery.slsp.ch/view/sru/41SLSP_NETWORK?version=1.2&amp;operation=searchRetrieve&amp;recordSchema=marcxml&amp;query=alma.authority_id=296513970&amp;maximumRecords=0</t>
  </si>
  <si>
    <t>https://swisscovery.slsp.ch/view/sru/41SLSP_VGE?version=1.2&amp;operation=searchRetrieve&amp;recordSchema=marcxml&amp;query=alma.authority_id=296513970&amp;maximumRecords=0</t>
  </si>
  <si>
    <t>076101665</t>
  </si>
  <si>
    <t>https://swisscovery.slsp.ch/view/sru/41SLSP_NETWORK?version=1.2&amp;operation=searchRetrieve&amp;recordSchema=marcxml&amp;query=alma.authority_id=076101665&amp;maximumRecords=0</t>
  </si>
  <si>
    <t>https://swisscovery.slsp.ch/view/sru/41SLSP_VGE?version=1.2&amp;operation=searchRetrieve&amp;recordSchema=marcxml&amp;query=alma.authority_id=076101665&amp;maximumRecords=0</t>
  </si>
  <si>
    <t>295641304</t>
  </si>
  <si>
    <t>https://swisscovery.slsp.ch/view/sru/41SLSP_NETWORK?version=1.2&amp;operation=searchRetrieve&amp;recordSchema=marcxml&amp;query=alma.authority_id=295641304&amp;maximumRecords=0</t>
  </si>
  <si>
    <t>https://swisscovery.slsp.ch/view/sru/41SLSP_VGE?version=1.2&amp;operation=searchRetrieve&amp;recordSchema=marcxml&amp;query=alma.authority_id=295641304&amp;maximumRecords=0</t>
  </si>
  <si>
    <t>296514381</t>
  </si>
  <si>
    <t>https://swisscovery.slsp.ch/view/sru/41SLSP_NETWORK?version=1.2&amp;operation=searchRetrieve&amp;recordSchema=marcxml&amp;query=alma.authority_id=296514381&amp;maximumRecords=0</t>
  </si>
  <si>
    <t>https://swisscovery.slsp.ch/view/sru/41SLSP_VGE?version=1.2&amp;operation=searchRetrieve&amp;recordSchema=marcxml&amp;query=alma.authority_id=296514381&amp;maximumRecords=0</t>
  </si>
  <si>
    <t>15503782X</t>
  </si>
  <si>
    <t>https://swisscovery.slsp.ch/view/sru/41SLSP_NETWORK?version=1.2&amp;operation=searchRetrieve&amp;recordSchema=marcxml&amp;query=alma.authority_id=15503782X&amp;maximumRecords=0</t>
  </si>
  <si>
    <t>https://swisscovery.slsp.ch/view/sru/41SLSP_VGE?version=1.2&amp;operation=searchRetrieve&amp;recordSchema=marcxml&amp;query=alma.authority_id=15503782X&amp;maximumRecords=0</t>
  </si>
  <si>
    <t>280293895</t>
  </si>
  <si>
    <t>https://swisscovery.slsp.ch/view/sru/41SLSP_NETWORK?version=1.2&amp;operation=searchRetrieve&amp;recordSchema=marcxml&amp;query=alma.authority_id=280293895&amp;maximumRecords=0</t>
  </si>
  <si>
    <t>https://swisscovery.slsp.ch/view/sru/41SLSP_VGE?version=1.2&amp;operation=searchRetrieve&amp;recordSchema=marcxml&amp;query=alma.authority_id=280293895&amp;maximumRecords=0</t>
  </si>
  <si>
    <t>295254521</t>
  </si>
  <si>
    <t>https://swisscovery.slsp.ch/view/sru/41SLSP_NETWORK?version=1.2&amp;operation=searchRetrieve&amp;recordSchema=marcxml&amp;query=alma.authority_id=295254521&amp;maximumRecords=0</t>
  </si>
  <si>
    <t>https://swisscovery.slsp.ch/view/sru/41SLSP_VGE?version=1.2&amp;operation=searchRetrieve&amp;recordSchema=marcxml&amp;query=alma.authority_id=295254521&amp;maximumRecords=0</t>
  </si>
  <si>
    <t>236582313</t>
  </si>
  <si>
    <t>https://swisscovery.slsp.ch/view/sru/41SLSP_NETWORK?version=1.2&amp;operation=searchRetrieve&amp;recordSchema=marcxml&amp;query=alma.authority_id=236582313&amp;maximumRecords=0</t>
  </si>
  <si>
    <t>https://swisscovery.slsp.ch/view/sru/41SLSP_VGE?version=1.2&amp;operation=searchRetrieve&amp;recordSchema=marcxml&amp;query=alma.authority_id=236582313&amp;maximumRecords=0</t>
  </si>
  <si>
    <t>296651834</t>
  </si>
  <si>
    <t>https://swisscovery.slsp.ch/view/sru/41SLSP_NETWORK?version=1.2&amp;operation=searchRetrieve&amp;recordSchema=marcxml&amp;query=alma.authority_id=296651834&amp;maximumRecords=0</t>
  </si>
  <si>
    <t>https://swisscovery.slsp.ch/view/sru/41SLSP_VGE?version=1.2&amp;operation=searchRetrieve&amp;recordSchema=marcxml&amp;query=alma.authority_id=296651834&amp;maximumRecords=0</t>
  </si>
  <si>
    <t>291113850</t>
  </si>
  <si>
    <t>https://swisscovery.slsp.ch/view/sru/41SLSP_NETWORK?version=1.2&amp;operation=searchRetrieve&amp;recordSchema=marcxml&amp;query=alma.authority_id=291113850&amp;maximumRecords=0</t>
  </si>
  <si>
    <t>https://swisscovery.slsp.ch/view/sru/41SLSP_VGE?version=1.2&amp;operation=searchRetrieve&amp;recordSchema=marcxml&amp;query=alma.authority_id=291113850&amp;maximumRecords=0</t>
  </si>
  <si>
    <t>060833505</t>
  </si>
  <si>
    <t>https://swisscovery.slsp.ch/view/sru/41SLSP_NETWORK?version=1.2&amp;operation=searchRetrieve&amp;recordSchema=marcxml&amp;query=alma.authority_id=060833505&amp;maximumRecords=0</t>
  </si>
  <si>
    <t>https://swisscovery.slsp.ch/view/sru/41SLSP_VGE?version=1.2&amp;operation=searchRetrieve&amp;recordSchema=marcxml&amp;query=alma.authority_id=060833505&amp;maximumRecords=0</t>
  </si>
  <si>
    <t>178262625</t>
  </si>
  <si>
    <t>https://swisscovery.slsp.ch/view/sru/41SLSP_NETWORK?version=1.2&amp;operation=searchRetrieve&amp;recordSchema=marcxml&amp;query=alma.authority_id=178262625&amp;maximumRecords=0</t>
  </si>
  <si>
    <t>https://swisscovery.slsp.ch/view/sru/41SLSP_VGE?version=1.2&amp;operation=searchRetrieve&amp;recordSchema=marcxml&amp;query=alma.authority_id=178262625&amp;maximumRecords=0</t>
  </si>
  <si>
    <t>291078311</t>
  </si>
  <si>
    <t>https://swisscovery.slsp.ch/view/sru/41SLSP_NETWORK?version=1.2&amp;operation=searchRetrieve&amp;recordSchema=marcxml&amp;query=alma.authority_id=291078311&amp;maximumRecords=0</t>
  </si>
  <si>
    <t>https://swisscovery.slsp.ch/view/sru/41SLSP_VGE?version=1.2&amp;operation=searchRetrieve&amp;recordSchema=marcxml&amp;query=alma.authority_id=291078311&amp;maximumRecords=0</t>
  </si>
  <si>
    <t>265356032</t>
  </si>
  <si>
    <t>https://swisscovery.slsp.ch/view/sru/41SLSP_NETWORK?version=1.2&amp;operation=searchRetrieve&amp;recordSchema=marcxml&amp;query=alma.authority_id=265356032&amp;maximumRecords=0</t>
  </si>
  <si>
    <t>https://swisscovery.slsp.ch/view/sru/41SLSP_VGE?version=1.2&amp;operation=searchRetrieve&amp;recordSchema=marcxml&amp;query=alma.authority_id=265356032&amp;maximumRecords=0</t>
  </si>
  <si>
    <t>296828564</t>
  </si>
  <si>
    <t>https://swisscovery.slsp.ch/view/sru/41SLSP_NETWORK?version=1.2&amp;operation=searchRetrieve&amp;recordSchema=marcxml&amp;query=alma.authority_id=296828564&amp;maximumRecords=0</t>
  </si>
  <si>
    <t>https://swisscovery.slsp.ch/view/sru/41SLSP_VGE?version=1.2&amp;operation=searchRetrieve&amp;recordSchema=marcxml&amp;query=alma.authority_id=296828564&amp;maximumRecords=0</t>
  </si>
  <si>
    <t>199422141</t>
  </si>
  <si>
    <t>https://swisscovery.slsp.ch/view/sru/41SLSP_NETWORK?version=1.2&amp;operation=searchRetrieve&amp;recordSchema=marcxml&amp;query=alma.authority_id=199422141&amp;maximumRecords=0</t>
  </si>
  <si>
    <t>https://swisscovery.slsp.ch/view/sru/41SLSP_VGE?version=1.2&amp;operation=searchRetrieve&amp;recordSchema=marcxml&amp;query=alma.authority_id=199422141&amp;maximumRecords=0</t>
  </si>
  <si>
    <t>116970545</t>
  </si>
  <si>
    <t>https://swisscovery.slsp.ch/view/sru/41SLSP_NETWORK?version=1.2&amp;operation=searchRetrieve&amp;recordSchema=marcxml&amp;query=alma.authority_id=116970545&amp;maximumRecords=0</t>
  </si>
  <si>
    <t>https://swisscovery.slsp.ch/view/sru/41SLSP_VGE?version=1.2&amp;operation=searchRetrieve&amp;recordSchema=marcxml&amp;query=alma.authority_id=116970545&amp;maximumRecords=0</t>
  </si>
  <si>
    <t>256655669</t>
  </si>
  <si>
    <t>https://swisscovery.slsp.ch/view/sru/41SLSP_NETWORK?version=1.2&amp;operation=searchRetrieve&amp;recordSchema=marcxml&amp;query=alma.authority_id=256655669&amp;maximumRecords=0</t>
  </si>
  <si>
    <t>https://swisscovery.slsp.ch/view/sru/41SLSP_VGE?version=1.2&amp;operation=searchRetrieve&amp;recordSchema=marcxml&amp;query=alma.authority_id=256655669&amp;maximumRecords=0</t>
  </si>
  <si>
    <t>296219576</t>
  </si>
  <si>
    <t>https://swisscovery.slsp.ch/view/sru/41SLSP_NETWORK?version=1.2&amp;operation=searchRetrieve&amp;recordSchema=marcxml&amp;query=alma.authority_id=296219576&amp;maximumRecords=0</t>
  </si>
  <si>
    <t>https://swisscovery.slsp.ch/view/sru/41SLSP_VGE?version=1.2&amp;operation=searchRetrieve&amp;recordSchema=marcxml&amp;query=alma.authority_id=296219576&amp;maximumRecords=0</t>
  </si>
  <si>
    <t>296827592</t>
  </si>
  <si>
    <t>https://swisscovery.slsp.ch/view/sru/41SLSP_NETWORK?version=1.2&amp;operation=searchRetrieve&amp;recordSchema=marcxml&amp;query=alma.authority_id=296827592&amp;maximumRecords=0</t>
  </si>
  <si>
    <t>https://swisscovery.slsp.ch/view/sru/41SLSP_VGE?version=1.2&amp;operation=searchRetrieve&amp;recordSchema=marcxml&amp;query=alma.authority_id=296827592&amp;maximumRecords=0</t>
  </si>
  <si>
    <t>292580134</t>
  </si>
  <si>
    <t>https://swisscovery.slsp.ch/view/sru/41SLSP_NETWORK?version=1.2&amp;operation=searchRetrieve&amp;recordSchema=marcxml&amp;query=alma.authority_id=292580134&amp;maximumRecords=0</t>
  </si>
  <si>
    <t>https://swisscovery.slsp.ch/view/sru/41SLSP_VGE?version=1.2&amp;operation=searchRetrieve&amp;recordSchema=marcxml&amp;query=alma.authority_id=292580134&amp;maximumRecords=0</t>
  </si>
  <si>
    <t>296514071</t>
  </si>
  <si>
    <t>https://swisscovery.slsp.ch/view/sru/41SLSP_NETWORK?version=1.2&amp;operation=searchRetrieve&amp;recordSchema=marcxml&amp;query=alma.authority_id=296514071&amp;maximumRecords=0</t>
  </si>
  <si>
    <t>https://swisscovery.slsp.ch/view/sru/41SLSP_VGE?version=1.2&amp;operation=searchRetrieve&amp;recordSchema=marcxml&amp;query=alma.authority_id=296514071&amp;maximumRecords=0</t>
  </si>
  <si>
    <t>026704641</t>
  </si>
  <si>
    <t>https://swisscovery.slsp.ch/view/sru/41SLSP_NETWORK?version=1.2&amp;operation=searchRetrieve&amp;recordSchema=marcxml&amp;query=alma.authority_id=026704641&amp;maximumRecords=0</t>
  </si>
  <si>
    <t>https://swisscovery.slsp.ch/view/sru/41SLSP_VGE?version=1.2&amp;operation=searchRetrieve&amp;recordSchema=marcxml&amp;query=alma.authority_id=026704641&amp;maximumRecords=0</t>
  </si>
  <si>
    <t>29661372X</t>
  </si>
  <si>
    <t>https://swisscovery.slsp.ch/view/sru/41SLSP_NETWORK?version=1.2&amp;operation=searchRetrieve&amp;recordSchema=marcxml&amp;query=alma.authority_id=29661372X&amp;maximumRecords=0</t>
  </si>
  <si>
    <t>https://swisscovery.slsp.ch/view/sru/41SLSP_VGE?version=1.2&amp;operation=searchRetrieve&amp;recordSchema=marcxml&amp;query=alma.authority_id=29661372X&amp;maximumRecords=0</t>
  </si>
  <si>
    <t>258125942</t>
  </si>
  <si>
    <t>https://swisscovery.slsp.ch/view/sru/41SLSP_NETWORK?version=1.2&amp;operation=searchRetrieve&amp;recordSchema=marcxml&amp;query=alma.authority_id=258125942&amp;maximumRecords=0</t>
  </si>
  <si>
    <t>https://swisscovery.slsp.ch/view/sru/41SLSP_VGE?version=1.2&amp;operation=searchRetrieve&amp;recordSchema=marcxml&amp;query=alma.authority_id=258125942&amp;maximumRecords=0</t>
  </si>
  <si>
    <t>296217700</t>
  </si>
  <si>
    <t>https://swisscovery.slsp.ch/view/sru/41SLSP_NETWORK?version=1.2&amp;operation=searchRetrieve&amp;recordSchema=marcxml&amp;query=alma.authority_id=296217700&amp;maximumRecords=0</t>
  </si>
  <si>
    <t>https://swisscovery.slsp.ch/view/sru/41SLSP_VGE?version=1.2&amp;operation=searchRetrieve&amp;recordSchema=marcxml&amp;query=alma.authority_id=296217700&amp;maximumRecords=0</t>
  </si>
  <si>
    <t>296671193</t>
  </si>
  <si>
    <t>https://swisscovery.slsp.ch/view/sru/41SLSP_NETWORK?version=1.2&amp;operation=searchRetrieve&amp;recordSchema=marcxml&amp;query=alma.authority_id=296671193&amp;maximumRecords=0</t>
  </si>
  <si>
    <t>https://swisscovery.slsp.ch/view/sru/41SLSP_VGE?version=1.2&amp;operation=searchRetrieve&amp;recordSchema=marcxml&amp;query=alma.authority_id=296671193&amp;maximumRecords=0</t>
  </si>
  <si>
    <t>295943793</t>
  </si>
  <si>
    <t>https://swisscovery.slsp.ch/view/sru/41SLSP_NETWORK?version=1.2&amp;operation=searchRetrieve&amp;recordSchema=marcxml&amp;query=alma.authority_id=295943793&amp;maximumRecords=0</t>
  </si>
  <si>
    <t>https://swisscovery.slsp.ch/view/sru/41SLSP_VGE?version=1.2&amp;operation=searchRetrieve&amp;recordSchema=marcxml&amp;query=alma.authority_id=295943793&amp;maximumRecords=0</t>
  </si>
  <si>
    <t>296514330</t>
  </si>
  <si>
    <t>https://swisscovery.slsp.ch/view/sru/41SLSP_NETWORK?version=1.2&amp;operation=searchRetrieve&amp;recordSchema=marcxml&amp;query=alma.authority_id=296514330&amp;maximumRecords=0</t>
  </si>
  <si>
    <t>https://swisscovery.slsp.ch/view/sru/41SLSP_VGE?version=1.2&amp;operation=searchRetrieve&amp;recordSchema=marcxml&amp;query=alma.authority_id=296514330&amp;maximumRecords=0</t>
  </si>
  <si>
    <t>29646984X</t>
  </si>
  <si>
    <t>https://swisscovery.slsp.ch/view/sru/41SLSP_NETWORK?version=1.2&amp;operation=searchRetrieve&amp;recordSchema=marcxml&amp;query=alma.authority_id=29646984X&amp;maximumRecords=0</t>
  </si>
  <si>
    <t>https://swisscovery.slsp.ch/view/sru/41SLSP_VGE?version=1.2&amp;operation=searchRetrieve&amp;recordSchema=marcxml&amp;query=alma.authority_id=29646984X&amp;maximumRecords=0</t>
  </si>
  <si>
    <t>295901608</t>
  </si>
  <si>
    <t>https://swisscovery.slsp.ch/view/sru/41SLSP_NETWORK?version=1.2&amp;operation=searchRetrieve&amp;recordSchema=marcxml&amp;query=alma.authority_id=295901608&amp;maximumRecords=0</t>
  </si>
  <si>
    <t>https://swisscovery.slsp.ch/view/sru/41SLSP_VGE?version=1.2&amp;operation=searchRetrieve&amp;recordSchema=marcxml&amp;query=alma.authority_id=295901608&amp;maximumRecords=0</t>
  </si>
  <si>
    <t>259080454</t>
  </si>
  <si>
    <t>https://swisscovery.slsp.ch/view/sru/41SLSP_NETWORK?version=1.2&amp;operation=searchRetrieve&amp;recordSchema=marcxml&amp;query=alma.authority_id=259080454&amp;maximumRecords=0</t>
  </si>
  <si>
    <t>https://swisscovery.slsp.ch/view/sru/41SLSP_VGE?version=1.2&amp;operation=searchRetrieve&amp;recordSchema=marcxml&amp;query=alma.authority_id=259080454&amp;maximumRecords=0</t>
  </si>
  <si>
    <t>095817018</t>
  </si>
  <si>
    <t>https://swisscovery.slsp.ch/view/sru/41SLSP_NETWORK?version=1.2&amp;operation=searchRetrieve&amp;recordSchema=marcxml&amp;query=alma.authority_id=095817018&amp;maximumRecords=0</t>
  </si>
  <si>
    <t>https://swisscovery.slsp.ch/view/sru/41SLSP_VGE?version=1.2&amp;operation=searchRetrieve&amp;recordSchema=marcxml&amp;query=alma.authority_id=095817018&amp;maximumRecords=0</t>
  </si>
  <si>
    <t>292958366</t>
  </si>
  <si>
    <t>https://swisscovery.slsp.ch/view/sru/41SLSP_NETWORK?version=1.2&amp;operation=searchRetrieve&amp;recordSchema=marcxml&amp;query=alma.authority_id=292958366&amp;maximumRecords=0</t>
  </si>
  <si>
    <t>https://swisscovery.slsp.ch/view/sru/41SLSP_VGE?version=1.2&amp;operation=searchRetrieve&amp;recordSchema=marcxml&amp;query=alma.authority_id=292958366&amp;maximumRecords=0</t>
  </si>
  <si>
    <t>055754813</t>
  </si>
  <si>
    <t>https://swisscovery.slsp.ch/view/sru/41SLSP_NETWORK?version=1.2&amp;operation=searchRetrieve&amp;recordSchema=marcxml&amp;query=alma.authority_id=055754813&amp;maximumRecords=0</t>
  </si>
  <si>
    <t>https://swisscovery.slsp.ch/view/sru/41SLSP_VGE?version=1.2&amp;operation=searchRetrieve&amp;recordSchema=marcxml&amp;query=alma.authority_id=055754813&amp;maximumRecords=0</t>
  </si>
  <si>
    <t>261374540</t>
  </si>
  <si>
    <t>https://swisscovery.slsp.ch/view/sru/41SLSP_NETWORK?version=1.2&amp;operation=searchRetrieve&amp;recordSchema=marcxml&amp;query=alma.authority_id=261374540&amp;maximumRecords=0</t>
  </si>
  <si>
    <t>https://swisscovery.slsp.ch/view/sru/41SLSP_VGE?version=1.2&amp;operation=searchRetrieve&amp;recordSchema=marcxml&amp;query=alma.authority_id=261374540&amp;maximumRecords=0</t>
  </si>
  <si>
    <t>057790132</t>
  </si>
  <si>
    <t>https://swisscovery.slsp.ch/view/sru/41SLSP_NETWORK?version=1.2&amp;operation=searchRetrieve&amp;recordSchema=marcxml&amp;query=alma.authority_id=057790132&amp;maximumRecords=0</t>
  </si>
  <si>
    <t>https://swisscovery.slsp.ch/view/sru/41SLSP_VGE?version=1.2&amp;operation=searchRetrieve&amp;recordSchema=marcxml&amp;query=alma.authority_id=057790132&amp;maximumRecords=0</t>
  </si>
  <si>
    <t>256326592</t>
  </si>
  <si>
    <t>https://swisscovery.slsp.ch/view/sru/41SLSP_NETWORK?version=1.2&amp;operation=searchRetrieve&amp;recordSchema=marcxml&amp;query=alma.authority_id=256326592&amp;maximumRecords=0</t>
  </si>
  <si>
    <t>https://swisscovery.slsp.ch/view/sru/41SLSP_VGE?version=1.2&amp;operation=searchRetrieve&amp;recordSchema=marcxml&amp;query=alma.authority_id=256326592&amp;maximumRecords=0</t>
  </si>
  <si>
    <t>296710210</t>
  </si>
  <si>
    <t>https://swisscovery.slsp.ch/view/sru/41SLSP_NETWORK?version=1.2&amp;operation=searchRetrieve&amp;recordSchema=marcxml&amp;query=alma.authority_id=296710210&amp;maximumRecords=0</t>
  </si>
  <si>
    <t>https://swisscovery.slsp.ch/view/sru/41SLSP_VGE?version=1.2&amp;operation=searchRetrieve&amp;recordSchema=marcxml&amp;query=alma.authority_id=296710210&amp;maximumRecords=0</t>
  </si>
  <si>
    <t>295577479</t>
  </si>
  <si>
    <t>https://swisscovery.slsp.ch/view/sru/41SLSP_NETWORK?version=1.2&amp;operation=searchRetrieve&amp;recordSchema=marcxml&amp;query=alma.authority_id=295577479&amp;maximumRecords=0</t>
  </si>
  <si>
    <t>https://swisscovery.slsp.ch/view/sru/41SLSP_VGE?version=1.2&amp;operation=searchRetrieve&amp;recordSchema=marcxml&amp;query=alma.authority_id=295577479&amp;maximumRecords=0</t>
  </si>
  <si>
    <t>296525758</t>
  </si>
  <si>
    <t>https://swisscovery.slsp.ch/view/sru/41SLSP_NETWORK?version=1.2&amp;operation=searchRetrieve&amp;recordSchema=marcxml&amp;query=alma.authority_id=296525758&amp;maximumRecords=0</t>
  </si>
  <si>
    <t>https://swisscovery.slsp.ch/view/sru/41SLSP_VGE?version=1.2&amp;operation=searchRetrieve&amp;recordSchema=marcxml&amp;query=alma.authority_id=296525758&amp;maximumRecords=0</t>
  </si>
  <si>
    <t>295582804</t>
  </si>
  <si>
    <t>https://swisscovery.slsp.ch/view/sru/41SLSP_NETWORK?version=1.2&amp;operation=searchRetrieve&amp;recordSchema=marcxml&amp;query=alma.authority_id=295582804&amp;maximumRecords=0</t>
  </si>
  <si>
    <t>https://swisscovery.slsp.ch/view/sru/41SLSP_VGE?version=1.2&amp;operation=searchRetrieve&amp;recordSchema=marcxml&amp;query=alma.authority_id=295582804&amp;maximumRecords=0</t>
  </si>
  <si>
    <t>29667107X</t>
  </si>
  <si>
    <t>https://swisscovery.slsp.ch/view/sru/41SLSP_NETWORK?version=1.2&amp;operation=searchRetrieve&amp;recordSchema=marcxml&amp;query=alma.authority_id=29667107X&amp;maximumRecords=0</t>
  </si>
  <si>
    <t>https://swisscovery.slsp.ch/view/sru/41SLSP_VGE?version=1.2&amp;operation=searchRetrieve&amp;recordSchema=marcxml&amp;query=alma.authority_id=29667107X&amp;maximumRecords=0</t>
  </si>
  <si>
    <t>295640839</t>
  </si>
  <si>
    <t>https://swisscovery.slsp.ch/view/sru/41SLSP_NETWORK?version=1.2&amp;operation=searchRetrieve&amp;recordSchema=marcxml&amp;query=alma.authority_id=295640839&amp;maximumRecords=0</t>
  </si>
  <si>
    <t>https://swisscovery.slsp.ch/view/sru/41SLSP_VGE?version=1.2&amp;operation=searchRetrieve&amp;recordSchema=marcxml&amp;query=alma.authority_id=295640839&amp;maximumRecords=0</t>
  </si>
  <si>
    <t>066897033</t>
  </si>
  <si>
    <t>https://swisscovery.slsp.ch/view/sru/41SLSP_NETWORK?version=1.2&amp;operation=searchRetrieve&amp;recordSchema=marcxml&amp;query=alma.authority_id=066897033&amp;maximumRecords=0</t>
  </si>
  <si>
    <t>https://swisscovery.slsp.ch/view/sru/41SLSP_VGE?version=1.2&amp;operation=searchRetrieve&amp;recordSchema=marcxml&amp;query=alma.authority_id=066897033&amp;maximumRecords=0</t>
  </si>
  <si>
    <t>058640606</t>
  </si>
  <si>
    <t>https://swisscovery.slsp.ch/view/sru/41SLSP_NETWORK?version=1.2&amp;operation=searchRetrieve&amp;recordSchema=marcxml&amp;query=alma.authority_id=058640606&amp;maximumRecords=0</t>
  </si>
  <si>
    <t>https://swisscovery.slsp.ch/view/sru/41SLSP_VGE?version=1.2&amp;operation=searchRetrieve&amp;recordSchema=marcxml&amp;query=alma.authority_id=058640606&amp;maximumRecords=0</t>
  </si>
  <si>
    <t>255840497</t>
  </si>
  <si>
    <t>https://swisscovery.slsp.ch/view/sru/41SLSP_NETWORK?version=1.2&amp;operation=searchRetrieve&amp;recordSchema=marcxml&amp;query=alma.authority_id=255840497&amp;maximumRecords=0</t>
  </si>
  <si>
    <t>https://swisscovery.slsp.ch/view/sru/41SLSP_VGE?version=1.2&amp;operation=searchRetrieve&amp;recordSchema=marcxml&amp;query=alma.authority_id=255840497&amp;maximumRecords=0</t>
  </si>
  <si>
    <t>031225381</t>
  </si>
  <si>
    <t>https://swisscovery.slsp.ch/view/sru/41SLSP_NETWORK?version=1.2&amp;operation=searchRetrieve&amp;recordSchema=marcxml&amp;query=alma.authority_id=031225381&amp;maximumRecords=0</t>
  </si>
  <si>
    <t>https://swisscovery.slsp.ch/view/sru/41SLSP_VGE?version=1.2&amp;operation=searchRetrieve&amp;recordSchema=marcxml&amp;query=alma.authority_id=031225381&amp;maximumRecords=0</t>
  </si>
  <si>
    <t>157874176</t>
  </si>
  <si>
    <t>https://swisscovery.slsp.ch/view/sru/41SLSP_NETWORK?version=1.2&amp;operation=searchRetrieve&amp;recordSchema=marcxml&amp;query=alma.authority_id=157874176&amp;maximumRecords=0</t>
  </si>
  <si>
    <t>https://swisscovery.slsp.ch/view/sru/41SLSP_VGE?version=1.2&amp;operation=searchRetrieve&amp;recordSchema=marcxml&amp;query=alma.authority_id=157874176&amp;maximumRecords=0</t>
  </si>
  <si>
    <t>296211818</t>
  </si>
  <si>
    <t>https://swisscovery.slsp.ch/view/sru/41SLSP_NETWORK?version=1.2&amp;operation=searchRetrieve&amp;recordSchema=marcxml&amp;query=alma.authority_id=296211818&amp;maximumRecords=0</t>
  </si>
  <si>
    <t>https://swisscovery.slsp.ch/view/sru/41SLSP_VGE?version=1.2&amp;operation=searchRetrieve&amp;recordSchema=marcxml&amp;query=alma.authority_id=296211818&amp;maximumRecords=0</t>
  </si>
  <si>
    <t>088595900</t>
  </si>
  <si>
    <t>https://swisscovery.slsp.ch/view/sru/41SLSP_NETWORK?version=1.2&amp;operation=searchRetrieve&amp;recordSchema=marcxml&amp;query=alma.authority_id=088595900&amp;maximumRecords=0</t>
  </si>
  <si>
    <t>https://swisscovery.slsp.ch/view/sru/41SLSP_VGE?version=1.2&amp;operation=searchRetrieve&amp;recordSchema=marcxml&amp;query=alma.authority_id=088595900&amp;maximumRecords=0</t>
  </si>
  <si>
    <t>195505956</t>
  </si>
  <si>
    <t>https://swisscovery.slsp.ch/view/sru/41SLSP_NETWORK?version=1.2&amp;operation=searchRetrieve&amp;recordSchema=marcxml&amp;query=alma.authority_id=195505956&amp;maximumRecords=0</t>
  </si>
  <si>
    <t>https://swisscovery.slsp.ch/view/sru/41SLSP_VGE?version=1.2&amp;operation=searchRetrieve&amp;recordSchema=marcxml&amp;query=alma.authority_id=195505956&amp;maximumRecords=0</t>
  </si>
  <si>
    <t>293591342</t>
  </si>
  <si>
    <t>https://swisscovery.slsp.ch/view/sru/41SLSP_NETWORK?version=1.2&amp;operation=searchRetrieve&amp;recordSchema=marcxml&amp;query=alma.authority_id=293591342&amp;maximumRecords=0</t>
  </si>
  <si>
    <t>https://swisscovery.slsp.ch/view/sru/41SLSP_VGE?version=1.2&amp;operation=searchRetrieve&amp;recordSchema=marcxml&amp;query=alma.authority_id=293591342&amp;maximumRecords=0</t>
  </si>
  <si>
    <t>032524668</t>
  </si>
  <si>
    <t>https://swisscovery.slsp.ch/view/sru/41SLSP_NETWORK?version=1.2&amp;operation=searchRetrieve&amp;recordSchema=marcxml&amp;query=alma.authority_id=032524668&amp;maximumRecords=0</t>
  </si>
  <si>
    <t>https://swisscovery.slsp.ch/view/sru/41SLSP_VGE?version=1.2&amp;operation=searchRetrieve&amp;recordSchema=marcxml&amp;query=alma.authority_id=032524668&amp;maximumRecords=0</t>
  </si>
  <si>
    <t>027978478</t>
  </si>
  <si>
    <t>https://swisscovery.slsp.ch/view/sru/41SLSP_NETWORK?version=1.2&amp;operation=searchRetrieve&amp;recordSchema=marcxml&amp;query=alma.authority_id=027978478&amp;maximumRecords=0</t>
  </si>
  <si>
    <t>https://swisscovery.slsp.ch/view/sru/41SLSP_VGE?version=1.2&amp;operation=searchRetrieve&amp;recordSchema=marcxml&amp;query=alma.authority_id=027978478&amp;maximumRecords=0</t>
  </si>
  <si>
    <t>255183437</t>
  </si>
  <si>
    <t>https://swisscovery.slsp.ch/view/sru/41SLSP_NETWORK?version=1.2&amp;operation=searchRetrieve&amp;recordSchema=marcxml&amp;query=alma.authority_id=255183437&amp;maximumRecords=0</t>
  </si>
  <si>
    <t>https://swisscovery.slsp.ch/view/sru/41SLSP_VGE?version=1.2&amp;operation=searchRetrieve&amp;recordSchema=marcxml&amp;query=alma.authority_id=255183437&amp;maximumRecords=0</t>
  </si>
  <si>
    <t>255460589</t>
  </si>
  <si>
    <t>https://swisscovery.slsp.ch/view/sru/41SLSP_NETWORK?version=1.2&amp;operation=searchRetrieve&amp;recordSchema=marcxml&amp;query=alma.authority_id=255460589&amp;maximumRecords=0</t>
  </si>
  <si>
    <t>https://swisscovery.slsp.ch/view/sru/41SLSP_VGE?version=1.2&amp;operation=searchRetrieve&amp;recordSchema=marcxml&amp;query=alma.authority_id=255460589&amp;maximumRecords=0</t>
  </si>
  <si>
    <t>255463308</t>
  </si>
  <si>
    <t>https://swisscovery.slsp.ch/view/sru/41SLSP_NETWORK?version=1.2&amp;operation=searchRetrieve&amp;recordSchema=marcxml&amp;query=alma.authority_id=255463308&amp;maximumRecords=0</t>
  </si>
  <si>
    <t>https://swisscovery.slsp.ch/view/sru/41SLSP_VGE?version=1.2&amp;operation=searchRetrieve&amp;recordSchema=marcxml&amp;query=alma.authority_id=255463308&amp;maximumRecords=0</t>
  </si>
  <si>
    <t>296963933</t>
  </si>
  <si>
    <t>https://swisscovery.slsp.ch/view/sru/41SLSP_NETWORK?version=1.2&amp;operation=searchRetrieve&amp;recordSchema=marcxml&amp;query=alma.authority_id=296963933&amp;maximumRecords=0</t>
  </si>
  <si>
    <t>https://swisscovery.slsp.ch/view/sru/41SLSP_VGE?version=1.2&amp;operation=searchRetrieve&amp;recordSchema=marcxml&amp;query=alma.authority_id=296963933&amp;maximumRecords=0</t>
  </si>
  <si>
    <t>296203386</t>
  </si>
  <si>
    <t>https://swisscovery.slsp.ch/view/sru/41SLSP_NETWORK?version=1.2&amp;operation=searchRetrieve&amp;recordSchema=marcxml&amp;query=alma.authority_id=296203386&amp;maximumRecords=0</t>
  </si>
  <si>
    <t>https://swisscovery.slsp.ch/view/sru/41SLSP_VGE?version=1.2&amp;operation=searchRetrieve&amp;recordSchema=marcxml&amp;query=alma.authority_id=296203386&amp;maximumRecords=0</t>
  </si>
  <si>
    <t>026714302</t>
  </si>
  <si>
    <t>https://swisscovery.slsp.ch/view/sru/41SLSP_NETWORK?version=1.2&amp;operation=searchRetrieve&amp;recordSchema=marcxml&amp;query=alma.authority_id=026714302&amp;maximumRecords=0</t>
  </si>
  <si>
    <t>https://swisscovery.slsp.ch/view/sru/41SLSP_VGE?version=1.2&amp;operation=searchRetrieve&amp;recordSchema=marcxml&amp;query=alma.authority_id=026714302&amp;maximumRecords=0</t>
  </si>
  <si>
    <t>296614432</t>
  </si>
  <si>
    <t>https://swisscovery.slsp.ch/view/sru/41SLSP_NETWORK?version=1.2&amp;operation=searchRetrieve&amp;recordSchema=marcxml&amp;query=alma.authority_id=296614432&amp;maximumRecords=0</t>
  </si>
  <si>
    <t>https://swisscovery.slsp.ch/view/sru/41SLSP_VGE?version=1.2&amp;operation=searchRetrieve&amp;recordSchema=marcxml&amp;query=alma.authority_id=296614432&amp;maximumRecords=0</t>
  </si>
  <si>
    <t>296651877</t>
  </si>
  <si>
    <t>https://swisscovery.slsp.ch/view/sru/41SLSP_NETWORK?version=1.2&amp;operation=searchRetrieve&amp;recordSchema=marcxml&amp;query=alma.authority_id=296651877&amp;maximumRecords=0</t>
  </si>
  <si>
    <t>https://swisscovery.slsp.ch/view/sru/41SLSP_VGE?version=1.2&amp;operation=searchRetrieve&amp;recordSchema=marcxml&amp;query=alma.authority_id=296651877&amp;maximumRecords=0</t>
  </si>
  <si>
    <t>087278251</t>
  </si>
  <si>
    <t>https://swisscovery.slsp.ch/view/sru/41SLSP_NETWORK?version=1.2&amp;operation=searchRetrieve&amp;recordSchema=marcxml&amp;query=alma.authority_id=087278251&amp;maximumRecords=0</t>
  </si>
  <si>
    <t>https://swisscovery.slsp.ch/view/sru/41SLSP_VGE?version=1.2&amp;operation=searchRetrieve&amp;recordSchema=marcxml&amp;query=alma.authority_id=087278251&amp;maximumRecords=0</t>
  </si>
  <si>
    <t>296835501</t>
  </si>
  <si>
    <t>https://swisscovery.slsp.ch/view/sru/41SLSP_NETWORK?version=1.2&amp;operation=searchRetrieve&amp;recordSchema=marcxml&amp;query=alma.authority_id=296835501&amp;maximumRecords=0</t>
  </si>
  <si>
    <t>https://swisscovery.slsp.ch/view/sru/41SLSP_VGE?version=1.2&amp;operation=searchRetrieve&amp;recordSchema=marcxml&amp;query=alma.authority_id=296835501&amp;maximumRecords=0</t>
  </si>
  <si>
    <t>296078026</t>
  </si>
  <si>
    <t>https://swisscovery.slsp.ch/view/sru/41SLSP_NETWORK?version=1.2&amp;operation=searchRetrieve&amp;recordSchema=marcxml&amp;query=alma.authority_id=296078026&amp;maximumRecords=0</t>
  </si>
  <si>
    <t>https://swisscovery.slsp.ch/view/sru/41SLSP_VGE?version=1.2&amp;operation=searchRetrieve&amp;recordSchema=marcxml&amp;query=alma.authority_id=296078026&amp;maximumRecords=0</t>
  </si>
  <si>
    <t>296039802</t>
  </si>
  <si>
    <t>https://swisscovery.slsp.ch/view/sru/41SLSP_NETWORK?version=1.2&amp;operation=searchRetrieve&amp;recordSchema=marcxml&amp;query=alma.authority_id=296039802&amp;maximumRecords=0</t>
  </si>
  <si>
    <t>https://swisscovery.slsp.ch/view/sru/41SLSP_VGE?version=1.2&amp;operation=searchRetrieve&amp;recordSchema=marcxml&amp;query=alma.authority_id=296039802&amp;maximumRecords=0</t>
  </si>
  <si>
    <t>150123035</t>
  </si>
  <si>
    <t>https://swisscovery.slsp.ch/view/sru/41SLSP_NETWORK?version=1.2&amp;operation=searchRetrieve&amp;recordSchema=marcxml&amp;query=alma.authority_id=150123035&amp;maximumRecords=0</t>
  </si>
  <si>
    <t>https://swisscovery.slsp.ch/view/sru/41SLSP_VGE?version=1.2&amp;operation=searchRetrieve&amp;recordSchema=marcxml&amp;query=alma.authority_id=150123035&amp;maximumRecords=0</t>
  </si>
  <si>
    <t>125015070</t>
  </si>
  <si>
    <t>https://swisscovery.slsp.ch/view/sru/41SLSP_NETWORK?version=1.2&amp;operation=searchRetrieve&amp;recordSchema=marcxml&amp;query=alma.authority_id=125015070&amp;maximumRecords=0</t>
  </si>
  <si>
    <t>https://swisscovery.slsp.ch/view/sru/41SLSP_VGE?version=1.2&amp;operation=searchRetrieve&amp;recordSchema=marcxml&amp;query=alma.authority_id=125015070&amp;maximumRecords=0</t>
  </si>
  <si>
    <t>296835641</t>
  </si>
  <si>
    <t>https://swisscovery.slsp.ch/view/sru/41SLSP_NETWORK?version=1.2&amp;operation=searchRetrieve&amp;recordSchema=marcxml&amp;query=alma.authority_id=296835641&amp;maximumRecords=0</t>
  </si>
  <si>
    <t>https://swisscovery.slsp.ch/view/sru/41SLSP_VGE?version=1.2&amp;operation=searchRetrieve&amp;recordSchema=marcxml&amp;query=alma.authority_id=296835641&amp;maximumRecords=0</t>
  </si>
  <si>
    <t>260491632</t>
  </si>
  <si>
    <t>https://swisscovery.slsp.ch/view/sru/41SLSP_NETWORK?version=1.2&amp;operation=searchRetrieve&amp;recordSchema=marcxml&amp;query=alma.authority_id=260491632&amp;maximumRecords=0</t>
  </si>
  <si>
    <t>https://swisscovery.slsp.ch/view/sru/41SLSP_VGE?version=1.2&amp;operation=searchRetrieve&amp;recordSchema=marcxml&amp;query=alma.authority_id=260491632&amp;maximumRecords=0</t>
  </si>
  <si>
    <t>266442889</t>
  </si>
  <si>
    <t>https://swisscovery.slsp.ch/view/sru/41SLSP_NETWORK?version=1.2&amp;operation=searchRetrieve&amp;recordSchema=marcxml&amp;query=alma.authority_id=266442889&amp;maximumRecords=0</t>
  </si>
  <si>
    <t>https://swisscovery.slsp.ch/view/sru/41SLSP_VGE?version=1.2&amp;operation=searchRetrieve&amp;recordSchema=marcxml&amp;query=alma.authority_id=266442889&amp;maximumRecords=0</t>
  </si>
  <si>
    <t>171813588</t>
  </si>
  <si>
    <t>https://swisscovery.slsp.ch/view/sru/41SLSP_NETWORK?version=1.2&amp;operation=searchRetrieve&amp;recordSchema=marcxml&amp;query=alma.authority_id=171813588&amp;maximumRecords=0</t>
  </si>
  <si>
    <t>https://swisscovery.slsp.ch/view/sru/41SLSP_VGE?version=1.2&amp;operation=searchRetrieve&amp;recordSchema=marcxml&amp;query=alma.authority_id=171813588&amp;maximumRecords=0</t>
  </si>
  <si>
    <t>16393438X</t>
  </si>
  <si>
    <t>https://swisscovery.slsp.ch/view/sru/41SLSP_NETWORK?version=1.2&amp;operation=searchRetrieve&amp;recordSchema=marcxml&amp;query=alma.authority_id=16393438X&amp;maximumRecords=0</t>
  </si>
  <si>
    <t>https://swisscovery.slsp.ch/view/sru/41SLSP_VGE?version=1.2&amp;operation=searchRetrieve&amp;recordSchema=marcxml&amp;query=alma.authority_id=16393438X&amp;maximumRecords=0</t>
  </si>
  <si>
    <t>12977961X</t>
  </si>
  <si>
    <t>https://swisscovery.slsp.ch/view/sru/41SLSP_NETWORK?version=1.2&amp;operation=searchRetrieve&amp;recordSchema=marcxml&amp;query=alma.authority_id=12977961X&amp;maximumRecords=0</t>
  </si>
  <si>
    <t>https://swisscovery.slsp.ch/view/sru/41SLSP_VGE?version=1.2&amp;operation=searchRetrieve&amp;recordSchema=marcxml&amp;query=alma.authority_id=12977961X&amp;maximumRecords=0</t>
  </si>
  <si>
    <t>029490839</t>
  </si>
  <si>
    <t>https://swisscovery.slsp.ch/view/sru/41SLSP_NETWORK?version=1.2&amp;operation=searchRetrieve&amp;recordSchema=marcxml&amp;query=alma.authority_id=029490839&amp;maximumRecords=0</t>
  </si>
  <si>
    <t>https://swisscovery.slsp.ch/view/sru/41SLSP_VGE?version=1.2&amp;operation=searchRetrieve&amp;recordSchema=marcxml&amp;query=alma.authority_id=029490839&amp;maximumRecords=0</t>
  </si>
  <si>
    <t>268136017</t>
  </si>
  <si>
    <t>https://swisscovery.slsp.ch/view/sru/41SLSP_NETWORK?version=1.2&amp;operation=searchRetrieve&amp;recordSchema=marcxml&amp;query=alma.authority_id=268136017&amp;maximumRecords=0</t>
  </si>
  <si>
    <t>https://swisscovery.slsp.ch/view/sru/41SLSP_VGE?version=1.2&amp;operation=searchRetrieve&amp;recordSchema=marcxml&amp;query=alma.authority_id=268136017&amp;maximumRecords=0</t>
  </si>
  <si>
    <t>295581611</t>
  </si>
  <si>
    <t>https://swisscovery.slsp.ch/view/sru/41SLSP_NETWORK?version=1.2&amp;operation=searchRetrieve&amp;recordSchema=marcxml&amp;query=alma.authority_id=295581611&amp;maximumRecords=0</t>
  </si>
  <si>
    <t>https://swisscovery.slsp.ch/view/sru/41SLSP_VGE?version=1.2&amp;operation=searchRetrieve&amp;recordSchema=marcxml&amp;query=alma.authority_id=295581611&amp;maximumRecords=0</t>
  </si>
  <si>
    <t>296040347</t>
  </si>
  <si>
    <t>https://swisscovery.slsp.ch/view/sru/41SLSP_NETWORK?version=1.2&amp;operation=searchRetrieve&amp;recordSchema=marcxml&amp;query=alma.authority_id=296040347&amp;maximumRecords=0</t>
  </si>
  <si>
    <t>https://swisscovery.slsp.ch/view/sru/41SLSP_VGE?version=1.2&amp;operation=searchRetrieve&amp;recordSchema=marcxml&amp;query=alma.authority_id=296040347&amp;maximumRecords=0</t>
  </si>
  <si>
    <t>296647500</t>
  </si>
  <si>
    <t>https://swisscovery.slsp.ch/view/sru/41SLSP_NETWORK?version=1.2&amp;operation=searchRetrieve&amp;recordSchema=marcxml&amp;query=alma.authority_id=296647500&amp;maximumRecords=0</t>
  </si>
  <si>
    <t>https://swisscovery.slsp.ch/view/sru/41SLSP_VGE?version=1.2&amp;operation=searchRetrieve&amp;recordSchema=marcxml&amp;query=alma.authority_id=296647500&amp;maximumRecords=0</t>
  </si>
  <si>
    <t>296218251</t>
  </si>
  <si>
    <t>https://swisscovery.slsp.ch/view/sru/41SLSP_NETWORK?version=1.2&amp;operation=searchRetrieve&amp;recordSchema=marcxml&amp;query=alma.authority_id=296218251&amp;maximumRecords=0</t>
  </si>
  <si>
    <t>https://swisscovery.slsp.ch/view/sru/41SLSP_VGE?version=1.2&amp;operation=searchRetrieve&amp;recordSchema=marcxml&amp;query=alma.authority_id=296218251&amp;maximumRecords=0</t>
  </si>
  <si>
    <t>050744461</t>
  </si>
  <si>
    <t>https://swisscovery.slsp.ch/view/sru/41SLSP_NETWORK?version=1.2&amp;operation=searchRetrieve&amp;recordSchema=marcxml&amp;query=alma.authority_id=050744461&amp;maximumRecords=0</t>
  </si>
  <si>
    <t>https://swisscovery.slsp.ch/view/sru/41SLSP_VGE?version=1.2&amp;operation=searchRetrieve&amp;recordSchema=marcxml&amp;query=alma.authority_id=050744461&amp;maximumRecords=0</t>
  </si>
  <si>
    <t>295578564</t>
  </si>
  <si>
    <t>https://swisscovery.slsp.ch/view/sru/41SLSP_NETWORK?version=1.2&amp;operation=searchRetrieve&amp;recordSchema=marcxml&amp;query=alma.authority_id=295578564&amp;maximumRecords=0</t>
  </si>
  <si>
    <t>https://swisscovery.slsp.ch/view/sru/41SLSP_VGE?version=1.2&amp;operation=searchRetrieve&amp;recordSchema=marcxml&amp;query=alma.authority_id=295578564&amp;maximumRecords=0</t>
  </si>
  <si>
    <t>296828041</t>
  </si>
  <si>
    <t>https://swisscovery.slsp.ch/view/sru/41SLSP_NETWORK?version=1.2&amp;operation=searchRetrieve&amp;recordSchema=marcxml&amp;query=alma.authority_id=296828041&amp;maximumRecords=0</t>
  </si>
  <si>
    <t>https://swisscovery.slsp.ch/view/sru/41SLSP_VGE?version=1.2&amp;operation=searchRetrieve&amp;recordSchema=marcxml&amp;query=alma.authority_id=296828041&amp;maximumRecords=0</t>
  </si>
  <si>
    <t>296716944</t>
  </si>
  <si>
    <t>https://swisscovery.slsp.ch/view/sru/41SLSP_NETWORK?version=1.2&amp;operation=searchRetrieve&amp;recordSchema=marcxml&amp;query=alma.authority_id=296716944&amp;maximumRecords=0</t>
  </si>
  <si>
    <t>https://swisscovery.slsp.ch/view/sru/41SLSP_VGE?version=1.2&amp;operation=searchRetrieve&amp;recordSchema=marcxml&amp;query=alma.authority_id=296716944&amp;maximumRecords=0</t>
  </si>
  <si>
    <t>059312912</t>
  </si>
  <si>
    <t>https://swisscovery.slsp.ch/view/sru/41SLSP_NETWORK?version=1.2&amp;operation=searchRetrieve&amp;recordSchema=marcxml&amp;query=alma.authority_id=059312912&amp;maximumRecords=0</t>
  </si>
  <si>
    <t>https://swisscovery.slsp.ch/view/sru/41SLSP_VGE?version=1.2&amp;operation=searchRetrieve&amp;recordSchema=marcxml&amp;query=alma.authority_id=059312912&amp;maximumRecords=0</t>
  </si>
  <si>
    <t>296219967</t>
  </si>
  <si>
    <t>https://swisscovery.slsp.ch/view/sru/41SLSP_NETWORK?version=1.2&amp;operation=searchRetrieve&amp;recordSchema=marcxml&amp;query=alma.authority_id=296219967&amp;maximumRecords=0</t>
  </si>
  <si>
    <t>https://swisscovery.slsp.ch/view/sru/41SLSP_VGE?version=1.2&amp;operation=searchRetrieve&amp;recordSchema=marcxml&amp;query=alma.authority_id=296219967&amp;maximumRecords=0</t>
  </si>
  <si>
    <t>260706507</t>
  </si>
  <si>
    <t>https://swisscovery.slsp.ch/view/sru/41SLSP_NETWORK?version=1.2&amp;operation=searchRetrieve&amp;recordSchema=marcxml&amp;query=alma.authority_id=260706507&amp;maximumRecords=0</t>
  </si>
  <si>
    <t>https://swisscovery.slsp.ch/view/sru/41SLSP_VGE?version=1.2&amp;operation=searchRetrieve&amp;recordSchema=marcxml&amp;query=alma.authority_id=260706507&amp;maximumRecords=0</t>
  </si>
  <si>
    <t>263845648</t>
  </si>
  <si>
    <t>https://swisscovery.slsp.ch/view/sru/41SLSP_NETWORK?version=1.2&amp;operation=searchRetrieve&amp;recordSchema=marcxml&amp;query=alma.authority_id=263845648&amp;maximumRecords=0</t>
  </si>
  <si>
    <t>https://swisscovery.slsp.ch/view/sru/41SLSP_VGE?version=1.2&amp;operation=searchRetrieve&amp;recordSchema=marcxml&amp;query=alma.authority_id=263845648&amp;maximumRecords=0</t>
  </si>
  <si>
    <t>297060368</t>
  </si>
  <si>
    <t>https://swisscovery.slsp.ch/view/sru/41SLSP_NETWORK?version=1.2&amp;operation=searchRetrieve&amp;recordSchema=marcxml&amp;query=alma.authority_id=297060368&amp;maximumRecords=0</t>
  </si>
  <si>
    <t>https://swisscovery.slsp.ch/view/sru/41SLSP_VGE?version=1.2&amp;operation=searchRetrieve&amp;recordSchema=marcxml&amp;query=alma.authority_id=297060368&amp;maximumRecords=0</t>
  </si>
  <si>
    <t>081834276</t>
  </si>
  <si>
    <t>https://swisscovery.slsp.ch/view/sru/41SLSP_NETWORK?version=1.2&amp;operation=searchRetrieve&amp;recordSchema=marcxml&amp;query=alma.authority_id=081834276&amp;maximumRecords=0</t>
  </si>
  <si>
    <t>https://swisscovery.slsp.ch/view/sru/41SLSP_VGE?version=1.2&amp;operation=searchRetrieve&amp;recordSchema=marcxml&amp;query=alma.authority_id=081834276&amp;maximumRecords=0</t>
  </si>
  <si>
    <t>188534474</t>
  </si>
  <si>
    <t>https://swisscovery.slsp.ch/view/sru/41SLSP_NETWORK?version=1.2&amp;operation=searchRetrieve&amp;recordSchema=marcxml&amp;query=alma.authority_id=188534474&amp;maximumRecords=0</t>
  </si>
  <si>
    <t>https://swisscovery.slsp.ch/view/sru/41SLSP_VGE?version=1.2&amp;operation=searchRetrieve&amp;recordSchema=marcxml&amp;query=alma.authority_id=188534474&amp;maximumRecords=0</t>
  </si>
  <si>
    <t>296953091</t>
  </si>
  <si>
    <t>https://swisscovery.slsp.ch/view/sru/41SLSP_NETWORK?version=1.2&amp;operation=searchRetrieve&amp;recordSchema=marcxml&amp;query=alma.authority_id=296953091&amp;maximumRecords=0</t>
  </si>
  <si>
    <t>https://swisscovery.slsp.ch/view/sru/41SLSP_VGE?version=1.2&amp;operation=searchRetrieve&amp;recordSchema=marcxml&amp;query=alma.authority_id=296953091&amp;maximumRecords=0</t>
  </si>
  <si>
    <t>033952930</t>
  </si>
  <si>
    <t>https://swisscovery.slsp.ch/view/sru/41SLSP_NETWORK?version=1.2&amp;operation=searchRetrieve&amp;recordSchema=marcxml&amp;query=alma.authority_id=033952930&amp;maximumRecords=0</t>
  </si>
  <si>
    <t>https://swisscovery.slsp.ch/view/sru/41SLSP_VGE?version=1.2&amp;operation=searchRetrieve&amp;recordSchema=marcxml&amp;query=alma.authority_id=033952930&amp;maximumRecords=0</t>
  </si>
  <si>
    <t>296147028</t>
  </si>
  <si>
    <t>https://swisscovery.slsp.ch/view/sru/41SLSP_NETWORK?version=1.2&amp;operation=searchRetrieve&amp;recordSchema=marcxml&amp;query=alma.authority_id=296147028&amp;maximumRecords=0</t>
  </si>
  <si>
    <t>https://swisscovery.slsp.ch/view/sru/41SLSP_VGE?version=1.2&amp;operation=searchRetrieve&amp;recordSchema=marcxml&amp;query=alma.authority_id=296147028&amp;maximumRecords=0</t>
  </si>
  <si>
    <t>296710814</t>
  </si>
  <si>
    <t>https://swisscovery.slsp.ch/view/sru/41SLSP_NETWORK?version=1.2&amp;operation=searchRetrieve&amp;recordSchema=marcxml&amp;query=alma.authority_id=296710814&amp;maximumRecords=0</t>
  </si>
  <si>
    <t>https://swisscovery.slsp.ch/view/sru/41SLSP_VGE?version=1.2&amp;operation=searchRetrieve&amp;recordSchema=marcxml&amp;query=alma.authority_id=296710814&amp;maximumRecords=0</t>
  </si>
  <si>
    <t>029627435</t>
  </si>
  <si>
    <t>https://swisscovery.slsp.ch/view/sru/41SLSP_NETWORK?version=1.2&amp;operation=searchRetrieve&amp;recordSchema=marcxml&amp;query=alma.authority_id=029627435&amp;maximumRecords=0</t>
  </si>
  <si>
    <t>https://swisscovery.slsp.ch/view/sru/41SLSP_VGE?version=1.2&amp;operation=searchRetrieve&amp;recordSchema=marcxml&amp;query=alma.authority_id=029627435&amp;maximumRecords=0</t>
  </si>
  <si>
    <t>181467038</t>
  </si>
  <si>
    <t>https://swisscovery.slsp.ch/view/sru/41SLSP_NETWORK?version=1.2&amp;operation=searchRetrieve&amp;recordSchema=marcxml&amp;query=alma.authority_id=181467038&amp;maximumRecords=0</t>
  </si>
  <si>
    <t>https://swisscovery.slsp.ch/view/sru/41SLSP_VGE?version=1.2&amp;operation=searchRetrieve&amp;recordSchema=marcxml&amp;query=alma.authority_id=181467038&amp;maximumRecords=0</t>
  </si>
  <si>
    <t>027130673</t>
  </si>
  <si>
    <t>https://swisscovery.slsp.ch/view/sru/41SLSP_NETWORK?version=1.2&amp;operation=searchRetrieve&amp;recordSchema=marcxml&amp;query=alma.authority_id=027130673&amp;maximumRecords=0</t>
  </si>
  <si>
    <t>https://swisscovery.slsp.ch/view/sru/41SLSP_VGE?version=1.2&amp;operation=searchRetrieve&amp;recordSchema=marcxml&amp;query=alma.authority_id=027130673&amp;maximumRecords=0</t>
  </si>
  <si>
    <t>087887894</t>
  </si>
  <si>
    <t>https://swisscovery.slsp.ch/view/sru/41SLSP_NETWORK?version=1.2&amp;operation=searchRetrieve&amp;recordSchema=marcxml&amp;query=alma.authority_id=087887894&amp;maximumRecords=0</t>
  </si>
  <si>
    <t>https://swisscovery.slsp.ch/view/sru/41SLSP_VGE?version=1.2&amp;operation=searchRetrieve&amp;recordSchema=marcxml&amp;query=alma.authority_id=087887894&amp;maximumRecords=0</t>
  </si>
  <si>
    <t>296834521</t>
  </si>
  <si>
    <t>https://swisscovery.slsp.ch/view/sru/41SLSP_NETWORK?version=1.2&amp;operation=searchRetrieve&amp;recordSchema=marcxml&amp;query=alma.authority_id=296834521&amp;maximumRecords=0</t>
  </si>
  <si>
    <t>https://swisscovery.slsp.ch/view/sru/41SLSP_VGE?version=1.2&amp;operation=searchRetrieve&amp;recordSchema=marcxml&amp;query=alma.authority_id=296834521&amp;maximumRecords=0</t>
  </si>
  <si>
    <t>167977032</t>
  </si>
  <si>
    <t>https://swisscovery.slsp.ch/view/sru/41SLSP_NETWORK?version=1.2&amp;operation=searchRetrieve&amp;recordSchema=marcxml&amp;query=alma.authority_id=167977032&amp;maximumRecords=0</t>
  </si>
  <si>
    <t>https://swisscovery.slsp.ch/view/sru/41SLSP_VGE?version=1.2&amp;operation=searchRetrieve&amp;recordSchema=marcxml&amp;query=alma.authority_id=167977032&amp;maximumRecords=0</t>
  </si>
  <si>
    <t>15705828X</t>
  </si>
  <si>
    <t>https://swisscovery.slsp.ch/view/sru/41SLSP_NETWORK?version=1.2&amp;operation=searchRetrieve&amp;recordSchema=marcxml&amp;query=alma.authority_id=15705828X&amp;maximumRecords=0</t>
  </si>
  <si>
    <t>https://swisscovery.slsp.ch/view/sru/41SLSP_VGE?version=1.2&amp;operation=searchRetrieve&amp;recordSchema=marcxml&amp;query=alma.authority_id=15705828X&amp;maximumRecords=0</t>
  </si>
  <si>
    <t>295654767</t>
  </si>
  <si>
    <t>https://swisscovery.slsp.ch/view/sru/41SLSP_NETWORK?version=1.2&amp;operation=searchRetrieve&amp;recordSchema=marcxml&amp;query=alma.authority_id=295654767&amp;maximumRecords=0</t>
  </si>
  <si>
    <t>https://swisscovery.slsp.ch/view/sru/41SLSP_VGE?version=1.2&amp;operation=searchRetrieve&amp;recordSchema=marcxml&amp;query=alma.authority_id=295654767&amp;maximumRecords=0</t>
  </si>
  <si>
    <t>295248963</t>
  </si>
  <si>
    <t>https://swisscovery.slsp.ch/view/sru/41SLSP_NETWORK?version=1.2&amp;operation=searchRetrieve&amp;recordSchema=marcxml&amp;query=alma.authority_id=295248963&amp;maximumRecords=0</t>
  </si>
  <si>
    <t>https://swisscovery.slsp.ch/view/sru/41SLSP_VGE?version=1.2&amp;operation=searchRetrieve&amp;recordSchema=marcxml&amp;query=alma.authority_id=295248963&amp;maximumRecords=0</t>
  </si>
  <si>
    <t>033508712</t>
  </si>
  <si>
    <t>https://swisscovery.slsp.ch/view/sru/41SLSP_NETWORK?version=1.2&amp;operation=searchRetrieve&amp;recordSchema=marcxml&amp;query=alma.authority_id=033508712&amp;maximumRecords=0</t>
  </si>
  <si>
    <t>https://swisscovery.slsp.ch/view/sru/41SLSP_VGE?version=1.2&amp;operation=searchRetrieve&amp;recordSchema=marcxml&amp;query=alma.authority_id=033508712&amp;maximumRecords=0</t>
  </si>
  <si>
    <t>260224847</t>
  </si>
  <si>
    <t>https://swisscovery.slsp.ch/view/sru/41SLSP_NETWORK?version=1.2&amp;operation=searchRetrieve&amp;recordSchema=marcxml&amp;query=alma.authority_id=260224847&amp;maximumRecords=0</t>
  </si>
  <si>
    <t>https://swisscovery.slsp.ch/view/sru/41SLSP_VGE?version=1.2&amp;operation=searchRetrieve&amp;recordSchema=marcxml&amp;query=alma.authority_id=260224847&amp;maximumRecords=0</t>
  </si>
  <si>
    <t>026935635</t>
  </si>
  <si>
    <t>https://swisscovery.slsp.ch/view/sru/41SLSP_NETWORK?version=1.2&amp;operation=searchRetrieve&amp;recordSchema=marcxml&amp;query=alma.authority_id=026935635&amp;maximumRecords=0</t>
  </si>
  <si>
    <t>https://swisscovery.slsp.ch/view/sru/41SLSP_VGE?version=1.2&amp;operation=searchRetrieve&amp;recordSchema=marcxml&amp;query=alma.authority_id=026935635&amp;maximumRecords=0</t>
  </si>
  <si>
    <t>291573452</t>
  </si>
  <si>
    <t>https://swisscovery.slsp.ch/view/sru/41SLSP_NETWORK?version=1.2&amp;operation=searchRetrieve&amp;recordSchema=marcxml&amp;query=alma.authority_id=291573452&amp;maximumRecords=0</t>
  </si>
  <si>
    <t>https://swisscovery.slsp.ch/view/sru/41SLSP_VGE?version=1.2&amp;operation=searchRetrieve&amp;recordSchema=marcxml&amp;query=alma.authority_id=291573452&amp;maximumRecords=0</t>
  </si>
  <si>
    <t>296214469</t>
  </si>
  <si>
    <t>https://swisscovery.slsp.ch/view/sru/41SLSP_NETWORK?version=1.2&amp;operation=searchRetrieve&amp;recordSchema=marcxml&amp;query=alma.authority_id=296214469&amp;maximumRecords=0</t>
  </si>
  <si>
    <t>https://swisscovery.slsp.ch/view/sru/41SLSP_VGE?version=1.2&amp;operation=searchRetrieve&amp;recordSchema=marcxml&amp;query=alma.authority_id=296214469&amp;maximumRecords=0</t>
  </si>
  <si>
    <t>296668605</t>
  </si>
  <si>
    <t>https://swisscovery.slsp.ch/view/sru/41SLSP_NETWORK?version=1.2&amp;operation=searchRetrieve&amp;recordSchema=marcxml&amp;query=alma.authority_id=296668605&amp;maximumRecords=0</t>
  </si>
  <si>
    <t>https://swisscovery.slsp.ch/view/sru/41SLSP_VGE?version=1.2&amp;operation=searchRetrieve&amp;recordSchema=marcxml&amp;query=alma.authority_id=296668605&amp;maximumRecords=0</t>
  </si>
  <si>
    <t>258603046</t>
  </si>
  <si>
    <t>https://swisscovery.slsp.ch/view/sru/41SLSP_NETWORK?version=1.2&amp;operation=searchRetrieve&amp;recordSchema=marcxml&amp;query=alma.authority_id=258603046&amp;maximumRecords=0</t>
  </si>
  <si>
    <t>https://swisscovery.slsp.ch/view/sru/41SLSP_VGE?version=1.2&amp;operation=searchRetrieve&amp;recordSchema=marcxml&amp;query=alma.authority_id=258603046&amp;maximumRecords=0</t>
  </si>
  <si>
    <t>029409020</t>
  </si>
  <si>
    <t>https://swisscovery.slsp.ch/view/sru/41SLSP_NETWORK?version=1.2&amp;operation=searchRetrieve&amp;recordSchema=marcxml&amp;query=alma.authority_id=029409020&amp;maximumRecords=0</t>
  </si>
  <si>
    <t>https://swisscovery.slsp.ch/view/sru/41SLSP_VGE?version=1.2&amp;operation=searchRetrieve&amp;recordSchema=marcxml&amp;query=alma.authority_id=029409020&amp;maximumRecords=0</t>
  </si>
  <si>
    <t>251617807</t>
  </si>
  <si>
    <t>https://swisscovery.slsp.ch/view/sru/41SLSP_NETWORK?version=1.2&amp;operation=searchRetrieve&amp;recordSchema=marcxml&amp;query=alma.authority_id=251617807&amp;maximumRecords=0</t>
  </si>
  <si>
    <t>https://swisscovery.slsp.ch/view/sru/41SLSP_VGE?version=1.2&amp;operation=searchRetrieve&amp;recordSchema=marcxml&amp;query=alma.authority_id=251617807&amp;maximumRecords=0</t>
  </si>
  <si>
    <t>295577266</t>
  </si>
  <si>
    <t>https://swisscovery.slsp.ch/view/sru/41SLSP_NETWORK?version=1.2&amp;operation=searchRetrieve&amp;recordSchema=marcxml&amp;query=alma.authority_id=295577266&amp;maximumRecords=0</t>
  </si>
  <si>
    <t>https://swisscovery.slsp.ch/view/sru/41SLSP_VGE?version=1.2&amp;operation=searchRetrieve&amp;recordSchema=marcxml&amp;query=alma.authority_id=295577266&amp;maximumRecords=0</t>
  </si>
  <si>
    <t>295579064</t>
  </si>
  <si>
    <t>https://swisscovery.slsp.ch/view/sru/41SLSP_NETWORK?version=1.2&amp;operation=searchRetrieve&amp;recordSchema=marcxml&amp;query=alma.authority_id=295579064&amp;maximumRecords=0</t>
  </si>
  <si>
    <t>https://swisscovery.slsp.ch/view/sru/41SLSP_VGE?version=1.2&amp;operation=searchRetrieve&amp;recordSchema=marcxml&amp;query=alma.authority_id=295579064&amp;maximumRecords=0</t>
  </si>
  <si>
    <t>130264792</t>
  </si>
  <si>
    <t>https://swisscovery.slsp.ch/view/sru/41SLSP_NETWORK?version=1.2&amp;operation=searchRetrieve&amp;recordSchema=marcxml&amp;query=alma.authority_id=130264792&amp;maximumRecords=0</t>
  </si>
  <si>
    <t>https://swisscovery.slsp.ch/view/sru/41SLSP_VGE?version=1.2&amp;operation=searchRetrieve&amp;recordSchema=marcxml&amp;query=alma.authority_id=130264792&amp;maximumRecords=0</t>
  </si>
  <si>
    <t>296518026</t>
  </si>
  <si>
    <t>https://swisscovery.slsp.ch/view/sru/41SLSP_NETWORK?version=1.2&amp;operation=searchRetrieve&amp;recordSchema=marcxml&amp;query=alma.authority_id=296518026&amp;maximumRecords=0</t>
  </si>
  <si>
    <t>https://swisscovery.slsp.ch/view/sru/41SLSP_VGE?version=1.2&amp;operation=searchRetrieve&amp;recordSchema=marcxml&amp;query=alma.authority_id=296518026&amp;maximumRecords=0</t>
  </si>
  <si>
    <t>296711160</t>
  </si>
  <si>
    <t>https://swisscovery.slsp.ch/view/sru/41SLSP_NETWORK?version=1.2&amp;operation=searchRetrieve&amp;recordSchema=marcxml&amp;query=alma.authority_id=296711160&amp;maximumRecords=0</t>
  </si>
  <si>
    <t>https://swisscovery.slsp.ch/view/sru/41SLSP_VGE?version=1.2&amp;operation=searchRetrieve&amp;recordSchema=marcxml&amp;query=alma.authority_id=296711160&amp;maximumRecords=0</t>
  </si>
  <si>
    <t>155731890</t>
  </si>
  <si>
    <t>https://swisscovery.slsp.ch/view/sru/41SLSP_NETWORK?version=1.2&amp;operation=searchRetrieve&amp;recordSchema=marcxml&amp;query=alma.authority_id=155731890&amp;maximumRecords=0</t>
  </si>
  <si>
    <t>https://swisscovery.slsp.ch/view/sru/41SLSP_VGE?version=1.2&amp;operation=searchRetrieve&amp;recordSchema=marcxml&amp;query=alma.authority_id=155731890&amp;maximumRecords=0</t>
  </si>
  <si>
    <t>181674432</t>
  </si>
  <si>
    <t>https://swisscovery.slsp.ch/view/sru/41SLSP_NETWORK?version=1.2&amp;operation=searchRetrieve&amp;recordSchema=marcxml&amp;query=alma.authority_id=181674432&amp;maximumRecords=0</t>
  </si>
  <si>
    <t>https://swisscovery.slsp.ch/view/sru/41SLSP_VGE?version=1.2&amp;operation=searchRetrieve&amp;recordSchema=marcxml&amp;query=alma.authority_id=181674432&amp;maximumRecords=0</t>
  </si>
  <si>
    <t>131372130</t>
  </si>
  <si>
    <t>https://swisscovery.slsp.ch/view/sru/41SLSP_NETWORK?version=1.2&amp;operation=searchRetrieve&amp;recordSchema=marcxml&amp;query=alma.authority_id=131372130&amp;maximumRecords=0</t>
  </si>
  <si>
    <t>https://swisscovery.slsp.ch/view/sru/41SLSP_VGE?version=1.2&amp;operation=searchRetrieve&amp;recordSchema=marcxml&amp;query=alma.authority_id=131372130&amp;maximumRecords=0</t>
  </si>
  <si>
    <t>030520843</t>
  </si>
  <si>
    <t>https://swisscovery.slsp.ch/view/sru/41SLSP_NETWORK?version=1.2&amp;operation=searchRetrieve&amp;recordSchema=marcxml&amp;query=alma.authority_id=030520843&amp;maximumRecords=0</t>
  </si>
  <si>
    <t>https://swisscovery.slsp.ch/view/sru/41SLSP_VGE?version=1.2&amp;operation=searchRetrieve&amp;recordSchema=marcxml&amp;query=alma.authority_id=030520843&amp;maximumRecords=0</t>
  </si>
  <si>
    <t>260224308</t>
  </si>
  <si>
    <t>https://swisscovery.slsp.ch/view/sru/41SLSP_NETWORK?version=1.2&amp;operation=searchRetrieve&amp;recordSchema=marcxml&amp;query=alma.authority_id=260224308&amp;maximumRecords=0</t>
  </si>
  <si>
    <t>https://swisscovery.slsp.ch/view/sru/41SLSP_VGE?version=1.2&amp;operation=searchRetrieve&amp;recordSchema=marcxml&amp;query=alma.authority_id=260224308&amp;maximumRecords=0</t>
  </si>
  <si>
    <t>06972265X</t>
  </si>
  <si>
    <t>https://swisscovery.slsp.ch/view/sru/41SLSP_NETWORK?version=1.2&amp;operation=searchRetrieve&amp;recordSchema=marcxml&amp;query=alma.authority_id=06972265X&amp;maximumRecords=0</t>
  </si>
  <si>
    <t>https://swisscovery.slsp.ch/view/sru/41SLSP_VGE?version=1.2&amp;operation=searchRetrieve&amp;recordSchema=marcxml&amp;query=alma.authority_id=06972265X&amp;maximumRecords=0</t>
  </si>
  <si>
    <t>296629340</t>
  </si>
  <si>
    <t>https://swisscovery.slsp.ch/view/sru/41SLSP_NETWORK?version=1.2&amp;operation=searchRetrieve&amp;recordSchema=marcxml&amp;query=alma.authority_id=296629340&amp;maximumRecords=0</t>
  </si>
  <si>
    <t>https://swisscovery.slsp.ch/view/sru/41SLSP_VGE?version=1.2&amp;operation=searchRetrieve&amp;recordSchema=marcxml&amp;query=alma.authority_id=296629340&amp;maximumRecords=0</t>
  </si>
  <si>
    <t>265289548</t>
  </si>
  <si>
    <t>https://swisscovery.slsp.ch/view/sru/41SLSP_NETWORK?version=1.2&amp;operation=searchRetrieve&amp;recordSchema=marcxml&amp;query=alma.authority_id=265289548&amp;maximumRecords=0</t>
  </si>
  <si>
    <t>https://swisscovery.slsp.ch/view/sru/41SLSP_VGE?version=1.2&amp;operation=searchRetrieve&amp;recordSchema=marcxml&amp;query=alma.authority_id=265289548&amp;maximumRecords=0</t>
  </si>
  <si>
    <t>149177127</t>
  </si>
  <si>
    <t>https://swisscovery.slsp.ch/view/sru/41SLSP_NETWORK?version=1.2&amp;operation=searchRetrieve&amp;recordSchema=marcxml&amp;query=alma.authority_id=149177127&amp;maximumRecords=0</t>
  </si>
  <si>
    <t>https://swisscovery.slsp.ch/view/sru/41SLSP_VGE?version=1.2&amp;operation=searchRetrieve&amp;recordSchema=marcxml&amp;query=alma.authority_id=149177127&amp;maximumRecords=0</t>
  </si>
  <si>
    <t>031003109</t>
  </si>
  <si>
    <t>https://swisscovery.slsp.ch/view/sru/41SLSP_NETWORK?version=1.2&amp;operation=searchRetrieve&amp;recordSchema=marcxml&amp;query=alma.authority_id=031003109&amp;maximumRecords=0</t>
  </si>
  <si>
    <t>https://swisscovery.slsp.ch/view/sru/41SLSP_VGE?version=1.2&amp;operation=searchRetrieve&amp;recordSchema=marcxml&amp;query=alma.authority_id=031003109&amp;maximumRecords=0</t>
  </si>
  <si>
    <t>296669644</t>
  </si>
  <si>
    <t>https://swisscovery.slsp.ch/view/sru/41SLSP_NETWORK?version=1.2&amp;operation=searchRetrieve&amp;recordSchema=marcxml&amp;query=alma.authority_id=296669644&amp;maximumRecords=0</t>
  </si>
  <si>
    <t>https://swisscovery.slsp.ch/view/sru/41SLSP_VGE?version=1.2&amp;operation=searchRetrieve&amp;recordSchema=marcxml&amp;query=alma.authority_id=296669644&amp;maximumRecords=0</t>
  </si>
  <si>
    <t>296514667</t>
  </si>
  <si>
    <t>https://swisscovery.slsp.ch/view/sru/41SLSP_NETWORK?version=1.2&amp;operation=searchRetrieve&amp;recordSchema=marcxml&amp;query=alma.authority_id=296514667&amp;maximumRecords=0</t>
  </si>
  <si>
    <t>https://swisscovery.slsp.ch/view/sru/41SLSP_VGE?version=1.2&amp;operation=searchRetrieve&amp;recordSchema=marcxml&amp;query=alma.authority_id=296514667&amp;maximumRecords=0</t>
  </si>
  <si>
    <t>029830214</t>
  </si>
  <si>
    <t>https://swisscovery.slsp.ch/view/sru/41SLSP_NETWORK?version=1.2&amp;operation=searchRetrieve&amp;recordSchema=marcxml&amp;query=alma.authority_id=029830214&amp;maximumRecords=0</t>
  </si>
  <si>
    <t>https://swisscovery.slsp.ch/view/sru/41SLSP_VGE?version=1.2&amp;operation=searchRetrieve&amp;recordSchema=marcxml&amp;query=alma.authority_id=029830214&amp;maximumRecords=0</t>
  </si>
  <si>
    <t>296049662</t>
  </si>
  <si>
    <t>https://swisscovery.slsp.ch/view/sru/41SLSP_NETWORK?version=1.2&amp;operation=searchRetrieve&amp;recordSchema=marcxml&amp;query=alma.authority_id=296049662&amp;maximumRecords=0</t>
  </si>
  <si>
    <t>https://swisscovery.slsp.ch/view/sru/41SLSP_VGE?version=1.2&amp;operation=searchRetrieve&amp;recordSchema=marcxml&amp;query=alma.authority_id=296049662&amp;maximumRecords=0</t>
  </si>
  <si>
    <t>296671495</t>
  </si>
  <si>
    <t>https://swisscovery.slsp.ch/view/sru/41SLSP_NETWORK?version=1.2&amp;operation=searchRetrieve&amp;recordSchema=marcxml&amp;query=alma.authority_id=296671495&amp;maximumRecords=0</t>
  </si>
  <si>
    <t>https://swisscovery.slsp.ch/view/sru/41SLSP_VGE?version=1.2&amp;operation=searchRetrieve&amp;recordSchema=marcxml&amp;query=alma.authority_id=296671495&amp;maximumRecords=0</t>
  </si>
  <si>
    <t>159199425</t>
  </si>
  <si>
    <t>https://swisscovery.slsp.ch/view/sru/41SLSP_NETWORK?version=1.2&amp;operation=searchRetrieve&amp;recordSchema=marcxml&amp;query=alma.authority_id=159199425&amp;maximumRecords=0</t>
  </si>
  <si>
    <t>https://swisscovery.slsp.ch/view/sru/41SLSP_VGE?version=1.2&amp;operation=searchRetrieve&amp;recordSchema=marcxml&amp;query=alma.authority_id=159199425&amp;maximumRecords=0</t>
  </si>
  <si>
    <t>29667088X</t>
  </si>
  <si>
    <t>https://swisscovery.slsp.ch/view/sru/41SLSP_NETWORK?version=1.2&amp;operation=searchRetrieve&amp;recordSchema=marcxml&amp;query=alma.authority_id=29667088X&amp;maximumRecords=0</t>
  </si>
  <si>
    <t>https://swisscovery.slsp.ch/view/sru/41SLSP_VGE?version=1.2&amp;operation=searchRetrieve&amp;recordSchema=marcxml&amp;query=alma.authority_id=29667088X&amp;maximumRecords=0</t>
  </si>
  <si>
    <t>296997730</t>
  </si>
  <si>
    <t>https://swisscovery.slsp.ch/view/sru/41SLSP_NETWORK?version=1.2&amp;operation=searchRetrieve&amp;recordSchema=marcxml&amp;query=alma.authority_id=296997730&amp;maximumRecords=0</t>
  </si>
  <si>
    <t>https://swisscovery.slsp.ch/view/sru/41SLSP_VGE?version=1.2&amp;operation=searchRetrieve&amp;recordSchema=marcxml&amp;query=alma.authority_id=296997730&amp;maximumRecords=0</t>
  </si>
  <si>
    <t>293474796</t>
  </si>
  <si>
    <t>https://swisscovery.slsp.ch/view/sru/41SLSP_NETWORK?version=1.2&amp;operation=searchRetrieve&amp;recordSchema=marcxml&amp;query=alma.authority_id=293474796&amp;maximumRecords=0</t>
  </si>
  <si>
    <t>https://swisscovery.slsp.ch/view/sru/41SLSP_VGE?version=1.2&amp;operation=searchRetrieve&amp;recordSchema=marcxml&amp;query=alma.authority_id=293474796&amp;maximumRecords=0</t>
  </si>
  <si>
    <t>296018279</t>
  </si>
  <si>
    <t>https://swisscovery.slsp.ch/view/sru/41SLSP_NETWORK?version=1.2&amp;operation=searchRetrieve&amp;recordSchema=marcxml&amp;query=alma.authority_id=296018279&amp;maximumRecords=0</t>
  </si>
  <si>
    <t>https://swisscovery.slsp.ch/view/sru/41SLSP_VGE?version=1.2&amp;operation=searchRetrieve&amp;recordSchema=marcxml&amp;query=alma.authority_id=296018279&amp;maximumRecords=0</t>
  </si>
  <si>
    <t>026763362</t>
  </si>
  <si>
    <t>https://swisscovery.slsp.ch/view/sru/41SLSP_NETWORK?version=1.2&amp;operation=searchRetrieve&amp;recordSchema=marcxml&amp;query=alma.authority_id=026763362&amp;maximumRecords=0</t>
  </si>
  <si>
    <t>https://swisscovery.slsp.ch/view/sru/41SLSP_VGE?version=1.2&amp;operation=searchRetrieve&amp;recordSchema=marcxml&amp;query=alma.authority_id=026763362&amp;maximumRecords=0</t>
  </si>
  <si>
    <t>251438244</t>
  </si>
  <si>
    <t>https://swisscovery.slsp.ch/view/sru/41SLSP_NETWORK?version=1.2&amp;operation=searchRetrieve&amp;recordSchema=marcxml&amp;query=alma.authority_id=251438244&amp;maximumRecords=0</t>
  </si>
  <si>
    <t>https://swisscovery.slsp.ch/view/sru/41SLSP_VGE?version=1.2&amp;operation=searchRetrieve&amp;recordSchema=marcxml&amp;query=alma.authority_id=251438244&amp;maximumRecords=0</t>
  </si>
  <si>
    <t>296669490</t>
  </si>
  <si>
    <t>https://swisscovery.slsp.ch/view/sru/41SLSP_NETWORK?version=1.2&amp;operation=searchRetrieve&amp;recordSchema=marcxml&amp;query=alma.authority_id=296669490&amp;maximumRecords=0</t>
  </si>
  <si>
    <t>https://swisscovery.slsp.ch/view/sru/41SLSP_VGE?version=1.2&amp;operation=searchRetrieve&amp;recordSchema=marcxml&amp;query=alma.authority_id=296669490&amp;maximumRecords=0</t>
  </si>
  <si>
    <t>296303283</t>
  </si>
  <si>
    <t>https://swisscovery.slsp.ch/view/sru/41SLSP_NETWORK?version=1.2&amp;operation=searchRetrieve&amp;recordSchema=marcxml&amp;query=alma.authority_id=296303283&amp;maximumRecords=0</t>
  </si>
  <si>
    <t>https://swisscovery.slsp.ch/view/sru/41SLSP_VGE?version=1.2&amp;operation=searchRetrieve&amp;recordSchema=marcxml&amp;query=alma.authority_id=296303283&amp;maximumRecords=0</t>
  </si>
  <si>
    <t>296612014</t>
  </si>
  <si>
    <t>https://swisscovery.slsp.ch/view/sru/41SLSP_NETWORK?version=1.2&amp;operation=searchRetrieve&amp;recordSchema=marcxml&amp;query=alma.authority_id=296612014&amp;maximumRecords=0</t>
  </si>
  <si>
    <t>https://swisscovery.slsp.ch/view/sru/41SLSP_VGE?version=1.2&amp;operation=searchRetrieve&amp;recordSchema=marcxml&amp;query=alma.authority_id=296612014&amp;maximumRecords=0</t>
  </si>
  <si>
    <t>026384302</t>
  </si>
  <si>
    <t>https://swisscovery.slsp.ch/view/sru/41SLSP_NETWORK?version=1.2&amp;operation=searchRetrieve&amp;recordSchema=marcxml&amp;query=alma.authority_id=026384302&amp;maximumRecords=0</t>
  </si>
  <si>
    <t>https://swisscovery.slsp.ch/view/sru/41SLSP_VGE?version=1.2&amp;operation=searchRetrieve&amp;recordSchema=marcxml&amp;query=alma.authority_id=026384302&amp;maximumRecords=0</t>
  </si>
  <si>
    <t>296018163</t>
  </si>
  <si>
    <t>https://swisscovery.slsp.ch/view/sru/41SLSP_NETWORK?version=1.2&amp;operation=searchRetrieve&amp;recordSchema=marcxml&amp;query=alma.authority_id=296018163&amp;maximumRecords=0</t>
  </si>
  <si>
    <t>https://swisscovery.slsp.ch/view/sru/41SLSP_VGE?version=1.2&amp;operation=searchRetrieve&amp;recordSchema=marcxml&amp;query=alma.authority_id=296018163&amp;maximumRecords=0</t>
  </si>
  <si>
    <t>29607506X</t>
  </si>
  <si>
    <t>https://swisscovery.slsp.ch/view/sru/41SLSP_NETWORK?version=1.2&amp;operation=searchRetrieve&amp;recordSchema=marcxml&amp;query=alma.authority_id=29607506X&amp;maximumRecords=0</t>
  </si>
  <si>
    <t>https://swisscovery.slsp.ch/view/sru/41SLSP_VGE?version=1.2&amp;operation=searchRetrieve&amp;recordSchema=marcxml&amp;query=alma.authority_id=29607506X&amp;maximumRecords=0</t>
  </si>
  <si>
    <t>034889671</t>
  </si>
  <si>
    <t>https://swisscovery.slsp.ch/view/sru/41SLSP_NETWORK?version=1.2&amp;operation=searchRetrieve&amp;recordSchema=marcxml&amp;query=alma.authority_id=034889671&amp;maximumRecords=0</t>
  </si>
  <si>
    <t>https://swisscovery.slsp.ch/view/sru/41SLSP_VGE?version=1.2&amp;operation=searchRetrieve&amp;recordSchema=marcxml&amp;query=alma.authority_id=034889671&amp;maximumRecords=0</t>
  </si>
  <si>
    <t>295940344</t>
  </si>
  <si>
    <t>https://swisscovery.slsp.ch/view/sru/41SLSP_NETWORK?version=1.2&amp;operation=searchRetrieve&amp;recordSchema=marcxml&amp;query=alma.authority_id=295940344&amp;maximumRecords=0</t>
  </si>
  <si>
    <t>https://swisscovery.slsp.ch/view/sru/41SLSP_VGE?version=1.2&amp;operation=searchRetrieve&amp;recordSchema=marcxml&amp;query=alma.authority_id=295940344&amp;maximumRecords=0</t>
  </si>
  <si>
    <t>255839782</t>
  </si>
  <si>
    <t>https://swisscovery.slsp.ch/view/sru/41SLSP_NETWORK?version=1.2&amp;operation=searchRetrieve&amp;recordSchema=marcxml&amp;query=alma.authority_id=255839782&amp;maximumRecords=0</t>
  </si>
  <si>
    <t>https://swisscovery.slsp.ch/view/sru/41SLSP_VGE?version=1.2&amp;operation=searchRetrieve&amp;recordSchema=marcxml&amp;query=alma.authority_id=255839782&amp;maximumRecords=0</t>
  </si>
  <si>
    <t>26022765X</t>
  </si>
  <si>
    <t>https://swisscovery.slsp.ch/view/sru/41SLSP_NETWORK?version=1.2&amp;operation=searchRetrieve&amp;recordSchema=marcxml&amp;query=alma.authority_id=26022765X&amp;maximumRecords=0</t>
  </si>
  <si>
    <t>https://swisscovery.slsp.ch/view/sru/41SLSP_VGE?version=1.2&amp;operation=searchRetrieve&amp;recordSchema=marcxml&amp;query=alma.authority_id=26022765X&amp;maximumRecords=0</t>
  </si>
  <si>
    <t>244015805</t>
  </si>
  <si>
    <t>https://swisscovery.slsp.ch/view/sru/41SLSP_NETWORK?version=1.2&amp;operation=searchRetrieve&amp;recordSchema=marcxml&amp;query=alma.authority_id=244015805&amp;maximumRecords=0</t>
  </si>
  <si>
    <t>https://swisscovery.slsp.ch/view/sru/41SLSP_VGE?version=1.2&amp;operation=searchRetrieve&amp;recordSchema=marcxml&amp;query=alma.authority_id=244015805&amp;maximumRecords=0</t>
  </si>
  <si>
    <t>29427961X</t>
  </si>
  <si>
    <t>https://swisscovery.slsp.ch/view/sru/41SLSP_NETWORK?version=1.2&amp;operation=searchRetrieve&amp;recordSchema=marcxml&amp;query=alma.authority_id=29427961X&amp;maximumRecords=0</t>
  </si>
  <si>
    <t>https://swisscovery.slsp.ch/view/sru/41SLSP_VGE?version=1.2&amp;operation=searchRetrieve&amp;recordSchema=marcxml&amp;query=alma.authority_id=29427961X&amp;maximumRecords=0</t>
  </si>
  <si>
    <t>253513065</t>
  </si>
  <si>
    <t>https://swisscovery.slsp.ch/view/sru/41SLSP_NETWORK?version=1.2&amp;operation=searchRetrieve&amp;recordSchema=marcxml&amp;query=alma.authority_id=253513065&amp;maximumRecords=0</t>
  </si>
  <si>
    <t>https://swisscovery.slsp.ch/view/sru/41SLSP_VGE?version=1.2&amp;operation=searchRetrieve&amp;recordSchema=marcxml&amp;query=alma.authority_id=253513065&amp;maximumRecords=0</t>
  </si>
  <si>
    <t>295943432</t>
  </si>
  <si>
    <t>https://swisscovery.slsp.ch/view/sru/41SLSP_NETWORK?version=1.2&amp;operation=searchRetrieve&amp;recordSchema=marcxml&amp;query=alma.authority_id=295943432&amp;maximumRecords=0</t>
  </si>
  <si>
    <t>https://swisscovery.slsp.ch/view/sru/41SLSP_VGE?version=1.2&amp;operation=searchRetrieve&amp;recordSchema=marcxml&amp;query=alma.authority_id=295943432&amp;maximumRecords=0</t>
  </si>
  <si>
    <t>297060309</t>
  </si>
  <si>
    <t>https://swisscovery.slsp.ch/view/sru/41SLSP_NETWORK?version=1.2&amp;operation=searchRetrieve&amp;recordSchema=marcxml&amp;query=alma.authority_id=297060309&amp;maximumRecords=0</t>
  </si>
  <si>
    <t>https://swisscovery.slsp.ch/view/sru/41SLSP_VGE?version=1.2&amp;operation=searchRetrieve&amp;recordSchema=marcxml&amp;query=alma.authority_id=297060309&amp;maximumRecords=0</t>
  </si>
  <si>
    <t>255464290</t>
  </si>
  <si>
    <t>https://swisscovery.slsp.ch/view/sru/41SLSP_NETWORK?version=1.2&amp;operation=searchRetrieve&amp;recordSchema=marcxml&amp;query=alma.authority_id=255464290&amp;maximumRecords=0</t>
  </si>
  <si>
    <t>https://swisscovery.slsp.ch/view/sru/41SLSP_VGE?version=1.2&amp;operation=searchRetrieve&amp;recordSchema=marcxml&amp;query=alma.authority_id=255464290&amp;maximumRecords=0</t>
  </si>
  <si>
    <t>296228931</t>
  </si>
  <si>
    <t>https://swisscovery.slsp.ch/view/sru/41SLSP_NETWORK?version=1.2&amp;operation=searchRetrieve&amp;recordSchema=marcxml&amp;query=alma.authority_id=296228931&amp;maximumRecords=0</t>
  </si>
  <si>
    <t>https://swisscovery.slsp.ch/view/sru/41SLSP_VGE?version=1.2&amp;operation=searchRetrieve&amp;recordSchema=marcxml&amp;query=alma.authority_id=296228931&amp;maximumRecords=0</t>
  </si>
  <si>
    <t>255445768</t>
  </si>
  <si>
    <t>https://swisscovery.slsp.ch/view/sru/41SLSP_NETWORK?version=1.2&amp;operation=searchRetrieve&amp;recordSchema=marcxml&amp;query=alma.authority_id=255445768&amp;maximumRecords=0</t>
  </si>
  <si>
    <t>https://swisscovery.slsp.ch/view/sru/41SLSP_VGE?version=1.2&amp;operation=searchRetrieve&amp;recordSchema=marcxml&amp;query=alma.authority_id=255445768&amp;maximumRecords=0</t>
  </si>
  <si>
    <t>029674506</t>
  </si>
  <si>
    <t>https://swisscovery.slsp.ch/view/sru/41SLSP_NETWORK?version=1.2&amp;operation=searchRetrieve&amp;recordSchema=marcxml&amp;query=alma.authority_id=029674506&amp;maximumRecords=0</t>
  </si>
  <si>
    <t>https://swisscovery.slsp.ch/view/sru/41SLSP_VGE?version=1.2&amp;operation=searchRetrieve&amp;recordSchema=marcxml&amp;query=alma.authority_id=029674506&amp;maximumRecords=0</t>
  </si>
  <si>
    <t>031668380</t>
  </si>
  <si>
    <t>https://swisscovery.slsp.ch/view/sru/41SLSP_NETWORK?version=1.2&amp;operation=searchRetrieve&amp;recordSchema=marcxml&amp;query=alma.authority_id=031668380&amp;maximumRecords=0</t>
  </si>
  <si>
    <t>https://swisscovery.slsp.ch/view/sru/41SLSP_VGE?version=1.2&amp;operation=searchRetrieve&amp;recordSchema=marcxml&amp;query=alma.authority_id=031668380&amp;maximumRecords=0</t>
  </si>
  <si>
    <t>030421926</t>
  </si>
  <si>
    <t>https://swisscovery.slsp.ch/view/sru/41SLSP_NETWORK?version=1.2&amp;operation=searchRetrieve&amp;recordSchema=marcxml&amp;query=alma.authority_id=030421926&amp;maximumRecords=0</t>
  </si>
  <si>
    <t>https://swisscovery.slsp.ch/view/sru/41SLSP_VGE?version=1.2&amp;operation=searchRetrieve&amp;recordSchema=marcxml&amp;query=alma.authority_id=030421926&amp;maximumRecords=0</t>
  </si>
  <si>
    <t>240849604</t>
  </si>
  <si>
    <t>https://swisscovery.slsp.ch/view/sru/41SLSP_NETWORK?version=1.2&amp;operation=searchRetrieve&amp;recordSchema=marcxml&amp;query=alma.authority_id=240849604&amp;maximumRecords=0</t>
  </si>
  <si>
    <t>https://swisscovery.slsp.ch/view/sru/41SLSP_VGE?version=1.2&amp;operation=searchRetrieve&amp;recordSchema=marcxml&amp;query=alma.authority_id=240849604&amp;maximumRecords=0</t>
  </si>
  <si>
    <t>296021512</t>
  </si>
  <si>
    <t>https://swisscovery.slsp.ch/view/sru/41SLSP_NETWORK?version=1.2&amp;operation=searchRetrieve&amp;recordSchema=marcxml&amp;query=alma.authority_id=296021512&amp;maximumRecords=0</t>
  </si>
  <si>
    <t>https://swisscovery.slsp.ch/view/sru/41SLSP_VGE?version=1.2&amp;operation=searchRetrieve&amp;recordSchema=marcxml&amp;query=alma.authority_id=296021512&amp;maximumRecords=0</t>
  </si>
  <si>
    <t>114460655</t>
  </si>
  <si>
    <t>https://swisscovery.slsp.ch/view/sru/41SLSP_NETWORK?version=1.2&amp;operation=searchRetrieve&amp;recordSchema=marcxml&amp;query=alma.authority_id=114460655&amp;maximumRecords=0</t>
  </si>
  <si>
    <t>https://swisscovery.slsp.ch/view/sru/41SLSP_VGE?version=1.2&amp;operation=searchRetrieve&amp;recordSchema=marcxml&amp;query=alma.authority_id=114460655&amp;maximumRecords=0</t>
  </si>
  <si>
    <t>06179757X</t>
  </si>
  <si>
    <t>https://swisscovery.slsp.ch/view/sru/41SLSP_NETWORK?version=1.2&amp;operation=searchRetrieve&amp;recordSchema=marcxml&amp;query=alma.authority_id=06179757X&amp;maximumRecords=0</t>
  </si>
  <si>
    <t>https://swisscovery.slsp.ch/view/sru/41SLSP_VGE?version=1.2&amp;operation=searchRetrieve&amp;recordSchema=marcxml&amp;query=alma.authority_id=06179757X&amp;maximumRecords=0</t>
  </si>
  <si>
    <t>296551732</t>
  </si>
  <si>
    <t>https://swisscovery.slsp.ch/view/sru/41SLSP_NETWORK?version=1.2&amp;operation=searchRetrieve&amp;recordSchema=marcxml&amp;query=alma.authority_id=296551732&amp;maximumRecords=0</t>
  </si>
  <si>
    <t>https://swisscovery.slsp.ch/view/sru/41SLSP_VGE?version=1.2&amp;operation=searchRetrieve&amp;recordSchema=marcxml&amp;query=alma.authority_id=296551732&amp;maximumRecords=0</t>
  </si>
  <si>
    <t>29564480X</t>
  </si>
  <si>
    <t>https://swisscovery.slsp.ch/view/sru/41SLSP_NETWORK?version=1.2&amp;operation=searchRetrieve&amp;recordSchema=marcxml&amp;query=alma.authority_id=29564480X&amp;maximumRecords=0</t>
  </si>
  <si>
    <t>https://swisscovery.slsp.ch/view/sru/41SLSP_VGE?version=1.2&amp;operation=searchRetrieve&amp;recordSchema=marcxml&amp;query=alma.authority_id=29564480X&amp;maximumRecords=0</t>
  </si>
  <si>
    <t>178296066</t>
  </si>
  <si>
    <t>https://swisscovery.slsp.ch/view/sru/41SLSP_NETWORK?version=1.2&amp;operation=searchRetrieve&amp;recordSchema=marcxml&amp;query=alma.authority_id=178296066&amp;maximumRecords=0</t>
  </si>
  <si>
    <t>https://swisscovery.slsp.ch/view/sru/41SLSP_VGE?version=1.2&amp;operation=searchRetrieve&amp;recordSchema=marcxml&amp;query=alma.authority_id=178296066&amp;maximumRecords=0</t>
  </si>
  <si>
    <t>297599143</t>
  </si>
  <si>
    <t>https://swisscovery.slsp.ch/view/sru/41SLSP_NETWORK?version=1.2&amp;operation=searchRetrieve&amp;recordSchema=marcxml&amp;query=alma.authority_id=297599143&amp;maximumRecords=0</t>
  </si>
  <si>
    <t>https://swisscovery.slsp.ch/view/sru/41SLSP_VGE?version=1.2&amp;operation=searchRetrieve&amp;recordSchema=marcxml&amp;query=alma.authority_id=297599143&amp;maximumRecords=0</t>
  </si>
  <si>
    <t>255607393</t>
  </si>
  <si>
    <t>https://swisscovery.slsp.ch/view/sru/41SLSP_NETWORK?version=1.2&amp;operation=searchRetrieve&amp;recordSchema=marcxml&amp;query=alma.authority_id=255607393&amp;maximumRecords=0</t>
  </si>
  <si>
    <t>https://swisscovery.slsp.ch/view/sru/41SLSP_VGE?version=1.2&amp;operation=searchRetrieve&amp;recordSchema=marcxml&amp;query=alma.authority_id=255607393&amp;maximumRecords=0</t>
  </si>
  <si>
    <t>29756398X</t>
  </si>
  <si>
    <t>https://swisscovery.slsp.ch/view/sru/41SLSP_NETWORK?version=1.2&amp;operation=searchRetrieve&amp;recordSchema=marcxml&amp;query=alma.authority_id=29756398X&amp;maximumRecords=0</t>
  </si>
  <si>
    <t>https://swisscovery.slsp.ch/view/sru/41SLSP_VGE?version=1.2&amp;operation=searchRetrieve&amp;recordSchema=marcxml&amp;query=alma.authority_id=29756398X&amp;maximumRecords=0</t>
  </si>
  <si>
    <t>297433369</t>
  </si>
  <si>
    <t>https://swisscovery.slsp.ch/view/sru/41SLSP_NETWORK?version=1.2&amp;operation=searchRetrieve&amp;recordSchema=marcxml&amp;query=alma.authority_id=297433369&amp;maximumRecords=0</t>
  </si>
  <si>
    <t>https://swisscovery.slsp.ch/view/sru/41SLSP_VGE?version=1.2&amp;operation=searchRetrieve&amp;recordSchema=marcxml&amp;query=alma.authority_id=297433369&amp;maximumRecords=0</t>
  </si>
  <si>
    <t>265350972</t>
  </si>
  <si>
    <t>https://swisscovery.slsp.ch/view/sru/41SLSP_NETWORK?version=1.2&amp;operation=searchRetrieve&amp;recordSchema=marcxml&amp;query=alma.authority_id=265350972&amp;maximumRecords=0</t>
  </si>
  <si>
    <t>https://swisscovery.slsp.ch/view/sru/41SLSP_VGE?version=1.2&amp;operation=searchRetrieve&amp;recordSchema=marcxml&amp;query=alma.authority_id=265350972&amp;maximumRecords=0</t>
  </si>
  <si>
    <t>297795414</t>
  </si>
  <si>
    <t>https://swisscovery.slsp.ch/view/sru/41SLSP_NETWORK?version=1.2&amp;operation=searchRetrieve&amp;recordSchema=marcxml&amp;query=alma.authority_id=297795414&amp;maximumRecords=0</t>
  </si>
  <si>
    <t>https://swisscovery.slsp.ch/view/sru/41SLSP_VGE?version=1.2&amp;operation=searchRetrieve&amp;recordSchema=marcxml&amp;query=alma.authority_id=297795414&amp;maximumRecords=0</t>
  </si>
  <si>
    <t>12600532X</t>
  </si>
  <si>
    <t>https://swisscovery.slsp.ch/view/sru/41SLSP_NETWORK?version=1.2&amp;operation=searchRetrieve&amp;recordSchema=marcxml&amp;query=alma.authority_id=12600532X&amp;maximumRecords=0</t>
  </si>
  <si>
    <t>https://swisscovery.slsp.ch/view/sru/41SLSP_VGE?version=1.2&amp;operation=searchRetrieve&amp;recordSchema=marcxml&amp;query=alma.authority_id=12600532X&amp;maximumRecords=0</t>
  </si>
  <si>
    <t>256609071</t>
  </si>
  <si>
    <t>https://swisscovery.slsp.ch/view/sru/41SLSP_NETWORK?version=1.2&amp;operation=searchRetrieve&amp;recordSchema=marcxml&amp;query=alma.authority_id=256609071&amp;maximumRecords=0</t>
  </si>
  <si>
    <t>https://swisscovery.slsp.ch/view/sru/41SLSP_VGE?version=1.2&amp;operation=searchRetrieve&amp;recordSchema=marcxml&amp;query=alma.authority_id=256609071&amp;maximumRecords=0</t>
  </si>
  <si>
    <t>282395814</t>
  </si>
  <si>
    <t>https://swisscovery.slsp.ch/view/sru/41SLSP_NETWORK?version=1.2&amp;operation=searchRetrieve&amp;recordSchema=marcxml&amp;query=alma.authority_id=282395814&amp;maximumRecords=0</t>
  </si>
  <si>
    <t>https://swisscovery.slsp.ch/view/sru/41SLSP_VGE?version=1.2&amp;operation=searchRetrieve&amp;recordSchema=marcxml&amp;query=alma.authority_id=282395814&amp;maximumRecords=0</t>
  </si>
  <si>
    <t>297075756</t>
  </si>
  <si>
    <t>https://swisscovery.slsp.ch/view/sru/41SLSP_NETWORK?version=1.2&amp;operation=searchRetrieve&amp;recordSchema=marcxml&amp;query=alma.authority_id=297075756&amp;maximumRecords=0</t>
  </si>
  <si>
    <t>https://swisscovery.slsp.ch/view/sru/41SLSP_VGE?version=1.2&amp;operation=searchRetrieve&amp;recordSchema=marcxml&amp;query=alma.authority_id=297075756&amp;maximumRecords=0</t>
  </si>
  <si>
    <t>241390745</t>
  </si>
  <si>
    <t>https://swisscovery.slsp.ch/view/sru/41SLSP_NETWORK?version=1.2&amp;operation=searchRetrieve&amp;recordSchema=marcxml&amp;query=alma.authority_id=241390745&amp;maximumRecords=0</t>
  </si>
  <si>
    <t>https://swisscovery.slsp.ch/view/sru/41SLSP_VGE?version=1.2&amp;operation=searchRetrieve&amp;recordSchema=marcxml&amp;query=alma.authority_id=241390745&amp;maximumRecords=0</t>
  </si>
  <si>
    <t>269320350</t>
  </si>
  <si>
    <t>https://swisscovery.slsp.ch/view/sru/41SLSP_NETWORK?version=1.2&amp;operation=searchRetrieve&amp;recordSchema=marcxml&amp;query=alma.authority_id=269320350&amp;maximumRecords=0</t>
  </si>
  <si>
    <t>https://swisscovery.slsp.ch/view/sru/41SLSP_VGE?version=1.2&amp;operation=searchRetrieve&amp;recordSchema=marcxml&amp;query=alma.authority_id=269320350&amp;maximumRecords=0</t>
  </si>
  <si>
    <t>297586394</t>
  </si>
  <si>
    <t>https://swisscovery.slsp.ch/view/sru/41SLSP_NETWORK?version=1.2&amp;operation=searchRetrieve&amp;recordSchema=marcxml&amp;query=alma.authority_id=297586394&amp;maximumRecords=0</t>
  </si>
  <si>
    <t>https://swisscovery.slsp.ch/view/sru/41SLSP_VGE?version=1.2&amp;operation=searchRetrieve&amp;recordSchema=marcxml&amp;query=alma.authority_id=297586394&amp;maximumRecords=0</t>
  </si>
  <si>
    <t>296047988</t>
  </si>
  <si>
    <t>https://swisscovery.slsp.ch/view/sru/41SLSP_NETWORK?version=1.2&amp;operation=searchRetrieve&amp;recordSchema=marcxml&amp;query=alma.authority_id=296047988&amp;maximumRecords=0</t>
  </si>
  <si>
    <t>https://swisscovery.slsp.ch/view/sru/41SLSP_VGE?version=1.2&amp;operation=searchRetrieve&amp;recordSchema=marcxml&amp;query=alma.authority_id=296047988&amp;maximumRecords=0</t>
  </si>
  <si>
    <t>29761522X</t>
  </si>
  <si>
    <t>https://swisscovery.slsp.ch/view/sru/41SLSP_NETWORK?version=1.2&amp;operation=searchRetrieve&amp;recordSchema=marcxml&amp;query=alma.authority_id=29761522X&amp;maximumRecords=0</t>
  </si>
  <si>
    <t>https://swisscovery.slsp.ch/view/sru/41SLSP_VGE?version=1.2&amp;operation=searchRetrieve&amp;recordSchema=marcxml&amp;query=alma.authority_id=29761522X&amp;maximumRecords=0</t>
  </si>
  <si>
    <t>297790226</t>
  </si>
  <si>
    <t>https://swisscovery.slsp.ch/view/sru/41SLSP_NETWORK?version=1.2&amp;operation=searchRetrieve&amp;recordSchema=marcxml&amp;query=alma.authority_id=297790226&amp;maximumRecords=0</t>
  </si>
  <si>
    <t>https://swisscovery.slsp.ch/view/sru/41SLSP_VGE?version=1.2&amp;operation=searchRetrieve&amp;recordSchema=marcxml&amp;query=alma.authority_id=297790226&amp;maximumRecords=0</t>
  </si>
  <si>
    <t>297563858</t>
  </si>
  <si>
    <t>https://swisscovery.slsp.ch/view/sru/41SLSP_NETWORK?version=1.2&amp;operation=searchRetrieve&amp;recordSchema=marcxml&amp;query=alma.authority_id=297563858&amp;maximumRecords=0</t>
  </si>
  <si>
    <t>https://swisscovery.slsp.ch/view/sru/41SLSP_VGE?version=1.2&amp;operation=searchRetrieve&amp;recordSchema=marcxml&amp;query=alma.authority_id=297563858&amp;maximumRecords=0</t>
  </si>
  <si>
    <t>109070828</t>
  </si>
  <si>
    <t>https://swisscovery.slsp.ch/view/sru/41SLSP_NETWORK?version=1.2&amp;operation=searchRetrieve&amp;recordSchema=marcxml&amp;query=alma.authority_id=109070828&amp;maximumRecords=0</t>
  </si>
  <si>
    <t>https://swisscovery.slsp.ch/view/sru/41SLSP_VGE?version=1.2&amp;operation=searchRetrieve&amp;recordSchema=marcxml&amp;query=alma.authority_id=109070828&amp;maximumRecords=0</t>
  </si>
  <si>
    <t>297631276</t>
  </si>
  <si>
    <t>https://swisscovery.slsp.ch/view/sru/41SLSP_NETWORK?version=1.2&amp;operation=searchRetrieve&amp;recordSchema=marcxml&amp;query=alma.authority_id=297631276&amp;maximumRecords=0</t>
  </si>
  <si>
    <t>https://swisscovery.slsp.ch/view/sru/41SLSP_VGE?version=1.2&amp;operation=searchRetrieve&amp;recordSchema=marcxml&amp;query=alma.authority_id=297631276&amp;maximumRecords=0</t>
  </si>
  <si>
    <t>297411039</t>
  </si>
  <si>
    <t>https://swisscovery.slsp.ch/view/sru/41SLSP_NETWORK?version=1.2&amp;operation=searchRetrieve&amp;recordSchema=marcxml&amp;query=alma.authority_id=297411039&amp;maximumRecords=0</t>
  </si>
  <si>
    <t>https://swisscovery.slsp.ch/view/sru/41SLSP_VGE?version=1.2&amp;operation=searchRetrieve&amp;recordSchema=marcxml&amp;query=alma.authority_id=297411039&amp;maximumRecords=0</t>
  </si>
  <si>
    <t>029053145</t>
  </si>
  <si>
    <t>https://swisscovery.slsp.ch/view/sru/41SLSP_NETWORK?version=1.2&amp;operation=searchRetrieve&amp;recordSchema=marcxml&amp;query=alma.authority_id=029053145&amp;maximumRecords=0</t>
  </si>
  <si>
    <t>https://swisscovery.slsp.ch/view/sru/41SLSP_VGE?version=1.2&amp;operation=searchRetrieve&amp;recordSchema=marcxml&amp;query=alma.authority_id=029053145&amp;maximumRecords=0</t>
  </si>
  <si>
    <t>297609971</t>
  </si>
  <si>
    <t>https://swisscovery.slsp.ch/view/sru/41SLSP_NETWORK?version=1.2&amp;operation=searchRetrieve&amp;recordSchema=marcxml&amp;query=alma.authority_id=297609971&amp;maximumRecords=0</t>
  </si>
  <si>
    <t>https://swisscovery.slsp.ch/view/sru/41SLSP_VGE?version=1.2&amp;operation=searchRetrieve&amp;recordSchema=marcxml&amp;query=alma.authority_id=297609971&amp;maximumRecords=0</t>
  </si>
  <si>
    <t>234151080</t>
  </si>
  <si>
    <t>https://swisscovery.slsp.ch/view/sru/41SLSP_NETWORK?version=1.2&amp;operation=searchRetrieve&amp;recordSchema=marcxml&amp;query=alma.authority_id=234151080&amp;maximumRecords=0</t>
  </si>
  <si>
    <t>https://swisscovery.slsp.ch/view/sru/41SLSP_VGE?version=1.2&amp;operation=searchRetrieve&amp;recordSchema=marcxml&amp;query=alma.authority_id=234151080&amp;maximumRecords=0</t>
  </si>
  <si>
    <t>158162714</t>
  </si>
  <si>
    <t>https://swisscovery.slsp.ch/view/sru/41SLSP_NETWORK?version=1.2&amp;operation=searchRetrieve&amp;recordSchema=marcxml&amp;query=alma.authority_id=158162714&amp;maximumRecords=0</t>
  </si>
  <si>
    <t>https://swisscovery.slsp.ch/view/sru/41SLSP_VGE?version=1.2&amp;operation=searchRetrieve&amp;recordSchema=marcxml&amp;query=alma.authority_id=158162714&amp;maximumRecords=0</t>
  </si>
  <si>
    <t>033011885</t>
  </si>
  <si>
    <t>https://swisscovery.slsp.ch/view/sru/41SLSP_NETWORK?version=1.2&amp;operation=searchRetrieve&amp;recordSchema=marcxml&amp;query=alma.authority_id=033011885&amp;maximumRecords=0</t>
  </si>
  <si>
    <t>https://swisscovery.slsp.ch/view/sru/41SLSP_VGE?version=1.2&amp;operation=searchRetrieve&amp;recordSchema=marcxml&amp;query=alma.authority_id=033011885&amp;maximumRecords=0</t>
  </si>
  <si>
    <t>258131519</t>
  </si>
  <si>
    <t>https://swisscovery.slsp.ch/view/sru/41SLSP_NETWORK?version=1.2&amp;operation=searchRetrieve&amp;recordSchema=marcxml&amp;query=alma.authority_id=258131519&amp;maximumRecords=0</t>
  </si>
  <si>
    <t>https://swisscovery.slsp.ch/view/sru/41SLSP_VGE?version=1.2&amp;operation=searchRetrieve&amp;recordSchema=marcxml&amp;query=alma.authority_id=258131519&amp;maximumRecords=0</t>
  </si>
  <si>
    <t>297495380</t>
  </si>
  <si>
    <t>https://swisscovery.slsp.ch/view/sru/41SLSP_NETWORK?version=1.2&amp;operation=searchRetrieve&amp;recordSchema=marcxml&amp;query=alma.authority_id=297495380&amp;maximumRecords=0</t>
  </si>
  <si>
    <t>https://swisscovery.slsp.ch/view/sru/41SLSP_VGE?version=1.2&amp;operation=searchRetrieve&amp;recordSchema=marcxml&amp;query=alma.authority_id=297495380&amp;maximumRecords=0</t>
  </si>
  <si>
    <t>297565443</t>
  </si>
  <si>
    <t>https://swisscovery.slsp.ch/view/sru/41SLSP_NETWORK?version=1.2&amp;operation=searchRetrieve&amp;recordSchema=marcxml&amp;query=alma.authority_id=297565443&amp;maximumRecords=0</t>
  </si>
  <si>
    <t>https://swisscovery.slsp.ch/view/sru/41SLSP_VGE?version=1.2&amp;operation=searchRetrieve&amp;recordSchema=marcxml&amp;query=alma.authority_id=297565443&amp;maximumRecords=0</t>
  </si>
  <si>
    <t>071331271</t>
  </si>
  <si>
    <t>https://swisscovery.slsp.ch/view/sru/41SLSP_NETWORK?version=1.2&amp;operation=searchRetrieve&amp;recordSchema=marcxml&amp;query=alma.authority_id=071331271&amp;maximumRecords=0</t>
  </si>
  <si>
    <t>https://swisscovery.slsp.ch/view/sru/41SLSP_VGE?version=1.2&amp;operation=searchRetrieve&amp;recordSchema=marcxml&amp;query=alma.authority_id=071331271&amp;maximumRecords=0</t>
  </si>
  <si>
    <t>297620274</t>
  </si>
  <si>
    <t>https://swisscovery.slsp.ch/view/sru/41SLSP_NETWORK?version=1.2&amp;operation=searchRetrieve&amp;recordSchema=marcxml&amp;query=alma.authority_id=297620274&amp;maximumRecords=0</t>
  </si>
  <si>
    <t>https://swisscovery.slsp.ch/view/sru/41SLSP_VGE?version=1.2&amp;operation=searchRetrieve&amp;recordSchema=marcxml&amp;query=alma.authority_id=297620274&amp;maximumRecords=0</t>
  </si>
  <si>
    <t>275204634</t>
  </si>
  <si>
    <t>https://swisscovery.slsp.ch/view/sru/41SLSP_NETWORK?version=1.2&amp;operation=searchRetrieve&amp;recordSchema=marcxml&amp;query=alma.authority_id=275204634&amp;maximumRecords=0</t>
  </si>
  <si>
    <t>https://swisscovery.slsp.ch/view/sru/41SLSP_VGE?version=1.2&amp;operation=searchRetrieve&amp;recordSchema=marcxml&amp;query=alma.authority_id=275204634&amp;maximumRecords=0</t>
  </si>
  <si>
    <t>067395503</t>
  </si>
  <si>
    <t>https://swisscovery.slsp.ch/view/sru/41SLSP_NETWORK?version=1.2&amp;operation=searchRetrieve&amp;recordSchema=marcxml&amp;query=alma.authority_id=067395503&amp;maximumRecords=0</t>
  </si>
  <si>
    <t>https://swisscovery.slsp.ch/view/sru/41SLSP_VGE?version=1.2&amp;operation=searchRetrieve&amp;recordSchema=marcxml&amp;query=alma.authority_id=067395503&amp;maximumRecords=0</t>
  </si>
  <si>
    <t>297612344</t>
  </si>
  <si>
    <t>https://swisscovery.slsp.ch/view/sru/41SLSP_NETWORK?version=1.2&amp;operation=searchRetrieve&amp;recordSchema=marcxml&amp;query=alma.authority_id=297612344&amp;maximumRecords=0</t>
  </si>
  <si>
    <t>https://swisscovery.slsp.ch/view/sru/41SLSP_VGE?version=1.2&amp;operation=searchRetrieve&amp;recordSchema=marcxml&amp;query=alma.authority_id=297612344&amp;maximumRecords=0</t>
  </si>
  <si>
    <t>07102848X</t>
  </si>
  <si>
    <t>https://swisscovery.slsp.ch/view/sru/41SLSP_NETWORK?version=1.2&amp;operation=searchRetrieve&amp;recordSchema=marcxml&amp;query=alma.authority_id=07102848X&amp;maximumRecords=0</t>
  </si>
  <si>
    <t>https://swisscovery.slsp.ch/view/sru/41SLSP_VGE?version=1.2&amp;operation=searchRetrieve&amp;recordSchema=marcxml&amp;query=alma.authority_id=07102848X&amp;maximumRecords=0</t>
  </si>
  <si>
    <t>080647022</t>
  </si>
  <si>
    <t>https://swisscovery.slsp.ch/view/sru/41SLSP_NETWORK?version=1.2&amp;operation=searchRetrieve&amp;recordSchema=marcxml&amp;query=alma.authority_id=080647022&amp;maximumRecords=0</t>
  </si>
  <si>
    <t>https://swisscovery.slsp.ch/view/sru/41SLSP_VGE?version=1.2&amp;operation=searchRetrieve&amp;recordSchema=marcxml&amp;query=alma.authority_id=080647022&amp;maximumRecords=0</t>
  </si>
  <si>
    <t>263606244</t>
  </si>
  <si>
    <t>https://swisscovery.slsp.ch/view/sru/41SLSP_NETWORK?version=1.2&amp;operation=searchRetrieve&amp;recordSchema=marcxml&amp;query=alma.authority_id=263606244&amp;maximumRecords=0</t>
  </si>
  <si>
    <t>https://swisscovery.slsp.ch/view/sru/41SLSP_VGE?version=1.2&amp;operation=searchRetrieve&amp;recordSchema=marcxml&amp;query=alma.authority_id=263606244&amp;maximumRecords=0</t>
  </si>
  <si>
    <t>297563777</t>
  </si>
  <si>
    <t>https://swisscovery.slsp.ch/view/sru/41SLSP_NETWORK?version=1.2&amp;operation=searchRetrieve&amp;recordSchema=marcxml&amp;query=alma.authority_id=297563777&amp;maximumRecords=0</t>
  </si>
  <si>
    <t>https://swisscovery.slsp.ch/view/sru/41SLSP_VGE?version=1.2&amp;operation=searchRetrieve&amp;recordSchema=marcxml&amp;query=alma.authority_id=297563777&amp;maximumRecords=0</t>
  </si>
  <si>
    <t>297467417</t>
  </si>
  <si>
    <t>https://swisscovery.slsp.ch/view/sru/41SLSP_NETWORK?version=1.2&amp;operation=searchRetrieve&amp;recordSchema=marcxml&amp;query=alma.authority_id=297467417&amp;maximumRecords=0</t>
  </si>
  <si>
    <t>https://swisscovery.slsp.ch/view/sru/41SLSP_VGE?version=1.2&amp;operation=searchRetrieve&amp;recordSchema=marcxml&amp;query=alma.authority_id=297467417&amp;maximumRecords=0</t>
  </si>
  <si>
    <t>296443352</t>
  </si>
  <si>
    <t>https://swisscovery.slsp.ch/view/sru/41SLSP_NETWORK?version=1.2&amp;operation=searchRetrieve&amp;recordSchema=marcxml&amp;query=alma.authority_id=296443352&amp;maximumRecords=0</t>
  </si>
  <si>
    <t>https://swisscovery.slsp.ch/view/sru/41SLSP_VGE?version=1.2&amp;operation=searchRetrieve&amp;recordSchema=marcxml&amp;query=alma.authority_id=296443352&amp;maximumRecords=0</t>
  </si>
  <si>
    <t>026750864</t>
  </si>
  <si>
    <t>https://swisscovery.slsp.ch/view/sru/41SLSP_NETWORK?version=1.2&amp;operation=searchRetrieve&amp;recordSchema=marcxml&amp;query=alma.authority_id=026750864&amp;maximumRecords=0</t>
  </si>
  <si>
    <t>https://swisscovery.slsp.ch/view/sru/41SLSP_VGE?version=1.2&amp;operation=searchRetrieve&amp;recordSchema=marcxml&amp;query=alma.authority_id=026750864&amp;maximumRecords=0</t>
  </si>
  <si>
    <t>297790412</t>
  </si>
  <si>
    <t>https://swisscovery.slsp.ch/view/sru/41SLSP_NETWORK?version=1.2&amp;operation=searchRetrieve&amp;recordSchema=marcxml&amp;query=alma.authority_id=297790412&amp;maximumRecords=0</t>
  </si>
  <si>
    <t>https://swisscovery.slsp.ch/view/sru/41SLSP_VGE?version=1.2&amp;operation=searchRetrieve&amp;recordSchema=marcxml&amp;query=alma.authority_id=297790412&amp;maximumRecords=0</t>
  </si>
  <si>
    <t>297616145</t>
  </si>
  <si>
    <t>https://swisscovery.slsp.ch/view/sru/41SLSP_NETWORK?version=1.2&amp;operation=searchRetrieve&amp;recordSchema=marcxml&amp;query=alma.authority_id=297616145&amp;maximumRecords=0</t>
  </si>
  <si>
    <t>https://swisscovery.slsp.ch/view/sru/41SLSP_VGE?version=1.2&amp;operation=searchRetrieve&amp;recordSchema=marcxml&amp;query=alma.authority_id=297616145&amp;maximumRecords=0</t>
  </si>
  <si>
    <t>297784463</t>
  </si>
  <si>
    <t>https://swisscovery.slsp.ch/view/sru/41SLSP_NETWORK?version=1.2&amp;operation=searchRetrieve&amp;recordSchema=marcxml&amp;query=alma.authority_id=297784463&amp;maximumRecords=0</t>
  </si>
  <si>
    <t>https://swisscovery.slsp.ch/view/sru/41SLSP_VGE?version=1.2&amp;operation=searchRetrieve&amp;recordSchema=marcxml&amp;query=alma.authority_id=297784463&amp;maximumRecords=0</t>
  </si>
  <si>
    <t>297567330</t>
  </si>
  <si>
    <t>https://swisscovery.slsp.ch/view/sru/41SLSP_NETWORK?version=1.2&amp;operation=searchRetrieve&amp;recordSchema=marcxml&amp;query=alma.authority_id=297567330&amp;maximumRecords=0</t>
  </si>
  <si>
    <t>https://swisscovery.slsp.ch/view/sru/41SLSP_VGE?version=1.2&amp;operation=searchRetrieve&amp;recordSchema=marcxml&amp;query=alma.authority_id=297567330&amp;maximumRecords=0</t>
  </si>
  <si>
    <t>13960085X</t>
  </si>
  <si>
    <t>https://swisscovery.slsp.ch/view/sru/41SLSP_NETWORK?version=1.2&amp;operation=searchRetrieve&amp;recordSchema=marcxml&amp;query=alma.authority_id=13960085X&amp;maximumRecords=0</t>
  </si>
  <si>
    <t>https://swisscovery.slsp.ch/view/sru/41SLSP_VGE?version=1.2&amp;operation=searchRetrieve&amp;recordSchema=marcxml&amp;query=alma.authority_id=13960085X&amp;maximumRecords=0</t>
  </si>
  <si>
    <t>027034941</t>
  </si>
  <si>
    <t>https://swisscovery.slsp.ch/view/sru/41SLSP_NETWORK?version=1.2&amp;operation=searchRetrieve&amp;recordSchema=marcxml&amp;query=alma.authority_id=027034941&amp;maximumRecords=0</t>
  </si>
  <si>
    <t>https://swisscovery.slsp.ch/view/sru/41SLSP_VGE?version=1.2&amp;operation=searchRetrieve&amp;recordSchema=marcxml&amp;query=alma.authority_id=027034941&amp;maximumRecords=0</t>
  </si>
  <si>
    <t>291260977</t>
  </si>
  <si>
    <t>https://swisscovery.slsp.ch/view/sru/41SLSP_NETWORK?version=1.2&amp;operation=searchRetrieve&amp;recordSchema=marcxml&amp;query=alma.authority_id=291260977&amp;maximumRecords=0</t>
  </si>
  <si>
    <t>https://swisscovery.slsp.ch/view/sru/41SLSP_VGE?version=1.2&amp;operation=searchRetrieve&amp;recordSchema=marcxml&amp;query=alma.authority_id=291260977&amp;maximumRecords=0</t>
  </si>
  <si>
    <t>293441758</t>
  </si>
  <si>
    <t>https://swisscovery.slsp.ch/view/sru/41SLSP_NETWORK?version=1.2&amp;operation=searchRetrieve&amp;recordSchema=marcxml&amp;query=alma.authority_id=293441758&amp;maximumRecords=0</t>
  </si>
  <si>
    <t>https://swisscovery.slsp.ch/view/sru/41SLSP_VGE?version=1.2&amp;operation=searchRetrieve&amp;recordSchema=marcxml&amp;query=alma.authority_id=293441758&amp;maximumRecords=0</t>
  </si>
  <si>
    <t>262940183</t>
  </si>
  <si>
    <t>https://swisscovery.slsp.ch/view/sru/41SLSP_NETWORK?version=1.2&amp;operation=searchRetrieve&amp;recordSchema=marcxml&amp;query=alma.authority_id=262940183&amp;maximumRecords=0</t>
  </si>
  <si>
    <t>https://swisscovery.slsp.ch/view/sru/41SLSP_VGE?version=1.2&amp;operation=searchRetrieve&amp;recordSchema=marcxml&amp;query=alma.authority_id=262940183&amp;maximumRecords=0</t>
  </si>
  <si>
    <t>066889960</t>
  </si>
  <si>
    <t>https://swisscovery.slsp.ch/view/sru/41SLSP_NETWORK?version=1.2&amp;operation=searchRetrieve&amp;recordSchema=marcxml&amp;query=alma.authority_id=066889960&amp;maximumRecords=0</t>
  </si>
  <si>
    <t>https://swisscovery.slsp.ch/view/sru/41SLSP_VGE?version=1.2&amp;operation=searchRetrieve&amp;recordSchema=marcxml&amp;query=alma.authority_id=066889960&amp;maximumRecords=0</t>
  </si>
  <si>
    <t>231913664</t>
  </si>
  <si>
    <t>https://swisscovery.slsp.ch/view/sru/41SLSP_NETWORK?version=1.2&amp;operation=searchRetrieve&amp;recordSchema=marcxml&amp;query=alma.authority_id=231913664&amp;maximumRecords=0</t>
  </si>
  <si>
    <t>https://swisscovery.slsp.ch/view/sru/41SLSP_VGE?version=1.2&amp;operation=searchRetrieve&amp;recordSchema=marcxml&amp;query=alma.authority_id=231913664&amp;maximumRecords=0</t>
  </si>
  <si>
    <t>297503731</t>
  </si>
  <si>
    <t>https://swisscovery.slsp.ch/view/sru/41SLSP_NETWORK?version=1.2&amp;operation=searchRetrieve&amp;recordSchema=marcxml&amp;query=alma.authority_id=297503731&amp;maximumRecords=0</t>
  </si>
  <si>
    <t>https://swisscovery.slsp.ch/view/sru/41SLSP_VGE?version=1.2&amp;operation=searchRetrieve&amp;recordSchema=marcxml&amp;query=alma.authority_id=297503731&amp;maximumRecords=0</t>
  </si>
  <si>
    <t>272049417</t>
  </si>
  <si>
    <t>https://swisscovery.slsp.ch/view/sru/41SLSP_NETWORK?version=1.2&amp;operation=searchRetrieve&amp;recordSchema=marcxml&amp;query=alma.authority_id=272049417&amp;maximumRecords=0</t>
  </si>
  <si>
    <t>https://swisscovery.slsp.ch/view/sru/41SLSP_VGE?version=1.2&amp;operation=searchRetrieve&amp;recordSchema=marcxml&amp;query=alma.authority_id=272049417&amp;maximumRecords=0</t>
  </si>
  <si>
    <t>124240631</t>
  </si>
  <si>
    <t>https://swisscovery.slsp.ch/view/sru/41SLSP_NETWORK?version=1.2&amp;operation=searchRetrieve&amp;recordSchema=marcxml&amp;query=alma.authority_id=124240631&amp;maximumRecords=0</t>
  </si>
  <si>
    <t>https://swisscovery.slsp.ch/view/sru/41SLSP_VGE?version=1.2&amp;operation=searchRetrieve&amp;recordSchema=marcxml&amp;query=alma.authority_id=124240631&amp;maximumRecords=0</t>
  </si>
  <si>
    <t>294197850</t>
  </si>
  <si>
    <t>https://swisscovery.slsp.ch/view/sru/41SLSP_NETWORK?version=1.2&amp;operation=searchRetrieve&amp;recordSchema=marcxml&amp;query=alma.authority_id=294197850&amp;maximumRecords=0</t>
  </si>
  <si>
    <t>https://swisscovery.slsp.ch/view/sru/41SLSP_VGE?version=1.2&amp;operation=searchRetrieve&amp;recordSchema=marcxml&amp;query=alma.authority_id=294197850&amp;maximumRecords=0</t>
  </si>
  <si>
    <t>244824436</t>
  </si>
  <si>
    <t>https://swisscovery.slsp.ch/view/sru/41SLSP_NETWORK?version=1.2&amp;operation=searchRetrieve&amp;recordSchema=marcxml&amp;query=alma.authority_id=244824436&amp;maximumRecords=0</t>
  </si>
  <si>
    <t>https://swisscovery.slsp.ch/view/sru/41SLSP_VGE?version=1.2&amp;operation=searchRetrieve&amp;recordSchema=marcxml&amp;query=alma.authority_id=244824436&amp;maximumRecords=0</t>
  </si>
  <si>
    <t>29779034X</t>
  </si>
  <si>
    <t>https://swisscovery.slsp.ch/view/sru/41SLSP_NETWORK?version=1.2&amp;operation=searchRetrieve&amp;recordSchema=marcxml&amp;query=alma.authority_id=29779034X&amp;maximumRecords=0</t>
  </si>
  <si>
    <t>https://swisscovery.slsp.ch/view/sru/41SLSP_VGE?version=1.2&amp;operation=searchRetrieve&amp;recordSchema=marcxml&amp;query=alma.authority_id=29779034X&amp;maximumRecords=0</t>
  </si>
  <si>
    <t>030431840</t>
  </si>
  <si>
    <t>https://swisscovery.slsp.ch/view/sru/41SLSP_NETWORK?version=1.2&amp;operation=searchRetrieve&amp;recordSchema=marcxml&amp;query=alma.authority_id=030431840&amp;maximumRecords=0</t>
  </si>
  <si>
    <t>https://swisscovery.slsp.ch/view/sru/41SLSP_VGE?version=1.2&amp;operation=searchRetrieve&amp;recordSchema=marcxml&amp;query=alma.authority_id=030431840&amp;maximumRecords=0</t>
  </si>
  <si>
    <t>297596985</t>
  </si>
  <si>
    <t>https://swisscovery.slsp.ch/view/sru/41SLSP_NETWORK?version=1.2&amp;operation=searchRetrieve&amp;recordSchema=marcxml&amp;query=alma.authority_id=297596985&amp;maximumRecords=0</t>
  </si>
  <si>
    <t>https://swisscovery.slsp.ch/view/sru/41SLSP_VGE?version=1.2&amp;operation=searchRetrieve&amp;recordSchema=marcxml&amp;query=alma.authority_id=297596985&amp;maximumRecords=0</t>
  </si>
  <si>
    <t>122036689</t>
  </si>
  <si>
    <t>https://swisscovery.slsp.ch/view/sru/41SLSP_NETWORK?version=1.2&amp;operation=searchRetrieve&amp;recordSchema=marcxml&amp;query=alma.authority_id=122036689&amp;maximumRecords=0</t>
  </si>
  <si>
    <t>https://swisscovery.slsp.ch/view/sru/41SLSP_VGE?version=1.2&amp;operation=searchRetrieve&amp;recordSchema=marcxml&amp;query=alma.authority_id=122036689&amp;maximumRecords=0</t>
  </si>
  <si>
    <t>297608738</t>
  </si>
  <si>
    <t>https://swisscovery.slsp.ch/view/sru/41SLSP_NETWORK?version=1.2&amp;operation=searchRetrieve&amp;recordSchema=marcxml&amp;query=alma.authority_id=297608738&amp;maximumRecords=0</t>
  </si>
  <si>
    <t>https://swisscovery.slsp.ch/view/sru/41SLSP_VGE?version=1.2&amp;operation=searchRetrieve&amp;recordSchema=marcxml&amp;query=alma.authority_id=297608738&amp;maximumRecords=0</t>
  </si>
  <si>
    <t>297808885</t>
  </si>
  <si>
    <t>https://swisscovery.slsp.ch/view/sru/41SLSP_NETWORK?version=1.2&amp;operation=searchRetrieve&amp;recordSchema=marcxml&amp;query=alma.authority_id=297808885&amp;maximumRecords=0</t>
  </si>
  <si>
    <t>https://swisscovery.slsp.ch/view/sru/41SLSP_VGE?version=1.2&amp;operation=searchRetrieve&amp;recordSchema=marcxml&amp;query=alma.authority_id=297808885&amp;maximumRecords=0</t>
  </si>
  <si>
    <t>197903207</t>
  </si>
  <si>
    <t>https://swisscovery.slsp.ch/view/sru/41SLSP_NETWORK?version=1.2&amp;operation=searchRetrieve&amp;recordSchema=marcxml&amp;query=alma.authority_id=197903207&amp;maximumRecords=0</t>
  </si>
  <si>
    <t>https://swisscovery.slsp.ch/view/sru/41SLSP_VGE?version=1.2&amp;operation=searchRetrieve&amp;recordSchema=marcxml&amp;query=alma.authority_id=197903207&amp;maximumRecords=0</t>
  </si>
  <si>
    <t>297512056</t>
  </si>
  <si>
    <t>https://swisscovery.slsp.ch/view/sru/41SLSP_NETWORK?version=1.2&amp;operation=searchRetrieve&amp;recordSchema=marcxml&amp;query=alma.authority_id=297512056&amp;maximumRecords=0</t>
  </si>
  <si>
    <t>https://swisscovery.slsp.ch/view/sru/41SLSP_VGE?version=1.2&amp;operation=searchRetrieve&amp;recordSchema=marcxml&amp;query=alma.authority_id=297512056&amp;maximumRecords=0</t>
  </si>
  <si>
    <t>297122169</t>
  </si>
  <si>
    <t>https://swisscovery.slsp.ch/view/sru/41SLSP_NETWORK?version=1.2&amp;operation=searchRetrieve&amp;recordSchema=marcxml&amp;query=alma.authority_id=297122169&amp;maximumRecords=0</t>
  </si>
  <si>
    <t>https://swisscovery.slsp.ch/view/sru/41SLSP_VGE?version=1.2&amp;operation=searchRetrieve&amp;recordSchema=marcxml&amp;query=alma.authority_id=297122169&amp;maximumRecords=0</t>
  </si>
  <si>
    <t>059942835</t>
  </si>
  <si>
    <t>https://swisscovery.slsp.ch/view/sru/41SLSP_NETWORK?version=1.2&amp;operation=searchRetrieve&amp;recordSchema=marcxml&amp;query=alma.authority_id=059942835&amp;maximumRecords=0</t>
  </si>
  <si>
    <t>https://swisscovery.slsp.ch/view/sru/41SLSP_VGE?version=1.2&amp;operation=searchRetrieve&amp;recordSchema=marcxml&amp;query=alma.authority_id=059942835&amp;maximumRecords=0</t>
  </si>
  <si>
    <t>155867180</t>
  </si>
  <si>
    <t>https://swisscovery.slsp.ch/view/sru/41SLSP_NETWORK?version=1.2&amp;operation=searchRetrieve&amp;recordSchema=marcxml&amp;query=alma.authority_id=155867180&amp;maximumRecords=0</t>
  </si>
  <si>
    <t>https://swisscovery.slsp.ch/view/sru/41SLSP_VGE?version=1.2&amp;operation=searchRetrieve&amp;recordSchema=marcxml&amp;query=alma.authority_id=155867180&amp;maximumRecords=0</t>
  </si>
  <si>
    <t>193025221</t>
  </si>
  <si>
    <t>https://swisscovery.slsp.ch/view/sru/41SLSP_NETWORK?version=1.2&amp;operation=searchRetrieve&amp;recordSchema=marcxml&amp;query=alma.authority_id=193025221&amp;maximumRecords=0</t>
  </si>
  <si>
    <t>https://swisscovery.slsp.ch/view/sru/41SLSP_VGE?version=1.2&amp;operation=searchRetrieve&amp;recordSchema=marcxml&amp;query=alma.authority_id=193025221&amp;maximumRecords=0</t>
  </si>
  <si>
    <t>297261177</t>
  </si>
  <si>
    <t>https://swisscovery.slsp.ch/view/sru/41SLSP_NETWORK?version=1.2&amp;operation=searchRetrieve&amp;recordSchema=marcxml&amp;query=alma.authority_id=297261177&amp;maximumRecords=0</t>
  </si>
  <si>
    <t>https://swisscovery.slsp.ch/view/sru/41SLSP_VGE?version=1.2&amp;operation=searchRetrieve&amp;recordSchema=marcxml&amp;query=alma.authority_id=297261177&amp;maximumRecords=0</t>
  </si>
  <si>
    <t>296047554</t>
  </si>
  <si>
    <t>https://swisscovery.slsp.ch/view/sru/41SLSP_NETWORK?version=1.2&amp;operation=searchRetrieve&amp;recordSchema=marcxml&amp;query=alma.authority_id=296047554&amp;maximumRecords=0</t>
  </si>
  <si>
    <t>https://swisscovery.slsp.ch/view/sru/41SLSP_VGE?version=1.2&amp;operation=searchRetrieve&amp;recordSchema=marcxml&amp;query=alma.authority_id=296047554&amp;maximumRecords=0</t>
  </si>
  <si>
    <t>250593297</t>
  </si>
  <si>
    <t>https://swisscovery.slsp.ch/view/sru/41SLSP_NETWORK?version=1.2&amp;operation=searchRetrieve&amp;recordSchema=marcxml&amp;query=alma.authority_id=250593297&amp;maximumRecords=0</t>
  </si>
  <si>
    <t>https://swisscovery.slsp.ch/view/sru/41SLSP_VGE?version=1.2&amp;operation=searchRetrieve&amp;recordSchema=marcxml&amp;query=alma.authority_id=250593297&amp;maximumRecords=0</t>
  </si>
  <si>
    <t>29752562X</t>
  </si>
  <si>
    <t>https://swisscovery.slsp.ch/view/sru/41SLSP_NETWORK?version=1.2&amp;operation=searchRetrieve&amp;recordSchema=marcxml&amp;query=alma.authority_id=29752562X&amp;maximumRecords=0</t>
  </si>
  <si>
    <t>https://swisscovery.slsp.ch/view/sru/41SLSP_VGE?version=1.2&amp;operation=searchRetrieve&amp;recordSchema=marcxml&amp;query=alma.authority_id=29752562X&amp;maximumRecords=0</t>
  </si>
  <si>
    <t>297631306</t>
  </si>
  <si>
    <t>https://swisscovery.slsp.ch/view/sru/41SLSP_NETWORK?version=1.2&amp;operation=searchRetrieve&amp;recordSchema=marcxml&amp;query=alma.authority_id=297631306&amp;maximumRecords=0</t>
  </si>
  <si>
    <t>https://swisscovery.slsp.ch/view/sru/41SLSP_VGE?version=1.2&amp;operation=searchRetrieve&amp;recordSchema=marcxml&amp;query=alma.authority_id=297631306&amp;maximumRecords=0</t>
  </si>
  <si>
    <t>297579371</t>
  </si>
  <si>
    <t>https://swisscovery.slsp.ch/view/sru/41SLSP_NETWORK?version=1.2&amp;operation=searchRetrieve&amp;recordSchema=marcxml&amp;query=alma.authority_id=297579371&amp;maximumRecords=0</t>
  </si>
  <si>
    <t>https://swisscovery.slsp.ch/view/sru/41SLSP_VGE?version=1.2&amp;operation=searchRetrieve&amp;recordSchema=marcxml&amp;query=alma.authority_id=297579371&amp;maximumRecords=0</t>
  </si>
  <si>
    <t>027181626</t>
  </si>
  <si>
    <t>https://swisscovery.slsp.ch/view/sru/41SLSP_NETWORK?version=1.2&amp;operation=searchRetrieve&amp;recordSchema=marcxml&amp;query=alma.authority_id=027181626&amp;maximumRecords=0</t>
  </si>
  <si>
    <t>https://swisscovery.slsp.ch/view/sru/41SLSP_VGE?version=1.2&amp;operation=searchRetrieve&amp;recordSchema=marcxml&amp;query=alma.authority_id=027181626&amp;maximumRecords=0</t>
  </si>
  <si>
    <t>297794752</t>
  </si>
  <si>
    <t>https://swisscovery.slsp.ch/view/sru/41SLSP_NETWORK?version=1.2&amp;operation=searchRetrieve&amp;recordSchema=marcxml&amp;query=alma.authority_id=297794752&amp;maximumRecords=0</t>
  </si>
  <si>
    <t>https://swisscovery.slsp.ch/view/sru/41SLSP_VGE?version=1.2&amp;operation=searchRetrieve&amp;recordSchema=marcxml&amp;query=alma.authority_id=297794752&amp;maximumRecords=0</t>
  </si>
  <si>
    <t>29778546X</t>
  </si>
  <si>
    <t>https://swisscovery.slsp.ch/view/sru/41SLSP_NETWORK?version=1.2&amp;operation=searchRetrieve&amp;recordSchema=marcxml&amp;query=alma.authority_id=29778546X&amp;maximumRecords=0</t>
  </si>
  <si>
    <t>https://swisscovery.slsp.ch/view/sru/41SLSP_VGE?version=1.2&amp;operation=searchRetrieve&amp;recordSchema=marcxml&amp;query=alma.authority_id=29778546X&amp;maximumRecords=0</t>
  </si>
  <si>
    <t>296047201</t>
  </si>
  <si>
    <t>https://swisscovery.slsp.ch/view/sru/41SLSP_NETWORK?version=1.2&amp;operation=searchRetrieve&amp;recordSchema=marcxml&amp;query=alma.authority_id=296047201&amp;maximumRecords=0</t>
  </si>
  <si>
    <t>https://swisscovery.slsp.ch/view/sru/41SLSP_VGE?version=1.2&amp;operation=searchRetrieve&amp;recordSchema=marcxml&amp;query=alma.authority_id=296047201&amp;maximumRecords=0</t>
  </si>
  <si>
    <t>296717258</t>
  </si>
  <si>
    <t>https://swisscovery.slsp.ch/view/sru/41SLSP_NETWORK?version=1.2&amp;operation=searchRetrieve&amp;recordSchema=marcxml&amp;query=alma.authority_id=296717258&amp;maximumRecords=0</t>
  </si>
  <si>
    <t>https://swisscovery.slsp.ch/view/sru/41SLSP_VGE?version=1.2&amp;operation=searchRetrieve&amp;recordSchema=marcxml&amp;query=alma.authority_id=296717258&amp;maximumRecords=0</t>
  </si>
  <si>
    <t>054374405</t>
  </si>
  <si>
    <t>https://swisscovery.slsp.ch/view/sru/41SLSP_NETWORK?version=1.2&amp;operation=searchRetrieve&amp;recordSchema=marcxml&amp;query=alma.authority_id=054374405&amp;maximumRecords=0</t>
  </si>
  <si>
    <t>https://swisscovery.slsp.ch/view/sru/41SLSP_VGE?version=1.2&amp;operation=searchRetrieve&amp;recordSchema=marcxml&amp;query=alma.authority_id=054374405&amp;maximumRecords=0</t>
  </si>
  <si>
    <t>292820526</t>
  </si>
  <si>
    <t>https://swisscovery.slsp.ch/view/sru/41SLSP_NETWORK?version=1.2&amp;operation=searchRetrieve&amp;recordSchema=marcxml&amp;query=alma.authority_id=292820526&amp;maximumRecords=0</t>
  </si>
  <si>
    <t>https://swisscovery.slsp.ch/view/sru/41SLSP_VGE?version=1.2&amp;operation=searchRetrieve&amp;recordSchema=marcxml&amp;query=alma.authority_id=292820526&amp;maximumRecords=0</t>
  </si>
  <si>
    <t>297467506</t>
  </si>
  <si>
    <t>https://swisscovery.slsp.ch/view/sru/41SLSP_NETWORK?version=1.2&amp;operation=searchRetrieve&amp;recordSchema=marcxml&amp;query=alma.authority_id=297467506&amp;maximumRecords=0</t>
  </si>
  <si>
    <t>https://swisscovery.slsp.ch/view/sru/41SLSP_VGE?version=1.2&amp;operation=searchRetrieve&amp;recordSchema=marcxml&amp;query=alma.authority_id=297467506&amp;maximumRecords=0</t>
  </si>
  <si>
    <t>147364280</t>
  </si>
  <si>
    <t>https://swisscovery.slsp.ch/view/sru/41SLSP_NETWORK?version=1.2&amp;operation=searchRetrieve&amp;recordSchema=marcxml&amp;query=alma.authority_id=147364280&amp;maximumRecords=0</t>
  </si>
  <si>
    <t>https://swisscovery.slsp.ch/view/sru/41SLSP_VGE?version=1.2&amp;operation=searchRetrieve&amp;recordSchema=marcxml&amp;query=alma.authority_id=147364280&amp;maximumRecords=0</t>
  </si>
  <si>
    <t>286071797</t>
  </si>
  <si>
    <t>https://swisscovery.slsp.ch/view/sru/41SLSP_NETWORK?version=1.2&amp;operation=searchRetrieve&amp;recordSchema=marcxml&amp;query=alma.authority_id=286071797&amp;maximumRecords=0</t>
  </si>
  <si>
    <t>https://swisscovery.slsp.ch/view/sru/41SLSP_VGE?version=1.2&amp;operation=searchRetrieve&amp;recordSchema=marcxml&amp;query=alma.authority_id=286071797&amp;maximumRecords=0</t>
  </si>
  <si>
    <t>080406971</t>
  </si>
  <si>
    <t>https://swisscovery.slsp.ch/view/sru/41SLSP_NETWORK?version=1.2&amp;operation=searchRetrieve&amp;recordSchema=marcxml&amp;query=alma.authority_id=080406971&amp;maximumRecords=0</t>
  </si>
  <si>
    <t>https://swisscovery.slsp.ch/view/sru/41SLSP_VGE?version=1.2&amp;operation=searchRetrieve&amp;recordSchema=marcxml&amp;query=alma.authority_id=080406971&amp;maximumRecords=0</t>
  </si>
  <si>
    <t>297793934</t>
  </si>
  <si>
    <t>https://swisscovery.slsp.ch/view/sru/41SLSP_NETWORK?version=1.2&amp;operation=searchRetrieve&amp;recordSchema=marcxml&amp;query=alma.authority_id=297793934&amp;maximumRecords=0</t>
  </si>
  <si>
    <t>https://swisscovery.slsp.ch/view/sru/41SLSP_VGE?version=1.2&amp;operation=searchRetrieve&amp;recordSchema=marcxml&amp;query=alma.authority_id=297793934&amp;maximumRecords=0</t>
  </si>
  <si>
    <t>25077142X</t>
  </si>
  <si>
    <t>https://swisscovery.slsp.ch/view/sru/41SLSP_NETWORK?version=1.2&amp;operation=searchRetrieve&amp;recordSchema=marcxml&amp;query=alma.authority_id=25077142X&amp;maximumRecords=0</t>
  </si>
  <si>
    <t>https://swisscovery.slsp.ch/view/sru/41SLSP_VGE?version=1.2&amp;operation=searchRetrieve&amp;recordSchema=marcxml&amp;query=alma.authority_id=25077142X&amp;maximumRecords=0</t>
  </si>
  <si>
    <t>297598503</t>
  </si>
  <si>
    <t>https://swisscovery.slsp.ch/view/sru/41SLSP_NETWORK?version=1.2&amp;operation=searchRetrieve&amp;recordSchema=marcxml&amp;query=alma.authority_id=297598503&amp;maximumRecords=0</t>
  </si>
  <si>
    <t>https://swisscovery.slsp.ch/view/sru/41SLSP_VGE?version=1.2&amp;operation=searchRetrieve&amp;recordSchema=marcxml&amp;query=alma.authority_id=297598503&amp;maximumRecords=0</t>
  </si>
  <si>
    <t>082090920</t>
  </si>
  <si>
    <t>https://swisscovery.slsp.ch/view/sru/41SLSP_NETWORK?version=1.2&amp;operation=searchRetrieve&amp;recordSchema=marcxml&amp;query=alma.authority_id=082090920&amp;maximumRecords=0</t>
  </si>
  <si>
    <t>https://swisscovery.slsp.ch/view/sru/41SLSP_VGE?version=1.2&amp;operation=searchRetrieve&amp;recordSchema=marcxml&amp;query=alma.authority_id=082090920&amp;maximumRecords=0</t>
  </si>
  <si>
    <t>297563742</t>
  </si>
  <si>
    <t>https://swisscovery.slsp.ch/view/sru/41SLSP_NETWORK?version=1.2&amp;operation=searchRetrieve&amp;recordSchema=marcxml&amp;query=alma.authority_id=297563742&amp;maximumRecords=0</t>
  </si>
  <si>
    <t>https://swisscovery.slsp.ch/view/sru/41SLSP_VGE?version=1.2&amp;operation=searchRetrieve&amp;recordSchema=marcxml&amp;query=alma.authority_id=297563742&amp;maximumRecords=0</t>
  </si>
  <si>
    <t>030388902</t>
  </si>
  <si>
    <t>https://swisscovery.slsp.ch/view/sru/41SLSP_NETWORK?version=1.2&amp;operation=searchRetrieve&amp;recordSchema=marcxml&amp;query=alma.authority_id=030388902&amp;maximumRecords=0</t>
  </si>
  <si>
    <t>https://swisscovery.slsp.ch/view/sru/41SLSP_VGE?version=1.2&amp;operation=searchRetrieve&amp;recordSchema=marcxml&amp;query=alma.authority_id=030388902&amp;maximumRecords=0</t>
  </si>
  <si>
    <t>074213598</t>
  </si>
  <si>
    <t>https://swisscovery.slsp.ch/view/sru/41SLSP_NETWORK?version=1.2&amp;operation=searchRetrieve&amp;recordSchema=marcxml&amp;query=alma.authority_id=074213598&amp;maximumRecords=0</t>
  </si>
  <si>
    <t>https://swisscovery.slsp.ch/view/sru/41SLSP_VGE?version=1.2&amp;operation=searchRetrieve&amp;recordSchema=marcxml&amp;query=alma.authority_id=074213598&amp;maximumRecords=0</t>
  </si>
  <si>
    <t>033166099</t>
  </si>
  <si>
    <t>https://swisscovery.slsp.ch/view/sru/41SLSP_NETWORK?version=1.2&amp;operation=searchRetrieve&amp;recordSchema=marcxml&amp;query=alma.authority_id=033166099&amp;maximumRecords=0</t>
  </si>
  <si>
    <t>https://swisscovery.slsp.ch/view/sru/41SLSP_VGE?version=1.2&amp;operation=searchRetrieve&amp;recordSchema=marcxml&amp;query=alma.authority_id=033166099&amp;maximumRecords=0</t>
  </si>
  <si>
    <t>297413066</t>
  </si>
  <si>
    <t>https://swisscovery.slsp.ch/view/sru/41SLSP_NETWORK?version=1.2&amp;operation=searchRetrieve&amp;recordSchema=marcxml&amp;query=alma.authority_id=297413066&amp;maximumRecords=0</t>
  </si>
  <si>
    <t>https://swisscovery.slsp.ch/view/sru/41SLSP_VGE?version=1.2&amp;operation=searchRetrieve&amp;recordSchema=marcxml&amp;query=alma.authority_id=297413066&amp;maximumRecords=0</t>
  </si>
  <si>
    <t>297569759</t>
  </si>
  <si>
    <t>https://swisscovery.slsp.ch/view/sru/41SLSP_NETWORK?version=1.2&amp;operation=searchRetrieve&amp;recordSchema=marcxml&amp;query=alma.authority_id=297569759&amp;maximumRecords=0</t>
  </si>
  <si>
    <t>https://swisscovery.slsp.ch/view/sru/41SLSP_VGE?version=1.2&amp;operation=searchRetrieve&amp;recordSchema=marcxml&amp;query=alma.authority_id=297569759&amp;maximumRecords=0</t>
  </si>
  <si>
    <t>027089991</t>
  </si>
  <si>
    <t>https://swisscovery.slsp.ch/view/sru/41SLSP_NETWORK?version=1.2&amp;operation=searchRetrieve&amp;recordSchema=marcxml&amp;query=alma.authority_id=027089991&amp;maximumRecords=0</t>
  </si>
  <si>
    <t>https://swisscovery.slsp.ch/view/sru/41SLSP_VGE?version=1.2&amp;operation=searchRetrieve&amp;recordSchema=marcxml&amp;query=alma.authority_id=027089991&amp;maximumRecords=0</t>
  </si>
  <si>
    <t>297251384</t>
  </si>
  <si>
    <t>https://swisscovery.slsp.ch/view/sru/41SLSP_NETWORK?version=1.2&amp;operation=searchRetrieve&amp;recordSchema=marcxml&amp;query=alma.authority_id=297251384&amp;maximumRecords=0</t>
  </si>
  <si>
    <t>https://swisscovery.slsp.ch/view/sru/41SLSP_VGE?version=1.2&amp;operation=searchRetrieve&amp;recordSchema=marcxml&amp;query=alma.authority_id=297251384&amp;maximumRecords=0</t>
  </si>
  <si>
    <t>196751616</t>
  </si>
  <si>
    <t>https://swisscovery.slsp.ch/view/sru/41SLSP_NETWORK?version=1.2&amp;operation=searchRetrieve&amp;recordSchema=marcxml&amp;query=alma.authority_id=196751616&amp;maximumRecords=0</t>
  </si>
  <si>
    <t>https://swisscovery.slsp.ch/view/sru/41SLSP_VGE?version=1.2&amp;operation=searchRetrieve&amp;recordSchema=marcxml&amp;query=alma.authority_id=196751616&amp;maximumRecords=0</t>
  </si>
  <si>
    <t>297563793</t>
  </si>
  <si>
    <t>https://swisscovery.slsp.ch/view/sru/41SLSP_NETWORK?version=1.2&amp;operation=searchRetrieve&amp;recordSchema=marcxml&amp;query=alma.authority_id=297563793&amp;maximumRecords=0</t>
  </si>
  <si>
    <t>https://swisscovery.slsp.ch/view/sru/41SLSP_VGE?version=1.2&amp;operation=searchRetrieve&amp;recordSchema=marcxml&amp;query=alma.authority_id=297563793&amp;maximumRecords=0</t>
  </si>
  <si>
    <t>243383061</t>
  </si>
  <si>
    <t>https://swisscovery.slsp.ch/view/sru/41SLSP_NETWORK?version=1.2&amp;operation=searchRetrieve&amp;recordSchema=marcxml&amp;query=alma.authority_id=243383061&amp;maximumRecords=0</t>
  </si>
  <si>
    <t>https://swisscovery.slsp.ch/view/sru/41SLSP_VGE?version=1.2&amp;operation=searchRetrieve&amp;recordSchema=marcxml&amp;query=alma.authority_id=243383061&amp;maximumRecords=0</t>
  </si>
  <si>
    <t>164462082</t>
  </si>
  <si>
    <t>https://swisscovery.slsp.ch/view/sru/41SLSP_NETWORK?version=1.2&amp;operation=searchRetrieve&amp;recordSchema=marcxml&amp;query=alma.authority_id=164462082&amp;maximumRecords=0</t>
  </si>
  <si>
    <t>https://swisscovery.slsp.ch/view/sru/41SLSP_VGE?version=1.2&amp;operation=searchRetrieve&amp;recordSchema=marcxml&amp;query=alma.authority_id=164462082&amp;maximumRecords=0</t>
  </si>
  <si>
    <t>268821518</t>
  </si>
  <si>
    <t>https://swisscovery.slsp.ch/view/sru/41SLSP_NETWORK?version=1.2&amp;operation=searchRetrieve&amp;recordSchema=marcxml&amp;query=alma.authority_id=268821518&amp;maximumRecords=0</t>
  </si>
  <si>
    <t>https://swisscovery.slsp.ch/view/sru/41SLSP_VGE?version=1.2&amp;operation=searchRetrieve&amp;recordSchema=marcxml&amp;query=alma.authority_id=268821518&amp;maximumRecords=0</t>
  </si>
  <si>
    <t>187522111</t>
  </si>
  <si>
    <t>https://swisscovery.slsp.ch/view/sru/41SLSP_NETWORK?version=1.2&amp;operation=searchRetrieve&amp;recordSchema=marcxml&amp;query=alma.authority_id=187522111&amp;maximumRecords=0</t>
  </si>
  <si>
    <t>https://swisscovery.slsp.ch/view/sru/41SLSP_VGE?version=1.2&amp;operation=searchRetrieve&amp;recordSchema=marcxml&amp;query=alma.authority_id=187522111&amp;maximumRecords=0</t>
  </si>
  <si>
    <t>294121331</t>
  </si>
  <si>
    <t>https://swisscovery.slsp.ch/view/sru/41SLSP_NETWORK?version=1.2&amp;operation=searchRetrieve&amp;recordSchema=marcxml&amp;query=alma.authority_id=294121331&amp;maximumRecords=0</t>
  </si>
  <si>
    <t>https://swisscovery.slsp.ch/view/sru/41SLSP_VGE?version=1.2&amp;operation=searchRetrieve&amp;recordSchema=marcxml&amp;query=alma.authority_id=294121331&amp;maximumRecords=0</t>
  </si>
  <si>
    <t>29757762X</t>
  </si>
  <si>
    <t>https://swisscovery.slsp.ch/view/sru/41SLSP_NETWORK?version=1.2&amp;operation=searchRetrieve&amp;recordSchema=marcxml&amp;query=alma.authority_id=29757762X&amp;maximumRecords=0</t>
  </si>
  <si>
    <t>https://swisscovery.slsp.ch/view/sru/41SLSP_VGE?version=1.2&amp;operation=searchRetrieve&amp;recordSchema=marcxml&amp;query=alma.authority_id=29757762X&amp;maximumRecords=0</t>
  </si>
  <si>
    <t>027435695</t>
  </si>
  <si>
    <t>https://swisscovery.slsp.ch/view/sru/41SLSP_NETWORK?version=1.2&amp;operation=searchRetrieve&amp;recordSchema=marcxml&amp;query=alma.authority_id=027435695&amp;maximumRecords=0</t>
  </si>
  <si>
    <t>https://swisscovery.slsp.ch/view/sru/41SLSP_VGE?version=1.2&amp;operation=searchRetrieve&amp;recordSchema=marcxml&amp;query=alma.authority_id=027435695&amp;maximumRecords=0</t>
  </si>
  <si>
    <t>026401673</t>
  </si>
  <si>
    <t>https://swisscovery.slsp.ch/view/sru/41SLSP_NETWORK?version=1.2&amp;operation=searchRetrieve&amp;recordSchema=marcxml&amp;query=alma.authority_id=026401673&amp;maximumRecords=0</t>
  </si>
  <si>
    <t>https://swisscovery.slsp.ch/view/sru/41SLSP_VGE?version=1.2&amp;operation=searchRetrieve&amp;recordSchema=marcxml&amp;query=alma.authority_id=026401673&amp;maximumRecords=0</t>
  </si>
  <si>
    <t>169570142</t>
  </si>
  <si>
    <t>https://swisscovery.slsp.ch/view/sru/41SLSP_NETWORK?version=1.2&amp;operation=searchRetrieve&amp;recordSchema=marcxml&amp;query=alma.authority_id=169570142&amp;maximumRecords=0</t>
  </si>
  <si>
    <t>https://swisscovery.slsp.ch/view/sru/41SLSP_VGE?version=1.2&amp;operation=searchRetrieve&amp;recordSchema=marcxml&amp;query=alma.authority_id=169570142&amp;maximumRecords=0</t>
  </si>
  <si>
    <t>297514229</t>
  </si>
  <si>
    <t>https://swisscovery.slsp.ch/view/sru/41SLSP_NETWORK?version=1.2&amp;operation=searchRetrieve&amp;recordSchema=marcxml&amp;query=alma.authority_id=297514229&amp;maximumRecords=0</t>
  </si>
  <si>
    <t>https://swisscovery.slsp.ch/view/sru/41SLSP_VGE?version=1.2&amp;operation=searchRetrieve&amp;recordSchema=marcxml&amp;query=alma.authority_id=297514229&amp;maximumRecords=0</t>
  </si>
  <si>
    <t>29414398X</t>
  </si>
  <si>
    <t>https://swisscovery.slsp.ch/view/sru/41SLSP_NETWORK?version=1.2&amp;operation=searchRetrieve&amp;recordSchema=marcxml&amp;query=alma.authority_id=29414398X&amp;maximumRecords=0</t>
  </si>
  <si>
    <t>https://swisscovery.slsp.ch/view/sru/41SLSP_VGE?version=1.2&amp;operation=searchRetrieve&amp;recordSchema=marcxml&amp;query=alma.authority_id=29414398X&amp;maximumRecords=0</t>
  </si>
  <si>
    <t>297611437</t>
  </si>
  <si>
    <t>https://swisscovery.slsp.ch/view/sru/41SLSP_NETWORK?version=1.2&amp;operation=searchRetrieve&amp;recordSchema=marcxml&amp;query=alma.authority_id=297611437&amp;maximumRecords=0</t>
  </si>
  <si>
    <t>https://swisscovery.slsp.ch/view/sru/41SLSP_VGE?version=1.2&amp;operation=searchRetrieve&amp;recordSchema=marcxml&amp;query=alma.authority_id=297611437&amp;maximumRecords=0</t>
  </si>
  <si>
    <t>263502074</t>
  </si>
  <si>
    <t>https://swisscovery.slsp.ch/view/sru/41SLSP_NETWORK?version=1.2&amp;operation=searchRetrieve&amp;recordSchema=marcxml&amp;query=alma.authority_id=263502074&amp;maximumRecords=0</t>
  </si>
  <si>
    <t>https://swisscovery.slsp.ch/view/sru/41SLSP_VGE?version=1.2&amp;operation=searchRetrieve&amp;recordSchema=marcxml&amp;query=alma.authority_id=263502074&amp;maximumRecords=0</t>
  </si>
  <si>
    <t>255906919</t>
  </si>
  <si>
    <t>https://swisscovery.slsp.ch/view/sru/41SLSP_NETWORK?version=1.2&amp;operation=searchRetrieve&amp;recordSchema=marcxml&amp;query=alma.authority_id=255906919&amp;maximumRecords=0</t>
  </si>
  <si>
    <t>https://swisscovery.slsp.ch/view/sru/41SLSP_VGE?version=1.2&amp;operation=searchRetrieve&amp;recordSchema=marcxml&amp;query=alma.authority_id=255906919&amp;maximumRecords=0</t>
  </si>
  <si>
    <t>291296823</t>
  </si>
  <si>
    <t>https://swisscovery.slsp.ch/view/sru/41SLSP_NETWORK?version=1.2&amp;operation=searchRetrieve&amp;recordSchema=marcxml&amp;query=alma.authority_id=291296823&amp;maximumRecords=0</t>
  </si>
  <si>
    <t>https://swisscovery.slsp.ch/view/sru/41SLSP_VGE?version=1.2&amp;operation=searchRetrieve&amp;recordSchema=marcxml&amp;query=alma.authority_id=291296823&amp;maximumRecords=0</t>
  </si>
  <si>
    <t>035661305</t>
  </si>
  <si>
    <t>https://swisscovery.slsp.ch/view/sru/41SLSP_NETWORK?version=1.2&amp;operation=searchRetrieve&amp;recordSchema=marcxml&amp;query=alma.authority_id=035661305&amp;maximumRecords=0</t>
  </si>
  <si>
    <t>https://swisscovery.slsp.ch/view/sru/41SLSP_VGE?version=1.2&amp;operation=searchRetrieve&amp;recordSchema=marcxml&amp;query=alma.authority_id=035661305&amp;maximumRecords=0</t>
  </si>
  <si>
    <t>150553579</t>
  </si>
  <si>
    <t>https://swisscovery.slsp.ch/view/sru/41SLSP_NETWORK?version=1.2&amp;operation=searchRetrieve&amp;recordSchema=marcxml&amp;query=alma.authority_id=150553579&amp;maximumRecords=0</t>
  </si>
  <si>
    <t>https://swisscovery.slsp.ch/view/sru/41SLSP_VGE?version=1.2&amp;operation=searchRetrieve&amp;recordSchema=marcxml&amp;query=alma.authority_id=150553579&amp;maximumRecords=0</t>
  </si>
  <si>
    <t>297410636</t>
  </si>
  <si>
    <t>https://swisscovery.slsp.ch/view/sru/41SLSP_NETWORK?version=1.2&amp;operation=searchRetrieve&amp;recordSchema=marcxml&amp;query=alma.authority_id=297410636&amp;maximumRecords=0</t>
  </si>
  <si>
    <t>https://swisscovery.slsp.ch/view/sru/41SLSP_VGE?version=1.2&amp;operation=searchRetrieve&amp;recordSchema=marcxml&amp;query=alma.authority_id=297410636&amp;maximumRecords=0</t>
  </si>
  <si>
    <t>276602714</t>
  </si>
  <si>
    <t>https://swisscovery.slsp.ch/view/sru/41SLSP_NETWORK?version=1.2&amp;operation=searchRetrieve&amp;recordSchema=marcxml&amp;query=alma.authority_id=276602714&amp;maximumRecords=0</t>
  </si>
  <si>
    <t>https://swisscovery.slsp.ch/view/sru/41SLSP_VGE?version=1.2&amp;operation=searchRetrieve&amp;recordSchema=marcxml&amp;query=alma.authority_id=276602714&amp;maximumRecords=0</t>
  </si>
  <si>
    <t>297594567</t>
  </si>
  <si>
    <t>https://swisscovery.slsp.ch/view/sru/41SLSP_NETWORK?version=1.2&amp;operation=searchRetrieve&amp;recordSchema=marcxml&amp;query=alma.authority_id=297594567&amp;maximumRecords=0</t>
  </si>
  <si>
    <t>https://swisscovery.slsp.ch/view/sru/41SLSP_VGE?version=1.2&amp;operation=searchRetrieve&amp;recordSchema=marcxml&amp;query=alma.authority_id=297594567&amp;maximumRecords=0</t>
  </si>
  <si>
    <t>295209356</t>
  </si>
  <si>
    <t>https://swisscovery.slsp.ch/view/sru/41SLSP_NETWORK?version=1.2&amp;operation=searchRetrieve&amp;recordSchema=marcxml&amp;query=alma.authority_id=295209356&amp;maximumRecords=0</t>
  </si>
  <si>
    <t>https://swisscovery.slsp.ch/view/sru/41SLSP_VGE?version=1.2&amp;operation=searchRetrieve&amp;recordSchema=marcxml&amp;query=alma.authority_id=295209356&amp;maximumRecords=0</t>
  </si>
  <si>
    <t>057088136</t>
  </si>
  <si>
    <t>https://swisscovery.slsp.ch/view/sru/41SLSP_NETWORK?version=1.2&amp;operation=searchRetrieve&amp;recordSchema=marcxml&amp;query=alma.authority_id=057088136&amp;maximumRecords=0</t>
  </si>
  <si>
    <t>https://swisscovery.slsp.ch/view/sru/41SLSP_VGE?version=1.2&amp;operation=searchRetrieve&amp;recordSchema=marcxml&amp;query=alma.authority_id=057088136&amp;maximumRecords=0</t>
  </si>
  <si>
    <t>297671715</t>
  </si>
  <si>
    <t>https://swisscovery.slsp.ch/view/sru/41SLSP_NETWORK?version=1.2&amp;operation=searchRetrieve&amp;recordSchema=marcxml&amp;query=alma.authority_id=297671715&amp;maximumRecords=0</t>
  </si>
  <si>
    <t>https://swisscovery.slsp.ch/view/sru/41SLSP_VGE?version=1.2&amp;operation=searchRetrieve&amp;recordSchema=marcxml&amp;query=alma.authority_id=297671715&amp;maximumRecords=0</t>
  </si>
  <si>
    <t>295161973</t>
  </si>
  <si>
    <t>https://swisscovery.slsp.ch/view/sru/41SLSP_NETWORK?version=1.2&amp;operation=searchRetrieve&amp;recordSchema=marcxml&amp;query=alma.authority_id=295161973&amp;maximumRecords=0</t>
  </si>
  <si>
    <t>https://swisscovery.slsp.ch/view/sru/41SLSP_VGE?version=1.2&amp;operation=searchRetrieve&amp;recordSchema=marcxml&amp;query=alma.authority_id=295161973&amp;maximumRecords=0</t>
  </si>
  <si>
    <t>297609106</t>
  </si>
  <si>
    <t>https://swisscovery.slsp.ch/view/sru/41SLSP_NETWORK?version=1.2&amp;operation=searchRetrieve&amp;recordSchema=marcxml&amp;query=alma.authority_id=297609106&amp;maximumRecords=0</t>
  </si>
  <si>
    <t>https://swisscovery.slsp.ch/view/sru/41SLSP_VGE?version=1.2&amp;operation=searchRetrieve&amp;recordSchema=marcxml&amp;query=alma.authority_id=297609106&amp;maximumRecords=0</t>
  </si>
  <si>
    <t>187837392</t>
  </si>
  <si>
    <t>https://swisscovery.slsp.ch/view/sru/41SLSP_NETWORK?version=1.2&amp;operation=searchRetrieve&amp;recordSchema=marcxml&amp;query=alma.authority_id=187837392&amp;maximumRecords=0</t>
  </si>
  <si>
    <t>https://swisscovery.slsp.ch/view/sru/41SLSP_VGE?version=1.2&amp;operation=searchRetrieve&amp;recordSchema=marcxml&amp;query=alma.authority_id=187837392&amp;maximumRecords=0</t>
  </si>
  <si>
    <t>297602330</t>
  </si>
  <si>
    <t>https://swisscovery.slsp.ch/view/sru/41SLSP_NETWORK?version=1.2&amp;operation=searchRetrieve&amp;recordSchema=marcxml&amp;query=alma.authority_id=297602330&amp;maximumRecords=0</t>
  </si>
  <si>
    <t>https://swisscovery.slsp.ch/view/sru/41SLSP_VGE?version=1.2&amp;operation=searchRetrieve&amp;recordSchema=marcxml&amp;query=alma.authority_id=297602330&amp;maximumRecords=0</t>
  </si>
  <si>
    <t>295639539</t>
  </si>
  <si>
    <t>https://swisscovery.slsp.ch/view/sru/41SLSP_NETWORK?version=1.2&amp;operation=searchRetrieve&amp;recordSchema=marcxml&amp;query=alma.authority_id=295639539&amp;maximumRecords=0</t>
  </si>
  <si>
    <t>https://swisscovery.slsp.ch/view/sru/41SLSP_VGE?version=1.2&amp;operation=searchRetrieve&amp;recordSchema=marcxml&amp;query=alma.authority_id=295639539&amp;maximumRecords=0</t>
  </si>
  <si>
    <t>29761696X</t>
  </si>
  <si>
    <t>https://swisscovery.slsp.ch/view/sru/41SLSP_NETWORK?version=1.2&amp;operation=searchRetrieve&amp;recordSchema=marcxml&amp;query=alma.authority_id=29761696X&amp;maximumRecords=0</t>
  </si>
  <si>
    <t>https://swisscovery.slsp.ch/view/sru/41SLSP_VGE?version=1.2&amp;operation=searchRetrieve&amp;recordSchema=marcxml&amp;query=alma.authority_id=29761696X&amp;maximumRecords=0</t>
  </si>
  <si>
    <t>031776531</t>
  </si>
  <si>
    <t>https://swisscovery.slsp.ch/view/sru/41SLSP_NETWORK?version=1.2&amp;operation=searchRetrieve&amp;recordSchema=marcxml&amp;query=alma.authority_id=031776531&amp;maximumRecords=0</t>
  </si>
  <si>
    <t>https://swisscovery.slsp.ch/view/sru/41SLSP_VGE?version=1.2&amp;operation=searchRetrieve&amp;recordSchema=marcxml&amp;query=alma.authority_id=031776531&amp;maximumRecords=0</t>
  </si>
  <si>
    <t>02703481X</t>
  </si>
  <si>
    <t>https://swisscovery.slsp.ch/view/sru/41SLSP_NETWORK?version=1.2&amp;operation=searchRetrieve&amp;recordSchema=marcxml&amp;query=alma.authority_id=02703481X&amp;maximumRecords=0</t>
  </si>
  <si>
    <t>https://swisscovery.slsp.ch/view/sru/41SLSP_VGE?version=1.2&amp;operation=searchRetrieve&amp;recordSchema=marcxml&amp;query=alma.authority_id=02703481X&amp;maximumRecords=0</t>
  </si>
  <si>
    <t>297591568</t>
  </si>
  <si>
    <t>https://swisscovery.slsp.ch/view/sru/41SLSP_NETWORK?version=1.2&amp;operation=searchRetrieve&amp;recordSchema=marcxml&amp;query=alma.authority_id=297591568&amp;maximumRecords=0</t>
  </si>
  <si>
    <t>https://swisscovery.slsp.ch/view/sru/41SLSP_VGE?version=1.2&amp;operation=searchRetrieve&amp;recordSchema=marcxml&amp;query=alma.authority_id=297591568&amp;maximumRecords=0</t>
  </si>
  <si>
    <t>08268216X</t>
  </si>
  <si>
    <t>https://swisscovery.slsp.ch/view/sru/41SLSP_NETWORK?version=1.2&amp;operation=searchRetrieve&amp;recordSchema=marcxml&amp;query=alma.authority_id=08268216X&amp;maximumRecords=0</t>
  </si>
  <si>
    <t>https://swisscovery.slsp.ch/view/sru/41SLSP_VGE?version=1.2&amp;operation=searchRetrieve&amp;recordSchema=marcxml&amp;query=alma.authority_id=08268216X&amp;maximumRecords=0</t>
  </si>
  <si>
    <t>297786857</t>
  </si>
  <si>
    <t>https://swisscovery.slsp.ch/view/sru/41SLSP_NETWORK?version=1.2&amp;operation=searchRetrieve&amp;recordSchema=marcxml&amp;query=alma.authority_id=297786857&amp;maximumRecords=0</t>
  </si>
  <si>
    <t>https://swisscovery.slsp.ch/view/sru/41SLSP_VGE?version=1.2&amp;operation=searchRetrieve&amp;recordSchema=marcxml&amp;query=alma.authority_id=297786857&amp;maximumRecords=0</t>
  </si>
  <si>
    <t>293112576</t>
  </si>
  <si>
    <t>https://swisscovery.slsp.ch/view/sru/41SLSP_NETWORK?version=1.2&amp;operation=searchRetrieve&amp;recordSchema=marcxml&amp;query=alma.authority_id=293112576&amp;maximumRecords=0</t>
  </si>
  <si>
    <t>https://swisscovery.slsp.ch/view/sru/41SLSP_VGE?version=1.2&amp;operation=searchRetrieve&amp;recordSchema=marcxml&amp;query=alma.authority_id=293112576&amp;maximumRecords=0</t>
  </si>
  <si>
    <t>25711484X</t>
  </si>
  <si>
    <t>https://swisscovery.slsp.ch/view/sru/41SLSP_NETWORK?version=1.2&amp;operation=searchRetrieve&amp;recordSchema=marcxml&amp;query=alma.authority_id=25711484X&amp;maximumRecords=0</t>
  </si>
  <si>
    <t>https://swisscovery.slsp.ch/view/sru/41SLSP_VGE?version=1.2&amp;operation=searchRetrieve&amp;recordSchema=marcxml&amp;query=alma.authority_id=25711484X&amp;maximumRecords=0</t>
  </si>
  <si>
    <t>268513023</t>
  </si>
  <si>
    <t>https://swisscovery.slsp.ch/view/sru/41SLSP_NETWORK?version=1.2&amp;operation=searchRetrieve&amp;recordSchema=marcxml&amp;query=alma.authority_id=268513023&amp;maximumRecords=0</t>
  </si>
  <si>
    <t>https://swisscovery.slsp.ch/view/sru/41SLSP_VGE?version=1.2&amp;operation=searchRetrieve&amp;recordSchema=marcxml&amp;query=alma.authority_id=268513023&amp;maximumRecords=0</t>
  </si>
  <si>
    <t>09285043X</t>
  </si>
  <si>
    <t>https://swisscovery.slsp.ch/view/sru/41SLSP_NETWORK?version=1.2&amp;operation=searchRetrieve&amp;recordSchema=marcxml&amp;query=alma.authority_id=09285043X&amp;maximumRecords=0</t>
  </si>
  <si>
    <t>https://swisscovery.slsp.ch/view/sru/41SLSP_VGE?version=1.2&amp;operation=searchRetrieve&amp;recordSchema=marcxml&amp;query=alma.authority_id=09285043X&amp;maximumRecords=0</t>
  </si>
  <si>
    <t>297671588</t>
  </si>
  <si>
    <t>https://swisscovery.slsp.ch/view/sru/41SLSP_NETWORK?version=1.2&amp;operation=searchRetrieve&amp;recordSchema=marcxml&amp;query=alma.authority_id=297671588&amp;maximumRecords=0</t>
  </si>
  <si>
    <t>https://swisscovery.slsp.ch/view/sru/41SLSP_VGE?version=1.2&amp;operation=searchRetrieve&amp;recordSchema=marcxml&amp;query=alma.authority_id=297671588&amp;maximumRecords=0</t>
  </si>
  <si>
    <t>255276729</t>
  </si>
  <si>
    <t>https://swisscovery.slsp.ch/view/sru/41SLSP_NETWORK?version=1.2&amp;operation=searchRetrieve&amp;recordSchema=marcxml&amp;query=alma.authority_id=255276729&amp;maximumRecords=0</t>
  </si>
  <si>
    <t>https://swisscovery.slsp.ch/view/sru/41SLSP_VGE?version=1.2&amp;operation=searchRetrieve&amp;recordSchema=marcxml&amp;query=alma.authority_id=255276729&amp;maximumRecords=0</t>
  </si>
  <si>
    <t>057770107</t>
  </si>
  <si>
    <t>https://swisscovery.slsp.ch/view/sru/41SLSP_NETWORK?version=1.2&amp;operation=searchRetrieve&amp;recordSchema=marcxml&amp;query=alma.authority_id=057770107&amp;maximumRecords=0</t>
  </si>
  <si>
    <t>https://swisscovery.slsp.ch/view/sru/41SLSP_VGE?version=1.2&amp;operation=searchRetrieve&amp;recordSchema=marcxml&amp;query=alma.authority_id=057770107&amp;maximumRecords=0</t>
  </si>
  <si>
    <t>181797402</t>
  </si>
  <si>
    <t>https://swisscovery.slsp.ch/view/sru/41SLSP_NETWORK?version=1.2&amp;operation=searchRetrieve&amp;recordSchema=marcxml&amp;query=alma.authority_id=181797402&amp;maximumRecords=0</t>
  </si>
  <si>
    <t>https://swisscovery.slsp.ch/view/sru/41SLSP_VGE?version=1.2&amp;operation=searchRetrieve&amp;recordSchema=marcxml&amp;query=alma.authority_id=181797402&amp;maximumRecords=0</t>
  </si>
  <si>
    <t>25678762X</t>
  </si>
  <si>
    <t>https://swisscovery.slsp.ch/view/sru/41SLSP_NETWORK?version=1.2&amp;operation=searchRetrieve&amp;recordSchema=marcxml&amp;query=alma.authority_id=25678762X&amp;maximumRecords=0</t>
  </si>
  <si>
    <t>https://swisscovery.slsp.ch/view/sru/41SLSP_VGE?version=1.2&amp;operation=searchRetrieve&amp;recordSchema=marcxml&amp;query=alma.authority_id=25678762X&amp;maximumRecords=0</t>
  </si>
  <si>
    <t>297587927</t>
  </si>
  <si>
    <t>https://swisscovery.slsp.ch/view/sru/41SLSP_NETWORK?version=1.2&amp;operation=searchRetrieve&amp;recordSchema=marcxml&amp;query=alma.authority_id=297587927&amp;maximumRecords=0</t>
  </si>
  <si>
    <t>https://swisscovery.slsp.ch/view/sru/41SLSP_VGE?version=1.2&amp;operation=searchRetrieve&amp;recordSchema=marcxml&amp;query=alma.authority_id=297587927&amp;maximumRecords=0</t>
  </si>
  <si>
    <t>295215356</t>
  </si>
  <si>
    <t>https://swisscovery.slsp.ch/view/sru/41SLSP_NETWORK?version=1.2&amp;operation=searchRetrieve&amp;recordSchema=marcxml&amp;query=alma.authority_id=295215356&amp;maximumRecords=0</t>
  </si>
  <si>
    <t>https://swisscovery.slsp.ch/view/sru/41SLSP_VGE?version=1.2&amp;operation=searchRetrieve&amp;recordSchema=marcxml&amp;query=alma.authority_id=295215356&amp;maximumRecords=0</t>
  </si>
  <si>
    <t>154673811</t>
  </si>
  <si>
    <t>https://swisscovery.slsp.ch/view/sru/41SLSP_NETWORK?version=1.2&amp;operation=searchRetrieve&amp;recordSchema=marcxml&amp;query=alma.authority_id=154673811&amp;maximumRecords=0</t>
  </si>
  <si>
    <t>https://swisscovery.slsp.ch/view/sru/41SLSP_VGE?version=1.2&amp;operation=searchRetrieve&amp;recordSchema=marcxml&amp;query=alma.authority_id=154673811&amp;maximumRecords=0</t>
  </si>
  <si>
    <t>295163577</t>
  </si>
  <si>
    <t>https://swisscovery.slsp.ch/view/sru/41SLSP_NETWORK?version=1.2&amp;operation=searchRetrieve&amp;recordSchema=marcxml&amp;query=alma.authority_id=295163577&amp;maximumRecords=0</t>
  </si>
  <si>
    <t>https://swisscovery.slsp.ch/view/sru/41SLSP_VGE?version=1.2&amp;operation=searchRetrieve&amp;recordSchema=marcxml&amp;query=alma.authority_id=295163577&amp;maximumRecords=0</t>
  </si>
  <si>
    <t>297809008</t>
  </si>
  <si>
    <t>https://swisscovery.slsp.ch/view/sru/41SLSP_NETWORK?version=1.2&amp;operation=searchRetrieve&amp;recordSchema=marcxml&amp;query=alma.authority_id=297809008&amp;maximumRecords=0</t>
  </si>
  <si>
    <t>https://swisscovery.slsp.ch/view/sru/41SLSP_VGE?version=1.2&amp;operation=searchRetrieve&amp;recordSchema=marcxml&amp;query=alma.authority_id=297809008&amp;maximumRecords=0</t>
  </si>
  <si>
    <t>29516395X</t>
  </si>
  <si>
    <t>https://swisscovery.slsp.ch/view/sru/41SLSP_NETWORK?version=1.2&amp;operation=searchRetrieve&amp;recordSchema=marcxml&amp;query=alma.authority_id=29516395X&amp;maximumRecords=0</t>
  </si>
  <si>
    <t>https://swisscovery.slsp.ch/view/sru/41SLSP_VGE?version=1.2&amp;operation=searchRetrieve&amp;recordSchema=marcxml&amp;query=alma.authority_id=29516395X&amp;maximumRecords=0</t>
  </si>
  <si>
    <t>297519107</t>
  </si>
  <si>
    <t>https://swisscovery.slsp.ch/view/sru/41SLSP_NETWORK?version=1.2&amp;operation=searchRetrieve&amp;recordSchema=marcxml&amp;query=alma.authority_id=297519107&amp;maximumRecords=0</t>
  </si>
  <si>
    <t>https://swisscovery.slsp.ch/view/sru/41SLSP_VGE?version=1.2&amp;operation=searchRetrieve&amp;recordSchema=marcxml&amp;query=alma.authority_id=297519107&amp;maximumRecords=0</t>
  </si>
  <si>
    <t>296531235</t>
  </si>
  <si>
    <t>https://swisscovery.slsp.ch/view/sru/41SLSP_NETWORK?version=1.2&amp;operation=searchRetrieve&amp;recordSchema=marcxml&amp;query=alma.authority_id=296531235&amp;maximumRecords=0</t>
  </si>
  <si>
    <t>https://swisscovery.slsp.ch/view/sru/41SLSP_VGE?version=1.2&amp;operation=searchRetrieve&amp;recordSchema=marcxml&amp;query=alma.authority_id=296531235&amp;maximumRecords=0</t>
  </si>
  <si>
    <t>297515411</t>
  </si>
  <si>
    <t>https://swisscovery.slsp.ch/view/sru/41SLSP_NETWORK?version=1.2&amp;operation=searchRetrieve&amp;recordSchema=marcxml&amp;query=alma.authority_id=297515411&amp;maximumRecords=0</t>
  </si>
  <si>
    <t>https://swisscovery.slsp.ch/view/sru/41SLSP_VGE?version=1.2&amp;operation=searchRetrieve&amp;recordSchema=marcxml&amp;query=alma.authority_id=297515411&amp;maximumRecords=0</t>
  </si>
  <si>
    <t>296549150</t>
  </si>
  <si>
    <t>https://swisscovery.slsp.ch/view/sru/41SLSP_NETWORK?version=1.2&amp;operation=searchRetrieve&amp;recordSchema=marcxml&amp;query=alma.authority_id=296549150&amp;maximumRecords=0</t>
  </si>
  <si>
    <t>https://swisscovery.slsp.ch/view/sru/41SLSP_VGE?version=1.2&amp;operation=searchRetrieve&amp;recordSchema=marcxml&amp;query=alma.authority_id=296549150&amp;maximumRecords=0</t>
  </si>
  <si>
    <t>244390401</t>
  </si>
  <si>
    <t>https://swisscovery.slsp.ch/view/sru/41SLSP_NETWORK?version=1.2&amp;operation=searchRetrieve&amp;recordSchema=marcxml&amp;query=alma.authority_id=244390401&amp;maximumRecords=0</t>
  </si>
  <si>
    <t>https://swisscovery.slsp.ch/view/sru/41SLSP_VGE?version=1.2&amp;operation=searchRetrieve&amp;recordSchema=marcxml&amp;query=alma.authority_id=244390401&amp;maximumRecords=0</t>
  </si>
  <si>
    <t>260227048</t>
  </si>
  <si>
    <t>https://swisscovery.slsp.ch/view/sru/41SLSP_NETWORK?version=1.2&amp;operation=searchRetrieve&amp;recordSchema=marcxml&amp;query=alma.authority_id=260227048&amp;maximumRecords=0</t>
  </si>
  <si>
    <t>https://swisscovery.slsp.ch/view/sru/41SLSP_VGE?version=1.2&amp;operation=searchRetrieve&amp;recordSchema=marcxml&amp;query=alma.authority_id=260227048&amp;maximumRecords=0</t>
  </si>
  <si>
    <t>255873832</t>
  </si>
  <si>
    <t>https://swisscovery.slsp.ch/view/sru/41SLSP_NETWORK?version=1.2&amp;operation=searchRetrieve&amp;recordSchema=marcxml&amp;query=alma.authority_id=255873832&amp;maximumRecords=0</t>
  </si>
  <si>
    <t>https://swisscovery.slsp.ch/view/sru/41SLSP_VGE?version=1.2&amp;operation=searchRetrieve&amp;recordSchema=marcxml&amp;query=alma.authority_id=255873832&amp;maximumRecords=0</t>
  </si>
  <si>
    <t>260225207</t>
  </si>
  <si>
    <t>https://swisscovery.slsp.ch/view/sru/41SLSP_NETWORK?version=1.2&amp;operation=searchRetrieve&amp;recordSchema=marcxml&amp;query=alma.authority_id=260225207&amp;maximumRecords=0</t>
  </si>
  <si>
    <t>https://swisscovery.slsp.ch/view/sru/41SLSP_VGE?version=1.2&amp;operation=searchRetrieve&amp;recordSchema=marcxml&amp;query=alma.authority_id=260225207&amp;maximumRecords=0</t>
  </si>
  <si>
    <t>260225762</t>
  </si>
  <si>
    <t>https://swisscovery.slsp.ch/view/sru/41SLSP_NETWORK?version=1.2&amp;operation=searchRetrieve&amp;recordSchema=marcxml&amp;query=alma.authority_id=260225762&amp;maximumRecords=0</t>
  </si>
  <si>
    <t>https://swisscovery.slsp.ch/view/sru/41SLSP_VGE?version=1.2&amp;operation=searchRetrieve&amp;recordSchema=marcxml&amp;query=alma.authority_id=260225762&amp;maximumRecords=0</t>
  </si>
  <si>
    <t>028325575</t>
  </si>
  <si>
    <t>https://swisscovery.slsp.ch/view/sru/41SLSP_NETWORK?version=1.2&amp;operation=searchRetrieve&amp;recordSchema=marcxml&amp;query=alma.authority_id=028325575&amp;maximumRecords=0</t>
  </si>
  <si>
    <t>https://swisscovery.slsp.ch/view/sru/41SLSP_VGE?version=1.2&amp;operation=searchRetrieve&amp;recordSchema=marcxml&amp;query=alma.authority_id=028325575&amp;maximumRecords=0</t>
  </si>
  <si>
    <t>283546379</t>
  </si>
  <si>
    <t>https://swisscovery.slsp.ch/view/sru/41SLSP_NETWORK?version=1.2&amp;operation=searchRetrieve&amp;recordSchema=marcxml&amp;query=alma.authority_id=283546379&amp;maximumRecords=0</t>
  </si>
  <si>
    <t>https://swisscovery.slsp.ch/view/sru/41SLSP_VGE?version=1.2&amp;operation=searchRetrieve&amp;recordSchema=marcxml&amp;query=alma.authority_id=283546379&amp;maximumRecords=0</t>
  </si>
  <si>
    <t>297412876</t>
  </si>
  <si>
    <t>https://swisscovery.slsp.ch/view/sru/41SLSP_NETWORK?version=1.2&amp;operation=searchRetrieve&amp;recordSchema=marcxml&amp;query=alma.authority_id=297412876&amp;maximumRecords=0</t>
  </si>
  <si>
    <t>https://swisscovery.slsp.ch/view/sru/41SLSP_VGE?version=1.2&amp;operation=searchRetrieve&amp;recordSchema=marcxml&amp;query=alma.authority_id=297412876&amp;maximumRecords=0</t>
  </si>
  <si>
    <t>297789848</t>
  </si>
  <si>
    <t>https://swisscovery.slsp.ch/view/sru/41SLSP_NETWORK?version=1.2&amp;operation=searchRetrieve&amp;recordSchema=marcxml&amp;query=alma.authority_id=297789848&amp;maximumRecords=0</t>
  </si>
  <si>
    <t>https://swisscovery.slsp.ch/view/sru/41SLSP_VGE?version=1.2&amp;operation=searchRetrieve&amp;recordSchema=marcxml&amp;query=alma.authority_id=297789848&amp;maximumRecords=0</t>
  </si>
  <si>
    <t>297542737</t>
  </si>
  <si>
    <t>https://swisscovery.slsp.ch/view/sru/41SLSP_NETWORK?version=1.2&amp;operation=searchRetrieve&amp;recordSchema=marcxml&amp;query=alma.authority_id=297542737&amp;maximumRecords=0</t>
  </si>
  <si>
    <t>https://swisscovery.slsp.ch/view/sru/41SLSP_VGE?version=1.2&amp;operation=searchRetrieve&amp;recordSchema=marcxml&amp;query=alma.authority_id=297542737&amp;maximumRecords=0</t>
  </si>
  <si>
    <t>297784692</t>
  </si>
  <si>
    <t>https://swisscovery.slsp.ch/view/sru/41SLSP_NETWORK?version=1.2&amp;operation=searchRetrieve&amp;recordSchema=marcxml&amp;query=alma.authority_id=297784692&amp;maximumRecords=0</t>
  </si>
  <si>
    <t>https://swisscovery.slsp.ch/view/sru/41SLSP_VGE?version=1.2&amp;operation=searchRetrieve&amp;recordSchema=marcxml&amp;query=alma.authority_id=297784692&amp;maximumRecords=0</t>
  </si>
  <si>
    <t>027060306</t>
  </si>
  <si>
    <t>https://swisscovery.slsp.ch/view/sru/41SLSP_NETWORK?version=1.2&amp;operation=searchRetrieve&amp;recordSchema=marcxml&amp;query=alma.authority_id=027060306&amp;maximumRecords=0</t>
  </si>
  <si>
    <t>https://swisscovery.slsp.ch/view/sru/41SLSP_VGE?version=1.2&amp;operation=searchRetrieve&amp;recordSchema=marcxml&amp;query=alma.authority_id=027060306&amp;maximumRecords=0</t>
  </si>
  <si>
    <t>296635081</t>
  </si>
  <si>
    <t>https://swisscovery.slsp.ch/view/sru/41SLSP_NETWORK?version=1.2&amp;operation=searchRetrieve&amp;recordSchema=marcxml&amp;query=alma.authority_id=296635081&amp;maximumRecords=0</t>
  </si>
  <si>
    <t>https://swisscovery.slsp.ch/view/sru/41SLSP_VGE?version=1.2&amp;operation=searchRetrieve&amp;recordSchema=marcxml&amp;query=alma.authority_id=296635081&amp;maximumRecords=0</t>
  </si>
  <si>
    <t>296742910</t>
  </si>
  <si>
    <t>https://swisscovery.slsp.ch/view/sru/41SLSP_NETWORK?version=1.2&amp;operation=searchRetrieve&amp;recordSchema=marcxml&amp;query=alma.authority_id=296742910&amp;maximumRecords=0</t>
  </si>
  <si>
    <t>https://swisscovery.slsp.ch/view/sru/41SLSP_VGE?version=1.2&amp;operation=searchRetrieve&amp;recordSchema=marcxml&amp;query=alma.authority_id=296742910&amp;maximumRecords=0</t>
  </si>
  <si>
    <t>296526827</t>
  </si>
  <si>
    <t>https://swisscovery.slsp.ch/view/sru/41SLSP_NETWORK?version=1.2&amp;operation=searchRetrieve&amp;recordSchema=marcxml&amp;query=alma.authority_id=296526827&amp;maximumRecords=0</t>
  </si>
  <si>
    <t>https://swisscovery.slsp.ch/view/sru/41SLSP_VGE?version=1.2&amp;operation=searchRetrieve&amp;recordSchema=marcxml&amp;query=alma.authority_id=296526827&amp;maximumRecords=0</t>
  </si>
  <si>
    <t>296739367</t>
  </si>
  <si>
    <t>https://swisscovery.slsp.ch/view/sru/41SLSP_NETWORK?version=1.2&amp;operation=searchRetrieve&amp;recordSchema=marcxml&amp;query=alma.authority_id=296739367&amp;maximumRecords=0</t>
  </si>
  <si>
    <t>https://swisscovery.slsp.ch/view/sru/41SLSP_VGE?version=1.2&amp;operation=searchRetrieve&amp;recordSchema=marcxml&amp;query=alma.authority_id=296739367&amp;maximumRecords=0</t>
  </si>
  <si>
    <t>260319430</t>
  </si>
  <si>
    <t>https://swisscovery.slsp.ch/view/sru/41SLSP_NETWORK?version=1.2&amp;operation=searchRetrieve&amp;recordSchema=marcxml&amp;query=alma.authority_id=260319430&amp;maximumRecords=0</t>
  </si>
  <si>
    <t>https://swisscovery.slsp.ch/view/sru/41SLSP_VGE?version=1.2&amp;operation=searchRetrieve&amp;recordSchema=marcxml&amp;query=alma.authority_id=260319430&amp;maximumRecords=0</t>
  </si>
  <si>
    <t>297083414</t>
  </si>
  <si>
    <t>https://swisscovery.slsp.ch/view/sru/41SLSP_NETWORK?version=1.2&amp;operation=searchRetrieve&amp;recordSchema=marcxml&amp;query=alma.authority_id=297083414&amp;maximumRecords=0</t>
  </si>
  <si>
    <t>https://swisscovery.slsp.ch/view/sru/41SLSP_VGE?version=1.2&amp;operation=searchRetrieve&amp;recordSchema=marcxml&amp;query=alma.authority_id=297083414&amp;maximumRecords=0</t>
  </si>
  <si>
    <t>297084380</t>
  </si>
  <si>
    <t>https://swisscovery.slsp.ch/view/sru/41SLSP_NETWORK?version=1.2&amp;operation=searchRetrieve&amp;recordSchema=marcxml&amp;query=alma.authority_id=297084380&amp;maximumRecords=0</t>
  </si>
  <si>
    <t>https://swisscovery.slsp.ch/view/sru/41SLSP_VGE?version=1.2&amp;operation=searchRetrieve&amp;recordSchema=marcxml&amp;query=alma.authority_id=297084380&amp;maximumRecords=0</t>
  </si>
  <si>
    <t>297085085</t>
  </si>
  <si>
    <t>https://swisscovery.slsp.ch/view/sru/41SLSP_NETWORK?version=1.2&amp;operation=searchRetrieve&amp;recordSchema=marcxml&amp;query=alma.authority_id=297085085&amp;maximumRecords=0</t>
  </si>
  <si>
    <t>https://swisscovery.slsp.ch/view/sru/41SLSP_VGE?version=1.2&amp;operation=searchRetrieve&amp;recordSchema=marcxml&amp;query=alma.authority_id=297085085&amp;maximumRecords=0</t>
  </si>
  <si>
    <t>297085158</t>
  </si>
  <si>
    <t>https://swisscovery.slsp.ch/view/sru/41SLSP_NETWORK?version=1.2&amp;operation=searchRetrieve&amp;recordSchema=marcxml&amp;query=alma.authority_id=297085158&amp;maximumRecords=0</t>
  </si>
  <si>
    <t>https://swisscovery.slsp.ch/view/sru/41SLSP_VGE?version=1.2&amp;operation=searchRetrieve&amp;recordSchema=marcxml&amp;query=alma.authority_id=297085158&amp;maximumRecords=0</t>
  </si>
  <si>
    <t>297085204</t>
  </si>
  <si>
    <t>https://swisscovery.slsp.ch/view/sru/41SLSP_NETWORK?version=1.2&amp;operation=searchRetrieve&amp;recordSchema=marcxml&amp;query=alma.authority_id=297085204&amp;maximumRecords=0</t>
  </si>
  <si>
    <t>https://swisscovery.slsp.ch/view/sru/41SLSP_VGE?version=1.2&amp;operation=searchRetrieve&amp;recordSchema=marcxml&amp;query=alma.authority_id=297085204&amp;maximumRecords=0</t>
  </si>
  <si>
    <t>297117955</t>
  </si>
  <si>
    <t>https://swisscovery.slsp.ch/view/sru/41SLSP_NETWORK?version=1.2&amp;operation=searchRetrieve&amp;recordSchema=marcxml&amp;query=alma.authority_id=297117955&amp;maximumRecords=0</t>
  </si>
  <si>
    <t>https://swisscovery.slsp.ch/view/sru/41SLSP_VGE?version=1.2&amp;operation=searchRetrieve&amp;recordSchema=marcxml&amp;query=alma.authority_id=297117955&amp;maximumRecords=0</t>
  </si>
  <si>
    <t>297115103</t>
  </si>
  <si>
    <t>https://swisscovery.slsp.ch/view/sru/41SLSP_NETWORK?version=1.2&amp;operation=searchRetrieve&amp;recordSchema=marcxml&amp;query=alma.authority_id=297115103&amp;maximumRecords=0</t>
  </si>
  <si>
    <t>https://swisscovery.slsp.ch/view/sru/41SLSP_VGE?version=1.2&amp;operation=searchRetrieve&amp;recordSchema=marcxml&amp;query=alma.authority_id=297115103&amp;maximumRecords=0</t>
  </si>
  <si>
    <t>297261363</t>
  </si>
  <si>
    <t>https://swisscovery.slsp.ch/view/sru/41SLSP_NETWORK?version=1.2&amp;operation=searchRetrieve&amp;recordSchema=marcxml&amp;query=alma.authority_id=297261363&amp;maximumRecords=0</t>
  </si>
  <si>
    <t>https://swisscovery.slsp.ch/view/sru/41SLSP_VGE?version=1.2&amp;operation=searchRetrieve&amp;recordSchema=marcxml&amp;query=alma.authority_id=297261363&amp;maximumRecords=0</t>
  </si>
  <si>
    <t>297406957</t>
  </si>
  <si>
    <t>https://swisscovery.slsp.ch/view/sru/41SLSP_NETWORK?version=1.2&amp;operation=searchRetrieve&amp;recordSchema=marcxml&amp;query=alma.authority_id=297406957&amp;maximumRecords=0</t>
  </si>
  <si>
    <t>https://swisscovery.slsp.ch/view/sru/41SLSP_VGE?version=1.2&amp;operation=searchRetrieve&amp;recordSchema=marcxml&amp;query=alma.authority_id=297406957&amp;maximumRecords=0</t>
  </si>
  <si>
    <t>29750164X</t>
  </si>
  <si>
    <t>https://swisscovery.slsp.ch/view/sru/41SLSP_NETWORK?version=1.2&amp;operation=searchRetrieve&amp;recordSchema=marcxml&amp;query=alma.authority_id=29750164X&amp;maximumRecords=0</t>
  </si>
  <si>
    <t>https://swisscovery.slsp.ch/view/sru/41SLSP_VGE?version=1.2&amp;operation=searchRetrieve&amp;recordSchema=marcxml&amp;query=alma.authority_id=29750164X&amp;maximumRecords=0</t>
  </si>
  <si>
    <t>297511696</t>
  </si>
  <si>
    <t>https://swisscovery.slsp.ch/view/sru/41SLSP_NETWORK?version=1.2&amp;operation=searchRetrieve&amp;recordSchema=marcxml&amp;query=alma.authority_id=297511696&amp;maximumRecords=0</t>
  </si>
  <si>
    <t>https://swisscovery.slsp.ch/view/sru/41SLSP_VGE?version=1.2&amp;operation=searchRetrieve&amp;recordSchema=marcxml&amp;query=alma.authority_id=297511696&amp;maximumRecords=0</t>
  </si>
  <si>
    <t>297518089</t>
  </si>
  <si>
    <t>https://swisscovery.slsp.ch/view/sru/41SLSP_NETWORK?version=1.2&amp;operation=searchRetrieve&amp;recordSchema=marcxml&amp;query=alma.authority_id=297518089&amp;maximumRecords=0</t>
  </si>
  <si>
    <t>https://swisscovery.slsp.ch/view/sru/41SLSP_VGE?version=1.2&amp;operation=searchRetrieve&amp;recordSchema=marcxml&amp;query=alma.authority_id=297518089&amp;maximumRecords=0</t>
  </si>
  <si>
    <t>297518887</t>
  </si>
  <si>
    <t>https://swisscovery.slsp.ch/view/sru/41SLSP_NETWORK?version=1.2&amp;operation=searchRetrieve&amp;recordSchema=marcxml&amp;query=alma.authority_id=297518887&amp;maximumRecords=0</t>
  </si>
  <si>
    <t>https://swisscovery.slsp.ch/view/sru/41SLSP_VGE?version=1.2&amp;operation=searchRetrieve&amp;recordSchema=marcxml&amp;query=alma.authority_id=297518887&amp;maximumRecords=0</t>
  </si>
  <si>
    <t>297521187</t>
  </si>
  <si>
    <t>https://swisscovery.slsp.ch/view/sru/41SLSP_NETWORK?version=1.2&amp;operation=searchRetrieve&amp;recordSchema=marcxml&amp;query=alma.authority_id=297521187&amp;maximumRecords=0</t>
  </si>
  <si>
    <t>https://swisscovery.slsp.ch/view/sru/41SLSP_VGE?version=1.2&amp;operation=searchRetrieve&amp;recordSchema=marcxml&amp;query=alma.authority_id=297521187&amp;maximumRecords=0</t>
  </si>
  <si>
    <t>297521446</t>
  </si>
  <si>
    <t>https://swisscovery.slsp.ch/view/sru/41SLSP_NETWORK?version=1.2&amp;operation=searchRetrieve&amp;recordSchema=marcxml&amp;query=alma.authority_id=297521446&amp;maximumRecords=0</t>
  </si>
  <si>
    <t>https://swisscovery.slsp.ch/view/sru/41SLSP_VGE?version=1.2&amp;operation=searchRetrieve&amp;recordSchema=marcxml&amp;query=alma.authority_id=297521446&amp;maximumRecords=0</t>
  </si>
  <si>
    <t>297523120</t>
  </si>
  <si>
    <t>https://swisscovery.slsp.ch/view/sru/41SLSP_NETWORK?version=1.2&amp;operation=searchRetrieve&amp;recordSchema=marcxml&amp;query=alma.authority_id=297523120&amp;maximumRecords=0</t>
  </si>
  <si>
    <t>https://swisscovery.slsp.ch/view/sru/41SLSP_VGE?version=1.2&amp;operation=searchRetrieve&amp;recordSchema=marcxml&amp;query=alma.authority_id=297523120&amp;maximumRecords=0</t>
  </si>
  <si>
    <t>297524119</t>
  </si>
  <si>
    <t>https://swisscovery.slsp.ch/view/sru/41SLSP_NETWORK?version=1.2&amp;operation=searchRetrieve&amp;recordSchema=marcxml&amp;query=alma.authority_id=297524119&amp;maximumRecords=0</t>
  </si>
  <si>
    <t>https://swisscovery.slsp.ch/view/sru/41SLSP_VGE?version=1.2&amp;operation=searchRetrieve&amp;recordSchema=marcxml&amp;query=alma.authority_id=297524119&amp;maximumRecords=0</t>
  </si>
  <si>
    <t>297524399</t>
  </si>
  <si>
    <t>https://swisscovery.slsp.ch/view/sru/41SLSP_NETWORK?version=1.2&amp;operation=searchRetrieve&amp;recordSchema=marcxml&amp;query=alma.authority_id=297524399&amp;maximumRecords=0</t>
  </si>
  <si>
    <t>https://swisscovery.slsp.ch/view/sru/41SLSP_VGE?version=1.2&amp;operation=searchRetrieve&amp;recordSchema=marcxml&amp;query=alma.authority_id=297524399&amp;maximumRecords=0</t>
  </si>
  <si>
    <t>297540793</t>
  </si>
  <si>
    <t>https://swisscovery.slsp.ch/view/sru/41SLSP_NETWORK?version=1.2&amp;operation=searchRetrieve&amp;recordSchema=marcxml&amp;query=alma.authority_id=297540793&amp;maximumRecords=0</t>
  </si>
  <si>
    <t>https://swisscovery.slsp.ch/view/sru/41SLSP_VGE?version=1.2&amp;operation=searchRetrieve&amp;recordSchema=marcxml&amp;query=alma.authority_id=297540793&amp;maximumRecords=0</t>
  </si>
  <si>
    <t>297570528</t>
  </si>
  <si>
    <t>https://swisscovery.slsp.ch/view/sru/41SLSP_NETWORK?version=1.2&amp;operation=searchRetrieve&amp;recordSchema=marcxml&amp;query=alma.authority_id=297570528&amp;maximumRecords=0</t>
  </si>
  <si>
    <t>https://swisscovery.slsp.ch/view/sru/41SLSP_VGE?version=1.2&amp;operation=searchRetrieve&amp;recordSchema=marcxml&amp;query=alma.authority_id=297570528&amp;maximumRecords=0</t>
  </si>
  <si>
    <t>09899414X</t>
  </si>
  <si>
    <t>https://swisscovery.slsp.ch/view/sru/41SLSP_NETWORK?version=1.2&amp;operation=searchRetrieve&amp;recordSchema=marcxml&amp;query=alma.authority_id=09899414X&amp;maximumRecords=0</t>
  </si>
  <si>
    <t>https://swisscovery.slsp.ch/view/sru/41SLSP_VGE?version=1.2&amp;operation=searchRetrieve&amp;recordSchema=marcxml&amp;query=alma.authority_id=09899414X&amp;maximumRecords=0</t>
  </si>
  <si>
    <t>297587668</t>
  </si>
  <si>
    <t>https://swisscovery.slsp.ch/view/sru/41SLSP_NETWORK?version=1.2&amp;operation=searchRetrieve&amp;recordSchema=marcxml&amp;query=alma.authority_id=297587668&amp;maximumRecords=0</t>
  </si>
  <si>
    <t>https://swisscovery.slsp.ch/view/sru/41SLSP_VGE?version=1.2&amp;operation=searchRetrieve&amp;recordSchema=marcxml&amp;query=alma.authority_id=297587668&amp;maximumRecords=0</t>
  </si>
  <si>
    <t>245119027</t>
  </si>
  <si>
    <t>https://swisscovery.slsp.ch/view/sru/41SLSP_NETWORK?version=1.2&amp;operation=searchRetrieve&amp;recordSchema=marcxml&amp;query=alma.authority_id=245119027&amp;maximumRecords=0</t>
  </si>
  <si>
    <t>https://swisscovery.slsp.ch/view/sru/41SLSP_VGE?version=1.2&amp;operation=searchRetrieve&amp;recordSchema=marcxml&amp;query=alma.authority_id=245119027&amp;maximumRecords=0</t>
  </si>
  <si>
    <t>074734261</t>
  </si>
  <si>
    <t>https://swisscovery.slsp.ch/view/sru/41SLSP_NETWORK?version=1.2&amp;operation=searchRetrieve&amp;recordSchema=marcxml&amp;query=alma.authority_id=074734261&amp;maximumRecords=0</t>
  </si>
  <si>
    <t>https://swisscovery.slsp.ch/view/sru/41SLSP_VGE?version=1.2&amp;operation=searchRetrieve&amp;recordSchema=marcxml&amp;query=alma.authority_id=074734261&amp;maximumRecords=0</t>
  </si>
  <si>
    <t>297618784</t>
  </si>
  <si>
    <t>https://swisscovery.slsp.ch/view/sru/41SLSP_NETWORK?version=1.2&amp;operation=searchRetrieve&amp;recordSchema=marcxml&amp;query=alma.authority_id=297618784&amp;maximumRecords=0</t>
  </si>
  <si>
    <t>https://swisscovery.slsp.ch/view/sru/41SLSP_VGE?version=1.2&amp;operation=searchRetrieve&amp;recordSchema=marcxml&amp;query=alma.authority_id=297618784&amp;maximumRecords=0</t>
  </si>
  <si>
    <t>269402578</t>
  </si>
  <si>
    <t>https://swisscovery.slsp.ch/view/sru/41SLSP_NETWORK?version=1.2&amp;operation=searchRetrieve&amp;recordSchema=marcxml&amp;query=alma.authority_id=269402578&amp;maximumRecords=0</t>
  </si>
  <si>
    <t>https://swisscovery.slsp.ch/view/sru/41SLSP_VGE?version=1.2&amp;operation=searchRetrieve&amp;recordSchema=marcxml&amp;query=alma.authority_id=269402578&amp;maximumRecords=0</t>
  </si>
  <si>
    <t>249916258</t>
  </si>
  <si>
    <t>https://swisscovery.slsp.ch/view/sru/41SLSP_NETWORK?version=1.2&amp;operation=searchRetrieve&amp;recordSchema=marcxml&amp;query=alma.authority_id=249916258&amp;maximumRecords=0</t>
  </si>
  <si>
    <t>https://swisscovery.slsp.ch/view/sru/41SLSP_VGE?version=1.2&amp;operation=searchRetrieve&amp;recordSchema=marcxml&amp;query=alma.authority_id=249916258&amp;maximumRecords=0</t>
  </si>
  <si>
    <t>297796909</t>
  </si>
  <si>
    <t>https://swisscovery.slsp.ch/view/sru/41SLSP_NETWORK?version=1.2&amp;operation=searchRetrieve&amp;recordSchema=marcxml&amp;query=alma.authority_id=297796909&amp;maximumRecords=0</t>
  </si>
  <si>
    <t>https://swisscovery.slsp.ch/view/sru/41SLSP_VGE?version=1.2&amp;operation=searchRetrieve&amp;recordSchema=marcxml&amp;query=alma.authority_id=297796909&amp;maximumRecords=0</t>
  </si>
  <si>
    <t>297797247</t>
  </si>
  <si>
    <t>https://swisscovery.slsp.ch/view/sru/41SLSP_NETWORK?version=1.2&amp;operation=searchRetrieve&amp;recordSchema=marcxml&amp;query=alma.authority_id=297797247&amp;maximumRecords=0</t>
  </si>
  <si>
    <t>https://swisscovery.slsp.ch/view/sru/41SLSP_VGE?version=1.2&amp;operation=searchRetrieve&amp;recordSchema=marcxml&amp;query=alma.authority_id=297797247&amp;maximumRecords=0</t>
  </si>
  <si>
    <t>297844105</t>
  </si>
  <si>
    <t>https://swisscovery.slsp.ch/view/sru/41SLSP_NETWORK?version=1.2&amp;operation=searchRetrieve&amp;recordSchema=marcxml&amp;query=alma.authority_id=297844105&amp;maximumRecords=0</t>
  </si>
  <si>
    <t>https://swisscovery.slsp.ch/view/sru/41SLSP_VGE?version=1.2&amp;operation=searchRetrieve&amp;recordSchema=marcxml&amp;query=alma.authority_id=297844105&amp;maximumRecords=0</t>
  </si>
  <si>
    <t>15488877X</t>
  </si>
  <si>
    <t>https://swisscovery.slsp.ch/view/sru/41SLSP_NETWORK?version=1.2&amp;operation=searchRetrieve&amp;recordSchema=marcxml&amp;query=alma.authority_id=15488877X&amp;maximumRecords=0</t>
  </si>
  <si>
    <t>https://swisscovery.slsp.ch/view/sru/41SLSP_VGE?version=1.2&amp;operation=searchRetrieve&amp;recordSchema=marcxml&amp;query=alma.authority_id=15488877X&amp;maximumRecords=0</t>
  </si>
  <si>
    <t>297873652</t>
  </si>
  <si>
    <t>https://swisscovery.slsp.ch/view/sru/41SLSP_NETWORK?version=1.2&amp;operation=searchRetrieve&amp;recordSchema=marcxml&amp;query=alma.authority_id=297873652&amp;maximumRecords=0</t>
  </si>
  <si>
    <t>https://swisscovery.slsp.ch/view/sru/41SLSP_VGE?version=1.2&amp;operation=searchRetrieve&amp;recordSchema=marcxml&amp;query=alma.authority_id=297873652&amp;maximumRecords=0</t>
  </si>
  <si>
    <t>286008289</t>
  </si>
  <si>
    <t>https://swisscovery.slsp.ch/view/sru/41SLSP_NETWORK?version=1.2&amp;operation=searchRetrieve&amp;recordSchema=marcxml&amp;query=alma.authority_id=286008289&amp;maximumRecords=0</t>
  </si>
  <si>
    <t>https://swisscovery.slsp.ch/view/sru/41SLSP_VGE?version=1.2&amp;operation=searchRetrieve&amp;recordSchema=marcxml&amp;query=alma.authority_id=286008289&amp;maximumRecords=0</t>
  </si>
  <si>
    <t>297917048</t>
  </si>
  <si>
    <t>https://swisscovery.slsp.ch/view/sru/41SLSP_NETWORK?version=1.2&amp;operation=searchRetrieve&amp;recordSchema=marcxml&amp;query=alma.authority_id=297917048&amp;maximumRecords=0</t>
  </si>
  <si>
    <t>https://swisscovery.slsp.ch/view/sru/41SLSP_VGE?version=1.2&amp;operation=searchRetrieve&amp;recordSchema=marcxml&amp;query=alma.authority_id=297917048&amp;maximumRecords=0</t>
  </si>
  <si>
    <t>29788414X</t>
  </si>
  <si>
    <t>https://swisscovery.slsp.ch/view/sru/41SLSP_NETWORK?version=1.2&amp;operation=searchRetrieve&amp;recordSchema=marcxml&amp;query=alma.authority_id=29788414X&amp;maximumRecords=0</t>
  </si>
  <si>
    <t>https://swisscovery.slsp.ch/view/sru/41SLSP_VGE?version=1.2&amp;operation=searchRetrieve&amp;recordSchema=marcxml&amp;query=alma.authority_id=29788414X&amp;maximumRecords=0</t>
  </si>
  <si>
    <t>137171544</t>
  </si>
  <si>
    <t>https://swisscovery.slsp.ch/view/sru/41SLSP_NETWORK?version=1.2&amp;operation=searchRetrieve&amp;recordSchema=marcxml&amp;query=alma.authority_id=137171544&amp;maximumRecords=0</t>
  </si>
  <si>
    <t>https://swisscovery.slsp.ch/view/sru/41SLSP_VGE?version=1.2&amp;operation=searchRetrieve&amp;recordSchema=marcxml&amp;query=alma.authority_id=137171544&amp;maximumRecords=0</t>
  </si>
  <si>
    <t>172143527</t>
  </si>
  <si>
    <t>https://swisscovery.slsp.ch/view/sru/41SLSP_NETWORK?version=1.2&amp;operation=searchRetrieve&amp;recordSchema=marcxml&amp;query=alma.authority_id=172143527&amp;maximumRecords=0</t>
  </si>
  <si>
    <t>https://swisscovery.slsp.ch/view/sru/41SLSP_VGE?version=1.2&amp;operation=searchRetrieve&amp;recordSchema=marcxml&amp;query=alma.authority_id=172143527&amp;maximumRecords=0</t>
  </si>
  <si>
    <t>026819201</t>
  </si>
  <si>
    <t>https://swisscovery.slsp.ch/view/sru/41SLSP_NETWORK?version=1.2&amp;operation=searchRetrieve&amp;recordSchema=marcxml&amp;query=alma.authority_id=026819201&amp;maximumRecords=0</t>
  </si>
  <si>
    <t>https://swisscovery.slsp.ch/view/sru/41SLSP_VGE?version=1.2&amp;operation=searchRetrieve&amp;recordSchema=marcxml&amp;query=alma.authority_id=026819201&amp;maximumRecords=0</t>
  </si>
  <si>
    <t>027932745</t>
  </si>
  <si>
    <t>https://swisscovery.slsp.ch/view/sru/41SLSP_NETWORK?version=1.2&amp;operation=searchRetrieve&amp;recordSchema=marcxml&amp;query=alma.authority_id=027932745&amp;maximumRecords=0</t>
  </si>
  <si>
    <t>https://swisscovery.slsp.ch/view/sru/41SLSP_VGE?version=1.2&amp;operation=searchRetrieve&amp;recordSchema=marcxml&amp;query=alma.authority_id=027932745&amp;maximumRecords=0</t>
  </si>
  <si>
    <t>033764638</t>
  </si>
  <si>
    <t>https://swisscovery.slsp.ch/view/sru/41SLSP_NETWORK?version=1.2&amp;operation=searchRetrieve&amp;recordSchema=marcxml&amp;query=alma.authority_id=033764638&amp;maximumRecords=0</t>
  </si>
  <si>
    <t>https://swisscovery.slsp.ch/view/sru/41SLSP_VGE?version=1.2&amp;operation=searchRetrieve&amp;recordSchema=marcxml&amp;query=alma.authority_id=033764638&amp;maximumRecords=0</t>
  </si>
  <si>
    <t>033683565</t>
  </si>
  <si>
    <t>https://swisscovery.slsp.ch/view/sru/41SLSP_NETWORK?version=1.2&amp;operation=searchRetrieve&amp;recordSchema=marcxml&amp;query=alma.authority_id=033683565&amp;maximumRecords=0</t>
  </si>
  <si>
    <t>https://swisscovery.slsp.ch/view/sru/41SLSP_VGE?version=1.2&amp;operation=searchRetrieve&amp;recordSchema=marcxml&amp;query=alma.authority_id=033683565&amp;maximumRecords=0</t>
  </si>
  <si>
    <t>234345314</t>
  </si>
  <si>
    <t>https://swisscovery.slsp.ch/view/sru/41SLSP_NETWORK?version=1.2&amp;operation=searchRetrieve&amp;recordSchema=marcxml&amp;query=alma.authority_id=234345314&amp;maximumRecords=0</t>
  </si>
  <si>
    <t>https://swisscovery.slsp.ch/view/sru/41SLSP_VGE?version=1.2&amp;operation=searchRetrieve&amp;recordSchema=marcxml&amp;query=alma.authority_id=234345314&amp;maximumRecords=0</t>
  </si>
  <si>
    <t>075100061</t>
  </si>
  <si>
    <t>https://swisscovery.slsp.ch/view/sru/41SLSP_NETWORK?version=1.2&amp;operation=searchRetrieve&amp;recordSchema=marcxml&amp;query=alma.authority_id=075100061&amp;maximumRecords=0</t>
  </si>
  <si>
    <t>https://swisscovery.slsp.ch/view/sru/41SLSP_VGE?version=1.2&amp;operation=searchRetrieve&amp;recordSchema=marcxml&amp;query=alma.authority_id=075100061&amp;maximumRecords=0</t>
  </si>
  <si>
    <t>298008416</t>
  </si>
  <si>
    <t>https://swisscovery.slsp.ch/view/sru/41SLSP_NETWORK?version=1.2&amp;operation=searchRetrieve&amp;recordSchema=marcxml&amp;query=alma.authority_id=298008416&amp;maximumRecords=0</t>
  </si>
  <si>
    <t>https://swisscovery.slsp.ch/view/sru/41SLSP_VGE?version=1.2&amp;operation=searchRetrieve&amp;recordSchema=marcxml&amp;query=alma.authority_id=298008416&amp;maximumRecords=0</t>
  </si>
  <si>
    <t>241317118</t>
  </si>
  <si>
    <t>https://swisscovery.slsp.ch/view/sru/41SLSP_NETWORK?version=1.2&amp;operation=searchRetrieve&amp;recordSchema=marcxml&amp;query=alma.authority_id=241317118&amp;maximumRecords=0</t>
  </si>
  <si>
    <t>https://swisscovery.slsp.ch/view/sru/41SLSP_VGE?version=1.2&amp;operation=searchRetrieve&amp;recordSchema=marcxml&amp;query=alma.authority_id=241317118&amp;maximumRecords=0</t>
  </si>
  <si>
    <t>298060140</t>
  </si>
  <si>
    <t>https://swisscovery.slsp.ch/view/sru/41SLSP_NETWORK?version=1.2&amp;operation=searchRetrieve&amp;recordSchema=marcxml&amp;query=alma.authority_id=298060140&amp;maximumRecords=0</t>
  </si>
  <si>
    <t>https://swisscovery.slsp.ch/view/sru/41SLSP_VGE?version=1.2&amp;operation=searchRetrieve&amp;recordSchema=marcxml&amp;query=alma.authority_id=298060140&amp;maximumRecords=0</t>
  </si>
  <si>
    <t>031708889</t>
  </si>
  <si>
    <t>https://swisscovery.slsp.ch/view/sru/41SLSP_NETWORK?version=1.2&amp;operation=searchRetrieve&amp;recordSchema=marcxml&amp;query=alma.authority_id=031708889&amp;maximumRecords=0</t>
  </si>
  <si>
    <t>https://swisscovery.slsp.ch/view/sru/41SLSP_VGE?version=1.2&amp;operation=searchRetrieve&amp;recordSchema=marcxml&amp;query=alma.authority_id=031708889&amp;maximumRecords=0</t>
  </si>
  <si>
    <t>033408238</t>
  </si>
  <si>
    <t>https://swisscovery.slsp.ch/view/sru/41SLSP_NETWORK?version=1.2&amp;operation=searchRetrieve&amp;recordSchema=marcxml&amp;query=alma.authority_id=033408238&amp;maximumRecords=0</t>
  </si>
  <si>
    <t>https://swisscovery.slsp.ch/view/sru/41SLSP_VGE?version=1.2&amp;operation=searchRetrieve&amp;recordSchema=marcxml&amp;query=alma.authority_id=033408238&amp;maximumRecords=0</t>
  </si>
  <si>
    <t>034532641</t>
  </si>
  <si>
    <t>https://swisscovery.slsp.ch/view/sru/41SLSP_NETWORK?version=1.2&amp;operation=searchRetrieve&amp;recordSchema=marcxml&amp;query=alma.authority_id=034532641&amp;maximumRecords=0</t>
  </si>
  <si>
    <t>https://swisscovery.slsp.ch/view/sru/41SLSP_VGE?version=1.2&amp;operation=searchRetrieve&amp;recordSchema=marcxml&amp;query=alma.authority_id=034532641&amp;maximumRecords=0</t>
  </si>
  <si>
    <t>028319125</t>
  </si>
  <si>
    <t>https://swisscovery.slsp.ch/view/sru/41SLSP_NETWORK?version=1.2&amp;operation=searchRetrieve&amp;recordSchema=marcxml&amp;query=alma.authority_id=028319125&amp;maximumRecords=0</t>
  </si>
  <si>
    <t>https://swisscovery.slsp.ch/view/sru/41SLSP_VGE?version=1.2&amp;operation=searchRetrieve&amp;recordSchema=marcxml&amp;query=alma.authority_id=028319125&amp;maximumRecords=0</t>
  </si>
  <si>
    <t>026747987</t>
  </si>
  <si>
    <t>https://swisscovery.slsp.ch/view/sru/41SLSP_NETWORK?version=1.2&amp;operation=searchRetrieve&amp;recordSchema=marcxml&amp;query=alma.authority_id=026747987&amp;maximumRecords=0</t>
  </si>
  <si>
    <t>https://swisscovery.slsp.ch/view/sru/41SLSP_VGE?version=1.2&amp;operation=searchRetrieve&amp;recordSchema=marcxml&amp;query=alma.authority_id=026747987&amp;maximumRecords=0</t>
  </si>
  <si>
    <t>297608169</t>
  </si>
  <si>
    <t>https://swisscovery.slsp.ch/view/sru/41SLSP_NETWORK?version=1.2&amp;operation=searchRetrieve&amp;recordSchema=marcxml&amp;query=alma.authority_id=297608169&amp;maximumRecords=0</t>
  </si>
  <si>
    <t>https://swisscovery.slsp.ch/view/sru/41SLSP_VGE?version=1.2&amp;operation=searchRetrieve&amp;recordSchema=marcxml&amp;query=alma.authority_id=297608169&amp;maximumRecords=0</t>
  </si>
  <si>
    <t>034929150</t>
  </si>
  <si>
    <t>https://swisscovery.slsp.ch/view/sru/41SLSP_NETWORK?version=1.2&amp;operation=searchRetrieve&amp;recordSchema=marcxml&amp;query=alma.authority_id=034929150&amp;maximumRecords=0</t>
  </si>
  <si>
    <t>https://swisscovery.slsp.ch/view/sru/41SLSP_VGE?version=1.2&amp;operation=searchRetrieve&amp;recordSchema=marcxml&amp;query=alma.authority_id=034929150&amp;maximumRecords=0</t>
  </si>
  <si>
    <t>298078082</t>
  </si>
  <si>
    <t>https://swisscovery.slsp.ch/view/sru/41SLSP_NETWORK?version=1.2&amp;operation=searchRetrieve&amp;recordSchema=marcxml&amp;query=alma.authority_id=298078082&amp;maximumRecords=0</t>
  </si>
  <si>
    <t>https://swisscovery.slsp.ch/view/sru/41SLSP_VGE?version=1.2&amp;operation=searchRetrieve&amp;recordSchema=marcxml&amp;query=alma.authority_id=298078082&amp;maximumRecords=0</t>
  </si>
  <si>
    <t>298086719</t>
  </si>
  <si>
    <t>https://swisscovery.slsp.ch/view/sru/41SLSP_NETWORK?version=1.2&amp;operation=searchRetrieve&amp;recordSchema=marcxml&amp;query=alma.authority_id=298086719&amp;maximumRecords=0</t>
  </si>
  <si>
    <t>https://swisscovery.slsp.ch/view/sru/41SLSP_VGE?version=1.2&amp;operation=searchRetrieve&amp;recordSchema=marcxml&amp;query=alma.authority_id=298086719&amp;maximumRecords=0</t>
  </si>
  <si>
    <t>23540344X</t>
  </si>
  <si>
    <t>https://swisscovery.slsp.ch/view/sru/41SLSP_NETWORK?version=1.2&amp;operation=searchRetrieve&amp;recordSchema=marcxml&amp;query=alma.authority_id=23540344X&amp;maximumRecords=0</t>
  </si>
  <si>
    <t>https://swisscovery.slsp.ch/view/sru/41SLSP_VGE?version=1.2&amp;operation=searchRetrieve&amp;recordSchema=marcxml&amp;query=alma.authority_id=23540344X&amp;maximumRecords=0</t>
  </si>
  <si>
    <t>298087642</t>
  </si>
  <si>
    <t>https://swisscovery.slsp.ch/view/sru/41SLSP_NETWORK?version=1.2&amp;operation=searchRetrieve&amp;recordSchema=marcxml&amp;query=alma.authority_id=298087642&amp;maximumRecords=0</t>
  </si>
  <si>
    <t>https://swisscovery.slsp.ch/view/sru/41SLSP_VGE?version=1.2&amp;operation=searchRetrieve&amp;recordSchema=marcxml&amp;query=alma.authority_id=298087642&amp;maximumRecords=0</t>
  </si>
  <si>
    <t>088101797</t>
  </si>
  <si>
    <t>https://swisscovery.slsp.ch/view/sru/41SLSP_NETWORK?version=1.2&amp;operation=searchRetrieve&amp;recordSchema=marcxml&amp;query=alma.authority_id=088101797&amp;maximumRecords=0</t>
  </si>
  <si>
    <t>https://swisscovery.slsp.ch/view/sru/41SLSP_VGE?version=1.2&amp;operation=searchRetrieve&amp;recordSchema=marcxml&amp;query=alma.authority_id=088101797&amp;maximumRecords=0</t>
  </si>
  <si>
    <t>298091186</t>
  </si>
  <si>
    <t>https://swisscovery.slsp.ch/view/sru/41SLSP_NETWORK?version=1.2&amp;operation=searchRetrieve&amp;recordSchema=marcxml&amp;query=alma.authority_id=298091186&amp;maximumRecords=0</t>
  </si>
  <si>
    <t>https://swisscovery.slsp.ch/view/sru/41SLSP_VGE?version=1.2&amp;operation=searchRetrieve&amp;recordSchema=marcxml&amp;query=alma.authority_id=298091186&amp;maximumRecords=0</t>
  </si>
  <si>
    <t>298091224</t>
  </si>
  <si>
    <t>https://swisscovery.slsp.ch/view/sru/41SLSP_NETWORK?version=1.2&amp;operation=searchRetrieve&amp;recordSchema=marcxml&amp;query=alma.authority_id=298091224&amp;maximumRecords=0</t>
  </si>
  <si>
    <t>https://swisscovery.slsp.ch/view/sru/41SLSP_VGE?version=1.2&amp;operation=searchRetrieve&amp;recordSchema=marcxml&amp;query=alma.authority_id=298091224&amp;maximumRecords=0</t>
  </si>
  <si>
    <t>298112566</t>
  </si>
  <si>
    <t>https://swisscovery.slsp.ch/view/sru/41SLSP_NETWORK?version=1.2&amp;operation=searchRetrieve&amp;recordSchema=marcxml&amp;query=alma.authority_id=298112566&amp;maximumRecords=0</t>
  </si>
  <si>
    <t>https://swisscovery.slsp.ch/view/sru/41SLSP_VGE?version=1.2&amp;operation=searchRetrieve&amp;recordSchema=marcxml&amp;query=alma.authority_id=298112566&amp;maximumRecords=0</t>
  </si>
  <si>
    <t>298147491</t>
  </si>
  <si>
    <t>https://swisscovery.slsp.ch/view/sru/41SLSP_NETWORK?version=1.2&amp;operation=searchRetrieve&amp;recordSchema=marcxml&amp;query=alma.authority_id=298147491&amp;maximumRecords=0</t>
  </si>
  <si>
    <t>https://swisscovery.slsp.ch/view/sru/41SLSP_VGE?version=1.2&amp;operation=searchRetrieve&amp;recordSchema=marcxml&amp;query=alma.authority_id=298147491&amp;maximumRecords=0</t>
  </si>
  <si>
    <t>071504370</t>
  </si>
  <si>
    <t>https://swisscovery.slsp.ch/view/sru/41SLSP_NETWORK?version=1.2&amp;operation=searchRetrieve&amp;recordSchema=marcxml&amp;query=alma.authority_id=071504370&amp;maximumRecords=0</t>
  </si>
  <si>
    <t>https://swisscovery.slsp.ch/view/sru/41SLSP_VGE?version=1.2&amp;operation=searchRetrieve&amp;recordSchema=marcxml&amp;query=alma.authority_id=071504370&amp;maximumRecords=0</t>
  </si>
  <si>
    <t>298090260</t>
  </si>
  <si>
    <t>https://swisscovery.slsp.ch/view/sru/41SLSP_NETWORK?version=1.2&amp;operation=searchRetrieve&amp;recordSchema=marcxml&amp;query=alma.authority_id=298090260&amp;maximumRecords=0</t>
  </si>
  <si>
    <t>https://swisscovery.slsp.ch/view/sru/41SLSP_VGE?version=1.2&amp;operation=searchRetrieve&amp;recordSchema=marcxml&amp;query=alma.authority_id=298090260&amp;maximumRecords=0</t>
  </si>
  <si>
    <t>251486176</t>
  </si>
  <si>
    <t>https://swisscovery.slsp.ch/view/sru/41SLSP_NETWORK?version=1.2&amp;operation=searchRetrieve&amp;recordSchema=marcxml&amp;query=alma.authority_id=251486176&amp;maximumRecords=0</t>
  </si>
  <si>
    <t>https://swisscovery.slsp.ch/view/sru/41SLSP_VGE?version=1.2&amp;operation=searchRetrieve&amp;recordSchema=marcxml&amp;query=alma.authority_id=251486176&amp;maximumRecords=0</t>
  </si>
  <si>
    <t>182323536</t>
  </si>
  <si>
    <t>https://swisscovery.slsp.ch/view/sru/41SLSP_NETWORK?version=1.2&amp;operation=searchRetrieve&amp;recordSchema=marcxml&amp;query=alma.authority_id=182323536&amp;maximumRecords=0</t>
  </si>
  <si>
    <t>https://swisscovery.slsp.ch/view/sru/41SLSP_VGE?version=1.2&amp;operation=searchRetrieve&amp;recordSchema=marcxml&amp;query=alma.authority_id=182323536&amp;maximumRecords=0</t>
  </si>
  <si>
    <t>254813119</t>
  </si>
  <si>
    <t>https://swisscovery.slsp.ch/view/sru/41SLSP_NETWORK?version=1.2&amp;operation=searchRetrieve&amp;recordSchema=marcxml&amp;query=alma.authority_id=254813119&amp;maximumRecords=0</t>
  </si>
  <si>
    <t>https://swisscovery.slsp.ch/view/sru/41SLSP_VGE?version=1.2&amp;operation=searchRetrieve&amp;recordSchema=marcxml&amp;query=alma.authority_id=254813119&amp;maximumRecords=0</t>
  </si>
  <si>
    <t>298169444</t>
  </si>
  <si>
    <t>https://swisscovery.slsp.ch/view/sru/41SLSP_NETWORK?version=1.2&amp;operation=searchRetrieve&amp;recordSchema=marcxml&amp;query=alma.authority_id=298169444&amp;maximumRecords=0</t>
  </si>
  <si>
    <t>https://swisscovery.slsp.ch/view/sru/41SLSP_VGE?version=1.2&amp;operation=searchRetrieve&amp;recordSchema=marcxml&amp;query=alma.authority_id=298169444&amp;maximumRecords=0</t>
  </si>
  <si>
    <t>298169584</t>
  </si>
  <si>
    <t>https://swisscovery.slsp.ch/view/sru/41SLSP_NETWORK?version=1.2&amp;operation=searchRetrieve&amp;recordSchema=marcxml&amp;query=alma.authority_id=298169584&amp;maximumRecords=0</t>
  </si>
  <si>
    <t>https://swisscovery.slsp.ch/view/sru/41SLSP_VGE?version=1.2&amp;operation=searchRetrieve&amp;recordSchema=marcxml&amp;query=alma.authority_id=298169584&amp;maximumRecords=0</t>
  </si>
  <si>
    <t>298169630</t>
  </si>
  <si>
    <t>https://swisscovery.slsp.ch/view/sru/41SLSP_NETWORK?version=1.2&amp;operation=searchRetrieve&amp;recordSchema=marcxml&amp;query=alma.authority_id=298169630&amp;maximumRecords=0</t>
  </si>
  <si>
    <t>https://swisscovery.slsp.ch/view/sru/41SLSP_VGE?version=1.2&amp;operation=searchRetrieve&amp;recordSchema=marcxml&amp;query=alma.authority_id=298169630&amp;maximumRecords=0</t>
  </si>
  <si>
    <t>223314943</t>
  </si>
  <si>
    <t>https://swisscovery.slsp.ch/view/sru/41SLSP_NETWORK?version=1.2&amp;operation=searchRetrieve&amp;recordSchema=marcxml&amp;query=alma.authority_id=223314943&amp;maximumRecords=0</t>
  </si>
  <si>
    <t>https://swisscovery.slsp.ch/view/sru/41SLSP_VGE?version=1.2&amp;operation=searchRetrieve&amp;recordSchema=marcxml&amp;query=alma.authority_id=223314943&amp;maximumRecords=0</t>
  </si>
  <si>
    <t>298267497</t>
  </si>
  <si>
    <t>https://swisscovery.slsp.ch/view/sru/41SLSP_NETWORK?version=1.2&amp;operation=searchRetrieve&amp;recordSchema=marcxml&amp;query=alma.authority_id=298267497&amp;maximumRecords=0</t>
  </si>
  <si>
    <t>https://swisscovery.slsp.ch/view/sru/41SLSP_VGE?version=1.2&amp;operation=searchRetrieve&amp;recordSchema=marcxml&amp;query=alma.authority_id=298267497&amp;maximumRecords=0</t>
  </si>
  <si>
    <t>030384427</t>
  </si>
  <si>
    <t>https://swisscovery.slsp.ch/view/sru/41SLSP_NETWORK?version=1.2&amp;operation=searchRetrieve&amp;recordSchema=marcxml&amp;query=alma.authority_id=030384427&amp;maximumRecords=0</t>
  </si>
  <si>
    <t>https://swisscovery.slsp.ch/view/sru/41SLSP_VGE?version=1.2&amp;operation=searchRetrieve&amp;recordSchema=marcxml&amp;query=alma.authority_id=030384427&amp;maximumRecords=0</t>
  </si>
  <si>
    <t>195569490</t>
  </si>
  <si>
    <t>https://swisscovery.slsp.ch/view/sru/41SLSP_NETWORK?version=1.2&amp;operation=searchRetrieve&amp;recordSchema=marcxml&amp;query=alma.authority_id=195569490&amp;maximumRecords=0</t>
  </si>
  <si>
    <t>https://swisscovery.slsp.ch/view/sru/41SLSP_VGE?version=1.2&amp;operation=searchRetrieve&amp;recordSchema=marcxml&amp;query=alma.authority_id=195569490&amp;maximumRecords=0</t>
  </si>
  <si>
    <t>298286092</t>
  </si>
  <si>
    <t>https://swisscovery.slsp.ch/view/sru/41SLSP_NETWORK?version=1.2&amp;operation=searchRetrieve&amp;recordSchema=marcxml&amp;query=alma.authority_id=298286092&amp;maximumRecords=0</t>
  </si>
  <si>
    <t>https://swisscovery.slsp.ch/view/sru/41SLSP_VGE?version=1.2&amp;operation=searchRetrieve&amp;recordSchema=marcxml&amp;query=alma.authority_id=298286092&amp;maximumRecords=0</t>
  </si>
  <si>
    <t>078526027</t>
  </si>
  <si>
    <t>https://swisscovery.slsp.ch/view/sru/41SLSP_NETWORK?version=1.2&amp;operation=searchRetrieve&amp;recordSchema=marcxml&amp;query=alma.authority_id=078526027&amp;maximumRecords=0</t>
  </si>
  <si>
    <t>https://swisscovery.slsp.ch/view/sru/41SLSP_VGE?version=1.2&amp;operation=searchRetrieve&amp;recordSchema=marcxml&amp;query=alma.authority_id=078526027&amp;maximumRecords=0</t>
  </si>
  <si>
    <t>081256418</t>
  </si>
  <si>
    <t>https://swisscovery.slsp.ch/view/sru/41SLSP_NETWORK?version=1.2&amp;operation=searchRetrieve&amp;recordSchema=marcxml&amp;query=alma.authority_id=081256418&amp;maximumRecords=0</t>
  </si>
  <si>
    <t>https://swisscovery.slsp.ch/view/sru/41SLSP_VGE?version=1.2&amp;operation=searchRetrieve&amp;recordSchema=marcxml&amp;query=alma.authority_id=081256418&amp;maximumRecords=0</t>
  </si>
  <si>
    <t>129371920</t>
  </si>
  <si>
    <t>https://swisscovery.slsp.ch/view/sru/41SLSP_NETWORK?version=1.2&amp;operation=searchRetrieve&amp;recordSchema=marcxml&amp;query=alma.authority_id=129371920&amp;maximumRecords=0</t>
  </si>
  <si>
    <t>https://swisscovery.slsp.ch/view/sru/41SLSP_VGE?version=1.2&amp;operation=searchRetrieve&amp;recordSchema=marcxml&amp;query=alma.authority_id=129371920&amp;maximumRecords=0</t>
  </si>
  <si>
    <t>097589055</t>
  </si>
  <si>
    <t>https://swisscovery.slsp.ch/view/sru/41SLSP_NETWORK?version=1.2&amp;operation=searchRetrieve&amp;recordSchema=marcxml&amp;query=alma.authority_id=097589055&amp;maximumRecords=0</t>
  </si>
  <si>
    <t>https://swisscovery.slsp.ch/view/sru/41SLSP_VGE?version=1.2&amp;operation=searchRetrieve&amp;recordSchema=marcxml&amp;query=alma.authority_id=097589055&amp;maximumRecords=0</t>
  </si>
  <si>
    <t>056603940</t>
  </si>
  <si>
    <t>https://swisscovery.slsp.ch/view/sru/41SLSP_NETWORK?version=1.2&amp;operation=searchRetrieve&amp;recordSchema=marcxml&amp;query=alma.authority_id=056603940&amp;maximumRecords=0</t>
  </si>
  <si>
    <t>https://swisscovery.slsp.ch/view/sru/41SLSP_VGE?version=1.2&amp;operation=searchRetrieve&amp;recordSchema=marcxml&amp;query=alma.authority_id=056603940&amp;maximumRecords=0</t>
  </si>
  <si>
    <t>111263417</t>
  </si>
  <si>
    <t>https://swisscovery.slsp.ch/view/sru/41SLSP_NETWORK?version=1.2&amp;operation=searchRetrieve&amp;recordSchema=marcxml&amp;query=alma.authority_id=111263417&amp;maximumRecords=0</t>
  </si>
  <si>
    <t>https://swisscovery.slsp.ch/view/sru/41SLSP_VGE?version=1.2&amp;operation=searchRetrieve&amp;recordSchema=marcxml&amp;query=alma.authority_id=111263417&amp;maximumRecords=0</t>
  </si>
  <si>
    <t>080726267</t>
  </si>
  <si>
    <t>https://swisscovery.slsp.ch/view/sru/41SLSP_NETWORK?version=1.2&amp;operation=searchRetrieve&amp;recordSchema=marcxml&amp;query=alma.authority_id=080726267&amp;maximumRecords=0</t>
  </si>
  <si>
    <t>https://swisscovery.slsp.ch/view/sru/41SLSP_VGE?version=1.2&amp;operation=searchRetrieve&amp;recordSchema=marcxml&amp;query=alma.authority_id=080726267&amp;maximumRecords=0</t>
  </si>
  <si>
    <t>029690307</t>
  </si>
  <si>
    <t>https://swisscovery.slsp.ch/view/sru/41SLSP_NETWORK?version=1.2&amp;operation=searchRetrieve&amp;recordSchema=marcxml&amp;query=alma.authority_id=029690307&amp;maximumRecords=0</t>
  </si>
  <si>
    <t>https://swisscovery.slsp.ch/view/sru/41SLSP_VGE?version=1.2&amp;operation=searchRetrieve&amp;recordSchema=marcxml&amp;query=alma.authority_id=029690307&amp;maximumRecords=0</t>
  </si>
  <si>
    <t>032316313</t>
  </si>
  <si>
    <t>https://swisscovery.slsp.ch/view/sru/41SLSP_NETWORK?version=1.2&amp;operation=searchRetrieve&amp;recordSchema=marcxml&amp;query=alma.authority_id=032316313&amp;maximumRecords=0</t>
  </si>
  <si>
    <t>https://swisscovery.slsp.ch/view/sru/41SLSP_VGE?version=1.2&amp;operation=searchRetrieve&amp;recordSchema=marcxml&amp;query=alma.authority_id=032316313&amp;maximumRecords=0</t>
  </si>
  <si>
    <t>05253233X</t>
  </si>
  <si>
    <t>https://swisscovery.slsp.ch/view/sru/41SLSP_NETWORK?version=1.2&amp;operation=searchRetrieve&amp;recordSchema=marcxml&amp;query=alma.authority_id=05253233X&amp;maximumRecords=0</t>
  </si>
  <si>
    <t>https://swisscovery.slsp.ch/view/sru/41SLSP_VGE?version=1.2&amp;operation=searchRetrieve&amp;recordSchema=marcxml&amp;query=alma.authority_id=05253233X&amp;maximumRecords=0</t>
  </si>
  <si>
    <t>02896389X</t>
  </si>
  <si>
    <t>https://swisscovery.slsp.ch/view/sru/41SLSP_NETWORK?version=1.2&amp;operation=searchRetrieve&amp;recordSchema=marcxml&amp;query=alma.authority_id=02896389X&amp;maximumRecords=0</t>
  </si>
  <si>
    <t>https://swisscovery.slsp.ch/view/sru/41SLSP_VGE?version=1.2&amp;operation=searchRetrieve&amp;recordSchema=marcxml&amp;query=alma.authority_id=02896389X&amp;maximumRecords=0</t>
  </si>
  <si>
    <t>02704856X</t>
  </si>
  <si>
    <t>https://swisscovery.slsp.ch/view/sru/41SLSP_NETWORK?version=1.2&amp;operation=searchRetrieve&amp;recordSchema=marcxml&amp;query=alma.authority_id=02704856X&amp;maximumRecords=0</t>
  </si>
  <si>
    <t>https://swisscovery.slsp.ch/view/sru/41SLSP_VGE?version=1.2&amp;operation=searchRetrieve&amp;recordSchema=marcxml&amp;query=alma.authority_id=02704856X&amp;maximumRecords=0</t>
  </si>
  <si>
    <t>168783150</t>
  </si>
  <si>
    <t>https://swisscovery.slsp.ch/view/sru/41SLSP_NETWORK?version=1.2&amp;operation=searchRetrieve&amp;recordSchema=marcxml&amp;query=alma.authority_id=168783150&amp;maximumRecords=0</t>
  </si>
  <si>
    <t>https://swisscovery.slsp.ch/view/sru/41SLSP_VGE?version=1.2&amp;operation=searchRetrieve&amp;recordSchema=marcxml&amp;query=alma.authority_id=168783150&amp;maximumRecords=0</t>
  </si>
  <si>
    <t>24393937X</t>
  </si>
  <si>
    <t>https://swisscovery.slsp.ch/view/sru/41SLSP_NETWORK?version=1.2&amp;operation=searchRetrieve&amp;recordSchema=marcxml&amp;query=alma.authority_id=24393937X&amp;maximumRecords=0</t>
  </si>
  <si>
    <t>https://swisscovery.slsp.ch/view/sru/41SLSP_VGE?version=1.2&amp;operation=searchRetrieve&amp;recordSchema=marcxml&amp;query=alma.authority_id=24393937X&amp;maximumRecords=0</t>
  </si>
  <si>
    <t>256922446</t>
  </si>
  <si>
    <t>https://swisscovery.slsp.ch/view/sru/41SLSP_NETWORK?version=1.2&amp;operation=searchRetrieve&amp;recordSchema=marcxml&amp;query=alma.authority_id=256922446&amp;maximumRecords=0</t>
  </si>
  <si>
    <t>https://swisscovery.slsp.ch/view/sru/41SLSP_VGE?version=1.2&amp;operation=searchRetrieve&amp;recordSchema=marcxml&amp;query=alma.authority_id=256922446&amp;maximumRecords=0</t>
  </si>
  <si>
    <t>274866277</t>
  </si>
  <si>
    <t>https://swisscovery.slsp.ch/view/sru/41SLSP_NETWORK?version=1.2&amp;operation=searchRetrieve&amp;recordSchema=marcxml&amp;query=alma.authority_id=274866277&amp;maximumRecords=0</t>
  </si>
  <si>
    <t>https://swisscovery.slsp.ch/view/sru/41SLSP_VGE?version=1.2&amp;operation=searchRetrieve&amp;recordSchema=marcxml&amp;query=alma.authority_id=274866277&amp;maximumRecords=0</t>
  </si>
  <si>
    <t>081487061</t>
  </si>
  <si>
    <t>https://swisscovery.slsp.ch/view/sru/41SLSP_NETWORK?version=1.2&amp;operation=searchRetrieve&amp;recordSchema=marcxml&amp;query=alma.authority_id=081487061&amp;maximumRecords=0</t>
  </si>
  <si>
    <t>https://swisscovery.slsp.ch/view/sru/41SLSP_VGE?version=1.2&amp;operation=searchRetrieve&amp;recordSchema=marcxml&amp;query=alma.authority_id=081487061&amp;maximumRecords=0</t>
  </si>
  <si>
    <t>167581333</t>
  </si>
  <si>
    <t>https://swisscovery.slsp.ch/view/sru/41SLSP_NETWORK?version=1.2&amp;operation=searchRetrieve&amp;recordSchema=marcxml&amp;query=alma.authority_id=167581333&amp;maximumRecords=0</t>
  </si>
  <si>
    <t>https://swisscovery.slsp.ch/view/sru/41SLSP_VGE?version=1.2&amp;operation=searchRetrieve&amp;recordSchema=marcxml&amp;query=alma.authority_id=167581333&amp;maximumRecords=0</t>
  </si>
  <si>
    <t>116127295</t>
  </si>
  <si>
    <t>https://swisscovery.slsp.ch/view/sru/41SLSP_NETWORK?version=1.2&amp;operation=searchRetrieve&amp;recordSchema=marcxml&amp;query=alma.authority_id=116127295&amp;maximumRecords=0</t>
  </si>
  <si>
    <t>https://swisscovery.slsp.ch/view/sru/41SLSP_VGE?version=1.2&amp;operation=searchRetrieve&amp;recordSchema=marcxml&amp;query=alma.authority_id=116127295&amp;maximumRecords=0</t>
  </si>
  <si>
    <t>033150915</t>
  </si>
  <si>
    <t>https://swisscovery.slsp.ch/view/sru/41SLSP_NETWORK?version=1.2&amp;operation=searchRetrieve&amp;recordSchema=marcxml&amp;query=alma.authority_id=033150915&amp;maximumRecords=0</t>
  </si>
  <si>
    <t>https://swisscovery.slsp.ch/view/sru/41SLSP_VGE?version=1.2&amp;operation=searchRetrieve&amp;recordSchema=marcxml&amp;query=alma.authority_id=033150915&amp;maximumRecords=0</t>
  </si>
  <si>
    <t>114453160</t>
  </si>
  <si>
    <t>https://swisscovery.slsp.ch/view/sru/41SLSP_NETWORK?version=1.2&amp;operation=searchRetrieve&amp;recordSchema=marcxml&amp;query=alma.authority_id=114453160&amp;maximumRecords=0</t>
  </si>
  <si>
    <t>https://swisscovery.slsp.ch/view/sru/41SLSP_VGE?version=1.2&amp;operation=searchRetrieve&amp;recordSchema=marcxml&amp;query=alma.authority_id=114453160&amp;maximumRecords=0</t>
  </si>
  <si>
    <t>029326176</t>
  </si>
  <si>
    <t>https://swisscovery.slsp.ch/view/sru/41SLSP_NETWORK?version=1.2&amp;operation=searchRetrieve&amp;recordSchema=marcxml&amp;query=alma.authority_id=029326176&amp;maximumRecords=0</t>
  </si>
  <si>
    <t>https://swisscovery.slsp.ch/view/sru/41SLSP_VGE?version=1.2&amp;operation=searchRetrieve&amp;recordSchema=marcxml&amp;query=alma.authority_id=029326176&amp;maximumRecords=0</t>
  </si>
  <si>
    <t>140527109</t>
  </si>
  <si>
    <t>https://swisscovery.slsp.ch/view/sru/41SLSP_NETWORK?version=1.2&amp;operation=searchRetrieve&amp;recordSchema=marcxml&amp;query=alma.authority_id=140527109&amp;maximumRecords=0</t>
  </si>
  <si>
    <t>https://swisscovery.slsp.ch/view/sru/41SLSP_VGE?version=1.2&amp;operation=searchRetrieve&amp;recordSchema=marcxml&amp;query=alma.authority_id=140527109&amp;maximumRecords=0</t>
  </si>
  <si>
    <t>076077713</t>
  </si>
  <si>
    <t>https://swisscovery.slsp.ch/view/sru/41SLSP_NETWORK?version=1.2&amp;operation=searchRetrieve&amp;recordSchema=marcxml&amp;query=alma.authority_id=076077713&amp;maximumRecords=0</t>
  </si>
  <si>
    <t>https://swisscovery.slsp.ch/view/sru/41SLSP_VGE?version=1.2&amp;operation=searchRetrieve&amp;recordSchema=marcxml&amp;query=alma.authority_id=076077713&amp;maximumRecords=0</t>
  </si>
  <si>
    <t>089455282</t>
  </si>
  <si>
    <t>https://swisscovery.slsp.ch/view/sru/41SLSP_NETWORK?version=1.2&amp;operation=searchRetrieve&amp;recordSchema=marcxml&amp;query=alma.authority_id=089455282&amp;maximumRecords=0</t>
  </si>
  <si>
    <t>https://swisscovery.slsp.ch/view/sru/41SLSP_VGE?version=1.2&amp;operation=searchRetrieve&amp;recordSchema=marcxml&amp;query=alma.authority_id=089455282&amp;maximumRecords=0</t>
  </si>
  <si>
    <t>026765063</t>
  </si>
  <si>
    <t>https://swisscovery.slsp.ch/view/sru/41SLSP_NETWORK?version=1.2&amp;operation=searchRetrieve&amp;recordSchema=marcxml&amp;query=alma.authority_id=026765063&amp;maximumRecords=0</t>
  </si>
  <si>
    <t>https://swisscovery.slsp.ch/view/sru/41SLSP_VGE?version=1.2&amp;operation=searchRetrieve&amp;recordSchema=marcxml&amp;query=alma.authority_id=026765063&amp;maximumRecords=0</t>
  </si>
  <si>
    <t>028551192</t>
  </si>
  <si>
    <t>https://swisscovery.slsp.ch/view/sru/41SLSP_NETWORK?version=1.2&amp;operation=searchRetrieve&amp;recordSchema=marcxml&amp;query=alma.authority_id=028551192&amp;maximumRecords=0</t>
  </si>
  <si>
    <t>https://swisscovery.slsp.ch/view/sru/41SLSP_VGE?version=1.2&amp;operation=searchRetrieve&amp;recordSchema=marcxml&amp;query=alma.authority_id=028551192&amp;maximumRecords=0</t>
  </si>
  <si>
    <t>057801355</t>
  </si>
  <si>
    <t>https://swisscovery.slsp.ch/view/sru/41SLSP_NETWORK?version=1.2&amp;operation=searchRetrieve&amp;recordSchema=marcxml&amp;query=alma.authority_id=057801355&amp;maximumRecords=0</t>
  </si>
  <si>
    <t>https://swisscovery.slsp.ch/view/sru/41SLSP_VGE?version=1.2&amp;operation=searchRetrieve&amp;recordSchema=marcxml&amp;query=alma.authority_id=057801355&amp;maximumRecords=0</t>
  </si>
  <si>
    <t>050509721</t>
  </si>
  <si>
    <t>https://swisscovery.slsp.ch/view/sru/41SLSP_NETWORK?version=1.2&amp;operation=searchRetrieve&amp;recordSchema=marcxml&amp;query=alma.authority_id=050509721&amp;maximumRecords=0</t>
  </si>
  <si>
    <t>https://swisscovery.slsp.ch/view/sru/41SLSP_VGE?version=1.2&amp;operation=searchRetrieve&amp;recordSchema=marcxml&amp;query=alma.authority_id=050509721&amp;maximumRecords=0</t>
  </si>
  <si>
    <t>059346256</t>
  </si>
  <si>
    <t>https://swisscovery.slsp.ch/view/sru/41SLSP_NETWORK?version=1.2&amp;operation=searchRetrieve&amp;recordSchema=marcxml&amp;query=alma.authority_id=059346256&amp;maximumRecords=0</t>
  </si>
  <si>
    <t>https://swisscovery.slsp.ch/view/sru/41SLSP_VGE?version=1.2&amp;operation=searchRetrieve&amp;recordSchema=marcxml&amp;query=alma.authority_id=059346256&amp;maximumRecords=0</t>
  </si>
  <si>
    <t>197043399</t>
  </si>
  <si>
    <t>https://swisscovery.slsp.ch/view/sru/41SLSP_NETWORK?version=1.2&amp;operation=searchRetrieve&amp;recordSchema=marcxml&amp;query=alma.authority_id=197043399&amp;maximumRecords=0</t>
  </si>
  <si>
    <t>https://swisscovery.slsp.ch/view/sru/41SLSP_VGE?version=1.2&amp;operation=searchRetrieve&amp;recordSchema=marcxml&amp;query=alma.authority_id=197043399&amp;maximumRecords=0</t>
  </si>
  <si>
    <t>120294591</t>
  </si>
  <si>
    <t>https://swisscovery.slsp.ch/view/sru/41SLSP_NETWORK?version=1.2&amp;operation=searchRetrieve&amp;recordSchema=marcxml&amp;query=alma.authority_id=120294591&amp;maximumRecords=0</t>
  </si>
  <si>
    <t>https://swisscovery.slsp.ch/view/sru/41SLSP_VGE?version=1.2&amp;operation=searchRetrieve&amp;recordSchema=marcxml&amp;query=alma.authority_id=120294591&amp;maximumRecords=0</t>
  </si>
  <si>
    <t>274774755</t>
  </si>
  <si>
    <t>https://swisscovery.slsp.ch/view/sru/41SLSP_NETWORK?version=1.2&amp;operation=searchRetrieve&amp;recordSchema=marcxml&amp;query=alma.authority_id=274774755&amp;maximumRecords=0</t>
  </si>
  <si>
    <t>https://swisscovery.slsp.ch/view/sru/41SLSP_VGE?version=1.2&amp;operation=searchRetrieve&amp;recordSchema=marcxml&amp;query=alma.authority_id=274774755&amp;maximumRecords=0</t>
  </si>
  <si>
    <t>243861370</t>
  </si>
  <si>
    <t>https://swisscovery.slsp.ch/view/sru/41SLSP_NETWORK?version=1.2&amp;operation=searchRetrieve&amp;recordSchema=marcxml&amp;query=alma.authority_id=243861370&amp;maximumRecords=0</t>
  </si>
  <si>
    <t>https://swisscovery.slsp.ch/view/sru/41SLSP_VGE?version=1.2&amp;operation=searchRetrieve&amp;recordSchema=marcxml&amp;query=alma.authority_id=243861370&amp;maximumRecords=0</t>
  </si>
  <si>
    <t>077436830</t>
  </si>
  <si>
    <t>https://swisscovery.slsp.ch/view/sru/41SLSP_NETWORK?version=1.2&amp;operation=searchRetrieve&amp;recordSchema=marcxml&amp;query=alma.authority_id=077436830&amp;maximumRecords=0</t>
  </si>
  <si>
    <t>https://swisscovery.slsp.ch/view/sru/41SLSP_VGE?version=1.2&amp;operation=searchRetrieve&amp;recordSchema=marcxml&amp;query=alma.authority_id=077436830&amp;maximumRecords=0</t>
  </si>
  <si>
    <t>057292523</t>
  </si>
  <si>
    <t>https://swisscovery.slsp.ch/view/sru/41SLSP_NETWORK?version=1.2&amp;operation=searchRetrieve&amp;recordSchema=marcxml&amp;query=alma.authority_id=057292523&amp;maximumRecords=0</t>
  </si>
  <si>
    <t>https://swisscovery.slsp.ch/view/sru/41SLSP_VGE?version=1.2&amp;operation=searchRetrieve&amp;recordSchema=marcxml&amp;query=alma.authority_id=057292523&amp;maximumRecords=0</t>
  </si>
  <si>
    <t>114660522</t>
  </si>
  <si>
    <t>https://swisscovery.slsp.ch/view/sru/41SLSP_NETWORK?version=1.2&amp;operation=searchRetrieve&amp;recordSchema=marcxml&amp;query=alma.authority_id=114660522&amp;maximumRecords=0</t>
  </si>
  <si>
    <t>https://swisscovery.slsp.ch/view/sru/41SLSP_VGE?version=1.2&amp;operation=searchRetrieve&amp;recordSchema=marcxml&amp;query=alma.authority_id=114660522&amp;maximumRecords=0</t>
  </si>
  <si>
    <t>274898810</t>
  </si>
  <si>
    <t>https://swisscovery.slsp.ch/view/sru/41SLSP_NETWORK?version=1.2&amp;operation=searchRetrieve&amp;recordSchema=marcxml&amp;query=alma.authority_id=274898810&amp;maximumRecords=0</t>
  </si>
  <si>
    <t>https://swisscovery.slsp.ch/view/sru/41SLSP_VGE?version=1.2&amp;operation=searchRetrieve&amp;recordSchema=marcxml&amp;query=alma.authority_id=274898810&amp;maximumRecords=0</t>
  </si>
  <si>
    <t>118873601</t>
  </si>
  <si>
    <t>https://swisscovery.slsp.ch/view/sru/41SLSP_NETWORK?version=1.2&amp;operation=searchRetrieve&amp;recordSchema=marcxml&amp;query=alma.authority_id=118873601&amp;maximumRecords=0</t>
  </si>
  <si>
    <t>https://swisscovery.slsp.ch/view/sru/41SLSP_VGE?version=1.2&amp;operation=searchRetrieve&amp;recordSchema=marcxml&amp;query=alma.authority_id=118873601&amp;maximumRecords=0</t>
  </si>
  <si>
    <t>199190305</t>
  </si>
  <si>
    <t>https://swisscovery.slsp.ch/view/sru/41SLSP_NETWORK?version=1.2&amp;operation=searchRetrieve&amp;recordSchema=marcxml&amp;query=alma.authority_id=199190305&amp;maximumRecords=0</t>
  </si>
  <si>
    <t>https://swisscovery.slsp.ch/view/sru/41SLSP_VGE?version=1.2&amp;operation=searchRetrieve&amp;recordSchema=marcxml&amp;query=alma.authority_id=199190305&amp;maximumRecords=0</t>
  </si>
  <si>
    <t>204756251</t>
  </si>
  <si>
    <t>https://swisscovery.slsp.ch/view/sru/41SLSP_NETWORK?version=1.2&amp;operation=searchRetrieve&amp;recordSchema=marcxml&amp;query=alma.authority_id=204756251&amp;maximumRecords=0</t>
  </si>
  <si>
    <t>https://swisscovery.slsp.ch/view/sru/41SLSP_VGE?version=1.2&amp;operation=searchRetrieve&amp;recordSchema=marcxml&amp;query=alma.authority_id=204756251&amp;maximumRecords=0</t>
  </si>
  <si>
    <t>225880369</t>
  </si>
  <si>
    <t>https://swisscovery.slsp.ch/view/sru/41SLSP_NETWORK?version=1.2&amp;operation=searchRetrieve&amp;recordSchema=marcxml&amp;query=alma.authority_id=225880369&amp;maximumRecords=0</t>
  </si>
  <si>
    <t>https://swisscovery.slsp.ch/view/sru/41SLSP_VGE?version=1.2&amp;operation=searchRetrieve&amp;recordSchema=marcxml&amp;query=alma.authority_id=225880369&amp;maximumRecords=0</t>
  </si>
  <si>
    <t>171405897</t>
  </si>
  <si>
    <t>https://swisscovery.slsp.ch/view/sru/41SLSP_NETWORK?version=1.2&amp;operation=searchRetrieve&amp;recordSchema=marcxml&amp;query=alma.authority_id=171405897&amp;maximumRecords=0</t>
  </si>
  <si>
    <t>https://swisscovery.slsp.ch/view/sru/41SLSP_VGE?version=1.2&amp;operation=searchRetrieve&amp;recordSchema=marcxml&amp;query=alma.authority_id=171405897&amp;maximumRecords=0</t>
  </si>
  <si>
    <t>20371508X</t>
  </si>
  <si>
    <t>https://swisscovery.slsp.ch/view/sru/41SLSP_NETWORK?version=1.2&amp;operation=searchRetrieve&amp;recordSchema=marcxml&amp;query=alma.authority_id=20371508X&amp;maximumRecords=0</t>
  </si>
  <si>
    <t>https://swisscovery.slsp.ch/view/sru/41SLSP_VGE?version=1.2&amp;operation=searchRetrieve&amp;recordSchema=marcxml&amp;query=alma.authority_id=20371508X&amp;maximumRecords=0</t>
  </si>
  <si>
    <t>05940714X</t>
  </si>
  <si>
    <t>https://swisscovery.slsp.ch/view/sru/41SLSP_NETWORK?version=1.2&amp;operation=searchRetrieve&amp;recordSchema=marcxml&amp;query=alma.authority_id=05940714X&amp;maximumRecords=0</t>
  </si>
  <si>
    <t>https://swisscovery.slsp.ch/view/sru/41SLSP_VGE?version=1.2&amp;operation=searchRetrieve&amp;recordSchema=marcxml&amp;query=alma.authority_id=05940714X&amp;maximumRecords=0</t>
  </si>
  <si>
    <t>026789388</t>
  </si>
  <si>
    <t>https://swisscovery.slsp.ch/view/sru/41SLSP_NETWORK?version=1.2&amp;operation=searchRetrieve&amp;recordSchema=marcxml&amp;query=alma.authority_id=026789388&amp;maximumRecords=0</t>
  </si>
  <si>
    <t>https://swisscovery.slsp.ch/view/sru/41SLSP_VGE?version=1.2&amp;operation=searchRetrieve&amp;recordSchema=marcxml&amp;query=alma.authority_id=026789388&amp;maximumRecords=0</t>
  </si>
  <si>
    <t>055740057</t>
  </si>
  <si>
    <t>https://swisscovery.slsp.ch/view/sru/41SLSP_NETWORK?version=1.2&amp;operation=searchRetrieve&amp;recordSchema=marcxml&amp;query=alma.authority_id=055740057&amp;maximumRecords=0</t>
  </si>
  <si>
    <t>https://swisscovery.slsp.ch/view/sru/41SLSP_VGE?version=1.2&amp;operation=searchRetrieve&amp;recordSchema=marcxml&amp;query=alma.authority_id=055740057&amp;maximumRecords=0</t>
  </si>
  <si>
    <t>050540009</t>
  </si>
  <si>
    <t>https://swisscovery.slsp.ch/view/sru/41SLSP_NETWORK?version=1.2&amp;operation=searchRetrieve&amp;recordSchema=marcxml&amp;query=alma.authority_id=050540009&amp;maximumRecords=0</t>
  </si>
  <si>
    <t>https://swisscovery.slsp.ch/view/sru/41SLSP_VGE?version=1.2&amp;operation=searchRetrieve&amp;recordSchema=marcxml&amp;query=alma.authority_id=050540009&amp;maximumRecords=0</t>
  </si>
  <si>
    <t>059357525</t>
  </si>
  <si>
    <t>https://swisscovery.slsp.ch/view/sru/41SLSP_NETWORK?version=1.2&amp;operation=searchRetrieve&amp;recordSchema=marcxml&amp;query=alma.authority_id=059357525&amp;maximumRecords=0</t>
  </si>
  <si>
    <t>https://swisscovery.slsp.ch/view/sru/41SLSP_VGE?version=1.2&amp;operation=searchRetrieve&amp;recordSchema=marcxml&amp;query=alma.authority_id=059357525&amp;maximumRecords=0</t>
  </si>
  <si>
    <t>160228395</t>
  </si>
  <si>
    <t>https://swisscovery.slsp.ch/view/sru/41SLSP_NETWORK?version=1.2&amp;operation=searchRetrieve&amp;recordSchema=marcxml&amp;query=alma.authority_id=160228395&amp;maximumRecords=0</t>
  </si>
  <si>
    <t>https://swisscovery.slsp.ch/view/sru/41SLSP_VGE?version=1.2&amp;operation=searchRetrieve&amp;recordSchema=marcxml&amp;query=alma.authority_id=160228395&amp;maximumRecords=0</t>
  </si>
  <si>
    <t>101664575</t>
  </si>
  <si>
    <t>https://swisscovery.slsp.ch/view/sru/41SLSP_NETWORK?version=1.2&amp;operation=searchRetrieve&amp;recordSchema=marcxml&amp;query=alma.authority_id=101664575&amp;maximumRecords=0</t>
  </si>
  <si>
    <t>https://swisscovery.slsp.ch/view/sru/41SLSP_VGE?version=1.2&amp;operation=searchRetrieve&amp;recordSchema=marcxml&amp;query=alma.authority_id=101664575&amp;maximumRecords=0</t>
  </si>
  <si>
    <t>029688620</t>
  </si>
  <si>
    <t>https://swisscovery.slsp.ch/view/sru/41SLSP_NETWORK?version=1.2&amp;operation=searchRetrieve&amp;recordSchema=marcxml&amp;query=alma.authority_id=029688620&amp;maximumRecords=0</t>
  </si>
  <si>
    <t>https://swisscovery.slsp.ch/view/sru/41SLSP_VGE?version=1.2&amp;operation=searchRetrieve&amp;recordSchema=marcxml&amp;query=alma.authority_id=029688620&amp;maximumRecords=0</t>
  </si>
  <si>
    <t>263609391</t>
  </si>
  <si>
    <t>https://swisscovery.slsp.ch/view/sru/41SLSP_NETWORK?version=1.2&amp;operation=searchRetrieve&amp;recordSchema=marcxml&amp;query=alma.authority_id=263609391&amp;maximumRecords=0</t>
  </si>
  <si>
    <t>https://swisscovery.slsp.ch/view/sru/41SLSP_VGE?version=1.2&amp;operation=searchRetrieve&amp;recordSchema=marcxml&amp;query=alma.authority_id=263609391&amp;maximumRecords=0</t>
  </si>
  <si>
    <t>032398352</t>
  </si>
  <si>
    <t>https://swisscovery.slsp.ch/view/sru/41SLSP_NETWORK?version=1.2&amp;operation=searchRetrieve&amp;recordSchema=marcxml&amp;query=alma.authority_id=032398352&amp;maximumRecords=0</t>
  </si>
  <si>
    <t>https://swisscovery.slsp.ch/view/sru/41SLSP_VGE?version=1.2&amp;operation=searchRetrieve&amp;recordSchema=marcxml&amp;query=alma.authority_id=032398352&amp;maximumRecords=0</t>
  </si>
  <si>
    <t>136480284</t>
  </si>
  <si>
    <t>https://swisscovery.slsp.ch/view/sru/41SLSP_NETWORK?version=1.2&amp;operation=searchRetrieve&amp;recordSchema=marcxml&amp;query=alma.authority_id=136480284&amp;maximumRecords=0</t>
  </si>
  <si>
    <t>https://swisscovery.slsp.ch/view/sru/41SLSP_VGE?version=1.2&amp;operation=searchRetrieve&amp;recordSchema=marcxml&amp;query=alma.authority_id=136480284&amp;maximumRecords=0</t>
  </si>
  <si>
    <t>175198462</t>
  </si>
  <si>
    <t>https://swisscovery.slsp.ch/view/sru/41SLSP_NETWORK?version=1.2&amp;operation=searchRetrieve&amp;recordSchema=marcxml&amp;query=alma.authority_id=175198462&amp;maximumRecords=0</t>
  </si>
  <si>
    <t>https://swisscovery.slsp.ch/view/sru/41SLSP_VGE?version=1.2&amp;operation=searchRetrieve&amp;recordSchema=marcxml&amp;query=alma.authority_id=175198462&amp;maximumRecords=0</t>
  </si>
  <si>
    <t>244068240</t>
  </si>
  <si>
    <t>https://swisscovery.slsp.ch/view/sru/41SLSP_NETWORK?version=1.2&amp;operation=searchRetrieve&amp;recordSchema=marcxml&amp;query=alma.authority_id=244068240&amp;maximumRecords=0</t>
  </si>
  <si>
    <t>https://swisscovery.slsp.ch/view/sru/41SLSP_VGE?version=1.2&amp;operation=searchRetrieve&amp;recordSchema=marcxml&amp;query=alma.authority_id=244068240&amp;maximumRecords=0</t>
  </si>
  <si>
    <t>034407324</t>
  </si>
  <si>
    <t>https://swisscovery.slsp.ch/view/sru/41SLSP_NETWORK?version=1.2&amp;operation=searchRetrieve&amp;recordSchema=marcxml&amp;query=alma.authority_id=034407324&amp;maximumRecords=0</t>
  </si>
  <si>
    <t>https://swisscovery.slsp.ch/view/sru/41SLSP_VGE?version=1.2&amp;operation=searchRetrieve&amp;recordSchema=marcxml&amp;query=alma.authority_id=034407324&amp;maximumRecords=0</t>
  </si>
  <si>
    <t>289105595</t>
  </si>
  <si>
    <t>https://swisscovery.slsp.ch/view/sru/41SLSP_NETWORK?version=1.2&amp;operation=searchRetrieve&amp;recordSchema=marcxml&amp;query=alma.authority_id=289105595&amp;maximumRecords=0</t>
  </si>
  <si>
    <t>https://swisscovery.slsp.ch/view/sru/41SLSP_VGE?version=1.2&amp;operation=searchRetrieve&amp;recordSchema=marcxml&amp;query=alma.authority_id=289105595&amp;maximumRecords=0</t>
  </si>
  <si>
    <t>026937964</t>
  </si>
  <si>
    <t>https://swisscovery.slsp.ch/view/sru/41SLSP_NETWORK?version=1.2&amp;operation=searchRetrieve&amp;recordSchema=marcxml&amp;query=alma.authority_id=026937964&amp;maximumRecords=0</t>
  </si>
  <si>
    <t>https://swisscovery.slsp.ch/view/sru/41SLSP_VGE?version=1.2&amp;operation=searchRetrieve&amp;recordSchema=marcxml&amp;query=alma.authority_id=026937964&amp;maximumRecords=0</t>
  </si>
  <si>
    <t>029812682</t>
  </si>
  <si>
    <t>https://swisscovery.slsp.ch/view/sru/41SLSP_NETWORK?version=1.2&amp;operation=searchRetrieve&amp;recordSchema=marcxml&amp;query=alma.authority_id=029812682&amp;maximumRecords=0</t>
  </si>
  <si>
    <t>https://swisscovery.slsp.ch/view/sru/41SLSP_VGE?version=1.2&amp;operation=searchRetrieve&amp;recordSchema=marcxml&amp;query=alma.authority_id=029812682&amp;maximumRecords=0</t>
  </si>
  <si>
    <t>256919550</t>
  </si>
  <si>
    <t>https://swisscovery.slsp.ch/view/sru/41SLSP_NETWORK?version=1.2&amp;operation=searchRetrieve&amp;recordSchema=marcxml&amp;query=alma.authority_id=256919550&amp;maximumRecords=0</t>
  </si>
  <si>
    <t>https://swisscovery.slsp.ch/view/sru/41SLSP_VGE?version=1.2&amp;operation=searchRetrieve&amp;recordSchema=marcxml&amp;query=alma.authority_id=256919550&amp;maximumRecords=0</t>
  </si>
  <si>
    <t>203878868</t>
  </si>
  <si>
    <t>https://swisscovery.slsp.ch/view/sru/41SLSP_NETWORK?version=1.2&amp;operation=searchRetrieve&amp;recordSchema=marcxml&amp;query=alma.authority_id=203878868&amp;maximumRecords=0</t>
  </si>
  <si>
    <t>https://swisscovery.slsp.ch/view/sru/41SLSP_VGE?version=1.2&amp;operation=searchRetrieve&amp;recordSchema=marcxml&amp;query=alma.authority_id=203878868&amp;maximumRecords=0</t>
  </si>
  <si>
    <t>274850524</t>
  </si>
  <si>
    <t>https://swisscovery.slsp.ch/view/sru/41SLSP_NETWORK?version=1.2&amp;operation=searchRetrieve&amp;recordSchema=marcxml&amp;query=alma.authority_id=274850524&amp;maximumRecords=0</t>
  </si>
  <si>
    <t>https://swisscovery.slsp.ch/view/sru/41SLSP_VGE?version=1.2&amp;operation=searchRetrieve&amp;recordSchema=marcxml&amp;query=alma.authority_id=274850524&amp;maximumRecords=0</t>
  </si>
  <si>
    <t>266472885</t>
  </si>
  <si>
    <t>https://swisscovery.slsp.ch/view/sru/41SLSP_NETWORK?version=1.2&amp;operation=searchRetrieve&amp;recordSchema=marcxml&amp;query=alma.authority_id=266472885&amp;maximumRecords=0</t>
  </si>
  <si>
    <t>https://swisscovery.slsp.ch/view/sru/41SLSP_VGE?version=1.2&amp;operation=searchRetrieve&amp;recordSchema=marcxml&amp;query=alma.authority_id=266472885&amp;maximumRecords=0</t>
  </si>
  <si>
    <t>07165979X</t>
  </si>
  <si>
    <t>https://swisscovery.slsp.ch/view/sru/41SLSP_NETWORK?version=1.2&amp;operation=searchRetrieve&amp;recordSchema=marcxml&amp;query=alma.authority_id=07165979X&amp;maximumRecords=0</t>
  </si>
  <si>
    <t>https://swisscovery.slsp.ch/view/sru/41SLSP_VGE?version=1.2&amp;operation=searchRetrieve&amp;recordSchema=marcxml&amp;query=alma.authority_id=07165979X&amp;maximumRecords=0</t>
  </si>
  <si>
    <t>256922314</t>
  </si>
  <si>
    <t>https://swisscovery.slsp.ch/view/sru/41SLSP_NETWORK?version=1.2&amp;operation=searchRetrieve&amp;recordSchema=marcxml&amp;query=alma.authority_id=256922314&amp;maximumRecords=0</t>
  </si>
  <si>
    <t>https://swisscovery.slsp.ch/view/sru/41SLSP_VGE?version=1.2&amp;operation=searchRetrieve&amp;recordSchema=marcxml&amp;query=alma.authority_id=256922314&amp;maximumRecords=0</t>
  </si>
  <si>
    <t>274578867</t>
  </si>
  <si>
    <t>https://swisscovery.slsp.ch/view/sru/41SLSP_NETWORK?version=1.2&amp;operation=searchRetrieve&amp;recordSchema=marcxml&amp;query=alma.authority_id=274578867&amp;maximumRecords=0</t>
  </si>
  <si>
    <t>https://swisscovery.slsp.ch/view/sru/41SLSP_VGE?version=1.2&amp;operation=searchRetrieve&amp;recordSchema=marcxml&amp;query=alma.authority_id=274578867&amp;maximumRecords=0</t>
  </si>
  <si>
    <t>034162755</t>
  </si>
  <si>
    <t>https://swisscovery.slsp.ch/view/sru/41SLSP_NETWORK?version=1.2&amp;operation=searchRetrieve&amp;recordSchema=marcxml&amp;query=alma.authority_id=034162755&amp;maximumRecords=0</t>
  </si>
  <si>
    <t>https://swisscovery.slsp.ch/view/sru/41SLSP_VGE?version=1.2&amp;operation=searchRetrieve&amp;recordSchema=marcxml&amp;query=alma.authority_id=034162755&amp;maximumRecords=0</t>
  </si>
  <si>
    <t>260776076</t>
  </si>
  <si>
    <t>https://swisscovery.slsp.ch/view/sru/41SLSP_NETWORK?version=1.2&amp;operation=searchRetrieve&amp;recordSchema=marcxml&amp;query=alma.authority_id=260776076&amp;maximumRecords=0</t>
  </si>
  <si>
    <t>https://swisscovery.slsp.ch/view/sru/41SLSP_VGE?version=1.2&amp;operation=searchRetrieve&amp;recordSchema=marcxml&amp;query=alma.authority_id=260776076&amp;maximumRecords=0</t>
  </si>
  <si>
    <t>056966873</t>
  </si>
  <si>
    <t>https://swisscovery.slsp.ch/view/sru/41SLSP_NETWORK?version=1.2&amp;operation=searchRetrieve&amp;recordSchema=marcxml&amp;query=alma.authority_id=056966873&amp;maximumRecords=0</t>
  </si>
  <si>
    <t>https://swisscovery.slsp.ch/view/sru/41SLSP_VGE?version=1.2&amp;operation=searchRetrieve&amp;recordSchema=marcxml&amp;query=alma.authority_id=056966873&amp;maximumRecords=0</t>
  </si>
  <si>
    <t>057147140</t>
  </si>
  <si>
    <t>https://swisscovery.slsp.ch/view/sru/41SLSP_NETWORK?version=1.2&amp;operation=searchRetrieve&amp;recordSchema=marcxml&amp;query=alma.authority_id=057147140&amp;maximumRecords=0</t>
  </si>
  <si>
    <t>https://swisscovery.slsp.ch/view/sru/41SLSP_VGE?version=1.2&amp;operation=searchRetrieve&amp;recordSchema=marcxml&amp;query=alma.authority_id=057147140&amp;maximumRecords=0</t>
  </si>
  <si>
    <t>028485343</t>
  </si>
  <si>
    <t>https://swisscovery.slsp.ch/view/sru/41SLSP_NETWORK?version=1.2&amp;operation=searchRetrieve&amp;recordSchema=marcxml&amp;query=alma.authority_id=028485343&amp;maximumRecords=0</t>
  </si>
  <si>
    <t>https://swisscovery.slsp.ch/view/sru/41SLSP_VGE?version=1.2&amp;operation=searchRetrieve&amp;recordSchema=marcxml&amp;query=alma.authority_id=028485343&amp;maximumRecords=0</t>
  </si>
  <si>
    <t>085910945</t>
  </si>
  <si>
    <t>https://swisscovery.slsp.ch/view/sru/41SLSP_NETWORK?version=1.2&amp;operation=searchRetrieve&amp;recordSchema=marcxml&amp;query=alma.authority_id=085910945&amp;maximumRecords=0</t>
  </si>
  <si>
    <t>https://swisscovery.slsp.ch/view/sru/41SLSP_VGE?version=1.2&amp;operation=searchRetrieve&amp;recordSchema=marcxml&amp;query=alma.authority_id=085910945&amp;maximumRecords=0</t>
  </si>
  <si>
    <t>298087367</t>
  </si>
  <si>
    <t>https://swisscovery.slsp.ch/view/sru/41SLSP_NETWORK?version=1.2&amp;operation=searchRetrieve&amp;recordSchema=marcxml&amp;query=alma.authority_id=298087367&amp;maximumRecords=0</t>
  </si>
  <si>
    <t>https://swisscovery.slsp.ch/view/sru/41SLSP_VGE?version=1.2&amp;operation=searchRetrieve&amp;recordSchema=marcxml&amp;query=alma.authority_id=298087367&amp;maximumRecords=0</t>
  </si>
  <si>
    <t>034536523</t>
  </si>
  <si>
    <t>https://swisscovery.slsp.ch/view/sru/41SLSP_NETWORK?version=1.2&amp;operation=searchRetrieve&amp;recordSchema=marcxml&amp;query=alma.authority_id=034536523&amp;maximumRecords=0</t>
  </si>
  <si>
    <t>https://swisscovery.slsp.ch/view/sru/41SLSP_VGE?version=1.2&amp;operation=searchRetrieve&amp;recordSchema=marcxml&amp;query=alma.authority_id=034536523&amp;maximumRecords=0</t>
  </si>
  <si>
    <t>027948471</t>
  </si>
  <si>
    <t>https://swisscovery.slsp.ch/view/sru/41SLSP_NETWORK?version=1.2&amp;operation=searchRetrieve&amp;recordSchema=marcxml&amp;query=alma.authority_id=027948471&amp;maximumRecords=0</t>
  </si>
  <si>
    <t>https://swisscovery.slsp.ch/view/sru/41SLSP_VGE?version=1.2&amp;operation=searchRetrieve&amp;recordSchema=marcxml&amp;query=alma.authority_id=027948471&amp;maximumRecords=0</t>
  </si>
  <si>
    <t>261919156</t>
  </si>
  <si>
    <t>https://swisscovery.slsp.ch/view/sru/41SLSP_NETWORK?version=1.2&amp;operation=searchRetrieve&amp;recordSchema=marcxml&amp;query=alma.authority_id=261919156&amp;maximumRecords=0</t>
  </si>
  <si>
    <t>https://swisscovery.slsp.ch/view/sru/41SLSP_VGE?version=1.2&amp;operation=searchRetrieve&amp;recordSchema=marcxml&amp;query=alma.authority_id=261919156&amp;maximumRecords=0</t>
  </si>
  <si>
    <t>197105300</t>
  </si>
  <si>
    <t>https://swisscovery.slsp.ch/view/sru/41SLSP_NETWORK?version=1.2&amp;operation=searchRetrieve&amp;recordSchema=marcxml&amp;query=alma.authority_id=197105300&amp;maximumRecords=0</t>
  </si>
  <si>
    <t>https://swisscovery.slsp.ch/view/sru/41SLSP_VGE?version=1.2&amp;operation=searchRetrieve&amp;recordSchema=marcxml&amp;query=alma.authority_id=197105300&amp;maximumRecords=0</t>
  </si>
  <si>
    <t>260775827</t>
  </si>
  <si>
    <t>https://swisscovery.slsp.ch/view/sru/41SLSP_NETWORK?version=1.2&amp;operation=searchRetrieve&amp;recordSchema=marcxml&amp;query=alma.authority_id=260775827&amp;maximumRecords=0</t>
  </si>
  <si>
    <t>https://swisscovery.slsp.ch/view/sru/41SLSP_VGE?version=1.2&amp;operation=searchRetrieve&amp;recordSchema=marcxml&amp;query=alma.authority_id=260775827&amp;maximumRecords=0</t>
  </si>
  <si>
    <t>261915215</t>
  </si>
  <si>
    <t>https://swisscovery.slsp.ch/view/sru/41SLSP_NETWORK?version=1.2&amp;operation=searchRetrieve&amp;recordSchema=marcxml&amp;query=alma.authority_id=261915215&amp;maximumRecords=0</t>
  </si>
  <si>
    <t>https://swisscovery.slsp.ch/view/sru/41SLSP_VGE?version=1.2&amp;operation=searchRetrieve&amp;recordSchema=marcxml&amp;query=alma.authority_id=261915215&amp;maximumRecords=0</t>
  </si>
  <si>
    <t>260775037</t>
  </si>
  <si>
    <t>https://swisscovery.slsp.ch/view/sru/41SLSP_NETWORK?version=1.2&amp;operation=searchRetrieve&amp;recordSchema=marcxml&amp;query=alma.authority_id=260775037&amp;maximumRecords=0</t>
  </si>
  <si>
    <t>https://swisscovery.slsp.ch/view/sru/41SLSP_VGE?version=1.2&amp;operation=searchRetrieve&amp;recordSchema=marcxml&amp;query=alma.authority_id=260775037&amp;maximumRecords=0</t>
  </si>
  <si>
    <t>256383278</t>
  </si>
  <si>
    <t>https://swisscovery.slsp.ch/view/sru/41SLSP_NETWORK?version=1.2&amp;operation=searchRetrieve&amp;recordSchema=marcxml&amp;query=alma.authority_id=256383278&amp;maximumRecords=0</t>
  </si>
  <si>
    <t>https://swisscovery.slsp.ch/view/sru/41SLSP_VGE?version=1.2&amp;operation=searchRetrieve&amp;recordSchema=marcxml&amp;query=alma.authority_id=256383278&amp;maximumRecords=0</t>
  </si>
  <si>
    <t>026879522</t>
  </si>
  <si>
    <t>https://swisscovery.slsp.ch/view/sru/41SLSP_NETWORK?version=1.2&amp;operation=searchRetrieve&amp;recordSchema=marcxml&amp;query=alma.authority_id=026879522&amp;maximumRecords=0</t>
  </si>
  <si>
    <t>https://swisscovery.slsp.ch/view/sru/41SLSP_VGE?version=1.2&amp;operation=searchRetrieve&amp;recordSchema=marcxml&amp;query=alma.authority_id=026879522&amp;maximumRecords=0</t>
  </si>
  <si>
    <t>243537506</t>
  </si>
  <si>
    <t>https://swisscovery.slsp.ch/view/sru/41SLSP_NETWORK?version=1.2&amp;operation=searchRetrieve&amp;recordSchema=marcxml&amp;query=alma.authority_id=243537506&amp;maximumRecords=0</t>
  </si>
  <si>
    <t>https://swisscovery.slsp.ch/view/sru/41SLSP_VGE?version=1.2&amp;operation=searchRetrieve&amp;recordSchema=marcxml&amp;query=alma.authority_id=243537506&amp;maximumRecords=0</t>
  </si>
  <si>
    <t>034475966</t>
  </si>
  <si>
    <t>https://swisscovery.slsp.ch/view/sru/41SLSP_NETWORK?version=1.2&amp;operation=searchRetrieve&amp;recordSchema=marcxml&amp;query=alma.authority_id=034475966&amp;maximumRecords=0</t>
  </si>
  <si>
    <t>https://swisscovery.slsp.ch/view/sru/41SLSP_VGE?version=1.2&amp;operation=searchRetrieve&amp;recordSchema=marcxml&amp;query=alma.authority_id=034475966&amp;maximumRecords=0</t>
  </si>
  <si>
    <t>070347433</t>
  </si>
  <si>
    <t>https://swisscovery.slsp.ch/view/sru/41SLSP_NETWORK?version=1.2&amp;operation=searchRetrieve&amp;recordSchema=marcxml&amp;query=alma.authority_id=070347433&amp;maximumRecords=0</t>
  </si>
  <si>
    <t>https://swisscovery.slsp.ch/view/sru/41SLSP_VGE?version=1.2&amp;operation=searchRetrieve&amp;recordSchema=marcxml&amp;query=alma.authority_id=070347433&amp;maximumRecords=0</t>
  </si>
  <si>
    <t>084073446</t>
  </si>
  <si>
    <t>https://swisscovery.slsp.ch/view/sru/41SLSP_NETWORK?version=1.2&amp;operation=searchRetrieve&amp;recordSchema=marcxml&amp;query=alma.authority_id=084073446&amp;maximumRecords=0</t>
  </si>
  <si>
    <t>https://swisscovery.slsp.ch/view/sru/41SLSP_VGE?version=1.2&amp;operation=searchRetrieve&amp;recordSchema=marcxml&amp;query=alma.authority_id=084073446&amp;maximumRecords=0</t>
  </si>
  <si>
    <t>274653494</t>
  </si>
  <si>
    <t>https://swisscovery.slsp.ch/view/sru/41SLSP_NETWORK?version=1.2&amp;operation=searchRetrieve&amp;recordSchema=marcxml&amp;query=alma.authority_id=274653494&amp;maximumRecords=0</t>
  </si>
  <si>
    <t>https://swisscovery.slsp.ch/view/sru/41SLSP_VGE?version=1.2&amp;operation=searchRetrieve&amp;recordSchema=marcxml&amp;query=alma.authority_id=274653494&amp;maximumRecords=0</t>
  </si>
  <si>
    <t>032983034</t>
  </si>
  <si>
    <t>https://swisscovery.slsp.ch/view/sru/41SLSP_NETWORK?version=1.2&amp;operation=searchRetrieve&amp;recordSchema=marcxml&amp;query=alma.authority_id=032983034&amp;maximumRecords=0</t>
  </si>
  <si>
    <t>https://swisscovery.slsp.ch/view/sru/41SLSP_VGE?version=1.2&amp;operation=searchRetrieve&amp;recordSchema=marcxml&amp;query=alma.authority_id=032983034&amp;maximumRecords=0</t>
  </si>
  <si>
    <t>27465136X</t>
  </si>
  <si>
    <t>https://swisscovery.slsp.ch/view/sru/41SLSP_NETWORK?version=1.2&amp;operation=searchRetrieve&amp;recordSchema=marcxml&amp;query=alma.authority_id=27465136X&amp;maximumRecords=0</t>
  </si>
  <si>
    <t>https://swisscovery.slsp.ch/view/sru/41SLSP_VGE?version=1.2&amp;operation=searchRetrieve&amp;recordSchema=marcxml&amp;query=alma.authority_id=27465136X&amp;maximumRecords=0</t>
  </si>
  <si>
    <t>056902042</t>
  </si>
  <si>
    <t>https://swisscovery.slsp.ch/view/sru/41SLSP_NETWORK?version=1.2&amp;operation=searchRetrieve&amp;recordSchema=marcxml&amp;query=alma.authority_id=056902042&amp;maximumRecords=0</t>
  </si>
  <si>
    <t>https://swisscovery.slsp.ch/view/sru/41SLSP_VGE?version=1.2&amp;operation=searchRetrieve&amp;recordSchema=marcxml&amp;query=alma.authority_id=056902042&amp;maximumRecords=0</t>
  </si>
  <si>
    <t>03449460X</t>
  </si>
  <si>
    <t>https://swisscovery.slsp.ch/view/sru/41SLSP_NETWORK?version=1.2&amp;operation=searchRetrieve&amp;recordSchema=marcxml&amp;query=alma.authority_id=03449460X&amp;maximumRecords=0</t>
  </si>
  <si>
    <t>https://swisscovery.slsp.ch/view/sru/41SLSP_VGE?version=1.2&amp;operation=searchRetrieve&amp;recordSchema=marcxml&amp;query=alma.authority_id=03449460X&amp;maximumRecords=0</t>
  </si>
  <si>
    <t>087640902</t>
  </si>
  <si>
    <t>https://swisscovery.slsp.ch/view/sru/41SLSP_NETWORK?version=1.2&amp;operation=searchRetrieve&amp;recordSchema=marcxml&amp;query=alma.authority_id=087640902&amp;maximumRecords=0</t>
  </si>
  <si>
    <t>https://swisscovery.slsp.ch/view/sru/41SLSP_VGE?version=1.2&amp;operation=searchRetrieve&amp;recordSchema=marcxml&amp;query=alma.authority_id=087640902&amp;maximumRecords=0</t>
  </si>
  <si>
    <t>270857370</t>
  </si>
  <si>
    <t>https://swisscovery.slsp.ch/view/sru/41SLSP_NETWORK?version=1.2&amp;operation=searchRetrieve&amp;recordSchema=marcxml&amp;query=alma.authority_id=270857370&amp;maximumRecords=0</t>
  </si>
  <si>
    <t>https://swisscovery.slsp.ch/view/sru/41SLSP_VGE?version=1.2&amp;operation=searchRetrieve&amp;recordSchema=marcxml&amp;query=alma.authority_id=270857370&amp;maximumRecords=0</t>
  </si>
  <si>
    <t>274656493</t>
  </si>
  <si>
    <t>https://swisscovery.slsp.ch/view/sru/41SLSP_NETWORK?version=1.2&amp;operation=searchRetrieve&amp;recordSchema=marcxml&amp;query=alma.authority_id=274656493&amp;maximumRecords=0</t>
  </si>
  <si>
    <t>https://swisscovery.slsp.ch/view/sru/41SLSP_VGE?version=1.2&amp;operation=searchRetrieve&amp;recordSchema=marcxml&amp;query=alma.authority_id=274656493&amp;maximumRecords=0</t>
  </si>
  <si>
    <t>274902044</t>
  </si>
  <si>
    <t>https://swisscovery.slsp.ch/view/sru/41SLSP_NETWORK?version=1.2&amp;operation=searchRetrieve&amp;recordSchema=marcxml&amp;query=alma.authority_id=274902044&amp;maximumRecords=0</t>
  </si>
  <si>
    <t>https://swisscovery.slsp.ch/view/sru/41SLSP_VGE?version=1.2&amp;operation=searchRetrieve&amp;recordSchema=marcxml&amp;query=alma.authority_id=274902044&amp;maximumRecords=0</t>
  </si>
  <si>
    <t>271024410</t>
  </si>
  <si>
    <t>https://swisscovery.slsp.ch/view/sru/41SLSP_NETWORK?version=1.2&amp;operation=searchRetrieve&amp;recordSchema=marcxml&amp;query=alma.authority_id=271024410&amp;maximumRecords=0</t>
  </si>
  <si>
    <t>https://swisscovery.slsp.ch/view/sru/41SLSP_VGE?version=1.2&amp;operation=searchRetrieve&amp;recordSchema=marcxml&amp;query=alma.authority_id=271024410&amp;maximumRecords=0</t>
  </si>
  <si>
    <t>260774596</t>
  </si>
  <si>
    <t>https://swisscovery.slsp.ch/view/sru/41SLSP_NETWORK?version=1.2&amp;operation=searchRetrieve&amp;recordSchema=marcxml&amp;query=alma.authority_id=260774596&amp;maximumRecords=0</t>
  </si>
  <si>
    <t>https://swisscovery.slsp.ch/view/sru/41SLSP_VGE?version=1.2&amp;operation=searchRetrieve&amp;recordSchema=marcxml&amp;query=alma.authority_id=260774596&amp;maximumRecords=0</t>
  </si>
  <si>
    <t>261916521</t>
  </si>
  <si>
    <t>https://swisscovery.slsp.ch/view/sru/41SLSP_NETWORK?version=1.2&amp;operation=searchRetrieve&amp;recordSchema=marcxml&amp;query=alma.authority_id=261916521&amp;maximumRecords=0</t>
  </si>
  <si>
    <t>https://swisscovery.slsp.ch/view/sru/41SLSP_VGE?version=1.2&amp;operation=searchRetrieve&amp;recordSchema=marcxml&amp;query=alma.authority_id=261916521&amp;maximumRecords=0</t>
  </si>
  <si>
    <t>260769355</t>
  </si>
  <si>
    <t>https://swisscovery.slsp.ch/view/sru/41SLSP_NETWORK?version=1.2&amp;operation=searchRetrieve&amp;recordSchema=marcxml&amp;query=alma.authority_id=260769355&amp;maximumRecords=0</t>
  </si>
  <si>
    <t>https://swisscovery.slsp.ch/view/sru/41SLSP_VGE?version=1.2&amp;operation=searchRetrieve&amp;recordSchema=marcxml&amp;query=alma.authority_id=260769355&amp;maximumRecords=0</t>
  </si>
  <si>
    <t>26192012X</t>
  </si>
  <si>
    <t>https://swisscovery.slsp.ch/view/sru/41SLSP_NETWORK?version=1.2&amp;operation=searchRetrieve&amp;recordSchema=marcxml&amp;query=alma.authority_id=26192012X&amp;maximumRecords=0</t>
  </si>
  <si>
    <t>https://swisscovery.slsp.ch/view/sru/41SLSP_VGE?version=1.2&amp;operation=searchRetrieve&amp;recordSchema=marcxml&amp;query=alma.authority_id=26192012X&amp;maximumRecords=0</t>
  </si>
  <si>
    <t>261918680</t>
  </si>
  <si>
    <t>https://swisscovery.slsp.ch/view/sru/41SLSP_NETWORK?version=1.2&amp;operation=searchRetrieve&amp;recordSchema=marcxml&amp;query=alma.authority_id=261918680&amp;maximumRecords=0</t>
  </si>
  <si>
    <t>https://swisscovery.slsp.ch/view/sru/41SLSP_VGE?version=1.2&amp;operation=searchRetrieve&amp;recordSchema=marcxml&amp;query=alma.authority_id=261918680&amp;maximumRecords=0</t>
  </si>
  <si>
    <t>261916076</t>
  </si>
  <si>
    <t>https://swisscovery.slsp.ch/view/sru/41SLSP_NETWORK?version=1.2&amp;operation=searchRetrieve&amp;recordSchema=marcxml&amp;query=alma.authority_id=261916076&amp;maximumRecords=0</t>
  </si>
  <si>
    <t>https://swisscovery.slsp.ch/view/sru/41SLSP_VGE?version=1.2&amp;operation=searchRetrieve&amp;recordSchema=marcxml&amp;query=alma.authority_id=261916076&amp;maximumRecords=0</t>
  </si>
  <si>
    <t>260767964</t>
  </si>
  <si>
    <t>https://swisscovery.slsp.ch/view/sru/41SLSP_NETWORK?version=1.2&amp;operation=searchRetrieve&amp;recordSchema=marcxml&amp;query=alma.authority_id=260767964&amp;maximumRecords=0</t>
  </si>
  <si>
    <t>https://swisscovery.slsp.ch/view/sru/41SLSP_VGE?version=1.2&amp;operation=searchRetrieve&amp;recordSchema=marcxml&amp;query=alma.authority_id=260767964&amp;maximumRecords=0</t>
  </si>
  <si>
    <t>274783835</t>
  </si>
  <si>
    <t>https://swisscovery.slsp.ch/view/sru/41SLSP_NETWORK?version=1.2&amp;operation=searchRetrieve&amp;recordSchema=marcxml&amp;query=alma.authority_id=274783835&amp;maximumRecords=0</t>
  </si>
  <si>
    <t>https://swisscovery.slsp.ch/view/sru/41SLSP_VGE?version=1.2&amp;operation=searchRetrieve&amp;recordSchema=marcxml&amp;query=alma.authority_id=274783835&amp;maximumRecords=0</t>
  </si>
  <si>
    <t>080527523</t>
  </si>
  <si>
    <t>https://swisscovery.slsp.ch/view/sru/41SLSP_NETWORK?version=1.2&amp;operation=searchRetrieve&amp;recordSchema=marcxml&amp;query=alma.authority_id=080527523&amp;maximumRecords=0</t>
  </si>
  <si>
    <t>https://swisscovery.slsp.ch/view/sru/41SLSP_VGE?version=1.2&amp;operation=searchRetrieve&amp;recordSchema=marcxml&amp;query=alma.authority_id=080527523&amp;maximumRecords=0</t>
  </si>
  <si>
    <t>260774634</t>
  </si>
  <si>
    <t>https://swisscovery.slsp.ch/view/sru/41SLSP_NETWORK?version=1.2&amp;operation=searchRetrieve&amp;recordSchema=marcxml&amp;query=alma.authority_id=260774634&amp;maximumRecords=0</t>
  </si>
  <si>
    <t>https://swisscovery.slsp.ch/view/sru/41SLSP_VGE?version=1.2&amp;operation=searchRetrieve&amp;recordSchema=marcxml&amp;query=alma.authority_id=260774634&amp;maximumRecords=0</t>
  </si>
  <si>
    <t>260766577</t>
  </si>
  <si>
    <t>https://swisscovery.slsp.ch/view/sru/41SLSP_NETWORK?version=1.2&amp;operation=searchRetrieve&amp;recordSchema=marcxml&amp;query=alma.authority_id=260766577&amp;maximumRecords=0</t>
  </si>
  <si>
    <t>https://swisscovery.slsp.ch/view/sru/41SLSP_VGE?version=1.2&amp;operation=searchRetrieve&amp;recordSchema=marcxml&amp;query=alma.authority_id=260766577&amp;maximumRecords=0</t>
  </si>
  <si>
    <t>050138421</t>
  </si>
  <si>
    <t>https://swisscovery.slsp.ch/view/sru/41SLSP_NETWORK?version=1.2&amp;operation=searchRetrieve&amp;recordSchema=marcxml&amp;query=alma.authority_id=050138421&amp;maximumRecords=0</t>
  </si>
  <si>
    <t>https://swisscovery.slsp.ch/view/sru/41SLSP_VGE?version=1.2&amp;operation=searchRetrieve&amp;recordSchema=marcxml&amp;query=alma.authority_id=050138421&amp;maximumRecords=0</t>
  </si>
  <si>
    <t>260769592</t>
  </si>
  <si>
    <t>https://swisscovery.slsp.ch/view/sru/41SLSP_NETWORK?version=1.2&amp;operation=searchRetrieve&amp;recordSchema=marcxml&amp;query=alma.authority_id=260769592&amp;maximumRecords=0</t>
  </si>
  <si>
    <t>https://swisscovery.slsp.ch/view/sru/41SLSP_VGE?version=1.2&amp;operation=searchRetrieve&amp;recordSchema=marcxml&amp;query=alma.authority_id=260769592&amp;maximumRecords=0</t>
  </si>
  <si>
    <t>260769339</t>
  </si>
  <si>
    <t>https://swisscovery.slsp.ch/view/sru/41SLSP_NETWORK?version=1.2&amp;operation=searchRetrieve&amp;recordSchema=marcxml&amp;query=alma.authority_id=260769339&amp;maximumRecords=0</t>
  </si>
  <si>
    <t>https://swisscovery.slsp.ch/view/sru/41SLSP_VGE?version=1.2&amp;operation=searchRetrieve&amp;recordSchema=marcxml&amp;query=alma.authority_id=260769339&amp;maximumRecords=0</t>
  </si>
  <si>
    <t>261837680</t>
  </si>
  <si>
    <t>https://swisscovery.slsp.ch/view/sru/41SLSP_NETWORK?version=1.2&amp;operation=searchRetrieve&amp;recordSchema=marcxml&amp;query=alma.authority_id=261837680&amp;maximumRecords=0</t>
  </si>
  <si>
    <t>https://swisscovery.slsp.ch/view/sru/41SLSP_VGE?version=1.2&amp;operation=searchRetrieve&amp;recordSchema=marcxml&amp;query=alma.authority_id=261837680&amp;maximumRecords=0</t>
  </si>
  <si>
    <t>261833529</t>
  </si>
  <si>
    <t>https://swisscovery.slsp.ch/view/sru/41SLSP_NETWORK?version=1.2&amp;operation=searchRetrieve&amp;recordSchema=marcxml&amp;query=alma.authority_id=261833529&amp;maximumRecords=0</t>
  </si>
  <si>
    <t>https://swisscovery.slsp.ch/view/sru/41SLSP_VGE?version=1.2&amp;operation=searchRetrieve&amp;recordSchema=marcxml&amp;query=alma.authority_id=261833529&amp;maximumRecords=0</t>
  </si>
  <si>
    <t>270838252</t>
  </si>
  <si>
    <t>https://swisscovery.slsp.ch/view/sru/41SLSP_NETWORK?version=1.2&amp;operation=searchRetrieve&amp;recordSchema=marcxml&amp;query=alma.authority_id=270838252&amp;maximumRecords=0</t>
  </si>
  <si>
    <t>https://swisscovery.slsp.ch/view/sru/41SLSP_VGE?version=1.2&amp;operation=searchRetrieve&amp;recordSchema=marcxml&amp;query=alma.authority_id=270838252&amp;maximumRecords=0</t>
  </si>
  <si>
    <t>261834568</t>
  </si>
  <si>
    <t>https://swisscovery.slsp.ch/view/sru/41SLSP_NETWORK?version=1.2&amp;operation=searchRetrieve&amp;recordSchema=marcxml&amp;query=alma.authority_id=261834568&amp;maximumRecords=0</t>
  </si>
  <si>
    <t>https://swisscovery.slsp.ch/view/sru/41SLSP_VGE?version=1.2&amp;operation=searchRetrieve&amp;recordSchema=marcxml&amp;query=alma.authority_id=261834568&amp;maximumRecords=0</t>
  </si>
  <si>
    <t>244136238</t>
  </si>
  <si>
    <t>https://swisscovery.slsp.ch/view/sru/41SLSP_NETWORK?version=1.2&amp;operation=searchRetrieve&amp;recordSchema=marcxml&amp;query=alma.authority_id=244136238&amp;maximumRecords=0</t>
  </si>
  <si>
    <t>https://swisscovery.slsp.ch/view/sru/41SLSP_VGE?version=1.2&amp;operation=searchRetrieve&amp;recordSchema=marcxml&amp;query=alma.authority_id=244136238&amp;maximumRecords=0</t>
  </si>
  <si>
    <t>057380775</t>
  </si>
  <si>
    <t>https://swisscovery.slsp.ch/view/sru/41SLSP_NETWORK?version=1.2&amp;operation=searchRetrieve&amp;recordSchema=marcxml&amp;query=alma.authority_id=057380775&amp;maximumRecords=0</t>
  </si>
  <si>
    <t>https://swisscovery.slsp.ch/view/sru/41SLSP_VGE?version=1.2&amp;operation=searchRetrieve&amp;recordSchema=marcxml&amp;query=alma.authority_id=057380775&amp;maximumRecords=0</t>
  </si>
  <si>
    <t>261833413</t>
  </si>
  <si>
    <t>https://swisscovery.slsp.ch/view/sru/41SLSP_NETWORK?version=1.2&amp;operation=searchRetrieve&amp;recordSchema=marcxml&amp;query=alma.authority_id=261833413&amp;maximumRecords=0</t>
  </si>
  <si>
    <t>https://swisscovery.slsp.ch/view/sru/41SLSP_VGE?version=1.2&amp;operation=searchRetrieve&amp;recordSchema=marcxml&amp;query=alma.authority_id=261833413&amp;maximumRecords=0</t>
  </si>
  <si>
    <t>260766100</t>
  </si>
  <si>
    <t>https://swisscovery.slsp.ch/view/sru/41SLSP_NETWORK?version=1.2&amp;operation=searchRetrieve&amp;recordSchema=marcxml&amp;query=alma.authority_id=260766100&amp;maximumRecords=0</t>
  </si>
  <si>
    <t>https://swisscovery.slsp.ch/view/sru/41SLSP_VGE?version=1.2&amp;operation=searchRetrieve&amp;recordSchema=marcxml&amp;query=alma.authority_id=260766100&amp;maximumRecords=0</t>
  </si>
  <si>
    <t>274756978</t>
  </si>
  <si>
    <t>https://swisscovery.slsp.ch/view/sru/41SLSP_NETWORK?version=1.2&amp;operation=searchRetrieve&amp;recordSchema=marcxml&amp;query=alma.authority_id=274756978&amp;maximumRecords=0</t>
  </si>
  <si>
    <t>https://swisscovery.slsp.ch/view/sru/41SLSP_VGE?version=1.2&amp;operation=searchRetrieve&amp;recordSchema=marcxml&amp;query=alma.authority_id=274756978&amp;maximumRecords=0</t>
  </si>
  <si>
    <t>260774278</t>
  </si>
  <si>
    <t>https://swisscovery.slsp.ch/view/sru/41SLSP_NETWORK?version=1.2&amp;operation=searchRetrieve&amp;recordSchema=marcxml&amp;query=alma.authority_id=260774278&amp;maximumRecords=0</t>
  </si>
  <si>
    <t>https://swisscovery.slsp.ch/view/sru/41SLSP_VGE?version=1.2&amp;operation=searchRetrieve&amp;recordSchema=marcxml&amp;query=alma.authority_id=260774278&amp;maximumRecords=0</t>
  </si>
  <si>
    <t>256918872</t>
  </si>
  <si>
    <t>https://swisscovery.slsp.ch/view/sru/41SLSP_NETWORK?version=1.2&amp;operation=searchRetrieve&amp;recordSchema=marcxml&amp;query=alma.authority_id=256918872&amp;maximumRecords=0</t>
  </si>
  <si>
    <t>https://swisscovery.slsp.ch/view/sru/41SLSP_VGE?version=1.2&amp;operation=searchRetrieve&amp;recordSchema=marcxml&amp;query=alma.authority_id=256918872&amp;maximumRecords=0</t>
  </si>
  <si>
    <t>271879254</t>
  </si>
  <si>
    <t>https://swisscovery.slsp.ch/view/sru/41SLSP_NETWORK?version=1.2&amp;operation=searchRetrieve&amp;recordSchema=marcxml&amp;query=alma.authority_id=271879254&amp;maximumRecords=0</t>
  </si>
  <si>
    <t>https://swisscovery.slsp.ch/view/sru/41SLSP_VGE?version=1.2&amp;operation=searchRetrieve&amp;recordSchema=marcxml&amp;query=alma.authority_id=271879254&amp;maximumRecords=0</t>
  </si>
  <si>
    <t>066996090</t>
  </si>
  <si>
    <t>https://swisscovery.slsp.ch/view/sru/41SLSP_NETWORK?version=1.2&amp;operation=searchRetrieve&amp;recordSchema=marcxml&amp;query=alma.authority_id=066996090&amp;maximumRecords=0</t>
  </si>
  <si>
    <t>https://swisscovery.slsp.ch/view/sru/41SLSP_VGE?version=1.2&amp;operation=searchRetrieve&amp;recordSchema=marcxml&amp;query=alma.authority_id=066996090&amp;maximumRecords=0</t>
  </si>
  <si>
    <t>256677492</t>
  </si>
  <si>
    <t>https://swisscovery.slsp.ch/view/sru/41SLSP_NETWORK?version=1.2&amp;operation=searchRetrieve&amp;recordSchema=marcxml&amp;query=alma.authority_id=256677492&amp;maximumRecords=0</t>
  </si>
  <si>
    <t>https://swisscovery.slsp.ch/view/sru/41SLSP_VGE?version=1.2&amp;operation=searchRetrieve&amp;recordSchema=marcxml&amp;query=alma.authority_id=256677492&amp;maximumRecords=0</t>
  </si>
  <si>
    <t>256915512</t>
  </si>
  <si>
    <t>https://swisscovery.slsp.ch/view/sru/41SLSP_NETWORK?version=1.2&amp;operation=searchRetrieve&amp;recordSchema=marcxml&amp;query=alma.authority_id=256915512&amp;maximumRecords=0</t>
  </si>
  <si>
    <t>https://swisscovery.slsp.ch/view/sru/41SLSP_VGE?version=1.2&amp;operation=searchRetrieve&amp;recordSchema=marcxml&amp;query=alma.authority_id=256915512&amp;maximumRecords=0</t>
  </si>
  <si>
    <t>261919695</t>
  </si>
  <si>
    <t>https://swisscovery.slsp.ch/view/sru/41SLSP_NETWORK?version=1.2&amp;operation=searchRetrieve&amp;recordSchema=marcxml&amp;query=alma.authority_id=261919695&amp;maximumRecords=0</t>
  </si>
  <si>
    <t>https://swisscovery.slsp.ch/view/sru/41SLSP_VGE?version=1.2&amp;operation=searchRetrieve&amp;recordSchema=marcxml&amp;query=alma.authority_id=261919695&amp;maximumRecords=0</t>
  </si>
  <si>
    <t>243941846</t>
  </si>
  <si>
    <t>https://swisscovery.slsp.ch/view/sru/41SLSP_NETWORK?version=1.2&amp;operation=searchRetrieve&amp;recordSchema=marcxml&amp;query=alma.authority_id=243941846&amp;maximumRecords=0</t>
  </si>
  <si>
    <t>https://swisscovery.slsp.ch/view/sru/41SLSP_VGE?version=1.2&amp;operation=searchRetrieve&amp;recordSchema=marcxml&amp;query=alma.authority_id=243941846&amp;maximumRecords=0</t>
  </si>
  <si>
    <t>034899847</t>
  </si>
  <si>
    <t>https://swisscovery.slsp.ch/view/sru/41SLSP_NETWORK?version=1.2&amp;operation=searchRetrieve&amp;recordSchema=marcxml&amp;query=alma.authority_id=034899847&amp;maximumRecords=0</t>
  </si>
  <si>
    <t>https://swisscovery.slsp.ch/view/sru/41SLSP_VGE?version=1.2&amp;operation=searchRetrieve&amp;recordSchema=marcxml&amp;query=alma.authority_id=034899847&amp;maximumRecords=0</t>
  </si>
  <si>
    <t>270844848</t>
  </si>
  <si>
    <t>https://swisscovery.slsp.ch/view/sru/41SLSP_NETWORK?version=1.2&amp;operation=searchRetrieve&amp;recordSchema=marcxml&amp;query=alma.authority_id=270844848&amp;maximumRecords=0</t>
  </si>
  <si>
    <t>https://swisscovery.slsp.ch/view/sru/41SLSP_VGE?version=1.2&amp;operation=searchRetrieve&amp;recordSchema=marcxml&amp;query=alma.authority_id=270844848&amp;maximumRecords=0</t>
  </si>
  <si>
    <t>274263521</t>
  </si>
  <si>
    <t>https://swisscovery.slsp.ch/view/sru/41SLSP_NETWORK?version=1.2&amp;operation=searchRetrieve&amp;recordSchema=marcxml&amp;query=alma.authority_id=274263521&amp;maximumRecords=0</t>
  </si>
  <si>
    <t>https://swisscovery.slsp.ch/view/sru/41SLSP_VGE?version=1.2&amp;operation=searchRetrieve&amp;recordSchema=marcxml&amp;query=alma.authority_id=274263521&amp;maximumRecords=0</t>
  </si>
  <si>
    <t>113672527</t>
  </si>
  <si>
    <t>https://swisscovery.slsp.ch/view/sru/41SLSP_NETWORK?version=1.2&amp;operation=searchRetrieve&amp;recordSchema=marcxml&amp;query=alma.authority_id=113672527&amp;maximumRecords=0</t>
  </si>
  <si>
    <t>https://swisscovery.slsp.ch/view/sru/41SLSP_VGE?version=1.2&amp;operation=searchRetrieve&amp;recordSchema=marcxml&amp;query=alma.authority_id=113672527&amp;maximumRecords=0</t>
  </si>
  <si>
    <t>260774618</t>
  </si>
  <si>
    <t>https://swisscovery.slsp.ch/view/sru/41SLSP_NETWORK?version=1.2&amp;operation=searchRetrieve&amp;recordSchema=marcxml&amp;query=alma.authority_id=260774618&amp;maximumRecords=0</t>
  </si>
  <si>
    <t>https://swisscovery.slsp.ch/view/sru/41SLSP_VGE?version=1.2&amp;operation=searchRetrieve&amp;recordSchema=marcxml&amp;query=alma.authority_id=260774618&amp;maximumRecords=0</t>
  </si>
  <si>
    <t>258600470</t>
  </si>
  <si>
    <t>https://swisscovery.slsp.ch/view/sru/41SLSP_NETWORK?version=1.2&amp;operation=searchRetrieve&amp;recordSchema=marcxml&amp;query=alma.authority_id=258600470&amp;maximumRecords=0</t>
  </si>
  <si>
    <t>https://swisscovery.slsp.ch/view/sru/41SLSP_VGE?version=1.2&amp;operation=searchRetrieve&amp;recordSchema=marcxml&amp;query=alma.authority_id=258600470&amp;maximumRecords=0</t>
  </si>
  <si>
    <t>260769363</t>
  </si>
  <si>
    <t>https://swisscovery.slsp.ch/view/sru/41SLSP_NETWORK?version=1.2&amp;operation=searchRetrieve&amp;recordSchema=marcxml&amp;query=alma.authority_id=260769363&amp;maximumRecords=0</t>
  </si>
  <si>
    <t>https://swisscovery.slsp.ch/view/sru/41SLSP_VGE?version=1.2&amp;operation=searchRetrieve&amp;recordSchema=marcxml&amp;query=alma.authority_id=260769363&amp;maximumRecords=0</t>
  </si>
  <si>
    <t>260769274</t>
  </si>
  <si>
    <t>https://swisscovery.slsp.ch/view/sru/41SLSP_NETWORK?version=1.2&amp;operation=searchRetrieve&amp;recordSchema=marcxml&amp;query=alma.authority_id=260769274&amp;maximumRecords=0</t>
  </si>
  <si>
    <t>https://swisscovery.slsp.ch/view/sru/41SLSP_VGE?version=1.2&amp;operation=searchRetrieve&amp;recordSchema=marcxml&amp;query=alma.authority_id=260769274&amp;maximumRecords=0</t>
  </si>
  <si>
    <t>260769312</t>
  </si>
  <si>
    <t>https://swisscovery.slsp.ch/view/sru/41SLSP_NETWORK?version=1.2&amp;operation=searchRetrieve&amp;recordSchema=marcxml&amp;query=alma.authority_id=260769312&amp;maximumRecords=0</t>
  </si>
  <si>
    <t>https://swisscovery.slsp.ch/view/sru/41SLSP_VGE?version=1.2&amp;operation=searchRetrieve&amp;recordSchema=marcxml&amp;query=alma.authority_id=260769312&amp;maximumRecords=0</t>
  </si>
  <si>
    <t>260769290</t>
  </si>
  <si>
    <t>https://swisscovery.slsp.ch/view/sru/41SLSP_NETWORK?version=1.2&amp;operation=searchRetrieve&amp;recordSchema=marcxml&amp;query=alma.authority_id=260769290&amp;maximumRecords=0</t>
  </si>
  <si>
    <t>https://swisscovery.slsp.ch/view/sru/41SLSP_VGE?version=1.2&amp;operation=searchRetrieve&amp;recordSchema=marcxml&amp;query=alma.authority_id=260769290&amp;maximumRecords=0</t>
  </si>
  <si>
    <t>057732256</t>
  </si>
  <si>
    <t>https://swisscovery.slsp.ch/view/sru/41SLSP_NETWORK?version=1.2&amp;operation=searchRetrieve&amp;recordSchema=marcxml&amp;query=alma.authority_id=057732256&amp;maximumRecords=0</t>
  </si>
  <si>
    <t>https://swisscovery.slsp.ch/view/sru/41SLSP_VGE?version=1.2&amp;operation=searchRetrieve&amp;recordSchema=marcxml&amp;query=alma.authority_id=057732256&amp;maximumRecords=0</t>
  </si>
  <si>
    <t>274650096</t>
  </si>
  <si>
    <t>https://swisscovery.slsp.ch/view/sru/41SLSP_NETWORK?version=1.2&amp;operation=searchRetrieve&amp;recordSchema=marcxml&amp;query=alma.authority_id=274650096&amp;maximumRecords=0</t>
  </si>
  <si>
    <t>https://swisscovery.slsp.ch/view/sru/41SLSP_VGE?version=1.2&amp;operation=searchRetrieve&amp;recordSchema=marcxml&amp;query=alma.authority_id=274650096&amp;maximumRecords=0</t>
  </si>
  <si>
    <t>243519206</t>
  </si>
  <si>
    <t>https://swisscovery.slsp.ch/view/sru/41SLSP_NETWORK?version=1.2&amp;operation=searchRetrieve&amp;recordSchema=marcxml&amp;query=alma.authority_id=243519206&amp;maximumRecords=0</t>
  </si>
  <si>
    <t>https://swisscovery.slsp.ch/view/sru/41SLSP_VGE?version=1.2&amp;operation=searchRetrieve&amp;recordSchema=marcxml&amp;query=alma.authority_id=243519206&amp;maximumRecords=0</t>
  </si>
  <si>
    <t>243522665</t>
  </si>
  <si>
    <t>https://swisscovery.slsp.ch/view/sru/41SLSP_NETWORK?version=1.2&amp;operation=searchRetrieve&amp;recordSchema=marcxml&amp;query=alma.authority_id=243522665&amp;maximumRecords=0</t>
  </si>
  <si>
    <t>https://swisscovery.slsp.ch/view/sru/41SLSP_VGE?version=1.2&amp;operation=searchRetrieve&amp;recordSchema=marcxml&amp;query=alma.authority_id=243522665&amp;maximumRecords=0</t>
  </si>
  <si>
    <t>274813149</t>
  </si>
  <si>
    <t>https://swisscovery.slsp.ch/view/sru/41SLSP_NETWORK?version=1.2&amp;operation=searchRetrieve&amp;recordSchema=marcxml&amp;query=alma.authority_id=274813149&amp;maximumRecords=0</t>
  </si>
  <si>
    <t>https://swisscovery.slsp.ch/view/sru/41SLSP_VGE?version=1.2&amp;operation=searchRetrieve&amp;recordSchema=marcxml&amp;query=alma.authority_id=274813149&amp;maximumRecords=0</t>
  </si>
  <si>
    <t>271880910</t>
  </si>
  <si>
    <t>https://swisscovery.slsp.ch/view/sru/41SLSP_NETWORK?version=1.2&amp;operation=searchRetrieve&amp;recordSchema=marcxml&amp;query=alma.authority_id=271880910&amp;maximumRecords=0</t>
  </si>
  <si>
    <t>https://swisscovery.slsp.ch/view/sru/41SLSP_VGE?version=1.2&amp;operation=searchRetrieve&amp;recordSchema=marcxml&amp;query=alma.authority_id=271880910&amp;maximumRecords=0</t>
  </si>
  <si>
    <t>085618586</t>
  </si>
  <si>
    <t>https://swisscovery.slsp.ch/view/sru/41SLSP_NETWORK?version=1.2&amp;operation=searchRetrieve&amp;recordSchema=marcxml&amp;query=alma.authority_id=085618586&amp;maximumRecords=0</t>
  </si>
  <si>
    <t>https://swisscovery.slsp.ch/view/sru/41SLSP_VGE?version=1.2&amp;operation=searchRetrieve&amp;recordSchema=marcxml&amp;query=alma.authority_id=085618586&amp;maximumRecords=0</t>
  </si>
  <si>
    <t>114442509</t>
  </si>
  <si>
    <t>https://swisscovery.slsp.ch/view/sru/41SLSP_NETWORK?version=1.2&amp;operation=searchRetrieve&amp;recordSchema=marcxml&amp;query=alma.authority_id=114442509&amp;maximumRecords=0</t>
  </si>
  <si>
    <t>https://swisscovery.slsp.ch/view/sru/41SLSP_VGE?version=1.2&amp;operation=searchRetrieve&amp;recordSchema=marcxml&amp;query=alma.authority_id=114442509&amp;maximumRecords=0</t>
  </si>
  <si>
    <t>030876710</t>
  </si>
  <si>
    <t>https://swisscovery.slsp.ch/view/sru/41SLSP_NETWORK?version=1.2&amp;operation=searchRetrieve&amp;recordSchema=marcxml&amp;query=alma.authority_id=030876710&amp;maximumRecords=0</t>
  </si>
  <si>
    <t>https://swisscovery.slsp.ch/view/sru/41SLSP_VGE?version=1.2&amp;operation=searchRetrieve&amp;recordSchema=marcxml&amp;query=alma.authority_id=030876710&amp;maximumRecords=0</t>
  </si>
  <si>
    <t>261915630</t>
  </si>
  <si>
    <t>https://swisscovery.slsp.ch/view/sru/41SLSP_NETWORK?version=1.2&amp;operation=searchRetrieve&amp;recordSchema=marcxml&amp;query=alma.authority_id=261915630&amp;maximumRecords=0</t>
  </si>
  <si>
    <t>https://swisscovery.slsp.ch/view/sru/41SLSP_VGE?version=1.2&amp;operation=searchRetrieve&amp;recordSchema=marcxml&amp;query=alma.authority_id=261915630&amp;maximumRecords=0</t>
  </si>
  <si>
    <t>26191913X</t>
  </si>
  <si>
    <t>https://swisscovery.slsp.ch/view/sru/41SLSP_NETWORK?version=1.2&amp;operation=searchRetrieve&amp;recordSchema=marcxml&amp;query=alma.authority_id=26191913X&amp;maximumRecords=0</t>
  </si>
  <si>
    <t>https://swisscovery.slsp.ch/view/sru/41SLSP_VGE?version=1.2&amp;operation=searchRetrieve&amp;recordSchema=marcxml&amp;query=alma.authority_id=26191913X&amp;maximumRecords=0</t>
  </si>
  <si>
    <t>256787557</t>
  </si>
  <si>
    <t>https://swisscovery.slsp.ch/view/sru/41SLSP_NETWORK?version=1.2&amp;operation=searchRetrieve&amp;recordSchema=marcxml&amp;query=alma.authority_id=256787557&amp;maximumRecords=0</t>
  </si>
  <si>
    <t>https://swisscovery.slsp.ch/view/sru/41SLSP_VGE?version=1.2&amp;operation=searchRetrieve&amp;recordSchema=marcxml&amp;query=alma.authority_id=256787557&amp;maximumRecords=0</t>
  </si>
  <si>
    <t>261834487</t>
  </si>
  <si>
    <t>https://swisscovery.slsp.ch/view/sru/41SLSP_NETWORK?version=1.2&amp;operation=searchRetrieve&amp;recordSchema=marcxml&amp;query=alma.authority_id=261834487&amp;maximumRecords=0</t>
  </si>
  <si>
    <t>https://swisscovery.slsp.ch/view/sru/41SLSP_VGE?version=1.2&amp;operation=searchRetrieve&amp;recordSchema=marcxml&amp;query=alma.authority_id=261834487&amp;maximumRecords=0</t>
  </si>
  <si>
    <t>260769282</t>
  </si>
  <si>
    <t>https://swisscovery.slsp.ch/view/sru/41SLSP_NETWORK?version=1.2&amp;operation=searchRetrieve&amp;recordSchema=marcxml&amp;query=alma.authority_id=260769282&amp;maximumRecords=0</t>
  </si>
  <si>
    <t>https://swisscovery.slsp.ch/view/sru/41SLSP_VGE?version=1.2&amp;operation=searchRetrieve&amp;recordSchema=marcxml&amp;query=alma.authority_id=260769282&amp;maximumRecords=0</t>
  </si>
  <si>
    <t>027145530</t>
  </si>
  <si>
    <t>https://swisscovery.slsp.ch/view/sru/41SLSP_NETWORK?version=1.2&amp;operation=searchRetrieve&amp;recordSchema=marcxml&amp;query=alma.authority_id=027145530&amp;maximumRecords=0</t>
  </si>
  <si>
    <t>https://swisscovery.slsp.ch/view/sru/41SLSP_VGE?version=1.2&amp;operation=searchRetrieve&amp;recordSchema=marcxml&amp;query=alma.authority_id=027145530&amp;maximumRecords=0</t>
  </si>
  <si>
    <t>243943350</t>
  </si>
  <si>
    <t>https://swisscovery.slsp.ch/view/sru/41SLSP_NETWORK?version=1.2&amp;operation=searchRetrieve&amp;recordSchema=marcxml&amp;query=alma.authority_id=243943350&amp;maximumRecords=0</t>
  </si>
  <si>
    <t>https://swisscovery.slsp.ch/view/sru/41SLSP_VGE?version=1.2&amp;operation=searchRetrieve&amp;recordSchema=marcxml&amp;query=alma.authority_id=243943350&amp;maximumRecords=0</t>
  </si>
  <si>
    <t>274585855</t>
  </si>
  <si>
    <t>https://swisscovery.slsp.ch/view/sru/41SLSP_NETWORK?version=1.2&amp;operation=searchRetrieve&amp;recordSchema=marcxml&amp;query=alma.authority_id=274585855&amp;maximumRecords=0</t>
  </si>
  <si>
    <t>https://swisscovery.slsp.ch/view/sru/41SLSP_VGE?version=1.2&amp;operation=searchRetrieve&amp;recordSchema=marcxml&amp;query=alma.authority_id=274585855&amp;maximumRecords=0</t>
  </si>
  <si>
    <t>260771066</t>
  </si>
  <si>
    <t>https://swisscovery.slsp.ch/view/sru/41SLSP_NETWORK?version=1.2&amp;operation=searchRetrieve&amp;recordSchema=marcxml&amp;query=alma.authority_id=260771066&amp;maximumRecords=0</t>
  </si>
  <si>
    <t>https://swisscovery.slsp.ch/view/sru/41SLSP_VGE?version=1.2&amp;operation=searchRetrieve&amp;recordSchema=marcxml&amp;query=alma.authority_id=260771066&amp;maximumRecords=0</t>
  </si>
  <si>
    <t>260766461</t>
  </si>
  <si>
    <t>https://swisscovery.slsp.ch/view/sru/41SLSP_NETWORK?version=1.2&amp;operation=searchRetrieve&amp;recordSchema=marcxml&amp;query=alma.authority_id=260766461&amp;maximumRecords=0</t>
  </si>
  <si>
    <t>https://swisscovery.slsp.ch/view/sru/41SLSP_VGE?version=1.2&amp;operation=searchRetrieve&amp;recordSchema=marcxml&amp;query=alma.authority_id=260766461&amp;maximumRecords=0</t>
  </si>
  <si>
    <t>260769428</t>
  </si>
  <si>
    <t>https://swisscovery.slsp.ch/view/sru/41SLSP_NETWORK?version=1.2&amp;operation=searchRetrieve&amp;recordSchema=marcxml&amp;query=alma.authority_id=260769428&amp;maximumRecords=0</t>
  </si>
  <si>
    <t>https://swisscovery.slsp.ch/view/sru/41SLSP_VGE?version=1.2&amp;operation=searchRetrieve&amp;recordSchema=marcxml&amp;query=alma.authority_id=260769428&amp;maximumRecords=0</t>
  </si>
  <si>
    <t>261918427</t>
  </si>
  <si>
    <t>https://swisscovery.slsp.ch/view/sru/41SLSP_NETWORK?version=1.2&amp;operation=searchRetrieve&amp;recordSchema=marcxml&amp;query=alma.authority_id=261918427&amp;maximumRecords=0</t>
  </si>
  <si>
    <t>https://swisscovery.slsp.ch/view/sru/41SLSP_VGE?version=1.2&amp;operation=searchRetrieve&amp;recordSchema=marcxml&amp;query=alma.authority_id=261918427&amp;maximumRecords=0</t>
  </si>
  <si>
    <t>260769304</t>
  </si>
  <si>
    <t>https://swisscovery.slsp.ch/view/sru/41SLSP_NETWORK?version=1.2&amp;operation=searchRetrieve&amp;recordSchema=marcxml&amp;query=alma.authority_id=260769304&amp;maximumRecords=0</t>
  </si>
  <si>
    <t>https://swisscovery.slsp.ch/view/sru/41SLSP_VGE?version=1.2&amp;operation=searchRetrieve&amp;recordSchema=marcxml&amp;query=alma.authority_id=260769304&amp;maximumRecords=0</t>
  </si>
  <si>
    <t>260769444</t>
  </si>
  <si>
    <t>https://swisscovery.slsp.ch/view/sru/41SLSP_NETWORK?version=1.2&amp;operation=searchRetrieve&amp;recordSchema=marcxml&amp;query=alma.authority_id=260769444&amp;maximumRecords=0</t>
  </si>
  <si>
    <t>https://swisscovery.slsp.ch/view/sru/41SLSP_VGE?version=1.2&amp;operation=searchRetrieve&amp;recordSchema=marcxml&amp;query=alma.authority_id=260769444&amp;maximumRecords=0</t>
  </si>
  <si>
    <t>227141318</t>
  </si>
  <si>
    <t>https://swisscovery.slsp.ch/view/sru/41SLSP_NETWORK?version=1.2&amp;operation=searchRetrieve&amp;recordSchema=marcxml&amp;query=alma.authority_id=227141318&amp;maximumRecords=0</t>
  </si>
  <si>
    <t>https://swisscovery.slsp.ch/view/sru/41SLSP_VGE?version=1.2&amp;operation=searchRetrieve&amp;recordSchema=marcxml&amp;query=alma.authority_id=227141318&amp;maximumRecords=0</t>
  </si>
  <si>
    <t>260769401</t>
  </si>
  <si>
    <t>https://swisscovery.slsp.ch/view/sru/41SLSP_NETWORK?version=1.2&amp;operation=searchRetrieve&amp;recordSchema=marcxml&amp;query=alma.authority_id=260769401&amp;maximumRecords=0</t>
  </si>
  <si>
    <t>https://swisscovery.slsp.ch/view/sru/41SLSP_VGE?version=1.2&amp;operation=searchRetrieve&amp;recordSchema=marcxml&amp;query=alma.authority_id=260769401&amp;maximumRecords=0</t>
  </si>
  <si>
    <t>274229544</t>
  </si>
  <si>
    <t>https://swisscovery.slsp.ch/view/sru/41SLSP_NETWORK?version=1.2&amp;operation=searchRetrieve&amp;recordSchema=marcxml&amp;query=alma.authority_id=274229544&amp;maximumRecords=0</t>
  </si>
  <si>
    <t>https://swisscovery.slsp.ch/view/sru/41SLSP_VGE?version=1.2&amp;operation=searchRetrieve&amp;recordSchema=marcxml&amp;query=alma.authority_id=274229544&amp;maximumRecords=0</t>
  </si>
  <si>
    <t>030399459</t>
  </si>
  <si>
    <t>https://swisscovery.slsp.ch/view/sru/41SLSP_NETWORK?version=1.2&amp;operation=searchRetrieve&amp;recordSchema=marcxml&amp;query=alma.authority_id=030399459&amp;maximumRecords=0</t>
  </si>
  <si>
    <t>https://swisscovery.slsp.ch/view/sru/41SLSP_VGE?version=1.2&amp;operation=searchRetrieve&amp;recordSchema=marcxml&amp;query=alma.authority_id=030399459&amp;maximumRecords=0</t>
  </si>
  <si>
    <t>027052524</t>
  </si>
  <si>
    <t>https://swisscovery.slsp.ch/view/sru/41SLSP_NETWORK?version=1.2&amp;operation=searchRetrieve&amp;recordSchema=marcxml&amp;query=alma.authority_id=027052524&amp;maximumRecords=0</t>
  </si>
  <si>
    <t>https://swisscovery.slsp.ch/view/sru/41SLSP_VGE?version=1.2&amp;operation=searchRetrieve&amp;recordSchema=marcxml&amp;query=alma.authority_id=027052524&amp;maximumRecords=0</t>
  </si>
  <si>
    <t>026892324</t>
  </si>
  <si>
    <t>https://swisscovery.slsp.ch/view/sru/41SLSP_NETWORK?version=1.2&amp;operation=searchRetrieve&amp;recordSchema=marcxml&amp;query=alma.authority_id=026892324&amp;maximumRecords=0</t>
  </si>
  <si>
    <t>https://swisscovery.slsp.ch/view/sru/41SLSP_VGE?version=1.2&amp;operation=searchRetrieve&amp;recordSchema=marcxml&amp;query=alma.authority_id=026892324&amp;maximumRecords=0</t>
  </si>
  <si>
    <t>128672129</t>
  </si>
  <si>
    <t>https://swisscovery.slsp.ch/view/sru/41SLSP_NETWORK?version=1.2&amp;operation=searchRetrieve&amp;recordSchema=marcxml&amp;query=alma.authority_id=128672129&amp;maximumRecords=0</t>
  </si>
  <si>
    <t>https://swisscovery.slsp.ch/view/sru/41SLSP_VGE?version=1.2&amp;operation=searchRetrieve&amp;recordSchema=marcxml&amp;query=alma.authority_id=128672129&amp;maximumRecords=0</t>
  </si>
  <si>
    <t>147139155</t>
  </si>
  <si>
    <t>https://swisscovery.slsp.ch/view/sru/41SLSP_NETWORK?version=1.2&amp;operation=searchRetrieve&amp;recordSchema=marcxml&amp;query=alma.authority_id=147139155&amp;maximumRecords=0</t>
  </si>
  <si>
    <t>https://swisscovery.slsp.ch/view/sru/41SLSP_VGE?version=1.2&amp;operation=searchRetrieve&amp;recordSchema=marcxml&amp;query=alma.authority_id=147139155&amp;maximumRecords=0</t>
  </si>
  <si>
    <t>058567119</t>
  </si>
  <si>
    <t>https://swisscovery.slsp.ch/view/sru/41SLSP_NETWORK?version=1.2&amp;operation=searchRetrieve&amp;recordSchema=marcxml&amp;query=alma.authority_id=058567119&amp;maximumRecords=0</t>
  </si>
  <si>
    <t>https://swisscovery.slsp.ch/view/sru/41SLSP_VGE?version=1.2&amp;operation=searchRetrieve&amp;recordSchema=marcxml&amp;query=alma.authority_id=058567119&amp;maximumRecords=0</t>
  </si>
  <si>
    <t>261917668</t>
  </si>
  <si>
    <t>https://swisscovery.slsp.ch/view/sru/41SLSP_NETWORK?version=1.2&amp;operation=searchRetrieve&amp;recordSchema=marcxml&amp;query=alma.authority_id=261917668&amp;maximumRecords=0</t>
  </si>
  <si>
    <t>https://swisscovery.slsp.ch/view/sru/41SLSP_VGE?version=1.2&amp;operation=searchRetrieve&amp;recordSchema=marcxml&amp;query=alma.authority_id=261917668&amp;maximumRecords=0</t>
  </si>
  <si>
    <t>260767921</t>
  </si>
  <si>
    <t>https://swisscovery.slsp.ch/view/sru/41SLSP_NETWORK?version=1.2&amp;operation=searchRetrieve&amp;recordSchema=marcxml&amp;query=alma.authority_id=260767921&amp;maximumRecords=0</t>
  </si>
  <si>
    <t>https://swisscovery.slsp.ch/view/sru/41SLSP_VGE?version=1.2&amp;operation=searchRetrieve&amp;recordSchema=marcxml&amp;query=alma.authority_id=260767921&amp;maximumRecords=0</t>
  </si>
  <si>
    <t>261920014</t>
  </si>
  <si>
    <t>https://swisscovery.slsp.ch/view/sru/41SLSP_NETWORK?version=1.2&amp;operation=searchRetrieve&amp;recordSchema=marcxml&amp;query=alma.authority_id=261920014&amp;maximumRecords=0</t>
  </si>
  <si>
    <t>https://swisscovery.slsp.ch/view/sru/41SLSP_VGE?version=1.2&amp;operation=searchRetrieve&amp;recordSchema=marcxml&amp;query=alma.authority_id=261920014&amp;maximumRecords=0</t>
  </si>
  <si>
    <t>27480509X</t>
  </si>
  <si>
    <t>https://swisscovery.slsp.ch/view/sru/41SLSP_NETWORK?version=1.2&amp;operation=searchRetrieve&amp;recordSchema=marcxml&amp;query=alma.authority_id=27480509X&amp;maximumRecords=0</t>
  </si>
  <si>
    <t>https://swisscovery.slsp.ch/view/sru/41SLSP_VGE?version=1.2&amp;operation=searchRetrieve&amp;recordSchema=marcxml&amp;query=alma.authority_id=27480509X&amp;maximumRecords=0</t>
  </si>
  <si>
    <t>195588096</t>
  </si>
  <si>
    <t>https://swisscovery.slsp.ch/view/sru/41SLSP_NETWORK?version=1.2&amp;operation=searchRetrieve&amp;recordSchema=marcxml&amp;query=alma.authority_id=195588096&amp;maximumRecords=0</t>
  </si>
  <si>
    <t>https://swisscovery.slsp.ch/view/sru/41SLSP_VGE?version=1.2&amp;operation=searchRetrieve&amp;recordSchema=marcxml&amp;query=alma.authority_id=195588096&amp;maximumRecords=0</t>
  </si>
  <si>
    <t>260766178</t>
  </si>
  <si>
    <t>https://swisscovery.slsp.ch/view/sru/41SLSP_NETWORK?version=1.2&amp;operation=searchRetrieve&amp;recordSchema=marcxml&amp;query=alma.authority_id=260766178&amp;maximumRecords=0</t>
  </si>
  <si>
    <t>https://swisscovery.slsp.ch/view/sru/41SLSP_VGE?version=1.2&amp;operation=searchRetrieve&amp;recordSchema=marcxml&amp;query=alma.authority_id=260766178&amp;maximumRecords=0</t>
  </si>
  <si>
    <t>261918559</t>
  </si>
  <si>
    <t>https://swisscovery.slsp.ch/view/sru/41SLSP_NETWORK?version=1.2&amp;operation=searchRetrieve&amp;recordSchema=marcxml&amp;query=alma.authority_id=261918559&amp;maximumRecords=0</t>
  </si>
  <si>
    <t>https://swisscovery.slsp.ch/view/sru/41SLSP_VGE?version=1.2&amp;operation=searchRetrieve&amp;recordSchema=marcxml&amp;query=alma.authority_id=261918559&amp;maximumRecords=0</t>
  </si>
  <si>
    <t>261914871</t>
  </si>
  <si>
    <t>https://swisscovery.slsp.ch/view/sru/41SLSP_NETWORK?version=1.2&amp;operation=searchRetrieve&amp;recordSchema=marcxml&amp;query=alma.authority_id=261914871&amp;maximumRecords=0</t>
  </si>
  <si>
    <t>https://swisscovery.slsp.ch/view/sru/41SLSP_VGE?version=1.2&amp;operation=searchRetrieve&amp;recordSchema=marcxml&amp;query=alma.authority_id=261914871&amp;maximumRecords=0</t>
  </si>
  <si>
    <t>260769320</t>
  </si>
  <si>
    <t>https://swisscovery.slsp.ch/view/sru/41SLSP_NETWORK?version=1.2&amp;operation=searchRetrieve&amp;recordSchema=marcxml&amp;query=alma.authority_id=260769320&amp;maximumRecords=0</t>
  </si>
  <si>
    <t>https://swisscovery.slsp.ch/view/sru/41SLSP_VGE?version=1.2&amp;operation=searchRetrieve&amp;recordSchema=marcxml&amp;query=alma.authority_id=260769320&amp;maximumRecords=0</t>
  </si>
  <si>
    <t>271877219</t>
  </si>
  <si>
    <t>https://swisscovery.slsp.ch/view/sru/41SLSP_NETWORK?version=1.2&amp;operation=searchRetrieve&amp;recordSchema=marcxml&amp;query=alma.authority_id=271877219&amp;maximumRecords=0</t>
  </si>
  <si>
    <t>https://swisscovery.slsp.ch/view/sru/41SLSP_VGE?version=1.2&amp;operation=searchRetrieve&amp;recordSchema=marcxml&amp;query=alma.authority_id=271877219&amp;maximumRecords=0</t>
  </si>
  <si>
    <t>273888765</t>
  </si>
  <si>
    <t>https://swisscovery.slsp.ch/view/sru/41SLSP_NETWORK?version=1.2&amp;operation=searchRetrieve&amp;recordSchema=marcxml&amp;query=alma.authority_id=273888765&amp;maximumRecords=0</t>
  </si>
  <si>
    <t>https://swisscovery.slsp.ch/view/sru/41SLSP_VGE?version=1.2&amp;operation=searchRetrieve&amp;recordSchema=marcxml&amp;query=alma.authority_id=273888765&amp;maximumRecords=0</t>
  </si>
  <si>
    <t>271874015</t>
  </si>
  <si>
    <t>https://swisscovery.slsp.ch/view/sru/41SLSP_NETWORK?version=1.2&amp;operation=searchRetrieve&amp;recordSchema=marcxml&amp;query=alma.authority_id=271874015&amp;maximumRecords=0</t>
  </si>
  <si>
    <t>https://swisscovery.slsp.ch/view/sru/41SLSP_VGE?version=1.2&amp;operation=searchRetrieve&amp;recordSchema=marcxml&amp;query=alma.authority_id=271874015&amp;maximumRecords=0</t>
  </si>
  <si>
    <t>260769398</t>
  </si>
  <si>
    <t>https://swisscovery.slsp.ch/view/sru/41SLSP_NETWORK?version=1.2&amp;operation=searchRetrieve&amp;recordSchema=marcxml&amp;query=alma.authority_id=260769398&amp;maximumRecords=0</t>
  </si>
  <si>
    <t>https://swisscovery.slsp.ch/view/sru/41SLSP_VGE?version=1.2&amp;operation=searchRetrieve&amp;recordSchema=marcxml&amp;query=alma.authority_id=260769398&amp;maximumRecords=0</t>
  </si>
  <si>
    <t>273876457</t>
  </si>
  <si>
    <t>https://swisscovery.slsp.ch/view/sru/41SLSP_NETWORK?version=1.2&amp;operation=searchRetrieve&amp;recordSchema=marcxml&amp;query=alma.authority_id=273876457&amp;maximumRecords=0</t>
  </si>
  <si>
    <t>https://swisscovery.slsp.ch/view/sru/41SLSP_VGE?version=1.2&amp;operation=searchRetrieve&amp;recordSchema=marcxml&amp;query=alma.authority_id=273876457&amp;maximumRecords=0</t>
  </si>
  <si>
    <t>260769134</t>
  </si>
  <si>
    <t>https://swisscovery.slsp.ch/view/sru/41SLSP_NETWORK?version=1.2&amp;operation=searchRetrieve&amp;recordSchema=marcxml&amp;query=alma.authority_id=260769134&amp;maximumRecords=0</t>
  </si>
  <si>
    <t>https://swisscovery.slsp.ch/view/sru/41SLSP_VGE?version=1.2&amp;operation=searchRetrieve&amp;recordSchema=marcxml&amp;query=alma.authority_id=260769134&amp;maximumRecords=0</t>
  </si>
  <si>
    <t>260774987</t>
  </si>
  <si>
    <t>https://swisscovery.slsp.ch/view/sru/41SLSP_NETWORK?version=1.2&amp;operation=searchRetrieve&amp;recordSchema=marcxml&amp;query=alma.authority_id=260774987&amp;maximumRecords=0</t>
  </si>
  <si>
    <t>https://swisscovery.slsp.ch/view/sru/41SLSP_VGE?version=1.2&amp;operation=searchRetrieve&amp;recordSchema=marcxml&amp;query=alma.authority_id=260774987&amp;maximumRecords=0</t>
  </si>
  <si>
    <t>270839232</t>
  </si>
  <si>
    <t>https://swisscovery.slsp.ch/view/sru/41SLSP_NETWORK?version=1.2&amp;operation=searchRetrieve&amp;recordSchema=marcxml&amp;query=alma.authority_id=270839232&amp;maximumRecords=0</t>
  </si>
  <si>
    <t>https://swisscovery.slsp.ch/view/sru/41SLSP_VGE?version=1.2&amp;operation=searchRetrieve&amp;recordSchema=marcxml&amp;query=alma.authority_id=270839232&amp;maximumRecords=0</t>
  </si>
  <si>
    <t>060704721</t>
  </si>
  <si>
    <t>https://swisscovery.slsp.ch/view/sru/41SLSP_NETWORK?version=1.2&amp;operation=searchRetrieve&amp;recordSchema=marcxml&amp;query=alma.authority_id=060704721&amp;maximumRecords=0</t>
  </si>
  <si>
    <t>https://swisscovery.slsp.ch/view/sru/41SLSP_VGE?version=1.2&amp;operation=searchRetrieve&amp;recordSchema=marcxml&amp;query=alma.authority_id=060704721&amp;maximumRecords=0</t>
  </si>
  <si>
    <t>271878762</t>
  </si>
  <si>
    <t>https://swisscovery.slsp.ch/view/sru/41SLSP_NETWORK?version=1.2&amp;operation=searchRetrieve&amp;recordSchema=marcxml&amp;query=alma.authority_id=271878762&amp;maximumRecords=0</t>
  </si>
  <si>
    <t>https://swisscovery.slsp.ch/view/sru/41SLSP_VGE?version=1.2&amp;operation=searchRetrieve&amp;recordSchema=marcxml&amp;query=alma.authority_id=271878762&amp;maximumRecords=0</t>
  </si>
  <si>
    <t>07417519X</t>
  </si>
  <si>
    <t>https://swisscovery.slsp.ch/view/sru/41SLSP_NETWORK?version=1.2&amp;operation=searchRetrieve&amp;recordSchema=marcxml&amp;query=alma.authority_id=07417519X&amp;maximumRecords=0</t>
  </si>
  <si>
    <t>https://swisscovery.slsp.ch/view/sru/41SLSP_VGE?version=1.2&amp;operation=searchRetrieve&amp;recordSchema=marcxml&amp;query=alma.authority_id=07417519X&amp;maximumRecords=0</t>
  </si>
  <si>
    <t>238465292</t>
  </si>
  <si>
    <t>https://swisscovery.slsp.ch/view/sru/41SLSP_NETWORK?version=1.2&amp;operation=searchRetrieve&amp;recordSchema=marcxml&amp;query=alma.authority_id=238465292&amp;maximumRecords=0</t>
  </si>
  <si>
    <t>https://swisscovery.slsp.ch/view/sru/41SLSP_VGE?version=1.2&amp;operation=searchRetrieve&amp;recordSchema=marcxml&amp;query=alma.authority_id=238465292&amp;maximumRecords=0</t>
  </si>
  <si>
    <t>028739248</t>
  </si>
  <si>
    <t>https://swisscovery.slsp.ch/view/sru/41SLSP_NETWORK?version=1.2&amp;operation=searchRetrieve&amp;recordSchema=marcxml&amp;query=alma.authority_id=028739248&amp;maximumRecords=0</t>
  </si>
  <si>
    <t>https://swisscovery.slsp.ch/view/sru/41SLSP_VGE?version=1.2&amp;operation=searchRetrieve&amp;recordSchema=marcxml&amp;query=alma.authority_id=028739248&amp;maximumRecords=0</t>
  </si>
  <si>
    <t>124773664</t>
  </si>
  <si>
    <t>https://swisscovery.slsp.ch/view/sru/41SLSP_NETWORK?version=1.2&amp;operation=searchRetrieve&amp;recordSchema=marcxml&amp;query=alma.authority_id=124773664&amp;maximumRecords=0</t>
  </si>
  <si>
    <t>https://swisscovery.slsp.ch/view/sru/41SLSP_VGE?version=1.2&amp;operation=searchRetrieve&amp;recordSchema=marcxml&amp;query=alma.authority_id=124773664&amp;maximumRecords=0</t>
  </si>
  <si>
    <t>271872799</t>
  </si>
  <si>
    <t>https://swisscovery.slsp.ch/view/sru/41SLSP_NETWORK?version=1.2&amp;operation=searchRetrieve&amp;recordSchema=marcxml&amp;query=alma.authority_id=271872799&amp;maximumRecords=0</t>
  </si>
  <si>
    <t>https://swisscovery.slsp.ch/view/sru/41SLSP_VGE?version=1.2&amp;operation=searchRetrieve&amp;recordSchema=marcxml&amp;query=alma.authority_id=271872799&amp;maximumRecords=0</t>
  </si>
  <si>
    <t>077003691</t>
  </si>
  <si>
    <t>https://swisscovery.slsp.ch/view/sru/41SLSP_NETWORK?version=1.2&amp;operation=searchRetrieve&amp;recordSchema=marcxml&amp;query=alma.authority_id=077003691&amp;maximumRecords=0</t>
  </si>
  <si>
    <t>https://swisscovery.slsp.ch/view/sru/41SLSP_VGE?version=1.2&amp;operation=searchRetrieve&amp;recordSchema=marcxml&amp;query=alma.authority_id=077003691&amp;maximumRecords=0</t>
  </si>
  <si>
    <t>052202267</t>
  </si>
  <si>
    <t>https://swisscovery.slsp.ch/view/sru/41SLSP_NETWORK?version=1.2&amp;operation=searchRetrieve&amp;recordSchema=marcxml&amp;query=alma.authority_id=052202267&amp;maximumRecords=0</t>
  </si>
  <si>
    <t>https://swisscovery.slsp.ch/view/sru/41SLSP_VGE?version=1.2&amp;operation=searchRetrieve&amp;recordSchema=marcxml&amp;query=alma.authority_id=052202267&amp;maximumRecords=0</t>
  </si>
  <si>
    <t>149215169</t>
  </si>
  <si>
    <t>https://swisscovery.slsp.ch/view/sru/41SLSP_NETWORK?version=1.2&amp;operation=searchRetrieve&amp;recordSchema=marcxml&amp;query=alma.authority_id=149215169&amp;maximumRecords=0</t>
  </si>
  <si>
    <t>https://swisscovery.slsp.ch/view/sru/41SLSP_VGE?version=1.2&amp;operation=searchRetrieve&amp;recordSchema=marcxml&amp;query=alma.authority_id=149215169&amp;maximumRecords=0</t>
  </si>
  <si>
    <t>053517784</t>
  </si>
  <si>
    <t>https://swisscovery.slsp.ch/view/sru/41SLSP_NETWORK?version=1.2&amp;operation=searchRetrieve&amp;recordSchema=marcxml&amp;query=alma.authority_id=053517784&amp;maximumRecords=0</t>
  </si>
  <si>
    <t>https://swisscovery.slsp.ch/view/sru/41SLSP_VGE?version=1.2&amp;operation=searchRetrieve&amp;recordSchema=marcxml&amp;query=alma.authority_id=053517784&amp;maximumRecords=0</t>
  </si>
  <si>
    <t>032812027</t>
  </si>
  <si>
    <t>https://swisscovery.slsp.ch/view/sru/41SLSP_NETWORK?version=1.2&amp;operation=searchRetrieve&amp;recordSchema=marcxml&amp;query=alma.authority_id=032812027&amp;maximumRecords=0</t>
  </si>
  <si>
    <t>https://swisscovery.slsp.ch/view/sru/41SLSP_VGE?version=1.2&amp;operation=searchRetrieve&amp;recordSchema=marcxml&amp;query=alma.authority_id=032812027&amp;maximumRecords=0</t>
  </si>
  <si>
    <t>033040648</t>
  </si>
  <si>
    <t>https://swisscovery.slsp.ch/view/sru/41SLSP_NETWORK?version=1.2&amp;operation=searchRetrieve&amp;recordSchema=marcxml&amp;query=alma.authority_id=033040648&amp;maximumRecords=0</t>
  </si>
  <si>
    <t>https://swisscovery.slsp.ch/view/sru/41SLSP_VGE?version=1.2&amp;operation=searchRetrieve&amp;recordSchema=marcxml&amp;query=alma.authority_id=033040648&amp;maximumRecords=0</t>
  </si>
  <si>
    <t>057670080</t>
  </si>
  <si>
    <t>https://swisscovery.slsp.ch/view/sru/41SLSP_NETWORK?version=1.2&amp;operation=searchRetrieve&amp;recordSchema=marcxml&amp;query=alma.authority_id=057670080&amp;maximumRecords=0</t>
  </si>
  <si>
    <t>https://swisscovery.slsp.ch/view/sru/41SLSP_VGE?version=1.2&amp;operation=searchRetrieve&amp;recordSchema=marcxml&amp;query=alma.authority_id=057670080&amp;maximumRecords=0</t>
  </si>
  <si>
    <t>260774480</t>
  </si>
  <si>
    <t>https://swisscovery.slsp.ch/view/sru/41SLSP_NETWORK?version=1.2&amp;operation=searchRetrieve&amp;recordSchema=marcxml&amp;query=alma.authority_id=260774480&amp;maximumRecords=0</t>
  </si>
  <si>
    <t>https://swisscovery.slsp.ch/view/sru/41SLSP_VGE?version=1.2&amp;operation=searchRetrieve&amp;recordSchema=marcxml&amp;query=alma.authority_id=260774480&amp;maximumRecords=0</t>
  </si>
  <si>
    <t>274922452</t>
  </si>
  <si>
    <t>https://swisscovery.slsp.ch/view/sru/41SLSP_NETWORK?version=1.2&amp;operation=searchRetrieve&amp;recordSchema=marcxml&amp;query=alma.authority_id=274922452&amp;maximumRecords=0</t>
  </si>
  <si>
    <t>https://swisscovery.slsp.ch/view/sru/41SLSP_VGE?version=1.2&amp;operation=searchRetrieve&amp;recordSchema=marcxml&amp;query=alma.authority_id=274922452&amp;maximumRecords=0</t>
  </si>
  <si>
    <t>274641631</t>
  </si>
  <si>
    <t>https://swisscovery.slsp.ch/view/sru/41SLSP_NETWORK?version=1.2&amp;operation=searchRetrieve&amp;recordSchema=marcxml&amp;query=alma.authority_id=274641631&amp;maximumRecords=0</t>
  </si>
  <si>
    <t>https://swisscovery.slsp.ch/view/sru/41SLSP_VGE?version=1.2&amp;operation=searchRetrieve&amp;recordSchema=marcxml&amp;query=alma.authority_id=274641631&amp;maximumRecords=0</t>
  </si>
  <si>
    <t>03146582X</t>
  </si>
  <si>
    <t>https://swisscovery.slsp.ch/view/sru/41SLSP_NETWORK?version=1.2&amp;operation=searchRetrieve&amp;recordSchema=marcxml&amp;query=alma.authority_id=03146582X&amp;maximumRecords=0</t>
  </si>
  <si>
    <t>https://swisscovery.slsp.ch/view/sru/41SLSP_VGE?version=1.2&amp;operation=searchRetrieve&amp;recordSchema=marcxml&amp;query=alma.authority_id=03146582X&amp;maximumRecords=0</t>
  </si>
  <si>
    <t>274522039</t>
  </si>
  <si>
    <t>https://swisscovery.slsp.ch/view/sru/41SLSP_NETWORK?version=1.2&amp;operation=searchRetrieve&amp;recordSchema=marcxml&amp;query=alma.authority_id=274522039&amp;maximumRecords=0</t>
  </si>
  <si>
    <t>https://swisscovery.slsp.ch/view/sru/41SLSP_VGE?version=1.2&amp;operation=searchRetrieve&amp;recordSchema=marcxml&amp;query=alma.authority_id=274522039&amp;maximumRecords=0</t>
  </si>
  <si>
    <t>253657865</t>
  </si>
  <si>
    <t>https://swisscovery.slsp.ch/view/sru/41SLSP_NETWORK?version=1.2&amp;operation=searchRetrieve&amp;recordSchema=marcxml&amp;query=alma.authority_id=253657865&amp;maximumRecords=0</t>
  </si>
  <si>
    <t>https://swisscovery.slsp.ch/view/sru/41SLSP_VGE?version=1.2&amp;operation=searchRetrieve&amp;recordSchema=marcxml&amp;query=alma.authority_id=253657865&amp;maximumRecords=0</t>
  </si>
  <si>
    <t>255989822</t>
  </si>
  <si>
    <t>https://swisscovery.slsp.ch/view/sru/41SLSP_NETWORK?version=1.2&amp;operation=searchRetrieve&amp;recordSchema=marcxml&amp;query=alma.authority_id=255989822&amp;maximumRecords=0</t>
  </si>
  <si>
    <t>https://swisscovery.slsp.ch/view/sru/41SLSP_VGE?version=1.2&amp;operation=searchRetrieve&amp;recordSchema=marcxml&amp;query=alma.authority_id=255989822&amp;maximumRecords=0</t>
  </si>
  <si>
    <t>256315019</t>
  </si>
  <si>
    <t>https://swisscovery.slsp.ch/view/sru/41SLSP_NETWORK?version=1.2&amp;operation=searchRetrieve&amp;recordSchema=marcxml&amp;query=alma.authority_id=256315019&amp;maximumRecords=0</t>
  </si>
  <si>
    <t>https://swisscovery.slsp.ch/view/sru/41SLSP_VGE?version=1.2&amp;operation=searchRetrieve&amp;recordSchema=marcxml&amp;query=alma.authority_id=256315019&amp;maximumRecords=0</t>
  </si>
  <si>
    <t>191860387</t>
  </si>
  <si>
    <t>https://swisscovery.slsp.ch/view/sru/41SLSP_NETWORK?version=1.2&amp;operation=searchRetrieve&amp;recordSchema=marcxml&amp;query=alma.authority_id=191860387&amp;maximumRecords=0</t>
  </si>
  <si>
    <t>https://swisscovery.slsp.ch/view/sru/41SLSP_VGE?version=1.2&amp;operation=searchRetrieve&amp;recordSchema=marcxml&amp;query=alma.authority_id=191860387&amp;maximumRecords=0</t>
  </si>
  <si>
    <t>251556859</t>
  </si>
  <si>
    <t>https://swisscovery.slsp.ch/view/sru/41SLSP_NETWORK?version=1.2&amp;operation=searchRetrieve&amp;recordSchema=marcxml&amp;query=alma.authority_id=251556859&amp;maximumRecords=0</t>
  </si>
  <si>
    <t>https://swisscovery.slsp.ch/view/sru/41SLSP_VGE?version=1.2&amp;operation=searchRetrieve&amp;recordSchema=marcxml&amp;query=alma.authority_id=251556859&amp;maximumRecords=0</t>
  </si>
  <si>
    <t>077715411</t>
  </si>
  <si>
    <t>https://swisscovery.slsp.ch/view/sru/41SLSP_NETWORK?version=1.2&amp;operation=searchRetrieve&amp;recordSchema=marcxml&amp;query=alma.authority_id=077715411&amp;maximumRecords=0</t>
  </si>
  <si>
    <t>https://swisscovery.slsp.ch/view/sru/41SLSP_VGE?version=1.2&amp;operation=searchRetrieve&amp;recordSchema=marcxml&amp;query=alma.authority_id=077715411&amp;maximumRecords=0</t>
  </si>
  <si>
    <t>257774432</t>
  </si>
  <si>
    <t>https://swisscovery.slsp.ch/view/sru/41SLSP_NETWORK?version=1.2&amp;operation=searchRetrieve&amp;recordSchema=marcxml&amp;query=alma.authority_id=257774432&amp;maximumRecords=0</t>
  </si>
  <si>
    <t>https://swisscovery.slsp.ch/view/sru/41SLSP_VGE?version=1.2&amp;operation=searchRetrieve&amp;recordSchema=marcxml&amp;query=alma.authority_id=257774432&amp;maximumRecords=0</t>
  </si>
  <si>
    <t>171867904</t>
  </si>
  <si>
    <t>https://swisscovery.slsp.ch/view/sru/41SLSP_NETWORK?version=1.2&amp;operation=searchRetrieve&amp;recordSchema=marcxml&amp;query=alma.authority_id=171867904&amp;maximumRecords=0</t>
  </si>
  <si>
    <t>https://swisscovery.slsp.ch/view/sru/41SLSP_VGE?version=1.2&amp;operation=searchRetrieve&amp;recordSchema=marcxml&amp;query=alma.authority_id=171867904&amp;maximumRecords=0</t>
  </si>
  <si>
    <t>059523506</t>
  </si>
  <si>
    <t>https://swisscovery.slsp.ch/view/sru/41SLSP_NETWORK?version=1.2&amp;operation=searchRetrieve&amp;recordSchema=marcxml&amp;query=alma.authority_id=059523506&amp;maximumRecords=0</t>
  </si>
  <si>
    <t>https://swisscovery.slsp.ch/view/sru/41SLSP_VGE?version=1.2&amp;operation=searchRetrieve&amp;recordSchema=marcxml&amp;query=alma.authority_id=059523506&amp;maximumRecords=0</t>
  </si>
  <si>
    <t>194001806</t>
  </si>
  <si>
    <t>https://swisscovery.slsp.ch/view/sru/41SLSP_NETWORK?version=1.2&amp;operation=searchRetrieve&amp;recordSchema=marcxml&amp;query=alma.authority_id=194001806&amp;maximumRecords=0</t>
  </si>
  <si>
    <t>https://swisscovery.slsp.ch/view/sru/41SLSP_VGE?version=1.2&amp;operation=searchRetrieve&amp;recordSchema=marcxml&amp;query=alma.authority_id=194001806&amp;maximumRecords=0</t>
  </si>
  <si>
    <t>197759343</t>
  </si>
  <si>
    <t>https://swisscovery.slsp.ch/view/sru/41SLSP_NETWORK?version=1.2&amp;operation=searchRetrieve&amp;recordSchema=marcxml&amp;query=alma.authority_id=197759343&amp;maximumRecords=0</t>
  </si>
  <si>
    <t>https://swisscovery.slsp.ch/view/sru/41SLSP_VGE?version=1.2&amp;operation=searchRetrieve&amp;recordSchema=marcxml&amp;query=alma.authority_id=197759343&amp;maximumRecords=0</t>
  </si>
  <si>
    <t>23590483X</t>
  </si>
  <si>
    <t>https://swisscovery.slsp.ch/view/sru/41SLSP_NETWORK?version=1.2&amp;operation=searchRetrieve&amp;recordSchema=marcxml&amp;query=alma.authority_id=23590483X&amp;maximumRecords=0</t>
  </si>
  <si>
    <t>https://swisscovery.slsp.ch/view/sru/41SLSP_VGE?version=1.2&amp;operation=searchRetrieve&amp;recordSchema=marcxml&amp;query=alma.authority_id=23590483X&amp;maximumRecords=0</t>
  </si>
  <si>
    <t>082280428</t>
  </si>
  <si>
    <t>https://swisscovery.slsp.ch/view/sru/41SLSP_NETWORK?version=1.2&amp;operation=searchRetrieve&amp;recordSchema=marcxml&amp;query=alma.authority_id=082280428&amp;maximumRecords=0</t>
  </si>
  <si>
    <t>https://swisscovery.slsp.ch/view/sru/41SLSP_VGE?version=1.2&amp;operation=searchRetrieve&amp;recordSchema=marcxml&amp;query=alma.authority_id=082280428&amp;maximumRecords=0</t>
  </si>
  <si>
    <t>035027681</t>
  </si>
  <si>
    <t>https://swisscovery.slsp.ch/view/sru/41SLSP_NETWORK?version=1.2&amp;operation=searchRetrieve&amp;recordSchema=marcxml&amp;query=alma.authority_id=035027681&amp;maximumRecords=0</t>
  </si>
  <si>
    <t>https://swisscovery.slsp.ch/view/sru/41SLSP_VGE?version=1.2&amp;operation=searchRetrieve&amp;recordSchema=marcxml&amp;query=alma.authority_id=035027681&amp;maximumRecords=0</t>
  </si>
  <si>
    <t>031957927</t>
  </si>
  <si>
    <t>https://swisscovery.slsp.ch/view/sru/41SLSP_NETWORK?version=1.2&amp;operation=searchRetrieve&amp;recordSchema=marcxml&amp;query=alma.authority_id=031957927&amp;maximumRecords=0</t>
  </si>
  <si>
    <t>https://swisscovery.slsp.ch/view/sru/41SLSP_VGE?version=1.2&amp;operation=searchRetrieve&amp;recordSchema=marcxml&amp;query=alma.authority_id=031957927&amp;maximumRecords=0</t>
  </si>
  <si>
    <t>229312160</t>
  </si>
  <si>
    <t>https://swisscovery.slsp.ch/view/sru/41SLSP_NETWORK?version=1.2&amp;operation=searchRetrieve&amp;recordSchema=marcxml&amp;query=alma.authority_id=229312160&amp;maximumRecords=0</t>
  </si>
  <si>
    <t>https://swisscovery.slsp.ch/view/sru/41SLSP_VGE?version=1.2&amp;operation=searchRetrieve&amp;recordSchema=marcxml&amp;query=alma.authority_id=229312160&amp;maximumRecords=0</t>
  </si>
  <si>
    <t>026567563</t>
  </si>
  <si>
    <t>https://swisscovery.slsp.ch/view/sru/41SLSP_NETWORK?version=1.2&amp;operation=searchRetrieve&amp;recordSchema=marcxml&amp;query=alma.authority_id=026567563&amp;maximumRecords=0</t>
  </si>
  <si>
    <t>https://swisscovery.slsp.ch/view/sru/41SLSP_VGE?version=1.2&amp;operation=searchRetrieve&amp;recordSchema=marcxml&amp;query=alma.authority_id=026567563&amp;maximumRecords=0</t>
  </si>
  <si>
    <t>258235381</t>
  </si>
  <si>
    <t>https://swisscovery.slsp.ch/view/sru/41SLSP_NETWORK?version=1.2&amp;operation=searchRetrieve&amp;recordSchema=marcxml&amp;query=alma.authority_id=258235381&amp;maximumRecords=0</t>
  </si>
  <si>
    <t>https://swisscovery.slsp.ch/view/sru/41SLSP_VGE?version=1.2&amp;operation=searchRetrieve&amp;recordSchema=marcxml&amp;query=alma.authority_id=258235381&amp;maximumRecords=0</t>
  </si>
  <si>
    <t>026567547</t>
  </si>
  <si>
    <t>https://swisscovery.slsp.ch/view/sru/41SLSP_NETWORK?version=1.2&amp;operation=searchRetrieve&amp;recordSchema=marcxml&amp;query=alma.authority_id=026567547&amp;maximumRecords=0</t>
  </si>
  <si>
    <t>https://swisscovery.slsp.ch/view/sru/41SLSP_VGE?version=1.2&amp;operation=searchRetrieve&amp;recordSchema=marcxml&amp;query=alma.authority_id=026567547&amp;maximumRecords=0</t>
  </si>
  <si>
    <t>094278326</t>
  </si>
  <si>
    <t>https://swisscovery.slsp.ch/view/sru/41SLSP_NETWORK?version=1.2&amp;operation=searchRetrieve&amp;recordSchema=marcxml&amp;query=alma.authority_id=094278326&amp;maximumRecords=0</t>
  </si>
  <si>
    <t>https://swisscovery.slsp.ch/view/sru/41SLSP_VGE?version=1.2&amp;operation=searchRetrieve&amp;recordSchema=marcxml&amp;query=alma.authority_id=094278326&amp;maximumRecords=0</t>
  </si>
  <si>
    <t>14488402X</t>
  </si>
  <si>
    <t>https://swisscovery.slsp.ch/view/sru/41SLSP_NETWORK?version=1.2&amp;operation=searchRetrieve&amp;recordSchema=marcxml&amp;query=alma.authority_id=14488402X&amp;maximumRecords=0</t>
  </si>
  <si>
    <t>https://swisscovery.slsp.ch/view/sru/41SLSP_VGE?version=1.2&amp;operation=searchRetrieve&amp;recordSchema=marcxml&amp;query=alma.authority_id=14488402X&amp;maximumRecords=0</t>
  </si>
  <si>
    <t>18906367X</t>
  </si>
  <si>
    <t>https://swisscovery.slsp.ch/view/sru/41SLSP_NETWORK?version=1.2&amp;operation=searchRetrieve&amp;recordSchema=marcxml&amp;query=alma.authority_id=18906367X&amp;maximumRecords=0</t>
  </si>
  <si>
    <t>https://swisscovery.slsp.ch/view/sru/41SLSP_VGE?version=1.2&amp;operation=searchRetrieve&amp;recordSchema=marcxml&amp;query=alma.authority_id=18906367X&amp;maximumRecords=0</t>
  </si>
  <si>
    <t>261217771</t>
  </si>
  <si>
    <t>https://swisscovery.slsp.ch/view/sru/41SLSP_NETWORK?version=1.2&amp;operation=searchRetrieve&amp;recordSchema=marcxml&amp;query=alma.authority_id=261217771&amp;maximumRecords=0</t>
  </si>
  <si>
    <t>https://swisscovery.slsp.ch/view/sru/41SLSP_VGE?version=1.2&amp;operation=searchRetrieve&amp;recordSchema=marcxml&amp;query=alma.authority_id=261217771&amp;maximumRecords=0</t>
  </si>
  <si>
    <t>02643136X</t>
  </si>
  <si>
    <t>https://swisscovery.slsp.ch/view/sru/41SLSP_NETWORK?version=1.2&amp;operation=searchRetrieve&amp;recordSchema=marcxml&amp;query=alma.authority_id=02643136X&amp;maximumRecords=0</t>
  </si>
  <si>
    <t>https://swisscovery.slsp.ch/view/sru/41SLSP_VGE?version=1.2&amp;operation=searchRetrieve&amp;recordSchema=marcxml&amp;query=alma.authority_id=02643136X&amp;maximumRecords=0</t>
  </si>
  <si>
    <t>101870388</t>
  </si>
  <si>
    <t>https://swisscovery.slsp.ch/view/sru/41SLSP_NETWORK?version=1.2&amp;operation=searchRetrieve&amp;recordSchema=marcxml&amp;query=alma.authority_id=101870388&amp;maximumRecords=0</t>
  </si>
  <si>
    <t>https://swisscovery.slsp.ch/view/sru/41SLSP_VGE?version=1.2&amp;operation=searchRetrieve&amp;recordSchema=marcxml&amp;query=alma.authority_id=101870388&amp;maximumRecords=0</t>
  </si>
  <si>
    <t>028202368</t>
  </si>
  <si>
    <t>https://swisscovery.slsp.ch/view/sru/41SLSP_NETWORK?version=1.2&amp;operation=searchRetrieve&amp;recordSchema=marcxml&amp;query=alma.authority_id=028202368&amp;maximumRecords=0</t>
  </si>
  <si>
    <t>https://swisscovery.slsp.ch/view/sru/41SLSP_VGE?version=1.2&amp;operation=searchRetrieve&amp;recordSchema=marcxml&amp;query=alma.authority_id=028202368&amp;maximumRecords=0</t>
  </si>
  <si>
    <t>190138521</t>
  </si>
  <si>
    <t>https://swisscovery.slsp.ch/view/sru/41SLSP_NETWORK?version=1.2&amp;operation=searchRetrieve&amp;recordSchema=marcxml&amp;query=alma.authority_id=190138521&amp;maximumRecords=0</t>
  </si>
  <si>
    <t>https://swisscovery.slsp.ch/view/sru/41SLSP_VGE?version=1.2&amp;operation=searchRetrieve&amp;recordSchema=marcxml&amp;query=alma.authority_id=190138521&amp;maximumRecords=0</t>
  </si>
  <si>
    <t>027092321</t>
  </si>
  <si>
    <t>https://swisscovery.slsp.ch/view/sru/41SLSP_NETWORK?version=1.2&amp;operation=searchRetrieve&amp;recordSchema=marcxml&amp;query=alma.authority_id=027092321&amp;maximumRecords=0</t>
  </si>
  <si>
    <t>https://swisscovery.slsp.ch/view/sru/41SLSP_VGE?version=1.2&amp;operation=searchRetrieve&amp;recordSchema=marcxml&amp;query=alma.authority_id=027092321&amp;maximumRecords=0</t>
  </si>
  <si>
    <t>Reymond, Jacques-André (1937-....)</t>
  </si>
  <si>
    <t>Docteur en droit (Genève, 1974). Professeur de droit à l'Université de Genève, Suisse. Avocat</t>
  </si>
  <si>
    <t>Perregaux, Béatrice (1937-1998 ; comédienne)</t>
  </si>
  <si>
    <t>Môtiers</t>
  </si>
  <si>
    <t>1998</t>
  </si>
  <si>
    <t>Troinex</t>
  </si>
  <si>
    <t>Comédienne | Enseignante du Département de Langue et littérature françaises modernes de l'Université de Genève (en 1991) | Traduit de l'allemand en français</t>
  </si>
  <si>
    <t>Appelt, Nicolas (1981-....)</t>
  </si>
  <si>
    <t>Docteur en études arabes à l'Université de Genève, chargé de recherches au CIC à Genève et chargé de cours à l'EPFL</t>
  </si>
  <si>
    <t>Giroud, Jean-Charles (1952-....)</t>
  </si>
  <si>
    <t>Historien de l'affiche. Ancien directeur de la Bibliothèque de Genève et ancien conservateur de sa collection d'affiches</t>
  </si>
  <si>
    <t>Rahmy, Philippe (1965-2017)</t>
  </si>
  <si>
    <t>0110</t>
  </si>
  <si>
    <t>Centre hospitalier universitaire vaudois</t>
  </si>
  <si>
    <t>Université de Lausanne | École du Louvre</t>
  </si>
  <si>
    <t>Romancier suisse. Egyptologue, licencié en philosophie</t>
  </si>
  <si>
    <t>Brandt, Muriel (19..-....)</t>
  </si>
  <si>
    <t>Médiéviste et musicienne. Chargée de projet à la Fondation Bodmer (en 2021)</t>
  </si>
  <si>
    <t>Falk-Vairant, Jeanine (1928-2008)</t>
  </si>
  <si>
    <t>Diplômée de l'école des beaux-arts de Paris. Enseigne les arts plastiques à Genève (depuis 1955). Artiste peintre</t>
  </si>
  <si>
    <t>Barzānī, Ayyūb (1945-....)</t>
  </si>
  <si>
    <t>Kurde irakien né en 1945, installé à Genève en 1992. - Traduit de l'arabe et du kurde</t>
  </si>
  <si>
    <t>Salzmann, Marina</t>
  </si>
  <si>
    <t>Naissance à Vevey. Divers métiers. Installation à Genève. Etudes à la faculté des lettres. Pratique de l'écriture (fiction, autofiction, poésie contemporaine). Cofonde en 2008 la revue coaltar.</t>
  </si>
  <si>
    <t>Vuille, Michel (1939-....)</t>
  </si>
  <si>
    <t>Sociologue au Service de la recherche en éducation, Genève (en 1999). Docteur en sociologie (Lausanne, Suisse, 1978)</t>
  </si>
  <si>
    <t>Martini, Vivaldo  (1908-1990)</t>
  </si>
  <si>
    <t>1908</t>
  </si>
  <si>
    <t>Bellinzone</t>
  </si>
  <si>
    <t>1990</t>
  </si>
  <si>
    <t>Académie des Beaux-Arts de Bologne</t>
  </si>
  <si>
    <t>Artiste peintre</t>
  </si>
  <si>
    <t>Jaquemot, Jean (1543-1615)</t>
  </si>
  <si>
    <t>1543</t>
  </si>
  <si>
    <t>1615</t>
  </si>
  <si>
    <t>Poète. Pasteur protestant de Bar-le-Duc réfugié à Genève. Recteur de l'Académie de Genève</t>
  </si>
  <si>
    <t>Duperrex, Aloys</t>
  </si>
  <si>
    <t>1923</t>
  </si>
  <si>
    <t>Thèse de doctorat en Sciences soutenue à l'Université de Besançon en 1964. Naturaliste genevois. A dirigé le Centre horticole de Lullier de 1967 à 1986</t>
  </si>
  <si>
    <t>Bodmer, Barthélemy (1848-1904)</t>
  </si>
  <si>
    <t>1848</t>
  </si>
  <si>
    <t>1904</t>
  </si>
  <si>
    <t>Acquaroli, Michel (19..-....)</t>
  </si>
  <si>
    <t>Architecte</t>
  </si>
  <si>
    <t>Vellas, Christian</t>
  </si>
  <si>
    <t>Nîmes</t>
  </si>
  <si>
    <t>Rochat, Alexandre (1895-1981)</t>
  </si>
  <si>
    <t>Peintre genevois</t>
  </si>
  <si>
    <t>Fontaine, Gérard (1954-....)</t>
  </si>
  <si>
    <t>Historien local</t>
  </si>
  <si>
    <t>Roth, Hansjörg (1965-....)</t>
  </si>
  <si>
    <t>Historien genevois</t>
  </si>
  <si>
    <t>Goliasch, William (1922-1986)</t>
  </si>
  <si>
    <t>Paurd, Clément</t>
  </si>
  <si>
    <t>Clément Paurd est chargé de cours HES, responsable Image/Récit en communication visuelle à la Haute Ecole d'Art et de Design de Genève (en 2021)</t>
  </si>
  <si>
    <t>Rosset, Jacques (19..-....)</t>
  </si>
  <si>
    <t>Architecte HES et Ecobiologiste de la construction, spécialiste en Urbanisme Durable et Gestion de l’électro-smog, expert Feng-shui. Spécialiste des \"Trois G\", géométrie sacrée, géomancie et géobiologie</t>
  </si>
  <si>
    <t>Larvego, Elisa (1984-...)</t>
  </si>
  <si>
    <t>Carouge</t>
  </si>
  <si>
    <t>Aubert, Charles (1914-2007)</t>
  </si>
  <si>
    <t>2007</t>
  </si>
  <si>
    <t>Historien, docteur en droit. A dirigé la Chambre de commerce de Genève</t>
  </si>
  <si>
    <t>Marcuse, Sarah (19..-....)</t>
  </si>
  <si>
    <t>Actrice | Scolarité à l’École Rudolf Steiner, puis maturité au Collège Voltaire. - Une année en lettres à L’Université de Genève ; École Dimitri et enfin 3 ans à l’École Serge Martin parachèvent sa formation. - Elle a été animatrice à la RTS (Radio télévision suisse) entre les années 1996 et 2001. - Elle enseigne le théâtre depuis 2007 dans le cadre des activités culturelles de L’Université de Genève.</t>
  </si>
  <si>
    <t>Barouch, Valeria (1951-....)</t>
  </si>
  <si>
    <t>Poètesse</t>
  </si>
  <si>
    <t>Strobino, Amélie (1992-....)</t>
  </si>
  <si>
    <t>Suisse</t>
  </si>
  <si>
    <t>Centre de formation professionnelle en Arts de Genève | Haute École d’art et de design Genève</t>
  </si>
  <si>
    <t>Illustratrice et créatrice de bande-dessinée basée à Genève</t>
  </si>
  <si>
    <t>Gajardo Muñoz, Jorge</t>
  </si>
  <si>
    <t>Bachelor en information documentaire à la HEG de Genève, en 2017. - Historien, rédacteur, critique spécialisé dans les arts de la scène. - Gestionnaire de dossier spécialisé au Conseil municipal de la ville de Genève</t>
  </si>
  <si>
    <t>Spierer, Céline</t>
  </si>
  <si>
    <t>?</t>
  </si>
  <si>
    <t>Née à Genève, Céline Spierer a suivi un cours d'écriture scénaristique à Los Angeles avant d'étudier à l'école de cinéma de NYU. Elle a ensuite travaillé comme consultante et assistante de production aux Etats-Unis et en Suisse. Elle réside aujourd'hui à Manhattan. Le Fil rompu est son premier roman.</t>
  </si>
  <si>
    <t>Privat, Robert (1919-2007)</t>
  </si>
  <si>
    <t>Graphiste, illustrateur, artiste</t>
  </si>
  <si>
    <t>Sheybani, Chirine (1983-....)</t>
  </si>
  <si>
    <t>Romancière. Elle a reçu le Prix de la Loterie romande et le Prix Lettres Frontières 2019 avec son premier roman \"Nafasam\".</t>
  </si>
  <si>
    <t>Casile, Xavier (1963-....)</t>
  </si>
  <si>
    <t>1963</t>
  </si>
  <si>
    <t>Concepteur rédacteur en publicité</t>
  </si>
  <si>
    <t>Costamagna-Durieu, Maria (19..-....)</t>
  </si>
  <si>
    <t>Porte le pseudonyme de Mariscot ou Maricost</t>
  </si>
  <si>
    <t>Fontanilles, Enrique (1961-....)</t>
  </si>
  <si>
    <t>Artiste, enseignant art/média à la HEAD (Genève), en 2022</t>
  </si>
  <si>
    <t>Chevalier, Matthieu (19..-....)</t>
  </si>
  <si>
    <t>Botaniste Suisse</t>
  </si>
  <si>
    <t>Perrin, Charles-Louis (1839-1910)</t>
  </si>
  <si>
    <t>1839</t>
  </si>
  <si>
    <t>1910</t>
  </si>
  <si>
    <t>Photographe genevois</t>
  </si>
  <si>
    <t>Reiss, Roger</t>
  </si>
  <si>
    <t>Hinaekian, Peggy (1935-....)</t>
  </si>
  <si>
    <t>Activité liée à la production artistique : estampe | Activité liée à la production artistique : peinture | Lieu de naissance : Le Caire (Egypte). | Profession annexe : graveur | Profession annexe : peintre</t>
  </si>
  <si>
    <t>Barelli, Marcel (1985-....)</t>
  </si>
  <si>
    <t>Lodrino</t>
  </si>
  <si>
    <t>Réalisateur de films d'animation</t>
  </si>
  <si>
    <t>Gorgone Castiglione, Concetta Maria (1959-....)</t>
  </si>
  <si>
    <t>Née en 1959 à Genève. - Licence en Lettres françaises et italiennes à Genève. - Étudie le grec moderne</t>
  </si>
  <si>
    <t>Plojoux, Line (1909-1998)</t>
  </si>
  <si>
    <t>1909</t>
  </si>
  <si>
    <t>peintre</t>
  </si>
  <si>
    <t>Wilsdorf, Hans (1881-1960)</t>
  </si>
  <si>
    <t>Kulmbach</t>
  </si>
  <si>
    <t>Administrateur délégué de Montres Rolex S.A., Genève ; Directeur de la fabrique Rolex</t>
  </si>
  <si>
    <t>Decorvet, Anne-Claire (19..-....)</t>
  </si>
  <si>
    <t>Auteur</t>
  </si>
  <si>
    <t>Rodari, Florian (1949-....)</t>
  </si>
  <si>
    <t>Photo Elysée | Musée d’Art et d’Histoire de Genève</t>
  </si>
  <si>
    <t>Critique d'art, poète, éditeur. Directeur du Musée de l'Elysée de Lausanne (1979-1983)</t>
  </si>
  <si>
    <t>Reynaud, Alexis (1975-....)</t>
  </si>
  <si>
    <t>Photographe</t>
  </si>
  <si>
    <t>Mégevand, Matthieu (1983-....)</t>
  </si>
  <si>
    <t>Labor et Fides</t>
  </si>
  <si>
    <t>Romancier, nouvelliste</t>
  </si>
  <si>
    <t>Andrianasolo, Jean Luc (1983-....)</t>
  </si>
  <si>
    <t>Montchal, Charles (1855-1928)</t>
  </si>
  <si>
    <t>1855</t>
  </si>
  <si>
    <t>Professeur au Collège de Genève. Grand Prieur du Grand Prieuré d'Helvétie de 1909 à 1919</t>
  </si>
  <si>
    <t>Vignoli, Jean-Claude (19..-....)</t>
  </si>
  <si>
    <t>1976</t>
  </si>
  <si>
    <t>Institut de hautes études internationales et du développement</t>
  </si>
  <si>
    <t>UPR Info | EAGLE</t>
  </si>
  <si>
    <t>Journaliste freelance, cofondateur d'UPR Info, une ONG active dans la protection des droits humains. Licence en relations internationales à l'Institut de hautes études internationales et du développement (IHEID), Genève, 2005</t>
  </si>
  <si>
    <t>Sandoz, Emilie (19..-....)</t>
  </si>
  <si>
    <t>Blonay, Jean de</t>
  </si>
  <si>
    <t>Médecin à la retraite, Jean de Blonay a toujours exercé en parallèle plusieurs fonctions qui ont nourri son expérience de vie chirurgien, médecin généraliste, urgentiste dans un important centre médical, délégué de la Croix Rouge dans des pays en conflit, instructeur de plongée, ingénieur multimédia, agent de voyages...</t>
  </si>
  <si>
    <t>Elmax (2002-....)</t>
  </si>
  <si>
    <t>Bilan</t>
  </si>
  <si>
    <t>Illustrateur indépendant et dessinateur de presse basé à Genève</t>
  </si>
  <si>
    <t>Rahm, Éric (1946-2016)</t>
  </si>
  <si>
    <t>Président de l'Association genevoise du musée des tramways</t>
  </si>
  <si>
    <t>Stern, Richard (19..-.... ; médecin orthopédiste)</t>
  </si>
  <si>
    <t>Diplôme en médecine à la State University of New York, Downstate Medical Center(1968). - Formation en traumatologie et en chirurgie à Bâle (Suisse), en 1975. - Dès 1999, médecin adjoint, au Service orthopédique des Hôpitaux Universitaires de Genève. - Il rejoint le Centre ASSAL de médecine et chirurgie du pied et de la cheville à Genève en 2012. - S'installe définitivement en Suisse en 1999</t>
  </si>
  <si>
    <t>Bagnoud, Alain (1959-....)</t>
  </si>
  <si>
    <t>Sierre</t>
  </si>
  <si>
    <t>Enseignant, écrivain suisse</t>
  </si>
  <si>
    <t>Weber, Noémie (1971-....)</t>
  </si>
  <si>
    <t>Née à Genève en 1971. - Auteur et illustratrice de livres jeunesse</t>
  </si>
  <si>
    <t>Chillier, Xavier (1965-....)</t>
  </si>
  <si>
    <t>Docteur en chimie-physique. Enseigne à l'université de Genève. Auteur de romans</t>
  </si>
  <si>
    <t>Reist, Delphine (1970-....)</t>
  </si>
  <si>
    <t>Delphine Reist vit et travaille à Genève. Elle a enseigné à l’ENSBA Lyon de 2006 à 2008. Elle enseigne actuellement à la HEAD, Haute école d'Art et de Design de Genève. Son travail est représenté en Suisse par la galerie Lange+Pult. Elle collabore avec Cécile Bonnet sous le nom de CBDR.</t>
  </si>
  <si>
    <t>Cardet, Eliott (19..-....)</t>
  </si>
  <si>
    <t>Libraire</t>
  </si>
  <si>
    <t>Perutz, Peter (1936-2020)</t>
  </si>
  <si>
    <t>1936</t>
  </si>
  <si>
    <t>Ingénieur, auteur. - Diplômé de l'ETHZ (École polytechnique fédérale de Zurich). - Il a travaillé comme ingénieur dans différentes entreprises. - En 1968, il rejoint le \"Geneva laboratories of the Battelle Foundation in Colombus, Ohio, USA. - De 1968 à 1984, il est ensuite nommé chercheur principal à Battelle, Genève</t>
  </si>
  <si>
    <t>Suhner, Laurence (1968-....)</t>
  </si>
  <si>
    <t>Auteur de bande dessinée, science fiction</t>
  </si>
  <si>
    <t>Lance Pasquier, Catherine (1976-....)</t>
  </si>
  <si>
    <t>Déléguée des Genevoises PLR (Parti libéral radical). - Directrice adjointe à la FER (Fédération des Entreprises Romandes), Genève</t>
  </si>
  <si>
    <t>Valp (1979-....)</t>
  </si>
  <si>
    <t>Auteur de bandes dessinées genevoise</t>
  </si>
  <si>
    <t>Frossard, Valérie (1978-....)</t>
  </si>
  <si>
    <t>1978</t>
  </si>
  <si>
    <t>Artiste, photographe</t>
  </si>
  <si>
    <t>Veyrat, Olivier (19..-....)</t>
  </si>
  <si>
    <t>Eglin, Florian (1974-....)</t>
  </si>
  <si>
    <t>Enseignant. - Romancier</t>
  </si>
  <si>
    <t>Vaucher, Marina (19..-....)</t>
  </si>
  <si>
    <t>Responsable associative</t>
  </si>
  <si>
    <t>Ramu, Sylvie (1959-....)</t>
  </si>
  <si>
    <t>Artiste genevoise</t>
  </si>
  <si>
    <t>Baur, Cati (1973-.... ; auteur de bandes dessinées)</t>
  </si>
  <si>
    <t>Auteur de bandes dessinées</t>
  </si>
  <si>
    <t>Lador, Maurice (1900-1980)</t>
  </si>
  <si>
    <t>Pasteur genevois</t>
  </si>
  <si>
    <t>Rihs, Guillaume (1984-....)</t>
  </si>
  <si>
    <t>Enseignant d'histoire et d'anglais au lycée (en 2016)</t>
  </si>
  <si>
    <t>Drake, Henry (1995-....)</t>
  </si>
  <si>
    <t>Né en Grande-Bretagne. - Vit à Genève. - Etudiant du Département Arts Visuels de la HEAD (Haute Ecole d'art et de design) à Genève. - Artiste</t>
  </si>
  <si>
    <t>Cingria, Albert (1906-1966 ; architecte)</t>
  </si>
  <si>
    <t>Architecte . - Études d'architecture à l’École polytechnique de Milan, achevée en 1931</t>
  </si>
  <si>
    <t>Vuilleumier, Christophe (1970-....)</t>
  </si>
  <si>
    <t>Université de Genève | École pratique des hautes études</t>
  </si>
  <si>
    <t>Historien genevois spécialisé dans l'histoire des institutions et des mentalités (en 2009)</t>
  </si>
  <si>
    <t>Chappuis, Lise (1971-....)</t>
  </si>
  <si>
    <t>Auteure genevoise, née en 1971. - Elle travaille comme assistante administrative à la Direction itinéraire d’intégration de la Fondation Foyer-Handicap à Genève</t>
  </si>
  <si>
    <t>Favre, Guillaume (1979-....)</t>
  </si>
  <si>
    <t>Romancier et poète</t>
  </si>
  <si>
    <t>Cayuso, Ainhoa (1989-....)</t>
  </si>
  <si>
    <t>Dessinatrice, graphiste, céramiste. - Diplômée en communication visuelle de l'Université Art &amp; design de Genève (Suisse) en 2013 et titulaire d'un master en illustration de l'École Art &amp; design de Lucerne (Suisse) (en 2015)‏</t>
  </si>
  <si>
    <t>Achkar, Eric (19..-....)</t>
  </si>
  <si>
    <t>Président de la Société astronomique de Genève</t>
  </si>
  <si>
    <t>Labarthe, Olivier (19..-....)</t>
  </si>
  <si>
    <t>Pasteur et chercheur à l'université de Genève (Suisse). Membre du Consistoire, modérateur de la Compagnie des pasteurs. Coéditeur des Registres de la Compagnie des pasteurs (1565-1588) durant une dizaine d'années, président de la Société du Musée Historique de la Réformation depuis 1988.</t>
  </si>
  <si>
    <t>Magnenat, Mina (1947-2017)</t>
  </si>
  <si>
    <t>Hagmajer, Matylda (19..-....)</t>
  </si>
  <si>
    <t>Varsovie</t>
  </si>
  <si>
    <t>Historienne de l'art, romancière</t>
  </si>
  <si>
    <t>Staub, Rolf (1953-....)</t>
  </si>
  <si>
    <t>Membre de \"La mémoire de Veyrier\"</t>
  </si>
  <si>
    <t>Armleder, John Michaël (1948-....)</t>
  </si>
  <si>
    <t>École supérieure des beaux-arts de Genève | Université de Glamorgan</t>
  </si>
  <si>
    <t>Haute École d'arts plastiques</t>
  </si>
  <si>
    <t>Peintre et sculpteur né à Genève, Suisse. Vit et travaille entre Genève et New York, N.Y.</t>
  </si>
  <si>
    <t>Vuillemin, Isabelle (19..-....)</t>
  </si>
  <si>
    <t>Directrice du Service enseignement et évaluation à la Direction générale de l'enseignement obligatoire, Genève, en 2021</t>
  </si>
  <si>
    <t>Tollot, Aimé (1675-1751)</t>
  </si>
  <si>
    <t>1675</t>
  </si>
  <si>
    <t>1751</t>
  </si>
  <si>
    <t>Médecin genevois</t>
  </si>
  <si>
    <t>Zaki, Myret (1973-....)</t>
  </si>
  <si>
    <t>Le Caire</t>
  </si>
  <si>
    <t>Rédactrice en chef adjointe du magazine économique Bilan (en 2011) | Titulaire d'un diplôme de gestion d'entreprise de la Business School of Lausanne. Journaliste financière au quotidien suisse Le Temps</t>
  </si>
  <si>
    <t>Illi, Alexandre (19..-....)</t>
  </si>
  <si>
    <t>Dobrinov, Alexandre (1968-....)</t>
  </si>
  <si>
    <t>Né à Bucarest. - Vit à Genève. - Médecin et écrivain</t>
  </si>
  <si>
    <t>Décaillet, Pascal (1958)</t>
  </si>
  <si>
    <t>Léman Bleu</t>
  </si>
  <si>
    <t>Journaliste à la Radio Suisse Romande, producteur responsable de l'émission \"Forums\". Désigné \"meilleur journaliste de Suisse romande\" en 2005 par un jury de professionnels.</t>
  </si>
  <si>
    <t>Haeberlin, Yann (1982-....)</t>
  </si>
  <si>
    <t>Photographe. - Vit à Genève</t>
  </si>
  <si>
    <t>Legeret, Olivier (194.-....)</t>
  </si>
  <si>
    <t>194X</t>
  </si>
  <si>
    <t>Ancien commandant du Service d'incendie et de secours (SIS) à Genève</t>
  </si>
  <si>
    <t>Odier, James (1832-1918)</t>
  </si>
  <si>
    <t>1832</t>
  </si>
  <si>
    <t>Banquier</t>
  </si>
  <si>
    <t>Motti, Gianni (1958-....)</t>
  </si>
  <si>
    <t>Sondrio</t>
  </si>
  <si>
    <t>Artiste. Vit et travaille à Genève, Suisse (en 2005)</t>
  </si>
  <si>
    <t>Rovini, Dominique</t>
  </si>
  <si>
    <t>19xx</t>
  </si>
  <si>
    <t>Titulaire d’un Master en philosophie, allemand et linguistique.</t>
  </si>
  <si>
    <t>Graf, Elijah (199.-....)</t>
  </si>
  <si>
    <t>199X</t>
  </si>
  <si>
    <t>Titulaire d’un bachelor en beaux-arts de la Haute école d’art et de design (HEAD) de Genève, en 2020</t>
  </si>
  <si>
    <t>Campiche, Christian (1948-.... ; journaliste)</t>
  </si>
  <si>
    <t>Schaller, Philippe (1954-....)</t>
  </si>
  <si>
    <t>Uldry, Raymond (1911-2012)</t>
  </si>
  <si>
    <t>1911</t>
  </si>
  <si>
    <t>Créateur de l'Office d’orientation et de formation professionnelle genevois</t>
  </si>
  <si>
    <t>Gilbert, Julie (1974-....)</t>
  </si>
  <si>
    <t>Grenoble</t>
  </si>
  <si>
    <t>Réalisatrice, auteure de théâtre, scénariste franco-suisse, installée à Genève</t>
  </si>
  <si>
    <t>Morey, Louis (1894-1916)</t>
  </si>
  <si>
    <t>1894</t>
  </si>
  <si>
    <t>1916</t>
  </si>
  <si>
    <t>Engagé volontaire en 1914</t>
  </si>
  <si>
    <t>Ner, Marianne (1961-....)</t>
  </si>
  <si>
    <t>Bibliothécaire, spécialiste de musique</t>
  </si>
  <si>
    <t>Seigne, Aude (1985-....)</t>
  </si>
  <si>
    <t>Decosterd, Patrick (1954-....)</t>
  </si>
  <si>
    <t>Poète, écrivain et musicien</t>
  </si>
  <si>
    <t>Binder, Vanessa (198.-....)</t>
  </si>
  <si>
    <t>198X</t>
  </si>
  <si>
    <t>Assistante administrative dans une banque privée et auteure indépendante</t>
  </si>
  <si>
    <t>Follonier, Gérald (19..-....)</t>
  </si>
  <si>
    <t>Coach d'entrepriste. - Il a fondé Ultime Coaching à Genève</t>
  </si>
  <si>
    <t>Lecomte, Christian (1957-....)</t>
  </si>
  <si>
    <t>Sarthe</t>
  </si>
  <si>
    <t>Journaliste. Ancien correspondant en Bosnie-Herzégovine pour Ouest-France et le Monde, puis en Algérie pour Le Temps et la RTS. Depuis 2005, collaborateur au Temps chargé entre autres de l'actualité transfrontalière. Auteur de livres</t>
  </si>
  <si>
    <t>Naville, Sophie (1858-1948)</t>
  </si>
  <si>
    <t>1858</t>
  </si>
  <si>
    <t>Épouse d'Aloys Naville</t>
  </si>
  <si>
    <t>Metzger del Campo, Stéphanie (1968-....)</t>
  </si>
  <si>
    <t>Médecin de formation. A crée en 2010 à Genève la plateforme Nutrivida, siège de l'étude de la transdisciplinarité entre l'art, la culture et la santé.</t>
  </si>
  <si>
    <t>Nicollier-de Weck, Béatrice (19..-....)</t>
  </si>
  <si>
    <t>Historienne</t>
  </si>
  <si>
    <t>Aznavour, Danella (19..-....)</t>
  </si>
  <si>
    <t>-</t>
  </si>
  <si>
    <t>Berthod, Nathalie (19..-....)</t>
  </si>
  <si>
    <t>Schöndelmayer, Charles (1866-1936)</t>
  </si>
  <si>
    <t>Cartographe genevois</t>
  </si>
  <si>
    <t>Cabotse, Jennifer (19-....)</t>
  </si>
  <si>
    <t>Illustratrice. - A fait ses études à l'Université de Genève. - Vit actuellement à Tokyo</t>
  </si>
  <si>
    <t>Forney, Yannic (19..-....)</t>
  </si>
  <si>
    <t>A obtenu une licence en histoire économique à l'Université de Genève, un DEA (master) en démographie à l'Université Paris 1 Panthéon-Sorbonne et un doctorat en démographie (Université de Genève). - Il travaille actuellement à la Fédération des Entreprises Romandes Genève (FER Genève).</t>
  </si>
  <si>
    <t>Thomé, Stéphanie (198.-....)</t>
  </si>
  <si>
    <t>Bogana, Alan (1979-....)</t>
  </si>
  <si>
    <t>Artiste suisse né à Faido (Tessin), vit à Genève</t>
  </si>
  <si>
    <t>Klinggräff, Fritz von (1959-....)</t>
  </si>
  <si>
    <t>Né en 1959. - Auteur et journaliste. - Professeur d'allemand à la Fondation pour la formation des adultes à Genève et dirige le centre d'examen de l'Institut Goethe local</t>
  </si>
  <si>
    <t>Reber, Viviane (197.-....)</t>
  </si>
  <si>
    <t>197X</t>
  </si>
  <si>
    <t>Cornaz, Suzanne (18..-....)</t>
  </si>
  <si>
    <t>Directrice d'école à Genève (début 20e siècle)</t>
  </si>
  <si>
    <t>Kocher, Jean (1903-1970)</t>
  </si>
  <si>
    <t>1903</t>
  </si>
  <si>
    <t>Isoz, Joëlle (1973-....)</t>
  </si>
  <si>
    <t>Chavier, Antoine (199.-....)</t>
  </si>
  <si>
    <t>Tabatabay-Schmitt, Catherine (19..-....)</t>
  </si>
  <si>
    <t>Weerdmeester, Hermine (199.-....)</t>
  </si>
  <si>
    <t>Titulaire d’une licence en beaux-arts de la Haute école d’art et de design (HEAD) de Genève, en 2020</t>
  </si>
  <si>
    <t>Bridel, Françoise (1954-....)</t>
  </si>
  <si>
    <t>Duvillard, Joseph (1836-1920)</t>
  </si>
  <si>
    <t>1836</t>
  </si>
  <si>
    <t>Maître de grec au gymnase, professeur honoraire à l'Université de Genève. Bibliothécaire de l'Institut national genevois.</t>
  </si>
  <si>
    <t>Gaillard, Thierry (1963-....)</t>
  </si>
  <si>
    <t>Psychothérapeute, formateur et chercheur indépendant. Publie également en anglais sous le nom de Tony T. Gaillard.</t>
  </si>
  <si>
    <t>Flisch, Christian W. (1956-....)</t>
  </si>
  <si>
    <t>Chirurgien et historien. - Originaire du canton des Grisons (Suisse). - Né en 1956 au Proche-Orient, il a fait sa scolarité et ses études à Genève où il est établi comme chirurgien. - Auteur de plusieurs articles publiés dans des revues scientifiques, et membre notamment de la Historische Gesellschaft von Graubünden (Société d’Histoire des Grisons), de la Rätische Vereinigung für Familienforschung (Association rhétique d’Etudes Généalogiques) et de l’Amicale Alexandrie Hier et Aujourd’hui</t>
  </si>
  <si>
    <t>Deluz, Karine (199.-....)</t>
  </si>
  <si>
    <t>Etudiante en Bachelor Arts visuels à la HEAD (Haute école d'art et de Design) – Genève</t>
  </si>
  <si>
    <t>Mentha, Jean-Pierre (1924-....)</t>
  </si>
  <si>
    <t>En retraite (en 2003) | Enseignant à l'Université de Victoria en Colombie britannique</t>
  </si>
  <si>
    <t>Beck, Marie-Laure (1920-2014)</t>
  </si>
  <si>
    <t>Politicienne genevoise</t>
  </si>
  <si>
    <t>Best, Melchior (1996-....)</t>
  </si>
  <si>
    <t>Né en 1996, titulaire d'une maturité OS arts visuels, Melchior Best a obtenu en juin 2020 un diplôme de l'Ecole supérieure de bande dessinée et d'illustration de Genève (ESBDI) du CFP Arts. - Il a participé à différents projets collectifs. - Il poursuit actuellement ses études en communication visuelle, option Image/Récit, à la HEAD (Haute école d'art et de design)– Genève</t>
  </si>
  <si>
    <t>Eckert, Rodrigue (19..-....)</t>
  </si>
  <si>
    <t>Responsable de l'enseignement au Cycle d'orientation à Genève (en 2021)</t>
  </si>
  <si>
    <t>Renevey, Guillaume (19..-....)</t>
  </si>
  <si>
    <t>Responsable de l’information et de la communication de l’OCCS pour les domaines culturels et rédacteur en chef de 360°</t>
  </si>
  <si>
    <t>Aubert, René (1908-1981)</t>
  </si>
  <si>
    <t>Alpiniste genevois</t>
  </si>
  <si>
    <t>Blanc, Valérie (19..-.... ; journaliste gastronomique)</t>
  </si>
  <si>
    <t>Rédactrice gastronomique, journaliste indépendante spécialisée art de vivre, créatrice concepts événementiels, éditrice</t>
  </si>
  <si>
    <t>Bendahan, Samuel J. (19..-....)</t>
  </si>
  <si>
    <t>Architecte genevois</t>
  </si>
  <si>
    <t>Gallatin, Paul-Michel (1744-1822)</t>
  </si>
  <si>
    <t>1744</t>
  </si>
  <si>
    <t>1822</t>
  </si>
  <si>
    <t>Avocat genevois, membre du Conseil des Deux-Cents, syndic</t>
  </si>
  <si>
    <t>Kutaish, Halah (19..-....)</t>
  </si>
  <si>
    <t>Spécialisée dans les langues extrême-orientales, Halah Kutaish a également obtenu en 2012 le titre de médecin après avoir suivi un cursus complet en médecine occidentale et traditionnelle chinoise à Nanjing (Chine). - Titulaire d’une maîtrise en épidémiologie obtenue à l’Institut suisse de maladies tropicales et de santé publique (Swiss TPH) à Bâle. - Elle se spécialise actuellement en chirurgie orthopédique et traumatologie au Centre ASSAL de médecine et de chirurgie du pied à Genève</t>
  </si>
  <si>
    <t>Fiechter, Sara (199.-....)</t>
  </si>
  <si>
    <t>Titulaire d’une licence en beaux-arts de la Haute école d’art et de design (HEAD) de Genève, en 2019</t>
  </si>
  <si>
    <t>Schlup , Jenifer  (19..-....)</t>
  </si>
  <si>
    <t>Cheffe de projet, Etat de Genève</t>
  </si>
  <si>
    <t>Fred, Robert (19..-.... ; poète)</t>
  </si>
  <si>
    <t>Poète</t>
  </si>
  <si>
    <t>Gardy SA (Genève, Suisse ; 1890-1999)</t>
  </si>
  <si>
    <t>1890</t>
  </si>
  <si>
    <t>Boulliane, Juliette (199.-....)</t>
  </si>
  <si>
    <t>Etudiante en Bachelor Arts visuels à la HEAD (Haute école d'art et de design) – Genève</t>
  </si>
  <si>
    <t>Cassani, Philippe (1940-2014)</t>
  </si>
  <si>
    <t>Khodl, Jehan (1994-....)</t>
  </si>
  <si>
    <t>Jeannerat, Ignace (19..-....)</t>
  </si>
  <si>
    <t>Licence en Science politique à l'Université de Lausanne en 1984. - Journaliste, chef de rubrique et membre de la rédaction en chef (Journal de Genève &amp; Gazette de Lausanne ainsi qu'au journal Le Temps). - Depuis 2019, il est adjoint de la responsable de la communication de l'aéroport de Genève</t>
  </si>
  <si>
    <t>Smadja, Fabien (1956-....)</t>
  </si>
  <si>
    <t>Né en 1956 à Genève. - Consultant en formation à Genève</t>
  </si>
  <si>
    <t>Decorvet, Gilles (1962-....)</t>
  </si>
  <si>
    <t>Comédien et traducteur littéraire du grec moderne en français</t>
  </si>
  <si>
    <t>Haidinger, Nastassja (199.-....)</t>
  </si>
  <si>
    <t>Licence de Lettres à l'Université de Genève, en 2013</t>
  </si>
  <si>
    <t>Papon, Jacques (1654-1718)</t>
  </si>
  <si>
    <t>1654</t>
  </si>
  <si>
    <t>1718</t>
  </si>
  <si>
    <t>Pasteur vaudois du Piémont, ancien étudiant à l'Académie de Genève 1671-1679</t>
  </si>
  <si>
    <t>Kagame, Kayije (1987-....)</t>
  </si>
  <si>
    <t>Kayije Kagame travaille dans le domaine des arts scéniques et contemporains en Suisse et à l’étranger. - Diplômée de l’ENSATT (Ecole nationale supérieure des arts et techniques du théâtre) de Lyon en 2013</t>
  </si>
  <si>
    <t>Hiltbrand, Roger (19..-....)</t>
  </si>
  <si>
    <t>Entomologiste</t>
  </si>
  <si>
    <t>Studer, Nicole (19..-....)</t>
  </si>
  <si>
    <t>Directrice artistique</t>
  </si>
  <si>
    <t>Grandjean, William (1885-1954)</t>
  </si>
  <si>
    <t>1885</t>
  </si>
  <si>
    <t>Ancien directeur de la société coopérative de Genève</t>
  </si>
  <si>
    <t>Scandurra, Alessandro (1972-....)</t>
  </si>
  <si>
    <t>Auteur et poète genevois</t>
  </si>
  <si>
    <t>Magnenat, René (1946-....)</t>
  </si>
  <si>
    <t>Enseignant, auteur</t>
  </si>
  <si>
    <t>Lenoir, Henri (1832-1921)</t>
  </si>
  <si>
    <t>1921</t>
  </si>
  <si>
    <t>Faucherre, Solal (2005-....)</t>
  </si>
  <si>
    <t>Guide au FMAC (2023) et artiste</t>
  </si>
  <si>
    <t>Le Comte, Francis (19..-....)</t>
  </si>
  <si>
    <t>Ancien capitaine des pompiers du Service d'incendie et de secours (SIS) à Genève. - Actuellement vice-président et secrétaire du comité de l'AMSP (Association du Musée des sapeurs-pompiers) à Genève</t>
  </si>
  <si>
    <t>Bastianelli, Jacques (19..-....)</t>
  </si>
  <si>
    <t>Professeur d'histoire et de civisme au Département de l'instruction publique du canton de Genève</t>
  </si>
  <si>
    <t>Olivet, Etienne (1942-....)</t>
  </si>
  <si>
    <t>Ancien banquier, romancier</t>
  </si>
  <si>
    <t>Dehaas, Hella (1926-2006)</t>
  </si>
  <si>
    <t>1926</t>
  </si>
  <si>
    <t>2006</t>
  </si>
  <si>
    <t>Sculptrice suisse. - Né à Zürich en 1926 et décédée à Genève en 2006</t>
  </si>
  <si>
    <t>Jaquet, Pierre (chiropraticien)</t>
  </si>
  <si>
    <t>Directeur du Centre chiropratique de Genève (en 1976)</t>
  </si>
  <si>
    <t>Pavlik, Yan (199.-....)</t>
  </si>
  <si>
    <t>Etudiant du Département Arts Visuels de la HEAD (Haute école d'art et de design) à Genève</t>
  </si>
  <si>
    <t>Deville, Katherine (19..-....)</t>
  </si>
  <si>
    <t>Enseignante</t>
  </si>
  <si>
    <t>Lauriac, Henri (1910-1975)</t>
  </si>
  <si>
    <t>Comédien. - Né à Denain en 1910 et décédé à Genève en 1975. - De son vrai nom, Henri Lepagnot.</t>
  </si>
  <si>
    <t>Chabot, Lionel (19..-....)</t>
  </si>
  <si>
    <t>Travail à la direction du développement urbain Région Lac-Nord</t>
  </si>
  <si>
    <t>Ruegsegger, Stéphanie (19..-....)</t>
  </si>
  <si>
    <t>Directrice politique générale à la FER (Fédération des entreprises romandes) à Genève</t>
  </si>
  <si>
    <t>Solioz, Nathan (199.-....)</t>
  </si>
  <si>
    <t>Crausaz, Coline (19..-....)</t>
  </si>
  <si>
    <t>A obtenu son diplôme à la HEAD en 2021</t>
  </si>
  <si>
    <t>Dupanloup, Claude (1948-....)</t>
  </si>
  <si>
    <t>Animateur socioculturelle, il créé à Lancy (Suisse) le Centre Marignac en 1970, puis s'engage dès 1980 dans la structure faîtière de l'animation socioculturelle (FASe) dont il assure plus tard la direction jusqu'en 2010. Depuis lors, il se consacre à plusieurs activités associatives intergénérationnelles. Originaire de Carouge (Suisse)</t>
  </si>
  <si>
    <t>Torrent, Manu (19..-....)</t>
  </si>
  <si>
    <t>Pêcheur sur le lac Léman</t>
  </si>
  <si>
    <t>Perritaz, Alice (199.-....)</t>
  </si>
  <si>
    <t>Titulaire d'un Bachelor en arts visuels de la HEAD (Haute école d'art et de design) à Genève, en 2019</t>
  </si>
  <si>
    <t>Campo Real, Carmen (1968-....)</t>
  </si>
  <si>
    <t>Journaliste, artiste et poète‏</t>
  </si>
  <si>
    <t>Vallée, Sophie (19..-....)</t>
  </si>
  <si>
    <t>Greber, Nicolas (19..-....)</t>
  </si>
  <si>
    <t>Géologue, chargé de recherche au Muséum d'histoire naturelle de Genève</t>
  </si>
  <si>
    <t>Lacroix, Alison (19..-....)</t>
  </si>
  <si>
    <t>Roesti, Vincent (1980-....)</t>
  </si>
  <si>
    <t>Berthoud-Perrot, Lise (1930-....)</t>
  </si>
  <si>
    <t>Genevoise, licenciée en psychologie. Enseignante, catéchète, formatrice et créatrice de programmes.</t>
  </si>
  <si>
    <t>Paccaud, François-Xavier (19..-....)</t>
  </si>
  <si>
    <t>Ingénieur agronome (Dr. ès sciences de l’École polytechnique de Zürich). - Romancier genevois</t>
  </si>
  <si>
    <t>Reverdin, Ferdinand (1844-1888)</t>
  </si>
  <si>
    <t>1844</t>
  </si>
  <si>
    <t>Agent de change à Genève</t>
  </si>
  <si>
    <t>Gardiol, Maurice (1946-....)</t>
  </si>
  <si>
    <t>Travailleur social et diacre retraité aillant participé à la création de l'AGORA et de l'Association CAMARADA (Genève). Auteur de contes et traduit de l'anglais en français</t>
  </si>
  <si>
    <t>Tribot, Sandra (19..-....)</t>
  </si>
  <si>
    <t>Jordan, Robert (1944-....)</t>
  </si>
  <si>
    <t>1944</t>
  </si>
  <si>
    <t>Né à Genève en 1944. - Après des études d’ingénieur en génie électrique, il travaille pour une grande firme fabriquant des turbines hydrauliques. - En 1969, il est responsable technique au Grand-Théâtre de Genève. - Puis il crée sa propre société de production audiovisuelle en 1986. - Aujourd'hui à la retraite, il se consacre à l'écriture de romans policiers dont le personnage principal est le commissaire Sébastien Passard</t>
  </si>
  <si>
    <t>Oïhénart, Maud (19..-....)</t>
  </si>
  <si>
    <t>Illustratrice</t>
  </si>
  <si>
    <t>Meyer, Ernest Édouard (18..-1955)</t>
  </si>
  <si>
    <t>Pasteur de la communauté suisse-allemande de Genève</t>
  </si>
  <si>
    <t>Catherin, Brice (1981-....)</t>
  </si>
  <si>
    <t>Musicien. - Né à Bruxelles. - Il vit actuellement à Genève. - Il décide de se consacrer, sous forme de collaborations, aux créations inter-médias</t>
  </si>
  <si>
    <t>Sercomanens, Jade (1991-....)</t>
  </si>
  <si>
    <t>Titulaire d'un doctorat en histoire moderne et contemporaine des universités de Genève et Sorbonne université (en 2021)</t>
  </si>
  <si>
    <t>Vogelsanger, Willy (1925-2018)</t>
  </si>
  <si>
    <t>1925</t>
  </si>
  <si>
    <t>Abbé</t>
  </si>
  <si>
    <t>Perroton-Brekalo, Mladenka (19..-....)</t>
  </si>
  <si>
    <t>Née à Sarajevo, en Bosnie-Herzégovine. - En 1995, elle s’engage dans l’humanitaire sur différents continents. - Elle s’installe à définitivement à Genève en 1999.</t>
  </si>
  <si>
    <t>Frattini, Gilbert (1936-....)</t>
  </si>
  <si>
    <t>Beney, Patrick (197.-....)</t>
  </si>
  <si>
    <t>Écrivain indépendant et expert en communication digitale</t>
  </si>
  <si>
    <t>Divorne, Théodore (1874-1965)</t>
  </si>
  <si>
    <t>1874</t>
  </si>
  <si>
    <t>Besson, Jean-Pierre (1938-....)</t>
  </si>
  <si>
    <t>Enseignant, maire de Veyrier (Suisse)</t>
  </si>
  <si>
    <t>Sartorius, Elena (19..-....)</t>
  </si>
  <si>
    <t>Journaliste, poète. A travaillé dans l'aide humanitaire</t>
  </si>
  <si>
    <t>PanpanCucul (19..-....)</t>
  </si>
  <si>
    <t>PanpanCucul, pseudonyme utilisé par Julien de Preux pour ses dessins</t>
  </si>
  <si>
    <t>Nicole, Pierre (1909-1987)</t>
  </si>
  <si>
    <t>Militant socialiste et journaliste</t>
  </si>
  <si>
    <t>Kasm, Mohamad (19..-....)</t>
  </si>
  <si>
    <t>Nunes, Marcio (1988-....)</t>
  </si>
  <si>
    <t>Chargé de communication à la Bibliothèque de Genève</t>
  </si>
  <si>
    <t>Revilliod, Léonard (1786-1867)</t>
  </si>
  <si>
    <t>1786</t>
  </si>
  <si>
    <t>1867</t>
  </si>
  <si>
    <t>Parlementaire et homme d'affaires genevois</t>
  </si>
  <si>
    <t>Busino, Jean-Jacques (1965-....)</t>
  </si>
  <si>
    <t>Romancier</t>
  </si>
  <si>
    <t>Saura-Zellweger, Cyrille (19..-....)</t>
  </si>
  <si>
    <t>Artisane en cosmétique naturelle</t>
  </si>
  <si>
    <t>Courvoisier, François (1957-1996)</t>
  </si>
  <si>
    <t>Ecrivain</t>
  </si>
  <si>
    <t>Mermod, Marie-Claire (1937-2022)</t>
  </si>
  <si>
    <t>Peintre née à Genève, Suisse</t>
  </si>
  <si>
    <t>Dériaz, Jean-Jacques (1893-....)</t>
  </si>
  <si>
    <t>1893</t>
  </si>
  <si>
    <t>Friedli, Loraine (19..-....)</t>
  </si>
  <si>
    <t>Graphiste</t>
  </si>
  <si>
    <t>Viollier, Edmond William (1865-1939)</t>
  </si>
  <si>
    <t>1865</t>
  </si>
  <si>
    <t>Secrétaire de l'Association des intérêts de Genève, peintre</t>
  </si>
  <si>
    <t>Biava, Alessia</t>
  </si>
  <si>
    <t>Chargée de cours et d'enseignement au Global Studies Institue de l'Université de Genève</t>
  </si>
  <si>
    <t>Jaunin, Alexandre (19..-....)</t>
  </si>
  <si>
    <t>Responsable de l'Observatoire cantonal de la petite enfance (OCPE/SRED)</t>
  </si>
  <si>
    <t>Hug, René (1938-....)</t>
  </si>
  <si>
    <t>Journaliste RP né à Genève en 1938. - Spécialiste de l'aviation commerciale et du tourisme, il a été le co-fondateur de l'Association suisse des journalistes de l'aéronautique et de l'espace.</t>
  </si>
  <si>
    <t>Entreprise des postes, téléphones et télégraphes. Direction d'arrondissement des télécommunications (Genève)</t>
  </si>
  <si>
    <t>1849</t>
  </si>
  <si>
    <t>1997</t>
  </si>
  <si>
    <t>Privat, Marinette (19..-....)</t>
  </si>
  <si>
    <t>Truffer, Pierre-André (19..-....)</t>
  </si>
  <si>
    <t>Passionné d'histoire et de science, expert du programme Apollo.</t>
  </si>
  <si>
    <t>Jené Petschen, Nuria (19..-....)</t>
  </si>
  <si>
    <t>Psychiatre et psychothérapeute pour enfants et adolescents</t>
  </si>
  <si>
    <t>Moser, Henri (1931-2020 ; pédagogue)</t>
  </si>
  <si>
    <t>Pédagogue, fondateur de l’École Moser</t>
  </si>
  <si>
    <t>Olifson, David (19..-....)</t>
  </si>
  <si>
    <t>Pâris, Jean Moïse (1818-1888)</t>
  </si>
  <si>
    <t>1818</t>
  </si>
  <si>
    <t>Historien et homme de lettres genevois</t>
  </si>
  <si>
    <t>Glass, John (1956-....)</t>
  </si>
  <si>
    <t>Né de parents américains à Paris et a grandi à Genève. - Il a été pasteur à Paris et à Genève pendant 35 ans. - Il est titulaire d'un doctorat en théologie du Master's Seminary aux Etats-Unis</t>
  </si>
  <si>
    <t>Piuz, André Dominique (19..-....)</t>
  </si>
  <si>
    <t>Micropaléontologue. Chargé de recherche au département de Géologie et Paléontologie ainsi qu'au département d'imagerie scientifique du Muséum d'histoire naturelle de Genève</t>
  </si>
  <si>
    <t>Bolle, Pascal (1962-....)</t>
  </si>
  <si>
    <t>Graphiste. - Diplomé de l’école des Arts-Décoratifs de Genève, Pascal Bolle crée en 1989 le collectif de La Fonderie, réunissant graphistes et photographes</t>
  </si>
  <si>
    <t>Monnier, Philippe M. (1938-2020)</t>
  </si>
  <si>
    <t>Conservateur à la Bibliothèque de Genève. Éditeur des oeuvres de Henri-Frédéric Amiel</t>
  </si>
  <si>
    <t>Beyeler, Patrik (1977-....)</t>
  </si>
  <si>
    <t>Colaço, Rui (1976-....)</t>
  </si>
  <si>
    <t>Borsinger, Barbara (1892-1972)</t>
  </si>
  <si>
    <t>1892</t>
  </si>
  <si>
    <t>Fondatrice de l’œuvre caritative \"Les Amis de l'enfance\" qui servira de base à la Clinique des Grangettes à Genève</t>
  </si>
  <si>
    <t>Gilbert Tremblay, Ugo (19..-....)</t>
  </si>
  <si>
    <t>A soutenu une thèse de doctorat en droit à l'Université de Montréal ; et en lettres, département de philosophie à l'Université de Genève en 2020</t>
  </si>
  <si>
    <t>Steffen, Nicolas (19..-....)</t>
  </si>
  <si>
    <t>Ecrivain né en Suisse. - A vingt-quatre ans, il va vivre à Barcelone, puis sur l’île de La Gomera. Aujourd’hui, il vit à Genève.</t>
  </si>
  <si>
    <t>Cardinaux, Jean-Paul (1970-....)</t>
  </si>
  <si>
    <t>Scénariste, réalisateur</t>
  </si>
  <si>
    <t>Ardizzone, Ivan (19..-....)</t>
  </si>
  <si>
    <t>A soutenu une thèse de doctorat en physique à l'Université de Genève en 2021</t>
  </si>
  <si>
    <t>Burkhard, David (19..-....)</t>
  </si>
  <si>
    <t>Musicologue et musicien</t>
  </si>
  <si>
    <t>Nicolet, Clairemonde (1967-....)</t>
  </si>
  <si>
    <t>Professeur d'arts plastiques</t>
  </si>
  <si>
    <t>Le Plana, Robert (19..-....)</t>
  </si>
  <si>
    <t>Lilou-Mahina (19..-....)</t>
  </si>
  <si>
    <t>Énergéticienne, Animatrice d'Ateliers Spirituels, Lithothérapeute</t>
  </si>
  <si>
    <t>Grillet, Loris (19..-....)</t>
  </si>
  <si>
    <t>Cvjetanovic, Vesna (19..-....)</t>
  </si>
  <si>
    <t>Psychothérapeute</t>
  </si>
  <si>
    <t>Karamaounas, Vanna (19..-....)</t>
  </si>
  <si>
    <t>Artiste gréco-suisse qui a étudié les Sciences Politiques et l’Histoire de l’Art à l’Université de Genève</t>
  </si>
  <si>
    <t>Vasilákī, Aikaterínī (19..-....)</t>
  </si>
  <si>
    <t>Professeure de grec</t>
  </si>
  <si>
    <t>Gianetti-Nötzli, Désirée (19..-....)</t>
  </si>
  <si>
    <t>Auteur des ouvrages \"Busis aime\"</t>
  </si>
  <si>
    <t>Debruères, Christine (19..-....)</t>
  </si>
  <si>
    <t>Rédactrice-coordinatrice de \"One More Time\", la revue de l'Association Genevoise des Musiciens de Jazz</t>
  </si>
  <si>
    <t>Burger, Laurence (1970-....)</t>
  </si>
  <si>
    <t>Avocate, écrit des romans policiers</t>
  </si>
  <si>
    <t>Schoeb, Suzanne (1957-....)</t>
  </si>
  <si>
    <t>Coordinatrice pédagogique</t>
  </si>
  <si>
    <t>Cercle de la librairie et de l'édition (Genève, Suisse)</t>
  </si>
  <si>
    <t>Fondation des Parkings (Genève, Suisse)</t>
  </si>
  <si>
    <t>Park, Christopher (1966-....)</t>
  </si>
  <si>
    <t>Médiateur culturel du Grand Théâtre de Genève</t>
  </si>
  <si>
    <t>Rigot, Olivier (19..-....)</t>
  </si>
  <si>
    <t>Skippers (Genève, Suisse)</t>
  </si>
  <si>
    <t>Iglesias, Yvonne (19..-....)</t>
  </si>
  <si>
    <t>Psychologue spécialiste en psychothérapie, sexologue clinicienne, psychothérapeute EMDR-TCC, thérapeute de couple et spécialiste des douleurs pelviennes</t>
  </si>
  <si>
    <t>Portera, Manon (19..-....)</t>
  </si>
  <si>
    <t>Architecte d'intérieur, designer d'espace</t>
  </si>
  <si>
    <t>Borel, Gad (1942-....)</t>
  </si>
  <si>
    <t>Photographe. Successeur de la dynastie de photographes Boissonnas</t>
  </si>
  <si>
    <t>Coïdan-Lenoir, Anne (1941-....)</t>
  </si>
  <si>
    <t>Née à Genève. Secrétaire-rédactrice avant de commencer une formation diaconale à 38 ans.</t>
  </si>
  <si>
    <t>Imeri, Dzenete (199.-....)</t>
  </si>
  <si>
    <t>A obtenu un Bachelor à la HEAD (Haute école d'art et de Design) à Genève, 2018-2021</t>
  </si>
  <si>
    <t>Sönmez, Demir (1960-....)</t>
  </si>
  <si>
    <t>Michot, Pierre</t>
  </si>
  <si>
    <t>Professeur d'histoire de la musique au Conservatoire de Genève (en 2005)</t>
  </si>
  <si>
    <t>Wassmer, Charles-Henri (19..-....)</t>
  </si>
  <si>
    <t>De Genève, Suisse ; a soutenue une thèse de doctorat en Médecine à l'Université de Genève en 2020</t>
  </si>
  <si>
    <t>Hziri, Youssef (19..-....)</t>
  </si>
  <si>
    <t>Collaborateur Service de la recherche en éducation (en 2022)</t>
  </si>
  <si>
    <t>Kerchenbaum, Miriam (19..-....)</t>
  </si>
  <si>
    <t>illustratrice</t>
  </si>
  <si>
    <t>Reichel, Nicolas (1952-....)</t>
  </si>
  <si>
    <t>Diplômé de l'HETS (Suisse), il s'investit dans des projets intergénérationnels et culturels. Il s'est également formé au théâtre et à la musique au Conservatoire de Lausanne et Genève</t>
  </si>
  <si>
    <t>Studer, Marc R. (19..-....)</t>
  </si>
  <si>
    <t>Président de la Fondation Maison Dufour et des Salons du Général Dufour, Genève</t>
  </si>
  <si>
    <t>Maiullari, Franco (1954-....)</t>
  </si>
  <si>
    <t>Bibliothécaire. Gestionnaire de patrimoine</t>
  </si>
  <si>
    <t>Galley, Laurent (1979-....)</t>
  </si>
  <si>
    <t>Bocini, Brigida (1995-....)</t>
  </si>
  <si>
    <t>Mangold, Francesca (19..-....)</t>
  </si>
  <si>
    <t>Diplômée de la HEAD (Haute école d'art et de Design), Genève, 2020</t>
  </si>
  <si>
    <t>Bocquet, Fred (19..-....)</t>
  </si>
  <si>
    <t>Note, Laure (19..-....)</t>
  </si>
  <si>
    <t>Auteure et illustratrice d'histoire</t>
  </si>
  <si>
    <t>Inhofer, Aline (200.-....)</t>
  </si>
  <si>
    <t>200X</t>
  </si>
  <si>
    <t>Deshusses, Simon (1966-....)</t>
  </si>
  <si>
    <t>Né en 1966 à Genève où il vit actuellement. - Dessinateur, illustrateur</t>
  </si>
  <si>
    <t>Donzel, Frédérique (1935-....)</t>
  </si>
  <si>
    <t>Schmidt, Wilfried (19..-....)</t>
  </si>
  <si>
    <t>Architecte et urbaniste</t>
  </si>
  <si>
    <t>Gautschi, Henri (1949-....)</t>
  </si>
  <si>
    <t>Romancier historique</t>
  </si>
  <si>
    <t>Paillet, Paul (1984-....)</t>
  </si>
  <si>
    <t>Ferrer, Francisco (19..-....)</t>
  </si>
  <si>
    <t>Ploy (200.-....)</t>
  </si>
  <si>
    <t>Illustratrice, graphiste de formation. Ne pas confondre avec Anne Ploy, également illustratrice</t>
  </si>
  <si>
    <t>Ceccarini, Danilo (19..-....)</t>
  </si>
  <si>
    <t>Floret, Elsa (19..-....)</t>
  </si>
  <si>
    <t>Chevalier, Pierre (19..-.... ; éditeur-imprimeur)</t>
  </si>
  <si>
    <t>Éditeur et imprimeur carougeois à l'Imprimerie des Bergues</t>
  </si>
  <si>
    <t>Mugny, Erica (19..-....)</t>
  </si>
  <si>
    <t>Poétesse genevoise</t>
  </si>
  <si>
    <t>Vit, Stanislav (19..-....)</t>
  </si>
  <si>
    <t>Entomologiste. - Vit à Genève</t>
  </si>
  <si>
    <t>Poulain, Bérangère (19..-....)</t>
  </si>
  <si>
    <t>Maître-assistante en histoire de l’art de la période moderne à l’Université de Genève</t>
  </si>
  <si>
    <t>Jordan, Pierre (19..-....)</t>
  </si>
  <si>
    <t>Secrétaire général de la Mairie d'Onex (Genève)</t>
  </si>
  <si>
    <t>Fiammingo, Raphaël (19..-....)</t>
  </si>
  <si>
    <t>Chargé de communication à la Ville de Genève. Publie des bandes dessinées sous le pseudonyme de Fiami</t>
  </si>
  <si>
    <t>Escrig González, Núria‏ (19..-....)</t>
  </si>
  <si>
    <t>Danseuse</t>
  </si>
  <si>
    <t>Mastrangelo, Alexandre (1989-....)</t>
  </si>
  <si>
    <t>Compositeur</t>
  </si>
  <si>
    <t>Le Poisson bouge (Genève, Suisse)</t>
  </si>
  <si>
    <t>Lironi, Alain (1957-....)</t>
  </si>
  <si>
    <t>Né à Genève. Médecin chef, service de pédiatrie. Spécialiste en chirurgie et chirurgie pédiatrique, membre FMH.</t>
  </si>
  <si>
    <t>Vuille, Barbara T. (19..-....)</t>
  </si>
  <si>
    <t>Massothérapeute</t>
  </si>
  <si>
    <t>Grivel, Julien (1943-....)</t>
  </si>
  <si>
    <t>Médecin-dentiste engagé auprès des lépreux</t>
  </si>
  <si>
    <t>Asper, Jean-Jacques (19..-....)</t>
  </si>
  <si>
    <t>Alpiniste genevois, pionnier de l'Everest</t>
  </si>
  <si>
    <t>Baalen, Bernard van (19..-....)</t>
  </si>
  <si>
    <t>Pasteur et artiste</t>
  </si>
  <si>
    <t>Perrenoud, Raphaël (19..-....)</t>
  </si>
  <si>
    <t>Acrobate, nomade et écrivain</t>
  </si>
  <si>
    <t>Saini, Maud (1946-....)</t>
  </si>
  <si>
    <t>Née en 1946 à Genève. - Formation au Beaux-Arts à Genève. - Séjour à la Hochschule für Bildendekünste (HfBKünste) de Hambourg. - Formation en Éducation Créatrice Arno Stern. - Éditrice et illustratrice genevoise</t>
  </si>
  <si>
    <t>Man, Nien Lam (19..-....)</t>
  </si>
  <si>
    <t>Fondateur du restaurant \"Le Thé\" à Genève et dessinateur</t>
  </si>
  <si>
    <t>Sombra Macarrón, Victor (1969-....)</t>
  </si>
  <si>
    <t>Auteur genevois</t>
  </si>
  <si>
    <t>Hartmann, Benjamin (19..-....)</t>
  </si>
  <si>
    <t>Artiste, diplômé de la HEAD</t>
  </si>
  <si>
    <t>Ansanay-Alex, Sandra (19..-....)</t>
  </si>
  <si>
    <t>Journaliste, auteur</t>
  </si>
  <si>
    <t>Coet, Quentin (1996-....)</t>
  </si>
  <si>
    <t>Illustrateur et auteur de bandes dessinées genevois.</t>
  </si>
  <si>
    <t>Arlaud, Guillaume (1967-....)</t>
  </si>
  <si>
    <t>Artiste contemporain genevois</t>
  </si>
  <si>
    <t>Bacher, Diane (19..-....)</t>
  </si>
  <si>
    <t>Collaboratrice scientifique au Jardin botanique de Genève</t>
  </si>
  <si>
    <t>Stoudmann, Elisabeth (19-....)</t>
  </si>
  <si>
    <t>Journaliste et secrétaire de rédaction au T magazine et au Temps, fondatrice du magazine Vibrations et du Forum Show-me</t>
  </si>
  <si>
    <t>Roguin, Stéphanie de (1984-....)</t>
  </si>
  <si>
    <t>Née en 1984, elle a grandi à Genève. - Géographe, journaliste et écrivaine</t>
  </si>
  <si>
    <t>Fulda, N.H. (19..-....)</t>
  </si>
  <si>
    <t>Auteure et artiste</t>
  </si>
  <si>
    <t>Sand, Pierre-André (1951-....)</t>
  </si>
  <si>
    <t>Né à Genève en 1951. Comédien, musicien, auteur et producteur de spectacles d'humour, il a écrit de nombreux textes pour le théâtre, notamment pour la Revue genevoise qu'il a dirigée de 1996 à 2002. \"Toutes les fois où j'ai failli mourir\" est son premier ouvrage.</t>
  </si>
  <si>
    <t>Bleich, Viviane</t>
  </si>
  <si>
    <t>Suissesse, née à Genève. Autoéditrice</t>
  </si>
  <si>
    <t>Alvarez, Gabriel (19..-....)</t>
  </si>
  <si>
    <t>Directeur artistique, metteur en scène et pédagogue théâtral. - Co-fondateur et co-directeur du Théâtre du Galpon à Genève</t>
  </si>
  <si>
    <t>Grace, America (1989-....)</t>
  </si>
  <si>
    <t>Écrivaine suisse</t>
  </si>
  <si>
    <t>Brancorsini, Clara (19..-....)</t>
  </si>
  <si>
    <t>Comédienne et travaille au sein du Studio d’Action Théâtrale (SAT), à Genève, depuis 1990. Elle est également membre et co-fondatrice du théâtre du Galpon. - En 1996, elle cofonde le Galpon, à Genève</t>
  </si>
  <si>
    <t>Dayo, Viviane (19..-....)</t>
  </si>
  <si>
    <t>Études à l'École de cinéma de Genève. - Réalisatrice et informaticienne</t>
  </si>
  <si>
    <t>Gabay, Rav Yaacov (19..-....)</t>
  </si>
  <si>
    <t>Rabbin de la Synagogue Hekhal Haness, Genève</t>
  </si>
  <si>
    <t>Wiblé, Isabelle (19..-....)</t>
  </si>
  <si>
    <t>Fille du musicien \"Wiblé, Michel (1923-2020\") | Professeure de français</t>
  </si>
  <si>
    <t>Favre, Pascale (1970-....)</t>
  </si>
  <si>
    <t>Artiste plasticienne</t>
  </si>
  <si>
    <t>Parachini, Francesca (19..-....)</t>
  </si>
  <si>
    <t>Travail au service des Urgences de Genève et voyage à travers le monde</t>
  </si>
  <si>
    <t>Casto, Barbara (19..-....)</t>
  </si>
  <si>
    <t>Accompagnante périnatale</t>
  </si>
  <si>
    <t>Méjean, Claire (199.-.... ; architecte-paysagiste)</t>
  </si>
  <si>
    <t>Elle est architecte-paysagiste, formée à l’école d’ingénieurs de Lullier et historienne des jardins au Service des espaces verts de la Ville de Genève (SEVE)</t>
  </si>
  <si>
    <t>Gence, Alexander (19..-....)</t>
  </si>
  <si>
    <t>Boegli, Werner (19..-....)</t>
  </si>
  <si>
    <t>Historien du chemin de fer</t>
  </si>
  <si>
    <t>Haroun, Zorrino</t>
  </si>
  <si>
    <t>Président du Mouvement populaire des familles (MPF), du Groupe de réflexion pour l'Afrique et le Congo (GRAC), de la Fondation Tchad-Avenir et coordonnateur de l'association Utopie Nord-Sud (en 2023). - Vit à Genève</t>
  </si>
  <si>
    <t>Boaron, Vincent (19..-....)</t>
  </si>
  <si>
    <t>Secrétaire Général Adjoint · Société Nautique de Genève (en 2022)</t>
  </si>
  <si>
    <t>Michaud, Stéphane (19..-.... ; pédagogue)</t>
  </si>
  <si>
    <t>Chargé d'enseignement à la Haute école spécialisée de Suisse occidentale (HES)</t>
  </si>
  <si>
    <t>Menu, Blaise (1970-....)</t>
  </si>
  <si>
    <t>Pasteur</t>
  </si>
  <si>
    <t>Lalo, Oscar (1965-....)</t>
  </si>
  <si>
    <t>Ecrivain, avocat, professeur de droit, auteur-compositeur-interprète, auteur dramatique, scénariste, réalisateur né en France de nationalité suisse établit à Genève</t>
  </si>
  <si>
    <t>Cuénod, Séverine (1962-....)</t>
  </si>
  <si>
    <t>Edwards, Gaëlle (19..-....)</t>
  </si>
  <si>
    <t>Gabriel, Jacky (1949-....)</t>
  </si>
  <si>
    <t>Tintiris (19..-....)</t>
  </si>
  <si>
    <t>Artiste-peintre genevoise</t>
  </si>
  <si>
    <t>Munafò, Flavia (19..-....)</t>
  </si>
  <si>
    <t>Ndam, Flavie (1998-....)</t>
  </si>
  <si>
    <t>Dessinatrice de bande dessinée</t>
  </si>
  <si>
    <t>Vonaesch, Élise (1999-....)</t>
  </si>
  <si>
    <t>Auteure. - Étudie la littérature française à l'Université de Genève en 2019</t>
  </si>
  <si>
    <t>Vallat, Olivier (19..-....)</t>
  </si>
  <si>
    <t>Conradin, Raphaël (19..-....)</t>
  </si>
  <si>
    <t>Travail de maturité présenté au Collège et École de Commerce Madame de Staël</t>
  </si>
  <si>
    <t>Cortinovis, Claude (1967-....)</t>
  </si>
  <si>
    <t>Bonnet, Laurent (196.-.... ; graphiste)</t>
  </si>
  <si>
    <t>196X</t>
  </si>
  <si>
    <t>Enseignement à l’École d'arts appliqués à La Chaux-de-fonds (Neuchâtel). - Atelier de graphisme indépendant à Satigny (Genève)</t>
  </si>
  <si>
    <t>Foëx, Jacques (1925-....)</t>
  </si>
  <si>
    <t>Donche-Gay, Roland (19..-....)</t>
  </si>
  <si>
    <t>Auteur de romans policiers</t>
  </si>
  <si>
    <t>Bauzin, Karine (1973-....)</t>
  </si>
  <si>
    <t>Autrement-aujourd'hui (Genève, Suisse)</t>
  </si>
  <si>
    <t>La Cigüe (Genève, Suisse)</t>
  </si>
  <si>
    <t>Conti, René (19..-....)</t>
  </si>
  <si>
    <t>Partage (Genève, Suisse)</t>
  </si>
  <si>
    <t>Pellaud, Philippe (19..-....)</t>
  </si>
  <si>
    <t>Musicien et producteur genevois de musique électronique</t>
  </si>
  <si>
    <t>Fumeaux, Carole (19..-....)</t>
  </si>
  <si>
    <t>Enseignante, responsable pédagogique à la Licra-Genève (en 2021)</t>
  </si>
  <si>
    <t>Baenziger, Christophe (19..-....)</t>
  </si>
  <si>
    <t>Scénariste de BD et réalisateur de cours métrages établi à Genève</t>
  </si>
  <si>
    <t>Savioz, Mélanie (19..-....)</t>
  </si>
  <si>
    <t>Collaboratrice de recherche au Service de la recherche en éducation (SRED) et assistante doctorante dans l'équipe du Groupe genevois d'analyse des politiques éducatives (GGAPE)</t>
  </si>
  <si>
    <t>Dabiré, Samson Mwin Sôg Mè (19..-....)</t>
  </si>
  <si>
    <t>Originaire de Versoix (Genève). - A soutenu une thèse de doctorat en droit à l'Université de Genève en 2020</t>
  </si>
  <si>
    <t>Ashton-Lomax, Caroline-Zoé (19..-....)</t>
  </si>
  <si>
    <t>Diplômée d’une maturité spécialisée en arts visuels en 2012 et d’un Bachelor de la Haute École d’Art et de Design de Genève en 2015</t>
  </si>
  <si>
    <t>Albisati, Laurent (19..-....)</t>
  </si>
  <si>
    <t>Sportif genevois</t>
  </si>
  <si>
    <t>La Palette carougeoise (Carouge, Suisse)</t>
  </si>
  <si>
    <t>Eberhardt, Frédéric Alexandre (19..-....)</t>
  </si>
  <si>
    <t>Gelewski, Sylvain (1991-....)</t>
  </si>
  <si>
    <t>Né à Nyon en 1991. - Diplômé de la HEAD (Haute école d'art et de design) à Genève, volée 2018-2019</t>
  </si>
  <si>
    <t>Fédération musicale genevoise (Suisse)</t>
  </si>
  <si>
    <t>1891</t>
  </si>
  <si>
    <t>Hubin, Raphaël (19..-.... ; conseiller en gestion de patrimoine)</t>
  </si>
  <si>
    <t>Raphaël Hubin vit et travaille en Suisse. - Il est aujourd'hui Président du Conseil d'administration de LVMG, administrateur de sociétés d'investissement et actionnaire de longue date de Berkshire Hathaway via l'action historique classe A</t>
  </si>
  <si>
    <t>Petroff, Michel (19..-.... ; conservateur de bibliothèques)</t>
  </si>
  <si>
    <t>Conservateur à la Bibliothèque de Genève</t>
  </si>
  <si>
    <t>Piguet, Eiichi (19..-....)</t>
  </si>
  <si>
    <t>De Genève (GE) ; a soutenu une thèse de doctorat en sciences, mention Mathématiques, à l'Université de Genève en 2021</t>
  </si>
  <si>
    <t>Tacchella, Nathalie (1961-....)</t>
  </si>
  <si>
    <t>Chorégraphe et pédagogue de danse. Née en 1961, elle est directrice artistique de la compagnie de L'Estuaire, cofondatrice et codirectrice du Galpon. Elle vit et travaille à Genève</t>
  </si>
  <si>
    <t>Leuba, Valérie (19..-....)</t>
  </si>
  <si>
    <t>Assistante de production cinématographique</t>
  </si>
  <si>
    <t>Brulhart, Charles (19..-....)</t>
  </si>
  <si>
    <t>Licence en psychologie (1972). - Assistant de Jean Piaget au Centre international d’épistémologie génétique - Recherches sur le développement de l’intelligence (1972). - Première formation d’adultes (cours de psychologie) à l’École-Club Migros (1976). - En 1981, création et direction du centre de formation des HUG (Hôpitaux universitaires de Genève) et formateur en développement personnel et membre de l’Arfor (Association romande des formateurs). – Formateur indépendant depuis 1990</t>
  </si>
  <si>
    <t>Le Galpon (Genève, Suisse)</t>
  </si>
  <si>
    <t>Rose, Sarah (1953-....)</t>
  </si>
  <si>
    <t>Auteure née à Genève en 1953</t>
  </si>
  <si>
    <t>Chaponnière, Olivier (1977-....)</t>
  </si>
  <si>
    <t>Numismate genevois</t>
  </si>
  <si>
    <t>Salvon, Pascale (19..-....)</t>
  </si>
  <si>
    <t>Klaus, Isabelle (19..-....)</t>
  </si>
  <si>
    <t>Bodenmüller, Sven (1982-....)</t>
  </si>
  <si>
    <t>Né à Genève en 1982. - Il est l'auteur de \"La plume du calamar\" (Encre fraîche, 2019)</t>
  </si>
  <si>
    <t>Bruggmann, Christel (19..-....)</t>
  </si>
  <si>
    <t>Originaire de Genève. - A soutenu une thèse de doctorat en sciences (mention sciences pharmaceutiques) à l'Université de Genève en 2020</t>
  </si>
  <si>
    <t>M'toumo, Marvin (1994-....)</t>
  </si>
  <si>
    <t>Artiste vivant et travaillant entre Paris et Genève. Il a réalisé plusieurs courts-métrages, écrit plusieurs textes littéraires et travaille régulièrement comme créateur costumes pour le théâtre et l’opéra</t>
  </si>
  <si>
    <t>Quach-Hiep, Sylvie (199.-....)</t>
  </si>
  <si>
    <t>Etudiante à la HEAD (Haute école d'art et de design) à Genève, en communication visuelle</t>
  </si>
  <si>
    <t>Coulon, Christine de  (19..-....)</t>
  </si>
  <si>
    <t>Juriste et écrivain privé</t>
  </si>
  <si>
    <t>Bertrand, Jérôme Léo Karim (19..-....)</t>
  </si>
  <si>
    <t>Originaire de Rome (Italie). - A soutenu une thèse de doctorat en médecine à l'Université de Genève en 2019</t>
  </si>
  <si>
    <t>Rey-Bellet, Anne-Claire (19..-....)</t>
  </si>
  <si>
    <t>Professeur de musique</t>
  </si>
  <si>
    <t>Wenger, Jean Sébastien (1948-....)</t>
  </si>
  <si>
    <t>Economiste</t>
  </si>
  <si>
    <t>Théâtre Spirale (Genève, Genève, Suisse)</t>
  </si>
  <si>
    <t>Benzaquen, David (1974-.... ; médecin)</t>
  </si>
  <si>
    <t>Médecin chef du Service de radio-oncologie de l’Hôpital de La Tour, Genève. Ancien interne des Hôpitaux Universitaires de Genève. Ancien chef de clinique adjoint de la clinique de Genolier</t>
  </si>
  <si>
    <t>Tückmantel, Philippe (19..-....)</t>
  </si>
  <si>
    <t>De Chêne-Bougeries (Genève) ; a soutenu une thèse de doctorat en sciences, mention Physique, à l'Université de Genève en 2020</t>
  </si>
  <si>
    <t>Lin, Delphine (1980-....)</t>
  </si>
  <si>
    <t>Photographe, dessinatrice et autrice</t>
  </si>
  <si>
    <t>Gilloz, Vincent (1987-....)</t>
  </si>
  <si>
    <t>Romancier et poète genevois</t>
  </si>
  <si>
    <t>Telley, Sébastien (19..-....)</t>
  </si>
  <si>
    <t>Journaliste sportif</t>
  </si>
  <si>
    <t>Papyrus (Russin, Genève, Suisse)</t>
  </si>
  <si>
    <t>Puchat, Nicolas  (19..-....)</t>
  </si>
  <si>
    <t>Commentateur sportif</t>
  </si>
  <si>
    <t>Dominik, Emmanuelle (19..-....)</t>
  </si>
  <si>
    <t>Directrice de l'association genevoise Sysana</t>
  </si>
  <si>
    <t>Alfandari, Fabienne (19..-....)</t>
  </si>
  <si>
    <t>Licence ès sciences politiques à l’Université de Genève. - Coach et formatrice d'adultes</t>
  </si>
  <si>
    <t>Philippe, Benjamin (19..-....)</t>
  </si>
  <si>
    <t>Auteur et journaliste genevois</t>
  </si>
  <si>
    <t>Association Mise en Voix (Genève, Suisse)</t>
  </si>
  <si>
    <t>2009</t>
  </si>
  <si>
    <t>Ninig, Rebecca</t>
  </si>
  <si>
    <t>Artiste et illustratrice d'album jeunesse. - En 2018, Rebecca Traunig, alias Ninig, suit une formation en illustration et bande dessinée. Elle est diplômée de l'ESBDI (École supérieure de bande dessinée et d'illustration) de Genève et de l'école HEAD (Haute école d'art et de design) de Genève.</t>
  </si>
  <si>
    <t>Fête de la danse (Genève, Suisse)</t>
  </si>
  <si>
    <t>Mayor, Montserrat (1994-....)</t>
  </si>
  <si>
    <t>Centre Porsche Genève (Suisse)</t>
  </si>
  <si>
    <t>2011</t>
  </si>
  <si>
    <t>Milo, Jessica (19..-....)</t>
  </si>
  <si>
    <t>Auteure genevoise</t>
  </si>
  <si>
    <t>Traverse, Jérôme (19..-....)</t>
  </si>
  <si>
    <t>Bahadori, Atessa (19..-....)</t>
  </si>
  <si>
    <t>De Chêne-Bougeries ; a soutenue une thèse de doctorat en Médecine à l'Université de Genève en 2020</t>
  </si>
  <si>
    <t>Gramm, Myriam (19..-....)</t>
  </si>
  <si>
    <t>pianiste</t>
  </si>
  <si>
    <t>Ruchet, Philippe (1952-....)</t>
  </si>
  <si>
    <t>Ancien comptable et créateur de micro/petite entreprise, retraité depuis 2018</t>
  </si>
  <si>
    <t>Gasparini, Alice (19..-....)</t>
  </si>
  <si>
    <t>Titulaire d'un doctorat en physique théorique obtenu en 2006 à l'Université de Genève. Enseignante au secondaire genevois et collaboratrice scientifique à l'Université de Genève</t>
  </si>
  <si>
    <t>Besson, Jean-Pierre (1936-....)</t>
  </si>
  <si>
    <t>Ancien collaborateur d'IBM</t>
  </si>
  <si>
    <t>Association Wonder Fauna (Genève, Suisse)</t>
  </si>
  <si>
    <t>Loser, Francis (19..-....)</t>
  </si>
  <si>
    <t>Enseignant-chercheur à la Haute École en Travail Social à Genève</t>
  </si>
  <si>
    <t>Baumgartner Bovier, Annik (1975-....)</t>
  </si>
  <si>
    <t>Née à Genève en 1975</t>
  </si>
  <si>
    <t>Maison de la créativité (Conches, Suisse)</t>
  </si>
  <si>
    <t>Cassani, Yves (19..-....)</t>
  </si>
  <si>
    <t>Roiz, Jacqueline (196.-....)</t>
  </si>
  <si>
    <t>Spécialiste qualité environnement et sécurité, formatrice. - Conseillère municipale, dont commissaire aux finances. - Ex présidente de la Commission de la sécurité, domaine publique (Genève). - Ex-députée Grand Conseil de Genève. - Ex-présidente Lestime.</t>
  </si>
  <si>
    <t>Rochette, Damien (19..-....)</t>
  </si>
  <si>
    <t>Statisticien. vice-président de Pro Natura Genève (en 2014)</t>
  </si>
  <si>
    <t>Dufour, Janine (1941-....)</t>
  </si>
  <si>
    <t>Écrivaine genevoise</t>
  </si>
  <si>
    <t>Guichard, Olivier (1969-....)</t>
  </si>
  <si>
    <t>Prépare une thèse de doctorat sur le pays de Gex (en 2000). - Historien. - Collaborateur enseignement recherche (CANDOC) à l'Université de Genève</t>
  </si>
  <si>
    <t>Borgeaud, Jan (19..-....)</t>
  </si>
  <si>
    <t>Spécialiste du développement durable</t>
  </si>
  <si>
    <t>Théâtre Les montreurs d'image (Genève, Genève, Suisse)</t>
  </si>
  <si>
    <t>Kallmann, Roland (19..-.... ; ingénieur électricien)</t>
  </si>
  <si>
    <t>Ingénieur électricien diplômé de l'EPFL (Ecole Polytechnique Fédérale de Lausanne). - Journaliste spécialisé RP AJS libre</t>
  </si>
  <si>
    <t>Association pour le patrimoine industriel (Genève, Genève, Suisse)</t>
  </si>
  <si>
    <t>Walder, Nicolas (1966-....)</t>
  </si>
  <si>
    <t>Conseiller national Genevois</t>
  </si>
  <si>
    <t>Oberson, Paul (19..-....)</t>
  </si>
  <si>
    <t>Paul Oberson a travaillé plusieurs années sur la ligne de front, dans le journalisme ou l’humanitaire. - Actuellement fonctionnaire en Suisse. - Il vit aujourd’hui sur les bords du la Léman.</t>
  </si>
  <si>
    <t>Vincensini,  Gaia (1992-....)</t>
  </si>
  <si>
    <t>Bailly, Marie-Charlotte (19..-....)</t>
  </si>
  <si>
    <t>Fait partie de l'équipe\" CRAFT\". - L'équipe \"CRAFT\" (Conception - Recherche - Activité - Formation - Travail) fait partie de la Faculté de psychologie et des sciences de l'éducation de l'Université de Genève</t>
  </si>
  <si>
    <t>Vaglio-Giors, Christian (19..-....)</t>
  </si>
  <si>
    <t>CEO chez Neo Advertising SA à Genève</t>
  </si>
  <si>
    <t>Exquis, Mélanie (19..-....)</t>
  </si>
  <si>
    <t>Collaboratrice scientifique en charge de la médiation culturelle à la Fondation Bodmer</t>
  </si>
  <si>
    <t>Swali, Samia (19..-....)</t>
  </si>
  <si>
    <t>Bibliothécaire</t>
  </si>
  <si>
    <t>Fehr, Charles (1946-....)</t>
  </si>
  <si>
    <t>Peintre suisse appartenant à la famille d'artistes Clément Fehr</t>
  </si>
  <si>
    <t>Bach, Florian (1975-....)</t>
  </si>
  <si>
    <t>Fürst, Virginie (19..-....)</t>
  </si>
  <si>
    <t>Graphic designer indépendante</t>
  </si>
  <si>
    <t>Villégier, Christelle (19..-....)</t>
  </si>
  <si>
    <t>Photographie genevoise</t>
  </si>
  <si>
    <t>Muller, Alain (1956-....)</t>
  </si>
  <si>
    <t>Chargé d'enseignement à l'Institut universitaire de formation des enseignants de l'Université de Genève et membre des équipes de recherche CRAFT et LIFE (en 2015)</t>
  </si>
  <si>
    <t>Huber, Gabrielle (19..-....)</t>
  </si>
  <si>
    <t>Coordinatrice pédagogique au Département de l'instruction publique DIP-Genève (en 2021)</t>
  </si>
  <si>
    <t>Koumrouyan, Harry (19..-....)</t>
  </si>
  <si>
    <t>Enseignant, romancier</t>
  </si>
  <si>
    <t>Degiorgi, Christian</t>
  </si>
  <si>
    <t>Collaborateur technique Bibliothèque de Genève, pôle conservation préventive de 1986 à 2015. Directeur administratif UNESU ONG ECOSO après 2019</t>
  </si>
  <si>
    <t>Rihs, Lucie (1983-....)</t>
  </si>
  <si>
    <t>Née en 1983. - Poète genevoise</t>
  </si>
  <si>
    <t>Jacquelin, Corinne (19..-....)</t>
  </si>
  <si>
    <t>Garde cantonale de l'environnement (Genève)</t>
  </si>
  <si>
    <t>Théâtre de l'Usine (Genève, Suisse)</t>
  </si>
  <si>
    <t>1898</t>
  </si>
  <si>
    <t>Palfi, Véronique (19..-....)</t>
  </si>
  <si>
    <t>Godefroy, Paul (1949-....)</t>
  </si>
  <si>
    <t>Photographe à Genève depuis 2014. Diplômé de sciences politique.</t>
  </si>
  <si>
    <t>Dompmartin, Susanne (18..-....)</t>
  </si>
  <si>
    <t>Inspectrice des Écoles enfantines du canton de Genève</t>
  </si>
  <si>
    <t>Fondation pour la conservation de la maison du général G.-H. Dufour (Genève)</t>
  </si>
  <si>
    <t>Buchet, Emmanuel (1912-2009)</t>
  </si>
  <si>
    <t>1912</t>
  </si>
  <si>
    <t>Trésorier à la Société bancaire de Genève (1938) puis secrétaire de chancellerie à la légation suisse de Pékin (1950-1955)</t>
  </si>
  <si>
    <t>Tschudi, Pierre-Alain (1951-....)</t>
  </si>
  <si>
    <t>Personnalité politique genevoise</t>
  </si>
  <si>
    <t>Wanner &amp; Cie (Genève, Suisse)</t>
  </si>
  <si>
    <t>1853</t>
  </si>
  <si>
    <t>Boeuf, Aline (19..-.... ; doctorante)</t>
  </si>
  <si>
    <t>Aline Boeuf est doctorante, chargée de recherches au département de sociologie de l’université de Genève.</t>
  </si>
  <si>
    <t>Fischer, Stéphane (1964-....)</t>
  </si>
  <si>
    <t>Biologiste, journaliste scientifique, assistant-conservateur au Musée d'histoire des sciences de Genève (en 2021)</t>
  </si>
  <si>
    <t>Crocs collectif (Genève, Genève, Suisse)</t>
  </si>
  <si>
    <t>Perez Cruz, Eva-Luna (19..-....)</t>
  </si>
  <si>
    <t>Titulaire d’un master en sexologie. Elle travaille en tant que référente de formations et actions communautaires à l’association Aspasie (en 2024)</t>
  </si>
  <si>
    <t>Burri, Rémy (1962-....)</t>
  </si>
  <si>
    <t>Politicien, gestionnaire de communautés tarifaires (en 2022)</t>
  </si>
  <si>
    <t>Devaud, Marius (19..-....)</t>
  </si>
  <si>
    <t>Compositeur, écrivain, éditeur et illustrateurs résidant à Genève</t>
  </si>
  <si>
    <t>Gillig, Jean-Pascal (19..-....)</t>
  </si>
  <si>
    <t>Secrétaire régional - WWF Genève</t>
  </si>
  <si>
    <t>Barth-Gros, Sophie (19..-....)</t>
  </si>
  <si>
    <t>Sophie Barth-Gros est Genevoise et enseigne au CPF Arts à Genève (2022). \"Augusta\" est son premier roman.</t>
  </si>
  <si>
    <t>Nardone, Marco</t>
  </si>
  <si>
    <t>Bachelor en science politique à l’Université de Lausanne. - Master en sciences sociales dans le domaine des études de la migration et de la citoyenneté à l’Université de Neuchâtel. - Depuis février 2019, doctorant à l'Institut de recherches sociologiques (IRS) à Genève | Recteur de l'Istituto \"Gaspare Bertoni\" d'Udine (en 2007)</t>
  </si>
  <si>
    <t>Fondation ReBin pour le développement durable (Genève, Suisse)</t>
  </si>
  <si>
    <t>Guerrier, Thérèse</t>
  </si>
  <si>
    <t>Directrice à la Direction générale de l'enseignement primaire au sein du Département de l'instruction publique (DIP).</t>
  </si>
  <si>
    <t>Ferrier, Jean-Claude (19..-....)</t>
  </si>
  <si>
    <t>Hafner, Nicolas (1967-....)</t>
  </si>
  <si>
    <t>Musicien, pianiste, orchestrateur, chef d'orchestre</t>
  </si>
  <si>
    <t>Mermod, Daniel André (19..-....)</t>
  </si>
  <si>
    <t>Gérant de la société Cerpi à Veyrier de 2004 à 2015</t>
  </si>
  <si>
    <t>Amanda, Julie (19..-....)</t>
  </si>
  <si>
    <t>Tièche, Ambroise (1966-....)</t>
  </si>
  <si>
    <t>Artiste et professeur à la Haute Ecole d'Art et de Design (HEAD)(Genève-Suisse)</t>
  </si>
  <si>
    <t>Tohorah, Sandra (1974-....)</t>
  </si>
  <si>
    <t>Née à Genève en 1974. - Études de lettres et de langues. - Écrivaine</t>
  </si>
  <si>
    <t>Diserens Binggeli, Violette (1951-....)</t>
  </si>
  <si>
    <t>Autrice</t>
  </si>
  <si>
    <t>Urban Move Academy (Meyrin, Genève, Suisse)</t>
  </si>
  <si>
    <t>Ducret, Céline (1992-....)</t>
  </si>
  <si>
    <t>Kaneman, Léo</t>
  </si>
  <si>
    <t>Ecole d’architecture de l’Université de Genève. Réalisateur</t>
  </si>
  <si>
    <t>Union des hommes de Notre-Dame (Genève, Suisse)</t>
  </si>
  <si>
    <t>Willig, Riccardo (19..-....)</t>
  </si>
  <si>
    <t>Preux, Julien de (19..-....)</t>
  </si>
  <si>
    <t>Directeur artistique et graphiste suisse. Publie des dessins sous le pseudonyme de PanpanCucul</t>
  </si>
  <si>
    <t>Phung, David (2004-....)</t>
  </si>
  <si>
    <t>2004</t>
  </si>
  <si>
    <t>Etudiant à Genève passionné par la musique et l'écriture</t>
  </si>
  <si>
    <t>Charlyne H. (19..-....)</t>
  </si>
  <si>
    <t>Retzepi, Dafni (1993-....)</t>
  </si>
  <si>
    <t>Architecte à Genève</t>
  </si>
  <si>
    <t>Sudan, Corinne (19..-....)</t>
  </si>
  <si>
    <t>Ecrivain. Thérapeute</t>
  </si>
  <si>
    <t>La Jeunesse de Bardonnex (Genève, Suisse)</t>
  </si>
  <si>
    <t>Margadant, Laurent (19..-....)</t>
  </si>
  <si>
    <t>Travaille au Transports Publics Genevois (en 2023)</t>
  </si>
  <si>
    <t>Melody A. (199.-....)</t>
  </si>
  <si>
    <t>Calmy, Raphaël (1974-....)</t>
  </si>
  <si>
    <t>Écrivain suisse</t>
  </si>
  <si>
    <t>Senarclens, Coline de (1985-....)</t>
  </si>
  <si>
    <t>Militante féministe genevoise et animatrice à la Radio suisse romande (RSR)</t>
  </si>
  <si>
    <t>Goodyear, Claire (1972-....)</t>
  </si>
  <si>
    <t>Main, Guillaume (1992-....)</t>
  </si>
  <si>
    <t>Réalisateur et scénariste de films. Scénariste de bandes dessinées.</t>
  </si>
  <si>
    <t>Champion, Ambroise (19..-.... ; médecin)</t>
  </si>
  <si>
    <t>Médecin chef du Service de radio-oncologie de l’Hôpital de La Tour, Genève. Ancien interne des Hôpitaux Universitaires de Genève. Ancien chef de clinique des Hôpitaux Universitaires de Genève</t>
  </si>
  <si>
    <t>Prosperi, Oliver (19..-....)</t>
  </si>
  <si>
    <t>Travaille à l'Etat du Canton de Genève au sein du Service de la Recherche et de l’Éducation (SRED)</t>
  </si>
  <si>
    <t>Rocca, Francesco (1965-....)</t>
  </si>
  <si>
    <t>Président de la Fédération internationale des Sociétés de la Croix-Rouge et du Croissant-Rouge (en 2022)</t>
  </si>
  <si>
    <t>Seferdjeli, Laurence</t>
  </si>
  <si>
    <t>Docteur en sciences de l'éducation, professeure à la Heds de genève (en 2014)</t>
  </si>
  <si>
    <t>Hessbruegge, Angie Brice (1981-2021)</t>
  </si>
  <si>
    <t>Enseignante aux États-Unis, Royaume-Uni, Allemagne et en Suisse. Initiatrice du mouvement des femmes noires aux cheveux naturels à Genève</t>
  </si>
  <si>
    <t>Duruz, Pierre (19..-....)</t>
  </si>
  <si>
    <t>Poète genevois</t>
  </si>
  <si>
    <t>Manitta, Stéphanie (1990-....)</t>
  </si>
  <si>
    <t>Née en 1990 à Genève, en Suisse. - Elle travaille comme assistante sociale. - Auteure (\"Les Inséparables\" est son premier roman)</t>
  </si>
  <si>
    <t>Emmenegger, Steeves (1962-....)</t>
  </si>
  <si>
    <t>Conseiller en entreprise</t>
  </si>
  <si>
    <t>Shaka, Rinata (19..-....)</t>
  </si>
  <si>
    <t>Compositrice de musique à l'image, et illustratrice sonore, elle fait des génériques et l'habillage antenne de la RTS</t>
  </si>
  <si>
    <t>Pitteloud, Isabelle (19..-....)</t>
  </si>
  <si>
    <t>Enseignante et chercheuse en littérature française moderne et contemporaine. Elle a notamment publié des articles sur Flaubert, Balzac et Stendhal.</t>
  </si>
  <si>
    <t>Wettstein, Jason (1990-)</t>
  </si>
  <si>
    <t>Docteur en Economie comportementale. Travaille pour le Service de la recherche en éducation de l'Etat de Genève (en 2023)</t>
  </si>
  <si>
    <t>Châtelain, Claude (19..-.... ; thérapeute)</t>
  </si>
  <si>
    <t>Union philatélique de Genève (Suisse)</t>
  </si>
  <si>
    <t>Zuber, Célia (19..-....)</t>
  </si>
  <si>
    <t>2010-2013: Bachelor en histoire de l'art à l'Université de Genève, 2013-2015: Master à l'École des hautes études en sciences sociales (EHESS) à Paris, actuellement doctorante dans ces deux institutions. Elle a enseigné à l'Université de Genève et aux Beaux-Arts de Paris. Elle a bénéficié d'une bourse à l'Istituto Svizzero di Roma (2018-2019) et à la Villa Medici (2021)</t>
  </si>
  <si>
    <t>Matringe, Yves (19..-....)</t>
  </si>
  <si>
    <t>Club philatélique de Genève (Suisse)</t>
  </si>
  <si>
    <t>Pinget, Emmanuel (1978-....)</t>
  </si>
  <si>
    <t>Né en 1978 à Genève. - Écrivain suisse de langue française, journaliste. Vit à Berlin</t>
  </si>
  <si>
    <t>Baillif, Oscar (1972-....)</t>
  </si>
  <si>
    <t>Illustrateur. Enseigne le dessin à Genève.</t>
  </si>
  <si>
    <t>Haegi, Enza Testa (19..-....)</t>
  </si>
  <si>
    <t>Indépendante genevoise</t>
  </si>
  <si>
    <t>Club philatélique et aéropostal de Genève (Suisse)</t>
  </si>
  <si>
    <t>1933</t>
  </si>
  <si>
    <t>Rapp, Julien (1977-....)</t>
  </si>
  <si>
    <t>Journaliste RP, licencié en lettres et rédacteur en chef du journal \"Meyrin Ensemble\"</t>
  </si>
  <si>
    <t>Marelli, Luc (1958-....)</t>
  </si>
  <si>
    <t>Peintre et graphiste genevois. - Artiste d'environnement et d'installation</t>
  </si>
  <si>
    <t>Moeschler, Pascal (1956-....)</t>
  </si>
  <si>
    <t>Conservateur au Muséum d'histoire naturelle de Genève</t>
  </si>
  <si>
    <t>Ruchat, Justine (19..-....)</t>
  </si>
  <si>
    <t>Comédienne, metteuse en scène et dramaturge genevoise</t>
  </si>
  <si>
    <t>Mantilleri, Brigitte (1956-....)</t>
  </si>
  <si>
    <t>Favre, Brigitte (19..-.... ; géographe)</t>
  </si>
  <si>
    <t>Enseignante de géographie. Écrit des livres pour enfants</t>
  </si>
  <si>
    <t>Da Silva, Cristina (1978-....)</t>
  </si>
  <si>
    <t>Diplômée de l'École supérieure des beaux-arts de Genève (Suisse) | Enseigne l'art visuel dans le secondaire (depuis 2012)</t>
  </si>
  <si>
    <t>Ponté, Denis (1964-....)</t>
  </si>
  <si>
    <t>Né à Genève en 1964. - Photographe</t>
  </si>
  <si>
    <t>Basset, Thierry (1963-....)</t>
  </si>
  <si>
    <t>Géologue-volcanologue</t>
  </si>
  <si>
    <t>Cerna Collé, Hanka (1950?-....)</t>
  </si>
  <si>
    <t>1950</t>
  </si>
  <si>
    <t>Vignola, Roberto (19?-....)</t>
  </si>
  <si>
    <t>Auteur. Architecte et fondateur de la Galerie Alexandre Mottier à Genève.</t>
  </si>
  <si>
    <t>La Diabla (19..-....)</t>
  </si>
  <si>
    <t>Travailleuse du sexe</t>
  </si>
  <si>
    <t>NA, Franck (1959-....)</t>
  </si>
  <si>
    <t>Auteur et artiste travaillant à Genève</t>
  </si>
  <si>
    <t>Chanson, Cédric (19..-....)</t>
  </si>
  <si>
    <t>Pasteur et formateur d'adultes et conseiller pour leader chrétiens en Guinée-Conakry avec l’organisation SAM Global.</t>
  </si>
  <si>
    <t>Renaud, Élisabeth (19..-.... ; traductrice)</t>
  </si>
  <si>
    <t>Philologue, traductrice et critique musicale. - Vit à Genève</t>
  </si>
  <si>
    <t>Ahmari, Vida (19..-....)</t>
  </si>
  <si>
    <t>Wagnières, David (19..-....)</t>
  </si>
  <si>
    <t>Admonk, Casimir M. (19..-....)</t>
  </si>
  <si>
    <t>auteur et metteur en scène genevois</t>
  </si>
  <si>
    <t>Pauli, Jean-Marc (1969-....)</t>
  </si>
  <si>
    <t>Né à Genève en 1969. - Licencié en gestion d'entreprise</t>
  </si>
  <si>
    <t>Yazgi, Aline (19..-....)</t>
  </si>
  <si>
    <t>Licencié en économie politique Université de Genève et responsable en Information et Communication au campus de Battelle</t>
  </si>
  <si>
    <t>Oymak, Meliké (1999-....)</t>
  </si>
  <si>
    <t>Maliké Oymak est née à Genève en 1999. - \"On n'abandonne pas ceux qu'on aime\" est son deuxième roman.</t>
  </si>
  <si>
    <t>Schmalz, Meryl (19..-....)</t>
  </si>
  <si>
    <t>Barhamanywa Nabino, Victor (1968-....)</t>
  </si>
  <si>
    <t>Docteur en théologie</t>
  </si>
  <si>
    <t>Tonoli, Cédric (19..-....)</t>
  </si>
  <si>
    <t>Journaliste et écrivain. Chargé de communication à l'Etat de Genève (en 2024) .</t>
  </si>
  <si>
    <t>Hess, Léonore (19..-....)</t>
  </si>
  <si>
    <t>Scheller, Fernand (1923-....)</t>
  </si>
  <si>
    <t>Diplomate, humanitaire</t>
  </si>
  <si>
    <t>Orsini, Magali (1941-)</t>
  </si>
  <si>
    <t>Licenciée HEC Université de Genève. Expert-comptable. Femme politique. Magali Orsini, élue au Grand Conseil de Genève (2013-2018 - parti Ensemble à Gauche).</t>
  </si>
  <si>
    <t>Ohayon, Mélanie (200.-....)</t>
  </si>
  <si>
    <t>...</t>
  </si>
  <si>
    <t>Tissot, Karine (1974-....)</t>
  </si>
  <si>
    <t>Historienne de l'art et critique d'art. Diplomée en lettres de l'Université de Genève. Elle a travaillé de nombreuses années au Musée d'art et d'histoire de Genève, puis au Musée d'art moderne et contemporain de Genève [Mamco]. Présidente de la Villa du Parc / centre d’art contemporain d’Annemasse (en 2010). Directrice du Centre d'art contemporain d'Yverdon-les-Bains qu'elle a mis sur pied en 2013.</t>
  </si>
  <si>
    <t>Monnet, Marthe Marie (1937-....)</t>
  </si>
  <si>
    <t>Née à Genève en 1937. - A été professeur de géographie, d'histoire et de français</t>
  </si>
  <si>
    <t>Goth, Jean Samuel (19..-....)</t>
  </si>
  <si>
    <t>Brugière, Sébastien (19..-....)</t>
  </si>
  <si>
    <t>Chef d'orchestre</t>
  </si>
  <si>
    <t>Blatt, Christophe (19..-....)</t>
  </si>
  <si>
    <t>Tscharner, Richard de (1947-....)</t>
  </si>
  <si>
    <t>Ridlet (1985-....)</t>
  </si>
  <si>
    <t>Illustrateur et animateur 2D, Michael Rieder, alias Ridlet, est né en 1985 à Genève. - Diplômé en 2010 de la Haute Ecole d'Art et de Design de Genève (HEAD). - Bachelor en animation à la Willem de Kooning Academy de Rotterdam aux Pays-Bas. - Il est aujourd'hui illustrateur et animateur indépendant, basé à Genève.</t>
  </si>
  <si>
    <t>Le Comte, Ferdinand (1943-....)</t>
  </si>
  <si>
    <t>Enseignant</t>
  </si>
  <si>
    <t>Comité du 9 novembre 1932 (Genève, Suisse)</t>
  </si>
  <si>
    <t>Pittet, Pierre A. (1927-....)</t>
  </si>
  <si>
    <t>Reporter-photographe</t>
  </si>
  <si>
    <t>Bopp, Patricia (19..-....)</t>
  </si>
  <si>
    <t>Patricia Bopp est une actrice, auteure et metteuse en scène suisse. - Elle effectue des études de danse et de piano (niveau terminale) au Conservatoire de musique de Genève, un passage au Conservatoire supérieur d'art dramatique (ESAD), ainsi qu'une licence (master) en droit à l'Université de Genève</t>
  </si>
  <si>
    <t>Weibel, Sébastien (19..-....)</t>
  </si>
  <si>
    <t>Responsable Pôle Opérations aux Transports Publics Genevois (en 2024)</t>
  </si>
  <si>
    <t>Bruderer, Hélène (1990-.... ; avocate)</t>
  </si>
  <si>
    <t>Dr en droit 2022 (Université de Genève) ; Avocate (Canton de Genève)</t>
  </si>
  <si>
    <t>Kasser Genecand, Louise (1985)</t>
  </si>
  <si>
    <t>Auteure d'un livre de cuisine ; blogueuse</t>
  </si>
  <si>
    <t>Cordaillat, Laurent (1963-....)</t>
  </si>
  <si>
    <t>Lièvre, Adrien (19..-....)</t>
  </si>
  <si>
    <t>musicien</t>
  </si>
  <si>
    <t>Espace Palettes (Grand-Lancy)</t>
  </si>
  <si>
    <t>Scelso, Roland Barett (1954-....)</t>
  </si>
  <si>
    <t>Né à Genève en 1954. - Travailleur social, romancier et dessinateur (connu sous la signature de Barett)</t>
  </si>
  <si>
    <t>Dash (1994-....)</t>
  </si>
  <si>
    <t>Dardagny (Genève, Suisse)</t>
  </si>
  <si>
    <t>Dubey, Pierre (19..-....)</t>
  </si>
  <si>
    <t>Acteur professionnel, fondateur de la compagnie Le Métathéâtre. A ne pas confondre avec l'acteur suisse Pierre-Antoine Dubey</t>
  </si>
  <si>
    <t>Mathews, Matt (19..-....)</t>
  </si>
  <si>
    <t>Musicien</t>
  </si>
  <si>
    <t>Club international (Genève, Suisse)</t>
  </si>
  <si>
    <t>Bonato, Emmanuel (19..-....)</t>
  </si>
  <si>
    <t>Formateur</t>
  </si>
  <si>
    <t>Hermenjat, Jonas (1983-....)</t>
  </si>
  <si>
    <t>La Joie de lire (Genève, Genève, Suisse)</t>
  </si>
  <si>
    <t>Vallet, Paul (1970-....)</t>
  </si>
  <si>
    <t>Chercheur associé au Geneva Centre for Security Policy depuis 2015.</t>
  </si>
  <si>
    <t>Donzé, Toscane (1999-....)</t>
  </si>
  <si>
    <t>Titulaire d'un Bachelor Communication Visuelle Option Images/Récit de la HEAD</t>
  </si>
  <si>
    <t>Duriaux, Jean-Denys (1956-....)</t>
  </si>
  <si>
    <t>Fondateur et président de l'association \"La Mémoire de Veyrier\" (en 2024)</t>
  </si>
  <si>
    <t>Châtelain, Christophe (19..-.... ; thérapeute)</t>
  </si>
  <si>
    <t>Jourdan, Alain (1965-....)</t>
  </si>
  <si>
    <t>Journaliste spécialiste des affaires criminelles et judiciaires (pour Le Progrès et La Tribune de Genève), devient correspondant auprès de l'ONU en 2009</t>
  </si>
  <si>
    <t>Koepfli, Cécile (1976-.... ; artiste)</t>
  </si>
  <si>
    <t>Artiste née à Genève, Suisse ; active dans la même ville. - Diplômée de l'École des arts appliqués et de l’École supérieure des beaux-arts de Genève. - A étudié la gravure avec Daniel Divorne. - Fait partie du collectif d’édition Friture et du duo fresquiste Cécile et Leyla | Ne pas confondre avec l'illustratrice et autrice de bande dessinée Cécile (née le 02.06.1975), active en Seine et Marne</t>
  </si>
  <si>
    <t>Martz, Laure (19..-....)</t>
  </si>
  <si>
    <t>Collaboratrice de recherche au Service de la recherche en éducation (en 2024)</t>
  </si>
  <si>
    <t>Halvarsson, Mikaëla (19..-....)</t>
  </si>
  <si>
    <t>Psychologue et musicothérapeute</t>
  </si>
  <si>
    <t>Lettry, Christiane (19..-....)</t>
  </si>
  <si>
    <t>Kafkas, Kuman (19..-....)</t>
  </si>
  <si>
    <t>Auteur genevois. - Diplômé de l’École Hôtelière de Genève</t>
  </si>
  <si>
    <t>Veyrat, Géraldine (19..-....)</t>
  </si>
  <si>
    <t>Historienne de l'art et bibliothécaire</t>
  </si>
  <si>
    <t>Galasso, Daniel</t>
  </si>
  <si>
    <t>Dessinateur genevois</t>
  </si>
  <si>
    <t>Mattiuzzo, Célia (19..-....)</t>
  </si>
  <si>
    <t>Spécialiste en information documentaire</t>
  </si>
  <si>
    <t>Hohmann, Katharina (1964-....)</t>
  </si>
  <si>
    <t>Fondatrice en 2002 de : K&amp;K.Zentrum für Kunst und Mode, Weimar (Allemagne) | Peintre | Photographe</t>
  </si>
  <si>
    <t>Association des habitants de la ville de Meyrin (Suisse)</t>
  </si>
  <si>
    <t>Remor, Georges-Félix (19..-....)</t>
  </si>
  <si>
    <t>Artiste peintre et restaurateur genevois</t>
  </si>
  <si>
    <t>Kocher, Linda (19..-....)</t>
  </si>
  <si>
    <t>Illustratrice et graphiste</t>
  </si>
  <si>
    <t>Sarasin de la Pierre, Jean-Antoine (1693-1756)</t>
  </si>
  <si>
    <t>1693</t>
  </si>
  <si>
    <t>1756</t>
  </si>
  <si>
    <t>Sécheron</t>
  </si>
  <si>
    <t>Officier au régiment de Diesbach (canton de Glaris, Suisse)</t>
  </si>
  <si>
    <t>L'Abri (Genève, Suisse)</t>
  </si>
  <si>
    <t>Kravtchenko, Youri (1984-....)</t>
  </si>
  <si>
    <t>Hüssy, Charles (1940-....)</t>
  </si>
  <si>
    <t>Enseignant à l'Université de Genève (en 1988)</t>
  </si>
  <si>
    <t>Ghemati, Shadya (196?-....)</t>
  </si>
  <si>
    <t>196?</t>
  </si>
  <si>
    <t>Shadya Ghemati, originaire de Genève où elle vit et travaille, est journaliste.</t>
  </si>
  <si>
    <t>Jimenez, Fred (1966-....)</t>
  </si>
  <si>
    <t>Chanteur et musicien. - Fait partie des groupes Needles, Gustave et les cochons, Fred and the white pistaches</t>
  </si>
  <si>
    <t>Bosson, Pierre (19..-....)</t>
  </si>
  <si>
    <t>Architecte. Membre de l'association \"La Mémoire de Veyrier\" (en 2024)</t>
  </si>
  <si>
    <t>Duc, Gérard (1974-.... ; historien)</t>
  </si>
  <si>
    <t>Monnat, Victoire (19..-....)</t>
  </si>
  <si>
    <t>Club des aînés (Carouge, Suisse)</t>
  </si>
  <si>
    <t>Denecker, Carl (19..-....)</t>
  </si>
  <si>
    <t>Collaborateur scientifique à l'Etat du Canton de Genève au sein du Service de la Recherche en Éducation (SRED)</t>
  </si>
  <si>
    <t>Campagnolo-Pothitou, Maria</t>
  </si>
  <si>
    <t>Paroisse de Notre-Dame (Genève, Suisse)</t>
  </si>
  <si>
    <t>Clavière, Geoffroy de (19..-....)</t>
  </si>
  <si>
    <t>Auteur, a travaillé en politique à Genève. Ancien comédien à Paris et publicitaire</t>
  </si>
  <si>
    <t>Cité Seniors (Genève)</t>
  </si>
  <si>
    <t>Gada, Oscar (19..-....)</t>
  </si>
  <si>
    <t>Coordination asile.ge (Genève, Suisse)</t>
  </si>
  <si>
    <t>Rutschmann, Maxime (1997-....)</t>
  </si>
  <si>
    <t>Écrivain genevois né en 1997. - Il est titulaire d’un bachelor en sciences politiques et d’un master en géographie politique et culturelle de l’Université de Genève. - Journaliste au Journal de Morges depuis 2023.</t>
  </si>
  <si>
    <t>Péclet, Jean-Claude (19..-....)</t>
  </si>
  <si>
    <t>Anciennement rédacteur au chef de \"L'Hebdo\" et journaliste au journal \"Le Temps\"</t>
  </si>
  <si>
    <t>Girod, Pierre (19..-.... ; pisciniste)</t>
  </si>
  <si>
    <t>Pisciniste à Genève (Suisse)</t>
  </si>
  <si>
    <t>Association Out of the Box (Genève, Suisse)</t>
  </si>
  <si>
    <t>Meyer MacLeod, Arielle</t>
  </si>
  <si>
    <t>A soutenu une thèse de doctorat à l'Université de Genève en juillet 1999 sous la direction de Patrizia Lombardo</t>
  </si>
  <si>
    <t>Molskaya, Tanya (1970-....)</t>
  </si>
  <si>
    <t>Artiste issue de la Laguna College of Art and Design en Californie, elle vit et travaille à Genève.</t>
  </si>
  <si>
    <t>Stéphani, Hélène (1863-19.. ; dit Estienne‏)</t>
  </si>
  <si>
    <t>1863</t>
  </si>
  <si>
    <t>Les Eaux-Vives</t>
  </si>
  <si>
    <t>Poétesse genevoise. - A écrit sous le pseudonyme d'H. Estienne</t>
  </si>
  <si>
    <t>Ryan-Despraz, Jessica (19..-....)</t>
  </si>
  <si>
    <t>A soutenu une thèse de doctorat à l'Université de Genève en 2021.</t>
  </si>
  <si>
    <t>Face à face (Genève, Suisse)</t>
  </si>
  <si>
    <t>Cassani, Isabelle (19..-....)</t>
  </si>
  <si>
    <t>Sculptrice genevoise. Membre du collectif IsaMir</t>
  </si>
  <si>
    <t>Savoy, Lauriane</t>
  </si>
  <si>
    <t>Docteure en théologie pratique à la Faculté de théologie protestante de l'Université de Genève (en 2022). - Titulaire d'un master en histoire générale. - Assistante doctorante à l'Institut lémanique de théologie pratique à la Faculté de théologie protestante de l'Université de Genève</t>
  </si>
  <si>
    <t>Carlström, Sven (19..-....)</t>
  </si>
  <si>
    <t>Travailleur social</t>
  </si>
  <si>
    <t>SGS (Genève, Suisse)</t>
  </si>
  <si>
    <t>Volpé, François</t>
  </si>
  <si>
    <t>Forme un duo avec le saxophoniste D.M. Vitotzky | Il a fait ses études de percussion classique à Genève et à Paris. - Il joue à présent comme timbalier solo de L’Orchestre de Chambre de Genève. - Il est cofondateur du Quatuor Makrokosmos (deux pianos et deux percussions) et membre du Centre International de Percussion de Genève. - Il enseigne au Conservatoire Populaire de Musique de Genève. | Interprète, jouant du marimba | Jazz | Open music | Percussionniste | Vibraphoniste</t>
  </si>
  <si>
    <t>Werner, Éric (1940-....)</t>
  </si>
  <si>
    <t>Institut d'études politiques de Paris</t>
  </si>
  <si>
    <t>Professeur de philosophie politique à l'université de Genève (en 1990)</t>
  </si>
  <si>
    <t>Richer, Jérôme (1974-.... ; auteur dramatique)</t>
  </si>
  <si>
    <t>Auteur dramatique</t>
  </si>
  <si>
    <t>Michel, Jean (15..-.... ; imprimeur-libraire)</t>
  </si>
  <si>
    <t>Imprimeur-libraire à Genève de 1538 à 1544, puis à Lyon. A racheté le matériel de Pierre de Vingle</t>
  </si>
  <si>
    <t>Calandrini, François (1729-1801)</t>
  </si>
  <si>
    <t>1729</t>
  </si>
  <si>
    <t>1801</t>
  </si>
  <si>
    <t>Homme politique genevois</t>
  </si>
  <si>
    <t>Jacquet, Francis (1882-1919)</t>
  </si>
  <si>
    <t>1882</t>
  </si>
  <si>
    <t>Premier curé de le paroisse Saint-Paul à Genève</t>
  </si>
  <si>
    <t>Goudeaux, Annie</t>
  </si>
  <si>
    <t>Rocca, François  (1706-1776)</t>
  </si>
  <si>
    <t>1706</t>
  </si>
  <si>
    <t>1776</t>
  </si>
  <si>
    <t>Commissaire général et avocat genevois.</t>
  </si>
  <si>
    <t>Durand, Roger (1945-.... ; historien)</t>
  </si>
  <si>
    <t>Historien né à Genève, Suisse. - Président fondateur de la Société Henry Dunant (1975) | Prénoms complets : Roger Henri</t>
  </si>
  <si>
    <t>Sheeler, Claire-Lise (19..-....)</t>
  </si>
  <si>
    <t>Secrétaire de la Société Théodore Maunoir</t>
  </si>
  <si>
    <t>Mirande, Nadine (19..-....)</t>
  </si>
  <si>
    <t>Curti, Nicolas (19..-....)</t>
  </si>
  <si>
    <t>En 1999, il obtient son Diplôme de Percussion à la Haute Ecole de Musique de Genève. - Il collabore aux productions de la Geneva Camerata et d’Eklekto. - An 2006, l’association Percuvision Genève.</t>
  </si>
  <si>
    <t>Lozeron, Arthur (....-1970)</t>
  </si>
  <si>
    <t>XXXX</t>
  </si>
  <si>
    <t>Architecte suisse. Né à Neuchâtel. Actif à Genève de 1937 à 1970</t>
  </si>
  <si>
    <t>Joly, Alexandre (1977-.... ; artiste)</t>
  </si>
  <si>
    <t>Artiste, Vit et travaille à Genève</t>
  </si>
  <si>
    <t>Lacroix, Jean (1832-1909 ; photographe)</t>
  </si>
  <si>
    <t>Deuxième adresse historique: Nice | En 1862, se fait construire un atelier dans le parc des Bastions, à proximité de l'Université dont on conserve une photographie (aes n09x12 00577). - S'associe jusqu'en 1873 avec le photographe Henri Lacombe. - Il ouvre un atelier à Nice avant 1892 (Icon P 2008-840), tenu par un certain W. Lacroix, probablement un parent. - En 1893, montre une douzaine de portraits \"en plantinotypie\" à l'exposition internationale de photographie qui se tient à Genève (Journal de Genève, 3 août 1893). - Il sera primé d'une médaille de vermeil lors de cette exposition. - Membre fondateur de la Société genevoise de photographie. | Première adresse historique: 1862-1909 : Genève, rue De-Candolle/rue de l'Université</t>
  </si>
  <si>
    <t>Dotti, Federico (19..-....)</t>
  </si>
  <si>
    <t>Assistant-doctorant en sciences de l'éducation et membre de l'Équipe de didactique de l'histoire et de la citoyenneté (EDHICE) à l'université de Genève</t>
  </si>
  <si>
    <t>Nobs, Simon (19..-....)</t>
  </si>
  <si>
    <t>Auteur de bandes dessinées. - Également travailleur social à Genève (Suisse)</t>
  </si>
  <si>
    <t>Association de solidarité avec le Nicaragua et El Salvador (Genève, Genève, Suisse)</t>
  </si>
  <si>
    <t>Association genevoise</t>
  </si>
  <si>
    <t>Bachmann, Antoine (19..-....)</t>
  </si>
  <si>
    <t>Association "Lancy d'autrefois" (Suisse)</t>
  </si>
  <si>
    <t>Marschall, Joseph (1865-1924)</t>
  </si>
  <si>
    <t>Nicole-Kay, Julian (19..-....)</t>
  </si>
  <si>
    <t>Réalisateur</t>
  </si>
  <si>
    <t>Arlaud, Georges-Louis (1869-1944 ; photograhe)</t>
  </si>
  <si>
    <t>1869</t>
  </si>
  <si>
    <t>La Ciotat</t>
  </si>
  <si>
    <t>Né à Genève (Suisse) et décédé à La Ciotat | Photographe. Le fonds (4070 clichés) est acquis par la Caisse nationale des monuments historiques et des sites (CNMHS) en 1975</t>
  </si>
  <si>
    <t>Loira, Xavier (19..-....)</t>
  </si>
  <si>
    <t>Comédien, marionnettiste, metteur en scène et DJ</t>
  </si>
  <si>
    <t>Marcelloni, Claudia (19..-....)</t>
  </si>
  <si>
    <t>Travail au CERN (Centre européen pour la recherche nucléaire) depuis 2005</t>
  </si>
  <si>
    <t>Piguet-Reisser, Géraldine (19..-....)</t>
  </si>
  <si>
    <t>Licence d'Histoire de l'art à l'Univ. de Genève (en 2006). Chargée de communication aux éditions La joie du livre (en 2009)</t>
  </si>
  <si>
    <t>Gisin, Hermann (1917-1967 ; entomologiste)</t>
  </si>
  <si>
    <t>1917</t>
  </si>
  <si>
    <t>Muséum d'histoire naturelle de Genève</t>
  </si>
  <si>
    <t>Entomologiste suisse</t>
  </si>
  <si>
    <t>Ruiz, Xavier (1970-....)</t>
  </si>
  <si>
    <t>Nicolet-dit-Félix, Nathalie (1976-....)</t>
  </si>
  <si>
    <t>Association Mission Planète Terre (Genève, Suisse)</t>
  </si>
  <si>
    <t>Adresse : Rue Jean-Charles Amat 24, 1202 Genève, Suisse | Association genevoise organisant notamment le Festival du film documentaire sur les glaciers.</t>
  </si>
  <si>
    <t>Gander, Philippe (1952-....)</t>
  </si>
  <si>
    <t>Navigateur genevois, historien et enseignant retraité.</t>
  </si>
  <si>
    <t>Cuénod, Jean-Noël (1948-....)</t>
  </si>
  <si>
    <t>Chroniqueur judiciaire et grand reporter à la \"Tribune de Genève\" (en 1999)</t>
  </si>
  <si>
    <t>Théâtre de l'Orangerie (Genève, Suisse)</t>
  </si>
  <si>
    <t>Roussy, Albert-Emile (1894-1955)</t>
  </si>
  <si>
    <t>historien et professeur genevois.</t>
  </si>
  <si>
    <t>Rosset, Véronique (1980-....)</t>
  </si>
  <si>
    <t>Chargée de communication et écrivaine</t>
  </si>
  <si>
    <t>Hoeppli, Jade (19..-....)</t>
  </si>
  <si>
    <t>Romancière</t>
  </si>
  <si>
    <t>Gygi, Fabrice (1965-....)</t>
  </si>
  <si>
    <t>Artiste. Né à Genève, Suisse</t>
  </si>
  <si>
    <t>Erb, Jean (1904-1984)</t>
  </si>
  <si>
    <t>Architecte suisse, très actif à Genève</t>
  </si>
  <si>
    <t>Foglia-Winiger, Danielle (1948-....)</t>
  </si>
  <si>
    <t>Née à Genève en 1948</t>
  </si>
  <si>
    <t>Mueller, Raphaëlle</t>
  </si>
  <si>
    <t>Photographe, artiste et chercheuse basée à Genève. Photographe professionnelle dans le champ du design, de l'art contemporain et plasticienne (photo, vidéo, installation).</t>
  </si>
  <si>
    <t>Franic, Margrit (1950-....)</t>
  </si>
  <si>
    <t>Martin, Serge (1947-.... ; auteur dramatique)</t>
  </si>
  <si>
    <t>université de Caen-Normandie | Conservatoire national supérieur d'art dramatique | École internationale de théâtre Jacques-Lecoq | École de théâtre Serge Martin</t>
  </si>
  <si>
    <t>Auteur dramatique, parolier, comédien, metteur en scène, directeur d'une école de théâtre à Genève. Travaille aussi en France, en Nouvelle-Zélande, au Canada</t>
  </si>
  <si>
    <t>Parson, Michael (19..-....)</t>
  </si>
  <si>
    <t>Typographe genevois</t>
  </si>
  <si>
    <t>Nagy, Tímea (19..-....)</t>
  </si>
  <si>
    <t>Née à Debrecen (Hongrie) et vit actuellement à Genève. - Diplômée de flûte à bec à l'ESMuC (Barcelonne, 2019) et deux Masters en cornet à bouquin à la HEM de Genève (2014 et 2016). - Musicienne et écrivaine</t>
  </si>
  <si>
    <t>Gauthier, Dominique (19..-.... ; cuisinier)</t>
  </si>
  <si>
    <t>Chef étoilé, dirige la cuisine de \"F.P. Journe Le Restaurant\" à Genève depuis novembre 2023</t>
  </si>
  <si>
    <t>Ganjour, Olga (19..-....)</t>
  </si>
  <si>
    <t>Sociologue</t>
  </si>
  <si>
    <t>Le Grütli - Centre de production et de diffusion des arts vivants‏  (Genève, Suisse)</t>
  </si>
  <si>
    <t>Association des conférenciers multimédia (Plan-les-Ouates, Genève, Suisse)</t>
  </si>
  <si>
    <t>2013</t>
  </si>
  <si>
    <t>Adresse : Chemin de Pomone 11bis, 1228 Plan-les-Ouates, Suisse | Association ayant pour principal objectif d’agir contre l’isolement social et plus particulièrement chez les seniors</t>
  </si>
  <si>
    <t>Maudet, Pierre (1978-....)</t>
  </si>
  <si>
    <t>Collège Claparède | Université de Fribourg</t>
  </si>
  <si>
    <t>Né à Genève. - Homme politique suisse, anciennement membre du Parti libéral radical (PLR) genevois. - En mai 2021, il est engagé par une entreprise genevoise active dans le domaine de la cybersécurité au poste de directeur de la transformation numérique</t>
  </si>
  <si>
    <t>Mobbs, Henry (1912-1979)</t>
  </si>
  <si>
    <t>Pasteur à Genève, paroisse des Eaux-Vives</t>
  </si>
  <si>
    <t>Waltz, Oscar (19..-....)</t>
  </si>
  <si>
    <t>Collaborateur scientifique à l'Institut de démographie et de socioéconomie de l'Université de Genève (en 2024)</t>
  </si>
  <si>
    <t>Cottier, Louis (1894-1966)</t>
  </si>
  <si>
    <t>Horloger, érudit, spécialiste de Carouge</t>
  </si>
  <si>
    <t>Rocca, Charles-Jean-Louis (1786-1854)</t>
  </si>
  <si>
    <t>1854</t>
  </si>
  <si>
    <t>Fils de Jean-François Rocca (1752-1826). Juge au tribunal de l'audience puis à la Cour criminelle de Genève.</t>
  </si>
  <si>
    <t>Les Amis musiquetheatre (Carouge, Genève, Suisse)</t>
  </si>
  <si>
    <t>Richard, Jean-Jacques (1947-.... ; helléniste)</t>
  </si>
  <si>
    <t>Helléniste et traducteur du grec ancien et moderne en français. Enseignant à l'Institut français d'Athènes (en 2006)</t>
  </si>
  <si>
    <t>Kunz, Pierre (1943-2024)</t>
  </si>
  <si>
    <t>Député au Grand Conseil genevois (1993-2008)</t>
  </si>
  <si>
    <t>Magnin, Emile (1865-1937)</t>
  </si>
  <si>
    <t>Professeur à l'école de magnétisme de Paris (vers 1907)</t>
  </si>
  <si>
    <t>Gindre, Jérémie (1978-....)</t>
  </si>
  <si>
    <t>École supérieure des beaux-arts de Genève</t>
  </si>
  <si>
    <t>Artiste suisse. Vit à Genève</t>
  </si>
  <si>
    <t>Renaud, Pierre (19..-.... ; auteur d'un recueil de poèmes)</t>
  </si>
  <si>
    <t>Établi au Petit-Lancy, canton de Genève, Suisse (en 1951)</t>
  </si>
  <si>
    <t>Boissonnas, Paul (1902-1983)</t>
  </si>
  <si>
    <t>Photographe. - 7ème fils du photographe Frédéric Boissonnas (1858-1946)</t>
  </si>
  <si>
    <t>Globethics.net</t>
  </si>
  <si>
    <t>Urgence Disk Records (Genève, Suisse)</t>
  </si>
  <si>
    <t>Adresse : Place des Volontaires 4, 1204 Genève, Suisse</t>
  </si>
  <si>
    <t>Muller, Dominique (1991-.... ; écrivain)</t>
  </si>
  <si>
    <t>Née à Genève en 1991. - \"Sur le quai de l'Orangerie\" est son premier ouvrage de fiction.</t>
  </si>
  <si>
    <t>Guitton, Eugène (1853-1919 ; photographe)</t>
  </si>
  <si>
    <t>Né en France. - Reprend de Louis Minner l'ancien atelier de Louise Fueslin-Rigaud (sous le nom de Atelier Fueslin Rigaud Eug. Guitton Succ.) qu'il remettra à Frank Henri Jullien. Membre du Cercle photographique de Genève avec lequel il expose au Photo-Club de Paris en 1901 (La Tribune de Genève, 07.05.1901).</t>
  </si>
  <si>
    <t>Mouthuy, Orphée (19..-....)</t>
  </si>
  <si>
    <t>Traductrice, spécialiste en socioéconomie</t>
  </si>
  <si>
    <t>Métiers d'art Genève (Suisse)</t>
  </si>
  <si>
    <t>Hamzavi, Luc (1962-....)</t>
  </si>
  <si>
    <t>Traducteur. Enseignant à l’École Internationale de Genève depuis 1987</t>
  </si>
  <si>
    <t>Gautier, Adolphe (1825-1896)</t>
  </si>
  <si>
    <t>1825</t>
  </si>
  <si>
    <t>1896</t>
  </si>
  <si>
    <t>Né et décédé à Genève (1825-1896). - Historien, ingénieur et héraldiste</t>
  </si>
  <si>
    <t>Maulini, Camille (1981-....)</t>
  </si>
  <si>
    <t>Avocate, Genève (Suisse)</t>
  </si>
  <si>
    <t>Burgy, François (1958-....)</t>
  </si>
  <si>
    <t>Historien et archiviste genevois</t>
  </si>
  <si>
    <t>Édition G. Jaeger (Genève, Suisse)</t>
  </si>
  <si>
    <t>édition de cartes postales, photographie genevoise</t>
  </si>
  <si>
    <t>Cambi Favre-Bulle, Alessandra (1965-....)</t>
  </si>
  <si>
    <t>Harmer, Margaret (19..-....)</t>
  </si>
  <si>
    <t>Vit à Genève. - Détient un diplôme de capacité professionnelle de percussion et un diplôme de maître de musique de la Haute École de Musique à Genève</t>
  </si>
  <si>
    <t>Nagel, Malaïka (19..-....)</t>
  </si>
  <si>
    <t>Fondation pour la promotion du logement bon marché et de l'habitat coopératif (Grand-Lancy, Genève)</t>
  </si>
  <si>
    <t>Billaud, Albert (196.-1919 ; photographe amateur)</t>
  </si>
  <si>
    <t>Cafetier-restaurateur ?, photographe amateur, éditeur de cartes postales. - Sa première attestation comme photographe est une conférence qu'il fait en 1901 à Genève sur un voyage \"du Léman à Thoune\" avec projection de photographies (Journal de Genève, 10.10.1901). - En 1914, il présente des autochromes projetés dans une manifestation de la Fédération des colonies de vacances de Genève et en1917, il prête des clichés pour une conférence sur la guerre en France.</t>
  </si>
  <si>
    <t>Zep (1967-....)</t>
  </si>
  <si>
    <t>Onex</t>
  </si>
  <si>
    <t>Centre de formation professionnelle en Arts de Genève</t>
  </si>
  <si>
    <t>Spirou</t>
  </si>
  <si>
    <t>Auteur et dessinateur de bandes dessinées</t>
  </si>
  <si>
    <t>Guillet, Raphaël (1959-....)</t>
  </si>
  <si>
    <t>Journaliste-reporter à la Radio Télévision Suisse</t>
  </si>
  <si>
    <t>Cave12 (Genève, Suisse)</t>
  </si>
  <si>
    <t>La cave12 est une salle de concert dédiée aux démarches musicales expérimentales et innovatrices fondée en 1989 à Genève</t>
  </si>
  <si>
    <t>Hugo, Maria (1962-....)</t>
  </si>
  <si>
    <t>Responsable de la bibliothèque du Musée d'ethnographie de Genève (en 2024)</t>
  </si>
  <si>
    <t>Gayet, Mathieu (19..-....)</t>
  </si>
  <si>
    <t>Spécialiste des nouveaux médias et du storytelling immersif</t>
  </si>
  <si>
    <t>Mottaz, Eddy (1959-....)</t>
  </si>
  <si>
    <t>Photographe de presse suisse (Vaud, Genève)</t>
  </si>
  <si>
    <t>Schumacher, Anne-Claire</t>
  </si>
  <si>
    <t>Dès 1988, stagiaire en muséologie puis successivement : collaboratrice scientifique et assistante conservatrice au Musée de l'Ariana à Genève. - Elle sera conservatrice en cheffe de 2010 à 2023</t>
  </si>
  <si>
    <t>Zufferey, Marie-Eve (19..-....)</t>
  </si>
  <si>
    <t>Culture &amp; rencontre (Petit-Lancy, Genève, Suisse)</t>
  </si>
  <si>
    <t>Schneeberger, Catherine (1968-....)</t>
  </si>
  <si>
    <t>Auteure et sculptrice genevoise</t>
  </si>
  <si>
    <t>Fatio, Olivier (1942-....)</t>
  </si>
  <si>
    <t>Théologien protestant et historien. Professeur d'histoire du christianisme à la Faculté autonome de Théologie de l'Université de Genève</t>
  </si>
  <si>
    <t>Nierlé, Pierre (1919-2005 ; architecte)</t>
  </si>
  <si>
    <t>Schaerrer, Lorène (19..-....)</t>
  </si>
  <si>
    <t>Dupuis, Sylviane (1956-....)</t>
  </si>
  <si>
    <t>Romancière, poète et auteur dramatique. Enseigne la littérature française à Genève (en 2000)</t>
  </si>
  <si>
    <t>Reich, Bertrand (1962-....)</t>
  </si>
  <si>
    <t>Avocat et personnalité politique genevoise. Président du Parti libéral-radical (dès 2019)</t>
  </si>
  <si>
    <t>Huri, Sandra (19..-....)</t>
  </si>
  <si>
    <t>Psychologue</t>
  </si>
  <si>
    <t>Joliat, Françoise</t>
  </si>
  <si>
    <t>Logopédiste. - Conseillère municipale de 1983 à 2011. - Présidente de l'Association Mémoire de Confignon depuis 2018.</t>
  </si>
  <si>
    <t>Veshhôlli, Vaj (19..-....)</t>
  </si>
  <si>
    <t>La poche du tablier = Gjépi i Kicelkës / Vaj Veshhôlli</t>
  </si>
  <si>
    <t>World Federation of International Music Competitions (Geneva, Switzerland)</t>
  </si>
  <si>
    <t>Marti, Jeannine (1946-2022)</t>
  </si>
  <si>
    <t>Droz-Dit-Busset, Ivaine (19..-....)</t>
  </si>
  <si>
    <t>Pédopsychiatre</t>
  </si>
  <si>
    <t>Racalbuto, Bruno (19..-....)</t>
  </si>
  <si>
    <t>Dessinateur en architecture et historien de l'art</t>
  </si>
  <si>
    <t>Reverdin, Benoît (19..-....)</t>
  </si>
  <si>
    <t>Rigotti, Mireille (1969-....)</t>
  </si>
  <si>
    <t>Sculptrice genevoise, membre du collectif IsaMir</t>
  </si>
  <si>
    <t>Ceppi, Daniel (1951-2024)</t>
  </si>
  <si>
    <t>Dessinateur et scénariste de bandes dessinées né à Genève, Suisse</t>
  </si>
  <si>
    <t>Urrutia Rivas, Deborah (19..-....)</t>
  </si>
  <si>
    <t>Spécialiste en santé globale et relations internationales</t>
  </si>
  <si>
    <t>Lacombe, Ferdinand (1850-1918 ; photographe)</t>
  </si>
  <si>
    <t>1850</t>
  </si>
  <si>
    <t>Adresse historique : 1893/1894-1915 : Genève, 8, rue de l'Université | Collabore d'abord avec son père Henri Lacombe (Lacombe &amp; Fils) une vingtaine d'années, puis à partir de 1894 environ, s'associe avec Georges-Louis Arlaud (Lacombe &amp; Arlaud). - Compte parmi les membres fondateurs de la Société genevoise de photographie. - A la fin de vie, est élu au Grand Conseil pour deux législatures (1907-1913). - Capitaine à l'armée, président de la Société d'escrime de Genève</t>
  </si>
  <si>
    <t>Grosdidier-Schibli, Claudia (19..-....)</t>
  </si>
  <si>
    <t>Traductrice et interprète</t>
  </si>
  <si>
    <t>Blank, William (1957-....)</t>
  </si>
  <si>
    <t>Compositeur suisse né en 1957 à Montreux. - Diplômé du Conservatoire de Genève en 1979</t>
  </si>
  <si>
    <t>Moynat, Orlane (19..-....)</t>
  </si>
  <si>
    <t>Sociologue de la consommation</t>
  </si>
  <si>
    <t>Favre, R. W.  (19..-....)</t>
  </si>
  <si>
    <t>Autrice d'un livre de contes</t>
  </si>
  <si>
    <t>Fondation Plaza</t>
  </si>
  <si>
    <t>Michel, Sylvie I. (19..-.... ; auteure jeunesse)</t>
  </si>
  <si>
    <t>Auteure jeunesse</t>
  </si>
  <si>
    <t>Fatio, Edmond (1871-1959)</t>
  </si>
  <si>
    <t>1871</t>
  </si>
  <si>
    <t>Né à Genève en 1871. - Architecte</t>
  </si>
  <si>
    <t>Dubois, Margaux (19..-....)</t>
  </si>
  <si>
    <t>Sociologue spécialiste des thématiques de santé</t>
  </si>
  <si>
    <t>Sakkal Miville, Noémie (19..-....)</t>
  </si>
  <si>
    <t>Architecte et conservatrice. Directrice adjointe au Service des monuments et des sites de l'État de Genève (en 2024)</t>
  </si>
  <si>
    <t>Tettamanti, Manuel (19..-....)</t>
  </si>
  <si>
    <t>Molly, Louis (1871-19.. ; photographe)</t>
  </si>
  <si>
    <t>Photographe, actif à Genève de 1901 à 1949</t>
  </si>
  <si>
    <t>Taleb, Abdou (19..-....)</t>
  </si>
  <si>
    <t>Algérien immigré en Suisse</t>
  </si>
  <si>
    <t>Corthay, Océane (19..-....)</t>
  </si>
  <si>
    <t>Diplômée en science politique et en sociologie à l'Université de Genève</t>
  </si>
  <si>
    <t>Charpentier, Nicolas (19..-....)</t>
  </si>
  <si>
    <t>Collaborateur scientifique à l'Institut de recherches sociologiques de l'Université de Genève (en 2024)</t>
  </si>
  <si>
    <t>Richina, Alain (19..-....)</t>
  </si>
  <si>
    <t>Architecte scénographe à la Ville de Genève</t>
  </si>
  <si>
    <t>Andriamasy, Anja (19..-....)</t>
  </si>
  <si>
    <t>Travaille à la bibliothèque de Globethics à Genève (en 2024). Titulaire d'une maîtrise en éthique appliquée.</t>
  </si>
  <si>
    <t>Nussbaum, Patrick (19..-....)</t>
  </si>
  <si>
    <t>Jullien, Frank-Henri (1882-1938 ; photographe)</t>
  </si>
  <si>
    <t>Adresse historique: 1910-1938: Genève, cours de Rive 15 | Photographe genevois. - Le 01.06.1910, il reprend à son nom l'atelier de photographie de Louise Fueslin-Rigaud, qu'il gardera jusqu'à sa mort (Atelier F.-H. Jullien de photographie artistique et industrielle). - Auteur de nombreux reportages, en particulier sur les milieux sportifs, les activités de l'industrie, les sujets d'architecture (le chantier de l'immeuble Clarté), des personnalités genevoises ou en relation avec les institutions internationales. - Membre de la section des photographes-reporters de l'Association de la presse genevoises. - Membre de la Société Nautique de Genève et des Exercices de l'Arquebuse et de la Navigation.</t>
  </si>
  <si>
    <t>Bouvier, Auguste (1891-1962)</t>
  </si>
  <si>
    <t>Docteur ès lettres, directeur de la Bibliothèque de Genève de 1953 à 1959</t>
  </si>
  <si>
    <t>Billard, Philippe (1961-....)</t>
  </si>
  <si>
    <t>Chaponnière &amp; Firmenich  (Genève, Genève, Suisse)</t>
  </si>
  <si>
    <t>2010</t>
  </si>
  <si>
    <t>Adresse : Avenue du Mail 15, CH-1205 Genève</t>
  </si>
  <si>
    <t>Theremin, Pierre-François (1803-1883)</t>
  </si>
  <si>
    <t>1803</t>
  </si>
  <si>
    <t>Pasteur à Vandoeuvres 1835-1865, chargé de cours d'archéologie biblique à la Faculté de théologie de Genève en 1831</t>
  </si>
  <si>
    <t>Rocca, Jean-François (1752-1826)</t>
  </si>
  <si>
    <t>1752</t>
  </si>
  <si>
    <t>Avocat genevois qui fut membre du Conseil des Deux-Cents.</t>
  </si>
  <si>
    <t>Rapp, Ston (19..-....)</t>
  </si>
  <si>
    <t>Python, Chloé (1980-....)</t>
  </si>
  <si>
    <t>Auteur genevoise</t>
  </si>
  <si>
    <t>Derenne, Eve (19..-....)</t>
  </si>
  <si>
    <t>A soutenu une thèse de doctorat en archéologie préhistorique à l'Université de Genève en 2021</t>
  </si>
  <si>
    <t>Dujet, Alex (19..-....)</t>
  </si>
  <si>
    <t>Designer genevois. - Extraset est une fonderie de caractères suisse indépendante établie à Genève co-dirigée par Alex Dujet (Futur Neue).</t>
  </si>
  <si>
    <t>Barlier, Laurent (1969-....)</t>
  </si>
  <si>
    <t>Revilliod de Budé, John Jean François (1868-1942 ; photographe amateur)</t>
  </si>
  <si>
    <t>1868</t>
  </si>
  <si>
    <t>Né à Genève en 1868 et décédé à Nyon en 1942. - Représentant de commerce, sportif, photographe amateur. - Études à Paris en vue de préparer l’École centrale des arts et manufacture (1887-1888). Voyage en Extrême Orient, en Amérique (centrale et du Nord). - Photographe amateur, membre de la Société genevoise de photographie.</t>
  </si>
  <si>
    <t>Buchet, Alain (1955-....)</t>
  </si>
  <si>
    <t>Formateur pour adultes</t>
  </si>
  <si>
    <t>Sangiorgio, Jodie (19..-....)</t>
  </si>
  <si>
    <t>Doctorante en théologie à l'Université de Genève, en 2024</t>
  </si>
  <si>
    <t>Cerda, Valérie (19..-....)</t>
  </si>
  <si>
    <t>Responsable prévention et gestion de crise à la Direction du Secrétariat Général Ville de Genève</t>
  </si>
  <si>
    <t>Fuchs, Catherine (1957-....)</t>
  </si>
  <si>
    <t>Poétesse et romancière romande, enseignante et musicienne</t>
  </si>
  <si>
    <t>Mellet, Lara (19..-....)</t>
  </si>
  <si>
    <t>Étudiante en architecture à l'HEPIA (en 2021)</t>
  </si>
  <si>
    <t>Babel, Alexandre (percussioniste)</t>
  </si>
  <si>
    <t>Né à Genève. - Compositeur et percussioniste. Membre du Kammerensemble Neue Musik Berlin depuis 2009. - Il a été le directeur artistique de l’ensemble de percussion Eklekto de septembre 2013 à mars 2022</t>
  </si>
  <si>
    <t>Carloni, Delia (19..-....)</t>
  </si>
  <si>
    <t>A soutenu une thèse de doctorat en sciences, mention archéologie préhistorique à l'Université de Genève en 2022</t>
  </si>
  <si>
    <t>Simon (1953-)</t>
  </si>
  <si>
    <t>Ne pas confondre avec : \"Simon, 1973-\", auteur de bandes dessinées belge‏ | Né à Sierre (Valais, Suisse), en 1953. - Illustrateur, graphiste, dessinateur, dessine souvent pour le quotidien Le Temps</t>
  </si>
  <si>
    <t>Pelichet, Julia (19..-....)</t>
  </si>
  <si>
    <t>Architecte, designer, illustratrice et fondatrice des éditions Ma Ville, mon Amour</t>
  </si>
  <si>
    <t>Junod, Huguette (1943-....)</t>
  </si>
  <si>
    <t>Poète, écrivain et journaliste</t>
  </si>
  <si>
    <t>Albert (19..-.... ; artiste)</t>
  </si>
  <si>
    <t>Artiste actif dans la région genevoise autour de 1979-1982, notamment au sein d'Ecart à Genève et de Dioptre à Carouge.</t>
  </si>
  <si>
    <t>Association FTW (Genève, Suisse)</t>
  </si>
  <si>
    <t>Association dédiée à l’étude artistique et aux pratiques d’exposition fondée en 2020 entre l’artiste Christian Bili et l’historien de l’art Samuel Wagen-Magnon</t>
  </si>
  <si>
    <t>Baobab (troupe de théâtre ; Genève, Suisse)</t>
  </si>
  <si>
    <t>Simon, Philippe (1972-.... ; journaliste)</t>
  </si>
  <si>
    <t>Journaliste. - Docteur ès Lettres de l'Université de Genève, a soutenu en 2017 une thèse consacrée à la \"figure du monstre dans l'œuvre de Rabelais\", journaliste à la rédaction du \"Temps\" à Lausanne, 2021</t>
  </si>
  <si>
    <t>Tsioli, Marianne (1959-....)</t>
  </si>
  <si>
    <t>Bibliothécaire genevoise</t>
  </si>
  <si>
    <t>Sheshivari, Izet (1981-....)</t>
  </si>
  <si>
    <t>Artiste, éditeur, graphiste et commissaire d'exposition</t>
  </si>
  <si>
    <t>Stitelmann, Jacques</t>
  </si>
  <si>
    <t>Président fondateur de l'Association Romande Arts, Expression et Thérapies (ARAET). - Fondateur et directeur de L'ATELIER à Genève</t>
  </si>
  <si>
    <t>Finidori, Yannick (19..-....)</t>
  </si>
  <si>
    <t>Vendeur et écrivain genevois</t>
  </si>
  <si>
    <t>Schneuwly, Clara (1987-....)</t>
  </si>
  <si>
    <t>Avocate (Genève, Suisse)</t>
  </si>
  <si>
    <t>Vajrakux, Eoliyah (19..-....)</t>
  </si>
  <si>
    <t>Auteur d'un livre de développement personnel et de manipulation des énergies</t>
  </si>
  <si>
    <t>Estèbe, Jérôme (19..-....)</t>
  </si>
  <si>
    <t>Journaliste à la Tribune de Genève, blogueur culinaire et chroniqueur gastronomique</t>
  </si>
  <si>
    <t>Dabo, Laura (1995-....)</t>
  </si>
  <si>
    <t>Née en 1995 à Lausanne. - Études de droit à l'Université de Fribourg. - Vit et exerce le métier de juriste à Genève</t>
  </si>
  <si>
    <t>Delsaut, Christelle (19..-....)</t>
  </si>
  <si>
    <t>Artiste peintre et écrivaine</t>
  </si>
  <si>
    <t>Heman, Claude Antoine (1952-....)</t>
  </si>
  <si>
    <t>Né en 1952 à Genève. - Licencié ès-Lettre en histoire et en français à l'Université de Lausanne</t>
  </si>
  <si>
    <t>Crosnier, Jules (1843-1917 ; peintre)</t>
  </si>
  <si>
    <t>1843</t>
  </si>
  <si>
    <t>Nancy</t>
  </si>
  <si>
    <t>Peintre aquarelliste</t>
  </si>
  <si>
    <t>Dean, Soômi (19..-....)</t>
  </si>
  <si>
    <t>Art-thérapeute à Genève. - Directrice de L’ATELIER</t>
  </si>
  <si>
    <t>Landré, Jean (1609-1694)</t>
  </si>
  <si>
    <t>1609</t>
  </si>
  <si>
    <t>1694</t>
  </si>
  <si>
    <t>Imprimeur-libraire genevois actif entre 1677 et 1691, dont le nom apparaît encore sur une impression (émission?) de 1698</t>
  </si>
  <si>
    <t>Chopy, Antoine (1674-1760)</t>
  </si>
  <si>
    <t>1674</t>
  </si>
  <si>
    <t>Narbonne</t>
  </si>
  <si>
    <t>1760</t>
  </si>
  <si>
    <t>Dessinateur, miniaturiste et cartographe. Né à Narbonne (Aude), décédé à Genève (Suisse)</t>
  </si>
  <si>
    <t>Tanari, Pascal (1964-....)</t>
  </si>
  <si>
    <t>Keren Esther (19..-....)</t>
  </si>
  <si>
    <t>Interprète de chansons traditionnelles | Rédactrice à La Tribune de Genève (2010-....)</t>
  </si>
  <si>
    <t>Cantus Laetus de Genève</t>
  </si>
  <si>
    <t>Ferreira, Daniel (19..-....)</t>
  </si>
  <si>
    <t>A étudié à l'Université de Genève (en 2022)</t>
  </si>
  <si>
    <t>Bolomey, Anne-Françoise (1946-....)</t>
  </si>
  <si>
    <t>Née à Genève en 1946. - Autrice, fille du photographe Marcel Bolomey</t>
  </si>
  <si>
    <t>Zawodnik, Alexis (19..-....)</t>
  </si>
  <si>
    <t>Médecin suisse passionné par la santé numérique, la transformation digitale et la stratégie dans le domaine de la santé.</t>
  </si>
  <si>
    <t>Chaix, Nathalie (1972-....)</t>
  </si>
  <si>
    <t>Annecy</t>
  </si>
  <si>
    <t>Historienne d'art. Directrice de musée. Commissaire d'expositions temporaires au Musée Rath et au Musée d'art et d'histoire de Genève. Directrice adjointe des Musées d'art et d'histoire de Genève. Directrice du Musée de Carouge, Suisse. Directrice du Musée Jenisch Vevey, Suisse (2019-) | Lieu de naissance : Annecy</t>
  </si>
  <si>
    <t>Kronig Romero, Nora (1980-....)</t>
  </si>
  <si>
    <t>Directrice du Siège de la Crois Rouge Suisse depuis mai 2024</t>
  </si>
  <si>
    <t>Roumieux, Charles (1828-19..?)</t>
  </si>
  <si>
    <t>1828</t>
  </si>
  <si>
    <t>19..</t>
  </si>
  <si>
    <t>Lieu de naissance : Genève (Suisse). | Numismate</t>
  </si>
  <si>
    <t>Terry, Henry John (1818-1880 ; illustrateur)</t>
  </si>
  <si>
    <t>1880</t>
  </si>
  <si>
    <t>Lithographe | Né à Great Marlow (Angleterre) en 1818. - Sa famille s'établit à Genève, en 1825. - A 18 ans, il suit une formation artistique (dessin et peinture) et devient l'élève d'Alexandre Calame; ses premiers dessins connus datent de 1839. - Calame lui demande de reproduire par la lithographie ses principaux tableaux (1850-1858) ; il diffuse également de la même manière l’œuvre de François Diday, Jean Bryner et François Bonnet. - Il s'établit à Lausanne en 1858 où il se marie et donne des cours de dessin. - Décédé à Lausanne en 1880. | Peintre</t>
  </si>
  <si>
    <t>Roussy, Albert (1864-1955)</t>
  </si>
  <si>
    <t>1864</t>
  </si>
  <si>
    <t>Secrétaire de l'Université de Genève de 1908 à 1932. Membre du Club alpin</t>
  </si>
  <si>
    <t>Andréossi, Maurice (1866-1931 ; photographe)</t>
  </si>
  <si>
    <t>Photographe genevois, propriétaire de salle de spectacle et de cinéma. - Né à Bergame en 1866. - Études de chimie. En 1893, lors de l'exposition internationale de photographie à Genève, reçoit la médaille de bronze du jury des photographes amateurs. - En 1895, il crée la Société Andréossi et Fischer qui fait construire l'Alpineum ou diorama alpestre à l'avenue du Mail. - L'Alpineum est considéré comme la première salle de cinéma en Suisse ; elle est détruite en 1899 déjà, Andréossi reprenant alors son activité de photographe.</t>
  </si>
  <si>
    <t>Liotard, Jean-Michel (1702-1796)</t>
  </si>
  <si>
    <t>1702</t>
  </si>
  <si>
    <t>1796</t>
  </si>
  <si>
    <t>Dessinateur et graveur suisse. - Frère jumeau de Jean-Étienne Liotard. - Élève de Benoît Audran à Paris en 1825. - Après un séjour à Venise, il revient à Paris où il grave d'après Watteau, E. Le Sueur, Tocqué, Boucher.</t>
  </si>
  <si>
    <t>Martinez, Richard (1959-.... ; graphiste)</t>
  </si>
  <si>
    <t>Photographe et graphiste</t>
  </si>
  <si>
    <t>Giannelli, Mark (1974-....)</t>
  </si>
  <si>
    <t>Entrepreneur indépendant. - Président fondateur de la Fondation ReBin. - Membre suppléant du Conseil municipal de la Ville de Genève depuis octobre 2024</t>
  </si>
  <si>
    <t>Fatout, Anne (19..-....)</t>
  </si>
  <si>
    <t>Chargée de promotion et communication à l'Association pour l'encouragement de la musique improvisée (AMR) de Genève (en 2024)</t>
  </si>
  <si>
    <t>Association des amis du musée d'art moderne et contemporain (Genève, Suisse)</t>
  </si>
  <si>
    <t>Bovard Rudaz, Aline (1995-....)</t>
  </si>
  <si>
    <t>Artiste photographe genevoise</t>
  </si>
  <si>
    <t>Musy, Martine (19..-....)</t>
  </si>
  <si>
    <t>Graphiste, autrice de roman et cat-sitteuse</t>
  </si>
  <si>
    <t>Robert, Jean-Daniel (1949-....)</t>
  </si>
  <si>
    <t>Animateur pastoral au sein de l’Eglise catholique romaine à Genève et auteur de poèmes, nouvelles, romans et chroniques diverses.</t>
  </si>
  <si>
    <t>Julliard, Nicolas (1972-....)</t>
  </si>
  <si>
    <t>Musicien et journaliste suisse. A utilisé les pseudonymes de \"Fauve\" jusqu'en 2014 (à ne pas confondre avec le groupe français \"Fauve ≠\"), puis de Nicolas Nadar dès 2015</t>
  </si>
  <si>
    <t>Collège du travail (Genève, Genève, Suisse)</t>
  </si>
  <si>
    <t>Créée en 1978 par Lucien Tronchet et présidée par lui jusqu'à sa mort. 11, rue des Maraîchers, 1205 Genève</t>
  </si>
  <si>
    <t>Buchet, Hélène (1958-)</t>
  </si>
  <si>
    <t>Schwizgebel-Wang, Louis (1987-.... ; pianiste)</t>
  </si>
  <si>
    <t>Conservatoire de Lausanne</t>
  </si>
  <si>
    <t>Pianiste genevois, né en 1987</t>
  </si>
  <si>
    <t>Hoechel, Arnold (1889-1974)</t>
  </si>
  <si>
    <t>1889</t>
  </si>
  <si>
    <t>Pace, Micheline (19..-....)</t>
  </si>
  <si>
    <t>Photographe, licenciée en lettres, avec spécialité en langues modernes, philosophie politique et éthique, complétée par un postgrade en droits de l'homme ainsi qu'un certificat en communication, marketing et management</t>
  </si>
  <si>
    <t>Palman, Marie (19..-....)</t>
  </si>
  <si>
    <t>Présidente de l'association Sysana à Genève</t>
  </si>
  <si>
    <t>Collectif Tchan-Zâca (Genève, Suisse)</t>
  </si>
  <si>
    <t>Torche, Christine (19..-....)</t>
  </si>
  <si>
    <t>Autrice de pièces de théâtre, scénariste et metteuse en scène</t>
  </si>
  <si>
    <t>Jendoubi, Verena (19..-.... ; psychologue)</t>
  </si>
  <si>
    <t>Psychologue au SRED (Service de la recherche en éducation) de l'Etat de Genève</t>
  </si>
  <si>
    <t>Ruch, Martin (1946-....)</t>
  </si>
  <si>
    <t>Architecte d'intérieur, illustrateur, designer, peintre et sculpteur</t>
  </si>
  <si>
    <t>Perrodin, Thomas (1982-....)</t>
  </si>
  <si>
    <t>Artiste, illustrateur, graphiste</t>
  </si>
  <si>
    <t>Gianni, Nagi (1991-....)</t>
  </si>
  <si>
    <t>Né à Zurich en 1991 et a grandi au Tessin. - Il vit et travaille à Genève où il a fondé la compagnie HYENA en 2019</t>
  </si>
  <si>
    <t>Alemany, Charlotte (19..-....)</t>
  </si>
  <si>
    <t>Après des études de commerce et des études de lettres, elle se tourne vers le monde de la finance. Elle fait désormais de la création artistique et de l'écriture.</t>
  </si>
  <si>
    <t>Lawand, Kathleen (19..-....)</t>
  </si>
  <si>
    <t>Elle est cheffe de l'Unité Armes du CICR à Genève. - Elle était auparavant cheffe des conseillers juridiques aux opérations. - Elle a rejoint le CICR en 2000</t>
  </si>
  <si>
    <t>Delcloy, Gauthier (19..-....)</t>
  </si>
  <si>
    <t>Gérant de Co-Objectifs 21 (en 2025), titulaire d'une licence en géographie et aménagement du territoire et d'un Master en environnement industriel</t>
  </si>
  <si>
    <t>Bartolini, Tristan (199.-....)</t>
  </si>
  <si>
    <t>Né à Genève. - Diplômé de la HEAD (Genève). - Graphiste et typographe genevois</t>
  </si>
  <si>
    <t>Lavie, Chloé (1982-.... ; scénariste)</t>
  </si>
  <si>
    <t>Consultante chez Epac international (2009-2014), éditrice et scénariste auprès de l'association l'Agora d'Hypatie depuis 2022</t>
  </si>
  <si>
    <t>Giorgou, Eirini (19..-....)</t>
  </si>
  <si>
    <t>Conseiller juridique au sein de l'Unité Armes et conduite des hostilités du CICR à Genève</t>
  </si>
  <si>
    <t>Sahakian, Marlyne (1975-....)</t>
  </si>
  <si>
    <t>Spécialiste de développement durable née à Collonge-Bellerive, Suisse. - Docteure de l'Institut de hautes études internationales et du développement, Genève (2011). - Professeure de sociologie à l'Université de Genève (depuis 2017)</t>
  </si>
  <si>
    <t>Zahnd, Ueli (1979-....)</t>
  </si>
  <si>
    <t>Berne</t>
  </si>
  <si>
    <t>Théologue. En poste à l'Université de Genève (en 2024).</t>
  </si>
  <si>
    <t>Bantone, James (1992-....)</t>
  </si>
  <si>
    <t>Né à Genève en 1992. - Bachelor en Art &amp; Media-Vidéo à la Haute école des arts de Zurich (ZHdK)en 2019. - Master à la HEAD (Genève) en 2021. - Vit et travaille à Paris</t>
  </si>
  <si>
    <t>Savaris, Carla-Marie (19..-....)</t>
  </si>
  <si>
    <t>Étudiante à la HEAD - Genève (en 2024)</t>
  </si>
  <si>
    <t>Gerig, Olivia (1978-....)</t>
  </si>
  <si>
    <t>Handicap International</t>
  </si>
  <si>
    <t>Romancière suisse (Genève)</t>
  </si>
  <si>
    <t>Armand, Catherine (19..-....)</t>
  </si>
  <si>
    <t>Journaliste au GHI (Genève Home Informations ) de 2011 à 2021. - Conseillère municipale, présidente du Conseil municipal de Chêne-Bougeries (canton de Genève) de 2015 à 2021. - Collaboratrice de la ville de Genève de 2021 à 2025</t>
  </si>
  <si>
    <t>Association "La libellule"</t>
  </si>
  <si>
    <t>Ducimetière, Nicolas (1979-....)</t>
  </si>
  <si>
    <t>Ambilly</t>
  </si>
  <si>
    <t>Conservateur de Bibliothèque au Musée Barbier-Mueller de Genève, responsable de la Bibliothèque poétique de la Renaissance (en 2007)</t>
  </si>
  <si>
    <t>Favey, Etienne (19..-....)</t>
  </si>
  <si>
    <t>Chef de projets, attaché de direction de la Ville de Genève, de 1999 à 2023. - Ingénieur chef de projets pour le Canton de Genève en 2023.</t>
  </si>
  <si>
    <t>Osman, Sarah (20..-....)</t>
  </si>
  <si>
    <t>Historienne et assistante doctorants au sein de l’Unité d’histoire suisse à l'Université de Genève (2025)</t>
  </si>
  <si>
    <t>Multari, Roberto (19..-....)</t>
  </si>
  <si>
    <t>Président de l’association Les Berges de Vessy</t>
  </si>
  <si>
    <t>Zabey, Philippe Charles (19..-....)</t>
  </si>
  <si>
    <t>Mathématicien</t>
  </si>
  <si>
    <t>Najjar, Sarah (1986-....)</t>
  </si>
  <si>
    <t>Illustratrice et autrice de bande dessinée. - A étudié à l'Université de Genève et travaillé dans le domaine de la communication</t>
  </si>
  <si>
    <t>Lewinter, Roger (1941-....)</t>
  </si>
  <si>
    <t>Montauban</t>
  </si>
  <si>
    <t>Homme de lettres. - Vit à Genève. - A enseigné pendant dix ans à l’E.S.A.D. (École supérieure d’art dramatique de Genève). - Traduit de l'allemand et de l'espagnol en français</t>
  </si>
  <si>
    <t>Mandryka, Nikita (1940-2021)</t>
  </si>
  <si>
    <t>Bizerte</t>
  </si>
  <si>
    <t>Institut des hautes études cinématographiques</t>
  </si>
  <si>
    <t>L'Écho des savanes | Vaillant | Spirou | Pilote | Pif Gadget</t>
  </si>
  <si>
    <t>Dessinateur et scénariste de bandes dessinées. A d'abord écrit sous le pseudonyme \"Kalkus</t>
  </si>
  <si>
    <t>Berlamont-Equey, Laurence (1969-)</t>
  </si>
  <si>
    <t>Chargée de communication au Musée d'ethnographie (MEG), Genève</t>
  </si>
  <si>
    <t>Tirabosco, Tom (1966-....)</t>
  </si>
  <si>
    <t>Rome</t>
  </si>
  <si>
    <t>Scénariste et dessinateur de bandes dessinées suisse (Genève)</t>
  </si>
  <si>
    <t>Veyser, Pierre (1970-....)</t>
  </si>
  <si>
    <t>Compositeur, musicien autodidacte et multi-instrumentiste. Il est né à Marseille et vit à Genève.</t>
  </si>
  <si>
    <t>Association Puplinge classique (Genève, Suisse)</t>
  </si>
  <si>
    <t>Marchand, Gilles (1962-.... ; spécialiste des médias)</t>
  </si>
  <si>
    <t>Spécialiste des médias né à Lausanne, Suisse. Titulaire d'un master en sociologie de l'Université de Genève. - Éditeur (1985-2001?). Directeur de la Télévision suisse romande (2001-2009), de la Radio télévision suisse (2010-2017), de la Société suisse de radiodiffusion (depuis 2017)</t>
  </si>
  <si>
    <t>Walder (1979-.... ; illustrateur)</t>
  </si>
  <si>
    <t>Auteur de manga / bande dessinée, illustrateur né à Genève.</t>
  </si>
  <si>
    <t>Touboul-Ephrati, Karen (19..-....)</t>
  </si>
  <si>
    <t>Responsable événementiel et chargée de projets à la CICAD (Coordination intercommunautaire contre l'antisémitisme et la diffamation) en 2025</t>
  </si>
  <si>
    <t>Kadosh, Laurence (19..-....)</t>
  </si>
  <si>
    <t>Coordinatrice des programmes pédagogiques et éducatifs à la CICAD (Coordination intercommunautaire contre l'antisémitisme et la diffamation) en 2025</t>
  </si>
  <si>
    <t>Agapornis</t>
  </si>
  <si>
    <t>Fondé à Genève en 2021, « Agapornis » est un laboratoire d'expérimentation artistique dont Zoé Marmier et Louise Jarrige-Le Berre sont les deux curatrices</t>
  </si>
  <si>
    <t>Moyal, Sterna (19..-....)</t>
  </si>
  <si>
    <t>Responsable relations membres et donateurs et coordinatrice de programmes éducatifs et pédagogiques à la CICAD (Coordination intercommunautaire contre l'antisémitisme et la diffamation) en 2025</t>
  </si>
  <si>
    <t>Neeb, Mélanie (19..-....)</t>
  </si>
  <si>
    <t>Ingénieure géomètre pour le bureau Haller Wasser, ingénieurs géomètres (Carouge, Genève)</t>
  </si>
  <si>
    <t>Beer, Roger (1956-....)</t>
  </si>
  <si>
    <t>Ingénieur forestier suisse, à la tête du secteur forêts et arbres isolés à l'Office cantonal de l'agriculture et de la nature de Genève (jusqu'en 2021). Il préside la société suisse de dendrologie (en 2021)</t>
  </si>
  <si>
    <t>Faure, Nicolas (1949-.... ; photographe)</t>
  </si>
  <si>
    <t>Photographe, photographe de paysages, né à Genève</t>
  </si>
  <si>
    <t>Coello, Marta (19..-....)</t>
  </si>
  <si>
    <t>Historienne, journaliste et communicante, Marta Coello est active dans le domaine de la communication culturelle et muséale. - Conceptrice-rédactrice / Webmaster au Muséum d'histoire naturelle (MHN) à Genève</t>
  </si>
  <si>
    <t>Humair, Daniel (1938-....)</t>
  </si>
  <si>
    <t>Né le 23 mai 1938 à Genève. - Peintre. - Batteur de jazz</t>
  </si>
  <si>
    <t>Mazeirat, Bertrand (19..-....)</t>
  </si>
  <si>
    <t>Fondateur et dirigeant de Ad Hoc Médiation &amp; Culture (2001-2007), chef de projet au Musée des Confluences à Lyon (2001-2007), adjoint de direction - responsable programmation culturelle et expositions au Conservatoire de l'Agriculture - Le Compa à Chartres, directeur du Domaine du Château d'Avignon (2009-2011), conservateur et chef de projet au Musée d'art et d'histoire à Genève (2011-)</t>
  </si>
  <si>
    <t>Parti socialiste d'Onex (Onex, Genève, Suisse)</t>
  </si>
  <si>
    <t>Section onésienne du parti socialiste suisse</t>
  </si>
  <si>
    <t>Makki, Michèle (19..-....)</t>
  </si>
  <si>
    <t>Richle, Urs (1965-....)</t>
  </si>
  <si>
    <t>Wattwil</t>
  </si>
  <si>
    <t>Né à Wattwil (Allemagne), en 1965. - Ingénieur à l'université de Genève, enseignant ; romancier. - Vit à Genève</t>
  </si>
  <si>
    <t>Pfammatter, Vincent (19..-....)</t>
  </si>
  <si>
    <t>Vincent Pfammatter est avocat. - Il a co-fondé Sigma Legal SA à Genève et Lausanne. - Spécialisé dans le droit des fondations et des sociétés, il est également Academic Fellow du Centre en Philanthropie de l’Université de Genève et membre du Comité de proFonds. - Il rejoint l’Étude Walder Wyss à Genève en 2024.</t>
  </si>
  <si>
    <t>Louviot, Maude</t>
  </si>
  <si>
    <t>Assistante-doctorante au Centre interfacultaire en droits de l'enfant de l'Université de Genève (2019)</t>
  </si>
  <si>
    <t>Association Baz'Art (Genève, Suisse)</t>
  </si>
  <si>
    <t>Carecchio, Anne-Stéphanie (1974-....)</t>
  </si>
  <si>
    <t>Titulaire d'un doctorat en médecine (Saint-Etienne, 2005)</t>
  </si>
  <si>
    <t>Carrefour-Rue (Genève, Suisse)</t>
  </si>
  <si>
    <t>En 2020, Carrefour-Rue devient Carrefour-Rue &amp; Coulou</t>
  </si>
  <si>
    <t>Lakatos, Özlem (19..-....)</t>
  </si>
  <si>
    <t>Collaboratrice scientifique au Centre d'études sur les droits de l'enfant de l'Université de Genève (en 2025)</t>
  </si>
  <si>
    <t>Mamboury, Sandra (19..-....)</t>
  </si>
  <si>
    <t>Journaliste, comédienne, écrivaine</t>
  </si>
  <si>
    <t>Safonoff, Catherine (1939-....)</t>
  </si>
  <si>
    <t>Critique littéraire au début des années 80, au \"Journal de Genève\" et à la \"Radio suisse romande\", scénariste</t>
  </si>
  <si>
    <t>Guilley, Edith (19..-....)</t>
  </si>
  <si>
    <t>Chercheuse au Service de la recherche en éducation du Département de l'Instruction Publique du canton de Genève.</t>
  </si>
  <si>
    <t>Bernheim, Pascal (1958-....)</t>
  </si>
  <si>
    <t>Producteur et animateur à la Radio Suisse Romande (RSR). Ecrit également pour la scène</t>
  </si>
  <si>
    <t>Winderickx, Ilana (19..-....)</t>
  </si>
  <si>
    <t>Ilana Winderickx est une artiste (Suisso-Belge) résidant à Genève et diplômée d’un Master en arts visuels à l’école d’art de Genève.</t>
  </si>
  <si>
    <t>Petrucci, Franck (1979-.... ; auteur en sciences de l'éducation)</t>
  </si>
  <si>
    <t>Chercheur à l'Etat du Canton de Genève au sein du Service de la Recherche et de l’Éducation (SRED). - Doctorant en sciences de l'éducation à l'université de Lausanne / Université Grenoble Alpes, laboratoire Larac (en 2024)</t>
  </si>
  <si>
    <t>Droz Chanson, Magali (1985-....)</t>
  </si>
  <si>
    <t>Psychologue genevoise. Elle écrit et illustre des livres pour enfants au but thérapeutique</t>
  </si>
  <si>
    <t>Bouvier, Bertrand (1929-2025)</t>
  </si>
  <si>
    <t>Néohelléniste, professeur de grec moderne à l'Université de Genève de 1976 à 1995</t>
  </si>
  <si>
    <t>Guerra, Zélie (19..-....)</t>
  </si>
  <si>
    <t>Graphiste à Céligny (Genève). - Diplômée en graphisme et webdesign de l'IPAC design (Genève) et avec un master en communication de l'Université de la Suisse italienne (Lugano)</t>
  </si>
  <si>
    <t>Cholz, Rachel M. (1991-....)</t>
  </si>
  <si>
    <t>Auteur dramatique, Rachel M. Cholz est née en 1991. - Elle vit entre Bruxelles et Genève</t>
  </si>
  <si>
    <t>Klopmann, André (1961-....)</t>
  </si>
  <si>
    <t>Journaliste au \"Journal de Genève\" et à la \"Gazette de Lausanne\" (en 1992)</t>
  </si>
  <si>
    <t>Giamarchi, Pierre (19..-.... ; publicitaire)</t>
  </si>
  <si>
    <t>Publicitaire franco-suisse et créateur du concept CurioCities</t>
  </si>
  <si>
    <t>P'tit Music'Hohl (Genève, Suisse)</t>
  </si>
  <si>
    <t>Huetz, Allison (19..-....)</t>
  </si>
  <si>
    <t>Doctorante à l'Université de Genève. - Assistante d’édition, chargée des projets « Musées, institutions, HES ». - Elle rejoint l’équipe éditoriale d’art&amp;fiction en 2022</t>
  </si>
  <si>
    <t>Unireso (Genève, Suisse)</t>
  </si>
  <si>
    <t>Unireso est le nom donné à la communauté tarifaire genevoise entrée en vigueur en 2001 et qui fut transfrontalière de 2004 à 2019.</t>
  </si>
  <si>
    <t>Association MetroBoulotKino (Genève, Suisse)</t>
  </si>
  <si>
    <t>Iodice, Sonia (19..-....)</t>
  </si>
  <si>
    <t>Célébrante indépendante et écrivaine</t>
  </si>
  <si>
    <t>Dambach, Mia (19..-....)</t>
  </si>
  <si>
    <t>Directrice exécutive (Child Identity Protection, Genève, Suisse) et avocate</t>
  </si>
  <si>
    <t>Association Mine de Rien (Genève, Suisse)</t>
  </si>
  <si>
    <t>Fischer, Antoine (1985-.... ; illustrateur)</t>
  </si>
  <si>
    <t>Haute École d'Arts appliqués</t>
  </si>
  <si>
    <t>Illustrateur et sérigraphe, a étudier les arts décoratifs à Genève, cofondateur en 2004 du collectif Hécatombe</t>
  </si>
  <si>
    <t>Vidon, Corinne (19..-....)</t>
  </si>
  <si>
    <t>Danseuse, créatrice de spectacles, scénariste, comédienne et psychomotricienne</t>
  </si>
  <si>
    <t>Musijeunes (Chêne-Bougeries, Suisse)</t>
  </si>
  <si>
    <t>Guye-Vuillème, Maud (1979-....)</t>
  </si>
  <si>
    <t>Née à Genève en 1979. - Photographe indépendante, auteure, atteinte d'un cancer au sein, elle exerce son activité professionnelle à Morges, Vaud, Suisse (2024)</t>
  </si>
  <si>
    <t>Wasser, Frédéric (1982-....)</t>
  </si>
  <si>
    <t>Né à Genève en 1982. - EPFL, Master en SIE (2002-2007), Master Province de Shandong en Chine 2007, Ingénieur géomètre breveté (2014). - Associé &amp; Directeur de Haller Wasser + Partner SA à Carouge, Genève</t>
  </si>
  <si>
    <t>Buche (1965-....)</t>
  </si>
  <si>
    <t>Dessinateur de bandes dessinées</t>
  </si>
  <si>
    <t>Collectif Détente</t>
  </si>
  <si>
    <t>Ducrey, François (19..-....)</t>
  </si>
  <si>
    <t>Zbinden, Jim (1970-....)</t>
  </si>
  <si>
    <t>Né en 1970, ancien skateur professionnel, créateur et collectionneur genevois. - A créé le Musée du Skate de Genève en 1995</t>
  </si>
  <si>
    <t>Challandes, Laure</t>
  </si>
  <si>
    <t>Après des études de lettres à Genève, elle obtient un Master of Arts à l'université de Pennsylvanie. Elle est ensuite assistante à l'université de Genève, où elle prépare une thèse. Au bénéfice d'une bourse du Fonds national suisse de la recherche scientifique, elle séjourne une année à Oxford et devient docteure ès lettres à l'université de Genève en 2006.</t>
  </si>
  <si>
    <t>Xhixho, Dorina (1982-....)</t>
  </si>
  <si>
    <t>Née à Tirana en 1982. - Vit à Genève depuis 1999, où elle est venue en tant qu’étudiante. Diplômée en droit et en sciences politiques, spécialisée dans les négociations et les politiques publiques. - Conseillère du ministre de la Culture à Genève (2021-2024), membre du Comité Directeur du Parti Socialiste du Canton de Genève</t>
  </si>
  <si>
    <t>Traunig, Rebecca</t>
  </si>
  <si>
    <t>Rebecca Traunig, alias Ninig, est une illustratrice et coloriste suisse. En 2018, elle suit une formation en illustration et bande dessinée. Elle est diplômée de l'ESBDI (École supérieure de bande dessinée et d'illustration) de Genève et de l'école HEAD (Haute école d'art et de design) de Genève</t>
  </si>
  <si>
    <t>Olivier, François (1795-1888 ; pasteur)</t>
  </si>
  <si>
    <t>1795</t>
  </si>
  <si>
    <t>Abele, Camille (19..-....)</t>
  </si>
  <si>
    <t>fonds municipal d'art contemporain de Genève</t>
  </si>
  <si>
    <t>Responsable du FMAC - Fonds d’art contemporain de la Ville de Genève</t>
  </si>
  <si>
    <t>Delhoume, Olivier (1960-.... ; photographe)</t>
  </si>
  <si>
    <t>Né en 1960 à Briare (France). - Journaliste culturel en presse écrite, radio et télévision. - Médiateur culturel à Genève. - Chef du service de la culture et Délégué culturel de la ville de Versoix (Genève) jusqu’à juin 2024</t>
  </si>
  <si>
    <t>Schnider, Armin</t>
  </si>
  <si>
    <t>Neurologue aux hôpitaux universitaires de Genève (HUG)</t>
  </si>
  <si>
    <t>Amar, Sarah (19..-.... ; musicienne)</t>
  </si>
  <si>
    <t>Percussionniste, interprète et enseignante. - Elle a été formée à Paris puis à la HEM de Genève. - Elle se produit avec diverses formations telles qu’Eklekto, l’harmonie de Genève et l’OCG. Musicienne éclectique.</t>
  </si>
  <si>
    <t>Fumeaux, Nicolas (19..-.... ; botaniste)</t>
  </si>
  <si>
    <t>Jardin Botanique de Genève</t>
  </si>
  <si>
    <t>Botaniste, en poste aux Conservatoire et Jardin botaniques de la Ville de Genève depuis 1999</t>
  </si>
  <si>
    <t>Haute école de santé (Genève, Suisse)</t>
  </si>
  <si>
    <t>A porté jusqu'en 2003 le nom de École genevoise de soins infirmiers Le Bon Secours</t>
  </si>
  <si>
    <t>Baladi, Alex (1969-....)</t>
  </si>
  <si>
    <t>Scénariste-dessinateur de bandes dessinées</t>
  </si>
  <si>
    <t>Pralong, Isabelle (1967-....)</t>
  </si>
  <si>
    <t>Dessinatrice et scénariste de bandes dessinées, née à Sion. - Enseignante en illustration-BD à l'École des arts appliqués de Genève (en 2008). - Récompensée par trois fois du Prix Rodolphe-Töpffer Genève</t>
  </si>
  <si>
    <t>Calame, Timothée (1991-....)</t>
  </si>
  <si>
    <t>Artiste, vit à Marseille</t>
  </si>
  <si>
    <t>Zaugg, Maurane (19..-....)</t>
  </si>
  <si>
    <t>Serra, Francesca (1970-.... ; italianiste)</t>
  </si>
  <si>
    <t>Florence</t>
  </si>
  <si>
    <t>Université de Florence</t>
  </si>
  <si>
    <t>Italianiste, docteure en études italiennes de l'université de Florence en 2000, professeure à l'université de Genève depuis 2015</t>
  </si>
  <si>
    <t>Favre, Julien (1889-1964 ; philosophe)</t>
  </si>
  <si>
    <t>Bavois</t>
  </si>
  <si>
    <t>Bâle</t>
  </si>
  <si>
    <t>Philosophe suisse</t>
  </si>
  <si>
    <t>Riniker-Radich, Marta (1982-....)</t>
  </si>
  <si>
    <t>Haute École d’art et de design Genève</t>
  </si>
  <si>
    <t>Artiste née en 1982 à Berne. - Diplômée de la Haute école d’art et de design (HEAD) de Genève en 2008. - Vit et travaille à Genève</t>
  </si>
  <si>
    <t>Jarrige-Le Berre, Louise (19..-....)</t>
  </si>
  <si>
    <t>Membre de Agapornis, projet collaboratif de mode crée en 2021 avec Zoé Marmier</t>
  </si>
  <si>
    <t>Aeby, Gaëlle</t>
  </si>
  <si>
    <t>Docteur en sociologie. En poste, Université de Lausanne, Suisse (en 2014)</t>
  </si>
  <si>
    <t>Schnyder, Sébastien (1990-....)</t>
  </si>
  <si>
    <t>Né en 1990 à Genève. - Plasticien et céramiste</t>
  </si>
  <si>
    <t>Delrieu, Bénédicte (19..-....)</t>
  </si>
  <si>
    <t>Autrice de romans, travaille dans une organisation internationale à Genève.</t>
  </si>
  <si>
    <t>Blatt, Viviane (19..-....)</t>
  </si>
  <si>
    <t>Passionnée de photographie et co-fondatrice de la société \"Lightmotif éditions\"</t>
  </si>
  <si>
    <t>Opériol, Valérie (19..-....)</t>
  </si>
  <si>
    <t>Chargée d’enseignement à l’Université de Genève en didactique de l’histoire. Membre de l'Équipe de didactique de l'histoire et de la citoyenneté, Edhice (2024)</t>
  </si>
  <si>
    <t>Favre, Julien (19..-.... ; auteur de bande dessinée)</t>
  </si>
  <si>
    <t>Né en 1979 ou 1980. Auteur de bande dessinée, imprimeur, sérigraphe avec son frère Dimitri Favre. Leur imprimerie se nomme Les Belges à Meinier.</t>
  </si>
  <si>
    <t>Watts, Johnathan (1961-.... ; photographe)</t>
  </si>
  <si>
    <t>Reumann, Helge (1966-....)</t>
  </si>
  <si>
    <t>Haddad, Zahi (19..-.... ; romancier)</t>
  </si>
  <si>
    <t>Romancier. - Vit à Genève</t>
  </si>
  <si>
    <t>Délez, Jeff (1997-....)</t>
  </si>
  <si>
    <t>Né à Genève en 1997. - CFC et une maturité professionnelle au CFP (Centre de formation professionnelle) Arts de Genève ainsi qu’un Bachelor of Arts à la HEAD-Genève. - Auteur de bandes dessinées</t>
  </si>
  <si>
    <t>Bodlet, Benoît (19..-....)</t>
  </si>
  <si>
    <t>Diplômé de philosophie (Université Paris 1 Panthéon-Sorbonne) et de littérature (Université de Genève). Professeur de français et de philosophie à Genève</t>
  </si>
  <si>
    <t>Schurter-Reymond, Sylvie (19..-....)</t>
  </si>
  <si>
    <t>Auteur d’histoires en kamishibaï et de nouvelles. Ancienne éducatrice de la petite enfance</t>
  </si>
  <si>
    <t>Löbl, Ivan (19..-.... ; entomologiste)</t>
  </si>
  <si>
    <t>Bratislava</t>
  </si>
  <si>
    <t>faculté des sciences de l'université Comenius de Bratislava</t>
  </si>
  <si>
    <t>Muséum d'histoire naturelle de Genève | musée national slovaque</t>
  </si>
  <si>
    <t>Chercheur en poste : Muséum d'histoire naturelle, Genève</t>
  </si>
  <si>
    <t>Cameron, Lindsey</t>
  </si>
  <si>
    <t>Titulaire d'un doctorat en droit international public de l'Université de Genève. - A travaillé pour le Haut Commissariat des Nations unies pour les réfugiés (UNHCR). - Actuellement, Cheffe de l’unité thématique à la Division juridique, Comité international de la Croix-Rouge (CICR) à Genève, 2024.</t>
  </si>
  <si>
    <t>Sánchez, Pierre (1964-.... ; historien de l'Antiquité)</t>
  </si>
  <si>
    <t>Docteur en histoire ancienne de l’Université de Genève</t>
  </si>
  <si>
    <t>Demeyere, Bruno (19..-....)</t>
  </si>
  <si>
    <t>Rédacteur-en-chef de la Revue internationale de la Croix-Rouge et conseiller juridique au sein de de l’Unité de mise à jour des Commentaires de la Division juridique du CICR (en 2025).</t>
  </si>
  <si>
    <t>Birchler Emery, Patrizia (19..-.... ; archéologue)</t>
  </si>
  <si>
    <t>Docteur en archéologie classique. Enseigne à l'Université de Genève et participe à la mise en place d'expositions aux Musées d'art et d'histoire de Genève. Collabore à un projet d'enseignement en ligne de l'Unité d'archéologie.</t>
  </si>
  <si>
    <t>Bal, Marilou (1990-....)</t>
  </si>
  <si>
    <t>Née en 1990 à Pessac. - Peintre qui vit et travaille à Genève. - Diplomée de la HEAD (Genève) en 2018</t>
  </si>
  <si>
    <t>Mouron, Julien (1983-....)</t>
  </si>
  <si>
    <t>Artiste et enseignant genevois</t>
  </si>
  <si>
    <t>Argent, Nathan (19..-....)</t>
  </si>
  <si>
    <t>Vit et travaille à Genève. - Il est responsable du sous-programme Climat de la Oak, à la SwissFoundation à Genève.</t>
  </si>
  <si>
    <t>Marvin, Sebastiano (1982-....)</t>
  </si>
  <si>
    <t>Né en 1982 au Tessin. - Journaliste, animateur, traducteur, professeur d'anglais, éditeur d'essais et de romans. - Professeur invité, chargé de projet, à l'Université de Genève</t>
  </si>
  <si>
    <t>Evrard, Annick (19..-.... ; autrice en sciences de l'éducation)</t>
  </si>
  <si>
    <t>Travail pour le SRED (Service de la Recherche en éducation) de l'Etat de Genève</t>
  </si>
  <si>
    <t>Cennamo, Laurent (1980-....)</t>
  </si>
  <si>
    <t>Zaugg, Léon (19..-....)</t>
  </si>
  <si>
    <t>Fivaz, Fred (1973-.... ; illustrateur)</t>
  </si>
  <si>
    <t>Illustrateur, auteur de livres pour enfants</t>
  </si>
  <si>
    <t>Spielact (Genève, Suisse)</t>
  </si>
  <si>
    <t>Durouvenoz, Sylvie (19..-.... ; dessinatrice)</t>
  </si>
  <si>
    <t>Dessinatrice et peintre carougeoise</t>
  </si>
  <si>
    <t>Nelson, Louise (19..-....)</t>
  </si>
  <si>
    <t>Dubret, Michel (195.-....)</t>
  </si>
  <si>
    <t>195X</t>
  </si>
  <si>
    <t>Professeur de littérature à la Mutuelle d’Études Secondaires (MES) : préparation au Baccalauréat International, Genève</t>
  </si>
  <si>
    <t>Genevalux (Genève, Suisse)</t>
  </si>
  <si>
    <t>Guerreiro do Divino Amor (1983-....)</t>
  </si>
  <si>
    <t>Artiste helvético-brésilien né à Genève</t>
  </si>
  <si>
    <t>Rivanera, Laura (1989-....)</t>
  </si>
  <si>
    <t>Artiste peintre, dessinatrice et autrice de poésie</t>
  </si>
  <si>
    <t>Chenal, Vincent (1972-....)</t>
  </si>
  <si>
    <t>Historien de l'art à l'université de Genève. Titulaire d'une thèse de doctorat sur le collectionneur genevois François Duval</t>
  </si>
  <si>
    <t>Alternatiba Léman (Genève, Suisse)</t>
  </si>
  <si>
    <t>Brüderlin, Marc (19..-....)</t>
  </si>
  <si>
    <t>Collaborateur de recherche au SRED (Service de la recherche en éducation) de l'Etat de Genève</t>
  </si>
  <si>
    <t>Jaccaud, Jean-Paul (1971-...)</t>
  </si>
  <si>
    <t>Né à Hong Kong. - Architecte EPF. - Vit et travaille à Genève</t>
  </si>
  <si>
    <t>De Giorgi, Alda (19..-....)</t>
  </si>
  <si>
    <t>Licenciée en sociologie de l'Université de Genève | Secrétaire générale du Collège du Travail (Genève)</t>
  </si>
  <si>
    <t>Association des Amis du Cinéma Bio (Carouge, Suisse)</t>
  </si>
  <si>
    <t>La Coulou (Genève, Suisse)</t>
  </si>
  <si>
    <t>Fusionne avec Carrefour-Rue en 2019</t>
  </si>
  <si>
    <t>Gindre, Philippe (1973-....)</t>
  </si>
  <si>
    <t>Auteur, bibliothécaire et musicien genevois</t>
  </si>
  <si>
    <t>Wazem, Pierre (1970-....)</t>
  </si>
  <si>
    <t>Freiburghaus, Aline (19..-....)</t>
  </si>
  <si>
    <t>Master en Sciences politiques et un master en Sciences de l’environnement à l'Université de Genève. - Co-directrice de SwissFondations depuis 2021. - Elle dirige le bureau romand de SwissFoundations à Genève</t>
  </si>
  <si>
    <t>Melquiot, Fabrice (1972-....)</t>
  </si>
  <si>
    <t>Modane</t>
  </si>
  <si>
    <t>Auteur d'ouvrages pour la jeunesse. Prix du jeune théâtre Béatrix Dussane - André Roussin, Fondation Le Métais - Larivière décerné par l'Académie française en 2008 pour l'ensemble de son oeuvre. - De 2012 à 2021, il a dirigé le Théâtre Am Stram Gram de Genève</t>
  </si>
  <si>
    <t>Ellenberger, Pierre-Laurent (1943-....)</t>
  </si>
  <si>
    <t>né à Genève en 1943 et mort le 13 avril 2002. - Helléniste. - Romancier, poète, auteur dramatique et enseignant vaudois</t>
  </si>
  <si>
    <t>Viladomiu Ceballos, David (19..-....)</t>
  </si>
  <si>
    <t>Architecte et assistant d'enseignement au département d'architecture intérieure de la HEAD - Genève (en 2025)</t>
  </si>
  <si>
    <t>Théâtre Confiture (Genève, Suisse)</t>
  </si>
  <si>
    <t>Martin du Theil, Jean-Marc (1941-....)</t>
  </si>
  <si>
    <t>Angers</t>
  </si>
  <si>
    <t>Photographe. - Journaliste. - Administrateur du Nouveau Théâtre de Poche de Genève (1987-1990). - Collaborateur du Théâtre national populaire (Lyon-Villeurbanne, 1972-1982) et du Théâtre du Huitième (Lyon, 1968-1972). - A travaillé sous le pseudonyme de Michel Sarti pour l'agence Enguérand. - Fonctionnaire de la Ville de Genève, de 1990 à 2006</t>
  </si>
  <si>
    <t>Novicov, Andrea (1958-2024)</t>
  </si>
  <si>
    <t>Metteur en scène. - Fondateur et directeur artistique de la Compagnie Angledange. - Directeur du Théâtre populaire romand à La Chaux-de-Fonds (2009-2013). - Directeur du Théâtre de l'Orangerie à Genève (2017-2023)</t>
  </si>
  <si>
    <t>Janiaud, Cindy (19..-....)</t>
  </si>
  <si>
    <t>Administratrice dans des compagnies de théâtre</t>
  </si>
  <si>
    <t>Théâtre Saint-Gervais (Genève, Suisse)</t>
  </si>
  <si>
    <t>Heiniger, Sébastien (19..-....)</t>
  </si>
  <si>
    <t>Docteur ès lettres de l’Université de Genève, Suisse. Chercheur postdoctoral, Institut des mondes africains (en 2022)</t>
  </si>
  <si>
    <t>Baud, Hugo (1994-....)</t>
  </si>
  <si>
    <t>Illustrateur. Il a reçu à Genève le Prix Töpffer de la jeune bande dessinée.</t>
  </si>
  <si>
    <t>Mémoire de Confignon (Confignon, Genève)</t>
  </si>
  <si>
    <t>Gressot, Natalie (19..-....)</t>
  </si>
  <si>
    <t>Adjointe de direction au Département de la culture et de la transition numérique à la ville de Genève</t>
  </si>
  <si>
    <t>Métropole lémanique</t>
  </si>
  <si>
    <t>Pittet, Fabrice (1976-....)</t>
  </si>
  <si>
    <t>Diplômé en biologie. - Auteur. - Professeur de biologie et de mathématiques à Genève</t>
  </si>
  <si>
    <t>Guignard, Caroline (1976-.... ; conservatrice)</t>
  </si>
  <si>
    <t>Assistrante-conservatrice au Cabinet d'arts graphiques des Musées d'art et d'histoire de Genève</t>
  </si>
  <si>
    <t>Bréant, Nathalie (19..-....)</t>
  </si>
  <si>
    <t>Avocate suisse</t>
  </si>
  <si>
    <t>Keller, François (19..-.... ; éducateur spécialisé)</t>
  </si>
  <si>
    <t>Éducateur spécialisé, formateur d'adultes. Directeur de l'Institut suisse de Brainworking, Genève (en 2025), spécialisé dans l'insertion socio-professionnelle. Membre du réseau L’infinir, à Lausanne et Genève, https://linfinir.ch/</t>
  </si>
  <si>
    <t>Bottge, Delphine (19..-.... ; avocate)</t>
  </si>
  <si>
    <t>Avocate spécialisée en philanthropie et durabilité de l’entreprise, et Academic Fellow du Centre en Philanthropie de l’Université de Genève.</t>
  </si>
  <si>
    <t>Suter, Fiore (19..-....)</t>
  </si>
  <si>
    <t>Responsable du Service de la durabilité et du climat pour la Commune de Chêne-Bourg, Commissaire à la Commission consultative pour la gestion du Rhône et de l'Arve ainsi que Commissaire à la Commission d'urbanisme pour l’État de Genève</t>
  </si>
  <si>
    <t>Giesser, Pierre-Alain (19-....)</t>
  </si>
  <si>
    <t>Typographe et enseignant dans le domaine de l'art</t>
  </si>
  <si>
    <t>Wang, Louise Leï (19..-....)</t>
  </si>
  <si>
    <t>Basée à Genève, Louise Leï Wang est designer de bijoux et d’accessoires. Diplômée de la HEAD (Genève) en 2021</t>
  </si>
  <si>
    <t>Imprimerie et lithographie Vaney (Genève, Suisse)</t>
  </si>
  <si>
    <t>Imprimerie et lithographie établie à Genève à partir des années 1840. L'adresse de l'imprimerie connue à partir de 1862 est le 52 de la rue du Rhône à Genève. Lui succède l'imprimerie Ziegler et Alavoine.</t>
  </si>
  <si>
    <t>Cilins, Nicolas (1985-....)</t>
  </si>
  <si>
    <t>Cannes</t>
  </si>
  <si>
    <t>Vernet, Hélène (1831-1875)</t>
  </si>
  <si>
    <t>1831</t>
  </si>
  <si>
    <t>1875</t>
  </si>
  <si>
    <t>Genevoise, première directrice de l'Hôpital Gourgas à Genève</t>
  </si>
  <si>
    <t>Université Populaire du Canton de Genève (Suisse)</t>
  </si>
  <si>
    <t>Nabli, Yasmine (19..-....)</t>
  </si>
  <si>
    <t>Vit et travaille à Genève. - Diplômée de la HEAD (Genève) en 2021. - Graphiste</t>
  </si>
  <si>
    <t>Allegro Musique (Genève, Suisse)</t>
  </si>
  <si>
    <t>Didelot, Gustave (1992-....)</t>
  </si>
  <si>
    <t>Ugazio, Giuseppe</t>
  </si>
  <si>
    <t>Professeur associé en philanthropie comportementale et finance à l’Institut de recherche financière de Genève, faculté d’économie et de gestion de l’Université de Genève</t>
  </si>
  <si>
    <t>Perly-Certoux (Genève, Suisse)</t>
  </si>
  <si>
    <t>Gisel, Laurent (19..-....)</t>
  </si>
  <si>
    <t>Il dirige l’unité armes et conduite des hostilités au sein de la Division juridique du Comité international de la Croix-Rouge (CICR), à Genève.</t>
  </si>
  <si>
    <t>Lathion, Valérie (19..-.... ; historienne)</t>
  </si>
  <si>
    <t>Ansermot, Janie (19..-....)</t>
  </si>
  <si>
    <t>Auteure originaire de Genève</t>
  </si>
  <si>
    <t>Marmier, Zoé (19..-....)</t>
  </si>
  <si>
    <t>Membre de Agapornis, projet collaboratif de mode crée en 2021 avec Louise Jarrige-Le Berre</t>
  </si>
  <si>
    <t>May, Olivier (1957-....)</t>
  </si>
  <si>
    <t>Né en 1957 à Genève. - Romancier et enseignant</t>
  </si>
  <si>
    <t>Curchod, Guillaume (19..-.... ; historien de l'architecture)</t>
  </si>
  <si>
    <t>Historien de l'architecture genevois</t>
  </si>
  <si>
    <t>Pipoz, Alain (19..-....)</t>
  </si>
  <si>
    <t>Responsable d’objet Immobilier. - Photographe genevois</t>
  </si>
  <si>
    <t>Meier, Philippe (1962-.... ; architecte)</t>
  </si>
  <si>
    <t>École polytechnique fédérale de Lausanne</t>
  </si>
  <si>
    <t>École polytechnique fédérale de Lausanne | École nationale supérieure d'architecture de Lyon | École nationale supérieure d'architecture de Nancy | École nationale supérieure d'architecture de Strasbourg</t>
  </si>
  <si>
    <t>Né à Genève en 1962. - Diplômé de l'École polytechnique fédérale de Lausanne (EPFL), en 1987. - Dès 1998, il crée «meier + associés architectes» à Genève</t>
  </si>
  <si>
    <t>Ulmi, Nic (19..-....)</t>
  </si>
  <si>
    <t>Journaliste à la Tribune de Genève (2000-2008), Edelweiss magazine (2008-2013) et au Temps (dès 2013). - Signe Nic Ulmi dès son article \"L'armée suisse et la guerre d'Espagne\" dans : La Suisse et l'Espagne de la république à Franco (1936-1946). - Il travaille aujourd’hui comme «médiateur culturel numérique» et comme rédacteur pour les Bibliothèques municipales de la Ville de Genève et contribue aux magazines scientifiques Horizons et Hémisphères.</t>
  </si>
  <si>
    <t>Irsapoullé, Nelson (20..-....)</t>
  </si>
  <si>
    <t>Artiste baséx à Genève</t>
  </si>
  <si>
    <t>Balmer, Fanny (19..-....)</t>
  </si>
  <si>
    <t>Peintre qui vit et travaille à Genève. - Diplôme de la HEAD (Genève) en 2013</t>
  </si>
  <si>
    <t>Groupe de liaison genevois des associations de jeunesse (Genève, Suisse)</t>
  </si>
  <si>
    <t>Cornaz, Thomas (19..-....)</t>
  </si>
  <si>
    <t>Assistant au sein de l’unité d’histoire suisse de l'Université de Genève</t>
  </si>
  <si>
    <t>Pivoine, Ludiane (19..-....)</t>
  </si>
  <si>
    <t>Artiste diplômée du Conservatoire de musique de Genève et autrice</t>
  </si>
  <si>
    <t>Pictet (famille)</t>
  </si>
  <si>
    <t>Murphy, Vanessa (19..-.... ; juriste)</t>
  </si>
  <si>
    <t>Elle est conseillère juridique au sein de la Division juridique du Comité international de la Croix-Rouge (CICR) à Genève. - Elle est titulaire d’un LLM en droit international humanitaire de l’Académie de Genève, d’un diplôme d’études supérieures en droit au Royaume-Uni et d’un Bachelor of Arts en Sciences politiques et études internationales de l’université de Yale.</t>
  </si>
  <si>
    <t>Gil López, Irene (1981-....)</t>
  </si>
  <si>
    <t>Artiste espagnole résident à Genève</t>
  </si>
  <si>
    <t>Association Le Terrier (Genève, Suisse)</t>
  </si>
  <si>
    <t>Dufay, Rémi (1992-....)</t>
  </si>
  <si>
    <t>Né en 1992 à Caen. - Vit et travaille à Genève. - Diplôme de la HEAD (Genève) en 2017</t>
  </si>
  <si>
    <t>Zein, Maha el (1978-....)</t>
  </si>
  <si>
    <t>Extermann, Carole (19..-....)</t>
  </si>
  <si>
    <t>Journaliste genevoise</t>
  </si>
  <si>
    <t>Incardona, Joseph (1969-....)</t>
  </si>
  <si>
    <t>Romancier et nouvelliste</t>
  </si>
  <si>
    <t>Louvrier, Henri (19..-....)</t>
  </si>
  <si>
    <t>Ancien adjoint au maire de la commune de Céligny (Genève)</t>
  </si>
  <si>
    <t>Cherbuliez-Schaeck, Alfred (1838-1895)</t>
  </si>
  <si>
    <t>1838</t>
  </si>
  <si>
    <t>Libraire genevois. Reprend la librairie Cherbuliez en 1869 suite au décès de son père.</t>
  </si>
  <si>
    <t>Rastoldo, François (19..-.... ; sociologue)</t>
  </si>
  <si>
    <t>Sociologue. Depuis 1998, chercheur au SRED, Service de la recherche en éducation, Genève</t>
  </si>
  <si>
    <t>Bizub, Edward (19..-....)</t>
  </si>
  <si>
    <t>Ancien professeur d'anglais au Collège de Genève et de littérature comparée à l'Université de Genève, Suisse</t>
  </si>
  <si>
    <t>Jemmely, Virginie (1993-....)</t>
  </si>
  <si>
    <t>Née à Genève en 1993. - Diplômée de la HEAD (Genève)</t>
  </si>
  <si>
    <t>Senn, Wladyslaw (19..-....)</t>
  </si>
  <si>
    <t>Vit et travaille à Genève. - Travaille dans le domaine de l'environnement et de l'énergie</t>
  </si>
  <si>
    <t>Lutz, Christian (1973-.... ; photographe)</t>
  </si>
  <si>
    <t>Né à Genève en 1973. Photographe, prix suisse de la photographie en 2008 pour son travail intitulé \"Protokoll\"</t>
  </si>
  <si>
    <t>Gonzalez, Jesus (19..-.... ; chargé de communication)</t>
  </si>
  <si>
    <t>Chargé de communication au Musée d'art et d'histoire (MAH) Genève depuis 2018</t>
  </si>
  <si>
    <t>Hertig, Maya (1973-.... ; juriste)</t>
  </si>
  <si>
    <t>Juriste | Professeure ordinaire, Directrice adjointe du département de droit public de l'Université de Genève en 2012</t>
  </si>
  <si>
    <t>Gurfinkiel, Johanne  (19..-....)</t>
  </si>
  <si>
    <t>Secrétaire général de la CICAD (Coordination Intercommunautaire contre l’antisémitisme et la diffamation) en 2025</t>
  </si>
  <si>
    <t>Académie de Musique de Genève (Genève, Suisse)</t>
  </si>
  <si>
    <t>Schärlig, Alain (19..-....)</t>
  </si>
  <si>
    <t>Université de Genève | Université de Lausanne</t>
  </si>
  <si>
    <t>Professeur honoraire à l'université de Lausanne. Spécialiste d'histoire du calcul et mathématicien (Université de Genève) et docteur en économie politique (Université de Dijon). Il a mené en parallèle une carrière universitaire et une autre de cadre supérieur dans une multinationale. Après sa retraite, il s'est consacré à l'histoire du calcul, domaine dans lequel il a publié plusieurs ouvrages, seul ou en collaboration avec Jérôme Gavin.</t>
  </si>
  <si>
    <t>Lapaire, Claude (1932-2024)</t>
  </si>
  <si>
    <t>1932</t>
  </si>
  <si>
    <t>Cornol</t>
  </si>
  <si>
    <t>Collonge-Bellerive</t>
  </si>
  <si>
    <t>Historien de l’art et muséologue suisse. - Directeur du Musée d'Art et d'Histoire, Genève, 1972-1994. - Directeur honoraire des Musées d'art et d'histoire de Genève (en 2008).</t>
  </si>
  <si>
    <t>Janjic, Abigail (1989-.... ; artiste)</t>
  </si>
  <si>
    <t>Stockholm</t>
  </si>
  <si>
    <t>Née en 1989 à Stockholm. - Artiste. - Vit et travaille à Genève</t>
  </si>
  <si>
    <t>Hutzli, Paul (1992-....)</t>
  </si>
  <si>
    <t>Né à Zurich en 1992. - Artiste. - Vit et travaille à Genève</t>
  </si>
  <si>
    <t>Bleeker, Robin (19..-....)</t>
  </si>
  <si>
    <t>Conseiller en communication</t>
  </si>
  <si>
    <t>Iatsenko, Anna (19..-....)</t>
  </si>
  <si>
    <t>Chercheuse en littérature afro-américaine</t>
  </si>
  <si>
    <t>Meyrat, Gilbert (19..-....)</t>
  </si>
  <si>
    <t>Ancien professeur à l'Institut d’Études sociales de Genève</t>
  </si>
  <si>
    <t>Barseghian, Anne</t>
  </si>
  <si>
    <t>A étudié l'architecture, artiste visuelle et diplômée en communication et visualisation infographiques à l'Université de Genève (Suisse). - Cofondatrice de l'association Utopiana avec Stefan Kristensen en 2001 à Genève</t>
  </si>
  <si>
    <t>Imprimerie Carey (Genève, Suisse)</t>
  </si>
  <si>
    <t>Imprimerie fondée en 1832 par Elie Carey, au 285 de la rue Verdaine. A sa mort, en 1867, l'entreprise est reprise par son fils Jules Carey et en 1892, elle est vendue à Wilhelm Kündig.</t>
  </si>
  <si>
    <t>Berthet, Chloé (1986-....)</t>
  </si>
  <si>
    <t>Dessinatrice et écrivaine suisse. Vit et travaille à Genève</t>
  </si>
  <si>
    <t>Marendaz, Aluna (19..-....)</t>
  </si>
  <si>
    <t>Cofondatrice du Projet Tana</t>
  </si>
  <si>
    <t>Chappuis, Mélanie (1976-....)</t>
  </si>
  <si>
    <t>Bonn</t>
  </si>
  <si>
    <t>Ecrivaine, journaliste, dramaturge et chroniqueuse. A passé son enfance entre l'Amérique Latine et l'Afrique de l'Ouest. Réside à Genève.</t>
  </si>
  <si>
    <t>Garcia Forster, Elisabeth (19..-....)</t>
  </si>
  <si>
    <t>Imprimerie Wyss et Duchêne (Genève, Suisse)</t>
  </si>
  <si>
    <t>Imprimerie genevoise créée par Urs Joseph Wyss et Gustave Duchêne, anciens employés de l'imprimerie Bonnant.</t>
  </si>
  <si>
    <t>Imprimerie Jarrys (Genève, Suisse)</t>
  </si>
  <si>
    <t>Imprimerie établie à Genève</t>
  </si>
  <si>
    <t>Hôpital général (Genève, Suisse ; 1535-1856)</t>
  </si>
  <si>
    <t>1535</t>
  </si>
  <si>
    <t>1856</t>
  </si>
  <si>
    <t>Créé par le Conseil général en 1535 dans le couvent des Clarisses que les sœurs venaient d'abandonner, appelé alors « grand hôpital des pauvres » et accueillant malades et nécessiteux | En 1856, l'Hôpital général se scinde en deux institutions. Ses activités médicales sont confiées à l'Hôpital cantonal et ses activités d'assistance sociale à l'Ancien hôpital de Genève qui devient en 1869 l'Hospice général</t>
  </si>
  <si>
    <t>Imprimerie de Lador (Genève, Suisse)</t>
  </si>
  <si>
    <t>Meige, Roland (19..-....)</t>
  </si>
  <si>
    <t>Architecte, photographe, voyageur, membre de la Société de géographie de Genève</t>
  </si>
  <si>
    <t>Davaud, Émilien (1984-....)</t>
  </si>
  <si>
    <t>Réalisateur de films d’animation basé à Genève. Parallèlement à son activité dans le cinéma d'animation, il participe également à des projets d'illustration</t>
  </si>
  <si>
    <t>Perrier, Charles (1882-1968 ; chirurgien)</t>
  </si>
  <si>
    <t>Chirurgien et urologue, nommé chargé de cours à l’Université de Genève (Suisse) en 1935. Décédé le 29.02.1968 d’un accident de la route à Annemasse (France)</t>
  </si>
  <si>
    <t>Schwizgebel-Wang, Tina (1990-....)</t>
  </si>
  <si>
    <t>Artiste sino-suisse</t>
  </si>
  <si>
    <t>Musée de l'Athénée (Genève, Suisse)</t>
  </si>
  <si>
    <t>2 rue de l'Athénée, 1205 Genève | Beaux-arts</t>
  </si>
  <si>
    <t>Association Suisse Musique et Vie (Genève, Suisse)</t>
  </si>
  <si>
    <t>Association organisant les Concerts d’été en Vieille-Ville à Genève et encourageant et soutenant la culture musicale dans les milieux défavorisés en Suisse et dans le monde</t>
  </si>
  <si>
    <t>Rietschin, Roland (19..-....)</t>
  </si>
  <si>
    <t>Statisticien. En poste à l'Office cantonal de la statistique Genève, Suisse depuis 1982</t>
  </si>
  <si>
    <t>Skalova, Marina (1988-....)</t>
  </si>
  <si>
    <t>Écrivain et traductrice. Lieu de naissance Moscou. - Réside à Genève</t>
  </si>
  <si>
    <t>Genève (canton ; Suisse). Office cantonal de la statistique</t>
  </si>
  <si>
    <t>82, route des Acacias 1227 Carouge</t>
  </si>
  <si>
    <t>group8 (Genève, Suisse)</t>
  </si>
  <si>
    <t>Agence d'architecture, basée à Genève, créée en 2000, par Laurent Ammeter (1970), Adrien Besson (1969), Tarramo Broennimann (1971), Manuel Der Hagopian (1971), Grégoire Du Pasquier (1970), Oscar Frisk (1972), François de Marignac (1969), Christophe Pidoux (1969) et et Daniel Zamarbide (1972).- En 2016, les partenaires de l'agence sont Laurent Ammeter (1970), Adrien Besson (1969), Tarramo Broennimann (1971), David Sauser et Olga Wozniacka</t>
  </si>
  <si>
    <t>Morand, Philippe (1951-.... ; comédien et dramaturge)</t>
  </si>
  <si>
    <t>Ancien élève de l'Institut national supérieur des arts du spectacle de Bruxelles (1973). Comédien à Bruxelles, Strasbourg, La Chaux-de-Fonds, Montréal et Genève. Professeur d’interprétation. - Réside à Genève</t>
  </si>
  <si>
    <t>Hirsch, Célian (1991-.... ; juriste)</t>
  </si>
  <si>
    <t>Juriste, avocat</t>
  </si>
  <si>
    <t>Granatella, Sonia  (1978-....)</t>
  </si>
  <si>
    <t>Artiste et écrivaine genevoise</t>
  </si>
  <si>
    <t>Sallin, Jean-Daniel (19..-....)</t>
  </si>
  <si>
    <t>Journaliste sportif à la Tribune de Genève puis rédacteur en chef de la Tribune des arts de 2012 à 2020. Éditeur et rédacteur en chef de la revue Off de 2021 à 2025</t>
  </si>
  <si>
    <t>Ma jeunesse suisse romande (Genève, Suisse)</t>
  </si>
  <si>
    <t>Colombo, Matteo (19..-.... ; historien)</t>
  </si>
  <si>
    <t>Historien, doctorant à l'Institut d'Histoire de la Réformation dans le cadre du projet FNS \"Paulusauslegung des 16. Jahrhunderts\" depuis le 01.10.2022 ; assistant à l'Institut d'Histoire de la Réformation depuis avril 2024</t>
  </si>
  <si>
    <t>Maillart, Ella (1903-1997)</t>
  </si>
  <si>
    <t>Plainpalais</t>
  </si>
  <si>
    <t>Chandolin</t>
  </si>
  <si>
    <t>A écrit aussi en anglais et a traduit de l'anglais en français | Née à Genève en 1903 et est décédée à Chandolin en 1997. | Voyageuse. - Ecrivain. Photographe suisse. - A légué toute son oeuvre photographique au Musée de l'Élysée à Lausanne</t>
  </si>
  <si>
    <t>Hodler, Ferdinand (1853-1918)</t>
  </si>
  <si>
    <t>Peintre, dessinateur et sculpteur suisse</t>
  </si>
  <si>
    <t>Arcade Pierrablanca (Plan-les-Ouates, Genève, Suisse)</t>
  </si>
  <si>
    <t>Imprimerie Ch.-L. Sabot (Genève, Suisse)</t>
  </si>
  <si>
    <t>Imprimerie Schira-Blanchard (Genève, Suisse)</t>
  </si>
  <si>
    <t>Biscaut, Yann Stéphane (1998-....)</t>
  </si>
  <si>
    <t>Né au Cameroun en 1998. - Artiste. - Vit et travaille à Genève</t>
  </si>
  <si>
    <t>Turrettini, François (1623-1687)</t>
  </si>
  <si>
    <t>1623</t>
  </si>
  <si>
    <t>1687</t>
  </si>
  <si>
    <t>Théologien calviniste (fils de Benedict Turretin, également théologien), pasteur, surnommé le \"Thomas d'Aquin du calvinisme\". - Professeur de théologie à l'Académie de Genève (1653-1687). Né et mort à Genève | Un des premiers défenseurs de l'orthodoxie calviniste</t>
  </si>
  <si>
    <t>Flournoy, Théodore (1854-1920)</t>
  </si>
  <si>
    <t>Né le 13 août 1854 à Genève et mort dans la même ville le 5 novembre 1920. - Médecin psychologue suisse, connu pour ses travaux sur le spiritisme et les pouvoirs parapsychiques. - Thèse de médecine en 1878. - Études de psychologie à l'université de Leipzig. - À partir de 1891, il est professeur de psychophysiologie à l'université de Genève, où il crée le laboratoire de psychologie.</t>
  </si>
  <si>
    <t>Ador, Gustave (1845-1928)</t>
  </si>
  <si>
    <t>Cologny</t>
  </si>
  <si>
    <t>Homme politique né à Cologny, Suisse, mort à Genève. - Conseiller aux États (1878-1880), conseiller national (1889-1917), conseiller fédéral (1917-1919), président de la Confédération (1919). - Président du Comité international de la Croix-Rouge (1910-1928). - Commissaire général de la Suisse à l'Exposition universelle de Paris (1900)</t>
  </si>
  <si>
    <t>Kauffmann, Chris (1999-....)</t>
  </si>
  <si>
    <t>Né à Genève en 1999. - Artiste. - Vit et travaille à Genève</t>
  </si>
  <si>
    <t>Mompart, Joan (1973-.... ; acteur)</t>
  </si>
  <si>
    <t>Acteur. - Directeur du Théâtre Am Stram Gram à Genève depuis 2021</t>
  </si>
  <si>
    <t>Fonds d'art contemporain de la Ville de Genève (Genève, Suisse)</t>
  </si>
  <si>
    <t>De 1950 à 1997: Fonds municipal de décoration. - Dès 1997: Fonds municipal d'art contemporain | Le Fonds d'art contemporain de la Ville de Genève (FMAC), créé en 1950 développe et de valorise la présence de l'art dans l'espace public, soutient et promeut les artistes actifs et actives à Genève, notamment par l'acquisition d'œuvres et la constitution d'une collection publique | Rue des Bains 34, 1205 Genève, Suisse</t>
  </si>
  <si>
    <t>Aceto, Alfredo (1991-...)</t>
  </si>
  <si>
    <t>Turin</t>
  </si>
  <si>
    <t>Né à Turin en 1991. - Artiste. - Vit et travaille à Genève</t>
  </si>
  <si>
    <t>Nasel, Séverine (19-....)</t>
  </si>
  <si>
    <t>Philologue</t>
  </si>
  <si>
    <t>Hôpital cantonal universitaire (Genève, Suisse ; 1856-1994)</t>
  </si>
  <si>
    <t>En 1856, l'Hôpital de Genève se scinde en deux institutions. Ses activités médicales sont confiées à l'Hôpital cantonal, qui devient Hôpital cantonal universitaire, puis se fond dans les Hôpitaux universitaires de Genève (HUG). Il poursuit par ailleurs ses activités d'assistance sociale sous le nom d'Ancien Hôpital de Genève, aujourd'hui Hospice général</t>
  </si>
  <si>
    <t>Patry, René (1898-1983)</t>
  </si>
  <si>
    <t>Médecin, chirurgien. Professeur à l'Université de Genève (Suisse)</t>
  </si>
  <si>
    <t>Armanios, Rachad (19..-....)</t>
  </si>
  <si>
    <t>Journaliste à la Tribune de Genève depuis 2022</t>
  </si>
  <si>
    <t>Carré, Lucile (1985-....)</t>
  </si>
  <si>
    <t>Née en 1985 dans le Nord de la France, Lucile Carré est metteuse en scène et autrice, résidant à Genève</t>
  </si>
  <si>
    <t>Gerber, Roxane (19..-....)</t>
  </si>
  <si>
    <t>Docteure en démographie et socioéconomie à l'Université de Genève</t>
  </si>
  <si>
    <t>Longchamp, François</t>
  </si>
  <si>
    <t>Chatillon, Fernand (1888-1960)</t>
  </si>
  <si>
    <t>Médecin. Enseigne à la Faculté de médecine de l'Université de Genève (Suisse) de 1927 à 1960</t>
  </si>
  <si>
    <t>Nordmann, Pascal</t>
  </si>
  <si>
    <t>Suisse, né à Paris, vit entre la France, l'Allemagne et la Suisse. Metteur-en-scène, comédien, fonde en 1986 le \"Chairos theater\"</t>
  </si>
  <si>
    <t>Observatoire de la Fondation pour Genève (Genève, Suisse)</t>
  </si>
  <si>
    <t>Du Pan, Jean (1682-1757)</t>
  </si>
  <si>
    <t>1682</t>
  </si>
  <si>
    <t>1757</t>
  </si>
  <si>
    <t>Avocat</t>
  </si>
  <si>
    <t>Mottu, Henry (1939-.... ; théologien)</t>
  </si>
  <si>
    <t>Professeur de théologie pratique à la faculté de théologie de l'Université de Genève (en 1992) | Traduit de l'allemand en français</t>
  </si>
  <si>
    <t>Welcome Center (Genève, Suisse)</t>
  </si>
  <si>
    <t>Liu Le Lann, Thomas (1994-...)</t>
  </si>
  <si>
    <t>Artiste français. - Né à Genève en 1994. - Vit et travaille à Genève</t>
  </si>
  <si>
    <t>École des arts et métiers (Genève, Suisse)</t>
  </si>
  <si>
    <t>L'École de mécanique, l'École des arts industriels et le Technicum ont été intégrés à l'École des arts et métiers en 1909. De 1933 à 1952, l'École des beaux-arts et l'École des arts industriels sont intégrés au sein de l'École des arts et métiers</t>
  </si>
  <si>
    <t>Filliger, Filippo (1978-....)</t>
  </si>
  <si>
    <t>Né en 1978 à Genève (Suisse). 2005 Diplômé de l'ESBA (École Supérieure des Beaux-Arts) Genève. 2007 Master en cinéma, section réalisation.</t>
  </si>
  <si>
    <t>Archinard, Béatrice (19..-....)</t>
  </si>
  <si>
    <t>Artiste genevoise qui pratique la peinture, la gravure et la sculpture.</t>
  </si>
  <si>
    <t>Stryienski, Lucas (19..-....)</t>
  </si>
  <si>
    <t>Hoarau, Paloma (19..-....)</t>
  </si>
  <si>
    <t>Chercheuse associée en sociologie</t>
  </si>
  <si>
    <t>Guillemin-Poeuf, Salômé (1993-....)</t>
  </si>
  <si>
    <t>Née à Paris en 1993. - Artiste. - Vit et travaille à Genève</t>
  </si>
  <si>
    <t>Briner, Emile (1879-1965)</t>
  </si>
  <si>
    <t>1879</t>
  </si>
  <si>
    <t>Professeur et directeur de laboratoire de chimie. En poste : \"Laboratoire de chimie technique, théorique et d'électrochimie de l'Université de Genève\", en 1936. Membre de la Société de physique et d'histoire naturelle de Genève</t>
  </si>
  <si>
    <t>Pictet-Mallet, Jean Pierre (1777-1857)</t>
  </si>
  <si>
    <t>1777</t>
  </si>
  <si>
    <t>1857</t>
  </si>
  <si>
    <t>Avocat, homme politique et traducteur suisse</t>
  </si>
  <si>
    <t>Rivaz, Alice (1901-1998)</t>
  </si>
  <si>
    <t>Rovray</t>
  </si>
  <si>
    <t>Genthod</t>
  </si>
  <si>
    <t>Née à Rovray (Vaud) en 1901. - Romancière. - Elle s’installe à Genève et travaille au BIT (Bureau international du Travail) comme sténodactylo jusqu'en 1939. - Premier roman \"Nuages dans la main\" est publié en 1940. - Elle décède en février 1998</t>
  </si>
  <si>
    <t>Krüttli, Manon (1987-....)</t>
  </si>
  <si>
    <t>Metteuse en scène. - Co-fondatrice de la compagnie de théâtre \"Cie les minuscules\" en 2009, à Genève.</t>
  </si>
  <si>
    <t>Genève (canton ; Suisse). Grand Conseil</t>
  </si>
  <si>
    <t>1814</t>
  </si>
  <si>
    <t>De 1814 à 1842: Genève. Conseil représentatif‏. - Dès 1842: Genève. Grand Conseil‏</t>
  </si>
  <si>
    <t>Bonvin, Laurence (1967-....)</t>
  </si>
  <si>
    <t>Fondation du Grand théâtre de Genève (Suisse)</t>
  </si>
  <si>
    <t>De 1934 à 1964, les activités du Grand théâtre de Genève était géré par la Société romande de spectacles</t>
  </si>
  <si>
    <t>Demole, Eugène (1850-1928 ; numismate)</t>
  </si>
  <si>
    <t>Docteur en chimie de l'université de Zurich (1874) ; responsable des contrôles des denrées alimentaires à Vevey (1874-1880) ; conservateur-adjoint du cabinet de numismatique de Genève en 1880, puis conservateur de 1882 à 1922 ; ouvre un commerce d'appareils photographiques à Genève en 1890 et s'affilie à la Société genevoise de photographie</t>
  </si>
  <si>
    <t>Pury, Albert de (1940-2025)</t>
  </si>
  <si>
    <t>Université de Genève | Université de Neuchâtel</t>
  </si>
  <si>
    <t>Théologien et bibliste. - Également caricaturiste. - Professeur à l'Université de Genève (en 1989)</t>
  </si>
  <si>
    <t>Rens, Emmanuel (1964-2018)</t>
  </si>
  <si>
    <t>Licencié en philosophie de l'Université de Genève</t>
  </si>
  <si>
    <t>Comte, Ernest (1...-1951 ; orthodontiste)</t>
  </si>
  <si>
    <t>1XXX</t>
  </si>
  <si>
    <t>Orthodontiste ; privat-docent en orthodontie à l'université de Genève en 1933 ; professeur extraordinaire en orthodontie en 1937, puis professeur ordinaire à cette même chaire ; présidence du Collège des professeurs de l'Institut de médecine dentaire en 1950</t>
  </si>
  <si>
    <t>Picot, Constant (1844-1931)</t>
  </si>
  <si>
    <t>Médecin. Fut médecin de l'infirmerie du prieuré à Genève, ancien interne des hôpitaux de Paris</t>
  </si>
  <si>
    <t>Martin, Jacob (1757-1828)</t>
  </si>
  <si>
    <t>Homme politique genevois, adjoint du Conseil des Deux-Cents (1784-1788), membre du Conseil des Deux-Cents (1788-1792), conseiller d’État (1815-1823)</t>
  </si>
  <si>
    <t>Berchem, Max Van (1863-1921)</t>
  </si>
  <si>
    <t>Vaumarcus</t>
  </si>
  <si>
    <t>Université de Genève | université de Leipzig</t>
  </si>
  <si>
    <t>Né à Genève en 1863. - Orientaliste. Fondateur de l'épigraphie arabe, auteur de nombreux travaux sur l'histoire et les monuments de la civilisation musulmane en Égypte et en Syrie au Moyen âge</t>
  </si>
  <si>
    <t>Boissonnas, Frédéric (1858-1946)</t>
  </si>
  <si>
    <t>Rihs, Yvan (1972-....)</t>
  </si>
  <si>
    <t>Né en 1972, Yvan Rihs. - Metteur en scène, dramaturge, comédien et pédagogue. - Enseigne le théâtre au Conservatoire de Musique de Genève depuis 2001 | Titulaire d'une licence de Lettres (Genève, 1998)</t>
  </si>
  <si>
    <t>Boissier, Léopold (1893-1968)</t>
  </si>
  <si>
    <t>Spécialiste de droit international. Secrétaire général de l'Union Interparlementaire (en 1935)</t>
  </si>
  <si>
    <t>Favre, Marc-Charles</t>
  </si>
  <si>
    <t>Olivier, Juste (1806-1876)</t>
  </si>
  <si>
    <t>1806</t>
  </si>
  <si>
    <t>Eysins</t>
  </si>
  <si>
    <t>1876</t>
  </si>
  <si>
    <t>Né à Eysins le 18 octobre 1807 et décédé à Genève le 7 janvier 1876. - Poète. - A été professeur d'histoire à l'Académie de Lausanne et a collaboré au Journal de Genève</t>
  </si>
  <si>
    <t>Grand théâtre (Genève, Suisse)</t>
  </si>
  <si>
    <t>Le Grand théâtre succède en 1879 au Théâtre de Neuve (1783-1880) | Théâtre et opéra</t>
  </si>
  <si>
    <t>Davaud, Éric (1946-....)</t>
  </si>
  <si>
    <t>Docteur ès-sciences, maître-assistant à l'Université de Genève (en 1976). Professeur de sédimentologie, pétrographie sédimentaire au Département de Géologie et Paléontologie de l'Université de Genève en Suisse. Spécialités supplémentaires : sédimentologie des carbonates, analyse d'images (2006)</t>
  </si>
  <si>
    <t>Latifi, Tina (19..-....)</t>
  </si>
  <si>
    <t>Lossier, Jean-Georges (1911-2004)</t>
  </si>
  <si>
    <t>Thônex</t>
  </si>
  <si>
    <t>Né le 1er septembre 1911 à Genève et mort le 3 mai 2004 à Thônex (Genève). - Poète, critique littéraire et sociologue suisse</t>
  </si>
  <si>
    <t>Bonzon, Gaël (19..-....)</t>
  </si>
  <si>
    <t>Collaboratrice scientifique, domaine Arts appliqués, Musée d'art et d'histoire de Genève, Suisse depuis 2001</t>
  </si>
  <si>
    <t>Golay, Jean (1889-1947 ; médecin)</t>
  </si>
  <si>
    <t>Médecin. Professeur de dermatologie à l'Université de Genève (1941)</t>
  </si>
  <si>
    <t>Roch, Maurice (1878-1967)</t>
  </si>
  <si>
    <t>Membre de l'Académie de médecine, élu correspondant étranger pour la division de médecine le 27 juin 1933. Elu associé étranger le 2 mars 1954 | Professeur de clinique médicale à la faculté de Genève. A écrit des fictions sous le pseudonyme de René D. Jeandré</t>
  </si>
  <si>
    <t>Corsat, Philippe (1809-1874)</t>
  </si>
  <si>
    <t>1809</t>
  </si>
  <si>
    <t>Pully</t>
  </si>
  <si>
    <t>Versificateur. Rédacteur du Carillon de Saint-Gervais (de 1854 à 1874)</t>
  </si>
  <si>
    <t>Pernet, Marine (19..-....)</t>
  </si>
  <si>
    <t>Socoline, Vladimir (1896-1984)</t>
  </si>
  <si>
    <t>Né le 2 avril 1896 à Genève, de parents émigrés politiques (juifs russes) qui ont vécu et étudié la médecine en Suisse. - A été sous-secrétaire général de la SDN jusqu'en 1939, puis diplomate au sein de la Société des Nations. - Il lègue ses écrits à la Bibliothèque de Genève</t>
  </si>
  <si>
    <t>Galerie Moos (Genève, Suisse)</t>
  </si>
  <si>
    <t>Galerie d'art et maison de vente à Genève (Suisse). Située à Genève de 1910 à 1913: Rue du Rhône 29. De 1913 à 1917: Grand-Quai 10 (actuellement Quai-Général-Guisan). De 1917 à 1921: Rue du Marché 13. En 1922 à Paris: Place de la Boétie 14. De nouveau à Genève, de 1923 à 1976: Quai du Mont-Blanc 31. De 1927 à 1946: Rue du Léman 3 (en plus de la galerie au Quai du Mont-Blanc) | Ne pas confondre avec la la Galerie Georges Moos fondée par son fils en 1941</t>
  </si>
  <si>
    <t>Weideli, Walter (1927-2020)</t>
  </si>
  <si>
    <t>Bergerac</t>
  </si>
  <si>
    <t>Scénariste, essayiste et auteur dramatique. Traduit de l'allemand en français.</t>
  </si>
  <si>
    <t>Bult, Christophe (196.-....)</t>
  </si>
  <si>
    <t>Born, Martin (1947-....)</t>
  </si>
  <si>
    <t>Journaliste sportif et auteur de livres sur le ski et le cyclisme</t>
  </si>
  <si>
    <t>Pralong, Michèle (19..-....)</t>
  </si>
  <si>
    <t>Michèle Pralong obtient une licence en litté­rature à l’Université de Genève en 1989, avant de travailler quelques années comme critique de danse et de théâtre au Courrier puis au Journal de Genève. _ Dès 1994, elle est collaboratrice artistique, d’abord au Théâtre du ­Grütli puis à la Comédie de Genève. - En 2004, elle ouvre un petit théâtre à Genève : le T/50. - Dès juin 2006, elle co-dirige le grü / Trans­théâtre, Genève avec Maya Bösch</t>
  </si>
  <si>
    <t>Nidegger, Céline (19..-....)</t>
  </si>
  <si>
    <t>Comédienne et metteuse en scène genevoise. - Depuis 2024, elle co-dirige le Théâtre de l’Orangerie à Genève avec Bastien Semenzato</t>
  </si>
  <si>
    <t>Imprimerie J. Studer (Genève, Suisse)</t>
  </si>
  <si>
    <t>Imprimerie genevoise fondée par J. Studer qui fut imprimeur, lithographe et éditeur de cartes postales.</t>
  </si>
  <si>
    <t>Bauer-Lagier, Monique (1922-2006)</t>
  </si>
  <si>
    <t>Meyrin</t>
  </si>
  <si>
    <t>Conseillère aux États de Genève</t>
  </si>
  <si>
    <t>Sidjanski, Dusan (1926-.... ; politiste)</t>
  </si>
  <si>
    <t>Belgrade</t>
  </si>
  <si>
    <t>Professeur de science politique, Faculté des sciences économiques et sociales et à l'Institut universitaire d'études européennes de Genève (en 1991)</t>
  </si>
  <si>
    <t>Dunant, Henry (1828-1910 ; fondateur de la Croix-Rouge)</t>
  </si>
  <si>
    <t>Heiden</t>
  </si>
  <si>
    <t>collège Calvin</t>
  </si>
  <si>
    <t>Compagnie genevoise des colonies suisses</t>
  </si>
  <si>
    <t>Né à Genève. - Philantrope et écrivain, fondateur de la Croix-Rouge (1863) et de la première Convention de Genève (1864). Prix Nobel de la paix en 1901 qu'il partage avec l'économiste français Frédéric Passy.</t>
  </si>
  <si>
    <t>Druc-Vaucher, Claire (1938-.... ; écrivaine)</t>
  </si>
  <si>
    <t>Enseignante et femme de lettres, arrière-petite-nièce d'Henry Dunant</t>
  </si>
  <si>
    <t>Bouffard, Pierre (1918-1980)</t>
  </si>
  <si>
    <t>Université de Bâle</t>
  </si>
  <si>
    <t>Directeur des musées d'art et d'histoire de Genève, Suisse (1947-1971). - Professeur extraordinaire d'histoire de l'art de Genève (1947-1971). - Ancien maire de la ville de Genève. - Chevalier de la Légion d'honneur. - Docteur en archéologie (Bâle, 1944). | Écrivit aussi en allemand.</t>
  </si>
  <si>
    <t>Paschoud, Martine (1942-2024)</t>
  </si>
  <si>
    <t>Directrice du Nouveau Théâtre de Poche de Genève d'avril 1984 au 30 juin 1996. - Première femme à diriger un théâtre à Genève | Metteur en scène, comédienne</t>
  </si>
  <si>
    <t>Le chant sacré (Genève, Suisse)</t>
  </si>
  <si>
    <t>Selon une tradition orale, le choeur, sous le nom de Société de chant sacré de Genève, se serait constitué au cours de l'hiver 1826-1827. En 2012, il s'est donné un nouveau nom: Le Chant sacré Genève</t>
  </si>
  <si>
    <t>Grand théâtre (Genève, Suisse). Choeur</t>
  </si>
  <si>
    <t>Adresse : 11, boulevard du Théâtre, 1211 Genève 11. Contact : 41.22.418.30.00. Télécopie : 41.22.418.30.01. Adresse électronique : grandtheatre@geneveopera.ch | Bria, Giovanni, chef de choeur (1962-....)</t>
  </si>
  <si>
    <t>Sysana (Genève, Suisse)</t>
  </si>
  <si>
    <t>Lowery, Kerry-Jane (19..-....)</t>
  </si>
  <si>
    <t>Anthropologue, photographe et collaboratrice dans l'édition en français et en anglais</t>
  </si>
  <si>
    <t>Erard, Jacques (19-.... ; journaliste)</t>
  </si>
  <si>
    <t>Responsable de la communication digitale à l'Université de Genève. Journaliste au quotidien genevois \"Le Courrier\".</t>
  </si>
  <si>
    <t>Babel, Antony (1888-1979)</t>
  </si>
  <si>
    <t>Sociologue, professeur à l'Université de Genève (Suisse) en histoire économique</t>
  </si>
  <si>
    <t>Revilliod, Léon (1835-1918)</t>
  </si>
  <si>
    <t>1835</t>
  </si>
  <si>
    <t>Membre de l'Académie de médecine, élu correspondant étranger pour la division d'anatomie et physiologie le 3 juillet 1894 | Professeur de clinique médicale à l'Université de Genève</t>
  </si>
  <si>
    <t>Caesar, Mathieu (19..-....)</t>
  </si>
  <si>
    <t>Docteur en histoire médiévale. Enseigne à l'Université de Genève (2011)</t>
  </si>
  <si>
    <t>Baud-Bovy, Daniel (1870-1958)</t>
  </si>
  <si>
    <t>1870</t>
  </si>
  <si>
    <t>Écrivain et historien d'art. - A aussi écrit en allemand. - Lieu de naissance et de mort : Genève, Suisse</t>
  </si>
  <si>
    <t>Taghavi, Fahid (19..-....)</t>
  </si>
  <si>
    <t>Galeriste GFT (Genève et Monnetier), auteur, représentant officiel - Suisse &amp; Région de Red Events Ltd, RTS. Chef de Plateau Actu &amp; Sports</t>
  </si>
  <si>
    <t>Dami, Hadrien (19..-.... ; historien)</t>
  </si>
  <si>
    <t>Historien, assistant-doctorant à l'institut d'histoire de la Réformation (Genève) de 2019 à 2025</t>
  </si>
  <si>
    <t>Cailler, Charles (1865-1922)</t>
  </si>
  <si>
    <t>université Frédéric-Guillaume de Berlin | Université de Genève</t>
  </si>
  <si>
    <t>Mathématicien et mécanicien suisse. Professeur à l'Université de Genève</t>
  </si>
  <si>
    <t>Kummer, Robert Henri (1890-1932)</t>
  </si>
  <si>
    <t>Médecin genevois. Chef de clinique chirurgicale en 1920</t>
  </si>
  <si>
    <t>Parmelin, Jean-Claude (1947-.... ; poète)</t>
  </si>
  <si>
    <t>Mayor, Albert (1853-1931)</t>
  </si>
  <si>
    <t>Professeur de médecine à l'Université de Genève (Suisse). Membre de la Société anatomique</t>
  </si>
  <si>
    <t>Lambercy, Philippe (1919-2006 ; céramiste)</t>
  </si>
  <si>
    <t>Yverdon-les-Bains</t>
  </si>
  <si>
    <t>Céramiste</t>
  </si>
  <si>
    <t>Kessler, Adrien (1965-....)</t>
  </si>
  <si>
    <t>Né à Genève en 1965. - Monteur son, compositeur</t>
  </si>
  <si>
    <t>Centre de formation professionnelle arts (Genève, Suisse)</t>
  </si>
  <si>
    <t>De 1876 à 1950: École des arts industriels. De 1951 à 1993: École des arts décoratifs. Devient en 1994: École des arts appliqués, puis Centre de formation professionnelle arts appliqués. Dès 2016: Centre de formation professionnelle arts | De 1933 à 1951, l'École des beaux-arts et l’École des arts industriels deviennent une section de l'École des arts et métiers</t>
  </si>
  <si>
    <t>Velebit, Xenia Katia (1986-....)</t>
  </si>
  <si>
    <t>Podwika Rafaralahisoa, Herisoa (19..-....)</t>
  </si>
  <si>
    <t>\"Ambassadrice\" malgache à Genève qui s'implique dans la promotion de la biodiversité et l'aide à son pays d'origine, Madagascar</t>
  </si>
  <si>
    <t>Jaman, Mireille (19..-....)</t>
  </si>
  <si>
    <t>Auteure d'origine française vivant en Suisse romande.</t>
  </si>
  <si>
    <t>Aubry, Zoé (1993-.... ; photographe)</t>
  </si>
  <si>
    <t>Née à la Chaux-des-Breuleux en 1993. Artiste. - Vit et travaille à Genève</t>
  </si>
  <si>
    <t>Harari, Maurice (1947-.... ; avocat)</t>
  </si>
  <si>
    <t>Semenzato, Bastien</t>
  </si>
  <si>
    <t>Acteur et metteur en scène. - Depuis 2024 il co-dirige le Théâtre de l’Orangerie à Genève avec Céline Nidegger</t>
  </si>
  <si>
    <t>Rutishauser, Erwin (1904-1967 ; pathologiste)</t>
  </si>
  <si>
    <t>Professeur docteur en pathologie à l'université de Genève</t>
  </si>
  <si>
    <t>Fahmy, Isis (19..-.... ; metteuse en scène)</t>
  </si>
  <si>
    <t>Metteuse en scène genevoise</t>
  </si>
  <si>
    <t>Gavin, Jérôme (19..-....)</t>
  </si>
  <si>
    <t>Mathématicien spécialiste de l'histoire du calcul (Université de Genève) et docteur en économie politique (Université de Dijon)</t>
  </si>
  <si>
    <t>Matthey, Pierre-Louis (1893-1970)</t>
  </si>
  <si>
    <t>Signy-Avenex</t>
  </si>
  <si>
    <t>Écrivain, poète et traducteur (de l'anglais en français) né à Nyon, Suisse, mort à Genève</t>
  </si>
  <si>
    <t>Arditi, Metin (1945-....)</t>
  </si>
  <si>
    <t>Ankara</t>
  </si>
  <si>
    <t>École polytechnique fédérale de Lausanne | Université Stanford</t>
  </si>
  <si>
    <t>La Croix</t>
  </si>
  <si>
    <t>Romancier suisse, il a aussi écrit sur Jean de La Fontaine.</t>
  </si>
  <si>
    <t>Courvoisier, Eric (1928-2021 ; chirurgien)</t>
  </si>
  <si>
    <t>Privat-docent à la faculté de médecine de Genève</t>
  </si>
  <si>
    <t>Virchaux, Silvana Moï (19..-....)</t>
  </si>
  <si>
    <t>Commissaire d’exposition, Ingénieur culturel, Médiatrice interculturelle genevoise</t>
  </si>
  <si>
    <t>Imprimerie de la "Tribune de Genève" (Genève, Suisse)</t>
  </si>
  <si>
    <t>Roman, Héloïse (19..-....)</t>
  </si>
  <si>
    <t>Travaille à la ville de Genève au Service Agenda 21 - Ville durable</t>
  </si>
  <si>
    <t>Aubert, Gabriel (1949-.... ; juriste)</t>
  </si>
  <si>
    <t>Université de Genève | Tribunal fédéral</t>
  </si>
  <si>
    <t>Professeur à la faculté de droit de l'Université de Genève et juge suppléant au Tribunal fédéral suisse (en 2001)</t>
  </si>
  <si>
    <t>Butzer, Samuel (19..-....)</t>
  </si>
  <si>
    <t>Photographe genevois, cofondateur du Projet Tana</t>
  </si>
  <si>
    <t>Turrettini, Albert (1753-1826)</t>
  </si>
  <si>
    <t>1753</t>
  </si>
  <si>
    <t>Syndic de Genève</t>
  </si>
  <si>
    <t>Société romande de spectacles (Genève, Suisse)</t>
  </si>
  <si>
    <t>1934</t>
  </si>
  <si>
    <t>La Société romande de spectacles a géré de 1934 à 1964 les activités du Grand théâtre de Genève (Suisse). Dès 1964, le Grand théâtre est régi par la Fondation du Grand théâtre de Genève</t>
  </si>
  <si>
    <t>Association Théâtre en campagne (Genève, Suisse)</t>
  </si>
  <si>
    <t>Duparc, Louis (1866-1932 ; géologue)</t>
  </si>
  <si>
    <t>Professeur de minéralogie et géologie à l'université de Genève, 1898.</t>
  </si>
  <si>
    <t>Beck, Géraldine (19..-....)</t>
  </si>
  <si>
    <t>Libraire et archiviste à Genève</t>
  </si>
  <si>
    <t>Cordt-Moller, Célian (1995-....)</t>
  </si>
  <si>
    <t>Né à Genève en 1995. - Artiste. - Vit et travaille à Genève et Marseille</t>
  </si>
  <si>
    <t>Wermus, Daniel (1951-....)</t>
  </si>
  <si>
    <t>La Macchia, Yannis (1985-...)</t>
  </si>
  <si>
    <t>Scénariste et illustrateur de bandes dessinées genevois</t>
  </si>
  <si>
    <t>Davaud, Clairette (1948-2016)</t>
  </si>
  <si>
    <t>Pédagogue au Centre de recherches psychopédagogiques du Département de l'enseignement public à Genève, Suisse (en 1998)</t>
  </si>
  <si>
    <t>Carrefour-Rue &amp; Coulou (Genève, Suisse)</t>
  </si>
  <si>
    <t>Johannides, Jean-Louis (19..-....)</t>
  </si>
  <si>
    <t>Metteur en scène. - Fondateur de la compagnie de théâtre \"La Cie En déroute\" en 2006 à Carouge, Genève</t>
  </si>
  <si>
    <t>Rivier, Suzanne (19..-....)</t>
  </si>
  <si>
    <t>A fondé la maison d’édition L’Esprit de la Lettre, où elle édite des ouvrages en lien avec l’art, la poésie ou la bibliothéconomie. Autrice de divers textes critiques ou fictionnels et récemment commissaire d’exposition indépendante.</t>
  </si>
  <si>
    <t>Saussure, Horace-Bénédict de (1740-1799)</t>
  </si>
  <si>
    <t>1740</t>
  </si>
  <si>
    <t>Conches</t>
  </si>
  <si>
    <t>1799</t>
  </si>
  <si>
    <t>Naturaliste et physicien. - Inventeur de l'hygromètre à cheveu. - A réalisé la seconde ascension du Mont Blanc (1787). Né et mort à Conches (Suisse)</t>
  </si>
  <si>
    <t>Perron, Charles Eugène (1837-1909)</t>
  </si>
  <si>
    <t>1837</t>
  </si>
  <si>
    <t>Le Petit-Saconnex</t>
  </si>
  <si>
    <t>Peintre sur émail, cartographe et relièviste suisse</t>
  </si>
  <si>
    <t>Ianoz, Michel V. (1936-.... ; physicien)</t>
  </si>
  <si>
    <t>Spécialiste de la compatibilité électromagnétique (diplômé de l'Institut polytechnique de Bucarest en 1958 et de l'Université de Moscou en 1968). A travaillé en tant que chercheur à Moscou puis au CERN à Genève. A pris sa retraite de l'École polytechnique fédérale de Lausanne, Suisse (en 2001)</t>
  </si>
  <si>
    <t>Galerie Georges Moos (Genève, Suisse)</t>
  </si>
  <si>
    <t>Ne pas confondre avec la Galerie Moos fondée par Max Moos (père) en 1906</t>
  </si>
  <si>
    <t>Biennale de l'Image en Mouvement (Genève, Genève, Suisse)</t>
  </si>
  <si>
    <t>Biennale d'art vidéo genevoise créé et gérée par Centre pour l’Image Contemporaine de 1985 à 2007, puis par le Centre d'art contemporain de Genève dès 2009.</t>
  </si>
  <si>
    <t>Réseau évangélique suisse</t>
  </si>
  <si>
    <t>Adresse: Réseau évangélique suisse -Case postale 23 - 1211 Genève 8 (Suisse). Schweizerische Evangelische Allianz - Josefstrasse 32 - 8005 Zürich (Suisse) | Issu de la fusion le 10 juin 2006 à Yverdon (Suisse) de l'Alliance évangélique romande et de la Fédération romande d'Églises et oeuvres évangéliques</t>
  </si>
  <si>
    <t>Pictet, François-Jules (1809-1872)</t>
  </si>
  <si>
    <t>Université de Genève | Muséum d'histoire naturelle de Genève</t>
  </si>
  <si>
    <t>Naturaliste. A été professeur de zoologie et d'anatomie comparée puis recteur à l'Académie des Sciences de Genève. Nommé en 1867 correspondant de la section d'anatomie et de zoologie de l'Académie des Sciences.</t>
  </si>
  <si>
    <t>Kaiser, Camille (1992-....)</t>
  </si>
  <si>
    <t>Née à Genève en 1992. - Artiste. - Vit et travaille à Genève</t>
  </si>
  <si>
    <t>Gustavo, Carlos (19..-....)</t>
  </si>
  <si>
    <t>Thébert, Dorothée (1977-....)</t>
  </si>
  <si>
    <t>La Chaux-de-Fonds</t>
  </si>
  <si>
    <t>Photographe et artiste. - Vit et travaille à Genève</t>
  </si>
  <si>
    <t>Bosch Vidal, Helena (1994-....)</t>
  </si>
  <si>
    <t>Née à Barcelone en 1994. - Artiste. - Vit et travaille à Genève. - Co-fondatrice du Trojans Collective (collectif de design international), basé à Genève</t>
  </si>
  <si>
    <t>Viquerat, Charles (19..-2015)</t>
  </si>
  <si>
    <t>Schnurrenberger, Suzanne (19..-....)</t>
  </si>
  <si>
    <t>Peinture, photographie, vidéo. - Vit et travaille à Genève</t>
  </si>
  <si>
    <t>Pittard, Jean-Claude (1946-....)</t>
  </si>
  <si>
    <t>Journaliste suisse. Fondateur en 1979 de la Tribune des arts, supplément de la Tribune de Genève. A également fondé en 2001 le magazine en ligne WorldTempus</t>
  </si>
  <si>
    <t>Mdaghri, Nora (1996-....)</t>
  </si>
  <si>
    <t>Née à Berne en 1996. - Artiste. - Vit et travaille à Genève</t>
  </si>
  <si>
    <t>Eichenberger, Otto (1859-1931)</t>
  </si>
  <si>
    <t>Inventeur du \"Topodict\", instrument qui permet de tracer et d’observer des panoramas avec l'aide d'une lunette ainsi que du Perspectograph</t>
  </si>
  <si>
    <t>Piguet, Jean-Daniel (1989-....)</t>
  </si>
  <si>
    <t>Né en 1989, à Genève. - Metteur en scène</t>
  </si>
  <si>
    <t>Hodgers, Antonio (1976-....)</t>
  </si>
  <si>
    <t>Buenos Aires</t>
  </si>
  <si>
    <t>Institut universitaire d’études du développement</t>
  </si>
  <si>
    <t>Homme politique genevois, né à Buenos Aires</t>
  </si>
  <si>
    <t>Imprimerie centrale genevoise (Genève, Suisse)</t>
  </si>
  <si>
    <t>Levi Am, Eden (1991-....)</t>
  </si>
  <si>
    <t>Marie, Charles P. (1939-2003)</t>
  </si>
  <si>
    <t>Poète genevois, conférencier, professeur de littérature. Professeur à l'Université de Bradford, Grande-Bretagne (en 1973)</t>
  </si>
  <si>
    <t>Porteous (Vernier, Suisse)</t>
  </si>
  <si>
    <t>La Baume, Pierre de (1477-1544)</t>
  </si>
  <si>
    <t>1477</t>
  </si>
  <si>
    <t>Montrevel-en-Bresse</t>
  </si>
  <si>
    <t>1544</t>
  </si>
  <si>
    <t>Arbois</t>
  </si>
  <si>
    <t>Théologien. 85e abbé de Saint-Claude et évêque de Genève.</t>
  </si>
  <si>
    <t>Bertolotto, Valeria (1972-....)</t>
  </si>
  <si>
    <t>Née en 1972 à Genève. - Comédienne et metteuse en scène</t>
  </si>
  <si>
    <t>Poirier, Valérie (dramaturge)</t>
  </si>
  <si>
    <t>Rouen</t>
  </si>
  <si>
    <t>Née en 1961 à Rouen. - Dramaturge française résidant à Genève</t>
  </si>
  <si>
    <t>Burlamaqui, Jean-Jacques (1694-1748)</t>
  </si>
  <si>
    <t>1748</t>
  </si>
  <si>
    <t>Juriste, Professeur à l'Université puis membre du Conseil d'état de Genève</t>
  </si>
  <si>
    <t>Dupuis, Pierre (18..-1... ; diamantaire)</t>
  </si>
  <si>
    <t>Tailleur de diamants en exercice à Genève au sein de Dupuis frères</t>
  </si>
  <si>
    <t>Geissler, Patricia (1947-2000)</t>
  </si>
  <si>
    <t>Conservatrice au Conservatoire et jardin botaniques de Genève de 1977 à 2000. Enseigne également à l'Université de Genève de 1986 à 2000 | En poste à l'Institut botanique de l'université de Bâle (Suisse) en 1976.</t>
  </si>
  <si>
    <t>École supérieure des beaux-arts (Genève, Suisse)</t>
  </si>
  <si>
    <t>Adresse : Boulevard Helvétique 9, CH 1205 Genève. Contact : ++41(0)22 310 13 63 | De 1748 à 1850: École de dessin. De 1851 à 1902: École municipale des beaux-arts. De 1903 à 1970: École des beaux arts. De 1933 à 1951l'École des beaux-arts et l’École des arts industriels deviennent une section de l'École des arts et métiers | Entre 1970 et 1980, l'École des beaux-arts se transforme en École supérieure d'art visuel (ESAV). Devient en 2001: École supérieure des beaux-arts, puis, en 2006 par fusion avec la Haute école d'arts appliqués la Haute école d'art et de design (HEAD)</t>
  </si>
  <si>
    <t>Morisod, Alain (1949-....)</t>
  </si>
  <si>
    <t>Pianiste, chanteur et producteur d'émissions de télévision. Fondateur du groupe Sweet People. Président du club de football Urania Genève Sport (1986-1991). Né à Genève</t>
  </si>
  <si>
    <t>Crépieux, Pierre (1865?-1950)</t>
  </si>
  <si>
    <t>Maître de physique et de chimie à l'École professionnelle (Genève, Suisse) de 1904 à 1925. Également auteur de poésies</t>
  </si>
  <si>
    <t>Cuenet, Nathalie (1966-....)</t>
  </si>
  <si>
    <t>Née en 1966 à Genève. - Comédienne et metteuse en scène</t>
  </si>
  <si>
    <t>Askanazy, Max (1865-1940 ; pathologue)</t>
  </si>
  <si>
    <t>Nesterov</t>
  </si>
  <si>
    <t>université de Königsberg</t>
  </si>
  <si>
    <t>Université de Genève | université de Königsberg</t>
  </si>
  <si>
    <t>Professeur de pathologie à l'université de Genève</t>
  </si>
  <si>
    <t>Festival du film et forum international sur les droits humains</t>
  </si>
  <si>
    <t>Festival genevois crée en 2003. - De 2003 à 2006, le festival porte le nom : \"Festival international du film sur les droits humains\". - Dès 2007, il change de nom et devient le \"Festival du film et forum international sur les droits humains\"</t>
  </si>
  <si>
    <t>Église protestante de Genève (Suisse)</t>
  </si>
  <si>
    <t>1536</t>
  </si>
  <si>
    <t>De 1536 à 1841: Eglise de Genève‏. - De 1842 à 1846: Eglise protestante nationale (Genève)‏. - De 1847 au 15 juin 2000: Eglise nationale protestante de Genève‏. - Dès le 16 juin 2000: Eglise protestante de Genève‏</t>
  </si>
  <si>
    <t>Cinéma Spoutnik (Genève, Suisse)</t>
  </si>
  <si>
    <t>Bibliothèque de Genève (Suisse)</t>
  </si>
  <si>
    <t>1562</t>
  </si>
  <si>
    <t>A porté le nom de Bibliothèque publique et universitaire de 1907 à 2006 | Promenade des Bastions, 1211 Genève</t>
  </si>
  <si>
    <t>Arcodis (Grand-Lancy, Suisse)</t>
  </si>
  <si>
    <t>Chamaa, Tawfik (19..-....)</t>
  </si>
  <si>
    <t>Médecin généraliste à Genève</t>
  </si>
  <si>
    <t>Fédération des festivals genevois (Plan-les-Ouates, Suisse)</t>
  </si>
  <si>
    <t>Reverdin, Olivier (1913-2000)</t>
  </si>
  <si>
    <t>1913</t>
  </si>
  <si>
    <t>Helléniste, en poste à l'Université de Genève. Homme politique, délégué de la Suisse, et président entre 1969 et 1972 du Conseil de l'Europe</t>
  </si>
  <si>
    <t>Galiffe, John-Barthélémy-Gaifre (1818-1890)</t>
  </si>
  <si>
    <t>Historien et généalogiste. Spécialiste de Genève. Fils de Jacques-Augustin Galiffe</t>
  </si>
  <si>
    <t>Dufour, Louis (1913?-1999 ; pasteur)</t>
  </si>
  <si>
    <t>Pasteur dans les paroisses de Saint-Jean (Genève, Suisse), de Lamousie-Saint-Martin (Dordogne), de Saint-Gervais (Genève, Suisse) et de Châtelaine (Genève, Suisse)</t>
  </si>
  <si>
    <t>Mottu, Alexandre (1883-1943)</t>
  </si>
  <si>
    <t>De 1907 à sa mort, il enseigna le piano et l'orgue au conservatoire de Genève | Pianiste, organiste et compositeur</t>
  </si>
  <si>
    <t>Ferrière, François (1752-1839)</t>
  </si>
  <si>
    <t>Peintre et miniaturiste genevois</t>
  </si>
  <si>
    <t>Théâtre Le Poche (Genève, Suisse)</t>
  </si>
  <si>
    <t>Fondé dans un appartement de Genève (Suisse) en 1948, se déplace ensuite dans différentes salles de Genève</t>
  </si>
  <si>
    <t>Pauli, Pierre (19..-.... ; statisticien)</t>
  </si>
  <si>
    <t>Statisticien, en poste à l'Office cantonal de la statistique (OCSTAT) à Genève, Suisse entre 1990 et 2007. Spécialisé dans l'analyse démographique, de l'emploi et des entreprises</t>
  </si>
  <si>
    <t>Dunant, Jean (1917-2011)</t>
  </si>
  <si>
    <t>Caporal fusilier</t>
  </si>
  <si>
    <t>Rigaud, Jean-Jacques (1785-1854)</t>
  </si>
  <si>
    <t>1785</t>
  </si>
  <si>
    <t>Stroehlin, Paul Frédéric Charles (1864-1908)</t>
  </si>
  <si>
    <t>Numismate. - Président de la Société suisse de numismatique. - Directeur du Bulletin de la Société suisse de numismatique (1890)</t>
  </si>
  <si>
    <t>Tobby Landei</t>
  </si>
  <si>
    <t>Collectif genevois créé en 2009 et composé de Hayan Kam Nakache et Josse Bailly</t>
  </si>
  <si>
    <t>Demidoff, Alexandre (1966-....)</t>
  </si>
  <si>
    <t>Journaliste culturel, critique de théâtre et de danse</t>
  </si>
  <si>
    <t>Sturm, Élisabeth (19..-....)</t>
  </si>
  <si>
    <t>Médecin, Service de psychiatrie adulte, Hôpitaux universitaires de Genève</t>
  </si>
  <si>
    <t>Alliance évangélique romande (Suisse)</t>
  </si>
  <si>
    <t>1847</t>
  </si>
  <si>
    <t>L'Alliance évangélique romande a été fondée à Genève en 1847. Le 10 juin 2006, l'Alliance évangélique romande et la Fédération romande d’Églises et oeuvres évangéliques fusionnent pour devenir le Réseau évangélique suisse</t>
  </si>
  <si>
    <t>Genève (canton ; Suisse). Direction de la durabilité et du climat</t>
  </si>
  <si>
    <t>Initialement, ​le Service cantonal du développement durable s'occupait de la mise en œuvre de la loi Agenda 21. En 2015, l'Etat s'est doté d'un Plan climat, dont le pilotage est assuré par l'ex-SCDD. Pour mieux refléter les deux thématiques gérées par cette structure, le SCDD devient le 1er juin 2023 la Direction de la durabilité et du climat</t>
  </si>
  <si>
    <t>Naville, Jean-Edouard (1787-1851)</t>
  </si>
  <si>
    <t>1787</t>
  </si>
  <si>
    <t>1851</t>
  </si>
  <si>
    <t>Epouse en secondes noces, en 1823, Blanche Lullin de Châteauvieux, fille de Jacob-Frédéric Lullin de Chateauvieux | Genevois. Homme politique, industriel et éleveur de moutons</t>
  </si>
  <si>
    <t>Saladin, Abraham Auguste (1760-1822)</t>
  </si>
  <si>
    <t>Boymond, Paul (1911-1989)</t>
  </si>
  <si>
    <t>Plan-les-Ouates</t>
  </si>
  <si>
    <t>Pharmacien et parolier</t>
  </si>
  <si>
    <t>Sautter, Abraham Emmanuel (1785-1869)</t>
  </si>
  <si>
    <t>Bruxelles</t>
  </si>
  <si>
    <t>Secrétaire de la chambre des comptes de Genève</t>
  </si>
  <si>
    <t>Wenger, Olivier (19..-....)</t>
  </si>
  <si>
    <t>Spécialiste en psychiatrie et psychothérapie en pratique privée à Genève</t>
  </si>
  <si>
    <t>Aubert, Louis-Henri (1877-1940 ; médecin)</t>
  </si>
  <si>
    <t>1877</t>
  </si>
  <si>
    <t>Médecin</t>
  </si>
  <si>
    <t>Compagnie de 1602 (Genève, Suisse)</t>
  </si>
  <si>
    <t>La Compagnie de 1602 est une association historique et patriotique genevoise fondée le mercredi 31 mars 1926 dépositaire des commémorations officielles de la fête de l'Escalade</t>
  </si>
  <si>
    <t>Haltenhoff, Georges (1843-1915)</t>
  </si>
  <si>
    <t>Professeur d'ophtalmologie à l'Université de Genève, Suisse de 1891 à 1915</t>
  </si>
  <si>
    <t>Saloz, Charles (1851?-1917 ; médecin)</t>
  </si>
  <si>
    <t>Médecin pratiquant dans le quartier de Rive (Genève, Suisse) avec sa femme Henriette Saloz-de Joudra (1856-1928)</t>
  </si>
  <si>
    <t>Haime, E. de (1864-1923)</t>
  </si>
  <si>
    <t>Pseudonyme d'Auguste de Morsier</t>
  </si>
  <si>
    <t>Farkas, Mirjana (1979-.... ; illustratrice)</t>
  </si>
  <si>
    <t>Voluter, Georges (1894-19.. ; radiologue)</t>
  </si>
  <si>
    <t>Radiologue. Chef de laboratoire à l’Institut d'anatomie pathologique de 1919 à 1921 ; chef de clique à l'Institut de radiologie de la Faculté de médecine de Strasbourg de 1921 à 1923 ; stagiaires dans plusieurs institutions entre 1923 et 1925 : directeur du service de radiologie de l'Hôpital Béthesda (Strasbourg) de 1925 à 1929 ; directeur du service central de radiologie de l'Institut d'assurance sociale d'Alsace et de Lorraine de 1929 à 1939 ; attaché au service d'Hygiène installé à Périgueux pour les réfugiés alsaciens, puis directeur du service de radiologie de l'Hôpital de Colmar en 1939 ; a refusé de collaborer avec l'administration allemande et déclaré ennemi du Reich en 1940 ; radiologiste à la clinique infantile de Lyon en 1941, entre dans la Résistance à cette date ; assistant à l'Institut universitaire de radiologie de Genève de 1943 à 1946 ; chef des travaux et médecin-chef adjoint de ce même institut de 1946 à 1947 ; privat-docent de radiologie médicale à l'université de Genève à partir de 1947 ; professeur à l'Institut de supervoltage du Centre anti-cancéreux de l'Université du Texas à Houston en 1955 ; médecin-chef du service de radiologie du Centre hospitalier d'Annemasse et cancérologue du Battelle-Memorial Institute à Genève en 1958 : directeur de l'Institut de médecine physique à Genève de 1963 à sa retraite en 1965</t>
  </si>
  <si>
    <t>Davaud, Coline (1979-....)</t>
  </si>
  <si>
    <t>Artiste et designer (en 2026)</t>
  </si>
  <si>
    <t>Rudhardt, Jean (1922-2003)</t>
  </si>
  <si>
    <t>Professeur honoraire d'histoire des religions antiques à la Faculté des lettres de l'Université de Genève (en 1988)</t>
  </si>
  <si>
    <t>Calmy-Rey, Micheline (1945-....)</t>
  </si>
  <si>
    <t>Institut universitaire de hautes études internationales</t>
  </si>
  <si>
    <t>Conseillère d’État à Genève de 1997 à 2002, puis conseillère fédérale de décembre 2002 à septembre 2011, présidente de la Confédération en 2007 et en 2011</t>
  </si>
  <si>
    <t>Schmidtmeyer, Jean-Pierre (1768-1830)</t>
  </si>
  <si>
    <t>1768</t>
  </si>
  <si>
    <t>1830</t>
  </si>
  <si>
    <t>Minutoli, Vincent (1639-1709)</t>
  </si>
  <si>
    <t>1639</t>
  </si>
  <si>
    <t>1709</t>
  </si>
  <si>
    <t>Pasteur et professeur à Genève. Correspondant de P. Bayle. A traduit de l'italien en français</t>
  </si>
  <si>
    <t>Weber-Caflisch, Antoinette (1938-....)</t>
  </si>
  <si>
    <t>université Paris-I-Panthéon-Sorbonne | Université de Genève</t>
  </si>
  <si>
    <t>Critique littéraire</t>
  </si>
  <si>
    <t>Trembley, Jean-Charles (1764-1846)</t>
  </si>
  <si>
    <t>1764</t>
  </si>
  <si>
    <t>1846</t>
  </si>
  <si>
    <t>Vandœuvres</t>
  </si>
  <si>
    <t>Gosse, Henri-Albert (1712-1780 ; imprimeur-libraire)</t>
  </si>
  <si>
    <t>1712</t>
  </si>
  <si>
    <t>1780</t>
  </si>
  <si>
    <t>Imprimeur-libraire. - Lieu d'activité : Genève. - Dates d'activité : 1739-.... - Fils de Pierre Gosse et frère de Pierre Gosse junior (1717-1794) et Jean Gosse (1727-1805)</t>
  </si>
  <si>
    <t>Busson, François (1956-....)</t>
  </si>
  <si>
    <t>Journaliste. - Photographe. - Moine bouddhiste</t>
  </si>
  <si>
    <t>Olivet, Alfred (1863-1942 ; architecte)</t>
  </si>
  <si>
    <t>Collabora dès 1912 avec l'architecte Alexandre Camoletti</t>
  </si>
  <si>
    <t>Alonso, Vlado (19..-....)</t>
  </si>
  <si>
    <t>Orchydia (19..-....)</t>
  </si>
  <si>
    <t>Ecrivain et conférencière. Coach et formatrice à Genève depuis 2000</t>
  </si>
  <si>
    <t>Wehrli, Claude (1931-1989)</t>
  </si>
  <si>
    <t>Membre de l'Institut suisse de Rome (1957-1959). Chargé de cours en sciences de l'Antiquité à l'Université de Genève (en 1985)</t>
  </si>
  <si>
    <t>Compagnie des pasteur.e.s, des diacres et des chargé.e.s de ministère (Genève, Suisse)</t>
  </si>
  <si>
    <t>1541</t>
  </si>
  <si>
    <t>Instituée par les Ordonnances ecclésiastiques de 1541. - Depuis 1995 la Compagnie, suite à la dernière révision de ses règlements, s'intitule \"Compagnie des pasteurs et des diacres\" ; composée des ministres en exercice (pasteur-es et diacres) engagés par l'Église protestante de Genève, ainsi que des membres protestants du corps enseignant de la Faculté autonome de théologie protestante</t>
  </si>
  <si>
    <t>Helg, Beatrice (1956-....)</t>
  </si>
  <si>
    <t>Photographe née à Genève</t>
  </si>
  <si>
    <t>Vidart, Camille (1854-1930)</t>
  </si>
  <si>
    <t>Militante féministe, enseignante et traductrice suisse. Fondatrice de l'Alliance Nationale des Femmes (ASF) en 1899 et présidente de l'Union des femmes.</t>
  </si>
  <si>
    <t>Boissier, Caroline (1786-1836)</t>
  </si>
  <si>
    <t>Pregny-Chambésy</t>
  </si>
  <si>
    <t>Compositrice et pianiste genevoise</t>
  </si>
  <si>
    <t>Birioukov, Pavel Ivanovitch (1860-1931)</t>
  </si>
  <si>
    <t>1860</t>
  </si>
  <si>
    <t>ouïezd de Kostroma</t>
  </si>
  <si>
    <t>Académie navale de Saint-Pétersbourg</t>
  </si>
  <si>
    <t>Biographe de L. Tolstoi͏̈</t>
  </si>
  <si>
    <t>Prélaz, Catherine (1964-.... ; psychothérapeute)</t>
  </si>
  <si>
    <t>Ancienne journaliste de presse écrite, a obtenu en MAS en neuropsychologie à l'Université de Genève, Suisse en 2008</t>
  </si>
  <si>
    <t>Fuchs, Emmanuel (19..-....)</t>
  </si>
  <si>
    <t>Pasteur suisse et auteur. Il a été président de l'Eglise protestante de Genève de 2014 à 2020</t>
  </si>
  <si>
    <t>Lissignol, Théodore (1820-1886)</t>
  </si>
  <si>
    <t>1820</t>
  </si>
  <si>
    <t>1886</t>
  </si>
  <si>
    <t>Conseiller aux Etats et dessinateur genevois</t>
  </si>
  <si>
    <t>Collart, Yves (1930-2014)</t>
  </si>
  <si>
    <t>Historien</t>
  </si>
  <si>
    <t>Saladin, Antoine Charles Guillaume (1785-1865)</t>
  </si>
  <si>
    <t>Université de Genève | université de Göttingen</t>
  </si>
  <si>
    <t>Saloz, Charlie (1888-1951 ; médecin)</t>
  </si>
  <si>
    <t>Médecin. Fils de Charles Saloz (1851-1917) et d'Henriette Saloz-de Joudra (1856-1928)</t>
  </si>
  <si>
    <t>Le Fort, Jean-Louis (1786-1874)</t>
  </si>
  <si>
    <t>Guertchakoff, Serge (19..-....)</t>
  </si>
  <si>
    <t>Journaliste spécialisé dans l'immobilier</t>
  </si>
  <si>
    <t>De Faveri, Paolo (19..-....)</t>
  </si>
  <si>
    <t>Statisticien et spécialiste du marché du logement à l'Office cantonal de la statistique (OCSTAT) de Genève, Suisse (en 2002)</t>
  </si>
  <si>
    <t>Fulpius, Lucien (1902-1996)</t>
  </si>
  <si>
    <t>Juriste, administrateur, historien</t>
  </si>
  <si>
    <t>Clerc, Philippe (19..-.... ; botaniste)</t>
  </si>
  <si>
    <t>Université de Berne | Jardin Botanique de Genève</t>
  </si>
  <si>
    <t>Docteur ès Sc. Lichénologie, président de l'Association Suisse de Bryologie et Lichénologie. Conservateur à l'herbier, collection de cryptogamie, des Conservatoire et Jardin botaniques de la ville de Genève, Chambésy (Suisse) en 2007</t>
  </si>
  <si>
    <t>Kaden, Erich-Hans (1898-1973)</t>
  </si>
  <si>
    <t>Hochheim am Main</t>
  </si>
  <si>
    <t>université de Giessen | université de Heidelberg</t>
  </si>
  <si>
    <t>Professeur de droit civil allemand (à partir de 1925) et de droit romain (à partir de 1931) à l'Université de Genève (jusqu'en 1971).</t>
  </si>
  <si>
    <t>Achard, Arthur (1836-1931 ; ingénieur)</t>
  </si>
  <si>
    <t>Florentin, Lucienne (1872-1942)</t>
  </si>
  <si>
    <t>Journaliste, critique d'art et écrivaine suisse d'origine française | Lieu de naissance : Tulle ; lieu de décès : Genève. Fille d'Émile Joseph François Chasteau (1842-1918), dessinateur d'art . Mariée avec le peintre et graveur genevois Armand Cacheux</t>
  </si>
  <si>
    <t>Maison de retraite du Petit-Saconnex (Genève, Suisse)</t>
  </si>
  <si>
    <t>Schätti, Nicolas (1961-....)</t>
  </si>
  <si>
    <t>Directeur du Centre d'iconographie genevoise (en 2012). - Chargé de l'enseignement de l'histoire des techniques artistiques à l'Université de Genève (en 2012)</t>
  </si>
  <si>
    <t>Demole, Jean-Marc (1796-1855)</t>
  </si>
  <si>
    <t>Avully</t>
  </si>
  <si>
    <t>Du Pan, Jacob (1674-1739)</t>
  </si>
  <si>
    <t>1739</t>
  </si>
  <si>
    <t>Magistrat genevois</t>
  </si>
  <si>
    <t>Mathey, Paul (1891-1972)</t>
  </si>
  <si>
    <t>Auvernier</t>
  </si>
  <si>
    <t>Emery, Paola (19..-....)</t>
  </si>
  <si>
    <t>Bibliothécaire au Jardin Botanique de Genève (en 2026)</t>
  </si>
  <si>
    <t>Société nautique de Genève (Suisse)</t>
  </si>
  <si>
    <t>Simon, Ana (1938-2018)</t>
  </si>
  <si>
    <t>Scénariste et poète d'origine roumaine. Mariée à l'acteur genevois François Simon</t>
  </si>
  <si>
    <t>Pictet de Rochemont, Charles René (1787-1856)</t>
  </si>
  <si>
    <t>Diplomate suisse. - En 1807, il fut député par la municipalité de Genève au tsar Alexandre I dont il obtint pour son père la concession de terres près d'Odessa. - Chargé d'affaires à Paris pour le roi de Bavière en 1816 et 1817</t>
  </si>
  <si>
    <t>Barde, Jules-Auguste (1841-1914 ; opthalmologue)</t>
  </si>
  <si>
    <t>1841</t>
  </si>
  <si>
    <t>Opthalmologue ; docteur de l'université de Berlin en 1863 ; s'est par la suite consacré à l'ophtalmologie ; en poste à Genève dès 1869, il devient médecin-chef à l'Institut Rotlhschild lors de sa fondation en 1874 ; également musicien</t>
  </si>
  <si>
    <t>Tronchet, Lucien (1902-1982 ; syndicaliste)</t>
  </si>
  <si>
    <t>Lyon</t>
  </si>
  <si>
    <t>Syndicaliste</t>
  </si>
  <si>
    <t>Lobsiger, Georges (1903-1988)</t>
  </si>
  <si>
    <t>Américaniste, spécialiste des études indigénistes américaines et de l'ethno-histoire péruvienne | Auteur d'une thèse d'université en géographie (Grenoble, Faculté des lettres et sciences humaines, 1968)</t>
  </si>
  <si>
    <t>Société générale de surveillance (Genève, Suisse)</t>
  </si>
  <si>
    <t>Wenger, Timéa (2001-....)</t>
  </si>
  <si>
    <t>Bédéiste genevoise</t>
  </si>
  <si>
    <t>Pozza, Anne-Catherine (19..-....)</t>
  </si>
  <si>
    <t>Écrivaine et conférencière. Coach et formatrice à Genève depuis 2000. - Écrit également sous le pseudonyme Orchydia selon la nature des ouvrages</t>
  </si>
  <si>
    <t>Théâtre du Loup (Genève, Suisse)</t>
  </si>
  <si>
    <t>Necker, Louis (1732-1804 ; mathématicien)</t>
  </si>
  <si>
    <t>1730</t>
  </si>
  <si>
    <t>1804</t>
  </si>
  <si>
    <t>Mathématicien suisse né à Genève, le 31 août 1730, mort le 31 juillet 1804, à Coligny (Suisse). Fils de l'écrivain allemand Charles-Frédéric Necker, et frère du célèbre financier Jacques Necker. Après avoir enseigné dans sa ville natale les mathématiques, que d'Alembert lui avait enseignées, il entra comme associé dans une maison de banque de Paris (1762), fonda ensuite une maison de commerce à Marseille, avant de retourner à Genève, au moment de la Révolution. Outre les articles qu'il écrivit dans l'Encyclopédie, il publia une thèse intitulée : \" De electricitate \" (1747) et quelques mémoires.</t>
  </si>
  <si>
    <t>Gallatin, Jean-Louis (1778-1844 ; syndic)</t>
  </si>
  <si>
    <t>1778</t>
  </si>
  <si>
    <t>Homme politique genevois, syndic de Genève</t>
  </si>
  <si>
    <t>Veyrassat, Jean-Alfred (1872-1955)</t>
  </si>
  <si>
    <t>Médecin. Professeur de médecine humaine à l'Université de Genève, Suisse de 1910 à 1947</t>
  </si>
  <si>
    <t>Pictet, Charles (19..-19.. ; avocat)</t>
  </si>
  <si>
    <t>Menz, Cäsar (1949-....)</t>
  </si>
  <si>
    <t>Willisau</t>
  </si>
  <si>
    <t>Directeur du Musée d'art et d'histoire, Genève (Suisse) de 1994 à 2009</t>
  </si>
  <si>
    <t>Laurençon, Maïte (19..-....)</t>
  </si>
  <si>
    <t>Psychologue FSP à Genève</t>
  </si>
  <si>
    <t>60x60 (Genève, Genève, Suisse)</t>
  </si>
  <si>
    <t>Wen, Deqing (1958-....)</t>
  </si>
  <si>
    <t>Widmer, Gabriel Philippe (1923-2013)</t>
  </si>
  <si>
    <t>Théologien, professeur de théologie à l'université de Genève de 1960 à 1988</t>
  </si>
  <si>
    <t>Butini, Jean-François (1747-1805)</t>
  </si>
  <si>
    <t>1747</t>
  </si>
  <si>
    <t>1805</t>
  </si>
  <si>
    <t>Ecrivain, avocat, procureur général</t>
  </si>
  <si>
    <t>Givry, Yoann (19..-....)</t>
  </si>
  <si>
    <t>Collaborateur scientifique à la Fondation Martin Bodmer</t>
  </si>
  <si>
    <t>Hochuli Dubuis, Paule (19..-....)</t>
  </si>
  <si>
    <t>École nationale des chartes</t>
  </si>
  <si>
    <t>Bibliothèque de Genève</t>
  </si>
  <si>
    <t>Licenciée en histoire de l'Université de Genève. Diplômée de l'Ecole des Chartes de Paris</t>
  </si>
  <si>
    <t>Hiler, David (1955-....)</t>
  </si>
  <si>
    <t>Reno</t>
  </si>
  <si>
    <t>Historien-économiste, conseiller d'État de la République et canton de Genève de 2005 à 2013</t>
  </si>
  <si>
    <t>Fédération genevoise des métiers du bâtiment (Petit-Lancy, Suisse)</t>
  </si>
  <si>
    <t>Janin, François (1811-1877)</t>
  </si>
  <si>
    <t>1811</t>
  </si>
  <si>
    <t>Ingénieur et homme politique genevois</t>
  </si>
  <si>
    <t>Naville, François (1883-1968)</t>
  </si>
  <si>
    <t>Médecin légiste. Il est le seul expert vraiment neutre de la Commission internationale Katyn enquêtant sur le massacre de Katyń par les Soviétiques de quelque 22 000 prisonniers de guerre polonais</t>
  </si>
  <si>
    <t>Micheli, Horace (1866-1931)</t>
  </si>
  <si>
    <t>Landecy</t>
  </si>
  <si>
    <t>Docteur en lettres (Genève, 1894). - Journaliste au Journal de Genève</t>
  </si>
  <si>
    <t>Association des amis de la musique juive (Genève, Suisse)</t>
  </si>
  <si>
    <t>Laplace, Yves (1958-....)</t>
  </si>
  <si>
    <t>Critique littéraire, enseignant</t>
  </si>
  <si>
    <t>Moricand, Moïse-Etienne (1779-1854)</t>
  </si>
  <si>
    <t>1779</t>
  </si>
  <si>
    <t>Botaniste</t>
  </si>
  <si>
    <t>Live Music Production (Le Grand-Saconnex, Genève, Suisse)</t>
  </si>
  <si>
    <t>Chopard, Cléa (1989-....)</t>
  </si>
  <si>
    <t>Artiste suisse née à Boston en 1989. - Elle vit actuellement à Genève. - Traduit de l'anglais. - Écrivaine. - Artiste de performance</t>
  </si>
  <si>
    <t>Ladame, Charles (1871-1949)</t>
  </si>
  <si>
    <t>Le Locle</t>
  </si>
  <si>
    <t>Psychiatre. Directeur de l'asile de Bel-Air (actuellement clinique de Belle-Idée, commune de Thônex, canton de Genève, Suisse), de 1925 à 1939</t>
  </si>
  <si>
    <t>Goerg, Charles (1932-1993)</t>
  </si>
  <si>
    <t>Directeur de la Bibliothèque d'art et d'archéologie, Genève, Suisse et conservateur des estampes de 1963 à 1979, puis conservateur en chef du département des Beaux-Arts du Musée d'art et d'histoire de 1979 à 1992</t>
  </si>
  <si>
    <t>Senouci, Zaccaria (19..-....)</t>
  </si>
  <si>
    <t>Assistant socio-éducatif genevois</t>
  </si>
  <si>
    <t>Schadegg, Sylvia (19..-....)</t>
  </si>
  <si>
    <t>Marteau, Jean-Jacques (1932-2008)</t>
  </si>
  <si>
    <t>Journaliste à la Tribune de Genève. Fils de Jean Marteau (1903-1970)</t>
  </si>
  <si>
    <t>Tostes, Danniel (19..-....)</t>
  </si>
  <si>
    <t>Curateur indépendant originaire de Rio de Janeiro, basé à Genève</t>
  </si>
  <si>
    <t>Thurneysen, Etienne (1715-1763)</t>
  </si>
  <si>
    <t>1715</t>
  </si>
  <si>
    <t>1763</t>
  </si>
  <si>
    <t>Né à Genève et décédé à Londres. - Philosophe et avocat. - Elève de Nicolas Bernoulli (1687-1759), Gabriel Cramer et Jean-Jacques Burlamaqui à Genève (\"Theses logicae de inductione\" sous la direction de Cramer en 1733). - Avocat à Genève en 1736. - Installé à Londres en 1740, Etienne Thourneyser fut d'abord précepteur, puis rédacteur du \"Nouveau magasin françois\" (1750-1752)</t>
  </si>
  <si>
    <t>La Rive, François de (1745-1829)</t>
  </si>
  <si>
    <t>1745</t>
  </si>
  <si>
    <t>1829</t>
  </si>
  <si>
    <t>Conseiller d’État et lieutenant de police à Genève</t>
  </si>
  <si>
    <t>Borgeaud, Marc-Auguste (1905-1978)</t>
  </si>
  <si>
    <t>Directeur de la Bibliothèque publique et universitaire de Genève (1959-1974). Traduit des ouvrages de l'anglais au français</t>
  </si>
  <si>
    <t>Chaponnière-Chaix, Pauline (1850-1934)</t>
  </si>
  <si>
    <t>Féministe suisse</t>
  </si>
  <si>
    <t>Forget, Jean-Pierre (1791-1863)</t>
  </si>
  <si>
    <t>1791</t>
  </si>
  <si>
    <t>Rieu, Jean-Louis (1788-1868)</t>
  </si>
  <si>
    <t>1788</t>
  </si>
  <si>
    <t>Officier en France, fit les Campagnes d'Allemagne et de Russie</t>
  </si>
  <si>
    <t>Turrettini, Théodore (1845-1916 ; ingénieur)</t>
  </si>
  <si>
    <t>Liegme, Jean-François (1922-1977)</t>
  </si>
  <si>
    <t>Peintre suisse</t>
  </si>
  <si>
    <t>Moynier, Jacques-André (1801-1885)</t>
  </si>
  <si>
    <t>Homme politique et horloger genevois</t>
  </si>
  <si>
    <t>Brun, Albert (1857-1939)</t>
  </si>
  <si>
    <t>Saladin, Charles (1757-1814)</t>
  </si>
  <si>
    <t>Rilliet, Albert-Louis (1785-1864)</t>
  </si>
  <si>
    <t>Mont-sur-Rolle</t>
  </si>
  <si>
    <t>Pictet, Charles (1755-1824)</t>
  </si>
  <si>
    <t>1755</t>
  </si>
  <si>
    <t>1824</t>
  </si>
  <si>
    <t>Agronome et diplomate genevois</t>
  </si>
  <si>
    <t>Werner, Georges (1879-1935 ; juriste)</t>
  </si>
  <si>
    <t>Chêne-Bougeries</t>
  </si>
  <si>
    <t>Université de Genève | Agence internationale des prisonniers de guerre</t>
  </si>
  <si>
    <t>Licencié de droit, substitut du procureur général. Professeur à la faculté de droit de Genève</t>
  </si>
  <si>
    <t>Buscarlet, Daniel (1898-1988)</t>
  </si>
  <si>
    <t>Matthey, André (1778-1842)</t>
  </si>
  <si>
    <t>Médecin du Bureau de bienfaisance de la ville de Genève, secrétaire de la Société de médecine de Genève, membre de la Société médicale d'émulation de Paris, de la Société de médecine pratique de Montpellier (en 1820)</t>
  </si>
  <si>
    <t>Hari, Robert (1922-1988 ; égyptologue)</t>
  </si>
  <si>
    <t>Nyon</t>
  </si>
  <si>
    <t>Égyptologue</t>
  </si>
  <si>
    <t>Chaponnière, Francis (1842-1924)</t>
  </si>
  <si>
    <t>A soutenu sa thèse de théologie protestante en 1867 | Privat-docent à la faculté de théologie de Genève (1870-1879). Rédacteur de la Semaine religieuse de Genève (1880-1919). Président de l'Union chrétienne des jeunes gens (UCJG) et du comité genevois de la Société des Missions de Paris. Contribua à la fondation de l'Union nationale évangélique (1871)</t>
  </si>
  <si>
    <t>Maillart, Hector Adolphe (1866-1932)</t>
  </si>
  <si>
    <t>Gallatin, Jean-Louis de (1737-1799 ; militaire)</t>
  </si>
  <si>
    <t>1737</t>
  </si>
  <si>
    <t>Militaire, officier dans le Régiment Royal Deux-Ponts</t>
  </si>
  <si>
    <t>Corvini, Graziella (1968-....)</t>
  </si>
  <si>
    <t>Romancière | Romancière genevoise</t>
  </si>
  <si>
    <t>Brulhart, Claude (19..-....)</t>
  </si>
  <si>
    <t>Designer, diplômé de l’ECAL (École cantonale d'art de Lausanne). - Spécialiste de Rodolphe Töpffer. - Président et fondateur de l’Association de recherches sur l’oeuvre de Rodolphe Töpffer à Carouge, Genève</t>
  </si>
  <si>
    <t>Le Fort, Jean-Louis (1917-2000 ; avocat)</t>
  </si>
  <si>
    <t>Avocat ; secrétaire de l'Association suisse des banquiers à Bâle ; secrétaire du Groupement des holdings industrielles de 1951 au plus tôt à 1956 ; en poste à l'Organisation européenne de coopération économique (Paris) de 1956 à 1958 ; président de l'institut Battelle (Genève) de 1958 à 1970 ; secrétaire général du CICR de 1970 à 1973</t>
  </si>
  <si>
    <t>Fazy, Henri (1842-1920)</t>
  </si>
  <si>
    <t>Conservateur du Musée archéologique de Genève de 1862 à 1864, archiviste d'État puis directeur des archives d'État de 1885 à sa mort. Conseiller d'Etat à Genève, Suisse en 1870-1875 et 1897-1920</t>
  </si>
  <si>
    <t>Boillat, Pierre (1978-.... ; bibliothécaire)</t>
  </si>
  <si>
    <t>Responsable de la Bibliothèque du Jardin Botanique de Genève</t>
  </si>
  <si>
    <t>Association pour le Bien des Aveugles et malvoyants (Genève, Genève, Suisse)</t>
  </si>
  <si>
    <t>Reverdin, Frédéric (1849-1931 ; chimiste)</t>
  </si>
  <si>
    <t>Chimiste ; traduit de l'allemand en français</t>
  </si>
  <si>
    <t>Fatio, Guillaume (1865-1958)</t>
  </si>
  <si>
    <t>Guillaume Fatio, né à Genève le 11 septembre 1865 et mort à Genthod le 4 juin 1958. - Universitaire, historien, banquier et personnalité politique genevoise.</t>
  </si>
  <si>
    <t>Hutmacher, Anouk (1967-....)</t>
  </si>
  <si>
    <t>Libraire (1999) puis paysanne (depuis 2000). - Titulaire d'une licence en sociologie (1993)</t>
  </si>
  <si>
    <t>Prévost, Jean-Louis (1790-1850 ; physiologiste)</t>
  </si>
  <si>
    <t>1790</t>
  </si>
  <si>
    <t>Exerce à Genève. Travaux en physiologie avec Dumas | Physiologiste suisse</t>
  </si>
  <si>
    <t>Barman, Adrienne (1979-....)</t>
  </si>
  <si>
    <t>Lugano</t>
  </si>
  <si>
    <t>Illustratrice, formation Arts Décoratifs, vit à Genève</t>
  </si>
  <si>
    <t>Bovy-Lysberg, Charles-Samuel (1821-1873)</t>
  </si>
  <si>
    <t>1873</t>
  </si>
  <si>
    <t>Compositeur. Professeur de piano au Conservatoire de Genève (Suisse)</t>
  </si>
  <si>
    <t>Prévost, Jean-Louis (1838-1927 ; neurologue)</t>
  </si>
  <si>
    <t>Freyre, Nicolas (19..-.... ; botaniste)</t>
  </si>
  <si>
    <t>Jardinier chef au Jardin Botanique de Genève</t>
  </si>
  <si>
    <t>Association genevoise pour la promotion de l'illustration et de la bande dessinée (Genève, Genève, Suisse)</t>
  </si>
  <si>
    <t>Pictet, Charles (1963-.... ; architecte)</t>
  </si>
  <si>
    <t>Architecte suisse</t>
  </si>
  <si>
    <t>Ravel, Edouard (1847-1920)</t>
  </si>
  <si>
    <t>Versoix</t>
  </si>
  <si>
    <t>École nationale supérieure des beaux-arts</t>
  </si>
  <si>
    <t>Peintre de genre, de paysage, de portraits et d'histoire. - Dessinateur, illustrateur. Oncle du compositeur Maurice Ravel (1875-1937). Né à Versoix (Suisse), décédé à Genève (Suisse)</t>
  </si>
  <si>
    <t>Gampert, Jean-Louis (1884-1942)</t>
  </si>
  <si>
    <t>1884</t>
  </si>
  <si>
    <t>Peintre et graveur suisse, né le 8 février 1884 à Genève</t>
  </si>
  <si>
    <t>Contesse, Éloi (19..-....)</t>
  </si>
  <si>
    <t>Conservateur du Centre d'iconographie de la Bibliothèque de Genève (en 2021)</t>
  </si>
  <si>
    <t>Tschopp, Peter (1940-2009)</t>
  </si>
  <si>
    <t>Université de Genève | Institut universitaire de hautes études internationales</t>
  </si>
  <si>
    <t>Doyen de la Faculté des sciences économiques et sociales, Univ. de Genève (en 1986)</t>
  </si>
  <si>
    <t>Martorana, Cinzia (19..-....)</t>
  </si>
  <si>
    <t>Conservatrice restauratrice</t>
  </si>
  <si>
    <t>Genève (canton ; Suisse). Direction de l'information du territoire</t>
  </si>
  <si>
    <t>Issu en mai 2018 de la fusion du Service de la géomatique et de la Direction de la mensuration officielle</t>
  </si>
  <si>
    <t>Pictet de Sergy, Amédée-Pierre-Jules (1795-1888)</t>
  </si>
  <si>
    <t>Vernier</t>
  </si>
  <si>
    <t>Ancien conseiller d'état du canton de Genève ; membre des Sociétés d'histoire Genevoise, Romande et Fédérale</t>
  </si>
  <si>
    <t>Pictet, Arnold (1869-1948)</t>
  </si>
  <si>
    <t>Université de Genève | Groupe Pictet</t>
  </si>
  <si>
    <t>Biologiste. - Professeur à l'Université de Genève. Lieu de naissance Genève, Suisse. Lieu de décès Genève, Suisse</t>
  </si>
  <si>
    <t>Vieusseux, Gaspar (1746-1814 ; médecin)</t>
  </si>
  <si>
    <t>1746</t>
  </si>
  <si>
    <t>Médecin suisse</t>
  </si>
  <si>
    <t>Blaettler, Roland (1953-.... ; céramologue)</t>
  </si>
  <si>
    <t>Chargé de projet \"Ceramica Suisse\" depuis 2010 | Conservateur du Musée Ariana jusqu'en 2009 | Titulaire d'une licence d'histoire</t>
  </si>
  <si>
    <t>Hartmann, Esther (19..-....)</t>
  </si>
  <si>
    <t>Psychologue FSP, spécialiste en biofeedback et neurofeedback à Genève</t>
  </si>
  <si>
    <t>Association Patrimoine versoisien (Versoix, Genève, Suisse)</t>
  </si>
  <si>
    <t>Association ayant pour buts de défendre, faire connaître et mettre en valeur le patrimoine de la commune de Versoix.</t>
  </si>
  <si>
    <t>Fuchs, Eric (1932-2023)</t>
  </si>
  <si>
    <t>Toscane</t>
  </si>
  <si>
    <t>Docteur en théologie. Professeur d'éthique à la Faculté de théologie de l'Université de Genève (en 1988). Collaborateur de la TOB</t>
  </si>
  <si>
    <t>Halff, Laurence (19..-....)</t>
  </si>
  <si>
    <t>Mani, Monique (1927-2026)</t>
  </si>
  <si>
    <t>2026</t>
  </si>
  <si>
    <t>Comédienne</t>
  </si>
  <si>
    <t>Hôpitaux universitaires de Genève (Suisse). Hôpital des enfants</t>
  </si>
  <si>
    <t>Machalova, Andrea (19..-....)</t>
  </si>
  <si>
    <t>Peña, Zuly (1971-....)</t>
  </si>
  <si>
    <t>Coach de vie d'origine colombienne, résidant à Genève</t>
  </si>
  <si>
    <t>Duval, Jean-François (1947-.... ; romancier)</t>
  </si>
  <si>
    <t>Né à Genève en 1947. - Romancier. Journaliste à \"Construire\" (en 1986)</t>
  </si>
  <si>
    <t>Rouby, Mathieu (19..-....)</t>
  </si>
  <si>
    <t>Traducteur genevois</t>
  </si>
  <si>
    <t>Martin, Paul-Edmond (1883-1969 ; historien)</t>
  </si>
  <si>
    <t>Professeur à la Faculté des Lettres de Genève (en 1958)</t>
  </si>
  <si>
    <t>Barde, Pierre-Auguste (1800-1860)</t>
  </si>
  <si>
    <t>1800</t>
  </si>
  <si>
    <t>Challet-Venel, Jean-Jacques (1811-1893)</t>
  </si>
  <si>
    <t>Professeur de français au pensionnat Venel à Champel (comm. Genève). Politicien, il entre au Grand Conseil genevois en 1854. En 1864, il devient le premier conseiller fédéral genevois</t>
  </si>
  <si>
    <t>Frei, Dominique (19..-....)</t>
  </si>
  <si>
    <t>Économiste. Directeur de l'Office cantonal de la statistique, Genève, Suisse de 1999 à 2013</t>
  </si>
  <si>
    <t>Pisteur, John (1873-1960)</t>
  </si>
  <si>
    <t>Poète. Critique d'art</t>
  </si>
  <si>
    <t>Fournier, Marie-José (19..-.... ; journaliste)</t>
  </si>
  <si>
    <t>Editrice à l'Office de presse de Coop Genève jusqu'en 1993, journaliste à la Tribune des arts entre 1993 et 1999</t>
  </si>
  <si>
    <t>Clément, Danciel (19..-....)</t>
  </si>
  <si>
    <t>Bal, Antoine (19..-....)</t>
  </si>
  <si>
    <t>Micheli, Horace-Louis (1776-1846)</t>
  </si>
  <si>
    <t>Schulé, Paul (19..-....)</t>
  </si>
  <si>
    <t>Wertheimer, Joseph (1833-1908)</t>
  </si>
  <si>
    <t>1833</t>
  </si>
  <si>
    <t>Soultz-Haut-Rhin</t>
  </si>
  <si>
    <t>Premier grand rabbin de Genève, professeur de philologie comparée, originaire d'Alsace‏</t>
  </si>
  <si>
    <t>Le Beau Lac de Bâle</t>
  </si>
  <si>
    <t>Groupe suisse de rock humoristique et libertaire, originaire de Genève</t>
  </si>
  <si>
    <t>Gallatin, Jean-Louis (1751-1783 ; médecin)</t>
  </si>
  <si>
    <t>1783</t>
  </si>
  <si>
    <t>Médecin, docteur en médecin de l'université de Montpellier en 1774</t>
  </si>
  <si>
    <t>Stämpfli, Bertrand (19..-....)</t>
  </si>
  <si>
    <t>Pigiste et chroniqueur suisse. A travaillé pour \"La Tribune de Genève\" et à la \"Radio Suisse Romande\"</t>
  </si>
  <si>
    <t>Givry, Diane (2...-....)</t>
  </si>
  <si>
    <t>2XXX</t>
  </si>
  <si>
    <t>Photographe travaillant dans les Alpes (Vallée verte et Genève)</t>
  </si>
  <si>
    <t>Parcours des ateliers carougeois (Carouge, Suisse)</t>
  </si>
  <si>
    <t>Bessire, Robin (19..-....)</t>
  </si>
  <si>
    <t>Chef cuisinier genevois</t>
  </si>
  <si>
    <t>Yung, Walter (1903-1974 ; juriste)</t>
  </si>
  <si>
    <t>Professeur à la Faculté de droit de Genève. Doyen de la Faculté de Droit de l'université de Genève (1954)</t>
  </si>
  <si>
    <t>Puerari, André-Frédéric (1774-1837)</t>
  </si>
  <si>
    <t>1774</t>
  </si>
  <si>
    <t>Girardier, Lucien (1929-2024)</t>
  </si>
  <si>
    <t>faculté de médecine de Genève</t>
  </si>
  <si>
    <t>Physiologiste né à La Chaux-de-Fonds, Suisse. - Professeur assistant (1967), puis extraordinaire (1970), ordinaire (1973) et honoraire (1995) à la faculté de médecine de l'Université de Genève</t>
  </si>
  <si>
    <t>Association genevoise des musiciens de jazz (Genève, Suisse)</t>
  </si>
  <si>
    <t>Wolfsberger, Isaac Christian (1801-1876)</t>
  </si>
  <si>
    <t>Architecte et ingénieur genevois</t>
  </si>
  <si>
    <t>Macaire, Isaac-François (1796-1869)</t>
  </si>
  <si>
    <t>Professeur de chimie, pharmacien</t>
  </si>
  <si>
    <t>Stryjeński, Jean (1922-1996)</t>
  </si>
  <si>
    <t>Cracovie</t>
  </si>
  <si>
    <t>Thomas, Frank (1862-1928)</t>
  </si>
  <si>
    <t>1862</t>
  </si>
  <si>
    <t>Bad Ragaz</t>
  </si>
  <si>
    <t>Pasteur à Mézière, canton de Vaud (1887-1891) puis à Genève. - Professeur de théologie à l'université de Genève. Lieu de naissance Cologny, Canton de Genève (Suisse)</t>
  </si>
  <si>
    <t>Richard, Eugène (1843-1925)</t>
  </si>
  <si>
    <t>Homme politique suisse et président du Conseil des États suisse (1913/1914)</t>
  </si>
  <si>
    <t>Parti socialiste de Meyrin-Cointrin (Meyrin, Genève, Suisse)</t>
  </si>
  <si>
    <t>Duchosal, Pierre W. (1905-1988 ; cardiologue)</t>
  </si>
  <si>
    <t>Grand-Saconnex</t>
  </si>
  <si>
    <t>Cardiologue, directeur du centre de cardiologie de l'hôpital cantonal de 1953 à 1976, professeur ad personam de l'université de Genève dès 1959</t>
  </si>
  <si>
    <t>Languin, Irène (19..-....)</t>
  </si>
  <si>
    <t>Historienne de la philosophie de formation, journaliste à la Tribune de Genève (sujets politiques et de société, puis rubrique culturelle et vins naturels)</t>
  </si>
  <si>
    <t>Sarasin, Jean (1574-1632)</t>
  </si>
  <si>
    <t>1574</t>
  </si>
  <si>
    <t>1632</t>
  </si>
  <si>
    <t>Jurisconsulte et homme politique genevois</t>
  </si>
  <si>
    <t>Le Royer, Alexandre (1860-1922)</t>
  </si>
  <si>
    <t>Christe, Mathieu (1976-....)</t>
  </si>
  <si>
    <t>Rédacteur typographe en poste aux Conservatoire et jardin botanique de Genève, Suisse (en 2026). Auteur d'ouvrages jeunesses</t>
  </si>
  <si>
    <t>Lachenal, Adrien (1849-1918)</t>
  </si>
  <si>
    <t>Conseiller fédéral suisse</t>
  </si>
  <si>
    <t>Rapp, Jean-Philippe (1942-....)</t>
  </si>
  <si>
    <t>Radio télévision suisse</t>
  </si>
  <si>
    <t>Journaliste-présentateur à la Télévision suisse romande. Chargé d'enseignement à l'Institut universitaire d'études du développement de Genève, Suisse de 1984 à 2004</t>
  </si>
  <si>
    <t>Bessire, Jean-Marc (19..-....)</t>
  </si>
  <si>
    <t>Alexander, Hugh Edward (1884-1957)</t>
  </si>
  <si>
    <t>Dumfries</t>
  </si>
  <si>
    <t>Fondateur et directeur de l'Action biblique, de l'École biblique de Genève et des Maisons de la Bible (en 1950)</t>
  </si>
  <si>
    <t>Montandon, Raoul (1877-1950)</t>
  </si>
  <si>
    <t>Bolsec, Jérôme-Hermès (15..-1585)</t>
  </si>
  <si>
    <t>15XX</t>
  </si>
  <si>
    <t>1585</t>
  </si>
  <si>
    <t>Théologien français</t>
  </si>
  <si>
    <t>Calandrini, André-Richard (1762-1826)</t>
  </si>
  <si>
    <t>1762</t>
  </si>
  <si>
    <t>Necker, Louis (1941-.... ; anthropologue)</t>
  </si>
  <si>
    <t>Professeur d'anthropologie à l'université de Genève (dès 1981). Directeur du Musée d'ethnographie de Genève jusqu'en 2003</t>
  </si>
  <si>
    <t>Pictet, Camille (1864-1893)</t>
  </si>
  <si>
    <t>Gréa, Philippine de (19..-....)</t>
  </si>
  <si>
    <t>Autrice jeunesse. - Finaliste du Prix du Jeune Écrivain en 1998. - D'origine fribourgeoise, Philippine de Gréa a grandi à Genève mais vit maintenant à Aubonne, dans le canton de Vaud.</t>
  </si>
  <si>
    <t>Genève (canton ; Suisse). Direction de la planification cantonale (2007-....)</t>
  </si>
  <si>
    <t>Avant 2007: Service du plan directeur</t>
  </si>
  <si>
    <t>Fédération genevoise des associations LGBTIQ+ (Genève, Suisse)</t>
  </si>
  <si>
    <t>Scheffer, Jean-Gabriel (1797-1876)</t>
  </si>
  <si>
    <t>1797</t>
  </si>
  <si>
    <t>Peintre. - Lithographe.</t>
  </si>
  <si>
    <t>Genève (canton ; Suisse). Direction de la planification directrice localisée et mise en oeuvre des grands projets (2007-....)</t>
  </si>
  <si>
    <t>Dépend de l'aménagement du territoire | Responsable Sophie Lin | Suite à réorganisation du domaine de l’aménagement du territoire du canton de Genève, le Conseil d’État décide par arrêté du 30 mars 2007 de créer le service de la planification directrice localisée et mise en œuvre des grands projets</t>
  </si>
  <si>
    <t>Asile LGBTIQ+ (Genève, Suisse)</t>
  </si>
  <si>
    <t>Beaumont, Gustave de (1851-1922)</t>
  </si>
  <si>
    <t>Peintre et illustrateur à Genève</t>
  </si>
  <si>
    <t>Apothéloz, Thierry (1971-....)</t>
  </si>
  <si>
    <t>Educateur social et personnalité politique suisse, membre du Parti socialiste, conseiller d'État du canton de Genève depuis le 1ᵉʳ juin 2018</t>
  </si>
  <si>
    <t>Wanner, Philippe (1964-.... ; démographe)</t>
  </si>
  <si>
    <t>Démographe. - En poste : Swiss Forum for Migration and Population, Neuchâtel, Suisse (en 2004). - Professeur de démographie à l'Université de Genève (en 2012)</t>
  </si>
  <si>
    <t>Sarasin, Édouard (1843-1917)</t>
  </si>
  <si>
    <t>Genève (canton ; Suisse). Département de l'intérieur et de l'agriculture (1916?-1989)</t>
  </si>
  <si>
    <t>De 1843 à 1915?: Département de l'intérieur. De 1916? à 1989: Département de l'intérieur et de l'agriculture. De 1990 à 1993: Département de l'intérieur, de l'agriculture et des affaires régionales</t>
  </si>
  <si>
    <t>Carteret, Antoine (1813-1889)</t>
  </si>
  <si>
    <t>1813</t>
  </si>
  <si>
    <t>Homme politique. - Homme de lettres, auteur de fables et de romans. - D'une ancienne famille originaire de Bourgogne (Is-sur-Tille, Côte-d'Or), réfugiée à Genève après la Révocation de l’Édit de Nantes. Né à Genève (Genève, Suisse), décédé au Petit-Saconnex (Genève, Suisse)</t>
  </si>
  <si>
    <t>Maurice, Frédéric-Guillaume (1750-1826)</t>
  </si>
  <si>
    <t>1750</t>
  </si>
  <si>
    <t>Magistrat et agronome</t>
  </si>
  <si>
    <t>Bolens, Nicolas (1963-....)</t>
  </si>
  <si>
    <t>Compositeur. Professeur de contrepoint à la Haute école de musique, Genève, Suisse (en 2026)</t>
  </si>
  <si>
    <t>Genève (canton ; Suisse). Département de l'aménagement, de l'équipement et du logement (1997-2005)</t>
  </si>
  <si>
    <t>De 1993 à 1997: Département des travaux publics et de l'énergie. De 1997 à 2005: Département de l'aménagement, de l'équipement et du logement. Dès 2006: Département des constructions et des technologies de l'information</t>
  </si>
  <si>
    <t>Munier, David-François (1798-1872)</t>
  </si>
  <si>
    <t>1798</t>
  </si>
  <si>
    <t>Pasteur et théologien genevois. Brillant prédicateur, professeur et plusieurs fois recteur de l'académie</t>
  </si>
  <si>
    <t>Herrera, Francisco (19..-.... ; guitariste)</t>
  </si>
  <si>
    <t>Guitariste et pédagogue</t>
  </si>
  <si>
    <t>Debossens, Léa (19..-....)</t>
  </si>
  <si>
    <t>Illustratrice, a étudié à l'École supérieure de bande dessinée et d’illustration - ESBDI (en 2026)</t>
  </si>
  <si>
    <t>Dialogue en route</t>
  </si>
  <si>
    <t>Projet fondé en 2014 par la Communauté de travail interreligieuse en Suisse IRAS COTIS, composé de trois équipe professionnelles régionales, qui invite les écoles et le large public à découvrir la pluralité culturelle et religieuse de la Suisse dans le cadre visites guidées thématiques</t>
  </si>
  <si>
    <t>Pitteloud, Anne (1972-....)</t>
  </si>
  <si>
    <t>Journaliste littéraire</t>
  </si>
  <si>
    <t>Vernier (Genève, Suisse)</t>
  </si>
  <si>
    <t>Commune du canton de Genève</t>
  </si>
  <si>
    <t>Chaix, Charles (1883-1973 ; compositeur)</t>
  </si>
  <si>
    <t>Compositeur et organiste. Professeur de théorie musicale au conservatoire de Genève (1910-1961), il est aussi chargé de cours de composition au conservatoire national de Lyon (1924-1950)</t>
  </si>
  <si>
    <t>Genève (canton ; Suisse). Direction du développement urbain - PAV / Interfaces CEVA (2014)</t>
  </si>
  <si>
    <t>Suite à la réorganisation de l’Office de l’urbanisme le 4 juin 2014 : suppression de la DDU PAV / Interfaces CEVA et création de deux services : Service interfaces CEVA et service Praille-Acacias-Vernets | Suite à la réorganisation de l’Office de l’urbanisme, la Direction des grands projets se scinde le 14 janvier 2014 en 3 directions du développement urbain : DDU rive droite, DDU rive gauche, DDU PAV / Interfaces CEVA</t>
  </si>
  <si>
    <t>Genève (canton ; Suisse). Direction générale de la mobilité (2009-2013)</t>
  </si>
  <si>
    <t>De 2005 à 2009: Office cantonal de la mobilité. De 2009 à 2013: Direction générale de la mobilité. Dès 2013: Direction générale des transports | La Direction générale de la mobilité dépendait du Département de l'intérieur et de la mobilité de 2009 à 2012, du Département de l'intérieur, de la mobilité et de l'environnement en 2013 | Magistrat en charge: Michèle Künzler</t>
  </si>
  <si>
    <t>Genève (canton ; Suisse). Service interfaces CEVA (2014-2015)</t>
  </si>
  <si>
    <t>Chef de service : Philippe Viala | Suite à la réorganisation de l’Office de l’urbanisme le 4 juin 2014 : suppression de la DDU PAV / Interfaces CEVA et création de deux services : Service interfaces CEVA et Service Praille-Acacias-Vernets | Suite à la réorganisation de l’office de l’urbanisme en février 2015 : le Service interfaces CEVA rejoint la DDU rive gauche</t>
  </si>
  <si>
    <t>Hoffmann, Aline (1856-1920)</t>
  </si>
  <si>
    <t>Amiens</t>
  </si>
  <si>
    <t>Kima, Roland Windébé (19..-.... ; abbé)</t>
  </si>
  <si>
    <t>Abbé Roland Windébé Kima, est un prêtre diocésain de l’Archidiocèse de Koupéla au Burkina Faso, ordonné le 6 juillet 2002. - Depuis septembre 2020, il collabore dans les Sciences de l’éducation à l'Université de Genève</t>
  </si>
  <si>
    <t>Genève (canton ; Suisse). Direction du développement urbain (2018-2021)</t>
  </si>
  <si>
    <t>En décembre 2018, les 4 services sont renommés: secteur Drize-Rhône, secteur Drize-Lac, secteur Rhône-Aéroport et secteur Versoix - Nations - Châtelaine | Suite à la réorganisation de l’Office de l’urbanisme en juillet 2018 : suppression des DDU rive gauche et rive droite remplacées par une seule DDU composée de 4 services : secteur Drize-Rhône, secteur Drize-Lac, secteur Ouest et secteur Est | Suite à la réorganisation de l’Office de l’urbanisme en juin 2021 les secteurs deviennent des directions: Direction DDU Rhône-Ouest, Direction DDU Drize-Lac, Direction DDU Lac-Nord et Direction des projets d’espaces publics (PDPEP)</t>
  </si>
  <si>
    <t>Long, Édouard (1868-1929)</t>
  </si>
  <si>
    <t>Médecin. Ancien interne des hôpitaux de Paris. Professeur de neuropathologie à Genève (Suisse)</t>
  </si>
  <si>
    <t>Genève (canton ; Suisse). Département de l'intérieur, de l'agriculture et de l'environnement (2002-2005)</t>
  </si>
  <si>
    <t>De 1998 à 2001: Département de l'intérieur, de l'agriculture, de l'environnement et de l'énergie. De 2002 à 2005: Département de l'intérieur, de l'agriculture et de l'environnement. De 2006 à 2010: Département du territoire</t>
  </si>
  <si>
    <t>Calame, Jules (1891-1961 ; hydraulicien)</t>
  </si>
  <si>
    <t>Ingénieur hydraulique (1926). Ingénieur-conseil à Genève (1932)</t>
  </si>
  <si>
    <t>Chaponnière, Jean-Jacques (1805-1859)</t>
  </si>
  <si>
    <t>Médecin et historien né et mort à Genève</t>
  </si>
  <si>
    <t>Mamie, David (1975-....)</t>
  </si>
  <si>
    <t>Graphiste suisse</t>
  </si>
  <si>
    <t>Musée Rath (Genève, Genève, Suisse)</t>
  </si>
  <si>
    <t>Adresse : Place de Neuve 1 - 1204 Genève, Suisse | De 1826 à 1910: Musée des beaux-arts. Dès 1910: Musée Rath | La création en 1910 du Musée d'art et d’histoire permet d'organiser au Rath les expositions municipales d'art qui se tenaient alors au bâtiment électoral. Entre 1916 et 1919, le musée a abrité l'Agence internationale des prisonniers de guerre, une institution créée par le CICR</t>
  </si>
  <si>
    <t>Harari, Carole (1973-....)</t>
  </si>
  <si>
    <t>Productrice et cofondatrice de Chahut Média</t>
  </si>
  <si>
    <t>Heer, Max (19..-....)</t>
  </si>
  <si>
    <t>Illustrateur, a étudié à l'École supérieure de bande dessinée et d’illustration - ESBDI (en 2026)</t>
  </si>
  <si>
    <t>Michel, Serge (1969-.... ; journaliste)</t>
  </si>
  <si>
    <t>Journaliste. - Diplômé de sciences politiques à Genève. - Journaliste au \"Nouveau quotidien\" à Lausanne (en 1996). Correspondant indépendant dans les Balkans pour \"Le Figaro\" et \"Le Temps\" (en 2003). Lauréat du prix Albert Londres en 2001</t>
  </si>
  <si>
    <t>Echard, Anne-Marie (19..-....)</t>
  </si>
  <si>
    <t>Ancienne membre de l'association Mémoire de Confignon</t>
  </si>
  <si>
    <t>Profichet, Amandine (19..-....)</t>
  </si>
  <si>
    <t>Prévost, Isaac-Bénédict (1755-1819)</t>
  </si>
  <si>
    <t>1819</t>
  </si>
  <si>
    <t>Physicien, naturaliste, professeur de philosophie</t>
  </si>
  <si>
    <t>Patanè, Giuseppe (1922-2008 ; architecte)</t>
  </si>
  <si>
    <t>Architecte, critique d'art, professeur d'éducation artistique au Lycée Vilfredo Pareto de Lausanne, Suisse. Lieu de naissance : Genève (Suisse).</t>
  </si>
  <si>
    <t>Montani, Alexa (19..-....)</t>
  </si>
  <si>
    <t>Pianiste, Pédagogue &amp; Praticienne de coordination respiratoire MDH</t>
  </si>
  <si>
    <t>Genève (canton ; Suisse). Département des travaux publics (1843-1993)</t>
  </si>
  <si>
    <t>Devient en 1993: Département des travaux publics et de l'énergie</t>
  </si>
  <si>
    <t>Genève (canton ; Suisse). Direction du développement urbain - rive droite (2014-2018)</t>
  </si>
  <si>
    <t>Directrice : Nicole Surchat jusqu’en novembre 2014 puis Thierry Merle dès février 2015 | Suite à la réorganisation de l’Office de l’urbanisme en juillet 2018 : suppression des DDU rive gauche et rive droite remplacées par une seule DDU composée de 4 services : secteur Drize-Rhône, secteur Drize-Lac, secteur Ouest et secteur Est | Suite à la réorganisation de l’Office de l’urbanisme, la Direction des grands projets se scinde le 14 janvier 2014 en 3 directions du développement urbain : DDU rive droite, DDU rive gauche, DDU PAV/Interfaces CEVA</t>
  </si>
  <si>
    <t>Greset, Cécile (19..-....)</t>
  </si>
  <si>
    <t>Avocate 2014 (Canton de Genève, Suisse) , Médiatrice (CAS en médiation, Université de Fribourg)</t>
  </si>
  <si>
    <t>Argand, Ami (1755-1803)</t>
  </si>
  <si>
    <t>Inventeur suisse. Met au point la première lampe à courant d'air</t>
  </si>
  <si>
    <t>Mallet, Édouard (1805-1856 ; juriste)</t>
  </si>
  <si>
    <t>Ferney-Voltaire</t>
  </si>
  <si>
    <t>Historien et jurisconsulte. - Avocat à Genève</t>
  </si>
  <si>
    <t>L'Hôte, Pierre-Alain (1968-....)</t>
  </si>
  <si>
    <t>Licencié en sciences politiques de l’Université de Genève, Pierre-Alain L’Hôte rejoint l’entreprise Prelco en 1993, où il devient administrateur puis administrateur délégué. Spécialiste de la préfabrication, il intervient comme expert à l’École polytechnique fédérale de Lausanne (Vaud, Suisse) entre 2007 et 2015</t>
  </si>
  <si>
    <t>Jan-Hess, Isabel (1966-....)</t>
  </si>
  <si>
    <t>Née à Berne en 1966. - Vit à Genève depuis 1974. - Journaliste</t>
  </si>
  <si>
    <t>J'aime ma Planète (Genève)</t>
  </si>
  <si>
    <t>J’aime ma Planète est une association à but non lucratif reconnue d’utilité publique qui s’engage pour la durabilité, la protection de l’environnement et la transition vers des modes de vie durables.</t>
  </si>
  <si>
    <t>Fosse, Marit (19..-....)</t>
  </si>
  <si>
    <t>Economiste, rédactrice en chef du magazine l'International Diplomat/Diva International, autrice et doctorante en sciences sociales</t>
  </si>
  <si>
    <t>Monnier, Marcel (1907-1996 ; médecin)</t>
  </si>
  <si>
    <t>1907</t>
  </si>
  <si>
    <t>Université de Genève | Université de Zurich</t>
  </si>
  <si>
    <t>Neurophysiologiste et neurologue suisse</t>
  </si>
  <si>
    <t>Baranova, Olga (1991-....)</t>
  </si>
  <si>
    <t>Politologue. Traductrice</t>
  </si>
  <si>
    <t>Genève (canton ; Suisse). Département de l'intérieur (1843-1915?)</t>
  </si>
  <si>
    <t>De 1843 à 1915?: Département de l'intérieur. De 1916? à 1989: Département de l'intérieur et de l'agriculture</t>
  </si>
  <si>
    <t>Furlan, Urban (19..-....)</t>
  </si>
  <si>
    <t>Directeur de l'Association J'aime ma Planète, Genève</t>
  </si>
  <si>
    <t>Association Paidos (Petit-Lancy, Suisse)</t>
  </si>
  <si>
    <t>Ernoux, Alice (19..-....)</t>
  </si>
  <si>
    <t>Barbier, Jean Paul (1930-2016 ; collectionneur d'art)</t>
  </si>
  <si>
    <t>Bibliophile. Fondateur du Musée Barbier-Mueller de Genève. Spécialiste de Ronsard et d'ethnographie. Collectionneur d'art \"primitif\"</t>
  </si>
  <si>
    <t>Genève (canton ; Suisse). Office cantonal de la mobilité (2005-2009)</t>
  </si>
  <si>
    <t>De 1985 à 2005: Office des transports et de la circulation. De 2005 à 2009: Office cantonal de la mobilité. Dès 2009: Direction générale de la mobilité | Magistrat en charge: Robert Cramer</t>
  </si>
  <si>
    <t>Rey, Dominique (1953-.... ; musicienne)</t>
  </si>
  <si>
    <t>Institut Jaques-Dalcroze</t>
  </si>
  <si>
    <t>Compositrice et librettiste</t>
  </si>
  <si>
    <t>Genève (canton ; Suisse). Département de l'environnement, des transports et de l'agriculture (2013-2018)</t>
  </si>
  <si>
    <t>De juillet 2012 à novembre 2013: Département de l'intérieur, de la mobilité et de l'environnement. De novembre 2013 à 2018: Département de l'environnement, des transports et de l'agriculture. Dès le 22 mai 2018: Département des infrastructures</t>
  </si>
  <si>
    <t>Genève (canton ; Suisse). Direction du développement urbain, région Drize-Lac (2021....)</t>
  </si>
  <si>
    <t>Suite à la réorganisation de l’Office de l’urbanisme en juin 2021 la Direction du développement urbain est scindée en 4 directions: Direction DDU Rhône-Ouest, Direction DDU Drize-Lac, Direction DDU Lac-Nord et Direction des projets d’espaces publics</t>
  </si>
  <si>
    <t>Groupe H (Meyrin, Genève, Suisse)</t>
  </si>
  <si>
    <t>Bureau d'architecture</t>
  </si>
  <si>
    <t>Lozano, Ulises (19..-....)</t>
  </si>
  <si>
    <t>Photographe et illustrateur, a étudié à l'École supérieure de bande dessinée et d’illustration - ESBDI (en 2026)</t>
  </si>
  <si>
    <t>Matthey, Pierre (1939-.... ; auteur sur les volcans)</t>
  </si>
  <si>
    <t>Collectionneur d'iconographie représentant des volcans</t>
  </si>
  <si>
    <t>Urach, Serge d' (1955-....)</t>
  </si>
  <si>
    <t>Artiste genevois</t>
  </si>
  <si>
    <t>Genève (canton ; Suisse). Département du territoire (2006-2010)</t>
  </si>
  <si>
    <t>De 1997 à 2005: Département de l'intérieur, de l'agriculture, de l'environnement et de l'énergie. De 2006 à 2010: Département du territoire. De 2010 à 2012: Département de l'intérieur et de la mobilité</t>
  </si>
  <si>
    <t>Marquis, Lionel (1970-.... ; politologue)</t>
  </si>
  <si>
    <t>Chercheur à l'Institut de science politique à Université de Berne en Suisse (en 2005). Maitre d'enseignement et de recherche à la Faculté des sciences sociales et politiques de l'Université de Lausanne (en 2026). Conseiller municipal à la commune de Russin, Genève, Suisse (en 2026)</t>
  </si>
  <si>
    <t>Globale locale (Genève, Suisse)</t>
  </si>
  <si>
    <t>Vuataz, Roger (1898-1988 ; compositeur)</t>
  </si>
  <si>
    <t>Pont, Jeanne (19..-....)</t>
  </si>
  <si>
    <t>Chargée de mission au Service de la promotion culturelle de la Ville de Genève</t>
  </si>
  <si>
    <t>Gallin, Dan</t>
  </si>
  <si>
    <t>Besson, François (1859-1927)</t>
  </si>
  <si>
    <t>Agriculteur, Conseiller d'Etat genevois de 1902-1909. Il dirigea la Caisse hypothécaire du canton de Genève de 1910 à 1927.</t>
  </si>
  <si>
    <t>Genève (canton ; Suisse). Département des constructions et des technologies de l'information (2006-2012)</t>
  </si>
  <si>
    <t>De 1997 à 2005: Département de l'aménagement, de l'équipement et du logement. De 2006 à juin 2012: Département des constructions et des technologies de l'information. Dès juillet 2012: Département de l'urbanisme</t>
  </si>
  <si>
    <t>Frison, Luc (19..-....)</t>
  </si>
  <si>
    <t>Membre fondateur de l’Association pour la Protection de l’Aire et de ses Affluents (APAA)</t>
  </si>
  <si>
    <t>Gozzi, Caroline (19..-....)</t>
  </si>
  <si>
    <t>Guerne, Frédy (19..-....)</t>
  </si>
  <si>
    <t>Ancien président de \"Mémoire de Confignon\"</t>
  </si>
  <si>
    <t>Genève (canton ; Suisse). Direction du développement urbain, région Lac-Nord (2021-....)</t>
  </si>
  <si>
    <t>Gaille, Hubert (19..-....)</t>
  </si>
  <si>
    <t>Enseignant à Perly puis à Onex</t>
  </si>
  <si>
    <t>Tappolet, Claude (1926-2019 ; musicologue)</t>
  </si>
  <si>
    <t>Musicologue ; spécialiste de la musique à Genève. Traduit de l'allemand en français</t>
  </si>
  <si>
    <t>Gautier-Van Berchem, Marguerite (1892-1984)</t>
  </si>
  <si>
    <t>Archéologue</t>
  </si>
  <si>
    <t>Société des arts (Genève, Suisse). Classe des beaux-arts</t>
  </si>
  <si>
    <t>Matthey, Pierre (1927-2014 ; artiste)</t>
  </si>
  <si>
    <t>Tréguier</t>
  </si>
  <si>
    <t>Artiste lié au courant de l'expression abstraite né à Genève en 1927. Il est enseignant à l'école des Beaux Arts de Paris de 1968 à 1992.</t>
  </si>
  <si>
    <t>Büchi, Thomas (1958-.... ; charpentier)</t>
  </si>
  <si>
    <t>Haute école spécialisée bernoise</t>
  </si>
  <si>
    <t>Charpentier et homme politique suisse</t>
  </si>
  <si>
    <t>Genève (canton ; Suisse). Département de l'intérieur et de la mobilité (2010-2012)</t>
  </si>
  <si>
    <t>De 2005 à 2010: Département du territoire. De 2010 à juin 2012: Département de l'intérieur et de la mobilité. De juillet 2012 à novembre 2013: Département de l'intérieur, de la mobilité et de l'environnement</t>
  </si>
  <si>
    <t>Roget, François Frédéric (1859-1938)</t>
  </si>
  <si>
    <t>Linguiste. - Philologue. - Professeur à l'Université de St. Andrews, GB (1892-1896), puis privat-docent à l'Université de Genève (1919)</t>
  </si>
  <si>
    <t>Croset, Laure Mi Hyun (1973)</t>
  </si>
  <si>
    <t>Écrivaine suisse. - Vit à Genève</t>
  </si>
  <si>
    <t>Falquet, Jean-Louis (1768-1842)</t>
  </si>
  <si>
    <t>Théatre de Carouge (Genève, Suisse ; 1959-....)</t>
  </si>
  <si>
    <t>Troupe de théâtre fondée en 1959, par François Simon, Philippe Mentha et Louis Gaulis. En 1972, elle obtient un lieu fixe. Il s'agit plutôt maintenant d'une salle de spectacle, dirigée par G. Wod</t>
  </si>
  <si>
    <t>Grenus, Jacques (1751-1819)</t>
  </si>
  <si>
    <t>Avocat et publiciste genevois</t>
  </si>
  <si>
    <t>Balavoine, Michael (19..-....)</t>
  </si>
  <si>
    <t>Journaliste RP, Michael Balavoine est rédacteur en chef du magazine et du site internet Planète Santé (planetesante.ch). - Il a étudié les Lettres et l'Informatique aux Universités de Genève et de Berlin. - Il suit actuellement une formation complémentaire au Zentrum Geschichte des Wissens de l'Ecole polytechnique fédérale de Zürich</t>
  </si>
  <si>
    <t>Amoudruz, Georges (1900-1975)</t>
  </si>
  <si>
    <t>Fondateur de la Société suisse de spéléologie, Grand collectionneur alpin</t>
  </si>
  <si>
    <t>Services industriels de Genève (Suisse)</t>
  </si>
  <si>
    <t>Pensionnat catholique international (Genève, Suisse)</t>
  </si>
  <si>
    <t>Pensionnat catholique pour jeunes filles dans le canton de Genève ; originairement à Carouge (Genève, Suisse), il déménage durant l'été 1932 à Ruth (Cologny, Genève, Suisse) dans le domaine Boissier. Le pensionnat devient en 1947 l'Institut Notre-Dame du Lac</t>
  </si>
  <si>
    <t>Parti libéral radical genevois (Suisse)</t>
  </si>
  <si>
    <t>Issu de la fusion le 24 mai 2011 du Parti libéral genevois et du Parti radical genevois</t>
  </si>
  <si>
    <t>Beerli, Conrad André (1915-2004)</t>
  </si>
  <si>
    <t>Saint-Gall</t>
  </si>
  <si>
    <t>Peintre et historien de l'art. Enseignant à l'École polytechnique fédérale de Lausanne (1965-1980), à l'Université de Genève (1954-1980), à la Pennsylvania State University et au Collège d'Europe à Bruges (en 1993)</t>
  </si>
  <si>
    <t>Genève (canton ; Suisse). Office cantonal des transports (2023-....)</t>
  </si>
  <si>
    <t>De 2013 à 2023: Direction générale des transports. Dès 2023: Office cantonal des transports | Magistrat en charge: Pierre Maudet</t>
  </si>
  <si>
    <t>Genève (canton ; Suisse). Direction du développement urbain - rive gauche (2014-2018)</t>
  </si>
  <si>
    <t>Directeur: Vincent Delabrière | Suite à la réorganisation de l’Office de l’urbanisme, la Direction des grands projets se scinde le 14 janvier 2014 en 3 directions du développement urbain : DDU rive droite, DDU rive gauche, DDU PAV/Interfaces CEVA</t>
  </si>
  <si>
    <t>Labarthe, Gilles (1968-.... ; journaliste)</t>
  </si>
  <si>
    <t>Journaliste et ethnologue suisse, spécialiste de l'Afrique</t>
  </si>
  <si>
    <t>Jemmely, Jenia (19..-....)</t>
  </si>
  <si>
    <t>Animatrice de yoga et philo-art ® basée à Genève</t>
  </si>
  <si>
    <t>Lazar, Oscar (1890-1968 ; portraitiste)</t>
  </si>
  <si>
    <t>Portraitiste d'origine hongroise (Racalmas) installé à Genève en 1924</t>
  </si>
  <si>
    <t>Mouchet, Sophie (19..-.... ; statisticienne)</t>
  </si>
  <si>
    <t>Responsable du domaine Population à l'Office cantonal de la statistique, Genève, Suisse (en 2026)</t>
  </si>
  <si>
    <t>Fabergé, Tatiana (1930-2020)</t>
  </si>
  <si>
    <t>Versonnex</t>
  </si>
  <si>
    <t>CERN</t>
  </si>
  <si>
    <t>Arrière-petite-fille de Pierre-Karl Fabergé, secrétaire en chef de la Division de physique théorique du CERN de 1957 jusqu'à sa retraite en 1995</t>
  </si>
  <si>
    <t>Delachaux, Yves Patrick (1966-2024 ; romancier)</t>
  </si>
  <si>
    <t>Policier. - Romancier</t>
  </si>
  <si>
    <t>Beaver, Jacqueline (19..-....)</t>
  </si>
  <si>
    <t>Coach en créativité, art-thérapeute basée à Genève</t>
  </si>
  <si>
    <t>Gautier, Jean-Antoine (1674-1729)</t>
  </si>
  <si>
    <t>Professeur de philosophie à l'Académie de Genève entre 1696 et 1723. Fils de Pierre, premier syndic en 1713, 1717 et 1721.</t>
  </si>
  <si>
    <t>Genève (canton ; Suisse). Service du plan directeur (....-2006)</t>
  </si>
  <si>
    <t>Devient en 2007: Direction de la planification directrice cantonale et régionale</t>
  </si>
  <si>
    <t>Gerber, Vincent (1983-....)</t>
  </si>
  <si>
    <t>Historien de formation. Fondateur de la plateforme Internet Ecologie sociale.ch, portail francophone sur l'écologie sociale</t>
  </si>
  <si>
    <t>Meylan, Jean (1915-1994 ; chef d'orchestre)</t>
  </si>
  <si>
    <t>Chef d'orchestre ; a débuté au Collegium Musicum de Genève</t>
  </si>
  <si>
    <t>Lachenal, Adrien (1885-1962)</t>
  </si>
  <si>
    <t>Homme politique et avocat genevois</t>
  </si>
  <si>
    <t>Grand théâtre (Genève, Suisse). Ballet</t>
  </si>
  <si>
    <t>Munier-Romilly, Amélie (1788-1875)</t>
  </si>
  <si>
    <t>Peintresse et graveuse suisse. Elève de Firmin-Massot, elle apprend à ses côtés les différentes techniques du dessin, du pastel et de la peinture à l'huile. Elle côtoie David, Horace Vernet et François Gérard. Elle épouse David Munier Entre 1820 et 1856, elle réalise plus de 2 500 tableaux et 5 500 portraits.</t>
  </si>
  <si>
    <t>Compagnon, François (19..-2021)</t>
  </si>
  <si>
    <t>Fut membre de Mémoire de Confignon</t>
  </si>
  <si>
    <t>Normandie, Jean-Louis de (1684-1741)</t>
  </si>
  <si>
    <t>1684</t>
  </si>
  <si>
    <t>1741</t>
  </si>
  <si>
    <t>Juge de Saint-Victor et Chapitre, une juridiction spécifique liée aux anciennes terres ecclésiastiques de Genève</t>
  </si>
  <si>
    <t>Borel, Corinne (1966-.... ; historienne d'art)</t>
  </si>
  <si>
    <t>Historienne d'art, spécialiste des armes anciennes. En poste au Musée d'art et d'histoire de Genève, Suisse depuis 1998</t>
  </si>
  <si>
    <t>Genève (canton ; Suisse). Département du territoire (2018-....)</t>
  </si>
  <si>
    <t>De novembre 2013 à 2018: Département de l'aménagement, du logement et de l'énergie. Dès le 22 mai 2018: Département du territoire</t>
  </si>
  <si>
    <t>Fondation Barbier-Mueller pour l'étude de la poésie italienne de la Renaissance (Genève, Suisse)</t>
  </si>
  <si>
    <t>Vautravers, Paul (19..-....)</t>
  </si>
  <si>
    <t>Membre fondateur de \"Mémoire de Confignon\". Membre de l’Association des Intérêts de Confignon dès 1972, dont il fut président de 1991 à 2001</t>
  </si>
  <si>
    <t>Pot, Thaïssa (20..-....)</t>
  </si>
  <si>
    <t>Graphiste diplômée du CFP Arts Genève</t>
  </si>
  <si>
    <t>Solari, Tomaso (1963-.... ; écrivain)</t>
  </si>
  <si>
    <t>Écrivain né en 1963 à Lugano, il passe sa jeunesse à Genève. - Il obtient en 1985 un Bachelor en Littérature Comparée de la City University of New York</t>
  </si>
  <si>
    <t>Vust, Mathias (1969-....)</t>
  </si>
  <si>
    <t>Botaniste, spécialiste des lichens, chercheur aux Conservatoire et Jardin botaniques de Genève en 2001</t>
  </si>
  <si>
    <t>Genève (canton ; Suisse). Département de l'intérieur, de l'agriculture et des affaires régionales (1990-1993)</t>
  </si>
  <si>
    <t>De 1916? à 1989: Département de l'intérieur et de l'agriculture. De 1990 à 1993: Département de l'intérieur, de l'agriculture et des affaires régionales. De 1994 à 1997: Département de l'intérieur, de l'environnement et des affaires régionales</t>
  </si>
  <si>
    <t>Genève (canton ; Suisse).  Département de l'intérieur, de l'environnement et des affaires régionales (1994-1997)</t>
  </si>
  <si>
    <t>De 1990 à 1993: Département de l'intérieur, de l'agriculture et des affaires régionales. De 1994 à 1997: Département de l'intérieur, de l'environnement et des affaires régionales. De 1998 à 2001: Département de l'intérieur, de l'agriculture, de l'environnement et de l'énergie</t>
  </si>
  <si>
    <t>Montfort, Hervé (19..-....)</t>
  </si>
  <si>
    <t>Directeur de l'Office cantonal de la statistique, Genève, Suisse (en 2017)</t>
  </si>
  <si>
    <t>L'Écurie (Genève, Genève, Suisse)</t>
  </si>
  <si>
    <t>Adresse : Rue de Montbrillant 14, 1201 Genève | Bar et salle de concert autogérée</t>
  </si>
  <si>
    <t>Rosier, William (1856-1924)</t>
  </si>
  <si>
    <t>Lancy</t>
  </si>
  <si>
    <t>Spécialiste de la Suisse. Géographe</t>
  </si>
  <si>
    <t>Diodati, Alexandre (1598-1676)</t>
  </si>
  <si>
    <t>1598</t>
  </si>
  <si>
    <t>1676</t>
  </si>
  <si>
    <t>Médecin dans les armées françaises ; nommé médecin de Louis XIII (vraisemblablement à titre honorifique) ; membre du Conseil des Deux-Cents dès 1629 ; actif lors de la dernière épidémie de peste que connaît Genève ; représentant du corps médical à la Chambre de la santé (1636-1676)</t>
  </si>
  <si>
    <t>CORREF (Genève, Suisse)</t>
  </si>
  <si>
    <t>Adresse : 1 rue des Barrières, 1204 Genève (depuis décembre 1977) | Association fondée à Genève en 1975 par une quarantaine de femmes féministes ; propose des stages pour des femmes âgée de 25 à 55 ans, sans emploi depuis au moins un an, qui souhaitent reprendre une activité professionnelle</t>
  </si>
  <si>
    <t>Budé, Eugène de (1836-1910)</t>
  </si>
  <si>
    <t>Fatio de Duillier, Jean-Christophe (1656-1720)</t>
  </si>
  <si>
    <t>1656</t>
  </si>
  <si>
    <t>1720</t>
  </si>
  <si>
    <t>Ingénieur aux fortifications de la ville de Genève, Suisse</t>
  </si>
  <si>
    <t>Genève (canton ; Suisse). Département de l'urbanisme (2012-2013)</t>
  </si>
  <si>
    <t>De 2006 à juin 2012: Département des constructions et des technologies de l'information. De juillet 2012 à 2013: Département de l'urbanisme. Dès fin 2013: Département de l'aménagement, du logement et de l'énergie</t>
  </si>
  <si>
    <t>Vuy, Jules (1815-1896)</t>
  </si>
  <si>
    <t>1815</t>
  </si>
  <si>
    <t>Copponex</t>
  </si>
  <si>
    <t>Université de Genève | université de Heidelberg</t>
  </si>
  <si>
    <t>Avocat. Littérateur</t>
  </si>
  <si>
    <t>Bassi, Andrea (1964-...)</t>
  </si>
  <si>
    <t>Architecte, diplomé de l'école d'architecture de l'université de Genève en 1991. Fondateur avec Roberto Carella du bureau BASSICARELLA ARCHITECTES en 2006. Enseignant à l'EPFL entre 2005 et 2015.</t>
  </si>
  <si>
    <t>Segond, Louis (1810-1885)</t>
  </si>
  <si>
    <t>1810</t>
  </si>
  <si>
    <t>Faculté de théologie protestante de Strasbourg</t>
  </si>
  <si>
    <t>Pasteur (à partir de 1840). Professeur à la Faculté de théologie de Genève (à partir de 1862) | Écrivit aussi en latin. Traduisit de l'hébreu, du grec, de l'allemand et de l'anglais en français. Traducteur de la Bible</t>
  </si>
  <si>
    <t>MacLeod, Stephan (1971-.... ; artiste lyrique)</t>
  </si>
  <si>
    <t>Artiste lyrique (baryton-basse), né à Genève</t>
  </si>
  <si>
    <t>Defauw, Patricia (19..-....)</t>
  </si>
  <si>
    <t>Fondatrice de l'Association J'aime ma Planète, Présidente de l'Association de 2006 à 2021</t>
  </si>
  <si>
    <t>Reuter, Georges François (1805-1872 ; naturaliste)</t>
  </si>
  <si>
    <t>École centrale Paris</t>
  </si>
  <si>
    <t>Naturaliste, directeur du Jardin botanique de Genève à partir de 1849</t>
  </si>
  <si>
    <t>Bonard, Claude (194.-.... ; historien)</t>
  </si>
  <si>
    <t>Ancien Secrétaire général de la Chancellerie d'Etat de Genève et délégué aux questions de politique de sécurité ; a servi de 1983 à 1995 en qualité d'officier spécialiste au sein du Service historique de l'armée suisse</t>
  </si>
  <si>
    <t>Chenu, Pascal (1957-....)</t>
  </si>
  <si>
    <t>Professeur de piano et d'improvisation à la Haute école de musique Genève - Neuchâtel et à l'Institut Jacques Dalcroze (en 2021)</t>
  </si>
  <si>
    <t>Les Amis de l'orgue de cinéma du collège Claparède (Genève, Genève, Suisse)</t>
  </si>
  <si>
    <t>Association ayant pour but de mettre en valeur l'orgue de cinéma « Wurlitzer » de 1937 se trouvant dans l'aula du collège Claparède</t>
  </si>
  <si>
    <t>Lieberherr-Gardiol, Françoise (1937-....)</t>
  </si>
  <si>
    <t>Écrit aussi en anglais. En poste à l'Institute of rural economics, Federal polytechnic, Zurich, Suisse (en 1987)</t>
  </si>
  <si>
    <t>Genève (canton ; Suisse). Département de justice et police et des transports (1993-2001)</t>
  </si>
  <si>
    <t>Jusqu'en 1993: Département de justice et police. De 1993 à 2001: Département de justice et police et des transports. Dès 2002: Département de justice, police et sécurité</t>
  </si>
  <si>
    <t>Jaquet, Anaïs (1907-1987)</t>
  </si>
  <si>
    <t>Favre, Louis (1826-1879 ; ingénieur)</t>
  </si>
  <si>
    <t>Chêne-Bourg</t>
  </si>
  <si>
    <t>Göschenen</t>
  </si>
  <si>
    <t>Ingénieur né à Chêne-Thônex, Suisse, mort à Göschenen</t>
  </si>
  <si>
    <t>Genève (canton ; Suisse). Département de l'intérieur, de la mobilité et de l'environnement (2012-2013)</t>
  </si>
  <si>
    <t>De 2010 à juin 2012: Département de l'intérieur et de la mobilité. De juillet 2012 à novembre 2013: Département de l'intérieur, de la mobilité et de l'environnement. De novembre 2013 à 2018: Département de l'environnement, des transports et de l'agriculture</t>
  </si>
  <si>
    <t>Genève (canton ; Suisse). Service Praille-Acacias-Vernets (2014-2015)</t>
  </si>
  <si>
    <t>Chef de service : Stéphane Thiebaud | Suite à la réorganisation de l’Office de l’urbanisme en juillet 2015 : devient la Direction DDU région Praille-Acacias-Vernets | Suite à la réorganisation de l’Office de l’urbanisme le 4 juin 2014 : suppression de la DDU PAV / Interfaces CEVA et création de deux services : Service interfaces CEVA et Service Praille-Acacias-Vernets</t>
  </si>
  <si>
    <t>Genève (canton ; Suisse). Département des infrastructures (2018-....)</t>
  </si>
  <si>
    <t>De à 2018: Département de l'environnement, des transports et de l'agriculture. Dès le 22 mai 2018: Département des infrastructures</t>
  </si>
  <si>
    <t>Mettan, Guy (1956-....)</t>
  </si>
  <si>
    <t>Evionnaz</t>
  </si>
  <si>
    <t>Journaliste, député et ancien président du Grand Conseil du canton de Genève (2024)</t>
  </si>
  <si>
    <t>Rabaeus, Nicolas (1984-.... ; compositeur)</t>
  </si>
  <si>
    <t>Compositeur de musique de film</t>
  </si>
  <si>
    <t>Starkenmann, Christian (19..-....)</t>
  </si>
  <si>
    <t>Deuxième président de l’Association pour la Protection de l’Aire et de ses Affluents (APAA)</t>
  </si>
  <si>
    <t>Besson, Edouard (1941-2024)</t>
  </si>
  <si>
    <t>Membre fondateur de Mémoire de Confignon, ancien employé des SIG</t>
  </si>
  <si>
    <t>Haute école d'art et de design (Genève, Suisse)</t>
  </si>
  <si>
    <t>Khosravi, Shiva (1987-....)</t>
  </si>
  <si>
    <t>Artiste d'origine iranienne, vivant et travaillant à Genève (Suisse)</t>
  </si>
  <si>
    <t>Genève (canton ; Suisse). Département de l'aménagement, du logement et de l'énergie (2013-2018)</t>
  </si>
  <si>
    <t>De juillet 2012 à 2013: Département de l'urbanisme. De fin 2013 à 2018: Département de l'aménagement, du logement et de l'énergie. Dès 2018: Département du territoire</t>
  </si>
  <si>
    <t>Aeschlimann, Jacques (1908-1975)</t>
  </si>
  <si>
    <t>Auteur dramatique de Suisse romande</t>
  </si>
  <si>
    <t>Autran, Eugène (1855-1912)</t>
  </si>
  <si>
    <t>Université de Buenos Aires</t>
  </si>
  <si>
    <t>Julliard, Gustave (1836-1911)</t>
  </si>
  <si>
    <t>Medecin | Membre de l'Académie de médecine, élu correspondant étranger pour la division de pathologie chirurgicale le 26 mars 1895</t>
  </si>
  <si>
    <t>Necker de Saussure, Albertine-Adrienne (1766-1841)</t>
  </si>
  <si>
    <t>1766</t>
  </si>
  <si>
    <t>Monnetier-Mornex</t>
  </si>
  <si>
    <t>Cousine de Madame de Staël (1766-1817). Femme de lettres genevoise</t>
  </si>
  <si>
    <t>Genève (canton ; Suisse). Département de justice et police (18..-1993)</t>
  </si>
  <si>
    <t>A partir de 1994: Département de justice et police et des transports‏</t>
  </si>
  <si>
    <t>Berguer, Georges (1873-1945)</t>
  </si>
  <si>
    <t>Professeur de psychologie de la religion à la Faculté de théologie de l'Eglise libre de Genève puis professeur de psychologie de la religion et d'histoire des religions à la Faculté autonome de théologie de l'Université de Genève</t>
  </si>
  <si>
    <t>Delapalud, Simon (1797-1877)</t>
  </si>
  <si>
    <t>Docteur en droit de Genève en 1822. Avocat dès 1822, greffier au tribunal de commerce (1825-1845), directeur du cadastre (1845-1846). Député au Conseil représentatif genevois (1828-1841)</t>
  </si>
  <si>
    <t>Bernard, Charles (1897-1939 ; directeur de la "Revue mensuelle")</t>
  </si>
  <si>
    <t>1897</t>
  </si>
  <si>
    <t>Directeur de la \"Revue mensuelle\"</t>
  </si>
  <si>
    <t>Maier, Eva (1928-2017 ; botaniste)</t>
  </si>
  <si>
    <t>Allemagne</t>
  </si>
  <si>
    <t>Gérard, Jean (15..?-1558)</t>
  </si>
  <si>
    <t>1558</t>
  </si>
  <si>
    <t>Imprimeur. Originaire de Suse, en Piémont, il est envoyé à Genève auprès de Guillaume Farel par les Vaudois piémontais et s'établit comme imprimeur. Recu bourgeois de Genève en 1541. Genève : 1536-1558</t>
  </si>
  <si>
    <t>Genève (canton ; Suisse). Direction Praille Acacias Vernets (2017-....)</t>
  </si>
  <si>
    <t>Suite à la réorganisation de l’Office de l’urbanisme en juillet 2017 la Direction DDU région Praille-Acacias-Vernets quitte l’Office de l’urbanisme pour rejoindre le Département du territoire et devenir la Direction Praille-Acacias-Vernets</t>
  </si>
  <si>
    <t>Barrientos, Azriel (19..-....)</t>
  </si>
  <si>
    <t>Campagnolo, Matteo (19..-.... ; numismate)</t>
  </si>
  <si>
    <t>Historien ; conservateur du cabinet de numismatique de Genève ; chargé d'enseignement à l'université de Genève, Unité d'archéologie classique (2009)</t>
  </si>
  <si>
    <t>Paroisse de Genève (Genève, Suisse)</t>
  </si>
  <si>
    <t>Paroisse catholique romaine</t>
  </si>
  <si>
    <t>Genève (canton ; Suisse). Direction des projets d'espaces publics (2021-....)</t>
  </si>
  <si>
    <t>Directeur : Philippe Viala | Suite à la réorganisation de l’Office de l’urbanisme en juin 2021 la Direction du développement urbain est scindée en 4 directions: Direction DDU Rhône-Ouest, Direction DDU Drize-Lac, Direction DDU Lac-Nord et Direction des projets d’espaces publics</t>
  </si>
  <si>
    <t>Dunant, Pierre-Louis (1834-1918)</t>
  </si>
  <si>
    <t>1834</t>
  </si>
  <si>
    <t>Interne en médecine et en chirurgie des hôpitaux de Paris, lauréat (Prix Esquirol) 1861, Médaille de bronze de l'assistance publique; professeur suppléant d'hygiène à la faculté des sciences de l'université de Genève en 1873, puis, dès la création de la faculté de médecine, professeur ordinaire de 1876 à 1889</t>
  </si>
  <si>
    <t>Genève (canton ; Suisse). Direction du développement urbain, région Rhône-Ouest (2021-....)</t>
  </si>
  <si>
    <t>Rougemont, Anne (19..-....)</t>
  </si>
  <si>
    <t>Journaliste et autrice genevoise</t>
  </si>
  <si>
    <t>Dominique Grenier Architecture SA (Genève, Suisse)</t>
  </si>
  <si>
    <t>Hartman, Dominique (19..-....)</t>
  </si>
  <si>
    <t>Journaliste pour le quotidien genevois \"Le Courrier\"</t>
  </si>
  <si>
    <t>Calvin, Jean (1509-1564)</t>
  </si>
  <si>
    <t>1509</t>
  </si>
  <si>
    <t>Noyon</t>
  </si>
  <si>
    <t>1564</t>
  </si>
  <si>
    <t>ancienne université d'Orléans | collège de la Marche | collège de Montaigu | université de Bourges | université d'Orléans</t>
  </si>
  <si>
    <t>Réformateur | Écrivait aussi en latin</t>
  </si>
  <si>
    <t>Hüssy, François (1956-....)</t>
  </si>
  <si>
    <t>Romancier. - Éducateur dans une école pour enfants handicapés</t>
  </si>
  <si>
    <t>Genève (canton ; Suisse). Direction du développement urbain région Praille-Acacias-Vernets (2015-2017)</t>
  </si>
  <si>
    <t>Directeur : Stéphane Thiebaud | Suite à la réorganisation de l’Office de l’urbanisme en juillet 2015 le Service Praille-Acacias-Vernets devient la Direction DDU région Praille-Acacias-Vernets | Suite à la réorganisation de l’Office de l’urbanisme en juillet 2017 la Direction DDU région Praille-Acacias-Vernets quitte l’Office de l’urbanisme pour rejoindre le Département du territoire et devenir la Direction Praille-Acacias-Vernets</t>
  </si>
  <si>
    <t>Attia, Naïla (19..-....)</t>
  </si>
  <si>
    <t>Genève (canton ; Suisse). Bureau de l'ingénieur de la circulation (1965-1985)</t>
  </si>
  <si>
    <t>Avant 1965, la gestion et l'organisation liées à la circulation étaient de la compétence de la Police | De 1965 à 1985: Bureau de l'ingénieur de la circulation. Dès 1985: Office des transports et de la circulation | Magistrat en charge de 1965 à 1973: Henri Schmitt. De 1973 à 1985: Guy Fontanet</t>
  </si>
  <si>
    <t>Genève (Genève, Suisse)</t>
  </si>
  <si>
    <t>Cette autorité est utilisée pour les textes émanant des autorités communales de Genève pendant la période française (1798-1813) et dès 1842, date où la Ville de Genève est créée en tant que commune politique indépendante | La commune de Genève prend sa forme actuelle en 1931, après la fusion avec les communes de Plainpalais, du Petit-Saconnex et des Eaux-Vives | Pour la période avant 1798, voir Genève (République). De 1815 à 1842, l'administration se confond avec celle du Canton</t>
  </si>
  <si>
    <t>Hôpiclowns (Genève)</t>
  </si>
  <si>
    <t>Association à but non lucratif qui offre des prestations clownesques régulières en milieu hospitalier et dans des institutions spécialisées du canton de Genève</t>
  </si>
  <si>
    <t>Chamay Berger, Pascale (19..-....)</t>
  </si>
  <si>
    <t>Journaliste à la Tribune des arts (en 1997). Enseignante spécialisée à l'État de Vaud, Suisse (en 2026). Fille de Jacques Chamay, ancien conservateur du Musée d'art et d'histoire de Genève</t>
  </si>
  <si>
    <t>Miège, Jacques (1914-1993)</t>
  </si>
  <si>
    <t>Titulaire d'un doctorat en Sciences naturelles, en 1952. - Directeur des Conservatoire et Jardin botaniques de la Ville de Genève de 1965 à 1979. - Professeur à l'Université de Genève de 1965 à 1985</t>
  </si>
  <si>
    <t>Brunschwig, Murielle (1977-....)</t>
  </si>
  <si>
    <t>Médiatrice culturelle au Musée d'art et d'histoire de Genève, Suisse (en 2026)</t>
  </si>
  <si>
    <t>Genève (canton ; Suisse). Cycle d'orientation</t>
  </si>
  <si>
    <t>Genève (canton ; Suisse). Département de la sécurité, de la population et de la santé</t>
  </si>
  <si>
    <t>A porté de 2018 à 2019 le nom de Département de la sécurité, de 2019 à 2021, Département de la sécurité de l'emploi et de la santé, puis, à partir de 2021, Département de la sécurité, de la population et de la santé</t>
  </si>
  <si>
    <t>Dussaud, B.</t>
  </si>
  <si>
    <t>Pictet-Diodati, Jean-Marc-Jules  (1768-1828)</t>
  </si>
  <si>
    <t>Holderegger Rossier, Katharina (1971-....)</t>
  </si>
  <si>
    <t>Historienne d'art</t>
  </si>
  <si>
    <t>Fliedner, Victoria von (1983-....)</t>
  </si>
  <si>
    <t>Styliste</t>
  </si>
  <si>
    <t>Comité de la Sélection des vins de Genève</t>
  </si>
  <si>
    <t>Comité en charge de l'organisation de l’événement annuel Sélection des vins de Genève</t>
  </si>
  <si>
    <t>Genève (Suisse). Conseil administratif‏</t>
  </si>
  <si>
    <t>Oldès, Richard (19..-....)</t>
  </si>
  <si>
    <t>Auteur genevois de fictions en style cinématographique</t>
  </si>
  <si>
    <t>Genève (canton ; Suisse). Conseil d'État</t>
  </si>
  <si>
    <t>Deonna, Waldemar (1880-1959)</t>
  </si>
  <si>
    <t>École française d'Athènes</t>
  </si>
  <si>
    <t>Professeur à l'Université de Genève, Directeur du Musée d'art et d'histoire de Genève, Conservateur du Musée archéologique de Genève (en 1922)</t>
  </si>
  <si>
    <t>Py, Albert (1923-2013)</t>
  </si>
  <si>
    <t>Bienne</t>
  </si>
  <si>
    <t>Professeur de lettres à l'Université de Genève, Suisse (dès 1985)</t>
  </si>
  <si>
    <t>Schweizer, François (1940-2026 ; archéologue)</t>
  </si>
  <si>
    <t>Université de Californie à Berkeley</t>
  </si>
  <si>
    <t>Responsable du Laboratoire de restauration des Musées d'art et d'histoire de Genève (1974-2002)</t>
  </si>
  <si>
    <t>Cochet, Florence (1976-....)</t>
  </si>
  <si>
    <t>Autrice genevoise et enseignante de français</t>
  </si>
  <si>
    <t>Mallet, Édouard (18..-19.. ; chimiste)</t>
  </si>
  <si>
    <t>Ballexserd, Jacques (1726-1774)</t>
  </si>
  <si>
    <t>1726</t>
  </si>
  <si>
    <t>Citoyen de Genève</t>
  </si>
  <si>
    <t>Marquis, Clairette (1942-....)</t>
  </si>
  <si>
    <t>Seni, Allain (19..-....)</t>
  </si>
  <si>
    <t>Réalisateur de films documentaires</t>
  </si>
  <si>
    <t>ATB&amp;D (Genève, Suisse)</t>
  </si>
  <si>
    <t>Association d’entraide autogérée par des personnes vivant avec des troubles de l’humeur, bipolarité ou dépression située à Genève.</t>
  </si>
  <si>
    <t>Naville, Marguerite (1852-1930)</t>
  </si>
  <si>
    <t>1852</t>
  </si>
  <si>
    <t>Dessinatrice, égyptologue, épouse de l'égyptologue Edouard Naville</t>
  </si>
  <si>
    <t>Bordier, Ami (1841-1920)</t>
  </si>
  <si>
    <t>Agent de change et banquier genevois né à Versoix (Genève) et décédé en 1920</t>
  </si>
  <si>
    <t>Berger, Katia (19..-....)</t>
  </si>
  <si>
    <t>Journaliste et traductrice. - Auteur de la postface d'un livre de photographies</t>
  </si>
  <si>
    <t>Privat, Eugène (1857-1921)</t>
  </si>
  <si>
    <t>Avocat genevois</t>
  </si>
  <si>
    <t>Monnier, Claude (1897-1973)</t>
  </si>
  <si>
    <t>Études à la Sorbonne, secrétaire de Jacques Rivière, employé par Payot-Genève puis dans d'autres activités commerciales</t>
  </si>
  <si>
    <t>Monnier, Claude (19..-.... ; romanicer)</t>
  </si>
  <si>
    <t>Le Fort, Henri (1855-1932)</t>
  </si>
  <si>
    <t>Juriste genevois. - Pionnier d’un vaste recueil documentaire dit de « biographie genevoise », qui compte aujourd’hui cent trente volumes</t>
  </si>
  <si>
    <t>Guisan, Olivier (1938-....)</t>
  </si>
  <si>
    <t>Titulaire d'un doctorat en physique nucléaire (Université de Paris, 1964) s'est reconverti en physique solaire</t>
  </si>
  <si>
    <t>Léger, Antoine (1652-1719)</t>
  </si>
  <si>
    <t>1652</t>
  </si>
  <si>
    <t>1719</t>
  </si>
  <si>
    <t>Pasteur, professeur de philosophie et de théologie, recteur de l'Académie de Genève</t>
  </si>
  <si>
    <t>Sab Ri (19..-....)</t>
  </si>
  <si>
    <t>Poétesse</t>
  </si>
  <si>
    <t>Turrettini, François-Jean (1690-1765)</t>
  </si>
  <si>
    <t>1690</t>
  </si>
  <si>
    <t>1765</t>
  </si>
  <si>
    <t>Cramer, Philibert (1727-1779 ; imprimeur-libraire)</t>
  </si>
  <si>
    <t>1727</t>
  </si>
  <si>
    <t>Imprimeur-libraire à Genève</t>
  </si>
  <si>
    <t>Frei &amp; Stefani (Genève, Suisse)</t>
  </si>
  <si>
    <t>Architectes associés Raffaele Stefani et Jean-Pierre Stefani</t>
  </si>
  <si>
    <t>Candolle, Roger de (1905-1989)</t>
  </si>
  <si>
    <t>Banquier et amateur de dendrologie. - Descendant d'Augustin Pyramus de Candolle (1778-1841)</t>
  </si>
  <si>
    <t>Musée des arts décoratifs (Genève, Genève, Suisse)</t>
  </si>
  <si>
    <t>Une partie des collections sont intégrées en 1910 au Musée d'art et d'histoire, le reste des collections est également transféré au Musée d'art et d'histoire à sa fermeture en 1944</t>
  </si>
  <si>
    <t>Théâtre de l'Esquisse (Genève, Suisse)</t>
  </si>
  <si>
    <t>Compagnie de création théâtrale composée d’acteurs en situation de handicap mental développée au sein de l’association Autrement-Aujourd’hui.</t>
  </si>
  <si>
    <t>Bretton, Marc (19..-....)</t>
  </si>
  <si>
    <t>Journaliste genevois</t>
  </si>
  <si>
    <t>Gallatin, Ezéchiel (1685-1734)</t>
  </si>
  <si>
    <t>1685</t>
  </si>
  <si>
    <t>1734</t>
  </si>
  <si>
    <t>Pasteur et professeur à l’Université de Genève</t>
  </si>
  <si>
    <t>Grand théâtre (Genève, Suisse). Orchestre</t>
  </si>
  <si>
    <t>Rappaz, Diane (19..-....)</t>
  </si>
  <si>
    <t>Responsable des activités Jeunesse au WWF (en 2026)</t>
  </si>
  <si>
    <t>La Rue, Gédéon de (1690-1743)</t>
  </si>
  <si>
    <t>1743</t>
  </si>
  <si>
    <t>Magistrat de la République de Genève</t>
  </si>
  <si>
    <t>Girard, Pierre (1892-1956)</t>
  </si>
  <si>
    <t>Poète, romancier et journaliste suisse de langue française</t>
  </si>
  <si>
    <t>Canonica, Roger (1925-1990)</t>
  </si>
  <si>
    <t>Avocat, bâtonnier. - Fondateurs de CANONICA &amp; Associés Genève en 1953</t>
  </si>
  <si>
    <t>Noverraz, Henri (1915-2002)</t>
  </si>
  <si>
    <t>Écrivain, poète et peintre</t>
  </si>
  <si>
    <t>Štern, Lina Solomonovna (1878-1968)</t>
  </si>
  <si>
    <t>Kaunas</t>
  </si>
  <si>
    <t>Née en 1878 en Lituanie, ex-URSS. - Etudes de médecine à Genève, doctorat (1903). Assistante au laboratoire de physiologie de l'université de Genève dirigé par Jean-Louis Prevost (1905), Lina Stern est privat-docent dès 1906, publiant d'importants travaux sur le métabolisme oxydatif. - Première femme nommée professeur extraordinaire à l'université de Genève (1918), elle y est chargée de l'enseignement de la chimie physiologique. - Membre de l'Académie des sciences de l'URSS. Specialisté en respiration celullaire. - Décédée en mars 1968 à Moscou</t>
  </si>
  <si>
    <t>Montandon, Cléopâtre (1941-....)</t>
  </si>
  <si>
    <t>Anthropologue et sociologue suisse d'origine grecque. Professeur ordinaire à la Faculté de psychologie et des sciences de l'éducation de l'Université de Genève, Suisse, de 1984 à 2002</t>
  </si>
  <si>
    <t>Carouge (Genève, Suisse)</t>
  </si>
  <si>
    <t>1816</t>
  </si>
  <si>
    <t>Commune du canton de Genève depuis 1816</t>
  </si>
  <si>
    <t>Siebenthal, Christian de (19..-....)</t>
  </si>
  <si>
    <t>Directeur sécurité GIAC (basé au Grand-Lancy) et rédacteur fiches du Guide Orange</t>
  </si>
  <si>
    <t>Roselli, Sophie (1977-....)</t>
  </si>
  <si>
    <t>Journaliste RP depuis 2003, née en 1977</t>
  </si>
  <si>
    <t>Bourrit, Marc-Théodore (1739-1819)</t>
  </si>
  <si>
    <t>Historien. - Peintre et graveur. - Alpiniste. - Né à Genève (Suisse), mort à Lancy (Suisse, GE)</t>
  </si>
  <si>
    <t>Grillet, Maud (19..-....)</t>
  </si>
  <si>
    <t>Titulaire d'un DEA en histoire de l'art et d'une formation en muséologie. - Elle a dirigé entre 2009 et 2013 le secteur de l'Accueil des publics et de la médiation culturelle des MAH ainsi que le pôle des Publics. - Directrice de la Galerie Terra Viva</t>
  </si>
  <si>
    <t>Favre, William (1843-1918)</t>
  </si>
  <si>
    <t>Revilliod, Eugène (1857-1931)</t>
  </si>
  <si>
    <t>Médecin. - Diplôme de médecine à l’Université de Genève (1879) ; doctorat à l’Université de Paris (1886) | Médecin. A été interne à l'Hôpital Trousseau (Paris) et membre correspondant de la Société anatomique de Paris.</t>
  </si>
  <si>
    <t>Hamwey, Robert (19..-....)</t>
  </si>
  <si>
    <t>Travaille à l’ONU, division du commerce et du développement (CNUCED), Genève</t>
  </si>
  <si>
    <t>Chaillot, Christine (1950-....)</t>
  </si>
  <si>
    <t>Ecrit aussi en anglais | Née à Genève en 1950. - Inter-Orthodox Dialogue, France. - Spécialiste des églises orientales</t>
  </si>
  <si>
    <t>Fol, Hermann (1845-1892)</t>
  </si>
  <si>
    <t>Saint-Mandé</t>
  </si>
  <si>
    <t>mer</t>
  </si>
  <si>
    <t>Etudes de sciences à Genève, puis de médecine et de zoologie à Iéna, Heidelberg, Zurich et Berlin (doctorat en médecine en 1869). Il renonce à la médecine et fonde en 1880 à Villefranche-sur-Mer un laboratoire de biologie marine (directeur adjoint, 1886-1892). Professeur d'embryologie dès 1878, puis de morphologie générale (1885-1886) à Genève. Spécialiste des mécanismes de la fécondation, il fait autorité dans l'embryologie des mollusques. Il a été le premier à observer la pénétration du zoosperme dans l'œuf d'une étoile de mer (1877). Fondateur et éditeur (1883-1892) du Recueil zoologique suisse. On le considère comme le père de la cytologie moderne. Chevalier de la Légion d'honneur. Disparu en mer en mars 1892</t>
  </si>
  <si>
    <t>Closset, Fernand (1886-1962)</t>
  </si>
  <si>
    <t>Violoniste, compositeur et chef d'orchestre</t>
  </si>
  <si>
    <t>Sartoris, Jean-Pierre (1706-1780)</t>
  </si>
  <si>
    <t>Avocat et homme politique genevois</t>
  </si>
  <si>
    <t>Banque hypothécaire du canton de Genève (Suisse)</t>
  </si>
  <si>
    <t>Devient le 1er janvier 1994 par fusion avec la Caisse d'épargne: Banque cantonale de Genève</t>
  </si>
  <si>
    <t>Mumbela M'bemba, Hugues (19..-....)</t>
  </si>
  <si>
    <t>Bréguet, Esther (1905-1990)</t>
  </si>
  <si>
    <t>Latiniste. - Professeur honoraire à l’Université de Genève</t>
  </si>
  <si>
    <t>Nicolet, Marius (2013-.... ; illustrateur)</t>
  </si>
  <si>
    <t>Rochemont, Ami de (1727-1798)</t>
  </si>
  <si>
    <t>Rochemont, Ami de (1727-1798), né à Genève. Formation à Genève et consacré pasteur en 1751. Gouverneur à Utrecht et Amerongen de Frederik Christiaan et Arend Willem van Reede (1755-1763) avec qui il fait un séjour en Suisse (1758-1761). Retourne à Genève en 1764</t>
  </si>
  <si>
    <t>Chambaz, Daniel (19..-....)</t>
  </si>
  <si>
    <t>Doctorat en chimie analytique de l’environnement, université de Genève (1991) ; Office fédéral de l’environnement, Berne (1992-1998) ; Directeur du service cantonal de gestion de déchets, Genève (1999-2006) ; Directeur général de l’office cantonal de l’environnement, Genève (2007-2021) ; Conseiller municipal, Russin (GE) (2020-2026)</t>
  </si>
  <si>
    <t>Axpe, Ana (1968-....)</t>
  </si>
  <si>
    <t>Artiste argentine née en 1968. - Etablie à Genève</t>
  </si>
  <si>
    <t>Ernst, Axel (1942-....)</t>
  </si>
  <si>
    <t>Peintre, dessinateur, illustrateur</t>
  </si>
  <si>
    <t>Monnier, Philippe (1864-1911)</t>
  </si>
  <si>
    <t>Poète et essayiste. Chroniqueur de la vie suisse du 19e s. et auteur de fresques historiques consacrées à l'Italie</t>
  </si>
  <si>
    <t>Rauss-Chauveton, Denise (19..-....)</t>
  </si>
  <si>
    <t>Illustratrice genevoise</t>
  </si>
  <si>
    <t>Musées d'art et d'histoire (Genève, Suisse). Accueil des publics</t>
  </si>
  <si>
    <t>Monti, Brigitte (19..-....)</t>
  </si>
  <si>
    <t>Historienne de l'art indépendante, spécialisée en recherche de provenance. Collaboratrice scientifique au Musée d'Art et d'Histoire depuis 1993</t>
  </si>
  <si>
    <t>Deonna, Laurence (1937-2023)</t>
  </si>
  <si>
    <t>Journaliste et photographe. Auteure de récits de voyage et de témoignages</t>
  </si>
  <si>
    <t>Vallette, Arnold</t>
  </si>
  <si>
    <t>Médecin genevois, traduit de l'allemand en français</t>
  </si>
  <si>
    <t>Manen, Jean-François (1946-....)</t>
  </si>
  <si>
    <t>Biologiste généticien en poste à l'Université de Genève, Suisse (en 2005)</t>
  </si>
  <si>
    <t>Calcio, Jean-Antoine (1948-....)</t>
  </si>
  <si>
    <t>Journaliste genevois, créateur du journal \"Le Sport\"</t>
  </si>
  <si>
    <t>Colladon, Jean-Daniel (1802-1893 ; professeur de mécanique)</t>
  </si>
  <si>
    <t>1802</t>
  </si>
  <si>
    <t>collège Calvin | université de Paris</t>
  </si>
  <si>
    <t>École centrale Paris | Université de Genève</t>
  </si>
  <si>
    <t>Professeur de mécanique à l'École centrale de Paris et à l'Université de Genève.- Professeur émerite de l'École centrale des Arts et Manufacutres de Paris et de l'Université de Genève, Correspondant de l'Académie des Sciences de Paris, de l'Académie royale des Sciences de Turin, des Sociétés Philomanique de Paris, Géologique de Vienne, des Sciences et des Arts de Lille et Cherbourg, des Arts, de Physique et d'Histoire naturelle de Genève, etc.</t>
  </si>
  <si>
    <t>Gacem, Brahim (19..-....)</t>
  </si>
  <si>
    <t>Économiste</t>
  </si>
  <si>
    <t>Oppikofer, Thierry (1957-....)</t>
  </si>
  <si>
    <t>Journaliste. Directeur du Journal de l'immobilier. Député au Grand Conseil de Genève, Suisse pour la législature 2023-2028</t>
  </si>
  <si>
    <t>Devanthéry, Georgette (1941-....)</t>
  </si>
  <si>
    <t>Auteur de livres pour la jeunesse</t>
  </si>
  <si>
    <t>Halle Nord (Genève, Suisse)</t>
  </si>
  <si>
    <t>1 pl. de l'Ile, 1204 Genève. Tél. +4122 312 12 30 | De 1981 à 1987: Centre d'art visuel. De 1987 à 1991: Halle Sud. De 1991 à 2008: Centre d'art en l'Ile. Dès 2009: Halle Nord | Espace d'art contemporain qui se situe aux Halles de l'île en plein cœur de Genève, Suisse</t>
  </si>
  <si>
    <t>Perrelet, Paul (1872-1965)</t>
  </si>
  <si>
    <t>Paul Auguste Perrelet, né le 17 septembre 1872 à Genève et mort le 19 avril 1965 à Buchillon, est un artiste peintre suisse</t>
  </si>
  <si>
    <t>Koechlin, René (19..-.... ; philosophe)</t>
  </si>
  <si>
    <t>Philosophe. Architecte. Président du Grand Conseil genevois en 1997-98. A publié une demi douzaine d'ouvrages tantôt techniques, tantôt philosophiques, tantôt littéraires</t>
  </si>
  <si>
    <t>Thoire, Roger-Villard de (1907-1988)</t>
  </si>
  <si>
    <t>Conseiller, Délégation permanente de l'Ordre Souverain de Malte auprès des organisations internationales, Genève</t>
  </si>
  <si>
    <t>Mutton, Adrien (19..-....)</t>
  </si>
  <si>
    <t>Chef de projet Espaces publics à l’État de Genève</t>
  </si>
  <si>
    <t>Du Bois, Vincent (19..-….)</t>
  </si>
  <si>
    <t>École de l'Institut d'art de Chicago</t>
  </si>
  <si>
    <t>Sculpteur sur pierre genevois</t>
  </si>
  <si>
    <t>Bernasconi, Alessandra (19..-....)</t>
  </si>
  <si>
    <t>Bibliothécaire à la ville de Genève</t>
  </si>
  <si>
    <t>Maye, Saskia (1997-....)</t>
  </si>
  <si>
    <t>Diplômée en Digital marketing et communication. Auxiliaire réalisatrice multimédia au Musée d'ethnographie de Genève (2022-2025)</t>
  </si>
  <si>
    <t>Gautier, Léon (1853-1916 ; médecin)</t>
  </si>
  <si>
    <t>Médecin et historien</t>
  </si>
  <si>
    <t>Meier + associés architectes (Genève, Suisse)</t>
  </si>
  <si>
    <t>Adresse : rue du Môle 38bis, 1201 Genève, Suisse | Agence d'architecture basée à Genève, créée en 1998 par Philippe Meier (1962) et Ariane Poncet (1966). Rejointe par Franck Herbert (2001-2011), Jean-Daniel Pasquettaz (2003-2011), puis en 2011 par Martin Jaques et Ana-Inès Pepermans</t>
  </si>
  <si>
    <t>Bétant, Alfred (18..-19..)</t>
  </si>
  <si>
    <t>Ingénieur. - Directeur du service des eaux de la ville de Genève</t>
  </si>
  <si>
    <t>Monnier, Claude (19..-.... ; psychologue)</t>
  </si>
  <si>
    <t>Collaboratrice du psychologue suisse Jean Piaget</t>
  </si>
  <si>
    <t>Musée archéologique (Genève, Genève, Suisse)</t>
  </si>
  <si>
    <t>Devient en 1910: Musée d'art et d'histoire</t>
  </si>
  <si>
    <t>Tatzber, Leyla (19..-....)</t>
  </si>
  <si>
    <t>Romancière. - Enseigne et vit à Genève</t>
  </si>
  <si>
    <t>Christeller, Laurent (19..-….)</t>
  </si>
  <si>
    <t>Archiviste. - Responsable des archives historiques du groupe Pictet et en charge de la Fondation des archives de la famille Pictet à Genève</t>
  </si>
  <si>
    <t>Briggs, Jeanne (19..-....)</t>
  </si>
  <si>
    <t>Responsable des animations pour les écoles et les crèches au WWF (en 2026)</t>
  </si>
  <si>
    <t>Theurillat, Herbert (1896-1987)</t>
  </si>
  <si>
    <t>Artiste né à Saint-Imier en 1896 et décédé à Collonge-Bellerive en 1987</t>
  </si>
  <si>
    <t>Vernay, Éliane (1948-....)</t>
  </si>
  <si>
    <t>Fleurier</t>
  </si>
  <si>
    <t>Probablement suisse. Dirige les Editions E. Vernay à Genève</t>
  </si>
  <si>
    <t>Wenger, Thierry (19..-....)</t>
  </si>
  <si>
    <t>Ecrivain genevois</t>
  </si>
  <si>
    <t>Jenni, Jean-François (1948-....)</t>
  </si>
  <si>
    <t>Réside à Vésenaz (Genève, Suisse). - Ecrivain et auditeur expert professionnel en systèmes de management</t>
  </si>
  <si>
    <t>Musée épigraphique (Genève, Genève, Suisse)</t>
  </si>
  <si>
    <t>Ferrier, Ariane (1958-2017 ; journaliste)</t>
  </si>
  <si>
    <t>Guerdan, René (1912-1990)</t>
  </si>
  <si>
    <t>16e arrondissement de Paris</t>
  </si>
  <si>
    <t>Historien, biographe et romancier, docteur en Droit de la Faculté de Paris, diplômé d'économie politique à l'Université de Cambridge, attaché à l'ONU qu'il quitte en 1955 pour se consacrer à la littérature historique. Né dans le 16e arrondissement de Paris, décédé à Genève (Suisse)</t>
  </si>
  <si>
    <t>Martin, Denise (1944-....)</t>
  </si>
  <si>
    <t>Caisse d'épargne (Genève, Suisse)</t>
  </si>
  <si>
    <t>Devient le 1er janvier 1994, par fusion avec la Banque hypothécaire: Banque cantonale de Genève</t>
  </si>
  <si>
    <t>Loup, Douna (1982-....)</t>
  </si>
  <si>
    <t>Wohlschlag, Cyrille (1975-....)</t>
  </si>
  <si>
    <t>Guide touristique genevois</t>
  </si>
  <si>
    <t>Lazaridis, Anastasia Danaé (19..-2017)</t>
  </si>
  <si>
    <t>Le Pirée</t>
  </si>
  <si>
    <t>Helléniste, chargée d'enseignement à l'Unité de grec moderne de l'Université de Genève de 1981 à 2017 ; responsable de cette Unité de 2013 à 2017</t>
  </si>
  <si>
    <t>Senarclens, Victor de (1875-1957)</t>
  </si>
  <si>
    <t>Médecin genevois. - Un des fondateurs de l'Association du Coin de Terre</t>
  </si>
  <si>
    <t>Maurice, Pierre (1868-1936 ; compositeur)</t>
  </si>
  <si>
    <t>Allaman</t>
  </si>
  <si>
    <t>Compositeur. - Pierre Maurice est né à Allaman (Suisse) en 1868. Il accomplit ses études au Collège de Genève. Auteur de plusieurs mélodies, de la suite symphonique Pêcheurs d'Islande (suite symphonique) d'après Pierre Loti en 1895, de La fille de Jephté (drame biblique) en 1899, Le drapeau blanc (opéra en un acte) en 1903...Il s'installe à Munich en 1900. Pierre Maurice regagne la Suisse où il meurt à Allaman en 1936.</t>
  </si>
  <si>
    <t>Eynard, Jean-Louis (1691-1782)</t>
  </si>
  <si>
    <t>1691</t>
  </si>
  <si>
    <t>1782</t>
  </si>
  <si>
    <t>Né à Genève en 1691, décédé à Genève en 1782. - Juriste et négociant</t>
  </si>
  <si>
    <t>Chastel, Étienne (1801-1886)</t>
  </si>
  <si>
    <t>Pasteur et historien genevois. - Professeur de théologie historique à l'Université de Genève (en 1881)</t>
  </si>
  <si>
    <t>Drompt, Laura (198.-....)</t>
  </si>
  <si>
    <t>Titulaire d’un bachelor en archéologie et égyptologie (Université de Genève), et d’un master en journalisme (Université de Neuchâtel). - Laura Drompt, 37 ans, est rédactrice en chef adjointe des magazines Bon à Savoir et Ma Santé, où elle exerce depuis 2021. - Entre 2012 et 2021, elle a été chargée de la rubrique suisse puis corédactrice en chef du quotidien Le Courrier.</t>
  </si>
  <si>
    <t>Mottier, Yvette (19..-....)</t>
  </si>
  <si>
    <t>Conservatrice en chef du département d'archéologie, Musée d'art et d'histoire de Genève (en 1989)</t>
  </si>
  <si>
    <t>Calandrini, Jean-Louis (1703-1758)</t>
  </si>
  <si>
    <t>1703</t>
  </si>
  <si>
    <t>1758</t>
  </si>
  <si>
    <t>Professeur de philosophie et de mathématiques, botaniste, conseiller d'État et trésorier de la République de Genève</t>
  </si>
  <si>
    <t>Riedlinger, Albert (1882-1978)</t>
  </si>
  <si>
    <t>Maître au Collège de Genève au temps de la première guerre mondiale. Linguiste.</t>
  </si>
  <si>
    <t>Perriard, Anaëlle (20..-....)</t>
  </si>
  <si>
    <t>Jeune artiste suisse formée à la HEAD de Genève. Elle pratique essentiellement la peinture, mais également l'installation, la micro-édition, la photographie et le tatouage</t>
  </si>
  <si>
    <t>Greco, Valentine (19..-.... ; conservatrice)</t>
  </si>
  <si>
    <t>Valentine Greco travaille au Musée d'art et d'histoire de Genève depuis 1995. - Conservatrice-restauratrice de cadres (dès 2005).</t>
  </si>
  <si>
    <t>Rapin, Simone (1901-1988)</t>
  </si>
  <si>
    <t>Poétesse, originaire de Payerne, Suisse, études de lettres à l'université de Lausanne puis à la Sorbonne. Décédée à Genève</t>
  </si>
  <si>
    <t>Zobele, Fabrice (19..-....)</t>
  </si>
  <si>
    <t>Géographe-urbaniste (Master en développement territorial de l’Université de Genève)</t>
  </si>
  <si>
    <t>Cellérier, Charles (1818-1889)</t>
  </si>
  <si>
    <t>Caille, Louis Antoine (1733-1805)</t>
  </si>
  <si>
    <t>1733</t>
  </si>
  <si>
    <t>Imprimeur et libraire genevois</t>
  </si>
  <si>
    <t>Le Fort, Charles (1821-1888 ; juriste)</t>
  </si>
  <si>
    <t>Professeur. Juriste</t>
  </si>
  <si>
    <t>Musée d'art et d'histoire (Genève, Suisse). Cabinet d'arts graphiques (2010-...)</t>
  </si>
  <si>
    <t>Suite à la réorganisation des Musées d'art et d'histoire de Genève en 2010, les collections de dessins et d’estampes sont réunies au sein du Cabinet d’arts graphiques</t>
  </si>
  <si>
    <t>Chuat, Gilbert (1950-....)</t>
  </si>
  <si>
    <t>A étudié à l'École d'architecture de Genève, Suisse, dans les années 70</t>
  </si>
  <si>
    <t>Bernard, Daniel (1950-.... ; romancier et cinéaste)</t>
  </si>
  <si>
    <t>Conservatoire de musique de Genève | École-club Migros</t>
  </si>
  <si>
    <t>France Loisirs | Léman Bleu | Radio chrétienne francophone</t>
  </si>
  <si>
    <t>Romancier, cinéaste, rédacteur en chef de France loisirs Suisse (depuis 2009)</t>
  </si>
  <si>
    <t>Maison de quartier Asters-Servette (Genève, Suisse)</t>
  </si>
  <si>
    <t>Tavan, Édouard (1842-....)</t>
  </si>
  <si>
    <t>Édouard Tavan est un poète suisse de style parnassien, né à Genève le 18 mai 1842 et mort le 3 août 1919 dans la même ville, où il fut professeur de latin</t>
  </si>
  <si>
    <t>Musée d'art et d'histoire (Genève, Suisse)</t>
  </si>
  <si>
    <t>Le Musée d'art et d'histoire de Genève a été constitué par une partie des collections du Musée des beaux-arts (actuellement Musée Rath). Il est issu en 1910 de la fusion des Musée des beaux-arts, Musée archéologique, Musée des arts décoratifs (une partie des collections en 1910, l'autre en 1944), Musée Fol et Musée épigraphique | Rue Charles Galland, 2. CH-1206 Genève. Tel. 41(0)22 418 26 00</t>
  </si>
  <si>
    <t>Archives d'État (Genève, Genève, Suisse)</t>
  </si>
  <si>
    <t>Marteau, Jean (1903-1970)</t>
  </si>
  <si>
    <t>Journaliste et écrivain né et mort à Genève, Suisse. - Titulaire d'une licence en droit de l'Université de Genève. - En poste à la Tribune de Genève (1935-1968). - A traduit de l'allemand en français</t>
  </si>
  <si>
    <t>Cuénoud, Philippe (1968-....)</t>
  </si>
  <si>
    <t>Philippe Cuénoud (né le 8 juillet 1968) est un entomologiste et botaniste suisse, installé à Onex (près de Genève)</t>
  </si>
  <si>
    <t>Centre de Bilan Genève (Grand-Lancy, Suisse)</t>
  </si>
  <si>
    <t>Pérusset, Elisabeth (1939-....)</t>
  </si>
  <si>
    <t>Ateliers des Charmilles (Genève, Genève, Suisse)</t>
  </si>
  <si>
    <t>Inf-eau-déchets (Genève, Suisse)</t>
  </si>
  <si>
    <t>Création du service d'information \"Inf-eau-déchets\" sous le mandat de Christian Grobet (Département des travaux publics), initialement pour sensibiliser au tri des déchets et à la gestion de l'eau | Le service s'élargit à l'ensemble des thématiques environnementales et devient \"Environnement-Info\" en 2001</t>
  </si>
  <si>
    <t>Naville, François-André (1752-1794)</t>
  </si>
  <si>
    <t>1794</t>
  </si>
  <si>
    <t>citoyen de Genève, homme politique</t>
  </si>
  <si>
    <t>Gallatin, Albert (1761-1849)</t>
  </si>
  <si>
    <t>1761</t>
  </si>
  <si>
    <t>Astoria</t>
  </si>
  <si>
    <t>Université Harvard | Université de New York | département du Trésor des États-Unis</t>
  </si>
  <si>
    <t>Homme d'état américain, né à Genève. sénateur;Secrétaire du Trésor</t>
  </si>
  <si>
    <t>Bisang, Anne (1961-.... ; metteur en scène)</t>
  </si>
  <si>
    <t>Metteur en scène. - Directrice de la Comédie de Genève de 1999 à 2011, puis dirige le Théâtre populaire romand à La Chaux-de-Fonds de 2014 à 2026. - A étudié à l'École supérieure d'art dramatique de Genève. - L'animatrice radio Laurence Bisang est sa sœur aînée. | Prix suisse du théâtre en 2018, elle a été pendant douze ans la plus jeune directrice jamais nommée à la tête de la Comédie de Genève</t>
  </si>
  <si>
    <t>Chapeaurouge, Jean-Jacques de (1699-1781)</t>
  </si>
  <si>
    <t>1699</t>
  </si>
  <si>
    <t>1781</t>
  </si>
  <si>
    <t>Politicien</t>
  </si>
  <si>
    <t>Pagés, Esteban (1971-….)</t>
  </si>
  <si>
    <t>Né en 1971. - Diplômé de l‘Ecole Supérieure des Beaux Arts de Genève. Il a reçu le prix du Fonds cantonal de décoration et d’art visuel de Genève en 2001 et a remporté le bourse de la Fondation Kiefer-Hablitzel en 2000.</t>
  </si>
  <si>
    <t>Estier, Sabine (19..-....)</t>
  </si>
  <si>
    <t>Licenciée en Lettres à l’Université de Genève. - Journaliste suisse</t>
  </si>
  <si>
    <t>Prison de Champ-Dollon (Puplinge, Genève, Suisse)</t>
  </si>
  <si>
    <t>Plattner, Patricia (1953-2016)</t>
  </si>
  <si>
    <t>Réalisatrice suisse. En 1985 crée la maison de production Light night production</t>
  </si>
  <si>
    <t>Marozeau, Sophie (19..-....)</t>
  </si>
  <si>
    <t>Journaliste, communicante et écrivaine</t>
  </si>
  <si>
    <t>Genève (canton ; Suisse). Corps de police</t>
  </si>
  <si>
    <t>Liechti, Christian (19..-....)</t>
  </si>
  <si>
    <t>Bibliothécaire, co-responsable de la bibliothèque de Saint-Jean (Genève)</t>
  </si>
  <si>
    <t>Varnel, Janry</t>
  </si>
  <si>
    <t>Beaumont, Auguste de (1842-1899 ; peintre)</t>
  </si>
  <si>
    <t>1899</t>
  </si>
  <si>
    <t>Peintre né à Frankurt en 1842 et décédé à Genève en 1899</t>
  </si>
  <si>
    <t>Fondation culturelle islamique de Genève (Genève, Genève, Suisse)</t>
  </si>
  <si>
    <t>Favre, Bernard (19..-.... ; journaliste)</t>
  </si>
  <si>
    <t>Journaliste à la Tribune de Genève de 2000 à 2004. Directeur du pôle handicap à l'Office de l'action, de l'insertion et de l'intégration sociales du canton de Genève depuis 2024</t>
  </si>
  <si>
    <t>Tournes (frères de ; en activité entre 1727 et 1781)</t>
  </si>
  <si>
    <t>Amsterdam (attesté en 1752) | Anvers (attesté en 1727) | En 1726, Jean Jacques I et Jacques II ont acquis le fonds latin de la librairie Anisson et Posuel et obtiennent l'autorisation d'exercer la librairie à Lyon sous le nom d'Antoine Servant avec lequel ils s'associent en 1728 | En déc. 1775 le fonds d'imprimerie est vendu à Jean Abraham Nouffer et Jean François Bassompierre. En déc. 1777 Samuel III et Jean II cèdent leur privilège d'imprimeur de la République et de l'Académie | Genève : 1727-1779 | Imprimerie-librairie ; imprimerie de l'Académie et de la République. À Genève, officine dirigée : de 1727 à 1741, par Jean Jacques I et Jacques II ; de 1741 à 1761, par Jean Jacques I, Donat Louis, Jean Jacques II et Jean II ; de 1761 à 1763, par Donat Louis, Jean Jacques II, Jean II, Samuel III et Antoine | Lyon : 1728-1781 | Officine dirigée : de 1728 à 1741, par Jean Jacques I et Jacques II ; de 1741 à 1749, par Jean Jacques I ; de 1749 à 1753, par Jean Jacques I, Samuel III et Donat Louis ; de 1753 à 1761, par Jean Jacques I, Samuel III, Donat Louis et Antoine ; de 1761 à 1763, par Samuel III, Donat Louis et Antoine ; de 1763 à 1781, par Samuel III et Antoine | Officine dirigée : de 1763 à 1768, par Jean Jacques II, Samuel III et Antoine ; de 1768 à 1774, par Samuel III, Antoine, Jean Jacques II, Jean II de Tournes, et Jean François Sellon, tuteur pour Jean François de Tournes ; de 1774 à 1775, par Samuel III, Jean Jacques II et Jean II</t>
  </si>
  <si>
    <t>Monnier, Claude (1938-2016 ; journaliste)</t>
  </si>
  <si>
    <t>Rwanda</t>
  </si>
  <si>
    <t>Journal de Genève | Le Temps stratégique</t>
  </si>
  <si>
    <t>Docteur en sciences politiques. Ancien journaliste, directeur de la revue \"Temps Stratégique\" (en 1994) ; Rédacteur en chef du \"Journal de Genève\"</t>
  </si>
  <si>
    <t>Widmer, Jacques-André (1941-2022)</t>
  </si>
  <si>
    <t>Journaliste suisse. A travaillé pour la Télévision Suisse Romande (RTS) et pour le journal La Tribune de Genève</t>
  </si>
  <si>
    <t>Kalonji, Jean-Philippe (1973-....)</t>
  </si>
  <si>
    <t>Probst, Véronique (19..-.... ; archiviste)</t>
  </si>
  <si>
    <t>Archiviste. - Vit et travaille à Genève</t>
  </si>
  <si>
    <t>Gloor, Serge (19..-….)</t>
  </si>
  <si>
    <t>Traduit du polonais en français. - M. Serge Gloor, suisse avec une mère d'origine polonaise, fonctionnaire de l’UNESCO</t>
  </si>
  <si>
    <t>Dreifuss, Jean-Jacques (1936-2025)</t>
  </si>
  <si>
    <t>Professeur : Département de physiologie, École de médecine, Université de Genève, Suisse</t>
  </si>
  <si>
    <t>Muller, Christiane (1953-....)</t>
  </si>
  <si>
    <t>Expert dans l'interprétation des rêves et du langage symbolique</t>
  </si>
  <si>
    <t>Banque cantonale de Genève (Suisse)</t>
  </si>
  <si>
    <t>Sise au centre-ville de Genève dès ses origines, la Banque cantonale de Genève (BCGE) est issue de la fusion de la Caisse d'épargne fondée en 1816 et de la Banque hypothécaire créée en 1847</t>
  </si>
  <si>
    <t>Delachaux, Pierre-Alain (19..-....)</t>
  </si>
  <si>
    <t>Goss, Jacques-Élisée (1839-1921)</t>
  </si>
  <si>
    <t>Perret, Mai-Thu (1976-....)</t>
  </si>
  <si>
    <t>Université de Cambridge</t>
  </si>
  <si>
    <t>Artiste et traductrice genevoise née à Genève en 1976</t>
  </si>
  <si>
    <t>Cormon, Pierre (1965-....)</t>
  </si>
  <si>
    <t>Journaliste. - Romancier</t>
  </si>
  <si>
    <t>Genève (canton ; Suisse). Office cantonal du génie civil</t>
  </si>
  <si>
    <t>Vogel, Pierre (1938-.... ; peintre)</t>
  </si>
  <si>
    <t>Peintre né à Genève en 1938</t>
  </si>
  <si>
    <t>Genève (canton ; Suisse). Conseil provisoire</t>
  </si>
  <si>
    <t>Hexel, Dagmar (1943-....)</t>
  </si>
  <si>
    <t>Sociologue. Chargée d’enseignement à la FPSE, Université de Genève, Suisse de 1984 à 2008</t>
  </si>
  <si>
    <t>Genève (canton ; Suisse). Gendarmerie</t>
  </si>
  <si>
    <t>Cividino, Talide (19..-....)</t>
  </si>
  <si>
    <t>Cheffe de projet, Service de la participation citoyenne à l’État de Genève</t>
  </si>
  <si>
    <t>Genève (canton ; Suisse). Police judiciaire</t>
  </si>
  <si>
    <t>Diodati, Aloïs (1826-1895)</t>
  </si>
  <si>
    <t>Diplomate, militaire, musicien genevois</t>
  </si>
  <si>
    <t>Gymnasia genevensis (Genève, Suisse)</t>
  </si>
  <si>
    <t>Dégerine, Émile (18..?-1952)</t>
  </si>
  <si>
    <t>Auteur-compositeur</t>
  </si>
  <si>
    <t>Paroisse Sainte-Clotilde (Genève, Suisse)</t>
  </si>
  <si>
    <t>Lullin, Paul-Elisée (1800-1872)</t>
  </si>
  <si>
    <t>Genève (canton ; Suisse). Département de la sécurité et de l'économie (2014-2018)</t>
  </si>
  <si>
    <t>Kadrnka, Silvije (1902-1965)</t>
  </si>
  <si>
    <t>Radiologue. Maître de conférences à l'Institut central de radiologie de Genève, Suisse de 1928 à 1934. Poursuit ensuite sa carrière à Zagreb</t>
  </si>
  <si>
    <t>Genève (canton ; Suisse). Département de justice, police et sécurité (2002-2005)</t>
  </si>
  <si>
    <t>Genève (canton ; Suisse). Département de la sécurité, de la police et de l'environnement (2010-2013)</t>
  </si>
  <si>
    <t>Maier, Jean-Louis (1928?-2024)</t>
  </si>
  <si>
    <t>Université de Fribourg</t>
  </si>
  <si>
    <t>Musée d’Art et d’Histoire de Genève</t>
  </si>
  <si>
    <t>Archéologue en poste au Musée d'art et d'histoire de Genève Suisse jusqu'en 1990</t>
  </si>
  <si>
    <t>Favre, Bernard (19..-.... ; sociologue)</t>
  </si>
  <si>
    <t>Chercheur au Département de recherche sociologique, Genève, Suisse</t>
  </si>
  <si>
    <t>Flahaut, Constance (199.-....)</t>
  </si>
  <si>
    <t>Étudiante de Bachelor en arts visuels à la HEAD-Genève (2026)</t>
  </si>
  <si>
    <t>Dégerine, Muriel (19..-....)</t>
  </si>
  <si>
    <t>Directrice artistique indépendante et designer autodidacte basée à Lancy</t>
  </si>
  <si>
    <t>Charton, Jean-Pierre (16..-17.. ; notaire)</t>
  </si>
  <si>
    <t>16XX</t>
  </si>
  <si>
    <t>17XX</t>
  </si>
  <si>
    <t>Notaire en activité à Genève de 1692 à 1724</t>
  </si>
  <si>
    <t>Mayenfisch, David (19..-....)</t>
  </si>
  <si>
    <t>Patry, Robert (1923-2016 ; juriste)</t>
  </si>
  <si>
    <t>Juriste. Professeur de droit privé aux universités de Genève (1948-1950 et 1962-1974) et Berne (1955-1964). Juge fédéral (1975-1992).</t>
  </si>
  <si>
    <t>Association des habitants de la cité du Lignon (Vernier, Genève, Suisse)</t>
  </si>
  <si>
    <t>Hôpital de Loëx (Bernex, Suisse)</t>
  </si>
  <si>
    <t>Le Fédéral (périodique ; Genève, Suisse ; 1832-1842)</t>
  </si>
  <si>
    <t>Association des anciens de l'École hôtelière de Genève (Genève, Suisse)</t>
  </si>
  <si>
    <t>Pharmacie principale (Genève, Genève, Suisse)</t>
  </si>
  <si>
    <t>Faisceau cadet genevois</t>
  </si>
  <si>
    <t>Kugler Bimetal</t>
  </si>
  <si>
    <t>Association démocrate chrétienne de Chêne-Bourg</t>
  </si>
  <si>
    <t>Association démocrate chrétienne de Chêne-Bougeries</t>
  </si>
  <si>
    <t>Association démocrate chrétienne de Thônex</t>
  </si>
  <si>
    <t>De Giuli &amp; Portier architectes (Onex, Genève, Suisse)</t>
  </si>
  <si>
    <t>La Mémoire du Grand-Saconnex (Genève, Suisse)</t>
  </si>
  <si>
    <t>Beric (Genève, Genève, Suisse)</t>
  </si>
  <si>
    <t>Ganz Muller architectes (Genève, Suisse)</t>
  </si>
  <si>
    <t>Société économique (1798-1847 ; Genève, Suisse)</t>
  </si>
  <si>
    <t>Roussy, Henri (19..-....)</t>
  </si>
  <si>
    <t>Alphonse, Pierre (19..-....)</t>
  </si>
  <si>
    <t>Tenthorey, Simon (19..-....)</t>
  </si>
  <si>
    <t>Martin, Gaston (19..-.... ; historien de l'art)</t>
  </si>
  <si>
    <t>Schautz, Rosine (19..-....)</t>
  </si>
  <si>
    <t>Bogensberger, Marie-Thérèse (19..-....)</t>
  </si>
  <si>
    <t>Aubert, Philippe (19..-.... ; certificat en science de l'éducation)</t>
  </si>
  <si>
    <t>Besson, Adrien (19..-.... ; architecte)</t>
  </si>
  <si>
    <t>Genève (canton ; Suisse). Département de l'intérieur, de la mobilité et de l'environnement. Service de l'information et de la communication</t>
  </si>
  <si>
    <t>Arn, Jean-Pierre (193.-....)</t>
  </si>
  <si>
    <t>193X</t>
  </si>
  <si>
    <t>Targonski, A. (18..-19..)</t>
  </si>
  <si>
    <t>Clar-Boson, Sarah Marguerite (19..-....)</t>
  </si>
  <si>
    <t>Wyler, Alain (19..-2011)</t>
  </si>
  <si>
    <t>Fournier-Marcigny, Fernand (1896-1975)</t>
  </si>
  <si>
    <t>Universal Genève (Suisse)</t>
  </si>
  <si>
    <t>RSA architectes (Carouge, Genève, Suisse)</t>
  </si>
  <si>
    <t>Maystre, Carole (19..-….)</t>
  </si>
  <si>
    <t>Guibert, Yvette (19..-....)</t>
  </si>
  <si>
    <t>Arnoux, Anne-Françoise (19..-....)</t>
  </si>
  <si>
    <t>Théâtre du Parc (Genève, Suisse)</t>
  </si>
  <si>
    <t>Micheli du Crest, Jacques-Barthélemy (1690-1766)</t>
  </si>
  <si>
    <t>Zofingue</t>
  </si>
  <si>
    <t>Physicien, cartographe, géodésien et homme politique suisse</t>
  </si>
  <si>
    <t>Malaj, Jona (19..-....)</t>
  </si>
  <si>
    <t>Interprète à la Croix-Rouge genevoise</t>
  </si>
  <si>
    <t>Banque de Genève (Suisse)</t>
  </si>
  <si>
    <t>Banque fondée le 16 mai 1848, ouverte le 1er juillet 1848</t>
  </si>
  <si>
    <t>Banque du commerce (Genève, Suisse)</t>
  </si>
  <si>
    <t>Les sans pagEs (Genève, Suisse)</t>
  </si>
  <si>
    <t>Association visant à soutenir les différentes activités du projet Les sans pagEs</t>
  </si>
  <si>
    <t>Tiercy, Georges (1886-1955)</t>
  </si>
  <si>
    <t>Né en 1886, nommé directeur de l'Observatoire de Genève le 1er janvier 1928, succéda à R. Gautier</t>
  </si>
  <si>
    <t>Oltramare, Gabriel (1816-1906)</t>
  </si>
  <si>
    <t>collège de Sorbonne | université de Paris</t>
  </si>
  <si>
    <t>Mathématicien. Professeur à l'académie de Genève (en 1872)</t>
  </si>
  <si>
    <t>Delarue, Claude (1944-2011 ; romancier)</t>
  </si>
  <si>
    <t>Créteil</t>
  </si>
  <si>
    <t>Romancier, dramaturge, musicologue, biographe. Grand prix de la Société des gens de lettres 1979</t>
  </si>
  <si>
    <t>Bonnet, Charles (1720-1793)</t>
  </si>
  <si>
    <t>1793</t>
  </si>
  <si>
    <t>Philosophe et naturaliste genevois. Né à Genève</t>
  </si>
  <si>
    <t>Lhuilier, Simon (1750-1840)</t>
  </si>
  <si>
    <t>1840</t>
  </si>
  <si>
    <t>Mathématicien et philosophe suisse, connu pour ses travaux en analyse mathématique et en topologie. Établi à Varsovie</t>
  </si>
  <si>
    <t>Arsever, Sylvie (1948-....)</t>
  </si>
  <si>
    <t>Chroniqueuse judiciaire. Écrit au \"Journal de Genève\" et à la \"Gazette de Lausanne\" (en 1996)</t>
  </si>
  <si>
    <t>Chevalley, Guy (1985-....)</t>
  </si>
  <si>
    <t>Auteur de nouvelles, de poèmes et de romans. Rédacteur de sous-titres pour le télétexte suisse (en 2010)</t>
  </si>
  <si>
    <t>Féraud, Lucien (1899-1985 ; statisticien)</t>
  </si>
  <si>
    <t>Romans-sur-Isère</t>
  </si>
  <si>
    <t>Statisticien, docteur de l'ENS en 1928 ; chargé de cours à l'université de Lyon pendant la Seconde guerre mondiale ; enseigne dès 1941 à l'université de Genève, où il est nommé professeur en 1945 ; appelé à la chaire de statistique de cette même université en 1955 ; retraité de cette université en 1969, il devient chargé de cours à l'université Paris VI</t>
  </si>
  <si>
    <t>Scotti, Fabien (19..-....)</t>
  </si>
  <si>
    <t>Gabutti, Andrea (1961 -...)</t>
  </si>
  <si>
    <t>Manno</t>
  </si>
  <si>
    <t>Artiste suisse. -Vit et travaille à Genève</t>
  </si>
  <si>
    <t>Labarthe, Juliette (19..-....)</t>
  </si>
  <si>
    <t>Sociologue directrice du Service égalité &amp; diversité de l'Université de Genève (depuis le 1er juin 2021)</t>
  </si>
  <si>
    <t>Jaccard, Jean-Philippe (1958-....)</t>
  </si>
  <si>
    <t>Historien de la littérature russe, spécialiste de l'oeuvre de Danail Harms</t>
  </si>
  <si>
    <t>Septfontaine, Michel (1944-.... ; géologue)</t>
  </si>
  <si>
    <t>Géologue, docteur en sciences de la Terre, mention paléontologie, à l'université de Genève en 1971 ; brièvement en poste auprès de Shell aux Pays-Bas et dans un bureau de consultant (Burri, géologie) en Algérie, chargé de recherches à l'Université de Genève de 1973 à 1980 ; engagé au au Service de la carte géologique du Maroc de 1980 à 1985 ; brièvement en poste à l'Université de Fribourg (Prof. C. Caron), puis conservateurau Musée de Géologie de Lausanne de 1987 à 2001. Né à Genève en 1944</t>
  </si>
  <si>
    <t>Flückiger, Yves (1955-....)</t>
  </si>
  <si>
    <t>Sociologue. - Professeur au département d'économie politique de l'Université de Genève (en 1996)</t>
  </si>
  <si>
    <t>Z'Graggen, Yvette (1920-2012)</t>
  </si>
  <si>
    <t>Bouvier, Nicolas (1929-1998)</t>
  </si>
  <si>
    <t>Écrivain, voyageur, photographe</t>
  </si>
  <si>
    <t>Fortuna, Henri et François</t>
  </si>
  <si>
    <t>Candolle, Casimir de (1836-1918)</t>
  </si>
  <si>
    <t>Scientifique. Fut président de la Société de physique et d'histoire naturelle de Genève</t>
  </si>
  <si>
    <t>Université de Genève. Institut Confucius</t>
  </si>
  <si>
    <t>Galerie Artvera's (Genève, Suisse)</t>
  </si>
  <si>
    <t>Fonds cantonal d'art contemporain (Genève, Suisse)</t>
  </si>
  <si>
    <t>Créé par un arrêté du Conseil d'État, le 18 juin 1949, il est nommé à l'origine Fonds cantonal de décoration. En 1987, la notion d'art visuel est introduite dans son titre ; il s'intitule alors Fonds de décoration et d'art visuel. Le terme de décoration finit par disparaître en 2002, lorsqu'il acquiert son nom actuel | Le FCAC conserve le patrimoine artistique de l'État de Genève. Il achète des œuvres d’artistes vivants dans les domaines de la peinture, de la sculpture, de la photographie et de la vidéo.</t>
  </si>
  <si>
    <t>Leu, Martin (19..-....)</t>
  </si>
  <si>
    <t>Meyer, Kurt Heinrich (1883-1952)</t>
  </si>
  <si>
    <t>Tartu</t>
  </si>
  <si>
    <t>Menton</t>
  </si>
  <si>
    <t>Biochimiste. Études de médecine et de chimie à Marbourg et Leipzig (doctorat en 1907) ; a été en poste à Londres et à Munich où il fut privat-docent (1911), puis professeur extraordinaire (1917) ; officier sur le front Ouest pendant la Première Guerre mondiale puis en poste à l'Institut Fritz Haber à Berlin-Dahlem (1917-1918) ; directeur de recherche à la Badische Anilin und Soda Fabrik (1921), puis membre du conseil de direction de IG Farben (1926) ; professeur ordinaire de chimie organique et inorganique à Genève (1932-1952)</t>
  </si>
  <si>
    <t>Graf, Catherine Alexandra (19..-....)</t>
  </si>
  <si>
    <t>Enseignante, auteure et réalisatrice</t>
  </si>
  <si>
    <t>Pottacheruva, Sita (19..-....)</t>
  </si>
  <si>
    <t>Guide du patrimoine, diplômée en Lettres, enseignante, animatrice de débats littéraires et d'émissions radiophoniques, musicienne</t>
  </si>
  <si>
    <t>Holzer, Richard (19..-....)</t>
  </si>
  <si>
    <t>Illustrateur et auteur de bandes dessinées</t>
  </si>
  <si>
    <t>Albouy, Pierre (1979-....)</t>
  </si>
  <si>
    <t>Photographe indépendant depuis 2004; travaille en particulier pour la presse et la communication.</t>
  </si>
  <si>
    <t>Solioz, Christophe (1957-....)</t>
  </si>
  <si>
    <t>Philosophe, essayiste, critique littéraire | Socio-thérapeute et enseignant à Genève. Dirige le Forum for Democratic Alternatives [isn], Sarajevo/Genève/Bruxelles</t>
  </si>
  <si>
    <t>Zosso, Marc (1964-....)</t>
  </si>
  <si>
    <t>Écrivain né à Genève</t>
  </si>
  <si>
    <t>Belluz, Sergio (19..-....)</t>
  </si>
  <si>
    <t>Licencié ès lettres. - Chanteur, traducteur, journaliste</t>
  </si>
  <si>
    <t>Dupont Troubetzkoy, Kyra (19..-....)</t>
  </si>
  <si>
    <t>Ecrivain. - Journaliste</t>
  </si>
  <si>
    <t>Varvier, Carole (19..-....)</t>
  </si>
  <si>
    <t>Journaliste à la Tribune des arts, Genève, Suisse de 1994 à 1997. Responsable de la mission Culture du Centre hospitalier Métropole Savoie, Chambéry (en 2020)</t>
  </si>
  <si>
    <t>Dittmar, Henri (1777-1850)</t>
  </si>
  <si>
    <t>Dialogai (Genève, Suisse)</t>
  </si>
  <si>
    <t>PVA-Genève (Suisse)</t>
  </si>
  <si>
    <t>Association genevoise des personnes vivant avec le VIH/sida et leurs proches</t>
  </si>
  <si>
    <t>Raguenier, Denys (15..-15..)</t>
  </si>
  <si>
    <t>Sténographe des sermons de Jean Calvin</t>
  </si>
  <si>
    <t>Imperiano, Valquiria (1953-....)</t>
  </si>
  <si>
    <t>Poète, auteure</t>
  </si>
  <si>
    <t>Lullin de Châteauvieux, Frédéric (1772-1842)</t>
  </si>
  <si>
    <t>Barbier lui attribue le \"Manuscrit venu de Saint -Hélène d'une manière inconnue\", fausse autobiographie de Napoléon Bonaparte | Né le 6.5.1772 et mort le 24.9.1841, à Genève. Marquis de Châteauvieux. | Un des plus importants agronomes genevois du XIXe s., membre de nombreuses sociétés, notamment de l'Académie des sciences de Paris et de l'Académie des Georgofili de Florence. Rédacteur de la série \"Agriculture anglaise\" de la Bibliothèque britannique. Auteur des Lettres écrites d'Italie en 1812 et 1813 (1816) sur l'agriculture italienne.</t>
  </si>
  <si>
    <t>Association de jeunes auteur-e-s romandes et romands (Genève, Suisse)</t>
  </si>
  <si>
    <t>Girard, Luciana (19..-....)</t>
  </si>
  <si>
    <t>Mentor en gestion d'entreprise</t>
  </si>
  <si>
    <t>Zullo, Germano (1968-....)</t>
  </si>
  <si>
    <t>Né à Genève en 1968. - Poète. - Illustrateur et auteur de romans pour la jeunesse</t>
  </si>
  <si>
    <t>Robel, Nicolas (1974-....)</t>
  </si>
  <si>
    <t>École supérieure d'art visuel Genève</t>
  </si>
  <si>
    <t>Auteur de bandes dessinées établi à Genève</t>
  </si>
  <si>
    <t>Necker, Louis Albert (1786-1861 ; géologue)</t>
  </si>
  <si>
    <t>Portree</t>
  </si>
  <si>
    <t>Université d'Édimbourg</t>
  </si>
  <si>
    <t>Brocchini, Ilaria (1966-....)</t>
  </si>
  <si>
    <t>Titulaire d'un doctorat de philosophie à Paris 1 en 2005</t>
  </si>
  <si>
    <t>Roll, Christiane</t>
  </si>
  <si>
    <t>Membre de la Société suisse des écrivains (en 2001)</t>
  </si>
  <si>
    <t>Muller-Colard, Marion (1978-....)</t>
  </si>
  <si>
    <t>Théologienne protestante. - A été aumônière d'hôpital. - Auteure d'ouvrages pour la jeunesse. - Romancière. - Docteure de l'université Strasbourg 2 (2006). - Directrice des éditions Labor et Fides (Genève) depuis 2022</t>
  </si>
  <si>
    <t>Elsig, Frédéric (1972-....)</t>
  </si>
  <si>
    <t>Historien de l'art, spécialiste de la peinture des XVe et XVIe siècles. Professeur d'histoire de l'art médiéval à l'Université de Genève, Suisse</t>
  </si>
  <si>
    <t>Saint-Ouen, François (19..-....)</t>
  </si>
  <si>
    <t>Responsable des publications du Centre de compétences Dusan Sidjanski en études européennes de l'Université de Genève (2023). Directeur du Centre d'information et de documentation du Conseil de l'Europe à Varsovie, Pologne (en 1990)</t>
  </si>
  <si>
    <t>Engammare, Max (1953-....)</t>
  </si>
  <si>
    <t>12e arrondissement de Paris</t>
  </si>
  <si>
    <t>Historien et éditeur</t>
  </si>
  <si>
    <t>Sciarini, Pascal (1963-....)</t>
  </si>
  <si>
    <t>Titulaire d'un diplôme de science politique (Université de Genève, 1994). Professeur à l'Institut des hantes études en administration publique de Lausanne et au Département des sciences politiques de Genève (en 2002)</t>
  </si>
  <si>
    <t>Pitassi, Maria-Cristina (1954-....)</t>
  </si>
  <si>
    <t>Rimini</t>
  </si>
  <si>
    <t>Professeur d'histoire intellectuelle des XVIIe et XVIIIe siècles, directrice honoraire de l'Institut d'histoire de la Réformation (Genève)</t>
  </si>
  <si>
    <t>Nivat, Georges (1935-....)</t>
  </si>
  <si>
    <t>Clermont-Ferrand</t>
  </si>
  <si>
    <t>Professeur de littérature et civilisation russe à l'Université de Genève (en 1990)</t>
  </si>
  <si>
    <t>Lussi Borer, Valérie (19..-....)</t>
  </si>
  <si>
    <t>Professeure responsable de l'équipe \"Apprentissage, formation et développement professionnels dans les métiers de l'enseignement\" à l'Université de Genève. Ses recherches portent sur l'analyse de l'activité enseignante et l'usage de la vidéo pour la formation et le développement professionnels ainsi que sur la professionnalisation des formations à l'enseignement primaire et secondaire dans une perspective socio-historique.</t>
  </si>
  <si>
    <t>Lecoultre, Alexandre (1987-....)</t>
  </si>
  <si>
    <t>Titulaire d'un master en lettres Univ. Fribourg Suisse (anthropologie). Ecrivain, traduit de l'espagnol en français</t>
  </si>
  <si>
    <t>Jean, Romaine (1956-....)</t>
  </si>
  <si>
    <t>Journaliste à la RTS (Radio télévision suisse romande). Diplômée en sc. politiques Univ. Genève, 1978</t>
  </si>
  <si>
    <t>Golay, Henri (1858-1931)</t>
  </si>
  <si>
    <t>Henri Golay a été longtemps membre du Conseil municipal de Vernier (canton de Genève), avant d'être élu à la mairie de 1912 à 1921. - Il rédigea, en 1931, des recherches historiques sur Vernier et le Pays de Gex</t>
  </si>
  <si>
    <t>Droux, Joëlle (1965-.... ; enseignante en sciences de l'éducation)</t>
  </si>
  <si>
    <t>En poste à l'Université de Genève, Institut d'histoire de la médecine (en 2004) | Maître d'enseignement et de recherche à l'Université de Genève, Faculté de psychologie et des sciences de l'éducation (FAPSE), Section des sciences de l'éducation (en 2014)</t>
  </si>
  <si>
    <t>Maugué, Ludovic (19..-....)</t>
  </si>
  <si>
    <t>Historien, Université de Genève</t>
  </si>
  <si>
    <t>Poizat, Germain (1980-....)</t>
  </si>
  <si>
    <t>Maître d’enseignement et de Recherche dans le domaine «Travail, Formation et Apprentissage » à la Faculté de Psychologie et des Sciences de l’Education (FPSE) de l’Université de Genève, Section Formation des Adultes | Titulaire d'un doctorat en Sciences et techniques des activités physiques et sportives (STAPS) (Rouen, 2006)</t>
  </si>
  <si>
    <t>Porret, Michel (1955-....)</t>
  </si>
  <si>
    <t>Docteur ès lettres. - Maître d'enseignement et de recherches au Département d'histoire générale de la Faculté des lettres de l'Université de Genève (en 1998)</t>
  </si>
  <si>
    <t>Lieber, Marylène (1971-....)</t>
  </si>
  <si>
    <t>université de Versailles-Saint-Quentin-en-Yvelines</t>
  </si>
  <si>
    <t>Auteur d'une thèse de doctorat en sociologie, soutenue le 29 septembre 2005 à l'université de Versailles Saint-Quentin en Yvelines. Professeur à l'Université de Genève, en 2017</t>
  </si>
  <si>
    <t>Moret, Jean-Marc (1942-....)</t>
  </si>
  <si>
    <t>Docteur ès lettres, chargé de cours au Département des sciences de l'antiquité, université de Genève (dès 1986). Professeur des universités à l'Université Lyon 2 en 2015</t>
  </si>
  <si>
    <t>Scholl, Sarah (19..-....)</t>
  </si>
  <si>
    <t>Auteure d'une thèse en Histoire et civilisations (EHESS, 2012) | Historienne des religions</t>
  </si>
  <si>
    <t>Solfaroli Camillocci, Daniela (1966-....)</t>
  </si>
  <si>
    <t>La Spezia</t>
  </si>
  <si>
    <t>Enseigne l'histoire moderne à l'Institut d'histoire de la réformation de l'Université de Genève (en 2014). Spécialiste d'histoire culturelle et religieuse pour l'époque moderne</t>
  </si>
  <si>
    <t>Enckell Julliard, Julie Sabine (1974-....)</t>
  </si>
  <si>
    <t>Historienne de l'art. Titulaire d'un doctorat d'histoire de l'art en co-tuelle entre l'Université de Poitiers et l'Université de Lausanne, soutenu en 2004. Directrice du Musée Jenisch Vevey (2013-2017). En 2018, elle a rejoint la HEAD [Haute école d'art et de design], Genève, en tant que responsable du développement culturel et membre du conseil de direction restreint de l'école.</t>
  </si>
  <si>
    <t>Candaux, Jean-Daniel (1932-....)</t>
  </si>
  <si>
    <t>2...</t>
  </si>
  <si>
    <t>Spécialiste de la bibliographie de la littérature française du XVIIIe siècle. Cofondateur de la revue \"Psaume\", chargé de recherche à la Bibliothèque publique et universitaire de Genève (en 1991)</t>
  </si>
  <si>
    <t>Etemad, Bouda (1949-.... ; économiste)</t>
  </si>
  <si>
    <t>Économiste et historien. Professeur d'histoire des relations Nord-Sud aux Universités de Genève et de Lausanne (en 2005)</t>
  </si>
  <si>
    <t>Kolb, Robert (1967-.... ; juriste)</t>
  </si>
  <si>
    <t>Juriste suisse. - Spécialiste du droit international public. - Professeur à la faculté de droit à l'Université de Genève.</t>
  </si>
  <si>
    <t>Lombard, Augustin (1905-1997)</t>
  </si>
  <si>
    <t>Géologue et sédimentologue suisse | Écrit aussi en allemand</t>
  </si>
  <si>
    <t>Fornerod, Nicolas (19..-....)</t>
  </si>
  <si>
    <t>Enseignant au département d'histoire générale de l'université de Genève et est chercheur à l'Institut d'histoire de la Réformation</t>
  </si>
  <si>
    <t>Flandin, Simon (1985-....)</t>
  </si>
  <si>
    <t>Auteur d'une thèse en Sciences de l'éducation à Clermont-Ferrand 2 en 2015 | Maître d'Enseignement et de Recherche (depuis 2021) à l’Université de Genève (depuis 2015).</t>
  </si>
  <si>
    <t>Cicchini, Marco (19..-....)</t>
  </si>
  <si>
    <t>Doctorant, enseigne l'histoire moderne à l'Université de Genève (en 2007)</t>
  </si>
  <si>
    <t>Yung, Édouard (1...-1973 ; architecte)</t>
  </si>
  <si>
    <t>Lessert, Gaston de (1846-....)</t>
  </si>
  <si>
    <t>Long, Guillaume (1977-.... ; illustrateur)</t>
  </si>
  <si>
    <t>Illustrateur.- Auteur de bandes dessinées né à Genève</t>
  </si>
  <si>
    <t>Albèra, Philippe (1952-.... ; musicologue)</t>
  </si>
  <si>
    <t>Musicologue. Professeur d'histoire de la musique, d'esthétique et d'analyse de la musique du XXe siècle aux Conservatoires de Genève et de Lausanne (en 2006). Créateur de Contrechamps (ensemble musical, revue et éditions) en 1977</t>
  </si>
  <si>
    <t>Mahnert, Volker (1943-2018 ; zoologue)</t>
  </si>
  <si>
    <t>Innsbruck</t>
  </si>
  <si>
    <t>université d'Innsbruck</t>
  </si>
  <si>
    <t>Université de Genève | Muséum d'histoire naturelle de Genève | musée d'ethnographie de Genève</t>
  </si>
  <si>
    <t>Directeur du Museum d'histoire naturelle de Genève de 1989 à 2005.</t>
  </si>
  <si>
    <t>Tirabosco, Michel (1968-....)</t>
  </si>
  <si>
    <t>Musicien concertiste genevois. - Joue de la flûte de Pan</t>
  </si>
  <si>
    <t>Frauenfelder, Arnaud (19..-....)</t>
  </si>
  <si>
    <t>Sociologue, chargé d'enseignement et chercheur à l'Université de Genève</t>
  </si>
  <si>
    <t>Moody, Zoé (1985-....)</t>
  </si>
  <si>
    <t>Professeure à la Haute école pédagogique du Valais et collaboratrice de recherche à l'Unité Inter- et transdisciplinairité du Centre interfacultaire en droits de l'enfant de l'Université de Genève [en 2016]</t>
  </si>
  <si>
    <t>Cousseau, Florian (1988-.... ; archéologue)</t>
  </si>
  <si>
    <t>Archéologue. - Diplômé (thèse de doctorat) : université de Rennes, France (en 2016). - Chercheur postdoctoral en architecture mégalithique de l'Europe de l'Ouest : université de Genève, Suisse (en 2021)</t>
  </si>
  <si>
    <t>Michel, Christoph M. (1959-.... ; neurobiologiste)</t>
  </si>
  <si>
    <t>Neurobiologiste, en poste à l'université de Genève (de 1994 à 2024)</t>
  </si>
  <si>
    <t>Linte, Guillaume (1990-....)</t>
  </si>
  <si>
    <t>Auteur d'un mémoire de master 1 (Tours, 2013). Thèse soutenue en 2019 à l'université de Paris-Est Créteil - En poste : IEH2 - Institut Éthique Histoire Humanités, Université de Genève - Faculté de médecine (en 2022)</t>
  </si>
  <si>
    <t>Marzi, Éva (1985-....)</t>
  </si>
  <si>
    <t>Auteure d'un diplôme en écriture littéraire à la Haute école des arts de Berne et d'une thèse de doctorat de Sociologie, Université de Strasbourg, 2017</t>
  </si>
  <si>
    <t>Parmentier, Élisabeth (1961-....)</t>
  </si>
  <si>
    <t>Université de Genève | Faculté de théologie protestante de Strasbourg</t>
  </si>
  <si>
    <t>Pasteur de l'Eglise de la Confession d'Augsbourg d'Alsace et de Lorraine. Consacré en 1988. Depuis 1996, Maître de conférences en théologie pratique à la Faculté de théologie protestante de Strasbourg. | Professeure de théologie pratique à l'université de Genève, spécialiste des théologies féministes (en 2021)</t>
  </si>
  <si>
    <t>Cifali, Mireille (1946-....)</t>
  </si>
  <si>
    <t>Professeur à la Faculté de psychologie et des sciences de l'éducation de l'Université de Genève (en 1994)</t>
  </si>
  <si>
    <t>Heimberg, Charles (1959-....)</t>
  </si>
  <si>
    <t>Historien, didactique de l'histoire. Professeur à l'université de Genève (en 2022)</t>
  </si>
  <si>
    <t>Paquier, Serge</t>
  </si>
  <si>
    <t>Enseignant d'histoire contemporaine à l'Université Jean Monnet de Saint-etienne (2011)</t>
  </si>
  <si>
    <t>Cavin, Lionel (1968-.... ; paléontologue)</t>
  </si>
  <si>
    <t>musée d'histoire naturelle de Londres | Muséum d'histoire naturelle de Genève</t>
  </si>
  <si>
    <t>Docteur en paléontologie, musée des dinosaures, Espéraza (2001). Biologiste et géologue. Spécialisé en paléontologie. En poste au Département de géologie et de paléontologie du Muséum d'histoire naturelle de la Ville de Genève, Suisse (en 2009)</t>
  </si>
  <si>
    <t>Rochaix, Jean-David (19..-.... ; botaniste)</t>
  </si>
  <si>
    <t>Université de Lausanne | Université Harvard</t>
  </si>
  <si>
    <t>Botaniste. - En poste au Département de biologie moléculaire et au Département de biologie végétale, Université de Genève, Suisse (en 1998) | Écrit aussi en anglais</t>
  </si>
  <si>
    <t>Desarnaulds, Serge (1944-.... ; dramaturge)</t>
  </si>
  <si>
    <t>Dramaturge, compositeur et écrivain. Né à Genève</t>
  </si>
  <si>
    <t>Martiniani-Reber, Marielle (19..-....)</t>
  </si>
  <si>
    <t>Conservatrice au Département des arts appliqués du Musée d'art et d'histoire de Genève (en 1997)</t>
  </si>
  <si>
    <t>De Mestral, Aurélie (19..-....)</t>
  </si>
  <si>
    <t>Collaboratrice scientifique et chargée de cours en sciences de l’éducation à l’Université de Genève dans l'Équipe de didactique de l'histoire et de la citoyenneté et dans l'équipe Genre-rapports intersectionnels, relation éducative.</t>
  </si>
  <si>
    <t>Roulet, Daniel de (1944-....)</t>
  </si>
  <si>
    <t>Écrivain et informaticien né à Genève, Suisse, d'origine jurassienne. - Se consacre à l'écriture depuis 1997. - A dirigé le centre de calcul de l’Hôpital cantonal de Genève</t>
  </si>
  <si>
    <t>Nova, Nicolas (1977-2024)</t>
  </si>
  <si>
    <t>Roanne</t>
  </si>
  <si>
    <t>Oman</t>
  </si>
  <si>
    <t>Université de Genève | École polytechnique fédérale de Lausanne</t>
  </si>
  <si>
    <t>Chercheur et consultant pour Lift lab (en 2009). - Chercheur, ethnographe. - Co-fondateur de The near future laboratory. - Professeur à la Haute école d'art et de design de Genève (en 2014)</t>
  </si>
  <si>
    <t>Kunz, Martin (1970-.... ; astronome)</t>
  </si>
  <si>
    <t>Professeur à l'Université de Genève, expert en cosmologie observationnelle</t>
  </si>
  <si>
    <t>Pifer, Néoine (1985-.... ; illustrateur)</t>
  </si>
  <si>
    <t>Dessinateur, pseudonyme d'Antoine Fischer</t>
  </si>
  <si>
    <t>Turchetti, Mario (1944-2021)</t>
  </si>
  <si>
    <t>Taormine</t>
  </si>
  <si>
    <t>Université de Messine | Université de Genève</t>
  </si>
  <si>
    <t>Université de Fribourg | Université de Genève | Université de Messine</t>
  </si>
  <si>
    <t>Professeur d'histoire moderne générale et suisse à l'Université de Fribourg, Suisse (en 1997) | Écrit aussi en français</t>
  </si>
  <si>
    <t>Farquet-Kleimberg, Karin</t>
  </si>
  <si>
    <t>Artiste pratiquant le dessin à l'encre de Chine sur monotype. Coordinatrice de la la Coopérative Renouveau de St-Jean \"LES VOIES COUVERTES\" à Genève depuis 2002. Fondatrice et coordinatrice des Ateliers Portes Ouvertes des artistes de Genève et environ de 1995 à 2008 ou 2011, auxquels elle participe en tant qu'artiste depuis 2017.</t>
  </si>
  <si>
    <t>Jenny, Laurent (1949-.... ; poète)</t>
  </si>
  <si>
    <t>Poète. Critique littéraire. Professeur honoraire à la faculté des lettres de l'Université de Genève (en 2019)</t>
  </si>
  <si>
    <t>Citton, Yves (1962-....)</t>
  </si>
  <si>
    <t>Université Yale | Université de Pittsburgh | Université de Genève | université Paris-VIII</t>
  </si>
  <si>
    <t>Co-directeur de la revue Multitudes (2025) | Théoricien de la littérature, philosophe, essayiste. - Professeur de littérature et media, unité de recherche Fabrique du littéraire (Fablitt, EA 7322), Département de littérature française, francophone et comparée, Université de Paris VIII (2025). - A enseigné à l'Institut d'études politiques de l'Université de Paris, New York university, N.Y., University of Pittsburgh, Pa. et à l'Université de Genève, Suisse.</t>
  </si>
  <si>
    <t>Brunier, Isabelle (1956-....)</t>
  </si>
  <si>
    <t>Vit à Genève. - Historienne à l'Office du patrimoine et des sites État de Genève (1987-2021)</t>
  </si>
  <si>
    <t>Kanaan, Sami (1964-....)</t>
  </si>
  <si>
    <t>Beyrouth</t>
  </si>
  <si>
    <t>Conseiller administratif de la Ville de Genève en charge de la culture et du sport (en 2017)</t>
  </si>
  <si>
    <t>Lopreno, Albert (19..-....)</t>
  </si>
  <si>
    <t>Pautex, Sophie (19..-.... ; médecin)</t>
  </si>
  <si>
    <t>MD, Département de réhabilitation et gériatrie, Division de médecine palliative, Hôpitaux Universitaires de Genève, Collonge-Bellerive, Genève</t>
  </si>
  <si>
    <t>Jaccottet, Anne-Françoise (1962-.... ; archéologue)</t>
  </si>
  <si>
    <t>Archéologue. - Maîtresse d'enseignement et de recherche à l'Université de Genève au Département des sciences de l'antiquité</t>
  </si>
  <si>
    <t>Lachat, David (1949-.... ; avocat)</t>
  </si>
  <si>
    <t>Avocat, député au Grand conseil genevois de 1989 à 1993</t>
  </si>
  <si>
    <t>Maire, Marguerite (1899-1990 ; historienne)</t>
  </si>
  <si>
    <t>Historienne, en poste à l'Ecole supérieure des Jeunes filles (aujourd'hui Collège Voltaire) ; membre de la Société d'histoire et d'archéologie de Genève de 1927 à 1990</t>
  </si>
  <si>
    <t>Beniston, Martin (1953-.... ; climatologue)</t>
  </si>
  <si>
    <t>Université de Reading | université Pierre-et-Marie-Curie | Université d'East Anglia</t>
  </si>
  <si>
    <t>Écrit aussi en anglais. Géographe et climatologue. En poste au Département de géographie, École polytechnique fédérale, Zurich, Suisse (en 1994). Professeur de géographie physique à l'Université de Fribourg, Suisse (en 1997). Professeur à l'Université de Genève, directeur de l'Institut des sciences de l'environnement (en 2009)</t>
  </si>
  <si>
    <t>Le Commun (Genève, Suisse)</t>
  </si>
  <si>
    <t>Le Commun est un espace culturel de la Ville de Genève, situé au Bâtiment d'art contemporain, et attribué pour la réalisation d'expositions et de manifestations dans le domaine de l'art contemporain, de la performance et des projets pluridisciplinaires</t>
  </si>
  <si>
    <t>Jakob, Michael (1959-.... ; auteur en architecture du paysage)</t>
  </si>
  <si>
    <t>Directeur de la collection Archigraphy. Paysages chez Infolio éd., Genève. (2004) | Enseigne la littérature comparée à l'Université Stendhal de Grenoble. Directeur et fondateur de la revue de littérature comparée \"Comp(a)raison\". | Enseigne la théorie et l'histoire du paysage à l'EIL (Architecture du paysage), à l'Institut d'architecture de l'Université de Genève et l'École fédérale polytechnique de Lausanne (en 2007).</t>
  </si>
  <si>
    <t>Polla, Barbara (1950-.... ; auteure en médecine)</t>
  </si>
  <si>
    <t>Galeriste à Genève (Analix Forever) depuis 1991. Ecrivaine. Médecin. Auteur et co-auteure d'articles de recherche dans les domaines des protéines de stress, les oxydants et les antioxydants. A occupé des postes dans différentes institutions (Hôpital Cantonal Universitaire, Faculté de médecine de l'Hôpital Cochin (Université Paris V), INSERM). Recherches à la Harvard Medical School, Massachusetts General Hospital à Boston. Etudes de médecine à Genève</t>
  </si>
  <si>
    <t>Walter, François (1950-....)</t>
  </si>
  <si>
    <t>Professeur d'histoire à l'Université de Genève (en 1990)</t>
  </si>
  <si>
    <t>Genequand, Charles (1946-.... ; islamologue)</t>
  </si>
  <si>
    <t>Professeur à l'Université de Genève, études arabes et islamiques (1990-2012)‏</t>
  </si>
  <si>
    <t>Entreprise des postes, téléphones et télégraphes (Suisse). Direction d'arrondissement postal (Genève, Suisse)</t>
  </si>
  <si>
    <t>Besse, Marie (1964-....)</t>
  </si>
  <si>
    <t>Chercheur en Archéologie préhistorique à l'Université de Genève (en 1992). Professeure à l'université de Genève (2022)</t>
  </si>
  <si>
    <t>Bonnet, Charles (1933-.... ; archéologue)</t>
  </si>
  <si>
    <t>Satigny</t>
  </si>
  <si>
    <t>Université de Genève | université Lumière-Lyon-II</t>
  </si>
  <si>
    <t>Ancien professeur de l'Antiquité tardive à l'Université de Genève. Archéologue cantonal de Genève. Chef de la mission archéologique suisse au Soudan en 1986. Officier de l’Ordre des Arts et Lettres. Associé étranger de l’Académie des Inscriptions et Belles-Lettres élu en 1997.</t>
  </si>
  <si>
    <t>Patek Philippe (Genève, Suisse)</t>
  </si>
  <si>
    <t>Depuis 1839, sans interruption, Patek Philippe s'attache à perpétuer le grand art horloger traditionnel genevois</t>
  </si>
  <si>
    <t>Léman (département ; 1798-1813)</t>
  </si>
  <si>
    <t>Département français comprenant notamment des parties de l'actuel canton de Genève et des actuels départements de l'Ain et de la Haute-Savoie. Il a existé entre 1798 et 1813. Son chef-lieu était Genève</t>
  </si>
  <si>
    <t>La Ferme de la Chapelle (Grand-Lancy, Genève, Suisse)</t>
  </si>
  <si>
    <t>Espace d'art et de culture</t>
  </si>
  <si>
    <t>Théâtre de Neuve (Genève, Suisse ; 1783-1879)</t>
  </si>
  <si>
    <t>Démoli en 1879, il sera remplacé par le Grand-Théâtre | Le Théâtre de Neuve est remplacé en 1879 par le Grand théâtre | Principale scène dramatique et lyrique genevoise de 1783 à 1879</t>
  </si>
  <si>
    <t>Hospice général (Genève, Suisse)</t>
  </si>
  <si>
    <t>De 1535 à 1856: Hôpital de Genève | De 1810 à 1845: Bureau de bienfaisance de la ville de Genève | De 1845 à 1869: Bureau cantonal de bienfaisance (Genève) | De 1856 à 1869: Ancien Hôpital de Genève | Dès 1869: Hospice général (Institution genevoise d'action sociale) | En 1856, les activités d'assistance sociale de l'Hôpital général ont été reprises par l'Ancien Hôpital de Genève, aujourd'hui Hospice général, et ses activités médicales par l'Hôpital cantonal, aujourd'hui Hôpital cantonal universitaire</t>
  </si>
  <si>
    <t>Dubois, Anne-Lydie (19..-....)</t>
  </si>
  <si>
    <t>Gallay, Alain (1938-2021)</t>
  </si>
  <si>
    <t>Archéologue. Directeur du Département d'anthropologie de l'Université de Genève de 1982 à 2002</t>
  </si>
  <si>
    <t>Lahouze Davaud, Marie-Noëlle (1948-....)</t>
  </si>
  <si>
    <t>Anthropologue, en poste à la Bibliothèque du Département d'anthropologie et d'écologie de l'Université de Genève jusqu'en 2014</t>
  </si>
  <si>
    <t>Lavanchy, Anne</t>
  </si>
  <si>
    <t>Traduit de l'allemand en français</t>
  </si>
  <si>
    <t>Lascazes, Bernard (documentaliste)</t>
  </si>
  <si>
    <t>Documentariste</t>
  </si>
  <si>
    <t>Stroumza, Kim</t>
  </si>
  <si>
    <t>Titulaire d'un doctorat en sciences du langage (EHESS, 2002), professeure à la Hets de Genève (en 2017)</t>
  </si>
  <si>
    <t>Pecorini, Stéphane</t>
  </si>
  <si>
    <t>Golay, Alain (19..-.... ; professeur)</t>
  </si>
  <si>
    <t>Diabétologue et endocrinologue | Médecin-chef du service d'endocrinologie, diabétologie, nutrition et éducation thérapeutique des hôpitaux universitaires de Genève. | Spécialiste de l'obésité, dirige un service d'éducation thérapeutique pour malades chroniques aux Hôpitaux universitaires de Genève</t>
  </si>
  <si>
    <t>Brustaux, Yves</t>
  </si>
  <si>
    <t>Professeur à la HES-SO HEM de Genève et timbalier-solo de l'Orchestre de la Suisse Romande</t>
  </si>
  <si>
    <t>Oberson, Xavier (juriste)</t>
  </si>
  <si>
    <t>Université de Genève | faculté de droit de Harvard</t>
  </si>
  <si>
    <t>Ecrit aussi en anglais | Juriste. Professeur de l'Université de Genève, en 2021.</t>
  </si>
  <si>
    <t>Bolzman, Claudio (sociologue)</t>
  </si>
  <si>
    <t>Sociologue. Professeur à la Haute école de travail social, Genève (en 2009) et chargé de cours au Département de sociologie de l’Université de Genève.</t>
  </si>
  <si>
    <t>Salomon Cavin, Joëlle</t>
  </si>
  <si>
    <t>Professeur d'université à Lausanne en 2015</t>
  </si>
  <si>
    <t>Donzelot, Valentine</t>
  </si>
  <si>
    <t>Université de Genève. Assistante de recherche et candidate au doctorat en sociologie à l’Institut de recherches sociologiques de l’Université de Genève. Elle est titulaire d’un Master en sociologie obtenu à l’Université de Genève. Elle s’intéresse à la sociologie des organisations, du travail et des professions. C’est dans ce cadre qu’elle a réalisé son mémoire de fin d’étude sur le télétravail et les rapports de pouvoir entre les acteur-trices des organisations. Elle mène aujourd’hui ses recherches sur les institutions accueillant des personnes âgées en analysant les interactions entre les groupes de professions dans ces organisations et leurs incidences sur le quotidien des résident-es en maison de retraite.</t>
  </si>
  <si>
    <t>Cavin, Raymond</t>
  </si>
  <si>
    <t>Naville, Paul</t>
  </si>
  <si>
    <t>Pont, Aurélie</t>
  </si>
  <si>
    <t>Doctorante en démographie, Université de Genève, Institut de démographie et socioéconomie</t>
  </si>
  <si>
    <t>Genève (canton ; Suisse). Assemblée constituante</t>
  </si>
  <si>
    <t>Palais de l'Athénée (Genève, Suisse). Salle Crosnier</t>
  </si>
  <si>
    <t>Créée à l'origine pour mettre en valeur les travaux des étudiants de l'école de dessin, la Salle Crosnier organise, depuis 1970, des expositions régulières de jeunes artistes</t>
  </si>
  <si>
    <t>Genève (Suisse). Service d'urbanisme</t>
  </si>
  <si>
    <t>Union protestante (Genève, Suisse). Comité central</t>
  </si>
  <si>
    <t>Mines d'art (Carouge, Genève, Suisse ; 2011-2017)</t>
  </si>
  <si>
    <t>Galerie d'art</t>
  </si>
  <si>
    <t>Université de Genève (Genève, Suisse). Centre universitaire d'étude des problèmes de l'énergie (1978-2009)</t>
  </si>
  <si>
    <t>Le CUEPE est déclaré inactif depuis 2009 selon la structure officielle de l'Université de Genève. L'Institut des sciences de l'environnement a toutefois encore organisé le 19 mai 2017 la 25ème journée du CUEPE</t>
  </si>
  <si>
    <t>Commission externe d'évaluation des politiques publiques (Genève, Suisse ; 1995-2013)</t>
  </si>
  <si>
    <t>Les activités de cette instance ont été transférées le 1er juillet 2013 à la Cour des comptes du canton de Genève (Suisse)</t>
  </si>
  <si>
    <t>Borcard, Vincent (19..-.... ; journaliste)</t>
  </si>
  <si>
    <t>Rédacteur de la revue Habitation (en 2016)</t>
  </si>
  <si>
    <t>Chaix, Benjamin (19..-....)</t>
  </si>
  <si>
    <t>Journaliste, rédacteur à la Tribune de Genève de 1988 à 2025</t>
  </si>
  <si>
    <t>Genève (Suisse). Administration municipale</t>
  </si>
  <si>
    <t>Chambre genevoise immobilière (Suisse)</t>
  </si>
  <si>
    <t>192X</t>
  </si>
  <si>
    <t>Chambre genevoise immobilière est parfois suivi de \"Association des propriétaires\" qui n'est pas une dénomination alternative, mais uniquement l'explication de la fonction de la CGI | Dès mai 1960: Chambre genevoise immobilière | Jusqu'en avril 1960: Union genevoise des intérêts immobiliers</t>
  </si>
  <si>
    <t>Blondel, Louis (1885-1967)</t>
  </si>
  <si>
    <t>A aussi écrit en italien | Historien et archéologue</t>
  </si>
  <si>
    <t>Groupe santé Genève (Suisse)</t>
  </si>
  <si>
    <t>En 2021, l'Association élargit ses actions en englobant les questions de santé globale et la lutte contre les inégalités de santé ainsi que la promotion et la prévention autour de ces questions et devient Groupe santé Genève</t>
  </si>
  <si>
    <t>Genève (Suisse). Service des sports</t>
  </si>
  <si>
    <t>Grenus, Théodore de (1785-1851)</t>
  </si>
  <si>
    <t>Hébert, Henri (1849-1917)</t>
  </si>
  <si>
    <t>Artiste genevois né à Vandoeuvres (Genève) et mort à Genève. - A fréquenté l'Ecole d'art de Genève et les Beaux-arts de Paris. - Auteur de bandes dessinées. - A utilisé les pseudonymes de: Tubal et Phantaz</t>
  </si>
  <si>
    <t>Société des arts de Genève (Suisse). Classe agriculture</t>
  </si>
  <si>
    <t>Fondé en 1821, la Classe d'agriculture, qui a perdu au fil du temps sa vocation d'arbitre en matière agricole, est devenue à partir de 1978 la Classe de l'agriculture et de l'art de vivre: S'appelle aujourd'hui Classe agriculture</t>
  </si>
  <si>
    <t>Martin, Frédéric (1872-1942)</t>
  </si>
  <si>
    <t>Avocat et politicien suisse, né et mort à Genève. - Député au Grand Conseil genevois (1910-1930 et 1933-1936), conseiller d'Etat (Justice et Police, 1930-1933), conseiller aux Etats (1933-1942)</t>
  </si>
  <si>
    <t>Maunoir, Théodore (1806-1869)</t>
  </si>
  <si>
    <t>Faculté des sciences de Lyon | St George's, université de Londres | université de Paris</t>
  </si>
  <si>
    <t>Chirurgien suisse</t>
  </si>
  <si>
    <t>Margel, Serge (1962-.... ; philosophe)</t>
  </si>
  <si>
    <t>Philosophe. - Doctorat en philosophie à l’EHESS (Paris, 1992). - Doctorat en histoire des religions (Genève, 2005). - Diplômé de l'école des Arts Décoratifs et de l'école supérieure d'Arts Visuels de Genève. - A enseigné au Collège internationale de philosophie à Paris (1999-2002). - A dirigé un numéro spécial sur les anges et les démons, pour les Cahiers de la Revue de Théologie et de Philosophie (2021). - Responsable de recherche à l’Institut des humanités en médecine à CHUV&amp;UNIL (2018-2022). - Chargé d’enseignement à l’Université de Neuchâtel, en langue hébraïque et sciences bibliques. - Fondateur et co-directeur de la collection Asclepios aux Editions Jérôme Millon (Grenoble)</t>
  </si>
  <si>
    <t>Nicod, Michelle (1519-1618)</t>
  </si>
  <si>
    <t>1519</t>
  </si>
  <si>
    <t>Quemigny-sur-Seine</t>
  </si>
  <si>
    <t>1618</t>
  </si>
  <si>
    <t>Libraire et maître-imprimeur à Genève de 1585 à 1618. A la mort de son mari Jean Durant en 1585, Michelle Nicod, née en 1519, reprend la librairie et publie occasionnellement...\"</t>
  </si>
  <si>
    <t>Chambre de commerce, d'industrie et des services de Genève (Suisse)</t>
  </si>
  <si>
    <t>De 1865 à 1961: Chambre de commerce de Genève | De 1961 à 2006: Chambre de commerce et d'industrie de Genève | Dès 2006: Chambre de commerce, d'industrie et des services de Genève | La Chambre de commerce, d'industrie et des services de Genève (CCIG) a été fondée par Ernest Pictet en 1865, ce qui en fait la troisième plus ancienne Chambre de commerce de Suisse</t>
  </si>
  <si>
    <t>Koelliker, Martine (19..-....)</t>
  </si>
  <si>
    <t>Directrice adjointe du Département de la culture et de la transition numérique (en 2026)</t>
  </si>
  <si>
    <t>Chambre des notaires de Genève (Suisse)</t>
  </si>
  <si>
    <t>La Chambre des notaires de Genève est une association professionnelle qui regroupe tous les notaires du canton de Genève dès leur nomination par le Conseil d'Etat</t>
  </si>
  <si>
    <t>Fazy-Pasteur, Marc-Antoine (1778-1856)</t>
  </si>
  <si>
    <t>Ancien président du tribunal de commerce, ancien vice-président du Grand conseil, président de la société économique, président de la classe d'agriculture, député au grand conseil du canton, membre du conseil municipal de la ville de Genève</t>
  </si>
  <si>
    <t>Fatio, Antoine-Guillaume-Henri (1775-1840)</t>
  </si>
  <si>
    <t>1775</t>
  </si>
  <si>
    <t>Tinguely, Frédéric (19..-....)</t>
  </si>
  <si>
    <t>Professeur de littérature française à l'Université de Genève (en 2000)</t>
  </si>
  <si>
    <t>Genève (Genève, Suisse). Service social</t>
  </si>
  <si>
    <t>Maitre, Maryvonne (19..-....)</t>
  </si>
  <si>
    <t>Historienne, elle a documenté des pans importants de la vie culturelle et intellectuelle genevoise</t>
  </si>
  <si>
    <t>Société de Zofingue (Suisse). Section genevoise</t>
  </si>
  <si>
    <t>1823</t>
  </si>
  <si>
    <t>Witel, Jérémie (1754-1794)</t>
  </si>
  <si>
    <t>1754</t>
  </si>
  <si>
    <t>Imprimeur-libraire à Neuchâtel, puis aux Verrières (NE). - Né à Cologny, mort à Genève, protestant, des Verrières (NE). - Epouse en 1778 Suzanne Fauche, fille de Samuel, imprimeur-libraire à Neuchâtel. - Après un apprentissage d'imprimeur à Genève, il rejoint l'imprimerie de son beau-père à Neuchâtel. En 1781, il fut incarcéré durant six semaines à Paris pour avoir diffusé le Tableau de Paris de Louis-Sébastien Mercier. - Travaille à partir de 1782 avec son beau-frère Jonas Fauche ; avec ce dernier et d'autres associés, forme la raison sociale J. Fauche fils aîné, Favre et Compagnie entre 1783 et 1785. - Ouvre ensuite une imprimerie et maison d'édition aux Verrières et édite des œuvres littéraires et politiques, notamment celles d'Isabelle de Charrière. - Etabli en 1790 à Genève, il rallie le mouvement jacobin regroupé autour de Jacques de Grenus, devenant le porte-parole puis le président du Club des montagnards sentinelles de la liberté et le rédacteur du Frère Montagnard. Le tribunal révolutionnaire de Genève le condamna à mort et le fit exécuter en 1794 pour haute trahison.</t>
  </si>
  <si>
    <t>Pictet, Raoul (1846-1929)</t>
  </si>
  <si>
    <t>Physicien suisse qui obtient pour la première fois la liquéfaction de l'azote et de l’oxygène par l’action simultanée d’une haute pression et d’une basse température</t>
  </si>
  <si>
    <t>ACAU architecture (Carouge, Genève, Suisse)</t>
  </si>
  <si>
    <t>En 2016, l'Atelier coopératif d'architecture et d'urbanisme a évolué en société anonyme et a intégré une équipe de projeteurs issue du bureau Darius Golchan atelier d'architecture et d'urbanisme</t>
  </si>
  <si>
    <t>Martine, Gédéon (1671-1748)</t>
  </si>
  <si>
    <t>1671</t>
  </si>
  <si>
    <t>Notaire à Genève entre 1693 et 1706</t>
  </si>
  <si>
    <t>Gautier, Laurent (1960-.... ; botaniste)</t>
  </si>
  <si>
    <t>Botaniste au Jardin Botanique de Genève (en 1997) ; retraité en 2025</t>
  </si>
  <si>
    <t>Genève (canton ; Suisse). Commission des élections</t>
  </si>
  <si>
    <t>Genève (canton ; Suisse). Service de géologie, sols et déchets</t>
  </si>
  <si>
    <t>Genève (République ; 1535-1798). Conseil provisoire</t>
  </si>
  <si>
    <t>Genève (canton ; Suisse). Département de l'action sociale et de la santé (....-2005)</t>
  </si>
  <si>
    <t>De 1994 à 2005: Genève (canton). Département de l'action sociale et de la santé | Dès 2006, scindé en 2. La santé devient: Genève (canton). Département de l'économie et de la santé | Et l'action sociale devient: Genève (canton). Département de la solidarité et de l'emploi | Jusqu'en 1993: Genève (canton). Département de la prévoyance sociale et de la santé publique</t>
  </si>
  <si>
    <t>Genève (canton ; Suisse). Protection des données et transparence</t>
  </si>
  <si>
    <t>Genève (canton ; Suisse). Direction de la mensuration officielle</t>
  </si>
  <si>
    <t>De 1851 à 2002: Service du cadastre | De 2003-2009: Direction cantonale de la mensuration officielle | De 2009-2013: Service de la mensuration officielle | De 2014 à avril 2018: Direction de la mensuration officielle | Dès mai 2018, devient par fusion avec le Service de la géomatique: Direction de l'information du territoire</t>
  </si>
  <si>
    <t>Perret, Mathieu (19..-.... ; botaniste)</t>
  </si>
  <si>
    <t>Université de Genève | Jardin Botanique de Genève</t>
  </si>
  <si>
    <t>Martina, Yves</t>
  </si>
  <si>
    <t>Primatesta, Georges</t>
  </si>
  <si>
    <t>Pazziani, Paul (19..-19.. ; hydraulicien)</t>
  </si>
  <si>
    <t>Ingénieur, directeur du Service des Eaux de Genève</t>
  </si>
  <si>
    <t>Poncy, Eric (1903-1983 ; graphiste)</t>
  </si>
  <si>
    <t>Graphiste et peintre ; entré à l'Ecole des arts industriels en 1918 dans la classe de broderie et de batik dont il sort diplômé en 1923 ; parti à Paris s'employer chez la créatrice Berthe Vergne ; a travaillé comme graphiste dans l'atelier de Paul Ternat de 1925 à 1939 et consacre à la peinture ses heures de liberté ; mena de front la peinture de chevalet et le graphisme jusqu'à l'âge de quarante ans ; revenu à Genève à la suite de la [Seconde guerre mondiale], a enseigné de 1948 à 1968 à l'Ecole des arts décoratifs</t>
  </si>
  <si>
    <t>Saladin, Charles (1793-1861)</t>
  </si>
  <si>
    <t>Nice</t>
  </si>
  <si>
    <t>Lieutenant colonel, membre de l’Église évangélique de Genève</t>
  </si>
  <si>
    <t>Ménine, Karelle (1972-....)</t>
  </si>
  <si>
    <t>Mazamet</t>
  </si>
  <si>
    <t>Journaliste. - Collaboratrice de la Radio suisse romande (en 2004). - Réside à Genève</t>
  </si>
  <si>
    <t>Chanson, Philippe (1950-.... ; théologien)</t>
  </si>
  <si>
    <t>Anthropologue de l'Université catholique de Louvain | Théologien réformé et aumônier de l'Université de Genève</t>
  </si>
  <si>
    <t>Grandjean, Michel (1957-....)</t>
  </si>
  <si>
    <t>Enseigne l'histoire du christianisme aux Facultés de théologie protestante des Universités de Genève et de Lausanne (en 1994). Docteur en théologie (Université de Genève)</t>
  </si>
  <si>
    <t>Parti libéral genevois (Suisse ; 1875-2011)</t>
  </si>
  <si>
    <t>De 1875 à 1957 : Parti démocratique (Genève) | De 1957 au 23.05 2011 : Parti libéral genevois | Le 24.05.2011, fusionne avec le Parti radical genevois et devient : Parti libéral radical genevois</t>
  </si>
  <si>
    <t>Parti radical genevois (Suisse ; 1842-2011)</t>
  </si>
  <si>
    <t>De 1842 au 23.05.2011 : Parti radical genevois | Fusionne avec le Parti libéral genevois, le 24.05 2011 et devient : Parti libéral radical genevois</t>
  </si>
  <si>
    <t>Genève (canton ; Suisse). Office cantonal de l'agriculture et de la nature</t>
  </si>
  <si>
    <t>Vincent, Jean (1906-1989 ; homme politique genevois)</t>
  </si>
  <si>
    <t>Genève (canton ; Suisse). Direction générale de l'enseignement obligatoire</t>
  </si>
  <si>
    <t>Souyri, Pierre-François (1952-.... ; japonologue)</t>
  </si>
  <si>
    <t>Institut national des langues et civilisations orientales</t>
  </si>
  <si>
    <t>Fils de Pierre Souyri (1925-1979), historien et résistant | Japonologue. - Historien. - Spécialiste du Japon médiéval. - Professeur honoraire d'histoire du Japon à l'Université de Genève (2023). - Directeur de la Maison Franco-japonaise, Tokyo (1999-2003). - Maître de conférences à l'Institut national des langues et civilisations orientales (1985-1999). - Directeur des études de l'École française d'Extrême-Orient (1993-1996). - Directeur de la Maison de l'histoire de l'université de Genève de 2015 à 2017. - Créateur des Rencontres de Genève \"Histoire et Cité\" devenues \"Festival Histoire et Cité\" (depuis 2015). - Membre du Comité scientifique de l'Histoire (depuis 2017) | Ne pas confondre avec l'historien et le sinologue Souyri, Pierre (1925-1979)</t>
  </si>
  <si>
    <t>Mestrezat, Philippe (1618-1690)</t>
  </si>
  <si>
    <t>Pasteur à Genève en 1644. En parallèle, il est à professeur de philosophie à l'Académie de Genève dès 1641, puis professeur de théologie dès 1649 et recteur de 1649 à 1654 puis de 1670 à 1672</t>
  </si>
  <si>
    <t>Schmidely, Auguste (1838-1918 ; botaniste)</t>
  </si>
  <si>
    <t>La Musicale de la Bibliothèque de Genève (Suisse)</t>
  </si>
  <si>
    <t>Dès juillet 2015: Musicale de la Bibliothèque de Genève | Jusqu'en juin 2015: Bibliothèque musicale (Genève)</t>
  </si>
  <si>
    <t>Fondation Genève place financière (Suisse)</t>
  </si>
  <si>
    <t>Genève (Genève, Suisse). Service d'incendie et de secours</t>
  </si>
  <si>
    <t>De 1840 à 1868: Bataillon de sapeurs-pompiers | De 1868 à 1975: Service de secours contre l'incendie | Dès 1975: Service d'incendie et de secours</t>
  </si>
  <si>
    <t>Lancy (Genève, Suisse)</t>
  </si>
  <si>
    <t>Commune du canton de Genève, comprenant le Petit-Lancy et le Grand-Lancy</t>
  </si>
  <si>
    <t>Genève (canton ; Suisse). Direction générale des transports (2013-2023)</t>
  </si>
  <si>
    <t>De 2009 à 2013: Direction générale de la mobilité. De 2013 à 2023: Direction générale des transports. Dès 2023: Office cantonal des transports | La Direction générale des transports a dépendu de 2013 à 2018 du Département de l'environnement, des transports et de l'agriculture, de 2018 à 2023 du Département des infrastructures | Magistrat en charge de 2013 à 2018: Luc Barthassat. De 2018 à 2023: Serge Dal Busco</t>
  </si>
  <si>
    <t>Genève (canton ; Suisse). Office des transports et de la circulation (1985-2005)</t>
  </si>
  <si>
    <t>De 1965 à 1985: Bureau de l'ingénieur de la circulation. De 1985 à 2005: Office des transports et de la circulation. Dès 2005: Office cantonal de la mobilité | L'Office des transports et de la circulation a dépendu du Département de justice et police de 1985 à 1993, du Département de justice et police et des transports de 1993 à 2001, du Département de l'intérieur, de l'agriculture et de l'environnement de 2001 à 2005 | Magistrat en charge de 1985 à 1993: Bernard Ziegler. De 1993 à 2001: Gérard Ramseyer. De 2001 à 2005: Robert Cramer</t>
  </si>
  <si>
    <t>Cottier, Michelle</t>
  </si>
  <si>
    <t>Genève (canton ; Suisse). Direction des grands projets (2011-2013)</t>
  </si>
  <si>
    <t>Ainsi qu'une direction des missions opérationnelles (MO) pour les projets PAV et interfaces CEVA - directrice : Nathalie Luyet | Directrice Nicole Surchat | La Direction des grands projets est composée de 3 services : secteur Rhône-Lac, secteur Drize Rhône, secteur Drize-Lac | Suite à la réorganisation de l'Office de l'urbanisme, création le 1er décembre 2011 de la Direction des grands projets | Suite à la réorganisation de l'Office de l'urbanisme, le 14 janvier 2014, la Direction des grands projets se scinde en 3 directions du développement urbain: DDU rive droite, DDU rive gauche, DDU PAV/Interfaces CEVA</t>
  </si>
  <si>
    <t>Mangeat, Paule</t>
  </si>
  <si>
    <t>Bergadaà, Michelle (1954-....)</t>
  </si>
  <si>
    <t>Tarbes</t>
  </si>
  <si>
    <t>Université de Montréal | HEC Montréal</t>
  </si>
  <si>
    <t>Professeure émérite de l'Université de Genève, Faculté Économie et Management. Présidente de l’Institut International de Recherche et d’Action sur la Fraude et le Plagiat Académiques (IRAFPA).</t>
  </si>
  <si>
    <t>Olivier, Jean-Michel (1952-....)</t>
  </si>
  <si>
    <t>Université du Michigan</t>
  </si>
  <si>
    <t>Auteur d'essais et de romans</t>
  </si>
  <si>
    <t>Giordan, André (1946-2023 ; professeur de biologie)</t>
  </si>
  <si>
    <t>Saint-André-de-la-Roche</t>
  </si>
  <si>
    <t>Université de Genève | lycée Carnot</t>
  </si>
  <si>
    <t>Agrégé de biologie, d'abord spécialiste de la physiologie des régulations puis de la didactique et de l’épistémologie des sciences</t>
  </si>
  <si>
    <t>Mazzocco, Mariel (1980-.... ; historienne)</t>
  </si>
  <si>
    <t>Historienne. Docteur en sciences religieuses, elle enseigne la spiritualité à l'Université de Genève, Faculté de théologie | Écrit aussi en français</t>
  </si>
  <si>
    <t>Delemontey, Yvan (1973-....)</t>
  </si>
  <si>
    <t>Yvan Delemontey est architecte, diplômé de l’Institut d’architecture de l’Université de Genève (IAUG) en 1999 et docteur en architecture de l'université de Paris 8 Vincennes-Saint-Denis et de l'université de Genève (en 2009, en 2019)</t>
  </si>
  <si>
    <t>Marchand, Bruno (1955-....)</t>
  </si>
  <si>
    <t>Architecte diplômé de l'École polytechnique fédérale de Lausanne (Suisse) en 1980. - Enseignant et chercheur à l'Institut de théorie et d'histoire de l'architecture du Département d'architecture de l'EPFL, École polytechnique fédérale, Genève, Suisse (en 1991), puis directeur de l'Institut de théorie et d'histoire de l'architecture (en 2000). - Associé au bureau DeLaMa où il s'occupe d'études d'aménagement du territoire et d'urbanisme (de 2001 à 2014)</t>
  </si>
  <si>
    <t>Coop Genève (Suisse)</t>
  </si>
  <si>
    <t>De 1964 à 2000: Coop Genève | Jusqu'en 1963: Société coopérative suisse de consommation (Genève)</t>
  </si>
  <si>
    <t>F-information (Genève, Suisse)</t>
  </si>
  <si>
    <t>Touring Club suisse. Section Genève</t>
  </si>
  <si>
    <t>Baezner, Anne (19..-....)</t>
  </si>
  <si>
    <t>Historienne d'art en poste au Musée d'art et d'histoire de Genève, Suisse depuis 1997</t>
  </si>
  <si>
    <t>Kiss, Dóra</t>
  </si>
  <si>
    <t>Danseuse et titulaire d'un doctorat en musicologie et en danse (en cotutelle à l’Université de Genève [dir. E. Darbellay et G. Bolens] et à l’Université de Nice-Sophia Antipolis</t>
  </si>
  <si>
    <t>Communauté de travail pour l'accueil et l'intégration des étrangers (Genève, Suisse ; 1983-1997)</t>
  </si>
  <si>
    <t>Maison de quartier de Saint-Jean (Genève, Suisse)</t>
  </si>
  <si>
    <t>Société pour l'instruction religieuse de la jeunesse (Genève, Suisse)</t>
  </si>
  <si>
    <t>1736</t>
  </si>
  <si>
    <t>Genève (canton ; Suisse). Office cantonal de l'inspection et des relations du travail</t>
  </si>
  <si>
    <t>Desqueyroux-Faúndez, Ruth</t>
  </si>
  <si>
    <t>Garcia, Frédérik</t>
  </si>
  <si>
    <t>Beer, Charles (1961-....)</t>
  </si>
  <si>
    <t>Environnement-info (Genève, Suisse)</t>
  </si>
  <si>
    <t>Jusqu'en 2001: Inf-eau-déchets | Le service Inf-eau-déchets est le service cantonal genevois d'information et de communication sur les thèmes du recyclage des déchets et de l'eau. En 2001, le service a élargi son champs d'action à d'autres thèmes. Il a alors changé d'identité pour s'appeler Environnement-Info | Suite à l'introduction de la charte graphique cantonale, le nom et le logo \"Environnement-Info\" sont supprimés. L'entité prend officiellement le nom de Service de l'information et de la communication (SIC), rattaché à l'environnement, à l'énergie, à l'eau et à la mobilité</t>
  </si>
  <si>
    <t>Aubert, Paul (architecte)</t>
  </si>
  <si>
    <t>Architecte genevois. - Entre 1920 et 1930 sous l'égide de l'architecte Paul Aubert est le fruit de cette première entreprise de la SSTP dans le domaine du patrimoine rural. Une bonne trentaine d'édifices furent ainsi relevés et photographiés, et Paul Aubert publia quatre articles dans la revue Genava entre 1923 et 1928.</t>
  </si>
  <si>
    <t>Fondataion Foyer-Handicap (Genève, Suisse)</t>
  </si>
  <si>
    <t>Genève (République). Commission révolutionnaire</t>
  </si>
  <si>
    <t>Musée Fol (Genève, Genève, Suisse)</t>
  </si>
  <si>
    <t>Devient en 1910: Musée d'art et d'histoire, par fusion avec les Musée des beaux-arts, Musée archéologique et Musée des arts décoratifs</t>
  </si>
  <si>
    <t>Courtois Farfara, Chantal (1958-....)</t>
  </si>
  <si>
    <t>Archéologue. - Assistante-conservatrice du Département d'Archéologie, Musées d'Art et d'Histoire de Genève</t>
  </si>
  <si>
    <t>Candolle-Boissier, Jean-Augustin-Pyramus de (1756-1817)</t>
  </si>
  <si>
    <t>1817</t>
  </si>
  <si>
    <t>Godoy, José-Andrés (19..-....)</t>
  </si>
  <si>
    <t>Historien d'art. Conservateur des armures et armes anciennes au Musée d'art et d'histoire de Genève</t>
  </si>
  <si>
    <t>Wiedmer-Dozio, Marie-José (1951-.... ; architecte et réalisatrice de film)</t>
  </si>
  <si>
    <t>Né en 1951 à Genève (Suisse). Architecte diplômée de la École Polytechnique Fédérale de Zürich. 1991-2011 Directrice du service d'urbanisme de la Ville de Genève. - Réalisatrice de film</t>
  </si>
  <si>
    <t>Manzano, Juan</t>
  </si>
  <si>
    <t>Médecin, spécialisé en psychiatrie et en psychanalyse, Privat-Docent à la Faculté de médecine de Genève, Directeur du service Médico-pédagogique, office de la jeunesse (en 1987)</t>
  </si>
  <si>
    <t>Teroni, Fabrice (1974-....)</t>
  </si>
  <si>
    <t>En poste aux universités de Genève et Neuchâtel | Philosophe. Professeur associé de philosophie des émotions, Département de philosophie, Université de Genève, Suisse (en 2021)</t>
  </si>
  <si>
    <t>Candolle, Augustin de (1868-1920)</t>
  </si>
  <si>
    <t>Walton-on-Thames</t>
  </si>
  <si>
    <t>Rugby School | université de Leipzig | université de Heidelberg</t>
  </si>
  <si>
    <t>Juriste et botaniste</t>
  </si>
  <si>
    <t>Dagron, Stéphanie (1971-.... ; juriste)</t>
  </si>
  <si>
    <t>université de Poitiers</t>
  </si>
  <si>
    <t>Juriste, docteure des universités de Poitiers et de la Sarre en 2003, chargée de cours aux universités de la Sarre (1997-2000), de Strasbourg (2001-2003), de Poitiers (2006-2010) et d'Heidelberg (2003-2009) ; chercheuse postdoctorale à l’Institut für europäisches und deutsches Verwaltungsrecht de l’Université de Heidelberg (2003-2006), à l’Institut Max-Planck de Heidelberg (2006-2007) et à l’Université allemande des sciences administratives Speyer (2008-2009), puis comme Senior Research Fellow dans le cadre d’une bourse FNS Ambizione à l’Institut für Biomedizinische Ethik und Medizingeschichte de l’Université de Zurich ; professeure et membre de la Faculté de droit de l'université de Zurich de septembre 2013 à février 2016, puis professeure ordinaire à la faculté de droit de l'université de Genève depuis 2016 et professeur associée de la Faculté de médecine de cette même université depuis 2016</t>
  </si>
  <si>
    <t>Schubert, Paul (1963-.... ; helléniste)</t>
  </si>
  <si>
    <t>Papyrologue, spécialiste de l'Égypte gréco-romaine</t>
  </si>
  <si>
    <t>Cresson, Geneviève (1947-....)</t>
  </si>
  <si>
    <t>Pas-de-Calais</t>
  </si>
  <si>
    <t>Université de Genève | université Lille-III</t>
  </si>
  <si>
    <t>Titulaire d'un doctorat en Sociologie (EHESS, 1991). Professeure émérite de Sociologie et membre du Centre Lillois d'Etudes et de Recherches Sociologiques et Economiques (Clersé - UMR CNRS 8019) de l'Université de Lille 1 - Sciences et Technologies</t>
  </si>
  <si>
    <t>Chalamet, Christophe (1972-....)</t>
  </si>
  <si>
    <t>Université Fordham | Université de Genève</t>
  </si>
  <si>
    <t>Secrétaire de l'Association suisse pour l'histoire du refuge huguenot (en 2000). Professeur de théologie systématique à l'Université de Genève depuis 2011</t>
  </si>
  <si>
    <t>Ducor, Jérôme (1954-....)</t>
  </si>
  <si>
    <t>Docteur ès lettres, Genève, 1990. Spécialiste du bouddhisme. Conservateur du département Asie du musée d'ethnographie de Genève et membre associé du Centre de recherche sur les civilisations de l'Asie orientale (CNRS-Paris) (2011)</t>
  </si>
  <si>
    <t>Macchi, Jean-Daniel (1963-....)</t>
  </si>
  <si>
    <t>Architecte et théologien. Chercheur en Ancien Testament à la Faculté de théologie de Genève (en 1994)</t>
  </si>
  <si>
    <t>Burger, Marcel (1962-.... ; linguiste)</t>
  </si>
  <si>
    <t>Université de Genève | Université de Neuchâtel | Université de Lausanne | centre de linguistique et des sciences du langage</t>
  </si>
  <si>
    <t>Linguiste et spécialiste de la communication politique. Docteur en linguistique de l'université de Genève en 1997, successivement en poste à l'université de Genève (1997-200), l'université de Neuchâtel (2002-2009)et l'université de Lausanne (depuis 2008)</t>
  </si>
  <si>
    <t>Église évangélique libre de Genève (Suisse)</t>
  </si>
  <si>
    <t>Rieder, René</t>
  </si>
  <si>
    <t>Kolla, Christiane</t>
  </si>
  <si>
    <t>Berchtold, Jacques (1959-....)</t>
  </si>
  <si>
    <t>Université de Genève (en 1994). - Professeur à l'Université Paris 3-Sorbonne nouvelle (en 2004). - Directeur de la Fondation Bodmer, Cologny, Genève depuis 2014 (en 2023)</t>
  </si>
  <si>
    <t>Deonna, Henry (1872-1944)</t>
  </si>
  <si>
    <t>Juriste, notaire, généalogiste</t>
  </si>
  <si>
    <t>Simon, Daniel (1945-....)</t>
  </si>
  <si>
    <t>Professeur et écrivain suisse, de Genève. - Etudes de lettres (dès 1964) à l'Université de Neuchâtel (licence en 1968). - D'abord assistant de français à Londres (un an et demi), il enseigne successivement à l'Ecole secondaire régionale de Neuchâtel (quatre ans), en Colombie (deux ans), à l'école secondaire et de commerce du Locle (un an) et au gymnase cantonal de la Chaux-de-Fonds (1977-2010). - Réside (en 2020) à Corcelles-Cormondrèche, Neuchâtel; a essentiellement vécu dans ce canton, et en particulier dans son chef-lieu. - Egalement actif en politique (socialiste). - A réalisé un film sur Bogota</t>
  </si>
  <si>
    <t>Mühlberger de Preux, Cornélia (1959-....)</t>
  </si>
  <si>
    <t>Née à Vienne. - Elle a grandi en Valais.- Elle a étudié les Lettres à l'Université de Genève. - Elle écrit des fictions, des nouvelles</t>
  </si>
  <si>
    <t>Garcin, Auguste (1816-1895 ; photographe)</t>
  </si>
  <si>
    <t>Daguerréotypiste et photographe à Genève, plaine du Pré-l'Evêque, de 1853 environ au début des années 1870. Ouvrit également un studio de photographie à Neuchâtel vers 1875. Sujets touristiques (Suisse, Savoie, sud de la France). L'atelier de Garcin a été racheté par Antoine-Henry Boissonnas.</t>
  </si>
  <si>
    <t>Delachaux, Jonathan (1976-....)</t>
  </si>
  <si>
    <t>Artiste suisse né à Môtiers, diplômé de l'Ecole supérieure des arts visuel de Genève (ESAV). Co-fondteur du Collectif genevois Tchan Zâca, en 2022</t>
  </si>
  <si>
    <t>Pache, Irénée (1945-....)</t>
  </si>
  <si>
    <t>Né en 1945 dans le canton de Fribourg, Suisse. - Vit à Genève</t>
  </si>
  <si>
    <t>Perruchoud, Michaël (1974-.... ; romancier)</t>
  </si>
  <si>
    <t>Romancier | Écrivain, éditeur, chanteur (Ostap Bender, Duo d'eXtrêmes Suisses), cofondateur du site Cousu Mouche. Né à Genève</t>
  </si>
  <si>
    <t>Vincent (1979-....)</t>
  </si>
  <si>
    <t>École Émile-Cohl</t>
  </si>
  <si>
    <t>Le Courrier | Vigousse</t>
  </si>
  <si>
    <t>Né en 1979 à Genève. Après des études de BD et d'illustration à l'Ecole Emile Cohl de Lyon, il devient dessinateur de presse pour le journal Le Courrier de Genève et à l'hebdomadaire satirique romand Vigousse.</t>
  </si>
  <si>
    <t>Terrier, Laurence</t>
  </si>
  <si>
    <t>Docteur ès Lettres à l'Université de Genève (Suisse)</t>
  </si>
  <si>
    <t>Bertrana, Aurora (1892-1974)</t>
  </si>
  <si>
    <t>Gérone</t>
  </si>
  <si>
    <t>Berga</t>
  </si>
  <si>
    <t>Institut Jaques-Dalcroze | Université de Genève</t>
  </si>
  <si>
    <t>La Bonne</t>
  </si>
  <si>
    <t>Fille de Prudenci Bertrana. Ecrivaine catalane, ayant vécu à Genève et dans la zone de Neuchâtel (Suisse) pendant plus de 10 ans : de 1922-1924 et de 1938-1949</t>
  </si>
  <si>
    <t>Hôpitaux universitaires de Genève (Suisse ; 1995-....)</t>
  </si>
  <si>
    <t>De 1535 à 1856: Hôpital de Genève. - De 1856 à 1979: Hôpital cantonal. - De 1980 à 1994: Hôpital cantonal universitaire. - Dès 1995: Hôpitaux universitaires de Genève. - En mars 1995 \"Belle-Idée\" devient une des structures des Hôpitaux universitaires de Genève | En 1856, l'Hôpital de Genève se scinde en deux institutions. Ses activités médicales sont confiées à l'Hôpital cantonal, qui devient Hôpital cantonal universitaire, puis se fond dans les Hôpitaux universitaires de Genève (HUG). Il poursuit par ailleurs ses activités d'assistance sociale sous le nom d'Ancien Hôpital de Genève, aujourd'hui Hospice général | Les HUG sont organisés sous forme d'un réseau de services médicaux, regroupés en 12 départements médicaux, et de services d'appui réunis en un département d'exploitation. Huit départements médicaux sont rattachés à l'Hôpital cantonal, quatre à Belle-Idée | Regroupant les huit hôpitaux publics genevois ainsi que 40 consultations ambulatoires, réparties sur l'ensemble du canton de Genève, les HUG constituent le 1er hôpital universitaire de Suisse</t>
  </si>
  <si>
    <t>Berthelier, Philibert (1465?-1519)</t>
  </si>
  <si>
    <t>1465</t>
  </si>
  <si>
    <t>Virieu-le-Grand</t>
  </si>
  <si>
    <t>Capitaine de la compagnie des archers à Genève. - Accusé d'un complot en 1517, il est condamné à mort et exécuté en 1519. Lieu de naissance Virieu-le-Grand (France). Lieu de décès Genève (Suisse)</t>
  </si>
  <si>
    <t>Gosse, Henri Albert (1753-1816 ; chimiste)</t>
  </si>
  <si>
    <t>Chimiste et naturaliste. Lieu de naissance Genève (Suisse). Lieu de décès Genève (Suisse)</t>
  </si>
  <si>
    <t>Cherbuliez, Antoine-Élisée (1797-1869 ; économiste)</t>
  </si>
  <si>
    <t>École polytechnique</t>
  </si>
  <si>
    <t>École polytechnique fédérale de Zurich</t>
  </si>
  <si>
    <t>Publiciste, avocat puis professeur d'économie politique et de droit public à Genève. Se fixe à Paris en 1848</t>
  </si>
  <si>
    <t>Jordan, Didier (1960-....)</t>
  </si>
  <si>
    <t>Photographe professionnel, vit et travaille à Genève (en 1995). Né à Fribourg, Suisse</t>
  </si>
  <si>
    <t>Naville, Édouard (1844-1926)</t>
  </si>
  <si>
    <t>Université de Genève | King's College de Londres</t>
  </si>
  <si>
    <t>Egyptologue, philologue, spécialiste des questions bibliques, archéologue pour l'Egypt Exploration Society. Professeur honoraire de l'Université de Genève, associé étranger de l'Institut de France. Lieu de naissance Genève</t>
  </si>
  <si>
    <t>Duchosal, Louis (1862-1901 ; poète)</t>
  </si>
  <si>
    <t>canton de Genève</t>
  </si>
  <si>
    <t>Lieu de naissance Genève (Suisse). Lieu de décès Genève (Suisse) | Poète</t>
  </si>
  <si>
    <t>Institut universitaire d'études du développement (Genève, Genève, Suisse ; 1977-2008)</t>
  </si>
  <si>
    <t>Fait suite à l'Institut africain de l'Université de Genève en 1973. Devient l'\"Institut de hautes études internationales et du développement\" suite à la fusion en 2008 de l'Institut universitaire de hautes études internationales (IUHEI) et de l'Institut universitaire d'études du développement (IUED)</t>
  </si>
  <si>
    <t>Calame, Geneviève (1946-1993)</t>
  </si>
  <si>
    <t>Pianiste et compositrice suisse. Professeur à l'Ecole supérieure des arts visuels (1975-1993)</t>
  </si>
  <si>
    <t>Université de Genève (Genève, Suisse). Faculté de droit</t>
  </si>
  <si>
    <t>1559</t>
  </si>
  <si>
    <t>Université ouvrière de Genève (Suisse)</t>
  </si>
  <si>
    <t>Centre de formation continue des travailleurs et des travailleuses. Adresse : Place des Grottes 3 1201 Genève</t>
  </si>
  <si>
    <t>Thévenaz, Louis-Joseph (18..-19..)</t>
  </si>
  <si>
    <t>Maître au collège de Genève (Suisse)</t>
  </si>
  <si>
    <t>Rappaz, Marc-André (1958-.... ; compositeur)</t>
  </si>
  <si>
    <t>Compositeur genevois</t>
  </si>
  <si>
    <t>Kitsos, Christina (1981-....)</t>
  </si>
  <si>
    <t>université Paris-Sorbonne | Université de Neuchâtel | Université de Genève</t>
  </si>
  <si>
    <t>Conseillère administrative de la Ville de Genève (exécutif) depuis le 1er juin 2020, chargée du département de la cohésion sociale et de la solidarité, et maire de Genève de 2024 à 2025 et depuis 2026. -A grandi à la Chaux-de-Fonds</t>
  </si>
  <si>
    <t>Université de Genève (Genève, Suisse)</t>
  </si>
  <si>
    <t>3 pl. de l'Université, Genève (Suisse) | Fondée en 1559, l'académie devint Université en 1872</t>
  </si>
  <si>
    <t>Witz, Konrad (140?-1445?)</t>
  </si>
  <si>
    <t>140X</t>
  </si>
  <si>
    <t>Rottweil</t>
  </si>
  <si>
    <t>1445</t>
  </si>
  <si>
    <t>Peintre suisse né à Rottweil vers 1400, décédé entre 1445 et 1447 à Bâle. En 1444, il se rendit à Genève, où il réalisa le retable du maître-autel de la cathédrale</t>
  </si>
  <si>
    <t>Rousseau, Jean-Jacques (1712-1778)</t>
  </si>
  <si>
    <t>Ermenonville</t>
  </si>
  <si>
    <t>Écrivain et philosophe genevois de langue française. Théoricien. Compositeur et critique musical</t>
  </si>
  <si>
    <t>Tronchin, Louis (1629-1705)</t>
  </si>
  <si>
    <t>1629</t>
  </si>
  <si>
    <t>1705</t>
  </si>
  <si>
    <t>Pasteur, professeur de théologie, recteur de l'Académie de Genève (en 1663). Lieu de naissance Genève (Suisse). Lieu de décès Genève (Suisse)</t>
  </si>
  <si>
    <t>Reclus, Élisée (1830-1905)</t>
  </si>
  <si>
    <t>Sainte-Foy-la-Grande</t>
  </si>
  <si>
    <t>Thourout</t>
  </si>
  <si>
    <t>Faculté de théologie protestante de Montauban</t>
  </si>
  <si>
    <t>université Nouvelle de Bruxelles</t>
  </si>
  <si>
    <t>A aussi écrit en anglais | Frère de : Reclus, Élie (1827-1904). Fils de : Reclus, Jacques (1796-1882) | Géographe. - Écrivain. - Fondateur de l'Université libre de Bruxelles. - Directeur de son Institut géographique. - Anarchiste, s'exile après 1851, revient en France en 1857, est banni après la Commune de Paris | Né à Sainte-Foy-la Grande (Gironde) et mort à Thourout (Belgique)</t>
  </si>
  <si>
    <t>collège Calvin | Université de Genève</t>
  </si>
  <si>
    <t>Université de Bâle | Université de Genève</t>
  </si>
  <si>
    <t>Adam Kazimierz Czartoryski | Université de Genève | université Eberhard-Karl de Tübingen</t>
  </si>
  <si>
    <t>Université de Neuchâtel | Université de Genève</t>
  </si>
  <si>
    <t>Université de Fribourg | Université du Québec à Rimouski | Groupe d'experts intergouvernemental sur l'évolution du climat | Université de Genève | Laboratoire de météorologie dynamique</t>
  </si>
  <si>
    <t>université Humboldt de Berlin | université du Caire | Université de Genève</t>
  </si>
  <si>
    <t>université de Paris | Université de Genève</t>
  </si>
  <si>
    <t>153872713</t>
  </si>
  <si>
    <t>https://swisscovery.slsp.ch/view/sru/41SLSP_NETWORK?version=1.2&amp;operation=searchRetrieve&amp;recordSchema=marcxml&amp;query=alma.authority_id=153872713&amp;maximumRecords=0</t>
  </si>
  <si>
    <t>https://swisscovery.slsp.ch/view/sru/41SLSP_VGE?version=1.2&amp;operation=searchRetrieve&amp;recordSchema=marcxml&amp;query=alma.authority_id=153872713&amp;maximumRecords=0</t>
  </si>
  <si>
    <t>École cantonale d'art de Lausanne | université Paris-Sorbonne</t>
  </si>
  <si>
    <t>université Bourgogne-Europe | Université de Genève</t>
  </si>
  <si>
    <t>université de Strasbourg | université de Leipzig | Université de Genève | université de Paris</t>
  </si>
  <si>
    <t>université de Leipzig | Université de Genève</t>
  </si>
  <si>
    <t>Université de Genève | université de Paris | Université de Lausanne</t>
  </si>
  <si>
    <t>Brooks Institute of Photography | California College of the Arts</t>
  </si>
  <si>
    <t>Université de Copenhague | Université de Genève | Université de Leyde</t>
  </si>
  <si>
    <t>Le Temps | Heidi.news | Le Monde | Le Figaro</t>
  </si>
  <si>
    <t>université de Paris | Université de Genève | Université de Bâle</t>
  </si>
  <si>
    <t>Musée d’Art et d’Histoire de Genève | Université de Genève</t>
  </si>
  <si>
    <t>université Friedrich-Schiller d'Iéna | Université de Genève</t>
  </si>
  <si>
    <t>Lullin, Amédée (1695-1756)</t>
  </si>
  <si>
    <t>1695</t>
  </si>
  <si>
    <t>Lieu de naissance Genève. Lieu de décès Genève | Pasteur. - Professeur d'histoire ecclésiastique</t>
  </si>
  <si>
    <t>Université de Genève | Université Harvard | École polytechnique fédérale de Zurich</t>
  </si>
  <si>
    <t>Université de Genève | École polytechnique fédérale de Lausanne | Université de Neuchâtel | Université Laval</t>
  </si>
  <si>
    <t>École française d'Extrême-Orient | Université de Genève</t>
  </si>
  <si>
    <t>École supérieure des sciences économiques et commerciales | Université de Genève | Université du Québec à Montréal</t>
  </si>
  <si>
    <t>université Paris-Diderot | université Nice-Sophia-Antipolis | université Paris-VIII | université Paris-Descartes | université Paris-I-Panthéon-Sorbonne</t>
  </si>
  <si>
    <t>Université de Glamorgan | École supérieure des beaux-arts de Genève</t>
  </si>
  <si>
    <t>université Paris-Sorbonne | École cantonale d'art de Lausanne</t>
  </si>
  <si>
    <t>École pratique des hautes études | Université de Genève</t>
  </si>
  <si>
    <t>École internationale de théâtre Jacques-Lecoq | École de théâtre Serge Martin | université de Caen-Normandie | Conservatoire national supérieur d'art dramatique</t>
  </si>
  <si>
    <t>L'Écho des savanes | Vaillant | Pilote | Pif Gadget | Spirou</t>
  </si>
  <si>
    <t>Université de Genève | université Bourgogne-Europe</t>
  </si>
  <si>
    <t>université de Strasbourg | Université de Genève | université de Leipzig | université de Paris</t>
  </si>
  <si>
    <t>Université de Lausanne | Université de Genève | université de Paris</t>
  </si>
  <si>
    <t>université de Göttingen | Université de Genève</t>
  </si>
  <si>
    <t>université de Heidelberg | université de Giessen</t>
  </si>
  <si>
    <t>Université de Copenhague | Université de Leyde | Université de Genève</t>
  </si>
  <si>
    <t>Le Figaro | Le Monde | Le Temps | Heidi.news</t>
  </si>
  <si>
    <t>université de Paris | Université de Bâle | Université de Genève</t>
  </si>
  <si>
    <t>université de Heidelberg | Université de Genève</t>
  </si>
  <si>
    <t>Université de Genève | Musée d’Art et d’Histoire de Genève</t>
  </si>
  <si>
    <t>Université de Genève | université Friedrich-Schiller d'Iéna</t>
  </si>
  <si>
    <t>Université de Genève | université de Paris</t>
  </si>
  <si>
    <t>Université de Genève | École polytechnique fédérale de Zurich | Université Harvard</t>
  </si>
  <si>
    <t>Université Yale | Université de Genève | Université de Pittsburgh | université Paris-VIII</t>
  </si>
  <si>
    <t>Université de Fribourg | Groupe d'experts intergouvernemental sur l'évolution du climat | Université du Québec à Rimouski | Université de Genève | Laboratoire de météorologie dynamique</t>
  </si>
  <si>
    <t>École polytechnique fédérale de Lausanne | Université de Genève | Université de Neuchâtel | Université Laval</t>
  </si>
  <si>
    <t>université Humboldt de Berlin | Université de Genève | université du Caire</t>
  </si>
  <si>
    <t>Université de Genève | École française d'Extrême-Orient</t>
  </si>
  <si>
    <t>Université de Genève | École supérieure des sciences économiques et commerciales | Université du Québec à Montréal</t>
  </si>
  <si>
    <t>université Paris-Diderot | université Nice-Sophia-Antipolis | université Paris-I-Panthéon-Sorbonne | université Paris-VIII | université Paris-Descartes</t>
  </si>
  <si>
    <t>Université de Genève | Université de Neuchâtel | centre de linguistique et des sciences du langage | Université de Lausanne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</si>
</sst>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mm"/>
  </numFmts>
  <fonts count="6" x14ac:knownFonts="1">
    <font>
      <sz val="11"/>
      <color theme="1"/>
      <name val="Aptos Narrow"/>
      <family val="2"/>
      <scheme val="minor"/>
    </font>
    <font>
      <sz val="8"/>
      <name val="Aptos Narrow"/>
      <family val="2"/>
      <scheme val="minor"/>
    </font>
    <font>
      <b/>
      <sz val="16"/>
      <color theme="1"/>
      <name val="Aptos Narrow"/>
      <family val="2"/>
      <scheme val="minor"/>
    </font>
    <font>
      <b/>
      <sz val="14"/>
      <color theme="1"/>
      <name val="Aptos Narrow"/>
      <family val="2"/>
      <scheme val="minor"/>
    </font>
    <font>
      <b/>
      <sz val="11"/>
      <color theme="0"/>
      <name val="Aptos Narrow"/>
      <family val="2"/>
      <scheme val="minor"/>
    </font>
    <font>
      <sz val="10"/>
      <color theme="1"/>
      <name val="Arial Unicode MS"/>
    </font>
  </fonts>
  <fills count="4">
    <fill>
      <patternFill patternType="none"/>
    </fill>
    <fill>
      <patternFill patternType="gray125"/>
    </fill>
    <fill>
      <patternFill patternType="solid">
        <fgColor theme="7" tint="0.79998168889431442"/>
        <bgColor indexed="64"/>
      </patternFill>
    </fill>
    <fill>
      <patternFill patternType="solid">
        <fgColor theme="9"/>
        <bgColor theme="9"/>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0" fillId="0" borderId="0" xfId="0" applyAlignment="1">
      <alignment horizontal="center" vertical="center"/>
    </xf>
    <xf numFmtId="0" fontId="0" fillId="0" borderId="0" xfId="0" applyAlignment="1">
      <alignment horizontal="center" vertical="center" wrapText="1"/>
    </xf>
    <xf numFmtId="22" fontId="0" fillId="0" borderId="0" xfId="0" applyNumberFormat="1" applyAlignment="1">
      <alignment horizontal="center" vertical="center"/>
    </xf>
    <xf numFmtId="164" fontId="0" fillId="0" borderId="0" xfId="0" applyNumberFormat="1" applyAlignment="1">
      <alignment horizontal="center" vertical="center"/>
    </xf>
    <xf numFmtId="49" fontId="0" fillId="0" borderId="0" xfId="0" applyNumberFormat="1" applyAlignment="1">
      <alignment horizontal="center" vertical="center"/>
    </xf>
    <xf numFmtId="0" fontId="5" fillId="0" borderId="0" xfId="0" applyFont="1" applyAlignment="1">
      <alignment vertical="center"/>
    </xf>
    <xf numFmtId="0" fontId="4" fillId="3" borderId="8" xfId="0" applyFont="1" applyFill="1" applyBorder="1" applyAlignment="1">
      <alignment horizontal="center" vertical="center"/>
    </xf>
    <xf numFmtId="0" fontId="0" fillId="0" borderId="8" xfId="0" applyBorder="1" applyAlignment="1">
      <alignment horizontal="center" vertical="center"/>
    </xf>
    <xf numFmtId="0" fontId="5" fillId="0" borderId="0" xfId="0" applyFont="1" applyAlignment="1">
      <alignment horizontal="center" vertical="center"/>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22" fontId="3" fillId="0" borderId="1" xfId="0" applyNumberFormat="1" applyFont="1" applyBorder="1" applyAlignment="1">
      <alignment horizontal="center" vertical="center"/>
    </xf>
    <xf numFmtId="0" fontId="2" fillId="0" borderId="0" xfId="0" applyFont="1" applyAlignment="1">
      <alignment horizontal="center" vertical="center"/>
    </xf>
  </cellXfs>
  <cellStyles count="1">
    <cellStyle name="Normal" xfId="0" builtinId="0"/>
  </cellStyles>
  <dxfs count="41">
    <dxf>
      <numFmt numFmtId="0" formatCode="General"/>
      <alignment horizontal="center" vertical="center" textRotation="0" wrapText="0" indent="0" justifyLastLine="0" shrinkToFit="0" readingOrder="0"/>
    </dxf>
    <dxf>
      <numFmt numFmtId="27" formatCode="dd/mm/yyyy\ hh:mm"/>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27" formatCode="dd/mm/yyyy\ hh:mm"/>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27" formatCode="dd/mm/yyyy\ hh: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27" formatCode="dd/mm/yyyy\ hh:m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0" formatCode="General"/>
    </dxf>
    <dxf>
      <numFmt numFmtId="0" formatCode="General"/>
    </dxf>
    <dxf>
      <numFmt numFmtId="0" formatCode="General"/>
    </dxf>
    <dxf>
      <numFmt numFmtId="27" formatCode="dd/mm/yyyy\ hh:mm"/>
      <alignment horizontal="center" vertical="center" textRotation="0" wrapText="0" indent="0" justifyLastLine="0" shrinkToFit="0" readingOrder="0"/>
    </dxf>
    <dxf>
      <alignment horizontal="center" vertical="center" textRotation="0" wrapText="0" indent="0" justifyLastLine="0" shrinkToFit="0" readingOrder="0"/>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733425</xdr:colOff>
      <xdr:row>6</xdr:row>
      <xdr:rowOff>19050</xdr:rowOff>
    </xdr:from>
    <xdr:to>
      <xdr:col>8</xdr:col>
      <xdr:colOff>733425</xdr:colOff>
      <xdr:row>9</xdr:row>
      <xdr:rowOff>171450</xdr:rowOff>
    </xdr:to>
    <xdr:sp macro="[0]!Actualiser_Et_Archiver_Final" textlink="">
      <xdr:nvSpPr>
        <xdr:cNvPr id="2" name="Rectangle : coins arrondis 1">
          <a:extLst>
            <a:ext uri="{FF2B5EF4-FFF2-40B4-BE49-F238E27FC236}">
              <a16:creationId xmlns:a16="http://schemas.microsoft.com/office/drawing/2014/main" id="{759FF225-1CE2-4DFF-9C0B-375D51D7BE3F}"/>
            </a:ext>
          </a:extLst>
        </xdr:cNvPr>
        <xdr:cNvSpPr/>
      </xdr:nvSpPr>
      <xdr:spPr>
        <a:xfrm>
          <a:off x="4543425" y="1323975"/>
          <a:ext cx="2286000" cy="723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H" sz="1600" b="1" kern="1200"/>
            <a:t>Horodatage et Mise à jour</a:t>
          </a:r>
        </a:p>
        <a:p>
          <a:pPr algn="l"/>
          <a:endParaRPr lang="fr-CH" sz="1100" kern="1200"/>
        </a:p>
      </xdr:txBody>
    </xdr:sp>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3" backgroundRefresh="0" growShrinkType="overwriteClear" adjustColumnWidth="0" connectionId="6" xr16:uid="{DF7A5AE6-E8DD-404F-B582-BC7AE239096B}" autoFormatId="16" applyNumberFormats="0" applyBorderFormats="0" applyFontFormats="0" applyPatternFormats="0" applyAlignmentFormats="0" applyWidthHeightFormats="0">
  <queryTableRefresh nextId="2">
    <queryTableFields count="1">
      <queryTableField id="1" name="Horodatag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8" backgroundRefresh="0" growShrinkType="overwriteClear" adjustColumnWidth="0" connectionId="7" xr16:uid="{15C71009-D580-432A-880C-5417B807763D}" autoFormatId="16" applyNumberFormats="0" applyBorderFormats="0" applyFontFormats="0" applyPatternFormats="0" applyAlignmentFormats="0" applyWidthHeightFormats="0">
  <queryTableRefresh nextId="4">
    <queryTableFields count="3">
      <queryTableField id="1" name="ppn_z" tableColumnId="1"/>
      <queryTableField id="2" name="URL Swisscovery" tableColumnId="2"/>
      <queryTableField id="3" name="URL VGE"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7" backgroundRefresh="0" growShrinkType="overwriteClear" adjustColumnWidth="0" connectionId="3" xr16:uid="{A95B4D1D-B6DC-4B6C-8B0E-A1440DE2E5AA}" autoFormatId="16" applyNumberFormats="0" applyBorderFormats="0" applyFontFormats="0" applyPatternFormats="0" applyAlignmentFormats="0" applyWidthHeightFormats="0">
  <queryTableRefresh nextId="24" unboundColumnsRight="2">
    <queryTableFields count="16">
      <queryTableField id="1" name="ppn_z" tableColumnId="1"/>
      <queryTableField id="2" name="Info" tableColumnId="2"/>
      <queryTableField id="3" name="Naissance" tableColumnId="3"/>
      <queryTableField id="4" name="LieuNaissance" tableColumnId="4"/>
      <queryTableField id="5" name="Décès" tableColumnId="5"/>
      <queryTableField id="6" name="LieuDeces" tableColumnId="6"/>
      <queryTableField id="7" name="Genre" tableColumnId="7"/>
      <queryTableField id="8" name="LieuEducation" tableColumnId="8"/>
      <queryTableField id="9" name="Employeur" tableColumnId="9"/>
      <queryTableField id="10" name="date_modif" tableColumnId="10"/>
      <queryTableField id="19" name="Notes" tableColumnId="11"/>
      <queryTableField id="14" name="Collection VGE" tableColumnId="14"/>
      <queryTableField id="15" name="Collection Swisscovery" tableColumnId="15"/>
      <queryTableField id="23" name="Différence" tableColumnId="16"/>
      <queryTableField id="21" dataBound="0" tableColumnId="12"/>
      <queryTableField id="18" dataBound="0"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DCEAD1-C092-4B0F-9180-53D9D423251C}" name="Horodatage" displayName="Horodatage" ref="A1:A2" tableType="queryTable" totalsRowShown="0" dataDxfId="39">
  <autoFilter ref="A1:A2" xr:uid="{D9DCEAD1-C092-4B0F-9180-53D9D423251C}"/>
  <tableColumns count="1">
    <tableColumn id="1" xr3:uid="{5EBBA55B-A57D-4B81-89BB-BB3DF8C663F7}" uniqueName="1" name="Horodatage" queryTableFieldId="1" dataDxfId="3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FD43F5-F8B3-4B24-AF45-56110FC740A4}" name="Liste_PPN_URL" displayName="Liste_PPN_URL" ref="A1:C2054" tableType="queryTable" totalsRowShown="0">
  <autoFilter ref="A1:C2054" xr:uid="{73FD43F5-F8B3-4B24-AF45-56110FC740A4}"/>
  <tableColumns count="3">
    <tableColumn id="1" xr3:uid="{0CCDE4DF-2DE4-442F-BAAB-221A86E5796D}" uniqueName="1" name="ppn_z" queryTableFieldId="1" dataDxfId="37"/>
    <tableColumn id="2" xr3:uid="{D36D5946-CC46-4A37-B2F6-9920455B6DA6}" uniqueName="2" name="URL Swisscovery" queryTableFieldId="2" dataDxfId="36"/>
    <tableColumn id="3" xr3:uid="{8E03C3E1-AB0F-49BA-A329-A52E71524F53}" uniqueName="3" name="URL VGE" queryTableFieldId="3" dataDxfId="3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5D20E34-B414-4C82-AB3F-180B19D5A2F5}" name="Final_Sans_VGE" displayName="Final_Sans_VGE" ref="A1:P2054" tableType="queryTable" totalsRowShown="0" headerRowDxfId="34" dataDxfId="33">
  <autoFilter ref="A1:P2054" xr:uid="{F5D20E34-B414-4C82-AB3F-180B19D5A2F5}"/>
  <tableColumns count="16">
    <tableColumn id="1" xr3:uid="{BA9F2B29-8647-4797-83E0-1FE22FAA1379}" uniqueName="1" name="ppn_z" queryTableFieldId="1" dataDxfId="32"/>
    <tableColumn id="2" xr3:uid="{F19E6A5E-4CFF-4BC7-BB58-49B64100A08C}" uniqueName="2" name="Info" queryTableFieldId="2" dataDxfId="31"/>
    <tableColumn id="3" xr3:uid="{2A17EEB1-8654-4924-A98A-F6E792BF17A8}" uniqueName="3" name="Naissance" queryTableFieldId="3" dataDxfId="30"/>
    <tableColumn id="4" xr3:uid="{ECDF71B0-F5C5-4594-949C-DFF73C00A017}" uniqueName="4" name="LieuNaissance" queryTableFieldId="4" dataDxfId="29"/>
    <tableColumn id="5" xr3:uid="{E839C986-755A-4324-BCF3-01C97E3BBA19}" uniqueName="5" name="Décès" queryTableFieldId="5" dataDxfId="28"/>
    <tableColumn id="6" xr3:uid="{58F36644-1FDC-44F2-9990-F10AD5B6ACA3}" uniqueName="6" name="LieuDeces" queryTableFieldId="6" dataDxfId="27"/>
    <tableColumn id="7" xr3:uid="{A764A23A-BB5D-4A9E-BE2F-2ADCE832E153}" uniqueName="7" name="Genre" queryTableFieldId="7" dataDxfId="26"/>
    <tableColumn id="8" xr3:uid="{E1CE7E49-F467-4A27-BBEC-1AB748A3DACF}" uniqueName="8" name="LieuEducation" queryTableFieldId="8" dataDxfId="25"/>
    <tableColumn id="9" xr3:uid="{7ADE6ED4-436B-4F21-9E02-383451F92714}" uniqueName="9" name="Employeur" queryTableFieldId="9" dataDxfId="24"/>
    <tableColumn id="10" xr3:uid="{F41D80A8-4DF3-4336-95ED-8FB2CB5E3490}" uniqueName="10" name="date_modif" queryTableFieldId="10" dataDxfId="23"/>
    <tableColumn id="11" xr3:uid="{2B4F49B9-3ECC-4029-B997-F62D3AF97F69}" uniqueName="11" name="Notes" queryTableFieldId="19" dataDxfId="22"/>
    <tableColumn id="14" xr3:uid="{43EE27CD-5FBA-49AC-ACE5-6D5E066046A5}" uniqueName="14" name="Collection VGE" queryTableFieldId="14" dataDxfId="21"/>
    <tableColumn id="15" xr3:uid="{750F27B3-6272-4179-9664-7A42EF181C3E}" uniqueName="15" name="Collection Swisscovery" queryTableFieldId="15" dataDxfId="20"/>
    <tableColumn id="16" xr3:uid="{D182FC2A-EE96-41FB-91D8-5F09B6CED639}" uniqueName="16" name="Différence" queryTableFieldId="23"/>
    <tableColumn id="12" xr3:uid="{F8E3F907-F5BE-4DF1-BACA-0D2E65432E29}" uniqueName="12" name="Horodatage" queryTableFieldId="21" dataDxfId="19">
      <calculatedColumnFormula>IF(
    R2="Ancien",
    _xlfn.XLOOKUP(
        Final_Sans_VGE[[#This Row],[ppn_z]],
        tbl_Historique_Final[ppn_z],
        tbl_Historique_Final[Horodatage],
        ""
    ),
    Horodatage!$A$2
)</calculatedColumnFormula>
    </tableColumn>
    <tableColumn id="13" xr3:uid="{529214EF-086E-47C6-ADF2-7E2208D0D9CA}" uniqueName="13" name="Commentaires" queryTableFieldId="18" dataDxfId="18">
      <calculatedColumnFormula>IFERROR(IF(tbl_Historique_Final[[#This Row],[Commentaires]]&lt;&gt;"",tbl_Historique_Final[[#This Row],[Commentaires]],""),"")</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A1BE6F-BD4A-4A48-96DE-9FA0B801F29D}" name="tbl_Historique_Final" displayName="tbl_Historique_Final" ref="A1:P2054" totalsRowShown="0" headerRowDxfId="17" dataDxfId="16">
  <autoFilter ref="A1:P2054" xr:uid="{5BA1BE6F-BD4A-4A48-96DE-9FA0B801F29D}"/>
  <sortState xmlns:xlrd2="http://schemas.microsoft.com/office/spreadsheetml/2017/richdata2" ref="A2:P266">
    <sortCondition descending="1" ref="N1:N266"/>
  </sortState>
  <tableColumns count="16">
    <tableColumn id="1" xr3:uid="{3A3A43F4-0C83-46C4-A6E6-7C04D8930DB1}" name="ppn_z" dataDxfId="15"/>
    <tableColumn id="2" xr3:uid="{19123DDE-FD4B-46F5-9126-DA8D1E94DB3F}" name="Info" dataDxfId="14"/>
    <tableColumn id="3" xr3:uid="{16382839-BD16-43A4-9A7B-F391A8FE85DD}" name="Naissance" dataDxfId="13"/>
    <tableColumn id="4" xr3:uid="{0A3ED974-468C-4738-B98B-845BB14592D0}" name="LieuNaissance" dataDxfId="12"/>
    <tableColumn id="5" xr3:uid="{B2268487-14BA-4E7D-AD46-78D8BF7DF9EE}" name="Décès" dataDxfId="11"/>
    <tableColumn id="6" xr3:uid="{166D0972-D4F8-4DE1-B6DF-B28A27056DB9}" name="LieuDeces" dataDxfId="10"/>
    <tableColumn id="7" xr3:uid="{0B87ED22-8599-4E19-8AAF-702C3EDC90BC}" name="Genre" dataDxfId="9"/>
    <tableColumn id="8" xr3:uid="{D45C290D-68E9-4FD9-A0F5-A8EE6E2E6117}" name="LieuEducation" dataDxfId="8"/>
    <tableColumn id="9" xr3:uid="{994B9F8F-8968-4106-B76D-01E46714EA19}" name="Employeur" dataDxfId="7"/>
    <tableColumn id="10" xr3:uid="{421C75F1-96A5-4C4A-8C3D-75B17133AEB0}" name="date_modif" dataDxfId="6"/>
    <tableColumn id="11" xr3:uid="{F39C6032-4731-453B-B022-516AE8DC233C}" name="Notes" dataDxfId="5"/>
    <tableColumn id="14" xr3:uid="{4B24754B-5A23-48E6-89F8-C4B0A69DE7BE}" name="Collection VGE" dataDxfId="4"/>
    <tableColumn id="15" xr3:uid="{8949C14F-FA20-4033-BF36-B043D59975C0}" name="Collection Swisscovery" dataDxfId="3"/>
    <tableColumn id="16" xr3:uid="{CA6E67C0-4A49-435A-BE3F-6E7BCFAE7BDB}" name="Différence" dataDxfId="2"/>
    <tableColumn id="12" xr3:uid="{D90B98AA-8662-48BE-9E5D-6398118951BA}" name="Horodatage" dataDxfId="1"/>
    <tableColumn id="13" xr3:uid="{905B6C6B-DCDF-43A7-9FB0-A9433BB2E6D2}" name="Commentaires" dataDxfId="0"/>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A567F-0C60-4F96-A0CF-07888720BE0D}">
  <sheetPr codeName="Feuil1"/>
  <dimension ref="A1:A2"/>
  <sheetViews>
    <sheetView workbookViewId="0">
      <selection activeCell="A2" sqref="A2"/>
    </sheetView>
  </sheetViews>
  <sheetFormatPr baseColWidth="10" defaultRowHeight="15" x14ac:dyDescent="0.25"/>
  <cols>
    <col min="1" max="1" width="15.42578125" bestFit="1" customWidth="1"/>
  </cols>
  <sheetData>
    <row r="1" spans="1:1" x14ac:dyDescent="0.25">
      <c r="A1" t="s">
        <v>6</v>
      </c>
    </row>
    <row r="2" spans="1:1" x14ac:dyDescent="0.25">
      <c r="A2" s="3">
        <v>46233.670796365739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E861E-7CD2-4F83-9391-42E9DD80DDD3}">
  <sheetPr codeName="Feuil2"/>
  <dimension ref="A1:B3"/>
  <sheetViews>
    <sheetView workbookViewId="0">
      <selection activeCell="A3" sqref="A3"/>
    </sheetView>
  </sheetViews>
  <sheetFormatPr baseColWidth="10" defaultRowHeight="15" x14ac:dyDescent="0.25"/>
  <sheetData>
    <row r="1" spans="1:2" x14ac:dyDescent="0.25">
      <c r="A1" s="28" t="s">
        <v>27</v>
      </c>
      <c r="B1" s="28"/>
    </row>
    <row r="2" spans="1:2" x14ac:dyDescent="0.25">
      <c r="A2" s="28"/>
      <c r="B2" s="28"/>
    </row>
    <row r="3" spans="1:2" x14ac:dyDescent="0.25">
      <c r="A3" t="str">
        <f>"https://www.idref.fr/Sru/Solr?q=classification_t:"&amp;Interactif!$M$4&amp;"&amp;sort=score%20desc&amp;version=2.2&amp;start=0&amp;rows=2500&amp;indent=on&amp;fl=ppn_z,affcourt_z,datemod_z,genre_t,naissance_s,deces_s"</f>
        <v>https://www.idref.fr/Sru/Solr?q=classification_t:GEN_AUT&amp;sort=score%20desc&amp;version=2.2&amp;start=0&amp;rows=2500&amp;indent=on&amp;fl=ppn_z,affcourt_z,datemod_z,genre_t,naissance_s,deces_s</v>
      </c>
    </row>
  </sheetData>
  <mergeCells count="1">
    <mergeCell ref="A1:B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95609-FCEC-42BC-8160-27FE221DB9B9}">
  <sheetPr codeName="Feuil3"/>
  <dimension ref="A1:C2054"/>
  <sheetViews>
    <sheetView workbookViewId="0">
      <selection activeCell="B10" sqref="B10"/>
    </sheetView>
  </sheetViews>
  <sheetFormatPr baseColWidth="10" defaultRowHeight="15" x14ac:dyDescent="0.25"/>
  <cols>
    <col min="1" max="1" width="10.140625" bestFit="1" customWidth="1"/>
    <col min="2" max="3" width="81.140625" bestFit="1" customWidth="1"/>
  </cols>
  <sheetData>
    <row r="1" spans="1:3" x14ac:dyDescent="0.25">
      <c r="A1" t="s">
        <v>0</v>
      </c>
      <c r="B1" t="s">
        <v>99</v>
      </c>
      <c r="C1" t="s">
        <v>98</v>
      </c>
    </row>
    <row r="2" spans="1:3" x14ac:dyDescent="0.25">
      <c r="A2" t="s">
        <v>170</v>
      </c>
      <c r="B2" t="s">
        <v>171</v>
      </c>
      <c r="C2" t="s">
        <v>172</v>
      </c>
    </row>
    <row r="3" spans="1:3" x14ac:dyDescent="0.25">
      <c r="A3" t="s">
        <v>713</v>
      </c>
      <c r="B3" t="s">
        <v>714</v>
      </c>
      <c r="C3" t="s">
        <v>715</v>
      </c>
    </row>
    <row r="4" spans="1:3" x14ac:dyDescent="0.25">
      <c r="A4" t="s">
        <v>173</v>
      </c>
      <c r="B4" t="s">
        <v>174</v>
      </c>
      <c r="C4" t="s">
        <v>175</v>
      </c>
    </row>
    <row r="5" spans="1:3" x14ac:dyDescent="0.25">
      <c r="A5" t="s">
        <v>584</v>
      </c>
      <c r="B5" t="s">
        <v>585</v>
      </c>
      <c r="C5" t="s">
        <v>586</v>
      </c>
    </row>
    <row r="6" spans="1:3" x14ac:dyDescent="0.25">
      <c r="A6" t="s">
        <v>176</v>
      </c>
      <c r="B6" t="s">
        <v>177</v>
      </c>
      <c r="C6" t="s">
        <v>178</v>
      </c>
    </row>
    <row r="7" spans="1:3" x14ac:dyDescent="0.25">
      <c r="A7" t="s">
        <v>419</v>
      </c>
      <c r="B7" t="s">
        <v>420</v>
      </c>
      <c r="C7" t="s">
        <v>421</v>
      </c>
    </row>
    <row r="8" spans="1:3" x14ac:dyDescent="0.25">
      <c r="A8" t="s">
        <v>179</v>
      </c>
      <c r="B8" t="s">
        <v>180</v>
      </c>
      <c r="C8" t="s">
        <v>181</v>
      </c>
    </row>
    <row r="9" spans="1:3" x14ac:dyDescent="0.25">
      <c r="A9" t="s">
        <v>608</v>
      </c>
      <c r="B9" t="s">
        <v>609</v>
      </c>
      <c r="C9" t="s">
        <v>610</v>
      </c>
    </row>
    <row r="10" spans="1:3" x14ac:dyDescent="0.25">
      <c r="A10" t="s">
        <v>182</v>
      </c>
      <c r="B10" t="s">
        <v>183</v>
      </c>
      <c r="C10" t="s">
        <v>184</v>
      </c>
    </row>
    <row r="11" spans="1:3" x14ac:dyDescent="0.25">
      <c r="A11" t="s">
        <v>518</v>
      </c>
      <c r="B11" t="s">
        <v>519</v>
      </c>
      <c r="C11" t="s">
        <v>520</v>
      </c>
    </row>
    <row r="12" spans="1:3" x14ac:dyDescent="0.25">
      <c r="A12" t="s">
        <v>185</v>
      </c>
      <c r="B12" t="s">
        <v>186</v>
      </c>
      <c r="C12" t="s">
        <v>187</v>
      </c>
    </row>
    <row r="13" spans="1:3" x14ac:dyDescent="0.25">
      <c r="A13" t="s">
        <v>692</v>
      </c>
      <c r="B13" t="s">
        <v>693</v>
      </c>
      <c r="C13" t="s">
        <v>694</v>
      </c>
    </row>
    <row r="14" spans="1:3" x14ac:dyDescent="0.25">
      <c r="A14" t="s">
        <v>188</v>
      </c>
      <c r="B14" t="s">
        <v>189</v>
      </c>
      <c r="C14" t="s">
        <v>190</v>
      </c>
    </row>
    <row r="15" spans="1:3" x14ac:dyDescent="0.25">
      <c r="A15" t="s">
        <v>386</v>
      </c>
      <c r="B15" t="s">
        <v>387</v>
      </c>
      <c r="C15" t="s">
        <v>388</v>
      </c>
    </row>
    <row r="16" spans="1:3" x14ac:dyDescent="0.25">
      <c r="A16" t="s">
        <v>191</v>
      </c>
      <c r="B16" t="s">
        <v>192</v>
      </c>
      <c r="C16" t="s">
        <v>193</v>
      </c>
    </row>
    <row r="17" spans="1:3" x14ac:dyDescent="0.25">
      <c r="A17" t="s">
        <v>266</v>
      </c>
      <c r="B17" t="s">
        <v>267</v>
      </c>
      <c r="C17" t="s">
        <v>268</v>
      </c>
    </row>
    <row r="18" spans="1:3" x14ac:dyDescent="0.25">
      <c r="A18" t="s">
        <v>194</v>
      </c>
      <c r="B18" t="s">
        <v>195</v>
      </c>
      <c r="C18" t="s">
        <v>196</v>
      </c>
    </row>
    <row r="19" spans="1:3" x14ac:dyDescent="0.25">
      <c r="A19" t="s">
        <v>338</v>
      </c>
      <c r="B19" t="s">
        <v>339</v>
      </c>
      <c r="C19" t="s">
        <v>340</v>
      </c>
    </row>
    <row r="20" spans="1:3" x14ac:dyDescent="0.25">
      <c r="A20" t="s">
        <v>197</v>
      </c>
      <c r="B20" t="s">
        <v>198</v>
      </c>
      <c r="C20" t="s">
        <v>199</v>
      </c>
    </row>
    <row r="21" spans="1:3" x14ac:dyDescent="0.25">
      <c r="A21" t="s">
        <v>302</v>
      </c>
      <c r="B21" t="s">
        <v>303</v>
      </c>
      <c r="C21" t="s">
        <v>304</v>
      </c>
    </row>
    <row r="22" spans="1:3" x14ac:dyDescent="0.25">
      <c r="A22" t="s">
        <v>200</v>
      </c>
      <c r="B22" t="s">
        <v>201</v>
      </c>
      <c r="C22" t="s">
        <v>202</v>
      </c>
    </row>
    <row r="23" spans="1:3" x14ac:dyDescent="0.25">
      <c r="A23" t="s">
        <v>221</v>
      </c>
      <c r="B23" t="s">
        <v>222</v>
      </c>
      <c r="C23" t="s">
        <v>223</v>
      </c>
    </row>
    <row r="24" spans="1:3" x14ac:dyDescent="0.25">
      <c r="A24" t="s">
        <v>203</v>
      </c>
      <c r="B24" t="s">
        <v>204</v>
      </c>
      <c r="C24" t="s">
        <v>205</v>
      </c>
    </row>
    <row r="25" spans="1:3" x14ac:dyDescent="0.25">
      <c r="A25" t="s">
        <v>206</v>
      </c>
      <c r="B25" t="s">
        <v>207</v>
      </c>
      <c r="C25" t="s">
        <v>208</v>
      </c>
    </row>
    <row r="26" spans="1:3" x14ac:dyDescent="0.25">
      <c r="A26" t="s">
        <v>209</v>
      </c>
      <c r="B26" t="s">
        <v>210</v>
      </c>
      <c r="C26" t="s">
        <v>211</v>
      </c>
    </row>
    <row r="27" spans="1:3" x14ac:dyDescent="0.25">
      <c r="A27" t="s">
        <v>212</v>
      </c>
      <c r="B27" t="s">
        <v>213</v>
      </c>
      <c r="C27" t="s">
        <v>214</v>
      </c>
    </row>
    <row r="28" spans="1:3" x14ac:dyDescent="0.25">
      <c r="A28" t="s">
        <v>251</v>
      </c>
      <c r="B28" t="s">
        <v>252</v>
      </c>
      <c r="C28" t="s">
        <v>253</v>
      </c>
    </row>
    <row r="29" spans="1:3" x14ac:dyDescent="0.25">
      <c r="A29" t="s">
        <v>215</v>
      </c>
      <c r="B29" t="s">
        <v>216</v>
      </c>
      <c r="C29" t="s">
        <v>217</v>
      </c>
    </row>
    <row r="30" spans="1:3" x14ac:dyDescent="0.25">
      <c r="A30" t="s">
        <v>329</v>
      </c>
      <c r="B30" t="s">
        <v>330</v>
      </c>
      <c r="C30" t="s">
        <v>331</v>
      </c>
    </row>
    <row r="31" spans="1:3" x14ac:dyDescent="0.25">
      <c r="A31" t="s">
        <v>218</v>
      </c>
      <c r="B31" t="s">
        <v>219</v>
      </c>
      <c r="C31" t="s">
        <v>220</v>
      </c>
    </row>
    <row r="32" spans="1:3" x14ac:dyDescent="0.25">
      <c r="A32" t="s">
        <v>593</v>
      </c>
      <c r="B32" t="s">
        <v>594</v>
      </c>
      <c r="C32" t="s">
        <v>595</v>
      </c>
    </row>
    <row r="33" spans="1:3" x14ac:dyDescent="0.25">
      <c r="A33" t="s">
        <v>1277</v>
      </c>
      <c r="B33" t="s">
        <v>1278</v>
      </c>
      <c r="C33" t="s">
        <v>1279</v>
      </c>
    </row>
    <row r="34" spans="1:3" x14ac:dyDescent="0.25">
      <c r="A34" t="s">
        <v>224</v>
      </c>
      <c r="B34" t="s">
        <v>225</v>
      </c>
      <c r="C34" t="s">
        <v>226</v>
      </c>
    </row>
    <row r="35" spans="1:3" x14ac:dyDescent="0.25">
      <c r="A35" t="s">
        <v>956</v>
      </c>
      <c r="B35" t="s">
        <v>957</v>
      </c>
      <c r="C35" t="s">
        <v>958</v>
      </c>
    </row>
    <row r="36" spans="1:3" x14ac:dyDescent="0.25">
      <c r="A36" t="s">
        <v>227</v>
      </c>
      <c r="B36" t="s">
        <v>228</v>
      </c>
      <c r="C36" t="s">
        <v>229</v>
      </c>
    </row>
    <row r="37" spans="1:3" x14ac:dyDescent="0.25">
      <c r="A37" t="s">
        <v>848</v>
      </c>
      <c r="B37" t="s">
        <v>849</v>
      </c>
      <c r="C37" t="s">
        <v>850</v>
      </c>
    </row>
    <row r="38" spans="1:3" x14ac:dyDescent="0.25">
      <c r="A38" t="s">
        <v>230</v>
      </c>
      <c r="B38" t="s">
        <v>231</v>
      </c>
      <c r="C38" t="s">
        <v>232</v>
      </c>
    </row>
    <row r="39" spans="1:3" x14ac:dyDescent="0.25">
      <c r="A39" t="s">
        <v>839</v>
      </c>
      <c r="B39" t="s">
        <v>840</v>
      </c>
      <c r="C39" t="s">
        <v>841</v>
      </c>
    </row>
    <row r="40" spans="1:3" x14ac:dyDescent="0.25">
      <c r="A40" t="s">
        <v>233</v>
      </c>
      <c r="B40" t="s">
        <v>234</v>
      </c>
      <c r="C40" t="s">
        <v>235</v>
      </c>
    </row>
    <row r="41" spans="1:3" x14ac:dyDescent="0.25">
      <c r="A41" t="s">
        <v>1148</v>
      </c>
      <c r="B41" t="s">
        <v>1149</v>
      </c>
      <c r="C41" t="s">
        <v>1150</v>
      </c>
    </row>
    <row r="42" spans="1:3" x14ac:dyDescent="0.25">
      <c r="A42" t="s">
        <v>236</v>
      </c>
      <c r="B42" t="s">
        <v>237</v>
      </c>
      <c r="C42" t="s">
        <v>238</v>
      </c>
    </row>
    <row r="43" spans="1:3" x14ac:dyDescent="0.25">
      <c r="A43" t="s">
        <v>836</v>
      </c>
      <c r="B43" t="s">
        <v>837</v>
      </c>
      <c r="C43" t="s">
        <v>838</v>
      </c>
    </row>
    <row r="44" spans="1:3" x14ac:dyDescent="0.25">
      <c r="A44" t="s">
        <v>239</v>
      </c>
      <c r="B44" t="s">
        <v>240</v>
      </c>
      <c r="C44" t="s">
        <v>241</v>
      </c>
    </row>
    <row r="45" spans="1:3" x14ac:dyDescent="0.25">
      <c r="A45" t="s">
        <v>1289</v>
      </c>
      <c r="B45" t="s">
        <v>1290</v>
      </c>
      <c r="C45" t="s">
        <v>1291</v>
      </c>
    </row>
    <row r="46" spans="1:3" x14ac:dyDescent="0.25">
      <c r="A46" t="s">
        <v>242</v>
      </c>
      <c r="B46" t="s">
        <v>243</v>
      </c>
      <c r="C46" t="s">
        <v>244</v>
      </c>
    </row>
    <row r="47" spans="1:3" x14ac:dyDescent="0.25">
      <c r="A47" t="s">
        <v>1112</v>
      </c>
      <c r="B47" t="s">
        <v>1113</v>
      </c>
      <c r="C47" t="s">
        <v>1114</v>
      </c>
    </row>
    <row r="48" spans="1:3" x14ac:dyDescent="0.25">
      <c r="A48" t="s">
        <v>245</v>
      </c>
      <c r="B48" t="s">
        <v>246</v>
      </c>
      <c r="C48" t="s">
        <v>247</v>
      </c>
    </row>
    <row r="49" spans="1:3" x14ac:dyDescent="0.25">
      <c r="A49" t="s">
        <v>989</v>
      </c>
      <c r="B49" t="s">
        <v>990</v>
      </c>
      <c r="C49" t="s">
        <v>991</v>
      </c>
    </row>
    <row r="50" spans="1:3" x14ac:dyDescent="0.25">
      <c r="A50" t="s">
        <v>248</v>
      </c>
      <c r="B50" t="s">
        <v>249</v>
      </c>
      <c r="C50" t="s">
        <v>250</v>
      </c>
    </row>
    <row r="51" spans="1:3" x14ac:dyDescent="0.25">
      <c r="A51" t="s">
        <v>1190</v>
      </c>
      <c r="B51" t="s">
        <v>1191</v>
      </c>
      <c r="C51" t="s">
        <v>1192</v>
      </c>
    </row>
    <row r="52" spans="1:3" x14ac:dyDescent="0.25">
      <c r="A52" t="s">
        <v>1235</v>
      </c>
      <c r="B52" t="s">
        <v>1236</v>
      </c>
      <c r="C52" t="s">
        <v>1237</v>
      </c>
    </row>
    <row r="53" spans="1:3" x14ac:dyDescent="0.25">
      <c r="A53" t="s">
        <v>254</v>
      </c>
      <c r="B53" t="s">
        <v>255</v>
      </c>
      <c r="C53" t="s">
        <v>256</v>
      </c>
    </row>
    <row r="54" spans="1:3" x14ac:dyDescent="0.25">
      <c r="A54" t="s">
        <v>1025</v>
      </c>
      <c r="B54" t="s">
        <v>1026</v>
      </c>
      <c r="C54" t="s">
        <v>1027</v>
      </c>
    </row>
    <row r="55" spans="1:3" x14ac:dyDescent="0.25">
      <c r="A55" t="s">
        <v>257</v>
      </c>
      <c r="B55" t="s">
        <v>258</v>
      </c>
      <c r="C55" t="s">
        <v>259</v>
      </c>
    </row>
    <row r="56" spans="1:3" x14ac:dyDescent="0.25">
      <c r="A56" t="s">
        <v>1295</v>
      </c>
      <c r="B56" t="s">
        <v>1296</v>
      </c>
      <c r="C56" t="s">
        <v>1297</v>
      </c>
    </row>
    <row r="57" spans="1:3" x14ac:dyDescent="0.25">
      <c r="A57" t="s">
        <v>260</v>
      </c>
      <c r="B57" t="s">
        <v>261</v>
      </c>
      <c r="C57" t="s">
        <v>262</v>
      </c>
    </row>
    <row r="58" spans="1:3" x14ac:dyDescent="0.25">
      <c r="A58" t="s">
        <v>1184</v>
      </c>
      <c r="B58" t="s">
        <v>1185</v>
      </c>
      <c r="C58" t="s">
        <v>1186</v>
      </c>
    </row>
    <row r="59" spans="1:3" x14ac:dyDescent="0.25">
      <c r="A59" t="s">
        <v>263</v>
      </c>
      <c r="B59" t="s">
        <v>264</v>
      </c>
      <c r="C59" t="s">
        <v>265</v>
      </c>
    </row>
    <row r="60" spans="1:3" x14ac:dyDescent="0.25">
      <c r="A60" t="s">
        <v>1292</v>
      </c>
      <c r="B60" t="s">
        <v>1293</v>
      </c>
      <c r="C60" t="s">
        <v>1294</v>
      </c>
    </row>
    <row r="61" spans="1:3" x14ac:dyDescent="0.25">
      <c r="A61" t="s">
        <v>1499</v>
      </c>
      <c r="B61" t="s">
        <v>1500</v>
      </c>
      <c r="C61" t="s">
        <v>1501</v>
      </c>
    </row>
    <row r="62" spans="1:3" x14ac:dyDescent="0.25">
      <c r="A62" t="s">
        <v>269</v>
      </c>
      <c r="B62" t="s">
        <v>270</v>
      </c>
      <c r="C62" t="s">
        <v>271</v>
      </c>
    </row>
    <row r="63" spans="1:3" x14ac:dyDescent="0.25">
      <c r="A63" t="s">
        <v>1634</v>
      </c>
      <c r="B63" t="s">
        <v>1635</v>
      </c>
      <c r="C63" t="s">
        <v>1636</v>
      </c>
    </row>
    <row r="64" spans="1:3" x14ac:dyDescent="0.25">
      <c r="A64" t="s">
        <v>272</v>
      </c>
      <c r="B64" t="s">
        <v>273</v>
      </c>
      <c r="C64" t="s">
        <v>274</v>
      </c>
    </row>
    <row r="65" spans="1:3" x14ac:dyDescent="0.25">
      <c r="A65" t="s">
        <v>1490</v>
      </c>
      <c r="B65" t="s">
        <v>1491</v>
      </c>
      <c r="C65" t="s">
        <v>1492</v>
      </c>
    </row>
    <row r="66" spans="1:3" x14ac:dyDescent="0.25">
      <c r="A66" t="s">
        <v>275</v>
      </c>
      <c r="B66" t="s">
        <v>276</v>
      </c>
      <c r="C66" t="s">
        <v>277</v>
      </c>
    </row>
    <row r="67" spans="1:3" x14ac:dyDescent="0.25">
      <c r="A67" t="s">
        <v>278</v>
      </c>
      <c r="B67" t="s">
        <v>279</v>
      </c>
      <c r="C67" t="s">
        <v>280</v>
      </c>
    </row>
    <row r="68" spans="1:3" x14ac:dyDescent="0.25">
      <c r="A68" t="s">
        <v>1721</v>
      </c>
      <c r="B68" t="s">
        <v>1722</v>
      </c>
      <c r="C68" t="s">
        <v>1723</v>
      </c>
    </row>
    <row r="69" spans="1:3" x14ac:dyDescent="0.25">
      <c r="A69" t="s">
        <v>281</v>
      </c>
      <c r="B69" t="s">
        <v>282</v>
      </c>
      <c r="C69" t="s">
        <v>283</v>
      </c>
    </row>
    <row r="70" spans="1:3" x14ac:dyDescent="0.25">
      <c r="A70" t="s">
        <v>1373</v>
      </c>
      <c r="B70" t="s">
        <v>1374</v>
      </c>
      <c r="C70" t="s">
        <v>1375</v>
      </c>
    </row>
    <row r="71" spans="1:3" x14ac:dyDescent="0.25">
      <c r="A71" t="s">
        <v>284</v>
      </c>
      <c r="B71" t="s">
        <v>285</v>
      </c>
      <c r="C71" t="s">
        <v>286</v>
      </c>
    </row>
    <row r="72" spans="1:3" x14ac:dyDescent="0.25">
      <c r="A72" t="s">
        <v>1745</v>
      </c>
      <c r="B72" t="s">
        <v>1746</v>
      </c>
      <c r="C72" t="s">
        <v>1747</v>
      </c>
    </row>
    <row r="73" spans="1:3" x14ac:dyDescent="0.25">
      <c r="A73" t="s">
        <v>287</v>
      </c>
      <c r="B73" t="s">
        <v>288</v>
      </c>
      <c r="C73" t="s">
        <v>289</v>
      </c>
    </row>
    <row r="74" spans="1:3" x14ac:dyDescent="0.25">
      <c r="A74" t="s">
        <v>1394</v>
      </c>
      <c r="B74" t="s">
        <v>1395</v>
      </c>
      <c r="C74" t="s">
        <v>1396</v>
      </c>
    </row>
    <row r="75" spans="1:3" x14ac:dyDescent="0.25">
      <c r="A75" t="s">
        <v>290</v>
      </c>
      <c r="B75" t="s">
        <v>291</v>
      </c>
      <c r="C75" t="s">
        <v>292</v>
      </c>
    </row>
    <row r="76" spans="1:3" x14ac:dyDescent="0.25">
      <c r="A76" t="s">
        <v>293</v>
      </c>
      <c r="B76" t="s">
        <v>294</v>
      </c>
      <c r="C76" t="s">
        <v>295</v>
      </c>
    </row>
    <row r="77" spans="1:3" x14ac:dyDescent="0.25">
      <c r="A77" t="s">
        <v>296</v>
      </c>
      <c r="B77" t="s">
        <v>297</v>
      </c>
      <c r="C77" t="s">
        <v>298</v>
      </c>
    </row>
    <row r="78" spans="1:3" x14ac:dyDescent="0.25">
      <c r="A78" t="s">
        <v>1580</v>
      </c>
      <c r="B78" t="s">
        <v>1581</v>
      </c>
      <c r="C78" t="s">
        <v>1582</v>
      </c>
    </row>
    <row r="79" spans="1:3" x14ac:dyDescent="0.25">
      <c r="A79" t="s">
        <v>299</v>
      </c>
      <c r="B79" t="s">
        <v>300</v>
      </c>
      <c r="C79" t="s">
        <v>301</v>
      </c>
    </row>
    <row r="80" spans="1:3" x14ac:dyDescent="0.25">
      <c r="A80" t="s">
        <v>1706</v>
      </c>
      <c r="B80" t="s">
        <v>1707</v>
      </c>
      <c r="C80" t="s">
        <v>1708</v>
      </c>
    </row>
    <row r="81" spans="1:3" x14ac:dyDescent="0.25">
      <c r="A81" t="s">
        <v>305</v>
      </c>
      <c r="B81" t="s">
        <v>306</v>
      </c>
      <c r="C81" t="s">
        <v>307</v>
      </c>
    </row>
    <row r="82" spans="1:3" x14ac:dyDescent="0.25">
      <c r="A82" t="s">
        <v>1574</v>
      </c>
      <c r="B82" t="s">
        <v>1575</v>
      </c>
      <c r="C82" t="s">
        <v>1576</v>
      </c>
    </row>
    <row r="83" spans="1:3" x14ac:dyDescent="0.25">
      <c r="A83" t="s">
        <v>308</v>
      </c>
      <c r="B83" t="s">
        <v>309</v>
      </c>
      <c r="C83" t="s">
        <v>310</v>
      </c>
    </row>
    <row r="84" spans="1:3" x14ac:dyDescent="0.25">
      <c r="A84" t="s">
        <v>311</v>
      </c>
      <c r="B84" t="s">
        <v>312</v>
      </c>
      <c r="C84" t="s">
        <v>313</v>
      </c>
    </row>
    <row r="85" spans="1:3" x14ac:dyDescent="0.25">
      <c r="A85" t="s">
        <v>314</v>
      </c>
      <c r="B85" t="s">
        <v>315</v>
      </c>
      <c r="C85" t="s">
        <v>316</v>
      </c>
    </row>
    <row r="86" spans="1:3" x14ac:dyDescent="0.25">
      <c r="A86" t="s">
        <v>317</v>
      </c>
      <c r="B86" t="s">
        <v>318</v>
      </c>
      <c r="C86" t="s">
        <v>319</v>
      </c>
    </row>
    <row r="87" spans="1:3" x14ac:dyDescent="0.25">
      <c r="A87" t="s">
        <v>1676</v>
      </c>
      <c r="B87" t="s">
        <v>1677</v>
      </c>
      <c r="C87" t="s">
        <v>1678</v>
      </c>
    </row>
    <row r="88" spans="1:3" x14ac:dyDescent="0.25">
      <c r="A88" t="s">
        <v>320</v>
      </c>
      <c r="B88" t="s">
        <v>321</v>
      </c>
      <c r="C88" t="s">
        <v>322</v>
      </c>
    </row>
    <row r="89" spans="1:3" x14ac:dyDescent="0.25">
      <c r="A89" t="s">
        <v>323</v>
      </c>
      <c r="B89" t="s">
        <v>324</v>
      </c>
      <c r="C89" t="s">
        <v>325</v>
      </c>
    </row>
    <row r="90" spans="1:3" x14ac:dyDescent="0.25">
      <c r="A90" t="s">
        <v>326</v>
      </c>
      <c r="B90" t="s">
        <v>327</v>
      </c>
      <c r="C90" t="s">
        <v>328</v>
      </c>
    </row>
    <row r="91" spans="1:3" x14ac:dyDescent="0.25">
      <c r="A91" t="s">
        <v>332</v>
      </c>
      <c r="B91" t="s">
        <v>333</v>
      </c>
      <c r="C91" t="s">
        <v>334</v>
      </c>
    </row>
    <row r="92" spans="1:3" x14ac:dyDescent="0.25">
      <c r="A92" t="s">
        <v>335</v>
      </c>
      <c r="B92" t="s">
        <v>336</v>
      </c>
      <c r="C92" t="s">
        <v>337</v>
      </c>
    </row>
    <row r="93" spans="1:3" x14ac:dyDescent="0.25">
      <c r="A93" t="s">
        <v>341</v>
      </c>
      <c r="B93" t="s">
        <v>342</v>
      </c>
      <c r="C93" t="s">
        <v>343</v>
      </c>
    </row>
    <row r="94" spans="1:3" x14ac:dyDescent="0.25">
      <c r="A94" t="s">
        <v>344</v>
      </c>
      <c r="B94" t="s">
        <v>345</v>
      </c>
      <c r="C94" t="s">
        <v>346</v>
      </c>
    </row>
    <row r="95" spans="1:3" x14ac:dyDescent="0.25">
      <c r="A95" t="s">
        <v>347</v>
      </c>
      <c r="B95" t="s">
        <v>348</v>
      </c>
      <c r="C95" t="s">
        <v>349</v>
      </c>
    </row>
    <row r="96" spans="1:3" x14ac:dyDescent="0.25">
      <c r="A96" t="s">
        <v>350</v>
      </c>
      <c r="B96" t="s">
        <v>351</v>
      </c>
      <c r="C96" t="s">
        <v>352</v>
      </c>
    </row>
    <row r="97" spans="1:3" x14ac:dyDescent="0.25">
      <c r="A97" t="s">
        <v>353</v>
      </c>
      <c r="B97" t="s">
        <v>354</v>
      </c>
      <c r="C97" t="s">
        <v>355</v>
      </c>
    </row>
    <row r="98" spans="1:3" x14ac:dyDescent="0.25">
      <c r="A98" t="s">
        <v>356</v>
      </c>
      <c r="B98" t="s">
        <v>357</v>
      </c>
      <c r="C98" t="s">
        <v>358</v>
      </c>
    </row>
    <row r="99" spans="1:3" x14ac:dyDescent="0.25">
      <c r="A99" t="s">
        <v>359</v>
      </c>
      <c r="B99" t="s">
        <v>360</v>
      </c>
      <c r="C99" t="s">
        <v>361</v>
      </c>
    </row>
    <row r="100" spans="1:3" x14ac:dyDescent="0.25">
      <c r="A100" t="s">
        <v>362</v>
      </c>
      <c r="B100" t="s">
        <v>363</v>
      </c>
      <c r="C100" t="s">
        <v>364</v>
      </c>
    </row>
    <row r="101" spans="1:3" x14ac:dyDescent="0.25">
      <c r="A101" t="s">
        <v>365</v>
      </c>
      <c r="B101" t="s">
        <v>366</v>
      </c>
      <c r="C101" t="s">
        <v>367</v>
      </c>
    </row>
    <row r="102" spans="1:3" x14ac:dyDescent="0.25">
      <c r="A102" t="s">
        <v>368</v>
      </c>
      <c r="B102" t="s">
        <v>369</v>
      </c>
      <c r="C102" t="s">
        <v>370</v>
      </c>
    </row>
    <row r="103" spans="1:3" x14ac:dyDescent="0.25">
      <c r="A103" t="s">
        <v>371</v>
      </c>
      <c r="B103" t="s">
        <v>372</v>
      </c>
      <c r="C103" t="s">
        <v>373</v>
      </c>
    </row>
    <row r="104" spans="1:3" x14ac:dyDescent="0.25">
      <c r="A104" t="s">
        <v>374</v>
      </c>
      <c r="B104" t="s">
        <v>375</v>
      </c>
      <c r="C104" t="s">
        <v>376</v>
      </c>
    </row>
    <row r="105" spans="1:3" x14ac:dyDescent="0.25">
      <c r="A105" t="s">
        <v>377</v>
      </c>
      <c r="B105" t="s">
        <v>378</v>
      </c>
      <c r="C105" t="s">
        <v>379</v>
      </c>
    </row>
    <row r="106" spans="1:3" x14ac:dyDescent="0.25">
      <c r="A106" t="s">
        <v>380</v>
      </c>
      <c r="B106" t="s">
        <v>381</v>
      </c>
      <c r="C106" t="s">
        <v>382</v>
      </c>
    </row>
    <row r="107" spans="1:3" x14ac:dyDescent="0.25">
      <c r="A107" t="s">
        <v>383</v>
      </c>
      <c r="B107" t="s">
        <v>384</v>
      </c>
      <c r="C107" t="s">
        <v>385</v>
      </c>
    </row>
    <row r="108" spans="1:3" x14ac:dyDescent="0.25">
      <c r="A108" t="s">
        <v>389</v>
      </c>
      <c r="B108" t="s">
        <v>390</v>
      </c>
      <c r="C108" t="s">
        <v>391</v>
      </c>
    </row>
    <row r="109" spans="1:3" x14ac:dyDescent="0.25">
      <c r="A109" t="s">
        <v>392</v>
      </c>
      <c r="B109" t="s">
        <v>393</v>
      </c>
      <c r="C109" t="s">
        <v>394</v>
      </c>
    </row>
    <row r="110" spans="1:3" x14ac:dyDescent="0.25">
      <c r="A110" t="s">
        <v>395</v>
      </c>
      <c r="B110" t="s">
        <v>396</v>
      </c>
      <c r="C110" t="s">
        <v>397</v>
      </c>
    </row>
    <row r="111" spans="1:3" x14ac:dyDescent="0.25">
      <c r="A111" t="s">
        <v>398</v>
      </c>
      <c r="B111" t="s">
        <v>399</v>
      </c>
      <c r="C111" t="s">
        <v>400</v>
      </c>
    </row>
    <row r="112" spans="1:3" x14ac:dyDescent="0.25">
      <c r="A112" t="s">
        <v>401</v>
      </c>
      <c r="B112" t="s">
        <v>402</v>
      </c>
      <c r="C112" t="s">
        <v>403</v>
      </c>
    </row>
    <row r="113" spans="1:3" x14ac:dyDescent="0.25">
      <c r="A113" t="s">
        <v>404</v>
      </c>
      <c r="B113" t="s">
        <v>405</v>
      </c>
      <c r="C113" t="s">
        <v>406</v>
      </c>
    </row>
    <row r="114" spans="1:3" x14ac:dyDescent="0.25">
      <c r="A114" t="s">
        <v>407</v>
      </c>
      <c r="B114" t="s">
        <v>408</v>
      </c>
      <c r="C114" t="s">
        <v>409</v>
      </c>
    </row>
    <row r="115" spans="1:3" x14ac:dyDescent="0.25">
      <c r="A115" t="s">
        <v>410</v>
      </c>
      <c r="B115" t="s">
        <v>411</v>
      </c>
      <c r="C115" t="s">
        <v>412</v>
      </c>
    </row>
    <row r="116" spans="1:3" x14ac:dyDescent="0.25">
      <c r="A116" t="s">
        <v>413</v>
      </c>
      <c r="B116" t="s">
        <v>414</v>
      </c>
      <c r="C116" t="s">
        <v>415</v>
      </c>
    </row>
    <row r="117" spans="1:3" x14ac:dyDescent="0.25">
      <c r="A117" t="s">
        <v>416</v>
      </c>
      <c r="B117" t="s">
        <v>417</v>
      </c>
      <c r="C117" t="s">
        <v>418</v>
      </c>
    </row>
    <row r="118" spans="1:3" x14ac:dyDescent="0.25">
      <c r="A118" t="s">
        <v>422</v>
      </c>
      <c r="B118" t="s">
        <v>423</v>
      </c>
      <c r="C118" t="s">
        <v>424</v>
      </c>
    </row>
    <row r="119" spans="1:3" x14ac:dyDescent="0.25">
      <c r="A119" t="s">
        <v>425</v>
      </c>
      <c r="B119" t="s">
        <v>426</v>
      </c>
      <c r="C119" t="s">
        <v>427</v>
      </c>
    </row>
    <row r="120" spans="1:3" x14ac:dyDescent="0.25">
      <c r="A120" t="s">
        <v>428</v>
      </c>
      <c r="B120" t="s">
        <v>429</v>
      </c>
      <c r="C120" t="s">
        <v>430</v>
      </c>
    </row>
    <row r="121" spans="1:3" x14ac:dyDescent="0.25">
      <c r="A121" t="s">
        <v>431</v>
      </c>
      <c r="B121" t="s">
        <v>432</v>
      </c>
      <c r="C121" t="s">
        <v>433</v>
      </c>
    </row>
    <row r="122" spans="1:3" x14ac:dyDescent="0.25">
      <c r="A122" t="s">
        <v>434</v>
      </c>
      <c r="B122" t="s">
        <v>435</v>
      </c>
      <c r="C122" t="s">
        <v>436</v>
      </c>
    </row>
    <row r="123" spans="1:3" x14ac:dyDescent="0.25">
      <c r="A123" t="s">
        <v>437</v>
      </c>
      <c r="B123" t="s">
        <v>438</v>
      </c>
      <c r="C123" t="s">
        <v>439</v>
      </c>
    </row>
    <row r="124" spans="1:3" x14ac:dyDescent="0.25">
      <c r="A124" t="s">
        <v>440</v>
      </c>
      <c r="B124" t="s">
        <v>441</v>
      </c>
      <c r="C124" t="s">
        <v>442</v>
      </c>
    </row>
    <row r="125" spans="1:3" x14ac:dyDescent="0.25">
      <c r="A125" t="s">
        <v>443</v>
      </c>
      <c r="B125" t="s">
        <v>444</v>
      </c>
      <c r="C125" t="s">
        <v>445</v>
      </c>
    </row>
    <row r="126" spans="1:3" x14ac:dyDescent="0.25">
      <c r="A126" t="s">
        <v>446</v>
      </c>
      <c r="B126" t="s">
        <v>447</v>
      </c>
      <c r="C126" t="s">
        <v>448</v>
      </c>
    </row>
    <row r="127" spans="1:3" x14ac:dyDescent="0.25">
      <c r="A127" t="s">
        <v>449</v>
      </c>
      <c r="B127" t="s">
        <v>450</v>
      </c>
      <c r="C127" t="s">
        <v>451</v>
      </c>
    </row>
    <row r="128" spans="1:3" x14ac:dyDescent="0.25">
      <c r="A128" t="s">
        <v>452</v>
      </c>
      <c r="B128" t="s">
        <v>453</v>
      </c>
      <c r="C128" t="s">
        <v>454</v>
      </c>
    </row>
    <row r="129" spans="1:3" x14ac:dyDescent="0.25">
      <c r="A129" t="s">
        <v>455</v>
      </c>
      <c r="B129" t="s">
        <v>456</v>
      </c>
      <c r="C129" t="s">
        <v>457</v>
      </c>
    </row>
    <row r="130" spans="1:3" x14ac:dyDescent="0.25">
      <c r="A130" t="s">
        <v>458</v>
      </c>
      <c r="B130" t="s">
        <v>459</v>
      </c>
      <c r="C130" t="s">
        <v>460</v>
      </c>
    </row>
    <row r="131" spans="1:3" x14ac:dyDescent="0.25">
      <c r="A131" t="s">
        <v>461</v>
      </c>
      <c r="B131" t="s">
        <v>462</v>
      </c>
      <c r="C131" t="s">
        <v>463</v>
      </c>
    </row>
    <row r="132" spans="1:3" x14ac:dyDescent="0.25">
      <c r="A132" t="s">
        <v>464</v>
      </c>
      <c r="B132" t="s">
        <v>465</v>
      </c>
      <c r="C132" t="s">
        <v>466</v>
      </c>
    </row>
    <row r="133" spans="1:3" x14ac:dyDescent="0.25">
      <c r="A133" t="s">
        <v>467</v>
      </c>
      <c r="B133" t="s">
        <v>468</v>
      </c>
      <c r="C133" t="s">
        <v>469</v>
      </c>
    </row>
    <row r="134" spans="1:3" x14ac:dyDescent="0.25">
      <c r="A134" t="s">
        <v>470</v>
      </c>
      <c r="B134" t="s">
        <v>471</v>
      </c>
      <c r="C134" t="s">
        <v>472</v>
      </c>
    </row>
    <row r="135" spans="1:3" x14ac:dyDescent="0.25">
      <c r="A135" t="s">
        <v>473</v>
      </c>
      <c r="B135" t="s">
        <v>474</v>
      </c>
      <c r="C135" t="s">
        <v>475</v>
      </c>
    </row>
    <row r="136" spans="1:3" x14ac:dyDescent="0.25">
      <c r="A136" t="s">
        <v>476</v>
      </c>
      <c r="B136" t="s">
        <v>477</v>
      </c>
      <c r="C136" t="s">
        <v>478</v>
      </c>
    </row>
    <row r="137" spans="1:3" x14ac:dyDescent="0.25">
      <c r="A137" t="s">
        <v>479</v>
      </c>
      <c r="B137" t="s">
        <v>480</v>
      </c>
      <c r="C137" t="s">
        <v>481</v>
      </c>
    </row>
    <row r="138" spans="1:3" x14ac:dyDescent="0.25">
      <c r="A138" t="s">
        <v>482</v>
      </c>
      <c r="B138" t="s">
        <v>483</v>
      </c>
      <c r="C138" t="s">
        <v>484</v>
      </c>
    </row>
    <row r="139" spans="1:3" x14ac:dyDescent="0.25">
      <c r="A139" t="s">
        <v>485</v>
      </c>
      <c r="B139" t="s">
        <v>486</v>
      </c>
      <c r="C139" t="s">
        <v>487</v>
      </c>
    </row>
    <row r="140" spans="1:3" x14ac:dyDescent="0.25">
      <c r="A140" t="s">
        <v>488</v>
      </c>
      <c r="B140" t="s">
        <v>489</v>
      </c>
      <c r="C140" t="s">
        <v>490</v>
      </c>
    </row>
    <row r="141" spans="1:3" x14ac:dyDescent="0.25">
      <c r="A141" t="s">
        <v>491</v>
      </c>
      <c r="B141" t="s">
        <v>492</v>
      </c>
      <c r="C141" t="s">
        <v>493</v>
      </c>
    </row>
    <row r="142" spans="1:3" x14ac:dyDescent="0.25">
      <c r="A142" t="s">
        <v>494</v>
      </c>
      <c r="B142" t="s">
        <v>495</v>
      </c>
      <c r="C142" t="s">
        <v>496</v>
      </c>
    </row>
    <row r="143" spans="1:3" x14ac:dyDescent="0.25">
      <c r="A143" t="s">
        <v>497</v>
      </c>
      <c r="B143" t="s">
        <v>498</v>
      </c>
      <c r="C143" t="s">
        <v>499</v>
      </c>
    </row>
    <row r="144" spans="1:3" x14ac:dyDescent="0.25">
      <c r="A144" t="s">
        <v>500</v>
      </c>
      <c r="B144" t="s">
        <v>501</v>
      </c>
      <c r="C144" t="s">
        <v>502</v>
      </c>
    </row>
    <row r="145" spans="1:3" x14ac:dyDescent="0.25">
      <c r="A145" t="s">
        <v>503</v>
      </c>
      <c r="B145" t="s">
        <v>504</v>
      </c>
      <c r="C145" t="s">
        <v>505</v>
      </c>
    </row>
    <row r="146" spans="1:3" x14ac:dyDescent="0.25">
      <c r="A146" t="s">
        <v>506</v>
      </c>
      <c r="B146" t="s">
        <v>507</v>
      </c>
      <c r="C146" t="s">
        <v>508</v>
      </c>
    </row>
    <row r="147" spans="1:3" x14ac:dyDescent="0.25">
      <c r="A147" t="s">
        <v>509</v>
      </c>
      <c r="B147" t="s">
        <v>510</v>
      </c>
      <c r="C147" t="s">
        <v>511</v>
      </c>
    </row>
    <row r="148" spans="1:3" x14ac:dyDescent="0.25">
      <c r="A148" t="s">
        <v>512</v>
      </c>
      <c r="B148" t="s">
        <v>513</v>
      </c>
      <c r="C148" t="s">
        <v>514</v>
      </c>
    </row>
    <row r="149" spans="1:3" x14ac:dyDescent="0.25">
      <c r="A149" t="s">
        <v>515</v>
      </c>
      <c r="B149" t="s">
        <v>516</v>
      </c>
      <c r="C149" t="s">
        <v>517</v>
      </c>
    </row>
    <row r="150" spans="1:3" x14ac:dyDescent="0.25">
      <c r="A150" t="s">
        <v>521</v>
      </c>
      <c r="B150" t="s">
        <v>522</v>
      </c>
      <c r="C150" t="s">
        <v>523</v>
      </c>
    </row>
    <row r="151" spans="1:3" x14ac:dyDescent="0.25">
      <c r="A151" t="s">
        <v>524</v>
      </c>
      <c r="B151" t="s">
        <v>525</v>
      </c>
      <c r="C151" t="s">
        <v>526</v>
      </c>
    </row>
    <row r="152" spans="1:3" x14ac:dyDescent="0.25">
      <c r="A152" t="s">
        <v>527</v>
      </c>
      <c r="B152" t="s">
        <v>528</v>
      </c>
      <c r="C152" t="s">
        <v>529</v>
      </c>
    </row>
    <row r="153" spans="1:3" x14ac:dyDescent="0.25">
      <c r="A153" t="s">
        <v>530</v>
      </c>
      <c r="B153" t="s">
        <v>531</v>
      </c>
      <c r="C153" t="s">
        <v>532</v>
      </c>
    </row>
    <row r="154" spans="1:3" x14ac:dyDescent="0.25">
      <c r="A154" t="s">
        <v>533</v>
      </c>
      <c r="B154" t="s">
        <v>534</v>
      </c>
      <c r="C154" t="s">
        <v>535</v>
      </c>
    </row>
    <row r="155" spans="1:3" x14ac:dyDescent="0.25">
      <c r="A155" t="s">
        <v>536</v>
      </c>
      <c r="B155" t="s">
        <v>537</v>
      </c>
      <c r="C155" t="s">
        <v>538</v>
      </c>
    </row>
    <row r="156" spans="1:3" x14ac:dyDescent="0.25">
      <c r="A156" t="s">
        <v>539</v>
      </c>
      <c r="B156" t="s">
        <v>540</v>
      </c>
      <c r="C156" t="s">
        <v>541</v>
      </c>
    </row>
    <row r="157" spans="1:3" x14ac:dyDescent="0.25">
      <c r="A157" t="s">
        <v>542</v>
      </c>
      <c r="B157" t="s">
        <v>543</v>
      </c>
      <c r="C157" t="s">
        <v>544</v>
      </c>
    </row>
    <row r="158" spans="1:3" x14ac:dyDescent="0.25">
      <c r="A158" t="s">
        <v>545</v>
      </c>
      <c r="B158" t="s">
        <v>546</v>
      </c>
      <c r="C158" t="s">
        <v>547</v>
      </c>
    </row>
    <row r="159" spans="1:3" x14ac:dyDescent="0.25">
      <c r="A159" t="s">
        <v>548</v>
      </c>
      <c r="B159" t="s">
        <v>549</v>
      </c>
      <c r="C159" t="s">
        <v>550</v>
      </c>
    </row>
    <row r="160" spans="1:3" x14ac:dyDescent="0.25">
      <c r="A160" t="s">
        <v>551</v>
      </c>
      <c r="B160" t="s">
        <v>552</v>
      </c>
      <c r="C160" t="s">
        <v>553</v>
      </c>
    </row>
    <row r="161" spans="1:3" x14ac:dyDescent="0.25">
      <c r="A161" t="s">
        <v>554</v>
      </c>
      <c r="B161" t="s">
        <v>555</v>
      </c>
      <c r="C161" t="s">
        <v>556</v>
      </c>
    </row>
    <row r="162" spans="1:3" x14ac:dyDescent="0.25">
      <c r="A162" t="s">
        <v>557</v>
      </c>
      <c r="B162" t="s">
        <v>558</v>
      </c>
      <c r="C162" t="s">
        <v>559</v>
      </c>
    </row>
    <row r="163" spans="1:3" x14ac:dyDescent="0.25">
      <c r="A163" t="s">
        <v>560</v>
      </c>
      <c r="B163" t="s">
        <v>561</v>
      </c>
      <c r="C163" t="s">
        <v>562</v>
      </c>
    </row>
    <row r="164" spans="1:3" x14ac:dyDescent="0.25">
      <c r="A164" t="s">
        <v>563</v>
      </c>
      <c r="B164" t="s">
        <v>564</v>
      </c>
      <c r="C164" t="s">
        <v>565</v>
      </c>
    </row>
    <row r="165" spans="1:3" x14ac:dyDescent="0.25">
      <c r="A165" t="s">
        <v>566</v>
      </c>
      <c r="B165" t="s">
        <v>567</v>
      </c>
      <c r="C165" t="s">
        <v>568</v>
      </c>
    </row>
    <row r="166" spans="1:3" x14ac:dyDescent="0.25">
      <c r="A166" t="s">
        <v>569</v>
      </c>
      <c r="B166" t="s">
        <v>570</v>
      </c>
      <c r="C166" t="s">
        <v>571</v>
      </c>
    </row>
    <row r="167" spans="1:3" x14ac:dyDescent="0.25">
      <c r="A167" t="s">
        <v>572</v>
      </c>
      <c r="B167" t="s">
        <v>573</v>
      </c>
      <c r="C167" t="s">
        <v>574</v>
      </c>
    </row>
    <row r="168" spans="1:3" x14ac:dyDescent="0.25">
      <c r="A168" t="s">
        <v>575</v>
      </c>
      <c r="B168" t="s">
        <v>576</v>
      </c>
      <c r="C168" t="s">
        <v>577</v>
      </c>
    </row>
    <row r="169" spans="1:3" x14ac:dyDescent="0.25">
      <c r="A169" t="s">
        <v>578</v>
      </c>
      <c r="B169" t="s">
        <v>579</v>
      </c>
      <c r="C169" t="s">
        <v>580</v>
      </c>
    </row>
    <row r="170" spans="1:3" x14ac:dyDescent="0.25">
      <c r="A170" t="s">
        <v>581</v>
      </c>
      <c r="B170" t="s">
        <v>582</v>
      </c>
      <c r="C170" t="s">
        <v>583</v>
      </c>
    </row>
    <row r="171" spans="1:3" x14ac:dyDescent="0.25">
      <c r="A171" t="s">
        <v>587</v>
      </c>
      <c r="B171" t="s">
        <v>588</v>
      </c>
      <c r="C171" t="s">
        <v>589</v>
      </c>
    </row>
    <row r="172" spans="1:3" x14ac:dyDescent="0.25">
      <c r="A172" t="s">
        <v>590</v>
      </c>
      <c r="B172" t="s">
        <v>591</v>
      </c>
      <c r="C172" t="s">
        <v>592</v>
      </c>
    </row>
    <row r="173" spans="1:3" x14ac:dyDescent="0.25">
      <c r="A173" t="s">
        <v>596</v>
      </c>
      <c r="B173" t="s">
        <v>597</v>
      </c>
      <c r="C173" t="s">
        <v>598</v>
      </c>
    </row>
    <row r="174" spans="1:3" x14ac:dyDescent="0.25">
      <c r="A174" t="s">
        <v>599</v>
      </c>
      <c r="B174" t="s">
        <v>600</v>
      </c>
      <c r="C174" t="s">
        <v>601</v>
      </c>
    </row>
    <row r="175" spans="1:3" x14ac:dyDescent="0.25">
      <c r="A175" t="s">
        <v>602</v>
      </c>
      <c r="B175" t="s">
        <v>603</v>
      </c>
      <c r="C175" t="s">
        <v>604</v>
      </c>
    </row>
    <row r="176" spans="1:3" x14ac:dyDescent="0.25">
      <c r="A176" t="s">
        <v>605</v>
      </c>
      <c r="B176" t="s">
        <v>606</v>
      </c>
      <c r="C176" t="s">
        <v>607</v>
      </c>
    </row>
    <row r="177" spans="1:3" x14ac:dyDescent="0.25">
      <c r="A177" t="s">
        <v>611</v>
      </c>
      <c r="B177" t="s">
        <v>612</v>
      </c>
      <c r="C177" t="s">
        <v>613</v>
      </c>
    </row>
    <row r="178" spans="1:3" x14ac:dyDescent="0.25">
      <c r="A178" t="s">
        <v>614</v>
      </c>
      <c r="B178" t="s">
        <v>615</v>
      </c>
      <c r="C178" t="s">
        <v>616</v>
      </c>
    </row>
    <row r="179" spans="1:3" x14ac:dyDescent="0.25">
      <c r="A179" t="s">
        <v>617</v>
      </c>
      <c r="B179" t="s">
        <v>618</v>
      </c>
      <c r="C179" t="s">
        <v>619</v>
      </c>
    </row>
    <row r="180" spans="1:3" x14ac:dyDescent="0.25">
      <c r="A180" t="s">
        <v>620</v>
      </c>
      <c r="B180" t="s">
        <v>621</v>
      </c>
      <c r="C180" t="s">
        <v>622</v>
      </c>
    </row>
    <row r="181" spans="1:3" x14ac:dyDescent="0.25">
      <c r="A181" t="s">
        <v>623</v>
      </c>
      <c r="B181" t="s">
        <v>624</v>
      </c>
      <c r="C181" t="s">
        <v>625</v>
      </c>
    </row>
    <row r="182" spans="1:3" x14ac:dyDescent="0.25">
      <c r="A182" t="s">
        <v>626</v>
      </c>
      <c r="B182" t="s">
        <v>627</v>
      </c>
      <c r="C182" t="s">
        <v>628</v>
      </c>
    </row>
    <row r="183" spans="1:3" x14ac:dyDescent="0.25">
      <c r="A183" t="s">
        <v>629</v>
      </c>
      <c r="B183" t="s">
        <v>630</v>
      </c>
      <c r="C183" t="s">
        <v>631</v>
      </c>
    </row>
    <row r="184" spans="1:3" x14ac:dyDescent="0.25">
      <c r="A184" t="s">
        <v>632</v>
      </c>
      <c r="B184" t="s">
        <v>633</v>
      </c>
      <c r="C184" t="s">
        <v>634</v>
      </c>
    </row>
    <row r="185" spans="1:3" x14ac:dyDescent="0.25">
      <c r="A185" t="s">
        <v>635</v>
      </c>
      <c r="B185" t="s">
        <v>636</v>
      </c>
      <c r="C185" t="s">
        <v>637</v>
      </c>
    </row>
    <row r="186" spans="1:3" x14ac:dyDescent="0.25">
      <c r="A186" t="s">
        <v>638</v>
      </c>
      <c r="B186" t="s">
        <v>639</v>
      </c>
      <c r="C186" t="s">
        <v>640</v>
      </c>
    </row>
    <row r="187" spans="1:3" x14ac:dyDescent="0.25">
      <c r="A187" t="s">
        <v>641</v>
      </c>
      <c r="B187" t="s">
        <v>642</v>
      </c>
      <c r="C187" t="s">
        <v>643</v>
      </c>
    </row>
    <row r="188" spans="1:3" x14ac:dyDescent="0.25">
      <c r="A188" t="s">
        <v>644</v>
      </c>
      <c r="B188" t="s">
        <v>645</v>
      </c>
      <c r="C188" t="s">
        <v>646</v>
      </c>
    </row>
    <row r="189" spans="1:3" x14ac:dyDescent="0.25">
      <c r="A189" t="s">
        <v>647</v>
      </c>
      <c r="B189" t="s">
        <v>648</v>
      </c>
      <c r="C189" t="s">
        <v>649</v>
      </c>
    </row>
    <row r="190" spans="1:3" x14ac:dyDescent="0.25">
      <c r="A190" t="s">
        <v>650</v>
      </c>
      <c r="B190" t="s">
        <v>651</v>
      </c>
      <c r="C190" t="s">
        <v>652</v>
      </c>
    </row>
    <row r="191" spans="1:3" x14ac:dyDescent="0.25">
      <c r="A191" t="s">
        <v>653</v>
      </c>
      <c r="B191" t="s">
        <v>654</v>
      </c>
      <c r="C191" t="s">
        <v>655</v>
      </c>
    </row>
    <row r="192" spans="1:3" x14ac:dyDescent="0.25">
      <c r="A192" t="s">
        <v>656</v>
      </c>
      <c r="B192" t="s">
        <v>657</v>
      </c>
      <c r="C192" t="s">
        <v>658</v>
      </c>
    </row>
    <row r="193" spans="1:3" x14ac:dyDescent="0.25">
      <c r="A193" t="s">
        <v>659</v>
      </c>
      <c r="B193" t="s">
        <v>660</v>
      </c>
      <c r="C193" t="s">
        <v>661</v>
      </c>
    </row>
    <row r="194" spans="1:3" x14ac:dyDescent="0.25">
      <c r="A194" t="s">
        <v>662</v>
      </c>
      <c r="B194" t="s">
        <v>663</v>
      </c>
      <c r="C194" t="s">
        <v>664</v>
      </c>
    </row>
    <row r="195" spans="1:3" x14ac:dyDescent="0.25">
      <c r="A195" t="s">
        <v>665</v>
      </c>
      <c r="B195" t="s">
        <v>666</v>
      </c>
      <c r="C195" t="s">
        <v>667</v>
      </c>
    </row>
    <row r="196" spans="1:3" x14ac:dyDescent="0.25">
      <c r="A196" t="s">
        <v>668</v>
      </c>
      <c r="B196" t="s">
        <v>669</v>
      </c>
      <c r="C196" t="s">
        <v>670</v>
      </c>
    </row>
    <row r="197" spans="1:3" x14ac:dyDescent="0.25">
      <c r="A197" t="s">
        <v>671</v>
      </c>
      <c r="B197" t="s">
        <v>672</v>
      </c>
      <c r="C197" t="s">
        <v>673</v>
      </c>
    </row>
    <row r="198" spans="1:3" x14ac:dyDescent="0.25">
      <c r="A198" t="s">
        <v>674</v>
      </c>
      <c r="B198" t="s">
        <v>675</v>
      </c>
      <c r="C198" t="s">
        <v>676</v>
      </c>
    </row>
    <row r="199" spans="1:3" x14ac:dyDescent="0.25">
      <c r="A199" t="s">
        <v>677</v>
      </c>
      <c r="B199" t="s">
        <v>678</v>
      </c>
      <c r="C199" t="s">
        <v>679</v>
      </c>
    </row>
    <row r="200" spans="1:3" x14ac:dyDescent="0.25">
      <c r="A200" t="s">
        <v>680</v>
      </c>
      <c r="B200" t="s">
        <v>681</v>
      </c>
      <c r="C200" t="s">
        <v>682</v>
      </c>
    </row>
    <row r="201" spans="1:3" x14ac:dyDescent="0.25">
      <c r="A201" t="s">
        <v>683</v>
      </c>
      <c r="B201" t="s">
        <v>684</v>
      </c>
      <c r="C201" t="s">
        <v>685</v>
      </c>
    </row>
    <row r="202" spans="1:3" x14ac:dyDescent="0.25">
      <c r="A202" t="s">
        <v>686</v>
      </c>
      <c r="B202" t="s">
        <v>687</v>
      </c>
      <c r="C202" t="s">
        <v>688</v>
      </c>
    </row>
    <row r="203" spans="1:3" x14ac:dyDescent="0.25">
      <c r="A203" t="s">
        <v>689</v>
      </c>
      <c r="B203" t="s">
        <v>690</v>
      </c>
      <c r="C203" t="s">
        <v>691</v>
      </c>
    </row>
    <row r="204" spans="1:3" x14ac:dyDescent="0.25">
      <c r="A204" t="s">
        <v>695</v>
      </c>
      <c r="B204" t="s">
        <v>696</v>
      </c>
      <c r="C204" t="s">
        <v>697</v>
      </c>
    </row>
    <row r="205" spans="1:3" x14ac:dyDescent="0.25">
      <c r="A205" t="s">
        <v>698</v>
      </c>
      <c r="B205" t="s">
        <v>699</v>
      </c>
      <c r="C205" t="s">
        <v>700</v>
      </c>
    </row>
    <row r="206" spans="1:3" x14ac:dyDescent="0.25">
      <c r="A206" t="s">
        <v>701</v>
      </c>
      <c r="B206" t="s">
        <v>702</v>
      </c>
      <c r="C206" t="s">
        <v>703</v>
      </c>
    </row>
    <row r="207" spans="1:3" x14ac:dyDescent="0.25">
      <c r="A207" t="s">
        <v>704</v>
      </c>
      <c r="B207" t="s">
        <v>705</v>
      </c>
      <c r="C207" t="s">
        <v>706</v>
      </c>
    </row>
    <row r="208" spans="1:3" x14ac:dyDescent="0.25">
      <c r="A208" t="s">
        <v>707</v>
      </c>
      <c r="B208" t="s">
        <v>708</v>
      </c>
      <c r="C208" t="s">
        <v>709</v>
      </c>
    </row>
    <row r="209" spans="1:3" x14ac:dyDescent="0.25">
      <c r="A209" t="s">
        <v>710</v>
      </c>
      <c r="B209" t="s">
        <v>711</v>
      </c>
      <c r="C209" t="s">
        <v>712</v>
      </c>
    </row>
    <row r="210" spans="1:3" x14ac:dyDescent="0.25">
      <c r="A210" t="s">
        <v>716</v>
      </c>
      <c r="B210" t="s">
        <v>717</v>
      </c>
      <c r="C210" t="s">
        <v>718</v>
      </c>
    </row>
    <row r="211" spans="1:3" x14ac:dyDescent="0.25">
      <c r="A211" t="s">
        <v>719</v>
      </c>
      <c r="B211" t="s">
        <v>720</v>
      </c>
      <c r="C211" t="s">
        <v>721</v>
      </c>
    </row>
    <row r="212" spans="1:3" x14ac:dyDescent="0.25">
      <c r="A212" t="s">
        <v>722</v>
      </c>
      <c r="B212" t="s">
        <v>723</v>
      </c>
      <c r="C212" t="s">
        <v>724</v>
      </c>
    </row>
    <row r="213" spans="1:3" x14ac:dyDescent="0.25">
      <c r="A213" t="s">
        <v>725</v>
      </c>
      <c r="B213" t="s">
        <v>726</v>
      </c>
      <c r="C213" t="s">
        <v>727</v>
      </c>
    </row>
    <row r="214" spans="1:3" x14ac:dyDescent="0.25">
      <c r="A214" t="s">
        <v>728</v>
      </c>
      <c r="B214" t="s">
        <v>729</v>
      </c>
      <c r="C214" t="s">
        <v>730</v>
      </c>
    </row>
    <row r="215" spans="1:3" x14ac:dyDescent="0.25">
      <c r="A215" t="s">
        <v>731</v>
      </c>
      <c r="B215" t="s">
        <v>732</v>
      </c>
      <c r="C215" t="s">
        <v>733</v>
      </c>
    </row>
    <row r="216" spans="1:3" x14ac:dyDescent="0.25">
      <c r="A216" t="s">
        <v>734</v>
      </c>
      <c r="B216" t="s">
        <v>735</v>
      </c>
      <c r="C216" t="s">
        <v>736</v>
      </c>
    </row>
    <row r="217" spans="1:3" x14ac:dyDescent="0.25">
      <c r="A217" t="s">
        <v>737</v>
      </c>
      <c r="B217" t="s">
        <v>738</v>
      </c>
      <c r="C217" t="s">
        <v>739</v>
      </c>
    </row>
    <row r="218" spans="1:3" x14ac:dyDescent="0.25">
      <c r="A218" t="s">
        <v>740</v>
      </c>
      <c r="B218" t="s">
        <v>741</v>
      </c>
      <c r="C218" t="s">
        <v>742</v>
      </c>
    </row>
    <row r="219" spans="1:3" x14ac:dyDescent="0.25">
      <c r="A219" t="s">
        <v>743</v>
      </c>
      <c r="B219" t="s">
        <v>744</v>
      </c>
      <c r="C219" t="s">
        <v>745</v>
      </c>
    </row>
    <row r="220" spans="1:3" x14ac:dyDescent="0.25">
      <c r="A220" t="s">
        <v>746</v>
      </c>
      <c r="B220" t="s">
        <v>747</v>
      </c>
      <c r="C220" t="s">
        <v>748</v>
      </c>
    </row>
    <row r="221" spans="1:3" x14ac:dyDescent="0.25">
      <c r="A221" t="s">
        <v>749</v>
      </c>
      <c r="B221" t="s">
        <v>750</v>
      </c>
      <c r="C221" t="s">
        <v>751</v>
      </c>
    </row>
    <row r="222" spans="1:3" x14ac:dyDescent="0.25">
      <c r="A222" t="s">
        <v>752</v>
      </c>
      <c r="B222" t="s">
        <v>753</v>
      </c>
      <c r="C222" t="s">
        <v>754</v>
      </c>
    </row>
    <row r="223" spans="1:3" x14ac:dyDescent="0.25">
      <c r="A223" t="s">
        <v>755</v>
      </c>
      <c r="B223" t="s">
        <v>756</v>
      </c>
      <c r="C223" t="s">
        <v>757</v>
      </c>
    </row>
    <row r="224" spans="1:3" x14ac:dyDescent="0.25">
      <c r="A224" t="s">
        <v>758</v>
      </c>
      <c r="B224" t="s">
        <v>759</v>
      </c>
      <c r="C224" t="s">
        <v>760</v>
      </c>
    </row>
    <row r="225" spans="1:3" x14ac:dyDescent="0.25">
      <c r="A225" t="s">
        <v>761</v>
      </c>
      <c r="B225" t="s">
        <v>762</v>
      </c>
      <c r="C225" t="s">
        <v>763</v>
      </c>
    </row>
    <row r="226" spans="1:3" x14ac:dyDescent="0.25">
      <c r="A226" t="s">
        <v>764</v>
      </c>
      <c r="B226" t="s">
        <v>765</v>
      </c>
      <c r="C226" t="s">
        <v>766</v>
      </c>
    </row>
    <row r="227" spans="1:3" x14ac:dyDescent="0.25">
      <c r="A227" t="s">
        <v>767</v>
      </c>
      <c r="B227" t="s">
        <v>768</v>
      </c>
      <c r="C227" t="s">
        <v>769</v>
      </c>
    </row>
    <row r="228" spans="1:3" x14ac:dyDescent="0.25">
      <c r="A228" t="s">
        <v>770</v>
      </c>
      <c r="B228" t="s">
        <v>771</v>
      </c>
      <c r="C228" t="s">
        <v>772</v>
      </c>
    </row>
    <row r="229" spans="1:3" x14ac:dyDescent="0.25">
      <c r="A229" t="s">
        <v>773</v>
      </c>
      <c r="B229" t="s">
        <v>774</v>
      </c>
      <c r="C229" t="s">
        <v>775</v>
      </c>
    </row>
    <row r="230" spans="1:3" x14ac:dyDescent="0.25">
      <c r="A230" t="s">
        <v>776</v>
      </c>
      <c r="B230" t="s">
        <v>777</v>
      </c>
      <c r="C230" t="s">
        <v>778</v>
      </c>
    </row>
    <row r="231" spans="1:3" x14ac:dyDescent="0.25">
      <c r="A231" t="s">
        <v>779</v>
      </c>
      <c r="B231" t="s">
        <v>780</v>
      </c>
      <c r="C231" t="s">
        <v>781</v>
      </c>
    </row>
    <row r="232" spans="1:3" x14ac:dyDescent="0.25">
      <c r="A232" t="s">
        <v>782</v>
      </c>
      <c r="B232" t="s">
        <v>783</v>
      </c>
      <c r="C232" t="s">
        <v>784</v>
      </c>
    </row>
    <row r="233" spans="1:3" x14ac:dyDescent="0.25">
      <c r="A233" t="s">
        <v>785</v>
      </c>
      <c r="B233" t="s">
        <v>786</v>
      </c>
      <c r="C233" t="s">
        <v>787</v>
      </c>
    </row>
    <row r="234" spans="1:3" x14ac:dyDescent="0.25">
      <c r="A234" t="s">
        <v>788</v>
      </c>
      <c r="B234" t="s">
        <v>789</v>
      </c>
      <c r="C234" t="s">
        <v>790</v>
      </c>
    </row>
    <row r="235" spans="1:3" x14ac:dyDescent="0.25">
      <c r="A235" t="s">
        <v>791</v>
      </c>
      <c r="B235" t="s">
        <v>792</v>
      </c>
      <c r="C235" t="s">
        <v>793</v>
      </c>
    </row>
    <row r="236" spans="1:3" x14ac:dyDescent="0.25">
      <c r="A236" t="s">
        <v>794</v>
      </c>
      <c r="B236" t="s">
        <v>795</v>
      </c>
      <c r="C236" t="s">
        <v>796</v>
      </c>
    </row>
    <row r="237" spans="1:3" x14ac:dyDescent="0.25">
      <c r="A237" t="s">
        <v>797</v>
      </c>
      <c r="B237" t="s">
        <v>798</v>
      </c>
      <c r="C237" t="s">
        <v>799</v>
      </c>
    </row>
    <row r="238" spans="1:3" x14ac:dyDescent="0.25">
      <c r="A238" t="s">
        <v>800</v>
      </c>
      <c r="B238" t="s">
        <v>801</v>
      </c>
      <c r="C238" t="s">
        <v>802</v>
      </c>
    </row>
    <row r="239" spans="1:3" x14ac:dyDescent="0.25">
      <c r="A239" t="s">
        <v>803</v>
      </c>
      <c r="B239" t="s">
        <v>804</v>
      </c>
      <c r="C239" t="s">
        <v>805</v>
      </c>
    </row>
    <row r="240" spans="1:3" x14ac:dyDescent="0.25">
      <c r="A240" t="s">
        <v>806</v>
      </c>
      <c r="B240" t="s">
        <v>807</v>
      </c>
      <c r="C240" t="s">
        <v>808</v>
      </c>
    </row>
    <row r="241" spans="1:3" x14ac:dyDescent="0.25">
      <c r="A241" t="s">
        <v>809</v>
      </c>
      <c r="B241" t="s">
        <v>810</v>
      </c>
      <c r="C241" t="s">
        <v>811</v>
      </c>
    </row>
    <row r="242" spans="1:3" x14ac:dyDescent="0.25">
      <c r="A242" t="s">
        <v>812</v>
      </c>
      <c r="B242" t="s">
        <v>813</v>
      </c>
      <c r="C242" t="s">
        <v>814</v>
      </c>
    </row>
    <row r="243" spans="1:3" x14ac:dyDescent="0.25">
      <c r="A243" t="s">
        <v>815</v>
      </c>
      <c r="B243" t="s">
        <v>816</v>
      </c>
      <c r="C243" t="s">
        <v>817</v>
      </c>
    </row>
    <row r="244" spans="1:3" x14ac:dyDescent="0.25">
      <c r="A244" t="s">
        <v>818</v>
      </c>
      <c r="B244" t="s">
        <v>819</v>
      </c>
      <c r="C244" t="s">
        <v>820</v>
      </c>
    </row>
    <row r="245" spans="1:3" x14ac:dyDescent="0.25">
      <c r="A245" t="s">
        <v>821</v>
      </c>
      <c r="B245" t="s">
        <v>822</v>
      </c>
      <c r="C245" t="s">
        <v>823</v>
      </c>
    </row>
    <row r="246" spans="1:3" x14ac:dyDescent="0.25">
      <c r="A246" t="s">
        <v>824</v>
      </c>
      <c r="B246" t="s">
        <v>825</v>
      </c>
      <c r="C246" t="s">
        <v>826</v>
      </c>
    </row>
    <row r="247" spans="1:3" x14ac:dyDescent="0.25">
      <c r="A247" t="s">
        <v>827</v>
      </c>
      <c r="B247" t="s">
        <v>828</v>
      </c>
      <c r="C247" t="s">
        <v>829</v>
      </c>
    </row>
    <row r="248" spans="1:3" x14ac:dyDescent="0.25">
      <c r="A248" t="s">
        <v>830</v>
      </c>
      <c r="B248" t="s">
        <v>831</v>
      </c>
      <c r="C248" t="s">
        <v>832</v>
      </c>
    </row>
    <row r="249" spans="1:3" x14ac:dyDescent="0.25">
      <c r="A249" t="s">
        <v>833</v>
      </c>
      <c r="B249" t="s">
        <v>834</v>
      </c>
      <c r="C249" t="s">
        <v>835</v>
      </c>
    </row>
    <row r="250" spans="1:3" x14ac:dyDescent="0.25">
      <c r="A250" t="s">
        <v>842</v>
      </c>
      <c r="B250" t="s">
        <v>843</v>
      </c>
      <c r="C250" t="s">
        <v>844</v>
      </c>
    </row>
    <row r="251" spans="1:3" x14ac:dyDescent="0.25">
      <c r="A251" t="s">
        <v>845</v>
      </c>
      <c r="B251" t="s">
        <v>846</v>
      </c>
      <c r="C251" t="s">
        <v>847</v>
      </c>
    </row>
    <row r="252" spans="1:3" x14ac:dyDescent="0.25">
      <c r="A252" t="s">
        <v>851</v>
      </c>
      <c r="B252" t="s">
        <v>852</v>
      </c>
      <c r="C252" t="s">
        <v>853</v>
      </c>
    </row>
    <row r="253" spans="1:3" x14ac:dyDescent="0.25">
      <c r="A253" t="s">
        <v>854</v>
      </c>
      <c r="B253" t="s">
        <v>855</v>
      </c>
      <c r="C253" t="s">
        <v>856</v>
      </c>
    </row>
    <row r="254" spans="1:3" x14ac:dyDescent="0.25">
      <c r="A254" t="s">
        <v>857</v>
      </c>
      <c r="B254" t="s">
        <v>858</v>
      </c>
      <c r="C254" t="s">
        <v>859</v>
      </c>
    </row>
    <row r="255" spans="1:3" x14ac:dyDescent="0.25">
      <c r="A255" t="s">
        <v>860</v>
      </c>
      <c r="B255" t="s">
        <v>861</v>
      </c>
      <c r="C255" t="s">
        <v>862</v>
      </c>
    </row>
    <row r="256" spans="1:3" x14ac:dyDescent="0.25">
      <c r="A256" t="s">
        <v>863</v>
      </c>
      <c r="B256" t="s">
        <v>864</v>
      </c>
      <c r="C256" t="s">
        <v>865</v>
      </c>
    </row>
    <row r="257" spans="1:3" x14ac:dyDescent="0.25">
      <c r="A257" t="s">
        <v>866</v>
      </c>
      <c r="B257" t="s">
        <v>867</v>
      </c>
      <c r="C257" t="s">
        <v>868</v>
      </c>
    </row>
    <row r="258" spans="1:3" x14ac:dyDescent="0.25">
      <c r="A258" t="s">
        <v>869</v>
      </c>
      <c r="B258" t="s">
        <v>870</v>
      </c>
      <c r="C258" t="s">
        <v>871</v>
      </c>
    </row>
    <row r="259" spans="1:3" x14ac:dyDescent="0.25">
      <c r="A259" t="s">
        <v>872</v>
      </c>
      <c r="B259" t="s">
        <v>873</v>
      </c>
      <c r="C259" t="s">
        <v>874</v>
      </c>
    </row>
    <row r="260" spans="1:3" x14ac:dyDescent="0.25">
      <c r="A260" t="s">
        <v>875</v>
      </c>
      <c r="B260" t="s">
        <v>876</v>
      </c>
      <c r="C260" t="s">
        <v>877</v>
      </c>
    </row>
    <row r="261" spans="1:3" x14ac:dyDescent="0.25">
      <c r="A261" t="s">
        <v>878</v>
      </c>
      <c r="B261" t="s">
        <v>879</v>
      </c>
      <c r="C261" t="s">
        <v>880</v>
      </c>
    </row>
    <row r="262" spans="1:3" x14ac:dyDescent="0.25">
      <c r="A262" t="s">
        <v>881</v>
      </c>
      <c r="B262" t="s">
        <v>882</v>
      </c>
      <c r="C262" t="s">
        <v>883</v>
      </c>
    </row>
    <row r="263" spans="1:3" x14ac:dyDescent="0.25">
      <c r="A263" t="s">
        <v>884</v>
      </c>
      <c r="B263" t="s">
        <v>885</v>
      </c>
      <c r="C263" t="s">
        <v>886</v>
      </c>
    </row>
    <row r="264" spans="1:3" x14ac:dyDescent="0.25">
      <c r="A264" t="s">
        <v>887</v>
      </c>
      <c r="B264" t="s">
        <v>888</v>
      </c>
      <c r="C264" t="s">
        <v>889</v>
      </c>
    </row>
    <row r="265" spans="1:3" x14ac:dyDescent="0.25">
      <c r="A265" t="s">
        <v>890</v>
      </c>
      <c r="B265" t="s">
        <v>891</v>
      </c>
      <c r="C265" t="s">
        <v>892</v>
      </c>
    </row>
    <row r="266" spans="1:3" x14ac:dyDescent="0.25">
      <c r="A266" t="s">
        <v>893</v>
      </c>
      <c r="B266" t="s">
        <v>894</v>
      </c>
      <c r="C266" t="s">
        <v>895</v>
      </c>
    </row>
    <row r="267" spans="1:3" x14ac:dyDescent="0.25">
      <c r="A267" t="s">
        <v>896</v>
      </c>
      <c r="B267" t="s">
        <v>897</v>
      </c>
      <c r="C267" t="s">
        <v>898</v>
      </c>
    </row>
    <row r="268" spans="1:3" x14ac:dyDescent="0.25">
      <c r="A268" t="s">
        <v>899</v>
      </c>
      <c r="B268" t="s">
        <v>900</v>
      </c>
      <c r="C268" t="s">
        <v>901</v>
      </c>
    </row>
    <row r="269" spans="1:3" x14ac:dyDescent="0.25">
      <c r="A269" t="s">
        <v>902</v>
      </c>
      <c r="B269" t="s">
        <v>903</v>
      </c>
      <c r="C269" t="s">
        <v>904</v>
      </c>
    </row>
    <row r="270" spans="1:3" x14ac:dyDescent="0.25">
      <c r="A270" t="s">
        <v>905</v>
      </c>
      <c r="B270" t="s">
        <v>906</v>
      </c>
      <c r="C270" t="s">
        <v>907</v>
      </c>
    </row>
    <row r="271" spans="1:3" x14ac:dyDescent="0.25">
      <c r="A271" t="s">
        <v>908</v>
      </c>
      <c r="B271" t="s">
        <v>909</v>
      </c>
      <c r="C271" t="s">
        <v>910</v>
      </c>
    </row>
    <row r="272" spans="1:3" x14ac:dyDescent="0.25">
      <c r="A272" t="s">
        <v>911</v>
      </c>
      <c r="B272" t="s">
        <v>912</v>
      </c>
      <c r="C272" t="s">
        <v>913</v>
      </c>
    </row>
    <row r="273" spans="1:3" x14ac:dyDescent="0.25">
      <c r="A273" t="s">
        <v>914</v>
      </c>
      <c r="B273" t="s">
        <v>915</v>
      </c>
      <c r="C273" t="s">
        <v>916</v>
      </c>
    </row>
    <row r="274" spans="1:3" x14ac:dyDescent="0.25">
      <c r="A274" t="s">
        <v>917</v>
      </c>
      <c r="B274" t="s">
        <v>918</v>
      </c>
      <c r="C274" t="s">
        <v>919</v>
      </c>
    </row>
    <row r="275" spans="1:3" x14ac:dyDescent="0.25">
      <c r="A275" t="s">
        <v>920</v>
      </c>
      <c r="B275" t="s">
        <v>921</v>
      </c>
      <c r="C275" t="s">
        <v>922</v>
      </c>
    </row>
    <row r="276" spans="1:3" x14ac:dyDescent="0.25">
      <c r="A276" t="s">
        <v>923</v>
      </c>
      <c r="B276" t="s">
        <v>924</v>
      </c>
      <c r="C276" t="s">
        <v>925</v>
      </c>
    </row>
    <row r="277" spans="1:3" x14ac:dyDescent="0.25">
      <c r="A277" t="s">
        <v>926</v>
      </c>
      <c r="B277" t="s">
        <v>927</v>
      </c>
      <c r="C277" t="s">
        <v>928</v>
      </c>
    </row>
    <row r="278" spans="1:3" x14ac:dyDescent="0.25">
      <c r="A278" t="s">
        <v>929</v>
      </c>
      <c r="B278" t="s">
        <v>930</v>
      </c>
      <c r="C278" t="s">
        <v>931</v>
      </c>
    </row>
    <row r="279" spans="1:3" x14ac:dyDescent="0.25">
      <c r="A279" t="s">
        <v>932</v>
      </c>
      <c r="B279" t="s">
        <v>933</v>
      </c>
      <c r="C279" t="s">
        <v>934</v>
      </c>
    </row>
    <row r="280" spans="1:3" x14ac:dyDescent="0.25">
      <c r="A280" t="s">
        <v>935</v>
      </c>
      <c r="B280" t="s">
        <v>936</v>
      </c>
      <c r="C280" t="s">
        <v>937</v>
      </c>
    </row>
    <row r="281" spans="1:3" x14ac:dyDescent="0.25">
      <c r="A281" t="s">
        <v>938</v>
      </c>
      <c r="B281" t="s">
        <v>939</v>
      </c>
      <c r="C281" t="s">
        <v>940</v>
      </c>
    </row>
    <row r="282" spans="1:3" x14ac:dyDescent="0.25">
      <c r="A282" t="s">
        <v>941</v>
      </c>
      <c r="B282" t="s">
        <v>942</v>
      </c>
      <c r="C282" t="s">
        <v>943</v>
      </c>
    </row>
    <row r="283" spans="1:3" x14ac:dyDescent="0.25">
      <c r="A283" t="s">
        <v>944</v>
      </c>
      <c r="B283" t="s">
        <v>945</v>
      </c>
      <c r="C283" t="s">
        <v>946</v>
      </c>
    </row>
    <row r="284" spans="1:3" x14ac:dyDescent="0.25">
      <c r="A284" t="s">
        <v>947</v>
      </c>
      <c r="B284" t="s">
        <v>948</v>
      </c>
      <c r="C284" t="s">
        <v>949</v>
      </c>
    </row>
    <row r="285" spans="1:3" x14ac:dyDescent="0.25">
      <c r="A285" t="s">
        <v>950</v>
      </c>
      <c r="B285" t="s">
        <v>951</v>
      </c>
      <c r="C285" t="s">
        <v>952</v>
      </c>
    </row>
    <row r="286" spans="1:3" x14ac:dyDescent="0.25">
      <c r="A286" t="s">
        <v>953</v>
      </c>
      <c r="B286" t="s">
        <v>954</v>
      </c>
      <c r="C286" t="s">
        <v>955</v>
      </c>
    </row>
    <row r="287" spans="1:3" x14ac:dyDescent="0.25">
      <c r="A287" t="s">
        <v>959</v>
      </c>
      <c r="B287" t="s">
        <v>960</v>
      </c>
      <c r="C287" t="s">
        <v>961</v>
      </c>
    </row>
    <row r="288" spans="1:3" x14ac:dyDescent="0.25">
      <c r="A288" t="s">
        <v>962</v>
      </c>
      <c r="B288" t="s">
        <v>963</v>
      </c>
      <c r="C288" t="s">
        <v>964</v>
      </c>
    </row>
    <row r="289" spans="1:3" x14ac:dyDescent="0.25">
      <c r="A289" t="s">
        <v>965</v>
      </c>
      <c r="B289" t="s">
        <v>966</v>
      </c>
      <c r="C289" t="s">
        <v>967</v>
      </c>
    </row>
    <row r="290" spans="1:3" x14ac:dyDescent="0.25">
      <c r="A290" t="s">
        <v>968</v>
      </c>
      <c r="B290" t="s">
        <v>969</v>
      </c>
      <c r="C290" t="s">
        <v>970</v>
      </c>
    </row>
    <row r="291" spans="1:3" x14ac:dyDescent="0.25">
      <c r="A291" t="s">
        <v>971</v>
      </c>
      <c r="B291" t="s">
        <v>972</v>
      </c>
      <c r="C291" t="s">
        <v>973</v>
      </c>
    </row>
    <row r="292" spans="1:3" x14ac:dyDescent="0.25">
      <c r="A292" t="s">
        <v>974</v>
      </c>
      <c r="B292" t="s">
        <v>975</v>
      </c>
      <c r="C292" t="s">
        <v>976</v>
      </c>
    </row>
    <row r="293" spans="1:3" x14ac:dyDescent="0.25">
      <c r="A293" t="s">
        <v>977</v>
      </c>
      <c r="B293" t="s">
        <v>978</v>
      </c>
      <c r="C293" t="s">
        <v>979</v>
      </c>
    </row>
    <row r="294" spans="1:3" x14ac:dyDescent="0.25">
      <c r="A294" t="s">
        <v>980</v>
      </c>
      <c r="B294" t="s">
        <v>981</v>
      </c>
      <c r="C294" t="s">
        <v>982</v>
      </c>
    </row>
    <row r="295" spans="1:3" x14ac:dyDescent="0.25">
      <c r="A295" t="s">
        <v>983</v>
      </c>
      <c r="B295" t="s">
        <v>984</v>
      </c>
      <c r="C295" t="s">
        <v>985</v>
      </c>
    </row>
    <row r="296" spans="1:3" x14ac:dyDescent="0.25">
      <c r="A296" t="s">
        <v>986</v>
      </c>
      <c r="B296" t="s">
        <v>987</v>
      </c>
      <c r="C296" t="s">
        <v>988</v>
      </c>
    </row>
    <row r="297" spans="1:3" x14ac:dyDescent="0.25">
      <c r="A297" t="s">
        <v>992</v>
      </c>
      <c r="B297" t="s">
        <v>993</v>
      </c>
      <c r="C297" t="s">
        <v>994</v>
      </c>
    </row>
    <row r="298" spans="1:3" x14ac:dyDescent="0.25">
      <c r="A298" t="s">
        <v>995</v>
      </c>
      <c r="B298" t="s">
        <v>996</v>
      </c>
      <c r="C298" t="s">
        <v>997</v>
      </c>
    </row>
    <row r="299" spans="1:3" x14ac:dyDescent="0.25">
      <c r="A299" t="s">
        <v>998</v>
      </c>
      <c r="B299" t="s">
        <v>999</v>
      </c>
      <c r="C299" t="s">
        <v>1000</v>
      </c>
    </row>
    <row r="300" spans="1:3" x14ac:dyDescent="0.25">
      <c r="A300" t="s">
        <v>1001</v>
      </c>
      <c r="B300" t="s">
        <v>1002</v>
      </c>
      <c r="C300" t="s">
        <v>1003</v>
      </c>
    </row>
    <row r="301" spans="1:3" x14ac:dyDescent="0.25">
      <c r="A301" t="s">
        <v>1004</v>
      </c>
      <c r="B301" t="s">
        <v>1005</v>
      </c>
      <c r="C301" t="s">
        <v>1006</v>
      </c>
    </row>
    <row r="302" spans="1:3" x14ac:dyDescent="0.25">
      <c r="A302" t="s">
        <v>1007</v>
      </c>
      <c r="B302" t="s">
        <v>1008</v>
      </c>
      <c r="C302" t="s">
        <v>1009</v>
      </c>
    </row>
    <row r="303" spans="1:3" x14ac:dyDescent="0.25">
      <c r="A303" t="s">
        <v>1010</v>
      </c>
      <c r="B303" t="s">
        <v>1011</v>
      </c>
      <c r="C303" t="s">
        <v>1012</v>
      </c>
    </row>
    <row r="304" spans="1:3" x14ac:dyDescent="0.25">
      <c r="A304" t="s">
        <v>1013</v>
      </c>
      <c r="B304" t="s">
        <v>1014</v>
      </c>
      <c r="C304" t="s">
        <v>1015</v>
      </c>
    </row>
    <row r="305" spans="1:3" x14ac:dyDescent="0.25">
      <c r="A305" t="s">
        <v>1016</v>
      </c>
      <c r="B305" t="s">
        <v>1017</v>
      </c>
      <c r="C305" t="s">
        <v>1018</v>
      </c>
    </row>
    <row r="306" spans="1:3" x14ac:dyDescent="0.25">
      <c r="A306" t="s">
        <v>1019</v>
      </c>
      <c r="B306" t="s">
        <v>1020</v>
      </c>
      <c r="C306" t="s">
        <v>1021</v>
      </c>
    </row>
    <row r="307" spans="1:3" x14ac:dyDescent="0.25">
      <c r="A307" t="s">
        <v>1022</v>
      </c>
      <c r="B307" t="s">
        <v>1023</v>
      </c>
      <c r="C307" t="s">
        <v>1024</v>
      </c>
    </row>
    <row r="308" spans="1:3" x14ac:dyDescent="0.25">
      <c r="A308" t="s">
        <v>1028</v>
      </c>
      <c r="B308" t="s">
        <v>1029</v>
      </c>
      <c r="C308" t="s">
        <v>1030</v>
      </c>
    </row>
    <row r="309" spans="1:3" x14ac:dyDescent="0.25">
      <c r="A309" t="s">
        <v>1031</v>
      </c>
      <c r="B309" t="s">
        <v>1032</v>
      </c>
      <c r="C309" t="s">
        <v>1033</v>
      </c>
    </row>
    <row r="310" spans="1:3" x14ac:dyDescent="0.25">
      <c r="A310" t="s">
        <v>1034</v>
      </c>
      <c r="B310" t="s">
        <v>1035</v>
      </c>
      <c r="C310" t="s">
        <v>1036</v>
      </c>
    </row>
    <row r="311" spans="1:3" x14ac:dyDescent="0.25">
      <c r="A311" t="s">
        <v>1037</v>
      </c>
      <c r="B311" t="s">
        <v>1038</v>
      </c>
      <c r="C311" t="s">
        <v>1039</v>
      </c>
    </row>
    <row r="312" spans="1:3" x14ac:dyDescent="0.25">
      <c r="A312" t="s">
        <v>1040</v>
      </c>
      <c r="B312" t="s">
        <v>1041</v>
      </c>
      <c r="C312" t="s">
        <v>1042</v>
      </c>
    </row>
    <row r="313" spans="1:3" x14ac:dyDescent="0.25">
      <c r="A313" t="s">
        <v>1043</v>
      </c>
      <c r="B313" t="s">
        <v>1044</v>
      </c>
      <c r="C313" t="s">
        <v>1045</v>
      </c>
    </row>
    <row r="314" spans="1:3" x14ac:dyDescent="0.25">
      <c r="A314" t="s">
        <v>1046</v>
      </c>
      <c r="B314" t="s">
        <v>1047</v>
      </c>
      <c r="C314" t="s">
        <v>1048</v>
      </c>
    </row>
    <row r="315" spans="1:3" x14ac:dyDescent="0.25">
      <c r="A315" t="s">
        <v>1049</v>
      </c>
      <c r="B315" t="s">
        <v>1050</v>
      </c>
      <c r="C315" t="s">
        <v>1051</v>
      </c>
    </row>
    <row r="316" spans="1:3" x14ac:dyDescent="0.25">
      <c r="A316" t="s">
        <v>1052</v>
      </c>
      <c r="B316" t="s">
        <v>1053</v>
      </c>
      <c r="C316" t="s">
        <v>1054</v>
      </c>
    </row>
    <row r="317" spans="1:3" x14ac:dyDescent="0.25">
      <c r="A317" t="s">
        <v>1055</v>
      </c>
      <c r="B317" t="s">
        <v>1056</v>
      </c>
      <c r="C317" t="s">
        <v>1057</v>
      </c>
    </row>
    <row r="318" spans="1:3" x14ac:dyDescent="0.25">
      <c r="A318" t="s">
        <v>1058</v>
      </c>
      <c r="B318" t="s">
        <v>1059</v>
      </c>
      <c r="C318" t="s">
        <v>1060</v>
      </c>
    </row>
    <row r="319" spans="1:3" x14ac:dyDescent="0.25">
      <c r="A319" t="s">
        <v>1061</v>
      </c>
      <c r="B319" t="s">
        <v>1062</v>
      </c>
      <c r="C319" t="s">
        <v>1063</v>
      </c>
    </row>
    <row r="320" spans="1:3" x14ac:dyDescent="0.25">
      <c r="A320" t="s">
        <v>1064</v>
      </c>
      <c r="B320" t="s">
        <v>1065</v>
      </c>
      <c r="C320" t="s">
        <v>1066</v>
      </c>
    </row>
    <row r="321" spans="1:3" x14ac:dyDescent="0.25">
      <c r="A321" t="s">
        <v>1067</v>
      </c>
      <c r="B321" t="s">
        <v>1068</v>
      </c>
      <c r="C321" t="s">
        <v>1069</v>
      </c>
    </row>
    <row r="322" spans="1:3" x14ac:dyDescent="0.25">
      <c r="A322" t="s">
        <v>1070</v>
      </c>
      <c r="B322" t="s">
        <v>1071</v>
      </c>
      <c r="C322" t="s">
        <v>1072</v>
      </c>
    </row>
    <row r="323" spans="1:3" x14ac:dyDescent="0.25">
      <c r="A323" t="s">
        <v>1073</v>
      </c>
      <c r="B323" t="s">
        <v>1074</v>
      </c>
      <c r="C323" t="s">
        <v>1075</v>
      </c>
    </row>
    <row r="324" spans="1:3" x14ac:dyDescent="0.25">
      <c r="A324" t="s">
        <v>1076</v>
      </c>
      <c r="B324" t="s">
        <v>1077</v>
      </c>
      <c r="C324" t="s">
        <v>1078</v>
      </c>
    </row>
    <row r="325" spans="1:3" x14ac:dyDescent="0.25">
      <c r="A325" t="s">
        <v>1079</v>
      </c>
      <c r="B325" t="s">
        <v>1080</v>
      </c>
      <c r="C325" t="s">
        <v>1081</v>
      </c>
    </row>
    <row r="326" spans="1:3" x14ac:dyDescent="0.25">
      <c r="A326" t="s">
        <v>1082</v>
      </c>
      <c r="B326" t="s">
        <v>1083</v>
      </c>
      <c r="C326" t="s">
        <v>1084</v>
      </c>
    </row>
    <row r="327" spans="1:3" x14ac:dyDescent="0.25">
      <c r="A327" t="s">
        <v>1085</v>
      </c>
      <c r="B327" t="s">
        <v>1086</v>
      </c>
      <c r="C327" t="s">
        <v>1087</v>
      </c>
    </row>
    <row r="328" spans="1:3" x14ac:dyDescent="0.25">
      <c r="A328" t="s">
        <v>1088</v>
      </c>
      <c r="B328" t="s">
        <v>1089</v>
      </c>
      <c r="C328" t="s">
        <v>1090</v>
      </c>
    </row>
    <row r="329" spans="1:3" x14ac:dyDescent="0.25">
      <c r="A329" t="s">
        <v>1091</v>
      </c>
      <c r="B329" t="s">
        <v>1092</v>
      </c>
      <c r="C329" t="s">
        <v>1093</v>
      </c>
    </row>
    <row r="330" spans="1:3" x14ac:dyDescent="0.25">
      <c r="A330" t="s">
        <v>1094</v>
      </c>
      <c r="B330" t="s">
        <v>1095</v>
      </c>
      <c r="C330" t="s">
        <v>1096</v>
      </c>
    </row>
    <row r="331" spans="1:3" x14ac:dyDescent="0.25">
      <c r="A331" t="s">
        <v>1097</v>
      </c>
      <c r="B331" t="s">
        <v>1098</v>
      </c>
      <c r="C331" t="s">
        <v>1099</v>
      </c>
    </row>
    <row r="332" spans="1:3" x14ac:dyDescent="0.25">
      <c r="A332" t="s">
        <v>1100</v>
      </c>
      <c r="B332" t="s">
        <v>1101</v>
      </c>
      <c r="C332" t="s">
        <v>1102</v>
      </c>
    </row>
    <row r="333" spans="1:3" x14ac:dyDescent="0.25">
      <c r="A333" t="s">
        <v>1103</v>
      </c>
      <c r="B333" t="s">
        <v>1104</v>
      </c>
      <c r="C333" t="s">
        <v>1105</v>
      </c>
    </row>
    <row r="334" spans="1:3" x14ac:dyDescent="0.25">
      <c r="A334" t="s">
        <v>1106</v>
      </c>
      <c r="B334" t="s">
        <v>1107</v>
      </c>
      <c r="C334" t="s">
        <v>1108</v>
      </c>
    </row>
    <row r="335" spans="1:3" x14ac:dyDescent="0.25">
      <c r="A335" t="s">
        <v>1109</v>
      </c>
      <c r="B335" t="s">
        <v>1110</v>
      </c>
      <c r="C335" t="s">
        <v>1111</v>
      </c>
    </row>
    <row r="336" spans="1:3" x14ac:dyDescent="0.25">
      <c r="A336" t="s">
        <v>1115</v>
      </c>
      <c r="B336" t="s">
        <v>1116</v>
      </c>
      <c r="C336" t="s">
        <v>1117</v>
      </c>
    </row>
    <row r="337" spans="1:3" x14ac:dyDescent="0.25">
      <c r="A337" t="s">
        <v>1118</v>
      </c>
      <c r="B337" t="s">
        <v>1119</v>
      </c>
      <c r="C337" t="s">
        <v>1120</v>
      </c>
    </row>
    <row r="338" spans="1:3" x14ac:dyDescent="0.25">
      <c r="A338" t="s">
        <v>1121</v>
      </c>
      <c r="B338" t="s">
        <v>1122</v>
      </c>
      <c r="C338" t="s">
        <v>1123</v>
      </c>
    </row>
    <row r="339" spans="1:3" x14ac:dyDescent="0.25">
      <c r="A339" t="s">
        <v>1124</v>
      </c>
      <c r="B339" t="s">
        <v>1125</v>
      </c>
      <c r="C339" t="s">
        <v>1126</v>
      </c>
    </row>
    <row r="340" spans="1:3" x14ac:dyDescent="0.25">
      <c r="A340" t="s">
        <v>1127</v>
      </c>
      <c r="B340" t="s">
        <v>1128</v>
      </c>
      <c r="C340" t="s">
        <v>1129</v>
      </c>
    </row>
    <row r="341" spans="1:3" x14ac:dyDescent="0.25">
      <c r="A341" t="s">
        <v>1130</v>
      </c>
      <c r="B341" t="s">
        <v>1131</v>
      </c>
      <c r="C341" t="s">
        <v>1132</v>
      </c>
    </row>
    <row r="342" spans="1:3" x14ac:dyDescent="0.25">
      <c r="A342" t="s">
        <v>1133</v>
      </c>
      <c r="B342" t="s">
        <v>1134</v>
      </c>
      <c r="C342" t="s">
        <v>1135</v>
      </c>
    </row>
    <row r="343" spans="1:3" x14ac:dyDescent="0.25">
      <c r="A343" t="s">
        <v>1136</v>
      </c>
      <c r="B343" t="s">
        <v>1137</v>
      </c>
      <c r="C343" t="s">
        <v>1138</v>
      </c>
    </row>
    <row r="344" spans="1:3" x14ac:dyDescent="0.25">
      <c r="A344" t="s">
        <v>1139</v>
      </c>
      <c r="B344" t="s">
        <v>1140</v>
      </c>
      <c r="C344" t="s">
        <v>1141</v>
      </c>
    </row>
    <row r="345" spans="1:3" x14ac:dyDescent="0.25">
      <c r="A345" t="s">
        <v>1142</v>
      </c>
      <c r="B345" t="s">
        <v>1143</v>
      </c>
      <c r="C345" t="s">
        <v>1144</v>
      </c>
    </row>
    <row r="346" spans="1:3" x14ac:dyDescent="0.25">
      <c r="A346" t="s">
        <v>1145</v>
      </c>
      <c r="B346" t="s">
        <v>1146</v>
      </c>
      <c r="C346" t="s">
        <v>1147</v>
      </c>
    </row>
    <row r="347" spans="1:3" x14ac:dyDescent="0.25">
      <c r="A347" t="s">
        <v>1151</v>
      </c>
      <c r="B347" t="s">
        <v>1152</v>
      </c>
      <c r="C347" t="s">
        <v>1153</v>
      </c>
    </row>
    <row r="348" spans="1:3" x14ac:dyDescent="0.25">
      <c r="A348" t="s">
        <v>1154</v>
      </c>
      <c r="B348" t="s">
        <v>1155</v>
      </c>
      <c r="C348" t="s">
        <v>1156</v>
      </c>
    </row>
    <row r="349" spans="1:3" x14ac:dyDescent="0.25">
      <c r="A349" t="s">
        <v>1157</v>
      </c>
      <c r="B349" t="s">
        <v>1158</v>
      </c>
      <c r="C349" t="s">
        <v>1159</v>
      </c>
    </row>
    <row r="350" spans="1:3" x14ac:dyDescent="0.25">
      <c r="A350" t="s">
        <v>1160</v>
      </c>
      <c r="B350" t="s">
        <v>1161</v>
      </c>
      <c r="C350" t="s">
        <v>1162</v>
      </c>
    </row>
    <row r="351" spans="1:3" x14ac:dyDescent="0.25">
      <c r="A351" t="s">
        <v>1163</v>
      </c>
      <c r="B351" t="s">
        <v>1164</v>
      </c>
      <c r="C351" t="s">
        <v>1165</v>
      </c>
    </row>
    <row r="352" spans="1:3" x14ac:dyDescent="0.25">
      <c r="A352" t="s">
        <v>1166</v>
      </c>
      <c r="B352" t="s">
        <v>1167</v>
      </c>
      <c r="C352" t="s">
        <v>1168</v>
      </c>
    </row>
    <row r="353" spans="1:3" x14ac:dyDescent="0.25">
      <c r="A353" t="s">
        <v>1169</v>
      </c>
      <c r="B353" t="s">
        <v>1170</v>
      </c>
      <c r="C353" t="s">
        <v>1171</v>
      </c>
    </row>
    <row r="354" spans="1:3" x14ac:dyDescent="0.25">
      <c r="A354" t="s">
        <v>1172</v>
      </c>
      <c r="B354" t="s">
        <v>1173</v>
      </c>
      <c r="C354" t="s">
        <v>1174</v>
      </c>
    </row>
    <row r="355" spans="1:3" x14ac:dyDescent="0.25">
      <c r="A355" t="s">
        <v>1175</v>
      </c>
      <c r="B355" t="s">
        <v>1176</v>
      </c>
      <c r="C355" t="s">
        <v>1177</v>
      </c>
    </row>
    <row r="356" spans="1:3" x14ac:dyDescent="0.25">
      <c r="A356" t="s">
        <v>1178</v>
      </c>
      <c r="B356" t="s">
        <v>1179</v>
      </c>
      <c r="C356" t="s">
        <v>1180</v>
      </c>
    </row>
    <row r="357" spans="1:3" x14ac:dyDescent="0.25">
      <c r="A357" t="s">
        <v>1181</v>
      </c>
      <c r="B357" t="s">
        <v>1182</v>
      </c>
      <c r="C357" t="s">
        <v>1183</v>
      </c>
    </row>
    <row r="358" spans="1:3" x14ac:dyDescent="0.25">
      <c r="A358" t="s">
        <v>1187</v>
      </c>
      <c r="B358" t="s">
        <v>1188</v>
      </c>
      <c r="C358" t="s">
        <v>1189</v>
      </c>
    </row>
    <row r="359" spans="1:3" x14ac:dyDescent="0.25">
      <c r="A359" t="s">
        <v>1193</v>
      </c>
      <c r="B359" t="s">
        <v>1194</v>
      </c>
      <c r="C359" t="s">
        <v>1195</v>
      </c>
    </row>
    <row r="360" spans="1:3" x14ac:dyDescent="0.25">
      <c r="A360" t="s">
        <v>1196</v>
      </c>
      <c r="B360" t="s">
        <v>1197</v>
      </c>
      <c r="C360" t="s">
        <v>1198</v>
      </c>
    </row>
    <row r="361" spans="1:3" x14ac:dyDescent="0.25">
      <c r="A361" t="s">
        <v>1199</v>
      </c>
      <c r="B361" t="s">
        <v>1200</v>
      </c>
      <c r="C361" t="s">
        <v>1201</v>
      </c>
    </row>
    <row r="362" spans="1:3" x14ac:dyDescent="0.25">
      <c r="A362" t="s">
        <v>1202</v>
      </c>
      <c r="B362" t="s">
        <v>1203</v>
      </c>
      <c r="C362" t="s">
        <v>1204</v>
      </c>
    </row>
    <row r="363" spans="1:3" x14ac:dyDescent="0.25">
      <c r="A363" t="s">
        <v>1205</v>
      </c>
      <c r="B363" t="s">
        <v>1206</v>
      </c>
      <c r="C363" t="s">
        <v>1207</v>
      </c>
    </row>
    <row r="364" spans="1:3" x14ac:dyDescent="0.25">
      <c r="A364" t="s">
        <v>1208</v>
      </c>
      <c r="B364" t="s">
        <v>1209</v>
      </c>
      <c r="C364" t="s">
        <v>1210</v>
      </c>
    </row>
    <row r="365" spans="1:3" x14ac:dyDescent="0.25">
      <c r="A365" t="s">
        <v>1211</v>
      </c>
      <c r="B365" t="s">
        <v>1212</v>
      </c>
      <c r="C365" t="s">
        <v>1213</v>
      </c>
    </row>
    <row r="366" spans="1:3" x14ac:dyDescent="0.25">
      <c r="A366" t="s">
        <v>1214</v>
      </c>
      <c r="B366" t="s">
        <v>1215</v>
      </c>
      <c r="C366" t="s">
        <v>1216</v>
      </c>
    </row>
    <row r="367" spans="1:3" x14ac:dyDescent="0.25">
      <c r="A367" t="s">
        <v>1217</v>
      </c>
      <c r="B367" t="s">
        <v>1218</v>
      </c>
      <c r="C367" t="s">
        <v>1219</v>
      </c>
    </row>
    <row r="368" spans="1:3" x14ac:dyDescent="0.25">
      <c r="A368" t="s">
        <v>1220</v>
      </c>
      <c r="B368" t="s">
        <v>1221</v>
      </c>
      <c r="C368" t="s">
        <v>1222</v>
      </c>
    </row>
    <row r="369" spans="1:3" x14ac:dyDescent="0.25">
      <c r="A369" t="s">
        <v>1223</v>
      </c>
      <c r="B369" t="s">
        <v>1224</v>
      </c>
      <c r="C369" t="s">
        <v>1225</v>
      </c>
    </row>
    <row r="370" spans="1:3" x14ac:dyDescent="0.25">
      <c r="A370" t="s">
        <v>1226</v>
      </c>
      <c r="B370" t="s">
        <v>1227</v>
      </c>
      <c r="C370" t="s">
        <v>1228</v>
      </c>
    </row>
    <row r="371" spans="1:3" x14ac:dyDescent="0.25">
      <c r="A371" t="s">
        <v>1229</v>
      </c>
      <c r="B371" t="s">
        <v>1230</v>
      </c>
      <c r="C371" t="s">
        <v>1231</v>
      </c>
    </row>
    <row r="372" spans="1:3" x14ac:dyDescent="0.25">
      <c r="A372" t="s">
        <v>1232</v>
      </c>
      <c r="B372" t="s">
        <v>1233</v>
      </c>
      <c r="C372" t="s">
        <v>1234</v>
      </c>
    </row>
    <row r="373" spans="1:3" x14ac:dyDescent="0.25">
      <c r="A373" t="s">
        <v>1238</v>
      </c>
      <c r="B373" t="s">
        <v>1239</v>
      </c>
      <c r="C373" t="s">
        <v>1240</v>
      </c>
    </row>
    <row r="374" spans="1:3" x14ac:dyDescent="0.25">
      <c r="A374" t="s">
        <v>1241</v>
      </c>
      <c r="B374" t="s">
        <v>1242</v>
      </c>
      <c r="C374" t="s">
        <v>1243</v>
      </c>
    </row>
    <row r="375" spans="1:3" x14ac:dyDescent="0.25">
      <c r="A375" t="s">
        <v>1244</v>
      </c>
      <c r="B375" t="s">
        <v>1245</v>
      </c>
      <c r="C375" t="s">
        <v>1246</v>
      </c>
    </row>
    <row r="376" spans="1:3" x14ac:dyDescent="0.25">
      <c r="A376" t="s">
        <v>1247</v>
      </c>
      <c r="B376" t="s">
        <v>1248</v>
      </c>
      <c r="C376" t="s">
        <v>1249</v>
      </c>
    </row>
    <row r="377" spans="1:3" x14ac:dyDescent="0.25">
      <c r="A377" t="s">
        <v>1250</v>
      </c>
      <c r="B377" t="s">
        <v>1251</v>
      </c>
      <c r="C377" t="s">
        <v>1252</v>
      </c>
    </row>
    <row r="378" spans="1:3" x14ac:dyDescent="0.25">
      <c r="A378" t="s">
        <v>1253</v>
      </c>
      <c r="B378" t="s">
        <v>1254</v>
      </c>
      <c r="C378" t="s">
        <v>1255</v>
      </c>
    </row>
    <row r="379" spans="1:3" x14ac:dyDescent="0.25">
      <c r="A379" t="s">
        <v>1256</v>
      </c>
      <c r="B379" t="s">
        <v>1257</v>
      </c>
      <c r="C379" t="s">
        <v>1258</v>
      </c>
    </row>
    <row r="380" spans="1:3" x14ac:dyDescent="0.25">
      <c r="A380" t="s">
        <v>1259</v>
      </c>
      <c r="B380" t="s">
        <v>1260</v>
      </c>
      <c r="C380" t="s">
        <v>1261</v>
      </c>
    </row>
    <row r="381" spans="1:3" x14ac:dyDescent="0.25">
      <c r="A381" t="s">
        <v>1262</v>
      </c>
      <c r="B381" t="s">
        <v>1263</v>
      </c>
      <c r="C381" t="s">
        <v>1264</v>
      </c>
    </row>
    <row r="382" spans="1:3" x14ac:dyDescent="0.25">
      <c r="A382" t="s">
        <v>1265</v>
      </c>
      <c r="B382" t="s">
        <v>1266</v>
      </c>
      <c r="C382" t="s">
        <v>1267</v>
      </c>
    </row>
    <row r="383" spans="1:3" x14ac:dyDescent="0.25">
      <c r="A383" t="s">
        <v>1268</v>
      </c>
      <c r="B383" t="s">
        <v>1269</v>
      </c>
      <c r="C383" t="s">
        <v>1270</v>
      </c>
    </row>
    <row r="384" spans="1:3" x14ac:dyDescent="0.25">
      <c r="A384" t="s">
        <v>1271</v>
      </c>
      <c r="B384" t="s">
        <v>1272</v>
      </c>
      <c r="C384" t="s">
        <v>1273</v>
      </c>
    </row>
    <row r="385" spans="1:3" x14ac:dyDescent="0.25">
      <c r="A385" t="s">
        <v>1274</v>
      </c>
      <c r="B385" t="s">
        <v>1275</v>
      </c>
      <c r="C385" t="s">
        <v>1276</v>
      </c>
    </row>
    <row r="386" spans="1:3" x14ac:dyDescent="0.25">
      <c r="A386" t="s">
        <v>1280</v>
      </c>
      <c r="B386" t="s">
        <v>1281</v>
      </c>
      <c r="C386" t="s">
        <v>1282</v>
      </c>
    </row>
    <row r="387" spans="1:3" x14ac:dyDescent="0.25">
      <c r="A387" t="s">
        <v>1283</v>
      </c>
      <c r="B387" t="s">
        <v>1284</v>
      </c>
      <c r="C387" t="s">
        <v>1285</v>
      </c>
    </row>
    <row r="388" spans="1:3" x14ac:dyDescent="0.25">
      <c r="A388" t="s">
        <v>1286</v>
      </c>
      <c r="B388" t="s">
        <v>1287</v>
      </c>
      <c r="C388" t="s">
        <v>1288</v>
      </c>
    </row>
    <row r="389" spans="1:3" x14ac:dyDescent="0.25">
      <c r="A389" t="s">
        <v>1298</v>
      </c>
      <c r="B389" t="s">
        <v>1299</v>
      </c>
      <c r="C389" t="s">
        <v>1300</v>
      </c>
    </row>
    <row r="390" spans="1:3" x14ac:dyDescent="0.25">
      <c r="A390" t="s">
        <v>1301</v>
      </c>
      <c r="B390" t="s">
        <v>1302</v>
      </c>
      <c r="C390" t="s">
        <v>1303</v>
      </c>
    </row>
    <row r="391" spans="1:3" x14ac:dyDescent="0.25">
      <c r="A391" t="s">
        <v>1304</v>
      </c>
      <c r="B391" t="s">
        <v>1305</v>
      </c>
      <c r="C391" t="s">
        <v>1306</v>
      </c>
    </row>
    <row r="392" spans="1:3" x14ac:dyDescent="0.25">
      <c r="A392" t="s">
        <v>1307</v>
      </c>
      <c r="B392" t="s">
        <v>1308</v>
      </c>
      <c r="C392" t="s">
        <v>1309</v>
      </c>
    </row>
    <row r="393" spans="1:3" x14ac:dyDescent="0.25">
      <c r="A393" t="s">
        <v>1310</v>
      </c>
      <c r="B393" t="s">
        <v>1311</v>
      </c>
      <c r="C393" t="s">
        <v>1312</v>
      </c>
    </row>
    <row r="394" spans="1:3" x14ac:dyDescent="0.25">
      <c r="A394" t="s">
        <v>1313</v>
      </c>
      <c r="B394" t="s">
        <v>1314</v>
      </c>
      <c r="C394" t="s">
        <v>1315</v>
      </c>
    </row>
    <row r="395" spans="1:3" x14ac:dyDescent="0.25">
      <c r="A395" t="s">
        <v>1316</v>
      </c>
      <c r="B395" t="s">
        <v>1317</v>
      </c>
      <c r="C395" t="s">
        <v>1318</v>
      </c>
    </row>
    <row r="396" spans="1:3" x14ac:dyDescent="0.25">
      <c r="A396" t="s">
        <v>1319</v>
      </c>
      <c r="B396" t="s">
        <v>1320</v>
      </c>
      <c r="C396" t="s">
        <v>1321</v>
      </c>
    </row>
    <row r="397" spans="1:3" x14ac:dyDescent="0.25">
      <c r="A397" t="s">
        <v>1322</v>
      </c>
      <c r="B397" t="s">
        <v>1323</v>
      </c>
      <c r="C397" t="s">
        <v>1324</v>
      </c>
    </row>
    <row r="398" spans="1:3" x14ac:dyDescent="0.25">
      <c r="A398" t="s">
        <v>1325</v>
      </c>
      <c r="B398" t="s">
        <v>1326</v>
      </c>
      <c r="C398" t="s">
        <v>1327</v>
      </c>
    </row>
    <row r="399" spans="1:3" x14ac:dyDescent="0.25">
      <c r="A399" t="s">
        <v>1328</v>
      </c>
      <c r="B399" t="s">
        <v>1329</v>
      </c>
      <c r="C399" t="s">
        <v>1330</v>
      </c>
    </row>
    <row r="400" spans="1:3" x14ac:dyDescent="0.25">
      <c r="A400" t="s">
        <v>1331</v>
      </c>
      <c r="B400" t="s">
        <v>1332</v>
      </c>
      <c r="C400" t="s">
        <v>1333</v>
      </c>
    </row>
    <row r="401" spans="1:3" x14ac:dyDescent="0.25">
      <c r="A401" t="s">
        <v>1334</v>
      </c>
      <c r="B401" t="s">
        <v>1335</v>
      </c>
      <c r="C401" t="s">
        <v>1336</v>
      </c>
    </row>
    <row r="402" spans="1:3" x14ac:dyDescent="0.25">
      <c r="A402" t="s">
        <v>1337</v>
      </c>
      <c r="B402" t="s">
        <v>1338</v>
      </c>
      <c r="C402" t="s">
        <v>1339</v>
      </c>
    </row>
    <row r="403" spans="1:3" x14ac:dyDescent="0.25">
      <c r="A403" t="s">
        <v>1340</v>
      </c>
      <c r="B403" t="s">
        <v>1341</v>
      </c>
      <c r="C403" t="s">
        <v>1342</v>
      </c>
    </row>
    <row r="404" spans="1:3" x14ac:dyDescent="0.25">
      <c r="A404" t="s">
        <v>1343</v>
      </c>
      <c r="B404" t="s">
        <v>1344</v>
      </c>
      <c r="C404" t="s">
        <v>1345</v>
      </c>
    </row>
    <row r="405" spans="1:3" x14ac:dyDescent="0.25">
      <c r="A405" t="s">
        <v>1346</v>
      </c>
      <c r="B405" t="s">
        <v>1347</v>
      </c>
      <c r="C405" t="s">
        <v>1348</v>
      </c>
    </row>
    <row r="406" spans="1:3" x14ac:dyDescent="0.25">
      <c r="A406" t="s">
        <v>1349</v>
      </c>
      <c r="B406" t="s">
        <v>1350</v>
      </c>
      <c r="C406" t="s">
        <v>1351</v>
      </c>
    </row>
    <row r="407" spans="1:3" x14ac:dyDescent="0.25">
      <c r="A407" t="s">
        <v>1352</v>
      </c>
      <c r="B407" t="s">
        <v>1353</v>
      </c>
      <c r="C407" t="s">
        <v>1354</v>
      </c>
    </row>
    <row r="408" spans="1:3" x14ac:dyDescent="0.25">
      <c r="A408" t="s">
        <v>1355</v>
      </c>
      <c r="B408" t="s">
        <v>1356</v>
      </c>
      <c r="C408" t="s">
        <v>1357</v>
      </c>
    </row>
    <row r="409" spans="1:3" x14ac:dyDescent="0.25">
      <c r="A409" t="s">
        <v>1358</v>
      </c>
      <c r="B409" t="s">
        <v>1359</v>
      </c>
      <c r="C409" t="s">
        <v>1360</v>
      </c>
    </row>
    <row r="410" spans="1:3" x14ac:dyDescent="0.25">
      <c r="A410" t="s">
        <v>1361</v>
      </c>
      <c r="B410" t="s">
        <v>1362</v>
      </c>
      <c r="C410" t="s">
        <v>1363</v>
      </c>
    </row>
    <row r="411" spans="1:3" x14ac:dyDescent="0.25">
      <c r="A411" t="s">
        <v>1364</v>
      </c>
      <c r="B411" t="s">
        <v>1365</v>
      </c>
      <c r="C411" t="s">
        <v>1366</v>
      </c>
    </row>
    <row r="412" spans="1:3" x14ac:dyDescent="0.25">
      <c r="A412" t="s">
        <v>1367</v>
      </c>
      <c r="B412" t="s">
        <v>1368</v>
      </c>
      <c r="C412" t="s">
        <v>1369</v>
      </c>
    </row>
    <row r="413" spans="1:3" x14ac:dyDescent="0.25">
      <c r="A413" t="s">
        <v>1370</v>
      </c>
      <c r="B413" t="s">
        <v>1371</v>
      </c>
      <c r="C413" t="s">
        <v>1372</v>
      </c>
    </row>
    <row r="414" spans="1:3" x14ac:dyDescent="0.25">
      <c r="A414" t="s">
        <v>1376</v>
      </c>
      <c r="B414" t="s">
        <v>1377</v>
      </c>
      <c r="C414" t="s">
        <v>1378</v>
      </c>
    </row>
    <row r="415" spans="1:3" x14ac:dyDescent="0.25">
      <c r="A415" t="s">
        <v>1379</v>
      </c>
      <c r="B415" t="s">
        <v>1380</v>
      </c>
      <c r="C415" t="s">
        <v>1381</v>
      </c>
    </row>
    <row r="416" spans="1:3" x14ac:dyDescent="0.25">
      <c r="A416" t="s">
        <v>1382</v>
      </c>
      <c r="B416" t="s">
        <v>1383</v>
      </c>
      <c r="C416" t="s">
        <v>1384</v>
      </c>
    </row>
    <row r="417" spans="1:3" x14ac:dyDescent="0.25">
      <c r="A417" t="s">
        <v>1385</v>
      </c>
      <c r="B417" t="s">
        <v>1386</v>
      </c>
      <c r="C417" t="s">
        <v>1387</v>
      </c>
    </row>
    <row r="418" spans="1:3" x14ac:dyDescent="0.25">
      <c r="A418" t="s">
        <v>1388</v>
      </c>
      <c r="B418" t="s">
        <v>1389</v>
      </c>
      <c r="C418" t="s">
        <v>1390</v>
      </c>
    </row>
    <row r="419" spans="1:3" x14ac:dyDescent="0.25">
      <c r="A419" t="s">
        <v>1391</v>
      </c>
      <c r="B419" t="s">
        <v>1392</v>
      </c>
      <c r="C419" t="s">
        <v>1393</v>
      </c>
    </row>
    <row r="420" spans="1:3" x14ac:dyDescent="0.25">
      <c r="A420" t="s">
        <v>1397</v>
      </c>
      <c r="B420" t="s">
        <v>1398</v>
      </c>
      <c r="C420" t="s">
        <v>1399</v>
      </c>
    </row>
    <row r="421" spans="1:3" x14ac:dyDescent="0.25">
      <c r="A421" t="s">
        <v>1400</v>
      </c>
      <c r="B421" t="s">
        <v>1401</v>
      </c>
      <c r="C421" t="s">
        <v>1402</v>
      </c>
    </row>
    <row r="422" spans="1:3" x14ac:dyDescent="0.25">
      <c r="A422" t="s">
        <v>1403</v>
      </c>
      <c r="B422" t="s">
        <v>1404</v>
      </c>
      <c r="C422" t="s">
        <v>1405</v>
      </c>
    </row>
    <row r="423" spans="1:3" x14ac:dyDescent="0.25">
      <c r="A423" t="s">
        <v>1406</v>
      </c>
      <c r="B423" t="s">
        <v>1407</v>
      </c>
      <c r="C423" t="s">
        <v>1408</v>
      </c>
    </row>
    <row r="424" spans="1:3" x14ac:dyDescent="0.25">
      <c r="A424" t="s">
        <v>1409</v>
      </c>
      <c r="B424" t="s">
        <v>1410</v>
      </c>
      <c r="C424" t="s">
        <v>1411</v>
      </c>
    </row>
    <row r="425" spans="1:3" x14ac:dyDescent="0.25">
      <c r="A425" t="s">
        <v>1412</v>
      </c>
      <c r="B425" t="s">
        <v>1413</v>
      </c>
      <c r="C425" t="s">
        <v>1414</v>
      </c>
    </row>
    <row r="426" spans="1:3" x14ac:dyDescent="0.25">
      <c r="A426" t="s">
        <v>1415</v>
      </c>
      <c r="B426" t="s">
        <v>1416</v>
      </c>
      <c r="C426" t="s">
        <v>1417</v>
      </c>
    </row>
    <row r="427" spans="1:3" x14ac:dyDescent="0.25">
      <c r="A427" t="s">
        <v>1418</v>
      </c>
      <c r="B427" t="s">
        <v>1419</v>
      </c>
      <c r="C427" t="s">
        <v>1420</v>
      </c>
    </row>
    <row r="428" spans="1:3" x14ac:dyDescent="0.25">
      <c r="A428" t="s">
        <v>1421</v>
      </c>
      <c r="B428" t="s">
        <v>1422</v>
      </c>
      <c r="C428" t="s">
        <v>1423</v>
      </c>
    </row>
    <row r="429" spans="1:3" x14ac:dyDescent="0.25">
      <c r="A429" t="s">
        <v>1424</v>
      </c>
      <c r="B429" t="s">
        <v>1425</v>
      </c>
      <c r="C429" t="s">
        <v>1426</v>
      </c>
    </row>
    <row r="430" spans="1:3" x14ac:dyDescent="0.25">
      <c r="A430" t="s">
        <v>1427</v>
      </c>
      <c r="B430" t="s">
        <v>1428</v>
      </c>
      <c r="C430" t="s">
        <v>1429</v>
      </c>
    </row>
    <row r="431" spans="1:3" x14ac:dyDescent="0.25">
      <c r="A431" t="s">
        <v>1430</v>
      </c>
      <c r="B431" t="s">
        <v>1431</v>
      </c>
      <c r="C431" t="s">
        <v>1432</v>
      </c>
    </row>
    <row r="432" spans="1:3" x14ac:dyDescent="0.25">
      <c r="A432" t="s">
        <v>1433</v>
      </c>
      <c r="B432" t="s">
        <v>1434</v>
      </c>
      <c r="C432" t="s">
        <v>1435</v>
      </c>
    </row>
    <row r="433" spans="1:3" x14ac:dyDescent="0.25">
      <c r="A433" t="s">
        <v>1436</v>
      </c>
      <c r="B433" t="s">
        <v>1437</v>
      </c>
      <c r="C433" t="s">
        <v>1438</v>
      </c>
    </row>
    <row r="434" spans="1:3" x14ac:dyDescent="0.25">
      <c r="A434" t="s">
        <v>1439</v>
      </c>
      <c r="B434" t="s">
        <v>1440</v>
      </c>
      <c r="C434" t="s">
        <v>1441</v>
      </c>
    </row>
    <row r="435" spans="1:3" x14ac:dyDescent="0.25">
      <c r="A435" t="s">
        <v>1442</v>
      </c>
      <c r="B435" t="s">
        <v>1443</v>
      </c>
      <c r="C435" t="s">
        <v>1444</v>
      </c>
    </row>
    <row r="436" spans="1:3" x14ac:dyDescent="0.25">
      <c r="A436" t="s">
        <v>1445</v>
      </c>
      <c r="B436" t="s">
        <v>1446</v>
      </c>
      <c r="C436" t="s">
        <v>1447</v>
      </c>
    </row>
    <row r="437" spans="1:3" x14ac:dyDescent="0.25">
      <c r="A437" t="s">
        <v>1448</v>
      </c>
      <c r="B437" t="s">
        <v>1449</v>
      </c>
      <c r="C437" t="s">
        <v>1450</v>
      </c>
    </row>
    <row r="438" spans="1:3" x14ac:dyDescent="0.25">
      <c r="A438" t="s">
        <v>1451</v>
      </c>
      <c r="B438" t="s">
        <v>1452</v>
      </c>
      <c r="C438" t="s">
        <v>1453</v>
      </c>
    </row>
    <row r="439" spans="1:3" x14ac:dyDescent="0.25">
      <c r="A439" t="s">
        <v>1454</v>
      </c>
      <c r="B439" t="s">
        <v>1455</v>
      </c>
      <c r="C439" t="s">
        <v>1456</v>
      </c>
    </row>
    <row r="440" spans="1:3" x14ac:dyDescent="0.25">
      <c r="A440" t="s">
        <v>1457</v>
      </c>
      <c r="B440" t="s">
        <v>1458</v>
      </c>
      <c r="C440" t="s">
        <v>1459</v>
      </c>
    </row>
    <row r="441" spans="1:3" x14ac:dyDescent="0.25">
      <c r="A441" t="s">
        <v>1460</v>
      </c>
      <c r="B441" t="s">
        <v>1461</v>
      </c>
      <c r="C441" t="s">
        <v>1462</v>
      </c>
    </row>
    <row r="442" spans="1:3" x14ac:dyDescent="0.25">
      <c r="A442" t="s">
        <v>1463</v>
      </c>
      <c r="B442" t="s">
        <v>1464</v>
      </c>
      <c r="C442" t="s">
        <v>1465</v>
      </c>
    </row>
    <row r="443" spans="1:3" x14ac:dyDescent="0.25">
      <c r="A443" t="s">
        <v>1466</v>
      </c>
      <c r="B443" t="s">
        <v>1467</v>
      </c>
      <c r="C443" t="s">
        <v>1468</v>
      </c>
    </row>
    <row r="444" spans="1:3" x14ac:dyDescent="0.25">
      <c r="A444" t="s">
        <v>1469</v>
      </c>
      <c r="B444" t="s">
        <v>1470</v>
      </c>
      <c r="C444" t="s">
        <v>1471</v>
      </c>
    </row>
    <row r="445" spans="1:3" x14ac:dyDescent="0.25">
      <c r="A445" t="s">
        <v>1472</v>
      </c>
      <c r="B445" t="s">
        <v>1473</v>
      </c>
      <c r="C445" t="s">
        <v>1474</v>
      </c>
    </row>
    <row r="446" spans="1:3" x14ac:dyDescent="0.25">
      <c r="A446" t="s">
        <v>1475</v>
      </c>
      <c r="B446" t="s">
        <v>1476</v>
      </c>
      <c r="C446" t="s">
        <v>1477</v>
      </c>
    </row>
    <row r="447" spans="1:3" x14ac:dyDescent="0.25">
      <c r="A447" t="s">
        <v>1478</v>
      </c>
      <c r="B447" t="s">
        <v>1479</v>
      </c>
      <c r="C447" t="s">
        <v>1480</v>
      </c>
    </row>
    <row r="448" spans="1:3" x14ac:dyDescent="0.25">
      <c r="A448" t="s">
        <v>1481</v>
      </c>
      <c r="B448" t="s">
        <v>1482</v>
      </c>
      <c r="C448" t="s">
        <v>1483</v>
      </c>
    </row>
    <row r="449" spans="1:3" x14ac:dyDescent="0.25">
      <c r="A449" t="s">
        <v>1484</v>
      </c>
      <c r="B449" t="s">
        <v>1485</v>
      </c>
      <c r="C449" t="s">
        <v>1486</v>
      </c>
    </row>
    <row r="450" spans="1:3" x14ac:dyDescent="0.25">
      <c r="A450" t="s">
        <v>1487</v>
      </c>
      <c r="B450" t="s">
        <v>1488</v>
      </c>
      <c r="C450" t="s">
        <v>1489</v>
      </c>
    </row>
    <row r="451" spans="1:3" x14ac:dyDescent="0.25">
      <c r="A451" t="s">
        <v>1493</v>
      </c>
      <c r="B451" t="s">
        <v>1494</v>
      </c>
      <c r="C451" t="s">
        <v>1495</v>
      </c>
    </row>
    <row r="452" spans="1:3" x14ac:dyDescent="0.25">
      <c r="A452" t="s">
        <v>1496</v>
      </c>
      <c r="B452" t="s">
        <v>1497</v>
      </c>
      <c r="C452" t="s">
        <v>1498</v>
      </c>
    </row>
    <row r="453" spans="1:3" x14ac:dyDescent="0.25">
      <c r="A453" t="s">
        <v>1502</v>
      </c>
      <c r="B453" t="s">
        <v>1503</v>
      </c>
      <c r="C453" t="s">
        <v>1504</v>
      </c>
    </row>
    <row r="454" spans="1:3" x14ac:dyDescent="0.25">
      <c r="A454" t="s">
        <v>1505</v>
      </c>
      <c r="B454" t="s">
        <v>1506</v>
      </c>
      <c r="C454" t="s">
        <v>1507</v>
      </c>
    </row>
    <row r="455" spans="1:3" x14ac:dyDescent="0.25">
      <c r="A455" t="s">
        <v>1508</v>
      </c>
      <c r="B455" t="s">
        <v>1509</v>
      </c>
      <c r="C455" t="s">
        <v>1510</v>
      </c>
    </row>
    <row r="456" spans="1:3" x14ac:dyDescent="0.25">
      <c r="A456" t="s">
        <v>1511</v>
      </c>
      <c r="B456" t="s">
        <v>1512</v>
      </c>
      <c r="C456" t="s">
        <v>1513</v>
      </c>
    </row>
    <row r="457" spans="1:3" x14ac:dyDescent="0.25">
      <c r="A457" t="s">
        <v>1514</v>
      </c>
      <c r="B457" t="s">
        <v>1515</v>
      </c>
      <c r="C457" t="s">
        <v>1516</v>
      </c>
    </row>
    <row r="458" spans="1:3" x14ac:dyDescent="0.25">
      <c r="A458" t="s">
        <v>1517</v>
      </c>
      <c r="B458" t="s">
        <v>1518</v>
      </c>
      <c r="C458" t="s">
        <v>1519</v>
      </c>
    </row>
    <row r="459" spans="1:3" x14ac:dyDescent="0.25">
      <c r="A459" t="s">
        <v>1520</v>
      </c>
      <c r="B459" t="s">
        <v>1521</v>
      </c>
      <c r="C459" t="s">
        <v>1522</v>
      </c>
    </row>
    <row r="460" spans="1:3" x14ac:dyDescent="0.25">
      <c r="A460" t="s">
        <v>1523</v>
      </c>
      <c r="B460" t="s">
        <v>1524</v>
      </c>
      <c r="C460" t="s">
        <v>1525</v>
      </c>
    </row>
    <row r="461" spans="1:3" x14ac:dyDescent="0.25">
      <c r="A461" t="s">
        <v>1526</v>
      </c>
      <c r="B461" t="s">
        <v>1527</v>
      </c>
      <c r="C461" t="s">
        <v>1528</v>
      </c>
    </row>
    <row r="462" spans="1:3" x14ac:dyDescent="0.25">
      <c r="A462" t="s">
        <v>1529</v>
      </c>
      <c r="B462" t="s">
        <v>1530</v>
      </c>
      <c r="C462" t="s">
        <v>1531</v>
      </c>
    </row>
    <row r="463" spans="1:3" x14ac:dyDescent="0.25">
      <c r="A463" t="s">
        <v>1532</v>
      </c>
      <c r="B463" t="s">
        <v>1533</v>
      </c>
      <c r="C463" t="s">
        <v>1534</v>
      </c>
    </row>
    <row r="464" spans="1:3" x14ac:dyDescent="0.25">
      <c r="A464" t="s">
        <v>1535</v>
      </c>
      <c r="B464" t="s">
        <v>1536</v>
      </c>
      <c r="C464" t="s">
        <v>1537</v>
      </c>
    </row>
    <row r="465" spans="1:3" x14ac:dyDescent="0.25">
      <c r="A465" t="s">
        <v>1538</v>
      </c>
      <c r="B465" t="s">
        <v>1539</v>
      </c>
      <c r="C465" t="s">
        <v>1540</v>
      </c>
    </row>
    <row r="466" spans="1:3" x14ac:dyDescent="0.25">
      <c r="A466" t="s">
        <v>1541</v>
      </c>
      <c r="B466" t="s">
        <v>1542</v>
      </c>
      <c r="C466" t="s">
        <v>1543</v>
      </c>
    </row>
    <row r="467" spans="1:3" x14ac:dyDescent="0.25">
      <c r="A467" t="s">
        <v>1544</v>
      </c>
      <c r="B467" t="s">
        <v>1545</v>
      </c>
      <c r="C467" t="s">
        <v>1546</v>
      </c>
    </row>
    <row r="468" spans="1:3" x14ac:dyDescent="0.25">
      <c r="A468" t="s">
        <v>1547</v>
      </c>
      <c r="B468" t="s">
        <v>1548</v>
      </c>
      <c r="C468" t="s">
        <v>1549</v>
      </c>
    </row>
    <row r="469" spans="1:3" x14ac:dyDescent="0.25">
      <c r="A469" t="s">
        <v>1550</v>
      </c>
      <c r="B469" t="s">
        <v>1551</v>
      </c>
      <c r="C469" t="s">
        <v>1552</v>
      </c>
    </row>
    <row r="470" spans="1:3" x14ac:dyDescent="0.25">
      <c r="A470" t="s">
        <v>1553</v>
      </c>
      <c r="B470" t="s">
        <v>1554</v>
      </c>
      <c r="C470" t="s">
        <v>1555</v>
      </c>
    </row>
    <row r="471" spans="1:3" x14ac:dyDescent="0.25">
      <c r="A471" t="s">
        <v>1556</v>
      </c>
      <c r="B471" t="s">
        <v>1557</v>
      </c>
      <c r="C471" t="s">
        <v>1558</v>
      </c>
    </row>
    <row r="472" spans="1:3" x14ac:dyDescent="0.25">
      <c r="A472" t="s">
        <v>1559</v>
      </c>
      <c r="B472" t="s">
        <v>1560</v>
      </c>
      <c r="C472" t="s">
        <v>1561</v>
      </c>
    </row>
    <row r="473" spans="1:3" x14ac:dyDescent="0.25">
      <c r="A473" t="s">
        <v>1562</v>
      </c>
      <c r="B473" t="s">
        <v>1563</v>
      </c>
      <c r="C473" t="s">
        <v>1564</v>
      </c>
    </row>
    <row r="474" spans="1:3" x14ac:dyDescent="0.25">
      <c r="A474" t="s">
        <v>1565</v>
      </c>
      <c r="B474" t="s">
        <v>1566</v>
      </c>
      <c r="C474" t="s">
        <v>1567</v>
      </c>
    </row>
    <row r="475" spans="1:3" x14ac:dyDescent="0.25">
      <c r="A475" t="s">
        <v>1568</v>
      </c>
      <c r="B475" t="s">
        <v>1569</v>
      </c>
      <c r="C475" t="s">
        <v>1570</v>
      </c>
    </row>
    <row r="476" spans="1:3" x14ac:dyDescent="0.25">
      <c r="A476" t="s">
        <v>1571</v>
      </c>
      <c r="B476" t="s">
        <v>1572</v>
      </c>
      <c r="C476" t="s">
        <v>1573</v>
      </c>
    </row>
    <row r="477" spans="1:3" x14ac:dyDescent="0.25">
      <c r="A477" t="s">
        <v>1577</v>
      </c>
      <c r="B477" t="s">
        <v>1578</v>
      </c>
      <c r="C477" t="s">
        <v>1579</v>
      </c>
    </row>
    <row r="478" spans="1:3" x14ac:dyDescent="0.25">
      <c r="A478" t="s">
        <v>1583</v>
      </c>
      <c r="B478" t="s">
        <v>1584</v>
      </c>
      <c r="C478" t="s">
        <v>1585</v>
      </c>
    </row>
    <row r="479" spans="1:3" x14ac:dyDescent="0.25">
      <c r="A479" t="s">
        <v>1586</v>
      </c>
      <c r="B479" t="s">
        <v>1587</v>
      </c>
      <c r="C479" t="s">
        <v>1588</v>
      </c>
    </row>
    <row r="480" spans="1:3" x14ac:dyDescent="0.25">
      <c r="A480" t="s">
        <v>1589</v>
      </c>
      <c r="B480" t="s">
        <v>1590</v>
      </c>
      <c r="C480" t="s">
        <v>1591</v>
      </c>
    </row>
    <row r="481" spans="1:3" x14ac:dyDescent="0.25">
      <c r="A481" t="s">
        <v>1592</v>
      </c>
      <c r="B481" t="s">
        <v>1593</v>
      </c>
      <c r="C481" t="s">
        <v>1594</v>
      </c>
    </row>
    <row r="482" spans="1:3" x14ac:dyDescent="0.25">
      <c r="A482" t="s">
        <v>1595</v>
      </c>
      <c r="B482" t="s">
        <v>1596</v>
      </c>
      <c r="C482" t="s">
        <v>1597</v>
      </c>
    </row>
    <row r="483" spans="1:3" x14ac:dyDescent="0.25">
      <c r="A483" t="s">
        <v>1598</v>
      </c>
      <c r="B483" t="s">
        <v>1599</v>
      </c>
      <c r="C483" t="s">
        <v>1600</v>
      </c>
    </row>
    <row r="484" spans="1:3" x14ac:dyDescent="0.25">
      <c r="A484" t="s">
        <v>1601</v>
      </c>
      <c r="B484" t="s">
        <v>1602</v>
      </c>
      <c r="C484" t="s">
        <v>1603</v>
      </c>
    </row>
    <row r="485" spans="1:3" x14ac:dyDescent="0.25">
      <c r="A485" t="s">
        <v>1604</v>
      </c>
      <c r="B485" t="s">
        <v>1605</v>
      </c>
      <c r="C485" t="s">
        <v>1606</v>
      </c>
    </row>
    <row r="486" spans="1:3" x14ac:dyDescent="0.25">
      <c r="A486" t="s">
        <v>1607</v>
      </c>
      <c r="B486" t="s">
        <v>1608</v>
      </c>
      <c r="C486" t="s">
        <v>1609</v>
      </c>
    </row>
    <row r="487" spans="1:3" x14ac:dyDescent="0.25">
      <c r="A487" t="s">
        <v>1610</v>
      </c>
      <c r="B487" t="s">
        <v>1611</v>
      </c>
      <c r="C487" t="s">
        <v>1612</v>
      </c>
    </row>
    <row r="488" spans="1:3" x14ac:dyDescent="0.25">
      <c r="A488" t="s">
        <v>1613</v>
      </c>
      <c r="B488" t="s">
        <v>1614</v>
      </c>
      <c r="C488" t="s">
        <v>1615</v>
      </c>
    </row>
    <row r="489" spans="1:3" x14ac:dyDescent="0.25">
      <c r="A489" t="s">
        <v>1616</v>
      </c>
      <c r="B489" t="s">
        <v>1617</v>
      </c>
      <c r="C489" t="s">
        <v>1618</v>
      </c>
    </row>
    <row r="490" spans="1:3" x14ac:dyDescent="0.25">
      <c r="A490" t="s">
        <v>1619</v>
      </c>
      <c r="B490" t="s">
        <v>1620</v>
      </c>
      <c r="C490" t="s">
        <v>1621</v>
      </c>
    </row>
    <row r="491" spans="1:3" x14ac:dyDescent="0.25">
      <c r="A491" t="s">
        <v>1622</v>
      </c>
      <c r="B491" t="s">
        <v>1623</v>
      </c>
      <c r="C491" t="s">
        <v>1624</v>
      </c>
    </row>
    <row r="492" spans="1:3" x14ac:dyDescent="0.25">
      <c r="A492" t="s">
        <v>1625</v>
      </c>
      <c r="B492" t="s">
        <v>1626</v>
      </c>
      <c r="C492" t="s">
        <v>1627</v>
      </c>
    </row>
    <row r="493" spans="1:3" x14ac:dyDescent="0.25">
      <c r="A493" t="s">
        <v>1628</v>
      </c>
      <c r="B493" t="s">
        <v>1629</v>
      </c>
      <c r="C493" t="s">
        <v>1630</v>
      </c>
    </row>
    <row r="494" spans="1:3" x14ac:dyDescent="0.25">
      <c r="A494" t="s">
        <v>1631</v>
      </c>
      <c r="B494" t="s">
        <v>1632</v>
      </c>
      <c r="C494" t="s">
        <v>1633</v>
      </c>
    </row>
    <row r="495" spans="1:3" x14ac:dyDescent="0.25">
      <c r="A495" t="s">
        <v>1637</v>
      </c>
      <c r="B495" t="s">
        <v>1638</v>
      </c>
      <c r="C495" t="s">
        <v>1639</v>
      </c>
    </row>
    <row r="496" spans="1:3" x14ac:dyDescent="0.25">
      <c r="A496" t="s">
        <v>1640</v>
      </c>
      <c r="B496" t="s">
        <v>1641</v>
      </c>
      <c r="C496" t="s">
        <v>1642</v>
      </c>
    </row>
    <row r="497" spans="1:3" x14ac:dyDescent="0.25">
      <c r="A497" t="s">
        <v>1643</v>
      </c>
      <c r="B497" t="s">
        <v>1644</v>
      </c>
      <c r="C497" t="s">
        <v>1645</v>
      </c>
    </row>
    <row r="498" spans="1:3" x14ac:dyDescent="0.25">
      <c r="A498" t="s">
        <v>1646</v>
      </c>
      <c r="B498" t="s">
        <v>1647</v>
      </c>
      <c r="C498" t="s">
        <v>1648</v>
      </c>
    </row>
    <row r="499" spans="1:3" x14ac:dyDescent="0.25">
      <c r="A499" t="s">
        <v>1649</v>
      </c>
      <c r="B499" t="s">
        <v>1650</v>
      </c>
      <c r="C499" t="s">
        <v>1651</v>
      </c>
    </row>
    <row r="500" spans="1:3" x14ac:dyDescent="0.25">
      <c r="A500" t="s">
        <v>1652</v>
      </c>
      <c r="B500" t="s">
        <v>1653</v>
      </c>
      <c r="C500" t="s">
        <v>1654</v>
      </c>
    </row>
    <row r="501" spans="1:3" x14ac:dyDescent="0.25">
      <c r="A501" t="s">
        <v>1655</v>
      </c>
      <c r="B501" t="s">
        <v>1656</v>
      </c>
      <c r="C501" t="s">
        <v>1657</v>
      </c>
    </row>
    <row r="502" spans="1:3" x14ac:dyDescent="0.25">
      <c r="A502" t="s">
        <v>1658</v>
      </c>
      <c r="B502" t="s">
        <v>1659</v>
      </c>
      <c r="C502" t="s">
        <v>1660</v>
      </c>
    </row>
    <row r="503" spans="1:3" x14ac:dyDescent="0.25">
      <c r="A503" t="s">
        <v>1661</v>
      </c>
      <c r="B503" t="s">
        <v>1662</v>
      </c>
      <c r="C503" t="s">
        <v>1663</v>
      </c>
    </row>
    <row r="504" spans="1:3" x14ac:dyDescent="0.25">
      <c r="A504" t="s">
        <v>1664</v>
      </c>
      <c r="B504" t="s">
        <v>1665</v>
      </c>
      <c r="C504" t="s">
        <v>1666</v>
      </c>
    </row>
    <row r="505" spans="1:3" x14ac:dyDescent="0.25">
      <c r="A505" t="s">
        <v>1667</v>
      </c>
      <c r="B505" t="s">
        <v>1668</v>
      </c>
      <c r="C505" t="s">
        <v>1669</v>
      </c>
    </row>
    <row r="506" spans="1:3" x14ac:dyDescent="0.25">
      <c r="A506" t="s">
        <v>1670</v>
      </c>
      <c r="B506" t="s">
        <v>1671</v>
      </c>
      <c r="C506" t="s">
        <v>1672</v>
      </c>
    </row>
    <row r="507" spans="1:3" x14ac:dyDescent="0.25">
      <c r="A507" t="s">
        <v>1673</v>
      </c>
      <c r="B507" t="s">
        <v>1674</v>
      </c>
      <c r="C507" t="s">
        <v>1675</v>
      </c>
    </row>
    <row r="508" spans="1:3" x14ac:dyDescent="0.25">
      <c r="A508" t="s">
        <v>1679</v>
      </c>
      <c r="B508" t="s">
        <v>1680</v>
      </c>
      <c r="C508" t="s">
        <v>1681</v>
      </c>
    </row>
    <row r="509" spans="1:3" x14ac:dyDescent="0.25">
      <c r="A509" t="s">
        <v>1682</v>
      </c>
      <c r="B509" t="s">
        <v>1683</v>
      </c>
      <c r="C509" t="s">
        <v>1684</v>
      </c>
    </row>
    <row r="510" spans="1:3" x14ac:dyDescent="0.25">
      <c r="A510" t="s">
        <v>1685</v>
      </c>
      <c r="B510" t="s">
        <v>1686</v>
      </c>
      <c r="C510" t="s">
        <v>1687</v>
      </c>
    </row>
    <row r="511" spans="1:3" x14ac:dyDescent="0.25">
      <c r="A511" t="s">
        <v>1688</v>
      </c>
      <c r="B511" t="s">
        <v>1689</v>
      </c>
      <c r="C511" t="s">
        <v>1690</v>
      </c>
    </row>
    <row r="512" spans="1:3" x14ac:dyDescent="0.25">
      <c r="A512" t="s">
        <v>1691</v>
      </c>
      <c r="B512" t="s">
        <v>1692</v>
      </c>
      <c r="C512" t="s">
        <v>1693</v>
      </c>
    </row>
    <row r="513" spans="1:3" x14ac:dyDescent="0.25">
      <c r="A513" t="s">
        <v>1694</v>
      </c>
      <c r="B513" t="s">
        <v>1695</v>
      </c>
      <c r="C513" t="s">
        <v>1696</v>
      </c>
    </row>
    <row r="514" spans="1:3" x14ac:dyDescent="0.25">
      <c r="A514" t="s">
        <v>1697</v>
      </c>
      <c r="B514" t="s">
        <v>1698</v>
      </c>
      <c r="C514" t="s">
        <v>1699</v>
      </c>
    </row>
    <row r="515" spans="1:3" x14ac:dyDescent="0.25">
      <c r="A515" t="s">
        <v>1700</v>
      </c>
      <c r="B515" t="s">
        <v>1701</v>
      </c>
      <c r="C515" t="s">
        <v>1702</v>
      </c>
    </row>
    <row r="516" spans="1:3" x14ac:dyDescent="0.25">
      <c r="A516" t="s">
        <v>1703</v>
      </c>
      <c r="B516" t="s">
        <v>1704</v>
      </c>
      <c r="C516" t="s">
        <v>1705</v>
      </c>
    </row>
    <row r="517" spans="1:3" x14ac:dyDescent="0.25">
      <c r="A517" t="s">
        <v>1709</v>
      </c>
      <c r="B517" t="s">
        <v>1710</v>
      </c>
      <c r="C517" t="s">
        <v>1711</v>
      </c>
    </row>
    <row r="518" spans="1:3" x14ac:dyDescent="0.25">
      <c r="A518" t="s">
        <v>1712</v>
      </c>
      <c r="B518" t="s">
        <v>1713</v>
      </c>
      <c r="C518" t="s">
        <v>1714</v>
      </c>
    </row>
    <row r="519" spans="1:3" x14ac:dyDescent="0.25">
      <c r="A519" t="s">
        <v>1715</v>
      </c>
      <c r="B519" t="s">
        <v>1716</v>
      </c>
      <c r="C519" t="s">
        <v>1717</v>
      </c>
    </row>
    <row r="520" spans="1:3" x14ac:dyDescent="0.25">
      <c r="A520" t="s">
        <v>1718</v>
      </c>
      <c r="B520" t="s">
        <v>1719</v>
      </c>
      <c r="C520" t="s">
        <v>1720</v>
      </c>
    </row>
    <row r="521" spans="1:3" x14ac:dyDescent="0.25">
      <c r="A521" t="s">
        <v>1724</v>
      </c>
      <c r="B521" t="s">
        <v>1725</v>
      </c>
      <c r="C521" t="s">
        <v>1726</v>
      </c>
    </row>
    <row r="522" spans="1:3" x14ac:dyDescent="0.25">
      <c r="A522" t="s">
        <v>1727</v>
      </c>
      <c r="B522" t="s">
        <v>1728</v>
      </c>
      <c r="C522" t="s">
        <v>1729</v>
      </c>
    </row>
    <row r="523" spans="1:3" x14ac:dyDescent="0.25">
      <c r="A523" t="s">
        <v>1730</v>
      </c>
      <c r="B523" t="s">
        <v>1731</v>
      </c>
      <c r="C523" t="s">
        <v>1732</v>
      </c>
    </row>
    <row r="524" spans="1:3" x14ac:dyDescent="0.25">
      <c r="A524" t="s">
        <v>1733</v>
      </c>
      <c r="B524" t="s">
        <v>1734</v>
      </c>
      <c r="C524" t="s">
        <v>1735</v>
      </c>
    </row>
    <row r="525" spans="1:3" x14ac:dyDescent="0.25">
      <c r="A525" t="s">
        <v>1736</v>
      </c>
      <c r="B525" t="s">
        <v>1737</v>
      </c>
      <c r="C525" t="s">
        <v>1738</v>
      </c>
    </row>
    <row r="526" spans="1:3" x14ac:dyDescent="0.25">
      <c r="A526" t="s">
        <v>1739</v>
      </c>
      <c r="B526" t="s">
        <v>1740</v>
      </c>
      <c r="C526" t="s">
        <v>1741</v>
      </c>
    </row>
    <row r="527" spans="1:3" x14ac:dyDescent="0.25">
      <c r="A527" t="s">
        <v>1742</v>
      </c>
      <c r="B527" t="s">
        <v>1743</v>
      </c>
      <c r="C527" t="s">
        <v>1744</v>
      </c>
    </row>
    <row r="528" spans="1:3" x14ac:dyDescent="0.25">
      <c r="A528" t="s">
        <v>1748</v>
      </c>
      <c r="B528" t="s">
        <v>1749</v>
      </c>
      <c r="C528" t="s">
        <v>1750</v>
      </c>
    </row>
    <row r="529" spans="1:3" x14ac:dyDescent="0.25">
      <c r="A529" t="s">
        <v>1751</v>
      </c>
      <c r="B529" t="s">
        <v>1752</v>
      </c>
      <c r="C529" t="s">
        <v>1753</v>
      </c>
    </row>
    <row r="530" spans="1:3" x14ac:dyDescent="0.25">
      <c r="A530" t="s">
        <v>1754</v>
      </c>
      <c r="B530" t="s">
        <v>1755</v>
      </c>
      <c r="C530" t="s">
        <v>1756</v>
      </c>
    </row>
    <row r="531" spans="1:3" x14ac:dyDescent="0.25">
      <c r="A531" t="s">
        <v>1757</v>
      </c>
      <c r="B531" t="s">
        <v>1758</v>
      </c>
      <c r="C531" t="s">
        <v>1759</v>
      </c>
    </row>
    <row r="532" spans="1:3" x14ac:dyDescent="0.25">
      <c r="A532" t="s">
        <v>1760</v>
      </c>
      <c r="B532" t="s">
        <v>1761</v>
      </c>
      <c r="C532" t="s">
        <v>1762</v>
      </c>
    </row>
    <row r="533" spans="1:3" x14ac:dyDescent="0.25">
      <c r="A533" t="s">
        <v>1763</v>
      </c>
      <c r="B533" t="s">
        <v>1764</v>
      </c>
      <c r="C533" t="s">
        <v>1765</v>
      </c>
    </row>
    <row r="534" spans="1:3" x14ac:dyDescent="0.25">
      <c r="A534" t="s">
        <v>1766</v>
      </c>
      <c r="B534" t="s">
        <v>1767</v>
      </c>
      <c r="C534" t="s">
        <v>1768</v>
      </c>
    </row>
    <row r="535" spans="1:3" x14ac:dyDescent="0.25">
      <c r="A535" t="s">
        <v>1769</v>
      </c>
      <c r="B535" t="s">
        <v>1770</v>
      </c>
      <c r="C535" t="s">
        <v>1771</v>
      </c>
    </row>
    <row r="536" spans="1:3" x14ac:dyDescent="0.25">
      <c r="A536" t="s">
        <v>1772</v>
      </c>
      <c r="B536" t="s">
        <v>1773</v>
      </c>
      <c r="C536" t="s">
        <v>1774</v>
      </c>
    </row>
    <row r="537" spans="1:3" x14ac:dyDescent="0.25">
      <c r="A537" t="s">
        <v>1775</v>
      </c>
      <c r="B537" t="s">
        <v>1776</v>
      </c>
      <c r="C537" t="s">
        <v>1777</v>
      </c>
    </row>
    <row r="538" spans="1:3" x14ac:dyDescent="0.25">
      <c r="A538" t="s">
        <v>1778</v>
      </c>
      <c r="B538" t="s">
        <v>1779</v>
      </c>
      <c r="C538" t="s">
        <v>1780</v>
      </c>
    </row>
    <row r="539" spans="1:3" x14ac:dyDescent="0.25">
      <c r="A539" t="s">
        <v>1781</v>
      </c>
      <c r="B539" t="s">
        <v>1782</v>
      </c>
      <c r="C539" t="s">
        <v>1783</v>
      </c>
    </row>
    <row r="540" spans="1:3" x14ac:dyDescent="0.25">
      <c r="A540" t="s">
        <v>1784</v>
      </c>
      <c r="B540" t="s">
        <v>1785</v>
      </c>
      <c r="C540" t="s">
        <v>1786</v>
      </c>
    </row>
    <row r="541" spans="1:3" x14ac:dyDescent="0.25">
      <c r="A541" t="s">
        <v>1787</v>
      </c>
      <c r="B541" t="s">
        <v>1788</v>
      </c>
      <c r="C541" t="s">
        <v>1789</v>
      </c>
    </row>
    <row r="542" spans="1:3" x14ac:dyDescent="0.25">
      <c r="A542" t="s">
        <v>1790</v>
      </c>
      <c r="B542" t="s">
        <v>1791</v>
      </c>
      <c r="C542" t="s">
        <v>1792</v>
      </c>
    </row>
    <row r="543" spans="1:3" x14ac:dyDescent="0.25">
      <c r="A543" t="s">
        <v>1793</v>
      </c>
      <c r="B543" t="s">
        <v>1794</v>
      </c>
      <c r="C543" t="s">
        <v>1795</v>
      </c>
    </row>
    <row r="544" spans="1:3" x14ac:dyDescent="0.25">
      <c r="A544" t="s">
        <v>1796</v>
      </c>
      <c r="B544" t="s">
        <v>1797</v>
      </c>
      <c r="C544" t="s">
        <v>1798</v>
      </c>
    </row>
    <row r="545" spans="1:3" x14ac:dyDescent="0.25">
      <c r="A545" t="s">
        <v>1799</v>
      </c>
      <c r="B545" t="s">
        <v>1800</v>
      </c>
      <c r="C545" t="s">
        <v>1801</v>
      </c>
    </row>
    <row r="546" spans="1:3" x14ac:dyDescent="0.25">
      <c r="A546" t="s">
        <v>1802</v>
      </c>
      <c r="B546" t="s">
        <v>1803</v>
      </c>
      <c r="C546" t="s">
        <v>1804</v>
      </c>
    </row>
    <row r="547" spans="1:3" x14ac:dyDescent="0.25">
      <c r="A547" t="s">
        <v>1805</v>
      </c>
      <c r="B547" t="s">
        <v>1806</v>
      </c>
      <c r="C547" t="s">
        <v>1807</v>
      </c>
    </row>
    <row r="548" spans="1:3" x14ac:dyDescent="0.25">
      <c r="A548" t="s">
        <v>1808</v>
      </c>
      <c r="B548" t="s">
        <v>1809</v>
      </c>
      <c r="C548" t="s">
        <v>1810</v>
      </c>
    </row>
    <row r="549" spans="1:3" x14ac:dyDescent="0.25">
      <c r="A549" t="s">
        <v>1811</v>
      </c>
      <c r="B549" t="s">
        <v>1812</v>
      </c>
      <c r="C549" t="s">
        <v>1813</v>
      </c>
    </row>
    <row r="550" spans="1:3" x14ac:dyDescent="0.25">
      <c r="A550" t="s">
        <v>1814</v>
      </c>
      <c r="B550" t="s">
        <v>1815</v>
      </c>
      <c r="C550" t="s">
        <v>1816</v>
      </c>
    </row>
    <row r="551" spans="1:3" x14ac:dyDescent="0.25">
      <c r="A551" t="s">
        <v>1817</v>
      </c>
      <c r="B551" t="s">
        <v>1818</v>
      </c>
      <c r="C551" t="s">
        <v>1819</v>
      </c>
    </row>
    <row r="552" spans="1:3" x14ac:dyDescent="0.25">
      <c r="A552" t="s">
        <v>1820</v>
      </c>
      <c r="B552" t="s">
        <v>1821</v>
      </c>
      <c r="C552" t="s">
        <v>1822</v>
      </c>
    </row>
    <row r="553" spans="1:3" x14ac:dyDescent="0.25">
      <c r="A553" t="s">
        <v>1823</v>
      </c>
      <c r="B553" t="s">
        <v>1824</v>
      </c>
      <c r="C553" t="s">
        <v>1825</v>
      </c>
    </row>
    <row r="554" spans="1:3" x14ac:dyDescent="0.25">
      <c r="A554" t="s">
        <v>1826</v>
      </c>
      <c r="B554" t="s">
        <v>1827</v>
      </c>
      <c r="C554" t="s">
        <v>1828</v>
      </c>
    </row>
    <row r="555" spans="1:3" x14ac:dyDescent="0.25">
      <c r="A555" t="s">
        <v>1829</v>
      </c>
      <c r="B555" t="s">
        <v>1830</v>
      </c>
      <c r="C555" t="s">
        <v>1831</v>
      </c>
    </row>
    <row r="556" spans="1:3" x14ac:dyDescent="0.25">
      <c r="A556" t="s">
        <v>1832</v>
      </c>
      <c r="B556" t="s">
        <v>1833</v>
      </c>
      <c r="C556" t="s">
        <v>1834</v>
      </c>
    </row>
    <row r="557" spans="1:3" x14ac:dyDescent="0.25">
      <c r="A557" t="s">
        <v>1835</v>
      </c>
      <c r="B557" t="s">
        <v>1836</v>
      </c>
      <c r="C557" t="s">
        <v>1837</v>
      </c>
    </row>
    <row r="558" spans="1:3" x14ac:dyDescent="0.25">
      <c r="A558" t="s">
        <v>1838</v>
      </c>
      <c r="B558" t="s">
        <v>1839</v>
      </c>
      <c r="C558" t="s">
        <v>1840</v>
      </c>
    </row>
    <row r="559" spans="1:3" x14ac:dyDescent="0.25">
      <c r="A559" t="s">
        <v>1841</v>
      </c>
      <c r="B559" t="s">
        <v>1842</v>
      </c>
      <c r="C559" t="s">
        <v>1843</v>
      </c>
    </row>
    <row r="560" spans="1:3" x14ac:dyDescent="0.25">
      <c r="A560" t="s">
        <v>1844</v>
      </c>
      <c r="B560" t="s">
        <v>1845</v>
      </c>
      <c r="C560" t="s">
        <v>1846</v>
      </c>
    </row>
    <row r="561" spans="1:3" x14ac:dyDescent="0.25">
      <c r="A561" t="s">
        <v>1847</v>
      </c>
      <c r="B561" t="s">
        <v>1848</v>
      </c>
      <c r="C561" t="s">
        <v>1849</v>
      </c>
    </row>
    <row r="562" spans="1:3" x14ac:dyDescent="0.25">
      <c r="A562" t="s">
        <v>1850</v>
      </c>
      <c r="B562" t="s">
        <v>1851</v>
      </c>
      <c r="C562" t="s">
        <v>1852</v>
      </c>
    </row>
    <row r="563" spans="1:3" x14ac:dyDescent="0.25">
      <c r="A563" t="s">
        <v>1853</v>
      </c>
      <c r="B563" t="s">
        <v>1854</v>
      </c>
      <c r="C563" t="s">
        <v>1855</v>
      </c>
    </row>
    <row r="564" spans="1:3" x14ac:dyDescent="0.25">
      <c r="A564" t="s">
        <v>1856</v>
      </c>
      <c r="B564" t="s">
        <v>1857</v>
      </c>
      <c r="C564" t="s">
        <v>1858</v>
      </c>
    </row>
    <row r="565" spans="1:3" x14ac:dyDescent="0.25">
      <c r="A565" t="s">
        <v>1859</v>
      </c>
      <c r="B565" t="s">
        <v>1860</v>
      </c>
      <c r="C565" t="s">
        <v>1861</v>
      </c>
    </row>
    <row r="566" spans="1:3" x14ac:dyDescent="0.25">
      <c r="A566" t="s">
        <v>1862</v>
      </c>
      <c r="B566" t="s">
        <v>1863</v>
      </c>
      <c r="C566" t="s">
        <v>1864</v>
      </c>
    </row>
    <row r="567" spans="1:3" x14ac:dyDescent="0.25">
      <c r="A567" t="s">
        <v>1865</v>
      </c>
      <c r="B567" t="s">
        <v>1866</v>
      </c>
      <c r="C567" t="s">
        <v>1867</v>
      </c>
    </row>
    <row r="568" spans="1:3" x14ac:dyDescent="0.25">
      <c r="A568" t="s">
        <v>1868</v>
      </c>
      <c r="B568" t="s">
        <v>1869</v>
      </c>
      <c r="C568" t="s">
        <v>1870</v>
      </c>
    </row>
    <row r="569" spans="1:3" x14ac:dyDescent="0.25">
      <c r="A569" t="s">
        <v>1871</v>
      </c>
      <c r="B569" t="s">
        <v>1872</v>
      </c>
      <c r="C569" t="s">
        <v>1873</v>
      </c>
    </row>
    <row r="570" spans="1:3" x14ac:dyDescent="0.25">
      <c r="A570" t="s">
        <v>1874</v>
      </c>
      <c r="B570" t="s">
        <v>1875</v>
      </c>
      <c r="C570" t="s">
        <v>1876</v>
      </c>
    </row>
    <row r="571" spans="1:3" x14ac:dyDescent="0.25">
      <c r="A571" t="s">
        <v>1877</v>
      </c>
      <c r="B571" t="s">
        <v>1878</v>
      </c>
      <c r="C571" t="s">
        <v>1879</v>
      </c>
    </row>
    <row r="572" spans="1:3" x14ac:dyDescent="0.25">
      <c r="A572" t="s">
        <v>1880</v>
      </c>
      <c r="B572" t="s">
        <v>1881</v>
      </c>
      <c r="C572" t="s">
        <v>1882</v>
      </c>
    </row>
    <row r="573" spans="1:3" x14ac:dyDescent="0.25">
      <c r="A573" t="s">
        <v>1883</v>
      </c>
      <c r="B573" t="s">
        <v>1884</v>
      </c>
      <c r="C573" t="s">
        <v>1885</v>
      </c>
    </row>
    <row r="574" spans="1:3" x14ac:dyDescent="0.25">
      <c r="A574" t="s">
        <v>1886</v>
      </c>
      <c r="B574" t="s">
        <v>1887</v>
      </c>
      <c r="C574" t="s">
        <v>1888</v>
      </c>
    </row>
    <row r="575" spans="1:3" x14ac:dyDescent="0.25">
      <c r="A575" t="s">
        <v>1889</v>
      </c>
      <c r="B575" t="s">
        <v>1890</v>
      </c>
      <c r="C575" t="s">
        <v>1891</v>
      </c>
    </row>
    <row r="576" spans="1:3" x14ac:dyDescent="0.25">
      <c r="A576" t="s">
        <v>1892</v>
      </c>
      <c r="B576" t="s">
        <v>1893</v>
      </c>
      <c r="C576" t="s">
        <v>1894</v>
      </c>
    </row>
    <row r="577" spans="1:3" x14ac:dyDescent="0.25">
      <c r="A577" t="s">
        <v>1895</v>
      </c>
      <c r="B577" t="s">
        <v>1896</v>
      </c>
      <c r="C577" t="s">
        <v>1897</v>
      </c>
    </row>
    <row r="578" spans="1:3" x14ac:dyDescent="0.25">
      <c r="A578" t="s">
        <v>1898</v>
      </c>
      <c r="B578" t="s">
        <v>1899</v>
      </c>
      <c r="C578" t="s">
        <v>1900</v>
      </c>
    </row>
    <row r="579" spans="1:3" x14ac:dyDescent="0.25">
      <c r="A579" t="s">
        <v>1901</v>
      </c>
      <c r="B579" t="s">
        <v>1902</v>
      </c>
      <c r="C579" t="s">
        <v>1903</v>
      </c>
    </row>
    <row r="580" spans="1:3" x14ac:dyDescent="0.25">
      <c r="A580" t="s">
        <v>1904</v>
      </c>
      <c r="B580" t="s">
        <v>1905</v>
      </c>
      <c r="C580" t="s">
        <v>1906</v>
      </c>
    </row>
    <row r="581" spans="1:3" x14ac:dyDescent="0.25">
      <c r="A581" t="s">
        <v>1907</v>
      </c>
      <c r="B581" t="s">
        <v>1908</v>
      </c>
      <c r="C581" t="s">
        <v>1909</v>
      </c>
    </row>
    <row r="582" spans="1:3" x14ac:dyDescent="0.25">
      <c r="A582" t="s">
        <v>1910</v>
      </c>
      <c r="B582" t="s">
        <v>1911</v>
      </c>
      <c r="C582" t="s">
        <v>1912</v>
      </c>
    </row>
    <row r="583" spans="1:3" x14ac:dyDescent="0.25">
      <c r="A583" t="s">
        <v>1913</v>
      </c>
      <c r="B583" t="s">
        <v>1914</v>
      </c>
      <c r="C583" t="s">
        <v>1915</v>
      </c>
    </row>
    <row r="584" spans="1:3" x14ac:dyDescent="0.25">
      <c r="A584" t="s">
        <v>1916</v>
      </c>
      <c r="B584" t="s">
        <v>1917</v>
      </c>
      <c r="C584" t="s">
        <v>1918</v>
      </c>
    </row>
    <row r="585" spans="1:3" x14ac:dyDescent="0.25">
      <c r="A585" t="s">
        <v>1919</v>
      </c>
      <c r="B585" t="s">
        <v>1920</v>
      </c>
      <c r="C585" t="s">
        <v>1921</v>
      </c>
    </row>
    <row r="586" spans="1:3" x14ac:dyDescent="0.25">
      <c r="A586" t="s">
        <v>1922</v>
      </c>
      <c r="B586" t="s">
        <v>1923</v>
      </c>
      <c r="C586" t="s">
        <v>1924</v>
      </c>
    </row>
    <row r="587" spans="1:3" x14ac:dyDescent="0.25">
      <c r="A587" t="s">
        <v>1925</v>
      </c>
      <c r="B587" t="s">
        <v>1926</v>
      </c>
      <c r="C587" t="s">
        <v>1927</v>
      </c>
    </row>
    <row r="588" spans="1:3" x14ac:dyDescent="0.25">
      <c r="A588" t="s">
        <v>1928</v>
      </c>
      <c r="B588" t="s">
        <v>1929</v>
      </c>
      <c r="C588" t="s">
        <v>1930</v>
      </c>
    </row>
    <row r="589" spans="1:3" x14ac:dyDescent="0.25">
      <c r="A589" t="s">
        <v>1931</v>
      </c>
      <c r="B589" t="s">
        <v>1932</v>
      </c>
      <c r="C589" t="s">
        <v>1933</v>
      </c>
    </row>
    <row r="590" spans="1:3" x14ac:dyDescent="0.25">
      <c r="A590" t="s">
        <v>1934</v>
      </c>
      <c r="B590" t="s">
        <v>1935</v>
      </c>
      <c r="C590" t="s">
        <v>1936</v>
      </c>
    </row>
    <row r="591" spans="1:3" x14ac:dyDescent="0.25">
      <c r="A591" t="s">
        <v>1937</v>
      </c>
      <c r="B591" t="s">
        <v>1938</v>
      </c>
      <c r="C591" t="s">
        <v>1939</v>
      </c>
    </row>
    <row r="592" spans="1:3" x14ac:dyDescent="0.25">
      <c r="A592" t="s">
        <v>1940</v>
      </c>
      <c r="B592" t="s">
        <v>1941</v>
      </c>
      <c r="C592" t="s">
        <v>1942</v>
      </c>
    </row>
    <row r="593" spans="1:3" x14ac:dyDescent="0.25">
      <c r="A593" t="s">
        <v>1943</v>
      </c>
      <c r="B593" t="s">
        <v>1944</v>
      </c>
      <c r="C593" t="s">
        <v>1945</v>
      </c>
    </row>
    <row r="594" spans="1:3" x14ac:dyDescent="0.25">
      <c r="A594" t="s">
        <v>1946</v>
      </c>
      <c r="B594" t="s">
        <v>1947</v>
      </c>
      <c r="C594" t="s">
        <v>1948</v>
      </c>
    </row>
    <row r="595" spans="1:3" x14ac:dyDescent="0.25">
      <c r="A595" t="s">
        <v>1949</v>
      </c>
      <c r="B595" t="s">
        <v>1950</v>
      </c>
      <c r="C595" t="s">
        <v>1951</v>
      </c>
    </row>
    <row r="596" spans="1:3" x14ac:dyDescent="0.25">
      <c r="A596" t="s">
        <v>1952</v>
      </c>
      <c r="B596" t="s">
        <v>1953</v>
      </c>
      <c r="C596" t="s">
        <v>1954</v>
      </c>
    </row>
    <row r="597" spans="1:3" x14ac:dyDescent="0.25">
      <c r="A597" t="s">
        <v>1955</v>
      </c>
      <c r="B597" t="s">
        <v>1956</v>
      </c>
      <c r="C597" t="s">
        <v>1957</v>
      </c>
    </row>
    <row r="598" spans="1:3" x14ac:dyDescent="0.25">
      <c r="A598" t="s">
        <v>1958</v>
      </c>
      <c r="B598" t="s">
        <v>1959</v>
      </c>
      <c r="C598" t="s">
        <v>1960</v>
      </c>
    </row>
    <row r="599" spans="1:3" x14ac:dyDescent="0.25">
      <c r="A599" t="s">
        <v>1961</v>
      </c>
      <c r="B599" t="s">
        <v>1962</v>
      </c>
      <c r="C599" t="s">
        <v>1963</v>
      </c>
    </row>
    <row r="600" spans="1:3" x14ac:dyDescent="0.25">
      <c r="A600" t="s">
        <v>1964</v>
      </c>
      <c r="B600" t="s">
        <v>1965</v>
      </c>
      <c r="C600" t="s">
        <v>1966</v>
      </c>
    </row>
    <row r="601" spans="1:3" x14ac:dyDescent="0.25">
      <c r="A601" t="s">
        <v>1967</v>
      </c>
      <c r="B601" t="s">
        <v>1968</v>
      </c>
      <c r="C601" t="s">
        <v>1969</v>
      </c>
    </row>
    <row r="602" spans="1:3" x14ac:dyDescent="0.25">
      <c r="A602" t="s">
        <v>1970</v>
      </c>
      <c r="B602" t="s">
        <v>1971</v>
      </c>
      <c r="C602" t="s">
        <v>1972</v>
      </c>
    </row>
    <row r="603" spans="1:3" x14ac:dyDescent="0.25">
      <c r="A603" t="s">
        <v>1973</v>
      </c>
      <c r="B603" t="s">
        <v>1974</v>
      </c>
      <c r="C603" t="s">
        <v>1975</v>
      </c>
    </row>
    <row r="604" spans="1:3" x14ac:dyDescent="0.25">
      <c r="A604" t="s">
        <v>1976</v>
      </c>
      <c r="B604" t="s">
        <v>1977</v>
      </c>
      <c r="C604" t="s">
        <v>1978</v>
      </c>
    </row>
    <row r="605" spans="1:3" x14ac:dyDescent="0.25">
      <c r="A605" t="s">
        <v>1979</v>
      </c>
      <c r="B605" t="s">
        <v>1980</v>
      </c>
      <c r="C605" t="s">
        <v>1981</v>
      </c>
    </row>
    <row r="606" spans="1:3" x14ac:dyDescent="0.25">
      <c r="A606" t="s">
        <v>1982</v>
      </c>
      <c r="B606" t="s">
        <v>1983</v>
      </c>
      <c r="C606" t="s">
        <v>1984</v>
      </c>
    </row>
    <row r="607" spans="1:3" x14ac:dyDescent="0.25">
      <c r="A607" t="s">
        <v>1985</v>
      </c>
      <c r="B607" t="s">
        <v>1986</v>
      </c>
      <c r="C607" t="s">
        <v>1987</v>
      </c>
    </row>
    <row r="608" spans="1:3" x14ac:dyDescent="0.25">
      <c r="A608" t="s">
        <v>1988</v>
      </c>
      <c r="B608" t="s">
        <v>1989</v>
      </c>
      <c r="C608" t="s">
        <v>1990</v>
      </c>
    </row>
    <row r="609" spans="1:3" x14ac:dyDescent="0.25">
      <c r="A609" t="s">
        <v>1991</v>
      </c>
      <c r="B609" t="s">
        <v>1992</v>
      </c>
      <c r="C609" t="s">
        <v>1993</v>
      </c>
    </row>
    <row r="610" spans="1:3" x14ac:dyDescent="0.25">
      <c r="A610" t="s">
        <v>1994</v>
      </c>
      <c r="B610" t="s">
        <v>1995</v>
      </c>
      <c r="C610" t="s">
        <v>1996</v>
      </c>
    </row>
    <row r="611" spans="1:3" x14ac:dyDescent="0.25">
      <c r="A611" t="s">
        <v>1997</v>
      </c>
      <c r="B611" t="s">
        <v>1998</v>
      </c>
      <c r="C611" t="s">
        <v>1999</v>
      </c>
    </row>
    <row r="612" spans="1:3" x14ac:dyDescent="0.25">
      <c r="A612" t="s">
        <v>2000</v>
      </c>
      <c r="B612" t="s">
        <v>2001</v>
      </c>
      <c r="C612" t="s">
        <v>2002</v>
      </c>
    </row>
    <row r="613" spans="1:3" x14ac:dyDescent="0.25">
      <c r="A613" t="s">
        <v>2003</v>
      </c>
      <c r="B613" t="s">
        <v>2004</v>
      </c>
      <c r="C613" t="s">
        <v>2005</v>
      </c>
    </row>
    <row r="614" spans="1:3" x14ac:dyDescent="0.25">
      <c r="A614" t="s">
        <v>2006</v>
      </c>
      <c r="B614" t="s">
        <v>2007</v>
      </c>
      <c r="C614" t="s">
        <v>2008</v>
      </c>
    </row>
    <row r="615" spans="1:3" x14ac:dyDescent="0.25">
      <c r="A615" t="s">
        <v>2009</v>
      </c>
      <c r="B615" t="s">
        <v>2010</v>
      </c>
      <c r="C615" t="s">
        <v>2011</v>
      </c>
    </row>
    <row r="616" spans="1:3" x14ac:dyDescent="0.25">
      <c r="A616" t="s">
        <v>2012</v>
      </c>
      <c r="B616" t="s">
        <v>2013</v>
      </c>
      <c r="C616" t="s">
        <v>2014</v>
      </c>
    </row>
    <row r="617" spans="1:3" x14ac:dyDescent="0.25">
      <c r="A617" t="s">
        <v>2015</v>
      </c>
      <c r="B617" t="s">
        <v>2016</v>
      </c>
      <c r="C617" t="s">
        <v>2017</v>
      </c>
    </row>
    <row r="618" spans="1:3" x14ac:dyDescent="0.25">
      <c r="A618" t="s">
        <v>2018</v>
      </c>
      <c r="B618" t="s">
        <v>2019</v>
      </c>
      <c r="C618" t="s">
        <v>2020</v>
      </c>
    </row>
    <row r="619" spans="1:3" x14ac:dyDescent="0.25">
      <c r="A619" t="s">
        <v>2021</v>
      </c>
      <c r="B619" t="s">
        <v>2022</v>
      </c>
      <c r="C619" t="s">
        <v>2023</v>
      </c>
    </row>
    <row r="620" spans="1:3" x14ac:dyDescent="0.25">
      <c r="A620" t="s">
        <v>2024</v>
      </c>
      <c r="B620" t="s">
        <v>2025</v>
      </c>
      <c r="C620" t="s">
        <v>2026</v>
      </c>
    </row>
    <row r="621" spans="1:3" x14ac:dyDescent="0.25">
      <c r="A621" t="s">
        <v>2027</v>
      </c>
      <c r="B621" t="s">
        <v>2028</v>
      </c>
      <c r="C621" t="s">
        <v>2029</v>
      </c>
    </row>
    <row r="622" spans="1:3" x14ac:dyDescent="0.25">
      <c r="A622" t="s">
        <v>2030</v>
      </c>
      <c r="B622" t="s">
        <v>2031</v>
      </c>
      <c r="C622" t="s">
        <v>2032</v>
      </c>
    </row>
    <row r="623" spans="1:3" x14ac:dyDescent="0.25">
      <c r="A623" t="s">
        <v>2033</v>
      </c>
      <c r="B623" t="s">
        <v>2034</v>
      </c>
      <c r="C623" t="s">
        <v>2035</v>
      </c>
    </row>
    <row r="624" spans="1:3" x14ac:dyDescent="0.25">
      <c r="A624" t="s">
        <v>2036</v>
      </c>
      <c r="B624" t="s">
        <v>2037</v>
      </c>
      <c r="C624" t="s">
        <v>2038</v>
      </c>
    </row>
    <row r="625" spans="1:3" x14ac:dyDescent="0.25">
      <c r="A625" t="s">
        <v>2039</v>
      </c>
      <c r="B625" t="s">
        <v>2040</v>
      </c>
      <c r="C625" t="s">
        <v>2041</v>
      </c>
    </row>
    <row r="626" spans="1:3" x14ac:dyDescent="0.25">
      <c r="A626" t="s">
        <v>2042</v>
      </c>
      <c r="B626" t="s">
        <v>2043</v>
      </c>
      <c r="C626" t="s">
        <v>2044</v>
      </c>
    </row>
    <row r="627" spans="1:3" x14ac:dyDescent="0.25">
      <c r="A627" t="s">
        <v>2045</v>
      </c>
      <c r="B627" t="s">
        <v>2046</v>
      </c>
      <c r="C627" t="s">
        <v>2047</v>
      </c>
    </row>
    <row r="628" spans="1:3" x14ac:dyDescent="0.25">
      <c r="A628" t="s">
        <v>2048</v>
      </c>
      <c r="B628" t="s">
        <v>2049</v>
      </c>
      <c r="C628" t="s">
        <v>2050</v>
      </c>
    </row>
    <row r="629" spans="1:3" x14ac:dyDescent="0.25">
      <c r="A629" t="s">
        <v>2051</v>
      </c>
      <c r="B629" t="s">
        <v>2052</v>
      </c>
      <c r="C629" t="s">
        <v>2053</v>
      </c>
    </row>
    <row r="630" spans="1:3" x14ac:dyDescent="0.25">
      <c r="A630" t="s">
        <v>2054</v>
      </c>
      <c r="B630" t="s">
        <v>2055</v>
      </c>
      <c r="C630" t="s">
        <v>2056</v>
      </c>
    </row>
    <row r="631" spans="1:3" x14ac:dyDescent="0.25">
      <c r="A631" t="s">
        <v>2057</v>
      </c>
      <c r="B631" t="s">
        <v>2058</v>
      </c>
      <c r="C631" t="s">
        <v>2059</v>
      </c>
    </row>
    <row r="632" spans="1:3" x14ac:dyDescent="0.25">
      <c r="A632" t="s">
        <v>2060</v>
      </c>
      <c r="B632" t="s">
        <v>2061</v>
      </c>
      <c r="C632" t="s">
        <v>2062</v>
      </c>
    </row>
    <row r="633" spans="1:3" x14ac:dyDescent="0.25">
      <c r="A633" t="s">
        <v>2063</v>
      </c>
      <c r="B633" t="s">
        <v>2064</v>
      </c>
      <c r="C633" t="s">
        <v>2065</v>
      </c>
    </row>
    <row r="634" spans="1:3" x14ac:dyDescent="0.25">
      <c r="A634" t="s">
        <v>2066</v>
      </c>
      <c r="B634" t="s">
        <v>2067</v>
      </c>
      <c r="C634" t="s">
        <v>2068</v>
      </c>
    </row>
    <row r="635" spans="1:3" x14ac:dyDescent="0.25">
      <c r="A635" t="s">
        <v>2069</v>
      </c>
      <c r="B635" t="s">
        <v>2070</v>
      </c>
      <c r="C635" t="s">
        <v>2071</v>
      </c>
    </row>
    <row r="636" spans="1:3" x14ac:dyDescent="0.25">
      <c r="A636" t="s">
        <v>2072</v>
      </c>
      <c r="B636" t="s">
        <v>2073</v>
      </c>
      <c r="C636" t="s">
        <v>2074</v>
      </c>
    </row>
    <row r="637" spans="1:3" x14ac:dyDescent="0.25">
      <c r="A637" t="s">
        <v>2075</v>
      </c>
      <c r="B637" t="s">
        <v>2076</v>
      </c>
      <c r="C637" t="s">
        <v>2077</v>
      </c>
    </row>
    <row r="638" spans="1:3" x14ac:dyDescent="0.25">
      <c r="A638" t="s">
        <v>2078</v>
      </c>
      <c r="B638" t="s">
        <v>2079</v>
      </c>
      <c r="C638" t="s">
        <v>2080</v>
      </c>
    </row>
    <row r="639" spans="1:3" x14ac:dyDescent="0.25">
      <c r="A639" t="s">
        <v>2081</v>
      </c>
      <c r="B639" t="s">
        <v>2082</v>
      </c>
      <c r="C639" t="s">
        <v>2083</v>
      </c>
    </row>
    <row r="640" spans="1:3" x14ac:dyDescent="0.25">
      <c r="A640" t="s">
        <v>2084</v>
      </c>
      <c r="B640" t="s">
        <v>2085</v>
      </c>
      <c r="C640" t="s">
        <v>2086</v>
      </c>
    </row>
    <row r="641" spans="1:3" x14ac:dyDescent="0.25">
      <c r="A641" t="s">
        <v>2087</v>
      </c>
      <c r="B641" t="s">
        <v>2088</v>
      </c>
      <c r="C641" t="s">
        <v>2089</v>
      </c>
    </row>
    <row r="642" spans="1:3" x14ac:dyDescent="0.25">
      <c r="A642" t="s">
        <v>2090</v>
      </c>
      <c r="B642" t="s">
        <v>2091</v>
      </c>
      <c r="C642" t="s">
        <v>2092</v>
      </c>
    </row>
    <row r="643" spans="1:3" x14ac:dyDescent="0.25">
      <c r="A643" t="s">
        <v>2093</v>
      </c>
      <c r="B643" t="s">
        <v>2094</v>
      </c>
      <c r="C643" t="s">
        <v>2095</v>
      </c>
    </row>
    <row r="644" spans="1:3" x14ac:dyDescent="0.25">
      <c r="A644" t="s">
        <v>2096</v>
      </c>
      <c r="B644" t="s">
        <v>2097</v>
      </c>
      <c r="C644" t="s">
        <v>2098</v>
      </c>
    </row>
    <row r="645" spans="1:3" x14ac:dyDescent="0.25">
      <c r="A645" t="s">
        <v>2099</v>
      </c>
      <c r="B645" t="s">
        <v>2100</v>
      </c>
      <c r="C645" t="s">
        <v>2101</v>
      </c>
    </row>
    <row r="646" spans="1:3" x14ac:dyDescent="0.25">
      <c r="A646" t="s">
        <v>2102</v>
      </c>
      <c r="B646" t="s">
        <v>2103</v>
      </c>
      <c r="C646" t="s">
        <v>2104</v>
      </c>
    </row>
    <row r="647" spans="1:3" x14ac:dyDescent="0.25">
      <c r="A647" t="s">
        <v>2105</v>
      </c>
      <c r="B647" t="s">
        <v>2106</v>
      </c>
      <c r="C647" t="s">
        <v>2107</v>
      </c>
    </row>
    <row r="648" spans="1:3" x14ac:dyDescent="0.25">
      <c r="A648" t="s">
        <v>2108</v>
      </c>
      <c r="B648" t="s">
        <v>2109</v>
      </c>
      <c r="C648" t="s">
        <v>2110</v>
      </c>
    </row>
    <row r="649" spans="1:3" x14ac:dyDescent="0.25">
      <c r="A649" t="s">
        <v>2111</v>
      </c>
      <c r="B649" t="s">
        <v>2112</v>
      </c>
      <c r="C649" t="s">
        <v>2113</v>
      </c>
    </row>
    <row r="650" spans="1:3" x14ac:dyDescent="0.25">
      <c r="A650" t="s">
        <v>2114</v>
      </c>
      <c r="B650" t="s">
        <v>2115</v>
      </c>
      <c r="C650" t="s">
        <v>2116</v>
      </c>
    </row>
    <row r="651" spans="1:3" x14ac:dyDescent="0.25">
      <c r="A651" t="s">
        <v>2117</v>
      </c>
      <c r="B651" t="s">
        <v>2118</v>
      </c>
      <c r="C651" t="s">
        <v>2119</v>
      </c>
    </row>
    <row r="652" spans="1:3" x14ac:dyDescent="0.25">
      <c r="A652" t="s">
        <v>2120</v>
      </c>
      <c r="B652" t="s">
        <v>2121</v>
      </c>
      <c r="C652" t="s">
        <v>2122</v>
      </c>
    </row>
    <row r="653" spans="1:3" x14ac:dyDescent="0.25">
      <c r="A653" t="s">
        <v>2123</v>
      </c>
      <c r="B653" t="s">
        <v>2124</v>
      </c>
      <c r="C653" t="s">
        <v>2125</v>
      </c>
    </row>
    <row r="654" spans="1:3" x14ac:dyDescent="0.25">
      <c r="A654" t="s">
        <v>2126</v>
      </c>
      <c r="B654" t="s">
        <v>2127</v>
      </c>
      <c r="C654" t="s">
        <v>2128</v>
      </c>
    </row>
    <row r="655" spans="1:3" x14ac:dyDescent="0.25">
      <c r="A655" t="s">
        <v>2129</v>
      </c>
      <c r="B655" t="s">
        <v>2130</v>
      </c>
      <c r="C655" t="s">
        <v>2131</v>
      </c>
    </row>
    <row r="656" spans="1:3" x14ac:dyDescent="0.25">
      <c r="A656" t="s">
        <v>2132</v>
      </c>
      <c r="B656" t="s">
        <v>2133</v>
      </c>
      <c r="C656" t="s">
        <v>2134</v>
      </c>
    </row>
    <row r="657" spans="1:3" x14ac:dyDescent="0.25">
      <c r="A657" t="s">
        <v>2135</v>
      </c>
      <c r="B657" t="s">
        <v>2136</v>
      </c>
      <c r="C657" t="s">
        <v>2137</v>
      </c>
    </row>
    <row r="658" spans="1:3" x14ac:dyDescent="0.25">
      <c r="A658" t="s">
        <v>2138</v>
      </c>
      <c r="B658" t="s">
        <v>2139</v>
      </c>
      <c r="C658" t="s">
        <v>2140</v>
      </c>
    </row>
    <row r="659" spans="1:3" x14ac:dyDescent="0.25">
      <c r="A659" t="s">
        <v>2141</v>
      </c>
      <c r="B659" t="s">
        <v>2142</v>
      </c>
      <c r="C659" t="s">
        <v>2143</v>
      </c>
    </row>
    <row r="660" spans="1:3" x14ac:dyDescent="0.25">
      <c r="A660" t="s">
        <v>2144</v>
      </c>
      <c r="B660" t="s">
        <v>2145</v>
      </c>
      <c r="C660" t="s">
        <v>2146</v>
      </c>
    </row>
    <row r="661" spans="1:3" x14ac:dyDescent="0.25">
      <c r="A661" t="s">
        <v>2147</v>
      </c>
      <c r="B661" t="s">
        <v>2148</v>
      </c>
      <c r="C661" t="s">
        <v>2149</v>
      </c>
    </row>
    <row r="662" spans="1:3" x14ac:dyDescent="0.25">
      <c r="A662" t="s">
        <v>2150</v>
      </c>
      <c r="B662" t="s">
        <v>2151</v>
      </c>
      <c r="C662" t="s">
        <v>2152</v>
      </c>
    </row>
    <row r="663" spans="1:3" x14ac:dyDescent="0.25">
      <c r="A663" t="s">
        <v>2153</v>
      </c>
      <c r="B663" t="s">
        <v>2154</v>
      </c>
      <c r="C663" t="s">
        <v>2155</v>
      </c>
    </row>
    <row r="664" spans="1:3" x14ac:dyDescent="0.25">
      <c r="A664" t="s">
        <v>2156</v>
      </c>
      <c r="B664" t="s">
        <v>2157</v>
      </c>
      <c r="C664" t="s">
        <v>2158</v>
      </c>
    </row>
    <row r="665" spans="1:3" x14ac:dyDescent="0.25">
      <c r="A665" t="s">
        <v>2159</v>
      </c>
      <c r="B665" t="s">
        <v>2160</v>
      </c>
      <c r="C665" t="s">
        <v>2161</v>
      </c>
    </row>
    <row r="666" spans="1:3" x14ac:dyDescent="0.25">
      <c r="A666" t="s">
        <v>2162</v>
      </c>
      <c r="B666" t="s">
        <v>2163</v>
      </c>
      <c r="C666" t="s">
        <v>2164</v>
      </c>
    </row>
    <row r="667" spans="1:3" x14ac:dyDescent="0.25">
      <c r="A667" t="s">
        <v>2165</v>
      </c>
      <c r="B667" t="s">
        <v>2166</v>
      </c>
      <c r="C667" t="s">
        <v>2167</v>
      </c>
    </row>
    <row r="668" spans="1:3" x14ac:dyDescent="0.25">
      <c r="A668" t="s">
        <v>2168</v>
      </c>
      <c r="B668" t="s">
        <v>2169</v>
      </c>
      <c r="C668" t="s">
        <v>2170</v>
      </c>
    </row>
    <row r="669" spans="1:3" x14ac:dyDescent="0.25">
      <c r="A669" t="s">
        <v>2171</v>
      </c>
      <c r="B669" t="s">
        <v>2172</v>
      </c>
      <c r="C669" t="s">
        <v>2173</v>
      </c>
    </row>
    <row r="670" spans="1:3" x14ac:dyDescent="0.25">
      <c r="A670" t="s">
        <v>2174</v>
      </c>
      <c r="B670" t="s">
        <v>2175</v>
      </c>
      <c r="C670" t="s">
        <v>2176</v>
      </c>
    </row>
    <row r="671" spans="1:3" x14ac:dyDescent="0.25">
      <c r="A671" t="s">
        <v>2177</v>
      </c>
      <c r="B671" t="s">
        <v>2178</v>
      </c>
      <c r="C671" t="s">
        <v>2179</v>
      </c>
    </row>
    <row r="672" spans="1:3" x14ac:dyDescent="0.25">
      <c r="A672" t="s">
        <v>2180</v>
      </c>
      <c r="B672" t="s">
        <v>2181</v>
      </c>
      <c r="C672" t="s">
        <v>2182</v>
      </c>
    </row>
    <row r="673" spans="1:3" x14ac:dyDescent="0.25">
      <c r="A673" t="s">
        <v>2183</v>
      </c>
      <c r="B673" t="s">
        <v>2184</v>
      </c>
      <c r="C673" t="s">
        <v>2185</v>
      </c>
    </row>
    <row r="674" spans="1:3" x14ac:dyDescent="0.25">
      <c r="A674" t="s">
        <v>2186</v>
      </c>
      <c r="B674" t="s">
        <v>2187</v>
      </c>
      <c r="C674" t="s">
        <v>2188</v>
      </c>
    </row>
    <row r="675" spans="1:3" x14ac:dyDescent="0.25">
      <c r="A675" t="s">
        <v>2189</v>
      </c>
      <c r="B675" t="s">
        <v>2190</v>
      </c>
      <c r="C675" t="s">
        <v>2191</v>
      </c>
    </row>
    <row r="676" spans="1:3" x14ac:dyDescent="0.25">
      <c r="A676" t="s">
        <v>2192</v>
      </c>
      <c r="B676" t="s">
        <v>2193</v>
      </c>
      <c r="C676" t="s">
        <v>2194</v>
      </c>
    </row>
    <row r="677" spans="1:3" x14ac:dyDescent="0.25">
      <c r="A677" t="s">
        <v>2195</v>
      </c>
      <c r="B677" t="s">
        <v>2196</v>
      </c>
      <c r="C677" t="s">
        <v>2197</v>
      </c>
    </row>
    <row r="678" spans="1:3" x14ac:dyDescent="0.25">
      <c r="A678" t="s">
        <v>2198</v>
      </c>
      <c r="B678" t="s">
        <v>2199</v>
      </c>
      <c r="C678" t="s">
        <v>2200</v>
      </c>
    </row>
    <row r="679" spans="1:3" x14ac:dyDescent="0.25">
      <c r="A679" t="s">
        <v>2201</v>
      </c>
      <c r="B679" t="s">
        <v>2202</v>
      </c>
      <c r="C679" t="s">
        <v>2203</v>
      </c>
    </row>
    <row r="680" spans="1:3" x14ac:dyDescent="0.25">
      <c r="A680" t="s">
        <v>2204</v>
      </c>
      <c r="B680" t="s">
        <v>2205</v>
      </c>
      <c r="C680" t="s">
        <v>2206</v>
      </c>
    </row>
    <row r="681" spans="1:3" x14ac:dyDescent="0.25">
      <c r="A681" t="s">
        <v>2207</v>
      </c>
      <c r="B681" t="s">
        <v>2208</v>
      </c>
      <c r="C681" t="s">
        <v>2209</v>
      </c>
    </row>
    <row r="682" spans="1:3" x14ac:dyDescent="0.25">
      <c r="A682" t="s">
        <v>2210</v>
      </c>
      <c r="B682" t="s">
        <v>2211</v>
      </c>
      <c r="C682" t="s">
        <v>2212</v>
      </c>
    </row>
    <row r="683" spans="1:3" x14ac:dyDescent="0.25">
      <c r="A683" t="s">
        <v>2213</v>
      </c>
      <c r="B683" t="s">
        <v>2214</v>
      </c>
      <c r="C683" t="s">
        <v>2215</v>
      </c>
    </row>
    <row r="684" spans="1:3" x14ac:dyDescent="0.25">
      <c r="A684" t="s">
        <v>2216</v>
      </c>
      <c r="B684" t="s">
        <v>2217</v>
      </c>
      <c r="C684" t="s">
        <v>2218</v>
      </c>
    </row>
    <row r="685" spans="1:3" x14ac:dyDescent="0.25">
      <c r="A685" t="s">
        <v>2219</v>
      </c>
      <c r="B685" t="s">
        <v>2220</v>
      </c>
      <c r="C685" t="s">
        <v>2221</v>
      </c>
    </row>
    <row r="686" spans="1:3" x14ac:dyDescent="0.25">
      <c r="A686" t="s">
        <v>2222</v>
      </c>
      <c r="B686" t="s">
        <v>2223</v>
      </c>
      <c r="C686" t="s">
        <v>2224</v>
      </c>
    </row>
    <row r="687" spans="1:3" x14ac:dyDescent="0.25">
      <c r="A687" t="s">
        <v>2225</v>
      </c>
      <c r="B687" t="s">
        <v>2226</v>
      </c>
      <c r="C687" t="s">
        <v>2227</v>
      </c>
    </row>
    <row r="688" spans="1:3" x14ac:dyDescent="0.25">
      <c r="A688" t="s">
        <v>2228</v>
      </c>
      <c r="B688" t="s">
        <v>2229</v>
      </c>
      <c r="C688" t="s">
        <v>2230</v>
      </c>
    </row>
    <row r="689" spans="1:3" x14ac:dyDescent="0.25">
      <c r="A689" t="s">
        <v>2231</v>
      </c>
      <c r="B689" t="s">
        <v>2232</v>
      </c>
      <c r="C689" t="s">
        <v>2233</v>
      </c>
    </row>
    <row r="690" spans="1:3" x14ac:dyDescent="0.25">
      <c r="A690" t="s">
        <v>2234</v>
      </c>
      <c r="B690" t="s">
        <v>2235</v>
      </c>
      <c r="C690" t="s">
        <v>2236</v>
      </c>
    </row>
    <row r="691" spans="1:3" x14ac:dyDescent="0.25">
      <c r="A691" t="s">
        <v>2237</v>
      </c>
      <c r="B691" t="s">
        <v>2238</v>
      </c>
      <c r="C691" t="s">
        <v>2239</v>
      </c>
    </row>
    <row r="692" spans="1:3" x14ac:dyDescent="0.25">
      <c r="A692" t="s">
        <v>2240</v>
      </c>
      <c r="B692" t="s">
        <v>2241</v>
      </c>
      <c r="C692" t="s">
        <v>2242</v>
      </c>
    </row>
    <row r="693" spans="1:3" x14ac:dyDescent="0.25">
      <c r="A693" t="s">
        <v>2243</v>
      </c>
      <c r="B693" t="s">
        <v>2244</v>
      </c>
      <c r="C693" t="s">
        <v>2245</v>
      </c>
    </row>
    <row r="694" spans="1:3" x14ac:dyDescent="0.25">
      <c r="A694" t="s">
        <v>2246</v>
      </c>
      <c r="B694" t="s">
        <v>2247</v>
      </c>
      <c r="C694" t="s">
        <v>2248</v>
      </c>
    </row>
    <row r="695" spans="1:3" x14ac:dyDescent="0.25">
      <c r="A695" t="s">
        <v>2249</v>
      </c>
      <c r="B695" t="s">
        <v>2250</v>
      </c>
      <c r="C695" t="s">
        <v>2251</v>
      </c>
    </row>
    <row r="696" spans="1:3" x14ac:dyDescent="0.25">
      <c r="A696" t="s">
        <v>2252</v>
      </c>
      <c r="B696" t="s">
        <v>2253</v>
      </c>
      <c r="C696" t="s">
        <v>2254</v>
      </c>
    </row>
    <row r="697" spans="1:3" x14ac:dyDescent="0.25">
      <c r="A697" t="s">
        <v>2255</v>
      </c>
      <c r="B697" t="s">
        <v>2256</v>
      </c>
      <c r="C697" t="s">
        <v>2257</v>
      </c>
    </row>
    <row r="698" spans="1:3" x14ac:dyDescent="0.25">
      <c r="A698" t="s">
        <v>2258</v>
      </c>
      <c r="B698" t="s">
        <v>2259</v>
      </c>
      <c r="C698" t="s">
        <v>2260</v>
      </c>
    </row>
    <row r="699" spans="1:3" x14ac:dyDescent="0.25">
      <c r="A699" t="s">
        <v>2261</v>
      </c>
      <c r="B699" t="s">
        <v>2262</v>
      </c>
      <c r="C699" t="s">
        <v>2263</v>
      </c>
    </row>
    <row r="700" spans="1:3" x14ac:dyDescent="0.25">
      <c r="A700" t="s">
        <v>2264</v>
      </c>
      <c r="B700" t="s">
        <v>2265</v>
      </c>
      <c r="C700" t="s">
        <v>2266</v>
      </c>
    </row>
    <row r="701" spans="1:3" x14ac:dyDescent="0.25">
      <c r="A701" t="s">
        <v>2267</v>
      </c>
      <c r="B701" t="s">
        <v>2268</v>
      </c>
      <c r="C701" t="s">
        <v>2269</v>
      </c>
    </row>
    <row r="702" spans="1:3" x14ac:dyDescent="0.25">
      <c r="A702" t="s">
        <v>2270</v>
      </c>
      <c r="B702" t="s">
        <v>2271</v>
      </c>
      <c r="C702" t="s">
        <v>2272</v>
      </c>
    </row>
    <row r="703" spans="1:3" x14ac:dyDescent="0.25">
      <c r="A703" t="s">
        <v>2273</v>
      </c>
      <c r="B703" t="s">
        <v>2274</v>
      </c>
      <c r="C703" t="s">
        <v>2275</v>
      </c>
    </row>
    <row r="704" spans="1:3" x14ac:dyDescent="0.25">
      <c r="A704" t="s">
        <v>2276</v>
      </c>
      <c r="B704" t="s">
        <v>2277</v>
      </c>
      <c r="C704" t="s">
        <v>2278</v>
      </c>
    </row>
    <row r="705" spans="1:3" x14ac:dyDescent="0.25">
      <c r="A705" t="s">
        <v>2279</v>
      </c>
      <c r="B705" t="s">
        <v>2280</v>
      </c>
      <c r="C705" t="s">
        <v>2281</v>
      </c>
    </row>
    <row r="706" spans="1:3" x14ac:dyDescent="0.25">
      <c r="A706" t="s">
        <v>2282</v>
      </c>
      <c r="B706" t="s">
        <v>2283</v>
      </c>
      <c r="C706" t="s">
        <v>2284</v>
      </c>
    </row>
    <row r="707" spans="1:3" x14ac:dyDescent="0.25">
      <c r="A707" t="s">
        <v>2285</v>
      </c>
      <c r="B707" t="s">
        <v>2286</v>
      </c>
      <c r="C707" t="s">
        <v>2287</v>
      </c>
    </row>
    <row r="708" spans="1:3" x14ac:dyDescent="0.25">
      <c r="A708" t="s">
        <v>2288</v>
      </c>
      <c r="B708" t="s">
        <v>2289</v>
      </c>
      <c r="C708" t="s">
        <v>2290</v>
      </c>
    </row>
    <row r="709" spans="1:3" x14ac:dyDescent="0.25">
      <c r="A709" t="s">
        <v>2291</v>
      </c>
      <c r="B709" t="s">
        <v>2292</v>
      </c>
      <c r="C709" t="s">
        <v>2293</v>
      </c>
    </row>
    <row r="710" spans="1:3" x14ac:dyDescent="0.25">
      <c r="A710" t="s">
        <v>2294</v>
      </c>
      <c r="B710" t="s">
        <v>2295</v>
      </c>
      <c r="C710" t="s">
        <v>2296</v>
      </c>
    </row>
    <row r="711" spans="1:3" x14ac:dyDescent="0.25">
      <c r="A711" t="s">
        <v>2297</v>
      </c>
      <c r="B711" t="s">
        <v>2298</v>
      </c>
      <c r="C711" t="s">
        <v>2299</v>
      </c>
    </row>
    <row r="712" spans="1:3" x14ac:dyDescent="0.25">
      <c r="A712" t="s">
        <v>2300</v>
      </c>
      <c r="B712" t="s">
        <v>2301</v>
      </c>
      <c r="C712" t="s">
        <v>2302</v>
      </c>
    </row>
    <row r="713" spans="1:3" x14ac:dyDescent="0.25">
      <c r="A713" t="s">
        <v>2303</v>
      </c>
      <c r="B713" t="s">
        <v>2304</v>
      </c>
      <c r="C713" t="s">
        <v>2305</v>
      </c>
    </row>
    <row r="714" spans="1:3" x14ac:dyDescent="0.25">
      <c r="A714" t="s">
        <v>2306</v>
      </c>
      <c r="B714" t="s">
        <v>2307</v>
      </c>
      <c r="C714" t="s">
        <v>2308</v>
      </c>
    </row>
    <row r="715" spans="1:3" x14ac:dyDescent="0.25">
      <c r="A715" t="s">
        <v>2309</v>
      </c>
      <c r="B715" t="s">
        <v>2310</v>
      </c>
      <c r="C715" t="s">
        <v>2311</v>
      </c>
    </row>
    <row r="716" spans="1:3" x14ac:dyDescent="0.25">
      <c r="A716" t="s">
        <v>2312</v>
      </c>
      <c r="B716" t="s">
        <v>2313</v>
      </c>
      <c r="C716" t="s">
        <v>2314</v>
      </c>
    </row>
    <row r="717" spans="1:3" x14ac:dyDescent="0.25">
      <c r="A717" t="s">
        <v>2315</v>
      </c>
      <c r="B717" t="s">
        <v>2316</v>
      </c>
      <c r="C717" t="s">
        <v>2317</v>
      </c>
    </row>
    <row r="718" spans="1:3" x14ac:dyDescent="0.25">
      <c r="A718" t="s">
        <v>2318</v>
      </c>
      <c r="B718" t="s">
        <v>2319</v>
      </c>
      <c r="C718" t="s">
        <v>2320</v>
      </c>
    </row>
    <row r="719" spans="1:3" x14ac:dyDescent="0.25">
      <c r="A719" t="s">
        <v>2321</v>
      </c>
      <c r="B719" t="s">
        <v>2322</v>
      </c>
      <c r="C719" t="s">
        <v>2323</v>
      </c>
    </row>
    <row r="720" spans="1:3" x14ac:dyDescent="0.25">
      <c r="A720" t="s">
        <v>2324</v>
      </c>
      <c r="B720" t="s">
        <v>2325</v>
      </c>
      <c r="C720" t="s">
        <v>2326</v>
      </c>
    </row>
    <row r="721" spans="1:3" x14ac:dyDescent="0.25">
      <c r="A721" t="s">
        <v>2327</v>
      </c>
      <c r="B721" t="s">
        <v>2328</v>
      </c>
      <c r="C721" t="s">
        <v>2329</v>
      </c>
    </row>
    <row r="722" spans="1:3" x14ac:dyDescent="0.25">
      <c r="A722" t="s">
        <v>2330</v>
      </c>
      <c r="B722" t="s">
        <v>2331</v>
      </c>
      <c r="C722" t="s">
        <v>2332</v>
      </c>
    </row>
    <row r="723" spans="1:3" x14ac:dyDescent="0.25">
      <c r="A723" t="s">
        <v>2333</v>
      </c>
      <c r="B723" t="s">
        <v>2334</v>
      </c>
      <c r="C723" t="s">
        <v>2335</v>
      </c>
    </row>
    <row r="724" spans="1:3" x14ac:dyDescent="0.25">
      <c r="A724" t="s">
        <v>2336</v>
      </c>
      <c r="B724" t="s">
        <v>2337</v>
      </c>
      <c r="C724" t="s">
        <v>2338</v>
      </c>
    </row>
    <row r="725" spans="1:3" x14ac:dyDescent="0.25">
      <c r="A725" t="s">
        <v>2339</v>
      </c>
      <c r="B725" t="s">
        <v>2340</v>
      </c>
      <c r="C725" t="s">
        <v>2341</v>
      </c>
    </row>
    <row r="726" spans="1:3" x14ac:dyDescent="0.25">
      <c r="A726" t="s">
        <v>2342</v>
      </c>
      <c r="B726" t="s">
        <v>2343</v>
      </c>
      <c r="C726" t="s">
        <v>2344</v>
      </c>
    </row>
    <row r="727" spans="1:3" x14ac:dyDescent="0.25">
      <c r="A727" t="s">
        <v>2345</v>
      </c>
      <c r="B727" t="s">
        <v>2346</v>
      </c>
      <c r="C727" t="s">
        <v>2347</v>
      </c>
    </row>
    <row r="728" spans="1:3" x14ac:dyDescent="0.25">
      <c r="A728" t="s">
        <v>2348</v>
      </c>
      <c r="B728" t="s">
        <v>2349</v>
      </c>
      <c r="C728" t="s">
        <v>2350</v>
      </c>
    </row>
    <row r="729" spans="1:3" x14ac:dyDescent="0.25">
      <c r="A729" t="s">
        <v>2351</v>
      </c>
      <c r="B729" t="s">
        <v>2352</v>
      </c>
      <c r="C729" t="s">
        <v>2353</v>
      </c>
    </row>
    <row r="730" spans="1:3" x14ac:dyDescent="0.25">
      <c r="A730" t="s">
        <v>2354</v>
      </c>
      <c r="B730" t="s">
        <v>2355</v>
      </c>
      <c r="C730" t="s">
        <v>2356</v>
      </c>
    </row>
    <row r="731" spans="1:3" x14ac:dyDescent="0.25">
      <c r="A731" t="s">
        <v>2357</v>
      </c>
      <c r="B731" t="s">
        <v>2358</v>
      </c>
      <c r="C731" t="s">
        <v>2359</v>
      </c>
    </row>
    <row r="732" spans="1:3" x14ac:dyDescent="0.25">
      <c r="A732" t="s">
        <v>2360</v>
      </c>
      <c r="B732" t="s">
        <v>2361</v>
      </c>
      <c r="C732" t="s">
        <v>2362</v>
      </c>
    </row>
    <row r="733" spans="1:3" x14ac:dyDescent="0.25">
      <c r="A733" t="s">
        <v>2363</v>
      </c>
      <c r="B733" t="s">
        <v>2364</v>
      </c>
      <c r="C733" t="s">
        <v>2365</v>
      </c>
    </row>
    <row r="734" spans="1:3" x14ac:dyDescent="0.25">
      <c r="A734" t="s">
        <v>2366</v>
      </c>
      <c r="B734" t="s">
        <v>2367</v>
      </c>
      <c r="C734" t="s">
        <v>2368</v>
      </c>
    </row>
    <row r="735" spans="1:3" x14ac:dyDescent="0.25">
      <c r="A735" t="s">
        <v>2369</v>
      </c>
      <c r="B735" t="s">
        <v>2370</v>
      </c>
      <c r="C735" t="s">
        <v>2371</v>
      </c>
    </row>
    <row r="736" spans="1:3" x14ac:dyDescent="0.25">
      <c r="A736" t="s">
        <v>2372</v>
      </c>
      <c r="B736" t="s">
        <v>2373</v>
      </c>
      <c r="C736" t="s">
        <v>2374</v>
      </c>
    </row>
    <row r="737" spans="1:3" x14ac:dyDescent="0.25">
      <c r="A737" t="s">
        <v>2375</v>
      </c>
      <c r="B737" t="s">
        <v>2376</v>
      </c>
      <c r="C737" t="s">
        <v>2377</v>
      </c>
    </row>
    <row r="738" spans="1:3" x14ac:dyDescent="0.25">
      <c r="A738" t="s">
        <v>2378</v>
      </c>
      <c r="B738" t="s">
        <v>2379</v>
      </c>
      <c r="C738" t="s">
        <v>2380</v>
      </c>
    </row>
    <row r="739" spans="1:3" x14ac:dyDescent="0.25">
      <c r="A739" t="s">
        <v>2381</v>
      </c>
      <c r="B739" t="s">
        <v>2382</v>
      </c>
      <c r="C739" t="s">
        <v>2383</v>
      </c>
    </row>
    <row r="740" spans="1:3" x14ac:dyDescent="0.25">
      <c r="A740" t="s">
        <v>2384</v>
      </c>
      <c r="B740" t="s">
        <v>2385</v>
      </c>
      <c r="C740" t="s">
        <v>2386</v>
      </c>
    </row>
    <row r="741" spans="1:3" x14ac:dyDescent="0.25">
      <c r="A741" t="s">
        <v>2387</v>
      </c>
      <c r="B741" t="s">
        <v>2388</v>
      </c>
      <c r="C741" t="s">
        <v>2389</v>
      </c>
    </row>
    <row r="742" spans="1:3" x14ac:dyDescent="0.25">
      <c r="A742" t="s">
        <v>2390</v>
      </c>
      <c r="B742" t="s">
        <v>2391</v>
      </c>
      <c r="C742" t="s">
        <v>2392</v>
      </c>
    </row>
    <row r="743" spans="1:3" x14ac:dyDescent="0.25">
      <c r="A743" t="s">
        <v>2393</v>
      </c>
      <c r="B743" t="s">
        <v>2394</v>
      </c>
      <c r="C743" t="s">
        <v>2395</v>
      </c>
    </row>
    <row r="744" spans="1:3" x14ac:dyDescent="0.25">
      <c r="A744" t="s">
        <v>2396</v>
      </c>
      <c r="B744" t="s">
        <v>2397</v>
      </c>
      <c r="C744" t="s">
        <v>2398</v>
      </c>
    </row>
    <row r="745" spans="1:3" x14ac:dyDescent="0.25">
      <c r="A745" t="s">
        <v>2399</v>
      </c>
      <c r="B745" t="s">
        <v>2400</v>
      </c>
      <c r="C745" t="s">
        <v>2401</v>
      </c>
    </row>
    <row r="746" spans="1:3" x14ac:dyDescent="0.25">
      <c r="A746" t="s">
        <v>2402</v>
      </c>
      <c r="B746" t="s">
        <v>2403</v>
      </c>
      <c r="C746" t="s">
        <v>2404</v>
      </c>
    </row>
    <row r="747" spans="1:3" x14ac:dyDescent="0.25">
      <c r="A747" t="s">
        <v>2405</v>
      </c>
      <c r="B747" t="s">
        <v>2406</v>
      </c>
      <c r="C747" t="s">
        <v>2407</v>
      </c>
    </row>
    <row r="748" spans="1:3" x14ac:dyDescent="0.25">
      <c r="A748" t="s">
        <v>2408</v>
      </c>
      <c r="B748" t="s">
        <v>2409</v>
      </c>
      <c r="C748" t="s">
        <v>2410</v>
      </c>
    </row>
    <row r="749" spans="1:3" x14ac:dyDescent="0.25">
      <c r="A749" t="s">
        <v>2411</v>
      </c>
      <c r="B749" t="s">
        <v>2412</v>
      </c>
      <c r="C749" t="s">
        <v>2413</v>
      </c>
    </row>
    <row r="750" spans="1:3" x14ac:dyDescent="0.25">
      <c r="A750" t="s">
        <v>2414</v>
      </c>
      <c r="B750" t="s">
        <v>2415</v>
      </c>
      <c r="C750" t="s">
        <v>2416</v>
      </c>
    </row>
    <row r="751" spans="1:3" x14ac:dyDescent="0.25">
      <c r="A751" t="s">
        <v>2417</v>
      </c>
      <c r="B751" t="s">
        <v>2418</v>
      </c>
      <c r="C751" t="s">
        <v>2419</v>
      </c>
    </row>
    <row r="752" spans="1:3" x14ac:dyDescent="0.25">
      <c r="A752" t="s">
        <v>2420</v>
      </c>
      <c r="B752" t="s">
        <v>2421</v>
      </c>
      <c r="C752" t="s">
        <v>2422</v>
      </c>
    </row>
    <row r="753" spans="1:3" x14ac:dyDescent="0.25">
      <c r="A753" t="s">
        <v>2423</v>
      </c>
      <c r="B753" t="s">
        <v>2424</v>
      </c>
      <c r="C753" t="s">
        <v>2425</v>
      </c>
    </row>
    <row r="754" spans="1:3" x14ac:dyDescent="0.25">
      <c r="A754" t="s">
        <v>2426</v>
      </c>
      <c r="B754" t="s">
        <v>2427</v>
      </c>
      <c r="C754" t="s">
        <v>2428</v>
      </c>
    </row>
    <row r="755" spans="1:3" x14ac:dyDescent="0.25">
      <c r="A755" t="s">
        <v>2429</v>
      </c>
      <c r="B755" t="s">
        <v>2430</v>
      </c>
      <c r="C755" t="s">
        <v>2431</v>
      </c>
    </row>
    <row r="756" spans="1:3" x14ac:dyDescent="0.25">
      <c r="A756" t="s">
        <v>2432</v>
      </c>
      <c r="B756" t="s">
        <v>2433</v>
      </c>
      <c r="C756" t="s">
        <v>2434</v>
      </c>
    </row>
    <row r="757" spans="1:3" x14ac:dyDescent="0.25">
      <c r="A757" t="s">
        <v>2435</v>
      </c>
      <c r="B757" t="s">
        <v>2436</v>
      </c>
      <c r="C757" t="s">
        <v>2437</v>
      </c>
    </row>
    <row r="758" spans="1:3" x14ac:dyDescent="0.25">
      <c r="A758" t="s">
        <v>2438</v>
      </c>
      <c r="B758" t="s">
        <v>2439</v>
      </c>
      <c r="C758" t="s">
        <v>2440</v>
      </c>
    </row>
    <row r="759" spans="1:3" x14ac:dyDescent="0.25">
      <c r="A759" t="s">
        <v>2441</v>
      </c>
      <c r="B759" t="s">
        <v>2442</v>
      </c>
      <c r="C759" t="s">
        <v>2443</v>
      </c>
    </row>
    <row r="760" spans="1:3" x14ac:dyDescent="0.25">
      <c r="A760" t="s">
        <v>2444</v>
      </c>
      <c r="B760" t="s">
        <v>2445</v>
      </c>
      <c r="C760" t="s">
        <v>2446</v>
      </c>
    </row>
    <row r="761" spans="1:3" x14ac:dyDescent="0.25">
      <c r="A761" t="s">
        <v>2447</v>
      </c>
      <c r="B761" t="s">
        <v>2448</v>
      </c>
      <c r="C761" t="s">
        <v>2449</v>
      </c>
    </row>
    <row r="762" spans="1:3" x14ac:dyDescent="0.25">
      <c r="A762" t="s">
        <v>2450</v>
      </c>
      <c r="B762" t="s">
        <v>2451</v>
      </c>
      <c r="C762" t="s">
        <v>2452</v>
      </c>
    </row>
    <row r="763" spans="1:3" x14ac:dyDescent="0.25">
      <c r="A763" t="s">
        <v>2453</v>
      </c>
      <c r="B763" t="s">
        <v>2454</v>
      </c>
      <c r="C763" t="s">
        <v>2455</v>
      </c>
    </row>
    <row r="764" spans="1:3" x14ac:dyDescent="0.25">
      <c r="A764" t="s">
        <v>2456</v>
      </c>
      <c r="B764" t="s">
        <v>2457</v>
      </c>
      <c r="C764" t="s">
        <v>2458</v>
      </c>
    </row>
    <row r="765" spans="1:3" x14ac:dyDescent="0.25">
      <c r="A765" t="s">
        <v>2459</v>
      </c>
      <c r="B765" t="s">
        <v>2460</v>
      </c>
      <c r="C765" t="s">
        <v>2461</v>
      </c>
    </row>
    <row r="766" spans="1:3" x14ac:dyDescent="0.25">
      <c r="A766" t="s">
        <v>2462</v>
      </c>
      <c r="B766" t="s">
        <v>2463</v>
      </c>
      <c r="C766" t="s">
        <v>2464</v>
      </c>
    </row>
    <row r="767" spans="1:3" x14ac:dyDescent="0.25">
      <c r="A767" t="s">
        <v>2465</v>
      </c>
      <c r="B767" t="s">
        <v>2466</v>
      </c>
      <c r="C767" t="s">
        <v>2467</v>
      </c>
    </row>
    <row r="768" spans="1:3" x14ac:dyDescent="0.25">
      <c r="A768" t="s">
        <v>2468</v>
      </c>
      <c r="B768" t="s">
        <v>2469</v>
      </c>
      <c r="C768" t="s">
        <v>2470</v>
      </c>
    </row>
    <row r="769" spans="1:3" x14ac:dyDescent="0.25">
      <c r="A769" t="s">
        <v>2471</v>
      </c>
      <c r="B769" t="s">
        <v>2472</v>
      </c>
      <c r="C769" t="s">
        <v>2473</v>
      </c>
    </row>
    <row r="770" spans="1:3" x14ac:dyDescent="0.25">
      <c r="A770" t="s">
        <v>2474</v>
      </c>
      <c r="B770" t="s">
        <v>2475</v>
      </c>
      <c r="C770" t="s">
        <v>2476</v>
      </c>
    </row>
    <row r="771" spans="1:3" x14ac:dyDescent="0.25">
      <c r="A771" t="s">
        <v>2477</v>
      </c>
      <c r="B771" t="s">
        <v>2478</v>
      </c>
      <c r="C771" t="s">
        <v>2479</v>
      </c>
    </row>
    <row r="772" spans="1:3" x14ac:dyDescent="0.25">
      <c r="A772" t="s">
        <v>2480</v>
      </c>
      <c r="B772" t="s">
        <v>2481</v>
      </c>
      <c r="C772" t="s">
        <v>2482</v>
      </c>
    </row>
    <row r="773" spans="1:3" x14ac:dyDescent="0.25">
      <c r="A773" t="s">
        <v>2483</v>
      </c>
      <c r="B773" t="s">
        <v>2484</v>
      </c>
      <c r="C773" t="s">
        <v>2485</v>
      </c>
    </row>
    <row r="774" spans="1:3" x14ac:dyDescent="0.25">
      <c r="A774" t="s">
        <v>2486</v>
      </c>
      <c r="B774" t="s">
        <v>2487</v>
      </c>
      <c r="C774" t="s">
        <v>2488</v>
      </c>
    </row>
    <row r="775" spans="1:3" x14ac:dyDescent="0.25">
      <c r="A775" t="s">
        <v>2489</v>
      </c>
      <c r="B775" t="s">
        <v>2490</v>
      </c>
      <c r="C775" t="s">
        <v>2491</v>
      </c>
    </row>
    <row r="776" spans="1:3" x14ac:dyDescent="0.25">
      <c r="A776" t="s">
        <v>2492</v>
      </c>
      <c r="B776" t="s">
        <v>2493</v>
      </c>
      <c r="C776" t="s">
        <v>2494</v>
      </c>
    </row>
    <row r="777" spans="1:3" x14ac:dyDescent="0.25">
      <c r="A777" t="s">
        <v>2495</v>
      </c>
      <c r="B777" t="s">
        <v>2496</v>
      </c>
      <c r="C777" t="s">
        <v>2497</v>
      </c>
    </row>
    <row r="778" spans="1:3" x14ac:dyDescent="0.25">
      <c r="A778" t="s">
        <v>2498</v>
      </c>
      <c r="B778" t="s">
        <v>2499</v>
      </c>
      <c r="C778" t="s">
        <v>2500</v>
      </c>
    </row>
    <row r="779" spans="1:3" x14ac:dyDescent="0.25">
      <c r="A779" t="s">
        <v>2501</v>
      </c>
      <c r="B779" t="s">
        <v>2502</v>
      </c>
      <c r="C779" t="s">
        <v>2503</v>
      </c>
    </row>
    <row r="780" spans="1:3" x14ac:dyDescent="0.25">
      <c r="A780" t="s">
        <v>2504</v>
      </c>
      <c r="B780" t="s">
        <v>2505</v>
      </c>
      <c r="C780" t="s">
        <v>2506</v>
      </c>
    </row>
    <row r="781" spans="1:3" x14ac:dyDescent="0.25">
      <c r="A781" t="s">
        <v>2507</v>
      </c>
      <c r="B781" t="s">
        <v>2508</v>
      </c>
      <c r="C781" t="s">
        <v>2509</v>
      </c>
    </row>
    <row r="782" spans="1:3" x14ac:dyDescent="0.25">
      <c r="A782" t="s">
        <v>2510</v>
      </c>
      <c r="B782" t="s">
        <v>2511</v>
      </c>
      <c r="C782" t="s">
        <v>2512</v>
      </c>
    </row>
    <row r="783" spans="1:3" x14ac:dyDescent="0.25">
      <c r="A783" t="s">
        <v>2513</v>
      </c>
      <c r="B783" t="s">
        <v>2514</v>
      </c>
      <c r="C783" t="s">
        <v>2515</v>
      </c>
    </row>
    <row r="784" spans="1:3" x14ac:dyDescent="0.25">
      <c r="A784" t="s">
        <v>2516</v>
      </c>
      <c r="B784" t="s">
        <v>2517</v>
      </c>
      <c r="C784" t="s">
        <v>2518</v>
      </c>
    </row>
    <row r="785" spans="1:3" x14ac:dyDescent="0.25">
      <c r="A785" t="s">
        <v>2519</v>
      </c>
      <c r="B785" t="s">
        <v>2520</v>
      </c>
      <c r="C785" t="s">
        <v>2521</v>
      </c>
    </row>
    <row r="786" spans="1:3" x14ac:dyDescent="0.25">
      <c r="A786" t="s">
        <v>2522</v>
      </c>
      <c r="B786" t="s">
        <v>2523</v>
      </c>
      <c r="C786" t="s">
        <v>2524</v>
      </c>
    </row>
    <row r="787" spans="1:3" x14ac:dyDescent="0.25">
      <c r="A787" t="s">
        <v>2525</v>
      </c>
      <c r="B787" t="s">
        <v>2526</v>
      </c>
      <c r="C787" t="s">
        <v>2527</v>
      </c>
    </row>
    <row r="788" spans="1:3" x14ac:dyDescent="0.25">
      <c r="A788" t="s">
        <v>2528</v>
      </c>
      <c r="B788" t="s">
        <v>2529</v>
      </c>
      <c r="C788" t="s">
        <v>2530</v>
      </c>
    </row>
    <row r="789" spans="1:3" x14ac:dyDescent="0.25">
      <c r="A789" t="s">
        <v>2531</v>
      </c>
      <c r="B789" t="s">
        <v>2532</v>
      </c>
      <c r="C789" t="s">
        <v>2533</v>
      </c>
    </row>
    <row r="790" spans="1:3" x14ac:dyDescent="0.25">
      <c r="A790" t="s">
        <v>2534</v>
      </c>
      <c r="B790" t="s">
        <v>2535</v>
      </c>
      <c r="C790" t="s">
        <v>2536</v>
      </c>
    </row>
    <row r="791" spans="1:3" x14ac:dyDescent="0.25">
      <c r="A791" t="s">
        <v>2537</v>
      </c>
      <c r="B791" t="s">
        <v>2538</v>
      </c>
      <c r="C791" t="s">
        <v>2539</v>
      </c>
    </row>
    <row r="792" spans="1:3" x14ac:dyDescent="0.25">
      <c r="A792" t="s">
        <v>2540</v>
      </c>
      <c r="B792" t="s">
        <v>2541</v>
      </c>
      <c r="C792" t="s">
        <v>2542</v>
      </c>
    </row>
    <row r="793" spans="1:3" x14ac:dyDescent="0.25">
      <c r="A793" t="s">
        <v>2543</v>
      </c>
      <c r="B793" t="s">
        <v>2544</v>
      </c>
      <c r="C793" t="s">
        <v>2545</v>
      </c>
    </row>
    <row r="794" spans="1:3" x14ac:dyDescent="0.25">
      <c r="A794" t="s">
        <v>2546</v>
      </c>
      <c r="B794" t="s">
        <v>2547</v>
      </c>
      <c r="C794" t="s">
        <v>2548</v>
      </c>
    </row>
    <row r="795" spans="1:3" x14ac:dyDescent="0.25">
      <c r="A795" t="s">
        <v>2549</v>
      </c>
      <c r="B795" t="s">
        <v>2550</v>
      </c>
      <c r="C795" t="s">
        <v>2551</v>
      </c>
    </row>
    <row r="796" spans="1:3" x14ac:dyDescent="0.25">
      <c r="A796" t="s">
        <v>2552</v>
      </c>
      <c r="B796" t="s">
        <v>2553</v>
      </c>
      <c r="C796" t="s">
        <v>2554</v>
      </c>
    </row>
    <row r="797" spans="1:3" x14ac:dyDescent="0.25">
      <c r="A797" t="s">
        <v>2555</v>
      </c>
      <c r="B797" t="s">
        <v>2556</v>
      </c>
      <c r="C797" t="s">
        <v>2557</v>
      </c>
    </row>
    <row r="798" spans="1:3" x14ac:dyDescent="0.25">
      <c r="A798" t="s">
        <v>2558</v>
      </c>
      <c r="B798" t="s">
        <v>2559</v>
      </c>
      <c r="C798" t="s">
        <v>2560</v>
      </c>
    </row>
    <row r="799" spans="1:3" x14ac:dyDescent="0.25">
      <c r="A799" t="s">
        <v>2561</v>
      </c>
      <c r="B799" t="s">
        <v>2562</v>
      </c>
      <c r="C799" t="s">
        <v>2563</v>
      </c>
    </row>
    <row r="800" spans="1:3" x14ac:dyDescent="0.25">
      <c r="A800" t="s">
        <v>2564</v>
      </c>
      <c r="B800" t="s">
        <v>2565</v>
      </c>
      <c r="C800" t="s">
        <v>2566</v>
      </c>
    </row>
    <row r="801" spans="1:3" x14ac:dyDescent="0.25">
      <c r="A801" t="s">
        <v>2567</v>
      </c>
      <c r="B801" t="s">
        <v>2568</v>
      </c>
      <c r="C801" t="s">
        <v>2569</v>
      </c>
    </row>
    <row r="802" spans="1:3" x14ac:dyDescent="0.25">
      <c r="A802" t="s">
        <v>2570</v>
      </c>
      <c r="B802" t="s">
        <v>2571</v>
      </c>
      <c r="C802" t="s">
        <v>2572</v>
      </c>
    </row>
    <row r="803" spans="1:3" x14ac:dyDescent="0.25">
      <c r="A803" t="s">
        <v>2573</v>
      </c>
      <c r="B803" t="s">
        <v>2574</v>
      </c>
      <c r="C803" t="s">
        <v>2575</v>
      </c>
    </row>
    <row r="804" spans="1:3" x14ac:dyDescent="0.25">
      <c r="A804" t="s">
        <v>2576</v>
      </c>
      <c r="B804" t="s">
        <v>2577</v>
      </c>
      <c r="C804" t="s">
        <v>2578</v>
      </c>
    </row>
    <row r="805" spans="1:3" x14ac:dyDescent="0.25">
      <c r="A805" t="s">
        <v>2579</v>
      </c>
      <c r="B805" t="s">
        <v>2580</v>
      </c>
      <c r="C805" t="s">
        <v>2581</v>
      </c>
    </row>
    <row r="806" spans="1:3" x14ac:dyDescent="0.25">
      <c r="A806" t="s">
        <v>2582</v>
      </c>
      <c r="B806" t="s">
        <v>2583</v>
      </c>
      <c r="C806" t="s">
        <v>2584</v>
      </c>
    </row>
    <row r="807" spans="1:3" x14ac:dyDescent="0.25">
      <c r="A807" t="s">
        <v>2585</v>
      </c>
      <c r="B807" t="s">
        <v>2586</v>
      </c>
      <c r="C807" t="s">
        <v>2587</v>
      </c>
    </row>
    <row r="808" spans="1:3" x14ac:dyDescent="0.25">
      <c r="A808" t="s">
        <v>2588</v>
      </c>
      <c r="B808" t="s">
        <v>2589</v>
      </c>
      <c r="C808" t="s">
        <v>2590</v>
      </c>
    </row>
    <row r="809" spans="1:3" x14ac:dyDescent="0.25">
      <c r="A809" t="s">
        <v>2591</v>
      </c>
      <c r="B809" t="s">
        <v>2592</v>
      </c>
      <c r="C809" t="s">
        <v>2593</v>
      </c>
    </row>
    <row r="810" spans="1:3" x14ac:dyDescent="0.25">
      <c r="A810" t="s">
        <v>2594</v>
      </c>
      <c r="B810" t="s">
        <v>2595</v>
      </c>
      <c r="C810" t="s">
        <v>2596</v>
      </c>
    </row>
    <row r="811" spans="1:3" x14ac:dyDescent="0.25">
      <c r="A811" t="s">
        <v>2597</v>
      </c>
      <c r="B811" t="s">
        <v>2598</v>
      </c>
      <c r="C811" t="s">
        <v>2599</v>
      </c>
    </row>
    <row r="812" spans="1:3" x14ac:dyDescent="0.25">
      <c r="A812" t="s">
        <v>2600</v>
      </c>
      <c r="B812" t="s">
        <v>2601</v>
      </c>
      <c r="C812" t="s">
        <v>2602</v>
      </c>
    </row>
    <row r="813" spans="1:3" x14ac:dyDescent="0.25">
      <c r="A813" t="s">
        <v>2603</v>
      </c>
      <c r="B813" t="s">
        <v>2604</v>
      </c>
      <c r="C813" t="s">
        <v>2605</v>
      </c>
    </row>
    <row r="814" spans="1:3" x14ac:dyDescent="0.25">
      <c r="A814" t="s">
        <v>2606</v>
      </c>
      <c r="B814" t="s">
        <v>2607</v>
      </c>
      <c r="C814" t="s">
        <v>2608</v>
      </c>
    </row>
    <row r="815" spans="1:3" x14ac:dyDescent="0.25">
      <c r="A815" t="s">
        <v>2609</v>
      </c>
      <c r="B815" t="s">
        <v>2610</v>
      </c>
      <c r="C815" t="s">
        <v>2611</v>
      </c>
    </row>
    <row r="816" spans="1:3" x14ac:dyDescent="0.25">
      <c r="A816" t="s">
        <v>2612</v>
      </c>
      <c r="B816" t="s">
        <v>2613</v>
      </c>
      <c r="C816" t="s">
        <v>2614</v>
      </c>
    </row>
    <row r="817" spans="1:3" x14ac:dyDescent="0.25">
      <c r="A817" t="s">
        <v>2615</v>
      </c>
      <c r="B817" t="s">
        <v>2616</v>
      </c>
      <c r="C817" t="s">
        <v>2617</v>
      </c>
    </row>
    <row r="818" spans="1:3" x14ac:dyDescent="0.25">
      <c r="A818" t="s">
        <v>2618</v>
      </c>
      <c r="B818" t="s">
        <v>2619</v>
      </c>
      <c r="C818" t="s">
        <v>2620</v>
      </c>
    </row>
    <row r="819" spans="1:3" x14ac:dyDescent="0.25">
      <c r="A819" t="s">
        <v>2621</v>
      </c>
      <c r="B819" t="s">
        <v>2622</v>
      </c>
      <c r="C819" t="s">
        <v>2623</v>
      </c>
    </row>
    <row r="820" spans="1:3" x14ac:dyDescent="0.25">
      <c r="A820" t="s">
        <v>2624</v>
      </c>
      <c r="B820" t="s">
        <v>2625</v>
      </c>
      <c r="C820" t="s">
        <v>2626</v>
      </c>
    </row>
    <row r="821" spans="1:3" x14ac:dyDescent="0.25">
      <c r="A821" t="s">
        <v>2627</v>
      </c>
      <c r="B821" t="s">
        <v>2628</v>
      </c>
      <c r="C821" t="s">
        <v>2629</v>
      </c>
    </row>
    <row r="822" spans="1:3" x14ac:dyDescent="0.25">
      <c r="A822" t="s">
        <v>2630</v>
      </c>
      <c r="B822" t="s">
        <v>2631</v>
      </c>
      <c r="C822" t="s">
        <v>2632</v>
      </c>
    </row>
    <row r="823" spans="1:3" x14ac:dyDescent="0.25">
      <c r="A823" t="s">
        <v>2633</v>
      </c>
      <c r="B823" t="s">
        <v>2634</v>
      </c>
      <c r="C823" t="s">
        <v>2635</v>
      </c>
    </row>
    <row r="824" spans="1:3" x14ac:dyDescent="0.25">
      <c r="A824" t="s">
        <v>2636</v>
      </c>
      <c r="B824" t="s">
        <v>2637</v>
      </c>
      <c r="C824" t="s">
        <v>2638</v>
      </c>
    </row>
    <row r="825" spans="1:3" x14ac:dyDescent="0.25">
      <c r="A825" t="s">
        <v>2639</v>
      </c>
      <c r="B825" t="s">
        <v>2640</v>
      </c>
      <c r="C825" t="s">
        <v>2641</v>
      </c>
    </row>
    <row r="826" spans="1:3" x14ac:dyDescent="0.25">
      <c r="A826" t="s">
        <v>2642</v>
      </c>
      <c r="B826" t="s">
        <v>2643</v>
      </c>
      <c r="C826" t="s">
        <v>2644</v>
      </c>
    </row>
    <row r="827" spans="1:3" x14ac:dyDescent="0.25">
      <c r="A827" t="s">
        <v>2645</v>
      </c>
      <c r="B827" t="s">
        <v>2646</v>
      </c>
      <c r="C827" t="s">
        <v>2647</v>
      </c>
    </row>
    <row r="828" spans="1:3" x14ac:dyDescent="0.25">
      <c r="A828" t="s">
        <v>2648</v>
      </c>
      <c r="B828" t="s">
        <v>2649</v>
      </c>
      <c r="C828" t="s">
        <v>2650</v>
      </c>
    </row>
    <row r="829" spans="1:3" x14ac:dyDescent="0.25">
      <c r="A829" t="s">
        <v>2651</v>
      </c>
      <c r="B829" t="s">
        <v>2652</v>
      </c>
      <c r="C829" t="s">
        <v>2653</v>
      </c>
    </row>
    <row r="830" spans="1:3" x14ac:dyDescent="0.25">
      <c r="A830" t="s">
        <v>2654</v>
      </c>
      <c r="B830" t="s">
        <v>2655</v>
      </c>
      <c r="C830" t="s">
        <v>2656</v>
      </c>
    </row>
    <row r="831" spans="1:3" x14ac:dyDescent="0.25">
      <c r="A831" t="s">
        <v>2657</v>
      </c>
      <c r="B831" t="s">
        <v>2658</v>
      </c>
      <c r="C831" t="s">
        <v>2659</v>
      </c>
    </row>
    <row r="832" spans="1:3" x14ac:dyDescent="0.25">
      <c r="A832" t="s">
        <v>2660</v>
      </c>
      <c r="B832" t="s">
        <v>2661</v>
      </c>
      <c r="C832" t="s">
        <v>2662</v>
      </c>
    </row>
    <row r="833" spans="1:3" x14ac:dyDescent="0.25">
      <c r="A833" t="s">
        <v>2663</v>
      </c>
      <c r="B833" t="s">
        <v>2664</v>
      </c>
      <c r="C833" t="s">
        <v>2665</v>
      </c>
    </row>
    <row r="834" spans="1:3" x14ac:dyDescent="0.25">
      <c r="A834" t="s">
        <v>2666</v>
      </c>
      <c r="B834" t="s">
        <v>2667</v>
      </c>
      <c r="C834" t="s">
        <v>2668</v>
      </c>
    </row>
    <row r="835" spans="1:3" x14ac:dyDescent="0.25">
      <c r="A835" t="s">
        <v>2669</v>
      </c>
      <c r="B835" t="s">
        <v>2670</v>
      </c>
      <c r="C835" t="s">
        <v>2671</v>
      </c>
    </row>
    <row r="836" spans="1:3" x14ac:dyDescent="0.25">
      <c r="A836" t="s">
        <v>2672</v>
      </c>
      <c r="B836" t="s">
        <v>2673</v>
      </c>
      <c r="C836" t="s">
        <v>2674</v>
      </c>
    </row>
    <row r="837" spans="1:3" x14ac:dyDescent="0.25">
      <c r="A837" t="s">
        <v>2675</v>
      </c>
      <c r="B837" t="s">
        <v>2676</v>
      </c>
      <c r="C837" t="s">
        <v>2677</v>
      </c>
    </row>
    <row r="838" spans="1:3" x14ac:dyDescent="0.25">
      <c r="A838" t="s">
        <v>2678</v>
      </c>
      <c r="B838" t="s">
        <v>2679</v>
      </c>
      <c r="C838" t="s">
        <v>2680</v>
      </c>
    </row>
    <row r="839" spans="1:3" x14ac:dyDescent="0.25">
      <c r="A839" t="s">
        <v>2681</v>
      </c>
      <c r="B839" t="s">
        <v>2682</v>
      </c>
      <c r="C839" t="s">
        <v>2683</v>
      </c>
    </row>
    <row r="840" spans="1:3" x14ac:dyDescent="0.25">
      <c r="A840" t="s">
        <v>2684</v>
      </c>
      <c r="B840" t="s">
        <v>2685</v>
      </c>
      <c r="C840" t="s">
        <v>2686</v>
      </c>
    </row>
    <row r="841" spans="1:3" x14ac:dyDescent="0.25">
      <c r="A841" t="s">
        <v>2687</v>
      </c>
      <c r="B841" t="s">
        <v>2688</v>
      </c>
      <c r="C841" t="s">
        <v>2689</v>
      </c>
    </row>
    <row r="842" spans="1:3" x14ac:dyDescent="0.25">
      <c r="A842" t="s">
        <v>2690</v>
      </c>
      <c r="B842" t="s">
        <v>2691</v>
      </c>
      <c r="C842" t="s">
        <v>2692</v>
      </c>
    </row>
    <row r="843" spans="1:3" x14ac:dyDescent="0.25">
      <c r="A843" t="s">
        <v>2693</v>
      </c>
      <c r="B843" t="s">
        <v>2694</v>
      </c>
      <c r="C843" t="s">
        <v>2695</v>
      </c>
    </row>
    <row r="844" spans="1:3" x14ac:dyDescent="0.25">
      <c r="A844" t="s">
        <v>2696</v>
      </c>
      <c r="B844" t="s">
        <v>2697</v>
      </c>
      <c r="C844" t="s">
        <v>2698</v>
      </c>
    </row>
    <row r="845" spans="1:3" x14ac:dyDescent="0.25">
      <c r="A845" t="s">
        <v>2699</v>
      </c>
      <c r="B845" t="s">
        <v>2700</v>
      </c>
      <c r="C845" t="s">
        <v>2701</v>
      </c>
    </row>
    <row r="846" spans="1:3" x14ac:dyDescent="0.25">
      <c r="A846" t="s">
        <v>2702</v>
      </c>
      <c r="B846" t="s">
        <v>2703</v>
      </c>
      <c r="C846" t="s">
        <v>2704</v>
      </c>
    </row>
    <row r="847" spans="1:3" x14ac:dyDescent="0.25">
      <c r="A847" t="s">
        <v>2705</v>
      </c>
      <c r="B847" t="s">
        <v>2706</v>
      </c>
      <c r="C847" t="s">
        <v>2707</v>
      </c>
    </row>
    <row r="848" spans="1:3" x14ac:dyDescent="0.25">
      <c r="A848" t="s">
        <v>2708</v>
      </c>
      <c r="B848" t="s">
        <v>2709</v>
      </c>
      <c r="C848" t="s">
        <v>2710</v>
      </c>
    </row>
    <row r="849" spans="1:3" x14ac:dyDescent="0.25">
      <c r="A849" t="s">
        <v>2711</v>
      </c>
      <c r="B849" t="s">
        <v>2712</v>
      </c>
      <c r="C849" t="s">
        <v>2713</v>
      </c>
    </row>
    <row r="850" spans="1:3" x14ac:dyDescent="0.25">
      <c r="A850" t="s">
        <v>2714</v>
      </c>
      <c r="B850" t="s">
        <v>2715</v>
      </c>
      <c r="C850" t="s">
        <v>2716</v>
      </c>
    </row>
    <row r="851" spans="1:3" x14ac:dyDescent="0.25">
      <c r="A851" t="s">
        <v>2717</v>
      </c>
      <c r="B851" t="s">
        <v>2718</v>
      </c>
      <c r="C851" t="s">
        <v>2719</v>
      </c>
    </row>
    <row r="852" spans="1:3" x14ac:dyDescent="0.25">
      <c r="A852" t="s">
        <v>2720</v>
      </c>
      <c r="B852" t="s">
        <v>2721</v>
      </c>
      <c r="C852" t="s">
        <v>2722</v>
      </c>
    </row>
    <row r="853" spans="1:3" x14ac:dyDescent="0.25">
      <c r="A853" t="s">
        <v>2723</v>
      </c>
      <c r="B853" t="s">
        <v>2724</v>
      </c>
      <c r="C853" t="s">
        <v>2725</v>
      </c>
    </row>
    <row r="854" spans="1:3" x14ac:dyDescent="0.25">
      <c r="A854" t="s">
        <v>2726</v>
      </c>
      <c r="B854" t="s">
        <v>2727</v>
      </c>
      <c r="C854" t="s">
        <v>2728</v>
      </c>
    </row>
    <row r="855" spans="1:3" x14ac:dyDescent="0.25">
      <c r="A855" t="s">
        <v>2729</v>
      </c>
      <c r="B855" t="s">
        <v>2730</v>
      </c>
      <c r="C855" t="s">
        <v>2731</v>
      </c>
    </row>
    <row r="856" spans="1:3" x14ac:dyDescent="0.25">
      <c r="A856" t="s">
        <v>2732</v>
      </c>
      <c r="B856" t="s">
        <v>2733</v>
      </c>
      <c r="C856" t="s">
        <v>2734</v>
      </c>
    </row>
    <row r="857" spans="1:3" x14ac:dyDescent="0.25">
      <c r="A857" t="s">
        <v>2735</v>
      </c>
      <c r="B857" t="s">
        <v>2736</v>
      </c>
      <c r="C857" t="s">
        <v>2737</v>
      </c>
    </row>
    <row r="858" spans="1:3" x14ac:dyDescent="0.25">
      <c r="A858" t="s">
        <v>2738</v>
      </c>
      <c r="B858" t="s">
        <v>2739</v>
      </c>
      <c r="C858" t="s">
        <v>2740</v>
      </c>
    </row>
    <row r="859" spans="1:3" x14ac:dyDescent="0.25">
      <c r="A859" t="s">
        <v>2741</v>
      </c>
      <c r="B859" t="s">
        <v>2742</v>
      </c>
      <c r="C859" t="s">
        <v>2743</v>
      </c>
    </row>
    <row r="860" spans="1:3" x14ac:dyDescent="0.25">
      <c r="A860" t="s">
        <v>2744</v>
      </c>
      <c r="B860" t="s">
        <v>2745</v>
      </c>
      <c r="C860" t="s">
        <v>2746</v>
      </c>
    </row>
    <row r="861" spans="1:3" x14ac:dyDescent="0.25">
      <c r="A861" t="s">
        <v>2747</v>
      </c>
      <c r="B861" t="s">
        <v>2748</v>
      </c>
      <c r="C861" t="s">
        <v>2749</v>
      </c>
    </row>
    <row r="862" spans="1:3" x14ac:dyDescent="0.25">
      <c r="A862" t="s">
        <v>2750</v>
      </c>
      <c r="B862" t="s">
        <v>2751</v>
      </c>
      <c r="C862" t="s">
        <v>2752</v>
      </c>
    </row>
    <row r="863" spans="1:3" x14ac:dyDescent="0.25">
      <c r="A863" t="s">
        <v>2753</v>
      </c>
      <c r="B863" t="s">
        <v>2754</v>
      </c>
      <c r="C863" t="s">
        <v>2755</v>
      </c>
    </row>
    <row r="864" spans="1:3" x14ac:dyDescent="0.25">
      <c r="A864" t="s">
        <v>2756</v>
      </c>
      <c r="B864" t="s">
        <v>2757</v>
      </c>
      <c r="C864" t="s">
        <v>2758</v>
      </c>
    </row>
    <row r="865" spans="1:3" x14ac:dyDescent="0.25">
      <c r="A865" t="s">
        <v>2759</v>
      </c>
      <c r="B865" t="s">
        <v>2760</v>
      </c>
      <c r="C865" t="s">
        <v>2761</v>
      </c>
    </row>
    <row r="866" spans="1:3" x14ac:dyDescent="0.25">
      <c r="A866" t="s">
        <v>2762</v>
      </c>
      <c r="B866" t="s">
        <v>2763</v>
      </c>
      <c r="C866" t="s">
        <v>2764</v>
      </c>
    </row>
    <row r="867" spans="1:3" x14ac:dyDescent="0.25">
      <c r="A867" t="s">
        <v>2765</v>
      </c>
      <c r="B867" t="s">
        <v>2766</v>
      </c>
      <c r="C867" t="s">
        <v>2767</v>
      </c>
    </row>
    <row r="868" spans="1:3" x14ac:dyDescent="0.25">
      <c r="A868" t="s">
        <v>2768</v>
      </c>
      <c r="B868" t="s">
        <v>2769</v>
      </c>
      <c r="C868" t="s">
        <v>2770</v>
      </c>
    </row>
    <row r="869" spans="1:3" x14ac:dyDescent="0.25">
      <c r="A869" t="s">
        <v>2771</v>
      </c>
      <c r="B869" t="s">
        <v>2772</v>
      </c>
      <c r="C869" t="s">
        <v>2773</v>
      </c>
    </row>
    <row r="870" spans="1:3" x14ac:dyDescent="0.25">
      <c r="A870" t="s">
        <v>2774</v>
      </c>
      <c r="B870" t="s">
        <v>2775</v>
      </c>
      <c r="C870" t="s">
        <v>2776</v>
      </c>
    </row>
    <row r="871" spans="1:3" x14ac:dyDescent="0.25">
      <c r="A871" t="s">
        <v>2777</v>
      </c>
      <c r="B871" t="s">
        <v>2778</v>
      </c>
      <c r="C871" t="s">
        <v>2779</v>
      </c>
    </row>
    <row r="872" spans="1:3" x14ac:dyDescent="0.25">
      <c r="A872" t="s">
        <v>2780</v>
      </c>
      <c r="B872" t="s">
        <v>2781</v>
      </c>
      <c r="C872" t="s">
        <v>2782</v>
      </c>
    </row>
    <row r="873" spans="1:3" x14ac:dyDescent="0.25">
      <c r="A873" t="s">
        <v>2783</v>
      </c>
      <c r="B873" t="s">
        <v>2784</v>
      </c>
      <c r="C873" t="s">
        <v>2785</v>
      </c>
    </row>
    <row r="874" spans="1:3" x14ac:dyDescent="0.25">
      <c r="A874" t="s">
        <v>2786</v>
      </c>
      <c r="B874" t="s">
        <v>2787</v>
      </c>
      <c r="C874" t="s">
        <v>2788</v>
      </c>
    </row>
    <row r="875" spans="1:3" x14ac:dyDescent="0.25">
      <c r="A875" t="s">
        <v>2789</v>
      </c>
      <c r="B875" t="s">
        <v>2790</v>
      </c>
      <c r="C875" t="s">
        <v>2791</v>
      </c>
    </row>
    <row r="876" spans="1:3" x14ac:dyDescent="0.25">
      <c r="A876" t="s">
        <v>2792</v>
      </c>
      <c r="B876" t="s">
        <v>2793</v>
      </c>
      <c r="C876" t="s">
        <v>2794</v>
      </c>
    </row>
    <row r="877" spans="1:3" x14ac:dyDescent="0.25">
      <c r="A877" t="s">
        <v>2795</v>
      </c>
      <c r="B877" t="s">
        <v>2796</v>
      </c>
      <c r="C877" t="s">
        <v>2797</v>
      </c>
    </row>
    <row r="878" spans="1:3" x14ac:dyDescent="0.25">
      <c r="A878" t="s">
        <v>2798</v>
      </c>
      <c r="B878" t="s">
        <v>2799</v>
      </c>
      <c r="C878" t="s">
        <v>2800</v>
      </c>
    </row>
    <row r="879" spans="1:3" x14ac:dyDescent="0.25">
      <c r="A879" t="s">
        <v>2801</v>
      </c>
      <c r="B879" t="s">
        <v>2802</v>
      </c>
      <c r="C879" t="s">
        <v>2803</v>
      </c>
    </row>
    <row r="880" spans="1:3" x14ac:dyDescent="0.25">
      <c r="A880" t="s">
        <v>2804</v>
      </c>
      <c r="B880" t="s">
        <v>2805</v>
      </c>
      <c r="C880" t="s">
        <v>2806</v>
      </c>
    </row>
    <row r="881" spans="1:3" x14ac:dyDescent="0.25">
      <c r="A881" t="s">
        <v>2807</v>
      </c>
      <c r="B881" t="s">
        <v>2808</v>
      </c>
      <c r="C881" t="s">
        <v>2809</v>
      </c>
    </row>
    <row r="882" spans="1:3" x14ac:dyDescent="0.25">
      <c r="A882" t="s">
        <v>2810</v>
      </c>
      <c r="B882" t="s">
        <v>2811</v>
      </c>
      <c r="C882" t="s">
        <v>2812</v>
      </c>
    </row>
    <row r="883" spans="1:3" x14ac:dyDescent="0.25">
      <c r="A883" t="s">
        <v>2813</v>
      </c>
      <c r="B883" t="s">
        <v>2814</v>
      </c>
      <c r="C883" t="s">
        <v>2815</v>
      </c>
    </row>
    <row r="884" spans="1:3" x14ac:dyDescent="0.25">
      <c r="A884" t="s">
        <v>2816</v>
      </c>
      <c r="B884" t="s">
        <v>2817</v>
      </c>
      <c r="C884" t="s">
        <v>2818</v>
      </c>
    </row>
    <row r="885" spans="1:3" x14ac:dyDescent="0.25">
      <c r="A885" t="s">
        <v>2819</v>
      </c>
      <c r="B885" t="s">
        <v>2820</v>
      </c>
      <c r="C885" t="s">
        <v>2821</v>
      </c>
    </row>
    <row r="886" spans="1:3" x14ac:dyDescent="0.25">
      <c r="A886" t="s">
        <v>2822</v>
      </c>
      <c r="B886" t="s">
        <v>2823</v>
      </c>
      <c r="C886" t="s">
        <v>2824</v>
      </c>
    </row>
    <row r="887" spans="1:3" x14ac:dyDescent="0.25">
      <c r="A887" t="s">
        <v>2825</v>
      </c>
      <c r="B887" t="s">
        <v>2826</v>
      </c>
      <c r="C887" t="s">
        <v>2827</v>
      </c>
    </row>
    <row r="888" spans="1:3" x14ac:dyDescent="0.25">
      <c r="A888" t="s">
        <v>2828</v>
      </c>
      <c r="B888" t="s">
        <v>2829</v>
      </c>
      <c r="C888" t="s">
        <v>2830</v>
      </c>
    </row>
    <row r="889" spans="1:3" x14ac:dyDescent="0.25">
      <c r="A889" t="s">
        <v>2831</v>
      </c>
      <c r="B889" t="s">
        <v>2832</v>
      </c>
      <c r="C889" t="s">
        <v>2833</v>
      </c>
    </row>
    <row r="890" spans="1:3" x14ac:dyDescent="0.25">
      <c r="A890" t="s">
        <v>2834</v>
      </c>
      <c r="B890" t="s">
        <v>2835</v>
      </c>
      <c r="C890" t="s">
        <v>2836</v>
      </c>
    </row>
    <row r="891" spans="1:3" x14ac:dyDescent="0.25">
      <c r="A891" t="s">
        <v>2837</v>
      </c>
      <c r="B891" t="s">
        <v>2838</v>
      </c>
      <c r="C891" t="s">
        <v>2839</v>
      </c>
    </row>
    <row r="892" spans="1:3" x14ac:dyDescent="0.25">
      <c r="A892" t="s">
        <v>2840</v>
      </c>
      <c r="B892" t="s">
        <v>2841</v>
      </c>
      <c r="C892" t="s">
        <v>2842</v>
      </c>
    </row>
    <row r="893" spans="1:3" x14ac:dyDescent="0.25">
      <c r="A893" t="s">
        <v>2843</v>
      </c>
      <c r="B893" t="s">
        <v>2844</v>
      </c>
      <c r="C893" t="s">
        <v>2845</v>
      </c>
    </row>
    <row r="894" spans="1:3" x14ac:dyDescent="0.25">
      <c r="A894" t="s">
        <v>2846</v>
      </c>
      <c r="B894" t="s">
        <v>2847</v>
      </c>
      <c r="C894" t="s">
        <v>2848</v>
      </c>
    </row>
    <row r="895" spans="1:3" x14ac:dyDescent="0.25">
      <c r="A895" t="s">
        <v>2849</v>
      </c>
      <c r="B895" t="s">
        <v>2850</v>
      </c>
      <c r="C895" t="s">
        <v>2851</v>
      </c>
    </row>
    <row r="896" spans="1:3" x14ac:dyDescent="0.25">
      <c r="A896" t="s">
        <v>2852</v>
      </c>
      <c r="B896" t="s">
        <v>2853</v>
      </c>
      <c r="C896" t="s">
        <v>2854</v>
      </c>
    </row>
    <row r="897" spans="1:3" x14ac:dyDescent="0.25">
      <c r="A897" t="s">
        <v>2855</v>
      </c>
      <c r="B897" t="s">
        <v>2856</v>
      </c>
      <c r="C897" t="s">
        <v>2857</v>
      </c>
    </row>
    <row r="898" spans="1:3" x14ac:dyDescent="0.25">
      <c r="A898" t="s">
        <v>2858</v>
      </c>
      <c r="B898" t="s">
        <v>2859</v>
      </c>
      <c r="C898" t="s">
        <v>2860</v>
      </c>
    </row>
    <row r="899" spans="1:3" x14ac:dyDescent="0.25">
      <c r="A899" t="s">
        <v>2861</v>
      </c>
      <c r="B899" t="s">
        <v>2862</v>
      </c>
      <c r="C899" t="s">
        <v>2863</v>
      </c>
    </row>
    <row r="900" spans="1:3" x14ac:dyDescent="0.25">
      <c r="A900" t="s">
        <v>2864</v>
      </c>
      <c r="B900" t="s">
        <v>2865</v>
      </c>
      <c r="C900" t="s">
        <v>2866</v>
      </c>
    </row>
    <row r="901" spans="1:3" x14ac:dyDescent="0.25">
      <c r="A901" t="s">
        <v>2867</v>
      </c>
      <c r="B901" t="s">
        <v>2868</v>
      </c>
      <c r="C901" t="s">
        <v>2869</v>
      </c>
    </row>
    <row r="902" spans="1:3" x14ac:dyDescent="0.25">
      <c r="A902" t="s">
        <v>2870</v>
      </c>
      <c r="B902" t="s">
        <v>2871</v>
      </c>
      <c r="C902" t="s">
        <v>2872</v>
      </c>
    </row>
    <row r="903" spans="1:3" x14ac:dyDescent="0.25">
      <c r="A903" t="s">
        <v>2873</v>
      </c>
      <c r="B903" t="s">
        <v>2874</v>
      </c>
      <c r="C903" t="s">
        <v>2875</v>
      </c>
    </row>
    <row r="904" spans="1:3" x14ac:dyDescent="0.25">
      <c r="A904" t="s">
        <v>2876</v>
      </c>
      <c r="B904" t="s">
        <v>2877</v>
      </c>
      <c r="C904" t="s">
        <v>2878</v>
      </c>
    </row>
    <row r="905" spans="1:3" x14ac:dyDescent="0.25">
      <c r="A905" t="s">
        <v>2879</v>
      </c>
      <c r="B905" t="s">
        <v>2880</v>
      </c>
      <c r="C905" t="s">
        <v>2881</v>
      </c>
    </row>
    <row r="906" spans="1:3" x14ac:dyDescent="0.25">
      <c r="A906" t="s">
        <v>2882</v>
      </c>
      <c r="B906" t="s">
        <v>2883</v>
      </c>
      <c r="C906" t="s">
        <v>2884</v>
      </c>
    </row>
    <row r="907" spans="1:3" x14ac:dyDescent="0.25">
      <c r="A907" t="s">
        <v>2885</v>
      </c>
      <c r="B907" t="s">
        <v>2886</v>
      </c>
      <c r="C907" t="s">
        <v>2887</v>
      </c>
    </row>
    <row r="908" spans="1:3" x14ac:dyDescent="0.25">
      <c r="A908" t="s">
        <v>2888</v>
      </c>
      <c r="B908" t="s">
        <v>2889</v>
      </c>
      <c r="C908" t="s">
        <v>2890</v>
      </c>
    </row>
    <row r="909" spans="1:3" x14ac:dyDescent="0.25">
      <c r="A909" t="s">
        <v>2891</v>
      </c>
      <c r="B909" t="s">
        <v>2892</v>
      </c>
      <c r="C909" t="s">
        <v>2893</v>
      </c>
    </row>
    <row r="910" spans="1:3" x14ac:dyDescent="0.25">
      <c r="A910" t="s">
        <v>2894</v>
      </c>
      <c r="B910" t="s">
        <v>2895</v>
      </c>
      <c r="C910" t="s">
        <v>2896</v>
      </c>
    </row>
    <row r="911" spans="1:3" x14ac:dyDescent="0.25">
      <c r="A911" t="s">
        <v>2897</v>
      </c>
      <c r="B911" t="s">
        <v>2898</v>
      </c>
      <c r="C911" t="s">
        <v>2899</v>
      </c>
    </row>
    <row r="912" spans="1:3" x14ac:dyDescent="0.25">
      <c r="A912" t="s">
        <v>2900</v>
      </c>
      <c r="B912" t="s">
        <v>2901</v>
      </c>
      <c r="C912" t="s">
        <v>2902</v>
      </c>
    </row>
    <row r="913" spans="1:3" x14ac:dyDescent="0.25">
      <c r="A913" t="s">
        <v>2903</v>
      </c>
      <c r="B913" t="s">
        <v>2904</v>
      </c>
      <c r="C913" t="s">
        <v>2905</v>
      </c>
    </row>
    <row r="914" spans="1:3" x14ac:dyDescent="0.25">
      <c r="A914" t="s">
        <v>2906</v>
      </c>
      <c r="B914" t="s">
        <v>2907</v>
      </c>
      <c r="C914" t="s">
        <v>2908</v>
      </c>
    </row>
    <row r="915" spans="1:3" x14ac:dyDescent="0.25">
      <c r="A915" t="s">
        <v>2909</v>
      </c>
      <c r="B915" t="s">
        <v>2910</v>
      </c>
      <c r="C915" t="s">
        <v>2911</v>
      </c>
    </row>
    <row r="916" spans="1:3" x14ac:dyDescent="0.25">
      <c r="A916" t="s">
        <v>2912</v>
      </c>
      <c r="B916" t="s">
        <v>2913</v>
      </c>
      <c r="C916" t="s">
        <v>2914</v>
      </c>
    </row>
    <row r="917" spans="1:3" x14ac:dyDescent="0.25">
      <c r="A917" t="s">
        <v>2915</v>
      </c>
      <c r="B917" t="s">
        <v>2916</v>
      </c>
      <c r="C917" t="s">
        <v>2917</v>
      </c>
    </row>
    <row r="918" spans="1:3" x14ac:dyDescent="0.25">
      <c r="A918" t="s">
        <v>2918</v>
      </c>
      <c r="B918" t="s">
        <v>2919</v>
      </c>
      <c r="C918" t="s">
        <v>2920</v>
      </c>
    </row>
    <row r="919" spans="1:3" x14ac:dyDescent="0.25">
      <c r="A919" t="s">
        <v>2921</v>
      </c>
      <c r="B919" t="s">
        <v>2922</v>
      </c>
      <c r="C919" t="s">
        <v>2923</v>
      </c>
    </row>
    <row r="920" spans="1:3" x14ac:dyDescent="0.25">
      <c r="A920" t="s">
        <v>2924</v>
      </c>
      <c r="B920" t="s">
        <v>2925</v>
      </c>
      <c r="C920" t="s">
        <v>2926</v>
      </c>
    </row>
    <row r="921" spans="1:3" x14ac:dyDescent="0.25">
      <c r="A921" t="s">
        <v>2927</v>
      </c>
      <c r="B921" t="s">
        <v>2928</v>
      </c>
      <c r="C921" t="s">
        <v>2929</v>
      </c>
    </row>
    <row r="922" spans="1:3" x14ac:dyDescent="0.25">
      <c r="A922" t="s">
        <v>2930</v>
      </c>
      <c r="B922" t="s">
        <v>2931</v>
      </c>
      <c r="C922" t="s">
        <v>2932</v>
      </c>
    </row>
    <row r="923" spans="1:3" x14ac:dyDescent="0.25">
      <c r="A923" t="s">
        <v>2933</v>
      </c>
      <c r="B923" t="s">
        <v>2934</v>
      </c>
      <c r="C923" t="s">
        <v>2935</v>
      </c>
    </row>
    <row r="924" spans="1:3" x14ac:dyDescent="0.25">
      <c r="A924" t="s">
        <v>2936</v>
      </c>
      <c r="B924" t="s">
        <v>2937</v>
      </c>
      <c r="C924" t="s">
        <v>2938</v>
      </c>
    </row>
    <row r="925" spans="1:3" x14ac:dyDescent="0.25">
      <c r="A925" t="s">
        <v>2939</v>
      </c>
      <c r="B925" t="s">
        <v>2940</v>
      </c>
      <c r="C925" t="s">
        <v>2941</v>
      </c>
    </row>
    <row r="926" spans="1:3" x14ac:dyDescent="0.25">
      <c r="A926" t="s">
        <v>2942</v>
      </c>
      <c r="B926" t="s">
        <v>2943</v>
      </c>
      <c r="C926" t="s">
        <v>2944</v>
      </c>
    </row>
    <row r="927" spans="1:3" x14ac:dyDescent="0.25">
      <c r="A927" t="s">
        <v>2945</v>
      </c>
      <c r="B927" t="s">
        <v>2946</v>
      </c>
      <c r="C927" t="s">
        <v>2947</v>
      </c>
    </row>
    <row r="928" spans="1:3" x14ac:dyDescent="0.25">
      <c r="A928" t="s">
        <v>2948</v>
      </c>
      <c r="B928" t="s">
        <v>2949</v>
      </c>
      <c r="C928" t="s">
        <v>2950</v>
      </c>
    </row>
    <row r="929" spans="1:3" x14ac:dyDescent="0.25">
      <c r="A929" t="s">
        <v>2951</v>
      </c>
      <c r="B929" t="s">
        <v>2952</v>
      </c>
      <c r="C929" t="s">
        <v>2953</v>
      </c>
    </row>
    <row r="930" spans="1:3" x14ac:dyDescent="0.25">
      <c r="A930" t="s">
        <v>2954</v>
      </c>
      <c r="B930" t="s">
        <v>2955</v>
      </c>
      <c r="C930" t="s">
        <v>2956</v>
      </c>
    </row>
    <row r="931" spans="1:3" x14ac:dyDescent="0.25">
      <c r="A931" t="s">
        <v>2957</v>
      </c>
      <c r="B931" t="s">
        <v>2958</v>
      </c>
      <c r="C931" t="s">
        <v>2959</v>
      </c>
    </row>
    <row r="932" spans="1:3" x14ac:dyDescent="0.25">
      <c r="A932" t="s">
        <v>2960</v>
      </c>
      <c r="B932" t="s">
        <v>2961</v>
      </c>
      <c r="C932" t="s">
        <v>2962</v>
      </c>
    </row>
    <row r="933" spans="1:3" x14ac:dyDescent="0.25">
      <c r="A933" t="s">
        <v>2963</v>
      </c>
      <c r="B933" t="s">
        <v>2964</v>
      </c>
      <c r="C933" t="s">
        <v>2965</v>
      </c>
    </row>
    <row r="934" spans="1:3" x14ac:dyDescent="0.25">
      <c r="A934" t="s">
        <v>2966</v>
      </c>
      <c r="B934" t="s">
        <v>2967</v>
      </c>
      <c r="C934" t="s">
        <v>2968</v>
      </c>
    </row>
    <row r="935" spans="1:3" x14ac:dyDescent="0.25">
      <c r="A935" t="s">
        <v>2969</v>
      </c>
      <c r="B935" t="s">
        <v>2970</v>
      </c>
      <c r="C935" t="s">
        <v>2971</v>
      </c>
    </row>
    <row r="936" spans="1:3" x14ac:dyDescent="0.25">
      <c r="A936" t="s">
        <v>2972</v>
      </c>
      <c r="B936" t="s">
        <v>2973</v>
      </c>
      <c r="C936" t="s">
        <v>2974</v>
      </c>
    </row>
    <row r="937" spans="1:3" x14ac:dyDescent="0.25">
      <c r="A937" t="s">
        <v>2975</v>
      </c>
      <c r="B937" t="s">
        <v>2976</v>
      </c>
      <c r="C937" t="s">
        <v>2977</v>
      </c>
    </row>
    <row r="938" spans="1:3" x14ac:dyDescent="0.25">
      <c r="A938" t="s">
        <v>2978</v>
      </c>
      <c r="B938" t="s">
        <v>2979</v>
      </c>
      <c r="C938" t="s">
        <v>2980</v>
      </c>
    </row>
    <row r="939" spans="1:3" x14ac:dyDescent="0.25">
      <c r="A939" t="s">
        <v>2981</v>
      </c>
      <c r="B939" t="s">
        <v>2982</v>
      </c>
      <c r="C939" t="s">
        <v>2983</v>
      </c>
    </row>
    <row r="940" spans="1:3" x14ac:dyDescent="0.25">
      <c r="A940" t="s">
        <v>2984</v>
      </c>
      <c r="B940" t="s">
        <v>2985</v>
      </c>
      <c r="C940" t="s">
        <v>2986</v>
      </c>
    </row>
    <row r="941" spans="1:3" x14ac:dyDescent="0.25">
      <c r="A941" t="s">
        <v>2987</v>
      </c>
      <c r="B941" t="s">
        <v>2988</v>
      </c>
      <c r="C941" t="s">
        <v>2989</v>
      </c>
    </row>
    <row r="942" spans="1:3" x14ac:dyDescent="0.25">
      <c r="A942" t="s">
        <v>2990</v>
      </c>
      <c r="B942" t="s">
        <v>2991</v>
      </c>
      <c r="C942" t="s">
        <v>2992</v>
      </c>
    </row>
    <row r="943" spans="1:3" x14ac:dyDescent="0.25">
      <c r="A943" t="s">
        <v>2993</v>
      </c>
      <c r="B943" t="s">
        <v>2994</v>
      </c>
      <c r="C943" t="s">
        <v>2995</v>
      </c>
    </row>
    <row r="944" spans="1:3" x14ac:dyDescent="0.25">
      <c r="A944" t="s">
        <v>2996</v>
      </c>
      <c r="B944" t="s">
        <v>2997</v>
      </c>
      <c r="C944" t="s">
        <v>2998</v>
      </c>
    </row>
    <row r="945" spans="1:3" x14ac:dyDescent="0.25">
      <c r="A945" t="s">
        <v>2999</v>
      </c>
      <c r="B945" t="s">
        <v>3000</v>
      </c>
      <c r="C945" t="s">
        <v>3001</v>
      </c>
    </row>
    <row r="946" spans="1:3" x14ac:dyDescent="0.25">
      <c r="A946" t="s">
        <v>3002</v>
      </c>
      <c r="B946" t="s">
        <v>3003</v>
      </c>
      <c r="C946" t="s">
        <v>3004</v>
      </c>
    </row>
    <row r="947" spans="1:3" x14ac:dyDescent="0.25">
      <c r="A947" t="s">
        <v>3005</v>
      </c>
      <c r="B947" t="s">
        <v>3006</v>
      </c>
      <c r="C947" t="s">
        <v>3007</v>
      </c>
    </row>
    <row r="948" spans="1:3" x14ac:dyDescent="0.25">
      <c r="A948" t="s">
        <v>3008</v>
      </c>
      <c r="B948" t="s">
        <v>3009</v>
      </c>
      <c r="C948" t="s">
        <v>3010</v>
      </c>
    </row>
    <row r="949" spans="1:3" x14ac:dyDescent="0.25">
      <c r="A949" t="s">
        <v>3011</v>
      </c>
      <c r="B949" t="s">
        <v>3012</v>
      </c>
      <c r="C949" t="s">
        <v>3013</v>
      </c>
    </row>
    <row r="950" spans="1:3" x14ac:dyDescent="0.25">
      <c r="A950" t="s">
        <v>3014</v>
      </c>
      <c r="B950" t="s">
        <v>3015</v>
      </c>
      <c r="C950" t="s">
        <v>3016</v>
      </c>
    </row>
    <row r="951" spans="1:3" x14ac:dyDescent="0.25">
      <c r="A951" t="s">
        <v>3017</v>
      </c>
      <c r="B951" t="s">
        <v>3018</v>
      </c>
      <c r="C951" t="s">
        <v>3019</v>
      </c>
    </row>
    <row r="952" spans="1:3" x14ac:dyDescent="0.25">
      <c r="A952" t="s">
        <v>3020</v>
      </c>
      <c r="B952" t="s">
        <v>3021</v>
      </c>
      <c r="C952" t="s">
        <v>3022</v>
      </c>
    </row>
    <row r="953" spans="1:3" x14ac:dyDescent="0.25">
      <c r="A953" t="s">
        <v>3023</v>
      </c>
      <c r="B953" t="s">
        <v>3024</v>
      </c>
      <c r="C953" t="s">
        <v>3025</v>
      </c>
    </row>
    <row r="954" spans="1:3" x14ac:dyDescent="0.25">
      <c r="A954" t="s">
        <v>3026</v>
      </c>
      <c r="B954" t="s">
        <v>3027</v>
      </c>
      <c r="C954" t="s">
        <v>3028</v>
      </c>
    </row>
    <row r="955" spans="1:3" x14ac:dyDescent="0.25">
      <c r="A955" t="s">
        <v>3029</v>
      </c>
      <c r="B955" t="s">
        <v>3030</v>
      </c>
      <c r="C955" t="s">
        <v>3031</v>
      </c>
    </row>
    <row r="956" spans="1:3" x14ac:dyDescent="0.25">
      <c r="A956" t="s">
        <v>3032</v>
      </c>
      <c r="B956" t="s">
        <v>3033</v>
      </c>
      <c r="C956" t="s">
        <v>3034</v>
      </c>
    </row>
    <row r="957" spans="1:3" x14ac:dyDescent="0.25">
      <c r="A957" t="s">
        <v>3035</v>
      </c>
      <c r="B957" t="s">
        <v>3036</v>
      </c>
      <c r="C957" t="s">
        <v>3037</v>
      </c>
    </row>
    <row r="958" spans="1:3" x14ac:dyDescent="0.25">
      <c r="A958" t="s">
        <v>3038</v>
      </c>
      <c r="B958" t="s">
        <v>3039</v>
      </c>
      <c r="C958" t="s">
        <v>3040</v>
      </c>
    </row>
    <row r="959" spans="1:3" x14ac:dyDescent="0.25">
      <c r="A959" t="s">
        <v>3041</v>
      </c>
      <c r="B959" t="s">
        <v>3042</v>
      </c>
      <c r="C959" t="s">
        <v>3043</v>
      </c>
    </row>
    <row r="960" spans="1:3" x14ac:dyDescent="0.25">
      <c r="A960" t="s">
        <v>3044</v>
      </c>
      <c r="B960" t="s">
        <v>3045</v>
      </c>
      <c r="C960" t="s">
        <v>3046</v>
      </c>
    </row>
    <row r="961" spans="1:3" x14ac:dyDescent="0.25">
      <c r="A961" t="s">
        <v>3047</v>
      </c>
      <c r="B961" t="s">
        <v>3048</v>
      </c>
      <c r="C961" t="s">
        <v>3049</v>
      </c>
    </row>
    <row r="962" spans="1:3" x14ac:dyDescent="0.25">
      <c r="A962" t="s">
        <v>3050</v>
      </c>
      <c r="B962" t="s">
        <v>3051</v>
      </c>
      <c r="C962" t="s">
        <v>3052</v>
      </c>
    </row>
    <row r="963" spans="1:3" x14ac:dyDescent="0.25">
      <c r="A963" t="s">
        <v>3053</v>
      </c>
      <c r="B963" t="s">
        <v>3054</v>
      </c>
      <c r="C963" t="s">
        <v>3055</v>
      </c>
    </row>
    <row r="964" spans="1:3" x14ac:dyDescent="0.25">
      <c r="A964" t="s">
        <v>3056</v>
      </c>
      <c r="B964" t="s">
        <v>3057</v>
      </c>
      <c r="C964" t="s">
        <v>3058</v>
      </c>
    </row>
    <row r="965" spans="1:3" x14ac:dyDescent="0.25">
      <c r="A965" t="s">
        <v>3059</v>
      </c>
      <c r="B965" t="s">
        <v>3060</v>
      </c>
      <c r="C965" t="s">
        <v>3061</v>
      </c>
    </row>
    <row r="966" spans="1:3" x14ac:dyDescent="0.25">
      <c r="A966" t="s">
        <v>3062</v>
      </c>
      <c r="B966" t="s">
        <v>3063</v>
      </c>
      <c r="C966" t="s">
        <v>3064</v>
      </c>
    </row>
    <row r="967" spans="1:3" x14ac:dyDescent="0.25">
      <c r="A967" t="s">
        <v>3065</v>
      </c>
      <c r="B967" t="s">
        <v>3066</v>
      </c>
      <c r="C967" t="s">
        <v>3067</v>
      </c>
    </row>
    <row r="968" spans="1:3" x14ac:dyDescent="0.25">
      <c r="A968" t="s">
        <v>3068</v>
      </c>
      <c r="B968" t="s">
        <v>3069</v>
      </c>
      <c r="C968" t="s">
        <v>3070</v>
      </c>
    </row>
    <row r="969" spans="1:3" x14ac:dyDescent="0.25">
      <c r="A969" t="s">
        <v>3071</v>
      </c>
      <c r="B969" t="s">
        <v>3072</v>
      </c>
      <c r="C969" t="s">
        <v>3073</v>
      </c>
    </row>
    <row r="970" spans="1:3" x14ac:dyDescent="0.25">
      <c r="A970" t="s">
        <v>3074</v>
      </c>
      <c r="B970" t="s">
        <v>3075</v>
      </c>
      <c r="C970" t="s">
        <v>3076</v>
      </c>
    </row>
    <row r="971" spans="1:3" x14ac:dyDescent="0.25">
      <c r="A971" t="s">
        <v>3077</v>
      </c>
      <c r="B971" t="s">
        <v>3078</v>
      </c>
      <c r="C971" t="s">
        <v>3079</v>
      </c>
    </row>
    <row r="972" spans="1:3" x14ac:dyDescent="0.25">
      <c r="A972" t="s">
        <v>3080</v>
      </c>
      <c r="B972" t="s">
        <v>3081</v>
      </c>
      <c r="C972" t="s">
        <v>3082</v>
      </c>
    </row>
    <row r="973" spans="1:3" x14ac:dyDescent="0.25">
      <c r="A973" t="s">
        <v>3083</v>
      </c>
      <c r="B973" t="s">
        <v>3084</v>
      </c>
      <c r="C973" t="s">
        <v>3085</v>
      </c>
    </row>
    <row r="974" spans="1:3" x14ac:dyDescent="0.25">
      <c r="A974" t="s">
        <v>3086</v>
      </c>
      <c r="B974" t="s">
        <v>3087</v>
      </c>
      <c r="C974" t="s">
        <v>3088</v>
      </c>
    </row>
    <row r="975" spans="1:3" x14ac:dyDescent="0.25">
      <c r="A975" t="s">
        <v>3089</v>
      </c>
      <c r="B975" t="s">
        <v>3090</v>
      </c>
      <c r="C975" t="s">
        <v>3091</v>
      </c>
    </row>
    <row r="976" spans="1:3" x14ac:dyDescent="0.25">
      <c r="A976" t="s">
        <v>3092</v>
      </c>
      <c r="B976" t="s">
        <v>3093</v>
      </c>
      <c r="C976" t="s">
        <v>3094</v>
      </c>
    </row>
    <row r="977" spans="1:3" x14ac:dyDescent="0.25">
      <c r="A977" t="s">
        <v>3095</v>
      </c>
      <c r="B977" t="s">
        <v>3096</v>
      </c>
      <c r="C977" t="s">
        <v>3097</v>
      </c>
    </row>
    <row r="978" spans="1:3" x14ac:dyDescent="0.25">
      <c r="A978" t="s">
        <v>3098</v>
      </c>
      <c r="B978" t="s">
        <v>3099</v>
      </c>
      <c r="C978" t="s">
        <v>3100</v>
      </c>
    </row>
    <row r="979" spans="1:3" x14ac:dyDescent="0.25">
      <c r="A979" t="s">
        <v>3101</v>
      </c>
      <c r="B979" t="s">
        <v>3102</v>
      </c>
      <c r="C979" t="s">
        <v>3103</v>
      </c>
    </row>
    <row r="980" spans="1:3" x14ac:dyDescent="0.25">
      <c r="A980" t="s">
        <v>3104</v>
      </c>
      <c r="B980" t="s">
        <v>3105</v>
      </c>
      <c r="C980" t="s">
        <v>3106</v>
      </c>
    </row>
    <row r="981" spans="1:3" x14ac:dyDescent="0.25">
      <c r="A981" t="s">
        <v>3107</v>
      </c>
      <c r="B981" t="s">
        <v>3108</v>
      </c>
      <c r="C981" t="s">
        <v>3109</v>
      </c>
    </row>
    <row r="982" spans="1:3" x14ac:dyDescent="0.25">
      <c r="A982" t="s">
        <v>3110</v>
      </c>
      <c r="B982" t="s">
        <v>3111</v>
      </c>
      <c r="C982" t="s">
        <v>3112</v>
      </c>
    </row>
    <row r="983" spans="1:3" x14ac:dyDescent="0.25">
      <c r="A983" t="s">
        <v>3113</v>
      </c>
      <c r="B983" t="s">
        <v>3114</v>
      </c>
      <c r="C983" t="s">
        <v>3115</v>
      </c>
    </row>
    <row r="984" spans="1:3" x14ac:dyDescent="0.25">
      <c r="A984" t="s">
        <v>3116</v>
      </c>
      <c r="B984" t="s">
        <v>3117</v>
      </c>
      <c r="C984" t="s">
        <v>3118</v>
      </c>
    </row>
    <row r="985" spans="1:3" x14ac:dyDescent="0.25">
      <c r="A985" t="s">
        <v>3119</v>
      </c>
      <c r="B985" t="s">
        <v>3120</v>
      </c>
      <c r="C985" t="s">
        <v>3121</v>
      </c>
    </row>
    <row r="986" spans="1:3" x14ac:dyDescent="0.25">
      <c r="A986" t="s">
        <v>3122</v>
      </c>
      <c r="B986" t="s">
        <v>3123</v>
      </c>
      <c r="C986" t="s">
        <v>3124</v>
      </c>
    </row>
    <row r="987" spans="1:3" x14ac:dyDescent="0.25">
      <c r="A987" t="s">
        <v>3125</v>
      </c>
      <c r="B987" t="s">
        <v>3126</v>
      </c>
      <c r="C987" t="s">
        <v>3127</v>
      </c>
    </row>
    <row r="988" spans="1:3" x14ac:dyDescent="0.25">
      <c r="A988" t="s">
        <v>3128</v>
      </c>
      <c r="B988" t="s">
        <v>3129</v>
      </c>
      <c r="C988" t="s">
        <v>3130</v>
      </c>
    </row>
    <row r="989" spans="1:3" x14ac:dyDescent="0.25">
      <c r="A989" t="s">
        <v>3131</v>
      </c>
      <c r="B989" t="s">
        <v>3132</v>
      </c>
      <c r="C989" t="s">
        <v>3133</v>
      </c>
    </row>
    <row r="990" spans="1:3" x14ac:dyDescent="0.25">
      <c r="A990" t="s">
        <v>3134</v>
      </c>
      <c r="B990" t="s">
        <v>3135</v>
      </c>
      <c r="C990" t="s">
        <v>3136</v>
      </c>
    </row>
    <row r="991" spans="1:3" x14ac:dyDescent="0.25">
      <c r="A991" t="s">
        <v>3137</v>
      </c>
      <c r="B991" t="s">
        <v>3138</v>
      </c>
      <c r="C991" t="s">
        <v>3139</v>
      </c>
    </row>
    <row r="992" spans="1:3" x14ac:dyDescent="0.25">
      <c r="A992" t="s">
        <v>3140</v>
      </c>
      <c r="B992" t="s">
        <v>3141</v>
      </c>
      <c r="C992" t="s">
        <v>3142</v>
      </c>
    </row>
    <row r="993" spans="1:3" x14ac:dyDescent="0.25">
      <c r="A993" t="s">
        <v>3143</v>
      </c>
      <c r="B993" t="s">
        <v>3144</v>
      </c>
      <c r="C993" t="s">
        <v>3145</v>
      </c>
    </row>
    <row r="994" spans="1:3" x14ac:dyDescent="0.25">
      <c r="A994" t="s">
        <v>3146</v>
      </c>
      <c r="B994" t="s">
        <v>3147</v>
      </c>
      <c r="C994" t="s">
        <v>3148</v>
      </c>
    </row>
    <row r="995" spans="1:3" x14ac:dyDescent="0.25">
      <c r="A995" t="s">
        <v>3149</v>
      </c>
      <c r="B995" t="s">
        <v>3150</v>
      </c>
      <c r="C995" t="s">
        <v>3151</v>
      </c>
    </row>
    <row r="996" spans="1:3" x14ac:dyDescent="0.25">
      <c r="A996" t="s">
        <v>3152</v>
      </c>
      <c r="B996" t="s">
        <v>3153</v>
      </c>
      <c r="C996" t="s">
        <v>3154</v>
      </c>
    </row>
    <row r="997" spans="1:3" x14ac:dyDescent="0.25">
      <c r="A997" t="s">
        <v>3155</v>
      </c>
      <c r="B997" t="s">
        <v>3156</v>
      </c>
      <c r="C997" t="s">
        <v>3157</v>
      </c>
    </row>
    <row r="998" spans="1:3" x14ac:dyDescent="0.25">
      <c r="A998" t="s">
        <v>3158</v>
      </c>
      <c r="B998" t="s">
        <v>3159</v>
      </c>
      <c r="C998" t="s">
        <v>3160</v>
      </c>
    </row>
    <row r="999" spans="1:3" x14ac:dyDescent="0.25">
      <c r="A999" t="s">
        <v>3161</v>
      </c>
      <c r="B999" t="s">
        <v>3162</v>
      </c>
      <c r="C999" t="s">
        <v>3163</v>
      </c>
    </row>
    <row r="1000" spans="1:3" x14ac:dyDescent="0.25">
      <c r="A1000" t="s">
        <v>3164</v>
      </c>
      <c r="B1000" t="s">
        <v>3165</v>
      </c>
      <c r="C1000" t="s">
        <v>3166</v>
      </c>
    </row>
    <row r="1001" spans="1:3" x14ac:dyDescent="0.25">
      <c r="A1001" t="s">
        <v>3167</v>
      </c>
      <c r="B1001" t="s">
        <v>3168</v>
      </c>
      <c r="C1001" t="s">
        <v>3169</v>
      </c>
    </row>
    <row r="1002" spans="1:3" x14ac:dyDescent="0.25">
      <c r="A1002" t="s">
        <v>3170</v>
      </c>
      <c r="B1002" t="s">
        <v>3171</v>
      </c>
      <c r="C1002" t="s">
        <v>3172</v>
      </c>
    </row>
    <row r="1003" spans="1:3" x14ac:dyDescent="0.25">
      <c r="A1003" t="s">
        <v>3173</v>
      </c>
      <c r="B1003" t="s">
        <v>3174</v>
      </c>
      <c r="C1003" t="s">
        <v>3175</v>
      </c>
    </row>
    <row r="1004" spans="1:3" x14ac:dyDescent="0.25">
      <c r="A1004" t="s">
        <v>3176</v>
      </c>
      <c r="B1004" t="s">
        <v>3177</v>
      </c>
      <c r="C1004" t="s">
        <v>3178</v>
      </c>
    </row>
    <row r="1005" spans="1:3" x14ac:dyDescent="0.25">
      <c r="A1005" t="s">
        <v>3179</v>
      </c>
      <c r="B1005" t="s">
        <v>3180</v>
      </c>
      <c r="C1005" t="s">
        <v>3181</v>
      </c>
    </row>
    <row r="1006" spans="1:3" x14ac:dyDescent="0.25">
      <c r="A1006" t="s">
        <v>3182</v>
      </c>
      <c r="B1006" t="s">
        <v>3183</v>
      </c>
      <c r="C1006" t="s">
        <v>3184</v>
      </c>
    </row>
    <row r="1007" spans="1:3" x14ac:dyDescent="0.25">
      <c r="A1007" t="s">
        <v>3185</v>
      </c>
      <c r="B1007" t="s">
        <v>3186</v>
      </c>
      <c r="C1007" t="s">
        <v>3187</v>
      </c>
    </row>
    <row r="1008" spans="1:3" x14ac:dyDescent="0.25">
      <c r="A1008" t="s">
        <v>3188</v>
      </c>
      <c r="B1008" t="s">
        <v>3189</v>
      </c>
      <c r="C1008" t="s">
        <v>3190</v>
      </c>
    </row>
    <row r="1009" spans="1:3" x14ac:dyDescent="0.25">
      <c r="A1009" t="s">
        <v>3191</v>
      </c>
      <c r="B1009" t="s">
        <v>3192</v>
      </c>
      <c r="C1009" t="s">
        <v>3193</v>
      </c>
    </row>
    <row r="1010" spans="1:3" x14ac:dyDescent="0.25">
      <c r="A1010" t="s">
        <v>3194</v>
      </c>
      <c r="B1010" t="s">
        <v>3195</v>
      </c>
      <c r="C1010" t="s">
        <v>3196</v>
      </c>
    </row>
    <row r="1011" spans="1:3" x14ac:dyDescent="0.25">
      <c r="A1011" t="s">
        <v>3197</v>
      </c>
      <c r="B1011" t="s">
        <v>3198</v>
      </c>
      <c r="C1011" t="s">
        <v>3199</v>
      </c>
    </row>
    <row r="1012" spans="1:3" x14ac:dyDescent="0.25">
      <c r="A1012" t="s">
        <v>3200</v>
      </c>
      <c r="B1012" t="s">
        <v>3201</v>
      </c>
      <c r="C1012" t="s">
        <v>3202</v>
      </c>
    </row>
    <row r="1013" spans="1:3" x14ac:dyDescent="0.25">
      <c r="A1013" t="s">
        <v>3203</v>
      </c>
      <c r="B1013" t="s">
        <v>3204</v>
      </c>
      <c r="C1013" t="s">
        <v>3205</v>
      </c>
    </row>
    <row r="1014" spans="1:3" x14ac:dyDescent="0.25">
      <c r="A1014" t="s">
        <v>3206</v>
      </c>
      <c r="B1014" t="s">
        <v>3207</v>
      </c>
      <c r="C1014" t="s">
        <v>3208</v>
      </c>
    </row>
    <row r="1015" spans="1:3" x14ac:dyDescent="0.25">
      <c r="A1015" t="s">
        <v>3209</v>
      </c>
      <c r="B1015" t="s">
        <v>3210</v>
      </c>
      <c r="C1015" t="s">
        <v>3211</v>
      </c>
    </row>
    <row r="1016" spans="1:3" x14ac:dyDescent="0.25">
      <c r="A1016" t="s">
        <v>3212</v>
      </c>
      <c r="B1016" t="s">
        <v>3213</v>
      </c>
      <c r="C1016" t="s">
        <v>3214</v>
      </c>
    </row>
    <row r="1017" spans="1:3" x14ac:dyDescent="0.25">
      <c r="A1017" t="s">
        <v>3215</v>
      </c>
      <c r="B1017" t="s">
        <v>3216</v>
      </c>
      <c r="C1017" t="s">
        <v>3217</v>
      </c>
    </row>
    <row r="1018" spans="1:3" x14ac:dyDescent="0.25">
      <c r="A1018" t="s">
        <v>3218</v>
      </c>
      <c r="B1018" t="s">
        <v>3219</v>
      </c>
      <c r="C1018" t="s">
        <v>3220</v>
      </c>
    </row>
    <row r="1019" spans="1:3" x14ac:dyDescent="0.25">
      <c r="A1019" t="s">
        <v>3221</v>
      </c>
      <c r="B1019" t="s">
        <v>3222</v>
      </c>
      <c r="C1019" t="s">
        <v>3223</v>
      </c>
    </row>
    <row r="1020" spans="1:3" x14ac:dyDescent="0.25">
      <c r="A1020" t="s">
        <v>3224</v>
      </c>
      <c r="B1020" t="s">
        <v>3225</v>
      </c>
      <c r="C1020" t="s">
        <v>3226</v>
      </c>
    </row>
    <row r="1021" spans="1:3" x14ac:dyDescent="0.25">
      <c r="A1021" t="s">
        <v>3227</v>
      </c>
      <c r="B1021" t="s">
        <v>3228</v>
      </c>
      <c r="C1021" t="s">
        <v>3229</v>
      </c>
    </row>
    <row r="1022" spans="1:3" x14ac:dyDescent="0.25">
      <c r="A1022" t="s">
        <v>3230</v>
      </c>
      <c r="B1022" t="s">
        <v>3231</v>
      </c>
      <c r="C1022" t="s">
        <v>3232</v>
      </c>
    </row>
    <row r="1023" spans="1:3" x14ac:dyDescent="0.25">
      <c r="A1023" t="s">
        <v>3233</v>
      </c>
      <c r="B1023" t="s">
        <v>3234</v>
      </c>
      <c r="C1023" t="s">
        <v>3235</v>
      </c>
    </row>
    <row r="1024" spans="1:3" x14ac:dyDescent="0.25">
      <c r="A1024" t="s">
        <v>3236</v>
      </c>
      <c r="B1024" t="s">
        <v>3237</v>
      </c>
      <c r="C1024" t="s">
        <v>3238</v>
      </c>
    </row>
    <row r="1025" spans="1:3" x14ac:dyDescent="0.25">
      <c r="A1025" t="s">
        <v>3239</v>
      </c>
      <c r="B1025" t="s">
        <v>3240</v>
      </c>
      <c r="C1025" t="s">
        <v>3241</v>
      </c>
    </row>
    <row r="1026" spans="1:3" x14ac:dyDescent="0.25">
      <c r="A1026" t="s">
        <v>3242</v>
      </c>
      <c r="B1026" t="s">
        <v>3243</v>
      </c>
      <c r="C1026" t="s">
        <v>3244</v>
      </c>
    </row>
    <row r="1027" spans="1:3" x14ac:dyDescent="0.25">
      <c r="A1027" t="s">
        <v>3245</v>
      </c>
      <c r="B1027" t="s">
        <v>3246</v>
      </c>
      <c r="C1027" t="s">
        <v>3247</v>
      </c>
    </row>
    <row r="1028" spans="1:3" x14ac:dyDescent="0.25">
      <c r="A1028" t="s">
        <v>3248</v>
      </c>
      <c r="B1028" t="s">
        <v>3249</v>
      </c>
      <c r="C1028" t="s">
        <v>3250</v>
      </c>
    </row>
    <row r="1029" spans="1:3" x14ac:dyDescent="0.25">
      <c r="A1029" t="s">
        <v>3251</v>
      </c>
      <c r="B1029" t="s">
        <v>3252</v>
      </c>
      <c r="C1029" t="s">
        <v>3253</v>
      </c>
    </row>
    <row r="1030" spans="1:3" x14ac:dyDescent="0.25">
      <c r="A1030" t="s">
        <v>3254</v>
      </c>
      <c r="B1030" t="s">
        <v>3255</v>
      </c>
      <c r="C1030" t="s">
        <v>3256</v>
      </c>
    </row>
    <row r="1031" spans="1:3" x14ac:dyDescent="0.25">
      <c r="A1031" t="s">
        <v>3257</v>
      </c>
      <c r="B1031" t="s">
        <v>3258</v>
      </c>
      <c r="C1031" t="s">
        <v>3259</v>
      </c>
    </row>
    <row r="1032" spans="1:3" x14ac:dyDescent="0.25">
      <c r="A1032" t="s">
        <v>3260</v>
      </c>
      <c r="B1032" t="s">
        <v>3261</v>
      </c>
      <c r="C1032" t="s">
        <v>3262</v>
      </c>
    </row>
    <row r="1033" spans="1:3" x14ac:dyDescent="0.25">
      <c r="A1033" t="s">
        <v>3263</v>
      </c>
      <c r="B1033" t="s">
        <v>3264</v>
      </c>
      <c r="C1033" t="s">
        <v>3265</v>
      </c>
    </row>
    <row r="1034" spans="1:3" x14ac:dyDescent="0.25">
      <c r="A1034" t="s">
        <v>3266</v>
      </c>
      <c r="B1034" t="s">
        <v>3267</v>
      </c>
      <c r="C1034" t="s">
        <v>3268</v>
      </c>
    </row>
    <row r="1035" spans="1:3" x14ac:dyDescent="0.25">
      <c r="A1035" t="s">
        <v>3269</v>
      </c>
      <c r="B1035" t="s">
        <v>3270</v>
      </c>
      <c r="C1035" t="s">
        <v>3271</v>
      </c>
    </row>
    <row r="1036" spans="1:3" x14ac:dyDescent="0.25">
      <c r="A1036" t="s">
        <v>3272</v>
      </c>
      <c r="B1036" t="s">
        <v>3273</v>
      </c>
      <c r="C1036" t="s">
        <v>3274</v>
      </c>
    </row>
    <row r="1037" spans="1:3" x14ac:dyDescent="0.25">
      <c r="A1037" t="s">
        <v>3275</v>
      </c>
      <c r="B1037" t="s">
        <v>3276</v>
      </c>
      <c r="C1037" t="s">
        <v>3277</v>
      </c>
    </row>
    <row r="1038" spans="1:3" x14ac:dyDescent="0.25">
      <c r="A1038" t="s">
        <v>3278</v>
      </c>
      <c r="B1038" t="s">
        <v>3279</v>
      </c>
      <c r="C1038" t="s">
        <v>3280</v>
      </c>
    </row>
    <row r="1039" spans="1:3" x14ac:dyDescent="0.25">
      <c r="A1039" t="s">
        <v>3281</v>
      </c>
      <c r="B1039" t="s">
        <v>3282</v>
      </c>
      <c r="C1039" t="s">
        <v>3283</v>
      </c>
    </row>
    <row r="1040" spans="1:3" x14ac:dyDescent="0.25">
      <c r="A1040" t="s">
        <v>3284</v>
      </c>
      <c r="B1040" t="s">
        <v>3285</v>
      </c>
      <c r="C1040" t="s">
        <v>3286</v>
      </c>
    </row>
    <row r="1041" spans="1:3" x14ac:dyDescent="0.25">
      <c r="A1041" t="s">
        <v>3287</v>
      </c>
      <c r="B1041" t="s">
        <v>3288</v>
      </c>
      <c r="C1041" t="s">
        <v>3289</v>
      </c>
    </row>
    <row r="1042" spans="1:3" x14ac:dyDescent="0.25">
      <c r="A1042" t="s">
        <v>3290</v>
      </c>
      <c r="B1042" t="s">
        <v>3291</v>
      </c>
      <c r="C1042" t="s">
        <v>3292</v>
      </c>
    </row>
    <row r="1043" spans="1:3" x14ac:dyDescent="0.25">
      <c r="A1043" t="s">
        <v>3293</v>
      </c>
      <c r="B1043" t="s">
        <v>3294</v>
      </c>
      <c r="C1043" t="s">
        <v>3295</v>
      </c>
    </row>
    <row r="1044" spans="1:3" x14ac:dyDescent="0.25">
      <c r="A1044" t="s">
        <v>3296</v>
      </c>
      <c r="B1044" t="s">
        <v>3297</v>
      </c>
      <c r="C1044" t="s">
        <v>3298</v>
      </c>
    </row>
    <row r="1045" spans="1:3" x14ac:dyDescent="0.25">
      <c r="A1045" t="s">
        <v>3299</v>
      </c>
      <c r="B1045" t="s">
        <v>3300</v>
      </c>
      <c r="C1045" t="s">
        <v>3301</v>
      </c>
    </row>
    <row r="1046" spans="1:3" x14ac:dyDescent="0.25">
      <c r="A1046" t="s">
        <v>3302</v>
      </c>
      <c r="B1046" t="s">
        <v>3303</v>
      </c>
      <c r="C1046" t="s">
        <v>3304</v>
      </c>
    </row>
    <row r="1047" spans="1:3" x14ac:dyDescent="0.25">
      <c r="A1047" t="s">
        <v>3305</v>
      </c>
      <c r="B1047" t="s">
        <v>3306</v>
      </c>
      <c r="C1047" t="s">
        <v>3307</v>
      </c>
    </row>
    <row r="1048" spans="1:3" x14ac:dyDescent="0.25">
      <c r="A1048" t="s">
        <v>3308</v>
      </c>
      <c r="B1048" t="s">
        <v>3309</v>
      </c>
      <c r="C1048" t="s">
        <v>3310</v>
      </c>
    </row>
    <row r="1049" spans="1:3" x14ac:dyDescent="0.25">
      <c r="A1049" t="s">
        <v>3311</v>
      </c>
      <c r="B1049" t="s">
        <v>3312</v>
      </c>
      <c r="C1049" t="s">
        <v>3313</v>
      </c>
    </row>
    <row r="1050" spans="1:3" x14ac:dyDescent="0.25">
      <c r="A1050" t="s">
        <v>3314</v>
      </c>
      <c r="B1050" t="s">
        <v>3315</v>
      </c>
      <c r="C1050" t="s">
        <v>3316</v>
      </c>
    </row>
    <row r="1051" spans="1:3" x14ac:dyDescent="0.25">
      <c r="A1051" t="s">
        <v>3317</v>
      </c>
      <c r="B1051" t="s">
        <v>3318</v>
      </c>
      <c r="C1051" t="s">
        <v>3319</v>
      </c>
    </row>
    <row r="1052" spans="1:3" x14ac:dyDescent="0.25">
      <c r="A1052" t="s">
        <v>3320</v>
      </c>
      <c r="B1052" t="s">
        <v>3321</v>
      </c>
      <c r="C1052" t="s">
        <v>3322</v>
      </c>
    </row>
    <row r="1053" spans="1:3" x14ac:dyDescent="0.25">
      <c r="A1053" t="s">
        <v>3323</v>
      </c>
      <c r="B1053" t="s">
        <v>3324</v>
      </c>
      <c r="C1053" t="s">
        <v>3325</v>
      </c>
    </row>
    <row r="1054" spans="1:3" x14ac:dyDescent="0.25">
      <c r="A1054" t="s">
        <v>3326</v>
      </c>
      <c r="B1054" t="s">
        <v>3327</v>
      </c>
      <c r="C1054" t="s">
        <v>3328</v>
      </c>
    </row>
    <row r="1055" spans="1:3" x14ac:dyDescent="0.25">
      <c r="A1055" t="s">
        <v>3329</v>
      </c>
      <c r="B1055" t="s">
        <v>3330</v>
      </c>
      <c r="C1055" t="s">
        <v>3331</v>
      </c>
    </row>
    <row r="1056" spans="1:3" x14ac:dyDescent="0.25">
      <c r="A1056" t="s">
        <v>3332</v>
      </c>
      <c r="B1056" t="s">
        <v>3333</v>
      </c>
      <c r="C1056" t="s">
        <v>3334</v>
      </c>
    </row>
    <row r="1057" spans="1:3" x14ac:dyDescent="0.25">
      <c r="A1057" t="s">
        <v>3335</v>
      </c>
      <c r="B1057" t="s">
        <v>3336</v>
      </c>
      <c r="C1057" t="s">
        <v>3337</v>
      </c>
    </row>
    <row r="1058" spans="1:3" x14ac:dyDescent="0.25">
      <c r="A1058" t="s">
        <v>3338</v>
      </c>
      <c r="B1058" t="s">
        <v>3339</v>
      </c>
      <c r="C1058" t="s">
        <v>3340</v>
      </c>
    </row>
    <row r="1059" spans="1:3" x14ac:dyDescent="0.25">
      <c r="A1059" t="s">
        <v>3341</v>
      </c>
      <c r="B1059" t="s">
        <v>3342</v>
      </c>
      <c r="C1059" t="s">
        <v>3343</v>
      </c>
    </row>
    <row r="1060" spans="1:3" x14ac:dyDescent="0.25">
      <c r="A1060" t="s">
        <v>3344</v>
      </c>
      <c r="B1060" t="s">
        <v>3345</v>
      </c>
      <c r="C1060" t="s">
        <v>3346</v>
      </c>
    </row>
    <row r="1061" spans="1:3" x14ac:dyDescent="0.25">
      <c r="A1061" t="s">
        <v>3347</v>
      </c>
      <c r="B1061" t="s">
        <v>3348</v>
      </c>
      <c r="C1061" t="s">
        <v>3349</v>
      </c>
    </row>
    <row r="1062" spans="1:3" x14ac:dyDescent="0.25">
      <c r="A1062" t="s">
        <v>3350</v>
      </c>
      <c r="B1062" t="s">
        <v>3351</v>
      </c>
      <c r="C1062" t="s">
        <v>3352</v>
      </c>
    </row>
    <row r="1063" spans="1:3" x14ac:dyDescent="0.25">
      <c r="A1063" t="s">
        <v>3353</v>
      </c>
      <c r="B1063" t="s">
        <v>3354</v>
      </c>
      <c r="C1063" t="s">
        <v>3355</v>
      </c>
    </row>
    <row r="1064" spans="1:3" x14ac:dyDescent="0.25">
      <c r="A1064" t="s">
        <v>3356</v>
      </c>
      <c r="B1064" t="s">
        <v>3357</v>
      </c>
      <c r="C1064" t="s">
        <v>3358</v>
      </c>
    </row>
    <row r="1065" spans="1:3" x14ac:dyDescent="0.25">
      <c r="A1065" t="s">
        <v>3359</v>
      </c>
      <c r="B1065" t="s">
        <v>3360</v>
      </c>
      <c r="C1065" t="s">
        <v>3361</v>
      </c>
    </row>
    <row r="1066" spans="1:3" x14ac:dyDescent="0.25">
      <c r="A1066" t="s">
        <v>3362</v>
      </c>
      <c r="B1066" t="s">
        <v>3363</v>
      </c>
      <c r="C1066" t="s">
        <v>3364</v>
      </c>
    </row>
    <row r="1067" spans="1:3" x14ac:dyDescent="0.25">
      <c r="A1067" t="s">
        <v>3365</v>
      </c>
      <c r="B1067" t="s">
        <v>3366</v>
      </c>
      <c r="C1067" t="s">
        <v>3367</v>
      </c>
    </row>
    <row r="1068" spans="1:3" x14ac:dyDescent="0.25">
      <c r="A1068" t="s">
        <v>3368</v>
      </c>
      <c r="B1068" t="s">
        <v>3369</v>
      </c>
      <c r="C1068" t="s">
        <v>3370</v>
      </c>
    </row>
    <row r="1069" spans="1:3" x14ac:dyDescent="0.25">
      <c r="A1069" t="s">
        <v>3371</v>
      </c>
      <c r="B1069" t="s">
        <v>3372</v>
      </c>
      <c r="C1069" t="s">
        <v>3373</v>
      </c>
    </row>
    <row r="1070" spans="1:3" x14ac:dyDescent="0.25">
      <c r="A1070" t="s">
        <v>3374</v>
      </c>
      <c r="B1070" t="s">
        <v>3375</v>
      </c>
      <c r="C1070" t="s">
        <v>3376</v>
      </c>
    </row>
    <row r="1071" spans="1:3" x14ac:dyDescent="0.25">
      <c r="A1071" t="s">
        <v>3377</v>
      </c>
      <c r="B1071" t="s">
        <v>3378</v>
      </c>
      <c r="C1071" t="s">
        <v>3379</v>
      </c>
    </row>
    <row r="1072" spans="1:3" x14ac:dyDescent="0.25">
      <c r="A1072" t="s">
        <v>3380</v>
      </c>
      <c r="B1072" t="s">
        <v>3381</v>
      </c>
      <c r="C1072" t="s">
        <v>3382</v>
      </c>
    </row>
    <row r="1073" spans="1:3" x14ac:dyDescent="0.25">
      <c r="A1073" t="s">
        <v>3383</v>
      </c>
      <c r="B1073" t="s">
        <v>3384</v>
      </c>
      <c r="C1073" t="s">
        <v>3385</v>
      </c>
    </row>
    <row r="1074" spans="1:3" x14ac:dyDescent="0.25">
      <c r="A1074" t="s">
        <v>3386</v>
      </c>
      <c r="B1074" t="s">
        <v>3387</v>
      </c>
      <c r="C1074" t="s">
        <v>3388</v>
      </c>
    </row>
    <row r="1075" spans="1:3" x14ac:dyDescent="0.25">
      <c r="A1075" t="s">
        <v>3389</v>
      </c>
      <c r="B1075" t="s">
        <v>3390</v>
      </c>
      <c r="C1075" t="s">
        <v>3391</v>
      </c>
    </row>
    <row r="1076" spans="1:3" x14ac:dyDescent="0.25">
      <c r="A1076" t="s">
        <v>3392</v>
      </c>
      <c r="B1076" t="s">
        <v>3393</v>
      </c>
      <c r="C1076" t="s">
        <v>3394</v>
      </c>
    </row>
    <row r="1077" spans="1:3" x14ac:dyDescent="0.25">
      <c r="A1077" t="s">
        <v>3395</v>
      </c>
      <c r="B1077" t="s">
        <v>3396</v>
      </c>
      <c r="C1077" t="s">
        <v>3397</v>
      </c>
    </row>
    <row r="1078" spans="1:3" x14ac:dyDescent="0.25">
      <c r="A1078" t="s">
        <v>3398</v>
      </c>
      <c r="B1078" t="s">
        <v>3399</v>
      </c>
      <c r="C1078" t="s">
        <v>3400</v>
      </c>
    </row>
    <row r="1079" spans="1:3" x14ac:dyDescent="0.25">
      <c r="A1079" t="s">
        <v>3401</v>
      </c>
      <c r="B1079" t="s">
        <v>3402</v>
      </c>
      <c r="C1079" t="s">
        <v>3403</v>
      </c>
    </row>
    <row r="1080" spans="1:3" x14ac:dyDescent="0.25">
      <c r="A1080" t="s">
        <v>3404</v>
      </c>
      <c r="B1080" t="s">
        <v>3405</v>
      </c>
      <c r="C1080" t="s">
        <v>3406</v>
      </c>
    </row>
    <row r="1081" spans="1:3" x14ac:dyDescent="0.25">
      <c r="A1081" t="s">
        <v>3407</v>
      </c>
      <c r="B1081" t="s">
        <v>3408</v>
      </c>
      <c r="C1081" t="s">
        <v>3409</v>
      </c>
    </row>
    <row r="1082" spans="1:3" x14ac:dyDescent="0.25">
      <c r="A1082" t="s">
        <v>3410</v>
      </c>
      <c r="B1082" t="s">
        <v>3411</v>
      </c>
      <c r="C1082" t="s">
        <v>3412</v>
      </c>
    </row>
    <row r="1083" spans="1:3" x14ac:dyDescent="0.25">
      <c r="A1083" t="s">
        <v>3413</v>
      </c>
      <c r="B1083" t="s">
        <v>3414</v>
      </c>
      <c r="C1083" t="s">
        <v>3415</v>
      </c>
    </row>
    <row r="1084" spans="1:3" x14ac:dyDescent="0.25">
      <c r="A1084" t="s">
        <v>3416</v>
      </c>
      <c r="B1084" t="s">
        <v>3417</v>
      </c>
      <c r="C1084" t="s">
        <v>3418</v>
      </c>
    </row>
    <row r="1085" spans="1:3" x14ac:dyDescent="0.25">
      <c r="A1085" t="s">
        <v>3419</v>
      </c>
      <c r="B1085" t="s">
        <v>3420</v>
      </c>
      <c r="C1085" t="s">
        <v>3421</v>
      </c>
    </row>
    <row r="1086" spans="1:3" x14ac:dyDescent="0.25">
      <c r="A1086" t="s">
        <v>3422</v>
      </c>
      <c r="B1086" t="s">
        <v>3423</v>
      </c>
      <c r="C1086" t="s">
        <v>3424</v>
      </c>
    </row>
    <row r="1087" spans="1:3" x14ac:dyDescent="0.25">
      <c r="A1087" t="s">
        <v>3425</v>
      </c>
      <c r="B1087" t="s">
        <v>3426</v>
      </c>
      <c r="C1087" t="s">
        <v>3427</v>
      </c>
    </row>
    <row r="1088" spans="1:3" x14ac:dyDescent="0.25">
      <c r="A1088" t="s">
        <v>3428</v>
      </c>
      <c r="B1088" t="s">
        <v>3429</v>
      </c>
      <c r="C1088" t="s">
        <v>3430</v>
      </c>
    </row>
    <row r="1089" spans="1:3" x14ac:dyDescent="0.25">
      <c r="A1089" t="s">
        <v>3431</v>
      </c>
      <c r="B1089" t="s">
        <v>3432</v>
      </c>
      <c r="C1089" t="s">
        <v>3433</v>
      </c>
    </row>
    <row r="1090" spans="1:3" x14ac:dyDescent="0.25">
      <c r="A1090" t="s">
        <v>3434</v>
      </c>
      <c r="B1090" t="s">
        <v>3435</v>
      </c>
      <c r="C1090" t="s">
        <v>3436</v>
      </c>
    </row>
    <row r="1091" spans="1:3" x14ac:dyDescent="0.25">
      <c r="A1091" t="s">
        <v>3437</v>
      </c>
      <c r="B1091" t="s">
        <v>3438</v>
      </c>
      <c r="C1091" t="s">
        <v>3439</v>
      </c>
    </row>
    <row r="1092" spans="1:3" x14ac:dyDescent="0.25">
      <c r="A1092" t="s">
        <v>3440</v>
      </c>
      <c r="B1092" t="s">
        <v>3441</v>
      </c>
      <c r="C1092" t="s">
        <v>3442</v>
      </c>
    </row>
    <row r="1093" spans="1:3" x14ac:dyDescent="0.25">
      <c r="A1093" t="s">
        <v>3443</v>
      </c>
      <c r="B1093" t="s">
        <v>3444</v>
      </c>
      <c r="C1093" t="s">
        <v>3445</v>
      </c>
    </row>
    <row r="1094" spans="1:3" x14ac:dyDescent="0.25">
      <c r="A1094" t="s">
        <v>3446</v>
      </c>
      <c r="B1094" t="s">
        <v>3447</v>
      </c>
      <c r="C1094" t="s">
        <v>3448</v>
      </c>
    </row>
    <row r="1095" spans="1:3" x14ac:dyDescent="0.25">
      <c r="A1095" t="s">
        <v>3449</v>
      </c>
      <c r="B1095" t="s">
        <v>3450</v>
      </c>
      <c r="C1095" t="s">
        <v>3451</v>
      </c>
    </row>
    <row r="1096" spans="1:3" x14ac:dyDescent="0.25">
      <c r="A1096" t="s">
        <v>3452</v>
      </c>
      <c r="B1096" t="s">
        <v>3453</v>
      </c>
      <c r="C1096" t="s">
        <v>3454</v>
      </c>
    </row>
    <row r="1097" spans="1:3" x14ac:dyDescent="0.25">
      <c r="A1097" t="s">
        <v>3455</v>
      </c>
      <c r="B1097" t="s">
        <v>3456</v>
      </c>
      <c r="C1097" t="s">
        <v>3457</v>
      </c>
    </row>
    <row r="1098" spans="1:3" x14ac:dyDescent="0.25">
      <c r="A1098" t="s">
        <v>3458</v>
      </c>
      <c r="B1098" t="s">
        <v>3459</v>
      </c>
      <c r="C1098" t="s">
        <v>3460</v>
      </c>
    </row>
    <row r="1099" spans="1:3" x14ac:dyDescent="0.25">
      <c r="A1099" t="s">
        <v>3461</v>
      </c>
      <c r="B1099" t="s">
        <v>3462</v>
      </c>
      <c r="C1099" t="s">
        <v>3463</v>
      </c>
    </row>
    <row r="1100" spans="1:3" x14ac:dyDescent="0.25">
      <c r="A1100" t="s">
        <v>3464</v>
      </c>
      <c r="B1100" t="s">
        <v>3465</v>
      </c>
      <c r="C1100" t="s">
        <v>3466</v>
      </c>
    </row>
    <row r="1101" spans="1:3" x14ac:dyDescent="0.25">
      <c r="A1101" t="s">
        <v>3467</v>
      </c>
      <c r="B1101" t="s">
        <v>3468</v>
      </c>
      <c r="C1101" t="s">
        <v>3469</v>
      </c>
    </row>
    <row r="1102" spans="1:3" x14ac:dyDescent="0.25">
      <c r="A1102" t="s">
        <v>3470</v>
      </c>
      <c r="B1102" t="s">
        <v>3471</v>
      </c>
      <c r="C1102" t="s">
        <v>3472</v>
      </c>
    </row>
    <row r="1103" spans="1:3" x14ac:dyDescent="0.25">
      <c r="A1103" t="s">
        <v>3473</v>
      </c>
      <c r="B1103" t="s">
        <v>3474</v>
      </c>
      <c r="C1103" t="s">
        <v>3475</v>
      </c>
    </row>
    <row r="1104" spans="1:3" x14ac:dyDescent="0.25">
      <c r="A1104" t="s">
        <v>3476</v>
      </c>
      <c r="B1104" t="s">
        <v>3477</v>
      </c>
      <c r="C1104" t="s">
        <v>3478</v>
      </c>
    </row>
    <row r="1105" spans="1:3" x14ac:dyDescent="0.25">
      <c r="A1105" t="s">
        <v>3479</v>
      </c>
      <c r="B1105" t="s">
        <v>3480</v>
      </c>
      <c r="C1105" t="s">
        <v>3481</v>
      </c>
    </row>
    <row r="1106" spans="1:3" x14ac:dyDescent="0.25">
      <c r="A1106" t="s">
        <v>3482</v>
      </c>
      <c r="B1106" t="s">
        <v>3483</v>
      </c>
      <c r="C1106" t="s">
        <v>3484</v>
      </c>
    </row>
    <row r="1107" spans="1:3" x14ac:dyDescent="0.25">
      <c r="A1107" t="s">
        <v>3485</v>
      </c>
      <c r="B1107" t="s">
        <v>3486</v>
      </c>
      <c r="C1107" t="s">
        <v>3487</v>
      </c>
    </row>
    <row r="1108" spans="1:3" x14ac:dyDescent="0.25">
      <c r="A1108" t="s">
        <v>3488</v>
      </c>
      <c r="B1108" t="s">
        <v>3489</v>
      </c>
      <c r="C1108" t="s">
        <v>3490</v>
      </c>
    </row>
    <row r="1109" spans="1:3" x14ac:dyDescent="0.25">
      <c r="A1109" t="s">
        <v>3491</v>
      </c>
      <c r="B1109" t="s">
        <v>3492</v>
      </c>
      <c r="C1109" t="s">
        <v>3493</v>
      </c>
    </row>
    <row r="1110" spans="1:3" x14ac:dyDescent="0.25">
      <c r="A1110" t="s">
        <v>3494</v>
      </c>
      <c r="B1110" t="s">
        <v>3495</v>
      </c>
      <c r="C1110" t="s">
        <v>3496</v>
      </c>
    </row>
    <row r="1111" spans="1:3" x14ac:dyDescent="0.25">
      <c r="A1111" t="s">
        <v>3497</v>
      </c>
      <c r="B1111" t="s">
        <v>3498</v>
      </c>
      <c r="C1111" t="s">
        <v>3499</v>
      </c>
    </row>
    <row r="1112" spans="1:3" x14ac:dyDescent="0.25">
      <c r="A1112" t="s">
        <v>3500</v>
      </c>
      <c r="B1112" t="s">
        <v>3501</v>
      </c>
      <c r="C1112" t="s">
        <v>3502</v>
      </c>
    </row>
    <row r="1113" spans="1:3" x14ac:dyDescent="0.25">
      <c r="A1113" t="s">
        <v>3503</v>
      </c>
      <c r="B1113" t="s">
        <v>3504</v>
      </c>
      <c r="C1113" t="s">
        <v>3505</v>
      </c>
    </row>
    <row r="1114" spans="1:3" x14ac:dyDescent="0.25">
      <c r="A1114" t="s">
        <v>3506</v>
      </c>
      <c r="B1114" t="s">
        <v>3507</v>
      </c>
      <c r="C1114" t="s">
        <v>3508</v>
      </c>
    </row>
    <row r="1115" spans="1:3" x14ac:dyDescent="0.25">
      <c r="A1115" t="s">
        <v>3509</v>
      </c>
      <c r="B1115" t="s">
        <v>3510</v>
      </c>
      <c r="C1115" t="s">
        <v>3511</v>
      </c>
    </row>
    <row r="1116" spans="1:3" x14ac:dyDescent="0.25">
      <c r="A1116" t="s">
        <v>3512</v>
      </c>
      <c r="B1116" t="s">
        <v>3513</v>
      </c>
      <c r="C1116" t="s">
        <v>3514</v>
      </c>
    </row>
    <row r="1117" spans="1:3" x14ac:dyDescent="0.25">
      <c r="A1117" t="s">
        <v>3515</v>
      </c>
      <c r="B1117" t="s">
        <v>3516</v>
      </c>
      <c r="C1117" t="s">
        <v>3517</v>
      </c>
    </row>
    <row r="1118" spans="1:3" x14ac:dyDescent="0.25">
      <c r="A1118" t="s">
        <v>3518</v>
      </c>
      <c r="B1118" t="s">
        <v>3519</v>
      </c>
      <c r="C1118" t="s">
        <v>3520</v>
      </c>
    </row>
    <row r="1119" spans="1:3" x14ac:dyDescent="0.25">
      <c r="A1119" t="s">
        <v>3521</v>
      </c>
      <c r="B1119" t="s">
        <v>3522</v>
      </c>
      <c r="C1119" t="s">
        <v>3523</v>
      </c>
    </row>
    <row r="1120" spans="1:3" x14ac:dyDescent="0.25">
      <c r="A1120" t="s">
        <v>3524</v>
      </c>
      <c r="B1120" t="s">
        <v>3525</v>
      </c>
      <c r="C1120" t="s">
        <v>3526</v>
      </c>
    </row>
    <row r="1121" spans="1:3" x14ac:dyDescent="0.25">
      <c r="A1121" t="s">
        <v>3527</v>
      </c>
      <c r="B1121" t="s">
        <v>3528</v>
      </c>
      <c r="C1121" t="s">
        <v>3529</v>
      </c>
    </row>
    <row r="1122" spans="1:3" x14ac:dyDescent="0.25">
      <c r="A1122" t="s">
        <v>3530</v>
      </c>
      <c r="B1122" t="s">
        <v>3531</v>
      </c>
      <c r="C1122" t="s">
        <v>3532</v>
      </c>
    </row>
    <row r="1123" spans="1:3" x14ac:dyDescent="0.25">
      <c r="A1123" t="s">
        <v>3533</v>
      </c>
      <c r="B1123" t="s">
        <v>3534</v>
      </c>
      <c r="C1123" t="s">
        <v>3535</v>
      </c>
    </row>
    <row r="1124" spans="1:3" x14ac:dyDescent="0.25">
      <c r="A1124" t="s">
        <v>3536</v>
      </c>
      <c r="B1124" t="s">
        <v>3537</v>
      </c>
      <c r="C1124" t="s">
        <v>3538</v>
      </c>
    </row>
    <row r="1125" spans="1:3" x14ac:dyDescent="0.25">
      <c r="A1125" t="s">
        <v>3539</v>
      </c>
      <c r="B1125" t="s">
        <v>3540</v>
      </c>
      <c r="C1125" t="s">
        <v>3541</v>
      </c>
    </row>
    <row r="1126" spans="1:3" x14ac:dyDescent="0.25">
      <c r="A1126" t="s">
        <v>3542</v>
      </c>
      <c r="B1126" t="s">
        <v>3543</v>
      </c>
      <c r="C1126" t="s">
        <v>3544</v>
      </c>
    </row>
    <row r="1127" spans="1:3" x14ac:dyDescent="0.25">
      <c r="A1127" t="s">
        <v>3545</v>
      </c>
      <c r="B1127" t="s">
        <v>3546</v>
      </c>
      <c r="C1127" t="s">
        <v>3547</v>
      </c>
    </row>
    <row r="1128" spans="1:3" x14ac:dyDescent="0.25">
      <c r="A1128" t="s">
        <v>3548</v>
      </c>
      <c r="B1128" t="s">
        <v>3549</v>
      </c>
      <c r="C1128" t="s">
        <v>3550</v>
      </c>
    </row>
    <row r="1129" spans="1:3" x14ac:dyDescent="0.25">
      <c r="A1129" t="s">
        <v>3551</v>
      </c>
      <c r="B1129" t="s">
        <v>3552</v>
      </c>
      <c r="C1129" t="s">
        <v>3553</v>
      </c>
    </row>
    <row r="1130" spans="1:3" x14ac:dyDescent="0.25">
      <c r="A1130" t="s">
        <v>3554</v>
      </c>
      <c r="B1130" t="s">
        <v>3555</v>
      </c>
      <c r="C1130" t="s">
        <v>3556</v>
      </c>
    </row>
    <row r="1131" spans="1:3" x14ac:dyDescent="0.25">
      <c r="A1131" t="s">
        <v>3557</v>
      </c>
      <c r="B1131" t="s">
        <v>3558</v>
      </c>
      <c r="C1131" t="s">
        <v>3559</v>
      </c>
    </row>
    <row r="1132" spans="1:3" x14ac:dyDescent="0.25">
      <c r="A1132" t="s">
        <v>3560</v>
      </c>
      <c r="B1132" t="s">
        <v>3561</v>
      </c>
      <c r="C1132" t="s">
        <v>3562</v>
      </c>
    </row>
    <row r="1133" spans="1:3" x14ac:dyDescent="0.25">
      <c r="A1133" t="s">
        <v>3563</v>
      </c>
      <c r="B1133" t="s">
        <v>3564</v>
      </c>
      <c r="C1133" t="s">
        <v>3565</v>
      </c>
    </row>
    <row r="1134" spans="1:3" x14ac:dyDescent="0.25">
      <c r="A1134" t="s">
        <v>3566</v>
      </c>
      <c r="B1134" t="s">
        <v>3567</v>
      </c>
      <c r="C1134" t="s">
        <v>3568</v>
      </c>
    </row>
    <row r="1135" spans="1:3" x14ac:dyDescent="0.25">
      <c r="A1135" t="s">
        <v>3569</v>
      </c>
      <c r="B1135" t="s">
        <v>3570</v>
      </c>
      <c r="C1135" t="s">
        <v>3571</v>
      </c>
    </row>
    <row r="1136" spans="1:3" x14ac:dyDescent="0.25">
      <c r="A1136" t="s">
        <v>3572</v>
      </c>
      <c r="B1136" t="s">
        <v>3573</v>
      </c>
      <c r="C1136" t="s">
        <v>3574</v>
      </c>
    </row>
    <row r="1137" spans="1:3" x14ac:dyDescent="0.25">
      <c r="A1137" t="s">
        <v>3575</v>
      </c>
      <c r="B1137" t="s">
        <v>3576</v>
      </c>
      <c r="C1137" t="s">
        <v>3577</v>
      </c>
    </row>
    <row r="1138" spans="1:3" x14ac:dyDescent="0.25">
      <c r="A1138" t="s">
        <v>3578</v>
      </c>
      <c r="B1138" t="s">
        <v>3579</v>
      </c>
      <c r="C1138" t="s">
        <v>3580</v>
      </c>
    </row>
    <row r="1139" spans="1:3" x14ac:dyDescent="0.25">
      <c r="A1139" t="s">
        <v>3581</v>
      </c>
      <c r="B1139" t="s">
        <v>3582</v>
      </c>
      <c r="C1139" t="s">
        <v>3583</v>
      </c>
    </row>
    <row r="1140" spans="1:3" x14ac:dyDescent="0.25">
      <c r="A1140" t="s">
        <v>3584</v>
      </c>
      <c r="B1140" t="s">
        <v>3585</v>
      </c>
      <c r="C1140" t="s">
        <v>3586</v>
      </c>
    </row>
    <row r="1141" spans="1:3" x14ac:dyDescent="0.25">
      <c r="A1141" t="s">
        <v>3587</v>
      </c>
      <c r="B1141" t="s">
        <v>3588</v>
      </c>
      <c r="C1141" t="s">
        <v>3589</v>
      </c>
    </row>
    <row r="1142" spans="1:3" x14ac:dyDescent="0.25">
      <c r="A1142" t="s">
        <v>3590</v>
      </c>
      <c r="B1142" t="s">
        <v>3591</v>
      </c>
      <c r="C1142" t="s">
        <v>3592</v>
      </c>
    </row>
    <row r="1143" spans="1:3" x14ac:dyDescent="0.25">
      <c r="A1143" t="s">
        <v>3593</v>
      </c>
      <c r="B1143" t="s">
        <v>3594</v>
      </c>
      <c r="C1143" t="s">
        <v>3595</v>
      </c>
    </row>
    <row r="1144" spans="1:3" x14ac:dyDescent="0.25">
      <c r="A1144" t="s">
        <v>3596</v>
      </c>
      <c r="B1144" t="s">
        <v>3597</v>
      </c>
      <c r="C1144" t="s">
        <v>3598</v>
      </c>
    </row>
    <row r="1145" spans="1:3" x14ac:dyDescent="0.25">
      <c r="A1145" t="s">
        <v>3599</v>
      </c>
      <c r="B1145" t="s">
        <v>3600</v>
      </c>
      <c r="C1145" t="s">
        <v>3601</v>
      </c>
    </row>
    <row r="1146" spans="1:3" x14ac:dyDescent="0.25">
      <c r="A1146" t="s">
        <v>3602</v>
      </c>
      <c r="B1146" t="s">
        <v>3603</v>
      </c>
      <c r="C1146" t="s">
        <v>3604</v>
      </c>
    </row>
    <row r="1147" spans="1:3" x14ac:dyDescent="0.25">
      <c r="A1147" t="s">
        <v>3605</v>
      </c>
      <c r="B1147" t="s">
        <v>3606</v>
      </c>
      <c r="C1147" t="s">
        <v>3607</v>
      </c>
    </row>
    <row r="1148" spans="1:3" x14ac:dyDescent="0.25">
      <c r="A1148" t="s">
        <v>3608</v>
      </c>
      <c r="B1148" t="s">
        <v>3609</v>
      </c>
      <c r="C1148" t="s">
        <v>3610</v>
      </c>
    </row>
    <row r="1149" spans="1:3" x14ac:dyDescent="0.25">
      <c r="A1149" t="s">
        <v>3611</v>
      </c>
      <c r="B1149" t="s">
        <v>3612</v>
      </c>
      <c r="C1149" t="s">
        <v>3613</v>
      </c>
    </row>
    <row r="1150" spans="1:3" x14ac:dyDescent="0.25">
      <c r="A1150" t="s">
        <v>3614</v>
      </c>
      <c r="B1150" t="s">
        <v>3615</v>
      </c>
      <c r="C1150" t="s">
        <v>3616</v>
      </c>
    </row>
    <row r="1151" spans="1:3" x14ac:dyDescent="0.25">
      <c r="A1151" t="s">
        <v>3617</v>
      </c>
      <c r="B1151" t="s">
        <v>3618</v>
      </c>
      <c r="C1151" t="s">
        <v>3619</v>
      </c>
    </row>
    <row r="1152" spans="1:3" x14ac:dyDescent="0.25">
      <c r="A1152" t="s">
        <v>3620</v>
      </c>
      <c r="B1152" t="s">
        <v>3621</v>
      </c>
      <c r="C1152" t="s">
        <v>3622</v>
      </c>
    </row>
    <row r="1153" spans="1:3" x14ac:dyDescent="0.25">
      <c r="A1153" t="s">
        <v>3623</v>
      </c>
      <c r="B1153" t="s">
        <v>3624</v>
      </c>
      <c r="C1153" t="s">
        <v>3625</v>
      </c>
    </row>
    <row r="1154" spans="1:3" x14ac:dyDescent="0.25">
      <c r="A1154" t="s">
        <v>3626</v>
      </c>
      <c r="B1154" t="s">
        <v>3627</v>
      </c>
      <c r="C1154" t="s">
        <v>3628</v>
      </c>
    </row>
    <row r="1155" spans="1:3" x14ac:dyDescent="0.25">
      <c r="A1155" t="s">
        <v>3629</v>
      </c>
      <c r="B1155" t="s">
        <v>3630</v>
      </c>
      <c r="C1155" t="s">
        <v>3631</v>
      </c>
    </row>
    <row r="1156" spans="1:3" x14ac:dyDescent="0.25">
      <c r="A1156" t="s">
        <v>3632</v>
      </c>
      <c r="B1156" t="s">
        <v>3633</v>
      </c>
      <c r="C1156" t="s">
        <v>3634</v>
      </c>
    </row>
    <row r="1157" spans="1:3" x14ac:dyDescent="0.25">
      <c r="A1157" t="s">
        <v>3635</v>
      </c>
      <c r="B1157" t="s">
        <v>3636</v>
      </c>
      <c r="C1157" t="s">
        <v>3637</v>
      </c>
    </row>
    <row r="1158" spans="1:3" x14ac:dyDescent="0.25">
      <c r="A1158" t="s">
        <v>3638</v>
      </c>
      <c r="B1158" t="s">
        <v>3639</v>
      </c>
      <c r="C1158" t="s">
        <v>3640</v>
      </c>
    </row>
    <row r="1159" spans="1:3" x14ac:dyDescent="0.25">
      <c r="A1159" t="s">
        <v>3641</v>
      </c>
      <c r="B1159" t="s">
        <v>3642</v>
      </c>
      <c r="C1159" t="s">
        <v>3643</v>
      </c>
    </row>
    <row r="1160" spans="1:3" x14ac:dyDescent="0.25">
      <c r="A1160" t="s">
        <v>3644</v>
      </c>
      <c r="B1160" t="s">
        <v>3645</v>
      </c>
      <c r="C1160" t="s">
        <v>3646</v>
      </c>
    </row>
    <row r="1161" spans="1:3" x14ac:dyDescent="0.25">
      <c r="A1161" t="s">
        <v>3647</v>
      </c>
      <c r="B1161" t="s">
        <v>3648</v>
      </c>
      <c r="C1161" t="s">
        <v>3649</v>
      </c>
    </row>
    <row r="1162" spans="1:3" x14ac:dyDescent="0.25">
      <c r="A1162" t="s">
        <v>3650</v>
      </c>
      <c r="B1162" t="s">
        <v>3651</v>
      </c>
      <c r="C1162" t="s">
        <v>3652</v>
      </c>
    </row>
    <row r="1163" spans="1:3" x14ac:dyDescent="0.25">
      <c r="A1163" t="s">
        <v>3653</v>
      </c>
      <c r="B1163" t="s">
        <v>3654</v>
      </c>
      <c r="C1163" t="s">
        <v>3655</v>
      </c>
    </row>
    <row r="1164" spans="1:3" x14ac:dyDescent="0.25">
      <c r="A1164" t="s">
        <v>3656</v>
      </c>
      <c r="B1164" t="s">
        <v>3657</v>
      </c>
      <c r="C1164" t="s">
        <v>3658</v>
      </c>
    </row>
    <row r="1165" spans="1:3" x14ac:dyDescent="0.25">
      <c r="A1165" t="s">
        <v>3659</v>
      </c>
      <c r="B1165" t="s">
        <v>3660</v>
      </c>
      <c r="C1165" t="s">
        <v>3661</v>
      </c>
    </row>
    <row r="1166" spans="1:3" x14ac:dyDescent="0.25">
      <c r="A1166" t="s">
        <v>3662</v>
      </c>
      <c r="B1166" t="s">
        <v>3663</v>
      </c>
      <c r="C1166" t="s">
        <v>3664</v>
      </c>
    </row>
    <row r="1167" spans="1:3" x14ac:dyDescent="0.25">
      <c r="A1167" t="s">
        <v>3665</v>
      </c>
      <c r="B1167" t="s">
        <v>3666</v>
      </c>
      <c r="C1167" t="s">
        <v>3667</v>
      </c>
    </row>
    <row r="1168" spans="1:3" x14ac:dyDescent="0.25">
      <c r="A1168" t="s">
        <v>3668</v>
      </c>
      <c r="B1168" t="s">
        <v>3669</v>
      </c>
      <c r="C1168" t="s">
        <v>3670</v>
      </c>
    </row>
    <row r="1169" spans="1:3" x14ac:dyDescent="0.25">
      <c r="A1169" t="s">
        <v>3671</v>
      </c>
      <c r="B1169" t="s">
        <v>3672</v>
      </c>
      <c r="C1169" t="s">
        <v>3673</v>
      </c>
    </row>
    <row r="1170" spans="1:3" x14ac:dyDescent="0.25">
      <c r="A1170" t="s">
        <v>3674</v>
      </c>
      <c r="B1170" t="s">
        <v>3675</v>
      </c>
      <c r="C1170" t="s">
        <v>3676</v>
      </c>
    </row>
    <row r="1171" spans="1:3" x14ac:dyDescent="0.25">
      <c r="A1171" t="s">
        <v>3677</v>
      </c>
      <c r="B1171" t="s">
        <v>3678</v>
      </c>
      <c r="C1171" t="s">
        <v>3679</v>
      </c>
    </row>
    <row r="1172" spans="1:3" x14ac:dyDescent="0.25">
      <c r="A1172" t="s">
        <v>3680</v>
      </c>
      <c r="B1172" t="s">
        <v>3681</v>
      </c>
      <c r="C1172" t="s">
        <v>3682</v>
      </c>
    </row>
    <row r="1173" spans="1:3" x14ac:dyDescent="0.25">
      <c r="A1173" t="s">
        <v>3683</v>
      </c>
      <c r="B1173" t="s">
        <v>3684</v>
      </c>
      <c r="C1173" t="s">
        <v>3685</v>
      </c>
    </row>
    <row r="1174" spans="1:3" x14ac:dyDescent="0.25">
      <c r="A1174" t="s">
        <v>3686</v>
      </c>
      <c r="B1174" t="s">
        <v>3687</v>
      </c>
      <c r="C1174" t="s">
        <v>3688</v>
      </c>
    </row>
    <row r="1175" spans="1:3" x14ac:dyDescent="0.25">
      <c r="A1175" t="s">
        <v>3689</v>
      </c>
      <c r="B1175" t="s">
        <v>3690</v>
      </c>
      <c r="C1175" t="s">
        <v>3691</v>
      </c>
    </row>
    <row r="1176" spans="1:3" x14ac:dyDescent="0.25">
      <c r="A1176" t="s">
        <v>3692</v>
      </c>
      <c r="B1176" t="s">
        <v>3693</v>
      </c>
      <c r="C1176" t="s">
        <v>3694</v>
      </c>
    </row>
    <row r="1177" spans="1:3" x14ac:dyDescent="0.25">
      <c r="A1177" t="s">
        <v>3695</v>
      </c>
      <c r="B1177" t="s">
        <v>3696</v>
      </c>
      <c r="C1177" t="s">
        <v>3697</v>
      </c>
    </row>
    <row r="1178" spans="1:3" x14ac:dyDescent="0.25">
      <c r="A1178" t="s">
        <v>3698</v>
      </c>
      <c r="B1178" t="s">
        <v>3699</v>
      </c>
      <c r="C1178" t="s">
        <v>3700</v>
      </c>
    </row>
    <row r="1179" spans="1:3" x14ac:dyDescent="0.25">
      <c r="A1179" t="s">
        <v>3701</v>
      </c>
      <c r="B1179" t="s">
        <v>3702</v>
      </c>
      <c r="C1179" t="s">
        <v>3703</v>
      </c>
    </row>
    <row r="1180" spans="1:3" x14ac:dyDescent="0.25">
      <c r="A1180" t="s">
        <v>3704</v>
      </c>
      <c r="B1180" t="s">
        <v>3705</v>
      </c>
      <c r="C1180" t="s">
        <v>3706</v>
      </c>
    </row>
    <row r="1181" spans="1:3" x14ac:dyDescent="0.25">
      <c r="A1181" t="s">
        <v>3707</v>
      </c>
      <c r="B1181" t="s">
        <v>3708</v>
      </c>
      <c r="C1181" t="s">
        <v>3709</v>
      </c>
    </row>
    <row r="1182" spans="1:3" x14ac:dyDescent="0.25">
      <c r="A1182" t="s">
        <v>3710</v>
      </c>
      <c r="B1182" t="s">
        <v>3711</v>
      </c>
      <c r="C1182" t="s">
        <v>3712</v>
      </c>
    </row>
    <row r="1183" spans="1:3" x14ac:dyDescent="0.25">
      <c r="A1183" t="s">
        <v>3713</v>
      </c>
      <c r="B1183" t="s">
        <v>3714</v>
      </c>
      <c r="C1183" t="s">
        <v>3715</v>
      </c>
    </row>
    <row r="1184" spans="1:3" x14ac:dyDescent="0.25">
      <c r="A1184" t="s">
        <v>3716</v>
      </c>
      <c r="B1184" t="s">
        <v>3717</v>
      </c>
      <c r="C1184" t="s">
        <v>3718</v>
      </c>
    </row>
    <row r="1185" spans="1:3" x14ac:dyDescent="0.25">
      <c r="A1185" t="s">
        <v>3719</v>
      </c>
      <c r="B1185" t="s">
        <v>3720</v>
      </c>
      <c r="C1185" t="s">
        <v>3721</v>
      </c>
    </row>
    <row r="1186" spans="1:3" x14ac:dyDescent="0.25">
      <c r="A1186" t="s">
        <v>3722</v>
      </c>
      <c r="B1186" t="s">
        <v>3723</v>
      </c>
      <c r="C1186" t="s">
        <v>3724</v>
      </c>
    </row>
    <row r="1187" spans="1:3" x14ac:dyDescent="0.25">
      <c r="A1187" t="s">
        <v>3725</v>
      </c>
      <c r="B1187" t="s">
        <v>3726</v>
      </c>
      <c r="C1187" t="s">
        <v>3727</v>
      </c>
    </row>
    <row r="1188" spans="1:3" x14ac:dyDescent="0.25">
      <c r="A1188" t="s">
        <v>3728</v>
      </c>
      <c r="B1188" t="s">
        <v>3729</v>
      </c>
      <c r="C1188" t="s">
        <v>3730</v>
      </c>
    </row>
    <row r="1189" spans="1:3" x14ac:dyDescent="0.25">
      <c r="A1189" t="s">
        <v>3731</v>
      </c>
      <c r="B1189" t="s">
        <v>3732</v>
      </c>
      <c r="C1189" t="s">
        <v>3733</v>
      </c>
    </row>
    <row r="1190" spans="1:3" x14ac:dyDescent="0.25">
      <c r="A1190" t="s">
        <v>3734</v>
      </c>
      <c r="B1190" t="s">
        <v>3735</v>
      </c>
      <c r="C1190" t="s">
        <v>3736</v>
      </c>
    </row>
    <row r="1191" spans="1:3" x14ac:dyDescent="0.25">
      <c r="A1191" t="s">
        <v>3737</v>
      </c>
      <c r="B1191" t="s">
        <v>3738</v>
      </c>
      <c r="C1191" t="s">
        <v>3739</v>
      </c>
    </row>
    <row r="1192" spans="1:3" x14ac:dyDescent="0.25">
      <c r="A1192" t="s">
        <v>3740</v>
      </c>
      <c r="B1192" t="s">
        <v>3741</v>
      </c>
      <c r="C1192" t="s">
        <v>3742</v>
      </c>
    </row>
    <row r="1193" spans="1:3" x14ac:dyDescent="0.25">
      <c r="A1193" t="s">
        <v>3743</v>
      </c>
      <c r="B1193" t="s">
        <v>3744</v>
      </c>
      <c r="C1193" t="s">
        <v>3745</v>
      </c>
    </row>
    <row r="1194" spans="1:3" x14ac:dyDescent="0.25">
      <c r="A1194" t="s">
        <v>3746</v>
      </c>
      <c r="B1194" t="s">
        <v>3747</v>
      </c>
      <c r="C1194" t="s">
        <v>3748</v>
      </c>
    </row>
    <row r="1195" spans="1:3" x14ac:dyDescent="0.25">
      <c r="A1195" t="s">
        <v>3749</v>
      </c>
      <c r="B1195" t="s">
        <v>3750</v>
      </c>
      <c r="C1195" t="s">
        <v>3751</v>
      </c>
    </row>
    <row r="1196" spans="1:3" x14ac:dyDescent="0.25">
      <c r="A1196" t="s">
        <v>3752</v>
      </c>
      <c r="B1196" t="s">
        <v>3753</v>
      </c>
      <c r="C1196" t="s">
        <v>3754</v>
      </c>
    </row>
    <row r="1197" spans="1:3" x14ac:dyDescent="0.25">
      <c r="A1197" t="s">
        <v>3755</v>
      </c>
      <c r="B1197" t="s">
        <v>3756</v>
      </c>
      <c r="C1197" t="s">
        <v>3757</v>
      </c>
    </row>
    <row r="1198" spans="1:3" x14ac:dyDescent="0.25">
      <c r="A1198" t="s">
        <v>3758</v>
      </c>
      <c r="B1198" t="s">
        <v>3759</v>
      </c>
      <c r="C1198" t="s">
        <v>3760</v>
      </c>
    </row>
    <row r="1199" spans="1:3" x14ac:dyDescent="0.25">
      <c r="A1199" t="s">
        <v>3761</v>
      </c>
      <c r="B1199" t="s">
        <v>3762</v>
      </c>
      <c r="C1199" t="s">
        <v>3763</v>
      </c>
    </row>
    <row r="1200" spans="1:3" x14ac:dyDescent="0.25">
      <c r="A1200" t="s">
        <v>3764</v>
      </c>
      <c r="B1200" t="s">
        <v>3765</v>
      </c>
      <c r="C1200" t="s">
        <v>3766</v>
      </c>
    </row>
    <row r="1201" spans="1:3" x14ac:dyDescent="0.25">
      <c r="A1201" t="s">
        <v>3767</v>
      </c>
      <c r="B1201" t="s">
        <v>3768</v>
      </c>
      <c r="C1201" t="s">
        <v>3769</v>
      </c>
    </row>
    <row r="1202" spans="1:3" x14ac:dyDescent="0.25">
      <c r="A1202" t="s">
        <v>3770</v>
      </c>
      <c r="B1202" t="s">
        <v>3771</v>
      </c>
      <c r="C1202" t="s">
        <v>3772</v>
      </c>
    </row>
    <row r="1203" spans="1:3" x14ac:dyDescent="0.25">
      <c r="A1203" t="s">
        <v>3773</v>
      </c>
      <c r="B1203" t="s">
        <v>3774</v>
      </c>
      <c r="C1203" t="s">
        <v>3775</v>
      </c>
    </row>
    <row r="1204" spans="1:3" x14ac:dyDescent="0.25">
      <c r="A1204" t="s">
        <v>3776</v>
      </c>
      <c r="B1204" t="s">
        <v>3777</v>
      </c>
      <c r="C1204" t="s">
        <v>3778</v>
      </c>
    </row>
    <row r="1205" spans="1:3" x14ac:dyDescent="0.25">
      <c r="A1205" t="s">
        <v>3779</v>
      </c>
      <c r="B1205" t="s">
        <v>3780</v>
      </c>
      <c r="C1205" t="s">
        <v>3781</v>
      </c>
    </row>
    <row r="1206" spans="1:3" x14ac:dyDescent="0.25">
      <c r="A1206" t="s">
        <v>3782</v>
      </c>
      <c r="B1206" t="s">
        <v>3783</v>
      </c>
      <c r="C1206" t="s">
        <v>3784</v>
      </c>
    </row>
    <row r="1207" spans="1:3" x14ac:dyDescent="0.25">
      <c r="A1207" t="s">
        <v>3785</v>
      </c>
      <c r="B1207" t="s">
        <v>3786</v>
      </c>
      <c r="C1207" t="s">
        <v>3787</v>
      </c>
    </row>
    <row r="1208" spans="1:3" x14ac:dyDescent="0.25">
      <c r="A1208" t="s">
        <v>3788</v>
      </c>
      <c r="B1208" t="s">
        <v>3789</v>
      </c>
      <c r="C1208" t="s">
        <v>3790</v>
      </c>
    </row>
    <row r="1209" spans="1:3" x14ac:dyDescent="0.25">
      <c r="A1209" t="s">
        <v>3791</v>
      </c>
      <c r="B1209" t="s">
        <v>3792</v>
      </c>
      <c r="C1209" t="s">
        <v>3793</v>
      </c>
    </row>
    <row r="1210" spans="1:3" x14ac:dyDescent="0.25">
      <c r="A1210" t="s">
        <v>3794</v>
      </c>
      <c r="B1210" t="s">
        <v>3795</v>
      </c>
      <c r="C1210" t="s">
        <v>3796</v>
      </c>
    </row>
    <row r="1211" spans="1:3" x14ac:dyDescent="0.25">
      <c r="A1211" t="s">
        <v>3797</v>
      </c>
      <c r="B1211" t="s">
        <v>3798</v>
      </c>
      <c r="C1211" t="s">
        <v>3799</v>
      </c>
    </row>
    <row r="1212" spans="1:3" x14ac:dyDescent="0.25">
      <c r="A1212" t="s">
        <v>3800</v>
      </c>
      <c r="B1212" t="s">
        <v>3801</v>
      </c>
      <c r="C1212" t="s">
        <v>3802</v>
      </c>
    </row>
    <row r="1213" spans="1:3" x14ac:dyDescent="0.25">
      <c r="A1213" t="s">
        <v>3803</v>
      </c>
      <c r="B1213" t="s">
        <v>3804</v>
      </c>
      <c r="C1213" t="s">
        <v>3805</v>
      </c>
    </row>
    <row r="1214" spans="1:3" x14ac:dyDescent="0.25">
      <c r="A1214" t="s">
        <v>3806</v>
      </c>
      <c r="B1214" t="s">
        <v>3807</v>
      </c>
      <c r="C1214" t="s">
        <v>3808</v>
      </c>
    </row>
    <row r="1215" spans="1:3" x14ac:dyDescent="0.25">
      <c r="A1215" t="s">
        <v>3809</v>
      </c>
      <c r="B1215" t="s">
        <v>3810</v>
      </c>
      <c r="C1215" t="s">
        <v>3811</v>
      </c>
    </row>
    <row r="1216" spans="1:3" x14ac:dyDescent="0.25">
      <c r="A1216" t="s">
        <v>3812</v>
      </c>
      <c r="B1216" t="s">
        <v>3813</v>
      </c>
      <c r="C1216" t="s">
        <v>3814</v>
      </c>
    </row>
    <row r="1217" spans="1:3" x14ac:dyDescent="0.25">
      <c r="A1217" t="s">
        <v>3815</v>
      </c>
      <c r="B1217" t="s">
        <v>3816</v>
      </c>
      <c r="C1217" t="s">
        <v>3817</v>
      </c>
    </row>
    <row r="1218" spans="1:3" x14ac:dyDescent="0.25">
      <c r="A1218" t="s">
        <v>3818</v>
      </c>
      <c r="B1218" t="s">
        <v>3819</v>
      </c>
      <c r="C1218" t="s">
        <v>3820</v>
      </c>
    </row>
    <row r="1219" spans="1:3" x14ac:dyDescent="0.25">
      <c r="A1219" t="s">
        <v>3821</v>
      </c>
      <c r="B1219" t="s">
        <v>3822</v>
      </c>
      <c r="C1219" t="s">
        <v>3823</v>
      </c>
    </row>
    <row r="1220" spans="1:3" x14ac:dyDescent="0.25">
      <c r="A1220" t="s">
        <v>3824</v>
      </c>
      <c r="B1220" t="s">
        <v>3825</v>
      </c>
      <c r="C1220" t="s">
        <v>3826</v>
      </c>
    </row>
    <row r="1221" spans="1:3" x14ac:dyDescent="0.25">
      <c r="A1221" t="s">
        <v>3827</v>
      </c>
      <c r="B1221" t="s">
        <v>3828</v>
      </c>
      <c r="C1221" t="s">
        <v>3829</v>
      </c>
    </row>
    <row r="1222" spans="1:3" x14ac:dyDescent="0.25">
      <c r="A1222" t="s">
        <v>3830</v>
      </c>
      <c r="B1222" t="s">
        <v>3831</v>
      </c>
      <c r="C1222" t="s">
        <v>3832</v>
      </c>
    </row>
    <row r="1223" spans="1:3" x14ac:dyDescent="0.25">
      <c r="A1223" t="s">
        <v>3833</v>
      </c>
      <c r="B1223" t="s">
        <v>3834</v>
      </c>
      <c r="C1223" t="s">
        <v>3835</v>
      </c>
    </row>
    <row r="1224" spans="1:3" x14ac:dyDescent="0.25">
      <c r="A1224" t="s">
        <v>3836</v>
      </c>
      <c r="B1224" t="s">
        <v>3837</v>
      </c>
      <c r="C1224" t="s">
        <v>3838</v>
      </c>
    </row>
    <row r="1225" spans="1:3" x14ac:dyDescent="0.25">
      <c r="A1225" t="s">
        <v>3839</v>
      </c>
      <c r="B1225" t="s">
        <v>3840</v>
      </c>
      <c r="C1225" t="s">
        <v>3841</v>
      </c>
    </row>
    <row r="1226" spans="1:3" x14ac:dyDescent="0.25">
      <c r="A1226" t="s">
        <v>3842</v>
      </c>
      <c r="B1226" t="s">
        <v>3843</v>
      </c>
      <c r="C1226" t="s">
        <v>3844</v>
      </c>
    </row>
    <row r="1227" spans="1:3" x14ac:dyDescent="0.25">
      <c r="A1227" t="s">
        <v>3845</v>
      </c>
      <c r="B1227" t="s">
        <v>3846</v>
      </c>
      <c r="C1227" t="s">
        <v>3847</v>
      </c>
    </row>
    <row r="1228" spans="1:3" x14ac:dyDescent="0.25">
      <c r="A1228" t="s">
        <v>3848</v>
      </c>
      <c r="B1228" t="s">
        <v>3849</v>
      </c>
      <c r="C1228" t="s">
        <v>3850</v>
      </c>
    </row>
    <row r="1229" spans="1:3" x14ac:dyDescent="0.25">
      <c r="A1229" t="s">
        <v>3851</v>
      </c>
      <c r="B1229" t="s">
        <v>3852</v>
      </c>
      <c r="C1229" t="s">
        <v>3853</v>
      </c>
    </row>
    <row r="1230" spans="1:3" x14ac:dyDescent="0.25">
      <c r="A1230" t="s">
        <v>3854</v>
      </c>
      <c r="B1230" t="s">
        <v>3855</v>
      </c>
      <c r="C1230" t="s">
        <v>3856</v>
      </c>
    </row>
    <row r="1231" spans="1:3" x14ac:dyDescent="0.25">
      <c r="A1231" t="s">
        <v>3857</v>
      </c>
      <c r="B1231" t="s">
        <v>3858</v>
      </c>
      <c r="C1231" t="s">
        <v>3859</v>
      </c>
    </row>
    <row r="1232" spans="1:3" x14ac:dyDescent="0.25">
      <c r="A1232" t="s">
        <v>3860</v>
      </c>
      <c r="B1232" t="s">
        <v>3861</v>
      </c>
      <c r="C1232" t="s">
        <v>3862</v>
      </c>
    </row>
    <row r="1233" spans="1:3" x14ac:dyDescent="0.25">
      <c r="A1233" t="s">
        <v>3863</v>
      </c>
      <c r="B1233" t="s">
        <v>3864</v>
      </c>
      <c r="C1233" t="s">
        <v>3865</v>
      </c>
    </row>
    <row r="1234" spans="1:3" x14ac:dyDescent="0.25">
      <c r="A1234" t="s">
        <v>3866</v>
      </c>
      <c r="B1234" t="s">
        <v>3867</v>
      </c>
      <c r="C1234" t="s">
        <v>3868</v>
      </c>
    </row>
    <row r="1235" spans="1:3" x14ac:dyDescent="0.25">
      <c r="A1235" t="s">
        <v>3869</v>
      </c>
      <c r="B1235" t="s">
        <v>3870</v>
      </c>
      <c r="C1235" t="s">
        <v>3871</v>
      </c>
    </row>
    <row r="1236" spans="1:3" x14ac:dyDescent="0.25">
      <c r="A1236" t="s">
        <v>3872</v>
      </c>
      <c r="B1236" t="s">
        <v>3873</v>
      </c>
      <c r="C1236" t="s">
        <v>3874</v>
      </c>
    </row>
    <row r="1237" spans="1:3" x14ac:dyDescent="0.25">
      <c r="A1237" t="s">
        <v>3875</v>
      </c>
      <c r="B1237" t="s">
        <v>3876</v>
      </c>
      <c r="C1237" t="s">
        <v>3877</v>
      </c>
    </row>
    <row r="1238" spans="1:3" x14ac:dyDescent="0.25">
      <c r="A1238" t="s">
        <v>3878</v>
      </c>
      <c r="B1238" t="s">
        <v>3879</v>
      </c>
      <c r="C1238" t="s">
        <v>3880</v>
      </c>
    </row>
    <row r="1239" spans="1:3" x14ac:dyDescent="0.25">
      <c r="A1239" t="s">
        <v>3881</v>
      </c>
      <c r="B1239" t="s">
        <v>3882</v>
      </c>
      <c r="C1239" t="s">
        <v>3883</v>
      </c>
    </row>
    <row r="1240" spans="1:3" x14ac:dyDescent="0.25">
      <c r="A1240" t="s">
        <v>3884</v>
      </c>
      <c r="B1240" t="s">
        <v>3885</v>
      </c>
      <c r="C1240" t="s">
        <v>3886</v>
      </c>
    </row>
    <row r="1241" spans="1:3" x14ac:dyDescent="0.25">
      <c r="A1241" t="s">
        <v>3887</v>
      </c>
      <c r="B1241" t="s">
        <v>3888</v>
      </c>
      <c r="C1241" t="s">
        <v>3889</v>
      </c>
    </row>
    <row r="1242" spans="1:3" x14ac:dyDescent="0.25">
      <c r="A1242" t="s">
        <v>3890</v>
      </c>
      <c r="B1242" t="s">
        <v>3891</v>
      </c>
      <c r="C1242" t="s">
        <v>3892</v>
      </c>
    </row>
    <row r="1243" spans="1:3" x14ac:dyDescent="0.25">
      <c r="A1243" t="s">
        <v>3893</v>
      </c>
      <c r="B1243" t="s">
        <v>3894</v>
      </c>
      <c r="C1243" t="s">
        <v>3895</v>
      </c>
    </row>
    <row r="1244" spans="1:3" x14ac:dyDescent="0.25">
      <c r="A1244" t="s">
        <v>3896</v>
      </c>
      <c r="B1244" t="s">
        <v>3897</v>
      </c>
      <c r="C1244" t="s">
        <v>3898</v>
      </c>
    </row>
    <row r="1245" spans="1:3" x14ac:dyDescent="0.25">
      <c r="A1245" t="s">
        <v>3899</v>
      </c>
      <c r="B1245" t="s">
        <v>3900</v>
      </c>
      <c r="C1245" t="s">
        <v>3901</v>
      </c>
    </row>
    <row r="1246" spans="1:3" x14ac:dyDescent="0.25">
      <c r="A1246" t="s">
        <v>3902</v>
      </c>
      <c r="B1246" t="s">
        <v>3903</v>
      </c>
      <c r="C1246" t="s">
        <v>3904</v>
      </c>
    </row>
    <row r="1247" spans="1:3" x14ac:dyDescent="0.25">
      <c r="A1247" t="s">
        <v>3905</v>
      </c>
      <c r="B1247" t="s">
        <v>3906</v>
      </c>
      <c r="C1247" t="s">
        <v>3907</v>
      </c>
    </row>
    <row r="1248" spans="1:3" x14ac:dyDescent="0.25">
      <c r="A1248" t="s">
        <v>3908</v>
      </c>
      <c r="B1248" t="s">
        <v>3909</v>
      </c>
      <c r="C1248" t="s">
        <v>3910</v>
      </c>
    </row>
    <row r="1249" spans="1:3" x14ac:dyDescent="0.25">
      <c r="A1249" t="s">
        <v>3911</v>
      </c>
      <c r="B1249" t="s">
        <v>3912</v>
      </c>
      <c r="C1249" t="s">
        <v>3913</v>
      </c>
    </row>
    <row r="1250" spans="1:3" x14ac:dyDescent="0.25">
      <c r="A1250" t="s">
        <v>3914</v>
      </c>
      <c r="B1250" t="s">
        <v>3915</v>
      </c>
      <c r="C1250" t="s">
        <v>3916</v>
      </c>
    </row>
    <row r="1251" spans="1:3" x14ac:dyDescent="0.25">
      <c r="A1251" t="s">
        <v>3917</v>
      </c>
      <c r="B1251" t="s">
        <v>3918</v>
      </c>
      <c r="C1251" t="s">
        <v>3919</v>
      </c>
    </row>
    <row r="1252" spans="1:3" x14ac:dyDescent="0.25">
      <c r="A1252" t="s">
        <v>3920</v>
      </c>
      <c r="B1252" t="s">
        <v>3921</v>
      </c>
      <c r="C1252" t="s">
        <v>3922</v>
      </c>
    </row>
    <row r="1253" spans="1:3" x14ac:dyDescent="0.25">
      <c r="A1253" t="s">
        <v>3923</v>
      </c>
      <c r="B1253" t="s">
        <v>3924</v>
      </c>
      <c r="C1253" t="s">
        <v>3925</v>
      </c>
    </row>
    <row r="1254" spans="1:3" x14ac:dyDescent="0.25">
      <c r="A1254" t="s">
        <v>3926</v>
      </c>
      <c r="B1254" t="s">
        <v>3927</v>
      </c>
      <c r="C1254" t="s">
        <v>3928</v>
      </c>
    </row>
    <row r="1255" spans="1:3" x14ac:dyDescent="0.25">
      <c r="A1255" t="s">
        <v>3929</v>
      </c>
      <c r="B1255" t="s">
        <v>3930</v>
      </c>
      <c r="C1255" t="s">
        <v>3931</v>
      </c>
    </row>
    <row r="1256" spans="1:3" x14ac:dyDescent="0.25">
      <c r="A1256" t="s">
        <v>3932</v>
      </c>
      <c r="B1256" t="s">
        <v>3933</v>
      </c>
      <c r="C1256" t="s">
        <v>3934</v>
      </c>
    </row>
    <row r="1257" spans="1:3" x14ac:dyDescent="0.25">
      <c r="A1257" t="s">
        <v>3935</v>
      </c>
      <c r="B1257" t="s">
        <v>3936</v>
      </c>
      <c r="C1257" t="s">
        <v>3937</v>
      </c>
    </row>
    <row r="1258" spans="1:3" x14ac:dyDescent="0.25">
      <c r="A1258" t="s">
        <v>3938</v>
      </c>
      <c r="B1258" t="s">
        <v>3939</v>
      </c>
      <c r="C1258" t="s">
        <v>3940</v>
      </c>
    </row>
    <row r="1259" spans="1:3" x14ac:dyDescent="0.25">
      <c r="A1259" t="s">
        <v>3941</v>
      </c>
      <c r="B1259" t="s">
        <v>3942</v>
      </c>
      <c r="C1259" t="s">
        <v>3943</v>
      </c>
    </row>
    <row r="1260" spans="1:3" x14ac:dyDescent="0.25">
      <c r="A1260" t="s">
        <v>3944</v>
      </c>
      <c r="B1260" t="s">
        <v>3945</v>
      </c>
      <c r="C1260" t="s">
        <v>3946</v>
      </c>
    </row>
    <row r="1261" spans="1:3" x14ac:dyDescent="0.25">
      <c r="A1261" t="s">
        <v>3947</v>
      </c>
      <c r="B1261" t="s">
        <v>3948</v>
      </c>
      <c r="C1261" t="s">
        <v>3949</v>
      </c>
    </row>
    <row r="1262" spans="1:3" x14ac:dyDescent="0.25">
      <c r="A1262" t="s">
        <v>3950</v>
      </c>
      <c r="B1262" t="s">
        <v>3951</v>
      </c>
      <c r="C1262" t="s">
        <v>3952</v>
      </c>
    </row>
    <row r="1263" spans="1:3" x14ac:dyDescent="0.25">
      <c r="A1263" t="s">
        <v>3953</v>
      </c>
      <c r="B1263" t="s">
        <v>3954</v>
      </c>
      <c r="C1263" t="s">
        <v>3955</v>
      </c>
    </row>
    <row r="1264" spans="1:3" x14ac:dyDescent="0.25">
      <c r="A1264" t="s">
        <v>3956</v>
      </c>
      <c r="B1264" t="s">
        <v>3957</v>
      </c>
      <c r="C1264" t="s">
        <v>3958</v>
      </c>
    </row>
    <row r="1265" spans="1:3" x14ac:dyDescent="0.25">
      <c r="A1265" t="s">
        <v>3959</v>
      </c>
      <c r="B1265" t="s">
        <v>3960</v>
      </c>
      <c r="C1265" t="s">
        <v>3961</v>
      </c>
    </row>
    <row r="1266" spans="1:3" x14ac:dyDescent="0.25">
      <c r="A1266" t="s">
        <v>3962</v>
      </c>
      <c r="B1266" t="s">
        <v>3963</v>
      </c>
      <c r="C1266" t="s">
        <v>3964</v>
      </c>
    </row>
    <row r="1267" spans="1:3" x14ac:dyDescent="0.25">
      <c r="A1267" t="s">
        <v>3965</v>
      </c>
      <c r="B1267" t="s">
        <v>3966</v>
      </c>
      <c r="C1267" t="s">
        <v>3967</v>
      </c>
    </row>
    <row r="1268" spans="1:3" x14ac:dyDescent="0.25">
      <c r="A1268" t="s">
        <v>3968</v>
      </c>
      <c r="B1268" t="s">
        <v>3969</v>
      </c>
      <c r="C1268" t="s">
        <v>3970</v>
      </c>
    </row>
    <row r="1269" spans="1:3" x14ac:dyDescent="0.25">
      <c r="A1269" t="s">
        <v>3971</v>
      </c>
      <c r="B1269" t="s">
        <v>3972</v>
      </c>
      <c r="C1269" t="s">
        <v>3973</v>
      </c>
    </row>
    <row r="1270" spans="1:3" x14ac:dyDescent="0.25">
      <c r="A1270" t="s">
        <v>3974</v>
      </c>
      <c r="B1270" t="s">
        <v>3975</v>
      </c>
      <c r="C1270" t="s">
        <v>3976</v>
      </c>
    </row>
    <row r="1271" spans="1:3" x14ac:dyDescent="0.25">
      <c r="A1271" t="s">
        <v>3977</v>
      </c>
      <c r="B1271" t="s">
        <v>3978</v>
      </c>
      <c r="C1271" t="s">
        <v>3979</v>
      </c>
    </row>
    <row r="1272" spans="1:3" x14ac:dyDescent="0.25">
      <c r="A1272" t="s">
        <v>3980</v>
      </c>
      <c r="B1272" t="s">
        <v>3981</v>
      </c>
      <c r="C1272" t="s">
        <v>3982</v>
      </c>
    </row>
    <row r="1273" spans="1:3" x14ac:dyDescent="0.25">
      <c r="A1273" t="s">
        <v>3983</v>
      </c>
      <c r="B1273" t="s">
        <v>3984</v>
      </c>
      <c r="C1273" t="s">
        <v>3985</v>
      </c>
    </row>
    <row r="1274" spans="1:3" x14ac:dyDescent="0.25">
      <c r="A1274" t="s">
        <v>3986</v>
      </c>
      <c r="B1274" t="s">
        <v>3987</v>
      </c>
      <c r="C1274" t="s">
        <v>3988</v>
      </c>
    </row>
    <row r="1275" spans="1:3" x14ac:dyDescent="0.25">
      <c r="A1275" t="s">
        <v>3989</v>
      </c>
      <c r="B1275" t="s">
        <v>3990</v>
      </c>
      <c r="C1275" t="s">
        <v>3991</v>
      </c>
    </row>
    <row r="1276" spans="1:3" x14ac:dyDescent="0.25">
      <c r="A1276" t="s">
        <v>3992</v>
      </c>
      <c r="B1276" t="s">
        <v>3993</v>
      </c>
      <c r="C1276" t="s">
        <v>3994</v>
      </c>
    </row>
    <row r="1277" spans="1:3" x14ac:dyDescent="0.25">
      <c r="A1277" t="s">
        <v>3995</v>
      </c>
      <c r="B1277" t="s">
        <v>3996</v>
      </c>
      <c r="C1277" t="s">
        <v>3997</v>
      </c>
    </row>
    <row r="1278" spans="1:3" x14ac:dyDescent="0.25">
      <c r="A1278" t="s">
        <v>3998</v>
      </c>
      <c r="B1278" t="s">
        <v>3999</v>
      </c>
      <c r="C1278" t="s">
        <v>4000</v>
      </c>
    </row>
    <row r="1279" spans="1:3" x14ac:dyDescent="0.25">
      <c r="A1279" t="s">
        <v>4001</v>
      </c>
      <c r="B1279" t="s">
        <v>4002</v>
      </c>
      <c r="C1279" t="s">
        <v>4003</v>
      </c>
    </row>
    <row r="1280" spans="1:3" x14ac:dyDescent="0.25">
      <c r="A1280" t="s">
        <v>4004</v>
      </c>
      <c r="B1280" t="s">
        <v>4005</v>
      </c>
      <c r="C1280" t="s">
        <v>4006</v>
      </c>
    </row>
    <row r="1281" spans="1:3" x14ac:dyDescent="0.25">
      <c r="A1281" t="s">
        <v>4007</v>
      </c>
      <c r="B1281" t="s">
        <v>4008</v>
      </c>
      <c r="C1281" t="s">
        <v>4009</v>
      </c>
    </row>
    <row r="1282" spans="1:3" x14ac:dyDescent="0.25">
      <c r="A1282" t="s">
        <v>4010</v>
      </c>
      <c r="B1282" t="s">
        <v>4011</v>
      </c>
      <c r="C1282" t="s">
        <v>4012</v>
      </c>
    </row>
    <row r="1283" spans="1:3" x14ac:dyDescent="0.25">
      <c r="A1283" t="s">
        <v>4013</v>
      </c>
      <c r="B1283" t="s">
        <v>4014</v>
      </c>
      <c r="C1283" t="s">
        <v>4015</v>
      </c>
    </row>
    <row r="1284" spans="1:3" x14ac:dyDescent="0.25">
      <c r="A1284" t="s">
        <v>4016</v>
      </c>
      <c r="B1284" t="s">
        <v>4017</v>
      </c>
      <c r="C1284" t="s">
        <v>4018</v>
      </c>
    </row>
    <row r="1285" spans="1:3" x14ac:dyDescent="0.25">
      <c r="A1285" t="s">
        <v>4019</v>
      </c>
      <c r="B1285" t="s">
        <v>4020</v>
      </c>
      <c r="C1285" t="s">
        <v>4021</v>
      </c>
    </row>
    <row r="1286" spans="1:3" x14ac:dyDescent="0.25">
      <c r="A1286" t="s">
        <v>4022</v>
      </c>
      <c r="B1286" t="s">
        <v>4023</v>
      </c>
      <c r="C1286" t="s">
        <v>4024</v>
      </c>
    </row>
    <row r="1287" spans="1:3" x14ac:dyDescent="0.25">
      <c r="A1287" t="s">
        <v>4025</v>
      </c>
      <c r="B1287" t="s">
        <v>4026</v>
      </c>
      <c r="C1287" t="s">
        <v>4027</v>
      </c>
    </row>
    <row r="1288" spans="1:3" x14ac:dyDescent="0.25">
      <c r="A1288" t="s">
        <v>4028</v>
      </c>
      <c r="B1288" t="s">
        <v>4029</v>
      </c>
      <c r="C1288" t="s">
        <v>4030</v>
      </c>
    </row>
    <row r="1289" spans="1:3" x14ac:dyDescent="0.25">
      <c r="A1289" t="s">
        <v>4031</v>
      </c>
      <c r="B1289" t="s">
        <v>4032</v>
      </c>
      <c r="C1289" t="s">
        <v>4033</v>
      </c>
    </row>
    <row r="1290" spans="1:3" x14ac:dyDescent="0.25">
      <c r="A1290" t="s">
        <v>4034</v>
      </c>
      <c r="B1290" t="s">
        <v>4035</v>
      </c>
      <c r="C1290" t="s">
        <v>4036</v>
      </c>
    </row>
    <row r="1291" spans="1:3" x14ac:dyDescent="0.25">
      <c r="A1291" t="s">
        <v>4037</v>
      </c>
      <c r="B1291" t="s">
        <v>4038</v>
      </c>
      <c r="C1291" t="s">
        <v>4039</v>
      </c>
    </row>
    <row r="1292" spans="1:3" x14ac:dyDescent="0.25">
      <c r="A1292" t="s">
        <v>4040</v>
      </c>
      <c r="B1292" t="s">
        <v>4041</v>
      </c>
      <c r="C1292" t="s">
        <v>4042</v>
      </c>
    </row>
    <row r="1293" spans="1:3" x14ac:dyDescent="0.25">
      <c r="A1293" t="s">
        <v>4043</v>
      </c>
      <c r="B1293" t="s">
        <v>4044</v>
      </c>
      <c r="C1293" t="s">
        <v>4045</v>
      </c>
    </row>
    <row r="1294" spans="1:3" x14ac:dyDescent="0.25">
      <c r="A1294" t="s">
        <v>4046</v>
      </c>
      <c r="B1294" t="s">
        <v>4047</v>
      </c>
      <c r="C1294" t="s">
        <v>4048</v>
      </c>
    </row>
    <row r="1295" spans="1:3" x14ac:dyDescent="0.25">
      <c r="A1295" t="s">
        <v>4049</v>
      </c>
      <c r="B1295" t="s">
        <v>4050</v>
      </c>
      <c r="C1295" t="s">
        <v>4051</v>
      </c>
    </row>
    <row r="1296" spans="1:3" x14ac:dyDescent="0.25">
      <c r="A1296" t="s">
        <v>4052</v>
      </c>
      <c r="B1296" t="s">
        <v>4053</v>
      </c>
      <c r="C1296" t="s">
        <v>4054</v>
      </c>
    </row>
    <row r="1297" spans="1:3" x14ac:dyDescent="0.25">
      <c r="A1297" t="s">
        <v>4055</v>
      </c>
      <c r="B1297" t="s">
        <v>4056</v>
      </c>
      <c r="C1297" t="s">
        <v>4057</v>
      </c>
    </row>
    <row r="1298" spans="1:3" x14ac:dyDescent="0.25">
      <c r="A1298" t="s">
        <v>4058</v>
      </c>
      <c r="B1298" t="s">
        <v>4059</v>
      </c>
      <c r="C1298" t="s">
        <v>4060</v>
      </c>
    </row>
    <row r="1299" spans="1:3" x14ac:dyDescent="0.25">
      <c r="A1299" t="s">
        <v>4061</v>
      </c>
      <c r="B1299" t="s">
        <v>4062</v>
      </c>
      <c r="C1299" t="s">
        <v>4063</v>
      </c>
    </row>
    <row r="1300" spans="1:3" x14ac:dyDescent="0.25">
      <c r="A1300" t="s">
        <v>4064</v>
      </c>
      <c r="B1300" t="s">
        <v>4065</v>
      </c>
      <c r="C1300" t="s">
        <v>4066</v>
      </c>
    </row>
    <row r="1301" spans="1:3" x14ac:dyDescent="0.25">
      <c r="A1301" t="s">
        <v>4067</v>
      </c>
      <c r="B1301" t="s">
        <v>4068</v>
      </c>
      <c r="C1301" t="s">
        <v>4069</v>
      </c>
    </row>
    <row r="1302" spans="1:3" x14ac:dyDescent="0.25">
      <c r="A1302" t="s">
        <v>4070</v>
      </c>
      <c r="B1302" t="s">
        <v>4071</v>
      </c>
      <c r="C1302" t="s">
        <v>4072</v>
      </c>
    </row>
    <row r="1303" spans="1:3" x14ac:dyDescent="0.25">
      <c r="A1303" t="s">
        <v>4073</v>
      </c>
      <c r="B1303" t="s">
        <v>4074</v>
      </c>
      <c r="C1303" t="s">
        <v>4075</v>
      </c>
    </row>
    <row r="1304" spans="1:3" x14ac:dyDescent="0.25">
      <c r="A1304" t="s">
        <v>4076</v>
      </c>
      <c r="B1304" t="s">
        <v>4077</v>
      </c>
      <c r="C1304" t="s">
        <v>4078</v>
      </c>
    </row>
    <row r="1305" spans="1:3" x14ac:dyDescent="0.25">
      <c r="A1305" t="s">
        <v>4079</v>
      </c>
      <c r="B1305" t="s">
        <v>4080</v>
      </c>
      <c r="C1305" t="s">
        <v>4081</v>
      </c>
    </row>
    <row r="1306" spans="1:3" x14ac:dyDescent="0.25">
      <c r="A1306" t="s">
        <v>4082</v>
      </c>
      <c r="B1306" t="s">
        <v>4083</v>
      </c>
      <c r="C1306" t="s">
        <v>4084</v>
      </c>
    </row>
    <row r="1307" spans="1:3" x14ac:dyDescent="0.25">
      <c r="A1307" t="s">
        <v>4085</v>
      </c>
      <c r="B1307" t="s">
        <v>4086</v>
      </c>
      <c r="C1307" t="s">
        <v>4087</v>
      </c>
    </row>
    <row r="1308" spans="1:3" x14ac:dyDescent="0.25">
      <c r="A1308" t="s">
        <v>4088</v>
      </c>
      <c r="B1308" t="s">
        <v>4089</v>
      </c>
      <c r="C1308" t="s">
        <v>4090</v>
      </c>
    </row>
    <row r="1309" spans="1:3" x14ac:dyDescent="0.25">
      <c r="A1309" t="s">
        <v>4091</v>
      </c>
      <c r="B1309" t="s">
        <v>4092</v>
      </c>
      <c r="C1309" t="s">
        <v>4093</v>
      </c>
    </row>
    <row r="1310" spans="1:3" x14ac:dyDescent="0.25">
      <c r="A1310" t="s">
        <v>4094</v>
      </c>
      <c r="B1310" t="s">
        <v>4095</v>
      </c>
      <c r="C1310" t="s">
        <v>4096</v>
      </c>
    </row>
    <row r="1311" spans="1:3" x14ac:dyDescent="0.25">
      <c r="A1311" t="s">
        <v>4097</v>
      </c>
      <c r="B1311" t="s">
        <v>4098</v>
      </c>
      <c r="C1311" t="s">
        <v>4099</v>
      </c>
    </row>
    <row r="1312" spans="1:3" x14ac:dyDescent="0.25">
      <c r="A1312" t="s">
        <v>4100</v>
      </c>
      <c r="B1312" t="s">
        <v>4101</v>
      </c>
      <c r="C1312" t="s">
        <v>4102</v>
      </c>
    </row>
    <row r="1313" spans="1:3" x14ac:dyDescent="0.25">
      <c r="A1313" t="s">
        <v>4103</v>
      </c>
      <c r="B1313" t="s">
        <v>4104</v>
      </c>
      <c r="C1313" t="s">
        <v>4105</v>
      </c>
    </row>
    <row r="1314" spans="1:3" x14ac:dyDescent="0.25">
      <c r="A1314" t="s">
        <v>4106</v>
      </c>
      <c r="B1314" t="s">
        <v>4107</v>
      </c>
      <c r="C1314" t="s">
        <v>4108</v>
      </c>
    </row>
    <row r="1315" spans="1:3" x14ac:dyDescent="0.25">
      <c r="A1315" t="s">
        <v>4109</v>
      </c>
      <c r="B1315" t="s">
        <v>4110</v>
      </c>
      <c r="C1315" t="s">
        <v>4111</v>
      </c>
    </row>
    <row r="1316" spans="1:3" x14ac:dyDescent="0.25">
      <c r="A1316" t="s">
        <v>4112</v>
      </c>
      <c r="B1316" t="s">
        <v>4113</v>
      </c>
      <c r="C1316" t="s">
        <v>4114</v>
      </c>
    </row>
    <row r="1317" spans="1:3" x14ac:dyDescent="0.25">
      <c r="A1317" t="s">
        <v>4115</v>
      </c>
      <c r="B1317" t="s">
        <v>4116</v>
      </c>
      <c r="C1317" t="s">
        <v>4117</v>
      </c>
    </row>
    <row r="1318" spans="1:3" x14ac:dyDescent="0.25">
      <c r="A1318" t="s">
        <v>4118</v>
      </c>
      <c r="B1318" t="s">
        <v>4119</v>
      </c>
      <c r="C1318" t="s">
        <v>4120</v>
      </c>
    </row>
    <row r="1319" spans="1:3" x14ac:dyDescent="0.25">
      <c r="A1319" t="s">
        <v>4121</v>
      </c>
      <c r="B1319" t="s">
        <v>4122</v>
      </c>
      <c r="C1319" t="s">
        <v>4123</v>
      </c>
    </row>
    <row r="1320" spans="1:3" x14ac:dyDescent="0.25">
      <c r="A1320" t="s">
        <v>4124</v>
      </c>
      <c r="B1320" t="s">
        <v>4125</v>
      </c>
      <c r="C1320" t="s">
        <v>4126</v>
      </c>
    </row>
    <row r="1321" spans="1:3" x14ac:dyDescent="0.25">
      <c r="A1321" t="s">
        <v>4127</v>
      </c>
      <c r="B1321" t="s">
        <v>4128</v>
      </c>
      <c r="C1321" t="s">
        <v>4129</v>
      </c>
    </row>
    <row r="1322" spans="1:3" x14ac:dyDescent="0.25">
      <c r="A1322" t="s">
        <v>4130</v>
      </c>
      <c r="B1322" t="s">
        <v>4131</v>
      </c>
      <c r="C1322" t="s">
        <v>4132</v>
      </c>
    </row>
    <row r="1323" spans="1:3" x14ac:dyDescent="0.25">
      <c r="A1323" t="s">
        <v>4133</v>
      </c>
      <c r="B1323" t="s">
        <v>4134</v>
      </c>
      <c r="C1323" t="s">
        <v>4135</v>
      </c>
    </row>
    <row r="1324" spans="1:3" x14ac:dyDescent="0.25">
      <c r="A1324" t="s">
        <v>4136</v>
      </c>
      <c r="B1324" t="s">
        <v>4137</v>
      </c>
      <c r="C1324" t="s">
        <v>4138</v>
      </c>
    </row>
    <row r="1325" spans="1:3" x14ac:dyDescent="0.25">
      <c r="A1325" t="s">
        <v>4139</v>
      </c>
      <c r="B1325" t="s">
        <v>4140</v>
      </c>
      <c r="C1325" t="s">
        <v>4141</v>
      </c>
    </row>
    <row r="1326" spans="1:3" x14ac:dyDescent="0.25">
      <c r="A1326" t="s">
        <v>4142</v>
      </c>
      <c r="B1326" t="s">
        <v>4143</v>
      </c>
      <c r="C1326" t="s">
        <v>4144</v>
      </c>
    </row>
    <row r="1327" spans="1:3" x14ac:dyDescent="0.25">
      <c r="A1327" t="s">
        <v>4145</v>
      </c>
      <c r="B1327" t="s">
        <v>4146</v>
      </c>
      <c r="C1327" t="s">
        <v>4147</v>
      </c>
    </row>
    <row r="1328" spans="1:3" x14ac:dyDescent="0.25">
      <c r="A1328" t="s">
        <v>4148</v>
      </c>
      <c r="B1328" t="s">
        <v>4149</v>
      </c>
      <c r="C1328" t="s">
        <v>4150</v>
      </c>
    </row>
    <row r="1329" spans="1:3" x14ac:dyDescent="0.25">
      <c r="A1329" t="s">
        <v>4151</v>
      </c>
      <c r="B1329" t="s">
        <v>4152</v>
      </c>
      <c r="C1329" t="s">
        <v>4153</v>
      </c>
    </row>
    <row r="1330" spans="1:3" x14ac:dyDescent="0.25">
      <c r="A1330" t="s">
        <v>4154</v>
      </c>
      <c r="B1330" t="s">
        <v>4155</v>
      </c>
      <c r="C1330" t="s">
        <v>4156</v>
      </c>
    </row>
    <row r="1331" spans="1:3" x14ac:dyDescent="0.25">
      <c r="A1331" t="s">
        <v>4157</v>
      </c>
      <c r="B1331" t="s">
        <v>4158</v>
      </c>
      <c r="C1331" t="s">
        <v>4159</v>
      </c>
    </row>
    <row r="1332" spans="1:3" x14ac:dyDescent="0.25">
      <c r="A1332" t="s">
        <v>4160</v>
      </c>
      <c r="B1332" t="s">
        <v>4161</v>
      </c>
      <c r="C1332" t="s">
        <v>4162</v>
      </c>
    </row>
    <row r="1333" spans="1:3" x14ac:dyDescent="0.25">
      <c r="A1333" t="s">
        <v>4163</v>
      </c>
      <c r="B1333" t="s">
        <v>4164</v>
      </c>
      <c r="C1333" t="s">
        <v>4165</v>
      </c>
    </row>
    <row r="1334" spans="1:3" x14ac:dyDescent="0.25">
      <c r="A1334" t="s">
        <v>4166</v>
      </c>
      <c r="B1334" t="s">
        <v>4167</v>
      </c>
      <c r="C1334" t="s">
        <v>4168</v>
      </c>
    </row>
    <row r="1335" spans="1:3" x14ac:dyDescent="0.25">
      <c r="A1335" t="s">
        <v>4169</v>
      </c>
      <c r="B1335" t="s">
        <v>4170</v>
      </c>
      <c r="C1335" t="s">
        <v>4171</v>
      </c>
    </row>
    <row r="1336" spans="1:3" x14ac:dyDescent="0.25">
      <c r="A1336" t="s">
        <v>4172</v>
      </c>
      <c r="B1336" t="s">
        <v>4173</v>
      </c>
      <c r="C1336" t="s">
        <v>4174</v>
      </c>
    </row>
    <row r="1337" spans="1:3" x14ac:dyDescent="0.25">
      <c r="A1337" t="s">
        <v>4175</v>
      </c>
      <c r="B1337" t="s">
        <v>4176</v>
      </c>
      <c r="C1337" t="s">
        <v>4177</v>
      </c>
    </row>
    <row r="1338" spans="1:3" x14ac:dyDescent="0.25">
      <c r="A1338" t="s">
        <v>4178</v>
      </c>
      <c r="B1338" t="s">
        <v>4179</v>
      </c>
      <c r="C1338" t="s">
        <v>4180</v>
      </c>
    </row>
    <row r="1339" spans="1:3" x14ac:dyDescent="0.25">
      <c r="A1339" t="s">
        <v>4181</v>
      </c>
      <c r="B1339" t="s">
        <v>4182</v>
      </c>
      <c r="C1339" t="s">
        <v>4183</v>
      </c>
    </row>
    <row r="1340" spans="1:3" x14ac:dyDescent="0.25">
      <c r="A1340" t="s">
        <v>4184</v>
      </c>
      <c r="B1340" t="s">
        <v>4185</v>
      </c>
      <c r="C1340" t="s">
        <v>4186</v>
      </c>
    </row>
    <row r="1341" spans="1:3" x14ac:dyDescent="0.25">
      <c r="A1341" t="s">
        <v>4187</v>
      </c>
      <c r="B1341" t="s">
        <v>4188</v>
      </c>
      <c r="C1341" t="s">
        <v>4189</v>
      </c>
    </row>
    <row r="1342" spans="1:3" x14ac:dyDescent="0.25">
      <c r="A1342" t="s">
        <v>4190</v>
      </c>
      <c r="B1342" t="s">
        <v>4191</v>
      </c>
      <c r="C1342" t="s">
        <v>4192</v>
      </c>
    </row>
    <row r="1343" spans="1:3" x14ac:dyDescent="0.25">
      <c r="A1343" t="s">
        <v>4193</v>
      </c>
      <c r="B1343" t="s">
        <v>4194</v>
      </c>
      <c r="C1343" t="s">
        <v>4195</v>
      </c>
    </row>
    <row r="1344" spans="1:3" x14ac:dyDescent="0.25">
      <c r="A1344" t="s">
        <v>4196</v>
      </c>
      <c r="B1344" t="s">
        <v>4197</v>
      </c>
      <c r="C1344" t="s">
        <v>4198</v>
      </c>
    </row>
    <row r="1345" spans="1:3" x14ac:dyDescent="0.25">
      <c r="A1345" t="s">
        <v>4199</v>
      </c>
      <c r="B1345" t="s">
        <v>4200</v>
      </c>
      <c r="C1345" t="s">
        <v>4201</v>
      </c>
    </row>
    <row r="1346" spans="1:3" x14ac:dyDescent="0.25">
      <c r="A1346" t="s">
        <v>4202</v>
      </c>
      <c r="B1346" t="s">
        <v>4203</v>
      </c>
      <c r="C1346" t="s">
        <v>4204</v>
      </c>
    </row>
    <row r="1347" spans="1:3" x14ac:dyDescent="0.25">
      <c r="A1347" t="s">
        <v>4205</v>
      </c>
      <c r="B1347" t="s">
        <v>4206</v>
      </c>
      <c r="C1347" t="s">
        <v>4207</v>
      </c>
    </row>
    <row r="1348" spans="1:3" x14ac:dyDescent="0.25">
      <c r="A1348" t="s">
        <v>4208</v>
      </c>
      <c r="B1348" t="s">
        <v>4209</v>
      </c>
      <c r="C1348" t="s">
        <v>4210</v>
      </c>
    </row>
    <row r="1349" spans="1:3" x14ac:dyDescent="0.25">
      <c r="A1349" t="s">
        <v>4211</v>
      </c>
      <c r="B1349" t="s">
        <v>4212</v>
      </c>
      <c r="C1349" t="s">
        <v>4213</v>
      </c>
    </row>
    <row r="1350" spans="1:3" x14ac:dyDescent="0.25">
      <c r="A1350" t="s">
        <v>4214</v>
      </c>
      <c r="B1350" t="s">
        <v>4215</v>
      </c>
      <c r="C1350" t="s">
        <v>4216</v>
      </c>
    </row>
    <row r="1351" spans="1:3" x14ac:dyDescent="0.25">
      <c r="A1351" t="s">
        <v>4217</v>
      </c>
      <c r="B1351" t="s">
        <v>4218</v>
      </c>
      <c r="C1351" t="s">
        <v>4219</v>
      </c>
    </row>
    <row r="1352" spans="1:3" x14ac:dyDescent="0.25">
      <c r="A1352" t="s">
        <v>4220</v>
      </c>
      <c r="B1352" t="s">
        <v>4221</v>
      </c>
      <c r="C1352" t="s">
        <v>4222</v>
      </c>
    </row>
    <row r="1353" spans="1:3" x14ac:dyDescent="0.25">
      <c r="A1353" t="s">
        <v>4223</v>
      </c>
      <c r="B1353" t="s">
        <v>4224</v>
      </c>
      <c r="C1353" t="s">
        <v>4225</v>
      </c>
    </row>
    <row r="1354" spans="1:3" x14ac:dyDescent="0.25">
      <c r="A1354" t="s">
        <v>4226</v>
      </c>
      <c r="B1354" t="s">
        <v>4227</v>
      </c>
      <c r="C1354" t="s">
        <v>4228</v>
      </c>
    </row>
    <row r="1355" spans="1:3" x14ac:dyDescent="0.25">
      <c r="A1355" t="s">
        <v>4229</v>
      </c>
      <c r="B1355" t="s">
        <v>4230</v>
      </c>
      <c r="C1355" t="s">
        <v>4231</v>
      </c>
    </row>
    <row r="1356" spans="1:3" x14ac:dyDescent="0.25">
      <c r="A1356" t="s">
        <v>4232</v>
      </c>
      <c r="B1356" t="s">
        <v>4233</v>
      </c>
      <c r="C1356" t="s">
        <v>4234</v>
      </c>
    </row>
    <row r="1357" spans="1:3" x14ac:dyDescent="0.25">
      <c r="A1357" t="s">
        <v>4235</v>
      </c>
      <c r="B1357" t="s">
        <v>4236</v>
      </c>
      <c r="C1357" t="s">
        <v>4237</v>
      </c>
    </row>
    <row r="1358" spans="1:3" x14ac:dyDescent="0.25">
      <c r="A1358" t="s">
        <v>4238</v>
      </c>
      <c r="B1358" t="s">
        <v>4239</v>
      </c>
      <c r="C1358" t="s">
        <v>4240</v>
      </c>
    </row>
    <row r="1359" spans="1:3" x14ac:dyDescent="0.25">
      <c r="A1359" t="s">
        <v>4241</v>
      </c>
      <c r="B1359" t="s">
        <v>4242</v>
      </c>
      <c r="C1359" t="s">
        <v>4243</v>
      </c>
    </row>
    <row r="1360" spans="1:3" x14ac:dyDescent="0.25">
      <c r="A1360" t="s">
        <v>4244</v>
      </c>
      <c r="B1360" t="s">
        <v>4245</v>
      </c>
      <c r="C1360" t="s">
        <v>4246</v>
      </c>
    </row>
    <row r="1361" spans="1:3" x14ac:dyDescent="0.25">
      <c r="A1361" t="s">
        <v>4247</v>
      </c>
      <c r="B1361" t="s">
        <v>4248</v>
      </c>
      <c r="C1361" t="s">
        <v>4249</v>
      </c>
    </row>
    <row r="1362" spans="1:3" x14ac:dyDescent="0.25">
      <c r="A1362" t="s">
        <v>4250</v>
      </c>
      <c r="B1362" t="s">
        <v>4251</v>
      </c>
      <c r="C1362" t="s">
        <v>4252</v>
      </c>
    </row>
    <row r="1363" spans="1:3" x14ac:dyDescent="0.25">
      <c r="A1363" t="s">
        <v>4253</v>
      </c>
      <c r="B1363" t="s">
        <v>4254</v>
      </c>
      <c r="C1363" t="s">
        <v>4255</v>
      </c>
    </row>
    <row r="1364" spans="1:3" x14ac:dyDescent="0.25">
      <c r="A1364" t="s">
        <v>4256</v>
      </c>
      <c r="B1364" t="s">
        <v>4257</v>
      </c>
      <c r="C1364" t="s">
        <v>4258</v>
      </c>
    </row>
    <row r="1365" spans="1:3" x14ac:dyDescent="0.25">
      <c r="A1365" t="s">
        <v>4259</v>
      </c>
      <c r="B1365" t="s">
        <v>4260</v>
      </c>
      <c r="C1365" t="s">
        <v>4261</v>
      </c>
    </row>
    <row r="1366" spans="1:3" x14ac:dyDescent="0.25">
      <c r="A1366" t="s">
        <v>4262</v>
      </c>
      <c r="B1366" t="s">
        <v>4263</v>
      </c>
      <c r="C1366" t="s">
        <v>4264</v>
      </c>
    </row>
    <row r="1367" spans="1:3" x14ac:dyDescent="0.25">
      <c r="A1367" t="s">
        <v>4265</v>
      </c>
      <c r="B1367" t="s">
        <v>4266</v>
      </c>
      <c r="C1367" t="s">
        <v>4267</v>
      </c>
    </row>
    <row r="1368" spans="1:3" x14ac:dyDescent="0.25">
      <c r="A1368" t="s">
        <v>4268</v>
      </c>
      <c r="B1368" t="s">
        <v>4269</v>
      </c>
      <c r="C1368" t="s">
        <v>4270</v>
      </c>
    </row>
    <row r="1369" spans="1:3" x14ac:dyDescent="0.25">
      <c r="A1369" t="s">
        <v>4271</v>
      </c>
      <c r="B1369" t="s">
        <v>4272</v>
      </c>
      <c r="C1369" t="s">
        <v>4273</v>
      </c>
    </row>
    <row r="1370" spans="1:3" x14ac:dyDescent="0.25">
      <c r="A1370" t="s">
        <v>4274</v>
      </c>
      <c r="B1370" t="s">
        <v>4275</v>
      </c>
      <c r="C1370" t="s">
        <v>4276</v>
      </c>
    </row>
    <row r="1371" spans="1:3" x14ac:dyDescent="0.25">
      <c r="A1371" t="s">
        <v>4277</v>
      </c>
      <c r="B1371" t="s">
        <v>4278</v>
      </c>
      <c r="C1371" t="s">
        <v>4279</v>
      </c>
    </row>
    <row r="1372" spans="1:3" x14ac:dyDescent="0.25">
      <c r="A1372" t="s">
        <v>4280</v>
      </c>
      <c r="B1372" t="s">
        <v>4281</v>
      </c>
      <c r="C1372" t="s">
        <v>4282</v>
      </c>
    </row>
    <row r="1373" spans="1:3" x14ac:dyDescent="0.25">
      <c r="A1373" t="s">
        <v>4283</v>
      </c>
      <c r="B1373" t="s">
        <v>4284</v>
      </c>
      <c r="C1373" t="s">
        <v>4285</v>
      </c>
    </row>
    <row r="1374" spans="1:3" x14ac:dyDescent="0.25">
      <c r="A1374" t="s">
        <v>4286</v>
      </c>
      <c r="B1374" t="s">
        <v>4287</v>
      </c>
      <c r="C1374" t="s">
        <v>4288</v>
      </c>
    </row>
    <row r="1375" spans="1:3" x14ac:dyDescent="0.25">
      <c r="A1375" t="s">
        <v>4289</v>
      </c>
      <c r="B1375" t="s">
        <v>4290</v>
      </c>
      <c r="C1375" t="s">
        <v>4291</v>
      </c>
    </row>
    <row r="1376" spans="1:3" x14ac:dyDescent="0.25">
      <c r="A1376" t="s">
        <v>4292</v>
      </c>
      <c r="B1376" t="s">
        <v>4293</v>
      </c>
      <c r="C1376" t="s">
        <v>4294</v>
      </c>
    </row>
    <row r="1377" spans="1:3" x14ac:dyDescent="0.25">
      <c r="A1377" t="s">
        <v>4295</v>
      </c>
      <c r="B1377" t="s">
        <v>4296</v>
      </c>
      <c r="C1377" t="s">
        <v>4297</v>
      </c>
    </row>
    <row r="1378" spans="1:3" x14ac:dyDescent="0.25">
      <c r="A1378" t="s">
        <v>4298</v>
      </c>
      <c r="B1378" t="s">
        <v>4299</v>
      </c>
      <c r="C1378" t="s">
        <v>4300</v>
      </c>
    </row>
    <row r="1379" spans="1:3" x14ac:dyDescent="0.25">
      <c r="A1379" t="s">
        <v>4301</v>
      </c>
      <c r="B1379" t="s">
        <v>4302</v>
      </c>
      <c r="C1379" t="s">
        <v>4303</v>
      </c>
    </row>
    <row r="1380" spans="1:3" x14ac:dyDescent="0.25">
      <c r="A1380" t="s">
        <v>4304</v>
      </c>
      <c r="B1380" t="s">
        <v>4305</v>
      </c>
      <c r="C1380" t="s">
        <v>4306</v>
      </c>
    </row>
    <row r="1381" spans="1:3" x14ac:dyDescent="0.25">
      <c r="A1381" t="s">
        <v>4307</v>
      </c>
      <c r="B1381" t="s">
        <v>4308</v>
      </c>
      <c r="C1381" t="s">
        <v>4309</v>
      </c>
    </row>
    <row r="1382" spans="1:3" x14ac:dyDescent="0.25">
      <c r="A1382" t="s">
        <v>4310</v>
      </c>
      <c r="B1382" t="s">
        <v>4311</v>
      </c>
      <c r="C1382" t="s">
        <v>4312</v>
      </c>
    </row>
    <row r="1383" spans="1:3" x14ac:dyDescent="0.25">
      <c r="A1383" t="s">
        <v>4313</v>
      </c>
      <c r="B1383" t="s">
        <v>4314</v>
      </c>
      <c r="C1383" t="s">
        <v>4315</v>
      </c>
    </row>
    <row r="1384" spans="1:3" x14ac:dyDescent="0.25">
      <c r="A1384" t="s">
        <v>4316</v>
      </c>
      <c r="B1384" t="s">
        <v>4317</v>
      </c>
      <c r="C1384" t="s">
        <v>4318</v>
      </c>
    </row>
    <row r="1385" spans="1:3" x14ac:dyDescent="0.25">
      <c r="A1385" t="s">
        <v>4319</v>
      </c>
      <c r="B1385" t="s">
        <v>4320</v>
      </c>
      <c r="C1385" t="s">
        <v>4321</v>
      </c>
    </row>
    <row r="1386" spans="1:3" x14ac:dyDescent="0.25">
      <c r="A1386" t="s">
        <v>4322</v>
      </c>
      <c r="B1386" t="s">
        <v>4323</v>
      </c>
      <c r="C1386" t="s">
        <v>4324</v>
      </c>
    </row>
    <row r="1387" spans="1:3" x14ac:dyDescent="0.25">
      <c r="A1387" t="s">
        <v>4325</v>
      </c>
      <c r="B1387" t="s">
        <v>4326</v>
      </c>
      <c r="C1387" t="s">
        <v>4327</v>
      </c>
    </row>
    <row r="1388" spans="1:3" x14ac:dyDescent="0.25">
      <c r="A1388" t="s">
        <v>4328</v>
      </c>
      <c r="B1388" t="s">
        <v>4329</v>
      </c>
      <c r="C1388" t="s">
        <v>4330</v>
      </c>
    </row>
    <row r="1389" spans="1:3" x14ac:dyDescent="0.25">
      <c r="A1389" t="s">
        <v>4331</v>
      </c>
      <c r="B1389" t="s">
        <v>4332</v>
      </c>
      <c r="C1389" t="s">
        <v>4333</v>
      </c>
    </row>
    <row r="1390" spans="1:3" x14ac:dyDescent="0.25">
      <c r="A1390" t="s">
        <v>4334</v>
      </c>
      <c r="B1390" t="s">
        <v>4335</v>
      </c>
      <c r="C1390" t="s">
        <v>4336</v>
      </c>
    </row>
    <row r="1391" spans="1:3" x14ac:dyDescent="0.25">
      <c r="A1391" t="s">
        <v>4337</v>
      </c>
      <c r="B1391" t="s">
        <v>4338</v>
      </c>
      <c r="C1391" t="s">
        <v>4339</v>
      </c>
    </row>
    <row r="1392" spans="1:3" x14ac:dyDescent="0.25">
      <c r="A1392" t="s">
        <v>4340</v>
      </c>
      <c r="B1392" t="s">
        <v>4341</v>
      </c>
      <c r="C1392" t="s">
        <v>4342</v>
      </c>
    </row>
    <row r="1393" spans="1:3" x14ac:dyDescent="0.25">
      <c r="A1393" t="s">
        <v>4343</v>
      </c>
      <c r="B1393" t="s">
        <v>4344</v>
      </c>
      <c r="C1393" t="s">
        <v>4345</v>
      </c>
    </row>
    <row r="1394" spans="1:3" x14ac:dyDescent="0.25">
      <c r="A1394" t="s">
        <v>4346</v>
      </c>
      <c r="B1394" t="s">
        <v>4347</v>
      </c>
      <c r="C1394" t="s">
        <v>4348</v>
      </c>
    </row>
    <row r="1395" spans="1:3" x14ac:dyDescent="0.25">
      <c r="A1395" t="s">
        <v>4349</v>
      </c>
      <c r="B1395" t="s">
        <v>4350</v>
      </c>
      <c r="C1395" t="s">
        <v>4351</v>
      </c>
    </row>
    <row r="1396" spans="1:3" x14ac:dyDescent="0.25">
      <c r="A1396" t="s">
        <v>4352</v>
      </c>
      <c r="B1396" t="s">
        <v>4353</v>
      </c>
      <c r="C1396" t="s">
        <v>4354</v>
      </c>
    </row>
    <row r="1397" spans="1:3" x14ac:dyDescent="0.25">
      <c r="A1397" t="s">
        <v>4355</v>
      </c>
      <c r="B1397" t="s">
        <v>4356</v>
      </c>
      <c r="C1397" t="s">
        <v>4357</v>
      </c>
    </row>
    <row r="1398" spans="1:3" x14ac:dyDescent="0.25">
      <c r="A1398" t="s">
        <v>4358</v>
      </c>
      <c r="B1398" t="s">
        <v>4359</v>
      </c>
      <c r="C1398" t="s">
        <v>4360</v>
      </c>
    </row>
    <row r="1399" spans="1:3" x14ac:dyDescent="0.25">
      <c r="A1399" t="s">
        <v>4361</v>
      </c>
      <c r="B1399" t="s">
        <v>4362</v>
      </c>
      <c r="C1399" t="s">
        <v>4363</v>
      </c>
    </row>
    <row r="1400" spans="1:3" x14ac:dyDescent="0.25">
      <c r="A1400" t="s">
        <v>4364</v>
      </c>
      <c r="B1400" t="s">
        <v>4365</v>
      </c>
      <c r="C1400" t="s">
        <v>4366</v>
      </c>
    </row>
    <row r="1401" spans="1:3" x14ac:dyDescent="0.25">
      <c r="A1401" t="s">
        <v>4367</v>
      </c>
      <c r="B1401" t="s">
        <v>4368</v>
      </c>
      <c r="C1401" t="s">
        <v>4369</v>
      </c>
    </row>
    <row r="1402" spans="1:3" x14ac:dyDescent="0.25">
      <c r="A1402" t="s">
        <v>4370</v>
      </c>
      <c r="B1402" t="s">
        <v>4371</v>
      </c>
      <c r="C1402" t="s">
        <v>4372</v>
      </c>
    </row>
    <row r="1403" spans="1:3" x14ac:dyDescent="0.25">
      <c r="A1403" t="s">
        <v>4373</v>
      </c>
      <c r="B1403" t="s">
        <v>4374</v>
      </c>
      <c r="C1403" t="s">
        <v>4375</v>
      </c>
    </row>
    <row r="1404" spans="1:3" x14ac:dyDescent="0.25">
      <c r="A1404" t="s">
        <v>4376</v>
      </c>
      <c r="B1404" t="s">
        <v>4377</v>
      </c>
      <c r="C1404" t="s">
        <v>4378</v>
      </c>
    </row>
    <row r="1405" spans="1:3" x14ac:dyDescent="0.25">
      <c r="A1405" t="s">
        <v>4379</v>
      </c>
      <c r="B1405" t="s">
        <v>4380</v>
      </c>
      <c r="C1405" t="s">
        <v>4381</v>
      </c>
    </row>
    <row r="1406" spans="1:3" x14ac:dyDescent="0.25">
      <c r="A1406" t="s">
        <v>4382</v>
      </c>
      <c r="B1406" t="s">
        <v>4383</v>
      </c>
      <c r="C1406" t="s">
        <v>4384</v>
      </c>
    </row>
    <row r="1407" spans="1:3" x14ac:dyDescent="0.25">
      <c r="A1407" t="s">
        <v>4385</v>
      </c>
      <c r="B1407" t="s">
        <v>4386</v>
      </c>
      <c r="C1407" t="s">
        <v>4387</v>
      </c>
    </row>
    <row r="1408" spans="1:3" x14ac:dyDescent="0.25">
      <c r="A1408" t="s">
        <v>4388</v>
      </c>
      <c r="B1408" t="s">
        <v>4389</v>
      </c>
      <c r="C1408" t="s">
        <v>4390</v>
      </c>
    </row>
    <row r="1409" spans="1:3" x14ac:dyDescent="0.25">
      <c r="A1409" t="s">
        <v>4391</v>
      </c>
      <c r="B1409" t="s">
        <v>4392</v>
      </c>
      <c r="C1409" t="s">
        <v>4393</v>
      </c>
    </row>
    <row r="1410" spans="1:3" x14ac:dyDescent="0.25">
      <c r="A1410" t="s">
        <v>4394</v>
      </c>
      <c r="B1410" t="s">
        <v>4395</v>
      </c>
      <c r="C1410" t="s">
        <v>4396</v>
      </c>
    </row>
    <row r="1411" spans="1:3" x14ac:dyDescent="0.25">
      <c r="A1411" t="s">
        <v>4397</v>
      </c>
      <c r="B1411" t="s">
        <v>4398</v>
      </c>
      <c r="C1411" t="s">
        <v>4399</v>
      </c>
    </row>
    <row r="1412" spans="1:3" x14ac:dyDescent="0.25">
      <c r="A1412" t="s">
        <v>4400</v>
      </c>
      <c r="B1412" t="s">
        <v>4401</v>
      </c>
      <c r="C1412" t="s">
        <v>4402</v>
      </c>
    </row>
    <row r="1413" spans="1:3" x14ac:dyDescent="0.25">
      <c r="A1413" t="s">
        <v>4403</v>
      </c>
      <c r="B1413" t="s">
        <v>4404</v>
      </c>
      <c r="C1413" t="s">
        <v>4405</v>
      </c>
    </row>
    <row r="1414" spans="1:3" x14ac:dyDescent="0.25">
      <c r="A1414" t="s">
        <v>4406</v>
      </c>
      <c r="B1414" t="s">
        <v>4407</v>
      </c>
      <c r="C1414" t="s">
        <v>4408</v>
      </c>
    </row>
    <row r="1415" spans="1:3" x14ac:dyDescent="0.25">
      <c r="A1415" t="s">
        <v>4409</v>
      </c>
      <c r="B1415" t="s">
        <v>4410</v>
      </c>
      <c r="C1415" t="s">
        <v>4411</v>
      </c>
    </row>
    <row r="1416" spans="1:3" x14ac:dyDescent="0.25">
      <c r="A1416" t="s">
        <v>4412</v>
      </c>
      <c r="B1416" t="s">
        <v>4413</v>
      </c>
      <c r="C1416" t="s">
        <v>4414</v>
      </c>
    </row>
    <row r="1417" spans="1:3" x14ac:dyDescent="0.25">
      <c r="A1417" t="s">
        <v>4415</v>
      </c>
      <c r="B1417" t="s">
        <v>4416</v>
      </c>
      <c r="C1417" t="s">
        <v>4417</v>
      </c>
    </row>
    <row r="1418" spans="1:3" x14ac:dyDescent="0.25">
      <c r="A1418" t="s">
        <v>4418</v>
      </c>
      <c r="B1418" t="s">
        <v>4419</v>
      </c>
      <c r="C1418" t="s">
        <v>4420</v>
      </c>
    </row>
    <row r="1419" spans="1:3" x14ac:dyDescent="0.25">
      <c r="A1419" t="s">
        <v>4421</v>
      </c>
      <c r="B1419" t="s">
        <v>4422</v>
      </c>
      <c r="C1419" t="s">
        <v>4423</v>
      </c>
    </row>
    <row r="1420" spans="1:3" x14ac:dyDescent="0.25">
      <c r="A1420" t="s">
        <v>4424</v>
      </c>
      <c r="B1420" t="s">
        <v>4425</v>
      </c>
      <c r="C1420" t="s">
        <v>4426</v>
      </c>
    </row>
    <row r="1421" spans="1:3" x14ac:dyDescent="0.25">
      <c r="A1421" t="s">
        <v>4427</v>
      </c>
      <c r="B1421" t="s">
        <v>4428</v>
      </c>
      <c r="C1421" t="s">
        <v>4429</v>
      </c>
    </row>
    <row r="1422" spans="1:3" x14ac:dyDescent="0.25">
      <c r="A1422" t="s">
        <v>4430</v>
      </c>
      <c r="B1422" t="s">
        <v>4431</v>
      </c>
      <c r="C1422" t="s">
        <v>4432</v>
      </c>
    </row>
    <row r="1423" spans="1:3" x14ac:dyDescent="0.25">
      <c r="A1423" t="s">
        <v>4433</v>
      </c>
      <c r="B1423" t="s">
        <v>4434</v>
      </c>
      <c r="C1423" t="s">
        <v>4435</v>
      </c>
    </row>
    <row r="1424" spans="1:3" x14ac:dyDescent="0.25">
      <c r="A1424" t="s">
        <v>4436</v>
      </c>
      <c r="B1424" t="s">
        <v>4437</v>
      </c>
      <c r="C1424" t="s">
        <v>4438</v>
      </c>
    </row>
    <row r="1425" spans="1:3" x14ac:dyDescent="0.25">
      <c r="A1425" t="s">
        <v>4439</v>
      </c>
      <c r="B1425" t="s">
        <v>4440</v>
      </c>
      <c r="C1425" t="s">
        <v>4441</v>
      </c>
    </row>
    <row r="1426" spans="1:3" x14ac:dyDescent="0.25">
      <c r="A1426" t="s">
        <v>4442</v>
      </c>
      <c r="B1426" t="s">
        <v>4443</v>
      </c>
      <c r="C1426" t="s">
        <v>4444</v>
      </c>
    </row>
    <row r="1427" spans="1:3" x14ac:dyDescent="0.25">
      <c r="A1427" t="s">
        <v>4445</v>
      </c>
      <c r="B1427" t="s">
        <v>4446</v>
      </c>
      <c r="C1427" t="s">
        <v>4447</v>
      </c>
    </row>
    <row r="1428" spans="1:3" x14ac:dyDescent="0.25">
      <c r="A1428" t="s">
        <v>4448</v>
      </c>
      <c r="B1428" t="s">
        <v>4449</v>
      </c>
      <c r="C1428" t="s">
        <v>4450</v>
      </c>
    </row>
    <row r="1429" spans="1:3" x14ac:dyDescent="0.25">
      <c r="A1429" t="s">
        <v>4451</v>
      </c>
      <c r="B1429" t="s">
        <v>4452</v>
      </c>
      <c r="C1429" t="s">
        <v>4453</v>
      </c>
    </row>
    <row r="1430" spans="1:3" x14ac:dyDescent="0.25">
      <c r="A1430" t="s">
        <v>4454</v>
      </c>
      <c r="B1430" t="s">
        <v>4455</v>
      </c>
      <c r="C1430" t="s">
        <v>4456</v>
      </c>
    </row>
    <row r="1431" spans="1:3" x14ac:dyDescent="0.25">
      <c r="A1431" t="s">
        <v>4457</v>
      </c>
      <c r="B1431" t="s">
        <v>4458</v>
      </c>
      <c r="C1431" t="s">
        <v>4459</v>
      </c>
    </row>
    <row r="1432" spans="1:3" x14ac:dyDescent="0.25">
      <c r="A1432" t="s">
        <v>4460</v>
      </c>
      <c r="B1432" t="s">
        <v>4461</v>
      </c>
      <c r="C1432" t="s">
        <v>4462</v>
      </c>
    </row>
    <row r="1433" spans="1:3" x14ac:dyDescent="0.25">
      <c r="A1433" t="s">
        <v>4463</v>
      </c>
      <c r="B1433" t="s">
        <v>4464</v>
      </c>
      <c r="C1433" t="s">
        <v>4465</v>
      </c>
    </row>
    <row r="1434" spans="1:3" x14ac:dyDescent="0.25">
      <c r="A1434" t="s">
        <v>4466</v>
      </c>
      <c r="B1434" t="s">
        <v>4467</v>
      </c>
      <c r="C1434" t="s">
        <v>4468</v>
      </c>
    </row>
    <row r="1435" spans="1:3" x14ac:dyDescent="0.25">
      <c r="A1435" t="s">
        <v>4469</v>
      </c>
      <c r="B1435" t="s">
        <v>4470</v>
      </c>
      <c r="C1435" t="s">
        <v>4471</v>
      </c>
    </row>
    <row r="1436" spans="1:3" x14ac:dyDescent="0.25">
      <c r="A1436" t="s">
        <v>4472</v>
      </c>
      <c r="B1436" t="s">
        <v>4473</v>
      </c>
      <c r="C1436" t="s">
        <v>4474</v>
      </c>
    </row>
    <row r="1437" spans="1:3" x14ac:dyDescent="0.25">
      <c r="A1437" t="s">
        <v>4475</v>
      </c>
      <c r="B1437" t="s">
        <v>4476</v>
      </c>
      <c r="C1437" t="s">
        <v>4477</v>
      </c>
    </row>
    <row r="1438" spans="1:3" x14ac:dyDescent="0.25">
      <c r="A1438" t="s">
        <v>4478</v>
      </c>
      <c r="B1438" t="s">
        <v>4479</v>
      </c>
      <c r="C1438" t="s">
        <v>4480</v>
      </c>
    </row>
    <row r="1439" spans="1:3" x14ac:dyDescent="0.25">
      <c r="A1439" t="s">
        <v>4481</v>
      </c>
      <c r="B1439" t="s">
        <v>4482</v>
      </c>
      <c r="C1439" t="s">
        <v>4483</v>
      </c>
    </row>
    <row r="1440" spans="1:3" x14ac:dyDescent="0.25">
      <c r="A1440" t="s">
        <v>4484</v>
      </c>
      <c r="B1440" t="s">
        <v>4485</v>
      </c>
      <c r="C1440" t="s">
        <v>4486</v>
      </c>
    </row>
    <row r="1441" spans="1:3" x14ac:dyDescent="0.25">
      <c r="A1441" t="s">
        <v>4487</v>
      </c>
      <c r="B1441" t="s">
        <v>4488</v>
      </c>
      <c r="C1441" t="s">
        <v>4489</v>
      </c>
    </row>
    <row r="1442" spans="1:3" x14ac:dyDescent="0.25">
      <c r="A1442" t="s">
        <v>4490</v>
      </c>
      <c r="B1442" t="s">
        <v>4491</v>
      </c>
      <c r="C1442" t="s">
        <v>4492</v>
      </c>
    </row>
    <row r="1443" spans="1:3" x14ac:dyDescent="0.25">
      <c r="A1443" t="s">
        <v>4493</v>
      </c>
      <c r="B1443" t="s">
        <v>4494</v>
      </c>
      <c r="C1443" t="s">
        <v>4495</v>
      </c>
    </row>
    <row r="1444" spans="1:3" x14ac:dyDescent="0.25">
      <c r="A1444" t="s">
        <v>4496</v>
      </c>
      <c r="B1444" t="s">
        <v>4497</v>
      </c>
      <c r="C1444" t="s">
        <v>4498</v>
      </c>
    </row>
    <row r="1445" spans="1:3" x14ac:dyDescent="0.25">
      <c r="A1445" t="s">
        <v>4499</v>
      </c>
      <c r="B1445" t="s">
        <v>4500</v>
      </c>
      <c r="C1445" t="s">
        <v>4501</v>
      </c>
    </row>
    <row r="1446" spans="1:3" x14ac:dyDescent="0.25">
      <c r="A1446" t="s">
        <v>4502</v>
      </c>
      <c r="B1446" t="s">
        <v>4503</v>
      </c>
      <c r="C1446" t="s">
        <v>4504</v>
      </c>
    </row>
    <row r="1447" spans="1:3" x14ac:dyDescent="0.25">
      <c r="A1447" t="s">
        <v>4505</v>
      </c>
      <c r="B1447" t="s">
        <v>4506</v>
      </c>
      <c r="C1447" t="s">
        <v>4507</v>
      </c>
    </row>
    <row r="1448" spans="1:3" x14ac:dyDescent="0.25">
      <c r="A1448" t="s">
        <v>4508</v>
      </c>
      <c r="B1448" t="s">
        <v>4509</v>
      </c>
      <c r="C1448" t="s">
        <v>4510</v>
      </c>
    </row>
    <row r="1449" spans="1:3" x14ac:dyDescent="0.25">
      <c r="A1449" t="s">
        <v>4511</v>
      </c>
      <c r="B1449" t="s">
        <v>4512</v>
      </c>
      <c r="C1449" t="s">
        <v>4513</v>
      </c>
    </row>
    <row r="1450" spans="1:3" x14ac:dyDescent="0.25">
      <c r="A1450" t="s">
        <v>4514</v>
      </c>
      <c r="B1450" t="s">
        <v>4515</v>
      </c>
      <c r="C1450" t="s">
        <v>4516</v>
      </c>
    </row>
    <row r="1451" spans="1:3" x14ac:dyDescent="0.25">
      <c r="A1451" t="s">
        <v>4517</v>
      </c>
      <c r="B1451" t="s">
        <v>4518</v>
      </c>
      <c r="C1451" t="s">
        <v>4519</v>
      </c>
    </row>
    <row r="1452" spans="1:3" x14ac:dyDescent="0.25">
      <c r="A1452" t="s">
        <v>4520</v>
      </c>
      <c r="B1452" t="s">
        <v>4521</v>
      </c>
      <c r="C1452" t="s">
        <v>4522</v>
      </c>
    </row>
    <row r="1453" spans="1:3" x14ac:dyDescent="0.25">
      <c r="A1453" t="s">
        <v>4523</v>
      </c>
      <c r="B1453" t="s">
        <v>4524</v>
      </c>
      <c r="C1453" t="s">
        <v>4525</v>
      </c>
    </row>
    <row r="1454" spans="1:3" x14ac:dyDescent="0.25">
      <c r="A1454" t="s">
        <v>4526</v>
      </c>
      <c r="B1454" t="s">
        <v>4527</v>
      </c>
      <c r="C1454" t="s">
        <v>4528</v>
      </c>
    </row>
    <row r="1455" spans="1:3" x14ac:dyDescent="0.25">
      <c r="A1455" t="s">
        <v>4529</v>
      </c>
      <c r="B1455" t="s">
        <v>4530</v>
      </c>
      <c r="C1455" t="s">
        <v>4531</v>
      </c>
    </row>
    <row r="1456" spans="1:3" x14ac:dyDescent="0.25">
      <c r="A1456" t="s">
        <v>4532</v>
      </c>
      <c r="B1456" t="s">
        <v>4533</v>
      </c>
      <c r="C1456" t="s">
        <v>4534</v>
      </c>
    </row>
    <row r="1457" spans="1:3" x14ac:dyDescent="0.25">
      <c r="A1457" t="s">
        <v>4535</v>
      </c>
      <c r="B1457" t="s">
        <v>4536</v>
      </c>
      <c r="C1457" t="s">
        <v>4537</v>
      </c>
    </row>
    <row r="1458" spans="1:3" x14ac:dyDescent="0.25">
      <c r="A1458" t="s">
        <v>4538</v>
      </c>
      <c r="B1458" t="s">
        <v>4539</v>
      </c>
      <c r="C1458" t="s">
        <v>4540</v>
      </c>
    </row>
    <row r="1459" spans="1:3" x14ac:dyDescent="0.25">
      <c r="A1459" t="s">
        <v>4541</v>
      </c>
      <c r="B1459" t="s">
        <v>4542</v>
      </c>
      <c r="C1459" t="s">
        <v>4543</v>
      </c>
    </row>
    <row r="1460" spans="1:3" x14ac:dyDescent="0.25">
      <c r="A1460" t="s">
        <v>4544</v>
      </c>
      <c r="B1460" t="s">
        <v>4545</v>
      </c>
      <c r="C1460" t="s">
        <v>4546</v>
      </c>
    </row>
    <row r="1461" spans="1:3" x14ac:dyDescent="0.25">
      <c r="A1461" t="s">
        <v>4547</v>
      </c>
      <c r="B1461" t="s">
        <v>4548</v>
      </c>
      <c r="C1461" t="s">
        <v>4549</v>
      </c>
    </row>
    <row r="1462" spans="1:3" x14ac:dyDescent="0.25">
      <c r="A1462" t="s">
        <v>4550</v>
      </c>
      <c r="B1462" t="s">
        <v>4551</v>
      </c>
      <c r="C1462" t="s">
        <v>4552</v>
      </c>
    </row>
    <row r="1463" spans="1:3" x14ac:dyDescent="0.25">
      <c r="A1463" t="s">
        <v>4553</v>
      </c>
      <c r="B1463" t="s">
        <v>4554</v>
      </c>
      <c r="C1463" t="s">
        <v>4555</v>
      </c>
    </row>
    <row r="1464" spans="1:3" x14ac:dyDescent="0.25">
      <c r="A1464" t="s">
        <v>4556</v>
      </c>
      <c r="B1464" t="s">
        <v>4557</v>
      </c>
      <c r="C1464" t="s">
        <v>4558</v>
      </c>
    </row>
    <row r="1465" spans="1:3" x14ac:dyDescent="0.25">
      <c r="A1465" t="s">
        <v>4559</v>
      </c>
      <c r="B1465" t="s">
        <v>4560</v>
      </c>
      <c r="C1465" t="s">
        <v>4561</v>
      </c>
    </row>
    <row r="1466" spans="1:3" x14ac:dyDescent="0.25">
      <c r="A1466" t="s">
        <v>4562</v>
      </c>
      <c r="B1466" t="s">
        <v>4563</v>
      </c>
      <c r="C1466" t="s">
        <v>4564</v>
      </c>
    </row>
    <row r="1467" spans="1:3" x14ac:dyDescent="0.25">
      <c r="A1467" t="s">
        <v>4565</v>
      </c>
      <c r="B1467" t="s">
        <v>4566</v>
      </c>
      <c r="C1467" t="s">
        <v>4567</v>
      </c>
    </row>
    <row r="1468" spans="1:3" x14ac:dyDescent="0.25">
      <c r="A1468" t="s">
        <v>4568</v>
      </c>
      <c r="B1468" t="s">
        <v>4569</v>
      </c>
      <c r="C1468" t="s">
        <v>4570</v>
      </c>
    </row>
    <row r="1469" spans="1:3" x14ac:dyDescent="0.25">
      <c r="A1469" t="s">
        <v>4571</v>
      </c>
      <c r="B1469" t="s">
        <v>4572</v>
      </c>
      <c r="C1469" t="s">
        <v>4573</v>
      </c>
    </row>
    <row r="1470" spans="1:3" x14ac:dyDescent="0.25">
      <c r="A1470" t="s">
        <v>4574</v>
      </c>
      <c r="B1470" t="s">
        <v>4575</v>
      </c>
      <c r="C1470" t="s">
        <v>4576</v>
      </c>
    </row>
    <row r="1471" spans="1:3" x14ac:dyDescent="0.25">
      <c r="A1471" t="s">
        <v>4577</v>
      </c>
      <c r="B1471" t="s">
        <v>4578</v>
      </c>
      <c r="C1471" t="s">
        <v>4579</v>
      </c>
    </row>
    <row r="1472" spans="1:3" x14ac:dyDescent="0.25">
      <c r="A1472" t="s">
        <v>4580</v>
      </c>
      <c r="B1472" t="s">
        <v>4581</v>
      </c>
      <c r="C1472" t="s">
        <v>4582</v>
      </c>
    </row>
    <row r="1473" spans="1:3" x14ac:dyDescent="0.25">
      <c r="A1473" t="s">
        <v>4583</v>
      </c>
      <c r="B1473" t="s">
        <v>4584</v>
      </c>
      <c r="C1473" t="s">
        <v>4585</v>
      </c>
    </row>
    <row r="1474" spans="1:3" x14ac:dyDescent="0.25">
      <c r="A1474" t="s">
        <v>4586</v>
      </c>
      <c r="B1474" t="s">
        <v>4587</v>
      </c>
      <c r="C1474" t="s">
        <v>4588</v>
      </c>
    </row>
    <row r="1475" spans="1:3" x14ac:dyDescent="0.25">
      <c r="A1475" t="s">
        <v>4589</v>
      </c>
      <c r="B1475" t="s">
        <v>4590</v>
      </c>
      <c r="C1475" t="s">
        <v>4591</v>
      </c>
    </row>
    <row r="1476" spans="1:3" x14ac:dyDescent="0.25">
      <c r="A1476" t="s">
        <v>4592</v>
      </c>
      <c r="B1476" t="s">
        <v>4593</v>
      </c>
      <c r="C1476" t="s">
        <v>4594</v>
      </c>
    </row>
    <row r="1477" spans="1:3" x14ac:dyDescent="0.25">
      <c r="A1477" t="s">
        <v>4595</v>
      </c>
      <c r="B1477" t="s">
        <v>4596</v>
      </c>
      <c r="C1477" t="s">
        <v>4597</v>
      </c>
    </row>
    <row r="1478" spans="1:3" x14ac:dyDescent="0.25">
      <c r="A1478" t="s">
        <v>4598</v>
      </c>
      <c r="B1478" t="s">
        <v>4599</v>
      </c>
      <c r="C1478" t="s">
        <v>4600</v>
      </c>
    </row>
    <row r="1479" spans="1:3" x14ac:dyDescent="0.25">
      <c r="A1479" t="s">
        <v>4601</v>
      </c>
      <c r="B1479" t="s">
        <v>4602</v>
      </c>
      <c r="C1479" t="s">
        <v>4603</v>
      </c>
    </row>
    <row r="1480" spans="1:3" x14ac:dyDescent="0.25">
      <c r="A1480" t="s">
        <v>4604</v>
      </c>
      <c r="B1480" t="s">
        <v>4605</v>
      </c>
      <c r="C1480" t="s">
        <v>4606</v>
      </c>
    </row>
    <row r="1481" spans="1:3" x14ac:dyDescent="0.25">
      <c r="A1481" t="s">
        <v>4607</v>
      </c>
      <c r="B1481" t="s">
        <v>4608</v>
      </c>
      <c r="C1481" t="s">
        <v>4609</v>
      </c>
    </row>
    <row r="1482" spans="1:3" x14ac:dyDescent="0.25">
      <c r="A1482" t="s">
        <v>4610</v>
      </c>
      <c r="B1482" t="s">
        <v>4611</v>
      </c>
      <c r="C1482" t="s">
        <v>4612</v>
      </c>
    </row>
    <row r="1483" spans="1:3" x14ac:dyDescent="0.25">
      <c r="A1483" t="s">
        <v>4613</v>
      </c>
      <c r="B1483" t="s">
        <v>4614</v>
      </c>
      <c r="C1483" t="s">
        <v>4615</v>
      </c>
    </row>
    <row r="1484" spans="1:3" x14ac:dyDescent="0.25">
      <c r="A1484" t="s">
        <v>4616</v>
      </c>
      <c r="B1484" t="s">
        <v>4617</v>
      </c>
      <c r="C1484" t="s">
        <v>4618</v>
      </c>
    </row>
    <row r="1485" spans="1:3" x14ac:dyDescent="0.25">
      <c r="A1485" t="s">
        <v>4619</v>
      </c>
      <c r="B1485" t="s">
        <v>4620</v>
      </c>
      <c r="C1485" t="s">
        <v>4621</v>
      </c>
    </row>
    <row r="1486" spans="1:3" x14ac:dyDescent="0.25">
      <c r="A1486" t="s">
        <v>4622</v>
      </c>
      <c r="B1486" t="s">
        <v>4623</v>
      </c>
      <c r="C1486" t="s">
        <v>4624</v>
      </c>
    </row>
    <row r="1487" spans="1:3" x14ac:dyDescent="0.25">
      <c r="A1487" t="s">
        <v>4625</v>
      </c>
      <c r="B1487" t="s">
        <v>4626</v>
      </c>
      <c r="C1487" t="s">
        <v>4627</v>
      </c>
    </row>
    <row r="1488" spans="1:3" x14ac:dyDescent="0.25">
      <c r="A1488" t="s">
        <v>4628</v>
      </c>
      <c r="B1488" t="s">
        <v>4629</v>
      </c>
      <c r="C1488" t="s">
        <v>4630</v>
      </c>
    </row>
    <row r="1489" spans="1:3" x14ac:dyDescent="0.25">
      <c r="A1489" t="s">
        <v>4631</v>
      </c>
      <c r="B1489" t="s">
        <v>4632</v>
      </c>
      <c r="C1489" t="s">
        <v>4633</v>
      </c>
    </row>
    <row r="1490" spans="1:3" x14ac:dyDescent="0.25">
      <c r="A1490" t="s">
        <v>4634</v>
      </c>
      <c r="B1490" t="s">
        <v>4635</v>
      </c>
      <c r="C1490" t="s">
        <v>4636</v>
      </c>
    </row>
    <row r="1491" spans="1:3" x14ac:dyDescent="0.25">
      <c r="A1491" t="s">
        <v>4637</v>
      </c>
      <c r="B1491" t="s">
        <v>4638</v>
      </c>
      <c r="C1491" t="s">
        <v>4639</v>
      </c>
    </row>
    <row r="1492" spans="1:3" x14ac:dyDescent="0.25">
      <c r="A1492" t="s">
        <v>4640</v>
      </c>
      <c r="B1492" t="s">
        <v>4641</v>
      </c>
      <c r="C1492" t="s">
        <v>4642</v>
      </c>
    </row>
    <row r="1493" spans="1:3" x14ac:dyDescent="0.25">
      <c r="A1493" t="s">
        <v>4643</v>
      </c>
      <c r="B1493" t="s">
        <v>4644</v>
      </c>
      <c r="C1493" t="s">
        <v>4645</v>
      </c>
    </row>
    <row r="1494" spans="1:3" x14ac:dyDescent="0.25">
      <c r="A1494" t="s">
        <v>4646</v>
      </c>
      <c r="B1494" t="s">
        <v>4647</v>
      </c>
      <c r="C1494" t="s">
        <v>4648</v>
      </c>
    </row>
    <row r="1495" spans="1:3" x14ac:dyDescent="0.25">
      <c r="A1495" t="s">
        <v>4649</v>
      </c>
      <c r="B1495" t="s">
        <v>4650</v>
      </c>
      <c r="C1495" t="s">
        <v>4651</v>
      </c>
    </row>
    <row r="1496" spans="1:3" x14ac:dyDescent="0.25">
      <c r="A1496" t="s">
        <v>4652</v>
      </c>
      <c r="B1496" t="s">
        <v>4653</v>
      </c>
      <c r="C1496" t="s">
        <v>4654</v>
      </c>
    </row>
    <row r="1497" spans="1:3" x14ac:dyDescent="0.25">
      <c r="A1497" t="s">
        <v>4655</v>
      </c>
      <c r="B1497" t="s">
        <v>4656</v>
      </c>
      <c r="C1497" t="s">
        <v>4657</v>
      </c>
    </row>
    <row r="1498" spans="1:3" x14ac:dyDescent="0.25">
      <c r="A1498" t="s">
        <v>4658</v>
      </c>
      <c r="B1498" t="s">
        <v>4659</v>
      </c>
      <c r="C1498" t="s">
        <v>4660</v>
      </c>
    </row>
    <row r="1499" spans="1:3" x14ac:dyDescent="0.25">
      <c r="A1499" t="s">
        <v>4661</v>
      </c>
      <c r="B1499" t="s">
        <v>4662</v>
      </c>
      <c r="C1499" t="s">
        <v>4663</v>
      </c>
    </row>
    <row r="1500" spans="1:3" x14ac:dyDescent="0.25">
      <c r="A1500" t="s">
        <v>4664</v>
      </c>
      <c r="B1500" t="s">
        <v>4665</v>
      </c>
      <c r="C1500" t="s">
        <v>4666</v>
      </c>
    </row>
    <row r="1501" spans="1:3" x14ac:dyDescent="0.25">
      <c r="A1501" t="s">
        <v>4667</v>
      </c>
      <c r="B1501" t="s">
        <v>4668</v>
      </c>
      <c r="C1501" t="s">
        <v>4669</v>
      </c>
    </row>
    <row r="1502" spans="1:3" x14ac:dyDescent="0.25">
      <c r="A1502" t="s">
        <v>4670</v>
      </c>
      <c r="B1502" t="s">
        <v>4671</v>
      </c>
      <c r="C1502" t="s">
        <v>4672</v>
      </c>
    </row>
    <row r="1503" spans="1:3" x14ac:dyDescent="0.25">
      <c r="A1503" t="s">
        <v>4673</v>
      </c>
      <c r="B1503" t="s">
        <v>4674</v>
      </c>
      <c r="C1503" t="s">
        <v>4675</v>
      </c>
    </row>
    <row r="1504" spans="1:3" x14ac:dyDescent="0.25">
      <c r="A1504" t="s">
        <v>4676</v>
      </c>
      <c r="B1504" t="s">
        <v>4677</v>
      </c>
      <c r="C1504" t="s">
        <v>4678</v>
      </c>
    </row>
    <row r="1505" spans="1:3" x14ac:dyDescent="0.25">
      <c r="A1505" t="s">
        <v>4679</v>
      </c>
      <c r="B1505" t="s">
        <v>4680</v>
      </c>
      <c r="C1505" t="s">
        <v>4681</v>
      </c>
    </row>
    <row r="1506" spans="1:3" x14ac:dyDescent="0.25">
      <c r="A1506" t="s">
        <v>4682</v>
      </c>
      <c r="B1506" t="s">
        <v>4683</v>
      </c>
      <c r="C1506" t="s">
        <v>4684</v>
      </c>
    </row>
    <row r="1507" spans="1:3" x14ac:dyDescent="0.25">
      <c r="A1507" t="s">
        <v>4685</v>
      </c>
      <c r="B1507" t="s">
        <v>4686</v>
      </c>
      <c r="C1507" t="s">
        <v>4687</v>
      </c>
    </row>
    <row r="1508" spans="1:3" x14ac:dyDescent="0.25">
      <c r="A1508" t="s">
        <v>4688</v>
      </c>
      <c r="B1508" t="s">
        <v>4689</v>
      </c>
      <c r="C1508" t="s">
        <v>4690</v>
      </c>
    </row>
    <row r="1509" spans="1:3" x14ac:dyDescent="0.25">
      <c r="A1509" t="s">
        <v>4691</v>
      </c>
      <c r="B1509" t="s">
        <v>4692</v>
      </c>
      <c r="C1509" t="s">
        <v>4693</v>
      </c>
    </row>
    <row r="1510" spans="1:3" x14ac:dyDescent="0.25">
      <c r="A1510" t="s">
        <v>4694</v>
      </c>
      <c r="B1510" t="s">
        <v>4695</v>
      </c>
      <c r="C1510" t="s">
        <v>4696</v>
      </c>
    </row>
    <row r="1511" spans="1:3" x14ac:dyDescent="0.25">
      <c r="A1511" t="s">
        <v>4697</v>
      </c>
      <c r="B1511" t="s">
        <v>4698</v>
      </c>
      <c r="C1511" t="s">
        <v>4699</v>
      </c>
    </row>
    <row r="1512" spans="1:3" x14ac:dyDescent="0.25">
      <c r="A1512" t="s">
        <v>4700</v>
      </c>
      <c r="B1512" t="s">
        <v>4701</v>
      </c>
      <c r="C1512" t="s">
        <v>4702</v>
      </c>
    </row>
    <row r="1513" spans="1:3" x14ac:dyDescent="0.25">
      <c r="A1513" t="s">
        <v>4703</v>
      </c>
      <c r="B1513" t="s">
        <v>4704</v>
      </c>
      <c r="C1513" t="s">
        <v>4705</v>
      </c>
    </row>
    <row r="1514" spans="1:3" x14ac:dyDescent="0.25">
      <c r="A1514" t="s">
        <v>4706</v>
      </c>
      <c r="B1514" t="s">
        <v>4707</v>
      </c>
      <c r="C1514" t="s">
        <v>4708</v>
      </c>
    </row>
    <row r="1515" spans="1:3" x14ac:dyDescent="0.25">
      <c r="A1515" t="s">
        <v>4709</v>
      </c>
      <c r="B1515" t="s">
        <v>4710</v>
      </c>
      <c r="C1515" t="s">
        <v>4711</v>
      </c>
    </row>
    <row r="1516" spans="1:3" x14ac:dyDescent="0.25">
      <c r="A1516" t="s">
        <v>4712</v>
      </c>
      <c r="B1516" t="s">
        <v>4713</v>
      </c>
      <c r="C1516" t="s">
        <v>4714</v>
      </c>
    </row>
    <row r="1517" spans="1:3" x14ac:dyDescent="0.25">
      <c r="A1517" t="s">
        <v>4715</v>
      </c>
      <c r="B1517" t="s">
        <v>4716</v>
      </c>
      <c r="C1517" t="s">
        <v>4717</v>
      </c>
    </row>
    <row r="1518" spans="1:3" x14ac:dyDescent="0.25">
      <c r="A1518" t="s">
        <v>4718</v>
      </c>
      <c r="B1518" t="s">
        <v>4719</v>
      </c>
      <c r="C1518" t="s">
        <v>4720</v>
      </c>
    </row>
    <row r="1519" spans="1:3" x14ac:dyDescent="0.25">
      <c r="A1519" t="s">
        <v>4721</v>
      </c>
      <c r="B1519" t="s">
        <v>4722</v>
      </c>
      <c r="C1519" t="s">
        <v>4723</v>
      </c>
    </row>
    <row r="1520" spans="1:3" x14ac:dyDescent="0.25">
      <c r="A1520" t="s">
        <v>4724</v>
      </c>
      <c r="B1520" t="s">
        <v>4725</v>
      </c>
      <c r="C1520" t="s">
        <v>4726</v>
      </c>
    </row>
    <row r="1521" spans="1:3" x14ac:dyDescent="0.25">
      <c r="A1521" t="s">
        <v>4727</v>
      </c>
      <c r="B1521" t="s">
        <v>4728</v>
      </c>
      <c r="C1521" t="s">
        <v>4729</v>
      </c>
    </row>
    <row r="1522" spans="1:3" x14ac:dyDescent="0.25">
      <c r="A1522" t="s">
        <v>4730</v>
      </c>
      <c r="B1522" t="s">
        <v>4731</v>
      </c>
      <c r="C1522" t="s">
        <v>4732</v>
      </c>
    </row>
    <row r="1523" spans="1:3" x14ac:dyDescent="0.25">
      <c r="A1523" t="s">
        <v>4733</v>
      </c>
      <c r="B1523" t="s">
        <v>4734</v>
      </c>
      <c r="C1523" t="s">
        <v>4735</v>
      </c>
    </row>
    <row r="1524" spans="1:3" x14ac:dyDescent="0.25">
      <c r="A1524" t="s">
        <v>4736</v>
      </c>
      <c r="B1524" t="s">
        <v>4737</v>
      </c>
      <c r="C1524" t="s">
        <v>4738</v>
      </c>
    </row>
    <row r="1525" spans="1:3" x14ac:dyDescent="0.25">
      <c r="A1525" t="s">
        <v>4739</v>
      </c>
      <c r="B1525" t="s">
        <v>4740</v>
      </c>
      <c r="C1525" t="s">
        <v>4741</v>
      </c>
    </row>
    <row r="1526" spans="1:3" x14ac:dyDescent="0.25">
      <c r="A1526" t="s">
        <v>4742</v>
      </c>
      <c r="B1526" t="s">
        <v>4743</v>
      </c>
      <c r="C1526" t="s">
        <v>4744</v>
      </c>
    </row>
    <row r="1527" spans="1:3" x14ac:dyDescent="0.25">
      <c r="A1527" t="s">
        <v>4745</v>
      </c>
      <c r="B1527" t="s">
        <v>4746</v>
      </c>
      <c r="C1527" t="s">
        <v>4747</v>
      </c>
    </row>
    <row r="1528" spans="1:3" x14ac:dyDescent="0.25">
      <c r="A1528" t="s">
        <v>4748</v>
      </c>
      <c r="B1528" t="s">
        <v>4749</v>
      </c>
      <c r="C1528" t="s">
        <v>4750</v>
      </c>
    </row>
    <row r="1529" spans="1:3" x14ac:dyDescent="0.25">
      <c r="A1529" t="s">
        <v>4751</v>
      </c>
      <c r="B1529" t="s">
        <v>4752</v>
      </c>
      <c r="C1529" t="s">
        <v>4753</v>
      </c>
    </row>
    <row r="1530" spans="1:3" x14ac:dyDescent="0.25">
      <c r="A1530" t="s">
        <v>4754</v>
      </c>
      <c r="B1530" t="s">
        <v>4755</v>
      </c>
      <c r="C1530" t="s">
        <v>4756</v>
      </c>
    </row>
    <row r="1531" spans="1:3" x14ac:dyDescent="0.25">
      <c r="A1531" t="s">
        <v>4757</v>
      </c>
      <c r="B1531" t="s">
        <v>4758</v>
      </c>
      <c r="C1531" t="s">
        <v>4759</v>
      </c>
    </row>
    <row r="1532" spans="1:3" x14ac:dyDescent="0.25">
      <c r="A1532" t="s">
        <v>4760</v>
      </c>
      <c r="B1532" t="s">
        <v>4761</v>
      </c>
      <c r="C1532" t="s">
        <v>4762</v>
      </c>
    </row>
    <row r="1533" spans="1:3" x14ac:dyDescent="0.25">
      <c r="A1533" t="s">
        <v>4763</v>
      </c>
      <c r="B1533" t="s">
        <v>4764</v>
      </c>
      <c r="C1533" t="s">
        <v>4765</v>
      </c>
    </row>
    <row r="1534" spans="1:3" x14ac:dyDescent="0.25">
      <c r="A1534" t="s">
        <v>4766</v>
      </c>
      <c r="B1534" t="s">
        <v>4767</v>
      </c>
      <c r="C1534" t="s">
        <v>4768</v>
      </c>
    </row>
    <row r="1535" spans="1:3" x14ac:dyDescent="0.25">
      <c r="A1535" t="s">
        <v>4769</v>
      </c>
      <c r="B1535" t="s">
        <v>4770</v>
      </c>
      <c r="C1535" t="s">
        <v>4771</v>
      </c>
    </row>
    <row r="1536" spans="1:3" x14ac:dyDescent="0.25">
      <c r="A1536" t="s">
        <v>4772</v>
      </c>
      <c r="B1536" t="s">
        <v>4773</v>
      </c>
      <c r="C1536" t="s">
        <v>4774</v>
      </c>
    </row>
    <row r="1537" spans="1:3" x14ac:dyDescent="0.25">
      <c r="A1537" t="s">
        <v>4775</v>
      </c>
      <c r="B1537" t="s">
        <v>4776</v>
      </c>
      <c r="C1537" t="s">
        <v>4777</v>
      </c>
    </row>
    <row r="1538" spans="1:3" x14ac:dyDescent="0.25">
      <c r="A1538" t="s">
        <v>4778</v>
      </c>
      <c r="B1538" t="s">
        <v>4779</v>
      </c>
      <c r="C1538" t="s">
        <v>4780</v>
      </c>
    </row>
    <row r="1539" spans="1:3" x14ac:dyDescent="0.25">
      <c r="A1539" t="s">
        <v>4781</v>
      </c>
      <c r="B1539" t="s">
        <v>4782</v>
      </c>
      <c r="C1539" t="s">
        <v>4783</v>
      </c>
    </row>
    <row r="1540" spans="1:3" x14ac:dyDescent="0.25">
      <c r="A1540" t="s">
        <v>4784</v>
      </c>
      <c r="B1540" t="s">
        <v>4785</v>
      </c>
      <c r="C1540" t="s">
        <v>4786</v>
      </c>
    </row>
    <row r="1541" spans="1:3" x14ac:dyDescent="0.25">
      <c r="A1541" t="s">
        <v>4787</v>
      </c>
      <c r="B1541" t="s">
        <v>4788</v>
      </c>
      <c r="C1541" t="s">
        <v>4789</v>
      </c>
    </row>
    <row r="1542" spans="1:3" x14ac:dyDescent="0.25">
      <c r="A1542" t="s">
        <v>4790</v>
      </c>
      <c r="B1542" t="s">
        <v>4791</v>
      </c>
      <c r="C1542" t="s">
        <v>4792</v>
      </c>
    </row>
    <row r="1543" spans="1:3" x14ac:dyDescent="0.25">
      <c r="A1543" t="s">
        <v>4793</v>
      </c>
      <c r="B1543" t="s">
        <v>4794</v>
      </c>
      <c r="C1543" t="s">
        <v>4795</v>
      </c>
    </row>
    <row r="1544" spans="1:3" x14ac:dyDescent="0.25">
      <c r="A1544" t="s">
        <v>4796</v>
      </c>
      <c r="B1544" t="s">
        <v>4797</v>
      </c>
      <c r="C1544" t="s">
        <v>4798</v>
      </c>
    </row>
    <row r="1545" spans="1:3" x14ac:dyDescent="0.25">
      <c r="A1545" t="s">
        <v>4799</v>
      </c>
      <c r="B1545" t="s">
        <v>4800</v>
      </c>
      <c r="C1545" t="s">
        <v>4801</v>
      </c>
    </row>
    <row r="1546" spans="1:3" x14ac:dyDescent="0.25">
      <c r="A1546" t="s">
        <v>4802</v>
      </c>
      <c r="B1546" t="s">
        <v>4803</v>
      </c>
      <c r="C1546" t="s">
        <v>4804</v>
      </c>
    </row>
    <row r="1547" spans="1:3" x14ac:dyDescent="0.25">
      <c r="A1547" t="s">
        <v>4805</v>
      </c>
      <c r="B1547" t="s">
        <v>4806</v>
      </c>
      <c r="C1547" t="s">
        <v>4807</v>
      </c>
    </row>
    <row r="1548" spans="1:3" x14ac:dyDescent="0.25">
      <c r="A1548" t="s">
        <v>4808</v>
      </c>
      <c r="B1548" t="s">
        <v>4809</v>
      </c>
      <c r="C1548" t="s">
        <v>4810</v>
      </c>
    </row>
    <row r="1549" spans="1:3" x14ac:dyDescent="0.25">
      <c r="A1549" t="s">
        <v>4811</v>
      </c>
      <c r="B1549" t="s">
        <v>4812</v>
      </c>
      <c r="C1549" t="s">
        <v>4813</v>
      </c>
    </row>
    <row r="1550" spans="1:3" x14ac:dyDescent="0.25">
      <c r="A1550" t="s">
        <v>4814</v>
      </c>
      <c r="B1550" t="s">
        <v>4815</v>
      </c>
      <c r="C1550" t="s">
        <v>4816</v>
      </c>
    </row>
    <row r="1551" spans="1:3" x14ac:dyDescent="0.25">
      <c r="A1551" t="s">
        <v>4817</v>
      </c>
      <c r="B1551" t="s">
        <v>4818</v>
      </c>
      <c r="C1551" t="s">
        <v>4819</v>
      </c>
    </row>
    <row r="1552" spans="1:3" x14ac:dyDescent="0.25">
      <c r="A1552" t="s">
        <v>4820</v>
      </c>
      <c r="B1552" t="s">
        <v>4821</v>
      </c>
      <c r="C1552" t="s">
        <v>4822</v>
      </c>
    </row>
    <row r="1553" spans="1:3" x14ac:dyDescent="0.25">
      <c r="A1553" t="s">
        <v>4823</v>
      </c>
      <c r="B1553" t="s">
        <v>4824</v>
      </c>
      <c r="C1553" t="s">
        <v>4825</v>
      </c>
    </row>
    <row r="1554" spans="1:3" x14ac:dyDescent="0.25">
      <c r="A1554" t="s">
        <v>4826</v>
      </c>
      <c r="B1554" t="s">
        <v>4827</v>
      </c>
      <c r="C1554" t="s">
        <v>4828</v>
      </c>
    </row>
    <row r="1555" spans="1:3" x14ac:dyDescent="0.25">
      <c r="A1555" t="s">
        <v>4829</v>
      </c>
      <c r="B1555" t="s">
        <v>4830</v>
      </c>
      <c r="C1555" t="s">
        <v>4831</v>
      </c>
    </row>
    <row r="1556" spans="1:3" x14ac:dyDescent="0.25">
      <c r="A1556" t="s">
        <v>4832</v>
      </c>
      <c r="B1556" t="s">
        <v>4833</v>
      </c>
      <c r="C1556" t="s">
        <v>4834</v>
      </c>
    </row>
    <row r="1557" spans="1:3" x14ac:dyDescent="0.25">
      <c r="A1557" t="s">
        <v>4835</v>
      </c>
      <c r="B1557" t="s">
        <v>4836</v>
      </c>
      <c r="C1557" t="s">
        <v>4837</v>
      </c>
    </row>
    <row r="1558" spans="1:3" x14ac:dyDescent="0.25">
      <c r="A1558" t="s">
        <v>4838</v>
      </c>
      <c r="B1558" t="s">
        <v>4839</v>
      </c>
      <c r="C1558" t="s">
        <v>4840</v>
      </c>
    </row>
    <row r="1559" spans="1:3" x14ac:dyDescent="0.25">
      <c r="A1559" t="s">
        <v>4841</v>
      </c>
      <c r="B1559" t="s">
        <v>4842</v>
      </c>
      <c r="C1559" t="s">
        <v>4843</v>
      </c>
    </row>
    <row r="1560" spans="1:3" x14ac:dyDescent="0.25">
      <c r="A1560" t="s">
        <v>4844</v>
      </c>
      <c r="B1560" t="s">
        <v>4845</v>
      </c>
      <c r="C1560" t="s">
        <v>4846</v>
      </c>
    </row>
    <row r="1561" spans="1:3" x14ac:dyDescent="0.25">
      <c r="A1561" t="s">
        <v>4847</v>
      </c>
      <c r="B1561" t="s">
        <v>4848</v>
      </c>
      <c r="C1561" t="s">
        <v>4849</v>
      </c>
    </row>
    <row r="1562" spans="1:3" x14ac:dyDescent="0.25">
      <c r="A1562" t="s">
        <v>4850</v>
      </c>
      <c r="B1562" t="s">
        <v>4851</v>
      </c>
      <c r="C1562" t="s">
        <v>4852</v>
      </c>
    </row>
    <row r="1563" spans="1:3" x14ac:dyDescent="0.25">
      <c r="A1563" t="s">
        <v>4853</v>
      </c>
      <c r="B1563" t="s">
        <v>4854</v>
      </c>
      <c r="C1563" t="s">
        <v>4855</v>
      </c>
    </row>
    <row r="1564" spans="1:3" x14ac:dyDescent="0.25">
      <c r="A1564" t="s">
        <v>4856</v>
      </c>
      <c r="B1564" t="s">
        <v>4857</v>
      </c>
      <c r="C1564" t="s">
        <v>4858</v>
      </c>
    </row>
    <row r="1565" spans="1:3" x14ac:dyDescent="0.25">
      <c r="A1565" t="s">
        <v>4859</v>
      </c>
      <c r="B1565" t="s">
        <v>4860</v>
      </c>
      <c r="C1565" t="s">
        <v>4861</v>
      </c>
    </row>
    <row r="1566" spans="1:3" x14ac:dyDescent="0.25">
      <c r="A1566" t="s">
        <v>4862</v>
      </c>
      <c r="B1566" t="s">
        <v>4863</v>
      </c>
      <c r="C1566" t="s">
        <v>4864</v>
      </c>
    </row>
    <row r="1567" spans="1:3" x14ac:dyDescent="0.25">
      <c r="A1567" t="s">
        <v>4865</v>
      </c>
      <c r="B1567" t="s">
        <v>4866</v>
      </c>
      <c r="C1567" t="s">
        <v>4867</v>
      </c>
    </row>
    <row r="1568" spans="1:3" x14ac:dyDescent="0.25">
      <c r="A1568" t="s">
        <v>4868</v>
      </c>
      <c r="B1568" t="s">
        <v>4869</v>
      </c>
      <c r="C1568" t="s">
        <v>4870</v>
      </c>
    </row>
    <row r="1569" spans="1:3" x14ac:dyDescent="0.25">
      <c r="A1569" t="s">
        <v>4871</v>
      </c>
      <c r="B1569" t="s">
        <v>4872</v>
      </c>
      <c r="C1569" t="s">
        <v>4873</v>
      </c>
    </row>
    <row r="1570" spans="1:3" x14ac:dyDescent="0.25">
      <c r="A1570" t="s">
        <v>4874</v>
      </c>
      <c r="B1570" t="s">
        <v>4875</v>
      </c>
      <c r="C1570" t="s">
        <v>4876</v>
      </c>
    </row>
    <row r="1571" spans="1:3" x14ac:dyDescent="0.25">
      <c r="A1571" t="s">
        <v>4877</v>
      </c>
      <c r="B1571" t="s">
        <v>4878</v>
      </c>
      <c r="C1571" t="s">
        <v>4879</v>
      </c>
    </row>
    <row r="1572" spans="1:3" x14ac:dyDescent="0.25">
      <c r="A1572" t="s">
        <v>4880</v>
      </c>
      <c r="B1572" t="s">
        <v>4881</v>
      </c>
      <c r="C1572" t="s">
        <v>4882</v>
      </c>
    </row>
    <row r="1573" spans="1:3" x14ac:dyDescent="0.25">
      <c r="A1573" t="s">
        <v>4883</v>
      </c>
      <c r="B1573" t="s">
        <v>4884</v>
      </c>
      <c r="C1573" t="s">
        <v>4885</v>
      </c>
    </row>
    <row r="1574" spans="1:3" x14ac:dyDescent="0.25">
      <c r="A1574" t="s">
        <v>4886</v>
      </c>
      <c r="B1574" t="s">
        <v>4887</v>
      </c>
      <c r="C1574" t="s">
        <v>4888</v>
      </c>
    </row>
    <row r="1575" spans="1:3" x14ac:dyDescent="0.25">
      <c r="A1575" t="s">
        <v>4889</v>
      </c>
      <c r="B1575" t="s">
        <v>4890</v>
      </c>
      <c r="C1575" t="s">
        <v>4891</v>
      </c>
    </row>
    <row r="1576" spans="1:3" x14ac:dyDescent="0.25">
      <c r="A1576" t="s">
        <v>4892</v>
      </c>
      <c r="B1576" t="s">
        <v>4893</v>
      </c>
      <c r="C1576" t="s">
        <v>4894</v>
      </c>
    </row>
    <row r="1577" spans="1:3" x14ac:dyDescent="0.25">
      <c r="A1577" t="s">
        <v>4895</v>
      </c>
      <c r="B1577" t="s">
        <v>4896</v>
      </c>
      <c r="C1577" t="s">
        <v>4897</v>
      </c>
    </row>
    <row r="1578" spans="1:3" x14ac:dyDescent="0.25">
      <c r="A1578" t="s">
        <v>4898</v>
      </c>
      <c r="B1578" t="s">
        <v>4899</v>
      </c>
      <c r="C1578" t="s">
        <v>4900</v>
      </c>
    </row>
    <row r="1579" spans="1:3" x14ac:dyDescent="0.25">
      <c r="A1579" t="s">
        <v>4901</v>
      </c>
      <c r="B1579" t="s">
        <v>4902</v>
      </c>
      <c r="C1579" t="s">
        <v>4903</v>
      </c>
    </row>
    <row r="1580" spans="1:3" x14ac:dyDescent="0.25">
      <c r="A1580" t="s">
        <v>4904</v>
      </c>
      <c r="B1580" t="s">
        <v>4905</v>
      </c>
      <c r="C1580" t="s">
        <v>4906</v>
      </c>
    </row>
    <row r="1581" spans="1:3" x14ac:dyDescent="0.25">
      <c r="A1581" t="s">
        <v>4907</v>
      </c>
      <c r="B1581" t="s">
        <v>4908</v>
      </c>
      <c r="C1581" t="s">
        <v>4909</v>
      </c>
    </row>
    <row r="1582" spans="1:3" x14ac:dyDescent="0.25">
      <c r="A1582" t="s">
        <v>4910</v>
      </c>
      <c r="B1582" t="s">
        <v>4911</v>
      </c>
      <c r="C1582" t="s">
        <v>4912</v>
      </c>
    </row>
    <row r="1583" spans="1:3" x14ac:dyDescent="0.25">
      <c r="A1583" t="s">
        <v>4913</v>
      </c>
      <c r="B1583" t="s">
        <v>4914</v>
      </c>
      <c r="C1583" t="s">
        <v>4915</v>
      </c>
    </row>
    <row r="1584" spans="1:3" x14ac:dyDescent="0.25">
      <c r="A1584" t="s">
        <v>4916</v>
      </c>
      <c r="B1584" t="s">
        <v>4917</v>
      </c>
      <c r="C1584" t="s">
        <v>4918</v>
      </c>
    </row>
    <row r="1585" spans="1:3" x14ac:dyDescent="0.25">
      <c r="A1585" t="s">
        <v>4919</v>
      </c>
      <c r="B1585" t="s">
        <v>4920</v>
      </c>
      <c r="C1585" t="s">
        <v>4921</v>
      </c>
    </row>
    <row r="1586" spans="1:3" x14ac:dyDescent="0.25">
      <c r="A1586" t="s">
        <v>4922</v>
      </c>
      <c r="B1586" t="s">
        <v>4923</v>
      </c>
      <c r="C1586" t="s">
        <v>4924</v>
      </c>
    </row>
    <row r="1587" spans="1:3" x14ac:dyDescent="0.25">
      <c r="A1587" t="s">
        <v>4925</v>
      </c>
      <c r="B1587" t="s">
        <v>4926</v>
      </c>
      <c r="C1587" t="s">
        <v>4927</v>
      </c>
    </row>
    <row r="1588" spans="1:3" x14ac:dyDescent="0.25">
      <c r="A1588" t="s">
        <v>4928</v>
      </c>
      <c r="B1588" t="s">
        <v>4929</v>
      </c>
      <c r="C1588" t="s">
        <v>4930</v>
      </c>
    </row>
    <row r="1589" spans="1:3" x14ac:dyDescent="0.25">
      <c r="A1589" t="s">
        <v>4931</v>
      </c>
      <c r="B1589" t="s">
        <v>4932</v>
      </c>
      <c r="C1589" t="s">
        <v>4933</v>
      </c>
    </row>
    <row r="1590" spans="1:3" x14ac:dyDescent="0.25">
      <c r="A1590" t="s">
        <v>4934</v>
      </c>
      <c r="B1590" t="s">
        <v>4935</v>
      </c>
      <c r="C1590" t="s">
        <v>4936</v>
      </c>
    </row>
    <row r="1591" spans="1:3" x14ac:dyDescent="0.25">
      <c r="A1591" t="s">
        <v>4937</v>
      </c>
      <c r="B1591" t="s">
        <v>4938</v>
      </c>
      <c r="C1591" t="s">
        <v>4939</v>
      </c>
    </row>
    <row r="1592" spans="1:3" x14ac:dyDescent="0.25">
      <c r="A1592" t="s">
        <v>4940</v>
      </c>
      <c r="B1592" t="s">
        <v>4941</v>
      </c>
      <c r="C1592" t="s">
        <v>4942</v>
      </c>
    </row>
    <row r="1593" spans="1:3" x14ac:dyDescent="0.25">
      <c r="A1593" t="s">
        <v>4943</v>
      </c>
      <c r="B1593" t="s">
        <v>4944</v>
      </c>
      <c r="C1593" t="s">
        <v>4945</v>
      </c>
    </row>
    <row r="1594" spans="1:3" x14ac:dyDescent="0.25">
      <c r="A1594" t="s">
        <v>4946</v>
      </c>
      <c r="B1594" t="s">
        <v>4947</v>
      </c>
      <c r="C1594" t="s">
        <v>4948</v>
      </c>
    </row>
    <row r="1595" spans="1:3" x14ac:dyDescent="0.25">
      <c r="A1595" t="s">
        <v>4949</v>
      </c>
      <c r="B1595" t="s">
        <v>4950</v>
      </c>
      <c r="C1595" t="s">
        <v>4951</v>
      </c>
    </row>
    <row r="1596" spans="1:3" x14ac:dyDescent="0.25">
      <c r="A1596" t="s">
        <v>4952</v>
      </c>
      <c r="B1596" t="s">
        <v>4953</v>
      </c>
      <c r="C1596" t="s">
        <v>4954</v>
      </c>
    </row>
    <row r="1597" spans="1:3" x14ac:dyDescent="0.25">
      <c r="A1597" t="s">
        <v>4955</v>
      </c>
      <c r="B1597" t="s">
        <v>4956</v>
      </c>
      <c r="C1597" t="s">
        <v>4957</v>
      </c>
    </row>
    <row r="1598" spans="1:3" x14ac:dyDescent="0.25">
      <c r="A1598" t="s">
        <v>4958</v>
      </c>
      <c r="B1598" t="s">
        <v>4959</v>
      </c>
      <c r="C1598" t="s">
        <v>4960</v>
      </c>
    </row>
    <row r="1599" spans="1:3" x14ac:dyDescent="0.25">
      <c r="A1599" t="s">
        <v>4961</v>
      </c>
      <c r="B1599" t="s">
        <v>4962</v>
      </c>
      <c r="C1599" t="s">
        <v>4963</v>
      </c>
    </row>
    <row r="1600" spans="1:3" x14ac:dyDescent="0.25">
      <c r="A1600" t="s">
        <v>4964</v>
      </c>
      <c r="B1600" t="s">
        <v>4965</v>
      </c>
      <c r="C1600" t="s">
        <v>4966</v>
      </c>
    </row>
    <row r="1601" spans="1:3" x14ac:dyDescent="0.25">
      <c r="A1601" t="s">
        <v>4967</v>
      </c>
      <c r="B1601" t="s">
        <v>4968</v>
      </c>
      <c r="C1601" t="s">
        <v>4969</v>
      </c>
    </row>
    <row r="1602" spans="1:3" x14ac:dyDescent="0.25">
      <c r="A1602" t="s">
        <v>4970</v>
      </c>
      <c r="B1602" t="s">
        <v>4971</v>
      </c>
      <c r="C1602" t="s">
        <v>4972</v>
      </c>
    </row>
    <row r="1603" spans="1:3" x14ac:dyDescent="0.25">
      <c r="A1603" t="s">
        <v>4973</v>
      </c>
      <c r="B1603" t="s">
        <v>4974</v>
      </c>
      <c r="C1603" t="s">
        <v>4975</v>
      </c>
    </row>
    <row r="1604" spans="1:3" x14ac:dyDescent="0.25">
      <c r="A1604" t="s">
        <v>4976</v>
      </c>
      <c r="B1604" t="s">
        <v>4977</v>
      </c>
      <c r="C1604" t="s">
        <v>4978</v>
      </c>
    </row>
    <row r="1605" spans="1:3" x14ac:dyDescent="0.25">
      <c r="A1605" t="s">
        <v>4979</v>
      </c>
      <c r="B1605" t="s">
        <v>4980</v>
      </c>
      <c r="C1605" t="s">
        <v>4981</v>
      </c>
    </row>
    <row r="1606" spans="1:3" x14ac:dyDescent="0.25">
      <c r="A1606" t="s">
        <v>4982</v>
      </c>
      <c r="B1606" t="s">
        <v>4983</v>
      </c>
      <c r="C1606" t="s">
        <v>4984</v>
      </c>
    </row>
    <row r="1607" spans="1:3" x14ac:dyDescent="0.25">
      <c r="A1607" t="s">
        <v>4985</v>
      </c>
      <c r="B1607" t="s">
        <v>4986</v>
      </c>
      <c r="C1607" t="s">
        <v>4987</v>
      </c>
    </row>
    <row r="1608" spans="1:3" x14ac:dyDescent="0.25">
      <c r="A1608" t="s">
        <v>4988</v>
      </c>
      <c r="B1608" t="s">
        <v>4989</v>
      </c>
      <c r="C1608" t="s">
        <v>4990</v>
      </c>
    </row>
    <row r="1609" spans="1:3" x14ac:dyDescent="0.25">
      <c r="A1609" t="s">
        <v>4991</v>
      </c>
      <c r="B1609" t="s">
        <v>4992</v>
      </c>
      <c r="C1609" t="s">
        <v>4993</v>
      </c>
    </row>
    <row r="1610" spans="1:3" x14ac:dyDescent="0.25">
      <c r="A1610" t="s">
        <v>4994</v>
      </c>
      <c r="B1610" t="s">
        <v>4995</v>
      </c>
      <c r="C1610" t="s">
        <v>4996</v>
      </c>
    </row>
    <row r="1611" spans="1:3" x14ac:dyDescent="0.25">
      <c r="A1611" t="s">
        <v>4997</v>
      </c>
      <c r="B1611" t="s">
        <v>4998</v>
      </c>
      <c r="C1611" t="s">
        <v>4999</v>
      </c>
    </row>
    <row r="1612" spans="1:3" x14ac:dyDescent="0.25">
      <c r="A1612" t="s">
        <v>5000</v>
      </c>
      <c r="B1612" t="s">
        <v>5001</v>
      </c>
      <c r="C1612" t="s">
        <v>5002</v>
      </c>
    </row>
    <row r="1613" spans="1:3" x14ac:dyDescent="0.25">
      <c r="A1613" t="s">
        <v>5003</v>
      </c>
      <c r="B1613" t="s">
        <v>5004</v>
      </c>
      <c r="C1613" t="s">
        <v>5005</v>
      </c>
    </row>
    <row r="1614" spans="1:3" x14ac:dyDescent="0.25">
      <c r="A1614" t="s">
        <v>5006</v>
      </c>
      <c r="B1614" t="s">
        <v>5007</v>
      </c>
      <c r="C1614" t="s">
        <v>5008</v>
      </c>
    </row>
    <row r="1615" spans="1:3" x14ac:dyDescent="0.25">
      <c r="A1615" t="s">
        <v>5009</v>
      </c>
      <c r="B1615" t="s">
        <v>5010</v>
      </c>
      <c r="C1615" t="s">
        <v>5011</v>
      </c>
    </row>
    <row r="1616" spans="1:3" x14ac:dyDescent="0.25">
      <c r="A1616" t="s">
        <v>5012</v>
      </c>
      <c r="B1616" t="s">
        <v>5013</v>
      </c>
      <c r="C1616" t="s">
        <v>5014</v>
      </c>
    </row>
    <row r="1617" spans="1:3" x14ac:dyDescent="0.25">
      <c r="A1617" t="s">
        <v>5015</v>
      </c>
      <c r="B1617" t="s">
        <v>5016</v>
      </c>
      <c r="C1617" t="s">
        <v>5017</v>
      </c>
    </row>
    <row r="1618" spans="1:3" x14ac:dyDescent="0.25">
      <c r="A1618" t="s">
        <v>5018</v>
      </c>
      <c r="B1618" t="s">
        <v>5019</v>
      </c>
      <c r="C1618" t="s">
        <v>5020</v>
      </c>
    </row>
    <row r="1619" spans="1:3" x14ac:dyDescent="0.25">
      <c r="A1619" t="s">
        <v>5021</v>
      </c>
      <c r="B1619" t="s">
        <v>5022</v>
      </c>
      <c r="C1619" t="s">
        <v>5023</v>
      </c>
    </row>
    <row r="1620" spans="1:3" x14ac:dyDescent="0.25">
      <c r="A1620" t="s">
        <v>5024</v>
      </c>
      <c r="B1620" t="s">
        <v>5025</v>
      </c>
      <c r="C1620" t="s">
        <v>5026</v>
      </c>
    </row>
    <row r="1621" spans="1:3" x14ac:dyDescent="0.25">
      <c r="A1621" t="s">
        <v>5027</v>
      </c>
      <c r="B1621" t="s">
        <v>5028</v>
      </c>
      <c r="C1621" t="s">
        <v>5029</v>
      </c>
    </row>
    <row r="1622" spans="1:3" x14ac:dyDescent="0.25">
      <c r="A1622" t="s">
        <v>5030</v>
      </c>
      <c r="B1622" t="s">
        <v>5031</v>
      </c>
      <c r="C1622" t="s">
        <v>5032</v>
      </c>
    </row>
    <row r="1623" spans="1:3" x14ac:dyDescent="0.25">
      <c r="A1623" t="s">
        <v>5033</v>
      </c>
      <c r="B1623" t="s">
        <v>5034</v>
      </c>
      <c r="C1623" t="s">
        <v>5035</v>
      </c>
    </row>
    <row r="1624" spans="1:3" x14ac:dyDescent="0.25">
      <c r="A1624" t="s">
        <v>5036</v>
      </c>
      <c r="B1624" t="s">
        <v>5037</v>
      </c>
      <c r="C1624" t="s">
        <v>5038</v>
      </c>
    </row>
    <row r="1625" spans="1:3" x14ac:dyDescent="0.25">
      <c r="A1625" t="s">
        <v>5039</v>
      </c>
      <c r="B1625" t="s">
        <v>5040</v>
      </c>
      <c r="C1625" t="s">
        <v>5041</v>
      </c>
    </row>
    <row r="1626" spans="1:3" x14ac:dyDescent="0.25">
      <c r="A1626" t="s">
        <v>5042</v>
      </c>
      <c r="B1626" t="s">
        <v>5043</v>
      </c>
      <c r="C1626" t="s">
        <v>5044</v>
      </c>
    </row>
    <row r="1627" spans="1:3" x14ac:dyDescent="0.25">
      <c r="A1627" t="s">
        <v>5045</v>
      </c>
      <c r="B1627" t="s">
        <v>5046</v>
      </c>
      <c r="C1627" t="s">
        <v>5047</v>
      </c>
    </row>
    <row r="1628" spans="1:3" x14ac:dyDescent="0.25">
      <c r="A1628" t="s">
        <v>5048</v>
      </c>
      <c r="B1628" t="s">
        <v>5049</v>
      </c>
      <c r="C1628" t="s">
        <v>5050</v>
      </c>
    </row>
    <row r="1629" spans="1:3" x14ac:dyDescent="0.25">
      <c r="A1629" t="s">
        <v>5051</v>
      </c>
      <c r="B1629" t="s">
        <v>5052</v>
      </c>
      <c r="C1629" t="s">
        <v>5053</v>
      </c>
    </row>
    <row r="1630" spans="1:3" x14ac:dyDescent="0.25">
      <c r="A1630" t="s">
        <v>5054</v>
      </c>
      <c r="B1630" t="s">
        <v>5055</v>
      </c>
      <c r="C1630" t="s">
        <v>5056</v>
      </c>
    </row>
    <row r="1631" spans="1:3" x14ac:dyDescent="0.25">
      <c r="A1631" t="s">
        <v>5057</v>
      </c>
      <c r="B1631" t="s">
        <v>5058</v>
      </c>
      <c r="C1631" t="s">
        <v>5059</v>
      </c>
    </row>
    <row r="1632" spans="1:3" x14ac:dyDescent="0.25">
      <c r="A1632" t="s">
        <v>5060</v>
      </c>
      <c r="B1632" t="s">
        <v>5061</v>
      </c>
      <c r="C1632" t="s">
        <v>5062</v>
      </c>
    </row>
    <row r="1633" spans="1:3" x14ac:dyDescent="0.25">
      <c r="A1633" t="s">
        <v>5063</v>
      </c>
      <c r="B1633" t="s">
        <v>5064</v>
      </c>
      <c r="C1633" t="s">
        <v>5065</v>
      </c>
    </row>
    <row r="1634" spans="1:3" x14ac:dyDescent="0.25">
      <c r="A1634" t="s">
        <v>5066</v>
      </c>
      <c r="B1634" t="s">
        <v>5067</v>
      </c>
      <c r="C1634" t="s">
        <v>5068</v>
      </c>
    </row>
    <row r="1635" spans="1:3" x14ac:dyDescent="0.25">
      <c r="A1635" t="s">
        <v>5069</v>
      </c>
      <c r="B1635" t="s">
        <v>5070</v>
      </c>
      <c r="C1635" t="s">
        <v>5071</v>
      </c>
    </row>
    <row r="1636" spans="1:3" x14ac:dyDescent="0.25">
      <c r="A1636" t="s">
        <v>5072</v>
      </c>
      <c r="B1636" t="s">
        <v>5073</v>
      </c>
      <c r="C1636" t="s">
        <v>5074</v>
      </c>
    </row>
    <row r="1637" spans="1:3" x14ac:dyDescent="0.25">
      <c r="A1637" t="s">
        <v>5075</v>
      </c>
      <c r="B1637" t="s">
        <v>5076</v>
      </c>
      <c r="C1637" t="s">
        <v>5077</v>
      </c>
    </row>
    <row r="1638" spans="1:3" x14ac:dyDescent="0.25">
      <c r="A1638" t="s">
        <v>5078</v>
      </c>
      <c r="B1638" t="s">
        <v>5079</v>
      </c>
      <c r="C1638" t="s">
        <v>5080</v>
      </c>
    </row>
    <row r="1639" spans="1:3" x14ac:dyDescent="0.25">
      <c r="A1639" t="s">
        <v>5081</v>
      </c>
      <c r="B1639" t="s">
        <v>5082</v>
      </c>
      <c r="C1639" t="s">
        <v>5083</v>
      </c>
    </row>
    <row r="1640" spans="1:3" x14ac:dyDescent="0.25">
      <c r="A1640" t="s">
        <v>5084</v>
      </c>
      <c r="B1640" t="s">
        <v>5085</v>
      </c>
      <c r="C1640" t="s">
        <v>5086</v>
      </c>
    </row>
    <row r="1641" spans="1:3" x14ac:dyDescent="0.25">
      <c r="A1641" t="s">
        <v>5087</v>
      </c>
      <c r="B1641" t="s">
        <v>5088</v>
      </c>
      <c r="C1641" t="s">
        <v>5089</v>
      </c>
    </row>
    <row r="1642" spans="1:3" x14ac:dyDescent="0.25">
      <c r="A1642" t="s">
        <v>5090</v>
      </c>
      <c r="B1642" t="s">
        <v>5091</v>
      </c>
      <c r="C1642" t="s">
        <v>5092</v>
      </c>
    </row>
    <row r="1643" spans="1:3" x14ac:dyDescent="0.25">
      <c r="A1643" t="s">
        <v>5093</v>
      </c>
      <c r="B1643" t="s">
        <v>5094</v>
      </c>
      <c r="C1643" t="s">
        <v>5095</v>
      </c>
    </row>
    <row r="1644" spans="1:3" x14ac:dyDescent="0.25">
      <c r="A1644" t="s">
        <v>5096</v>
      </c>
      <c r="B1644" t="s">
        <v>5097</v>
      </c>
      <c r="C1644" t="s">
        <v>5098</v>
      </c>
    </row>
    <row r="1645" spans="1:3" x14ac:dyDescent="0.25">
      <c r="A1645" t="s">
        <v>5099</v>
      </c>
      <c r="B1645" t="s">
        <v>5100</v>
      </c>
      <c r="C1645" t="s">
        <v>5101</v>
      </c>
    </row>
    <row r="1646" spans="1:3" x14ac:dyDescent="0.25">
      <c r="A1646" t="s">
        <v>5102</v>
      </c>
      <c r="B1646" t="s">
        <v>5103</v>
      </c>
      <c r="C1646" t="s">
        <v>5104</v>
      </c>
    </row>
    <row r="1647" spans="1:3" x14ac:dyDescent="0.25">
      <c r="A1647" t="s">
        <v>5105</v>
      </c>
      <c r="B1647" t="s">
        <v>5106</v>
      </c>
      <c r="C1647" t="s">
        <v>5107</v>
      </c>
    </row>
    <row r="1648" spans="1:3" x14ac:dyDescent="0.25">
      <c r="A1648" t="s">
        <v>5108</v>
      </c>
      <c r="B1648" t="s">
        <v>5109</v>
      </c>
      <c r="C1648" t="s">
        <v>5110</v>
      </c>
    </row>
    <row r="1649" spans="1:3" x14ac:dyDescent="0.25">
      <c r="A1649" t="s">
        <v>5111</v>
      </c>
      <c r="B1649" t="s">
        <v>5112</v>
      </c>
      <c r="C1649" t="s">
        <v>5113</v>
      </c>
    </row>
    <row r="1650" spans="1:3" x14ac:dyDescent="0.25">
      <c r="A1650" t="s">
        <v>5114</v>
      </c>
      <c r="B1650" t="s">
        <v>5115</v>
      </c>
      <c r="C1650" t="s">
        <v>5116</v>
      </c>
    </row>
    <row r="1651" spans="1:3" x14ac:dyDescent="0.25">
      <c r="A1651" t="s">
        <v>5117</v>
      </c>
      <c r="B1651" t="s">
        <v>5118</v>
      </c>
      <c r="C1651" t="s">
        <v>5119</v>
      </c>
    </row>
    <row r="1652" spans="1:3" x14ac:dyDescent="0.25">
      <c r="A1652" t="s">
        <v>5120</v>
      </c>
      <c r="B1652" t="s">
        <v>5121</v>
      </c>
      <c r="C1652" t="s">
        <v>5122</v>
      </c>
    </row>
    <row r="1653" spans="1:3" x14ac:dyDescent="0.25">
      <c r="A1653" t="s">
        <v>5123</v>
      </c>
      <c r="B1653" t="s">
        <v>5124</v>
      </c>
      <c r="C1653" t="s">
        <v>5125</v>
      </c>
    </row>
    <row r="1654" spans="1:3" x14ac:dyDescent="0.25">
      <c r="A1654" t="s">
        <v>5126</v>
      </c>
      <c r="B1654" t="s">
        <v>5127</v>
      </c>
      <c r="C1654" t="s">
        <v>5128</v>
      </c>
    </row>
    <row r="1655" spans="1:3" x14ac:dyDescent="0.25">
      <c r="A1655" t="s">
        <v>5129</v>
      </c>
      <c r="B1655" t="s">
        <v>5130</v>
      </c>
      <c r="C1655" t="s">
        <v>5131</v>
      </c>
    </row>
    <row r="1656" spans="1:3" x14ac:dyDescent="0.25">
      <c r="A1656" t="s">
        <v>5132</v>
      </c>
      <c r="B1656" t="s">
        <v>5133</v>
      </c>
      <c r="C1656" t="s">
        <v>5134</v>
      </c>
    </row>
    <row r="1657" spans="1:3" x14ac:dyDescent="0.25">
      <c r="A1657" t="s">
        <v>5135</v>
      </c>
      <c r="B1657" t="s">
        <v>5136</v>
      </c>
      <c r="C1657" t="s">
        <v>5137</v>
      </c>
    </row>
    <row r="1658" spans="1:3" x14ac:dyDescent="0.25">
      <c r="A1658" t="s">
        <v>5138</v>
      </c>
      <c r="B1658" t="s">
        <v>5139</v>
      </c>
      <c r="C1658" t="s">
        <v>5140</v>
      </c>
    </row>
    <row r="1659" spans="1:3" x14ac:dyDescent="0.25">
      <c r="A1659" t="s">
        <v>5141</v>
      </c>
      <c r="B1659" t="s">
        <v>5142</v>
      </c>
      <c r="C1659" t="s">
        <v>5143</v>
      </c>
    </row>
    <row r="1660" spans="1:3" x14ac:dyDescent="0.25">
      <c r="A1660" t="s">
        <v>5144</v>
      </c>
      <c r="B1660" t="s">
        <v>5145</v>
      </c>
      <c r="C1660" t="s">
        <v>5146</v>
      </c>
    </row>
    <row r="1661" spans="1:3" x14ac:dyDescent="0.25">
      <c r="A1661" t="s">
        <v>5147</v>
      </c>
      <c r="B1661" t="s">
        <v>5148</v>
      </c>
      <c r="C1661" t="s">
        <v>5149</v>
      </c>
    </row>
    <row r="1662" spans="1:3" x14ac:dyDescent="0.25">
      <c r="A1662" t="s">
        <v>5150</v>
      </c>
      <c r="B1662" t="s">
        <v>5151</v>
      </c>
      <c r="C1662" t="s">
        <v>5152</v>
      </c>
    </row>
    <row r="1663" spans="1:3" x14ac:dyDescent="0.25">
      <c r="A1663" t="s">
        <v>5153</v>
      </c>
      <c r="B1663" t="s">
        <v>5154</v>
      </c>
      <c r="C1663" t="s">
        <v>5155</v>
      </c>
    </row>
    <row r="1664" spans="1:3" x14ac:dyDescent="0.25">
      <c r="A1664" t="s">
        <v>5156</v>
      </c>
      <c r="B1664" t="s">
        <v>5157</v>
      </c>
      <c r="C1664" t="s">
        <v>5158</v>
      </c>
    </row>
    <row r="1665" spans="1:3" x14ac:dyDescent="0.25">
      <c r="A1665" t="s">
        <v>5159</v>
      </c>
      <c r="B1665" t="s">
        <v>5160</v>
      </c>
      <c r="C1665" t="s">
        <v>5161</v>
      </c>
    </row>
    <row r="1666" spans="1:3" x14ac:dyDescent="0.25">
      <c r="A1666" t="s">
        <v>5162</v>
      </c>
      <c r="B1666" t="s">
        <v>5163</v>
      </c>
      <c r="C1666" t="s">
        <v>5164</v>
      </c>
    </row>
    <row r="1667" spans="1:3" x14ac:dyDescent="0.25">
      <c r="A1667" t="s">
        <v>5165</v>
      </c>
      <c r="B1667" t="s">
        <v>5166</v>
      </c>
      <c r="C1667" t="s">
        <v>5167</v>
      </c>
    </row>
    <row r="1668" spans="1:3" x14ac:dyDescent="0.25">
      <c r="A1668" t="s">
        <v>5168</v>
      </c>
      <c r="B1668" t="s">
        <v>5169</v>
      </c>
      <c r="C1668" t="s">
        <v>5170</v>
      </c>
    </row>
    <row r="1669" spans="1:3" x14ac:dyDescent="0.25">
      <c r="A1669" t="s">
        <v>5171</v>
      </c>
      <c r="B1669" t="s">
        <v>5172</v>
      </c>
      <c r="C1669" t="s">
        <v>5173</v>
      </c>
    </row>
    <row r="1670" spans="1:3" x14ac:dyDescent="0.25">
      <c r="A1670" t="s">
        <v>5174</v>
      </c>
      <c r="B1670" t="s">
        <v>5175</v>
      </c>
      <c r="C1670" t="s">
        <v>5176</v>
      </c>
    </row>
    <row r="1671" spans="1:3" x14ac:dyDescent="0.25">
      <c r="A1671" t="s">
        <v>5177</v>
      </c>
      <c r="B1671" t="s">
        <v>5178</v>
      </c>
      <c r="C1671" t="s">
        <v>5179</v>
      </c>
    </row>
    <row r="1672" spans="1:3" x14ac:dyDescent="0.25">
      <c r="A1672" t="s">
        <v>5180</v>
      </c>
      <c r="B1672" t="s">
        <v>5181</v>
      </c>
      <c r="C1672" t="s">
        <v>5182</v>
      </c>
    </row>
    <row r="1673" spans="1:3" x14ac:dyDescent="0.25">
      <c r="A1673" t="s">
        <v>5183</v>
      </c>
      <c r="B1673" t="s">
        <v>5184</v>
      </c>
      <c r="C1673" t="s">
        <v>5185</v>
      </c>
    </row>
    <row r="1674" spans="1:3" x14ac:dyDescent="0.25">
      <c r="A1674" t="s">
        <v>5186</v>
      </c>
      <c r="B1674" t="s">
        <v>5187</v>
      </c>
      <c r="C1674" t="s">
        <v>5188</v>
      </c>
    </row>
    <row r="1675" spans="1:3" x14ac:dyDescent="0.25">
      <c r="A1675" t="s">
        <v>5189</v>
      </c>
      <c r="B1675" t="s">
        <v>5190</v>
      </c>
      <c r="C1675" t="s">
        <v>5191</v>
      </c>
    </row>
    <row r="1676" spans="1:3" x14ac:dyDescent="0.25">
      <c r="A1676" t="s">
        <v>5192</v>
      </c>
      <c r="B1676" t="s">
        <v>5193</v>
      </c>
      <c r="C1676" t="s">
        <v>5194</v>
      </c>
    </row>
    <row r="1677" spans="1:3" x14ac:dyDescent="0.25">
      <c r="A1677" t="s">
        <v>5195</v>
      </c>
      <c r="B1677" t="s">
        <v>5196</v>
      </c>
      <c r="C1677" t="s">
        <v>5197</v>
      </c>
    </row>
    <row r="1678" spans="1:3" x14ac:dyDescent="0.25">
      <c r="A1678" t="s">
        <v>5201</v>
      </c>
      <c r="B1678" t="s">
        <v>5202</v>
      </c>
      <c r="C1678" t="s">
        <v>5203</v>
      </c>
    </row>
    <row r="1679" spans="1:3" x14ac:dyDescent="0.25">
      <c r="A1679" t="s">
        <v>5198</v>
      </c>
      <c r="B1679" t="s">
        <v>5199</v>
      </c>
      <c r="C1679" t="s">
        <v>5200</v>
      </c>
    </row>
    <row r="1680" spans="1:3" x14ac:dyDescent="0.25">
      <c r="A1680" t="s">
        <v>5204</v>
      </c>
      <c r="B1680" t="s">
        <v>5205</v>
      </c>
      <c r="C1680" t="s">
        <v>5206</v>
      </c>
    </row>
    <row r="1681" spans="1:3" x14ac:dyDescent="0.25">
      <c r="A1681" t="s">
        <v>5210</v>
      </c>
      <c r="B1681" t="s">
        <v>5211</v>
      </c>
      <c r="C1681" t="s">
        <v>5212</v>
      </c>
    </row>
    <row r="1682" spans="1:3" x14ac:dyDescent="0.25">
      <c r="A1682" t="s">
        <v>5207</v>
      </c>
      <c r="B1682" t="s">
        <v>5208</v>
      </c>
      <c r="C1682" t="s">
        <v>5209</v>
      </c>
    </row>
    <row r="1683" spans="1:3" x14ac:dyDescent="0.25">
      <c r="A1683" t="s">
        <v>5213</v>
      </c>
      <c r="B1683" t="s">
        <v>5214</v>
      </c>
      <c r="C1683" t="s">
        <v>5215</v>
      </c>
    </row>
    <row r="1684" spans="1:3" x14ac:dyDescent="0.25">
      <c r="A1684" t="s">
        <v>5219</v>
      </c>
      <c r="B1684" t="s">
        <v>5220</v>
      </c>
      <c r="C1684" t="s">
        <v>5221</v>
      </c>
    </row>
    <row r="1685" spans="1:3" x14ac:dyDescent="0.25">
      <c r="A1685" t="s">
        <v>5216</v>
      </c>
      <c r="B1685" t="s">
        <v>5217</v>
      </c>
      <c r="C1685" t="s">
        <v>5218</v>
      </c>
    </row>
    <row r="1686" spans="1:3" x14ac:dyDescent="0.25">
      <c r="A1686" t="s">
        <v>5225</v>
      </c>
      <c r="B1686" t="s">
        <v>5226</v>
      </c>
      <c r="C1686" t="s">
        <v>5227</v>
      </c>
    </row>
    <row r="1687" spans="1:3" x14ac:dyDescent="0.25">
      <c r="A1687" t="s">
        <v>5222</v>
      </c>
      <c r="B1687" t="s">
        <v>5223</v>
      </c>
      <c r="C1687" t="s">
        <v>5224</v>
      </c>
    </row>
    <row r="1688" spans="1:3" x14ac:dyDescent="0.25">
      <c r="A1688" t="s">
        <v>5228</v>
      </c>
      <c r="B1688" t="s">
        <v>5229</v>
      </c>
      <c r="C1688" t="s">
        <v>5230</v>
      </c>
    </row>
    <row r="1689" spans="1:3" x14ac:dyDescent="0.25">
      <c r="A1689" t="s">
        <v>5231</v>
      </c>
      <c r="B1689" t="s">
        <v>5232</v>
      </c>
      <c r="C1689" t="s">
        <v>5233</v>
      </c>
    </row>
    <row r="1690" spans="1:3" x14ac:dyDescent="0.25">
      <c r="A1690" t="s">
        <v>5234</v>
      </c>
      <c r="B1690" t="s">
        <v>5235</v>
      </c>
      <c r="C1690" t="s">
        <v>5236</v>
      </c>
    </row>
    <row r="1691" spans="1:3" x14ac:dyDescent="0.25">
      <c r="A1691" t="s">
        <v>5237</v>
      </c>
      <c r="B1691" t="s">
        <v>5238</v>
      </c>
      <c r="C1691" t="s">
        <v>5239</v>
      </c>
    </row>
    <row r="1692" spans="1:3" x14ac:dyDescent="0.25">
      <c r="A1692" t="s">
        <v>5240</v>
      </c>
      <c r="B1692" t="s">
        <v>5241</v>
      </c>
      <c r="C1692" t="s">
        <v>5242</v>
      </c>
    </row>
    <row r="1693" spans="1:3" x14ac:dyDescent="0.25">
      <c r="A1693" t="s">
        <v>5243</v>
      </c>
      <c r="B1693" t="s">
        <v>5244</v>
      </c>
      <c r="C1693" t="s">
        <v>5245</v>
      </c>
    </row>
    <row r="1694" spans="1:3" x14ac:dyDescent="0.25">
      <c r="A1694" t="s">
        <v>5249</v>
      </c>
      <c r="B1694" t="s">
        <v>5250</v>
      </c>
      <c r="C1694" t="s">
        <v>5251</v>
      </c>
    </row>
    <row r="1695" spans="1:3" x14ac:dyDescent="0.25">
      <c r="A1695" t="s">
        <v>5246</v>
      </c>
      <c r="B1695" t="s">
        <v>5247</v>
      </c>
      <c r="C1695" t="s">
        <v>5248</v>
      </c>
    </row>
    <row r="1696" spans="1:3" x14ac:dyDescent="0.25">
      <c r="A1696" t="s">
        <v>5252</v>
      </c>
      <c r="B1696" t="s">
        <v>5253</v>
      </c>
      <c r="C1696" t="s">
        <v>5254</v>
      </c>
    </row>
    <row r="1697" spans="1:3" x14ac:dyDescent="0.25">
      <c r="A1697" t="s">
        <v>5258</v>
      </c>
      <c r="B1697" t="s">
        <v>5259</v>
      </c>
      <c r="C1697" t="s">
        <v>5260</v>
      </c>
    </row>
    <row r="1698" spans="1:3" x14ac:dyDescent="0.25">
      <c r="A1698" t="s">
        <v>5255</v>
      </c>
      <c r="B1698" t="s">
        <v>5256</v>
      </c>
      <c r="C1698" t="s">
        <v>5257</v>
      </c>
    </row>
    <row r="1699" spans="1:3" x14ac:dyDescent="0.25">
      <c r="A1699" t="s">
        <v>5261</v>
      </c>
      <c r="B1699" t="s">
        <v>5262</v>
      </c>
      <c r="C1699" t="s">
        <v>5263</v>
      </c>
    </row>
    <row r="1700" spans="1:3" x14ac:dyDescent="0.25">
      <c r="A1700" t="s">
        <v>5264</v>
      </c>
      <c r="B1700" t="s">
        <v>5265</v>
      </c>
      <c r="C1700" t="s">
        <v>5266</v>
      </c>
    </row>
    <row r="1701" spans="1:3" x14ac:dyDescent="0.25">
      <c r="A1701" t="s">
        <v>5270</v>
      </c>
      <c r="B1701" t="s">
        <v>5271</v>
      </c>
      <c r="C1701" t="s">
        <v>5272</v>
      </c>
    </row>
    <row r="1702" spans="1:3" x14ac:dyDescent="0.25">
      <c r="A1702" t="s">
        <v>5267</v>
      </c>
      <c r="B1702" t="s">
        <v>5268</v>
      </c>
      <c r="C1702" t="s">
        <v>5269</v>
      </c>
    </row>
    <row r="1703" spans="1:3" x14ac:dyDescent="0.25">
      <c r="A1703" t="s">
        <v>5273</v>
      </c>
      <c r="B1703" t="s">
        <v>5274</v>
      </c>
      <c r="C1703" t="s">
        <v>5275</v>
      </c>
    </row>
    <row r="1704" spans="1:3" x14ac:dyDescent="0.25">
      <c r="A1704" t="s">
        <v>5276</v>
      </c>
      <c r="B1704" t="s">
        <v>5277</v>
      </c>
      <c r="C1704" t="s">
        <v>5278</v>
      </c>
    </row>
    <row r="1705" spans="1:3" x14ac:dyDescent="0.25">
      <c r="A1705" t="s">
        <v>5279</v>
      </c>
      <c r="B1705" t="s">
        <v>5280</v>
      </c>
      <c r="C1705" t="s">
        <v>5281</v>
      </c>
    </row>
    <row r="1706" spans="1:3" x14ac:dyDescent="0.25">
      <c r="A1706" t="s">
        <v>5282</v>
      </c>
      <c r="B1706" t="s">
        <v>5283</v>
      </c>
      <c r="C1706" t="s">
        <v>5284</v>
      </c>
    </row>
    <row r="1707" spans="1:3" x14ac:dyDescent="0.25">
      <c r="A1707" t="s">
        <v>5285</v>
      </c>
      <c r="B1707" t="s">
        <v>5286</v>
      </c>
      <c r="C1707" t="s">
        <v>5287</v>
      </c>
    </row>
    <row r="1708" spans="1:3" x14ac:dyDescent="0.25">
      <c r="A1708" t="s">
        <v>5288</v>
      </c>
      <c r="B1708" t="s">
        <v>5289</v>
      </c>
      <c r="C1708" t="s">
        <v>5290</v>
      </c>
    </row>
    <row r="1709" spans="1:3" x14ac:dyDescent="0.25">
      <c r="A1709" t="s">
        <v>5291</v>
      </c>
      <c r="B1709" t="s">
        <v>5292</v>
      </c>
      <c r="C1709" t="s">
        <v>5293</v>
      </c>
    </row>
    <row r="1710" spans="1:3" x14ac:dyDescent="0.25">
      <c r="A1710" t="s">
        <v>5294</v>
      </c>
      <c r="B1710" t="s">
        <v>5295</v>
      </c>
      <c r="C1710" t="s">
        <v>5296</v>
      </c>
    </row>
    <row r="1711" spans="1:3" x14ac:dyDescent="0.25">
      <c r="A1711" t="s">
        <v>5297</v>
      </c>
      <c r="B1711" t="s">
        <v>5298</v>
      </c>
      <c r="C1711" t="s">
        <v>5299</v>
      </c>
    </row>
    <row r="1712" spans="1:3" x14ac:dyDescent="0.25">
      <c r="A1712" t="s">
        <v>5300</v>
      </c>
      <c r="B1712" t="s">
        <v>5301</v>
      </c>
      <c r="C1712" t="s">
        <v>5302</v>
      </c>
    </row>
    <row r="1713" spans="1:3" x14ac:dyDescent="0.25">
      <c r="A1713" t="s">
        <v>5303</v>
      </c>
      <c r="B1713" t="s">
        <v>5304</v>
      </c>
      <c r="C1713" t="s">
        <v>5305</v>
      </c>
    </row>
    <row r="1714" spans="1:3" x14ac:dyDescent="0.25">
      <c r="A1714" t="s">
        <v>5306</v>
      </c>
      <c r="B1714" t="s">
        <v>5307</v>
      </c>
      <c r="C1714" t="s">
        <v>5308</v>
      </c>
    </row>
    <row r="1715" spans="1:3" x14ac:dyDescent="0.25">
      <c r="A1715" t="s">
        <v>5309</v>
      </c>
      <c r="B1715" t="s">
        <v>5310</v>
      </c>
      <c r="C1715" t="s">
        <v>5311</v>
      </c>
    </row>
    <row r="1716" spans="1:3" x14ac:dyDescent="0.25">
      <c r="A1716" t="s">
        <v>5315</v>
      </c>
      <c r="B1716" t="s">
        <v>5316</v>
      </c>
      <c r="C1716" t="s">
        <v>5317</v>
      </c>
    </row>
    <row r="1717" spans="1:3" x14ac:dyDescent="0.25">
      <c r="A1717" t="s">
        <v>5312</v>
      </c>
      <c r="B1717" t="s">
        <v>5313</v>
      </c>
      <c r="C1717" t="s">
        <v>5314</v>
      </c>
    </row>
    <row r="1718" spans="1:3" x14ac:dyDescent="0.25">
      <c r="A1718" t="s">
        <v>5321</v>
      </c>
      <c r="B1718" t="s">
        <v>5322</v>
      </c>
      <c r="C1718" t="s">
        <v>5323</v>
      </c>
    </row>
    <row r="1719" spans="1:3" x14ac:dyDescent="0.25">
      <c r="A1719" t="s">
        <v>5318</v>
      </c>
      <c r="B1719" t="s">
        <v>5319</v>
      </c>
      <c r="C1719" t="s">
        <v>5320</v>
      </c>
    </row>
    <row r="1720" spans="1:3" x14ac:dyDescent="0.25">
      <c r="A1720" t="s">
        <v>5327</v>
      </c>
      <c r="B1720" t="s">
        <v>5328</v>
      </c>
      <c r="C1720" t="s">
        <v>5329</v>
      </c>
    </row>
    <row r="1721" spans="1:3" x14ac:dyDescent="0.25">
      <c r="A1721" t="s">
        <v>5324</v>
      </c>
      <c r="B1721" t="s">
        <v>5325</v>
      </c>
      <c r="C1721" t="s">
        <v>5326</v>
      </c>
    </row>
    <row r="1722" spans="1:3" x14ac:dyDescent="0.25">
      <c r="A1722" t="s">
        <v>5333</v>
      </c>
      <c r="B1722" t="s">
        <v>5334</v>
      </c>
      <c r="C1722" t="s">
        <v>5335</v>
      </c>
    </row>
    <row r="1723" spans="1:3" x14ac:dyDescent="0.25">
      <c r="A1723" t="s">
        <v>5330</v>
      </c>
      <c r="B1723" t="s">
        <v>5331</v>
      </c>
      <c r="C1723" t="s">
        <v>5332</v>
      </c>
    </row>
    <row r="1724" spans="1:3" x14ac:dyDescent="0.25">
      <c r="A1724" t="s">
        <v>5339</v>
      </c>
      <c r="B1724" t="s">
        <v>5340</v>
      </c>
      <c r="C1724" t="s">
        <v>5341</v>
      </c>
    </row>
    <row r="1725" spans="1:3" x14ac:dyDescent="0.25">
      <c r="A1725" t="s">
        <v>5336</v>
      </c>
      <c r="B1725" t="s">
        <v>5337</v>
      </c>
      <c r="C1725" t="s">
        <v>5338</v>
      </c>
    </row>
    <row r="1726" spans="1:3" x14ac:dyDescent="0.25">
      <c r="A1726" t="s">
        <v>5342</v>
      </c>
      <c r="B1726" t="s">
        <v>5343</v>
      </c>
      <c r="C1726" t="s">
        <v>5344</v>
      </c>
    </row>
    <row r="1727" spans="1:3" x14ac:dyDescent="0.25">
      <c r="A1727" t="s">
        <v>5345</v>
      </c>
      <c r="B1727" t="s">
        <v>5346</v>
      </c>
      <c r="C1727" t="s">
        <v>5347</v>
      </c>
    </row>
    <row r="1728" spans="1:3" x14ac:dyDescent="0.25">
      <c r="A1728" t="s">
        <v>5351</v>
      </c>
      <c r="B1728" t="s">
        <v>5352</v>
      </c>
      <c r="C1728" t="s">
        <v>5353</v>
      </c>
    </row>
    <row r="1729" spans="1:3" x14ac:dyDescent="0.25">
      <c r="A1729" t="s">
        <v>5348</v>
      </c>
      <c r="B1729" t="s">
        <v>5349</v>
      </c>
      <c r="C1729" t="s">
        <v>5350</v>
      </c>
    </row>
    <row r="1730" spans="1:3" x14ac:dyDescent="0.25">
      <c r="A1730" t="s">
        <v>5354</v>
      </c>
      <c r="B1730" t="s">
        <v>5355</v>
      </c>
      <c r="C1730" t="s">
        <v>5356</v>
      </c>
    </row>
    <row r="1731" spans="1:3" x14ac:dyDescent="0.25">
      <c r="A1731" t="s">
        <v>5360</v>
      </c>
      <c r="B1731" t="s">
        <v>5361</v>
      </c>
      <c r="C1731" t="s">
        <v>5362</v>
      </c>
    </row>
    <row r="1732" spans="1:3" x14ac:dyDescent="0.25">
      <c r="A1732" t="s">
        <v>5357</v>
      </c>
      <c r="B1732" t="s">
        <v>5358</v>
      </c>
      <c r="C1732" t="s">
        <v>5359</v>
      </c>
    </row>
    <row r="1733" spans="1:3" x14ac:dyDescent="0.25">
      <c r="A1733" t="s">
        <v>5363</v>
      </c>
      <c r="B1733" t="s">
        <v>5364</v>
      </c>
      <c r="C1733" t="s">
        <v>5365</v>
      </c>
    </row>
    <row r="1734" spans="1:3" x14ac:dyDescent="0.25">
      <c r="A1734" t="s">
        <v>5366</v>
      </c>
      <c r="B1734" t="s">
        <v>5367</v>
      </c>
      <c r="C1734" t="s">
        <v>5368</v>
      </c>
    </row>
    <row r="1735" spans="1:3" x14ac:dyDescent="0.25">
      <c r="A1735" t="s">
        <v>5369</v>
      </c>
      <c r="B1735" t="s">
        <v>5370</v>
      </c>
      <c r="C1735" t="s">
        <v>5371</v>
      </c>
    </row>
    <row r="1736" spans="1:3" x14ac:dyDescent="0.25">
      <c r="A1736" t="s">
        <v>5372</v>
      </c>
      <c r="B1736" t="s">
        <v>5373</v>
      </c>
      <c r="C1736" t="s">
        <v>5374</v>
      </c>
    </row>
    <row r="1737" spans="1:3" x14ac:dyDescent="0.25">
      <c r="A1737" t="s">
        <v>5375</v>
      </c>
      <c r="B1737" t="s">
        <v>5376</v>
      </c>
      <c r="C1737" t="s">
        <v>5377</v>
      </c>
    </row>
    <row r="1738" spans="1:3" x14ac:dyDescent="0.25">
      <c r="A1738" t="s">
        <v>5378</v>
      </c>
      <c r="B1738" t="s">
        <v>5379</v>
      </c>
      <c r="C1738" t="s">
        <v>5380</v>
      </c>
    </row>
    <row r="1739" spans="1:3" x14ac:dyDescent="0.25">
      <c r="A1739" t="s">
        <v>5381</v>
      </c>
      <c r="B1739" t="s">
        <v>5382</v>
      </c>
      <c r="C1739" t="s">
        <v>5383</v>
      </c>
    </row>
    <row r="1740" spans="1:3" x14ac:dyDescent="0.25">
      <c r="A1740" t="s">
        <v>5384</v>
      </c>
      <c r="B1740" t="s">
        <v>5385</v>
      </c>
      <c r="C1740" t="s">
        <v>5386</v>
      </c>
    </row>
    <row r="1741" spans="1:3" x14ac:dyDescent="0.25">
      <c r="A1741" t="s">
        <v>5387</v>
      </c>
      <c r="B1741" t="s">
        <v>5388</v>
      </c>
      <c r="C1741" t="s">
        <v>5389</v>
      </c>
    </row>
    <row r="1742" spans="1:3" x14ac:dyDescent="0.25">
      <c r="A1742" t="s">
        <v>5390</v>
      </c>
      <c r="B1742" t="s">
        <v>5391</v>
      </c>
      <c r="C1742" t="s">
        <v>5392</v>
      </c>
    </row>
    <row r="1743" spans="1:3" x14ac:dyDescent="0.25">
      <c r="A1743" t="s">
        <v>5393</v>
      </c>
      <c r="B1743" t="s">
        <v>5394</v>
      </c>
      <c r="C1743" t="s">
        <v>5395</v>
      </c>
    </row>
    <row r="1744" spans="1:3" x14ac:dyDescent="0.25">
      <c r="A1744" t="s">
        <v>5396</v>
      </c>
      <c r="B1744" t="s">
        <v>5397</v>
      </c>
      <c r="C1744" t="s">
        <v>5398</v>
      </c>
    </row>
    <row r="1745" spans="1:3" x14ac:dyDescent="0.25">
      <c r="A1745" t="s">
        <v>5399</v>
      </c>
      <c r="B1745" t="s">
        <v>5400</v>
      </c>
      <c r="C1745" t="s">
        <v>5401</v>
      </c>
    </row>
    <row r="1746" spans="1:3" x14ac:dyDescent="0.25">
      <c r="A1746" t="s">
        <v>5402</v>
      </c>
      <c r="B1746" t="s">
        <v>5403</v>
      </c>
      <c r="C1746" t="s">
        <v>5404</v>
      </c>
    </row>
    <row r="1747" spans="1:3" x14ac:dyDescent="0.25">
      <c r="A1747" t="s">
        <v>5405</v>
      </c>
      <c r="B1747" t="s">
        <v>5406</v>
      </c>
      <c r="C1747" t="s">
        <v>5407</v>
      </c>
    </row>
    <row r="1748" spans="1:3" x14ac:dyDescent="0.25">
      <c r="A1748" t="s">
        <v>5408</v>
      </c>
      <c r="B1748" t="s">
        <v>5409</v>
      </c>
      <c r="C1748" t="s">
        <v>5410</v>
      </c>
    </row>
    <row r="1749" spans="1:3" x14ac:dyDescent="0.25">
      <c r="A1749" t="s">
        <v>5411</v>
      </c>
      <c r="B1749" t="s">
        <v>5412</v>
      </c>
      <c r="C1749" t="s">
        <v>5413</v>
      </c>
    </row>
    <row r="1750" spans="1:3" x14ac:dyDescent="0.25">
      <c r="A1750" t="s">
        <v>5414</v>
      </c>
      <c r="B1750" t="s">
        <v>5415</v>
      </c>
      <c r="C1750" t="s">
        <v>5416</v>
      </c>
    </row>
    <row r="1751" spans="1:3" x14ac:dyDescent="0.25">
      <c r="A1751" t="s">
        <v>5417</v>
      </c>
      <c r="B1751" t="s">
        <v>5418</v>
      </c>
      <c r="C1751" t="s">
        <v>5419</v>
      </c>
    </row>
    <row r="1752" spans="1:3" x14ac:dyDescent="0.25">
      <c r="A1752" t="s">
        <v>5420</v>
      </c>
      <c r="B1752" t="s">
        <v>5421</v>
      </c>
      <c r="C1752" t="s">
        <v>5422</v>
      </c>
    </row>
    <row r="1753" spans="1:3" x14ac:dyDescent="0.25">
      <c r="A1753" t="s">
        <v>5423</v>
      </c>
      <c r="B1753" t="s">
        <v>5424</v>
      </c>
      <c r="C1753" t="s">
        <v>5425</v>
      </c>
    </row>
    <row r="1754" spans="1:3" x14ac:dyDescent="0.25">
      <c r="A1754" t="s">
        <v>5426</v>
      </c>
      <c r="B1754" t="s">
        <v>5427</v>
      </c>
      <c r="C1754" t="s">
        <v>5428</v>
      </c>
    </row>
    <row r="1755" spans="1:3" x14ac:dyDescent="0.25">
      <c r="A1755" t="s">
        <v>5429</v>
      </c>
      <c r="B1755" t="s">
        <v>5430</v>
      </c>
      <c r="C1755" t="s">
        <v>5431</v>
      </c>
    </row>
    <row r="1756" spans="1:3" x14ac:dyDescent="0.25">
      <c r="A1756" t="s">
        <v>5432</v>
      </c>
      <c r="B1756" t="s">
        <v>5433</v>
      </c>
      <c r="C1756" t="s">
        <v>5434</v>
      </c>
    </row>
    <row r="1757" spans="1:3" x14ac:dyDescent="0.25">
      <c r="A1757" t="s">
        <v>5435</v>
      </c>
      <c r="B1757" t="s">
        <v>5436</v>
      </c>
      <c r="C1757" t="s">
        <v>5437</v>
      </c>
    </row>
    <row r="1758" spans="1:3" x14ac:dyDescent="0.25">
      <c r="A1758" t="s">
        <v>5438</v>
      </c>
      <c r="B1758" t="s">
        <v>5439</v>
      </c>
      <c r="C1758" t="s">
        <v>5440</v>
      </c>
    </row>
    <row r="1759" spans="1:3" x14ac:dyDescent="0.25">
      <c r="A1759" t="s">
        <v>5441</v>
      </c>
      <c r="B1759" t="s">
        <v>5442</v>
      </c>
      <c r="C1759" t="s">
        <v>5443</v>
      </c>
    </row>
    <row r="1760" spans="1:3" x14ac:dyDescent="0.25">
      <c r="A1760" t="s">
        <v>5444</v>
      </c>
      <c r="B1760" t="s">
        <v>5445</v>
      </c>
      <c r="C1760" t="s">
        <v>5446</v>
      </c>
    </row>
    <row r="1761" spans="1:3" x14ac:dyDescent="0.25">
      <c r="A1761" t="s">
        <v>5447</v>
      </c>
      <c r="B1761" t="s">
        <v>5448</v>
      </c>
      <c r="C1761" t="s">
        <v>5449</v>
      </c>
    </row>
    <row r="1762" spans="1:3" x14ac:dyDescent="0.25">
      <c r="A1762" t="s">
        <v>5450</v>
      </c>
      <c r="B1762" t="s">
        <v>5451</v>
      </c>
      <c r="C1762" t="s">
        <v>5452</v>
      </c>
    </row>
    <row r="1763" spans="1:3" x14ac:dyDescent="0.25">
      <c r="A1763" t="s">
        <v>5453</v>
      </c>
      <c r="B1763" t="s">
        <v>5454</v>
      </c>
      <c r="C1763" t="s">
        <v>5455</v>
      </c>
    </row>
    <row r="1764" spans="1:3" x14ac:dyDescent="0.25">
      <c r="A1764" t="s">
        <v>5456</v>
      </c>
      <c r="B1764" t="s">
        <v>5457</v>
      </c>
      <c r="C1764" t="s">
        <v>5458</v>
      </c>
    </row>
    <row r="1765" spans="1:3" x14ac:dyDescent="0.25">
      <c r="A1765" t="s">
        <v>5459</v>
      </c>
      <c r="B1765" t="s">
        <v>5460</v>
      </c>
      <c r="C1765" t="s">
        <v>5461</v>
      </c>
    </row>
    <row r="1766" spans="1:3" x14ac:dyDescent="0.25">
      <c r="A1766" t="s">
        <v>5462</v>
      </c>
      <c r="B1766" t="s">
        <v>5463</v>
      </c>
      <c r="C1766" t="s">
        <v>5464</v>
      </c>
    </row>
    <row r="1767" spans="1:3" x14ac:dyDescent="0.25">
      <c r="A1767" t="s">
        <v>5465</v>
      </c>
      <c r="B1767" t="s">
        <v>5466</v>
      </c>
      <c r="C1767" t="s">
        <v>5467</v>
      </c>
    </row>
    <row r="1768" spans="1:3" x14ac:dyDescent="0.25">
      <c r="A1768" t="s">
        <v>5468</v>
      </c>
      <c r="B1768" t="s">
        <v>5469</v>
      </c>
      <c r="C1768" t="s">
        <v>5470</v>
      </c>
    </row>
    <row r="1769" spans="1:3" x14ac:dyDescent="0.25">
      <c r="A1769" t="s">
        <v>5471</v>
      </c>
      <c r="B1769" t="s">
        <v>5472</v>
      </c>
      <c r="C1769" t="s">
        <v>5473</v>
      </c>
    </row>
    <row r="1770" spans="1:3" x14ac:dyDescent="0.25">
      <c r="A1770" t="s">
        <v>5474</v>
      </c>
      <c r="B1770" t="s">
        <v>5475</v>
      </c>
      <c r="C1770" t="s">
        <v>5476</v>
      </c>
    </row>
    <row r="1771" spans="1:3" x14ac:dyDescent="0.25">
      <c r="A1771" t="s">
        <v>5477</v>
      </c>
      <c r="B1771" t="s">
        <v>5478</v>
      </c>
      <c r="C1771" t="s">
        <v>5479</v>
      </c>
    </row>
    <row r="1772" spans="1:3" x14ac:dyDescent="0.25">
      <c r="A1772" t="s">
        <v>5480</v>
      </c>
      <c r="B1772" t="s">
        <v>5481</v>
      </c>
      <c r="C1772" t="s">
        <v>5482</v>
      </c>
    </row>
    <row r="1773" spans="1:3" x14ac:dyDescent="0.25">
      <c r="A1773" t="s">
        <v>5483</v>
      </c>
      <c r="B1773" t="s">
        <v>5484</v>
      </c>
      <c r="C1773" t="s">
        <v>5485</v>
      </c>
    </row>
    <row r="1774" spans="1:3" x14ac:dyDescent="0.25">
      <c r="A1774" t="s">
        <v>5486</v>
      </c>
      <c r="B1774" t="s">
        <v>5487</v>
      </c>
      <c r="C1774" t="s">
        <v>5488</v>
      </c>
    </row>
    <row r="1775" spans="1:3" x14ac:dyDescent="0.25">
      <c r="A1775" t="s">
        <v>5489</v>
      </c>
      <c r="B1775" t="s">
        <v>5490</v>
      </c>
      <c r="C1775" t="s">
        <v>5491</v>
      </c>
    </row>
    <row r="1776" spans="1:3" x14ac:dyDescent="0.25">
      <c r="A1776" t="s">
        <v>5492</v>
      </c>
      <c r="B1776" t="s">
        <v>5493</v>
      </c>
      <c r="C1776" t="s">
        <v>5494</v>
      </c>
    </row>
    <row r="1777" spans="1:3" x14ac:dyDescent="0.25">
      <c r="A1777" t="s">
        <v>5495</v>
      </c>
      <c r="B1777" t="s">
        <v>5496</v>
      </c>
      <c r="C1777" t="s">
        <v>5497</v>
      </c>
    </row>
    <row r="1778" spans="1:3" x14ac:dyDescent="0.25">
      <c r="A1778" t="s">
        <v>5498</v>
      </c>
      <c r="B1778" t="s">
        <v>5499</v>
      </c>
      <c r="C1778" t="s">
        <v>5500</v>
      </c>
    </row>
    <row r="1779" spans="1:3" x14ac:dyDescent="0.25">
      <c r="A1779" t="s">
        <v>5501</v>
      </c>
      <c r="B1779" t="s">
        <v>5502</v>
      </c>
      <c r="C1779" t="s">
        <v>5503</v>
      </c>
    </row>
    <row r="1780" spans="1:3" x14ac:dyDescent="0.25">
      <c r="A1780" t="s">
        <v>5504</v>
      </c>
      <c r="B1780" t="s">
        <v>5505</v>
      </c>
      <c r="C1780" t="s">
        <v>5506</v>
      </c>
    </row>
    <row r="1781" spans="1:3" x14ac:dyDescent="0.25">
      <c r="A1781" t="s">
        <v>5507</v>
      </c>
      <c r="B1781" t="s">
        <v>5508</v>
      </c>
      <c r="C1781" t="s">
        <v>5509</v>
      </c>
    </row>
    <row r="1782" spans="1:3" x14ac:dyDescent="0.25">
      <c r="A1782" t="s">
        <v>5510</v>
      </c>
      <c r="B1782" t="s">
        <v>5511</v>
      </c>
      <c r="C1782" t="s">
        <v>5512</v>
      </c>
    </row>
    <row r="1783" spans="1:3" x14ac:dyDescent="0.25">
      <c r="A1783" t="s">
        <v>5513</v>
      </c>
      <c r="B1783" t="s">
        <v>5514</v>
      </c>
      <c r="C1783" t="s">
        <v>5515</v>
      </c>
    </row>
    <row r="1784" spans="1:3" x14ac:dyDescent="0.25">
      <c r="A1784" t="s">
        <v>5516</v>
      </c>
      <c r="B1784" t="s">
        <v>5517</v>
      </c>
      <c r="C1784" t="s">
        <v>5518</v>
      </c>
    </row>
    <row r="1785" spans="1:3" x14ac:dyDescent="0.25">
      <c r="A1785" t="s">
        <v>5519</v>
      </c>
      <c r="B1785" t="s">
        <v>5520</v>
      </c>
      <c r="C1785" t="s">
        <v>5521</v>
      </c>
    </row>
    <row r="1786" spans="1:3" x14ac:dyDescent="0.25">
      <c r="A1786" t="s">
        <v>5522</v>
      </c>
      <c r="B1786" t="s">
        <v>5523</v>
      </c>
      <c r="C1786" t="s">
        <v>5524</v>
      </c>
    </row>
    <row r="1787" spans="1:3" x14ac:dyDescent="0.25">
      <c r="A1787" t="s">
        <v>5525</v>
      </c>
      <c r="B1787" t="s">
        <v>5526</v>
      </c>
      <c r="C1787" t="s">
        <v>5527</v>
      </c>
    </row>
    <row r="1788" spans="1:3" x14ac:dyDescent="0.25">
      <c r="A1788" t="s">
        <v>5528</v>
      </c>
      <c r="B1788" t="s">
        <v>5529</v>
      </c>
      <c r="C1788" t="s">
        <v>5530</v>
      </c>
    </row>
    <row r="1789" spans="1:3" x14ac:dyDescent="0.25">
      <c r="A1789" t="s">
        <v>5531</v>
      </c>
      <c r="B1789" t="s">
        <v>5532</v>
      </c>
      <c r="C1789" t="s">
        <v>5533</v>
      </c>
    </row>
    <row r="1790" spans="1:3" x14ac:dyDescent="0.25">
      <c r="A1790" t="s">
        <v>5534</v>
      </c>
      <c r="B1790" t="s">
        <v>5535</v>
      </c>
      <c r="C1790" t="s">
        <v>5536</v>
      </c>
    </row>
    <row r="1791" spans="1:3" x14ac:dyDescent="0.25">
      <c r="A1791" t="s">
        <v>5537</v>
      </c>
      <c r="B1791" t="s">
        <v>5538</v>
      </c>
      <c r="C1791" t="s">
        <v>5539</v>
      </c>
    </row>
    <row r="1792" spans="1:3" x14ac:dyDescent="0.25">
      <c r="A1792" t="s">
        <v>5540</v>
      </c>
      <c r="B1792" t="s">
        <v>5541</v>
      </c>
      <c r="C1792" t="s">
        <v>5542</v>
      </c>
    </row>
    <row r="1793" spans="1:3" x14ac:dyDescent="0.25">
      <c r="A1793" t="s">
        <v>5543</v>
      </c>
      <c r="B1793" t="s">
        <v>5544</v>
      </c>
      <c r="C1793" t="s">
        <v>5545</v>
      </c>
    </row>
    <row r="1794" spans="1:3" x14ac:dyDescent="0.25">
      <c r="A1794" t="s">
        <v>5546</v>
      </c>
      <c r="B1794" t="s">
        <v>5547</v>
      </c>
      <c r="C1794" t="s">
        <v>5548</v>
      </c>
    </row>
    <row r="1795" spans="1:3" x14ac:dyDescent="0.25">
      <c r="A1795" t="s">
        <v>5549</v>
      </c>
      <c r="B1795" t="s">
        <v>5550</v>
      </c>
      <c r="C1795" t="s">
        <v>5551</v>
      </c>
    </row>
    <row r="1796" spans="1:3" x14ac:dyDescent="0.25">
      <c r="A1796" t="s">
        <v>5552</v>
      </c>
      <c r="B1796" t="s">
        <v>5553</v>
      </c>
      <c r="C1796" t="s">
        <v>5554</v>
      </c>
    </row>
    <row r="1797" spans="1:3" x14ac:dyDescent="0.25">
      <c r="A1797" t="s">
        <v>5555</v>
      </c>
      <c r="B1797" t="s">
        <v>5556</v>
      </c>
      <c r="C1797" t="s">
        <v>5557</v>
      </c>
    </row>
    <row r="1798" spans="1:3" x14ac:dyDescent="0.25">
      <c r="A1798" t="s">
        <v>5558</v>
      </c>
      <c r="B1798" t="s">
        <v>5559</v>
      </c>
      <c r="C1798" t="s">
        <v>5560</v>
      </c>
    </row>
    <row r="1799" spans="1:3" x14ac:dyDescent="0.25">
      <c r="A1799" t="s">
        <v>5561</v>
      </c>
      <c r="B1799" t="s">
        <v>5562</v>
      </c>
      <c r="C1799" t="s">
        <v>5563</v>
      </c>
    </row>
    <row r="1800" spans="1:3" x14ac:dyDescent="0.25">
      <c r="A1800" t="s">
        <v>5564</v>
      </c>
      <c r="B1800" t="s">
        <v>5565</v>
      </c>
      <c r="C1800" t="s">
        <v>5566</v>
      </c>
    </row>
    <row r="1801" spans="1:3" x14ac:dyDescent="0.25">
      <c r="A1801" t="s">
        <v>5567</v>
      </c>
      <c r="B1801" t="s">
        <v>5568</v>
      </c>
      <c r="C1801" t="s">
        <v>5569</v>
      </c>
    </row>
    <row r="1802" spans="1:3" x14ac:dyDescent="0.25">
      <c r="A1802" t="s">
        <v>5570</v>
      </c>
      <c r="B1802" t="s">
        <v>5571</v>
      </c>
      <c r="C1802" t="s">
        <v>5572</v>
      </c>
    </row>
    <row r="1803" spans="1:3" x14ac:dyDescent="0.25">
      <c r="A1803" t="s">
        <v>5573</v>
      </c>
      <c r="B1803" t="s">
        <v>5574</v>
      </c>
      <c r="C1803" t="s">
        <v>5575</v>
      </c>
    </row>
    <row r="1804" spans="1:3" x14ac:dyDescent="0.25">
      <c r="A1804" t="s">
        <v>5576</v>
      </c>
      <c r="B1804" t="s">
        <v>5577</v>
      </c>
      <c r="C1804" t="s">
        <v>5578</v>
      </c>
    </row>
    <row r="1805" spans="1:3" x14ac:dyDescent="0.25">
      <c r="A1805" t="s">
        <v>5579</v>
      </c>
      <c r="B1805" t="s">
        <v>5580</v>
      </c>
      <c r="C1805" t="s">
        <v>5581</v>
      </c>
    </row>
    <row r="1806" spans="1:3" x14ac:dyDescent="0.25">
      <c r="A1806" t="s">
        <v>5582</v>
      </c>
      <c r="B1806" t="s">
        <v>5583</v>
      </c>
      <c r="C1806" t="s">
        <v>5584</v>
      </c>
    </row>
    <row r="1807" spans="1:3" x14ac:dyDescent="0.25">
      <c r="A1807" t="s">
        <v>5585</v>
      </c>
      <c r="B1807" t="s">
        <v>5586</v>
      </c>
      <c r="C1807" t="s">
        <v>5587</v>
      </c>
    </row>
    <row r="1808" spans="1:3" x14ac:dyDescent="0.25">
      <c r="A1808" t="s">
        <v>5588</v>
      </c>
      <c r="B1808" t="s">
        <v>5589</v>
      </c>
      <c r="C1808" t="s">
        <v>5590</v>
      </c>
    </row>
    <row r="1809" spans="1:3" x14ac:dyDescent="0.25">
      <c r="A1809" t="s">
        <v>5591</v>
      </c>
      <c r="B1809" t="s">
        <v>5592</v>
      </c>
      <c r="C1809" t="s">
        <v>5593</v>
      </c>
    </row>
    <row r="1810" spans="1:3" x14ac:dyDescent="0.25">
      <c r="A1810" t="s">
        <v>5594</v>
      </c>
      <c r="B1810" t="s">
        <v>5595</v>
      </c>
      <c r="C1810" t="s">
        <v>5596</v>
      </c>
    </row>
    <row r="1811" spans="1:3" x14ac:dyDescent="0.25">
      <c r="A1811" t="s">
        <v>5597</v>
      </c>
      <c r="B1811" t="s">
        <v>5598</v>
      </c>
      <c r="C1811" t="s">
        <v>5599</v>
      </c>
    </row>
    <row r="1812" spans="1:3" x14ac:dyDescent="0.25">
      <c r="A1812" t="s">
        <v>5600</v>
      </c>
      <c r="B1812" t="s">
        <v>5601</v>
      </c>
      <c r="C1812" t="s">
        <v>5602</v>
      </c>
    </row>
    <row r="1813" spans="1:3" x14ac:dyDescent="0.25">
      <c r="A1813" t="s">
        <v>5603</v>
      </c>
      <c r="B1813" t="s">
        <v>5604</v>
      </c>
      <c r="C1813" t="s">
        <v>5605</v>
      </c>
    </row>
    <row r="1814" spans="1:3" x14ac:dyDescent="0.25">
      <c r="A1814" t="s">
        <v>5606</v>
      </c>
      <c r="B1814" t="s">
        <v>5607</v>
      </c>
      <c r="C1814" t="s">
        <v>5608</v>
      </c>
    </row>
    <row r="1815" spans="1:3" x14ac:dyDescent="0.25">
      <c r="A1815" t="s">
        <v>5609</v>
      </c>
      <c r="B1815" t="s">
        <v>5610</v>
      </c>
      <c r="C1815" t="s">
        <v>5611</v>
      </c>
    </row>
    <row r="1816" spans="1:3" x14ac:dyDescent="0.25">
      <c r="A1816" t="s">
        <v>5612</v>
      </c>
      <c r="B1816" t="s">
        <v>5613</v>
      </c>
      <c r="C1816" t="s">
        <v>5614</v>
      </c>
    </row>
    <row r="1817" spans="1:3" x14ac:dyDescent="0.25">
      <c r="A1817" t="s">
        <v>5615</v>
      </c>
      <c r="B1817" t="s">
        <v>5616</v>
      </c>
      <c r="C1817" t="s">
        <v>5617</v>
      </c>
    </row>
    <row r="1818" spans="1:3" x14ac:dyDescent="0.25">
      <c r="A1818" t="s">
        <v>5618</v>
      </c>
      <c r="B1818" t="s">
        <v>5619</v>
      </c>
      <c r="C1818" t="s">
        <v>5620</v>
      </c>
    </row>
    <row r="1819" spans="1:3" x14ac:dyDescent="0.25">
      <c r="A1819" t="s">
        <v>10486</v>
      </c>
      <c r="B1819" t="s">
        <v>10487</v>
      </c>
      <c r="C1819" t="s">
        <v>10488</v>
      </c>
    </row>
    <row r="1820" spans="1:3" x14ac:dyDescent="0.25">
      <c r="A1820" t="s">
        <v>5621</v>
      </c>
      <c r="B1820" t="s">
        <v>5622</v>
      </c>
      <c r="C1820" t="s">
        <v>5623</v>
      </c>
    </row>
    <row r="1821" spans="1:3" x14ac:dyDescent="0.25">
      <c r="A1821" t="s">
        <v>5624</v>
      </c>
      <c r="B1821" t="s">
        <v>5625</v>
      </c>
      <c r="C1821" t="s">
        <v>5626</v>
      </c>
    </row>
    <row r="1822" spans="1:3" x14ac:dyDescent="0.25">
      <c r="A1822" t="s">
        <v>5627</v>
      </c>
      <c r="B1822" t="s">
        <v>5628</v>
      </c>
      <c r="C1822" t="s">
        <v>5629</v>
      </c>
    </row>
    <row r="1823" spans="1:3" x14ac:dyDescent="0.25">
      <c r="A1823" t="s">
        <v>5633</v>
      </c>
      <c r="B1823" t="s">
        <v>5634</v>
      </c>
      <c r="C1823" t="s">
        <v>5635</v>
      </c>
    </row>
    <row r="1824" spans="1:3" x14ac:dyDescent="0.25">
      <c r="A1824" t="s">
        <v>5630</v>
      </c>
      <c r="B1824" t="s">
        <v>5631</v>
      </c>
      <c r="C1824" t="s">
        <v>5632</v>
      </c>
    </row>
    <row r="1825" spans="1:3" x14ac:dyDescent="0.25">
      <c r="A1825" t="s">
        <v>5636</v>
      </c>
      <c r="B1825" t="s">
        <v>5637</v>
      </c>
      <c r="C1825" t="s">
        <v>5638</v>
      </c>
    </row>
    <row r="1826" spans="1:3" x14ac:dyDescent="0.25">
      <c r="A1826" t="s">
        <v>5639</v>
      </c>
      <c r="B1826" t="s">
        <v>5640</v>
      </c>
      <c r="C1826" t="s">
        <v>5641</v>
      </c>
    </row>
    <row r="1827" spans="1:3" x14ac:dyDescent="0.25">
      <c r="A1827" t="s">
        <v>5642</v>
      </c>
      <c r="B1827" t="s">
        <v>5643</v>
      </c>
      <c r="C1827" t="s">
        <v>5644</v>
      </c>
    </row>
    <row r="1828" spans="1:3" x14ac:dyDescent="0.25">
      <c r="A1828" t="s">
        <v>5645</v>
      </c>
      <c r="B1828" t="s">
        <v>5646</v>
      </c>
      <c r="C1828" t="s">
        <v>5647</v>
      </c>
    </row>
    <row r="1829" spans="1:3" x14ac:dyDescent="0.25">
      <c r="A1829" t="s">
        <v>5648</v>
      </c>
      <c r="B1829" t="s">
        <v>5649</v>
      </c>
      <c r="C1829" t="s">
        <v>5650</v>
      </c>
    </row>
    <row r="1830" spans="1:3" x14ac:dyDescent="0.25">
      <c r="A1830" t="s">
        <v>5651</v>
      </c>
      <c r="B1830" t="s">
        <v>5652</v>
      </c>
      <c r="C1830" t="s">
        <v>5653</v>
      </c>
    </row>
    <row r="1831" spans="1:3" x14ac:dyDescent="0.25">
      <c r="A1831" t="s">
        <v>5654</v>
      </c>
      <c r="B1831" t="s">
        <v>5655</v>
      </c>
      <c r="C1831" t="s">
        <v>5656</v>
      </c>
    </row>
    <row r="1832" spans="1:3" x14ac:dyDescent="0.25">
      <c r="A1832" t="s">
        <v>5657</v>
      </c>
      <c r="B1832" t="s">
        <v>5658</v>
      </c>
      <c r="C1832" t="s">
        <v>5659</v>
      </c>
    </row>
    <row r="1833" spans="1:3" x14ac:dyDescent="0.25">
      <c r="A1833" t="s">
        <v>5660</v>
      </c>
      <c r="B1833" t="s">
        <v>5661</v>
      </c>
      <c r="C1833" t="s">
        <v>5662</v>
      </c>
    </row>
    <row r="1834" spans="1:3" x14ac:dyDescent="0.25">
      <c r="A1834" t="s">
        <v>5663</v>
      </c>
      <c r="B1834" t="s">
        <v>5664</v>
      </c>
      <c r="C1834" t="s">
        <v>5665</v>
      </c>
    </row>
    <row r="1835" spans="1:3" x14ac:dyDescent="0.25">
      <c r="A1835" t="s">
        <v>5666</v>
      </c>
      <c r="B1835" t="s">
        <v>5667</v>
      </c>
      <c r="C1835" t="s">
        <v>5668</v>
      </c>
    </row>
    <row r="1836" spans="1:3" x14ac:dyDescent="0.25">
      <c r="A1836" t="s">
        <v>5669</v>
      </c>
      <c r="B1836" t="s">
        <v>5670</v>
      </c>
      <c r="C1836" t="s">
        <v>5671</v>
      </c>
    </row>
    <row r="1837" spans="1:3" x14ac:dyDescent="0.25">
      <c r="A1837" t="s">
        <v>5672</v>
      </c>
      <c r="B1837" t="s">
        <v>5673</v>
      </c>
      <c r="C1837" t="s">
        <v>5674</v>
      </c>
    </row>
    <row r="1838" spans="1:3" x14ac:dyDescent="0.25">
      <c r="A1838" t="s">
        <v>5675</v>
      </c>
      <c r="B1838" t="s">
        <v>5676</v>
      </c>
      <c r="C1838" t="s">
        <v>5677</v>
      </c>
    </row>
    <row r="1839" spans="1:3" x14ac:dyDescent="0.25">
      <c r="A1839" t="s">
        <v>5678</v>
      </c>
      <c r="B1839" t="s">
        <v>5679</v>
      </c>
      <c r="C1839" t="s">
        <v>5680</v>
      </c>
    </row>
    <row r="1840" spans="1:3" x14ac:dyDescent="0.25">
      <c r="A1840" t="s">
        <v>5681</v>
      </c>
      <c r="B1840" t="s">
        <v>5682</v>
      </c>
      <c r="C1840" t="s">
        <v>5683</v>
      </c>
    </row>
    <row r="1841" spans="1:3" x14ac:dyDescent="0.25">
      <c r="A1841" t="s">
        <v>5684</v>
      </c>
      <c r="B1841" t="s">
        <v>5685</v>
      </c>
      <c r="C1841" t="s">
        <v>5686</v>
      </c>
    </row>
    <row r="1842" spans="1:3" x14ac:dyDescent="0.25">
      <c r="A1842" t="s">
        <v>5687</v>
      </c>
      <c r="B1842" t="s">
        <v>5688</v>
      </c>
      <c r="C1842" t="s">
        <v>5689</v>
      </c>
    </row>
    <row r="1843" spans="1:3" x14ac:dyDescent="0.25">
      <c r="A1843" t="s">
        <v>5690</v>
      </c>
      <c r="B1843" t="s">
        <v>5691</v>
      </c>
      <c r="C1843" t="s">
        <v>5692</v>
      </c>
    </row>
    <row r="1844" spans="1:3" x14ac:dyDescent="0.25">
      <c r="A1844" t="s">
        <v>5693</v>
      </c>
      <c r="B1844" t="s">
        <v>5694</v>
      </c>
      <c r="C1844" t="s">
        <v>5695</v>
      </c>
    </row>
    <row r="1845" spans="1:3" x14ac:dyDescent="0.25">
      <c r="A1845" t="s">
        <v>5696</v>
      </c>
      <c r="B1845" t="s">
        <v>5697</v>
      </c>
      <c r="C1845" t="s">
        <v>5698</v>
      </c>
    </row>
    <row r="1846" spans="1:3" x14ac:dyDescent="0.25">
      <c r="A1846" t="s">
        <v>5699</v>
      </c>
      <c r="B1846" t="s">
        <v>5700</v>
      </c>
      <c r="C1846" t="s">
        <v>5701</v>
      </c>
    </row>
    <row r="1847" spans="1:3" x14ac:dyDescent="0.25">
      <c r="A1847" t="s">
        <v>5702</v>
      </c>
      <c r="B1847" t="s">
        <v>5703</v>
      </c>
      <c r="C1847" t="s">
        <v>5704</v>
      </c>
    </row>
    <row r="1848" spans="1:3" x14ac:dyDescent="0.25">
      <c r="A1848" t="s">
        <v>5705</v>
      </c>
      <c r="B1848" t="s">
        <v>5706</v>
      </c>
      <c r="C1848" t="s">
        <v>5707</v>
      </c>
    </row>
    <row r="1849" spans="1:3" x14ac:dyDescent="0.25">
      <c r="A1849" t="s">
        <v>5708</v>
      </c>
      <c r="B1849" t="s">
        <v>5709</v>
      </c>
      <c r="C1849" t="s">
        <v>5710</v>
      </c>
    </row>
    <row r="1850" spans="1:3" x14ac:dyDescent="0.25">
      <c r="A1850" t="s">
        <v>5711</v>
      </c>
      <c r="B1850" t="s">
        <v>5712</v>
      </c>
      <c r="C1850" t="s">
        <v>5713</v>
      </c>
    </row>
    <row r="1851" spans="1:3" x14ac:dyDescent="0.25">
      <c r="A1851" t="s">
        <v>5714</v>
      </c>
      <c r="B1851" t="s">
        <v>5715</v>
      </c>
      <c r="C1851" t="s">
        <v>5716</v>
      </c>
    </row>
    <row r="1852" spans="1:3" x14ac:dyDescent="0.25">
      <c r="A1852" t="s">
        <v>5717</v>
      </c>
      <c r="B1852" t="s">
        <v>5718</v>
      </c>
      <c r="C1852" t="s">
        <v>5719</v>
      </c>
    </row>
    <row r="1853" spans="1:3" x14ac:dyDescent="0.25">
      <c r="A1853" t="s">
        <v>5720</v>
      </c>
      <c r="B1853" t="s">
        <v>5721</v>
      </c>
      <c r="C1853" t="s">
        <v>5722</v>
      </c>
    </row>
    <row r="1854" spans="1:3" x14ac:dyDescent="0.25">
      <c r="A1854" t="s">
        <v>5723</v>
      </c>
      <c r="B1854" t="s">
        <v>5724</v>
      </c>
      <c r="C1854" t="s">
        <v>5725</v>
      </c>
    </row>
    <row r="1855" spans="1:3" x14ac:dyDescent="0.25">
      <c r="A1855" t="s">
        <v>5726</v>
      </c>
      <c r="B1855" t="s">
        <v>5727</v>
      </c>
      <c r="C1855" t="s">
        <v>5728</v>
      </c>
    </row>
    <row r="1856" spans="1:3" x14ac:dyDescent="0.25">
      <c r="A1856" t="s">
        <v>5729</v>
      </c>
      <c r="B1856" t="s">
        <v>5730</v>
      </c>
      <c r="C1856" t="s">
        <v>5731</v>
      </c>
    </row>
    <row r="1857" spans="1:3" x14ac:dyDescent="0.25">
      <c r="A1857" t="s">
        <v>5732</v>
      </c>
      <c r="B1857" t="s">
        <v>5733</v>
      </c>
      <c r="C1857" t="s">
        <v>5734</v>
      </c>
    </row>
    <row r="1858" spans="1:3" x14ac:dyDescent="0.25">
      <c r="A1858" t="s">
        <v>5735</v>
      </c>
      <c r="B1858" t="s">
        <v>5736</v>
      </c>
      <c r="C1858" t="s">
        <v>5737</v>
      </c>
    </row>
    <row r="1859" spans="1:3" x14ac:dyDescent="0.25">
      <c r="A1859" t="s">
        <v>5738</v>
      </c>
      <c r="B1859" t="s">
        <v>5739</v>
      </c>
      <c r="C1859" t="s">
        <v>5740</v>
      </c>
    </row>
    <row r="1860" spans="1:3" x14ac:dyDescent="0.25">
      <c r="A1860" t="s">
        <v>5741</v>
      </c>
      <c r="B1860" t="s">
        <v>5742</v>
      </c>
      <c r="C1860" t="s">
        <v>5743</v>
      </c>
    </row>
    <row r="1861" spans="1:3" x14ac:dyDescent="0.25">
      <c r="A1861" t="s">
        <v>5744</v>
      </c>
      <c r="B1861" t="s">
        <v>5745</v>
      </c>
      <c r="C1861" t="s">
        <v>5746</v>
      </c>
    </row>
    <row r="1862" spans="1:3" x14ac:dyDescent="0.25">
      <c r="A1862" t="s">
        <v>5747</v>
      </c>
      <c r="B1862" t="s">
        <v>5748</v>
      </c>
      <c r="C1862" t="s">
        <v>5749</v>
      </c>
    </row>
    <row r="1863" spans="1:3" x14ac:dyDescent="0.25">
      <c r="A1863" t="s">
        <v>5750</v>
      </c>
      <c r="B1863" t="s">
        <v>5751</v>
      </c>
      <c r="C1863" t="s">
        <v>5752</v>
      </c>
    </row>
    <row r="1864" spans="1:3" x14ac:dyDescent="0.25">
      <c r="A1864" t="s">
        <v>5753</v>
      </c>
      <c r="B1864" t="s">
        <v>5754</v>
      </c>
      <c r="C1864" t="s">
        <v>5755</v>
      </c>
    </row>
    <row r="1865" spans="1:3" x14ac:dyDescent="0.25">
      <c r="A1865" t="s">
        <v>5756</v>
      </c>
      <c r="B1865" t="s">
        <v>5757</v>
      </c>
      <c r="C1865" t="s">
        <v>5758</v>
      </c>
    </row>
    <row r="1866" spans="1:3" x14ac:dyDescent="0.25">
      <c r="A1866" t="s">
        <v>5759</v>
      </c>
      <c r="B1866" t="s">
        <v>5760</v>
      </c>
      <c r="C1866" t="s">
        <v>5761</v>
      </c>
    </row>
    <row r="1867" spans="1:3" x14ac:dyDescent="0.25">
      <c r="A1867" t="s">
        <v>5762</v>
      </c>
      <c r="B1867" t="s">
        <v>5763</v>
      </c>
      <c r="C1867" t="s">
        <v>5764</v>
      </c>
    </row>
    <row r="1868" spans="1:3" x14ac:dyDescent="0.25">
      <c r="A1868" t="s">
        <v>5765</v>
      </c>
      <c r="B1868" t="s">
        <v>5766</v>
      </c>
      <c r="C1868" t="s">
        <v>5767</v>
      </c>
    </row>
    <row r="1869" spans="1:3" x14ac:dyDescent="0.25">
      <c r="A1869" t="s">
        <v>5768</v>
      </c>
      <c r="B1869" t="s">
        <v>5769</v>
      </c>
      <c r="C1869" t="s">
        <v>5770</v>
      </c>
    </row>
    <row r="1870" spans="1:3" x14ac:dyDescent="0.25">
      <c r="A1870" t="s">
        <v>5771</v>
      </c>
      <c r="B1870" t="s">
        <v>5772</v>
      </c>
      <c r="C1870" t="s">
        <v>5773</v>
      </c>
    </row>
    <row r="1871" spans="1:3" x14ac:dyDescent="0.25">
      <c r="A1871" t="s">
        <v>5774</v>
      </c>
      <c r="B1871" t="s">
        <v>5775</v>
      </c>
      <c r="C1871" t="s">
        <v>5776</v>
      </c>
    </row>
    <row r="1872" spans="1:3" x14ac:dyDescent="0.25">
      <c r="A1872" t="s">
        <v>5777</v>
      </c>
      <c r="B1872" t="s">
        <v>5778</v>
      </c>
      <c r="C1872" t="s">
        <v>5779</v>
      </c>
    </row>
    <row r="1873" spans="1:3" x14ac:dyDescent="0.25">
      <c r="A1873" t="s">
        <v>5780</v>
      </c>
      <c r="B1873" t="s">
        <v>5781</v>
      </c>
      <c r="C1873" t="s">
        <v>5782</v>
      </c>
    </row>
    <row r="1874" spans="1:3" x14ac:dyDescent="0.25">
      <c r="A1874" t="s">
        <v>5783</v>
      </c>
      <c r="B1874" t="s">
        <v>5784</v>
      </c>
      <c r="C1874" t="s">
        <v>5785</v>
      </c>
    </row>
    <row r="1875" spans="1:3" x14ac:dyDescent="0.25">
      <c r="A1875" t="s">
        <v>5786</v>
      </c>
      <c r="B1875" t="s">
        <v>5787</v>
      </c>
      <c r="C1875" t="s">
        <v>5788</v>
      </c>
    </row>
    <row r="1876" spans="1:3" x14ac:dyDescent="0.25">
      <c r="A1876" t="s">
        <v>5789</v>
      </c>
      <c r="B1876" t="s">
        <v>5790</v>
      </c>
      <c r="C1876" t="s">
        <v>5791</v>
      </c>
    </row>
    <row r="1877" spans="1:3" x14ac:dyDescent="0.25">
      <c r="A1877" t="s">
        <v>5795</v>
      </c>
      <c r="B1877" t="s">
        <v>5796</v>
      </c>
      <c r="C1877" t="s">
        <v>5797</v>
      </c>
    </row>
    <row r="1878" spans="1:3" x14ac:dyDescent="0.25">
      <c r="A1878" t="s">
        <v>5792</v>
      </c>
      <c r="B1878" t="s">
        <v>5793</v>
      </c>
      <c r="C1878" t="s">
        <v>5794</v>
      </c>
    </row>
    <row r="1879" spans="1:3" x14ac:dyDescent="0.25">
      <c r="A1879" t="s">
        <v>5798</v>
      </c>
      <c r="B1879" t="s">
        <v>5799</v>
      </c>
      <c r="C1879" t="s">
        <v>5800</v>
      </c>
    </row>
    <row r="1880" spans="1:3" x14ac:dyDescent="0.25">
      <c r="A1880" t="s">
        <v>5801</v>
      </c>
      <c r="B1880" t="s">
        <v>5802</v>
      </c>
      <c r="C1880" t="s">
        <v>5803</v>
      </c>
    </row>
    <row r="1881" spans="1:3" x14ac:dyDescent="0.25">
      <c r="A1881" t="s">
        <v>5804</v>
      </c>
      <c r="B1881" t="s">
        <v>5805</v>
      </c>
      <c r="C1881" t="s">
        <v>5806</v>
      </c>
    </row>
    <row r="1882" spans="1:3" x14ac:dyDescent="0.25">
      <c r="A1882" t="s">
        <v>5807</v>
      </c>
      <c r="B1882" t="s">
        <v>5808</v>
      </c>
      <c r="C1882" t="s">
        <v>5809</v>
      </c>
    </row>
    <row r="1883" spans="1:3" x14ac:dyDescent="0.25">
      <c r="A1883" t="s">
        <v>5810</v>
      </c>
      <c r="B1883" t="s">
        <v>5811</v>
      </c>
      <c r="C1883" t="s">
        <v>5812</v>
      </c>
    </row>
    <row r="1884" spans="1:3" x14ac:dyDescent="0.25">
      <c r="A1884" t="s">
        <v>5813</v>
      </c>
      <c r="B1884" t="s">
        <v>5814</v>
      </c>
      <c r="C1884" t="s">
        <v>5815</v>
      </c>
    </row>
    <row r="1885" spans="1:3" x14ac:dyDescent="0.25">
      <c r="A1885" t="s">
        <v>5816</v>
      </c>
      <c r="B1885" t="s">
        <v>5817</v>
      </c>
      <c r="C1885" t="s">
        <v>5818</v>
      </c>
    </row>
    <row r="1886" spans="1:3" x14ac:dyDescent="0.25">
      <c r="A1886" t="s">
        <v>5819</v>
      </c>
      <c r="B1886" t="s">
        <v>5820</v>
      </c>
      <c r="C1886" t="s">
        <v>5821</v>
      </c>
    </row>
    <row r="1887" spans="1:3" x14ac:dyDescent="0.25">
      <c r="A1887" t="s">
        <v>5822</v>
      </c>
      <c r="B1887" t="s">
        <v>5823</v>
      </c>
      <c r="C1887" t="s">
        <v>5824</v>
      </c>
    </row>
    <row r="1888" spans="1:3" x14ac:dyDescent="0.25">
      <c r="A1888" t="s">
        <v>5825</v>
      </c>
      <c r="B1888" t="s">
        <v>5826</v>
      </c>
      <c r="C1888" t="s">
        <v>5827</v>
      </c>
    </row>
    <row r="1889" spans="1:3" x14ac:dyDescent="0.25">
      <c r="A1889" t="s">
        <v>5828</v>
      </c>
      <c r="B1889" t="s">
        <v>5829</v>
      </c>
      <c r="C1889" t="s">
        <v>5830</v>
      </c>
    </row>
    <row r="1890" spans="1:3" x14ac:dyDescent="0.25">
      <c r="A1890" t="s">
        <v>5831</v>
      </c>
      <c r="B1890" t="s">
        <v>5832</v>
      </c>
      <c r="C1890" t="s">
        <v>5833</v>
      </c>
    </row>
    <row r="1891" spans="1:3" x14ac:dyDescent="0.25">
      <c r="A1891" t="s">
        <v>5834</v>
      </c>
      <c r="B1891" t="s">
        <v>5835</v>
      </c>
      <c r="C1891" t="s">
        <v>5836</v>
      </c>
    </row>
    <row r="1892" spans="1:3" x14ac:dyDescent="0.25">
      <c r="A1892" t="s">
        <v>5837</v>
      </c>
      <c r="B1892" t="s">
        <v>5838</v>
      </c>
      <c r="C1892" t="s">
        <v>5839</v>
      </c>
    </row>
    <row r="1893" spans="1:3" x14ac:dyDescent="0.25">
      <c r="A1893" t="s">
        <v>5843</v>
      </c>
      <c r="B1893" t="s">
        <v>5844</v>
      </c>
      <c r="C1893" t="s">
        <v>5845</v>
      </c>
    </row>
    <row r="1894" spans="1:3" x14ac:dyDescent="0.25">
      <c r="A1894" t="s">
        <v>5840</v>
      </c>
      <c r="B1894" t="s">
        <v>5841</v>
      </c>
      <c r="C1894" t="s">
        <v>5842</v>
      </c>
    </row>
    <row r="1895" spans="1:3" x14ac:dyDescent="0.25">
      <c r="A1895" t="s">
        <v>5846</v>
      </c>
      <c r="B1895" t="s">
        <v>5847</v>
      </c>
      <c r="C1895" t="s">
        <v>5848</v>
      </c>
    </row>
    <row r="1896" spans="1:3" x14ac:dyDescent="0.25">
      <c r="A1896" t="s">
        <v>5849</v>
      </c>
      <c r="B1896" t="s">
        <v>5850</v>
      </c>
      <c r="C1896" t="s">
        <v>5851</v>
      </c>
    </row>
    <row r="1897" spans="1:3" x14ac:dyDescent="0.25">
      <c r="A1897" t="s">
        <v>5852</v>
      </c>
      <c r="B1897" t="s">
        <v>5853</v>
      </c>
      <c r="C1897" t="s">
        <v>5854</v>
      </c>
    </row>
    <row r="1898" spans="1:3" x14ac:dyDescent="0.25">
      <c r="A1898" t="s">
        <v>5855</v>
      </c>
      <c r="B1898" t="s">
        <v>5856</v>
      </c>
      <c r="C1898" t="s">
        <v>5857</v>
      </c>
    </row>
    <row r="1899" spans="1:3" x14ac:dyDescent="0.25">
      <c r="A1899" t="s">
        <v>5858</v>
      </c>
      <c r="B1899" t="s">
        <v>5859</v>
      </c>
      <c r="C1899" t="s">
        <v>5860</v>
      </c>
    </row>
    <row r="1900" spans="1:3" x14ac:dyDescent="0.25">
      <c r="A1900" t="s">
        <v>5861</v>
      </c>
      <c r="B1900" t="s">
        <v>5862</v>
      </c>
      <c r="C1900" t="s">
        <v>5863</v>
      </c>
    </row>
    <row r="1901" spans="1:3" x14ac:dyDescent="0.25">
      <c r="A1901" t="s">
        <v>5864</v>
      </c>
      <c r="B1901" t="s">
        <v>5865</v>
      </c>
      <c r="C1901" t="s">
        <v>5866</v>
      </c>
    </row>
    <row r="1902" spans="1:3" x14ac:dyDescent="0.25">
      <c r="A1902" t="s">
        <v>5867</v>
      </c>
      <c r="B1902" t="s">
        <v>5868</v>
      </c>
      <c r="C1902" t="s">
        <v>5869</v>
      </c>
    </row>
    <row r="1903" spans="1:3" x14ac:dyDescent="0.25">
      <c r="A1903" t="s">
        <v>5870</v>
      </c>
      <c r="B1903" t="s">
        <v>5871</v>
      </c>
      <c r="C1903" t="s">
        <v>5872</v>
      </c>
    </row>
    <row r="1904" spans="1:3" x14ac:dyDescent="0.25">
      <c r="A1904" t="s">
        <v>5876</v>
      </c>
      <c r="B1904" t="s">
        <v>5877</v>
      </c>
      <c r="C1904" t="s">
        <v>5878</v>
      </c>
    </row>
    <row r="1905" spans="1:3" x14ac:dyDescent="0.25">
      <c r="A1905" t="s">
        <v>5873</v>
      </c>
      <c r="B1905" t="s">
        <v>5874</v>
      </c>
      <c r="C1905" t="s">
        <v>5875</v>
      </c>
    </row>
    <row r="1906" spans="1:3" x14ac:dyDescent="0.25">
      <c r="A1906" t="s">
        <v>5879</v>
      </c>
      <c r="B1906" t="s">
        <v>5880</v>
      </c>
      <c r="C1906" t="s">
        <v>5881</v>
      </c>
    </row>
    <row r="1907" spans="1:3" x14ac:dyDescent="0.25">
      <c r="A1907" t="s">
        <v>5882</v>
      </c>
      <c r="B1907" t="s">
        <v>5883</v>
      </c>
      <c r="C1907" t="s">
        <v>5884</v>
      </c>
    </row>
    <row r="1908" spans="1:3" x14ac:dyDescent="0.25">
      <c r="A1908" t="s">
        <v>5885</v>
      </c>
      <c r="B1908" t="s">
        <v>5886</v>
      </c>
      <c r="C1908" t="s">
        <v>5887</v>
      </c>
    </row>
    <row r="1909" spans="1:3" x14ac:dyDescent="0.25">
      <c r="A1909" t="s">
        <v>5888</v>
      </c>
      <c r="B1909" t="s">
        <v>5889</v>
      </c>
      <c r="C1909" t="s">
        <v>5890</v>
      </c>
    </row>
    <row r="1910" spans="1:3" x14ac:dyDescent="0.25">
      <c r="A1910" t="s">
        <v>5891</v>
      </c>
      <c r="B1910" t="s">
        <v>5892</v>
      </c>
      <c r="C1910" t="s">
        <v>5893</v>
      </c>
    </row>
    <row r="1911" spans="1:3" x14ac:dyDescent="0.25">
      <c r="A1911" t="s">
        <v>5894</v>
      </c>
      <c r="B1911" t="s">
        <v>5895</v>
      </c>
      <c r="C1911" t="s">
        <v>5896</v>
      </c>
    </row>
    <row r="1912" spans="1:3" x14ac:dyDescent="0.25">
      <c r="A1912" t="s">
        <v>5897</v>
      </c>
      <c r="B1912" t="s">
        <v>5898</v>
      </c>
      <c r="C1912" t="s">
        <v>5899</v>
      </c>
    </row>
    <row r="1913" spans="1:3" x14ac:dyDescent="0.25">
      <c r="A1913" t="s">
        <v>5900</v>
      </c>
      <c r="B1913" t="s">
        <v>5901</v>
      </c>
      <c r="C1913" t="s">
        <v>5902</v>
      </c>
    </row>
    <row r="1914" spans="1:3" x14ac:dyDescent="0.25">
      <c r="A1914" t="s">
        <v>5903</v>
      </c>
      <c r="B1914" t="s">
        <v>5904</v>
      </c>
      <c r="C1914" t="s">
        <v>5905</v>
      </c>
    </row>
    <row r="1915" spans="1:3" x14ac:dyDescent="0.25">
      <c r="A1915" t="s">
        <v>5906</v>
      </c>
      <c r="B1915" t="s">
        <v>5907</v>
      </c>
      <c r="C1915" t="s">
        <v>5908</v>
      </c>
    </row>
    <row r="1916" spans="1:3" x14ac:dyDescent="0.25">
      <c r="A1916" t="s">
        <v>5909</v>
      </c>
      <c r="B1916" t="s">
        <v>5910</v>
      </c>
      <c r="C1916" t="s">
        <v>5911</v>
      </c>
    </row>
    <row r="1917" spans="1:3" x14ac:dyDescent="0.25">
      <c r="A1917" t="s">
        <v>5912</v>
      </c>
      <c r="B1917" t="s">
        <v>5913</v>
      </c>
      <c r="C1917" t="s">
        <v>5914</v>
      </c>
    </row>
    <row r="1918" spans="1:3" x14ac:dyDescent="0.25">
      <c r="A1918" t="s">
        <v>5915</v>
      </c>
      <c r="B1918" t="s">
        <v>5916</v>
      </c>
      <c r="C1918" t="s">
        <v>5917</v>
      </c>
    </row>
    <row r="1919" spans="1:3" x14ac:dyDescent="0.25">
      <c r="A1919" t="s">
        <v>5918</v>
      </c>
      <c r="B1919" t="s">
        <v>5919</v>
      </c>
      <c r="C1919" t="s">
        <v>5920</v>
      </c>
    </row>
    <row r="1920" spans="1:3" x14ac:dyDescent="0.25">
      <c r="A1920" t="s">
        <v>5921</v>
      </c>
      <c r="B1920" t="s">
        <v>5922</v>
      </c>
      <c r="C1920" t="s">
        <v>5923</v>
      </c>
    </row>
    <row r="1921" spans="1:3" x14ac:dyDescent="0.25">
      <c r="A1921" t="s">
        <v>5924</v>
      </c>
      <c r="B1921" t="s">
        <v>5925</v>
      </c>
      <c r="C1921" t="s">
        <v>5926</v>
      </c>
    </row>
    <row r="1922" spans="1:3" x14ac:dyDescent="0.25">
      <c r="A1922" t="s">
        <v>5927</v>
      </c>
      <c r="B1922" t="s">
        <v>5928</v>
      </c>
      <c r="C1922" t="s">
        <v>5929</v>
      </c>
    </row>
    <row r="1923" spans="1:3" x14ac:dyDescent="0.25">
      <c r="A1923" t="s">
        <v>5930</v>
      </c>
      <c r="B1923" t="s">
        <v>5931</v>
      </c>
      <c r="C1923" t="s">
        <v>5932</v>
      </c>
    </row>
    <row r="1924" spans="1:3" x14ac:dyDescent="0.25">
      <c r="A1924" t="s">
        <v>5933</v>
      </c>
      <c r="B1924" t="s">
        <v>5934</v>
      </c>
      <c r="C1924" t="s">
        <v>5935</v>
      </c>
    </row>
    <row r="1925" spans="1:3" x14ac:dyDescent="0.25">
      <c r="A1925" t="s">
        <v>5936</v>
      </c>
      <c r="B1925" t="s">
        <v>5937</v>
      </c>
      <c r="C1925" t="s">
        <v>5938</v>
      </c>
    </row>
    <row r="1926" spans="1:3" x14ac:dyDescent="0.25">
      <c r="A1926" t="s">
        <v>5939</v>
      </c>
      <c r="B1926" t="s">
        <v>5940</v>
      </c>
      <c r="C1926" t="s">
        <v>5941</v>
      </c>
    </row>
    <row r="1927" spans="1:3" x14ac:dyDescent="0.25">
      <c r="A1927" t="s">
        <v>5942</v>
      </c>
      <c r="B1927" t="s">
        <v>5943</v>
      </c>
      <c r="C1927" t="s">
        <v>5944</v>
      </c>
    </row>
    <row r="1928" spans="1:3" x14ac:dyDescent="0.25">
      <c r="A1928" t="s">
        <v>5945</v>
      </c>
      <c r="B1928" t="s">
        <v>5946</v>
      </c>
      <c r="C1928" t="s">
        <v>5947</v>
      </c>
    </row>
    <row r="1929" spans="1:3" x14ac:dyDescent="0.25">
      <c r="A1929" t="s">
        <v>5948</v>
      </c>
      <c r="B1929" t="s">
        <v>5949</v>
      </c>
      <c r="C1929" t="s">
        <v>5950</v>
      </c>
    </row>
    <row r="1930" spans="1:3" x14ac:dyDescent="0.25">
      <c r="A1930" t="s">
        <v>5951</v>
      </c>
      <c r="B1930" t="s">
        <v>5952</v>
      </c>
      <c r="C1930" t="s">
        <v>5953</v>
      </c>
    </row>
    <row r="1931" spans="1:3" x14ac:dyDescent="0.25">
      <c r="A1931" t="s">
        <v>5954</v>
      </c>
      <c r="B1931" t="s">
        <v>5955</v>
      </c>
      <c r="C1931" t="s">
        <v>5956</v>
      </c>
    </row>
    <row r="1932" spans="1:3" x14ac:dyDescent="0.25">
      <c r="A1932" t="s">
        <v>5957</v>
      </c>
      <c r="B1932" t="s">
        <v>5958</v>
      </c>
      <c r="C1932" t="s">
        <v>5959</v>
      </c>
    </row>
    <row r="1933" spans="1:3" x14ac:dyDescent="0.25">
      <c r="A1933" t="s">
        <v>5960</v>
      </c>
      <c r="B1933" t="s">
        <v>5961</v>
      </c>
      <c r="C1933" t="s">
        <v>5962</v>
      </c>
    </row>
    <row r="1934" spans="1:3" x14ac:dyDescent="0.25">
      <c r="A1934" t="s">
        <v>5963</v>
      </c>
      <c r="B1934" t="s">
        <v>5964</v>
      </c>
      <c r="C1934" t="s">
        <v>5965</v>
      </c>
    </row>
    <row r="1935" spans="1:3" x14ac:dyDescent="0.25">
      <c r="A1935" t="s">
        <v>5966</v>
      </c>
      <c r="B1935" t="s">
        <v>5967</v>
      </c>
      <c r="C1935" t="s">
        <v>5968</v>
      </c>
    </row>
    <row r="1936" spans="1:3" x14ac:dyDescent="0.25">
      <c r="A1936" t="s">
        <v>5969</v>
      </c>
      <c r="B1936" t="s">
        <v>5970</v>
      </c>
      <c r="C1936" t="s">
        <v>5971</v>
      </c>
    </row>
    <row r="1937" spans="1:3" x14ac:dyDescent="0.25">
      <c r="A1937" t="s">
        <v>5972</v>
      </c>
      <c r="B1937" t="s">
        <v>5973</v>
      </c>
      <c r="C1937" t="s">
        <v>5974</v>
      </c>
    </row>
    <row r="1938" spans="1:3" x14ac:dyDescent="0.25">
      <c r="A1938" t="s">
        <v>5975</v>
      </c>
      <c r="B1938" t="s">
        <v>5976</v>
      </c>
      <c r="C1938" t="s">
        <v>5977</v>
      </c>
    </row>
    <row r="1939" spans="1:3" x14ac:dyDescent="0.25">
      <c r="A1939" t="s">
        <v>5978</v>
      </c>
      <c r="B1939" t="s">
        <v>5979</v>
      </c>
      <c r="C1939" t="s">
        <v>5980</v>
      </c>
    </row>
    <row r="1940" spans="1:3" x14ac:dyDescent="0.25">
      <c r="A1940" t="s">
        <v>5981</v>
      </c>
      <c r="B1940" t="s">
        <v>5982</v>
      </c>
      <c r="C1940" t="s">
        <v>5983</v>
      </c>
    </row>
    <row r="1941" spans="1:3" x14ac:dyDescent="0.25">
      <c r="A1941" t="s">
        <v>5984</v>
      </c>
      <c r="B1941" t="s">
        <v>5985</v>
      </c>
      <c r="C1941" t="s">
        <v>5986</v>
      </c>
    </row>
    <row r="1942" spans="1:3" x14ac:dyDescent="0.25">
      <c r="A1942" t="s">
        <v>5987</v>
      </c>
      <c r="B1942" t="s">
        <v>5988</v>
      </c>
      <c r="C1942" t="s">
        <v>5989</v>
      </c>
    </row>
    <row r="1943" spans="1:3" x14ac:dyDescent="0.25">
      <c r="A1943" t="s">
        <v>5990</v>
      </c>
      <c r="B1943" t="s">
        <v>5991</v>
      </c>
      <c r="C1943" t="s">
        <v>5992</v>
      </c>
    </row>
    <row r="1944" spans="1:3" x14ac:dyDescent="0.25">
      <c r="A1944" t="s">
        <v>5993</v>
      </c>
      <c r="B1944" t="s">
        <v>5994</v>
      </c>
      <c r="C1944" t="s">
        <v>5995</v>
      </c>
    </row>
    <row r="1945" spans="1:3" x14ac:dyDescent="0.25">
      <c r="A1945" t="s">
        <v>5996</v>
      </c>
      <c r="B1945" t="s">
        <v>5997</v>
      </c>
      <c r="C1945" t="s">
        <v>5998</v>
      </c>
    </row>
    <row r="1946" spans="1:3" x14ac:dyDescent="0.25">
      <c r="A1946" t="s">
        <v>5999</v>
      </c>
      <c r="B1946" t="s">
        <v>6000</v>
      </c>
      <c r="C1946" t="s">
        <v>6001</v>
      </c>
    </row>
    <row r="1947" spans="1:3" x14ac:dyDescent="0.25">
      <c r="A1947" t="s">
        <v>6002</v>
      </c>
      <c r="B1947" t="s">
        <v>6003</v>
      </c>
      <c r="C1947" t="s">
        <v>6004</v>
      </c>
    </row>
    <row r="1948" spans="1:3" x14ac:dyDescent="0.25">
      <c r="A1948" t="s">
        <v>6005</v>
      </c>
      <c r="B1948" t="s">
        <v>6006</v>
      </c>
      <c r="C1948" t="s">
        <v>6007</v>
      </c>
    </row>
    <row r="1949" spans="1:3" x14ac:dyDescent="0.25">
      <c r="A1949" t="s">
        <v>6008</v>
      </c>
      <c r="B1949" t="s">
        <v>6009</v>
      </c>
      <c r="C1949" t="s">
        <v>6010</v>
      </c>
    </row>
    <row r="1950" spans="1:3" x14ac:dyDescent="0.25">
      <c r="A1950" t="s">
        <v>6011</v>
      </c>
      <c r="B1950" t="s">
        <v>6012</v>
      </c>
      <c r="C1950" t="s">
        <v>6013</v>
      </c>
    </row>
    <row r="1951" spans="1:3" x14ac:dyDescent="0.25">
      <c r="A1951" t="s">
        <v>6014</v>
      </c>
      <c r="B1951" t="s">
        <v>6015</v>
      </c>
      <c r="C1951" t="s">
        <v>6016</v>
      </c>
    </row>
    <row r="1952" spans="1:3" x14ac:dyDescent="0.25">
      <c r="A1952" t="s">
        <v>6017</v>
      </c>
      <c r="B1952" t="s">
        <v>6018</v>
      </c>
      <c r="C1952" t="s">
        <v>6019</v>
      </c>
    </row>
    <row r="1953" spans="1:3" x14ac:dyDescent="0.25">
      <c r="A1953" t="s">
        <v>6020</v>
      </c>
      <c r="B1953" t="s">
        <v>6021</v>
      </c>
      <c r="C1953" t="s">
        <v>6022</v>
      </c>
    </row>
    <row r="1954" spans="1:3" x14ac:dyDescent="0.25">
      <c r="A1954" t="s">
        <v>6023</v>
      </c>
      <c r="B1954" t="s">
        <v>6024</v>
      </c>
      <c r="C1954" t="s">
        <v>6025</v>
      </c>
    </row>
    <row r="1955" spans="1:3" x14ac:dyDescent="0.25">
      <c r="A1955" t="s">
        <v>6026</v>
      </c>
      <c r="B1955" t="s">
        <v>6027</v>
      </c>
      <c r="C1955" t="s">
        <v>6028</v>
      </c>
    </row>
    <row r="1956" spans="1:3" x14ac:dyDescent="0.25">
      <c r="A1956" t="s">
        <v>6029</v>
      </c>
      <c r="B1956" t="s">
        <v>6030</v>
      </c>
      <c r="C1956" t="s">
        <v>6031</v>
      </c>
    </row>
    <row r="1957" spans="1:3" x14ac:dyDescent="0.25">
      <c r="A1957" t="s">
        <v>6032</v>
      </c>
      <c r="B1957" t="s">
        <v>6033</v>
      </c>
      <c r="C1957" t="s">
        <v>6034</v>
      </c>
    </row>
    <row r="1958" spans="1:3" x14ac:dyDescent="0.25">
      <c r="A1958" t="s">
        <v>6035</v>
      </c>
      <c r="B1958" t="s">
        <v>6036</v>
      </c>
      <c r="C1958" t="s">
        <v>6037</v>
      </c>
    </row>
    <row r="1959" spans="1:3" x14ac:dyDescent="0.25">
      <c r="A1959" t="s">
        <v>6038</v>
      </c>
      <c r="B1959" t="s">
        <v>6039</v>
      </c>
      <c r="C1959" t="s">
        <v>6040</v>
      </c>
    </row>
    <row r="1960" spans="1:3" x14ac:dyDescent="0.25">
      <c r="A1960" t="s">
        <v>6041</v>
      </c>
      <c r="B1960" t="s">
        <v>6042</v>
      </c>
      <c r="C1960" t="s">
        <v>6043</v>
      </c>
    </row>
    <row r="1961" spans="1:3" x14ac:dyDescent="0.25">
      <c r="A1961" t="s">
        <v>6044</v>
      </c>
      <c r="B1961" t="s">
        <v>6045</v>
      </c>
      <c r="C1961" t="s">
        <v>6046</v>
      </c>
    </row>
    <row r="1962" spans="1:3" x14ac:dyDescent="0.25">
      <c r="A1962" t="s">
        <v>6047</v>
      </c>
      <c r="B1962" t="s">
        <v>6048</v>
      </c>
      <c r="C1962" t="s">
        <v>6049</v>
      </c>
    </row>
    <row r="1963" spans="1:3" x14ac:dyDescent="0.25">
      <c r="A1963" t="s">
        <v>6050</v>
      </c>
      <c r="B1963" t="s">
        <v>6051</v>
      </c>
      <c r="C1963" t="s">
        <v>6052</v>
      </c>
    </row>
    <row r="1964" spans="1:3" x14ac:dyDescent="0.25">
      <c r="A1964" t="s">
        <v>6053</v>
      </c>
      <c r="B1964" t="s">
        <v>6054</v>
      </c>
      <c r="C1964" t="s">
        <v>6055</v>
      </c>
    </row>
    <row r="1965" spans="1:3" x14ac:dyDescent="0.25">
      <c r="A1965" t="s">
        <v>6056</v>
      </c>
      <c r="B1965" t="s">
        <v>6057</v>
      </c>
      <c r="C1965" t="s">
        <v>6058</v>
      </c>
    </row>
    <row r="1966" spans="1:3" x14ac:dyDescent="0.25">
      <c r="A1966" t="s">
        <v>6059</v>
      </c>
      <c r="B1966" t="s">
        <v>6060</v>
      </c>
      <c r="C1966" t="s">
        <v>6061</v>
      </c>
    </row>
    <row r="1967" spans="1:3" x14ac:dyDescent="0.25">
      <c r="A1967" t="s">
        <v>6062</v>
      </c>
      <c r="B1967" t="s">
        <v>6063</v>
      </c>
      <c r="C1967" t="s">
        <v>6064</v>
      </c>
    </row>
    <row r="1968" spans="1:3" x14ac:dyDescent="0.25">
      <c r="A1968" t="s">
        <v>6065</v>
      </c>
      <c r="B1968" t="s">
        <v>6066</v>
      </c>
      <c r="C1968" t="s">
        <v>6067</v>
      </c>
    </row>
    <row r="1969" spans="1:3" x14ac:dyDescent="0.25">
      <c r="A1969" t="s">
        <v>6068</v>
      </c>
      <c r="B1969" t="s">
        <v>6069</v>
      </c>
      <c r="C1969" t="s">
        <v>6070</v>
      </c>
    </row>
    <row r="1970" spans="1:3" x14ac:dyDescent="0.25">
      <c r="A1970" t="s">
        <v>6071</v>
      </c>
      <c r="B1970" t="s">
        <v>6072</v>
      </c>
      <c r="C1970" t="s">
        <v>6073</v>
      </c>
    </row>
    <row r="1971" spans="1:3" x14ac:dyDescent="0.25">
      <c r="A1971" t="s">
        <v>6074</v>
      </c>
      <c r="B1971" t="s">
        <v>6075</v>
      </c>
      <c r="C1971" t="s">
        <v>6076</v>
      </c>
    </row>
    <row r="1972" spans="1:3" x14ac:dyDescent="0.25">
      <c r="A1972" t="s">
        <v>6077</v>
      </c>
      <c r="B1972" t="s">
        <v>6078</v>
      </c>
      <c r="C1972" t="s">
        <v>6079</v>
      </c>
    </row>
    <row r="1973" spans="1:3" x14ac:dyDescent="0.25">
      <c r="A1973" t="s">
        <v>6080</v>
      </c>
      <c r="B1973" t="s">
        <v>6081</v>
      </c>
      <c r="C1973" t="s">
        <v>6082</v>
      </c>
    </row>
    <row r="1974" spans="1:3" x14ac:dyDescent="0.25">
      <c r="A1974" t="s">
        <v>6083</v>
      </c>
      <c r="B1974" t="s">
        <v>6084</v>
      </c>
      <c r="C1974" t="s">
        <v>6085</v>
      </c>
    </row>
    <row r="1975" spans="1:3" x14ac:dyDescent="0.25">
      <c r="A1975" t="s">
        <v>6086</v>
      </c>
      <c r="B1975" t="s">
        <v>6087</v>
      </c>
      <c r="C1975" t="s">
        <v>6088</v>
      </c>
    </row>
    <row r="1976" spans="1:3" x14ac:dyDescent="0.25">
      <c r="A1976" t="s">
        <v>6089</v>
      </c>
      <c r="B1976" t="s">
        <v>6090</v>
      </c>
      <c r="C1976" t="s">
        <v>6091</v>
      </c>
    </row>
    <row r="1977" spans="1:3" x14ac:dyDescent="0.25">
      <c r="A1977" t="s">
        <v>6092</v>
      </c>
      <c r="B1977" t="s">
        <v>6093</v>
      </c>
      <c r="C1977" t="s">
        <v>6094</v>
      </c>
    </row>
    <row r="1978" spans="1:3" x14ac:dyDescent="0.25">
      <c r="A1978" t="s">
        <v>6095</v>
      </c>
      <c r="B1978" t="s">
        <v>6096</v>
      </c>
      <c r="C1978" t="s">
        <v>6097</v>
      </c>
    </row>
    <row r="1979" spans="1:3" x14ac:dyDescent="0.25">
      <c r="A1979" t="s">
        <v>6098</v>
      </c>
      <c r="B1979" t="s">
        <v>6099</v>
      </c>
      <c r="C1979" t="s">
        <v>6100</v>
      </c>
    </row>
    <row r="1980" spans="1:3" x14ac:dyDescent="0.25">
      <c r="A1980" t="s">
        <v>6101</v>
      </c>
      <c r="B1980" t="s">
        <v>6102</v>
      </c>
      <c r="C1980" t="s">
        <v>6103</v>
      </c>
    </row>
    <row r="1981" spans="1:3" x14ac:dyDescent="0.25">
      <c r="A1981" t="s">
        <v>6104</v>
      </c>
      <c r="B1981" t="s">
        <v>6105</v>
      </c>
      <c r="C1981" t="s">
        <v>6106</v>
      </c>
    </row>
    <row r="1982" spans="1:3" x14ac:dyDescent="0.25">
      <c r="A1982" t="s">
        <v>6107</v>
      </c>
      <c r="B1982" t="s">
        <v>6108</v>
      </c>
      <c r="C1982" t="s">
        <v>6109</v>
      </c>
    </row>
    <row r="1983" spans="1:3" x14ac:dyDescent="0.25">
      <c r="A1983" t="s">
        <v>6110</v>
      </c>
      <c r="B1983" t="s">
        <v>6111</v>
      </c>
      <c r="C1983" t="s">
        <v>6112</v>
      </c>
    </row>
    <row r="1984" spans="1:3" x14ac:dyDescent="0.25">
      <c r="A1984" t="s">
        <v>6113</v>
      </c>
      <c r="B1984" t="s">
        <v>6114</v>
      </c>
      <c r="C1984" t="s">
        <v>6115</v>
      </c>
    </row>
    <row r="1985" spans="1:3" x14ac:dyDescent="0.25">
      <c r="A1985" t="s">
        <v>6116</v>
      </c>
      <c r="B1985" t="s">
        <v>6117</v>
      </c>
      <c r="C1985" t="s">
        <v>6118</v>
      </c>
    </row>
    <row r="1986" spans="1:3" x14ac:dyDescent="0.25">
      <c r="A1986" t="s">
        <v>6119</v>
      </c>
      <c r="B1986" t="s">
        <v>6120</v>
      </c>
      <c r="C1986" t="s">
        <v>6121</v>
      </c>
    </row>
    <row r="1987" spans="1:3" x14ac:dyDescent="0.25">
      <c r="A1987" t="s">
        <v>6122</v>
      </c>
      <c r="B1987" t="s">
        <v>6123</v>
      </c>
      <c r="C1987" t="s">
        <v>6124</v>
      </c>
    </row>
    <row r="1988" spans="1:3" x14ac:dyDescent="0.25">
      <c r="A1988" t="s">
        <v>6125</v>
      </c>
      <c r="B1988" t="s">
        <v>6126</v>
      </c>
      <c r="C1988" t="s">
        <v>6127</v>
      </c>
    </row>
    <row r="1989" spans="1:3" x14ac:dyDescent="0.25">
      <c r="A1989" t="s">
        <v>6128</v>
      </c>
      <c r="B1989" t="s">
        <v>6129</v>
      </c>
      <c r="C1989" t="s">
        <v>6130</v>
      </c>
    </row>
    <row r="1990" spans="1:3" x14ac:dyDescent="0.25">
      <c r="A1990" t="s">
        <v>6131</v>
      </c>
      <c r="B1990" t="s">
        <v>6132</v>
      </c>
      <c r="C1990" t="s">
        <v>6133</v>
      </c>
    </row>
    <row r="1991" spans="1:3" x14ac:dyDescent="0.25">
      <c r="A1991" t="s">
        <v>6134</v>
      </c>
      <c r="B1991" t="s">
        <v>6135</v>
      </c>
      <c r="C1991" t="s">
        <v>6136</v>
      </c>
    </row>
    <row r="1992" spans="1:3" x14ac:dyDescent="0.25">
      <c r="A1992" t="s">
        <v>6137</v>
      </c>
      <c r="B1992" t="s">
        <v>6138</v>
      </c>
      <c r="C1992" t="s">
        <v>6139</v>
      </c>
    </row>
    <row r="1993" spans="1:3" x14ac:dyDescent="0.25">
      <c r="A1993" t="s">
        <v>6140</v>
      </c>
      <c r="B1993" t="s">
        <v>6141</v>
      </c>
      <c r="C1993" t="s">
        <v>6142</v>
      </c>
    </row>
    <row r="1994" spans="1:3" x14ac:dyDescent="0.25">
      <c r="A1994" t="s">
        <v>6143</v>
      </c>
      <c r="B1994" t="s">
        <v>6144</v>
      </c>
      <c r="C1994" t="s">
        <v>6145</v>
      </c>
    </row>
    <row r="1995" spans="1:3" x14ac:dyDescent="0.25">
      <c r="A1995" t="s">
        <v>6146</v>
      </c>
      <c r="B1995" t="s">
        <v>6147</v>
      </c>
      <c r="C1995" t="s">
        <v>6148</v>
      </c>
    </row>
    <row r="1996" spans="1:3" x14ac:dyDescent="0.25">
      <c r="A1996" t="s">
        <v>6149</v>
      </c>
      <c r="B1996" t="s">
        <v>6150</v>
      </c>
      <c r="C1996" t="s">
        <v>6151</v>
      </c>
    </row>
    <row r="1997" spans="1:3" x14ac:dyDescent="0.25">
      <c r="A1997" t="s">
        <v>6152</v>
      </c>
      <c r="B1997" t="s">
        <v>6153</v>
      </c>
      <c r="C1997" t="s">
        <v>6154</v>
      </c>
    </row>
    <row r="1998" spans="1:3" x14ac:dyDescent="0.25">
      <c r="A1998" t="s">
        <v>6155</v>
      </c>
      <c r="B1998" t="s">
        <v>6156</v>
      </c>
      <c r="C1998" t="s">
        <v>6157</v>
      </c>
    </row>
    <row r="1999" spans="1:3" x14ac:dyDescent="0.25">
      <c r="A1999" t="s">
        <v>6158</v>
      </c>
      <c r="B1999" t="s">
        <v>6159</v>
      </c>
      <c r="C1999" t="s">
        <v>6160</v>
      </c>
    </row>
    <row r="2000" spans="1:3" x14ac:dyDescent="0.25">
      <c r="A2000" t="s">
        <v>6161</v>
      </c>
      <c r="B2000" t="s">
        <v>6162</v>
      </c>
      <c r="C2000" t="s">
        <v>6163</v>
      </c>
    </row>
    <row r="2001" spans="1:3" x14ac:dyDescent="0.25">
      <c r="A2001" t="s">
        <v>6164</v>
      </c>
      <c r="B2001" t="s">
        <v>6165</v>
      </c>
      <c r="C2001" t="s">
        <v>6166</v>
      </c>
    </row>
    <row r="2002" spans="1:3" x14ac:dyDescent="0.25">
      <c r="A2002" t="s">
        <v>6167</v>
      </c>
      <c r="B2002" t="s">
        <v>6168</v>
      </c>
      <c r="C2002" t="s">
        <v>6169</v>
      </c>
    </row>
    <row r="2003" spans="1:3" x14ac:dyDescent="0.25">
      <c r="A2003" t="s">
        <v>6170</v>
      </c>
      <c r="B2003" t="s">
        <v>6171</v>
      </c>
      <c r="C2003" t="s">
        <v>6172</v>
      </c>
    </row>
    <row r="2004" spans="1:3" x14ac:dyDescent="0.25">
      <c r="A2004" t="s">
        <v>6173</v>
      </c>
      <c r="B2004" t="s">
        <v>6174</v>
      </c>
      <c r="C2004" t="s">
        <v>6175</v>
      </c>
    </row>
    <row r="2005" spans="1:3" x14ac:dyDescent="0.25">
      <c r="A2005" t="s">
        <v>6176</v>
      </c>
      <c r="B2005" t="s">
        <v>6177</v>
      </c>
      <c r="C2005" t="s">
        <v>6178</v>
      </c>
    </row>
    <row r="2006" spans="1:3" x14ac:dyDescent="0.25">
      <c r="A2006" t="s">
        <v>6179</v>
      </c>
      <c r="B2006" t="s">
        <v>6180</v>
      </c>
      <c r="C2006" t="s">
        <v>6181</v>
      </c>
    </row>
    <row r="2007" spans="1:3" x14ac:dyDescent="0.25">
      <c r="A2007" t="s">
        <v>6182</v>
      </c>
      <c r="B2007" t="s">
        <v>6183</v>
      </c>
      <c r="C2007" t="s">
        <v>6184</v>
      </c>
    </row>
    <row r="2008" spans="1:3" x14ac:dyDescent="0.25">
      <c r="A2008" t="s">
        <v>6185</v>
      </c>
      <c r="B2008" t="s">
        <v>6186</v>
      </c>
      <c r="C2008" t="s">
        <v>6187</v>
      </c>
    </row>
    <row r="2009" spans="1:3" x14ac:dyDescent="0.25">
      <c r="A2009" t="s">
        <v>6188</v>
      </c>
      <c r="B2009" t="s">
        <v>6189</v>
      </c>
      <c r="C2009" t="s">
        <v>6190</v>
      </c>
    </row>
    <row r="2010" spans="1:3" x14ac:dyDescent="0.25">
      <c r="A2010" t="s">
        <v>6191</v>
      </c>
      <c r="B2010" t="s">
        <v>6192</v>
      </c>
      <c r="C2010" t="s">
        <v>6193</v>
      </c>
    </row>
    <row r="2011" spans="1:3" x14ac:dyDescent="0.25">
      <c r="A2011" t="s">
        <v>6194</v>
      </c>
      <c r="B2011" t="s">
        <v>6195</v>
      </c>
      <c r="C2011" t="s">
        <v>6196</v>
      </c>
    </row>
    <row r="2012" spans="1:3" x14ac:dyDescent="0.25">
      <c r="A2012" t="s">
        <v>6197</v>
      </c>
      <c r="B2012" t="s">
        <v>6198</v>
      </c>
      <c r="C2012" t="s">
        <v>6199</v>
      </c>
    </row>
    <row r="2013" spans="1:3" x14ac:dyDescent="0.25">
      <c r="A2013" t="s">
        <v>6200</v>
      </c>
      <c r="B2013" t="s">
        <v>6201</v>
      </c>
      <c r="C2013" t="s">
        <v>6202</v>
      </c>
    </row>
    <row r="2014" spans="1:3" x14ac:dyDescent="0.25">
      <c r="A2014" t="s">
        <v>6203</v>
      </c>
      <c r="B2014" t="s">
        <v>6204</v>
      </c>
      <c r="C2014" t="s">
        <v>6205</v>
      </c>
    </row>
    <row r="2015" spans="1:3" x14ac:dyDescent="0.25">
      <c r="A2015" t="s">
        <v>6206</v>
      </c>
      <c r="B2015" t="s">
        <v>6207</v>
      </c>
      <c r="C2015" t="s">
        <v>6208</v>
      </c>
    </row>
    <row r="2016" spans="1:3" x14ac:dyDescent="0.25">
      <c r="A2016" t="s">
        <v>6209</v>
      </c>
      <c r="B2016" t="s">
        <v>6210</v>
      </c>
      <c r="C2016" t="s">
        <v>6211</v>
      </c>
    </row>
    <row r="2017" spans="1:3" x14ac:dyDescent="0.25">
      <c r="A2017" t="s">
        <v>6212</v>
      </c>
      <c r="B2017" t="s">
        <v>6213</v>
      </c>
      <c r="C2017" t="s">
        <v>6214</v>
      </c>
    </row>
    <row r="2018" spans="1:3" x14ac:dyDescent="0.25">
      <c r="A2018" t="s">
        <v>6215</v>
      </c>
      <c r="B2018" t="s">
        <v>6216</v>
      </c>
      <c r="C2018" t="s">
        <v>6217</v>
      </c>
    </row>
    <row r="2019" spans="1:3" x14ac:dyDescent="0.25">
      <c r="A2019" t="s">
        <v>6218</v>
      </c>
      <c r="B2019" t="s">
        <v>6219</v>
      </c>
      <c r="C2019" t="s">
        <v>6220</v>
      </c>
    </row>
    <row r="2020" spans="1:3" x14ac:dyDescent="0.25">
      <c r="A2020" t="s">
        <v>6221</v>
      </c>
      <c r="B2020" t="s">
        <v>6222</v>
      </c>
      <c r="C2020" t="s">
        <v>6223</v>
      </c>
    </row>
    <row r="2021" spans="1:3" x14ac:dyDescent="0.25">
      <c r="A2021" t="s">
        <v>6224</v>
      </c>
      <c r="B2021" t="s">
        <v>6225</v>
      </c>
      <c r="C2021" t="s">
        <v>6226</v>
      </c>
    </row>
    <row r="2022" spans="1:3" x14ac:dyDescent="0.25">
      <c r="A2022" t="s">
        <v>6227</v>
      </c>
      <c r="B2022" t="s">
        <v>6228</v>
      </c>
      <c r="C2022" t="s">
        <v>6229</v>
      </c>
    </row>
    <row r="2023" spans="1:3" x14ac:dyDescent="0.25">
      <c r="A2023" t="s">
        <v>6230</v>
      </c>
      <c r="B2023" t="s">
        <v>6231</v>
      </c>
      <c r="C2023" t="s">
        <v>6232</v>
      </c>
    </row>
    <row r="2024" spans="1:3" x14ac:dyDescent="0.25">
      <c r="A2024" t="s">
        <v>6233</v>
      </c>
      <c r="B2024" t="s">
        <v>6234</v>
      </c>
      <c r="C2024" t="s">
        <v>6235</v>
      </c>
    </row>
    <row r="2025" spans="1:3" x14ac:dyDescent="0.25">
      <c r="A2025" t="s">
        <v>6236</v>
      </c>
      <c r="B2025" t="s">
        <v>6237</v>
      </c>
      <c r="C2025" t="s">
        <v>6238</v>
      </c>
    </row>
    <row r="2026" spans="1:3" x14ac:dyDescent="0.25">
      <c r="A2026" t="s">
        <v>6239</v>
      </c>
      <c r="B2026" t="s">
        <v>6240</v>
      </c>
      <c r="C2026" t="s">
        <v>6241</v>
      </c>
    </row>
    <row r="2027" spans="1:3" x14ac:dyDescent="0.25">
      <c r="A2027" t="s">
        <v>6242</v>
      </c>
      <c r="B2027" t="s">
        <v>6243</v>
      </c>
      <c r="C2027" t="s">
        <v>6244</v>
      </c>
    </row>
    <row r="2028" spans="1:3" x14ac:dyDescent="0.25">
      <c r="A2028" t="s">
        <v>6245</v>
      </c>
      <c r="B2028" t="s">
        <v>6246</v>
      </c>
      <c r="C2028" t="s">
        <v>6247</v>
      </c>
    </row>
    <row r="2029" spans="1:3" x14ac:dyDescent="0.25">
      <c r="A2029" t="s">
        <v>6248</v>
      </c>
      <c r="B2029" t="s">
        <v>6249</v>
      </c>
      <c r="C2029" t="s">
        <v>6250</v>
      </c>
    </row>
    <row r="2030" spans="1:3" x14ac:dyDescent="0.25">
      <c r="A2030" t="s">
        <v>6251</v>
      </c>
      <c r="B2030" t="s">
        <v>6252</v>
      </c>
      <c r="C2030" t="s">
        <v>6253</v>
      </c>
    </row>
    <row r="2031" spans="1:3" x14ac:dyDescent="0.25">
      <c r="A2031" t="s">
        <v>6254</v>
      </c>
      <c r="B2031" t="s">
        <v>6255</v>
      </c>
      <c r="C2031" t="s">
        <v>6256</v>
      </c>
    </row>
    <row r="2032" spans="1:3" x14ac:dyDescent="0.25">
      <c r="A2032" t="s">
        <v>6257</v>
      </c>
      <c r="B2032" t="s">
        <v>6258</v>
      </c>
      <c r="C2032" t="s">
        <v>6259</v>
      </c>
    </row>
    <row r="2033" spans="1:3" x14ac:dyDescent="0.25">
      <c r="A2033" t="s">
        <v>6260</v>
      </c>
      <c r="B2033" t="s">
        <v>6261</v>
      </c>
      <c r="C2033" t="s">
        <v>6262</v>
      </c>
    </row>
    <row r="2034" spans="1:3" x14ac:dyDescent="0.25">
      <c r="A2034" t="s">
        <v>6263</v>
      </c>
      <c r="B2034" t="s">
        <v>6264</v>
      </c>
      <c r="C2034" t="s">
        <v>6265</v>
      </c>
    </row>
    <row r="2035" spans="1:3" x14ac:dyDescent="0.25">
      <c r="A2035" t="s">
        <v>6266</v>
      </c>
      <c r="B2035" t="s">
        <v>6267</v>
      </c>
      <c r="C2035" t="s">
        <v>6268</v>
      </c>
    </row>
    <row r="2036" spans="1:3" x14ac:dyDescent="0.25">
      <c r="A2036" t="s">
        <v>6269</v>
      </c>
      <c r="B2036" t="s">
        <v>6270</v>
      </c>
      <c r="C2036" t="s">
        <v>6271</v>
      </c>
    </row>
    <row r="2037" spans="1:3" x14ac:dyDescent="0.25">
      <c r="A2037" t="s">
        <v>6272</v>
      </c>
      <c r="B2037" t="s">
        <v>6273</v>
      </c>
      <c r="C2037" t="s">
        <v>6274</v>
      </c>
    </row>
    <row r="2038" spans="1:3" x14ac:dyDescent="0.25">
      <c r="A2038" t="s">
        <v>6275</v>
      </c>
      <c r="B2038" t="s">
        <v>6276</v>
      </c>
      <c r="C2038" t="s">
        <v>6277</v>
      </c>
    </row>
    <row r="2039" spans="1:3" x14ac:dyDescent="0.25">
      <c r="A2039" t="s">
        <v>6278</v>
      </c>
      <c r="B2039" t="s">
        <v>6279</v>
      </c>
      <c r="C2039" t="s">
        <v>6280</v>
      </c>
    </row>
    <row r="2040" spans="1:3" x14ac:dyDescent="0.25">
      <c r="A2040" t="s">
        <v>6281</v>
      </c>
      <c r="B2040" t="s">
        <v>6282</v>
      </c>
      <c r="C2040" t="s">
        <v>6283</v>
      </c>
    </row>
    <row r="2041" spans="1:3" x14ac:dyDescent="0.25">
      <c r="A2041" t="s">
        <v>6284</v>
      </c>
      <c r="B2041" t="s">
        <v>6285</v>
      </c>
      <c r="C2041" t="s">
        <v>6286</v>
      </c>
    </row>
    <row r="2042" spans="1:3" x14ac:dyDescent="0.25">
      <c r="A2042" t="s">
        <v>6287</v>
      </c>
      <c r="B2042" t="s">
        <v>6288</v>
      </c>
      <c r="C2042" t="s">
        <v>6289</v>
      </c>
    </row>
    <row r="2043" spans="1:3" x14ac:dyDescent="0.25">
      <c r="A2043" t="s">
        <v>6290</v>
      </c>
      <c r="B2043" t="s">
        <v>6291</v>
      </c>
      <c r="C2043" t="s">
        <v>6292</v>
      </c>
    </row>
    <row r="2044" spans="1:3" x14ac:dyDescent="0.25">
      <c r="A2044" t="s">
        <v>6293</v>
      </c>
      <c r="B2044" t="s">
        <v>6294</v>
      </c>
      <c r="C2044" t="s">
        <v>6295</v>
      </c>
    </row>
    <row r="2045" spans="1:3" x14ac:dyDescent="0.25">
      <c r="A2045" t="s">
        <v>6296</v>
      </c>
      <c r="B2045" t="s">
        <v>6297</v>
      </c>
      <c r="C2045" t="s">
        <v>6298</v>
      </c>
    </row>
    <row r="2046" spans="1:3" x14ac:dyDescent="0.25">
      <c r="A2046" t="s">
        <v>6299</v>
      </c>
      <c r="B2046" t="s">
        <v>6300</v>
      </c>
      <c r="C2046" t="s">
        <v>6301</v>
      </c>
    </row>
    <row r="2047" spans="1:3" x14ac:dyDescent="0.25">
      <c r="A2047" t="s">
        <v>6302</v>
      </c>
      <c r="B2047" t="s">
        <v>6303</v>
      </c>
      <c r="C2047" t="s">
        <v>6304</v>
      </c>
    </row>
    <row r="2048" spans="1:3" x14ac:dyDescent="0.25">
      <c r="A2048" t="s">
        <v>6305</v>
      </c>
      <c r="B2048" t="s">
        <v>6306</v>
      </c>
      <c r="C2048" t="s">
        <v>6307</v>
      </c>
    </row>
    <row r="2049" spans="1:3" x14ac:dyDescent="0.25">
      <c r="A2049" t="s">
        <v>6308</v>
      </c>
      <c r="B2049" t="s">
        <v>6309</v>
      </c>
      <c r="C2049" t="s">
        <v>6310</v>
      </c>
    </row>
    <row r="2050" spans="1:3" x14ac:dyDescent="0.25">
      <c r="A2050" t="s">
        <v>6311</v>
      </c>
      <c r="B2050" t="s">
        <v>6312</v>
      </c>
      <c r="C2050" t="s">
        <v>6313</v>
      </c>
    </row>
    <row r="2051" spans="1:3" x14ac:dyDescent="0.25">
      <c r="A2051" t="s">
        <v>6314</v>
      </c>
      <c r="B2051" t="s">
        <v>6315</v>
      </c>
      <c r="C2051" t="s">
        <v>6316</v>
      </c>
    </row>
    <row r="2052" spans="1:3" x14ac:dyDescent="0.25">
      <c r="A2052" t="s">
        <v>6317</v>
      </c>
      <c r="B2052" t="s">
        <v>6318</v>
      </c>
      <c r="C2052" t="s">
        <v>6319</v>
      </c>
    </row>
    <row r="2053" spans="1:3" x14ac:dyDescent="0.25">
      <c r="A2053" t="s">
        <v>6320</v>
      </c>
      <c r="B2053" t="s">
        <v>6321</v>
      </c>
      <c r="C2053" t="s">
        <v>6322</v>
      </c>
    </row>
    <row r="2054" spans="1:3" x14ac:dyDescent="0.25">
      <c r="A2054" t="s">
        <v>6323</v>
      </c>
      <c r="B2054" t="s">
        <v>6324</v>
      </c>
      <c r="C2054" t="s">
        <v>6325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DDA01-1D0D-40D9-B855-A235CE880047}">
  <sheetPr codeName="Feuil4">
    <tabColor rgb="FFFF0000"/>
  </sheetPr>
  <dimension ref="A1:S13"/>
  <sheetViews>
    <sheetView tabSelected="1" workbookViewId="0">
      <selection activeCell="P4" sqref="P4:Q5"/>
    </sheetView>
  </sheetViews>
  <sheetFormatPr baseColWidth="10" defaultRowHeight="15" x14ac:dyDescent="0.25"/>
  <cols>
    <col min="2" max="2" width="16" customWidth="1"/>
    <col min="3" max="3" width="14" customWidth="1"/>
  </cols>
  <sheetData>
    <row r="1" spans="1:19" ht="43.5" customHeight="1" thickBot="1" x14ac:dyDescent="0.3">
      <c r="A1" s="10" t="s">
        <v>106</v>
      </c>
      <c r="B1" s="11"/>
      <c r="C1" s="12"/>
    </row>
    <row r="2" spans="1:19" ht="19.5" thickBot="1" x14ac:dyDescent="0.3">
      <c r="A2" s="13">
        <v>1</v>
      </c>
      <c r="B2" s="14"/>
      <c r="C2" s="15"/>
      <c r="M2" s="16" t="s">
        <v>23</v>
      </c>
      <c r="N2" s="17"/>
      <c r="P2" s="16" t="s">
        <v>24</v>
      </c>
      <c r="Q2" s="17"/>
      <c r="S2" t="s">
        <v>25</v>
      </c>
    </row>
    <row r="3" spans="1:19" ht="15.75" thickBot="1" x14ac:dyDescent="0.3">
      <c r="M3" s="18"/>
      <c r="N3" s="19"/>
      <c r="P3" s="18"/>
      <c r="Q3" s="19"/>
    </row>
    <row r="4" spans="1:19" x14ac:dyDescent="0.25">
      <c r="M4" s="20" t="s">
        <v>169</v>
      </c>
      <c r="N4" s="21"/>
      <c r="P4" s="20" t="s">
        <v>26</v>
      </c>
      <c r="Q4" s="21"/>
    </row>
    <row r="5" spans="1:19" ht="15.75" thickBot="1" x14ac:dyDescent="0.3">
      <c r="M5" s="22"/>
      <c r="N5" s="23"/>
      <c r="P5" s="22"/>
      <c r="Q5" s="23"/>
    </row>
    <row r="11" spans="1:19" ht="15.75" thickBot="1" x14ac:dyDescent="0.3"/>
    <row r="12" spans="1:19" ht="21.75" customHeight="1" thickBot="1" x14ac:dyDescent="0.3">
      <c r="G12" s="24" t="s">
        <v>100</v>
      </c>
      <c r="H12" s="25"/>
      <c r="I12" s="26"/>
    </row>
    <row r="13" spans="1:19" ht="19.5" thickBot="1" x14ac:dyDescent="0.3">
      <c r="G13" s="27">
        <f>Horodatage!$A$2</f>
        <v>46233.670796365739</v>
      </c>
      <c r="H13" s="14"/>
      <c r="I13" s="15"/>
    </row>
  </sheetData>
  <mergeCells count="8">
    <mergeCell ref="G12:I12"/>
    <mergeCell ref="G13:I13"/>
    <mergeCell ref="A1:C1"/>
    <mergeCell ref="A2:C2"/>
    <mergeCell ref="M2:N3"/>
    <mergeCell ref="P2:Q3"/>
    <mergeCell ref="M4:N5"/>
    <mergeCell ref="P4:Q5"/>
  </mergeCells>
  <conditionalFormatting sqref="A2:C2">
    <cfRule type="cellIs" dxfId="40" priority="1" operator="greaterThan">
      <formula>0</formula>
    </cfRule>
  </conditionalFormatting>
  <dataValidations count="1">
    <dataValidation type="list" allowBlank="1" showInputMessage="1" showErrorMessage="1" promptTitle="ATTENTION !" prompt="Attention ! Êtes-vous certain de vouloir poursuivre ?_x000a_La modification de ce champ entraînera la perte des données relatives aux commentaires et à l'horodatage." sqref="M4:N5" xr:uid="{FC5ACF64-2F6F-4C81-B14E-547AF0E74BE7}">
      <formula1>"FRI_AUT, GEN_AUT, NEU_AUT, VS_AUT, VD_AUT"</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C5930-ED83-47A8-99D9-81FD67BEBC13}">
  <sheetPr codeName="Feuil5"/>
  <dimension ref="A1:AD10000"/>
  <sheetViews>
    <sheetView zoomScale="70" zoomScaleNormal="70" workbookViewId="0">
      <selection activeCell="X1" sqref="X1:X1048576"/>
    </sheetView>
  </sheetViews>
  <sheetFormatPr baseColWidth="10" defaultRowHeight="15" x14ac:dyDescent="0.25"/>
  <cols>
    <col min="1" max="1" width="15.28515625" style="5" bestFit="1" customWidth="1"/>
    <col min="2" max="2" width="81.140625" style="1" bestFit="1" customWidth="1"/>
    <col min="3" max="3" width="20.140625" style="1" bestFit="1" customWidth="1"/>
    <col min="4" max="4" width="27.85546875" style="1" bestFit="1" customWidth="1"/>
    <col min="5" max="5" width="15.28515625" style="1" bestFit="1" customWidth="1"/>
    <col min="6" max="6" width="37.7109375" style="1" bestFit="1" customWidth="1"/>
    <col min="7" max="7" width="15.28515625" style="1" bestFit="1" customWidth="1"/>
    <col min="8" max="9" width="81.140625" style="1" bestFit="1" customWidth="1"/>
    <col min="10" max="10" width="21" style="1" bestFit="1" customWidth="1"/>
    <col min="11" max="11" width="81.140625" style="2" bestFit="1" customWidth="1"/>
    <col min="12" max="12" width="25.28515625" style="1" bestFit="1" customWidth="1"/>
    <col min="13" max="13" width="34.5703125" style="1" bestFit="1" customWidth="1"/>
    <col min="14" max="14" width="16.7109375" style="1" bestFit="1" customWidth="1"/>
    <col min="15" max="15" width="21.5703125" style="1" bestFit="1" customWidth="1"/>
    <col min="16" max="17" width="24.28515625" style="1" bestFit="1" customWidth="1"/>
    <col min="18" max="18" width="19" style="1" customWidth="1"/>
    <col min="19" max="19" width="15.140625" bestFit="1" customWidth="1"/>
    <col min="20" max="24" width="15.140625" customWidth="1"/>
    <col min="25" max="25" width="11.42578125" bestFit="1" customWidth="1"/>
    <col min="26" max="26" width="22.7109375" customWidth="1"/>
    <col min="27" max="27" width="23.42578125" customWidth="1"/>
    <col min="28" max="28" width="16.7109375" customWidth="1"/>
    <col min="29" max="29" width="11.7109375" style="1" bestFit="1" customWidth="1"/>
    <col min="30" max="30" width="9.7109375" style="1" bestFit="1" customWidth="1"/>
    <col min="31" max="31" width="7.42578125" style="1" bestFit="1" customWidth="1"/>
    <col min="32" max="16384" width="11.42578125" style="1"/>
  </cols>
  <sheetData>
    <row r="1" spans="1:30" x14ac:dyDescent="0.25">
      <c r="A1" s="5" t="s">
        <v>0</v>
      </c>
      <c r="B1" s="1" t="s">
        <v>1</v>
      </c>
      <c r="C1" s="1" t="s">
        <v>2</v>
      </c>
      <c r="D1" s="1" t="s">
        <v>13</v>
      </c>
      <c r="E1" s="1" t="s">
        <v>3</v>
      </c>
      <c r="F1" s="1" t="s">
        <v>19</v>
      </c>
      <c r="G1" s="1" t="s">
        <v>4</v>
      </c>
      <c r="H1" s="1" t="s">
        <v>20</v>
      </c>
      <c r="I1" s="1" t="s">
        <v>21</v>
      </c>
      <c r="J1" s="1" t="s">
        <v>5</v>
      </c>
      <c r="K1" s="2" t="s">
        <v>107</v>
      </c>
      <c r="L1" s="1" t="s">
        <v>7</v>
      </c>
      <c r="M1" s="1" t="s">
        <v>8</v>
      </c>
      <c r="N1" t="s">
        <v>9</v>
      </c>
      <c r="O1" s="4" t="s">
        <v>6</v>
      </c>
      <c r="P1" s="1" t="s">
        <v>102</v>
      </c>
      <c r="R1"/>
      <c r="X1" s="7" t="s">
        <v>101</v>
      </c>
      <c r="AB1" s="7" t="s">
        <v>103</v>
      </c>
      <c r="AC1" s="7" t="s">
        <v>104</v>
      </c>
      <c r="AD1" s="7" t="s">
        <v>105</v>
      </c>
    </row>
    <row r="2" spans="1:30" ht="30" x14ac:dyDescent="0.25">
      <c r="A2" s="5" t="s">
        <v>170</v>
      </c>
      <c r="B2" s="1" t="s">
        <v>6326</v>
      </c>
      <c r="C2" s="1" t="s">
        <v>28</v>
      </c>
      <c r="H2" s="1" t="s">
        <v>22</v>
      </c>
      <c r="I2" s="1" t="s">
        <v>22</v>
      </c>
      <c r="J2" s="3">
        <v>45163.636446759258</v>
      </c>
      <c r="K2" s="2" t="s">
        <v>6327</v>
      </c>
      <c r="L2" s="1">
        <v>15</v>
      </c>
      <c r="M2" s="1">
        <v>52</v>
      </c>
      <c r="N2">
        <v>37</v>
      </c>
      <c r="O2" s="3">
        <f>IF(
    R2="Ancien",
    _xlfn.XLOOKUP(
        Final_Sans_VGE[[#This Row],[ppn_z]],
        tbl_Historique_Final[ppn_z],
        tbl_Historique_Final[Horodatage],
        ""
    ),
    Horodatage!$A$2
)</f>
        <v>46233.670796365739</v>
      </c>
      <c r="P2" s="1" t="str">
        <f>IFERROR(IF(tbl_Historique_Final[[#This Row],[Commentaires]]&lt;&gt;"",tbl_Historique_Final[[#This Row],[Commentaires]],""),"")</f>
        <v/>
      </c>
      <c r="R2"/>
      <c r="X2" s="8" t="str">
        <f>IF(Final_Sans_VGE[[#This Row],[ppn_z]]="","",IFERROR(
   IF(_xlfn.XLOOKUP(Final_Sans_VGE[[#This Row],[ppn_z]],tbl_Historique_Final[ppn_z],tbl_Historique_Final[date_modif])=Final_Sans_VGE[[#This Row],[date_modif]],
      "Ancien",
      "Modifié"),
   "Nouveau"))</f>
        <v>Ancien</v>
      </c>
      <c r="AB2" s="8">
        <f>COUNTIF($X$2:$X$10000,"Nouveau")</f>
        <v>0</v>
      </c>
      <c r="AC2" s="8">
        <f>COUNTIF($X$2:$X$10000,"Modifié")</f>
        <v>0</v>
      </c>
      <c r="AD2" s="8">
        <f>SUM(AB2:AC2)</f>
        <v>0</v>
      </c>
    </row>
    <row r="3" spans="1:30" ht="30" x14ac:dyDescent="0.25">
      <c r="A3" s="5" t="s">
        <v>713</v>
      </c>
      <c r="B3" s="1" t="s">
        <v>6328</v>
      </c>
      <c r="C3" s="1" t="s">
        <v>28</v>
      </c>
      <c r="D3" s="1" t="s">
        <v>6329</v>
      </c>
      <c r="E3" s="1" t="s">
        <v>6330</v>
      </c>
      <c r="F3" s="1" t="s">
        <v>6331</v>
      </c>
      <c r="G3" s="1" t="s">
        <v>11</v>
      </c>
      <c r="H3" s="1" t="s">
        <v>22</v>
      </c>
      <c r="I3" s="1" t="s">
        <v>140</v>
      </c>
      <c r="J3" s="3">
        <v>45421.497094907405</v>
      </c>
      <c r="K3" s="2" t="s">
        <v>6332</v>
      </c>
      <c r="L3" s="1">
        <v>12</v>
      </c>
      <c r="M3" s="1">
        <v>21</v>
      </c>
      <c r="N3">
        <v>9</v>
      </c>
      <c r="O3" s="3">
        <f>IF(
    R3="Ancien",
    _xlfn.XLOOKUP(
        Final_Sans_VGE[[#This Row],[ppn_z]],
        tbl_Historique_Final[ppn_z],
        tbl_Historique_Final[Horodatage],
        ""
    ),
    Horodatage!$A$2
)</f>
        <v>46233.670796365739</v>
      </c>
      <c r="P3" s="1" t="str">
        <f>IFERROR(IF(tbl_Historique_Final[[#This Row],[Commentaires]]&lt;&gt;"",tbl_Historique_Final[[#This Row],[Commentaires]],""),"")</f>
        <v/>
      </c>
      <c r="R3"/>
      <c r="X3" s="8" t="str">
        <f>IF(Final_Sans_VGE[[#This Row],[ppn_z]]="","",IFERROR(
   IF(_xlfn.XLOOKUP(Final_Sans_VGE[[#This Row],[ppn_z]],tbl_Historique_Final[ppn_z],tbl_Historique_Final[date_modif])=Final_Sans_VGE[[#This Row],[date_modif]],
      "Ancien",
      "Modifié"),
   "Nouveau"))</f>
        <v>Ancien</v>
      </c>
      <c r="AB3" s="9"/>
    </row>
    <row r="4" spans="1:30" ht="30" x14ac:dyDescent="0.25">
      <c r="A4" s="5" t="s">
        <v>173</v>
      </c>
      <c r="B4" s="1" t="s">
        <v>6333</v>
      </c>
      <c r="C4" s="1" t="s">
        <v>57</v>
      </c>
      <c r="G4" s="1" t="s">
        <v>10</v>
      </c>
      <c r="J4" s="3">
        <v>45233.504537037035</v>
      </c>
      <c r="K4" s="2" t="s">
        <v>6334</v>
      </c>
      <c r="L4" s="1">
        <v>1</v>
      </c>
      <c r="M4" s="1">
        <v>1</v>
      </c>
      <c r="N4">
        <v>0</v>
      </c>
      <c r="O4" s="3">
        <f>IF(
    R4="Ancien",
    _xlfn.XLOOKUP(
        Final_Sans_VGE[[#This Row],[ppn_z]],
        tbl_Historique_Final[ppn_z],
        tbl_Historique_Final[Horodatage],
        ""
    ),
    Horodatage!$A$2
)</f>
        <v>46233.670796365739</v>
      </c>
      <c r="P4" s="1" t="str">
        <f>IFERROR(IF(tbl_Historique_Final[[#This Row],[Commentaires]]&lt;&gt;"",tbl_Historique_Final[[#This Row],[Commentaires]],""),"")</f>
        <v/>
      </c>
      <c r="R4"/>
      <c r="X4" s="8" t="str">
        <f>IF(Final_Sans_VGE[[#This Row],[ppn_z]]="","",IFERROR(
   IF(_xlfn.XLOOKUP(Final_Sans_VGE[[#This Row],[ppn_z]],tbl_Historique_Final[ppn_z],tbl_Historique_Final[date_modif])=Final_Sans_VGE[[#This Row],[date_modif]],
      "Ancien",
      "Modifié"),
   "Nouveau"))</f>
        <v>Ancien</v>
      </c>
      <c r="AB4" s="9"/>
    </row>
    <row r="5" spans="1:30" ht="45" x14ac:dyDescent="0.25">
      <c r="A5" s="5" t="s">
        <v>1490</v>
      </c>
      <c r="B5" s="1" t="s">
        <v>6536</v>
      </c>
      <c r="C5" s="1" t="s">
        <v>92</v>
      </c>
      <c r="G5" s="1" t="s">
        <v>10</v>
      </c>
      <c r="H5" s="1" t="s">
        <v>22</v>
      </c>
      <c r="I5" s="1" t="s">
        <v>6537</v>
      </c>
      <c r="J5" s="3">
        <v>45485.437210648146</v>
      </c>
      <c r="K5" s="2" t="s">
        <v>6538</v>
      </c>
      <c r="L5" s="1">
        <v>1</v>
      </c>
      <c r="M5" s="1">
        <v>2</v>
      </c>
      <c r="N5">
        <v>1</v>
      </c>
      <c r="O5" s="3">
        <f>IF(
    R5="Ancien",
    _xlfn.XLOOKUP(
        Final_Sans_VGE[[#This Row],[ppn_z]],
        tbl_Historique_Final[ppn_z],
        tbl_Historique_Final[Horodatage],
        ""
    ),
    Horodatage!$A$2
)</f>
        <v>46233.670796365739</v>
      </c>
      <c r="P5" s="1" t="str">
        <f>IFERROR(IF(tbl_Historique_Final[[#This Row],[Commentaires]]&lt;&gt;"",tbl_Historique_Final[[#This Row],[Commentaires]],""),"")</f>
        <v/>
      </c>
      <c r="R5"/>
      <c r="X5" s="8" t="str">
        <f>IF(Final_Sans_VGE[[#This Row],[ppn_z]]="","",IFERROR(
   IF(_xlfn.XLOOKUP(Final_Sans_VGE[[#This Row],[ppn_z]],tbl_Historique_Final[ppn_z],tbl_Historique_Final[date_modif])=Final_Sans_VGE[[#This Row],[date_modif]],
      "Ancien",
      "Modifié"),
   "Nouveau"))</f>
        <v>Ancien</v>
      </c>
      <c r="AB5" s="9"/>
    </row>
    <row r="6" spans="1:30" x14ac:dyDescent="0.25">
      <c r="A6" s="5" t="s">
        <v>584</v>
      </c>
      <c r="B6" s="1" t="s">
        <v>6337</v>
      </c>
      <c r="C6" s="1" t="s">
        <v>40</v>
      </c>
      <c r="D6" s="1" t="s">
        <v>14</v>
      </c>
      <c r="E6" s="1" t="s">
        <v>6338</v>
      </c>
      <c r="F6" s="1" t="s">
        <v>15</v>
      </c>
      <c r="G6" s="1" t="s">
        <v>10</v>
      </c>
      <c r="H6" s="1" t="s">
        <v>6340</v>
      </c>
      <c r="I6" s="1" t="s">
        <v>22</v>
      </c>
      <c r="J6" s="3">
        <v>45405.480046296296</v>
      </c>
      <c r="K6" s="2" t="s">
        <v>6341</v>
      </c>
      <c r="L6" s="1">
        <v>10</v>
      </c>
      <c r="M6" s="1">
        <v>14</v>
      </c>
      <c r="N6">
        <v>4</v>
      </c>
      <c r="O6" s="3">
        <f>IF(
    R6="Ancien",
    _xlfn.XLOOKUP(
        Final_Sans_VGE[[#This Row],[ppn_z]],
        tbl_Historique_Final[ppn_z],
        tbl_Historique_Final[Horodatage],
        ""
    ),
    Horodatage!$A$2
)</f>
        <v>46233.670796365739</v>
      </c>
      <c r="P6" s="1" t="str">
        <f>IFERROR(IF(tbl_Historique_Final[[#This Row],[Commentaires]]&lt;&gt;"",tbl_Historique_Final[[#This Row],[Commentaires]],""),"")</f>
        <v/>
      </c>
      <c r="R6"/>
      <c r="X6" s="8" t="str">
        <f>IF(Final_Sans_VGE[[#This Row],[ppn_z]]="","",IFERROR(
   IF(_xlfn.XLOOKUP(Final_Sans_VGE[[#This Row],[ppn_z]],tbl_Historique_Final[ppn_z],tbl_Historique_Final[date_modif])=Final_Sans_VGE[[#This Row],[date_modif]],
      "Ancien",
      "Modifié"),
   "Nouveau"))</f>
        <v>Ancien</v>
      </c>
      <c r="AB6" s="9"/>
    </row>
    <row r="7" spans="1:30" ht="30" x14ac:dyDescent="0.25">
      <c r="A7" s="5" t="s">
        <v>176</v>
      </c>
      <c r="B7" s="1" t="s">
        <v>6335</v>
      </c>
      <c r="C7" s="1" t="s">
        <v>29</v>
      </c>
      <c r="G7" s="1" t="s">
        <v>10</v>
      </c>
      <c r="J7" s="3">
        <v>45096.747870370367</v>
      </c>
      <c r="K7" s="2" t="s">
        <v>6336</v>
      </c>
      <c r="L7" s="1">
        <v>101</v>
      </c>
      <c r="M7" s="1">
        <v>107</v>
      </c>
      <c r="N7">
        <v>6</v>
      </c>
      <c r="O7" s="3">
        <f>IF(
    R7="Ancien",
    _xlfn.XLOOKUP(
        Final_Sans_VGE[[#This Row],[ppn_z]],
        tbl_Historique_Final[ppn_z],
        tbl_Historique_Final[Horodatage],
        ""
    ),
    Horodatage!$A$2
)</f>
        <v>46233.670796365739</v>
      </c>
      <c r="P7" s="1" t="str">
        <f>IFERROR(IF(tbl_Historique_Final[[#This Row],[Commentaires]]&lt;&gt;"",tbl_Historique_Final[[#This Row],[Commentaires]],""),"")</f>
        <v/>
      </c>
      <c r="R7"/>
      <c r="X7" s="8" t="str">
        <f>IF(Final_Sans_VGE[[#This Row],[ppn_z]]="","",IFERROR(
   IF(_xlfn.XLOOKUP(Final_Sans_VGE[[#This Row],[ppn_z]],tbl_Historique_Final[ppn_z],tbl_Historique_Final[date_modif])=Final_Sans_VGE[[#This Row],[date_modif]],
      "Ancien",
      "Modifié"),
   "Nouveau"))</f>
        <v>Ancien</v>
      </c>
      <c r="AB7" s="9"/>
    </row>
    <row r="8" spans="1:30" ht="45" x14ac:dyDescent="0.25">
      <c r="A8" s="5" t="s">
        <v>848</v>
      </c>
      <c r="B8" s="1" t="s">
        <v>6446</v>
      </c>
      <c r="C8" s="1" t="s">
        <v>6447</v>
      </c>
      <c r="D8" s="1" t="s">
        <v>14</v>
      </c>
      <c r="G8" s="1" t="s">
        <v>10</v>
      </c>
      <c r="H8" s="1" t="s">
        <v>6448</v>
      </c>
      <c r="I8" s="1" t="s">
        <v>6449</v>
      </c>
      <c r="J8" s="3">
        <v>45411.776180555556</v>
      </c>
      <c r="K8" s="2" t="s">
        <v>6450</v>
      </c>
      <c r="L8" s="1">
        <v>1</v>
      </c>
      <c r="M8" s="1">
        <v>1</v>
      </c>
      <c r="N8">
        <v>0</v>
      </c>
      <c r="O8" s="3">
        <f>IF(
    R8="Ancien",
    _xlfn.XLOOKUP(
        Final_Sans_VGE[[#This Row],[ppn_z]],
        tbl_Historique_Final[ppn_z],
        tbl_Historique_Final[Horodatage],
        ""
    ),
    Horodatage!$A$2
)</f>
        <v>46233.670796365739</v>
      </c>
      <c r="P8" s="1" t="str">
        <f>IFERROR(IF(tbl_Historique_Final[[#This Row],[Commentaires]]&lt;&gt;"",tbl_Historique_Final[[#This Row],[Commentaires]],""),"")</f>
        <v/>
      </c>
      <c r="R8"/>
      <c r="X8" s="8" t="str">
        <f>IF(Final_Sans_VGE[[#This Row],[ppn_z]]="","",IFERROR(
   IF(_xlfn.XLOOKUP(Final_Sans_VGE[[#This Row],[ppn_z]],tbl_Historique_Final[ppn_z],tbl_Historique_Final[date_modif])=Final_Sans_VGE[[#This Row],[date_modif]],
      "Ancien",
      "Modifié"),
   "Nouveau"))</f>
        <v>Ancien</v>
      </c>
      <c r="AB8" s="9"/>
    </row>
    <row r="9" spans="1:30" x14ac:dyDescent="0.25">
      <c r="A9" s="5" t="s">
        <v>419</v>
      </c>
      <c r="B9" s="1" t="s">
        <v>6346</v>
      </c>
      <c r="C9" s="1" t="s">
        <v>54</v>
      </c>
      <c r="H9" s="1" t="s">
        <v>22</v>
      </c>
      <c r="I9" s="1" t="s">
        <v>22</v>
      </c>
      <c r="J9" s="3">
        <v>44445.840127314812</v>
      </c>
      <c r="K9" s="2" t="s">
        <v>6347</v>
      </c>
      <c r="L9" s="1">
        <v>2</v>
      </c>
      <c r="M9" s="1">
        <v>3</v>
      </c>
      <c r="N9">
        <v>1</v>
      </c>
      <c r="O9" s="3">
        <f>IF(
    R9="Ancien",
    _xlfn.XLOOKUP(
        Final_Sans_VGE[[#This Row],[ppn_z]],
        tbl_Historique_Final[ppn_z],
        tbl_Historique_Final[Horodatage],
        ""
    ),
    Horodatage!$A$2
)</f>
        <v>46233.670796365739</v>
      </c>
      <c r="P9" s="1" t="str">
        <f>IFERROR(IF(tbl_Historique_Final[[#This Row],[Commentaires]]&lt;&gt;"",tbl_Historique_Final[[#This Row],[Commentaires]],""),"")</f>
        <v/>
      </c>
      <c r="R9"/>
      <c r="X9" s="8" t="str">
        <f>IF(Final_Sans_VGE[[#This Row],[ppn_z]]="","",IFERROR(
   IF(_xlfn.XLOOKUP(Final_Sans_VGE[[#This Row],[ppn_z]],tbl_Historique_Final[ppn_z],tbl_Historique_Final[date_modif])=Final_Sans_VGE[[#This Row],[date_modif]],
      "Ancien",
      "Modifié"),
   "Nouveau"))</f>
        <v>Ancien</v>
      </c>
      <c r="AB9" s="9"/>
    </row>
    <row r="10" spans="1:30" x14ac:dyDescent="0.25">
      <c r="A10" s="5" t="s">
        <v>179</v>
      </c>
      <c r="B10" s="1" t="s">
        <v>6342</v>
      </c>
      <c r="C10" s="1" t="s">
        <v>12</v>
      </c>
      <c r="G10" s="1" t="s">
        <v>11</v>
      </c>
      <c r="J10" s="3">
        <v>45358.650949074072</v>
      </c>
      <c r="K10" s="2" t="s">
        <v>6343</v>
      </c>
      <c r="L10" s="1">
        <v>1</v>
      </c>
      <c r="M10" s="1">
        <v>1</v>
      </c>
      <c r="N10">
        <v>0</v>
      </c>
      <c r="O10" s="3">
        <f>IF(
    R10="Ancien",
    _xlfn.XLOOKUP(
        Final_Sans_VGE[[#This Row],[ppn_z]],
        tbl_Historique_Final[ppn_z],
        tbl_Historique_Final[Horodatage],
        ""
    ),
    Horodatage!$A$2
)</f>
        <v>46233.670796365739</v>
      </c>
      <c r="P10" s="1" t="str">
        <f>IFERROR(IF(tbl_Historique_Final[[#This Row],[Commentaires]]&lt;&gt;"",tbl_Historique_Final[[#This Row],[Commentaires]],""),"")</f>
        <v/>
      </c>
      <c r="R10"/>
      <c r="X10" s="8" t="str">
        <f>IF(Final_Sans_VGE[[#This Row],[ppn_z]]="","",IFERROR(
   IF(_xlfn.XLOOKUP(Final_Sans_VGE[[#This Row],[ppn_z]],tbl_Historique_Final[ppn_z],tbl_Historique_Final[date_modif])=Final_Sans_VGE[[#This Row],[date_modif]],
      "Ancien",
      "Modifié"),
   "Nouveau"))</f>
        <v>Ancien</v>
      </c>
      <c r="AB10" s="9"/>
    </row>
    <row r="11" spans="1:30" x14ac:dyDescent="0.25">
      <c r="A11" s="5" t="s">
        <v>1499</v>
      </c>
      <c r="B11" s="1" t="s">
        <v>6520</v>
      </c>
      <c r="C11" s="1" t="s">
        <v>53</v>
      </c>
      <c r="D11" s="1" t="s">
        <v>14</v>
      </c>
      <c r="G11" s="1" t="s">
        <v>10</v>
      </c>
      <c r="H11" s="1" t="s">
        <v>10508</v>
      </c>
      <c r="I11" s="1" t="s">
        <v>6522</v>
      </c>
      <c r="J11" s="3">
        <v>45574.422233796293</v>
      </c>
      <c r="K11" s="2" t="s">
        <v>6523</v>
      </c>
      <c r="L11" s="1">
        <v>145</v>
      </c>
      <c r="M11" s="1">
        <v>157</v>
      </c>
      <c r="N11">
        <v>12</v>
      </c>
      <c r="O11" s="3">
        <f>IF(
    R11="Ancien",
    _xlfn.XLOOKUP(
        Final_Sans_VGE[[#This Row],[ppn_z]],
        tbl_Historique_Final[ppn_z],
        tbl_Historique_Final[Horodatage],
        ""
    ),
    Horodatage!$A$2
)</f>
        <v>46233.670796365739</v>
      </c>
      <c r="P11" s="1" t="str">
        <f>IFERROR(IF(tbl_Historique_Final[[#This Row],[Commentaires]]&lt;&gt;"",tbl_Historique_Final[[#This Row],[Commentaires]],""),"")</f>
        <v/>
      </c>
      <c r="R11"/>
      <c r="X11" s="8" t="str">
        <f>IF(Final_Sans_VGE[[#This Row],[ppn_z]]="","",IFERROR(
   IF(_xlfn.XLOOKUP(Final_Sans_VGE[[#This Row],[ppn_z]],tbl_Historique_Final[ppn_z],tbl_Historique_Final[date_modif])=Final_Sans_VGE[[#This Row],[date_modif]],
      "Ancien",
      "Modifié"),
   "Nouveau"))</f>
        <v>Ancien</v>
      </c>
      <c r="AB11" s="9"/>
    </row>
    <row r="12" spans="1:30" x14ac:dyDescent="0.25">
      <c r="A12" s="5" t="s">
        <v>608</v>
      </c>
      <c r="B12" s="1" t="s">
        <v>6352</v>
      </c>
      <c r="C12" s="1" t="s">
        <v>6353</v>
      </c>
      <c r="D12" s="1" t="s">
        <v>6354</v>
      </c>
      <c r="E12" s="1" t="s">
        <v>6355</v>
      </c>
      <c r="F12" s="1" t="s">
        <v>14</v>
      </c>
      <c r="G12" s="1" t="s">
        <v>10</v>
      </c>
      <c r="H12" s="1" t="s">
        <v>6356</v>
      </c>
      <c r="I12" s="1" t="s">
        <v>22</v>
      </c>
      <c r="J12" s="3">
        <v>45408.68409722222</v>
      </c>
      <c r="K12" s="2" t="s">
        <v>6357</v>
      </c>
      <c r="L12" s="1">
        <v>5</v>
      </c>
      <c r="M12" s="1">
        <v>6</v>
      </c>
      <c r="N12">
        <v>1</v>
      </c>
      <c r="O12" s="3">
        <f>IF(
    R12="Ancien",
    _xlfn.XLOOKUP(
        Final_Sans_VGE[[#This Row],[ppn_z]],
        tbl_Historique_Final[ppn_z],
        tbl_Historique_Final[Horodatage],
        ""
    ),
    Horodatage!$A$2
)</f>
        <v>46233.670796365739</v>
      </c>
      <c r="P12" s="1" t="str">
        <f>IFERROR(IF(tbl_Historique_Final[[#This Row],[Commentaires]]&lt;&gt;"",tbl_Historique_Final[[#This Row],[Commentaires]],""),"")</f>
        <v/>
      </c>
      <c r="R12"/>
      <c r="X12" s="8" t="str">
        <f>IF(Final_Sans_VGE[[#This Row],[ppn_z]]="","",IFERROR(
   IF(_xlfn.XLOOKUP(Final_Sans_VGE[[#This Row],[ppn_z]],tbl_Historique_Final[ppn_z],tbl_Historique_Final[date_modif])=Final_Sans_VGE[[#This Row],[date_modif]],
      "Ancien",
      "Modifié"),
   "Nouveau"))</f>
        <v>Ancien</v>
      </c>
      <c r="AB12" s="9"/>
    </row>
    <row r="13" spans="1:30" ht="30" x14ac:dyDescent="0.25">
      <c r="A13" s="5" t="s">
        <v>182</v>
      </c>
      <c r="B13" s="1" t="s">
        <v>6344</v>
      </c>
      <c r="C13" s="1" t="s">
        <v>30</v>
      </c>
      <c r="E13" s="1" t="s">
        <v>157</v>
      </c>
      <c r="J13" s="3">
        <v>44413.648981481485</v>
      </c>
      <c r="K13" s="2" t="s">
        <v>6345</v>
      </c>
      <c r="L13" s="1">
        <v>3</v>
      </c>
      <c r="M13" s="1">
        <v>3</v>
      </c>
      <c r="N13">
        <v>0</v>
      </c>
      <c r="O13" s="3">
        <f>IF(
    R13="Ancien",
    _xlfn.XLOOKUP(
        Final_Sans_VGE[[#This Row],[ppn_z]],
        tbl_Historique_Final[ppn_z],
        tbl_Historique_Final[Horodatage],
        ""
    ),
    Horodatage!$A$2
)</f>
        <v>46233.670796365739</v>
      </c>
      <c r="P13" s="1" t="str">
        <f>IFERROR(IF(tbl_Historique_Final[[#This Row],[Commentaires]]&lt;&gt;"",tbl_Historique_Final[[#This Row],[Commentaires]],""),"")</f>
        <v/>
      </c>
      <c r="R13"/>
      <c r="X13" s="8" t="str">
        <f>IF(Final_Sans_VGE[[#This Row],[ppn_z]]="","",IFERROR(
   IF(_xlfn.XLOOKUP(Final_Sans_VGE[[#This Row],[ppn_z]],tbl_Historique_Final[ppn_z],tbl_Historique_Final[date_modif])=Final_Sans_VGE[[#This Row],[date_modif]],
      "Ancien",
      "Modifié"),
   "Nouveau"))</f>
        <v>Ancien</v>
      </c>
      <c r="AB13" s="9"/>
    </row>
    <row r="14" spans="1:30" ht="45" x14ac:dyDescent="0.25">
      <c r="A14" s="5" t="s">
        <v>1634</v>
      </c>
      <c r="B14" s="1" t="s">
        <v>6530</v>
      </c>
      <c r="D14" s="1" t="s">
        <v>6531</v>
      </c>
      <c r="G14" s="1" t="s">
        <v>11</v>
      </c>
      <c r="H14" s="1" t="s">
        <v>22</v>
      </c>
      <c r="I14" s="1" t="s">
        <v>6455</v>
      </c>
      <c r="J14" s="3">
        <v>45518.691168981481</v>
      </c>
      <c r="K14" s="2" t="s">
        <v>6532</v>
      </c>
      <c r="L14" s="1">
        <v>4</v>
      </c>
      <c r="M14" s="1">
        <v>14</v>
      </c>
      <c r="N14">
        <v>10</v>
      </c>
      <c r="O14" s="3">
        <f>IF(
    R14="Ancien",
    _xlfn.XLOOKUP(
        Final_Sans_VGE[[#This Row],[ppn_z]],
        tbl_Historique_Final[ppn_z],
        tbl_Historique_Final[Horodatage],
        ""
    ),
    Horodatage!$A$2
)</f>
        <v>46233.670796365739</v>
      </c>
      <c r="P14" s="1" t="str">
        <f>IFERROR(IF(tbl_Historique_Final[[#This Row],[Commentaires]]&lt;&gt;"",tbl_Historique_Final[[#This Row],[Commentaires]],""),"")</f>
        <v/>
      </c>
      <c r="R14"/>
      <c r="X14" s="8" t="str">
        <f>IF(Final_Sans_VGE[[#This Row],[ppn_z]]="","",IFERROR(
   IF(_xlfn.XLOOKUP(Final_Sans_VGE[[#This Row],[ppn_z]],tbl_Historique_Final[ppn_z],tbl_Historique_Final[date_modif])=Final_Sans_VGE[[#This Row],[date_modif]],
      "Ancien",
      "Modifié"),
   "Nouveau"))</f>
        <v>Ancien</v>
      </c>
      <c r="AB14" s="9"/>
    </row>
    <row r="15" spans="1:30" x14ac:dyDescent="0.25">
      <c r="A15" s="5" t="s">
        <v>518</v>
      </c>
      <c r="B15" s="1" t="s">
        <v>6365</v>
      </c>
      <c r="C15" s="1" t="s">
        <v>6366</v>
      </c>
      <c r="D15" s="1" t="s">
        <v>14</v>
      </c>
      <c r="E15" s="1" t="s">
        <v>6367</v>
      </c>
      <c r="F15" s="1" t="s">
        <v>14</v>
      </c>
      <c r="G15" s="1" t="s">
        <v>10</v>
      </c>
      <c r="H15" s="1" t="s">
        <v>22</v>
      </c>
      <c r="I15" s="1" t="s">
        <v>22</v>
      </c>
      <c r="J15" s="3">
        <v>45383.415150462963</v>
      </c>
      <c r="K15" s="2" t="s">
        <v>130</v>
      </c>
      <c r="L15" s="1">
        <v>12</v>
      </c>
      <c r="M15" s="1">
        <v>15</v>
      </c>
      <c r="N15">
        <v>3</v>
      </c>
      <c r="O15" s="3">
        <f>IF(
    R15="Ancien",
    _xlfn.XLOOKUP(
        Final_Sans_VGE[[#This Row],[ppn_z]],
        tbl_Historique_Final[ppn_z],
        tbl_Historique_Final[Horodatage],
        ""
    ),
    Horodatage!$A$2
)</f>
        <v>46233.670796365739</v>
      </c>
      <c r="P15" s="1" t="str">
        <f>IFERROR(IF(tbl_Historique_Final[[#This Row],[Commentaires]]&lt;&gt;"",tbl_Historique_Final[[#This Row],[Commentaires]],""),"")</f>
        <v/>
      </c>
      <c r="R15"/>
      <c r="X15" s="8" t="str">
        <f>IF(Final_Sans_VGE[[#This Row],[ppn_z]]="","",IFERROR(
   IF(_xlfn.XLOOKUP(Final_Sans_VGE[[#This Row],[ppn_z]],tbl_Historique_Final[ppn_z],tbl_Historique_Final[date_modif])=Final_Sans_VGE[[#This Row],[date_modif]],
      "Ancien",
      "Modifié"),
   "Nouveau"))</f>
        <v>Ancien</v>
      </c>
      <c r="AB15" s="9"/>
    </row>
    <row r="16" spans="1:30" ht="45" x14ac:dyDescent="0.25">
      <c r="A16" s="5" t="s">
        <v>185</v>
      </c>
      <c r="B16" s="1" t="s">
        <v>6348</v>
      </c>
      <c r="G16" s="1" t="s">
        <v>11</v>
      </c>
      <c r="J16" s="3">
        <v>45344.552222222221</v>
      </c>
      <c r="K16" s="2" t="s">
        <v>6349</v>
      </c>
      <c r="L16" s="1">
        <v>8</v>
      </c>
      <c r="M16" s="1">
        <v>8</v>
      </c>
      <c r="N16">
        <v>0</v>
      </c>
      <c r="O16" s="3">
        <f>IF(
    R16="Ancien",
    _xlfn.XLOOKUP(
        Final_Sans_VGE[[#This Row],[ppn_z]],
        tbl_Historique_Final[ppn_z],
        tbl_Historique_Final[Horodatage],
        ""
    ),
    Horodatage!$A$2
)</f>
        <v>46233.670796365739</v>
      </c>
      <c r="P16" s="1" t="str">
        <f>IFERROR(IF(tbl_Historique_Final[[#This Row],[Commentaires]]&lt;&gt;"",tbl_Historique_Final[[#This Row],[Commentaires]],""),"")</f>
        <v/>
      </c>
      <c r="R16"/>
      <c r="X16" s="8" t="str">
        <f>IF(Final_Sans_VGE[[#This Row],[ppn_z]]="","",IFERROR(
   IF(_xlfn.XLOOKUP(Final_Sans_VGE[[#This Row],[ppn_z]],tbl_Historique_Final[ppn_z],tbl_Historique_Final[date_modif])=Final_Sans_VGE[[#This Row],[date_modif]],
      "Ancien",
      "Modifié"),
   "Nouveau"))</f>
        <v>Ancien</v>
      </c>
      <c r="AB16" s="9"/>
    </row>
    <row r="17" spans="1:28" x14ac:dyDescent="0.25">
      <c r="A17" s="5" t="s">
        <v>956</v>
      </c>
      <c r="B17" s="1" t="s">
        <v>6439</v>
      </c>
      <c r="C17" s="1" t="s">
        <v>82</v>
      </c>
      <c r="D17" s="1" t="s">
        <v>14</v>
      </c>
      <c r="G17" s="1" t="s">
        <v>10</v>
      </c>
      <c r="H17" s="1" t="s">
        <v>22</v>
      </c>
      <c r="I17" s="1" t="s">
        <v>6440</v>
      </c>
      <c r="J17" s="3">
        <v>45408.288530092592</v>
      </c>
      <c r="K17" s="2" t="s">
        <v>6441</v>
      </c>
      <c r="L17" s="1">
        <v>11</v>
      </c>
      <c r="M17" s="1">
        <v>11</v>
      </c>
      <c r="N17">
        <v>0</v>
      </c>
      <c r="O17" s="3">
        <f>IF(
    R17="Ancien",
    _xlfn.XLOOKUP(
        Final_Sans_VGE[[#This Row],[ppn_z]],
        tbl_Historique_Final[ppn_z],
        tbl_Historique_Final[Horodatage],
        ""
    ),
    Horodatage!$A$2
)</f>
        <v>46233.670796365739</v>
      </c>
      <c r="P17" s="1" t="str">
        <f>IFERROR(IF(tbl_Historique_Final[[#This Row],[Commentaires]]&lt;&gt;"",tbl_Historique_Final[[#This Row],[Commentaires]],""),"")</f>
        <v/>
      </c>
      <c r="R17"/>
      <c r="X17" s="8" t="str">
        <f>IF(Final_Sans_VGE[[#This Row],[ppn_z]]="","",IFERROR(
   IF(_xlfn.XLOOKUP(Final_Sans_VGE[[#This Row],[ppn_z]],tbl_Historique_Final[ppn_z],tbl_Historique_Final[date_modif])=Final_Sans_VGE[[#This Row],[date_modif]],
      "Ancien",
      "Modifié"),
   "Nouveau"))</f>
        <v>Ancien</v>
      </c>
      <c r="AB17" s="9"/>
    </row>
    <row r="18" spans="1:28" x14ac:dyDescent="0.25">
      <c r="A18" s="5" t="s">
        <v>692</v>
      </c>
      <c r="B18" s="1" t="s">
        <v>6372</v>
      </c>
      <c r="C18" s="1" t="s">
        <v>67</v>
      </c>
      <c r="D18" s="1" t="s">
        <v>14</v>
      </c>
      <c r="E18" s="1" t="s">
        <v>57</v>
      </c>
      <c r="F18" s="1" t="s">
        <v>14</v>
      </c>
      <c r="G18" s="1" t="s">
        <v>10</v>
      </c>
      <c r="H18" s="1" t="s">
        <v>22</v>
      </c>
      <c r="I18" s="1" t="s">
        <v>22</v>
      </c>
      <c r="J18" s="3">
        <v>45416.194212962961</v>
      </c>
      <c r="K18" s="2" t="s">
        <v>6373</v>
      </c>
      <c r="L18" s="1">
        <v>1</v>
      </c>
      <c r="M18" s="1">
        <v>1</v>
      </c>
      <c r="N18">
        <v>0</v>
      </c>
      <c r="O18" s="3">
        <f>IF(
    R18="Ancien",
    _xlfn.XLOOKUP(
        Final_Sans_VGE[[#This Row],[ppn_z]],
        tbl_Historique_Final[ppn_z],
        tbl_Historique_Final[Horodatage],
        ""
    ),
    Horodatage!$A$2
)</f>
        <v>46233.670796365739</v>
      </c>
      <c r="P18" s="1" t="str">
        <f>IFERROR(IF(tbl_Historique_Final[[#This Row],[Commentaires]]&lt;&gt;"",tbl_Historique_Final[[#This Row],[Commentaires]],""),"")</f>
        <v/>
      </c>
      <c r="R18"/>
      <c r="X18" s="8" t="str">
        <f>IF(Final_Sans_VGE[[#This Row],[ppn_z]]="","",IFERROR(
   IF(_xlfn.XLOOKUP(Final_Sans_VGE[[#This Row],[ppn_z]],tbl_Historique_Final[ppn_z],tbl_Historique_Final[date_modif])=Final_Sans_VGE[[#This Row],[date_modif]],
      "Ancien",
      "Modifié"),
   "Nouveau"))</f>
        <v>Ancien</v>
      </c>
      <c r="AB18" s="9"/>
    </row>
    <row r="19" spans="1:28" ht="30" x14ac:dyDescent="0.25">
      <c r="A19" s="5" t="s">
        <v>188</v>
      </c>
      <c r="B19" s="1" t="s">
        <v>6350</v>
      </c>
      <c r="C19" s="1" t="s">
        <v>31</v>
      </c>
      <c r="G19" s="1" t="s">
        <v>10</v>
      </c>
      <c r="J19" s="3">
        <v>44753.670081018521</v>
      </c>
      <c r="K19" s="2" t="s">
        <v>6351</v>
      </c>
      <c r="L19" s="1">
        <v>27</v>
      </c>
      <c r="M19" s="1">
        <v>35</v>
      </c>
      <c r="N19">
        <v>8</v>
      </c>
      <c r="O19" s="3">
        <f>IF(
    R19="Ancien",
    _xlfn.XLOOKUP(
        Final_Sans_VGE[[#This Row],[ppn_z]],
        tbl_Historique_Final[ppn_z],
        tbl_Historique_Final[Horodatage],
        ""
    ),
    Horodatage!$A$2
)</f>
        <v>46233.670796365739</v>
      </c>
      <c r="P19" s="1" t="str">
        <f>IFERROR(IF(tbl_Historique_Final[[#This Row],[Commentaires]]&lt;&gt;"",tbl_Historique_Final[[#This Row],[Commentaires]],""),"")</f>
        <v/>
      </c>
      <c r="R19"/>
      <c r="X19" s="8" t="str">
        <f>IF(Final_Sans_VGE[[#This Row],[ppn_z]]="","",IFERROR(
   IF(_xlfn.XLOOKUP(Final_Sans_VGE[[#This Row],[ppn_z]],tbl_Historique_Final[ppn_z],tbl_Historique_Final[date_modif])=Final_Sans_VGE[[#This Row],[date_modif]],
      "Ancien",
      "Modifié"),
   "Nouveau"))</f>
        <v>Ancien</v>
      </c>
      <c r="AB19" s="9"/>
    </row>
    <row r="20" spans="1:28" x14ac:dyDescent="0.25">
      <c r="A20" s="5" t="s">
        <v>839</v>
      </c>
      <c r="B20" s="1" t="s">
        <v>6454</v>
      </c>
      <c r="C20" s="1" t="s">
        <v>84</v>
      </c>
      <c r="D20" s="1" t="s">
        <v>14</v>
      </c>
      <c r="G20" s="1" t="s">
        <v>10</v>
      </c>
      <c r="H20" s="1" t="s">
        <v>22</v>
      </c>
      <c r="I20" s="1" t="s">
        <v>6455</v>
      </c>
      <c r="J20" s="3">
        <v>45413.445555555554</v>
      </c>
      <c r="K20" s="2" t="s">
        <v>6456</v>
      </c>
      <c r="L20" s="1">
        <v>1</v>
      </c>
      <c r="M20" s="1">
        <v>1</v>
      </c>
      <c r="N20">
        <v>0</v>
      </c>
      <c r="O20" s="3">
        <f>IF(
    R20="Ancien",
    _xlfn.XLOOKUP(
        Final_Sans_VGE[[#This Row],[ppn_z]],
        tbl_Historique_Final[ppn_z],
        tbl_Historique_Final[Horodatage],
        ""
    ),
    Horodatage!$A$2
)</f>
        <v>46233.670796365739</v>
      </c>
      <c r="P20" s="1" t="str">
        <f>IFERROR(IF(tbl_Historique_Final[[#This Row],[Commentaires]]&lt;&gt;"",tbl_Historique_Final[[#This Row],[Commentaires]],""),"")</f>
        <v/>
      </c>
      <c r="R20"/>
      <c r="X20" s="8" t="str">
        <f>IF(Final_Sans_VGE[[#This Row],[ppn_z]]="","",IFERROR(
   IF(_xlfn.XLOOKUP(Final_Sans_VGE[[#This Row],[ppn_z]],tbl_Historique_Final[ppn_z],tbl_Historique_Final[date_modif])=Final_Sans_VGE[[#This Row],[date_modif]],
      "Ancien",
      "Modifié"),
   "Nouveau"))</f>
        <v>Ancien</v>
      </c>
      <c r="AB20" s="9"/>
    </row>
    <row r="21" spans="1:28" x14ac:dyDescent="0.25">
      <c r="A21" s="5" t="s">
        <v>386</v>
      </c>
      <c r="B21" s="1" t="s">
        <v>6378</v>
      </c>
      <c r="C21" s="1" t="s">
        <v>143</v>
      </c>
      <c r="D21" s="1" t="s">
        <v>133</v>
      </c>
      <c r="E21" s="1" t="s">
        <v>52</v>
      </c>
      <c r="G21" s="1" t="s">
        <v>10</v>
      </c>
      <c r="H21" s="1" t="s">
        <v>22</v>
      </c>
      <c r="I21" s="1" t="s">
        <v>22</v>
      </c>
      <c r="J21" s="3">
        <v>45358.520405092589</v>
      </c>
      <c r="K21" s="2" t="s">
        <v>130</v>
      </c>
      <c r="L21" s="1">
        <v>4</v>
      </c>
      <c r="M21" s="1">
        <v>4</v>
      </c>
      <c r="N21">
        <v>0</v>
      </c>
      <c r="O21" s="3">
        <f>IF(
    R21="Ancien",
    _xlfn.XLOOKUP(
        Final_Sans_VGE[[#This Row],[ppn_z]],
        tbl_Historique_Final[ppn_z],
        tbl_Historique_Final[Horodatage],
        ""
    ),
    Horodatage!$A$2
)</f>
        <v>46233.670796365739</v>
      </c>
      <c r="P21" s="1" t="str">
        <f>IFERROR(IF(tbl_Historique_Final[[#This Row],[Commentaires]]&lt;&gt;"",tbl_Historique_Final[[#This Row],[Commentaires]],""),"")</f>
        <v/>
      </c>
      <c r="R21"/>
      <c r="X21" s="8" t="str">
        <f>IF(Final_Sans_VGE[[#This Row],[ppn_z]]="","",IFERROR(
   IF(_xlfn.XLOOKUP(Final_Sans_VGE[[#This Row],[ppn_z]],tbl_Historique_Final[ppn_z],tbl_Historique_Final[date_modif])=Final_Sans_VGE[[#This Row],[date_modif]],
      "Ancien",
      "Modifié"),
   "Nouveau"))</f>
        <v>Ancien</v>
      </c>
      <c r="AB21" s="9"/>
    </row>
    <row r="22" spans="1:28" ht="30" x14ac:dyDescent="0.25">
      <c r="A22" s="5" t="s">
        <v>191</v>
      </c>
      <c r="B22" s="1" t="s">
        <v>6358</v>
      </c>
      <c r="C22" s="1" t="s">
        <v>6359</v>
      </c>
      <c r="E22" s="1" t="s">
        <v>6360</v>
      </c>
      <c r="G22" s="1" t="s">
        <v>10</v>
      </c>
      <c r="J22" s="3">
        <v>44386.545138888891</v>
      </c>
      <c r="K22" s="2" t="s">
        <v>6361</v>
      </c>
      <c r="L22" s="1">
        <v>27</v>
      </c>
      <c r="M22" s="1">
        <v>29</v>
      </c>
      <c r="N22">
        <v>2</v>
      </c>
      <c r="O22" s="3">
        <f>IF(
    R22="Ancien",
    _xlfn.XLOOKUP(
        Final_Sans_VGE[[#This Row],[ppn_z]],
        tbl_Historique_Final[ppn_z],
        tbl_Historique_Final[Horodatage],
        ""
    ),
    Horodatage!$A$2
)</f>
        <v>46233.670796365739</v>
      </c>
      <c r="P22" s="1" t="str">
        <f>IFERROR(IF(tbl_Historique_Final[[#This Row],[Commentaires]]&lt;&gt;"",tbl_Historique_Final[[#This Row],[Commentaires]],""),"")</f>
        <v/>
      </c>
      <c r="R22"/>
      <c r="X22" s="8" t="str">
        <f>IF(Final_Sans_VGE[[#This Row],[ppn_z]]="","",IFERROR(
   IF(_xlfn.XLOOKUP(Final_Sans_VGE[[#This Row],[ppn_z]],tbl_Historique_Final[ppn_z],tbl_Historique_Final[date_modif])=Final_Sans_VGE[[#This Row],[date_modif]],
      "Ancien",
      "Modifié"),
   "Nouveau"))</f>
        <v>Ancien</v>
      </c>
      <c r="AB22" s="9"/>
    </row>
    <row r="23" spans="1:28" x14ac:dyDescent="0.25">
      <c r="A23" s="5" t="s">
        <v>1277</v>
      </c>
      <c r="B23" s="1" t="s">
        <v>6434</v>
      </c>
      <c r="C23" s="1" t="s">
        <v>86</v>
      </c>
      <c r="D23" s="1" t="s">
        <v>14</v>
      </c>
      <c r="G23" s="1" t="s">
        <v>10</v>
      </c>
      <c r="H23" s="1" t="s">
        <v>140</v>
      </c>
      <c r="I23" s="1" t="s">
        <v>6435</v>
      </c>
      <c r="J23" s="3">
        <v>45406.407418981478</v>
      </c>
      <c r="K23" s="2" t="s">
        <v>6436</v>
      </c>
      <c r="L23" s="1">
        <v>73</v>
      </c>
      <c r="M23" s="1">
        <v>78</v>
      </c>
      <c r="N23">
        <v>5</v>
      </c>
      <c r="O23" s="3">
        <f>IF(
    R23="Ancien",
    _xlfn.XLOOKUP(
        Final_Sans_VGE[[#This Row],[ppn_z]],
        tbl_Historique_Final[ppn_z],
        tbl_Historique_Final[Horodatage],
        ""
    ),
    Horodatage!$A$2
)</f>
        <v>46233.670796365739</v>
      </c>
      <c r="P23" s="1" t="str">
        <f>IFERROR(IF(tbl_Historique_Final[[#This Row],[Commentaires]]&lt;&gt;"",tbl_Historique_Final[[#This Row],[Commentaires]],""),"")</f>
        <v/>
      </c>
      <c r="R23"/>
      <c r="X23" s="8" t="str">
        <f>IF(Final_Sans_VGE[[#This Row],[ppn_z]]="","",IFERROR(
   IF(_xlfn.XLOOKUP(Final_Sans_VGE[[#This Row],[ppn_z]],tbl_Historique_Final[ppn_z],tbl_Historique_Final[date_modif])=Final_Sans_VGE[[#This Row],[date_modif]],
      "Ancien",
      "Modifié"),
   "Nouveau"))</f>
        <v>Ancien</v>
      </c>
      <c r="AB23" s="9"/>
    </row>
    <row r="24" spans="1:28" x14ac:dyDescent="0.25">
      <c r="A24" s="5" t="s">
        <v>266</v>
      </c>
      <c r="B24" s="1" t="s">
        <v>6383</v>
      </c>
      <c r="C24" s="1" t="s">
        <v>36</v>
      </c>
      <c r="D24" s="1" t="s">
        <v>6384</v>
      </c>
      <c r="G24" s="1" t="s">
        <v>11</v>
      </c>
      <c r="H24" s="1" t="s">
        <v>22</v>
      </c>
      <c r="I24" s="1" t="s">
        <v>22</v>
      </c>
      <c r="J24" s="3">
        <v>45191.521006944444</v>
      </c>
      <c r="K24" s="2" t="s">
        <v>126</v>
      </c>
      <c r="L24" s="1">
        <v>6</v>
      </c>
      <c r="M24" s="1">
        <v>6</v>
      </c>
      <c r="N24">
        <v>0</v>
      </c>
      <c r="O24" s="3">
        <f>IF(
    R24="Ancien",
    _xlfn.XLOOKUP(
        Final_Sans_VGE[[#This Row],[ppn_z]],
        tbl_Historique_Final[ppn_z],
        tbl_Historique_Final[Horodatage],
        ""
    ),
    Horodatage!$A$2
)</f>
        <v>46233.670796365739</v>
      </c>
      <c r="P24" s="1" t="str">
        <f>IFERROR(IF(tbl_Historique_Final[[#This Row],[Commentaires]]&lt;&gt;"",tbl_Historique_Final[[#This Row],[Commentaires]],""),"")</f>
        <v/>
      </c>
      <c r="R24"/>
      <c r="X24" s="8" t="str">
        <f>IF(Final_Sans_VGE[[#This Row],[ppn_z]]="","",IFERROR(
   IF(_xlfn.XLOOKUP(Final_Sans_VGE[[#This Row],[ppn_z]],tbl_Historique_Final[ppn_z],tbl_Historique_Final[date_modif])=Final_Sans_VGE[[#This Row],[date_modif]],
      "Ancien",
      "Modifié"),
   "Nouveau"))</f>
        <v>Ancien</v>
      </c>
      <c r="AB24" s="9"/>
    </row>
    <row r="25" spans="1:28" ht="30" x14ac:dyDescent="0.25">
      <c r="A25" s="5" t="s">
        <v>194</v>
      </c>
      <c r="B25" s="1" t="s">
        <v>6362</v>
      </c>
      <c r="C25" s="1" t="s">
        <v>6363</v>
      </c>
      <c r="E25" s="1" t="s">
        <v>32</v>
      </c>
      <c r="G25" s="1" t="s">
        <v>10</v>
      </c>
      <c r="H25" s="1" t="s">
        <v>22</v>
      </c>
      <c r="I25" s="1" t="s">
        <v>22</v>
      </c>
      <c r="J25" s="3">
        <v>45167.696909722225</v>
      </c>
      <c r="K25" s="2" t="s">
        <v>6364</v>
      </c>
      <c r="L25" s="1">
        <v>23</v>
      </c>
      <c r="M25" s="1">
        <v>24</v>
      </c>
      <c r="N25">
        <v>1</v>
      </c>
      <c r="O25" s="3">
        <f>IF(
    R25="Ancien",
    _xlfn.XLOOKUP(
        Final_Sans_VGE[[#This Row],[ppn_z]],
        tbl_Historique_Final[ppn_z],
        tbl_Historique_Final[Horodatage],
        ""
    ),
    Horodatage!$A$2
)</f>
        <v>46233.670796365739</v>
      </c>
      <c r="P25" s="1" t="str">
        <f>IFERROR(IF(tbl_Historique_Final[[#This Row],[Commentaires]]&lt;&gt;"",tbl_Historique_Final[[#This Row],[Commentaires]],""),"")</f>
        <v/>
      </c>
      <c r="R25"/>
      <c r="X25" s="8" t="str">
        <f>IF(Final_Sans_VGE[[#This Row],[ppn_z]]="","",IFERROR(
   IF(_xlfn.XLOOKUP(Final_Sans_VGE[[#This Row],[ppn_z]],tbl_Historique_Final[ppn_z],tbl_Historique_Final[date_modif])=Final_Sans_VGE[[#This Row],[date_modif]],
      "Ancien",
      "Modifié"),
   "Nouveau"))</f>
        <v>Ancien</v>
      </c>
      <c r="AB25" s="9"/>
    </row>
    <row r="26" spans="1:28" x14ac:dyDescent="0.25">
      <c r="A26" s="5" t="s">
        <v>1721</v>
      </c>
      <c r="B26" s="1" t="s">
        <v>6547</v>
      </c>
      <c r="C26" s="1" t="s">
        <v>92</v>
      </c>
      <c r="D26" s="1" t="s">
        <v>6548</v>
      </c>
      <c r="G26" s="1" t="s">
        <v>10</v>
      </c>
      <c r="H26" s="1" t="s">
        <v>22</v>
      </c>
      <c r="I26" s="1" t="s">
        <v>22</v>
      </c>
      <c r="J26" s="3">
        <v>45574.422615740739</v>
      </c>
      <c r="K26" s="2" t="s">
        <v>6549</v>
      </c>
      <c r="L26" s="1">
        <v>8</v>
      </c>
      <c r="M26" s="1">
        <v>8</v>
      </c>
      <c r="N26">
        <v>0</v>
      </c>
      <c r="O26" s="3">
        <f>IF(
    R26="Ancien",
    _xlfn.XLOOKUP(
        Final_Sans_VGE[[#This Row],[ppn_z]],
        tbl_Historique_Final[ppn_z],
        tbl_Historique_Final[Horodatage],
        ""
    ),
    Horodatage!$A$2
)</f>
        <v>46233.670796365739</v>
      </c>
      <c r="P26" s="1" t="str">
        <f>IFERROR(IF(tbl_Historique_Final[[#This Row],[Commentaires]]&lt;&gt;"",tbl_Historique_Final[[#This Row],[Commentaires]],""),"")</f>
        <v/>
      </c>
      <c r="R26"/>
      <c r="X26" s="8" t="str">
        <f>IF(Final_Sans_VGE[[#This Row],[ppn_z]]="","",IFERROR(
   IF(_xlfn.XLOOKUP(Final_Sans_VGE[[#This Row],[ppn_z]],tbl_Historique_Final[ppn_z],tbl_Historique_Final[date_modif])=Final_Sans_VGE[[#This Row],[date_modif]],
      "Ancien",
      "Modifié"),
   "Nouveau"))</f>
        <v>Ancien</v>
      </c>
      <c r="AB26" s="9"/>
    </row>
    <row r="27" spans="1:28" x14ac:dyDescent="0.25">
      <c r="A27" s="5" t="s">
        <v>338</v>
      </c>
      <c r="B27" s="1" t="s">
        <v>6390</v>
      </c>
      <c r="C27" s="1" t="s">
        <v>83</v>
      </c>
      <c r="G27" s="1" t="s">
        <v>11</v>
      </c>
      <c r="H27" s="1" t="s">
        <v>22</v>
      </c>
      <c r="I27" s="1" t="s">
        <v>22</v>
      </c>
      <c r="J27" s="3">
        <v>45357.974791666667</v>
      </c>
      <c r="K27" s="2" t="s">
        <v>6391</v>
      </c>
      <c r="L27" s="1">
        <v>2</v>
      </c>
      <c r="M27" s="1">
        <v>2</v>
      </c>
      <c r="N27">
        <v>0</v>
      </c>
      <c r="O27" s="3">
        <f>IF(
    R27="Ancien",
    _xlfn.XLOOKUP(
        Final_Sans_VGE[[#This Row],[ppn_z]],
        tbl_Historique_Final[ppn_z],
        tbl_Historique_Final[Horodatage],
        ""
    ),
    Horodatage!$A$2
)</f>
        <v>46233.670796365739</v>
      </c>
      <c r="P27" s="1" t="str">
        <f>IFERROR(IF(tbl_Historique_Final[[#This Row],[Commentaires]]&lt;&gt;"",tbl_Historique_Final[[#This Row],[Commentaires]],""),"")</f>
        <v/>
      </c>
      <c r="R27"/>
      <c r="X27" s="8" t="str">
        <f>IF(Final_Sans_VGE[[#This Row],[ppn_z]]="","",IFERROR(
   IF(_xlfn.XLOOKUP(Final_Sans_VGE[[#This Row],[ppn_z]],tbl_Historique_Final[ppn_z],tbl_Historique_Final[date_modif])=Final_Sans_VGE[[#This Row],[date_modif]],
      "Ancien",
      "Modifié"),
   "Nouveau"))</f>
        <v>Ancien</v>
      </c>
      <c r="AB27" s="9"/>
    </row>
    <row r="28" spans="1:28" x14ac:dyDescent="0.25">
      <c r="A28" s="5" t="s">
        <v>197</v>
      </c>
      <c r="B28" s="1" t="s">
        <v>6368</v>
      </c>
      <c r="C28" s="1" t="s">
        <v>12</v>
      </c>
      <c r="G28" s="1" t="s">
        <v>10</v>
      </c>
      <c r="J28" s="3">
        <v>45358.849386574075</v>
      </c>
      <c r="K28" s="2" t="s">
        <v>6369</v>
      </c>
      <c r="L28" s="1">
        <v>8</v>
      </c>
      <c r="M28" s="1">
        <v>8</v>
      </c>
      <c r="N28">
        <v>0</v>
      </c>
      <c r="O28" s="3">
        <f>IF(
    R28="Ancien",
    _xlfn.XLOOKUP(
        Final_Sans_VGE[[#This Row],[ppn_z]],
        tbl_Historique_Final[ppn_z],
        tbl_Historique_Final[Horodatage],
        ""
    ),
    Horodatage!$A$2
)</f>
        <v>46233.670796365739</v>
      </c>
      <c r="P28" s="1" t="str">
        <f>IFERROR(IF(tbl_Historique_Final[[#This Row],[Commentaires]]&lt;&gt;"",tbl_Historique_Final[[#This Row],[Commentaires]],""),"")</f>
        <v/>
      </c>
      <c r="R28"/>
      <c r="X28" s="8" t="str">
        <f>IF(Final_Sans_VGE[[#This Row],[ppn_z]]="","",IFERROR(
   IF(_xlfn.XLOOKUP(Final_Sans_VGE[[#This Row],[ppn_z]],tbl_Historique_Final[ppn_z],tbl_Historique_Final[date_modif])=Final_Sans_VGE[[#This Row],[date_modif]],
      "Ancien",
      "Modifié"),
   "Nouveau"))</f>
        <v>Ancien</v>
      </c>
      <c r="AB28" s="9"/>
    </row>
    <row r="29" spans="1:28" ht="60" x14ac:dyDescent="0.25">
      <c r="A29" s="5" t="s">
        <v>302</v>
      </c>
      <c r="B29" s="1" t="s">
        <v>6398</v>
      </c>
      <c r="C29" s="1" t="s">
        <v>6399</v>
      </c>
      <c r="G29" s="1" t="s">
        <v>11</v>
      </c>
      <c r="H29" s="1" t="s">
        <v>22</v>
      </c>
      <c r="I29" s="1" t="s">
        <v>22</v>
      </c>
      <c r="J29" s="3">
        <v>45166.642534722225</v>
      </c>
      <c r="K29" s="2" t="s">
        <v>6400</v>
      </c>
      <c r="L29" s="1">
        <v>1</v>
      </c>
      <c r="M29" s="1">
        <v>3</v>
      </c>
      <c r="N29">
        <v>2</v>
      </c>
      <c r="O29" s="3">
        <f>IF(
    R29="Ancien",
    _xlfn.XLOOKUP(
        Final_Sans_VGE[[#This Row],[ppn_z]],
        tbl_Historique_Final[ppn_z],
        tbl_Historique_Final[Horodatage],
        ""
    ),
    Horodatage!$A$2
)</f>
        <v>46233.670796365739</v>
      </c>
      <c r="P29" s="1" t="str">
        <f>IFERROR(IF(tbl_Historique_Final[[#This Row],[Commentaires]]&lt;&gt;"",tbl_Historique_Final[[#This Row],[Commentaires]],""),"")</f>
        <v/>
      </c>
      <c r="R29"/>
      <c r="X29" s="8" t="str">
        <f>IF(Final_Sans_VGE[[#This Row],[ppn_z]]="","",IFERROR(
   IF(_xlfn.XLOOKUP(Final_Sans_VGE[[#This Row],[ppn_z]],tbl_Historique_Final[ppn_z],tbl_Historique_Final[date_modif])=Final_Sans_VGE[[#This Row],[date_modif]],
      "Ancien",
      "Modifié"),
   "Nouveau"))</f>
        <v>Ancien</v>
      </c>
      <c r="AB29" s="1"/>
    </row>
    <row r="30" spans="1:28" x14ac:dyDescent="0.25">
      <c r="A30" s="5" t="s">
        <v>200</v>
      </c>
      <c r="B30" s="1" t="s">
        <v>6370</v>
      </c>
      <c r="D30" s="1" t="s">
        <v>6371</v>
      </c>
      <c r="G30" s="1" t="s">
        <v>10</v>
      </c>
      <c r="H30" s="1" t="s">
        <v>22</v>
      </c>
      <c r="I30" s="1" t="s">
        <v>22</v>
      </c>
      <c r="J30" s="3">
        <v>44720.446516203701</v>
      </c>
      <c r="L30" s="1">
        <v>30</v>
      </c>
      <c r="M30" s="1">
        <v>30</v>
      </c>
      <c r="N30">
        <v>0</v>
      </c>
      <c r="O30" s="3">
        <f>IF(
    R30="Ancien",
    _xlfn.XLOOKUP(
        Final_Sans_VGE[[#This Row],[ppn_z]],
        tbl_Historique_Final[ppn_z],
        tbl_Historique_Final[Horodatage],
        ""
    ),
    Horodatage!$A$2
)</f>
        <v>46233.670796365739</v>
      </c>
      <c r="P30" s="1" t="str">
        <f>IFERROR(IF(tbl_Historique_Final[[#This Row],[Commentaires]]&lt;&gt;"",tbl_Historique_Final[[#This Row],[Commentaires]],""),"")</f>
        <v/>
      </c>
      <c r="R30"/>
      <c r="X30" s="8" t="str">
        <f>IF(Final_Sans_VGE[[#This Row],[ppn_z]]="","",IFERROR(
   IF(_xlfn.XLOOKUP(Final_Sans_VGE[[#This Row],[ppn_z]],tbl_Historique_Final[ppn_z],tbl_Historique_Final[date_modif])=Final_Sans_VGE[[#This Row],[date_modif]],
      "Ancien",
      "Modifié"),
   "Nouveau"))</f>
        <v>Ancien</v>
      </c>
      <c r="AB30" s="1"/>
    </row>
    <row r="31" spans="1:28" x14ac:dyDescent="0.25">
      <c r="A31" s="5" t="s">
        <v>1148</v>
      </c>
      <c r="B31" s="1" t="s">
        <v>6461</v>
      </c>
      <c r="C31" s="1" t="s">
        <v>77</v>
      </c>
      <c r="D31" s="1" t="s">
        <v>6462</v>
      </c>
      <c r="G31" s="1" t="s">
        <v>10</v>
      </c>
      <c r="H31" s="1" t="s">
        <v>22</v>
      </c>
      <c r="I31" s="1" t="s">
        <v>22</v>
      </c>
      <c r="J31" s="3">
        <v>45408.142708333333</v>
      </c>
      <c r="K31" s="2" t="s">
        <v>6463</v>
      </c>
      <c r="L31" s="1">
        <v>25</v>
      </c>
      <c r="M31" s="1">
        <v>38</v>
      </c>
      <c r="N31">
        <v>13</v>
      </c>
      <c r="O31" s="3">
        <f>IF(
    R31="Ancien",
    _xlfn.XLOOKUP(
        Final_Sans_VGE[[#This Row],[ppn_z]],
        tbl_Historique_Final[ppn_z],
        tbl_Historique_Final[Horodatage],
        ""
    ),
    Horodatage!$A$2
)</f>
        <v>46233.670796365739</v>
      </c>
      <c r="P31" s="1" t="str">
        <f>IFERROR(IF(tbl_Historique_Final[[#This Row],[Commentaires]]&lt;&gt;"",tbl_Historique_Final[[#This Row],[Commentaires]],""),"")</f>
        <v/>
      </c>
      <c r="R31"/>
      <c r="X31" s="8" t="str">
        <f>IF(Final_Sans_VGE[[#This Row],[ppn_z]]="","",IFERROR(
   IF(_xlfn.XLOOKUP(Final_Sans_VGE[[#This Row],[ppn_z]],tbl_Historique_Final[ppn_z],tbl_Historique_Final[date_modif])=Final_Sans_VGE[[#This Row],[date_modif]],
      "Ancien",
      "Modifié"),
   "Nouveau"))</f>
        <v>Ancien</v>
      </c>
      <c r="AB31" s="1"/>
    </row>
    <row r="32" spans="1:28" x14ac:dyDescent="0.25">
      <c r="A32" s="5" t="s">
        <v>221</v>
      </c>
      <c r="B32" s="1" t="s">
        <v>6392</v>
      </c>
      <c r="C32" s="1" t="s">
        <v>33</v>
      </c>
      <c r="D32" s="1" t="s">
        <v>6393</v>
      </c>
      <c r="G32" s="1" t="s">
        <v>11</v>
      </c>
      <c r="H32" s="1" t="s">
        <v>6394</v>
      </c>
      <c r="I32" s="1" t="s">
        <v>22</v>
      </c>
      <c r="J32" s="3">
        <v>45167.606585648151</v>
      </c>
      <c r="K32" s="2" t="s">
        <v>6395</v>
      </c>
      <c r="L32" s="1">
        <v>5</v>
      </c>
      <c r="M32" s="1">
        <v>5</v>
      </c>
      <c r="N32">
        <v>0</v>
      </c>
      <c r="O32" s="3">
        <f>IF(
    R32="Ancien",
    _xlfn.XLOOKUP(
        Final_Sans_VGE[[#This Row],[ppn_z]],
        tbl_Historique_Final[ppn_z],
        tbl_Historique_Final[Horodatage],
        ""
    ),
    Horodatage!$A$2
)</f>
        <v>46233.670796365739</v>
      </c>
      <c r="P32" s="1" t="str">
        <f>IFERROR(IF(tbl_Historique_Final[[#This Row],[Commentaires]]&lt;&gt;"",tbl_Historique_Final[[#This Row],[Commentaires]],""),"")</f>
        <v/>
      </c>
      <c r="R32"/>
      <c r="X32" s="8" t="str">
        <f>IF(Final_Sans_VGE[[#This Row],[ppn_z]]="","",IFERROR(
   IF(_xlfn.XLOOKUP(Final_Sans_VGE[[#This Row],[ppn_z]],tbl_Historique_Final[ppn_z],tbl_Historique_Final[date_modif])=Final_Sans_VGE[[#This Row],[date_modif]],
      "Ancien",
      "Modifié"),
   "Nouveau"))</f>
        <v>Ancien</v>
      </c>
      <c r="AB32" s="1"/>
    </row>
    <row r="33" spans="1:28" x14ac:dyDescent="0.25">
      <c r="A33" s="5" t="s">
        <v>203</v>
      </c>
      <c r="B33" s="1" t="s">
        <v>6374</v>
      </c>
      <c r="C33" s="1" t="s">
        <v>43</v>
      </c>
      <c r="G33" s="1" t="s">
        <v>10</v>
      </c>
      <c r="J33" s="3">
        <v>44444.163680555554</v>
      </c>
      <c r="K33" s="2" t="s">
        <v>6375</v>
      </c>
      <c r="L33" s="1">
        <v>1</v>
      </c>
      <c r="M33" s="1">
        <v>1</v>
      </c>
      <c r="N33">
        <v>0</v>
      </c>
      <c r="O33" s="3">
        <f>IF(
    R33="Ancien",
    _xlfn.XLOOKUP(
        Final_Sans_VGE[[#This Row],[ppn_z]],
        tbl_Historique_Final[ppn_z],
        tbl_Historique_Final[Horodatage],
        ""
    ),
    Horodatage!$A$2
)</f>
        <v>46233.670796365739</v>
      </c>
      <c r="P33" s="1" t="str">
        <f>IFERROR(IF(tbl_Historique_Final[[#This Row],[Commentaires]]&lt;&gt;"",tbl_Historique_Final[[#This Row],[Commentaires]],""),"")</f>
        <v/>
      </c>
      <c r="R33"/>
      <c r="X33" s="8" t="str">
        <f>IF(Final_Sans_VGE[[#This Row],[ppn_z]]="","",IFERROR(
   IF(_xlfn.XLOOKUP(Final_Sans_VGE[[#This Row],[ppn_z]],tbl_Historique_Final[ppn_z],tbl_Historique_Final[date_modif])=Final_Sans_VGE[[#This Row],[date_modif]],
      "Ancien",
      "Modifié"),
   "Nouveau"))</f>
        <v>Ancien</v>
      </c>
      <c r="AB33" s="1"/>
    </row>
    <row r="34" spans="1:28" x14ac:dyDescent="0.25">
      <c r="A34" s="5" t="s">
        <v>1373</v>
      </c>
      <c r="B34" s="1" t="s">
        <v>6556</v>
      </c>
      <c r="C34" s="1" t="s">
        <v>53</v>
      </c>
      <c r="D34" s="1" t="s">
        <v>163</v>
      </c>
      <c r="H34" s="1" t="s">
        <v>22</v>
      </c>
      <c r="I34" s="1" t="s">
        <v>22</v>
      </c>
      <c r="J34" s="3">
        <v>45485.437731481485</v>
      </c>
      <c r="K34" s="2" t="s">
        <v>150</v>
      </c>
      <c r="L34" s="1">
        <v>8</v>
      </c>
      <c r="M34" s="1">
        <v>13</v>
      </c>
      <c r="N34">
        <v>5</v>
      </c>
      <c r="O34" s="3">
        <f>IF(
    R34="Ancien",
    _xlfn.XLOOKUP(
        Final_Sans_VGE[[#This Row],[ppn_z]],
        tbl_Historique_Final[ppn_z],
        tbl_Historique_Final[Horodatage],
        ""
    ),
    Horodatage!$A$2
)</f>
        <v>46233.670796365739</v>
      </c>
      <c r="P34" s="1" t="str">
        <f>IFERROR(IF(tbl_Historique_Final[[#This Row],[Commentaires]]&lt;&gt;"",tbl_Historique_Final[[#This Row],[Commentaires]],""),"")</f>
        <v/>
      </c>
      <c r="R34"/>
      <c r="X34" s="8" t="str">
        <f>IF(Final_Sans_VGE[[#This Row],[ppn_z]]="","",IFERROR(
   IF(_xlfn.XLOOKUP(Final_Sans_VGE[[#This Row],[ppn_z]],tbl_Historique_Final[ppn_z],tbl_Historique_Final[date_modif])=Final_Sans_VGE[[#This Row],[date_modif]],
      "Ancien",
      "Modifié"),
   "Nouveau"))</f>
        <v>Ancien</v>
      </c>
      <c r="AB34" s="1"/>
    </row>
    <row r="35" spans="1:28" x14ac:dyDescent="0.25">
      <c r="A35" s="5" t="s">
        <v>206</v>
      </c>
      <c r="B35" s="1" t="s">
        <v>6376</v>
      </c>
      <c r="C35" s="1" t="s">
        <v>40</v>
      </c>
      <c r="G35" s="1" t="s">
        <v>10</v>
      </c>
      <c r="J35" s="3">
        <v>45359.532719907409</v>
      </c>
      <c r="K35" s="2" t="s">
        <v>6377</v>
      </c>
      <c r="L35" s="1">
        <v>4</v>
      </c>
      <c r="M35" s="1">
        <v>4</v>
      </c>
      <c r="N35">
        <v>0</v>
      </c>
      <c r="O35" s="3">
        <f>IF(
    R35="Ancien",
    _xlfn.XLOOKUP(
        Final_Sans_VGE[[#This Row],[ppn_z]],
        tbl_Historique_Final[ppn_z],
        tbl_Historique_Final[Horodatage],
        ""
    ),
    Horodatage!$A$2
)</f>
        <v>46233.670796365739</v>
      </c>
      <c r="P35" s="1" t="str">
        <f>IFERROR(IF(tbl_Historique_Final[[#This Row],[Commentaires]]&lt;&gt;"",tbl_Historique_Final[[#This Row],[Commentaires]],""),"")</f>
        <v/>
      </c>
      <c r="R35"/>
      <c r="X35" s="8" t="str">
        <f>IF(Final_Sans_VGE[[#This Row],[ppn_z]]="","",IFERROR(
   IF(_xlfn.XLOOKUP(Final_Sans_VGE[[#This Row],[ppn_z]],tbl_Historique_Final[ppn_z],tbl_Historique_Final[date_modif])=Final_Sans_VGE[[#This Row],[date_modif]],
      "Ancien",
      "Modifié"),
   "Nouveau"))</f>
        <v>Ancien</v>
      </c>
      <c r="AB35" s="1"/>
    </row>
    <row r="36" spans="1:28" ht="30" x14ac:dyDescent="0.25">
      <c r="A36" s="5" t="s">
        <v>209</v>
      </c>
      <c r="B36" s="1" t="s">
        <v>6379</v>
      </c>
      <c r="G36" s="1" t="s">
        <v>10</v>
      </c>
      <c r="J36" s="3">
        <v>44441.449849537035</v>
      </c>
      <c r="K36" s="2" t="s">
        <v>6380</v>
      </c>
      <c r="L36" s="1">
        <v>1</v>
      </c>
      <c r="M36" s="1">
        <v>2</v>
      </c>
      <c r="N36">
        <v>1</v>
      </c>
      <c r="O36" s="3">
        <f>IF(
    R36="Ancien",
    _xlfn.XLOOKUP(
        Final_Sans_VGE[[#This Row],[ppn_z]],
        tbl_Historique_Final[ppn_z],
        tbl_Historique_Final[Horodatage],
        ""
    ),
    Horodatage!$A$2
)</f>
        <v>46233.670796365739</v>
      </c>
      <c r="P36" s="1" t="str">
        <f>IFERROR(IF(tbl_Historique_Final[[#This Row],[Commentaires]]&lt;&gt;"",tbl_Historique_Final[[#This Row],[Commentaires]],""),"")</f>
        <v/>
      </c>
      <c r="R36"/>
      <c r="X36" s="8" t="str">
        <f>IF(Final_Sans_VGE[[#This Row],[ppn_z]]="","",IFERROR(
   IF(_xlfn.XLOOKUP(Final_Sans_VGE[[#This Row],[ppn_z]],tbl_Historique_Final[ppn_z],tbl_Historique_Final[date_modif])=Final_Sans_VGE[[#This Row],[date_modif]],
      "Ancien",
      "Modifié"),
   "Nouveau"))</f>
        <v>Ancien</v>
      </c>
      <c r="AB36" s="1"/>
    </row>
    <row r="37" spans="1:28" ht="60" x14ac:dyDescent="0.25">
      <c r="A37" s="5" t="s">
        <v>836</v>
      </c>
      <c r="B37" s="1" t="s">
        <v>6468</v>
      </c>
      <c r="C37" s="1" t="s">
        <v>55</v>
      </c>
      <c r="D37" s="1" t="s">
        <v>16</v>
      </c>
      <c r="G37" s="1" t="s">
        <v>11</v>
      </c>
      <c r="H37" s="1" t="s">
        <v>22</v>
      </c>
      <c r="I37" s="1" t="s">
        <v>22</v>
      </c>
      <c r="J37" s="3">
        <v>45406.80133101852</v>
      </c>
      <c r="K37" s="2" t="s">
        <v>6469</v>
      </c>
      <c r="L37" s="1">
        <v>6</v>
      </c>
      <c r="M37" s="1">
        <v>7</v>
      </c>
      <c r="N37">
        <v>1</v>
      </c>
      <c r="O37" s="3">
        <f>IF(
    R37="Ancien",
    _xlfn.XLOOKUP(
        Final_Sans_VGE[[#This Row],[ppn_z]],
        tbl_Historique_Final[ppn_z],
        tbl_Historique_Final[Horodatage],
        ""
    ),
    Horodatage!$A$2
)</f>
        <v>46233.670796365739</v>
      </c>
      <c r="P37" s="1" t="str">
        <f>IFERROR(IF(tbl_Historique_Final[[#This Row],[Commentaires]]&lt;&gt;"",tbl_Historique_Final[[#This Row],[Commentaires]],""),"")</f>
        <v/>
      </c>
      <c r="R37"/>
      <c r="X37" s="8" t="str">
        <f>IF(Final_Sans_VGE[[#This Row],[ppn_z]]="","",IFERROR(
   IF(_xlfn.XLOOKUP(Final_Sans_VGE[[#This Row],[ppn_z]],tbl_Historique_Final[ppn_z],tbl_Historique_Final[date_modif])=Final_Sans_VGE[[#This Row],[date_modif]],
      "Ancien",
      "Modifié"),
   "Nouveau"))</f>
        <v>Ancien</v>
      </c>
      <c r="AB37" s="1"/>
    </row>
    <row r="38" spans="1:28" ht="45" x14ac:dyDescent="0.25">
      <c r="A38" s="5" t="s">
        <v>212</v>
      </c>
      <c r="B38" s="1" t="s">
        <v>6381</v>
      </c>
      <c r="C38" s="1" t="s">
        <v>12</v>
      </c>
      <c r="G38" s="1" t="s">
        <v>10</v>
      </c>
      <c r="J38" s="3">
        <v>45356.684745370374</v>
      </c>
      <c r="K38" s="2" t="s">
        <v>6382</v>
      </c>
      <c r="L38" s="1">
        <v>1</v>
      </c>
      <c r="M38" s="1">
        <v>1</v>
      </c>
      <c r="N38">
        <v>0</v>
      </c>
      <c r="O38" s="3">
        <f>IF(
    R38="Ancien",
    _xlfn.XLOOKUP(
        Final_Sans_VGE[[#This Row],[ppn_z]],
        tbl_Historique_Final[ppn_z],
        tbl_Historique_Final[Horodatage],
        ""
    ),
    Horodatage!$A$2
)</f>
        <v>46233.670796365739</v>
      </c>
      <c r="P38" s="1" t="str">
        <f>IFERROR(IF(tbl_Historique_Final[[#This Row],[Commentaires]]&lt;&gt;"",tbl_Historique_Final[[#This Row],[Commentaires]],""),"")</f>
        <v/>
      </c>
      <c r="R38"/>
      <c r="X38" s="8" t="str">
        <f>IF(Final_Sans_VGE[[#This Row],[ppn_z]]="","",IFERROR(
   IF(_xlfn.XLOOKUP(Final_Sans_VGE[[#This Row],[ppn_z]],tbl_Historique_Final[ppn_z],tbl_Historique_Final[date_modif])=Final_Sans_VGE[[#This Row],[date_modif]],
      "Ancien",
      "Modifié"),
   "Nouveau"))</f>
        <v>Ancien</v>
      </c>
      <c r="AB38" s="1"/>
    </row>
    <row r="39" spans="1:28" x14ac:dyDescent="0.25">
      <c r="A39" s="5" t="s">
        <v>251</v>
      </c>
      <c r="B39" s="1" t="s">
        <v>6418</v>
      </c>
      <c r="D39" s="1" t="s">
        <v>153</v>
      </c>
      <c r="G39" s="1" t="s">
        <v>10</v>
      </c>
      <c r="H39" s="1" t="s">
        <v>22</v>
      </c>
      <c r="I39" s="1" t="s">
        <v>22</v>
      </c>
      <c r="J39" s="3">
        <v>44952.653217592589</v>
      </c>
      <c r="L39" s="1">
        <v>9</v>
      </c>
      <c r="M39" s="1">
        <v>9</v>
      </c>
      <c r="N39">
        <v>0</v>
      </c>
      <c r="O39" s="3">
        <f>IF(
    R39="Ancien",
    _xlfn.XLOOKUP(
        Final_Sans_VGE[[#This Row],[ppn_z]],
        tbl_Historique_Final[ppn_z],
        tbl_Historique_Final[Horodatage],
        ""
    ),
    Horodatage!$A$2
)</f>
        <v>46233.670796365739</v>
      </c>
      <c r="P39" s="1" t="str">
        <f>IFERROR(IF(tbl_Historique_Final[[#This Row],[Commentaires]]&lt;&gt;"",tbl_Historique_Final[[#This Row],[Commentaires]],""),"")</f>
        <v/>
      </c>
      <c r="R39"/>
      <c r="X39" s="8" t="str">
        <f>IF(Final_Sans_VGE[[#This Row],[ppn_z]]="","",IFERROR(
   IF(_xlfn.XLOOKUP(Final_Sans_VGE[[#This Row],[ppn_z]],tbl_Historique_Final[ppn_z],tbl_Historique_Final[date_modif])=Final_Sans_VGE[[#This Row],[date_modif]],
      "Ancien",
      "Modifié"),
   "Nouveau"))</f>
        <v>Ancien</v>
      </c>
      <c r="AB39" s="1"/>
    </row>
    <row r="40" spans="1:28" x14ac:dyDescent="0.25">
      <c r="A40" s="5" t="s">
        <v>1745</v>
      </c>
      <c r="B40" s="1" t="s">
        <v>6561</v>
      </c>
      <c r="C40" s="1" t="s">
        <v>88</v>
      </c>
      <c r="D40" s="1" t="s">
        <v>6562</v>
      </c>
      <c r="G40" s="1" t="s">
        <v>11</v>
      </c>
      <c r="H40" s="1" t="s">
        <v>10509</v>
      </c>
      <c r="I40" s="1" t="s">
        <v>22</v>
      </c>
      <c r="J40" s="3">
        <v>45551.696909722225</v>
      </c>
      <c r="K40" s="2" t="s">
        <v>6563</v>
      </c>
      <c r="L40" s="1">
        <v>8</v>
      </c>
      <c r="M40" s="1">
        <v>13</v>
      </c>
      <c r="N40">
        <v>5</v>
      </c>
      <c r="O40" s="3">
        <f>IF(
    R40="Ancien",
    _xlfn.XLOOKUP(
        Final_Sans_VGE[[#This Row],[ppn_z]],
        tbl_Historique_Final[ppn_z],
        tbl_Historique_Final[Horodatage],
        ""
    ),
    Horodatage!$A$2
)</f>
        <v>46233.670796365739</v>
      </c>
      <c r="P40" s="1" t="str">
        <f>IFERROR(IF(tbl_Historique_Final[[#This Row],[Commentaires]]&lt;&gt;"",tbl_Historique_Final[[#This Row],[Commentaires]],""),"")</f>
        <v/>
      </c>
      <c r="R40"/>
      <c r="X40" s="8" t="str">
        <f>IF(Final_Sans_VGE[[#This Row],[ppn_z]]="","",IFERROR(
   IF(_xlfn.XLOOKUP(Final_Sans_VGE[[#This Row],[ppn_z]],tbl_Historique_Final[ppn_z],tbl_Historique_Final[date_modif])=Final_Sans_VGE[[#This Row],[date_modif]],
      "Ancien",
      "Modifié"),
   "Nouveau"))</f>
        <v>Ancien</v>
      </c>
      <c r="AB40" s="1"/>
    </row>
    <row r="41" spans="1:28" x14ac:dyDescent="0.25">
      <c r="A41" s="5" t="s">
        <v>215</v>
      </c>
      <c r="B41" s="1" t="s">
        <v>6385</v>
      </c>
      <c r="C41" s="1" t="s">
        <v>156</v>
      </c>
      <c r="E41" s="1" t="s">
        <v>6386</v>
      </c>
      <c r="G41" s="1" t="s">
        <v>10</v>
      </c>
      <c r="J41" s="3">
        <v>44461.562604166669</v>
      </c>
      <c r="K41" s="2" t="s">
        <v>6387</v>
      </c>
      <c r="L41" s="1">
        <v>6</v>
      </c>
      <c r="M41" s="1">
        <v>16</v>
      </c>
      <c r="N41">
        <v>10</v>
      </c>
      <c r="O41" s="3">
        <f>IF(
    R41="Ancien",
    _xlfn.XLOOKUP(
        Final_Sans_VGE[[#This Row],[ppn_z]],
        tbl_Historique_Final[ppn_z],
        tbl_Historique_Final[Horodatage],
        ""
    ),
    Horodatage!$A$2
)</f>
        <v>46233.670796365739</v>
      </c>
      <c r="P41" s="1" t="str">
        <f>IFERROR(IF(tbl_Historique_Final[[#This Row],[Commentaires]]&lt;&gt;"",tbl_Historique_Final[[#This Row],[Commentaires]],""),"")</f>
        <v/>
      </c>
      <c r="R41"/>
      <c r="X41" s="8" t="str">
        <f>IF(Final_Sans_VGE[[#This Row],[ppn_z]]="","",IFERROR(
   IF(_xlfn.XLOOKUP(Final_Sans_VGE[[#This Row],[ppn_z]],tbl_Historique_Final[ppn_z],tbl_Historique_Final[date_modif])=Final_Sans_VGE[[#This Row],[date_modif]],
      "Ancien",
      "Modifié"),
   "Nouveau"))</f>
        <v>Ancien</v>
      </c>
      <c r="AB41" s="1"/>
    </row>
    <row r="42" spans="1:28" x14ac:dyDescent="0.25">
      <c r="A42" s="5" t="s">
        <v>329</v>
      </c>
      <c r="B42" s="1" t="s">
        <v>6421</v>
      </c>
      <c r="C42" s="1" t="s">
        <v>45</v>
      </c>
      <c r="D42" s="1" t="s">
        <v>6422</v>
      </c>
      <c r="H42" s="1" t="s">
        <v>22</v>
      </c>
      <c r="I42" s="1" t="s">
        <v>22</v>
      </c>
      <c r="J42" s="3">
        <v>45133.342557870368</v>
      </c>
      <c r="K42" s="2" t="s">
        <v>6423</v>
      </c>
      <c r="L42" s="1">
        <v>5</v>
      </c>
      <c r="M42" s="1">
        <v>5</v>
      </c>
      <c r="N42">
        <v>0</v>
      </c>
      <c r="O42" s="3">
        <f>IF(
    R42="Ancien",
    _xlfn.XLOOKUP(
        Final_Sans_VGE[[#This Row],[ppn_z]],
        tbl_Historique_Final[ppn_z],
        tbl_Historique_Final[Horodatage],
        ""
    ),
    Horodatage!$A$2
)</f>
        <v>46233.670796365739</v>
      </c>
      <c r="P42" s="1" t="str">
        <f>IFERROR(IF(tbl_Historique_Final[[#This Row],[Commentaires]]&lt;&gt;"",tbl_Historique_Final[[#This Row],[Commentaires]],""),"")</f>
        <v/>
      </c>
      <c r="R42"/>
      <c r="X42" s="8" t="str">
        <f>IF(Final_Sans_VGE[[#This Row],[ppn_z]]="","",IFERROR(
   IF(_xlfn.XLOOKUP(Final_Sans_VGE[[#This Row],[ppn_z]],tbl_Historique_Final[ppn_z],tbl_Historique_Final[date_modif])=Final_Sans_VGE[[#This Row],[date_modif]],
      "Ancien",
      "Modifié"),
   "Nouveau"))</f>
        <v>Ancien</v>
      </c>
      <c r="AB42" s="1"/>
    </row>
    <row r="43" spans="1:28" x14ac:dyDescent="0.25">
      <c r="A43" s="5" t="s">
        <v>1289</v>
      </c>
      <c r="B43" s="1" t="s">
        <v>6475</v>
      </c>
      <c r="C43" s="1" t="s">
        <v>48</v>
      </c>
      <c r="D43" s="1" t="s">
        <v>14</v>
      </c>
      <c r="H43" s="1" t="s">
        <v>22</v>
      </c>
      <c r="I43" s="1" t="s">
        <v>22</v>
      </c>
      <c r="J43" s="3">
        <v>45406.602465277778</v>
      </c>
      <c r="K43" s="2" t="s">
        <v>6476</v>
      </c>
      <c r="L43" s="1">
        <v>9</v>
      </c>
      <c r="M43" s="1">
        <v>10</v>
      </c>
      <c r="N43">
        <v>1</v>
      </c>
      <c r="O43" s="3">
        <f>IF(
    R43="Ancien",
    _xlfn.XLOOKUP(
        Final_Sans_VGE[[#This Row],[ppn_z]],
        tbl_Historique_Final[ppn_z],
        tbl_Historique_Final[Horodatage],
        ""
    ),
    Horodatage!$A$2
)</f>
        <v>46233.670796365739</v>
      </c>
      <c r="P43" s="1" t="str">
        <f>IFERROR(IF(tbl_Historique_Final[[#This Row],[Commentaires]]&lt;&gt;"",tbl_Historique_Final[[#This Row],[Commentaires]],""),"")</f>
        <v/>
      </c>
      <c r="R43"/>
      <c r="X43" s="8" t="str">
        <f>IF(Final_Sans_VGE[[#This Row],[ppn_z]]="","",IFERROR(
   IF(_xlfn.XLOOKUP(Final_Sans_VGE[[#This Row],[ppn_z]],tbl_Historique_Final[ppn_z],tbl_Historique_Final[date_modif])=Final_Sans_VGE[[#This Row],[date_modif]],
      "Ancien",
      "Modifié"),
   "Nouveau"))</f>
        <v>Ancien</v>
      </c>
      <c r="AB43" s="1"/>
    </row>
    <row r="44" spans="1:28" ht="75" x14ac:dyDescent="0.25">
      <c r="A44" s="5" t="s">
        <v>218</v>
      </c>
      <c r="B44" s="1" t="s">
        <v>6388</v>
      </c>
      <c r="C44" s="1" t="s">
        <v>12</v>
      </c>
      <c r="G44" s="1" t="s">
        <v>11</v>
      </c>
      <c r="J44" s="3">
        <v>45357.126099537039</v>
      </c>
      <c r="K44" s="2" t="s">
        <v>6389</v>
      </c>
      <c r="L44" s="1">
        <v>2</v>
      </c>
      <c r="M44" s="1">
        <v>4</v>
      </c>
      <c r="N44">
        <v>2</v>
      </c>
      <c r="O44" s="3">
        <f>IF(
    R44="Ancien",
    _xlfn.XLOOKUP(
        Final_Sans_VGE[[#This Row],[ppn_z]],
        tbl_Historique_Final[ppn_z],
        tbl_Historique_Final[Horodatage],
        ""
    ),
    Horodatage!$A$2
)</f>
        <v>46233.670796365739</v>
      </c>
      <c r="P44" s="1" t="str">
        <f>IFERROR(IF(tbl_Historique_Final[[#This Row],[Commentaires]]&lt;&gt;"",tbl_Historique_Final[[#This Row],[Commentaires]],""),"")</f>
        <v/>
      </c>
      <c r="R44"/>
      <c r="X44" s="8" t="str">
        <f>IF(Final_Sans_VGE[[#This Row],[ppn_z]]="","",IFERROR(
   IF(_xlfn.XLOOKUP(Final_Sans_VGE[[#This Row],[ppn_z]],tbl_Historique_Final[ppn_z],tbl_Historique_Final[date_modif])=Final_Sans_VGE[[#This Row],[date_modif]],
      "Ancien",
      "Modifié"),
   "Nouveau"))</f>
        <v>Ancien</v>
      </c>
      <c r="AB44" s="1"/>
    </row>
    <row r="45" spans="1:28" x14ac:dyDescent="0.25">
      <c r="A45" s="5" t="s">
        <v>593</v>
      </c>
      <c r="B45" s="1" t="s">
        <v>6429</v>
      </c>
      <c r="C45" s="1" t="s">
        <v>149</v>
      </c>
      <c r="D45" s="1" t="s">
        <v>6430</v>
      </c>
      <c r="E45" s="1" t="s">
        <v>62</v>
      </c>
      <c r="F45" s="1" t="s">
        <v>14</v>
      </c>
      <c r="G45" s="1" t="s">
        <v>10</v>
      </c>
      <c r="H45" s="1" t="s">
        <v>22</v>
      </c>
      <c r="I45" s="1" t="s">
        <v>22</v>
      </c>
      <c r="J45" s="3">
        <v>45407.57880787037</v>
      </c>
      <c r="K45" s="2" t="s">
        <v>6431</v>
      </c>
      <c r="L45" s="1">
        <v>12</v>
      </c>
      <c r="M45" s="1">
        <v>14</v>
      </c>
      <c r="N45">
        <v>2</v>
      </c>
      <c r="O45" s="3">
        <f>IF(
    R45="Ancien",
    _xlfn.XLOOKUP(
        Final_Sans_VGE[[#This Row],[ppn_z]],
        tbl_Historique_Final[ppn_z],
        tbl_Historique_Final[Horodatage],
        ""
    ),
    Horodatage!$A$2
)</f>
        <v>46233.670796365739</v>
      </c>
      <c r="P45" s="1" t="str">
        <f>IFERROR(IF(tbl_Historique_Final[[#This Row],[Commentaires]]&lt;&gt;"",tbl_Historique_Final[[#This Row],[Commentaires]],""),"")</f>
        <v/>
      </c>
      <c r="R45"/>
      <c r="X45" s="8" t="str">
        <f>IF(Final_Sans_VGE[[#This Row],[ppn_z]]="","",IFERROR(
   IF(_xlfn.XLOOKUP(Final_Sans_VGE[[#This Row],[ppn_z]],tbl_Historique_Final[ppn_z],tbl_Historique_Final[date_modif])=Final_Sans_VGE[[#This Row],[date_modif]],
      "Ancien",
      "Modifié"),
   "Nouveau"))</f>
        <v>Ancien</v>
      </c>
      <c r="AB45" s="1"/>
    </row>
    <row r="46" spans="1:28" x14ac:dyDescent="0.25">
      <c r="A46" s="5" t="s">
        <v>1112</v>
      </c>
      <c r="B46" s="1" t="s">
        <v>6479</v>
      </c>
      <c r="C46" s="1" t="s">
        <v>72</v>
      </c>
      <c r="D46" s="1" t="s">
        <v>14</v>
      </c>
      <c r="G46" s="1" t="s">
        <v>11</v>
      </c>
      <c r="H46" s="1" t="s">
        <v>22</v>
      </c>
      <c r="I46" s="1" t="s">
        <v>22</v>
      </c>
      <c r="J46" s="3">
        <v>45406.577453703707</v>
      </c>
      <c r="K46" s="2" t="s">
        <v>6480</v>
      </c>
      <c r="L46" s="1">
        <v>22</v>
      </c>
      <c r="M46" s="1">
        <v>22</v>
      </c>
      <c r="N46">
        <v>0</v>
      </c>
      <c r="O46" s="3">
        <f>IF(
    R46="Ancien",
    _xlfn.XLOOKUP(
        Final_Sans_VGE[[#This Row],[ppn_z]],
        tbl_Historique_Final[ppn_z],
        tbl_Historique_Final[Horodatage],
        ""
    ),
    Horodatage!$A$2
)</f>
        <v>46233.670796365739</v>
      </c>
      <c r="P46" s="1" t="str">
        <f>IFERROR(IF(tbl_Historique_Final[[#This Row],[Commentaires]]&lt;&gt;"",tbl_Historique_Final[[#This Row],[Commentaires]],""),"")</f>
        <v/>
      </c>
      <c r="R46"/>
      <c r="X46" s="8" t="str">
        <f>IF(Final_Sans_VGE[[#This Row],[ppn_z]]="","",IFERROR(
   IF(_xlfn.XLOOKUP(Final_Sans_VGE[[#This Row],[ppn_z]],tbl_Historique_Final[ppn_z],tbl_Historique_Final[date_modif])=Final_Sans_VGE[[#This Row],[date_modif]],
      "Ancien",
      "Modifié"),
   "Nouveau"))</f>
        <v>Ancien</v>
      </c>
      <c r="AB46" s="1"/>
    </row>
    <row r="47" spans="1:28" ht="45" x14ac:dyDescent="0.25">
      <c r="A47" s="5" t="s">
        <v>224</v>
      </c>
      <c r="B47" s="1" t="s">
        <v>6396</v>
      </c>
      <c r="J47" s="3">
        <v>45359.48978009259</v>
      </c>
      <c r="K47" s="2" t="s">
        <v>6397</v>
      </c>
      <c r="L47" s="1">
        <v>1</v>
      </c>
      <c r="M47" s="1">
        <v>1</v>
      </c>
      <c r="N47">
        <v>0</v>
      </c>
      <c r="O47" s="3">
        <f>IF(
    R47="Ancien",
    _xlfn.XLOOKUP(
        Final_Sans_VGE[[#This Row],[ppn_z]],
        tbl_Historique_Final[ppn_z],
        tbl_Historique_Final[Horodatage],
        ""
    ),
    Horodatage!$A$2
)</f>
        <v>46233.670796365739</v>
      </c>
      <c r="P47" s="1" t="str">
        <f>IFERROR(IF(tbl_Historique_Final[[#This Row],[Commentaires]]&lt;&gt;"",tbl_Historique_Final[[#This Row],[Commentaires]],""),"")</f>
        <v/>
      </c>
      <c r="R47"/>
      <c r="X47" s="8" t="str">
        <f>IF(Final_Sans_VGE[[#This Row],[ppn_z]]="","",IFERROR(
   IF(_xlfn.XLOOKUP(Final_Sans_VGE[[#This Row],[ppn_z]],tbl_Historique_Final[ppn_z],tbl_Historique_Final[date_modif])=Final_Sans_VGE[[#This Row],[date_modif]],
      "Ancien",
      "Modifié"),
   "Nouveau"))</f>
        <v>Ancien</v>
      </c>
      <c r="AB47" s="1"/>
    </row>
    <row r="48" spans="1:28" x14ac:dyDescent="0.25">
      <c r="A48" s="5" t="s">
        <v>227</v>
      </c>
      <c r="B48" s="1" t="s">
        <v>6401</v>
      </c>
      <c r="C48" s="1" t="s">
        <v>34</v>
      </c>
      <c r="E48" s="1" t="s">
        <v>6386</v>
      </c>
      <c r="G48" s="1" t="s">
        <v>10</v>
      </c>
      <c r="J48" s="3">
        <v>44601.565289351849</v>
      </c>
      <c r="K48" s="2" t="s">
        <v>6402</v>
      </c>
      <c r="L48" s="1">
        <v>2</v>
      </c>
      <c r="M48" s="1">
        <v>2</v>
      </c>
      <c r="N48">
        <v>0</v>
      </c>
      <c r="O48" s="3">
        <f>IF(
    R48="Ancien",
    _xlfn.XLOOKUP(
        Final_Sans_VGE[[#This Row],[ppn_z]],
        tbl_Historique_Final[ppn_z],
        tbl_Historique_Final[Horodatage],
        ""
    ),
    Horodatage!$A$2
)</f>
        <v>46233.670796365739</v>
      </c>
      <c r="P48" s="1" t="str">
        <f>IFERROR(IF(tbl_Historique_Final[[#This Row],[Commentaires]]&lt;&gt;"",tbl_Historique_Final[[#This Row],[Commentaires]],""),"")</f>
        <v/>
      </c>
      <c r="R48"/>
      <c r="X48" s="8" t="str">
        <f>IF(Final_Sans_VGE[[#This Row],[ppn_z]]="","",IFERROR(
   IF(_xlfn.XLOOKUP(Final_Sans_VGE[[#This Row],[ppn_z]],tbl_Historique_Final[ppn_z],tbl_Historique_Final[date_modif])=Final_Sans_VGE[[#This Row],[date_modif]],
      "Ancien",
      "Modifié"),
   "Nouveau"))</f>
        <v>Ancien</v>
      </c>
      <c r="AB48" s="1"/>
    </row>
    <row r="49" spans="1:28" x14ac:dyDescent="0.25">
      <c r="A49" s="5" t="s">
        <v>1394</v>
      </c>
      <c r="B49" s="1" t="s">
        <v>6570</v>
      </c>
      <c r="C49" s="1" t="s">
        <v>45</v>
      </c>
      <c r="D49" s="1" t="s">
        <v>14</v>
      </c>
      <c r="G49" s="1" t="s">
        <v>11</v>
      </c>
      <c r="H49" s="1" t="s">
        <v>22</v>
      </c>
      <c r="I49" s="1" t="s">
        <v>22</v>
      </c>
      <c r="J49" s="3">
        <v>45407.43440972222</v>
      </c>
      <c r="L49" s="1">
        <v>18</v>
      </c>
      <c r="M49" s="1">
        <v>19</v>
      </c>
      <c r="N49">
        <v>1</v>
      </c>
      <c r="O49" s="3">
        <f>IF(
    R49="Ancien",
    _xlfn.XLOOKUP(
        Final_Sans_VGE[[#This Row],[ppn_z]],
        tbl_Historique_Final[ppn_z],
        tbl_Historique_Final[Horodatage],
        ""
    ),
    Horodatage!$A$2
)</f>
        <v>46233.670796365739</v>
      </c>
      <c r="P49" s="1" t="str">
        <f>IFERROR(IF(tbl_Historique_Final[[#This Row],[Commentaires]]&lt;&gt;"",tbl_Historique_Final[[#This Row],[Commentaires]],""),"")</f>
        <v/>
      </c>
      <c r="R49"/>
      <c r="X49" s="8" t="str">
        <f>IF(Final_Sans_VGE[[#This Row],[ppn_z]]="","",IFERROR(
   IF(_xlfn.XLOOKUP(Final_Sans_VGE[[#This Row],[ppn_z]],tbl_Historique_Final[ppn_z],tbl_Historique_Final[date_modif])=Final_Sans_VGE[[#This Row],[date_modif]],
      "Ancien",
      "Modifié"),
   "Nouveau"))</f>
        <v>Ancien</v>
      </c>
      <c r="AB49" s="1"/>
    </row>
    <row r="50" spans="1:28" ht="30" x14ac:dyDescent="0.25">
      <c r="A50" s="5" t="s">
        <v>230</v>
      </c>
      <c r="B50" s="1" t="s">
        <v>6403</v>
      </c>
      <c r="C50" s="1" t="s">
        <v>82</v>
      </c>
      <c r="G50" s="1" t="s">
        <v>11</v>
      </c>
      <c r="J50" s="3">
        <v>45356.561157407406</v>
      </c>
      <c r="K50" s="2" t="s">
        <v>6404</v>
      </c>
      <c r="L50" s="1">
        <v>3</v>
      </c>
      <c r="M50" s="1">
        <v>3</v>
      </c>
      <c r="N50">
        <v>0</v>
      </c>
      <c r="O50" s="3">
        <f>IF(
    R50="Ancien",
    _xlfn.XLOOKUP(
        Final_Sans_VGE[[#This Row],[ppn_z]],
        tbl_Historique_Final[ppn_z],
        tbl_Historique_Final[Horodatage],
        ""
    ),
    Horodatage!$A$2
)</f>
        <v>46233.670796365739</v>
      </c>
      <c r="P50" s="1" t="str">
        <f>IFERROR(IF(tbl_Historique_Final[[#This Row],[Commentaires]]&lt;&gt;"",tbl_Historique_Final[[#This Row],[Commentaires]],""),"")</f>
        <v/>
      </c>
      <c r="R50"/>
      <c r="X50" s="8" t="str">
        <f>IF(Final_Sans_VGE[[#This Row],[ppn_z]]="","",IFERROR(
   IF(_xlfn.XLOOKUP(Final_Sans_VGE[[#This Row],[ppn_z]],tbl_Historique_Final[ppn_z],tbl_Historique_Final[date_modif])=Final_Sans_VGE[[#This Row],[date_modif]],
      "Ancien",
      "Modifié"),
   "Nouveau"))</f>
        <v>Ancien</v>
      </c>
      <c r="AB50" s="1"/>
    </row>
    <row r="51" spans="1:28" x14ac:dyDescent="0.25">
      <c r="A51" s="5" t="s">
        <v>233</v>
      </c>
      <c r="B51" s="1" t="s">
        <v>6405</v>
      </c>
      <c r="C51" s="1" t="s">
        <v>6406</v>
      </c>
      <c r="G51" s="1" t="s">
        <v>10</v>
      </c>
      <c r="J51" s="3">
        <v>44952.65320601852</v>
      </c>
      <c r="K51" s="2" t="s">
        <v>6407</v>
      </c>
      <c r="L51" s="1">
        <v>22</v>
      </c>
      <c r="M51" s="1">
        <v>24</v>
      </c>
      <c r="N51">
        <v>2</v>
      </c>
      <c r="O51" s="3">
        <f>IF(
    R51="Ancien",
    _xlfn.XLOOKUP(
        Final_Sans_VGE[[#This Row],[ppn_z]],
        tbl_Historique_Final[ppn_z],
        tbl_Historique_Final[Horodatage],
        ""
    ),
    Horodatage!$A$2
)</f>
        <v>46233.670796365739</v>
      </c>
      <c r="P51" s="1" t="str">
        <f>IFERROR(IF(tbl_Historique_Final[[#This Row],[Commentaires]]&lt;&gt;"",tbl_Historique_Final[[#This Row],[Commentaires]],""),"")</f>
        <v/>
      </c>
      <c r="R51"/>
      <c r="X51" s="8" t="str">
        <f>IF(Final_Sans_VGE[[#This Row],[ppn_z]]="","",IFERROR(
   IF(_xlfn.XLOOKUP(Final_Sans_VGE[[#This Row],[ppn_z]],tbl_Historique_Final[ppn_z],tbl_Historique_Final[date_modif])=Final_Sans_VGE[[#This Row],[date_modif]],
      "Ancien",
      "Modifié"),
   "Nouveau"))</f>
        <v>Ancien</v>
      </c>
      <c r="AB51" s="1"/>
    </row>
    <row r="52" spans="1:28" x14ac:dyDescent="0.25">
      <c r="A52" s="5" t="s">
        <v>989</v>
      </c>
      <c r="B52" s="1" t="s">
        <v>6485</v>
      </c>
      <c r="C52" s="1" t="s">
        <v>88</v>
      </c>
      <c r="D52" s="1" t="s">
        <v>14</v>
      </c>
      <c r="G52" s="1" t="s">
        <v>10</v>
      </c>
      <c r="H52" s="1" t="s">
        <v>22</v>
      </c>
      <c r="I52" s="1" t="s">
        <v>22</v>
      </c>
      <c r="J52" s="3">
        <v>45409.087106481478</v>
      </c>
      <c r="K52" s="2" t="s">
        <v>6486</v>
      </c>
      <c r="L52" s="1">
        <v>10</v>
      </c>
      <c r="M52" s="1">
        <v>14</v>
      </c>
      <c r="N52">
        <v>4</v>
      </c>
      <c r="O52" s="3">
        <f>IF(
    R52="Ancien",
    _xlfn.XLOOKUP(
        Final_Sans_VGE[[#This Row],[ppn_z]],
        tbl_Historique_Final[ppn_z],
        tbl_Historique_Final[Horodatage],
        ""
    ),
    Horodatage!$A$2
)</f>
        <v>46233.670796365739</v>
      </c>
      <c r="P52" s="1" t="str">
        <f>IFERROR(IF(tbl_Historique_Final[[#This Row],[Commentaires]]&lt;&gt;"",tbl_Historique_Final[[#This Row],[Commentaires]],""),"")</f>
        <v/>
      </c>
      <c r="R52"/>
      <c r="X52" s="8" t="str">
        <f>IF(Final_Sans_VGE[[#This Row],[ppn_z]]="","",IFERROR(
   IF(_xlfn.XLOOKUP(Final_Sans_VGE[[#This Row],[ppn_z]],tbl_Historique_Final[ppn_z],tbl_Historique_Final[date_modif])=Final_Sans_VGE[[#This Row],[date_modif]],
      "Ancien",
      "Modifié"),
   "Nouveau"))</f>
        <v>Ancien</v>
      </c>
      <c r="AB52" s="1"/>
    </row>
    <row r="53" spans="1:28" x14ac:dyDescent="0.25">
      <c r="A53" s="5" t="s">
        <v>236</v>
      </c>
      <c r="B53" s="1" t="s">
        <v>6408</v>
      </c>
      <c r="C53" s="1" t="s">
        <v>12</v>
      </c>
      <c r="G53" s="1" t="s">
        <v>11</v>
      </c>
      <c r="J53" s="3">
        <v>45358.198217592595</v>
      </c>
      <c r="K53" s="2" t="s">
        <v>6409</v>
      </c>
      <c r="L53" s="1">
        <v>3</v>
      </c>
      <c r="M53" s="1">
        <v>3</v>
      </c>
      <c r="N53">
        <v>0</v>
      </c>
      <c r="O53" s="3">
        <f>IF(
    R53="Ancien",
    _xlfn.XLOOKUP(
        Final_Sans_VGE[[#This Row],[ppn_z]],
        tbl_Historique_Final[ppn_z],
        tbl_Historique_Final[Horodatage],
        ""
    ),
    Horodatage!$A$2
)</f>
        <v>46233.670796365739</v>
      </c>
      <c r="P53" s="1" t="str">
        <f>IFERROR(IF(tbl_Historique_Final[[#This Row],[Commentaires]]&lt;&gt;"",tbl_Historique_Final[[#This Row],[Commentaires]],""),"")</f>
        <v/>
      </c>
      <c r="R53"/>
      <c r="X53" s="8" t="str">
        <f>IF(Final_Sans_VGE[[#This Row],[ppn_z]]="","",IFERROR(
   IF(_xlfn.XLOOKUP(Final_Sans_VGE[[#This Row],[ppn_z]],tbl_Historique_Final[ppn_z],tbl_Historique_Final[date_modif])=Final_Sans_VGE[[#This Row],[date_modif]],
      "Ancien",
      "Modifié"),
   "Nouveau"))</f>
        <v>Ancien</v>
      </c>
      <c r="AB53" s="1"/>
    </row>
    <row r="54" spans="1:28" x14ac:dyDescent="0.25">
      <c r="A54" s="5" t="s">
        <v>1190</v>
      </c>
      <c r="B54" s="1" t="s">
        <v>6491</v>
      </c>
      <c r="C54" s="1" t="s">
        <v>76</v>
      </c>
      <c r="D54" s="1" t="s">
        <v>14</v>
      </c>
      <c r="G54" s="1" t="s">
        <v>11</v>
      </c>
      <c r="H54" s="1" t="s">
        <v>22</v>
      </c>
      <c r="I54" s="1" t="s">
        <v>22</v>
      </c>
      <c r="J54" s="3">
        <v>45408.73159722222</v>
      </c>
      <c r="K54" s="2" t="s">
        <v>6492</v>
      </c>
      <c r="L54" s="1">
        <v>28</v>
      </c>
      <c r="M54" s="1">
        <v>32</v>
      </c>
      <c r="N54">
        <v>4</v>
      </c>
      <c r="O54" s="3">
        <f>IF(
    R54="Ancien",
    _xlfn.XLOOKUP(
        Final_Sans_VGE[[#This Row],[ppn_z]],
        tbl_Historique_Final[ppn_z],
        tbl_Historique_Final[Horodatage],
        ""
    ),
    Horodatage!$A$2
)</f>
        <v>46233.670796365739</v>
      </c>
      <c r="P54" s="1" t="str">
        <f>IFERROR(IF(tbl_Historique_Final[[#This Row],[Commentaires]]&lt;&gt;"",tbl_Historique_Final[[#This Row],[Commentaires]],""),"")</f>
        <v/>
      </c>
      <c r="R54"/>
      <c r="X54" s="8" t="str">
        <f>IF(Final_Sans_VGE[[#This Row],[ppn_z]]="","",IFERROR(
   IF(_xlfn.XLOOKUP(Final_Sans_VGE[[#This Row],[ppn_z]],tbl_Historique_Final[ppn_z],tbl_Historique_Final[date_modif])=Final_Sans_VGE[[#This Row],[date_modif]],
      "Ancien",
      "Modifié"),
   "Nouveau"))</f>
        <v>Ancien</v>
      </c>
      <c r="AB54" s="1"/>
    </row>
    <row r="55" spans="1:28" x14ac:dyDescent="0.25">
      <c r="A55" s="5" t="s">
        <v>239</v>
      </c>
      <c r="B55" s="1" t="s">
        <v>6410</v>
      </c>
      <c r="C55" s="1" t="s">
        <v>35</v>
      </c>
      <c r="G55" s="1" t="s">
        <v>10</v>
      </c>
      <c r="J55" s="3">
        <v>44714.4371875</v>
      </c>
      <c r="K55" s="2" t="s">
        <v>6411</v>
      </c>
      <c r="L55" s="1">
        <v>2</v>
      </c>
      <c r="M55" s="1">
        <v>2</v>
      </c>
      <c r="N55">
        <v>0</v>
      </c>
      <c r="O55" s="3">
        <f>IF(
    R55="Ancien",
    _xlfn.XLOOKUP(
        Final_Sans_VGE[[#This Row],[ppn_z]],
        tbl_Historique_Final[ppn_z],
        tbl_Historique_Final[Horodatage],
        ""
    ),
    Horodatage!$A$2
)</f>
        <v>46233.670796365739</v>
      </c>
      <c r="P55" s="1" t="str">
        <f>IFERROR(IF(tbl_Historique_Final[[#This Row],[Commentaires]]&lt;&gt;"",tbl_Historique_Final[[#This Row],[Commentaires]],""),"")</f>
        <v/>
      </c>
      <c r="R55"/>
      <c r="X55" s="8" t="str">
        <f>IF(Final_Sans_VGE[[#This Row],[ppn_z]]="","",IFERROR(
   IF(_xlfn.XLOOKUP(Final_Sans_VGE[[#This Row],[ppn_z]],tbl_Historique_Final[ppn_z],tbl_Historique_Final[date_modif])=Final_Sans_VGE[[#This Row],[date_modif]],
      "Ancien",
      "Modifié"),
   "Nouveau"))</f>
        <v>Ancien</v>
      </c>
      <c r="AB55" s="1"/>
    </row>
    <row r="56" spans="1:28" x14ac:dyDescent="0.25">
      <c r="A56" s="5" t="s">
        <v>1235</v>
      </c>
      <c r="B56" s="1" t="s">
        <v>6495</v>
      </c>
      <c r="C56" s="1" t="s">
        <v>36</v>
      </c>
      <c r="D56" s="1" t="s">
        <v>14</v>
      </c>
      <c r="G56" s="1" t="s">
        <v>10</v>
      </c>
      <c r="H56" s="1" t="s">
        <v>22</v>
      </c>
      <c r="I56" s="1" t="s">
        <v>22</v>
      </c>
      <c r="J56" s="3">
        <v>45409.164907407408</v>
      </c>
      <c r="K56" s="2" t="s">
        <v>6496</v>
      </c>
      <c r="L56" s="1">
        <v>7</v>
      </c>
      <c r="M56" s="1">
        <v>8</v>
      </c>
      <c r="N56">
        <v>1</v>
      </c>
      <c r="O56" s="3">
        <f>IF(
    R56="Ancien",
    _xlfn.XLOOKUP(
        Final_Sans_VGE[[#This Row],[ppn_z]],
        tbl_Historique_Final[ppn_z],
        tbl_Historique_Final[Horodatage],
        ""
    ),
    Horodatage!$A$2
)</f>
        <v>46233.670796365739</v>
      </c>
      <c r="P56" s="1" t="str">
        <f>IFERROR(IF(tbl_Historique_Final[[#This Row],[Commentaires]]&lt;&gt;"",tbl_Historique_Final[[#This Row],[Commentaires]],""),"")</f>
        <v/>
      </c>
      <c r="R56"/>
      <c r="X56" s="8" t="str">
        <f>IF(Final_Sans_VGE[[#This Row],[ppn_z]]="","",IFERROR(
   IF(_xlfn.XLOOKUP(Final_Sans_VGE[[#This Row],[ppn_z]],tbl_Historique_Final[ppn_z],tbl_Historique_Final[date_modif])=Final_Sans_VGE[[#This Row],[date_modif]],
      "Ancien",
      "Modifié"),
   "Nouveau"))</f>
        <v>Ancien</v>
      </c>
      <c r="AB56" s="1"/>
    </row>
    <row r="57" spans="1:28" x14ac:dyDescent="0.25">
      <c r="A57" s="5" t="s">
        <v>242</v>
      </c>
      <c r="B57" s="1" t="s">
        <v>6412</v>
      </c>
      <c r="C57" s="1" t="s">
        <v>12</v>
      </c>
      <c r="G57" s="1" t="s">
        <v>10</v>
      </c>
      <c r="J57" s="3">
        <v>44444.196817129632</v>
      </c>
      <c r="K57" s="2" t="s">
        <v>6413</v>
      </c>
      <c r="L57" s="1">
        <v>1</v>
      </c>
      <c r="M57" s="1">
        <v>1</v>
      </c>
      <c r="N57">
        <v>0</v>
      </c>
      <c r="O57" s="3">
        <f>IF(
    R57="Ancien",
    _xlfn.XLOOKUP(
        Final_Sans_VGE[[#This Row],[ppn_z]],
        tbl_Historique_Final[ppn_z],
        tbl_Historique_Final[Horodatage],
        ""
    ),
    Horodatage!$A$2
)</f>
        <v>46233.670796365739</v>
      </c>
      <c r="P57" s="1" t="str">
        <f>IFERROR(IF(tbl_Historique_Final[[#This Row],[Commentaires]]&lt;&gt;"",tbl_Historique_Final[[#This Row],[Commentaires]],""),"")</f>
        <v/>
      </c>
      <c r="R57"/>
      <c r="X57" s="8" t="str">
        <f>IF(Final_Sans_VGE[[#This Row],[ppn_z]]="","",IFERROR(
   IF(_xlfn.XLOOKUP(Final_Sans_VGE[[#This Row],[ppn_z]],tbl_Historique_Final[ppn_z],tbl_Historique_Final[date_modif])=Final_Sans_VGE[[#This Row],[date_modif]],
      "Ancien",
      "Modifié"),
   "Nouveau"))</f>
        <v>Ancien</v>
      </c>
      <c r="AB57" s="1"/>
    </row>
    <row r="58" spans="1:28" x14ac:dyDescent="0.25">
      <c r="A58" s="5" t="s">
        <v>245</v>
      </c>
      <c r="B58" s="1" t="s">
        <v>6414</v>
      </c>
      <c r="C58" s="1" t="s">
        <v>6415</v>
      </c>
      <c r="E58" s="1" t="s">
        <v>6416</v>
      </c>
      <c r="G58" s="1" t="s">
        <v>10</v>
      </c>
      <c r="J58" s="3">
        <v>44444.141319444447</v>
      </c>
      <c r="K58" s="2" t="s">
        <v>6417</v>
      </c>
      <c r="L58" s="1">
        <v>6</v>
      </c>
      <c r="M58" s="1">
        <v>7</v>
      </c>
      <c r="N58">
        <v>1</v>
      </c>
      <c r="O58" s="3">
        <f>IF(
    R58="Ancien",
    _xlfn.XLOOKUP(
        Final_Sans_VGE[[#This Row],[ppn_z]],
        tbl_Historique_Final[ppn_z],
        tbl_Historique_Final[Horodatage],
        ""
    ),
    Horodatage!$A$2
)</f>
        <v>46233.670796365739</v>
      </c>
      <c r="P58" s="1" t="str">
        <f>IFERROR(IF(tbl_Historique_Final[[#This Row],[Commentaires]]&lt;&gt;"",tbl_Historique_Final[[#This Row],[Commentaires]],""),"")</f>
        <v/>
      </c>
      <c r="R58"/>
      <c r="X58" s="8" t="str">
        <f>IF(Final_Sans_VGE[[#This Row],[ppn_z]]="","",IFERROR(
   IF(_xlfn.XLOOKUP(Final_Sans_VGE[[#This Row],[ppn_z]],tbl_Historique_Final[ppn_z],tbl_Historique_Final[date_modif])=Final_Sans_VGE[[#This Row],[date_modif]],
      "Ancien",
      "Modifié"),
   "Nouveau"))</f>
        <v>Ancien</v>
      </c>
      <c r="AB58" s="1"/>
    </row>
    <row r="59" spans="1:28" x14ac:dyDescent="0.25">
      <c r="A59" s="5" t="s">
        <v>1025</v>
      </c>
      <c r="B59" s="1" t="s">
        <v>6501</v>
      </c>
      <c r="C59" s="1" t="s">
        <v>55</v>
      </c>
      <c r="G59" s="1" t="s">
        <v>10</v>
      </c>
      <c r="H59" s="1" t="s">
        <v>10510</v>
      </c>
      <c r="I59" s="1" t="s">
        <v>22</v>
      </c>
      <c r="J59" s="3">
        <v>45408.881585648145</v>
      </c>
      <c r="K59" s="2" t="s">
        <v>6503</v>
      </c>
      <c r="L59" s="1">
        <v>38</v>
      </c>
      <c r="M59" s="1">
        <v>62</v>
      </c>
      <c r="N59">
        <v>24</v>
      </c>
      <c r="O59" s="3">
        <f>IF(
    R59="Ancien",
    _xlfn.XLOOKUP(
        Final_Sans_VGE[[#This Row],[ppn_z]],
        tbl_Historique_Final[ppn_z],
        tbl_Historique_Final[Horodatage],
        ""
    ),
    Horodatage!$A$2
)</f>
        <v>46233.670796365739</v>
      </c>
      <c r="P59" s="1" t="str">
        <f>IFERROR(IF(tbl_Historique_Final[[#This Row],[Commentaires]]&lt;&gt;"",tbl_Historique_Final[[#This Row],[Commentaires]],""),"")</f>
        <v/>
      </c>
      <c r="R59"/>
      <c r="X59" s="8" t="str">
        <f>IF(Final_Sans_VGE[[#This Row],[ppn_z]]="","",IFERROR(
   IF(_xlfn.XLOOKUP(Final_Sans_VGE[[#This Row],[ppn_z]],tbl_Historique_Final[ppn_z],tbl_Historique_Final[date_modif])=Final_Sans_VGE[[#This Row],[date_modif]],
      "Ancien",
      "Modifié"),
   "Nouveau"))</f>
        <v>Ancien</v>
      </c>
      <c r="AB59" s="1"/>
    </row>
    <row r="60" spans="1:28" ht="45" x14ac:dyDescent="0.25">
      <c r="A60" s="5" t="s">
        <v>248</v>
      </c>
      <c r="B60" s="1" t="s">
        <v>6419</v>
      </c>
      <c r="C60" s="1" t="s">
        <v>116</v>
      </c>
      <c r="G60" s="1" t="s">
        <v>11</v>
      </c>
      <c r="J60" s="3">
        <v>45201.696238425924</v>
      </c>
      <c r="K60" s="2" t="s">
        <v>6420</v>
      </c>
      <c r="L60" s="1">
        <v>4</v>
      </c>
      <c r="M60" s="1">
        <v>4</v>
      </c>
      <c r="N60">
        <v>0</v>
      </c>
      <c r="O60" s="3">
        <f>IF(
    R60="Ancien",
    _xlfn.XLOOKUP(
        Final_Sans_VGE[[#This Row],[ppn_z]],
        tbl_Historique_Final[ppn_z],
        tbl_Historique_Final[Horodatage],
        ""
    ),
    Horodatage!$A$2
)</f>
        <v>46233.670796365739</v>
      </c>
      <c r="P60" s="1" t="str">
        <f>IFERROR(IF(tbl_Historique_Final[[#This Row],[Commentaires]]&lt;&gt;"",tbl_Historique_Final[[#This Row],[Commentaires]],""),"")</f>
        <v/>
      </c>
      <c r="R60"/>
      <c r="X60" s="8" t="str">
        <f>IF(Final_Sans_VGE[[#This Row],[ppn_z]]="","",IFERROR(
   IF(_xlfn.XLOOKUP(Final_Sans_VGE[[#This Row],[ppn_z]],tbl_Historique_Final[ppn_z],tbl_Historique_Final[date_modif])=Final_Sans_VGE[[#This Row],[date_modif]],
      "Ancien",
      "Modifié"),
   "Nouveau"))</f>
        <v>Ancien</v>
      </c>
      <c r="AB60" s="1"/>
    </row>
    <row r="61" spans="1:28" x14ac:dyDescent="0.25">
      <c r="A61" s="5" t="s">
        <v>1295</v>
      </c>
      <c r="B61" s="1" t="s">
        <v>6506</v>
      </c>
      <c r="C61" s="1" t="s">
        <v>72</v>
      </c>
      <c r="D61" s="1" t="s">
        <v>18</v>
      </c>
      <c r="G61" s="1" t="s">
        <v>10</v>
      </c>
      <c r="H61" s="1" t="s">
        <v>22</v>
      </c>
      <c r="I61" s="1" t="s">
        <v>22</v>
      </c>
      <c r="J61" s="3">
        <v>45405.964953703704</v>
      </c>
      <c r="K61" s="2" t="s">
        <v>6507</v>
      </c>
      <c r="L61" s="1">
        <v>4</v>
      </c>
      <c r="M61" s="1">
        <v>4</v>
      </c>
      <c r="N61">
        <v>0</v>
      </c>
      <c r="O61" s="3">
        <f>IF(
    R61="Ancien",
    _xlfn.XLOOKUP(
        Final_Sans_VGE[[#This Row],[ppn_z]],
        tbl_Historique_Final[ppn_z],
        tbl_Historique_Final[Horodatage],
        ""
    ),
    Horodatage!$A$2
)</f>
        <v>46233.670796365739</v>
      </c>
      <c r="P61" s="1" t="str">
        <f>IFERROR(IF(tbl_Historique_Final[[#This Row],[Commentaires]]&lt;&gt;"",tbl_Historique_Final[[#This Row],[Commentaires]],""),"")</f>
        <v/>
      </c>
      <c r="R61"/>
      <c r="X61" s="8" t="str">
        <f>IF(Final_Sans_VGE[[#This Row],[ppn_z]]="","",IFERROR(
   IF(_xlfn.XLOOKUP(Final_Sans_VGE[[#This Row],[ppn_z]],tbl_Historique_Final[ppn_z],tbl_Historique_Final[date_modif])=Final_Sans_VGE[[#This Row],[date_modif]],
      "Ancien",
      "Modifié"),
   "Nouveau"))</f>
        <v>Ancien</v>
      </c>
      <c r="AB61" s="1"/>
    </row>
    <row r="62" spans="1:28" ht="30" x14ac:dyDescent="0.25">
      <c r="A62" s="5" t="s">
        <v>254</v>
      </c>
      <c r="B62" s="1" t="s">
        <v>6424</v>
      </c>
      <c r="C62" s="1" t="s">
        <v>77</v>
      </c>
      <c r="G62" s="1" t="s">
        <v>11</v>
      </c>
      <c r="J62" s="3">
        <v>45345.531898148147</v>
      </c>
      <c r="K62" s="2" t="s">
        <v>6425</v>
      </c>
      <c r="L62" s="1">
        <v>2</v>
      </c>
      <c r="M62" s="1">
        <v>2</v>
      </c>
      <c r="N62">
        <v>0</v>
      </c>
      <c r="O62" s="3">
        <f>IF(
    R62="Ancien",
    _xlfn.XLOOKUP(
        Final_Sans_VGE[[#This Row],[ppn_z]],
        tbl_Historique_Final[ppn_z],
        tbl_Historique_Final[Horodatage],
        ""
    ),
    Horodatage!$A$2
)</f>
        <v>46233.670796365739</v>
      </c>
      <c r="P62" s="1" t="str">
        <f>IFERROR(IF(tbl_Historique_Final[[#This Row],[Commentaires]]&lt;&gt;"",tbl_Historique_Final[[#This Row],[Commentaires]],""),"")</f>
        <v/>
      </c>
      <c r="R62"/>
      <c r="X62" s="8" t="str">
        <f>IF(Final_Sans_VGE[[#This Row],[ppn_z]]="","",IFERROR(
   IF(_xlfn.XLOOKUP(Final_Sans_VGE[[#This Row],[ppn_z]],tbl_Historique_Final[ppn_z],tbl_Historique_Final[date_modif])=Final_Sans_VGE[[#This Row],[date_modif]],
      "Ancien",
      "Modifié"),
   "Nouveau"))</f>
        <v>Ancien</v>
      </c>
      <c r="AB62" s="1"/>
    </row>
    <row r="63" spans="1:28" x14ac:dyDescent="0.25">
      <c r="A63" s="5" t="s">
        <v>257</v>
      </c>
      <c r="B63" s="1" t="s">
        <v>6426</v>
      </c>
      <c r="C63" s="1" t="s">
        <v>6427</v>
      </c>
      <c r="E63" s="1" t="s">
        <v>6330</v>
      </c>
      <c r="G63" s="1" t="s">
        <v>11</v>
      </c>
      <c r="J63" s="3">
        <v>44444.170324074075</v>
      </c>
      <c r="K63" s="2" t="s">
        <v>6428</v>
      </c>
      <c r="L63" s="1">
        <v>1</v>
      </c>
      <c r="M63" s="1">
        <v>1</v>
      </c>
      <c r="N63">
        <v>0</v>
      </c>
      <c r="O63" s="3">
        <f>IF(
    R63="Ancien",
    _xlfn.XLOOKUP(
        Final_Sans_VGE[[#This Row],[ppn_z]],
        tbl_Historique_Final[ppn_z],
        tbl_Historique_Final[Horodatage],
        ""
    ),
    Horodatage!$A$2
)</f>
        <v>46233.670796365739</v>
      </c>
      <c r="P63" s="1" t="str">
        <f>IFERROR(IF(tbl_Historique_Final[[#This Row],[Commentaires]]&lt;&gt;"",tbl_Historique_Final[[#This Row],[Commentaires]],""),"")</f>
        <v/>
      </c>
      <c r="R63"/>
      <c r="X63" s="8" t="str">
        <f>IF(Final_Sans_VGE[[#This Row],[ppn_z]]="","",IFERROR(
   IF(_xlfn.XLOOKUP(Final_Sans_VGE[[#This Row],[ppn_z]],tbl_Historique_Final[ppn_z],tbl_Historique_Final[date_modif])=Final_Sans_VGE[[#This Row],[date_modif]],
      "Ancien",
      "Modifié"),
   "Nouveau"))</f>
        <v>Ancien</v>
      </c>
      <c r="AB63" s="1"/>
    </row>
    <row r="64" spans="1:28" x14ac:dyDescent="0.25">
      <c r="A64" s="5" t="s">
        <v>260</v>
      </c>
      <c r="B64" s="1" t="s">
        <v>6432</v>
      </c>
      <c r="C64" s="1" t="s">
        <v>12</v>
      </c>
      <c r="G64" s="1" t="s">
        <v>11</v>
      </c>
      <c r="J64" s="3">
        <v>45167.70521990741</v>
      </c>
      <c r="K64" s="2" t="s">
        <v>6433</v>
      </c>
      <c r="L64" s="1">
        <v>7</v>
      </c>
      <c r="M64" s="1">
        <v>8</v>
      </c>
      <c r="N64">
        <v>1</v>
      </c>
      <c r="O64" s="3">
        <f>IF(
    R64="Ancien",
    _xlfn.XLOOKUP(
        Final_Sans_VGE[[#This Row],[ppn_z]],
        tbl_Historique_Final[ppn_z],
        tbl_Historique_Final[Horodatage],
        ""
    ),
    Horodatage!$A$2
)</f>
        <v>46233.670796365739</v>
      </c>
      <c r="P64" s="1" t="str">
        <f>IFERROR(IF(tbl_Historique_Final[[#This Row],[Commentaires]]&lt;&gt;"",tbl_Historique_Final[[#This Row],[Commentaires]],""),"")</f>
        <v/>
      </c>
      <c r="R64"/>
      <c r="X64" s="8" t="str">
        <f>IF(Final_Sans_VGE[[#This Row],[ppn_z]]="","",IFERROR(
   IF(_xlfn.XLOOKUP(Final_Sans_VGE[[#This Row],[ppn_z]],tbl_Historique_Final[ppn_z],tbl_Historique_Final[date_modif])=Final_Sans_VGE[[#This Row],[date_modif]],
      "Ancien",
      "Modifié"),
   "Nouveau"))</f>
        <v>Ancien</v>
      </c>
      <c r="AB64" s="1"/>
    </row>
    <row r="65" spans="1:28" ht="60" x14ac:dyDescent="0.25">
      <c r="A65" s="5" t="s">
        <v>1184</v>
      </c>
      <c r="B65" s="1" t="s">
        <v>6512</v>
      </c>
      <c r="C65" s="1" t="s">
        <v>12</v>
      </c>
      <c r="G65" s="1" t="s">
        <v>10</v>
      </c>
      <c r="H65" s="1" t="s">
        <v>22</v>
      </c>
      <c r="I65" s="1" t="s">
        <v>22</v>
      </c>
      <c r="J65" s="3">
        <v>45370.406944444447</v>
      </c>
      <c r="K65" s="2" t="s">
        <v>6513</v>
      </c>
      <c r="L65" s="1">
        <v>17</v>
      </c>
      <c r="M65" s="1">
        <v>22</v>
      </c>
      <c r="N65">
        <v>5</v>
      </c>
      <c r="O65" s="3">
        <f>IF(
    R65="Ancien",
    _xlfn.XLOOKUP(
        Final_Sans_VGE[[#This Row],[ppn_z]],
        tbl_Historique_Final[ppn_z],
        tbl_Historique_Final[Horodatage],
        ""
    ),
    Horodatage!$A$2
)</f>
        <v>46233.670796365739</v>
      </c>
      <c r="P65" s="1" t="str">
        <f>IFERROR(IF(tbl_Historique_Final[[#This Row],[Commentaires]]&lt;&gt;"",tbl_Historique_Final[[#This Row],[Commentaires]],""),"")</f>
        <v/>
      </c>
      <c r="R65"/>
      <c r="X65" s="8" t="str">
        <f>IF(Final_Sans_VGE[[#This Row],[ppn_z]]="","",IFERROR(
   IF(_xlfn.XLOOKUP(Final_Sans_VGE[[#This Row],[ppn_z]],tbl_Historique_Final[ppn_z],tbl_Historique_Final[date_modif])=Final_Sans_VGE[[#This Row],[date_modif]],
      "Ancien",
      "Modifié"),
   "Nouveau"))</f>
        <v>Ancien</v>
      </c>
      <c r="AB65" s="1"/>
    </row>
    <row r="66" spans="1:28" x14ac:dyDescent="0.25">
      <c r="A66" s="5" t="s">
        <v>263</v>
      </c>
      <c r="B66" s="1" t="s">
        <v>6437</v>
      </c>
      <c r="C66" s="1" t="s">
        <v>109</v>
      </c>
      <c r="G66" s="1" t="s">
        <v>10</v>
      </c>
      <c r="J66" s="3">
        <v>45356.480937499997</v>
      </c>
      <c r="K66" s="2" t="s">
        <v>6438</v>
      </c>
      <c r="L66" s="1">
        <v>1</v>
      </c>
      <c r="M66" s="1">
        <v>1</v>
      </c>
      <c r="N66">
        <v>0</v>
      </c>
      <c r="O66" s="3">
        <f>IF(
    R66="Ancien",
    _xlfn.XLOOKUP(
        Final_Sans_VGE[[#This Row],[ppn_z]],
        tbl_Historique_Final[ppn_z],
        tbl_Historique_Final[Horodatage],
        ""
    ),
    Horodatage!$A$2
)</f>
        <v>46233.670796365739</v>
      </c>
      <c r="P66" s="1" t="str">
        <f>IFERROR(IF(tbl_Historique_Final[[#This Row],[Commentaires]]&lt;&gt;"",tbl_Historique_Final[[#This Row],[Commentaires]],""),"")</f>
        <v/>
      </c>
      <c r="R66"/>
      <c r="X66" s="8" t="str">
        <f>IF(Final_Sans_VGE[[#This Row],[ppn_z]]="","",IFERROR(
   IF(_xlfn.XLOOKUP(Final_Sans_VGE[[#This Row],[ppn_z]],tbl_Historique_Final[ppn_z],tbl_Historique_Final[date_modif])=Final_Sans_VGE[[#This Row],[date_modif]],
      "Ancien",
      "Modifié"),
   "Nouveau"))</f>
        <v>Ancien</v>
      </c>
      <c r="AB66" s="1"/>
    </row>
    <row r="67" spans="1:28" x14ac:dyDescent="0.25">
      <c r="A67" s="5" t="s">
        <v>1292</v>
      </c>
      <c r="B67" s="1" t="s">
        <v>6515</v>
      </c>
      <c r="C67" s="1" t="s">
        <v>12</v>
      </c>
      <c r="D67" s="1" t="s">
        <v>6516</v>
      </c>
      <c r="G67" s="1" t="s">
        <v>11</v>
      </c>
      <c r="H67" s="1" t="s">
        <v>22</v>
      </c>
      <c r="I67" s="1" t="s">
        <v>22</v>
      </c>
      <c r="J67" s="3">
        <v>45384.09820601852</v>
      </c>
      <c r="K67" s="2" t="s">
        <v>6517</v>
      </c>
      <c r="L67" s="1">
        <v>9</v>
      </c>
      <c r="M67" s="1">
        <v>9</v>
      </c>
      <c r="N67">
        <v>0</v>
      </c>
      <c r="O67" s="3">
        <f>IF(
    R67="Ancien",
    _xlfn.XLOOKUP(
        Final_Sans_VGE[[#This Row],[ppn_z]],
        tbl_Historique_Final[ppn_z],
        tbl_Historique_Final[Horodatage],
        ""
    ),
    Horodatage!$A$2
)</f>
        <v>46233.670796365739</v>
      </c>
      <c r="P67" s="1" t="str">
        <f>IFERROR(IF(tbl_Historique_Final[[#This Row],[Commentaires]]&lt;&gt;"",tbl_Historique_Final[[#This Row],[Commentaires]],""),"")</f>
        <v/>
      </c>
      <c r="R67"/>
      <c r="X67" s="8" t="str">
        <f>IF(Final_Sans_VGE[[#This Row],[ppn_z]]="","",IFERROR(
   IF(_xlfn.XLOOKUP(Final_Sans_VGE[[#This Row],[ppn_z]],tbl_Historique_Final[ppn_z],tbl_Historique_Final[date_modif])=Final_Sans_VGE[[#This Row],[date_modif]],
      "Ancien",
      "Modifié"),
   "Nouveau"))</f>
        <v>Ancien</v>
      </c>
      <c r="AB67" s="1"/>
    </row>
    <row r="68" spans="1:28" x14ac:dyDescent="0.25">
      <c r="A68" s="5" t="s">
        <v>269</v>
      </c>
      <c r="B68" s="1" t="s">
        <v>6442</v>
      </c>
      <c r="C68" s="1" t="s">
        <v>82</v>
      </c>
      <c r="G68" s="1" t="s">
        <v>10</v>
      </c>
      <c r="J68" s="3">
        <v>45358.688449074078</v>
      </c>
      <c r="K68" s="2" t="s">
        <v>6438</v>
      </c>
      <c r="L68" s="1">
        <v>1</v>
      </c>
      <c r="M68" s="1">
        <v>1</v>
      </c>
      <c r="N68">
        <v>0</v>
      </c>
      <c r="O68" s="3">
        <f>IF(
    R68="Ancien",
    _xlfn.XLOOKUP(
        Final_Sans_VGE[[#This Row],[ppn_z]],
        tbl_Historique_Final[ppn_z],
        tbl_Historique_Final[Horodatage],
        ""
    ),
    Horodatage!$A$2
)</f>
        <v>46233.670796365739</v>
      </c>
      <c r="P68" s="1" t="str">
        <f>IFERROR(IF(tbl_Historique_Final[[#This Row],[Commentaires]]&lt;&gt;"",tbl_Historique_Final[[#This Row],[Commentaires]],""),"")</f>
        <v/>
      </c>
      <c r="R68"/>
      <c r="X68" s="8" t="str">
        <f>IF(Final_Sans_VGE[[#This Row],[ppn_z]]="","",IFERROR(
   IF(_xlfn.XLOOKUP(Final_Sans_VGE[[#This Row],[ppn_z]],tbl_Historique_Final[ppn_z],tbl_Historique_Final[date_modif])=Final_Sans_VGE[[#This Row],[date_modif]],
      "Ancien",
      "Modifié"),
   "Nouveau"))</f>
        <v>Ancien</v>
      </c>
      <c r="AB68" s="1"/>
    </row>
    <row r="69" spans="1:28" ht="45" x14ac:dyDescent="0.25">
      <c r="A69" s="5" t="s">
        <v>1580</v>
      </c>
      <c r="B69" s="1" t="s">
        <v>6578</v>
      </c>
      <c r="C69" s="1" t="s">
        <v>68</v>
      </c>
      <c r="D69" s="1" t="s">
        <v>6579</v>
      </c>
      <c r="H69" s="1" t="s">
        <v>22</v>
      </c>
      <c r="I69" s="1" t="s">
        <v>22</v>
      </c>
      <c r="J69" s="3">
        <v>45517.686238425929</v>
      </c>
      <c r="K69" s="2" t="s">
        <v>6580</v>
      </c>
      <c r="L69" s="1">
        <v>8</v>
      </c>
      <c r="M69" s="1">
        <v>8</v>
      </c>
      <c r="N69">
        <v>0</v>
      </c>
      <c r="O69" s="3">
        <f>IF(
    R69="Ancien",
    _xlfn.XLOOKUP(
        Final_Sans_VGE[[#This Row],[ppn_z]],
        tbl_Historique_Final[ppn_z],
        tbl_Historique_Final[Horodatage],
        ""
    ),
    Horodatage!$A$2
)</f>
        <v>46233.670796365739</v>
      </c>
      <c r="P69" s="1" t="str">
        <f>IFERROR(IF(tbl_Historique_Final[[#This Row],[Commentaires]]&lt;&gt;"",tbl_Historique_Final[[#This Row],[Commentaires]],""),"")</f>
        <v/>
      </c>
      <c r="R69"/>
      <c r="X69" s="8" t="str">
        <f>IF(Final_Sans_VGE[[#This Row],[ppn_z]]="","",IFERROR(
   IF(_xlfn.XLOOKUP(Final_Sans_VGE[[#This Row],[ppn_z]],tbl_Historique_Final[ppn_z],tbl_Historique_Final[date_modif])=Final_Sans_VGE[[#This Row],[date_modif]],
      "Ancien",
      "Modifié"),
   "Nouveau"))</f>
        <v>Ancien</v>
      </c>
      <c r="AB69" s="1"/>
    </row>
    <row r="70" spans="1:28" x14ac:dyDescent="0.25">
      <c r="A70" s="5" t="s">
        <v>272</v>
      </c>
      <c r="B70" s="1" t="s">
        <v>6443</v>
      </c>
      <c r="C70" s="1" t="s">
        <v>6444</v>
      </c>
      <c r="E70" s="1" t="s">
        <v>30</v>
      </c>
      <c r="G70" s="1" t="s">
        <v>10</v>
      </c>
      <c r="J70" s="3">
        <v>44444.141296296293</v>
      </c>
      <c r="K70" s="2" t="s">
        <v>6445</v>
      </c>
      <c r="L70" s="1">
        <v>5</v>
      </c>
      <c r="M70" s="1">
        <v>5</v>
      </c>
      <c r="N70">
        <v>0</v>
      </c>
      <c r="O70" s="3">
        <f>IF(
    R70="Ancien",
    _xlfn.XLOOKUP(
        Final_Sans_VGE[[#This Row],[ppn_z]],
        tbl_Historique_Final[ppn_z],
        tbl_Historique_Final[Horodatage],
        ""
    ),
    Horodatage!$A$2
)</f>
        <v>46233.670796365739</v>
      </c>
      <c r="P70" s="1" t="str">
        <f>IFERROR(IF(tbl_Historique_Final[[#This Row],[Commentaires]]&lt;&gt;"",tbl_Historique_Final[[#This Row],[Commentaires]],""),"")</f>
        <v/>
      </c>
      <c r="R70"/>
      <c r="X70" s="8" t="str">
        <f>IF(Final_Sans_VGE[[#This Row],[ppn_z]]="","",IFERROR(
   IF(_xlfn.XLOOKUP(Final_Sans_VGE[[#This Row],[ppn_z]],tbl_Historique_Final[ppn_z],tbl_Historique_Final[date_modif])=Final_Sans_VGE[[#This Row],[date_modif]],
      "Ancien",
      "Modifié"),
   "Nouveau"))</f>
        <v>Ancien</v>
      </c>
      <c r="AB70" s="1"/>
    </row>
    <row r="71" spans="1:28" x14ac:dyDescent="0.25">
      <c r="A71" s="5" t="s">
        <v>275</v>
      </c>
      <c r="B71" s="1" t="s">
        <v>6451</v>
      </c>
      <c r="C71" s="1" t="s">
        <v>12</v>
      </c>
      <c r="G71" s="1" t="s">
        <v>11</v>
      </c>
      <c r="J71" s="3">
        <v>44444.141273148147</v>
      </c>
      <c r="K71" s="2" t="s">
        <v>6413</v>
      </c>
      <c r="L71" s="1">
        <v>1</v>
      </c>
      <c r="M71" s="1">
        <v>1</v>
      </c>
      <c r="N71">
        <v>0</v>
      </c>
      <c r="O71" s="3">
        <f>IF(
    R71="Ancien",
    _xlfn.XLOOKUP(
        Final_Sans_VGE[[#This Row],[ppn_z]],
        tbl_Historique_Final[ppn_z],
        tbl_Historique_Final[Horodatage],
        ""
    ),
    Horodatage!$A$2
)</f>
        <v>46233.670796365739</v>
      </c>
      <c r="P71" s="1" t="str">
        <f>IFERROR(IF(tbl_Historique_Final[[#This Row],[Commentaires]]&lt;&gt;"",tbl_Historique_Final[[#This Row],[Commentaires]],""),"")</f>
        <v/>
      </c>
      <c r="R71"/>
      <c r="X71" s="8" t="str">
        <f>IF(Final_Sans_VGE[[#This Row],[ppn_z]]="","",IFERROR(
   IF(_xlfn.XLOOKUP(Final_Sans_VGE[[#This Row],[ppn_z]],tbl_Historique_Final[ppn_z],tbl_Historique_Final[date_modif])=Final_Sans_VGE[[#This Row],[date_modif]],
      "Ancien",
      "Modifié"),
   "Nouveau"))</f>
        <v>Ancien</v>
      </c>
      <c r="AB71" s="1"/>
    </row>
    <row r="72" spans="1:28" ht="60" x14ac:dyDescent="0.25">
      <c r="A72" s="5" t="s">
        <v>278</v>
      </c>
      <c r="B72" s="1" t="s">
        <v>6452</v>
      </c>
      <c r="G72" s="1" t="s">
        <v>10</v>
      </c>
      <c r="J72" s="3">
        <v>45135.451689814814</v>
      </c>
      <c r="K72" s="2" t="s">
        <v>6453</v>
      </c>
      <c r="L72" s="1">
        <v>5</v>
      </c>
      <c r="M72" s="1">
        <v>7</v>
      </c>
      <c r="N72">
        <v>2</v>
      </c>
      <c r="O72" s="3">
        <f>IF(
    R72="Ancien",
    _xlfn.XLOOKUP(
        Final_Sans_VGE[[#This Row],[ppn_z]],
        tbl_Historique_Final[ppn_z],
        tbl_Historique_Final[Horodatage],
        ""
    ),
    Horodatage!$A$2
)</f>
        <v>46233.670796365739</v>
      </c>
      <c r="P72" s="1" t="str">
        <f>IFERROR(IF(tbl_Historique_Final[[#This Row],[Commentaires]]&lt;&gt;"",tbl_Historique_Final[[#This Row],[Commentaires]],""),"")</f>
        <v/>
      </c>
      <c r="R72"/>
      <c r="X72" s="8" t="str">
        <f>IF(Final_Sans_VGE[[#This Row],[ppn_z]]="","",IFERROR(
   IF(_xlfn.XLOOKUP(Final_Sans_VGE[[#This Row],[ppn_z]],tbl_Historique_Final[ppn_z],tbl_Historique_Final[date_modif])=Final_Sans_VGE[[#This Row],[date_modif]],
      "Ancien",
      "Modifié"),
   "Nouveau"))</f>
        <v>Ancien</v>
      </c>
      <c r="AB72" s="1"/>
    </row>
    <row r="73" spans="1:28" x14ac:dyDescent="0.25">
      <c r="A73" s="5" t="s">
        <v>1706</v>
      </c>
      <c r="B73" s="1" t="s">
        <v>6586</v>
      </c>
      <c r="C73" s="1" t="s">
        <v>12</v>
      </c>
      <c r="G73" s="1" t="s">
        <v>11</v>
      </c>
      <c r="H73" s="1" t="s">
        <v>22</v>
      </c>
      <c r="I73" s="1" t="s">
        <v>22</v>
      </c>
      <c r="J73" s="3">
        <v>45421.49722222222</v>
      </c>
      <c r="K73" s="2" t="s">
        <v>6587</v>
      </c>
      <c r="L73" s="1">
        <v>38</v>
      </c>
      <c r="M73" s="1">
        <v>54</v>
      </c>
      <c r="N73">
        <v>16</v>
      </c>
      <c r="O73" s="3">
        <f>IF(
    R73="Ancien",
    _xlfn.XLOOKUP(
        Final_Sans_VGE[[#This Row],[ppn_z]],
        tbl_Historique_Final[ppn_z],
        tbl_Historique_Final[Horodatage],
        ""
    ),
    Horodatage!$A$2
)</f>
        <v>46233.670796365739</v>
      </c>
      <c r="P73" s="1" t="str">
        <f>IFERROR(IF(tbl_Historique_Final[[#This Row],[Commentaires]]&lt;&gt;"",tbl_Historique_Final[[#This Row],[Commentaires]],""),"")</f>
        <v/>
      </c>
      <c r="R73"/>
      <c r="X73" s="8" t="str">
        <f>IF(Final_Sans_VGE[[#This Row],[ppn_z]]="","",IFERROR(
   IF(_xlfn.XLOOKUP(Final_Sans_VGE[[#This Row],[ppn_z]],tbl_Historique_Final[ppn_z],tbl_Historique_Final[date_modif])=Final_Sans_VGE[[#This Row],[date_modif]],
      "Ancien",
      "Modifié"),
   "Nouveau"))</f>
        <v>Ancien</v>
      </c>
      <c r="AB73" s="1"/>
    </row>
    <row r="74" spans="1:28" x14ac:dyDescent="0.25">
      <c r="A74" s="5" t="s">
        <v>281</v>
      </c>
      <c r="B74" s="1" t="s">
        <v>6457</v>
      </c>
      <c r="C74" s="1" t="s">
        <v>37</v>
      </c>
      <c r="E74" s="1" t="s">
        <v>38</v>
      </c>
      <c r="G74" s="1" t="s">
        <v>10</v>
      </c>
      <c r="J74" s="3">
        <v>44538.696886574071</v>
      </c>
      <c r="K74" s="2" t="s">
        <v>6458</v>
      </c>
      <c r="L74" s="1">
        <v>5</v>
      </c>
      <c r="M74" s="1">
        <v>5</v>
      </c>
      <c r="N74">
        <v>0</v>
      </c>
      <c r="O74" s="3">
        <f>IF(
    R74="Ancien",
    _xlfn.XLOOKUP(
        Final_Sans_VGE[[#This Row],[ppn_z]],
        tbl_Historique_Final[ppn_z],
        tbl_Historique_Final[Horodatage],
        ""
    ),
    Horodatage!$A$2
)</f>
        <v>46233.670796365739</v>
      </c>
      <c r="P74" s="1" t="str">
        <f>IFERROR(IF(tbl_Historique_Final[[#This Row],[Commentaires]]&lt;&gt;"",tbl_Historique_Final[[#This Row],[Commentaires]],""),"")</f>
        <v/>
      </c>
      <c r="R74"/>
      <c r="X74" s="8" t="str">
        <f>IF(Final_Sans_VGE[[#This Row],[ppn_z]]="","",IFERROR(
   IF(_xlfn.XLOOKUP(Final_Sans_VGE[[#This Row],[ppn_z]],tbl_Historique_Final[ppn_z],tbl_Historique_Final[date_modif])=Final_Sans_VGE[[#This Row],[date_modif]],
      "Ancien",
      "Modifié"),
   "Nouveau"))</f>
        <v>Ancien</v>
      </c>
      <c r="AB74" s="1"/>
    </row>
    <row r="75" spans="1:28" ht="75" x14ac:dyDescent="0.25">
      <c r="A75" s="5" t="s">
        <v>284</v>
      </c>
      <c r="B75" s="1" t="s">
        <v>6459</v>
      </c>
      <c r="C75" s="1" t="s">
        <v>12</v>
      </c>
      <c r="G75" s="1" t="s">
        <v>10</v>
      </c>
      <c r="J75" s="3">
        <v>44444.169247685182</v>
      </c>
      <c r="K75" s="2" t="s">
        <v>6460</v>
      </c>
      <c r="L75" s="1">
        <v>1</v>
      </c>
      <c r="M75" s="1">
        <v>1</v>
      </c>
      <c r="N75">
        <v>0</v>
      </c>
      <c r="O75" s="3">
        <f>IF(
    R75="Ancien",
    _xlfn.XLOOKUP(
        Final_Sans_VGE[[#This Row],[ppn_z]],
        tbl_Historique_Final[ppn_z],
        tbl_Historique_Final[Horodatage],
        ""
    ),
    Horodatage!$A$2
)</f>
        <v>46233.670796365739</v>
      </c>
      <c r="P75" s="1" t="str">
        <f>IFERROR(IF(tbl_Historique_Final[[#This Row],[Commentaires]]&lt;&gt;"",tbl_Historique_Final[[#This Row],[Commentaires]],""),"")</f>
        <v/>
      </c>
      <c r="R75"/>
      <c r="X75" s="8" t="str">
        <f>IF(Final_Sans_VGE[[#This Row],[ppn_z]]="","",IFERROR(
   IF(_xlfn.XLOOKUP(Final_Sans_VGE[[#This Row],[ppn_z]],tbl_Historique_Final[ppn_z],tbl_Historique_Final[date_modif])=Final_Sans_VGE[[#This Row],[date_modif]],
      "Ancien",
      "Modifié"),
   "Nouveau"))</f>
        <v>Ancien</v>
      </c>
      <c r="AB75" s="1"/>
    </row>
    <row r="76" spans="1:28" x14ac:dyDescent="0.25">
      <c r="A76" s="5" t="s">
        <v>1574</v>
      </c>
      <c r="B76" s="1" t="s">
        <v>6591</v>
      </c>
      <c r="C76" s="1" t="s">
        <v>136</v>
      </c>
      <c r="D76" s="1" t="s">
        <v>14</v>
      </c>
      <c r="E76" s="1" t="s">
        <v>6473</v>
      </c>
      <c r="F76" s="1" t="s">
        <v>14</v>
      </c>
      <c r="G76" s="1" t="s">
        <v>10</v>
      </c>
      <c r="H76" s="1" t="s">
        <v>22</v>
      </c>
      <c r="I76" s="1" t="s">
        <v>22</v>
      </c>
      <c r="J76" s="3">
        <v>45568.445868055554</v>
      </c>
      <c r="K76" s="2" t="s">
        <v>6592</v>
      </c>
      <c r="L76" s="1">
        <v>2</v>
      </c>
      <c r="M76" s="1">
        <v>2</v>
      </c>
      <c r="N76">
        <v>0</v>
      </c>
      <c r="O76" s="3">
        <f>IF(
    R76="Ancien",
    _xlfn.XLOOKUP(
        Final_Sans_VGE[[#This Row],[ppn_z]],
        tbl_Historique_Final[ppn_z],
        tbl_Historique_Final[Horodatage],
        ""
    ),
    Horodatage!$A$2
)</f>
        <v>46233.670796365739</v>
      </c>
      <c r="P76" s="1" t="str">
        <f>IFERROR(IF(tbl_Historique_Final[[#This Row],[Commentaires]]&lt;&gt;"",tbl_Historique_Final[[#This Row],[Commentaires]],""),"")</f>
        <v/>
      </c>
      <c r="R76"/>
      <c r="X76" s="8" t="str">
        <f>IF(Final_Sans_VGE[[#This Row],[ppn_z]]="","",IFERROR(
   IF(_xlfn.XLOOKUP(Final_Sans_VGE[[#This Row],[ppn_z]],tbl_Historique_Final[ppn_z],tbl_Historique_Final[date_modif])=Final_Sans_VGE[[#This Row],[date_modif]],
      "Ancien",
      "Modifié"),
   "Nouveau"))</f>
        <v>Ancien</v>
      </c>
      <c r="AB76" s="1"/>
    </row>
    <row r="77" spans="1:28" x14ac:dyDescent="0.25">
      <c r="A77" s="5" t="s">
        <v>287</v>
      </c>
      <c r="B77" s="1" t="s">
        <v>6464</v>
      </c>
      <c r="C77" s="1" t="s">
        <v>39</v>
      </c>
      <c r="G77" s="1" t="s">
        <v>11</v>
      </c>
      <c r="J77" s="3">
        <v>44862.481458333335</v>
      </c>
      <c r="K77" s="2" t="s">
        <v>6465</v>
      </c>
      <c r="L77" s="1">
        <v>3</v>
      </c>
      <c r="M77" s="1">
        <v>9</v>
      </c>
      <c r="N77">
        <v>6</v>
      </c>
      <c r="O77" s="3">
        <f>IF(
    R77="Ancien",
    _xlfn.XLOOKUP(
        Final_Sans_VGE[[#This Row],[ppn_z]],
        tbl_Historique_Final[ppn_z],
        tbl_Historique_Final[Horodatage],
        ""
    ),
    Horodatage!$A$2
)</f>
        <v>46233.670796365739</v>
      </c>
      <c r="P77" s="1" t="str">
        <f>IFERROR(IF(tbl_Historique_Final[[#This Row],[Commentaires]]&lt;&gt;"",tbl_Historique_Final[[#This Row],[Commentaires]],""),"")</f>
        <v/>
      </c>
      <c r="R77"/>
      <c r="X77" s="8" t="str">
        <f>IF(Final_Sans_VGE[[#This Row],[ppn_z]]="","",IFERROR(
   IF(_xlfn.XLOOKUP(Final_Sans_VGE[[#This Row],[ppn_z]],tbl_Historique_Final[ppn_z],tbl_Historique_Final[date_modif])=Final_Sans_VGE[[#This Row],[date_modif]],
      "Ancien",
      "Modifié"),
   "Nouveau"))</f>
        <v>Ancien</v>
      </c>
      <c r="AB77" s="1"/>
    </row>
    <row r="78" spans="1:28" x14ac:dyDescent="0.25">
      <c r="A78" s="5" t="s">
        <v>290</v>
      </c>
      <c r="B78" s="1" t="s">
        <v>6466</v>
      </c>
      <c r="C78" s="1" t="s">
        <v>40</v>
      </c>
      <c r="G78" s="1" t="s">
        <v>10</v>
      </c>
      <c r="J78" s="3">
        <v>45154.707951388889</v>
      </c>
      <c r="K78" s="2" t="s">
        <v>6467</v>
      </c>
      <c r="L78" s="1">
        <v>7</v>
      </c>
      <c r="M78" s="1">
        <v>15</v>
      </c>
      <c r="N78">
        <v>8</v>
      </c>
      <c r="O78" s="3">
        <f>IF(
    R78="Ancien",
    _xlfn.XLOOKUP(
        Final_Sans_VGE[[#This Row],[ppn_z]],
        tbl_Historique_Final[ppn_z],
        tbl_Historique_Final[Horodatage],
        ""
    ),
    Horodatage!$A$2
)</f>
        <v>46233.670796365739</v>
      </c>
      <c r="P78" s="1" t="str">
        <f>IFERROR(IF(tbl_Historique_Final[[#This Row],[Commentaires]]&lt;&gt;"",tbl_Historique_Final[[#This Row],[Commentaires]],""),"")</f>
        <v/>
      </c>
      <c r="R78"/>
      <c r="X78" s="8" t="str">
        <f>IF(Final_Sans_VGE[[#This Row],[ppn_z]]="","",IFERROR(
   IF(_xlfn.XLOOKUP(Final_Sans_VGE[[#This Row],[ppn_z]],tbl_Historique_Final[ppn_z],tbl_Historique_Final[date_modif])=Final_Sans_VGE[[#This Row],[date_modif]],
      "Ancien",
      "Modifié"),
   "Nouveau"))</f>
        <v>Ancien</v>
      </c>
      <c r="AB78" s="1"/>
    </row>
    <row r="79" spans="1:28" ht="30" x14ac:dyDescent="0.25">
      <c r="A79" s="5" t="s">
        <v>1676</v>
      </c>
      <c r="B79" s="1" t="s">
        <v>6600</v>
      </c>
      <c r="C79" s="1" t="s">
        <v>77</v>
      </c>
      <c r="G79" s="1" t="s">
        <v>10</v>
      </c>
      <c r="H79" s="1" t="s">
        <v>22</v>
      </c>
      <c r="I79" s="1" t="s">
        <v>22</v>
      </c>
      <c r="J79" s="3">
        <v>45525.585717592592</v>
      </c>
      <c r="K79" s="2" t="s">
        <v>6601</v>
      </c>
      <c r="L79" s="1">
        <v>2</v>
      </c>
      <c r="M79" s="1">
        <v>2</v>
      </c>
      <c r="N79">
        <v>0</v>
      </c>
      <c r="O79" s="3">
        <f>IF(
    R79="Ancien",
    _xlfn.XLOOKUP(
        Final_Sans_VGE[[#This Row],[ppn_z]],
        tbl_Historique_Final[ppn_z],
        tbl_Historique_Final[Horodatage],
        ""
    ),
    Horodatage!$A$2
)</f>
        <v>46233.670796365739</v>
      </c>
      <c r="P79" s="1" t="str">
        <f>IFERROR(IF(tbl_Historique_Final[[#This Row],[Commentaires]]&lt;&gt;"",tbl_Historique_Final[[#This Row],[Commentaires]],""),"")</f>
        <v/>
      </c>
      <c r="R79"/>
      <c r="X79" s="8" t="str">
        <f>IF(Final_Sans_VGE[[#This Row],[ppn_z]]="","",IFERROR(
   IF(_xlfn.XLOOKUP(Final_Sans_VGE[[#This Row],[ppn_z]],tbl_Historique_Final[ppn_z],tbl_Historique_Final[date_modif])=Final_Sans_VGE[[#This Row],[date_modif]],
      "Ancien",
      "Modifié"),
   "Nouveau"))</f>
        <v>Ancien</v>
      </c>
      <c r="AB79" s="1"/>
    </row>
    <row r="80" spans="1:28" x14ac:dyDescent="0.25">
      <c r="A80" s="5" t="s">
        <v>293</v>
      </c>
      <c r="B80" s="1" t="s">
        <v>6470</v>
      </c>
      <c r="C80" s="1" t="s">
        <v>12</v>
      </c>
      <c r="G80" s="1" t="s">
        <v>10</v>
      </c>
      <c r="J80" s="3">
        <v>45357.299733796295</v>
      </c>
      <c r="K80" s="2" t="s">
        <v>6471</v>
      </c>
      <c r="L80" s="1">
        <v>1</v>
      </c>
      <c r="M80" s="1">
        <v>1</v>
      </c>
      <c r="N80">
        <v>0</v>
      </c>
      <c r="O80" s="3">
        <f>IF(
    R80="Ancien",
    _xlfn.XLOOKUP(
        Final_Sans_VGE[[#This Row],[ppn_z]],
        tbl_Historique_Final[ppn_z],
        tbl_Historique_Final[Horodatage],
        ""
    ),
    Horodatage!$A$2
)</f>
        <v>46233.670796365739</v>
      </c>
      <c r="P80" s="1" t="str">
        <f>IFERROR(IF(tbl_Historique_Final[[#This Row],[Commentaires]]&lt;&gt;"",tbl_Historique_Final[[#This Row],[Commentaires]],""),"")</f>
        <v/>
      </c>
      <c r="R80"/>
      <c r="X80" s="8" t="str">
        <f>IF(Final_Sans_VGE[[#This Row],[ppn_z]]="","",IFERROR(
   IF(_xlfn.XLOOKUP(Final_Sans_VGE[[#This Row],[ppn_z]],tbl_Historique_Final[ppn_z],tbl_Historique_Final[date_modif])=Final_Sans_VGE[[#This Row],[date_modif]],
      "Ancien",
      "Modifié"),
   "Nouveau"))</f>
        <v>Ancien</v>
      </c>
      <c r="AB80" s="1"/>
    </row>
    <row r="81" spans="1:28" ht="60" x14ac:dyDescent="0.25">
      <c r="A81" s="5" t="s">
        <v>296</v>
      </c>
      <c r="B81" s="1" t="s">
        <v>6472</v>
      </c>
      <c r="C81" s="1" t="s">
        <v>6473</v>
      </c>
      <c r="E81" s="1" t="s">
        <v>148</v>
      </c>
      <c r="G81" s="1" t="s">
        <v>10</v>
      </c>
      <c r="J81" s="3">
        <v>45030.441111111111</v>
      </c>
      <c r="K81" s="2" t="s">
        <v>6474</v>
      </c>
      <c r="L81" s="1">
        <v>1</v>
      </c>
      <c r="M81" s="1">
        <v>1</v>
      </c>
      <c r="N81">
        <v>0</v>
      </c>
      <c r="O81" s="3">
        <f>IF(
    R81="Ancien",
    _xlfn.XLOOKUP(
        Final_Sans_VGE[[#This Row],[ppn_z]],
        tbl_Historique_Final[ppn_z],
        tbl_Historique_Final[Horodatage],
        ""
    ),
    Horodatage!$A$2
)</f>
        <v>46233.670796365739</v>
      </c>
      <c r="P81" s="1" t="str">
        <f>IFERROR(IF(tbl_Historique_Final[[#This Row],[Commentaires]]&lt;&gt;"",tbl_Historique_Final[[#This Row],[Commentaires]],""),"")</f>
        <v/>
      </c>
      <c r="R81"/>
      <c r="X81" s="8" t="str">
        <f>IF(Final_Sans_VGE[[#This Row],[ppn_z]]="","",IFERROR(
   IF(_xlfn.XLOOKUP(Final_Sans_VGE[[#This Row],[ppn_z]],tbl_Historique_Final[ppn_z],tbl_Historique_Final[date_modif])=Final_Sans_VGE[[#This Row],[date_modif]],
      "Ancien",
      "Modifié"),
   "Nouveau"))</f>
        <v>Ancien</v>
      </c>
      <c r="AB81" s="1"/>
    </row>
    <row r="82" spans="1:28" ht="30" x14ac:dyDescent="0.25">
      <c r="A82" s="5" t="s">
        <v>299</v>
      </c>
      <c r="B82" s="1" t="s">
        <v>6477</v>
      </c>
      <c r="C82" s="1" t="s">
        <v>6447</v>
      </c>
      <c r="G82" s="1" t="s">
        <v>11</v>
      </c>
      <c r="J82" s="3">
        <v>45357.012395833335</v>
      </c>
      <c r="K82" s="2" t="s">
        <v>6478</v>
      </c>
      <c r="L82" s="1">
        <v>1</v>
      </c>
      <c r="M82" s="1">
        <v>1</v>
      </c>
      <c r="N82">
        <v>0</v>
      </c>
      <c r="O82" s="3">
        <f>IF(
    R82="Ancien",
    _xlfn.XLOOKUP(
        Final_Sans_VGE[[#This Row],[ppn_z]],
        tbl_Historique_Final[ppn_z],
        tbl_Historique_Final[Horodatage],
        ""
    ),
    Horodatage!$A$2
)</f>
        <v>46233.670796365739</v>
      </c>
      <c r="P82" s="1" t="str">
        <f>IFERROR(IF(tbl_Historique_Final[[#This Row],[Commentaires]]&lt;&gt;"",tbl_Historique_Final[[#This Row],[Commentaires]],""),"")</f>
        <v/>
      </c>
      <c r="R82"/>
      <c r="X82" s="8" t="str">
        <f>IF(Final_Sans_VGE[[#This Row],[ppn_z]]="","",IFERROR(
   IF(_xlfn.XLOOKUP(Final_Sans_VGE[[#This Row],[ppn_z]],tbl_Historique_Final[ppn_z],tbl_Historique_Final[date_modif])=Final_Sans_VGE[[#This Row],[date_modif]],
      "Ancien",
      "Modifié"),
   "Nouveau"))</f>
        <v>Ancien</v>
      </c>
      <c r="AB82" s="1"/>
    </row>
    <row r="83" spans="1:28" x14ac:dyDescent="0.25">
      <c r="A83" s="5" t="s">
        <v>305</v>
      </c>
      <c r="B83" s="1" t="s">
        <v>6481</v>
      </c>
      <c r="C83" s="1" t="s">
        <v>6482</v>
      </c>
      <c r="G83" s="1" t="s">
        <v>11</v>
      </c>
      <c r="J83" s="3">
        <v>45357.68990740741</v>
      </c>
      <c r="K83" s="2" t="s">
        <v>6483</v>
      </c>
      <c r="L83" s="1">
        <v>2</v>
      </c>
      <c r="M83" s="1">
        <v>3</v>
      </c>
      <c r="N83">
        <v>1</v>
      </c>
      <c r="O83" s="3">
        <f>IF(
    R83="Ancien",
    _xlfn.XLOOKUP(
        Final_Sans_VGE[[#This Row],[ppn_z]],
        tbl_Historique_Final[ppn_z],
        tbl_Historique_Final[Horodatage],
        ""
    ),
    Horodatage!$A$2
)</f>
        <v>46233.670796365739</v>
      </c>
      <c r="P83" s="1" t="str">
        <f>IFERROR(IF(tbl_Historique_Final[[#This Row],[Commentaires]]&lt;&gt;"",tbl_Historique_Final[[#This Row],[Commentaires]],""),"")</f>
        <v/>
      </c>
      <c r="R83"/>
      <c r="X83" s="8" t="str">
        <f>IF(Final_Sans_VGE[[#This Row],[ppn_z]]="","",IFERROR(
   IF(_xlfn.XLOOKUP(Final_Sans_VGE[[#This Row],[ppn_z]],tbl_Historique_Final[ppn_z],tbl_Historique_Final[date_modif])=Final_Sans_VGE[[#This Row],[date_modif]],
      "Ancien",
      "Modifié"),
   "Nouveau"))</f>
        <v>Ancien</v>
      </c>
      <c r="AB83" s="1"/>
    </row>
    <row r="84" spans="1:28" x14ac:dyDescent="0.25">
      <c r="A84" s="5" t="s">
        <v>308</v>
      </c>
      <c r="B84" s="1" t="s">
        <v>6484</v>
      </c>
      <c r="C84" s="1" t="s">
        <v>12</v>
      </c>
      <c r="J84" s="3">
        <v>45002.486446759256</v>
      </c>
      <c r="L84" s="1">
        <v>1</v>
      </c>
      <c r="M84" s="1">
        <v>1</v>
      </c>
      <c r="N84">
        <v>0</v>
      </c>
      <c r="O84" s="3">
        <f>IF(
    R84="Ancien",
    _xlfn.XLOOKUP(
        Final_Sans_VGE[[#This Row],[ppn_z]],
        tbl_Historique_Final[ppn_z],
        tbl_Historique_Final[Horodatage],
        ""
    ),
    Horodatage!$A$2
)</f>
        <v>46233.670796365739</v>
      </c>
      <c r="P84" s="1" t="str">
        <f>IFERROR(IF(tbl_Historique_Final[[#This Row],[Commentaires]]&lt;&gt;"",tbl_Historique_Final[[#This Row],[Commentaires]],""),"")</f>
        <v/>
      </c>
      <c r="R84"/>
      <c r="X84" s="8" t="str">
        <f>IF(Final_Sans_VGE[[#This Row],[ppn_z]]="","",IFERROR(
   IF(_xlfn.XLOOKUP(Final_Sans_VGE[[#This Row],[ppn_z]],tbl_Historique_Final[ppn_z],tbl_Historique_Final[date_modif])=Final_Sans_VGE[[#This Row],[date_modif]],
      "Ancien",
      "Modifié"),
   "Nouveau"))</f>
        <v>Ancien</v>
      </c>
      <c r="AB84" s="1"/>
    </row>
    <row r="85" spans="1:28" x14ac:dyDescent="0.25">
      <c r="A85" s="5" t="s">
        <v>311</v>
      </c>
      <c r="B85" s="1" t="s">
        <v>6487</v>
      </c>
      <c r="C85" s="1" t="s">
        <v>12</v>
      </c>
      <c r="G85" s="1" t="s">
        <v>11</v>
      </c>
      <c r="J85" s="3">
        <v>45358.396793981483</v>
      </c>
      <c r="K85" s="2" t="s">
        <v>6488</v>
      </c>
      <c r="L85" s="1">
        <v>1</v>
      </c>
      <c r="M85" s="1">
        <v>1</v>
      </c>
      <c r="N85">
        <v>0</v>
      </c>
      <c r="O85" s="3">
        <f>IF(
    R85="Ancien",
    _xlfn.XLOOKUP(
        Final_Sans_VGE[[#This Row],[ppn_z]],
        tbl_Historique_Final[ppn_z],
        tbl_Historique_Final[Horodatage],
        ""
    ),
    Horodatage!$A$2
)</f>
        <v>46233.670796365739</v>
      </c>
      <c r="P85" s="1" t="str">
        <f>IFERROR(IF(tbl_Historique_Final[[#This Row],[Commentaires]]&lt;&gt;"",tbl_Historique_Final[[#This Row],[Commentaires]],""),"")</f>
        <v/>
      </c>
      <c r="R85"/>
      <c r="X85" s="8" t="str">
        <f>IF(Final_Sans_VGE[[#This Row],[ppn_z]]="","",IFERROR(
   IF(_xlfn.XLOOKUP(Final_Sans_VGE[[#This Row],[ppn_z]],tbl_Historique_Final[ppn_z],tbl_Historique_Final[date_modif])=Final_Sans_VGE[[#This Row],[date_modif]],
      "Ancien",
      "Modifié"),
   "Nouveau"))</f>
        <v>Ancien</v>
      </c>
      <c r="AB85" s="1"/>
    </row>
    <row r="86" spans="1:28" x14ac:dyDescent="0.25">
      <c r="A86" s="5" t="s">
        <v>314</v>
      </c>
      <c r="B86" s="1" t="s">
        <v>6489</v>
      </c>
      <c r="C86" s="1" t="s">
        <v>77</v>
      </c>
      <c r="G86" s="1" t="s">
        <v>11</v>
      </c>
      <c r="J86" s="3">
        <v>45359.316180555557</v>
      </c>
      <c r="K86" s="2" t="s">
        <v>6490</v>
      </c>
      <c r="L86" s="1">
        <v>1</v>
      </c>
      <c r="M86" s="1">
        <v>1</v>
      </c>
      <c r="N86">
        <v>0</v>
      </c>
      <c r="O86" s="3">
        <f>IF(
    R86="Ancien",
    _xlfn.XLOOKUP(
        Final_Sans_VGE[[#This Row],[ppn_z]],
        tbl_Historique_Final[ppn_z],
        tbl_Historique_Final[Horodatage],
        ""
    ),
    Horodatage!$A$2
)</f>
        <v>46233.670796365739</v>
      </c>
      <c r="P86" s="1" t="str">
        <f>IFERROR(IF(tbl_Historique_Final[[#This Row],[Commentaires]]&lt;&gt;"",tbl_Historique_Final[[#This Row],[Commentaires]],""),"")</f>
        <v/>
      </c>
      <c r="R86"/>
      <c r="X86" s="8" t="str">
        <f>IF(Final_Sans_VGE[[#This Row],[ppn_z]]="","",IFERROR(
   IF(_xlfn.XLOOKUP(Final_Sans_VGE[[#This Row],[ppn_z]],tbl_Historique_Final[ppn_z],tbl_Historique_Final[date_modif])=Final_Sans_VGE[[#This Row],[date_modif]],
      "Ancien",
      "Modifié"),
   "Nouveau"))</f>
        <v>Ancien</v>
      </c>
      <c r="AB86" s="1"/>
    </row>
    <row r="87" spans="1:28" x14ac:dyDescent="0.25">
      <c r="A87" s="5" t="s">
        <v>317</v>
      </c>
      <c r="B87" s="1" t="s">
        <v>6493</v>
      </c>
      <c r="C87" s="1" t="s">
        <v>41</v>
      </c>
      <c r="E87" s="1" t="s">
        <v>42</v>
      </c>
      <c r="G87" s="1" t="s">
        <v>10</v>
      </c>
      <c r="J87" s="3">
        <v>45019.614606481482</v>
      </c>
      <c r="K87" s="2" t="s">
        <v>6494</v>
      </c>
      <c r="L87" s="1">
        <v>3</v>
      </c>
      <c r="M87" s="1">
        <v>3</v>
      </c>
      <c r="N87">
        <v>0</v>
      </c>
      <c r="O87" s="3">
        <f>IF(
    R87="Ancien",
    _xlfn.XLOOKUP(
        Final_Sans_VGE[[#This Row],[ppn_z]],
        tbl_Historique_Final[ppn_z],
        tbl_Historique_Final[Horodatage],
        ""
    ),
    Horodatage!$A$2
)</f>
        <v>46233.670796365739</v>
      </c>
      <c r="P87" s="1" t="str">
        <f>IFERROR(IF(tbl_Historique_Final[[#This Row],[Commentaires]]&lt;&gt;"",tbl_Historique_Final[[#This Row],[Commentaires]],""),"")</f>
        <v/>
      </c>
      <c r="R87"/>
      <c r="X87" s="8" t="str">
        <f>IF(Final_Sans_VGE[[#This Row],[ppn_z]]="","",IFERROR(
   IF(_xlfn.XLOOKUP(Final_Sans_VGE[[#This Row],[ppn_z]],tbl_Historique_Final[ppn_z],tbl_Historique_Final[date_modif])=Final_Sans_VGE[[#This Row],[date_modif]],
      "Ancien",
      "Modifié"),
   "Nouveau"))</f>
        <v>Ancien</v>
      </c>
      <c r="AB87" s="1"/>
    </row>
    <row r="88" spans="1:28" ht="30" x14ac:dyDescent="0.25">
      <c r="A88" s="5" t="s">
        <v>320</v>
      </c>
      <c r="B88" s="1" t="s">
        <v>6497</v>
      </c>
      <c r="C88" s="1" t="s">
        <v>51</v>
      </c>
      <c r="G88" s="1" t="s">
        <v>10</v>
      </c>
      <c r="J88" s="3">
        <v>44444.110821759263</v>
      </c>
      <c r="K88" s="2" t="s">
        <v>6498</v>
      </c>
      <c r="L88" s="1">
        <v>1</v>
      </c>
      <c r="M88" s="1">
        <v>1</v>
      </c>
      <c r="N88">
        <v>0</v>
      </c>
      <c r="O88" s="3">
        <f>IF(
    R88="Ancien",
    _xlfn.XLOOKUP(
        Final_Sans_VGE[[#This Row],[ppn_z]],
        tbl_Historique_Final[ppn_z],
        tbl_Historique_Final[Horodatage],
        ""
    ),
    Horodatage!$A$2
)</f>
        <v>46233.670796365739</v>
      </c>
      <c r="P88" s="1" t="str">
        <f>IFERROR(IF(tbl_Historique_Final[[#This Row],[Commentaires]]&lt;&gt;"",tbl_Historique_Final[[#This Row],[Commentaires]],""),"")</f>
        <v/>
      </c>
      <c r="R88"/>
      <c r="X88" s="8" t="str">
        <f>IF(Final_Sans_VGE[[#This Row],[ppn_z]]="","",IFERROR(
   IF(_xlfn.XLOOKUP(Final_Sans_VGE[[#This Row],[ppn_z]],tbl_Historique_Final[ppn_z],tbl_Historique_Final[date_modif])=Final_Sans_VGE[[#This Row],[date_modif]],
      "Ancien",
      "Modifié"),
   "Nouveau"))</f>
        <v>Ancien</v>
      </c>
      <c r="AB88" s="1"/>
    </row>
    <row r="89" spans="1:28" x14ac:dyDescent="0.25">
      <c r="A89" s="5" t="s">
        <v>323</v>
      </c>
      <c r="B89" s="1" t="s">
        <v>6499</v>
      </c>
      <c r="C89" s="1" t="s">
        <v>132</v>
      </c>
      <c r="E89" s="1" t="s">
        <v>44</v>
      </c>
      <c r="G89" s="1" t="s">
        <v>10</v>
      </c>
      <c r="J89" s="3">
        <v>45036.475439814814</v>
      </c>
      <c r="K89" s="2" t="s">
        <v>6500</v>
      </c>
      <c r="L89" s="1">
        <v>2</v>
      </c>
      <c r="M89" s="1">
        <v>2</v>
      </c>
      <c r="N89">
        <v>0</v>
      </c>
      <c r="O89" s="3">
        <f>IF(
    R89="Ancien",
    _xlfn.XLOOKUP(
        Final_Sans_VGE[[#This Row],[ppn_z]],
        tbl_Historique_Final[ppn_z],
        tbl_Historique_Final[Horodatage],
        ""
    ),
    Horodatage!$A$2
)</f>
        <v>46233.670796365739</v>
      </c>
      <c r="P89" s="1" t="str">
        <f>IFERROR(IF(tbl_Historique_Final[[#This Row],[Commentaires]]&lt;&gt;"",tbl_Historique_Final[[#This Row],[Commentaires]],""),"")</f>
        <v/>
      </c>
      <c r="R89"/>
      <c r="X89" s="8" t="str">
        <f>IF(Final_Sans_VGE[[#This Row],[ppn_z]]="","",IFERROR(
   IF(_xlfn.XLOOKUP(Final_Sans_VGE[[#This Row],[ppn_z]],tbl_Historique_Final[ppn_z],tbl_Historique_Final[date_modif])=Final_Sans_VGE[[#This Row],[date_modif]],
      "Ancien",
      "Modifié"),
   "Nouveau"))</f>
        <v>Ancien</v>
      </c>
      <c r="AB89" s="1"/>
    </row>
    <row r="90" spans="1:28" ht="30" x14ac:dyDescent="0.25">
      <c r="A90" s="5" t="s">
        <v>326</v>
      </c>
      <c r="B90" s="1" t="s">
        <v>6504</v>
      </c>
      <c r="C90" s="1" t="s">
        <v>39</v>
      </c>
      <c r="G90" s="1" t="s">
        <v>11</v>
      </c>
      <c r="J90" s="3">
        <v>45328.540925925925</v>
      </c>
      <c r="K90" s="2" t="s">
        <v>6505</v>
      </c>
      <c r="L90" s="1">
        <v>1</v>
      </c>
      <c r="M90" s="1">
        <v>1</v>
      </c>
      <c r="N90">
        <v>0</v>
      </c>
      <c r="O90" s="3">
        <f>IF(
    R90="Ancien",
    _xlfn.XLOOKUP(
        Final_Sans_VGE[[#This Row],[ppn_z]],
        tbl_Historique_Final[ppn_z],
        tbl_Historique_Final[Horodatage],
        ""
    ),
    Horodatage!$A$2
)</f>
        <v>46233.670796365739</v>
      </c>
      <c r="P90" s="1" t="str">
        <f>IFERROR(IF(tbl_Historique_Final[[#This Row],[Commentaires]]&lt;&gt;"",tbl_Historique_Final[[#This Row],[Commentaires]],""),"")</f>
        <v/>
      </c>
      <c r="R90"/>
      <c r="X90" s="8" t="str">
        <f>IF(Final_Sans_VGE[[#This Row],[ppn_z]]="","",IFERROR(
   IF(_xlfn.XLOOKUP(Final_Sans_VGE[[#This Row],[ppn_z]],tbl_Historique_Final[ppn_z],tbl_Historique_Final[date_modif])=Final_Sans_VGE[[#This Row],[date_modif]],
      "Ancien",
      "Modifié"),
   "Nouveau"))</f>
        <v>Ancien</v>
      </c>
      <c r="AB90" s="1"/>
    </row>
    <row r="91" spans="1:28" ht="45" x14ac:dyDescent="0.25">
      <c r="A91" s="5" t="s">
        <v>332</v>
      </c>
      <c r="B91" s="1" t="s">
        <v>6508</v>
      </c>
      <c r="C91" s="1" t="s">
        <v>70</v>
      </c>
      <c r="G91" s="1" t="s">
        <v>11</v>
      </c>
      <c r="J91" s="3">
        <v>45209.593368055554</v>
      </c>
      <c r="K91" s="2" t="s">
        <v>6509</v>
      </c>
      <c r="L91" s="1">
        <v>2</v>
      </c>
      <c r="M91" s="1">
        <v>2</v>
      </c>
      <c r="N91">
        <v>0</v>
      </c>
      <c r="O91" s="3">
        <f>IF(
    R91="Ancien",
    _xlfn.XLOOKUP(
        Final_Sans_VGE[[#This Row],[ppn_z]],
        tbl_Historique_Final[ppn_z],
        tbl_Historique_Final[Horodatage],
        ""
    ),
    Horodatage!$A$2
)</f>
        <v>46233.670796365739</v>
      </c>
      <c r="P91" s="1" t="str">
        <f>IFERROR(IF(tbl_Historique_Final[[#This Row],[Commentaires]]&lt;&gt;"",tbl_Historique_Final[[#This Row],[Commentaires]],""),"")</f>
        <v/>
      </c>
      <c r="R91"/>
      <c r="X91" s="8" t="str">
        <f>IF(Final_Sans_VGE[[#This Row],[ppn_z]]="","",IFERROR(
   IF(_xlfn.XLOOKUP(Final_Sans_VGE[[#This Row],[ppn_z]],tbl_Historique_Final[ppn_z],tbl_Historique_Final[date_modif])=Final_Sans_VGE[[#This Row],[date_modif]],
      "Ancien",
      "Modifié"),
   "Nouveau"))</f>
        <v>Ancien</v>
      </c>
      <c r="AB91" s="1"/>
    </row>
    <row r="92" spans="1:28" x14ac:dyDescent="0.25">
      <c r="A92" s="5" t="s">
        <v>335</v>
      </c>
      <c r="B92" s="1" t="s">
        <v>6510</v>
      </c>
      <c r="C92" s="1" t="s">
        <v>12</v>
      </c>
      <c r="G92" s="1" t="s">
        <v>10</v>
      </c>
      <c r="J92" s="3">
        <v>44444.22314814815</v>
      </c>
      <c r="K92" s="2" t="s">
        <v>6511</v>
      </c>
      <c r="L92" s="1">
        <v>1</v>
      </c>
      <c r="M92" s="1">
        <v>1</v>
      </c>
      <c r="N92">
        <v>0</v>
      </c>
      <c r="O92" s="3">
        <f>IF(
    R92="Ancien",
    _xlfn.XLOOKUP(
        Final_Sans_VGE[[#This Row],[ppn_z]],
        tbl_Historique_Final[ppn_z],
        tbl_Historique_Final[Horodatage],
        ""
    ),
    Horodatage!$A$2
)</f>
        <v>46233.670796365739</v>
      </c>
      <c r="P92" s="1" t="str">
        <f>IFERROR(IF(tbl_Historique_Final[[#This Row],[Commentaires]]&lt;&gt;"",tbl_Historique_Final[[#This Row],[Commentaires]],""),"")</f>
        <v/>
      </c>
      <c r="R92"/>
      <c r="X92" s="8" t="str">
        <f>IF(Final_Sans_VGE[[#This Row],[ppn_z]]="","",IFERROR(
   IF(_xlfn.XLOOKUP(Final_Sans_VGE[[#This Row],[ppn_z]],tbl_Historique_Final[ppn_z],tbl_Historique_Final[date_modif])=Final_Sans_VGE[[#This Row],[date_modif]],
      "Ancien",
      "Modifié"),
   "Nouveau"))</f>
        <v>Ancien</v>
      </c>
      <c r="AB92" s="1"/>
    </row>
    <row r="93" spans="1:28" x14ac:dyDescent="0.25">
      <c r="A93" s="5" t="s">
        <v>341</v>
      </c>
      <c r="B93" s="1" t="s">
        <v>6514</v>
      </c>
      <c r="C93" s="1" t="s">
        <v>46</v>
      </c>
      <c r="E93" s="1" t="s">
        <v>47</v>
      </c>
      <c r="G93" s="1" t="s">
        <v>11</v>
      </c>
      <c r="J93" s="3">
        <v>45357.58021990741</v>
      </c>
      <c r="K93" s="2" t="s">
        <v>126</v>
      </c>
      <c r="L93" s="1">
        <v>1</v>
      </c>
      <c r="M93" s="1">
        <v>1</v>
      </c>
      <c r="N93">
        <v>0</v>
      </c>
      <c r="O93" s="3">
        <f>IF(
    R93="Ancien",
    _xlfn.XLOOKUP(
        Final_Sans_VGE[[#This Row],[ppn_z]],
        tbl_Historique_Final[ppn_z],
        tbl_Historique_Final[Horodatage],
        ""
    ),
    Horodatage!$A$2
)</f>
        <v>46233.670796365739</v>
      </c>
      <c r="P93" s="1" t="str">
        <f>IFERROR(IF(tbl_Historique_Final[[#This Row],[Commentaires]]&lt;&gt;"",tbl_Historique_Final[[#This Row],[Commentaires]],""),"")</f>
        <v/>
      </c>
      <c r="R93"/>
      <c r="X93" s="8" t="str">
        <f>IF(Final_Sans_VGE[[#This Row],[ppn_z]]="","",IFERROR(
   IF(_xlfn.XLOOKUP(Final_Sans_VGE[[#This Row],[ppn_z]],tbl_Historique_Final[ppn_z],tbl_Historique_Final[date_modif])=Final_Sans_VGE[[#This Row],[date_modif]],
      "Ancien",
      "Modifié"),
   "Nouveau"))</f>
        <v>Ancien</v>
      </c>
      <c r="AB93" s="1"/>
    </row>
    <row r="94" spans="1:28" x14ac:dyDescent="0.25">
      <c r="A94" s="5" t="s">
        <v>344</v>
      </c>
      <c r="B94" s="1" t="s">
        <v>6518</v>
      </c>
      <c r="C94" s="1" t="s">
        <v>65</v>
      </c>
      <c r="G94" s="1" t="s">
        <v>10</v>
      </c>
      <c r="J94" s="3">
        <v>44531.664224537039</v>
      </c>
      <c r="K94" s="2" t="s">
        <v>6519</v>
      </c>
      <c r="L94" s="1">
        <v>2</v>
      </c>
      <c r="M94" s="1">
        <v>2</v>
      </c>
      <c r="N94">
        <v>0</v>
      </c>
      <c r="O94" s="3">
        <f>IF(
    R94="Ancien",
    _xlfn.XLOOKUP(
        Final_Sans_VGE[[#This Row],[ppn_z]],
        tbl_Historique_Final[ppn_z],
        tbl_Historique_Final[Horodatage],
        ""
    ),
    Horodatage!$A$2
)</f>
        <v>46233.670796365739</v>
      </c>
      <c r="P94" s="1" t="str">
        <f>IFERROR(IF(tbl_Historique_Final[[#This Row],[Commentaires]]&lt;&gt;"",tbl_Historique_Final[[#This Row],[Commentaires]],""),"")</f>
        <v/>
      </c>
      <c r="R94"/>
      <c r="X94" s="8" t="str">
        <f>IF(Final_Sans_VGE[[#This Row],[ppn_z]]="","",IFERROR(
   IF(_xlfn.XLOOKUP(Final_Sans_VGE[[#This Row],[ppn_z]],tbl_Historique_Final[ppn_z],tbl_Historique_Final[date_modif])=Final_Sans_VGE[[#This Row],[date_modif]],
      "Ancien",
      "Modifié"),
   "Nouveau"))</f>
        <v>Ancien</v>
      </c>
      <c r="AB94" s="1"/>
    </row>
    <row r="95" spans="1:28" ht="30" x14ac:dyDescent="0.25">
      <c r="A95" s="5" t="s">
        <v>347</v>
      </c>
      <c r="B95" s="1" t="s">
        <v>6524</v>
      </c>
      <c r="C95" s="1" t="s">
        <v>12</v>
      </c>
      <c r="G95" s="1" t="s">
        <v>11</v>
      </c>
      <c r="J95" s="3">
        <v>44444.169166666667</v>
      </c>
      <c r="K95" s="2" t="s">
        <v>6525</v>
      </c>
      <c r="L95" s="1">
        <v>21</v>
      </c>
      <c r="M95" s="1">
        <v>24</v>
      </c>
      <c r="N95">
        <v>3</v>
      </c>
      <c r="O95" s="3">
        <f>IF(
    R95="Ancien",
    _xlfn.XLOOKUP(
        Final_Sans_VGE[[#This Row],[ppn_z]],
        tbl_Historique_Final[ppn_z],
        tbl_Historique_Final[Horodatage],
        ""
    ),
    Horodatage!$A$2
)</f>
        <v>46233.670796365739</v>
      </c>
      <c r="P95" s="1" t="str">
        <f>IFERROR(IF(tbl_Historique_Final[[#This Row],[Commentaires]]&lt;&gt;"",tbl_Historique_Final[[#This Row],[Commentaires]],""),"")</f>
        <v/>
      </c>
      <c r="R95"/>
      <c r="X95" s="8" t="str">
        <f>IF(Final_Sans_VGE[[#This Row],[ppn_z]]="","",IFERROR(
   IF(_xlfn.XLOOKUP(Final_Sans_VGE[[#This Row],[ppn_z]],tbl_Historique_Final[ppn_z],tbl_Historique_Final[date_modif])=Final_Sans_VGE[[#This Row],[date_modif]],
      "Ancien",
      "Modifié"),
   "Nouveau"))</f>
        <v>Ancien</v>
      </c>
      <c r="AB95" s="1"/>
    </row>
    <row r="96" spans="1:28" x14ac:dyDescent="0.25">
      <c r="A96" s="5" t="s">
        <v>350</v>
      </c>
      <c r="B96" s="1" t="s">
        <v>6526</v>
      </c>
      <c r="C96" s="1" t="s">
        <v>6527</v>
      </c>
      <c r="E96" s="1" t="s">
        <v>6528</v>
      </c>
      <c r="G96" s="1" t="s">
        <v>10</v>
      </c>
      <c r="J96" s="3">
        <v>45356.505543981482</v>
      </c>
      <c r="K96" s="2" t="s">
        <v>6529</v>
      </c>
      <c r="L96" s="1">
        <v>1</v>
      </c>
      <c r="M96" s="1">
        <v>1</v>
      </c>
      <c r="N96">
        <v>0</v>
      </c>
      <c r="O96" s="3">
        <f>IF(
    R96="Ancien",
    _xlfn.XLOOKUP(
        Final_Sans_VGE[[#This Row],[ppn_z]],
        tbl_Historique_Final[ppn_z],
        tbl_Historique_Final[Horodatage],
        ""
    ),
    Horodatage!$A$2
)</f>
        <v>46233.670796365739</v>
      </c>
      <c r="P96" s="1" t="str">
        <f>IFERROR(IF(tbl_Historique_Final[[#This Row],[Commentaires]]&lt;&gt;"",tbl_Historique_Final[[#This Row],[Commentaires]],""),"")</f>
        <v/>
      </c>
      <c r="R96"/>
      <c r="X96" s="8" t="str">
        <f>IF(Final_Sans_VGE[[#This Row],[ppn_z]]="","",IFERROR(
   IF(_xlfn.XLOOKUP(Final_Sans_VGE[[#This Row],[ppn_z]],tbl_Historique_Final[ppn_z],tbl_Historique_Final[date_modif])=Final_Sans_VGE[[#This Row],[date_modif]],
      "Ancien",
      "Modifié"),
   "Nouveau"))</f>
        <v>Ancien</v>
      </c>
      <c r="AB96" s="1"/>
    </row>
    <row r="97" spans="1:28" x14ac:dyDescent="0.25">
      <c r="A97" s="5" t="s">
        <v>353</v>
      </c>
      <c r="B97" s="1" t="s">
        <v>6533</v>
      </c>
      <c r="C97" s="1" t="s">
        <v>12</v>
      </c>
      <c r="G97" s="1" t="s">
        <v>10</v>
      </c>
      <c r="J97" s="3">
        <v>45358.47179398148</v>
      </c>
      <c r="K97" s="2" t="s">
        <v>6471</v>
      </c>
      <c r="L97" s="1">
        <v>1</v>
      </c>
      <c r="M97" s="1">
        <v>1</v>
      </c>
      <c r="N97">
        <v>0</v>
      </c>
      <c r="O97" s="3">
        <f>IF(
    R97="Ancien",
    _xlfn.XLOOKUP(
        Final_Sans_VGE[[#This Row],[ppn_z]],
        tbl_Historique_Final[ppn_z],
        tbl_Historique_Final[Horodatage],
        ""
    ),
    Horodatage!$A$2
)</f>
        <v>46233.670796365739</v>
      </c>
      <c r="P97" s="1" t="str">
        <f>IFERROR(IF(tbl_Historique_Final[[#This Row],[Commentaires]]&lt;&gt;"",tbl_Historique_Final[[#This Row],[Commentaires]],""),"")</f>
        <v/>
      </c>
      <c r="R97"/>
      <c r="X97" s="8" t="str">
        <f>IF(Final_Sans_VGE[[#This Row],[ppn_z]]="","",IFERROR(
   IF(_xlfn.XLOOKUP(Final_Sans_VGE[[#This Row],[ppn_z]],tbl_Historique_Final[ppn_z],tbl_Historique_Final[date_modif])=Final_Sans_VGE[[#This Row],[date_modif]],
      "Ancien",
      "Modifié"),
   "Nouveau"))</f>
        <v>Ancien</v>
      </c>
      <c r="AB97" s="1"/>
    </row>
    <row r="98" spans="1:28" x14ac:dyDescent="0.25">
      <c r="A98" s="5" t="s">
        <v>356</v>
      </c>
      <c r="B98" s="1" t="s">
        <v>6534</v>
      </c>
      <c r="C98" s="1" t="s">
        <v>48</v>
      </c>
      <c r="G98" s="1" t="s">
        <v>10</v>
      </c>
      <c r="J98" s="3">
        <v>44444.080254629633</v>
      </c>
      <c r="K98" s="2" t="s">
        <v>6535</v>
      </c>
      <c r="L98" s="1">
        <v>1</v>
      </c>
      <c r="M98" s="1">
        <v>1</v>
      </c>
      <c r="N98">
        <v>0</v>
      </c>
      <c r="O98" s="3">
        <f>IF(
    R98="Ancien",
    _xlfn.XLOOKUP(
        Final_Sans_VGE[[#This Row],[ppn_z]],
        tbl_Historique_Final[ppn_z],
        tbl_Historique_Final[Horodatage],
        ""
    ),
    Horodatage!$A$2
)</f>
        <v>46233.670796365739</v>
      </c>
      <c r="P98" s="1" t="str">
        <f>IFERROR(IF(tbl_Historique_Final[[#This Row],[Commentaires]]&lt;&gt;"",tbl_Historique_Final[[#This Row],[Commentaires]],""),"")</f>
        <v/>
      </c>
      <c r="R98"/>
      <c r="X98" s="8" t="str">
        <f>IF(Final_Sans_VGE[[#This Row],[ppn_z]]="","",IFERROR(
   IF(_xlfn.XLOOKUP(Final_Sans_VGE[[#This Row],[ppn_z]],tbl_Historique_Final[ppn_z],tbl_Historique_Final[date_modif])=Final_Sans_VGE[[#This Row],[date_modif]],
      "Ancien",
      "Modifié"),
   "Nouveau"))</f>
        <v>Ancien</v>
      </c>
      <c r="AB98" s="1"/>
    </row>
    <row r="99" spans="1:28" x14ac:dyDescent="0.25">
      <c r="A99" s="5" t="s">
        <v>359</v>
      </c>
      <c r="B99" s="1" t="s">
        <v>6539</v>
      </c>
      <c r="C99" s="1" t="s">
        <v>49</v>
      </c>
      <c r="G99" s="1" t="s">
        <v>10</v>
      </c>
      <c r="J99" s="3">
        <v>44444.110821759263</v>
      </c>
      <c r="K99" s="2" t="s">
        <v>6540</v>
      </c>
      <c r="L99" s="1">
        <v>1</v>
      </c>
      <c r="M99" s="1">
        <v>1</v>
      </c>
      <c r="N99">
        <v>0</v>
      </c>
      <c r="O99" s="3">
        <f>IF(
    R99="Ancien",
    _xlfn.XLOOKUP(
        Final_Sans_VGE[[#This Row],[ppn_z]],
        tbl_Historique_Final[ppn_z],
        tbl_Historique_Final[Horodatage],
        ""
    ),
    Horodatage!$A$2
)</f>
        <v>46233.670796365739</v>
      </c>
      <c r="P99" s="1" t="str">
        <f>IFERROR(IF(tbl_Historique_Final[[#This Row],[Commentaires]]&lt;&gt;"",tbl_Historique_Final[[#This Row],[Commentaires]],""),"")</f>
        <v/>
      </c>
      <c r="R99"/>
      <c r="X99" s="8" t="str">
        <f>IF(Final_Sans_VGE[[#This Row],[ppn_z]]="","",IFERROR(
   IF(_xlfn.XLOOKUP(Final_Sans_VGE[[#This Row],[ppn_z]],tbl_Historique_Final[ppn_z],tbl_Historique_Final[date_modif])=Final_Sans_VGE[[#This Row],[date_modif]],
      "Ancien",
      "Modifié"),
   "Nouveau"))</f>
        <v>Ancien</v>
      </c>
      <c r="AB99" s="1"/>
    </row>
    <row r="100" spans="1:28" x14ac:dyDescent="0.25">
      <c r="A100" s="5" t="s">
        <v>362</v>
      </c>
      <c r="B100" s="1" t="s">
        <v>6541</v>
      </c>
      <c r="C100" s="1" t="s">
        <v>6542</v>
      </c>
      <c r="G100" s="1" t="s">
        <v>10</v>
      </c>
      <c r="J100" s="3">
        <v>44444.196828703702</v>
      </c>
      <c r="K100" s="2" t="s">
        <v>6543</v>
      </c>
      <c r="L100" s="1">
        <v>1</v>
      </c>
      <c r="M100" s="1">
        <v>1</v>
      </c>
      <c r="N100">
        <v>0</v>
      </c>
      <c r="O100" s="3">
        <f>IF(
    R100="Ancien",
    _xlfn.XLOOKUP(
        Final_Sans_VGE[[#This Row],[ppn_z]],
        tbl_Historique_Final[ppn_z],
        tbl_Historique_Final[Horodatage],
        ""
    ),
    Horodatage!$A$2
)</f>
        <v>46233.670796365739</v>
      </c>
      <c r="P100" s="1" t="str">
        <f>IFERROR(IF(tbl_Historique_Final[[#This Row],[Commentaires]]&lt;&gt;"",tbl_Historique_Final[[#This Row],[Commentaires]],""),"")</f>
        <v/>
      </c>
      <c r="R100"/>
      <c r="X100" s="8" t="str">
        <f>IF(Final_Sans_VGE[[#This Row],[ppn_z]]="","",IFERROR(
   IF(_xlfn.XLOOKUP(Final_Sans_VGE[[#This Row],[ppn_z]],tbl_Historique_Final[ppn_z],tbl_Historique_Final[date_modif])=Final_Sans_VGE[[#This Row],[date_modif]],
      "Ancien",
      "Modifié"),
   "Nouveau"))</f>
        <v>Ancien</v>
      </c>
      <c r="AB100" s="1"/>
    </row>
    <row r="101" spans="1:28" x14ac:dyDescent="0.25">
      <c r="A101" s="5" t="s">
        <v>365</v>
      </c>
      <c r="B101" s="1" t="s">
        <v>6544</v>
      </c>
      <c r="C101" s="1" t="s">
        <v>6545</v>
      </c>
      <c r="E101" s="1" t="s">
        <v>50</v>
      </c>
      <c r="G101" s="1" t="s">
        <v>10</v>
      </c>
      <c r="J101" s="3">
        <v>45356.632175925923</v>
      </c>
      <c r="K101" s="2" t="s">
        <v>6546</v>
      </c>
      <c r="L101" s="1">
        <v>1</v>
      </c>
      <c r="M101" s="1">
        <v>1</v>
      </c>
      <c r="N101">
        <v>0</v>
      </c>
      <c r="O101" s="3">
        <f>IF(
    R101="Ancien",
    _xlfn.XLOOKUP(
        Final_Sans_VGE[[#This Row],[ppn_z]],
        tbl_Historique_Final[ppn_z],
        tbl_Historique_Final[Horodatage],
        ""
    ),
    Horodatage!$A$2
)</f>
        <v>46233.670796365739</v>
      </c>
      <c r="P101" s="1" t="str">
        <f>IFERROR(IF(tbl_Historique_Final[[#This Row],[Commentaires]]&lt;&gt;"",tbl_Historique_Final[[#This Row],[Commentaires]],""),"")</f>
        <v/>
      </c>
      <c r="R101"/>
      <c r="X101" s="8" t="str">
        <f>IF(Final_Sans_VGE[[#This Row],[ppn_z]]="","",IFERROR(
   IF(_xlfn.XLOOKUP(Final_Sans_VGE[[#This Row],[ppn_z]],tbl_Historique_Final[ppn_z],tbl_Historique_Final[date_modif])=Final_Sans_VGE[[#This Row],[date_modif]],
      "Ancien",
      "Modifié"),
   "Nouveau"))</f>
        <v>Ancien</v>
      </c>
      <c r="AB101" s="1"/>
    </row>
    <row r="102" spans="1:28" x14ac:dyDescent="0.25">
      <c r="A102" s="5" t="s">
        <v>368</v>
      </c>
      <c r="B102" s="1" t="s">
        <v>6550</v>
      </c>
      <c r="C102" s="1" t="s">
        <v>6551</v>
      </c>
      <c r="G102" s="1" t="s">
        <v>11</v>
      </c>
      <c r="J102" s="3">
        <v>45324.654618055552</v>
      </c>
      <c r="K102" s="2" t="s">
        <v>6552</v>
      </c>
      <c r="L102" s="1">
        <v>2</v>
      </c>
      <c r="M102" s="1">
        <v>2</v>
      </c>
      <c r="N102">
        <v>0</v>
      </c>
      <c r="O102" s="3">
        <f>IF(
    R102="Ancien",
    _xlfn.XLOOKUP(
        Final_Sans_VGE[[#This Row],[ppn_z]],
        tbl_Historique_Final[ppn_z],
        tbl_Historique_Final[Horodatage],
        ""
    ),
    Horodatage!$A$2
)</f>
        <v>46233.670796365739</v>
      </c>
      <c r="P102" s="1" t="str">
        <f>IFERROR(IF(tbl_Historique_Final[[#This Row],[Commentaires]]&lt;&gt;"",tbl_Historique_Final[[#This Row],[Commentaires]],""),"")</f>
        <v/>
      </c>
      <c r="R102"/>
      <c r="X102" s="8" t="str">
        <f>IF(Final_Sans_VGE[[#This Row],[ppn_z]]="","",IFERROR(
   IF(_xlfn.XLOOKUP(Final_Sans_VGE[[#This Row],[ppn_z]],tbl_Historique_Final[ppn_z],tbl_Historique_Final[date_modif])=Final_Sans_VGE[[#This Row],[date_modif]],
      "Ancien",
      "Modifié"),
   "Nouveau"))</f>
        <v>Ancien</v>
      </c>
      <c r="AB102" s="1"/>
    </row>
    <row r="103" spans="1:28" ht="30" x14ac:dyDescent="0.25">
      <c r="A103" s="5" t="s">
        <v>371</v>
      </c>
      <c r="B103" s="1" t="s">
        <v>6553</v>
      </c>
      <c r="C103" s="1" t="s">
        <v>6554</v>
      </c>
      <c r="G103" s="1" t="s">
        <v>10</v>
      </c>
      <c r="J103" s="3">
        <v>44444.141284722224</v>
      </c>
      <c r="K103" s="2" t="s">
        <v>6555</v>
      </c>
      <c r="L103" s="1">
        <v>1</v>
      </c>
      <c r="M103" s="1">
        <v>1</v>
      </c>
      <c r="N103">
        <v>0</v>
      </c>
      <c r="O103" s="3">
        <f>IF(
    R103="Ancien",
    _xlfn.XLOOKUP(
        Final_Sans_VGE[[#This Row],[ppn_z]],
        tbl_Historique_Final[ppn_z],
        tbl_Historique_Final[Horodatage],
        ""
    ),
    Horodatage!$A$2
)</f>
        <v>46233.670796365739</v>
      </c>
      <c r="P103" s="1" t="str">
        <f>IFERROR(IF(tbl_Historique_Final[[#This Row],[Commentaires]]&lt;&gt;"",tbl_Historique_Final[[#This Row],[Commentaires]],""),"")</f>
        <v/>
      </c>
      <c r="R103"/>
      <c r="X103" s="8" t="str">
        <f>IF(Final_Sans_VGE[[#This Row],[ppn_z]]="","",IFERROR(
   IF(_xlfn.XLOOKUP(Final_Sans_VGE[[#This Row],[ppn_z]],tbl_Historique_Final[ppn_z],tbl_Historique_Final[date_modif])=Final_Sans_VGE[[#This Row],[date_modif]],
      "Ancien",
      "Modifié"),
   "Nouveau"))</f>
        <v>Ancien</v>
      </c>
      <c r="AB103" s="1"/>
    </row>
    <row r="104" spans="1:28" x14ac:dyDescent="0.25">
      <c r="A104" s="5" t="s">
        <v>374</v>
      </c>
      <c r="B104" s="1" t="s">
        <v>6557</v>
      </c>
      <c r="C104" s="1" t="s">
        <v>43</v>
      </c>
      <c r="G104" s="1" t="s">
        <v>10</v>
      </c>
      <c r="J104" s="3">
        <v>44444.169212962966</v>
      </c>
      <c r="K104" s="2" t="s">
        <v>6529</v>
      </c>
      <c r="L104" s="1">
        <v>2</v>
      </c>
      <c r="M104" s="1">
        <v>9</v>
      </c>
      <c r="N104">
        <v>7</v>
      </c>
      <c r="O104" s="3">
        <f>IF(
    R104="Ancien",
    _xlfn.XLOOKUP(
        Final_Sans_VGE[[#This Row],[ppn_z]],
        tbl_Historique_Final[ppn_z],
        tbl_Historique_Final[Horodatage],
        ""
    ),
    Horodatage!$A$2
)</f>
        <v>46233.670796365739</v>
      </c>
      <c r="P104" s="1" t="str">
        <f>IFERROR(IF(tbl_Historique_Final[[#This Row],[Commentaires]]&lt;&gt;"",tbl_Historique_Final[[#This Row],[Commentaires]],""),"")</f>
        <v/>
      </c>
      <c r="R104"/>
      <c r="X104" s="8" t="str">
        <f>IF(Final_Sans_VGE[[#This Row],[ppn_z]]="","",IFERROR(
   IF(_xlfn.XLOOKUP(Final_Sans_VGE[[#This Row],[ppn_z]],tbl_Historique_Final[ppn_z],tbl_Historique_Final[date_modif])=Final_Sans_VGE[[#This Row],[date_modif]],
      "Ancien",
      "Modifié"),
   "Nouveau"))</f>
        <v>Ancien</v>
      </c>
      <c r="AB104" s="1"/>
    </row>
    <row r="105" spans="1:28" x14ac:dyDescent="0.25">
      <c r="A105" s="5" t="s">
        <v>377</v>
      </c>
      <c r="B105" s="1" t="s">
        <v>6558</v>
      </c>
      <c r="C105" s="1" t="s">
        <v>6559</v>
      </c>
      <c r="E105" s="1" t="s">
        <v>147</v>
      </c>
      <c r="G105" s="1" t="s">
        <v>10</v>
      </c>
      <c r="J105" s="3">
        <v>45357.65552083333</v>
      </c>
      <c r="K105" s="2" t="s">
        <v>6560</v>
      </c>
      <c r="L105" s="1">
        <v>7</v>
      </c>
      <c r="M105" s="1">
        <v>8</v>
      </c>
      <c r="N105">
        <v>1</v>
      </c>
      <c r="O105" s="3">
        <f>IF(
    R105="Ancien",
    _xlfn.XLOOKUP(
        Final_Sans_VGE[[#This Row],[ppn_z]],
        tbl_Historique_Final[ppn_z],
        tbl_Historique_Final[Horodatage],
        ""
    ),
    Horodatage!$A$2
)</f>
        <v>46233.670796365739</v>
      </c>
      <c r="P105" s="1" t="str">
        <f>IFERROR(IF(tbl_Historique_Final[[#This Row],[Commentaires]]&lt;&gt;"",tbl_Historique_Final[[#This Row],[Commentaires]],""),"")</f>
        <v/>
      </c>
      <c r="R105"/>
      <c r="X105" s="8" t="str">
        <f>IF(Final_Sans_VGE[[#This Row],[ppn_z]]="","",IFERROR(
   IF(_xlfn.XLOOKUP(Final_Sans_VGE[[#This Row],[ppn_z]],tbl_Historique_Final[ppn_z],tbl_Historique_Final[date_modif])=Final_Sans_VGE[[#This Row],[date_modif]],
      "Ancien",
      "Modifié"),
   "Nouveau"))</f>
        <v>Ancien</v>
      </c>
      <c r="AB105" s="1"/>
    </row>
    <row r="106" spans="1:28" x14ac:dyDescent="0.25">
      <c r="A106" s="5" t="s">
        <v>380</v>
      </c>
      <c r="B106" s="1" t="s">
        <v>6564</v>
      </c>
      <c r="C106" s="1" t="s">
        <v>6565</v>
      </c>
      <c r="E106" s="1" t="s">
        <v>6566</v>
      </c>
      <c r="G106" s="1" t="s">
        <v>10</v>
      </c>
      <c r="J106" s="3">
        <v>45357.941400462965</v>
      </c>
      <c r="K106" s="2" t="s">
        <v>6567</v>
      </c>
      <c r="L106" s="1">
        <v>1</v>
      </c>
      <c r="M106" s="1">
        <v>1</v>
      </c>
      <c r="N106">
        <v>0</v>
      </c>
      <c r="O106" s="3">
        <f>IF(
    R106="Ancien",
    _xlfn.XLOOKUP(
        Final_Sans_VGE[[#This Row],[ppn_z]],
        tbl_Historique_Final[ppn_z],
        tbl_Historique_Final[Horodatage],
        ""
    ),
    Horodatage!$A$2
)</f>
        <v>46233.670796365739</v>
      </c>
      <c r="P106" s="1" t="str">
        <f>IFERROR(IF(tbl_Historique_Final[[#This Row],[Commentaires]]&lt;&gt;"",tbl_Historique_Final[[#This Row],[Commentaires]],""),"")</f>
        <v/>
      </c>
      <c r="R106"/>
      <c r="X106" s="8" t="str">
        <f>IF(Final_Sans_VGE[[#This Row],[ppn_z]]="","",IFERROR(
   IF(_xlfn.XLOOKUP(Final_Sans_VGE[[#This Row],[ppn_z]],tbl_Historique_Final[ppn_z],tbl_Historique_Final[date_modif])=Final_Sans_VGE[[#This Row],[date_modif]],
      "Ancien",
      "Modifié"),
   "Nouveau"))</f>
        <v>Ancien</v>
      </c>
      <c r="AB106" s="1"/>
    </row>
    <row r="107" spans="1:28" x14ac:dyDescent="0.25">
      <c r="A107" s="5" t="s">
        <v>383</v>
      </c>
      <c r="B107" s="1" t="s">
        <v>6568</v>
      </c>
      <c r="C107" s="1" t="s">
        <v>35</v>
      </c>
      <c r="G107" s="1" t="s">
        <v>11</v>
      </c>
      <c r="J107" s="3">
        <v>44444.196770833332</v>
      </c>
      <c r="K107" s="2" t="s">
        <v>6569</v>
      </c>
      <c r="L107" s="1">
        <v>5</v>
      </c>
      <c r="M107" s="1">
        <v>5</v>
      </c>
      <c r="N107">
        <v>0</v>
      </c>
      <c r="O107" s="3">
        <f>IF(
    R107="Ancien",
    _xlfn.XLOOKUP(
        Final_Sans_VGE[[#This Row],[ppn_z]],
        tbl_Historique_Final[ppn_z],
        tbl_Historique_Final[Horodatage],
        ""
    ),
    Horodatage!$A$2
)</f>
        <v>46233.670796365739</v>
      </c>
      <c r="P107" s="1" t="str">
        <f>IFERROR(IF(tbl_Historique_Final[[#This Row],[Commentaires]]&lt;&gt;"",tbl_Historique_Final[[#This Row],[Commentaires]],""),"")</f>
        <v/>
      </c>
      <c r="R107"/>
      <c r="X107" s="8" t="str">
        <f>IF(Final_Sans_VGE[[#This Row],[ppn_z]]="","",IFERROR(
   IF(_xlfn.XLOOKUP(Final_Sans_VGE[[#This Row],[ppn_z]],tbl_Historique_Final[ppn_z],tbl_Historique_Final[date_modif])=Final_Sans_VGE[[#This Row],[date_modif]],
      "Ancien",
      "Modifié"),
   "Nouveau"))</f>
        <v>Ancien</v>
      </c>
      <c r="AB107" s="1"/>
    </row>
    <row r="108" spans="1:28" x14ac:dyDescent="0.25">
      <c r="A108" s="5" t="s">
        <v>389</v>
      </c>
      <c r="B108" s="1" t="s">
        <v>6571</v>
      </c>
      <c r="C108" s="1" t="s">
        <v>43</v>
      </c>
      <c r="G108" s="1" t="s">
        <v>10</v>
      </c>
      <c r="J108" s="3">
        <v>45357.489189814813</v>
      </c>
      <c r="K108" s="2" t="s">
        <v>6572</v>
      </c>
      <c r="L108" s="1">
        <v>4</v>
      </c>
      <c r="M108" s="1">
        <v>4</v>
      </c>
      <c r="N108">
        <v>0</v>
      </c>
      <c r="O108" s="3">
        <f>IF(
    R108="Ancien",
    _xlfn.XLOOKUP(
        Final_Sans_VGE[[#This Row],[ppn_z]],
        tbl_Historique_Final[ppn_z],
        tbl_Historique_Final[Horodatage],
        ""
    ),
    Horodatage!$A$2
)</f>
        <v>46233.670796365739</v>
      </c>
      <c r="P108" s="1" t="str">
        <f>IFERROR(IF(tbl_Historique_Final[[#This Row],[Commentaires]]&lt;&gt;"",tbl_Historique_Final[[#This Row],[Commentaires]],""),"")</f>
        <v/>
      </c>
      <c r="R108"/>
      <c r="X108" s="8" t="str">
        <f>IF(Final_Sans_VGE[[#This Row],[ppn_z]]="","",IFERROR(
   IF(_xlfn.XLOOKUP(Final_Sans_VGE[[#This Row],[ppn_z]],tbl_Historique_Final[ppn_z],tbl_Historique_Final[date_modif])=Final_Sans_VGE[[#This Row],[date_modif]],
      "Ancien",
      "Modifié"),
   "Nouveau"))</f>
        <v>Ancien</v>
      </c>
      <c r="AB108" s="1"/>
    </row>
    <row r="109" spans="1:28" x14ac:dyDescent="0.25">
      <c r="A109" s="5" t="s">
        <v>392</v>
      </c>
      <c r="B109" s="1" t="s">
        <v>6573</v>
      </c>
      <c r="C109" s="1" t="s">
        <v>6574</v>
      </c>
      <c r="G109" s="1" t="s">
        <v>11</v>
      </c>
      <c r="J109" s="3">
        <v>44444.080312500002</v>
      </c>
      <c r="K109" s="2" t="s">
        <v>6575</v>
      </c>
      <c r="L109" s="1">
        <v>1</v>
      </c>
      <c r="M109" s="1">
        <v>1</v>
      </c>
      <c r="N109">
        <v>0</v>
      </c>
      <c r="O109" s="3">
        <f>IF(
    R109="Ancien",
    _xlfn.XLOOKUP(
        Final_Sans_VGE[[#This Row],[ppn_z]],
        tbl_Historique_Final[ppn_z],
        tbl_Historique_Final[Horodatage],
        ""
    ),
    Horodatage!$A$2
)</f>
        <v>46233.670796365739</v>
      </c>
      <c r="P109" s="1" t="str">
        <f>IFERROR(IF(tbl_Historique_Final[[#This Row],[Commentaires]]&lt;&gt;"",tbl_Historique_Final[[#This Row],[Commentaires]],""),"")</f>
        <v/>
      </c>
      <c r="R109"/>
      <c r="X109" s="8" t="str">
        <f>IF(Final_Sans_VGE[[#This Row],[ppn_z]]="","",IFERROR(
   IF(_xlfn.XLOOKUP(Final_Sans_VGE[[#This Row],[ppn_z]],tbl_Historique_Final[ppn_z],tbl_Historique_Final[date_modif])=Final_Sans_VGE[[#This Row],[date_modif]],
      "Ancien",
      "Modifié"),
   "Nouveau"))</f>
        <v>Ancien</v>
      </c>
      <c r="AB109" s="1"/>
    </row>
    <row r="110" spans="1:28" x14ac:dyDescent="0.25">
      <c r="A110" s="5" t="s">
        <v>395</v>
      </c>
      <c r="B110" s="1" t="s">
        <v>6576</v>
      </c>
      <c r="C110" s="1" t="s">
        <v>12</v>
      </c>
      <c r="G110" s="1" t="s">
        <v>10</v>
      </c>
      <c r="J110" s="3">
        <v>44444.110798611109</v>
      </c>
      <c r="K110" s="2" t="s">
        <v>6577</v>
      </c>
      <c r="L110" s="1">
        <v>1</v>
      </c>
      <c r="M110" s="1">
        <v>1</v>
      </c>
      <c r="N110">
        <v>0</v>
      </c>
      <c r="O110" s="3">
        <f>IF(
    R110="Ancien",
    _xlfn.XLOOKUP(
        Final_Sans_VGE[[#This Row],[ppn_z]],
        tbl_Historique_Final[ppn_z],
        tbl_Historique_Final[Horodatage],
        ""
    ),
    Horodatage!$A$2
)</f>
        <v>46233.670796365739</v>
      </c>
      <c r="P110" s="1" t="str">
        <f>IFERROR(IF(tbl_Historique_Final[[#This Row],[Commentaires]]&lt;&gt;"",tbl_Historique_Final[[#This Row],[Commentaires]],""),"")</f>
        <v/>
      </c>
      <c r="R110"/>
      <c r="X110" s="8" t="str">
        <f>IF(Final_Sans_VGE[[#This Row],[ppn_z]]="","",IFERROR(
   IF(_xlfn.XLOOKUP(Final_Sans_VGE[[#This Row],[ppn_z]],tbl_Historique_Final[ppn_z],tbl_Historique_Final[date_modif])=Final_Sans_VGE[[#This Row],[date_modif]],
      "Ancien",
      "Modifié"),
   "Nouveau"))</f>
        <v>Ancien</v>
      </c>
      <c r="AB110" s="1"/>
    </row>
    <row r="111" spans="1:28" x14ac:dyDescent="0.25">
      <c r="A111" s="5" t="s">
        <v>398</v>
      </c>
      <c r="B111" s="1" t="s">
        <v>6581</v>
      </c>
      <c r="C111" s="1" t="s">
        <v>6582</v>
      </c>
      <c r="E111" s="1" t="s">
        <v>53</v>
      </c>
      <c r="G111" s="1" t="s">
        <v>11</v>
      </c>
      <c r="J111" s="3">
        <v>45358.617638888885</v>
      </c>
      <c r="K111" s="2" t="s">
        <v>6583</v>
      </c>
      <c r="L111" s="1">
        <v>1</v>
      </c>
      <c r="M111" s="1">
        <v>1</v>
      </c>
      <c r="N111">
        <v>0</v>
      </c>
      <c r="O111" s="3">
        <f>IF(
    R111="Ancien",
    _xlfn.XLOOKUP(
        Final_Sans_VGE[[#This Row],[ppn_z]],
        tbl_Historique_Final[ppn_z],
        tbl_Historique_Final[Horodatage],
        ""
    ),
    Horodatage!$A$2
)</f>
        <v>46233.670796365739</v>
      </c>
      <c r="P111" s="1" t="str">
        <f>IFERROR(IF(tbl_Historique_Final[[#This Row],[Commentaires]]&lt;&gt;"",tbl_Historique_Final[[#This Row],[Commentaires]],""),"")</f>
        <v/>
      </c>
      <c r="R111"/>
      <c r="X111" s="8" t="str">
        <f>IF(Final_Sans_VGE[[#This Row],[ppn_z]]="","",IFERROR(
   IF(_xlfn.XLOOKUP(Final_Sans_VGE[[#This Row],[ppn_z]],tbl_Historique_Final[ppn_z],tbl_Historique_Final[date_modif])=Final_Sans_VGE[[#This Row],[date_modif]],
      "Ancien",
      "Modifié"),
   "Nouveau"))</f>
        <v>Ancien</v>
      </c>
      <c r="AB111" s="1"/>
    </row>
    <row r="112" spans="1:28" ht="30" x14ac:dyDescent="0.25">
      <c r="A112" s="5" t="s">
        <v>401</v>
      </c>
      <c r="B112" s="1" t="s">
        <v>6584</v>
      </c>
      <c r="C112" s="1" t="s">
        <v>48</v>
      </c>
      <c r="G112" s="1" t="s">
        <v>11</v>
      </c>
      <c r="J112" s="3">
        <v>45358.824525462966</v>
      </c>
      <c r="K112" s="2" t="s">
        <v>6585</v>
      </c>
      <c r="L112" s="1">
        <v>3</v>
      </c>
      <c r="M112" s="1">
        <v>3</v>
      </c>
      <c r="N112">
        <v>0</v>
      </c>
      <c r="O112" s="3">
        <f>IF(
    R112="Ancien",
    _xlfn.XLOOKUP(
        Final_Sans_VGE[[#This Row],[ppn_z]],
        tbl_Historique_Final[ppn_z],
        tbl_Historique_Final[Horodatage],
        ""
    ),
    Horodatage!$A$2
)</f>
        <v>46233.670796365739</v>
      </c>
      <c r="P112" s="1" t="str">
        <f>IFERROR(IF(tbl_Historique_Final[[#This Row],[Commentaires]]&lt;&gt;"",tbl_Historique_Final[[#This Row],[Commentaires]],""),"")</f>
        <v/>
      </c>
      <c r="R112"/>
      <c r="X112" s="8" t="str">
        <f>IF(Final_Sans_VGE[[#This Row],[ppn_z]]="","",IFERROR(
   IF(_xlfn.XLOOKUP(Final_Sans_VGE[[#This Row],[ppn_z]],tbl_Historique_Final[ppn_z],tbl_Historique_Final[date_modif])=Final_Sans_VGE[[#This Row],[date_modif]],
      "Ancien",
      "Modifié"),
   "Nouveau"))</f>
        <v>Ancien</v>
      </c>
      <c r="AB112" s="1"/>
    </row>
    <row r="113" spans="1:28" x14ac:dyDescent="0.25">
      <c r="A113" s="5" t="s">
        <v>404</v>
      </c>
      <c r="B113" s="1" t="s">
        <v>6588</v>
      </c>
      <c r="C113" s="1" t="s">
        <v>12</v>
      </c>
      <c r="G113" s="1" t="s">
        <v>11</v>
      </c>
      <c r="J113" s="3">
        <v>44444.080335648148</v>
      </c>
      <c r="K113" s="2" t="s">
        <v>6589</v>
      </c>
      <c r="L113" s="1">
        <v>1</v>
      </c>
      <c r="M113" s="1">
        <v>1</v>
      </c>
      <c r="N113">
        <v>0</v>
      </c>
      <c r="O113" s="3">
        <f>IF(
    R113="Ancien",
    _xlfn.XLOOKUP(
        Final_Sans_VGE[[#This Row],[ppn_z]],
        tbl_Historique_Final[ppn_z],
        tbl_Historique_Final[Horodatage],
        ""
    ),
    Horodatage!$A$2
)</f>
        <v>46233.670796365739</v>
      </c>
      <c r="P113" s="1" t="str">
        <f>IFERROR(IF(tbl_Historique_Final[[#This Row],[Commentaires]]&lt;&gt;"",tbl_Historique_Final[[#This Row],[Commentaires]],""),"")</f>
        <v/>
      </c>
      <c r="R113"/>
      <c r="X113" s="8" t="str">
        <f>IF(Final_Sans_VGE[[#This Row],[ppn_z]]="","",IFERROR(
   IF(_xlfn.XLOOKUP(Final_Sans_VGE[[#This Row],[ppn_z]],tbl_Historique_Final[ppn_z],tbl_Historique_Final[date_modif])=Final_Sans_VGE[[#This Row],[date_modif]],
      "Ancien",
      "Modifié"),
   "Nouveau"))</f>
        <v>Ancien</v>
      </c>
      <c r="AB113" s="1"/>
    </row>
    <row r="114" spans="1:28" x14ac:dyDescent="0.25">
      <c r="A114" s="5" t="s">
        <v>407</v>
      </c>
      <c r="B114" s="1" t="s">
        <v>6590</v>
      </c>
      <c r="C114" s="1" t="s">
        <v>12</v>
      </c>
      <c r="G114" s="1" t="s">
        <v>11</v>
      </c>
      <c r="J114" s="3">
        <v>45359.417581018519</v>
      </c>
      <c r="K114" s="2" t="s">
        <v>126</v>
      </c>
      <c r="L114" s="1">
        <v>2</v>
      </c>
      <c r="M114" s="1">
        <v>2</v>
      </c>
      <c r="N114">
        <v>0</v>
      </c>
      <c r="O114" s="3">
        <f>IF(
    R114="Ancien",
    _xlfn.XLOOKUP(
        Final_Sans_VGE[[#This Row],[ppn_z]],
        tbl_Historique_Final[ppn_z],
        tbl_Historique_Final[Horodatage],
        ""
    ),
    Horodatage!$A$2
)</f>
        <v>46233.670796365739</v>
      </c>
      <c r="P114" s="1" t="str">
        <f>IFERROR(IF(tbl_Historique_Final[[#This Row],[Commentaires]]&lt;&gt;"",tbl_Historique_Final[[#This Row],[Commentaires]],""),"")</f>
        <v/>
      </c>
      <c r="R114"/>
      <c r="X114" s="8" t="str">
        <f>IF(Final_Sans_VGE[[#This Row],[ppn_z]]="","",IFERROR(
   IF(_xlfn.XLOOKUP(Final_Sans_VGE[[#This Row],[ppn_z]],tbl_Historique_Final[ppn_z],tbl_Historique_Final[date_modif])=Final_Sans_VGE[[#This Row],[date_modif]],
      "Ancien",
      "Modifié"),
   "Nouveau"))</f>
        <v>Ancien</v>
      </c>
      <c r="AB114" s="1"/>
    </row>
    <row r="115" spans="1:28" x14ac:dyDescent="0.25">
      <c r="A115" s="5" t="s">
        <v>410</v>
      </c>
      <c r="B115" s="1" t="s">
        <v>6593</v>
      </c>
      <c r="C115" s="1" t="s">
        <v>12</v>
      </c>
      <c r="G115" s="1" t="s">
        <v>11</v>
      </c>
      <c r="J115" s="3">
        <v>44444.110798611109</v>
      </c>
      <c r="K115" s="2" t="s">
        <v>6594</v>
      </c>
      <c r="L115" s="1">
        <v>1</v>
      </c>
      <c r="M115" s="1">
        <v>1</v>
      </c>
      <c r="N115">
        <v>0</v>
      </c>
      <c r="O115" s="3">
        <f>IF(
    R115="Ancien",
    _xlfn.XLOOKUP(
        Final_Sans_VGE[[#This Row],[ppn_z]],
        tbl_Historique_Final[ppn_z],
        tbl_Historique_Final[Horodatage],
        ""
    ),
    Horodatage!$A$2
)</f>
        <v>46233.670796365739</v>
      </c>
      <c r="P115" s="1" t="str">
        <f>IFERROR(IF(tbl_Historique_Final[[#This Row],[Commentaires]]&lt;&gt;"",tbl_Historique_Final[[#This Row],[Commentaires]],""),"")</f>
        <v/>
      </c>
      <c r="R115"/>
      <c r="X115" s="8" t="str">
        <f>IF(Final_Sans_VGE[[#This Row],[ppn_z]]="","",IFERROR(
   IF(_xlfn.XLOOKUP(Final_Sans_VGE[[#This Row],[ppn_z]],tbl_Historique_Final[ppn_z],tbl_Historique_Final[date_modif])=Final_Sans_VGE[[#This Row],[date_modif]],
      "Ancien",
      "Modifié"),
   "Nouveau"))</f>
        <v>Ancien</v>
      </c>
      <c r="AB115" s="1"/>
    </row>
    <row r="116" spans="1:28" ht="60" x14ac:dyDescent="0.25">
      <c r="A116" s="5" t="s">
        <v>413</v>
      </c>
      <c r="B116" s="1" t="s">
        <v>6595</v>
      </c>
      <c r="C116" s="1" t="s">
        <v>12</v>
      </c>
      <c r="G116" s="1" t="s">
        <v>10</v>
      </c>
      <c r="J116" s="3">
        <v>44444.195659722223</v>
      </c>
      <c r="K116" s="2" t="s">
        <v>6596</v>
      </c>
      <c r="L116" s="1">
        <v>6</v>
      </c>
      <c r="M116" s="1">
        <v>9</v>
      </c>
      <c r="N116">
        <v>3</v>
      </c>
      <c r="O116" s="3">
        <f>IF(
    R116="Ancien",
    _xlfn.XLOOKUP(
        Final_Sans_VGE[[#This Row],[ppn_z]],
        tbl_Historique_Final[ppn_z],
        tbl_Historique_Final[Horodatage],
        ""
    ),
    Horodatage!$A$2
)</f>
        <v>46233.670796365739</v>
      </c>
      <c r="P116" s="1" t="str">
        <f>IFERROR(IF(tbl_Historique_Final[[#This Row],[Commentaires]]&lt;&gt;"",tbl_Historique_Final[[#This Row],[Commentaires]],""),"")</f>
        <v/>
      </c>
      <c r="R116"/>
      <c r="X116" s="8" t="str">
        <f>IF(Final_Sans_VGE[[#This Row],[ppn_z]]="","",IFERROR(
   IF(_xlfn.XLOOKUP(Final_Sans_VGE[[#This Row],[ppn_z]],tbl_Historique_Final[ppn_z],tbl_Historique_Final[date_modif])=Final_Sans_VGE[[#This Row],[date_modif]],
      "Ancien",
      "Modifié"),
   "Nouveau"))</f>
        <v>Ancien</v>
      </c>
      <c r="AB116" s="1"/>
    </row>
    <row r="117" spans="1:28" x14ac:dyDescent="0.25">
      <c r="A117" s="5" t="s">
        <v>416</v>
      </c>
      <c r="B117" s="1" t="s">
        <v>6597</v>
      </c>
      <c r="C117" s="1" t="s">
        <v>6574</v>
      </c>
      <c r="G117" s="1" t="s">
        <v>11</v>
      </c>
      <c r="J117" s="3">
        <v>44444.196736111109</v>
      </c>
      <c r="K117" s="2" t="s">
        <v>6589</v>
      </c>
      <c r="L117" s="1">
        <v>1</v>
      </c>
      <c r="M117" s="1">
        <v>1</v>
      </c>
      <c r="N117">
        <v>0</v>
      </c>
      <c r="O117" s="3">
        <f>IF(
    R117="Ancien",
    _xlfn.XLOOKUP(
        Final_Sans_VGE[[#This Row],[ppn_z]],
        tbl_Historique_Final[ppn_z],
        tbl_Historique_Final[Horodatage],
        ""
    ),
    Horodatage!$A$2
)</f>
        <v>46233.670796365739</v>
      </c>
      <c r="P117" s="1" t="str">
        <f>IFERROR(IF(tbl_Historique_Final[[#This Row],[Commentaires]]&lt;&gt;"",tbl_Historique_Final[[#This Row],[Commentaires]],""),"")</f>
        <v/>
      </c>
      <c r="R117"/>
      <c r="X117" s="8" t="str">
        <f>IF(Final_Sans_VGE[[#This Row],[ppn_z]]="","",IFERROR(
   IF(_xlfn.XLOOKUP(Final_Sans_VGE[[#This Row],[ppn_z]],tbl_Historique_Final[ppn_z],tbl_Historique_Final[date_modif])=Final_Sans_VGE[[#This Row],[date_modif]],
      "Ancien",
      "Modifié"),
   "Nouveau"))</f>
        <v>Ancien</v>
      </c>
      <c r="AB117" s="1"/>
    </row>
    <row r="118" spans="1:28" x14ac:dyDescent="0.25">
      <c r="A118" s="5" t="s">
        <v>422</v>
      </c>
      <c r="B118" s="1" t="s">
        <v>6598</v>
      </c>
      <c r="C118" s="1" t="s">
        <v>72</v>
      </c>
      <c r="G118" s="1" t="s">
        <v>10</v>
      </c>
      <c r="J118" s="3">
        <v>45265.719212962962</v>
      </c>
      <c r="K118" s="2" t="s">
        <v>6599</v>
      </c>
      <c r="L118" s="1">
        <v>1</v>
      </c>
      <c r="M118" s="1">
        <v>1</v>
      </c>
      <c r="N118">
        <v>0</v>
      </c>
      <c r="O118" s="3">
        <f>IF(
    R118="Ancien",
    _xlfn.XLOOKUP(
        Final_Sans_VGE[[#This Row],[ppn_z]],
        tbl_Historique_Final[ppn_z],
        tbl_Historique_Final[Horodatage],
        ""
    ),
    Horodatage!$A$2
)</f>
        <v>46233.670796365739</v>
      </c>
      <c r="P118" s="1" t="str">
        <f>IFERROR(IF(tbl_Historique_Final[[#This Row],[Commentaires]]&lt;&gt;"",tbl_Historique_Final[[#This Row],[Commentaires]],""),"")</f>
        <v/>
      </c>
      <c r="R118"/>
      <c r="X118" s="8" t="str">
        <f>IF(Final_Sans_VGE[[#This Row],[ppn_z]]="","",IFERROR(
   IF(_xlfn.XLOOKUP(Final_Sans_VGE[[#This Row],[ppn_z]],tbl_Historique_Final[ppn_z],tbl_Historique_Final[date_modif])=Final_Sans_VGE[[#This Row],[date_modif]],
      "Ancien",
      "Modifié"),
   "Nouveau"))</f>
        <v>Ancien</v>
      </c>
      <c r="AB118" s="1"/>
    </row>
    <row r="119" spans="1:28" x14ac:dyDescent="0.25">
      <c r="A119" s="5" t="s">
        <v>425</v>
      </c>
      <c r="B119" s="1" t="s">
        <v>6602</v>
      </c>
      <c r="C119" s="1" t="s">
        <v>6603</v>
      </c>
      <c r="G119" s="1" t="s">
        <v>11</v>
      </c>
      <c r="J119" s="3">
        <v>44444.141388888886</v>
      </c>
      <c r="K119" s="2" t="s">
        <v>6589</v>
      </c>
      <c r="L119" s="1">
        <v>1</v>
      </c>
      <c r="M119" s="1">
        <v>1</v>
      </c>
      <c r="N119">
        <v>0</v>
      </c>
      <c r="O119" s="3">
        <f>IF(
    R119="Ancien",
    _xlfn.XLOOKUP(
        Final_Sans_VGE[[#This Row],[ppn_z]],
        tbl_Historique_Final[ppn_z],
        tbl_Historique_Final[Horodatage],
        ""
    ),
    Horodatage!$A$2
)</f>
        <v>46233.670796365739</v>
      </c>
      <c r="P119" s="1" t="str">
        <f>IFERROR(IF(tbl_Historique_Final[[#This Row],[Commentaires]]&lt;&gt;"",tbl_Historique_Final[[#This Row],[Commentaires]],""),"")</f>
        <v/>
      </c>
      <c r="R119"/>
      <c r="X119" s="8" t="str">
        <f>IF(Final_Sans_VGE[[#This Row],[ppn_z]]="","",IFERROR(
   IF(_xlfn.XLOOKUP(Final_Sans_VGE[[#This Row],[ppn_z]],tbl_Historique_Final[ppn_z],tbl_Historique_Final[date_modif])=Final_Sans_VGE[[#This Row],[date_modif]],
      "Ancien",
      "Modifié"),
   "Nouveau"))</f>
        <v>Ancien</v>
      </c>
      <c r="AB119" s="1"/>
    </row>
    <row r="120" spans="1:28" x14ac:dyDescent="0.25">
      <c r="A120" s="5" t="s">
        <v>428</v>
      </c>
      <c r="B120" s="1" t="s">
        <v>6604</v>
      </c>
      <c r="C120" s="1" t="s">
        <v>152</v>
      </c>
      <c r="G120" s="1" t="s">
        <v>11</v>
      </c>
      <c r="J120" s="3">
        <v>45356.801354166666</v>
      </c>
      <c r="K120" s="2" t="s">
        <v>6605</v>
      </c>
      <c r="L120" s="1">
        <v>4</v>
      </c>
      <c r="M120" s="1">
        <v>4</v>
      </c>
      <c r="N120">
        <v>0</v>
      </c>
      <c r="O120" s="3">
        <f>IF(
    R120="Ancien",
    _xlfn.XLOOKUP(
        Final_Sans_VGE[[#This Row],[ppn_z]],
        tbl_Historique_Final[ppn_z],
        tbl_Historique_Final[Horodatage],
        ""
    ),
    Horodatage!$A$2
)</f>
        <v>46233.670796365739</v>
      </c>
      <c r="P120" s="1" t="str">
        <f>IFERROR(IF(tbl_Historique_Final[[#This Row],[Commentaires]]&lt;&gt;"",tbl_Historique_Final[[#This Row],[Commentaires]],""),"")</f>
        <v/>
      </c>
      <c r="R120"/>
      <c r="X120" s="8" t="str">
        <f>IF(Final_Sans_VGE[[#This Row],[ppn_z]]="","",IFERROR(
   IF(_xlfn.XLOOKUP(Final_Sans_VGE[[#This Row],[ppn_z]],tbl_Historique_Final[ppn_z],tbl_Historique_Final[date_modif])=Final_Sans_VGE[[#This Row],[date_modif]],
      "Ancien",
      "Modifié"),
   "Nouveau"))</f>
        <v>Ancien</v>
      </c>
      <c r="AB120" s="1"/>
    </row>
    <row r="121" spans="1:28" x14ac:dyDescent="0.25">
      <c r="A121" s="5" t="s">
        <v>431</v>
      </c>
      <c r="B121" s="1" t="s">
        <v>6606</v>
      </c>
      <c r="C121" s="1" t="s">
        <v>6607</v>
      </c>
      <c r="E121" s="1" t="s">
        <v>55</v>
      </c>
      <c r="G121" s="1" t="s">
        <v>10</v>
      </c>
      <c r="J121" s="3">
        <v>45357.149675925924</v>
      </c>
      <c r="K121" s="2" t="s">
        <v>6529</v>
      </c>
      <c r="L121" s="1">
        <v>1</v>
      </c>
      <c r="M121" s="1">
        <v>1</v>
      </c>
      <c r="N121">
        <v>0</v>
      </c>
      <c r="O121" s="3">
        <f>IF(
    R121="Ancien",
    _xlfn.XLOOKUP(
        Final_Sans_VGE[[#This Row],[ppn_z]],
        tbl_Historique_Final[ppn_z],
        tbl_Historique_Final[Horodatage],
        ""
    ),
    Horodatage!$A$2
)</f>
        <v>46233.670796365739</v>
      </c>
      <c r="P121" s="1" t="str">
        <f>IFERROR(IF(tbl_Historique_Final[[#This Row],[Commentaires]]&lt;&gt;"",tbl_Historique_Final[[#This Row],[Commentaires]],""),"")</f>
        <v/>
      </c>
      <c r="R121"/>
      <c r="X121" s="8" t="str">
        <f>IF(Final_Sans_VGE[[#This Row],[ppn_z]]="","",IFERROR(
   IF(_xlfn.XLOOKUP(Final_Sans_VGE[[#This Row],[ppn_z]],tbl_Historique_Final[ppn_z],tbl_Historique_Final[date_modif])=Final_Sans_VGE[[#This Row],[date_modif]],
      "Ancien",
      "Modifié"),
   "Nouveau"))</f>
        <v>Ancien</v>
      </c>
      <c r="AB121" s="1"/>
    </row>
    <row r="122" spans="1:28" x14ac:dyDescent="0.25">
      <c r="A122" s="5" t="s">
        <v>434</v>
      </c>
      <c r="B122" s="1" t="s">
        <v>6608</v>
      </c>
      <c r="C122" s="1" t="s">
        <v>76</v>
      </c>
      <c r="G122" s="1" t="s">
        <v>11</v>
      </c>
      <c r="J122" s="3">
        <v>45341.633379629631</v>
      </c>
      <c r="K122" s="2" t="s">
        <v>130</v>
      </c>
      <c r="L122" s="1">
        <v>2</v>
      </c>
      <c r="M122" s="1">
        <v>2</v>
      </c>
      <c r="N122">
        <v>0</v>
      </c>
      <c r="O122" s="3">
        <f>IF(
    R122="Ancien",
    _xlfn.XLOOKUP(
        Final_Sans_VGE[[#This Row],[ppn_z]],
        tbl_Historique_Final[ppn_z],
        tbl_Historique_Final[Horodatage],
        ""
    ),
    Horodatage!$A$2
)</f>
        <v>46233.670796365739</v>
      </c>
      <c r="P122" s="1" t="str">
        <f>IFERROR(IF(tbl_Historique_Final[[#This Row],[Commentaires]]&lt;&gt;"",tbl_Historique_Final[[#This Row],[Commentaires]],""),"")</f>
        <v/>
      </c>
      <c r="R122"/>
      <c r="X122" s="8" t="str">
        <f>IF(Final_Sans_VGE[[#This Row],[ppn_z]]="","",IFERROR(
   IF(_xlfn.XLOOKUP(Final_Sans_VGE[[#This Row],[ppn_z]],tbl_Historique_Final[ppn_z],tbl_Historique_Final[date_modif])=Final_Sans_VGE[[#This Row],[date_modif]],
      "Ancien",
      "Modifié"),
   "Nouveau"))</f>
        <v>Ancien</v>
      </c>
      <c r="AB122" s="1"/>
    </row>
    <row r="123" spans="1:28" x14ac:dyDescent="0.25">
      <c r="A123" s="5" t="s">
        <v>437</v>
      </c>
      <c r="B123" s="1" t="s">
        <v>6609</v>
      </c>
      <c r="C123" s="1" t="s">
        <v>6554</v>
      </c>
      <c r="G123" s="1" t="s">
        <v>10</v>
      </c>
      <c r="J123" s="3">
        <v>44444.196793981479</v>
      </c>
      <c r="K123" s="2" t="s">
        <v>126</v>
      </c>
      <c r="L123" s="1">
        <v>1</v>
      </c>
      <c r="M123" s="1">
        <v>1</v>
      </c>
      <c r="N123">
        <v>0</v>
      </c>
      <c r="O123" s="3">
        <f>IF(
    R123="Ancien",
    _xlfn.XLOOKUP(
        Final_Sans_VGE[[#This Row],[ppn_z]],
        tbl_Historique_Final[ppn_z],
        tbl_Historique_Final[Horodatage],
        ""
    ),
    Horodatage!$A$2
)</f>
        <v>46233.670796365739</v>
      </c>
      <c r="P123" s="1" t="str">
        <f>IFERROR(IF(tbl_Historique_Final[[#This Row],[Commentaires]]&lt;&gt;"",tbl_Historique_Final[[#This Row],[Commentaires]],""),"")</f>
        <v/>
      </c>
      <c r="R123"/>
      <c r="X123" s="8" t="str">
        <f>IF(Final_Sans_VGE[[#This Row],[ppn_z]]="","",IFERROR(
   IF(_xlfn.XLOOKUP(Final_Sans_VGE[[#This Row],[ppn_z]],tbl_Historique_Final[ppn_z],tbl_Historique_Final[date_modif])=Final_Sans_VGE[[#This Row],[date_modif]],
      "Ancien",
      "Modifié"),
   "Nouveau"))</f>
        <v>Ancien</v>
      </c>
      <c r="AB123" s="1"/>
    </row>
    <row r="124" spans="1:28" x14ac:dyDescent="0.25">
      <c r="A124" s="5" t="s">
        <v>440</v>
      </c>
      <c r="B124" s="1" t="s">
        <v>6610</v>
      </c>
      <c r="C124" s="1" t="s">
        <v>12</v>
      </c>
      <c r="G124" s="1" t="s">
        <v>11</v>
      </c>
      <c r="J124" s="3">
        <v>45358.571805555555</v>
      </c>
      <c r="K124" s="2" t="s">
        <v>6471</v>
      </c>
      <c r="L124" s="1">
        <v>1</v>
      </c>
      <c r="M124" s="1">
        <v>1</v>
      </c>
      <c r="N124">
        <v>0</v>
      </c>
      <c r="O124" s="3">
        <f>IF(
    R124="Ancien",
    _xlfn.XLOOKUP(
        Final_Sans_VGE[[#This Row],[ppn_z]],
        tbl_Historique_Final[ppn_z],
        tbl_Historique_Final[Horodatage],
        ""
    ),
    Horodatage!$A$2
)</f>
        <v>46233.670796365739</v>
      </c>
      <c r="P124" s="1" t="str">
        <f>IFERROR(IF(tbl_Historique_Final[[#This Row],[Commentaires]]&lt;&gt;"",tbl_Historique_Final[[#This Row],[Commentaires]],""),"")</f>
        <v/>
      </c>
      <c r="R124"/>
      <c r="X124" s="8" t="str">
        <f>IF(Final_Sans_VGE[[#This Row],[ppn_z]]="","",IFERROR(
   IF(_xlfn.XLOOKUP(Final_Sans_VGE[[#This Row],[ppn_z]],tbl_Historique_Final[ppn_z],tbl_Historique_Final[date_modif])=Final_Sans_VGE[[#This Row],[date_modif]],
      "Ancien",
      "Modifié"),
   "Nouveau"))</f>
        <v>Ancien</v>
      </c>
      <c r="AB124" s="1"/>
    </row>
    <row r="125" spans="1:28" ht="30" x14ac:dyDescent="0.25">
      <c r="A125" s="5" t="s">
        <v>443</v>
      </c>
      <c r="B125" s="1" t="s">
        <v>6611</v>
      </c>
      <c r="C125" s="1" t="s">
        <v>6554</v>
      </c>
      <c r="G125" s="1" t="s">
        <v>11</v>
      </c>
      <c r="J125" s="3">
        <v>44444.169317129628</v>
      </c>
      <c r="K125" s="2" t="s">
        <v>6612</v>
      </c>
      <c r="L125" s="1">
        <v>1</v>
      </c>
      <c r="M125" s="1">
        <v>1</v>
      </c>
      <c r="N125">
        <v>0</v>
      </c>
      <c r="O125" s="3">
        <f>IF(
    R125="Ancien",
    _xlfn.XLOOKUP(
        Final_Sans_VGE[[#This Row],[ppn_z]],
        tbl_Historique_Final[ppn_z],
        tbl_Historique_Final[Horodatage],
        ""
    ),
    Horodatage!$A$2
)</f>
        <v>46233.670796365739</v>
      </c>
      <c r="P125" s="1" t="str">
        <f>IFERROR(IF(tbl_Historique_Final[[#This Row],[Commentaires]]&lt;&gt;"",tbl_Historique_Final[[#This Row],[Commentaires]],""),"")</f>
        <v/>
      </c>
      <c r="R125"/>
      <c r="X125" s="8" t="str">
        <f>IF(Final_Sans_VGE[[#This Row],[ppn_z]]="","",IFERROR(
   IF(_xlfn.XLOOKUP(Final_Sans_VGE[[#This Row],[ppn_z]],tbl_Historique_Final[ppn_z],tbl_Historique_Final[date_modif])=Final_Sans_VGE[[#This Row],[date_modif]],
      "Ancien",
      "Modifié"),
   "Nouveau"))</f>
        <v>Ancien</v>
      </c>
      <c r="AB125" s="1"/>
    </row>
    <row r="126" spans="1:28" x14ac:dyDescent="0.25">
      <c r="A126" s="5" t="s">
        <v>446</v>
      </c>
      <c r="B126" s="1" t="s">
        <v>6613</v>
      </c>
      <c r="C126" s="1" t="s">
        <v>43</v>
      </c>
      <c r="G126" s="1" t="s">
        <v>11</v>
      </c>
      <c r="J126" s="3">
        <v>45341.622245370374</v>
      </c>
      <c r="K126" s="2" t="s">
        <v>130</v>
      </c>
      <c r="L126" s="1">
        <v>1</v>
      </c>
      <c r="M126" s="1">
        <v>1</v>
      </c>
      <c r="N126">
        <v>0</v>
      </c>
      <c r="O126" s="3">
        <f>IF(
    R126="Ancien",
    _xlfn.XLOOKUP(
        Final_Sans_VGE[[#This Row],[ppn_z]],
        tbl_Historique_Final[ppn_z],
        tbl_Historique_Final[Horodatage],
        ""
    ),
    Horodatage!$A$2
)</f>
        <v>46233.670796365739</v>
      </c>
      <c r="P126" s="1" t="str">
        <f>IFERROR(IF(tbl_Historique_Final[[#This Row],[Commentaires]]&lt;&gt;"",tbl_Historique_Final[[#This Row],[Commentaires]],""),"")</f>
        <v/>
      </c>
      <c r="R126"/>
      <c r="X126" s="8" t="str">
        <f>IF(Final_Sans_VGE[[#This Row],[ppn_z]]="","",IFERROR(
   IF(_xlfn.XLOOKUP(Final_Sans_VGE[[#This Row],[ppn_z]],tbl_Historique_Final[ppn_z],tbl_Historique_Final[date_modif])=Final_Sans_VGE[[#This Row],[date_modif]],
      "Ancien",
      "Modifié"),
   "Nouveau"))</f>
        <v>Ancien</v>
      </c>
      <c r="AB126" s="1"/>
    </row>
    <row r="127" spans="1:28" ht="30" x14ac:dyDescent="0.25">
      <c r="A127" s="5" t="s">
        <v>449</v>
      </c>
      <c r="B127" s="1" t="s">
        <v>6614</v>
      </c>
      <c r="C127" s="1" t="s">
        <v>6615</v>
      </c>
      <c r="E127" s="1" t="s">
        <v>139</v>
      </c>
      <c r="G127" s="1" t="s">
        <v>10</v>
      </c>
      <c r="J127" s="3">
        <v>45358.339849537035</v>
      </c>
      <c r="K127" s="2" t="s">
        <v>6616</v>
      </c>
      <c r="L127" s="1">
        <v>3</v>
      </c>
      <c r="M127" s="1">
        <v>3</v>
      </c>
      <c r="N127">
        <v>0</v>
      </c>
      <c r="O127" s="3">
        <f>IF(
    R127="Ancien",
    _xlfn.XLOOKUP(
        Final_Sans_VGE[[#This Row],[ppn_z]],
        tbl_Historique_Final[ppn_z],
        tbl_Historique_Final[Horodatage],
        ""
    ),
    Horodatage!$A$2
)</f>
        <v>46233.670796365739</v>
      </c>
      <c r="P127" s="1" t="str">
        <f>IFERROR(IF(tbl_Historique_Final[[#This Row],[Commentaires]]&lt;&gt;"",tbl_Historique_Final[[#This Row],[Commentaires]],""),"")</f>
        <v/>
      </c>
      <c r="R127"/>
      <c r="X127" s="8" t="str">
        <f>IF(Final_Sans_VGE[[#This Row],[ppn_z]]="","",IFERROR(
   IF(_xlfn.XLOOKUP(Final_Sans_VGE[[#This Row],[ppn_z]],tbl_Historique_Final[ppn_z],tbl_Historique_Final[date_modif])=Final_Sans_VGE[[#This Row],[date_modif]],
      "Ancien",
      "Modifié"),
   "Nouveau"))</f>
        <v>Ancien</v>
      </c>
      <c r="AB127" s="1"/>
    </row>
    <row r="128" spans="1:28" ht="30" x14ac:dyDescent="0.25">
      <c r="A128" s="5" t="s">
        <v>452</v>
      </c>
      <c r="B128" s="1" t="s">
        <v>6617</v>
      </c>
      <c r="C128" s="1" t="s">
        <v>6406</v>
      </c>
      <c r="J128" s="3">
        <v>45254.460185185184</v>
      </c>
      <c r="K128" s="2" t="s">
        <v>6618</v>
      </c>
      <c r="L128" s="1">
        <v>36</v>
      </c>
      <c r="M128" s="1">
        <v>37</v>
      </c>
      <c r="N128">
        <v>1</v>
      </c>
      <c r="O128" s="3">
        <f>IF(
    R128="Ancien",
    _xlfn.XLOOKUP(
        Final_Sans_VGE[[#This Row],[ppn_z]],
        tbl_Historique_Final[ppn_z],
        tbl_Historique_Final[Horodatage],
        ""
    ),
    Horodatage!$A$2
)</f>
        <v>46233.670796365739</v>
      </c>
      <c r="P128" s="1" t="str">
        <f>IFERROR(IF(tbl_Historique_Final[[#This Row],[Commentaires]]&lt;&gt;"",tbl_Historique_Final[[#This Row],[Commentaires]],""),"")</f>
        <v/>
      </c>
      <c r="R128"/>
      <c r="X128" s="8" t="str">
        <f>IF(Final_Sans_VGE[[#This Row],[ppn_z]]="","",IFERROR(
   IF(_xlfn.XLOOKUP(Final_Sans_VGE[[#This Row],[ppn_z]],tbl_Historique_Final[ppn_z],tbl_Historique_Final[date_modif])=Final_Sans_VGE[[#This Row],[date_modif]],
      "Ancien",
      "Modifié"),
   "Nouveau"))</f>
        <v>Ancien</v>
      </c>
      <c r="AB128" s="1"/>
    </row>
    <row r="129" spans="1:28" ht="90" x14ac:dyDescent="0.25">
      <c r="A129" s="5" t="s">
        <v>455</v>
      </c>
      <c r="B129" s="1" t="s">
        <v>6619</v>
      </c>
      <c r="C129" s="1" t="s">
        <v>56</v>
      </c>
      <c r="G129" s="1" t="s">
        <v>10</v>
      </c>
      <c r="J129" s="3">
        <v>44444.141296296293</v>
      </c>
      <c r="K129" s="2" t="s">
        <v>6620</v>
      </c>
      <c r="L129" s="1">
        <v>3</v>
      </c>
      <c r="M129" s="1">
        <v>3</v>
      </c>
      <c r="N129">
        <v>0</v>
      </c>
      <c r="O129" s="3">
        <f>IF(
    R129="Ancien",
    _xlfn.XLOOKUP(
        Final_Sans_VGE[[#This Row],[ppn_z]],
        tbl_Historique_Final[ppn_z],
        tbl_Historique_Final[Horodatage],
        ""
    ),
    Horodatage!$A$2
)</f>
        <v>46233.670796365739</v>
      </c>
      <c r="P129" s="1" t="str">
        <f>IFERROR(IF(tbl_Historique_Final[[#This Row],[Commentaires]]&lt;&gt;"",tbl_Historique_Final[[#This Row],[Commentaires]],""),"")</f>
        <v/>
      </c>
      <c r="R129"/>
      <c r="X129" s="8" t="str">
        <f>IF(Final_Sans_VGE[[#This Row],[ppn_z]]="","",IFERROR(
   IF(_xlfn.XLOOKUP(Final_Sans_VGE[[#This Row],[ppn_z]],tbl_Historique_Final[ppn_z],tbl_Historique_Final[date_modif])=Final_Sans_VGE[[#This Row],[date_modif]],
      "Ancien",
      "Modifié"),
   "Nouveau"))</f>
        <v>Ancien</v>
      </c>
      <c r="AB129" s="1"/>
    </row>
    <row r="130" spans="1:28" x14ac:dyDescent="0.25">
      <c r="A130" s="5" t="s">
        <v>458</v>
      </c>
      <c r="B130" s="1" t="s">
        <v>6621</v>
      </c>
      <c r="C130" s="1" t="s">
        <v>6554</v>
      </c>
      <c r="G130" s="1" t="s">
        <v>11</v>
      </c>
      <c r="J130" s="3">
        <v>44444.141319444447</v>
      </c>
      <c r="K130" s="2" t="s">
        <v>6622</v>
      </c>
      <c r="L130" s="1">
        <v>2</v>
      </c>
      <c r="M130" s="1">
        <v>2</v>
      </c>
      <c r="N130">
        <v>0</v>
      </c>
      <c r="O130" s="3">
        <f>IF(
    R130="Ancien",
    _xlfn.XLOOKUP(
        Final_Sans_VGE[[#This Row],[ppn_z]],
        tbl_Historique_Final[ppn_z],
        tbl_Historique_Final[Horodatage],
        ""
    ),
    Horodatage!$A$2
)</f>
        <v>46233.670796365739</v>
      </c>
      <c r="P130" s="1" t="str">
        <f>IFERROR(IF(tbl_Historique_Final[[#This Row],[Commentaires]]&lt;&gt;"",tbl_Historique_Final[[#This Row],[Commentaires]],""),"")</f>
        <v/>
      </c>
      <c r="R130"/>
      <c r="X130" s="8" t="str">
        <f>IF(Final_Sans_VGE[[#This Row],[ppn_z]]="","",IFERROR(
   IF(_xlfn.XLOOKUP(Final_Sans_VGE[[#This Row],[ppn_z]],tbl_Historique_Final[ppn_z],tbl_Historique_Final[date_modif])=Final_Sans_VGE[[#This Row],[date_modif]],
      "Ancien",
      "Modifié"),
   "Nouveau"))</f>
        <v>Ancien</v>
      </c>
      <c r="AB130" s="1"/>
    </row>
    <row r="131" spans="1:28" x14ac:dyDescent="0.25">
      <c r="A131" s="5" t="s">
        <v>461</v>
      </c>
      <c r="B131" s="1" t="s">
        <v>6623</v>
      </c>
      <c r="C131" s="1" t="s">
        <v>66</v>
      </c>
      <c r="G131" s="1" t="s">
        <v>10</v>
      </c>
      <c r="J131" s="3">
        <v>44592.733958333331</v>
      </c>
      <c r="K131" s="2" t="s">
        <v>6624</v>
      </c>
      <c r="L131" s="1">
        <v>1</v>
      </c>
      <c r="M131" s="1">
        <v>1</v>
      </c>
      <c r="N131">
        <v>0</v>
      </c>
      <c r="O131" s="3">
        <f>IF(
    R131="Ancien",
    _xlfn.XLOOKUP(
        Final_Sans_VGE[[#This Row],[ppn_z]],
        tbl_Historique_Final[ppn_z],
        tbl_Historique_Final[Horodatage],
        ""
    ),
    Horodatage!$A$2
)</f>
        <v>46233.670796365739</v>
      </c>
      <c r="P131" s="1" t="str">
        <f>IFERROR(IF(tbl_Historique_Final[[#This Row],[Commentaires]]&lt;&gt;"",tbl_Historique_Final[[#This Row],[Commentaires]],""),"")</f>
        <v/>
      </c>
      <c r="R131"/>
      <c r="X131" s="8" t="str">
        <f>IF(Final_Sans_VGE[[#This Row],[ppn_z]]="","",IFERROR(
   IF(_xlfn.XLOOKUP(Final_Sans_VGE[[#This Row],[ppn_z]],tbl_Historique_Final[ppn_z],tbl_Historique_Final[date_modif])=Final_Sans_VGE[[#This Row],[date_modif]],
      "Ancien",
      "Modifié"),
   "Nouveau"))</f>
        <v>Ancien</v>
      </c>
      <c r="AB131" s="1"/>
    </row>
    <row r="132" spans="1:28" x14ac:dyDescent="0.25">
      <c r="A132" s="5" t="s">
        <v>464</v>
      </c>
      <c r="B132" s="1" t="s">
        <v>6625</v>
      </c>
      <c r="C132" s="1" t="s">
        <v>139</v>
      </c>
      <c r="E132" s="1" t="s">
        <v>32</v>
      </c>
      <c r="G132" s="1" t="s">
        <v>11</v>
      </c>
      <c r="J132" s="3">
        <v>45358.891053240739</v>
      </c>
      <c r="K132" s="2" t="s">
        <v>6626</v>
      </c>
      <c r="L132" s="1">
        <v>8</v>
      </c>
      <c r="M132" s="1">
        <v>8</v>
      </c>
      <c r="N132">
        <v>0</v>
      </c>
      <c r="O132" s="3">
        <f>IF(
    R132="Ancien",
    _xlfn.XLOOKUP(
        Final_Sans_VGE[[#This Row],[ppn_z]],
        tbl_Historique_Final[ppn_z],
        tbl_Historique_Final[Horodatage],
        ""
    ),
    Horodatage!$A$2
)</f>
        <v>46233.670796365739</v>
      </c>
      <c r="P132" s="1" t="str">
        <f>IFERROR(IF(tbl_Historique_Final[[#This Row],[Commentaires]]&lt;&gt;"",tbl_Historique_Final[[#This Row],[Commentaires]],""),"")</f>
        <v/>
      </c>
      <c r="R132"/>
      <c r="X132" s="8" t="str">
        <f>IF(Final_Sans_VGE[[#This Row],[ppn_z]]="","",IFERROR(
   IF(_xlfn.XLOOKUP(Final_Sans_VGE[[#This Row],[ppn_z]],tbl_Historique_Final[ppn_z],tbl_Historique_Final[date_modif])=Final_Sans_VGE[[#This Row],[date_modif]],
      "Ancien",
      "Modifié"),
   "Nouveau"))</f>
        <v>Ancien</v>
      </c>
      <c r="AB132" s="1"/>
    </row>
    <row r="133" spans="1:28" ht="75" x14ac:dyDescent="0.25">
      <c r="A133" s="5" t="s">
        <v>467</v>
      </c>
      <c r="B133" s="1" t="s">
        <v>6627</v>
      </c>
      <c r="C133" s="1" t="s">
        <v>58</v>
      </c>
      <c r="G133" s="1" t="s">
        <v>10</v>
      </c>
      <c r="J133" s="3">
        <v>44444.141226851854</v>
      </c>
      <c r="K133" s="2" t="s">
        <v>6628</v>
      </c>
      <c r="L133" s="1">
        <v>3</v>
      </c>
      <c r="M133" s="1">
        <v>8</v>
      </c>
      <c r="N133">
        <v>5</v>
      </c>
      <c r="O133" s="3">
        <f>IF(
    R133="Ancien",
    _xlfn.XLOOKUP(
        Final_Sans_VGE[[#This Row],[ppn_z]],
        tbl_Historique_Final[ppn_z],
        tbl_Historique_Final[Horodatage],
        ""
    ),
    Horodatage!$A$2
)</f>
        <v>46233.670796365739</v>
      </c>
      <c r="P133" s="1" t="str">
        <f>IFERROR(IF(tbl_Historique_Final[[#This Row],[Commentaires]]&lt;&gt;"",tbl_Historique_Final[[#This Row],[Commentaires]],""),"")</f>
        <v/>
      </c>
      <c r="R133"/>
      <c r="X133" s="8" t="str">
        <f>IF(Final_Sans_VGE[[#This Row],[ppn_z]]="","",IFERROR(
   IF(_xlfn.XLOOKUP(Final_Sans_VGE[[#This Row],[ppn_z]],tbl_Historique_Final[ppn_z],tbl_Historique_Final[date_modif])=Final_Sans_VGE[[#This Row],[date_modif]],
      "Ancien",
      "Modifié"),
   "Nouveau"))</f>
        <v>Ancien</v>
      </c>
      <c r="AB133" s="1"/>
    </row>
    <row r="134" spans="1:28" x14ac:dyDescent="0.25">
      <c r="A134" s="5" t="s">
        <v>470</v>
      </c>
      <c r="B134" s="1" t="s">
        <v>6629</v>
      </c>
      <c r="C134" s="1" t="s">
        <v>12</v>
      </c>
      <c r="G134" s="1" t="s">
        <v>10</v>
      </c>
      <c r="J134" s="3">
        <v>45345.629618055558</v>
      </c>
      <c r="K134" s="2" t="s">
        <v>6630</v>
      </c>
      <c r="L134" s="1">
        <v>21</v>
      </c>
      <c r="M134" s="1">
        <v>25</v>
      </c>
      <c r="N134">
        <v>4</v>
      </c>
      <c r="O134" s="3">
        <f>IF(
    R134="Ancien",
    _xlfn.XLOOKUP(
        Final_Sans_VGE[[#This Row],[ppn_z]],
        tbl_Historique_Final[ppn_z],
        tbl_Historique_Final[Horodatage],
        ""
    ),
    Horodatage!$A$2
)</f>
        <v>46233.670796365739</v>
      </c>
      <c r="P134" s="1" t="str">
        <f>IFERROR(IF(tbl_Historique_Final[[#This Row],[Commentaires]]&lt;&gt;"",tbl_Historique_Final[[#This Row],[Commentaires]],""),"")</f>
        <v/>
      </c>
      <c r="R134"/>
      <c r="X134" s="8" t="str">
        <f>IF(Final_Sans_VGE[[#This Row],[ppn_z]]="","",IFERROR(
   IF(_xlfn.XLOOKUP(Final_Sans_VGE[[#This Row],[ppn_z]],tbl_Historique_Final[ppn_z],tbl_Historique_Final[date_modif])=Final_Sans_VGE[[#This Row],[date_modif]],
      "Ancien",
      "Modifié"),
   "Nouveau"))</f>
        <v>Ancien</v>
      </c>
      <c r="AB134" s="1"/>
    </row>
    <row r="135" spans="1:28" ht="30" x14ac:dyDescent="0.25">
      <c r="A135" s="5" t="s">
        <v>473</v>
      </c>
      <c r="B135" s="1" t="s">
        <v>6631</v>
      </c>
      <c r="C135" s="1" t="s">
        <v>12</v>
      </c>
      <c r="G135" s="1" t="s">
        <v>10</v>
      </c>
      <c r="J135" s="3">
        <v>44539.611932870372</v>
      </c>
      <c r="K135" s="2" t="s">
        <v>6632</v>
      </c>
      <c r="L135" s="1">
        <v>1</v>
      </c>
      <c r="M135" s="1">
        <v>1</v>
      </c>
      <c r="N135">
        <v>0</v>
      </c>
      <c r="O135" s="3">
        <f>IF(
    R135="Ancien",
    _xlfn.XLOOKUP(
        Final_Sans_VGE[[#This Row],[ppn_z]],
        tbl_Historique_Final[ppn_z],
        tbl_Historique_Final[Horodatage],
        ""
    ),
    Horodatage!$A$2
)</f>
        <v>46233.670796365739</v>
      </c>
      <c r="P135" s="1" t="str">
        <f>IFERROR(IF(tbl_Historique_Final[[#This Row],[Commentaires]]&lt;&gt;"",tbl_Historique_Final[[#This Row],[Commentaires]],""),"")</f>
        <v/>
      </c>
      <c r="R135"/>
      <c r="X135" s="8" t="str">
        <f>IF(Final_Sans_VGE[[#This Row],[ppn_z]]="","",IFERROR(
   IF(_xlfn.XLOOKUP(Final_Sans_VGE[[#This Row],[ppn_z]],tbl_Historique_Final[ppn_z],tbl_Historique_Final[date_modif])=Final_Sans_VGE[[#This Row],[date_modif]],
      "Ancien",
      "Modifié"),
   "Nouveau"))</f>
        <v>Ancien</v>
      </c>
      <c r="AB135" s="1"/>
    </row>
    <row r="136" spans="1:28" x14ac:dyDescent="0.25">
      <c r="A136" s="5" t="s">
        <v>476</v>
      </c>
      <c r="B136" s="1" t="s">
        <v>6633</v>
      </c>
      <c r="C136" s="1" t="s">
        <v>6353</v>
      </c>
      <c r="E136" s="1" t="s">
        <v>57</v>
      </c>
      <c r="G136" s="1" t="s">
        <v>10</v>
      </c>
      <c r="J136" s="3">
        <v>45356.659363425926</v>
      </c>
      <c r="K136" s="2" t="s">
        <v>6634</v>
      </c>
      <c r="L136" s="1">
        <v>1</v>
      </c>
      <c r="M136" s="1">
        <v>2</v>
      </c>
      <c r="N136">
        <v>1</v>
      </c>
      <c r="O136" s="3">
        <f>IF(
    R136="Ancien",
    _xlfn.XLOOKUP(
        Final_Sans_VGE[[#This Row],[ppn_z]],
        tbl_Historique_Final[ppn_z],
        tbl_Historique_Final[Horodatage],
        ""
    ),
    Horodatage!$A$2
)</f>
        <v>46233.670796365739</v>
      </c>
      <c r="P136" s="1" t="str">
        <f>IFERROR(IF(tbl_Historique_Final[[#This Row],[Commentaires]]&lt;&gt;"",tbl_Historique_Final[[#This Row],[Commentaires]],""),"")</f>
        <v/>
      </c>
      <c r="R136"/>
      <c r="X136" s="8" t="str">
        <f>IF(Final_Sans_VGE[[#This Row],[ppn_z]]="","",IFERROR(
   IF(_xlfn.XLOOKUP(Final_Sans_VGE[[#This Row],[ppn_z]],tbl_Historique_Final[ppn_z],tbl_Historique_Final[date_modif])=Final_Sans_VGE[[#This Row],[date_modif]],
      "Ancien",
      "Modifié"),
   "Nouveau"))</f>
        <v>Ancien</v>
      </c>
      <c r="AB136" s="1"/>
    </row>
    <row r="137" spans="1:28" ht="30" x14ac:dyDescent="0.25">
      <c r="A137" s="5" t="s">
        <v>479</v>
      </c>
      <c r="B137" s="1" t="s">
        <v>6635</v>
      </c>
      <c r="C137" s="1" t="s">
        <v>12</v>
      </c>
      <c r="G137" s="1" t="s">
        <v>11</v>
      </c>
      <c r="J137" s="3">
        <v>45357.557997685188</v>
      </c>
      <c r="K137" s="2" t="s">
        <v>6636</v>
      </c>
      <c r="L137" s="1">
        <v>2</v>
      </c>
      <c r="M137" s="1">
        <v>2</v>
      </c>
      <c r="N137">
        <v>0</v>
      </c>
      <c r="O137" s="3">
        <f>IF(
    R137="Ancien",
    _xlfn.XLOOKUP(
        Final_Sans_VGE[[#This Row],[ppn_z]],
        tbl_Historique_Final[ppn_z],
        tbl_Historique_Final[Horodatage],
        ""
    ),
    Horodatage!$A$2
)</f>
        <v>46233.670796365739</v>
      </c>
      <c r="P137" s="1" t="str">
        <f>IFERROR(IF(tbl_Historique_Final[[#This Row],[Commentaires]]&lt;&gt;"",tbl_Historique_Final[[#This Row],[Commentaires]],""),"")</f>
        <v/>
      </c>
      <c r="R137"/>
      <c r="X137" s="8" t="str">
        <f>IF(Final_Sans_VGE[[#This Row],[ppn_z]]="","",IFERROR(
   IF(_xlfn.XLOOKUP(Final_Sans_VGE[[#This Row],[ppn_z]],tbl_Historique_Final[ppn_z],tbl_Historique_Final[date_modif])=Final_Sans_VGE[[#This Row],[date_modif]],
      "Ancien",
      "Modifié"),
   "Nouveau"))</f>
        <v>Ancien</v>
      </c>
      <c r="AB137" s="1"/>
    </row>
    <row r="138" spans="1:28" x14ac:dyDescent="0.25">
      <c r="A138" s="5" t="s">
        <v>482</v>
      </c>
      <c r="B138" s="1" t="s">
        <v>6637</v>
      </c>
      <c r="C138" s="1" t="s">
        <v>12</v>
      </c>
      <c r="G138" s="1" t="s">
        <v>10</v>
      </c>
      <c r="J138" s="3">
        <v>45358.891064814816</v>
      </c>
      <c r="K138" s="2" t="s">
        <v>6638</v>
      </c>
      <c r="L138" s="1">
        <v>8</v>
      </c>
      <c r="M138" s="1">
        <v>10</v>
      </c>
      <c r="N138">
        <v>2</v>
      </c>
      <c r="O138" s="3">
        <f>IF(
    R138="Ancien",
    _xlfn.XLOOKUP(
        Final_Sans_VGE[[#This Row],[ppn_z]],
        tbl_Historique_Final[ppn_z],
        tbl_Historique_Final[Horodatage],
        ""
    ),
    Horodatage!$A$2
)</f>
        <v>46233.670796365739</v>
      </c>
      <c r="P138" s="1" t="str">
        <f>IFERROR(IF(tbl_Historique_Final[[#This Row],[Commentaires]]&lt;&gt;"",tbl_Historique_Final[[#This Row],[Commentaires]],""),"")</f>
        <v/>
      </c>
      <c r="R138"/>
      <c r="X138" s="8" t="str">
        <f>IF(Final_Sans_VGE[[#This Row],[ppn_z]]="","",IFERROR(
   IF(_xlfn.XLOOKUP(Final_Sans_VGE[[#This Row],[ppn_z]],tbl_Historique_Final[ppn_z],tbl_Historique_Final[date_modif])=Final_Sans_VGE[[#This Row],[date_modif]],
      "Ancien",
      "Modifié"),
   "Nouveau"))</f>
        <v>Ancien</v>
      </c>
      <c r="AB138" s="1"/>
    </row>
    <row r="139" spans="1:28" x14ac:dyDescent="0.25">
      <c r="A139" s="5" t="s">
        <v>485</v>
      </c>
      <c r="B139" s="1" t="s">
        <v>6639</v>
      </c>
      <c r="C139" s="1" t="s">
        <v>6640</v>
      </c>
      <c r="E139" s="1" t="s">
        <v>6641</v>
      </c>
      <c r="G139" s="1" t="s">
        <v>10</v>
      </c>
      <c r="J139" s="3">
        <v>45357.453206018516</v>
      </c>
      <c r="K139" s="2" t="s">
        <v>6642</v>
      </c>
      <c r="L139" s="1">
        <v>1</v>
      </c>
      <c r="M139" s="1">
        <v>1</v>
      </c>
      <c r="N139">
        <v>0</v>
      </c>
      <c r="O139" s="3">
        <f>IF(
    R139="Ancien",
    _xlfn.XLOOKUP(
        Final_Sans_VGE[[#This Row],[ppn_z]],
        tbl_Historique_Final[ppn_z],
        tbl_Historique_Final[Horodatage],
        ""
    ),
    Horodatage!$A$2
)</f>
        <v>46233.670796365739</v>
      </c>
      <c r="P139" s="1" t="str">
        <f>IFERROR(IF(tbl_Historique_Final[[#This Row],[Commentaires]]&lt;&gt;"",tbl_Historique_Final[[#This Row],[Commentaires]],""),"")</f>
        <v/>
      </c>
      <c r="R139"/>
      <c r="X139" s="8" t="str">
        <f>IF(Final_Sans_VGE[[#This Row],[ppn_z]]="","",IFERROR(
   IF(_xlfn.XLOOKUP(Final_Sans_VGE[[#This Row],[ppn_z]],tbl_Historique_Final[ppn_z],tbl_Historique_Final[date_modif])=Final_Sans_VGE[[#This Row],[date_modif]],
      "Ancien",
      "Modifié"),
   "Nouveau"))</f>
        <v>Ancien</v>
      </c>
      <c r="AB139" s="1"/>
    </row>
    <row r="140" spans="1:28" ht="90" x14ac:dyDescent="0.25">
      <c r="A140" s="5" t="s">
        <v>488</v>
      </c>
      <c r="B140" s="1" t="s">
        <v>6643</v>
      </c>
      <c r="C140" s="1" t="s">
        <v>12</v>
      </c>
      <c r="G140" s="1" t="s">
        <v>11</v>
      </c>
      <c r="J140" s="3">
        <v>44444.196782407409</v>
      </c>
      <c r="K140" s="2" t="s">
        <v>6644</v>
      </c>
      <c r="L140" s="1">
        <v>1</v>
      </c>
      <c r="M140" s="1">
        <v>1</v>
      </c>
      <c r="N140">
        <v>0</v>
      </c>
      <c r="O140" s="3">
        <f>IF(
    R140="Ancien",
    _xlfn.XLOOKUP(
        Final_Sans_VGE[[#This Row],[ppn_z]],
        tbl_Historique_Final[ppn_z],
        tbl_Historique_Final[Horodatage],
        ""
    ),
    Horodatage!$A$2
)</f>
        <v>46233.670796365739</v>
      </c>
      <c r="P140" s="1" t="str">
        <f>IFERROR(IF(tbl_Historique_Final[[#This Row],[Commentaires]]&lt;&gt;"",tbl_Historique_Final[[#This Row],[Commentaires]],""),"")</f>
        <v/>
      </c>
      <c r="R140"/>
      <c r="X140" s="8" t="str">
        <f>IF(Final_Sans_VGE[[#This Row],[ppn_z]]="","",IFERROR(
   IF(_xlfn.XLOOKUP(Final_Sans_VGE[[#This Row],[ppn_z]],tbl_Historique_Final[ppn_z],tbl_Historique_Final[date_modif])=Final_Sans_VGE[[#This Row],[date_modif]],
      "Ancien",
      "Modifié"),
   "Nouveau"))</f>
        <v>Ancien</v>
      </c>
      <c r="AB140" s="1"/>
    </row>
    <row r="141" spans="1:28" ht="30" x14ac:dyDescent="0.25">
      <c r="A141" s="5" t="s">
        <v>491</v>
      </c>
      <c r="B141" s="1" t="s">
        <v>6645</v>
      </c>
      <c r="C141" s="1" t="s">
        <v>6554</v>
      </c>
      <c r="G141" s="1" t="s">
        <v>11</v>
      </c>
      <c r="J141" s="3">
        <v>44444.080289351848</v>
      </c>
      <c r="K141" s="2" t="s">
        <v>6646</v>
      </c>
      <c r="L141" s="1">
        <v>2</v>
      </c>
      <c r="M141" s="1">
        <v>2</v>
      </c>
      <c r="N141">
        <v>0</v>
      </c>
      <c r="O141" s="3">
        <f>IF(
    R141="Ancien",
    _xlfn.XLOOKUP(
        Final_Sans_VGE[[#This Row],[ppn_z]],
        tbl_Historique_Final[ppn_z],
        tbl_Historique_Final[Horodatage],
        ""
    ),
    Horodatage!$A$2
)</f>
        <v>46233.670796365739</v>
      </c>
      <c r="P141" s="1" t="str">
        <f>IFERROR(IF(tbl_Historique_Final[[#This Row],[Commentaires]]&lt;&gt;"",tbl_Historique_Final[[#This Row],[Commentaires]],""),"")</f>
        <v/>
      </c>
      <c r="R141"/>
      <c r="X141" s="8" t="str">
        <f>IF(Final_Sans_VGE[[#This Row],[ppn_z]]="","",IFERROR(
   IF(_xlfn.XLOOKUP(Final_Sans_VGE[[#This Row],[ppn_z]],tbl_Historique_Final[ppn_z],tbl_Historique_Final[date_modif])=Final_Sans_VGE[[#This Row],[date_modif]],
      "Ancien",
      "Modifié"),
   "Nouveau"))</f>
        <v>Ancien</v>
      </c>
      <c r="AB141" s="1"/>
    </row>
    <row r="142" spans="1:28" x14ac:dyDescent="0.25">
      <c r="A142" s="5" t="s">
        <v>494</v>
      </c>
      <c r="B142" s="1" t="s">
        <v>6647</v>
      </c>
      <c r="C142" s="1" t="s">
        <v>12</v>
      </c>
      <c r="G142" s="1" t="s">
        <v>11</v>
      </c>
      <c r="J142" s="3">
        <v>44444.196747685186</v>
      </c>
      <c r="K142" s="2" t="s">
        <v>6648</v>
      </c>
      <c r="L142" s="1">
        <v>1</v>
      </c>
      <c r="M142" s="1">
        <v>1</v>
      </c>
      <c r="N142">
        <v>0</v>
      </c>
      <c r="O142" s="3">
        <f>IF(
    R142="Ancien",
    _xlfn.XLOOKUP(
        Final_Sans_VGE[[#This Row],[ppn_z]],
        tbl_Historique_Final[ppn_z],
        tbl_Historique_Final[Horodatage],
        ""
    ),
    Horodatage!$A$2
)</f>
        <v>46233.670796365739</v>
      </c>
      <c r="P142" s="1" t="str">
        <f>IFERROR(IF(tbl_Historique_Final[[#This Row],[Commentaires]]&lt;&gt;"",tbl_Historique_Final[[#This Row],[Commentaires]],""),"")</f>
        <v/>
      </c>
      <c r="R142"/>
      <c r="X142" s="8" t="str">
        <f>IF(Final_Sans_VGE[[#This Row],[ppn_z]]="","",IFERROR(
   IF(_xlfn.XLOOKUP(Final_Sans_VGE[[#This Row],[ppn_z]],tbl_Historique_Final[ppn_z],tbl_Historique_Final[date_modif])=Final_Sans_VGE[[#This Row],[date_modif]],
      "Ancien",
      "Modifié"),
   "Nouveau"))</f>
        <v>Ancien</v>
      </c>
      <c r="AB142" s="1"/>
    </row>
    <row r="143" spans="1:28" x14ac:dyDescent="0.25">
      <c r="A143" s="5" t="s">
        <v>497</v>
      </c>
      <c r="B143" s="1" t="s">
        <v>6649</v>
      </c>
      <c r="C143" s="1" t="s">
        <v>12</v>
      </c>
      <c r="J143" s="3">
        <v>45344.558275462965</v>
      </c>
      <c r="K143" s="2" t="s">
        <v>6650</v>
      </c>
      <c r="L143" s="1">
        <v>19</v>
      </c>
      <c r="M143" s="1">
        <v>19</v>
      </c>
      <c r="N143">
        <v>0</v>
      </c>
      <c r="O143" s="3">
        <f>IF(
    R143="Ancien",
    _xlfn.XLOOKUP(
        Final_Sans_VGE[[#This Row],[ppn_z]],
        tbl_Historique_Final[ppn_z],
        tbl_Historique_Final[Horodatage],
        ""
    ),
    Horodatage!$A$2
)</f>
        <v>46233.670796365739</v>
      </c>
      <c r="P143" s="1" t="str">
        <f>IFERROR(IF(tbl_Historique_Final[[#This Row],[Commentaires]]&lt;&gt;"",tbl_Historique_Final[[#This Row],[Commentaires]],""),"")</f>
        <v/>
      </c>
      <c r="R143"/>
      <c r="X143" s="8" t="str">
        <f>IF(Final_Sans_VGE[[#This Row],[ppn_z]]="","",IFERROR(
   IF(_xlfn.XLOOKUP(Final_Sans_VGE[[#This Row],[ppn_z]],tbl_Historique_Final[ppn_z],tbl_Historique_Final[date_modif])=Final_Sans_VGE[[#This Row],[date_modif]],
      "Ancien",
      "Modifié"),
   "Nouveau"))</f>
        <v>Ancien</v>
      </c>
      <c r="AB143" s="1"/>
    </row>
    <row r="144" spans="1:28" x14ac:dyDescent="0.25">
      <c r="A144" s="5" t="s">
        <v>500</v>
      </c>
      <c r="B144" s="1" t="s">
        <v>6651</v>
      </c>
      <c r="C144" s="1" t="s">
        <v>6652</v>
      </c>
      <c r="E144" s="1" t="s">
        <v>59</v>
      </c>
      <c r="J144" s="3">
        <v>45361.526273148149</v>
      </c>
      <c r="L144" s="1">
        <v>5</v>
      </c>
      <c r="M144" s="1">
        <v>5</v>
      </c>
      <c r="N144">
        <v>0</v>
      </c>
      <c r="O144" s="3">
        <f>IF(
    R144="Ancien",
    _xlfn.XLOOKUP(
        Final_Sans_VGE[[#This Row],[ppn_z]],
        tbl_Historique_Final[ppn_z],
        tbl_Historique_Final[Horodatage],
        ""
    ),
    Horodatage!$A$2
)</f>
        <v>46233.670796365739</v>
      </c>
      <c r="P144" s="1" t="str">
        <f>IFERROR(IF(tbl_Historique_Final[[#This Row],[Commentaires]]&lt;&gt;"",tbl_Historique_Final[[#This Row],[Commentaires]],""),"")</f>
        <v/>
      </c>
      <c r="R144"/>
      <c r="X144" s="8" t="str">
        <f>IF(Final_Sans_VGE[[#This Row],[ppn_z]]="","",IFERROR(
   IF(_xlfn.XLOOKUP(Final_Sans_VGE[[#This Row],[ppn_z]],tbl_Historique_Final[ppn_z],tbl_Historique_Final[date_modif])=Final_Sans_VGE[[#This Row],[date_modif]],
      "Ancien",
      "Modifié"),
   "Nouveau"))</f>
        <v>Ancien</v>
      </c>
      <c r="AB144" s="1"/>
    </row>
    <row r="145" spans="1:28" x14ac:dyDescent="0.25">
      <c r="A145" s="5" t="s">
        <v>503</v>
      </c>
      <c r="B145" s="1" t="s">
        <v>6653</v>
      </c>
      <c r="C145" s="1" t="s">
        <v>6554</v>
      </c>
      <c r="G145" s="1" t="s">
        <v>11</v>
      </c>
      <c r="J145" s="3">
        <v>44444.110925925925</v>
      </c>
      <c r="K145" s="2" t="s">
        <v>6654</v>
      </c>
      <c r="L145" s="1">
        <v>1</v>
      </c>
      <c r="M145" s="1">
        <v>1</v>
      </c>
      <c r="N145">
        <v>0</v>
      </c>
      <c r="O145" s="3">
        <f>IF(
    R145="Ancien",
    _xlfn.XLOOKUP(
        Final_Sans_VGE[[#This Row],[ppn_z]],
        tbl_Historique_Final[ppn_z],
        tbl_Historique_Final[Horodatage],
        ""
    ),
    Horodatage!$A$2
)</f>
        <v>46233.670796365739</v>
      </c>
      <c r="P145" s="1" t="str">
        <f>IFERROR(IF(tbl_Historique_Final[[#This Row],[Commentaires]]&lt;&gt;"",tbl_Historique_Final[[#This Row],[Commentaires]],""),"")</f>
        <v/>
      </c>
      <c r="R145"/>
      <c r="X145" s="8" t="str">
        <f>IF(Final_Sans_VGE[[#This Row],[ppn_z]]="","",IFERROR(
   IF(_xlfn.XLOOKUP(Final_Sans_VGE[[#This Row],[ppn_z]],tbl_Historique_Final[ppn_z],tbl_Historique_Final[date_modif])=Final_Sans_VGE[[#This Row],[date_modif]],
      "Ancien",
      "Modifié"),
   "Nouveau"))</f>
        <v>Ancien</v>
      </c>
      <c r="AB145" s="1"/>
    </row>
    <row r="146" spans="1:28" x14ac:dyDescent="0.25">
      <c r="A146" s="5" t="s">
        <v>506</v>
      </c>
      <c r="B146" s="1" t="s">
        <v>6655</v>
      </c>
      <c r="C146" s="1" t="s">
        <v>60</v>
      </c>
      <c r="E146" s="1" t="s">
        <v>32</v>
      </c>
      <c r="G146" s="1" t="s">
        <v>10</v>
      </c>
      <c r="J146" s="3">
        <v>45361.839699074073</v>
      </c>
      <c r="K146" s="2" t="s">
        <v>126</v>
      </c>
      <c r="L146" s="1">
        <v>1</v>
      </c>
      <c r="M146" s="1">
        <v>1</v>
      </c>
      <c r="N146">
        <v>0</v>
      </c>
      <c r="O146" s="3">
        <f>IF(
    R146="Ancien",
    _xlfn.XLOOKUP(
        Final_Sans_VGE[[#This Row],[ppn_z]],
        tbl_Historique_Final[ppn_z],
        tbl_Historique_Final[Horodatage],
        ""
    ),
    Horodatage!$A$2
)</f>
        <v>46233.670796365739</v>
      </c>
      <c r="P146" s="1" t="str">
        <f>IFERROR(IF(tbl_Historique_Final[[#This Row],[Commentaires]]&lt;&gt;"",tbl_Historique_Final[[#This Row],[Commentaires]],""),"")</f>
        <v/>
      </c>
      <c r="R146"/>
      <c r="X146" s="8" t="str">
        <f>IF(Final_Sans_VGE[[#This Row],[ppn_z]]="","",IFERROR(
   IF(_xlfn.XLOOKUP(Final_Sans_VGE[[#This Row],[ppn_z]],tbl_Historique_Final[ppn_z],tbl_Historique_Final[date_modif])=Final_Sans_VGE[[#This Row],[date_modif]],
      "Ancien",
      "Modifié"),
   "Nouveau"))</f>
        <v>Ancien</v>
      </c>
      <c r="AB146" s="1"/>
    </row>
    <row r="147" spans="1:28" x14ac:dyDescent="0.25">
      <c r="A147" s="5" t="s">
        <v>509</v>
      </c>
      <c r="B147" s="1" t="s">
        <v>6656</v>
      </c>
      <c r="C147" s="1" t="s">
        <v>80</v>
      </c>
      <c r="G147" s="1" t="s">
        <v>10</v>
      </c>
      <c r="J147" s="3">
        <v>45357.631585648145</v>
      </c>
      <c r="K147" s="2" t="s">
        <v>126</v>
      </c>
      <c r="L147" s="1">
        <v>2</v>
      </c>
      <c r="M147" s="1">
        <v>3</v>
      </c>
      <c r="N147">
        <v>1</v>
      </c>
      <c r="O147" s="3">
        <f>IF(
    R147="Ancien",
    _xlfn.XLOOKUP(
        Final_Sans_VGE[[#This Row],[ppn_z]],
        tbl_Historique_Final[ppn_z],
        tbl_Historique_Final[Horodatage],
        ""
    ),
    Horodatage!$A$2
)</f>
        <v>46233.670796365739</v>
      </c>
      <c r="P147" s="1" t="str">
        <f>IFERROR(IF(tbl_Historique_Final[[#This Row],[Commentaires]]&lt;&gt;"",tbl_Historique_Final[[#This Row],[Commentaires]],""),"")</f>
        <v/>
      </c>
      <c r="R147"/>
      <c r="X147" s="8" t="str">
        <f>IF(Final_Sans_VGE[[#This Row],[ppn_z]]="","",IFERROR(
   IF(_xlfn.XLOOKUP(Final_Sans_VGE[[#This Row],[ppn_z]],tbl_Historique_Final[ppn_z],tbl_Historique_Final[date_modif])=Final_Sans_VGE[[#This Row],[date_modif]],
      "Ancien",
      "Modifié"),
   "Nouveau"))</f>
        <v>Ancien</v>
      </c>
      <c r="AB147" s="1"/>
    </row>
    <row r="148" spans="1:28" ht="60" x14ac:dyDescent="0.25">
      <c r="A148" s="5" t="s">
        <v>512</v>
      </c>
      <c r="B148" s="1" t="s">
        <v>6657</v>
      </c>
      <c r="C148" s="1" t="s">
        <v>12</v>
      </c>
      <c r="G148" s="1" t="s">
        <v>10</v>
      </c>
      <c r="J148" s="3">
        <v>44444.222060185188</v>
      </c>
      <c r="K148" s="2" t="s">
        <v>6658</v>
      </c>
      <c r="L148" s="1">
        <v>3</v>
      </c>
      <c r="M148" s="1">
        <v>3</v>
      </c>
      <c r="N148">
        <v>0</v>
      </c>
      <c r="O148" s="3">
        <f>IF(
    R148="Ancien",
    _xlfn.XLOOKUP(
        Final_Sans_VGE[[#This Row],[ppn_z]],
        tbl_Historique_Final[ppn_z],
        tbl_Historique_Final[Horodatage],
        ""
    ),
    Horodatage!$A$2
)</f>
        <v>46233.670796365739</v>
      </c>
      <c r="P148" s="1" t="str">
        <f>IFERROR(IF(tbl_Historique_Final[[#This Row],[Commentaires]]&lt;&gt;"",tbl_Historique_Final[[#This Row],[Commentaires]],""),"")</f>
        <v/>
      </c>
      <c r="R148"/>
      <c r="X148" s="8" t="str">
        <f>IF(Final_Sans_VGE[[#This Row],[ppn_z]]="","",IFERROR(
   IF(_xlfn.XLOOKUP(Final_Sans_VGE[[#This Row],[ppn_z]],tbl_Historique_Final[ppn_z],tbl_Historique_Final[date_modif])=Final_Sans_VGE[[#This Row],[date_modif]],
      "Ancien",
      "Modifié"),
   "Nouveau"))</f>
        <v>Ancien</v>
      </c>
      <c r="AB148" s="1"/>
    </row>
    <row r="149" spans="1:28" x14ac:dyDescent="0.25">
      <c r="A149" s="5" t="s">
        <v>515</v>
      </c>
      <c r="B149" s="1" t="s">
        <v>6659</v>
      </c>
      <c r="C149" s="1" t="s">
        <v>56</v>
      </c>
      <c r="G149" s="1" t="s">
        <v>10</v>
      </c>
      <c r="J149" s="3">
        <v>44444.08016203704</v>
      </c>
      <c r="K149" s="2" t="s">
        <v>6660</v>
      </c>
      <c r="L149" s="1">
        <v>4</v>
      </c>
      <c r="M149" s="1">
        <v>4</v>
      </c>
      <c r="N149">
        <v>0</v>
      </c>
      <c r="O149" s="3">
        <f>IF(
    R149="Ancien",
    _xlfn.XLOOKUP(
        Final_Sans_VGE[[#This Row],[ppn_z]],
        tbl_Historique_Final[ppn_z],
        tbl_Historique_Final[Horodatage],
        ""
    ),
    Horodatage!$A$2
)</f>
        <v>46233.670796365739</v>
      </c>
      <c r="P149" s="1" t="str">
        <f>IFERROR(IF(tbl_Historique_Final[[#This Row],[Commentaires]]&lt;&gt;"",tbl_Historique_Final[[#This Row],[Commentaires]],""),"")</f>
        <v/>
      </c>
      <c r="R149"/>
      <c r="X149" s="8" t="str">
        <f>IF(Final_Sans_VGE[[#This Row],[ppn_z]]="","",IFERROR(
   IF(_xlfn.XLOOKUP(Final_Sans_VGE[[#This Row],[ppn_z]],tbl_Historique_Final[ppn_z],tbl_Historique_Final[date_modif])=Final_Sans_VGE[[#This Row],[date_modif]],
      "Ancien",
      "Modifié"),
   "Nouveau"))</f>
        <v>Ancien</v>
      </c>
      <c r="AB149" s="1"/>
    </row>
    <row r="150" spans="1:28" x14ac:dyDescent="0.25">
      <c r="A150" s="5" t="s">
        <v>521</v>
      </c>
      <c r="B150" s="1" t="s">
        <v>6661</v>
      </c>
      <c r="C150" s="1" t="s">
        <v>71</v>
      </c>
      <c r="G150" s="1" t="s">
        <v>10</v>
      </c>
      <c r="J150" s="3">
        <v>45258.052268518521</v>
      </c>
      <c r="K150" s="2" t="s">
        <v>6662</v>
      </c>
      <c r="L150" s="1">
        <v>16</v>
      </c>
      <c r="M150" s="1">
        <v>20</v>
      </c>
      <c r="N150">
        <v>4</v>
      </c>
      <c r="O150" s="3">
        <f>IF(
    R150="Ancien",
    _xlfn.XLOOKUP(
        Final_Sans_VGE[[#This Row],[ppn_z]],
        tbl_Historique_Final[ppn_z],
        tbl_Historique_Final[Horodatage],
        ""
    ),
    Horodatage!$A$2
)</f>
        <v>46233.670796365739</v>
      </c>
      <c r="P150" s="1" t="str">
        <f>IFERROR(IF(tbl_Historique_Final[[#This Row],[Commentaires]]&lt;&gt;"",tbl_Historique_Final[[#This Row],[Commentaires]],""),"")</f>
        <v/>
      </c>
      <c r="R150"/>
      <c r="X150" s="8" t="str">
        <f>IF(Final_Sans_VGE[[#This Row],[ppn_z]]="","",IFERROR(
   IF(_xlfn.XLOOKUP(Final_Sans_VGE[[#This Row],[ppn_z]],tbl_Historique_Final[ppn_z],tbl_Historique_Final[date_modif])=Final_Sans_VGE[[#This Row],[date_modif]],
      "Ancien",
      "Modifié"),
   "Nouveau"))</f>
        <v>Ancien</v>
      </c>
      <c r="AB150" s="1"/>
    </row>
    <row r="151" spans="1:28" x14ac:dyDescent="0.25">
      <c r="A151" s="5" t="s">
        <v>524</v>
      </c>
      <c r="B151" s="1" t="s">
        <v>6663</v>
      </c>
      <c r="C151" s="1" t="s">
        <v>6554</v>
      </c>
      <c r="G151" s="1" t="s">
        <v>11</v>
      </c>
      <c r="J151" s="3">
        <v>44444.08011574074</v>
      </c>
      <c r="K151" s="2" t="s">
        <v>6664</v>
      </c>
      <c r="L151" s="1">
        <v>1</v>
      </c>
      <c r="M151" s="1">
        <v>1</v>
      </c>
      <c r="N151">
        <v>0</v>
      </c>
      <c r="O151" s="3">
        <f>IF(
    R151="Ancien",
    _xlfn.XLOOKUP(
        Final_Sans_VGE[[#This Row],[ppn_z]],
        tbl_Historique_Final[ppn_z],
        tbl_Historique_Final[Horodatage],
        ""
    ),
    Horodatage!$A$2
)</f>
        <v>46233.670796365739</v>
      </c>
      <c r="P151" s="1" t="str">
        <f>IFERROR(IF(tbl_Historique_Final[[#This Row],[Commentaires]]&lt;&gt;"",tbl_Historique_Final[[#This Row],[Commentaires]],""),"")</f>
        <v/>
      </c>
      <c r="R151"/>
      <c r="X151" s="8" t="str">
        <f>IF(Final_Sans_VGE[[#This Row],[ppn_z]]="","",IFERROR(
   IF(_xlfn.XLOOKUP(Final_Sans_VGE[[#This Row],[ppn_z]],tbl_Historique_Final[ppn_z],tbl_Historique_Final[date_modif])=Final_Sans_VGE[[#This Row],[date_modif]],
      "Ancien",
      "Modifié"),
   "Nouveau"))</f>
        <v>Ancien</v>
      </c>
      <c r="AB151" s="1"/>
    </row>
    <row r="152" spans="1:28" x14ac:dyDescent="0.25">
      <c r="A152" s="5" t="s">
        <v>527</v>
      </c>
      <c r="B152" s="1" t="s">
        <v>6665</v>
      </c>
      <c r="C152" s="1" t="s">
        <v>6666</v>
      </c>
      <c r="E152" s="1" t="s">
        <v>6667</v>
      </c>
      <c r="G152" s="1" t="s">
        <v>10</v>
      </c>
      <c r="J152" s="3">
        <v>45385.541168981479</v>
      </c>
      <c r="K152" s="2" t="s">
        <v>6668</v>
      </c>
      <c r="L152" s="1">
        <v>3</v>
      </c>
      <c r="M152" s="1">
        <v>3</v>
      </c>
      <c r="N152">
        <v>0</v>
      </c>
      <c r="O152" s="3">
        <f>IF(
    R152="Ancien",
    _xlfn.XLOOKUP(
        Final_Sans_VGE[[#This Row],[ppn_z]],
        tbl_Historique_Final[ppn_z],
        tbl_Historique_Final[Horodatage],
        ""
    ),
    Horodatage!$A$2
)</f>
        <v>46233.670796365739</v>
      </c>
      <c r="P152" s="1" t="str">
        <f>IFERROR(IF(tbl_Historique_Final[[#This Row],[Commentaires]]&lt;&gt;"",tbl_Historique_Final[[#This Row],[Commentaires]],""),"")</f>
        <v/>
      </c>
      <c r="R152"/>
      <c r="X152" s="8" t="str">
        <f>IF(Final_Sans_VGE[[#This Row],[ppn_z]]="","",IFERROR(
   IF(_xlfn.XLOOKUP(Final_Sans_VGE[[#This Row],[ppn_z]],tbl_Historique_Final[ppn_z],tbl_Historique_Final[date_modif])=Final_Sans_VGE[[#This Row],[date_modif]],
      "Ancien",
      "Modifié"),
   "Nouveau"))</f>
        <v>Ancien</v>
      </c>
      <c r="AB152" s="1"/>
    </row>
    <row r="153" spans="1:28" ht="45" x14ac:dyDescent="0.25">
      <c r="A153" s="5" t="s">
        <v>530</v>
      </c>
      <c r="B153" s="1" t="s">
        <v>6669</v>
      </c>
      <c r="C153" s="1" t="s">
        <v>61</v>
      </c>
      <c r="G153" s="1" t="s">
        <v>11</v>
      </c>
      <c r="J153" s="3">
        <v>44444.169282407405</v>
      </c>
      <c r="K153" s="2" t="s">
        <v>6670</v>
      </c>
      <c r="L153" s="1">
        <v>1</v>
      </c>
      <c r="M153" s="1">
        <v>3</v>
      </c>
      <c r="N153">
        <v>2</v>
      </c>
      <c r="O153" s="3">
        <f>IF(
    R153="Ancien",
    _xlfn.XLOOKUP(
        Final_Sans_VGE[[#This Row],[ppn_z]],
        tbl_Historique_Final[ppn_z],
        tbl_Historique_Final[Horodatage],
        ""
    ),
    Horodatage!$A$2
)</f>
        <v>46233.670796365739</v>
      </c>
      <c r="P153" s="1" t="str">
        <f>IFERROR(IF(tbl_Historique_Final[[#This Row],[Commentaires]]&lt;&gt;"",tbl_Historique_Final[[#This Row],[Commentaires]],""),"")</f>
        <v/>
      </c>
      <c r="R153"/>
      <c r="X153" s="8" t="str">
        <f>IF(Final_Sans_VGE[[#This Row],[ppn_z]]="","",IFERROR(
   IF(_xlfn.XLOOKUP(Final_Sans_VGE[[#This Row],[ppn_z]],tbl_Historique_Final[ppn_z],tbl_Historique_Final[date_modif])=Final_Sans_VGE[[#This Row],[date_modif]],
      "Ancien",
      "Modifié"),
   "Nouveau"))</f>
        <v>Ancien</v>
      </c>
      <c r="AB153" s="1"/>
    </row>
    <row r="154" spans="1:28" x14ac:dyDescent="0.25">
      <c r="A154" s="5" t="s">
        <v>533</v>
      </c>
      <c r="B154" s="1" t="s">
        <v>6671</v>
      </c>
      <c r="C154" s="1" t="s">
        <v>12</v>
      </c>
      <c r="G154" s="1" t="s">
        <v>10</v>
      </c>
      <c r="J154" s="3">
        <v>44444.080324074072</v>
      </c>
      <c r="K154" s="2" t="s">
        <v>6672</v>
      </c>
      <c r="L154" s="1">
        <v>1</v>
      </c>
      <c r="M154" s="1">
        <v>1</v>
      </c>
      <c r="N154">
        <v>0</v>
      </c>
      <c r="O154" s="3">
        <f>IF(
    R154="Ancien",
    _xlfn.XLOOKUP(
        Final_Sans_VGE[[#This Row],[ppn_z]],
        tbl_Historique_Final[ppn_z],
        tbl_Historique_Final[Horodatage],
        ""
    ),
    Horodatage!$A$2
)</f>
        <v>46233.670796365739</v>
      </c>
      <c r="P154" s="1" t="str">
        <f>IFERROR(IF(tbl_Historique_Final[[#This Row],[Commentaires]]&lt;&gt;"",tbl_Historique_Final[[#This Row],[Commentaires]],""),"")</f>
        <v/>
      </c>
      <c r="R154"/>
      <c r="X154" s="8" t="str">
        <f>IF(Final_Sans_VGE[[#This Row],[ppn_z]]="","",IFERROR(
   IF(_xlfn.XLOOKUP(Final_Sans_VGE[[#This Row],[ppn_z]],tbl_Historique_Final[ppn_z],tbl_Historique_Final[date_modif])=Final_Sans_VGE[[#This Row],[date_modif]],
      "Ancien",
      "Modifié"),
   "Nouveau"))</f>
        <v>Ancien</v>
      </c>
      <c r="AB154" s="1"/>
    </row>
    <row r="155" spans="1:28" x14ac:dyDescent="0.25">
      <c r="A155" s="5" t="s">
        <v>536</v>
      </c>
      <c r="B155" s="1" t="s">
        <v>6673</v>
      </c>
      <c r="C155" s="1" t="s">
        <v>12</v>
      </c>
      <c r="G155" s="1" t="s">
        <v>11</v>
      </c>
      <c r="J155" s="3">
        <v>45351.470011574071</v>
      </c>
      <c r="K155" s="2" t="s">
        <v>6674</v>
      </c>
      <c r="L155" s="1">
        <v>1</v>
      </c>
      <c r="M155" s="1">
        <v>1</v>
      </c>
      <c r="N155">
        <v>0</v>
      </c>
      <c r="O155" s="3">
        <f>IF(
    R155="Ancien",
    _xlfn.XLOOKUP(
        Final_Sans_VGE[[#This Row],[ppn_z]],
        tbl_Historique_Final[ppn_z],
        tbl_Historique_Final[Horodatage],
        ""
    ),
    Horodatage!$A$2
)</f>
        <v>46233.670796365739</v>
      </c>
      <c r="P155" s="1" t="str">
        <f>IFERROR(IF(tbl_Historique_Final[[#This Row],[Commentaires]]&lt;&gt;"",tbl_Historique_Final[[#This Row],[Commentaires]],""),"")</f>
        <v/>
      </c>
      <c r="R155"/>
      <c r="X155" s="8" t="str">
        <f>IF(Final_Sans_VGE[[#This Row],[ppn_z]]="","",IFERROR(
   IF(_xlfn.XLOOKUP(Final_Sans_VGE[[#This Row],[ppn_z]],tbl_Historique_Final[ppn_z],tbl_Historique_Final[date_modif])=Final_Sans_VGE[[#This Row],[date_modif]],
      "Ancien",
      "Modifié"),
   "Nouveau"))</f>
        <v>Ancien</v>
      </c>
      <c r="AB155" s="1"/>
    </row>
    <row r="156" spans="1:28" x14ac:dyDescent="0.25">
      <c r="A156" s="5" t="s">
        <v>539</v>
      </c>
      <c r="B156" s="1" t="s">
        <v>6675</v>
      </c>
      <c r="C156" s="1" t="s">
        <v>6676</v>
      </c>
      <c r="E156" s="1" t="s">
        <v>43</v>
      </c>
      <c r="G156" s="1" t="s">
        <v>10</v>
      </c>
      <c r="J156" s="3">
        <v>45386.563321759262</v>
      </c>
      <c r="K156" s="2" t="s">
        <v>6677</v>
      </c>
      <c r="L156" s="1">
        <v>1</v>
      </c>
      <c r="M156" s="1">
        <v>1</v>
      </c>
      <c r="N156">
        <v>0</v>
      </c>
      <c r="O156" s="3">
        <f>IF(
    R156="Ancien",
    _xlfn.XLOOKUP(
        Final_Sans_VGE[[#This Row],[ppn_z]],
        tbl_Historique_Final[ppn_z],
        tbl_Historique_Final[Horodatage],
        ""
    ),
    Horodatage!$A$2
)</f>
        <v>46233.670796365739</v>
      </c>
      <c r="P156" s="1" t="str">
        <f>IFERROR(IF(tbl_Historique_Final[[#This Row],[Commentaires]]&lt;&gt;"",tbl_Historique_Final[[#This Row],[Commentaires]],""),"")</f>
        <v/>
      </c>
      <c r="R156"/>
      <c r="X156" s="8" t="str">
        <f>IF(Final_Sans_VGE[[#This Row],[ppn_z]]="","",IFERROR(
   IF(_xlfn.XLOOKUP(Final_Sans_VGE[[#This Row],[ppn_z]],tbl_Historique_Final[ppn_z],tbl_Historique_Final[date_modif])=Final_Sans_VGE[[#This Row],[date_modif]],
      "Ancien",
      "Modifié"),
   "Nouveau"))</f>
        <v>Ancien</v>
      </c>
      <c r="AB156" s="1"/>
    </row>
    <row r="157" spans="1:28" x14ac:dyDescent="0.25">
      <c r="A157" s="5" t="s">
        <v>542</v>
      </c>
      <c r="B157" s="1" t="s">
        <v>6678</v>
      </c>
      <c r="C157" s="1" t="s">
        <v>69</v>
      </c>
      <c r="G157" s="1" t="s">
        <v>10</v>
      </c>
      <c r="J157" s="3">
        <v>45173.490451388891</v>
      </c>
      <c r="K157" s="2" t="s">
        <v>6679</v>
      </c>
      <c r="L157" s="1">
        <v>1</v>
      </c>
      <c r="M157" s="1">
        <v>1</v>
      </c>
      <c r="N157">
        <v>0</v>
      </c>
      <c r="O157" s="3">
        <f>IF(
    R157="Ancien",
    _xlfn.XLOOKUP(
        Final_Sans_VGE[[#This Row],[ppn_z]],
        tbl_Historique_Final[ppn_z],
        tbl_Historique_Final[Horodatage],
        ""
    ),
    Horodatage!$A$2
)</f>
        <v>46233.670796365739</v>
      </c>
      <c r="P157" s="1" t="str">
        <f>IFERROR(IF(tbl_Historique_Final[[#This Row],[Commentaires]]&lt;&gt;"",tbl_Historique_Final[[#This Row],[Commentaires]],""),"")</f>
        <v/>
      </c>
      <c r="R157"/>
      <c r="X157" s="8" t="str">
        <f>IF(Final_Sans_VGE[[#This Row],[ppn_z]]="","",IFERROR(
   IF(_xlfn.XLOOKUP(Final_Sans_VGE[[#This Row],[ppn_z]],tbl_Historique_Final[ppn_z],tbl_Historique_Final[date_modif])=Final_Sans_VGE[[#This Row],[date_modif]],
      "Ancien",
      "Modifié"),
   "Nouveau"))</f>
        <v>Ancien</v>
      </c>
      <c r="AB157" s="1"/>
    </row>
    <row r="158" spans="1:28" x14ac:dyDescent="0.25">
      <c r="A158" s="5" t="s">
        <v>545</v>
      </c>
      <c r="B158" s="1" t="s">
        <v>6680</v>
      </c>
      <c r="C158" s="1" t="s">
        <v>37</v>
      </c>
      <c r="G158" s="1" t="s">
        <v>10</v>
      </c>
      <c r="J158" s="3">
        <v>45357.680196759262</v>
      </c>
      <c r="K158" s="2" t="s">
        <v>6681</v>
      </c>
      <c r="L158" s="1">
        <v>3</v>
      </c>
      <c r="M158" s="1">
        <v>3</v>
      </c>
      <c r="N158">
        <v>0</v>
      </c>
      <c r="O158" s="3">
        <f>IF(
    R158="Ancien",
    _xlfn.XLOOKUP(
        Final_Sans_VGE[[#This Row],[ppn_z]],
        tbl_Historique_Final[ppn_z],
        tbl_Historique_Final[Horodatage],
        ""
    ),
    Horodatage!$A$2
)</f>
        <v>46233.670796365739</v>
      </c>
      <c r="P158" s="1" t="str">
        <f>IFERROR(IF(tbl_Historique_Final[[#This Row],[Commentaires]]&lt;&gt;"",tbl_Historique_Final[[#This Row],[Commentaires]],""),"")</f>
        <v/>
      </c>
      <c r="R158"/>
      <c r="X158" s="8" t="str">
        <f>IF(Final_Sans_VGE[[#This Row],[ppn_z]]="","",IFERROR(
   IF(_xlfn.XLOOKUP(Final_Sans_VGE[[#This Row],[ppn_z]],tbl_Historique_Final[ppn_z],tbl_Historique_Final[date_modif])=Final_Sans_VGE[[#This Row],[date_modif]],
      "Ancien",
      "Modifié"),
   "Nouveau"))</f>
        <v>Ancien</v>
      </c>
      <c r="AB158" s="1"/>
    </row>
    <row r="159" spans="1:28" x14ac:dyDescent="0.25">
      <c r="A159" s="5" t="s">
        <v>548</v>
      </c>
      <c r="B159" s="1" t="s">
        <v>6682</v>
      </c>
      <c r="C159" s="1" t="s">
        <v>6545</v>
      </c>
      <c r="E159" s="1" t="s">
        <v>6683</v>
      </c>
      <c r="G159" s="1" t="s">
        <v>10</v>
      </c>
      <c r="J159" s="3">
        <v>45388.278564814813</v>
      </c>
      <c r="L159" s="1">
        <v>3</v>
      </c>
      <c r="M159" s="1">
        <v>3</v>
      </c>
      <c r="N159">
        <v>0</v>
      </c>
      <c r="O159" s="3">
        <f>IF(
    R159="Ancien",
    _xlfn.XLOOKUP(
        Final_Sans_VGE[[#This Row],[ppn_z]],
        tbl_Historique_Final[ppn_z],
        tbl_Historique_Final[Horodatage],
        ""
    ),
    Horodatage!$A$2
)</f>
        <v>46233.670796365739</v>
      </c>
      <c r="P159" s="1" t="str">
        <f>IFERROR(IF(tbl_Historique_Final[[#This Row],[Commentaires]]&lt;&gt;"",tbl_Historique_Final[[#This Row],[Commentaires]],""),"")</f>
        <v/>
      </c>
      <c r="R159"/>
      <c r="X159" s="8" t="str">
        <f>IF(Final_Sans_VGE[[#This Row],[ppn_z]]="","",IFERROR(
   IF(_xlfn.XLOOKUP(Final_Sans_VGE[[#This Row],[ppn_z]],tbl_Historique_Final[ppn_z],tbl_Historique_Final[date_modif])=Final_Sans_VGE[[#This Row],[date_modif]],
      "Ancien",
      "Modifié"),
   "Nouveau"))</f>
        <v>Ancien</v>
      </c>
      <c r="AB159" s="1"/>
    </row>
    <row r="160" spans="1:28" x14ac:dyDescent="0.25">
      <c r="A160" s="5" t="s">
        <v>551</v>
      </c>
      <c r="B160" s="1" t="s">
        <v>6684</v>
      </c>
      <c r="C160" s="1" t="s">
        <v>73</v>
      </c>
      <c r="G160" s="1" t="s">
        <v>111</v>
      </c>
      <c r="J160" s="3">
        <v>45327.496331018519</v>
      </c>
      <c r="K160" s="2" t="s">
        <v>6685</v>
      </c>
      <c r="L160" s="1">
        <v>1</v>
      </c>
      <c r="M160" s="1">
        <v>1</v>
      </c>
      <c r="N160">
        <v>0</v>
      </c>
      <c r="O160" s="3">
        <f>IF(
    R160="Ancien",
    _xlfn.XLOOKUP(
        Final_Sans_VGE[[#This Row],[ppn_z]],
        tbl_Historique_Final[ppn_z],
        tbl_Historique_Final[Horodatage],
        ""
    ),
    Horodatage!$A$2
)</f>
        <v>46233.670796365739</v>
      </c>
      <c r="P160" s="1" t="str">
        <f>IFERROR(IF(tbl_Historique_Final[[#This Row],[Commentaires]]&lt;&gt;"",tbl_Historique_Final[[#This Row],[Commentaires]],""),"")</f>
        <v/>
      </c>
      <c r="R160"/>
      <c r="X160" s="8" t="str">
        <f>IF(Final_Sans_VGE[[#This Row],[ppn_z]]="","",IFERROR(
   IF(_xlfn.XLOOKUP(Final_Sans_VGE[[#This Row],[ppn_z]],tbl_Historique_Final[ppn_z],tbl_Historique_Final[date_modif])=Final_Sans_VGE[[#This Row],[date_modif]],
      "Ancien",
      "Modifié"),
   "Nouveau"))</f>
        <v>Ancien</v>
      </c>
      <c r="AB160" s="1"/>
    </row>
    <row r="161" spans="1:28" ht="45" x14ac:dyDescent="0.25">
      <c r="A161" s="5" t="s">
        <v>554</v>
      </c>
      <c r="B161" s="1" t="s">
        <v>6686</v>
      </c>
      <c r="C161" s="1" t="s">
        <v>12</v>
      </c>
      <c r="G161" s="1" t="s">
        <v>10</v>
      </c>
      <c r="J161" s="3">
        <v>44444.141250000001</v>
      </c>
      <c r="K161" s="2" t="s">
        <v>6687</v>
      </c>
      <c r="L161" s="1">
        <v>5</v>
      </c>
      <c r="M161" s="1">
        <v>5</v>
      </c>
      <c r="N161">
        <v>0</v>
      </c>
      <c r="O161" s="3">
        <f>IF(
    R161="Ancien",
    _xlfn.XLOOKUP(
        Final_Sans_VGE[[#This Row],[ppn_z]],
        tbl_Historique_Final[ppn_z],
        tbl_Historique_Final[Horodatage],
        ""
    ),
    Horodatage!$A$2
)</f>
        <v>46233.670796365739</v>
      </c>
      <c r="P161" s="1" t="str">
        <f>IFERROR(IF(tbl_Historique_Final[[#This Row],[Commentaires]]&lt;&gt;"",tbl_Historique_Final[[#This Row],[Commentaires]],""),"")</f>
        <v/>
      </c>
      <c r="R161"/>
      <c r="X161" s="8" t="str">
        <f>IF(Final_Sans_VGE[[#This Row],[ppn_z]]="","",IFERROR(
   IF(_xlfn.XLOOKUP(Final_Sans_VGE[[#This Row],[ppn_z]],tbl_Historique_Final[ppn_z],tbl_Historique_Final[date_modif])=Final_Sans_VGE[[#This Row],[date_modif]],
      "Ancien",
      "Modifié"),
   "Nouveau"))</f>
        <v>Ancien</v>
      </c>
      <c r="AB161" s="1"/>
    </row>
    <row r="162" spans="1:28" ht="30" x14ac:dyDescent="0.25">
      <c r="A162" s="5" t="s">
        <v>557</v>
      </c>
      <c r="B162" s="1" t="s">
        <v>6688</v>
      </c>
      <c r="C162" s="1" t="s">
        <v>12</v>
      </c>
      <c r="G162" s="1" t="s">
        <v>10</v>
      </c>
      <c r="J162" s="3">
        <v>44444.196886574071</v>
      </c>
      <c r="K162" s="2" t="s">
        <v>6689</v>
      </c>
      <c r="L162" s="1">
        <v>5</v>
      </c>
      <c r="M162" s="1">
        <v>6</v>
      </c>
      <c r="N162">
        <v>1</v>
      </c>
      <c r="O162" s="3">
        <f>IF(
    R162="Ancien",
    _xlfn.XLOOKUP(
        Final_Sans_VGE[[#This Row],[ppn_z]],
        tbl_Historique_Final[ppn_z],
        tbl_Historique_Final[Horodatage],
        ""
    ),
    Horodatage!$A$2
)</f>
        <v>46233.670796365739</v>
      </c>
      <c r="P162" s="1" t="str">
        <f>IFERROR(IF(tbl_Historique_Final[[#This Row],[Commentaires]]&lt;&gt;"",tbl_Historique_Final[[#This Row],[Commentaires]],""),"")</f>
        <v/>
      </c>
      <c r="R162"/>
      <c r="X162" s="8" t="str">
        <f>IF(Final_Sans_VGE[[#This Row],[ppn_z]]="","",IFERROR(
   IF(_xlfn.XLOOKUP(Final_Sans_VGE[[#This Row],[ppn_z]],tbl_Historique_Final[ppn_z],tbl_Historique_Final[date_modif])=Final_Sans_VGE[[#This Row],[date_modif]],
      "Ancien",
      "Modifié"),
   "Nouveau"))</f>
        <v>Ancien</v>
      </c>
      <c r="AB162" s="1"/>
    </row>
    <row r="163" spans="1:28" x14ac:dyDescent="0.25">
      <c r="A163" s="5" t="s">
        <v>560</v>
      </c>
      <c r="B163" s="1" t="s">
        <v>6690</v>
      </c>
      <c r="C163" s="1" t="s">
        <v>79</v>
      </c>
      <c r="G163" s="1" t="s">
        <v>10</v>
      </c>
      <c r="J163" s="3">
        <v>45357.609340277777</v>
      </c>
      <c r="K163" s="2" t="s">
        <v>6691</v>
      </c>
      <c r="L163" s="1">
        <v>2</v>
      </c>
      <c r="M163" s="1">
        <v>2</v>
      </c>
      <c r="N163">
        <v>0</v>
      </c>
      <c r="O163" s="3">
        <f>IF(
    R163="Ancien",
    _xlfn.XLOOKUP(
        Final_Sans_VGE[[#This Row],[ppn_z]],
        tbl_Historique_Final[ppn_z],
        tbl_Historique_Final[Horodatage],
        ""
    ),
    Horodatage!$A$2
)</f>
        <v>46233.670796365739</v>
      </c>
      <c r="P163" s="1" t="str">
        <f>IFERROR(IF(tbl_Historique_Final[[#This Row],[Commentaires]]&lt;&gt;"",tbl_Historique_Final[[#This Row],[Commentaires]],""),"")</f>
        <v/>
      </c>
      <c r="R163"/>
      <c r="X163" s="8" t="str">
        <f>IF(Final_Sans_VGE[[#This Row],[ppn_z]]="","",IFERROR(
   IF(_xlfn.XLOOKUP(Final_Sans_VGE[[#This Row],[ppn_z]],tbl_Historique_Final[ppn_z],tbl_Historique_Final[date_modif])=Final_Sans_VGE[[#This Row],[date_modif]],
      "Ancien",
      "Modifié"),
   "Nouveau"))</f>
        <v>Ancien</v>
      </c>
      <c r="AB163" s="1"/>
    </row>
    <row r="164" spans="1:28" x14ac:dyDescent="0.25">
      <c r="A164" s="5" t="s">
        <v>563</v>
      </c>
      <c r="B164" s="1" t="s">
        <v>6692</v>
      </c>
      <c r="C164" s="1" t="s">
        <v>6693</v>
      </c>
      <c r="E164" s="1" t="s">
        <v>6694</v>
      </c>
      <c r="G164" s="1" t="s">
        <v>11</v>
      </c>
      <c r="J164" s="3">
        <v>45394.49523148148</v>
      </c>
      <c r="K164" s="2" t="s">
        <v>6695</v>
      </c>
      <c r="L164" s="1">
        <v>6</v>
      </c>
      <c r="M164" s="1">
        <v>6</v>
      </c>
      <c r="N164">
        <v>0</v>
      </c>
      <c r="O164" s="3">
        <f>IF(
    R164="Ancien",
    _xlfn.XLOOKUP(
        Final_Sans_VGE[[#This Row],[ppn_z]],
        tbl_Historique_Final[ppn_z],
        tbl_Historique_Final[Horodatage],
        ""
    ),
    Horodatage!$A$2
)</f>
        <v>46233.670796365739</v>
      </c>
      <c r="P164" s="1" t="str">
        <f>IFERROR(IF(tbl_Historique_Final[[#This Row],[Commentaires]]&lt;&gt;"",tbl_Historique_Final[[#This Row],[Commentaires]],""),"")</f>
        <v/>
      </c>
      <c r="R164"/>
      <c r="X164" s="8" t="str">
        <f>IF(Final_Sans_VGE[[#This Row],[ppn_z]]="","",IFERROR(
   IF(_xlfn.XLOOKUP(Final_Sans_VGE[[#This Row],[ppn_z]],tbl_Historique_Final[ppn_z],tbl_Historique_Final[date_modif])=Final_Sans_VGE[[#This Row],[date_modif]],
      "Ancien",
      "Modifié"),
   "Nouveau"))</f>
        <v>Ancien</v>
      </c>
      <c r="AB164" s="1"/>
    </row>
    <row r="165" spans="1:28" x14ac:dyDescent="0.25">
      <c r="A165" s="5" t="s">
        <v>566</v>
      </c>
      <c r="B165" s="1" t="s">
        <v>6696</v>
      </c>
      <c r="C165" s="1" t="s">
        <v>12</v>
      </c>
      <c r="G165" s="1" t="s">
        <v>10</v>
      </c>
      <c r="J165" s="3">
        <v>45357.346875000003</v>
      </c>
      <c r="K165" s="2" t="s">
        <v>6697</v>
      </c>
      <c r="L165" s="1">
        <v>1</v>
      </c>
      <c r="M165" s="1">
        <v>3</v>
      </c>
      <c r="N165">
        <v>2</v>
      </c>
      <c r="O165" s="3">
        <f>IF(
    R165="Ancien",
    _xlfn.XLOOKUP(
        Final_Sans_VGE[[#This Row],[ppn_z]],
        tbl_Historique_Final[ppn_z],
        tbl_Historique_Final[Horodatage],
        ""
    ),
    Horodatage!$A$2
)</f>
        <v>46233.670796365739</v>
      </c>
      <c r="P165" s="1" t="str">
        <f>IFERROR(IF(tbl_Historique_Final[[#This Row],[Commentaires]]&lt;&gt;"",tbl_Historique_Final[[#This Row],[Commentaires]],""),"")</f>
        <v/>
      </c>
      <c r="R165"/>
      <c r="X165" s="8" t="str">
        <f>IF(Final_Sans_VGE[[#This Row],[ppn_z]]="","",IFERROR(
   IF(_xlfn.XLOOKUP(Final_Sans_VGE[[#This Row],[ppn_z]],tbl_Historique_Final[ppn_z],tbl_Historique_Final[date_modif])=Final_Sans_VGE[[#This Row],[date_modif]],
      "Ancien",
      "Modifié"),
   "Nouveau"))</f>
        <v>Ancien</v>
      </c>
      <c r="AB165" s="1"/>
    </row>
    <row r="166" spans="1:28" x14ac:dyDescent="0.25">
      <c r="A166" s="5" t="s">
        <v>569</v>
      </c>
      <c r="B166" s="1" t="s">
        <v>6698</v>
      </c>
      <c r="C166" s="1" t="s">
        <v>6554</v>
      </c>
      <c r="G166" s="1" t="s">
        <v>10</v>
      </c>
      <c r="J166" s="3">
        <v>44444.169236111113</v>
      </c>
      <c r="K166" s="2" t="s">
        <v>6699</v>
      </c>
      <c r="L166" s="1">
        <v>1</v>
      </c>
      <c r="M166" s="1">
        <v>1</v>
      </c>
      <c r="N166">
        <v>0</v>
      </c>
      <c r="O166" s="3">
        <f>IF(
    R166="Ancien",
    _xlfn.XLOOKUP(
        Final_Sans_VGE[[#This Row],[ppn_z]],
        tbl_Historique_Final[ppn_z],
        tbl_Historique_Final[Horodatage],
        ""
    ),
    Horodatage!$A$2
)</f>
        <v>46233.670796365739</v>
      </c>
      <c r="P166" s="1" t="str">
        <f>IFERROR(IF(tbl_Historique_Final[[#This Row],[Commentaires]]&lt;&gt;"",tbl_Historique_Final[[#This Row],[Commentaires]],""),"")</f>
        <v/>
      </c>
      <c r="R166"/>
      <c r="X166" s="8" t="str">
        <f>IF(Final_Sans_VGE[[#This Row],[ppn_z]]="","",IFERROR(
   IF(_xlfn.XLOOKUP(Final_Sans_VGE[[#This Row],[ppn_z]],tbl_Historique_Final[ppn_z],tbl_Historique_Final[date_modif])=Final_Sans_VGE[[#This Row],[date_modif]],
      "Ancien",
      "Modifié"),
   "Nouveau"))</f>
        <v>Ancien</v>
      </c>
      <c r="AB166" s="1"/>
    </row>
    <row r="167" spans="1:28" x14ac:dyDescent="0.25">
      <c r="A167" s="5" t="s">
        <v>572</v>
      </c>
      <c r="B167" s="1" t="s">
        <v>6700</v>
      </c>
      <c r="C167" s="1" t="s">
        <v>12</v>
      </c>
      <c r="G167" s="1" t="s">
        <v>11</v>
      </c>
      <c r="J167" s="3">
        <v>45358.003819444442</v>
      </c>
      <c r="K167" s="2" t="s">
        <v>6701</v>
      </c>
      <c r="L167" s="1">
        <v>2</v>
      </c>
      <c r="M167" s="1">
        <v>2</v>
      </c>
      <c r="N167">
        <v>0</v>
      </c>
      <c r="O167" s="3">
        <f>IF(
    R167="Ancien",
    _xlfn.XLOOKUP(
        Final_Sans_VGE[[#This Row],[ppn_z]],
        tbl_Historique_Final[ppn_z],
        tbl_Historique_Final[Horodatage],
        ""
    ),
    Horodatage!$A$2
)</f>
        <v>46233.670796365739</v>
      </c>
      <c r="P167" s="1" t="str">
        <f>IFERROR(IF(tbl_Historique_Final[[#This Row],[Commentaires]]&lt;&gt;"",tbl_Historique_Final[[#This Row],[Commentaires]],""),"")</f>
        <v/>
      </c>
      <c r="R167"/>
      <c r="X167" s="8" t="str">
        <f>IF(Final_Sans_VGE[[#This Row],[ppn_z]]="","",IFERROR(
   IF(_xlfn.XLOOKUP(Final_Sans_VGE[[#This Row],[ppn_z]],tbl_Historique_Final[ppn_z],tbl_Historique_Final[date_modif])=Final_Sans_VGE[[#This Row],[date_modif]],
      "Ancien",
      "Modifié"),
   "Nouveau"))</f>
        <v>Ancien</v>
      </c>
      <c r="AB167" s="1"/>
    </row>
    <row r="168" spans="1:28" ht="30" x14ac:dyDescent="0.25">
      <c r="A168" s="5" t="s">
        <v>575</v>
      </c>
      <c r="B168" s="1" t="s">
        <v>6702</v>
      </c>
      <c r="C168" s="1" t="s">
        <v>6416</v>
      </c>
      <c r="E168" s="1" t="s">
        <v>109</v>
      </c>
      <c r="G168" s="1" t="s">
        <v>10</v>
      </c>
      <c r="J168" s="3">
        <v>45401.504131944443</v>
      </c>
      <c r="K168" s="2" t="s">
        <v>6703</v>
      </c>
      <c r="L168" s="1">
        <v>1</v>
      </c>
      <c r="M168" s="1">
        <v>1</v>
      </c>
      <c r="N168">
        <v>0</v>
      </c>
      <c r="O168" s="3">
        <f>IF(
    R168="Ancien",
    _xlfn.XLOOKUP(
        Final_Sans_VGE[[#This Row],[ppn_z]],
        tbl_Historique_Final[ppn_z],
        tbl_Historique_Final[Horodatage],
        ""
    ),
    Horodatage!$A$2
)</f>
        <v>46233.670796365739</v>
      </c>
      <c r="P168" s="1" t="str">
        <f>IFERROR(IF(tbl_Historique_Final[[#This Row],[Commentaires]]&lt;&gt;"",tbl_Historique_Final[[#This Row],[Commentaires]],""),"")</f>
        <v/>
      </c>
      <c r="R168"/>
      <c r="X168" s="8" t="str">
        <f>IF(Final_Sans_VGE[[#This Row],[ppn_z]]="","",IFERROR(
   IF(_xlfn.XLOOKUP(Final_Sans_VGE[[#This Row],[ppn_z]],tbl_Historique_Final[ppn_z],tbl_Historique_Final[date_modif])=Final_Sans_VGE[[#This Row],[date_modif]],
      "Ancien",
      "Modifié"),
   "Nouveau"))</f>
        <v>Ancien</v>
      </c>
      <c r="AB168" s="1"/>
    </row>
    <row r="169" spans="1:28" x14ac:dyDescent="0.25">
      <c r="A169" s="5" t="s">
        <v>578</v>
      </c>
      <c r="B169" s="1" t="s">
        <v>6704</v>
      </c>
      <c r="C169" s="1" t="s">
        <v>12</v>
      </c>
      <c r="G169" s="1" t="s">
        <v>10</v>
      </c>
      <c r="J169" s="3">
        <v>45040.666828703703</v>
      </c>
      <c r="K169" s="2" t="s">
        <v>6705</v>
      </c>
      <c r="L169" s="1">
        <v>1</v>
      </c>
      <c r="M169" s="1">
        <v>1</v>
      </c>
      <c r="N169">
        <v>0</v>
      </c>
      <c r="O169" s="3">
        <f>IF(
    R169="Ancien",
    _xlfn.XLOOKUP(
        Final_Sans_VGE[[#This Row],[ppn_z]],
        tbl_Historique_Final[ppn_z],
        tbl_Historique_Final[Horodatage],
        ""
    ),
    Horodatage!$A$2
)</f>
        <v>46233.670796365739</v>
      </c>
      <c r="P169" s="1" t="str">
        <f>IFERROR(IF(tbl_Historique_Final[[#This Row],[Commentaires]]&lt;&gt;"",tbl_Historique_Final[[#This Row],[Commentaires]],""),"")</f>
        <v/>
      </c>
      <c r="R169"/>
      <c r="X169" s="8" t="str">
        <f>IF(Final_Sans_VGE[[#This Row],[ppn_z]]="","",IFERROR(
   IF(_xlfn.XLOOKUP(Final_Sans_VGE[[#This Row],[ppn_z]],tbl_Historique_Final[ppn_z],tbl_Historique_Final[date_modif])=Final_Sans_VGE[[#This Row],[date_modif]],
      "Ancien",
      "Modifié"),
   "Nouveau"))</f>
        <v>Ancien</v>
      </c>
      <c r="AB169" s="1"/>
    </row>
    <row r="170" spans="1:28" x14ac:dyDescent="0.25">
      <c r="A170" s="5" t="s">
        <v>581</v>
      </c>
      <c r="B170" s="1" t="s">
        <v>6706</v>
      </c>
      <c r="C170" s="1" t="s">
        <v>12</v>
      </c>
      <c r="G170" s="1" t="s">
        <v>11</v>
      </c>
      <c r="J170" s="3">
        <v>44444.196793981479</v>
      </c>
      <c r="K170" s="2" t="s">
        <v>6707</v>
      </c>
      <c r="L170" s="1">
        <v>3</v>
      </c>
      <c r="M170" s="1">
        <v>4</v>
      </c>
      <c r="N170">
        <v>1</v>
      </c>
      <c r="O170" s="3">
        <f>IF(
    R170="Ancien",
    _xlfn.XLOOKUP(
        Final_Sans_VGE[[#This Row],[ppn_z]],
        tbl_Historique_Final[ppn_z],
        tbl_Historique_Final[Horodatage],
        ""
    ),
    Horodatage!$A$2
)</f>
        <v>46233.670796365739</v>
      </c>
      <c r="P170" s="1" t="str">
        <f>IFERROR(IF(tbl_Historique_Final[[#This Row],[Commentaires]]&lt;&gt;"",tbl_Historique_Final[[#This Row],[Commentaires]],""),"")</f>
        <v/>
      </c>
      <c r="R170"/>
      <c r="X170" s="8" t="str">
        <f>IF(Final_Sans_VGE[[#This Row],[ppn_z]]="","",IFERROR(
   IF(_xlfn.XLOOKUP(Final_Sans_VGE[[#This Row],[ppn_z]],tbl_Historique_Final[ppn_z],tbl_Historique_Final[date_modif])=Final_Sans_VGE[[#This Row],[date_modif]],
      "Ancien",
      "Modifié"),
   "Nouveau"))</f>
        <v>Ancien</v>
      </c>
      <c r="AB170" s="1"/>
    </row>
    <row r="171" spans="1:28" x14ac:dyDescent="0.25">
      <c r="A171" s="5" t="s">
        <v>587</v>
      </c>
      <c r="B171" s="1" t="s">
        <v>6708</v>
      </c>
      <c r="C171" s="1" t="s">
        <v>6554</v>
      </c>
      <c r="G171" s="1" t="s">
        <v>10</v>
      </c>
      <c r="J171" s="3">
        <v>44444.196840277778</v>
      </c>
      <c r="K171" s="2" t="s">
        <v>6699</v>
      </c>
      <c r="L171" s="1">
        <v>1</v>
      </c>
      <c r="M171" s="1">
        <v>1</v>
      </c>
      <c r="N171">
        <v>0</v>
      </c>
      <c r="O171" s="3">
        <f>IF(
    R171="Ancien",
    _xlfn.XLOOKUP(
        Final_Sans_VGE[[#This Row],[ppn_z]],
        tbl_Historique_Final[ppn_z],
        tbl_Historique_Final[Horodatage],
        ""
    ),
    Horodatage!$A$2
)</f>
        <v>46233.670796365739</v>
      </c>
      <c r="P171" s="1" t="str">
        <f>IFERROR(IF(tbl_Historique_Final[[#This Row],[Commentaires]]&lt;&gt;"",tbl_Historique_Final[[#This Row],[Commentaires]],""),"")</f>
        <v/>
      </c>
      <c r="R171"/>
      <c r="X171" s="8" t="str">
        <f>IF(Final_Sans_VGE[[#This Row],[ppn_z]]="","",IFERROR(
   IF(_xlfn.XLOOKUP(Final_Sans_VGE[[#This Row],[ppn_z]],tbl_Historique_Final[ppn_z],tbl_Historique_Final[date_modif])=Final_Sans_VGE[[#This Row],[date_modif]],
      "Ancien",
      "Modifié"),
   "Nouveau"))</f>
        <v>Ancien</v>
      </c>
      <c r="AB171" s="1"/>
    </row>
    <row r="172" spans="1:28" x14ac:dyDescent="0.25">
      <c r="A172" s="5" t="s">
        <v>590</v>
      </c>
      <c r="B172" s="1" t="s">
        <v>6709</v>
      </c>
      <c r="C172" s="1" t="s">
        <v>12</v>
      </c>
      <c r="G172" s="1" t="s">
        <v>11</v>
      </c>
      <c r="J172" s="3">
        <v>45356.834641203706</v>
      </c>
      <c r="K172" s="2" t="s">
        <v>6710</v>
      </c>
      <c r="L172" s="1">
        <v>1</v>
      </c>
      <c r="M172" s="1">
        <v>1</v>
      </c>
      <c r="N172">
        <v>0</v>
      </c>
      <c r="O172" s="3">
        <f>IF(
    R172="Ancien",
    _xlfn.XLOOKUP(
        Final_Sans_VGE[[#This Row],[ppn_z]],
        tbl_Historique_Final[ppn_z],
        tbl_Historique_Final[Horodatage],
        ""
    ),
    Horodatage!$A$2
)</f>
        <v>46233.670796365739</v>
      </c>
      <c r="P172" s="1" t="str">
        <f>IFERROR(IF(tbl_Historique_Final[[#This Row],[Commentaires]]&lt;&gt;"",tbl_Historique_Final[[#This Row],[Commentaires]],""),"")</f>
        <v/>
      </c>
      <c r="R172"/>
      <c r="X172" s="8" t="str">
        <f>IF(Final_Sans_VGE[[#This Row],[ppn_z]]="","",IFERROR(
   IF(_xlfn.XLOOKUP(Final_Sans_VGE[[#This Row],[ppn_z]],tbl_Historique_Final[ppn_z],tbl_Historique_Final[date_modif])=Final_Sans_VGE[[#This Row],[date_modif]],
      "Ancien",
      "Modifié"),
   "Nouveau"))</f>
        <v>Ancien</v>
      </c>
      <c r="AB172" s="1"/>
    </row>
    <row r="173" spans="1:28" ht="60" x14ac:dyDescent="0.25">
      <c r="A173" s="5" t="s">
        <v>596</v>
      </c>
      <c r="B173" s="1" t="s">
        <v>6711</v>
      </c>
      <c r="C173" s="1" t="s">
        <v>53</v>
      </c>
      <c r="G173" s="1" t="s">
        <v>10</v>
      </c>
      <c r="J173" s="3">
        <v>45357.976099537038</v>
      </c>
      <c r="K173" s="2" t="s">
        <v>6712</v>
      </c>
      <c r="L173" s="1">
        <v>1</v>
      </c>
      <c r="M173" s="1">
        <v>3</v>
      </c>
      <c r="N173">
        <v>2</v>
      </c>
      <c r="O173" s="3">
        <f>IF(
    R173="Ancien",
    _xlfn.XLOOKUP(
        Final_Sans_VGE[[#This Row],[ppn_z]],
        tbl_Historique_Final[ppn_z],
        tbl_Historique_Final[Horodatage],
        ""
    ),
    Horodatage!$A$2
)</f>
        <v>46233.670796365739</v>
      </c>
      <c r="P173" s="1" t="str">
        <f>IFERROR(IF(tbl_Historique_Final[[#This Row],[Commentaires]]&lt;&gt;"",tbl_Historique_Final[[#This Row],[Commentaires]],""),"")</f>
        <v/>
      </c>
      <c r="R173"/>
      <c r="X173" s="8" t="str">
        <f>IF(Final_Sans_VGE[[#This Row],[ppn_z]]="","",IFERROR(
   IF(_xlfn.XLOOKUP(Final_Sans_VGE[[#This Row],[ppn_z]],tbl_Historique_Final[ppn_z],tbl_Historique_Final[date_modif])=Final_Sans_VGE[[#This Row],[date_modif]],
      "Ancien",
      "Modifié"),
   "Nouveau"))</f>
        <v>Ancien</v>
      </c>
      <c r="AB173" s="1"/>
    </row>
    <row r="174" spans="1:28" x14ac:dyDescent="0.25">
      <c r="A174" s="5" t="s">
        <v>599</v>
      </c>
      <c r="B174" s="1" t="s">
        <v>6713</v>
      </c>
      <c r="C174" s="1" t="s">
        <v>12</v>
      </c>
      <c r="G174" s="1" t="s">
        <v>10</v>
      </c>
      <c r="J174" s="3">
        <v>44444.22315972222</v>
      </c>
      <c r="K174" s="2" t="s">
        <v>6714</v>
      </c>
      <c r="L174" s="1">
        <v>1</v>
      </c>
      <c r="M174" s="1">
        <v>1</v>
      </c>
      <c r="N174">
        <v>0</v>
      </c>
      <c r="O174" s="3">
        <f>IF(
    R174="Ancien",
    _xlfn.XLOOKUP(
        Final_Sans_VGE[[#This Row],[ppn_z]],
        tbl_Historique_Final[ppn_z],
        tbl_Historique_Final[Horodatage],
        ""
    ),
    Horodatage!$A$2
)</f>
        <v>46233.670796365739</v>
      </c>
      <c r="P174" s="1" t="str">
        <f>IFERROR(IF(tbl_Historique_Final[[#This Row],[Commentaires]]&lt;&gt;"",tbl_Historique_Final[[#This Row],[Commentaires]],""),"")</f>
        <v/>
      </c>
      <c r="R174"/>
      <c r="X174" s="8" t="str">
        <f>IF(Final_Sans_VGE[[#This Row],[ppn_z]]="","",IFERROR(
   IF(_xlfn.XLOOKUP(Final_Sans_VGE[[#This Row],[ppn_z]],tbl_Historique_Final[ppn_z],tbl_Historique_Final[date_modif])=Final_Sans_VGE[[#This Row],[date_modif]],
      "Ancien",
      "Modifié"),
   "Nouveau"))</f>
        <v>Ancien</v>
      </c>
      <c r="AB174" s="1"/>
    </row>
    <row r="175" spans="1:28" ht="30" x14ac:dyDescent="0.25">
      <c r="A175" s="5" t="s">
        <v>602</v>
      </c>
      <c r="B175" s="1" t="s">
        <v>6715</v>
      </c>
      <c r="C175" s="1" t="s">
        <v>6554</v>
      </c>
      <c r="G175" s="1" t="s">
        <v>11</v>
      </c>
      <c r="J175" s="3">
        <v>44444.141226851854</v>
      </c>
      <c r="K175" s="2" t="s">
        <v>6716</v>
      </c>
      <c r="L175" s="1">
        <v>2</v>
      </c>
      <c r="M175" s="1">
        <v>2</v>
      </c>
      <c r="N175">
        <v>0</v>
      </c>
      <c r="O175" s="3">
        <f>IF(
    R175="Ancien",
    _xlfn.XLOOKUP(
        Final_Sans_VGE[[#This Row],[ppn_z]],
        tbl_Historique_Final[ppn_z],
        tbl_Historique_Final[Horodatage],
        ""
    ),
    Horodatage!$A$2
)</f>
        <v>46233.670796365739</v>
      </c>
      <c r="P175" s="1" t="str">
        <f>IFERROR(IF(tbl_Historique_Final[[#This Row],[Commentaires]]&lt;&gt;"",tbl_Historique_Final[[#This Row],[Commentaires]],""),"")</f>
        <v/>
      </c>
      <c r="R175"/>
      <c r="X175" s="8" t="str">
        <f>IF(Final_Sans_VGE[[#This Row],[ppn_z]]="","",IFERROR(
   IF(_xlfn.XLOOKUP(Final_Sans_VGE[[#This Row],[ppn_z]],tbl_Historique_Final[ppn_z],tbl_Historique_Final[date_modif])=Final_Sans_VGE[[#This Row],[date_modif]],
      "Ancien",
      "Modifié"),
   "Nouveau"))</f>
        <v>Ancien</v>
      </c>
      <c r="AB175" s="1"/>
    </row>
    <row r="176" spans="1:28" x14ac:dyDescent="0.25">
      <c r="A176" s="5" t="s">
        <v>605</v>
      </c>
      <c r="B176" s="1" t="s">
        <v>6717</v>
      </c>
      <c r="C176" s="1" t="s">
        <v>48</v>
      </c>
      <c r="J176" s="3">
        <v>45236.696273148147</v>
      </c>
      <c r="K176" s="2" t="s">
        <v>6718</v>
      </c>
      <c r="L176" s="1">
        <v>4</v>
      </c>
      <c r="M176" s="1">
        <v>4</v>
      </c>
      <c r="N176">
        <v>0</v>
      </c>
      <c r="O176" s="3">
        <f>IF(
    R176="Ancien",
    _xlfn.XLOOKUP(
        Final_Sans_VGE[[#This Row],[ppn_z]],
        tbl_Historique_Final[ppn_z],
        tbl_Historique_Final[Horodatage],
        ""
    ),
    Horodatage!$A$2
)</f>
        <v>46233.670796365739</v>
      </c>
      <c r="P176" s="1" t="str">
        <f>IFERROR(IF(tbl_Historique_Final[[#This Row],[Commentaires]]&lt;&gt;"",tbl_Historique_Final[[#This Row],[Commentaires]],""),"")</f>
        <v/>
      </c>
      <c r="R176"/>
      <c r="X176" s="8" t="str">
        <f>IF(Final_Sans_VGE[[#This Row],[ppn_z]]="","",IFERROR(
   IF(_xlfn.XLOOKUP(Final_Sans_VGE[[#This Row],[ppn_z]],tbl_Historique_Final[ppn_z],tbl_Historique_Final[date_modif])=Final_Sans_VGE[[#This Row],[date_modif]],
      "Ancien",
      "Modifié"),
   "Nouveau"))</f>
        <v>Ancien</v>
      </c>
      <c r="AB176" s="1"/>
    </row>
    <row r="177" spans="1:29" x14ac:dyDescent="0.25">
      <c r="A177" s="5" t="s">
        <v>611</v>
      </c>
      <c r="B177" s="1" t="s">
        <v>6719</v>
      </c>
      <c r="C177" s="1" t="s">
        <v>12</v>
      </c>
      <c r="G177" s="1" t="s">
        <v>11</v>
      </c>
      <c r="J177" s="3">
        <v>44444.195648148147</v>
      </c>
      <c r="K177" s="2" t="s">
        <v>6413</v>
      </c>
      <c r="L177" s="1">
        <v>1</v>
      </c>
      <c r="M177" s="1">
        <v>1</v>
      </c>
      <c r="N177">
        <v>0</v>
      </c>
      <c r="O177" s="3">
        <f>IF(
    R177="Ancien",
    _xlfn.XLOOKUP(
        Final_Sans_VGE[[#This Row],[ppn_z]],
        tbl_Historique_Final[ppn_z],
        tbl_Historique_Final[Horodatage],
        ""
    ),
    Horodatage!$A$2
)</f>
        <v>46233.670796365739</v>
      </c>
      <c r="P177" s="1" t="str">
        <f>IFERROR(IF(tbl_Historique_Final[[#This Row],[Commentaires]]&lt;&gt;"",tbl_Historique_Final[[#This Row],[Commentaires]],""),"")</f>
        <v/>
      </c>
      <c r="R177"/>
      <c r="X177" s="8" t="str">
        <f>IF(Final_Sans_VGE[[#This Row],[ppn_z]]="","",IFERROR(
   IF(_xlfn.XLOOKUP(Final_Sans_VGE[[#This Row],[ppn_z]],tbl_Historique_Final[ppn_z],tbl_Historique_Final[date_modif])=Final_Sans_VGE[[#This Row],[date_modif]],
      "Ancien",
      "Modifié"),
   "Nouveau"))</f>
        <v>Ancien</v>
      </c>
      <c r="AB177" s="1"/>
    </row>
    <row r="178" spans="1:29" x14ac:dyDescent="0.25">
      <c r="A178" s="5" t="s">
        <v>614</v>
      </c>
      <c r="B178" s="1" t="s">
        <v>6720</v>
      </c>
      <c r="C178" s="1" t="s">
        <v>12</v>
      </c>
      <c r="G178" s="1" t="s">
        <v>10</v>
      </c>
      <c r="J178" s="3">
        <v>45331.664120370369</v>
      </c>
      <c r="K178" s="2" t="s">
        <v>6721</v>
      </c>
      <c r="L178" s="1">
        <v>2</v>
      </c>
      <c r="M178" s="1">
        <v>2</v>
      </c>
      <c r="N178">
        <v>0</v>
      </c>
      <c r="O178" s="3">
        <f>IF(
    R178="Ancien",
    _xlfn.XLOOKUP(
        Final_Sans_VGE[[#This Row],[ppn_z]],
        tbl_Historique_Final[ppn_z],
        tbl_Historique_Final[Horodatage],
        ""
    ),
    Horodatage!$A$2
)</f>
        <v>46233.670796365739</v>
      </c>
      <c r="P178" s="1" t="str">
        <f>IFERROR(IF(tbl_Historique_Final[[#This Row],[Commentaires]]&lt;&gt;"",tbl_Historique_Final[[#This Row],[Commentaires]],""),"")</f>
        <v/>
      </c>
      <c r="R178"/>
      <c r="X178" s="8" t="str">
        <f>IF(Final_Sans_VGE[[#This Row],[ppn_z]]="","",IFERROR(
   IF(_xlfn.XLOOKUP(Final_Sans_VGE[[#This Row],[ppn_z]],tbl_Historique_Final[ppn_z],tbl_Historique_Final[date_modif])=Final_Sans_VGE[[#This Row],[date_modif]],
      "Ancien",
      "Modifié"),
   "Nouveau"))</f>
        <v>Ancien</v>
      </c>
      <c r="AB178" s="1"/>
    </row>
    <row r="179" spans="1:29" x14ac:dyDescent="0.25">
      <c r="A179" s="5" t="s">
        <v>617</v>
      </c>
      <c r="B179" s="1" t="s">
        <v>6722</v>
      </c>
      <c r="C179" s="1" t="s">
        <v>12</v>
      </c>
      <c r="G179" s="1" t="s">
        <v>11</v>
      </c>
      <c r="J179" s="3">
        <v>44444.080196759256</v>
      </c>
      <c r="K179" s="2" t="s">
        <v>6413</v>
      </c>
      <c r="L179" s="1">
        <v>1</v>
      </c>
      <c r="M179" s="1">
        <v>1</v>
      </c>
      <c r="N179">
        <v>0</v>
      </c>
      <c r="O179" s="3">
        <f>IF(
    R179="Ancien",
    _xlfn.XLOOKUP(
        Final_Sans_VGE[[#This Row],[ppn_z]],
        tbl_Historique_Final[ppn_z],
        tbl_Historique_Final[Horodatage],
        ""
    ),
    Horodatage!$A$2
)</f>
        <v>46233.670796365739</v>
      </c>
      <c r="P179" s="1" t="str">
        <f>IFERROR(IF(tbl_Historique_Final[[#This Row],[Commentaires]]&lt;&gt;"",tbl_Historique_Final[[#This Row],[Commentaires]],""),"")</f>
        <v/>
      </c>
      <c r="R179"/>
      <c r="X179" s="8" t="str">
        <f>IF(Final_Sans_VGE[[#This Row],[ppn_z]]="","",IFERROR(
   IF(_xlfn.XLOOKUP(Final_Sans_VGE[[#This Row],[ppn_z]],tbl_Historique_Final[ppn_z],tbl_Historique_Final[date_modif])=Final_Sans_VGE[[#This Row],[date_modif]],
      "Ancien",
      "Modifié"),
   "Nouveau"))</f>
        <v>Ancien</v>
      </c>
      <c r="AB179" s="1"/>
    </row>
    <row r="180" spans="1:29" x14ac:dyDescent="0.25">
      <c r="A180" s="5" t="s">
        <v>620</v>
      </c>
      <c r="B180" s="1" t="s">
        <v>6723</v>
      </c>
      <c r="C180" s="1" t="s">
        <v>42</v>
      </c>
      <c r="G180" s="1" t="s">
        <v>10</v>
      </c>
      <c r="J180" s="3">
        <v>45338.415358796294</v>
      </c>
      <c r="K180" s="2" t="s">
        <v>6369</v>
      </c>
      <c r="L180" s="1">
        <v>1</v>
      </c>
      <c r="M180" s="1">
        <v>1</v>
      </c>
      <c r="N180">
        <v>0</v>
      </c>
      <c r="O180" s="3">
        <f>IF(
    R180="Ancien",
    _xlfn.XLOOKUP(
        Final_Sans_VGE[[#This Row],[ppn_z]],
        tbl_Historique_Final[ppn_z],
        tbl_Historique_Final[Horodatage],
        ""
    ),
    Horodatage!$A$2
)</f>
        <v>46233.670796365739</v>
      </c>
      <c r="P180" s="1" t="str">
        <f>IFERROR(IF(tbl_Historique_Final[[#This Row],[Commentaires]]&lt;&gt;"",tbl_Historique_Final[[#This Row],[Commentaires]],""),"")</f>
        <v/>
      </c>
      <c r="R180"/>
      <c r="X180" s="8" t="str">
        <f>IF(Final_Sans_VGE[[#This Row],[ppn_z]]="","",IFERROR(
   IF(_xlfn.XLOOKUP(Final_Sans_VGE[[#This Row],[ppn_z]],tbl_Historique_Final[ppn_z],tbl_Historique_Final[date_modif])=Final_Sans_VGE[[#This Row],[date_modif]],
      "Ancien",
      "Modifié"),
   "Nouveau"))</f>
        <v>Ancien</v>
      </c>
      <c r="AB180" s="1"/>
    </row>
    <row r="181" spans="1:29" ht="30" x14ac:dyDescent="0.25">
      <c r="A181" s="5" t="s">
        <v>623</v>
      </c>
      <c r="B181" s="1" t="s">
        <v>6724</v>
      </c>
      <c r="C181" s="1" t="s">
        <v>154</v>
      </c>
      <c r="E181" s="1" t="s">
        <v>117</v>
      </c>
      <c r="G181" s="1" t="s">
        <v>11</v>
      </c>
      <c r="J181" s="3">
        <v>45412.290023148147</v>
      </c>
      <c r="K181" s="2" t="s">
        <v>6725</v>
      </c>
      <c r="L181" s="1">
        <v>1</v>
      </c>
      <c r="M181" s="1">
        <v>1</v>
      </c>
      <c r="N181">
        <v>0</v>
      </c>
      <c r="O181" s="3">
        <f>IF(
    R181="Ancien",
    _xlfn.XLOOKUP(
        Final_Sans_VGE[[#This Row],[ppn_z]],
        tbl_Historique_Final[ppn_z],
        tbl_Historique_Final[Horodatage],
        ""
    ),
    Horodatage!$A$2
)</f>
        <v>46233.670796365739</v>
      </c>
      <c r="P181" s="1" t="str">
        <f>IFERROR(IF(tbl_Historique_Final[[#This Row],[Commentaires]]&lt;&gt;"",tbl_Historique_Final[[#This Row],[Commentaires]],""),"")</f>
        <v/>
      </c>
      <c r="R181"/>
      <c r="X181" s="8" t="str">
        <f>IF(Final_Sans_VGE[[#This Row],[ppn_z]]="","",IFERROR(
   IF(_xlfn.XLOOKUP(Final_Sans_VGE[[#This Row],[ppn_z]],tbl_Historique_Final[ppn_z],tbl_Historique_Final[date_modif])=Final_Sans_VGE[[#This Row],[date_modif]],
      "Ancien",
      "Modifié"),
   "Nouveau"))</f>
        <v>Ancien</v>
      </c>
      <c r="AB181" s="1"/>
    </row>
    <row r="182" spans="1:29" ht="30" x14ac:dyDescent="0.25">
      <c r="A182" s="5" t="s">
        <v>626</v>
      </c>
      <c r="B182" s="1" t="s">
        <v>6726</v>
      </c>
      <c r="C182" s="1" t="s">
        <v>12</v>
      </c>
      <c r="G182" s="1" t="s">
        <v>10</v>
      </c>
      <c r="J182" s="3">
        <v>45330.399594907409</v>
      </c>
      <c r="K182" s="2" t="s">
        <v>6727</v>
      </c>
      <c r="L182" s="1">
        <v>1</v>
      </c>
      <c r="M182" s="1">
        <v>1</v>
      </c>
      <c r="N182">
        <v>0</v>
      </c>
      <c r="O182" s="3">
        <f>IF(
    R182="Ancien",
    _xlfn.XLOOKUP(
        Final_Sans_VGE[[#This Row],[ppn_z]],
        tbl_Historique_Final[ppn_z],
        tbl_Historique_Final[Horodatage],
        ""
    ),
    Horodatage!$A$2
)</f>
        <v>46233.670796365739</v>
      </c>
      <c r="P182" s="1" t="str">
        <f>IFERROR(IF(tbl_Historique_Final[[#This Row],[Commentaires]]&lt;&gt;"",tbl_Historique_Final[[#This Row],[Commentaires]],""),"")</f>
        <v/>
      </c>
      <c r="R182"/>
      <c r="X182" s="8" t="str">
        <f>IF(Final_Sans_VGE[[#This Row],[ppn_z]]="","",IFERROR(
   IF(_xlfn.XLOOKUP(Final_Sans_VGE[[#This Row],[ppn_z]],tbl_Historique_Final[ppn_z],tbl_Historique_Final[date_modif])=Final_Sans_VGE[[#This Row],[date_modif]],
      "Ancien",
      "Modifié"),
   "Nouveau"))</f>
        <v>Ancien</v>
      </c>
      <c r="AB182" s="1"/>
    </row>
    <row r="183" spans="1:29" x14ac:dyDescent="0.25">
      <c r="A183" s="5" t="s">
        <v>629</v>
      </c>
      <c r="B183" s="1" t="s">
        <v>6728</v>
      </c>
      <c r="C183" s="1" t="s">
        <v>6729</v>
      </c>
      <c r="E183" s="1" t="s">
        <v>63</v>
      </c>
      <c r="G183" s="1" t="s">
        <v>10</v>
      </c>
      <c r="J183" s="3">
        <v>45412.80537037037</v>
      </c>
      <c r="K183" s="2" t="s">
        <v>6730</v>
      </c>
      <c r="L183" s="1">
        <v>0</v>
      </c>
      <c r="M183" s="1">
        <v>2</v>
      </c>
      <c r="N183">
        <v>2</v>
      </c>
      <c r="O183" s="3">
        <f>IF(
    R183="Ancien",
    _xlfn.XLOOKUP(
        Final_Sans_VGE[[#This Row],[ppn_z]],
        tbl_Historique_Final[ppn_z],
        tbl_Historique_Final[Horodatage],
        ""
    ),
    Horodatage!$A$2
)</f>
        <v>46233.670796365739</v>
      </c>
      <c r="P183" s="1" t="str">
        <f>IFERROR(IF(tbl_Historique_Final[[#This Row],[Commentaires]]&lt;&gt;"",tbl_Historique_Final[[#This Row],[Commentaires]],""),"")</f>
        <v/>
      </c>
      <c r="R183"/>
      <c r="X183" s="8" t="str">
        <f>IF(Final_Sans_VGE[[#This Row],[ppn_z]]="","",IFERROR(
   IF(_xlfn.XLOOKUP(Final_Sans_VGE[[#This Row],[ppn_z]],tbl_Historique_Final[ppn_z],tbl_Historique_Final[date_modif])=Final_Sans_VGE[[#This Row],[date_modif]],
      "Ancien",
      "Modifié"),
   "Nouveau"))</f>
        <v>Ancien</v>
      </c>
      <c r="AB183" s="1"/>
    </row>
    <row r="184" spans="1:29" ht="30" x14ac:dyDescent="0.25">
      <c r="A184" s="5" t="s">
        <v>632</v>
      </c>
      <c r="B184" s="1" t="s">
        <v>6731</v>
      </c>
      <c r="C184" s="1" t="s">
        <v>37</v>
      </c>
      <c r="J184" s="3">
        <v>45251.632175925923</v>
      </c>
      <c r="K184" s="2" t="s">
        <v>6732</v>
      </c>
      <c r="L184" s="1">
        <v>10</v>
      </c>
      <c r="M184" s="1">
        <v>20</v>
      </c>
      <c r="N184">
        <v>10</v>
      </c>
      <c r="O184" s="3">
        <f>IF(
    R184="Ancien",
    _xlfn.XLOOKUP(
        Final_Sans_VGE[[#This Row],[ppn_z]],
        tbl_Historique_Final[ppn_z],
        tbl_Historique_Final[Horodatage],
        ""
    ),
    Horodatage!$A$2
)</f>
        <v>46233.670796365739</v>
      </c>
      <c r="P184" s="1" t="str">
        <f>IFERROR(IF(tbl_Historique_Final[[#This Row],[Commentaires]]&lt;&gt;"",tbl_Historique_Final[[#This Row],[Commentaires]],""),"")</f>
        <v/>
      </c>
      <c r="R184"/>
      <c r="X184" s="8" t="str">
        <f>IF(Final_Sans_VGE[[#This Row],[ppn_z]]="","",IFERROR(
   IF(_xlfn.XLOOKUP(Final_Sans_VGE[[#This Row],[ppn_z]],tbl_Historique_Final[ppn_z],tbl_Historique_Final[date_modif])=Final_Sans_VGE[[#This Row],[date_modif]],
      "Ancien",
      "Modifié"),
   "Nouveau"))</f>
        <v>Ancien</v>
      </c>
      <c r="AB184" s="1"/>
    </row>
    <row r="185" spans="1:29" x14ac:dyDescent="0.25">
      <c r="A185" s="5" t="s">
        <v>635</v>
      </c>
      <c r="B185" s="1" t="s">
        <v>6733</v>
      </c>
      <c r="C185" s="1" t="s">
        <v>12</v>
      </c>
      <c r="G185" s="1" t="s">
        <v>11</v>
      </c>
      <c r="J185" s="3">
        <v>44444.169189814813</v>
      </c>
      <c r="K185" s="2" t="s">
        <v>6413</v>
      </c>
      <c r="L185" s="1">
        <v>1</v>
      </c>
      <c r="M185" s="1">
        <v>1</v>
      </c>
      <c r="N185">
        <v>0</v>
      </c>
      <c r="O185" s="3">
        <f>IF(
    R185="Ancien",
    _xlfn.XLOOKUP(
        Final_Sans_VGE[[#This Row],[ppn_z]],
        tbl_Historique_Final[ppn_z],
        tbl_Historique_Final[Horodatage],
        ""
    ),
    Horodatage!$A$2
)</f>
        <v>46233.670796365739</v>
      </c>
      <c r="P185" s="1" t="str">
        <f>IFERROR(IF(tbl_Historique_Final[[#This Row],[Commentaires]]&lt;&gt;"",tbl_Historique_Final[[#This Row],[Commentaires]],""),"")</f>
        <v/>
      </c>
      <c r="R185"/>
      <c r="X185" s="8" t="str">
        <f>IF(Final_Sans_VGE[[#This Row],[ppn_z]]="","",IFERROR(
   IF(_xlfn.XLOOKUP(Final_Sans_VGE[[#This Row],[ppn_z]],tbl_Historique_Final[ppn_z],tbl_Historique_Final[date_modif])=Final_Sans_VGE[[#This Row],[date_modif]],
      "Ancien",
      "Modifié"),
   "Nouveau"))</f>
        <v>Ancien</v>
      </c>
      <c r="AB185" s="1"/>
    </row>
    <row r="186" spans="1:29" ht="75" x14ac:dyDescent="0.25">
      <c r="A186" s="5" t="s">
        <v>638</v>
      </c>
      <c r="B186" s="1" t="s">
        <v>6734</v>
      </c>
      <c r="C186" s="1" t="s">
        <v>6735</v>
      </c>
      <c r="G186" s="1" t="s">
        <v>10</v>
      </c>
      <c r="J186" s="3">
        <v>44441.449872685182</v>
      </c>
      <c r="K186" s="2" t="s">
        <v>6736</v>
      </c>
      <c r="L186" s="1">
        <v>8</v>
      </c>
      <c r="M186" s="1">
        <v>9</v>
      </c>
      <c r="N186">
        <v>1</v>
      </c>
      <c r="O186" s="3">
        <f>IF(
    R186="Ancien",
    _xlfn.XLOOKUP(
        Final_Sans_VGE[[#This Row],[ppn_z]],
        tbl_Historique_Final[ppn_z],
        tbl_Historique_Final[Horodatage],
        ""
    ),
    Horodatage!$A$2
)</f>
        <v>46233.670796365739</v>
      </c>
      <c r="P186" s="1" t="str">
        <f>IFERROR(IF(tbl_Historique_Final[[#This Row],[Commentaires]]&lt;&gt;"",tbl_Historique_Final[[#This Row],[Commentaires]],""),"")</f>
        <v/>
      </c>
      <c r="R186"/>
      <c r="X186" s="8" t="str">
        <f>IF(Final_Sans_VGE[[#This Row],[ppn_z]]="","",IFERROR(
   IF(_xlfn.XLOOKUP(Final_Sans_VGE[[#This Row],[ppn_z]],tbl_Historique_Final[ppn_z],tbl_Historique_Final[date_modif])=Final_Sans_VGE[[#This Row],[date_modif]],
      "Ancien",
      "Modifié"),
   "Nouveau"))</f>
        <v>Ancien</v>
      </c>
      <c r="AB186" s="1"/>
    </row>
    <row r="187" spans="1:29" x14ac:dyDescent="0.25">
      <c r="A187" s="5" t="s">
        <v>641</v>
      </c>
      <c r="B187" s="1" t="s">
        <v>6737</v>
      </c>
      <c r="C187" s="1" t="s">
        <v>12</v>
      </c>
      <c r="G187" s="1" t="s">
        <v>11</v>
      </c>
      <c r="J187" s="3">
        <v>45357.213472222225</v>
      </c>
      <c r="K187" s="2" t="s">
        <v>6738</v>
      </c>
      <c r="L187" s="1">
        <v>4</v>
      </c>
      <c r="M187" s="1">
        <v>5</v>
      </c>
      <c r="N187">
        <v>1</v>
      </c>
      <c r="O187" s="3">
        <f>IF(
    R187="Ancien",
    _xlfn.XLOOKUP(
        Final_Sans_VGE[[#This Row],[ppn_z]],
        tbl_Historique_Final[ppn_z],
        tbl_Historique_Final[Horodatage],
        ""
    ),
    Horodatage!$A$2
)</f>
        <v>46233.670796365739</v>
      </c>
      <c r="P187" s="1" t="str">
        <f>IFERROR(IF(tbl_Historique_Final[[#This Row],[Commentaires]]&lt;&gt;"",tbl_Historique_Final[[#This Row],[Commentaires]],""),"")</f>
        <v/>
      </c>
      <c r="R187"/>
      <c r="X187" s="8" t="str">
        <f>IF(Final_Sans_VGE[[#This Row],[ppn_z]]="","",IFERROR(
   IF(_xlfn.XLOOKUP(Final_Sans_VGE[[#This Row],[ppn_z]],tbl_Historique_Final[ppn_z],tbl_Historique_Final[date_modif])=Final_Sans_VGE[[#This Row],[date_modif]],
      "Ancien",
      "Modifié"),
   "Nouveau"))</f>
        <v>Ancien</v>
      </c>
      <c r="AB187" s="1"/>
    </row>
    <row r="188" spans="1:29" x14ac:dyDescent="0.25">
      <c r="A188" s="5" t="s">
        <v>644</v>
      </c>
      <c r="B188" s="1" t="s">
        <v>6739</v>
      </c>
      <c r="C188" s="1" t="s">
        <v>152</v>
      </c>
      <c r="E188" s="1" t="s">
        <v>64</v>
      </c>
      <c r="G188" s="1" t="s">
        <v>10</v>
      </c>
      <c r="J188" s="3">
        <v>45414.728865740741</v>
      </c>
      <c r="K188" s="2" t="s">
        <v>6740</v>
      </c>
      <c r="L188" s="1">
        <v>4</v>
      </c>
      <c r="M188" s="1">
        <v>4</v>
      </c>
      <c r="N188">
        <v>0</v>
      </c>
      <c r="O188" s="3">
        <f>IF(
    R188="Ancien",
    _xlfn.XLOOKUP(
        Final_Sans_VGE[[#This Row],[ppn_z]],
        tbl_Historique_Final[ppn_z],
        tbl_Historique_Final[Horodatage],
        ""
    ),
    Horodatage!$A$2
)</f>
        <v>46233.670796365739</v>
      </c>
      <c r="P188" s="1" t="str">
        <f>IFERROR(IF(tbl_Historique_Final[[#This Row],[Commentaires]]&lt;&gt;"",tbl_Historique_Final[[#This Row],[Commentaires]],""),"")</f>
        <v/>
      </c>
      <c r="R188"/>
      <c r="X188" s="8" t="str">
        <f>IF(Final_Sans_VGE[[#This Row],[ppn_z]]="","",IFERROR(
   IF(_xlfn.XLOOKUP(Final_Sans_VGE[[#This Row],[ppn_z]],tbl_Historique_Final[ppn_z],tbl_Historique_Final[date_modif])=Final_Sans_VGE[[#This Row],[date_modif]],
      "Ancien",
      "Modifié"),
   "Nouveau"))</f>
        <v>Ancien</v>
      </c>
      <c r="AB188" s="1"/>
    </row>
    <row r="189" spans="1:29" ht="30" x14ac:dyDescent="0.25">
      <c r="A189" s="5" t="s">
        <v>647</v>
      </c>
      <c r="B189" s="1" t="s">
        <v>6741</v>
      </c>
      <c r="C189" s="1" t="s">
        <v>57</v>
      </c>
      <c r="G189" s="1" t="s">
        <v>10</v>
      </c>
      <c r="J189" s="3">
        <v>44376.491574074076</v>
      </c>
      <c r="K189" s="2" t="s">
        <v>6742</v>
      </c>
      <c r="L189" s="1">
        <v>3</v>
      </c>
      <c r="M189" s="1">
        <v>5</v>
      </c>
      <c r="N189">
        <v>2</v>
      </c>
      <c r="O189" s="3">
        <f>IF(
    R189="Ancien",
    _xlfn.XLOOKUP(
        Final_Sans_VGE[[#This Row],[ppn_z]],
        tbl_Historique_Final[ppn_z],
        tbl_Historique_Final[Horodatage],
        ""
    ),
    Horodatage!$A$2
)</f>
        <v>46233.670796365739</v>
      </c>
      <c r="P189" s="1" t="str">
        <f>IFERROR(IF(tbl_Historique_Final[[#This Row],[Commentaires]]&lt;&gt;"",tbl_Historique_Final[[#This Row],[Commentaires]],""),"")</f>
        <v/>
      </c>
      <c r="R189"/>
      <c r="X189" s="8" t="str">
        <f>IF(Final_Sans_VGE[[#This Row],[ppn_z]]="","",IFERROR(
   IF(_xlfn.XLOOKUP(Final_Sans_VGE[[#This Row],[ppn_z]],tbl_Historique_Final[ppn_z],tbl_Historique_Final[date_modif])=Final_Sans_VGE[[#This Row],[date_modif]],
      "Ancien",
      "Modifié"),
   "Nouveau"))</f>
        <v>Ancien</v>
      </c>
      <c r="AB189" s="1"/>
    </row>
    <row r="190" spans="1:29" ht="30" x14ac:dyDescent="0.25">
      <c r="A190" s="5" t="s">
        <v>650</v>
      </c>
      <c r="B190" s="1" t="s">
        <v>6743</v>
      </c>
      <c r="C190" s="1" t="s">
        <v>121</v>
      </c>
      <c r="G190" s="1" t="s">
        <v>11</v>
      </c>
      <c r="J190" s="3">
        <v>44812.440763888888</v>
      </c>
      <c r="K190" s="2" t="s">
        <v>6744</v>
      </c>
      <c r="L190" s="1">
        <v>2</v>
      </c>
      <c r="M190" s="1">
        <v>4</v>
      </c>
      <c r="N190">
        <v>2</v>
      </c>
      <c r="O190" s="3">
        <f>IF(
    R190="Ancien",
    _xlfn.XLOOKUP(
        Final_Sans_VGE[[#This Row],[ppn_z]],
        tbl_Historique_Final[ppn_z],
        tbl_Historique_Final[Horodatage],
        ""
    ),
    Horodatage!$A$2
)</f>
        <v>46233.670796365739</v>
      </c>
      <c r="P190" s="1" t="str">
        <f>IFERROR(IF(tbl_Historique_Final[[#This Row],[Commentaires]]&lt;&gt;"",tbl_Historique_Final[[#This Row],[Commentaires]],""),"")</f>
        <v/>
      </c>
      <c r="R190"/>
      <c r="X190" s="8" t="str">
        <f>IF(Final_Sans_VGE[[#This Row],[ppn_z]]="","",IFERROR(
   IF(_xlfn.XLOOKUP(Final_Sans_VGE[[#This Row],[ppn_z]],tbl_Historique_Final[ppn_z],tbl_Historique_Final[date_modif])=Final_Sans_VGE[[#This Row],[date_modif]],
      "Ancien",
      "Modifié"),
   "Nouveau"))</f>
        <v>Ancien</v>
      </c>
      <c r="AB190" s="1"/>
    </row>
    <row r="191" spans="1:29" x14ac:dyDescent="0.25">
      <c r="A191" s="5" t="s">
        <v>653</v>
      </c>
      <c r="B191" s="1" t="s">
        <v>6745</v>
      </c>
      <c r="C191" s="1" t="s">
        <v>6746</v>
      </c>
      <c r="E191" s="1" t="s">
        <v>123</v>
      </c>
      <c r="G191" s="1" t="s">
        <v>10</v>
      </c>
      <c r="J191" s="3">
        <v>45414.742824074077</v>
      </c>
      <c r="K191" s="2" t="s">
        <v>6747</v>
      </c>
      <c r="L191" s="1">
        <v>2</v>
      </c>
      <c r="M191" s="1">
        <v>2</v>
      </c>
      <c r="N191">
        <v>0</v>
      </c>
      <c r="O191" s="3">
        <f>IF(
    R191="Ancien",
    _xlfn.XLOOKUP(
        Final_Sans_VGE[[#This Row],[ppn_z]],
        tbl_Historique_Final[ppn_z],
        tbl_Historique_Final[Horodatage],
        ""
    ),
    Horodatage!$A$2
)</f>
        <v>46233.670796365739</v>
      </c>
      <c r="P191" s="1" t="str">
        <f>IFERROR(IF(tbl_Historique_Final[[#This Row],[Commentaires]]&lt;&gt;"",tbl_Historique_Final[[#This Row],[Commentaires]],""),"")</f>
        <v/>
      </c>
      <c r="R191"/>
      <c r="X191" s="8" t="str">
        <f>IF(Final_Sans_VGE[[#This Row],[ppn_z]]="","",IFERROR(
   IF(_xlfn.XLOOKUP(Final_Sans_VGE[[#This Row],[ppn_z]],tbl_Historique_Final[ppn_z],tbl_Historique_Final[date_modif])=Final_Sans_VGE[[#This Row],[date_modif]],
      "Ancien",
      "Modifié"),
   "Nouveau"))</f>
        <v>Ancien</v>
      </c>
      <c r="AB191" s="1"/>
    </row>
    <row r="192" spans="1:29" ht="30" x14ac:dyDescent="0.25">
      <c r="A192" s="5" t="s">
        <v>656</v>
      </c>
      <c r="B192" s="1" t="s">
        <v>6748</v>
      </c>
      <c r="C192" s="1" t="s">
        <v>12</v>
      </c>
      <c r="G192" s="1" t="s">
        <v>11</v>
      </c>
      <c r="J192" s="3">
        <v>45345.51834490741</v>
      </c>
      <c r="K192" s="2" t="s">
        <v>6749</v>
      </c>
      <c r="L192" s="1">
        <v>2</v>
      </c>
      <c r="M192" s="1">
        <v>2</v>
      </c>
      <c r="N192">
        <v>0</v>
      </c>
      <c r="O192" s="3">
        <f>IF(
    R192="Ancien",
    _xlfn.XLOOKUP(
        Final_Sans_VGE[[#This Row],[ppn_z]],
        tbl_Historique_Final[ppn_z],
        tbl_Historique_Final[Horodatage],
        ""
    ),
    Horodatage!$A$2
)</f>
        <v>46233.670796365739</v>
      </c>
      <c r="P192" s="1" t="str">
        <f>IFERROR(IF(tbl_Historique_Final[[#This Row],[Commentaires]]&lt;&gt;"",tbl_Historique_Final[[#This Row],[Commentaires]],""),"")</f>
        <v/>
      </c>
      <c r="R192"/>
      <c r="X192" s="8" t="str">
        <f>IF(Final_Sans_VGE[[#This Row],[ppn_z]]="","",IFERROR(
   IF(_xlfn.XLOOKUP(Final_Sans_VGE[[#This Row],[ppn_z]],tbl_Historique_Final[ppn_z],tbl_Historique_Final[date_modif])=Final_Sans_VGE[[#This Row],[date_modif]],
      "Ancien",
      "Modifié"),
   "Nouveau"))</f>
        <v>Ancien</v>
      </c>
      <c r="AC192"/>
    </row>
    <row r="193" spans="1:29" x14ac:dyDescent="0.25">
      <c r="A193" s="5" t="s">
        <v>659</v>
      </c>
      <c r="B193" s="1" t="s">
        <v>6750</v>
      </c>
      <c r="C193" s="1" t="s">
        <v>6473</v>
      </c>
      <c r="G193" s="1" t="s">
        <v>10</v>
      </c>
      <c r="J193" s="3">
        <v>45357.235752314817</v>
      </c>
      <c r="K193" s="2" t="s">
        <v>6357</v>
      </c>
      <c r="L193" s="1">
        <v>6</v>
      </c>
      <c r="M193" s="1">
        <v>6</v>
      </c>
      <c r="N193">
        <v>0</v>
      </c>
      <c r="O193" s="3">
        <f>IF(
    R193="Ancien",
    _xlfn.XLOOKUP(
        Final_Sans_VGE[[#This Row],[ppn_z]],
        tbl_Historique_Final[ppn_z],
        tbl_Historique_Final[Horodatage],
        ""
    ),
    Horodatage!$A$2
)</f>
        <v>46233.670796365739</v>
      </c>
      <c r="P193" s="1" t="str">
        <f>IFERROR(IF(tbl_Historique_Final[[#This Row],[Commentaires]]&lt;&gt;"",tbl_Historique_Final[[#This Row],[Commentaires]],""),"")</f>
        <v/>
      </c>
      <c r="R193"/>
      <c r="X193" s="8" t="str">
        <f>IF(Final_Sans_VGE[[#This Row],[ppn_z]]="","",IFERROR(
   IF(_xlfn.XLOOKUP(Final_Sans_VGE[[#This Row],[ppn_z]],tbl_Historique_Final[ppn_z],tbl_Historique_Final[date_modif])=Final_Sans_VGE[[#This Row],[date_modif]],
      "Ancien",
      "Modifié"),
   "Nouveau"))</f>
        <v>Ancien</v>
      </c>
      <c r="AC193"/>
    </row>
    <row r="194" spans="1:29" x14ac:dyDescent="0.25">
      <c r="A194" s="5" t="s">
        <v>662</v>
      </c>
      <c r="B194" s="1" t="s">
        <v>6751</v>
      </c>
      <c r="C194" s="1" t="s">
        <v>6603</v>
      </c>
      <c r="G194" s="1" t="s">
        <v>10</v>
      </c>
      <c r="J194" s="3">
        <v>45351.467118055552</v>
      </c>
      <c r="K194" s="2" t="s">
        <v>6752</v>
      </c>
      <c r="L194" s="1">
        <v>2</v>
      </c>
      <c r="M194" s="1">
        <v>2</v>
      </c>
      <c r="N194">
        <v>0</v>
      </c>
      <c r="O194" s="3">
        <f>IF(
    R194="Ancien",
    _xlfn.XLOOKUP(
        Final_Sans_VGE[[#This Row],[ppn_z]],
        tbl_Historique_Final[ppn_z],
        tbl_Historique_Final[Horodatage],
        ""
    ),
    Horodatage!$A$2
)</f>
        <v>46233.670796365739</v>
      </c>
      <c r="P194" s="1" t="str">
        <f>IFERROR(IF(tbl_Historique_Final[[#This Row],[Commentaires]]&lt;&gt;"",tbl_Historique_Final[[#This Row],[Commentaires]],""),"")</f>
        <v/>
      </c>
      <c r="R194"/>
      <c r="X194" s="8" t="str">
        <f>IF(Final_Sans_VGE[[#This Row],[ppn_z]]="","",IFERROR(
   IF(_xlfn.XLOOKUP(Final_Sans_VGE[[#This Row],[ppn_z]],tbl_Historique_Final[ppn_z],tbl_Historique_Final[date_modif])=Final_Sans_VGE[[#This Row],[date_modif]],
      "Ancien",
      "Modifié"),
   "Nouveau"))</f>
        <v>Ancien</v>
      </c>
      <c r="AC194"/>
    </row>
    <row r="195" spans="1:29" x14ac:dyDescent="0.25">
      <c r="A195" s="5" t="s">
        <v>665</v>
      </c>
      <c r="B195" s="1" t="s">
        <v>6753</v>
      </c>
      <c r="C195" s="1" t="s">
        <v>6754</v>
      </c>
      <c r="E195" s="1" t="s">
        <v>40</v>
      </c>
      <c r="G195" s="1" t="s">
        <v>10</v>
      </c>
      <c r="J195" s="3">
        <v>45415.341435185182</v>
      </c>
      <c r="K195" s="2" t="s">
        <v>6373</v>
      </c>
      <c r="L195" s="1">
        <v>2</v>
      </c>
      <c r="M195" s="1">
        <v>2</v>
      </c>
      <c r="N195">
        <v>0</v>
      </c>
      <c r="O195" s="3">
        <f>IF(
    R195="Ancien",
    _xlfn.XLOOKUP(
        Final_Sans_VGE[[#This Row],[ppn_z]],
        tbl_Historique_Final[ppn_z],
        tbl_Historique_Final[Horodatage],
        ""
    ),
    Horodatage!$A$2
)</f>
        <v>46233.670796365739</v>
      </c>
      <c r="P195" s="1" t="str">
        <f>IFERROR(IF(tbl_Historique_Final[[#This Row],[Commentaires]]&lt;&gt;"",tbl_Historique_Final[[#This Row],[Commentaires]],""),"")</f>
        <v/>
      </c>
      <c r="R195"/>
      <c r="X195" s="8" t="str">
        <f>IF(Final_Sans_VGE[[#This Row],[ppn_z]]="","",IFERROR(
   IF(_xlfn.XLOOKUP(Final_Sans_VGE[[#This Row],[ppn_z]],tbl_Historique_Final[ppn_z],tbl_Historique_Final[date_modif])=Final_Sans_VGE[[#This Row],[date_modif]],
      "Ancien",
      "Modifié"),
   "Nouveau"))</f>
        <v>Ancien</v>
      </c>
      <c r="AC195"/>
    </row>
    <row r="196" spans="1:29" x14ac:dyDescent="0.25">
      <c r="A196" s="5" t="s">
        <v>668</v>
      </c>
      <c r="B196" s="1" t="s">
        <v>6755</v>
      </c>
      <c r="C196" s="1" t="s">
        <v>74</v>
      </c>
      <c r="G196" s="1" t="s">
        <v>10</v>
      </c>
      <c r="J196" s="3">
        <v>45359.442430555559</v>
      </c>
      <c r="K196" s="2" t="s">
        <v>6756</v>
      </c>
      <c r="L196" s="1">
        <v>5</v>
      </c>
      <c r="M196" s="1">
        <v>6</v>
      </c>
      <c r="N196">
        <v>1</v>
      </c>
      <c r="O196" s="3">
        <f>IF(
    R196="Ancien",
    _xlfn.XLOOKUP(
        Final_Sans_VGE[[#This Row],[ppn_z]],
        tbl_Historique_Final[ppn_z],
        tbl_Historique_Final[Horodatage],
        ""
    ),
    Horodatage!$A$2
)</f>
        <v>46233.670796365739</v>
      </c>
      <c r="P196" s="1" t="str">
        <f>IFERROR(IF(tbl_Historique_Final[[#This Row],[Commentaires]]&lt;&gt;"",tbl_Historique_Final[[#This Row],[Commentaires]],""),"")</f>
        <v/>
      </c>
      <c r="R196"/>
      <c r="X196" s="8" t="str">
        <f>IF(Final_Sans_VGE[[#This Row],[ppn_z]]="","",IFERROR(
   IF(_xlfn.XLOOKUP(Final_Sans_VGE[[#This Row],[ppn_z]],tbl_Historique_Final[ppn_z],tbl_Historique_Final[date_modif])=Final_Sans_VGE[[#This Row],[date_modif]],
      "Ancien",
      "Modifié"),
   "Nouveau"))</f>
        <v>Ancien</v>
      </c>
      <c r="AC196"/>
    </row>
    <row r="197" spans="1:29" x14ac:dyDescent="0.25">
      <c r="A197" s="5" t="s">
        <v>671</v>
      </c>
      <c r="B197" s="1" t="s">
        <v>6757</v>
      </c>
      <c r="C197" s="1" t="s">
        <v>12</v>
      </c>
      <c r="G197" s="1" t="s">
        <v>11</v>
      </c>
      <c r="J197" s="3">
        <v>44538.654918981483</v>
      </c>
      <c r="K197" s="2" t="s">
        <v>6758</v>
      </c>
      <c r="L197" s="1">
        <v>2</v>
      </c>
      <c r="M197" s="1">
        <v>3</v>
      </c>
      <c r="N197">
        <v>1</v>
      </c>
      <c r="O197" s="3">
        <f>IF(
    R197="Ancien",
    _xlfn.XLOOKUP(
        Final_Sans_VGE[[#This Row],[ppn_z]],
        tbl_Historique_Final[ppn_z],
        tbl_Historique_Final[Horodatage],
        ""
    ),
    Horodatage!$A$2
)</f>
        <v>46233.670796365739</v>
      </c>
      <c r="P197" s="1" t="str">
        <f>IFERROR(IF(tbl_Historique_Final[[#This Row],[Commentaires]]&lt;&gt;"",tbl_Historique_Final[[#This Row],[Commentaires]],""),"")</f>
        <v/>
      </c>
      <c r="R197"/>
      <c r="X197" s="8" t="str">
        <f>IF(Final_Sans_VGE[[#This Row],[ppn_z]]="","",IFERROR(
   IF(_xlfn.XLOOKUP(Final_Sans_VGE[[#This Row],[ppn_z]],tbl_Historique_Final[ppn_z],tbl_Historique_Final[date_modif])=Final_Sans_VGE[[#This Row],[date_modif]],
      "Ancien",
      "Modifié"),
   "Nouveau"))</f>
        <v>Ancien</v>
      </c>
      <c r="AC197"/>
    </row>
    <row r="198" spans="1:29" x14ac:dyDescent="0.25">
      <c r="A198" s="5" t="s">
        <v>674</v>
      </c>
      <c r="B198" s="1" t="s">
        <v>6759</v>
      </c>
      <c r="C198" s="1" t="s">
        <v>12</v>
      </c>
      <c r="G198" s="1" t="s">
        <v>10</v>
      </c>
      <c r="J198" s="3">
        <v>45357.651006944441</v>
      </c>
      <c r="K198" s="2" t="s">
        <v>6760</v>
      </c>
      <c r="L198" s="1">
        <v>4</v>
      </c>
      <c r="M198" s="1">
        <v>4</v>
      </c>
      <c r="N198">
        <v>0</v>
      </c>
      <c r="O198" s="3">
        <f>IF(
    R198="Ancien",
    _xlfn.XLOOKUP(
        Final_Sans_VGE[[#This Row],[ppn_z]],
        tbl_Historique_Final[ppn_z],
        tbl_Historique_Final[Horodatage],
        ""
    ),
    Horodatage!$A$2
)</f>
        <v>46233.670796365739</v>
      </c>
      <c r="P198" s="1" t="str">
        <f>IFERROR(IF(tbl_Historique_Final[[#This Row],[Commentaires]]&lt;&gt;"",tbl_Historique_Final[[#This Row],[Commentaires]],""),"")</f>
        <v/>
      </c>
      <c r="R198"/>
      <c r="X198" s="8" t="str">
        <f>IF(Final_Sans_VGE[[#This Row],[ppn_z]]="","",IFERROR(
   IF(_xlfn.XLOOKUP(Final_Sans_VGE[[#This Row],[ppn_z]],tbl_Historique_Final[ppn_z],tbl_Historique_Final[date_modif])=Final_Sans_VGE[[#This Row],[date_modif]],
      "Ancien",
      "Modifié"),
   "Nouveau"))</f>
        <v>Ancien</v>
      </c>
      <c r="AC198"/>
    </row>
    <row r="199" spans="1:29" x14ac:dyDescent="0.25">
      <c r="A199" s="5" t="s">
        <v>677</v>
      </c>
      <c r="B199" s="1" t="s">
        <v>6761</v>
      </c>
      <c r="C199" s="1" t="s">
        <v>6427</v>
      </c>
      <c r="E199" s="1" t="s">
        <v>61</v>
      </c>
      <c r="G199" s="1" t="s">
        <v>10</v>
      </c>
      <c r="J199" s="3">
        <v>45415.363634259258</v>
      </c>
      <c r="K199" s="2" t="s">
        <v>6762</v>
      </c>
      <c r="L199" s="1">
        <v>1</v>
      </c>
      <c r="M199" s="1">
        <v>1</v>
      </c>
      <c r="N199">
        <v>0</v>
      </c>
      <c r="O199" s="3">
        <f>IF(
    R199="Ancien",
    _xlfn.XLOOKUP(
        Final_Sans_VGE[[#This Row],[ppn_z]],
        tbl_Historique_Final[ppn_z],
        tbl_Historique_Final[Horodatage],
        ""
    ),
    Horodatage!$A$2
)</f>
        <v>46233.670796365739</v>
      </c>
      <c r="P199" s="1" t="str">
        <f>IFERROR(IF(tbl_Historique_Final[[#This Row],[Commentaires]]&lt;&gt;"",tbl_Historique_Final[[#This Row],[Commentaires]],""),"")</f>
        <v/>
      </c>
      <c r="R199"/>
      <c r="X199" s="8" t="str">
        <f>IF(Final_Sans_VGE[[#This Row],[ppn_z]]="","",IFERROR(
   IF(_xlfn.XLOOKUP(Final_Sans_VGE[[#This Row],[ppn_z]],tbl_Historique_Final[ppn_z],tbl_Historique_Final[date_modif])=Final_Sans_VGE[[#This Row],[date_modif]],
      "Ancien",
      "Modifié"),
   "Nouveau"))</f>
        <v>Ancien</v>
      </c>
      <c r="AC199"/>
    </row>
    <row r="200" spans="1:29" x14ac:dyDescent="0.25">
      <c r="A200" s="5" t="s">
        <v>680</v>
      </c>
      <c r="B200" s="1" t="s">
        <v>6763</v>
      </c>
      <c r="C200" s="1" t="s">
        <v>12</v>
      </c>
      <c r="G200" s="1" t="s">
        <v>10</v>
      </c>
      <c r="J200" s="3">
        <v>45357.326041666667</v>
      </c>
      <c r="K200" s="2" t="s">
        <v>6650</v>
      </c>
      <c r="L200" s="1">
        <v>7</v>
      </c>
      <c r="M200" s="1">
        <v>7</v>
      </c>
      <c r="N200">
        <v>0</v>
      </c>
      <c r="O200" s="3">
        <f>IF(
    R200="Ancien",
    _xlfn.XLOOKUP(
        Final_Sans_VGE[[#This Row],[ppn_z]],
        tbl_Historique_Final[ppn_z],
        tbl_Historique_Final[Horodatage],
        ""
    ),
    Horodatage!$A$2
)</f>
        <v>46233.670796365739</v>
      </c>
      <c r="P200" s="1" t="str">
        <f>IFERROR(IF(tbl_Historique_Final[[#This Row],[Commentaires]]&lt;&gt;"",tbl_Historique_Final[[#This Row],[Commentaires]],""),"")</f>
        <v/>
      </c>
      <c r="R200"/>
      <c r="X200" s="8" t="str">
        <f>IF(Final_Sans_VGE[[#This Row],[ppn_z]]="","",IFERROR(
   IF(_xlfn.XLOOKUP(Final_Sans_VGE[[#This Row],[ppn_z]],tbl_Historique_Final[ppn_z],tbl_Historique_Final[date_modif])=Final_Sans_VGE[[#This Row],[date_modif]],
      "Ancien",
      "Modifié"),
   "Nouveau"))</f>
        <v>Ancien</v>
      </c>
      <c r="AC200"/>
    </row>
    <row r="201" spans="1:29" x14ac:dyDescent="0.25">
      <c r="A201" s="5" t="s">
        <v>683</v>
      </c>
      <c r="B201" s="1" t="s">
        <v>6764</v>
      </c>
      <c r="C201" s="1" t="s">
        <v>120</v>
      </c>
      <c r="G201" s="1" t="s">
        <v>10</v>
      </c>
      <c r="J201" s="3">
        <v>44539.610162037039</v>
      </c>
      <c r="K201" s="2" t="s">
        <v>6765</v>
      </c>
      <c r="L201" s="1">
        <v>1</v>
      </c>
      <c r="M201" s="1">
        <v>1</v>
      </c>
      <c r="N201">
        <v>0</v>
      </c>
      <c r="O201" s="3">
        <f>IF(
    R201="Ancien",
    _xlfn.XLOOKUP(
        Final_Sans_VGE[[#This Row],[ppn_z]],
        tbl_Historique_Final[ppn_z],
        tbl_Historique_Final[Horodatage],
        ""
    ),
    Horodatage!$A$2
)</f>
        <v>46233.670796365739</v>
      </c>
      <c r="P201" s="1" t="str">
        <f>IFERROR(IF(tbl_Historique_Final[[#This Row],[Commentaires]]&lt;&gt;"",tbl_Historique_Final[[#This Row],[Commentaires]],""),"")</f>
        <v/>
      </c>
      <c r="R201"/>
      <c r="X201" s="8" t="str">
        <f>IF(Final_Sans_VGE[[#This Row],[ppn_z]]="","",IFERROR(
   IF(_xlfn.XLOOKUP(Final_Sans_VGE[[#This Row],[ppn_z]],tbl_Historique_Final[ppn_z],tbl_Historique_Final[date_modif])=Final_Sans_VGE[[#This Row],[date_modif]],
      "Ancien",
      "Modifié"),
   "Nouveau"))</f>
        <v>Ancien</v>
      </c>
      <c r="AC201"/>
    </row>
    <row r="202" spans="1:29" x14ac:dyDescent="0.25">
      <c r="A202" s="5" t="s">
        <v>686</v>
      </c>
      <c r="B202" s="1" t="s">
        <v>6766</v>
      </c>
      <c r="C202" s="1" t="s">
        <v>6767</v>
      </c>
      <c r="E202" s="1" t="s">
        <v>6768</v>
      </c>
      <c r="G202" s="1" t="s">
        <v>10</v>
      </c>
      <c r="J202" s="3">
        <v>45415.394224537034</v>
      </c>
      <c r="K202" s="2" t="s">
        <v>6769</v>
      </c>
      <c r="L202" s="1">
        <v>1</v>
      </c>
      <c r="M202" s="1">
        <v>1</v>
      </c>
      <c r="N202">
        <v>0</v>
      </c>
      <c r="O202" s="3">
        <f>IF(
    R202="Ancien",
    _xlfn.XLOOKUP(
        Final_Sans_VGE[[#This Row],[ppn_z]],
        tbl_Historique_Final[ppn_z],
        tbl_Historique_Final[Horodatage],
        ""
    ),
    Horodatage!$A$2
)</f>
        <v>46233.670796365739</v>
      </c>
      <c r="P202" s="1" t="str">
        <f>IFERROR(IF(tbl_Historique_Final[[#This Row],[Commentaires]]&lt;&gt;"",tbl_Historique_Final[[#This Row],[Commentaires]],""),"")</f>
        <v/>
      </c>
      <c r="R202"/>
      <c r="X202" s="8" t="str">
        <f>IF(Final_Sans_VGE[[#This Row],[ppn_z]]="","",IFERROR(
   IF(_xlfn.XLOOKUP(Final_Sans_VGE[[#This Row],[ppn_z]],tbl_Historique_Final[ppn_z],tbl_Historique_Final[date_modif])=Final_Sans_VGE[[#This Row],[date_modif]],
      "Ancien",
      "Modifié"),
   "Nouveau"))</f>
        <v>Ancien</v>
      </c>
      <c r="AC202"/>
    </row>
    <row r="203" spans="1:29" x14ac:dyDescent="0.25">
      <c r="A203" s="5" t="s">
        <v>689</v>
      </c>
      <c r="B203" s="1" t="s">
        <v>6770</v>
      </c>
      <c r="C203" s="1" t="s">
        <v>40</v>
      </c>
      <c r="G203" s="1" t="s">
        <v>10</v>
      </c>
      <c r="J203" s="3">
        <v>45303.517777777779</v>
      </c>
      <c r="K203" s="2" t="s">
        <v>6771</v>
      </c>
      <c r="L203" s="1">
        <v>10</v>
      </c>
      <c r="M203" s="1">
        <v>11</v>
      </c>
      <c r="N203">
        <v>1</v>
      </c>
      <c r="O203" s="3">
        <f>IF(
    R203="Ancien",
    _xlfn.XLOOKUP(
        Final_Sans_VGE[[#This Row],[ppn_z]],
        tbl_Historique_Final[ppn_z],
        tbl_Historique_Final[Horodatage],
        ""
    ),
    Horodatage!$A$2
)</f>
        <v>46233.670796365739</v>
      </c>
      <c r="P203" s="1" t="str">
        <f>IFERROR(IF(tbl_Historique_Final[[#This Row],[Commentaires]]&lt;&gt;"",tbl_Historique_Final[[#This Row],[Commentaires]],""),"")</f>
        <v/>
      </c>
      <c r="R203"/>
      <c r="X203" s="8" t="str">
        <f>IF(Final_Sans_VGE[[#This Row],[ppn_z]]="","",IFERROR(
   IF(_xlfn.XLOOKUP(Final_Sans_VGE[[#This Row],[ppn_z]],tbl_Historique_Final[ppn_z],tbl_Historique_Final[date_modif])=Final_Sans_VGE[[#This Row],[date_modif]],
      "Ancien",
      "Modifié"),
   "Nouveau"))</f>
        <v>Ancien</v>
      </c>
      <c r="AC203"/>
    </row>
    <row r="204" spans="1:29" x14ac:dyDescent="0.25">
      <c r="A204" s="5" t="s">
        <v>695</v>
      </c>
      <c r="B204" s="1" t="s">
        <v>6772</v>
      </c>
      <c r="C204" s="1" t="s">
        <v>12</v>
      </c>
      <c r="G204" s="1" t="s">
        <v>11</v>
      </c>
      <c r="J204" s="3">
        <v>45345.391273148147</v>
      </c>
      <c r="K204" s="2" t="s">
        <v>6773</v>
      </c>
      <c r="L204" s="1">
        <v>5</v>
      </c>
      <c r="M204" s="1">
        <v>5</v>
      </c>
      <c r="N204">
        <v>0</v>
      </c>
      <c r="O204" s="3">
        <f>IF(
    R204="Ancien",
    _xlfn.XLOOKUP(
        Final_Sans_VGE[[#This Row],[ppn_z]],
        tbl_Historique_Final[ppn_z],
        tbl_Historique_Final[Horodatage],
        ""
    ),
    Horodatage!$A$2
)</f>
        <v>46233.670796365739</v>
      </c>
      <c r="P204" s="1" t="str">
        <f>IFERROR(IF(tbl_Historique_Final[[#This Row],[Commentaires]]&lt;&gt;"",tbl_Historique_Final[[#This Row],[Commentaires]],""),"")</f>
        <v/>
      </c>
      <c r="R204"/>
      <c r="X204" s="8" t="str">
        <f>IF(Final_Sans_VGE[[#This Row],[ppn_z]]="","",IFERROR(
   IF(_xlfn.XLOOKUP(Final_Sans_VGE[[#This Row],[ppn_z]],tbl_Historique_Final[ppn_z],tbl_Historique_Final[date_modif])=Final_Sans_VGE[[#This Row],[date_modif]],
      "Ancien",
      "Modifié"),
   "Nouveau"))</f>
        <v>Ancien</v>
      </c>
      <c r="AC204"/>
    </row>
    <row r="205" spans="1:29" x14ac:dyDescent="0.25">
      <c r="A205" s="5" t="s">
        <v>698</v>
      </c>
      <c r="B205" s="1" t="s">
        <v>6774</v>
      </c>
      <c r="C205" s="1" t="s">
        <v>68</v>
      </c>
      <c r="E205" s="1" t="s">
        <v>58</v>
      </c>
      <c r="G205" s="1" t="s">
        <v>10</v>
      </c>
      <c r="J205" s="3">
        <v>45417.027546296296</v>
      </c>
      <c r="K205" s="2" t="s">
        <v>6775</v>
      </c>
      <c r="L205" s="1">
        <v>1</v>
      </c>
      <c r="M205" s="1">
        <v>1</v>
      </c>
      <c r="N205">
        <v>0</v>
      </c>
      <c r="O205" s="3">
        <f>IF(
    R205="Ancien",
    _xlfn.XLOOKUP(
        Final_Sans_VGE[[#This Row],[ppn_z]],
        tbl_Historique_Final[ppn_z],
        tbl_Historique_Final[Horodatage],
        ""
    ),
    Horodatage!$A$2
)</f>
        <v>46233.670796365739</v>
      </c>
      <c r="P205" s="1" t="str">
        <f>IFERROR(IF(tbl_Historique_Final[[#This Row],[Commentaires]]&lt;&gt;"",tbl_Historique_Final[[#This Row],[Commentaires]],""),"")</f>
        <v/>
      </c>
      <c r="R205"/>
      <c r="X205" s="8" t="str">
        <f>IF(Final_Sans_VGE[[#This Row],[ppn_z]]="","",IFERROR(
   IF(_xlfn.XLOOKUP(Final_Sans_VGE[[#This Row],[ppn_z]],tbl_Historique_Final[ppn_z],tbl_Historique_Final[date_modif])=Final_Sans_VGE[[#This Row],[date_modif]],
      "Ancien",
      "Modifié"),
   "Nouveau"))</f>
        <v>Ancien</v>
      </c>
      <c r="AC205"/>
    </row>
    <row r="206" spans="1:29" x14ac:dyDescent="0.25">
      <c r="A206" s="5" t="s">
        <v>701</v>
      </c>
      <c r="B206" s="1" t="s">
        <v>6776</v>
      </c>
      <c r="C206" s="1" t="s">
        <v>28</v>
      </c>
      <c r="E206" s="1" t="s">
        <v>112</v>
      </c>
      <c r="G206" s="1" t="s">
        <v>11</v>
      </c>
      <c r="J206" s="3">
        <v>45417.037256944444</v>
      </c>
      <c r="K206" s="2" t="s">
        <v>6777</v>
      </c>
      <c r="L206" s="1">
        <v>2</v>
      </c>
      <c r="M206" s="1">
        <v>2</v>
      </c>
      <c r="N206">
        <v>0</v>
      </c>
      <c r="O206" s="3">
        <f>IF(
    R206="Ancien",
    _xlfn.XLOOKUP(
        Final_Sans_VGE[[#This Row],[ppn_z]],
        tbl_Historique_Final[ppn_z],
        tbl_Historique_Final[Horodatage],
        ""
    ),
    Horodatage!$A$2
)</f>
        <v>46233.670796365739</v>
      </c>
      <c r="P206" s="1" t="str">
        <f>IFERROR(IF(tbl_Historique_Final[[#This Row],[Commentaires]]&lt;&gt;"",tbl_Historique_Final[[#This Row],[Commentaires]],""),"")</f>
        <v/>
      </c>
      <c r="R206"/>
      <c r="X206" s="8" t="str">
        <f>IF(Final_Sans_VGE[[#This Row],[ppn_z]]="","",IFERROR(
   IF(_xlfn.XLOOKUP(Final_Sans_VGE[[#This Row],[ppn_z]],tbl_Historique_Final[ppn_z],tbl_Historique_Final[date_modif])=Final_Sans_VGE[[#This Row],[date_modif]],
      "Ancien",
      "Modifié"),
   "Nouveau"))</f>
        <v>Ancien</v>
      </c>
      <c r="AC206"/>
    </row>
    <row r="207" spans="1:29" x14ac:dyDescent="0.25">
      <c r="A207" s="5" t="s">
        <v>704</v>
      </c>
      <c r="B207" s="1" t="s">
        <v>6778</v>
      </c>
      <c r="C207" s="1" t="s">
        <v>6779</v>
      </c>
      <c r="G207" s="1" t="s">
        <v>10</v>
      </c>
      <c r="J207" s="3">
        <v>45358.012094907404</v>
      </c>
      <c r="K207" s="2" t="s">
        <v>6369</v>
      </c>
      <c r="L207" s="1">
        <v>1</v>
      </c>
      <c r="M207" s="1">
        <v>1</v>
      </c>
      <c r="N207">
        <v>0</v>
      </c>
      <c r="O207" s="3">
        <f>IF(
    R207="Ancien",
    _xlfn.XLOOKUP(
        Final_Sans_VGE[[#This Row],[ppn_z]],
        tbl_Historique_Final[ppn_z],
        tbl_Historique_Final[Horodatage],
        ""
    ),
    Horodatage!$A$2
)</f>
        <v>46233.670796365739</v>
      </c>
      <c r="P207" s="1" t="str">
        <f>IFERROR(IF(tbl_Historique_Final[[#This Row],[Commentaires]]&lt;&gt;"",tbl_Historique_Final[[#This Row],[Commentaires]],""),"")</f>
        <v/>
      </c>
      <c r="R207"/>
      <c r="X207" s="8" t="str">
        <f>IF(Final_Sans_VGE[[#This Row],[ppn_z]]="","",IFERROR(
   IF(_xlfn.XLOOKUP(Final_Sans_VGE[[#This Row],[ppn_z]],tbl_Historique_Final[ppn_z],tbl_Historique_Final[date_modif])=Final_Sans_VGE[[#This Row],[date_modif]],
      "Ancien",
      "Modifié"),
   "Nouveau"))</f>
        <v>Ancien</v>
      </c>
      <c r="AC207"/>
    </row>
    <row r="208" spans="1:29" x14ac:dyDescent="0.25">
      <c r="A208" s="5" t="s">
        <v>707</v>
      </c>
      <c r="B208" s="1" t="s">
        <v>6780</v>
      </c>
      <c r="C208" s="1" t="s">
        <v>12</v>
      </c>
      <c r="G208" s="1" t="s">
        <v>11</v>
      </c>
      <c r="J208" s="3">
        <v>45357.387118055558</v>
      </c>
      <c r="K208" s="2" t="s">
        <v>6781</v>
      </c>
      <c r="L208" s="1">
        <v>1</v>
      </c>
      <c r="M208" s="1">
        <v>1</v>
      </c>
      <c r="N208">
        <v>0</v>
      </c>
      <c r="O208" s="3">
        <f>IF(
    R208="Ancien",
    _xlfn.XLOOKUP(
        Final_Sans_VGE[[#This Row],[ppn_z]],
        tbl_Historique_Final[ppn_z],
        tbl_Historique_Final[Horodatage],
        ""
    ),
    Horodatage!$A$2
)</f>
        <v>46233.670796365739</v>
      </c>
      <c r="P208" s="1" t="str">
        <f>IFERROR(IF(tbl_Historique_Final[[#This Row],[Commentaires]]&lt;&gt;"",tbl_Historique_Final[[#This Row],[Commentaires]],""),"")</f>
        <v/>
      </c>
      <c r="R208"/>
      <c r="X208" s="8" t="str">
        <f>IF(Final_Sans_VGE[[#This Row],[ppn_z]]="","",IFERROR(
   IF(_xlfn.XLOOKUP(Final_Sans_VGE[[#This Row],[ppn_z]],tbl_Historique_Final[ppn_z],tbl_Historique_Final[date_modif])=Final_Sans_VGE[[#This Row],[date_modif]],
      "Ancien",
      "Modifié"),
   "Nouveau"))</f>
        <v>Ancien</v>
      </c>
      <c r="AC208"/>
    </row>
    <row r="209" spans="1:29" x14ac:dyDescent="0.25">
      <c r="A209" s="5" t="s">
        <v>710</v>
      </c>
      <c r="B209" s="1" t="s">
        <v>6782</v>
      </c>
      <c r="C209" s="1" t="s">
        <v>6783</v>
      </c>
      <c r="E209" s="1" t="s">
        <v>31</v>
      </c>
      <c r="G209" s="1" t="s">
        <v>10</v>
      </c>
      <c r="J209" s="3">
        <v>45419.52412037037</v>
      </c>
      <c r="K209" s="2" t="s">
        <v>6784</v>
      </c>
      <c r="L209" s="1">
        <v>13</v>
      </c>
      <c r="M209" s="1">
        <v>15</v>
      </c>
      <c r="N209">
        <v>2</v>
      </c>
      <c r="O209" s="3">
        <f>IF(
    R209="Ancien",
    _xlfn.XLOOKUP(
        Final_Sans_VGE[[#This Row],[ppn_z]],
        tbl_Historique_Final[ppn_z],
        tbl_Historique_Final[Horodatage],
        ""
    ),
    Horodatage!$A$2
)</f>
        <v>46233.670796365739</v>
      </c>
      <c r="P209" s="1" t="str">
        <f>IFERROR(IF(tbl_Historique_Final[[#This Row],[Commentaires]]&lt;&gt;"",tbl_Historique_Final[[#This Row],[Commentaires]],""),"")</f>
        <v/>
      </c>
      <c r="R209"/>
      <c r="X209" s="8" t="str">
        <f>IF(Final_Sans_VGE[[#This Row],[ppn_z]]="","",IFERROR(
   IF(_xlfn.XLOOKUP(Final_Sans_VGE[[#This Row],[ppn_z]],tbl_Historique_Final[ppn_z],tbl_Historique_Final[date_modif])=Final_Sans_VGE[[#This Row],[date_modif]],
      "Ancien",
      "Modifié"),
   "Nouveau"))</f>
        <v>Ancien</v>
      </c>
      <c r="AC209"/>
    </row>
    <row r="210" spans="1:29" x14ac:dyDescent="0.25">
      <c r="A210" s="5" t="s">
        <v>716</v>
      </c>
      <c r="B210" s="1" t="s">
        <v>6785</v>
      </c>
      <c r="G210" s="1" t="s">
        <v>11</v>
      </c>
      <c r="J210" s="3">
        <v>45313.480856481481</v>
      </c>
      <c r="K210" s="2" t="s">
        <v>6786</v>
      </c>
      <c r="L210" s="1">
        <v>4</v>
      </c>
      <c r="M210" s="1">
        <v>12</v>
      </c>
      <c r="N210">
        <v>8</v>
      </c>
      <c r="O210" s="3">
        <f>IF(
    R210="Ancien",
    _xlfn.XLOOKUP(
        Final_Sans_VGE[[#This Row],[ppn_z]],
        tbl_Historique_Final[ppn_z],
        tbl_Historique_Final[Horodatage],
        ""
    ),
    Horodatage!$A$2
)</f>
        <v>46233.670796365739</v>
      </c>
      <c r="P210" s="1" t="str">
        <f>IFERROR(IF(tbl_Historique_Final[[#This Row],[Commentaires]]&lt;&gt;"",tbl_Historique_Final[[#This Row],[Commentaires]],""),"")</f>
        <v/>
      </c>
      <c r="R210"/>
      <c r="X210" s="8" t="str">
        <f>IF(Final_Sans_VGE[[#This Row],[ppn_z]]="","",IFERROR(
   IF(_xlfn.XLOOKUP(Final_Sans_VGE[[#This Row],[ppn_z]],tbl_Historique_Final[ppn_z],tbl_Historique_Final[date_modif])=Final_Sans_VGE[[#This Row],[date_modif]],
      "Ancien",
      "Modifié"),
   "Nouveau"))</f>
        <v>Ancien</v>
      </c>
      <c r="AC210"/>
    </row>
    <row r="211" spans="1:29" x14ac:dyDescent="0.25">
      <c r="A211" s="5" t="s">
        <v>719</v>
      </c>
      <c r="B211" s="1" t="s">
        <v>6787</v>
      </c>
      <c r="C211" s="1" t="s">
        <v>12</v>
      </c>
      <c r="G211" s="1" t="s">
        <v>10</v>
      </c>
      <c r="J211" s="3">
        <v>45324.608842592592</v>
      </c>
      <c r="K211" s="2" t="s">
        <v>6788</v>
      </c>
      <c r="L211" s="1">
        <v>3</v>
      </c>
      <c r="M211" s="1">
        <v>3</v>
      </c>
      <c r="N211">
        <v>0</v>
      </c>
      <c r="O211" s="3">
        <f>IF(
    R211="Ancien",
    _xlfn.XLOOKUP(
        Final_Sans_VGE[[#This Row],[ppn_z]],
        tbl_Historique_Final[ppn_z],
        tbl_Historique_Final[Horodatage],
        ""
    ),
    Horodatage!$A$2
)</f>
        <v>46233.670796365739</v>
      </c>
      <c r="P211" s="1" t="str">
        <f>IFERROR(IF(tbl_Historique_Final[[#This Row],[Commentaires]]&lt;&gt;"",tbl_Historique_Final[[#This Row],[Commentaires]],""),"")</f>
        <v/>
      </c>
      <c r="R211"/>
      <c r="X211" s="8" t="str">
        <f>IF(Final_Sans_VGE[[#This Row],[ppn_z]]="","",IFERROR(
   IF(_xlfn.XLOOKUP(Final_Sans_VGE[[#This Row],[ppn_z]],tbl_Historique_Final[ppn_z],tbl_Historique_Final[date_modif])=Final_Sans_VGE[[#This Row],[date_modif]],
      "Ancien",
      "Modifié"),
   "Nouveau"))</f>
        <v>Ancien</v>
      </c>
      <c r="AC211"/>
    </row>
    <row r="212" spans="1:29" ht="45" x14ac:dyDescent="0.25">
      <c r="A212" s="5" t="s">
        <v>722</v>
      </c>
      <c r="B212" s="1" t="s">
        <v>6789</v>
      </c>
      <c r="C212" s="1" t="s">
        <v>74</v>
      </c>
      <c r="J212" s="3">
        <v>45329.368055555555</v>
      </c>
      <c r="K212" s="2" t="s">
        <v>6790</v>
      </c>
      <c r="L212" s="1">
        <v>3</v>
      </c>
      <c r="M212" s="1">
        <v>3</v>
      </c>
      <c r="N212">
        <v>0</v>
      </c>
      <c r="O212" s="3">
        <f>IF(
    R212="Ancien",
    _xlfn.XLOOKUP(
        Final_Sans_VGE[[#This Row],[ppn_z]],
        tbl_Historique_Final[ppn_z],
        tbl_Historique_Final[Horodatage],
        ""
    ),
    Horodatage!$A$2
)</f>
        <v>46233.670796365739</v>
      </c>
      <c r="P212" s="1" t="str">
        <f>IFERROR(IF(tbl_Historique_Final[[#This Row],[Commentaires]]&lt;&gt;"",tbl_Historique_Final[[#This Row],[Commentaires]],""),"")</f>
        <v/>
      </c>
      <c r="R212"/>
      <c r="X212" s="8" t="str">
        <f>IF(Final_Sans_VGE[[#This Row],[ppn_z]]="","",IFERROR(
   IF(_xlfn.XLOOKUP(Final_Sans_VGE[[#This Row],[ppn_z]],tbl_Historique_Final[ppn_z],tbl_Historique_Final[date_modif])=Final_Sans_VGE[[#This Row],[date_modif]],
      "Ancien",
      "Modifié"),
   "Nouveau"))</f>
        <v>Ancien</v>
      </c>
      <c r="AC212"/>
    </row>
    <row r="213" spans="1:29" x14ac:dyDescent="0.25">
      <c r="A213" s="5" t="s">
        <v>725</v>
      </c>
      <c r="B213" s="1" t="s">
        <v>6791</v>
      </c>
      <c r="C213" s="1" t="s">
        <v>6792</v>
      </c>
      <c r="E213" s="1" t="s">
        <v>6793</v>
      </c>
      <c r="J213" s="3">
        <v>45441.399942129632</v>
      </c>
      <c r="L213" s="1">
        <v>1</v>
      </c>
      <c r="M213" s="1">
        <v>1</v>
      </c>
      <c r="N213">
        <v>0</v>
      </c>
      <c r="O213" s="3">
        <f>IF(
    R213="Ancien",
    _xlfn.XLOOKUP(
        Final_Sans_VGE[[#This Row],[ppn_z]],
        tbl_Historique_Final[ppn_z],
        tbl_Historique_Final[Horodatage],
        ""
    ),
    Horodatage!$A$2
)</f>
        <v>46233.670796365739</v>
      </c>
      <c r="P213" s="1" t="str">
        <f>IFERROR(IF(tbl_Historique_Final[[#This Row],[Commentaires]]&lt;&gt;"",tbl_Historique_Final[[#This Row],[Commentaires]],""),"")</f>
        <v/>
      </c>
      <c r="R213"/>
      <c r="X213" s="8" t="str">
        <f>IF(Final_Sans_VGE[[#This Row],[ppn_z]]="","",IFERROR(
   IF(_xlfn.XLOOKUP(Final_Sans_VGE[[#This Row],[ppn_z]],tbl_Historique_Final[ppn_z],tbl_Historique_Final[date_modif])=Final_Sans_VGE[[#This Row],[date_modif]],
      "Ancien",
      "Modifié"),
   "Nouveau"))</f>
        <v>Ancien</v>
      </c>
      <c r="AC213"/>
    </row>
    <row r="214" spans="1:29" x14ac:dyDescent="0.25">
      <c r="A214" s="5" t="s">
        <v>728</v>
      </c>
      <c r="B214" s="1" t="s">
        <v>6794</v>
      </c>
      <c r="C214" s="1" t="s">
        <v>12</v>
      </c>
      <c r="G214" s="1" t="s">
        <v>11</v>
      </c>
      <c r="J214" s="3">
        <v>45356.5625</v>
      </c>
      <c r="K214" s="2" t="s">
        <v>6701</v>
      </c>
      <c r="L214" s="1">
        <v>1</v>
      </c>
      <c r="M214" s="1">
        <v>2</v>
      </c>
      <c r="N214">
        <v>1</v>
      </c>
      <c r="O214" s="3">
        <f>IF(
    R214="Ancien",
    _xlfn.XLOOKUP(
        Final_Sans_VGE[[#This Row],[ppn_z]],
        tbl_Historique_Final[ppn_z],
        tbl_Historique_Final[Horodatage],
        ""
    ),
    Horodatage!$A$2
)</f>
        <v>46233.670796365739</v>
      </c>
      <c r="P214" s="1" t="str">
        <f>IFERROR(IF(tbl_Historique_Final[[#This Row],[Commentaires]]&lt;&gt;"",tbl_Historique_Final[[#This Row],[Commentaires]],""),"")</f>
        <v/>
      </c>
      <c r="R214"/>
      <c r="X214" s="8" t="str">
        <f>IF(Final_Sans_VGE[[#This Row],[ppn_z]]="","",IFERROR(
   IF(_xlfn.XLOOKUP(Final_Sans_VGE[[#This Row],[ppn_z]],tbl_Historique_Final[ppn_z],tbl_Historique_Final[date_modif])=Final_Sans_VGE[[#This Row],[date_modif]],
      "Ancien",
      "Modifié"),
   "Nouveau"))</f>
        <v>Ancien</v>
      </c>
      <c r="AC214"/>
    </row>
    <row r="215" spans="1:29" x14ac:dyDescent="0.25">
      <c r="A215" s="5" t="s">
        <v>731</v>
      </c>
      <c r="B215" s="1" t="s">
        <v>6795</v>
      </c>
      <c r="C215" s="1" t="s">
        <v>12</v>
      </c>
      <c r="G215" s="1" t="s">
        <v>10</v>
      </c>
      <c r="J215" s="3">
        <v>45338.666620370372</v>
      </c>
      <c r="K215" s="2" t="s">
        <v>6796</v>
      </c>
      <c r="L215" s="1">
        <v>1</v>
      </c>
      <c r="M215" s="1">
        <v>1</v>
      </c>
      <c r="N215">
        <v>0</v>
      </c>
      <c r="O215" s="3">
        <f>IF(
    R215="Ancien",
    _xlfn.XLOOKUP(
        Final_Sans_VGE[[#This Row],[ppn_z]],
        tbl_Historique_Final[ppn_z],
        tbl_Historique_Final[Horodatage],
        ""
    ),
    Horodatage!$A$2
)</f>
        <v>46233.670796365739</v>
      </c>
      <c r="P215" s="1" t="str">
        <f>IFERROR(IF(tbl_Historique_Final[[#This Row],[Commentaires]]&lt;&gt;"",tbl_Historique_Final[[#This Row],[Commentaires]],""),"")</f>
        <v/>
      </c>
      <c r="R215"/>
      <c r="X215" s="8" t="str">
        <f>IF(Final_Sans_VGE[[#This Row],[ppn_z]]="","",IFERROR(
   IF(_xlfn.XLOOKUP(Final_Sans_VGE[[#This Row],[ppn_z]],tbl_Historique_Final[ppn_z],tbl_Historique_Final[date_modif])=Final_Sans_VGE[[#This Row],[date_modif]],
      "Ancien",
      "Modifié"),
   "Nouveau"))</f>
        <v>Ancien</v>
      </c>
      <c r="AC215"/>
    </row>
    <row r="216" spans="1:29" x14ac:dyDescent="0.25">
      <c r="A216" s="5" t="s">
        <v>734</v>
      </c>
      <c r="B216" s="1" t="s">
        <v>6797</v>
      </c>
      <c r="C216" s="1" t="s">
        <v>12</v>
      </c>
      <c r="G216" s="1" t="s">
        <v>11</v>
      </c>
      <c r="J216" s="3">
        <v>45356.967997685184</v>
      </c>
      <c r="K216" s="2" t="s">
        <v>6798</v>
      </c>
      <c r="L216" s="1">
        <v>1</v>
      </c>
      <c r="M216" s="1">
        <v>1</v>
      </c>
      <c r="N216">
        <v>0</v>
      </c>
      <c r="O216" s="3">
        <f>IF(
    R216="Ancien",
    _xlfn.XLOOKUP(
        Final_Sans_VGE[[#This Row],[ppn_z]],
        tbl_Historique_Final[ppn_z],
        tbl_Historique_Final[Horodatage],
        ""
    ),
    Horodatage!$A$2
)</f>
        <v>46233.670796365739</v>
      </c>
      <c r="P216" s="1" t="str">
        <f>IFERROR(IF(tbl_Historique_Final[[#This Row],[Commentaires]]&lt;&gt;"",tbl_Historique_Final[[#This Row],[Commentaires]],""),"")</f>
        <v/>
      </c>
      <c r="R216"/>
      <c r="X216" s="8" t="str">
        <f>IF(Final_Sans_VGE[[#This Row],[ppn_z]]="","",IFERROR(
   IF(_xlfn.XLOOKUP(Final_Sans_VGE[[#This Row],[ppn_z]],tbl_Historique_Final[ppn_z],tbl_Historique_Final[date_modif])=Final_Sans_VGE[[#This Row],[date_modif]],
      "Ancien",
      "Modifié"),
   "Nouveau"))</f>
        <v>Ancien</v>
      </c>
      <c r="AC216"/>
    </row>
    <row r="217" spans="1:29" x14ac:dyDescent="0.25">
      <c r="A217" s="5" t="s">
        <v>737</v>
      </c>
      <c r="B217" s="1" t="s">
        <v>6799</v>
      </c>
      <c r="C217" s="1" t="s">
        <v>141</v>
      </c>
      <c r="E217" s="1" t="s">
        <v>148</v>
      </c>
      <c r="G217" s="1" t="s">
        <v>10</v>
      </c>
      <c r="J217" s="3">
        <v>45455.715787037036</v>
      </c>
      <c r="K217" s="2" t="s">
        <v>6800</v>
      </c>
      <c r="L217" s="1">
        <v>1</v>
      </c>
      <c r="M217" s="1">
        <v>1</v>
      </c>
      <c r="N217">
        <v>0</v>
      </c>
      <c r="O217" s="3">
        <f>IF(
    R217="Ancien",
    _xlfn.XLOOKUP(
        Final_Sans_VGE[[#This Row],[ppn_z]],
        tbl_Historique_Final[ppn_z],
        tbl_Historique_Final[Horodatage],
        ""
    ),
    Horodatage!$A$2
)</f>
        <v>46233.670796365739</v>
      </c>
      <c r="P217" s="1" t="str">
        <f>IFERROR(IF(tbl_Historique_Final[[#This Row],[Commentaires]]&lt;&gt;"",tbl_Historique_Final[[#This Row],[Commentaires]],""),"")</f>
        <v/>
      </c>
      <c r="R217"/>
      <c r="X217" s="8" t="str">
        <f>IF(Final_Sans_VGE[[#This Row],[ppn_z]]="","",IFERROR(
   IF(_xlfn.XLOOKUP(Final_Sans_VGE[[#This Row],[ppn_z]],tbl_Historique_Final[ppn_z],tbl_Historique_Final[date_modif])=Final_Sans_VGE[[#This Row],[date_modif]],
      "Ancien",
      "Modifié"),
   "Nouveau"))</f>
        <v>Ancien</v>
      </c>
      <c r="AC217"/>
    </row>
    <row r="218" spans="1:29" x14ac:dyDescent="0.25">
      <c r="A218" s="5" t="s">
        <v>740</v>
      </c>
      <c r="B218" s="1" t="s">
        <v>6801</v>
      </c>
      <c r="C218" s="1" t="s">
        <v>12</v>
      </c>
      <c r="G218" s="1" t="s">
        <v>10</v>
      </c>
      <c r="J218" s="3">
        <v>45358.324560185189</v>
      </c>
      <c r="K218" s="2" t="s">
        <v>6438</v>
      </c>
      <c r="L218" s="1">
        <v>1</v>
      </c>
      <c r="M218" s="1">
        <v>1</v>
      </c>
      <c r="N218">
        <v>0</v>
      </c>
      <c r="O218" s="3">
        <f>IF(
    R218="Ancien",
    _xlfn.XLOOKUP(
        Final_Sans_VGE[[#This Row],[ppn_z]],
        tbl_Historique_Final[ppn_z],
        tbl_Historique_Final[Horodatage],
        ""
    ),
    Horodatage!$A$2
)</f>
        <v>46233.670796365739</v>
      </c>
      <c r="P218" s="1" t="str">
        <f>IFERROR(IF(tbl_Historique_Final[[#This Row],[Commentaires]]&lt;&gt;"",tbl_Historique_Final[[#This Row],[Commentaires]],""),"")</f>
        <v/>
      </c>
      <c r="R218"/>
      <c r="X218" s="8" t="str">
        <f>IF(Final_Sans_VGE[[#This Row],[ppn_z]]="","",IFERROR(
   IF(_xlfn.XLOOKUP(Final_Sans_VGE[[#This Row],[ppn_z]],tbl_Historique_Final[ppn_z],tbl_Historique_Final[date_modif])=Final_Sans_VGE[[#This Row],[date_modif]],
      "Ancien",
      "Modifié"),
   "Nouveau"))</f>
        <v>Ancien</v>
      </c>
      <c r="AC218"/>
    </row>
    <row r="219" spans="1:29" x14ac:dyDescent="0.25">
      <c r="A219" s="5" t="s">
        <v>743</v>
      </c>
      <c r="B219" s="1" t="s">
        <v>6802</v>
      </c>
      <c r="C219" s="1" t="s">
        <v>6803</v>
      </c>
      <c r="E219" s="1" t="s">
        <v>63</v>
      </c>
      <c r="G219" s="1" t="s">
        <v>10</v>
      </c>
      <c r="J219" s="3">
        <v>45461.568958333337</v>
      </c>
      <c r="K219" s="2" t="s">
        <v>6804</v>
      </c>
      <c r="L219" s="1">
        <v>8</v>
      </c>
      <c r="M219" s="1">
        <v>9</v>
      </c>
      <c r="N219">
        <v>1</v>
      </c>
      <c r="O219" s="3">
        <f>IF(
    R219="Ancien",
    _xlfn.XLOOKUP(
        Final_Sans_VGE[[#This Row],[ppn_z]],
        tbl_Historique_Final[ppn_z],
        tbl_Historique_Final[Horodatage],
        ""
    ),
    Horodatage!$A$2
)</f>
        <v>46233.670796365739</v>
      </c>
      <c r="P219" s="1" t="str">
        <f>IFERROR(IF(tbl_Historique_Final[[#This Row],[Commentaires]]&lt;&gt;"",tbl_Historique_Final[[#This Row],[Commentaires]],""),"")</f>
        <v/>
      </c>
      <c r="R219"/>
      <c r="X219" s="8" t="str">
        <f>IF(Final_Sans_VGE[[#This Row],[ppn_z]]="","",IFERROR(
   IF(_xlfn.XLOOKUP(Final_Sans_VGE[[#This Row],[ppn_z]],tbl_Historique_Final[ppn_z],tbl_Historique_Final[date_modif])=Final_Sans_VGE[[#This Row],[date_modif]],
      "Ancien",
      "Modifié"),
   "Nouveau"))</f>
        <v>Ancien</v>
      </c>
      <c r="AC219"/>
    </row>
    <row r="220" spans="1:29" ht="45" x14ac:dyDescent="0.25">
      <c r="A220" s="5" t="s">
        <v>746</v>
      </c>
      <c r="B220" s="1" t="s">
        <v>6805</v>
      </c>
      <c r="C220" s="1" t="s">
        <v>56</v>
      </c>
      <c r="G220" s="1" t="s">
        <v>10</v>
      </c>
      <c r="J220" s="3">
        <v>45352.71497685185</v>
      </c>
      <c r="K220" s="2" t="s">
        <v>6806</v>
      </c>
      <c r="L220" s="1">
        <v>2</v>
      </c>
      <c r="M220" s="1">
        <v>2</v>
      </c>
      <c r="N220">
        <v>0</v>
      </c>
      <c r="O220" s="3">
        <f>IF(
    R220="Ancien",
    _xlfn.XLOOKUP(
        Final_Sans_VGE[[#This Row],[ppn_z]],
        tbl_Historique_Final[ppn_z],
        tbl_Historique_Final[Horodatage],
        ""
    ),
    Horodatage!$A$2
)</f>
        <v>46233.670796365739</v>
      </c>
      <c r="P220" s="1" t="str">
        <f>IFERROR(IF(tbl_Historique_Final[[#This Row],[Commentaires]]&lt;&gt;"",tbl_Historique_Final[[#This Row],[Commentaires]],""),"")</f>
        <v/>
      </c>
      <c r="R220"/>
      <c r="X220" s="8" t="str">
        <f>IF(Final_Sans_VGE[[#This Row],[ppn_z]]="","",IFERROR(
   IF(_xlfn.XLOOKUP(Final_Sans_VGE[[#This Row],[ppn_z]],tbl_Historique_Final[ppn_z],tbl_Historique_Final[date_modif])=Final_Sans_VGE[[#This Row],[date_modif]],
      "Ancien",
      "Modifié"),
   "Nouveau"))</f>
        <v>Ancien</v>
      </c>
      <c r="AC220"/>
    </row>
    <row r="221" spans="1:29" ht="45" x14ac:dyDescent="0.25">
      <c r="A221" s="5" t="s">
        <v>749</v>
      </c>
      <c r="B221" s="1" t="s">
        <v>6807</v>
      </c>
      <c r="C221" s="1" t="s">
        <v>12</v>
      </c>
      <c r="G221" s="1" t="s">
        <v>10</v>
      </c>
      <c r="J221" s="3">
        <v>45331.666932870372</v>
      </c>
      <c r="K221" s="2" t="s">
        <v>6808</v>
      </c>
      <c r="L221" s="1">
        <v>3</v>
      </c>
      <c r="M221" s="1">
        <v>3</v>
      </c>
      <c r="N221">
        <v>0</v>
      </c>
      <c r="O221" s="3">
        <f>IF(
    R221="Ancien",
    _xlfn.XLOOKUP(
        Final_Sans_VGE[[#This Row],[ppn_z]],
        tbl_Historique_Final[ppn_z],
        tbl_Historique_Final[Horodatage],
        ""
    ),
    Horodatage!$A$2
)</f>
        <v>46233.670796365739</v>
      </c>
      <c r="P221" s="1" t="str">
        <f>IFERROR(IF(tbl_Historique_Final[[#This Row],[Commentaires]]&lt;&gt;"",tbl_Historique_Final[[#This Row],[Commentaires]],""),"")</f>
        <v/>
      </c>
      <c r="R221"/>
      <c r="X221" s="8" t="str">
        <f>IF(Final_Sans_VGE[[#This Row],[ppn_z]]="","",IFERROR(
   IF(_xlfn.XLOOKUP(Final_Sans_VGE[[#This Row],[ppn_z]],tbl_Historique_Final[ppn_z],tbl_Historique_Final[date_modif])=Final_Sans_VGE[[#This Row],[date_modif]],
      "Ancien",
      "Modifié"),
   "Nouveau"))</f>
        <v>Ancien</v>
      </c>
      <c r="AC221"/>
    </row>
    <row r="222" spans="1:29" ht="30" x14ac:dyDescent="0.25">
      <c r="A222" s="5" t="s">
        <v>752</v>
      </c>
      <c r="B222" s="1" t="s">
        <v>6809</v>
      </c>
      <c r="C222" s="1" t="s">
        <v>71</v>
      </c>
      <c r="G222" s="1" t="s">
        <v>10</v>
      </c>
      <c r="J222" s="3">
        <v>45357.384375000001</v>
      </c>
      <c r="K222" s="2" t="s">
        <v>6810</v>
      </c>
      <c r="L222" s="1">
        <v>4</v>
      </c>
      <c r="M222" s="1">
        <v>4</v>
      </c>
      <c r="N222">
        <v>0</v>
      </c>
      <c r="O222" s="3">
        <f>IF(
    R222="Ancien",
    _xlfn.XLOOKUP(
        Final_Sans_VGE[[#This Row],[ppn_z]],
        tbl_Historique_Final[ppn_z],
        tbl_Historique_Final[Horodatage],
        ""
    ),
    Horodatage!$A$2
)</f>
        <v>46233.670796365739</v>
      </c>
      <c r="P222" s="1" t="str">
        <f>IFERROR(IF(tbl_Historique_Final[[#This Row],[Commentaires]]&lt;&gt;"",tbl_Historique_Final[[#This Row],[Commentaires]],""),"")</f>
        <v/>
      </c>
      <c r="R222"/>
      <c r="X222" s="8" t="str">
        <f>IF(Final_Sans_VGE[[#This Row],[ppn_z]]="","",IFERROR(
   IF(_xlfn.XLOOKUP(Final_Sans_VGE[[#This Row],[ppn_z]],tbl_Historique_Final[ppn_z],tbl_Historique_Final[date_modif])=Final_Sans_VGE[[#This Row],[date_modif]],
      "Ancien",
      "Modifié"),
   "Nouveau"))</f>
        <v>Ancien</v>
      </c>
      <c r="AC222"/>
    </row>
    <row r="223" spans="1:29" x14ac:dyDescent="0.25">
      <c r="A223" s="5" t="s">
        <v>755</v>
      </c>
      <c r="B223" s="1" t="s">
        <v>6811</v>
      </c>
      <c r="C223" s="1" t="s">
        <v>74</v>
      </c>
      <c r="E223" s="1" t="s">
        <v>148</v>
      </c>
      <c r="G223" s="1" t="s">
        <v>10</v>
      </c>
      <c r="J223" s="3">
        <v>45468.134930555556</v>
      </c>
      <c r="K223" s="2" t="s">
        <v>6812</v>
      </c>
      <c r="L223" s="1">
        <v>73</v>
      </c>
      <c r="M223" s="1">
        <v>74</v>
      </c>
      <c r="N223">
        <v>1</v>
      </c>
      <c r="O223" s="3">
        <f>IF(
    R223="Ancien",
    _xlfn.XLOOKUP(
        Final_Sans_VGE[[#This Row],[ppn_z]],
        tbl_Historique_Final[ppn_z],
        tbl_Historique_Final[Horodatage],
        ""
    ),
    Horodatage!$A$2
)</f>
        <v>46233.670796365739</v>
      </c>
      <c r="P223" s="1" t="str">
        <f>IFERROR(IF(tbl_Historique_Final[[#This Row],[Commentaires]]&lt;&gt;"",tbl_Historique_Final[[#This Row],[Commentaires]],""),"")</f>
        <v/>
      </c>
      <c r="R223"/>
      <c r="X223" s="8" t="str">
        <f>IF(Final_Sans_VGE[[#This Row],[ppn_z]]="","",IFERROR(
   IF(_xlfn.XLOOKUP(Final_Sans_VGE[[#This Row],[ppn_z]],tbl_Historique_Final[ppn_z],tbl_Historique_Final[date_modif])=Final_Sans_VGE[[#This Row],[date_modif]],
      "Ancien",
      "Modifié"),
   "Nouveau"))</f>
        <v>Ancien</v>
      </c>
      <c r="AC223"/>
    </row>
    <row r="224" spans="1:29" x14ac:dyDescent="0.25">
      <c r="A224" s="5" t="s">
        <v>758</v>
      </c>
      <c r="B224" s="1" t="s">
        <v>6813</v>
      </c>
      <c r="C224" s="1" t="s">
        <v>75</v>
      </c>
      <c r="G224" s="1" t="s">
        <v>10</v>
      </c>
      <c r="J224" s="3">
        <v>45338.410428240742</v>
      </c>
      <c r="K224" s="2" t="s">
        <v>6369</v>
      </c>
      <c r="L224" s="1">
        <v>1</v>
      </c>
      <c r="M224" s="1">
        <v>1</v>
      </c>
      <c r="N224">
        <v>0</v>
      </c>
      <c r="O224" s="3">
        <f>IF(
    R224="Ancien",
    _xlfn.XLOOKUP(
        Final_Sans_VGE[[#This Row],[ppn_z]],
        tbl_Historique_Final[ppn_z],
        tbl_Historique_Final[Horodatage],
        ""
    ),
    Horodatage!$A$2
)</f>
        <v>46233.670796365739</v>
      </c>
      <c r="P224" s="1" t="str">
        <f>IFERROR(IF(tbl_Historique_Final[[#This Row],[Commentaires]]&lt;&gt;"",tbl_Historique_Final[[#This Row],[Commentaires]],""),"")</f>
        <v/>
      </c>
      <c r="R224"/>
      <c r="X224" s="8" t="str">
        <f>IF(Final_Sans_VGE[[#This Row],[ppn_z]]="","",IFERROR(
   IF(_xlfn.XLOOKUP(Final_Sans_VGE[[#This Row],[ppn_z]],tbl_Historique_Final[ppn_z],tbl_Historique_Final[date_modif])=Final_Sans_VGE[[#This Row],[date_modif]],
      "Ancien",
      "Modifié"),
   "Nouveau"))</f>
        <v>Ancien</v>
      </c>
      <c r="AC224"/>
    </row>
    <row r="225" spans="1:29" x14ac:dyDescent="0.25">
      <c r="A225" s="5" t="s">
        <v>761</v>
      </c>
      <c r="B225" s="1" t="s">
        <v>6814</v>
      </c>
      <c r="C225" s="1" t="s">
        <v>6447</v>
      </c>
      <c r="G225" s="1" t="s">
        <v>10</v>
      </c>
      <c r="J225" s="3">
        <v>45338.413460648146</v>
      </c>
      <c r="K225" s="2" t="s">
        <v>6369</v>
      </c>
      <c r="L225" s="1">
        <v>1</v>
      </c>
      <c r="M225" s="1">
        <v>1</v>
      </c>
      <c r="N225">
        <v>0</v>
      </c>
      <c r="O225" s="3">
        <f>IF(
    R225="Ancien",
    _xlfn.XLOOKUP(
        Final_Sans_VGE[[#This Row],[ppn_z]],
        tbl_Historique_Final[ppn_z],
        tbl_Historique_Final[Horodatage],
        ""
    ),
    Horodatage!$A$2
)</f>
        <v>46233.670796365739</v>
      </c>
      <c r="P225" s="1" t="str">
        <f>IFERROR(IF(tbl_Historique_Final[[#This Row],[Commentaires]]&lt;&gt;"",tbl_Historique_Final[[#This Row],[Commentaires]],""),"")</f>
        <v/>
      </c>
      <c r="R225"/>
      <c r="X225" s="8" t="str">
        <f>IF(Final_Sans_VGE[[#This Row],[ppn_z]]="","",IFERROR(
   IF(_xlfn.XLOOKUP(Final_Sans_VGE[[#This Row],[ppn_z]],tbl_Historique_Final[ppn_z],tbl_Historique_Final[date_modif])=Final_Sans_VGE[[#This Row],[date_modif]],
      "Ancien",
      "Modifié"),
   "Nouveau"))</f>
        <v>Ancien</v>
      </c>
      <c r="AC225"/>
    </row>
    <row r="226" spans="1:29" ht="30" x14ac:dyDescent="0.25">
      <c r="A226" s="5" t="s">
        <v>764</v>
      </c>
      <c r="B226" s="1" t="s">
        <v>6815</v>
      </c>
      <c r="C226" s="1" t="s">
        <v>6816</v>
      </c>
      <c r="E226" s="1" t="s">
        <v>69</v>
      </c>
      <c r="J226" s="3">
        <v>45485.469085648147</v>
      </c>
      <c r="K226" s="2" t="s">
        <v>6817</v>
      </c>
      <c r="L226" s="1">
        <v>1</v>
      </c>
      <c r="M226" s="1">
        <v>1</v>
      </c>
      <c r="N226">
        <v>0</v>
      </c>
      <c r="O226" s="3">
        <f>IF(
    R226="Ancien",
    _xlfn.XLOOKUP(
        Final_Sans_VGE[[#This Row],[ppn_z]],
        tbl_Historique_Final[ppn_z],
        tbl_Historique_Final[Horodatage],
        ""
    ),
    Horodatage!$A$2
)</f>
        <v>46233.670796365739</v>
      </c>
      <c r="P226" s="1" t="str">
        <f>IFERROR(IF(tbl_Historique_Final[[#This Row],[Commentaires]]&lt;&gt;"",tbl_Historique_Final[[#This Row],[Commentaires]],""),"")</f>
        <v/>
      </c>
      <c r="R226"/>
      <c r="X226" s="8" t="str">
        <f>IF(Final_Sans_VGE[[#This Row],[ppn_z]]="","",IFERROR(
   IF(_xlfn.XLOOKUP(Final_Sans_VGE[[#This Row],[ppn_z]],tbl_Historique_Final[ppn_z],tbl_Historique_Final[date_modif])=Final_Sans_VGE[[#This Row],[date_modif]],
      "Ancien",
      "Modifié"),
   "Nouveau"))</f>
        <v>Ancien</v>
      </c>
      <c r="AC226"/>
    </row>
    <row r="227" spans="1:29" ht="30" x14ac:dyDescent="0.25">
      <c r="A227" s="5" t="s">
        <v>767</v>
      </c>
      <c r="B227" s="1" t="s">
        <v>6818</v>
      </c>
      <c r="C227" s="1" t="s">
        <v>12</v>
      </c>
      <c r="G227" s="1" t="s">
        <v>10</v>
      </c>
      <c r="J227" s="3">
        <v>45357.255196759259</v>
      </c>
      <c r="K227" s="2" t="s">
        <v>6819</v>
      </c>
      <c r="L227" s="1">
        <v>1</v>
      </c>
      <c r="M227" s="1">
        <v>1</v>
      </c>
      <c r="N227">
        <v>0</v>
      </c>
      <c r="O227" s="3">
        <f>IF(
    R227="Ancien",
    _xlfn.XLOOKUP(
        Final_Sans_VGE[[#This Row],[ppn_z]],
        tbl_Historique_Final[ppn_z],
        tbl_Historique_Final[Horodatage],
        ""
    ),
    Horodatage!$A$2
)</f>
        <v>46233.670796365739</v>
      </c>
      <c r="P227" s="1" t="str">
        <f>IFERROR(IF(tbl_Historique_Final[[#This Row],[Commentaires]]&lt;&gt;"",tbl_Historique_Final[[#This Row],[Commentaires]],""),"")</f>
        <v/>
      </c>
      <c r="R227"/>
      <c r="X227" s="8" t="str">
        <f>IF(Final_Sans_VGE[[#This Row],[ppn_z]]="","",IFERROR(
   IF(_xlfn.XLOOKUP(Final_Sans_VGE[[#This Row],[ppn_z]],tbl_Historique_Final[ppn_z],tbl_Historique_Final[date_modif])=Final_Sans_VGE[[#This Row],[date_modif]],
      "Ancien",
      "Modifié"),
   "Nouveau"))</f>
        <v>Ancien</v>
      </c>
      <c r="AC227"/>
    </row>
    <row r="228" spans="1:29" ht="30" x14ac:dyDescent="0.25">
      <c r="A228" s="5" t="s">
        <v>770</v>
      </c>
      <c r="B228" s="1" t="s">
        <v>6820</v>
      </c>
      <c r="C228" s="1" t="s">
        <v>12</v>
      </c>
      <c r="G228" s="1" t="s">
        <v>10</v>
      </c>
      <c r="J228" s="3">
        <v>45344.542361111111</v>
      </c>
      <c r="K228" s="2" t="s">
        <v>6821</v>
      </c>
      <c r="L228" s="1">
        <v>1</v>
      </c>
      <c r="M228" s="1">
        <v>1</v>
      </c>
      <c r="N228">
        <v>0</v>
      </c>
      <c r="O228" s="3">
        <f>IF(
    R228="Ancien",
    _xlfn.XLOOKUP(
        Final_Sans_VGE[[#This Row],[ppn_z]],
        tbl_Historique_Final[ppn_z],
        tbl_Historique_Final[Horodatage],
        ""
    ),
    Horodatage!$A$2
)</f>
        <v>46233.670796365739</v>
      </c>
      <c r="P228" s="1" t="str">
        <f>IFERROR(IF(tbl_Historique_Final[[#This Row],[Commentaires]]&lt;&gt;"",tbl_Historique_Final[[#This Row],[Commentaires]],""),"")</f>
        <v/>
      </c>
      <c r="R228"/>
      <c r="X228" s="8" t="str">
        <f>IF(Final_Sans_VGE[[#This Row],[ppn_z]]="","",IFERROR(
   IF(_xlfn.XLOOKUP(Final_Sans_VGE[[#This Row],[ppn_z]],tbl_Historique_Final[ppn_z],tbl_Historique_Final[date_modif])=Final_Sans_VGE[[#This Row],[date_modif]],
      "Ancien",
      "Modifié"),
   "Nouveau"))</f>
        <v>Ancien</v>
      </c>
      <c r="AC228"/>
    </row>
    <row r="229" spans="1:29" x14ac:dyDescent="0.25">
      <c r="A229" s="5" t="s">
        <v>773</v>
      </c>
      <c r="B229" s="1" t="s">
        <v>6822</v>
      </c>
      <c r="C229" s="1" t="s">
        <v>55</v>
      </c>
      <c r="G229" s="1" t="s">
        <v>10</v>
      </c>
      <c r="J229" s="3">
        <v>45357.680185185185</v>
      </c>
      <c r="K229" s="2" t="s">
        <v>6823</v>
      </c>
      <c r="L229" s="1">
        <v>3</v>
      </c>
      <c r="M229" s="1">
        <v>3</v>
      </c>
      <c r="N229">
        <v>0</v>
      </c>
      <c r="O229" s="3">
        <f>IF(
    R229="Ancien",
    _xlfn.XLOOKUP(
        Final_Sans_VGE[[#This Row],[ppn_z]],
        tbl_Historique_Final[ppn_z],
        tbl_Historique_Final[Horodatage],
        ""
    ),
    Horodatage!$A$2
)</f>
        <v>46233.670796365739</v>
      </c>
      <c r="P229" s="1" t="str">
        <f>IFERROR(IF(tbl_Historique_Final[[#This Row],[Commentaires]]&lt;&gt;"",tbl_Historique_Final[[#This Row],[Commentaires]],""),"")</f>
        <v/>
      </c>
      <c r="R229"/>
      <c r="X229" s="8" t="str">
        <f>IF(Final_Sans_VGE[[#This Row],[ppn_z]]="","",IFERROR(
   IF(_xlfn.XLOOKUP(Final_Sans_VGE[[#This Row],[ppn_z]],tbl_Historique_Final[ppn_z],tbl_Historique_Final[date_modif])=Final_Sans_VGE[[#This Row],[date_modif]],
      "Ancien",
      "Modifié"),
   "Nouveau"))</f>
        <v>Ancien</v>
      </c>
      <c r="AC229"/>
    </row>
    <row r="230" spans="1:29" x14ac:dyDescent="0.25">
      <c r="A230" s="5" t="s">
        <v>776</v>
      </c>
      <c r="B230" s="1" t="s">
        <v>6824</v>
      </c>
      <c r="C230" s="1" t="s">
        <v>12</v>
      </c>
      <c r="G230" s="1" t="s">
        <v>10</v>
      </c>
      <c r="J230" s="3">
        <v>45358.292615740742</v>
      </c>
      <c r="K230" s="2" t="s">
        <v>6825</v>
      </c>
      <c r="L230" s="1">
        <v>1</v>
      </c>
      <c r="M230" s="1">
        <v>1</v>
      </c>
      <c r="N230">
        <v>0</v>
      </c>
      <c r="O230" s="3">
        <f>IF(
    R230="Ancien",
    _xlfn.XLOOKUP(
        Final_Sans_VGE[[#This Row],[ppn_z]],
        tbl_Historique_Final[ppn_z],
        tbl_Historique_Final[Horodatage],
        ""
    ),
    Horodatage!$A$2
)</f>
        <v>46233.670796365739</v>
      </c>
      <c r="P230" s="1" t="str">
        <f>IFERROR(IF(tbl_Historique_Final[[#This Row],[Commentaires]]&lt;&gt;"",tbl_Historique_Final[[#This Row],[Commentaires]],""),"")</f>
        <v/>
      </c>
      <c r="R230"/>
      <c r="X230" s="8" t="str">
        <f>IF(Final_Sans_VGE[[#This Row],[ppn_z]]="","",IFERROR(
   IF(_xlfn.XLOOKUP(Final_Sans_VGE[[#This Row],[ppn_z]],tbl_Historique_Final[ppn_z],tbl_Historique_Final[date_modif])=Final_Sans_VGE[[#This Row],[date_modif]],
      "Ancien",
      "Modifié"),
   "Nouveau"))</f>
        <v>Ancien</v>
      </c>
      <c r="AC230"/>
    </row>
    <row r="231" spans="1:29" x14ac:dyDescent="0.25">
      <c r="A231" s="5" t="s">
        <v>779</v>
      </c>
      <c r="B231" s="1" t="s">
        <v>6826</v>
      </c>
      <c r="C231" s="1" t="s">
        <v>12</v>
      </c>
      <c r="G231" s="1" t="s">
        <v>10</v>
      </c>
      <c r="J231" s="3">
        <v>45358.571793981479</v>
      </c>
      <c r="K231" s="2" t="s">
        <v>6827</v>
      </c>
      <c r="L231" s="1">
        <v>1</v>
      </c>
      <c r="M231" s="1">
        <v>1</v>
      </c>
      <c r="N231">
        <v>0</v>
      </c>
      <c r="O231" s="3">
        <f>IF(
    R231="Ancien",
    _xlfn.XLOOKUP(
        Final_Sans_VGE[[#This Row],[ppn_z]],
        tbl_Historique_Final[ppn_z],
        tbl_Historique_Final[Horodatage],
        ""
    ),
    Horodatage!$A$2
)</f>
        <v>46233.670796365739</v>
      </c>
      <c r="P231" s="1" t="str">
        <f>IFERROR(IF(tbl_Historique_Final[[#This Row],[Commentaires]]&lt;&gt;"",tbl_Historique_Final[[#This Row],[Commentaires]],""),"")</f>
        <v/>
      </c>
      <c r="R231"/>
      <c r="X231" s="8" t="str">
        <f>IF(Final_Sans_VGE[[#This Row],[ppn_z]]="","",IFERROR(
   IF(_xlfn.XLOOKUP(Final_Sans_VGE[[#This Row],[ppn_z]],tbl_Historique_Final[ppn_z],tbl_Historique_Final[date_modif])=Final_Sans_VGE[[#This Row],[date_modif]],
      "Ancien",
      "Modifié"),
   "Nouveau"))</f>
        <v>Ancien</v>
      </c>
      <c r="AC231"/>
    </row>
    <row r="232" spans="1:29" x14ac:dyDescent="0.25">
      <c r="A232" s="5" t="s">
        <v>782</v>
      </c>
      <c r="B232" s="1" t="s">
        <v>6828</v>
      </c>
      <c r="C232" s="1" t="s">
        <v>78</v>
      </c>
      <c r="G232" s="1" t="s">
        <v>11</v>
      </c>
      <c r="J232" s="3">
        <v>45359.309236111112</v>
      </c>
      <c r="K232" s="2" t="s">
        <v>6829</v>
      </c>
      <c r="L232" s="1">
        <v>1</v>
      </c>
      <c r="M232" s="1">
        <v>1</v>
      </c>
      <c r="N232">
        <v>0</v>
      </c>
      <c r="O232" s="3">
        <f>IF(
    R232="Ancien",
    _xlfn.XLOOKUP(
        Final_Sans_VGE[[#This Row],[ppn_z]],
        tbl_Historique_Final[ppn_z],
        tbl_Historique_Final[Horodatage],
        ""
    ),
    Horodatage!$A$2
)</f>
        <v>46233.670796365739</v>
      </c>
      <c r="P232" s="1" t="str">
        <f>IFERROR(IF(tbl_Historique_Final[[#This Row],[Commentaires]]&lt;&gt;"",tbl_Historique_Final[[#This Row],[Commentaires]],""),"")</f>
        <v/>
      </c>
      <c r="R232"/>
      <c r="X232" s="8" t="str">
        <f>IF(Final_Sans_VGE[[#This Row],[ppn_z]]="","",IFERROR(
   IF(_xlfn.XLOOKUP(Final_Sans_VGE[[#This Row],[ppn_z]],tbl_Historique_Final[ppn_z],tbl_Historique_Final[date_modif])=Final_Sans_VGE[[#This Row],[date_modif]],
      "Ancien",
      "Modifié"),
   "Nouveau"))</f>
        <v>Ancien</v>
      </c>
      <c r="AC232"/>
    </row>
    <row r="233" spans="1:29" x14ac:dyDescent="0.25">
      <c r="A233" s="5" t="s">
        <v>785</v>
      </c>
      <c r="B233" s="1" t="s">
        <v>6830</v>
      </c>
      <c r="C233" s="1" t="s">
        <v>12</v>
      </c>
      <c r="G233" s="1" t="s">
        <v>10</v>
      </c>
      <c r="J233" s="3">
        <v>45349.396956018521</v>
      </c>
      <c r="L233" s="1">
        <v>1</v>
      </c>
      <c r="M233" s="1">
        <v>1</v>
      </c>
      <c r="N233">
        <v>0</v>
      </c>
      <c r="O233" s="3">
        <f>IF(
    R233="Ancien",
    _xlfn.XLOOKUP(
        Final_Sans_VGE[[#This Row],[ppn_z]],
        tbl_Historique_Final[ppn_z],
        tbl_Historique_Final[Horodatage],
        ""
    ),
    Horodatage!$A$2
)</f>
        <v>46233.670796365739</v>
      </c>
      <c r="P233" s="1" t="str">
        <f>IFERROR(IF(tbl_Historique_Final[[#This Row],[Commentaires]]&lt;&gt;"",tbl_Historique_Final[[#This Row],[Commentaires]],""),"")</f>
        <v/>
      </c>
      <c r="R233"/>
      <c r="X233" s="8" t="str">
        <f>IF(Final_Sans_VGE[[#This Row],[ppn_z]]="","",IFERROR(
   IF(_xlfn.XLOOKUP(Final_Sans_VGE[[#This Row],[ppn_z]],tbl_Historique_Final[ppn_z],tbl_Historique_Final[date_modif])=Final_Sans_VGE[[#This Row],[date_modif]],
      "Ancien",
      "Modifié"),
   "Nouveau"))</f>
        <v>Ancien</v>
      </c>
      <c r="AC233"/>
    </row>
    <row r="234" spans="1:29" x14ac:dyDescent="0.25">
      <c r="A234" s="5" t="s">
        <v>788</v>
      </c>
      <c r="B234" s="1" t="s">
        <v>6831</v>
      </c>
      <c r="C234" s="1" t="s">
        <v>12</v>
      </c>
      <c r="G234" s="1" t="s">
        <v>11</v>
      </c>
      <c r="J234" s="3">
        <v>45349.47792824074</v>
      </c>
      <c r="K234" s="2" t="s">
        <v>6832</v>
      </c>
      <c r="L234" s="1">
        <v>1</v>
      </c>
      <c r="M234" s="1">
        <v>1</v>
      </c>
      <c r="N234">
        <v>0</v>
      </c>
      <c r="O234" s="3">
        <f>IF(
    R234="Ancien",
    _xlfn.XLOOKUP(
        Final_Sans_VGE[[#This Row],[ppn_z]],
        tbl_Historique_Final[ppn_z],
        tbl_Historique_Final[Horodatage],
        ""
    ),
    Horodatage!$A$2
)</f>
        <v>46233.670796365739</v>
      </c>
      <c r="P234" s="1" t="str">
        <f>IFERROR(IF(tbl_Historique_Final[[#This Row],[Commentaires]]&lt;&gt;"",tbl_Historique_Final[[#This Row],[Commentaires]],""),"")</f>
        <v/>
      </c>
      <c r="R234"/>
      <c r="X234" s="8" t="str">
        <f>IF(Final_Sans_VGE[[#This Row],[ppn_z]]="","",IFERROR(
   IF(_xlfn.XLOOKUP(Final_Sans_VGE[[#This Row],[ppn_z]],tbl_Historique_Final[ppn_z],tbl_Historique_Final[date_modif])=Final_Sans_VGE[[#This Row],[date_modif]],
      "Ancien",
      "Modifié"),
   "Nouveau"))</f>
        <v>Ancien</v>
      </c>
      <c r="AC234"/>
    </row>
    <row r="235" spans="1:29" x14ac:dyDescent="0.25">
      <c r="A235" s="5" t="s">
        <v>791</v>
      </c>
      <c r="B235" s="1" t="s">
        <v>6833</v>
      </c>
      <c r="C235" s="1" t="s">
        <v>12</v>
      </c>
      <c r="G235" s="1" t="s">
        <v>10</v>
      </c>
      <c r="J235" s="3">
        <v>45350.447638888887</v>
      </c>
      <c r="K235" s="2" t="s">
        <v>125</v>
      </c>
      <c r="L235" s="1">
        <v>1</v>
      </c>
      <c r="M235" s="1">
        <v>1</v>
      </c>
      <c r="N235">
        <v>0</v>
      </c>
      <c r="O235" s="3">
        <f>IF(
    R235="Ancien",
    _xlfn.XLOOKUP(
        Final_Sans_VGE[[#This Row],[ppn_z]],
        tbl_Historique_Final[ppn_z],
        tbl_Historique_Final[Horodatage],
        ""
    ),
    Horodatage!$A$2
)</f>
        <v>46233.670796365739</v>
      </c>
      <c r="P235" s="1" t="str">
        <f>IFERROR(IF(tbl_Historique_Final[[#This Row],[Commentaires]]&lt;&gt;"",tbl_Historique_Final[[#This Row],[Commentaires]],""),"")</f>
        <v/>
      </c>
      <c r="R235"/>
      <c r="X235" s="8" t="str">
        <f>IF(Final_Sans_VGE[[#This Row],[ppn_z]]="","",IFERROR(
   IF(_xlfn.XLOOKUP(Final_Sans_VGE[[#This Row],[ppn_z]],tbl_Historique_Final[ppn_z],tbl_Historique_Final[date_modif])=Final_Sans_VGE[[#This Row],[date_modif]],
      "Ancien",
      "Modifié"),
   "Nouveau"))</f>
        <v>Ancien</v>
      </c>
      <c r="AC235"/>
    </row>
    <row r="236" spans="1:29" x14ac:dyDescent="0.25">
      <c r="A236" s="5" t="s">
        <v>794</v>
      </c>
      <c r="B236" s="1" t="s">
        <v>6834</v>
      </c>
      <c r="C236" s="1" t="s">
        <v>12</v>
      </c>
      <c r="G236" s="1" t="s">
        <v>11</v>
      </c>
      <c r="J236" s="3">
        <v>45357.345486111109</v>
      </c>
      <c r="K236" s="2" t="s">
        <v>6835</v>
      </c>
      <c r="L236" s="1">
        <v>2</v>
      </c>
      <c r="M236" s="1">
        <v>2</v>
      </c>
      <c r="N236">
        <v>0</v>
      </c>
      <c r="O236" s="3">
        <f>IF(
    R236="Ancien",
    _xlfn.XLOOKUP(
        Final_Sans_VGE[[#This Row],[ppn_z]],
        tbl_Historique_Final[ppn_z],
        tbl_Historique_Final[Horodatage],
        ""
    ),
    Horodatage!$A$2
)</f>
        <v>46233.670796365739</v>
      </c>
      <c r="P236" s="1" t="str">
        <f>IFERROR(IF(tbl_Historique_Final[[#This Row],[Commentaires]]&lt;&gt;"",tbl_Historique_Final[[#This Row],[Commentaires]],""),"")</f>
        <v/>
      </c>
      <c r="R236"/>
      <c r="X236" s="8" t="str">
        <f>IF(Final_Sans_VGE[[#This Row],[ppn_z]]="","",IFERROR(
   IF(_xlfn.XLOOKUP(Final_Sans_VGE[[#This Row],[ppn_z]],tbl_Historique_Final[ppn_z],tbl_Historique_Final[date_modif])=Final_Sans_VGE[[#This Row],[date_modif]],
      "Ancien",
      "Modifié"),
   "Nouveau"))</f>
        <v>Ancien</v>
      </c>
      <c r="AC236"/>
    </row>
    <row r="237" spans="1:29" ht="30" x14ac:dyDescent="0.25">
      <c r="A237" s="5" t="s">
        <v>797</v>
      </c>
      <c r="B237" s="1" t="s">
        <v>6836</v>
      </c>
      <c r="C237" s="1" t="s">
        <v>12</v>
      </c>
      <c r="G237" s="1" t="s">
        <v>11</v>
      </c>
      <c r="J237" s="3">
        <v>45351.469525462962</v>
      </c>
      <c r="K237" s="2" t="s">
        <v>6837</v>
      </c>
      <c r="L237" s="1">
        <v>2</v>
      </c>
      <c r="M237" s="1">
        <v>2</v>
      </c>
      <c r="N237">
        <v>0</v>
      </c>
      <c r="O237" s="3">
        <f>IF(
    R237="Ancien",
    _xlfn.XLOOKUP(
        Final_Sans_VGE[[#This Row],[ppn_z]],
        tbl_Historique_Final[ppn_z],
        tbl_Historique_Final[Horodatage],
        ""
    ),
    Horodatage!$A$2
)</f>
        <v>46233.670796365739</v>
      </c>
      <c r="P237" s="1" t="str">
        <f>IFERROR(IF(tbl_Historique_Final[[#This Row],[Commentaires]]&lt;&gt;"",tbl_Historique_Final[[#This Row],[Commentaires]],""),"")</f>
        <v/>
      </c>
      <c r="R237"/>
      <c r="X237" s="8" t="str">
        <f>IF(Final_Sans_VGE[[#This Row],[ppn_z]]="","",IFERROR(
   IF(_xlfn.XLOOKUP(Final_Sans_VGE[[#This Row],[ppn_z]],tbl_Historique_Final[ppn_z],tbl_Historique_Final[date_modif])=Final_Sans_VGE[[#This Row],[date_modif]],
      "Ancien",
      "Modifié"),
   "Nouveau"))</f>
        <v>Ancien</v>
      </c>
      <c r="AC237"/>
    </row>
    <row r="238" spans="1:29" x14ac:dyDescent="0.25">
      <c r="A238" s="5" t="s">
        <v>800</v>
      </c>
      <c r="B238" s="1" t="s">
        <v>6838</v>
      </c>
      <c r="C238" s="1" t="s">
        <v>12</v>
      </c>
      <c r="G238" s="1" t="s">
        <v>11</v>
      </c>
      <c r="J238" s="3">
        <v>45356.617291666669</v>
      </c>
      <c r="K238" s="2" t="s">
        <v>6839</v>
      </c>
      <c r="L238" s="1">
        <v>1</v>
      </c>
      <c r="M238" s="1">
        <v>1</v>
      </c>
      <c r="N238">
        <v>0</v>
      </c>
      <c r="O238" s="3">
        <f>IF(
    R238="Ancien",
    _xlfn.XLOOKUP(
        Final_Sans_VGE[[#This Row],[ppn_z]],
        tbl_Historique_Final[ppn_z],
        tbl_Historique_Final[Horodatage],
        ""
    ),
    Horodatage!$A$2
)</f>
        <v>46233.670796365739</v>
      </c>
      <c r="P238" s="1" t="str">
        <f>IFERROR(IF(tbl_Historique_Final[[#This Row],[Commentaires]]&lt;&gt;"",tbl_Historique_Final[[#This Row],[Commentaires]],""),"")</f>
        <v/>
      </c>
      <c r="R238"/>
      <c r="X238" s="8" t="str">
        <f>IF(Final_Sans_VGE[[#This Row],[ppn_z]]="","",IFERROR(
   IF(_xlfn.XLOOKUP(Final_Sans_VGE[[#This Row],[ppn_z]],tbl_Historique_Final[ppn_z],tbl_Historique_Final[date_modif])=Final_Sans_VGE[[#This Row],[date_modif]],
      "Ancien",
      "Modifié"),
   "Nouveau"))</f>
        <v>Ancien</v>
      </c>
      <c r="AC238"/>
    </row>
    <row r="239" spans="1:29" x14ac:dyDescent="0.25">
      <c r="A239" s="5" t="s">
        <v>803</v>
      </c>
      <c r="B239" s="1" t="s">
        <v>6840</v>
      </c>
      <c r="C239" s="1" t="s">
        <v>12</v>
      </c>
      <c r="G239" s="1" t="s">
        <v>111</v>
      </c>
      <c r="J239" s="3">
        <v>45358.155150462961</v>
      </c>
      <c r="K239" s="2" t="s">
        <v>6841</v>
      </c>
      <c r="L239" s="1">
        <v>2</v>
      </c>
      <c r="M239" s="1">
        <v>2</v>
      </c>
      <c r="N239">
        <v>0</v>
      </c>
      <c r="O239" s="3">
        <f>IF(
    R239="Ancien",
    _xlfn.XLOOKUP(
        Final_Sans_VGE[[#This Row],[ppn_z]],
        tbl_Historique_Final[ppn_z],
        tbl_Historique_Final[Horodatage],
        ""
    ),
    Horodatage!$A$2
)</f>
        <v>46233.670796365739</v>
      </c>
      <c r="P239" s="1" t="str">
        <f>IFERROR(IF(tbl_Historique_Final[[#This Row],[Commentaires]]&lt;&gt;"",tbl_Historique_Final[[#This Row],[Commentaires]],""),"")</f>
        <v/>
      </c>
      <c r="R239"/>
      <c r="X239" s="8" t="str">
        <f>IF(Final_Sans_VGE[[#This Row],[ppn_z]]="","",IFERROR(
   IF(_xlfn.XLOOKUP(Final_Sans_VGE[[#This Row],[ppn_z]],tbl_Historique_Final[ppn_z],tbl_Historique_Final[date_modif])=Final_Sans_VGE[[#This Row],[date_modif]],
      "Ancien",
      "Modifié"),
   "Nouveau"))</f>
        <v>Ancien</v>
      </c>
      <c r="AC239"/>
    </row>
    <row r="240" spans="1:29" ht="30" x14ac:dyDescent="0.25">
      <c r="A240" s="5" t="s">
        <v>806</v>
      </c>
      <c r="B240" s="1" t="s">
        <v>6842</v>
      </c>
      <c r="C240" s="1" t="s">
        <v>12</v>
      </c>
      <c r="G240" s="1" t="s">
        <v>11</v>
      </c>
      <c r="J240" s="3">
        <v>45358.42459490741</v>
      </c>
      <c r="K240" s="2" t="s">
        <v>6843</v>
      </c>
      <c r="L240" s="1">
        <v>1</v>
      </c>
      <c r="M240" s="1">
        <v>2</v>
      </c>
      <c r="N240">
        <v>1</v>
      </c>
      <c r="O240" s="3">
        <f>IF(
    R240="Ancien",
    _xlfn.XLOOKUP(
        Final_Sans_VGE[[#This Row],[ppn_z]],
        tbl_Historique_Final[ppn_z],
        tbl_Historique_Final[Horodatage],
        ""
    ),
    Horodatage!$A$2
)</f>
        <v>46233.670796365739</v>
      </c>
      <c r="P240" s="1" t="str">
        <f>IFERROR(IF(tbl_Historique_Final[[#This Row],[Commentaires]]&lt;&gt;"",tbl_Historique_Final[[#This Row],[Commentaires]],""),"")</f>
        <v/>
      </c>
      <c r="R240"/>
      <c r="X240" s="8" t="str">
        <f>IF(Final_Sans_VGE[[#This Row],[ppn_z]]="","",IFERROR(
   IF(_xlfn.XLOOKUP(Final_Sans_VGE[[#This Row],[ppn_z]],tbl_Historique_Final[ppn_z],tbl_Historique_Final[date_modif])=Final_Sans_VGE[[#This Row],[date_modif]],
      "Ancien",
      "Modifié"),
   "Nouveau"))</f>
        <v>Ancien</v>
      </c>
      <c r="AC240"/>
    </row>
    <row r="241" spans="1:29" x14ac:dyDescent="0.25">
      <c r="A241" s="5" t="s">
        <v>809</v>
      </c>
      <c r="B241" s="1" t="s">
        <v>6844</v>
      </c>
      <c r="C241" s="1" t="s">
        <v>55</v>
      </c>
      <c r="G241" s="1" t="s">
        <v>11</v>
      </c>
      <c r="J241" s="3">
        <v>45359.1953587963</v>
      </c>
      <c r="K241" s="2" t="s">
        <v>6845</v>
      </c>
      <c r="L241" s="1">
        <v>6</v>
      </c>
      <c r="M241" s="1">
        <v>6</v>
      </c>
      <c r="N241">
        <v>0</v>
      </c>
      <c r="O241" s="3">
        <f>IF(
    R241="Ancien",
    _xlfn.XLOOKUP(
        Final_Sans_VGE[[#This Row],[ppn_z]],
        tbl_Historique_Final[ppn_z],
        tbl_Historique_Final[Horodatage],
        ""
    ),
    Horodatage!$A$2
)</f>
        <v>46233.670796365739</v>
      </c>
      <c r="P241" s="1" t="str">
        <f>IFERROR(IF(tbl_Historique_Final[[#This Row],[Commentaires]]&lt;&gt;"",tbl_Historique_Final[[#This Row],[Commentaires]],""),"")</f>
        <v/>
      </c>
      <c r="R241"/>
      <c r="X241" s="8" t="str">
        <f>IF(Final_Sans_VGE[[#This Row],[ppn_z]]="","",IFERROR(
   IF(_xlfn.XLOOKUP(Final_Sans_VGE[[#This Row],[ppn_z]],tbl_Historique_Final[ppn_z],tbl_Historique_Final[date_modif])=Final_Sans_VGE[[#This Row],[date_modif]],
      "Ancien",
      "Modifié"),
   "Nouveau"))</f>
        <v>Ancien</v>
      </c>
      <c r="AC241"/>
    </row>
    <row r="242" spans="1:29" x14ac:dyDescent="0.25">
      <c r="A242" s="5" t="s">
        <v>812</v>
      </c>
      <c r="B242" s="1" t="s">
        <v>6846</v>
      </c>
      <c r="C242" s="1" t="s">
        <v>68</v>
      </c>
      <c r="G242" s="1" t="s">
        <v>11</v>
      </c>
      <c r="J242" s="3">
        <v>45357.344085648147</v>
      </c>
      <c r="K242" s="2" t="s">
        <v>6847</v>
      </c>
      <c r="L242" s="1">
        <v>4</v>
      </c>
      <c r="M242" s="1">
        <v>6</v>
      </c>
      <c r="N242">
        <v>2</v>
      </c>
      <c r="O242" s="3">
        <f>IF(
    R242="Ancien",
    _xlfn.XLOOKUP(
        Final_Sans_VGE[[#This Row],[ppn_z]],
        tbl_Historique_Final[ppn_z],
        tbl_Historique_Final[Horodatage],
        ""
    ),
    Horodatage!$A$2
)</f>
        <v>46233.670796365739</v>
      </c>
      <c r="P242" s="1" t="str">
        <f>IFERROR(IF(tbl_Historique_Final[[#This Row],[Commentaires]]&lt;&gt;"",tbl_Historique_Final[[#This Row],[Commentaires]],""),"")</f>
        <v/>
      </c>
      <c r="R242"/>
      <c r="X242" s="8" t="str">
        <f>IF(Final_Sans_VGE[[#This Row],[ppn_z]]="","",IFERROR(
   IF(_xlfn.XLOOKUP(Final_Sans_VGE[[#This Row],[ppn_z]],tbl_Historique_Final[ppn_z],tbl_Historique_Final[date_modif])=Final_Sans_VGE[[#This Row],[date_modif]],
      "Ancien",
      "Modifié"),
   "Nouveau"))</f>
        <v>Ancien</v>
      </c>
      <c r="AC242"/>
    </row>
    <row r="243" spans="1:29" x14ac:dyDescent="0.25">
      <c r="A243" s="5" t="s">
        <v>815</v>
      </c>
      <c r="B243" s="1" t="s">
        <v>6848</v>
      </c>
      <c r="C243" s="1" t="s">
        <v>132</v>
      </c>
      <c r="J243" s="3">
        <v>45183.396921296298</v>
      </c>
      <c r="L243" s="1">
        <v>6</v>
      </c>
      <c r="M243" s="1">
        <v>7</v>
      </c>
      <c r="N243">
        <v>1</v>
      </c>
      <c r="O243" s="3">
        <f>IF(
    R243="Ancien",
    _xlfn.XLOOKUP(
        Final_Sans_VGE[[#This Row],[ppn_z]],
        tbl_Historique_Final[ppn_z],
        tbl_Historique_Final[Horodatage],
        ""
    ),
    Horodatage!$A$2
)</f>
        <v>46233.670796365739</v>
      </c>
      <c r="P243" s="1" t="str">
        <f>IFERROR(IF(tbl_Historique_Final[[#This Row],[Commentaires]]&lt;&gt;"",tbl_Historique_Final[[#This Row],[Commentaires]],""),"")</f>
        <v/>
      </c>
      <c r="R243"/>
      <c r="X243" s="8" t="str">
        <f>IF(Final_Sans_VGE[[#This Row],[ppn_z]]="","",IFERROR(
   IF(_xlfn.XLOOKUP(Final_Sans_VGE[[#This Row],[ppn_z]],tbl_Historique_Final[ppn_z],tbl_Historique_Final[date_modif])=Final_Sans_VGE[[#This Row],[date_modif]],
      "Ancien",
      "Modifié"),
   "Nouveau"))</f>
        <v>Ancien</v>
      </c>
      <c r="AC243"/>
    </row>
    <row r="244" spans="1:29" x14ac:dyDescent="0.25">
      <c r="A244" s="5" t="s">
        <v>818</v>
      </c>
      <c r="B244" s="1" t="s">
        <v>6849</v>
      </c>
      <c r="C244" s="1" t="s">
        <v>81</v>
      </c>
      <c r="J244" s="3">
        <v>45182.46297453704</v>
      </c>
      <c r="L244" s="1">
        <v>0</v>
      </c>
      <c r="M244" s="1">
        <v>1</v>
      </c>
      <c r="N244">
        <v>1</v>
      </c>
      <c r="O244" s="3">
        <f>IF(
    R244="Ancien",
    _xlfn.XLOOKUP(
        Final_Sans_VGE[[#This Row],[ppn_z]],
        tbl_Historique_Final[ppn_z],
        tbl_Historique_Final[Horodatage],
        ""
    ),
    Horodatage!$A$2
)</f>
        <v>46233.670796365739</v>
      </c>
      <c r="P244" s="1" t="str">
        <f>IFERROR(IF(tbl_Historique_Final[[#This Row],[Commentaires]]&lt;&gt;"",tbl_Historique_Final[[#This Row],[Commentaires]],""),"")</f>
        <v/>
      </c>
      <c r="R244"/>
      <c r="X244" s="8" t="str">
        <f>IF(Final_Sans_VGE[[#This Row],[ppn_z]]="","",IFERROR(
   IF(_xlfn.XLOOKUP(Final_Sans_VGE[[#This Row],[ppn_z]],tbl_Historique_Final[ppn_z],tbl_Historique_Final[date_modif])=Final_Sans_VGE[[#This Row],[date_modif]],
      "Ancien",
      "Modifié"),
   "Nouveau"))</f>
        <v>Ancien</v>
      </c>
      <c r="AC244"/>
    </row>
    <row r="245" spans="1:29" x14ac:dyDescent="0.25">
      <c r="A245" s="5" t="s">
        <v>821</v>
      </c>
      <c r="B245" s="1" t="s">
        <v>6850</v>
      </c>
      <c r="C245" s="1" t="s">
        <v>44</v>
      </c>
      <c r="G245" s="1" t="s">
        <v>10</v>
      </c>
      <c r="J245" s="3">
        <v>45357.470381944448</v>
      </c>
      <c r="K245" s="2" t="s">
        <v>6851</v>
      </c>
      <c r="L245" s="1">
        <v>1</v>
      </c>
      <c r="M245" s="1">
        <v>1</v>
      </c>
      <c r="N245">
        <v>0</v>
      </c>
      <c r="O245" s="3">
        <f>IF(
    R245="Ancien",
    _xlfn.XLOOKUP(
        Final_Sans_VGE[[#This Row],[ppn_z]],
        tbl_Historique_Final[ppn_z],
        tbl_Historique_Final[Horodatage],
        ""
    ),
    Horodatage!$A$2
)</f>
        <v>46233.670796365739</v>
      </c>
      <c r="P245" s="1" t="str">
        <f>IFERROR(IF(tbl_Historique_Final[[#This Row],[Commentaires]]&lt;&gt;"",tbl_Historique_Final[[#This Row],[Commentaires]],""),"")</f>
        <v/>
      </c>
      <c r="R245"/>
      <c r="X245" s="8" t="str">
        <f>IF(Final_Sans_VGE[[#This Row],[ppn_z]]="","",IFERROR(
   IF(_xlfn.XLOOKUP(Final_Sans_VGE[[#This Row],[ppn_z]],tbl_Historique_Final[ppn_z],tbl_Historique_Final[date_modif])=Final_Sans_VGE[[#This Row],[date_modif]],
      "Ancien",
      "Modifié"),
   "Nouveau"))</f>
        <v>Ancien</v>
      </c>
      <c r="AC245"/>
    </row>
    <row r="246" spans="1:29" x14ac:dyDescent="0.25">
      <c r="A246" s="5" t="s">
        <v>824</v>
      </c>
      <c r="B246" s="1" t="s">
        <v>6852</v>
      </c>
      <c r="C246" s="1" t="s">
        <v>12</v>
      </c>
      <c r="G246" s="1" t="s">
        <v>10</v>
      </c>
      <c r="J246" s="3">
        <v>45357.502743055556</v>
      </c>
      <c r="L246" s="1">
        <v>5</v>
      </c>
      <c r="M246" s="1">
        <v>5</v>
      </c>
      <c r="N246">
        <v>0</v>
      </c>
      <c r="O246" s="3">
        <f>IF(
    R246="Ancien",
    _xlfn.XLOOKUP(
        Final_Sans_VGE[[#This Row],[ppn_z]],
        tbl_Historique_Final[ppn_z],
        tbl_Historique_Final[Horodatage],
        ""
    ),
    Horodatage!$A$2
)</f>
        <v>46233.670796365739</v>
      </c>
      <c r="P246" s="1" t="str">
        <f>IFERROR(IF(tbl_Historique_Final[[#This Row],[Commentaires]]&lt;&gt;"",tbl_Historique_Final[[#This Row],[Commentaires]],""),"")</f>
        <v/>
      </c>
      <c r="R246"/>
      <c r="X246" s="8" t="str">
        <f>IF(Final_Sans_VGE[[#This Row],[ppn_z]]="","",IFERROR(
   IF(_xlfn.XLOOKUP(Final_Sans_VGE[[#This Row],[ppn_z]],tbl_Historique_Final[ppn_z],tbl_Historique_Final[date_modif])=Final_Sans_VGE[[#This Row],[date_modif]],
      "Ancien",
      "Modifié"),
   "Nouveau"))</f>
        <v>Ancien</v>
      </c>
      <c r="AC246"/>
    </row>
    <row r="247" spans="1:29" x14ac:dyDescent="0.25">
      <c r="A247" s="5" t="s">
        <v>827</v>
      </c>
      <c r="B247" s="1" t="s">
        <v>6853</v>
      </c>
      <c r="J247" s="3">
        <v>45183.370300925926</v>
      </c>
      <c r="L247" s="1">
        <v>4</v>
      </c>
      <c r="M247" s="1">
        <v>4</v>
      </c>
      <c r="N247">
        <v>0</v>
      </c>
      <c r="O247" s="3">
        <f>IF(
    R247="Ancien",
    _xlfn.XLOOKUP(
        Final_Sans_VGE[[#This Row],[ppn_z]],
        tbl_Historique_Final[ppn_z],
        tbl_Historique_Final[Horodatage],
        ""
    ),
    Horodatage!$A$2
)</f>
        <v>46233.670796365739</v>
      </c>
      <c r="P247" s="1" t="str">
        <f>IFERROR(IF(tbl_Historique_Final[[#This Row],[Commentaires]]&lt;&gt;"",tbl_Historique_Final[[#This Row],[Commentaires]],""),"")</f>
        <v/>
      </c>
      <c r="R247"/>
      <c r="X247" s="8" t="str">
        <f>IF(Final_Sans_VGE[[#This Row],[ppn_z]]="","",IFERROR(
   IF(_xlfn.XLOOKUP(Final_Sans_VGE[[#This Row],[ppn_z]],tbl_Historique_Final[ppn_z],tbl_Historique_Final[date_modif])=Final_Sans_VGE[[#This Row],[date_modif]],
      "Ancien",
      "Modifié"),
   "Nouveau"))</f>
        <v>Ancien</v>
      </c>
      <c r="AC247"/>
    </row>
    <row r="248" spans="1:29" ht="30" x14ac:dyDescent="0.25">
      <c r="A248" s="5" t="s">
        <v>830</v>
      </c>
      <c r="B248" s="1" t="s">
        <v>6854</v>
      </c>
      <c r="C248" s="1" t="s">
        <v>12</v>
      </c>
      <c r="G248" s="1" t="s">
        <v>11</v>
      </c>
      <c r="J248" s="3">
        <v>45386.14943287037</v>
      </c>
      <c r="K248" s="2" t="s">
        <v>6855</v>
      </c>
      <c r="L248" s="1">
        <v>1</v>
      </c>
      <c r="M248" s="1">
        <v>1</v>
      </c>
      <c r="N248">
        <v>0</v>
      </c>
      <c r="O248" s="3">
        <f>IF(
    R248="Ancien",
    _xlfn.XLOOKUP(
        Final_Sans_VGE[[#This Row],[ppn_z]],
        tbl_Historique_Final[ppn_z],
        tbl_Historique_Final[Horodatage],
        ""
    ),
    Horodatage!$A$2
)</f>
        <v>46233.670796365739</v>
      </c>
      <c r="P248" s="1" t="str">
        <f>IFERROR(IF(tbl_Historique_Final[[#This Row],[Commentaires]]&lt;&gt;"",tbl_Historique_Final[[#This Row],[Commentaires]],""),"")</f>
        <v/>
      </c>
      <c r="R248"/>
      <c r="X248" s="8" t="str">
        <f>IF(Final_Sans_VGE[[#This Row],[ppn_z]]="","",IFERROR(
   IF(_xlfn.XLOOKUP(Final_Sans_VGE[[#This Row],[ppn_z]],tbl_Historique_Final[ppn_z],tbl_Historique_Final[date_modif])=Final_Sans_VGE[[#This Row],[date_modif]],
      "Ancien",
      "Modifié"),
   "Nouveau"))</f>
        <v>Ancien</v>
      </c>
      <c r="AC248"/>
    </row>
    <row r="249" spans="1:29" x14ac:dyDescent="0.25">
      <c r="A249" s="5" t="s">
        <v>833</v>
      </c>
      <c r="B249" s="1" t="s">
        <v>6856</v>
      </c>
      <c r="C249" s="1" t="s">
        <v>12</v>
      </c>
      <c r="G249" s="1" t="s">
        <v>11</v>
      </c>
      <c r="J249" s="3">
        <v>45385.312002314815</v>
      </c>
      <c r="K249" s="2" t="s">
        <v>6857</v>
      </c>
      <c r="L249" s="1">
        <v>1</v>
      </c>
      <c r="M249" s="1">
        <v>1</v>
      </c>
      <c r="N249">
        <v>0</v>
      </c>
      <c r="O249" s="3">
        <f>IF(
    R249="Ancien",
    _xlfn.XLOOKUP(
        Final_Sans_VGE[[#This Row],[ppn_z]],
        tbl_Historique_Final[ppn_z],
        tbl_Historique_Final[Horodatage],
        ""
    ),
    Horodatage!$A$2
)</f>
        <v>46233.670796365739</v>
      </c>
      <c r="P249" s="1" t="str">
        <f>IFERROR(IF(tbl_Historique_Final[[#This Row],[Commentaires]]&lt;&gt;"",tbl_Historique_Final[[#This Row],[Commentaires]],""),"")</f>
        <v/>
      </c>
      <c r="R249"/>
      <c r="X249" s="8" t="str">
        <f>IF(Final_Sans_VGE[[#This Row],[ppn_z]]="","",IFERROR(
   IF(_xlfn.XLOOKUP(Final_Sans_VGE[[#This Row],[ppn_z]],tbl_Historique_Final[ppn_z],tbl_Historique_Final[date_modif])=Final_Sans_VGE[[#This Row],[date_modif]],
      "Ancien",
      "Modifié"),
   "Nouveau"))</f>
        <v>Ancien</v>
      </c>
      <c r="AC249"/>
    </row>
    <row r="250" spans="1:29" x14ac:dyDescent="0.25">
      <c r="A250" s="5" t="s">
        <v>842</v>
      </c>
      <c r="B250" s="1" t="s">
        <v>6858</v>
      </c>
      <c r="C250" s="1" t="s">
        <v>79</v>
      </c>
      <c r="G250" s="1" t="s">
        <v>10</v>
      </c>
      <c r="J250" s="3">
        <v>45404.598379629628</v>
      </c>
      <c r="K250" s="2" t="s">
        <v>6859</v>
      </c>
      <c r="L250" s="1">
        <v>4</v>
      </c>
      <c r="M250" s="1">
        <v>7</v>
      </c>
      <c r="N250">
        <v>3</v>
      </c>
      <c r="O250" s="3">
        <f>IF(
    R250="Ancien",
    _xlfn.XLOOKUP(
        Final_Sans_VGE[[#This Row],[ppn_z]],
        tbl_Historique_Final[ppn_z],
        tbl_Historique_Final[Horodatage],
        ""
    ),
    Horodatage!$A$2
)</f>
        <v>46233.670796365739</v>
      </c>
      <c r="P250" s="1" t="str">
        <f>IFERROR(IF(tbl_Historique_Final[[#This Row],[Commentaires]]&lt;&gt;"",tbl_Historique_Final[[#This Row],[Commentaires]],""),"")</f>
        <v/>
      </c>
      <c r="R250"/>
      <c r="X250" s="8" t="str">
        <f>IF(Final_Sans_VGE[[#This Row],[ppn_z]]="","",IFERROR(
   IF(_xlfn.XLOOKUP(Final_Sans_VGE[[#This Row],[ppn_z]],tbl_Historique_Final[ppn_z],tbl_Historique_Final[date_modif])=Final_Sans_VGE[[#This Row],[date_modif]],
      "Ancien",
      "Modifié"),
   "Nouveau"))</f>
        <v>Ancien</v>
      </c>
      <c r="AC250"/>
    </row>
    <row r="251" spans="1:29" ht="30" x14ac:dyDescent="0.25">
      <c r="A251" s="5" t="s">
        <v>845</v>
      </c>
      <c r="B251" s="1" t="s">
        <v>6860</v>
      </c>
      <c r="C251" s="1" t="s">
        <v>89</v>
      </c>
      <c r="G251" s="1" t="s">
        <v>11</v>
      </c>
      <c r="J251" s="3">
        <v>45412.198344907411</v>
      </c>
      <c r="K251" s="2" t="s">
        <v>6861</v>
      </c>
      <c r="L251" s="1">
        <v>1</v>
      </c>
      <c r="M251" s="1">
        <v>1</v>
      </c>
      <c r="N251">
        <v>0</v>
      </c>
      <c r="O251" s="3">
        <f>IF(
    R251="Ancien",
    _xlfn.XLOOKUP(
        Final_Sans_VGE[[#This Row],[ppn_z]],
        tbl_Historique_Final[ppn_z],
        tbl_Historique_Final[Horodatage],
        ""
    ),
    Horodatage!$A$2
)</f>
        <v>46233.670796365739</v>
      </c>
      <c r="P251" s="1" t="str">
        <f>IFERROR(IF(tbl_Historique_Final[[#This Row],[Commentaires]]&lt;&gt;"",tbl_Historique_Final[[#This Row],[Commentaires]],""),"")</f>
        <v/>
      </c>
      <c r="R251"/>
      <c r="X251" s="8" t="str">
        <f>IF(Final_Sans_VGE[[#This Row],[ppn_z]]="","",IFERROR(
   IF(_xlfn.XLOOKUP(Final_Sans_VGE[[#This Row],[ppn_z]],tbl_Historique_Final[ppn_z],tbl_Historique_Final[date_modif])=Final_Sans_VGE[[#This Row],[date_modif]],
      "Ancien",
      "Modifié"),
   "Nouveau"))</f>
        <v>Ancien</v>
      </c>
      <c r="AC251"/>
    </row>
    <row r="252" spans="1:29" x14ac:dyDescent="0.25">
      <c r="A252" s="5" t="s">
        <v>851</v>
      </c>
      <c r="B252" s="1" t="s">
        <v>6862</v>
      </c>
      <c r="C252" s="1" t="s">
        <v>6554</v>
      </c>
      <c r="G252" s="1" t="s">
        <v>11</v>
      </c>
      <c r="J252" s="3">
        <v>45412.652557870373</v>
      </c>
      <c r="K252" s="2" t="s">
        <v>6863</v>
      </c>
      <c r="L252" s="1">
        <v>4</v>
      </c>
      <c r="M252" s="1">
        <v>4</v>
      </c>
      <c r="N252">
        <v>0</v>
      </c>
      <c r="O252" s="3">
        <f>IF(
    R252="Ancien",
    _xlfn.XLOOKUP(
        Final_Sans_VGE[[#This Row],[ppn_z]],
        tbl_Historique_Final[ppn_z],
        tbl_Historique_Final[Horodatage],
        ""
    ),
    Horodatage!$A$2
)</f>
        <v>46233.670796365739</v>
      </c>
      <c r="P252" s="1" t="str">
        <f>IFERROR(IF(tbl_Historique_Final[[#This Row],[Commentaires]]&lt;&gt;"",tbl_Historique_Final[[#This Row],[Commentaires]],""),"")</f>
        <v/>
      </c>
      <c r="R252"/>
      <c r="X252" s="8" t="str">
        <f>IF(Final_Sans_VGE[[#This Row],[ppn_z]]="","",IFERROR(
   IF(_xlfn.XLOOKUP(Final_Sans_VGE[[#This Row],[ppn_z]],tbl_Historique_Final[ppn_z],tbl_Historique_Final[date_modif])=Final_Sans_VGE[[#This Row],[date_modif]],
      "Ancien",
      "Modifié"),
   "Nouveau"))</f>
        <v>Ancien</v>
      </c>
      <c r="AC252"/>
    </row>
    <row r="253" spans="1:29" x14ac:dyDescent="0.25">
      <c r="A253" s="5" t="s">
        <v>854</v>
      </c>
      <c r="B253" s="1" t="s">
        <v>6864</v>
      </c>
      <c r="C253" s="1" t="s">
        <v>62</v>
      </c>
      <c r="J253" s="3">
        <v>45407.445706018516</v>
      </c>
      <c r="K253" s="2" t="s">
        <v>6438</v>
      </c>
      <c r="L253" s="1">
        <v>5</v>
      </c>
      <c r="M253" s="1">
        <v>5</v>
      </c>
      <c r="N253">
        <v>0</v>
      </c>
      <c r="O253" s="3">
        <f>IF(
    R253="Ancien",
    _xlfn.XLOOKUP(
        Final_Sans_VGE[[#This Row],[ppn_z]],
        tbl_Historique_Final[ppn_z],
        tbl_Historique_Final[Horodatage],
        ""
    ),
    Horodatage!$A$2
)</f>
        <v>46233.670796365739</v>
      </c>
      <c r="P253" s="1" t="str">
        <f>IFERROR(IF(tbl_Historique_Final[[#This Row],[Commentaires]]&lt;&gt;"",tbl_Historique_Final[[#This Row],[Commentaires]],""),"")</f>
        <v/>
      </c>
      <c r="R253"/>
      <c r="X253" s="8" t="str">
        <f>IF(Final_Sans_VGE[[#This Row],[ppn_z]]="","",IFERROR(
   IF(_xlfn.XLOOKUP(Final_Sans_VGE[[#This Row],[ppn_z]],tbl_Historique_Final[ppn_z],tbl_Historique_Final[date_modif])=Final_Sans_VGE[[#This Row],[date_modif]],
      "Ancien",
      "Modifié"),
   "Nouveau"))</f>
        <v>Ancien</v>
      </c>
      <c r="AC253"/>
    </row>
    <row r="254" spans="1:29" x14ac:dyDescent="0.25">
      <c r="A254" s="5" t="s">
        <v>857</v>
      </c>
      <c r="B254" s="1" t="s">
        <v>6865</v>
      </c>
      <c r="G254" s="1" t="s">
        <v>10</v>
      </c>
      <c r="J254" s="3">
        <v>45387.413819444446</v>
      </c>
      <c r="K254" s="2" t="s">
        <v>6866</v>
      </c>
      <c r="L254" s="1">
        <v>11</v>
      </c>
      <c r="M254" s="1">
        <v>15</v>
      </c>
      <c r="N254">
        <v>4</v>
      </c>
      <c r="O254" s="3">
        <f>IF(
    R254="Ancien",
    _xlfn.XLOOKUP(
        Final_Sans_VGE[[#This Row],[ppn_z]],
        tbl_Historique_Final[ppn_z],
        tbl_Historique_Final[Horodatage],
        ""
    ),
    Horodatage!$A$2
)</f>
        <v>46233.670796365739</v>
      </c>
      <c r="P254" s="1" t="str">
        <f>IFERROR(IF(tbl_Historique_Final[[#This Row],[Commentaires]]&lt;&gt;"",tbl_Historique_Final[[#This Row],[Commentaires]],""),"")</f>
        <v/>
      </c>
      <c r="R254"/>
      <c r="X254" s="8" t="str">
        <f>IF(Final_Sans_VGE[[#This Row],[ppn_z]]="","",IFERROR(
   IF(_xlfn.XLOOKUP(Final_Sans_VGE[[#This Row],[ppn_z]],tbl_Historique_Final[ppn_z],tbl_Historique_Final[date_modif])=Final_Sans_VGE[[#This Row],[date_modif]],
      "Ancien",
      "Modifié"),
   "Nouveau"))</f>
        <v>Ancien</v>
      </c>
      <c r="AC254"/>
    </row>
    <row r="255" spans="1:29" ht="30" x14ac:dyDescent="0.25">
      <c r="A255" s="5" t="s">
        <v>860</v>
      </c>
      <c r="B255" s="1" t="s">
        <v>6867</v>
      </c>
      <c r="C255" s="1" t="s">
        <v>12</v>
      </c>
      <c r="G255" s="1" t="s">
        <v>10</v>
      </c>
      <c r="J255" s="3">
        <v>45383.666655092595</v>
      </c>
      <c r="K255" s="2" t="s">
        <v>6868</v>
      </c>
      <c r="L255" s="1">
        <v>1</v>
      </c>
      <c r="M255" s="1">
        <v>1</v>
      </c>
      <c r="N255">
        <v>0</v>
      </c>
      <c r="O255" s="3">
        <f>IF(
    R255="Ancien",
    _xlfn.XLOOKUP(
        Final_Sans_VGE[[#This Row],[ppn_z]],
        tbl_Historique_Final[ppn_z],
        tbl_Historique_Final[Horodatage],
        ""
    ),
    Horodatage!$A$2
)</f>
        <v>46233.670796365739</v>
      </c>
      <c r="P255" s="1" t="str">
        <f>IFERROR(IF(tbl_Historique_Final[[#This Row],[Commentaires]]&lt;&gt;"",tbl_Historique_Final[[#This Row],[Commentaires]],""),"")</f>
        <v/>
      </c>
      <c r="R255"/>
      <c r="X255" s="8" t="str">
        <f>IF(Final_Sans_VGE[[#This Row],[ppn_z]]="","",IFERROR(
   IF(_xlfn.XLOOKUP(Final_Sans_VGE[[#This Row],[ppn_z]],tbl_Historique_Final[ppn_z],tbl_Historique_Final[date_modif])=Final_Sans_VGE[[#This Row],[date_modif]],
      "Ancien",
      "Modifié"),
   "Nouveau"))</f>
        <v>Ancien</v>
      </c>
      <c r="AC255"/>
    </row>
    <row r="256" spans="1:29" x14ac:dyDescent="0.25">
      <c r="A256" s="5" t="s">
        <v>863</v>
      </c>
      <c r="B256" s="1" t="s">
        <v>6869</v>
      </c>
      <c r="C256" s="1" t="s">
        <v>12</v>
      </c>
      <c r="G256" s="1" t="s">
        <v>10</v>
      </c>
      <c r="J256" s="3">
        <v>45361.031400462962</v>
      </c>
      <c r="K256" s="2" t="s">
        <v>6870</v>
      </c>
      <c r="L256" s="1">
        <v>0</v>
      </c>
      <c r="M256" s="1">
        <v>0</v>
      </c>
      <c r="N256">
        <v>0</v>
      </c>
      <c r="O256" s="3">
        <f>IF(
    R256="Ancien",
    _xlfn.XLOOKUP(
        Final_Sans_VGE[[#This Row],[ppn_z]],
        tbl_Historique_Final[ppn_z],
        tbl_Historique_Final[Horodatage],
        ""
    ),
    Horodatage!$A$2
)</f>
        <v>46233.670796365739</v>
      </c>
      <c r="P256" s="1" t="str">
        <f>IFERROR(IF(tbl_Historique_Final[[#This Row],[Commentaires]]&lt;&gt;"",tbl_Historique_Final[[#This Row],[Commentaires]],""),"")</f>
        <v/>
      </c>
      <c r="R256"/>
      <c r="X256" s="8" t="str">
        <f>IF(Final_Sans_VGE[[#This Row],[ppn_z]]="","",IFERROR(
   IF(_xlfn.XLOOKUP(Final_Sans_VGE[[#This Row],[ppn_z]],tbl_Historique_Final[ppn_z],tbl_Historique_Final[date_modif])=Final_Sans_VGE[[#This Row],[date_modif]],
      "Ancien",
      "Modifié"),
   "Nouveau"))</f>
        <v>Ancien</v>
      </c>
      <c r="AC256"/>
    </row>
    <row r="257" spans="1:30" x14ac:dyDescent="0.25">
      <c r="A257" s="5" t="s">
        <v>866</v>
      </c>
      <c r="B257" s="1" t="s">
        <v>6871</v>
      </c>
      <c r="C257" s="1" t="s">
        <v>12</v>
      </c>
      <c r="G257" s="1" t="s">
        <v>11</v>
      </c>
      <c r="J257" s="3">
        <v>45411.955335648148</v>
      </c>
      <c r="K257" s="2" t="s">
        <v>6872</v>
      </c>
      <c r="L257" s="1">
        <v>1</v>
      </c>
      <c r="M257" s="1">
        <v>1</v>
      </c>
      <c r="N257">
        <v>0</v>
      </c>
      <c r="O257" s="3">
        <f>IF(
    R257="Ancien",
    _xlfn.XLOOKUP(
        Final_Sans_VGE[[#This Row],[ppn_z]],
        tbl_Historique_Final[ppn_z],
        tbl_Historique_Final[Horodatage],
        ""
    ),
    Horodatage!$A$2
)</f>
        <v>46233.670796365739</v>
      </c>
      <c r="P257" s="1" t="str">
        <f>IFERROR(IF(tbl_Historique_Final[[#This Row],[Commentaires]]&lt;&gt;"",tbl_Historique_Final[[#This Row],[Commentaires]],""),"")</f>
        <v/>
      </c>
      <c r="R257"/>
      <c r="X257" s="8" t="str">
        <f>IF(Final_Sans_VGE[[#This Row],[ppn_z]]="","",IFERROR(
   IF(_xlfn.XLOOKUP(Final_Sans_VGE[[#This Row],[ppn_z]],tbl_Historique_Final[ppn_z],tbl_Historique_Final[date_modif])=Final_Sans_VGE[[#This Row],[date_modif]],
      "Ancien",
      "Modifié"),
   "Nouveau"))</f>
        <v>Ancien</v>
      </c>
      <c r="AC257"/>
    </row>
    <row r="258" spans="1:30" ht="45" x14ac:dyDescent="0.25">
      <c r="A258" s="5" t="s">
        <v>869</v>
      </c>
      <c r="B258" s="1" t="s">
        <v>6873</v>
      </c>
      <c r="C258" s="1" t="s">
        <v>29</v>
      </c>
      <c r="G258" s="1" t="s">
        <v>10</v>
      </c>
      <c r="J258" s="3">
        <v>45363.546620370369</v>
      </c>
      <c r="K258" s="2" t="s">
        <v>6874</v>
      </c>
      <c r="L258" s="1">
        <v>1</v>
      </c>
      <c r="M258" s="1">
        <v>1</v>
      </c>
      <c r="N258">
        <v>0</v>
      </c>
      <c r="O258" s="3">
        <f>IF(
    R258="Ancien",
    _xlfn.XLOOKUP(
        Final_Sans_VGE[[#This Row],[ppn_z]],
        tbl_Historique_Final[ppn_z],
        tbl_Historique_Final[Horodatage],
        ""
    ),
    Horodatage!$A$2
)</f>
        <v>46233.670796365739</v>
      </c>
      <c r="P258" s="1" t="str">
        <f>IFERROR(IF(tbl_Historique_Final[[#This Row],[Commentaires]]&lt;&gt;"",tbl_Historique_Final[[#This Row],[Commentaires]],""),"")</f>
        <v/>
      </c>
      <c r="R258"/>
      <c r="X258" s="8" t="str">
        <f>IF(Final_Sans_VGE[[#This Row],[ppn_z]]="","",IFERROR(
   IF(_xlfn.XLOOKUP(Final_Sans_VGE[[#This Row],[ppn_z]],tbl_Historique_Final[ppn_z],tbl_Historique_Final[date_modif])=Final_Sans_VGE[[#This Row],[date_modif]],
      "Ancien",
      "Modifié"),
   "Nouveau"))</f>
        <v>Ancien</v>
      </c>
      <c r="AC258"/>
    </row>
    <row r="259" spans="1:30" x14ac:dyDescent="0.25">
      <c r="A259" s="5" t="s">
        <v>872</v>
      </c>
      <c r="B259" s="1" t="s">
        <v>6875</v>
      </c>
      <c r="C259" s="1" t="s">
        <v>12</v>
      </c>
      <c r="G259" s="1" t="s">
        <v>10</v>
      </c>
      <c r="J259" s="3">
        <v>45383.879062499997</v>
      </c>
      <c r="K259" s="2" t="s">
        <v>6876</v>
      </c>
      <c r="L259" s="1">
        <v>1</v>
      </c>
      <c r="M259" s="1">
        <v>2</v>
      </c>
      <c r="N259">
        <v>1</v>
      </c>
      <c r="O259" s="3">
        <f>IF(
    R259="Ancien",
    _xlfn.XLOOKUP(
        Final_Sans_VGE[[#This Row],[ppn_z]],
        tbl_Historique_Final[ppn_z],
        tbl_Historique_Final[Horodatage],
        ""
    ),
    Horodatage!$A$2
)</f>
        <v>46233.670796365739</v>
      </c>
      <c r="P259" s="1" t="str">
        <f>IFERROR(IF(tbl_Historique_Final[[#This Row],[Commentaires]]&lt;&gt;"",tbl_Historique_Final[[#This Row],[Commentaires]],""),"")</f>
        <v/>
      </c>
      <c r="R259"/>
      <c r="X259" s="8" t="str">
        <f>IF(Final_Sans_VGE[[#This Row],[ppn_z]]="","",IFERROR(
   IF(_xlfn.XLOOKUP(Final_Sans_VGE[[#This Row],[ppn_z]],tbl_Historique_Final[ppn_z],tbl_Historique_Final[date_modif])=Final_Sans_VGE[[#This Row],[date_modif]],
      "Ancien",
      "Modifié"),
   "Nouveau"))</f>
        <v>Ancien</v>
      </c>
      <c r="AC259"/>
    </row>
    <row r="260" spans="1:30" x14ac:dyDescent="0.25">
      <c r="A260" s="5" t="s">
        <v>875</v>
      </c>
      <c r="B260" s="1" t="s">
        <v>6877</v>
      </c>
      <c r="C260" s="1" t="s">
        <v>43</v>
      </c>
      <c r="J260" s="3">
        <v>45362.763460648152</v>
      </c>
      <c r="K260" s="2" t="s">
        <v>6878</v>
      </c>
      <c r="L260" s="1">
        <v>19</v>
      </c>
      <c r="M260" s="1">
        <v>19</v>
      </c>
      <c r="N260">
        <v>0</v>
      </c>
      <c r="O260" s="3">
        <f>IF(
    R260="Ancien",
    _xlfn.XLOOKUP(
        Final_Sans_VGE[[#This Row],[ppn_z]],
        tbl_Historique_Final[ppn_z],
        tbl_Historique_Final[Horodatage],
        ""
    ),
    Horodatage!$A$2
)</f>
        <v>46233.670796365739</v>
      </c>
      <c r="P260" s="1" t="str">
        <f>IFERROR(IF(tbl_Historique_Final[[#This Row],[Commentaires]]&lt;&gt;"",tbl_Historique_Final[[#This Row],[Commentaires]],""),"")</f>
        <v/>
      </c>
      <c r="R260"/>
      <c r="X260" s="8" t="str">
        <f>IF(Final_Sans_VGE[[#This Row],[ppn_z]]="","",IFERROR(
   IF(_xlfn.XLOOKUP(Final_Sans_VGE[[#This Row],[ppn_z]],tbl_Historique_Final[ppn_z],tbl_Historique_Final[date_modif])=Final_Sans_VGE[[#This Row],[date_modif]],
      "Ancien",
      "Modifié"),
   "Nouveau"))</f>
        <v>Ancien</v>
      </c>
      <c r="AC260"/>
    </row>
    <row r="261" spans="1:30" x14ac:dyDescent="0.25">
      <c r="A261" s="5" t="s">
        <v>878</v>
      </c>
      <c r="B261" s="1" t="s">
        <v>6879</v>
      </c>
      <c r="C261" s="1" t="s">
        <v>72</v>
      </c>
      <c r="G261" s="1" t="s">
        <v>10</v>
      </c>
      <c r="J261" s="3">
        <v>45358.107939814814</v>
      </c>
      <c r="K261" s="2" t="s">
        <v>6775</v>
      </c>
      <c r="L261" s="1">
        <v>2</v>
      </c>
      <c r="M261" s="1">
        <v>3</v>
      </c>
      <c r="N261">
        <v>1</v>
      </c>
      <c r="O261" s="3">
        <f>IF(
    R261="Ancien",
    _xlfn.XLOOKUP(
        Final_Sans_VGE[[#This Row],[ppn_z]],
        tbl_Historique_Final[ppn_z],
        tbl_Historique_Final[Horodatage],
        ""
    ),
    Horodatage!$A$2
)</f>
        <v>46233.670796365739</v>
      </c>
      <c r="P261" s="1" t="str">
        <f>IFERROR(IF(tbl_Historique_Final[[#This Row],[Commentaires]]&lt;&gt;"",tbl_Historique_Final[[#This Row],[Commentaires]],""),"")</f>
        <v/>
      </c>
      <c r="R261"/>
      <c r="X261" s="8" t="str">
        <f>IF(Final_Sans_VGE[[#This Row],[ppn_z]]="","",IFERROR(
   IF(_xlfn.XLOOKUP(Final_Sans_VGE[[#This Row],[ppn_z]],tbl_Historique_Final[ppn_z],tbl_Historique_Final[date_modif])=Final_Sans_VGE[[#This Row],[date_modif]],
      "Ancien",
      "Modifié"),
   "Nouveau"))</f>
        <v>Ancien</v>
      </c>
      <c r="AC261"/>
    </row>
    <row r="262" spans="1:30" x14ac:dyDescent="0.25">
      <c r="A262" s="5" t="s">
        <v>881</v>
      </c>
      <c r="B262" s="1" t="s">
        <v>6880</v>
      </c>
      <c r="C262" s="1" t="s">
        <v>51</v>
      </c>
      <c r="G262" s="1" t="s">
        <v>11</v>
      </c>
      <c r="J262" s="3">
        <v>45390.733888888892</v>
      </c>
      <c r="K262" s="2" t="s">
        <v>126</v>
      </c>
      <c r="L262" s="1">
        <v>1</v>
      </c>
      <c r="M262" s="1">
        <v>2</v>
      </c>
      <c r="N262">
        <v>1</v>
      </c>
      <c r="O262" s="3">
        <f>IF(
    R262="Ancien",
    _xlfn.XLOOKUP(
        Final_Sans_VGE[[#This Row],[ppn_z]],
        tbl_Historique_Final[ppn_z],
        tbl_Historique_Final[Horodatage],
        ""
    ),
    Horodatage!$A$2
)</f>
        <v>46233.670796365739</v>
      </c>
      <c r="P262" s="1" t="str">
        <f>IFERROR(IF(tbl_Historique_Final[[#This Row],[Commentaires]]&lt;&gt;"",tbl_Historique_Final[[#This Row],[Commentaires]],""),"")</f>
        <v/>
      </c>
      <c r="R262"/>
      <c r="X262" s="8" t="str">
        <f>IF(Final_Sans_VGE[[#This Row],[ppn_z]]="","",IFERROR(
   IF(_xlfn.XLOOKUP(Final_Sans_VGE[[#This Row],[ppn_z]],tbl_Historique_Final[ppn_z],tbl_Historique_Final[date_modif])=Final_Sans_VGE[[#This Row],[date_modif]],
      "Ancien",
      "Modifié"),
   "Nouveau"))</f>
        <v>Ancien</v>
      </c>
      <c r="AC262"/>
    </row>
    <row r="263" spans="1:30" x14ac:dyDescent="0.25">
      <c r="A263" s="5" t="s">
        <v>884</v>
      </c>
      <c r="B263" s="1" t="s">
        <v>6881</v>
      </c>
      <c r="C263" s="1" t="s">
        <v>12</v>
      </c>
      <c r="G263" s="1" t="s">
        <v>11</v>
      </c>
      <c r="J263" s="3">
        <v>45383.734652777777</v>
      </c>
      <c r="K263" s="2" t="s">
        <v>6882</v>
      </c>
      <c r="L263" s="1">
        <v>1</v>
      </c>
      <c r="M263" s="1">
        <v>1</v>
      </c>
      <c r="N263">
        <v>0</v>
      </c>
      <c r="O263" s="3">
        <f>IF(
    R263="Ancien",
    _xlfn.XLOOKUP(
        Final_Sans_VGE[[#This Row],[ppn_z]],
        tbl_Historique_Final[ppn_z],
        tbl_Historique_Final[Horodatage],
        ""
    ),
    Horodatage!$A$2
)</f>
        <v>46233.670796365739</v>
      </c>
      <c r="P263" s="1" t="str">
        <f>IFERROR(IF(tbl_Historique_Final[[#This Row],[Commentaires]]&lt;&gt;"",tbl_Historique_Final[[#This Row],[Commentaires]],""),"")</f>
        <v/>
      </c>
      <c r="R263"/>
      <c r="X263" s="8" t="str">
        <f>IF(Final_Sans_VGE[[#This Row],[ppn_z]]="","",IFERROR(
   IF(_xlfn.XLOOKUP(Final_Sans_VGE[[#This Row],[ppn_z]],tbl_Historique_Final[ppn_z],tbl_Historique_Final[date_modif])=Final_Sans_VGE[[#This Row],[date_modif]],
      "Ancien",
      "Modifié"),
   "Nouveau"))</f>
        <v>Ancien</v>
      </c>
      <c r="AC263"/>
    </row>
    <row r="264" spans="1:30" x14ac:dyDescent="0.25">
      <c r="A264" s="5" t="s">
        <v>887</v>
      </c>
      <c r="B264" s="1" t="s">
        <v>6883</v>
      </c>
      <c r="C264" s="1" t="s">
        <v>12</v>
      </c>
      <c r="G264" s="1" t="s">
        <v>11</v>
      </c>
      <c r="J264" s="3">
        <v>45357.344074074077</v>
      </c>
      <c r="L264" s="1">
        <v>4</v>
      </c>
      <c r="M264" s="1">
        <v>5</v>
      </c>
      <c r="N264">
        <v>1</v>
      </c>
      <c r="O264" s="3">
        <f>IF(
    R264="Ancien",
    _xlfn.XLOOKUP(
        Final_Sans_VGE[[#This Row],[ppn_z]],
        tbl_Historique_Final[ppn_z],
        tbl_Historique_Final[Horodatage],
        ""
    ),
    Horodatage!$A$2
)</f>
        <v>46233.670796365739</v>
      </c>
      <c r="P264" s="1" t="str">
        <f>IFERROR(IF(tbl_Historique_Final[[#This Row],[Commentaires]]&lt;&gt;"",tbl_Historique_Final[[#This Row],[Commentaires]],""),"")</f>
        <v/>
      </c>
      <c r="R264"/>
      <c r="X264" s="8" t="str">
        <f>IF(Final_Sans_VGE[[#This Row],[ppn_z]]="","",IFERROR(
   IF(_xlfn.XLOOKUP(Final_Sans_VGE[[#This Row],[ppn_z]],tbl_Historique_Final[ppn_z],tbl_Historique_Final[date_modif])=Final_Sans_VGE[[#This Row],[date_modif]],
      "Ancien",
      "Modifié"),
   "Nouveau"))</f>
        <v>Ancien</v>
      </c>
      <c r="AC264"/>
    </row>
    <row r="265" spans="1:30" x14ac:dyDescent="0.25">
      <c r="A265" s="5" t="s">
        <v>890</v>
      </c>
      <c r="B265" s="1" t="s">
        <v>6884</v>
      </c>
      <c r="C265" s="1" t="s">
        <v>12</v>
      </c>
      <c r="G265" s="1" t="s">
        <v>11</v>
      </c>
      <c r="J265" s="3">
        <v>45383.393009259256</v>
      </c>
      <c r="K265" s="2" t="s">
        <v>6885</v>
      </c>
      <c r="L265" s="1">
        <v>3</v>
      </c>
      <c r="M265" s="1">
        <v>3</v>
      </c>
      <c r="N265">
        <v>0</v>
      </c>
      <c r="O265" s="3">
        <f>IF(
    R265="Ancien",
    _xlfn.XLOOKUP(
        Final_Sans_VGE[[#This Row],[ppn_z]],
        tbl_Historique_Final[ppn_z],
        tbl_Historique_Final[Horodatage],
        ""
    ),
    Horodatage!$A$2
)</f>
        <v>46233.670796365739</v>
      </c>
      <c r="P265" s="1" t="str">
        <f>IFERROR(IF(tbl_Historique_Final[[#This Row],[Commentaires]]&lt;&gt;"",tbl_Historique_Final[[#This Row],[Commentaires]],""),"")</f>
        <v/>
      </c>
      <c r="R265"/>
      <c r="X265" s="8" t="str">
        <f>IF(Final_Sans_VGE[[#This Row],[ppn_z]]="","",IFERROR(
   IF(_xlfn.XLOOKUP(Final_Sans_VGE[[#This Row],[ppn_z]],tbl_Historique_Final[ppn_z],tbl_Historique_Final[date_modif])=Final_Sans_VGE[[#This Row],[date_modif]],
      "Ancien",
      "Modifié"),
   "Nouveau"))</f>
        <v>Ancien</v>
      </c>
      <c r="AC265"/>
    </row>
    <row r="266" spans="1:30" x14ac:dyDescent="0.25">
      <c r="A266" s="5" t="s">
        <v>893</v>
      </c>
      <c r="B266" s="1" t="s">
        <v>6886</v>
      </c>
      <c r="C266" s="1" t="s">
        <v>6887</v>
      </c>
      <c r="G266" s="1" t="s">
        <v>11</v>
      </c>
      <c r="J266" s="3">
        <v>45383.563877314817</v>
      </c>
      <c r="K266" s="2" t="s">
        <v>150</v>
      </c>
      <c r="L266" s="1">
        <v>1</v>
      </c>
      <c r="M266" s="1">
        <v>1</v>
      </c>
      <c r="N266">
        <v>0</v>
      </c>
      <c r="O266" s="3">
        <f>IF(
    R266="Ancien",
    _xlfn.XLOOKUP(
        Final_Sans_VGE[[#This Row],[ppn_z]],
        tbl_Historique_Final[ppn_z],
        tbl_Historique_Final[Horodatage],
        ""
    ),
    Horodatage!$A$2
)</f>
        <v>46233.670796365739</v>
      </c>
      <c r="P266" s="1" t="str">
        <f>IFERROR(IF(tbl_Historique_Final[[#This Row],[Commentaires]]&lt;&gt;"",tbl_Historique_Final[[#This Row],[Commentaires]],""),"")</f>
        <v/>
      </c>
      <c r="R266"/>
      <c r="X266" s="8" t="str">
        <f>IF(Final_Sans_VGE[[#This Row],[ppn_z]]="","",IFERROR(
   IF(_xlfn.XLOOKUP(Final_Sans_VGE[[#This Row],[ppn_z]],tbl_Historique_Final[ppn_z],tbl_Historique_Final[date_modif])=Final_Sans_VGE[[#This Row],[date_modif]],
      "Ancien",
      "Modifié"),
   "Nouveau"))</f>
        <v>Ancien</v>
      </c>
      <c r="AC266"/>
    </row>
    <row r="267" spans="1:30" x14ac:dyDescent="0.25">
      <c r="A267" s="5" t="s">
        <v>896</v>
      </c>
      <c r="B267" s="1" t="s">
        <v>6888</v>
      </c>
      <c r="C267" s="1" t="s">
        <v>44</v>
      </c>
      <c r="G267" s="1" t="s">
        <v>10</v>
      </c>
      <c r="J267" s="3">
        <v>45383.684675925928</v>
      </c>
      <c r="K267" s="2" t="s">
        <v>6889</v>
      </c>
      <c r="L267" s="1">
        <v>5</v>
      </c>
      <c r="M267" s="1">
        <v>5</v>
      </c>
      <c r="N267">
        <v>0</v>
      </c>
      <c r="O267" s="3">
        <f>IF(
    R267="Ancien",
    _xlfn.XLOOKUP(
        Final_Sans_VGE[[#This Row],[ppn_z]],
        tbl_Historique_Final[ppn_z],
        tbl_Historique_Final[Horodatage],
        ""
    ),
    Horodatage!$A$2
)</f>
        <v>46233.670796365739</v>
      </c>
      <c r="P267" s="1" t="str">
        <f>IFERROR(IF(tbl_Historique_Final[[#This Row],[Commentaires]]&lt;&gt;"",tbl_Historique_Final[[#This Row],[Commentaires]],""),"")</f>
        <v/>
      </c>
      <c r="X267" s="8" t="str">
        <f>IF(Final_Sans_VGE[[#This Row],[ppn_z]]="","",IFERROR(
   IF(_xlfn.XLOOKUP(Final_Sans_VGE[[#This Row],[ppn_z]],tbl_Historique_Final[ppn_z],tbl_Historique_Final[date_modif])=Final_Sans_VGE[[#This Row],[date_modif]],
      "Ancien",
      "Modifié"),
   "Nouveau"))</f>
        <v>Ancien</v>
      </c>
      <c r="AC267"/>
      <c r="AD267"/>
    </row>
    <row r="268" spans="1:30" x14ac:dyDescent="0.25">
      <c r="A268" s="5" t="s">
        <v>899</v>
      </c>
      <c r="B268" s="1" t="s">
        <v>6890</v>
      </c>
      <c r="C268" s="1" t="s">
        <v>116</v>
      </c>
      <c r="G268" s="1" t="s">
        <v>11</v>
      </c>
      <c r="J268" s="3">
        <v>45357.384375000001</v>
      </c>
      <c r="L268" s="1">
        <v>1</v>
      </c>
      <c r="M268" s="1">
        <v>1</v>
      </c>
      <c r="N268">
        <v>0</v>
      </c>
      <c r="O268" s="3">
        <f>IF(
    R268="Ancien",
    _xlfn.XLOOKUP(
        Final_Sans_VGE[[#This Row],[ppn_z]],
        tbl_Historique_Final[ppn_z],
        tbl_Historique_Final[Horodatage],
        ""
    ),
    Horodatage!$A$2
)</f>
        <v>46233.670796365739</v>
      </c>
      <c r="P268" s="1" t="str">
        <f>IFERROR(IF(tbl_Historique_Final[[#This Row],[Commentaires]]&lt;&gt;"",tbl_Historique_Final[[#This Row],[Commentaires]],""),"")</f>
        <v/>
      </c>
      <c r="X268" s="8" t="str">
        <f>IF(Final_Sans_VGE[[#This Row],[ppn_z]]="","",IFERROR(
   IF(_xlfn.XLOOKUP(Final_Sans_VGE[[#This Row],[ppn_z]],tbl_Historique_Final[ppn_z],tbl_Historique_Final[date_modif])=Final_Sans_VGE[[#This Row],[date_modif]],
      "Ancien",
      "Modifié"),
   "Nouveau"))</f>
        <v>Ancien</v>
      </c>
      <c r="AC268"/>
      <c r="AD268"/>
    </row>
    <row r="269" spans="1:30" x14ac:dyDescent="0.25">
      <c r="A269" s="5" t="s">
        <v>902</v>
      </c>
      <c r="B269" s="1" t="s">
        <v>6891</v>
      </c>
      <c r="C269" s="1" t="s">
        <v>12</v>
      </c>
      <c r="G269" s="1" t="s">
        <v>10</v>
      </c>
      <c r="J269" s="3">
        <v>45401.500127314815</v>
      </c>
      <c r="K269" s="2" t="s">
        <v>6892</v>
      </c>
      <c r="L269" s="1">
        <v>1</v>
      </c>
      <c r="M269" s="1">
        <v>1</v>
      </c>
      <c r="N269">
        <v>0</v>
      </c>
      <c r="O269" s="3">
        <f>IF(
    R269="Ancien",
    _xlfn.XLOOKUP(
        Final_Sans_VGE[[#This Row],[ppn_z]],
        tbl_Historique_Final[ppn_z],
        tbl_Historique_Final[Horodatage],
        ""
    ),
    Horodatage!$A$2
)</f>
        <v>46233.670796365739</v>
      </c>
      <c r="P269" s="1" t="str">
        <f>IFERROR(IF(tbl_Historique_Final[[#This Row],[Commentaires]]&lt;&gt;"",tbl_Historique_Final[[#This Row],[Commentaires]],""),"")</f>
        <v/>
      </c>
      <c r="X269" s="8" t="str">
        <f>IF(Final_Sans_VGE[[#This Row],[ppn_z]]="","",IFERROR(
   IF(_xlfn.XLOOKUP(Final_Sans_VGE[[#This Row],[ppn_z]],tbl_Historique_Final[ppn_z],tbl_Historique_Final[date_modif])=Final_Sans_VGE[[#This Row],[date_modif]],
      "Ancien",
      "Modifié"),
   "Nouveau"))</f>
        <v>Ancien</v>
      </c>
      <c r="AC269"/>
      <c r="AD269"/>
    </row>
    <row r="270" spans="1:30" x14ac:dyDescent="0.25">
      <c r="A270" s="5" t="s">
        <v>905</v>
      </c>
      <c r="B270" s="1" t="s">
        <v>6893</v>
      </c>
      <c r="C270" s="1" t="s">
        <v>86</v>
      </c>
      <c r="G270" s="1" t="s">
        <v>10</v>
      </c>
      <c r="J270" s="3">
        <v>45384.00953703704</v>
      </c>
      <c r="K270" s="2" t="s">
        <v>6894</v>
      </c>
      <c r="L270" s="1">
        <v>4</v>
      </c>
      <c r="M270" s="1">
        <v>4</v>
      </c>
      <c r="N270">
        <v>0</v>
      </c>
      <c r="O270" s="3">
        <f>IF(
    R270="Ancien",
    _xlfn.XLOOKUP(
        Final_Sans_VGE[[#This Row],[ppn_z]],
        tbl_Historique_Final[ppn_z],
        tbl_Historique_Final[Horodatage],
        ""
    ),
    Horodatage!$A$2
)</f>
        <v>46233.670796365739</v>
      </c>
      <c r="P270" s="1" t="str">
        <f>IFERROR(IF(tbl_Historique_Final[[#This Row],[Commentaires]]&lt;&gt;"",tbl_Historique_Final[[#This Row],[Commentaires]],""),"")</f>
        <v/>
      </c>
      <c r="X270" s="8" t="str">
        <f>IF(Final_Sans_VGE[[#This Row],[ppn_z]]="","",IFERROR(
   IF(_xlfn.XLOOKUP(Final_Sans_VGE[[#This Row],[ppn_z]],tbl_Historique_Final[ppn_z],tbl_Historique_Final[date_modif])=Final_Sans_VGE[[#This Row],[date_modif]],
      "Ancien",
      "Modifié"),
   "Nouveau"))</f>
        <v>Ancien</v>
      </c>
      <c r="AC270"/>
      <c r="AD270"/>
    </row>
    <row r="271" spans="1:30" x14ac:dyDescent="0.25">
      <c r="A271" s="5" t="s">
        <v>908</v>
      </c>
      <c r="B271" s="1" t="s">
        <v>6895</v>
      </c>
      <c r="C271" s="1" t="s">
        <v>52</v>
      </c>
      <c r="G271" s="1" t="s">
        <v>10</v>
      </c>
      <c r="J271" s="3">
        <v>45411.990046296298</v>
      </c>
      <c r="K271" s="2" t="s">
        <v>126</v>
      </c>
      <c r="L271" s="1">
        <v>1</v>
      </c>
      <c r="M271" s="1">
        <v>1</v>
      </c>
      <c r="N271">
        <v>0</v>
      </c>
      <c r="O271" s="3">
        <f>IF(
    R271="Ancien",
    _xlfn.XLOOKUP(
        Final_Sans_VGE[[#This Row],[ppn_z]],
        tbl_Historique_Final[ppn_z],
        tbl_Historique_Final[Horodatage],
        ""
    ),
    Horodatage!$A$2
)</f>
        <v>46233.670796365739</v>
      </c>
      <c r="P271" s="1" t="str">
        <f>IFERROR(IF(tbl_Historique_Final[[#This Row],[Commentaires]]&lt;&gt;"",tbl_Historique_Final[[#This Row],[Commentaires]],""),"")</f>
        <v/>
      </c>
      <c r="X271" s="8" t="str">
        <f>IF(Final_Sans_VGE[[#This Row],[ppn_z]]="","",IFERROR(
   IF(_xlfn.XLOOKUP(Final_Sans_VGE[[#This Row],[ppn_z]],tbl_Historique_Final[ppn_z],tbl_Historique_Final[date_modif])=Final_Sans_VGE[[#This Row],[date_modif]],
      "Ancien",
      "Modifié"),
   "Nouveau"))</f>
        <v>Ancien</v>
      </c>
      <c r="AC271"/>
      <c r="AD271"/>
    </row>
    <row r="272" spans="1:30" x14ac:dyDescent="0.25">
      <c r="A272" s="5" t="s">
        <v>911</v>
      </c>
      <c r="B272" s="1" t="s">
        <v>6896</v>
      </c>
      <c r="C272" s="1" t="s">
        <v>12</v>
      </c>
      <c r="G272" s="1" t="s">
        <v>10</v>
      </c>
      <c r="J272" s="3">
        <v>45358.968969907408</v>
      </c>
      <c r="L272" s="1">
        <v>1</v>
      </c>
      <c r="M272" s="1">
        <v>1</v>
      </c>
      <c r="N272">
        <v>0</v>
      </c>
      <c r="O272" s="3">
        <f>IF(
    R272="Ancien",
    _xlfn.XLOOKUP(
        Final_Sans_VGE[[#This Row],[ppn_z]],
        tbl_Historique_Final[ppn_z],
        tbl_Historique_Final[Horodatage],
        ""
    ),
    Horodatage!$A$2
)</f>
        <v>46233.670796365739</v>
      </c>
      <c r="P272" s="1" t="str">
        <f>IFERROR(IF(tbl_Historique_Final[[#This Row],[Commentaires]]&lt;&gt;"",tbl_Historique_Final[[#This Row],[Commentaires]],""),"")</f>
        <v/>
      </c>
      <c r="X272" s="8" t="str">
        <f>IF(Final_Sans_VGE[[#This Row],[ppn_z]]="","",IFERROR(
   IF(_xlfn.XLOOKUP(Final_Sans_VGE[[#This Row],[ppn_z]],tbl_Historique_Final[ppn_z],tbl_Historique_Final[date_modif])=Final_Sans_VGE[[#This Row],[date_modif]],
      "Ancien",
      "Modifié"),
   "Nouveau"))</f>
        <v>Ancien</v>
      </c>
      <c r="AC272"/>
      <c r="AD272"/>
    </row>
    <row r="273" spans="1:30" ht="30" x14ac:dyDescent="0.25">
      <c r="A273" s="5" t="s">
        <v>914</v>
      </c>
      <c r="B273" s="1" t="s">
        <v>6897</v>
      </c>
      <c r="C273" s="1" t="s">
        <v>6887</v>
      </c>
      <c r="G273" s="1" t="s">
        <v>11</v>
      </c>
      <c r="J273" s="3">
        <v>45412.287199074075</v>
      </c>
      <c r="K273" s="2" t="s">
        <v>6898</v>
      </c>
      <c r="L273" s="1">
        <v>1</v>
      </c>
      <c r="M273" s="1">
        <v>1</v>
      </c>
      <c r="N273">
        <v>0</v>
      </c>
      <c r="O273" s="3">
        <f>IF(
    R273="Ancien",
    _xlfn.XLOOKUP(
        Final_Sans_VGE[[#This Row],[ppn_z]],
        tbl_Historique_Final[ppn_z],
        tbl_Historique_Final[Horodatage],
        ""
    ),
    Horodatage!$A$2
)</f>
        <v>46233.670796365739</v>
      </c>
      <c r="P273" s="1" t="str">
        <f>IFERROR(IF(tbl_Historique_Final[[#This Row],[Commentaires]]&lt;&gt;"",tbl_Historique_Final[[#This Row],[Commentaires]],""),"")</f>
        <v/>
      </c>
      <c r="X273" s="8" t="str">
        <f>IF(Final_Sans_VGE[[#This Row],[ppn_z]]="","",IFERROR(
   IF(_xlfn.XLOOKUP(Final_Sans_VGE[[#This Row],[ppn_z]],tbl_Historique_Final[ppn_z],tbl_Historique_Final[date_modif])=Final_Sans_VGE[[#This Row],[date_modif]],
      "Ancien",
      "Modifié"),
   "Nouveau"))</f>
        <v>Ancien</v>
      </c>
      <c r="AC273"/>
      <c r="AD273"/>
    </row>
    <row r="274" spans="1:30" x14ac:dyDescent="0.25">
      <c r="A274" s="5" t="s">
        <v>917</v>
      </c>
      <c r="B274" s="1" t="s">
        <v>6899</v>
      </c>
      <c r="C274" s="1" t="s">
        <v>12</v>
      </c>
      <c r="G274" s="1" t="s">
        <v>10</v>
      </c>
      <c r="J274" s="3">
        <v>45411.731736111113</v>
      </c>
      <c r="K274" s="2" t="s">
        <v>6369</v>
      </c>
      <c r="L274" s="1">
        <v>1</v>
      </c>
      <c r="M274" s="1">
        <v>1</v>
      </c>
      <c r="N274">
        <v>0</v>
      </c>
      <c r="O274" s="3">
        <f>IF(
    R274="Ancien",
    _xlfn.XLOOKUP(
        Final_Sans_VGE[[#This Row],[ppn_z]],
        tbl_Historique_Final[ppn_z],
        tbl_Historique_Final[Horodatage],
        ""
    ),
    Horodatage!$A$2
)</f>
        <v>46233.670796365739</v>
      </c>
      <c r="P274" s="1" t="str">
        <f>IFERROR(IF(tbl_Historique_Final[[#This Row],[Commentaires]]&lt;&gt;"",tbl_Historique_Final[[#This Row],[Commentaires]],""),"")</f>
        <v/>
      </c>
      <c r="X274" s="8" t="str">
        <f>IF(Final_Sans_VGE[[#This Row],[ppn_z]]="","",IFERROR(
   IF(_xlfn.XLOOKUP(Final_Sans_VGE[[#This Row],[ppn_z]],tbl_Historique_Final[ppn_z],tbl_Historique_Final[date_modif])=Final_Sans_VGE[[#This Row],[date_modif]],
      "Ancien",
      "Modifié"),
   "Nouveau"))</f>
        <v>Ancien</v>
      </c>
      <c r="AC274"/>
      <c r="AD274"/>
    </row>
    <row r="275" spans="1:30" x14ac:dyDescent="0.25">
      <c r="A275" s="5" t="s">
        <v>920</v>
      </c>
      <c r="B275" s="1" t="s">
        <v>6900</v>
      </c>
      <c r="C275" s="1" t="s">
        <v>12</v>
      </c>
      <c r="G275" s="1" t="s">
        <v>11</v>
      </c>
      <c r="J275" s="3">
        <v>45362.60497685185</v>
      </c>
      <c r="K275" s="2" t="s">
        <v>134</v>
      </c>
      <c r="L275" s="1">
        <v>1</v>
      </c>
      <c r="M275" s="1">
        <v>2</v>
      </c>
      <c r="N275">
        <v>1</v>
      </c>
      <c r="O275" s="3">
        <f>IF(
    R275="Ancien",
    _xlfn.XLOOKUP(
        Final_Sans_VGE[[#This Row],[ppn_z]],
        tbl_Historique_Final[ppn_z],
        tbl_Historique_Final[Horodatage],
        ""
    ),
    Horodatage!$A$2
)</f>
        <v>46233.670796365739</v>
      </c>
      <c r="P275" s="1" t="str">
        <f>IFERROR(IF(tbl_Historique_Final[[#This Row],[Commentaires]]&lt;&gt;"",tbl_Historique_Final[[#This Row],[Commentaires]],""),"")</f>
        <v/>
      </c>
      <c r="X275" s="8" t="str">
        <f>IF(Final_Sans_VGE[[#This Row],[ppn_z]]="","",IFERROR(
   IF(_xlfn.XLOOKUP(Final_Sans_VGE[[#This Row],[ppn_z]],tbl_Historique_Final[ppn_z],tbl_Historique_Final[date_modif])=Final_Sans_VGE[[#This Row],[date_modif]],
      "Ancien",
      "Modifié"),
   "Nouveau"))</f>
        <v>Ancien</v>
      </c>
      <c r="AC275"/>
      <c r="AD275"/>
    </row>
    <row r="276" spans="1:30" x14ac:dyDescent="0.25">
      <c r="A276" s="5" t="s">
        <v>923</v>
      </c>
      <c r="B276" s="1" t="s">
        <v>6901</v>
      </c>
      <c r="C276" s="1" t="s">
        <v>12</v>
      </c>
      <c r="G276" s="1" t="s">
        <v>10</v>
      </c>
      <c r="J276" s="3">
        <v>45359.409247685187</v>
      </c>
      <c r="K276" s="2" t="s">
        <v>6902</v>
      </c>
      <c r="L276" s="1">
        <v>2</v>
      </c>
      <c r="M276" s="1">
        <v>3</v>
      </c>
      <c r="N276">
        <v>1</v>
      </c>
      <c r="O276" s="3">
        <f>IF(
    R276="Ancien",
    _xlfn.XLOOKUP(
        Final_Sans_VGE[[#This Row],[ppn_z]],
        tbl_Historique_Final[ppn_z],
        tbl_Historique_Final[Horodatage],
        ""
    ),
    Horodatage!$A$2
)</f>
        <v>46233.670796365739</v>
      </c>
      <c r="P276" s="1" t="str">
        <f>IFERROR(IF(tbl_Historique_Final[[#This Row],[Commentaires]]&lt;&gt;"",tbl_Historique_Final[[#This Row],[Commentaires]],""),"")</f>
        <v/>
      </c>
      <c r="X276" s="8" t="str">
        <f>IF(Final_Sans_VGE[[#This Row],[ppn_z]]="","",IFERROR(
   IF(_xlfn.XLOOKUP(Final_Sans_VGE[[#This Row],[ppn_z]],tbl_Historique_Final[ppn_z],tbl_Historique_Final[date_modif])=Final_Sans_VGE[[#This Row],[date_modif]],
      "Ancien",
      "Modifié"),
   "Nouveau"))</f>
        <v>Ancien</v>
      </c>
      <c r="AC276"/>
      <c r="AD276"/>
    </row>
    <row r="277" spans="1:30" x14ac:dyDescent="0.25">
      <c r="A277" s="5" t="s">
        <v>926</v>
      </c>
      <c r="B277" s="1" t="s">
        <v>6903</v>
      </c>
      <c r="C277" s="1" t="s">
        <v>12</v>
      </c>
      <c r="G277" s="1" t="s">
        <v>11</v>
      </c>
      <c r="J277" s="3">
        <v>45383.568020833336</v>
      </c>
      <c r="K277" s="2" t="s">
        <v>6904</v>
      </c>
      <c r="L277" s="1">
        <v>1</v>
      </c>
      <c r="M277" s="1">
        <v>1</v>
      </c>
      <c r="N277">
        <v>0</v>
      </c>
      <c r="O277" s="3">
        <f>IF(
    R277="Ancien",
    _xlfn.XLOOKUP(
        Final_Sans_VGE[[#This Row],[ppn_z]],
        tbl_Historique_Final[ppn_z],
        tbl_Historique_Final[Horodatage],
        ""
    ),
    Horodatage!$A$2
)</f>
        <v>46233.670796365739</v>
      </c>
      <c r="P277" s="1" t="str">
        <f>IFERROR(IF(tbl_Historique_Final[[#This Row],[Commentaires]]&lt;&gt;"",tbl_Historique_Final[[#This Row],[Commentaires]],""),"")</f>
        <v/>
      </c>
      <c r="X277" s="8" t="str">
        <f>IF(Final_Sans_VGE[[#This Row],[ppn_z]]="","",IFERROR(
   IF(_xlfn.XLOOKUP(Final_Sans_VGE[[#This Row],[ppn_z]],tbl_Historique_Final[ppn_z],tbl_Historique_Final[date_modif])=Final_Sans_VGE[[#This Row],[date_modif]],
      "Ancien",
      "Modifié"),
   "Nouveau"))</f>
        <v>Ancien</v>
      </c>
      <c r="AC277"/>
      <c r="AD277"/>
    </row>
    <row r="278" spans="1:30" x14ac:dyDescent="0.25">
      <c r="A278" s="5" t="s">
        <v>929</v>
      </c>
      <c r="B278" s="1" t="s">
        <v>6905</v>
      </c>
      <c r="C278" s="1" t="s">
        <v>12</v>
      </c>
      <c r="G278" s="1" t="s">
        <v>10</v>
      </c>
      <c r="J278" s="3">
        <v>45383.819386574076</v>
      </c>
      <c r="K278" s="2" t="s">
        <v>6906</v>
      </c>
      <c r="L278" s="1">
        <v>1</v>
      </c>
      <c r="M278" s="1">
        <v>1</v>
      </c>
      <c r="N278">
        <v>0</v>
      </c>
      <c r="O278" s="3">
        <f>IF(
    R278="Ancien",
    _xlfn.XLOOKUP(
        Final_Sans_VGE[[#This Row],[ppn_z]],
        tbl_Historique_Final[ppn_z],
        tbl_Historique_Final[Horodatage],
        ""
    ),
    Horodatage!$A$2
)</f>
        <v>46233.670796365739</v>
      </c>
      <c r="P278" s="1" t="str">
        <f>IFERROR(IF(tbl_Historique_Final[[#This Row],[Commentaires]]&lt;&gt;"",tbl_Historique_Final[[#This Row],[Commentaires]],""),"")</f>
        <v/>
      </c>
      <c r="X278" s="8" t="str">
        <f>IF(Final_Sans_VGE[[#This Row],[ppn_z]]="","",IFERROR(
   IF(_xlfn.XLOOKUP(Final_Sans_VGE[[#This Row],[ppn_z]],tbl_Historique_Final[ppn_z],tbl_Historique_Final[date_modif])=Final_Sans_VGE[[#This Row],[date_modif]],
      "Ancien",
      "Modifié"),
   "Nouveau"))</f>
        <v>Ancien</v>
      </c>
      <c r="AC278"/>
      <c r="AD278"/>
    </row>
    <row r="279" spans="1:30" x14ac:dyDescent="0.25">
      <c r="A279" s="5" t="s">
        <v>932</v>
      </c>
      <c r="B279" s="1" t="s">
        <v>6907</v>
      </c>
      <c r="C279" s="1" t="s">
        <v>12</v>
      </c>
      <c r="G279" s="1" t="s">
        <v>11</v>
      </c>
      <c r="J279" s="3">
        <v>45362.721643518518</v>
      </c>
      <c r="K279" s="2" t="s">
        <v>6908</v>
      </c>
      <c r="L279" s="1">
        <v>2</v>
      </c>
      <c r="M279" s="1">
        <v>2</v>
      </c>
      <c r="N279">
        <v>0</v>
      </c>
      <c r="O279" s="3">
        <f>IF(
    R279="Ancien",
    _xlfn.XLOOKUP(
        Final_Sans_VGE[[#This Row],[ppn_z]],
        tbl_Historique_Final[ppn_z],
        tbl_Historique_Final[Horodatage],
        ""
    ),
    Horodatage!$A$2
)</f>
        <v>46233.670796365739</v>
      </c>
      <c r="P279" s="1" t="str">
        <f>IFERROR(IF(tbl_Historique_Final[[#This Row],[Commentaires]]&lt;&gt;"",tbl_Historique_Final[[#This Row],[Commentaires]],""),"")</f>
        <v/>
      </c>
      <c r="X279" s="8" t="str">
        <f>IF(Final_Sans_VGE[[#This Row],[ppn_z]]="","",IFERROR(
   IF(_xlfn.XLOOKUP(Final_Sans_VGE[[#This Row],[ppn_z]],tbl_Historique_Final[ppn_z],tbl_Historique_Final[date_modif])=Final_Sans_VGE[[#This Row],[date_modif]],
      "Ancien",
      "Modifié"),
   "Nouveau"))</f>
        <v>Ancien</v>
      </c>
      <c r="AC279"/>
      <c r="AD279"/>
    </row>
    <row r="280" spans="1:30" x14ac:dyDescent="0.25">
      <c r="A280" s="5" t="s">
        <v>935</v>
      </c>
      <c r="B280" s="1" t="s">
        <v>6909</v>
      </c>
      <c r="C280" s="1" t="s">
        <v>12</v>
      </c>
      <c r="G280" s="1" t="s">
        <v>10</v>
      </c>
      <c r="J280" s="3">
        <v>45388.032731481479</v>
      </c>
      <c r="K280" s="2" t="s">
        <v>6910</v>
      </c>
      <c r="L280" s="1">
        <v>1</v>
      </c>
      <c r="M280" s="1">
        <v>1</v>
      </c>
      <c r="N280">
        <v>0</v>
      </c>
      <c r="O280" s="3">
        <f>IF(
    R280="Ancien",
    _xlfn.XLOOKUP(
        Final_Sans_VGE[[#This Row],[ppn_z]],
        tbl_Historique_Final[ppn_z],
        tbl_Historique_Final[Horodatage],
        ""
    ),
    Horodatage!$A$2
)</f>
        <v>46233.670796365739</v>
      </c>
      <c r="P280" s="1" t="str">
        <f>IFERROR(IF(tbl_Historique_Final[[#This Row],[Commentaires]]&lt;&gt;"",tbl_Historique_Final[[#This Row],[Commentaires]],""),"")</f>
        <v/>
      </c>
      <c r="X280" s="8" t="str">
        <f>IF(Final_Sans_VGE[[#This Row],[ppn_z]]="","",IFERROR(
   IF(_xlfn.XLOOKUP(Final_Sans_VGE[[#This Row],[ppn_z]],tbl_Historique_Final[ppn_z],tbl_Historique_Final[date_modif])=Final_Sans_VGE[[#This Row],[date_modif]],
      "Ancien",
      "Modifié"),
   "Nouveau"))</f>
        <v>Ancien</v>
      </c>
      <c r="AC280"/>
      <c r="AD280"/>
    </row>
    <row r="281" spans="1:30" ht="30" x14ac:dyDescent="0.25">
      <c r="A281" s="5" t="s">
        <v>938</v>
      </c>
      <c r="B281" s="1" t="s">
        <v>6911</v>
      </c>
      <c r="C281" s="1" t="s">
        <v>12</v>
      </c>
      <c r="G281" s="1" t="s">
        <v>10</v>
      </c>
      <c r="J281" s="3">
        <v>45384.399583333332</v>
      </c>
      <c r="K281" s="2" t="s">
        <v>6912</v>
      </c>
      <c r="L281" s="1">
        <v>10</v>
      </c>
      <c r="M281" s="1">
        <v>10</v>
      </c>
      <c r="N281">
        <v>0</v>
      </c>
      <c r="O281" s="3">
        <f>IF(
    R281="Ancien",
    _xlfn.XLOOKUP(
        Final_Sans_VGE[[#This Row],[ppn_z]],
        tbl_Historique_Final[ppn_z],
        tbl_Historique_Final[Horodatage],
        ""
    ),
    Horodatage!$A$2
)</f>
        <v>46233.670796365739</v>
      </c>
      <c r="P281" s="1" t="str">
        <f>IFERROR(IF(tbl_Historique_Final[[#This Row],[Commentaires]]&lt;&gt;"",tbl_Historique_Final[[#This Row],[Commentaires]],""),"")</f>
        <v/>
      </c>
      <c r="X281" s="8" t="str">
        <f>IF(Final_Sans_VGE[[#This Row],[ppn_z]]="","",IFERROR(
   IF(_xlfn.XLOOKUP(Final_Sans_VGE[[#This Row],[ppn_z]],tbl_Historique_Final[ppn_z],tbl_Historique_Final[date_modif])=Final_Sans_VGE[[#This Row],[date_modif]],
      "Ancien",
      "Modifié"),
   "Nouveau"))</f>
        <v>Ancien</v>
      </c>
      <c r="AC281"/>
      <c r="AD281"/>
    </row>
    <row r="282" spans="1:30" x14ac:dyDescent="0.25">
      <c r="A282" s="5" t="s">
        <v>941</v>
      </c>
      <c r="B282" s="1" t="s">
        <v>6913</v>
      </c>
      <c r="C282" s="1" t="s">
        <v>12</v>
      </c>
      <c r="G282" s="1" t="s">
        <v>11</v>
      </c>
      <c r="J282" s="3">
        <v>45383.569432870368</v>
      </c>
      <c r="K282" s="2" t="s">
        <v>6914</v>
      </c>
      <c r="L282" s="1">
        <v>2</v>
      </c>
      <c r="M282" s="1">
        <v>2</v>
      </c>
      <c r="N282">
        <v>0</v>
      </c>
      <c r="O282" s="3">
        <f>IF(
    R282="Ancien",
    _xlfn.XLOOKUP(
        Final_Sans_VGE[[#This Row],[ppn_z]],
        tbl_Historique_Final[ppn_z],
        tbl_Historique_Final[Horodatage],
        ""
    ),
    Horodatage!$A$2
)</f>
        <v>46233.670796365739</v>
      </c>
      <c r="P282" s="1" t="str">
        <f>IFERROR(IF(tbl_Historique_Final[[#This Row],[Commentaires]]&lt;&gt;"",tbl_Historique_Final[[#This Row],[Commentaires]],""),"")</f>
        <v/>
      </c>
      <c r="X282" s="8" t="str">
        <f>IF(Final_Sans_VGE[[#This Row],[ppn_z]]="","",IFERROR(
   IF(_xlfn.XLOOKUP(Final_Sans_VGE[[#This Row],[ppn_z]],tbl_Historique_Final[ppn_z],tbl_Historique_Final[date_modif])=Final_Sans_VGE[[#This Row],[date_modif]],
      "Ancien",
      "Modifié"),
   "Nouveau"))</f>
        <v>Ancien</v>
      </c>
      <c r="AC282"/>
      <c r="AD282"/>
    </row>
    <row r="283" spans="1:30" x14ac:dyDescent="0.25">
      <c r="A283" s="5" t="s">
        <v>944</v>
      </c>
      <c r="B283" s="1" t="s">
        <v>6915</v>
      </c>
      <c r="C283" s="1" t="s">
        <v>70</v>
      </c>
      <c r="G283" s="1" t="s">
        <v>10</v>
      </c>
      <c r="J283" s="3">
        <v>45393.715983796297</v>
      </c>
      <c r="K283" s="2" t="s">
        <v>6916</v>
      </c>
      <c r="L283" s="1">
        <v>8</v>
      </c>
      <c r="M283" s="1">
        <v>8</v>
      </c>
      <c r="N283">
        <v>0</v>
      </c>
      <c r="O283" s="3">
        <f>IF(
    R283="Ancien",
    _xlfn.XLOOKUP(
        Final_Sans_VGE[[#This Row],[ppn_z]],
        tbl_Historique_Final[ppn_z],
        tbl_Historique_Final[Horodatage],
        ""
    ),
    Horodatage!$A$2
)</f>
        <v>46233.670796365739</v>
      </c>
      <c r="P283" s="1" t="str">
        <f>IFERROR(IF(tbl_Historique_Final[[#This Row],[Commentaires]]&lt;&gt;"",tbl_Historique_Final[[#This Row],[Commentaires]],""),"")</f>
        <v/>
      </c>
      <c r="X283" s="8" t="str">
        <f>IF(Final_Sans_VGE[[#This Row],[ppn_z]]="","",IFERROR(
   IF(_xlfn.XLOOKUP(Final_Sans_VGE[[#This Row],[ppn_z]],tbl_Historique_Final[ppn_z],tbl_Historique_Final[date_modif])=Final_Sans_VGE[[#This Row],[date_modif]],
      "Ancien",
      "Modifié"),
   "Nouveau"))</f>
        <v>Ancien</v>
      </c>
      <c r="AC283"/>
      <c r="AD283"/>
    </row>
    <row r="284" spans="1:30" x14ac:dyDescent="0.25">
      <c r="A284" s="5" t="s">
        <v>947</v>
      </c>
      <c r="B284" s="1" t="s">
        <v>6917</v>
      </c>
      <c r="C284" s="1" t="s">
        <v>84</v>
      </c>
      <c r="J284" s="3">
        <v>45356.973541666666</v>
      </c>
      <c r="L284" s="1">
        <v>2</v>
      </c>
      <c r="M284" s="1">
        <v>2</v>
      </c>
      <c r="N284">
        <v>0</v>
      </c>
      <c r="O284" s="3">
        <f>IF(
    R284="Ancien",
    _xlfn.XLOOKUP(
        Final_Sans_VGE[[#This Row],[ppn_z]],
        tbl_Historique_Final[ppn_z],
        tbl_Historique_Final[Horodatage],
        ""
    ),
    Horodatage!$A$2
)</f>
        <v>46233.670796365739</v>
      </c>
      <c r="P284" s="1" t="str">
        <f>IFERROR(IF(tbl_Historique_Final[[#This Row],[Commentaires]]&lt;&gt;"",tbl_Historique_Final[[#This Row],[Commentaires]],""),"")</f>
        <v/>
      </c>
      <c r="X284" s="8" t="str">
        <f>IF(Final_Sans_VGE[[#This Row],[ppn_z]]="","",IFERROR(
   IF(_xlfn.XLOOKUP(Final_Sans_VGE[[#This Row],[ppn_z]],tbl_Historique_Final[ppn_z],tbl_Historique_Final[date_modif])=Final_Sans_VGE[[#This Row],[date_modif]],
      "Ancien",
      "Modifié"),
   "Nouveau"))</f>
        <v>Ancien</v>
      </c>
      <c r="AC284"/>
      <c r="AD284"/>
    </row>
    <row r="285" spans="1:30" ht="30" x14ac:dyDescent="0.25">
      <c r="A285" s="5" t="s">
        <v>950</v>
      </c>
      <c r="B285" s="1" t="s">
        <v>6918</v>
      </c>
      <c r="C285" s="1" t="s">
        <v>68</v>
      </c>
      <c r="G285" s="1" t="s">
        <v>10</v>
      </c>
      <c r="J285" s="3">
        <v>45414.46366898148</v>
      </c>
      <c r="K285" s="2" t="s">
        <v>6919</v>
      </c>
      <c r="L285" s="1">
        <v>1</v>
      </c>
      <c r="M285" s="1">
        <v>1</v>
      </c>
      <c r="N285">
        <v>0</v>
      </c>
      <c r="O285" s="3">
        <f>IF(
    R285="Ancien",
    _xlfn.XLOOKUP(
        Final_Sans_VGE[[#This Row],[ppn_z]],
        tbl_Historique_Final[ppn_z],
        tbl_Historique_Final[Horodatage],
        ""
    ),
    Horodatage!$A$2
)</f>
        <v>46233.670796365739</v>
      </c>
      <c r="P285" s="1" t="str">
        <f>IFERROR(IF(tbl_Historique_Final[[#This Row],[Commentaires]]&lt;&gt;"",tbl_Historique_Final[[#This Row],[Commentaires]],""),"")</f>
        <v/>
      </c>
      <c r="X285" s="8" t="str">
        <f>IF(Final_Sans_VGE[[#This Row],[ppn_z]]="","",IFERROR(
   IF(_xlfn.XLOOKUP(Final_Sans_VGE[[#This Row],[ppn_z]],tbl_Historique_Final[ppn_z],tbl_Historique_Final[date_modif])=Final_Sans_VGE[[#This Row],[date_modif]],
      "Ancien",
      "Modifié"),
   "Nouveau"))</f>
        <v>Ancien</v>
      </c>
      <c r="AC285"/>
      <c r="AD285"/>
    </row>
    <row r="286" spans="1:30" x14ac:dyDescent="0.25">
      <c r="A286" s="5" t="s">
        <v>953</v>
      </c>
      <c r="B286" s="1" t="s">
        <v>6920</v>
      </c>
      <c r="C286" s="1" t="s">
        <v>12</v>
      </c>
      <c r="G286" s="1" t="s">
        <v>11</v>
      </c>
      <c r="J286" s="3">
        <v>45357.362719907411</v>
      </c>
      <c r="K286" s="2" t="s">
        <v>6921</v>
      </c>
      <c r="L286" s="1">
        <v>2</v>
      </c>
      <c r="M286" s="1">
        <v>2</v>
      </c>
      <c r="N286">
        <v>0</v>
      </c>
      <c r="O286" s="3">
        <f>IF(
    R286="Ancien",
    _xlfn.XLOOKUP(
        Final_Sans_VGE[[#This Row],[ppn_z]],
        tbl_Historique_Final[ppn_z],
        tbl_Historique_Final[Horodatage],
        ""
    ),
    Horodatage!$A$2
)</f>
        <v>46233.670796365739</v>
      </c>
      <c r="P286" s="1" t="str">
        <f>IFERROR(IF(tbl_Historique_Final[[#This Row],[Commentaires]]&lt;&gt;"",tbl_Historique_Final[[#This Row],[Commentaires]],""),"")</f>
        <v/>
      </c>
      <c r="X286" s="8" t="str">
        <f>IF(Final_Sans_VGE[[#This Row],[ppn_z]]="","",IFERROR(
   IF(_xlfn.XLOOKUP(Final_Sans_VGE[[#This Row],[ppn_z]],tbl_Historique_Final[ppn_z],tbl_Historique_Final[date_modif])=Final_Sans_VGE[[#This Row],[date_modif]],
      "Ancien",
      "Modifié"),
   "Nouveau"))</f>
        <v>Ancien</v>
      </c>
      <c r="AC286"/>
      <c r="AD286"/>
    </row>
    <row r="287" spans="1:30" x14ac:dyDescent="0.25">
      <c r="A287" s="5" t="s">
        <v>959</v>
      </c>
      <c r="B287" s="1" t="s">
        <v>6922</v>
      </c>
      <c r="C287" s="1" t="s">
        <v>85</v>
      </c>
      <c r="G287" s="1" t="s">
        <v>10</v>
      </c>
      <c r="J287" s="3">
        <v>45359.292534722219</v>
      </c>
      <c r="K287" s="2" t="s">
        <v>6923</v>
      </c>
      <c r="L287" s="1">
        <v>3</v>
      </c>
      <c r="M287" s="1">
        <v>3</v>
      </c>
      <c r="N287">
        <v>0</v>
      </c>
      <c r="O287" s="3">
        <f>IF(
    R287="Ancien",
    _xlfn.XLOOKUP(
        Final_Sans_VGE[[#This Row],[ppn_z]],
        tbl_Historique_Final[ppn_z],
        tbl_Historique_Final[Horodatage],
        ""
    ),
    Horodatage!$A$2
)</f>
        <v>46233.670796365739</v>
      </c>
      <c r="P287" s="1" t="str">
        <f>IFERROR(IF(tbl_Historique_Final[[#This Row],[Commentaires]]&lt;&gt;"",tbl_Historique_Final[[#This Row],[Commentaires]],""),"")</f>
        <v/>
      </c>
      <c r="X287" s="8" t="str">
        <f>IF(Final_Sans_VGE[[#This Row],[ppn_z]]="","",IFERROR(
   IF(_xlfn.XLOOKUP(Final_Sans_VGE[[#This Row],[ppn_z]],tbl_Historique_Final[ppn_z],tbl_Historique_Final[date_modif])=Final_Sans_VGE[[#This Row],[date_modif]],
      "Ancien",
      "Modifié"),
   "Nouveau"))</f>
        <v>Ancien</v>
      </c>
      <c r="AC287"/>
      <c r="AD287"/>
    </row>
    <row r="288" spans="1:30" x14ac:dyDescent="0.25">
      <c r="A288" s="5" t="s">
        <v>962</v>
      </c>
      <c r="B288" s="1" t="s">
        <v>6924</v>
      </c>
      <c r="C288" s="1" t="s">
        <v>12</v>
      </c>
      <c r="G288" s="1" t="s">
        <v>10</v>
      </c>
      <c r="J288" s="3">
        <v>45359.471724537034</v>
      </c>
      <c r="K288" s="2" t="s">
        <v>6925</v>
      </c>
      <c r="L288" s="1">
        <v>1</v>
      </c>
      <c r="M288" s="1">
        <v>1</v>
      </c>
      <c r="N288">
        <v>0</v>
      </c>
      <c r="O288" s="3">
        <f>IF(
    R288="Ancien",
    _xlfn.XLOOKUP(
        Final_Sans_VGE[[#This Row],[ppn_z]],
        tbl_Historique_Final[ppn_z],
        tbl_Historique_Final[Horodatage],
        ""
    ),
    Horodatage!$A$2
)</f>
        <v>46233.670796365739</v>
      </c>
      <c r="P288" s="1" t="str">
        <f>IFERROR(IF(tbl_Historique_Final[[#This Row],[Commentaires]]&lt;&gt;"",tbl_Historique_Final[[#This Row],[Commentaires]],""),"")</f>
        <v/>
      </c>
      <c r="X288" s="8" t="str">
        <f>IF(Final_Sans_VGE[[#This Row],[ppn_z]]="","",IFERROR(
   IF(_xlfn.XLOOKUP(Final_Sans_VGE[[#This Row],[ppn_z]],tbl_Historique_Final[ppn_z],tbl_Historique_Final[date_modif])=Final_Sans_VGE[[#This Row],[date_modif]],
      "Ancien",
      "Modifié"),
   "Nouveau"))</f>
        <v>Ancien</v>
      </c>
      <c r="AC288"/>
      <c r="AD288"/>
    </row>
    <row r="289" spans="1:30" x14ac:dyDescent="0.25">
      <c r="A289" s="5" t="s">
        <v>965</v>
      </c>
      <c r="B289" s="1" t="s">
        <v>6926</v>
      </c>
      <c r="C289" s="1" t="s">
        <v>12</v>
      </c>
      <c r="G289" s="1" t="s">
        <v>10</v>
      </c>
      <c r="J289" s="3">
        <v>45383.82340277778</v>
      </c>
      <c r="K289" s="2" t="s">
        <v>6927</v>
      </c>
      <c r="L289" s="1">
        <v>2</v>
      </c>
      <c r="M289" s="1">
        <v>2</v>
      </c>
      <c r="N289">
        <v>0</v>
      </c>
      <c r="O289" s="3">
        <f>IF(
    R289="Ancien",
    _xlfn.XLOOKUP(
        Final_Sans_VGE[[#This Row],[ppn_z]],
        tbl_Historique_Final[ppn_z],
        tbl_Historique_Final[Horodatage],
        ""
    ),
    Horodatage!$A$2
)</f>
        <v>46233.670796365739</v>
      </c>
      <c r="P289" s="1" t="str">
        <f>IFERROR(IF(tbl_Historique_Final[[#This Row],[Commentaires]]&lt;&gt;"",tbl_Historique_Final[[#This Row],[Commentaires]],""),"")</f>
        <v/>
      </c>
      <c r="X289" s="8" t="str">
        <f>IF(Final_Sans_VGE[[#This Row],[ppn_z]]="","",IFERROR(
   IF(_xlfn.XLOOKUP(Final_Sans_VGE[[#This Row],[ppn_z]],tbl_Historique_Final[ppn_z],tbl_Historique_Final[date_modif])=Final_Sans_VGE[[#This Row],[date_modif]],
      "Ancien",
      "Modifié"),
   "Nouveau"))</f>
        <v>Ancien</v>
      </c>
      <c r="AC289"/>
      <c r="AD289"/>
    </row>
    <row r="290" spans="1:30" x14ac:dyDescent="0.25">
      <c r="A290" s="5" t="s">
        <v>968</v>
      </c>
      <c r="B290" s="1" t="s">
        <v>6928</v>
      </c>
      <c r="C290" s="1" t="s">
        <v>12</v>
      </c>
      <c r="G290" s="1" t="s">
        <v>10</v>
      </c>
      <c r="J290" s="3">
        <v>45356.644004629627</v>
      </c>
      <c r="K290" s="2" t="s">
        <v>6929</v>
      </c>
      <c r="L290" s="1">
        <v>2</v>
      </c>
      <c r="M290" s="1">
        <v>2</v>
      </c>
      <c r="N290">
        <v>0</v>
      </c>
      <c r="O290" s="3">
        <f>IF(
    R290="Ancien",
    _xlfn.XLOOKUP(
        Final_Sans_VGE[[#This Row],[ppn_z]],
        tbl_Historique_Final[ppn_z],
        tbl_Historique_Final[Horodatage],
        ""
    ),
    Horodatage!$A$2
)</f>
        <v>46233.670796365739</v>
      </c>
      <c r="P290" s="1" t="str">
        <f>IFERROR(IF(tbl_Historique_Final[[#This Row],[Commentaires]]&lt;&gt;"",tbl_Historique_Final[[#This Row],[Commentaires]],""),"")</f>
        <v/>
      </c>
      <c r="X290" s="8" t="str">
        <f>IF(Final_Sans_VGE[[#This Row],[ppn_z]]="","",IFERROR(
   IF(_xlfn.XLOOKUP(Final_Sans_VGE[[#This Row],[ppn_z]],tbl_Historique_Final[ppn_z],tbl_Historique_Final[date_modif])=Final_Sans_VGE[[#This Row],[date_modif]],
      "Ancien",
      "Modifié"),
   "Nouveau"))</f>
        <v>Ancien</v>
      </c>
      <c r="AC290"/>
      <c r="AD290"/>
    </row>
    <row r="291" spans="1:30" ht="45" x14ac:dyDescent="0.25">
      <c r="A291" s="5" t="s">
        <v>971</v>
      </c>
      <c r="B291" s="1" t="s">
        <v>6930</v>
      </c>
      <c r="C291" s="1" t="s">
        <v>37</v>
      </c>
      <c r="G291" s="1" t="s">
        <v>11</v>
      </c>
      <c r="J291" s="3">
        <v>45406.589884259258</v>
      </c>
      <c r="K291" s="2" t="s">
        <v>6931</v>
      </c>
      <c r="L291" s="1">
        <v>1</v>
      </c>
      <c r="M291" s="1">
        <v>1</v>
      </c>
      <c r="N291">
        <v>0</v>
      </c>
      <c r="O291" s="3">
        <f>IF(
    R291="Ancien",
    _xlfn.XLOOKUP(
        Final_Sans_VGE[[#This Row],[ppn_z]],
        tbl_Historique_Final[ppn_z],
        tbl_Historique_Final[Horodatage],
        ""
    ),
    Horodatage!$A$2
)</f>
        <v>46233.670796365739</v>
      </c>
      <c r="P291" s="1" t="str">
        <f>IFERROR(IF(tbl_Historique_Final[[#This Row],[Commentaires]]&lt;&gt;"",tbl_Historique_Final[[#This Row],[Commentaires]],""),"")</f>
        <v/>
      </c>
      <c r="X291" s="8" t="str">
        <f>IF(Final_Sans_VGE[[#This Row],[ppn_z]]="","",IFERROR(
   IF(_xlfn.XLOOKUP(Final_Sans_VGE[[#This Row],[ppn_z]],tbl_Historique_Final[ppn_z],tbl_Historique_Final[date_modif])=Final_Sans_VGE[[#This Row],[date_modif]],
      "Ancien",
      "Modifié"),
   "Nouveau"))</f>
        <v>Ancien</v>
      </c>
      <c r="AC291"/>
      <c r="AD291"/>
    </row>
    <row r="292" spans="1:30" x14ac:dyDescent="0.25">
      <c r="A292" s="5" t="s">
        <v>974</v>
      </c>
      <c r="B292" s="1" t="s">
        <v>6932</v>
      </c>
      <c r="C292" s="1" t="s">
        <v>12</v>
      </c>
      <c r="G292" s="1" t="s">
        <v>10</v>
      </c>
      <c r="J292" s="3">
        <v>45356.614351851851</v>
      </c>
      <c r="K292" s="2" t="s">
        <v>6933</v>
      </c>
      <c r="L292" s="1">
        <v>1</v>
      </c>
      <c r="M292" s="1">
        <v>2</v>
      </c>
      <c r="N292">
        <v>1</v>
      </c>
      <c r="O292" s="3">
        <f>IF(
    R292="Ancien",
    _xlfn.XLOOKUP(
        Final_Sans_VGE[[#This Row],[ppn_z]],
        tbl_Historique_Final[ppn_z],
        tbl_Historique_Final[Horodatage],
        ""
    ),
    Horodatage!$A$2
)</f>
        <v>46233.670796365739</v>
      </c>
      <c r="P292" s="1" t="str">
        <f>IFERROR(IF(tbl_Historique_Final[[#This Row],[Commentaires]]&lt;&gt;"",tbl_Historique_Final[[#This Row],[Commentaires]],""),"")</f>
        <v/>
      </c>
      <c r="X292" s="8" t="str">
        <f>IF(Final_Sans_VGE[[#This Row],[ppn_z]]="","",IFERROR(
   IF(_xlfn.XLOOKUP(Final_Sans_VGE[[#This Row],[ppn_z]],tbl_Historique_Final[ppn_z],tbl_Historique_Final[date_modif])=Final_Sans_VGE[[#This Row],[date_modif]],
      "Ancien",
      "Modifié"),
   "Nouveau"))</f>
        <v>Ancien</v>
      </c>
      <c r="AC292"/>
      <c r="AD292"/>
    </row>
    <row r="293" spans="1:30" x14ac:dyDescent="0.25">
      <c r="A293" s="5" t="s">
        <v>977</v>
      </c>
      <c r="B293" s="1" t="s">
        <v>6934</v>
      </c>
      <c r="C293" s="1" t="s">
        <v>81</v>
      </c>
      <c r="G293" s="1" t="s">
        <v>10</v>
      </c>
      <c r="J293" s="3">
        <v>45357.453229166669</v>
      </c>
      <c r="K293" s="2" t="s">
        <v>6935</v>
      </c>
      <c r="L293" s="1">
        <v>4</v>
      </c>
      <c r="M293" s="1">
        <v>4</v>
      </c>
      <c r="N293">
        <v>0</v>
      </c>
      <c r="O293" s="3">
        <f>IF(
    R293="Ancien",
    _xlfn.XLOOKUP(
        Final_Sans_VGE[[#This Row],[ppn_z]],
        tbl_Historique_Final[ppn_z],
        tbl_Historique_Final[Horodatage],
        ""
    ),
    Horodatage!$A$2
)</f>
        <v>46233.670796365739</v>
      </c>
      <c r="P293" s="1" t="str">
        <f>IFERROR(IF(tbl_Historique_Final[[#This Row],[Commentaires]]&lt;&gt;"",tbl_Historique_Final[[#This Row],[Commentaires]],""),"")</f>
        <v/>
      </c>
      <c r="X293" s="8" t="str">
        <f>IF(Final_Sans_VGE[[#This Row],[ppn_z]]="","",IFERROR(
   IF(_xlfn.XLOOKUP(Final_Sans_VGE[[#This Row],[ppn_z]],tbl_Historique_Final[ppn_z],tbl_Historique_Final[date_modif])=Final_Sans_VGE[[#This Row],[date_modif]],
      "Ancien",
      "Modifié"),
   "Nouveau"))</f>
        <v>Ancien</v>
      </c>
      <c r="AC293"/>
      <c r="AD293"/>
    </row>
    <row r="294" spans="1:30" x14ac:dyDescent="0.25">
      <c r="A294" s="5" t="s">
        <v>980</v>
      </c>
      <c r="B294" s="1" t="s">
        <v>6936</v>
      </c>
      <c r="C294" s="1" t="s">
        <v>12</v>
      </c>
      <c r="G294" s="1" t="s">
        <v>10</v>
      </c>
      <c r="J294" s="3">
        <v>45358.517638888887</v>
      </c>
      <c r="K294" s="2" t="s">
        <v>6937</v>
      </c>
      <c r="L294" s="1">
        <v>2</v>
      </c>
      <c r="M294" s="1">
        <v>2</v>
      </c>
      <c r="N294">
        <v>0</v>
      </c>
      <c r="O294" s="3">
        <f>IF(
    R294="Ancien",
    _xlfn.XLOOKUP(
        Final_Sans_VGE[[#This Row],[ppn_z]],
        tbl_Historique_Final[ppn_z],
        tbl_Historique_Final[Horodatage],
        ""
    ),
    Horodatage!$A$2
)</f>
        <v>46233.670796365739</v>
      </c>
      <c r="P294" s="1" t="str">
        <f>IFERROR(IF(tbl_Historique_Final[[#This Row],[Commentaires]]&lt;&gt;"",tbl_Historique_Final[[#This Row],[Commentaires]],""),"")</f>
        <v/>
      </c>
      <c r="X294" s="8" t="str">
        <f>IF(Final_Sans_VGE[[#This Row],[ppn_z]]="","",IFERROR(
   IF(_xlfn.XLOOKUP(Final_Sans_VGE[[#This Row],[ppn_z]],tbl_Historique_Final[ppn_z],tbl_Historique_Final[date_modif])=Final_Sans_VGE[[#This Row],[date_modif]],
      "Ancien",
      "Modifié"),
   "Nouveau"))</f>
        <v>Ancien</v>
      </c>
      <c r="AC294"/>
      <c r="AD294"/>
    </row>
    <row r="295" spans="1:30" x14ac:dyDescent="0.25">
      <c r="A295" s="5" t="s">
        <v>983</v>
      </c>
      <c r="B295" s="1" t="s">
        <v>6938</v>
      </c>
      <c r="C295" s="1" t="s">
        <v>12</v>
      </c>
      <c r="G295" s="1" t="s">
        <v>11</v>
      </c>
      <c r="J295" s="3">
        <v>45384.067881944444</v>
      </c>
      <c r="K295" s="2" t="s">
        <v>6939</v>
      </c>
      <c r="L295" s="1">
        <v>1</v>
      </c>
      <c r="M295" s="1">
        <v>1</v>
      </c>
      <c r="N295">
        <v>0</v>
      </c>
      <c r="O295" s="3">
        <f>IF(
    R295="Ancien",
    _xlfn.XLOOKUP(
        Final_Sans_VGE[[#This Row],[ppn_z]],
        tbl_Historique_Final[ppn_z],
        tbl_Historique_Final[Horodatage],
        ""
    ),
    Horodatage!$A$2
)</f>
        <v>46233.670796365739</v>
      </c>
      <c r="P295" s="1" t="str">
        <f>IFERROR(IF(tbl_Historique_Final[[#This Row],[Commentaires]]&lt;&gt;"",tbl_Historique_Final[[#This Row],[Commentaires]],""),"")</f>
        <v/>
      </c>
      <c r="X295" s="8" t="str">
        <f>IF(Final_Sans_VGE[[#This Row],[ppn_z]]="","",IFERROR(
   IF(_xlfn.XLOOKUP(Final_Sans_VGE[[#This Row],[ppn_z]],tbl_Historique_Final[ppn_z],tbl_Historique_Final[date_modif])=Final_Sans_VGE[[#This Row],[date_modif]],
      "Ancien",
      "Modifié"),
   "Nouveau"))</f>
        <v>Ancien</v>
      </c>
      <c r="AC295"/>
      <c r="AD295"/>
    </row>
    <row r="296" spans="1:30" x14ac:dyDescent="0.25">
      <c r="A296" s="5" t="s">
        <v>986</v>
      </c>
      <c r="B296" s="1" t="s">
        <v>6940</v>
      </c>
      <c r="C296" s="1" t="s">
        <v>58</v>
      </c>
      <c r="G296" s="1" t="s">
        <v>10</v>
      </c>
      <c r="J296" s="3">
        <v>45356.761087962965</v>
      </c>
      <c r="K296" s="2" t="s">
        <v>6941</v>
      </c>
      <c r="L296" s="1">
        <v>1</v>
      </c>
      <c r="M296" s="1">
        <v>1</v>
      </c>
      <c r="N296">
        <v>0</v>
      </c>
      <c r="O296" s="3">
        <f>IF(
    R296="Ancien",
    _xlfn.XLOOKUP(
        Final_Sans_VGE[[#This Row],[ppn_z]],
        tbl_Historique_Final[ppn_z],
        tbl_Historique_Final[Horodatage],
        ""
    ),
    Horodatage!$A$2
)</f>
        <v>46233.670796365739</v>
      </c>
      <c r="P296" s="1" t="str">
        <f>IFERROR(IF(tbl_Historique_Final[[#This Row],[Commentaires]]&lt;&gt;"",tbl_Historique_Final[[#This Row],[Commentaires]],""),"")</f>
        <v/>
      </c>
      <c r="X296" s="8" t="str">
        <f>IF(Final_Sans_VGE[[#This Row],[ppn_z]]="","",IFERROR(
   IF(_xlfn.XLOOKUP(Final_Sans_VGE[[#This Row],[ppn_z]],tbl_Historique_Final[ppn_z],tbl_Historique_Final[date_modif])=Final_Sans_VGE[[#This Row],[date_modif]],
      "Ancien",
      "Modifié"),
   "Nouveau"))</f>
        <v>Ancien</v>
      </c>
      <c r="AC296"/>
      <c r="AD296"/>
    </row>
    <row r="297" spans="1:30" x14ac:dyDescent="0.25">
      <c r="A297" s="5" t="s">
        <v>992</v>
      </c>
      <c r="B297" s="1" t="s">
        <v>6942</v>
      </c>
      <c r="C297" s="1" t="s">
        <v>78</v>
      </c>
      <c r="G297" s="1" t="s">
        <v>10</v>
      </c>
      <c r="J297" s="3">
        <v>45358.327337962961</v>
      </c>
      <c r="K297" s="2" t="s">
        <v>6943</v>
      </c>
      <c r="L297" s="1">
        <v>1</v>
      </c>
      <c r="M297" s="1">
        <v>1</v>
      </c>
      <c r="N297">
        <v>0</v>
      </c>
      <c r="O297" s="3">
        <f>IF(
    R297="Ancien",
    _xlfn.XLOOKUP(
        Final_Sans_VGE[[#This Row],[ppn_z]],
        tbl_Historique_Final[ppn_z],
        tbl_Historique_Final[Horodatage],
        ""
    ),
    Horodatage!$A$2
)</f>
        <v>46233.670796365739</v>
      </c>
      <c r="P297" s="1" t="str">
        <f>IFERROR(IF(tbl_Historique_Final[[#This Row],[Commentaires]]&lt;&gt;"",tbl_Historique_Final[[#This Row],[Commentaires]],""),"")</f>
        <v/>
      </c>
      <c r="X297" s="8" t="str">
        <f>IF(Final_Sans_VGE[[#This Row],[ppn_z]]="","",IFERROR(
   IF(_xlfn.XLOOKUP(Final_Sans_VGE[[#This Row],[ppn_z]],tbl_Historique_Final[ppn_z],tbl_Historique_Final[date_modif])=Final_Sans_VGE[[#This Row],[date_modif]],
      "Ancien",
      "Modifié"),
   "Nouveau"))</f>
        <v>Ancien</v>
      </c>
      <c r="AC297"/>
      <c r="AD297"/>
    </row>
    <row r="298" spans="1:30" x14ac:dyDescent="0.25">
      <c r="A298" s="5" t="s">
        <v>995</v>
      </c>
      <c r="B298" s="1" t="s">
        <v>6944</v>
      </c>
      <c r="C298" s="1" t="s">
        <v>12</v>
      </c>
      <c r="G298" s="1" t="s">
        <v>11</v>
      </c>
      <c r="J298" s="3">
        <v>45377.630416666667</v>
      </c>
      <c r="K298" s="2" t="s">
        <v>6945</v>
      </c>
      <c r="L298" s="1">
        <v>1</v>
      </c>
      <c r="M298" s="1">
        <v>1</v>
      </c>
      <c r="N298">
        <v>0</v>
      </c>
      <c r="O298" s="3">
        <f>IF(
    R298="Ancien",
    _xlfn.XLOOKUP(
        Final_Sans_VGE[[#This Row],[ppn_z]],
        tbl_Historique_Final[ppn_z],
        tbl_Historique_Final[Horodatage],
        ""
    ),
    Horodatage!$A$2
)</f>
        <v>46233.670796365739</v>
      </c>
      <c r="P298" s="1" t="str">
        <f>IFERROR(IF(tbl_Historique_Final[[#This Row],[Commentaires]]&lt;&gt;"",tbl_Historique_Final[[#This Row],[Commentaires]],""),"")</f>
        <v/>
      </c>
      <c r="X298" s="8" t="str">
        <f>IF(Final_Sans_VGE[[#This Row],[ppn_z]]="","",IFERROR(
   IF(_xlfn.XLOOKUP(Final_Sans_VGE[[#This Row],[ppn_z]],tbl_Historique_Final[ppn_z],tbl_Historique_Final[date_modif])=Final_Sans_VGE[[#This Row],[date_modif]],
      "Ancien",
      "Modifié"),
   "Nouveau"))</f>
        <v>Ancien</v>
      </c>
      <c r="AC298"/>
      <c r="AD298"/>
    </row>
    <row r="299" spans="1:30" ht="30" x14ac:dyDescent="0.25">
      <c r="A299" s="5" t="s">
        <v>998</v>
      </c>
      <c r="B299" s="1" t="s">
        <v>6946</v>
      </c>
      <c r="C299" s="1" t="s">
        <v>12</v>
      </c>
      <c r="G299" s="1" t="s">
        <v>11</v>
      </c>
      <c r="J299" s="3">
        <v>45356.905439814815</v>
      </c>
      <c r="K299" s="2" t="s">
        <v>6947</v>
      </c>
      <c r="L299" s="1">
        <v>1</v>
      </c>
      <c r="M299" s="1">
        <v>1</v>
      </c>
      <c r="N299">
        <v>0</v>
      </c>
      <c r="O299" s="3">
        <f>IF(
    R299="Ancien",
    _xlfn.XLOOKUP(
        Final_Sans_VGE[[#This Row],[ppn_z]],
        tbl_Historique_Final[ppn_z],
        tbl_Historique_Final[Horodatage],
        ""
    ),
    Horodatage!$A$2
)</f>
        <v>46233.670796365739</v>
      </c>
      <c r="P299" s="1" t="str">
        <f>IFERROR(IF(tbl_Historique_Final[[#This Row],[Commentaires]]&lt;&gt;"",tbl_Historique_Final[[#This Row],[Commentaires]],""),"")</f>
        <v/>
      </c>
      <c r="X299" s="8" t="str">
        <f>IF(Final_Sans_VGE[[#This Row],[ppn_z]]="","",IFERROR(
   IF(_xlfn.XLOOKUP(Final_Sans_VGE[[#This Row],[ppn_z]],tbl_Historique_Final[ppn_z],tbl_Historique_Final[date_modif])=Final_Sans_VGE[[#This Row],[date_modif]],
      "Ancien",
      "Modifié"),
   "Nouveau"))</f>
        <v>Ancien</v>
      </c>
      <c r="AC299"/>
      <c r="AD299"/>
    </row>
    <row r="300" spans="1:30" x14ac:dyDescent="0.25">
      <c r="A300" s="5" t="s">
        <v>1001</v>
      </c>
      <c r="B300" s="1" t="s">
        <v>6948</v>
      </c>
      <c r="C300" s="1" t="s">
        <v>36</v>
      </c>
      <c r="G300" s="1" t="s">
        <v>11</v>
      </c>
      <c r="J300" s="3">
        <v>45384.132916666669</v>
      </c>
      <c r="K300" s="2" t="s">
        <v>6949</v>
      </c>
      <c r="L300" s="1">
        <v>6</v>
      </c>
      <c r="M300" s="1">
        <v>6</v>
      </c>
      <c r="N300">
        <v>0</v>
      </c>
      <c r="O300" s="3">
        <f>IF(
    R300="Ancien",
    _xlfn.XLOOKUP(
        Final_Sans_VGE[[#This Row],[ppn_z]],
        tbl_Historique_Final[ppn_z],
        tbl_Historique_Final[Horodatage],
        ""
    ),
    Horodatage!$A$2
)</f>
        <v>46233.670796365739</v>
      </c>
      <c r="P300" s="1" t="str">
        <f>IFERROR(IF(tbl_Historique_Final[[#This Row],[Commentaires]]&lt;&gt;"",tbl_Historique_Final[[#This Row],[Commentaires]],""),"")</f>
        <v/>
      </c>
      <c r="X300" s="8" t="str">
        <f>IF(Final_Sans_VGE[[#This Row],[ppn_z]]="","",IFERROR(
   IF(_xlfn.XLOOKUP(Final_Sans_VGE[[#This Row],[ppn_z]],tbl_Historique_Final[ppn_z],tbl_Historique_Final[date_modif])=Final_Sans_VGE[[#This Row],[date_modif]],
      "Ancien",
      "Modifié"),
   "Nouveau"))</f>
        <v>Ancien</v>
      </c>
      <c r="AC300"/>
      <c r="AD300"/>
    </row>
    <row r="301" spans="1:30" x14ac:dyDescent="0.25">
      <c r="A301" s="5" t="s">
        <v>1004</v>
      </c>
      <c r="B301" s="1" t="s">
        <v>6950</v>
      </c>
      <c r="C301" s="1" t="s">
        <v>12</v>
      </c>
      <c r="G301" s="1" t="s">
        <v>11</v>
      </c>
      <c r="J301" s="3">
        <v>45356.632164351853</v>
      </c>
      <c r="K301" s="2" t="s">
        <v>6951</v>
      </c>
      <c r="L301" s="1">
        <v>1</v>
      </c>
      <c r="M301" s="1">
        <v>1</v>
      </c>
      <c r="N301">
        <v>0</v>
      </c>
      <c r="O301" s="3">
        <f>IF(
    R301="Ancien",
    _xlfn.XLOOKUP(
        Final_Sans_VGE[[#This Row],[ppn_z]],
        tbl_Historique_Final[ppn_z],
        tbl_Historique_Final[Horodatage],
        ""
    ),
    Horodatage!$A$2
)</f>
        <v>46233.670796365739</v>
      </c>
      <c r="P301" s="1" t="str">
        <f>IFERROR(IF(tbl_Historique_Final[[#This Row],[Commentaires]]&lt;&gt;"",tbl_Historique_Final[[#This Row],[Commentaires]],""),"")</f>
        <v/>
      </c>
      <c r="X301" s="8" t="str">
        <f>IF(Final_Sans_VGE[[#This Row],[ppn_z]]="","",IFERROR(
   IF(_xlfn.XLOOKUP(Final_Sans_VGE[[#This Row],[ppn_z]],tbl_Historique_Final[ppn_z],tbl_Historique_Final[date_modif])=Final_Sans_VGE[[#This Row],[date_modif]],
      "Ancien",
      "Modifié"),
   "Nouveau"))</f>
        <v>Ancien</v>
      </c>
      <c r="AC301"/>
      <c r="AD301"/>
    </row>
    <row r="302" spans="1:30" ht="45" x14ac:dyDescent="0.25">
      <c r="A302" s="5" t="s">
        <v>1007</v>
      </c>
      <c r="B302" s="1" t="s">
        <v>6952</v>
      </c>
      <c r="C302" s="1" t="s">
        <v>83</v>
      </c>
      <c r="G302" s="1" t="s">
        <v>10</v>
      </c>
      <c r="J302" s="3">
        <v>45357.21230324074</v>
      </c>
      <c r="K302" s="2" t="s">
        <v>6953</v>
      </c>
      <c r="L302" s="1">
        <v>2</v>
      </c>
      <c r="M302" s="1">
        <v>2</v>
      </c>
      <c r="N302">
        <v>0</v>
      </c>
      <c r="O302" s="3">
        <f>IF(
    R302="Ancien",
    _xlfn.XLOOKUP(
        Final_Sans_VGE[[#This Row],[ppn_z]],
        tbl_Historique_Final[ppn_z],
        tbl_Historique_Final[Horodatage],
        ""
    ),
    Horodatage!$A$2
)</f>
        <v>46233.670796365739</v>
      </c>
      <c r="P302" s="1" t="str">
        <f>IFERROR(IF(tbl_Historique_Final[[#This Row],[Commentaires]]&lt;&gt;"",tbl_Historique_Final[[#This Row],[Commentaires]],""),"")</f>
        <v/>
      </c>
      <c r="X302" s="8" t="str">
        <f>IF(Final_Sans_VGE[[#This Row],[ppn_z]]="","",IFERROR(
   IF(_xlfn.XLOOKUP(Final_Sans_VGE[[#This Row],[ppn_z]],tbl_Historique_Final[ppn_z],tbl_Historique_Final[date_modif])=Final_Sans_VGE[[#This Row],[date_modif]],
      "Ancien",
      "Modifié"),
   "Nouveau"))</f>
        <v>Ancien</v>
      </c>
      <c r="AC302"/>
      <c r="AD302"/>
    </row>
    <row r="303" spans="1:30" x14ac:dyDescent="0.25">
      <c r="A303" s="5" t="s">
        <v>1010</v>
      </c>
      <c r="B303" s="1" t="s">
        <v>6954</v>
      </c>
      <c r="C303" s="1" t="s">
        <v>12</v>
      </c>
      <c r="G303" s="1" t="s">
        <v>11</v>
      </c>
      <c r="J303" s="3">
        <v>45362.004988425928</v>
      </c>
      <c r="K303" s="2" t="s">
        <v>6955</v>
      </c>
      <c r="L303" s="1">
        <v>1</v>
      </c>
      <c r="M303" s="1">
        <v>1</v>
      </c>
      <c r="N303">
        <v>0</v>
      </c>
      <c r="O303" s="3">
        <f>IF(
    R303="Ancien",
    _xlfn.XLOOKUP(
        Final_Sans_VGE[[#This Row],[ppn_z]],
        tbl_Historique_Final[ppn_z],
        tbl_Historique_Final[Horodatage],
        ""
    ),
    Horodatage!$A$2
)</f>
        <v>46233.670796365739</v>
      </c>
      <c r="P303" s="1" t="str">
        <f>IFERROR(IF(tbl_Historique_Final[[#This Row],[Commentaires]]&lt;&gt;"",tbl_Historique_Final[[#This Row],[Commentaires]],""),"")</f>
        <v/>
      </c>
      <c r="X303" s="8" t="str">
        <f>IF(Final_Sans_VGE[[#This Row],[ppn_z]]="","",IFERROR(
   IF(_xlfn.XLOOKUP(Final_Sans_VGE[[#This Row],[ppn_z]],tbl_Historique_Final[ppn_z],tbl_Historique_Final[date_modif])=Final_Sans_VGE[[#This Row],[date_modif]],
      "Ancien",
      "Modifié"),
   "Nouveau"))</f>
        <v>Ancien</v>
      </c>
      <c r="AC303"/>
      <c r="AD303"/>
    </row>
    <row r="304" spans="1:30" ht="30" x14ac:dyDescent="0.25">
      <c r="A304" s="5" t="s">
        <v>1013</v>
      </c>
      <c r="B304" s="1" t="s">
        <v>6956</v>
      </c>
      <c r="C304" s="1" t="s">
        <v>12</v>
      </c>
      <c r="G304" s="1" t="s">
        <v>10</v>
      </c>
      <c r="J304" s="3">
        <v>45359.444675925923</v>
      </c>
      <c r="K304" s="2" t="s">
        <v>6957</v>
      </c>
      <c r="L304" s="1">
        <v>2</v>
      </c>
      <c r="M304" s="1">
        <v>2</v>
      </c>
      <c r="N304">
        <v>0</v>
      </c>
      <c r="O304" s="3">
        <f>IF(
    R304="Ancien",
    _xlfn.XLOOKUP(
        Final_Sans_VGE[[#This Row],[ppn_z]],
        tbl_Historique_Final[ppn_z],
        tbl_Historique_Final[Horodatage],
        ""
    ),
    Horodatage!$A$2
)</f>
        <v>46233.670796365739</v>
      </c>
      <c r="P304" s="1" t="str">
        <f>IFERROR(IF(tbl_Historique_Final[[#This Row],[Commentaires]]&lt;&gt;"",tbl_Historique_Final[[#This Row],[Commentaires]],""),"")</f>
        <v/>
      </c>
      <c r="X304" s="8" t="str">
        <f>IF(Final_Sans_VGE[[#This Row],[ppn_z]]="","",IFERROR(
   IF(_xlfn.XLOOKUP(Final_Sans_VGE[[#This Row],[ppn_z]],tbl_Historique_Final[ppn_z],tbl_Historique_Final[date_modif])=Final_Sans_VGE[[#This Row],[date_modif]],
      "Ancien",
      "Modifié"),
   "Nouveau"))</f>
        <v>Ancien</v>
      </c>
      <c r="AC304"/>
      <c r="AD304"/>
    </row>
    <row r="305" spans="1:30" x14ac:dyDescent="0.25">
      <c r="A305" s="5" t="s">
        <v>1016</v>
      </c>
      <c r="B305" s="1" t="s">
        <v>6958</v>
      </c>
      <c r="C305" s="1" t="s">
        <v>70</v>
      </c>
      <c r="G305" s="1" t="s">
        <v>11</v>
      </c>
      <c r="J305" s="3">
        <v>45385.648090277777</v>
      </c>
      <c r="K305" s="2" t="s">
        <v>6959</v>
      </c>
      <c r="L305" s="1">
        <v>2</v>
      </c>
      <c r="M305" s="1">
        <v>2</v>
      </c>
      <c r="N305">
        <v>0</v>
      </c>
      <c r="O305" s="3">
        <f>IF(
    R305="Ancien",
    _xlfn.XLOOKUP(
        Final_Sans_VGE[[#This Row],[ppn_z]],
        tbl_Historique_Final[ppn_z],
        tbl_Historique_Final[Horodatage],
        ""
    ),
    Horodatage!$A$2
)</f>
        <v>46233.670796365739</v>
      </c>
      <c r="P305" s="1" t="str">
        <f>IFERROR(IF(tbl_Historique_Final[[#This Row],[Commentaires]]&lt;&gt;"",tbl_Historique_Final[[#This Row],[Commentaires]],""),"")</f>
        <v/>
      </c>
      <c r="X305" s="8" t="str">
        <f>IF(Final_Sans_VGE[[#This Row],[ppn_z]]="","",IFERROR(
   IF(_xlfn.XLOOKUP(Final_Sans_VGE[[#This Row],[ppn_z]],tbl_Historique_Final[ppn_z],tbl_Historique_Final[date_modif])=Final_Sans_VGE[[#This Row],[date_modif]],
      "Ancien",
      "Modifié"),
   "Nouveau"))</f>
        <v>Ancien</v>
      </c>
      <c r="AC305"/>
      <c r="AD305"/>
    </row>
    <row r="306" spans="1:30" ht="45" x14ac:dyDescent="0.25">
      <c r="A306" s="5" t="s">
        <v>1019</v>
      </c>
      <c r="B306" s="1" t="s">
        <v>6960</v>
      </c>
      <c r="C306" s="1" t="s">
        <v>12</v>
      </c>
      <c r="G306" s="1" t="s">
        <v>11</v>
      </c>
      <c r="J306" s="3">
        <v>45359.457499999997</v>
      </c>
      <c r="K306" s="2" t="s">
        <v>6961</v>
      </c>
      <c r="L306" s="1">
        <v>1</v>
      </c>
      <c r="M306" s="1">
        <v>1</v>
      </c>
      <c r="N306">
        <v>0</v>
      </c>
      <c r="O306" s="3">
        <f>IF(
    R306="Ancien",
    _xlfn.XLOOKUP(
        Final_Sans_VGE[[#This Row],[ppn_z]],
        tbl_Historique_Final[ppn_z],
        tbl_Historique_Final[Horodatage],
        ""
    ),
    Horodatage!$A$2
)</f>
        <v>46233.670796365739</v>
      </c>
      <c r="P306" s="1" t="str">
        <f>IFERROR(IF(tbl_Historique_Final[[#This Row],[Commentaires]]&lt;&gt;"",tbl_Historique_Final[[#This Row],[Commentaires]],""),"")</f>
        <v/>
      </c>
      <c r="X306" s="8" t="str">
        <f>IF(Final_Sans_VGE[[#This Row],[ppn_z]]="","",IFERROR(
   IF(_xlfn.XLOOKUP(Final_Sans_VGE[[#This Row],[ppn_z]],tbl_Historique_Final[ppn_z],tbl_Historique_Final[date_modif])=Final_Sans_VGE[[#This Row],[date_modif]],
      "Ancien",
      "Modifié"),
   "Nouveau"))</f>
        <v>Ancien</v>
      </c>
      <c r="AC306"/>
      <c r="AD306"/>
    </row>
    <row r="307" spans="1:30" x14ac:dyDescent="0.25">
      <c r="A307" s="5" t="s">
        <v>1022</v>
      </c>
      <c r="B307" s="1" t="s">
        <v>6962</v>
      </c>
      <c r="C307" s="1" t="s">
        <v>12</v>
      </c>
      <c r="G307" s="1" t="s">
        <v>11</v>
      </c>
      <c r="J307" s="3">
        <v>45357.372743055559</v>
      </c>
      <c r="K307" s="2" t="s">
        <v>6963</v>
      </c>
      <c r="L307" s="1">
        <v>2</v>
      </c>
      <c r="M307" s="1">
        <v>2</v>
      </c>
      <c r="N307">
        <v>0</v>
      </c>
      <c r="O307" s="3">
        <f>IF(
    R307="Ancien",
    _xlfn.XLOOKUP(
        Final_Sans_VGE[[#This Row],[ppn_z]],
        tbl_Historique_Final[ppn_z],
        tbl_Historique_Final[Horodatage],
        ""
    ),
    Horodatage!$A$2
)</f>
        <v>46233.670796365739</v>
      </c>
      <c r="P307" s="1" t="str">
        <f>IFERROR(IF(tbl_Historique_Final[[#This Row],[Commentaires]]&lt;&gt;"",tbl_Historique_Final[[#This Row],[Commentaires]],""),"")</f>
        <v/>
      </c>
      <c r="X307" s="8" t="str">
        <f>IF(Final_Sans_VGE[[#This Row],[ppn_z]]="","",IFERROR(
   IF(_xlfn.XLOOKUP(Final_Sans_VGE[[#This Row],[ppn_z]],tbl_Historique_Final[ppn_z],tbl_Historique_Final[date_modif])=Final_Sans_VGE[[#This Row],[date_modif]],
      "Ancien",
      "Modifié"),
   "Nouveau"))</f>
        <v>Ancien</v>
      </c>
      <c r="AC307"/>
      <c r="AD307"/>
    </row>
    <row r="308" spans="1:30" x14ac:dyDescent="0.25">
      <c r="A308" s="5" t="s">
        <v>1028</v>
      </c>
      <c r="B308" s="1" t="s">
        <v>6964</v>
      </c>
      <c r="C308" s="1" t="s">
        <v>12</v>
      </c>
      <c r="G308" s="1" t="s">
        <v>10</v>
      </c>
      <c r="J308" s="3">
        <v>45357.627569444441</v>
      </c>
      <c r="K308" s="2" t="s">
        <v>6965</v>
      </c>
      <c r="L308" s="1">
        <v>1</v>
      </c>
      <c r="M308" s="1">
        <v>1</v>
      </c>
      <c r="N308">
        <v>0</v>
      </c>
      <c r="O308" s="3">
        <f>IF(
    R308="Ancien",
    _xlfn.XLOOKUP(
        Final_Sans_VGE[[#This Row],[ppn_z]],
        tbl_Historique_Final[ppn_z],
        tbl_Historique_Final[Horodatage],
        ""
    ),
    Horodatage!$A$2
)</f>
        <v>46233.670796365739</v>
      </c>
      <c r="P308" s="1" t="str">
        <f>IFERROR(IF(tbl_Historique_Final[[#This Row],[Commentaires]]&lt;&gt;"",tbl_Historique_Final[[#This Row],[Commentaires]],""),"")</f>
        <v/>
      </c>
      <c r="X308" s="8" t="str">
        <f>IF(Final_Sans_VGE[[#This Row],[ppn_z]]="","",IFERROR(
   IF(_xlfn.XLOOKUP(Final_Sans_VGE[[#This Row],[ppn_z]],tbl_Historique_Final[ppn_z],tbl_Historique_Final[date_modif])=Final_Sans_VGE[[#This Row],[date_modif]],
      "Ancien",
      "Modifié"),
   "Nouveau"))</f>
        <v>Ancien</v>
      </c>
      <c r="AC308"/>
      <c r="AD308"/>
    </row>
    <row r="309" spans="1:30" x14ac:dyDescent="0.25">
      <c r="A309" s="5" t="s">
        <v>1031</v>
      </c>
      <c r="B309" s="1" t="s">
        <v>6966</v>
      </c>
      <c r="C309" s="1" t="s">
        <v>12</v>
      </c>
      <c r="G309" s="1" t="s">
        <v>11</v>
      </c>
      <c r="J309" s="3">
        <v>45392.522604166668</v>
      </c>
      <c r="K309" s="2" t="s">
        <v>6967</v>
      </c>
      <c r="L309" s="1">
        <v>1</v>
      </c>
      <c r="M309" s="1">
        <v>1</v>
      </c>
      <c r="N309">
        <v>0</v>
      </c>
      <c r="O309" s="3">
        <f>IF(
    R309="Ancien",
    _xlfn.XLOOKUP(
        Final_Sans_VGE[[#This Row],[ppn_z]],
        tbl_Historique_Final[ppn_z],
        tbl_Historique_Final[Horodatage],
        ""
    ),
    Horodatage!$A$2
)</f>
        <v>46233.670796365739</v>
      </c>
      <c r="P309" s="1" t="str">
        <f>IFERROR(IF(tbl_Historique_Final[[#This Row],[Commentaires]]&lt;&gt;"",tbl_Historique_Final[[#This Row],[Commentaires]],""),"")</f>
        <v/>
      </c>
      <c r="X309" s="8" t="str">
        <f>IF(Final_Sans_VGE[[#This Row],[ppn_z]]="","",IFERROR(
   IF(_xlfn.XLOOKUP(Final_Sans_VGE[[#This Row],[ppn_z]],tbl_Historique_Final[ppn_z],tbl_Historique_Final[date_modif])=Final_Sans_VGE[[#This Row],[date_modif]],
      "Ancien",
      "Modifié"),
   "Nouveau"))</f>
        <v>Ancien</v>
      </c>
      <c r="AC309"/>
      <c r="AD309"/>
    </row>
    <row r="310" spans="1:30" x14ac:dyDescent="0.25">
      <c r="A310" s="5" t="s">
        <v>1034</v>
      </c>
      <c r="B310" s="1" t="s">
        <v>6968</v>
      </c>
      <c r="C310" s="1" t="s">
        <v>55</v>
      </c>
      <c r="G310" s="1" t="s">
        <v>11</v>
      </c>
      <c r="J310" s="3">
        <v>45409.446851851855</v>
      </c>
      <c r="K310" s="2" t="s">
        <v>6969</v>
      </c>
      <c r="L310" s="1">
        <v>17</v>
      </c>
      <c r="M310" s="1">
        <v>17</v>
      </c>
      <c r="N310">
        <v>0</v>
      </c>
      <c r="O310" s="3">
        <f>IF(
    R310="Ancien",
    _xlfn.XLOOKUP(
        Final_Sans_VGE[[#This Row],[ppn_z]],
        tbl_Historique_Final[ppn_z],
        tbl_Historique_Final[Horodatage],
        ""
    ),
    Horodatage!$A$2
)</f>
        <v>46233.670796365739</v>
      </c>
      <c r="P310" s="1" t="str">
        <f>IFERROR(IF(tbl_Historique_Final[[#This Row],[Commentaires]]&lt;&gt;"",tbl_Historique_Final[[#This Row],[Commentaires]],""),"")</f>
        <v/>
      </c>
      <c r="X310" s="8" t="str">
        <f>IF(Final_Sans_VGE[[#This Row],[ppn_z]]="","",IFERROR(
   IF(_xlfn.XLOOKUP(Final_Sans_VGE[[#This Row],[ppn_z]],tbl_Historique_Final[ppn_z],tbl_Historique_Final[date_modif])=Final_Sans_VGE[[#This Row],[date_modif]],
      "Ancien",
      "Modifié"),
   "Nouveau"))</f>
        <v>Ancien</v>
      </c>
      <c r="AC310"/>
      <c r="AD310"/>
    </row>
    <row r="311" spans="1:30" x14ac:dyDescent="0.25">
      <c r="A311" s="5" t="s">
        <v>1037</v>
      </c>
      <c r="B311" s="1" t="s">
        <v>6970</v>
      </c>
      <c r="C311" s="1" t="s">
        <v>12</v>
      </c>
      <c r="G311" s="1" t="s">
        <v>11</v>
      </c>
      <c r="J311" s="3">
        <v>45359.471817129626</v>
      </c>
      <c r="K311" s="2" t="s">
        <v>6971</v>
      </c>
      <c r="L311" s="1">
        <v>1</v>
      </c>
      <c r="M311" s="1">
        <v>1</v>
      </c>
      <c r="N311">
        <v>0</v>
      </c>
      <c r="O311" s="3">
        <f>IF(
    R311="Ancien",
    _xlfn.XLOOKUP(
        Final_Sans_VGE[[#This Row],[ppn_z]],
        tbl_Historique_Final[ppn_z],
        tbl_Historique_Final[Horodatage],
        ""
    ),
    Horodatage!$A$2
)</f>
        <v>46233.670796365739</v>
      </c>
      <c r="P311" s="1" t="str">
        <f>IFERROR(IF(tbl_Historique_Final[[#This Row],[Commentaires]]&lt;&gt;"",tbl_Historique_Final[[#This Row],[Commentaires]],""),"")</f>
        <v/>
      </c>
      <c r="X311" s="8" t="str">
        <f>IF(Final_Sans_VGE[[#This Row],[ppn_z]]="","",IFERROR(
   IF(_xlfn.XLOOKUP(Final_Sans_VGE[[#This Row],[ppn_z]],tbl_Historique_Final[ppn_z],tbl_Historique_Final[date_modif])=Final_Sans_VGE[[#This Row],[date_modif]],
      "Ancien",
      "Modifié"),
   "Nouveau"))</f>
        <v>Ancien</v>
      </c>
      <c r="AC311"/>
      <c r="AD311"/>
    </row>
    <row r="312" spans="1:30" x14ac:dyDescent="0.25">
      <c r="A312" s="5" t="s">
        <v>1040</v>
      </c>
      <c r="B312" s="1" t="s">
        <v>6972</v>
      </c>
      <c r="C312" s="1" t="s">
        <v>12</v>
      </c>
      <c r="G312" s="1" t="s">
        <v>11</v>
      </c>
      <c r="J312" s="3">
        <v>45412.387384259258</v>
      </c>
      <c r="K312" s="2" t="s">
        <v>6973</v>
      </c>
      <c r="L312" s="1">
        <v>1</v>
      </c>
      <c r="M312" s="1">
        <v>1</v>
      </c>
      <c r="N312">
        <v>0</v>
      </c>
      <c r="O312" s="3">
        <f>IF(
    R312="Ancien",
    _xlfn.XLOOKUP(
        Final_Sans_VGE[[#This Row],[ppn_z]],
        tbl_Historique_Final[ppn_z],
        tbl_Historique_Final[Horodatage],
        ""
    ),
    Horodatage!$A$2
)</f>
        <v>46233.670796365739</v>
      </c>
      <c r="P312" s="1" t="str">
        <f>IFERROR(IF(tbl_Historique_Final[[#This Row],[Commentaires]]&lt;&gt;"",tbl_Historique_Final[[#This Row],[Commentaires]],""),"")</f>
        <v/>
      </c>
      <c r="X312" s="8" t="str">
        <f>IF(Final_Sans_VGE[[#This Row],[ppn_z]]="","",IFERROR(
   IF(_xlfn.XLOOKUP(Final_Sans_VGE[[#This Row],[ppn_z]],tbl_Historique_Final[ppn_z],tbl_Historique_Final[date_modif])=Final_Sans_VGE[[#This Row],[date_modif]],
      "Ancien",
      "Modifié"),
   "Nouveau"))</f>
        <v>Ancien</v>
      </c>
      <c r="AC312"/>
      <c r="AD312"/>
    </row>
    <row r="313" spans="1:30" ht="30" x14ac:dyDescent="0.25">
      <c r="A313" s="5" t="s">
        <v>1043</v>
      </c>
      <c r="B313" s="1" t="s">
        <v>6974</v>
      </c>
      <c r="C313" s="1" t="s">
        <v>6554</v>
      </c>
      <c r="G313" s="1" t="s">
        <v>11</v>
      </c>
      <c r="J313" s="3">
        <v>45359.530358796299</v>
      </c>
      <c r="K313" s="2" t="s">
        <v>6975</v>
      </c>
      <c r="L313" s="1">
        <v>3</v>
      </c>
      <c r="M313" s="1">
        <v>4</v>
      </c>
      <c r="N313">
        <v>1</v>
      </c>
      <c r="O313" s="3">
        <f>IF(
    R313="Ancien",
    _xlfn.XLOOKUP(
        Final_Sans_VGE[[#This Row],[ppn_z]],
        tbl_Historique_Final[ppn_z],
        tbl_Historique_Final[Horodatage],
        ""
    ),
    Horodatage!$A$2
)</f>
        <v>46233.670796365739</v>
      </c>
      <c r="P313" s="1" t="str">
        <f>IFERROR(IF(tbl_Historique_Final[[#This Row],[Commentaires]]&lt;&gt;"",tbl_Historique_Final[[#This Row],[Commentaires]],""),"")</f>
        <v/>
      </c>
      <c r="X313" s="8" t="str">
        <f>IF(Final_Sans_VGE[[#This Row],[ppn_z]]="","",IFERROR(
   IF(_xlfn.XLOOKUP(Final_Sans_VGE[[#This Row],[ppn_z]],tbl_Historique_Final[ppn_z],tbl_Historique_Final[date_modif])=Final_Sans_VGE[[#This Row],[date_modif]],
      "Ancien",
      "Modifié"),
   "Nouveau"))</f>
        <v>Ancien</v>
      </c>
      <c r="AC313"/>
      <c r="AD313"/>
    </row>
    <row r="314" spans="1:30" x14ac:dyDescent="0.25">
      <c r="A314" s="5" t="s">
        <v>1046</v>
      </c>
      <c r="B314" s="1" t="s">
        <v>6976</v>
      </c>
      <c r="C314" s="1" t="s">
        <v>12</v>
      </c>
      <c r="G314" s="1" t="s">
        <v>10</v>
      </c>
      <c r="J314" s="3">
        <v>45365.910486111112</v>
      </c>
      <c r="K314" s="2" t="s">
        <v>126</v>
      </c>
      <c r="L314" s="1">
        <v>2</v>
      </c>
      <c r="M314" s="1">
        <v>2</v>
      </c>
      <c r="N314">
        <v>0</v>
      </c>
      <c r="O314" s="3">
        <f>IF(
    R314="Ancien",
    _xlfn.XLOOKUP(
        Final_Sans_VGE[[#This Row],[ppn_z]],
        tbl_Historique_Final[ppn_z],
        tbl_Historique_Final[Horodatage],
        ""
    ),
    Horodatage!$A$2
)</f>
        <v>46233.670796365739</v>
      </c>
      <c r="P314" s="1" t="str">
        <f>IFERROR(IF(tbl_Historique_Final[[#This Row],[Commentaires]]&lt;&gt;"",tbl_Historique_Final[[#This Row],[Commentaires]],""),"")</f>
        <v/>
      </c>
      <c r="X314" s="8" t="str">
        <f>IF(Final_Sans_VGE[[#This Row],[ppn_z]]="","",IFERROR(
   IF(_xlfn.XLOOKUP(Final_Sans_VGE[[#This Row],[ppn_z]],tbl_Historique_Final[ppn_z],tbl_Historique_Final[date_modif])=Final_Sans_VGE[[#This Row],[date_modif]],
      "Ancien",
      "Modifié"),
   "Nouveau"))</f>
        <v>Ancien</v>
      </c>
      <c r="AC314"/>
      <c r="AD314"/>
    </row>
    <row r="315" spans="1:30" x14ac:dyDescent="0.25">
      <c r="A315" s="5" t="s">
        <v>1049</v>
      </c>
      <c r="B315" s="1" t="s">
        <v>6977</v>
      </c>
      <c r="C315" s="1" t="s">
        <v>12</v>
      </c>
      <c r="G315" s="1" t="s">
        <v>10</v>
      </c>
      <c r="J315" s="3">
        <v>45359.803657407407</v>
      </c>
      <c r="K315" s="2" t="s">
        <v>6978</v>
      </c>
      <c r="L315" s="1">
        <v>3</v>
      </c>
      <c r="M315" s="1">
        <v>3</v>
      </c>
      <c r="N315">
        <v>0</v>
      </c>
      <c r="O315" s="3">
        <f>IF(
    R315="Ancien",
    _xlfn.XLOOKUP(
        Final_Sans_VGE[[#This Row],[ppn_z]],
        tbl_Historique_Final[ppn_z],
        tbl_Historique_Final[Horodatage],
        ""
    ),
    Horodatage!$A$2
)</f>
        <v>46233.670796365739</v>
      </c>
      <c r="P315" s="1" t="str">
        <f>IFERROR(IF(tbl_Historique_Final[[#This Row],[Commentaires]]&lt;&gt;"",tbl_Historique_Final[[#This Row],[Commentaires]],""),"")</f>
        <v/>
      </c>
      <c r="X315" s="8" t="str">
        <f>IF(Final_Sans_VGE[[#This Row],[ppn_z]]="","",IFERROR(
   IF(_xlfn.XLOOKUP(Final_Sans_VGE[[#This Row],[ppn_z]],tbl_Historique_Final[ppn_z],tbl_Historique_Final[date_modif])=Final_Sans_VGE[[#This Row],[date_modif]],
      "Ancien",
      "Modifié"),
   "Nouveau"))</f>
        <v>Ancien</v>
      </c>
      <c r="AC315"/>
      <c r="AD315"/>
    </row>
    <row r="316" spans="1:30" ht="45" x14ac:dyDescent="0.25">
      <c r="A316" s="5" t="s">
        <v>1052</v>
      </c>
      <c r="B316" s="1" t="s">
        <v>6979</v>
      </c>
      <c r="G316" s="1" t="s">
        <v>10</v>
      </c>
      <c r="J316" s="3">
        <v>45400.586770833332</v>
      </c>
      <c r="K316" s="2" t="s">
        <v>6980</v>
      </c>
      <c r="L316" s="1">
        <v>3</v>
      </c>
      <c r="M316" s="1">
        <v>6</v>
      </c>
      <c r="N316">
        <v>3</v>
      </c>
      <c r="O316" s="3">
        <f>IF(
    R316="Ancien",
    _xlfn.XLOOKUP(
        Final_Sans_VGE[[#This Row],[ppn_z]],
        tbl_Historique_Final[ppn_z],
        tbl_Historique_Final[Horodatage],
        ""
    ),
    Horodatage!$A$2
)</f>
        <v>46233.670796365739</v>
      </c>
      <c r="P316" s="1" t="str">
        <f>IFERROR(IF(tbl_Historique_Final[[#This Row],[Commentaires]]&lt;&gt;"",tbl_Historique_Final[[#This Row],[Commentaires]],""),"")</f>
        <v/>
      </c>
      <c r="X316" s="8" t="str">
        <f>IF(Final_Sans_VGE[[#This Row],[ppn_z]]="","",IFERROR(
   IF(_xlfn.XLOOKUP(Final_Sans_VGE[[#This Row],[ppn_z]],tbl_Historique_Final[ppn_z],tbl_Historique_Final[date_modif])=Final_Sans_VGE[[#This Row],[date_modif]],
      "Ancien",
      "Modifié"),
   "Nouveau"))</f>
        <v>Ancien</v>
      </c>
      <c r="AC316"/>
      <c r="AD316"/>
    </row>
    <row r="317" spans="1:30" x14ac:dyDescent="0.25">
      <c r="A317" s="5" t="s">
        <v>1055</v>
      </c>
      <c r="B317" s="1" t="s">
        <v>6981</v>
      </c>
      <c r="C317" s="1" t="s">
        <v>12</v>
      </c>
      <c r="G317" s="1" t="s">
        <v>10</v>
      </c>
      <c r="J317" s="3">
        <v>45359.945324074077</v>
      </c>
      <c r="K317" s="2" t="s">
        <v>6982</v>
      </c>
      <c r="L317" s="1">
        <v>1</v>
      </c>
      <c r="M317" s="1">
        <v>1</v>
      </c>
      <c r="N317">
        <v>0</v>
      </c>
      <c r="O317" s="3">
        <f>IF(
    R317="Ancien",
    _xlfn.XLOOKUP(
        Final_Sans_VGE[[#This Row],[ppn_z]],
        tbl_Historique_Final[ppn_z],
        tbl_Historique_Final[Horodatage],
        ""
    ),
    Horodatage!$A$2
)</f>
        <v>46233.670796365739</v>
      </c>
      <c r="P317" s="1" t="str">
        <f>IFERROR(IF(tbl_Historique_Final[[#This Row],[Commentaires]]&lt;&gt;"",tbl_Historique_Final[[#This Row],[Commentaires]],""),"")</f>
        <v/>
      </c>
      <c r="X317" s="8" t="str">
        <f>IF(Final_Sans_VGE[[#This Row],[ppn_z]]="","",IFERROR(
   IF(_xlfn.XLOOKUP(Final_Sans_VGE[[#This Row],[ppn_z]],tbl_Historique_Final[ppn_z],tbl_Historique_Final[date_modif])=Final_Sans_VGE[[#This Row],[date_modif]],
      "Ancien",
      "Modifié"),
   "Nouveau"))</f>
        <v>Ancien</v>
      </c>
      <c r="AC317"/>
      <c r="AD317"/>
    </row>
    <row r="318" spans="1:30" x14ac:dyDescent="0.25">
      <c r="A318" s="5" t="s">
        <v>1058</v>
      </c>
      <c r="B318" s="1" t="s">
        <v>6983</v>
      </c>
      <c r="C318" s="1" t="s">
        <v>12</v>
      </c>
      <c r="G318" s="1" t="s">
        <v>10</v>
      </c>
      <c r="J318" s="3">
        <v>45406.567881944444</v>
      </c>
      <c r="K318" s="2" t="s">
        <v>6984</v>
      </c>
      <c r="L318" s="1">
        <v>7</v>
      </c>
      <c r="M318" s="1">
        <v>8</v>
      </c>
      <c r="N318">
        <v>1</v>
      </c>
      <c r="O318" s="3">
        <f>IF(
    R318="Ancien",
    _xlfn.XLOOKUP(
        Final_Sans_VGE[[#This Row],[ppn_z]],
        tbl_Historique_Final[ppn_z],
        tbl_Historique_Final[Horodatage],
        ""
    ),
    Horodatage!$A$2
)</f>
        <v>46233.670796365739</v>
      </c>
      <c r="P318" s="1" t="str">
        <f>IFERROR(IF(tbl_Historique_Final[[#This Row],[Commentaires]]&lt;&gt;"",tbl_Historique_Final[[#This Row],[Commentaires]],""),"")</f>
        <v/>
      </c>
      <c r="X318" s="8" t="str">
        <f>IF(Final_Sans_VGE[[#This Row],[ppn_z]]="","",IFERROR(
   IF(_xlfn.XLOOKUP(Final_Sans_VGE[[#This Row],[ppn_z]],tbl_Historique_Final[ppn_z],tbl_Historique_Final[date_modif])=Final_Sans_VGE[[#This Row],[date_modif]],
      "Ancien",
      "Modifié"),
   "Nouveau"))</f>
        <v>Ancien</v>
      </c>
      <c r="AC318"/>
      <c r="AD318"/>
    </row>
    <row r="319" spans="1:30" x14ac:dyDescent="0.25">
      <c r="A319" s="5" t="s">
        <v>1061</v>
      </c>
      <c r="B319" s="1" t="s">
        <v>6985</v>
      </c>
      <c r="C319" s="1" t="s">
        <v>55</v>
      </c>
      <c r="G319" s="1" t="s">
        <v>10</v>
      </c>
      <c r="J319" s="3">
        <v>45359.981423611112</v>
      </c>
      <c r="K319" s="2" t="s">
        <v>6986</v>
      </c>
      <c r="L319" s="1">
        <v>5</v>
      </c>
      <c r="M319" s="1">
        <v>5</v>
      </c>
      <c r="N319">
        <v>0</v>
      </c>
      <c r="O319" s="3">
        <f>IF(
    R319="Ancien",
    _xlfn.XLOOKUP(
        Final_Sans_VGE[[#This Row],[ppn_z]],
        tbl_Historique_Final[ppn_z],
        tbl_Historique_Final[Horodatage],
        ""
    ),
    Horodatage!$A$2
)</f>
        <v>46233.670796365739</v>
      </c>
      <c r="P319" s="1" t="str">
        <f>IFERROR(IF(tbl_Historique_Final[[#This Row],[Commentaires]]&lt;&gt;"",tbl_Historique_Final[[#This Row],[Commentaires]],""),"")</f>
        <v/>
      </c>
      <c r="X319" s="8" t="str">
        <f>IF(Final_Sans_VGE[[#This Row],[ppn_z]]="","",IFERROR(
   IF(_xlfn.XLOOKUP(Final_Sans_VGE[[#This Row],[ppn_z]],tbl_Historique_Final[ppn_z],tbl_Historique_Final[date_modif])=Final_Sans_VGE[[#This Row],[date_modif]],
      "Ancien",
      "Modifié"),
   "Nouveau"))</f>
        <v>Ancien</v>
      </c>
      <c r="AC319"/>
      <c r="AD319"/>
    </row>
    <row r="320" spans="1:30" ht="30" x14ac:dyDescent="0.25">
      <c r="A320" s="5" t="s">
        <v>1064</v>
      </c>
      <c r="B320" s="1" t="s">
        <v>6987</v>
      </c>
      <c r="C320" s="1" t="s">
        <v>40</v>
      </c>
      <c r="G320" s="1" t="s">
        <v>10</v>
      </c>
      <c r="J320" s="3">
        <v>45384.522685185184</v>
      </c>
      <c r="K320" s="2" t="s">
        <v>6988</v>
      </c>
      <c r="L320" s="1">
        <v>4</v>
      </c>
      <c r="M320" s="1">
        <v>5</v>
      </c>
      <c r="N320">
        <v>1</v>
      </c>
      <c r="O320" s="3">
        <f>IF(
    R320="Ancien",
    _xlfn.XLOOKUP(
        Final_Sans_VGE[[#This Row],[ppn_z]],
        tbl_Historique_Final[ppn_z],
        tbl_Historique_Final[Horodatage],
        ""
    ),
    Horodatage!$A$2
)</f>
        <v>46233.670796365739</v>
      </c>
      <c r="P320" s="1" t="str">
        <f>IFERROR(IF(tbl_Historique_Final[[#This Row],[Commentaires]]&lt;&gt;"",tbl_Historique_Final[[#This Row],[Commentaires]],""),"")</f>
        <v/>
      </c>
      <c r="X320" s="8" t="str">
        <f>IF(Final_Sans_VGE[[#This Row],[ppn_z]]="","",IFERROR(
   IF(_xlfn.XLOOKUP(Final_Sans_VGE[[#This Row],[ppn_z]],tbl_Historique_Final[ppn_z],tbl_Historique_Final[date_modif])=Final_Sans_VGE[[#This Row],[date_modif]],
      "Ancien",
      "Modifié"),
   "Nouveau"))</f>
        <v>Ancien</v>
      </c>
      <c r="AC320"/>
      <c r="AD320"/>
    </row>
    <row r="321" spans="1:30" x14ac:dyDescent="0.25">
      <c r="A321" s="5" t="s">
        <v>1067</v>
      </c>
      <c r="B321" s="1" t="s">
        <v>6989</v>
      </c>
      <c r="C321" s="1" t="s">
        <v>71</v>
      </c>
      <c r="G321" s="1" t="s">
        <v>11</v>
      </c>
      <c r="J321" s="3">
        <v>45360.155034722222</v>
      </c>
      <c r="K321" s="2" t="s">
        <v>126</v>
      </c>
      <c r="L321" s="1">
        <v>2</v>
      </c>
      <c r="M321" s="1">
        <v>2</v>
      </c>
      <c r="N321">
        <v>0</v>
      </c>
      <c r="O321" s="3">
        <f>IF(
    R321="Ancien",
    _xlfn.XLOOKUP(
        Final_Sans_VGE[[#This Row],[ppn_z]],
        tbl_Historique_Final[ppn_z],
        tbl_Historique_Final[Horodatage],
        ""
    ),
    Horodatage!$A$2
)</f>
        <v>46233.670796365739</v>
      </c>
      <c r="P321" s="1" t="str">
        <f>IFERROR(IF(tbl_Historique_Final[[#This Row],[Commentaires]]&lt;&gt;"",tbl_Historique_Final[[#This Row],[Commentaires]],""),"")</f>
        <v/>
      </c>
      <c r="X321" s="8" t="str">
        <f>IF(Final_Sans_VGE[[#This Row],[ppn_z]]="","",IFERROR(
   IF(_xlfn.XLOOKUP(Final_Sans_VGE[[#This Row],[ppn_z]],tbl_Historique_Final[ppn_z],tbl_Historique_Final[date_modif])=Final_Sans_VGE[[#This Row],[date_modif]],
      "Ancien",
      "Modifié"),
   "Nouveau"))</f>
        <v>Ancien</v>
      </c>
      <c r="AC321"/>
      <c r="AD321"/>
    </row>
    <row r="322" spans="1:30" x14ac:dyDescent="0.25">
      <c r="A322" s="5" t="s">
        <v>1070</v>
      </c>
      <c r="B322" s="1" t="s">
        <v>6990</v>
      </c>
      <c r="C322" s="1" t="s">
        <v>12</v>
      </c>
      <c r="G322" s="1" t="s">
        <v>11</v>
      </c>
      <c r="J322" s="3">
        <v>45393.708645833336</v>
      </c>
      <c r="K322" s="2" t="s">
        <v>126</v>
      </c>
      <c r="L322" s="1">
        <v>1</v>
      </c>
      <c r="M322" s="1">
        <v>2</v>
      </c>
      <c r="N322">
        <v>1</v>
      </c>
      <c r="O322" s="3">
        <f>IF(
    R322="Ancien",
    _xlfn.XLOOKUP(
        Final_Sans_VGE[[#This Row],[ppn_z]],
        tbl_Historique_Final[ppn_z],
        tbl_Historique_Final[Horodatage],
        ""
    ),
    Horodatage!$A$2
)</f>
        <v>46233.670796365739</v>
      </c>
      <c r="P322" s="1" t="str">
        <f>IFERROR(IF(tbl_Historique_Final[[#This Row],[Commentaires]]&lt;&gt;"",tbl_Historique_Final[[#This Row],[Commentaires]],""),"")</f>
        <v/>
      </c>
      <c r="X322" s="8" t="str">
        <f>IF(Final_Sans_VGE[[#This Row],[ppn_z]]="","",IFERROR(
   IF(_xlfn.XLOOKUP(Final_Sans_VGE[[#This Row],[ppn_z]],tbl_Historique_Final[ppn_z],tbl_Historique_Final[date_modif])=Final_Sans_VGE[[#This Row],[date_modif]],
      "Ancien",
      "Modifié"),
   "Nouveau"))</f>
        <v>Ancien</v>
      </c>
      <c r="AC322"/>
      <c r="AD322"/>
    </row>
    <row r="323" spans="1:30" x14ac:dyDescent="0.25">
      <c r="A323" s="5" t="s">
        <v>1073</v>
      </c>
      <c r="B323" s="1" t="s">
        <v>6991</v>
      </c>
      <c r="C323" s="1" t="s">
        <v>86</v>
      </c>
      <c r="G323" s="1" t="s">
        <v>10</v>
      </c>
      <c r="J323" s="3">
        <v>45360.217511574076</v>
      </c>
      <c r="K323" s="2" t="s">
        <v>126</v>
      </c>
      <c r="L323" s="1">
        <v>2</v>
      </c>
      <c r="M323" s="1">
        <v>2</v>
      </c>
      <c r="N323">
        <v>0</v>
      </c>
      <c r="O323" s="3">
        <f>IF(
    R323="Ancien",
    _xlfn.XLOOKUP(
        Final_Sans_VGE[[#This Row],[ppn_z]],
        tbl_Historique_Final[ppn_z],
        tbl_Historique_Final[Horodatage],
        ""
    ),
    Horodatage!$A$2
)</f>
        <v>46233.670796365739</v>
      </c>
      <c r="P323" s="1" t="str">
        <f>IFERROR(IF(tbl_Historique_Final[[#This Row],[Commentaires]]&lt;&gt;"",tbl_Historique_Final[[#This Row],[Commentaires]],""),"")</f>
        <v/>
      </c>
      <c r="X323" s="8" t="str">
        <f>IF(Final_Sans_VGE[[#This Row],[ppn_z]]="","",IFERROR(
   IF(_xlfn.XLOOKUP(Final_Sans_VGE[[#This Row],[ppn_z]],tbl_Historique_Final[ppn_z],tbl_Historique_Final[date_modif])=Final_Sans_VGE[[#This Row],[date_modif]],
      "Ancien",
      "Modifié"),
   "Nouveau"))</f>
        <v>Ancien</v>
      </c>
      <c r="AC323"/>
      <c r="AD323"/>
    </row>
    <row r="324" spans="1:30" x14ac:dyDescent="0.25">
      <c r="A324" s="5" t="s">
        <v>1076</v>
      </c>
      <c r="B324" s="1" t="s">
        <v>6992</v>
      </c>
      <c r="C324" s="1" t="s">
        <v>12</v>
      </c>
      <c r="G324" s="1" t="s">
        <v>11</v>
      </c>
      <c r="J324" s="3">
        <v>45384.568993055553</v>
      </c>
      <c r="K324" s="2" t="s">
        <v>6993</v>
      </c>
      <c r="L324" s="1">
        <v>1</v>
      </c>
      <c r="M324" s="1">
        <v>1</v>
      </c>
      <c r="N324">
        <v>0</v>
      </c>
      <c r="O324" s="3">
        <f>IF(
    R324="Ancien",
    _xlfn.XLOOKUP(
        Final_Sans_VGE[[#This Row],[ppn_z]],
        tbl_Historique_Final[ppn_z],
        tbl_Historique_Final[Horodatage],
        ""
    ),
    Horodatage!$A$2
)</f>
        <v>46233.670796365739</v>
      </c>
      <c r="P324" s="1" t="str">
        <f>IFERROR(IF(tbl_Historique_Final[[#This Row],[Commentaires]]&lt;&gt;"",tbl_Historique_Final[[#This Row],[Commentaires]],""),"")</f>
        <v/>
      </c>
      <c r="X324" s="8" t="str">
        <f>IF(Final_Sans_VGE[[#This Row],[ppn_z]]="","",IFERROR(
   IF(_xlfn.XLOOKUP(Final_Sans_VGE[[#This Row],[ppn_z]],tbl_Historique_Final[ppn_z],tbl_Historique_Final[date_modif])=Final_Sans_VGE[[#This Row],[date_modif]],
      "Ancien",
      "Modifié"),
   "Nouveau"))</f>
        <v>Ancien</v>
      </c>
      <c r="AC324"/>
      <c r="AD324"/>
    </row>
    <row r="325" spans="1:30" x14ac:dyDescent="0.25">
      <c r="A325" s="5" t="s">
        <v>1079</v>
      </c>
      <c r="B325" s="1" t="s">
        <v>6994</v>
      </c>
      <c r="C325" s="1" t="s">
        <v>12</v>
      </c>
      <c r="G325" s="1" t="s">
        <v>11</v>
      </c>
      <c r="J325" s="3">
        <v>45360.278634259259</v>
      </c>
      <c r="K325" s="2" t="s">
        <v>6781</v>
      </c>
      <c r="L325" s="1">
        <v>1</v>
      </c>
      <c r="M325" s="1">
        <v>1</v>
      </c>
      <c r="N325">
        <v>0</v>
      </c>
      <c r="O325" s="3">
        <f>IF(
    R325="Ancien",
    _xlfn.XLOOKUP(
        Final_Sans_VGE[[#This Row],[ppn_z]],
        tbl_Historique_Final[ppn_z],
        tbl_Historique_Final[Horodatage],
        ""
    ),
    Horodatage!$A$2
)</f>
        <v>46233.670796365739</v>
      </c>
      <c r="P325" s="1" t="str">
        <f>IFERROR(IF(tbl_Historique_Final[[#This Row],[Commentaires]]&lt;&gt;"",tbl_Historique_Final[[#This Row],[Commentaires]],""),"")</f>
        <v/>
      </c>
      <c r="X325" s="8" t="str">
        <f>IF(Final_Sans_VGE[[#This Row],[ppn_z]]="","",IFERROR(
   IF(_xlfn.XLOOKUP(Final_Sans_VGE[[#This Row],[ppn_z]],tbl_Historique_Final[ppn_z],tbl_Historique_Final[date_modif])=Final_Sans_VGE[[#This Row],[date_modif]],
      "Ancien",
      "Modifié"),
   "Nouveau"))</f>
        <v>Ancien</v>
      </c>
      <c r="AC325"/>
      <c r="AD325"/>
    </row>
    <row r="326" spans="1:30" x14ac:dyDescent="0.25">
      <c r="A326" s="5" t="s">
        <v>1082</v>
      </c>
      <c r="B326" s="1" t="s">
        <v>6995</v>
      </c>
      <c r="C326" s="1" t="s">
        <v>6330</v>
      </c>
      <c r="G326" s="1" t="s">
        <v>11</v>
      </c>
      <c r="J326" s="3">
        <v>45385.522465277776</v>
      </c>
      <c r="K326" s="2" t="s">
        <v>6996</v>
      </c>
      <c r="L326" s="1">
        <v>3</v>
      </c>
      <c r="M326" s="1">
        <v>3</v>
      </c>
      <c r="N326">
        <v>0</v>
      </c>
      <c r="O326" s="3">
        <f>IF(
    R326="Ancien",
    _xlfn.XLOOKUP(
        Final_Sans_VGE[[#This Row],[ppn_z]],
        tbl_Historique_Final[ppn_z],
        tbl_Historique_Final[Horodatage],
        ""
    ),
    Horodatage!$A$2
)</f>
        <v>46233.670796365739</v>
      </c>
      <c r="P326" s="1" t="str">
        <f>IFERROR(IF(tbl_Historique_Final[[#This Row],[Commentaires]]&lt;&gt;"",tbl_Historique_Final[[#This Row],[Commentaires]],""),"")</f>
        <v/>
      </c>
      <c r="X326" s="8" t="str">
        <f>IF(Final_Sans_VGE[[#This Row],[ppn_z]]="","",IFERROR(
   IF(_xlfn.XLOOKUP(Final_Sans_VGE[[#This Row],[ppn_z]],tbl_Historique_Final[ppn_z],tbl_Historique_Final[date_modif])=Final_Sans_VGE[[#This Row],[date_modif]],
      "Ancien",
      "Modifié"),
   "Nouveau"))</f>
        <v>Ancien</v>
      </c>
      <c r="AC326"/>
      <c r="AD326"/>
    </row>
    <row r="327" spans="1:30" x14ac:dyDescent="0.25">
      <c r="A327" s="5" t="s">
        <v>1085</v>
      </c>
      <c r="B327" s="1" t="s">
        <v>6997</v>
      </c>
      <c r="C327" s="1" t="s">
        <v>59</v>
      </c>
      <c r="G327" s="1" t="s">
        <v>11</v>
      </c>
      <c r="J327" s="3">
        <v>45360.956388888888</v>
      </c>
      <c r="K327" s="2" t="s">
        <v>6998</v>
      </c>
      <c r="L327" s="1">
        <v>3</v>
      </c>
      <c r="M327" s="1">
        <v>3</v>
      </c>
      <c r="N327">
        <v>0</v>
      </c>
      <c r="O327" s="3">
        <f>IF(
    R327="Ancien",
    _xlfn.XLOOKUP(
        Final_Sans_VGE[[#This Row],[ppn_z]],
        tbl_Historique_Final[ppn_z],
        tbl_Historique_Final[Horodatage],
        ""
    ),
    Horodatage!$A$2
)</f>
        <v>46233.670796365739</v>
      </c>
      <c r="P327" s="1" t="str">
        <f>IFERROR(IF(tbl_Historique_Final[[#This Row],[Commentaires]]&lt;&gt;"",tbl_Historique_Final[[#This Row],[Commentaires]],""),"")</f>
        <v/>
      </c>
      <c r="X327" s="8" t="str">
        <f>IF(Final_Sans_VGE[[#This Row],[ppn_z]]="","",IFERROR(
   IF(_xlfn.XLOOKUP(Final_Sans_VGE[[#This Row],[ppn_z]],tbl_Historique_Final[ppn_z],tbl_Historique_Final[date_modif])=Final_Sans_VGE[[#This Row],[date_modif]],
      "Ancien",
      "Modifié"),
   "Nouveau"))</f>
        <v>Ancien</v>
      </c>
      <c r="AC327"/>
      <c r="AD327"/>
    </row>
    <row r="328" spans="1:30" x14ac:dyDescent="0.25">
      <c r="A328" s="5" t="s">
        <v>1088</v>
      </c>
      <c r="B328" s="1" t="s">
        <v>6999</v>
      </c>
      <c r="C328" s="1" t="s">
        <v>12</v>
      </c>
      <c r="G328" s="1" t="s">
        <v>10</v>
      </c>
      <c r="J328" s="3">
        <v>45391.527650462966</v>
      </c>
      <c r="K328" s="2" t="s">
        <v>6638</v>
      </c>
      <c r="L328" s="1">
        <v>8</v>
      </c>
      <c r="M328" s="1">
        <v>8</v>
      </c>
      <c r="N328">
        <v>0</v>
      </c>
      <c r="O328" s="3">
        <f>IF(
    R328="Ancien",
    _xlfn.XLOOKUP(
        Final_Sans_VGE[[#This Row],[ppn_z]],
        tbl_Historique_Final[ppn_z],
        tbl_Historique_Final[Horodatage],
        ""
    ),
    Horodatage!$A$2
)</f>
        <v>46233.670796365739</v>
      </c>
      <c r="P328" s="1" t="str">
        <f>IFERROR(IF(tbl_Historique_Final[[#This Row],[Commentaires]]&lt;&gt;"",tbl_Historique_Final[[#This Row],[Commentaires]],""),"")</f>
        <v/>
      </c>
      <c r="X328" s="8" t="str">
        <f>IF(Final_Sans_VGE[[#This Row],[ppn_z]]="","",IFERROR(
   IF(_xlfn.XLOOKUP(Final_Sans_VGE[[#This Row],[ppn_z]],tbl_Historique_Final[ppn_z],tbl_Historique_Final[date_modif])=Final_Sans_VGE[[#This Row],[date_modif]],
      "Ancien",
      "Modifié"),
   "Nouveau"))</f>
        <v>Ancien</v>
      </c>
      <c r="AC328"/>
      <c r="AD328"/>
    </row>
    <row r="329" spans="1:30" x14ac:dyDescent="0.25">
      <c r="A329" s="5" t="s">
        <v>1091</v>
      </c>
      <c r="B329" s="1" t="s">
        <v>7000</v>
      </c>
      <c r="C329" s="1" t="s">
        <v>12</v>
      </c>
      <c r="G329" s="1" t="s">
        <v>10</v>
      </c>
      <c r="J329" s="3">
        <v>45362.801099537035</v>
      </c>
      <c r="K329" s="2" t="s">
        <v>7001</v>
      </c>
      <c r="L329" s="1">
        <v>1</v>
      </c>
      <c r="M329" s="1">
        <v>1</v>
      </c>
      <c r="N329">
        <v>0</v>
      </c>
      <c r="O329" s="3">
        <f>IF(
    R329="Ancien",
    _xlfn.XLOOKUP(
        Final_Sans_VGE[[#This Row],[ppn_z]],
        tbl_Historique_Final[ppn_z],
        tbl_Historique_Final[Horodatage],
        ""
    ),
    Horodatage!$A$2
)</f>
        <v>46233.670796365739</v>
      </c>
      <c r="P329" s="1" t="str">
        <f>IFERROR(IF(tbl_Historique_Final[[#This Row],[Commentaires]]&lt;&gt;"",tbl_Historique_Final[[#This Row],[Commentaires]],""),"")</f>
        <v/>
      </c>
      <c r="X329" s="8" t="str">
        <f>IF(Final_Sans_VGE[[#This Row],[ppn_z]]="","",IFERROR(
   IF(_xlfn.XLOOKUP(Final_Sans_VGE[[#This Row],[ppn_z]],tbl_Historique_Final[ppn_z],tbl_Historique_Final[date_modif])=Final_Sans_VGE[[#This Row],[date_modif]],
      "Ancien",
      "Modifié"),
   "Nouveau"))</f>
        <v>Ancien</v>
      </c>
      <c r="AC329"/>
      <c r="AD329"/>
    </row>
    <row r="330" spans="1:30" x14ac:dyDescent="0.25">
      <c r="A330" s="5" t="s">
        <v>1094</v>
      </c>
      <c r="B330" s="1" t="s">
        <v>7002</v>
      </c>
      <c r="C330" s="1" t="s">
        <v>78</v>
      </c>
      <c r="G330" s="1" t="s">
        <v>10</v>
      </c>
      <c r="J330" s="3">
        <v>45361.300787037035</v>
      </c>
      <c r="K330" s="2" t="s">
        <v>126</v>
      </c>
      <c r="L330" s="1">
        <v>5</v>
      </c>
      <c r="M330" s="1">
        <v>8</v>
      </c>
      <c r="N330">
        <v>3</v>
      </c>
      <c r="O330" s="3">
        <f>IF(
    R330="Ancien",
    _xlfn.XLOOKUP(
        Final_Sans_VGE[[#This Row],[ppn_z]],
        tbl_Historique_Final[ppn_z],
        tbl_Historique_Final[Horodatage],
        ""
    ),
    Horodatage!$A$2
)</f>
        <v>46233.670796365739</v>
      </c>
      <c r="P330" s="1" t="str">
        <f>IFERROR(IF(tbl_Historique_Final[[#This Row],[Commentaires]]&lt;&gt;"",tbl_Historique_Final[[#This Row],[Commentaires]],""),"")</f>
        <v/>
      </c>
      <c r="X330" s="8" t="str">
        <f>IF(Final_Sans_VGE[[#This Row],[ppn_z]]="","",IFERROR(
   IF(_xlfn.XLOOKUP(Final_Sans_VGE[[#This Row],[ppn_z]],tbl_Historique_Final[ppn_z],tbl_Historique_Final[date_modif])=Final_Sans_VGE[[#This Row],[date_modif]],
      "Ancien",
      "Modifié"),
   "Nouveau"))</f>
        <v>Ancien</v>
      </c>
      <c r="AC330"/>
      <c r="AD330"/>
    </row>
    <row r="331" spans="1:30" ht="30" x14ac:dyDescent="0.25">
      <c r="A331" s="5" t="s">
        <v>1097</v>
      </c>
      <c r="B331" s="1" t="s">
        <v>7003</v>
      </c>
      <c r="C331" s="1" t="s">
        <v>7004</v>
      </c>
      <c r="G331" s="1" t="s">
        <v>10</v>
      </c>
      <c r="J331" s="3">
        <v>45385.63559027778</v>
      </c>
      <c r="K331" s="2" t="s">
        <v>7005</v>
      </c>
      <c r="L331" s="1">
        <v>2</v>
      </c>
      <c r="M331" s="1">
        <v>2</v>
      </c>
      <c r="N331">
        <v>0</v>
      </c>
      <c r="O331" s="3">
        <f>IF(
    R331="Ancien",
    _xlfn.XLOOKUP(
        Final_Sans_VGE[[#This Row],[ppn_z]],
        tbl_Historique_Final[ppn_z],
        tbl_Historique_Final[Horodatage],
        ""
    ),
    Horodatage!$A$2
)</f>
        <v>46233.670796365739</v>
      </c>
      <c r="P331" s="1" t="str">
        <f>IFERROR(IF(tbl_Historique_Final[[#This Row],[Commentaires]]&lt;&gt;"",tbl_Historique_Final[[#This Row],[Commentaires]],""),"")</f>
        <v/>
      </c>
      <c r="X331" s="8" t="str">
        <f>IF(Final_Sans_VGE[[#This Row],[ppn_z]]="","",IFERROR(
   IF(_xlfn.XLOOKUP(Final_Sans_VGE[[#This Row],[ppn_z]],tbl_Historique_Final[ppn_z],tbl_Historique_Final[date_modif])=Final_Sans_VGE[[#This Row],[date_modif]],
      "Ancien",
      "Modifié"),
   "Nouveau"))</f>
        <v>Ancien</v>
      </c>
      <c r="AC331"/>
      <c r="AD331"/>
    </row>
    <row r="332" spans="1:30" x14ac:dyDescent="0.25">
      <c r="A332" s="5" t="s">
        <v>1100</v>
      </c>
      <c r="B332" s="1" t="s">
        <v>7006</v>
      </c>
      <c r="C332" s="1" t="s">
        <v>6746</v>
      </c>
      <c r="G332" s="1" t="s">
        <v>10</v>
      </c>
      <c r="J332" s="3">
        <v>45361.466111111113</v>
      </c>
      <c r="K332" s="2" t="s">
        <v>144</v>
      </c>
      <c r="L332" s="1">
        <v>2</v>
      </c>
      <c r="M332" s="1">
        <v>2</v>
      </c>
      <c r="N332">
        <v>0</v>
      </c>
      <c r="O332" s="3">
        <f>IF(
    R332="Ancien",
    _xlfn.XLOOKUP(
        Final_Sans_VGE[[#This Row],[ppn_z]],
        tbl_Historique_Final[ppn_z],
        tbl_Historique_Final[Horodatage],
        ""
    ),
    Horodatage!$A$2
)</f>
        <v>46233.670796365739</v>
      </c>
      <c r="P332" s="1" t="str">
        <f>IFERROR(IF(tbl_Historique_Final[[#This Row],[Commentaires]]&lt;&gt;"",tbl_Historique_Final[[#This Row],[Commentaires]],""),"")</f>
        <v/>
      </c>
      <c r="X332" s="8" t="str">
        <f>IF(Final_Sans_VGE[[#This Row],[ppn_z]]="","",IFERROR(
   IF(_xlfn.XLOOKUP(Final_Sans_VGE[[#This Row],[ppn_z]],tbl_Historique_Final[ppn_z],tbl_Historique_Final[date_modif])=Final_Sans_VGE[[#This Row],[date_modif]],
      "Ancien",
      "Modifié"),
   "Nouveau"))</f>
        <v>Ancien</v>
      </c>
      <c r="AC332"/>
      <c r="AD332"/>
    </row>
    <row r="333" spans="1:30" x14ac:dyDescent="0.25">
      <c r="A333" s="5" t="s">
        <v>1103</v>
      </c>
      <c r="B333" s="1" t="s">
        <v>7007</v>
      </c>
      <c r="C333" s="1" t="s">
        <v>12</v>
      </c>
      <c r="G333" s="1" t="s">
        <v>10</v>
      </c>
      <c r="J333" s="3">
        <v>45361.679988425924</v>
      </c>
      <c r="K333" s="2" t="s">
        <v>7008</v>
      </c>
      <c r="L333" s="1">
        <v>1</v>
      </c>
      <c r="M333" s="1">
        <v>1</v>
      </c>
      <c r="N333">
        <v>0</v>
      </c>
      <c r="O333" s="3">
        <f>IF(
    R333="Ancien",
    _xlfn.XLOOKUP(
        Final_Sans_VGE[[#This Row],[ppn_z]],
        tbl_Historique_Final[ppn_z],
        tbl_Historique_Final[Horodatage],
        ""
    ),
    Horodatage!$A$2
)</f>
        <v>46233.670796365739</v>
      </c>
      <c r="P333" s="1" t="str">
        <f>IFERROR(IF(tbl_Historique_Final[[#This Row],[Commentaires]]&lt;&gt;"",tbl_Historique_Final[[#This Row],[Commentaires]],""),"")</f>
        <v/>
      </c>
      <c r="X333" s="8" t="str">
        <f>IF(Final_Sans_VGE[[#This Row],[ppn_z]]="","",IFERROR(
   IF(_xlfn.XLOOKUP(Final_Sans_VGE[[#This Row],[ppn_z]],tbl_Historique_Final[ppn_z],tbl_Historique_Final[date_modif])=Final_Sans_VGE[[#This Row],[date_modif]],
      "Ancien",
      "Modifié"),
   "Nouveau"))</f>
        <v>Ancien</v>
      </c>
      <c r="AC333"/>
      <c r="AD333"/>
    </row>
    <row r="334" spans="1:30" x14ac:dyDescent="0.25">
      <c r="A334" s="5" t="s">
        <v>1106</v>
      </c>
      <c r="B334" s="1" t="s">
        <v>7009</v>
      </c>
      <c r="C334" s="1" t="s">
        <v>76</v>
      </c>
      <c r="G334" s="1" t="s">
        <v>11</v>
      </c>
      <c r="J334" s="3">
        <v>45384.592581018522</v>
      </c>
      <c r="K334" s="2" t="s">
        <v>6438</v>
      </c>
      <c r="L334" s="1">
        <v>7</v>
      </c>
      <c r="M334" s="1">
        <v>8</v>
      </c>
      <c r="N334">
        <v>1</v>
      </c>
      <c r="O334" s="3">
        <f>IF(
    R334="Ancien",
    _xlfn.XLOOKUP(
        Final_Sans_VGE[[#This Row],[ppn_z]],
        tbl_Historique_Final[ppn_z],
        tbl_Historique_Final[Horodatage],
        ""
    ),
    Horodatage!$A$2
)</f>
        <v>46233.670796365739</v>
      </c>
      <c r="P334" s="1" t="str">
        <f>IFERROR(IF(tbl_Historique_Final[[#This Row],[Commentaires]]&lt;&gt;"",tbl_Historique_Final[[#This Row],[Commentaires]],""),"")</f>
        <v/>
      </c>
      <c r="X334" s="8" t="str">
        <f>IF(Final_Sans_VGE[[#This Row],[ppn_z]]="","",IFERROR(
   IF(_xlfn.XLOOKUP(Final_Sans_VGE[[#This Row],[ppn_z]],tbl_Historique_Final[ppn_z],tbl_Historique_Final[date_modif])=Final_Sans_VGE[[#This Row],[date_modif]],
      "Ancien",
      "Modifié"),
   "Nouveau"))</f>
        <v>Ancien</v>
      </c>
      <c r="AC334"/>
      <c r="AD334"/>
    </row>
    <row r="335" spans="1:30" x14ac:dyDescent="0.25">
      <c r="A335" s="5" t="s">
        <v>1109</v>
      </c>
      <c r="B335" s="1" t="s">
        <v>7010</v>
      </c>
      <c r="C335" s="1" t="s">
        <v>57</v>
      </c>
      <c r="J335" s="3">
        <v>45358.196817129632</v>
      </c>
      <c r="L335" s="1">
        <v>5</v>
      </c>
      <c r="M335" s="1">
        <v>6</v>
      </c>
      <c r="N335">
        <v>1</v>
      </c>
      <c r="O335" s="3">
        <f>IF(
    R335="Ancien",
    _xlfn.XLOOKUP(
        Final_Sans_VGE[[#This Row],[ppn_z]],
        tbl_Historique_Final[ppn_z],
        tbl_Historique_Final[Horodatage],
        ""
    ),
    Horodatage!$A$2
)</f>
        <v>46233.670796365739</v>
      </c>
      <c r="P335" s="1" t="str">
        <f>IFERROR(IF(tbl_Historique_Final[[#This Row],[Commentaires]]&lt;&gt;"",tbl_Historique_Final[[#This Row],[Commentaires]],""),"")</f>
        <v/>
      </c>
      <c r="X335" s="8" t="str">
        <f>IF(Final_Sans_VGE[[#This Row],[ppn_z]]="","",IFERROR(
   IF(_xlfn.XLOOKUP(Final_Sans_VGE[[#This Row],[ppn_z]],tbl_Historique_Final[ppn_z],tbl_Historique_Final[date_modif])=Final_Sans_VGE[[#This Row],[date_modif]],
      "Ancien",
      "Modifié"),
   "Nouveau"))</f>
        <v>Ancien</v>
      </c>
      <c r="AC335"/>
      <c r="AD335"/>
    </row>
    <row r="336" spans="1:30" x14ac:dyDescent="0.25">
      <c r="A336" s="5" t="s">
        <v>1115</v>
      </c>
      <c r="B336" s="1" t="s">
        <v>7011</v>
      </c>
      <c r="C336" s="1" t="s">
        <v>52</v>
      </c>
      <c r="J336" s="3">
        <v>45358.682881944442</v>
      </c>
      <c r="L336" s="1">
        <v>1</v>
      </c>
      <c r="M336" s="1">
        <v>1</v>
      </c>
      <c r="N336">
        <v>0</v>
      </c>
      <c r="O336" s="3">
        <f>IF(
    R336="Ancien",
    _xlfn.XLOOKUP(
        Final_Sans_VGE[[#This Row],[ppn_z]],
        tbl_Historique_Final[ppn_z],
        tbl_Historique_Final[Horodatage],
        ""
    ),
    Horodatage!$A$2
)</f>
        <v>46233.670796365739</v>
      </c>
      <c r="P336" s="1" t="str">
        <f>IFERROR(IF(tbl_Historique_Final[[#This Row],[Commentaires]]&lt;&gt;"",tbl_Historique_Final[[#This Row],[Commentaires]],""),"")</f>
        <v/>
      </c>
      <c r="X336" s="8" t="str">
        <f>IF(Final_Sans_VGE[[#This Row],[ppn_z]]="","",IFERROR(
   IF(_xlfn.XLOOKUP(Final_Sans_VGE[[#This Row],[ppn_z]],tbl_Historique_Final[ppn_z],tbl_Historique_Final[date_modif])=Final_Sans_VGE[[#This Row],[date_modif]],
      "Ancien",
      "Modifié"),
   "Nouveau"))</f>
        <v>Ancien</v>
      </c>
      <c r="AC336"/>
      <c r="AD336"/>
    </row>
    <row r="337" spans="1:30" x14ac:dyDescent="0.25">
      <c r="A337" s="5" t="s">
        <v>1118</v>
      </c>
      <c r="B337" s="1" t="s">
        <v>7012</v>
      </c>
      <c r="C337" s="1" t="s">
        <v>12</v>
      </c>
      <c r="G337" s="1" t="s">
        <v>10</v>
      </c>
      <c r="J337" s="3">
        <v>45383.866539351853</v>
      </c>
      <c r="K337" s="2" t="s">
        <v>6589</v>
      </c>
      <c r="L337" s="1">
        <v>1</v>
      </c>
      <c r="M337" s="1">
        <v>1</v>
      </c>
      <c r="N337">
        <v>0</v>
      </c>
      <c r="O337" s="3">
        <f>IF(
    R337="Ancien",
    _xlfn.XLOOKUP(
        Final_Sans_VGE[[#This Row],[ppn_z]],
        tbl_Historique_Final[ppn_z],
        tbl_Historique_Final[Horodatage],
        ""
    ),
    Horodatage!$A$2
)</f>
        <v>46233.670796365739</v>
      </c>
      <c r="P337" s="1" t="str">
        <f>IFERROR(IF(tbl_Historique_Final[[#This Row],[Commentaires]]&lt;&gt;"",tbl_Historique_Final[[#This Row],[Commentaires]],""),"")</f>
        <v/>
      </c>
      <c r="X337" s="8" t="str">
        <f>IF(Final_Sans_VGE[[#This Row],[ppn_z]]="","",IFERROR(
   IF(_xlfn.XLOOKUP(Final_Sans_VGE[[#This Row],[ppn_z]],tbl_Historique_Final[ppn_z],tbl_Historique_Final[date_modif])=Final_Sans_VGE[[#This Row],[date_modif]],
      "Ancien",
      "Modifié"),
   "Nouveau"))</f>
        <v>Ancien</v>
      </c>
      <c r="AC337"/>
      <c r="AD337"/>
    </row>
    <row r="338" spans="1:30" x14ac:dyDescent="0.25">
      <c r="A338" s="5" t="s">
        <v>1121</v>
      </c>
      <c r="B338" s="1" t="s">
        <v>7013</v>
      </c>
      <c r="C338" s="1" t="s">
        <v>73</v>
      </c>
      <c r="J338" s="3">
        <v>45358.094050925924</v>
      </c>
      <c r="L338" s="1">
        <v>3</v>
      </c>
      <c r="M338" s="1">
        <v>3</v>
      </c>
      <c r="N338">
        <v>0</v>
      </c>
      <c r="O338" s="3">
        <f>IF(
    R338="Ancien",
    _xlfn.XLOOKUP(
        Final_Sans_VGE[[#This Row],[ppn_z]],
        tbl_Historique_Final[ppn_z],
        tbl_Historique_Final[Horodatage],
        ""
    ),
    Horodatage!$A$2
)</f>
        <v>46233.670796365739</v>
      </c>
      <c r="P338" s="1" t="str">
        <f>IFERROR(IF(tbl_Historique_Final[[#This Row],[Commentaires]]&lt;&gt;"",tbl_Historique_Final[[#This Row],[Commentaires]],""),"")</f>
        <v/>
      </c>
      <c r="X338" s="8" t="str">
        <f>IF(Final_Sans_VGE[[#This Row],[ppn_z]]="","",IFERROR(
   IF(_xlfn.XLOOKUP(Final_Sans_VGE[[#This Row],[ppn_z]],tbl_Historique_Final[ppn_z],tbl_Historique_Final[date_modif])=Final_Sans_VGE[[#This Row],[date_modif]],
      "Ancien",
      "Modifié"),
   "Nouveau"))</f>
        <v>Ancien</v>
      </c>
      <c r="AC338"/>
      <c r="AD338"/>
    </row>
    <row r="339" spans="1:30" x14ac:dyDescent="0.25">
      <c r="A339" s="5" t="s">
        <v>1124</v>
      </c>
      <c r="B339" s="1" t="s">
        <v>7014</v>
      </c>
      <c r="C339" s="1" t="s">
        <v>12</v>
      </c>
      <c r="G339" s="1" t="s">
        <v>10</v>
      </c>
      <c r="J339" s="3">
        <v>45412.491423611114</v>
      </c>
      <c r="K339" s="2" t="s">
        <v>7015</v>
      </c>
      <c r="L339" s="1">
        <v>1</v>
      </c>
      <c r="M339" s="1">
        <v>1</v>
      </c>
      <c r="N339">
        <v>0</v>
      </c>
      <c r="O339" s="3">
        <f>IF(
    R339="Ancien",
    _xlfn.XLOOKUP(
        Final_Sans_VGE[[#This Row],[ppn_z]],
        tbl_Historique_Final[ppn_z],
        tbl_Historique_Final[Horodatage],
        ""
    ),
    Horodatage!$A$2
)</f>
        <v>46233.670796365739</v>
      </c>
      <c r="P339" s="1" t="str">
        <f>IFERROR(IF(tbl_Historique_Final[[#This Row],[Commentaires]]&lt;&gt;"",tbl_Historique_Final[[#This Row],[Commentaires]],""),"")</f>
        <v/>
      </c>
      <c r="X339" s="8" t="str">
        <f>IF(Final_Sans_VGE[[#This Row],[ppn_z]]="","",IFERROR(
   IF(_xlfn.XLOOKUP(Final_Sans_VGE[[#This Row],[ppn_z]],tbl_Historique_Final[ppn_z],tbl_Historique_Final[date_modif])=Final_Sans_VGE[[#This Row],[date_modif]],
      "Ancien",
      "Modifié"),
   "Nouveau"))</f>
        <v>Ancien</v>
      </c>
      <c r="AC339"/>
      <c r="AD339"/>
    </row>
    <row r="340" spans="1:30" x14ac:dyDescent="0.25">
      <c r="A340" s="5" t="s">
        <v>1127</v>
      </c>
      <c r="B340" s="1" t="s">
        <v>7016</v>
      </c>
      <c r="C340" s="1" t="s">
        <v>12</v>
      </c>
      <c r="G340" s="1" t="s">
        <v>11</v>
      </c>
      <c r="J340" s="3">
        <v>45362.379988425928</v>
      </c>
      <c r="K340" s="2" t="s">
        <v>7017</v>
      </c>
      <c r="L340" s="1">
        <v>2</v>
      </c>
      <c r="M340" s="1">
        <v>2</v>
      </c>
      <c r="N340">
        <v>0</v>
      </c>
      <c r="O340" s="3">
        <f>IF(
    R340="Ancien",
    _xlfn.XLOOKUP(
        Final_Sans_VGE[[#This Row],[ppn_z]],
        tbl_Historique_Final[ppn_z],
        tbl_Historique_Final[Horodatage],
        ""
    ),
    Horodatage!$A$2
)</f>
        <v>46233.670796365739</v>
      </c>
      <c r="P340" s="1" t="str">
        <f>IFERROR(IF(tbl_Historique_Final[[#This Row],[Commentaires]]&lt;&gt;"",tbl_Historique_Final[[#This Row],[Commentaires]],""),"")</f>
        <v/>
      </c>
      <c r="X340" s="8" t="str">
        <f>IF(Final_Sans_VGE[[#This Row],[ppn_z]]="","",IFERROR(
   IF(_xlfn.XLOOKUP(Final_Sans_VGE[[#This Row],[ppn_z]],tbl_Historique_Final[ppn_z],tbl_Historique_Final[date_modif])=Final_Sans_VGE[[#This Row],[date_modif]],
      "Ancien",
      "Modifié"),
   "Nouveau"))</f>
        <v>Ancien</v>
      </c>
      <c r="AC340"/>
      <c r="AD340"/>
    </row>
    <row r="341" spans="1:30" x14ac:dyDescent="0.25">
      <c r="A341" s="5" t="s">
        <v>1130</v>
      </c>
      <c r="B341" s="1" t="s">
        <v>7018</v>
      </c>
      <c r="C341" s="1" t="s">
        <v>12</v>
      </c>
      <c r="G341" s="1" t="s">
        <v>10</v>
      </c>
      <c r="J341" s="3">
        <v>45412.552256944444</v>
      </c>
      <c r="K341" s="2" t="s">
        <v>7019</v>
      </c>
      <c r="L341" s="1">
        <v>1</v>
      </c>
      <c r="M341" s="1">
        <v>1</v>
      </c>
      <c r="N341">
        <v>0</v>
      </c>
      <c r="O341" s="3">
        <f>IF(
    R341="Ancien",
    _xlfn.XLOOKUP(
        Final_Sans_VGE[[#This Row],[ppn_z]],
        tbl_Historique_Final[ppn_z],
        tbl_Historique_Final[Horodatage],
        ""
    ),
    Horodatage!$A$2
)</f>
        <v>46233.670796365739</v>
      </c>
      <c r="P341" s="1" t="str">
        <f>IFERROR(IF(tbl_Historique_Final[[#This Row],[Commentaires]]&lt;&gt;"",tbl_Historique_Final[[#This Row],[Commentaires]],""),"")</f>
        <v/>
      </c>
      <c r="X341" s="8" t="str">
        <f>IF(Final_Sans_VGE[[#This Row],[ppn_z]]="","",IFERROR(
   IF(_xlfn.XLOOKUP(Final_Sans_VGE[[#This Row],[ppn_z]],tbl_Historique_Final[ppn_z],tbl_Historique_Final[date_modif])=Final_Sans_VGE[[#This Row],[date_modif]],
      "Ancien",
      "Modifié"),
   "Nouveau"))</f>
        <v>Ancien</v>
      </c>
      <c r="AC341"/>
      <c r="AD341"/>
    </row>
    <row r="342" spans="1:30" ht="45" x14ac:dyDescent="0.25">
      <c r="A342" s="5" t="s">
        <v>1133</v>
      </c>
      <c r="B342" s="1" t="s">
        <v>7020</v>
      </c>
      <c r="C342" s="1" t="s">
        <v>12</v>
      </c>
      <c r="G342" s="1" t="s">
        <v>11</v>
      </c>
      <c r="J342" s="3">
        <v>45408.57167824074</v>
      </c>
      <c r="K342" s="2" t="s">
        <v>7021</v>
      </c>
      <c r="L342" s="1">
        <v>2</v>
      </c>
      <c r="M342" s="1">
        <v>2</v>
      </c>
      <c r="N342">
        <v>0</v>
      </c>
      <c r="O342" s="3">
        <f>IF(
    R342="Ancien",
    _xlfn.XLOOKUP(
        Final_Sans_VGE[[#This Row],[ppn_z]],
        tbl_Historique_Final[ppn_z],
        tbl_Historique_Final[Horodatage],
        ""
    ),
    Horodatage!$A$2
)</f>
        <v>46233.670796365739</v>
      </c>
      <c r="P342" s="1" t="str">
        <f>IFERROR(IF(tbl_Historique_Final[[#This Row],[Commentaires]]&lt;&gt;"",tbl_Historique_Final[[#This Row],[Commentaires]],""),"")</f>
        <v/>
      </c>
      <c r="X342" s="8" t="str">
        <f>IF(Final_Sans_VGE[[#This Row],[ppn_z]]="","",IFERROR(
   IF(_xlfn.XLOOKUP(Final_Sans_VGE[[#This Row],[ppn_z]],tbl_Historique_Final[ppn_z],tbl_Historique_Final[date_modif])=Final_Sans_VGE[[#This Row],[date_modif]],
      "Ancien",
      "Modifié"),
   "Nouveau"))</f>
        <v>Ancien</v>
      </c>
      <c r="AC342"/>
      <c r="AD342"/>
    </row>
    <row r="343" spans="1:30" ht="30" x14ac:dyDescent="0.25">
      <c r="A343" s="5" t="s">
        <v>1136</v>
      </c>
      <c r="B343" s="1" t="s">
        <v>7022</v>
      </c>
      <c r="C343" s="1" t="s">
        <v>12</v>
      </c>
      <c r="G343" s="1" t="s">
        <v>10</v>
      </c>
      <c r="J343" s="3">
        <v>45413.2425</v>
      </c>
      <c r="K343" s="2" t="s">
        <v>7023</v>
      </c>
      <c r="L343" s="1">
        <v>2</v>
      </c>
      <c r="M343" s="1">
        <v>3</v>
      </c>
      <c r="N343">
        <v>1</v>
      </c>
      <c r="O343" s="3">
        <f>IF(
    R343="Ancien",
    _xlfn.XLOOKUP(
        Final_Sans_VGE[[#This Row],[ppn_z]],
        tbl_Historique_Final[ppn_z],
        tbl_Historique_Final[Horodatage],
        ""
    ),
    Horodatage!$A$2
)</f>
        <v>46233.670796365739</v>
      </c>
      <c r="P343" s="1" t="str">
        <f>IFERROR(IF(tbl_Historique_Final[[#This Row],[Commentaires]]&lt;&gt;"",tbl_Historique_Final[[#This Row],[Commentaires]],""),"")</f>
        <v/>
      </c>
      <c r="X343" s="8" t="str">
        <f>IF(Final_Sans_VGE[[#This Row],[ppn_z]]="","",IFERROR(
   IF(_xlfn.XLOOKUP(Final_Sans_VGE[[#This Row],[ppn_z]],tbl_Historique_Final[ppn_z],tbl_Historique_Final[date_modif])=Final_Sans_VGE[[#This Row],[date_modif]],
      "Ancien",
      "Modifié"),
   "Nouveau"))</f>
        <v>Ancien</v>
      </c>
      <c r="AC343"/>
      <c r="AD343"/>
    </row>
    <row r="344" spans="1:30" ht="30" x14ac:dyDescent="0.25">
      <c r="A344" s="5" t="s">
        <v>1139</v>
      </c>
      <c r="B344" s="1" t="s">
        <v>7024</v>
      </c>
      <c r="C344" s="1" t="s">
        <v>12</v>
      </c>
      <c r="G344" s="1" t="s">
        <v>11</v>
      </c>
      <c r="J344" s="3">
        <v>45373.363194444442</v>
      </c>
      <c r="K344" s="2" t="s">
        <v>7025</v>
      </c>
      <c r="L344" s="1">
        <v>1</v>
      </c>
      <c r="M344" s="1">
        <v>1</v>
      </c>
      <c r="N344">
        <v>0</v>
      </c>
      <c r="O344" s="3">
        <f>IF(
    R344="Ancien",
    _xlfn.XLOOKUP(
        Final_Sans_VGE[[#This Row],[ppn_z]],
        tbl_Historique_Final[ppn_z],
        tbl_Historique_Final[Horodatage],
        ""
    ),
    Horodatage!$A$2
)</f>
        <v>46233.670796365739</v>
      </c>
      <c r="P344" s="1" t="str">
        <f>IFERROR(IF(tbl_Historique_Final[[#This Row],[Commentaires]]&lt;&gt;"",tbl_Historique_Final[[#This Row],[Commentaires]],""),"")</f>
        <v/>
      </c>
      <c r="X344" s="8" t="str">
        <f>IF(Final_Sans_VGE[[#This Row],[ppn_z]]="","",IFERROR(
   IF(_xlfn.XLOOKUP(Final_Sans_VGE[[#This Row],[ppn_z]],tbl_Historique_Final[ppn_z],tbl_Historique_Final[date_modif])=Final_Sans_VGE[[#This Row],[date_modif]],
      "Ancien",
      "Modifié"),
   "Nouveau"))</f>
        <v>Ancien</v>
      </c>
      <c r="AC344"/>
      <c r="AD344"/>
    </row>
    <row r="345" spans="1:30" x14ac:dyDescent="0.25">
      <c r="A345" s="5" t="s">
        <v>1142</v>
      </c>
      <c r="B345" s="1" t="s">
        <v>7026</v>
      </c>
      <c r="C345" s="1" t="s">
        <v>12</v>
      </c>
      <c r="G345" s="1" t="s">
        <v>10</v>
      </c>
      <c r="J345" s="3">
        <v>45363.052187499998</v>
      </c>
      <c r="K345" s="2" t="s">
        <v>7027</v>
      </c>
      <c r="L345" s="1">
        <v>2</v>
      </c>
      <c r="M345" s="1">
        <v>2</v>
      </c>
      <c r="N345">
        <v>0</v>
      </c>
      <c r="O345" s="3">
        <f>IF(
    R345="Ancien",
    _xlfn.XLOOKUP(
        Final_Sans_VGE[[#This Row],[ppn_z]],
        tbl_Historique_Final[ppn_z],
        tbl_Historique_Final[Horodatage],
        ""
    ),
    Horodatage!$A$2
)</f>
        <v>46233.670796365739</v>
      </c>
      <c r="P345" s="1" t="str">
        <f>IFERROR(IF(tbl_Historique_Final[[#This Row],[Commentaires]]&lt;&gt;"",tbl_Historique_Final[[#This Row],[Commentaires]],""),"")</f>
        <v/>
      </c>
      <c r="X345" s="8" t="str">
        <f>IF(Final_Sans_VGE[[#This Row],[ppn_z]]="","",IFERROR(
   IF(_xlfn.XLOOKUP(Final_Sans_VGE[[#This Row],[ppn_z]],tbl_Historique_Final[ppn_z],tbl_Historique_Final[date_modif])=Final_Sans_VGE[[#This Row],[date_modif]],
      "Ancien",
      "Modifié"),
   "Nouveau"))</f>
        <v>Ancien</v>
      </c>
      <c r="AC345"/>
      <c r="AD345"/>
    </row>
    <row r="346" spans="1:30" x14ac:dyDescent="0.25">
      <c r="A346" s="5" t="s">
        <v>1145</v>
      </c>
      <c r="B346" s="1" t="s">
        <v>7028</v>
      </c>
      <c r="C346" s="1" t="s">
        <v>6473</v>
      </c>
      <c r="J346" s="3">
        <v>45357.905324074076</v>
      </c>
      <c r="L346" s="1">
        <v>3</v>
      </c>
      <c r="M346" s="1">
        <v>3</v>
      </c>
      <c r="N346">
        <v>0</v>
      </c>
      <c r="O346" s="3">
        <f>IF(
    R346="Ancien",
    _xlfn.XLOOKUP(
        Final_Sans_VGE[[#This Row],[ppn_z]],
        tbl_Historique_Final[ppn_z],
        tbl_Historique_Final[Horodatage],
        ""
    ),
    Horodatage!$A$2
)</f>
        <v>46233.670796365739</v>
      </c>
      <c r="P346" s="1" t="str">
        <f>IFERROR(IF(tbl_Historique_Final[[#This Row],[Commentaires]]&lt;&gt;"",tbl_Historique_Final[[#This Row],[Commentaires]],""),"")</f>
        <v/>
      </c>
      <c r="X346" s="8" t="str">
        <f>IF(Final_Sans_VGE[[#This Row],[ppn_z]]="","",IFERROR(
   IF(_xlfn.XLOOKUP(Final_Sans_VGE[[#This Row],[ppn_z]],tbl_Historique_Final[ppn_z],tbl_Historique_Final[date_modif])=Final_Sans_VGE[[#This Row],[date_modif]],
      "Ancien",
      "Modifié"),
   "Nouveau"))</f>
        <v>Ancien</v>
      </c>
      <c r="AC346"/>
      <c r="AD346"/>
    </row>
    <row r="347" spans="1:30" x14ac:dyDescent="0.25">
      <c r="A347" s="5" t="s">
        <v>1151</v>
      </c>
      <c r="B347" s="1" t="s">
        <v>7029</v>
      </c>
      <c r="C347" s="1" t="s">
        <v>12</v>
      </c>
      <c r="G347" s="1" t="s">
        <v>10</v>
      </c>
      <c r="J347" s="3">
        <v>45363.713287037041</v>
      </c>
      <c r="K347" s="2" t="s">
        <v>6935</v>
      </c>
      <c r="L347" s="1">
        <v>1</v>
      </c>
      <c r="M347" s="1">
        <v>1</v>
      </c>
      <c r="N347">
        <v>0</v>
      </c>
      <c r="O347" s="3">
        <f>IF(
    R347="Ancien",
    _xlfn.XLOOKUP(
        Final_Sans_VGE[[#This Row],[ppn_z]],
        tbl_Historique_Final[ppn_z],
        tbl_Historique_Final[Horodatage],
        ""
    ),
    Horodatage!$A$2
)</f>
        <v>46233.670796365739</v>
      </c>
      <c r="P347" s="1" t="str">
        <f>IFERROR(IF(tbl_Historique_Final[[#This Row],[Commentaires]]&lt;&gt;"",tbl_Historique_Final[[#This Row],[Commentaires]],""),"")</f>
        <v/>
      </c>
      <c r="X347" s="8" t="str">
        <f>IF(Final_Sans_VGE[[#This Row],[ppn_z]]="","",IFERROR(
   IF(_xlfn.XLOOKUP(Final_Sans_VGE[[#This Row],[ppn_z]],tbl_Historique_Final[ppn_z],tbl_Historique_Final[date_modif])=Final_Sans_VGE[[#This Row],[date_modif]],
      "Ancien",
      "Modifié"),
   "Nouveau"))</f>
        <v>Ancien</v>
      </c>
      <c r="AC347"/>
      <c r="AD347"/>
    </row>
    <row r="348" spans="1:30" ht="30" x14ac:dyDescent="0.25">
      <c r="A348" s="5" t="s">
        <v>1154</v>
      </c>
      <c r="B348" s="1" t="s">
        <v>7030</v>
      </c>
      <c r="C348" s="1" t="s">
        <v>121</v>
      </c>
      <c r="G348" s="1" t="s">
        <v>10</v>
      </c>
      <c r="J348" s="3">
        <v>45414.460925925923</v>
      </c>
      <c r="K348" s="2" t="s">
        <v>7031</v>
      </c>
      <c r="L348" s="1">
        <v>1</v>
      </c>
      <c r="M348" s="1">
        <v>1</v>
      </c>
      <c r="N348">
        <v>0</v>
      </c>
      <c r="O348" s="3">
        <f>IF(
    R348="Ancien",
    _xlfn.XLOOKUP(
        Final_Sans_VGE[[#This Row],[ppn_z]],
        tbl_Historique_Final[ppn_z],
        tbl_Historique_Final[Horodatage],
        ""
    ),
    Horodatage!$A$2
)</f>
        <v>46233.670796365739</v>
      </c>
      <c r="P348" s="1" t="str">
        <f>IFERROR(IF(tbl_Historique_Final[[#This Row],[Commentaires]]&lt;&gt;"",tbl_Historique_Final[[#This Row],[Commentaires]],""),"")</f>
        <v/>
      </c>
      <c r="X348" s="8" t="str">
        <f>IF(Final_Sans_VGE[[#This Row],[ppn_z]]="","",IFERROR(
   IF(_xlfn.XLOOKUP(Final_Sans_VGE[[#This Row],[ppn_z]],tbl_Historique_Final[ppn_z],tbl_Historique_Final[date_modif])=Final_Sans_VGE[[#This Row],[date_modif]],
      "Ancien",
      "Modifié"),
   "Nouveau"))</f>
        <v>Ancien</v>
      </c>
      <c r="AC348"/>
      <c r="AD348"/>
    </row>
    <row r="349" spans="1:30" x14ac:dyDescent="0.25">
      <c r="A349" s="5" t="s">
        <v>1157</v>
      </c>
      <c r="B349" s="1" t="s">
        <v>7032</v>
      </c>
      <c r="C349" s="1" t="s">
        <v>7033</v>
      </c>
      <c r="J349" s="3">
        <v>45358.044016203705</v>
      </c>
      <c r="L349" s="1">
        <v>1</v>
      </c>
      <c r="M349" s="1">
        <v>1</v>
      </c>
      <c r="N349">
        <v>0</v>
      </c>
      <c r="O349" s="3">
        <f>IF(
    R349="Ancien",
    _xlfn.XLOOKUP(
        Final_Sans_VGE[[#This Row],[ppn_z]],
        tbl_Historique_Final[ppn_z],
        tbl_Historique_Final[Horodatage],
        ""
    ),
    Horodatage!$A$2
)</f>
        <v>46233.670796365739</v>
      </c>
      <c r="P349" s="1" t="str">
        <f>IFERROR(IF(tbl_Historique_Final[[#This Row],[Commentaires]]&lt;&gt;"",tbl_Historique_Final[[#This Row],[Commentaires]],""),"")</f>
        <v/>
      </c>
      <c r="X349" s="8" t="str">
        <f>IF(Final_Sans_VGE[[#This Row],[ppn_z]]="","",IFERROR(
   IF(_xlfn.XLOOKUP(Final_Sans_VGE[[#This Row],[ppn_z]],tbl_Historique_Final[ppn_z],tbl_Historique_Final[date_modif])=Final_Sans_VGE[[#This Row],[date_modif]],
      "Ancien",
      "Modifié"),
   "Nouveau"))</f>
        <v>Ancien</v>
      </c>
      <c r="AC349"/>
      <c r="AD349"/>
    </row>
    <row r="350" spans="1:30" ht="45" x14ac:dyDescent="0.25">
      <c r="A350" s="5" t="s">
        <v>1160</v>
      </c>
      <c r="B350" s="1" t="s">
        <v>7034</v>
      </c>
      <c r="C350" s="1" t="s">
        <v>12</v>
      </c>
      <c r="G350" s="1" t="s">
        <v>10</v>
      </c>
      <c r="J350" s="3">
        <v>45406.532280092593</v>
      </c>
      <c r="K350" s="2" t="s">
        <v>7035</v>
      </c>
      <c r="L350" s="1">
        <v>11</v>
      </c>
      <c r="M350" s="1">
        <v>12</v>
      </c>
      <c r="N350">
        <v>1</v>
      </c>
      <c r="O350" s="3">
        <f>IF(
    R350="Ancien",
    _xlfn.XLOOKUP(
        Final_Sans_VGE[[#This Row],[ppn_z]],
        tbl_Historique_Final[ppn_z],
        tbl_Historique_Final[Horodatage],
        ""
    ),
    Horodatage!$A$2
)</f>
        <v>46233.670796365739</v>
      </c>
      <c r="P350" s="1" t="str">
        <f>IFERROR(IF(tbl_Historique_Final[[#This Row],[Commentaires]]&lt;&gt;"",tbl_Historique_Final[[#This Row],[Commentaires]],""),"")</f>
        <v/>
      </c>
      <c r="X350" s="8" t="str">
        <f>IF(Final_Sans_VGE[[#This Row],[ppn_z]]="","",IFERROR(
   IF(_xlfn.XLOOKUP(Final_Sans_VGE[[#This Row],[ppn_z]],tbl_Historique_Final[ppn_z],tbl_Historique_Final[date_modif])=Final_Sans_VGE[[#This Row],[date_modif]],
      "Ancien",
      "Modifié"),
   "Nouveau"))</f>
        <v>Ancien</v>
      </c>
      <c r="AC350"/>
      <c r="AD350"/>
    </row>
    <row r="351" spans="1:30" x14ac:dyDescent="0.25">
      <c r="A351" s="5" t="s">
        <v>1163</v>
      </c>
      <c r="B351" s="1" t="s">
        <v>7036</v>
      </c>
      <c r="C351" s="1" t="s">
        <v>12</v>
      </c>
      <c r="G351" s="1" t="s">
        <v>10</v>
      </c>
      <c r="J351" s="3">
        <v>45364.070219907408</v>
      </c>
      <c r="K351" s="2" t="s">
        <v>7037</v>
      </c>
      <c r="L351" s="1">
        <v>6</v>
      </c>
      <c r="M351" s="1">
        <v>7</v>
      </c>
      <c r="N351">
        <v>1</v>
      </c>
      <c r="O351" s="3">
        <f>IF(
    R351="Ancien",
    _xlfn.XLOOKUP(
        Final_Sans_VGE[[#This Row],[ppn_z]],
        tbl_Historique_Final[ppn_z],
        tbl_Historique_Final[Horodatage],
        ""
    ),
    Horodatage!$A$2
)</f>
        <v>46233.670796365739</v>
      </c>
      <c r="P351" s="1" t="str">
        <f>IFERROR(IF(tbl_Historique_Final[[#This Row],[Commentaires]]&lt;&gt;"",tbl_Historique_Final[[#This Row],[Commentaires]],""),"")</f>
        <v/>
      </c>
      <c r="X351" s="8" t="str">
        <f>IF(Final_Sans_VGE[[#This Row],[ppn_z]]="","",IFERROR(
   IF(_xlfn.XLOOKUP(Final_Sans_VGE[[#This Row],[ppn_z]],tbl_Historique_Final[ppn_z],tbl_Historique_Final[date_modif])=Final_Sans_VGE[[#This Row],[date_modif]],
      "Ancien",
      "Modifié"),
   "Nouveau"))</f>
        <v>Ancien</v>
      </c>
      <c r="AC351"/>
      <c r="AD351"/>
    </row>
    <row r="352" spans="1:30" ht="30" x14ac:dyDescent="0.25">
      <c r="A352" s="5" t="s">
        <v>1166</v>
      </c>
      <c r="B352" s="1" t="s">
        <v>7038</v>
      </c>
      <c r="C352" s="1" t="s">
        <v>12</v>
      </c>
      <c r="G352" s="1" t="s">
        <v>10</v>
      </c>
      <c r="J352" s="3">
        <v>45387.456342592595</v>
      </c>
      <c r="K352" s="2" t="s">
        <v>7039</v>
      </c>
      <c r="L352" s="1">
        <v>1</v>
      </c>
      <c r="M352" s="1">
        <v>1</v>
      </c>
      <c r="N352">
        <v>0</v>
      </c>
      <c r="O352" s="3">
        <f>IF(
    R352="Ancien",
    _xlfn.XLOOKUP(
        Final_Sans_VGE[[#This Row],[ppn_z]],
        tbl_Historique_Final[ppn_z],
        tbl_Historique_Final[Horodatage],
        ""
    ),
    Horodatage!$A$2
)</f>
        <v>46233.670796365739</v>
      </c>
      <c r="P352" s="1" t="str">
        <f>IFERROR(IF(tbl_Historique_Final[[#This Row],[Commentaires]]&lt;&gt;"",tbl_Historique_Final[[#This Row],[Commentaires]],""),"")</f>
        <v/>
      </c>
      <c r="X352" s="8" t="str">
        <f>IF(Final_Sans_VGE[[#This Row],[ppn_z]]="","",IFERROR(
   IF(_xlfn.XLOOKUP(Final_Sans_VGE[[#This Row],[ppn_z]],tbl_Historique_Final[ppn_z],tbl_Historique_Final[date_modif])=Final_Sans_VGE[[#This Row],[date_modif]],
      "Ancien",
      "Modifié"),
   "Nouveau"))</f>
        <v>Ancien</v>
      </c>
      <c r="AC352"/>
      <c r="AD352"/>
    </row>
    <row r="353" spans="1:30" ht="45" x14ac:dyDescent="0.25">
      <c r="A353" s="5" t="s">
        <v>1169</v>
      </c>
      <c r="B353" s="1" t="s">
        <v>7040</v>
      </c>
      <c r="C353" s="1" t="s">
        <v>35</v>
      </c>
      <c r="G353" s="1" t="s">
        <v>11</v>
      </c>
      <c r="J353" s="3">
        <v>45364.352210648147</v>
      </c>
      <c r="K353" s="2" t="s">
        <v>7041</v>
      </c>
      <c r="L353" s="1">
        <v>1</v>
      </c>
      <c r="M353" s="1">
        <v>1</v>
      </c>
      <c r="N353">
        <v>0</v>
      </c>
      <c r="O353" s="3">
        <f>IF(
    R353="Ancien",
    _xlfn.XLOOKUP(
        Final_Sans_VGE[[#This Row],[ppn_z]],
        tbl_Historique_Final[ppn_z],
        tbl_Historique_Final[Horodatage],
        ""
    ),
    Horodatage!$A$2
)</f>
        <v>46233.670796365739</v>
      </c>
      <c r="P353" s="1" t="str">
        <f>IFERROR(IF(tbl_Historique_Final[[#This Row],[Commentaires]]&lt;&gt;"",tbl_Historique_Final[[#This Row],[Commentaires]],""),"")</f>
        <v/>
      </c>
      <c r="X353" s="8" t="str">
        <f>IF(Final_Sans_VGE[[#This Row],[ppn_z]]="","",IFERROR(
   IF(_xlfn.XLOOKUP(Final_Sans_VGE[[#This Row],[ppn_z]],tbl_Historique_Final[ppn_z],tbl_Historique_Final[date_modif])=Final_Sans_VGE[[#This Row],[date_modif]],
      "Ancien",
      "Modifié"),
   "Nouveau"))</f>
        <v>Ancien</v>
      </c>
      <c r="AC353"/>
      <c r="AD353"/>
    </row>
    <row r="354" spans="1:30" x14ac:dyDescent="0.25">
      <c r="A354" s="5" t="s">
        <v>1172</v>
      </c>
      <c r="B354" s="1" t="s">
        <v>7042</v>
      </c>
      <c r="C354" s="1" t="s">
        <v>12</v>
      </c>
      <c r="G354" s="1" t="s">
        <v>11</v>
      </c>
      <c r="J354" s="3">
        <v>45365.147997685184</v>
      </c>
      <c r="K354" s="2" t="s">
        <v>7043</v>
      </c>
      <c r="L354" s="1">
        <v>1</v>
      </c>
      <c r="M354" s="1">
        <v>2</v>
      </c>
      <c r="N354">
        <v>1</v>
      </c>
      <c r="O354" s="3">
        <f>IF(
    R354="Ancien",
    _xlfn.XLOOKUP(
        Final_Sans_VGE[[#This Row],[ppn_z]],
        tbl_Historique_Final[ppn_z],
        tbl_Historique_Final[Horodatage],
        ""
    ),
    Horodatage!$A$2
)</f>
        <v>46233.670796365739</v>
      </c>
      <c r="P354" s="1" t="str">
        <f>IFERROR(IF(tbl_Historique_Final[[#This Row],[Commentaires]]&lt;&gt;"",tbl_Historique_Final[[#This Row],[Commentaires]],""),"")</f>
        <v/>
      </c>
      <c r="X354" s="8" t="str">
        <f>IF(Final_Sans_VGE[[#This Row],[ppn_z]]="","",IFERROR(
   IF(_xlfn.XLOOKUP(Final_Sans_VGE[[#This Row],[ppn_z]],tbl_Historique_Final[ppn_z],tbl_Historique_Final[date_modif])=Final_Sans_VGE[[#This Row],[date_modif]],
      "Ancien",
      "Modifié"),
   "Nouveau"))</f>
        <v>Ancien</v>
      </c>
      <c r="AC354"/>
      <c r="AD354"/>
    </row>
    <row r="355" spans="1:30" ht="90" x14ac:dyDescent="0.25">
      <c r="A355" s="5" t="s">
        <v>1175</v>
      </c>
      <c r="B355" s="1" t="s">
        <v>7044</v>
      </c>
      <c r="C355" s="1" t="s">
        <v>12</v>
      </c>
      <c r="G355" s="1" t="s">
        <v>10</v>
      </c>
      <c r="J355" s="3">
        <v>45384.024780092594</v>
      </c>
      <c r="K355" s="2" t="s">
        <v>7045</v>
      </c>
      <c r="L355" s="1">
        <v>2</v>
      </c>
      <c r="M355" s="1">
        <v>3</v>
      </c>
      <c r="N355">
        <v>1</v>
      </c>
      <c r="O355" s="3">
        <f>IF(
    R355="Ancien",
    _xlfn.XLOOKUP(
        Final_Sans_VGE[[#This Row],[ppn_z]],
        tbl_Historique_Final[ppn_z],
        tbl_Historique_Final[Horodatage],
        ""
    ),
    Horodatage!$A$2
)</f>
        <v>46233.670796365739</v>
      </c>
      <c r="P355" s="1" t="str">
        <f>IFERROR(IF(tbl_Historique_Final[[#This Row],[Commentaires]]&lt;&gt;"",tbl_Historique_Final[[#This Row],[Commentaires]],""),"")</f>
        <v/>
      </c>
      <c r="X355" s="8" t="str">
        <f>IF(Final_Sans_VGE[[#This Row],[ppn_z]]="","",IFERROR(
   IF(_xlfn.XLOOKUP(Final_Sans_VGE[[#This Row],[ppn_z]],tbl_Historique_Final[ppn_z],tbl_Historique_Final[date_modif])=Final_Sans_VGE[[#This Row],[date_modif]],
      "Ancien",
      "Modifié"),
   "Nouveau"))</f>
        <v>Ancien</v>
      </c>
      <c r="AC355"/>
      <c r="AD355"/>
    </row>
    <row r="356" spans="1:30" x14ac:dyDescent="0.25">
      <c r="A356" s="5" t="s">
        <v>1178</v>
      </c>
      <c r="B356" s="1" t="s">
        <v>7046</v>
      </c>
      <c r="C356" s="1" t="s">
        <v>58</v>
      </c>
      <c r="J356" s="3">
        <v>45358.691238425927</v>
      </c>
      <c r="L356" s="1">
        <v>4</v>
      </c>
      <c r="M356" s="1">
        <v>4</v>
      </c>
      <c r="N356">
        <v>0</v>
      </c>
      <c r="O356" s="3">
        <f>IF(
    R356="Ancien",
    _xlfn.XLOOKUP(
        Final_Sans_VGE[[#This Row],[ppn_z]],
        tbl_Historique_Final[ppn_z],
        tbl_Historique_Final[Horodatage],
        ""
    ),
    Horodatage!$A$2
)</f>
        <v>46233.670796365739</v>
      </c>
      <c r="P356" s="1" t="str">
        <f>IFERROR(IF(tbl_Historique_Final[[#This Row],[Commentaires]]&lt;&gt;"",tbl_Historique_Final[[#This Row],[Commentaires]],""),"")</f>
        <v/>
      </c>
      <c r="X356" s="8" t="str">
        <f>IF(Final_Sans_VGE[[#This Row],[ppn_z]]="","",IFERROR(
   IF(_xlfn.XLOOKUP(Final_Sans_VGE[[#This Row],[ppn_z]],tbl_Historique_Final[ppn_z],tbl_Historique_Final[date_modif])=Final_Sans_VGE[[#This Row],[date_modif]],
      "Ancien",
      "Modifié"),
   "Nouveau"))</f>
        <v>Ancien</v>
      </c>
      <c r="AC356"/>
      <c r="AD356"/>
    </row>
    <row r="357" spans="1:30" x14ac:dyDescent="0.25">
      <c r="A357" s="5" t="s">
        <v>1181</v>
      </c>
      <c r="B357" s="1" t="s">
        <v>7047</v>
      </c>
      <c r="C357" s="1" t="s">
        <v>65</v>
      </c>
      <c r="G357" s="1" t="s">
        <v>11</v>
      </c>
      <c r="J357" s="3">
        <v>45370.350949074076</v>
      </c>
      <c r="K357" s="2" t="s">
        <v>7048</v>
      </c>
      <c r="L357" s="1">
        <v>1</v>
      </c>
      <c r="M357" s="1">
        <v>1</v>
      </c>
      <c r="N357">
        <v>0</v>
      </c>
      <c r="O357" s="3">
        <f>IF(
    R357="Ancien",
    _xlfn.XLOOKUP(
        Final_Sans_VGE[[#This Row],[ppn_z]],
        tbl_Historique_Final[ppn_z],
        tbl_Historique_Final[Horodatage],
        ""
    ),
    Horodatage!$A$2
)</f>
        <v>46233.670796365739</v>
      </c>
      <c r="P357" s="1" t="str">
        <f>IFERROR(IF(tbl_Historique_Final[[#This Row],[Commentaires]]&lt;&gt;"",tbl_Historique_Final[[#This Row],[Commentaires]],""),"")</f>
        <v/>
      </c>
      <c r="X357" s="8" t="str">
        <f>IF(Final_Sans_VGE[[#This Row],[ppn_z]]="","",IFERROR(
   IF(_xlfn.XLOOKUP(Final_Sans_VGE[[#This Row],[ppn_z]],tbl_Historique_Final[ppn_z],tbl_Historique_Final[date_modif])=Final_Sans_VGE[[#This Row],[date_modif]],
      "Ancien",
      "Modifié"),
   "Nouveau"))</f>
        <v>Ancien</v>
      </c>
      <c r="AC357"/>
      <c r="AD357"/>
    </row>
    <row r="358" spans="1:30" x14ac:dyDescent="0.25">
      <c r="A358" s="5" t="s">
        <v>1187</v>
      </c>
      <c r="B358" s="1" t="s">
        <v>7049</v>
      </c>
      <c r="C358" s="1" t="s">
        <v>75</v>
      </c>
      <c r="G358" s="1" t="s">
        <v>10</v>
      </c>
      <c r="J358" s="3">
        <v>45377.444768518515</v>
      </c>
      <c r="K358" s="2" t="s">
        <v>7050</v>
      </c>
      <c r="L358" s="1">
        <v>14</v>
      </c>
      <c r="M358" s="1">
        <v>14</v>
      </c>
      <c r="N358">
        <v>0</v>
      </c>
      <c r="O358" s="3">
        <f>IF(
    R358="Ancien",
    _xlfn.XLOOKUP(
        Final_Sans_VGE[[#This Row],[ppn_z]],
        tbl_Historique_Final[ppn_z],
        tbl_Historique_Final[Horodatage],
        ""
    ),
    Horodatage!$A$2
)</f>
        <v>46233.670796365739</v>
      </c>
      <c r="P358" s="1" t="str">
        <f>IFERROR(IF(tbl_Historique_Final[[#This Row],[Commentaires]]&lt;&gt;"",tbl_Historique_Final[[#This Row],[Commentaires]],""),"")</f>
        <v/>
      </c>
      <c r="X358" s="8" t="str">
        <f>IF(Final_Sans_VGE[[#This Row],[ppn_z]]="","",IFERROR(
   IF(_xlfn.XLOOKUP(Final_Sans_VGE[[#This Row],[ppn_z]],tbl_Historique_Final[ppn_z],tbl_Historique_Final[date_modif])=Final_Sans_VGE[[#This Row],[date_modif]],
      "Ancien",
      "Modifié"),
   "Nouveau"))</f>
        <v>Ancien</v>
      </c>
      <c r="AC358"/>
      <c r="AD358"/>
    </row>
    <row r="359" spans="1:30" x14ac:dyDescent="0.25">
      <c r="A359" s="5" t="s">
        <v>1193</v>
      </c>
      <c r="B359" s="1" t="s">
        <v>7051</v>
      </c>
      <c r="C359" s="1" t="s">
        <v>12</v>
      </c>
      <c r="G359" s="1" t="s">
        <v>11</v>
      </c>
      <c r="J359" s="3">
        <v>45377.467118055552</v>
      </c>
      <c r="L359" s="1">
        <v>1</v>
      </c>
      <c r="M359" s="1">
        <v>1</v>
      </c>
      <c r="N359">
        <v>0</v>
      </c>
      <c r="O359" s="3">
        <f>IF(
    R359="Ancien",
    _xlfn.XLOOKUP(
        Final_Sans_VGE[[#This Row],[ppn_z]],
        tbl_Historique_Final[ppn_z],
        tbl_Historique_Final[Horodatage],
        ""
    ),
    Horodatage!$A$2
)</f>
        <v>46233.670796365739</v>
      </c>
      <c r="P359" s="1" t="str">
        <f>IFERROR(IF(tbl_Historique_Final[[#This Row],[Commentaires]]&lt;&gt;"",tbl_Historique_Final[[#This Row],[Commentaires]],""),"")</f>
        <v/>
      </c>
      <c r="X359" s="8" t="str">
        <f>IF(Final_Sans_VGE[[#This Row],[ppn_z]]="","",IFERROR(
   IF(_xlfn.XLOOKUP(Final_Sans_VGE[[#This Row],[ppn_z]],tbl_Historique_Final[ppn_z],tbl_Historique_Final[date_modif])=Final_Sans_VGE[[#This Row],[date_modif]],
      "Ancien",
      "Modifié"),
   "Nouveau"))</f>
        <v>Ancien</v>
      </c>
      <c r="AC359"/>
      <c r="AD359"/>
    </row>
    <row r="360" spans="1:30" x14ac:dyDescent="0.25">
      <c r="A360" s="5" t="s">
        <v>1196</v>
      </c>
      <c r="B360" s="1" t="s">
        <v>7052</v>
      </c>
      <c r="C360" s="1" t="s">
        <v>12</v>
      </c>
      <c r="G360" s="1" t="s">
        <v>11</v>
      </c>
      <c r="J360" s="3">
        <v>45386.525810185187</v>
      </c>
      <c r="K360" s="2" t="s">
        <v>126</v>
      </c>
      <c r="L360" s="1">
        <v>1</v>
      </c>
      <c r="M360" s="1">
        <v>1</v>
      </c>
      <c r="N360">
        <v>0</v>
      </c>
      <c r="O360" s="3">
        <f>IF(
    R360="Ancien",
    _xlfn.XLOOKUP(
        Final_Sans_VGE[[#This Row],[ppn_z]],
        tbl_Historique_Final[ppn_z],
        tbl_Historique_Final[Horodatage],
        ""
    ),
    Horodatage!$A$2
)</f>
        <v>46233.670796365739</v>
      </c>
      <c r="P360" s="1" t="str">
        <f>IFERROR(IF(tbl_Historique_Final[[#This Row],[Commentaires]]&lt;&gt;"",tbl_Historique_Final[[#This Row],[Commentaires]],""),"")</f>
        <v/>
      </c>
      <c r="X360" s="8" t="str">
        <f>IF(Final_Sans_VGE[[#This Row],[ppn_z]]="","",IFERROR(
   IF(_xlfn.XLOOKUP(Final_Sans_VGE[[#This Row],[ppn_z]],tbl_Historique_Final[ppn_z],tbl_Historique_Final[date_modif])=Final_Sans_VGE[[#This Row],[date_modif]],
      "Ancien",
      "Modifié"),
   "Nouveau"))</f>
        <v>Ancien</v>
      </c>
      <c r="AC360"/>
      <c r="AD360"/>
    </row>
    <row r="361" spans="1:30" x14ac:dyDescent="0.25">
      <c r="A361" s="5" t="s">
        <v>1199</v>
      </c>
      <c r="B361" s="1" t="s">
        <v>7053</v>
      </c>
      <c r="C361" s="1" t="s">
        <v>49</v>
      </c>
      <c r="G361" s="1" t="s">
        <v>10</v>
      </c>
      <c r="J361" s="3">
        <v>45398.528726851851</v>
      </c>
      <c r="K361" s="2" t="s">
        <v>7054</v>
      </c>
      <c r="L361" s="1">
        <v>1</v>
      </c>
      <c r="M361" s="1">
        <v>1</v>
      </c>
      <c r="N361">
        <v>0</v>
      </c>
      <c r="O361" s="3">
        <f>IF(
    R361="Ancien",
    _xlfn.XLOOKUP(
        Final_Sans_VGE[[#This Row],[ppn_z]],
        tbl_Historique_Final[ppn_z],
        tbl_Historique_Final[Horodatage],
        ""
    ),
    Horodatage!$A$2
)</f>
        <v>46233.670796365739</v>
      </c>
      <c r="P361" s="1" t="str">
        <f>IFERROR(IF(tbl_Historique_Final[[#This Row],[Commentaires]]&lt;&gt;"",tbl_Historique_Final[[#This Row],[Commentaires]],""),"")</f>
        <v/>
      </c>
      <c r="X361" s="8" t="str">
        <f>IF(Final_Sans_VGE[[#This Row],[ppn_z]]="","",IFERROR(
   IF(_xlfn.XLOOKUP(Final_Sans_VGE[[#This Row],[ppn_z]],tbl_Historique_Final[ppn_z],tbl_Historique_Final[date_modif])=Final_Sans_VGE[[#This Row],[date_modif]],
      "Ancien",
      "Modifié"),
   "Nouveau"))</f>
        <v>Ancien</v>
      </c>
      <c r="AC361"/>
      <c r="AD361"/>
    </row>
    <row r="362" spans="1:30" ht="30" x14ac:dyDescent="0.25">
      <c r="A362" s="5" t="s">
        <v>1202</v>
      </c>
      <c r="B362" s="1" t="s">
        <v>7055</v>
      </c>
      <c r="C362" s="1" t="s">
        <v>12</v>
      </c>
      <c r="G362" s="1" t="s">
        <v>11</v>
      </c>
      <c r="J362" s="3">
        <v>45383.465266203704</v>
      </c>
      <c r="K362" s="2" t="s">
        <v>7056</v>
      </c>
      <c r="L362" s="1">
        <v>1</v>
      </c>
      <c r="M362" s="1">
        <v>1</v>
      </c>
      <c r="N362">
        <v>0</v>
      </c>
      <c r="O362" s="3">
        <f>IF(
    R362="Ancien",
    _xlfn.XLOOKUP(
        Final_Sans_VGE[[#This Row],[ppn_z]],
        tbl_Historique_Final[ppn_z],
        tbl_Historique_Final[Horodatage],
        ""
    ),
    Horodatage!$A$2
)</f>
        <v>46233.670796365739</v>
      </c>
      <c r="P362" s="1" t="str">
        <f>IFERROR(IF(tbl_Historique_Final[[#This Row],[Commentaires]]&lt;&gt;"",tbl_Historique_Final[[#This Row],[Commentaires]],""),"")</f>
        <v/>
      </c>
      <c r="X362" s="8" t="str">
        <f>IF(Final_Sans_VGE[[#This Row],[ppn_z]]="","",IFERROR(
   IF(_xlfn.XLOOKUP(Final_Sans_VGE[[#This Row],[ppn_z]],tbl_Historique_Final[ppn_z],tbl_Historique_Final[date_modif])=Final_Sans_VGE[[#This Row],[date_modif]],
      "Ancien",
      "Modifié"),
   "Nouveau"))</f>
        <v>Ancien</v>
      </c>
      <c r="AC362"/>
      <c r="AD362"/>
    </row>
    <row r="363" spans="1:30" ht="45" x14ac:dyDescent="0.25">
      <c r="A363" s="5" t="s">
        <v>1205</v>
      </c>
      <c r="B363" s="1" t="s">
        <v>7057</v>
      </c>
      <c r="C363" s="1" t="s">
        <v>80</v>
      </c>
      <c r="G363" s="1" t="s">
        <v>10</v>
      </c>
      <c r="J363" s="3">
        <v>45412.846979166665</v>
      </c>
      <c r="K363" s="2" t="s">
        <v>7058</v>
      </c>
      <c r="L363" s="1">
        <v>1</v>
      </c>
      <c r="M363" s="1">
        <v>1</v>
      </c>
      <c r="N363">
        <v>0</v>
      </c>
      <c r="O363" s="3">
        <f>IF(
    R363="Ancien",
    _xlfn.XLOOKUP(
        Final_Sans_VGE[[#This Row],[ppn_z]],
        tbl_Historique_Final[ppn_z],
        tbl_Historique_Final[Horodatage],
        ""
    ),
    Horodatage!$A$2
)</f>
        <v>46233.670796365739</v>
      </c>
      <c r="P363" s="1" t="str">
        <f>IFERROR(IF(tbl_Historique_Final[[#This Row],[Commentaires]]&lt;&gt;"",tbl_Historique_Final[[#This Row],[Commentaires]],""),"")</f>
        <v/>
      </c>
      <c r="X363" s="8" t="str">
        <f>IF(Final_Sans_VGE[[#This Row],[ppn_z]]="","",IFERROR(
   IF(_xlfn.XLOOKUP(Final_Sans_VGE[[#This Row],[ppn_z]],tbl_Historique_Final[ppn_z],tbl_Historique_Final[date_modif])=Final_Sans_VGE[[#This Row],[date_modif]],
      "Ancien",
      "Modifié"),
   "Nouveau"))</f>
        <v>Ancien</v>
      </c>
      <c r="AC363"/>
      <c r="AD363"/>
    </row>
    <row r="364" spans="1:30" x14ac:dyDescent="0.25">
      <c r="A364" s="5" t="s">
        <v>1208</v>
      </c>
      <c r="B364" s="1" t="s">
        <v>7059</v>
      </c>
      <c r="C364" s="1" t="s">
        <v>6554</v>
      </c>
      <c r="G364" s="1" t="s">
        <v>11</v>
      </c>
      <c r="J364" s="3">
        <v>45383.476423611108</v>
      </c>
      <c r="K364" s="2" t="s">
        <v>7060</v>
      </c>
      <c r="L364" s="1">
        <v>1</v>
      </c>
      <c r="M364" s="1">
        <v>1</v>
      </c>
      <c r="N364">
        <v>0</v>
      </c>
      <c r="O364" s="3">
        <f>IF(
    R364="Ancien",
    _xlfn.XLOOKUP(
        Final_Sans_VGE[[#This Row],[ppn_z]],
        tbl_Historique_Final[ppn_z],
        tbl_Historique_Final[Horodatage],
        ""
    ),
    Horodatage!$A$2
)</f>
        <v>46233.670796365739</v>
      </c>
      <c r="P364" s="1" t="str">
        <f>IFERROR(IF(tbl_Historique_Final[[#This Row],[Commentaires]]&lt;&gt;"",tbl_Historique_Final[[#This Row],[Commentaires]],""),"")</f>
        <v/>
      </c>
      <c r="X364" s="8" t="str">
        <f>IF(Final_Sans_VGE[[#This Row],[ppn_z]]="","",IFERROR(
   IF(_xlfn.XLOOKUP(Final_Sans_VGE[[#This Row],[ppn_z]],tbl_Historique_Final[ppn_z],tbl_Historique_Final[date_modif])=Final_Sans_VGE[[#This Row],[date_modif]],
      "Ancien",
      "Modifié"),
   "Nouveau"))</f>
        <v>Ancien</v>
      </c>
      <c r="AC364"/>
      <c r="AD364"/>
    </row>
    <row r="365" spans="1:30" x14ac:dyDescent="0.25">
      <c r="A365" s="5" t="s">
        <v>1211</v>
      </c>
      <c r="B365" s="1" t="s">
        <v>7061</v>
      </c>
      <c r="C365" s="1" t="s">
        <v>12</v>
      </c>
      <c r="G365" s="1" t="s">
        <v>11</v>
      </c>
      <c r="J365" s="3">
        <v>45413.012349537035</v>
      </c>
      <c r="K365" s="2" t="s">
        <v>7062</v>
      </c>
      <c r="L365" s="1">
        <v>1</v>
      </c>
      <c r="M365" s="1">
        <v>1</v>
      </c>
      <c r="N365">
        <v>0</v>
      </c>
      <c r="O365" s="3">
        <f>IF(
    R365="Ancien",
    _xlfn.XLOOKUP(
        Final_Sans_VGE[[#This Row],[ppn_z]],
        tbl_Historique_Final[ppn_z],
        tbl_Historique_Final[Horodatage],
        ""
    ),
    Horodatage!$A$2
)</f>
        <v>46233.670796365739</v>
      </c>
      <c r="P365" s="1" t="str">
        <f>IFERROR(IF(tbl_Historique_Final[[#This Row],[Commentaires]]&lt;&gt;"",tbl_Historique_Final[[#This Row],[Commentaires]],""),"")</f>
        <v/>
      </c>
      <c r="X365" s="8" t="str">
        <f>IF(Final_Sans_VGE[[#This Row],[ppn_z]]="","",IFERROR(
   IF(_xlfn.XLOOKUP(Final_Sans_VGE[[#This Row],[ppn_z]],tbl_Historique_Final[ppn_z],tbl_Historique_Final[date_modif])=Final_Sans_VGE[[#This Row],[date_modif]],
      "Ancien",
      "Modifié"),
   "Nouveau"))</f>
        <v>Ancien</v>
      </c>
      <c r="AC365"/>
      <c r="AD365"/>
    </row>
    <row r="366" spans="1:30" ht="30" x14ac:dyDescent="0.25">
      <c r="A366" s="5" t="s">
        <v>1214</v>
      </c>
      <c r="B366" s="1" t="s">
        <v>7063</v>
      </c>
      <c r="C366" s="1" t="s">
        <v>12</v>
      </c>
      <c r="G366" s="1" t="s">
        <v>10</v>
      </c>
      <c r="J366" s="3">
        <v>45383.497233796297</v>
      </c>
      <c r="K366" s="2" t="s">
        <v>7064</v>
      </c>
      <c r="L366" s="1">
        <v>1</v>
      </c>
      <c r="M366" s="1">
        <v>1</v>
      </c>
      <c r="N366">
        <v>0</v>
      </c>
      <c r="O366" s="3">
        <f>IF(
    R366="Ancien",
    _xlfn.XLOOKUP(
        Final_Sans_VGE[[#This Row],[ppn_z]],
        tbl_Historique_Final[ppn_z],
        tbl_Historique_Final[Horodatage],
        ""
    ),
    Horodatage!$A$2
)</f>
        <v>46233.670796365739</v>
      </c>
      <c r="P366" s="1" t="str">
        <f>IFERROR(IF(tbl_Historique_Final[[#This Row],[Commentaires]]&lt;&gt;"",tbl_Historique_Final[[#This Row],[Commentaires]],""),"")</f>
        <v/>
      </c>
      <c r="X366" s="8" t="str">
        <f>IF(Final_Sans_VGE[[#This Row],[ppn_z]]="","",IFERROR(
   IF(_xlfn.XLOOKUP(Final_Sans_VGE[[#This Row],[ppn_z]],tbl_Historique_Final[ppn_z],tbl_Historique_Final[date_modif])=Final_Sans_VGE[[#This Row],[date_modif]],
      "Ancien",
      "Modifié"),
   "Nouveau"))</f>
        <v>Ancien</v>
      </c>
      <c r="AC366"/>
      <c r="AD366"/>
    </row>
    <row r="367" spans="1:30" x14ac:dyDescent="0.25">
      <c r="A367" s="5" t="s">
        <v>1217</v>
      </c>
      <c r="B367" s="1" t="s">
        <v>7065</v>
      </c>
      <c r="C367" s="1" t="s">
        <v>12</v>
      </c>
      <c r="G367" s="1" t="s">
        <v>11</v>
      </c>
      <c r="J367" s="3">
        <v>45393.484363425923</v>
      </c>
      <c r="K367" s="2" t="s">
        <v>7066</v>
      </c>
      <c r="L367" s="1">
        <v>7</v>
      </c>
      <c r="M367" s="1">
        <v>9</v>
      </c>
      <c r="N367">
        <v>2</v>
      </c>
      <c r="O367" s="3">
        <f>IF(
    R367="Ancien",
    _xlfn.XLOOKUP(
        Final_Sans_VGE[[#This Row],[ppn_z]],
        tbl_Historique_Final[ppn_z],
        tbl_Historique_Final[Horodatage],
        ""
    ),
    Horodatage!$A$2
)</f>
        <v>46233.670796365739</v>
      </c>
      <c r="P367" s="1" t="str">
        <f>IFERROR(IF(tbl_Historique_Final[[#This Row],[Commentaires]]&lt;&gt;"",tbl_Historique_Final[[#This Row],[Commentaires]],""),"")</f>
        <v/>
      </c>
      <c r="X367" s="8" t="str">
        <f>IF(Final_Sans_VGE[[#This Row],[ppn_z]]="","",IFERROR(
   IF(_xlfn.XLOOKUP(Final_Sans_VGE[[#This Row],[ppn_z]],tbl_Historique_Final[ppn_z],tbl_Historique_Final[date_modif])=Final_Sans_VGE[[#This Row],[date_modif]],
      "Ancien",
      "Modifié"),
   "Nouveau"))</f>
        <v>Ancien</v>
      </c>
      <c r="AC367"/>
      <c r="AD367"/>
    </row>
    <row r="368" spans="1:30" x14ac:dyDescent="0.25">
      <c r="A368" s="5" t="s">
        <v>1220</v>
      </c>
      <c r="B368" s="1" t="s">
        <v>7067</v>
      </c>
      <c r="C368" s="1" t="s">
        <v>53</v>
      </c>
      <c r="G368" s="1" t="s">
        <v>10</v>
      </c>
      <c r="J368" s="3">
        <v>45383.656875000001</v>
      </c>
      <c r="K368" s="2" t="s">
        <v>7068</v>
      </c>
      <c r="L368" s="1">
        <v>3</v>
      </c>
      <c r="M368" s="1">
        <v>4</v>
      </c>
      <c r="N368">
        <v>1</v>
      </c>
      <c r="O368" s="3">
        <f>IF(
    R368="Ancien",
    _xlfn.XLOOKUP(
        Final_Sans_VGE[[#This Row],[ppn_z]],
        tbl_Historique_Final[ppn_z],
        tbl_Historique_Final[Horodatage],
        ""
    ),
    Horodatage!$A$2
)</f>
        <v>46233.670796365739</v>
      </c>
      <c r="P368" s="1" t="str">
        <f>IFERROR(IF(tbl_Historique_Final[[#This Row],[Commentaires]]&lt;&gt;"",tbl_Historique_Final[[#This Row],[Commentaires]],""),"")</f>
        <v/>
      </c>
      <c r="X368" s="8" t="str">
        <f>IF(Final_Sans_VGE[[#This Row],[ppn_z]]="","",IFERROR(
   IF(_xlfn.XLOOKUP(Final_Sans_VGE[[#This Row],[ppn_z]],tbl_Historique_Final[ppn_z],tbl_Historique_Final[date_modif])=Final_Sans_VGE[[#This Row],[date_modif]],
      "Ancien",
      "Modifié"),
   "Nouveau"))</f>
        <v>Ancien</v>
      </c>
      <c r="AC368"/>
      <c r="AD368"/>
    </row>
    <row r="369" spans="1:30" x14ac:dyDescent="0.25">
      <c r="A369" s="5" t="s">
        <v>1223</v>
      </c>
      <c r="B369" s="1" t="s">
        <v>7069</v>
      </c>
      <c r="C369" s="1" t="s">
        <v>6355</v>
      </c>
      <c r="J369" s="3">
        <v>45357.270462962966</v>
      </c>
      <c r="L369" s="1">
        <v>12</v>
      </c>
      <c r="M369" s="1">
        <v>12</v>
      </c>
      <c r="N369">
        <v>0</v>
      </c>
      <c r="O369" s="3">
        <f>IF(
    R369="Ancien",
    _xlfn.XLOOKUP(
        Final_Sans_VGE[[#This Row],[ppn_z]],
        tbl_Historique_Final[ppn_z],
        tbl_Historique_Final[Horodatage],
        ""
    ),
    Horodatage!$A$2
)</f>
        <v>46233.670796365739</v>
      </c>
      <c r="P369" s="1" t="str">
        <f>IFERROR(IF(tbl_Historique_Final[[#This Row],[Commentaires]]&lt;&gt;"",tbl_Historique_Final[[#This Row],[Commentaires]],""),"")</f>
        <v/>
      </c>
      <c r="X369" s="8" t="str">
        <f>IF(Final_Sans_VGE[[#This Row],[ppn_z]]="","",IFERROR(
   IF(_xlfn.XLOOKUP(Final_Sans_VGE[[#This Row],[ppn_z]],tbl_Historique_Final[ppn_z],tbl_Historique_Final[date_modif])=Final_Sans_VGE[[#This Row],[date_modif]],
      "Ancien",
      "Modifié"),
   "Nouveau"))</f>
        <v>Ancien</v>
      </c>
      <c r="AC369"/>
      <c r="AD369"/>
    </row>
    <row r="370" spans="1:30" ht="45" x14ac:dyDescent="0.25">
      <c r="A370" s="5" t="s">
        <v>1226</v>
      </c>
      <c r="B370" s="1" t="s">
        <v>7070</v>
      </c>
      <c r="C370" s="1" t="s">
        <v>88</v>
      </c>
      <c r="G370" s="1" t="s">
        <v>10</v>
      </c>
      <c r="J370" s="3">
        <v>45391.489884259259</v>
      </c>
      <c r="K370" s="2" t="s">
        <v>7071</v>
      </c>
      <c r="L370" s="1">
        <v>1</v>
      </c>
      <c r="M370" s="1">
        <v>1</v>
      </c>
      <c r="N370">
        <v>0</v>
      </c>
      <c r="O370" s="3">
        <f>IF(
    R370="Ancien",
    _xlfn.XLOOKUP(
        Final_Sans_VGE[[#This Row],[ppn_z]],
        tbl_Historique_Final[ppn_z],
        tbl_Historique_Final[Horodatage],
        ""
    ),
    Horodatage!$A$2
)</f>
        <v>46233.670796365739</v>
      </c>
      <c r="P370" s="1" t="str">
        <f>IFERROR(IF(tbl_Historique_Final[[#This Row],[Commentaires]]&lt;&gt;"",tbl_Historique_Final[[#This Row],[Commentaires]],""),"")</f>
        <v/>
      </c>
      <c r="X370" s="8" t="str">
        <f>IF(Final_Sans_VGE[[#This Row],[ppn_z]]="","",IFERROR(
   IF(_xlfn.XLOOKUP(Final_Sans_VGE[[#This Row],[ppn_z]],tbl_Historique_Final[ppn_z],tbl_Historique_Final[date_modif])=Final_Sans_VGE[[#This Row],[date_modif]],
      "Ancien",
      "Modifié"),
   "Nouveau"))</f>
        <v>Ancien</v>
      </c>
      <c r="AC370"/>
      <c r="AD370"/>
    </row>
    <row r="371" spans="1:30" ht="30" x14ac:dyDescent="0.25">
      <c r="A371" s="5" t="s">
        <v>1229</v>
      </c>
      <c r="B371" s="1" t="s">
        <v>7072</v>
      </c>
      <c r="C371" s="1" t="s">
        <v>12</v>
      </c>
      <c r="G371" s="1" t="s">
        <v>10</v>
      </c>
      <c r="J371" s="3">
        <v>45412.458113425928</v>
      </c>
      <c r="K371" s="2" t="s">
        <v>7073</v>
      </c>
      <c r="L371" s="1">
        <v>1</v>
      </c>
      <c r="M371" s="1">
        <v>1</v>
      </c>
      <c r="N371">
        <v>0</v>
      </c>
      <c r="O371" s="3">
        <f>IF(
    R371="Ancien",
    _xlfn.XLOOKUP(
        Final_Sans_VGE[[#This Row],[ppn_z]],
        tbl_Historique_Final[ppn_z],
        tbl_Historique_Final[Horodatage],
        ""
    ),
    Horodatage!$A$2
)</f>
        <v>46233.670796365739</v>
      </c>
      <c r="P371" s="1" t="str">
        <f>IFERROR(IF(tbl_Historique_Final[[#This Row],[Commentaires]]&lt;&gt;"",tbl_Historique_Final[[#This Row],[Commentaires]],""),"")</f>
        <v/>
      </c>
      <c r="X371" s="8" t="str">
        <f>IF(Final_Sans_VGE[[#This Row],[ppn_z]]="","",IFERROR(
   IF(_xlfn.XLOOKUP(Final_Sans_VGE[[#This Row],[ppn_z]],tbl_Historique_Final[ppn_z],tbl_Historique_Final[date_modif])=Final_Sans_VGE[[#This Row],[date_modif]],
      "Ancien",
      "Modifié"),
   "Nouveau"))</f>
        <v>Ancien</v>
      </c>
      <c r="AC371"/>
      <c r="AD371"/>
    </row>
    <row r="372" spans="1:30" x14ac:dyDescent="0.25">
      <c r="A372" s="5" t="s">
        <v>1232</v>
      </c>
      <c r="B372" s="1" t="s">
        <v>7074</v>
      </c>
      <c r="C372" s="1" t="s">
        <v>42</v>
      </c>
      <c r="G372" s="1" t="s">
        <v>11</v>
      </c>
      <c r="J372" s="3">
        <v>45383.62773148148</v>
      </c>
      <c r="K372" s="2" t="s">
        <v>7075</v>
      </c>
      <c r="L372" s="1">
        <v>1</v>
      </c>
      <c r="M372" s="1">
        <v>1</v>
      </c>
      <c r="N372">
        <v>0</v>
      </c>
      <c r="O372" s="3">
        <f>IF(
    R372="Ancien",
    _xlfn.XLOOKUP(
        Final_Sans_VGE[[#This Row],[ppn_z]],
        tbl_Historique_Final[ppn_z],
        tbl_Historique_Final[Horodatage],
        ""
    ),
    Horodatage!$A$2
)</f>
        <v>46233.670796365739</v>
      </c>
      <c r="P372" s="1" t="str">
        <f>IFERROR(IF(tbl_Historique_Final[[#This Row],[Commentaires]]&lt;&gt;"",tbl_Historique_Final[[#This Row],[Commentaires]],""),"")</f>
        <v/>
      </c>
      <c r="X372" s="8" t="str">
        <f>IF(Final_Sans_VGE[[#This Row],[ppn_z]]="","",IFERROR(
   IF(_xlfn.XLOOKUP(Final_Sans_VGE[[#This Row],[ppn_z]],tbl_Historique_Final[ppn_z],tbl_Historique_Final[date_modif])=Final_Sans_VGE[[#This Row],[date_modif]],
      "Ancien",
      "Modifié"),
   "Nouveau"))</f>
        <v>Ancien</v>
      </c>
      <c r="AC372"/>
      <c r="AD372"/>
    </row>
    <row r="373" spans="1:30" x14ac:dyDescent="0.25">
      <c r="A373" s="5" t="s">
        <v>1238</v>
      </c>
      <c r="B373" s="1" t="s">
        <v>7076</v>
      </c>
      <c r="C373" s="1" t="s">
        <v>61</v>
      </c>
      <c r="G373" s="1" t="s">
        <v>10</v>
      </c>
      <c r="J373" s="3">
        <v>45384.438483796293</v>
      </c>
      <c r="K373" s="2" t="s">
        <v>7077</v>
      </c>
      <c r="L373" s="1">
        <v>2</v>
      </c>
      <c r="M373" s="1">
        <v>2</v>
      </c>
      <c r="N373">
        <v>0</v>
      </c>
      <c r="O373" s="3">
        <f>IF(
    R373="Ancien",
    _xlfn.XLOOKUP(
        Final_Sans_VGE[[#This Row],[ppn_z]],
        tbl_Historique_Final[ppn_z],
        tbl_Historique_Final[Horodatage],
        ""
    ),
    Horodatage!$A$2
)</f>
        <v>46233.670796365739</v>
      </c>
      <c r="P373" s="1" t="str">
        <f>IFERROR(IF(tbl_Historique_Final[[#This Row],[Commentaires]]&lt;&gt;"",tbl_Historique_Final[[#This Row],[Commentaires]],""),"")</f>
        <v/>
      </c>
      <c r="X373" s="8" t="str">
        <f>IF(Final_Sans_VGE[[#This Row],[ppn_z]]="","",IFERROR(
   IF(_xlfn.XLOOKUP(Final_Sans_VGE[[#This Row],[ppn_z]],tbl_Historique_Final[ppn_z],tbl_Historique_Final[date_modif])=Final_Sans_VGE[[#This Row],[date_modif]],
      "Ancien",
      "Modifié"),
   "Nouveau"))</f>
        <v>Ancien</v>
      </c>
      <c r="AC373"/>
      <c r="AD373"/>
    </row>
    <row r="374" spans="1:30" x14ac:dyDescent="0.25">
      <c r="A374" s="5" t="s">
        <v>1241</v>
      </c>
      <c r="B374" s="1" t="s">
        <v>7078</v>
      </c>
      <c r="C374" s="1" t="s">
        <v>12</v>
      </c>
      <c r="G374" s="1" t="s">
        <v>10</v>
      </c>
      <c r="J374" s="3">
        <v>45387.681041666663</v>
      </c>
      <c r="K374" s="2" t="s">
        <v>7079</v>
      </c>
      <c r="L374" s="1">
        <v>1</v>
      </c>
      <c r="M374" s="1">
        <v>1</v>
      </c>
      <c r="N374">
        <v>0</v>
      </c>
      <c r="O374" s="3">
        <f>IF(
    R374="Ancien",
    _xlfn.XLOOKUP(
        Final_Sans_VGE[[#This Row],[ppn_z]],
        tbl_Historique_Final[ppn_z],
        tbl_Historique_Final[Horodatage],
        ""
    ),
    Horodatage!$A$2
)</f>
        <v>46233.670796365739</v>
      </c>
      <c r="P374" s="1" t="str">
        <f>IFERROR(IF(tbl_Historique_Final[[#This Row],[Commentaires]]&lt;&gt;"",tbl_Historique_Final[[#This Row],[Commentaires]],""),"")</f>
        <v/>
      </c>
      <c r="X374" s="8" t="str">
        <f>IF(Final_Sans_VGE[[#This Row],[ppn_z]]="","",IFERROR(
   IF(_xlfn.XLOOKUP(Final_Sans_VGE[[#This Row],[ppn_z]],tbl_Historique_Final[ppn_z],tbl_Historique_Final[date_modif])=Final_Sans_VGE[[#This Row],[date_modif]],
      "Ancien",
      "Modifié"),
   "Nouveau"))</f>
        <v>Ancien</v>
      </c>
      <c r="AC374"/>
      <c r="AD374"/>
    </row>
    <row r="375" spans="1:30" x14ac:dyDescent="0.25">
      <c r="A375" s="5" t="s">
        <v>1244</v>
      </c>
      <c r="B375" s="1" t="s">
        <v>7080</v>
      </c>
      <c r="C375" s="1" t="s">
        <v>73</v>
      </c>
      <c r="J375" s="3">
        <v>45356.513877314814</v>
      </c>
      <c r="L375" s="1">
        <v>10</v>
      </c>
      <c r="M375" s="1">
        <v>10</v>
      </c>
      <c r="N375">
        <v>0</v>
      </c>
      <c r="O375" s="3">
        <f>IF(
    R375="Ancien",
    _xlfn.XLOOKUP(
        Final_Sans_VGE[[#This Row],[ppn_z]],
        tbl_Historique_Final[ppn_z],
        tbl_Historique_Final[Horodatage],
        ""
    ),
    Horodatage!$A$2
)</f>
        <v>46233.670796365739</v>
      </c>
      <c r="P375" s="1" t="str">
        <f>IFERROR(IF(tbl_Historique_Final[[#This Row],[Commentaires]]&lt;&gt;"",tbl_Historique_Final[[#This Row],[Commentaires]],""),"")</f>
        <v/>
      </c>
      <c r="X375" s="8" t="str">
        <f>IF(Final_Sans_VGE[[#This Row],[ppn_z]]="","",IFERROR(
   IF(_xlfn.XLOOKUP(Final_Sans_VGE[[#This Row],[ppn_z]],tbl_Historique_Final[ppn_z],tbl_Historique_Final[date_modif])=Final_Sans_VGE[[#This Row],[date_modif]],
      "Ancien",
      "Modifié"),
   "Nouveau"))</f>
        <v>Ancien</v>
      </c>
      <c r="AC375"/>
      <c r="AD375"/>
    </row>
    <row r="376" spans="1:30" x14ac:dyDescent="0.25">
      <c r="A376" s="5" t="s">
        <v>1247</v>
      </c>
      <c r="B376" s="1" t="s">
        <v>7081</v>
      </c>
      <c r="C376" s="1" t="s">
        <v>12</v>
      </c>
      <c r="G376" s="1" t="s">
        <v>10</v>
      </c>
      <c r="J376" s="3">
        <v>45387.683912037035</v>
      </c>
      <c r="K376" s="2" t="s">
        <v>7082</v>
      </c>
      <c r="L376" s="1">
        <v>1</v>
      </c>
      <c r="M376" s="1">
        <v>1</v>
      </c>
      <c r="N376">
        <v>0</v>
      </c>
      <c r="O376" s="3">
        <f>IF(
    R376="Ancien",
    _xlfn.XLOOKUP(
        Final_Sans_VGE[[#This Row],[ppn_z]],
        tbl_Historique_Final[ppn_z],
        tbl_Historique_Final[Horodatage],
        ""
    ),
    Horodatage!$A$2
)</f>
        <v>46233.670796365739</v>
      </c>
      <c r="P376" s="1" t="str">
        <f>IFERROR(IF(tbl_Historique_Final[[#This Row],[Commentaires]]&lt;&gt;"",tbl_Historique_Final[[#This Row],[Commentaires]],""),"")</f>
        <v/>
      </c>
      <c r="X376" s="8" t="str">
        <f>IF(Final_Sans_VGE[[#This Row],[ppn_z]]="","",IFERROR(
   IF(_xlfn.XLOOKUP(Final_Sans_VGE[[#This Row],[ppn_z]],tbl_Historique_Final[ppn_z],tbl_Historique_Final[date_modif])=Final_Sans_VGE[[#This Row],[date_modif]],
      "Ancien",
      "Modifié"),
   "Nouveau"))</f>
        <v>Ancien</v>
      </c>
      <c r="AC376"/>
      <c r="AD376"/>
    </row>
    <row r="377" spans="1:30" x14ac:dyDescent="0.25">
      <c r="A377" s="5" t="s">
        <v>1250</v>
      </c>
      <c r="B377" s="1" t="s">
        <v>7083</v>
      </c>
      <c r="C377" s="1" t="s">
        <v>12</v>
      </c>
      <c r="G377" s="1" t="s">
        <v>11</v>
      </c>
      <c r="J377" s="3">
        <v>45383.693020833336</v>
      </c>
      <c r="K377" s="2" t="s">
        <v>7084</v>
      </c>
      <c r="L377" s="1">
        <v>2</v>
      </c>
      <c r="M377" s="1">
        <v>2</v>
      </c>
      <c r="N377">
        <v>0</v>
      </c>
      <c r="O377" s="3">
        <f>IF(
    R377="Ancien",
    _xlfn.XLOOKUP(
        Final_Sans_VGE[[#This Row],[ppn_z]],
        tbl_Historique_Final[ppn_z],
        tbl_Historique_Final[Horodatage],
        ""
    ),
    Horodatage!$A$2
)</f>
        <v>46233.670796365739</v>
      </c>
      <c r="P377" s="1" t="str">
        <f>IFERROR(IF(tbl_Historique_Final[[#This Row],[Commentaires]]&lt;&gt;"",tbl_Historique_Final[[#This Row],[Commentaires]],""),"")</f>
        <v/>
      </c>
      <c r="X377" s="8" t="str">
        <f>IF(Final_Sans_VGE[[#This Row],[ppn_z]]="","",IFERROR(
   IF(_xlfn.XLOOKUP(Final_Sans_VGE[[#This Row],[ppn_z]],tbl_Historique_Final[ppn_z],tbl_Historique_Final[date_modif])=Final_Sans_VGE[[#This Row],[date_modif]],
      "Ancien",
      "Modifié"),
   "Nouveau"))</f>
        <v>Ancien</v>
      </c>
      <c r="AC377"/>
      <c r="AD377"/>
    </row>
    <row r="378" spans="1:30" x14ac:dyDescent="0.25">
      <c r="A378" s="5" t="s">
        <v>1253</v>
      </c>
      <c r="B378" s="1" t="s">
        <v>7085</v>
      </c>
      <c r="C378" s="1" t="s">
        <v>12</v>
      </c>
      <c r="G378" s="1" t="s">
        <v>11</v>
      </c>
      <c r="J378" s="3">
        <v>45383.719386574077</v>
      </c>
      <c r="K378" s="2" t="s">
        <v>7086</v>
      </c>
      <c r="L378" s="1">
        <v>1</v>
      </c>
      <c r="M378" s="1">
        <v>1</v>
      </c>
      <c r="N378">
        <v>0</v>
      </c>
      <c r="O378" s="3">
        <f>IF(
    R378="Ancien",
    _xlfn.XLOOKUP(
        Final_Sans_VGE[[#This Row],[ppn_z]],
        tbl_Historique_Final[ppn_z],
        tbl_Historique_Final[Horodatage],
        ""
    ),
    Horodatage!$A$2
)</f>
        <v>46233.670796365739</v>
      </c>
      <c r="P378" s="1" t="str">
        <f>IFERROR(IF(tbl_Historique_Final[[#This Row],[Commentaires]]&lt;&gt;"",tbl_Historique_Final[[#This Row],[Commentaires]],""),"")</f>
        <v/>
      </c>
      <c r="X378" s="8" t="str">
        <f>IF(Final_Sans_VGE[[#This Row],[ppn_z]]="","",IFERROR(
   IF(_xlfn.XLOOKUP(Final_Sans_VGE[[#This Row],[ppn_z]],tbl_Historique_Final[ppn_z],tbl_Historique_Final[date_modif])=Final_Sans_VGE[[#This Row],[date_modif]],
      "Ancien",
      "Modifié"),
   "Nouveau"))</f>
        <v>Ancien</v>
      </c>
      <c r="AC378"/>
      <c r="AD378"/>
    </row>
    <row r="379" spans="1:30" x14ac:dyDescent="0.25">
      <c r="A379" s="5" t="s">
        <v>1256</v>
      </c>
      <c r="B379" s="1" t="s">
        <v>7087</v>
      </c>
      <c r="C379" s="1" t="s">
        <v>12</v>
      </c>
      <c r="G379" s="1" t="s">
        <v>10</v>
      </c>
      <c r="J379" s="3">
        <v>45384.681516203702</v>
      </c>
      <c r="K379" s="2" t="s">
        <v>7088</v>
      </c>
      <c r="L379" s="1">
        <v>1</v>
      </c>
      <c r="M379" s="1">
        <v>1</v>
      </c>
      <c r="N379">
        <v>0</v>
      </c>
      <c r="O379" s="3">
        <f>IF(
    R379="Ancien",
    _xlfn.XLOOKUP(
        Final_Sans_VGE[[#This Row],[ppn_z]],
        tbl_Historique_Final[ppn_z],
        tbl_Historique_Final[Horodatage],
        ""
    ),
    Horodatage!$A$2
)</f>
        <v>46233.670796365739</v>
      </c>
      <c r="P379" s="1" t="str">
        <f>IFERROR(IF(tbl_Historique_Final[[#This Row],[Commentaires]]&lt;&gt;"",tbl_Historique_Final[[#This Row],[Commentaires]],""),"")</f>
        <v/>
      </c>
      <c r="X379" s="8" t="str">
        <f>IF(Final_Sans_VGE[[#This Row],[ppn_z]]="","",IFERROR(
   IF(_xlfn.XLOOKUP(Final_Sans_VGE[[#This Row],[ppn_z]],tbl_Historique_Final[ppn_z],tbl_Historique_Final[date_modif])=Final_Sans_VGE[[#This Row],[date_modif]],
      "Ancien",
      "Modifié"),
   "Nouveau"))</f>
        <v>Ancien</v>
      </c>
      <c r="AC379"/>
      <c r="AD379"/>
    </row>
    <row r="380" spans="1:30" x14ac:dyDescent="0.25">
      <c r="A380" s="5" t="s">
        <v>1259</v>
      </c>
      <c r="B380" s="1" t="s">
        <v>7089</v>
      </c>
      <c r="C380" s="1" t="s">
        <v>7090</v>
      </c>
      <c r="J380" s="3">
        <v>45357.946921296294</v>
      </c>
      <c r="L380" s="1">
        <v>1</v>
      </c>
      <c r="M380" s="1">
        <v>1</v>
      </c>
      <c r="N380">
        <v>0</v>
      </c>
      <c r="O380" s="3">
        <f>IF(
    R380="Ancien",
    _xlfn.XLOOKUP(
        Final_Sans_VGE[[#This Row],[ppn_z]],
        tbl_Historique_Final[ppn_z],
        tbl_Historique_Final[Horodatage],
        ""
    ),
    Horodatage!$A$2
)</f>
        <v>46233.670796365739</v>
      </c>
      <c r="P380" s="1" t="str">
        <f>IFERROR(IF(tbl_Historique_Final[[#This Row],[Commentaires]]&lt;&gt;"",tbl_Historique_Final[[#This Row],[Commentaires]],""),"")</f>
        <v/>
      </c>
      <c r="X380" s="8" t="str">
        <f>IF(Final_Sans_VGE[[#This Row],[ppn_z]]="","",IFERROR(
   IF(_xlfn.XLOOKUP(Final_Sans_VGE[[#This Row],[ppn_z]],tbl_Historique_Final[ppn_z],tbl_Historique_Final[date_modif])=Final_Sans_VGE[[#This Row],[date_modif]],
      "Ancien",
      "Modifié"),
   "Nouveau"))</f>
        <v>Ancien</v>
      </c>
      <c r="AC380"/>
      <c r="AD380"/>
    </row>
    <row r="381" spans="1:30" ht="60" x14ac:dyDescent="0.25">
      <c r="A381" s="5" t="s">
        <v>1262</v>
      </c>
      <c r="B381" s="1" t="s">
        <v>7091</v>
      </c>
      <c r="G381" s="1" t="s">
        <v>11</v>
      </c>
      <c r="J381" s="3">
        <v>45412.439988425926</v>
      </c>
      <c r="K381" s="2" t="s">
        <v>7092</v>
      </c>
      <c r="L381" s="1">
        <v>0</v>
      </c>
      <c r="M381" s="1">
        <v>0</v>
      </c>
      <c r="N381">
        <v>0</v>
      </c>
      <c r="O381" s="3">
        <f>IF(
    R381="Ancien",
    _xlfn.XLOOKUP(
        Final_Sans_VGE[[#This Row],[ppn_z]],
        tbl_Historique_Final[ppn_z],
        tbl_Historique_Final[Horodatage],
        ""
    ),
    Horodatage!$A$2
)</f>
        <v>46233.670796365739</v>
      </c>
      <c r="P381" s="1" t="str">
        <f>IFERROR(IF(tbl_Historique_Final[[#This Row],[Commentaires]]&lt;&gt;"",tbl_Historique_Final[[#This Row],[Commentaires]],""),"")</f>
        <v/>
      </c>
      <c r="X381" s="8" t="str">
        <f>IF(Final_Sans_VGE[[#This Row],[ppn_z]]="","",IFERROR(
   IF(_xlfn.XLOOKUP(Final_Sans_VGE[[#This Row],[ppn_z]],tbl_Historique_Final[ppn_z],tbl_Historique_Final[date_modif])=Final_Sans_VGE[[#This Row],[date_modif]],
      "Ancien",
      "Modifié"),
   "Nouveau"))</f>
        <v>Ancien</v>
      </c>
      <c r="AC381"/>
      <c r="AD381"/>
    </row>
    <row r="382" spans="1:30" x14ac:dyDescent="0.25">
      <c r="A382" s="5" t="s">
        <v>1265</v>
      </c>
      <c r="B382" s="1" t="s">
        <v>7093</v>
      </c>
      <c r="C382" s="1" t="s">
        <v>6694</v>
      </c>
      <c r="J382" s="3">
        <v>45356.485243055555</v>
      </c>
      <c r="L382" s="1">
        <v>1</v>
      </c>
      <c r="M382" s="1">
        <v>1</v>
      </c>
      <c r="N382">
        <v>0</v>
      </c>
      <c r="O382" s="3">
        <f>IF(
    R382="Ancien",
    _xlfn.XLOOKUP(
        Final_Sans_VGE[[#This Row],[ppn_z]],
        tbl_Historique_Final[ppn_z],
        tbl_Historique_Final[Horodatage],
        ""
    ),
    Horodatage!$A$2
)</f>
        <v>46233.670796365739</v>
      </c>
      <c r="P382" s="1" t="str">
        <f>IFERROR(IF(tbl_Historique_Final[[#This Row],[Commentaires]]&lt;&gt;"",tbl_Historique_Final[[#This Row],[Commentaires]],""),"")</f>
        <v/>
      </c>
      <c r="X382" s="8" t="str">
        <f>IF(Final_Sans_VGE[[#This Row],[ppn_z]]="","",IFERROR(
   IF(_xlfn.XLOOKUP(Final_Sans_VGE[[#This Row],[ppn_z]],tbl_Historique_Final[ppn_z],tbl_Historique_Final[date_modif])=Final_Sans_VGE[[#This Row],[date_modif]],
      "Ancien",
      "Modifié"),
   "Nouveau"))</f>
        <v>Ancien</v>
      </c>
      <c r="AC382"/>
      <c r="AD382"/>
    </row>
    <row r="383" spans="1:30" x14ac:dyDescent="0.25">
      <c r="A383" s="5" t="s">
        <v>1268</v>
      </c>
      <c r="B383" s="1" t="s">
        <v>7094</v>
      </c>
      <c r="C383" s="1" t="s">
        <v>80</v>
      </c>
      <c r="G383" s="1" t="s">
        <v>11</v>
      </c>
      <c r="J383" s="3">
        <v>45383.804097222222</v>
      </c>
      <c r="K383" s="2" t="s">
        <v>126</v>
      </c>
      <c r="L383" s="1">
        <v>1</v>
      </c>
      <c r="M383" s="1">
        <v>1</v>
      </c>
      <c r="N383">
        <v>0</v>
      </c>
      <c r="O383" s="3">
        <f>IF(
    R383="Ancien",
    _xlfn.XLOOKUP(
        Final_Sans_VGE[[#This Row],[ppn_z]],
        tbl_Historique_Final[ppn_z],
        tbl_Historique_Final[Horodatage],
        ""
    ),
    Horodatage!$A$2
)</f>
        <v>46233.670796365739</v>
      </c>
      <c r="P383" s="1" t="str">
        <f>IFERROR(IF(tbl_Historique_Final[[#This Row],[Commentaires]]&lt;&gt;"",tbl_Historique_Final[[#This Row],[Commentaires]],""),"")</f>
        <v/>
      </c>
      <c r="X383" s="8" t="str">
        <f>IF(Final_Sans_VGE[[#This Row],[ppn_z]]="","",IFERROR(
   IF(_xlfn.XLOOKUP(Final_Sans_VGE[[#This Row],[ppn_z]],tbl_Historique_Final[ppn_z],tbl_Historique_Final[date_modif])=Final_Sans_VGE[[#This Row],[date_modif]],
      "Ancien",
      "Modifié"),
   "Nouveau"))</f>
        <v>Ancien</v>
      </c>
      <c r="AC383"/>
      <c r="AD383"/>
    </row>
    <row r="384" spans="1:30" x14ac:dyDescent="0.25">
      <c r="A384" s="5" t="s">
        <v>1271</v>
      </c>
      <c r="B384" s="1" t="s">
        <v>7095</v>
      </c>
      <c r="C384" s="1" t="s">
        <v>7096</v>
      </c>
      <c r="J384" s="3">
        <v>45356.54446759259</v>
      </c>
      <c r="L384" s="1">
        <v>1</v>
      </c>
      <c r="M384" s="1">
        <v>1</v>
      </c>
      <c r="N384">
        <v>0</v>
      </c>
      <c r="O384" s="3">
        <f>IF(
    R384="Ancien",
    _xlfn.XLOOKUP(
        Final_Sans_VGE[[#This Row],[ppn_z]],
        tbl_Historique_Final[ppn_z],
        tbl_Historique_Final[Horodatage],
        ""
    ),
    Horodatage!$A$2
)</f>
        <v>46233.670796365739</v>
      </c>
      <c r="P384" s="1" t="str">
        <f>IFERROR(IF(tbl_Historique_Final[[#This Row],[Commentaires]]&lt;&gt;"",tbl_Historique_Final[[#This Row],[Commentaires]],""),"")</f>
        <v/>
      </c>
      <c r="X384" s="8" t="str">
        <f>IF(Final_Sans_VGE[[#This Row],[ppn_z]]="","",IFERROR(
   IF(_xlfn.XLOOKUP(Final_Sans_VGE[[#This Row],[ppn_z]],tbl_Historique_Final[ppn_z],tbl_Historique_Final[date_modif])=Final_Sans_VGE[[#This Row],[date_modif]],
      "Ancien",
      "Modifié"),
   "Nouveau"))</f>
        <v>Ancien</v>
      </c>
      <c r="AC384"/>
      <c r="AD384"/>
    </row>
    <row r="385" spans="1:30" x14ac:dyDescent="0.25">
      <c r="A385" s="5" t="s">
        <v>1274</v>
      </c>
      <c r="B385" s="1" t="s">
        <v>7097</v>
      </c>
      <c r="C385" s="1" t="s">
        <v>12</v>
      </c>
      <c r="G385" s="1" t="s">
        <v>11</v>
      </c>
      <c r="J385" s="3">
        <v>45384.524236111109</v>
      </c>
      <c r="K385" s="2" t="s">
        <v>7098</v>
      </c>
      <c r="L385" s="1">
        <v>1</v>
      </c>
      <c r="M385" s="1">
        <v>1</v>
      </c>
      <c r="N385">
        <v>0</v>
      </c>
      <c r="O385" s="3">
        <f>IF(
    R385="Ancien",
    _xlfn.XLOOKUP(
        Final_Sans_VGE[[#This Row],[ppn_z]],
        tbl_Historique_Final[ppn_z],
        tbl_Historique_Final[Horodatage],
        ""
    ),
    Horodatage!$A$2
)</f>
        <v>46233.670796365739</v>
      </c>
      <c r="P385" s="1" t="str">
        <f>IFERROR(IF(tbl_Historique_Final[[#This Row],[Commentaires]]&lt;&gt;"",tbl_Historique_Final[[#This Row],[Commentaires]],""),"")</f>
        <v/>
      </c>
      <c r="X385" s="8" t="str">
        <f>IF(Final_Sans_VGE[[#This Row],[ppn_z]]="","",IFERROR(
   IF(_xlfn.XLOOKUP(Final_Sans_VGE[[#This Row],[ppn_z]],tbl_Historique_Final[ppn_z],tbl_Historique_Final[date_modif])=Final_Sans_VGE[[#This Row],[date_modif]],
      "Ancien",
      "Modifié"),
   "Nouveau"))</f>
        <v>Ancien</v>
      </c>
      <c r="AC385"/>
      <c r="AD385"/>
    </row>
    <row r="386" spans="1:30" x14ac:dyDescent="0.25">
      <c r="A386" s="5" t="s">
        <v>1280</v>
      </c>
      <c r="B386" s="1" t="s">
        <v>7099</v>
      </c>
      <c r="C386" s="1" t="s">
        <v>12</v>
      </c>
      <c r="G386" s="1" t="s">
        <v>10</v>
      </c>
      <c r="J386" s="3">
        <v>45383.829074074078</v>
      </c>
      <c r="L386" s="1">
        <v>6</v>
      </c>
      <c r="M386" s="1">
        <v>8</v>
      </c>
      <c r="N386">
        <v>2</v>
      </c>
      <c r="O386" s="3">
        <f>IF(
    R386="Ancien",
    _xlfn.XLOOKUP(
        Final_Sans_VGE[[#This Row],[ppn_z]],
        tbl_Historique_Final[ppn_z],
        tbl_Historique_Final[Horodatage],
        ""
    ),
    Horodatage!$A$2
)</f>
        <v>46233.670796365739</v>
      </c>
      <c r="P386" s="1" t="str">
        <f>IFERROR(IF(tbl_Historique_Final[[#This Row],[Commentaires]]&lt;&gt;"",tbl_Historique_Final[[#This Row],[Commentaires]],""),"")</f>
        <v/>
      </c>
      <c r="X386" s="8" t="str">
        <f>IF(Final_Sans_VGE[[#This Row],[ppn_z]]="","",IFERROR(
   IF(_xlfn.XLOOKUP(Final_Sans_VGE[[#This Row],[ppn_z]],tbl_Historique_Final[ppn_z],tbl_Historique_Final[date_modif])=Final_Sans_VGE[[#This Row],[date_modif]],
      "Ancien",
      "Modifié"),
   "Nouveau"))</f>
        <v>Ancien</v>
      </c>
      <c r="AC386"/>
      <c r="AD386"/>
    </row>
    <row r="387" spans="1:30" ht="30" x14ac:dyDescent="0.25">
      <c r="A387" s="5" t="s">
        <v>1283</v>
      </c>
      <c r="B387" s="1" t="s">
        <v>7100</v>
      </c>
      <c r="C387" s="1" t="s">
        <v>12</v>
      </c>
      <c r="G387" s="1" t="s">
        <v>11</v>
      </c>
      <c r="J387" s="3">
        <v>45383.937326388892</v>
      </c>
      <c r="K387" s="2" t="s">
        <v>7101</v>
      </c>
      <c r="L387" s="1">
        <v>1</v>
      </c>
      <c r="M387" s="1">
        <v>1</v>
      </c>
      <c r="N387">
        <v>0</v>
      </c>
      <c r="O387" s="3">
        <f>IF(
    R387="Ancien",
    _xlfn.XLOOKUP(
        Final_Sans_VGE[[#This Row],[ppn_z]],
        tbl_Historique_Final[ppn_z],
        tbl_Historique_Final[Horodatage],
        ""
    ),
    Horodatage!$A$2
)</f>
        <v>46233.670796365739</v>
      </c>
      <c r="P387" s="1" t="str">
        <f>IFERROR(IF(tbl_Historique_Final[[#This Row],[Commentaires]]&lt;&gt;"",tbl_Historique_Final[[#This Row],[Commentaires]],""),"")</f>
        <v/>
      </c>
      <c r="X387" s="8" t="str">
        <f>IF(Final_Sans_VGE[[#This Row],[ppn_z]]="","",IFERROR(
   IF(_xlfn.XLOOKUP(Final_Sans_VGE[[#This Row],[ppn_z]],tbl_Historique_Final[ppn_z],tbl_Historique_Final[date_modif])=Final_Sans_VGE[[#This Row],[date_modif]],
      "Ancien",
      "Modifié"),
   "Nouveau"))</f>
        <v>Ancien</v>
      </c>
      <c r="AC387"/>
      <c r="AD387"/>
    </row>
    <row r="388" spans="1:30" x14ac:dyDescent="0.25">
      <c r="A388" s="5" t="s">
        <v>1286</v>
      </c>
      <c r="B388" s="1" t="s">
        <v>7102</v>
      </c>
      <c r="C388" s="1" t="s">
        <v>12</v>
      </c>
      <c r="G388" s="1" t="s">
        <v>11</v>
      </c>
      <c r="J388" s="3">
        <v>45383.97619212963</v>
      </c>
      <c r="K388" s="2" t="s">
        <v>7103</v>
      </c>
      <c r="L388" s="1">
        <v>1</v>
      </c>
      <c r="M388" s="1">
        <v>1</v>
      </c>
      <c r="N388">
        <v>0</v>
      </c>
      <c r="O388" s="3">
        <f>IF(
    R388="Ancien",
    _xlfn.XLOOKUP(
        Final_Sans_VGE[[#This Row],[ppn_z]],
        tbl_Historique_Final[ppn_z],
        tbl_Historique_Final[Horodatage],
        ""
    ),
    Horodatage!$A$2
)</f>
        <v>46233.670796365739</v>
      </c>
      <c r="P388" s="1" t="str">
        <f>IFERROR(IF(tbl_Historique_Final[[#This Row],[Commentaires]]&lt;&gt;"",tbl_Historique_Final[[#This Row],[Commentaires]],""),"")</f>
        <v/>
      </c>
      <c r="X388" s="8" t="str">
        <f>IF(Final_Sans_VGE[[#This Row],[ppn_z]]="","",IFERROR(
   IF(_xlfn.XLOOKUP(Final_Sans_VGE[[#This Row],[ppn_z]],tbl_Historique_Final[ppn_z],tbl_Historique_Final[date_modif])=Final_Sans_VGE[[#This Row],[date_modif]],
      "Ancien",
      "Modifié"),
   "Nouveau"))</f>
        <v>Ancien</v>
      </c>
      <c r="AC388"/>
      <c r="AD388"/>
    </row>
    <row r="389" spans="1:30" x14ac:dyDescent="0.25">
      <c r="A389" s="5" t="s">
        <v>1298</v>
      </c>
      <c r="B389" s="1" t="s">
        <v>7104</v>
      </c>
      <c r="C389" s="1" t="s">
        <v>29</v>
      </c>
      <c r="G389" s="1" t="s">
        <v>10</v>
      </c>
      <c r="J389" s="3">
        <v>45387.074421296296</v>
      </c>
      <c r="K389" s="2" t="s">
        <v>7105</v>
      </c>
      <c r="L389" s="1">
        <v>1</v>
      </c>
      <c r="M389" s="1">
        <v>4</v>
      </c>
      <c r="N389">
        <v>3</v>
      </c>
      <c r="O389" s="3">
        <f>IF(
    R389="Ancien",
    _xlfn.XLOOKUP(
        Final_Sans_VGE[[#This Row],[ppn_z]],
        tbl_Historique_Final[ppn_z],
        tbl_Historique_Final[Horodatage],
        ""
    ),
    Horodatage!$A$2
)</f>
        <v>46233.670796365739</v>
      </c>
      <c r="P389" s="1" t="str">
        <f>IFERROR(IF(tbl_Historique_Final[[#This Row],[Commentaires]]&lt;&gt;"",tbl_Historique_Final[[#This Row],[Commentaires]],""),"")</f>
        <v/>
      </c>
      <c r="X389" s="8" t="str">
        <f>IF(Final_Sans_VGE[[#This Row],[ppn_z]]="","",IFERROR(
   IF(_xlfn.XLOOKUP(Final_Sans_VGE[[#This Row],[ppn_z]],tbl_Historique_Final[ppn_z],tbl_Historique_Final[date_modif])=Final_Sans_VGE[[#This Row],[date_modif]],
      "Ancien",
      "Modifié"),
   "Nouveau"))</f>
        <v>Ancien</v>
      </c>
      <c r="AC389"/>
      <c r="AD389"/>
    </row>
    <row r="390" spans="1:30" ht="45" x14ac:dyDescent="0.25">
      <c r="A390" s="5" t="s">
        <v>1301</v>
      </c>
      <c r="B390" s="1" t="s">
        <v>7106</v>
      </c>
      <c r="C390" s="1" t="s">
        <v>12</v>
      </c>
      <c r="J390" s="3">
        <v>45392.423414351855</v>
      </c>
      <c r="K390" s="2" t="s">
        <v>7107</v>
      </c>
      <c r="L390" s="1">
        <v>2</v>
      </c>
      <c r="M390" s="1">
        <v>4</v>
      </c>
      <c r="N390">
        <v>2</v>
      </c>
      <c r="O390" s="3">
        <f>IF(
    R390="Ancien",
    _xlfn.XLOOKUP(
        Final_Sans_VGE[[#This Row],[ppn_z]],
        tbl_Historique_Final[ppn_z],
        tbl_Historique_Final[Horodatage],
        ""
    ),
    Horodatage!$A$2
)</f>
        <v>46233.670796365739</v>
      </c>
      <c r="P390" s="1" t="str">
        <f>IFERROR(IF(tbl_Historique_Final[[#This Row],[Commentaires]]&lt;&gt;"",tbl_Historique_Final[[#This Row],[Commentaires]],""),"")</f>
        <v/>
      </c>
      <c r="X390" s="8" t="str">
        <f>IF(Final_Sans_VGE[[#This Row],[ppn_z]]="","",IFERROR(
   IF(_xlfn.XLOOKUP(Final_Sans_VGE[[#This Row],[ppn_z]],tbl_Historique_Final[ppn_z],tbl_Historique_Final[date_modif])=Final_Sans_VGE[[#This Row],[date_modif]],
      "Ancien",
      "Modifié"),
   "Nouveau"))</f>
        <v>Ancien</v>
      </c>
      <c r="AC390"/>
      <c r="AD390"/>
    </row>
    <row r="391" spans="1:30" x14ac:dyDescent="0.25">
      <c r="A391" s="5" t="s">
        <v>1304</v>
      </c>
      <c r="B391" s="1" t="s">
        <v>7108</v>
      </c>
      <c r="C391" s="1" t="s">
        <v>6473</v>
      </c>
      <c r="G391" s="1" t="s">
        <v>10</v>
      </c>
      <c r="J391" s="3">
        <v>45386.767476851855</v>
      </c>
      <c r="K391" s="2" t="s">
        <v>7109</v>
      </c>
      <c r="L391" s="1">
        <v>3</v>
      </c>
      <c r="M391" s="1">
        <v>3</v>
      </c>
      <c r="N391">
        <v>0</v>
      </c>
      <c r="O391" s="3">
        <f>IF(
    R391="Ancien",
    _xlfn.XLOOKUP(
        Final_Sans_VGE[[#This Row],[ppn_z]],
        tbl_Historique_Final[ppn_z],
        tbl_Historique_Final[Horodatage],
        ""
    ),
    Horodatage!$A$2
)</f>
        <v>46233.670796365739</v>
      </c>
      <c r="P391" s="1" t="str">
        <f>IFERROR(IF(tbl_Historique_Final[[#This Row],[Commentaires]]&lt;&gt;"",tbl_Historique_Final[[#This Row],[Commentaires]],""),"")</f>
        <v/>
      </c>
      <c r="X391" s="8" t="str">
        <f>IF(Final_Sans_VGE[[#This Row],[ppn_z]]="","",IFERROR(
   IF(_xlfn.XLOOKUP(Final_Sans_VGE[[#This Row],[ppn_z]],tbl_Historique_Final[ppn_z],tbl_Historique_Final[date_modif])=Final_Sans_VGE[[#This Row],[date_modif]],
      "Ancien",
      "Modifié"),
   "Nouveau"))</f>
        <v>Ancien</v>
      </c>
      <c r="AC391"/>
      <c r="AD391"/>
    </row>
    <row r="392" spans="1:30" x14ac:dyDescent="0.25">
      <c r="A392" s="5" t="s">
        <v>1307</v>
      </c>
      <c r="B392" s="1" t="s">
        <v>7110</v>
      </c>
      <c r="C392" s="1" t="s">
        <v>87</v>
      </c>
      <c r="J392" s="3">
        <v>45362.124421296299</v>
      </c>
      <c r="L392" s="1">
        <v>1</v>
      </c>
      <c r="M392" s="1">
        <v>1</v>
      </c>
      <c r="N392">
        <v>0</v>
      </c>
      <c r="O392" s="3">
        <f>IF(
    R392="Ancien",
    _xlfn.XLOOKUP(
        Final_Sans_VGE[[#This Row],[ppn_z]],
        tbl_Historique_Final[ppn_z],
        tbl_Historique_Final[Horodatage],
        ""
    ),
    Horodatage!$A$2
)</f>
        <v>46233.670796365739</v>
      </c>
      <c r="P392" s="1" t="str">
        <f>IFERROR(IF(tbl_Historique_Final[[#This Row],[Commentaires]]&lt;&gt;"",tbl_Historique_Final[[#This Row],[Commentaires]],""),"")</f>
        <v/>
      </c>
      <c r="X392" s="8" t="str">
        <f>IF(Final_Sans_VGE[[#This Row],[ppn_z]]="","",IFERROR(
   IF(_xlfn.XLOOKUP(Final_Sans_VGE[[#This Row],[ppn_z]],tbl_Historique_Final[ppn_z],tbl_Historique_Final[date_modif])=Final_Sans_VGE[[#This Row],[date_modif]],
      "Ancien",
      "Modifié"),
   "Nouveau"))</f>
        <v>Ancien</v>
      </c>
      <c r="AC392"/>
      <c r="AD392"/>
    </row>
    <row r="393" spans="1:30" x14ac:dyDescent="0.25">
      <c r="A393" s="5" t="s">
        <v>1310</v>
      </c>
      <c r="B393" s="1" t="s">
        <v>7111</v>
      </c>
      <c r="C393" s="1" t="s">
        <v>12</v>
      </c>
      <c r="G393" s="1" t="s">
        <v>10</v>
      </c>
      <c r="J393" s="3">
        <v>45406.567048611112</v>
      </c>
      <c r="K393" s="2" t="s">
        <v>7112</v>
      </c>
      <c r="L393" s="1">
        <v>2</v>
      </c>
      <c r="M393" s="1">
        <v>3</v>
      </c>
      <c r="N393">
        <v>1</v>
      </c>
      <c r="O393" s="3">
        <f>IF(
    R393="Ancien",
    _xlfn.XLOOKUP(
        Final_Sans_VGE[[#This Row],[ppn_z]],
        tbl_Historique_Final[ppn_z],
        tbl_Historique_Final[Horodatage],
        ""
    ),
    Horodatage!$A$2
)</f>
        <v>46233.670796365739</v>
      </c>
      <c r="P393" s="1" t="str">
        <f>IFERROR(IF(tbl_Historique_Final[[#This Row],[Commentaires]]&lt;&gt;"",tbl_Historique_Final[[#This Row],[Commentaires]],""),"")</f>
        <v/>
      </c>
      <c r="X393" s="8" t="str">
        <f>IF(Final_Sans_VGE[[#This Row],[ppn_z]]="","",IFERROR(
   IF(_xlfn.XLOOKUP(Final_Sans_VGE[[#This Row],[ppn_z]],tbl_Historique_Final[ppn_z],tbl_Historique_Final[date_modif])=Final_Sans_VGE[[#This Row],[date_modif]],
      "Ancien",
      "Modifié"),
   "Nouveau"))</f>
        <v>Ancien</v>
      </c>
      <c r="AC393"/>
      <c r="AD393"/>
    </row>
    <row r="394" spans="1:30" x14ac:dyDescent="0.25">
      <c r="A394" s="5" t="s">
        <v>1313</v>
      </c>
      <c r="B394" s="1" t="s">
        <v>7113</v>
      </c>
      <c r="C394" s="1" t="s">
        <v>109</v>
      </c>
      <c r="G394" s="1" t="s">
        <v>11</v>
      </c>
      <c r="J394" s="3">
        <v>45385.378634259258</v>
      </c>
      <c r="K394" s="2" t="s">
        <v>7114</v>
      </c>
      <c r="L394" s="1">
        <v>2</v>
      </c>
      <c r="M394" s="1">
        <v>3</v>
      </c>
      <c r="N394">
        <v>1</v>
      </c>
      <c r="O394" s="3">
        <f>IF(
    R394="Ancien",
    _xlfn.XLOOKUP(
        Final_Sans_VGE[[#This Row],[ppn_z]],
        tbl_Historique_Final[ppn_z],
        tbl_Historique_Final[Horodatage],
        ""
    ),
    Horodatage!$A$2
)</f>
        <v>46233.670796365739</v>
      </c>
      <c r="P394" s="1" t="str">
        <f>IFERROR(IF(tbl_Historique_Final[[#This Row],[Commentaires]]&lt;&gt;"",tbl_Historique_Final[[#This Row],[Commentaires]],""),"")</f>
        <v/>
      </c>
      <c r="X394" s="8" t="str">
        <f>IF(Final_Sans_VGE[[#This Row],[ppn_z]]="","",IFERROR(
   IF(_xlfn.XLOOKUP(Final_Sans_VGE[[#This Row],[ppn_z]],tbl_Historique_Final[ppn_z],tbl_Historique_Final[date_modif])=Final_Sans_VGE[[#This Row],[date_modif]],
      "Ancien",
      "Modifié"),
   "Nouveau"))</f>
        <v>Ancien</v>
      </c>
      <c r="AC394"/>
      <c r="AD394"/>
    </row>
    <row r="395" spans="1:30" x14ac:dyDescent="0.25">
      <c r="A395" s="5" t="s">
        <v>1316</v>
      </c>
      <c r="B395" s="1" t="s">
        <v>7115</v>
      </c>
      <c r="C395" s="1" t="s">
        <v>32</v>
      </c>
      <c r="J395" s="3">
        <v>45362.318865740737</v>
      </c>
      <c r="L395" s="1">
        <v>1</v>
      </c>
      <c r="M395" s="1">
        <v>1</v>
      </c>
      <c r="N395">
        <v>0</v>
      </c>
      <c r="O395" s="3">
        <f>IF(
    R395="Ancien",
    _xlfn.XLOOKUP(
        Final_Sans_VGE[[#This Row],[ppn_z]],
        tbl_Historique_Final[ppn_z],
        tbl_Historique_Final[Horodatage],
        ""
    ),
    Horodatage!$A$2
)</f>
        <v>46233.670796365739</v>
      </c>
      <c r="P395" s="1" t="str">
        <f>IFERROR(IF(tbl_Historique_Final[[#This Row],[Commentaires]]&lt;&gt;"",tbl_Historique_Final[[#This Row],[Commentaires]],""),"")</f>
        <v/>
      </c>
      <c r="X395" s="8" t="str">
        <f>IF(Final_Sans_VGE[[#This Row],[ppn_z]]="","",IFERROR(
   IF(_xlfn.XLOOKUP(Final_Sans_VGE[[#This Row],[ppn_z]],tbl_Historique_Final[ppn_z],tbl_Historique_Final[date_modif])=Final_Sans_VGE[[#This Row],[date_modif]],
      "Ancien",
      "Modifié"),
   "Nouveau"))</f>
        <v>Ancien</v>
      </c>
      <c r="AC395"/>
      <c r="AD395"/>
    </row>
    <row r="396" spans="1:30" x14ac:dyDescent="0.25">
      <c r="A396" s="5" t="s">
        <v>1319</v>
      </c>
      <c r="B396" s="1" t="s">
        <v>7116</v>
      </c>
      <c r="C396" s="1" t="s">
        <v>12</v>
      </c>
      <c r="G396" s="1" t="s">
        <v>10</v>
      </c>
      <c r="J396" s="3">
        <v>45385.420335648145</v>
      </c>
      <c r="L396" s="1">
        <v>1</v>
      </c>
      <c r="M396" s="1">
        <v>1</v>
      </c>
      <c r="N396">
        <v>0</v>
      </c>
      <c r="O396" s="3">
        <f>IF(
    R396="Ancien",
    _xlfn.XLOOKUP(
        Final_Sans_VGE[[#This Row],[ppn_z]],
        tbl_Historique_Final[ppn_z],
        tbl_Historique_Final[Horodatage],
        ""
    ),
    Horodatage!$A$2
)</f>
        <v>46233.670796365739</v>
      </c>
      <c r="P396" s="1" t="str">
        <f>IFERROR(IF(tbl_Historique_Final[[#This Row],[Commentaires]]&lt;&gt;"",tbl_Historique_Final[[#This Row],[Commentaires]],""),"")</f>
        <v/>
      </c>
      <c r="X396" s="8" t="str">
        <f>IF(Final_Sans_VGE[[#This Row],[ppn_z]]="","",IFERROR(
   IF(_xlfn.XLOOKUP(Final_Sans_VGE[[#This Row],[ppn_z]],tbl_Historique_Final[ppn_z],tbl_Historique_Final[date_modif])=Final_Sans_VGE[[#This Row],[date_modif]],
      "Ancien",
      "Modifié"),
   "Nouveau"))</f>
        <v>Ancien</v>
      </c>
      <c r="AC396"/>
      <c r="AD396"/>
    </row>
    <row r="397" spans="1:30" ht="45" x14ac:dyDescent="0.25">
      <c r="A397" s="5" t="s">
        <v>1322</v>
      </c>
      <c r="B397" s="1" t="s">
        <v>7117</v>
      </c>
      <c r="C397" s="1" t="s">
        <v>7004</v>
      </c>
      <c r="G397" s="1" t="s">
        <v>11</v>
      </c>
      <c r="J397" s="3">
        <v>45407.453611111108</v>
      </c>
      <c r="K397" s="2" t="s">
        <v>7118</v>
      </c>
      <c r="L397" s="1">
        <v>1</v>
      </c>
      <c r="M397" s="1">
        <v>1</v>
      </c>
      <c r="N397">
        <v>0</v>
      </c>
      <c r="O397" s="3">
        <f>IF(
    R397="Ancien",
    _xlfn.XLOOKUP(
        Final_Sans_VGE[[#This Row],[ppn_z]],
        tbl_Historique_Final[ppn_z],
        tbl_Historique_Final[Horodatage],
        ""
    ),
    Horodatage!$A$2
)</f>
        <v>46233.670796365739</v>
      </c>
      <c r="P397" s="1" t="str">
        <f>IFERROR(IF(tbl_Historique_Final[[#This Row],[Commentaires]]&lt;&gt;"",tbl_Historique_Final[[#This Row],[Commentaires]],""),"")</f>
        <v/>
      </c>
      <c r="X397" s="8" t="str">
        <f>IF(Final_Sans_VGE[[#This Row],[ppn_z]]="","",IFERROR(
   IF(_xlfn.XLOOKUP(Final_Sans_VGE[[#This Row],[ppn_z]],tbl_Historique_Final[ppn_z],tbl_Historique_Final[date_modif])=Final_Sans_VGE[[#This Row],[date_modif]],
      "Ancien",
      "Modifié"),
   "Nouveau"))</f>
        <v>Ancien</v>
      </c>
      <c r="AC397"/>
      <c r="AD397"/>
    </row>
    <row r="398" spans="1:30" x14ac:dyDescent="0.25">
      <c r="A398" s="5" t="s">
        <v>1325</v>
      </c>
      <c r="B398" s="1" t="s">
        <v>7119</v>
      </c>
      <c r="C398" s="1" t="s">
        <v>12</v>
      </c>
      <c r="G398" s="1" t="s">
        <v>10</v>
      </c>
      <c r="J398" s="3">
        <v>45391.681319444448</v>
      </c>
      <c r="K398" s="2" t="s">
        <v>7120</v>
      </c>
      <c r="L398" s="1">
        <v>2</v>
      </c>
      <c r="M398" s="1">
        <v>5</v>
      </c>
      <c r="N398">
        <v>3</v>
      </c>
      <c r="O398" s="3">
        <f>IF(
    R398="Ancien",
    _xlfn.XLOOKUP(
        Final_Sans_VGE[[#This Row],[ppn_z]],
        tbl_Historique_Final[ppn_z],
        tbl_Historique_Final[Horodatage],
        ""
    ),
    Horodatage!$A$2
)</f>
        <v>46233.670796365739</v>
      </c>
      <c r="P398" s="1" t="str">
        <f>IFERROR(IF(tbl_Historique_Final[[#This Row],[Commentaires]]&lt;&gt;"",tbl_Historique_Final[[#This Row],[Commentaires]],""),"")</f>
        <v/>
      </c>
      <c r="X398" s="8" t="str">
        <f>IF(Final_Sans_VGE[[#This Row],[ppn_z]]="","",IFERROR(
   IF(_xlfn.XLOOKUP(Final_Sans_VGE[[#This Row],[ppn_z]],tbl_Historique_Final[ppn_z],tbl_Historique_Final[date_modif])=Final_Sans_VGE[[#This Row],[date_modif]],
      "Ancien",
      "Modifié"),
   "Nouveau"))</f>
        <v>Ancien</v>
      </c>
      <c r="AC398"/>
      <c r="AD398"/>
    </row>
    <row r="399" spans="1:30" x14ac:dyDescent="0.25">
      <c r="A399" s="5" t="s">
        <v>1328</v>
      </c>
      <c r="B399" s="1" t="s">
        <v>7121</v>
      </c>
      <c r="C399" s="1" t="s">
        <v>89</v>
      </c>
      <c r="G399" s="1" t="s">
        <v>11</v>
      </c>
      <c r="J399" s="3">
        <v>45392.317430555559</v>
      </c>
      <c r="K399" s="2" t="s">
        <v>7122</v>
      </c>
      <c r="L399" s="1">
        <v>1</v>
      </c>
      <c r="M399" s="1">
        <v>1</v>
      </c>
      <c r="N399">
        <v>0</v>
      </c>
      <c r="O399" s="3">
        <f>IF(
    R399="Ancien",
    _xlfn.XLOOKUP(
        Final_Sans_VGE[[#This Row],[ppn_z]],
        tbl_Historique_Final[ppn_z],
        tbl_Historique_Final[Horodatage],
        ""
    ),
    Horodatage!$A$2
)</f>
        <v>46233.670796365739</v>
      </c>
      <c r="P399" s="1" t="str">
        <f>IFERROR(IF(tbl_Historique_Final[[#This Row],[Commentaires]]&lt;&gt;"",tbl_Historique_Final[[#This Row],[Commentaires]],""),"")</f>
        <v/>
      </c>
      <c r="X399" s="8" t="str">
        <f>IF(Final_Sans_VGE[[#This Row],[ppn_z]]="","",IFERROR(
   IF(_xlfn.XLOOKUP(Final_Sans_VGE[[#This Row],[ppn_z]],tbl_Historique_Final[ppn_z],tbl_Historique_Final[date_modif])=Final_Sans_VGE[[#This Row],[date_modif]],
      "Ancien",
      "Modifié"),
   "Nouveau"))</f>
        <v>Ancien</v>
      </c>
      <c r="AC399"/>
      <c r="AD399"/>
    </row>
    <row r="400" spans="1:30" ht="30" x14ac:dyDescent="0.25">
      <c r="A400" s="5" t="s">
        <v>1331</v>
      </c>
      <c r="B400" s="1" t="s">
        <v>7123</v>
      </c>
      <c r="C400" s="1" t="s">
        <v>81</v>
      </c>
      <c r="G400" s="1" t="s">
        <v>10</v>
      </c>
      <c r="J400" s="3">
        <v>45407.440196759257</v>
      </c>
      <c r="K400" s="2" t="s">
        <v>7124</v>
      </c>
      <c r="L400" s="1">
        <v>1</v>
      </c>
      <c r="M400" s="1">
        <v>1</v>
      </c>
      <c r="N400">
        <v>0</v>
      </c>
      <c r="O400" s="3">
        <f>IF(
    R400="Ancien",
    _xlfn.XLOOKUP(
        Final_Sans_VGE[[#This Row],[ppn_z]],
        tbl_Historique_Final[ppn_z],
        tbl_Historique_Final[Horodatage],
        ""
    ),
    Horodatage!$A$2
)</f>
        <v>46233.670796365739</v>
      </c>
      <c r="P400" s="1" t="str">
        <f>IFERROR(IF(tbl_Historique_Final[[#This Row],[Commentaires]]&lt;&gt;"",tbl_Historique_Final[[#This Row],[Commentaires]],""),"")</f>
        <v/>
      </c>
      <c r="X400" s="8" t="str">
        <f>IF(Final_Sans_VGE[[#This Row],[ppn_z]]="","",IFERROR(
   IF(_xlfn.XLOOKUP(Final_Sans_VGE[[#This Row],[ppn_z]],tbl_Historique_Final[ppn_z],tbl_Historique_Final[date_modif])=Final_Sans_VGE[[#This Row],[date_modif]],
      "Ancien",
      "Modifié"),
   "Nouveau"))</f>
        <v>Ancien</v>
      </c>
      <c r="AC400"/>
      <c r="AD400"/>
    </row>
    <row r="401" spans="1:30" x14ac:dyDescent="0.25">
      <c r="A401" s="5" t="s">
        <v>1334</v>
      </c>
      <c r="B401" s="1" t="s">
        <v>7125</v>
      </c>
      <c r="C401" s="1" t="s">
        <v>12</v>
      </c>
      <c r="G401" s="1" t="s">
        <v>10</v>
      </c>
      <c r="J401" s="3">
        <v>45390.184108796297</v>
      </c>
      <c r="K401" s="2" t="s">
        <v>7126</v>
      </c>
      <c r="L401" s="1">
        <v>1</v>
      </c>
      <c r="M401" s="1">
        <v>2</v>
      </c>
      <c r="N401">
        <v>1</v>
      </c>
      <c r="O401" s="3">
        <f>IF(
    R401="Ancien",
    _xlfn.XLOOKUP(
        Final_Sans_VGE[[#This Row],[ppn_z]],
        tbl_Historique_Final[ppn_z],
        tbl_Historique_Final[Horodatage],
        ""
    ),
    Horodatage!$A$2
)</f>
        <v>46233.670796365739</v>
      </c>
      <c r="P401" s="1" t="str">
        <f>IFERROR(IF(tbl_Historique_Final[[#This Row],[Commentaires]]&lt;&gt;"",tbl_Historique_Final[[#This Row],[Commentaires]],""),"")</f>
        <v/>
      </c>
      <c r="X401" s="8" t="str">
        <f>IF(Final_Sans_VGE[[#This Row],[ppn_z]]="","",IFERROR(
   IF(_xlfn.XLOOKUP(Final_Sans_VGE[[#This Row],[ppn_z]],tbl_Historique_Final[ppn_z],tbl_Historique_Final[date_modif])=Final_Sans_VGE[[#This Row],[date_modif]],
      "Ancien",
      "Modifié"),
   "Nouveau"))</f>
        <v>Ancien</v>
      </c>
      <c r="AC401"/>
      <c r="AD401"/>
    </row>
    <row r="402" spans="1:30" x14ac:dyDescent="0.25">
      <c r="A402" s="5" t="s">
        <v>1337</v>
      </c>
      <c r="B402" s="1" t="s">
        <v>7127</v>
      </c>
      <c r="C402" s="1" t="s">
        <v>75</v>
      </c>
      <c r="J402" s="3">
        <v>45366.220208333332</v>
      </c>
      <c r="L402" s="1">
        <v>2</v>
      </c>
      <c r="M402" s="1">
        <v>2</v>
      </c>
      <c r="N402">
        <v>0</v>
      </c>
      <c r="O402" s="3">
        <f>IF(
    R402="Ancien",
    _xlfn.XLOOKUP(
        Final_Sans_VGE[[#This Row],[ppn_z]],
        tbl_Historique_Final[ppn_z],
        tbl_Historique_Final[Horodatage],
        ""
    ),
    Horodatage!$A$2
)</f>
        <v>46233.670796365739</v>
      </c>
      <c r="P402" s="1" t="str">
        <f>IFERROR(IF(tbl_Historique_Final[[#This Row],[Commentaires]]&lt;&gt;"",tbl_Historique_Final[[#This Row],[Commentaires]],""),"")</f>
        <v/>
      </c>
      <c r="X402" s="8" t="str">
        <f>IF(Final_Sans_VGE[[#This Row],[ppn_z]]="","",IFERROR(
   IF(_xlfn.XLOOKUP(Final_Sans_VGE[[#This Row],[ppn_z]],tbl_Historique_Final[ppn_z],tbl_Historique_Final[date_modif])=Final_Sans_VGE[[#This Row],[date_modif]],
      "Ancien",
      "Modifié"),
   "Nouveau"))</f>
        <v>Ancien</v>
      </c>
      <c r="AC402"/>
      <c r="AD402"/>
    </row>
    <row r="403" spans="1:30" ht="30" x14ac:dyDescent="0.25">
      <c r="A403" s="5" t="s">
        <v>1340</v>
      </c>
      <c r="B403" s="1" t="s">
        <v>7128</v>
      </c>
      <c r="C403" s="1" t="s">
        <v>12</v>
      </c>
      <c r="G403" s="1" t="s">
        <v>10</v>
      </c>
      <c r="J403" s="3">
        <v>45388.409108796295</v>
      </c>
      <c r="K403" s="2" t="s">
        <v>7129</v>
      </c>
      <c r="L403" s="1">
        <v>1</v>
      </c>
      <c r="M403" s="1">
        <v>2</v>
      </c>
      <c r="N403">
        <v>1</v>
      </c>
      <c r="O403" s="3">
        <f>IF(
    R403="Ancien",
    _xlfn.XLOOKUP(
        Final_Sans_VGE[[#This Row],[ppn_z]],
        tbl_Historique_Final[ppn_z],
        tbl_Historique_Final[Horodatage],
        ""
    ),
    Horodatage!$A$2
)</f>
        <v>46233.670796365739</v>
      </c>
      <c r="P403" s="1" t="str">
        <f>IFERROR(IF(tbl_Historique_Final[[#This Row],[Commentaires]]&lt;&gt;"",tbl_Historique_Final[[#This Row],[Commentaires]],""),"")</f>
        <v/>
      </c>
      <c r="X403" s="8" t="str">
        <f>IF(Final_Sans_VGE[[#This Row],[ppn_z]]="","",IFERROR(
   IF(_xlfn.XLOOKUP(Final_Sans_VGE[[#This Row],[ppn_z]],tbl_Historique_Final[ppn_z],tbl_Historique_Final[date_modif])=Final_Sans_VGE[[#This Row],[date_modif]],
      "Ancien",
      "Modifié"),
   "Nouveau"))</f>
        <v>Ancien</v>
      </c>
      <c r="AC403"/>
      <c r="AD403"/>
    </row>
    <row r="404" spans="1:30" x14ac:dyDescent="0.25">
      <c r="A404" s="5" t="s">
        <v>1343</v>
      </c>
      <c r="B404" s="1" t="s">
        <v>7130</v>
      </c>
      <c r="J404" s="3">
        <v>45363.730590277781</v>
      </c>
      <c r="L404" s="1">
        <v>18</v>
      </c>
      <c r="M404" s="1">
        <v>19</v>
      </c>
      <c r="N404">
        <v>1</v>
      </c>
      <c r="O404" s="3">
        <f>IF(
    R404="Ancien",
    _xlfn.XLOOKUP(
        Final_Sans_VGE[[#This Row],[ppn_z]],
        tbl_Historique_Final[ppn_z],
        tbl_Historique_Final[Horodatage],
        ""
    ),
    Horodatage!$A$2
)</f>
        <v>46233.670796365739</v>
      </c>
      <c r="P404" s="1" t="str">
        <f>IFERROR(IF(tbl_Historique_Final[[#This Row],[Commentaires]]&lt;&gt;"",tbl_Historique_Final[[#This Row],[Commentaires]],""),"")</f>
        <v/>
      </c>
      <c r="X404" s="8" t="str">
        <f>IF(Final_Sans_VGE[[#This Row],[ppn_z]]="","",IFERROR(
   IF(_xlfn.XLOOKUP(Final_Sans_VGE[[#This Row],[ppn_z]],tbl_Historique_Final[ppn_z],tbl_Historique_Final[date_modif])=Final_Sans_VGE[[#This Row],[date_modif]],
      "Ancien",
      "Modifié"),
   "Nouveau"))</f>
        <v>Ancien</v>
      </c>
      <c r="AC404"/>
      <c r="AD404"/>
    </row>
    <row r="405" spans="1:30" x14ac:dyDescent="0.25">
      <c r="A405" s="5" t="s">
        <v>1346</v>
      </c>
      <c r="B405" s="1" t="s">
        <v>7131</v>
      </c>
      <c r="C405" s="1" t="s">
        <v>44</v>
      </c>
      <c r="G405" s="1" t="s">
        <v>10</v>
      </c>
      <c r="J405" s="3">
        <v>45407.448449074072</v>
      </c>
      <c r="K405" s="2" t="s">
        <v>7132</v>
      </c>
      <c r="L405" s="1">
        <v>1</v>
      </c>
      <c r="M405" s="1">
        <v>1</v>
      </c>
      <c r="N405">
        <v>0</v>
      </c>
      <c r="O405" s="3">
        <f>IF(
    R405="Ancien",
    _xlfn.XLOOKUP(
        Final_Sans_VGE[[#This Row],[ppn_z]],
        tbl_Historique_Final[ppn_z],
        tbl_Historique_Final[Horodatage],
        ""
    ),
    Horodatage!$A$2
)</f>
        <v>46233.670796365739</v>
      </c>
      <c r="P405" s="1" t="str">
        <f>IFERROR(IF(tbl_Historique_Final[[#This Row],[Commentaires]]&lt;&gt;"",tbl_Historique_Final[[#This Row],[Commentaires]],""),"")</f>
        <v/>
      </c>
      <c r="X405" s="8" t="str">
        <f>IF(Final_Sans_VGE[[#This Row],[ppn_z]]="","",IFERROR(
   IF(_xlfn.XLOOKUP(Final_Sans_VGE[[#This Row],[ppn_z]],tbl_Historique_Final[ppn_z],tbl_Historique_Final[date_modif])=Final_Sans_VGE[[#This Row],[date_modif]],
      "Ancien",
      "Modifié"),
   "Nouveau"))</f>
        <v>Ancien</v>
      </c>
      <c r="AC405"/>
      <c r="AD405"/>
    </row>
    <row r="406" spans="1:30" ht="45" x14ac:dyDescent="0.25">
      <c r="A406" s="5" t="s">
        <v>1349</v>
      </c>
      <c r="B406" s="1" t="s">
        <v>7133</v>
      </c>
      <c r="C406" s="1" t="s">
        <v>12</v>
      </c>
      <c r="G406" s="1" t="s">
        <v>10</v>
      </c>
      <c r="J406" s="3">
        <v>45412.82199074074</v>
      </c>
      <c r="K406" s="2" t="s">
        <v>7134</v>
      </c>
      <c r="L406" s="1">
        <v>2</v>
      </c>
      <c r="M406" s="1">
        <v>3</v>
      </c>
      <c r="N406">
        <v>1</v>
      </c>
      <c r="O406" s="3">
        <f>IF(
    R406="Ancien",
    _xlfn.XLOOKUP(
        Final_Sans_VGE[[#This Row],[ppn_z]],
        tbl_Historique_Final[ppn_z],
        tbl_Historique_Final[Horodatage],
        ""
    ),
    Horodatage!$A$2
)</f>
        <v>46233.670796365739</v>
      </c>
      <c r="P406" s="1" t="str">
        <f>IFERROR(IF(tbl_Historique_Final[[#This Row],[Commentaires]]&lt;&gt;"",tbl_Historique_Final[[#This Row],[Commentaires]],""),"")</f>
        <v/>
      </c>
      <c r="X406" s="8" t="str">
        <f>IF(Final_Sans_VGE[[#This Row],[ppn_z]]="","",IFERROR(
   IF(_xlfn.XLOOKUP(Final_Sans_VGE[[#This Row],[ppn_z]],tbl_Historique_Final[ppn_z],tbl_Historique_Final[date_modif])=Final_Sans_VGE[[#This Row],[date_modif]],
      "Ancien",
      "Modifié"),
   "Nouveau"))</f>
        <v>Ancien</v>
      </c>
      <c r="AC406"/>
      <c r="AD406"/>
    </row>
    <row r="407" spans="1:30" x14ac:dyDescent="0.25">
      <c r="A407" s="5" t="s">
        <v>1352</v>
      </c>
      <c r="B407" s="1" t="s">
        <v>7135</v>
      </c>
      <c r="C407" s="1" t="s">
        <v>33</v>
      </c>
      <c r="G407" s="1" t="s">
        <v>11</v>
      </c>
      <c r="J407" s="3">
        <v>45390.83966435185</v>
      </c>
      <c r="L407" s="1">
        <v>1</v>
      </c>
      <c r="M407" s="1">
        <v>1</v>
      </c>
      <c r="N407">
        <v>0</v>
      </c>
      <c r="O407" s="3">
        <f>IF(
    R407="Ancien",
    _xlfn.XLOOKUP(
        Final_Sans_VGE[[#This Row],[ppn_z]],
        tbl_Historique_Final[ppn_z],
        tbl_Historique_Final[Horodatage],
        ""
    ),
    Horodatage!$A$2
)</f>
        <v>46233.670796365739</v>
      </c>
      <c r="P407" s="1" t="str">
        <f>IFERROR(IF(tbl_Historique_Final[[#This Row],[Commentaires]]&lt;&gt;"",tbl_Historique_Final[[#This Row],[Commentaires]],""),"")</f>
        <v/>
      </c>
      <c r="X407" s="8" t="str">
        <f>IF(Final_Sans_VGE[[#This Row],[ppn_z]]="","",IFERROR(
   IF(_xlfn.XLOOKUP(Final_Sans_VGE[[#This Row],[ppn_z]],tbl_Historique_Final[ppn_z],tbl_Historique_Final[date_modif])=Final_Sans_VGE[[#This Row],[date_modif]],
      "Ancien",
      "Modifié"),
   "Nouveau"))</f>
        <v>Ancien</v>
      </c>
      <c r="AC407"/>
      <c r="AD407"/>
    </row>
    <row r="408" spans="1:30" ht="45" x14ac:dyDescent="0.25">
      <c r="A408" s="5" t="s">
        <v>1355</v>
      </c>
      <c r="B408" s="1" t="s">
        <v>7136</v>
      </c>
      <c r="C408" s="1" t="s">
        <v>12</v>
      </c>
      <c r="G408" s="1" t="s">
        <v>11</v>
      </c>
      <c r="J408" s="3">
        <v>45471.442303240743</v>
      </c>
      <c r="K408" s="2" t="s">
        <v>7137</v>
      </c>
      <c r="L408" s="1">
        <v>1</v>
      </c>
      <c r="M408" s="1">
        <v>1</v>
      </c>
      <c r="N408">
        <v>0</v>
      </c>
      <c r="O408" s="3">
        <f>IF(
    R408="Ancien",
    _xlfn.XLOOKUP(
        Final_Sans_VGE[[#This Row],[ppn_z]],
        tbl_Historique_Final[ppn_z],
        tbl_Historique_Final[Horodatage],
        ""
    ),
    Horodatage!$A$2
)</f>
        <v>46233.670796365739</v>
      </c>
      <c r="P408" s="1" t="str">
        <f>IFERROR(IF(tbl_Historique_Final[[#This Row],[Commentaires]]&lt;&gt;"",tbl_Historique_Final[[#This Row],[Commentaires]],""),"")</f>
        <v/>
      </c>
      <c r="X408" s="8" t="str">
        <f>IF(Final_Sans_VGE[[#This Row],[ppn_z]]="","",IFERROR(
   IF(_xlfn.XLOOKUP(Final_Sans_VGE[[#This Row],[ppn_z]],tbl_Historique_Final[ppn_z],tbl_Historique_Final[date_modif])=Final_Sans_VGE[[#This Row],[date_modif]],
      "Ancien",
      "Modifié"),
   "Nouveau"))</f>
        <v>Ancien</v>
      </c>
      <c r="AC408"/>
      <c r="AD408"/>
    </row>
    <row r="409" spans="1:30" x14ac:dyDescent="0.25">
      <c r="A409" s="5" t="s">
        <v>1358</v>
      </c>
      <c r="B409" s="1" t="s">
        <v>7138</v>
      </c>
      <c r="C409" s="1" t="s">
        <v>12</v>
      </c>
      <c r="G409" s="1" t="s">
        <v>10</v>
      </c>
      <c r="J409" s="3">
        <v>45450.43136574074</v>
      </c>
      <c r="K409" s="2" t="s">
        <v>7139</v>
      </c>
      <c r="L409" s="1">
        <v>1</v>
      </c>
      <c r="M409" s="1">
        <v>1</v>
      </c>
      <c r="N409">
        <v>0</v>
      </c>
      <c r="O409" s="3">
        <f>IF(
    R409="Ancien",
    _xlfn.XLOOKUP(
        Final_Sans_VGE[[#This Row],[ppn_z]],
        tbl_Historique_Final[ppn_z],
        tbl_Historique_Final[Horodatage],
        ""
    ),
    Horodatage!$A$2
)</f>
        <v>46233.670796365739</v>
      </c>
      <c r="P409" s="1" t="str">
        <f>IFERROR(IF(tbl_Historique_Final[[#This Row],[Commentaires]]&lt;&gt;"",tbl_Historique_Final[[#This Row],[Commentaires]],""),"")</f>
        <v/>
      </c>
      <c r="X409" s="8" t="str">
        <f>IF(Final_Sans_VGE[[#This Row],[ppn_z]]="","",IFERROR(
   IF(_xlfn.XLOOKUP(Final_Sans_VGE[[#This Row],[ppn_z]],tbl_Historique_Final[ppn_z],tbl_Historique_Final[date_modif])=Final_Sans_VGE[[#This Row],[date_modif]],
      "Ancien",
      "Modifié"),
   "Nouveau"))</f>
        <v>Ancien</v>
      </c>
      <c r="AC409"/>
      <c r="AD409"/>
    </row>
    <row r="410" spans="1:30" x14ac:dyDescent="0.25">
      <c r="A410" s="5" t="s">
        <v>1361</v>
      </c>
      <c r="B410" s="1" t="s">
        <v>7140</v>
      </c>
      <c r="C410" s="1" t="s">
        <v>12</v>
      </c>
      <c r="G410" s="1" t="s">
        <v>11</v>
      </c>
      <c r="J410" s="3">
        <v>45416.810879629629</v>
      </c>
      <c r="K410" s="2" t="s">
        <v>7141</v>
      </c>
      <c r="L410" s="1">
        <v>1</v>
      </c>
      <c r="M410" s="1">
        <v>1</v>
      </c>
      <c r="N410">
        <v>0</v>
      </c>
      <c r="O410" s="3">
        <f>IF(
    R410="Ancien",
    _xlfn.XLOOKUP(
        Final_Sans_VGE[[#This Row],[ppn_z]],
        tbl_Historique_Final[ppn_z],
        tbl_Historique_Final[Horodatage],
        ""
    ),
    Horodatage!$A$2
)</f>
        <v>46233.670796365739</v>
      </c>
      <c r="P410" s="1" t="str">
        <f>IFERROR(IF(tbl_Historique_Final[[#This Row],[Commentaires]]&lt;&gt;"",tbl_Historique_Final[[#This Row],[Commentaires]],""),"")</f>
        <v/>
      </c>
      <c r="X410" s="8" t="str">
        <f>IF(Final_Sans_VGE[[#This Row],[ppn_z]]="","",IFERROR(
   IF(_xlfn.XLOOKUP(Final_Sans_VGE[[#This Row],[ppn_z]],tbl_Historique_Final[ppn_z],tbl_Historique_Final[date_modif])=Final_Sans_VGE[[#This Row],[date_modif]],
      "Ancien",
      "Modifié"),
   "Nouveau"))</f>
        <v>Ancien</v>
      </c>
      <c r="AC410"/>
      <c r="AD410"/>
    </row>
    <row r="411" spans="1:30" x14ac:dyDescent="0.25">
      <c r="A411" s="5" t="s">
        <v>1364</v>
      </c>
      <c r="B411" s="1" t="s">
        <v>7142</v>
      </c>
      <c r="C411" s="1" t="s">
        <v>12</v>
      </c>
      <c r="G411" s="1" t="s">
        <v>11</v>
      </c>
      <c r="J411" s="3">
        <v>45499.403680555559</v>
      </c>
      <c r="K411" s="2" t="s">
        <v>7143</v>
      </c>
      <c r="L411" s="1">
        <v>1</v>
      </c>
      <c r="M411" s="1">
        <v>2</v>
      </c>
      <c r="N411">
        <v>1</v>
      </c>
      <c r="O411" s="3">
        <f>IF(
    R411="Ancien",
    _xlfn.XLOOKUP(
        Final_Sans_VGE[[#This Row],[ppn_z]],
        tbl_Historique_Final[ppn_z],
        tbl_Historique_Final[Horodatage],
        ""
    ),
    Horodatage!$A$2
)</f>
        <v>46233.670796365739</v>
      </c>
      <c r="P411" s="1" t="str">
        <f>IFERROR(IF(tbl_Historique_Final[[#This Row],[Commentaires]]&lt;&gt;"",tbl_Historique_Final[[#This Row],[Commentaires]],""),"")</f>
        <v/>
      </c>
      <c r="X411" s="8" t="str">
        <f>IF(Final_Sans_VGE[[#This Row],[ppn_z]]="","",IFERROR(
   IF(_xlfn.XLOOKUP(Final_Sans_VGE[[#This Row],[ppn_z]],tbl_Historique_Final[ppn_z],tbl_Historique_Final[date_modif])=Final_Sans_VGE[[#This Row],[date_modif]],
      "Ancien",
      "Modifié"),
   "Nouveau"))</f>
        <v>Ancien</v>
      </c>
      <c r="AC411"/>
      <c r="AD411"/>
    </row>
    <row r="412" spans="1:30" x14ac:dyDescent="0.25">
      <c r="A412" s="5" t="s">
        <v>1367</v>
      </c>
      <c r="B412" s="1" t="s">
        <v>7144</v>
      </c>
      <c r="C412" s="1" t="s">
        <v>37</v>
      </c>
      <c r="G412" s="1" t="s">
        <v>10</v>
      </c>
      <c r="J412" s="3">
        <v>45513.67083333333</v>
      </c>
      <c r="K412" s="2" t="s">
        <v>7145</v>
      </c>
      <c r="L412" s="1">
        <v>1</v>
      </c>
      <c r="M412" s="1">
        <v>1</v>
      </c>
      <c r="N412">
        <v>0</v>
      </c>
      <c r="O412" s="3">
        <f>IF(
    R412="Ancien",
    _xlfn.XLOOKUP(
        Final_Sans_VGE[[#This Row],[ppn_z]],
        tbl_Historique_Final[ppn_z],
        tbl_Historique_Final[Horodatage],
        ""
    ),
    Horodatage!$A$2
)</f>
        <v>46233.670796365739</v>
      </c>
      <c r="P412" s="1" t="str">
        <f>IFERROR(IF(tbl_Historique_Final[[#This Row],[Commentaires]]&lt;&gt;"",tbl_Historique_Final[[#This Row],[Commentaires]],""),"")</f>
        <v/>
      </c>
      <c r="X412" s="8" t="str">
        <f>IF(Final_Sans_VGE[[#This Row],[ppn_z]]="","",IFERROR(
   IF(_xlfn.XLOOKUP(Final_Sans_VGE[[#This Row],[ppn_z]],tbl_Historique_Final[ppn_z],tbl_Historique_Final[date_modif])=Final_Sans_VGE[[#This Row],[date_modif]],
      "Ancien",
      "Modifié"),
   "Nouveau"))</f>
        <v>Ancien</v>
      </c>
      <c r="AC412"/>
      <c r="AD412"/>
    </row>
    <row r="413" spans="1:30" x14ac:dyDescent="0.25">
      <c r="A413" s="5" t="s">
        <v>1370</v>
      </c>
      <c r="B413" s="1" t="s">
        <v>7146</v>
      </c>
      <c r="C413" s="1" t="s">
        <v>109</v>
      </c>
      <c r="G413" s="1" t="s">
        <v>10</v>
      </c>
      <c r="J413" s="3">
        <v>45415.07472222222</v>
      </c>
      <c r="K413" s="2" t="s">
        <v>130</v>
      </c>
      <c r="L413" s="1">
        <v>9</v>
      </c>
      <c r="M413" s="1">
        <v>9</v>
      </c>
      <c r="N413">
        <v>0</v>
      </c>
      <c r="O413" s="3">
        <f>IF(
    R413="Ancien",
    _xlfn.XLOOKUP(
        Final_Sans_VGE[[#This Row],[ppn_z]],
        tbl_Historique_Final[ppn_z],
        tbl_Historique_Final[Horodatage],
        ""
    ),
    Horodatage!$A$2
)</f>
        <v>46233.670796365739</v>
      </c>
      <c r="P413" s="1" t="str">
        <f>IFERROR(IF(tbl_Historique_Final[[#This Row],[Commentaires]]&lt;&gt;"",tbl_Historique_Final[[#This Row],[Commentaires]],""),"")</f>
        <v/>
      </c>
      <c r="X413" s="8" t="str">
        <f>IF(Final_Sans_VGE[[#This Row],[ppn_z]]="","",IFERROR(
   IF(_xlfn.XLOOKUP(Final_Sans_VGE[[#This Row],[ppn_z]],tbl_Historique_Final[ppn_z],tbl_Historique_Final[date_modif])=Final_Sans_VGE[[#This Row],[date_modif]],
      "Ancien",
      "Modifié"),
   "Nouveau"))</f>
        <v>Ancien</v>
      </c>
      <c r="AC413"/>
      <c r="AD413"/>
    </row>
    <row r="414" spans="1:30" x14ac:dyDescent="0.25">
      <c r="A414" s="5" t="s">
        <v>1376</v>
      </c>
      <c r="B414" s="1" t="s">
        <v>7147</v>
      </c>
      <c r="C414" s="1" t="s">
        <v>12</v>
      </c>
      <c r="G414" s="1" t="s">
        <v>11</v>
      </c>
      <c r="J414" s="3">
        <v>45419.495428240742</v>
      </c>
      <c r="K414" s="2" t="s">
        <v>7148</v>
      </c>
      <c r="L414" s="1">
        <v>0</v>
      </c>
      <c r="M414" s="1">
        <v>0</v>
      </c>
      <c r="N414">
        <v>0</v>
      </c>
      <c r="O414" s="3">
        <f>IF(
    R414="Ancien",
    _xlfn.XLOOKUP(
        Final_Sans_VGE[[#This Row],[ppn_z]],
        tbl_Historique_Final[ppn_z],
        tbl_Historique_Final[Horodatage],
        ""
    ),
    Horodatage!$A$2
)</f>
        <v>46233.670796365739</v>
      </c>
      <c r="P414" s="1" t="str">
        <f>IFERROR(IF(tbl_Historique_Final[[#This Row],[Commentaires]]&lt;&gt;"",tbl_Historique_Final[[#This Row],[Commentaires]],""),"")</f>
        <v/>
      </c>
      <c r="X414" s="8" t="str">
        <f>IF(Final_Sans_VGE[[#This Row],[ppn_z]]="","",IFERROR(
   IF(_xlfn.XLOOKUP(Final_Sans_VGE[[#This Row],[ppn_z]],tbl_Historique_Final[ppn_z],tbl_Historique_Final[date_modif])=Final_Sans_VGE[[#This Row],[date_modif]],
      "Ancien",
      "Modifié"),
   "Nouveau"))</f>
        <v>Ancien</v>
      </c>
      <c r="AC414"/>
      <c r="AD414"/>
    </row>
    <row r="415" spans="1:30" x14ac:dyDescent="0.25">
      <c r="A415" s="5" t="s">
        <v>1379</v>
      </c>
      <c r="B415" s="1" t="s">
        <v>7149</v>
      </c>
      <c r="C415" s="1" t="s">
        <v>12</v>
      </c>
      <c r="G415" s="1" t="s">
        <v>11</v>
      </c>
      <c r="J415" s="3">
        <v>45457.659513888888</v>
      </c>
      <c r="K415" s="2" t="s">
        <v>7150</v>
      </c>
      <c r="L415" s="1">
        <v>1</v>
      </c>
      <c r="M415" s="1">
        <v>1</v>
      </c>
      <c r="N415">
        <v>0</v>
      </c>
      <c r="O415" s="3">
        <f>IF(
    R415="Ancien",
    _xlfn.XLOOKUP(
        Final_Sans_VGE[[#This Row],[ppn_z]],
        tbl_Historique_Final[ppn_z],
        tbl_Historique_Final[Horodatage],
        ""
    ),
    Horodatage!$A$2
)</f>
        <v>46233.670796365739</v>
      </c>
      <c r="P415" s="1" t="str">
        <f>IFERROR(IF(tbl_Historique_Final[[#This Row],[Commentaires]]&lt;&gt;"",tbl_Historique_Final[[#This Row],[Commentaires]],""),"")</f>
        <v/>
      </c>
      <c r="X415" s="8" t="str">
        <f>IF(Final_Sans_VGE[[#This Row],[ppn_z]]="","",IFERROR(
   IF(_xlfn.XLOOKUP(Final_Sans_VGE[[#This Row],[ppn_z]],tbl_Historique_Final[ppn_z],tbl_Historique_Final[date_modif])=Final_Sans_VGE[[#This Row],[date_modif]],
      "Ancien",
      "Modifié"),
   "Nouveau"))</f>
        <v>Ancien</v>
      </c>
      <c r="AC415"/>
      <c r="AD415"/>
    </row>
    <row r="416" spans="1:30" ht="30" x14ac:dyDescent="0.25">
      <c r="A416" s="5" t="s">
        <v>1382</v>
      </c>
      <c r="B416" s="1" t="s">
        <v>7151</v>
      </c>
      <c r="C416" s="1" t="s">
        <v>56</v>
      </c>
      <c r="G416" s="1" t="s">
        <v>10</v>
      </c>
      <c r="J416" s="3">
        <v>45471.423761574071</v>
      </c>
      <c r="K416" s="2" t="s">
        <v>7152</v>
      </c>
      <c r="L416" s="1">
        <v>5</v>
      </c>
      <c r="M416" s="1">
        <v>8</v>
      </c>
      <c r="N416">
        <v>3</v>
      </c>
      <c r="O416" s="3">
        <f>IF(
    R416="Ancien",
    _xlfn.XLOOKUP(
        Final_Sans_VGE[[#This Row],[ppn_z]],
        tbl_Historique_Final[ppn_z],
        tbl_Historique_Final[Horodatage],
        ""
    ),
    Horodatage!$A$2
)</f>
        <v>46233.670796365739</v>
      </c>
      <c r="P416" s="1" t="str">
        <f>IFERROR(IF(tbl_Historique_Final[[#This Row],[Commentaires]]&lt;&gt;"",tbl_Historique_Final[[#This Row],[Commentaires]],""),"")</f>
        <v/>
      </c>
      <c r="X416" s="8" t="str">
        <f>IF(Final_Sans_VGE[[#This Row],[ppn_z]]="","",IFERROR(
   IF(_xlfn.XLOOKUP(Final_Sans_VGE[[#This Row],[ppn_z]],tbl_Historique_Final[ppn_z],tbl_Historique_Final[date_modif])=Final_Sans_VGE[[#This Row],[date_modif]],
      "Ancien",
      "Modifié"),
   "Nouveau"))</f>
        <v>Ancien</v>
      </c>
      <c r="AC416"/>
      <c r="AD416"/>
    </row>
    <row r="417" spans="1:30" ht="30" x14ac:dyDescent="0.25">
      <c r="A417" s="5" t="s">
        <v>1385</v>
      </c>
      <c r="B417" s="1" t="s">
        <v>7153</v>
      </c>
      <c r="C417" s="1" t="s">
        <v>12</v>
      </c>
      <c r="G417" s="1" t="s">
        <v>11</v>
      </c>
      <c r="J417" s="3">
        <v>45416.065069444441</v>
      </c>
      <c r="K417" s="2" t="s">
        <v>7154</v>
      </c>
      <c r="L417" s="1">
        <v>1</v>
      </c>
      <c r="M417" s="1">
        <v>1</v>
      </c>
      <c r="N417">
        <v>0</v>
      </c>
      <c r="O417" s="3">
        <f>IF(
    R417="Ancien",
    _xlfn.XLOOKUP(
        Final_Sans_VGE[[#This Row],[ppn_z]],
        tbl_Historique_Final[ppn_z],
        tbl_Historique_Final[Horodatage],
        ""
    ),
    Horodatage!$A$2
)</f>
        <v>46233.670796365739</v>
      </c>
      <c r="P417" s="1" t="str">
        <f>IFERROR(IF(tbl_Historique_Final[[#This Row],[Commentaires]]&lt;&gt;"",tbl_Historique_Final[[#This Row],[Commentaires]],""),"")</f>
        <v/>
      </c>
      <c r="X417" s="8" t="str">
        <f>IF(Final_Sans_VGE[[#This Row],[ppn_z]]="","",IFERROR(
   IF(_xlfn.XLOOKUP(Final_Sans_VGE[[#This Row],[ppn_z]],tbl_Historique_Final[ppn_z],tbl_Historique_Final[date_modif])=Final_Sans_VGE[[#This Row],[date_modif]],
      "Ancien",
      "Modifié"),
   "Nouveau"))</f>
        <v>Ancien</v>
      </c>
      <c r="AC417"/>
      <c r="AD417"/>
    </row>
    <row r="418" spans="1:30" x14ac:dyDescent="0.25">
      <c r="A418" s="5" t="s">
        <v>1388</v>
      </c>
      <c r="B418" s="1" t="s">
        <v>7155</v>
      </c>
      <c r="C418" s="1" t="s">
        <v>12</v>
      </c>
      <c r="G418" s="1" t="s">
        <v>10</v>
      </c>
      <c r="J418" s="3">
        <v>45415.416412037041</v>
      </c>
      <c r="K418" s="2" t="s">
        <v>7156</v>
      </c>
      <c r="L418" s="1">
        <v>6</v>
      </c>
      <c r="M418" s="1">
        <v>8</v>
      </c>
      <c r="N418">
        <v>2</v>
      </c>
      <c r="O418" s="3">
        <f>IF(
    R418="Ancien",
    _xlfn.XLOOKUP(
        Final_Sans_VGE[[#This Row],[ppn_z]],
        tbl_Historique_Final[ppn_z],
        tbl_Historique_Final[Horodatage],
        ""
    ),
    Horodatage!$A$2
)</f>
        <v>46233.670796365739</v>
      </c>
      <c r="P418" s="1" t="str">
        <f>IFERROR(IF(tbl_Historique_Final[[#This Row],[Commentaires]]&lt;&gt;"",tbl_Historique_Final[[#This Row],[Commentaires]],""),"")</f>
        <v/>
      </c>
      <c r="X418" s="8" t="str">
        <f>IF(Final_Sans_VGE[[#This Row],[ppn_z]]="","",IFERROR(
   IF(_xlfn.XLOOKUP(Final_Sans_VGE[[#This Row],[ppn_z]],tbl_Historique_Final[ppn_z],tbl_Historique_Final[date_modif])=Final_Sans_VGE[[#This Row],[date_modif]],
      "Ancien",
      "Modifié"),
   "Nouveau"))</f>
        <v>Ancien</v>
      </c>
      <c r="AC418"/>
      <c r="AD418"/>
    </row>
    <row r="419" spans="1:30" ht="30" x14ac:dyDescent="0.25">
      <c r="A419" s="5" t="s">
        <v>1391</v>
      </c>
      <c r="B419" s="1" t="s">
        <v>7157</v>
      </c>
      <c r="C419" s="1" t="s">
        <v>12</v>
      </c>
      <c r="G419" s="1" t="s">
        <v>10</v>
      </c>
      <c r="J419" s="3">
        <v>45495.516284722224</v>
      </c>
      <c r="K419" s="2" t="s">
        <v>7158</v>
      </c>
      <c r="L419" s="1">
        <v>5</v>
      </c>
      <c r="M419" s="1">
        <v>5</v>
      </c>
      <c r="N419">
        <v>0</v>
      </c>
      <c r="O419" s="3">
        <f>IF(
    R419="Ancien",
    _xlfn.XLOOKUP(
        Final_Sans_VGE[[#This Row],[ppn_z]],
        tbl_Historique_Final[ppn_z],
        tbl_Historique_Final[Horodatage],
        ""
    ),
    Horodatage!$A$2
)</f>
        <v>46233.670796365739</v>
      </c>
      <c r="P419" s="1" t="str">
        <f>IFERROR(IF(tbl_Historique_Final[[#This Row],[Commentaires]]&lt;&gt;"",tbl_Historique_Final[[#This Row],[Commentaires]],""),"")</f>
        <v/>
      </c>
      <c r="X419" s="8" t="str">
        <f>IF(Final_Sans_VGE[[#This Row],[ppn_z]]="","",IFERROR(
   IF(_xlfn.XLOOKUP(Final_Sans_VGE[[#This Row],[ppn_z]],tbl_Historique_Final[ppn_z],tbl_Historique_Final[date_modif])=Final_Sans_VGE[[#This Row],[date_modif]],
      "Ancien",
      "Modifié"),
   "Nouveau"))</f>
        <v>Ancien</v>
      </c>
      <c r="AC419"/>
      <c r="AD419"/>
    </row>
    <row r="420" spans="1:30" x14ac:dyDescent="0.25">
      <c r="A420" s="5" t="s">
        <v>1397</v>
      </c>
      <c r="B420" s="1" t="s">
        <v>7159</v>
      </c>
      <c r="C420" s="1" t="s">
        <v>82</v>
      </c>
      <c r="G420" s="1" t="s">
        <v>11</v>
      </c>
      <c r="J420" s="3">
        <v>45490.578067129631</v>
      </c>
      <c r="K420" s="2" t="s">
        <v>7160</v>
      </c>
      <c r="L420" s="1">
        <v>6</v>
      </c>
      <c r="M420" s="1">
        <v>6</v>
      </c>
      <c r="N420">
        <v>0</v>
      </c>
      <c r="O420" s="3">
        <f>IF(
    R420="Ancien",
    _xlfn.XLOOKUP(
        Final_Sans_VGE[[#This Row],[ppn_z]],
        tbl_Historique_Final[ppn_z],
        tbl_Historique_Final[Horodatage],
        ""
    ),
    Horodatage!$A$2
)</f>
        <v>46233.670796365739</v>
      </c>
      <c r="P420" s="1" t="str">
        <f>IFERROR(IF(tbl_Historique_Final[[#This Row],[Commentaires]]&lt;&gt;"",tbl_Historique_Final[[#This Row],[Commentaires]],""),"")</f>
        <v/>
      </c>
      <c r="X420" s="8" t="str">
        <f>IF(Final_Sans_VGE[[#This Row],[ppn_z]]="","",IFERROR(
   IF(_xlfn.XLOOKUP(Final_Sans_VGE[[#This Row],[ppn_z]],tbl_Historique_Final[ppn_z],tbl_Historique_Final[date_modif])=Final_Sans_VGE[[#This Row],[date_modif]],
      "Ancien",
      "Modifié"),
   "Nouveau"))</f>
        <v>Ancien</v>
      </c>
      <c r="AC420"/>
      <c r="AD420"/>
    </row>
    <row r="421" spans="1:30" x14ac:dyDescent="0.25">
      <c r="A421" s="5" t="s">
        <v>1400</v>
      </c>
      <c r="B421" s="1" t="s">
        <v>7161</v>
      </c>
      <c r="C421" s="1" t="s">
        <v>12</v>
      </c>
      <c r="G421" s="1" t="s">
        <v>11</v>
      </c>
      <c r="J421" s="3">
        <v>45416.077557870369</v>
      </c>
      <c r="K421" s="2" t="s">
        <v>7162</v>
      </c>
      <c r="L421" s="1">
        <v>1</v>
      </c>
      <c r="M421" s="1">
        <v>1</v>
      </c>
      <c r="N421">
        <v>0</v>
      </c>
      <c r="O421" s="3">
        <f>IF(
    R421="Ancien",
    _xlfn.XLOOKUP(
        Final_Sans_VGE[[#This Row],[ppn_z]],
        tbl_Historique_Final[ppn_z],
        tbl_Historique_Final[Horodatage],
        ""
    ),
    Horodatage!$A$2
)</f>
        <v>46233.670796365739</v>
      </c>
      <c r="P421" s="1" t="str">
        <f>IFERROR(IF(tbl_Historique_Final[[#This Row],[Commentaires]]&lt;&gt;"",tbl_Historique_Final[[#This Row],[Commentaires]],""),"")</f>
        <v/>
      </c>
      <c r="X421" s="8" t="str">
        <f>IF(Final_Sans_VGE[[#This Row],[ppn_z]]="","",IFERROR(
   IF(_xlfn.XLOOKUP(Final_Sans_VGE[[#This Row],[ppn_z]],tbl_Historique_Final[ppn_z],tbl_Historique_Final[date_modif])=Final_Sans_VGE[[#This Row],[date_modif]],
      "Ancien",
      "Modifié"),
   "Nouveau"))</f>
        <v>Ancien</v>
      </c>
      <c r="AC421"/>
      <c r="AD421"/>
    </row>
    <row r="422" spans="1:30" x14ac:dyDescent="0.25">
      <c r="A422" s="5" t="s">
        <v>1403</v>
      </c>
      <c r="B422" s="1" t="s">
        <v>7163</v>
      </c>
      <c r="C422" s="1" t="s">
        <v>7164</v>
      </c>
      <c r="J422" s="3">
        <v>45384.096817129626</v>
      </c>
      <c r="L422" s="1">
        <v>1</v>
      </c>
      <c r="M422" s="1">
        <v>1</v>
      </c>
      <c r="N422">
        <v>0</v>
      </c>
      <c r="O422" s="3">
        <f>IF(
    R422="Ancien",
    _xlfn.XLOOKUP(
        Final_Sans_VGE[[#This Row],[ppn_z]],
        tbl_Historique_Final[ppn_z],
        tbl_Historique_Final[Horodatage],
        ""
    ),
    Horodatage!$A$2
)</f>
        <v>46233.670796365739</v>
      </c>
      <c r="P422" s="1" t="str">
        <f>IFERROR(IF(tbl_Historique_Final[[#This Row],[Commentaires]]&lt;&gt;"",tbl_Historique_Final[[#This Row],[Commentaires]],""),"")</f>
        <v/>
      </c>
      <c r="X422" s="8" t="str">
        <f>IF(Final_Sans_VGE[[#This Row],[ppn_z]]="","",IFERROR(
   IF(_xlfn.XLOOKUP(Final_Sans_VGE[[#This Row],[ppn_z]],tbl_Historique_Final[ppn_z],tbl_Historique_Final[date_modif])=Final_Sans_VGE[[#This Row],[date_modif]],
      "Ancien",
      "Modifié"),
   "Nouveau"))</f>
        <v>Ancien</v>
      </c>
      <c r="AC422"/>
      <c r="AD422"/>
    </row>
    <row r="423" spans="1:30" x14ac:dyDescent="0.25">
      <c r="A423" s="5" t="s">
        <v>1406</v>
      </c>
      <c r="B423" s="1" t="s">
        <v>7165</v>
      </c>
      <c r="C423" s="1" t="s">
        <v>12</v>
      </c>
      <c r="G423" s="1" t="s">
        <v>11</v>
      </c>
      <c r="J423" s="3">
        <v>45415.788645833331</v>
      </c>
      <c r="K423" s="2" t="s">
        <v>162</v>
      </c>
      <c r="L423" s="1">
        <v>12</v>
      </c>
      <c r="M423" s="1">
        <v>18</v>
      </c>
      <c r="N423">
        <v>6</v>
      </c>
      <c r="O423" s="3">
        <f>IF(
    R423="Ancien",
    _xlfn.XLOOKUP(
        Final_Sans_VGE[[#This Row],[ppn_z]],
        tbl_Historique_Final[ppn_z],
        tbl_Historique_Final[Horodatage],
        ""
    ),
    Horodatage!$A$2
)</f>
        <v>46233.670796365739</v>
      </c>
      <c r="P423" s="1" t="str">
        <f>IFERROR(IF(tbl_Historique_Final[[#This Row],[Commentaires]]&lt;&gt;"",tbl_Historique_Final[[#This Row],[Commentaires]],""),"")</f>
        <v/>
      </c>
      <c r="X423" s="8" t="str">
        <f>IF(Final_Sans_VGE[[#This Row],[ppn_z]]="","",IFERROR(
   IF(_xlfn.XLOOKUP(Final_Sans_VGE[[#This Row],[ppn_z]],tbl_Historique_Final[ppn_z],tbl_Historique_Final[date_modif])=Final_Sans_VGE[[#This Row],[date_modif]],
      "Ancien",
      "Modifié"),
   "Nouveau"))</f>
        <v>Ancien</v>
      </c>
      <c r="AC423"/>
      <c r="AD423"/>
    </row>
    <row r="424" spans="1:30" x14ac:dyDescent="0.25">
      <c r="A424" s="5" t="s">
        <v>1409</v>
      </c>
      <c r="B424" s="1" t="s">
        <v>7166</v>
      </c>
      <c r="C424" s="1" t="s">
        <v>86</v>
      </c>
      <c r="G424" s="1" t="s">
        <v>10</v>
      </c>
      <c r="J424" s="3">
        <v>45457.66165509259</v>
      </c>
      <c r="K424" s="2" t="s">
        <v>7167</v>
      </c>
      <c r="L424" s="1">
        <v>1</v>
      </c>
      <c r="M424" s="1">
        <v>1</v>
      </c>
      <c r="N424">
        <v>0</v>
      </c>
      <c r="O424" s="3">
        <f>IF(
    R424="Ancien",
    _xlfn.XLOOKUP(
        Final_Sans_VGE[[#This Row],[ppn_z]],
        tbl_Historique_Final[ppn_z],
        tbl_Historique_Final[Horodatage],
        ""
    ),
    Horodatage!$A$2
)</f>
        <v>46233.670796365739</v>
      </c>
      <c r="P424" s="1" t="str">
        <f>IFERROR(IF(tbl_Historique_Final[[#This Row],[Commentaires]]&lt;&gt;"",tbl_Historique_Final[[#This Row],[Commentaires]],""),"")</f>
        <v/>
      </c>
      <c r="X424" s="8" t="str">
        <f>IF(Final_Sans_VGE[[#This Row],[ppn_z]]="","",IFERROR(
   IF(_xlfn.XLOOKUP(Final_Sans_VGE[[#This Row],[ppn_z]],tbl_Historique_Final[ppn_z],tbl_Historique_Final[date_modif])=Final_Sans_VGE[[#This Row],[date_modif]],
      "Ancien",
      "Modifié"),
   "Nouveau"))</f>
        <v>Ancien</v>
      </c>
      <c r="AC424"/>
      <c r="AD424"/>
    </row>
    <row r="425" spans="1:30" x14ac:dyDescent="0.25">
      <c r="A425" s="5" t="s">
        <v>1412</v>
      </c>
      <c r="B425" s="1" t="s">
        <v>7168</v>
      </c>
      <c r="C425" s="1" t="s">
        <v>152</v>
      </c>
      <c r="G425" s="1" t="s">
        <v>11</v>
      </c>
      <c r="J425" s="3">
        <v>45416.620625000003</v>
      </c>
      <c r="K425" s="2" t="s">
        <v>7169</v>
      </c>
      <c r="L425" s="1">
        <v>6</v>
      </c>
      <c r="M425" s="1">
        <v>11</v>
      </c>
      <c r="N425">
        <v>5</v>
      </c>
      <c r="O425" s="3">
        <f>IF(
    R425="Ancien",
    _xlfn.XLOOKUP(
        Final_Sans_VGE[[#This Row],[ppn_z]],
        tbl_Historique_Final[ppn_z],
        tbl_Historique_Final[Horodatage],
        ""
    ),
    Horodatage!$A$2
)</f>
        <v>46233.670796365739</v>
      </c>
      <c r="P425" s="1" t="str">
        <f>IFERROR(IF(tbl_Historique_Final[[#This Row],[Commentaires]]&lt;&gt;"",tbl_Historique_Final[[#This Row],[Commentaires]],""),"")</f>
        <v/>
      </c>
      <c r="X425" s="8" t="str">
        <f>IF(Final_Sans_VGE[[#This Row],[ppn_z]]="","",IFERROR(
   IF(_xlfn.XLOOKUP(Final_Sans_VGE[[#This Row],[ppn_z]],tbl_Historique_Final[ppn_z],tbl_Historique_Final[date_modif])=Final_Sans_VGE[[#This Row],[date_modif]],
      "Ancien",
      "Modifié"),
   "Nouveau"))</f>
        <v>Ancien</v>
      </c>
      <c r="AC425"/>
      <c r="AD425"/>
    </row>
    <row r="426" spans="1:30" x14ac:dyDescent="0.25">
      <c r="A426" s="5" t="s">
        <v>1415</v>
      </c>
      <c r="B426" s="1" t="s">
        <v>7170</v>
      </c>
      <c r="C426" s="1" t="s">
        <v>121</v>
      </c>
      <c r="J426" s="3">
        <v>45384.153784722221</v>
      </c>
      <c r="L426" s="1">
        <v>1</v>
      </c>
      <c r="M426" s="1">
        <v>1</v>
      </c>
      <c r="N426">
        <v>0</v>
      </c>
      <c r="O426" s="3">
        <f>IF(
    R426="Ancien",
    _xlfn.XLOOKUP(
        Final_Sans_VGE[[#This Row],[ppn_z]],
        tbl_Historique_Final[ppn_z],
        tbl_Historique_Final[Horodatage],
        ""
    ),
    Horodatage!$A$2
)</f>
        <v>46233.670796365739</v>
      </c>
      <c r="P426" s="1" t="str">
        <f>IFERROR(IF(tbl_Historique_Final[[#This Row],[Commentaires]]&lt;&gt;"",tbl_Historique_Final[[#This Row],[Commentaires]],""),"")</f>
        <v/>
      </c>
      <c r="X426" s="8" t="str">
        <f>IF(Final_Sans_VGE[[#This Row],[ppn_z]]="","",IFERROR(
   IF(_xlfn.XLOOKUP(Final_Sans_VGE[[#This Row],[ppn_z]],tbl_Historique_Final[ppn_z],tbl_Historique_Final[date_modif])=Final_Sans_VGE[[#This Row],[date_modif]],
      "Ancien",
      "Modifié"),
   "Nouveau"))</f>
        <v>Ancien</v>
      </c>
      <c r="AC426"/>
      <c r="AD426"/>
    </row>
    <row r="427" spans="1:30" ht="30" x14ac:dyDescent="0.25">
      <c r="A427" s="5" t="s">
        <v>1418</v>
      </c>
      <c r="B427" s="1" t="s">
        <v>7171</v>
      </c>
      <c r="C427" s="1" t="s">
        <v>7172</v>
      </c>
      <c r="E427" s="1" t="s">
        <v>7090</v>
      </c>
      <c r="G427" s="1" t="s">
        <v>10</v>
      </c>
      <c r="J427" s="3">
        <v>45523.474293981482</v>
      </c>
      <c r="K427" s="2" t="s">
        <v>7173</v>
      </c>
      <c r="L427" s="1">
        <v>1</v>
      </c>
      <c r="M427" s="1">
        <v>1</v>
      </c>
      <c r="N427">
        <v>0</v>
      </c>
      <c r="O427" s="3">
        <f>IF(
    R427="Ancien",
    _xlfn.XLOOKUP(
        Final_Sans_VGE[[#This Row],[ppn_z]],
        tbl_Historique_Final[ppn_z],
        tbl_Historique_Final[Horodatage],
        ""
    ),
    Horodatage!$A$2
)</f>
        <v>46233.670796365739</v>
      </c>
      <c r="P427" s="1" t="str">
        <f>IFERROR(IF(tbl_Historique_Final[[#This Row],[Commentaires]]&lt;&gt;"",tbl_Historique_Final[[#This Row],[Commentaires]],""),"")</f>
        <v/>
      </c>
      <c r="X427" s="8" t="str">
        <f>IF(Final_Sans_VGE[[#This Row],[ppn_z]]="","",IFERROR(
   IF(_xlfn.XLOOKUP(Final_Sans_VGE[[#This Row],[ppn_z]],tbl_Historique_Final[ppn_z],tbl_Historique_Final[date_modif])=Final_Sans_VGE[[#This Row],[date_modif]],
      "Ancien",
      "Modifié"),
   "Nouveau"))</f>
        <v>Ancien</v>
      </c>
      <c r="AC427"/>
      <c r="AD427"/>
    </row>
    <row r="428" spans="1:30" x14ac:dyDescent="0.25">
      <c r="A428" s="5" t="s">
        <v>1421</v>
      </c>
      <c r="B428" s="1" t="s">
        <v>7174</v>
      </c>
      <c r="C428" s="1" t="s">
        <v>83</v>
      </c>
      <c r="G428" s="1" t="s">
        <v>10</v>
      </c>
      <c r="J428" s="3">
        <v>45426.395312499997</v>
      </c>
      <c r="K428" s="2" t="s">
        <v>7175</v>
      </c>
      <c r="L428" s="1">
        <v>2</v>
      </c>
      <c r="M428" s="1">
        <v>2</v>
      </c>
      <c r="N428">
        <v>0</v>
      </c>
      <c r="O428" s="3">
        <f>IF(
    R428="Ancien",
    _xlfn.XLOOKUP(
        Final_Sans_VGE[[#This Row],[ppn_z]],
        tbl_Historique_Final[ppn_z],
        tbl_Historique_Final[Horodatage],
        ""
    ),
    Horodatage!$A$2
)</f>
        <v>46233.670796365739</v>
      </c>
      <c r="P428" s="1" t="str">
        <f>IFERROR(IF(tbl_Historique_Final[[#This Row],[Commentaires]]&lt;&gt;"",tbl_Historique_Final[[#This Row],[Commentaires]],""),"")</f>
        <v/>
      </c>
      <c r="X428" s="8" t="str">
        <f>IF(Final_Sans_VGE[[#This Row],[ppn_z]]="","",IFERROR(
   IF(_xlfn.XLOOKUP(Final_Sans_VGE[[#This Row],[ppn_z]],tbl_Historique_Final[ppn_z],tbl_Historique_Final[date_modif])=Final_Sans_VGE[[#This Row],[date_modif]],
      "Ancien",
      "Modifié"),
   "Nouveau"))</f>
        <v>Ancien</v>
      </c>
      <c r="AC428"/>
      <c r="AD428"/>
    </row>
    <row r="429" spans="1:30" x14ac:dyDescent="0.25">
      <c r="A429" s="5" t="s">
        <v>1424</v>
      </c>
      <c r="B429" s="1" t="s">
        <v>7176</v>
      </c>
      <c r="C429" s="1" t="s">
        <v>7177</v>
      </c>
      <c r="J429" s="3">
        <v>45384.385694444441</v>
      </c>
      <c r="L429" s="1">
        <v>2</v>
      </c>
      <c r="M429" s="1">
        <v>3</v>
      </c>
      <c r="N429">
        <v>1</v>
      </c>
      <c r="O429" s="3">
        <f>IF(
    R429="Ancien",
    _xlfn.XLOOKUP(
        Final_Sans_VGE[[#This Row],[ppn_z]],
        tbl_Historique_Final[ppn_z],
        tbl_Historique_Final[Horodatage],
        ""
    ),
    Horodatage!$A$2
)</f>
        <v>46233.670796365739</v>
      </c>
      <c r="P429" s="1" t="str">
        <f>IFERROR(IF(tbl_Historique_Final[[#This Row],[Commentaires]]&lt;&gt;"",tbl_Historique_Final[[#This Row],[Commentaires]],""),"")</f>
        <v/>
      </c>
      <c r="X429" s="8" t="str">
        <f>IF(Final_Sans_VGE[[#This Row],[ppn_z]]="","",IFERROR(
   IF(_xlfn.XLOOKUP(Final_Sans_VGE[[#This Row],[ppn_z]],tbl_Historique_Final[ppn_z],tbl_Historique_Final[date_modif])=Final_Sans_VGE[[#This Row],[date_modif]],
      "Ancien",
      "Modifié"),
   "Nouveau"))</f>
        <v>Ancien</v>
      </c>
      <c r="AC429"/>
      <c r="AD429"/>
    </row>
    <row r="430" spans="1:30" ht="30" x14ac:dyDescent="0.25">
      <c r="A430" s="5" t="s">
        <v>1427</v>
      </c>
      <c r="B430" s="1" t="s">
        <v>7178</v>
      </c>
      <c r="C430" s="1" t="s">
        <v>12</v>
      </c>
      <c r="G430" s="1" t="s">
        <v>11</v>
      </c>
      <c r="J430" s="3">
        <v>45464.414803240739</v>
      </c>
      <c r="K430" s="2" t="s">
        <v>7179</v>
      </c>
      <c r="L430" s="1">
        <v>1</v>
      </c>
      <c r="M430" s="1">
        <v>1</v>
      </c>
      <c r="N430">
        <v>0</v>
      </c>
      <c r="O430" s="3">
        <f>IF(
    R430="Ancien",
    _xlfn.XLOOKUP(
        Final_Sans_VGE[[#This Row],[ppn_z]],
        tbl_Historique_Final[ppn_z],
        tbl_Historique_Final[Horodatage],
        ""
    ),
    Horodatage!$A$2
)</f>
        <v>46233.670796365739</v>
      </c>
      <c r="P430" s="1" t="str">
        <f>IFERROR(IF(tbl_Historique_Final[[#This Row],[Commentaires]]&lt;&gt;"",tbl_Historique_Final[[#This Row],[Commentaires]],""),"")</f>
        <v/>
      </c>
      <c r="X430" s="8" t="str">
        <f>IF(Final_Sans_VGE[[#This Row],[ppn_z]]="","",IFERROR(
   IF(_xlfn.XLOOKUP(Final_Sans_VGE[[#This Row],[ppn_z]],tbl_Historique_Final[ppn_z],tbl_Historique_Final[date_modif])=Final_Sans_VGE[[#This Row],[date_modif]],
      "Ancien",
      "Modifié"),
   "Nouveau"))</f>
        <v>Ancien</v>
      </c>
      <c r="AC430"/>
      <c r="AD430"/>
    </row>
    <row r="431" spans="1:30" ht="30" x14ac:dyDescent="0.25">
      <c r="A431" s="5" t="s">
        <v>1430</v>
      </c>
      <c r="B431" s="1" t="s">
        <v>7180</v>
      </c>
      <c r="C431" s="1" t="s">
        <v>90</v>
      </c>
      <c r="G431" s="1" t="s">
        <v>10</v>
      </c>
      <c r="J431" s="3">
        <v>45416.981724537036</v>
      </c>
      <c r="K431" s="2" t="s">
        <v>7181</v>
      </c>
      <c r="L431" s="1">
        <v>57</v>
      </c>
      <c r="M431" s="1">
        <v>63</v>
      </c>
      <c r="N431">
        <v>6</v>
      </c>
      <c r="O431" s="3">
        <f>IF(
    R431="Ancien",
    _xlfn.XLOOKUP(
        Final_Sans_VGE[[#This Row],[ppn_z]],
        tbl_Historique_Final[ppn_z],
        tbl_Historique_Final[Horodatage],
        ""
    ),
    Horodatage!$A$2
)</f>
        <v>46233.670796365739</v>
      </c>
      <c r="P431" s="1" t="str">
        <f>IFERROR(IF(tbl_Historique_Final[[#This Row],[Commentaires]]&lt;&gt;"",tbl_Historique_Final[[#This Row],[Commentaires]],""),"")</f>
        <v/>
      </c>
      <c r="X431" s="8" t="str">
        <f>IF(Final_Sans_VGE[[#This Row],[ppn_z]]="","",IFERROR(
   IF(_xlfn.XLOOKUP(Final_Sans_VGE[[#This Row],[ppn_z]],tbl_Historique_Final[ppn_z],tbl_Historique_Final[date_modif])=Final_Sans_VGE[[#This Row],[date_modif]],
      "Ancien",
      "Modifié"),
   "Nouveau"))</f>
        <v>Ancien</v>
      </c>
      <c r="AC431"/>
      <c r="AD431"/>
    </row>
    <row r="432" spans="1:30" x14ac:dyDescent="0.25">
      <c r="A432" s="5" t="s">
        <v>1433</v>
      </c>
      <c r="B432" s="1" t="s">
        <v>7182</v>
      </c>
      <c r="C432" s="1" t="s">
        <v>117</v>
      </c>
      <c r="J432" s="3">
        <v>45384.434305555558</v>
      </c>
      <c r="L432" s="1">
        <v>1</v>
      </c>
      <c r="M432" s="1">
        <v>1</v>
      </c>
      <c r="N432">
        <v>0</v>
      </c>
      <c r="O432" s="3">
        <f>IF(
    R432="Ancien",
    _xlfn.XLOOKUP(
        Final_Sans_VGE[[#This Row],[ppn_z]],
        tbl_Historique_Final[ppn_z],
        tbl_Historique_Final[Horodatage],
        ""
    ),
    Horodatage!$A$2
)</f>
        <v>46233.670796365739</v>
      </c>
      <c r="P432" s="1" t="str">
        <f>IFERROR(IF(tbl_Historique_Final[[#This Row],[Commentaires]]&lt;&gt;"",tbl_Historique_Final[[#This Row],[Commentaires]],""),"")</f>
        <v/>
      </c>
      <c r="X432" s="8" t="str">
        <f>IF(Final_Sans_VGE[[#This Row],[ppn_z]]="","",IFERROR(
   IF(_xlfn.XLOOKUP(Final_Sans_VGE[[#This Row],[ppn_z]],tbl_Historique_Final[ppn_z],tbl_Historique_Final[date_modif])=Final_Sans_VGE[[#This Row],[date_modif]],
      "Ancien",
      "Modifié"),
   "Nouveau"))</f>
        <v>Ancien</v>
      </c>
      <c r="AC432"/>
      <c r="AD432"/>
    </row>
    <row r="433" spans="1:30" ht="30" x14ac:dyDescent="0.25">
      <c r="A433" s="5" t="s">
        <v>1436</v>
      </c>
      <c r="B433" s="1" t="s">
        <v>7183</v>
      </c>
      <c r="C433" s="1" t="s">
        <v>12</v>
      </c>
      <c r="G433" s="1" t="s">
        <v>11</v>
      </c>
      <c r="J433" s="3">
        <v>45441.493923611109</v>
      </c>
      <c r="K433" s="2" t="s">
        <v>7184</v>
      </c>
      <c r="L433" s="1">
        <v>1</v>
      </c>
      <c r="M433" s="1">
        <v>1</v>
      </c>
      <c r="N433">
        <v>0</v>
      </c>
      <c r="O433" s="3">
        <f>IF(
    R433="Ancien",
    _xlfn.XLOOKUP(
        Final_Sans_VGE[[#This Row],[ppn_z]],
        tbl_Historique_Final[ppn_z],
        tbl_Historique_Final[Horodatage],
        ""
    ),
    Horodatage!$A$2
)</f>
        <v>46233.670796365739</v>
      </c>
      <c r="P433" s="1" t="str">
        <f>IFERROR(IF(tbl_Historique_Final[[#This Row],[Commentaires]]&lt;&gt;"",tbl_Historique_Final[[#This Row],[Commentaires]],""),"")</f>
        <v/>
      </c>
      <c r="X433" s="8" t="str">
        <f>IF(Final_Sans_VGE[[#This Row],[ppn_z]]="","",IFERROR(
   IF(_xlfn.XLOOKUP(Final_Sans_VGE[[#This Row],[ppn_z]],tbl_Historique_Final[ppn_z],tbl_Historique_Final[date_modif])=Final_Sans_VGE[[#This Row],[date_modif]],
      "Ancien",
      "Modifié"),
   "Nouveau"))</f>
        <v>Ancien</v>
      </c>
      <c r="AC433"/>
      <c r="AD433"/>
    </row>
    <row r="434" spans="1:30" x14ac:dyDescent="0.25">
      <c r="A434" s="5" t="s">
        <v>1439</v>
      </c>
      <c r="B434" s="1" t="s">
        <v>7185</v>
      </c>
      <c r="C434" s="1" t="s">
        <v>71</v>
      </c>
      <c r="G434" s="1" t="s">
        <v>10</v>
      </c>
      <c r="J434" s="3">
        <v>45414.720613425925</v>
      </c>
      <c r="K434" s="2" t="s">
        <v>7186</v>
      </c>
      <c r="L434" s="1">
        <v>1</v>
      </c>
      <c r="M434" s="1">
        <v>1</v>
      </c>
      <c r="N434">
        <v>0</v>
      </c>
      <c r="O434" s="3">
        <f>IF(
    R434="Ancien",
    _xlfn.XLOOKUP(
        Final_Sans_VGE[[#This Row],[ppn_z]],
        tbl_Historique_Final[ppn_z],
        tbl_Historique_Final[Horodatage],
        ""
    ),
    Horodatage!$A$2
)</f>
        <v>46233.670796365739</v>
      </c>
      <c r="P434" s="1" t="str">
        <f>IFERROR(IF(tbl_Historique_Final[[#This Row],[Commentaires]]&lt;&gt;"",tbl_Historique_Final[[#This Row],[Commentaires]],""),"")</f>
        <v/>
      </c>
      <c r="X434" s="8" t="str">
        <f>IF(Final_Sans_VGE[[#This Row],[ppn_z]]="","",IFERROR(
   IF(_xlfn.XLOOKUP(Final_Sans_VGE[[#This Row],[ppn_z]],tbl_Historique_Final[ppn_z],tbl_Historique_Final[date_modif])=Final_Sans_VGE[[#This Row],[date_modif]],
      "Ancien",
      "Modifié"),
   "Nouveau"))</f>
        <v>Ancien</v>
      </c>
      <c r="AC434"/>
      <c r="AD434"/>
    </row>
    <row r="435" spans="1:30" x14ac:dyDescent="0.25">
      <c r="A435" s="5" t="s">
        <v>1442</v>
      </c>
      <c r="B435" s="1" t="s">
        <v>7187</v>
      </c>
      <c r="C435" s="1" t="s">
        <v>12</v>
      </c>
      <c r="G435" s="1" t="s">
        <v>10</v>
      </c>
      <c r="J435" s="3">
        <v>45560.377604166664</v>
      </c>
      <c r="K435" s="2" t="s">
        <v>7188</v>
      </c>
      <c r="L435" s="1">
        <v>38</v>
      </c>
      <c r="M435" s="1">
        <v>38</v>
      </c>
      <c r="N435">
        <v>0</v>
      </c>
      <c r="O435" s="3">
        <f>IF(
    R435="Ancien",
    _xlfn.XLOOKUP(
        Final_Sans_VGE[[#This Row],[ppn_z]],
        tbl_Historique_Final[ppn_z],
        tbl_Historique_Final[Horodatage],
        ""
    ),
    Horodatage!$A$2
)</f>
        <v>46233.670796365739</v>
      </c>
      <c r="P435" s="1" t="str">
        <f>IFERROR(IF(tbl_Historique_Final[[#This Row],[Commentaires]]&lt;&gt;"",tbl_Historique_Final[[#This Row],[Commentaires]],""),"")</f>
        <v/>
      </c>
      <c r="X435" s="8" t="str">
        <f>IF(Final_Sans_VGE[[#This Row],[ppn_z]]="","",IFERROR(
   IF(_xlfn.XLOOKUP(Final_Sans_VGE[[#This Row],[ppn_z]],tbl_Historique_Final[ppn_z],tbl_Historique_Final[date_modif])=Final_Sans_VGE[[#This Row],[date_modif]],
      "Ancien",
      "Modifié"),
   "Nouveau"))</f>
        <v>Ancien</v>
      </c>
      <c r="AC435"/>
      <c r="AD435"/>
    </row>
    <row r="436" spans="1:30" x14ac:dyDescent="0.25">
      <c r="A436" s="5" t="s">
        <v>1445</v>
      </c>
      <c r="B436" s="1" t="s">
        <v>7189</v>
      </c>
      <c r="C436" s="1" t="s">
        <v>12</v>
      </c>
      <c r="G436" s="1" t="s">
        <v>10</v>
      </c>
      <c r="J436" s="3">
        <v>45416.15116898148</v>
      </c>
      <c r="K436" s="2" t="s">
        <v>7190</v>
      </c>
      <c r="L436" s="1">
        <v>1</v>
      </c>
      <c r="M436" s="1">
        <v>1</v>
      </c>
      <c r="N436">
        <v>0</v>
      </c>
      <c r="O436" s="3">
        <f>IF(
    R436="Ancien",
    _xlfn.XLOOKUP(
        Final_Sans_VGE[[#This Row],[ppn_z]],
        tbl_Historique_Final[ppn_z],
        tbl_Historique_Final[Horodatage],
        ""
    ),
    Horodatage!$A$2
)</f>
        <v>46233.670796365739</v>
      </c>
      <c r="P436" s="1" t="str">
        <f>IFERROR(IF(tbl_Historique_Final[[#This Row],[Commentaires]]&lt;&gt;"",tbl_Historique_Final[[#This Row],[Commentaires]],""),"")</f>
        <v/>
      </c>
      <c r="X436" s="8" t="str">
        <f>IF(Final_Sans_VGE[[#This Row],[ppn_z]]="","",IFERROR(
   IF(_xlfn.XLOOKUP(Final_Sans_VGE[[#This Row],[ppn_z]],tbl_Historique_Final[ppn_z],tbl_Historique_Final[date_modif])=Final_Sans_VGE[[#This Row],[date_modif]],
      "Ancien",
      "Modifié"),
   "Nouveau"))</f>
        <v>Ancien</v>
      </c>
      <c r="AC436"/>
      <c r="AD436"/>
    </row>
    <row r="437" spans="1:30" ht="30" x14ac:dyDescent="0.25">
      <c r="A437" s="5" t="s">
        <v>1448</v>
      </c>
      <c r="B437" s="1" t="s">
        <v>7191</v>
      </c>
      <c r="C437" s="1" t="s">
        <v>12</v>
      </c>
      <c r="G437" s="1" t="s">
        <v>11</v>
      </c>
      <c r="J437" s="3">
        <v>45490.583541666667</v>
      </c>
      <c r="K437" s="2" t="s">
        <v>7192</v>
      </c>
      <c r="L437" s="1">
        <v>2</v>
      </c>
      <c r="M437" s="1">
        <v>2</v>
      </c>
      <c r="N437">
        <v>0</v>
      </c>
      <c r="O437" s="3">
        <f>IF(
    R437="Ancien",
    _xlfn.XLOOKUP(
        Final_Sans_VGE[[#This Row],[ppn_z]],
        tbl_Historique_Final[ppn_z],
        tbl_Historique_Final[Horodatage],
        ""
    ),
    Horodatage!$A$2
)</f>
        <v>46233.670796365739</v>
      </c>
      <c r="P437" s="1" t="str">
        <f>IFERROR(IF(tbl_Historique_Final[[#This Row],[Commentaires]]&lt;&gt;"",tbl_Historique_Final[[#This Row],[Commentaires]],""),"")</f>
        <v/>
      </c>
      <c r="X437" s="8" t="str">
        <f>IF(Final_Sans_VGE[[#This Row],[ppn_z]]="","",IFERROR(
   IF(_xlfn.XLOOKUP(Final_Sans_VGE[[#This Row],[ppn_z]],tbl_Historique_Final[ppn_z],tbl_Historique_Final[date_modif])=Final_Sans_VGE[[#This Row],[date_modif]],
      "Ancien",
      "Modifié"),
   "Nouveau"))</f>
        <v>Ancien</v>
      </c>
      <c r="AC437"/>
      <c r="AD437"/>
    </row>
    <row r="438" spans="1:30" ht="60" x14ac:dyDescent="0.25">
      <c r="A438" s="5" t="s">
        <v>1451</v>
      </c>
      <c r="B438" s="1" t="s">
        <v>7193</v>
      </c>
      <c r="G438" s="1" t="s">
        <v>10</v>
      </c>
      <c r="J438" s="3">
        <v>45539.376597222225</v>
      </c>
      <c r="K438" s="2" t="s">
        <v>7194</v>
      </c>
      <c r="L438" s="1">
        <v>6</v>
      </c>
      <c r="M438" s="1">
        <v>9</v>
      </c>
      <c r="N438">
        <v>3</v>
      </c>
      <c r="O438" s="3">
        <f>IF(
    R438="Ancien",
    _xlfn.XLOOKUP(
        Final_Sans_VGE[[#This Row],[ppn_z]],
        tbl_Historique_Final[ppn_z],
        tbl_Historique_Final[Horodatage],
        ""
    ),
    Horodatage!$A$2
)</f>
        <v>46233.670796365739</v>
      </c>
      <c r="P438" s="1" t="str">
        <f>IFERROR(IF(tbl_Historique_Final[[#This Row],[Commentaires]]&lt;&gt;"",tbl_Historique_Final[[#This Row],[Commentaires]],""),"")</f>
        <v/>
      </c>
      <c r="X438" s="8" t="str">
        <f>IF(Final_Sans_VGE[[#This Row],[ppn_z]]="","",IFERROR(
   IF(_xlfn.XLOOKUP(Final_Sans_VGE[[#This Row],[ppn_z]],tbl_Historique_Final[ppn_z],tbl_Historique_Final[date_modif])=Final_Sans_VGE[[#This Row],[date_modif]],
      "Ancien",
      "Modifié"),
   "Nouveau"))</f>
        <v>Ancien</v>
      </c>
      <c r="AC438"/>
      <c r="AD438"/>
    </row>
    <row r="439" spans="1:30" x14ac:dyDescent="0.25">
      <c r="A439" s="5" t="s">
        <v>1454</v>
      </c>
      <c r="B439" s="1" t="s">
        <v>7195</v>
      </c>
      <c r="C439" s="1" t="s">
        <v>38</v>
      </c>
      <c r="J439" s="3">
        <v>45385.062037037038</v>
      </c>
      <c r="L439" s="1">
        <v>1</v>
      </c>
      <c r="M439" s="1">
        <v>1</v>
      </c>
      <c r="N439">
        <v>0</v>
      </c>
      <c r="O439" s="3">
        <f>IF(
    R439="Ancien",
    _xlfn.XLOOKUP(
        Final_Sans_VGE[[#This Row],[ppn_z]],
        tbl_Historique_Final[ppn_z],
        tbl_Historique_Final[Horodatage],
        ""
    ),
    Horodatage!$A$2
)</f>
        <v>46233.670796365739</v>
      </c>
      <c r="P439" s="1" t="str">
        <f>IFERROR(IF(tbl_Historique_Final[[#This Row],[Commentaires]]&lt;&gt;"",tbl_Historique_Final[[#This Row],[Commentaires]],""),"")</f>
        <v/>
      </c>
      <c r="X439" s="8" t="str">
        <f>IF(Final_Sans_VGE[[#This Row],[ppn_z]]="","",IFERROR(
   IF(_xlfn.XLOOKUP(Final_Sans_VGE[[#This Row],[ppn_z]],tbl_Historique_Final[ppn_z],tbl_Historique_Final[date_modif])=Final_Sans_VGE[[#This Row],[date_modif]],
      "Ancien",
      "Modifié"),
   "Nouveau"))</f>
        <v>Ancien</v>
      </c>
      <c r="AC439"/>
      <c r="AD439"/>
    </row>
    <row r="440" spans="1:30" ht="30" x14ac:dyDescent="0.25">
      <c r="A440" s="5" t="s">
        <v>1457</v>
      </c>
      <c r="B440" s="1" t="s">
        <v>7196</v>
      </c>
      <c r="G440" s="1" t="s">
        <v>11</v>
      </c>
      <c r="J440" s="3">
        <v>45558.373078703706</v>
      </c>
      <c r="K440" s="2" t="s">
        <v>7197</v>
      </c>
      <c r="L440" s="1">
        <v>1</v>
      </c>
      <c r="M440" s="1">
        <v>1</v>
      </c>
      <c r="N440">
        <v>0</v>
      </c>
      <c r="O440" s="3">
        <f>IF(
    R440="Ancien",
    _xlfn.XLOOKUP(
        Final_Sans_VGE[[#This Row],[ppn_z]],
        tbl_Historique_Final[ppn_z],
        tbl_Historique_Final[Horodatage],
        ""
    ),
    Horodatage!$A$2
)</f>
        <v>46233.670796365739</v>
      </c>
      <c r="P440" s="1" t="str">
        <f>IFERROR(IF(tbl_Historique_Final[[#This Row],[Commentaires]]&lt;&gt;"",tbl_Historique_Final[[#This Row],[Commentaires]],""),"")</f>
        <v/>
      </c>
      <c r="X440" s="8" t="str">
        <f>IF(Final_Sans_VGE[[#This Row],[ppn_z]]="","",IFERROR(
   IF(_xlfn.XLOOKUP(Final_Sans_VGE[[#This Row],[ppn_z]],tbl_Historique_Final[ppn_z],tbl_Historique_Final[date_modif])=Final_Sans_VGE[[#This Row],[date_modif]],
      "Ancien",
      "Modifié"),
   "Nouveau"))</f>
        <v>Ancien</v>
      </c>
      <c r="AC440"/>
      <c r="AD440"/>
    </row>
    <row r="441" spans="1:30" x14ac:dyDescent="0.25">
      <c r="A441" s="5" t="s">
        <v>1460</v>
      </c>
      <c r="B441" s="1" t="s">
        <v>7198</v>
      </c>
      <c r="C441" s="1" t="s">
        <v>12</v>
      </c>
      <c r="G441" s="1" t="s">
        <v>10</v>
      </c>
      <c r="J441" s="3">
        <v>45415.121898148151</v>
      </c>
      <c r="K441" s="2" t="s">
        <v>150</v>
      </c>
      <c r="L441" s="1">
        <v>9</v>
      </c>
      <c r="M441" s="1">
        <v>9</v>
      </c>
      <c r="N441">
        <v>0</v>
      </c>
      <c r="O441" s="3">
        <f>IF(
    R441="Ancien",
    _xlfn.XLOOKUP(
        Final_Sans_VGE[[#This Row],[ppn_z]],
        tbl_Historique_Final[ppn_z],
        tbl_Historique_Final[Horodatage],
        ""
    ),
    Horodatage!$A$2
)</f>
        <v>46233.670796365739</v>
      </c>
      <c r="P441" s="1" t="str">
        <f>IFERROR(IF(tbl_Historique_Final[[#This Row],[Commentaires]]&lt;&gt;"",tbl_Historique_Final[[#This Row],[Commentaires]],""),"")</f>
        <v/>
      </c>
      <c r="X441" s="8" t="str">
        <f>IF(Final_Sans_VGE[[#This Row],[ppn_z]]="","",IFERROR(
   IF(_xlfn.XLOOKUP(Final_Sans_VGE[[#This Row],[ppn_z]],tbl_Historique_Final[ppn_z],tbl_Historique_Final[date_modif])=Final_Sans_VGE[[#This Row],[date_modif]],
      "Ancien",
      "Modifié"),
   "Nouveau"))</f>
        <v>Ancien</v>
      </c>
      <c r="AC441"/>
      <c r="AD441"/>
    </row>
    <row r="442" spans="1:30" x14ac:dyDescent="0.25">
      <c r="A442" s="5" t="s">
        <v>1463</v>
      </c>
      <c r="B442" s="1" t="s">
        <v>7199</v>
      </c>
      <c r="C442" s="1" t="s">
        <v>78</v>
      </c>
      <c r="G442" s="1" t="s">
        <v>10</v>
      </c>
      <c r="J442" s="3">
        <v>45416.349745370368</v>
      </c>
      <c r="K442" s="2" t="s">
        <v>7200</v>
      </c>
      <c r="L442" s="1">
        <v>5</v>
      </c>
      <c r="M442" s="1">
        <v>5</v>
      </c>
      <c r="N442">
        <v>0</v>
      </c>
      <c r="O442" s="3">
        <f>IF(
    R442="Ancien",
    _xlfn.XLOOKUP(
        Final_Sans_VGE[[#This Row],[ppn_z]],
        tbl_Historique_Final[ppn_z],
        tbl_Historique_Final[Horodatage],
        ""
    ),
    Horodatage!$A$2
)</f>
        <v>46233.670796365739</v>
      </c>
      <c r="P442" s="1" t="str">
        <f>IFERROR(IF(tbl_Historique_Final[[#This Row],[Commentaires]]&lt;&gt;"",tbl_Historique_Final[[#This Row],[Commentaires]],""),"")</f>
        <v/>
      </c>
      <c r="X442" s="8" t="str">
        <f>IF(Final_Sans_VGE[[#This Row],[ppn_z]]="","",IFERROR(
   IF(_xlfn.XLOOKUP(Final_Sans_VGE[[#This Row],[ppn_z]],tbl_Historique_Final[ppn_z],tbl_Historique_Final[date_modif])=Final_Sans_VGE[[#This Row],[date_modif]],
      "Ancien",
      "Modifié"),
   "Nouveau"))</f>
        <v>Ancien</v>
      </c>
      <c r="AC442"/>
      <c r="AD442"/>
    </row>
    <row r="443" spans="1:30" x14ac:dyDescent="0.25">
      <c r="A443" s="5" t="s">
        <v>1466</v>
      </c>
      <c r="B443" s="1" t="s">
        <v>7201</v>
      </c>
      <c r="C443" s="1" t="s">
        <v>12</v>
      </c>
      <c r="G443" s="1" t="s">
        <v>10</v>
      </c>
      <c r="J443" s="3">
        <v>45519.461851851855</v>
      </c>
      <c r="K443" s="2" t="s">
        <v>7202</v>
      </c>
      <c r="L443" s="1">
        <v>1</v>
      </c>
      <c r="M443" s="1">
        <v>1</v>
      </c>
      <c r="N443">
        <v>0</v>
      </c>
      <c r="O443" s="3">
        <f>IF(
    R443="Ancien",
    _xlfn.XLOOKUP(
        Final_Sans_VGE[[#This Row],[ppn_z]],
        tbl_Historique_Final[ppn_z],
        tbl_Historique_Final[Horodatage],
        ""
    ),
    Horodatage!$A$2
)</f>
        <v>46233.670796365739</v>
      </c>
      <c r="P443" s="1" t="str">
        <f>IFERROR(IF(tbl_Historique_Final[[#This Row],[Commentaires]]&lt;&gt;"",tbl_Historique_Final[[#This Row],[Commentaires]],""),"")</f>
        <v/>
      </c>
      <c r="X443" s="8" t="str">
        <f>IF(Final_Sans_VGE[[#This Row],[ppn_z]]="","",IFERROR(
   IF(_xlfn.XLOOKUP(Final_Sans_VGE[[#This Row],[ppn_z]],tbl_Historique_Final[ppn_z],tbl_Historique_Final[date_modif])=Final_Sans_VGE[[#This Row],[date_modif]],
      "Ancien",
      "Modifié"),
   "Nouveau"))</f>
        <v>Ancien</v>
      </c>
      <c r="AC443"/>
      <c r="AD443"/>
    </row>
    <row r="444" spans="1:30" x14ac:dyDescent="0.25">
      <c r="A444" s="5" t="s">
        <v>1469</v>
      </c>
      <c r="B444" s="1" t="s">
        <v>7203</v>
      </c>
      <c r="C444" s="1" t="s">
        <v>12</v>
      </c>
      <c r="G444" s="1" t="s">
        <v>11</v>
      </c>
      <c r="J444" s="3">
        <v>45412.385509259257</v>
      </c>
      <c r="L444" s="1">
        <v>1</v>
      </c>
      <c r="M444" s="1">
        <v>1</v>
      </c>
      <c r="N444">
        <v>0</v>
      </c>
      <c r="O444" s="3">
        <f>IF(
    R444="Ancien",
    _xlfn.XLOOKUP(
        Final_Sans_VGE[[#This Row],[ppn_z]],
        tbl_Historique_Final[ppn_z],
        tbl_Historique_Final[Horodatage],
        ""
    ),
    Horodatage!$A$2
)</f>
        <v>46233.670796365739</v>
      </c>
      <c r="P444" s="1" t="str">
        <f>IFERROR(IF(tbl_Historique_Final[[#This Row],[Commentaires]]&lt;&gt;"",tbl_Historique_Final[[#This Row],[Commentaires]],""),"")</f>
        <v/>
      </c>
      <c r="X444" s="8" t="str">
        <f>IF(Final_Sans_VGE[[#This Row],[ppn_z]]="","",IFERROR(
   IF(_xlfn.XLOOKUP(Final_Sans_VGE[[#This Row],[ppn_z]],tbl_Historique_Final[ppn_z],tbl_Historique_Final[date_modif])=Final_Sans_VGE[[#This Row],[date_modif]],
      "Ancien",
      "Modifié"),
   "Nouveau"))</f>
        <v>Ancien</v>
      </c>
      <c r="AC444"/>
      <c r="AD444"/>
    </row>
    <row r="445" spans="1:30" x14ac:dyDescent="0.25">
      <c r="A445" s="5" t="s">
        <v>1472</v>
      </c>
      <c r="B445" s="1" t="s">
        <v>7204</v>
      </c>
      <c r="C445" s="1" t="s">
        <v>44</v>
      </c>
      <c r="G445" s="1" t="s">
        <v>10</v>
      </c>
      <c r="J445" s="3">
        <v>45525.582187499997</v>
      </c>
      <c r="K445" s="2" t="s">
        <v>7205</v>
      </c>
      <c r="L445" s="1">
        <v>8</v>
      </c>
      <c r="M445" s="1">
        <v>11</v>
      </c>
      <c r="N445">
        <v>3</v>
      </c>
      <c r="O445" s="3">
        <f>IF(
    R445="Ancien",
    _xlfn.XLOOKUP(
        Final_Sans_VGE[[#This Row],[ppn_z]],
        tbl_Historique_Final[ppn_z],
        tbl_Historique_Final[Horodatage],
        ""
    ),
    Horodatage!$A$2
)</f>
        <v>46233.670796365739</v>
      </c>
      <c r="P445" s="1" t="str">
        <f>IFERROR(IF(tbl_Historique_Final[[#This Row],[Commentaires]]&lt;&gt;"",tbl_Historique_Final[[#This Row],[Commentaires]],""),"")</f>
        <v/>
      </c>
      <c r="X445" s="8" t="str">
        <f>IF(Final_Sans_VGE[[#This Row],[ppn_z]]="","",IFERROR(
   IF(_xlfn.XLOOKUP(Final_Sans_VGE[[#This Row],[ppn_z]],tbl_Historique_Final[ppn_z],tbl_Historique_Final[date_modif])=Final_Sans_VGE[[#This Row],[date_modif]],
      "Ancien",
      "Modifié"),
   "Nouveau"))</f>
        <v>Ancien</v>
      </c>
      <c r="AC445"/>
      <c r="AD445"/>
    </row>
    <row r="446" spans="1:30" x14ac:dyDescent="0.25">
      <c r="A446" s="5" t="s">
        <v>1475</v>
      </c>
      <c r="B446" s="1" t="s">
        <v>7206</v>
      </c>
      <c r="C446" s="1" t="s">
        <v>88</v>
      </c>
      <c r="G446" s="1" t="s">
        <v>11</v>
      </c>
      <c r="J446" s="3">
        <v>45470.420613425929</v>
      </c>
      <c r="K446" s="2" t="s">
        <v>7207</v>
      </c>
      <c r="L446" s="1">
        <v>3</v>
      </c>
      <c r="M446" s="1">
        <v>3</v>
      </c>
      <c r="N446">
        <v>0</v>
      </c>
      <c r="O446" s="3">
        <f>IF(
    R446="Ancien",
    _xlfn.XLOOKUP(
        Final_Sans_VGE[[#This Row],[ppn_z]],
        tbl_Historique_Final[ppn_z],
        tbl_Historique_Final[Horodatage],
        ""
    ),
    Horodatage!$A$2
)</f>
        <v>46233.670796365739</v>
      </c>
      <c r="P446" s="1" t="str">
        <f>IFERROR(IF(tbl_Historique_Final[[#This Row],[Commentaires]]&lt;&gt;"",tbl_Historique_Final[[#This Row],[Commentaires]],""),"")</f>
        <v/>
      </c>
      <c r="X446" s="8" t="str">
        <f>IF(Final_Sans_VGE[[#This Row],[ppn_z]]="","",IFERROR(
   IF(_xlfn.XLOOKUP(Final_Sans_VGE[[#This Row],[ppn_z]],tbl_Historique_Final[ppn_z],tbl_Historique_Final[date_modif])=Final_Sans_VGE[[#This Row],[date_modif]],
      "Ancien",
      "Modifié"),
   "Nouveau"))</f>
        <v>Ancien</v>
      </c>
      <c r="AC446"/>
      <c r="AD446"/>
    </row>
    <row r="447" spans="1:30" x14ac:dyDescent="0.25">
      <c r="A447" s="5" t="s">
        <v>1478</v>
      </c>
      <c r="B447" s="1" t="s">
        <v>7208</v>
      </c>
      <c r="C447" s="1" t="s">
        <v>83</v>
      </c>
      <c r="G447" s="1" t="s">
        <v>11</v>
      </c>
      <c r="J447" s="3">
        <v>45416.926145833335</v>
      </c>
      <c r="K447" s="2" t="s">
        <v>7209</v>
      </c>
      <c r="L447" s="1">
        <v>3</v>
      </c>
      <c r="M447" s="1">
        <v>3</v>
      </c>
      <c r="N447">
        <v>0</v>
      </c>
      <c r="O447" s="3">
        <f>IF(
    R447="Ancien",
    _xlfn.XLOOKUP(
        Final_Sans_VGE[[#This Row],[ppn_z]],
        tbl_Historique_Final[ppn_z],
        tbl_Historique_Final[Horodatage],
        ""
    ),
    Horodatage!$A$2
)</f>
        <v>46233.670796365739</v>
      </c>
      <c r="P447" s="1" t="str">
        <f>IFERROR(IF(tbl_Historique_Final[[#This Row],[Commentaires]]&lt;&gt;"",tbl_Historique_Final[[#This Row],[Commentaires]],""),"")</f>
        <v/>
      </c>
      <c r="X447" s="8" t="str">
        <f>IF(Final_Sans_VGE[[#This Row],[ppn_z]]="","",IFERROR(
   IF(_xlfn.XLOOKUP(Final_Sans_VGE[[#This Row],[ppn_z]],tbl_Historique_Final[ppn_z],tbl_Historique_Final[date_modif])=Final_Sans_VGE[[#This Row],[date_modif]],
      "Ancien",
      "Modifié"),
   "Nouveau"))</f>
        <v>Ancien</v>
      </c>
      <c r="AC447"/>
      <c r="AD447"/>
    </row>
    <row r="448" spans="1:30" x14ac:dyDescent="0.25">
      <c r="A448" s="5" t="s">
        <v>1481</v>
      </c>
      <c r="B448" s="1" t="s">
        <v>7210</v>
      </c>
      <c r="C448" s="1" t="s">
        <v>112</v>
      </c>
      <c r="J448" s="3">
        <v>45386.484016203707</v>
      </c>
      <c r="L448" s="1">
        <v>2</v>
      </c>
      <c r="M448" s="1">
        <v>2</v>
      </c>
      <c r="N448">
        <v>0</v>
      </c>
      <c r="O448" s="3">
        <f>IF(
    R448="Ancien",
    _xlfn.XLOOKUP(
        Final_Sans_VGE[[#This Row],[ppn_z]],
        tbl_Historique_Final[ppn_z],
        tbl_Historique_Final[Horodatage],
        ""
    ),
    Horodatage!$A$2
)</f>
        <v>46233.670796365739</v>
      </c>
      <c r="P448" s="1" t="str">
        <f>IFERROR(IF(tbl_Historique_Final[[#This Row],[Commentaires]]&lt;&gt;"",tbl_Historique_Final[[#This Row],[Commentaires]],""),"")</f>
        <v/>
      </c>
      <c r="X448" s="8" t="str">
        <f>IF(Final_Sans_VGE[[#This Row],[ppn_z]]="","",IFERROR(
   IF(_xlfn.XLOOKUP(Final_Sans_VGE[[#This Row],[ppn_z]],tbl_Historique_Final[ppn_z],tbl_Historique_Final[date_modif])=Final_Sans_VGE[[#This Row],[date_modif]],
      "Ancien",
      "Modifié"),
   "Nouveau"))</f>
        <v>Ancien</v>
      </c>
      <c r="AC448"/>
      <c r="AD448"/>
    </row>
    <row r="449" spans="1:30" x14ac:dyDescent="0.25">
      <c r="A449" s="5" t="s">
        <v>1484</v>
      </c>
      <c r="B449" s="1" t="s">
        <v>7211</v>
      </c>
      <c r="C449" s="1" t="s">
        <v>33</v>
      </c>
      <c r="G449" s="1" t="s">
        <v>11</v>
      </c>
      <c r="J449" s="3">
        <v>45490.683425925927</v>
      </c>
      <c r="K449" s="2" t="s">
        <v>6490</v>
      </c>
      <c r="L449" s="1">
        <v>1</v>
      </c>
      <c r="M449" s="1">
        <v>1</v>
      </c>
      <c r="N449">
        <v>0</v>
      </c>
      <c r="O449" s="3">
        <f>IF(
    R449="Ancien",
    _xlfn.XLOOKUP(
        Final_Sans_VGE[[#This Row],[ppn_z]],
        tbl_Historique_Final[ppn_z],
        tbl_Historique_Final[Horodatage],
        ""
    ),
    Horodatage!$A$2
)</f>
        <v>46233.670796365739</v>
      </c>
      <c r="P449" s="1" t="str">
        <f>IFERROR(IF(tbl_Historique_Final[[#This Row],[Commentaires]]&lt;&gt;"",tbl_Historique_Final[[#This Row],[Commentaires]],""),"")</f>
        <v/>
      </c>
      <c r="X449" s="8" t="str">
        <f>IF(Final_Sans_VGE[[#This Row],[ppn_z]]="","",IFERROR(
   IF(_xlfn.XLOOKUP(Final_Sans_VGE[[#This Row],[ppn_z]],tbl_Historique_Final[ppn_z],tbl_Historique_Final[date_modif])=Final_Sans_VGE[[#This Row],[date_modif]],
      "Ancien",
      "Modifié"),
   "Nouveau"))</f>
        <v>Ancien</v>
      </c>
      <c r="AC449"/>
      <c r="AD449"/>
    </row>
    <row r="450" spans="1:30" x14ac:dyDescent="0.25">
      <c r="A450" s="5" t="s">
        <v>1487</v>
      </c>
      <c r="B450" s="1" t="s">
        <v>7212</v>
      </c>
      <c r="G450" s="1" t="s">
        <v>10</v>
      </c>
      <c r="J450" s="3">
        <v>45415.665520833332</v>
      </c>
      <c r="K450" s="2" t="s">
        <v>7213</v>
      </c>
      <c r="L450" s="1">
        <v>1</v>
      </c>
      <c r="M450" s="1">
        <v>1</v>
      </c>
      <c r="N450">
        <v>0</v>
      </c>
      <c r="O450" s="3">
        <f>IF(
    R450="Ancien",
    _xlfn.XLOOKUP(
        Final_Sans_VGE[[#This Row],[ppn_z]],
        tbl_Historique_Final[ppn_z],
        tbl_Historique_Final[Horodatage],
        ""
    ),
    Horodatage!$A$2
)</f>
        <v>46233.670796365739</v>
      </c>
      <c r="P450" s="1" t="str">
        <f>IFERROR(IF(tbl_Historique_Final[[#This Row],[Commentaires]]&lt;&gt;"",tbl_Historique_Final[[#This Row],[Commentaires]],""),"")</f>
        <v/>
      </c>
      <c r="X450" s="8" t="str">
        <f>IF(Final_Sans_VGE[[#This Row],[ppn_z]]="","",IFERROR(
   IF(_xlfn.XLOOKUP(Final_Sans_VGE[[#This Row],[ppn_z]],tbl_Historique_Final[ppn_z],tbl_Historique_Final[date_modif])=Final_Sans_VGE[[#This Row],[date_modif]],
      "Ancien",
      "Modifié"),
   "Nouveau"))</f>
        <v>Ancien</v>
      </c>
      <c r="AC450"/>
      <c r="AD450"/>
    </row>
    <row r="451" spans="1:30" x14ac:dyDescent="0.25">
      <c r="A451" s="5" t="s">
        <v>1493</v>
      </c>
      <c r="B451" s="1" t="s">
        <v>7214</v>
      </c>
      <c r="C451" s="1" t="s">
        <v>6353</v>
      </c>
      <c r="J451" s="3">
        <v>45386.563321759262</v>
      </c>
      <c r="L451" s="1">
        <v>2</v>
      </c>
      <c r="M451" s="1">
        <v>2</v>
      </c>
      <c r="N451">
        <v>0</v>
      </c>
      <c r="O451" s="3">
        <f>IF(
    R451="Ancien",
    _xlfn.XLOOKUP(
        Final_Sans_VGE[[#This Row],[ppn_z]],
        tbl_Historique_Final[ppn_z],
        tbl_Historique_Final[Horodatage],
        ""
    ),
    Horodatage!$A$2
)</f>
        <v>46233.670796365739</v>
      </c>
      <c r="P451" s="1" t="str">
        <f>IFERROR(IF(tbl_Historique_Final[[#This Row],[Commentaires]]&lt;&gt;"",tbl_Historique_Final[[#This Row],[Commentaires]],""),"")</f>
        <v/>
      </c>
      <c r="X451" s="8" t="str">
        <f>IF(Final_Sans_VGE[[#This Row],[ppn_z]]="","",IFERROR(
   IF(_xlfn.XLOOKUP(Final_Sans_VGE[[#This Row],[ppn_z]],tbl_Historique_Final[ppn_z],tbl_Historique_Final[date_modif])=Final_Sans_VGE[[#This Row],[date_modif]],
      "Ancien",
      "Modifié"),
   "Nouveau"))</f>
        <v>Ancien</v>
      </c>
      <c r="AC451"/>
      <c r="AD451"/>
    </row>
    <row r="452" spans="1:30" x14ac:dyDescent="0.25">
      <c r="A452" s="5" t="s">
        <v>1496</v>
      </c>
      <c r="B452" s="1" t="s">
        <v>7215</v>
      </c>
      <c r="C452" s="1" t="s">
        <v>12</v>
      </c>
      <c r="G452" s="1" t="s">
        <v>10</v>
      </c>
      <c r="J452" s="3">
        <v>45422.576550925929</v>
      </c>
      <c r="K452" s="2" t="s">
        <v>6438</v>
      </c>
      <c r="L452" s="1">
        <v>1</v>
      </c>
      <c r="M452" s="1">
        <v>1</v>
      </c>
      <c r="N452">
        <v>0</v>
      </c>
      <c r="O452" s="3">
        <f>IF(
    R452="Ancien",
    _xlfn.XLOOKUP(
        Final_Sans_VGE[[#This Row],[ppn_z]],
        tbl_Historique_Final[ppn_z],
        tbl_Historique_Final[Horodatage],
        ""
    ),
    Horodatage!$A$2
)</f>
        <v>46233.670796365739</v>
      </c>
      <c r="P452" s="1" t="str">
        <f>IFERROR(IF(tbl_Historique_Final[[#This Row],[Commentaires]]&lt;&gt;"",tbl_Historique_Final[[#This Row],[Commentaires]],""),"")</f>
        <v/>
      </c>
      <c r="X452" s="8" t="str">
        <f>IF(Final_Sans_VGE[[#This Row],[ppn_z]]="","",IFERROR(
   IF(_xlfn.XLOOKUP(Final_Sans_VGE[[#This Row],[ppn_z]],tbl_Historique_Final[ppn_z],tbl_Historique_Final[date_modif])=Final_Sans_VGE[[#This Row],[date_modif]],
      "Ancien",
      "Modifié"),
   "Nouveau"))</f>
        <v>Ancien</v>
      </c>
      <c r="AC452"/>
      <c r="AD452"/>
    </row>
    <row r="453" spans="1:30" ht="30" x14ac:dyDescent="0.25">
      <c r="A453" s="5" t="s">
        <v>1502</v>
      </c>
      <c r="B453" s="1" t="s">
        <v>7216</v>
      </c>
      <c r="C453" s="1" t="s">
        <v>12</v>
      </c>
      <c r="G453" s="1" t="s">
        <v>10</v>
      </c>
      <c r="J453" s="3">
        <v>45416.174756944441</v>
      </c>
      <c r="K453" s="2" t="s">
        <v>7217</v>
      </c>
      <c r="L453" s="1">
        <v>2</v>
      </c>
      <c r="M453" s="1">
        <v>2</v>
      </c>
      <c r="N453">
        <v>0</v>
      </c>
      <c r="O453" s="3">
        <f>IF(
    R453="Ancien",
    _xlfn.XLOOKUP(
        Final_Sans_VGE[[#This Row],[ppn_z]],
        tbl_Historique_Final[ppn_z],
        tbl_Historique_Final[Horodatage],
        ""
    ),
    Horodatage!$A$2
)</f>
        <v>46233.670796365739</v>
      </c>
      <c r="P453" s="1" t="str">
        <f>IFERROR(IF(tbl_Historique_Final[[#This Row],[Commentaires]]&lt;&gt;"",tbl_Historique_Final[[#This Row],[Commentaires]],""),"")</f>
        <v/>
      </c>
      <c r="X453" s="8" t="str">
        <f>IF(Final_Sans_VGE[[#This Row],[ppn_z]]="","",IFERROR(
   IF(_xlfn.XLOOKUP(Final_Sans_VGE[[#This Row],[ppn_z]],tbl_Historique_Final[ppn_z],tbl_Historique_Final[date_modif])=Final_Sans_VGE[[#This Row],[date_modif]],
      "Ancien",
      "Modifié"),
   "Nouveau"))</f>
        <v>Ancien</v>
      </c>
      <c r="AC453"/>
      <c r="AD453"/>
    </row>
    <row r="454" spans="1:30" x14ac:dyDescent="0.25">
      <c r="A454" s="5" t="s">
        <v>1505</v>
      </c>
      <c r="B454" s="1" t="s">
        <v>7218</v>
      </c>
      <c r="C454" s="1" t="s">
        <v>7219</v>
      </c>
      <c r="G454" s="1" t="s">
        <v>10</v>
      </c>
      <c r="J454" s="3">
        <v>45416.119189814817</v>
      </c>
      <c r="K454" s="2" t="s">
        <v>7220</v>
      </c>
      <c r="L454" s="1">
        <v>1</v>
      </c>
      <c r="M454" s="1">
        <v>1</v>
      </c>
      <c r="N454">
        <v>0</v>
      </c>
      <c r="O454" s="3">
        <f>IF(
    R454="Ancien",
    _xlfn.XLOOKUP(
        Final_Sans_VGE[[#This Row],[ppn_z]],
        tbl_Historique_Final[ppn_z],
        tbl_Historique_Final[Horodatage],
        ""
    ),
    Horodatage!$A$2
)</f>
        <v>46233.670796365739</v>
      </c>
      <c r="P454" s="1" t="str">
        <f>IFERROR(IF(tbl_Historique_Final[[#This Row],[Commentaires]]&lt;&gt;"",tbl_Historique_Final[[#This Row],[Commentaires]],""),"")</f>
        <v/>
      </c>
      <c r="X454" s="8" t="str">
        <f>IF(Final_Sans_VGE[[#This Row],[ppn_z]]="","",IFERROR(
   IF(_xlfn.XLOOKUP(Final_Sans_VGE[[#This Row],[ppn_z]],tbl_Historique_Final[ppn_z],tbl_Historique_Final[date_modif])=Final_Sans_VGE[[#This Row],[date_modif]],
      "Ancien",
      "Modifié"),
   "Nouveau"))</f>
        <v>Ancien</v>
      </c>
      <c r="AC454"/>
      <c r="AD454"/>
    </row>
    <row r="455" spans="1:30" x14ac:dyDescent="0.25">
      <c r="A455" s="5" t="s">
        <v>1508</v>
      </c>
      <c r="B455" s="1" t="s">
        <v>7221</v>
      </c>
      <c r="C455" s="1" t="s">
        <v>12</v>
      </c>
      <c r="G455" s="1" t="s">
        <v>11</v>
      </c>
      <c r="J455" s="3">
        <v>45412.903923611113</v>
      </c>
      <c r="L455" s="1">
        <v>1</v>
      </c>
      <c r="M455" s="1">
        <v>1</v>
      </c>
      <c r="N455">
        <v>0</v>
      </c>
      <c r="O455" s="3">
        <f>IF(
    R455="Ancien",
    _xlfn.XLOOKUP(
        Final_Sans_VGE[[#This Row],[ppn_z]],
        tbl_Historique_Final[ppn_z],
        tbl_Historique_Final[Horodatage],
        ""
    ),
    Horodatage!$A$2
)</f>
        <v>46233.670796365739</v>
      </c>
      <c r="P455" s="1" t="str">
        <f>IFERROR(IF(tbl_Historique_Final[[#This Row],[Commentaires]]&lt;&gt;"",tbl_Historique_Final[[#This Row],[Commentaires]],""),"")</f>
        <v/>
      </c>
      <c r="X455" s="8" t="str">
        <f>IF(Final_Sans_VGE[[#This Row],[ppn_z]]="","",IFERROR(
   IF(_xlfn.XLOOKUP(Final_Sans_VGE[[#This Row],[ppn_z]],tbl_Historique_Final[ppn_z],tbl_Historique_Final[date_modif])=Final_Sans_VGE[[#This Row],[date_modif]],
      "Ancien",
      "Modifié"),
   "Nouveau"))</f>
        <v>Ancien</v>
      </c>
      <c r="AC455"/>
      <c r="AD455"/>
    </row>
    <row r="456" spans="1:30" x14ac:dyDescent="0.25">
      <c r="A456" s="5" t="s">
        <v>1511</v>
      </c>
      <c r="B456" s="1" t="s">
        <v>7222</v>
      </c>
      <c r="C456" s="1" t="s">
        <v>159</v>
      </c>
      <c r="G456" s="1" t="s">
        <v>11</v>
      </c>
      <c r="J456" s="3">
        <v>45468.678043981483</v>
      </c>
      <c r="K456" s="2" t="s">
        <v>7223</v>
      </c>
      <c r="L456" s="1">
        <v>2</v>
      </c>
      <c r="M456" s="1">
        <v>2</v>
      </c>
      <c r="N456">
        <v>0</v>
      </c>
      <c r="O456" s="3">
        <f>IF(
    R456="Ancien",
    _xlfn.XLOOKUP(
        Final_Sans_VGE[[#This Row],[ppn_z]],
        tbl_Historique_Final[ppn_z],
        tbl_Historique_Final[Horodatage],
        ""
    ),
    Horodatage!$A$2
)</f>
        <v>46233.670796365739</v>
      </c>
      <c r="P456" s="1" t="str">
        <f>IFERROR(IF(tbl_Historique_Final[[#This Row],[Commentaires]]&lt;&gt;"",tbl_Historique_Final[[#This Row],[Commentaires]],""),"")</f>
        <v/>
      </c>
      <c r="X456" s="8" t="str">
        <f>IF(Final_Sans_VGE[[#This Row],[ppn_z]]="","",IFERROR(
   IF(_xlfn.XLOOKUP(Final_Sans_VGE[[#This Row],[ppn_z]],tbl_Historique_Final[ppn_z],tbl_Historique_Final[date_modif])=Final_Sans_VGE[[#This Row],[date_modif]],
      "Ancien",
      "Modifié"),
   "Nouveau"))</f>
        <v>Ancien</v>
      </c>
      <c r="AC456"/>
      <c r="AD456"/>
    </row>
    <row r="457" spans="1:30" x14ac:dyDescent="0.25">
      <c r="A457" s="5" t="s">
        <v>1514</v>
      </c>
      <c r="B457" s="1" t="s">
        <v>7224</v>
      </c>
      <c r="C457" s="1" t="s">
        <v>12</v>
      </c>
      <c r="G457" s="1" t="s">
        <v>11</v>
      </c>
      <c r="J457" s="3">
        <v>45416.415034722224</v>
      </c>
      <c r="K457" s="2" t="s">
        <v>7225</v>
      </c>
      <c r="L457" s="1">
        <v>2</v>
      </c>
      <c r="M457" s="1">
        <v>2</v>
      </c>
      <c r="N457">
        <v>0</v>
      </c>
      <c r="O457" s="3">
        <f>IF(
    R457="Ancien",
    _xlfn.XLOOKUP(
        Final_Sans_VGE[[#This Row],[ppn_z]],
        tbl_Historique_Final[ppn_z],
        tbl_Historique_Final[Horodatage],
        ""
    ),
    Horodatage!$A$2
)</f>
        <v>46233.670796365739</v>
      </c>
      <c r="P457" s="1" t="str">
        <f>IFERROR(IF(tbl_Historique_Final[[#This Row],[Commentaires]]&lt;&gt;"",tbl_Historique_Final[[#This Row],[Commentaires]],""),"")</f>
        <v/>
      </c>
      <c r="X457" s="8" t="str">
        <f>IF(Final_Sans_VGE[[#This Row],[ppn_z]]="","",IFERROR(
   IF(_xlfn.XLOOKUP(Final_Sans_VGE[[#This Row],[ppn_z]],tbl_Historique_Final[ppn_z],tbl_Historique_Final[date_modif])=Final_Sans_VGE[[#This Row],[date_modif]],
      "Ancien",
      "Modifié"),
   "Nouveau"))</f>
        <v>Ancien</v>
      </c>
      <c r="AC457"/>
      <c r="AD457"/>
    </row>
    <row r="458" spans="1:30" x14ac:dyDescent="0.25">
      <c r="A458" s="5" t="s">
        <v>1517</v>
      </c>
      <c r="B458" s="1" t="s">
        <v>7226</v>
      </c>
      <c r="J458" s="3">
        <v>45386.487662037034</v>
      </c>
      <c r="L458" s="1">
        <v>1</v>
      </c>
      <c r="M458" s="1">
        <v>1</v>
      </c>
      <c r="N458">
        <v>0</v>
      </c>
      <c r="O458" s="3">
        <f>IF(
    R458="Ancien",
    _xlfn.XLOOKUP(
        Final_Sans_VGE[[#This Row],[ppn_z]],
        tbl_Historique_Final[ppn_z],
        tbl_Historique_Final[Horodatage],
        ""
    ),
    Horodatage!$A$2
)</f>
        <v>46233.670796365739</v>
      </c>
      <c r="P458" s="1" t="str">
        <f>IFERROR(IF(tbl_Historique_Final[[#This Row],[Commentaires]]&lt;&gt;"",tbl_Historique_Final[[#This Row],[Commentaires]],""),"")</f>
        <v/>
      </c>
      <c r="X458" s="8" t="str">
        <f>IF(Final_Sans_VGE[[#This Row],[ppn_z]]="","",IFERROR(
   IF(_xlfn.XLOOKUP(Final_Sans_VGE[[#This Row],[ppn_z]],tbl_Historique_Final[ppn_z],tbl_Historique_Final[date_modif])=Final_Sans_VGE[[#This Row],[date_modif]],
      "Ancien",
      "Modifié"),
   "Nouveau"))</f>
        <v>Ancien</v>
      </c>
      <c r="AC458"/>
      <c r="AD458"/>
    </row>
    <row r="459" spans="1:30" x14ac:dyDescent="0.25">
      <c r="A459" s="5" t="s">
        <v>1520</v>
      </c>
      <c r="B459" s="1" t="s">
        <v>7227</v>
      </c>
      <c r="C459" s="1" t="s">
        <v>12</v>
      </c>
      <c r="G459" s="1" t="s">
        <v>10</v>
      </c>
      <c r="J459" s="3">
        <v>45447.388113425928</v>
      </c>
      <c r="K459" s="2" t="s">
        <v>7228</v>
      </c>
      <c r="L459" s="1">
        <v>1</v>
      </c>
      <c r="M459" s="1">
        <v>1</v>
      </c>
      <c r="N459">
        <v>0</v>
      </c>
      <c r="O459" s="3">
        <f>IF(
    R459="Ancien",
    _xlfn.XLOOKUP(
        Final_Sans_VGE[[#This Row],[ppn_z]],
        tbl_Historique_Final[ppn_z],
        tbl_Historique_Final[Horodatage],
        ""
    ),
    Horodatage!$A$2
)</f>
        <v>46233.670796365739</v>
      </c>
      <c r="P459" s="1" t="str">
        <f>IFERROR(IF(tbl_Historique_Final[[#This Row],[Commentaires]]&lt;&gt;"",tbl_Historique_Final[[#This Row],[Commentaires]],""),"")</f>
        <v/>
      </c>
      <c r="X459" s="8" t="str">
        <f>IF(Final_Sans_VGE[[#This Row],[ppn_z]]="","",IFERROR(
   IF(_xlfn.XLOOKUP(Final_Sans_VGE[[#This Row],[ppn_z]],tbl_Historique_Final[ppn_z],tbl_Historique_Final[date_modif])=Final_Sans_VGE[[#This Row],[date_modif]],
      "Ancien",
      "Modifié"),
   "Nouveau"))</f>
        <v>Ancien</v>
      </c>
      <c r="AC459"/>
      <c r="AD459"/>
    </row>
    <row r="460" spans="1:30" x14ac:dyDescent="0.25">
      <c r="A460" s="5" t="s">
        <v>1523</v>
      </c>
      <c r="B460" s="1" t="s">
        <v>7229</v>
      </c>
      <c r="C460" s="1" t="s">
        <v>6554</v>
      </c>
      <c r="G460" s="1" t="s">
        <v>11</v>
      </c>
      <c r="J460" s="3">
        <v>45413.196956018517</v>
      </c>
      <c r="L460" s="1">
        <v>1</v>
      </c>
      <c r="M460" s="1">
        <v>1</v>
      </c>
      <c r="N460">
        <v>0</v>
      </c>
      <c r="O460" s="3">
        <f>IF(
    R460="Ancien",
    _xlfn.XLOOKUP(
        Final_Sans_VGE[[#This Row],[ppn_z]],
        tbl_Historique_Final[ppn_z],
        tbl_Historique_Final[Horodatage],
        ""
    ),
    Horodatage!$A$2
)</f>
        <v>46233.670796365739</v>
      </c>
      <c r="P460" s="1" t="str">
        <f>IFERROR(IF(tbl_Historique_Final[[#This Row],[Commentaires]]&lt;&gt;"",tbl_Historique_Final[[#This Row],[Commentaires]],""),"")</f>
        <v/>
      </c>
      <c r="X460" s="8" t="str">
        <f>IF(Final_Sans_VGE[[#This Row],[ppn_z]]="","",IFERROR(
   IF(_xlfn.XLOOKUP(Final_Sans_VGE[[#This Row],[ppn_z]],tbl_Historique_Final[ppn_z],tbl_Historique_Final[date_modif])=Final_Sans_VGE[[#This Row],[date_modif]],
      "Ancien",
      "Modifié"),
   "Nouveau"))</f>
        <v>Ancien</v>
      </c>
      <c r="AC460"/>
      <c r="AD460"/>
    </row>
    <row r="461" spans="1:30" x14ac:dyDescent="0.25">
      <c r="A461" s="5" t="s">
        <v>1526</v>
      </c>
      <c r="B461" s="1" t="s">
        <v>7230</v>
      </c>
      <c r="C461" s="1" t="s">
        <v>88</v>
      </c>
      <c r="G461" s="1" t="s">
        <v>10</v>
      </c>
      <c r="J461" s="3">
        <v>45457.33084490741</v>
      </c>
      <c r="K461" s="2" t="s">
        <v>7231</v>
      </c>
      <c r="L461" s="1">
        <v>1</v>
      </c>
      <c r="M461" s="1">
        <v>1</v>
      </c>
      <c r="N461">
        <v>0</v>
      </c>
      <c r="O461" s="3">
        <f>IF(
    R461="Ancien",
    _xlfn.XLOOKUP(
        Final_Sans_VGE[[#This Row],[ppn_z]],
        tbl_Historique_Final[ppn_z],
        tbl_Historique_Final[Horodatage],
        ""
    ),
    Horodatage!$A$2
)</f>
        <v>46233.670796365739</v>
      </c>
      <c r="P461" s="1" t="str">
        <f>IFERROR(IF(tbl_Historique_Final[[#This Row],[Commentaires]]&lt;&gt;"",tbl_Historique_Final[[#This Row],[Commentaires]],""),"")</f>
        <v/>
      </c>
      <c r="X461" s="8" t="str">
        <f>IF(Final_Sans_VGE[[#This Row],[ppn_z]]="","",IFERROR(
   IF(_xlfn.XLOOKUP(Final_Sans_VGE[[#This Row],[ppn_z]],tbl_Historique_Final[ppn_z],tbl_Historique_Final[date_modif])=Final_Sans_VGE[[#This Row],[date_modif]],
      "Ancien",
      "Modifié"),
   "Nouveau"))</f>
        <v>Ancien</v>
      </c>
      <c r="AC461"/>
      <c r="AD461"/>
    </row>
    <row r="462" spans="1:30" x14ac:dyDescent="0.25">
      <c r="A462" s="5" t="s">
        <v>1529</v>
      </c>
      <c r="B462" s="1" t="s">
        <v>7232</v>
      </c>
      <c r="C462" s="1" t="s">
        <v>45</v>
      </c>
      <c r="J462" s="3">
        <v>45574.326273148145</v>
      </c>
      <c r="K462" s="2" t="s">
        <v>7233</v>
      </c>
      <c r="L462" s="1">
        <v>3</v>
      </c>
      <c r="M462" s="1">
        <v>8</v>
      </c>
      <c r="N462">
        <v>5</v>
      </c>
      <c r="O462" s="3">
        <f>IF(
    R462="Ancien",
    _xlfn.XLOOKUP(
        Final_Sans_VGE[[#This Row],[ppn_z]],
        tbl_Historique_Final[ppn_z],
        tbl_Historique_Final[Horodatage],
        ""
    ),
    Horodatage!$A$2
)</f>
        <v>46233.670796365739</v>
      </c>
      <c r="P462" s="1" t="str">
        <f>IFERROR(IF(tbl_Historique_Final[[#This Row],[Commentaires]]&lt;&gt;"",tbl_Historique_Final[[#This Row],[Commentaires]],""),"")</f>
        <v/>
      </c>
      <c r="X462" s="8" t="str">
        <f>IF(Final_Sans_VGE[[#This Row],[ppn_z]]="","",IFERROR(
   IF(_xlfn.XLOOKUP(Final_Sans_VGE[[#This Row],[ppn_z]],tbl_Historique_Final[ppn_z],tbl_Historique_Final[date_modif])=Final_Sans_VGE[[#This Row],[date_modif]],
      "Ancien",
      "Modifié"),
   "Nouveau"))</f>
        <v>Ancien</v>
      </c>
      <c r="AC462"/>
      <c r="AD462"/>
    </row>
    <row r="463" spans="1:30" x14ac:dyDescent="0.25">
      <c r="A463" s="5" t="s">
        <v>1532</v>
      </c>
      <c r="B463" s="1" t="s">
        <v>7234</v>
      </c>
      <c r="C463" s="1" t="s">
        <v>69</v>
      </c>
      <c r="G463" s="1" t="s">
        <v>11</v>
      </c>
      <c r="J463" s="3">
        <v>45414.919189814813</v>
      </c>
      <c r="K463" s="2" t="s">
        <v>6781</v>
      </c>
      <c r="L463" s="1">
        <v>6</v>
      </c>
      <c r="M463" s="1">
        <v>6</v>
      </c>
      <c r="N463">
        <v>0</v>
      </c>
      <c r="O463" s="3">
        <f>IF(
    R463="Ancien",
    _xlfn.XLOOKUP(
        Final_Sans_VGE[[#This Row],[ppn_z]],
        tbl_Historique_Final[ppn_z],
        tbl_Historique_Final[Horodatage],
        ""
    ),
    Horodatage!$A$2
)</f>
        <v>46233.670796365739</v>
      </c>
      <c r="P463" s="1" t="str">
        <f>IFERROR(IF(tbl_Historique_Final[[#This Row],[Commentaires]]&lt;&gt;"",tbl_Historique_Final[[#This Row],[Commentaires]],""),"")</f>
        <v/>
      </c>
      <c r="X463" s="8" t="str">
        <f>IF(Final_Sans_VGE[[#This Row],[ppn_z]]="","",IFERROR(
   IF(_xlfn.XLOOKUP(Final_Sans_VGE[[#This Row],[ppn_z]],tbl_Historique_Final[ppn_z],tbl_Historique_Final[date_modif])=Final_Sans_VGE[[#This Row],[date_modif]],
      "Ancien",
      "Modifié"),
   "Nouveau"))</f>
        <v>Ancien</v>
      </c>
      <c r="AC463"/>
      <c r="AD463"/>
    </row>
    <row r="464" spans="1:30" x14ac:dyDescent="0.25">
      <c r="A464" s="5" t="s">
        <v>1535</v>
      </c>
      <c r="B464" s="1" t="s">
        <v>7235</v>
      </c>
      <c r="C464" s="1" t="s">
        <v>33</v>
      </c>
      <c r="G464" s="1" t="s">
        <v>10</v>
      </c>
      <c r="J464" s="3">
        <v>45415.816446759258</v>
      </c>
      <c r="K464" s="2" t="s">
        <v>7236</v>
      </c>
      <c r="L464" s="1">
        <v>1</v>
      </c>
      <c r="M464" s="1">
        <v>3</v>
      </c>
      <c r="N464">
        <v>2</v>
      </c>
      <c r="O464" s="3">
        <f>IF(
    R464="Ancien",
    _xlfn.XLOOKUP(
        Final_Sans_VGE[[#This Row],[ppn_z]],
        tbl_Historique_Final[ppn_z],
        tbl_Historique_Final[Horodatage],
        ""
    ),
    Horodatage!$A$2
)</f>
        <v>46233.670796365739</v>
      </c>
      <c r="P464" s="1" t="str">
        <f>IFERROR(IF(tbl_Historique_Final[[#This Row],[Commentaires]]&lt;&gt;"",tbl_Historique_Final[[#This Row],[Commentaires]],""),"")</f>
        <v/>
      </c>
      <c r="X464" s="8" t="str">
        <f>IF(Final_Sans_VGE[[#This Row],[ppn_z]]="","",IFERROR(
   IF(_xlfn.XLOOKUP(Final_Sans_VGE[[#This Row],[ppn_z]],tbl_Historique_Final[ppn_z],tbl_Historique_Final[date_modif])=Final_Sans_VGE[[#This Row],[date_modif]],
      "Ancien",
      "Modifié"),
   "Nouveau"))</f>
        <v>Ancien</v>
      </c>
      <c r="AC464"/>
      <c r="AD464"/>
    </row>
    <row r="465" spans="1:30" ht="45" x14ac:dyDescent="0.25">
      <c r="A465" s="5" t="s">
        <v>1538</v>
      </c>
      <c r="B465" s="1" t="s">
        <v>7237</v>
      </c>
      <c r="C465" s="1" t="s">
        <v>12</v>
      </c>
      <c r="G465" s="1" t="s">
        <v>10</v>
      </c>
      <c r="J465" s="3">
        <v>45414.470439814817</v>
      </c>
      <c r="K465" s="2" t="s">
        <v>7238</v>
      </c>
      <c r="L465" s="1">
        <v>1</v>
      </c>
      <c r="M465" s="1">
        <v>1</v>
      </c>
      <c r="N465">
        <v>0</v>
      </c>
      <c r="O465" s="3">
        <f>IF(
    R465="Ancien",
    _xlfn.XLOOKUP(
        Final_Sans_VGE[[#This Row],[ppn_z]],
        tbl_Historique_Final[ppn_z],
        tbl_Historique_Final[Horodatage],
        ""
    ),
    Horodatage!$A$2
)</f>
        <v>46233.670796365739</v>
      </c>
      <c r="P465" s="1" t="str">
        <f>IFERROR(IF(tbl_Historique_Final[[#This Row],[Commentaires]]&lt;&gt;"",tbl_Historique_Final[[#This Row],[Commentaires]],""),"")</f>
        <v/>
      </c>
      <c r="X465" s="8" t="str">
        <f>IF(Final_Sans_VGE[[#This Row],[ppn_z]]="","",IFERROR(
   IF(_xlfn.XLOOKUP(Final_Sans_VGE[[#This Row],[ppn_z]],tbl_Historique_Final[ppn_z],tbl_Historique_Final[date_modif])=Final_Sans_VGE[[#This Row],[date_modif]],
      "Ancien",
      "Modifié"),
   "Nouveau"))</f>
        <v>Ancien</v>
      </c>
      <c r="AC465"/>
      <c r="AD465"/>
    </row>
    <row r="466" spans="1:30" ht="30" x14ac:dyDescent="0.25">
      <c r="A466" s="5" t="s">
        <v>1541</v>
      </c>
      <c r="B466" s="1" t="s">
        <v>7239</v>
      </c>
      <c r="C466" s="1" t="s">
        <v>12</v>
      </c>
      <c r="G466" s="1" t="s">
        <v>10</v>
      </c>
      <c r="J466" s="3">
        <v>45450.435914351852</v>
      </c>
      <c r="K466" s="2" t="s">
        <v>7240</v>
      </c>
      <c r="L466" s="1">
        <v>1</v>
      </c>
      <c r="M466" s="1">
        <v>1</v>
      </c>
      <c r="N466">
        <v>0</v>
      </c>
      <c r="O466" s="3">
        <f>IF(
    R466="Ancien",
    _xlfn.XLOOKUP(
        Final_Sans_VGE[[#This Row],[ppn_z]],
        tbl_Historique_Final[ppn_z],
        tbl_Historique_Final[Horodatage],
        ""
    ),
    Horodatage!$A$2
)</f>
        <v>46233.670796365739</v>
      </c>
      <c r="P466" s="1" t="str">
        <f>IFERROR(IF(tbl_Historique_Final[[#This Row],[Commentaires]]&lt;&gt;"",tbl_Historique_Final[[#This Row],[Commentaires]],""),"")</f>
        <v/>
      </c>
      <c r="X466" s="8" t="str">
        <f>IF(Final_Sans_VGE[[#This Row],[ppn_z]]="","",IFERROR(
   IF(_xlfn.XLOOKUP(Final_Sans_VGE[[#This Row],[ppn_z]],tbl_Historique_Final[ppn_z],tbl_Historique_Final[date_modif])=Final_Sans_VGE[[#This Row],[date_modif]],
      "Ancien",
      "Modifié"),
   "Nouveau"))</f>
        <v>Ancien</v>
      </c>
      <c r="AC466"/>
      <c r="AD466"/>
    </row>
    <row r="467" spans="1:30" ht="30" x14ac:dyDescent="0.25">
      <c r="A467" s="5" t="s">
        <v>1544</v>
      </c>
      <c r="B467" s="1" t="s">
        <v>7241</v>
      </c>
      <c r="C467" s="1" t="s">
        <v>40</v>
      </c>
      <c r="G467" s="1" t="s">
        <v>10</v>
      </c>
      <c r="J467" s="3">
        <v>45414.816435185188</v>
      </c>
      <c r="K467" s="2" t="s">
        <v>7242</v>
      </c>
      <c r="L467" s="1">
        <v>3</v>
      </c>
      <c r="M467" s="1">
        <v>3</v>
      </c>
      <c r="N467">
        <v>0</v>
      </c>
      <c r="O467" s="3">
        <f>IF(
    R467="Ancien",
    _xlfn.XLOOKUP(
        Final_Sans_VGE[[#This Row],[ppn_z]],
        tbl_Historique_Final[ppn_z],
        tbl_Historique_Final[Horodatage],
        ""
    ),
    Horodatage!$A$2
)</f>
        <v>46233.670796365739</v>
      </c>
      <c r="P467" s="1" t="str">
        <f>IFERROR(IF(tbl_Historique_Final[[#This Row],[Commentaires]]&lt;&gt;"",tbl_Historique_Final[[#This Row],[Commentaires]],""),"")</f>
        <v/>
      </c>
      <c r="X467" s="8" t="str">
        <f>IF(Final_Sans_VGE[[#This Row],[ppn_z]]="","",IFERROR(
   IF(_xlfn.XLOOKUP(Final_Sans_VGE[[#This Row],[ppn_z]],tbl_Historique_Final[ppn_z],tbl_Historique_Final[date_modif])=Final_Sans_VGE[[#This Row],[date_modif]],
      "Ancien",
      "Modifié"),
   "Nouveau"))</f>
        <v>Ancien</v>
      </c>
      <c r="AC467"/>
      <c r="AD467"/>
    </row>
    <row r="468" spans="1:30" x14ac:dyDescent="0.25">
      <c r="A468" s="5" t="s">
        <v>1547</v>
      </c>
      <c r="B468" s="1" t="s">
        <v>7243</v>
      </c>
      <c r="G468" s="1" t="s">
        <v>11</v>
      </c>
      <c r="J468" s="3">
        <v>45471.423182870371</v>
      </c>
      <c r="K468" s="2" t="s">
        <v>7244</v>
      </c>
      <c r="L468" s="1">
        <v>2</v>
      </c>
      <c r="M468" s="1">
        <v>8</v>
      </c>
      <c r="N468">
        <v>6</v>
      </c>
      <c r="O468" s="3">
        <f>IF(
    R468="Ancien",
    _xlfn.XLOOKUP(
        Final_Sans_VGE[[#This Row],[ppn_z]],
        tbl_Historique_Final[ppn_z],
        tbl_Historique_Final[Horodatage],
        ""
    ),
    Horodatage!$A$2
)</f>
        <v>46233.670796365739</v>
      </c>
      <c r="P468" s="1" t="str">
        <f>IFERROR(IF(tbl_Historique_Final[[#This Row],[Commentaires]]&lt;&gt;"",tbl_Historique_Final[[#This Row],[Commentaires]],""),"")</f>
        <v/>
      </c>
      <c r="X468" s="8" t="str">
        <f>IF(Final_Sans_VGE[[#This Row],[ppn_z]]="","",IFERROR(
   IF(_xlfn.XLOOKUP(Final_Sans_VGE[[#This Row],[ppn_z]],tbl_Historique_Final[ppn_z],tbl_Historique_Final[date_modif])=Final_Sans_VGE[[#This Row],[date_modif]],
      "Ancien",
      "Modifié"),
   "Nouveau"))</f>
        <v>Ancien</v>
      </c>
      <c r="AC468"/>
      <c r="AD468"/>
    </row>
    <row r="469" spans="1:30" ht="30" x14ac:dyDescent="0.25">
      <c r="A469" s="5" t="s">
        <v>1550</v>
      </c>
      <c r="B469" s="1" t="s">
        <v>7245</v>
      </c>
      <c r="C469" s="1" t="s">
        <v>57</v>
      </c>
      <c r="E469" s="1" t="s">
        <v>117</v>
      </c>
      <c r="G469" s="1" t="s">
        <v>11</v>
      </c>
      <c r="J469" s="3">
        <v>45560.489872685182</v>
      </c>
      <c r="K469" s="2" t="s">
        <v>7246</v>
      </c>
      <c r="L469" s="1">
        <v>1</v>
      </c>
      <c r="M469" s="1">
        <v>1</v>
      </c>
      <c r="N469">
        <v>0</v>
      </c>
      <c r="O469" s="3">
        <f>IF(
    R469="Ancien",
    _xlfn.XLOOKUP(
        Final_Sans_VGE[[#This Row],[ppn_z]],
        tbl_Historique_Final[ppn_z],
        tbl_Historique_Final[Horodatage],
        ""
    ),
    Horodatage!$A$2
)</f>
        <v>46233.670796365739</v>
      </c>
      <c r="P469" s="1" t="str">
        <f>IFERROR(IF(tbl_Historique_Final[[#This Row],[Commentaires]]&lt;&gt;"",tbl_Historique_Final[[#This Row],[Commentaires]],""),"")</f>
        <v/>
      </c>
      <c r="X469" s="8" t="str">
        <f>IF(Final_Sans_VGE[[#This Row],[ppn_z]]="","",IFERROR(
   IF(_xlfn.XLOOKUP(Final_Sans_VGE[[#This Row],[ppn_z]],tbl_Historique_Final[ppn_z],tbl_Historique_Final[date_modif])=Final_Sans_VGE[[#This Row],[date_modif]],
      "Ancien",
      "Modifié"),
   "Nouveau"))</f>
        <v>Ancien</v>
      </c>
      <c r="AC469"/>
      <c r="AD469"/>
    </row>
    <row r="470" spans="1:30" x14ac:dyDescent="0.25">
      <c r="A470" s="5" t="s">
        <v>1553</v>
      </c>
      <c r="B470" s="1" t="s">
        <v>7247</v>
      </c>
      <c r="C470" s="1" t="s">
        <v>12</v>
      </c>
      <c r="G470" s="1" t="s">
        <v>10</v>
      </c>
      <c r="J470" s="3">
        <v>45414.849756944444</v>
      </c>
      <c r="K470" s="2" t="s">
        <v>7248</v>
      </c>
      <c r="L470" s="1">
        <v>2</v>
      </c>
      <c r="M470" s="1">
        <v>2</v>
      </c>
      <c r="N470">
        <v>0</v>
      </c>
      <c r="O470" s="3">
        <f>IF(
    R470="Ancien",
    _xlfn.XLOOKUP(
        Final_Sans_VGE[[#This Row],[ppn_z]],
        tbl_Historique_Final[ppn_z],
        tbl_Historique_Final[Horodatage],
        ""
    ),
    Horodatage!$A$2
)</f>
        <v>46233.670796365739</v>
      </c>
      <c r="P470" s="1" t="str">
        <f>IFERROR(IF(tbl_Historique_Final[[#This Row],[Commentaires]]&lt;&gt;"",tbl_Historique_Final[[#This Row],[Commentaires]],""),"")</f>
        <v/>
      </c>
      <c r="X470" s="8" t="str">
        <f>IF(Final_Sans_VGE[[#This Row],[ppn_z]]="","",IFERROR(
   IF(_xlfn.XLOOKUP(Final_Sans_VGE[[#This Row],[ppn_z]],tbl_Historique_Final[ppn_z],tbl_Historique_Final[date_modif])=Final_Sans_VGE[[#This Row],[date_modif]],
      "Ancien",
      "Modifié"),
   "Nouveau"))</f>
        <v>Ancien</v>
      </c>
      <c r="AC470"/>
      <c r="AD470"/>
    </row>
    <row r="471" spans="1:30" ht="30" x14ac:dyDescent="0.25">
      <c r="A471" s="5" t="s">
        <v>1556</v>
      </c>
      <c r="B471" s="1" t="s">
        <v>7249</v>
      </c>
      <c r="C471" s="1" t="s">
        <v>6355</v>
      </c>
      <c r="G471" s="1" t="s">
        <v>11</v>
      </c>
      <c r="J471" s="3">
        <v>45415.332962962966</v>
      </c>
      <c r="K471" s="2" t="s">
        <v>7250</v>
      </c>
      <c r="L471" s="1">
        <v>1</v>
      </c>
      <c r="M471" s="1">
        <v>1</v>
      </c>
      <c r="N471">
        <v>0</v>
      </c>
      <c r="O471" s="3">
        <f>IF(
    R471="Ancien",
    _xlfn.XLOOKUP(
        Final_Sans_VGE[[#This Row],[ppn_z]],
        tbl_Historique_Final[ppn_z],
        tbl_Historique_Final[Horodatage],
        ""
    ),
    Horodatage!$A$2
)</f>
        <v>46233.670796365739</v>
      </c>
      <c r="P471" s="1" t="str">
        <f>IFERROR(IF(tbl_Historique_Final[[#This Row],[Commentaires]]&lt;&gt;"",tbl_Historique_Final[[#This Row],[Commentaires]],""),"")</f>
        <v/>
      </c>
      <c r="X471" s="8" t="str">
        <f>IF(Final_Sans_VGE[[#This Row],[ppn_z]]="","",IFERROR(
   IF(_xlfn.XLOOKUP(Final_Sans_VGE[[#This Row],[ppn_z]],tbl_Historique_Final[ppn_z],tbl_Historique_Final[date_modif])=Final_Sans_VGE[[#This Row],[date_modif]],
      "Ancien",
      "Modifié"),
   "Nouveau"))</f>
        <v>Ancien</v>
      </c>
      <c r="AC471"/>
      <c r="AD471"/>
    </row>
    <row r="472" spans="1:30" x14ac:dyDescent="0.25">
      <c r="A472" s="5" t="s">
        <v>1559</v>
      </c>
      <c r="B472" s="1" t="s">
        <v>7251</v>
      </c>
      <c r="C472" s="1" t="s">
        <v>71</v>
      </c>
      <c r="G472" s="1" t="s">
        <v>10</v>
      </c>
      <c r="J472" s="3">
        <v>45414.858113425929</v>
      </c>
      <c r="K472" s="2" t="s">
        <v>7252</v>
      </c>
      <c r="L472" s="1">
        <v>1</v>
      </c>
      <c r="M472" s="1">
        <v>1</v>
      </c>
      <c r="N472">
        <v>0</v>
      </c>
      <c r="O472" s="3">
        <f>IF(
    R472="Ancien",
    _xlfn.XLOOKUP(
        Final_Sans_VGE[[#This Row],[ppn_z]],
        tbl_Historique_Final[ppn_z],
        tbl_Historique_Final[Horodatage],
        ""
    ),
    Horodatage!$A$2
)</f>
        <v>46233.670796365739</v>
      </c>
      <c r="P472" s="1" t="str">
        <f>IFERROR(IF(tbl_Historique_Final[[#This Row],[Commentaires]]&lt;&gt;"",tbl_Historique_Final[[#This Row],[Commentaires]],""),"")</f>
        <v/>
      </c>
      <c r="X472" s="8" t="str">
        <f>IF(Final_Sans_VGE[[#This Row],[ppn_z]]="","",IFERROR(
   IF(_xlfn.XLOOKUP(Final_Sans_VGE[[#This Row],[ppn_z]],tbl_Historique_Final[ppn_z],tbl_Historique_Final[date_modif])=Final_Sans_VGE[[#This Row],[date_modif]],
      "Ancien",
      "Modifié"),
   "Nouveau"))</f>
        <v>Ancien</v>
      </c>
      <c r="AC472"/>
      <c r="AD472"/>
    </row>
    <row r="473" spans="1:30" ht="30" x14ac:dyDescent="0.25">
      <c r="A473" s="5" t="s">
        <v>1562</v>
      </c>
      <c r="B473" s="1" t="s">
        <v>7253</v>
      </c>
      <c r="C473" s="1" t="s">
        <v>12</v>
      </c>
      <c r="G473" s="1" t="s">
        <v>11</v>
      </c>
      <c r="J473" s="3">
        <v>45560.597129629627</v>
      </c>
      <c r="K473" s="2" t="s">
        <v>7254</v>
      </c>
      <c r="L473" s="1">
        <v>1</v>
      </c>
      <c r="M473" s="1">
        <v>1</v>
      </c>
      <c r="N473">
        <v>0</v>
      </c>
      <c r="O473" s="3">
        <f>IF(
    R473="Ancien",
    _xlfn.XLOOKUP(
        Final_Sans_VGE[[#This Row],[ppn_z]],
        tbl_Historique_Final[ppn_z],
        tbl_Historique_Final[Horodatage],
        ""
    ),
    Horodatage!$A$2
)</f>
        <v>46233.670796365739</v>
      </c>
      <c r="P473" s="1" t="str">
        <f>IFERROR(IF(tbl_Historique_Final[[#This Row],[Commentaires]]&lt;&gt;"",tbl_Historique_Final[[#This Row],[Commentaires]],""),"")</f>
        <v/>
      </c>
      <c r="X473" s="8" t="str">
        <f>IF(Final_Sans_VGE[[#This Row],[ppn_z]]="","",IFERROR(
   IF(_xlfn.XLOOKUP(Final_Sans_VGE[[#This Row],[ppn_z]],tbl_Historique_Final[ppn_z],tbl_Historique_Final[date_modif])=Final_Sans_VGE[[#This Row],[date_modif]],
      "Ancien",
      "Modifié"),
   "Nouveau"))</f>
        <v>Ancien</v>
      </c>
      <c r="AC473"/>
      <c r="AD473"/>
    </row>
    <row r="474" spans="1:30" ht="30" x14ac:dyDescent="0.25">
      <c r="A474" s="5" t="s">
        <v>1565</v>
      </c>
      <c r="B474" s="1" t="s">
        <v>7255</v>
      </c>
      <c r="C474" s="1" t="s">
        <v>12</v>
      </c>
      <c r="G474" s="1" t="s">
        <v>11</v>
      </c>
      <c r="J474" s="3">
        <v>45414.877337962964</v>
      </c>
      <c r="K474" s="2" t="s">
        <v>7256</v>
      </c>
      <c r="L474" s="1">
        <v>1</v>
      </c>
      <c r="M474" s="1">
        <v>1</v>
      </c>
      <c r="N474">
        <v>0</v>
      </c>
      <c r="O474" s="3">
        <f>IF(
    R474="Ancien",
    _xlfn.XLOOKUP(
        Final_Sans_VGE[[#This Row],[ppn_z]],
        tbl_Historique_Final[ppn_z],
        tbl_Historique_Final[Horodatage],
        ""
    ),
    Horodatage!$A$2
)</f>
        <v>46233.670796365739</v>
      </c>
      <c r="P474" s="1" t="str">
        <f>IFERROR(IF(tbl_Historique_Final[[#This Row],[Commentaires]]&lt;&gt;"",tbl_Historique_Final[[#This Row],[Commentaires]],""),"")</f>
        <v/>
      </c>
      <c r="X474" s="8" t="str">
        <f>IF(Final_Sans_VGE[[#This Row],[ppn_z]]="","",IFERROR(
   IF(_xlfn.XLOOKUP(Final_Sans_VGE[[#This Row],[ppn_z]],tbl_Historique_Final[ppn_z],tbl_Historique_Final[date_modif])=Final_Sans_VGE[[#This Row],[date_modif]],
      "Ancien",
      "Modifié"),
   "Nouveau"))</f>
        <v>Ancien</v>
      </c>
      <c r="AC474"/>
      <c r="AD474"/>
    </row>
    <row r="475" spans="1:30" ht="30" x14ac:dyDescent="0.25">
      <c r="A475" s="5" t="s">
        <v>1568</v>
      </c>
      <c r="B475" s="1" t="s">
        <v>7257</v>
      </c>
      <c r="C475" s="1" t="s">
        <v>6355</v>
      </c>
      <c r="J475" s="3">
        <v>45520.531087962961</v>
      </c>
      <c r="K475" s="2" t="s">
        <v>7258</v>
      </c>
      <c r="L475" s="1">
        <v>4</v>
      </c>
      <c r="M475" s="1">
        <v>5</v>
      </c>
      <c r="N475">
        <v>1</v>
      </c>
      <c r="O475" s="3">
        <f>IF(
    R475="Ancien",
    _xlfn.XLOOKUP(
        Final_Sans_VGE[[#This Row],[ppn_z]],
        tbl_Historique_Final[ppn_z],
        tbl_Historique_Final[Horodatage],
        ""
    ),
    Horodatage!$A$2
)</f>
        <v>46233.670796365739</v>
      </c>
      <c r="P475" s="1" t="str">
        <f>IFERROR(IF(tbl_Historique_Final[[#This Row],[Commentaires]]&lt;&gt;"",tbl_Historique_Final[[#This Row],[Commentaires]],""),"")</f>
        <v/>
      </c>
      <c r="X475" s="8" t="str">
        <f>IF(Final_Sans_VGE[[#This Row],[ppn_z]]="","",IFERROR(
   IF(_xlfn.XLOOKUP(Final_Sans_VGE[[#This Row],[ppn_z]],tbl_Historique_Final[ppn_z],tbl_Historique_Final[date_modif])=Final_Sans_VGE[[#This Row],[date_modif]],
      "Ancien",
      "Modifié"),
   "Nouveau"))</f>
        <v>Ancien</v>
      </c>
      <c r="AC475"/>
      <c r="AD475"/>
    </row>
    <row r="476" spans="1:30" x14ac:dyDescent="0.25">
      <c r="A476" s="5" t="s">
        <v>1571</v>
      </c>
      <c r="B476" s="1" t="s">
        <v>7259</v>
      </c>
      <c r="C476" s="1" t="s">
        <v>12</v>
      </c>
      <c r="G476" s="1" t="s">
        <v>10</v>
      </c>
      <c r="J476" s="3">
        <v>45414.903958333336</v>
      </c>
      <c r="L476" s="1">
        <v>5</v>
      </c>
      <c r="M476" s="1">
        <v>5</v>
      </c>
      <c r="N476">
        <v>0</v>
      </c>
      <c r="O476" s="3">
        <f>IF(
    R476="Ancien",
    _xlfn.XLOOKUP(
        Final_Sans_VGE[[#This Row],[ppn_z]],
        tbl_Historique_Final[ppn_z],
        tbl_Historique_Final[Horodatage],
        ""
    ),
    Horodatage!$A$2
)</f>
        <v>46233.670796365739</v>
      </c>
      <c r="P476" s="1" t="str">
        <f>IFERROR(IF(tbl_Historique_Final[[#This Row],[Commentaires]]&lt;&gt;"",tbl_Historique_Final[[#This Row],[Commentaires]],""),"")</f>
        <v/>
      </c>
      <c r="X476" s="8" t="str">
        <f>IF(Final_Sans_VGE[[#This Row],[ppn_z]]="","",IFERROR(
   IF(_xlfn.XLOOKUP(Final_Sans_VGE[[#This Row],[ppn_z]],tbl_Historique_Final[ppn_z],tbl_Historique_Final[date_modif])=Final_Sans_VGE[[#This Row],[date_modif]],
      "Ancien",
      "Modifié"),
   "Nouveau"))</f>
        <v>Ancien</v>
      </c>
      <c r="AC476"/>
      <c r="AD476"/>
    </row>
    <row r="477" spans="1:30" x14ac:dyDescent="0.25">
      <c r="A477" s="5" t="s">
        <v>1577</v>
      </c>
      <c r="B477" s="1" t="s">
        <v>7260</v>
      </c>
      <c r="C477" s="1" t="s">
        <v>6816</v>
      </c>
      <c r="J477" s="3">
        <v>45397.628796296296</v>
      </c>
      <c r="L477" s="1">
        <v>8</v>
      </c>
      <c r="M477" s="1">
        <v>8</v>
      </c>
      <c r="N477">
        <v>0</v>
      </c>
      <c r="O477" s="3">
        <f>IF(
    R477="Ancien",
    _xlfn.XLOOKUP(
        Final_Sans_VGE[[#This Row],[ppn_z]],
        tbl_Historique_Final[ppn_z],
        tbl_Historique_Final[Horodatage],
        ""
    ),
    Horodatage!$A$2
)</f>
        <v>46233.670796365739</v>
      </c>
      <c r="P477" s="1" t="str">
        <f>IFERROR(IF(tbl_Historique_Final[[#This Row],[Commentaires]]&lt;&gt;"",tbl_Historique_Final[[#This Row],[Commentaires]],""),"")</f>
        <v/>
      </c>
      <c r="X477" s="8" t="str">
        <f>IF(Final_Sans_VGE[[#This Row],[ppn_z]]="","",IFERROR(
   IF(_xlfn.XLOOKUP(Final_Sans_VGE[[#This Row],[ppn_z]],tbl_Historique_Final[ppn_z],tbl_Historique_Final[date_modif])=Final_Sans_VGE[[#This Row],[date_modif]],
      "Ancien",
      "Modifié"),
   "Nouveau"))</f>
        <v>Ancien</v>
      </c>
      <c r="AC477"/>
      <c r="AD477"/>
    </row>
    <row r="478" spans="1:30" ht="75" x14ac:dyDescent="0.25">
      <c r="A478" s="5" t="s">
        <v>1583</v>
      </c>
      <c r="B478" s="1" t="s">
        <v>7261</v>
      </c>
      <c r="C478" s="1" t="s">
        <v>12</v>
      </c>
      <c r="G478" s="1" t="s">
        <v>11</v>
      </c>
      <c r="J478" s="3">
        <v>45414.944189814814</v>
      </c>
      <c r="K478" s="2" t="s">
        <v>7262</v>
      </c>
      <c r="L478" s="1">
        <v>1</v>
      </c>
      <c r="M478" s="1">
        <v>1</v>
      </c>
      <c r="N478">
        <v>0</v>
      </c>
      <c r="O478" s="3">
        <f>IF(
    R478="Ancien",
    _xlfn.XLOOKUP(
        Final_Sans_VGE[[#This Row],[ppn_z]],
        tbl_Historique_Final[ppn_z],
        tbl_Historique_Final[Horodatage],
        ""
    ),
    Horodatage!$A$2
)</f>
        <v>46233.670796365739</v>
      </c>
      <c r="P478" s="1" t="str">
        <f>IFERROR(IF(tbl_Historique_Final[[#This Row],[Commentaires]]&lt;&gt;"",tbl_Historique_Final[[#This Row],[Commentaires]],""),"")</f>
        <v/>
      </c>
      <c r="X478" s="8" t="str">
        <f>IF(Final_Sans_VGE[[#This Row],[ppn_z]]="","",IFERROR(
   IF(_xlfn.XLOOKUP(Final_Sans_VGE[[#This Row],[ppn_z]],tbl_Historique_Final[ppn_z],tbl_Historique_Final[date_modif])=Final_Sans_VGE[[#This Row],[date_modif]],
      "Ancien",
      "Modifié"),
   "Nouveau"))</f>
        <v>Ancien</v>
      </c>
      <c r="AC478"/>
      <c r="AD478"/>
    </row>
    <row r="479" spans="1:30" x14ac:dyDescent="0.25">
      <c r="A479" s="5" t="s">
        <v>1586</v>
      </c>
      <c r="B479" s="1" t="s">
        <v>7263</v>
      </c>
      <c r="C479" s="1" t="s">
        <v>12</v>
      </c>
      <c r="G479" s="1" t="s">
        <v>10</v>
      </c>
      <c r="J479" s="3">
        <v>45415.490081018521</v>
      </c>
      <c r="K479" s="2" t="s">
        <v>6438</v>
      </c>
      <c r="L479" s="1">
        <v>1</v>
      </c>
      <c r="M479" s="1">
        <v>1</v>
      </c>
      <c r="N479">
        <v>0</v>
      </c>
      <c r="O479" s="3">
        <f>IF(
    R479="Ancien",
    _xlfn.XLOOKUP(
        Final_Sans_VGE[[#This Row],[ppn_z]],
        tbl_Historique_Final[ppn_z],
        tbl_Historique_Final[Horodatage],
        ""
    ),
    Horodatage!$A$2
)</f>
        <v>46233.670796365739</v>
      </c>
      <c r="P479" s="1" t="str">
        <f>IFERROR(IF(tbl_Historique_Final[[#This Row],[Commentaires]]&lt;&gt;"",tbl_Historique_Final[[#This Row],[Commentaires]],""),"")</f>
        <v/>
      </c>
      <c r="X479" s="8" t="str">
        <f>IF(Final_Sans_VGE[[#This Row],[ppn_z]]="","",IFERROR(
   IF(_xlfn.XLOOKUP(Final_Sans_VGE[[#This Row],[ppn_z]],tbl_Historique_Final[ppn_z],tbl_Historique_Final[date_modif])=Final_Sans_VGE[[#This Row],[date_modif]],
      "Ancien",
      "Modifié"),
   "Nouveau"))</f>
        <v>Ancien</v>
      </c>
      <c r="AC479"/>
      <c r="AD479"/>
    </row>
    <row r="480" spans="1:30" x14ac:dyDescent="0.25">
      <c r="A480" s="5" t="s">
        <v>1589</v>
      </c>
      <c r="B480" s="1" t="s">
        <v>7264</v>
      </c>
      <c r="C480" s="1" t="s">
        <v>108</v>
      </c>
      <c r="J480" s="3">
        <v>45397.629074074073</v>
      </c>
      <c r="L480" s="1">
        <v>1</v>
      </c>
      <c r="M480" s="1">
        <v>1</v>
      </c>
      <c r="N480">
        <v>0</v>
      </c>
      <c r="O480" s="3">
        <f>IF(
    R480="Ancien",
    _xlfn.XLOOKUP(
        Final_Sans_VGE[[#This Row],[ppn_z]],
        tbl_Historique_Final[ppn_z],
        tbl_Historique_Final[Horodatage],
        ""
    ),
    Horodatage!$A$2
)</f>
        <v>46233.670796365739</v>
      </c>
      <c r="P480" s="1" t="str">
        <f>IFERROR(IF(tbl_Historique_Final[[#This Row],[Commentaires]]&lt;&gt;"",tbl_Historique_Final[[#This Row],[Commentaires]],""),"")</f>
        <v/>
      </c>
      <c r="X480" s="8" t="str">
        <f>IF(Final_Sans_VGE[[#This Row],[ppn_z]]="","",IFERROR(
   IF(_xlfn.XLOOKUP(Final_Sans_VGE[[#This Row],[ppn_z]],tbl_Historique_Final[ppn_z],tbl_Historique_Final[date_modif])=Final_Sans_VGE[[#This Row],[date_modif]],
      "Ancien",
      "Modifié"),
   "Nouveau"))</f>
        <v>Ancien</v>
      </c>
      <c r="AC480"/>
      <c r="AD480"/>
    </row>
    <row r="481" spans="1:30" x14ac:dyDescent="0.25">
      <c r="A481" s="5" t="s">
        <v>1592</v>
      </c>
      <c r="B481" s="1" t="s">
        <v>7265</v>
      </c>
      <c r="C481" s="1" t="s">
        <v>6482</v>
      </c>
      <c r="G481" s="1" t="s">
        <v>10</v>
      </c>
      <c r="J481" s="3">
        <v>45574.617696759262</v>
      </c>
      <c r="K481" s="2" t="s">
        <v>7266</v>
      </c>
      <c r="L481" s="1">
        <v>4</v>
      </c>
      <c r="M481" s="1">
        <v>4</v>
      </c>
      <c r="N481">
        <v>0</v>
      </c>
      <c r="O481" s="3">
        <f>IF(
    R481="Ancien",
    _xlfn.XLOOKUP(
        Final_Sans_VGE[[#This Row],[ppn_z]],
        tbl_Historique_Final[ppn_z],
        tbl_Historique_Final[Horodatage],
        ""
    ),
    Horodatage!$A$2
)</f>
        <v>46233.670796365739</v>
      </c>
      <c r="P481" s="1" t="str">
        <f>IFERROR(IF(tbl_Historique_Final[[#This Row],[Commentaires]]&lt;&gt;"",tbl_Historique_Final[[#This Row],[Commentaires]],""),"")</f>
        <v/>
      </c>
      <c r="X481" s="8" t="str">
        <f>IF(Final_Sans_VGE[[#This Row],[ppn_z]]="","",IFERROR(
   IF(_xlfn.XLOOKUP(Final_Sans_VGE[[#This Row],[ppn_z]],tbl_Historique_Final[ppn_z],tbl_Historique_Final[date_modif])=Final_Sans_VGE[[#This Row],[date_modif]],
      "Ancien",
      "Modifié"),
   "Nouveau"))</f>
        <v>Ancien</v>
      </c>
      <c r="AC481"/>
      <c r="AD481"/>
    </row>
    <row r="482" spans="1:30" x14ac:dyDescent="0.25">
      <c r="A482" s="5" t="s">
        <v>1595</v>
      </c>
      <c r="B482" s="1" t="s">
        <v>7267</v>
      </c>
      <c r="C482" s="1" t="s">
        <v>69</v>
      </c>
      <c r="G482" s="1" t="s">
        <v>10</v>
      </c>
      <c r="J482" s="3">
        <v>45414.945636574077</v>
      </c>
      <c r="K482" s="2" t="s">
        <v>7268</v>
      </c>
      <c r="L482" s="1">
        <v>7</v>
      </c>
      <c r="M482" s="1">
        <v>9</v>
      </c>
      <c r="N482">
        <v>2</v>
      </c>
      <c r="O482" s="3">
        <f>IF(
    R482="Ancien",
    _xlfn.XLOOKUP(
        Final_Sans_VGE[[#This Row],[ppn_z]],
        tbl_Historique_Final[ppn_z],
        tbl_Historique_Final[Horodatage],
        ""
    ),
    Horodatage!$A$2
)</f>
        <v>46233.670796365739</v>
      </c>
      <c r="P482" s="1" t="str">
        <f>IFERROR(IF(tbl_Historique_Final[[#This Row],[Commentaires]]&lt;&gt;"",tbl_Historique_Final[[#This Row],[Commentaires]],""),"")</f>
        <v/>
      </c>
      <c r="X482" s="8" t="str">
        <f>IF(Final_Sans_VGE[[#This Row],[ppn_z]]="","",IFERROR(
   IF(_xlfn.XLOOKUP(Final_Sans_VGE[[#This Row],[ppn_z]],tbl_Historique_Final[ppn_z],tbl_Historique_Final[date_modif])=Final_Sans_VGE[[#This Row],[date_modif]],
      "Ancien",
      "Modifié"),
   "Nouveau"))</f>
        <v>Ancien</v>
      </c>
      <c r="AC482"/>
      <c r="AD482"/>
    </row>
    <row r="483" spans="1:30" x14ac:dyDescent="0.25">
      <c r="A483" s="5" t="s">
        <v>1598</v>
      </c>
      <c r="B483" s="1" t="s">
        <v>7269</v>
      </c>
      <c r="C483" s="1" t="s">
        <v>12</v>
      </c>
      <c r="G483" s="1" t="s">
        <v>11</v>
      </c>
      <c r="J483" s="3">
        <v>45485.475451388891</v>
      </c>
      <c r="K483" s="2" t="s">
        <v>7270</v>
      </c>
      <c r="L483" s="1">
        <v>1</v>
      </c>
      <c r="M483" s="1">
        <v>1</v>
      </c>
      <c r="N483">
        <v>0</v>
      </c>
      <c r="O483" s="3">
        <f>IF(
    R483="Ancien",
    _xlfn.XLOOKUP(
        Final_Sans_VGE[[#This Row],[ppn_z]],
        tbl_Historique_Final[ppn_z],
        tbl_Historique_Final[Horodatage],
        ""
    ),
    Horodatage!$A$2
)</f>
        <v>46233.670796365739</v>
      </c>
      <c r="P483" s="1" t="str">
        <f>IFERROR(IF(tbl_Historique_Final[[#This Row],[Commentaires]]&lt;&gt;"",tbl_Historique_Final[[#This Row],[Commentaires]],""),"")</f>
        <v/>
      </c>
      <c r="X483" s="8" t="str">
        <f>IF(Final_Sans_VGE[[#This Row],[ppn_z]]="","",IFERROR(
   IF(_xlfn.XLOOKUP(Final_Sans_VGE[[#This Row],[ppn_z]],tbl_Historique_Final[ppn_z],tbl_Historique_Final[date_modif])=Final_Sans_VGE[[#This Row],[date_modif]],
      "Ancien",
      "Modifié"),
   "Nouveau"))</f>
        <v>Ancien</v>
      </c>
      <c r="AC483"/>
      <c r="AD483"/>
    </row>
    <row r="484" spans="1:30" x14ac:dyDescent="0.25">
      <c r="A484" s="5" t="s">
        <v>1601</v>
      </c>
      <c r="B484" s="1" t="s">
        <v>7271</v>
      </c>
      <c r="C484" s="1" t="s">
        <v>7272</v>
      </c>
      <c r="J484" s="3">
        <v>45397.629988425928</v>
      </c>
      <c r="L484" s="1">
        <v>2</v>
      </c>
      <c r="M484" s="1">
        <v>2</v>
      </c>
      <c r="N484">
        <v>0</v>
      </c>
      <c r="O484" s="3">
        <f>IF(
    R484="Ancien",
    _xlfn.XLOOKUP(
        Final_Sans_VGE[[#This Row],[ppn_z]],
        tbl_Historique_Final[ppn_z],
        tbl_Historique_Final[Horodatage],
        ""
    ),
    Horodatage!$A$2
)</f>
        <v>46233.670796365739</v>
      </c>
      <c r="P484" s="1" t="str">
        <f>IFERROR(IF(tbl_Historique_Final[[#This Row],[Commentaires]]&lt;&gt;"",tbl_Historique_Final[[#This Row],[Commentaires]],""),"")</f>
        <v/>
      </c>
      <c r="X484" s="8" t="str">
        <f>IF(Final_Sans_VGE[[#This Row],[ppn_z]]="","",IFERROR(
   IF(_xlfn.XLOOKUP(Final_Sans_VGE[[#This Row],[ppn_z]],tbl_Historique_Final[ppn_z],tbl_Historique_Final[date_modif])=Final_Sans_VGE[[#This Row],[date_modif]],
      "Ancien",
      "Modifié"),
   "Nouveau"))</f>
        <v>Ancien</v>
      </c>
      <c r="AC484"/>
      <c r="AD484"/>
    </row>
    <row r="485" spans="1:30" x14ac:dyDescent="0.25">
      <c r="A485" s="5" t="s">
        <v>1604</v>
      </c>
      <c r="B485" s="1" t="s">
        <v>7273</v>
      </c>
      <c r="C485" s="1" t="s">
        <v>75</v>
      </c>
      <c r="G485" s="1" t="s">
        <v>10</v>
      </c>
      <c r="J485" s="3">
        <v>45551.694976851853</v>
      </c>
      <c r="K485" s="2" t="s">
        <v>7274</v>
      </c>
      <c r="L485" s="1">
        <v>1</v>
      </c>
      <c r="M485" s="1">
        <v>1</v>
      </c>
      <c r="N485">
        <v>0</v>
      </c>
      <c r="O485" s="3">
        <f>IF(
    R485="Ancien",
    _xlfn.XLOOKUP(
        Final_Sans_VGE[[#This Row],[ppn_z]],
        tbl_Historique_Final[ppn_z],
        tbl_Historique_Final[Horodatage],
        ""
    ),
    Horodatage!$A$2
)</f>
        <v>46233.670796365739</v>
      </c>
      <c r="P485" s="1" t="str">
        <f>IFERROR(IF(tbl_Historique_Final[[#This Row],[Commentaires]]&lt;&gt;"",tbl_Historique_Final[[#This Row],[Commentaires]],""),"")</f>
        <v/>
      </c>
      <c r="X485" s="8" t="str">
        <f>IF(Final_Sans_VGE[[#This Row],[ppn_z]]="","",IFERROR(
   IF(_xlfn.XLOOKUP(Final_Sans_VGE[[#This Row],[ppn_z]],tbl_Historique_Final[ppn_z],tbl_Historique_Final[date_modif])=Final_Sans_VGE[[#This Row],[date_modif]],
      "Ancien",
      "Modifié"),
   "Nouveau"))</f>
        <v>Ancien</v>
      </c>
      <c r="AC485"/>
      <c r="AD485"/>
    </row>
    <row r="486" spans="1:30" x14ac:dyDescent="0.25">
      <c r="A486" s="5" t="s">
        <v>1607</v>
      </c>
      <c r="B486" s="1" t="s">
        <v>7275</v>
      </c>
      <c r="C486" s="1" t="s">
        <v>92</v>
      </c>
      <c r="G486" s="1" t="s">
        <v>10</v>
      </c>
      <c r="J486" s="3">
        <v>45484.435717592591</v>
      </c>
      <c r="K486" s="2" t="s">
        <v>7276</v>
      </c>
      <c r="L486" s="1">
        <v>1</v>
      </c>
      <c r="M486" s="1">
        <v>2</v>
      </c>
      <c r="N486">
        <v>1</v>
      </c>
      <c r="O486" s="3">
        <f>IF(
    R486="Ancien",
    _xlfn.XLOOKUP(
        Final_Sans_VGE[[#This Row],[ppn_z]],
        tbl_Historique_Final[ppn_z],
        tbl_Historique_Final[Horodatage],
        ""
    ),
    Horodatage!$A$2
)</f>
        <v>46233.670796365739</v>
      </c>
      <c r="P486" s="1" t="str">
        <f>IFERROR(IF(tbl_Historique_Final[[#This Row],[Commentaires]]&lt;&gt;"",tbl_Historique_Final[[#This Row],[Commentaires]],""),"")</f>
        <v/>
      </c>
      <c r="X486" s="8" t="str">
        <f>IF(Final_Sans_VGE[[#This Row],[ppn_z]]="","",IFERROR(
   IF(_xlfn.XLOOKUP(Final_Sans_VGE[[#This Row],[ppn_z]],tbl_Historique_Final[ppn_z],tbl_Historique_Final[date_modif])=Final_Sans_VGE[[#This Row],[date_modif]],
      "Ancien",
      "Modifié"),
   "Nouveau"))</f>
        <v>Ancien</v>
      </c>
      <c r="AC486"/>
      <c r="AD486"/>
    </row>
    <row r="487" spans="1:30" x14ac:dyDescent="0.25">
      <c r="A487" s="5" t="s">
        <v>1610</v>
      </c>
      <c r="B487" s="1" t="s">
        <v>7277</v>
      </c>
      <c r="C487" s="1" t="s">
        <v>56</v>
      </c>
      <c r="G487" s="1" t="s">
        <v>10</v>
      </c>
      <c r="J487" s="3">
        <v>45415.430266203701</v>
      </c>
      <c r="K487" s="2" t="s">
        <v>7278</v>
      </c>
      <c r="L487" s="1">
        <v>3</v>
      </c>
      <c r="M487" s="1">
        <v>4</v>
      </c>
      <c r="N487">
        <v>1</v>
      </c>
      <c r="O487" s="3">
        <f>IF(
    R487="Ancien",
    _xlfn.XLOOKUP(
        Final_Sans_VGE[[#This Row],[ppn_z]],
        tbl_Historique_Final[ppn_z],
        tbl_Historique_Final[Horodatage],
        ""
    ),
    Horodatage!$A$2
)</f>
        <v>46233.670796365739</v>
      </c>
      <c r="P487" s="1" t="str">
        <f>IFERROR(IF(tbl_Historique_Final[[#This Row],[Commentaires]]&lt;&gt;"",tbl_Historique_Final[[#This Row],[Commentaires]],""),"")</f>
        <v/>
      </c>
      <c r="X487" s="8" t="str">
        <f>IF(Final_Sans_VGE[[#This Row],[ppn_z]]="","",IFERROR(
   IF(_xlfn.XLOOKUP(Final_Sans_VGE[[#This Row],[ppn_z]],tbl_Historique_Final[ppn_z],tbl_Historique_Final[date_modif])=Final_Sans_VGE[[#This Row],[date_modif]],
      "Ancien",
      "Modifié"),
   "Nouveau"))</f>
        <v>Ancien</v>
      </c>
      <c r="AC487"/>
      <c r="AD487"/>
    </row>
    <row r="488" spans="1:30" x14ac:dyDescent="0.25">
      <c r="A488" s="5" t="s">
        <v>1613</v>
      </c>
      <c r="B488" s="1" t="s">
        <v>7279</v>
      </c>
      <c r="C488" s="1" t="s">
        <v>12</v>
      </c>
      <c r="G488" s="1" t="s">
        <v>11</v>
      </c>
      <c r="J488" s="3">
        <v>45415.149745370371</v>
      </c>
      <c r="K488" s="2" t="s">
        <v>7280</v>
      </c>
      <c r="L488" s="1">
        <v>5</v>
      </c>
      <c r="M488" s="1">
        <v>5</v>
      </c>
      <c r="N488">
        <v>0</v>
      </c>
      <c r="O488" s="3">
        <f>IF(
    R488="Ancien",
    _xlfn.XLOOKUP(
        Final_Sans_VGE[[#This Row],[ppn_z]],
        tbl_Historique_Final[ppn_z],
        tbl_Historique_Final[Horodatage],
        ""
    ),
    Horodatage!$A$2
)</f>
        <v>46233.670796365739</v>
      </c>
      <c r="P488" s="1" t="str">
        <f>IFERROR(IF(tbl_Historique_Final[[#This Row],[Commentaires]]&lt;&gt;"",tbl_Historique_Final[[#This Row],[Commentaires]],""),"")</f>
        <v/>
      </c>
      <c r="X488" s="8" t="str">
        <f>IF(Final_Sans_VGE[[#This Row],[ppn_z]]="","",IFERROR(
   IF(_xlfn.XLOOKUP(Final_Sans_VGE[[#This Row],[ppn_z]],tbl_Historique_Final[ppn_z],tbl_Historique_Final[date_modif])=Final_Sans_VGE[[#This Row],[date_modif]],
      "Ancien",
      "Modifié"),
   "Nouveau"))</f>
        <v>Ancien</v>
      </c>
      <c r="AC488"/>
      <c r="AD488"/>
    </row>
    <row r="489" spans="1:30" x14ac:dyDescent="0.25">
      <c r="A489" s="5" t="s">
        <v>1616</v>
      </c>
      <c r="B489" s="1" t="s">
        <v>7281</v>
      </c>
      <c r="C489" s="1" t="s">
        <v>56</v>
      </c>
      <c r="G489" s="1" t="s">
        <v>11</v>
      </c>
      <c r="J489" s="3">
        <v>45485.435428240744</v>
      </c>
      <c r="K489" s="2" t="s">
        <v>150</v>
      </c>
      <c r="L489" s="1">
        <v>22</v>
      </c>
      <c r="M489" s="1">
        <v>33</v>
      </c>
      <c r="N489">
        <v>11</v>
      </c>
      <c r="O489" s="3">
        <f>IF(
    R489="Ancien",
    _xlfn.XLOOKUP(
        Final_Sans_VGE[[#This Row],[ppn_z]],
        tbl_Historique_Final[ppn_z],
        tbl_Historique_Final[Horodatage],
        ""
    ),
    Horodatage!$A$2
)</f>
        <v>46233.670796365739</v>
      </c>
      <c r="P489" s="1" t="str">
        <f>IFERROR(IF(tbl_Historique_Final[[#This Row],[Commentaires]]&lt;&gt;"",tbl_Historique_Final[[#This Row],[Commentaires]],""),"")</f>
        <v/>
      </c>
      <c r="X489" s="8" t="str">
        <f>IF(Final_Sans_VGE[[#This Row],[ppn_z]]="","",IFERROR(
   IF(_xlfn.XLOOKUP(Final_Sans_VGE[[#This Row],[ppn_z]],tbl_Historique_Final[ppn_z],tbl_Historique_Final[date_modif])=Final_Sans_VGE[[#This Row],[date_modif]],
      "Ancien",
      "Modifié"),
   "Nouveau"))</f>
        <v>Ancien</v>
      </c>
      <c r="AC489"/>
      <c r="AD489"/>
    </row>
    <row r="490" spans="1:30" x14ac:dyDescent="0.25">
      <c r="A490" s="5" t="s">
        <v>1619</v>
      </c>
      <c r="B490" s="1" t="s">
        <v>7282</v>
      </c>
      <c r="C490" s="1" t="s">
        <v>12</v>
      </c>
      <c r="G490" s="1" t="s">
        <v>11</v>
      </c>
      <c r="J490" s="3">
        <v>45415.181701388887</v>
      </c>
      <c r="K490" s="2" t="s">
        <v>7283</v>
      </c>
      <c r="L490" s="1">
        <v>10</v>
      </c>
      <c r="M490" s="1">
        <v>11</v>
      </c>
      <c r="N490">
        <v>1</v>
      </c>
      <c r="O490" s="3">
        <f>IF(
    R490="Ancien",
    _xlfn.XLOOKUP(
        Final_Sans_VGE[[#This Row],[ppn_z]],
        tbl_Historique_Final[ppn_z],
        tbl_Historique_Final[Horodatage],
        ""
    ),
    Horodatage!$A$2
)</f>
        <v>46233.670796365739</v>
      </c>
      <c r="P490" s="1" t="str">
        <f>IFERROR(IF(tbl_Historique_Final[[#This Row],[Commentaires]]&lt;&gt;"",tbl_Historique_Final[[#This Row],[Commentaires]],""),"")</f>
        <v/>
      </c>
      <c r="X490" s="8" t="str">
        <f>IF(Final_Sans_VGE[[#This Row],[ppn_z]]="","",IFERROR(
   IF(_xlfn.XLOOKUP(Final_Sans_VGE[[#This Row],[ppn_z]],tbl_Historique_Final[ppn_z],tbl_Historique_Final[date_modif])=Final_Sans_VGE[[#This Row],[date_modif]],
      "Ancien",
      "Modifié"),
   "Nouveau"))</f>
        <v>Ancien</v>
      </c>
      <c r="AC490"/>
      <c r="AD490"/>
    </row>
    <row r="491" spans="1:30" ht="30" x14ac:dyDescent="0.25">
      <c r="A491" s="5" t="s">
        <v>1622</v>
      </c>
      <c r="B491" s="1" t="s">
        <v>7284</v>
      </c>
      <c r="C491" s="1" t="s">
        <v>6482</v>
      </c>
      <c r="G491" s="1" t="s">
        <v>11</v>
      </c>
      <c r="J491" s="3">
        <v>45517.425578703704</v>
      </c>
      <c r="K491" s="2" t="s">
        <v>7285</v>
      </c>
      <c r="L491" s="1">
        <v>1</v>
      </c>
      <c r="M491" s="1">
        <v>1</v>
      </c>
      <c r="N491">
        <v>0</v>
      </c>
      <c r="O491" s="3">
        <f>IF(
    R491="Ancien",
    _xlfn.XLOOKUP(
        Final_Sans_VGE[[#This Row],[ppn_z]],
        tbl_Historique_Final[ppn_z],
        tbl_Historique_Final[Horodatage],
        ""
    ),
    Horodatage!$A$2
)</f>
        <v>46233.670796365739</v>
      </c>
      <c r="P491" s="1" t="str">
        <f>IFERROR(IF(tbl_Historique_Final[[#This Row],[Commentaires]]&lt;&gt;"",tbl_Historique_Final[[#This Row],[Commentaires]],""),"")</f>
        <v/>
      </c>
      <c r="X491" s="8" t="str">
        <f>IF(Final_Sans_VGE[[#This Row],[ppn_z]]="","",IFERROR(
   IF(_xlfn.XLOOKUP(Final_Sans_VGE[[#This Row],[ppn_z]],tbl_Historique_Final[ppn_z],tbl_Historique_Final[date_modif])=Final_Sans_VGE[[#This Row],[date_modif]],
      "Ancien",
      "Modifié"),
   "Nouveau"))</f>
        <v>Ancien</v>
      </c>
      <c r="AC491"/>
      <c r="AD491"/>
    </row>
    <row r="492" spans="1:30" x14ac:dyDescent="0.25">
      <c r="A492" s="5" t="s">
        <v>1625</v>
      </c>
      <c r="B492" s="1" t="s">
        <v>7286</v>
      </c>
      <c r="C492" s="1" t="s">
        <v>90</v>
      </c>
      <c r="G492" s="1" t="s">
        <v>10</v>
      </c>
      <c r="J492" s="3">
        <v>45415.334317129629</v>
      </c>
      <c r="K492" s="2" t="s">
        <v>7287</v>
      </c>
      <c r="L492" s="1">
        <v>7</v>
      </c>
      <c r="M492" s="1">
        <v>8</v>
      </c>
      <c r="N492">
        <v>1</v>
      </c>
      <c r="O492" s="3">
        <f>IF(
    R492="Ancien",
    _xlfn.XLOOKUP(
        Final_Sans_VGE[[#This Row],[ppn_z]],
        tbl_Historique_Final[ppn_z],
        tbl_Historique_Final[Horodatage],
        ""
    ),
    Horodatage!$A$2
)</f>
        <v>46233.670796365739</v>
      </c>
      <c r="P492" s="1" t="str">
        <f>IFERROR(IF(tbl_Historique_Final[[#This Row],[Commentaires]]&lt;&gt;"",tbl_Historique_Final[[#This Row],[Commentaires]],""),"")</f>
        <v/>
      </c>
      <c r="X492" s="8" t="str">
        <f>IF(Final_Sans_VGE[[#This Row],[ppn_z]]="","",IFERROR(
   IF(_xlfn.XLOOKUP(Final_Sans_VGE[[#This Row],[ppn_z]],tbl_Historique_Final[ppn_z],tbl_Historique_Final[date_modif])=Final_Sans_VGE[[#This Row],[date_modif]],
      "Ancien",
      "Modifié"),
   "Nouveau"))</f>
        <v>Ancien</v>
      </c>
      <c r="AC492"/>
      <c r="AD492"/>
    </row>
    <row r="493" spans="1:30" x14ac:dyDescent="0.25">
      <c r="A493" s="5" t="s">
        <v>1628</v>
      </c>
      <c r="B493" s="1" t="s">
        <v>7288</v>
      </c>
      <c r="C493" s="1" t="s">
        <v>6406</v>
      </c>
      <c r="G493" s="1" t="s">
        <v>10</v>
      </c>
      <c r="J493" s="3">
        <v>45416.690046296295</v>
      </c>
      <c r="K493" s="2" t="s">
        <v>7289</v>
      </c>
      <c r="L493" s="1">
        <v>0</v>
      </c>
      <c r="M493" s="1">
        <v>1</v>
      </c>
      <c r="N493">
        <v>1</v>
      </c>
      <c r="O493" s="3">
        <f>IF(
    R493="Ancien",
    _xlfn.XLOOKUP(
        Final_Sans_VGE[[#This Row],[ppn_z]],
        tbl_Historique_Final[ppn_z],
        tbl_Historique_Final[Horodatage],
        ""
    ),
    Horodatage!$A$2
)</f>
        <v>46233.670796365739</v>
      </c>
      <c r="P493" s="1" t="str">
        <f>IFERROR(IF(tbl_Historique_Final[[#This Row],[Commentaires]]&lt;&gt;"",tbl_Historique_Final[[#This Row],[Commentaires]],""),"")</f>
        <v/>
      </c>
      <c r="X493" s="8" t="str">
        <f>IF(Final_Sans_VGE[[#This Row],[ppn_z]]="","",IFERROR(
   IF(_xlfn.XLOOKUP(Final_Sans_VGE[[#This Row],[ppn_z]],tbl_Historique_Final[ppn_z],tbl_Historique_Final[date_modif])=Final_Sans_VGE[[#This Row],[date_modif]],
      "Ancien",
      "Modifié"),
   "Nouveau"))</f>
        <v>Ancien</v>
      </c>
      <c r="AC493"/>
      <c r="AD493"/>
    </row>
    <row r="494" spans="1:30" x14ac:dyDescent="0.25">
      <c r="A494" s="5" t="s">
        <v>1631</v>
      </c>
      <c r="B494" s="1" t="s">
        <v>7290</v>
      </c>
      <c r="C494" s="1" t="s">
        <v>7291</v>
      </c>
      <c r="G494" s="1" t="s">
        <v>11</v>
      </c>
      <c r="J494" s="3">
        <v>45415.363634259258</v>
      </c>
      <c r="L494" s="1">
        <v>1</v>
      </c>
      <c r="M494" s="1">
        <v>1</v>
      </c>
      <c r="N494">
        <v>0</v>
      </c>
      <c r="O494" s="3">
        <f>IF(
    R494="Ancien",
    _xlfn.XLOOKUP(
        Final_Sans_VGE[[#This Row],[ppn_z]],
        tbl_Historique_Final[ppn_z],
        tbl_Historique_Final[Horodatage],
        ""
    ),
    Horodatage!$A$2
)</f>
        <v>46233.670796365739</v>
      </c>
      <c r="P494" s="1" t="str">
        <f>IFERROR(IF(tbl_Historique_Final[[#This Row],[Commentaires]]&lt;&gt;"",tbl_Historique_Final[[#This Row],[Commentaires]],""),"")</f>
        <v/>
      </c>
      <c r="X494" s="8" t="str">
        <f>IF(Final_Sans_VGE[[#This Row],[ppn_z]]="","",IFERROR(
   IF(_xlfn.XLOOKUP(Final_Sans_VGE[[#This Row],[ppn_z]],tbl_Historique_Final[ppn_z],tbl_Historique_Final[date_modif])=Final_Sans_VGE[[#This Row],[date_modif]],
      "Ancien",
      "Modifié"),
   "Nouveau"))</f>
        <v>Ancien</v>
      </c>
      <c r="AC494"/>
      <c r="AD494"/>
    </row>
    <row r="495" spans="1:30" x14ac:dyDescent="0.25">
      <c r="A495" s="5" t="s">
        <v>1637</v>
      </c>
      <c r="B495" s="1" t="s">
        <v>7292</v>
      </c>
      <c r="C495" s="1" t="s">
        <v>12</v>
      </c>
      <c r="G495" s="1" t="s">
        <v>10</v>
      </c>
      <c r="J495" s="3">
        <v>45547.58861111111</v>
      </c>
      <c r="K495" s="2" t="s">
        <v>7293</v>
      </c>
      <c r="L495" s="1">
        <v>1</v>
      </c>
      <c r="M495" s="1">
        <v>1</v>
      </c>
      <c r="N495">
        <v>0</v>
      </c>
      <c r="O495" s="3">
        <f>IF(
    R495="Ancien",
    _xlfn.XLOOKUP(
        Final_Sans_VGE[[#This Row],[ppn_z]],
        tbl_Historique_Final[ppn_z],
        tbl_Historique_Final[Horodatage],
        ""
    ),
    Horodatage!$A$2
)</f>
        <v>46233.670796365739</v>
      </c>
      <c r="P495" s="1" t="str">
        <f>IFERROR(IF(tbl_Historique_Final[[#This Row],[Commentaires]]&lt;&gt;"",tbl_Historique_Final[[#This Row],[Commentaires]],""),"")</f>
        <v/>
      </c>
      <c r="X495" s="8" t="str">
        <f>IF(Final_Sans_VGE[[#This Row],[ppn_z]]="","",IFERROR(
   IF(_xlfn.XLOOKUP(Final_Sans_VGE[[#This Row],[ppn_z]],tbl_Historique_Final[ppn_z],tbl_Historique_Final[date_modif])=Final_Sans_VGE[[#This Row],[date_modif]],
      "Ancien",
      "Modifié"),
   "Nouveau"))</f>
        <v>Ancien</v>
      </c>
      <c r="AC495"/>
      <c r="AD495"/>
    </row>
    <row r="496" spans="1:30" x14ac:dyDescent="0.25">
      <c r="A496" s="5" t="s">
        <v>1640</v>
      </c>
      <c r="B496" s="1" t="s">
        <v>7294</v>
      </c>
      <c r="C496" s="1" t="s">
        <v>12</v>
      </c>
      <c r="G496" s="1" t="s">
        <v>11</v>
      </c>
      <c r="J496" s="3">
        <v>45548.406851851854</v>
      </c>
      <c r="K496" s="2" t="s">
        <v>7295</v>
      </c>
      <c r="L496" s="1">
        <v>1</v>
      </c>
      <c r="M496" s="1">
        <v>1</v>
      </c>
      <c r="N496">
        <v>0</v>
      </c>
      <c r="O496" s="3">
        <f>IF(
    R496="Ancien",
    _xlfn.XLOOKUP(
        Final_Sans_VGE[[#This Row],[ppn_z]],
        tbl_Historique_Final[ppn_z],
        tbl_Historique_Final[Horodatage],
        ""
    ),
    Horodatage!$A$2
)</f>
        <v>46233.670796365739</v>
      </c>
      <c r="P496" s="1" t="str">
        <f>IFERROR(IF(tbl_Historique_Final[[#This Row],[Commentaires]]&lt;&gt;"",tbl_Historique_Final[[#This Row],[Commentaires]],""),"")</f>
        <v/>
      </c>
      <c r="X496" s="8" t="str">
        <f>IF(Final_Sans_VGE[[#This Row],[ppn_z]]="","",IFERROR(
   IF(_xlfn.XLOOKUP(Final_Sans_VGE[[#This Row],[ppn_z]],tbl_Historique_Final[ppn_z],tbl_Historique_Final[date_modif])=Final_Sans_VGE[[#This Row],[date_modif]],
      "Ancien",
      "Modifié"),
   "Nouveau"))</f>
        <v>Ancien</v>
      </c>
      <c r="AC496"/>
      <c r="AD496"/>
    </row>
    <row r="497" spans="1:30" x14ac:dyDescent="0.25">
      <c r="A497" s="5" t="s">
        <v>1643</v>
      </c>
      <c r="B497" s="1" t="s">
        <v>7296</v>
      </c>
      <c r="C497" s="1" t="s">
        <v>77</v>
      </c>
      <c r="G497" s="1" t="s">
        <v>10</v>
      </c>
      <c r="J497" s="3">
        <v>45517.561157407406</v>
      </c>
      <c r="K497" s="2" t="s">
        <v>7297</v>
      </c>
      <c r="L497" s="1">
        <v>3</v>
      </c>
      <c r="M497" s="1">
        <v>3</v>
      </c>
      <c r="N497">
        <v>0</v>
      </c>
      <c r="O497" s="3">
        <f>IF(
    R497="Ancien",
    _xlfn.XLOOKUP(
        Final_Sans_VGE[[#This Row],[ppn_z]],
        tbl_Historique_Final[ppn_z],
        tbl_Historique_Final[Horodatage],
        ""
    ),
    Horodatage!$A$2
)</f>
        <v>46233.670796365739</v>
      </c>
      <c r="P497" s="1" t="str">
        <f>IFERROR(IF(tbl_Historique_Final[[#This Row],[Commentaires]]&lt;&gt;"",tbl_Historique_Final[[#This Row],[Commentaires]],""),"")</f>
        <v/>
      </c>
      <c r="X497" s="8" t="str">
        <f>IF(Final_Sans_VGE[[#This Row],[ppn_z]]="","",IFERROR(
   IF(_xlfn.XLOOKUP(Final_Sans_VGE[[#This Row],[ppn_z]],tbl_Historique_Final[ppn_z],tbl_Historique_Final[date_modif])=Final_Sans_VGE[[#This Row],[date_modif]],
      "Ancien",
      "Modifié"),
   "Nouveau"))</f>
        <v>Ancien</v>
      </c>
      <c r="AC497"/>
      <c r="AD497"/>
    </row>
    <row r="498" spans="1:30" ht="30" x14ac:dyDescent="0.25">
      <c r="A498" s="5" t="s">
        <v>1646</v>
      </c>
      <c r="B498" s="1" t="s">
        <v>7298</v>
      </c>
      <c r="C498" s="1" t="s">
        <v>12</v>
      </c>
      <c r="G498" s="1" t="s">
        <v>10</v>
      </c>
      <c r="J498" s="3">
        <v>45415.513622685183</v>
      </c>
      <c r="K498" s="2" t="s">
        <v>7299</v>
      </c>
      <c r="L498" s="1">
        <v>1</v>
      </c>
      <c r="M498" s="1">
        <v>1</v>
      </c>
      <c r="N498">
        <v>0</v>
      </c>
      <c r="O498" s="3">
        <f>IF(
    R498="Ancien",
    _xlfn.XLOOKUP(
        Final_Sans_VGE[[#This Row],[ppn_z]],
        tbl_Historique_Final[ppn_z],
        tbl_Historique_Final[Horodatage],
        ""
    ),
    Horodatage!$A$2
)</f>
        <v>46233.670796365739</v>
      </c>
      <c r="P498" s="1" t="str">
        <f>IFERROR(IF(tbl_Historique_Final[[#This Row],[Commentaires]]&lt;&gt;"",tbl_Historique_Final[[#This Row],[Commentaires]],""),"")</f>
        <v/>
      </c>
      <c r="X498" s="8" t="str">
        <f>IF(Final_Sans_VGE[[#This Row],[ppn_z]]="","",IFERROR(
   IF(_xlfn.XLOOKUP(Final_Sans_VGE[[#This Row],[ppn_z]],tbl_Historique_Final[ppn_z],tbl_Historique_Final[date_modif])=Final_Sans_VGE[[#This Row],[date_modif]],
      "Ancien",
      "Modifié"),
   "Nouveau"))</f>
        <v>Ancien</v>
      </c>
      <c r="AC498"/>
      <c r="AD498"/>
    </row>
    <row r="499" spans="1:30" x14ac:dyDescent="0.25">
      <c r="A499" s="5" t="s">
        <v>1649</v>
      </c>
      <c r="B499" s="1" t="s">
        <v>7300</v>
      </c>
      <c r="C499" s="1" t="s">
        <v>12</v>
      </c>
      <c r="G499" s="1" t="s">
        <v>11</v>
      </c>
      <c r="J499" s="3">
        <v>45447.405717592592</v>
      </c>
      <c r="K499" s="2" t="s">
        <v>7301</v>
      </c>
      <c r="L499" s="1">
        <v>1</v>
      </c>
      <c r="M499" s="1">
        <v>1</v>
      </c>
      <c r="N499">
        <v>0</v>
      </c>
      <c r="O499" s="3">
        <f>IF(
    R499="Ancien",
    _xlfn.XLOOKUP(
        Final_Sans_VGE[[#This Row],[ppn_z]],
        tbl_Historique_Final[ppn_z],
        tbl_Historique_Final[Horodatage],
        ""
    ),
    Horodatage!$A$2
)</f>
        <v>46233.670796365739</v>
      </c>
      <c r="P499" s="1" t="str">
        <f>IFERROR(IF(tbl_Historique_Final[[#This Row],[Commentaires]]&lt;&gt;"",tbl_Historique_Final[[#This Row],[Commentaires]],""),"")</f>
        <v/>
      </c>
      <c r="X499" s="8" t="str">
        <f>IF(Final_Sans_VGE[[#This Row],[ppn_z]]="","",IFERROR(
   IF(_xlfn.XLOOKUP(Final_Sans_VGE[[#This Row],[ppn_z]],tbl_Historique_Final[ppn_z],tbl_Historique_Final[date_modif])=Final_Sans_VGE[[#This Row],[date_modif]],
      "Ancien",
      "Modifié"),
   "Nouveau"))</f>
        <v>Ancien</v>
      </c>
      <c r="AC499"/>
      <c r="AD499"/>
    </row>
    <row r="500" spans="1:30" x14ac:dyDescent="0.25">
      <c r="A500" s="5" t="s">
        <v>1652</v>
      </c>
      <c r="B500" s="1" t="s">
        <v>7302</v>
      </c>
      <c r="C500" s="1" t="s">
        <v>12</v>
      </c>
      <c r="G500" s="1" t="s">
        <v>11</v>
      </c>
      <c r="J500" s="3">
        <v>45415.558333333334</v>
      </c>
      <c r="L500" s="1">
        <v>1</v>
      </c>
      <c r="M500" s="1">
        <v>1</v>
      </c>
      <c r="N500">
        <v>0</v>
      </c>
      <c r="O500" s="3">
        <f>IF(
    R500="Ancien",
    _xlfn.XLOOKUP(
        Final_Sans_VGE[[#This Row],[ppn_z]],
        tbl_Historique_Final[ppn_z],
        tbl_Historique_Final[Horodatage],
        ""
    ),
    Horodatage!$A$2
)</f>
        <v>46233.670796365739</v>
      </c>
      <c r="P500" s="1" t="str">
        <f>IFERROR(IF(tbl_Historique_Final[[#This Row],[Commentaires]]&lt;&gt;"",tbl_Historique_Final[[#This Row],[Commentaires]],""),"")</f>
        <v/>
      </c>
      <c r="X500" s="8" t="str">
        <f>IF(Final_Sans_VGE[[#This Row],[ppn_z]]="","",IFERROR(
   IF(_xlfn.XLOOKUP(Final_Sans_VGE[[#This Row],[ppn_z]],tbl_Historique_Final[ppn_z],tbl_Historique_Final[date_modif])=Final_Sans_VGE[[#This Row],[date_modif]],
      "Ancien",
      "Modifié"),
   "Nouveau"))</f>
        <v>Ancien</v>
      </c>
      <c r="AC500"/>
      <c r="AD500"/>
    </row>
    <row r="501" spans="1:30" x14ac:dyDescent="0.25">
      <c r="A501" s="5" t="s">
        <v>1655</v>
      </c>
      <c r="B501" s="1" t="s">
        <v>7303</v>
      </c>
      <c r="C501" s="1" t="s">
        <v>12</v>
      </c>
      <c r="G501" s="1" t="s">
        <v>10</v>
      </c>
      <c r="J501" s="3">
        <v>45415.576180555552</v>
      </c>
      <c r="K501" s="2" t="s">
        <v>6438</v>
      </c>
      <c r="L501" s="1">
        <v>4</v>
      </c>
      <c r="M501" s="1">
        <v>5</v>
      </c>
      <c r="N501">
        <v>1</v>
      </c>
      <c r="O501" s="3">
        <f>IF(
    R501="Ancien",
    _xlfn.XLOOKUP(
        Final_Sans_VGE[[#This Row],[ppn_z]],
        tbl_Historique_Final[ppn_z],
        tbl_Historique_Final[Horodatage],
        ""
    ),
    Horodatage!$A$2
)</f>
        <v>46233.670796365739</v>
      </c>
      <c r="P501" s="1" t="str">
        <f>IFERROR(IF(tbl_Historique_Final[[#This Row],[Commentaires]]&lt;&gt;"",tbl_Historique_Final[[#This Row],[Commentaires]],""),"")</f>
        <v/>
      </c>
      <c r="X501" s="8" t="str">
        <f>IF(Final_Sans_VGE[[#This Row],[ppn_z]]="","",IFERROR(
   IF(_xlfn.XLOOKUP(Final_Sans_VGE[[#This Row],[ppn_z]],tbl_Historique_Final[ppn_z],tbl_Historique_Final[date_modif])=Final_Sans_VGE[[#This Row],[date_modif]],
      "Ancien",
      "Modifié"),
   "Nouveau"))</f>
        <v>Ancien</v>
      </c>
      <c r="AC501"/>
      <c r="AD501"/>
    </row>
    <row r="502" spans="1:30" x14ac:dyDescent="0.25">
      <c r="A502" s="5" t="s">
        <v>1658</v>
      </c>
      <c r="B502" s="1" t="s">
        <v>7304</v>
      </c>
      <c r="C502" s="1" t="s">
        <v>12</v>
      </c>
      <c r="G502" s="1" t="s">
        <v>10</v>
      </c>
      <c r="J502" s="3">
        <v>45415.573391203703</v>
      </c>
      <c r="K502" s="2" t="s">
        <v>7305</v>
      </c>
      <c r="L502" s="1">
        <v>2</v>
      </c>
      <c r="M502" s="1">
        <v>2</v>
      </c>
      <c r="N502">
        <v>0</v>
      </c>
      <c r="O502" s="3">
        <f>IF(
    R502="Ancien",
    _xlfn.XLOOKUP(
        Final_Sans_VGE[[#This Row],[ppn_z]],
        tbl_Historique_Final[ppn_z],
        tbl_Historique_Final[Horodatage],
        ""
    ),
    Horodatage!$A$2
)</f>
        <v>46233.670796365739</v>
      </c>
      <c r="P502" s="1" t="str">
        <f>IFERROR(IF(tbl_Historique_Final[[#This Row],[Commentaires]]&lt;&gt;"",tbl_Historique_Final[[#This Row],[Commentaires]],""),"")</f>
        <v/>
      </c>
      <c r="X502" s="8" t="str">
        <f>IF(Final_Sans_VGE[[#This Row],[ppn_z]]="","",IFERROR(
   IF(_xlfn.XLOOKUP(Final_Sans_VGE[[#This Row],[ppn_z]],tbl_Historique_Final[ppn_z],tbl_Historique_Final[date_modif])=Final_Sans_VGE[[#This Row],[date_modif]],
      "Ancien",
      "Modifié"),
   "Nouveau"))</f>
        <v>Ancien</v>
      </c>
      <c r="AC502"/>
      <c r="AD502"/>
    </row>
    <row r="503" spans="1:30" x14ac:dyDescent="0.25">
      <c r="A503" s="5" t="s">
        <v>1661</v>
      </c>
      <c r="B503" s="1" t="s">
        <v>7306</v>
      </c>
      <c r="C503" s="1" t="s">
        <v>81</v>
      </c>
      <c r="G503" s="1" t="s">
        <v>10</v>
      </c>
      <c r="J503" s="3">
        <v>45575.448298611111</v>
      </c>
      <c r="K503" s="2" t="s">
        <v>7307</v>
      </c>
      <c r="L503" s="1">
        <v>1</v>
      </c>
      <c r="M503" s="1">
        <v>1</v>
      </c>
      <c r="N503">
        <v>0</v>
      </c>
      <c r="O503" s="3">
        <f>IF(
    R503="Ancien",
    _xlfn.XLOOKUP(
        Final_Sans_VGE[[#This Row],[ppn_z]],
        tbl_Historique_Final[ppn_z],
        tbl_Historique_Final[Horodatage],
        ""
    ),
    Horodatage!$A$2
)</f>
        <v>46233.670796365739</v>
      </c>
      <c r="P503" s="1" t="str">
        <f>IFERROR(IF(tbl_Historique_Final[[#This Row],[Commentaires]]&lt;&gt;"",tbl_Historique_Final[[#This Row],[Commentaires]],""),"")</f>
        <v/>
      </c>
      <c r="X503" s="8" t="str">
        <f>IF(Final_Sans_VGE[[#This Row],[ppn_z]]="","",IFERROR(
   IF(_xlfn.XLOOKUP(Final_Sans_VGE[[#This Row],[ppn_z]],tbl_Historique_Final[ppn_z],tbl_Historique_Final[date_modif])=Final_Sans_VGE[[#This Row],[date_modif]],
      "Ancien",
      "Modifié"),
   "Nouveau"))</f>
        <v>Ancien</v>
      </c>
      <c r="AC503"/>
      <c r="AD503"/>
    </row>
    <row r="504" spans="1:30" ht="30" x14ac:dyDescent="0.25">
      <c r="A504" s="5" t="s">
        <v>1664</v>
      </c>
      <c r="B504" s="1" t="s">
        <v>7308</v>
      </c>
      <c r="C504" s="1" t="s">
        <v>12</v>
      </c>
      <c r="G504" s="1" t="s">
        <v>11</v>
      </c>
      <c r="J504" s="3">
        <v>45416.474791666667</v>
      </c>
      <c r="K504" s="2" t="s">
        <v>7309</v>
      </c>
      <c r="L504" s="1">
        <v>5</v>
      </c>
      <c r="M504" s="1">
        <v>10</v>
      </c>
      <c r="N504">
        <v>5</v>
      </c>
      <c r="O504" s="3">
        <f>IF(
    R504="Ancien",
    _xlfn.XLOOKUP(
        Final_Sans_VGE[[#This Row],[ppn_z]],
        tbl_Historique_Final[ppn_z],
        tbl_Historique_Final[Horodatage],
        ""
    ),
    Horodatage!$A$2
)</f>
        <v>46233.670796365739</v>
      </c>
      <c r="P504" s="1" t="str">
        <f>IFERROR(IF(tbl_Historique_Final[[#This Row],[Commentaires]]&lt;&gt;"",tbl_Historique_Final[[#This Row],[Commentaires]],""),"")</f>
        <v/>
      </c>
      <c r="X504" s="8" t="str">
        <f>IF(Final_Sans_VGE[[#This Row],[ppn_z]]="","",IFERROR(
   IF(_xlfn.XLOOKUP(Final_Sans_VGE[[#This Row],[ppn_z]],tbl_Historique_Final[ppn_z],tbl_Historique_Final[date_modif])=Final_Sans_VGE[[#This Row],[date_modif]],
      "Ancien",
      "Modifié"),
   "Nouveau"))</f>
        <v>Ancien</v>
      </c>
      <c r="AC504"/>
      <c r="AD504"/>
    </row>
    <row r="505" spans="1:30" ht="30" x14ac:dyDescent="0.25">
      <c r="A505" s="5" t="s">
        <v>1667</v>
      </c>
      <c r="B505" s="1" t="s">
        <v>7310</v>
      </c>
      <c r="C505" s="1" t="s">
        <v>59</v>
      </c>
      <c r="G505" s="1" t="s">
        <v>11</v>
      </c>
      <c r="J505" s="3">
        <v>45415.603888888887</v>
      </c>
      <c r="K505" s="2" t="s">
        <v>7311</v>
      </c>
      <c r="L505" s="1">
        <v>1</v>
      </c>
      <c r="M505" s="1">
        <v>1</v>
      </c>
      <c r="N505">
        <v>0</v>
      </c>
      <c r="O505" s="3">
        <f>IF(
    R505="Ancien",
    _xlfn.XLOOKUP(
        Final_Sans_VGE[[#This Row],[ppn_z]],
        tbl_Historique_Final[ppn_z],
        tbl_Historique_Final[Horodatage],
        ""
    ),
    Horodatage!$A$2
)</f>
        <v>46233.670796365739</v>
      </c>
      <c r="P505" s="1" t="str">
        <f>IFERROR(IF(tbl_Historique_Final[[#This Row],[Commentaires]]&lt;&gt;"",tbl_Historique_Final[[#This Row],[Commentaires]],""),"")</f>
        <v/>
      </c>
      <c r="X505" s="8" t="str">
        <f>IF(Final_Sans_VGE[[#This Row],[ppn_z]]="","",IFERROR(
   IF(_xlfn.XLOOKUP(Final_Sans_VGE[[#This Row],[ppn_z]],tbl_Historique_Final[ppn_z],tbl_Historique_Final[date_modif])=Final_Sans_VGE[[#This Row],[date_modif]],
      "Ancien",
      "Modifié"),
   "Nouveau"))</f>
        <v>Ancien</v>
      </c>
      <c r="AC505"/>
      <c r="AD505"/>
    </row>
    <row r="506" spans="1:30" x14ac:dyDescent="0.25">
      <c r="A506" s="5" t="s">
        <v>1670</v>
      </c>
      <c r="B506" s="1" t="s">
        <v>7312</v>
      </c>
      <c r="C506" s="1" t="s">
        <v>12</v>
      </c>
      <c r="G506" s="1" t="s">
        <v>11</v>
      </c>
      <c r="J506" s="3">
        <v>45416.738645833335</v>
      </c>
      <c r="K506" s="2" t="s">
        <v>6738</v>
      </c>
      <c r="L506" s="1">
        <v>2</v>
      </c>
      <c r="M506" s="1">
        <v>2</v>
      </c>
      <c r="N506">
        <v>0</v>
      </c>
      <c r="O506" s="3">
        <f>IF(
    R506="Ancien",
    _xlfn.XLOOKUP(
        Final_Sans_VGE[[#This Row],[ppn_z]],
        tbl_Historique_Final[ppn_z],
        tbl_Historique_Final[Horodatage],
        ""
    ),
    Horodatage!$A$2
)</f>
        <v>46233.670796365739</v>
      </c>
      <c r="P506" s="1" t="str">
        <f>IFERROR(IF(tbl_Historique_Final[[#This Row],[Commentaires]]&lt;&gt;"",tbl_Historique_Final[[#This Row],[Commentaires]],""),"")</f>
        <v/>
      </c>
      <c r="X506" s="8" t="str">
        <f>IF(Final_Sans_VGE[[#This Row],[ppn_z]]="","",IFERROR(
   IF(_xlfn.XLOOKUP(Final_Sans_VGE[[#This Row],[ppn_z]],tbl_Historique_Final[ppn_z],tbl_Historique_Final[date_modif])=Final_Sans_VGE[[#This Row],[date_modif]],
      "Ancien",
      "Modifié"),
   "Nouveau"))</f>
        <v>Ancien</v>
      </c>
      <c r="AC506"/>
      <c r="AD506"/>
    </row>
    <row r="507" spans="1:30" x14ac:dyDescent="0.25">
      <c r="A507" s="5" t="s">
        <v>1673</v>
      </c>
      <c r="B507" s="1" t="s">
        <v>7313</v>
      </c>
      <c r="C507" s="1" t="s">
        <v>48</v>
      </c>
      <c r="G507" s="1" t="s">
        <v>10</v>
      </c>
      <c r="J507" s="3">
        <v>45415.671435185184</v>
      </c>
      <c r="K507" s="2" t="s">
        <v>7314</v>
      </c>
      <c r="L507" s="1">
        <v>1</v>
      </c>
      <c r="M507" s="1">
        <v>1</v>
      </c>
      <c r="N507">
        <v>0</v>
      </c>
      <c r="O507" s="3">
        <f>IF(
    R507="Ancien",
    _xlfn.XLOOKUP(
        Final_Sans_VGE[[#This Row],[ppn_z]],
        tbl_Historique_Final[ppn_z],
        tbl_Historique_Final[Horodatage],
        ""
    ),
    Horodatage!$A$2
)</f>
        <v>46233.670796365739</v>
      </c>
      <c r="P507" s="1" t="str">
        <f>IFERROR(IF(tbl_Historique_Final[[#This Row],[Commentaires]]&lt;&gt;"",tbl_Historique_Final[[#This Row],[Commentaires]],""),"")</f>
        <v/>
      </c>
      <c r="X507" s="8" t="str">
        <f>IF(Final_Sans_VGE[[#This Row],[ppn_z]]="","",IFERROR(
   IF(_xlfn.XLOOKUP(Final_Sans_VGE[[#This Row],[ppn_z]],tbl_Historique_Final[ppn_z],tbl_Historique_Final[date_modif])=Final_Sans_VGE[[#This Row],[date_modif]],
      "Ancien",
      "Modifié"),
   "Nouveau"))</f>
        <v>Ancien</v>
      </c>
      <c r="AC507"/>
      <c r="AD507"/>
    </row>
    <row r="508" spans="1:30" x14ac:dyDescent="0.25">
      <c r="A508" s="5" t="s">
        <v>1679</v>
      </c>
      <c r="B508" s="1" t="s">
        <v>7315</v>
      </c>
      <c r="C508" s="1" t="s">
        <v>12</v>
      </c>
      <c r="G508" s="1" t="s">
        <v>10</v>
      </c>
      <c r="J508" s="3">
        <v>45513.433842592596</v>
      </c>
      <c r="K508" s="2" t="s">
        <v>7316</v>
      </c>
      <c r="L508" s="1">
        <v>3</v>
      </c>
      <c r="M508" s="1">
        <v>3</v>
      </c>
      <c r="N508">
        <v>0</v>
      </c>
      <c r="O508" s="3">
        <f>IF(
    R508="Ancien",
    _xlfn.XLOOKUP(
        Final_Sans_VGE[[#This Row],[ppn_z]],
        tbl_Historique_Final[ppn_z],
        tbl_Historique_Final[Horodatage],
        ""
    ),
    Horodatage!$A$2
)</f>
        <v>46233.670796365739</v>
      </c>
      <c r="P508" s="1" t="str">
        <f>IFERROR(IF(tbl_Historique_Final[[#This Row],[Commentaires]]&lt;&gt;"",tbl_Historique_Final[[#This Row],[Commentaires]],""),"")</f>
        <v/>
      </c>
      <c r="X508" s="8" t="str">
        <f>IF(Final_Sans_VGE[[#This Row],[ppn_z]]="","",IFERROR(
   IF(_xlfn.XLOOKUP(Final_Sans_VGE[[#This Row],[ppn_z]],tbl_Historique_Final[ppn_z],tbl_Historique_Final[date_modif])=Final_Sans_VGE[[#This Row],[date_modif]],
      "Ancien",
      "Modifié"),
   "Nouveau"))</f>
        <v>Ancien</v>
      </c>
      <c r="AC508"/>
      <c r="AD508"/>
    </row>
    <row r="509" spans="1:30" x14ac:dyDescent="0.25">
      <c r="A509" s="5" t="s">
        <v>1682</v>
      </c>
      <c r="B509" s="1" t="s">
        <v>7317</v>
      </c>
      <c r="C509" s="1" t="s">
        <v>12</v>
      </c>
      <c r="G509" s="1" t="s">
        <v>11</v>
      </c>
      <c r="J509" s="3">
        <v>45499.402986111112</v>
      </c>
      <c r="K509" s="2" t="s">
        <v>7209</v>
      </c>
      <c r="L509" s="1">
        <v>1</v>
      </c>
      <c r="M509" s="1">
        <v>1</v>
      </c>
      <c r="N509">
        <v>0</v>
      </c>
      <c r="O509" s="3">
        <f>IF(
    R509="Ancien",
    _xlfn.XLOOKUP(
        Final_Sans_VGE[[#This Row],[ppn_z]],
        tbl_Historique_Final[ppn_z],
        tbl_Historique_Final[Horodatage],
        ""
    ),
    Horodatage!$A$2
)</f>
        <v>46233.670796365739</v>
      </c>
      <c r="P509" s="1" t="str">
        <f>IFERROR(IF(tbl_Historique_Final[[#This Row],[Commentaires]]&lt;&gt;"",tbl_Historique_Final[[#This Row],[Commentaires]],""),"")</f>
        <v/>
      </c>
      <c r="X509" s="8" t="str">
        <f>IF(Final_Sans_VGE[[#This Row],[ppn_z]]="","",IFERROR(
   IF(_xlfn.XLOOKUP(Final_Sans_VGE[[#This Row],[ppn_z]],tbl_Historique_Final[ppn_z],tbl_Historique_Final[date_modif])=Final_Sans_VGE[[#This Row],[date_modif]],
      "Ancien",
      "Modifié"),
   "Nouveau"))</f>
        <v>Ancien</v>
      </c>
      <c r="AC509"/>
      <c r="AD509"/>
    </row>
    <row r="510" spans="1:30" x14ac:dyDescent="0.25">
      <c r="A510" s="5" t="s">
        <v>1685</v>
      </c>
      <c r="B510" s="1" t="s">
        <v>7318</v>
      </c>
      <c r="C510" s="1" t="s">
        <v>6363</v>
      </c>
      <c r="G510" s="1" t="s">
        <v>10</v>
      </c>
      <c r="J510" s="3">
        <v>45415.840011574073</v>
      </c>
      <c r="K510" s="2" t="s">
        <v>7319</v>
      </c>
      <c r="L510" s="1">
        <v>1</v>
      </c>
      <c r="M510" s="1">
        <v>1</v>
      </c>
      <c r="N510">
        <v>0</v>
      </c>
      <c r="O510" s="3">
        <f>IF(
    R510="Ancien",
    _xlfn.XLOOKUP(
        Final_Sans_VGE[[#This Row],[ppn_z]],
        tbl_Historique_Final[ppn_z],
        tbl_Historique_Final[Horodatage],
        ""
    ),
    Horodatage!$A$2
)</f>
        <v>46233.670796365739</v>
      </c>
      <c r="P510" s="1" t="str">
        <f>IFERROR(IF(tbl_Historique_Final[[#This Row],[Commentaires]]&lt;&gt;"",tbl_Historique_Final[[#This Row],[Commentaires]],""),"")</f>
        <v/>
      </c>
      <c r="X510" s="8" t="str">
        <f>IF(Final_Sans_VGE[[#This Row],[ppn_z]]="","",IFERROR(
   IF(_xlfn.XLOOKUP(Final_Sans_VGE[[#This Row],[ppn_z]],tbl_Historique_Final[ppn_z],tbl_Historique_Final[date_modif])=Final_Sans_VGE[[#This Row],[date_modif]],
      "Ancien",
      "Modifié"),
   "Nouveau"))</f>
        <v>Ancien</v>
      </c>
      <c r="AC510"/>
      <c r="AD510"/>
    </row>
    <row r="511" spans="1:30" ht="30" x14ac:dyDescent="0.25">
      <c r="A511" s="5" t="s">
        <v>1688</v>
      </c>
      <c r="B511" s="1" t="s">
        <v>7320</v>
      </c>
      <c r="C511" s="1" t="s">
        <v>89</v>
      </c>
      <c r="G511" s="1" t="s">
        <v>11</v>
      </c>
      <c r="J511" s="3">
        <v>45551.694710648146</v>
      </c>
      <c r="K511" s="2" t="s">
        <v>7321</v>
      </c>
      <c r="L511" s="1">
        <v>1</v>
      </c>
      <c r="M511" s="1">
        <v>1</v>
      </c>
      <c r="N511">
        <v>0</v>
      </c>
      <c r="O511" s="3">
        <f>IF(
    R511="Ancien",
    _xlfn.XLOOKUP(
        Final_Sans_VGE[[#This Row],[ppn_z]],
        tbl_Historique_Final[ppn_z],
        tbl_Historique_Final[Horodatage],
        ""
    ),
    Horodatage!$A$2
)</f>
        <v>46233.670796365739</v>
      </c>
      <c r="P511" s="1" t="str">
        <f>IFERROR(IF(tbl_Historique_Final[[#This Row],[Commentaires]]&lt;&gt;"",tbl_Historique_Final[[#This Row],[Commentaires]],""),"")</f>
        <v/>
      </c>
      <c r="X511" s="8" t="str">
        <f>IF(Final_Sans_VGE[[#This Row],[ppn_z]]="","",IFERROR(
   IF(_xlfn.XLOOKUP(Final_Sans_VGE[[#This Row],[ppn_z]],tbl_Historique_Final[ppn_z],tbl_Historique_Final[date_modif])=Final_Sans_VGE[[#This Row],[date_modif]],
      "Ancien",
      "Modifié"),
   "Nouveau"))</f>
        <v>Ancien</v>
      </c>
      <c r="AC511"/>
      <c r="AD511"/>
    </row>
    <row r="512" spans="1:30" x14ac:dyDescent="0.25">
      <c r="A512" s="5" t="s">
        <v>1691</v>
      </c>
      <c r="B512" s="1" t="s">
        <v>7322</v>
      </c>
      <c r="C512" s="1" t="s">
        <v>6887</v>
      </c>
      <c r="G512" s="1" t="s">
        <v>11</v>
      </c>
      <c r="J512" s="3">
        <v>45415.877511574072</v>
      </c>
      <c r="K512" s="2" t="s">
        <v>7323</v>
      </c>
      <c r="L512" s="1">
        <v>1</v>
      </c>
      <c r="M512" s="1">
        <v>1</v>
      </c>
      <c r="N512">
        <v>0</v>
      </c>
      <c r="O512" s="3">
        <f>IF(
    R512="Ancien",
    _xlfn.XLOOKUP(
        Final_Sans_VGE[[#This Row],[ppn_z]],
        tbl_Historique_Final[ppn_z],
        tbl_Historique_Final[Horodatage],
        ""
    ),
    Horodatage!$A$2
)</f>
        <v>46233.670796365739</v>
      </c>
      <c r="P512" s="1" t="str">
        <f>IFERROR(IF(tbl_Historique_Final[[#This Row],[Commentaires]]&lt;&gt;"",tbl_Historique_Final[[#This Row],[Commentaires]],""),"")</f>
        <v/>
      </c>
      <c r="X512" s="8" t="str">
        <f>IF(Final_Sans_VGE[[#This Row],[ppn_z]]="","",IFERROR(
   IF(_xlfn.XLOOKUP(Final_Sans_VGE[[#This Row],[ppn_z]],tbl_Historique_Final[ppn_z],tbl_Historique_Final[date_modif])=Final_Sans_VGE[[#This Row],[date_modif]],
      "Ancien",
      "Modifié"),
   "Nouveau"))</f>
        <v>Ancien</v>
      </c>
      <c r="AC512"/>
      <c r="AD512"/>
    </row>
    <row r="513" spans="1:30" ht="75" x14ac:dyDescent="0.25">
      <c r="A513" s="5" t="s">
        <v>1694</v>
      </c>
      <c r="B513" s="1" t="s">
        <v>7324</v>
      </c>
      <c r="C513" s="1" t="s">
        <v>88</v>
      </c>
      <c r="G513" s="1" t="s">
        <v>11</v>
      </c>
      <c r="J513" s="3">
        <v>45559.510949074072</v>
      </c>
      <c r="K513" s="2" t="s">
        <v>7325</v>
      </c>
      <c r="L513" s="1">
        <v>79</v>
      </c>
      <c r="M513" s="1">
        <v>84</v>
      </c>
      <c r="N513">
        <v>5</v>
      </c>
      <c r="O513" s="3">
        <f>IF(
    R513="Ancien",
    _xlfn.XLOOKUP(
        Final_Sans_VGE[[#This Row],[ppn_z]],
        tbl_Historique_Final[ppn_z],
        tbl_Historique_Final[Horodatage],
        ""
    ),
    Horodatage!$A$2
)</f>
        <v>46233.670796365739</v>
      </c>
      <c r="P513" s="1" t="str">
        <f>IFERROR(IF(tbl_Historique_Final[[#This Row],[Commentaires]]&lt;&gt;"",tbl_Historique_Final[[#This Row],[Commentaires]],""),"")</f>
        <v/>
      </c>
      <c r="X513" s="8" t="str">
        <f>IF(Final_Sans_VGE[[#This Row],[ppn_z]]="","",IFERROR(
   IF(_xlfn.XLOOKUP(Final_Sans_VGE[[#This Row],[ppn_z]],tbl_Historique_Final[ppn_z],tbl_Historique_Final[date_modif])=Final_Sans_VGE[[#This Row],[date_modif]],
      "Ancien",
      "Modifié"),
   "Nouveau"))</f>
        <v>Ancien</v>
      </c>
      <c r="AC513"/>
      <c r="AD513"/>
    </row>
    <row r="514" spans="1:30" x14ac:dyDescent="0.25">
      <c r="A514" s="5" t="s">
        <v>1697</v>
      </c>
      <c r="B514" s="1" t="s">
        <v>7326</v>
      </c>
      <c r="C514" s="1" t="s">
        <v>28</v>
      </c>
      <c r="G514" s="1" t="s">
        <v>11</v>
      </c>
      <c r="J514" s="3">
        <v>45415.923368055555</v>
      </c>
      <c r="K514" s="2" t="s">
        <v>7327</v>
      </c>
      <c r="L514" s="1">
        <v>12</v>
      </c>
      <c r="M514" s="1">
        <v>12</v>
      </c>
      <c r="N514">
        <v>0</v>
      </c>
      <c r="O514" s="3">
        <f>IF(
    R514="Ancien",
    _xlfn.XLOOKUP(
        Final_Sans_VGE[[#This Row],[ppn_z]],
        tbl_Historique_Final[ppn_z],
        tbl_Historique_Final[Horodatage],
        ""
    ),
    Horodatage!$A$2
)</f>
        <v>46233.670796365739</v>
      </c>
      <c r="P514" s="1" t="str">
        <f>IFERROR(IF(tbl_Historique_Final[[#This Row],[Commentaires]]&lt;&gt;"",tbl_Historique_Final[[#This Row],[Commentaires]],""),"")</f>
        <v/>
      </c>
      <c r="X514" s="8" t="str">
        <f>IF(Final_Sans_VGE[[#This Row],[ppn_z]]="","",IFERROR(
   IF(_xlfn.XLOOKUP(Final_Sans_VGE[[#This Row],[ppn_z]],tbl_Historique_Final[ppn_z],tbl_Historique_Final[date_modif])=Final_Sans_VGE[[#This Row],[date_modif]],
      "Ancien",
      "Modifié"),
   "Nouveau"))</f>
        <v>Ancien</v>
      </c>
      <c r="AC514"/>
      <c r="AD514"/>
    </row>
    <row r="515" spans="1:30" x14ac:dyDescent="0.25">
      <c r="A515" s="5" t="s">
        <v>1700</v>
      </c>
      <c r="B515" s="1" t="s">
        <v>7328</v>
      </c>
      <c r="C515" s="1" t="s">
        <v>12</v>
      </c>
      <c r="G515" s="1" t="s">
        <v>10</v>
      </c>
      <c r="J515" s="3">
        <v>45416.010775462964</v>
      </c>
      <c r="K515" s="2" t="s">
        <v>125</v>
      </c>
      <c r="L515" s="1">
        <v>3</v>
      </c>
      <c r="M515" s="1">
        <v>3</v>
      </c>
      <c r="N515">
        <v>0</v>
      </c>
      <c r="O515" s="3">
        <f>IF(
    R515="Ancien",
    _xlfn.XLOOKUP(
        Final_Sans_VGE[[#This Row],[ppn_z]],
        tbl_Historique_Final[ppn_z],
        tbl_Historique_Final[Horodatage],
        ""
    ),
    Horodatage!$A$2
)</f>
        <v>46233.670796365739</v>
      </c>
      <c r="P515" s="1" t="str">
        <f>IFERROR(IF(tbl_Historique_Final[[#This Row],[Commentaires]]&lt;&gt;"",tbl_Historique_Final[[#This Row],[Commentaires]],""),"")</f>
        <v/>
      </c>
      <c r="X515" s="8" t="str">
        <f>IF(Final_Sans_VGE[[#This Row],[ppn_z]]="","",IFERROR(
   IF(_xlfn.XLOOKUP(Final_Sans_VGE[[#This Row],[ppn_z]],tbl_Historique_Final[ppn_z],tbl_Historique_Final[date_modif])=Final_Sans_VGE[[#This Row],[date_modif]],
      "Ancien",
      "Modifié"),
   "Nouveau"))</f>
        <v>Ancien</v>
      </c>
      <c r="AC515"/>
      <c r="AD515"/>
    </row>
    <row r="516" spans="1:30" x14ac:dyDescent="0.25">
      <c r="A516" s="5" t="s">
        <v>1703</v>
      </c>
      <c r="B516" s="1" t="s">
        <v>7329</v>
      </c>
      <c r="C516" s="1" t="s">
        <v>12</v>
      </c>
      <c r="G516" s="1" t="s">
        <v>10</v>
      </c>
      <c r="J516" s="3">
        <v>45416.113692129627</v>
      </c>
      <c r="K516" s="2" t="s">
        <v>7330</v>
      </c>
      <c r="L516" s="1">
        <v>2</v>
      </c>
      <c r="M516" s="1">
        <v>2</v>
      </c>
      <c r="N516">
        <v>0</v>
      </c>
      <c r="O516" s="3">
        <f>IF(
    R516="Ancien",
    _xlfn.XLOOKUP(
        Final_Sans_VGE[[#This Row],[ppn_z]],
        tbl_Historique_Final[ppn_z],
        tbl_Historique_Final[Horodatage],
        ""
    ),
    Horodatage!$A$2
)</f>
        <v>46233.670796365739</v>
      </c>
      <c r="P516" s="1" t="str">
        <f>IFERROR(IF(tbl_Historique_Final[[#This Row],[Commentaires]]&lt;&gt;"",tbl_Historique_Final[[#This Row],[Commentaires]],""),"")</f>
        <v/>
      </c>
      <c r="X516" s="8" t="str">
        <f>IF(Final_Sans_VGE[[#This Row],[ppn_z]]="","",IFERROR(
   IF(_xlfn.XLOOKUP(Final_Sans_VGE[[#This Row],[ppn_z]],tbl_Historique_Final[ppn_z],tbl_Historique_Final[date_modif])=Final_Sans_VGE[[#This Row],[date_modif]],
      "Ancien",
      "Modifié"),
   "Nouveau"))</f>
        <v>Ancien</v>
      </c>
      <c r="AC516"/>
      <c r="AD516"/>
    </row>
    <row r="517" spans="1:30" x14ac:dyDescent="0.25">
      <c r="A517" s="5" t="s">
        <v>1709</v>
      </c>
      <c r="B517" s="1" t="s">
        <v>7331</v>
      </c>
      <c r="C517" s="1" t="s">
        <v>12</v>
      </c>
      <c r="G517" s="1" t="s">
        <v>10</v>
      </c>
      <c r="J517" s="3">
        <v>45416.069212962961</v>
      </c>
      <c r="K517" s="2" t="s">
        <v>6438</v>
      </c>
      <c r="L517" s="1">
        <v>3</v>
      </c>
      <c r="M517" s="1">
        <v>4</v>
      </c>
      <c r="N517">
        <v>1</v>
      </c>
      <c r="O517" s="3">
        <f>IF(
    R517="Ancien",
    _xlfn.XLOOKUP(
        Final_Sans_VGE[[#This Row],[ppn_z]],
        tbl_Historique_Final[ppn_z],
        tbl_Historique_Final[Horodatage],
        ""
    ),
    Horodatage!$A$2
)</f>
        <v>46233.670796365739</v>
      </c>
      <c r="P517" s="1" t="str">
        <f>IFERROR(IF(tbl_Historique_Final[[#This Row],[Commentaires]]&lt;&gt;"",tbl_Historique_Final[[#This Row],[Commentaires]],""),"")</f>
        <v/>
      </c>
      <c r="X517" s="8" t="str">
        <f>IF(Final_Sans_VGE[[#This Row],[ppn_z]]="","",IFERROR(
   IF(_xlfn.XLOOKUP(Final_Sans_VGE[[#This Row],[ppn_z]],tbl_Historique_Final[ppn_z],tbl_Historique_Final[date_modif])=Final_Sans_VGE[[#This Row],[date_modif]],
      "Ancien",
      "Modifié"),
   "Nouveau"))</f>
        <v>Ancien</v>
      </c>
      <c r="AC517"/>
      <c r="AD517"/>
    </row>
    <row r="518" spans="1:30" x14ac:dyDescent="0.25">
      <c r="A518" s="5" t="s">
        <v>1712</v>
      </c>
      <c r="B518" s="1" t="s">
        <v>7332</v>
      </c>
      <c r="C518" s="1" t="s">
        <v>46</v>
      </c>
      <c r="G518" s="1" t="s">
        <v>10</v>
      </c>
      <c r="J518" s="3">
        <v>45443.418854166666</v>
      </c>
      <c r="K518" s="2" t="s">
        <v>6438</v>
      </c>
      <c r="L518" s="1">
        <v>1</v>
      </c>
      <c r="M518" s="1">
        <v>2</v>
      </c>
      <c r="N518">
        <v>1</v>
      </c>
      <c r="O518" s="3">
        <f>IF(
    R518="Ancien",
    _xlfn.XLOOKUP(
        Final_Sans_VGE[[#This Row],[ppn_z]],
        tbl_Historique_Final[ppn_z],
        tbl_Historique_Final[Horodatage],
        ""
    ),
    Horodatage!$A$2
)</f>
        <v>46233.670796365739</v>
      </c>
      <c r="P518" s="1" t="str">
        <f>IFERROR(IF(tbl_Historique_Final[[#This Row],[Commentaires]]&lt;&gt;"",tbl_Historique_Final[[#This Row],[Commentaires]],""),"")</f>
        <v/>
      </c>
      <c r="X518" s="8" t="str">
        <f>IF(Final_Sans_VGE[[#This Row],[ppn_z]]="","",IFERROR(
   IF(_xlfn.XLOOKUP(Final_Sans_VGE[[#This Row],[ppn_z]],tbl_Historique_Final[ppn_z],tbl_Historique_Final[date_modif])=Final_Sans_VGE[[#This Row],[date_modif]],
      "Ancien",
      "Modifié"),
   "Nouveau"))</f>
        <v>Ancien</v>
      </c>
      <c r="AC518"/>
      <c r="AD518"/>
    </row>
    <row r="519" spans="1:30" ht="60" x14ac:dyDescent="0.25">
      <c r="A519" s="5" t="s">
        <v>1715</v>
      </c>
      <c r="B519" s="1" t="s">
        <v>7333</v>
      </c>
      <c r="C519" s="1" t="s">
        <v>45</v>
      </c>
      <c r="G519" s="1" t="s">
        <v>10</v>
      </c>
      <c r="J519" s="3">
        <v>45416.260868055557</v>
      </c>
      <c r="K519" s="2" t="s">
        <v>7334</v>
      </c>
      <c r="L519" s="1">
        <v>2</v>
      </c>
      <c r="M519" s="1">
        <v>2</v>
      </c>
      <c r="N519">
        <v>0</v>
      </c>
      <c r="O519" s="3">
        <f>IF(
    R519="Ancien",
    _xlfn.XLOOKUP(
        Final_Sans_VGE[[#This Row],[ppn_z]],
        tbl_Historique_Final[ppn_z],
        tbl_Historique_Final[Horodatage],
        ""
    ),
    Horodatage!$A$2
)</f>
        <v>46233.670796365739</v>
      </c>
      <c r="P519" s="1" t="str">
        <f>IFERROR(IF(tbl_Historique_Final[[#This Row],[Commentaires]]&lt;&gt;"",tbl_Historique_Final[[#This Row],[Commentaires]],""),"")</f>
        <v/>
      </c>
      <c r="X519" s="8" t="str">
        <f>IF(Final_Sans_VGE[[#This Row],[ppn_z]]="","",IFERROR(
   IF(_xlfn.XLOOKUP(Final_Sans_VGE[[#This Row],[ppn_z]],tbl_Historique_Final[ppn_z],tbl_Historique_Final[date_modif])=Final_Sans_VGE[[#This Row],[date_modif]],
      "Ancien",
      "Modifié"),
   "Nouveau"))</f>
        <v>Ancien</v>
      </c>
      <c r="AC519"/>
      <c r="AD519"/>
    </row>
    <row r="520" spans="1:30" x14ac:dyDescent="0.25">
      <c r="A520" s="5" t="s">
        <v>1718</v>
      </c>
      <c r="B520" s="1" t="s">
        <v>7335</v>
      </c>
      <c r="C520" s="1" t="s">
        <v>85</v>
      </c>
      <c r="G520" s="1" t="s">
        <v>10</v>
      </c>
      <c r="J520" s="3">
        <v>45416.078946759262</v>
      </c>
      <c r="K520" s="2" t="s">
        <v>7336</v>
      </c>
      <c r="L520" s="1">
        <v>2</v>
      </c>
      <c r="M520" s="1">
        <v>2</v>
      </c>
      <c r="N520">
        <v>0</v>
      </c>
      <c r="O520" s="3">
        <f>IF(
    R520="Ancien",
    _xlfn.XLOOKUP(
        Final_Sans_VGE[[#This Row],[ppn_z]],
        tbl_Historique_Final[ppn_z],
        tbl_Historique_Final[Horodatage],
        ""
    ),
    Horodatage!$A$2
)</f>
        <v>46233.670796365739</v>
      </c>
      <c r="P520" s="1" t="str">
        <f>IFERROR(IF(tbl_Historique_Final[[#This Row],[Commentaires]]&lt;&gt;"",tbl_Historique_Final[[#This Row],[Commentaires]],""),"")</f>
        <v/>
      </c>
      <c r="X520" s="8" t="str">
        <f>IF(Final_Sans_VGE[[#This Row],[ppn_z]]="","",IFERROR(
   IF(_xlfn.XLOOKUP(Final_Sans_VGE[[#This Row],[ppn_z]],tbl_Historique_Final[ppn_z],tbl_Historique_Final[date_modif])=Final_Sans_VGE[[#This Row],[date_modif]],
      "Ancien",
      "Modifié"),
   "Nouveau"))</f>
        <v>Ancien</v>
      </c>
      <c r="AC520"/>
      <c r="AD520"/>
    </row>
    <row r="521" spans="1:30" x14ac:dyDescent="0.25">
      <c r="A521" s="5" t="s">
        <v>1724</v>
      </c>
      <c r="B521" s="1" t="s">
        <v>7337</v>
      </c>
      <c r="C521" s="1" t="s">
        <v>119</v>
      </c>
      <c r="J521" s="3">
        <v>45411.99560185185</v>
      </c>
      <c r="L521" s="1">
        <v>1</v>
      </c>
      <c r="M521" s="1">
        <v>2</v>
      </c>
      <c r="N521">
        <v>1</v>
      </c>
      <c r="O521" s="3">
        <f>IF(
    R521="Ancien",
    _xlfn.XLOOKUP(
        Final_Sans_VGE[[#This Row],[ppn_z]],
        tbl_Historique_Final[ppn_z],
        tbl_Historique_Final[Horodatage],
        ""
    ),
    Horodatage!$A$2
)</f>
        <v>46233.670796365739</v>
      </c>
      <c r="P521" s="1" t="str">
        <f>IFERROR(IF(tbl_Historique_Final[[#This Row],[Commentaires]]&lt;&gt;"",tbl_Historique_Final[[#This Row],[Commentaires]],""),"")</f>
        <v/>
      </c>
      <c r="X521" s="8" t="str">
        <f>IF(Final_Sans_VGE[[#This Row],[ppn_z]]="","",IFERROR(
   IF(_xlfn.XLOOKUP(Final_Sans_VGE[[#This Row],[ppn_z]],tbl_Historique_Final[ppn_z],tbl_Historique_Final[date_modif])=Final_Sans_VGE[[#This Row],[date_modif]],
      "Ancien",
      "Modifié"),
   "Nouveau"))</f>
        <v>Ancien</v>
      </c>
      <c r="AC521"/>
      <c r="AD521"/>
    </row>
    <row r="522" spans="1:30" x14ac:dyDescent="0.25">
      <c r="A522" s="5" t="s">
        <v>1727</v>
      </c>
      <c r="B522" s="1" t="s">
        <v>7338</v>
      </c>
      <c r="C522" s="1" t="s">
        <v>129</v>
      </c>
      <c r="G522" s="1" t="s">
        <v>10</v>
      </c>
      <c r="J522" s="3">
        <v>45416.453958333332</v>
      </c>
      <c r="K522" s="2" t="s">
        <v>7339</v>
      </c>
      <c r="L522" s="1">
        <v>1</v>
      </c>
      <c r="M522" s="1">
        <v>1</v>
      </c>
      <c r="N522">
        <v>0</v>
      </c>
      <c r="O522" s="3">
        <f>IF(
    R522="Ancien",
    _xlfn.XLOOKUP(
        Final_Sans_VGE[[#This Row],[ppn_z]],
        tbl_Historique_Final[ppn_z],
        tbl_Historique_Final[Horodatage],
        ""
    ),
    Horodatage!$A$2
)</f>
        <v>46233.670796365739</v>
      </c>
      <c r="P522" s="1" t="str">
        <f>IFERROR(IF(tbl_Historique_Final[[#This Row],[Commentaires]]&lt;&gt;"",tbl_Historique_Final[[#This Row],[Commentaires]],""),"")</f>
        <v/>
      </c>
      <c r="X522" s="8" t="str">
        <f>IF(Final_Sans_VGE[[#This Row],[ppn_z]]="","",IFERROR(
   IF(_xlfn.XLOOKUP(Final_Sans_VGE[[#This Row],[ppn_z]],tbl_Historique_Final[ppn_z],tbl_Historique_Final[date_modif])=Final_Sans_VGE[[#This Row],[date_modif]],
      "Ancien",
      "Modifié"),
   "Nouveau"))</f>
        <v>Ancien</v>
      </c>
      <c r="AC522"/>
      <c r="AD522"/>
    </row>
    <row r="523" spans="1:30" ht="60" x14ac:dyDescent="0.25">
      <c r="A523" s="5" t="s">
        <v>1730</v>
      </c>
      <c r="B523" s="1" t="s">
        <v>7340</v>
      </c>
      <c r="C523" s="1" t="s">
        <v>12</v>
      </c>
      <c r="G523" s="1" t="s">
        <v>11</v>
      </c>
      <c r="J523" s="3">
        <v>45416.167766203704</v>
      </c>
      <c r="K523" s="2" t="s">
        <v>7341</v>
      </c>
      <c r="L523" s="1">
        <v>1</v>
      </c>
      <c r="M523" s="1">
        <v>1</v>
      </c>
      <c r="N523">
        <v>0</v>
      </c>
      <c r="O523" s="3">
        <f>IF(
    R523="Ancien",
    _xlfn.XLOOKUP(
        Final_Sans_VGE[[#This Row],[ppn_z]],
        tbl_Historique_Final[ppn_z],
        tbl_Historique_Final[Horodatage],
        ""
    ),
    Horodatage!$A$2
)</f>
        <v>46233.670796365739</v>
      </c>
      <c r="P523" s="1" t="str">
        <f>IFERROR(IF(tbl_Historique_Final[[#This Row],[Commentaires]]&lt;&gt;"",tbl_Historique_Final[[#This Row],[Commentaires]],""),"")</f>
        <v/>
      </c>
      <c r="X523" s="8" t="str">
        <f>IF(Final_Sans_VGE[[#This Row],[ppn_z]]="","",IFERROR(
   IF(_xlfn.XLOOKUP(Final_Sans_VGE[[#This Row],[ppn_z]],tbl_Historique_Final[ppn_z],tbl_Historique_Final[date_modif])=Final_Sans_VGE[[#This Row],[date_modif]],
      "Ancien",
      "Modifié"),
   "Nouveau"))</f>
        <v>Ancien</v>
      </c>
      <c r="AC523"/>
      <c r="AD523"/>
    </row>
    <row r="524" spans="1:30" x14ac:dyDescent="0.25">
      <c r="A524" s="5" t="s">
        <v>1733</v>
      </c>
      <c r="B524" s="1" t="s">
        <v>7342</v>
      </c>
      <c r="C524" s="1" t="s">
        <v>12</v>
      </c>
      <c r="G524" s="1" t="s">
        <v>10</v>
      </c>
      <c r="J524" s="3">
        <v>45447.385601851849</v>
      </c>
      <c r="K524" s="2" t="s">
        <v>7343</v>
      </c>
      <c r="L524" s="1">
        <v>1</v>
      </c>
      <c r="M524" s="1">
        <v>1</v>
      </c>
      <c r="N524">
        <v>0</v>
      </c>
      <c r="O524" s="3">
        <f>IF(
    R524="Ancien",
    _xlfn.XLOOKUP(
        Final_Sans_VGE[[#This Row],[ppn_z]],
        tbl_Historique_Final[ppn_z],
        tbl_Historique_Final[Horodatage],
        ""
    ),
    Horodatage!$A$2
)</f>
        <v>46233.670796365739</v>
      </c>
      <c r="P524" s="1" t="str">
        <f>IFERROR(IF(tbl_Historique_Final[[#This Row],[Commentaires]]&lt;&gt;"",tbl_Historique_Final[[#This Row],[Commentaires]],""),"")</f>
        <v/>
      </c>
      <c r="X524" s="8" t="str">
        <f>IF(Final_Sans_VGE[[#This Row],[ppn_z]]="","",IFERROR(
   IF(_xlfn.XLOOKUP(Final_Sans_VGE[[#This Row],[ppn_z]],tbl_Historique_Final[ppn_z],tbl_Historique_Final[date_modif])=Final_Sans_VGE[[#This Row],[date_modif]],
      "Ancien",
      "Modifié"),
   "Nouveau"))</f>
        <v>Ancien</v>
      </c>
      <c r="AC524"/>
      <c r="AD524"/>
    </row>
    <row r="525" spans="1:30" x14ac:dyDescent="0.25">
      <c r="A525" s="5" t="s">
        <v>1736</v>
      </c>
      <c r="B525" s="1" t="s">
        <v>7344</v>
      </c>
      <c r="C525" s="1" t="s">
        <v>6355</v>
      </c>
      <c r="G525" s="1" t="s">
        <v>11</v>
      </c>
      <c r="J525" s="3">
        <v>45416.659490740742</v>
      </c>
      <c r="K525" s="2" t="s">
        <v>7345</v>
      </c>
      <c r="L525" s="1">
        <v>1</v>
      </c>
      <c r="M525" s="1">
        <v>3</v>
      </c>
      <c r="N525">
        <v>2</v>
      </c>
      <c r="O525" s="3">
        <f>IF(
    R525="Ancien",
    _xlfn.XLOOKUP(
        Final_Sans_VGE[[#This Row],[ppn_z]],
        tbl_Historique_Final[ppn_z],
        tbl_Historique_Final[Horodatage],
        ""
    ),
    Horodatage!$A$2
)</f>
        <v>46233.670796365739</v>
      </c>
      <c r="P525" s="1" t="str">
        <f>IFERROR(IF(tbl_Historique_Final[[#This Row],[Commentaires]]&lt;&gt;"",tbl_Historique_Final[[#This Row],[Commentaires]],""),"")</f>
        <v/>
      </c>
      <c r="X525" s="8" t="str">
        <f>IF(Final_Sans_VGE[[#This Row],[ppn_z]]="","",IFERROR(
   IF(_xlfn.XLOOKUP(Final_Sans_VGE[[#This Row],[ppn_z]],tbl_Historique_Final[ppn_z],tbl_Historique_Final[date_modif])=Final_Sans_VGE[[#This Row],[date_modif]],
      "Ancien",
      "Modifié"),
   "Nouveau"))</f>
        <v>Ancien</v>
      </c>
      <c r="AC525"/>
      <c r="AD525"/>
    </row>
    <row r="526" spans="1:30" x14ac:dyDescent="0.25">
      <c r="A526" s="5" t="s">
        <v>1739</v>
      </c>
      <c r="B526" s="1" t="s">
        <v>7346</v>
      </c>
      <c r="C526" s="1" t="s">
        <v>45</v>
      </c>
      <c r="G526" s="1" t="s">
        <v>11</v>
      </c>
      <c r="J526" s="3">
        <v>45495.517523148148</v>
      </c>
      <c r="K526" s="2" t="s">
        <v>7347</v>
      </c>
      <c r="L526" s="1">
        <v>2</v>
      </c>
      <c r="M526" s="1">
        <v>2</v>
      </c>
      <c r="N526">
        <v>0</v>
      </c>
      <c r="O526" s="3">
        <f>IF(
    R526="Ancien",
    _xlfn.XLOOKUP(
        Final_Sans_VGE[[#This Row],[ppn_z]],
        tbl_Historique_Final[ppn_z],
        tbl_Historique_Final[Horodatage],
        ""
    ),
    Horodatage!$A$2
)</f>
        <v>46233.670796365739</v>
      </c>
      <c r="P526" s="1" t="str">
        <f>IFERROR(IF(tbl_Historique_Final[[#This Row],[Commentaires]]&lt;&gt;"",tbl_Historique_Final[[#This Row],[Commentaires]],""),"")</f>
        <v/>
      </c>
      <c r="X526" s="8" t="str">
        <f>IF(Final_Sans_VGE[[#This Row],[ppn_z]]="","",IFERROR(
   IF(_xlfn.XLOOKUP(Final_Sans_VGE[[#This Row],[ppn_z]],tbl_Historique_Final[ppn_z],tbl_Historique_Final[date_modif])=Final_Sans_VGE[[#This Row],[date_modif]],
      "Ancien",
      "Modifié"),
   "Nouveau"))</f>
        <v>Ancien</v>
      </c>
      <c r="AC526"/>
      <c r="AD526"/>
    </row>
    <row r="527" spans="1:30" x14ac:dyDescent="0.25">
      <c r="A527" s="5" t="s">
        <v>1742</v>
      </c>
      <c r="B527" s="1" t="s">
        <v>7348</v>
      </c>
      <c r="C527" s="1" t="s">
        <v>6406</v>
      </c>
      <c r="G527" s="1" t="s">
        <v>10</v>
      </c>
      <c r="J527" s="3">
        <v>45416.319131944445</v>
      </c>
      <c r="L527" s="1">
        <v>1</v>
      </c>
      <c r="M527" s="1">
        <v>1</v>
      </c>
      <c r="N527">
        <v>0</v>
      </c>
      <c r="O527" s="3">
        <f>IF(
    R527="Ancien",
    _xlfn.XLOOKUP(
        Final_Sans_VGE[[#This Row],[ppn_z]],
        tbl_Historique_Final[ppn_z],
        tbl_Historique_Final[Horodatage],
        ""
    ),
    Horodatage!$A$2
)</f>
        <v>46233.670796365739</v>
      </c>
      <c r="P527" s="1" t="str">
        <f>IFERROR(IF(tbl_Historique_Final[[#This Row],[Commentaires]]&lt;&gt;"",tbl_Historique_Final[[#This Row],[Commentaires]],""),"")</f>
        <v/>
      </c>
      <c r="X527" s="8" t="str">
        <f>IF(Final_Sans_VGE[[#This Row],[ppn_z]]="","",IFERROR(
   IF(_xlfn.XLOOKUP(Final_Sans_VGE[[#This Row],[ppn_z]],tbl_Historique_Final[ppn_z],tbl_Historique_Final[date_modif])=Final_Sans_VGE[[#This Row],[date_modif]],
      "Ancien",
      "Modifié"),
   "Nouveau"))</f>
        <v>Ancien</v>
      </c>
      <c r="AC527"/>
      <c r="AD527"/>
    </row>
    <row r="528" spans="1:30" x14ac:dyDescent="0.25">
      <c r="A528" s="5" t="s">
        <v>1748</v>
      </c>
      <c r="B528" s="1" t="s">
        <v>7349</v>
      </c>
      <c r="C528" s="1" t="s">
        <v>12</v>
      </c>
      <c r="G528" s="1" t="s">
        <v>10</v>
      </c>
      <c r="J528" s="3">
        <v>45416.346979166665</v>
      </c>
      <c r="K528" s="2" t="s">
        <v>7350</v>
      </c>
      <c r="L528" s="1">
        <v>1</v>
      </c>
      <c r="M528" s="1">
        <v>1</v>
      </c>
      <c r="N528">
        <v>0</v>
      </c>
      <c r="O528" s="3">
        <f>IF(
    R528="Ancien",
    _xlfn.XLOOKUP(
        Final_Sans_VGE[[#This Row],[ppn_z]],
        tbl_Historique_Final[ppn_z],
        tbl_Historique_Final[Horodatage],
        ""
    ),
    Horodatage!$A$2
)</f>
        <v>46233.670796365739</v>
      </c>
      <c r="P528" s="1" t="str">
        <f>IFERROR(IF(tbl_Historique_Final[[#This Row],[Commentaires]]&lt;&gt;"",tbl_Historique_Final[[#This Row],[Commentaires]],""),"")</f>
        <v/>
      </c>
      <c r="X528" s="8" t="str">
        <f>IF(Final_Sans_VGE[[#This Row],[ppn_z]]="","",IFERROR(
   IF(_xlfn.XLOOKUP(Final_Sans_VGE[[#This Row],[ppn_z]],tbl_Historique_Final[ppn_z],tbl_Historique_Final[date_modif])=Final_Sans_VGE[[#This Row],[date_modif]],
      "Ancien",
      "Modifié"),
   "Nouveau"))</f>
        <v>Ancien</v>
      </c>
      <c r="AC528"/>
      <c r="AD528"/>
    </row>
    <row r="529" spans="1:30" x14ac:dyDescent="0.25">
      <c r="A529" s="5" t="s">
        <v>1751</v>
      </c>
      <c r="B529" s="1" t="s">
        <v>7351</v>
      </c>
      <c r="C529" s="1" t="s">
        <v>127</v>
      </c>
      <c r="J529" s="3">
        <v>45412.642847222225</v>
      </c>
      <c r="L529" s="1">
        <v>1</v>
      </c>
      <c r="M529" s="1">
        <v>1</v>
      </c>
      <c r="N529">
        <v>0</v>
      </c>
      <c r="O529" s="3">
        <f>IF(
    R529="Ancien",
    _xlfn.XLOOKUP(
        Final_Sans_VGE[[#This Row],[ppn_z]],
        tbl_Historique_Final[ppn_z],
        tbl_Historique_Final[Horodatage],
        ""
    ),
    Horodatage!$A$2
)</f>
        <v>46233.670796365739</v>
      </c>
      <c r="P529" s="1" t="str">
        <f>IFERROR(IF(tbl_Historique_Final[[#This Row],[Commentaires]]&lt;&gt;"",tbl_Historique_Final[[#This Row],[Commentaires]],""),"")</f>
        <v/>
      </c>
      <c r="X529" s="8" t="str">
        <f>IF(Final_Sans_VGE[[#This Row],[ppn_z]]="","",IFERROR(
   IF(_xlfn.XLOOKUP(Final_Sans_VGE[[#This Row],[ppn_z]],tbl_Historique_Final[ppn_z],tbl_Historique_Final[date_modif])=Final_Sans_VGE[[#This Row],[date_modif]],
      "Ancien",
      "Modifié"),
   "Nouveau"))</f>
        <v>Ancien</v>
      </c>
      <c r="AC529"/>
      <c r="AD529"/>
    </row>
    <row r="530" spans="1:30" ht="30" x14ac:dyDescent="0.25">
      <c r="A530" s="5" t="s">
        <v>1754</v>
      </c>
      <c r="B530" s="1" t="s">
        <v>7352</v>
      </c>
      <c r="C530" s="1" t="s">
        <v>43</v>
      </c>
      <c r="G530" s="1" t="s">
        <v>10</v>
      </c>
      <c r="J530" s="3">
        <v>45548.406643518516</v>
      </c>
      <c r="K530" s="2" t="s">
        <v>7353</v>
      </c>
      <c r="L530" s="1">
        <v>4</v>
      </c>
      <c r="M530" s="1">
        <v>4</v>
      </c>
      <c r="N530">
        <v>0</v>
      </c>
      <c r="O530" s="3">
        <f>IF(
    R530="Ancien",
    _xlfn.XLOOKUP(
        Final_Sans_VGE[[#This Row],[ppn_z]],
        tbl_Historique_Final[ppn_z],
        tbl_Historique_Final[Horodatage],
        ""
    ),
    Horodatage!$A$2
)</f>
        <v>46233.670796365739</v>
      </c>
      <c r="P530" s="1" t="str">
        <f>IFERROR(IF(tbl_Historique_Final[[#This Row],[Commentaires]]&lt;&gt;"",tbl_Historique_Final[[#This Row],[Commentaires]],""),"")</f>
        <v/>
      </c>
      <c r="X530" s="8" t="str">
        <f>IF(Final_Sans_VGE[[#This Row],[ppn_z]]="","",IFERROR(
   IF(_xlfn.XLOOKUP(Final_Sans_VGE[[#This Row],[ppn_z]],tbl_Historique_Final[ppn_z],tbl_Historique_Final[date_modif])=Final_Sans_VGE[[#This Row],[date_modif]],
      "Ancien",
      "Modifié"),
   "Nouveau"))</f>
        <v>Ancien</v>
      </c>
      <c r="AC530"/>
      <c r="AD530"/>
    </row>
    <row r="531" spans="1:30" x14ac:dyDescent="0.25">
      <c r="A531" s="5" t="s">
        <v>1757</v>
      </c>
      <c r="B531" s="1" t="s">
        <v>7354</v>
      </c>
      <c r="C531" s="1" t="s">
        <v>80</v>
      </c>
      <c r="G531" s="1" t="s">
        <v>10</v>
      </c>
      <c r="J531" s="3">
        <v>45416.346979166665</v>
      </c>
      <c r="L531" s="1">
        <v>2</v>
      </c>
      <c r="M531" s="1">
        <v>2</v>
      </c>
      <c r="N531">
        <v>0</v>
      </c>
      <c r="O531" s="3">
        <f>IF(
    R531="Ancien",
    _xlfn.XLOOKUP(
        Final_Sans_VGE[[#This Row],[ppn_z]],
        tbl_Historique_Final[ppn_z],
        tbl_Historique_Final[Horodatage],
        ""
    ),
    Horodatage!$A$2
)</f>
        <v>46233.670796365739</v>
      </c>
      <c r="P531" s="1" t="str">
        <f>IFERROR(IF(tbl_Historique_Final[[#This Row],[Commentaires]]&lt;&gt;"",tbl_Historique_Final[[#This Row],[Commentaires]],""),"")</f>
        <v/>
      </c>
      <c r="X531" s="8" t="str">
        <f>IF(Final_Sans_VGE[[#This Row],[ppn_z]]="","",IFERROR(
   IF(_xlfn.XLOOKUP(Final_Sans_VGE[[#This Row],[ppn_z]],tbl_Historique_Final[ppn_z],tbl_Historique_Final[date_modif])=Final_Sans_VGE[[#This Row],[date_modif]],
      "Ancien",
      "Modifié"),
   "Nouveau"))</f>
        <v>Ancien</v>
      </c>
      <c r="AC531"/>
      <c r="AD531"/>
    </row>
    <row r="532" spans="1:30" x14ac:dyDescent="0.25">
      <c r="A532" s="5" t="s">
        <v>1760</v>
      </c>
      <c r="B532" s="1" t="s">
        <v>7355</v>
      </c>
      <c r="J532" s="3">
        <v>45411.781712962962</v>
      </c>
      <c r="L532" s="1">
        <v>8</v>
      </c>
      <c r="M532" s="1">
        <v>11</v>
      </c>
      <c r="N532">
        <v>3</v>
      </c>
      <c r="O532" s="3">
        <f>IF(
    R532="Ancien",
    _xlfn.XLOOKUP(
        Final_Sans_VGE[[#This Row],[ppn_z]],
        tbl_Historique_Final[ppn_z],
        tbl_Historique_Final[Horodatage],
        ""
    ),
    Horodatage!$A$2
)</f>
        <v>46233.670796365739</v>
      </c>
      <c r="P532" s="1" t="str">
        <f>IFERROR(IF(tbl_Historique_Final[[#This Row],[Commentaires]]&lt;&gt;"",tbl_Historique_Final[[#This Row],[Commentaires]],""),"")</f>
        <v/>
      </c>
      <c r="X532" s="8" t="str">
        <f>IF(Final_Sans_VGE[[#This Row],[ppn_z]]="","",IFERROR(
   IF(_xlfn.XLOOKUP(Final_Sans_VGE[[#This Row],[ppn_z]],tbl_Historique_Final[ppn_z],tbl_Historique_Final[date_modif])=Final_Sans_VGE[[#This Row],[date_modif]],
      "Ancien",
      "Modifié"),
   "Nouveau"))</f>
        <v>Ancien</v>
      </c>
      <c r="AC532"/>
      <c r="AD532"/>
    </row>
    <row r="533" spans="1:30" ht="30" x14ac:dyDescent="0.25">
      <c r="A533" s="5" t="s">
        <v>1763</v>
      </c>
      <c r="B533" s="1" t="s">
        <v>7356</v>
      </c>
      <c r="C533" s="1" t="s">
        <v>12</v>
      </c>
      <c r="G533" s="1" t="s">
        <v>10</v>
      </c>
      <c r="J533" s="3">
        <v>45455.716793981483</v>
      </c>
      <c r="K533" s="2" t="s">
        <v>7357</v>
      </c>
      <c r="L533" s="1">
        <v>1</v>
      </c>
      <c r="M533" s="1">
        <v>1</v>
      </c>
      <c r="N533">
        <v>0</v>
      </c>
      <c r="O533" s="3">
        <f>IF(
    R533="Ancien",
    _xlfn.XLOOKUP(
        Final_Sans_VGE[[#This Row],[ppn_z]],
        tbl_Historique_Final[ppn_z],
        tbl_Historique_Final[Horodatage],
        ""
    ),
    Horodatage!$A$2
)</f>
        <v>46233.670796365739</v>
      </c>
      <c r="P533" s="1" t="str">
        <f>IFERROR(IF(tbl_Historique_Final[[#This Row],[Commentaires]]&lt;&gt;"",tbl_Historique_Final[[#This Row],[Commentaires]],""),"")</f>
        <v/>
      </c>
      <c r="X533" s="8" t="str">
        <f>IF(Final_Sans_VGE[[#This Row],[ppn_z]]="","",IFERROR(
   IF(_xlfn.XLOOKUP(Final_Sans_VGE[[#This Row],[ppn_z]],tbl_Historique_Final[ppn_z],tbl_Historique_Final[date_modif])=Final_Sans_VGE[[#This Row],[date_modif]],
      "Ancien",
      "Modifié"),
   "Nouveau"))</f>
        <v>Ancien</v>
      </c>
      <c r="AC533"/>
      <c r="AD533"/>
    </row>
    <row r="534" spans="1:30" x14ac:dyDescent="0.25">
      <c r="A534" s="5" t="s">
        <v>1766</v>
      </c>
      <c r="B534" s="1" t="s">
        <v>7358</v>
      </c>
      <c r="C534" s="1" t="s">
        <v>12</v>
      </c>
      <c r="G534" s="1" t="s">
        <v>10</v>
      </c>
      <c r="J534" s="3">
        <v>45416.395578703705</v>
      </c>
      <c r="K534" s="2" t="s">
        <v>7359</v>
      </c>
      <c r="L534" s="1">
        <v>2</v>
      </c>
      <c r="M534" s="1">
        <v>4</v>
      </c>
      <c r="N534">
        <v>2</v>
      </c>
      <c r="O534" s="3">
        <f>IF(
    R534="Ancien",
    _xlfn.XLOOKUP(
        Final_Sans_VGE[[#This Row],[ppn_z]],
        tbl_Historique_Final[ppn_z],
        tbl_Historique_Final[Horodatage],
        ""
    ),
    Horodatage!$A$2
)</f>
        <v>46233.670796365739</v>
      </c>
      <c r="P534" s="1" t="str">
        <f>IFERROR(IF(tbl_Historique_Final[[#This Row],[Commentaires]]&lt;&gt;"",tbl_Historique_Final[[#This Row],[Commentaires]],""),"")</f>
        <v/>
      </c>
      <c r="X534" s="8" t="str">
        <f>IF(Final_Sans_VGE[[#This Row],[ppn_z]]="","",IFERROR(
   IF(_xlfn.XLOOKUP(Final_Sans_VGE[[#This Row],[ppn_z]],tbl_Historique_Final[ppn_z],tbl_Historique_Final[date_modif])=Final_Sans_VGE[[#This Row],[date_modif]],
      "Ancien",
      "Modifié"),
   "Nouveau"))</f>
        <v>Ancien</v>
      </c>
      <c r="AC534"/>
      <c r="AD534"/>
    </row>
    <row r="535" spans="1:30" x14ac:dyDescent="0.25">
      <c r="A535" s="5" t="s">
        <v>1769</v>
      </c>
      <c r="B535" s="1" t="s">
        <v>7360</v>
      </c>
      <c r="C535" s="1" t="s">
        <v>143</v>
      </c>
      <c r="J535" s="3">
        <v>45412.644212962965</v>
      </c>
      <c r="L535" s="1">
        <v>3</v>
      </c>
      <c r="M535" s="1">
        <v>3</v>
      </c>
      <c r="N535">
        <v>0</v>
      </c>
      <c r="O535" s="3">
        <f>IF(
    R535="Ancien",
    _xlfn.XLOOKUP(
        Final_Sans_VGE[[#This Row],[ppn_z]],
        tbl_Historique_Final[ppn_z],
        tbl_Historique_Final[Horodatage],
        ""
    ),
    Horodatage!$A$2
)</f>
        <v>46233.670796365739</v>
      </c>
      <c r="P535" s="1" t="str">
        <f>IFERROR(IF(tbl_Historique_Final[[#This Row],[Commentaires]]&lt;&gt;"",tbl_Historique_Final[[#This Row],[Commentaires]],""),"")</f>
        <v/>
      </c>
      <c r="X535" s="8" t="str">
        <f>IF(Final_Sans_VGE[[#This Row],[ppn_z]]="","",IFERROR(
   IF(_xlfn.XLOOKUP(Final_Sans_VGE[[#This Row],[ppn_z]],tbl_Historique_Final[ppn_z],tbl_Historique_Final[date_modif])=Final_Sans_VGE[[#This Row],[date_modif]],
      "Ancien",
      "Modifié"),
   "Nouveau"))</f>
        <v>Ancien</v>
      </c>
      <c r="AC535"/>
      <c r="AD535"/>
    </row>
    <row r="536" spans="1:30" x14ac:dyDescent="0.25">
      <c r="A536" s="5" t="s">
        <v>1772</v>
      </c>
      <c r="B536" s="1" t="s">
        <v>7361</v>
      </c>
      <c r="C536" s="1" t="s">
        <v>12</v>
      </c>
      <c r="G536" s="1" t="s">
        <v>10</v>
      </c>
      <c r="J536" s="3">
        <v>45416.985752314817</v>
      </c>
      <c r="K536" s="2" t="s">
        <v>7362</v>
      </c>
      <c r="L536" s="1">
        <v>1</v>
      </c>
      <c r="M536" s="1">
        <v>1</v>
      </c>
      <c r="N536">
        <v>0</v>
      </c>
      <c r="O536" s="3">
        <f>IF(
    R536="Ancien",
    _xlfn.XLOOKUP(
        Final_Sans_VGE[[#This Row],[ppn_z]],
        tbl_Historique_Final[ppn_z],
        tbl_Historique_Final[Horodatage],
        ""
    ),
    Horodatage!$A$2
)</f>
        <v>46233.670796365739</v>
      </c>
      <c r="P536" s="1" t="str">
        <f>IFERROR(IF(tbl_Historique_Final[[#This Row],[Commentaires]]&lt;&gt;"",tbl_Historique_Final[[#This Row],[Commentaires]],""),"")</f>
        <v/>
      </c>
      <c r="X536" s="8" t="str">
        <f>IF(Final_Sans_VGE[[#This Row],[ppn_z]]="","",IFERROR(
   IF(_xlfn.XLOOKUP(Final_Sans_VGE[[#This Row],[ppn_z]],tbl_Historique_Final[ppn_z],tbl_Historique_Final[date_modif])=Final_Sans_VGE[[#This Row],[date_modif]],
      "Ancien",
      "Modifié"),
   "Nouveau"))</f>
        <v>Ancien</v>
      </c>
      <c r="AC536"/>
      <c r="AD536"/>
    </row>
    <row r="537" spans="1:30" x14ac:dyDescent="0.25">
      <c r="A537" s="5" t="s">
        <v>1775</v>
      </c>
      <c r="B537" s="1" t="s">
        <v>7363</v>
      </c>
      <c r="C537" s="1" t="s">
        <v>82</v>
      </c>
      <c r="G537" s="1" t="s">
        <v>10</v>
      </c>
      <c r="J537" s="3">
        <v>45567.694594907407</v>
      </c>
      <c r="K537" s="2" t="s">
        <v>130</v>
      </c>
      <c r="L537" s="1">
        <v>1</v>
      </c>
      <c r="M537" s="1">
        <v>1</v>
      </c>
      <c r="N537">
        <v>0</v>
      </c>
      <c r="O537" s="3">
        <f>IF(
    R537="Ancien",
    _xlfn.XLOOKUP(
        Final_Sans_VGE[[#This Row],[ppn_z]],
        tbl_Historique_Final[ppn_z],
        tbl_Historique_Final[Horodatage],
        ""
    ),
    Horodatage!$A$2
)</f>
        <v>46233.670796365739</v>
      </c>
      <c r="P537" s="1" t="str">
        <f>IFERROR(IF(tbl_Historique_Final[[#This Row],[Commentaires]]&lt;&gt;"",tbl_Historique_Final[[#This Row],[Commentaires]],""),"")</f>
        <v/>
      </c>
      <c r="X537" s="8" t="str">
        <f>IF(Final_Sans_VGE[[#This Row],[ppn_z]]="","",IFERROR(
   IF(_xlfn.XLOOKUP(Final_Sans_VGE[[#This Row],[ppn_z]],tbl_Historique_Final[ppn_z],tbl_Historique_Final[date_modif])=Final_Sans_VGE[[#This Row],[date_modif]],
      "Ancien",
      "Modifié"),
   "Nouveau"))</f>
        <v>Ancien</v>
      </c>
      <c r="AC537"/>
      <c r="AD537"/>
    </row>
    <row r="538" spans="1:30" x14ac:dyDescent="0.25">
      <c r="A538" s="5" t="s">
        <v>1778</v>
      </c>
      <c r="B538" s="1" t="s">
        <v>7364</v>
      </c>
      <c r="C538" s="1" t="s">
        <v>61</v>
      </c>
      <c r="J538" s="3">
        <v>45412.705335648148</v>
      </c>
      <c r="L538" s="1">
        <v>2</v>
      </c>
      <c r="M538" s="1">
        <v>2</v>
      </c>
      <c r="N538">
        <v>0</v>
      </c>
      <c r="O538" s="3">
        <f>IF(
    R538="Ancien",
    _xlfn.XLOOKUP(
        Final_Sans_VGE[[#This Row],[ppn_z]],
        tbl_Historique_Final[ppn_z],
        tbl_Historique_Final[Horodatage],
        ""
    ),
    Horodatage!$A$2
)</f>
        <v>46233.670796365739</v>
      </c>
      <c r="P538" s="1" t="str">
        <f>IFERROR(IF(tbl_Historique_Final[[#This Row],[Commentaires]]&lt;&gt;"",tbl_Historique_Final[[#This Row],[Commentaires]],""),"")</f>
        <v/>
      </c>
      <c r="X538" s="8" t="str">
        <f>IF(Final_Sans_VGE[[#This Row],[ppn_z]]="","",IFERROR(
   IF(_xlfn.XLOOKUP(Final_Sans_VGE[[#This Row],[ppn_z]],tbl_Historique_Final[ppn_z],tbl_Historique_Final[date_modif])=Final_Sans_VGE[[#This Row],[date_modif]],
      "Ancien",
      "Modifié"),
   "Nouveau"))</f>
        <v>Ancien</v>
      </c>
      <c r="AC538"/>
      <c r="AD538"/>
    </row>
    <row r="539" spans="1:30" x14ac:dyDescent="0.25">
      <c r="A539" s="5" t="s">
        <v>1781</v>
      </c>
      <c r="B539" s="1" t="s">
        <v>7365</v>
      </c>
      <c r="C539" s="1" t="s">
        <v>55</v>
      </c>
      <c r="G539" s="1" t="s">
        <v>10</v>
      </c>
      <c r="J539" s="3">
        <v>45417.024756944447</v>
      </c>
      <c r="K539" s="2" t="s">
        <v>7366</v>
      </c>
      <c r="L539" s="1">
        <v>1</v>
      </c>
      <c r="M539" s="1">
        <v>1</v>
      </c>
      <c r="N539">
        <v>0</v>
      </c>
      <c r="O539" s="3">
        <f>IF(
    R539="Ancien",
    _xlfn.XLOOKUP(
        Final_Sans_VGE[[#This Row],[ppn_z]],
        tbl_Historique_Final[ppn_z],
        tbl_Historique_Final[Horodatage],
        ""
    ),
    Horodatage!$A$2
)</f>
        <v>46233.670796365739</v>
      </c>
      <c r="P539" s="1" t="str">
        <f>IFERROR(IF(tbl_Historique_Final[[#This Row],[Commentaires]]&lt;&gt;"",tbl_Historique_Final[[#This Row],[Commentaires]],""),"")</f>
        <v/>
      </c>
      <c r="X539" s="8" t="str">
        <f>IF(Final_Sans_VGE[[#This Row],[ppn_z]]="","",IFERROR(
   IF(_xlfn.XLOOKUP(Final_Sans_VGE[[#This Row],[ppn_z]],tbl_Historique_Final[ppn_z],tbl_Historique_Final[date_modif])=Final_Sans_VGE[[#This Row],[date_modif]],
      "Ancien",
      "Modifié"),
   "Nouveau"))</f>
        <v>Ancien</v>
      </c>
      <c r="AC539"/>
      <c r="AD539"/>
    </row>
    <row r="540" spans="1:30" x14ac:dyDescent="0.25">
      <c r="A540" s="5" t="s">
        <v>1784</v>
      </c>
      <c r="B540" s="1" t="s">
        <v>7367</v>
      </c>
      <c r="C540" s="1" t="s">
        <v>59</v>
      </c>
      <c r="G540" s="1" t="s">
        <v>11</v>
      </c>
      <c r="J540" s="3">
        <v>45537.477141203701</v>
      </c>
      <c r="K540" s="2" t="s">
        <v>7368</v>
      </c>
      <c r="L540" s="1">
        <v>1</v>
      </c>
      <c r="M540" s="1">
        <v>1</v>
      </c>
      <c r="N540">
        <v>0</v>
      </c>
      <c r="O540" s="3">
        <f>IF(
    R540="Ancien",
    _xlfn.XLOOKUP(
        Final_Sans_VGE[[#This Row],[ppn_z]],
        tbl_Historique_Final[ppn_z],
        tbl_Historique_Final[Horodatage],
        ""
    ),
    Horodatage!$A$2
)</f>
        <v>46233.670796365739</v>
      </c>
      <c r="P540" s="1" t="str">
        <f>IFERROR(IF(tbl_Historique_Final[[#This Row],[Commentaires]]&lt;&gt;"",tbl_Historique_Final[[#This Row],[Commentaires]],""),"")</f>
        <v/>
      </c>
      <c r="X540" s="8" t="str">
        <f>IF(Final_Sans_VGE[[#This Row],[ppn_z]]="","",IFERROR(
   IF(_xlfn.XLOOKUP(Final_Sans_VGE[[#This Row],[ppn_z]],tbl_Historique_Final[ppn_z],tbl_Historique_Final[date_modif])=Final_Sans_VGE[[#This Row],[date_modif]],
      "Ancien",
      "Modifié"),
   "Nouveau"))</f>
        <v>Ancien</v>
      </c>
      <c r="AC540"/>
      <c r="AD540"/>
    </row>
    <row r="541" spans="1:30" x14ac:dyDescent="0.25">
      <c r="A541" s="5" t="s">
        <v>1787</v>
      </c>
      <c r="B541" s="1" t="s">
        <v>7369</v>
      </c>
      <c r="C541" s="1" t="s">
        <v>56</v>
      </c>
      <c r="G541" s="1" t="s">
        <v>10</v>
      </c>
      <c r="J541" s="3">
        <v>45519.466851851852</v>
      </c>
      <c r="K541" s="2" t="s">
        <v>7370</v>
      </c>
      <c r="L541" s="1">
        <v>2</v>
      </c>
      <c r="M541" s="1">
        <v>4</v>
      </c>
      <c r="N541">
        <v>2</v>
      </c>
      <c r="O541" s="3">
        <f>IF(
    R541="Ancien",
    _xlfn.XLOOKUP(
        Final_Sans_VGE[[#This Row],[ppn_z]],
        tbl_Historique_Final[ppn_z],
        tbl_Historique_Final[Horodatage],
        ""
    ),
    Horodatage!$A$2
)</f>
        <v>46233.670796365739</v>
      </c>
      <c r="P541" s="1" t="str">
        <f>IFERROR(IF(tbl_Historique_Final[[#This Row],[Commentaires]]&lt;&gt;"",tbl_Historique_Final[[#This Row],[Commentaires]],""),"")</f>
        <v/>
      </c>
      <c r="X541" s="8" t="str">
        <f>IF(Final_Sans_VGE[[#This Row],[ppn_z]]="","",IFERROR(
   IF(_xlfn.XLOOKUP(Final_Sans_VGE[[#This Row],[ppn_z]],tbl_Historique_Final[ppn_z],tbl_Historique_Final[date_modif])=Final_Sans_VGE[[#This Row],[date_modif]],
      "Ancien",
      "Modifié"),
   "Nouveau"))</f>
        <v>Ancien</v>
      </c>
      <c r="AC541"/>
      <c r="AD541"/>
    </row>
    <row r="542" spans="1:30" x14ac:dyDescent="0.25">
      <c r="A542" s="5" t="s">
        <v>1790</v>
      </c>
      <c r="B542" s="1" t="s">
        <v>7371</v>
      </c>
      <c r="C542" s="1" t="s">
        <v>12</v>
      </c>
      <c r="G542" s="1" t="s">
        <v>10</v>
      </c>
      <c r="J542" s="3">
        <v>45416.653946759259</v>
      </c>
      <c r="L542" s="1">
        <v>4</v>
      </c>
      <c r="M542" s="1">
        <v>4</v>
      </c>
      <c r="N542">
        <v>0</v>
      </c>
      <c r="O542" s="3">
        <f>IF(
    R542="Ancien",
    _xlfn.XLOOKUP(
        Final_Sans_VGE[[#This Row],[ppn_z]],
        tbl_Historique_Final[ppn_z],
        tbl_Historique_Final[Horodatage],
        ""
    ),
    Horodatage!$A$2
)</f>
        <v>46233.670796365739</v>
      </c>
      <c r="P542" s="1" t="str">
        <f>IFERROR(IF(tbl_Historique_Final[[#This Row],[Commentaires]]&lt;&gt;"",tbl_Historique_Final[[#This Row],[Commentaires]],""),"")</f>
        <v/>
      </c>
      <c r="X542" s="8" t="str">
        <f>IF(Final_Sans_VGE[[#This Row],[ppn_z]]="","",IFERROR(
   IF(_xlfn.XLOOKUP(Final_Sans_VGE[[#This Row],[ppn_z]],tbl_Historique_Final[ppn_z],tbl_Historique_Final[date_modif])=Final_Sans_VGE[[#This Row],[date_modif]],
      "Ancien",
      "Modifié"),
   "Nouveau"))</f>
        <v>Ancien</v>
      </c>
      <c r="AC542"/>
      <c r="AD542"/>
    </row>
    <row r="543" spans="1:30" ht="30" x14ac:dyDescent="0.25">
      <c r="A543" s="5" t="s">
        <v>1793</v>
      </c>
      <c r="B543" s="1" t="s">
        <v>7372</v>
      </c>
      <c r="C543" s="1" t="s">
        <v>40</v>
      </c>
      <c r="G543" s="1" t="s">
        <v>10</v>
      </c>
      <c r="J543" s="3">
        <v>45485.436076388891</v>
      </c>
      <c r="K543" s="2" t="s">
        <v>7373</v>
      </c>
      <c r="L543" s="1">
        <v>3</v>
      </c>
      <c r="M543" s="1">
        <v>5</v>
      </c>
      <c r="N543">
        <v>2</v>
      </c>
      <c r="O543" s="3">
        <f>IF(
    R543="Ancien",
    _xlfn.XLOOKUP(
        Final_Sans_VGE[[#This Row],[ppn_z]],
        tbl_Historique_Final[ppn_z],
        tbl_Historique_Final[Horodatage],
        ""
    ),
    Horodatage!$A$2
)</f>
        <v>46233.670796365739</v>
      </c>
      <c r="P543" s="1" t="str">
        <f>IFERROR(IF(tbl_Historique_Final[[#This Row],[Commentaires]]&lt;&gt;"",tbl_Historique_Final[[#This Row],[Commentaires]],""),"")</f>
        <v/>
      </c>
      <c r="X543" s="8" t="str">
        <f>IF(Final_Sans_VGE[[#This Row],[ppn_z]]="","",IFERROR(
   IF(_xlfn.XLOOKUP(Final_Sans_VGE[[#This Row],[ppn_z]],tbl_Historique_Final[ppn_z],tbl_Historique_Final[date_modif])=Final_Sans_VGE[[#This Row],[date_modif]],
      "Ancien",
      "Modifié"),
   "Nouveau"))</f>
        <v>Ancien</v>
      </c>
      <c r="AC543"/>
      <c r="AD543"/>
    </row>
    <row r="544" spans="1:30" ht="75" x14ac:dyDescent="0.25">
      <c r="A544" s="5" t="s">
        <v>1796</v>
      </c>
      <c r="B544" s="1" t="s">
        <v>7374</v>
      </c>
      <c r="C544" s="1" t="s">
        <v>6447</v>
      </c>
      <c r="D544" s="1" t="s">
        <v>14</v>
      </c>
      <c r="G544" s="1" t="s">
        <v>11</v>
      </c>
      <c r="H544" s="1" t="s">
        <v>22</v>
      </c>
      <c r="I544" s="1" t="s">
        <v>22</v>
      </c>
      <c r="J544" s="3">
        <v>45416.693912037037</v>
      </c>
      <c r="K544" s="2" t="s">
        <v>7375</v>
      </c>
      <c r="L544" s="1">
        <v>11</v>
      </c>
      <c r="M544" s="1">
        <v>11</v>
      </c>
      <c r="N544">
        <v>0</v>
      </c>
      <c r="O544" s="3">
        <f>IF(
    R544="Ancien",
    _xlfn.XLOOKUP(
        Final_Sans_VGE[[#This Row],[ppn_z]],
        tbl_Historique_Final[ppn_z],
        tbl_Historique_Final[Horodatage],
        ""
    ),
    Horodatage!$A$2
)</f>
        <v>46233.670796365739</v>
      </c>
      <c r="P544" s="1" t="str">
        <f>IFERROR(IF(tbl_Historique_Final[[#This Row],[Commentaires]]&lt;&gt;"",tbl_Historique_Final[[#This Row],[Commentaires]],""),"")</f>
        <v/>
      </c>
      <c r="X544" s="8" t="str">
        <f>IF(Final_Sans_VGE[[#This Row],[ppn_z]]="","",IFERROR(
   IF(_xlfn.XLOOKUP(Final_Sans_VGE[[#This Row],[ppn_z]],tbl_Historique_Final[ppn_z],tbl_Historique_Final[date_modif])=Final_Sans_VGE[[#This Row],[date_modif]],
      "Ancien",
      "Modifié"),
   "Nouveau"))</f>
        <v>Ancien</v>
      </c>
      <c r="AC544"/>
      <c r="AD544"/>
    </row>
    <row r="545" spans="1:30" x14ac:dyDescent="0.25">
      <c r="A545" s="5" t="s">
        <v>1799</v>
      </c>
      <c r="B545" s="1" t="s">
        <v>7376</v>
      </c>
      <c r="C545" s="1" t="s">
        <v>12</v>
      </c>
      <c r="G545" s="1" t="s">
        <v>11</v>
      </c>
      <c r="J545" s="3">
        <v>45534.596574074072</v>
      </c>
      <c r="K545" s="2" t="s">
        <v>7377</v>
      </c>
      <c r="L545" s="1">
        <v>1</v>
      </c>
      <c r="M545" s="1">
        <v>1</v>
      </c>
      <c r="N545">
        <v>0</v>
      </c>
      <c r="O545" s="3">
        <f>IF(
    R545="Ancien",
    _xlfn.XLOOKUP(
        Final_Sans_VGE[[#This Row],[ppn_z]],
        tbl_Historique_Final[ppn_z],
        tbl_Historique_Final[Horodatage],
        ""
    ),
    Horodatage!$A$2
)</f>
        <v>46233.670796365739</v>
      </c>
      <c r="P545" s="1" t="str">
        <f>IFERROR(IF(tbl_Historique_Final[[#This Row],[Commentaires]]&lt;&gt;"",tbl_Historique_Final[[#This Row],[Commentaires]],""),"")</f>
        <v/>
      </c>
      <c r="X545" s="8" t="str">
        <f>IF(Final_Sans_VGE[[#This Row],[ppn_z]]="","",IFERROR(
   IF(_xlfn.XLOOKUP(Final_Sans_VGE[[#This Row],[ppn_z]],tbl_Historique_Final[ppn_z],tbl_Historique_Final[date_modif])=Final_Sans_VGE[[#This Row],[date_modif]],
      "Ancien",
      "Modifié"),
   "Nouveau"))</f>
        <v>Ancien</v>
      </c>
      <c r="AC545"/>
      <c r="AD545"/>
    </row>
    <row r="546" spans="1:30" x14ac:dyDescent="0.25">
      <c r="A546" s="5" t="s">
        <v>1802</v>
      </c>
      <c r="B546" s="1" t="s">
        <v>7378</v>
      </c>
      <c r="C546" s="1" t="s">
        <v>12</v>
      </c>
      <c r="G546" s="1" t="s">
        <v>11</v>
      </c>
      <c r="J546" s="3">
        <v>45504.491701388892</v>
      </c>
      <c r="K546" s="2" t="s">
        <v>7379</v>
      </c>
      <c r="L546" s="1">
        <v>1</v>
      </c>
      <c r="M546" s="1">
        <v>1</v>
      </c>
      <c r="N546">
        <v>0</v>
      </c>
      <c r="O546" s="3">
        <f>IF(
    R546="Ancien",
    _xlfn.XLOOKUP(
        Final_Sans_VGE[[#This Row],[ppn_z]],
        tbl_Historique_Final[ppn_z],
        tbl_Historique_Final[Horodatage],
        ""
    ),
    Horodatage!$A$2
)</f>
        <v>46233.670796365739</v>
      </c>
      <c r="P546" s="1" t="str">
        <f>IFERROR(IF(tbl_Historique_Final[[#This Row],[Commentaires]]&lt;&gt;"",tbl_Historique_Final[[#This Row],[Commentaires]],""),"")</f>
        <v/>
      </c>
      <c r="X546" s="8" t="str">
        <f>IF(Final_Sans_VGE[[#This Row],[ppn_z]]="","",IFERROR(
   IF(_xlfn.XLOOKUP(Final_Sans_VGE[[#This Row],[ppn_z]],tbl_Historique_Final[ppn_z],tbl_Historique_Final[date_modif])=Final_Sans_VGE[[#This Row],[date_modif]],
      "Ancien",
      "Modifié"),
   "Nouveau"))</f>
        <v>Ancien</v>
      </c>
      <c r="AC546"/>
      <c r="AD546"/>
    </row>
    <row r="547" spans="1:30" x14ac:dyDescent="0.25">
      <c r="A547" s="5" t="s">
        <v>1805</v>
      </c>
      <c r="B547" s="1" t="s">
        <v>7380</v>
      </c>
      <c r="C547" s="1" t="s">
        <v>12</v>
      </c>
      <c r="G547" s="1" t="s">
        <v>11</v>
      </c>
      <c r="J547" s="3">
        <v>45416.792858796296</v>
      </c>
      <c r="L547" s="1">
        <v>1</v>
      </c>
      <c r="M547" s="1">
        <v>1</v>
      </c>
      <c r="N547">
        <v>0</v>
      </c>
      <c r="O547" s="3">
        <f>IF(
    R547="Ancien",
    _xlfn.XLOOKUP(
        Final_Sans_VGE[[#This Row],[ppn_z]],
        tbl_Historique_Final[ppn_z],
        tbl_Historique_Final[Horodatage],
        ""
    ),
    Horodatage!$A$2
)</f>
        <v>46233.670796365739</v>
      </c>
      <c r="P547" s="1" t="str">
        <f>IFERROR(IF(tbl_Historique_Final[[#This Row],[Commentaires]]&lt;&gt;"",tbl_Historique_Final[[#This Row],[Commentaires]],""),"")</f>
        <v/>
      </c>
      <c r="X547" s="8" t="str">
        <f>IF(Final_Sans_VGE[[#This Row],[ppn_z]]="","",IFERROR(
   IF(_xlfn.XLOOKUP(Final_Sans_VGE[[#This Row],[ppn_z]],tbl_Historique_Final[ppn_z],tbl_Historique_Final[date_modif])=Final_Sans_VGE[[#This Row],[date_modif]],
      "Ancien",
      "Modifié"),
   "Nouveau"))</f>
        <v>Ancien</v>
      </c>
      <c r="AC547"/>
      <c r="AD547"/>
    </row>
    <row r="548" spans="1:30" x14ac:dyDescent="0.25">
      <c r="A548" s="5" t="s">
        <v>1808</v>
      </c>
      <c r="B548" s="1" t="s">
        <v>7381</v>
      </c>
      <c r="C548" s="1" t="s">
        <v>12</v>
      </c>
      <c r="G548" s="1" t="s">
        <v>10</v>
      </c>
      <c r="J548" s="3">
        <v>45449.454594907409</v>
      </c>
      <c r="K548" s="2" t="s">
        <v>7382</v>
      </c>
      <c r="L548" s="1">
        <v>3</v>
      </c>
      <c r="M548" s="1">
        <v>3</v>
      </c>
      <c r="N548">
        <v>0</v>
      </c>
      <c r="O548" s="3">
        <f>IF(
    R548="Ancien",
    _xlfn.XLOOKUP(
        Final_Sans_VGE[[#This Row],[ppn_z]],
        tbl_Historique_Final[ppn_z],
        tbl_Historique_Final[Horodatage],
        ""
    ),
    Horodatage!$A$2
)</f>
        <v>46233.670796365739</v>
      </c>
      <c r="P548" s="1" t="str">
        <f>IFERROR(IF(tbl_Historique_Final[[#This Row],[Commentaires]]&lt;&gt;"",tbl_Historique_Final[[#This Row],[Commentaires]],""),"")</f>
        <v/>
      </c>
      <c r="X548" s="8" t="str">
        <f>IF(Final_Sans_VGE[[#This Row],[ppn_z]]="","",IFERROR(
   IF(_xlfn.XLOOKUP(Final_Sans_VGE[[#This Row],[ppn_z]],tbl_Historique_Final[ppn_z],tbl_Historique_Final[date_modif])=Final_Sans_VGE[[#This Row],[date_modif]],
      "Ancien",
      "Modifié"),
   "Nouveau"))</f>
        <v>Ancien</v>
      </c>
      <c r="AC548"/>
      <c r="AD548"/>
    </row>
    <row r="549" spans="1:30" x14ac:dyDescent="0.25">
      <c r="A549" s="5" t="s">
        <v>1811</v>
      </c>
      <c r="B549" s="1" t="s">
        <v>7383</v>
      </c>
      <c r="C549" s="1" t="s">
        <v>12</v>
      </c>
      <c r="G549" s="1" t="s">
        <v>11</v>
      </c>
      <c r="J549" s="3">
        <v>45416.856631944444</v>
      </c>
      <c r="K549" s="2" t="s">
        <v>7384</v>
      </c>
      <c r="L549" s="1">
        <v>6</v>
      </c>
      <c r="M549" s="1">
        <v>8</v>
      </c>
      <c r="N549">
        <v>2</v>
      </c>
      <c r="O549" s="3">
        <f>IF(
    R549="Ancien",
    _xlfn.XLOOKUP(
        Final_Sans_VGE[[#This Row],[ppn_z]],
        tbl_Historique_Final[ppn_z],
        tbl_Historique_Final[Horodatage],
        ""
    ),
    Horodatage!$A$2
)</f>
        <v>46233.670796365739</v>
      </c>
      <c r="P549" s="1" t="str">
        <f>IFERROR(IF(tbl_Historique_Final[[#This Row],[Commentaires]]&lt;&gt;"",tbl_Historique_Final[[#This Row],[Commentaires]],""),"")</f>
        <v/>
      </c>
      <c r="X549" s="8" t="str">
        <f>IF(Final_Sans_VGE[[#This Row],[ppn_z]]="","",IFERROR(
   IF(_xlfn.XLOOKUP(Final_Sans_VGE[[#This Row],[ppn_z]],tbl_Historique_Final[ppn_z],tbl_Historique_Final[date_modif])=Final_Sans_VGE[[#This Row],[date_modif]],
      "Ancien",
      "Modifié"),
   "Nouveau"))</f>
        <v>Ancien</v>
      </c>
      <c r="AC549"/>
      <c r="AD549"/>
    </row>
    <row r="550" spans="1:30" x14ac:dyDescent="0.25">
      <c r="A550" s="5" t="s">
        <v>1814</v>
      </c>
      <c r="B550" s="1" t="s">
        <v>7385</v>
      </c>
      <c r="J550" s="3">
        <v>45434.58394675926</v>
      </c>
      <c r="K550" s="2" t="s">
        <v>7386</v>
      </c>
      <c r="L550" s="1">
        <v>3</v>
      </c>
      <c r="M550" s="1">
        <v>3</v>
      </c>
      <c r="N550">
        <v>0</v>
      </c>
      <c r="O550" s="3">
        <f>IF(
    R550="Ancien",
    _xlfn.XLOOKUP(
        Final_Sans_VGE[[#This Row],[ppn_z]],
        tbl_Historique_Final[ppn_z],
        tbl_Historique_Final[Horodatage],
        ""
    ),
    Horodatage!$A$2
)</f>
        <v>46233.670796365739</v>
      </c>
      <c r="P550" s="1" t="str">
        <f>IFERROR(IF(tbl_Historique_Final[[#This Row],[Commentaires]]&lt;&gt;"",tbl_Historique_Final[[#This Row],[Commentaires]],""),"")</f>
        <v/>
      </c>
      <c r="X550" s="8" t="str">
        <f>IF(Final_Sans_VGE[[#This Row],[ppn_z]]="","",IFERROR(
   IF(_xlfn.XLOOKUP(Final_Sans_VGE[[#This Row],[ppn_z]],tbl_Historique_Final[ppn_z],tbl_Historique_Final[date_modif])=Final_Sans_VGE[[#This Row],[date_modif]],
      "Ancien",
      "Modifié"),
   "Nouveau"))</f>
        <v>Ancien</v>
      </c>
      <c r="AC550"/>
      <c r="AD550"/>
    </row>
    <row r="551" spans="1:30" x14ac:dyDescent="0.25">
      <c r="A551" s="5" t="s">
        <v>1817</v>
      </c>
      <c r="B551" s="1" t="s">
        <v>7387</v>
      </c>
      <c r="C551" s="1" t="s">
        <v>12</v>
      </c>
      <c r="G551" s="1" t="s">
        <v>11</v>
      </c>
      <c r="J551" s="3">
        <v>45428.364444444444</v>
      </c>
      <c r="K551" s="2" t="s">
        <v>7388</v>
      </c>
      <c r="L551" s="1">
        <v>1</v>
      </c>
      <c r="M551" s="1">
        <v>1</v>
      </c>
      <c r="N551">
        <v>0</v>
      </c>
      <c r="O551" s="3">
        <f>IF(
    R551="Ancien",
    _xlfn.XLOOKUP(
        Final_Sans_VGE[[#This Row],[ppn_z]],
        tbl_Historique_Final[ppn_z],
        tbl_Historique_Final[Horodatage],
        ""
    ),
    Horodatage!$A$2
)</f>
        <v>46233.670796365739</v>
      </c>
      <c r="P551" s="1" t="str">
        <f>IFERROR(IF(tbl_Historique_Final[[#This Row],[Commentaires]]&lt;&gt;"",tbl_Historique_Final[[#This Row],[Commentaires]],""),"")</f>
        <v/>
      </c>
      <c r="X551" s="8" t="str">
        <f>IF(Final_Sans_VGE[[#This Row],[ppn_z]]="","",IFERROR(
   IF(_xlfn.XLOOKUP(Final_Sans_VGE[[#This Row],[ppn_z]],tbl_Historique_Final[ppn_z],tbl_Historique_Final[date_modif])=Final_Sans_VGE[[#This Row],[date_modif]],
      "Ancien",
      "Modifié"),
   "Nouveau"))</f>
        <v>Ancien</v>
      </c>
      <c r="AC551"/>
      <c r="AD551"/>
    </row>
    <row r="552" spans="1:30" ht="30" x14ac:dyDescent="0.25">
      <c r="A552" s="5" t="s">
        <v>1820</v>
      </c>
      <c r="B552" s="1" t="s">
        <v>7389</v>
      </c>
      <c r="C552" s="1" t="s">
        <v>90</v>
      </c>
      <c r="G552" s="1" t="s">
        <v>11</v>
      </c>
      <c r="J552" s="3">
        <v>45525.582592592589</v>
      </c>
      <c r="K552" s="2" t="s">
        <v>7390</v>
      </c>
      <c r="L552" s="1">
        <v>3</v>
      </c>
      <c r="M552" s="1">
        <v>6</v>
      </c>
      <c r="N552">
        <v>3</v>
      </c>
      <c r="O552" s="3">
        <f>IF(
    R552="Ancien",
    _xlfn.XLOOKUP(
        Final_Sans_VGE[[#This Row],[ppn_z]],
        tbl_Historique_Final[ppn_z],
        tbl_Historique_Final[Horodatage],
        ""
    ),
    Horodatage!$A$2
)</f>
        <v>46233.670796365739</v>
      </c>
      <c r="P552" s="1" t="str">
        <f>IFERROR(IF(tbl_Historique_Final[[#This Row],[Commentaires]]&lt;&gt;"",tbl_Historique_Final[[#This Row],[Commentaires]],""),"")</f>
        <v/>
      </c>
      <c r="X552" s="8" t="str">
        <f>IF(Final_Sans_VGE[[#This Row],[ppn_z]]="","",IFERROR(
   IF(_xlfn.XLOOKUP(Final_Sans_VGE[[#This Row],[ppn_z]],tbl_Historique_Final[ppn_z],tbl_Historique_Final[date_modif])=Final_Sans_VGE[[#This Row],[date_modif]],
      "Ancien",
      "Modifié"),
   "Nouveau"))</f>
        <v>Ancien</v>
      </c>
      <c r="AC552"/>
      <c r="AD552"/>
    </row>
    <row r="553" spans="1:30" x14ac:dyDescent="0.25">
      <c r="A553" s="5" t="s">
        <v>1823</v>
      </c>
      <c r="B553" s="1" t="s">
        <v>7391</v>
      </c>
      <c r="C553" s="1" t="s">
        <v>6406</v>
      </c>
      <c r="J553" s="3">
        <v>45414.753958333335</v>
      </c>
      <c r="L553" s="1">
        <v>9</v>
      </c>
      <c r="M553" s="1">
        <v>9</v>
      </c>
      <c r="N553">
        <v>0</v>
      </c>
      <c r="O553" s="3">
        <f>IF(
    R553="Ancien",
    _xlfn.XLOOKUP(
        Final_Sans_VGE[[#This Row],[ppn_z]],
        tbl_Historique_Final[ppn_z],
        tbl_Historique_Final[Horodatage],
        ""
    ),
    Horodatage!$A$2
)</f>
        <v>46233.670796365739</v>
      </c>
      <c r="P553" s="1" t="str">
        <f>IFERROR(IF(tbl_Historique_Final[[#This Row],[Commentaires]]&lt;&gt;"",tbl_Historique_Final[[#This Row],[Commentaires]],""),"")</f>
        <v/>
      </c>
      <c r="X553" s="8" t="str">
        <f>IF(Final_Sans_VGE[[#This Row],[ppn_z]]="","",IFERROR(
   IF(_xlfn.XLOOKUP(Final_Sans_VGE[[#This Row],[ppn_z]],tbl_Historique_Final[ppn_z],tbl_Historique_Final[date_modif])=Final_Sans_VGE[[#This Row],[date_modif]],
      "Ancien",
      "Modifié"),
   "Nouveau"))</f>
        <v>Ancien</v>
      </c>
      <c r="AC553"/>
      <c r="AD553"/>
    </row>
    <row r="554" spans="1:30" x14ac:dyDescent="0.25">
      <c r="A554" s="5" t="s">
        <v>1826</v>
      </c>
      <c r="B554" s="1" t="s">
        <v>7392</v>
      </c>
      <c r="C554" s="1" t="s">
        <v>12</v>
      </c>
      <c r="G554" s="1" t="s">
        <v>10</v>
      </c>
      <c r="J554" s="3">
        <v>45567.686388888891</v>
      </c>
      <c r="K554" s="2" t="s">
        <v>7393</v>
      </c>
      <c r="L554" s="1">
        <v>1</v>
      </c>
      <c r="M554" s="1">
        <v>1</v>
      </c>
      <c r="N554">
        <v>0</v>
      </c>
      <c r="O554" s="3">
        <f>IF(
    R554="Ancien",
    _xlfn.XLOOKUP(
        Final_Sans_VGE[[#This Row],[ppn_z]],
        tbl_Historique_Final[ppn_z],
        tbl_Historique_Final[Horodatage],
        ""
    ),
    Horodatage!$A$2
)</f>
        <v>46233.670796365739</v>
      </c>
      <c r="P554" s="1" t="str">
        <f>IFERROR(IF(tbl_Historique_Final[[#This Row],[Commentaires]]&lt;&gt;"",tbl_Historique_Final[[#This Row],[Commentaires]],""),"")</f>
        <v/>
      </c>
      <c r="X554" s="8" t="str">
        <f>IF(Final_Sans_VGE[[#This Row],[ppn_z]]="","",IFERROR(
   IF(_xlfn.XLOOKUP(Final_Sans_VGE[[#This Row],[ppn_z]],tbl_Historique_Final[ppn_z],tbl_Historique_Final[date_modif])=Final_Sans_VGE[[#This Row],[date_modif]],
      "Ancien",
      "Modifié"),
   "Nouveau"))</f>
        <v>Ancien</v>
      </c>
      <c r="AC554"/>
      <c r="AD554"/>
    </row>
    <row r="555" spans="1:30" x14ac:dyDescent="0.25">
      <c r="A555" s="5" t="s">
        <v>1829</v>
      </c>
      <c r="B555" s="1" t="s">
        <v>7394</v>
      </c>
      <c r="C555" s="1" t="s">
        <v>12</v>
      </c>
      <c r="G555" s="1" t="s">
        <v>11</v>
      </c>
      <c r="J555" s="3">
        <v>45531.472685185188</v>
      </c>
      <c r="K555" s="2" t="s">
        <v>7395</v>
      </c>
      <c r="L555" s="1">
        <v>2</v>
      </c>
      <c r="M555" s="1">
        <v>3</v>
      </c>
      <c r="N555">
        <v>1</v>
      </c>
      <c r="O555" s="3">
        <f>IF(
    R555="Ancien",
    _xlfn.XLOOKUP(
        Final_Sans_VGE[[#This Row],[ppn_z]],
        tbl_Historique_Final[ppn_z],
        tbl_Historique_Final[Horodatage],
        ""
    ),
    Horodatage!$A$2
)</f>
        <v>46233.670796365739</v>
      </c>
      <c r="P555" s="1" t="str">
        <f>IFERROR(IF(tbl_Historique_Final[[#This Row],[Commentaires]]&lt;&gt;"",tbl_Historique_Final[[#This Row],[Commentaires]],""),"")</f>
        <v/>
      </c>
      <c r="X555" s="8" t="str">
        <f>IF(Final_Sans_VGE[[#This Row],[ppn_z]]="","",IFERROR(
   IF(_xlfn.XLOOKUP(Final_Sans_VGE[[#This Row],[ppn_z]],tbl_Historique_Final[ppn_z],tbl_Historique_Final[date_modif])=Final_Sans_VGE[[#This Row],[date_modif]],
      "Ancien",
      "Modifié"),
   "Nouveau"))</f>
        <v>Ancien</v>
      </c>
      <c r="AC555"/>
      <c r="AD555"/>
    </row>
    <row r="556" spans="1:30" x14ac:dyDescent="0.25">
      <c r="A556" s="5" t="s">
        <v>1832</v>
      </c>
      <c r="B556" s="1" t="s">
        <v>7396</v>
      </c>
      <c r="C556" s="1" t="s">
        <v>7397</v>
      </c>
      <c r="D556" s="1" t="s">
        <v>14</v>
      </c>
      <c r="E556" s="1" t="s">
        <v>7398</v>
      </c>
      <c r="F556" s="1" t="s">
        <v>7399</v>
      </c>
      <c r="G556" s="1" t="s">
        <v>10</v>
      </c>
      <c r="H556" s="1" t="s">
        <v>22</v>
      </c>
      <c r="I556" s="1" t="s">
        <v>22</v>
      </c>
      <c r="J556" s="3">
        <v>45573.705543981479</v>
      </c>
      <c r="K556" s="2" t="s">
        <v>7400</v>
      </c>
      <c r="L556" s="1">
        <v>1</v>
      </c>
      <c r="M556" s="1">
        <v>1</v>
      </c>
      <c r="N556">
        <v>0</v>
      </c>
      <c r="O556" s="3">
        <f>IF(
    R556="Ancien",
    _xlfn.XLOOKUP(
        Final_Sans_VGE[[#This Row],[ppn_z]],
        tbl_Historique_Final[ppn_z],
        tbl_Historique_Final[Horodatage],
        ""
    ),
    Horodatage!$A$2
)</f>
        <v>46233.670796365739</v>
      </c>
      <c r="P556" s="1" t="str">
        <f>IFERROR(IF(tbl_Historique_Final[[#This Row],[Commentaires]]&lt;&gt;"",tbl_Historique_Final[[#This Row],[Commentaires]],""),"")</f>
        <v/>
      </c>
      <c r="X556" s="8" t="str">
        <f>IF(Final_Sans_VGE[[#This Row],[ppn_z]]="","",IFERROR(
   IF(_xlfn.XLOOKUP(Final_Sans_VGE[[#This Row],[ppn_z]],tbl_Historique_Final[ppn_z],tbl_Historique_Final[date_modif])=Final_Sans_VGE[[#This Row],[date_modif]],
      "Ancien",
      "Modifié"),
   "Nouveau"))</f>
        <v>Ancien</v>
      </c>
      <c r="AC556"/>
      <c r="AD556"/>
    </row>
    <row r="557" spans="1:30" x14ac:dyDescent="0.25">
      <c r="A557" s="5" t="s">
        <v>1835</v>
      </c>
      <c r="B557" s="1" t="s">
        <v>7401</v>
      </c>
      <c r="C557" s="1" t="s">
        <v>142</v>
      </c>
      <c r="J557" s="3">
        <v>45414.851134259261</v>
      </c>
      <c r="L557" s="1">
        <v>3</v>
      </c>
      <c r="M557" s="1">
        <v>3</v>
      </c>
      <c r="N557">
        <v>0</v>
      </c>
      <c r="O557" s="3">
        <f>IF(
    R557="Ancien",
    _xlfn.XLOOKUP(
        Final_Sans_VGE[[#This Row],[ppn_z]],
        tbl_Historique_Final[ppn_z],
        tbl_Historique_Final[Horodatage],
        ""
    ),
    Horodatage!$A$2
)</f>
        <v>46233.670796365739</v>
      </c>
      <c r="P557" s="1" t="str">
        <f>IFERROR(IF(tbl_Historique_Final[[#This Row],[Commentaires]]&lt;&gt;"",tbl_Historique_Final[[#This Row],[Commentaires]],""),"")</f>
        <v/>
      </c>
      <c r="X557" s="8" t="str">
        <f>IF(Final_Sans_VGE[[#This Row],[ppn_z]]="","",IFERROR(
   IF(_xlfn.XLOOKUP(Final_Sans_VGE[[#This Row],[ppn_z]],tbl_Historique_Final[ppn_z],tbl_Historique_Final[date_modif])=Final_Sans_VGE[[#This Row],[date_modif]],
      "Ancien",
      "Modifié"),
   "Nouveau"))</f>
        <v>Ancien</v>
      </c>
      <c r="AC557"/>
      <c r="AD557"/>
    </row>
    <row r="558" spans="1:30" x14ac:dyDescent="0.25">
      <c r="A558" s="5" t="s">
        <v>1838</v>
      </c>
      <c r="B558" s="1" t="s">
        <v>7402</v>
      </c>
      <c r="C558" s="1" t="s">
        <v>36</v>
      </c>
      <c r="G558" s="1" t="s">
        <v>10</v>
      </c>
      <c r="J558" s="3">
        <v>45417.033078703702</v>
      </c>
      <c r="K558" s="2" t="s">
        <v>6369</v>
      </c>
      <c r="L558" s="1">
        <v>3</v>
      </c>
      <c r="M558" s="1">
        <v>3</v>
      </c>
      <c r="N558">
        <v>0</v>
      </c>
      <c r="O558" s="3">
        <f>IF(
    R558="Ancien",
    _xlfn.XLOOKUP(
        Final_Sans_VGE[[#This Row],[ppn_z]],
        tbl_Historique_Final[ppn_z],
        tbl_Historique_Final[Horodatage],
        ""
    ),
    Horodatage!$A$2
)</f>
        <v>46233.670796365739</v>
      </c>
      <c r="P558" s="1" t="str">
        <f>IFERROR(IF(tbl_Historique_Final[[#This Row],[Commentaires]]&lt;&gt;"",tbl_Historique_Final[[#This Row],[Commentaires]],""),"")</f>
        <v/>
      </c>
      <c r="X558" s="8" t="str">
        <f>IF(Final_Sans_VGE[[#This Row],[ppn_z]]="","",IFERROR(
   IF(_xlfn.XLOOKUP(Final_Sans_VGE[[#This Row],[ppn_z]],tbl_Historique_Final[ppn_z],tbl_Historique_Final[date_modif])=Final_Sans_VGE[[#This Row],[date_modif]],
      "Ancien",
      "Modifié"),
   "Nouveau"))</f>
        <v>Ancien</v>
      </c>
      <c r="AC558"/>
      <c r="AD558"/>
    </row>
    <row r="559" spans="1:30" x14ac:dyDescent="0.25">
      <c r="A559" s="5" t="s">
        <v>1841</v>
      </c>
      <c r="B559" s="1" t="s">
        <v>7403</v>
      </c>
      <c r="C559" s="1" t="s">
        <v>60</v>
      </c>
      <c r="G559" s="1" t="s">
        <v>10</v>
      </c>
      <c r="J559" s="3">
        <v>45538.577048611114</v>
      </c>
      <c r="K559" s="2" t="s">
        <v>7404</v>
      </c>
      <c r="L559" s="1">
        <v>23</v>
      </c>
      <c r="M559" s="1">
        <v>35</v>
      </c>
      <c r="N559">
        <v>12</v>
      </c>
      <c r="O559" s="3">
        <f>IF(
    R559="Ancien",
    _xlfn.XLOOKUP(
        Final_Sans_VGE[[#This Row],[ppn_z]],
        tbl_Historique_Final[ppn_z],
        tbl_Historique_Final[Horodatage],
        ""
    ),
    Horodatage!$A$2
)</f>
        <v>46233.670796365739</v>
      </c>
      <c r="P559" s="1" t="str">
        <f>IFERROR(IF(tbl_Historique_Final[[#This Row],[Commentaires]]&lt;&gt;"",tbl_Historique_Final[[#This Row],[Commentaires]],""),"")</f>
        <v/>
      </c>
      <c r="X559" s="8" t="str">
        <f>IF(Final_Sans_VGE[[#This Row],[ppn_z]]="","",IFERROR(
   IF(_xlfn.XLOOKUP(Final_Sans_VGE[[#This Row],[ppn_z]],tbl_Historique_Final[ppn_z],tbl_Historique_Final[date_modif])=Final_Sans_VGE[[#This Row],[date_modif]],
      "Ancien",
      "Modifié"),
   "Nouveau"))</f>
        <v>Ancien</v>
      </c>
      <c r="AC559"/>
      <c r="AD559"/>
    </row>
    <row r="560" spans="1:30" x14ac:dyDescent="0.25">
      <c r="A560" s="5" t="s">
        <v>1844</v>
      </c>
      <c r="B560" s="1" t="s">
        <v>7405</v>
      </c>
      <c r="C560" s="1" t="s">
        <v>7406</v>
      </c>
      <c r="G560" s="1" t="s">
        <v>11</v>
      </c>
      <c r="J560" s="3">
        <v>45418.303819444445</v>
      </c>
      <c r="K560" s="2" t="s">
        <v>7407</v>
      </c>
      <c r="L560" s="1">
        <v>1</v>
      </c>
      <c r="M560" s="1">
        <v>1</v>
      </c>
      <c r="N560">
        <v>0</v>
      </c>
      <c r="O560" s="3">
        <f>IF(
    R560="Ancien",
    _xlfn.XLOOKUP(
        Final_Sans_VGE[[#This Row],[ppn_z]],
        tbl_Historique_Final[ppn_z],
        tbl_Historique_Final[Horodatage],
        ""
    ),
    Horodatage!$A$2
)</f>
        <v>46233.670796365739</v>
      </c>
      <c r="P560" s="1" t="str">
        <f>IFERROR(IF(tbl_Historique_Final[[#This Row],[Commentaires]]&lt;&gt;"",tbl_Historique_Final[[#This Row],[Commentaires]],""),"")</f>
        <v/>
      </c>
      <c r="X560" s="8" t="str">
        <f>IF(Final_Sans_VGE[[#This Row],[ppn_z]]="","",IFERROR(
   IF(_xlfn.XLOOKUP(Final_Sans_VGE[[#This Row],[ppn_z]],tbl_Historique_Final[ppn_z],tbl_Historique_Final[date_modif])=Final_Sans_VGE[[#This Row],[date_modif]],
      "Ancien",
      "Modifié"),
   "Nouveau"))</f>
        <v>Ancien</v>
      </c>
      <c r="AC560"/>
      <c r="AD560"/>
    </row>
    <row r="561" spans="1:30" ht="30" x14ac:dyDescent="0.25">
      <c r="A561" s="5" t="s">
        <v>1847</v>
      </c>
      <c r="B561" s="1" t="s">
        <v>7408</v>
      </c>
      <c r="C561" s="1" t="s">
        <v>44</v>
      </c>
      <c r="G561" s="1" t="s">
        <v>10</v>
      </c>
      <c r="J561" s="3">
        <v>45483.374814814815</v>
      </c>
      <c r="K561" s="2" t="s">
        <v>7409</v>
      </c>
      <c r="L561" s="1">
        <v>1</v>
      </c>
      <c r="M561" s="1">
        <v>3</v>
      </c>
      <c r="N561">
        <v>2</v>
      </c>
      <c r="O561" s="3">
        <f>IF(
    R561="Ancien",
    _xlfn.XLOOKUP(
        Final_Sans_VGE[[#This Row],[ppn_z]],
        tbl_Historique_Final[ppn_z],
        tbl_Historique_Final[Horodatage],
        ""
    ),
    Horodatage!$A$2
)</f>
        <v>46233.670796365739</v>
      </c>
      <c r="P561" s="1" t="str">
        <f>IFERROR(IF(tbl_Historique_Final[[#This Row],[Commentaires]]&lt;&gt;"",tbl_Historique_Final[[#This Row],[Commentaires]],""),"")</f>
        <v/>
      </c>
      <c r="X561" s="8" t="str">
        <f>IF(Final_Sans_VGE[[#This Row],[ppn_z]]="","",IFERROR(
   IF(_xlfn.XLOOKUP(Final_Sans_VGE[[#This Row],[ppn_z]],tbl_Historique_Final[ppn_z],tbl_Historique_Final[date_modif])=Final_Sans_VGE[[#This Row],[date_modif]],
      "Ancien",
      "Modifié"),
   "Nouveau"))</f>
        <v>Ancien</v>
      </c>
      <c r="AC561"/>
      <c r="AD561"/>
    </row>
    <row r="562" spans="1:30" x14ac:dyDescent="0.25">
      <c r="A562" s="5" t="s">
        <v>1850</v>
      </c>
      <c r="B562" s="1" t="s">
        <v>7410</v>
      </c>
      <c r="C562" s="1" t="s">
        <v>12</v>
      </c>
      <c r="G562" s="1" t="s">
        <v>10</v>
      </c>
      <c r="J562" s="3">
        <v>45519.485844907409</v>
      </c>
      <c r="K562" s="2" t="s">
        <v>7411</v>
      </c>
      <c r="L562" s="1">
        <v>2</v>
      </c>
      <c r="M562" s="1">
        <v>2</v>
      </c>
      <c r="N562">
        <v>0</v>
      </c>
      <c r="O562" s="3">
        <f>IF(
    R562="Ancien",
    _xlfn.XLOOKUP(
        Final_Sans_VGE[[#This Row],[ppn_z]],
        tbl_Historique_Final[ppn_z],
        tbl_Historique_Final[Horodatage],
        ""
    ),
    Horodatage!$A$2
)</f>
        <v>46233.670796365739</v>
      </c>
      <c r="P562" s="1" t="str">
        <f>IFERROR(IF(tbl_Historique_Final[[#This Row],[Commentaires]]&lt;&gt;"",tbl_Historique_Final[[#This Row],[Commentaires]],""),"")</f>
        <v/>
      </c>
      <c r="X562" s="8" t="str">
        <f>IF(Final_Sans_VGE[[#This Row],[ppn_z]]="","",IFERROR(
   IF(_xlfn.XLOOKUP(Final_Sans_VGE[[#This Row],[ppn_z]],tbl_Historique_Final[ppn_z],tbl_Historique_Final[date_modif])=Final_Sans_VGE[[#This Row],[date_modif]],
      "Ancien",
      "Modifié"),
   "Nouveau"))</f>
        <v>Ancien</v>
      </c>
      <c r="AC562"/>
      <c r="AD562"/>
    </row>
    <row r="563" spans="1:30" x14ac:dyDescent="0.25">
      <c r="A563" s="5" t="s">
        <v>1853</v>
      </c>
      <c r="B563" s="1" t="s">
        <v>7412</v>
      </c>
      <c r="C563" s="1" t="s">
        <v>88</v>
      </c>
      <c r="G563" s="1" t="s">
        <v>10</v>
      </c>
      <c r="J563" s="3">
        <v>45421.517488425925</v>
      </c>
      <c r="L563" s="1">
        <v>24</v>
      </c>
      <c r="M563" s="1">
        <v>33</v>
      </c>
      <c r="N563">
        <v>9</v>
      </c>
      <c r="O563" s="3">
        <f>IF(
    R563="Ancien",
    _xlfn.XLOOKUP(
        Final_Sans_VGE[[#This Row],[ppn_z]],
        tbl_Historique_Final[ppn_z],
        tbl_Historique_Final[Horodatage],
        ""
    ),
    Horodatage!$A$2
)</f>
        <v>46233.670796365739</v>
      </c>
      <c r="P563" s="1" t="str">
        <f>IFERROR(IF(tbl_Historique_Final[[#This Row],[Commentaires]]&lt;&gt;"",tbl_Historique_Final[[#This Row],[Commentaires]],""),"")</f>
        <v/>
      </c>
      <c r="X563" s="8" t="str">
        <f>IF(Final_Sans_VGE[[#This Row],[ppn_z]]="","",IFERROR(
   IF(_xlfn.XLOOKUP(Final_Sans_VGE[[#This Row],[ppn_z]],tbl_Historique_Final[ppn_z],tbl_Historique_Final[date_modif])=Final_Sans_VGE[[#This Row],[date_modif]],
      "Ancien",
      "Modifié"),
   "Nouveau"))</f>
        <v>Ancien</v>
      </c>
      <c r="AC563"/>
      <c r="AD563"/>
    </row>
    <row r="564" spans="1:30" x14ac:dyDescent="0.25">
      <c r="A564" s="5" t="s">
        <v>1856</v>
      </c>
      <c r="B564" s="1" t="s">
        <v>7413</v>
      </c>
      <c r="C564" s="1" t="s">
        <v>12</v>
      </c>
      <c r="G564" s="1" t="s">
        <v>11</v>
      </c>
      <c r="J564" s="3">
        <v>45428.369201388887</v>
      </c>
      <c r="K564" s="2" t="s">
        <v>7388</v>
      </c>
      <c r="L564" s="1">
        <v>1</v>
      </c>
      <c r="M564" s="1">
        <v>1</v>
      </c>
      <c r="N564">
        <v>0</v>
      </c>
      <c r="O564" s="3">
        <f>IF(
    R564="Ancien",
    _xlfn.XLOOKUP(
        Final_Sans_VGE[[#This Row],[ppn_z]],
        tbl_Historique_Final[ppn_z],
        tbl_Historique_Final[Horodatage],
        ""
    ),
    Horodatage!$A$2
)</f>
        <v>46233.670796365739</v>
      </c>
      <c r="P564" s="1" t="str">
        <f>IFERROR(IF(tbl_Historique_Final[[#This Row],[Commentaires]]&lt;&gt;"",tbl_Historique_Final[[#This Row],[Commentaires]],""),"")</f>
        <v/>
      </c>
      <c r="X564" s="8" t="str">
        <f>IF(Final_Sans_VGE[[#This Row],[ppn_z]]="","",IFERROR(
   IF(_xlfn.XLOOKUP(Final_Sans_VGE[[#This Row],[ppn_z]],tbl_Historique_Final[ppn_z],tbl_Historique_Final[date_modif])=Final_Sans_VGE[[#This Row],[date_modif]],
      "Ancien",
      "Modifié"),
   "Nouveau"))</f>
        <v>Ancien</v>
      </c>
      <c r="AC564"/>
      <c r="AD564"/>
    </row>
    <row r="565" spans="1:30" x14ac:dyDescent="0.25">
      <c r="A565" s="5" t="s">
        <v>1859</v>
      </c>
      <c r="B565" s="1" t="s">
        <v>7414</v>
      </c>
      <c r="C565" s="1" t="s">
        <v>78</v>
      </c>
      <c r="J565" s="3">
        <v>45415.095613425925</v>
      </c>
      <c r="L565" s="1">
        <v>1</v>
      </c>
      <c r="M565" s="1">
        <v>1</v>
      </c>
      <c r="N565">
        <v>0</v>
      </c>
      <c r="O565" s="3">
        <f>IF(
    R565="Ancien",
    _xlfn.XLOOKUP(
        Final_Sans_VGE[[#This Row],[ppn_z]],
        tbl_Historique_Final[ppn_z],
        tbl_Historique_Final[Horodatage],
        ""
    ),
    Horodatage!$A$2
)</f>
        <v>46233.670796365739</v>
      </c>
      <c r="P565" s="1" t="str">
        <f>IFERROR(IF(tbl_Historique_Final[[#This Row],[Commentaires]]&lt;&gt;"",tbl_Historique_Final[[#This Row],[Commentaires]],""),"")</f>
        <v/>
      </c>
      <c r="X565" s="8" t="str">
        <f>IF(Final_Sans_VGE[[#This Row],[ppn_z]]="","",IFERROR(
   IF(_xlfn.XLOOKUP(Final_Sans_VGE[[#This Row],[ppn_z]],tbl_Historique_Final[ppn_z],tbl_Historique_Final[date_modif])=Final_Sans_VGE[[#This Row],[date_modif]],
      "Ancien",
      "Modifié"),
   "Nouveau"))</f>
        <v>Ancien</v>
      </c>
      <c r="AC565"/>
      <c r="AD565"/>
    </row>
    <row r="566" spans="1:30" ht="30" x14ac:dyDescent="0.25">
      <c r="A566" s="5" t="s">
        <v>1862</v>
      </c>
      <c r="B566" s="1" t="s">
        <v>7415</v>
      </c>
      <c r="C566" s="1" t="s">
        <v>12</v>
      </c>
      <c r="G566" s="1" t="s">
        <v>10</v>
      </c>
      <c r="J566" s="3">
        <v>45450.40221064815</v>
      </c>
      <c r="K566" s="2" t="s">
        <v>7416</v>
      </c>
      <c r="L566" s="1">
        <v>1</v>
      </c>
      <c r="M566" s="1">
        <v>2</v>
      </c>
      <c r="N566">
        <v>1</v>
      </c>
      <c r="O566" s="3">
        <f>IF(
    R566="Ancien",
    _xlfn.XLOOKUP(
        Final_Sans_VGE[[#This Row],[ppn_z]],
        tbl_Historique_Final[ppn_z],
        tbl_Historique_Final[Horodatage],
        ""
    ),
    Horodatage!$A$2
)</f>
        <v>46233.670796365739</v>
      </c>
      <c r="P566" s="1" t="str">
        <f>IFERROR(IF(tbl_Historique_Final[[#This Row],[Commentaires]]&lt;&gt;"",tbl_Historique_Final[[#This Row],[Commentaires]],""),"")</f>
        <v/>
      </c>
      <c r="X566" s="8" t="str">
        <f>IF(Final_Sans_VGE[[#This Row],[ppn_z]]="","",IFERROR(
   IF(_xlfn.XLOOKUP(Final_Sans_VGE[[#This Row],[ppn_z]],tbl_Historique_Final[ppn_z],tbl_Historique_Final[date_modif])=Final_Sans_VGE[[#This Row],[date_modif]],
      "Ancien",
      "Modifié"),
   "Nouveau"))</f>
        <v>Ancien</v>
      </c>
      <c r="AC566"/>
      <c r="AD566"/>
    </row>
    <row r="567" spans="1:30" x14ac:dyDescent="0.25">
      <c r="A567" s="5" t="s">
        <v>1865</v>
      </c>
      <c r="B567" s="1" t="s">
        <v>7417</v>
      </c>
      <c r="G567" s="1" t="s">
        <v>11</v>
      </c>
      <c r="J567" s="3">
        <v>45421.517476851855</v>
      </c>
      <c r="L567" s="1">
        <v>14</v>
      </c>
      <c r="M567" s="1">
        <v>14</v>
      </c>
      <c r="N567">
        <v>0</v>
      </c>
      <c r="O567" s="3">
        <f>IF(
    R567="Ancien",
    _xlfn.XLOOKUP(
        Final_Sans_VGE[[#This Row],[ppn_z]],
        tbl_Historique_Final[ppn_z],
        tbl_Historique_Final[Horodatage],
        ""
    ),
    Horodatage!$A$2
)</f>
        <v>46233.670796365739</v>
      </c>
      <c r="P567" s="1" t="str">
        <f>IFERROR(IF(tbl_Historique_Final[[#This Row],[Commentaires]]&lt;&gt;"",tbl_Historique_Final[[#This Row],[Commentaires]],""),"")</f>
        <v/>
      </c>
      <c r="X567" s="8" t="str">
        <f>IF(Final_Sans_VGE[[#This Row],[ppn_z]]="","",IFERROR(
   IF(_xlfn.XLOOKUP(Final_Sans_VGE[[#This Row],[ppn_z]],tbl_Historique_Final[ppn_z],tbl_Historique_Final[date_modif])=Final_Sans_VGE[[#This Row],[date_modif]],
      "Ancien",
      "Modifié"),
   "Nouveau"))</f>
        <v>Ancien</v>
      </c>
      <c r="AC567"/>
      <c r="AD567"/>
    </row>
    <row r="568" spans="1:30" x14ac:dyDescent="0.25">
      <c r="A568" s="5" t="s">
        <v>1868</v>
      </c>
      <c r="B568" s="1" t="s">
        <v>7418</v>
      </c>
      <c r="J568" s="3">
        <v>45414.731759259259</v>
      </c>
      <c r="L568" s="1">
        <v>3</v>
      </c>
      <c r="M568" s="1">
        <v>4</v>
      </c>
      <c r="N568">
        <v>1</v>
      </c>
      <c r="O568" s="3">
        <f>IF(
    R568="Ancien",
    _xlfn.XLOOKUP(
        Final_Sans_VGE[[#This Row],[ppn_z]],
        tbl_Historique_Final[ppn_z],
        tbl_Historique_Final[Horodatage],
        ""
    ),
    Horodatage!$A$2
)</f>
        <v>46233.670796365739</v>
      </c>
      <c r="P568" s="1" t="str">
        <f>IFERROR(IF(tbl_Historique_Final[[#This Row],[Commentaires]]&lt;&gt;"",tbl_Historique_Final[[#This Row],[Commentaires]],""),"")</f>
        <v/>
      </c>
      <c r="X568" s="8" t="str">
        <f>IF(Final_Sans_VGE[[#This Row],[ppn_z]]="","",IFERROR(
   IF(_xlfn.XLOOKUP(Final_Sans_VGE[[#This Row],[ppn_z]],tbl_Historique_Final[ppn_z],tbl_Historique_Final[date_modif])=Final_Sans_VGE[[#This Row],[date_modif]],
      "Ancien",
      "Modifié"),
   "Nouveau"))</f>
        <v>Ancien</v>
      </c>
      <c r="AC568"/>
      <c r="AD568"/>
    </row>
    <row r="569" spans="1:30" x14ac:dyDescent="0.25">
      <c r="A569" s="5" t="s">
        <v>1871</v>
      </c>
      <c r="B569" s="1" t="s">
        <v>7419</v>
      </c>
      <c r="C569" s="1" t="s">
        <v>12</v>
      </c>
      <c r="G569" s="1" t="s">
        <v>10</v>
      </c>
      <c r="J569" s="3">
        <v>45527.768252314818</v>
      </c>
      <c r="K569" s="2" t="s">
        <v>7420</v>
      </c>
      <c r="L569" s="1">
        <v>2</v>
      </c>
      <c r="M569" s="1">
        <v>2</v>
      </c>
      <c r="N569">
        <v>0</v>
      </c>
      <c r="O569" s="3">
        <f>IF(
    R569="Ancien",
    _xlfn.XLOOKUP(
        Final_Sans_VGE[[#This Row],[ppn_z]],
        tbl_Historique_Final[ppn_z],
        tbl_Historique_Final[Horodatage],
        ""
    ),
    Horodatage!$A$2
)</f>
        <v>46233.670796365739</v>
      </c>
      <c r="P569" s="1" t="str">
        <f>IFERROR(IF(tbl_Historique_Final[[#This Row],[Commentaires]]&lt;&gt;"",tbl_Historique_Final[[#This Row],[Commentaires]],""),"")</f>
        <v/>
      </c>
      <c r="X569" s="8" t="str">
        <f>IF(Final_Sans_VGE[[#This Row],[ppn_z]]="","",IFERROR(
   IF(_xlfn.XLOOKUP(Final_Sans_VGE[[#This Row],[ppn_z]],tbl_Historique_Final[ppn_z],tbl_Historique_Final[date_modif])=Final_Sans_VGE[[#This Row],[date_modif]],
      "Ancien",
      "Modifié"),
   "Nouveau"))</f>
        <v>Ancien</v>
      </c>
      <c r="AC569"/>
      <c r="AD569"/>
    </row>
    <row r="570" spans="1:30" x14ac:dyDescent="0.25">
      <c r="A570" s="5" t="s">
        <v>1874</v>
      </c>
      <c r="B570" s="1" t="s">
        <v>7421</v>
      </c>
      <c r="C570" s="1" t="s">
        <v>6694</v>
      </c>
      <c r="J570" s="3">
        <v>45415.170578703706</v>
      </c>
      <c r="L570" s="1">
        <v>4</v>
      </c>
      <c r="M570" s="1">
        <v>4</v>
      </c>
      <c r="N570">
        <v>0</v>
      </c>
      <c r="O570" s="3">
        <f>IF(
    R570="Ancien",
    _xlfn.XLOOKUP(
        Final_Sans_VGE[[#This Row],[ppn_z]],
        tbl_Historique_Final[ppn_z],
        tbl_Historique_Final[Horodatage],
        ""
    ),
    Horodatage!$A$2
)</f>
        <v>46233.670796365739</v>
      </c>
      <c r="P570" s="1" t="str">
        <f>IFERROR(IF(tbl_Historique_Final[[#This Row],[Commentaires]]&lt;&gt;"",tbl_Historique_Final[[#This Row],[Commentaires]],""),"")</f>
        <v/>
      </c>
      <c r="X570" s="8" t="str">
        <f>IF(Final_Sans_VGE[[#This Row],[ppn_z]]="","",IFERROR(
   IF(_xlfn.XLOOKUP(Final_Sans_VGE[[#This Row],[ppn_z]],tbl_Historique_Final[ppn_z],tbl_Historique_Final[date_modif])=Final_Sans_VGE[[#This Row],[date_modif]],
      "Ancien",
      "Modifié"),
   "Nouveau"))</f>
        <v>Ancien</v>
      </c>
      <c r="AC570"/>
      <c r="AD570"/>
    </row>
    <row r="571" spans="1:30" x14ac:dyDescent="0.25">
      <c r="A571" s="5" t="s">
        <v>1877</v>
      </c>
      <c r="B571" s="1" t="s">
        <v>7422</v>
      </c>
      <c r="C571" s="1" t="s">
        <v>12</v>
      </c>
      <c r="G571" s="1" t="s">
        <v>10</v>
      </c>
      <c r="J571" s="3">
        <v>45441.385937500003</v>
      </c>
      <c r="L571" s="1">
        <v>1</v>
      </c>
      <c r="M571" s="1">
        <v>1</v>
      </c>
      <c r="N571">
        <v>0</v>
      </c>
      <c r="O571" s="3">
        <f>IF(
    R571="Ancien",
    _xlfn.XLOOKUP(
        Final_Sans_VGE[[#This Row],[ppn_z]],
        tbl_Historique_Final[ppn_z],
        tbl_Historique_Final[Horodatage],
        ""
    ),
    Horodatage!$A$2
)</f>
        <v>46233.670796365739</v>
      </c>
      <c r="P571" s="1" t="str">
        <f>IFERROR(IF(tbl_Historique_Final[[#This Row],[Commentaires]]&lt;&gt;"",tbl_Historique_Final[[#This Row],[Commentaires]],""),"")</f>
        <v/>
      </c>
      <c r="X571" s="8" t="str">
        <f>IF(Final_Sans_VGE[[#This Row],[ppn_z]]="","",IFERROR(
   IF(_xlfn.XLOOKUP(Final_Sans_VGE[[#This Row],[ppn_z]],tbl_Historique_Final[ppn_z],tbl_Historique_Final[date_modif])=Final_Sans_VGE[[#This Row],[date_modif]],
      "Ancien",
      "Modifié"),
   "Nouveau"))</f>
        <v>Ancien</v>
      </c>
      <c r="AC571"/>
      <c r="AD571"/>
    </row>
    <row r="572" spans="1:30" x14ac:dyDescent="0.25">
      <c r="A572" s="5" t="s">
        <v>1880</v>
      </c>
      <c r="B572" s="1" t="s">
        <v>7423</v>
      </c>
      <c r="C572" s="1" t="s">
        <v>45</v>
      </c>
      <c r="J572" s="3">
        <v>45415.301145833335</v>
      </c>
      <c r="L572" s="1">
        <v>3</v>
      </c>
      <c r="M572" s="1">
        <v>3</v>
      </c>
      <c r="N572">
        <v>0</v>
      </c>
      <c r="O572" s="3">
        <f>IF(
    R572="Ancien",
    _xlfn.XLOOKUP(
        Final_Sans_VGE[[#This Row],[ppn_z]],
        tbl_Historique_Final[ppn_z],
        tbl_Historique_Final[Horodatage],
        ""
    ),
    Horodatage!$A$2
)</f>
        <v>46233.670796365739</v>
      </c>
      <c r="P572" s="1" t="str">
        <f>IFERROR(IF(tbl_Historique_Final[[#This Row],[Commentaires]]&lt;&gt;"",tbl_Historique_Final[[#This Row],[Commentaires]],""),"")</f>
        <v/>
      </c>
      <c r="X572" s="8" t="str">
        <f>IF(Final_Sans_VGE[[#This Row],[ppn_z]]="","",IFERROR(
   IF(_xlfn.XLOOKUP(Final_Sans_VGE[[#This Row],[ppn_z]],tbl_Historique_Final[ppn_z],tbl_Historique_Final[date_modif])=Final_Sans_VGE[[#This Row],[date_modif]],
      "Ancien",
      "Modifié"),
   "Nouveau"))</f>
        <v>Ancien</v>
      </c>
      <c r="AC572"/>
      <c r="AD572"/>
    </row>
    <row r="573" spans="1:30" ht="45" x14ac:dyDescent="0.25">
      <c r="A573" s="5" t="s">
        <v>1883</v>
      </c>
      <c r="B573" s="1" t="s">
        <v>7424</v>
      </c>
      <c r="C573" s="1" t="s">
        <v>6793</v>
      </c>
      <c r="G573" s="1" t="s">
        <v>10</v>
      </c>
      <c r="J573" s="3">
        <v>45575.572199074071</v>
      </c>
      <c r="K573" s="2" t="s">
        <v>7425</v>
      </c>
      <c r="L573" s="1">
        <v>1</v>
      </c>
      <c r="M573" s="1">
        <v>1</v>
      </c>
      <c r="N573">
        <v>0</v>
      </c>
      <c r="O573" s="3">
        <f>IF(
    R573="Ancien",
    _xlfn.XLOOKUP(
        Final_Sans_VGE[[#This Row],[ppn_z]],
        tbl_Historique_Final[ppn_z],
        tbl_Historique_Final[Horodatage],
        ""
    ),
    Horodatage!$A$2
)</f>
        <v>46233.670796365739</v>
      </c>
      <c r="P573" s="1" t="str">
        <f>IFERROR(IF(tbl_Historique_Final[[#This Row],[Commentaires]]&lt;&gt;"",tbl_Historique_Final[[#This Row],[Commentaires]],""),"")</f>
        <v/>
      </c>
      <c r="X573" s="8" t="str">
        <f>IF(Final_Sans_VGE[[#This Row],[ppn_z]]="","",IFERROR(
   IF(_xlfn.XLOOKUP(Final_Sans_VGE[[#This Row],[ppn_z]],tbl_Historique_Final[ppn_z],tbl_Historique_Final[date_modif])=Final_Sans_VGE[[#This Row],[date_modif]],
      "Ancien",
      "Modifié"),
   "Nouveau"))</f>
        <v>Ancien</v>
      </c>
      <c r="AC573"/>
      <c r="AD573"/>
    </row>
    <row r="574" spans="1:30" x14ac:dyDescent="0.25">
      <c r="A574" s="5" t="s">
        <v>1886</v>
      </c>
      <c r="B574" s="1" t="s">
        <v>7426</v>
      </c>
      <c r="C574" s="1" t="s">
        <v>12</v>
      </c>
      <c r="G574" s="1" t="s">
        <v>10</v>
      </c>
      <c r="J574" s="3">
        <v>45485.478182870371</v>
      </c>
      <c r="K574" s="2" t="s">
        <v>7427</v>
      </c>
      <c r="L574" s="1">
        <v>1</v>
      </c>
      <c r="M574" s="1">
        <v>1</v>
      </c>
      <c r="N574">
        <v>0</v>
      </c>
      <c r="O574" s="3">
        <f>IF(
    R574="Ancien",
    _xlfn.XLOOKUP(
        Final_Sans_VGE[[#This Row],[ppn_z]],
        tbl_Historique_Final[ppn_z],
        tbl_Historique_Final[Horodatage],
        ""
    ),
    Horodatage!$A$2
)</f>
        <v>46233.670796365739</v>
      </c>
      <c r="P574" s="1" t="str">
        <f>IFERROR(IF(tbl_Historique_Final[[#This Row],[Commentaires]]&lt;&gt;"",tbl_Historique_Final[[#This Row],[Commentaires]],""),"")</f>
        <v/>
      </c>
      <c r="X574" s="8" t="str">
        <f>IF(Final_Sans_VGE[[#This Row],[ppn_z]]="","",IFERROR(
   IF(_xlfn.XLOOKUP(Final_Sans_VGE[[#This Row],[ppn_z]],tbl_Historique_Final[ppn_z],tbl_Historique_Final[date_modif])=Final_Sans_VGE[[#This Row],[date_modif]],
      "Ancien",
      "Modifié"),
   "Nouveau"))</f>
        <v>Ancien</v>
      </c>
      <c r="AC574"/>
      <c r="AD574"/>
    </row>
    <row r="575" spans="1:30" x14ac:dyDescent="0.25">
      <c r="A575" s="5" t="s">
        <v>1889</v>
      </c>
      <c r="B575" s="1" t="s">
        <v>7428</v>
      </c>
      <c r="C575" s="1" t="s">
        <v>12</v>
      </c>
      <c r="J575" s="3">
        <v>45416.746886574074</v>
      </c>
      <c r="K575" s="2" t="s">
        <v>7429</v>
      </c>
      <c r="L575" s="1">
        <v>2</v>
      </c>
      <c r="M575" s="1">
        <v>3</v>
      </c>
      <c r="N575">
        <v>1</v>
      </c>
      <c r="O575" s="3">
        <f>IF(
    R575="Ancien",
    _xlfn.XLOOKUP(
        Final_Sans_VGE[[#This Row],[ppn_z]],
        tbl_Historique_Final[ppn_z],
        tbl_Historique_Final[Horodatage],
        ""
    ),
    Horodatage!$A$2
)</f>
        <v>46233.670796365739</v>
      </c>
      <c r="P575" s="1" t="str">
        <f>IFERROR(IF(tbl_Historique_Final[[#This Row],[Commentaires]]&lt;&gt;"",tbl_Historique_Final[[#This Row],[Commentaires]],""),"")</f>
        <v/>
      </c>
      <c r="X575" s="8" t="str">
        <f>IF(Final_Sans_VGE[[#This Row],[ppn_z]]="","",IFERROR(
   IF(_xlfn.XLOOKUP(Final_Sans_VGE[[#This Row],[ppn_z]],tbl_Historique_Final[ppn_z],tbl_Historique_Final[date_modif])=Final_Sans_VGE[[#This Row],[date_modif]],
      "Ancien",
      "Modifié"),
   "Nouveau"))</f>
        <v>Ancien</v>
      </c>
      <c r="AC575"/>
      <c r="AD575"/>
    </row>
    <row r="576" spans="1:30" x14ac:dyDescent="0.25">
      <c r="A576" s="5" t="s">
        <v>1892</v>
      </c>
      <c r="B576" s="1" t="s">
        <v>7430</v>
      </c>
      <c r="C576" s="1" t="s">
        <v>32</v>
      </c>
      <c r="J576" s="3">
        <v>45415.358055555553</v>
      </c>
      <c r="L576" s="1">
        <v>1</v>
      </c>
      <c r="M576" s="1">
        <v>1</v>
      </c>
      <c r="N576">
        <v>0</v>
      </c>
      <c r="O576" s="3">
        <f>IF(
    R576="Ancien",
    _xlfn.XLOOKUP(
        Final_Sans_VGE[[#This Row],[ppn_z]],
        tbl_Historique_Final[ppn_z],
        tbl_Historique_Final[Horodatage],
        ""
    ),
    Horodatage!$A$2
)</f>
        <v>46233.670796365739</v>
      </c>
      <c r="P576" s="1" t="str">
        <f>IFERROR(IF(tbl_Historique_Final[[#This Row],[Commentaires]]&lt;&gt;"",tbl_Historique_Final[[#This Row],[Commentaires]],""),"")</f>
        <v/>
      </c>
      <c r="X576" s="8" t="str">
        <f>IF(Final_Sans_VGE[[#This Row],[ppn_z]]="","",IFERROR(
   IF(_xlfn.XLOOKUP(Final_Sans_VGE[[#This Row],[ppn_z]],tbl_Historique_Final[ppn_z],tbl_Historique_Final[date_modif])=Final_Sans_VGE[[#This Row],[date_modif]],
      "Ancien",
      "Modifié"),
   "Nouveau"))</f>
        <v>Ancien</v>
      </c>
      <c r="AC576"/>
      <c r="AD576"/>
    </row>
    <row r="577" spans="1:30" ht="30" x14ac:dyDescent="0.25">
      <c r="A577" s="5" t="s">
        <v>1895</v>
      </c>
      <c r="B577" s="1" t="s">
        <v>7431</v>
      </c>
      <c r="G577" s="1" t="s">
        <v>11</v>
      </c>
      <c r="H577" s="1" t="s">
        <v>22</v>
      </c>
      <c r="I577" s="1" t="s">
        <v>22</v>
      </c>
      <c r="J577" s="3">
        <v>45569.370520833334</v>
      </c>
      <c r="K577" s="2" t="s">
        <v>7432</v>
      </c>
      <c r="L577" s="1">
        <v>4</v>
      </c>
      <c r="M577" s="1">
        <v>6</v>
      </c>
      <c r="N577">
        <v>2</v>
      </c>
      <c r="O577" s="3">
        <f>IF(
    R577="Ancien",
    _xlfn.XLOOKUP(
        Final_Sans_VGE[[#This Row],[ppn_z]],
        tbl_Historique_Final[ppn_z],
        tbl_Historique_Final[Horodatage],
        ""
    ),
    Horodatage!$A$2
)</f>
        <v>46233.670796365739</v>
      </c>
      <c r="P577" s="1" t="str">
        <f>IFERROR(IF(tbl_Historique_Final[[#This Row],[Commentaires]]&lt;&gt;"",tbl_Historique_Final[[#This Row],[Commentaires]],""),"")</f>
        <v/>
      </c>
      <c r="X577" s="8" t="str">
        <f>IF(Final_Sans_VGE[[#This Row],[ppn_z]]="","",IFERROR(
   IF(_xlfn.XLOOKUP(Final_Sans_VGE[[#This Row],[ppn_z]],tbl_Historique_Final[ppn_z],tbl_Historique_Final[date_modif])=Final_Sans_VGE[[#This Row],[date_modif]],
      "Ancien",
      "Modifié"),
   "Nouveau"))</f>
        <v>Ancien</v>
      </c>
      <c r="AC577"/>
      <c r="AD577"/>
    </row>
    <row r="578" spans="1:30" ht="30" x14ac:dyDescent="0.25">
      <c r="A578" s="5" t="s">
        <v>1898</v>
      </c>
      <c r="B578" s="1" t="s">
        <v>7433</v>
      </c>
      <c r="C578" s="1" t="s">
        <v>55</v>
      </c>
      <c r="G578" s="1" t="s">
        <v>11</v>
      </c>
      <c r="J578" s="3">
        <v>45567.682939814818</v>
      </c>
      <c r="K578" s="2" t="s">
        <v>7434</v>
      </c>
      <c r="L578" s="1">
        <v>1</v>
      </c>
      <c r="M578" s="1">
        <v>1</v>
      </c>
      <c r="N578">
        <v>0</v>
      </c>
      <c r="O578" s="3">
        <f>IF(
    R578="Ancien",
    _xlfn.XLOOKUP(
        Final_Sans_VGE[[#This Row],[ppn_z]],
        tbl_Historique_Final[ppn_z],
        tbl_Historique_Final[Horodatage],
        ""
    ),
    Horodatage!$A$2
)</f>
        <v>46233.670796365739</v>
      </c>
      <c r="P578" s="1" t="str">
        <f>IFERROR(IF(tbl_Historique_Final[[#This Row],[Commentaires]]&lt;&gt;"",tbl_Historique_Final[[#This Row],[Commentaires]],""),"")</f>
        <v/>
      </c>
      <c r="X578" s="8" t="str">
        <f>IF(Final_Sans_VGE[[#This Row],[ppn_z]]="","",IFERROR(
   IF(_xlfn.XLOOKUP(Final_Sans_VGE[[#This Row],[ppn_z]],tbl_Historique_Final[ppn_z],tbl_Historique_Final[date_modif])=Final_Sans_VGE[[#This Row],[date_modif]],
      "Ancien",
      "Modifié"),
   "Nouveau"))</f>
        <v>Ancien</v>
      </c>
      <c r="AC578"/>
      <c r="AD578"/>
    </row>
    <row r="579" spans="1:30" x14ac:dyDescent="0.25">
      <c r="A579" s="5" t="s">
        <v>1901</v>
      </c>
      <c r="B579" s="1" t="s">
        <v>7435</v>
      </c>
      <c r="C579" s="1" t="s">
        <v>7436</v>
      </c>
      <c r="D579" s="1" t="s">
        <v>7437</v>
      </c>
      <c r="E579" s="1" t="s">
        <v>12</v>
      </c>
      <c r="G579" s="1" t="s">
        <v>11</v>
      </c>
      <c r="H579" s="1" t="s">
        <v>22</v>
      </c>
      <c r="I579" s="1" t="s">
        <v>22</v>
      </c>
      <c r="J579" s="3">
        <v>45771.366122685184</v>
      </c>
      <c r="K579" s="2" t="s">
        <v>7438</v>
      </c>
      <c r="L579" s="1">
        <v>8</v>
      </c>
      <c r="M579" s="1">
        <v>8</v>
      </c>
      <c r="N579">
        <v>0</v>
      </c>
      <c r="O579" s="3">
        <f>IF(
    R579="Ancien",
    _xlfn.XLOOKUP(
        Final_Sans_VGE[[#This Row],[ppn_z]],
        tbl_Historique_Final[ppn_z],
        tbl_Historique_Final[Horodatage],
        ""
    ),
    Horodatage!$A$2
)</f>
        <v>46233.670796365739</v>
      </c>
      <c r="P579" s="1" t="str">
        <f>IFERROR(IF(tbl_Historique_Final[[#This Row],[Commentaires]]&lt;&gt;"",tbl_Historique_Final[[#This Row],[Commentaires]],""),"")</f>
        <v/>
      </c>
      <c r="X579" s="8" t="str">
        <f>IF(Final_Sans_VGE[[#This Row],[ppn_z]]="","",IFERROR(
   IF(_xlfn.XLOOKUP(Final_Sans_VGE[[#This Row],[ppn_z]],tbl_Historique_Final[ppn_z],tbl_Historique_Final[date_modif])=Final_Sans_VGE[[#This Row],[date_modif]],
      "Ancien",
      "Modifié"),
   "Nouveau"))</f>
        <v>Ancien</v>
      </c>
      <c r="AC579"/>
      <c r="AD579"/>
    </row>
    <row r="580" spans="1:30" x14ac:dyDescent="0.25">
      <c r="A580" s="5" t="s">
        <v>1904</v>
      </c>
      <c r="B580" s="1" t="s">
        <v>7439</v>
      </c>
      <c r="C580" s="1" t="s">
        <v>12</v>
      </c>
      <c r="G580" s="1" t="s">
        <v>11</v>
      </c>
      <c r="J580" s="3">
        <v>45686.511782407404</v>
      </c>
      <c r="K580" s="2" t="s">
        <v>7440</v>
      </c>
      <c r="L580" s="1">
        <v>2</v>
      </c>
      <c r="M580" s="1">
        <v>3</v>
      </c>
      <c r="N580">
        <v>1</v>
      </c>
      <c r="O580" s="3">
        <f>IF(
    R580="Ancien",
    _xlfn.XLOOKUP(
        Final_Sans_VGE[[#This Row],[ppn_z]],
        tbl_Historique_Final[ppn_z],
        tbl_Historique_Final[Horodatage],
        ""
    ),
    Horodatage!$A$2
)</f>
        <v>46233.670796365739</v>
      </c>
      <c r="P580" s="1" t="str">
        <f>IFERROR(IF(tbl_Historique_Final[[#This Row],[Commentaires]]&lt;&gt;"",tbl_Historique_Final[[#This Row],[Commentaires]],""),"")</f>
        <v/>
      </c>
      <c r="X580" s="8" t="str">
        <f>IF(Final_Sans_VGE[[#This Row],[ppn_z]]="","",IFERROR(
   IF(_xlfn.XLOOKUP(Final_Sans_VGE[[#This Row],[ppn_z]],tbl_Historique_Final[ppn_z],tbl_Historique_Final[date_modif])=Final_Sans_VGE[[#This Row],[date_modif]],
      "Ancien",
      "Modifié"),
   "Nouveau"))</f>
        <v>Ancien</v>
      </c>
      <c r="AC580"/>
      <c r="AD580"/>
    </row>
    <row r="581" spans="1:30" x14ac:dyDescent="0.25">
      <c r="A581" s="5" t="s">
        <v>1907</v>
      </c>
      <c r="B581" s="1" t="s">
        <v>7441</v>
      </c>
      <c r="C581" s="1" t="s">
        <v>59</v>
      </c>
      <c r="J581" s="3">
        <v>45415.584490740737</v>
      </c>
      <c r="L581" s="1">
        <v>1</v>
      </c>
      <c r="M581" s="1">
        <v>1</v>
      </c>
      <c r="N581">
        <v>0</v>
      </c>
      <c r="O581" s="3">
        <f>IF(
    R581="Ancien",
    _xlfn.XLOOKUP(
        Final_Sans_VGE[[#This Row],[ppn_z]],
        tbl_Historique_Final[ppn_z],
        tbl_Historique_Final[Horodatage],
        ""
    ),
    Horodatage!$A$2
)</f>
        <v>46233.670796365739</v>
      </c>
      <c r="P581" s="1" t="str">
        <f>IFERROR(IF(tbl_Historique_Final[[#This Row],[Commentaires]]&lt;&gt;"",tbl_Historique_Final[[#This Row],[Commentaires]],""),"")</f>
        <v/>
      </c>
      <c r="X581" s="8" t="str">
        <f>IF(Final_Sans_VGE[[#This Row],[ppn_z]]="","",IFERROR(
   IF(_xlfn.XLOOKUP(Final_Sans_VGE[[#This Row],[ppn_z]],tbl_Historique_Final[ppn_z],tbl_Historique_Final[date_modif])=Final_Sans_VGE[[#This Row],[date_modif]],
      "Ancien",
      "Modifié"),
   "Nouveau"))</f>
        <v>Ancien</v>
      </c>
      <c r="AC581"/>
      <c r="AD581"/>
    </row>
    <row r="582" spans="1:30" x14ac:dyDescent="0.25">
      <c r="A582" s="5" t="s">
        <v>1910</v>
      </c>
      <c r="B582" s="1" t="s">
        <v>7442</v>
      </c>
      <c r="C582" s="1" t="s">
        <v>12</v>
      </c>
      <c r="G582" s="1" t="s">
        <v>11</v>
      </c>
      <c r="J582" s="3">
        <v>45749.641782407409</v>
      </c>
      <c r="K582" s="2" t="s">
        <v>7443</v>
      </c>
      <c r="L582" s="1">
        <v>1</v>
      </c>
      <c r="M582" s="1">
        <v>1</v>
      </c>
      <c r="N582">
        <v>0</v>
      </c>
      <c r="O582" s="3">
        <f>IF(
    R582="Ancien",
    _xlfn.XLOOKUP(
        Final_Sans_VGE[[#This Row],[ppn_z]],
        tbl_Historique_Final[ppn_z],
        tbl_Historique_Final[Horodatage],
        ""
    ),
    Horodatage!$A$2
)</f>
        <v>46233.670796365739</v>
      </c>
      <c r="P582" s="1" t="str">
        <f>IFERROR(IF(tbl_Historique_Final[[#This Row],[Commentaires]]&lt;&gt;"",tbl_Historique_Final[[#This Row],[Commentaires]],""),"")</f>
        <v/>
      </c>
      <c r="X582" s="8" t="str">
        <f>IF(Final_Sans_VGE[[#This Row],[ppn_z]]="","",IFERROR(
   IF(_xlfn.XLOOKUP(Final_Sans_VGE[[#This Row],[ppn_z]],tbl_Historique_Final[ppn_z],tbl_Historique_Final[date_modif])=Final_Sans_VGE[[#This Row],[date_modif]],
      "Ancien",
      "Modifié"),
   "Nouveau"))</f>
        <v>Ancien</v>
      </c>
      <c r="AC582"/>
      <c r="AD582"/>
    </row>
    <row r="583" spans="1:30" ht="60" x14ac:dyDescent="0.25">
      <c r="A583" s="5" t="s">
        <v>1913</v>
      </c>
      <c r="B583" s="1" t="s">
        <v>7444</v>
      </c>
      <c r="G583" s="1" t="s">
        <v>11</v>
      </c>
      <c r="J583" s="3">
        <v>45624.448113425926</v>
      </c>
      <c r="K583" s="2" t="s">
        <v>7445</v>
      </c>
      <c r="L583" s="1">
        <v>3</v>
      </c>
      <c r="M583" s="1">
        <v>4</v>
      </c>
      <c r="N583">
        <v>1</v>
      </c>
      <c r="O583" s="3">
        <f>IF(
    R583="Ancien",
    _xlfn.XLOOKUP(
        Final_Sans_VGE[[#This Row],[ppn_z]],
        tbl_Historique_Final[ppn_z],
        tbl_Historique_Final[Horodatage],
        ""
    ),
    Horodatage!$A$2
)</f>
        <v>46233.670796365739</v>
      </c>
      <c r="P583" s="1" t="str">
        <f>IFERROR(IF(tbl_Historique_Final[[#This Row],[Commentaires]]&lt;&gt;"",tbl_Historique_Final[[#This Row],[Commentaires]],""),"")</f>
        <v/>
      </c>
      <c r="X583" s="8" t="str">
        <f>IF(Final_Sans_VGE[[#This Row],[ppn_z]]="","",IFERROR(
   IF(_xlfn.XLOOKUP(Final_Sans_VGE[[#This Row],[ppn_z]],tbl_Historique_Final[ppn_z],tbl_Historique_Final[date_modif])=Final_Sans_VGE[[#This Row],[date_modif]],
      "Ancien",
      "Modifié"),
   "Nouveau"))</f>
        <v>Ancien</v>
      </c>
      <c r="AC583"/>
      <c r="AD583"/>
    </row>
    <row r="584" spans="1:30" x14ac:dyDescent="0.25">
      <c r="A584" s="5" t="s">
        <v>1916</v>
      </c>
      <c r="B584" s="1" t="s">
        <v>7446</v>
      </c>
      <c r="C584" s="1" t="s">
        <v>12</v>
      </c>
      <c r="G584" s="1" t="s">
        <v>10</v>
      </c>
      <c r="J584" s="3">
        <v>45581.398217592592</v>
      </c>
      <c r="K584" s="2" t="s">
        <v>7447</v>
      </c>
      <c r="L584" s="1">
        <v>1</v>
      </c>
      <c r="M584" s="1">
        <v>1</v>
      </c>
      <c r="N584">
        <v>0</v>
      </c>
      <c r="O584" s="3">
        <f>IF(
    R584="Ancien",
    _xlfn.XLOOKUP(
        Final_Sans_VGE[[#This Row],[ppn_z]],
        tbl_Historique_Final[ppn_z],
        tbl_Historique_Final[Horodatage],
        ""
    ),
    Horodatage!$A$2
)</f>
        <v>46233.670796365739</v>
      </c>
      <c r="P584" s="1" t="str">
        <f>IFERROR(IF(tbl_Historique_Final[[#This Row],[Commentaires]]&lt;&gt;"",tbl_Historique_Final[[#This Row],[Commentaires]],""),"")</f>
        <v/>
      </c>
      <c r="X584" s="8" t="str">
        <f>IF(Final_Sans_VGE[[#This Row],[ppn_z]]="","",IFERROR(
   IF(_xlfn.XLOOKUP(Final_Sans_VGE[[#This Row],[ppn_z]],tbl_Historique_Final[ppn_z],tbl_Historique_Final[date_modif])=Final_Sans_VGE[[#This Row],[date_modif]],
      "Ancien",
      "Modifié"),
   "Nouveau"))</f>
        <v>Ancien</v>
      </c>
      <c r="AC584"/>
      <c r="AD584"/>
    </row>
    <row r="585" spans="1:30" x14ac:dyDescent="0.25">
      <c r="A585" s="5" t="s">
        <v>1919</v>
      </c>
      <c r="B585" s="1" t="s">
        <v>7448</v>
      </c>
      <c r="C585" s="1" t="s">
        <v>91</v>
      </c>
      <c r="J585" s="3">
        <v>45415.730347222219</v>
      </c>
      <c r="L585" s="1">
        <v>1</v>
      </c>
      <c r="M585" s="1">
        <v>1</v>
      </c>
      <c r="N585">
        <v>0</v>
      </c>
      <c r="O585" s="3">
        <f>IF(
    R585="Ancien",
    _xlfn.XLOOKUP(
        Final_Sans_VGE[[#This Row],[ppn_z]],
        tbl_Historique_Final[ppn_z],
        tbl_Historique_Final[Horodatage],
        ""
    ),
    Horodatage!$A$2
)</f>
        <v>46233.670796365739</v>
      </c>
      <c r="P585" s="1" t="str">
        <f>IFERROR(IF(tbl_Historique_Final[[#This Row],[Commentaires]]&lt;&gt;"",tbl_Historique_Final[[#This Row],[Commentaires]],""),"")</f>
        <v/>
      </c>
      <c r="X585" s="8" t="str">
        <f>IF(Final_Sans_VGE[[#This Row],[ppn_z]]="","",IFERROR(
   IF(_xlfn.XLOOKUP(Final_Sans_VGE[[#This Row],[ppn_z]],tbl_Historique_Final[ppn_z],tbl_Historique_Final[date_modif])=Final_Sans_VGE[[#This Row],[date_modif]],
      "Ancien",
      "Modifié"),
   "Nouveau"))</f>
        <v>Ancien</v>
      </c>
      <c r="AC585"/>
      <c r="AD585"/>
    </row>
    <row r="586" spans="1:30" ht="90" x14ac:dyDescent="0.25">
      <c r="A586" s="5" t="s">
        <v>1922</v>
      </c>
      <c r="B586" s="1" t="s">
        <v>7449</v>
      </c>
      <c r="G586" s="1" t="s">
        <v>10</v>
      </c>
      <c r="J586" s="3">
        <v>45625.351157407407</v>
      </c>
      <c r="K586" s="2" t="s">
        <v>7450</v>
      </c>
      <c r="L586" s="1">
        <v>1</v>
      </c>
      <c r="M586" s="1">
        <v>2</v>
      </c>
      <c r="N586">
        <v>1</v>
      </c>
      <c r="O586" s="3">
        <f>IF(
    R586="Ancien",
    _xlfn.XLOOKUP(
        Final_Sans_VGE[[#This Row],[ppn_z]],
        tbl_Historique_Final[ppn_z],
        tbl_Historique_Final[Horodatage],
        ""
    ),
    Horodatage!$A$2
)</f>
        <v>46233.670796365739</v>
      </c>
      <c r="P586" s="1" t="str">
        <f>IFERROR(IF(tbl_Historique_Final[[#This Row],[Commentaires]]&lt;&gt;"",tbl_Historique_Final[[#This Row],[Commentaires]],""),"")</f>
        <v/>
      </c>
      <c r="X586" s="8" t="str">
        <f>IF(Final_Sans_VGE[[#This Row],[ppn_z]]="","",IFERROR(
   IF(_xlfn.XLOOKUP(Final_Sans_VGE[[#This Row],[ppn_z]],tbl_Historique_Final[ppn_z],tbl_Historique_Final[date_modif])=Final_Sans_VGE[[#This Row],[date_modif]],
      "Ancien",
      "Modifié"),
   "Nouveau"))</f>
        <v>Ancien</v>
      </c>
      <c r="AC586"/>
      <c r="AD586"/>
    </row>
    <row r="587" spans="1:30" x14ac:dyDescent="0.25">
      <c r="A587" s="5" t="s">
        <v>1925</v>
      </c>
      <c r="B587" s="1" t="s">
        <v>7451</v>
      </c>
      <c r="C587" s="1" t="s">
        <v>60</v>
      </c>
      <c r="G587" s="1" t="s">
        <v>10</v>
      </c>
      <c r="H587" s="1" t="s">
        <v>7452</v>
      </c>
      <c r="I587" s="1" t="s">
        <v>140</v>
      </c>
      <c r="J587" s="3">
        <v>45681.685798611114</v>
      </c>
      <c r="K587" s="2" t="s">
        <v>7453</v>
      </c>
      <c r="L587" s="1">
        <v>30</v>
      </c>
      <c r="M587" s="1">
        <v>51</v>
      </c>
      <c r="N587">
        <v>21</v>
      </c>
      <c r="O587" s="3">
        <f>IF(
    R587="Ancien",
    _xlfn.XLOOKUP(
        Final_Sans_VGE[[#This Row],[ppn_z]],
        tbl_Historique_Final[ppn_z],
        tbl_Historique_Final[Horodatage],
        ""
    ),
    Horodatage!$A$2
)</f>
        <v>46233.670796365739</v>
      </c>
      <c r="P587" s="1" t="str">
        <f>IFERROR(IF(tbl_Historique_Final[[#This Row],[Commentaires]]&lt;&gt;"",tbl_Historique_Final[[#This Row],[Commentaires]],""),"")</f>
        <v/>
      </c>
      <c r="X587" s="8" t="str">
        <f>IF(Final_Sans_VGE[[#This Row],[ppn_z]]="","",IFERROR(
   IF(_xlfn.XLOOKUP(Final_Sans_VGE[[#This Row],[ppn_z]],tbl_Historique_Final[ppn_z],tbl_Historique_Final[date_modif])=Final_Sans_VGE[[#This Row],[date_modif]],
      "Ancien",
      "Modifié"),
   "Nouveau"))</f>
        <v>Ancien</v>
      </c>
      <c r="AC587"/>
      <c r="AD587"/>
    </row>
    <row r="588" spans="1:30" x14ac:dyDescent="0.25">
      <c r="A588" s="5" t="s">
        <v>1928</v>
      </c>
      <c r="B588" s="1" t="s">
        <v>7454</v>
      </c>
      <c r="C588" s="1" t="s">
        <v>88</v>
      </c>
      <c r="G588" s="1" t="s">
        <v>10</v>
      </c>
      <c r="H588" s="1" t="s">
        <v>22</v>
      </c>
      <c r="I588" s="1" t="s">
        <v>22</v>
      </c>
      <c r="J588" s="3">
        <v>45680.436041666668</v>
      </c>
      <c r="K588" s="2" t="s">
        <v>7455</v>
      </c>
      <c r="L588" s="1">
        <v>3</v>
      </c>
      <c r="M588" s="1">
        <v>3</v>
      </c>
      <c r="N588">
        <v>0</v>
      </c>
      <c r="O588" s="3">
        <f>IF(
    R588="Ancien",
    _xlfn.XLOOKUP(
        Final_Sans_VGE[[#This Row],[ppn_z]],
        tbl_Historique_Final[ppn_z],
        tbl_Historique_Final[Horodatage],
        ""
    ),
    Horodatage!$A$2
)</f>
        <v>46233.670796365739</v>
      </c>
      <c r="P588" s="1" t="str">
        <f>IFERROR(IF(tbl_Historique_Final[[#This Row],[Commentaires]]&lt;&gt;"",tbl_Historique_Final[[#This Row],[Commentaires]],""),"")</f>
        <v/>
      </c>
      <c r="X588" s="8" t="str">
        <f>IF(Final_Sans_VGE[[#This Row],[ppn_z]]="","",IFERROR(
   IF(_xlfn.XLOOKUP(Final_Sans_VGE[[#This Row],[ppn_z]],tbl_Historique_Final[ppn_z],tbl_Historique_Final[date_modif])=Final_Sans_VGE[[#This Row],[date_modif]],
      "Ancien",
      "Modifié"),
   "Nouveau"))</f>
        <v>Ancien</v>
      </c>
      <c r="AC588"/>
      <c r="AD588"/>
    </row>
    <row r="589" spans="1:30" ht="30" x14ac:dyDescent="0.25">
      <c r="A589" s="5" t="s">
        <v>1931</v>
      </c>
      <c r="B589" s="1" t="s">
        <v>7456</v>
      </c>
      <c r="G589" s="1" t="s">
        <v>10</v>
      </c>
      <c r="J589" s="3">
        <v>45636.624374999999</v>
      </c>
      <c r="K589" s="2" t="s">
        <v>7457</v>
      </c>
      <c r="L589" s="1">
        <v>1</v>
      </c>
      <c r="M589" s="1">
        <v>1</v>
      </c>
      <c r="N589">
        <v>0</v>
      </c>
      <c r="O589" s="3">
        <f>IF(
    R589="Ancien",
    _xlfn.XLOOKUP(
        Final_Sans_VGE[[#This Row],[ppn_z]],
        tbl_Historique_Final[ppn_z],
        tbl_Historique_Final[Horodatage],
        ""
    ),
    Horodatage!$A$2
)</f>
        <v>46233.670796365739</v>
      </c>
      <c r="P589" s="1" t="str">
        <f>IFERROR(IF(tbl_Historique_Final[[#This Row],[Commentaires]]&lt;&gt;"",tbl_Historique_Final[[#This Row],[Commentaires]],""),"")</f>
        <v/>
      </c>
      <c r="X589" s="8" t="str">
        <f>IF(Final_Sans_VGE[[#This Row],[ppn_z]]="","",IFERROR(
   IF(_xlfn.XLOOKUP(Final_Sans_VGE[[#This Row],[ppn_z]],tbl_Historique_Final[ppn_z],tbl_Historique_Final[date_modif])=Final_Sans_VGE[[#This Row],[date_modif]],
      "Ancien",
      "Modifié"),
   "Nouveau"))</f>
        <v>Ancien</v>
      </c>
      <c r="AC589"/>
      <c r="AD589"/>
    </row>
    <row r="590" spans="1:30" x14ac:dyDescent="0.25">
      <c r="A590" s="5" t="s">
        <v>1934</v>
      </c>
      <c r="B590" s="1" t="s">
        <v>7458</v>
      </c>
      <c r="C590" s="1" t="s">
        <v>7459</v>
      </c>
      <c r="D590" s="1" t="s">
        <v>14</v>
      </c>
      <c r="E590" s="1" t="s">
        <v>7460</v>
      </c>
      <c r="F590" s="1" t="s">
        <v>14</v>
      </c>
      <c r="G590" s="1" t="s">
        <v>10</v>
      </c>
      <c r="H590" s="1" t="s">
        <v>22</v>
      </c>
      <c r="I590" s="1" t="s">
        <v>22</v>
      </c>
      <c r="J590" s="3">
        <v>45597.686273148145</v>
      </c>
      <c r="K590" s="2" t="s">
        <v>7461</v>
      </c>
      <c r="L590" s="1">
        <v>1</v>
      </c>
      <c r="M590" s="1">
        <v>1</v>
      </c>
      <c r="N590">
        <v>0</v>
      </c>
      <c r="O590" s="3">
        <f>IF(
    R590="Ancien",
    _xlfn.XLOOKUP(
        Final_Sans_VGE[[#This Row],[ppn_z]],
        tbl_Historique_Final[ppn_z],
        tbl_Historique_Final[Horodatage],
        ""
    ),
    Horodatage!$A$2
)</f>
        <v>46233.670796365739</v>
      </c>
      <c r="P590" s="1" t="str">
        <f>IFERROR(IF(tbl_Historique_Final[[#This Row],[Commentaires]]&lt;&gt;"",tbl_Historique_Final[[#This Row],[Commentaires]],""),"")</f>
        <v/>
      </c>
      <c r="X590" s="8" t="str">
        <f>IF(Final_Sans_VGE[[#This Row],[ppn_z]]="","",IFERROR(
   IF(_xlfn.XLOOKUP(Final_Sans_VGE[[#This Row],[ppn_z]],tbl_Historique_Final[ppn_z],tbl_Historique_Final[date_modif])=Final_Sans_VGE[[#This Row],[date_modif]],
      "Ancien",
      "Modifié"),
   "Nouveau"))</f>
        <v>Ancien</v>
      </c>
      <c r="AC590"/>
      <c r="AD590"/>
    </row>
    <row r="591" spans="1:30" x14ac:dyDescent="0.25">
      <c r="A591" s="5" t="s">
        <v>1937</v>
      </c>
      <c r="B591" s="1" t="s">
        <v>7462</v>
      </c>
      <c r="C591" s="1" t="s">
        <v>7463</v>
      </c>
      <c r="E591" s="1" t="s">
        <v>34</v>
      </c>
      <c r="G591" s="1" t="s">
        <v>10</v>
      </c>
      <c r="J591" s="3">
        <v>45762.70171296296</v>
      </c>
      <c r="K591" s="2" t="s">
        <v>7464</v>
      </c>
      <c r="L591" s="1">
        <v>1</v>
      </c>
      <c r="M591" s="1">
        <v>1</v>
      </c>
      <c r="N591">
        <v>0</v>
      </c>
      <c r="O591" s="3">
        <f>IF(
    R591="Ancien",
    _xlfn.XLOOKUP(
        Final_Sans_VGE[[#This Row],[ppn_z]],
        tbl_Historique_Final[ppn_z],
        tbl_Historique_Final[Horodatage],
        ""
    ),
    Horodatage!$A$2
)</f>
        <v>46233.670796365739</v>
      </c>
      <c r="P591" s="1" t="str">
        <f>IFERROR(IF(tbl_Historique_Final[[#This Row],[Commentaires]]&lt;&gt;"",tbl_Historique_Final[[#This Row],[Commentaires]],""),"")</f>
        <v/>
      </c>
      <c r="X591" s="8" t="str">
        <f>IF(Final_Sans_VGE[[#This Row],[ppn_z]]="","",IFERROR(
   IF(_xlfn.XLOOKUP(Final_Sans_VGE[[#This Row],[ppn_z]],tbl_Historique_Final[ppn_z],tbl_Historique_Final[date_modif])=Final_Sans_VGE[[#This Row],[date_modif]],
      "Ancien",
      "Modifié"),
   "Nouveau"))</f>
        <v>Ancien</v>
      </c>
      <c r="AC591"/>
      <c r="AD591"/>
    </row>
    <row r="592" spans="1:30" x14ac:dyDescent="0.25">
      <c r="A592" s="5" t="s">
        <v>1940</v>
      </c>
      <c r="B592" s="1" t="s">
        <v>7465</v>
      </c>
      <c r="G592" s="1" t="s">
        <v>11</v>
      </c>
      <c r="J592" s="3">
        <v>45471.42496527778</v>
      </c>
      <c r="L592" s="1">
        <v>2</v>
      </c>
      <c r="M592" s="1">
        <v>10</v>
      </c>
      <c r="N592">
        <v>8</v>
      </c>
      <c r="O592" s="3">
        <f>IF(
    R592="Ancien",
    _xlfn.XLOOKUP(
        Final_Sans_VGE[[#This Row],[ppn_z]],
        tbl_Historique_Final[ppn_z],
        tbl_Historique_Final[Horodatage],
        ""
    ),
    Horodatage!$A$2
)</f>
        <v>46233.670796365739</v>
      </c>
      <c r="P592" s="1" t="str">
        <f>IFERROR(IF(tbl_Historique_Final[[#This Row],[Commentaires]]&lt;&gt;"",tbl_Historique_Final[[#This Row],[Commentaires]],""),"")</f>
        <v/>
      </c>
      <c r="X592" s="8" t="str">
        <f>IF(Final_Sans_VGE[[#This Row],[ppn_z]]="","",IFERROR(
   IF(_xlfn.XLOOKUP(Final_Sans_VGE[[#This Row],[ppn_z]],tbl_Historique_Final[ppn_z],tbl_Historique_Final[date_modif])=Final_Sans_VGE[[#This Row],[date_modif]],
      "Ancien",
      "Modifié"),
   "Nouveau"))</f>
        <v>Ancien</v>
      </c>
      <c r="AC592"/>
      <c r="AD592"/>
    </row>
    <row r="593" spans="1:30" x14ac:dyDescent="0.25">
      <c r="A593" s="5" t="s">
        <v>1943</v>
      </c>
      <c r="B593" s="1" t="s">
        <v>7466</v>
      </c>
      <c r="C593" s="1" t="s">
        <v>7467</v>
      </c>
      <c r="E593" s="1" t="s">
        <v>7468</v>
      </c>
      <c r="G593" s="1" t="s">
        <v>10</v>
      </c>
      <c r="J593" s="3">
        <v>45810.392696759256</v>
      </c>
      <c r="K593" s="2" t="s">
        <v>7469</v>
      </c>
      <c r="L593" s="1">
        <v>1</v>
      </c>
      <c r="M593" s="1">
        <v>1</v>
      </c>
      <c r="N593">
        <v>0</v>
      </c>
      <c r="O593" s="3">
        <f>IF(
    R593="Ancien",
    _xlfn.XLOOKUP(
        Final_Sans_VGE[[#This Row],[ppn_z]],
        tbl_Historique_Final[ppn_z],
        tbl_Historique_Final[Horodatage],
        ""
    ),
    Horodatage!$A$2
)</f>
        <v>46233.670796365739</v>
      </c>
      <c r="P593" s="1" t="str">
        <f>IFERROR(IF(tbl_Historique_Final[[#This Row],[Commentaires]]&lt;&gt;"",tbl_Historique_Final[[#This Row],[Commentaires]],""),"")</f>
        <v/>
      </c>
      <c r="X593" s="8" t="str">
        <f>IF(Final_Sans_VGE[[#This Row],[ppn_z]]="","",IFERROR(
   IF(_xlfn.XLOOKUP(Final_Sans_VGE[[#This Row],[ppn_z]],tbl_Historique_Final[ppn_z],tbl_Historique_Final[date_modif])=Final_Sans_VGE[[#This Row],[date_modif]],
      "Ancien",
      "Modifié"),
   "Nouveau"))</f>
        <v>Ancien</v>
      </c>
      <c r="AC593"/>
      <c r="AD593"/>
    </row>
    <row r="594" spans="1:30" ht="30" x14ac:dyDescent="0.25">
      <c r="A594" s="5" t="s">
        <v>1946</v>
      </c>
      <c r="B594" s="1" t="s">
        <v>7470</v>
      </c>
      <c r="C594" s="1" t="s">
        <v>54</v>
      </c>
      <c r="H594" s="1" t="s">
        <v>22</v>
      </c>
      <c r="I594" s="1" t="s">
        <v>22</v>
      </c>
      <c r="J594" s="3">
        <v>45670.453055555554</v>
      </c>
      <c r="K594" s="2" t="s">
        <v>7471</v>
      </c>
      <c r="L594" s="1">
        <v>125</v>
      </c>
      <c r="M594" s="1">
        <v>135</v>
      </c>
      <c r="N594">
        <v>10</v>
      </c>
      <c r="O594" s="3">
        <f>IF(
    R594="Ancien",
    _xlfn.XLOOKUP(
        Final_Sans_VGE[[#This Row],[ppn_z]],
        tbl_Historique_Final[ppn_z],
        tbl_Historique_Final[Horodatage],
        ""
    ),
    Horodatage!$A$2
)</f>
        <v>46233.670796365739</v>
      </c>
      <c r="P594" s="1" t="str">
        <f>IFERROR(IF(tbl_Historique_Final[[#This Row],[Commentaires]]&lt;&gt;"",tbl_Historique_Final[[#This Row],[Commentaires]],""),"")</f>
        <v/>
      </c>
      <c r="X594" s="8" t="str">
        <f>IF(Final_Sans_VGE[[#This Row],[ppn_z]]="","",IFERROR(
   IF(_xlfn.XLOOKUP(Final_Sans_VGE[[#This Row],[ppn_z]],tbl_Historique_Final[ppn_z],tbl_Historique_Final[date_modif])=Final_Sans_VGE[[#This Row],[date_modif]],
      "Ancien",
      "Modifié"),
   "Nouveau"))</f>
        <v>Ancien</v>
      </c>
      <c r="AC594"/>
      <c r="AD594"/>
    </row>
    <row r="595" spans="1:30" x14ac:dyDescent="0.25">
      <c r="A595" s="5" t="s">
        <v>1949</v>
      </c>
      <c r="B595" s="1" t="s">
        <v>7472</v>
      </c>
      <c r="C595" s="1" t="s">
        <v>12</v>
      </c>
      <c r="G595" s="1" t="s">
        <v>11</v>
      </c>
      <c r="J595" s="3">
        <v>45670.490046296298</v>
      </c>
      <c r="K595" s="2" t="s">
        <v>7473</v>
      </c>
      <c r="L595" s="1">
        <v>2</v>
      </c>
      <c r="M595" s="1">
        <v>2</v>
      </c>
      <c r="N595">
        <v>0</v>
      </c>
      <c r="O595" s="3">
        <f>IF(
    R595="Ancien",
    _xlfn.XLOOKUP(
        Final_Sans_VGE[[#This Row],[ppn_z]],
        tbl_Historique_Final[ppn_z],
        tbl_Historique_Final[Horodatage],
        ""
    ),
    Horodatage!$A$2
)</f>
        <v>46233.670796365739</v>
      </c>
      <c r="P595" s="1" t="str">
        <f>IFERROR(IF(tbl_Historique_Final[[#This Row],[Commentaires]]&lt;&gt;"",tbl_Historique_Final[[#This Row],[Commentaires]],""),"")</f>
        <v/>
      </c>
      <c r="X595" s="8" t="str">
        <f>IF(Final_Sans_VGE[[#This Row],[ppn_z]]="","",IFERROR(
   IF(_xlfn.XLOOKUP(Final_Sans_VGE[[#This Row],[ppn_z]],tbl_Historique_Final[ppn_z],tbl_Historique_Final[date_modif])=Final_Sans_VGE[[#This Row],[date_modif]],
      "Ancien",
      "Modifié"),
   "Nouveau"))</f>
        <v>Ancien</v>
      </c>
      <c r="AC595"/>
      <c r="AD595"/>
    </row>
    <row r="596" spans="1:30" x14ac:dyDescent="0.25">
      <c r="A596" s="5" t="s">
        <v>1952</v>
      </c>
      <c r="B596" s="1" t="s">
        <v>7474</v>
      </c>
      <c r="C596" s="1" t="s">
        <v>12</v>
      </c>
      <c r="G596" s="1" t="s">
        <v>11</v>
      </c>
      <c r="J596" s="3">
        <v>45483.425451388888</v>
      </c>
      <c r="L596" s="1">
        <v>3</v>
      </c>
      <c r="M596" s="1">
        <v>3</v>
      </c>
      <c r="N596">
        <v>0</v>
      </c>
      <c r="O596" s="3">
        <f>IF(
    R596="Ancien",
    _xlfn.XLOOKUP(
        Final_Sans_VGE[[#This Row],[ppn_z]],
        tbl_Historique_Final[ppn_z],
        tbl_Historique_Final[Horodatage],
        ""
    ),
    Horodatage!$A$2
)</f>
        <v>46233.670796365739</v>
      </c>
      <c r="P596" s="1" t="str">
        <f>IFERROR(IF(tbl_Historique_Final[[#This Row],[Commentaires]]&lt;&gt;"",tbl_Historique_Final[[#This Row],[Commentaires]],""),"")</f>
        <v/>
      </c>
      <c r="X596" s="8" t="str">
        <f>IF(Final_Sans_VGE[[#This Row],[ppn_z]]="","",IFERROR(
   IF(_xlfn.XLOOKUP(Final_Sans_VGE[[#This Row],[ppn_z]],tbl_Historique_Final[ppn_z],tbl_Historique_Final[date_modif])=Final_Sans_VGE[[#This Row],[date_modif]],
      "Ancien",
      "Modifié"),
   "Nouveau"))</f>
        <v>Ancien</v>
      </c>
      <c r="AC596"/>
      <c r="AD596"/>
    </row>
    <row r="597" spans="1:30" ht="45" x14ac:dyDescent="0.25">
      <c r="A597" s="5" t="s">
        <v>1955</v>
      </c>
      <c r="B597" s="1" t="s">
        <v>7475</v>
      </c>
      <c r="C597" s="1" t="s">
        <v>12</v>
      </c>
      <c r="G597" s="1" t="s">
        <v>10</v>
      </c>
      <c r="J597" s="3">
        <v>45624.588622685187</v>
      </c>
      <c r="K597" s="2" t="s">
        <v>7476</v>
      </c>
      <c r="L597" s="1">
        <v>1</v>
      </c>
      <c r="M597" s="1">
        <v>1</v>
      </c>
      <c r="N597">
        <v>0</v>
      </c>
      <c r="O597" s="3">
        <f>IF(
    R597="Ancien",
    _xlfn.XLOOKUP(
        Final_Sans_VGE[[#This Row],[ppn_z]],
        tbl_Historique_Final[ppn_z],
        tbl_Historique_Final[Horodatage],
        ""
    ),
    Horodatage!$A$2
)</f>
        <v>46233.670796365739</v>
      </c>
      <c r="P597" s="1" t="str">
        <f>IFERROR(IF(tbl_Historique_Final[[#This Row],[Commentaires]]&lt;&gt;"",tbl_Historique_Final[[#This Row],[Commentaires]],""),"")</f>
        <v/>
      </c>
      <c r="X597" s="8" t="str">
        <f>IF(Final_Sans_VGE[[#This Row],[ppn_z]]="","",IFERROR(
   IF(_xlfn.XLOOKUP(Final_Sans_VGE[[#This Row],[ppn_z]],tbl_Historique_Final[ppn_z],tbl_Historique_Final[date_modif])=Final_Sans_VGE[[#This Row],[date_modif]],
      "Ancien",
      "Modifié"),
   "Nouveau"))</f>
        <v>Ancien</v>
      </c>
      <c r="AC597"/>
      <c r="AD597"/>
    </row>
    <row r="598" spans="1:30" x14ac:dyDescent="0.25">
      <c r="A598" s="5" t="s">
        <v>1958</v>
      </c>
      <c r="B598" s="1" t="s">
        <v>7477</v>
      </c>
      <c r="C598" s="1" t="s">
        <v>7478</v>
      </c>
      <c r="E598" s="1" t="s">
        <v>55</v>
      </c>
      <c r="G598" s="1" t="s">
        <v>10</v>
      </c>
      <c r="J598" s="3">
        <v>45678.615081018521</v>
      </c>
      <c r="K598" s="2" t="s">
        <v>7479</v>
      </c>
      <c r="L598" s="1">
        <v>1</v>
      </c>
      <c r="M598" s="1">
        <v>1</v>
      </c>
      <c r="N598">
        <v>0</v>
      </c>
      <c r="O598" s="3">
        <f>IF(
    R598="Ancien",
    _xlfn.XLOOKUP(
        Final_Sans_VGE[[#This Row],[ppn_z]],
        tbl_Historique_Final[ppn_z],
        tbl_Historique_Final[Horodatage],
        ""
    ),
    Horodatage!$A$2
)</f>
        <v>46233.670796365739</v>
      </c>
      <c r="P598" s="1" t="str">
        <f>IFERROR(IF(tbl_Historique_Final[[#This Row],[Commentaires]]&lt;&gt;"",tbl_Historique_Final[[#This Row],[Commentaires]],""),"")</f>
        <v/>
      </c>
      <c r="X598" s="8" t="str">
        <f>IF(Final_Sans_VGE[[#This Row],[ppn_z]]="","",IFERROR(
   IF(_xlfn.XLOOKUP(Final_Sans_VGE[[#This Row],[ppn_z]],tbl_Historique_Final[ppn_z],tbl_Historique_Final[date_modif])=Final_Sans_VGE[[#This Row],[date_modif]],
      "Ancien",
      "Modifié"),
   "Nouveau"))</f>
        <v>Ancien</v>
      </c>
      <c r="AC598"/>
      <c r="AD598"/>
    </row>
    <row r="599" spans="1:30" x14ac:dyDescent="0.25">
      <c r="A599" s="5" t="s">
        <v>1961</v>
      </c>
      <c r="B599" s="1" t="s">
        <v>7480</v>
      </c>
      <c r="C599" s="1" t="s">
        <v>75</v>
      </c>
      <c r="G599" s="1" t="s">
        <v>10</v>
      </c>
      <c r="J599" s="3">
        <v>45624.380694444444</v>
      </c>
      <c r="K599" s="2" t="s">
        <v>7481</v>
      </c>
      <c r="L599" s="1">
        <v>2</v>
      </c>
      <c r="M599" s="1">
        <v>2</v>
      </c>
      <c r="N599">
        <v>0</v>
      </c>
      <c r="O599" s="3">
        <f>IF(
    R599="Ancien",
    _xlfn.XLOOKUP(
        Final_Sans_VGE[[#This Row],[ppn_z]],
        tbl_Historique_Final[ppn_z],
        tbl_Historique_Final[Horodatage],
        ""
    ),
    Horodatage!$A$2
)</f>
        <v>46233.670796365739</v>
      </c>
      <c r="P599" s="1" t="str">
        <f>IFERROR(IF(tbl_Historique_Final[[#This Row],[Commentaires]]&lt;&gt;"",tbl_Historique_Final[[#This Row],[Commentaires]],""),"")</f>
        <v/>
      </c>
      <c r="X599" s="8" t="str">
        <f>IF(Final_Sans_VGE[[#This Row],[ppn_z]]="","",IFERROR(
   IF(_xlfn.XLOOKUP(Final_Sans_VGE[[#This Row],[ppn_z]],tbl_Historique_Final[ppn_z],tbl_Historique_Final[date_modif])=Final_Sans_VGE[[#This Row],[date_modif]],
      "Ancien",
      "Modifié"),
   "Nouveau"))</f>
        <v>Ancien</v>
      </c>
      <c r="AC599"/>
      <c r="AD599"/>
    </row>
    <row r="600" spans="1:30" ht="135" x14ac:dyDescent="0.25">
      <c r="A600" s="5" t="s">
        <v>1964</v>
      </c>
      <c r="B600" s="1" t="s">
        <v>7482</v>
      </c>
      <c r="C600" s="1" t="s">
        <v>6545</v>
      </c>
      <c r="E600" s="1" t="s">
        <v>6427</v>
      </c>
      <c r="G600" s="1" t="s">
        <v>10</v>
      </c>
      <c r="J600" s="3">
        <v>45763.397662037038</v>
      </c>
      <c r="K600" s="2" t="s">
        <v>7483</v>
      </c>
      <c r="L600" s="1">
        <v>1</v>
      </c>
      <c r="M600" s="1">
        <v>1</v>
      </c>
      <c r="N600">
        <v>0</v>
      </c>
      <c r="O600" s="3">
        <f>IF(
    R600="Ancien",
    _xlfn.XLOOKUP(
        Final_Sans_VGE[[#This Row],[ppn_z]],
        tbl_Historique_Final[ppn_z],
        tbl_Historique_Final[Horodatage],
        ""
    ),
    Horodatage!$A$2
)</f>
        <v>46233.670796365739</v>
      </c>
      <c r="P600" s="1" t="str">
        <f>IFERROR(IF(tbl_Historique_Final[[#This Row],[Commentaires]]&lt;&gt;"",tbl_Historique_Final[[#This Row],[Commentaires]],""),"")</f>
        <v/>
      </c>
      <c r="X600" s="8" t="str">
        <f>IF(Final_Sans_VGE[[#This Row],[ppn_z]]="","",IFERROR(
   IF(_xlfn.XLOOKUP(Final_Sans_VGE[[#This Row],[ppn_z]],tbl_Historique_Final[ppn_z],tbl_Historique_Final[date_modif])=Final_Sans_VGE[[#This Row],[date_modif]],
      "Ancien",
      "Modifié"),
   "Nouveau"))</f>
        <v>Ancien</v>
      </c>
      <c r="AC600"/>
      <c r="AD600"/>
    </row>
    <row r="601" spans="1:30" ht="30" x14ac:dyDescent="0.25">
      <c r="A601" s="5" t="s">
        <v>1967</v>
      </c>
      <c r="B601" s="1" t="s">
        <v>7484</v>
      </c>
      <c r="C601" s="1" t="s">
        <v>12</v>
      </c>
      <c r="G601" s="1" t="s">
        <v>10</v>
      </c>
      <c r="J601" s="3">
        <v>45630.405636574076</v>
      </c>
      <c r="K601" s="2" t="s">
        <v>7485</v>
      </c>
      <c r="L601" s="1">
        <v>2</v>
      </c>
      <c r="M601" s="1">
        <v>3</v>
      </c>
      <c r="N601">
        <v>1</v>
      </c>
      <c r="O601" s="3">
        <f>IF(
    R601="Ancien",
    _xlfn.XLOOKUP(
        Final_Sans_VGE[[#This Row],[ppn_z]],
        tbl_Historique_Final[ppn_z],
        tbl_Historique_Final[Horodatage],
        ""
    ),
    Horodatage!$A$2
)</f>
        <v>46233.670796365739</v>
      </c>
      <c r="P601" s="1" t="str">
        <f>IFERROR(IF(tbl_Historique_Final[[#This Row],[Commentaires]]&lt;&gt;"",tbl_Historique_Final[[#This Row],[Commentaires]],""),"")</f>
        <v/>
      </c>
      <c r="X601" s="8" t="str">
        <f>IF(Final_Sans_VGE[[#This Row],[ppn_z]]="","",IFERROR(
   IF(_xlfn.XLOOKUP(Final_Sans_VGE[[#This Row],[ppn_z]],tbl_Historique_Final[ppn_z],tbl_Historique_Final[date_modif])=Final_Sans_VGE[[#This Row],[date_modif]],
      "Ancien",
      "Modifié"),
   "Nouveau"))</f>
        <v>Ancien</v>
      </c>
      <c r="AC601"/>
      <c r="AD601"/>
    </row>
    <row r="602" spans="1:30" x14ac:dyDescent="0.25">
      <c r="A602" s="5" t="s">
        <v>1970</v>
      </c>
      <c r="B602" s="1" t="s">
        <v>7486</v>
      </c>
      <c r="C602" s="1" t="s">
        <v>12</v>
      </c>
      <c r="J602" s="3">
        <v>45786.47111111111</v>
      </c>
      <c r="K602" s="2" t="s">
        <v>7487</v>
      </c>
      <c r="L602" s="1">
        <v>3</v>
      </c>
      <c r="M602" s="1">
        <v>3</v>
      </c>
      <c r="N602">
        <v>0</v>
      </c>
      <c r="O602" s="3">
        <f>IF(
    R602="Ancien",
    _xlfn.XLOOKUP(
        Final_Sans_VGE[[#This Row],[ppn_z]],
        tbl_Historique_Final[ppn_z],
        tbl_Historique_Final[Horodatage],
        ""
    ),
    Horodatage!$A$2
)</f>
        <v>46233.670796365739</v>
      </c>
      <c r="P602" s="1" t="str">
        <f>IFERROR(IF(tbl_Historique_Final[[#This Row],[Commentaires]]&lt;&gt;"",tbl_Historique_Final[[#This Row],[Commentaires]],""),"")</f>
        <v/>
      </c>
      <c r="X602" s="8" t="str">
        <f>IF(Final_Sans_VGE[[#This Row],[ppn_z]]="","",IFERROR(
   IF(_xlfn.XLOOKUP(Final_Sans_VGE[[#This Row],[ppn_z]],tbl_Historique_Final[ppn_z],tbl_Historique_Final[date_modif])=Final_Sans_VGE[[#This Row],[date_modif]],
      "Ancien",
      "Modifié"),
   "Nouveau"))</f>
        <v>Ancien</v>
      </c>
      <c r="AC602"/>
      <c r="AD602"/>
    </row>
    <row r="603" spans="1:30" x14ac:dyDescent="0.25">
      <c r="A603" s="5" t="s">
        <v>1973</v>
      </c>
      <c r="B603" s="1" t="s">
        <v>7488</v>
      </c>
      <c r="C603" s="1" t="s">
        <v>6482</v>
      </c>
      <c r="J603" s="3">
        <v>45803.432129629633</v>
      </c>
      <c r="K603" s="2" t="s">
        <v>7489</v>
      </c>
      <c r="L603" s="1">
        <v>2</v>
      </c>
      <c r="M603" s="1">
        <v>2</v>
      </c>
      <c r="N603">
        <v>0</v>
      </c>
      <c r="O603" s="3">
        <f>IF(
    R603="Ancien",
    _xlfn.XLOOKUP(
        Final_Sans_VGE[[#This Row],[ppn_z]],
        tbl_Historique_Final[ppn_z],
        tbl_Historique_Final[Horodatage],
        ""
    ),
    Horodatage!$A$2
)</f>
        <v>46233.670796365739</v>
      </c>
      <c r="P603" s="1" t="str">
        <f>IFERROR(IF(tbl_Historique_Final[[#This Row],[Commentaires]]&lt;&gt;"",tbl_Historique_Final[[#This Row],[Commentaires]],""),"")</f>
        <v/>
      </c>
      <c r="X603" s="8" t="str">
        <f>IF(Final_Sans_VGE[[#This Row],[ppn_z]]="","",IFERROR(
   IF(_xlfn.XLOOKUP(Final_Sans_VGE[[#This Row],[ppn_z]],tbl_Historique_Final[ppn_z],tbl_Historique_Final[date_modif])=Final_Sans_VGE[[#This Row],[date_modif]],
      "Ancien",
      "Modifié"),
   "Nouveau"))</f>
        <v>Ancien</v>
      </c>
      <c r="AC603"/>
      <c r="AD603"/>
    </row>
    <row r="604" spans="1:30" x14ac:dyDescent="0.25">
      <c r="A604" s="5" t="s">
        <v>1976</v>
      </c>
      <c r="B604" s="1" t="s">
        <v>7490</v>
      </c>
      <c r="C604" s="1" t="s">
        <v>12</v>
      </c>
      <c r="G604" s="1" t="s">
        <v>10</v>
      </c>
      <c r="J604" s="3">
        <v>45699.641145833331</v>
      </c>
      <c r="K604" s="2" t="s">
        <v>6771</v>
      </c>
      <c r="L604" s="1">
        <v>1</v>
      </c>
      <c r="M604" s="1">
        <v>1</v>
      </c>
      <c r="N604">
        <v>0</v>
      </c>
      <c r="O604" s="3">
        <f>IF(
    R604="Ancien",
    _xlfn.XLOOKUP(
        Final_Sans_VGE[[#This Row],[ppn_z]],
        tbl_Historique_Final[ppn_z],
        tbl_Historique_Final[Horodatage],
        ""
    ),
    Horodatage!$A$2
)</f>
        <v>46233.670796365739</v>
      </c>
      <c r="P604" s="1" t="str">
        <f>IFERROR(IF(tbl_Historique_Final[[#This Row],[Commentaires]]&lt;&gt;"",tbl_Historique_Final[[#This Row],[Commentaires]],""),"")</f>
        <v/>
      </c>
      <c r="X604" s="8" t="str">
        <f>IF(Final_Sans_VGE[[#This Row],[ppn_z]]="","",IFERROR(
   IF(_xlfn.XLOOKUP(Final_Sans_VGE[[#This Row],[ppn_z]],tbl_Historique_Final[ppn_z],tbl_Historique_Final[date_modif])=Final_Sans_VGE[[#This Row],[date_modif]],
      "Ancien",
      "Modifié"),
   "Nouveau"))</f>
        <v>Ancien</v>
      </c>
      <c r="AC604"/>
      <c r="AD604"/>
    </row>
    <row r="605" spans="1:30" x14ac:dyDescent="0.25">
      <c r="A605" s="5" t="s">
        <v>1979</v>
      </c>
      <c r="B605" s="1" t="s">
        <v>7491</v>
      </c>
      <c r="C605" s="1" t="s">
        <v>7090</v>
      </c>
      <c r="J605" s="3">
        <v>45416.256712962961</v>
      </c>
      <c r="L605" s="1">
        <v>13</v>
      </c>
      <c r="M605" s="1">
        <v>14</v>
      </c>
      <c r="N605">
        <v>1</v>
      </c>
      <c r="O605" s="3">
        <f>IF(
    R605="Ancien",
    _xlfn.XLOOKUP(
        Final_Sans_VGE[[#This Row],[ppn_z]],
        tbl_Historique_Final[ppn_z],
        tbl_Historique_Final[Horodatage],
        ""
    ),
    Horodatage!$A$2
)</f>
        <v>46233.670796365739</v>
      </c>
      <c r="P605" s="1" t="str">
        <f>IFERROR(IF(tbl_Historique_Final[[#This Row],[Commentaires]]&lt;&gt;"",tbl_Historique_Final[[#This Row],[Commentaires]],""),"")</f>
        <v/>
      </c>
      <c r="X605" s="8" t="str">
        <f>IF(Final_Sans_VGE[[#This Row],[ppn_z]]="","",IFERROR(
   IF(_xlfn.XLOOKUP(Final_Sans_VGE[[#This Row],[ppn_z]],tbl_Historique_Final[ppn_z],tbl_Historique_Final[date_modif])=Final_Sans_VGE[[#This Row],[date_modif]],
      "Ancien",
      "Modifié"),
   "Nouveau"))</f>
        <v>Ancien</v>
      </c>
      <c r="AC605"/>
      <c r="AD605"/>
    </row>
    <row r="606" spans="1:30" x14ac:dyDescent="0.25">
      <c r="A606" s="5" t="s">
        <v>1982</v>
      </c>
      <c r="B606" s="1" t="s">
        <v>7492</v>
      </c>
      <c r="C606" s="1" t="s">
        <v>6783</v>
      </c>
      <c r="E606" s="1" t="s">
        <v>66</v>
      </c>
      <c r="G606" s="1" t="s">
        <v>10</v>
      </c>
      <c r="J606" s="3">
        <v>45723.389861111114</v>
      </c>
      <c r="K606" s="2" t="s">
        <v>6638</v>
      </c>
      <c r="L606" s="1">
        <v>1</v>
      </c>
      <c r="M606" s="1">
        <v>1</v>
      </c>
      <c r="N606">
        <v>0</v>
      </c>
      <c r="O606" s="3">
        <f>IF(
    R606="Ancien",
    _xlfn.XLOOKUP(
        Final_Sans_VGE[[#This Row],[ppn_z]],
        tbl_Historique_Final[ppn_z],
        tbl_Historique_Final[Horodatage],
        ""
    ),
    Horodatage!$A$2
)</f>
        <v>46233.670796365739</v>
      </c>
      <c r="P606" s="1" t="str">
        <f>IFERROR(IF(tbl_Historique_Final[[#This Row],[Commentaires]]&lt;&gt;"",tbl_Historique_Final[[#This Row],[Commentaires]],""),"")</f>
        <v/>
      </c>
      <c r="X606" s="8" t="str">
        <f>IF(Final_Sans_VGE[[#This Row],[ppn_z]]="","",IFERROR(
   IF(_xlfn.XLOOKUP(Final_Sans_VGE[[#This Row],[ppn_z]],tbl_Historique_Final[ppn_z],tbl_Historique_Final[date_modif])=Final_Sans_VGE[[#This Row],[date_modif]],
      "Ancien",
      "Modifié"),
   "Nouveau"))</f>
        <v>Ancien</v>
      </c>
      <c r="AC606"/>
      <c r="AD606"/>
    </row>
    <row r="607" spans="1:30" x14ac:dyDescent="0.25">
      <c r="A607" s="5" t="s">
        <v>1985</v>
      </c>
      <c r="B607" s="1" t="s">
        <v>7493</v>
      </c>
      <c r="C607" s="1" t="s">
        <v>12</v>
      </c>
      <c r="G607" s="1" t="s">
        <v>10</v>
      </c>
      <c r="J607" s="3">
        <v>45668.513483796298</v>
      </c>
      <c r="K607" s="2" t="s">
        <v>7494</v>
      </c>
      <c r="L607" s="1">
        <v>0</v>
      </c>
      <c r="M607" s="1">
        <v>4</v>
      </c>
      <c r="N607">
        <v>4</v>
      </c>
      <c r="O607" s="3">
        <f>IF(
    R607="Ancien",
    _xlfn.XLOOKUP(
        Final_Sans_VGE[[#This Row],[ppn_z]],
        tbl_Historique_Final[ppn_z],
        tbl_Historique_Final[Horodatage],
        ""
    ),
    Horodatage!$A$2
)</f>
        <v>46233.670796365739</v>
      </c>
      <c r="P607" s="1" t="str">
        <f>IFERROR(IF(tbl_Historique_Final[[#This Row],[Commentaires]]&lt;&gt;"",tbl_Historique_Final[[#This Row],[Commentaires]],""),"")</f>
        <v/>
      </c>
      <c r="X607" s="8" t="str">
        <f>IF(Final_Sans_VGE[[#This Row],[ppn_z]]="","",IFERROR(
   IF(_xlfn.XLOOKUP(Final_Sans_VGE[[#This Row],[ppn_z]],tbl_Historique_Final[ppn_z],tbl_Historique_Final[date_modif])=Final_Sans_VGE[[#This Row],[date_modif]],
      "Ancien",
      "Modifié"),
   "Nouveau"))</f>
        <v>Ancien</v>
      </c>
      <c r="AC607"/>
      <c r="AD607"/>
    </row>
    <row r="608" spans="1:30" ht="30" x14ac:dyDescent="0.25">
      <c r="A608" s="5" t="s">
        <v>1988</v>
      </c>
      <c r="B608" s="1" t="s">
        <v>7495</v>
      </c>
      <c r="C608" s="1" t="s">
        <v>7496</v>
      </c>
      <c r="D608" s="1" t="s">
        <v>14</v>
      </c>
      <c r="E608" s="1" t="s">
        <v>6735</v>
      </c>
      <c r="F608" s="1" t="s">
        <v>7497</v>
      </c>
      <c r="G608" s="1" t="s">
        <v>10</v>
      </c>
      <c r="H608" s="1" t="s">
        <v>22</v>
      </c>
      <c r="I608" s="1" t="s">
        <v>22</v>
      </c>
      <c r="J608" s="3">
        <v>45762.406365740739</v>
      </c>
      <c r="K608" s="2" t="s">
        <v>7498</v>
      </c>
      <c r="L608" s="1">
        <v>11</v>
      </c>
      <c r="M608" s="1">
        <v>13</v>
      </c>
      <c r="N608">
        <v>2</v>
      </c>
      <c r="O608" s="3">
        <f>IF(
    R608="Ancien",
    _xlfn.XLOOKUP(
        Final_Sans_VGE[[#This Row],[ppn_z]],
        tbl_Historique_Final[ppn_z],
        tbl_Historique_Final[Horodatage],
        ""
    ),
    Horodatage!$A$2
)</f>
        <v>46233.670796365739</v>
      </c>
      <c r="P608" s="1" t="str">
        <f>IFERROR(IF(tbl_Historique_Final[[#This Row],[Commentaires]]&lt;&gt;"",tbl_Historique_Final[[#This Row],[Commentaires]],""),"")</f>
        <v/>
      </c>
      <c r="X608" s="8" t="str">
        <f>IF(Final_Sans_VGE[[#This Row],[ppn_z]]="","",IFERROR(
   IF(_xlfn.XLOOKUP(Final_Sans_VGE[[#This Row],[ppn_z]],tbl_Historique_Final[ppn_z],tbl_Historique_Final[date_modif])=Final_Sans_VGE[[#This Row],[date_modif]],
      "Ancien",
      "Modifié"),
   "Nouveau"))</f>
        <v>Ancien</v>
      </c>
      <c r="AC608"/>
      <c r="AD608"/>
    </row>
    <row r="609" spans="1:30" x14ac:dyDescent="0.25">
      <c r="A609" s="5" t="s">
        <v>1991</v>
      </c>
      <c r="B609" s="1" t="s">
        <v>7499</v>
      </c>
      <c r="C609" s="1" t="s">
        <v>12</v>
      </c>
      <c r="G609" s="1" t="s">
        <v>10</v>
      </c>
      <c r="J609" s="3">
        <v>45804.679062499999</v>
      </c>
      <c r="K609" s="2" t="s">
        <v>7500</v>
      </c>
      <c r="L609" s="1">
        <v>1</v>
      </c>
      <c r="M609" s="1">
        <v>1</v>
      </c>
      <c r="N609">
        <v>0</v>
      </c>
      <c r="O609" s="3">
        <f>IF(
    R609="Ancien",
    _xlfn.XLOOKUP(
        Final_Sans_VGE[[#This Row],[ppn_z]],
        tbl_Historique_Final[ppn_z],
        tbl_Historique_Final[Horodatage],
        ""
    ),
    Horodatage!$A$2
)</f>
        <v>46233.670796365739</v>
      </c>
      <c r="P609" s="1" t="str">
        <f>IFERROR(IF(tbl_Historique_Final[[#This Row],[Commentaires]]&lt;&gt;"",tbl_Historique_Final[[#This Row],[Commentaires]],""),"")</f>
        <v/>
      </c>
      <c r="X609" s="8" t="str">
        <f>IF(Final_Sans_VGE[[#This Row],[ppn_z]]="","",IFERROR(
   IF(_xlfn.XLOOKUP(Final_Sans_VGE[[#This Row],[ppn_z]],tbl_Historique_Final[ppn_z],tbl_Historique_Final[date_modif])=Final_Sans_VGE[[#This Row],[date_modif]],
      "Ancien",
      "Modifié"),
   "Nouveau"))</f>
        <v>Ancien</v>
      </c>
      <c r="AC609"/>
      <c r="AD609"/>
    </row>
    <row r="610" spans="1:30" x14ac:dyDescent="0.25">
      <c r="A610" s="5" t="s">
        <v>1994</v>
      </c>
      <c r="B610" s="1" t="s">
        <v>7501</v>
      </c>
      <c r="C610" s="1" t="s">
        <v>12</v>
      </c>
      <c r="G610" s="1" t="s">
        <v>11</v>
      </c>
      <c r="J610" s="3">
        <v>45580.456921296296</v>
      </c>
      <c r="K610" s="2" t="s">
        <v>7502</v>
      </c>
      <c r="L610" s="1">
        <v>1</v>
      </c>
      <c r="M610" s="1">
        <v>1</v>
      </c>
      <c r="N610">
        <v>0</v>
      </c>
      <c r="O610" s="3">
        <f>IF(
    R610="Ancien",
    _xlfn.XLOOKUP(
        Final_Sans_VGE[[#This Row],[ppn_z]],
        tbl_Historique_Final[ppn_z],
        tbl_Historique_Final[Horodatage],
        ""
    ),
    Horodatage!$A$2
)</f>
        <v>46233.670796365739</v>
      </c>
      <c r="P610" s="1" t="str">
        <f>IFERROR(IF(tbl_Historique_Final[[#This Row],[Commentaires]]&lt;&gt;"",tbl_Historique_Final[[#This Row],[Commentaires]],""),"")</f>
        <v/>
      </c>
      <c r="X610" s="8" t="str">
        <f>IF(Final_Sans_VGE[[#This Row],[ppn_z]]="","",IFERROR(
   IF(_xlfn.XLOOKUP(Final_Sans_VGE[[#This Row],[ppn_z]],tbl_Historique_Final[ppn_z],tbl_Historique_Final[date_modif])=Final_Sans_VGE[[#This Row],[date_modif]],
      "Ancien",
      "Modifié"),
   "Nouveau"))</f>
        <v>Ancien</v>
      </c>
      <c r="AC610"/>
      <c r="AD610"/>
    </row>
    <row r="611" spans="1:30" ht="30" x14ac:dyDescent="0.25">
      <c r="A611" s="5" t="s">
        <v>1997</v>
      </c>
      <c r="B611" s="1" t="s">
        <v>7503</v>
      </c>
      <c r="C611" s="1" t="s">
        <v>12</v>
      </c>
      <c r="G611" s="1" t="s">
        <v>11</v>
      </c>
      <c r="J611" s="3">
        <v>45607.622685185182</v>
      </c>
      <c r="K611" s="2" t="s">
        <v>7504</v>
      </c>
      <c r="L611" s="1">
        <v>1</v>
      </c>
      <c r="M611" s="1">
        <v>1</v>
      </c>
      <c r="N611">
        <v>0</v>
      </c>
      <c r="O611" s="3">
        <f>IF(
    R611="Ancien",
    _xlfn.XLOOKUP(
        Final_Sans_VGE[[#This Row],[ppn_z]],
        tbl_Historique_Final[ppn_z],
        tbl_Historique_Final[Horodatage],
        ""
    ),
    Horodatage!$A$2
)</f>
        <v>46233.670796365739</v>
      </c>
      <c r="P611" s="1" t="str">
        <f>IFERROR(IF(tbl_Historique_Final[[#This Row],[Commentaires]]&lt;&gt;"",tbl_Historique_Final[[#This Row],[Commentaires]],""),"")</f>
        <v/>
      </c>
      <c r="X611" s="8" t="str">
        <f>IF(Final_Sans_VGE[[#This Row],[ppn_z]]="","",IFERROR(
   IF(_xlfn.XLOOKUP(Final_Sans_VGE[[#This Row],[ppn_z]],tbl_Historique_Final[ppn_z],tbl_Historique_Final[date_modif])=Final_Sans_VGE[[#This Row],[date_modif]],
      "Ancien",
      "Modifié"),
   "Nouveau"))</f>
        <v>Ancien</v>
      </c>
      <c r="AC611"/>
      <c r="AD611"/>
    </row>
    <row r="612" spans="1:30" x14ac:dyDescent="0.25">
      <c r="A612" s="5" t="s">
        <v>2000</v>
      </c>
      <c r="B612" s="1" t="s">
        <v>7505</v>
      </c>
      <c r="C612" s="1" t="s">
        <v>7506</v>
      </c>
      <c r="D612" s="1" t="s">
        <v>155</v>
      </c>
      <c r="E612" s="1" t="s">
        <v>78</v>
      </c>
      <c r="F612" s="1" t="s">
        <v>14</v>
      </c>
      <c r="G612" s="1" t="s">
        <v>10</v>
      </c>
      <c r="H612" s="1" t="s">
        <v>22</v>
      </c>
      <c r="I612" s="1" t="s">
        <v>7507</v>
      </c>
      <c r="J612" s="3">
        <v>45793.565659722219</v>
      </c>
      <c r="K612" s="2" t="s">
        <v>7508</v>
      </c>
      <c r="L612" s="1">
        <v>7</v>
      </c>
      <c r="M612" s="1">
        <v>12</v>
      </c>
      <c r="N612">
        <v>5</v>
      </c>
      <c r="O612" s="3">
        <f>IF(
    R612="Ancien",
    _xlfn.XLOOKUP(
        Final_Sans_VGE[[#This Row],[ppn_z]],
        tbl_Historique_Final[ppn_z],
        tbl_Historique_Final[Horodatage],
        ""
    ),
    Horodatage!$A$2
)</f>
        <v>46233.670796365739</v>
      </c>
      <c r="P612" s="1" t="str">
        <f>IFERROR(IF(tbl_Historique_Final[[#This Row],[Commentaires]]&lt;&gt;"",tbl_Historique_Final[[#This Row],[Commentaires]],""),"")</f>
        <v/>
      </c>
      <c r="X612" s="8" t="str">
        <f>IF(Final_Sans_VGE[[#This Row],[ppn_z]]="","",IFERROR(
   IF(_xlfn.XLOOKUP(Final_Sans_VGE[[#This Row],[ppn_z]],tbl_Historique_Final[ppn_z],tbl_Historique_Final[date_modif])=Final_Sans_VGE[[#This Row],[date_modif]],
      "Ancien",
      "Modifié"),
   "Nouveau"))</f>
        <v>Ancien</v>
      </c>
      <c r="AC612"/>
      <c r="AD612"/>
    </row>
    <row r="613" spans="1:30" x14ac:dyDescent="0.25">
      <c r="A613" s="5" t="s">
        <v>2003</v>
      </c>
      <c r="B613" s="1" t="s">
        <v>7509</v>
      </c>
      <c r="C613" s="1" t="s">
        <v>55</v>
      </c>
      <c r="G613" s="1" t="s">
        <v>10</v>
      </c>
      <c r="J613" s="3">
        <v>45636.657627314817</v>
      </c>
      <c r="K613" s="2" t="s">
        <v>7494</v>
      </c>
      <c r="L613" s="1">
        <v>4</v>
      </c>
      <c r="M613" s="1">
        <v>18</v>
      </c>
      <c r="N613">
        <v>14</v>
      </c>
      <c r="O613" s="3">
        <f>IF(
    R613="Ancien",
    _xlfn.XLOOKUP(
        Final_Sans_VGE[[#This Row],[ppn_z]],
        tbl_Historique_Final[ppn_z],
        tbl_Historique_Final[Horodatage],
        ""
    ),
    Horodatage!$A$2
)</f>
        <v>46233.670796365739</v>
      </c>
      <c r="P613" s="1" t="str">
        <f>IFERROR(IF(tbl_Historique_Final[[#This Row],[Commentaires]]&lt;&gt;"",tbl_Historique_Final[[#This Row],[Commentaires]],""),"")</f>
        <v/>
      </c>
      <c r="X613" s="8" t="str">
        <f>IF(Final_Sans_VGE[[#This Row],[ppn_z]]="","",IFERROR(
   IF(_xlfn.XLOOKUP(Final_Sans_VGE[[#This Row],[ppn_z]],tbl_Historique_Final[ppn_z],tbl_Historique_Final[date_modif])=Final_Sans_VGE[[#This Row],[date_modif]],
      "Ancien",
      "Modifié"),
   "Nouveau"))</f>
        <v>Ancien</v>
      </c>
      <c r="AC613"/>
      <c r="AD613"/>
    </row>
    <row r="614" spans="1:30" x14ac:dyDescent="0.25">
      <c r="A614" s="5" t="s">
        <v>2006</v>
      </c>
      <c r="B614" s="1" t="s">
        <v>7510</v>
      </c>
      <c r="C614" s="1" t="s">
        <v>6447</v>
      </c>
      <c r="G614" s="1" t="s">
        <v>11</v>
      </c>
      <c r="J614" s="3">
        <v>45510.473136574074</v>
      </c>
      <c r="L614" s="1">
        <v>1</v>
      </c>
      <c r="M614" s="1">
        <v>1</v>
      </c>
      <c r="N614">
        <v>0</v>
      </c>
      <c r="O614" s="3">
        <f>IF(
    R614="Ancien",
    _xlfn.XLOOKUP(
        Final_Sans_VGE[[#This Row],[ppn_z]],
        tbl_Historique_Final[ppn_z],
        tbl_Historique_Final[Horodatage],
        ""
    ),
    Horodatage!$A$2
)</f>
        <v>46233.670796365739</v>
      </c>
      <c r="P614" s="1" t="str">
        <f>IFERROR(IF(tbl_Historique_Final[[#This Row],[Commentaires]]&lt;&gt;"",tbl_Historique_Final[[#This Row],[Commentaires]],""),"")</f>
        <v/>
      </c>
      <c r="X614" s="8" t="str">
        <f>IF(Final_Sans_VGE[[#This Row],[ppn_z]]="","",IFERROR(
   IF(_xlfn.XLOOKUP(Final_Sans_VGE[[#This Row],[ppn_z]],tbl_Historique_Final[ppn_z],tbl_Historique_Final[date_modif])=Final_Sans_VGE[[#This Row],[date_modif]],
      "Ancien",
      "Modifié"),
   "Nouveau"))</f>
        <v>Ancien</v>
      </c>
      <c r="AC614"/>
      <c r="AD614"/>
    </row>
    <row r="615" spans="1:30" ht="30" x14ac:dyDescent="0.25">
      <c r="A615" s="5" t="s">
        <v>2009</v>
      </c>
      <c r="B615" s="1" t="s">
        <v>7511</v>
      </c>
      <c r="J615" s="3">
        <v>45785.470775462964</v>
      </c>
      <c r="K615" s="2" t="s">
        <v>7512</v>
      </c>
      <c r="L615" s="1">
        <v>1</v>
      </c>
      <c r="M615" s="1">
        <v>1</v>
      </c>
      <c r="N615">
        <v>0</v>
      </c>
      <c r="O615" s="3">
        <f>IF(
    R615="Ancien",
    _xlfn.XLOOKUP(
        Final_Sans_VGE[[#This Row],[ppn_z]],
        tbl_Historique_Final[ppn_z],
        tbl_Historique_Final[Horodatage],
        ""
    ),
    Horodatage!$A$2
)</f>
        <v>46233.670796365739</v>
      </c>
      <c r="P615" s="1" t="str">
        <f>IFERROR(IF(tbl_Historique_Final[[#This Row],[Commentaires]]&lt;&gt;"",tbl_Historique_Final[[#This Row],[Commentaires]],""),"")</f>
        <v/>
      </c>
      <c r="X615" s="8" t="str">
        <f>IF(Final_Sans_VGE[[#This Row],[ppn_z]]="","",IFERROR(
   IF(_xlfn.XLOOKUP(Final_Sans_VGE[[#This Row],[ppn_z]],tbl_Historique_Final[ppn_z],tbl_Historique_Final[date_modif])=Final_Sans_VGE[[#This Row],[date_modif]],
      "Ancien",
      "Modifié"),
   "Nouveau"))</f>
        <v>Ancien</v>
      </c>
      <c r="AC615"/>
      <c r="AD615"/>
    </row>
    <row r="616" spans="1:30" x14ac:dyDescent="0.25">
      <c r="A616" s="5" t="s">
        <v>2012</v>
      </c>
      <c r="B616" s="1" t="s">
        <v>7513</v>
      </c>
      <c r="C616" s="1" t="s">
        <v>29</v>
      </c>
      <c r="G616" s="1" t="s">
        <v>10</v>
      </c>
      <c r="J616" s="3">
        <v>45735.473993055559</v>
      </c>
      <c r="K616" s="2" t="s">
        <v>7514</v>
      </c>
      <c r="L616" s="1">
        <v>1</v>
      </c>
      <c r="M616" s="1">
        <v>1</v>
      </c>
      <c r="N616">
        <v>0</v>
      </c>
      <c r="O616" s="3">
        <f>IF(
    R616="Ancien",
    _xlfn.XLOOKUP(
        Final_Sans_VGE[[#This Row],[ppn_z]],
        tbl_Historique_Final[ppn_z],
        tbl_Historique_Final[Horodatage],
        ""
    ),
    Horodatage!$A$2
)</f>
        <v>46233.670796365739</v>
      </c>
      <c r="P616" s="1" t="str">
        <f>IFERROR(IF(tbl_Historique_Final[[#This Row],[Commentaires]]&lt;&gt;"",tbl_Historique_Final[[#This Row],[Commentaires]],""),"")</f>
        <v/>
      </c>
      <c r="X616" s="8" t="str">
        <f>IF(Final_Sans_VGE[[#This Row],[ppn_z]]="","",IFERROR(
   IF(_xlfn.XLOOKUP(Final_Sans_VGE[[#This Row],[ppn_z]],tbl_Historique_Final[ppn_z],tbl_Historique_Final[date_modif])=Final_Sans_VGE[[#This Row],[date_modif]],
      "Ancien",
      "Modifié"),
   "Nouveau"))</f>
        <v>Ancien</v>
      </c>
      <c r="AC616"/>
      <c r="AD616"/>
    </row>
    <row r="617" spans="1:30" x14ac:dyDescent="0.25">
      <c r="A617" s="5" t="s">
        <v>2015</v>
      </c>
      <c r="B617" s="1" t="s">
        <v>7515</v>
      </c>
      <c r="C617" s="1" t="s">
        <v>53</v>
      </c>
      <c r="D617" s="1" t="s">
        <v>14</v>
      </c>
      <c r="H617" s="1" t="s">
        <v>22</v>
      </c>
      <c r="I617" s="1" t="s">
        <v>22</v>
      </c>
      <c r="J617" s="3">
        <v>45630.622499999998</v>
      </c>
      <c r="K617" s="2" t="s">
        <v>7516</v>
      </c>
      <c r="L617" s="1">
        <v>47</v>
      </c>
      <c r="M617" s="1">
        <v>50</v>
      </c>
      <c r="N617">
        <v>3</v>
      </c>
      <c r="O617" s="3">
        <f>IF(
    R617="Ancien",
    _xlfn.XLOOKUP(
        Final_Sans_VGE[[#This Row],[ppn_z]],
        tbl_Historique_Final[ppn_z],
        tbl_Historique_Final[Horodatage],
        ""
    ),
    Horodatage!$A$2
)</f>
        <v>46233.670796365739</v>
      </c>
      <c r="P617" s="1" t="str">
        <f>IFERROR(IF(tbl_Historique_Final[[#This Row],[Commentaires]]&lt;&gt;"",tbl_Historique_Final[[#This Row],[Commentaires]],""),"")</f>
        <v/>
      </c>
      <c r="X617" s="8" t="str">
        <f>IF(Final_Sans_VGE[[#This Row],[ppn_z]]="","",IFERROR(
   IF(_xlfn.XLOOKUP(Final_Sans_VGE[[#This Row],[ppn_z]],tbl_Historique_Final[ppn_z],tbl_Historique_Final[date_modif])=Final_Sans_VGE[[#This Row],[date_modif]],
      "Ancien",
      "Modifié"),
   "Nouveau"))</f>
        <v>Ancien</v>
      </c>
      <c r="AC617"/>
      <c r="AD617"/>
    </row>
    <row r="618" spans="1:30" x14ac:dyDescent="0.25">
      <c r="A618" s="5" t="s">
        <v>2018</v>
      </c>
      <c r="B618" s="1" t="s">
        <v>7517</v>
      </c>
      <c r="C618" s="1" t="s">
        <v>49</v>
      </c>
      <c r="J618" s="3">
        <v>45416.581736111111</v>
      </c>
      <c r="L618" s="1">
        <v>1</v>
      </c>
      <c r="M618" s="1">
        <v>3</v>
      </c>
      <c r="N618">
        <v>2</v>
      </c>
      <c r="O618" s="3">
        <f>IF(
    R618="Ancien",
    _xlfn.XLOOKUP(
        Final_Sans_VGE[[#This Row],[ppn_z]],
        tbl_Historique_Final[ppn_z],
        tbl_Historique_Final[Horodatage],
        ""
    ),
    Horodatage!$A$2
)</f>
        <v>46233.670796365739</v>
      </c>
      <c r="P618" s="1" t="str">
        <f>IFERROR(IF(tbl_Historique_Final[[#This Row],[Commentaires]]&lt;&gt;"",tbl_Historique_Final[[#This Row],[Commentaires]],""),"")</f>
        <v/>
      </c>
      <c r="X618" s="8" t="str">
        <f>IF(Final_Sans_VGE[[#This Row],[ppn_z]]="","",IFERROR(
   IF(_xlfn.XLOOKUP(Final_Sans_VGE[[#This Row],[ppn_z]],tbl_Historique_Final[ppn_z],tbl_Historique_Final[date_modif])=Final_Sans_VGE[[#This Row],[date_modif]],
      "Ancien",
      "Modifié"),
   "Nouveau"))</f>
        <v>Ancien</v>
      </c>
      <c r="AC618"/>
      <c r="AD618"/>
    </row>
    <row r="619" spans="1:30" x14ac:dyDescent="0.25">
      <c r="A619" s="5" t="s">
        <v>2021</v>
      </c>
      <c r="B619" s="1" t="s">
        <v>7518</v>
      </c>
      <c r="C619" s="1" t="s">
        <v>6565</v>
      </c>
      <c r="D619" s="1" t="s">
        <v>14</v>
      </c>
      <c r="E619" s="1" t="s">
        <v>64</v>
      </c>
      <c r="G619" s="1" t="s">
        <v>10</v>
      </c>
      <c r="H619" s="1" t="s">
        <v>140</v>
      </c>
      <c r="I619" s="1" t="s">
        <v>22</v>
      </c>
      <c r="J619" s="3">
        <v>45636.657569444447</v>
      </c>
      <c r="K619" s="2" t="s">
        <v>7519</v>
      </c>
      <c r="L619" s="1">
        <v>23</v>
      </c>
      <c r="M619" s="1">
        <v>23</v>
      </c>
      <c r="N619">
        <v>0</v>
      </c>
      <c r="O619" s="3">
        <f>IF(
    R619="Ancien",
    _xlfn.XLOOKUP(
        Final_Sans_VGE[[#This Row],[ppn_z]],
        tbl_Historique_Final[ppn_z],
        tbl_Historique_Final[Horodatage],
        ""
    ),
    Horodatage!$A$2
)</f>
        <v>46233.670796365739</v>
      </c>
      <c r="P619" s="1" t="str">
        <f>IFERROR(IF(tbl_Historique_Final[[#This Row],[Commentaires]]&lt;&gt;"",tbl_Historique_Final[[#This Row],[Commentaires]],""),"")</f>
        <v/>
      </c>
      <c r="X619" s="8" t="str">
        <f>IF(Final_Sans_VGE[[#This Row],[ppn_z]]="","",IFERROR(
   IF(_xlfn.XLOOKUP(Final_Sans_VGE[[#This Row],[ppn_z]],tbl_Historique_Final[ppn_z],tbl_Historique_Final[date_modif])=Final_Sans_VGE[[#This Row],[date_modif]],
      "Ancien",
      "Modifié"),
   "Nouveau"))</f>
        <v>Ancien</v>
      </c>
      <c r="AC619"/>
      <c r="AD619"/>
    </row>
    <row r="620" spans="1:30" x14ac:dyDescent="0.25">
      <c r="A620" s="5" t="s">
        <v>2024</v>
      </c>
      <c r="B620" s="1" t="s">
        <v>7520</v>
      </c>
      <c r="C620" s="1" t="s">
        <v>42</v>
      </c>
      <c r="G620" s="1" t="s">
        <v>11</v>
      </c>
      <c r="J620" s="3">
        <v>45811.406712962962</v>
      </c>
      <c r="K620" s="2" t="s">
        <v>7521</v>
      </c>
      <c r="L620" s="1">
        <v>1</v>
      </c>
      <c r="M620" s="1">
        <v>1</v>
      </c>
      <c r="N620">
        <v>0</v>
      </c>
      <c r="O620" s="3">
        <f>IF(
    R620="Ancien",
    _xlfn.XLOOKUP(
        Final_Sans_VGE[[#This Row],[ppn_z]],
        tbl_Historique_Final[ppn_z],
        tbl_Historique_Final[Horodatage],
        ""
    ),
    Horodatage!$A$2
)</f>
        <v>46233.670796365739</v>
      </c>
      <c r="P620" s="1" t="str">
        <f>IFERROR(IF(tbl_Historique_Final[[#This Row],[Commentaires]]&lt;&gt;"",tbl_Historique_Final[[#This Row],[Commentaires]],""),"")</f>
        <v/>
      </c>
      <c r="X620" s="8" t="str">
        <f>IF(Final_Sans_VGE[[#This Row],[ppn_z]]="","",IFERROR(
   IF(_xlfn.XLOOKUP(Final_Sans_VGE[[#This Row],[ppn_z]],tbl_Historique_Final[ppn_z],tbl_Historique_Final[date_modif])=Final_Sans_VGE[[#This Row],[date_modif]],
      "Ancien",
      "Modifié"),
   "Nouveau"))</f>
        <v>Ancien</v>
      </c>
      <c r="AC620"/>
      <c r="AD620"/>
    </row>
    <row r="621" spans="1:30" x14ac:dyDescent="0.25">
      <c r="A621" s="5" t="s">
        <v>2027</v>
      </c>
      <c r="B621" s="1" t="s">
        <v>7522</v>
      </c>
      <c r="C621" s="1" t="s">
        <v>45</v>
      </c>
      <c r="G621" s="1" t="s">
        <v>11</v>
      </c>
      <c r="J621" s="3">
        <v>45785.569502314815</v>
      </c>
      <c r="K621" s="2" t="s">
        <v>7523</v>
      </c>
      <c r="L621" s="1">
        <v>1</v>
      </c>
      <c r="M621" s="1">
        <v>1</v>
      </c>
      <c r="N621">
        <v>0</v>
      </c>
      <c r="O621" s="3">
        <f>IF(
    R621="Ancien",
    _xlfn.XLOOKUP(
        Final_Sans_VGE[[#This Row],[ppn_z]],
        tbl_Historique_Final[ppn_z],
        tbl_Historique_Final[Horodatage],
        ""
    ),
    Horodatage!$A$2
)</f>
        <v>46233.670796365739</v>
      </c>
      <c r="P621" s="1" t="str">
        <f>IFERROR(IF(tbl_Historique_Final[[#This Row],[Commentaires]]&lt;&gt;"",tbl_Historique_Final[[#This Row],[Commentaires]],""),"")</f>
        <v/>
      </c>
      <c r="X621" s="8" t="str">
        <f>IF(Final_Sans_VGE[[#This Row],[ppn_z]]="","",IFERROR(
   IF(_xlfn.XLOOKUP(Final_Sans_VGE[[#This Row],[ppn_z]],tbl_Historique_Final[ppn_z],tbl_Historique_Final[date_modif])=Final_Sans_VGE[[#This Row],[date_modif]],
      "Ancien",
      "Modifié"),
   "Nouveau"))</f>
        <v>Ancien</v>
      </c>
      <c r="AC621"/>
      <c r="AD621"/>
    </row>
    <row r="622" spans="1:30" x14ac:dyDescent="0.25">
      <c r="A622" s="5" t="s">
        <v>2030</v>
      </c>
      <c r="B622" s="1" t="s">
        <v>7524</v>
      </c>
      <c r="C622" s="1" t="s">
        <v>40</v>
      </c>
      <c r="D622" s="1" t="s">
        <v>14</v>
      </c>
      <c r="G622" s="1" t="s">
        <v>10</v>
      </c>
      <c r="H622" s="1" t="s">
        <v>22</v>
      </c>
      <c r="I622" s="1" t="s">
        <v>22</v>
      </c>
      <c r="J622" s="3">
        <v>45625.361481481479</v>
      </c>
      <c r="K622" s="2" t="s">
        <v>7525</v>
      </c>
      <c r="L622" s="1">
        <v>24</v>
      </c>
      <c r="M622" s="1">
        <v>24</v>
      </c>
      <c r="N622">
        <v>0</v>
      </c>
      <c r="O622" s="3">
        <f>IF(
    R622="Ancien",
    _xlfn.XLOOKUP(
        Final_Sans_VGE[[#This Row],[ppn_z]],
        tbl_Historique_Final[ppn_z],
        tbl_Historique_Final[Horodatage],
        ""
    ),
    Horodatage!$A$2
)</f>
        <v>46233.670796365739</v>
      </c>
      <c r="P622" s="1" t="str">
        <f>IFERROR(IF(tbl_Historique_Final[[#This Row],[Commentaires]]&lt;&gt;"",tbl_Historique_Final[[#This Row],[Commentaires]],""),"")</f>
        <v/>
      </c>
      <c r="X622" s="8" t="str">
        <f>IF(Final_Sans_VGE[[#This Row],[ppn_z]]="","",IFERROR(
   IF(_xlfn.XLOOKUP(Final_Sans_VGE[[#This Row],[ppn_z]],tbl_Historique_Final[ppn_z],tbl_Historique_Final[date_modif])=Final_Sans_VGE[[#This Row],[date_modif]],
      "Ancien",
      "Modifié"),
   "Nouveau"))</f>
        <v>Ancien</v>
      </c>
      <c r="AC622"/>
      <c r="AD622"/>
    </row>
    <row r="623" spans="1:30" x14ac:dyDescent="0.25">
      <c r="A623" s="5" t="s">
        <v>2033</v>
      </c>
      <c r="B623" s="1" t="s">
        <v>7526</v>
      </c>
      <c r="C623" s="1" t="s">
        <v>6367</v>
      </c>
      <c r="E623" s="1" t="s">
        <v>36</v>
      </c>
      <c r="G623" s="1" t="s">
        <v>10</v>
      </c>
      <c r="J623" s="3">
        <v>45678.6252662037</v>
      </c>
      <c r="K623" s="2" t="s">
        <v>7527</v>
      </c>
      <c r="L623" s="1">
        <v>1</v>
      </c>
      <c r="M623" s="1">
        <v>1</v>
      </c>
      <c r="N623">
        <v>0</v>
      </c>
      <c r="O623" s="3">
        <f>IF(
    R623="Ancien",
    _xlfn.XLOOKUP(
        Final_Sans_VGE[[#This Row],[ppn_z]],
        tbl_Historique_Final[ppn_z],
        tbl_Historique_Final[Horodatage],
        ""
    ),
    Horodatage!$A$2
)</f>
        <v>46233.670796365739</v>
      </c>
      <c r="P623" s="1" t="str">
        <f>IFERROR(IF(tbl_Historique_Final[[#This Row],[Commentaires]]&lt;&gt;"",tbl_Historique_Final[[#This Row],[Commentaires]],""),"")</f>
        <v/>
      </c>
      <c r="X623" s="8" t="str">
        <f>IF(Final_Sans_VGE[[#This Row],[ppn_z]]="","",IFERROR(
   IF(_xlfn.XLOOKUP(Final_Sans_VGE[[#This Row],[ppn_z]],tbl_Historique_Final[ppn_z],tbl_Historique_Final[date_modif])=Final_Sans_VGE[[#This Row],[date_modif]],
      "Ancien",
      "Modifié"),
   "Nouveau"))</f>
        <v>Ancien</v>
      </c>
      <c r="AC623"/>
      <c r="AD623"/>
    </row>
    <row r="624" spans="1:30" x14ac:dyDescent="0.25">
      <c r="A624" s="5" t="s">
        <v>2036</v>
      </c>
      <c r="B624" s="1" t="s">
        <v>7528</v>
      </c>
      <c r="C624" s="1" t="s">
        <v>53</v>
      </c>
      <c r="G624" s="1" t="s">
        <v>10</v>
      </c>
      <c r="J624" s="3">
        <v>45625.390011574076</v>
      </c>
      <c r="K624" s="2" t="s">
        <v>7529</v>
      </c>
      <c r="L624" s="1">
        <v>1</v>
      </c>
      <c r="M624" s="1">
        <v>1</v>
      </c>
      <c r="N624">
        <v>0</v>
      </c>
      <c r="O624" s="3">
        <f>IF(
    R624="Ancien",
    _xlfn.XLOOKUP(
        Final_Sans_VGE[[#This Row],[ppn_z]],
        tbl_Historique_Final[ppn_z],
        tbl_Historique_Final[Horodatage],
        ""
    ),
    Horodatage!$A$2
)</f>
        <v>46233.670796365739</v>
      </c>
      <c r="P624" s="1" t="str">
        <f>IFERROR(IF(tbl_Historique_Final[[#This Row],[Commentaires]]&lt;&gt;"",tbl_Historique_Final[[#This Row],[Commentaires]],""),"")</f>
        <v/>
      </c>
      <c r="X624" s="8" t="str">
        <f>IF(Final_Sans_VGE[[#This Row],[ppn_z]]="","",IFERROR(
   IF(_xlfn.XLOOKUP(Final_Sans_VGE[[#This Row],[ppn_z]],tbl_Historique_Final[ppn_z],tbl_Historique_Final[date_modif])=Final_Sans_VGE[[#This Row],[date_modif]],
      "Ancien",
      "Modifié"),
   "Nouveau"))</f>
        <v>Ancien</v>
      </c>
      <c r="AC624"/>
      <c r="AD624"/>
    </row>
    <row r="625" spans="1:30" ht="30" x14ac:dyDescent="0.25">
      <c r="A625" s="5" t="s">
        <v>2039</v>
      </c>
      <c r="B625" s="1" t="s">
        <v>7530</v>
      </c>
      <c r="G625" s="1" t="s">
        <v>11</v>
      </c>
      <c r="J625" s="3">
        <v>45624.41165509259</v>
      </c>
      <c r="K625" s="2" t="s">
        <v>7531</v>
      </c>
      <c r="L625" s="1">
        <v>2</v>
      </c>
      <c r="M625" s="1">
        <v>2</v>
      </c>
      <c r="N625">
        <v>0</v>
      </c>
      <c r="O625" s="3">
        <f>IF(
    R625="Ancien",
    _xlfn.XLOOKUP(
        Final_Sans_VGE[[#This Row],[ppn_z]],
        tbl_Historique_Final[ppn_z],
        tbl_Historique_Final[Horodatage],
        ""
    ),
    Horodatage!$A$2
)</f>
        <v>46233.670796365739</v>
      </c>
      <c r="P625" s="1" t="str">
        <f>IFERROR(IF(tbl_Historique_Final[[#This Row],[Commentaires]]&lt;&gt;"",tbl_Historique_Final[[#This Row],[Commentaires]],""),"")</f>
        <v/>
      </c>
      <c r="X625" s="8" t="str">
        <f>IF(Final_Sans_VGE[[#This Row],[ppn_z]]="","",IFERROR(
   IF(_xlfn.XLOOKUP(Final_Sans_VGE[[#This Row],[ppn_z]],tbl_Historique_Final[ppn_z],tbl_Historique_Final[date_modif])=Final_Sans_VGE[[#This Row],[date_modif]],
      "Ancien",
      "Modifié"),
   "Nouveau"))</f>
        <v>Ancien</v>
      </c>
      <c r="AC625"/>
      <c r="AD625"/>
    </row>
    <row r="626" spans="1:30" x14ac:dyDescent="0.25">
      <c r="A626" s="5" t="s">
        <v>2042</v>
      </c>
      <c r="B626" s="1" t="s">
        <v>7532</v>
      </c>
      <c r="C626" s="1" t="s">
        <v>7291</v>
      </c>
      <c r="J626" s="3">
        <v>45416.6952662037</v>
      </c>
      <c r="L626" s="1">
        <v>4</v>
      </c>
      <c r="M626" s="1">
        <v>4</v>
      </c>
      <c r="N626">
        <v>0</v>
      </c>
      <c r="O626" s="3">
        <f>IF(
    R626="Ancien",
    _xlfn.XLOOKUP(
        Final_Sans_VGE[[#This Row],[ppn_z]],
        tbl_Historique_Final[ppn_z],
        tbl_Historique_Final[Horodatage],
        ""
    ),
    Horodatage!$A$2
)</f>
        <v>46233.670796365739</v>
      </c>
      <c r="P626" s="1" t="str">
        <f>IFERROR(IF(tbl_Historique_Final[[#This Row],[Commentaires]]&lt;&gt;"",tbl_Historique_Final[[#This Row],[Commentaires]],""),"")</f>
        <v/>
      </c>
      <c r="X626" s="8" t="str">
        <f>IF(Final_Sans_VGE[[#This Row],[ppn_z]]="","",IFERROR(
   IF(_xlfn.XLOOKUP(Final_Sans_VGE[[#This Row],[ppn_z]],tbl_Historique_Final[ppn_z],tbl_Historique_Final[date_modif])=Final_Sans_VGE[[#This Row],[date_modif]],
      "Ancien",
      "Modifié"),
   "Nouveau"))</f>
        <v>Ancien</v>
      </c>
      <c r="AC626"/>
      <c r="AD626"/>
    </row>
    <row r="627" spans="1:30" ht="30" x14ac:dyDescent="0.25">
      <c r="A627" s="5" t="s">
        <v>2045</v>
      </c>
      <c r="B627" s="1" t="s">
        <v>7533</v>
      </c>
      <c r="C627" s="1" t="s">
        <v>46</v>
      </c>
      <c r="H627" s="1" t="s">
        <v>22</v>
      </c>
      <c r="I627" s="1" t="s">
        <v>10511</v>
      </c>
      <c r="J627" s="3">
        <v>45629.460266203707</v>
      </c>
      <c r="K627" s="2" t="s">
        <v>7535</v>
      </c>
      <c r="L627" s="1">
        <v>2</v>
      </c>
      <c r="M627" s="1">
        <v>2</v>
      </c>
      <c r="N627">
        <v>0</v>
      </c>
      <c r="O627" s="3">
        <f>IF(
    R627="Ancien",
    _xlfn.XLOOKUP(
        Final_Sans_VGE[[#This Row],[ppn_z]],
        tbl_Historique_Final[ppn_z],
        tbl_Historique_Final[Horodatage],
        ""
    ),
    Horodatage!$A$2
)</f>
        <v>46233.670796365739</v>
      </c>
      <c r="P627" s="1" t="str">
        <f>IFERROR(IF(tbl_Historique_Final[[#This Row],[Commentaires]]&lt;&gt;"",tbl_Historique_Final[[#This Row],[Commentaires]],""),"")</f>
        <v/>
      </c>
      <c r="X627" s="8" t="str">
        <f>IF(Final_Sans_VGE[[#This Row],[ppn_z]]="","",IFERROR(
   IF(_xlfn.XLOOKUP(Final_Sans_VGE[[#This Row],[ppn_z]],tbl_Historique_Final[ppn_z],tbl_Historique_Final[date_modif])=Final_Sans_VGE[[#This Row],[date_modif]],
      "Ancien",
      "Modifié"),
   "Nouveau"))</f>
        <v>Ancien</v>
      </c>
      <c r="AC627"/>
      <c r="AD627"/>
    </row>
    <row r="628" spans="1:30" x14ac:dyDescent="0.25">
      <c r="A628" s="5" t="s">
        <v>2048</v>
      </c>
      <c r="B628" s="1" t="s">
        <v>7536</v>
      </c>
      <c r="C628" s="1" t="s">
        <v>12</v>
      </c>
      <c r="G628" s="1" t="s">
        <v>10</v>
      </c>
      <c r="J628" s="3">
        <v>45769.610439814816</v>
      </c>
      <c r="K628" s="2" t="s">
        <v>7537</v>
      </c>
      <c r="L628" s="1">
        <v>0</v>
      </c>
      <c r="M628" s="1">
        <v>0</v>
      </c>
      <c r="N628">
        <v>0</v>
      </c>
      <c r="O628" s="3">
        <f>IF(
    R628="Ancien",
    _xlfn.XLOOKUP(
        Final_Sans_VGE[[#This Row],[ppn_z]],
        tbl_Historique_Final[ppn_z],
        tbl_Historique_Final[Horodatage],
        ""
    ),
    Horodatage!$A$2
)</f>
        <v>46233.670796365739</v>
      </c>
      <c r="P628" s="1" t="str">
        <f>IFERROR(IF(tbl_Historique_Final[[#This Row],[Commentaires]]&lt;&gt;"",tbl_Historique_Final[[#This Row],[Commentaires]],""),"")</f>
        <v/>
      </c>
      <c r="X628" s="8" t="str">
        <f>IF(Final_Sans_VGE[[#This Row],[ppn_z]]="","",IFERROR(
   IF(_xlfn.XLOOKUP(Final_Sans_VGE[[#This Row],[ppn_z]],tbl_Historique_Final[ppn_z],tbl_Historique_Final[date_modif])=Final_Sans_VGE[[#This Row],[date_modif]],
      "Ancien",
      "Modifié"),
   "Nouveau"))</f>
        <v>Ancien</v>
      </c>
      <c r="AC628"/>
      <c r="AD628"/>
    </row>
    <row r="629" spans="1:30" ht="45" x14ac:dyDescent="0.25">
      <c r="A629" s="5" t="s">
        <v>2051</v>
      </c>
      <c r="B629" s="1" t="s">
        <v>7538</v>
      </c>
      <c r="C629" s="1" t="s">
        <v>12</v>
      </c>
      <c r="G629" s="1" t="s">
        <v>11</v>
      </c>
      <c r="J629" s="3">
        <v>45631.330775462964</v>
      </c>
      <c r="K629" s="2" t="s">
        <v>7539</v>
      </c>
      <c r="L629" s="1">
        <v>1</v>
      </c>
      <c r="M629" s="1">
        <v>1</v>
      </c>
      <c r="N629">
        <v>0</v>
      </c>
      <c r="O629" s="3">
        <f>IF(
    R629="Ancien",
    _xlfn.XLOOKUP(
        Final_Sans_VGE[[#This Row],[ppn_z]],
        tbl_Historique_Final[ppn_z],
        tbl_Historique_Final[Horodatage],
        ""
    ),
    Horodatage!$A$2
)</f>
        <v>46233.670796365739</v>
      </c>
      <c r="P629" s="1" t="str">
        <f>IFERROR(IF(tbl_Historique_Final[[#This Row],[Commentaires]]&lt;&gt;"",tbl_Historique_Final[[#This Row],[Commentaires]],""),"")</f>
        <v/>
      </c>
      <c r="X629" s="8" t="str">
        <f>IF(Final_Sans_VGE[[#This Row],[ppn_z]]="","",IFERROR(
   IF(_xlfn.XLOOKUP(Final_Sans_VGE[[#This Row],[ppn_z]],tbl_Historique_Final[ppn_z],tbl_Historique_Final[date_modif])=Final_Sans_VGE[[#This Row],[date_modif]],
      "Ancien",
      "Modifié"),
   "Nouveau"))</f>
        <v>Ancien</v>
      </c>
      <c r="AC629"/>
      <c r="AD629"/>
    </row>
    <row r="630" spans="1:30" ht="30" x14ac:dyDescent="0.25">
      <c r="A630" s="5" t="s">
        <v>2054</v>
      </c>
      <c r="B630" s="1" t="s">
        <v>7540</v>
      </c>
      <c r="C630" s="1" t="s">
        <v>12</v>
      </c>
      <c r="G630" s="1" t="s">
        <v>10</v>
      </c>
      <c r="H630" s="1" t="s">
        <v>22</v>
      </c>
      <c r="I630" s="1" t="s">
        <v>22</v>
      </c>
      <c r="J630" s="3">
        <v>45791.693692129629</v>
      </c>
      <c r="K630" s="2" t="s">
        <v>7541</v>
      </c>
      <c r="L630" s="1">
        <v>3</v>
      </c>
      <c r="M630" s="1">
        <v>3</v>
      </c>
      <c r="N630">
        <v>0</v>
      </c>
      <c r="O630" s="3">
        <f>IF(
    R630="Ancien",
    _xlfn.XLOOKUP(
        Final_Sans_VGE[[#This Row],[ppn_z]],
        tbl_Historique_Final[ppn_z],
        tbl_Historique_Final[Horodatage],
        ""
    ),
    Horodatage!$A$2
)</f>
        <v>46233.670796365739</v>
      </c>
      <c r="P630" s="1" t="str">
        <f>IFERROR(IF(tbl_Historique_Final[[#This Row],[Commentaires]]&lt;&gt;"",tbl_Historique_Final[[#This Row],[Commentaires]],""),"")</f>
        <v/>
      </c>
      <c r="X630" s="8" t="str">
        <f>IF(Final_Sans_VGE[[#This Row],[ppn_z]]="","",IFERROR(
   IF(_xlfn.XLOOKUP(Final_Sans_VGE[[#This Row],[ppn_z]],tbl_Historique_Final[ppn_z],tbl_Historique_Final[date_modif])=Final_Sans_VGE[[#This Row],[date_modif]],
      "Ancien",
      "Modifié"),
   "Nouveau"))</f>
        <v>Ancien</v>
      </c>
      <c r="AC630"/>
      <c r="AD630"/>
    </row>
    <row r="631" spans="1:30" x14ac:dyDescent="0.25">
      <c r="A631" s="5" t="s">
        <v>2057</v>
      </c>
      <c r="B631" s="1" t="s">
        <v>7542</v>
      </c>
      <c r="C631" s="1" t="s">
        <v>12</v>
      </c>
      <c r="G631" s="1" t="s">
        <v>11</v>
      </c>
      <c r="J631" s="3">
        <v>45580.393263888887</v>
      </c>
      <c r="K631" s="2" t="s">
        <v>7543</v>
      </c>
      <c r="L631" s="1">
        <v>3</v>
      </c>
      <c r="M631" s="1">
        <v>4</v>
      </c>
      <c r="N631">
        <v>1</v>
      </c>
      <c r="O631" s="3">
        <f>IF(
    R631="Ancien",
    _xlfn.XLOOKUP(
        Final_Sans_VGE[[#This Row],[ppn_z]],
        tbl_Historique_Final[ppn_z],
        tbl_Historique_Final[Horodatage],
        ""
    ),
    Horodatage!$A$2
)</f>
        <v>46233.670796365739</v>
      </c>
      <c r="P631" s="1" t="str">
        <f>IFERROR(IF(tbl_Historique_Final[[#This Row],[Commentaires]]&lt;&gt;"",tbl_Historique_Final[[#This Row],[Commentaires]],""),"")</f>
        <v/>
      </c>
      <c r="X631" s="8" t="str">
        <f>IF(Final_Sans_VGE[[#This Row],[ppn_z]]="","",IFERROR(
   IF(_xlfn.XLOOKUP(Final_Sans_VGE[[#This Row],[ppn_z]],tbl_Historique_Final[ppn_z],tbl_Historique_Final[date_modif])=Final_Sans_VGE[[#This Row],[date_modif]],
      "Ancien",
      "Modifié"),
   "Nouveau"))</f>
        <v>Ancien</v>
      </c>
      <c r="AC631"/>
      <c r="AD631"/>
    </row>
    <row r="632" spans="1:30" x14ac:dyDescent="0.25">
      <c r="A632" s="5" t="s">
        <v>2060</v>
      </c>
      <c r="B632" s="1" t="s">
        <v>7544</v>
      </c>
      <c r="C632" s="1" t="s">
        <v>120</v>
      </c>
      <c r="J632" s="3">
        <v>45416.782939814817</v>
      </c>
      <c r="L632" s="1">
        <v>20</v>
      </c>
      <c r="M632" s="1">
        <v>21</v>
      </c>
      <c r="N632">
        <v>1</v>
      </c>
      <c r="O632" s="3">
        <f>IF(
    R632="Ancien",
    _xlfn.XLOOKUP(
        Final_Sans_VGE[[#This Row],[ppn_z]],
        tbl_Historique_Final[ppn_z],
        tbl_Historique_Final[Horodatage],
        ""
    ),
    Horodatage!$A$2
)</f>
        <v>46233.670796365739</v>
      </c>
      <c r="P632" s="1" t="str">
        <f>IFERROR(IF(tbl_Historique_Final[[#This Row],[Commentaires]]&lt;&gt;"",tbl_Historique_Final[[#This Row],[Commentaires]],""),"")</f>
        <v/>
      </c>
      <c r="X632" s="8" t="str">
        <f>IF(Final_Sans_VGE[[#This Row],[ppn_z]]="","",IFERROR(
   IF(_xlfn.XLOOKUP(Final_Sans_VGE[[#This Row],[ppn_z]],tbl_Historique_Final[ppn_z],tbl_Historique_Final[date_modif])=Final_Sans_VGE[[#This Row],[date_modif]],
      "Ancien",
      "Modifié"),
   "Nouveau"))</f>
        <v>Ancien</v>
      </c>
      <c r="AC632"/>
      <c r="AD632"/>
    </row>
    <row r="633" spans="1:30" ht="45" x14ac:dyDescent="0.25">
      <c r="A633" s="5" t="s">
        <v>2063</v>
      </c>
      <c r="B633" s="1" t="s">
        <v>7545</v>
      </c>
      <c r="C633" s="1" t="s">
        <v>7546</v>
      </c>
      <c r="J633" s="3">
        <v>45785.46980324074</v>
      </c>
      <c r="K633" s="2" t="s">
        <v>7547</v>
      </c>
      <c r="L633" s="1">
        <v>1</v>
      </c>
      <c r="M633" s="1">
        <v>1</v>
      </c>
      <c r="N633">
        <v>0</v>
      </c>
      <c r="O633" s="3">
        <f>IF(
    R633="Ancien",
    _xlfn.XLOOKUP(
        Final_Sans_VGE[[#This Row],[ppn_z]],
        tbl_Historique_Final[ppn_z],
        tbl_Historique_Final[Horodatage],
        ""
    ),
    Horodatage!$A$2
)</f>
        <v>46233.670796365739</v>
      </c>
      <c r="P633" s="1" t="str">
        <f>IFERROR(IF(tbl_Historique_Final[[#This Row],[Commentaires]]&lt;&gt;"",tbl_Historique_Final[[#This Row],[Commentaires]],""),"")</f>
        <v/>
      </c>
      <c r="X633" s="8" t="str">
        <f>IF(Final_Sans_VGE[[#This Row],[ppn_z]]="","",IFERROR(
   IF(_xlfn.XLOOKUP(Final_Sans_VGE[[#This Row],[ppn_z]],tbl_Historique_Final[ppn_z],tbl_Historique_Final[date_modif])=Final_Sans_VGE[[#This Row],[date_modif]],
      "Ancien",
      "Modifié"),
   "Nouveau"))</f>
        <v>Ancien</v>
      </c>
      <c r="AC633"/>
      <c r="AD633"/>
    </row>
    <row r="634" spans="1:30" ht="45" x14ac:dyDescent="0.25">
      <c r="A634" s="5" t="s">
        <v>2066</v>
      </c>
      <c r="B634" s="1" t="s">
        <v>7548</v>
      </c>
      <c r="C634" s="1" t="s">
        <v>6482</v>
      </c>
      <c r="D634" s="1" t="s">
        <v>14</v>
      </c>
      <c r="G634" s="1" t="s">
        <v>10</v>
      </c>
      <c r="H634" s="1" t="s">
        <v>7549</v>
      </c>
      <c r="I634" s="1" t="s">
        <v>22</v>
      </c>
      <c r="J634" s="3">
        <v>45668.43136574074</v>
      </c>
      <c r="K634" s="2" t="s">
        <v>7550</v>
      </c>
      <c r="L634" s="1">
        <v>8</v>
      </c>
      <c r="M634" s="1">
        <v>14</v>
      </c>
      <c r="N634">
        <v>6</v>
      </c>
      <c r="O634" s="3">
        <f>IF(
    R634="Ancien",
    _xlfn.XLOOKUP(
        Final_Sans_VGE[[#This Row],[ppn_z]],
        tbl_Historique_Final[ppn_z],
        tbl_Historique_Final[Horodatage],
        ""
    ),
    Horodatage!$A$2
)</f>
        <v>46233.670796365739</v>
      </c>
      <c r="P634" s="1" t="str">
        <f>IFERROR(IF(tbl_Historique_Final[[#This Row],[Commentaires]]&lt;&gt;"",tbl_Historique_Final[[#This Row],[Commentaires]],""),"")</f>
        <v/>
      </c>
      <c r="X634" s="8" t="str">
        <f>IF(Final_Sans_VGE[[#This Row],[ppn_z]]="","",IFERROR(
   IF(_xlfn.XLOOKUP(Final_Sans_VGE[[#This Row],[ppn_z]],tbl_Historique_Final[ppn_z],tbl_Historique_Final[date_modif])=Final_Sans_VGE[[#This Row],[date_modif]],
      "Ancien",
      "Modifié"),
   "Nouveau"))</f>
        <v>Ancien</v>
      </c>
      <c r="AC634"/>
      <c r="AD634"/>
    </row>
    <row r="635" spans="1:30" x14ac:dyDescent="0.25">
      <c r="A635" s="5" t="s">
        <v>2069</v>
      </c>
      <c r="B635" s="1" t="s">
        <v>7551</v>
      </c>
      <c r="C635" s="1" t="s">
        <v>7172</v>
      </c>
      <c r="E635" s="1" t="s">
        <v>72</v>
      </c>
      <c r="G635" s="1" t="s">
        <v>10</v>
      </c>
      <c r="J635" s="3">
        <v>45636.648692129631</v>
      </c>
      <c r="K635" s="2" t="s">
        <v>7552</v>
      </c>
      <c r="L635" s="1">
        <v>2</v>
      </c>
      <c r="M635" s="1">
        <v>2</v>
      </c>
      <c r="N635">
        <v>0</v>
      </c>
      <c r="O635" s="3">
        <f>IF(
    R635="Ancien",
    _xlfn.XLOOKUP(
        Final_Sans_VGE[[#This Row],[ppn_z]],
        tbl_Historique_Final[ppn_z],
        tbl_Historique_Final[Horodatage],
        ""
    ),
    Horodatage!$A$2
)</f>
        <v>46233.670796365739</v>
      </c>
      <c r="P635" s="1" t="str">
        <f>IFERROR(IF(tbl_Historique_Final[[#This Row],[Commentaires]]&lt;&gt;"",tbl_Historique_Final[[#This Row],[Commentaires]],""),"")</f>
        <v/>
      </c>
      <c r="X635" s="8" t="str">
        <f>IF(Final_Sans_VGE[[#This Row],[ppn_z]]="","",IFERROR(
   IF(_xlfn.XLOOKUP(Final_Sans_VGE[[#This Row],[ppn_z]],tbl_Historique_Final[ppn_z],tbl_Historique_Final[date_modif])=Final_Sans_VGE[[#This Row],[date_modif]],
      "Ancien",
      "Modifié"),
   "Nouveau"))</f>
        <v>Ancien</v>
      </c>
      <c r="AC635"/>
      <c r="AD635"/>
    </row>
    <row r="636" spans="1:30" ht="30" x14ac:dyDescent="0.25">
      <c r="A636" s="5" t="s">
        <v>2072</v>
      </c>
      <c r="B636" s="1" t="s">
        <v>7553</v>
      </c>
      <c r="C636" s="1" t="s">
        <v>12</v>
      </c>
      <c r="G636" s="1" t="s">
        <v>10</v>
      </c>
      <c r="J636" s="3">
        <v>45581.401273148149</v>
      </c>
      <c r="K636" s="2" t="s">
        <v>7554</v>
      </c>
      <c r="L636" s="1">
        <v>1</v>
      </c>
      <c r="M636" s="1">
        <v>1</v>
      </c>
      <c r="N636">
        <v>0</v>
      </c>
      <c r="O636" s="3">
        <f>IF(
    R636="Ancien",
    _xlfn.XLOOKUP(
        Final_Sans_VGE[[#This Row],[ppn_z]],
        tbl_Historique_Final[ppn_z],
        tbl_Historique_Final[Horodatage],
        ""
    ),
    Horodatage!$A$2
)</f>
        <v>46233.670796365739</v>
      </c>
      <c r="P636" s="1" t="str">
        <f>IFERROR(IF(tbl_Historique_Final[[#This Row],[Commentaires]]&lt;&gt;"",tbl_Historique_Final[[#This Row],[Commentaires]],""),"")</f>
        <v/>
      </c>
      <c r="X636" s="8" t="str">
        <f>IF(Final_Sans_VGE[[#This Row],[ppn_z]]="","",IFERROR(
   IF(_xlfn.XLOOKUP(Final_Sans_VGE[[#This Row],[ppn_z]],tbl_Historique_Final[ppn_z],tbl_Historique_Final[date_modif])=Final_Sans_VGE[[#This Row],[date_modif]],
      "Ancien",
      "Modifié"),
   "Nouveau"))</f>
        <v>Ancien</v>
      </c>
      <c r="AC636"/>
      <c r="AD636"/>
    </row>
    <row r="637" spans="1:30" x14ac:dyDescent="0.25">
      <c r="A637" s="5" t="s">
        <v>2075</v>
      </c>
      <c r="B637" s="1" t="s">
        <v>7555</v>
      </c>
      <c r="C637" s="1" t="s">
        <v>6565</v>
      </c>
      <c r="E637" s="1" t="s">
        <v>44</v>
      </c>
      <c r="G637" s="1" t="s">
        <v>10</v>
      </c>
      <c r="J637" s="3">
        <v>45763.490555555552</v>
      </c>
      <c r="K637" s="2" t="s">
        <v>7556</v>
      </c>
      <c r="L637" s="1">
        <v>1</v>
      </c>
      <c r="M637" s="1">
        <v>1</v>
      </c>
      <c r="N637">
        <v>0</v>
      </c>
      <c r="O637" s="3">
        <f>IF(
    R637="Ancien",
    _xlfn.XLOOKUP(
        Final_Sans_VGE[[#This Row],[ppn_z]],
        tbl_Historique_Final[ppn_z],
        tbl_Historique_Final[Horodatage],
        ""
    ),
    Horodatage!$A$2
)</f>
        <v>46233.670796365739</v>
      </c>
      <c r="P637" s="1" t="str">
        <f>IFERROR(IF(tbl_Historique_Final[[#This Row],[Commentaires]]&lt;&gt;"",tbl_Historique_Final[[#This Row],[Commentaires]],""),"")</f>
        <v/>
      </c>
      <c r="X637" s="8" t="str">
        <f>IF(Final_Sans_VGE[[#This Row],[ppn_z]]="","",IFERROR(
   IF(_xlfn.XLOOKUP(Final_Sans_VGE[[#This Row],[ppn_z]],tbl_Historique_Final[ppn_z],tbl_Historique_Final[date_modif])=Final_Sans_VGE[[#This Row],[date_modif]],
      "Ancien",
      "Modifié"),
   "Nouveau"))</f>
        <v>Ancien</v>
      </c>
      <c r="AC637"/>
      <c r="AD637"/>
    </row>
    <row r="638" spans="1:30" ht="30" x14ac:dyDescent="0.25">
      <c r="A638" s="5" t="s">
        <v>2078</v>
      </c>
      <c r="B638" s="1" t="s">
        <v>7557</v>
      </c>
      <c r="C638" s="1" t="s">
        <v>6767</v>
      </c>
      <c r="E638" s="1" t="s">
        <v>7558</v>
      </c>
      <c r="G638" s="1" t="s">
        <v>10</v>
      </c>
      <c r="J638" s="3">
        <v>45810.389282407406</v>
      </c>
      <c r="K638" s="2" t="s">
        <v>7559</v>
      </c>
      <c r="L638" s="1">
        <v>1</v>
      </c>
      <c r="M638" s="1">
        <v>1</v>
      </c>
      <c r="N638">
        <v>0</v>
      </c>
      <c r="O638" s="3">
        <f>IF(
    R638="Ancien",
    _xlfn.XLOOKUP(
        Final_Sans_VGE[[#This Row],[ppn_z]],
        tbl_Historique_Final[ppn_z],
        tbl_Historique_Final[Horodatage],
        ""
    ),
    Horodatage!$A$2
)</f>
        <v>46233.670796365739</v>
      </c>
      <c r="P638" s="1" t="str">
        <f>IFERROR(IF(tbl_Historique_Final[[#This Row],[Commentaires]]&lt;&gt;"",tbl_Historique_Final[[#This Row],[Commentaires]],""),"")</f>
        <v/>
      </c>
      <c r="X638" s="8" t="str">
        <f>IF(Final_Sans_VGE[[#This Row],[ppn_z]]="","",IFERROR(
   IF(_xlfn.XLOOKUP(Final_Sans_VGE[[#This Row],[ppn_z]],tbl_Historique_Final[ppn_z],tbl_Historique_Final[date_modif])=Final_Sans_VGE[[#This Row],[date_modif]],
      "Ancien",
      "Modifié"),
   "Nouveau"))</f>
        <v>Ancien</v>
      </c>
      <c r="AC638"/>
      <c r="AD638"/>
    </row>
    <row r="639" spans="1:30" x14ac:dyDescent="0.25">
      <c r="A639" s="5" t="s">
        <v>2081</v>
      </c>
      <c r="B639" s="1" t="s">
        <v>7560</v>
      </c>
      <c r="J639" s="3">
        <v>45416.426180555558</v>
      </c>
      <c r="L639" s="1">
        <v>1</v>
      </c>
      <c r="M639" s="1">
        <v>1</v>
      </c>
      <c r="N639">
        <v>0</v>
      </c>
      <c r="O639" s="3">
        <f>IF(
    R639="Ancien",
    _xlfn.XLOOKUP(
        Final_Sans_VGE[[#This Row],[ppn_z]],
        tbl_Historique_Final[ppn_z],
        tbl_Historique_Final[Horodatage],
        ""
    ),
    Horodatage!$A$2
)</f>
        <v>46233.670796365739</v>
      </c>
      <c r="P639" s="1" t="str">
        <f>IFERROR(IF(tbl_Historique_Final[[#This Row],[Commentaires]]&lt;&gt;"",tbl_Historique_Final[[#This Row],[Commentaires]],""),"")</f>
        <v/>
      </c>
      <c r="X639" s="8" t="str">
        <f>IF(Final_Sans_VGE[[#This Row],[ppn_z]]="","",IFERROR(
   IF(_xlfn.XLOOKUP(Final_Sans_VGE[[#This Row],[ppn_z]],tbl_Historique_Final[ppn_z],tbl_Historique_Final[date_modif])=Final_Sans_VGE[[#This Row],[date_modif]],
      "Ancien",
      "Modifié"),
   "Nouveau"))</f>
        <v>Ancien</v>
      </c>
      <c r="AC639"/>
      <c r="AD639"/>
    </row>
    <row r="640" spans="1:30" ht="30" x14ac:dyDescent="0.25">
      <c r="A640" s="5" t="s">
        <v>2084</v>
      </c>
      <c r="B640" s="1" t="s">
        <v>7561</v>
      </c>
      <c r="C640" s="1" t="s">
        <v>46</v>
      </c>
      <c r="G640" s="1" t="s">
        <v>10</v>
      </c>
      <c r="J640" s="3">
        <v>45747.501064814816</v>
      </c>
      <c r="K640" s="2" t="s">
        <v>7562</v>
      </c>
      <c r="L640" s="1">
        <v>5</v>
      </c>
      <c r="M640" s="1">
        <v>5</v>
      </c>
      <c r="N640">
        <v>0</v>
      </c>
      <c r="O640" s="3">
        <f>IF(
    R640="Ancien",
    _xlfn.XLOOKUP(
        Final_Sans_VGE[[#This Row],[ppn_z]],
        tbl_Historique_Final[ppn_z],
        tbl_Historique_Final[Horodatage],
        ""
    ),
    Horodatage!$A$2
)</f>
        <v>46233.670796365739</v>
      </c>
      <c r="P640" s="1" t="str">
        <f>IFERROR(IF(tbl_Historique_Final[[#This Row],[Commentaires]]&lt;&gt;"",tbl_Historique_Final[[#This Row],[Commentaires]],""),"")</f>
        <v/>
      </c>
      <c r="X640" s="8" t="str">
        <f>IF(Final_Sans_VGE[[#This Row],[ppn_z]]="","",IFERROR(
   IF(_xlfn.XLOOKUP(Final_Sans_VGE[[#This Row],[ppn_z]],tbl_Historique_Final[ppn_z],tbl_Historique_Final[date_modif])=Final_Sans_VGE[[#This Row],[date_modif]],
      "Ancien",
      "Modifié"),
   "Nouveau"))</f>
        <v>Ancien</v>
      </c>
      <c r="AC640"/>
      <c r="AD640"/>
    </row>
    <row r="641" spans="1:30" x14ac:dyDescent="0.25">
      <c r="A641" s="5" t="s">
        <v>2087</v>
      </c>
      <c r="B641" s="1" t="s">
        <v>7563</v>
      </c>
      <c r="C641" s="1" t="s">
        <v>85</v>
      </c>
      <c r="E641" s="1" t="s">
        <v>108</v>
      </c>
      <c r="G641" s="1" t="s">
        <v>10</v>
      </c>
      <c r="J641" s="3">
        <v>45664.460995370369</v>
      </c>
      <c r="K641" s="2" t="s">
        <v>7564</v>
      </c>
      <c r="L641" s="1">
        <v>1</v>
      </c>
      <c r="M641" s="1">
        <v>1</v>
      </c>
      <c r="N641">
        <v>0</v>
      </c>
      <c r="O641" s="3">
        <f>IF(
    R641="Ancien",
    _xlfn.XLOOKUP(
        Final_Sans_VGE[[#This Row],[ppn_z]],
        tbl_Historique_Final[ppn_z],
        tbl_Historique_Final[Horodatage],
        ""
    ),
    Horodatage!$A$2
)</f>
        <v>46233.670796365739</v>
      </c>
      <c r="P641" s="1" t="str">
        <f>IFERROR(IF(tbl_Historique_Final[[#This Row],[Commentaires]]&lt;&gt;"",tbl_Historique_Final[[#This Row],[Commentaires]],""),"")</f>
        <v/>
      </c>
      <c r="X641" s="8" t="str">
        <f>IF(Final_Sans_VGE[[#This Row],[ppn_z]]="","",IFERROR(
   IF(_xlfn.XLOOKUP(Final_Sans_VGE[[#This Row],[ppn_z]],tbl_Historique_Final[ppn_z],tbl_Historique_Final[date_modif])=Final_Sans_VGE[[#This Row],[date_modif]],
      "Ancien",
      "Modifié"),
   "Nouveau"))</f>
        <v>Ancien</v>
      </c>
      <c r="AC641"/>
      <c r="AD641"/>
    </row>
    <row r="642" spans="1:30" x14ac:dyDescent="0.25">
      <c r="A642" s="5" t="s">
        <v>2090</v>
      </c>
      <c r="B642" s="1" t="s">
        <v>7565</v>
      </c>
      <c r="C642" s="1" t="s">
        <v>6783</v>
      </c>
      <c r="E642" s="1" t="s">
        <v>28</v>
      </c>
      <c r="J642" s="3">
        <v>45756.404907407406</v>
      </c>
      <c r="K642" s="2" t="s">
        <v>7566</v>
      </c>
      <c r="L642" s="1">
        <v>4</v>
      </c>
      <c r="M642" s="1">
        <v>4</v>
      </c>
      <c r="N642">
        <v>0</v>
      </c>
      <c r="O642" s="3">
        <f>IF(
    R642="Ancien",
    _xlfn.XLOOKUP(
        Final_Sans_VGE[[#This Row],[ppn_z]],
        tbl_Historique_Final[ppn_z],
        tbl_Historique_Final[Horodatage],
        ""
    ),
    Horodatage!$A$2
)</f>
        <v>46233.670796365739</v>
      </c>
      <c r="P642" s="1" t="str">
        <f>IFERROR(IF(tbl_Historique_Final[[#This Row],[Commentaires]]&lt;&gt;"",tbl_Historique_Final[[#This Row],[Commentaires]],""),"")</f>
        <v/>
      </c>
      <c r="X642" s="8" t="str">
        <f>IF(Final_Sans_VGE[[#This Row],[ppn_z]]="","",IFERROR(
   IF(_xlfn.XLOOKUP(Final_Sans_VGE[[#This Row],[ppn_z]],tbl_Historique_Final[ppn_z],tbl_Historique_Final[date_modif])=Final_Sans_VGE[[#This Row],[date_modif]],
      "Ancien",
      "Modifié"),
   "Nouveau"))</f>
        <v>Ancien</v>
      </c>
      <c r="AC642"/>
      <c r="AD642"/>
    </row>
    <row r="643" spans="1:30" x14ac:dyDescent="0.25">
      <c r="A643" s="5" t="s">
        <v>2093</v>
      </c>
      <c r="B643" s="1" t="s">
        <v>7567</v>
      </c>
      <c r="C643" s="1" t="s">
        <v>6482</v>
      </c>
      <c r="D643" s="1" t="s">
        <v>14</v>
      </c>
      <c r="G643" s="1" t="s">
        <v>10</v>
      </c>
      <c r="H643" s="1" t="s">
        <v>7568</v>
      </c>
      <c r="I643" s="1" t="s">
        <v>22</v>
      </c>
      <c r="J643" s="3">
        <v>45791.392557870371</v>
      </c>
      <c r="K643" s="2" t="s">
        <v>7569</v>
      </c>
      <c r="L643" s="1">
        <v>38</v>
      </c>
      <c r="M643" s="1">
        <v>40</v>
      </c>
      <c r="N643">
        <v>2</v>
      </c>
      <c r="O643" s="3">
        <f>IF(
    R643="Ancien",
    _xlfn.XLOOKUP(
        Final_Sans_VGE[[#This Row],[ppn_z]],
        tbl_Historique_Final[ppn_z],
        tbl_Historique_Final[Horodatage],
        ""
    ),
    Horodatage!$A$2
)</f>
        <v>46233.670796365739</v>
      </c>
      <c r="P643" s="1" t="str">
        <f>IFERROR(IF(tbl_Historique_Final[[#This Row],[Commentaires]]&lt;&gt;"",tbl_Historique_Final[[#This Row],[Commentaires]],""),"")</f>
        <v/>
      </c>
      <c r="X643" s="8" t="str">
        <f>IF(Final_Sans_VGE[[#This Row],[ppn_z]]="","",IFERROR(
   IF(_xlfn.XLOOKUP(Final_Sans_VGE[[#This Row],[ppn_z]],tbl_Historique_Final[ppn_z],tbl_Historique_Final[date_modif])=Final_Sans_VGE[[#This Row],[date_modif]],
      "Ancien",
      "Modifié"),
   "Nouveau"))</f>
        <v>Ancien</v>
      </c>
      <c r="AC643"/>
      <c r="AD643"/>
    </row>
    <row r="644" spans="1:30" x14ac:dyDescent="0.25">
      <c r="A644" s="5" t="s">
        <v>2096</v>
      </c>
      <c r="B644" s="1" t="s">
        <v>7570</v>
      </c>
      <c r="C644" s="1" t="s">
        <v>12</v>
      </c>
      <c r="G644" s="1" t="s">
        <v>10</v>
      </c>
      <c r="J644" s="3">
        <v>45714.587372685186</v>
      </c>
      <c r="K644" s="2" t="s">
        <v>7571</v>
      </c>
      <c r="L644" s="1">
        <v>1</v>
      </c>
      <c r="M644" s="1">
        <v>1</v>
      </c>
      <c r="N644">
        <v>0</v>
      </c>
      <c r="O644" s="3">
        <f>IF(
    R644="Ancien",
    _xlfn.XLOOKUP(
        Final_Sans_VGE[[#This Row],[ppn_z]],
        tbl_Historique_Final[ppn_z],
        tbl_Historique_Final[Horodatage],
        ""
    ),
    Horodatage!$A$2
)</f>
        <v>46233.670796365739</v>
      </c>
      <c r="P644" s="1" t="str">
        <f>IFERROR(IF(tbl_Historique_Final[[#This Row],[Commentaires]]&lt;&gt;"",tbl_Historique_Final[[#This Row],[Commentaires]],""),"")</f>
        <v/>
      </c>
      <c r="X644" s="8" t="str">
        <f>IF(Final_Sans_VGE[[#This Row],[ppn_z]]="","",IFERROR(
   IF(_xlfn.XLOOKUP(Final_Sans_VGE[[#This Row],[ppn_z]],tbl_Historique_Final[ppn_z],tbl_Historique_Final[date_modif])=Final_Sans_VGE[[#This Row],[date_modif]],
      "Ancien",
      "Modifié"),
   "Nouveau"))</f>
        <v>Ancien</v>
      </c>
      <c r="AC644"/>
      <c r="AD644"/>
    </row>
    <row r="645" spans="1:30" x14ac:dyDescent="0.25">
      <c r="A645" s="5" t="s">
        <v>2099</v>
      </c>
      <c r="B645" s="1" t="s">
        <v>7572</v>
      </c>
      <c r="C645" s="1" t="s">
        <v>94</v>
      </c>
      <c r="E645" s="1" t="s">
        <v>82</v>
      </c>
      <c r="G645" s="1" t="s">
        <v>10</v>
      </c>
      <c r="J645" s="3">
        <v>45749.489988425928</v>
      </c>
      <c r="K645" s="2" t="s">
        <v>7573</v>
      </c>
      <c r="L645" s="1">
        <v>7</v>
      </c>
      <c r="M645" s="1">
        <v>7</v>
      </c>
      <c r="N645">
        <v>0</v>
      </c>
      <c r="O645" s="3">
        <f>IF(
    R645="Ancien",
    _xlfn.XLOOKUP(
        Final_Sans_VGE[[#This Row],[ppn_z]],
        tbl_Historique_Final[ppn_z],
        tbl_Historique_Final[Horodatage],
        ""
    ),
    Horodatage!$A$2
)</f>
        <v>46233.670796365739</v>
      </c>
      <c r="P645" s="1" t="str">
        <f>IFERROR(IF(tbl_Historique_Final[[#This Row],[Commentaires]]&lt;&gt;"",tbl_Historique_Final[[#This Row],[Commentaires]],""),"")</f>
        <v/>
      </c>
      <c r="X645" s="8" t="str">
        <f>IF(Final_Sans_VGE[[#This Row],[ppn_z]]="","",IFERROR(
   IF(_xlfn.XLOOKUP(Final_Sans_VGE[[#This Row],[ppn_z]],tbl_Historique_Final[ppn_z],tbl_Historique_Final[date_modif])=Final_Sans_VGE[[#This Row],[date_modif]],
      "Ancien",
      "Modifié"),
   "Nouveau"))</f>
        <v>Ancien</v>
      </c>
      <c r="AC645"/>
      <c r="AD645"/>
    </row>
    <row r="646" spans="1:30" x14ac:dyDescent="0.25">
      <c r="A646" s="5" t="s">
        <v>2102</v>
      </c>
      <c r="B646" s="1" t="s">
        <v>7574</v>
      </c>
      <c r="C646" s="1" t="s">
        <v>7219</v>
      </c>
      <c r="J646" s="3">
        <v>45417.063657407409</v>
      </c>
      <c r="L646" s="1">
        <v>11</v>
      </c>
      <c r="M646" s="1">
        <v>11</v>
      </c>
      <c r="N646">
        <v>0</v>
      </c>
      <c r="O646" s="3">
        <f>IF(
    R646="Ancien",
    _xlfn.XLOOKUP(
        Final_Sans_VGE[[#This Row],[ppn_z]],
        tbl_Historique_Final[ppn_z],
        tbl_Historique_Final[Horodatage],
        ""
    ),
    Horodatage!$A$2
)</f>
        <v>46233.670796365739</v>
      </c>
      <c r="P646" s="1" t="str">
        <f>IFERROR(IF(tbl_Historique_Final[[#This Row],[Commentaires]]&lt;&gt;"",tbl_Historique_Final[[#This Row],[Commentaires]],""),"")</f>
        <v/>
      </c>
      <c r="X646" s="8" t="str">
        <f>IF(Final_Sans_VGE[[#This Row],[ppn_z]]="","",IFERROR(
   IF(_xlfn.XLOOKUP(Final_Sans_VGE[[#This Row],[ppn_z]],tbl_Historique_Final[ppn_z],tbl_Historique_Final[date_modif])=Final_Sans_VGE[[#This Row],[date_modif]],
      "Ancien",
      "Modifié"),
   "Nouveau"))</f>
        <v>Ancien</v>
      </c>
      <c r="AC646"/>
      <c r="AD646"/>
    </row>
    <row r="647" spans="1:30" x14ac:dyDescent="0.25">
      <c r="A647" s="5" t="s">
        <v>2105</v>
      </c>
      <c r="B647" s="1" t="s">
        <v>7575</v>
      </c>
      <c r="C647" s="1" t="s">
        <v>6355</v>
      </c>
      <c r="J647" s="3">
        <v>45785.470532407409</v>
      </c>
      <c r="K647" s="2" t="s">
        <v>7576</v>
      </c>
      <c r="L647" s="1">
        <v>1</v>
      </c>
      <c r="M647" s="1">
        <v>1</v>
      </c>
      <c r="N647">
        <v>0</v>
      </c>
      <c r="O647" s="3">
        <f>IF(
    R647="Ancien",
    _xlfn.XLOOKUP(
        Final_Sans_VGE[[#This Row],[ppn_z]],
        tbl_Historique_Final[ppn_z],
        tbl_Historique_Final[Horodatage],
        ""
    ),
    Horodatage!$A$2
)</f>
        <v>46233.670796365739</v>
      </c>
      <c r="P647" s="1" t="str">
        <f>IFERROR(IF(tbl_Historique_Final[[#This Row],[Commentaires]]&lt;&gt;"",tbl_Historique_Final[[#This Row],[Commentaires]],""),"")</f>
        <v/>
      </c>
      <c r="X647" s="8" t="str">
        <f>IF(Final_Sans_VGE[[#This Row],[ppn_z]]="","",IFERROR(
   IF(_xlfn.XLOOKUP(Final_Sans_VGE[[#This Row],[ppn_z]],tbl_Historique_Final[ppn_z],tbl_Historique_Final[date_modif])=Final_Sans_VGE[[#This Row],[date_modif]],
      "Ancien",
      "Modifié"),
   "Nouveau"))</f>
        <v>Ancien</v>
      </c>
      <c r="AC647"/>
      <c r="AD647"/>
    </row>
    <row r="648" spans="1:30" x14ac:dyDescent="0.25">
      <c r="A648" s="5" t="s">
        <v>2108</v>
      </c>
      <c r="B648" s="1" t="s">
        <v>7577</v>
      </c>
      <c r="C648" s="1" t="s">
        <v>121</v>
      </c>
      <c r="G648" s="1" t="s">
        <v>11</v>
      </c>
      <c r="J648" s="3">
        <v>45777.961678240739</v>
      </c>
      <c r="K648" s="2" t="s">
        <v>7578</v>
      </c>
      <c r="L648" s="1">
        <v>2</v>
      </c>
      <c r="M648" s="1">
        <v>2</v>
      </c>
      <c r="N648">
        <v>0</v>
      </c>
      <c r="O648" s="3">
        <f>IF(
    R648="Ancien",
    _xlfn.XLOOKUP(
        Final_Sans_VGE[[#This Row],[ppn_z]],
        tbl_Historique_Final[ppn_z],
        tbl_Historique_Final[Horodatage],
        ""
    ),
    Horodatage!$A$2
)</f>
        <v>46233.670796365739</v>
      </c>
      <c r="P648" s="1" t="str">
        <f>IFERROR(IF(tbl_Historique_Final[[#This Row],[Commentaires]]&lt;&gt;"",tbl_Historique_Final[[#This Row],[Commentaires]],""),"")</f>
        <v/>
      </c>
      <c r="X648" s="8" t="str">
        <f>IF(Final_Sans_VGE[[#This Row],[ppn_z]]="","",IFERROR(
   IF(_xlfn.XLOOKUP(Final_Sans_VGE[[#This Row],[ppn_z]],tbl_Historique_Final[ppn_z],tbl_Historique_Final[date_modif])=Final_Sans_VGE[[#This Row],[date_modif]],
      "Ancien",
      "Modifié"),
   "Nouveau"))</f>
        <v>Ancien</v>
      </c>
      <c r="AC648"/>
      <c r="AD648"/>
    </row>
    <row r="649" spans="1:30" ht="60" x14ac:dyDescent="0.25">
      <c r="A649" s="5" t="s">
        <v>2111</v>
      </c>
      <c r="B649" s="1" t="s">
        <v>7579</v>
      </c>
      <c r="C649" s="1" t="s">
        <v>7177</v>
      </c>
      <c r="E649" s="1" t="s">
        <v>34</v>
      </c>
      <c r="G649" s="1" t="s">
        <v>10</v>
      </c>
      <c r="J649" s="3">
        <v>45763.385613425926</v>
      </c>
      <c r="K649" s="2" t="s">
        <v>7580</v>
      </c>
      <c r="L649" s="1">
        <v>1</v>
      </c>
      <c r="M649" s="1">
        <v>1</v>
      </c>
      <c r="N649">
        <v>0</v>
      </c>
      <c r="O649" s="3">
        <f>IF(
    R649="Ancien",
    _xlfn.XLOOKUP(
        Final_Sans_VGE[[#This Row],[ppn_z]],
        tbl_Historique_Final[ppn_z],
        tbl_Historique_Final[Horodatage],
        ""
    ),
    Horodatage!$A$2
)</f>
        <v>46233.670796365739</v>
      </c>
      <c r="P649" s="1" t="str">
        <f>IFERROR(IF(tbl_Historique_Final[[#This Row],[Commentaires]]&lt;&gt;"",tbl_Historique_Final[[#This Row],[Commentaires]],""),"")</f>
        <v/>
      </c>
      <c r="X649" s="8" t="str">
        <f>IF(Final_Sans_VGE[[#This Row],[ppn_z]]="","",IFERROR(
   IF(_xlfn.XLOOKUP(Final_Sans_VGE[[#This Row],[ppn_z]],tbl_Historique_Final[ppn_z],tbl_Historique_Final[date_modif])=Final_Sans_VGE[[#This Row],[date_modif]],
      "Ancien",
      "Modifié"),
   "Nouveau"))</f>
        <v>Ancien</v>
      </c>
      <c r="AC649"/>
      <c r="AD649"/>
    </row>
    <row r="650" spans="1:30" x14ac:dyDescent="0.25">
      <c r="A650" s="5" t="s">
        <v>2114</v>
      </c>
      <c r="B650" s="1" t="s">
        <v>7581</v>
      </c>
      <c r="C650" s="1" t="s">
        <v>12</v>
      </c>
      <c r="G650" s="1" t="s">
        <v>11</v>
      </c>
      <c r="J650" s="3">
        <v>45580.453900462962</v>
      </c>
      <c r="K650" s="2" t="s">
        <v>7582</v>
      </c>
      <c r="L650" s="1">
        <v>2</v>
      </c>
      <c r="M650" s="1">
        <v>2</v>
      </c>
      <c r="N650">
        <v>0</v>
      </c>
      <c r="O650" s="3">
        <f>IF(
    R650="Ancien",
    _xlfn.XLOOKUP(
        Final_Sans_VGE[[#This Row],[ppn_z]],
        tbl_Historique_Final[ppn_z],
        tbl_Historique_Final[Horodatage],
        ""
    ),
    Horodatage!$A$2
)</f>
        <v>46233.670796365739</v>
      </c>
      <c r="P650" s="1" t="str">
        <f>IFERROR(IF(tbl_Historique_Final[[#This Row],[Commentaires]]&lt;&gt;"",tbl_Historique_Final[[#This Row],[Commentaires]],""),"")</f>
        <v/>
      </c>
      <c r="X650" s="8" t="str">
        <f>IF(Final_Sans_VGE[[#This Row],[ppn_z]]="","",IFERROR(
   IF(_xlfn.XLOOKUP(Final_Sans_VGE[[#This Row],[ppn_z]],tbl_Historique_Final[ppn_z],tbl_Historique_Final[date_modif])=Final_Sans_VGE[[#This Row],[date_modif]],
      "Ancien",
      "Modifié"),
   "Nouveau"))</f>
        <v>Ancien</v>
      </c>
      <c r="AC650"/>
      <c r="AD650"/>
    </row>
    <row r="651" spans="1:30" x14ac:dyDescent="0.25">
      <c r="A651" s="5" t="s">
        <v>2117</v>
      </c>
      <c r="B651" s="1" t="s">
        <v>7583</v>
      </c>
      <c r="J651" s="3">
        <v>45416.694236111114</v>
      </c>
      <c r="L651" s="1">
        <v>0</v>
      </c>
      <c r="M651" s="1">
        <v>0</v>
      </c>
      <c r="N651">
        <v>0</v>
      </c>
      <c r="O651" s="3">
        <f>IF(
    R651="Ancien",
    _xlfn.XLOOKUP(
        Final_Sans_VGE[[#This Row],[ppn_z]],
        tbl_Historique_Final[ppn_z],
        tbl_Historique_Final[Horodatage],
        ""
    ),
    Horodatage!$A$2
)</f>
        <v>46233.670796365739</v>
      </c>
      <c r="P651" s="1" t="str">
        <f>IFERROR(IF(tbl_Historique_Final[[#This Row],[Commentaires]]&lt;&gt;"",tbl_Historique_Final[[#This Row],[Commentaires]],""),"")</f>
        <v/>
      </c>
      <c r="X651" s="8" t="str">
        <f>IF(Final_Sans_VGE[[#This Row],[ppn_z]]="","",IFERROR(
   IF(_xlfn.XLOOKUP(Final_Sans_VGE[[#This Row],[ppn_z]],tbl_Historique_Final[ppn_z],tbl_Historique_Final[date_modif])=Final_Sans_VGE[[#This Row],[date_modif]],
      "Ancien",
      "Modifié"),
   "Nouveau"))</f>
        <v>Ancien</v>
      </c>
      <c r="AC651"/>
      <c r="AD651"/>
    </row>
    <row r="652" spans="1:30" x14ac:dyDescent="0.25">
      <c r="A652" s="5" t="s">
        <v>2120</v>
      </c>
      <c r="B652" s="1" t="s">
        <v>7584</v>
      </c>
      <c r="C652" s="1" t="s">
        <v>71</v>
      </c>
      <c r="G652" s="1" t="s">
        <v>10</v>
      </c>
      <c r="J652" s="3">
        <v>45642.606226851851</v>
      </c>
      <c r="K652" s="2" t="s">
        <v>7585</v>
      </c>
      <c r="L652" s="1">
        <v>1</v>
      </c>
      <c r="M652" s="1">
        <v>1</v>
      </c>
      <c r="N652">
        <v>0</v>
      </c>
      <c r="O652" s="3">
        <f>IF(
    R652="Ancien",
    _xlfn.XLOOKUP(
        Final_Sans_VGE[[#This Row],[ppn_z]],
        tbl_Historique_Final[ppn_z],
        tbl_Historique_Final[Horodatage],
        ""
    ),
    Horodatage!$A$2
)</f>
        <v>46233.670796365739</v>
      </c>
      <c r="P652" s="1" t="str">
        <f>IFERROR(IF(tbl_Historique_Final[[#This Row],[Commentaires]]&lt;&gt;"",tbl_Historique_Final[[#This Row],[Commentaires]],""),"")</f>
        <v/>
      </c>
      <c r="X652" s="8" t="str">
        <f>IF(Final_Sans_VGE[[#This Row],[ppn_z]]="","",IFERROR(
   IF(_xlfn.XLOOKUP(Final_Sans_VGE[[#This Row],[ppn_z]],tbl_Historique_Final[ppn_z],tbl_Historique_Final[date_modif])=Final_Sans_VGE[[#This Row],[date_modif]],
      "Ancien",
      "Modifié"),
   "Nouveau"))</f>
        <v>Ancien</v>
      </c>
      <c r="AC652"/>
      <c r="AD652"/>
    </row>
    <row r="653" spans="1:30" x14ac:dyDescent="0.25">
      <c r="A653" s="5" t="s">
        <v>2123</v>
      </c>
      <c r="B653" s="1" t="s">
        <v>7586</v>
      </c>
      <c r="C653" s="1" t="s">
        <v>7587</v>
      </c>
      <c r="E653" s="1" t="s">
        <v>7588</v>
      </c>
      <c r="G653" s="1" t="s">
        <v>10</v>
      </c>
      <c r="J653" s="3">
        <v>45754.3671412037</v>
      </c>
      <c r="K653" s="2" t="s">
        <v>7589</v>
      </c>
      <c r="L653" s="1">
        <v>4</v>
      </c>
      <c r="M653" s="1">
        <v>5</v>
      </c>
      <c r="N653">
        <v>1</v>
      </c>
      <c r="O653" s="3">
        <f>IF(
    R653="Ancien",
    _xlfn.XLOOKUP(
        Final_Sans_VGE[[#This Row],[ppn_z]],
        tbl_Historique_Final[ppn_z],
        tbl_Historique_Final[Horodatage],
        ""
    ),
    Horodatage!$A$2
)</f>
        <v>46233.670796365739</v>
      </c>
      <c r="P653" s="1" t="str">
        <f>IFERROR(IF(tbl_Historique_Final[[#This Row],[Commentaires]]&lt;&gt;"",tbl_Historique_Final[[#This Row],[Commentaires]],""),"")</f>
        <v/>
      </c>
      <c r="X653" s="8" t="str">
        <f>IF(Final_Sans_VGE[[#This Row],[ppn_z]]="","",IFERROR(
   IF(_xlfn.XLOOKUP(Final_Sans_VGE[[#This Row],[ppn_z]],tbl_Historique_Final[ppn_z],tbl_Historique_Final[date_modif])=Final_Sans_VGE[[#This Row],[date_modif]],
      "Ancien",
      "Modifié"),
   "Nouveau"))</f>
        <v>Ancien</v>
      </c>
      <c r="AC653"/>
      <c r="AD653"/>
    </row>
    <row r="654" spans="1:30" x14ac:dyDescent="0.25">
      <c r="A654" s="5" t="s">
        <v>2126</v>
      </c>
      <c r="B654" s="1" t="s">
        <v>7590</v>
      </c>
      <c r="C654" s="1" t="s">
        <v>57</v>
      </c>
      <c r="G654" s="1" t="s">
        <v>11</v>
      </c>
      <c r="J654" s="3">
        <v>45630.500775462962</v>
      </c>
      <c r="K654" s="2" t="s">
        <v>7591</v>
      </c>
      <c r="L654" s="1">
        <v>1</v>
      </c>
      <c r="M654" s="1">
        <v>5</v>
      </c>
      <c r="N654">
        <v>4</v>
      </c>
      <c r="O654" s="3">
        <f>IF(
    R654="Ancien",
    _xlfn.XLOOKUP(
        Final_Sans_VGE[[#This Row],[ppn_z]],
        tbl_Historique_Final[ppn_z],
        tbl_Historique_Final[Horodatage],
        ""
    ),
    Horodatage!$A$2
)</f>
        <v>46233.670796365739</v>
      </c>
      <c r="P654" s="1" t="str">
        <f>IFERROR(IF(tbl_Historique_Final[[#This Row],[Commentaires]]&lt;&gt;"",tbl_Historique_Final[[#This Row],[Commentaires]],""),"")</f>
        <v/>
      </c>
      <c r="X654" s="8" t="str">
        <f>IF(Final_Sans_VGE[[#This Row],[ppn_z]]="","",IFERROR(
   IF(_xlfn.XLOOKUP(Final_Sans_VGE[[#This Row],[ppn_z]],tbl_Historique_Final[ppn_z],tbl_Historique_Final[date_modif])=Final_Sans_VGE[[#This Row],[date_modif]],
      "Ancien",
      "Modifié"),
   "Nouveau"))</f>
        <v>Ancien</v>
      </c>
      <c r="AC654"/>
      <c r="AD654"/>
    </row>
    <row r="655" spans="1:30" x14ac:dyDescent="0.25">
      <c r="A655" s="5" t="s">
        <v>2129</v>
      </c>
      <c r="B655" s="1" t="s">
        <v>7592</v>
      </c>
      <c r="C655" s="1" t="s">
        <v>92</v>
      </c>
      <c r="G655" s="1" t="s">
        <v>10</v>
      </c>
      <c r="J655" s="3">
        <v>45636.657418981478</v>
      </c>
      <c r="K655" s="2" t="s">
        <v>7593</v>
      </c>
      <c r="L655" s="1">
        <v>22</v>
      </c>
      <c r="M655" s="1">
        <v>31</v>
      </c>
      <c r="N655">
        <v>9</v>
      </c>
      <c r="O655" s="3">
        <f>IF(
    R655="Ancien",
    _xlfn.XLOOKUP(
        Final_Sans_VGE[[#This Row],[ppn_z]],
        tbl_Historique_Final[ppn_z],
        tbl_Historique_Final[Horodatage],
        ""
    ),
    Horodatage!$A$2
)</f>
        <v>46233.670796365739</v>
      </c>
      <c r="P655" s="1" t="str">
        <f>IFERROR(IF(tbl_Historique_Final[[#This Row],[Commentaires]]&lt;&gt;"",tbl_Historique_Final[[#This Row],[Commentaires]],""),"")</f>
        <v/>
      </c>
      <c r="X655" s="8" t="str">
        <f>IF(Final_Sans_VGE[[#This Row],[ppn_z]]="","",IFERROR(
   IF(_xlfn.XLOOKUP(Final_Sans_VGE[[#This Row],[ppn_z]],tbl_Historique_Final[ppn_z],tbl_Historique_Final[date_modif])=Final_Sans_VGE[[#This Row],[date_modif]],
      "Ancien",
      "Modifié"),
   "Nouveau"))</f>
        <v>Ancien</v>
      </c>
      <c r="AC655"/>
      <c r="AD655"/>
    </row>
    <row r="656" spans="1:30" x14ac:dyDescent="0.25">
      <c r="A656" s="5" t="s">
        <v>2132</v>
      </c>
      <c r="B656" s="1" t="s">
        <v>7594</v>
      </c>
      <c r="J656" s="3">
        <v>45762.697094907409</v>
      </c>
      <c r="K656" s="2" t="s">
        <v>7595</v>
      </c>
      <c r="L656" s="1">
        <v>1</v>
      </c>
      <c r="M656" s="1">
        <v>1</v>
      </c>
      <c r="N656">
        <v>0</v>
      </c>
      <c r="O656" s="3">
        <f>IF(
    R656="Ancien",
    _xlfn.XLOOKUP(
        Final_Sans_VGE[[#This Row],[ppn_z]],
        tbl_Historique_Final[ppn_z],
        tbl_Historique_Final[Horodatage],
        ""
    ),
    Horodatage!$A$2
)</f>
        <v>46233.670796365739</v>
      </c>
      <c r="P656" s="1" t="str">
        <f>IFERROR(IF(tbl_Historique_Final[[#This Row],[Commentaires]]&lt;&gt;"",tbl_Historique_Final[[#This Row],[Commentaires]],""),"")</f>
        <v/>
      </c>
      <c r="X656" s="8" t="str">
        <f>IF(Final_Sans_VGE[[#This Row],[ppn_z]]="","",IFERROR(
   IF(_xlfn.XLOOKUP(Final_Sans_VGE[[#This Row],[ppn_z]],tbl_Historique_Final[ppn_z],tbl_Historique_Final[date_modif])=Final_Sans_VGE[[#This Row],[date_modif]],
      "Ancien",
      "Modifié"),
   "Nouveau"))</f>
        <v>Ancien</v>
      </c>
      <c r="AC656"/>
      <c r="AD656"/>
    </row>
    <row r="657" spans="1:30" x14ac:dyDescent="0.25">
      <c r="A657" s="5" t="s">
        <v>2135</v>
      </c>
      <c r="B657" s="1" t="s">
        <v>7596</v>
      </c>
      <c r="C657" s="1" t="s">
        <v>40</v>
      </c>
      <c r="G657" s="1" t="s">
        <v>11</v>
      </c>
      <c r="J657" s="3">
        <v>45668.523182870369</v>
      </c>
      <c r="K657" s="2" t="s">
        <v>144</v>
      </c>
      <c r="L657" s="1">
        <v>0</v>
      </c>
      <c r="M657" s="1">
        <v>11</v>
      </c>
      <c r="N657">
        <v>11</v>
      </c>
      <c r="O657" s="3">
        <f>IF(
    R657="Ancien",
    _xlfn.XLOOKUP(
        Final_Sans_VGE[[#This Row],[ppn_z]],
        tbl_Historique_Final[ppn_z],
        tbl_Historique_Final[Horodatage],
        ""
    ),
    Horodatage!$A$2
)</f>
        <v>46233.670796365739</v>
      </c>
      <c r="P657" s="1" t="str">
        <f>IFERROR(IF(tbl_Historique_Final[[#This Row],[Commentaires]]&lt;&gt;"",tbl_Historique_Final[[#This Row],[Commentaires]],""),"")</f>
        <v/>
      </c>
      <c r="X657" s="8" t="str">
        <f>IF(Final_Sans_VGE[[#This Row],[ppn_z]]="","",IFERROR(
   IF(_xlfn.XLOOKUP(Final_Sans_VGE[[#This Row],[ppn_z]],tbl_Historique_Final[ppn_z],tbl_Historique_Final[date_modif])=Final_Sans_VGE[[#This Row],[date_modif]],
      "Ancien",
      "Modifié"),
   "Nouveau"))</f>
        <v>Ancien</v>
      </c>
      <c r="AC657"/>
      <c r="AD657"/>
    </row>
    <row r="658" spans="1:30" ht="30" x14ac:dyDescent="0.25">
      <c r="A658" s="5" t="s">
        <v>2138</v>
      </c>
      <c r="B658" s="1" t="s">
        <v>7597</v>
      </c>
      <c r="C658" s="1" t="s">
        <v>12</v>
      </c>
      <c r="G658" s="1" t="s">
        <v>11</v>
      </c>
      <c r="J658" s="3">
        <v>45624.592476851853</v>
      </c>
      <c r="K658" s="2" t="s">
        <v>7598</v>
      </c>
      <c r="L658" s="1">
        <v>1</v>
      </c>
      <c r="M658" s="1">
        <v>1</v>
      </c>
      <c r="N658">
        <v>0</v>
      </c>
      <c r="O658" s="3">
        <f>IF(
    R658="Ancien",
    _xlfn.XLOOKUP(
        Final_Sans_VGE[[#This Row],[ppn_z]],
        tbl_Historique_Final[ppn_z],
        tbl_Historique_Final[Horodatage],
        ""
    ),
    Horodatage!$A$2
)</f>
        <v>46233.670796365739</v>
      </c>
      <c r="P658" s="1" t="str">
        <f>IFERROR(IF(tbl_Historique_Final[[#This Row],[Commentaires]]&lt;&gt;"",tbl_Historique_Final[[#This Row],[Commentaires]],""),"")</f>
        <v/>
      </c>
      <c r="X658" s="8" t="str">
        <f>IF(Final_Sans_VGE[[#This Row],[ppn_z]]="","",IFERROR(
   IF(_xlfn.XLOOKUP(Final_Sans_VGE[[#This Row],[ppn_z]],tbl_Historique_Final[ppn_z],tbl_Historique_Final[date_modif])=Final_Sans_VGE[[#This Row],[date_modif]],
      "Ancien",
      "Modifié"),
   "Nouveau"))</f>
        <v>Ancien</v>
      </c>
      <c r="AC658"/>
      <c r="AD658"/>
    </row>
    <row r="659" spans="1:30" x14ac:dyDescent="0.25">
      <c r="A659" s="5" t="s">
        <v>2141</v>
      </c>
      <c r="B659" s="1" t="s">
        <v>7599</v>
      </c>
      <c r="C659" s="1" t="s">
        <v>12</v>
      </c>
      <c r="G659" s="1" t="s">
        <v>11</v>
      </c>
      <c r="J659" s="3">
        <v>45580.512777777774</v>
      </c>
      <c r="K659" s="2" t="s">
        <v>7543</v>
      </c>
      <c r="L659" s="1">
        <v>2</v>
      </c>
      <c r="M659" s="1">
        <v>2</v>
      </c>
      <c r="N659">
        <v>0</v>
      </c>
      <c r="O659" s="3">
        <f>IF(
    R659="Ancien",
    _xlfn.XLOOKUP(
        Final_Sans_VGE[[#This Row],[ppn_z]],
        tbl_Historique_Final[ppn_z],
        tbl_Historique_Final[Horodatage],
        ""
    ),
    Horodatage!$A$2
)</f>
        <v>46233.670796365739</v>
      </c>
      <c r="P659" s="1" t="str">
        <f>IFERROR(IF(tbl_Historique_Final[[#This Row],[Commentaires]]&lt;&gt;"",tbl_Historique_Final[[#This Row],[Commentaires]],""),"")</f>
        <v/>
      </c>
      <c r="X659" s="8" t="str">
        <f>IF(Final_Sans_VGE[[#This Row],[ppn_z]]="","",IFERROR(
   IF(_xlfn.XLOOKUP(Final_Sans_VGE[[#This Row],[ppn_z]],tbl_Historique_Final[ppn_z],tbl_Historique_Final[date_modif])=Final_Sans_VGE[[#This Row],[date_modif]],
      "Ancien",
      "Modifié"),
   "Nouveau"))</f>
        <v>Ancien</v>
      </c>
      <c r="AC659"/>
      <c r="AD659"/>
    </row>
    <row r="660" spans="1:30" x14ac:dyDescent="0.25">
      <c r="A660" s="5" t="s">
        <v>2144</v>
      </c>
      <c r="B660" s="1" t="s">
        <v>7600</v>
      </c>
      <c r="C660" s="1" t="s">
        <v>119</v>
      </c>
      <c r="J660" s="3">
        <v>45436.446643518517</v>
      </c>
      <c r="L660" s="1">
        <v>1</v>
      </c>
      <c r="M660" s="1">
        <v>1</v>
      </c>
      <c r="N660">
        <v>0</v>
      </c>
      <c r="O660" s="3">
        <f>IF(
    R660="Ancien",
    _xlfn.XLOOKUP(
        Final_Sans_VGE[[#This Row],[ppn_z]],
        tbl_Historique_Final[ppn_z],
        tbl_Historique_Final[Horodatage],
        ""
    ),
    Horodatage!$A$2
)</f>
        <v>46233.670796365739</v>
      </c>
      <c r="P660" s="1" t="str">
        <f>IFERROR(IF(tbl_Historique_Final[[#This Row],[Commentaires]]&lt;&gt;"",tbl_Historique_Final[[#This Row],[Commentaires]],""),"")</f>
        <v/>
      </c>
      <c r="X660" s="8" t="str">
        <f>IF(Final_Sans_VGE[[#This Row],[ppn_z]]="","",IFERROR(
   IF(_xlfn.XLOOKUP(Final_Sans_VGE[[#This Row],[ppn_z]],tbl_Historique_Final[ppn_z],tbl_Historique_Final[date_modif])=Final_Sans_VGE[[#This Row],[date_modif]],
      "Ancien",
      "Modifié"),
   "Nouveau"))</f>
        <v>Ancien</v>
      </c>
      <c r="AC660"/>
      <c r="AD660"/>
    </row>
    <row r="661" spans="1:30" ht="90" x14ac:dyDescent="0.25">
      <c r="A661" s="5" t="s">
        <v>2147</v>
      </c>
      <c r="B661" s="1" t="s">
        <v>7601</v>
      </c>
      <c r="C661" s="1" t="s">
        <v>7004</v>
      </c>
      <c r="E661" s="1" t="s">
        <v>34</v>
      </c>
      <c r="G661" s="1" t="s">
        <v>10</v>
      </c>
      <c r="J661" s="3">
        <v>45762.442175925928</v>
      </c>
      <c r="K661" s="2" t="s">
        <v>7602</v>
      </c>
      <c r="L661" s="1">
        <v>1</v>
      </c>
      <c r="M661" s="1">
        <v>1</v>
      </c>
      <c r="N661">
        <v>0</v>
      </c>
      <c r="O661" s="3">
        <f>IF(
    R661="Ancien",
    _xlfn.XLOOKUP(
        Final_Sans_VGE[[#This Row],[ppn_z]],
        tbl_Historique_Final[ppn_z],
        tbl_Historique_Final[Horodatage],
        ""
    ),
    Horodatage!$A$2
)</f>
        <v>46233.670796365739</v>
      </c>
      <c r="P661" s="1" t="str">
        <f>IFERROR(IF(tbl_Historique_Final[[#This Row],[Commentaires]]&lt;&gt;"",tbl_Historique_Final[[#This Row],[Commentaires]],""),"")</f>
        <v/>
      </c>
      <c r="X661" s="8" t="str">
        <f>IF(Final_Sans_VGE[[#This Row],[ppn_z]]="","",IFERROR(
   IF(_xlfn.XLOOKUP(Final_Sans_VGE[[#This Row],[ppn_z]],tbl_Historique_Final[ppn_z],tbl_Historique_Final[date_modif])=Final_Sans_VGE[[#This Row],[date_modif]],
      "Ancien",
      "Modifié"),
   "Nouveau"))</f>
        <v>Ancien</v>
      </c>
      <c r="AC661"/>
      <c r="AD661"/>
    </row>
    <row r="662" spans="1:30" x14ac:dyDescent="0.25">
      <c r="A662" s="5" t="s">
        <v>2150</v>
      </c>
      <c r="B662" s="1" t="s">
        <v>7603</v>
      </c>
      <c r="C662" s="1" t="s">
        <v>78</v>
      </c>
      <c r="D662" s="1" t="s">
        <v>7604</v>
      </c>
      <c r="G662" s="1" t="s">
        <v>10</v>
      </c>
      <c r="H662" s="1" t="s">
        <v>7605</v>
      </c>
      <c r="I662" s="1" t="s">
        <v>7606</v>
      </c>
      <c r="J662" s="3">
        <v>45805.396469907406</v>
      </c>
      <c r="K662" s="2" t="s">
        <v>7607</v>
      </c>
      <c r="L662" s="1">
        <v>146</v>
      </c>
      <c r="M662" s="1">
        <v>189</v>
      </c>
      <c r="N662">
        <v>43</v>
      </c>
      <c r="O662" s="3">
        <f>IF(
    R662="Ancien",
    _xlfn.XLOOKUP(
        Final_Sans_VGE[[#This Row],[ppn_z]],
        tbl_Historique_Final[ppn_z],
        tbl_Historique_Final[Horodatage],
        ""
    ),
    Horodatage!$A$2
)</f>
        <v>46233.670796365739</v>
      </c>
      <c r="P662" s="1" t="str">
        <f>IFERROR(IF(tbl_Historique_Final[[#This Row],[Commentaires]]&lt;&gt;"",tbl_Historique_Final[[#This Row],[Commentaires]],""),"")</f>
        <v/>
      </c>
      <c r="X662" s="8" t="str">
        <f>IF(Final_Sans_VGE[[#This Row],[ppn_z]]="","",IFERROR(
   IF(_xlfn.XLOOKUP(Final_Sans_VGE[[#This Row],[ppn_z]],tbl_Historique_Final[ppn_z],tbl_Historique_Final[date_modif])=Final_Sans_VGE[[#This Row],[date_modif]],
      "Ancien",
      "Modifié"),
   "Nouveau"))</f>
        <v>Ancien</v>
      </c>
      <c r="AC662"/>
      <c r="AD662"/>
    </row>
    <row r="663" spans="1:30" x14ac:dyDescent="0.25">
      <c r="A663" s="5" t="s">
        <v>2153</v>
      </c>
      <c r="B663" s="1" t="s">
        <v>7608</v>
      </c>
      <c r="C663" s="1" t="s">
        <v>77</v>
      </c>
      <c r="G663" s="1" t="s">
        <v>10</v>
      </c>
      <c r="J663" s="3">
        <v>45575.583993055552</v>
      </c>
      <c r="K663" s="2" t="s">
        <v>7609</v>
      </c>
      <c r="L663" s="1">
        <v>4</v>
      </c>
      <c r="M663" s="1">
        <v>5</v>
      </c>
      <c r="N663">
        <v>1</v>
      </c>
      <c r="O663" s="3">
        <f>IF(
    R663="Ancien",
    _xlfn.XLOOKUP(
        Final_Sans_VGE[[#This Row],[ppn_z]],
        tbl_Historique_Final[ppn_z],
        tbl_Historique_Final[Horodatage],
        ""
    ),
    Horodatage!$A$2
)</f>
        <v>46233.670796365739</v>
      </c>
      <c r="P663" s="1" t="str">
        <f>IFERROR(IF(tbl_Historique_Final[[#This Row],[Commentaires]]&lt;&gt;"",tbl_Historique_Final[[#This Row],[Commentaires]],""),"")</f>
        <v/>
      </c>
      <c r="X663" s="8" t="str">
        <f>IF(Final_Sans_VGE[[#This Row],[ppn_z]]="","",IFERROR(
   IF(_xlfn.XLOOKUP(Final_Sans_VGE[[#This Row],[ppn_z]],tbl_Historique_Final[ppn_z],tbl_Historique_Final[date_modif])=Final_Sans_VGE[[#This Row],[date_modif]],
      "Ancien",
      "Modifié"),
   "Nouveau"))</f>
        <v>Ancien</v>
      </c>
      <c r="AC663"/>
      <c r="AD663"/>
    </row>
    <row r="664" spans="1:30" ht="30" x14ac:dyDescent="0.25">
      <c r="A664" s="5" t="s">
        <v>2156</v>
      </c>
      <c r="B664" s="1" t="s">
        <v>7610</v>
      </c>
      <c r="C664" s="1" t="s">
        <v>70</v>
      </c>
      <c r="J664" s="3">
        <v>45730.397361111114</v>
      </c>
      <c r="K664" s="2" t="s">
        <v>7611</v>
      </c>
      <c r="L664" s="1">
        <v>1</v>
      </c>
      <c r="M664" s="1">
        <v>1</v>
      </c>
      <c r="N664">
        <v>0</v>
      </c>
      <c r="O664" s="3">
        <f>IF(
    R664="Ancien",
    _xlfn.XLOOKUP(
        Final_Sans_VGE[[#This Row],[ppn_z]],
        tbl_Historique_Final[ppn_z],
        tbl_Historique_Final[Horodatage],
        ""
    ),
    Horodatage!$A$2
)</f>
        <v>46233.670796365739</v>
      </c>
      <c r="P664" s="1" t="str">
        <f>IFERROR(IF(tbl_Historique_Final[[#This Row],[Commentaires]]&lt;&gt;"",tbl_Historique_Final[[#This Row],[Commentaires]],""),"")</f>
        <v/>
      </c>
      <c r="X664" s="8" t="str">
        <f>IF(Final_Sans_VGE[[#This Row],[ppn_z]]="","",IFERROR(
   IF(_xlfn.XLOOKUP(Final_Sans_VGE[[#This Row],[ppn_z]],tbl_Historique_Final[ppn_z],tbl_Historique_Final[date_modif])=Final_Sans_VGE[[#This Row],[date_modif]],
      "Ancien",
      "Modifié"),
   "Nouveau"))</f>
        <v>Ancien</v>
      </c>
      <c r="AC664"/>
      <c r="AD664"/>
    </row>
    <row r="665" spans="1:30" x14ac:dyDescent="0.25">
      <c r="A665" s="5" t="s">
        <v>2159</v>
      </c>
      <c r="B665" s="1" t="s">
        <v>7612</v>
      </c>
      <c r="C665" s="1" t="s">
        <v>71</v>
      </c>
      <c r="G665" s="1" t="s">
        <v>11</v>
      </c>
      <c r="J665" s="3">
        <v>45618.378298611111</v>
      </c>
      <c r="K665" s="2" t="s">
        <v>7613</v>
      </c>
      <c r="L665" s="1">
        <v>1</v>
      </c>
      <c r="M665" s="1">
        <v>1</v>
      </c>
      <c r="N665">
        <v>0</v>
      </c>
      <c r="O665" s="3">
        <f>IF(
    R665="Ancien",
    _xlfn.XLOOKUP(
        Final_Sans_VGE[[#This Row],[ppn_z]],
        tbl_Historique_Final[ppn_z],
        tbl_Historique_Final[Horodatage],
        ""
    ),
    Horodatage!$A$2
)</f>
        <v>46233.670796365739</v>
      </c>
      <c r="P665" s="1" t="str">
        <f>IFERROR(IF(tbl_Historique_Final[[#This Row],[Commentaires]]&lt;&gt;"",tbl_Historique_Final[[#This Row],[Commentaires]],""),"")</f>
        <v/>
      </c>
      <c r="X665" s="8" t="str">
        <f>IF(Final_Sans_VGE[[#This Row],[ppn_z]]="","",IFERROR(
   IF(_xlfn.XLOOKUP(Final_Sans_VGE[[#This Row],[ppn_z]],tbl_Historique_Final[ppn_z],tbl_Historique_Final[date_modif])=Final_Sans_VGE[[#This Row],[date_modif]],
      "Ancien",
      "Modifié"),
   "Nouveau"))</f>
        <v>Ancien</v>
      </c>
      <c r="AC665"/>
      <c r="AD665"/>
    </row>
    <row r="666" spans="1:30" x14ac:dyDescent="0.25">
      <c r="A666" s="5" t="s">
        <v>2162</v>
      </c>
      <c r="B666" s="1" t="s">
        <v>7614</v>
      </c>
      <c r="C666" s="1" t="s">
        <v>12</v>
      </c>
      <c r="G666" s="1" t="s">
        <v>10</v>
      </c>
      <c r="J666" s="3">
        <v>45804.648182870369</v>
      </c>
      <c r="K666" s="2" t="s">
        <v>7615</v>
      </c>
      <c r="L666" s="1">
        <v>1</v>
      </c>
      <c r="M666" s="1">
        <v>1</v>
      </c>
      <c r="N666">
        <v>0</v>
      </c>
      <c r="O666" s="3">
        <f>IF(
    R666="Ancien",
    _xlfn.XLOOKUP(
        Final_Sans_VGE[[#This Row],[ppn_z]],
        tbl_Historique_Final[ppn_z],
        tbl_Historique_Final[Horodatage],
        ""
    ),
    Horodatage!$A$2
)</f>
        <v>46233.670796365739</v>
      </c>
      <c r="P666" s="1" t="str">
        <f>IFERROR(IF(tbl_Historique_Final[[#This Row],[Commentaires]]&lt;&gt;"",tbl_Historique_Final[[#This Row],[Commentaires]],""),"")</f>
        <v/>
      </c>
      <c r="X666" s="8" t="str">
        <f>IF(Final_Sans_VGE[[#This Row],[ppn_z]]="","",IFERROR(
   IF(_xlfn.XLOOKUP(Final_Sans_VGE[[#This Row],[ppn_z]],tbl_Historique_Final[ppn_z],tbl_Historique_Final[date_modif])=Final_Sans_VGE[[#This Row],[date_modif]],
      "Ancien",
      "Modifié"),
   "Nouveau"))</f>
        <v>Ancien</v>
      </c>
      <c r="AC666"/>
      <c r="AD666"/>
    </row>
    <row r="667" spans="1:30" x14ac:dyDescent="0.25">
      <c r="A667" s="5" t="s">
        <v>2165</v>
      </c>
      <c r="B667" s="1" t="s">
        <v>7616</v>
      </c>
      <c r="C667" s="1" t="s">
        <v>77</v>
      </c>
      <c r="G667" s="1" t="s">
        <v>10</v>
      </c>
      <c r="J667" s="3">
        <v>45749.667650462965</v>
      </c>
      <c r="K667" s="2" t="s">
        <v>7617</v>
      </c>
      <c r="L667" s="1">
        <v>2</v>
      </c>
      <c r="M667" s="1">
        <v>2</v>
      </c>
      <c r="N667">
        <v>0</v>
      </c>
      <c r="O667" s="3">
        <f>IF(
    R667="Ancien",
    _xlfn.XLOOKUP(
        Final_Sans_VGE[[#This Row],[ppn_z]],
        tbl_Historique_Final[ppn_z],
        tbl_Historique_Final[Horodatage],
        ""
    ),
    Horodatage!$A$2
)</f>
        <v>46233.670796365739</v>
      </c>
      <c r="P667" s="1" t="str">
        <f>IFERROR(IF(tbl_Historique_Final[[#This Row],[Commentaires]]&lt;&gt;"",tbl_Historique_Final[[#This Row],[Commentaires]],""),"")</f>
        <v/>
      </c>
      <c r="X667" s="8" t="str">
        <f>IF(Final_Sans_VGE[[#This Row],[ppn_z]]="","",IFERROR(
   IF(_xlfn.XLOOKUP(Final_Sans_VGE[[#This Row],[ppn_z]],tbl_Historique_Final[ppn_z],tbl_Historique_Final[date_modif])=Final_Sans_VGE[[#This Row],[date_modif]],
      "Ancien",
      "Modifié"),
   "Nouveau"))</f>
        <v>Ancien</v>
      </c>
      <c r="AC667"/>
      <c r="AD667"/>
    </row>
    <row r="668" spans="1:30" ht="45" x14ac:dyDescent="0.25">
      <c r="A668" s="5" t="s">
        <v>2168</v>
      </c>
      <c r="B668" s="1" t="s">
        <v>7618</v>
      </c>
      <c r="G668" s="1" t="s">
        <v>11</v>
      </c>
      <c r="J668" s="3">
        <v>45791.466504629629</v>
      </c>
      <c r="K668" s="2" t="s">
        <v>7619</v>
      </c>
      <c r="L668" s="1">
        <v>38</v>
      </c>
      <c r="M668" s="1">
        <v>43</v>
      </c>
      <c r="N668">
        <v>5</v>
      </c>
      <c r="O668" s="3">
        <f>IF(
    R668="Ancien",
    _xlfn.XLOOKUP(
        Final_Sans_VGE[[#This Row],[ppn_z]],
        tbl_Historique_Final[ppn_z],
        tbl_Historique_Final[Horodatage],
        ""
    ),
    Horodatage!$A$2
)</f>
        <v>46233.670796365739</v>
      </c>
      <c r="P668" s="1" t="str">
        <f>IFERROR(IF(tbl_Historique_Final[[#This Row],[Commentaires]]&lt;&gt;"",tbl_Historique_Final[[#This Row],[Commentaires]],""),"")</f>
        <v/>
      </c>
      <c r="X668" s="8" t="str">
        <f>IF(Final_Sans_VGE[[#This Row],[ppn_z]]="","",IFERROR(
   IF(_xlfn.XLOOKUP(Final_Sans_VGE[[#This Row],[ppn_z]],tbl_Historique_Final[ppn_z],tbl_Historique_Final[date_modif])=Final_Sans_VGE[[#This Row],[date_modif]],
      "Ancien",
      "Modifié"),
   "Nouveau"))</f>
        <v>Ancien</v>
      </c>
      <c r="AC668"/>
      <c r="AD668"/>
    </row>
    <row r="669" spans="1:30" x14ac:dyDescent="0.25">
      <c r="A669" s="5" t="s">
        <v>2171</v>
      </c>
      <c r="B669" s="1" t="s">
        <v>7620</v>
      </c>
      <c r="C669" s="1" t="s">
        <v>12</v>
      </c>
      <c r="G669" s="1" t="s">
        <v>11</v>
      </c>
      <c r="J669" s="3">
        <v>45580.401921296296</v>
      </c>
      <c r="K669" s="2" t="s">
        <v>7543</v>
      </c>
      <c r="L669" s="1">
        <v>3</v>
      </c>
      <c r="M669" s="1">
        <v>3</v>
      </c>
      <c r="N669">
        <v>0</v>
      </c>
      <c r="O669" s="3">
        <f>IF(
    R669="Ancien",
    _xlfn.XLOOKUP(
        Final_Sans_VGE[[#This Row],[ppn_z]],
        tbl_Historique_Final[ppn_z],
        tbl_Historique_Final[Horodatage],
        ""
    ),
    Horodatage!$A$2
)</f>
        <v>46233.670796365739</v>
      </c>
      <c r="P669" s="1" t="str">
        <f>IFERROR(IF(tbl_Historique_Final[[#This Row],[Commentaires]]&lt;&gt;"",tbl_Historique_Final[[#This Row],[Commentaires]],""),"")</f>
        <v/>
      </c>
      <c r="X669" s="8" t="str">
        <f>IF(Final_Sans_VGE[[#This Row],[ppn_z]]="","",IFERROR(
   IF(_xlfn.XLOOKUP(Final_Sans_VGE[[#This Row],[ppn_z]],tbl_Historique_Final[ppn_z],tbl_Historique_Final[date_modif])=Final_Sans_VGE[[#This Row],[date_modif]],
      "Ancien",
      "Modifié"),
   "Nouveau"))</f>
        <v>Ancien</v>
      </c>
      <c r="AC669"/>
      <c r="AD669"/>
    </row>
    <row r="670" spans="1:30" x14ac:dyDescent="0.25">
      <c r="A670" s="5" t="s">
        <v>2174</v>
      </c>
      <c r="B670" s="1" t="s">
        <v>7621</v>
      </c>
      <c r="C670" s="1" t="s">
        <v>52</v>
      </c>
      <c r="J670" s="3">
        <v>45449.477847222224</v>
      </c>
      <c r="L670" s="1">
        <v>2</v>
      </c>
      <c r="M670" s="1">
        <v>2</v>
      </c>
      <c r="N670">
        <v>0</v>
      </c>
      <c r="O670" s="3">
        <f>IF(
    R670="Ancien",
    _xlfn.XLOOKUP(
        Final_Sans_VGE[[#This Row],[ppn_z]],
        tbl_Historique_Final[ppn_z],
        tbl_Historique_Final[Horodatage],
        ""
    ),
    Horodatage!$A$2
)</f>
        <v>46233.670796365739</v>
      </c>
      <c r="P670" s="1" t="str">
        <f>IFERROR(IF(tbl_Historique_Final[[#This Row],[Commentaires]]&lt;&gt;"",tbl_Historique_Final[[#This Row],[Commentaires]],""),"")</f>
        <v/>
      </c>
      <c r="X670" s="8" t="str">
        <f>IF(Final_Sans_VGE[[#This Row],[ppn_z]]="","",IFERROR(
   IF(_xlfn.XLOOKUP(Final_Sans_VGE[[#This Row],[ppn_z]],tbl_Historique_Final[ppn_z],tbl_Historique_Final[date_modif])=Final_Sans_VGE[[#This Row],[date_modif]],
      "Ancien",
      "Modifié"),
   "Nouveau"))</f>
        <v>Ancien</v>
      </c>
      <c r="AC670"/>
      <c r="AD670"/>
    </row>
    <row r="671" spans="1:30" x14ac:dyDescent="0.25">
      <c r="A671" s="5" t="s">
        <v>2177</v>
      </c>
      <c r="B671" s="1" t="s">
        <v>7622</v>
      </c>
      <c r="C671" s="1" t="s">
        <v>48</v>
      </c>
      <c r="G671" s="1" t="s">
        <v>11</v>
      </c>
      <c r="J671" s="3">
        <v>45775.479270833333</v>
      </c>
      <c r="K671" s="2" t="s">
        <v>7623</v>
      </c>
      <c r="L671" s="1">
        <v>1</v>
      </c>
      <c r="M671" s="1">
        <v>1</v>
      </c>
      <c r="N671">
        <v>0</v>
      </c>
      <c r="O671" s="3">
        <f>IF(
    R671="Ancien",
    _xlfn.XLOOKUP(
        Final_Sans_VGE[[#This Row],[ppn_z]],
        tbl_Historique_Final[ppn_z],
        tbl_Historique_Final[Horodatage],
        ""
    ),
    Horodatage!$A$2
)</f>
        <v>46233.670796365739</v>
      </c>
      <c r="P671" s="1" t="str">
        <f>IFERROR(IF(tbl_Historique_Final[[#This Row],[Commentaires]]&lt;&gt;"",tbl_Historique_Final[[#This Row],[Commentaires]],""),"")</f>
        <v/>
      </c>
      <c r="X671" s="8" t="str">
        <f>IF(Final_Sans_VGE[[#This Row],[ppn_z]]="","",IFERROR(
   IF(_xlfn.XLOOKUP(Final_Sans_VGE[[#This Row],[ppn_z]],tbl_Historique_Final[ppn_z],tbl_Historique_Final[date_modif])=Final_Sans_VGE[[#This Row],[date_modif]],
      "Ancien",
      "Modifié"),
   "Nouveau"))</f>
        <v>Ancien</v>
      </c>
      <c r="AC671"/>
      <c r="AD671"/>
    </row>
    <row r="672" spans="1:30" ht="30" x14ac:dyDescent="0.25">
      <c r="A672" s="5" t="s">
        <v>2180</v>
      </c>
      <c r="B672" s="1" t="s">
        <v>7624</v>
      </c>
      <c r="C672" s="1" t="s">
        <v>79</v>
      </c>
      <c r="D672" s="1" t="s">
        <v>14</v>
      </c>
      <c r="H672" s="1" t="s">
        <v>140</v>
      </c>
      <c r="I672" s="1" t="s">
        <v>140</v>
      </c>
      <c r="J672" s="3">
        <v>45668.471701388888</v>
      </c>
      <c r="K672" s="2" t="s">
        <v>7625</v>
      </c>
      <c r="L672" s="1">
        <v>87</v>
      </c>
      <c r="M672" s="1">
        <v>118</v>
      </c>
      <c r="N672">
        <v>31</v>
      </c>
      <c r="O672" s="3">
        <f>IF(
    R672="Ancien",
    _xlfn.XLOOKUP(
        Final_Sans_VGE[[#This Row],[ppn_z]],
        tbl_Historique_Final[ppn_z],
        tbl_Historique_Final[Horodatage],
        ""
    ),
    Horodatage!$A$2
)</f>
        <v>46233.670796365739</v>
      </c>
      <c r="P672" s="1" t="str">
        <f>IFERROR(IF(tbl_Historique_Final[[#This Row],[Commentaires]]&lt;&gt;"",tbl_Historique_Final[[#This Row],[Commentaires]],""),"")</f>
        <v/>
      </c>
      <c r="X672" s="8" t="str">
        <f>IF(Final_Sans_VGE[[#This Row],[ppn_z]]="","",IFERROR(
   IF(_xlfn.XLOOKUP(Final_Sans_VGE[[#This Row],[ppn_z]],tbl_Historique_Final[ppn_z],tbl_Historique_Final[date_modif])=Final_Sans_VGE[[#This Row],[date_modif]],
      "Ancien",
      "Modifié"),
   "Nouveau"))</f>
        <v>Ancien</v>
      </c>
      <c r="AC672"/>
      <c r="AD672"/>
    </row>
    <row r="673" spans="1:30" x14ac:dyDescent="0.25">
      <c r="A673" s="5" t="s">
        <v>2183</v>
      </c>
      <c r="B673" s="1" t="s">
        <v>7626</v>
      </c>
      <c r="C673" s="1" t="s">
        <v>34</v>
      </c>
      <c r="D673" s="1" t="s">
        <v>14</v>
      </c>
      <c r="E673" s="1" t="s">
        <v>73</v>
      </c>
      <c r="G673" s="1" t="s">
        <v>10</v>
      </c>
      <c r="H673" s="1" t="s">
        <v>7568</v>
      </c>
      <c r="I673" s="1" t="s">
        <v>22</v>
      </c>
      <c r="J673" s="3">
        <v>45678.602187500001</v>
      </c>
      <c r="K673" s="2" t="s">
        <v>6638</v>
      </c>
      <c r="L673" s="1">
        <v>1</v>
      </c>
      <c r="M673" s="1">
        <v>1</v>
      </c>
      <c r="N673">
        <v>0</v>
      </c>
      <c r="O673" s="3">
        <f>IF(
    R673="Ancien",
    _xlfn.XLOOKUP(
        Final_Sans_VGE[[#This Row],[ppn_z]],
        tbl_Historique_Final[ppn_z],
        tbl_Historique_Final[Horodatage],
        ""
    ),
    Horodatage!$A$2
)</f>
        <v>46233.670796365739</v>
      </c>
      <c r="P673" s="1" t="str">
        <f>IFERROR(IF(tbl_Historique_Final[[#This Row],[Commentaires]]&lt;&gt;"",tbl_Historique_Final[[#This Row],[Commentaires]],""),"")</f>
        <v/>
      </c>
      <c r="X673" s="8" t="str">
        <f>IF(Final_Sans_VGE[[#This Row],[ppn_z]]="","",IFERROR(
   IF(_xlfn.XLOOKUP(Final_Sans_VGE[[#This Row],[ppn_z]],tbl_Historique_Final[ppn_z],tbl_Historique_Final[date_modif])=Final_Sans_VGE[[#This Row],[date_modif]],
      "Ancien",
      "Modifié"),
   "Nouveau"))</f>
        <v>Ancien</v>
      </c>
      <c r="AC673"/>
      <c r="AD673"/>
    </row>
    <row r="674" spans="1:30" x14ac:dyDescent="0.25">
      <c r="A674" s="5" t="s">
        <v>2186</v>
      </c>
      <c r="B674" s="1" t="s">
        <v>7627</v>
      </c>
      <c r="C674" s="1" t="s">
        <v>12</v>
      </c>
      <c r="G674" s="1" t="s">
        <v>11</v>
      </c>
      <c r="J674" s="3">
        <v>45576.453148148146</v>
      </c>
      <c r="L674" s="1">
        <v>1</v>
      </c>
      <c r="M674" s="1">
        <v>1</v>
      </c>
      <c r="N674">
        <v>0</v>
      </c>
      <c r="O674" s="3">
        <f>IF(
    R674="Ancien",
    _xlfn.XLOOKUP(
        Final_Sans_VGE[[#This Row],[ppn_z]],
        tbl_Historique_Final[ppn_z],
        tbl_Historique_Final[Horodatage],
        ""
    ),
    Horodatage!$A$2
)</f>
        <v>46233.670796365739</v>
      </c>
      <c r="P674" s="1" t="str">
        <f>IFERROR(IF(tbl_Historique_Final[[#This Row],[Commentaires]]&lt;&gt;"",tbl_Historique_Final[[#This Row],[Commentaires]],""),"")</f>
        <v/>
      </c>
      <c r="X674" s="8" t="str">
        <f>IF(Final_Sans_VGE[[#This Row],[ppn_z]]="","",IFERROR(
   IF(_xlfn.XLOOKUP(Final_Sans_VGE[[#This Row],[ppn_z]],tbl_Historique_Final[ppn_z],tbl_Historique_Final[date_modif])=Final_Sans_VGE[[#This Row],[date_modif]],
      "Ancien",
      "Modifié"),
   "Nouveau"))</f>
        <v>Ancien</v>
      </c>
      <c r="AC674"/>
      <c r="AD674"/>
    </row>
    <row r="675" spans="1:30" ht="30" x14ac:dyDescent="0.25">
      <c r="A675" s="5" t="s">
        <v>2189</v>
      </c>
      <c r="B675" s="1" t="s">
        <v>7628</v>
      </c>
      <c r="C675" s="1" t="s">
        <v>56</v>
      </c>
      <c r="D675" s="1" t="s">
        <v>14</v>
      </c>
      <c r="H675" s="1" t="s">
        <v>22</v>
      </c>
      <c r="I675" s="1" t="s">
        <v>22</v>
      </c>
      <c r="J675" s="3">
        <v>45685.39947916667</v>
      </c>
      <c r="K675" s="2" t="s">
        <v>7629</v>
      </c>
      <c r="L675" s="1">
        <v>54</v>
      </c>
      <c r="M675" s="1">
        <v>68</v>
      </c>
      <c r="N675">
        <v>14</v>
      </c>
      <c r="O675" s="3">
        <f>IF(
    R675="Ancien",
    _xlfn.XLOOKUP(
        Final_Sans_VGE[[#This Row],[ppn_z]],
        tbl_Historique_Final[ppn_z],
        tbl_Historique_Final[Horodatage],
        ""
    ),
    Horodatage!$A$2
)</f>
        <v>46233.670796365739</v>
      </c>
      <c r="P675" s="1" t="str">
        <f>IFERROR(IF(tbl_Historique_Final[[#This Row],[Commentaires]]&lt;&gt;"",tbl_Historique_Final[[#This Row],[Commentaires]],""),"")</f>
        <v/>
      </c>
      <c r="X675" s="8" t="str">
        <f>IF(Final_Sans_VGE[[#This Row],[ppn_z]]="","",IFERROR(
   IF(_xlfn.XLOOKUP(Final_Sans_VGE[[#This Row],[ppn_z]],tbl_Historique_Final[ppn_z],tbl_Historique_Final[date_modif])=Final_Sans_VGE[[#This Row],[date_modif]],
      "Ancien",
      "Modifié"),
   "Nouveau"))</f>
        <v>Ancien</v>
      </c>
      <c r="AC675"/>
      <c r="AD675"/>
    </row>
    <row r="676" spans="1:30" x14ac:dyDescent="0.25">
      <c r="A676" s="5" t="s">
        <v>2192</v>
      </c>
      <c r="B676" s="1" t="s">
        <v>7630</v>
      </c>
      <c r="C676" s="1" t="s">
        <v>71</v>
      </c>
      <c r="G676" s="1" t="s">
        <v>10</v>
      </c>
      <c r="J676" s="3">
        <v>45668.521932870368</v>
      </c>
      <c r="K676" s="2" t="s">
        <v>7631</v>
      </c>
      <c r="L676" s="1">
        <v>2</v>
      </c>
      <c r="M676" s="1">
        <v>10</v>
      </c>
      <c r="N676">
        <v>8</v>
      </c>
      <c r="O676" s="3">
        <f>IF(
    R676="Ancien",
    _xlfn.XLOOKUP(
        Final_Sans_VGE[[#This Row],[ppn_z]],
        tbl_Historique_Final[ppn_z],
        tbl_Historique_Final[Horodatage],
        ""
    ),
    Horodatage!$A$2
)</f>
        <v>46233.670796365739</v>
      </c>
      <c r="P676" s="1" t="str">
        <f>IFERROR(IF(tbl_Historique_Final[[#This Row],[Commentaires]]&lt;&gt;"",tbl_Historique_Final[[#This Row],[Commentaires]],""),"")</f>
        <v/>
      </c>
      <c r="X676" s="8" t="str">
        <f>IF(Final_Sans_VGE[[#This Row],[ppn_z]]="","",IFERROR(
   IF(_xlfn.XLOOKUP(Final_Sans_VGE[[#This Row],[ppn_z]],tbl_Historique_Final[ppn_z],tbl_Historique_Final[date_modif])=Final_Sans_VGE[[#This Row],[date_modif]],
      "Ancien",
      "Modifié"),
   "Nouveau"))</f>
        <v>Ancien</v>
      </c>
      <c r="AC676"/>
      <c r="AD676"/>
    </row>
    <row r="677" spans="1:30" x14ac:dyDescent="0.25">
      <c r="A677" s="5" t="s">
        <v>2195</v>
      </c>
      <c r="B677" s="1" t="s">
        <v>7632</v>
      </c>
      <c r="C677" s="1" t="s">
        <v>12</v>
      </c>
      <c r="G677" s="1" t="s">
        <v>11</v>
      </c>
      <c r="J677" s="3">
        <v>45580.399872685186</v>
      </c>
      <c r="K677" s="2" t="s">
        <v>7633</v>
      </c>
      <c r="L677" s="1">
        <v>3</v>
      </c>
      <c r="M677" s="1">
        <v>3</v>
      </c>
      <c r="N677">
        <v>0</v>
      </c>
      <c r="O677" s="3">
        <f>IF(
    R677="Ancien",
    _xlfn.XLOOKUP(
        Final_Sans_VGE[[#This Row],[ppn_z]],
        tbl_Historique_Final[ppn_z],
        tbl_Historique_Final[Horodatage],
        ""
    ),
    Horodatage!$A$2
)</f>
        <v>46233.670796365739</v>
      </c>
      <c r="P677" s="1" t="str">
        <f>IFERROR(IF(tbl_Historique_Final[[#This Row],[Commentaires]]&lt;&gt;"",tbl_Historique_Final[[#This Row],[Commentaires]],""),"")</f>
        <v/>
      </c>
      <c r="X677" s="8" t="str">
        <f>IF(Final_Sans_VGE[[#This Row],[ppn_z]]="","",IFERROR(
   IF(_xlfn.XLOOKUP(Final_Sans_VGE[[#This Row],[ppn_z]],tbl_Historique_Final[ppn_z],tbl_Historique_Final[date_modif])=Final_Sans_VGE[[#This Row],[date_modif]],
      "Ancien",
      "Modifié"),
   "Nouveau"))</f>
        <v>Ancien</v>
      </c>
      <c r="AC677"/>
      <c r="AD677"/>
    </row>
    <row r="678" spans="1:30" ht="30" x14ac:dyDescent="0.25">
      <c r="A678" s="5" t="s">
        <v>2198</v>
      </c>
      <c r="B678" s="1" t="s">
        <v>7634</v>
      </c>
      <c r="G678" s="1" t="s">
        <v>11</v>
      </c>
      <c r="J678" s="3">
        <v>45681.353206018517</v>
      </c>
      <c r="K678" s="2" t="s">
        <v>7635</v>
      </c>
      <c r="L678" s="1">
        <v>2</v>
      </c>
      <c r="M678" s="1">
        <v>12</v>
      </c>
      <c r="N678">
        <v>10</v>
      </c>
      <c r="O678" s="3">
        <f>IF(
    R678="Ancien",
    _xlfn.XLOOKUP(
        Final_Sans_VGE[[#This Row],[ppn_z]],
        tbl_Historique_Final[ppn_z],
        tbl_Historique_Final[Horodatage],
        ""
    ),
    Horodatage!$A$2
)</f>
        <v>46233.670796365739</v>
      </c>
      <c r="P678" s="1" t="str">
        <f>IFERROR(IF(tbl_Historique_Final[[#This Row],[Commentaires]]&lt;&gt;"",tbl_Historique_Final[[#This Row],[Commentaires]],""),"")</f>
        <v/>
      </c>
      <c r="X678" s="8" t="str">
        <f>IF(Final_Sans_VGE[[#This Row],[ppn_z]]="","",IFERROR(
   IF(_xlfn.XLOOKUP(Final_Sans_VGE[[#This Row],[ppn_z]],tbl_Historique_Final[ppn_z],tbl_Historique_Final[date_modif])=Final_Sans_VGE[[#This Row],[date_modif]],
      "Ancien",
      "Modifié"),
   "Nouveau"))</f>
        <v>Ancien</v>
      </c>
      <c r="AC678"/>
      <c r="AD678"/>
    </row>
    <row r="679" spans="1:30" x14ac:dyDescent="0.25">
      <c r="A679" s="5" t="s">
        <v>2201</v>
      </c>
      <c r="B679" s="1" t="s">
        <v>7636</v>
      </c>
      <c r="C679" s="1" t="s">
        <v>12</v>
      </c>
      <c r="G679" s="1" t="s">
        <v>10</v>
      </c>
      <c r="J679" s="3">
        <v>45706.465543981481</v>
      </c>
      <c r="K679" s="2" t="s">
        <v>7637</v>
      </c>
      <c r="L679" s="1">
        <v>1</v>
      </c>
      <c r="M679" s="1">
        <v>1</v>
      </c>
      <c r="N679">
        <v>0</v>
      </c>
      <c r="O679" s="3">
        <f>IF(
    R679="Ancien",
    _xlfn.XLOOKUP(
        Final_Sans_VGE[[#This Row],[ppn_z]],
        tbl_Historique_Final[ppn_z],
        tbl_Historique_Final[Horodatage],
        ""
    ),
    Horodatage!$A$2
)</f>
        <v>46233.670796365739</v>
      </c>
      <c r="P679" s="1" t="str">
        <f>IFERROR(IF(tbl_Historique_Final[[#This Row],[Commentaires]]&lt;&gt;"",tbl_Historique_Final[[#This Row],[Commentaires]],""),"")</f>
        <v/>
      </c>
      <c r="X679" s="8" t="str">
        <f>IF(Final_Sans_VGE[[#This Row],[ppn_z]]="","",IFERROR(
   IF(_xlfn.XLOOKUP(Final_Sans_VGE[[#This Row],[ppn_z]],tbl_Historique_Final[ppn_z],tbl_Historique_Final[date_modif])=Final_Sans_VGE[[#This Row],[date_modif]],
      "Ancien",
      "Modifié"),
   "Nouveau"))</f>
        <v>Ancien</v>
      </c>
      <c r="AC679"/>
      <c r="AD679"/>
    </row>
    <row r="680" spans="1:30" x14ac:dyDescent="0.25">
      <c r="A680" s="5" t="s">
        <v>2204</v>
      </c>
      <c r="B680" s="1" t="s">
        <v>7638</v>
      </c>
      <c r="C680" s="1" t="s">
        <v>68</v>
      </c>
      <c r="J680" s="3">
        <v>45456.571979166663</v>
      </c>
      <c r="L680" s="1">
        <v>2</v>
      </c>
      <c r="M680" s="1">
        <v>2</v>
      </c>
      <c r="N680">
        <v>0</v>
      </c>
      <c r="O680" s="3">
        <f>IF(
    R680="Ancien",
    _xlfn.XLOOKUP(
        Final_Sans_VGE[[#This Row],[ppn_z]],
        tbl_Historique_Final[ppn_z],
        tbl_Historique_Final[Horodatage],
        ""
    ),
    Horodatage!$A$2
)</f>
        <v>46233.670796365739</v>
      </c>
      <c r="P680" s="1" t="str">
        <f>IFERROR(IF(tbl_Historique_Final[[#This Row],[Commentaires]]&lt;&gt;"",tbl_Historique_Final[[#This Row],[Commentaires]],""),"")</f>
        <v/>
      </c>
      <c r="X680" s="8" t="str">
        <f>IF(Final_Sans_VGE[[#This Row],[ppn_z]]="","",IFERROR(
   IF(_xlfn.XLOOKUP(Final_Sans_VGE[[#This Row],[ppn_z]],tbl_Historique_Final[ppn_z],tbl_Historique_Final[date_modif])=Final_Sans_VGE[[#This Row],[date_modif]],
      "Ancien",
      "Modifié"),
   "Nouveau"))</f>
        <v>Ancien</v>
      </c>
      <c r="AC680"/>
      <c r="AD680"/>
    </row>
    <row r="681" spans="1:30" x14ac:dyDescent="0.25">
      <c r="A681" s="5" t="s">
        <v>2207</v>
      </c>
      <c r="B681" s="1" t="s">
        <v>7639</v>
      </c>
      <c r="C681" s="1" t="s">
        <v>37</v>
      </c>
      <c r="E681" s="1" t="s">
        <v>112</v>
      </c>
      <c r="G681" s="1" t="s">
        <v>11</v>
      </c>
      <c r="J681" s="3">
        <v>45789.608738425923</v>
      </c>
      <c r="K681" s="2" t="s">
        <v>6490</v>
      </c>
      <c r="L681" s="1">
        <v>1</v>
      </c>
      <c r="M681" s="1">
        <v>1</v>
      </c>
      <c r="N681">
        <v>0</v>
      </c>
      <c r="O681" s="3">
        <f>IF(
    R681="Ancien",
    _xlfn.XLOOKUP(
        Final_Sans_VGE[[#This Row],[ppn_z]],
        tbl_Historique_Final[ppn_z],
        tbl_Historique_Final[Horodatage],
        ""
    ),
    Horodatage!$A$2
)</f>
        <v>46233.670796365739</v>
      </c>
      <c r="P681" s="1" t="str">
        <f>IFERROR(IF(tbl_Historique_Final[[#This Row],[Commentaires]]&lt;&gt;"",tbl_Historique_Final[[#This Row],[Commentaires]],""),"")</f>
        <v/>
      </c>
      <c r="X681" s="8" t="str">
        <f>IF(Final_Sans_VGE[[#This Row],[ppn_z]]="","",IFERROR(
   IF(_xlfn.XLOOKUP(Final_Sans_VGE[[#This Row],[ppn_z]],tbl_Historique_Final[ppn_z],tbl_Historique_Final[date_modif])=Final_Sans_VGE[[#This Row],[date_modif]],
      "Ancien",
      "Modifié"),
   "Nouveau"))</f>
        <v>Ancien</v>
      </c>
      <c r="AC681"/>
      <c r="AD681"/>
    </row>
    <row r="682" spans="1:30" x14ac:dyDescent="0.25">
      <c r="A682" s="5" t="s">
        <v>2210</v>
      </c>
      <c r="B682" s="1" t="s">
        <v>7640</v>
      </c>
      <c r="C682" s="1" t="s">
        <v>12</v>
      </c>
      <c r="G682" s="1" t="s">
        <v>11</v>
      </c>
      <c r="J682" s="3">
        <v>45580.410949074074</v>
      </c>
      <c r="K682" s="2" t="s">
        <v>7641</v>
      </c>
      <c r="L682" s="1">
        <v>1</v>
      </c>
      <c r="M682" s="1">
        <v>1</v>
      </c>
      <c r="N682">
        <v>0</v>
      </c>
      <c r="O682" s="3">
        <f>IF(
    R682="Ancien",
    _xlfn.XLOOKUP(
        Final_Sans_VGE[[#This Row],[ppn_z]],
        tbl_Historique_Final[ppn_z],
        tbl_Historique_Final[Horodatage],
        ""
    ),
    Horodatage!$A$2
)</f>
        <v>46233.670796365739</v>
      </c>
      <c r="P682" s="1" t="str">
        <f>IFERROR(IF(tbl_Historique_Final[[#This Row],[Commentaires]]&lt;&gt;"",tbl_Historique_Final[[#This Row],[Commentaires]],""),"")</f>
        <v/>
      </c>
      <c r="X682" s="8" t="str">
        <f>IF(Final_Sans_VGE[[#This Row],[ppn_z]]="","",IFERROR(
   IF(_xlfn.XLOOKUP(Final_Sans_VGE[[#This Row],[ppn_z]],tbl_Historique_Final[ppn_z],tbl_Historique_Final[date_modif])=Final_Sans_VGE[[#This Row],[date_modif]],
      "Ancien",
      "Modifié"),
   "Nouveau"))</f>
        <v>Ancien</v>
      </c>
      <c r="AC682"/>
      <c r="AD682"/>
    </row>
    <row r="683" spans="1:30" x14ac:dyDescent="0.25">
      <c r="A683" s="5" t="s">
        <v>2213</v>
      </c>
      <c r="B683" s="1" t="s">
        <v>7642</v>
      </c>
      <c r="C683" s="1" t="s">
        <v>12</v>
      </c>
      <c r="G683" s="1" t="s">
        <v>10</v>
      </c>
      <c r="J683" s="3">
        <v>45790.451504629629</v>
      </c>
      <c r="K683" s="2" t="s">
        <v>7643</v>
      </c>
      <c r="L683" s="1">
        <v>1</v>
      </c>
      <c r="M683" s="1">
        <v>1</v>
      </c>
      <c r="N683">
        <v>0</v>
      </c>
      <c r="O683" s="3">
        <f>IF(
    R683="Ancien",
    _xlfn.XLOOKUP(
        Final_Sans_VGE[[#This Row],[ppn_z]],
        tbl_Historique_Final[ppn_z],
        tbl_Historique_Final[Horodatage],
        ""
    ),
    Horodatage!$A$2
)</f>
        <v>46233.670796365739</v>
      </c>
      <c r="P683" s="1" t="str">
        <f>IFERROR(IF(tbl_Historique_Final[[#This Row],[Commentaires]]&lt;&gt;"",tbl_Historique_Final[[#This Row],[Commentaires]],""),"")</f>
        <v/>
      </c>
      <c r="X683" s="8" t="str">
        <f>IF(Final_Sans_VGE[[#This Row],[ppn_z]]="","",IFERROR(
   IF(_xlfn.XLOOKUP(Final_Sans_VGE[[#This Row],[ppn_z]],tbl_Historique_Final[ppn_z],tbl_Historique_Final[date_modif])=Final_Sans_VGE[[#This Row],[date_modif]],
      "Ancien",
      "Modifié"),
   "Nouveau"))</f>
        <v>Ancien</v>
      </c>
      <c r="AC683"/>
      <c r="AD683"/>
    </row>
    <row r="684" spans="1:30" x14ac:dyDescent="0.25">
      <c r="A684" s="5" t="s">
        <v>2216</v>
      </c>
      <c r="B684" s="1" t="s">
        <v>7644</v>
      </c>
      <c r="C684" s="1" t="s">
        <v>12</v>
      </c>
      <c r="G684" s="1" t="s">
        <v>10</v>
      </c>
      <c r="J684" s="3">
        <v>45580.412175925929</v>
      </c>
      <c r="K684" s="2" t="s">
        <v>7633</v>
      </c>
      <c r="L684" s="1">
        <v>1</v>
      </c>
      <c r="M684" s="1">
        <v>1</v>
      </c>
      <c r="N684">
        <v>0</v>
      </c>
      <c r="O684" s="3">
        <f>IF(
    R684="Ancien",
    _xlfn.XLOOKUP(
        Final_Sans_VGE[[#This Row],[ppn_z]],
        tbl_Historique_Final[ppn_z],
        tbl_Historique_Final[Horodatage],
        ""
    ),
    Horodatage!$A$2
)</f>
        <v>46233.670796365739</v>
      </c>
      <c r="P684" s="1" t="str">
        <f>IFERROR(IF(tbl_Historique_Final[[#This Row],[Commentaires]]&lt;&gt;"",tbl_Historique_Final[[#This Row],[Commentaires]],""),"")</f>
        <v/>
      </c>
      <c r="X684" s="8" t="str">
        <f>IF(Final_Sans_VGE[[#This Row],[ppn_z]]="","",IFERROR(
   IF(_xlfn.XLOOKUP(Final_Sans_VGE[[#This Row],[ppn_z]],tbl_Historique_Final[ppn_z],tbl_Historique_Final[date_modif])=Final_Sans_VGE[[#This Row],[date_modif]],
      "Ancien",
      "Modifié"),
   "Nouveau"))</f>
        <v>Ancien</v>
      </c>
      <c r="AC684"/>
      <c r="AD684"/>
    </row>
    <row r="685" spans="1:30" x14ac:dyDescent="0.25">
      <c r="A685" s="5" t="s">
        <v>2219</v>
      </c>
      <c r="B685" s="1" t="s">
        <v>7645</v>
      </c>
      <c r="C685" s="1" t="s">
        <v>81</v>
      </c>
      <c r="G685" s="1" t="s">
        <v>11</v>
      </c>
      <c r="J685" s="3">
        <v>45749.642951388887</v>
      </c>
      <c r="K685" s="2" t="s">
        <v>7646</v>
      </c>
      <c r="L685" s="1">
        <v>1</v>
      </c>
      <c r="M685" s="1">
        <v>1</v>
      </c>
      <c r="N685">
        <v>0</v>
      </c>
      <c r="O685" s="3">
        <f>IF(
    R685="Ancien",
    _xlfn.XLOOKUP(
        Final_Sans_VGE[[#This Row],[ppn_z]],
        tbl_Historique_Final[ppn_z],
        tbl_Historique_Final[Horodatage],
        ""
    ),
    Horodatage!$A$2
)</f>
        <v>46233.670796365739</v>
      </c>
      <c r="P685" s="1" t="str">
        <f>IFERROR(IF(tbl_Historique_Final[[#This Row],[Commentaires]]&lt;&gt;"",tbl_Historique_Final[[#This Row],[Commentaires]],""),"")</f>
        <v/>
      </c>
      <c r="X685" s="8" t="str">
        <f>IF(Final_Sans_VGE[[#This Row],[ppn_z]]="","",IFERROR(
   IF(_xlfn.XLOOKUP(Final_Sans_VGE[[#This Row],[ppn_z]],tbl_Historique_Final[ppn_z],tbl_Historique_Final[date_modif])=Final_Sans_VGE[[#This Row],[date_modif]],
      "Ancien",
      "Modifié"),
   "Nouveau"))</f>
        <v>Ancien</v>
      </c>
      <c r="AC685"/>
      <c r="AD685"/>
    </row>
    <row r="686" spans="1:30" x14ac:dyDescent="0.25">
      <c r="A686" s="5" t="s">
        <v>2222</v>
      </c>
      <c r="B686" s="1" t="s">
        <v>7647</v>
      </c>
      <c r="C686" s="1" t="s">
        <v>83</v>
      </c>
      <c r="D686" s="1" t="s">
        <v>14</v>
      </c>
      <c r="E686" s="1" t="s">
        <v>108</v>
      </c>
      <c r="G686" s="1" t="s">
        <v>10</v>
      </c>
      <c r="H686" s="1" t="s">
        <v>22</v>
      </c>
      <c r="I686" s="1" t="s">
        <v>22</v>
      </c>
      <c r="J686" s="3">
        <v>45663.675069444442</v>
      </c>
      <c r="K686" s="2" t="s">
        <v>7648</v>
      </c>
      <c r="L686" s="1">
        <v>79</v>
      </c>
      <c r="M686" s="1">
        <v>90</v>
      </c>
      <c r="N686">
        <v>11</v>
      </c>
      <c r="O686" s="3">
        <f>IF(
    R686="Ancien",
    _xlfn.XLOOKUP(
        Final_Sans_VGE[[#This Row],[ppn_z]],
        tbl_Historique_Final[ppn_z],
        tbl_Historique_Final[Horodatage],
        ""
    ),
    Horodatage!$A$2
)</f>
        <v>46233.670796365739</v>
      </c>
      <c r="P686" s="1" t="str">
        <f>IFERROR(IF(tbl_Historique_Final[[#This Row],[Commentaires]]&lt;&gt;"",tbl_Historique_Final[[#This Row],[Commentaires]],""),"")</f>
        <v/>
      </c>
      <c r="X686" s="8" t="str">
        <f>IF(Final_Sans_VGE[[#This Row],[ppn_z]]="","",IFERROR(
   IF(_xlfn.XLOOKUP(Final_Sans_VGE[[#This Row],[ppn_z]],tbl_Historique_Final[ppn_z],tbl_Historique_Final[date_modif])=Final_Sans_VGE[[#This Row],[date_modif]],
      "Ancien",
      "Modifié"),
   "Nouveau"))</f>
        <v>Ancien</v>
      </c>
      <c r="AC686"/>
      <c r="AD686"/>
    </row>
    <row r="687" spans="1:30" x14ac:dyDescent="0.25">
      <c r="A687" s="5" t="s">
        <v>2225</v>
      </c>
      <c r="B687" s="1" t="s">
        <v>7649</v>
      </c>
      <c r="C687" s="1" t="s">
        <v>12</v>
      </c>
      <c r="G687" s="1" t="s">
        <v>11</v>
      </c>
      <c r="J687" s="3">
        <v>45580.456585648149</v>
      </c>
      <c r="K687" s="2" t="s">
        <v>7650</v>
      </c>
      <c r="L687" s="1">
        <v>2</v>
      </c>
      <c r="M687" s="1">
        <v>2</v>
      </c>
      <c r="N687">
        <v>0</v>
      </c>
      <c r="O687" s="3">
        <f>IF(
    R687="Ancien",
    _xlfn.XLOOKUP(
        Final_Sans_VGE[[#This Row],[ppn_z]],
        tbl_Historique_Final[ppn_z],
        tbl_Historique_Final[Horodatage],
        ""
    ),
    Horodatage!$A$2
)</f>
        <v>46233.670796365739</v>
      </c>
      <c r="P687" s="1" t="str">
        <f>IFERROR(IF(tbl_Historique_Final[[#This Row],[Commentaires]]&lt;&gt;"",tbl_Historique_Final[[#This Row],[Commentaires]],""),"")</f>
        <v/>
      </c>
      <c r="X687" s="8" t="str">
        <f>IF(Final_Sans_VGE[[#This Row],[ppn_z]]="","",IFERROR(
   IF(_xlfn.XLOOKUP(Final_Sans_VGE[[#This Row],[ppn_z]],tbl_Historique_Final[ppn_z],tbl_Historique_Final[date_modif])=Final_Sans_VGE[[#This Row],[date_modif]],
      "Ancien",
      "Modifié"),
   "Nouveau"))</f>
        <v>Ancien</v>
      </c>
      <c r="AC687"/>
      <c r="AD687"/>
    </row>
    <row r="688" spans="1:30" ht="90" x14ac:dyDescent="0.25">
      <c r="A688" s="5" t="s">
        <v>2228</v>
      </c>
      <c r="B688" s="1" t="s">
        <v>7651</v>
      </c>
      <c r="C688" s="1" t="s">
        <v>7652</v>
      </c>
      <c r="E688" s="1" t="s">
        <v>50</v>
      </c>
      <c r="G688" s="1" t="s">
        <v>10</v>
      </c>
      <c r="J688" s="3">
        <v>45762.412175925929</v>
      </c>
      <c r="K688" s="2" t="s">
        <v>7653</v>
      </c>
      <c r="L688" s="1">
        <v>1</v>
      </c>
      <c r="M688" s="1">
        <v>1</v>
      </c>
      <c r="N688">
        <v>0</v>
      </c>
      <c r="O688" s="3">
        <f>IF(
    R688="Ancien",
    _xlfn.XLOOKUP(
        Final_Sans_VGE[[#This Row],[ppn_z]],
        tbl_Historique_Final[ppn_z],
        tbl_Historique_Final[Horodatage],
        ""
    ),
    Horodatage!$A$2
)</f>
        <v>46233.670796365739</v>
      </c>
      <c r="P688" s="1" t="str">
        <f>IFERROR(IF(tbl_Historique_Final[[#This Row],[Commentaires]]&lt;&gt;"",tbl_Historique_Final[[#This Row],[Commentaires]],""),"")</f>
        <v/>
      </c>
      <c r="X688" s="8" t="str">
        <f>IF(Final_Sans_VGE[[#This Row],[ppn_z]]="","",IFERROR(
   IF(_xlfn.XLOOKUP(Final_Sans_VGE[[#This Row],[ppn_z]],tbl_Historique_Final[ppn_z],tbl_Historique_Final[date_modif])=Final_Sans_VGE[[#This Row],[date_modif]],
      "Ancien",
      "Modifié"),
   "Nouveau"))</f>
        <v>Ancien</v>
      </c>
      <c r="AC688"/>
      <c r="AD688"/>
    </row>
    <row r="689" spans="1:30" x14ac:dyDescent="0.25">
      <c r="A689" s="5" t="s">
        <v>2231</v>
      </c>
      <c r="B689" s="1" t="s">
        <v>7654</v>
      </c>
      <c r="C689" s="1" t="s">
        <v>12</v>
      </c>
      <c r="G689" s="1" t="s">
        <v>11</v>
      </c>
      <c r="J689" s="3">
        <v>45642.647141203706</v>
      </c>
      <c r="K689" s="2" t="s">
        <v>7655</v>
      </c>
      <c r="L689" s="1">
        <v>1</v>
      </c>
      <c r="M689" s="1">
        <v>1</v>
      </c>
      <c r="N689">
        <v>0</v>
      </c>
      <c r="O689" s="3">
        <f>IF(
    R689="Ancien",
    _xlfn.XLOOKUP(
        Final_Sans_VGE[[#This Row],[ppn_z]],
        tbl_Historique_Final[ppn_z],
        tbl_Historique_Final[Horodatage],
        ""
    ),
    Horodatage!$A$2
)</f>
        <v>46233.670796365739</v>
      </c>
      <c r="P689" s="1" t="str">
        <f>IFERROR(IF(tbl_Historique_Final[[#This Row],[Commentaires]]&lt;&gt;"",tbl_Historique_Final[[#This Row],[Commentaires]],""),"")</f>
        <v/>
      </c>
      <c r="X689" s="8" t="str">
        <f>IF(Final_Sans_VGE[[#This Row],[ppn_z]]="","",IFERROR(
   IF(_xlfn.XLOOKUP(Final_Sans_VGE[[#This Row],[ppn_z]],tbl_Historique_Final[ppn_z],tbl_Historique_Final[date_modif])=Final_Sans_VGE[[#This Row],[date_modif]],
      "Ancien",
      "Modifié"),
   "Nouveau"))</f>
        <v>Ancien</v>
      </c>
      <c r="AC689"/>
      <c r="AD689"/>
    </row>
    <row r="690" spans="1:30" x14ac:dyDescent="0.25">
      <c r="A690" s="5" t="s">
        <v>2234</v>
      </c>
      <c r="B690" s="1" t="s">
        <v>7656</v>
      </c>
      <c r="C690" s="1" t="s">
        <v>68</v>
      </c>
      <c r="D690" s="1" t="s">
        <v>155</v>
      </c>
      <c r="G690" s="1" t="s">
        <v>10</v>
      </c>
      <c r="H690" s="1" t="s">
        <v>22</v>
      </c>
      <c r="I690" s="1" t="s">
        <v>22</v>
      </c>
      <c r="J690" s="3">
        <v>45624.575624999998</v>
      </c>
      <c r="K690" s="2" t="s">
        <v>7657</v>
      </c>
      <c r="L690" s="1">
        <v>26</v>
      </c>
      <c r="M690" s="1">
        <v>42</v>
      </c>
      <c r="N690">
        <v>16</v>
      </c>
      <c r="O690" s="3">
        <f>IF(
    R690="Ancien",
    _xlfn.XLOOKUP(
        Final_Sans_VGE[[#This Row],[ppn_z]],
        tbl_Historique_Final[ppn_z],
        tbl_Historique_Final[Horodatage],
        ""
    ),
    Horodatage!$A$2
)</f>
        <v>46233.670796365739</v>
      </c>
      <c r="P690" s="1" t="str">
        <f>IFERROR(IF(tbl_Historique_Final[[#This Row],[Commentaires]]&lt;&gt;"",tbl_Historique_Final[[#This Row],[Commentaires]],""),"")</f>
        <v/>
      </c>
      <c r="X690" s="8" t="str">
        <f>IF(Final_Sans_VGE[[#This Row],[ppn_z]]="","",IFERROR(
   IF(_xlfn.XLOOKUP(Final_Sans_VGE[[#This Row],[ppn_z]],tbl_Historique_Final[ppn_z],tbl_Historique_Final[date_modif])=Final_Sans_VGE[[#This Row],[date_modif]],
      "Ancien",
      "Modifié"),
   "Nouveau"))</f>
        <v>Ancien</v>
      </c>
      <c r="AC690"/>
      <c r="AD690"/>
    </row>
    <row r="691" spans="1:30" x14ac:dyDescent="0.25">
      <c r="A691" s="5" t="s">
        <v>2237</v>
      </c>
      <c r="B691" s="1" t="s">
        <v>7658</v>
      </c>
      <c r="C691" s="1" t="s">
        <v>12</v>
      </c>
      <c r="G691" s="1" t="s">
        <v>11</v>
      </c>
      <c r="J691" s="3">
        <v>45580.477372685185</v>
      </c>
      <c r="K691" s="2" t="s">
        <v>7659</v>
      </c>
      <c r="L691" s="1">
        <v>2</v>
      </c>
      <c r="M691" s="1">
        <v>2</v>
      </c>
      <c r="N691">
        <v>0</v>
      </c>
      <c r="O691" s="3">
        <f>IF(
    R691="Ancien",
    _xlfn.XLOOKUP(
        Final_Sans_VGE[[#This Row],[ppn_z]],
        tbl_Historique_Final[ppn_z],
        tbl_Historique_Final[Horodatage],
        ""
    ),
    Horodatage!$A$2
)</f>
        <v>46233.670796365739</v>
      </c>
      <c r="P691" s="1" t="str">
        <f>IFERROR(IF(tbl_Historique_Final[[#This Row],[Commentaires]]&lt;&gt;"",tbl_Historique_Final[[#This Row],[Commentaires]],""),"")</f>
        <v/>
      </c>
      <c r="X691" s="8" t="str">
        <f>IF(Final_Sans_VGE[[#This Row],[ppn_z]]="","",IFERROR(
   IF(_xlfn.XLOOKUP(Final_Sans_VGE[[#This Row],[ppn_z]],tbl_Historique_Final[ppn_z],tbl_Historique_Final[date_modif])=Final_Sans_VGE[[#This Row],[date_modif]],
      "Ancien",
      "Modifié"),
   "Nouveau"))</f>
        <v>Ancien</v>
      </c>
      <c r="AC691"/>
      <c r="AD691"/>
    </row>
    <row r="692" spans="1:30" x14ac:dyDescent="0.25">
      <c r="A692" s="5" t="s">
        <v>2240</v>
      </c>
      <c r="B692" s="1" t="s">
        <v>7660</v>
      </c>
      <c r="C692" s="1" t="s">
        <v>12</v>
      </c>
      <c r="G692" s="1" t="s">
        <v>11</v>
      </c>
      <c r="J692" s="3">
        <v>45783.678865740738</v>
      </c>
      <c r="K692" s="2" t="s">
        <v>7661</v>
      </c>
      <c r="L692" s="1">
        <v>1</v>
      </c>
      <c r="M692" s="1">
        <v>1</v>
      </c>
      <c r="N692">
        <v>0</v>
      </c>
      <c r="O692" s="3">
        <f>IF(
    R692="Ancien",
    _xlfn.XLOOKUP(
        Final_Sans_VGE[[#This Row],[ppn_z]],
        tbl_Historique_Final[ppn_z],
        tbl_Historique_Final[Horodatage],
        ""
    ),
    Horodatage!$A$2
)</f>
        <v>46233.670796365739</v>
      </c>
      <c r="P692" s="1" t="str">
        <f>IFERROR(IF(tbl_Historique_Final[[#This Row],[Commentaires]]&lt;&gt;"",tbl_Historique_Final[[#This Row],[Commentaires]],""),"")</f>
        <v/>
      </c>
      <c r="X692" s="8" t="str">
        <f>IF(Final_Sans_VGE[[#This Row],[ppn_z]]="","",IFERROR(
   IF(_xlfn.XLOOKUP(Final_Sans_VGE[[#This Row],[ppn_z]],tbl_Historique_Final[ppn_z],tbl_Historique_Final[date_modif])=Final_Sans_VGE[[#This Row],[date_modif]],
      "Ancien",
      "Modifié"),
   "Nouveau"))</f>
        <v>Ancien</v>
      </c>
      <c r="AC692"/>
      <c r="AD692"/>
    </row>
    <row r="693" spans="1:30" x14ac:dyDescent="0.25">
      <c r="A693" s="5" t="s">
        <v>2243</v>
      </c>
      <c r="B693" s="1" t="s">
        <v>7662</v>
      </c>
      <c r="C693" s="1" t="s">
        <v>87</v>
      </c>
      <c r="J693" s="3">
        <v>45468.655601851853</v>
      </c>
      <c r="L693" s="1">
        <v>1</v>
      </c>
      <c r="M693" s="1">
        <v>2</v>
      </c>
      <c r="N693">
        <v>1</v>
      </c>
      <c r="O693" s="3">
        <f>IF(
    R693="Ancien",
    _xlfn.XLOOKUP(
        Final_Sans_VGE[[#This Row],[ppn_z]],
        tbl_Historique_Final[ppn_z],
        tbl_Historique_Final[Horodatage],
        ""
    ),
    Horodatage!$A$2
)</f>
        <v>46233.670796365739</v>
      </c>
      <c r="P693" s="1" t="str">
        <f>IFERROR(IF(tbl_Historique_Final[[#This Row],[Commentaires]]&lt;&gt;"",tbl_Historique_Final[[#This Row],[Commentaires]],""),"")</f>
        <v/>
      </c>
      <c r="X693" s="8" t="str">
        <f>IF(Final_Sans_VGE[[#This Row],[ppn_z]]="","",IFERROR(
   IF(_xlfn.XLOOKUP(Final_Sans_VGE[[#This Row],[ppn_z]],tbl_Historique_Final[ppn_z],tbl_Historique_Final[date_modif])=Final_Sans_VGE[[#This Row],[date_modif]],
      "Ancien",
      "Modifié"),
   "Nouveau"))</f>
        <v>Ancien</v>
      </c>
      <c r="AC693"/>
      <c r="AD693"/>
    </row>
    <row r="694" spans="1:30" x14ac:dyDescent="0.25">
      <c r="A694" s="5" t="s">
        <v>2246</v>
      </c>
      <c r="B694" s="1" t="s">
        <v>7663</v>
      </c>
      <c r="C694" s="1" t="s">
        <v>12</v>
      </c>
      <c r="G694" s="1" t="s">
        <v>11</v>
      </c>
      <c r="J694" s="3">
        <v>45674.53875</v>
      </c>
      <c r="K694" s="2" t="s">
        <v>7664</v>
      </c>
      <c r="L694" s="1">
        <v>1</v>
      </c>
      <c r="M694" s="1">
        <v>1</v>
      </c>
      <c r="N694">
        <v>0</v>
      </c>
      <c r="O694" s="3">
        <f>IF(
    R694="Ancien",
    _xlfn.XLOOKUP(
        Final_Sans_VGE[[#This Row],[ppn_z]],
        tbl_Historique_Final[ppn_z],
        tbl_Historique_Final[Horodatage],
        ""
    ),
    Horodatage!$A$2
)</f>
        <v>46233.670796365739</v>
      </c>
      <c r="P694" s="1" t="str">
        <f>IFERROR(IF(tbl_Historique_Final[[#This Row],[Commentaires]]&lt;&gt;"",tbl_Historique_Final[[#This Row],[Commentaires]],""),"")</f>
        <v/>
      </c>
      <c r="X694" s="8" t="str">
        <f>IF(Final_Sans_VGE[[#This Row],[ppn_z]]="","",IFERROR(
   IF(_xlfn.XLOOKUP(Final_Sans_VGE[[#This Row],[ppn_z]],tbl_Historique_Final[ppn_z],tbl_Historique_Final[date_modif])=Final_Sans_VGE[[#This Row],[date_modif]],
      "Ancien",
      "Modifié"),
   "Nouveau"))</f>
        <v>Ancien</v>
      </c>
      <c r="AC694"/>
      <c r="AD694"/>
    </row>
    <row r="695" spans="1:30" x14ac:dyDescent="0.25">
      <c r="A695" s="5" t="s">
        <v>2249</v>
      </c>
      <c r="B695" s="1" t="s">
        <v>7665</v>
      </c>
      <c r="C695" s="1" t="s">
        <v>7666</v>
      </c>
      <c r="D695" s="1" t="s">
        <v>14</v>
      </c>
      <c r="E695" s="1" t="s">
        <v>77</v>
      </c>
      <c r="F695" s="1" t="s">
        <v>14</v>
      </c>
      <c r="G695" s="1" t="s">
        <v>10</v>
      </c>
      <c r="H695" s="1" t="s">
        <v>22</v>
      </c>
      <c r="I695" s="1" t="s">
        <v>22</v>
      </c>
      <c r="J695" s="3">
        <v>45763.484768518516</v>
      </c>
      <c r="K695" s="2" t="s">
        <v>7667</v>
      </c>
      <c r="L695" s="1">
        <v>6</v>
      </c>
      <c r="M695" s="1">
        <v>7</v>
      </c>
      <c r="N695">
        <v>1</v>
      </c>
      <c r="O695" s="3">
        <f>IF(
    R695="Ancien",
    _xlfn.XLOOKUP(
        Final_Sans_VGE[[#This Row],[ppn_z]],
        tbl_Historique_Final[ppn_z],
        tbl_Historique_Final[Horodatage],
        ""
    ),
    Horodatage!$A$2
)</f>
        <v>46233.670796365739</v>
      </c>
      <c r="P695" s="1" t="str">
        <f>IFERROR(IF(tbl_Historique_Final[[#This Row],[Commentaires]]&lt;&gt;"",tbl_Historique_Final[[#This Row],[Commentaires]],""),"")</f>
        <v/>
      </c>
      <c r="X695" s="8" t="str">
        <f>IF(Final_Sans_VGE[[#This Row],[ppn_z]]="","",IFERROR(
   IF(_xlfn.XLOOKUP(Final_Sans_VGE[[#This Row],[ppn_z]],tbl_Historique_Final[ppn_z],tbl_Historique_Final[date_modif])=Final_Sans_VGE[[#This Row],[date_modif]],
      "Ancien",
      "Modifié"),
   "Nouveau"))</f>
        <v>Ancien</v>
      </c>
      <c r="AC695"/>
      <c r="AD695"/>
    </row>
    <row r="696" spans="1:30" x14ac:dyDescent="0.25">
      <c r="A696" s="5" t="s">
        <v>2252</v>
      </c>
      <c r="B696" s="1" t="s">
        <v>7668</v>
      </c>
      <c r="C696" s="1" t="s">
        <v>12</v>
      </c>
      <c r="G696" s="1" t="s">
        <v>11</v>
      </c>
      <c r="J696" s="3">
        <v>45581.358391203707</v>
      </c>
      <c r="K696" s="2" t="s">
        <v>7669</v>
      </c>
      <c r="L696" s="1">
        <v>1</v>
      </c>
      <c r="M696" s="1">
        <v>1</v>
      </c>
      <c r="N696">
        <v>0</v>
      </c>
      <c r="O696" s="3">
        <f>IF(
    R696="Ancien",
    _xlfn.XLOOKUP(
        Final_Sans_VGE[[#This Row],[ppn_z]],
        tbl_Historique_Final[ppn_z],
        tbl_Historique_Final[Horodatage],
        ""
    ),
    Horodatage!$A$2
)</f>
        <v>46233.670796365739</v>
      </c>
      <c r="P696" s="1" t="str">
        <f>IFERROR(IF(tbl_Historique_Final[[#This Row],[Commentaires]]&lt;&gt;"",tbl_Historique_Final[[#This Row],[Commentaires]],""),"")</f>
        <v/>
      </c>
      <c r="X696" s="8" t="str">
        <f>IF(Final_Sans_VGE[[#This Row],[ppn_z]]="","",IFERROR(
   IF(_xlfn.XLOOKUP(Final_Sans_VGE[[#This Row],[ppn_z]],tbl_Historique_Final[ppn_z],tbl_Historique_Final[date_modif])=Final_Sans_VGE[[#This Row],[date_modif]],
      "Ancien",
      "Modifié"),
   "Nouveau"))</f>
        <v>Ancien</v>
      </c>
      <c r="AC696"/>
      <c r="AD696"/>
    </row>
    <row r="697" spans="1:30" ht="30" x14ac:dyDescent="0.25">
      <c r="A697" s="5" t="s">
        <v>2255</v>
      </c>
      <c r="B697" s="1" t="s">
        <v>7670</v>
      </c>
      <c r="C697" s="1" t="s">
        <v>12</v>
      </c>
      <c r="G697" s="1" t="s">
        <v>11</v>
      </c>
      <c r="J697" s="3">
        <v>45629.468958333331</v>
      </c>
      <c r="K697" s="2" t="s">
        <v>7671</v>
      </c>
      <c r="L697" s="1">
        <v>1</v>
      </c>
      <c r="M697" s="1">
        <v>1</v>
      </c>
      <c r="N697">
        <v>0</v>
      </c>
      <c r="O697" s="3">
        <f>IF(
    R697="Ancien",
    _xlfn.XLOOKUP(
        Final_Sans_VGE[[#This Row],[ppn_z]],
        tbl_Historique_Final[ppn_z],
        tbl_Historique_Final[Horodatage],
        ""
    ),
    Horodatage!$A$2
)</f>
        <v>46233.670796365739</v>
      </c>
      <c r="P697" s="1" t="str">
        <f>IFERROR(IF(tbl_Historique_Final[[#This Row],[Commentaires]]&lt;&gt;"",tbl_Historique_Final[[#This Row],[Commentaires]],""),"")</f>
        <v/>
      </c>
      <c r="X697" s="8" t="str">
        <f>IF(Final_Sans_VGE[[#This Row],[ppn_z]]="","",IFERROR(
   IF(_xlfn.XLOOKUP(Final_Sans_VGE[[#This Row],[ppn_z]],tbl_Historique_Final[ppn_z],tbl_Historique_Final[date_modif])=Final_Sans_VGE[[#This Row],[date_modif]],
      "Ancien",
      "Modifié"),
   "Nouveau"))</f>
        <v>Ancien</v>
      </c>
      <c r="AC697"/>
      <c r="AD697"/>
    </row>
    <row r="698" spans="1:30" x14ac:dyDescent="0.25">
      <c r="A698" s="5" t="s">
        <v>2258</v>
      </c>
      <c r="B698" s="1" t="s">
        <v>7672</v>
      </c>
      <c r="C698" s="1" t="s">
        <v>12</v>
      </c>
      <c r="G698" s="1" t="s">
        <v>10</v>
      </c>
      <c r="J698" s="3">
        <v>45581.390104166669</v>
      </c>
      <c r="K698" s="2" t="s">
        <v>7633</v>
      </c>
      <c r="L698" s="1">
        <v>2</v>
      </c>
      <c r="M698" s="1">
        <v>2</v>
      </c>
      <c r="N698">
        <v>0</v>
      </c>
      <c r="O698" s="3">
        <f>IF(
    R698="Ancien",
    _xlfn.XLOOKUP(
        Final_Sans_VGE[[#This Row],[ppn_z]],
        tbl_Historique_Final[ppn_z],
        tbl_Historique_Final[Horodatage],
        ""
    ),
    Horodatage!$A$2
)</f>
        <v>46233.670796365739</v>
      </c>
      <c r="P698" s="1" t="str">
        <f>IFERROR(IF(tbl_Historique_Final[[#This Row],[Commentaires]]&lt;&gt;"",tbl_Historique_Final[[#This Row],[Commentaires]],""),"")</f>
        <v/>
      </c>
      <c r="X698" s="8" t="str">
        <f>IF(Final_Sans_VGE[[#This Row],[ppn_z]]="","",IFERROR(
   IF(_xlfn.XLOOKUP(Final_Sans_VGE[[#This Row],[ppn_z]],tbl_Historique_Final[ppn_z],tbl_Historique_Final[date_modif])=Final_Sans_VGE[[#This Row],[date_modif]],
      "Ancien",
      "Modifié"),
   "Nouveau"))</f>
        <v>Ancien</v>
      </c>
      <c r="AC698"/>
      <c r="AD698"/>
    </row>
    <row r="699" spans="1:30" x14ac:dyDescent="0.25">
      <c r="A699" s="5" t="s">
        <v>2261</v>
      </c>
      <c r="B699" s="1" t="s">
        <v>7673</v>
      </c>
      <c r="C699" s="1" t="s">
        <v>7666</v>
      </c>
      <c r="D699" s="1" t="s">
        <v>7437</v>
      </c>
      <c r="E699" s="1" t="s">
        <v>12</v>
      </c>
      <c r="G699" s="1" t="s">
        <v>10</v>
      </c>
      <c r="H699" s="1" t="s">
        <v>22</v>
      </c>
      <c r="I699" s="1" t="s">
        <v>22</v>
      </c>
      <c r="J699" s="3">
        <v>45757.509722222225</v>
      </c>
      <c r="K699" s="2" t="s">
        <v>7674</v>
      </c>
      <c r="L699" s="1">
        <v>4</v>
      </c>
      <c r="M699" s="1">
        <v>4</v>
      </c>
      <c r="N699">
        <v>0</v>
      </c>
      <c r="O699" s="3">
        <f>IF(
    R699="Ancien",
    _xlfn.XLOOKUP(
        Final_Sans_VGE[[#This Row],[ppn_z]],
        tbl_Historique_Final[ppn_z],
        tbl_Historique_Final[Horodatage],
        ""
    ),
    Horodatage!$A$2
)</f>
        <v>46233.670796365739</v>
      </c>
      <c r="P699" s="1" t="str">
        <f>IFERROR(IF(tbl_Historique_Final[[#This Row],[Commentaires]]&lt;&gt;"",tbl_Historique_Final[[#This Row],[Commentaires]],""),"")</f>
        <v/>
      </c>
      <c r="X699" s="8" t="str">
        <f>IF(Final_Sans_VGE[[#This Row],[ppn_z]]="","",IFERROR(
   IF(_xlfn.XLOOKUP(Final_Sans_VGE[[#This Row],[ppn_z]],tbl_Historique_Final[ppn_z],tbl_Historique_Final[date_modif])=Final_Sans_VGE[[#This Row],[date_modif]],
      "Ancien",
      "Modifié"),
   "Nouveau"))</f>
        <v>Ancien</v>
      </c>
      <c r="AC699"/>
      <c r="AD699"/>
    </row>
    <row r="700" spans="1:30" x14ac:dyDescent="0.25">
      <c r="A700" s="5" t="s">
        <v>2264</v>
      </c>
      <c r="B700" s="1" t="s">
        <v>7675</v>
      </c>
      <c r="C700" s="1" t="s">
        <v>12</v>
      </c>
      <c r="G700" s="1" t="s">
        <v>10</v>
      </c>
      <c r="J700" s="3">
        <v>45621.675925925927</v>
      </c>
      <c r="K700" s="2" t="s">
        <v>7676</v>
      </c>
      <c r="L700" s="1">
        <v>1</v>
      </c>
      <c r="M700" s="1">
        <v>1</v>
      </c>
      <c r="N700">
        <v>0</v>
      </c>
      <c r="O700" s="3">
        <f>IF(
    R700="Ancien",
    _xlfn.XLOOKUP(
        Final_Sans_VGE[[#This Row],[ppn_z]],
        tbl_Historique_Final[ppn_z],
        tbl_Historique_Final[Horodatage],
        ""
    ),
    Horodatage!$A$2
)</f>
        <v>46233.670796365739</v>
      </c>
      <c r="P700" s="1" t="str">
        <f>IFERROR(IF(tbl_Historique_Final[[#This Row],[Commentaires]]&lt;&gt;"",tbl_Historique_Final[[#This Row],[Commentaires]],""),"")</f>
        <v/>
      </c>
      <c r="X700" s="8" t="str">
        <f>IF(Final_Sans_VGE[[#This Row],[ppn_z]]="","",IFERROR(
   IF(_xlfn.XLOOKUP(Final_Sans_VGE[[#This Row],[ppn_z]],tbl_Historique_Final[ppn_z],tbl_Historique_Final[date_modif])=Final_Sans_VGE[[#This Row],[date_modif]],
      "Ancien",
      "Modifié"),
   "Nouveau"))</f>
        <v>Ancien</v>
      </c>
      <c r="AC700"/>
      <c r="AD700"/>
    </row>
    <row r="701" spans="1:30" x14ac:dyDescent="0.25">
      <c r="A701" s="5" t="s">
        <v>2267</v>
      </c>
      <c r="B701" s="1" t="s">
        <v>7677</v>
      </c>
      <c r="C701" s="1" t="s">
        <v>12</v>
      </c>
      <c r="G701" s="1" t="s">
        <v>11</v>
      </c>
      <c r="J701" s="3">
        <v>45581.513657407406</v>
      </c>
      <c r="K701" s="2" t="s">
        <v>7678</v>
      </c>
      <c r="L701" s="1">
        <v>1</v>
      </c>
      <c r="M701" s="1">
        <v>1</v>
      </c>
      <c r="N701">
        <v>0</v>
      </c>
      <c r="O701" s="3">
        <f>IF(
    R701="Ancien",
    _xlfn.XLOOKUP(
        Final_Sans_VGE[[#This Row],[ppn_z]],
        tbl_Historique_Final[ppn_z],
        tbl_Historique_Final[Horodatage],
        ""
    ),
    Horodatage!$A$2
)</f>
        <v>46233.670796365739</v>
      </c>
      <c r="P701" s="1" t="str">
        <f>IFERROR(IF(tbl_Historique_Final[[#This Row],[Commentaires]]&lt;&gt;"",tbl_Historique_Final[[#This Row],[Commentaires]],""),"")</f>
        <v/>
      </c>
      <c r="X701" s="8" t="str">
        <f>IF(Final_Sans_VGE[[#This Row],[ppn_z]]="","",IFERROR(
   IF(_xlfn.XLOOKUP(Final_Sans_VGE[[#This Row],[ppn_z]],tbl_Historique_Final[ppn_z],tbl_Historique_Final[date_modif])=Final_Sans_VGE[[#This Row],[date_modif]],
      "Ancien",
      "Modifié"),
   "Nouveau"))</f>
        <v>Ancien</v>
      </c>
      <c r="AC701"/>
      <c r="AD701"/>
    </row>
    <row r="702" spans="1:30" ht="30" x14ac:dyDescent="0.25">
      <c r="A702" s="5" t="s">
        <v>2270</v>
      </c>
      <c r="B702" s="1" t="s">
        <v>7679</v>
      </c>
      <c r="C702" s="1" t="s">
        <v>12</v>
      </c>
      <c r="G702" s="1" t="s">
        <v>10</v>
      </c>
      <c r="J702" s="3">
        <v>45581.443252314813</v>
      </c>
      <c r="K702" s="2" t="s">
        <v>7680</v>
      </c>
      <c r="L702" s="1">
        <v>1</v>
      </c>
      <c r="M702" s="1">
        <v>2</v>
      </c>
      <c r="N702">
        <v>1</v>
      </c>
      <c r="O702" s="3">
        <f>IF(
    R702="Ancien",
    _xlfn.XLOOKUP(
        Final_Sans_VGE[[#This Row],[ppn_z]],
        tbl_Historique_Final[ppn_z],
        tbl_Historique_Final[Horodatage],
        ""
    ),
    Horodatage!$A$2
)</f>
        <v>46233.670796365739</v>
      </c>
      <c r="P702" s="1" t="str">
        <f>IFERROR(IF(tbl_Historique_Final[[#This Row],[Commentaires]]&lt;&gt;"",tbl_Historique_Final[[#This Row],[Commentaires]],""),"")</f>
        <v/>
      </c>
      <c r="X702" s="8" t="str">
        <f>IF(Final_Sans_VGE[[#This Row],[ppn_z]]="","",IFERROR(
   IF(_xlfn.XLOOKUP(Final_Sans_VGE[[#This Row],[ppn_z]],tbl_Historique_Final[ppn_z],tbl_Historique_Final[date_modif])=Final_Sans_VGE[[#This Row],[date_modif]],
      "Ancien",
      "Modifié"),
   "Nouveau"))</f>
        <v>Ancien</v>
      </c>
      <c r="AC702"/>
      <c r="AD702"/>
    </row>
    <row r="703" spans="1:30" x14ac:dyDescent="0.25">
      <c r="A703" s="5" t="s">
        <v>2273</v>
      </c>
      <c r="B703" s="1" t="s">
        <v>7681</v>
      </c>
      <c r="C703" s="1" t="s">
        <v>12</v>
      </c>
      <c r="G703" s="1" t="s">
        <v>10</v>
      </c>
      <c r="J703" s="3">
        <v>45625.347916666666</v>
      </c>
      <c r="K703" s="2" t="s">
        <v>7682</v>
      </c>
      <c r="L703" s="1">
        <v>1</v>
      </c>
      <c r="M703" s="1">
        <v>1</v>
      </c>
      <c r="N703">
        <v>0</v>
      </c>
      <c r="O703" s="3">
        <f>IF(
    R703="Ancien",
    _xlfn.XLOOKUP(
        Final_Sans_VGE[[#This Row],[ppn_z]],
        tbl_Historique_Final[ppn_z],
        tbl_Historique_Final[Horodatage],
        ""
    ),
    Horodatage!$A$2
)</f>
        <v>46233.670796365739</v>
      </c>
      <c r="P703" s="1" t="str">
        <f>IFERROR(IF(tbl_Historique_Final[[#This Row],[Commentaires]]&lt;&gt;"",tbl_Historique_Final[[#This Row],[Commentaires]],""),"")</f>
        <v/>
      </c>
      <c r="X703" s="8" t="str">
        <f>IF(Final_Sans_VGE[[#This Row],[ppn_z]]="","",IFERROR(
   IF(_xlfn.XLOOKUP(Final_Sans_VGE[[#This Row],[ppn_z]],tbl_Historique_Final[ppn_z],tbl_Historique_Final[date_modif])=Final_Sans_VGE[[#This Row],[date_modif]],
      "Ancien",
      "Modifié"),
   "Nouveau"))</f>
        <v>Ancien</v>
      </c>
      <c r="AC703"/>
      <c r="AD703"/>
    </row>
    <row r="704" spans="1:30" ht="30" x14ac:dyDescent="0.25">
      <c r="A704" s="5" t="s">
        <v>2276</v>
      </c>
      <c r="B704" s="1" t="s">
        <v>7683</v>
      </c>
      <c r="C704" s="1" t="s">
        <v>12</v>
      </c>
      <c r="G704" s="1" t="s">
        <v>11</v>
      </c>
      <c r="J704" s="3">
        <v>45699.463425925926</v>
      </c>
      <c r="K704" s="2" t="s">
        <v>7684</v>
      </c>
      <c r="L704" s="1">
        <v>1</v>
      </c>
      <c r="M704" s="1">
        <v>1</v>
      </c>
      <c r="N704">
        <v>0</v>
      </c>
      <c r="O704" s="3">
        <f>IF(
    R704="Ancien",
    _xlfn.XLOOKUP(
        Final_Sans_VGE[[#This Row],[ppn_z]],
        tbl_Historique_Final[ppn_z],
        tbl_Historique_Final[Horodatage],
        ""
    ),
    Horodatage!$A$2
)</f>
        <v>46233.670796365739</v>
      </c>
      <c r="P704" s="1" t="str">
        <f>IFERROR(IF(tbl_Historique_Final[[#This Row],[Commentaires]]&lt;&gt;"",tbl_Historique_Final[[#This Row],[Commentaires]],""),"")</f>
        <v/>
      </c>
      <c r="X704" s="8" t="str">
        <f>IF(Final_Sans_VGE[[#This Row],[ppn_z]]="","",IFERROR(
   IF(_xlfn.XLOOKUP(Final_Sans_VGE[[#This Row],[ppn_z]],tbl_Historique_Final[ppn_z],tbl_Historique_Final[date_modif])=Final_Sans_VGE[[#This Row],[date_modif]],
      "Ancien",
      "Modifié"),
   "Nouveau"))</f>
        <v>Ancien</v>
      </c>
      <c r="AC704"/>
      <c r="AD704"/>
    </row>
    <row r="705" spans="1:30" x14ac:dyDescent="0.25">
      <c r="A705" s="5" t="s">
        <v>2279</v>
      </c>
      <c r="B705" s="1" t="s">
        <v>7685</v>
      </c>
      <c r="C705" s="1" t="s">
        <v>12</v>
      </c>
      <c r="J705" s="3">
        <v>45485.433564814812</v>
      </c>
      <c r="L705" s="1">
        <v>1</v>
      </c>
      <c r="M705" s="1">
        <v>2</v>
      </c>
      <c r="N705">
        <v>1</v>
      </c>
      <c r="O705" s="3">
        <f>IF(
    R705="Ancien",
    _xlfn.XLOOKUP(
        Final_Sans_VGE[[#This Row],[ppn_z]],
        tbl_Historique_Final[ppn_z],
        tbl_Historique_Final[Horodatage],
        ""
    ),
    Horodatage!$A$2
)</f>
        <v>46233.670796365739</v>
      </c>
      <c r="P705" s="1" t="str">
        <f>IFERROR(IF(tbl_Historique_Final[[#This Row],[Commentaires]]&lt;&gt;"",tbl_Historique_Final[[#This Row],[Commentaires]],""),"")</f>
        <v/>
      </c>
      <c r="X705" s="8" t="str">
        <f>IF(Final_Sans_VGE[[#This Row],[ppn_z]]="","",IFERROR(
   IF(_xlfn.XLOOKUP(Final_Sans_VGE[[#This Row],[ppn_z]],tbl_Historique_Final[ppn_z],tbl_Historique_Final[date_modif])=Final_Sans_VGE[[#This Row],[date_modif]],
      "Ancien",
      "Modifié"),
   "Nouveau"))</f>
        <v>Ancien</v>
      </c>
      <c r="AC705"/>
      <c r="AD705"/>
    </row>
    <row r="706" spans="1:30" ht="120" x14ac:dyDescent="0.25">
      <c r="A706" s="5" t="s">
        <v>2282</v>
      </c>
      <c r="B706" s="1" t="s">
        <v>7686</v>
      </c>
      <c r="C706" s="1" t="s">
        <v>7463</v>
      </c>
      <c r="E706" s="1" t="s">
        <v>74</v>
      </c>
      <c r="G706" s="1" t="s">
        <v>10</v>
      </c>
      <c r="J706" s="3">
        <v>45763.392997685187</v>
      </c>
      <c r="K706" s="2" t="s">
        <v>7687</v>
      </c>
      <c r="L706" s="1">
        <v>1</v>
      </c>
      <c r="M706" s="1">
        <v>1</v>
      </c>
      <c r="N706">
        <v>0</v>
      </c>
      <c r="O706" s="3">
        <f>IF(
    R706="Ancien",
    _xlfn.XLOOKUP(
        Final_Sans_VGE[[#This Row],[ppn_z]],
        tbl_Historique_Final[ppn_z],
        tbl_Historique_Final[Horodatage],
        ""
    ),
    Horodatage!$A$2
)</f>
        <v>46233.670796365739</v>
      </c>
      <c r="P706" s="1" t="str">
        <f>IFERROR(IF(tbl_Historique_Final[[#This Row],[Commentaires]]&lt;&gt;"",tbl_Historique_Final[[#This Row],[Commentaires]],""),"")</f>
        <v/>
      </c>
      <c r="X706" s="8" t="str">
        <f>IF(Final_Sans_VGE[[#This Row],[ppn_z]]="","",IFERROR(
   IF(_xlfn.XLOOKUP(Final_Sans_VGE[[#This Row],[ppn_z]],tbl_Historique_Final[ppn_z],tbl_Historique_Final[date_modif])=Final_Sans_VGE[[#This Row],[date_modif]],
      "Ancien",
      "Modifié"),
   "Nouveau"))</f>
        <v>Ancien</v>
      </c>
      <c r="AC706"/>
      <c r="AD706"/>
    </row>
    <row r="707" spans="1:30" x14ac:dyDescent="0.25">
      <c r="A707" s="5" t="s">
        <v>2285</v>
      </c>
      <c r="B707" s="1" t="s">
        <v>7688</v>
      </c>
      <c r="C707" s="1" t="s">
        <v>7033</v>
      </c>
      <c r="E707" s="1" t="s">
        <v>71</v>
      </c>
      <c r="G707" s="1" t="s">
        <v>10</v>
      </c>
      <c r="H707" s="1" t="s">
        <v>22</v>
      </c>
      <c r="I707" s="1" t="s">
        <v>22</v>
      </c>
      <c r="J707" s="3">
        <v>45668.505300925928</v>
      </c>
      <c r="K707" s="2" t="s">
        <v>7689</v>
      </c>
      <c r="L707" s="1">
        <v>48</v>
      </c>
      <c r="M707" s="1">
        <v>51</v>
      </c>
      <c r="N707">
        <v>3</v>
      </c>
      <c r="O707" s="3">
        <f>IF(
    R707="Ancien",
    _xlfn.XLOOKUP(
        Final_Sans_VGE[[#This Row],[ppn_z]],
        tbl_Historique_Final[ppn_z],
        tbl_Historique_Final[Horodatage],
        ""
    ),
    Horodatage!$A$2
)</f>
        <v>46233.670796365739</v>
      </c>
      <c r="P707" s="1" t="str">
        <f>IFERROR(IF(tbl_Historique_Final[[#This Row],[Commentaires]]&lt;&gt;"",tbl_Historique_Final[[#This Row],[Commentaires]],""),"")</f>
        <v/>
      </c>
      <c r="X707" s="8" t="str">
        <f>IF(Final_Sans_VGE[[#This Row],[ppn_z]]="","",IFERROR(
   IF(_xlfn.XLOOKUP(Final_Sans_VGE[[#This Row],[ppn_z]],tbl_Historique_Final[ppn_z],tbl_Historique_Final[date_modif])=Final_Sans_VGE[[#This Row],[date_modif]],
      "Ancien",
      "Modifié"),
   "Nouveau"))</f>
        <v>Ancien</v>
      </c>
      <c r="AC707"/>
      <c r="AD707"/>
    </row>
    <row r="708" spans="1:30" x14ac:dyDescent="0.25">
      <c r="A708" s="5" t="s">
        <v>2288</v>
      </c>
      <c r="B708" s="1" t="s">
        <v>7690</v>
      </c>
      <c r="C708" s="1" t="s">
        <v>35</v>
      </c>
      <c r="G708" s="1" t="s">
        <v>10</v>
      </c>
      <c r="J708" s="3">
        <v>45621.387083333335</v>
      </c>
      <c r="K708" s="2" t="s">
        <v>6771</v>
      </c>
      <c r="L708" s="1">
        <v>2</v>
      </c>
      <c r="M708" s="1">
        <v>2</v>
      </c>
      <c r="N708">
        <v>0</v>
      </c>
      <c r="O708" s="3">
        <f>IF(
    R708="Ancien",
    _xlfn.XLOOKUP(
        Final_Sans_VGE[[#This Row],[ppn_z]],
        tbl_Historique_Final[ppn_z],
        tbl_Historique_Final[Horodatage],
        ""
    ),
    Horodatage!$A$2
)</f>
        <v>46233.670796365739</v>
      </c>
      <c r="P708" s="1" t="str">
        <f>IFERROR(IF(tbl_Historique_Final[[#This Row],[Commentaires]]&lt;&gt;"",tbl_Historique_Final[[#This Row],[Commentaires]],""),"")</f>
        <v/>
      </c>
      <c r="X708" s="8" t="str">
        <f>IF(Final_Sans_VGE[[#This Row],[ppn_z]]="","",IFERROR(
   IF(_xlfn.XLOOKUP(Final_Sans_VGE[[#This Row],[ppn_z]],tbl_Historique_Final[ppn_z],tbl_Historique_Final[date_modif])=Final_Sans_VGE[[#This Row],[date_modif]],
      "Ancien",
      "Modifié"),
   "Nouveau"))</f>
        <v>Ancien</v>
      </c>
      <c r="AC708"/>
      <c r="AD708"/>
    </row>
    <row r="709" spans="1:30" x14ac:dyDescent="0.25">
      <c r="A709" s="5" t="s">
        <v>2291</v>
      </c>
      <c r="B709" s="1" t="s">
        <v>7691</v>
      </c>
      <c r="C709" s="1" t="s">
        <v>7692</v>
      </c>
      <c r="J709" s="3">
        <v>45681.685659722221</v>
      </c>
      <c r="K709" s="2" t="s">
        <v>7693</v>
      </c>
      <c r="L709" s="1">
        <v>1</v>
      </c>
      <c r="M709" s="1">
        <v>1</v>
      </c>
      <c r="N709">
        <v>0</v>
      </c>
      <c r="O709" s="3">
        <f>IF(
    R709="Ancien",
    _xlfn.XLOOKUP(
        Final_Sans_VGE[[#This Row],[ppn_z]],
        tbl_Historique_Final[ppn_z],
        tbl_Historique_Final[Horodatage],
        ""
    ),
    Horodatage!$A$2
)</f>
        <v>46233.670796365739</v>
      </c>
      <c r="P709" s="1" t="str">
        <f>IFERROR(IF(tbl_Historique_Final[[#This Row],[Commentaires]]&lt;&gt;"",tbl_Historique_Final[[#This Row],[Commentaires]],""),"")</f>
        <v/>
      </c>
      <c r="X709" s="8" t="str">
        <f>IF(Final_Sans_VGE[[#This Row],[ppn_z]]="","",IFERROR(
   IF(_xlfn.XLOOKUP(Final_Sans_VGE[[#This Row],[ppn_z]],tbl_Historique_Final[ppn_z],tbl_Historique_Final[date_modif])=Final_Sans_VGE[[#This Row],[date_modif]],
      "Ancien",
      "Modifié"),
   "Nouveau"))</f>
        <v>Ancien</v>
      </c>
      <c r="AC709"/>
      <c r="AD709"/>
    </row>
    <row r="710" spans="1:30" ht="30" x14ac:dyDescent="0.25">
      <c r="A710" s="5" t="s">
        <v>2294</v>
      </c>
      <c r="B710" s="1" t="s">
        <v>7694</v>
      </c>
      <c r="C710" s="1" t="s">
        <v>7695</v>
      </c>
      <c r="E710" s="1" t="s">
        <v>93</v>
      </c>
      <c r="G710" s="1" t="s">
        <v>10</v>
      </c>
      <c r="J710" s="3">
        <v>45636.657835648148</v>
      </c>
      <c r="K710" s="2" t="s">
        <v>7696</v>
      </c>
      <c r="L710" s="1">
        <v>6</v>
      </c>
      <c r="M710" s="1">
        <v>8</v>
      </c>
      <c r="N710">
        <v>2</v>
      </c>
      <c r="O710" s="3">
        <f>IF(
    R710="Ancien",
    _xlfn.XLOOKUP(
        Final_Sans_VGE[[#This Row],[ppn_z]],
        tbl_Historique_Final[ppn_z],
        tbl_Historique_Final[Horodatage],
        ""
    ),
    Horodatage!$A$2
)</f>
        <v>46233.670796365739</v>
      </c>
      <c r="P710" s="1" t="str">
        <f>IFERROR(IF(tbl_Historique_Final[[#This Row],[Commentaires]]&lt;&gt;"",tbl_Historique_Final[[#This Row],[Commentaires]],""),"")</f>
        <v/>
      </c>
      <c r="X710" s="8" t="str">
        <f>IF(Final_Sans_VGE[[#This Row],[ppn_z]]="","",IFERROR(
   IF(_xlfn.XLOOKUP(Final_Sans_VGE[[#This Row],[ppn_z]],tbl_Historique_Final[ppn_z],tbl_Historique_Final[date_modif])=Final_Sans_VGE[[#This Row],[date_modif]],
      "Ancien",
      "Modifié"),
   "Nouveau"))</f>
        <v>Ancien</v>
      </c>
      <c r="AC710"/>
      <c r="AD710"/>
    </row>
    <row r="711" spans="1:30" x14ac:dyDescent="0.25">
      <c r="A711" s="5" t="s">
        <v>2297</v>
      </c>
      <c r="B711" s="1" t="s">
        <v>7697</v>
      </c>
      <c r="C711" s="1" t="s">
        <v>7698</v>
      </c>
      <c r="E711" s="1" t="s">
        <v>145</v>
      </c>
      <c r="G711" s="1" t="s">
        <v>10</v>
      </c>
      <c r="J711" s="3">
        <v>45810.394097222219</v>
      </c>
      <c r="K711" s="2" t="s">
        <v>7699</v>
      </c>
      <c r="L711" s="1">
        <v>1</v>
      </c>
      <c r="M711" s="1">
        <v>1</v>
      </c>
      <c r="N711">
        <v>0</v>
      </c>
      <c r="O711" s="3">
        <f>IF(
    R711="Ancien",
    _xlfn.XLOOKUP(
        Final_Sans_VGE[[#This Row],[ppn_z]],
        tbl_Historique_Final[ppn_z],
        tbl_Historique_Final[Horodatage],
        ""
    ),
    Horodatage!$A$2
)</f>
        <v>46233.670796365739</v>
      </c>
      <c r="P711" s="1" t="str">
        <f>IFERROR(IF(tbl_Historique_Final[[#This Row],[Commentaires]]&lt;&gt;"",tbl_Historique_Final[[#This Row],[Commentaires]],""),"")</f>
        <v/>
      </c>
      <c r="X711" s="8" t="str">
        <f>IF(Final_Sans_VGE[[#This Row],[ppn_z]]="","",IFERROR(
   IF(_xlfn.XLOOKUP(Final_Sans_VGE[[#This Row],[ppn_z]],tbl_Historique_Final[ppn_z],tbl_Historique_Final[date_modif])=Final_Sans_VGE[[#This Row],[date_modif]],
      "Ancien",
      "Modifié"),
   "Nouveau"))</f>
        <v>Ancien</v>
      </c>
      <c r="AC711"/>
      <c r="AD711"/>
    </row>
    <row r="712" spans="1:30" x14ac:dyDescent="0.25">
      <c r="A712" s="5" t="s">
        <v>2300</v>
      </c>
      <c r="B712" s="1" t="s">
        <v>7700</v>
      </c>
      <c r="C712" s="1" t="s">
        <v>12</v>
      </c>
      <c r="G712" s="1" t="s">
        <v>10</v>
      </c>
      <c r="J712" s="3">
        <v>45622.685358796298</v>
      </c>
      <c r="K712" s="2" t="s">
        <v>6417</v>
      </c>
      <c r="L712" s="1">
        <v>3</v>
      </c>
      <c r="M712" s="1">
        <v>3</v>
      </c>
      <c r="N712">
        <v>0</v>
      </c>
      <c r="O712" s="3">
        <f>IF(
    R712="Ancien",
    _xlfn.XLOOKUP(
        Final_Sans_VGE[[#This Row],[ppn_z]],
        tbl_Historique_Final[ppn_z],
        tbl_Historique_Final[Horodatage],
        ""
    ),
    Horodatage!$A$2
)</f>
        <v>46233.670796365739</v>
      </c>
      <c r="P712" s="1" t="str">
        <f>IFERROR(IF(tbl_Historique_Final[[#This Row],[Commentaires]]&lt;&gt;"",tbl_Historique_Final[[#This Row],[Commentaires]],""),"")</f>
        <v/>
      </c>
      <c r="X712" s="8" t="str">
        <f>IF(Final_Sans_VGE[[#This Row],[ppn_z]]="","",IFERROR(
   IF(_xlfn.XLOOKUP(Final_Sans_VGE[[#This Row],[ppn_z]],tbl_Historique_Final[ppn_z],tbl_Historique_Final[date_modif])=Final_Sans_VGE[[#This Row],[date_modif]],
      "Ancien",
      "Modifié"),
   "Nouveau"))</f>
        <v>Ancien</v>
      </c>
      <c r="AC712"/>
      <c r="AD712"/>
    </row>
    <row r="713" spans="1:30" x14ac:dyDescent="0.25">
      <c r="A713" s="5" t="s">
        <v>2303</v>
      </c>
      <c r="B713" s="1" t="s">
        <v>7701</v>
      </c>
      <c r="C713" s="1" t="s">
        <v>42</v>
      </c>
      <c r="G713" s="1" t="s">
        <v>11</v>
      </c>
      <c r="J713" s="3">
        <v>45623.459930555553</v>
      </c>
      <c r="K713" s="2" t="s">
        <v>7702</v>
      </c>
      <c r="L713" s="1">
        <v>1</v>
      </c>
      <c r="M713" s="1">
        <v>1</v>
      </c>
      <c r="N713">
        <v>0</v>
      </c>
      <c r="O713" s="3">
        <f>IF(
    R713="Ancien",
    _xlfn.XLOOKUP(
        Final_Sans_VGE[[#This Row],[ppn_z]],
        tbl_Historique_Final[ppn_z],
        tbl_Historique_Final[Horodatage],
        ""
    ),
    Horodatage!$A$2
)</f>
        <v>46233.670796365739</v>
      </c>
      <c r="P713" s="1" t="str">
        <f>IFERROR(IF(tbl_Historique_Final[[#This Row],[Commentaires]]&lt;&gt;"",tbl_Historique_Final[[#This Row],[Commentaires]],""),"")</f>
        <v/>
      </c>
      <c r="X713" s="8" t="str">
        <f>IF(Final_Sans_VGE[[#This Row],[ppn_z]]="","",IFERROR(
   IF(_xlfn.XLOOKUP(Final_Sans_VGE[[#This Row],[ppn_z]],tbl_Historique_Final[ppn_z],tbl_Historique_Final[date_modif])=Final_Sans_VGE[[#This Row],[date_modif]],
      "Ancien",
      "Modifié"),
   "Nouveau"))</f>
        <v>Ancien</v>
      </c>
      <c r="AC713"/>
      <c r="AD713"/>
    </row>
    <row r="714" spans="1:30" ht="30" x14ac:dyDescent="0.25">
      <c r="A714" s="5" t="s">
        <v>2306</v>
      </c>
      <c r="B714" s="1" t="s">
        <v>7703</v>
      </c>
      <c r="C714" s="1" t="s">
        <v>12</v>
      </c>
      <c r="G714" s="1" t="s">
        <v>11</v>
      </c>
      <c r="J714" s="3">
        <v>45686.510231481479</v>
      </c>
      <c r="K714" s="2" t="s">
        <v>7704</v>
      </c>
      <c r="L714" s="1">
        <v>2</v>
      </c>
      <c r="M714" s="1">
        <v>2</v>
      </c>
      <c r="N714">
        <v>0</v>
      </c>
      <c r="O714" s="3">
        <f>IF(
    R714="Ancien",
    _xlfn.XLOOKUP(
        Final_Sans_VGE[[#This Row],[ppn_z]],
        tbl_Historique_Final[ppn_z],
        tbl_Historique_Final[Horodatage],
        ""
    ),
    Horodatage!$A$2
)</f>
        <v>46233.670796365739</v>
      </c>
      <c r="P714" s="1" t="str">
        <f>IFERROR(IF(tbl_Historique_Final[[#This Row],[Commentaires]]&lt;&gt;"",tbl_Historique_Final[[#This Row],[Commentaires]],""),"")</f>
        <v/>
      </c>
      <c r="X714" s="8" t="str">
        <f>IF(Final_Sans_VGE[[#This Row],[ppn_z]]="","",IFERROR(
   IF(_xlfn.XLOOKUP(Final_Sans_VGE[[#This Row],[ppn_z]],tbl_Historique_Final[ppn_z],tbl_Historique_Final[date_modif])=Final_Sans_VGE[[#This Row],[date_modif]],
      "Ancien",
      "Modifié"),
   "Nouveau"))</f>
        <v>Ancien</v>
      </c>
      <c r="AC714"/>
      <c r="AD714"/>
    </row>
    <row r="715" spans="1:30" ht="30" x14ac:dyDescent="0.25">
      <c r="A715" s="5" t="s">
        <v>2309</v>
      </c>
      <c r="B715" s="1" t="s">
        <v>7705</v>
      </c>
      <c r="C715" s="1" t="s">
        <v>12</v>
      </c>
      <c r="G715" s="1" t="s">
        <v>10</v>
      </c>
      <c r="J715" s="3">
        <v>45625.360717592594</v>
      </c>
      <c r="K715" s="2" t="s">
        <v>7706</v>
      </c>
      <c r="L715" s="1">
        <v>1</v>
      </c>
      <c r="M715" s="1">
        <v>1</v>
      </c>
      <c r="N715">
        <v>0</v>
      </c>
      <c r="O715" s="3">
        <f>IF(
    R715="Ancien",
    _xlfn.XLOOKUP(
        Final_Sans_VGE[[#This Row],[ppn_z]],
        tbl_Historique_Final[ppn_z],
        tbl_Historique_Final[Horodatage],
        ""
    ),
    Horodatage!$A$2
)</f>
        <v>46233.670796365739</v>
      </c>
      <c r="P715" s="1" t="str">
        <f>IFERROR(IF(tbl_Historique_Final[[#This Row],[Commentaires]]&lt;&gt;"",tbl_Historique_Final[[#This Row],[Commentaires]],""),"")</f>
        <v/>
      </c>
      <c r="X715" s="8" t="str">
        <f>IF(Final_Sans_VGE[[#This Row],[ppn_z]]="","",IFERROR(
   IF(_xlfn.XLOOKUP(Final_Sans_VGE[[#This Row],[ppn_z]],tbl_Historique_Final[ppn_z],tbl_Historique_Final[date_modif])=Final_Sans_VGE[[#This Row],[date_modif]],
      "Ancien",
      "Modifié"),
   "Nouveau"))</f>
        <v>Ancien</v>
      </c>
      <c r="AC715"/>
      <c r="AD715"/>
    </row>
    <row r="716" spans="1:30" x14ac:dyDescent="0.25">
      <c r="A716" s="5" t="s">
        <v>2312</v>
      </c>
      <c r="B716" s="1" t="s">
        <v>7707</v>
      </c>
      <c r="C716" s="1" t="s">
        <v>81</v>
      </c>
      <c r="G716" s="1" t="s">
        <v>10</v>
      </c>
      <c r="J716" s="3">
        <v>45624.389363425929</v>
      </c>
      <c r="K716" s="2" t="s">
        <v>6417</v>
      </c>
      <c r="L716" s="1">
        <v>2</v>
      </c>
      <c r="M716" s="1">
        <v>2</v>
      </c>
      <c r="N716">
        <v>0</v>
      </c>
      <c r="O716" s="3">
        <f>IF(
    R716="Ancien",
    _xlfn.XLOOKUP(
        Final_Sans_VGE[[#This Row],[ppn_z]],
        tbl_Historique_Final[ppn_z],
        tbl_Historique_Final[Horodatage],
        ""
    ),
    Horodatage!$A$2
)</f>
        <v>46233.670796365739</v>
      </c>
      <c r="P716" s="1" t="str">
        <f>IFERROR(IF(tbl_Historique_Final[[#This Row],[Commentaires]]&lt;&gt;"",tbl_Historique_Final[[#This Row],[Commentaires]],""),"")</f>
        <v/>
      </c>
      <c r="X716" s="8" t="str">
        <f>IF(Final_Sans_VGE[[#This Row],[ppn_z]]="","",IFERROR(
   IF(_xlfn.XLOOKUP(Final_Sans_VGE[[#This Row],[ppn_z]],tbl_Historique_Final[ppn_z],tbl_Historique_Final[date_modif])=Final_Sans_VGE[[#This Row],[date_modif]],
      "Ancien",
      "Modifié"),
   "Nouveau"))</f>
        <v>Ancien</v>
      </c>
      <c r="AC716"/>
      <c r="AD716"/>
    </row>
    <row r="717" spans="1:30" ht="60" x14ac:dyDescent="0.25">
      <c r="A717" s="5" t="s">
        <v>2315</v>
      </c>
      <c r="B717" s="1" t="s">
        <v>7708</v>
      </c>
      <c r="C717" s="1" t="s">
        <v>7709</v>
      </c>
      <c r="E717" s="1" t="s">
        <v>79</v>
      </c>
      <c r="G717" s="1" t="s">
        <v>10</v>
      </c>
      <c r="J717" s="3">
        <v>45762.391840277778</v>
      </c>
      <c r="K717" s="2" t="s">
        <v>7710</v>
      </c>
      <c r="L717" s="1">
        <v>1</v>
      </c>
      <c r="M717" s="1">
        <v>1</v>
      </c>
      <c r="N717">
        <v>0</v>
      </c>
      <c r="O717" s="3">
        <f>IF(
    R717="Ancien",
    _xlfn.XLOOKUP(
        Final_Sans_VGE[[#This Row],[ppn_z]],
        tbl_Historique_Final[ppn_z],
        tbl_Historique_Final[Horodatage],
        ""
    ),
    Horodatage!$A$2
)</f>
        <v>46233.670796365739</v>
      </c>
      <c r="P717" s="1" t="str">
        <f>IFERROR(IF(tbl_Historique_Final[[#This Row],[Commentaires]]&lt;&gt;"",tbl_Historique_Final[[#This Row],[Commentaires]],""),"")</f>
        <v/>
      </c>
      <c r="X717" s="8" t="str">
        <f>IF(Final_Sans_VGE[[#This Row],[ppn_z]]="","",IFERROR(
   IF(_xlfn.XLOOKUP(Final_Sans_VGE[[#This Row],[ppn_z]],tbl_Historique_Final[ppn_z],tbl_Historique_Final[date_modif])=Final_Sans_VGE[[#This Row],[date_modif]],
      "Ancien",
      "Modifié"),
   "Nouveau"))</f>
        <v>Ancien</v>
      </c>
      <c r="AC717"/>
      <c r="AD717"/>
    </row>
    <row r="718" spans="1:30" x14ac:dyDescent="0.25">
      <c r="A718" s="5" t="s">
        <v>2318</v>
      </c>
      <c r="B718" s="1" t="s">
        <v>7711</v>
      </c>
      <c r="C718" s="1" t="s">
        <v>64</v>
      </c>
      <c r="G718" s="1" t="s">
        <v>10</v>
      </c>
      <c r="J718" s="3">
        <v>45681.685486111113</v>
      </c>
      <c r="K718" s="2" t="s">
        <v>7712</v>
      </c>
      <c r="L718" s="1">
        <v>1</v>
      </c>
      <c r="M718" s="1">
        <v>1</v>
      </c>
      <c r="N718">
        <v>0</v>
      </c>
      <c r="O718" s="3">
        <f>IF(
    R718="Ancien",
    _xlfn.XLOOKUP(
        Final_Sans_VGE[[#This Row],[ppn_z]],
        tbl_Historique_Final[ppn_z],
        tbl_Historique_Final[Horodatage],
        ""
    ),
    Horodatage!$A$2
)</f>
        <v>46233.670796365739</v>
      </c>
      <c r="P718" s="1" t="str">
        <f>IFERROR(IF(tbl_Historique_Final[[#This Row],[Commentaires]]&lt;&gt;"",tbl_Historique_Final[[#This Row],[Commentaires]],""),"")</f>
        <v/>
      </c>
      <c r="X718" s="8" t="str">
        <f>IF(Final_Sans_VGE[[#This Row],[ppn_z]]="","",IFERROR(
   IF(_xlfn.XLOOKUP(Final_Sans_VGE[[#This Row],[ppn_z]],tbl_Historique_Final[ppn_z],tbl_Historique_Final[date_modif])=Final_Sans_VGE[[#This Row],[date_modif]],
      "Ancien",
      "Modifié"),
   "Nouveau"))</f>
        <v>Ancien</v>
      </c>
      <c r="AC718"/>
      <c r="AD718"/>
    </row>
    <row r="719" spans="1:30" x14ac:dyDescent="0.25">
      <c r="A719" s="5" t="s">
        <v>2321</v>
      </c>
      <c r="B719" s="1" t="s">
        <v>7713</v>
      </c>
      <c r="C719" s="1" t="s">
        <v>12</v>
      </c>
      <c r="G719" s="1" t="s">
        <v>11</v>
      </c>
      <c r="J719" s="3">
        <v>45624.44771990741</v>
      </c>
      <c r="K719" s="2" t="s">
        <v>7714</v>
      </c>
      <c r="L719" s="1">
        <v>1</v>
      </c>
      <c r="M719" s="1">
        <v>1</v>
      </c>
      <c r="N719">
        <v>0</v>
      </c>
      <c r="O719" s="3">
        <f>IF(
    R719="Ancien",
    _xlfn.XLOOKUP(
        Final_Sans_VGE[[#This Row],[ppn_z]],
        tbl_Historique_Final[ppn_z],
        tbl_Historique_Final[Horodatage],
        ""
    ),
    Horodatage!$A$2
)</f>
        <v>46233.670796365739</v>
      </c>
      <c r="P719" s="1" t="str">
        <f>IFERROR(IF(tbl_Historique_Final[[#This Row],[Commentaires]]&lt;&gt;"",tbl_Historique_Final[[#This Row],[Commentaires]],""),"")</f>
        <v/>
      </c>
      <c r="X719" s="8" t="str">
        <f>IF(Final_Sans_VGE[[#This Row],[ppn_z]]="","",IFERROR(
   IF(_xlfn.XLOOKUP(Final_Sans_VGE[[#This Row],[ppn_z]],tbl_Historique_Final[ppn_z],tbl_Historique_Final[date_modif])=Final_Sans_VGE[[#This Row],[date_modif]],
      "Ancien",
      "Modifié"),
   "Nouveau"))</f>
        <v>Ancien</v>
      </c>
      <c r="AC719"/>
      <c r="AD719"/>
    </row>
    <row r="720" spans="1:30" ht="30" x14ac:dyDescent="0.25">
      <c r="A720" s="5" t="s">
        <v>2324</v>
      </c>
      <c r="B720" s="1" t="s">
        <v>7715</v>
      </c>
      <c r="C720" s="1" t="s">
        <v>12</v>
      </c>
      <c r="G720" s="1" t="s">
        <v>11</v>
      </c>
      <c r="J720" s="3">
        <v>45730.47446759259</v>
      </c>
      <c r="K720" s="2" t="s">
        <v>7716</v>
      </c>
      <c r="L720" s="1">
        <v>1</v>
      </c>
      <c r="M720" s="1">
        <v>1</v>
      </c>
      <c r="N720">
        <v>0</v>
      </c>
      <c r="O720" s="3">
        <f>IF(
    R720="Ancien",
    _xlfn.XLOOKUP(
        Final_Sans_VGE[[#This Row],[ppn_z]],
        tbl_Historique_Final[ppn_z],
        tbl_Historique_Final[Horodatage],
        ""
    ),
    Horodatage!$A$2
)</f>
        <v>46233.670796365739</v>
      </c>
      <c r="P720" s="1" t="str">
        <f>IFERROR(IF(tbl_Historique_Final[[#This Row],[Commentaires]]&lt;&gt;"",tbl_Historique_Final[[#This Row],[Commentaires]],""),"")</f>
        <v/>
      </c>
      <c r="X720" s="8" t="str">
        <f>IF(Final_Sans_VGE[[#This Row],[ppn_z]]="","",IFERROR(
   IF(_xlfn.XLOOKUP(Final_Sans_VGE[[#This Row],[ppn_z]],tbl_Historique_Final[ppn_z],tbl_Historique_Final[date_modif])=Final_Sans_VGE[[#This Row],[date_modif]],
      "Ancien",
      "Modifié"),
   "Nouveau"))</f>
        <v>Ancien</v>
      </c>
      <c r="AC720"/>
      <c r="AD720"/>
    </row>
    <row r="721" spans="1:30" x14ac:dyDescent="0.25">
      <c r="A721" s="5" t="s">
        <v>2327</v>
      </c>
      <c r="B721" s="1" t="s">
        <v>7717</v>
      </c>
      <c r="C721" s="1" t="s">
        <v>68</v>
      </c>
      <c r="G721" s="1" t="s">
        <v>11</v>
      </c>
      <c r="J721" s="3">
        <v>45707.444594907407</v>
      </c>
      <c r="K721" s="2" t="s">
        <v>7718</v>
      </c>
      <c r="L721" s="1">
        <v>14</v>
      </c>
      <c r="M721" s="1">
        <v>16</v>
      </c>
      <c r="N721">
        <v>2</v>
      </c>
      <c r="O721" s="3">
        <f>IF(
    R721="Ancien",
    _xlfn.XLOOKUP(
        Final_Sans_VGE[[#This Row],[ppn_z]],
        tbl_Historique_Final[ppn_z],
        tbl_Historique_Final[Horodatage],
        ""
    ),
    Horodatage!$A$2
)</f>
        <v>46233.670796365739</v>
      </c>
      <c r="P721" s="1" t="str">
        <f>IFERROR(IF(tbl_Historique_Final[[#This Row],[Commentaires]]&lt;&gt;"",tbl_Historique_Final[[#This Row],[Commentaires]],""),"")</f>
        <v/>
      </c>
      <c r="X721" s="8" t="str">
        <f>IF(Final_Sans_VGE[[#This Row],[ppn_z]]="","",IFERROR(
   IF(_xlfn.XLOOKUP(Final_Sans_VGE[[#This Row],[ppn_z]],tbl_Historique_Final[ppn_z],tbl_Historique_Final[date_modif])=Final_Sans_VGE[[#This Row],[date_modif]],
      "Ancien",
      "Modifié"),
   "Nouveau"))</f>
        <v>Ancien</v>
      </c>
      <c r="AC721"/>
      <c r="AD721"/>
    </row>
    <row r="722" spans="1:30" x14ac:dyDescent="0.25">
      <c r="A722" s="5" t="s">
        <v>2330</v>
      </c>
      <c r="B722" s="1" t="s">
        <v>7719</v>
      </c>
      <c r="C722" s="1" t="s">
        <v>12</v>
      </c>
      <c r="G722" s="1" t="s">
        <v>11</v>
      </c>
      <c r="J722" s="3">
        <v>45687.453368055554</v>
      </c>
      <c r="K722" s="2" t="s">
        <v>7720</v>
      </c>
      <c r="L722" s="1">
        <v>1</v>
      </c>
      <c r="M722" s="1">
        <v>1</v>
      </c>
      <c r="N722">
        <v>0</v>
      </c>
      <c r="O722" s="3">
        <f>IF(
    R722="Ancien",
    _xlfn.XLOOKUP(
        Final_Sans_VGE[[#This Row],[ppn_z]],
        tbl_Historique_Final[ppn_z],
        tbl_Historique_Final[Horodatage],
        ""
    ),
    Horodatage!$A$2
)</f>
        <v>46233.670796365739</v>
      </c>
      <c r="P722" s="1" t="str">
        <f>IFERROR(IF(tbl_Historique_Final[[#This Row],[Commentaires]]&lt;&gt;"",tbl_Historique_Final[[#This Row],[Commentaires]],""),"")</f>
        <v/>
      </c>
      <c r="X722" s="8" t="str">
        <f>IF(Final_Sans_VGE[[#This Row],[ppn_z]]="","",IFERROR(
   IF(_xlfn.XLOOKUP(Final_Sans_VGE[[#This Row],[ppn_z]],tbl_Historique_Final[ppn_z],tbl_Historique_Final[date_modif])=Final_Sans_VGE[[#This Row],[date_modif]],
      "Ancien",
      "Modifié"),
   "Nouveau"))</f>
        <v>Ancien</v>
      </c>
      <c r="AC722"/>
      <c r="AD722"/>
    </row>
    <row r="723" spans="1:30" ht="45" x14ac:dyDescent="0.25">
      <c r="A723" s="5" t="s">
        <v>2333</v>
      </c>
      <c r="B723" s="1" t="s">
        <v>7721</v>
      </c>
      <c r="G723" s="1" t="s">
        <v>10</v>
      </c>
      <c r="J723" s="3">
        <v>45624.57917824074</v>
      </c>
      <c r="K723" s="2" t="s">
        <v>7722</v>
      </c>
      <c r="L723" s="1">
        <v>1</v>
      </c>
      <c r="M723" s="1">
        <v>1</v>
      </c>
      <c r="N723">
        <v>0</v>
      </c>
      <c r="O723" s="3">
        <f>IF(
    R723="Ancien",
    _xlfn.XLOOKUP(
        Final_Sans_VGE[[#This Row],[ppn_z]],
        tbl_Historique_Final[ppn_z],
        tbl_Historique_Final[Horodatage],
        ""
    ),
    Horodatage!$A$2
)</f>
        <v>46233.670796365739</v>
      </c>
      <c r="P723" s="1" t="str">
        <f>IFERROR(IF(tbl_Historique_Final[[#This Row],[Commentaires]]&lt;&gt;"",tbl_Historique_Final[[#This Row],[Commentaires]],""),"")</f>
        <v/>
      </c>
      <c r="X723" s="8" t="str">
        <f>IF(Final_Sans_VGE[[#This Row],[ppn_z]]="","",IFERROR(
   IF(_xlfn.XLOOKUP(Final_Sans_VGE[[#This Row],[ppn_z]],tbl_Historique_Final[ppn_z],tbl_Historique_Final[date_modif])=Final_Sans_VGE[[#This Row],[date_modif]],
      "Ancien",
      "Modifié"),
   "Nouveau"))</f>
        <v>Ancien</v>
      </c>
      <c r="AC723"/>
      <c r="AD723"/>
    </row>
    <row r="724" spans="1:30" ht="30" x14ac:dyDescent="0.25">
      <c r="A724" s="5" t="s">
        <v>2336</v>
      </c>
      <c r="B724" s="1" t="s">
        <v>7723</v>
      </c>
      <c r="C724" s="1" t="s">
        <v>12</v>
      </c>
      <c r="G724" s="1" t="s">
        <v>11</v>
      </c>
      <c r="J724" s="3">
        <v>45686.508043981485</v>
      </c>
      <c r="K724" s="2" t="s">
        <v>7724</v>
      </c>
      <c r="L724" s="1">
        <v>2</v>
      </c>
      <c r="M724" s="1">
        <v>2</v>
      </c>
      <c r="N724">
        <v>0</v>
      </c>
      <c r="O724" s="3">
        <f>IF(
    R724="Ancien",
    _xlfn.XLOOKUP(
        Final_Sans_VGE[[#This Row],[ppn_z]],
        tbl_Historique_Final[ppn_z],
        tbl_Historique_Final[Horodatage],
        ""
    ),
    Horodatage!$A$2
)</f>
        <v>46233.670796365739</v>
      </c>
      <c r="P724" s="1" t="str">
        <f>IFERROR(IF(tbl_Historique_Final[[#This Row],[Commentaires]]&lt;&gt;"",tbl_Historique_Final[[#This Row],[Commentaires]],""),"")</f>
        <v/>
      </c>
      <c r="X724" s="8" t="str">
        <f>IF(Final_Sans_VGE[[#This Row],[ppn_z]]="","",IFERROR(
   IF(_xlfn.XLOOKUP(Final_Sans_VGE[[#This Row],[ppn_z]],tbl_Historique_Final[ppn_z],tbl_Historique_Final[date_modif])=Final_Sans_VGE[[#This Row],[date_modif]],
      "Ancien",
      "Modifié"),
   "Nouveau"))</f>
        <v>Ancien</v>
      </c>
      <c r="AC724"/>
      <c r="AD724"/>
    </row>
    <row r="725" spans="1:30" ht="45" x14ac:dyDescent="0.25">
      <c r="A725" s="5" t="s">
        <v>2339</v>
      </c>
      <c r="B725" s="1" t="s">
        <v>7725</v>
      </c>
      <c r="C725" s="1" t="s">
        <v>65</v>
      </c>
      <c r="G725" s="1" t="s">
        <v>10</v>
      </c>
      <c r="J725" s="3">
        <v>45636.657384259262</v>
      </c>
      <c r="K725" s="2" t="s">
        <v>7726</v>
      </c>
      <c r="L725" s="1">
        <v>45</v>
      </c>
      <c r="M725" s="1">
        <v>59</v>
      </c>
      <c r="N725">
        <v>14</v>
      </c>
      <c r="O725" s="3">
        <f>IF(
    R725="Ancien",
    _xlfn.XLOOKUP(
        Final_Sans_VGE[[#This Row],[ppn_z]],
        tbl_Historique_Final[ppn_z],
        tbl_Historique_Final[Horodatage],
        ""
    ),
    Horodatage!$A$2
)</f>
        <v>46233.670796365739</v>
      </c>
      <c r="P725" s="1" t="str">
        <f>IFERROR(IF(tbl_Historique_Final[[#This Row],[Commentaires]]&lt;&gt;"",tbl_Historique_Final[[#This Row],[Commentaires]],""),"")</f>
        <v/>
      </c>
      <c r="X725" s="8" t="str">
        <f>IF(Final_Sans_VGE[[#This Row],[ppn_z]]="","",IFERROR(
   IF(_xlfn.XLOOKUP(Final_Sans_VGE[[#This Row],[ppn_z]],tbl_Historique_Final[ppn_z],tbl_Historique_Final[date_modif])=Final_Sans_VGE[[#This Row],[date_modif]],
      "Ancien",
      "Modifié"),
   "Nouveau"))</f>
        <v>Ancien</v>
      </c>
      <c r="AC725"/>
      <c r="AD725"/>
    </row>
    <row r="726" spans="1:30" x14ac:dyDescent="0.25">
      <c r="A726" s="5" t="s">
        <v>2342</v>
      </c>
      <c r="B726" s="1" t="s">
        <v>7727</v>
      </c>
      <c r="C726" s="1" t="s">
        <v>12</v>
      </c>
      <c r="G726" s="1" t="s">
        <v>11</v>
      </c>
      <c r="J726" s="3">
        <v>45804.678518518522</v>
      </c>
      <c r="K726" s="2" t="s">
        <v>7728</v>
      </c>
      <c r="L726" s="1">
        <v>1</v>
      </c>
      <c r="N726"/>
      <c r="O726" s="3">
        <f>IF(
    R726="Ancien",
    _xlfn.XLOOKUP(
        Final_Sans_VGE[[#This Row],[ppn_z]],
        tbl_Historique_Final[ppn_z],
        tbl_Historique_Final[Horodatage],
        ""
    ),
    Horodatage!$A$2
)</f>
        <v>46233.670796365739</v>
      </c>
      <c r="P726" s="1" t="str">
        <f>IFERROR(IF(tbl_Historique_Final[[#This Row],[Commentaires]]&lt;&gt;"",tbl_Historique_Final[[#This Row],[Commentaires]],""),"")</f>
        <v/>
      </c>
      <c r="X726" s="8" t="str">
        <f>IF(Final_Sans_VGE[[#This Row],[ppn_z]]="","",IFERROR(
   IF(_xlfn.XLOOKUP(Final_Sans_VGE[[#This Row],[ppn_z]],tbl_Historique_Final[ppn_z],tbl_Historique_Final[date_modif])=Final_Sans_VGE[[#This Row],[date_modif]],
      "Ancien",
      "Modifié"),
   "Nouveau"))</f>
        <v>Ancien</v>
      </c>
      <c r="AC726"/>
      <c r="AD726"/>
    </row>
    <row r="727" spans="1:30" x14ac:dyDescent="0.25">
      <c r="A727" s="5" t="s">
        <v>2345</v>
      </c>
      <c r="B727" s="1" t="s">
        <v>7729</v>
      </c>
      <c r="C727" s="1" t="s">
        <v>85</v>
      </c>
      <c r="D727" s="1" t="s">
        <v>14</v>
      </c>
      <c r="G727" s="1" t="s">
        <v>11</v>
      </c>
      <c r="H727" s="1" t="s">
        <v>22</v>
      </c>
      <c r="I727" s="1" t="s">
        <v>22</v>
      </c>
      <c r="J727" s="3">
        <v>45630.550034722219</v>
      </c>
      <c r="K727" s="2" t="s">
        <v>7730</v>
      </c>
      <c r="L727" s="1">
        <v>37</v>
      </c>
      <c r="M727" s="1">
        <v>44</v>
      </c>
      <c r="N727">
        <v>7</v>
      </c>
      <c r="O727" s="3">
        <f>IF(
    R727="Ancien",
    _xlfn.XLOOKUP(
        Final_Sans_VGE[[#This Row],[ppn_z]],
        tbl_Historique_Final[ppn_z],
        tbl_Historique_Final[Horodatage],
        ""
    ),
    Horodatage!$A$2
)</f>
        <v>46233.670796365739</v>
      </c>
      <c r="P727" s="1" t="str">
        <f>IFERROR(IF(tbl_Historique_Final[[#This Row],[Commentaires]]&lt;&gt;"",tbl_Historique_Final[[#This Row],[Commentaires]],""),"")</f>
        <v/>
      </c>
      <c r="X727" s="8" t="str">
        <f>IF(Final_Sans_VGE[[#This Row],[ppn_z]]="","",IFERROR(
   IF(_xlfn.XLOOKUP(Final_Sans_VGE[[#This Row],[ppn_z]],tbl_Historique_Final[ppn_z],tbl_Historique_Final[date_modif])=Final_Sans_VGE[[#This Row],[date_modif]],
      "Ancien",
      "Modifié"),
   "Nouveau"))</f>
        <v>Ancien</v>
      </c>
      <c r="AC727"/>
      <c r="AD727"/>
    </row>
    <row r="728" spans="1:30" ht="30" x14ac:dyDescent="0.25">
      <c r="A728" s="5" t="s">
        <v>2348</v>
      </c>
      <c r="B728" s="1" t="s">
        <v>7731</v>
      </c>
      <c r="C728" s="1" t="s">
        <v>12</v>
      </c>
      <c r="G728" s="1" t="s">
        <v>10</v>
      </c>
      <c r="J728" s="3">
        <v>45636.657199074078</v>
      </c>
      <c r="K728" s="2" t="s">
        <v>7732</v>
      </c>
      <c r="L728" s="1">
        <v>3</v>
      </c>
      <c r="M728" s="1">
        <v>5</v>
      </c>
      <c r="N728">
        <v>2</v>
      </c>
      <c r="O728" s="3">
        <f>IF(
    R728="Ancien",
    _xlfn.XLOOKUP(
        Final_Sans_VGE[[#This Row],[ppn_z]],
        tbl_Historique_Final[ppn_z],
        tbl_Historique_Final[Horodatage],
        ""
    ),
    Horodatage!$A$2
)</f>
        <v>46233.670796365739</v>
      </c>
      <c r="P728" s="1" t="str">
        <f>IFERROR(IF(tbl_Historique_Final[[#This Row],[Commentaires]]&lt;&gt;"",tbl_Historique_Final[[#This Row],[Commentaires]],""),"")</f>
        <v/>
      </c>
      <c r="X728" s="8" t="str">
        <f>IF(Final_Sans_VGE[[#This Row],[ppn_z]]="","",IFERROR(
   IF(_xlfn.XLOOKUP(Final_Sans_VGE[[#This Row],[ppn_z]],tbl_Historique_Final[ppn_z],tbl_Historique_Final[date_modif])=Final_Sans_VGE[[#This Row],[date_modif]],
      "Ancien",
      "Modifié"),
   "Nouveau"))</f>
        <v>Ancien</v>
      </c>
      <c r="AC728"/>
      <c r="AD728"/>
    </row>
    <row r="729" spans="1:30" ht="30" x14ac:dyDescent="0.25">
      <c r="A729" s="5" t="s">
        <v>2351</v>
      </c>
      <c r="B729" s="1" t="s">
        <v>7733</v>
      </c>
      <c r="C729" s="1" t="s">
        <v>148</v>
      </c>
      <c r="J729" s="3">
        <v>45734.353032407409</v>
      </c>
      <c r="K729" s="2" t="s">
        <v>7734</v>
      </c>
      <c r="L729" s="1">
        <v>2</v>
      </c>
      <c r="M729" s="1">
        <v>2</v>
      </c>
      <c r="N729">
        <v>0</v>
      </c>
      <c r="O729" s="3">
        <f>IF(
    R729="Ancien",
    _xlfn.XLOOKUP(
        Final_Sans_VGE[[#This Row],[ppn_z]],
        tbl_Historique_Final[ppn_z],
        tbl_Historique_Final[Horodatage],
        ""
    ),
    Horodatage!$A$2
)</f>
        <v>46233.670796365739</v>
      </c>
      <c r="P729" s="1" t="str">
        <f>IFERROR(IF(tbl_Historique_Final[[#This Row],[Commentaires]]&lt;&gt;"",tbl_Historique_Final[[#This Row],[Commentaires]],""),"")</f>
        <v/>
      </c>
      <c r="X729" s="8" t="str">
        <f>IF(Final_Sans_VGE[[#This Row],[ppn_z]]="","",IFERROR(
   IF(_xlfn.XLOOKUP(Final_Sans_VGE[[#This Row],[ppn_z]],tbl_Historique_Final[ppn_z],tbl_Historique_Final[date_modif])=Final_Sans_VGE[[#This Row],[date_modif]],
      "Ancien",
      "Modifié"),
   "Nouveau"))</f>
        <v>Ancien</v>
      </c>
      <c r="AC729"/>
      <c r="AD729"/>
    </row>
    <row r="730" spans="1:30" x14ac:dyDescent="0.25">
      <c r="A730" s="5" t="s">
        <v>2354</v>
      </c>
      <c r="B730" s="1" t="s">
        <v>7735</v>
      </c>
      <c r="C730" s="1" t="s">
        <v>87</v>
      </c>
      <c r="J730" s="3">
        <v>45513.395405092589</v>
      </c>
      <c r="L730" s="1">
        <v>1</v>
      </c>
      <c r="M730" s="1">
        <v>1</v>
      </c>
      <c r="N730">
        <v>0</v>
      </c>
      <c r="O730" s="3">
        <f>IF(
    R730="Ancien",
    _xlfn.XLOOKUP(
        Final_Sans_VGE[[#This Row],[ppn_z]],
        tbl_Historique_Final[ppn_z],
        tbl_Historique_Final[Horodatage],
        ""
    ),
    Horodatage!$A$2
)</f>
        <v>46233.670796365739</v>
      </c>
      <c r="P730" s="1" t="str">
        <f>IFERROR(IF(tbl_Historique_Final[[#This Row],[Commentaires]]&lt;&gt;"",tbl_Historique_Final[[#This Row],[Commentaires]],""),"")</f>
        <v/>
      </c>
      <c r="X730" s="8" t="str">
        <f>IF(Final_Sans_VGE[[#This Row],[ppn_z]]="","",IFERROR(
   IF(_xlfn.XLOOKUP(Final_Sans_VGE[[#This Row],[ppn_z]],tbl_Historique_Final[ppn_z],tbl_Historique_Final[date_modif])=Final_Sans_VGE[[#This Row],[date_modif]],
      "Ancien",
      "Modifié"),
   "Nouveau"))</f>
        <v>Ancien</v>
      </c>
      <c r="AC730"/>
      <c r="AD730"/>
    </row>
    <row r="731" spans="1:30" ht="45" x14ac:dyDescent="0.25">
      <c r="A731" s="5" t="s">
        <v>2357</v>
      </c>
      <c r="B731" s="1" t="s">
        <v>7736</v>
      </c>
      <c r="C731" s="1" t="s">
        <v>69</v>
      </c>
      <c r="G731" s="1" t="s">
        <v>10</v>
      </c>
      <c r="J731" s="3">
        <v>45636.636423611111</v>
      </c>
      <c r="K731" s="2" t="s">
        <v>7737</v>
      </c>
      <c r="L731" s="1">
        <v>4</v>
      </c>
      <c r="M731" s="1">
        <v>5</v>
      </c>
      <c r="N731">
        <v>1</v>
      </c>
      <c r="O731" s="3">
        <f>IF(
    R731="Ancien",
    _xlfn.XLOOKUP(
        Final_Sans_VGE[[#This Row],[ppn_z]],
        tbl_Historique_Final[ppn_z],
        tbl_Historique_Final[Horodatage],
        ""
    ),
    Horodatage!$A$2
)</f>
        <v>46233.670796365739</v>
      </c>
      <c r="P731" s="1" t="str">
        <f>IFERROR(IF(tbl_Historique_Final[[#This Row],[Commentaires]]&lt;&gt;"",tbl_Historique_Final[[#This Row],[Commentaires]],""),"")</f>
        <v/>
      </c>
      <c r="X731" s="8" t="str">
        <f>IF(Final_Sans_VGE[[#This Row],[ppn_z]]="","",IFERROR(
   IF(_xlfn.XLOOKUP(Final_Sans_VGE[[#This Row],[ppn_z]],tbl_Historique_Final[ppn_z],tbl_Historique_Final[date_modif])=Final_Sans_VGE[[#This Row],[date_modif]],
      "Ancien",
      "Modifié"),
   "Nouveau"))</f>
        <v>Ancien</v>
      </c>
      <c r="AC731"/>
      <c r="AD731"/>
    </row>
    <row r="732" spans="1:30" x14ac:dyDescent="0.25">
      <c r="A732" s="5" t="s">
        <v>2360</v>
      </c>
      <c r="B732" s="1" t="s">
        <v>7738</v>
      </c>
      <c r="C732" s="1" t="s">
        <v>77</v>
      </c>
      <c r="G732" s="1" t="s">
        <v>11</v>
      </c>
      <c r="J732" s="3">
        <v>45636.657372685186</v>
      </c>
      <c r="K732" s="2" t="s">
        <v>7739</v>
      </c>
      <c r="L732" s="1">
        <v>19</v>
      </c>
      <c r="M732" s="1">
        <v>22</v>
      </c>
      <c r="N732">
        <v>3</v>
      </c>
      <c r="O732" s="3">
        <f>IF(
    R732="Ancien",
    _xlfn.XLOOKUP(
        Final_Sans_VGE[[#This Row],[ppn_z]],
        tbl_Historique_Final[ppn_z],
        tbl_Historique_Final[Horodatage],
        ""
    ),
    Horodatage!$A$2
)</f>
        <v>46233.670796365739</v>
      </c>
      <c r="P732" s="1" t="str">
        <f>IFERROR(IF(tbl_Historique_Final[[#This Row],[Commentaires]]&lt;&gt;"",tbl_Historique_Final[[#This Row],[Commentaires]],""),"")</f>
        <v/>
      </c>
      <c r="X732" s="8" t="str">
        <f>IF(Final_Sans_VGE[[#This Row],[ppn_z]]="","",IFERROR(
   IF(_xlfn.XLOOKUP(Final_Sans_VGE[[#This Row],[ppn_z]],tbl_Historique_Final[ppn_z],tbl_Historique_Final[date_modif])=Final_Sans_VGE[[#This Row],[date_modif]],
      "Ancien",
      "Modifié"),
   "Nouveau"))</f>
        <v>Ancien</v>
      </c>
      <c r="AC732"/>
      <c r="AD732"/>
    </row>
    <row r="733" spans="1:30" x14ac:dyDescent="0.25">
      <c r="A733" s="5" t="s">
        <v>2363</v>
      </c>
      <c r="B733" s="1" t="s">
        <v>7740</v>
      </c>
      <c r="C733" s="1" t="s">
        <v>57</v>
      </c>
      <c r="D733" s="1" t="s">
        <v>14</v>
      </c>
      <c r="G733" s="1" t="s">
        <v>10</v>
      </c>
      <c r="H733" s="1" t="s">
        <v>22</v>
      </c>
      <c r="I733" s="1" t="s">
        <v>22</v>
      </c>
      <c r="J733" s="3">
        <v>45636.657777777778</v>
      </c>
      <c r="K733" s="2" t="s">
        <v>7741</v>
      </c>
      <c r="L733" s="1">
        <v>62</v>
      </c>
      <c r="M733" s="1">
        <v>62</v>
      </c>
      <c r="N733">
        <v>0</v>
      </c>
      <c r="O733" s="3">
        <f>IF(
    R733="Ancien",
    _xlfn.XLOOKUP(
        Final_Sans_VGE[[#This Row],[ppn_z]],
        tbl_Historique_Final[ppn_z],
        tbl_Historique_Final[Horodatage],
        ""
    ),
    Horodatage!$A$2
)</f>
        <v>46233.670796365739</v>
      </c>
      <c r="P733" s="1" t="str">
        <f>IFERROR(IF(tbl_Historique_Final[[#This Row],[Commentaires]]&lt;&gt;"",tbl_Historique_Final[[#This Row],[Commentaires]],""),"")</f>
        <v/>
      </c>
      <c r="X733" s="8" t="str">
        <f>IF(Final_Sans_VGE[[#This Row],[ppn_z]]="","",IFERROR(
   IF(_xlfn.XLOOKUP(Final_Sans_VGE[[#This Row],[ppn_z]],tbl_Historique_Final[ppn_z],tbl_Historique_Final[date_modif])=Final_Sans_VGE[[#This Row],[date_modif]],
      "Ancien",
      "Modifié"),
   "Nouveau"))</f>
        <v>Ancien</v>
      </c>
      <c r="AC733"/>
      <c r="AD733"/>
    </row>
    <row r="734" spans="1:30" ht="30" x14ac:dyDescent="0.25">
      <c r="A734" s="5" t="s">
        <v>2366</v>
      </c>
      <c r="B734" s="1" t="s">
        <v>7742</v>
      </c>
      <c r="G734" s="1" t="s">
        <v>10</v>
      </c>
      <c r="J734" s="3">
        <v>45730.428784722222</v>
      </c>
      <c r="K734" s="2" t="s">
        <v>7743</v>
      </c>
      <c r="L734" s="1">
        <v>9</v>
      </c>
      <c r="M734" s="1">
        <v>10</v>
      </c>
      <c r="N734">
        <v>1</v>
      </c>
      <c r="O734" s="3">
        <f>IF(
    R734="Ancien",
    _xlfn.XLOOKUP(
        Final_Sans_VGE[[#This Row],[ppn_z]],
        tbl_Historique_Final[ppn_z],
        tbl_Historique_Final[Horodatage],
        ""
    ),
    Horodatage!$A$2
)</f>
        <v>46233.670796365739</v>
      </c>
      <c r="P734" s="1" t="str">
        <f>IFERROR(IF(tbl_Historique_Final[[#This Row],[Commentaires]]&lt;&gt;"",tbl_Historique_Final[[#This Row],[Commentaires]],""),"")</f>
        <v/>
      </c>
      <c r="X734" s="8" t="str">
        <f>IF(Final_Sans_VGE[[#This Row],[ppn_z]]="","",IFERROR(
   IF(_xlfn.XLOOKUP(Final_Sans_VGE[[#This Row],[ppn_z]],tbl_Historique_Final[ppn_z],tbl_Historique_Final[date_modif])=Final_Sans_VGE[[#This Row],[date_modif]],
      "Ancien",
      "Modifié"),
   "Nouveau"))</f>
        <v>Ancien</v>
      </c>
      <c r="AC734"/>
      <c r="AD734"/>
    </row>
    <row r="735" spans="1:30" x14ac:dyDescent="0.25">
      <c r="A735" s="5" t="s">
        <v>2369</v>
      </c>
      <c r="B735" s="1" t="s">
        <v>7744</v>
      </c>
      <c r="C735" s="1" t="s">
        <v>12</v>
      </c>
      <c r="G735" s="1" t="s">
        <v>10</v>
      </c>
      <c r="J735" s="3">
        <v>45631.341828703706</v>
      </c>
      <c r="K735" s="2" t="s">
        <v>7745</v>
      </c>
      <c r="L735" s="1">
        <v>1</v>
      </c>
      <c r="M735" s="1">
        <v>1</v>
      </c>
      <c r="N735">
        <v>0</v>
      </c>
      <c r="O735" s="3">
        <f>IF(
    R735="Ancien",
    _xlfn.XLOOKUP(
        Final_Sans_VGE[[#This Row],[ppn_z]],
        tbl_Historique_Final[ppn_z],
        tbl_Historique_Final[Horodatage],
        ""
    ),
    Horodatage!$A$2
)</f>
        <v>46233.670796365739</v>
      </c>
      <c r="P735" s="1" t="str">
        <f>IFERROR(IF(tbl_Historique_Final[[#This Row],[Commentaires]]&lt;&gt;"",tbl_Historique_Final[[#This Row],[Commentaires]],""),"")</f>
        <v/>
      </c>
      <c r="X735" s="8" t="str">
        <f>IF(Final_Sans_VGE[[#This Row],[ppn_z]]="","",IFERROR(
   IF(_xlfn.XLOOKUP(Final_Sans_VGE[[#This Row],[ppn_z]],tbl_Historique_Final[ppn_z],tbl_Historique_Final[date_modif])=Final_Sans_VGE[[#This Row],[date_modif]],
      "Ancien",
      "Modifié"),
   "Nouveau"))</f>
        <v>Ancien</v>
      </c>
      <c r="AC735"/>
      <c r="AD735"/>
    </row>
    <row r="736" spans="1:30" x14ac:dyDescent="0.25">
      <c r="A736" s="5" t="s">
        <v>2372</v>
      </c>
      <c r="B736" s="1" t="s">
        <v>7746</v>
      </c>
      <c r="C736" s="1" t="s">
        <v>61</v>
      </c>
      <c r="G736" s="1" t="s">
        <v>11</v>
      </c>
      <c r="J736" s="3">
        <v>45630.500115740739</v>
      </c>
      <c r="K736" s="2" t="s">
        <v>7747</v>
      </c>
      <c r="L736" s="1">
        <v>1</v>
      </c>
      <c r="M736" s="1">
        <v>2</v>
      </c>
      <c r="N736">
        <v>1</v>
      </c>
      <c r="O736" s="3">
        <f>IF(
    R736="Ancien",
    _xlfn.XLOOKUP(
        Final_Sans_VGE[[#This Row],[ppn_z]],
        tbl_Historique_Final[ppn_z],
        tbl_Historique_Final[Horodatage],
        ""
    ),
    Horodatage!$A$2
)</f>
        <v>46233.670796365739</v>
      </c>
      <c r="P736" s="1" t="str">
        <f>IFERROR(IF(tbl_Historique_Final[[#This Row],[Commentaires]]&lt;&gt;"",tbl_Historique_Final[[#This Row],[Commentaires]],""),"")</f>
        <v/>
      </c>
      <c r="X736" s="8" t="str">
        <f>IF(Final_Sans_VGE[[#This Row],[ppn_z]]="","",IFERROR(
   IF(_xlfn.XLOOKUP(Final_Sans_VGE[[#This Row],[ppn_z]],tbl_Historique_Final[ppn_z],tbl_Historique_Final[date_modif])=Final_Sans_VGE[[#This Row],[date_modif]],
      "Ancien",
      "Modifié"),
   "Nouveau"))</f>
        <v>Ancien</v>
      </c>
      <c r="AC736"/>
      <c r="AD736"/>
    </row>
    <row r="737" spans="1:30" x14ac:dyDescent="0.25">
      <c r="A737" s="5" t="s">
        <v>2375</v>
      </c>
      <c r="B737" s="1" t="s">
        <v>7748</v>
      </c>
      <c r="C737" s="1" t="s">
        <v>12</v>
      </c>
      <c r="J737" s="3">
        <v>45737.370034722226</v>
      </c>
      <c r="K737" s="2" t="s">
        <v>7749</v>
      </c>
      <c r="L737" s="1">
        <v>1</v>
      </c>
      <c r="M737" s="1">
        <v>1</v>
      </c>
      <c r="N737">
        <v>0</v>
      </c>
      <c r="O737" s="3">
        <f>IF(
    R737="Ancien",
    _xlfn.XLOOKUP(
        Final_Sans_VGE[[#This Row],[ppn_z]],
        tbl_Historique_Final[ppn_z],
        tbl_Historique_Final[Horodatage],
        ""
    ),
    Horodatage!$A$2
)</f>
        <v>46233.670796365739</v>
      </c>
      <c r="P737" s="1" t="str">
        <f>IFERROR(IF(tbl_Historique_Final[[#This Row],[Commentaires]]&lt;&gt;"",tbl_Historique_Final[[#This Row],[Commentaires]],""),"")</f>
        <v/>
      </c>
      <c r="X737" s="8" t="str">
        <f>IF(Final_Sans_VGE[[#This Row],[ppn_z]]="","",IFERROR(
   IF(_xlfn.XLOOKUP(Final_Sans_VGE[[#This Row],[ppn_z]],tbl_Historique_Final[ppn_z],tbl_Historique_Final[date_modif])=Final_Sans_VGE[[#This Row],[date_modif]],
      "Ancien",
      "Modifié"),
   "Nouveau"))</f>
        <v>Ancien</v>
      </c>
      <c r="AC737"/>
      <c r="AD737"/>
    </row>
    <row r="738" spans="1:30" x14ac:dyDescent="0.25">
      <c r="A738" s="5" t="s">
        <v>2378</v>
      </c>
      <c r="B738" s="1" t="s">
        <v>7750</v>
      </c>
      <c r="C738" s="1" t="s">
        <v>12</v>
      </c>
      <c r="G738" s="1" t="s">
        <v>10</v>
      </c>
      <c r="J738" s="3">
        <v>45791.69326388889</v>
      </c>
      <c r="K738" s="2" t="s">
        <v>7751</v>
      </c>
      <c r="L738" s="1">
        <v>2</v>
      </c>
      <c r="M738" s="1">
        <v>2</v>
      </c>
      <c r="N738">
        <v>0</v>
      </c>
      <c r="O738" s="3">
        <f>IF(
    R738="Ancien",
    _xlfn.XLOOKUP(
        Final_Sans_VGE[[#This Row],[ppn_z]],
        tbl_Historique_Final[ppn_z],
        tbl_Historique_Final[Horodatage],
        ""
    ),
    Horodatage!$A$2
)</f>
        <v>46233.670796365739</v>
      </c>
      <c r="P738" s="1" t="str">
        <f>IFERROR(IF(tbl_Historique_Final[[#This Row],[Commentaires]]&lt;&gt;"",tbl_Historique_Final[[#This Row],[Commentaires]],""),"")</f>
        <v/>
      </c>
      <c r="X738" s="8" t="str">
        <f>IF(Final_Sans_VGE[[#This Row],[ppn_z]]="","",IFERROR(
   IF(_xlfn.XLOOKUP(Final_Sans_VGE[[#This Row],[ppn_z]],tbl_Historique_Final[ppn_z],tbl_Historique_Final[date_modif])=Final_Sans_VGE[[#This Row],[date_modif]],
      "Ancien",
      "Modifié"),
   "Nouveau"))</f>
        <v>Ancien</v>
      </c>
      <c r="AC738"/>
      <c r="AD738"/>
    </row>
    <row r="739" spans="1:30" ht="30" x14ac:dyDescent="0.25">
      <c r="A739" s="5" t="s">
        <v>2381</v>
      </c>
      <c r="B739" s="1" t="s">
        <v>7752</v>
      </c>
      <c r="C739" s="1" t="s">
        <v>51</v>
      </c>
      <c r="G739" s="1" t="s">
        <v>11</v>
      </c>
      <c r="J739" s="3">
        <v>45630.606400462966</v>
      </c>
      <c r="K739" s="2" t="s">
        <v>7753</v>
      </c>
      <c r="L739" s="1">
        <v>1</v>
      </c>
      <c r="M739" s="1">
        <v>1</v>
      </c>
      <c r="N739">
        <v>0</v>
      </c>
      <c r="O739" s="3">
        <f>IF(
    R739="Ancien",
    _xlfn.XLOOKUP(
        Final_Sans_VGE[[#This Row],[ppn_z]],
        tbl_Historique_Final[ppn_z],
        tbl_Historique_Final[Horodatage],
        ""
    ),
    Horodatage!$A$2
)</f>
        <v>46233.670796365739</v>
      </c>
      <c r="P739" s="1" t="str">
        <f>IFERROR(IF(tbl_Historique_Final[[#This Row],[Commentaires]]&lt;&gt;"",tbl_Historique_Final[[#This Row],[Commentaires]],""),"")</f>
        <v/>
      </c>
      <c r="X739" s="8" t="str">
        <f>IF(Final_Sans_VGE[[#This Row],[ppn_z]]="","",IFERROR(
   IF(_xlfn.XLOOKUP(Final_Sans_VGE[[#This Row],[ppn_z]],tbl_Historique_Final[ppn_z],tbl_Historique_Final[date_modif])=Final_Sans_VGE[[#This Row],[date_modif]],
      "Ancien",
      "Modifié"),
   "Nouveau"))</f>
        <v>Ancien</v>
      </c>
      <c r="AC739"/>
      <c r="AD739"/>
    </row>
    <row r="740" spans="1:30" x14ac:dyDescent="0.25">
      <c r="A740" s="5" t="s">
        <v>2384</v>
      </c>
      <c r="B740" s="1" t="s">
        <v>7754</v>
      </c>
      <c r="C740" s="1" t="s">
        <v>12</v>
      </c>
      <c r="G740" s="1" t="s">
        <v>11</v>
      </c>
      <c r="J740" s="3">
        <v>45811.408113425925</v>
      </c>
      <c r="K740" s="2" t="s">
        <v>7755</v>
      </c>
      <c r="L740" s="1">
        <v>1</v>
      </c>
      <c r="M740" s="1">
        <v>1</v>
      </c>
      <c r="N740">
        <v>0</v>
      </c>
      <c r="O740" s="3">
        <f>IF(
    R740="Ancien",
    _xlfn.XLOOKUP(
        Final_Sans_VGE[[#This Row],[ppn_z]],
        tbl_Historique_Final[ppn_z],
        tbl_Historique_Final[Horodatage],
        ""
    ),
    Horodatage!$A$2
)</f>
        <v>46233.670796365739</v>
      </c>
      <c r="P740" s="1" t="str">
        <f>IFERROR(IF(tbl_Historique_Final[[#This Row],[Commentaires]]&lt;&gt;"",tbl_Historique_Final[[#This Row],[Commentaires]],""),"")</f>
        <v/>
      </c>
      <c r="X740" s="8" t="str">
        <f>IF(Final_Sans_VGE[[#This Row],[ppn_z]]="","",IFERROR(
   IF(_xlfn.XLOOKUP(Final_Sans_VGE[[#This Row],[ppn_z]],tbl_Historique_Final[ppn_z],tbl_Historique_Final[date_modif])=Final_Sans_VGE[[#This Row],[date_modif]],
      "Ancien",
      "Modifié"),
   "Nouveau"))</f>
        <v>Ancien</v>
      </c>
      <c r="AC740"/>
      <c r="AD740"/>
    </row>
    <row r="741" spans="1:30" ht="30" x14ac:dyDescent="0.25">
      <c r="A741" s="5" t="s">
        <v>2387</v>
      </c>
      <c r="B741" s="1" t="s">
        <v>7756</v>
      </c>
      <c r="C741" s="1" t="s">
        <v>29</v>
      </c>
      <c r="G741" s="1" t="s">
        <v>10</v>
      </c>
      <c r="J741" s="3">
        <v>45630.637708333335</v>
      </c>
      <c r="K741" s="2" t="s">
        <v>7757</v>
      </c>
      <c r="L741" s="1">
        <v>2</v>
      </c>
      <c r="M741" s="1">
        <v>2</v>
      </c>
      <c r="N741">
        <v>0</v>
      </c>
      <c r="O741" s="3">
        <f>IF(
    R741="Ancien",
    _xlfn.XLOOKUP(
        Final_Sans_VGE[[#This Row],[ppn_z]],
        tbl_Historique_Final[ppn_z],
        tbl_Historique_Final[Horodatage],
        ""
    ),
    Horodatage!$A$2
)</f>
        <v>46233.670796365739</v>
      </c>
      <c r="P741" s="1" t="str">
        <f>IFERROR(IF(tbl_Historique_Final[[#This Row],[Commentaires]]&lt;&gt;"",tbl_Historique_Final[[#This Row],[Commentaires]],""),"")</f>
        <v/>
      </c>
      <c r="X741" s="8" t="str">
        <f>IF(Final_Sans_VGE[[#This Row],[ppn_z]]="","",IFERROR(
   IF(_xlfn.XLOOKUP(Final_Sans_VGE[[#This Row],[ppn_z]],tbl_Historique_Final[ppn_z],tbl_Historique_Final[date_modif])=Final_Sans_VGE[[#This Row],[date_modif]],
      "Ancien",
      "Modifié"),
   "Nouveau"))</f>
        <v>Ancien</v>
      </c>
      <c r="AC741"/>
      <c r="AD741"/>
    </row>
    <row r="742" spans="1:30" x14ac:dyDescent="0.25">
      <c r="A742" s="5" t="s">
        <v>2390</v>
      </c>
      <c r="B742" s="1" t="s">
        <v>7758</v>
      </c>
      <c r="C742" s="1" t="s">
        <v>7759</v>
      </c>
      <c r="D742" s="1" t="s">
        <v>7760</v>
      </c>
      <c r="E742" s="1" t="s">
        <v>7506</v>
      </c>
      <c r="F742" s="1" t="s">
        <v>14</v>
      </c>
      <c r="G742" s="1" t="s">
        <v>10</v>
      </c>
      <c r="H742" s="1" t="s">
        <v>22</v>
      </c>
      <c r="I742" s="1" t="s">
        <v>22</v>
      </c>
      <c r="J742" s="3">
        <v>45799.61451388889</v>
      </c>
      <c r="K742" s="2" t="s">
        <v>7761</v>
      </c>
      <c r="L742" s="1">
        <v>41</v>
      </c>
      <c r="M742" s="1">
        <v>41</v>
      </c>
      <c r="N742">
        <v>0</v>
      </c>
      <c r="O742" s="3">
        <f>IF(
    R742="Ancien",
    _xlfn.XLOOKUP(
        Final_Sans_VGE[[#This Row],[ppn_z]],
        tbl_Historique_Final[ppn_z],
        tbl_Historique_Final[Horodatage],
        ""
    ),
    Horodatage!$A$2
)</f>
        <v>46233.670796365739</v>
      </c>
      <c r="P742" s="1" t="str">
        <f>IFERROR(IF(tbl_Historique_Final[[#This Row],[Commentaires]]&lt;&gt;"",tbl_Historique_Final[[#This Row],[Commentaires]],""),"")</f>
        <v/>
      </c>
      <c r="X742" s="8" t="str">
        <f>IF(Final_Sans_VGE[[#This Row],[ppn_z]]="","",IFERROR(
   IF(_xlfn.XLOOKUP(Final_Sans_VGE[[#This Row],[ppn_z]],tbl_Historique_Final[ppn_z],tbl_Historique_Final[date_modif])=Final_Sans_VGE[[#This Row],[date_modif]],
      "Ancien",
      "Modifié"),
   "Nouveau"))</f>
        <v>Ancien</v>
      </c>
      <c r="AC742"/>
      <c r="AD742"/>
    </row>
    <row r="743" spans="1:30" x14ac:dyDescent="0.25">
      <c r="A743" s="5" t="s">
        <v>2393</v>
      </c>
      <c r="B743" s="1" t="s">
        <v>7762</v>
      </c>
      <c r="C743" s="1" t="s">
        <v>12</v>
      </c>
      <c r="G743" s="1" t="s">
        <v>11</v>
      </c>
      <c r="J743" s="3">
        <v>45730.386076388888</v>
      </c>
      <c r="K743" s="2" t="s">
        <v>7763</v>
      </c>
      <c r="L743" s="1">
        <v>1</v>
      </c>
      <c r="M743" s="1">
        <v>1</v>
      </c>
      <c r="N743">
        <v>0</v>
      </c>
      <c r="O743" s="3">
        <f>IF(
    R743="Ancien",
    _xlfn.XLOOKUP(
        Final_Sans_VGE[[#This Row],[ppn_z]],
        tbl_Historique_Final[ppn_z],
        tbl_Historique_Final[Horodatage],
        ""
    ),
    Horodatage!$A$2
)</f>
        <v>46233.670796365739</v>
      </c>
      <c r="P743" s="1" t="str">
        <f>IFERROR(IF(tbl_Historique_Final[[#This Row],[Commentaires]]&lt;&gt;"",tbl_Historique_Final[[#This Row],[Commentaires]],""),"")</f>
        <v/>
      </c>
      <c r="X743" s="8" t="str">
        <f>IF(Final_Sans_VGE[[#This Row],[ppn_z]]="","",IFERROR(
   IF(_xlfn.XLOOKUP(Final_Sans_VGE[[#This Row],[ppn_z]],tbl_Historique_Final[ppn_z],tbl_Historique_Final[date_modif])=Final_Sans_VGE[[#This Row],[date_modif]],
      "Ancien",
      "Modifié"),
   "Nouveau"))</f>
        <v>Ancien</v>
      </c>
      <c r="AC743"/>
      <c r="AD743"/>
    </row>
    <row r="744" spans="1:30" ht="30" x14ac:dyDescent="0.25">
      <c r="A744" s="5" t="s">
        <v>2396</v>
      </c>
      <c r="B744" s="1" t="s">
        <v>7764</v>
      </c>
      <c r="C744" s="1" t="s">
        <v>7765</v>
      </c>
      <c r="E744" s="1" t="s">
        <v>7766</v>
      </c>
      <c r="G744" s="1" t="s">
        <v>10</v>
      </c>
      <c r="J744" s="3">
        <v>45800.591168981482</v>
      </c>
      <c r="K744" s="2" t="s">
        <v>7767</v>
      </c>
      <c r="L744" s="1">
        <v>6</v>
      </c>
      <c r="M744" s="1">
        <v>6</v>
      </c>
      <c r="N744">
        <v>0</v>
      </c>
      <c r="O744" s="3">
        <f>IF(
    R744="Ancien",
    _xlfn.XLOOKUP(
        Final_Sans_VGE[[#This Row],[ppn_z]],
        tbl_Historique_Final[ppn_z],
        tbl_Historique_Final[Horodatage],
        ""
    ),
    Horodatage!$A$2
)</f>
        <v>46233.670796365739</v>
      </c>
      <c r="P744" s="1" t="str">
        <f>IFERROR(IF(tbl_Historique_Final[[#This Row],[Commentaires]]&lt;&gt;"",tbl_Historique_Final[[#This Row],[Commentaires]],""),"")</f>
        <v/>
      </c>
      <c r="X744" s="8" t="str">
        <f>IF(Final_Sans_VGE[[#This Row],[ppn_z]]="","",IFERROR(
   IF(_xlfn.XLOOKUP(Final_Sans_VGE[[#This Row],[ppn_z]],tbl_Historique_Final[ppn_z],tbl_Historique_Final[date_modif])=Final_Sans_VGE[[#This Row],[date_modif]],
      "Ancien",
      "Modifié"),
   "Nouveau"))</f>
        <v>Ancien</v>
      </c>
      <c r="AC744"/>
      <c r="AD744"/>
    </row>
    <row r="745" spans="1:30" ht="30" x14ac:dyDescent="0.25">
      <c r="A745" s="5" t="s">
        <v>2399</v>
      </c>
      <c r="B745" s="1" t="s">
        <v>7768</v>
      </c>
      <c r="C745" s="1" t="s">
        <v>7769</v>
      </c>
      <c r="D745" s="1" t="s">
        <v>7770</v>
      </c>
      <c r="E745" s="1" t="s">
        <v>7771</v>
      </c>
      <c r="F745" s="1" t="s">
        <v>14</v>
      </c>
      <c r="G745" s="1" t="s">
        <v>10</v>
      </c>
      <c r="H745" s="1" t="s">
        <v>22</v>
      </c>
      <c r="I745" s="1" t="s">
        <v>22</v>
      </c>
      <c r="J745" s="3">
        <v>45762.408368055556</v>
      </c>
      <c r="K745" s="2" t="s">
        <v>7772</v>
      </c>
      <c r="L745" s="1">
        <v>14</v>
      </c>
      <c r="M745" s="1">
        <v>14</v>
      </c>
      <c r="N745">
        <v>0</v>
      </c>
      <c r="O745" s="3">
        <f>IF(
    R745="Ancien",
    _xlfn.XLOOKUP(
        Final_Sans_VGE[[#This Row],[ppn_z]],
        tbl_Historique_Final[ppn_z],
        tbl_Historique_Final[Horodatage],
        ""
    ),
    Horodatage!$A$2
)</f>
        <v>46233.670796365739</v>
      </c>
      <c r="P745" s="1" t="str">
        <f>IFERROR(IF(tbl_Historique_Final[[#This Row],[Commentaires]]&lt;&gt;"",tbl_Historique_Final[[#This Row],[Commentaires]],""),"")</f>
        <v/>
      </c>
      <c r="X745" s="8" t="str">
        <f>IF(Final_Sans_VGE[[#This Row],[ppn_z]]="","",IFERROR(
   IF(_xlfn.XLOOKUP(Final_Sans_VGE[[#This Row],[ppn_z]],tbl_Historique_Final[ppn_z],tbl_Historique_Final[date_modif])=Final_Sans_VGE[[#This Row],[date_modif]],
      "Ancien",
      "Modifié"),
   "Nouveau"))</f>
        <v>Ancien</v>
      </c>
      <c r="AC745"/>
      <c r="AD745"/>
    </row>
    <row r="746" spans="1:30" x14ac:dyDescent="0.25">
      <c r="A746" s="5" t="s">
        <v>2402</v>
      </c>
      <c r="B746" s="1" t="s">
        <v>7773</v>
      </c>
      <c r="C746" s="1" t="s">
        <v>90</v>
      </c>
      <c r="G746" s="1" t="s">
        <v>10</v>
      </c>
      <c r="J746" s="3">
        <v>45636.657199074078</v>
      </c>
      <c r="K746" s="2" t="s">
        <v>6369</v>
      </c>
      <c r="L746" s="1">
        <v>14</v>
      </c>
      <c r="M746" s="1">
        <v>17</v>
      </c>
      <c r="N746">
        <v>3</v>
      </c>
      <c r="O746" s="3">
        <f>IF(
    R746="Ancien",
    _xlfn.XLOOKUP(
        Final_Sans_VGE[[#This Row],[ppn_z]],
        tbl_Historique_Final[ppn_z],
        tbl_Historique_Final[Horodatage],
        ""
    ),
    Horodatage!$A$2
)</f>
        <v>46233.670796365739</v>
      </c>
      <c r="P746" s="1" t="str">
        <f>IFERROR(IF(tbl_Historique_Final[[#This Row],[Commentaires]]&lt;&gt;"",tbl_Historique_Final[[#This Row],[Commentaires]],""),"")</f>
        <v/>
      </c>
      <c r="X746" s="8" t="str">
        <f>IF(Final_Sans_VGE[[#This Row],[ppn_z]]="","",IFERROR(
   IF(_xlfn.XLOOKUP(Final_Sans_VGE[[#This Row],[ppn_z]],tbl_Historique_Final[ppn_z],tbl_Historique_Final[date_modif])=Final_Sans_VGE[[#This Row],[date_modif]],
      "Ancien",
      "Modifié"),
   "Nouveau"))</f>
        <v>Ancien</v>
      </c>
      <c r="AC746"/>
      <c r="AD746"/>
    </row>
    <row r="747" spans="1:30" x14ac:dyDescent="0.25">
      <c r="A747" s="5" t="s">
        <v>2405</v>
      </c>
      <c r="B747" s="1" t="s">
        <v>7774</v>
      </c>
      <c r="C747" s="1" t="s">
        <v>12</v>
      </c>
      <c r="G747" s="1" t="s">
        <v>11</v>
      </c>
      <c r="J747" s="3">
        <v>45751.684374999997</v>
      </c>
      <c r="K747" s="2" t="s">
        <v>7775</v>
      </c>
      <c r="L747" s="1">
        <v>1</v>
      </c>
      <c r="M747" s="1">
        <v>1</v>
      </c>
      <c r="N747">
        <v>0</v>
      </c>
      <c r="O747" s="3">
        <f>IF(
    R747="Ancien",
    _xlfn.XLOOKUP(
        Final_Sans_VGE[[#This Row],[ppn_z]],
        tbl_Historique_Final[ppn_z],
        tbl_Historique_Final[Horodatage],
        ""
    ),
    Horodatage!$A$2
)</f>
        <v>46233.670796365739</v>
      </c>
      <c r="P747" s="1" t="str">
        <f>IFERROR(IF(tbl_Historique_Final[[#This Row],[Commentaires]]&lt;&gt;"",tbl_Historique_Final[[#This Row],[Commentaires]],""),"")</f>
        <v/>
      </c>
      <c r="X747" s="8" t="str">
        <f>IF(Final_Sans_VGE[[#This Row],[ppn_z]]="","",IFERROR(
   IF(_xlfn.XLOOKUP(Final_Sans_VGE[[#This Row],[ppn_z]],tbl_Historique_Final[ppn_z],tbl_Historique_Final[date_modif])=Final_Sans_VGE[[#This Row],[date_modif]],
      "Ancien",
      "Modifié"),
   "Nouveau"))</f>
        <v>Ancien</v>
      </c>
      <c r="AC747"/>
      <c r="AD747"/>
    </row>
    <row r="748" spans="1:30" x14ac:dyDescent="0.25">
      <c r="A748" s="5" t="s">
        <v>2408</v>
      </c>
      <c r="B748" s="1" t="s">
        <v>7776</v>
      </c>
      <c r="J748" s="3">
        <v>45485.674837962964</v>
      </c>
      <c r="L748" s="1">
        <v>3</v>
      </c>
      <c r="M748" s="1">
        <v>3</v>
      </c>
      <c r="N748">
        <v>0</v>
      </c>
      <c r="O748" s="3">
        <f>IF(
    R748="Ancien",
    _xlfn.XLOOKUP(
        Final_Sans_VGE[[#This Row],[ppn_z]],
        tbl_Historique_Final[ppn_z],
        tbl_Historique_Final[Horodatage],
        ""
    ),
    Horodatage!$A$2
)</f>
        <v>46233.670796365739</v>
      </c>
      <c r="P748" s="1" t="str">
        <f>IFERROR(IF(tbl_Historique_Final[[#This Row],[Commentaires]]&lt;&gt;"",tbl_Historique_Final[[#This Row],[Commentaires]],""),"")</f>
        <v/>
      </c>
      <c r="X748" s="8" t="str">
        <f>IF(Final_Sans_VGE[[#This Row],[ppn_z]]="","",IFERROR(
   IF(_xlfn.XLOOKUP(Final_Sans_VGE[[#This Row],[ppn_z]],tbl_Historique_Final[ppn_z],tbl_Historique_Final[date_modif])=Final_Sans_VGE[[#This Row],[date_modif]],
      "Ancien",
      "Modifié"),
   "Nouveau"))</f>
        <v>Ancien</v>
      </c>
      <c r="AC748"/>
      <c r="AD748"/>
    </row>
    <row r="749" spans="1:30" x14ac:dyDescent="0.25">
      <c r="A749" s="5" t="s">
        <v>2411</v>
      </c>
      <c r="B749" s="1" t="s">
        <v>7777</v>
      </c>
      <c r="C749" s="1" t="s">
        <v>12</v>
      </c>
      <c r="G749" s="1" t="s">
        <v>10</v>
      </c>
      <c r="J749" s="3">
        <v>45761.467511574076</v>
      </c>
      <c r="K749" s="2" t="s">
        <v>7778</v>
      </c>
      <c r="L749" s="1">
        <v>1</v>
      </c>
      <c r="M749" s="1">
        <v>1</v>
      </c>
      <c r="N749">
        <v>0</v>
      </c>
      <c r="O749" s="3">
        <f>IF(
    R749="Ancien",
    _xlfn.XLOOKUP(
        Final_Sans_VGE[[#This Row],[ppn_z]],
        tbl_Historique_Final[ppn_z],
        tbl_Historique_Final[Horodatage],
        ""
    ),
    Horodatage!$A$2
)</f>
        <v>46233.670796365739</v>
      </c>
      <c r="P749" s="1" t="str">
        <f>IFERROR(IF(tbl_Historique_Final[[#This Row],[Commentaires]]&lt;&gt;"",tbl_Historique_Final[[#This Row],[Commentaires]],""),"")</f>
        <v/>
      </c>
      <c r="X749" s="8" t="str">
        <f>IF(Final_Sans_VGE[[#This Row],[ppn_z]]="","",IFERROR(
   IF(_xlfn.XLOOKUP(Final_Sans_VGE[[#This Row],[ppn_z]],tbl_Historique_Final[ppn_z],tbl_Historique_Final[date_modif])=Final_Sans_VGE[[#This Row],[date_modif]],
      "Ancien",
      "Modifié"),
   "Nouveau"))</f>
        <v>Ancien</v>
      </c>
      <c r="AC749"/>
      <c r="AD749"/>
    </row>
    <row r="750" spans="1:30" x14ac:dyDescent="0.25">
      <c r="A750" s="5" t="s">
        <v>2414</v>
      </c>
      <c r="B750" s="1" t="s">
        <v>7779</v>
      </c>
      <c r="C750" s="1" t="s">
        <v>37</v>
      </c>
      <c r="G750" s="1" t="s">
        <v>11</v>
      </c>
      <c r="J750" s="3">
        <v>45699.471782407411</v>
      </c>
      <c r="K750" s="2" t="s">
        <v>7780</v>
      </c>
      <c r="L750" s="1">
        <v>1</v>
      </c>
      <c r="M750" s="1">
        <v>1</v>
      </c>
      <c r="N750">
        <v>0</v>
      </c>
      <c r="O750" s="3">
        <f>IF(
    R750="Ancien",
    _xlfn.XLOOKUP(
        Final_Sans_VGE[[#This Row],[ppn_z]],
        tbl_Historique_Final[ppn_z],
        tbl_Historique_Final[Horodatage],
        ""
    ),
    Horodatage!$A$2
)</f>
        <v>46233.670796365739</v>
      </c>
      <c r="P750" s="1" t="str">
        <f>IFERROR(IF(tbl_Historique_Final[[#This Row],[Commentaires]]&lt;&gt;"",tbl_Historique_Final[[#This Row],[Commentaires]],""),"")</f>
        <v/>
      </c>
      <c r="X750" s="8" t="str">
        <f>IF(Final_Sans_VGE[[#This Row],[ppn_z]]="","",IFERROR(
   IF(_xlfn.XLOOKUP(Final_Sans_VGE[[#This Row],[ppn_z]],tbl_Historique_Final[ppn_z],tbl_Historique_Final[date_modif])=Final_Sans_VGE[[#This Row],[date_modif]],
      "Ancien",
      "Modifié"),
   "Nouveau"))</f>
        <v>Ancien</v>
      </c>
      <c r="AC750"/>
      <c r="AD750"/>
    </row>
    <row r="751" spans="1:30" ht="30" x14ac:dyDescent="0.25">
      <c r="A751" s="5" t="s">
        <v>2417</v>
      </c>
      <c r="B751" s="1" t="s">
        <v>7781</v>
      </c>
      <c r="C751" s="1" t="s">
        <v>12</v>
      </c>
      <c r="G751" s="1" t="s">
        <v>10</v>
      </c>
      <c r="J751" s="3">
        <v>45722.40185185185</v>
      </c>
      <c r="K751" s="2" t="s">
        <v>7782</v>
      </c>
      <c r="L751" s="1">
        <v>1</v>
      </c>
      <c r="M751" s="1">
        <v>1</v>
      </c>
      <c r="N751">
        <v>0</v>
      </c>
      <c r="O751" s="3">
        <f>IF(
    R751="Ancien",
    _xlfn.XLOOKUP(
        Final_Sans_VGE[[#This Row],[ppn_z]],
        tbl_Historique_Final[ppn_z],
        tbl_Historique_Final[Horodatage],
        ""
    ),
    Horodatage!$A$2
)</f>
        <v>46233.670796365739</v>
      </c>
      <c r="P751" s="1" t="str">
        <f>IFERROR(IF(tbl_Historique_Final[[#This Row],[Commentaires]]&lt;&gt;"",tbl_Historique_Final[[#This Row],[Commentaires]],""),"")</f>
        <v/>
      </c>
      <c r="X751" s="8" t="str">
        <f>IF(Final_Sans_VGE[[#This Row],[ppn_z]]="","",IFERROR(
   IF(_xlfn.XLOOKUP(Final_Sans_VGE[[#This Row],[ppn_z]],tbl_Historique_Final[ppn_z],tbl_Historique_Final[date_modif])=Final_Sans_VGE[[#This Row],[date_modif]],
      "Ancien",
      "Modifié"),
   "Nouveau"))</f>
        <v>Ancien</v>
      </c>
      <c r="AC751"/>
      <c r="AD751"/>
    </row>
    <row r="752" spans="1:30" ht="60" x14ac:dyDescent="0.25">
      <c r="A752" s="5" t="s">
        <v>2420</v>
      </c>
      <c r="B752" s="1" t="s">
        <v>7783</v>
      </c>
      <c r="C752" s="1" t="s">
        <v>69</v>
      </c>
      <c r="D752" s="1" t="s">
        <v>7784</v>
      </c>
      <c r="G752" s="1" t="s">
        <v>11</v>
      </c>
      <c r="H752" s="1" t="s">
        <v>22</v>
      </c>
      <c r="I752" s="1" t="s">
        <v>22</v>
      </c>
      <c r="J752" s="3">
        <v>45668.559270833335</v>
      </c>
      <c r="K752" s="2" t="s">
        <v>7785</v>
      </c>
      <c r="L752" s="1">
        <v>30</v>
      </c>
      <c r="M752" s="1">
        <v>31</v>
      </c>
      <c r="N752">
        <v>1</v>
      </c>
      <c r="O752" s="3">
        <f>IF(
    R752="Ancien",
    _xlfn.XLOOKUP(
        Final_Sans_VGE[[#This Row],[ppn_z]],
        tbl_Historique_Final[ppn_z],
        tbl_Historique_Final[Horodatage],
        ""
    ),
    Horodatage!$A$2
)</f>
        <v>46233.670796365739</v>
      </c>
      <c r="P752" s="1" t="str">
        <f>IFERROR(IF(tbl_Historique_Final[[#This Row],[Commentaires]]&lt;&gt;"",tbl_Historique_Final[[#This Row],[Commentaires]],""),"")</f>
        <v/>
      </c>
      <c r="X752" s="8" t="str">
        <f>IF(Final_Sans_VGE[[#This Row],[ppn_z]]="","",IFERROR(
   IF(_xlfn.XLOOKUP(Final_Sans_VGE[[#This Row],[ppn_z]],tbl_Historique_Final[ppn_z],tbl_Historique_Final[date_modif])=Final_Sans_VGE[[#This Row],[date_modif]],
      "Ancien",
      "Modifié"),
   "Nouveau"))</f>
        <v>Ancien</v>
      </c>
      <c r="AC752"/>
      <c r="AD752"/>
    </row>
    <row r="753" spans="1:30" x14ac:dyDescent="0.25">
      <c r="A753" s="5" t="s">
        <v>2423</v>
      </c>
      <c r="B753" s="1" t="s">
        <v>7786</v>
      </c>
      <c r="C753" s="1" t="s">
        <v>42</v>
      </c>
      <c r="G753" s="1" t="s">
        <v>11</v>
      </c>
      <c r="J753" s="3">
        <v>45642.632754629631</v>
      </c>
      <c r="K753" s="2" t="s">
        <v>7787</v>
      </c>
      <c r="L753" s="1">
        <v>3</v>
      </c>
      <c r="M753" s="1">
        <v>3</v>
      </c>
      <c r="N753">
        <v>0</v>
      </c>
      <c r="O753" s="3">
        <f>IF(
    R753="Ancien",
    _xlfn.XLOOKUP(
        Final_Sans_VGE[[#This Row],[ppn_z]],
        tbl_Historique_Final[ppn_z],
        tbl_Historique_Final[Horodatage],
        ""
    ),
    Horodatage!$A$2
)</f>
        <v>46233.670796365739</v>
      </c>
      <c r="P753" s="1" t="str">
        <f>IFERROR(IF(tbl_Historique_Final[[#This Row],[Commentaires]]&lt;&gt;"",tbl_Historique_Final[[#This Row],[Commentaires]],""),"")</f>
        <v/>
      </c>
      <c r="X753" s="8" t="str">
        <f>IF(Final_Sans_VGE[[#This Row],[ppn_z]]="","",IFERROR(
   IF(_xlfn.XLOOKUP(Final_Sans_VGE[[#This Row],[ppn_z]],tbl_Historique_Final[ppn_z],tbl_Historique_Final[date_modif])=Final_Sans_VGE[[#This Row],[date_modif]],
      "Ancien",
      "Modifié"),
   "Nouveau"))</f>
        <v>Ancien</v>
      </c>
      <c r="AC753"/>
      <c r="AD753"/>
    </row>
    <row r="754" spans="1:30" x14ac:dyDescent="0.25">
      <c r="A754" s="5" t="s">
        <v>2426</v>
      </c>
      <c r="B754" s="1" t="s">
        <v>7788</v>
      </c>
      <c r="C754" s="1" t="s">
        <v>7789</v>
      </c>
      <c r="E754" s="1" t="s">
        <v>7790</v>
      </c>
      <c r="G754" s="1" t="s">
        <v>10</v>
      </c>
      <c r="J754" s="3">
        <v>45636.657557870371</v>
      </c>
      <c r="K754" s="2" t="s">
        <v>7791</v>
      </c>
      <c r="L754" s="1">
        <v>13</v>
      </c>
      <c r="M754" s="1">
        <v>13</v>
      </c>
      <c r="N754">
        <v>0</v>
      </c>
      <c r="O754" s="3">
        <f>IF(
    R754="Ancien",
    _xlfn.XLOOKUP(
        Final_Sans_VGE[[#This Row],[ppn_z]],
        tbl_Historique_Final[ppn_z],
        tbl_Historique_Final[Horodatage],
        ""
    ),
    Horodatage!$A$2
)</f>
        <v>46233.670796365739</v>
      </c>
      <c r="P754" s="1" t="str">
        <f>IFERROR(IF(tbl_Historique_Final[[#This Row],[Commentaires]]&lt;&gt;"",tbl_Historique_Final[[#This Row],[Commentaires]],""),"")</f>
        <v/>
      </c>
      <c r="X754" s="8" t="str">
        <f>IF(Final_Sans_VGE[[#This Row],[ppn_z]]="","",IFERROR(
   IF(_xlfn.XLOOKUP(Final_Sans_VGE[[#This Row],[ppn_z]],tbl_Historique_Final[ppn_z],tbl_Historique_Final[date_modif])=Final_Sans_VGE[[#This Row],[date_modif]],
      "Ancien",
      "Modifié"),
   "Nouveau"))</f>
        <v>Ancien</v>
      </c>
      <c r="AC754"/>
      <c r="AD754"/>
    </row>
    <row r="755" spans="1:30" ht="105" x14ac:dyDescent="0.25">
      <c r="A755" s="5" t="s">
        <v>2429</v>
      </c>
      <c r="B755" s="1" t="s">
        <v>7792</v>
      </c>
      <c r="C755" s="1" t="s">
        <v>6803</v>
      </c>
      <c r="E755" s="1" t="s">
        <v>7793</v>
      </c>
      <c r="G755" s="1" t="s">
        <v>10</v>
      </c>
      <c r="J755" s="3">
        <v>45793.35355324074</v>
      </c>
      <c r="K755" s="2" t="s">
        <v>7794</v>
      </c>
      <c r="L755" s="1">
        <v>1</v>
      </c>
      <c r="M755" s="1">
        <v>1</v>
      </c>
      <c r="N755">
        <v>0</v>
      </c>
      <c r="O755" s="3">
        <f>IF(
    R755="Ancien",
    _xlfn.XLOOKUP(
        Final_Sans_VGE[[#This Row],[ppn_z]],
        tbl_Historique_Final[ppn_z],
        tbl_Historique_Final[Horodatage],
        ""
    ),
    Horodatage!$A$2
)</f>
        <v>46233.670796365739</v>
      </c>
      <c r="P755" s="1" t="str">
        <f>IFERROR(IF(tbl_Historique_Final[[#This Row],[Commentaires]]&lt;&gt;"",tbl_Historique_Final[[#This Row],[Commentaires]],""),"")</f>
        <v/>
      </c>
      <c r="X755" s="8" t="str">
        <f>IF(Final_Sans_VGE[[#This Row],[ppn_z]]="","",IFERROR(
   IF(_xlfn.XLOOKUP(Final_Sans_VGE[[#This Row],[ppn_z]],tbl_Historique_Final[ppn_z],tbl_Historique_Final[date_modif])=Final_Sans_VGE[[#This Row],[date_modif]],
      "Ancien",
      "Modifié"),
   "Nouveau"))</f>
        <v>Ancien</v>
      </c>
      <c r="AC755"/>
      <c r="AD755"/>
    </row>
    <row r="756" spans="1:30" x14ac:dyDescent="0.25">
      <c r="A756" s="5" t="s">
        <v>2432</v>
      </c>
      <c r="B756" s="1" t="s">
        <v>7795</v>
      </c>
      <c r="C756" s="1" t="s">
        <v>7796</v>
      </c>
      <c r="E756" s="1" t="s">
        <v>64</v>
      </c>
      <c r="G756" s="1" t="s">
        <v>10</v>
      </c>
      <c r="J756" s="3">
        <v>45636.657569444447</v>
      </c>
      <c r="K756" s="2" t="s">
        <v>7797</v>
      </c>
      <c r="L756" s="1">
        <v>8</v>
      </c>
      <c r="M756" s="1">
        <v>10</v>
      </c>
      <c r="N756">
        <v>2</v>
      </c>
      <c r="O756" s="3">
        <f>IF(
    R756="Ancien",
    _xlfn.XLOOKUP(
        Final_Sans_VGE[[#This Row],[ppn_z]],
        tbl_Historique_Final[ppn_z],
        tbl_Historique_Final[Horodatage],
        ""
    ),
    Horodatage!$A$2
)</f>
        <v>46233.670796365739</v>
      </c>
      <c r="P756" s="1" t="str">
        <f>IFERROR(IF(tbl_Historique_Final[[#This Row],[Commentaires]]&lt;&gt;"",tbl_Historique_Final[[#This Row],[Commentaires]],""),"")</f>
        <v/>
      </c>
      <c r="X756" s="8" t="str">
        <f>IF(Final_Sans_VGE[[#This Row],[ppn_z]]="","",IFERROR(
   IF(_xlfn.XLOOKUP(Final_Sans_VGE[[#This Row],[ppn_z]],tbl_Historique_Final[ppn_z],tbl_Historique_Final[date_modif])=Final_Sans_VGE[[#This Row],[date_modif]],
      "Ancien",
      "Modifié"),
   "Nouveau"))</f>
        <v>Ancien</v>
      </c>
      <c r="AC756"/>
      <c r="AD756"/>
    </row>
    <row r="757" spans="1:30" ht="105" x14ac:dyDescent="0.25">
      <c r="A757" s="5" t="s">
        <v>2435</v>
      </c>
      <c r="B757" s="1" t="s">
        <v>7798</v>
      </c>
      <c r="C757" s="1" t="s">
        <v>136</v>
      </c>
      <c r="E757" s="1" t="s">
        <v>141</v>
      </c>
      <c r="G757" s="1" t="s">
        <v>10</v>
      </c>
      <c r="J757" s="3">
        <v>45758.509201388886</v>
      </c>
      <c r="K757" s="2" t="s">
        <v>7799</v>
      </c>
      <c r="L757" s="1">
        <v>1</v>
      </c>
      <c r="M757" s="1">
        <v>1</v>
      </c>
      <c r="N757">
        <v>0</v>
      </c>
      <c r="O757" s="3">
        <f>IF(
    R757="Ancien",
    _xlfn.XLOOKUP(
        Final_Sans_VGE[[#This Row],[ppn_z]],
        tbl_Historique_Final[ppn_z],
        tbl_Historique_Final[Horodatage],
        ""
    ),
    Horodatage!$A$2
)</f>
        <v>46233.670796365739</v>
      </c>
      <c r="P757" s="1" t="str">
        <f>IFERROR(IF(tbl_Historique_Final[[#This Row],[Commentaires]]&lt;&gt;"",tbl_Historique_Final[[#This Row],[Commentaires]],""),"")</f>
        <v/>
      </c>
      <c r="X757" s="8" t="str">
        <f>IF(Final_Sans_VGE[[#This Row],[ppn_z]]="","",IFERROR(
   IF(_xlfn.XLOOKUP(Final_Sans_VGE[[#This Row],[ppn_z]],tbl_Historique_Final[ppn_z],tbl_Historique_Final[date_modif])=Final_Sans_VGE[[#This Row],[date_modif]],
      "Ancien",
      "Modifié"),
   "Nouveau"))</f>
        <v>Ancien</v>
      </c>
      <c r="AC757"/>
      <c r="AD757"/>
    </row>
    <row r="758" spans="1:30" ht="45" x14ac:dyDescent="0.25">
      <c r="A758" s="5" t="s">
        <v>2438</v>
      </c>
      <c r="B758" s="1" t="s">
        <v>7800</v>
      </c>
      <c r="C758" s="1" t="s">
        <v>7801</v>
      </c>
      <c r="D758" s="1" t="s">
        <v>14</v>
      </c>
      <c r="E758" s="1" t="s">
        <v>7802</v>
      </c>
      <c r="F758" s="1" t="s">
        <v>14</v>
      </c>
      <c r="G758" s="1" t="s">
        <v>10</v>
      </c>
      <c r="H758" s="1" t="s">
        <v>22</v>
      </c>
      <c r="I758" s="1" t="s">
        <v>22</v>
      </c>
      <c r="J758" s="3">
        <v>45758.643634259257</v>
      </c>
      <c r="K758" s="2" t="s">
        <v>7803</v>
      </c>
      <c r="L758" s="1">
        <v>2</v>
      </c>
      <c r="M758" s="1">
        <v>2</v>
      </c>
      <c r="N758">
        <v>0</v>
      </c>
      <c r="O758" s="3">
        <f>IF(
    R758="Ancien",
    _xlfn.XLOOKUP(
        Final_Sans_VGE[[#This Row],[ppn_z]],
        tbl_Historique_Final[ppn_z],
        tbl_Historique_Final[Horodatage],
        ""
    ),
    Horodatage!$A$2
)</f>
        <v>46233.670796365739</v>
      </c>
      <c r="P758" s="1" t="str">
        <f>IFERROR(IF(tbl_Historique_Final[[#This Row],[Commentaires]]&lt;&gt;"",tbl_Historique_Final[[#This Row],[Commentaires]],""),"")</f>
        <v/>
      </c>
      <c r="X758" s="8" t="str">
        <f>IF(Final_Sans_VGE[[#This Row],[ppn_z]]="","",IFERROR(
   IF(_xlfn.XLOOKUP(Final_Sans_VGE[[#This Row],[ppn_z]],tbl_Historique_Final[ppn_z],tbl_Historique_Final[date_modif])=Final_Sans_VGE[[#This Row],[date_modif]],
      "Ancien",
      "Modifié"),
   "Nouveau"))</f>
        <v>Ancien</v>
      </c>
      <c r="AC758"/>
      <c r="AD758"/>
    </row>
    <row r="759" spans="1:30" x14ac:dyDescent="0.25">
      <c r="A759" s="5" t="s">
        <v>2441</v>
      </c>
      <c r="B759" s="1" t="s">
        <v>7804</v>
      </c>
      <c r="C759" s="1" t="s">
        <v>77</v>
      </c>
      <c r="G759" s="1" t="s">
        <v>10</v>
      </c>
      <c r="J759" s="3">
        <v>45636.657604166663</v>
      </c>
      <c r="K759" s="2" t="s">
        <v>7805</v>
      </c>
      <c r="L759" s="1">
        <v>12</v>
      </c>
      <c r="M759" s="1">
        <v>16</v>
      </c>
      <c r="N759">
        <v>4</v>
      </c>
      <c r="O759" s="3">
        <f>IF(
    R759="Ancien",
    _xlfn.XLOOKUP(
        Final_Sans_VGE[[#This Row],[ppn_z]],
        tbl_Historique_Final[ppn_z],
        tbl_Historique_Final[Horodatage],
        ""
    ),
    Horodatage!$A$2
)</f>
        <v>46233.670796365739</v>
      </c>
      <c r="P759" s="1" t="str">
        <f>IFERROR(IF(tbl_Historique_Final[[#This Row],[Commentaires]]&lt;&gt;"",tbl_Historique_Final[[#This Row],[Commentaires]],""),"")</f>
        <v/>
      </c>
      <c r="X759" s="8" t="str">
        <f>IF(Final_Sans_VGE[[#This Row],[ppn_z]]="","",IFERROR(
   IF(_xlfn.XLOOKUP(Final_Sans_VGE[[#This Row],[ppn_z]],tbl_Historique_Final[ppn_z],tbl_Historique_Final[date_modif])=Final_Sans_VGE[[#This Row],[date_modif]],
      "Ancien",
      "Modifié"),
   "Nouveau"))</f>
        <v>Ancien</v>
      </c>
      <c r="AC759"/>
      <c r="AD759"/>
    </row>
    <row r="760" spans="1:30" ht="30" x14ac:dyDescent="0.25">
      <c r="A760" s="5" t="s">
        <v>2444</v>
      </c>
      <c r="B760" s="1" t="s">
        <v>7806</v>
      </c>
      <c r="C760" s="1" t="s">
        <v>88</v>
      </c>
      <c r="G760" s="1" t="s">
        <v>10</v>
      </c>
      <c r="J760" s="3">
        <v>45730.464282407411</v>
      </c>
      <c r="K760" s="2" t="s">
        <v>7807</v>
      </c>
      <c r="L760" s="1">
        <v>1</v>
      </c>
      <c r="M760" s="1">
        <v>1</v>
      </c>
      <c r="N760">
        <v>0</v>
      </c>
      <c r="O760" s="3">
        <f>IF(
    R760="Ancien",
    _xlfn.XLOOKUP(
        Final_Sans_VGE[[#This Row],[ppn_z]],
        tbl_Historique_Final[ppn_z],
        tbl_Historique_Final[Horodatage],
        ""
    ),
    Horodatage!$A$2
)</f>
        <v>46233.670796365739</v>
      </c>
      <c r="P760" s="1" t="str">
        <f>IFERROR(IF(tbl_Historique_Final[[#This Row],[Commentaires]]&lt;&gt;"",tbl_Historique_Final[[#This Row],[Commentaires]],""),"")</f>
        <v/>
      </c>
      <c r="X760" s="8" t="str">
        <f>IF(Final_Sans_VGE[[#This Row],[ppn_z]]="","",IFERROR(
   IF(_xlfn.XLOOKUP(Final_Sans_VGE[[#This Row],[ppn_z]],tbl_Historique_Final[ppn_z],tbl_Historique_Final[date_modif])=Final_Sans_VGE[[#This Row],[date_modif]],
      "Ancien",
      "Modifié"),
   "Nouveau"))</f>
        <v>Ancien</v>
      </c>
      <c r="AC760"/>
      <c r="AD760"/>
    </row>
    <row r="761" spans="1:30" ht="30" x14ac:dyDescent="0.25">
      <c r="A761" s="5" t="s">
        <v>2447</v>
      </c>
      <c r="B761" s="1" t="s">
        <v>7808</v>
      </c>
      <c r="C761" s="1" t="s">
        <v>12</v>
      </c>
      <c r="G761" s="1" t="s">
        <v>11</v>
      </c>
      <c r="J761" s="3">
        <v>45681.686481481483</v>
      </c>
      <c r="K761" s="2" t="s">
        <v>7809</v>
      </c>
      <c r="L761" s="1">
        <v>1</v>
      </c>
      <c r="M761" s="1">
        <v>1</v>
      </c>
      <c r="N761">
        <v>0</v>
      </c>
      <c r="O761" s="3">
        <f>IF(
    R761="Ancien",
    _xlfn.XLOOKUP(
        Final_Sans_VGE[[#This Row],[ppn_z]],
        tbl_Historique_Final[ppn_z],
        tbl_Historique_Final[Horodatage],
        ""
    ),
    Horodatage!$A$2
)</f>
        <v>46233.670796365739</v>
      </c>
      <c r="P761" s="1" t="str">
        <f>IFERROR(IF(tbl_Historique_Final[[#This Row],[Commentaires]]&lt;&gt;"",tbl_Historique_Final[[#This Row],[Commentaires]],""),"")</f>
        <v/>
      </c>
      <c r="X761" s="8" t="str">
        <f>IF(Final_Sans_VGE[[#This Row],[ppn_z]]="","",IFERROR(
   IF(_xlfn.XLOOKUP(Final_Sans_VGE[[#This Row],[ppn_z]],tbl_Historique_Final[ppn_z],tbl_Historique_Final[date_modif])=Final_Sans_VGE[[#This Row],[date_modif]],
      "Ancien",
      "Modifié"),
   "Nouveau"))</f>
        <v>Ancien</v>
      </c>
      <c r="AC761"/>
      <c r="AD761"/>
    </row>
    <row r="762" spans="1:30" x14ac:dyDescent="0.25">
      <c r="A762" s="5" t="s">
        <v>2450</v>
      </c>
      <c r="B762" s="1" t="s">
        <v>7810</v>
      </c>
      <c r="C762" s="1" t="s">
        <v>76</v>
      </c>
      <c r="J762" s="3">
        <v>45559.670532407406</v>
      </c>
      <c r="L762" s="1">
        <v>1</v>
      </c>
      <c r="M762" s="1">
        <v>1</v>
      </c>
      <c r="N762">
        <v>0</v>
      </c>
      <c r="O762" s="3">
        <f>IF(
    R762="Ancien",
    _xlfn.XLOOKUP(
        Final_Sans_VGE[[#This Row],[ppn_z]],
        tbl_Historique_Final[ppn_z],
        tbl_Historique_Final[Horodatage],
        ""
    ),
    Horodatage!$A$2
)</f>
        <v>46233.670796365739</v>
      </c>
      <c r="P762" s="1" t="str">
        <f>IFERROR(IF(tbl_Historique_Final[[#This Row],[Commentaires]]&lt;&gt;"",tbl_Historique_Final[[#This Row],[Commentaires]],""),"")</f>
        <v/>
      </c>
      <c r="X762" s="8" t="str">
        <f>IF(Final_Sans_VGE[[#This Row],[ppn_z]]="","",IFERROR(
   IF(_xlfn.XLOOKUP(Final_Sans_VGE[[#This Row],[ppn_z]],tbl_Historique_Final[ppn_z],tbl_Historique_Final[date_modif])=Final_Sans_VGE[[#This Row],[date_modif]],
      "Ancien",
      "Modifié"),
   "Nouveau"))</f>
        <v>Ancien</v>
      </c>
      <c r="AC762"/>
      <c r="AD762"/>
    </row>
    <row r="763" spans="1:30" x14ac:dyDescent="0.25">
      <c r="A763" s="5" t="s">
        <v>2453</v>
      </c>
      <c r="B763" s="1" t="s">
        <v>7811</v>
      </c>
      <c r="C763" s="1" t="s">
        <v>51</v>
      </c>
      <c r="G763" s="1" t="s">
        <v>11</v>
      </c>
      <c r="J763" s="3">
        <v>45698.621805555558</v>
      </c>
      <c r="K763" s="2" t="s">
        <v>7812</v>
      </c>
      <c r="L763" s="1">
        <v>1</v>
      </c>
      <c r="M763" s="1">
        <v>1</v>
      </c>
      <c r="N763">
        <v>0</v>
      </c>
      <c r="O763" s="3">
        <f>IF(
    R763="Ancien",
    _xlfn.XLOOKUP(
        Final_Sans_VGE[[#This Row],[ppn_z]],
        tbl_Historique_Final[ppn_z],
        tbl_Historique_Final[Horodatage],
        ""
    ),
    Horodatage!$A$2
)</f>
        <v>46233.670796365739</v>
      </c>
      <c r="P763" s="1" t="str">
        <f>IFERROR(IF(tbl_Historique_Final[[#This Row],[Commentaires]]&lt;&gt;"",tbl_Historique_Final[[#This Row],[Commentaires]],""),"")</f>
        <v/>
      </c>
      <c r="X763" s="8" t="str">
        <f>IF(Final_Sans_VGE[[#This Row],[ppn_z]]="","",IFERROR(
   IF(_xlfn.XLOOKUP(Final_Sans_VGE[[#This Row],[ppn_z]],tbl_Historique_Final[ppn_z],tbl_Historique_Final[date_modif])=Final_Sans_VGE[[#This Row],[date_modif]],
      "Ancien",
      "Modifié"),
   "Nouveau"))</f>
        <v>Ancien</v>
      </c>
      <c r="AC763"/>
      <c r="AD763"/>
    </row>
    <row r="764" spans="1:30" x14ac:dyDescent="0.25">
      <c r="A764" s="5" t="s">
        <v>2456</v>
      </c>
      <c r="B764" s="1" t="s">
        <v>7813</v>
      </c>
      <c r="C764" s="1" t="s">
        <v>12</v>
      </c>
      <c r="G764" s="1" t="s">
        <v>11</v>
      </c>
      <c r="J764" s="3">
        <v>45777.431226851855</v>
      </c>
      <c r="K764" s="2" t="s">
        <v>7814</v>
      </c>
      <c r="L764" s="1">
        <v>1</v>
      </c>
      <c r="M764" s="1">
        <v>1</v>
      </c>
      <c r="N764">
        <v>0</v>
      </c>
      <c r="O764" s="3">
        <f>IF(
    R764="Ancien",
    _xlfn.XLOOKUP(
        Final_Sans_VGE[[#This Row],[ppn_z]],
        tbl_Historique_Final[ppn_z],
        tbl_Historique_Final[Horodatage],
        ""
    ),
    Horodatage!$A$2
)</f>
        <v>46233.670796365739</v>
      </c>
      <c r="P764" s="1" t="str">
        <f>IFERROR(IF(tbl_Historique_Final[[#This Row],[Commentaires]]&lt;&gt;"",tbl_Historique_Final[[#This Row],[Commentaires]],""),"")</f>
        <v/>
      </c>
      <c r="X764" s="8" t="str">
        <f>IF(Final_Sans_VGE[[#This Row],[ppn_z]]="","",IFERROR(
   IF(_xlfn.XLOOKUP(Final_Sans_VGE[[#This Row],[ppn_z]],tbl_Historique_Final[ppn_z],tbl_Historique_Final[date_modif])=Final_Sans_VGE[[#This Row],[date_modif]],
      "Ancien",
      "Modifié"),
   "Nouveau"))</f>
        <v>Ancien</v>
      </c>
      <c r="AC764"/>
      <c r="AD764"/>
    </row>
    <row r="765" spans="1:30" ht="30" x14ac:dyDescent="0.25">
      <c r="A765" s="5" t="s">
        <v>2459</v>
      </c>
      <c r="B765" s="1" t="s">
        <v>7815</v>
      </c>
      <c r="C765" s="1" t="s">
        <v>86</v>
      </c>
      <c r="J765" s="3">
        <v>45809.349756944444</v>
      </c>
      <c r="K765" s="2" t="s">
        <v>7816</v>
      </c>
      <c r="L765" s="1">
        <v>24</v>
      </c>
      <c r="M765" s="1">
        <v>25</v>
      </c>
      <c r="N765">
        <v>1</v>
      </c>
      <c r="O765" s="3">
        <f>IF(
    R765="Ancien",
    _xlfn.XLOOKUP(
        Final_Sans_VGE[[#This Row],[ppn_z]],
        tbl_Historique_Final[ppn_z],
        tbl_Historique_Final[Horodatage],
        ""
    ),
    Horodatage!$A$2
)</f>
        <v>46233.670796365739</v>
      </c>
      <c r="P765" s="1" t="str">
        <f>IFERROR(IF(tbl_Historique_Final[[#This Row],[Commentaires]]&lt;&gt;"",tbl_Historique_Final[[#This Row],[Commentaires]],""),"")</f>
        <v/>
      </c>
      <c r="X765" s="8" t="str">
        <f>IF(Final_Sans_VGE[[#This Row],[ppn_z]]="","",IFERROR(
   IF(_xlfn.XLOOKUP(Final_Sans_VGE[[#This Row],[ppn_z]],tbl_Historique_Final[ppn_z],tbl_Historique_Final[date_modif])=Final_Sans_VGE[[#This Row],[date_modif]],
      "Ancien",
      "Modifié"),
   "Nouveau"))</f>
        <v>Ancien</v>
      </c>
      <c r="AC765"/>
      <c r="AD765"/>
    </row>
    <row r="766" spans="1:30" ht="30" x14ac:dyDescent="0.25">
      <c r="A766" s="5" t="s">
        <v>2462</v>
      </c>
      <c r="B766" s="1" t="s">
        <v>7817</v>
      </c>
      <c r="C766" s="1" t="s">
        <v>69</v>
      </c>
      <c r="J766" s="3">
        <v>45668.431423611109</v>
      </c>
      <c r="K766" s="2" t="s">
        <v>7818</v>
      </c>
      <c r="L766" s="1">
        <v>1</v>
      </c>
      <c r="M766" s="1">
        <v>9</v>
      </c>
      <c r="N766">
        <v>8</v>
      </c>
      <c r="O766" s="3">
        <f>IF(
    R766="Ancien",
    _xlfn.XLOOKUP(
        Final_Sans_VGE[[#This Row],[ppn_z]],
        tbl_Historique_Final[ppn_z],
        tbl_Historique_Final[Horodatage],
        ""
    ),
    Horodatage!$A$2
)</f>
        <v>46233.670796365739</v>
      </c>
      <c r="P766" s="1" t="str">
        <f>IFERROR(IF(tbl_Historique_Final[[#This Row],[Commentaires]]&lt;&gt;"",tbl_Historique_Final[[#This Row],[Commentaires]],""),"")</f>
        <v/>
      </c>
      <c r="X766" s="8" t="str">
        <f>IF(Final_Sans_VGE[[#This Row],[ppn_z]]="","",IFERROR(
   IF(_xlfn.XLOOKUP(Final_Sans_VGE[[#This Row],[ppn_z]],tbl_Historique_Final[ppn_z],tbl_Historique_Final[date_modif])=Final_Sans_VGE[[#This Row],[date_modif]],
      "Ancien",
      "Modifié"),
   "Nouveau"))</f>
        <v>Ancien</v>
      </c>
      <c r="AC766"/>
      <c r="AD766"/>
    </row>
    <row r="767" spans="1:30" ht="30" x14ac:dyDescent="0.25">
      <c r="A767" s="5" t="s">
        <v>2465</v>
      </c>
      <c r="B767" s="1" t="s">
        <v>7819</v>
      </c>
      <c r="C767" s="1" t="s">
        <v>6482</v>
      </c>
      <c r="J767" s="3">
        <v>45636.657222222224</v>
      </c>
      <c r="K767" s="2" t="s">
        <v>7820</v>
      </c>
      <c r="L767" s="1">
        <v>12</v>
      </c>
      <c r="M767" s="1">
        <v>16</v>
      </c>
      <c r="N767">
        <v>4</v>
      </c>
      <c r="O767" s="3">
        <f>IF(
    R767="Ancien",
    _xlfn.XLOOKUP(
        Final_Sans_VGE[[#This Row],[ppn_z]],
        tbl_Historique_Final[ppn_z],
        tbl_Historique_Final[Horodatage],
        ""
    ),
    Horodatage!$A$2
)</f>
        <v>46233.670796365739</v>
      </c>
      <c r="P767" s="1" t="str">
        <f>IFERROR(IF(tbl_Historique_Final[[#This Row],[Commentaires]]&lt;&gt;"",tbl_Historique_Final[[#This Row],[Commentaires]],""),"")</f>
        <v/>
      </c>
      <c r="X767" s="8" t="str">
        <f>IF(Final_Sans_VGE[[#This Row],[ppn_z]]="","",IFERROR(
   IF(_xlfn.XLOOKUP(Final_Sans_VGE[[#This Row],[ppn_z]],tbl_Historique_Final[ppn_z],tbl_Historique_Final[date_modif])=Final_Sans_VGE[[#This Row],[date_modif]],
      "Ancien",
      "Modifié"),
   "Nouveau"))</f>
        <v>Ancien</v>
      </c>
      <c r="AC767"/>
      <c r="AD767"/>
    </row>
    <row r="768" spans="1:30" x14ac:dyDescent="0.25">
      <c r="A768" s="5" t="s">
        <v>2468</v>
      </c>
      <c r="B768" s="1" t="s">
        <v>7821</v>
      </c>
      <c r="J768" s="3">
        <v>45523.486574074072</v>
      </c>
      <c r="L768" s="1">
        <v>1</v>
      </c>
      <c r="M768" s="1">
        <v>1</v>
      </c>
      <c r="N768">
        <v>0</v>
      </c>
      <c r="O768" s="3">
        <f>IF(
    R768="Ancien",
    _xlfn.XLOOKUP(
        Final_Sans_VGE[[#This Row],[ppn_z]],
        tbl_Historique_Final[ppn_z],
        tbl_Historique_Final[Horodatage],
        ""
    ),
    Horodatage!$A$2
)</f>
        <v>46233.670796365739</v>
      </c>
      <c r="P768" s="1" t="str">
        <f>IFERROR(IF(tbl_Historique_Final[[#This Row],[Commentaires]]&lt;&gt;"",tbl_Historique_Final[[#This Row],[Commentaires]],""),"")</f>
        <v/>
      </c>
      <c r="X768" s="8" t="str">
        <f>IF(Final_Sans_VGE[[#This Row],[ppn_z]]="","",IFERROR(
   IF(_xlfn.XLOOKUP(Final_Sans_VGE[[#This Row],[ppn_z]],tbl_Historique_Final[ppn_z],tbl_Historique_Final[date_modif])=Final_Sans_VGE[[#This Row],[date_modif]],
      "Ancien",
      "Modifié"),
   "Nouveau"))</f>
        <v>Ancien</v>
      </c>
      <c r="AC768"/>
      <c r="AD768"/>
    </row>
    <row r="769" spans="1:30" x14ac:dyDescent="0.25">
      <c r="A769" s="5" t="s">
        <v>2471</v>
      </c>
      <c r="B769" s="1" t="s">
        <v>7822</v>
      </c>
      <c r="C769" s="1" t="s">
        <v>61</v>
      </c>
      <c r="D769" s="1" t="s">
        <v>14</v>
      </c>
      <c r="G769" s="1" t="s">
        <v>10</v>
      </c>
      <c r="H769" s="1" t="s">
        <v>7823</v>
      </c>
      <c r="I769" s="1" t="s">
        <v>22</v>
      </c>
      <c r="J769" s="3">
        <v>45786.388009259259</v>
      </c>
      <c r="K769" s="2" t="s">
        <v>7824</v>
      </c>
      <c r="L769" s="1">
        <v>0</v>
      </c>
      <c r="M769" s="1">
        <v>0</v>
      </c>
      <c r="N769">
        <v>0</v>
      </c>
      <c r="O769" s="3">
        <f>IF(
    R769="Ancien",
    _xlfn.XLOOKUP(
        Final_Sans_VGE[[#This Row],[ppn_z]],
        tbl_Historique_Final[ppn_z],
        tbl_Historique_Final[Horodatage],
        ""
    ),
    Horodatage!$A$2
)</f>
        <v>46233.670796365739</v>
      </c>
      <c r="P769" s="1" t="str">
        <f>IFERROR(IF(tbl_Historique_Final[[#This Row],[Commentaires]]&lt;&gt;"",tbl_Historique_Final[[#This Row],[Commentaires]],""),"")</f>
        <v/>
      </c>
      <c r="X769" s="8" t="str">
        <f>IF(Final_Sans_VGE[[#This Row],[ppn_z]]="","",IFERROR(
   IF(_xlfn.XLOOKUP(Final_Sans_VGE[[#This Row],[ppn_z]],tbl_Historique_Final[ppn_z],tbl_Historique_Final[date_modif])=Final_Sans_VGE[[#This Row],[date_modif]],
      "Ancien",
      "Modifié"),
   "Nouveau"))</f>
        <v>Ancien</v>
      </c>
      <c r="AC769"/>
      <c r="AD769"/>
    </row>
    <row r="770" spans="1:30" x14ac:dyDescent="0.25">
      <c r="A770" s="5" t="s">
        <v>2474</v>
      </c>
      <c r="B770" s="1" t="s">
        <v>7825</v>
      </c>
      <c r="C770" s="1" t="s">
        <v>7826</v>
      </c>
      <c r="E770" s="1" t="s">
        <v>88</v>
      </c>
      <c r="G770" s="1" t="s">
        <v>10</v>
      </c>
      <c r="J770" s="3">
        <v>45678.607245370367</v>
      </c>
      <c r="K770" s="2" t="s">
        <v>6638</v>
      </c>
      <c r="L770" s="1">
        <v>1</v>
      </c>
      <c r="M770" s="1">
        <v>1</v>
      </c>
      <c r="N770">
        <v>0</v>
      </c>
      <c r="O770" s="3">
        <f>IF(
    R770="Ancien",
    _xlfn.XLOOKUP(
        Final_Sans_VGE[[#This Row],[ppn_z]],
        tbl_Historique_Final[ppn_z],
        tbl_Historique_Final[Horodatage],
        ""
    ),
    Horodatage!$A$2
)</f>
        <v>46233.670796365739</v>
      </c>
      <c r="P770" s="1" t="str">
        <f>IFERROR(IF(tbl_Historique_Final[[#This Row],[Commentaires]]&lt;&gt;"",tbl_Historique_Final[[#This Row],[Commentaires]],""),"")</f>
        <v/>
      </c>
      <c r="X770" s="8" t="str">
        <f>IF(Final_Sans_VGE[[#This Row],[ppn_z]]="","",IFERROR(
   IF(_xlfn.XLOOKUP(Final_Sans_VGE[[#This Row],[ppn_z]],tbl_Historique_Final[ppn_z],tbl_Historique_Final[date_modif])=Final_Sans_VGE[[#This Row],[date_modif]],
      "Ancien",
      "Modifié"),
   "Nouveau"))</f>
        <v>Ancien</v>
      </c>
      <c r="AC770"/>
      <c r="AD770"/>
    </row>
    <row r="771" spans="1:30" ht="45" x14ac:dyDescent="0.25">
      <c r="A771" s="5" t="s">
        <v>2477</v>
      </c>
      <c r="B771" s="1" t="s">
        <v>7827</v>
      </c>
      <c r="C771" s="1" t="s">
        <v>12</v>
      </c>
      <c r="G771" s="1" t="s">
        <v>11</v>
      </c>
      <c r="J771" s="3">
        <v>45701.726759259262</v>
      </c>
      <c r="K771" s="2" t="s">
        <v>7828</v>
      </c>
      <c r="L771" s="1">
        <v>2</v>
      </c>
      <c r="M771" s="1">
        <v>2</v>
      </c>
      <c r="N771">
        <v>0</v>
      </c>
      <c r="O771" s="3">
        <f>IF(
    R771="Ancien",
    _xlfn.XLOOKUP(
        Final_Sans_VGE[[#This Row],[ppn_z]],
        tbl_Historique_Final[ppn_z],
        tbl_Historique_Final[Horodatage],
        ""
    ),
    Horodatage!$A$2
)</f>
        <v>46233.670796365739</v>
      </c>
      <c r="P771" s="1" t="str">
        <f>IFERROR(IF(tbl_Historique_Final[[#This Row],[Commentaires]]&lt;&gt;"",tbl_Historique_Final[[#This Row],[Commentaires]],""),"")</f>
        <v/>
      </c>
      <c r="X771" s="8" t="str">
        <f>IF(Final_Sans_VGE[[#This Row],[ppn_z]]="","",IFERROR(
   IF(_xlfn.XLOOKUP(Final_Sans_VGE[[#This Row],[ppn_z]],tbl_Historique_Final[ppn_z],tbl_Historique_Final[date_modif])=Final_Sans_VGE[[#This Row],[date_modif]],
      "Ancien",
      "Modifié"),
   "Nouveau"))</f>
        <v>Ancien</v>
      </c>
      <c r="AC771"/>
      <c r="AD771"/>
    </row>
    <row r="772" spans="1:30" x14ac:dyDescent="0.25">
      <c r="A772" s="5" t="s">
        <v>2480</v>
      </c>
      <c r="B772" s="1" t="s">
        <v>7829</v>
      </c>
      <c r="C772" s="1" t="s">
        <v>12</v>
      </c>
      <c r="G772" s="1" t="s">
        <v>11</v>
      </c>
      <c r="J772" s="3">
        <v>45769.58902777778</v>
      </c>
      <c r="K772" s="2" t="s">
        <v>7830</v>
      </c>
      <c r="L772" s="1">
        <v>1</v>
      </c>
      <c r="M772" s="1">
        <v>1</v>
      </c>
      <c r="N772">
        <v>0</v>
      </c>
      <c r="O772" s="3">
        <f>IF(
    R772="Ancien",
    _xlfn.XLOOKUP(
        Final_Sans_VGE[[#This Row],[ppn_z]],
        tbl_Historique_Final[ppn_z],
        tbl_Historique_Final[Horodatage],
        ""
    ),
    Horodatage!$A$2
)</f>
        <v>46233.670796365739</v>
      </c>
      <c r="P772" s="1" t="str">
        <f>IFERROR(IF(tbl_Historique_Final[[#This Row],[Commentaires]]&lt;&gt;"",tbl_Historique_Final[[#This Row],[Commentaires]],""),"")</f>
        <v/>
      </c>
      <c r="X772" s="8" t="str">
        <f>IF(Final_Sans_VGE[[#This Row],[ppn_z]]="","",IFERROR(
   IF(_xlfn.XLOOKUP(Final_Sans_VGE[[#This Row],[ppn_z]],tbl_Historique_Final[ppn_z],tbl_Historique_Final[date_modif])=Final_Sans_VGE[[#This Row],[date_modif]],
      "Ancien",
      "Modifié"),
   "Nouveau"))</f>
        <v>Ancien</v>
      </c>
      <c r="AC772"/>
      <c r="AD772"/>
    </row>
    <row r="773" spans="1:30" x14ac:dyDescent="0.25">
      <c r="A773" s="5" t="s">
        <v>2483</v>
      </c>
      <c r="B773" s="1" t="s">
        <v>7831</v>
      </c>
      <c r="C773" s="1" t="s">
        <v>112</v>
      </c>
      <c r="J773" s="3">
        <v>45574.439699074072</v>
      </c>
      <c r="L773" s="1">
        <v>1</v>
      </c>
      <c r="M773" s="1">
        <v>1</v>
      </c>
      <c r="N773">
        <v>0</v>
      </c>
      <c r="O773" s="3">
        <f>IF(
    R773="Ancien",
    _xlfn.XLOOKUP(
        Final_Sans_VGE[[#This Row],[ppn_z]],
        tbl_Historique_Final[ppn_z],
        tbl_Historique_Final[Horodatage],
        ""
    ),
    Horodatage!$A$2
)</f>
        <v>46233.670796365739</v>
      </c>
      <c r="P773" s="1" t="str">
        <f>IFERROR(IF(tbl_Historique_Final[[#This Row],[Commentaires]]&lt;&gt;"",tbl_Historique_Final[[#This Row],[Commentaires]],""),"")</f>
        <v/>
      </c>
      <c r="X773" s="8" t="str">
        <f>IF(Final_Sans_VGE[[#This Row],[ppn_z]]="","",IFERROR(
   IF(_xlfn.XLOOKUP(Final_Sans_VGE[[#This Row],[ppn_z]],tbl_Historique_Final[ppn_z],tbl_Historique_Final[date_modif])=Final_Sans_VGE[[#This Row],[date_modif]],
      "Ancien",
      "Modifié"),
   "Nouveau"))</f>
        <v>Ancien</v>
      </c>
      <c r="AC773"/>
      <c r="AD773"/>
    </row>
    <row r="774" spans="1:30" x14ac:dyDescent="0.25">
      <c r="A774" s="5" t="s">
        <v>2486</v>
      </c>
      <c r="B774" s="1" t="s">
        <v>7832</v>
      </c>
      <c r="C774" s="1" t="s">
        <v>12</v>
      </c>
      <c r="G774" s="1" t="s">
        <v>11</v>
      </c>
      <c r="J774" s="3">
        <v>45804.678796296299</v>
      </c>
      <c r="K774" s="2" t="s">
        <v>7833</v>
      </c>
      <c r="L774" s="1">
        <v>1</v>
      </c>
      <c r="M774" s="1">
        <v>1</v>
      </c>
      <c r="N774">
        <v>0</v>
      </c>
      <c r="O774" s="3">
        <f>IF(
    R774="Ancien",
    _xlfn.XLOOKUP(
        Final_Sans_VGE[[#This Row],[ppn_z]],
        tbl_Historique_Final[ppn_z],
        tbl_Historique_Final[Horodatage],
        ""
    ),
    Horodatage!$A$2
)</f>
        <v>46233.670796365739</v>
      </c>
      <c r="P774" s="1" t="str">
        <f>IFERROR(IF(tbl_Historique_Final[[#This Row],[Commentaires]]&lt;&gt;"",tbl_Historique_Final[[#This Row],[Commentaires]],""),"")</f>
        <v/>
      </c>
      <c r="X774" s="8" t="str">
        <f>IF(Final_Sans_VGE[[#This Row],[ppn_z]]="","",IFERROR(
   IF(_xlfn.XLOOKUP(Final_Sans_VGE[[#This Row],[ppn_z]],tbl_Historique_Final[ppn_z],tbl_Historique_Final[date_modif])=Final_Sans_VGE[[#This Row],[date_modif]],
      "Ancien",
      "Modifié"),
   "Nouveau"))</f>
        <v>Ancien</v>
      </c>
      <c r="AC774"/>
      <c r="AD774"/>
    </row>
    <row r="775" spans="1:30" x14ac:dyDescent="0.25">
      <c r="A775" s="5" t="s">
        <v>2489</v>
      </c>
      <c r="B775" s="1" t="s">
        <v>7834</v>
      </c>
      <c r="C775" s="1" t="s">
        <v>12</v>
      </c>
      <c r="G775" s="1" t="s">
        <v>11</v>
      </c>
      <c r="J775" s="3">
        <v>45891.667326388888</v>
      </c>
      <c r="K775" s="2" t="s">
        <v>7835</v>
      </c>
      <c r="L775" s="1">
        <v>16</v>
      </c>
      <c r="M775" s="1">
        <v>18</v>
      </c>
      <c r="N775">
        <v>2</v>
      </c>
      <c r="O775" s="3">
        <f>IF(
    R775="Ancien",
    _xlfn.XLOOKUP(
        Final_Sans_VGE[[#This Row],[ppn_z]],
        tbl_Historique_Final[ppn_z],
        tbl_Historique_Final[Horodatage],
        ""
    ),
    Horodatage!$A$2
)</f>
        <v>46233.670796365739</v>
      </c>
      <c r="P775" s="1" t="str">
        <f>IFERROR(IF(tbl_Historique_Final[[#This Row],[Commentaires]]&lt;&gt;"",tbl_Historique_Final[[#This Row],[Commentaires]],""),"")</f>
        <v/>
      </c>
      <c r="X775" s="8" t="str">
        <f>IF(Final_Sans_VGE[[#This Row],[ppn_z]]="","",IFERROR(
   IF(_xlfn.XLOOKUP(Final_Sans_VGE[[#This Row],[ppn_z]],tbl_Historique_Final[ppn_z],tbl_Historique_Final[date_modif])=Final_Sans_VGE[[#This Row],[date_modif]],
      "Ancien",
      "Modifié"),
   "Nouveau"))</f>
        <v>Ancien</v>
      </c>
      <c r="AC775"/>
      <c r="AD775"/>
    </row>
    <row r="776" spans="1:30" x14ac:dyDescent="0.25">
      <c r="A776" s="5" t="s">
        <v>2492</v>
      </c>
      <c r="B776" s="1" t="s">
        <v>7836</v>
      </c>
      <c r="C776" s="1" t="s">
        <v>37</v>
      </c>
      <c r="G776" s="1" t="s">
        <v>10</v>
      </c>
      <c r="J776" s="3">
        <v>45936.48269675926</v>
      </c>
      <c r="K776" s="2" t="s">
        <v>7837</v>
      </c>
      <c r="L776" s="1">
        <v>1</v>
      </c>
      <c r="M776" s="1">
        <v>1</v>
      </c>
      <c r="N776">
        <v>0</v>
      </c>
      <c r="O776" s="3">
        <f>IF(
    R776="Ancien",
    _xlfn.XLOOKUP(
        Final_Sans_VGE[[#This Row],[ppn_z]],
        tbl_Historique_Final[ppn_z],
        tbl_Historique_Final[Horodatage],
        ""
    ),
    Horodatage!$A$2
)</f>
        <v>46233.670796365739</v>
      </c>
      <c r="P776" s="1" t="str">
        <f>IFERROR(IF(tbl_Historique_Final[[#This Row],[Commentaires]]&lt;&gt;"",tbl_Historique_Final[[#This Row],[Commentaires]],""),"")</f>
        <v/>
      </c>
      <c r="X776" s="8" t="str">
        <f>IF(Final_Sans_VGE[[#This Row],[ppn_z]]="","",IFERROR(
   IF(_xlfn.XLOOKUP(Final_Sans_VGE[[#This Row],[ppn_z]],tbl_Historique_Final[ppn_z],tbl_Historique_Final[date_modif])=Final_Sans_VGE[[#This Row],[date_modif]],
      "Ancien",
      "Modifié"),
   "Nouveau"))</f>
        <v>Ancien</v>
      </c>
      <c r="AC776"/>
      <c r="AD776"/>
    </row>
    <row r="777" spans="1:30" x14ac:dyDescent="0.25">
      <c r="A777" s="5" t="s">
        <v>2495</v>
      </c>
      <c r="B777" s="1" t="s">
        <v>7838</v>
      </c>
      <c r="C777" s="1" t="s">
        <v>49</v>
      </c>
      <c r="G777" s="1" t="s">
        <v>10</v>
      </c>
      <c r="H777" s="1" t="s">
        <v>22</v>
      </c>
      <c r="I777" s="1" t="s">
        <v>22</v>
      </c>
      <c r="J777" s="3">
        <v>45890.659988425927</v>
      </c>
      <c r="K777" s="2" t="s">
        <v>7839</v>
      </c>
      <c r="L777" s="1">
        <v>10</v>
      </c>
      <c r="M777" s="1">
        <v>14</v>
      </c>
      <c r="N777">
        <v>4</v>
      </c>
      <c r="O777" s="3">
        <f>IF(
    R777="Ancien",
    _xlfn.XLOOKUP(
        Final_Sans_VGE[[#This Row],[ppn_z]],
        tbl_Historique_Final[ppn_z],
        tbl_Historique_Final[Horodatage],
        ""
    ),
    Horodatage!$A$2
)</f>
        <v>46233.670796365739</v>
      </c>
      <c r="P777" s="1" t="str">
        <f>IFERROR(IF(tbl_Historique_Final[[#This Row],[Commentaires]]&lt;&gt;"",tbl_Historique_Final[[#This Row],[Commentaires]],""),"")</f>
        <v/>
      </c>
      <c r="X777" s="8" t="str">
        <f>IF(Final_Sans_VGE[[#This Row],[ppn_z]]="","",IFERROR(
   IF(_xlfn.XLOOKUP(Final_Sans_VGE[[#This Row],[ppn_z]],tbl_Historique_Final[ppn_z],tbl_Historique_Final[date_modif])=Final_Sans_VGE[[#This Row],[date_modif]],
      "Ancien",
      "Modifié"),
   "Nouveau"))</f>
        <v>Ancien</v>
      </c>
      <c r="AC777"/>
      <c r="AD777"/>
    </row>
    <row r="778" spans="1:30" ht="30" x14ac:dyDescent="0.25">
      <c r="A778" s="5" t="s">
        <v>2498</v>
      </c>
      <c r="B778" s="1" t="s">
        <v>7840</v>
      </c>
      <c r="C778" s="1" t="s">
        <v>121</v>
      </c>
      <c r="G778" s="1" t="s">
        <v>10</v>
      </c>
      <c r="J778" s="3">
        <v>45897.581863425927</v>
      </c>
      <c r="K778" s="2" t="s">
        <v>7841</v>
      </c>
      <c r="L778" s="1">
        <v>1</v>
      </c>
      <c r="M778" s="1">
        <v>1</v>
      </c>
      <c r="N778">
        <v>0</v>
      </c>
      <c r="O778" s="3">
        <f>IF(
    R778="Ancien",
    _xlfn.XLOOKUP(
        Final_Sans_VGE[[#This Row],[ppn_z]],
        tbl_Historique_Final[ppn_z],
        tbl_Historique_Final[Horodatage],
        ""
    ),
    Horodatage!$A$2
)</f>
        <v>46233.670796365739</v>
      </c>
      <c r="P778" s="1" t="str">
        <f>IFERROR(IF(tbl_Historique_Final[[#This Row],[Commentaires]]&lt;&gt;"",tbl_Historique_Final[[#This Row],[Commentaires]],""),"")</f>
        <v/>
      </c>
      <c r="X778" s="8" t="str">
        <f>IF(Final_Sans_VGE[[#This Row],[ppn_z]]="","",IFERROR(
   IF(_xlfn.XLOOKUP(Final_Sans_VGE[[#This Row],[ppn_z]],tbl_Historique_Final[ppn_z],tbl_Historique_Final[date_modif])=Final_Sans_VGE[[#This Row],[date_modif]],
      "Ancien",
      "Modifié"),
   "Nouveau"))</f>
        <v>Ancien</v>
      </c>
      <c r="AC778"/>
      <c r="AD778"/>
    </row>
    <row r="779" spans="1:30" ht="30" x14ac:dyDescent="0.25">
      <c r="A779" s="5" t="s">
        <v>2501</v>
      </c>
      <c r="B779" s="1" t="s">
        <v>7842</v>
      </c>
      <c r="C779" s="1" t="s">
        <v>109</v>
      </c>
      <c r="G779" s="1" t="s">
        <v>11</v>
      </c>
      <c r="J779" s="3">
        <v>45811.412291666667</v>
      </c>
      <c r="K779" s="2" t="s">
        <v>7843</v>
      </c>
      <c r="L779" s="1">
        <v>1</v>
      </c>
      <c r="M779" s="1">
        <v>1</v>
      </c>
      <c r="N779">
        <v>0</v>
      </c>
      <c r="O779" s="3">
        <f>IF(
    R779="Ancien",
    _xlfn.XLOOKUP(
        Final_Sans_VGE[[#This Row],[ppn_z]],
        tbl_Historique_Final[ppn_z],
        tbl_Historique_Final[Horodatage],
        ""
    ),
    Horodatage!$A$2
)</f>
        <v>46233.670796365739</v>
      </c>
      <c r="P779" s="1" t="str">
        <f>IFERROR(IF(tbl_Historique_Final[[#This Row],[Commentaires]]&lt;&gt;"",tbl_Historique_Final[[#This Row],[Commentaires]],""),"")</f>
        <v/>
      </c>
      <c r="X779" s="8" t="str">
        <f>IF(Final_Sans_VGE[[#This Row],[ppn_z]]="","",IFERROR(
   IF(_xlfn.XLOOKUP(Final_Sans_VGE[[#This Row],[ppn_z]],tbl_Historique_Final[ppn_z],tbl_Historique_Final[date_modif])=Final_Sans_VGE[[#This Row],[date_modif]],
      "Ancien",
      "Modifié"),
   "Nouveau"))</f>
        <v>Ancien</v>
      </c>
      <c r="AC779"/>
      <c r="AD779"/>
    </row>
    <row r="780" spans="1:30" ht="30" x14ac:dyDescent="0.25">
      <c r="A780" s="5" t="s">
        <v>2504</v>
      </c>
      <c r="B780" s="1" t="s">
        <v>7844</v>
      </c>
      <c r="C780" s="1" t="s">
        <v>12</v>
      </c>
      <c r="G780" s="1" t="s">
        <v>11</v>
      </c>
      <c r="J780" s="3">
        <v>45903.47252314815</v>
      </c>
      <c r="K780" s="2" t="s">
        <v>7845</v>
      </c>
      <c r="L780" s="1">
        <v>2</v>
      </c>
      <c r="M780" s="1">
        <v>2</v>
      </c>
      <c r="N780">
        <v>0</v>
      </c>
      <c r="O780" s="3">
        <f>IF(
    R780="Ancien",
    _xlfn.XLOOKUP(
        Final_Sans_VGE[[#This Row],[ppn_z]],
        tbl_Historique_Final[ppn_z],
        tbl_Historique_Final[Horodatage],
        ""
    ),
    Horodatage!$A$2
)</f>
        <v>46233.670796365739</v>
      </c>
      <c r="P780" s="1" t="str">
        <f>IFERROR(IF(tbl_Historique_Final[[#This Row],[Commentaires]]&lt;&gt;"",tbl_Historique_Final[[#This Row],[Commentaires]],""),"")</f>
        <v/>
      </c>
      <c r="X780" s="8" t="str">
        <f>IF(Final_Sans_VGE[[#This Row],[ppn_z]]="","",IFERROR(
   IF(_xlfn.XLOOKUP(Final_Sans_VGE[[#This Row],[ppn_z]],tbl_Historique_Final[ppn_z],tbl_Historique_Final[date_modif])=Final_Sans_VGE[[#This Row],[date_modif]],
      "Ancien",
      "Modifié"),
   "Nouveau"))</f>
        <v>Ancien</v>
      </c>
      <c r="AC780"/>
      <c r="AD780"/>
    </row>
    <row r="781" spans="1:30" ht="30" x14ac:dyDescent="0.25">
      <c r="A781" s="5" t="s">
        <v>2507</v>
      </c>
      <c r="B781" s="1" t="s">
        <v>7846</v>
      </c>
      <c r="C781" s="1" t="s">
        <v>12</v>
      </c>
      <c r="G781" s="1" t="s">
        <v>10</v>
      </c>
      <c r="J781" s="3">
        <v>45912.345011574071</v>
      </c>
      <c r="K781" s="2" t="s">
        <v>7847</v>
      </c>
      <c r="L781" s="1">
        <v>1</v>
      </c>
      <c r="M781" s="1">
        <v>1</v>
      </c>
      <c r="N781">
        <v>0</v>
      </c>
      <c r="O781" s="3">
        <f>IF(
    R781="Ancien",
    _xlfn.XLOOKUP(
        Final_Sans_VGE[[#This Row],[ppn_z]],
        tbl_Historique_Final[ppn_z],
        tbl_Historique_Final[Horodatage],
        ""
    ),
    Horodatage!$A$2
)</f>
        <v>46233.670796365739</v>
      </c>
      <c r="P781" s="1" t="str">
        <f>IFERROR(IF(tbl_Historique_Final[[#This Row],[Commentaires]]&lt;&gt;"",tbl_Historique_Final[[#This Row],[Commentaires]],""),"")</f>
        <v/>
      </c>
      <c r="X781" s="8" t="str">
        <f>IF(Final_Sans_VGE[[#This Row],[ppn_z]]="","",IFERROR(
   IF(_xlfn.XLOOKUP(Final_Sans_VGE[[#This Row],[ppn_z]],tbl_Historique_Final[ppn_z],tbl_Historique_Final[date_modif])=Final_Sans_VGE[[#This Row],[date_modif]],
      "Ancien",
      "Modifié"),
   "Nouveau"))</f>
        <v>Ancien</v>
      </c>
      <c r="AC781"/>
      <c r="AD781"/>
    </row>
    <row r="782" spans="1:30" x14ac:dyDescent="0.25">
      <c r="A782" s="5" t="s">
        <v>2510</v>
      </c>
      <c r="B782" s="1" t="s">
        <v>7848</v>
      </c>
      <c r="C782" s="1" t="s">
        <v>6554</v>
      </c>
      <c r="G782" s="1" t="s">
        <v>10</v>
      </c>
      <c r="J782" s="3">
        <v>45897.497395833336</v>
      </c>
      <c r="K782" s="2" t="s">
        <v>7849</v>
      </c>
      <c r="L782" s="1">
        <v>1</v>
      </c>
      <c r="M782" s="1">
        <v>1</v>
      </c>
      <c r="N782">
        <v>0</v>
      </c>
      <c r="O782" s="3">
        <f>IF(
    R782="Ancien",
    _xlfn.XLOOKUP(
        Final_Sans_VGE[[#This Row],[ppn_z]],
        tbl_Historique_Final[ppn_z],
        tbl_Historique_Final[Horodatage],
        ""
    ),
    Horodatage!$A$2
)</f>
        <v>46233.670796365739</v>
      </c>
      <c r="P782" s="1" t="str">
        <f>IFERROR(IF(tbl_Historique_Final[[#This Row],[Commentaires]]&lt;&gt;"",tbl_Historique_Final[[#This Row],[Commentaires]],""),"")</f>
        <v/>
      </c>
      <c r="X782" s="8" t="str">
        <f>IF(Final_Sans_VGE[[#This Row],[ppn_z]]="","",IFERROR(
   IF(_xlfn.XLOOKUP(Final_Sans_VGE[[#This Row],[ppn_z]],tbl_Historique_Final[ppn_z],tbl_Historique_Final[date_modif])=Final_Sans_VGE[[#This Row],[date_modif]],
      "Ancien",
      "Modifié"),
   "Nouveau"))</f>
        <v>Ancien</v>
      </c>
      <c r="AC782"/>
      <c r="AD782"/>
    </row>
    <row r="783" spans="1:30" ht="30" x14ac:dyDescent="0.25">
      <c r="A783" s="5" t="s">
        <v>2513</v>
      </c>
      <c r="B783" s="1" t="s">
        <v>7850</v>
      </c>
      <c r="C783" s="1" t="s">
        <v>49</v>
      </c>
      <c r="G783" s="1" t="s">
        <v>11</v>
      </c>
      <c r="H783" s="1" t="s">
        <v>22</v>
      </c>
      <c r="I783" s="1" t="s">
        <v>22</v>
      </c>
      <c r="J783" s="3">
        <v>45880.799097222225</v>
      </c>
      <c r="K783" s="2" t="s">
        <v>7851</v>
      </c>
      <c r="L783" s="1">
        <v>7</v>
      </c>
      <c r="M783" s="1">
        <v>8</v>
      </c>
      <c r="N783">
        <v>1</v>
      </c>
      <c r="O783" s="3">
        <f>IF(
    R783="Ancien",
    _xlfn.XLOOKUP(
        Final_Sans_VGE[[#This Row],[ppn_z]],
        tbl_Historique_Final[ppn_z],
        tbl_Historique_Final[Horodatage],
        ""
    ),
    Horodatage!$A$2
)</f>
        <v>46233.670796365739</v>
      </c>
      <c r="P783" s="1" t="str">
        <f>IFERROR(IF(tbl_Historique_Final[[#This Row],[Commentaires]]&lt;&gt;"",tbl_Historique_Final[[#This Row],[Commentaires]],""),"")</f>
        <v/>
      </c>
      <c r="X783" s="8" t="str">
        <f>IF(Final_Sans_VGE[[#This Row],[ppn_z]]="","",IFERROR(
   IF(_xlfn.XLOOKUP(Final_Sans_VGE[[#This Row],[ppn_z]],tbl_Historique_Final[ppn_z],tbl_Historique_Final[date_modif])=Final_Sans_VGE[[#This Row],[date_modif]],
      "Ancien",
      "Modifié"),
   "Nouveau"))</f>
        <v>Ancien</v>
      </c>
      <c r="AC783"/>
      <c r="AD783"/>
    </row>
    <row r="784" spans="1:30" x14ac:dyDescent="0.25">
      <c r="A784" s="5" t="s">
        <v>2516</v>
      </c>
      <c r="B784" s="1" t="s">
        <v>7852</v>
      </c>
      <c r="C784" s="1" t="s">
        <v>12</v>
      </c>
      <c r="G784" s="1" t="s">
        <v>11</v>
      </c>
      <c r="J784" s="3">
        <v>45903.472245370373</v>
      </c>
      <c r="K784" s="2" t="s">
        <v>7853</v>
      </c>
      <c r="L784" s="1">
        <v>3</v>
      </c>
      <c r="M784" s="1">
        <v>3</v>
      </c>
      <c r="N784">
        <v>0</v>
      </c>
      <c r="O784" s="3">
        <f>IF(
    R784="Ancien",
    _xlfn.XLOOKUP(
        Final_Sans_VGE[[#This Row],[ppn_z]],
        tbl_Historique_Final[ppn_z],
        tbl_Historique_Final[Horodatage],
        ""
    ),
    Horodatage!$A$2
)</f>
        <v>46233.670796365739</v>
      </c>
      <c r="P784" s="1" t="str">
        <f>IFERROR(IF(tbl_Historique_Final[[#This Row],[Commentaires]]&lt;&gt;"",tbl_Historique_Final[[#This Row],[Commentaires]],""),"")</f>
        <v/>
      </c>
      <c r="X784" s="8" t="str">
        <f>IF(Final_Sans_VGE[[#This Row],[ppn_z]]="","",IFERROR(
   IF(_xlfn.XLOOKUP(Final_Sans_VGE[[#This Row],[ppn_z]],tbl_Historique_Final[ppn_z],tbl_Historique_Final[date_modif])=Final_Sans_VGE[[#This Row],[date_modif]],
      "Ancien",
      "Modifié"),
   "Nouveau"))</f>
        <v>Ancien</v>
      </c>
      <c r="AC784"/>
      <c r="AD784"/>
    </row>
    <row r="785" spans="1:30" ht="45" x14ac:dyDescent="0.25">
      <c r="A785" s="5" t="s">
        <v>2519</v>
      </c>
      <c r="B785" s="1" t="s">
        <v>7854</v>
      </c>
      <c r="C785" s="1" t="s">
        <v>109</v>
      </c>
      <c r="G785" s="1" t="s">
        <v>11</v>
      </c>
      <c r="J785" s="3">
        <v>45904.543622685182</v>
      </c>
      <c r="K785" s="2" t="s">
        <v>7855</v>
      </c>
      <c r="L785" s="1">
        <v>2</v>
      </c>
      <c r="M785" s="1">
        <v>8</v>
      </c>
      <c r="N785">
        <v>6</v>
      </c>
      <c r="O785" s="3">
        <f>IF(
    R785="Ancien",
    _xlfn.XLOOKUP(
        Final_Sans_VGE[[#This Row],[ppn_z]],
        tbl_Historique_Final[ppn_z],
        tbl_Historique_Final[Horodatage],
        ""
    ),
    Horodatage!$A$2
)</f>
        <v>46233.670796365739</v>
      </c>
      <c r="P785" s="1" t="str">
        <f>IFERROR(IF(tbl_Historique_Final[[#This Row],[Commentaires]]&lt;&gt;"",tbl_Historique_Final[[#This Row],[Commentaires]],""),"")</f>
        <v/>
      </c>
      <c r="X785" s="8" t="str">
        <f>IF(Final_Sans_VGE[[#This Row],[ppn_z]]="","",IFERROR(
   IF(_xlfn.XLOOKUP(Final_Sans_VGE[[#This Row],[ppn_z]],tbl_Historique_Final[ppn_z],tbl_Historique_Final[date_modif])=Final_Sans_VGE[[#This Row],[date_modif]],
      "Ancien",
      "Modifié"),
   "Nouveau"))</f>
        <v>Ancien</v>
      </c>
      <c r="AC785"/>
      <c r="AD785"/>
    </row>
    <row r="786" spans="1:30" x14ac:dyDescent="0.25">
      <c r="A786" s="5" t="s">
        <v>2522</v>
      </c>
      <c r="B786" s="1" t="s">
        <v>7856</v>
      </c>
      <c r="C786" s="1" t="s">
        <v>72</v>
      </c>
      <c r="D786" s="1" t="s">
        <v>7857</v>
      </c>
      <c r="G786" s="1" t="s">
        <v>10</v>
      </c>
      <c r="H786" s="1" t="s">
        <v>22</v>
      </c>
      <c r="I786" s="1" t="s">
        <v>22</v>
      </c>
      <c r="J786" s="3">
        <v>45952.502256944441</v>
      </c>
      <c r="K786" s="2" t="s">
        <v>7858</v>
      </c>
      <c r="L786" s="1">
        <v>5</v>
      </c>
      <c r="M786" s="1">
        <v>12</v>
      </c>
      <c r="N786">
        <v>7</v>
      </c>
      <c r="O786" s="3">
        <f>IF(
    R786="Ancien",
    _xlfn.XLOOKUP(
        Final_Sans_VGE[[#This Row],[ppn_z]],
        tbl_Historique_Final[ppn_z],
        tbl_Historique_Final[Horodatage],
        ""
    ),
    Horodatage!$A$2
)</f>
        <v>46233.670796365739</v>
      </c>
      <c r="P786" s="1" t="str">
        <f>IFERROR(IF(tbl_Historique_Final[[#This Row],[Commentaires]]&lt;&gt;"",tbl_Historique_Final[[#This Row],[Commentaires]],""),"")</f>
        <v/>
      </c>
      <c r="X786" s="8" t="str">
        <f>IF(Final_Sans_VGE[[#This Row],[ppn_z]]="","",IFERROR(
   IF(_xlfn.XLOOKUP(Final_Sans_VGE[[#This Row],[ppn_z]],tbl_Historique_Final[ppn_z],tbl_Historique_Final[date_modif])=Final_Sans_VGE[[#This Row],[date_modif]],
      "Ancien",
      "Modifié"),
   "Nouveau"))</f>
        <v>Ancien</v>
      </c>
      <c r="AC786"/>
      <c r="AD786"/>
    </row>
    <row r="787" spans="1:30" ht="30" x14ac:dyDescent="0.25">
      <c r="A787" s="5" t="s">
        <v>2525</v>
      </c>
      <c r="B787" s="1" t="s">
        <v>7859</v>
      </c>
      <c r="C787" s="1" t="s">
        <v>33</v>
      </c>
      <c r="G787" s="1" t="s">
        <v>10</v>
      </c>
      <c r="J787" s="3">
        <v>45897.49324074074</v>
      </c>
      <c r="K787" s="2" t="s">
        <v>7860</v>
      </c>
      <c r="L787" s="1">
        <v>1</v>
      </c>
      <c r="M787" s="1">
        <v>1</v>
      </c>
      <c r="N787">
        <v>0</v>
      </c>
      <c r="O787" s="3">
        <f>IF(
    R787="Ancien",
    _xlfn.XLOOKUP(
        Final_Sans_VGE[[#This Row],[ppn_z]],
        tbl_Historique_Final[ppn_z],
        tbl_Historique_Final[Horodatage],
        ""
    ),
    Horodatage!$A$2
)</f>
        <v>46233.670796365739</v>
      </c>
      <c r="P787" s="1" t="str">
        <f>IFERROR(IF(tbl_Historique_Final[[#This Row],[Commentaires]]&lt;&gt;"",tbl_Historique_Final[[#This Row],[Commentaires]],""),"")</f>
        <v/>
      </c>
      <c r="X787" s="8" t="str">
        <f>IF(Final_Sans_VGE[[#This Row],[ppn_z]]="","",IFERROR(
   IF(_xlfn.XLOOKUP(Final_Sans_VGE[[#This Row],[ppn_z]],tbl_Historique_Final[ppn_z],tbl_Historique_Final[date_modif])=Final_Sans_VGE[[#This Row],[date_modif]],
      "Ancien",
      "Modifié"),
   "Nouveau"))</f>
        <v>Ancien</v>
      </c>
      <c r="AC787"/>
      <c r="AD787"/>
    </row>
    <row r="788" spans="1:30" x14ac:dyDescent="0.25">
      <c r="A788" s="5" t="s">
        <v>2528</v>
      </c>
      <c r="B788" s="1" t="s">
        <v>7861</v>
      </c>
      <c r="C788" s="1" t="s">
        <v>12</v>
      </c>
      <c r="G788" s="1" t="s">
        <v>11</v>
      </c>
      <c r="J788" s="3">
        <v>45939.407013888886</v>
      </c>
      <c r="K788" s="2" t="s">
        <v>7862</v>
      </c>
      <c r="L788" s="1">
        <v>1</v>
      </c>
      <c r="M788" s="1">
        <v>1</v>
      </c>
      <c r="N788">
        <v>0</v>
      </c>
      <c r="O788" s="3">
        <f>IF(
    R788="Ancien",
    _xlfn.XLOOKUP(
        Final_Sans_VGE[[#This Row],[ppn_z]],
        tbl_Historique_Final[ppn_z],
        tbl_Historique_Final[Horodatage],
        ""
    ),
    Horodatage!$A$2
)</f>
        <v>46233.670796365739</v>
      </c>
      <c r="P788" s="1" t="str">
        <f>IFERROR(IF(tbl_Historique_Final[[#This Row],[Commentaires]]&lt;&gt;"",tbl_Historique_Final[[#This Row],[Commentaires]],""),"")</f>
        <v/>
      </c>
      <c r="X788" s="8" t="str">
        <f>IF(Final_Sans_VGE[[#This Row],[ppn_z]]="","",IFERROR(
   IF(_xlfn.XLOOKUP(Final_Sans_VGE[[#This Row],[ppn_z]],tbl_Historique_Final[ppn_z],tbl_Historique_Final[date_modif])=Final_Sans_VGE[[#This Row],[date_modif]],
      "Ancien",
      "Modifié"),
   "Nouveau"))</f>
        <v>Ancien</v>
      </c>
      <c r="AC788"/>
      <c r="AD788"/>
    </row>
    <row r="789" spans="1:30" x14ac:dyDescent="0.25">
      <c r="A789" s="5" t="s">
        <v>2531</v>
      </c>
      <c r="B789" s="1" t="s">
        <v>7863</v>
      </c>
      <c r="C789" s="1" t="s">
        <v>6482</v>
      </c>
      <c r="D789" s="1" t="s">
        <v>14</v>
      </c>
      <c r="G789" s="1" t="s">
        <v>11</v>
      </c>
      <c r="H789" s="1" t="s">
        <v>6448</v>
      </c>
      <c r="I789" s="1" t="s">
        <v>7864</v>
      </c>
      <c r="J789" s="3">
        <v>45842.644155092596</v>
      </c>
      <c r="K789" s="2" t="s">
        <v>7865</v>
      </c>
      <c r="L789" s="1">
        <v>11</v>
      </c>
      <c r="M789" s="1">
        <v>12</v>
      </c>
      <c r="N789">
        <v>1</v>
      </c>
      <c r="O789" s="3">
        <f>IF(
    R789="Ancien",
    _xlfn.XLOOKUP(
        Final_Sans_VGE[[#This Row],[ppn_z]],
        tbl_Historique_Final[ppn_z],
        tbl_Historique_Final[Horodatage],
        ""
    ),
    Horodatage!$A$2
)</f>
        <v>46233.670796365739</v>
      </c>
      <c r="P789" s="1" t="str">
        <f>IFERROR(IF(tbl_Historique_Final[[#This Row],[Commentaires]]&lt;&gt;"",tbl_Historique_Final[[#This Row],[Commentaires]],""),"")</f>
        <v/>
      </c>
      <c r="X789" s="8" t="str">
        <f>IF(Final_Sans_VGE[[#This Row],[ppn_z]]="","",IFERROR(
   IF(_xlfn.XLOOKUP(Final_Sans_VGE[[#This Row],[ppn_z]],tbl_Historique_Final[ppn_z],tbl_Historique_Final[date_modif])=Final_Sans_VGE[[#This Row],[date_modif]],
      "Ancien",
      "Modifié"),
   "Nouveau"))</f>
        <v>Ancien</v>
      </c>
      <c r="AC789"/>
      <c r="AD789"/>
    </row>
    <row r="790" spans="1:30" ht="45" x14ac:dyDescent="0.25">
      <c r="A790" s="5" t="s">
        <v>2534</v>
      </c>
      <c r="B790" s="1" t="s">
        <v>7866</v>
      </c>
      <c r="C790" s="1" t="s">
        <v>12</v>
      </c>
      <c r="G790" s="1" t="s">
        <v>11</v>
      </c>
      <c r="J790" s="3">
        <v>45902.607291666667</v>
      </c>
      <c r="K790" s="2" t="s">
        <v>7867</v>
      </c>
      <c r="L790" s="1">
        <v>1</v>
      </c>
      <c r="M790" s="1">
        <v>1</v>
      </c>
      <c r="N790">
        <v>0</v>
      </c>
      <c r="O790" s="3">
        <f>IF(
    R790="Ancien",
    _xlfn.XLOOKUP(
        Final_Sans_VGE[[#This Row],[ppn_z]],
        tbl_Historique_Final[ppn_z],
        tbl_Historique_Final[Horodatage],
        ""
    ),
    Horodatage!$A$2
)</f>
        <v>46233.670796365739</v>
      </c>
      <c r="P790" s="1" t="str">
        <f>IFERROR(IF(tbl_Historique_Final[[#This Row],[Commentaires]]&lt;&gt;"",tbl_Historique_Final[[#This Row],[Commentaires]],""),"")</f>
        <v/>
      </c>
      <c r="X790" s="8" t="str">
        <f>IF(Final_Sans_VGE[[#This Row],[ppn_z]]="","",IFERROR(
   IF(_xlfn.XLOOKUP(Final_Sans_VGE[[#This Row],[ppn_z]],tbl_Historique_Final[ppn_z],tbl_Historique_Final[date_modif])=Final_Sans_VGE[[#This Row],[date_modif]],
      "Ancien",
      "Modifié"),
   "Nouveau"))</f>
        <v>Ancien</v>
      </c>
      <c r="AC790"/>
      <c r="AD790"/>
    </row>
    <row r="791" spans="1:30" x14ac:dyDescent="0.25">
      <c r="A791" s="5" t="s">
        <v>2537</v>
      </c>
      <c r="B791" s="1" t="s">
        <v>7868</v>
      </c>
      <c r="J791" s="3">
        <v>45560.377615740741</v>
      </c>
      <c r="L791" s="1">
        <v>1</v>
      </c>
      <c r="M791" s="1">
        <v>1</v>
      </c>
      <c r="N791">
        <v>0</v>
      </c>
      <c r="O791" s="3">
        <f>IF(
    R791="Ancien",
    _xlfn.XLOOKUP(
        Final_Sans_VGE[[#This Row],[ppn_z]],
        tbl_Historique_Final[ppn_z],
        tbl_Historique_Final[Horodatage],
        ""
    ),
    Horodatage!$A$2
)</f>
        <v>46233.670796365739</v>
      </c>
      <c r="P791" s="1" t="str">
        <f>IFERROR(IF(tbl_Historique_Final[[#This Row],[Commentaires]]&lt;&gt;"",tbl_Historique_Final[[#This Row],[Commentaires]],""),"")</f>
        <v/>
      </c>
      <c r="X791" s="8" t="str">
        <f>IF(Final_Sans_VGE[[#This Row],[ppn_z]]="","",IFERROR(
   IF(_xlfn.XLOOKUP(Final_Sans_VGE[[#This Row],[ppn_z]],tbl_Historique_Final[ppn_z],tbl_Historique_Final[date_modif])=Final_Sans_VGE[[#This Row],[date_modif]],
      "Ancien",
      "Modifié"),
   "Nouveau"))</f>
        <v>Ancien</v>
      </c>
      <c r="AC791"/>
      <c r="AD791"/>
    </row>
    <row r="792" spans="1:30" ht="30" x14ac:dyDescent="0.25">
      <c r="A792" s="5" t="s">
        <v>2540</v>
      </c>
      <c r="B792" s="1" t="s">
        <v>7869</v>
      </c>
      <c r="C792" s="1" t="s">
        <v>72</v>
      </c>
      <c r="D792" s="1" t="s">
        <v>7870</v>
      </c>
      <c r="G792" s="1" t="s">
        <v>10</v>
      </c>
      <c r="H792" s="1" t="s">
        <v>22</v>
      </c>
      <c r="I792" s="1" t="s">
        <v>22</v>
      </c>
      <c r="J792" s="3">
        <v>45880.62605324074</v>
      </c>
      <c r="K792" s="2" t="s">
        <v>7871</v>
      </c>
      <c r="L792" s="1">
        <v>19</v>
      </c>
      <c r="M792" s="1">
        <v>21</v>
      </c>
      <c r="N792">
        <v>2</v>
      </c>
      <c r="O792" s="3">
        <f>IF(
    R792="Ancien",
    _xlfn.XLOOKUP(
        Final_Sans_VGE[[#This Row],[ppn_z]],
        tbl_Historique_Final[ppn_z],
        tbl_Historique_Final[Horodatage],
        ""
    ),
    Horodatage!$A$2
)</f>
        <v>46233.670796365739</v>
      </c>
      <c r="P792" s="1" t="str">
        <f>IFERROR(IF(tbl_Historique_Final[[#This Row],[Commentaires]]&lt;&gt;"",tbl_Historique_Final[[#This Row],[Commentaires]],""),"")</f>
        <v/>
      </c>
      <c r="X792" s="8" t="str">
        <f>IF(Final_Sans_VGE[[#This Row],[ppn_z]]="","",IFERROR(
   IF(_xlfn.XLOOKUP(Final_Sans_VGE[[#This Row],[ppn_z]],tbl_Historique_Final[ppn_z],tbl_Historique_Final[date_modif])=Final_Sans_VGE[[#This Row],[date_modif]],
      "Ancien",
      "Modifié"),
   "Nouveau"))</f>
        <v>Ancien</v>
      </c>
      <c r="AC792"/>
      <c r="AD792"/>
    </row>
    <row r="793" spans="1:30" ht="30" x14ac:dyDescent="0.25">
      <c r="A793" s="5" t="s">
        <v>2543</v>
      </c>
      <c r="B793" s="1" t="s">
        <v>7872</v>
      </c>
      <c r="C793" s="1" t="s">
        <v>12</v>
      </c>
      <c r="G793" s="1" t="s">
        <v>10</v>
      </c>
      <c r="J793" s="3">
        <v>45903.622615740744</v>
      </c>
      <c r="K793" s="2" t="s">
        <v>7873</v>
      </c>
      <c r="L793" s="1">
        <v>1</v>
      </c>
      <c r="M793" s="1">
        <v>1</v>
      </c>
      <c r="N793">
        <v>0</v>
      </c>
      <c r="O793" s="3">
        <f>IF(
    R793="Ancien",
    _xlfn.XLOOKUP(
        Final_Sans_VGE[[#This Row],[ppn_z]],
        tbl_Historique_Final[ppn_z],
        tbl_Historique_Final[Horodatage],
        ""
    ),
    Horodatage!$A$2
)</f>
        <v>46233.670796365739</v>
      </c>
      <c r="P793" s="1" t="str">
        <f>IFERROR(IF(tbl_Historique_Final[[#This Row],[Commentaires]]&lt;&gt;"",tbl_Historique_Final[[#This Row],[Commentaires]],""),"")</f>
        <v/>
      </c>
      <c r="X793" s="8" t="str">
        <f>IF(Final_Sans_VGE[[#This Row],[ppn_z]]="","",IFERROR(
   IF(_xlfn.XLOOKUP(Final_Sans_VGE[[#This Row],[ppn_z]],tbl_Historique_Final[ppn_z],tbl_Historique_Final[date_modif])=Final_Sans_VGE[[#This Row],[date_modif]],
      "Ancien",
      "Modifié"),
   "Nouveau"))</f>
        <v>Ancien</v>
      </c>
      <c r="AC793"/>
      <c r="AD793"/>
    </row>
    <row r="794" spans="1:30" ht="30" x14ac:dyDescent="0.25">
      <c r="A794" s="5" t="s">
        <v>2546</v>
      </c>
      <c r="B794" s="1" t="s">
        <v>7874</v>
      </c>
      <c r="C794" s="1" t="s">
        <v>131</v>
      </c>
      <c r="G794" s="1" t="s">
        <v>11</v>
      </c>
      <c r="J794" s="3">
        <v>45950.6406712963</v>
      </c>
      <c r="K794" s="2" t="s">
        <v>7875</v>
      </c>
      <c r="L794" s="1">
        <v>1</v>
      </c>
      <c r="M794" s="1">
        <v>2</v>
      </c>
      <c r="N794">
        <v>1</v>
      </c>
      <c r="O794" s="3">
        <f>IF(
    R794="Ancien",
    _xlfn.XLOOKUP(
        Final_Sans_VGE[[#This Row],[ppn_z]],
        tbl_Historique_Final[ppn_z],
        tbl_Historique_Final[Horodatage],
        ""
    ),
    Horodatage!$A$2
)</f>
        <v>46233.670796365739</v>
      </c>
      <c r="P794" s="1" t="str">
        <f>IFERROR(IF(tbl_Historique_Final[[#This Row],[Commentaires]]&lt;&gt;"",tbl_Historique_Final[[#This Row],[Commentaires]],""),"")</f>
        <v/>
      </c>
      <c r="X794" s="8" t="str">
        <f>IF(Final_Sans_VGE[[#This Row],[ppn_z]]="","",IFERROR(
   IF(_xlfn.XLOOKUP(Final_Sans_VGE[[#This Row],[ppn_z]],tbl_Historique_Final[ppn_z],tbl_Historique_Final[date_modif])=Final_Sans_VGE[[#This Row],[date_modif]],
      "Ancien",
      "Modifié"),
   "Nouveau"))</f>
        <v>Ancien</v>
      </c>
      <c r="AC794"/>
      <c r="AD794"/>
    </row>
    <row r="795" spans="1:30" x14ac:dyDescent="0.25">
      <c r="A795" s="5" t="s">
        <v>2549</v>
      </c>
      <c r="B795" s="1" t="s">
        <v>7876</v>
      </c>
      <c r="C795" s="1" t="s">
        <v>12</v>
      </c>
      <c r="G795" s="1" t="s">
        <v>10</v>
      </c>
      <c r="J795" s="3">
        <v>45860.60596064815</v>
      </c>
      <c r="K795" s="2" t="s">
        <v>7877</v>
      </c>
      <c r="L795" s="1">
        <v>1</v>
      </c>
      <c r="M795" s="1">
        <v>1</v>
      </c>
      <c r="N795">
        <v>0</v>
      </c>
      <c r="O795" s="3">
        <f>IF(
    R795="Ancien",
    _xlfn.XLOOKUP(
        Final_Sans_VGE[[#This Row],[ppn_z]],
        tbl_Historique_Final[ppn_z],
        tbl_Historique_Final[Horodatage],
        ""
    ),
    Horodatage!$A$2
)</f>
        <v>46233.670796365739</v>
      </c>
      <c r="P795" s="1" t="str">
        <f>IFERROR(IF(tbl_Historique_Final[[#This Row],[Commentaires]]&lt;&gt;"",tbl_Historique_Final[[#This Row],[Commentaires]],""),"")</f>
        <v/>
      </c>
      <c r="X795" s="8" t="str">
        <f>IF(Final_Sans_VGE[[#This Row],[ppn_z]]="","",IFERROR(
   IF(_xlfn.XLOOKUP(Final_Sans_VGE[[#This Row],[ppn_z]],tbl_Historique_Final[ppn_z],tbl_Historique_Final[date_modif])=Final_Sans_VGE[[#This Row],[date_modif]],
      "Ancien",
      "Modifié"),
   "Nouveau"))</f>
        <v>Ancien</v>
      </c>
      <c r="AC795"/>
      <c r="AD795"/>
    </row>
    <row r="796" spans="1:30" x14ac:dyDescent="0.25">
      <c r="A796" s="5" t="s">
        <v>2552</v>
      </c>
      <c r="B796" s="1" t="s">
        <v>7878</v>
      </c>
      <c r="C796" s="1" t="s">
        <v>12</v>
      </c>
      <c r="G796" s="1" t="s">
        <v>10</v>
      </c>
      <c r="H796" s="1" t="s">
        <v>140</v>
      </c>
      <c r="I796" s="1" t="s">
        <v>22</v>
      </c>
      <c r="J796" s="3">
        <v>45842.46199074074</v>
      </c>
      <c r="K796" s="2" t="s">
        <v>7879</v>
      </c>
      <c r="L796" s="1">
        <v>12</v>
      </c>
      <c r="M796" s="1">
        <v>15</v>
      </c>
      <c r="N796">
        <v>3</v>
      </c>
      <c r="O796" s="3">
        <f>IF(
    R796="Ancien",
    _xlfn.XLOOKUP(
        Final_Sans_VGE[[#This Row],[ppn_z]],
        tbl_Historique_Final[ppn_z],
        tbl_Historique_Final[Horodatage],
        ""
    ),
    Horodatage!$A$2
)</f>
        <v>46233.670796365739</v>
      </c>
      <c r="P796" s="1" t="str">
        <f>IFERROR(IF(tbl_Historique_Final[[#This Row],[Commentaires]]&lt;&gt;"",tbl_Historique_Final[[#This Row],[Commentaires]],""),"")</f>
        <v/>
      </c>
      <c r="X796" s="8" t="str">
        <f>IF(Final_Sans_VGE[[#This Row],[ppn_z]]="","",IFERROR(
   IF(_xlfn.XLOOKUP(Final_Sans_VGE[[#This Row],[ppn_z]],tbl_Historique_Final[ppn_z],tbl_Historique_Final[date_modif])=Final_Sans_VGE[[#This Row],[date_modif]],
      "Ancien",
      "Modifié"),
   "Nouveau"))</f>
        <v>Ancien</v>
      </c>
      <c r="AC796"/>
      <c r="AD796"/>
    </row>
    <row r="797" spans="1:30" ht="30" x14ac:dyDescent="0.25">
      <c r="A797" s="5" t="s">
        <v>2555</v>
      </c>
      <c r="B797" s="1" t="s">
        <v>7880</v>
      </c>
      <c r="C797" s="1" t="s">
        <v>52</v>
      </c>
      <c r="G797" s="1" t="s">
        <v>11</v>
      </c>
      <c r="J797" s="3">
        <v>45944.56758101852</v>
      </c>
      <c r="K797" s="2" t="s">
        <v>7881</v>
      </c>
      <c r="L797" s="1">
        <v>3</v>
      </c>
      <c r="M797" s="1">
        <v>4</v>
      </c>
      <c r="N797">
        <v>1</v>
      </c>
      <c r="O797" s="3">
        <f>IF(
    R797="Ancien",
    _xlfn.XLOOKUP(
        Final_Sans_VGE[[#This Row],[ppn_z]],
        tbl_Historique_Final[ppn_z],
        tbl_Historique_Final[Horodatage],
        ""
    ),
    Horodatage!$A$2
)</f>
        <v>46233.670796365739</v>
      </c>
      <c r="P797" s="1" t="str">
        <f>IFERROR(IF(tbl_Historique_Final[[#This Row],[Commentaires]]&lt;&gt;"",tbl_Historique_Final[[#This Row],[Commentaires]],""),"")</f>
        <v/>
      </c>
      <c r="X797" s="8" t="str">
        <f>IF(Final_Sans_VGE[[#This Row],[ppn_z]]="","",IFERROR(
   IF(_xlfn.XLOOKUP(Final_Sans_VGE[[#This Row],[ppn_z]],tbl_Historique_Final[ppn_z],tbl_Historique_Final[date_modif])=Final_Sans_VGE[[#This Row],[date_modif]],
      "Ancien",
      "Modifié"),
   "Nouveau"))</f>
        <v>Ancien</v>
      </c>
      <c r="AC797"/>
      <c r="AD797"/>
    </row>
    <row r="798" spans="1:30" ht="45" x14ac:dyDescent="0.25">
      <c r="A798" s="5" t="s">
        <v>2558</v>
      </c>
      <c r="B798" s="1" t="s">
        <v>7882</v>
      </c>
      <c r="C798" s="1" t="s">
        <v>89</v>
      </c>
      <c r="D798" s="1" t="s">
        <v>7883</v>
      </c>
      <c r="G798" s="1" t="s">
        <v>10</v>
      </c>
      <c r="H798" s="1" t="s">
        <v>22</v>
      </c>
      <c r="I798" s="1" t="s">
        <v>22</v>
      </c>
      <c r="J798" s="3">
        <v>45819.367997685185</v>
      </c>
      <c r="K798" s="2" t="s">
        <v>7884</v>
      </c>
      <c r="L798" s="1">
        <v>31</v>
      </c>
      <c r="M798" s="1">
        <v>46</v>
      </c>
      <c r="N798">
        <v>15</v>
      </c>
      <c r="O798" s="3">
        <f>IF(
    R798="Ancien",
    _xlfn.XLOOKUP(
        Final_Sans_VGE[[#This Row],[ppn_z]],
        tbl_Historique_Final[ppn_z],
        tbl_Historique_Final[Horodatage],
        ""
    ),
    Horodatage!$A$2
)</f>
        <v>46233.670796365739</v>
      </c>
      <c r="P798" s="1" t="str">
        <f>IFERROR(IF(tbl_Historique_Final[[#This Row],[Commentaires]]&lt;&gt;"",tbl_Historique_Final[[#This Row],[Commentaires]],""),"")</f>
        <v/>
      </c>
      <c r="X798" s="8" t="str">
        <f>IF(Final_Sans_VGE[[#This Row],[ppn_z]]="","",IFERROR(
   IF(_xlfn.XLOOKUP(Final_Sans_VGE[[#This Row],[ppn_z]],tbl_Historique_Final[ppn_z],tbl_Historique_Final[date_modif])=Final_Sans_VGE[[#This Row],[date_modif]],
      "Ancien",
      "Modifié"),
   "Nouveau"))</f>
        <v>Ancien</v>
      </c>
      <c r="AC798"/>
      <c r="AD798"/>
    </row>
    <row r="799" spans="1:30" ht="30" x14ac:dyDescent="0.25">
      <c r="A799" s="5" t="s">
        <v>2561</v>
      </c>
      <c r="B799" s="1" t="s">
        <v>7885</v>
      </c>
      <c r="C799" s="1" t="s">
        <v>60</v>
      </c>
      <c r="D799" s="1" t="s">
        <v>7886</v>
      </c>
      <c r="E799" s="1" t="s">
        <v>117</v>
      </c>
      <c r="F799" s="1" t="s">
        <v>14</v>
      </c>
      <c r="H799" s="1" t="s">
        <v>7887</v>
      </c>
      <c r="I799" s="1" t="s">
        <v>10512</v>
      </c>
      <c r="J799" s="3">
        <v>45842.657986111109</v>
      </c>
      <c r="K799" s="2" t="s">
        <v>7889</v>
      </c>
      <c r="L799" s="1">
        <v>23</v>
      </c>
      <c r="M799" s="1">
        <v>27</v>
      </c>
      <c r="N799">
        <v>4</v>
      </c>
      <c r="O799" s="3">
        <f>IF(
    R799="Ancien",
    _xlfn.XLOOKUP(
        Final_Sans_VGE[[#This Row],[ppn_z]],
        tbl_Historique_Final[ppn_z],
        tbl_Historique_Final[Horodatage],
        ""
    ),
    Horodatage!$A$2
)</f>
        <v>46233.670796365739</v>
      </c>
      <c r="P799" s="1" t="str">
        <f>IFERROR(IF(tbl_Historique_Final[[#This Row],[Commentaires]]&lt;&gt;"",tbl_Historique_Final[[#This Row],[Commentaires]],""),"")</f>
        <v/>
      </c>
      <c r="X799" s="8" t="str">
        <f>IF(Final_Sans_VGE[[#This Row],[ppn_z]]="","",IFERROR(
   IF(_xlfn.XLOOKUP(Final_Sans_VGE[[#This Row],[ppn_z]],tbl_Historique_Final[ppn_z],tbl_Historique_Final[date_modif])=Final_Sans_VGE[[#This Row],[date_modif]],
      "Ancien",
      "Modifié"),
   "Nouveau"))</f>
        <v>Ancien</v>
      </c>
      <c r="AC799"/>
      <c r="AD799"/>
    </row>
    <row r="800" spans="1:30" x14ac:dyDescent="0.25">
      <c r="A800" s="5" t="s">
        <v>2564</v>
      </c>
      <c r="B800" s="1" t="s">
        <v>7890</v>
      </c>
      <c r="C800" s="1" t="s">
        <v>81</v>
      </c>
      <c r="G800" s="1" t="s">
        <v>11</v>
      </c>
      <c r="J800" s="3">
        <v>45904.692002314812</v>
      </c>
      <c r="K800" s="2" t="s">
        <v>7891</v>
      </c>
      <c r="L800" s="1">
        <v>17</v>
      </c>
      <c r="M800" s="1">
        <v>17</v>
      </c>
      <c r="N800">
        <v>0</v>
      </c>
      <c r="O800" s="3">
        <f>IF(
    R800="Ancien",
    _xlfn.XLOOKUP(
        Final_Sans_VGE[[#This Row],[ppn_z]],
        tbl_Historique_Final[ppn_z],
        tbl_Historique_Final[Horodatage],
        ""
    ),
    Horodatage!$A$2
)</f>
        <v>46233.670796365739</v>
      </c>
      <c r="P800" s="1" t="str">
        <f>IFERROR(IF(tbl_Historique_Final[[#This Row],[Commentaires]]&lt;&gt;"",tbl_Historique_Final[[#This Row],[Commentaires]],""),"")</f>
        <v/>
      </c>
      <c r="X800" s="8" t="str">
        <f>IF(Final_Sans_VGE[[#This Row],[ppn_z]]="","",IFERROR(
   IF(_xlfn.XLOOKUP(Final_Sans_VGE[[#This Row],[ppn_z]],tbl_Historique_Final[ppn_z],tbl_Historique_Final[date_modif])=Final_Sans_VGE[[#This Row],[date_modif]],
      "Ancien",
      "Modifié"),
   "Nouveau"))</f>
        <v>Ancien</v>
      </c>
      <c r="AC800"/>
      <c r="AD800"/>
    </row>
    <row r="801" spans="1:30" x14ac:dyDescent="0.25">
      <c r="A801" s="5" t="s">
        <v>2567</v>
      </c>
      <c r="B801" s="1" t="s">
        <v>7892</v>
      </c>
      <c r="C801" s="1" t="s">
        <v>44</v>
      </c>
      <c r="D801" s="1" t="s">
        <v>7893</v>
      </c>
      <c r="G801" s="1" t="s">
        <v>10</v>
      </c>
      <c r="H801" s="1" t="s">
        <v>22</v>
      </c>
      <c r="I801" s="1" t="s">
        <v>22</v>
      </c>
      <c r="J801" s="3">
        <v>45820.315000000002</v>
      </c>
      <c r="K801" s="2" t="s">
        <v>7894</v>
      </c>
      <c r="L801" s="1">
        <v>79</v>
      </c>
      <c r="M801" s="1">
        <v>89</v>
      </c>
      <c r="N801">
        <v>10</v>
      </c>
      <c r="O801" s="3">
        <f>IF(
    R801="Ancien",
    _xlfn.XLOOKUP(
        Final_Sans_VGE[[#This Row],[ppn_z]],
        tbl_Historique_Final[ppn_z],
        tbl_Historique_Final[Horodatage],
        ""
    ),
    Horodatage!$A$2
)</f>
        <v>46233.670796365739</v>
      </c>
      <c r="P801" s="1" t="str">
        <f>IFERROR(IF(tbl_Historique_Final[[#This Row],[Commentaires]]&lt;&gt;"",tbl_Historique_Final[[#This Row],[Commentaires]],""),"")</f>
        <v/>
      </c>
      <c r="X801" s="8" t="str">
        <f>IF(Final_Sans_VGE[[#This Row],[ppn_z]]="","",IFERROR(
   IF(_xlfn.XLOOKUP(Final_Sans_VGE[[#This Row],[ppn_z]],tbl_Historique_Final[ppn_z],tbl_Historique_Final[date_modif])=Final_Sans_VGE[[#This Row],[date_modif]],
      "Ancien",
      "Modifié"),
   "Nouveau"))</f>
        <v>Ancien</v>
      </c>
      <c r="AC801"/>
      <c r="AD801"/>
    </row>
    <row r="802" spans="1:30" ht="30" x14ac:dyDescent="0.25">
      <c r="A802" s="5" t="s">
        <v>2570</v>
      </c>
      <c r="B802" s="1" t="s">
        <v>7895</v>
      </c>
      <c r="C802" s="1" t="s">
        <v>55</v>
      </c>
      <c r="G802" s="1" t="s">
        <v>10</v>
      </c>
      <c r="J802" s="3">
        <v>45890.461724537039</v>
      </c>
      <c r="K802" s="2" t="s">
        <v>7896</v>
      </c>
      <c r="L802" s="1">
        <v>6</v>
      </c>
      <c r="M802" s="1">
        <v>6</v>
      </c>
      <c r="N802">
        <v>0</v>
      </c>
      <c r="O802" s="3">
        <f>IF(
    R802="Ancien",
    _xlfn.XLOOKUP(
        Final_Sans_VGE[[#This Row],[ppn_z]],
        tbl_Historique_Final[ppn_z],
        tbl_Historique_Final[Horodatage],
        ""
    ),
    Horodatage!$A$2
)</f>
        <v>46233.670796365739</v>
      </c>
      <c r="P802" s="1" t="str">
        <f>IFERROR(IF(tbl_Historique_Final[[#This Row],[Commentaires]]&lt;&gt;"",tbl_Historique_Final[[#This Row],[Commentaires]],""),"")</f>
        <v/>
      </c>
      <c r="X802" s="8" t="str">
        <f>IF(Final_Sans_VGE[[#This Row],[ppn_z]]="","",IFERROR(
   IF(_xlfn.XLOOKUP(Final_Sans_VGE[[#This Row],[ppn_z]],tbl_Historique_Final[ppn_z],tbl_Historique_Final[date_modif])=Final_Sans_VGE[[#This Row],[date_modif]],
      "Ancien",
      "Modifié"),
   "Nouveau"))</f>
        <v>Ancien</v>
      </c>
      <c r="AC802"/>
      <c r="AD802"/>
    </row>
    <row r="803" spans="1:30" x14ac:dyDescent="0.25">
      <c r="A803" s="5" t="s">
        <v>2573</v>
      </c>
      <c r="B803" s="1" t="s">
        <v>7897</v>
      </c>
      <c r="C803" s="1" t="s">
        <v>7692</v>
      </c>
      <c r="J803" s="3">
        <v>45608.412488425929</v>
      </c>
      <c r="L803" s="1">
        <v>1</v>
      </c>
      <c r="M803" s="1">
        <v>1</v>
      </c>
      <c r="N803">
        <v>0</v>
      </c>
      <c r="O803" s="3">
        <f>IF(
    R803="Ancien",
    _xlfn.XLOOKUP(
        Final_Sans_VGE[[#This Row],[ppn_z]],
        tbl_Historique_Final[ppn_z],
        tbl_Historique_Final[Horodatage],
        ""
    ),
    Horodatage!$A$2
)</f>
        <v>46233.670796365739</v>
      </c>
      <c r="P803" s="1" t="str">
        <f>IFERROR(IF(tbl_Historique_Final[[#This Row],[Commentaires]]&lt;&gt;"",tbl_Historique_Final[[#This Row],[Commentaires]],""),"")</f>
        <v/>
      </c>
      <c r="X803" s="8" t="str">
        <f>IF(Final_Sans_VGE[[#This Row],[ppn_z]]="","",IFERROR(
   IF(_xlfn.XLOOKUP(Final_Sans_VGE[[#This Row],[ppn_z]],tbl_Historique_Final[ppn_z],tbl_Historique_Final[date_modif])=Final_Sans_VGE[[#This Row],[date_modif]],
      "Ancien",
      "Modifié"),
   "Nouveau"))</f>
        <v>Ancien</v>
      </c>
      <c r="AC803"/>
      <c r="AD803"/>
    </row>
    <row r="804" spans="1:30" ht="60" x14ac:dyDescent="0.25">
      <c r="A804" s="5" t="s">
        <v>2576</v>
      </c>
      <c r="B804" s="1" t="s">
        <v>7898</v>
      </c>
      <c r="C804" s="1" t="s">
        <v>71</v>
      </c>
      <c r="G804" s="1" t="s">
        <v>10</v>
      </c>
      <c r="J804" s="3">
        <v>45903.517118055555</v>
      </c>
      <c r="K804" s="2" t="s">
        <v>7899</v>
      </c>
      <c r="L804" s="1">
        <v>4</v>
      </c>
      <c r="M804" s="1">
        <v>8</v>
      </c>
      <c r="N804">
        <v>4</v>
      </c>
      <c r="O804" s="3">
        <f>IF(
    R804="Ancien",
    _xlfn.XLOOKUP(
        Final_Sans_VGE[[#This Row],[ppn_z]],
        tbl_Historique_Final[ppn_z],
        tbl_Historique_Final[Horodatage],
        ""
    ),
    Horodatage!$A$2
)</f>
        <v>46233.670796365739</v>
      </c>
      <c r="P804" s="1" t="str">
        <f>IFERROR(IF(tbl_Historique_Final[[#This Row],[Commentaires]]&lt;&gt;"",tbl_Historique_Final[[#This Row],[Commentaires]],""),"")</f>
        <v/>
      </c>
      <c r="X804" s="8" t="str">
        <f>IF(Final_Sans_VGE[[#This Row],[ppn_z]]="","",IFERROR(
   IF(_xlfn.XLOOKUP(Final_Sans_VGE[[#This Row],[ppn_z]],tbl_Historique_Final[ppn_z],tbl_Historique_Final[date_modif])=Final_Sans_VGE[[#This Row],[date_modif]],
      "Ancien",
      "Modifié"),
   "Nouveau"))</f>
        <v>Ancien</v>
      </c>
      <c r="AC804"/>
      <c r="AD804"/>
    </row>
    <row r="805" spans="1:30" x14ac:dyDescent="0.25">
      <c r="A805" s="5" t="s">
        <v>2579</v>
      </c>
      <c r="B805" s="1" t="s">
        <v>7900</v>
      </c>
      <c r="C805" s="1" t="s">
        <v>72</v>
      </c>
      <c r="G805" s="1" t="s">
        <v>10</v>
      </c>
      <c r="J805" s="3">
        <v>45917.53392361111</v>
      </c>
      <c r="K805" s="2" t="s">
        <v>7901</v>
      </c>
      <c r="L805" s="1">
        <v>7</v>
      </c>
      <c r="M805" s="1">
        <v>7</v>
      </c>
      <c r="N805">
        <v>0</v>
      </c>
      <c r="O805" s="3">
        <f>IF(
    R805="Ancien",
    _xlfn.XLOOKUP(
        Final_Sans_VGE[[#This Row],[ppn_z]],
        tbl_Historique_Final[ppn_z],
        tbl_Historique_Final[Horodatage],
        ""
    ),
    Horodatage!$A$2
)</f>
        <v>46233.670796365739</v>
      </c>
      <c r="P805" s="1" t="str">
        <f>IFERROR(IF(tbl_Historique_Final[[#This Row],[Commentaires]]&lt;&gt;"",tbl_Historique_Final[[#This Row],[Commentaires]],""),"")</f>
        <v/>
      </c>
      <c r="X805" s="8" t="str">
        <f>IF(Final_Sans_VGE[[#This Row],[ppn_z]]="","",IFERROR(
   IF(_xlfn.XLOOKUP(Final_Sans_VGE[[#This Row],[ppn_z]],tbl_Historique_Final[ppn_z],tbl_Historique_Final[date_modif])=Final_Sans_VGE[[#This Row],[date_modif]],
      "Ancien",
      "Modifié"),
   "Nouveau"))</f>
        <v>Ancien</v>
      </c>
      <c r="AC805"/>
      <c r="AD805"/>
    </row>
    <row r="806" spans="1:30" ht="30" x14ac:dyDescent="0.25">
      <c r="A806" s="5" t="s">
        <v>2582</v>
      </c>
      <c r="B806" s="1" t="s">
        <v>7902</v>
      </c>
      <c r="C806" s="1" t="s">
        <v>12</v>
      </c>
      <c r="G806" s="1" t="s">
        <v>11</v>
      </c>
      <c r="J806" s="3">
        <v>45957.383449074077</v>
      </c>
      <c r="K806" s="2" t="s">
        <v>7903</v>
      </c>
      <c r="L806" s="1">
        <v>1</v>
      </c>
      <c r="M806" s="1">
        <v>1</v>
      </c>
      <c r="N806">
        <v>0</v>
      </c>
      <c r="O806" s="3">
        <f>IF(
    R806="Ancien",
    _xlfn.XLOOKUP(
        Final_Sans_VGE[[#This Row],[ppn_z]],
        tbl_Historique_Final[ppn_z],
        tbl_Historique_Final[Horodatage],
        ""
    ),
    Horodatage!$A$2
)</f>
        <v>46233.670796365739</v>
      </c>
      <c r="P806" s="1" t="str">
        <f>IFERROR(IF(tbl_Historique_Final[[#This Row],[Commentaires]]&lt;&gt;"",tbl_Historique_Final[[#This Row],[Commentaires]],""),"")</f>
        <v/>
      </c>
      <c r="X806" s="8" t="str">
        <f>IF(Final_Sans_VGE[[#This Row],[ppn_z]]="","",IFERROR(
   IF(_xlfn.XLOOKUP(Final_Sans_VGE[[#This Row],[ppn_z]],tbl_Historique_Final[ppn_z],tbl_Historique_Final[date_modif])=Final_Sans_VGE[[#This Row],[date_modif]],
      "Ancien",
      "Modifié"),
   "Nouveau"))</f>
        <v>Ancien</v>
      </c>
      <c r="AC806"/>
      <c r="AD806"/>
    </row>
    <row r="807" spans="1:30" ht="30" x14ac:dyDescent="0.25">
      <c r="A807" s="5" t="s">
        <v>2585</v>
      </c>
      <c r="B807" s="1" t="s">
        <v>7904</v>
      </c>
      <c r="C807" s="1" t="s">
        <v>12</v>
      </c>
      <c r="G807" s="1" t="s">
        <v>11</v>
      </c>
      <c r="J807" s="3">
        <v>45957.378645833334</v>
      </c>
      <c r="K807" s="2" t="s">
        <v>7905</v>
      </c>
      <c r="L807" s="1">
        <v>2</v>
      </c>
      <c r="M807" s="1">
        <v>2</v>
      </c>
      <c r="N807">
        <v>0</v>
      </c>
      <c r="O807" s="3">
        <f>IF(
    R807="Ancien",
    _xlfn.XLOOKUP(
        Final_Sans_VGE[[#This Row],[ppn_z]],
        tbl_Historique_Final[ppn_z],
        tbl_Historique_Final[Horodatage],
        ""
    ),
    Horodatage!$A$2
)</f>
        <v>46233.670796365739</v>
      </c>
      <c r="P807" s="1" t="str">
        <f>IFERROR(IF(tbl_Historique_Final[[#This Row],[Commentaires]]&lt;&gt;"",tbl_Historique_Final[[#This Row],[Commentaires]],""),"")</f>
        <v/>
      </c>
      <c r="X807" s="8" t="str">
        <f>IF(Final_Sans_VGE[[#This Row],[ppn_z]]="","",IFERROR(
   IF(_xlfn.XLOOKUP(Final_Sans_VGE[[#This Row],[ppn_z]],tbl_Historique_Final[ppn_z],tbl_Historique_Final[date_modif])=Final_Sans_VGE[[#This Row],[date_modif]],
      "Ancien",
      "Modifié"),
   "Nouveau"))</f>
        <v>Ancien</v>
      </c>
      <c r="AC807"/>
      <c r="AD807"/>
    </row>
    <row r="808" spans="1:30" ht="30" x14ac:dyDescent="0.25">
      <c r="A808" s="5" t="s">
        <v>2588</v>
      </c>
      <c r="B808" s="1" t="s">
        <v>7906</v>
      </c>
      <c r="C808" s="1" t="s">
        <v>117</v>
      </c>
      <c r="J808" s="3">
        <v>45897.428599537037</v>
      </c>
      <c r="K808" s="2" t="s">
        <v>7907</v>
      </c>
      <c r="L808" s="1">
        <v>1</v>
      </c>
      <c r="M808" s="1">
        <v>1</v>
      </c>
      <c r="N808">
        <v>0</v>
      </c>
      <c r="O808" s="3">
        <f>IF(
    R808="Ancien",
    _xlfn.XLOOKUP(
        Final_Sans_VGE[[#This Row],[ppn_z]],
        tbl_Historique_Final[ppn_z],
        tbl_Historique_Final[Horodatage],
        ""
    ),
    Horodatage!$A$2
)</f>
        <v>46233.670796365739</v>
      </c>
      <c r="P808" s="1" t="str">
        <f>IFERROR(IF(tbl_Historique_Final[[#This Row],[Commentaires]]&lt;&gt;"",tbl_Historique_Final[[#This Row],[Commentaires]],""),"")</f>
        <v/>
      </c>
      <c r="X808" s="8" t="str">
        <f>IF(Final_Sans_VGE[[#This Row],[ppn_z]]="","",IFERROR(
   IF(_xlfn.XLOOKUP(Final_Sans_VGE[[#This Row],[ppn_z]],tbl_Historique_Final[ppn_z],tbl_Historique_Final[date_modif])=Final_Sans_VGE[[#This Row],[date_modif]],
      "Ancien",
      "Modifié"),
   "Nouveau"))</f>
        <v>Ancien</v>
      </c>
      <c r="AC808"/>
      <c r="AD808"/>
    </row>
    <row r="809" spans="1:30" ht="45" x14ac:dyDescent="0.25">
      <c r="A809" s="5" t="s">
        <v>2591</v>
      </c>
      <c r="B809" s="1" t="s">
        <v>7908</v>
      </c>
      <c r="C809" s="1" t="s">
        <v>12</v>
      </c>
      <c r="G809" s="1" t="s">
        <v>11</v>
      </c>
      <c r="J809" s="3">
        <v>45957.369328703702</v>
      </c>
      <c r="K809" s="2" t="s">
        <v>7909</v>
      </c>
      <c r="L809" s="1">
        <v>1</v>
      </c>
      <c r="M809" s="1">
        <v>1</v>
      </c>
      <c r="N809">
        <v>0</v>
      </c>
      <c r="O809" s="3">
        <f>IF(
    R809="Ancien",
    _xlfn.XLOOKUP(
        Final_Sans_VGE[[#This Row],[ppn_z]],
        tbl_Historique_Final[ppn_z],
        tbl_Historique_Final[Horodatage],
        ""
    ),
    Horodatage!$A$2
)</f>
        <v>46233.670796365739</v>
      </c>
      <c r="P809" s="1" t="str">
        <f>IFERROR(IF(tbl_Historique_Final[[#This Row],[Commentaires]]&lt;&gt;"",tbl_Historique_Final[[#This Row],[Commentaires]],""),"")</f>
        <v/>
      </c>
      <c r="X809" s="8" t="str">
        <f>IF(Final_Sans_VGE[[#This Row],[ppn_z]]="","",IFERROR(
   IF(_xlfn.XLOOKUP(Final_Sans_VGE[[#This Row],[ppn_z]],tbl_Historique_Final[ppn_z],tbl_Historique_Final[date_modif])=Final_Sans_VGE[[#This Row],[date_modif]],
      "Ancien",
      "Modifié"),
   "Nouveau"))</f>
        <v>Ancien</v>
      </c>
      <c r="AC809"/>
      <c r="AD809"/>
    </row>
    <row r="810" spans="1:30" ht="30" x14ac:dyDescent="0.25">
      <c r="A810" s="5" t="s">
        <v>2594</v>
      </c>
      <c r="B810" s="1" t="s">
        <v>7910</v>
      </c>
      <c r="C810" s="1" t="s">
        <v>12</v>
      </c>
      <c r="G810" s="1" t="s">
        <v>11</v>
      </c>
      <c r="J810" s="3">
        <v>45898.43277777778</v>
      </c>
      <c r="K810" s="2" t="s">
        <v>7911</v>
      </c>
      <c r="L810" s="1">
        <v>1</v>
      </c>
      <c r="M810" s="1">
        <v>1</v>
      </c>
      <c r="N810">
        <v>0</v>
      </c>
      <c r="O810" s="3">
        <f>IF(
    R810="Ancien",
    _xlfn.XLOOKUP(
        Final_Sans_VGE[[#This Row],[ppn_z]],
        tbl_Historique_Final[ppn_z],
        tbl_Historique_Final[Horodatage],
        ""
    ),
    Horodatage!$A$2
)</f>
        <v>46233.670796365739</v>
      </c>
      <c r="P810" s="1" t="str">
        <f>IFERROR(IF(tbl_Historique_Final[[#This Row],[Commentaires]]&lt;&gt;"",tbl_Historique_Final[[#This Row],[Commentaires]],""),"")</f>
        <v/>
      </c>
      <c r="X810" s="8" t="str">
        <f>IF(Final_Sans_VGE[[#This Row],[ppn_z]]="","",IFERROR(
   IF(_xlfn.XLOOKUP(Final_Sans_VGE[[#This Row],[ppn_z]],tbl_Historique_Final[ppn_z],tbl_Historique_Final[date_modif])=Final_Sans_VGE[[#This Row],[date_modif]],
      "Ancien",
      "Modifié"),
   "Nouveau"))</f>
        <v>Ancien</v>
      </c>
      <c r="AC810"/>
      <c r="AD810"/>
    </row>
    <row r="811" spans="1:30" ht="45" x14ac:dyDescent="0.25">
      <c r="A811" s="5" t="s">
        <v>2597</v>
      </c>
      <c r="B811" s="1" t="s">
        <v>7912</v>
      </c>
      <c r="C811" s="1" t="s">
        <v>56</v>
      </c>
      <c r="G811" s="1" t="s">
        <v>10</v>
      </c>
      <c r="J811" s="3">
        <v>45894.596122685187</v>
      </c>
      <c r="K811" s="2" t="s">
        <v>7913</v>
      </c>
      <c r="L811" s="1">
        <v>27</v>
      </c>
      <c r="M811" s="1">
        <v>29</v>
      </c>
      <c r="N811">
        <v>2</v>
      </c>
      <c r="O811" s="3">
        <f>IF(
    R811="Ancien",
    _xlfn.XLOOKUP(
        Final_Sans_VGE[[#This Row],[ppn_z]],
        tbl_Historique_Final[ppn_z],
        tbl_Historique_Final[Horodatage],
        ""
    ),
    Horodatage!$A$2
)</f>
        <v>46233.670796365739</v>
      </c>
      <c r="P811" s="1" t="str">
        <f>IFERROR(IF(tbl_Historique_Final[[#This Row],[Commentaires]]&lt;&gt;"",tbl_Historique_Final[[#This Row],[Commentaires]],""),"")</f>
        <v/>
      </c>
      <c r="X811" s="8" t="str">
        <f>IF(Final_Sans_VGE[[#This Row],[ppn_z]]="","",IFERROR(
   IF(_xlfn.XLOOKUP(Final_Sans_VGE[[#This Row],[ppn_z]],tbl_Historique_Final[ppn_z],tbl_Historique_Final[date_modif])=Final_Sans_VGE[[#This Row],[date_modif]],
      "Ancien",
      "Modifié"),
   "Nouveau"))</f>
        <v>Ancien</v>
      </c>
      <c r="AC811"/>
      <c r="AD811"/>
    </row>
    <row r="812" spans="1:30" x14ac:dyDescent="0.25">
      <c r="A812" s="5" t="s">
        <v>2600</v>
      </c>
      <c r="B812" s="1" t="s">
        <v>7914</v>
      </c>
      <c r="C812" s="1" t="s">
        <v>86</v>
      </c>
      <c r="D812" s="1" t="s">
        <v>14</v>
      </c>
      <c r="G812" s="1" t="s">
        <v>10</v>
      </c>
      <c r="H812" s="1" t="s">
        <v>22</v>
      </c>
      <c r="I812" s="1" t="s">
        <v>140</v>
      </c>
      <c r="J812" s="3">
        <v>45842.60052083333</v>
      </c>
      <c r="K812" s="2" t="s">
        <v>7915</v>
      </c>
      <c r="L812" s="1">
        <v>9</v>
      </c>
      <c r="M812" s="1">
        <v>10</v>
      </c>
      <c r="N812">
        <v>1</v>
      </c>
      <c r="O812" s="3">
        <f>IF(
    R812="Ancien",
    _xlfn.XLOOKUP(
        Final_Sans_VGE[[#This Row],[ppn_z]],
        tbl_Historique_Final[ppn_z],
        tbl_Historique_Final[Horodatage],
        ""
    ),
    Horodatage!$A$2
)</f>
        <v>46233.670796365739</v>
      </c>
      <c r="P812" s="1" t="str">
        <f>IFERROR(IF(tbl_Historique_Final[[#This Row],[Commentaires]]&lt;&gt;"",tbl_Historique_Final[[#This Row],[Commentaires]],""),"")</f>
        <v/>
      </c>
      <c r="X812" s="8" t="str">
        <f>IF(Final_Sans_VGE[[#This Row],[ppn_z]]="","",IFERROR(
   IF(_xlfn.XLOOKUP(Final_Sans_VGE[[#This Row],[ppn_z]],tbl_Historique_Final[ppn_z],tbl_Historique_Final[date_modif])=Final_Sans_VGE[[#This Row],[date_modif]],
      "Ancien",
      "Modifié"),
   "Nouveau"))</f>
        <v>Ancien</v>
      </c>
      <c r="AC812"/>
      <c r="AD812"/>
    </row>
    <row r="813" spans="1:30" ht="45" x14ac:dyDescent="0.25">
      <c r="A813" s="5" t="s">
        <v>2603</v>
      </c>
      <c r="B813" s="1" t="s">
        <v>7916</v>
      </c>
      <c r="C813" s="1" t="s">
        <v>12</v>
      </c>
      <c r="G813" s="1" t="s">
        <v>11</v>
      </c>
      <c r="J813" s="3">
        <v>45905.32130787037</v>
      </c>
      <c r="K813" s="2" t="s">
        <v>7917</v>
      </c>
      <c r="L813" s="1">
        <v>1</v>
      </c>
      <c r="M813" s="1">
        <v>1</v>
      </c>
      <c r="N813">
        <v>0</v>
      </c>
      <c r="O813" s="3">
        <f>IF(
    R813="Ancien",
    _xlfn.XLOOKUP(
        Final_Sans_VGE[[#This Row],[ppn_z]],
        tbl_Historique_Final[ppn_z],
        tbl_Historique_Final[Horodatage],
        ""
    ),
    Horodatage!$A$2
)</f>
        <v>46233.670796365739</v>
      </c>
      <c r="P813" s="1" t="str">
        <f>IFERROR(IF(tbl_Historique_Final[[#This Row],[Commentaires]]&lt;&gt;"",tbl_Historique_Final[[#This Row],[Commentaires]],""),"")</f>
        <v/>
      </c>
      <c r="X813" s="8" t="str">
        <f>IF(Final_Sans_VGE[[#This Row],[ppn_z]]="","",IFERROR(
   IF(_xlfn.XLOOKUP(Final_Sans_VGE[[#This Row],[ppn_z]],tbl_Historique_Final[ppn_z],tbl_Historique_Final[date_modif])=Final_Sans_VGE[[#This Row],[date_modif]],
      "Ancien",
      "Modifié"),
   "Nouveau"))</f>
        <v>Ancien</v>
      </c>
      <c r="AC813"/>
      <c r="AD813"/>
    </row>
    <row r="814" spans="1:30" x14ac:dyDescent="0.25">
      <c r="A814" s="5" t="s">
        <v>2606</v>
      </c>
      <c r="B814" s="1" t="s">
        <v>7918</v>
      </c>
      <c r="C814" s="1" t="s">
        <v>74</v>
      </c>
      <c r="D814" s="1" t="s">
        <v>14</v>
      </c>
      <c r="G814" s="1" t="s">
        <v>10</v>
      </c>
      <c r="H814" s="1" t="s">
        <v>22</v>
      </c>
      <c r="I814" s="1" t="s">
        <v>22</v>
      </c>
      <c r="J814" s="3">
        <v>45903.600497685184</v>
      </c>
      <c r="K814" s="2" t="s">
        <v>7919</v>
      </c>
      <c r="L814" s="1">
        <v>5</v>
      </c>
      <c r="M814" s="1">
        <v>13</v>
      </c>
      <c r="N814">
        <v>8</v>
      </c>
      <c r="O814" s="3">
        <f>IF(
    R814="Ancien",
    _xlfn.XLOOKUP(
        Final_Sans_VGE[[#This Row],[ppn_z]],
        tbl_Historique_Final[ppn_z],
        tbl_Historique_Final[Horodatage],
        ""
    ),
    Horodatage!$A$2
)</f>
        <v>46233.670796365739</v>
      </c>
      <c r="P814" s="1" t="str">
        <f>IFERROR(IF(tbl_Historique_Final[[#This Row],[Commentaires]]&lt;&gt;"",tbl_Historique_Final[[#This Row],[Commentaires]],""),"")</f>
        <v/>
      </c>
      <c r="X814" s="8" t="str">
        <f>IF(Final_Sans_VGE[[#This Row],[ppn_z]]="","",IFERROR(
   IF(_xlfn.XLOOKUP(Final_Sans_VGE[[#This Row],[ppn_z]],tbl_Historique_Final[ppn_z],tbl_Historique_Final[date_modif])=Final_Sans_VGE[[#This Row],[date_modif]],
      "Ancien",
      "Modifié"),
   "Nouveau"))</f>
        <v>Ancien</v>
      </c>
      <c r="AC814"/>
      <c r="AD814"/>
    </row>
    <row r="815" spans="1:30" ht="75" x14ac:dyDescent="0.25">
      <c r="A815" s="5" t="s">
        <v>2609</v>
      </c>
      <c r="B815" s="1" t="s">
        <v>7920</v>
      </c>
      <c r="C815" s="1" t="s">
        <v>12</v>
      </c>
      <c r="G815" s="1" t="s">
        <v>10</v>
      </c>
      <c r="J815" s="3">
        <v>45902.573449074072</v>
      </c>
      <c r="K815" s="2" t="s">
        <v>7921</v>
      </c>
      <c r="L815" s="1">
        <v>5</v>
      </c>
      <c r="M815" s="1">
        <v>5</v>
      </c>
      <c r="N815">
        <v>0</v>
      </c>
      <c r="O815" s="3">
        <f>IF(
    R815="Ancien",
    _xlfn.XLOOKUP(
        Final_Sans_VGE[[#This Row],[ppn_z]],
        tbl_Historique_Final[ppn_z],
        tbl_Historique_Final[Horodatage],
        ""
    ),
    Horodatage!$A$2
)</f>
        <v>46233.670796365739</v>
      </c>
      <c r="P815" s="1" t="str">
        <f>IFERROR(IF(tbl_Historique_Final[[#This Row],[Commentaires]]&lt;&gt;"",tbl_Historique_Final[[#This Row],[Commentaires]],""),"")</f>
        <v/>
      </c>
      <c r="X815" s="8" t="str">
        <f>IF(Final_Sans_VGE[[#This Row],[ppn_z]]="","",IFERROR(
   IF(_xlfn.XLOOKUP(Final_Sans_VGE[[#This Row],[ppn_z]],tbl_Historique_Final[ppn_z],tbl_Historique_Final[date_modif])=Final_Sans_VGE[[#This Row],[date_modif]],
      "Ancien",
      "Modifié"),
   "Nouveau"))</f>
        <v>Ancien</v>
      </c>
      <c r="AC815"/>
      <c r="AD815"/>
    </row>
    <row r="816" spans="1:30" x14ac:dyDescent="0.25">
      <c r="A816" s="5" t="s">
        <v>2612</v>
      </c>
      <c r="B816" s="1" t="s">
        <v>7922</v>
      </c>
      <c r="J816" s="3">
        <v>45918.568356481483</v>
      </c>
      <c r="K816" s="2" t="s">
        <v>7923</v>
      </c>
      <c r="L816" s="1">
        <v>2</v>
      </c>
      <c r="M816" s="1">
        <v>2</v>
      </c>
      <c r="N816">
        <v>0</v>
      </c>
      <c r="O816" s="3">
        <f>IF(
    R816="Ancien",
    _xlfn.XLOOKUP(
        Final_Sans_VGE[[#This Row],[ppn_z]],
        tbl_Historique_Final[ppn_z],
        tbl_Historique_Final[Horodatage],
        ""
    ),
    Horodatage!$A$2
)</f>
        <v>46233.670796365739</v>
      </c>
      <c r="P816" s="1" t="str">
        <f>IFERROR(IF(tbl_Historique_Final[[#This Row],[Commentaires]]&lt;&gt;"",tbl_Historique_Final[[#This Row],[Commentaires]],""),"")</f>
        <v/>
      </c>
      <c r="X816" s="8" t="str">
        <f>IF(Final_Sans_VGE[[#This Row],[ppn_z]]="","",IFERROR(
   IF(_xlfn.XLOOKUP(Final_Sans_VGE[[#This Row],[ppn_z]],tbl_Historique_Final[ppn_z],tbl_Historique_Final[date_modif])=Final_Sans_VGE[[#This Row],[date_modif]],
      "Ancien",
      "Modifié"),
   "Nouveau"))</f>
        <v>Ancien</v>
      </c>
      <c r="AC816"/>
      <c r="AD816"/>
    </row>
    <row r="817" spans="1:30" x14ac:dyDescent="0.25">
      <c r="A817" s="5" t="s">
        <v>2615</v>
      </c>
      <c r="B817" s="1" t="s">
        <v>7924</v>
      </c>
      <c r="C817" s="1" t="s">
        <v>12</v>
      </c>
      <c r="G817" s="1" t="s">
        <v>11</v>
      </c>
      <c r="J817" s="3">
        <v>45848.624166666668</v>
      </c>
      <c r="K817" s="2" t="s">
        <v>6650</v>
      </c>
      <c r="L817" s="1">
        <v>3</v>
      </c>
      <c r="M817" s="1">
        <v>3</v>
      </c>
      <c r="N817">
        <v>0</v>
      </c>
      <c r="O817" s="3">
        <f>IF(
    R817="Ancien",
    _xlfn.XLOOKUP(
        Final_Sans_VGE[[#This Row],[ppn_z]],
        tbl_Historique_Final[ppn_z],
        tbl_Historique_Final[Horodatage],
        ""
    ),
    Horodatage!$A$2
)</f>
        <v>46233.670796365739</v>
      </c>
      <c r="P817" s="1" t="str">
        <f>IFERROR(IF(tbl_Historique_Final[[#This Row],[Commentaires]]&lt;&gt;"",tbl_Historique_Final[[#This Row],[Commentaires]],""),"")</f>
        <v/>
      </c>
      <c r="X817" s="8" t="str">
        <f>IF(Final_Sans_VGE[[#This Row],[ppn_z]]="","",IFERROR(
   IF(_xlfn.XLOOKUP(Final_Sans_VGE[[#This Row],[ppn_z]],tbl_Historique_Final[ppn_z],tbl_Historique_Final[date_modif])=Final_Sans_VGE[[#This Row],[date_modif]],
      "Ancien",
      "Modifié"),
   "Nouveau"))</f>
        <v>Ancien</v>
      </c>
      <c r="AC817"/>
      <c r="AD817"/>
    </row>
    <row r="818" spans="1:30" ht="30" x14ac:dyDescent="0.25">
      <c r="A818" s="5" t="s">
        <v>2618</v>
      </c>
      <c r="B818" s="1" t="s">
        <v>7925</v>
      </c>
      <c r="C818" s="1" t="s">
        <v>40</v>
      </c>
      <c r="D818" s="1" t="s">
        <v>7926</v>
      </c>
      <c r="G818" s="1" t="s">
        <v>10</v>
      </c>
      <c r="H818" s="1" t="s">
        <v>22</v>
      </c>
      <c r="I818" s="1" t="s">
        <v>22</v>
      </c>
      <c r="J818" s="3">
        <v>45916.571203703701</v>
      </c>
      <c r="K818" s="2" t="s">
        <v>7927</v>
      </c>
      <c r="L818" s="1">
        <v>20</v>
      </c>
      <c r="M818" s="1">
        <v>27</v>
      </c>
      <c r="N818">
        <v>7</v>
      </c>
      <c r="O818" s="3">
        <f>IF(
    R818="Ancien",
    _xlfn.XLOOKUP(
        Final_Sans_VGE[[#This Row],[ppn_z]],
        tbl_Historique_Final[ppn_z],
        tbl_Historique_Final[Horodatage],
        ""
    ),
    Horodatage!$A$2
)</f>
        <v>46233.670796365739</v>
      </c>
      <c r="P818" s="1" t="str">
        <f>IFERROR(IF(tbl_Historique_Final[[#This Row],[Commentaires]]&lt;&gt;"",tbl_Historique_Final[[#This Row],[Commentaires]],""),"")</f>
        <v/>
      </c>
      <c r="X818" s="8" t="str">
        <f>IF(Final_Sans_VGE[[#This Row],[ppn_z]]="","",IFERROR(
   IF(_xlfn.XLOOKUP(Final_Sans_VGE[[#This Row],[ppn_z]],tbl_Historique_Final[ppn_z],tbl_Historique_Final[date_modif])=Final_Sans_VGE[[#This Row],[date_modif]],
      "Ancien",
      "Modifié"),
   "Nouveau"))</f>
        <v>Ancien</v>
      </c>
      <c r="AC818"/>
      <c r="AD818"/>
    </row>
    <row r="819" spans="1:30" ht="60" x14ac:dyDescent="0.25">
      <c r="A819" s="5" t="s">
        <v>2621</v>
      </c>
      <c r="B819" s="1" t="s">
        <v>7928</v>
      </c>
      <c r="C819" s="1" t="s">
        <v>12</v>
      </c>
      <c r="G819" s="1" t="s">
        <v>10</v>
      </c>
      <c r="J819" s="3">
        <v>45903.568252314813</v>
      </c>
      <c r="K819" s="2" t="s">
        <v>7929</v>
      </c>
      <c r="L819" s="1">
        <v>1</v>
      </c>
      <c r="M819" s="1">
        <v>2</v>
      </c>
      <c r="N819">
        <v>1</v>
      </c>
      <c r="O819" s="3">
        <f>IF(
    R819="Ancien",
    _xlfn.XLOOKUP(
        Final_Sans_VGE[[#This Row],[ppn_z]],
        tbl_Historique_Final[ppn_z],
        tbl_Historique_Final[Horodatage],
        ""
    ),
    Horodatage!$A$2
)</f>
        <v>46233.670796365739</v>
      </c>
      <c r="P819" s="1" t="str">
        <f>IFERROR(IF(tbl_Historique_Final[[#This Row],[Commentaires]]&lt;&gt;"",tbl_Historique_Final[[#This Row],[Commentaires]],""),"")</f>
        <v/>
      </c>
      <c r="X819" s="8" t="str">
        <f>IF(Final_Sans_VGE[[#This Row],[ppn_z]]="","",IFERROR(
   IF(_xlfn.XLOOKUP(Final_Sans_VGE[[#This Row],[ppn_z]],tbl_Historique_Final[ppn_z],tbl_Historique_Final[date_modif])=Final_Sans_VGE[[#This Row],[date_modif]],
      "Ancien",
      "Modifié"),
   "Nouveau"))</f>
        <v>Ancien</v>
      </c>
      <c r="AC819"/>
      <c r="AD819"/>
    </row>
    <row r="820" spans="1:30" ht="30" x14ac:dyDescent="0.25">
      <c r="A820" s="5" t="s">
        <v>2624</v>
      </c>
      <c r="B820" s="1" t="s">
        <v>7930</v>
      </c>
      <c r="G820" s="1" t="s">
        <v>11</v>
      </c>
      <c r="J820" s="3">
        <v>45812.369976851849</v>
      </c>
      <c r="K820" s="2" t="s">
        <v>7931</v>
      </c>
      <c r="L820" s="1">
        <v>3</v>
      </c>
      <c r="M820" s="1">
        <v>6</v>
      </c>
      <c r="N820">
        <v>3</v>
      </c>
      <c r="O820" s="3">
        <f>IF(
    R820="Ancien",
    _xlfn.XLOOKUP(
        Final_Sans_VGE[[#This Row],[ppn_z]],
        tbl_Historique_Final[ppn_z],
        tbl_Historique_Final[Horodatage],
        ""
    ),
    Horodatage!$A$2
)</f>
        <v>46233.670796365739</v>
      </c>
      <c r="P820" s="1" t="str">
        <f>IFERROR(IF(tbl_Historique_Final[[#This Row],[Commentaires]]&lt;&gt;"",tbl_Historique_Final[[#This Row],[Commentaires]],""),"")</f>
        <v/>
      </c>
      <c r="X820" s="8" t="str">
        <f>IF(Final_Sans_VGE[[#This Row],[ppn_z]]="","",IFERROR(
   IF(_xlfn.XLOOKUP(Final_Sans_VGE[[#This Row],[ppn_z]],tbl_Historique_Final[ppn_z],tbl_Historique_Final[date_modif])=Final_Sans_VGE[[#This Row],[date_modif]],
      "Ancien",
      "Modifié"),
   "Nouveau"))</f>
        <v>Ancien</v>
      </c>
      <c r="AC820"/>
      <c r="AD820"/>
    </row>
    <row r="821" spans="1:30" x14ac:dyDescent="0.25">
      <c r="A821" s="5" t="s">
        <v>2627</v>
      </c>
      <c r="B821" s="1" t="s">
        <v>7932</v>
      </c>
      <c r="C821" s="1" t="s">
        <v>7692</v>
      </c>
      <c r="J821" s="3">
        <v>45629.352997685186</v>
      </c>
      <c r="L821" s="1">
        <v>1</v>
      </c>
      <c r="M821" s="1">
        <v>1</v>
      </c>
      <c r="N821">
        <v>0</v>
      </c>
      <c r="O821" s="3">
        <f>IF(
    R821="Ancien",
    _xlfn.XLOOKUP(
        Final_Sans_VGE[[#This Row],[ppn_z]],
        tbl_Historique_Final[ppn_z],
        tbl_Historique_Final[Horodatage],
        ""
    ),
    Horodatage!$A$2
)</f>
        <v>46233.670796365739</v>
      </c>
      <c r="P821" s="1" t="str">
        <f>IFERROR(IF(tbl_Historique_Final[[#This Row],[Commentaires]]&lt;&gt;"",tbl_Historique_Final[[#This Row],[Commentaires]],""),"")</f>
        <v/>
      </c>
      <c r="X821" s="8" t="str">
        <f>IF(Final_Sans_VGE[[#This Row],[ppn_z]]="","",IFERROR(
   IF(_xlfn.XLOOKUP(Final_Sans_VGE[[#This Row],[ppn_z]],tbl_Historique_Final[ppn_z],tbl_Historique_Final[date_modif])=Final_Sans_VGE[[#This Row],[date_modif]],
      "Ancien",
      "Modifié"),
   "Nouveau"))</f>
        <v>Ancien</v>
      </c>
      <c r="AC821"/>
      <c r="AD821"/>
    </row>
    <row r="822" spans="1:30" x14ac:dyDescent="0.25">
      <c r="A822" s="5" t="s">
        <v>2630</v>
      </c>
      <c r="B822" s="1" t="s">
        <v>7933</v>
      </c>
      <c r="C822" s="1" t="s">
        <v>88</v>
      </c>
      <c r="G822" s="1" t="s">
        <v>11</v>
      </c>
      <c r="J822" s="3">
        <v>45894.455150462964</v>
      </c>
      <c r="K822" s="2" t="s">
        <v>7934</v>
      </c>
      <c r="L822" s="1">
        <v>1</v>
      </c>
      <c r="M822" s="1">
        <v>1</v>
      </c>
      <c r="N822">
        <v>0</v>
      </c>
      <c r="O822" s="3">
        <f>IF(
    R822="Ancien",
    _xlfn.XLOOKUP(
        Final_Sans_VGE[[#This Row],[ppn_z]],
        tbl_Historique_Final[ppn_z],
        tbl_Historique_Final[Horodatage],
        ""
    ),
    Horodatage!$A$2
)</f>
        <v>46233.670796365739</v>
      </c>
      <c r="P822" s="1" t="str">
        <f>IFERROR(IF(tbl_Historique_Final[[#This Row],[Commentaires]]&lt;&gt;"",tbl_Historique_Final[[#This Row],[Commentaires]],""),"")</f>
        <v/>
      </c>
      <c r="X822" s="8" t="str">
        <f>IF(Final_Sans_VGE[[#This Row],[ppn_z]]="","",IFERROR(
   IF(_xlfn.XLOOKUP(Final_Sans_VGE[[#This Row],[ppn_z]],tbl_Historique_Final[ppn_z],tbl_Historique_Final[date_modif])=Final_Sans_VGE[[#This Row],[date_modif]],
      "Ancien",
      "Modifié"),
   "Nouveau"))</f>
        <v>Ancien</v>
      </c>
      <c r="AC822"/>
      <c r="AD822"/>
    </row>
    <row r="823" spans="1:30" x14ac:dyDescent="0.25">
      <c r="A823" s="5" t="s">
        <v>2633</v>
      </c>
      <c r="B823" s="1" t="s">
        <v>7935</v>
      </c>
      <c r="C823" s="1" t="s">
        <v>51</v>
      </c>
      <c r="E823" s="1" t="s">
        <v>87</v>
      </c>
      <c r="J823" s="3">
        <v>45875.5703125</v>
      </c>
      <c r="K823" s="2" t="s">
        <v>7936</v>
      </c>
      <c r="L823" s="1">
        <v>5</v>
      </c>
      <c r="M823" s="1">
        <v>7</v>
      </c>
      <c r="N823">
        <v>2</v>
      </c>
      <c r="O823" s="3">
        <f>IF(
    R823="Ancien",
    _xlfn.XLOOKUP(
        Final_Sans_VGE[[#This Row],[ppn_z]],
        tbl_Historique_Final[ppn_z],
        tbl_Historique_Final[Horodatage],
        ""
    ),
    Horodatage!$A$2
)</f>
        <v>46233.670796365739</v>
      </c>
      <c r="P823" s="1" t="str">
        <f>IFERROR(IF(tbl_Historique_Final[[#This Row],[Commentaires]]&lt;&gt;"",tbl_Historique_Final[[#This Row],[Commentaires]],""),"")</f>
        <v/>
      </c>
      <c r="X823" s="8" t="str">
        <f>IF(Final_Sans_VGE[[#This Row],[ppn_z]]="","",IFERROR(
   IF(_xlfn.XLOOKUP(Final_Sans_VGE[[#This Row],[ppn_z]],tbl_Historique_Final[ppn_z],tbl_Historique_Final[date_modif])=Final_Sans_VGE[[#This Row],[date_modif]],
      "Ancien",
      "Modifié"),
   "Nouveau"))</f>
        <v>Ancien</v>
      </c>
      <c r="AC823"/>
      <c r="AD823"/>
    </row>
    <row r="824" spans="1:30" ht="30" x14ac:dyDescent="0.25">
      <c r="A824" s="5" t="s">
        <v>2636</v>
      </c>
      <c r="B824" s="1" t="s">
        <v>7937</v>
      </c>
      <c r="C824" s="1" t="s">
        <v>12</v>
      </c>
      <c r="G824" s="1" t="s">
        <v>11</v>
      </c>
      <c r="J824" s="3">
        <v>45950.588483796295</v>
      </c>
      <c r="K824" s="2" t="s">
        <v>7938</v>
      </c>
      <c r="L824" s="1">
        <v>1</v>
      </c>
      <c r="M824" s="1">
        <v>1</v>
      </c>
      <c r="N824">
        <v>0</v>
      </c>
      <c r="O824" s="3">
        <f>IF(
    R824="Ancien",
    _xlfn.XLOOKUP(
        Final_Sans_VGE[[#This Row],[ppn_z]],
        tbl_Historique_Final[ppn_z],
        tbl_Historique_Final[Horodatage],
        ""
    ),
    Horodatage!$A$2
)</f>
        <v>46233.670796365739</v>
      </c>
      <c r="P824" s="1" t="str">
        <f>IFERROR(IF(tbl_Historique_Final[[#This Row],[Commentaires]]&lt;&gt;"",tbl_Historique_Final[[#This Row],[Commentaires]],""),"")</f>
        <v/>
      </c>
      <c r="X824" s="8" t="str">
        <f>IF(Final_Sans_VGE[[#This Row],[ppn_z]]="","",IFERROR(
   IF(_xlfn.XLOOKUP(Final_Sans_VGE[[#This Row],[ppn_z]],tbl_Historique_Final[ppn_z],tbl_Historique_Final[date_modif])=Final_Sans_VGE[[#This Row],[date_modif]],
      "Ancien",
      "Modifié"),
   "Nouveau"))</f>
        <v>Ancien</v>
      </c>
      <c r="AC824"/>
      <c r="AD824"/>
    </row>
    <row r="825" spans="1:30" x14ac:dyDescent="0.25">
      <c r="A825" s="5" t="s">
        <v>2639</v>
      </c>
      <c r="B825" s="1" t="s">
        <v>7939</v>
      </c>
      <c r="C825" s="1" t="s">
        <v>12</v>
      </c>
      <c r="G825" s="1" t="s">
        <v>11</v>
      </c>
      <c r="J825" s="3">
        <v>45915.620393518519</v>
      </c>
      <c r="K825" s="2" t="s">
        <v>7940</v>
      </c>
      <c r="L825" s="1">
        <v>7</v>
      </c>
      <c r="M825" s="1">
        <v>7</v>
      </c>
      <c r="N825">
        <v>0</v>
      </c>
      <c r="O825" s="3">
        <f>IF(
    R825="Ancien",
    _xlfn.XLOOKUP(
        Final_Sans_VGE[[#This Row],[ppn_z]],
        tbl_Historique_Final[ppn_z],
        tbl_Historique_Final[Horodatage],
        ""
    ),
    Horodatage!$A$2
)</f>
        <v>46233.670796365739</v>
      </c>
      <c r="P825" s="1" t="str">
        <f>IFERROR(IF(tbl_Historique_Final[[#This Row],[Commentaires]]&lt;&gt;"",tbl_Historique_Final[[#This Row],[Commentaires]],""),"")</f>
        <v/>
      </c>
      <c r="X825" s="8" t="str">
        <f>IF(Final_Sans_VGE[[#This Row],[ppn_z]]="","",IFERROR(
   IF(_xlfn.XLOOKUP(Final_Sans_VGE[[#This Row],[ppn_z]],tbl_Historique_Final[ppn_z],tbl_Historique_Final[date_modif])=Final_Sans_VGE[[#This Row],[date_modif]],
      "Ancien",
      "Modifié"),
   "Nouveau"))</f>
        <v>Ancien</v>
      </c>
      <c r="AC825"/>
      <c r="AD825"/>
    </row>
    <row r="826" spans="1:30" ht="30" x14ac:dyDescent="0.25">
      <c r="A826" s="5" t="s">
        <v>2642</v>
      </c>
      <c r="B826" s="1" t="s">
        <v>7941</v>
      </c>
      <c r="C826" s="1" t="s">
        <v>31</v>
      </c>
      <c r="D826" s="1" t="s">
        <v>14</v>
      </c>
      <c r="H826" s="1" t="s">
        <v>22</v>
      </c>
      <c r="I826" s="1" t="s">
        <v>22</v>
      </c>
      <c r="J826" s="3">
        <v>45846.712523148148</v>
      </c>
      <c r="K826" s="2" t="s">
        <v>7942</v>
      </c>
      <c r="L826" s="1">
        <v>32</v>
      </c>
      <c r="M826" s="1">
        <v>33</v>
      </c>
      <c r="N826">
        <v>1</v>
      </c>
      <c r="O826" s="3">
        <f>IF(
    R826="Ancien",
    _xlfn.XLOOKUP(
        Final_Sans_VGE[[#This Row],[ppn_z]],
        tbl_Historique_Final[ppn_z],
        tbl_Historique_Final[Horodatage],
        ""
    ),
    Horodatage!$A$2
)</f>
        <v>46233.670796365739</v>
      </c>
      <c r="P826" s="1" t="str">
        <f>IFERROR(IF(tbl_Historique_Final[[#This Row],[Commentaires]]&lt;&gt;"",tbl_Historique_Final[[#This Row],[Commentaires]],""),"")</f>
        <v/>
      </c>
      <c r="X826" s="8" t="str">
        <f>IF(Final_Sans_VGE[[#This Row],[ppn_z]]="","",IFERROR(
   IF(_xlfn.XLOOKUP(Final_Sans_VGE[[#This Row],[ppn_z]],tbl_Historique_Final[ppn_z],tbl_Historique_Final[date_modif])=Final_Sans_VGE[[#This Row],[date_modif]],
      "Ancien",
      "Modifié"),
   "Nouveau"))</f>
        <v>Ancien</v>
      </c>
      <c r="AC826"/>
      <c r="AD826"/>
    </row>
    <row r="827" spans="1:30" ht="30" x14ac:dyDescent="0.25">
      <c r="A827" s="5" t="s">
        <v>2645</v>
      </c>
      <c r="B827" s="1" t="s">
        <v>7943</v>
      </c>
      <c r="C827" s="1" t="s">
        <v>12</v>
      </c>
      <c r="G827" s="1" t="s">
        <v>11</v>
      </c>
      <c r="J827" s="3">
        <v>45891.667048611111</v>
      </c>
      <c r="K827" s="2" t="s">
        <v>7944</v>
      </c>
      <c r="L827" s="1">
        <v>8</v>
      </c>
      <c r="M827" s="1">
        <v>12</v>
      </c>
      <c r="N827">
        <v>4</v>
      </c>
      <c r="O827" s="3">
        <f>IF(
    R827="Ancien",
    _xlfn.XLOOKUP(
        Final_Sans_VGE[[#This Row],[ppn_z]],
        tbl_Historique_Final[ppn_z],
        tbl_Historique_Final[Horodatage],
        ""
    ),
    Horodatage!$A$2
)</f>
        <v>46233.670796365739</v>
      </c>
      <c r="P827" s="1" t="str">
        <f>IFERROR(IF(tbl_Historique_Final[[#This Row],[Commentaires]]&lt;&gt;"",tbl_Historique_Final[[#This Row],[Commentaires]],""),"")</f>
        <v/>
      </c>
      <c r="X827" s="8" t="str">
        <f>IF(Final_Sans_VGE[[#This Row],[ppn_z]]="","",IFERROR(
   IF(_xlfn.XLOOKUP(Final_Sans_VGE[[#This Row],[ppn_z]],tbl_Historique_Final[ppn_z],tbl_Historique_Final[date_modif])=Final_Sans_VGE[[#This Row],[date_modif]],
      "Ancien",
      "Modifié"),
   "Nouveau"))</f>
        <v>Ancien</v>
      </c>
      <c r="AC827"/>
      <c r="AD827"/>
    </row>
    <row r="828" spans="1:30" x14ac:dyDescent="0.25">
      <c r="A828" s="5" t="s">
        <v>2648</v>
      </c>
      <c r="B828" s="1" t="s">
        <v>7945</v>
      </c>
      <c r="C828" s="1" t="s">
        <v>92</v>
      </c>
      <c r="G828" s="1" t="s">
        <v>10</v>
      </c>
      <c r="J828" s="3">
        <v>45902.69358796296</v>
      </c>
      <c r="K828" s="2" t="s">
        <v>7946</v>
      </c>
      <c r="L828" s="1">
        <v>6</v>
      </c>
      <c r="M828" s="1">
        <v>6</v>
      </c>
      <c r="N828">
        <v>0</v>
      </c>
      <c r="O828" s="3">
        <f>IF(
    R828="Ancien",
    _xlfn.XLOOKUP(
        Final_Sans_VGE[[#This Row],[ppn_z]],
        tbl_Historique_Final[ppn_z],
        tbl_Historique_Final[Horodatage],
        ""
    ),
    Horodatage!$A$2
)</f>
        <v>46233.670796365739</v>
      </c>
      <c r="P828" s="1" t="str">
        <f>IFERROR(IF(tbl_Historique_Final[[#This Row],[Commentaires]]&lt;&gt;"",tbl_Historique_Final[[#This Row],[Commentaires]],""),"")</f>
        <v/>
      </c>
      <c r="X828" s="8" t="str">
        <f>IF(Final_Sans_VGE[[#This Row],[ppn_z]]="","",IFERROR(
   IF(_xlfn.XLOOKUP(Final_Sans_VGE[[#This Row],[ppn_z]],tbl_Historique_Final[ppn_z],tbl_Historique_Final[date_modif])=Final_Sans_VGE[[#This Row],[date_modif]],
      "Ancien",
      "Modifié"),
   "Nouveau"))</f>
        <v>Ancien</v>
      </c>
      <c r="AC828"/>
      <c r="AD828"/>
    </row>
    <row r="829" spans="1:30" ht="30" x14ac:dyDescent="0.25">
      <c r="A829" s="5" t="s">
        <v>2651</v>
      </c>
      <c r="B829" s="1" t="s">
        <v>7947</v>
      </c>
      <c r="C829" s="1" t="s">
        <v>12</v>
      </c>
      <c r="G829" s="1" t="s">
        <v>11</v>
      </c>
      <c r="J829" s="3">
        <v>45897.59611111111</v>
      </c>
      <c r="K829" s="2" t="s">
        <v>7948</v>
      </c>
      <c r="L829" s="1">
        <v>1</v>
      </c>
      <c r="M829" s="1">
        <v>1</v>
      </c>
      <c r="N829">
        <v>0</v>
      </c>
      <c r="O829" s="3">
        <f>IF(
    R829="Ancien",
    _xlfn.XLOOKUP(
        Final_Sans_VGE[[#This Row],[ppn_z]],
        tbl_Historique_Final[ppn_z],
        tbl_Historique_Final[Horodatage],
        ""
    ),
    Horodatage!$A$2
)</f>
        <v>46233.670796365739</v>
      </c>
      <c r="P829" s="1" t="str">
        <f>IFERROR(IF(tbl_Historique_Final[[#This Row],[Commentaires]]&lt;&gt;"",tbl_Historique_Final[[#This Row],[Commentaires]],""),"")</f>
        <v/>
      </c>
      <c r="X829" s="8" t="str">
        <f>IF(Final_Sans_VGE[[#This Row],[ppn_z]]="","",IFERROR(
   IF(_xlfn.XLOOKUP(Final_Sans_VGE[[#This Row],[ppn_z]],tbl_Historique_Final[ppn_z],tbl_Historique_Final[date_modif])=Final_Sans_VGE[[#This Row],[date_modif]],
      "Ancien",
      "Modifié"),
   "Nouveau"))</f>
        <v>Ancien</v>
      </c>
      <c r="AC829"/>
      <c r="AD829"/>
    </row>
    <row r="830" spans="1:30" ht="45" x14ac:dyDescent="0.25">
      <c r="A830" s="5" t="s">
        <v>2654</v>
      </c>
      <c r="B830" s="1" t="s">
        <v>7949</v>
      </c>
      <c r="C830" s="1" t="s">
        <v>72</v>
      </c>
      <c r="G830" s="1" t="s">
        <v>10</v>
      </c>
      <c r="J830" s="3">
        <v>45842.629108796296</v>
      </c>
      <c r="K830" s="2" t="s">
        <v>7950</v>
      </c>
      <c r="L830" s="1">
        <v>9</v>
      </c>
      <c r="M830" s="1">
        <v>15</v>
      </c>
      <c r="N830">
        <v>6</v>
      </c>
      <c r="O830" s="3">
        <f>IF(
    R830="Ancien",
    _xlfn.XLOOKUP(
        Final_Sans_VGE[[#This Row],[ppn_z]],
        tbl_Historique_Final[ppn_z],
        tbl_Historique_Final[Horodatage],
        ""
    ),
    Horodatage!$A$2
)</f>
        <v>46233.670796365739</v>
      </c>
      <c r="P830" s="1" t="str">
        <f>IFERROR(IF(tbl_Historique_Final[[#This Row],[Commentaires]]&lt;&gt;"",tbl_Historique_Final[[#This Row],[Commentaires]],""),"")</f>
        <v/>
      </c>
      <c r="X830" s="8" t="str">
        <f>IF(Final_Sans_VGE[[#This Row],[ppn_z]]="","",IFERROR(
   IF(_xlfn.XLOOKUP(Final_Sans_VGE[[#This Row],[ppn_z]],tbl_Historique_Final[ppn_z],tbl_Historique_Final[date_modif])=Final_Sans_VGE[[#This Row],[date_modif]],
      "Ancien",
      "Modifié"),
   "Nouveau"))</f>
        <v>Ancien</v>
      </c>
      <c r="AC830"/>
      <c r="AD830"/>
    </row>
    <row r="831" spans="1:30" x14ac:dyDescent="0.25">
      <c r="A831" s="5" t="s">
        <v>2657</v>
      </c>
      <c r="B831" s="1" t="s">
        <v>7951</v>
      </c>
      <c r="C831" s="1" t="s">
        <v>45</v>
      </c>
      <c r="G831" s="1" t="s">
        <v>11</v>
      </c>
      <c r="J831" s="3">
        <v>45884.596979166665</v>
      </c>
      <c r="K831" s="2" t="s">
        <v>7952</v>
      </c>
      <c r="L831" s="1">
        <v>20</v>
      </c>
      <c r="M831" s="1">
        <v>20</v>
      </c>
      <c r="N831">
        <v>0</v>
      </c>
      <c r="O831" s="3">
        <f>IF(
    R831="Ancien",
    _xlfn.XLOOKUP(
        Final_Sans_VGE[[#This Row],[ppn_z]],
        tbl_Historique_Final[ppn_z],
        tbl_Historique_Final[Horodatage],
        ""
    ),
    Horodatage!$A$2
)</f>
        <v>46233.670796365739</v>
      </c>
      <c r="P831" s="1" t="str">
        <f>IFERROR(IF(tbl_Historique_Final[[#This Row],[Commentaires]]&lt;&gt;"",tbl_Historique_Final[[#This Row],[Commentaires]],""),"")</f>
        <v/>
      </c>
      <c r="X831" s="8" t="str">
        <f>IF(Final_Sans_VGE[[#This Row],[ppn_z]]="","",IFERROR(
   IF(_xlfn.XLOOKUP(Final_Sans_VGE[[#This Row],[ppn_z]],tbl_Historique_Final[ppn_z],tbl_Historique_Final[date_modif])=Final_Sans_VGE[[#This Row],[date_modif]],
      "Ancien",
      "Modifié"),
   "Nouveau"))</f>
        <v>Ancien</v>
      </c>
      <c r="AC831"/>
      <c r="AD831"/>
    </row>
    <row r="832" spans="1:30" x14ac:dyDescent="0.25">
      <c r="A832" s="5" t="s">
        <v>2660</v>
      </c>
      <c r="B832" s="1" t="s">
        <v>7953</v>
      </c>
      <c r="C832" s="1" t="s">
        <v>122</v>
      </c>
      <c r="D832" s="1" t="s">
        <v>153</v>
      </c>
      <c r="E832" s="1" t="s">
        <v>115</v>
      </c>
      <c r="F832" s="1" t="s">
        <v>14</v>
      </c>
      <c r="H832" s="1" t="s">
        <v>140</v>
      </c>
      <c r="I832" s="1" t="s">
        <v>140</v>
      </c>
      <c r="J832" s="3">
        <v>45936.689259259256</v>
      </c>
      <c r="K832" s="2" t="s">
        <v>7954</v>
      </c>
      <c r="L832" s="1">
        <v>42</v>
      </c>
      <c r="M832" s="1">
        <v>55</v>
      </c>
      <c r="N832">
        <v>13</v>
      </c>
      <c r="O832" s="3">
        <f>IF(
    R832="Ancien",
    _xlfn.XLOOKUP(
        Final_Sans_VGE[[#This Row],[ppn_z]],
        tbl_Historique_Final[ppn_z],
        tbl_Historique_Final[Horodatage],
        ""
    ),
    Horodatage!$A$2
)</f>
        <v>46233.670796365739</v>
      </c>
      <c r="P832" s="1" t="str">
        <f>IFERROR(IF(tbl_Historique_Final[[#This Row],[Commentaires]]&lt;&gt;"",tbl_Historique_Final[[#This Row],[Commentaires]],""),"")</f>
        <v/>
      </c>
      <c r="X832" s="8" t="str">
        <f>IF(Final_Sans_VGE[[#This Row],[ppn_z]]="","",IFERROR(
   IF(_xlfn.XLOOKUP(Final_Sans_VGE[[#This Row],[ppn_z]],tbl_Historique_Final[ppn_z],tbl_Historique_Final[date_modif])=Final_Sans_VGE[[#This Row],[date_modif]],
      "Ancien",
      "Modifié"),
   "Nouveau"))</f>
        <v>Ancien</v>
      </c>
      <c r="AC832"/>
      <c r="AD832"/>
    </row>
    <row r="833" spans="1:30" ht="45" x14ac:dyDescent="0.25">
      <c r="A833" s="5" t="s">
        <v>2663</v>
      </c>
      <c r="B833" s="1" t="s">
        <v>7955</v>
      </c>
      <c r="C833" s="1" t="s">
        <v>12</v>
      </c>
      <c r="G833" s="1" t="s">
        <v>11</v>
      </c>
      <c r="J833" s="3">
        <v>45905.330914351849</v>
      </c>
      <c r="K833" s="2" t="s">
        <v>7956</v>
      </c>
      <c r="L833" s="1">
        <v>1</v>
      </c>
      <c r="M833" s="1">
        <v>1</v>
      </c>
      <c r="N833">
        <v>0</v>
      </c>
      <c r="O833" s="3">
        <f>IF(
    R833="Ancien",
    _xlfn.XLOOKUP(
        Final_Sans_VGE[[#This Row],[ppn_z]],
        tbl_Historique_Final[ppn_z],
        tbl_Historique_Final[Horodatage],
        ""
    ),
    Horodatage!$A$2
)</f>
        <v>46233.670796365739</v>
      </c>
      <c r="P833" s="1" t="str">
        <f>IFERROR(IF(tbl_Historique_Final[[#This Row],[Commentaires]]&lt;&gt;"",tbl_Historique_Final[[#This Row],[Commentaires]],""),"")</f>
        <v/>
      </c>
      <c r="X833" s="8" t="str">
        <f>IF(Final_Sans_VGE[[#This Row],[ppn_z]]="","",IFERROR(
   IF(_xlfn.XLOOKUP(Final_Sans_VGE[[#This Row],[ppn_z]],tbl_Historique_Final[ppn_z],tbl_Historique_Final[date_modif])=Final_Sans_VGE[[#This Row],[date_modif]],
      "Ancien",
      "Modifié"),
   "Nouveau"))</f>
        <v>Ancien</v>
      </c>
      <c r="AC833"/>
      <c r="AD833"/>
    </row>
    <row r="834" spans="1:30" x14ac:dyDescent="0.25">
      <c r="A834" s="5" t="s">
        <v>2666</v>
      </c>
      <c r="B834" s="1" t="s">
        <v>7957</v>
      </c>
      <c r="C834" s="1" t="s">
        <v>121</v>
      </c>
      <c r="G834" s="1" t="s">
        <v>11</v>
      </c>
      <c r="J834" s="3">
        <v>45847.638252314813</v>
      </c>
      <c r="K834" s="2" t="s">
        <v>7958</v>
      </c>
      <c r="L834" s="1">
        <v>2</v>
      </c>
      <c r="M834" s="1">
        <v>2</v>
      </c>
      <c r="N834">
        <v>0</v>
      </c>
      <c r="O834" s="3">
        <f>IF(
    R834="Ancien",
    _xlfn.XLOOKUP(
        Final_Sans_VGE[[#This Row],[ppn_z]],
        tbl_Historique_Final[ppn_z],
        tbl_Historique_Final[Horodatage],
        ""
    ),
    Horodatage!$A$2
)</f>
        <v>46233.670796365739</v>
      </c>
      <c r="P834" s="1" t="str">
        <f>IFERROR(IF(tbl_Historique_Final[[#This Row],[Commentaires]]&lt;&gt;"",tbl_Historique_Final[[#This Row],[Commentaires]],""),"")</f>
        <v/>
      </c>
      <c r="X834" s="8" t="str">
        <f>IF(Final_Sans_VGE[[#This Row],[ppn_z]]="","",IFERROR(
   IF(_xlfn.XLOOKUP(Final_Sans_VGE[[#This Row],[ppn_z]],tbl_Historique_Final[ppn_z],tbl_Historique_Final[date_modif])=Final_Sans_VGE[[#This Row],[date_modif]],
      "Ancien",
      "Modifié"),
   "Nouveau"))</f>
        <v>Ancien</v>
      </c>
      <c r="AC834"/>
      <c r="AD834"/>
    </row>
    <row r="835" spans="1:30" x14ac:dyDescent="0.25">
      <c r="A835" s="5" t="s">
        <v>2669</v>
      </c>
      <c r="B835" s="1" t="s">
        <v>7959</v>
      </c>
      <c r="C835" s="1" t="s">
        <v>35</v>
      </c>
      <c r="D835" s="1" t="s">
        <v>14</v>
      </c>
      <c r="G835" s="1" t="s">
        <v>10</v>
      </c>
      <c r="H835" s="1" t="s">
        <v>22</v>
      </c>
      <c r="I835" s="1" t="s">
        <v>22</v>
      </c>
      <c r="J835" s="3">
        <v>45842.598715277774</v>
      </c>
      <c r="K835" s="2" t="s">
        <v>7960</v>
      </c>
      <c r="L835" s="1">
        <v>60</v>
      </c>
      <c r="M835" s="1">
        <v>61</v>
      </c>
      <c r="N835">
        <v>1</v>
      </c>
      <c r="O835" s="3">
        <f>IF(
    R835="Ancien",
    _xlfn.XLOOKUP(
        Final_Sans_VGE[[#This Row],[ppn_z]],
        tbl_Historique_Final[ppn_z],
        tbl_Historique_Final[Horodatage],
        ""
    ),
    Horodatage!$A$2
)</f>
        <v>46233.670796365739</v>
      </c>
      <c r="P835" s="1" t="str">
        <f>IFERROR(IF(tbl_Historique_Final[[#This Row],[Commentaires]]&lt;&gt;"",tbl_Historique_Final[[#This Row],[Commentaires]],""),"")</f>
        <v/>
      </c>
      <c r="X835" s="8" t="str">
        <f>IF(Final_Sans_VGE[[#This Row],[ppn_z]]="","",IFERROR(
   IF(_xlfn.XLOOKUP(Final_Sans_VGE[[#This Row],[ppn_z]],tbl_Historique_Final[ppn_z],tbl_Historique_Final[date_modif])=Final_Sans_VGE[[#This Row],[date_modif]],
      "Ancien",
      "Modifié"),
   "Nouveau"))</f>
        <v>Ancien</v>
      </c>
      <c r="AC835"/>
      <c r="AD835"/>
    </row>
    <row r="836" spans="1:30" x14ac:dyDescent="0.25">
      <c r="A836" s="5" t="s">
        <v>2672</v>
      </c>
      <c r="B836" s="1" t="s">
        <v>7961</v>
      </c>
      <c r="C836" s="1" t="s">
        <v>12</v>
      </c>
      <c r="G836" s="1" t="s">
        <v>10</v>
      </c>
      <c r="J836" s="3">
        <v>45944.531678240739</v>
      </c>
      <c r="K836" s="2" t="s">
        <v>7962</v>
      </c>
      <c r="L836" s="1">
        <v>4</v>
      </c>
      <c r="M836" s="1">
        <v>5</v>
      </c>
      <c r="N836">
        <v>1</v>
      </c>
      <c r="O836" s="3">
        <f>IF(
    R836="Ancien",
    _xlfn.XLOOKUP(
        Final_Sans_VGE[[#This Row],[ppn_z]],
        tbl_Historique_Final[ppn_z],
        tbl_Historique_Final[Horodatage],
        ""
    ),
    Horodatage!$A$2
)</f>
        <v>46233.670796365739</v>
      </c>
      <c r="P836" s="1" t="str">
        <f>IFERROR(IF(tbl_Historique_Final[[#This Row],[Commentaires]]&lt;&gt;"",tbl_Historique_Final[[#This Row],[Commentaires]],""),"")</f>
        <v/>
      </c>
      <c r="X836" s="8" t="str">
        <f>IF(Final_Sans_VGE[[#This Row],[ppn_z]]="","",IFERROR(
   IF(_xlfn.XLOOKUP(Final_Sans_VGE[[#This Row],[ppn_z]],tbl_Historique_Final[ppn_z],tbl_Historique_Final[date_modif])=Final_Sans_VGE[[#This Row],[date_modif]],
      "Ancien",
      "Modifié"),
   "Nouveau"))</f>
        <v>Ancien</v>
      </c>
      <c r="AC836"/>
      <c r="AD836"/>
    </row>
    <row r="837" spans="1:30" x14ac:dyDescent="0.25">
      <c r="A837" s="5" t="s">
        <v>2675</v>
      </c>
      <c r="B837" s="1" t="s">
        <v>7963</v>
      </c>
      <c r="C837" s="1" t="s">
        <v>70</v>
      </c>
      <c r="J837" s="3">
        <v>45636.400520833333</v>
      </c>
      <c r="L837" s="1">
        <v>1</v>
      </c>
      <c r="M837" s="1">
        <v>1</v>
      </c>
      <c r="N837">
        <v>0</v>
      </c>
      <c r="O837" s="3">
        <f>IF(
    R837="Ancien",
    _xlfn.XLOOKUP(
        Final_Sans_VGE[[#This Row],[ppn_z]],
        tbl_Historique_Final[ppn_z],
        tbl_Historique_Final[Horodatage],
        ""
    ),
    Horodatage!$A$2
)</f>
        <v>46233.670796365739</v>
      </c>
      <c r="P837" s="1" t="str">
        <f>IFERROR(IF(tbl_Historique_Final[[#This Row],[Commentaires]]&lt;&gt;"",tbl_Historique_Final[[#This Row],[Commentaires]],""),"")</f>
        <v/>
      </c>
      <c r="X837" s="8" t="str">
        <f>IF(Final_Sans_VGE[[#This Row],[ppn_z]]="","",IFERROR(
   IF(_xlfn.XLOOKUP(Final_Sans_VGE[[#This Row],[ppn_z]],tbl_Historique_Final[ppn_z],tbl_Historique_Final[date_modif])=Final_Sans_VGE[[#This Row],[date_modif]],
      "Ancien",
      "Modifié"),
   "Nouveau"))</f>
        <v>Ancien</v>
      </c>
      <c r="AC837"/>
      <c r="AD837"/>
    </row>
    <row r="838" spans="1:30" ht="30" x14ac:dyDescent="0.25">
      <c r="A838" s="5" t="s">
        <v>2678</v>
      </c>
      <c r="B838" s="1" t="s">
        <v>7964</v>
      </c>
      <c r="C838" s="1" t="s">
        <v>12</v>
      </c>
      <c r="G838" s="1" t="s">
        <v>11</v>
      </c>
      <c r="J838" s="3">
        <v>45849.364178240743</v>
      </c>
      <c r="K838" s="2" t="s">
        <v>7965</v>
      </c>
      <c r="L838" s="1">
        <v>3</v>
      </c>
      <c r="M838" s="1">
        <v>3</v>
      </c>
      <c r="N838">
        <v>0</v>
      </c>
      <c r="O838" s="3">
        <f>IF(
    R838="Ancien",
    _xlfn.XLOOKUP(
        Final_Sans_VGE[[#This Row],[ppn_z]],
        tbl_Historique_Final[ppn_z],
        tbl_Historique_Final[Horodatage],
        ""
    ),
    Horodatage!$A$2
)</f>
        <v>46233.670796365739</v>
      </c>
      <c r="P838" s="1" t="str">
        <f>IFERROR(IF(tbl_Historique_Final[[#This Row],[Commentaires]]&lt;&gt;"",tbl_Historique_Final[[#This Row],[Commentaires]],""),"")</f>
        <v/>
      </c>
      <c r="X838" s="8" t="str">
        <f>IF(Final_Sans_VGE[[#This Row],[ppn_z]]="","",IFERROR(
   IF(_xlfn.XLOOKUP(Final_Sans_VGE[[#This Row],[ppn_z]],tbl_Historique_Final[ppn_z],tbl_Historique_Final[date_modif])=Final_Sans_VGE[[#This Row],[date_modif]],
      "Ancien",
      "Modifié"),
   "Nouveau"))</f>
        <v>Ancien</v>
      </c>
      <c r="AC838"/>
      <c r="AD838"/>
    </row>
    <row r="839" spans="1:30" ht="30" x14ac:dyDescent="0.25">
      <c r="A839" s="5" t="s">
        <v>2681</v>
      </c>
      <c r="B839" s="1" t="s">
        <v>7966</v>
      </c>
      <c r="C839" s="1" t="s">
        <v>119</v>
      </c>
      <c r="J839" s="3">
        <v>45944.342118055552</v>
      </c>
      <c r="K839" s="2" t="s">
        <v>7967</v>
      </c>
      <c r="L839" s="1">
        <v>18</v>
      </c>
      <c r="M839" s="1">
        <v>21</v>
      </c>
      <c r="N839">
        <v>3</v>
      </c>
      <c r="O839" s="3">
        <f>IF(
    R839="Ancien",
    _xlfn.XLOOKUP(
        Final_Sans_VGE[[#This Row],[ppn_z]],
        tbl_Historique_Final[ppn_z],
        tbl_Historique_Final[Horodatage],
        ""
    ),
    Horodatage!$A$2
)</f>
        <v>46233.670796365739</v>
      </c>
      <c r="P839" s="1" t="str">
        <f>IFERROR(IF(tbl_Historique_Final[[#This Row],[Commentaires]]&lt;&gt;"",tbl_Historique_Final[[#This Row],[Commentaires]],""),"")</f>
        <v/>
      </c>
      <c r="X839" s="8" t="str">
        <f>IF(Final_Sans_VGE[[#This Row],[ppn_z]]="","",IFERROR(
   IF(_xlfn.XLOOKUP(Final_Sans_VGE[[#This Row],[ppn_z]],tbl_Historique_Final[ppn_z],tbl_Historique_Final[date_modif])=Final_Sans_VGE[[#This Row],[date_modif]],
      "Ancien",
      "Modifié"),
   "Nouveau"))</f>
        <v>Ancien</v>
      </c>
      <c r="AC839"/>
      <c r="AD839"/>
    </row>
    <row r="840" spans="1:30" x14ac:dyDescent="0.25">
      <c r="A840" s="5" t="s">
        <v>2684</v>
      </c>
      <c r="B840" s="1" t="s">
        <v>7968</v>
      </c>
      <c r="C840" s="1" t="s">
        <v>147</v>
      </c>
      <c r="J840" s="3">
        <v>45636.458553240744</v>
      </c>
      <c r="L840" s="1">
        <v>1</v>
      </c>
      <c r="M840" s="1">
        <v>1</v>
      </c>
      <c r="N840">
        <v>0</v>
      </c>
      <c r="O840" s="3">
        <f>IF(
    R840="Ancien",
    _xlfn.XLOOKUP(
        Final_Sans_VGE[[#This Row],[ppn_z]],
        tbl_Historique_Final[ppn_z],
        tbl_Historique_Final[Horodatage],
        ""
    ),
    Horodatage!$A$2
)</f>
        <v>46233.670796365739</v>
      </c>
      <c r="P840" s="1" t="str">
        <f>IFERROR(IF(tbl_Historique_Final[[#This Row],[Commentaires]]&lt;&gt;"",tbl_Historique_Final[[#This Row],[Commentaires]],""),"")</f>
        <v/>
      </c>
      <c r="X840" s="8" t="str">
        <f>IF(Final_Sans_VGE[[#This Row],[ppn_z]]="","",IFERROR(
   IF(_xlfn.XLOOKUP(Final_Sans_VGE[[#This Row],[ppn_z]],tbl_Historique_Final[ppn_z],tbl_Historique_Final[date_modif])=Final_Sans_VGE[[#This Row],[date_modif]],
      "Ancien",
      "Modifié"),
   "Nouveau"))</f>
        <v>Ancien</v>
      </c>
      <c r="AC840"/>
      <c r="AD840"/>
    </row>
    <row r="841" spans="1:30" x14ac:dyDescent="0.25">
      <c r="A841" s="5" t="s">
        <v>2687</v>
      </c>
      <c r="B841" s="1" t="s">
        <v>7969</v>
      </c>
      <c r="C841" s="1" t="s">
        <v>12</v>
      </c>
      <c r="G841" s="1" t="s">
        <v>11</v>
      </c>
      <c r="J841" s="3">
        <v>45936.456203703703</v>
      </c>
      <c r="K841" s="2" t="s">
        <v>7970</v>
      </c>
      <c r="L841" s="1">
        <v>1</v>
      </c>
      <c r="M841" s="1">
        <v>1</v>
      </c>
      <c r="N841">
        <v>0</v>
      </c>
      <c r="O841" s="3">
        <f>IF(
    R841="Ancien",
    _xlfn.XLOOKUP(
        Final_Sans_VGE[[#This Row],[ppn_z]],
        tbl_Historique_Final[ppn_z],
        tbl_Historique_Final[Horodatage],
        ""
    ),
    Horodatage!$A$2
)</f>
        <v>46233.670796365739</v>
      </c>
      <c r="P841" s="1" t="str">
        <f>IFERROR(IF(tbl_Historique_Final[[#This Row],[Commentaires]]&lt;&gt;"",tbl_Historique_Final[[#This Row],[Commentaires]],""),"")</f>
        <v/>
      </c>
      <c r="X841" s="8" t="str">
        <f>IF(Final_Sans_VGE[[#This Row],[ppn_z]]="","",IFERROR(
   IF(_xlfn.XLOOKUP(Final_Sans_VGE[[#This Row],[ppn_z]],tbl_Historique_Final[ppn_z],tbl_Historique_Final[date_modif])=Final_Sans_VGE[[#This Row],[date_modif]],
      "Ancien",
      "Modifié"),
   "Nouveau"))</f>
        <v>Ancien</v>
      </c>
      <c r="AC841"/>
      <c r="AD841"/>
    </row>
    <row r="842" spans="1:30" x14ac:dyDescent="0.25">
      <c r="A842" s="5" t="s">
        <v>2690</v>
      </c>
      <c r="B842" s="1" t="s">
        <v>7971</v>
      </c>
      <c r="C842" s="1" t="s">
        <v>12</v>
      </c>
      <c r="G842" s="1" t="s">
        <v>111</v>
      </c>
      <c r="J842" s="3">
        <v>45812.370393518519</v>
      </c>
      <c r="K842" s="2" t="s">
        <v>7972</v>
      </c>
      <c r="L842" s="1">
        <v>1</v>
      </c>
      <c r="M842" s="1">
        <v>2</v>
      </c>
      <c r="N842">
        <v>1</v>
      </c>
      <c r="O842" s="3">
        <f>IF(
    R842="Ancien",
    _xlfn.XLOOKUP(
        Final_Sans_VGE[[#This Row],[ppn_z]],
        tbl_Historique_Final[ppn_z],
        tbl_Historique_Final[Horodatage],
        ""
    ),
    Horodatage!$A$2
)</f>
        <v>46233.670796365739</v>
      </c>
      <c r="P842" s="1" t="str">
        <f>IFERROR(IF(tbl_Historique_Final[[#This Row],[Commentaires]]&lt;&gt;"",tbl_Historique_Final[[#This Row],[Commentaires]],""),"")</f>
        <v/>
      </c>
      <c r="X842" s="8" t="str">
        <f>IF(Final_Sans_VGE[[#This Row],[ppn_z]]="","",IFERROR(
   IF(_xlfn.XLOOKUP(Final_Sans_VGE[[#This Row],[ppn_z]],tbl_Historique_Final[ppn_z],tbl_Historique_Final[date_modif])=Final_Sans_VGE[[#This Row],[date_modif]],
      "Ancien",
      "Modifié"),
   "Nouveau"))</f>
        <v>Ancien</v>
      </c>
      <c r="AC842"/>
      <c r="AD842"/>
    </row>
    <row r="843" spans="1:30" x14ac:dyDescent="0.25">
      <c r="A843" s="5" t="s">
        <v>2693</v>
      </c>
      <c r="B843" s="1" t="s">
        <v>7973</v>
      </c>
      <c r="J843" s="3">
        <v>45608.439780092594</v>
      </c>
      <c r="L843" s="1">
        <v>1</v>
      </c>
      <c r="M843" s="1">
        <v>1</v>
      </c>
      <c r="N843">
        <v>0</v>
      </c>
      <c r="O843" s="3">
        <f>IF(
    R843="Ancien",
    _xlfn.XLOOKUP(
        Final_Sans_VGE[[#This Row],[ppn_z]],
        tbl_Historique_Final[ppn_z],
        tbl_Historique_Final[Horodatage],
        ""
    ),
    Horodatage!$A$2
)</f>
        <v>46233.670796365739</v>
      </c>
      <c r="P843" s="1" t="str">
        <f>IFERROR(IF(tbl_Historique_Final[[#This Row],[Commentaires]]&lt;&gt;"",tbl_Historique_Final[[#This Row],[Commentaires]],""),"")</f>
        <v/>
      </c>
      <c r="X843" s="8" t="str">
        <f>IF(Final_Sans_VGE[[#This Row],[ppn_z]]="","",IFERROR(
   IF(_xlfn.XLOOKUP(Final_Sans_VGE[[#This Row],[ppn_z]],tbl_Historique_Final[ppn_z],tbl_Historique_Final[date_modif])=Final_Sans_VGE[[#This Row],[date_modif]],
      "Ancien",
      "Modifié"),
   "Nouveau"))</f>
        <v>Ancien</v>
      </c>
      <c r="AC843"/>
      <c r="AD843"/>
    </row>
    <row r="844" spans="1:30" ht="30" x14ac:dyDescent="0.25">
      <c r="A844" s="5" t="s">
        <v>2696</v>
      </c>
      <c r="B844" s="1" t="s">
        <v>7974</v>
      </c>
      <c r="C844" s="1" t="s">
        <v>45</v>
      </c>
      <c r="G844" s="1" t="s">
        <v>10</v>
      </c>
      <c r="H844" s="1" t="s">
        <v>7975</v>
      </c>
      <c r="I844" s="1" t="s">
        <v>22</v>
      </c>
      <c r="J844" s="3">
        <v>45890.647673611114</v>
      </c>
      <c r="K844" s="2" t="s">
        <v>7976</v>
      </c>
      <c r="L844" s="1">
        <v>8</v>
      </c>
      <c r="M844" s="1">
        <v>8</v>
      </c>
      <c r="N844">
        <v>0</v>
      </c>
      <c r="O844" s="3">
        <f>IF(
    R844="Ancien",
    _xlfn.XLOOKUP(
        Final_Sans_VGE[[#This Row],[ppn_z]],
        tbl_Historique_Final[ppn_z],
        tbl_Historique_Final[Horodatage],
        ""
    ),
    Horodatage!$A$2
)</f>
        <v>46233.670796365739</v>
      </c>
      <c r="P844" s="1" t="str">
        <f>IFERROR(IF(tbl_Historique_Final[[#This Row],[Commentaires]]&lt;&gt;"",tbl_Historique_Final[[#This Row],[Commentaires]],""),"")</f>
        <v/>
      </c>
      <c r="X844" s="8" t="str">
        <f>IF(Final_Sans_VGE[[#This Row],[ppn_z]]="","",IFERROR(
   IF(_xlfn.XLOOKUP(Final_Sans_VGE[[#This Row],[ppn_z]],tbl_Historique_Final[ppn_z],tbl_Historique_Final[date_modif])=Final_Sans_VGE[[#This Row],[date_modif]],
      "Ancien",
      "Modifié"),
   "Nouveau"))</f>
        <v>Ancien</v>
      </c>
      <c r="AC844"/>
      <c r="AD844"/>
    </row>
    <row r="845" spans="1:30" x14ac:dyDescent="0.25">
      <c r="A845" s="5" t="s">
        <v>2699</v>
      </c>
      <c r="B845" s="1" t="s">
        <v>7977</v>
      </c>
      <c r="C845" s="1" t="s">
        <v>12</v>
      </c>
      <c r="G845" s="1" t="s">
        <v>11</v>
      </c>
      <c r="J845" s="3">
        <v>45936.462673611109</v>
      </c>
      <c r="K845" s="2" t="s">
        <v>7978</v>
      </c>
      <c r="L845" s="1">
        <v>1</v>
      </c>
      <c r="M845" s="1">
        <v>1</v>
      </c>
      <c r="N845">
        <v>0</v>
      </c>
      <c r="O845" s="3">
        <f>IF(
    R845="Ancien",
    _xlfn.XLOOKUP(
        Final_Sans_VGE[[#This Row],[ppn_z]],
        tbl_Historique_Final[ppn_z],
        tbl_Historique_Final[Horodatage],
        ""
    ),
    Horodatage!$A$2
)</f>
        <v>46233.670796365739</v>
      </c>
      <c r="P845" s="1" t="str">
        <f>IFERROR(IF(tbl_Historique_Final[[#This Row],[Commentaires]]&lt;&gt;"",tbl_Historique_Final[[#This Row],[Commentaires]],""),"")</f>
        <v/>
      </c>
      <c r="X845" s="8" t="str">
        <f>IF(Final_Sans_VGE[[#This Row],[ppn_z]]="","",IFERROR(
   IF(_xlfn.XLOOKUP(Final_Sans_VGE[[#This Row],[ppn_z]],tbl_Historique_Final[ppn_z],tbl_Historique_Final[date_modif])=Final_Sans_VGE[[#This Row],[date_modif]],
      "Ancien",
      "Modifié"),
   "Nouveau"))</f>
        <v>Ancien</v>
      </c>
      <c r="AC845"/>
      <c r="AD845"/>
    </row>
    <row r="846" spans="1:30" x14ac:dyDescent="0.25">
      <c r="A846" s="5" t="s">
        <v>2702</v>
      </c>
      <c r="B846" s="1" t="s">
        <v>7979</v>
      </c>
      <c r="C846" s="1" t="s">
        <v>33</v>
      </c>
      <c r="J846" s="3">
        <v>45636.497881944444</v>
      </c>
      <c r="L846" s="1">
        <v>1</v>
      </c>
      <c r="M846" s="1">
        <v>1</v>
      </c>
      <c r="N846">
        <v>0</v>
      </c>
      <c r="O846" s="3">
        <f>IF(
    R846="Ancien",
    _xlfn.XLOOKUP(
        Final_Sans_VGE[[#This Row],[ppn_z]],
        tbl_Historique_Final[ppn_z],
        tbl_Historique_Final[Horodatage],
        ""
    ),
    Horodatage!$A$2
)</f>
        <v>46233.670796365739</v>
      </c>
      <c r="P846" s="1" t="str">
        <f>IFERROR(IF(tbl_Historique_Final[[#This Row],[Commentaires]]&lt;&gt;"",tbl_Historique_Final[[#This Row],[Commentaires]],""),"")</f>
        <v/>
      </c>
      <c r="X846" s="8" t="str">
        <f>IF(Final_Sans_VGE[[#This Row],[ppn_z]]="","",IFERROR(
   IF(_xlfn.XLOOKUP(Final_Sans_VGE[[#This Row],[ppn_z]],tbl_Historique_Final[ppn_z],tbl_Historique_Final[date_modif])=Final_Sans_VGE[[#This Row],[date_modif]],
      "Ancien",
      "Modifié"),
   "Nouveau"))</f>
        <v>Ancien</v>
      </c>
      <c r="AC846"/>
      <c r="AD846"/>
    </row>
    <row r="847" spans="1:30" ht="30" x14ac:dyDescent="0.25">
      <c r="A847" s="5" t="s">
        <v>2705</v>
      </c>
      <c r="B847" s="1" t="s">
        <v>7980</v>
      </c>
      <c r="C847" s="1" t="s">
        <v>72</v>
      </c>
      <c r="G847" s="1" t="s">
        <v>11</v>
      </c>
      <c r="J847" s="3">
        <v>45814.39738425926</v>
      </c>
      <c r="K847" s="2" t="s">
        <v>7981</v>
      </c>
      <c r="L847" s="1">
        <v>1</v>
      </c>
      <c r="M847" s="1">
        <v>2</v>
      </c>
      <c r="N847">
        <v>1</v>
      </c>
      <c r="O847" s="3">
        <f>IF(
    R847="Ancien",
    _xlfn.XLOOKUP(
        Final_Sans_VGE[[#This Row],[ppn_z]],
        tbl_Historique_Final[ppn_z],
        tbl_Historique_Final[Horodatage],
        ""
    ),
    Horodatage!$A$2
)</f>
        <v>46233.670796365739</v>
      </c>
      <c r="P847" s="1" t="str">
        <f>IFERROR(IF(tbl_Historique_Final[[#This Row],[Commentaires]]&lt;&gt;"",tbl_Historique_Final[[#This Row],[Commentaires]],""),"")</f>
        <v/>
      </c>
      <c r="X847" s="8" t="str">
        <f>IF(Final_Sans_VGE[[#This Row],[ppn_z]]="","",IFERROR(
   IF(_xlfn.XLOOKUP(Final_Sans_VGE[[#This Row],[ppn_z]],tbl_Historique_Final[ppn_z],tbl_Historique_Final[date_modif])=Final_Sans_VGE[[#This Row],[date_modif]],
      "Ancien",
      "Modifié"),
   "Nouveau"))</f>
        <v>Ancien</v>
      </c>
      <c r="AC847"/>
      <c r="AD847"/>
    </row>
    <row r="848" spans="1:30" ht="45" x14ac:dyDescent="0.25">
      <c r="A848" s="5" t="s">
        <v>2708</v>
      </c>
      <c r="B848" s="1" t="s">
        <v>7982</v>
      </c>
      <c r="C848" s="1" t="s">
        <v>49</v>
      </c>
      <c r="G848" s="1" t="s">
        <v>10</v>
      </c>
      <c r="J848" s="3">
        <v>45898.500949074078</v>
      </c>
      <c r="K848" s="2" t="s">
        <v>7983</v>
      </c>
      <c r="L848" s="1">
        <v>1</v>
      </c>
      <c r="M848" s="1">
        <v>1</v>
      </c>
      <c r="N848">
        <v>0</v>
      </c>
      <c r="O848" s="3">
        <f>IF(
    R848="Ancien",
    _xlfn.XLOOKUP(
        Final_Sans_VGE[[#This Row],[ppn_z]],
        tbl_Historique_Final[ppn_z],
        tbl_Historique_Final[Horodatage],
        ""
    ),
    Horodatage!$A$2
)</f>
        <v>46233.670796365739</v>
      </c>
      <c r="P848" s="1" t="str">
        <f>IFERROR(IF(tbl_Historique_Final[[#This Row],[Commentaires]]&lt;&gt;"",tbl_Historique_Final[[#This Row],[Commentaires]],""),"")</f>
        <v/>
      </c>
      <c r="X848" s="8" t="str">
        <f>IF(Final_Sans_VGE[[#This Row],[ppn_z]]="","",IFERROR(
   IF(_xlfn.XLOOKUP(Final_Sans_VGE[[#This Row],[ppn_z]],tbl_Historique_Final[ppn_z],tbl_Historique_Final[date_modif])=Final_Sans_VGE[[#This Row],[date_modif]],
      "Ancien",
      "Modifié"),
   "Nouveau"))</f>
        <v>Ancien</v>
      </c>
      <c r="AC848"/>
      <c r="AD848"/>
    </row>
    <row r="849" spans="1:30" x14ac:dyDescent="0.25">
      <c r="A849" s="5" t="s">
        <v>2711</v>
      </c>
      <c r="B849" s="1" t="s">
        <v>7984</v>
      </c>
      <c r="C849" s="1" t="s">
        <v>40</v>
      </c>
      <c r="D849" s="1" t="s">
        <v>14</v>
      </c>
      <c r="H849" s="1" t="s">
        <v>22</v>
      </c>
      <c r="I849" s="1" t="s">
        <v>22</v>
      </c>
      <c r="J849" s="3">
        <v>45918.51158564815</v>
      </c>
      <c r="K849" s="2" t="s">
        <v>7985</v>
      </c>
      <c r="L849" s="1">
        <v>39</v>
      </c>
      <c r="M849" s="1">
        <v>41</v>
      </c>
      <c r="N849">
        <v>2</v>
      </c>
      <c r="O849" s="3">
        <f>IF(
    R849="Ancien",
    _xlfn.XLOOKUP(
        Final_Sans_VGE[[#This Row],[ppn_z]],
        tbl_Historique_Final[ppn_z],
        tbl_Historique_Final[Horodatage],
        ""
    ),
    Horodatage!$A$2
)</f>
        <v>46233.670796365739</v>
      </c>
      <c r="P849" s="1" t="str">
        <f>IFERROR(IF(tbl_Historique_Final[[#This Row],[Commentaires]]&lt;&gt;"",tbl_Historique_Final[[#This Row],[Commentaires]],""),"")</f>
        <v/>
      </c>
      <c r="X849" s="8" t="str">
        <f>IF(Final_Sans_VGE[[#This Row],[ppn_z]]="","",IFERROR(
   IF(_xlfn.XLOOKUP(Final_Sans_VGE[[#This Row],[ppn_z]],tbl_Historique_Final[ppn_z],tbl_Historique_Final[date_modif])=Final_Sans_VGE[[#This Row],[date_modif]],
      "Ancien",
      "Modifié"),
   "Nouveau"))</f>
        <v>Ancien</v>
      </c>
      <c r="AC849"/>
      <c r="AD849"/>
    </row>
    <row r="850" spans="1:30" x14ac:dyDescent="0.25">
      <c r="A850" s="5" t="s">
        <v>2714</v>
      </c>
      <c r="B850" s="1" t="s">
        <v>7986</v>
      </c>
      <c r="J850" s="3">
        <v>45618.543090277781</v>
      </c>
      <c r="L850" s="1">
        <v>1</v>
      </c>
      <c r="M850" s="1">
        <v>1</v>
      </c>
      <c r="N850">
        <v>0</v>
      </c>
      <c r="O850" s="3">
        <f>IF(
    R850="Ancien",
    _xlfn.XLOOKUP(
        Final_Sans_VGE[[#This Row],[ppn_z]],
        tbl_Historique_Final[ppn_z],
        tbl_Historique_Final[Horodatage],
        ""
    ),
    Horodatage!$A$2
)</f>
        <v>46233.670796365739</v>
      </c>
      <c r="P850" s="1" t="str">
        <f>IFERROR(IF(tbl_Historique_Final[[#This Row],[Commentaires]]&lt;&gt;"",tbl_Historique_Final[[#This Row],[Commentaires]],""),"")</f>
        <v/>
      </c>
      <c r="X850" s="8" t="str">
        <f>IF(Final_Sans_VGE[[#This Row],[ppn_z]]="","",IFERROR(
   IF(_xlfn.XLOOKUP(Final_Sans_VGE[[#This Row],[ppn_z]],tbl_Historique_Final[ppn_z],tbl_Historique_Final[date_modif])=Final_Sans_VGE[[#This Row],[date_modif]],
      "Ancien",
      "Modifié"),
   "Nouveau"))</f>
        <v>Ancien</v>
      </c>
      <c r="AC850"/>
      <c r="AD850"/>
    </row>
    <row r="851" spans="1:30" x14ac:dyDescent="0.25">
      <c r="A851" s="5" t="s">
        <v>2717</v>
      </c>
      <c r="B851" s="1" t="s">
        <v>7987</v>
      </c>
      <c r="C851" s="1" t="s">
        <v>12</v>
      </c>
      <c r="G851" s="1" t="s">
        <v>10</v>
      </c>
      <c r="J851" s="3">
        <v>45891.667974537035</v>
      </c>
      <c r="K851" s="2" t="s">
        <v>6870</v>
      </c>
      <c r="L851" s="1">
        <v>9</v>
      </c>
      <c r="M851" s="1">
        <v>13</v>
      </c>
      <c r="N851">
        <v>4</v>
      </c>
      <c r="O851" s="3">
        <f>IF(
    R851="Ancien",
    _xlfn.XLOOKUP(
        Final_Sans_VGE[[#This Row],[ppn_z]],
        tbl_Historique_Final[ppn_z],
        tbl_Historique_Final[Horodatage],
        ""
    ),
    Horodatage!$A$2
)</f>
        <v>46233.670796365739</v>
      </c>
      <c r="P851" s="1" t="str">
        <f>IFERROR(IF(tbl_Historique_Final[[#This Row],[Commentaires]]&lt;&gt;"",tbl_Historique_Final[[#This Row],[Commentaires]],""),"")</f>
        <v/>
      </c>
      <c r="X851" s="8" t="str">
        <f>IF(Final_Sans_VGE[[#This Row],[ppn_z]]="","",IFERROR(
   IF(_xlfn.XLOOKUP(Final_Sans_VGE[[#This Row],[ppn_z]],tbl_Historique_Final[ppn_z],tbl_Historique_Final[date_modif])=Final_Sans_VGE[[#This Row],[date_modif]],
      "Ancien",
      "Modifié"),
   "Nouveau"))</f>
        <v>Ancien</v>
      </c>
      <c r="AC851"/>
      <c r="AD851"/>
    </row>
    <row r="852" spans="1:30" ht="30" x14ac:dyDescent="0.25">
      <c r="A852" s="5" t="s">
        <v>2720</v>
      </c>
      <c r="B852" s="1" t="s">
        <v>7988</v>
      </c>
      <c r="C852" s="1" t="s">
        <v>55</v>
      </c>
      <c r="G852" s="1" t="s">
        <v>10</v>
      </c>
      <c r="J852" s="3">
        <v>45902.398923611108</v>
      </c>
      <c r="K852" s="2" t="s">
        <v>7989</v>
      </c>
      <c r="L852" s="1">
        <v>1</v>
      </c>
      <c r="M852" s="1">
        <v>1</v>
      </c>
      <c r="N852">
        <v>0</v>
      </c>
      <c r="O852" s="3">
        <f>IF(
    R852="Ancien",
    _xlfn.XLOOKUP(
        Final_Sans_VGE[[#This Row],[ppn_z]],
        tbl_Historique_Final[ppn_z],
        tbl_Historique_Final[Horodatage],
        ""
    ),
    Horodatage!$A$2
)</f>
        <v>46233.670796365739</v>
      </c>
      <c r="P852" s="1" t="str">
        <f>IFERROR(IF(tbl_Historique_Final[[#This Row],[Commentaires]]&lt;&gt;"",tbl_Historique_Final[[#This Row],[Commentaires]],""),"")</f>
        <v/>
      </c>
      <c r="X852" s="8" t="str">
        <f>IF(Final_Sans_VGE[[#This Row],[ppn_z]]="","",IFERROR(
   IF(_xlfn.XLOOKUP(Final_Sans_VGE[[#This Row],[ppn_z]],tbl_Historique_Final[ppn_z],tbl_Historique_Final[date_modif])=Final_Sans_VGE[[#This Row],[date_modif]],
      "Ancien",
      "Modifié"),
   "Nouveau"))</f>
        <v>Ancien</v>
      </c>
      <c r="AC852"/>
      <c r="AD852"/>
    </row>
    <row r="853" spans="1:30" ht="75" x14ac:dyDescent="0.25">
      <c r="A853" s="5" t="s">
        <v>2723</v>
      </c>
      <c r="B853" s="1" t="s">
        <v>7990</v>
      </c>
      <c r="G853" s="1" t="s">
        <v>11</v>
      </c>
      <c r="J853" s="3">
        <v>45839.567210648151</v>
      </c>
      <c r="K853" s="2" t="s">
        <v>7991</v>
      </c>
      <c r="L853" s="1">
        <v>3</v>
      </c>
      <c r="M853" s="1">
        <v>4</v>
      </c>
      <c r="N853">
        <v>1</v>
      </c>
      <c r="O853" s="3">
        <f>IF(
    R853="Ancien",
    _xlfn.XLOOKUP(
        Final_Sans_VGE[[#This Row],[ppn_z]],
        tbl_Historique_Final[ppn_z],
        tbl_Historique_Final[Horodatage],
        ""
    ),
    Horodatage!$A$2
)</f>
        <v>46233.670796365739</v>
      </c>
      <c r="P853" s="1" t="str">
        <f>IFERROR(IF(tbl_Historique_Final[[#This Row],[Commentaires]]&lt;&gt;"",tbl_Historique_Final[[#This Row],[Commentaires]],""),"")</f>
        <v/>
      </c>
      <c r="X853" s="8" t="str">
        <f>IF(Final_Sans_VGE[[#This Row],[ppn_z]]="","",IFERROR(
   IF(_xlfn.XLOOKUP(Final_Sans_VGE[[#This Row],[ppn_z]],tbl_Historique_Final[ppn_z],tbl_Historique_Final[date_modif])=Final_Sans_VGE[[#This Row],[date_modif]],
      "Ancien",
      "Modifié"),
   "Nouveau"))</f>
        <v>Ancien</v>
      </c>
      <c r="AC853"/>
      <c r="AD853"/>
    </row>
    <row r="854" spans="1:30" ht="60" x14ac:dyDescent="0.25">
      <c r="A854" s="5" t="s">
        <v>2726</v>
      </c>
      <c r="B854" s="1" t="s">
        <v>7992</v>
      </c>
      <c r="C854" s="1" t="s">
        <v>49</v>
      </c>
      <c r="G854" s="1" t="s">
        <v>11</v>
      </c>
      <c r="J854" s="3">
        <v>45898.602777777778</v>
      </c>
      <c r="K854" s="2" t="s">
        <v>7993</v>
      </c>
      <c r="L854" s="1">
        <v>2</v>
      </c>
      <c r="M854" s="1">
        <v>2</v>
      </c>
      <c r="N854">
        <v>0</v>
      </c>
      <c r="O854" s="3">
        <f>IF(
    R854="Ancien",
    _xlfn.XLOOKUP(
        Final_Sans_VGE[[#This Row],[ppn_z]],
        tbl_Historique_Final[ppn_z],
        tbl_Historique_Final[Horodatage],
        ""
    ),
    Horodatage!$A$2
)</f>
        <v>46233.670796365739</v>
      </c>
      <c r="P854" s="1" t="str">
        <f>IFERROR(IF(tbl_Historique_Final[[#This Row],[Commentaires]]&lt;&gt;"",tbl_Historique_Final[[#This Row],[Commentaires]],""),"")</f>
        <v/>
      </c>
      <c r="X854" s="8" t="str">
        <f>IF(Final_Sans_VGE[[#This Row],[ppn_z]]="","",IFERROR(
   IF(_xlfn.XLOOKUP(Final_Sans_VGE[[#This Row],[ppn_z]],tbl_Historique_Final[ppn_z],tbl_Historique_Final[date_modif])=Final_Sans_VGE[[#This Row],[date_modif]],
      "Ancien",
      "Modifié"),
   "Nouveau"))</f>
        <v>Ancien</v>
      </c>
      <c r="AC854"/>
      <c r="AD854"/>
    </row>
    <row r="855" spans="1:30" ht="60" x14ac:dyDescent="0.25">
      <c r="A855" s="5" t="s">
        <v>2729</v>
      </c>
      <c r="B855" s="1" t="s">
        <v>7994</v>
      </c>
      <c r="G855" s="1" t="s">
        <v>11</v>
      </c>
      <c r="J855" s="3">
        <v>45840.607106481482</v>
      </c>
      <c r="K855" s="2" t="s">
        <v>7995</v>
      </c>
      <c r="L855" s="1">
        <v>9</v>
      </c>
      <c r="M855" s="1">
        <v>10</v>
      </c>
      <c r="N855">
        <v>1</v>
      </c>
      <c r="O855" s="3">
        <f>IF(
    R855="Ancien",
    _xlfn.XLOOKUP(
        Final_Sans_VGE[[#This Row],[ppn_z]],
        tbl_Historique_Final[ppn_z],
        tbl_Historique_Final[Horodatage],
        ""
    ),
    Horodatage!$A$2
)</f>
        <v>46233.670796365739</v>
      </c>
      <c r="P855" s="1" t="str">
        <f>IFERROR(IF(tbl_Historique_Final[[#This Row],[Commentaires]]&lt;&gt;"",tbl_Historique_Final[[#This Row],[Commentaires]],""),"")</f>
        <v/>
      </c>
      <c r="X855" s="8" t="str">
        <f>IF(Final_Sans_VGE[[#This Row],[ppn_z]]="","",IFERROR(
   IF(_xlfn.XLOOKUP(Final_Sans_VGE[[#This Row],[ppn_z]],tbl_Historique_Final[ppn_z],tbl_Historique_Final[date_modif])=Final_Sans_VGE[[#This Row],[date_modif]],
      "Ancien",
      "Modifié"),
   "Nouveau"))</f>
        <v>Ancien</v>
      </c>
      <c r="AC855"/>
      <c r="AD855"/>
    </row>
    <row r="856" spans="1:30" x14ac:dyDescent="0.25">
      <c r="A856" s="5" t="s">
        <v>2732</v>
      </c>
      <c r="B856" s="1" t="s">
        <v>7996</v>
      </c>
      <c r="C856" s="1" t="s">
        <v>7997</v>
      </c>
      <c r="E856" s="1" t="s">
        <v>63</v>
      </c>
      <c r="G856" s="1" t="s">
        <v>10</v>
      </c>
      <c r="J856" s="3">
        <v>45846.503229166665</v>
      </c>
      <c r="K856" s="2" t="s">
        <v>6986</v>
      </c>
      <c r="L856" s="1">
        <v>24</v>
      </c>
      <c r="M856" s="1">
        <v>24</v>
      </c>
      <c r="N856">
        <v>0</v>
      </c>
      <c r="O856" s="3">
        <f>IF(
    R856="Ancien",
    _xlfn.XLOOKUP(
        Final_Sans_VGE[[#This Row],[ppn_z]],
        tbl_Historique_Final[ppn_z],
        tbl_Historique_Final[Horodatage],
        ""
    ),
    Horodatage!$A$2
)</f>
        <v>46233.670796365739</v>
      </c>
      <c r="P856" s="1" t="str">
        <f>IFERROR(IF(tbl_Historique_Final[[#This Row],[Commentaires]]&lt;&gt;"",tbl_Historique_Final[[#This Row],[Commentaires]],""),"")</f>
        <v/>
      </c>
      <c r="X856" s="8" t="str">
        <f>IF(Final_Sans_VGE[[#This Row],[ppn_z]]="","",IFERROR(
   IF(_xlfn.XLOOKUP(Final_Sans_VGE[[#This Row],[ppn_z]],tbl_Historique_Final[ppn_z],tbl_Historique_Final[date_modif])=Final_Sans_VGE[[#This Row],[date_modif]],
      "Ancien",
      "Modifié"),
   "Nouveau"))</f>
        <v>Ancien</v>
      </c>
      <c r="AC856"/>
      <c r="AD856"/>
    </row>
    <row r="857" spans="1:30" x14ac:dyDescent="0.25">
      <c r="A857" s="5" t="s">
        <v>2735</v>
      </c>
      <c r="B857" s="1" t="s">
        <v>7998</v>
      </c>
      <c r="C857" s="1" t="s">
        <v>12</v>
      </c>
      <c r="G857" s="1" t="s">
        <v>11</v>
      </c>
      <c r="H857" s="1" t="s">
        <v>22</v>
      </c>
      <c r="I857" s="1" t="s">
        <v>7999</v>
      </c>
      <c r="J857" s="3">
        <v>45883.524282407408</v>
      </c>
      <c r="K857" s="2" t="s">
        <v>8000</v>
      </c>
      <c r="L857" s="1">
        <v>10</v>
      </c>
      <c r="M857" s="1">
        <v>11</v>
      </c>
      <c r="N857">
        <v>1</v>
      </c>
      <c r="O857" s="3">
        <f>IF(
    R857="Ancien",
    _xlfn.XLOOKUP(
        Final_Sans_VGE[[#This Row],[ppn_z]],
        tbl_Historique_Final[ppn_z],
        tbl_Historique_Final[Horodatage],
        ""
    ),
    Horodatage!$A$2
)</f>
        <v>46233.670796365739</v>
      </c>
      <c r="P857" s="1" t="str">
        <f>IFERROR(IF(tbl_Historique_Final[[#This Row],[Commentaires]]&lt;&gt;"",tbl_Historique_Final[[#This Row],[Commentaires]],""),"")</f>
        <v/>
      </c>
      <c r="X857" s="8" t="str">
        <f>IF(Final_Sans_VGE[[#This Row],[ppn_z]]="","",IFERROR(
   IF(_xlfn.XLOOKUP(Final_Sans_VGE[[#This Row],[ppn_z]],tbl_Historique_Final[ppn_z],tbl_Historique_Final[date_modif])=Final_Sans_VGE[[#This Row],[date_modif]],
      "Ancien",
      "Modifié"),
   "Nouveau"))</f>
        <v>Ancien</v>
      </c>
      <c r="AC857"/>
      <c r="AD857"/>
    </row>
    <row r="858" spans="1:30" ht="45" x14ac:dyDescent="0.25">
      <c r="A858" s="5" t="s">
        <v>2738</v>
      </c>
      <c r="B858" s="1" t="s">
        <v>8001</v>
      </c>
      <c r="C858" s="1" t="s">
        <v>62</v>
      </c>
      <c r="G858" s="1" t="s">
        <v>10</v>
      </c>
      <c r="J858" s="3">
        <v>45903.603506944448</v>
      </c>
      <c r="K858" s="2" t="s">
        <v>8002</v>
      </c>
      <c r="L858" s="1">
        <v>11</v>
      </c>
      <c r="M858" s="1">
        <v>13</v>
      </c>
      <c r="N858">
        <v>2</v>
      </c>
      <c r="O858" s="3">
        <f>IF(
    R858="Ancien",
    _xlfn.XLOOKUP(
        Final_Sans_VGE[[#This Row],[ppn_z]],
        tbl_Historique_Final[ppn_z],
        tbl_Historique_Final[Horodatage],
        ""
    ),
    Horodatage!$A$2
)</f>
        <v>46233.670796365739</v>
      </c>
      <c r="P858" s="1" t="str">
        <f>IFERROR(IF(tbl_Historique_Final[[#This Row],[Commentaires]]&lt;&gt;"",tbl_Historique_Final[[#This Row],[Commentaires]],""),"")</f>
        <v/>
      </c>
      <c r="X858" s="8" t="str">
        <f>IF(Final_Sans_VGE[[#This Row],[ppn_z]]="","",IFERROR(
   IF(_xlfn.XLOOKUP(Final_Sans_VGE[[#This Row],[ppn_z]],tbl_Historique_Final[ppn_z],tbl_Historique_Final[date_modif])=Final_Sans_VGE[[#This Row],[date_modif]],
      "Ancien",
      "Modifié"),
   "Nouveau"))</f>
        <v>Ancien</v>
      </c>
      <c r="AC858"/>
      <c r="AD858"/>
    </row>
    <row r="859" spans="1:30" x14ac:dyDescent="0.25">
      <c r="A859" s="5" t="s">
        <v>2741</v>
      </c>
      <c r="B859" s="1" t="s">
        <v>8003</v>
      </c>
      <c r="G859" s="1" t="s">
        <v>10</v>
      </c>
      <c r="H859" s="1" t="s">
        <v>22</v>
      </c>
      <c r="I859" s="1" t="s">
        <v>22</v>
      </c>
      <c r="J859" s="3">
        <v>45932.516134259262</v>
      </c>
      <c r="K859" s="2" t="s">
        <v>8004</v>
      </c>
      <c r="L859" s="1">
        <v>4</v>
      </c>
      <c r="M859" s="1">
        <v>10</v>
      </c>
      <c r="N859">
        <v>6</v>
      </c>
      <c r="O859" s="3">
        <f>IF(
    R859="Ancien",
    _xlfn.XLOOKUP(
        Final_Sans_VGE[[#This Row],[ppn_z]],
        tbl_Historique_Final[ppn_z],
        tbl_Historique_Final[Horodatage],
        ""
    ),
    Horodatage!$A$2
)</f>
        <v>46233.670796365739</v>
      </c>
      <c r="P859" s="1" t="str">
        <f>IFERROR(IF(tbl_Historique_Final[[#This Row],[Commentaires]]&lt;&gt;"",tbl_Historique_Final[[#This Row],[Commentaires]],""),"")</f>
        <v/>
      </c>
      <c r="X859" s="8" t="str">
        <f>IF(Final_Sans_VGE[[#This Row],[ppn_z]]="","",IFERROR(
   IF(_xlfn.XLOOKUP(Final_Sans_VGE[[#This Row],[ppn_z]],tbl_Historique_Final[ppn_z],tbl_Historique_Final[date_modif])=Final_Sans_VGE[[#This Row],[date_modif]],
      "Ancien",
      "Modifié"),
   "Nouveau"))</f>
        <v>Ancien</v>
      </c>
      <c r="AC859"/>
      <c r="AD859"/>
    </row>
    <row r="860" spans="1:30" ht="45" x14ac:dyDescent="0.25">
      <c r="A860" s="5" t="s">
        <v>2744</v>
      </c>
      <c r="B860" s="1" t="s">
        <v>8005</v>
      </c>
      <c r="C860" s="1" t="s">
        <v>12</v>
      </c>
      <c r="G860" s="1" t="s">
        <v>11</v>
      </c>
      <c r="J860" s="3">
        <v>45848.613564814812</v>
      </c>
      <c r="K860" s="2" t="s">
        <v>8006</v>
      </c>
      <c r="L860" s="1">
        <v>1</v>
      </c>
      <c r="M860" s="1">
        <v>1</v>
      </c>
      <c r="N860">
        <v>0</v>
      </c>
      <c r="O860" s="3">
        <f>IF(
    R860="Ancien",
    _xlfn.XLOOKUP(
        Final_Sans_VGE[[#This Row],[ppn_z]],
        tbl_Historique_Final[ppn_z],
        tbl_Historique_Final[Horodatage],
        ""
    ),
    Horodatage!$A$2
)</f>
        <v>46233.670796365739</v>
      </c>
      <c r="P860" s="1" t="str">
        <f>IFERROR(IF(tbl_Historique_Final[[#This Row],[Commentaires]]&lt;&gt;"",tbl_Historique_Final[[#This Row],[Commentaires]],""),"")</f>
        <v/>
      </c>
      <c r="X860" s="8" t="str">
        <f>IF(Final_Sans_VGE[[#This Row],[ppn_z]]="","",IFERROR(
   IF(_xlfn.XLOOKUP(Final_Sans_VGE[[#This Row],[ppn_z]],tbl_Historique_Final[ppn_z],tbl_Historique_Final[date_modif])=Final_Sans_VGE[[#This Row],[date_modif]],
      "Ancien",
      "Modifié"),
   "Nouveau"))</f>
        <v>Ancien</v>
      </c>
      <c r="AC860"/>
      <c r="AD860"/>
    </row>
    <row r="861" spans="1:30" ht="30" x14ac:dyDescent="0.25">
      <c r="A861" s="5" t="s">
        <v>2747</v>
      </c>
      <c r="B861" s="1" t="s">
        <v>8007</v>
      </c>
      <c r="C861" s="1" t="s">
        <v>12</v>
      </c>
      <c r="G861" s="1" t="s">
        <v>10</v>
      </c>
      <c r="H861" s="1" t="s">
        <v>22</v>
      </c>
      <c r="I861" s="1" t="s">
        <v>8008</v>
      </c>
      <c r="J861" s="3">
        <v>45814.586331018516</v>
      </c>
      <c r="K861" s="2" t="s">
        <v>8009</v>
      </c>
      <c r="L861" s="1">
        <v>7</v>
      </c>
      <c r="M861" s="1">
        <v>7</v>
      </c>
      <c r="N861">
        <v>0</v>
      </c>
      <c r="O861" s="3">
        <f>IF(
    R861="Ancien",
    _xlfn.XLOOKUP(
        Final_Sans_VGE[[#This Row],[ppn_z]],
        tbl_Historique_Final[ppn_z],
        tbl_Historique_Final[Horodatage],
        ""
    ),
    Horodatage!$A$2
)</f>
        <v>46233.670796365739</v>
      </c>
      <c r="P861" s="1" t="str">
        <f>IFERROR(IF(tbl_Historique_Final[[#This Row],[Commentaires]]&lt;&gt;"",tbl_Historique_Final[[#This Row],[Commentaires]],""),"")</f>
        <v/>
      </c>
      <c r="X861" s="8" t="str">
        <f>IF(Final_Sans_VGE[[#This Row],[ppn_z]]="","",IFERROR(
   IF(_xlfn.XLOOKUP(Final_Sans_VGE[[#This Row],[ppn_z]],tbl_Historique_Final[ppn_z],tbl_Historique_Final[date_modif])=Final_Sans_VGE[[#This Row],[date_modif]],
      "Ancien",
      "Modifié"),
   "Nouveau"))</f>
        <v>Ancien</v>
      </c>
      <c r="AC861"/>
      <c r="AD861"/>
    </row>
    <row r="862" spans="1:30" x14ac:dyDescent="0.25">
      <c r="A862" s="5" t="s">
        <v>2750</v>
      </c>
      <c r="B862" s="1" t="s">
        <v>8010</v>
      </c>
      <c r="C862" s="1" t="s">
        <v>96</v>
      </c>
      <c r="J862" s="3">
        <v>45931.603877314818</v>
      </c>
      <c r="K862" s="2" t="s">
        <v>8011</v>
      </c>
      <c r="L862" s="1">
        <v>17</v>
      </c>
      <c r="M862" s="1">
        <v>38</v>
      </c>
      <c r="N862">
        <v>21</v>
      </c>
      <c r="O862" s="3">
        <f>IF(
    R862="Ancien",
    _xlfn.XLOOKUP(
        Final_Sans_VGE[[#This Row],[ppn_z]],
        tbl_Historique_Final[ppn_z],
        tbl_Historique_Final[Horodatage],
        ""
    ),
    Horodatage!$A$2
)</f>
        <v>46233.670796365739</v>
      </c>
      <c r="P862" s="1" t="str">
        <f>IFERROR(IF(tbl_Historique_Final[[#This Row],[Commentaires]]&lt;&gt;"",tbl_Historique_Final[[#This Row],[Commentaires]],""),"")</f>
        <v/>
      </c>
      <c r="X862" s="8" t="str">
        <f>IF(Final_Sans_VGE[[#This Row],[ppn_z]]="","",IFERROR(
   IF(_xlfn.XLOOKUP(Final_Sans_VGE[[#This Row],[ppn_z]],tbl_Historique_Final[ppn_z],tbl_Historique_Final[date_modif])=Final_Sans_VGE[[#This Row],[date_modif]],
      "Ancien",
      "Modifié"),
   "Nouveau"))</f>
        <v>Ancien</v>
      </c>
      <c r="AC862"/>
      <c r="AD862"/>
    </row>
    <row r="863" spans="1:30" x14ac:dyDescent="0.25">
      <c r="A863" s="5" t="s">
        <v>2753</v>
      </c>
      <c r="B863" s="1" t="s">
        <v>8012</v>
      </c>
      <c r="C863" s="1" t="s">
        <v>81</v>
      </c>
      <c r="D863" s="1" t="s">
        <v>135</v>
      </c>
      <c r="G863" s="1" t="s">
        <v>10</v>
      </c>
      <c r="H863" s="1" t="s">
        <v>22</v>
      </c>
      <c r="I863" s="1" t="s">
        <v>22</v>
      </c>
      <c r="J863" s="3">
        <v>45848.598576388889</v>
      </c>
      <c r="K863" s="2" t="s">
        <v>8013</v>
      </c>
      <c r="L863" s="1">
        <v>83</v>
      </c>
      <c r="M863" s="1">
        <v>83</v>
      </c>
      <c r="N863">
        <v>0</v>
      </c>
      <c r="O863" s="3">
        <f>IF(
    R863="Ancien",
    _xlfn.XLOOKUP(
        Final_Sans_VGE[[#This Row],[ppn_z]],
        tbl_Historique_Final[ppn_z],
        tbl_Historique_Final[Horodatage],
        ""
    ),
    Horodatage!$A$2
)</f>
        <v>46233.670796365739</v>
      </c>
      <c r="P863" s="1" t="str">
        <f>IFERROR(IF(tbl_Historique_Final[[#This Row],[Commentaires]]&lt;&gt;"",tbl_Historique_Final[[#This Row],[Commentaires]],""),"")</f>
        <v/>
      </c>
      <c r="X863" s="8" t="str">
        <f>IF(Final_Sans_VGE[[#This Row],[ppn_z]]="","",IFERROR(
   IF(_xlfn.XLOOKUP(Final_Sans_VGE[[#This Row],[ppn_z]],tbl_Historique_Final[ppn_z],tbl_Historique_Final[date_modif])=Final_Sans_VGE[[#This Row],[date_modif]],
      "Ancien",
      "Modifié"),
   "Nouveau"))</f>
        <v>Ancien</v>
      </c>
      <c r="AC863"/>
      <c r="AD863"/>
    </row>
    <row r="864" spans="1:30" ht="45" x14ac:dyDescent="0.25">
      <c r="A864" s="5" t="s">
        <v>2756</v>
      </c>
      <c r="B864" s="1" t="s">
        <v>8014</v>
      </c>
      <c r="C864" s="1" t="s">
        <v>78</v>
      </c>
      <c r="D864" s="1" t="s">
        <v>16</v>
      </c>
      <c r="G864" s="1" t="s">
        <v>11</v>
      </c>
      <c r="H864" s="1" t="s">
        <v>22</v>
      </c>
      <c r="I864" s="1" t="s">
        <v>22</v>
      </c>
      <c r="J864" s="3">
        <v>45944.556620370371</v>
      </c>
      <c r="K864" s="2" t="s">
        <v>8015</v>
      </c>
      <c r="L864" s="1">
        <v>19</v>
      </c>
      <c r="M864" s="1">
        <v>21</v>
      </c>
      <c r="N864">
        <v>2</v>
      </c>
      <c r="O864" s="3">
        <f>IF(
    R864="Ancien",
    _xlfn.XLOOKUP(
        Final_Sans_VGE[[#This Row],[ppn_z]],
        tbl_Historique_Final[ppn_z],
        tbl_Historique_Final[Horodatage],
        ""
    ),
    Horodatage!$A$2
)</f>
        <v>46233.670796365739</v>
      </c>
      <c r="P864" s="1" t="str">
        <f>IFERROR(IF(tbl_Historique_Final[[#This Row],[Commentaires]]&lt;&gt;"",tbl_Historique_Final[[#This Row],[Commentaires]],""),"")</f>
        <v/>
      </c>
      <c r="X864" s="8" t="str">
        <f>IF(Final_Sans_VGE[[#This Row],[ppn_z]]="","",IFERROR(
   IF(_xlfn.XLOOKUP(Final_Sans_VGE[[#This Row],[ppn_z]],tbl_Historique_Final[ppn_z],tbl_Historique_Final[date_modif])=Final_Sans_VGE[[#This Row],[date_modif]],
      "Ancien",
      "Modifié"),
   "Nouveau"))</f>
        <v>Ancien</v>
      </c>
      <c r="AC864"/>
      <c r="AD864"/>
    </row>
    <row r="865" spans="1:30" x14ac:dyDescent="0.25">
      <c r="A865" s="5" t="s">
        <v>2759</v>
      </c>
      <c r="B865" s="1" t="s">
        <v>8016</v>
      </c>
      <c r="C865" s="1" t="s">
        <v>121</v>
      </c>
      <c r="G865" s="1" t="s">
        <v>10</v>
      </c>
      <c r="J865" s="3">
        <v>45832.674131944441</v>
      </c>
      <c r="K865" s="2" t="s">
        <v>8017</v>
      </c>
      <c r="L865" s="1">
        <v>1</v>
      </c>
      <c r="M865" s="1">
        <v>2</v>
      </c>
      <c r="N865">
        <v>1</v>
      </c>
      <c r="O865" s="3">
        <f>IF(
    R865="Ancien",
    _xlfn.XLOOKUP(
        Final_Sans_VGE[[#This Row],[ppn_z]],
        tbl_Historique_Final[ppn_z],
        tbl_Historique_Final[Horodatage],
        ""
    ),
    Horodatage!$A$2
)</f>
        <v>46233.670796365739</v>
      </c>
      <c r="P865" s="1" t="str">
        <f>IFERROR(IF(tbl_Historique_Final[[#This Row],[Commentaires]]&lt;&gt;"",tbl_Historique_Final[[#This Row],[Commentaires]],""),"")</f>
        <v/>
      </c>
      <c r="X865" s="8" t="str">
        <f>IF(Final_Sans_VGE[[#This Row],[ppn_z]]="","",IFERROR(
   IF(_xlfn.XLOOKUP(Final_Sans_VGE[[#This Row],[ppn_z]],tbl_Historique_Final[ppn_z],tbl_Historique_Final[date_modif])=Final_Sans_VGE[[#This Row],[date_modif]],
      "Ancien",
      "Modifié"),
   "Nouveau"))</f>
        <v>Ancien</v>
      </c>
      <c r="AC865"/>
      <c r="AD865"/>
    </row>
    <row r="866" spans="1:30" x14ac:dyDescent="0.25">
      <c r="A866" s="5" t="s">
        <v>2762</v>
      </c>
      <c r="B866" s="1" t="s">
        <v>8018</v>
      </c>
      <c r="C866" s="1" t="s">
        <v>12</v>
      </c>
      <c r="G866" s="1" t="s">
        <v>11</v>
      </c>
      <c r="J866" s="3">
        <v>45834.448171296295</v>
      </c>
      <c r="K866" s="2" t="s">
        <v>6781</v>
      </c>
      <c r="L866" s="1">
        <v>2</v>
      </c>
      <c r="M866" s="1">
        <v>2</v>
      </c>
      <c r="N866">
        <v>0</v>
      </c>
      <c r="O866" s="3">
        <f>IF(
    R866="Ancien",
    _xlfn.XLOOKUP(
        Final_Sans_VGE[[#This Row],[ppn_z]],
        tbl_Historique_Final[ppn_z],
        tbl_Historique_Final[Horodatage],
        ""
    ),
    Horodatage!$A$2
)</f>
        <v>46233.670796365739</v>
      </c>
      <c r="P866" s="1" t="str">
        <f>IFERROR(IF(tbl_Historique_Final[[#This Row],[Commentaires]]&lt;&gt;"",tbl_Historique_Final[[#This Row],[Commentaires]],""),"")</f>
        <v/>
      </c>
      <c r="X866" s="8" t="str">
        <f>IF(Final_Sans_VGE[[#This Row],[ppn_z]]="","",IFERROR(
   IF(_xlfn.XLOOKUP(Final_Sans_VGE[[#This Row],[ppn_z]],tbl_Historique_Final[ppn_z],tbl_Historique_Final[date_modif])=Final_Sans_VGE[[#This Row],[date_modif]],
      "Ancien",
      "Modifié"),
   "Nouveau"))</f>
        <v>Ancien</v>
      </c>
      <c r="AC866"/>
      <c r="AD866"/>
    </row>
    <row r="867" spans="1:30" ht="30" x14ac:dyDescent="0.25">
      <c r="A867" s="5" t="s">
        <v>2765</v>
      </c>
      <c r="B867" s="1" t="s">
        <v>8019</v>
      </c>
      <c r="C867" s="1" t="s">
        <v>55</v>
      </c>
      <c r="D867" s="1" t="s">
        <v>8020</v>
      </c>
      <c r="G867" s="1" t="s">
        <v>11</v>
      </c>
      <c r="H867" s="1" t="s">
        <v>8021</v>
      </c>
      <c r="I867" s="1" t="s">
        <v>140</v>
      </c>
      <c r="J867" s="3">
        <v>45882.799004629633</v>
      </c>
      <c r="K867" s="2" t="s">
        <v>8022</v>
      </c>
      <c r="L867" s="1">
        <v>2</v>
      </c>
      <c r="M867" s="1">
        <v>11</v>
      </c>
      <c r="N867">
        <v>9</v>
      </c>
      <c r="O867" s="3">
        <f>IF(
    R867="Ancien",
    _xlfn.XLOOKUP(
        Final_Sans_VGE[[#This Row],[ppn_z]],
        tbl_Historique_Final[ppn_z],
        tbl_Historique_Final[Horodatage],
        ""
    ),
    Horodatage!$A$2
)</f>
        <v>46233.670796365739</v>
      </c>
      <c r="P867" s="1" t="str">
        <f>IFERROR(IF(tbl_Historique_Final[[#This Row],[Commentaires]]&lt;&gt;"",tbl_Historique_Final[[#This Row],[Commentaires]],""),"")</f>
        <v/>
      </c>
      <c r="X867" s="8" t="str">
        <f>IF(Final_Sans_VGE[[#This Row],[ppn_z]]="","",IFERROR(
   IF(_xlfn.XLOOKUP(Final_Sans_VGE[[#This Row],[ppn_z]],tbl_Historique_Final[ppn_z],tbl_Historique_Final[date_modif])=Final_Sans_VGE[[#This Row],[date_modif]],
      "Ancien",
      "Modifié"),
   "Nouveau"))</f>
        <v>Ancien</v>
      </c>
      <c r="AC867"/>
      <c r="AD867"/>
    </row>
    <row r="868" spans="1:30" x14ac:dyDescent="0.25">
      <c r="A868" s="5" t="s">
        <v>2768</v>
      </c>
      <c r="B868" s="1" t="s">
        <v>8023</v>
      </c>
      <c r="C868" s="1" t="s">
        <v>7826</v>
      </c>
      <c r="D868" s="1" t="s">
        <v>8024</v>
      </c>
      <c r="E868" s="1" t="s">
        <v>90</v>
      </c>
      <c r="F868" s="1" t="s">
        <v>8025</v>
      </c>
      <c r="G868" s="1" t="s">
        <v>10</v>
      </c>
      <c r="H868" s="1" t="s">
        <v>110</v>
      </c>
      <c r="I868" s="1" t="s">
        <v>22</v>
      </c>
      <c r="J868" s="3">
        <v>45890.562824074077</v>
      </c>
      <c r="K868" s="2" t="s">
        <v>8026</v>
      </c>
      <c r="L868" s="1">
        <v>1</v>
      </c>
      <c r="M868" s="1">
        <v>3</v>
      </c>
      <c r="N868">
        <v>2</v>
      </c>
      <c r="O868" s="3">
        <f>IF(
    R868="Ancien",
    _xlfn.XLOOKUP(
        Final_Sans_VGE[[#This Row],[ppn_z]],
        tbl_Historique_Final[ppn_z],
        tbl_Historique_Final[Horodatage],
        ""
    ),
    Horodatage!$A$2
)</f>
        <v>46233.670796365739</v>
      </c>
      <c r="P868" s="1" t="str">
        <f>IFERROR(IF(tbl_Historique_Final[[#This Row],[Commentaires]]&lt;&gt;"",tbl_Historique_Final[[#This Row],[Commentaires]],""),"")</f>
        <v/>
      </c>
      <c r="X868" s="8" t="str">
        <f>IF(Final_Sans_VGE[[#This Row],[ppn_z]]="","",IFERROR(
   IF(_xlfn.XLOOKUP(Final_Sans_VGE[[#This Row],[ppn_z]],tbl_Historique_Final[ppn_z],tbl_Historique_Final[date_modif])=Final_Sans_VGE[[#This Row],[date_modif]],
      "Ancien",
      "Modifié"),
   "Nouveau"))</f>
        <v>Ancien</v>
      </c>
      <c r="AC868"/>
      <c r="AD868"/>
    </row>
    <row r="869" spans="1:30" ht="30" x14ac:dyDescent="0.25">
      <c r="A869" s="5" t="s">
        <v>2771</v>
      </c>
      <c r="B869" s="1" t="s">
        <v>8027</v>
      </c>
      <c r="C869" s="1" t="s">
        <v>49</v>
      </c>
      <c r="D869" s="1" t="s">
        <v>7857</v>
      </c>
      <c r="G869" s="1" t="s">
        <v>11</v>
      </c>
      <c r="H869" s="1" t="s">
        <v>8028</v>
      </c>
      <c r="I869" s="1" t="s">
        <v>22</v>
      </c>
      <c r="J869" s="3">
        <v>45904.528981481482</v>
      </c>
      <c r="K869" s="2" t="s">
        <v>8029</v>
      </c>
      <c r="L869" s="1">
        <v>2</v>
      </c>
      <c r="M869" s="1">
        <v>2</v>
      </c>
      <c r="N869">
        <v>0</v>
      </c>
      <c r="O869" s="3">
        <f>IF(
    R869="Ancien",
    _xlfn.XLOOKUP(
        Final_Sans_VGE[[#This Row],[ppn_z]],
        tbl_Historique_Final[ppn_z],
        tbl_Historique_Final[Horodatage],
        ""
    ),
    Horodatage!$A$2
)</f>
        <v>46233.670796365739</v>
      </c>
      <c r="P869" s="1" t="str">
        <f>IFERROR(IF(tbl_Historique_Final[[#This Row],[Commentaires]]&lt;&gt;"",tbl_Historique_Final[[#This Row],[Commentaires]],""),"")</f>
        <v/>
      </c>
      <c r="X869" s="8" t="str">
        <f>IF(Final_Sans_VGE[[#This Row],[ppn_z]]="","",IFERROR(
   IF(_xlfn.XLOOKUP(Final_Sans_VGE[[#This Row],[ppn_z]],tbl_Historique_Final[ppn_z],tbl_Historique_Final[date_modif])=Final_Sans_VGE[[#This Row],[date_modif]],
      "Ancien",
      "Modifié"),
   "Nouveau"))</f>
        <v>Ancien</v>
      </c>
      <c r="AC869"/>
      <c r="AD869"/>
    </row>
    <row r="870" spans="1:30" x14ac:dyDescent="0.25">
      <c r="A870" s="5" t="s">
        <v>2774</v>
      </c>
      <c r="B870" s="1" t="s">
        <v>8030</v>
      </c>
      <c r="C870" s="1" t="s">
        <v>12</v>
      </c>
      <c r="G870" s="1" t="s">
        <v>11</v>
      </c>
      <c r="J870" s="3">
        <v>45897.427905092591</v>
      </c>
      <c r="K870" s="2" t="s">
        <v>8031</v>
      </c>
      <c r="L870" s="1">
        <v>0</v>
      </c>
      <c r="M870" s="1">
        <v>0</v>
      </c>
      <c r="N870">
        <v>0</v>
      </c>
      <c r="O870" s="3">
        <f>IF(
    R870="Ancien",
    _xlfn.XLOOKUP(
        Final_Sans_VGE[[#This Row],[ppn_z]],
        tbl_Historique_Final[ppn_z],
        tbl_Historique_Final[Horodatage],
        ""
    ),
    Horodatage!$A$2
)</f>
        <v>46233.670796365739</v>
      </c>
      <c r="P870" s="1" t="str">
        <f>IFERROR(IF(tbl_Historique_Final[[#This Row],[Commentaires]]&lt;&gt;"",tbl_Historique_Final[[#This Row],[Commentaires]],""),"")</f>
        <v/>
      </c>
      <c r="X870" s="8" t="str">
        <f>IF(Final_Sans_VGE[[#This Row],[ppn_z]]="","",IFERROR(
   IF(_xlfn.XLOOKUP(Final_Sans_VGE[[#This Row],[ppn_z]],tbl_Historique_Final[ppn_z],tbl_Historique_Final[date_modif])=Final_Sans_VGE[[#This Row],[date_modif]],
      "Ancien",
      "Modifié"),
   "Nouveau"))</f>
        <v>Ancien</v>
      </c>
      <c r="AC870"/>
      <c r="AD870"/>
    </row>
    <row r="871" spans="1:30" x14ac:dyDescent="0.25">
      <c r="A871" s="5" t="s">
        <v>2777</v>
      </c>
      <c r="B871" s="1" t="s">
        <v>8032</v>
      </c>
      <c r="G871" s="1" t="s">
        <v>11</v>
      </c>
      <c r="J871" s="3">
        <v>45812.371296296296</v>
      </c>
      <c r="K871" s="2" t="s">
        <v>8033</v>
      </c>
      <c r="L871" s="1">
        <v>3</v>
      </c>
      <c r="M871" s="1">
        <v>12</v>
      </c>
      <c r="N871">
        <v>9</v>
      </c>
      <c r="O871" s="3">
        <f>IF(
    R871="Ancien",
    _xlfn.XLOOKUP(
        Final_Sans_VGE[[#This Row],[ppn_z]],
        tbl_Historique_Final[ppn_z],
        tbl_Historique_Final[Horodatage],
        ""
    ),
    Horodatage!$A$2
)</f>
        <v>46233.670796365739</v>
      </c>
      <c r="P871" s="1" t="str">
        <f>IFERROR(IF(tbl_Historique_Final[[#This Row],[Commentaires]]&lt;&gt;"",tbl_Historique_Final[[#This Row],[Commentaires]],""),"")</f>
        <v/>
      </c>
      <c r="X871" s="8" t="str">
        <f>IF(Final_Sans_VGE[[#This Row],[ppn_z]]="","",IFERROR(
   IF(_xlfn.XLOOKUP(Final_Sans_VGE[[#This Row],[ppn_z]],tbl_Historique_Final[ppn_z],tbl_Historique_Final[date_modif])=Final_Sans_VGE[[#This Row],[date_modif]],
      "Ancien",
      "Modifié"),
   "Nouveau"))</f>
        <v>Ancien</v>
      </c>
      <c r="AC871"/>
      <c r="AD871"/>
    </row>
    <row r="872" spans="1:30" x14ac:dyDescent="0.25">
      <c r="A872" s="5" t="s">
        <v>2780</v>
      </c>
      <c r="B872" s="1" t="s">
        <v>8034</v>
      </c>
      <c r="C872" s="1" t="s">
        <v>6355</v>
      </c>
      <c r="G872" s="1" t="s">
        <v>10</v>
      </c>
      <c r="J872" s="3">
        <v>45897.589189814818</v>
      </c>
      <c r="K872" s="2" t="s">
        <v>8035</v>
      </c>
      <c r="L872" s="1">
        <v>1</v>
      </c>
      <c r="M872" s="1">
        <v>1</v>
      </c>
      <c r="N872">
        <v>0</v>
      </c>
      <c r="O872" s="3">
        <f>IF(
    R872="Ancien",
    _xlfn.XLOOKUP(
        Final_Sans_VGE[[#This Row],[ppn_z]],
        tbl_Historique_Final[ppn_z],
        tbl_Historique_Final[Horodatage],
        ""
    ),
    Horodatage!$A$2
)</f>
        <v>46233.670796365739</v>
      </c>
      <c r="P872" s="1" t="str">
        <f>IFERROR(IF(tbl_Historique_Final[[#This Row],[Commentaires]]&lt;&gt;"",tbl_Historique_Final[[#This Row],[Commentaires]],""),"")</f>
        <v/>
      </c>
      <c r="X872" s="8" t="str">
        <f>IF(Final_Sans_VGE[[#This Row],[ppn_z]]="","",IFERROR(
   IF(_xlfn.XLOOKUP(Final_Sans_VGE[[#This Row],[ppn_z]],tbl_Historique_Final[ppn_z],tbl_Historique_Final[date_modif])=Final_Sans_VGE[[#This Row],[date_modif]],
      "Ancien",
      "Modifié"),
   "Nouveau"))</f>
        <v>Ancien</v>
      </c>
      <c r="AC872"/>
      <c r="AD872"/>
    </row>
    <row r="873" spans="1:30" x14ac:dyDescent="0.25">
      <c r="A873" s="5" t="s">
        <v>2783</v>
      </c>
      <c r="B873" s="1" t="s">
        <v>8036</v>
      </c>
      <c r="C873" s="1" t="s">
        <v>12</v>
      </c>
      <c r="G873" s="1" t="s">
        <v>11</v>
      </c>
      <c r="J873" s="3">
        <v>45848.623981481483</v>
      </c>
      <c r="K873" s="2" t="s">
        <v>8037</v>
      </c>
      <c r="L873" s="1">
        <v>1</v>
      </c>
      <c r="M873" s="1">
        <v>1</v>
      </c>
      <c r="N873">
        <v>0</v>
      </c>
      <c r="O873" s="3">
        <f>IF(
    R873="Ancien",
    _xlfn.XLOOKUP(
        Final_Sans_VGE[[#This Row],[ppn_z]],
        tbl_Historique_Final[ppn_z],
        tbl_Historique_Final[Horodatage],
        ""
    ),
    Horodatage!$A$2
)</f>
        <v>46233.670796365739</v>
      </c>
      <c r="P873" s="1" t="str">
        <f>IFERROR(IF(tbl_Historique_Final[[#This Row],[Commentaires]]&lt;&gt;"",tbl_Historique_Final[[#This Row],[Commentaires]],""),"")</f>
        <v/>
      </c>
      <c r="X873" s="8" t="str">
        <f>IF(Final_Sans_VGE[[#This Row],[ppn_z]]="","",IFERROR(
   IF(_xlfn.XLOOKUP(Final_Sans_VGE[[#This Row],[ppn_z]],tbl_Historique_Final[ppn_z],tbl_Historique_Final[date_modif])=Final_Sans_VGE[[#This Row],[date_modif]],
      "Ancien",
      "Modifié"),
   "Nouveau"))</f>
        <v>Ancien</v>
      </c>
      <c r="AC873"/>
      <c r="AD873"/>
    </row>
    <row r="874" spans="1:30" x14ac:dyDescent="0.25">
      <c r="A874" s="5" t="s">
        <v>2786</v>
      </c>
      <c r="B874" s="1" t="s">
        <v>8038</v>
      </c>
      <c r="C874" s="1" t="s">
        <v>12</v>
      </c>
      <c r="G874" s="1" t="s">
        <v>11</v>
      </c>
      <c r="J874" s="3">
        <v>45828.41479166667</v>
      </c>
      <c r="K874" s="2" t="s">
        <v>8039</v>
      </c>
      <c r="L874" s="1">
        <v>2</v>
      </c>
      <c r="M874" s="1">
        <v>2</v>
      </c>
      <c r="N874">
        <v>0</v>
      </c>
      <c r="O874" s="3">
        <f>IF(
    R874="Ancien",
    _xlfn.XLOOKUP(
        Final_Sans_VGE[[#This Row],[ppn_z]],
        tbl_Historique_Final[ppn_z],
        tbl_Historique_Final[Horodatage],
        ""
    ),
    Horodatage!$A$2
)</f>
        <v>46233.670796365739</v>
      </c>
      <c r="P874" s="1" t="str">
        <f>IFERROR(IF(tbl_Historique_Final[[#This Row],[Commentaires]]&lt;&gt;"",tbl_Historique_Final[[#This Row],[Commentaires]],""),"")</f>
        <v/>
      </c>
      <c r="X874" s="8" t="str">
        <f>IF(Final_Sans_VGE[[#This Row],[ppn_z]]="","",IFERROR(
   IF(_xlfn.XLOOKUP(Final_Sans_VGE[[#This Row],[ppn_z]],tbl_Historique_Final[ppn_z],tbl_Historique_Final[date_modif])=Final_Sans_VGE[[#This Row],[date_modif]],
      "Ancien",
      "Modifié"),
   "Nouveau"))</f>
        <v>Ancien</v>
      </c>
      <c r="AC874"/>
      <c r="AD874"/>
    </row>
    <row r="875" spans="1:30" ht="30" x14ac:dyDescent="0.25">
      <c r="A875" s="5" t="s">
        <v>2789</v>
      </c>
      <c r="B875" s="1" t="s">
        <v>8040</v>
      </c>
      <c r="G875" s="1" t="s">
        <v>11</v>
      </c>
      <c r="J875" s="3">
        <v>45630.404479166667</v>
      </c>
      <c r="K875" s="2" t="s">
        <v>8041</v>
      </c>
      <c r="L875" s="1">
        <v>4</v>
      </c>
      <c r="M875" s="1">
        <v>6</v>
      </c>
      <c r="N875">
        <v>2</v>
      </c>
      <c r="O875" s="3">
        <f>IF(
    R875="Ancien",
    _xlfn.XLOOKUP(
        Final_Sans_VGE[[#This Row],[ppn_z]],
        tbl_Historique_Final[ppn_z],
        tbl_Historique_Final[Horodatage],
        ""
    ),
    Horodatage!$A$2
)</f>
        <v>46233.670796365739</v>
      </c>
      <c r="P875" s="1" t="str">
        <f>IFERROR(IF(tbl_Historique_Final[[#This Row],[Commentaires]]&lt;&gt;"",tbl_Historique_Final[[#This Row],[Commentaires]],""),"")</f>
        <v/>
      </c>
      <c r="X875" s="8" t="str">
        <f>IF(Final_Sans_VGE[[#This Row],[ppn_z]]="","",IFERROR(
   IF(_xlfn.XLOOKUP(Final_Sans_VGE[[#This Row],[ppn_z]],tbl_Historique_Final[ppn_z],tbl_Historique_Final[date_modif])=Final_Sans_VGE[[#This Row],[date_modif]],
      "Ancien",
      "Modifié"),
   "Nouveau"))</f>
        <v>Ancien</v>
      </c>
      <c r="AC875"/>
      <c r="AD875"/>
    </row>
    <row r="876" spans="1:30" ht="30" x14ac:dyDescent="0.25">
      <c r="A876" s="5" t="s">
        <v>2792</v>
      </c>
      <c r="B876" s="1" t="s">
        <v>8042</v>
      </c>
      <c r="C876" s="1" t="s">
        <v>12</v>
      </c>
      <c r="G876" s="1" t="s">
        <v>10</v>
      </c>
      <c r="J876" s="3">
        <v>45890.484120370369</v>
      </c>
      <c r="K876" s="2" t="s">
        <v>8043</v>
      </c>
      <c r="L876" s="1">
        <v>5</v>
      </c>
      <c r="M876" s="1">
        <v>5</v>
      </c>
      <c r="N876">
        <v>0</v>
      </c>
      <c r="O876" s="3">
        <f>IF(
    R876="Ancien",
    _xlfn.XLOOKUP(
        Final_Sans_VGE[[#This Row],[ppn_z]],
        tbl_Historique_Final[ppn_z],
        tbl_Historique_Final[Horodatage],
        ""
    ),
    Horodatage!$A$2
)</f>
        <v>46233.670796365739</v>
      </c>
      <c r="P876" s="1" t="str">
        <f>IFERROR(IF(tbl_Historique_Final[[#This Row],[Commentaires]]&lt;&gt;"",tbl_Historique_Final[[#This Row],[Commentaires]],""),"")</f>
        <v/>
      </c>
      <c r="X876" s="8" t="str">
        <f>IF(Final_Sans_VGE[[#This Row],[ppn_z]]="","",IFERROR(
   IF(_xlfn.XLOOKUP(Final_Sans_VGE[[#This Row],[ppn_z]],tbl_Historique_Final[ppn_z],tbl_Historique_Final[date_modif])=Final_Sans_VGE[[#This Row],[date_modif]],
      "Ancien",
      "Modifié"),
   "Nouveau"))</f>
        <v>Ancien</v>
      </c>
      <c r="AC876"/>
      <c r="AD876"/>
    </row>
    <row r="877" spans="1:30" x14ac:dyDescent="0.25">
      <c r="A877" s="5" t="s">
        <v>2795</v>
      </c>
      <c r="B877" s="1" t="s">
        <v>8044</v>
      </c>
      <c r="C877" s="1" t="s">
        <v>35</v>
      </c>
      <c r="G877" s="1" t="s">
        <v>10</v>
      </c>
      <c r="H877" s="1" t="s">
        <v>22</v>
      </c>
      <c r="I877" s="1" t="s">
        <v>22</v>
      </c>
      <c r="J877" s="3">
        <v>45819.799247685187</v>
      </c>
      <c r="K877" s="2" t="s">
        <v>6438</v>
      </c>
      <c r="L877" s="1">
        <v>34</v>
      </c>
      <c r="M877" s="1">
        <v>34</v>
      </c>
      <c r="N877">
        <v>0</v>
      </c>
      <c r="O877" s="3">
        <f>IF(
    R877="Ancien",
    _xlfn.XLOOKUP(
        Final_Sans_VGE[[#This Row],[ppn_z]],
        tbl_Historique_Final[ppn_z],
        tbl_Historique_Final[Horodatage],
        ""
    ),
    Horodatage!$A$2
)</f>
        <v>46233.670796365739</v>
      </c>
      <c r="P877" s="1" t="str">
        <f>IFERROR(IF(tbl_Historique_Final[[#This Row],[Commentaires]]&lt;&gt;"",tbl_Historique_Final[[#This Row],[Commentaires]],""),"")</f>
        <v/>
      </c>
      <c r="X877" s="8" t="str">
        <f>IF(Final_Sans_VGE[[#This Row],[ppn_z]]="","",IFERROR(
   IF(_xlfn.XLOOKUP(Final_Sans_VGE[[#This Row],[ppn_z]],tbl_Historique_Final[ppn_z],tbl_Historique_Final[date_modif])=Final_Sans_VGE[[#This Row],[date_modif]],
      "Ancien",
      "Modifié"),
   "Nouveau"))</f>
        <v>Ancien</v>
      </c>
      <c r="AC877"/>
      <c r="AD877"/>
    </row>
    <row r="878" spans="1:30" x14ac:dyDescent="0.25">
      <c r="A878" s="5" t="s">
        <v>2798</v>
      </c>
      <c r="B878" s="1" t="s">
        <v>8045</v>
      </c>
      <c r="C878" s="1" t="s">
        <v>44</v>
      </c>
      <c r="G878" s="1" t="s">
        <v>10</v>
      </c>
      <c r="J878" s="3">
        <v>45944.552511574075</v>
      </c>
      <c r="K878" s="2" t="s">
        <v>125</v>
      </c>
      <c r="L878" s="1">
        <v>23</v>
      </c>
      <c r="M878" s="1">
        <v>25</v>
      </c>
      <c r="N878">
        <v>2</v>
      </c>
      <c r="O878" s="3">
        <f>IF(
    R878="Ancien",
    _xlfn.XLOOKUP(
        Final_Sans_VGE[[#This Row],[ppn_z]],
        tbl_Historique_Final[ppn_z],
        tbl_Historique_Final[Horodatage],
        ""
    ),
    Horodatage!$A$2
)</f>
        <v>46233.670796365739</v>
      </c>
      <c r="P878" s="1" t="str">
        <f>IFERROR(IF(tbl_Historique_Final[[#This Row],[Commentaires]]&lt;&gt;"",tbl_Historique_Final[[#This Row],[Commentaires]],""),"")</f>
        <v/>
      </c>
      <c r="X878" s="8" t="str">
        <f>IF(Final_Sans_VGE[[#This Row],[ppn_z]]="","",IFERROR(
   IF(_xlfn.XLOOKUP(Final_Sans_VGE[[#This Row],[ppn_z]],tbl_Historique_Final[ppn_z],tbl_Historique_Final[date_modif])=Final_Sans_VGE[[#This Row],[date_modif]],
      "Ancien",
      "Modifié"),
   "Nouveau"))</f>
        <v>Ancien</v>
      </c>
      <c r="AC878"/>
      <c r="AD878"/>
    </row>
    <row r="879" spans="1:30" x14ac:dyDescent="0.25">
      <c r="A879" s="5" t="s">
        <v>2801</v>
      </c>
      <c r="B879" s="1" t="s">
        <v>8046</v>
      </c>
      <c r="C879" s="1" t="s">
        <v>12</v>
      </c>
      <c r="G879" s="1" t="s">
        <v>10</v>
      </c>
      <c r="J879" s="3">
        <v>45820.313854166663</v>
      </c>
      <c r="K879" s="2" t="s">
        <v>8047</v>
      </c>
      <c r="L879" s="1">
        <v>6</v>
      </c>
      <c r="M879" s="1">
        <v>9</v>
      </c>
      <c r="N879">
        <v>3</v>
      </c>
      <c r="O879" s="3">
        <f>IF(
    R879="Ancien",
    _xlfn.XLOOKUP(
        Final_Sans_VGE[[#This Row],[ppn_z]],
        tbl_Historique_Final[ppn_z],
        tbl_Historique_Final[Horodatage],
        ""
    ),
    Horodatage!$A$2
)</f>
        <v>46233.670796365739</v>
      </c>
      <c r="P879" s="1" t="str">
        <f>IFERROR(IF(tbl_Historique_Final[[#This Row],[Commentaires]]&lt;&gt;"",tbl_Historique_Final[[#This Row],[Commentaires]],""),"")</f>
        <v/>
      </c>
      <c r="X879" s="8" t="str">
        <f>IF(Final_Sans_VGE[[#This Row],[ppn_z]]="","",IFERROR(
   IF(_xlfn.XLOOKUP(Final_Sans_VGE[[#This Row],[ppn_z]],tbl_Historique_Final[ppn_z],tbl_Historique_Final[date_modif])=Final_Sans_VGE[[#This Row],[date_modif]],
      "Ancien",
      "Modifié"),
   "Nouveau"))</f>
        <v>Ancien</v>
      </c>
      <c r="AC879"/>
      <c r="AD879"/>
    </row>
    <row r="880" spans="1:30" ht="45" x14ac:dyDescent="0.25">
      <c r="A880" s="5" t="s">
        <v>2804</v>
      </c>
      <c r="B880" s="1" t="s">
        <v>8048</v>
      </c>
      <c r="C880" s="1" t="s">
        <v>6793</v>
      </c>
      <c r="G880" s="1" t="s">
        <v>10</v>
      </c>
      <c r="J880" s="3">
        <v>45937.477812500001</v>
      </c>
      <c r="K880" s="2" t="s">
        <v>8049</v>
      </c>
      <c r="L880" s="1">
        <v>1</v>
      </c>
      <c r="M880" s="1">
        <v>1</v>
      </c>
      <c r="N880">
        <v>0</v>
      </c>
      <c r="O880" s="3">
        <f>IF(
    R880="Ancien",
    _xlfn.XLOOKUP(
        Final_Sans_VGE[[#This Row],[ppn_z]],
        tbl_Historique_Final[ppn_z],
        tbl_Historique_Final[Horodatage],
        ""
    ),
    Horodatage!$A$2
)</f>
        <v>46233.670796365739</v>
      </c>
      <c r="P880" s="1" t="str">
        <f>IFERROR(IF(tbl_Historique_Final[[#This Row],[Commentaires]]&lt;&gt;"",tbl_Historique_Final[[#This Row],[Commentaires]],""),"")</f>
        <v/>
      </c>
      <c r="X880" s="8" t="str">
        <f>IF(Final_Sans_VGE[[#This Row],[ppn_z]]="","",IFERROR(
   IF(_xlfn.XLOOKUP(Final_Sans_VGE[[#This Row],[ppn_z]],tbl_Historique_Final[ppn_z],tbl_Historique_Final[date_modif])=Final_Sans_VGE[[#This Row],[date_modif]],
      "Ancien",
      "Modifié"),
   "Nouveau"))</f>
        <v>Ancien</v>
      </c>
      <c r="AC880"/>
      <c r="AD880"/>
    </row>
    <row r="881" spans="1:30" ht="30" x14ac:dyDescent="0.25">
      <c r="A881" s="5" t="s">
        <v>2807</v>
      </c>
      <c r="B881" s="1" t="s">
        <v>8050</v>
      </c>
      <c r="C881" s="1" t="s">
        <v>12</v>
      </c>
      <c r="G881" s="1" t="s">
        <v>10</v>
      </c>
      <c r="J881" s="3">
        <v>45848.612430555557</v>
      </c>
      <c r="K881" s="2" t="s">
        <v>8051</v>
      </c>
      <c r="L881" s="1">
        <v>1</v>
      </c>
      <c r="M881" s="1">
        <v>1</v>
      </c>
      <c r="N881">
        <v>0</v>
      </c>
      <c r="O881" s="3">
        <f>IF(
    R881="Ancien",
    _xlfn.XLOOKUP(
        Final_Sans_VGE[[#This Row],[ppn_z]],
        tbl_Historique_Final[ppn_z],
        tbl_Historique_Final[Horodatage],
        ""
    ),
    Horodatage!$A$2
)</f>
        <v>46233.670796365739</v>
      </c>
      <c r="P881" s="1" t="str">
        <f>IFERROR(IF(tbl_Historique_Final[[#This Row],[Commentaires]]&lt;&gt;"",tbl_Historique_Final[[#This Row],[Commentaires]],""),"")</f>
        <v/>
      </c>
      <c r="X881" s="8" t="str">
        <f>IF(Final_Sans_VGE[[#This Row],[ppn_z]]="","",IFERROR(
   IF(_xlfn.XLOOKUP(Final_Sans_VGE[[#This Row],[ppn_z]],tbl_Historique_Final[ppn_z],tbl_Historique_Final[date_modif])=Final_Sans_VGE[[#This Row],[date_modif]],
      "Ancien",
      "Modifié"),
   "Nouveau"))</f>
        <v>Ancien</v>
      </c>
      <c r="AC881"/>
      <c r="AD881"/>
    </row>
    <row r="882" spans="1:30" x14ac:dyDescent="0.25">
      <c r="A882" s="5" t="s">
        <v>2810</v>
      </c>
      <c r="B882" s="1" t="s">
        <v>8052</v>
      </c>
      <c r="C882" s="1" t="s">
        <v>12</v>
      </c>
      <c r="G882" s="1" t="s">
        <v>11</v>
      </c>
      <c r="J882" s="3">
        <v>45833.590520833335</v>
      </c>
      <c r="K882" s="2" t="s">
        <v>8053</v>
      </c>
      <c r="L882" s="1">
        <v>2</v>
      </c>
      <c r="M882" s="1">
        <v>2</v>
      </c>
      <c r="N882">
        <v>0</v>
      </c>
      <c r="O882" s="3">
        <f>IF(
    R882="Ancien",
    _xlfn.XLOOKUP(
        Final_Sans_VGE[[#This Row],[ppn_z]],
        tbl_Historique_Final[ppn_z],
        tbl_Historique_Final[Horodatage],
        ""
    ),
    Horodatage!$A$2
)</f>
        <v>46233.670796365739</v>
      </c>
      <c r="P882" s="1" t="str">
        <f>IFERROR(IF(tbl_Historique_Final[[#This Row],[Commentaires]]&lt;&gt;"",tbl_Historique_Final[[#This Row],[Commentaires]],""),"")</f>
        <v/>
      </c>
      <c r="X882" s="8" t="str">
        <f>IF(Final_Sans_VGE[[#This Row],[ppn_z]]="","",IFERROR(
   IF(_xlfn.XLOOKUP(Final_Sans_VGE[[#This Row],[ppn_z]],tbl_Historique_Final[ppn_z],tbl_Historique_Final[date_modif])=Final_Sans_VGE[[#This Row],[date_modif]],
      "Ancien",
      "Modifié"),
   "Nouveau"))</f>
        <v>Ancien</v>
      </c>
      <c r="AC882"/>
      <c r="AD882"/>
    </row>
    <row r="883" spans="1:30" x14ac:dyDescent="0.25">
      <c r="A883" s="5" t="s">
        <v>2813</v>
      </c>
      <c r="B883" s="1" t="s">
        <v>8054</v>
      </c>
      <c r="C883" s="1" t="s">
        <v>12</v>
      </c>
      <c r="D883" s="1" t="s">
        <v>8055</v>
      </c>
      <c r="G883" s="1" t="s">
        <v>10</v>
      </c>
      <c r="H883" s="1" t="s">
        <v>8056</v>
      </c>
      <c r="I883" s="1" t="s">
        <v>8057</v>
      </c>
      <c r="J883" s="3">
        <v>45824.634201388886</v>
      </c>
      <c r="K883" s="2" t="s">
        <v>8058</v>
      </c>
      <c r="L883" s="1">
        <v>44</v>
      </c>
      <c r="M883" s="1">
        <v>47</v>
      </c>
      <c r="N883">
        <v>3</v>
      </c>
      <c r="O883" s="3">
        <f>IF(
    R883="Ancien",
    _xlfn.XLOOKUP(
        Final_Sans_VGE[[#This Row],[ppn_z]],
        tbl_Historique_Final[ppn_z],
        tbl_Historique_Final[Horodatage],
        ""
    ),
    Horodatage!$A$2
)</f>
        <v>46233.670796365739</v>
      </c>
      <c r="P883" s="1" t="str">
        <f>IFERROR(IF(tbl_Historique_Final[[#This Row],[Commentaires]]&lt;&gt;"",tbl_Historique_Final[[#This Row],[Commentaires]],""),"")</f>
        <v/>
      </c>
      <c r="X883" s="8" t="str">
        <f>IF(Final_Sans_VGE[[#This Row],[ppn_z]]="","",IFERROR(
   IF(_xlfn.XLOOKUP(Final_Sans_VGE[[#This Row],[ppn_z]],tbl_Historique_Final[ppn_z],tbl_Historique_Final[date_modif])=Final_Sans_VGE[[#This Row],[date_modif]],
      "Ancien",
      "Modifié"),
   "Nouveau"))</f>
        <v>Ancien</v>
      </c>
      <c r="AC883"/>
      <c r="AD883"/>
    </row>
    <row r="884" spans="1:30" ht="60" x14ac:dyDescent="0.25">
      <c r="A884" s="5" t="s">
        <v>2816</v>
      </c>
      <c r="B884" s="1" t="s">
        <v>8059</v>
      </c>
      <c r="G884" s="1" t="s">
        <v>11</v>
      </c>
      <c r="J884" s="3">
        <v>45903.588043981479</v>
      </c>
      <c r="K884" s="2" t="s">
        <v>8060</v>
      </c>
      <c r="L884" s="1">
        <v>2</v>
      </c>
      <c r="M884" s="1">
        <v>10</v>
      </c>
      <c r="N884">
        <v>8</v>
      </c>
      <c r="O884" s="3">
        <f>IF(
    R884="Ancien",
    _xlfn.XLOOKUP(
        Final_Sans_VGE[[#This Row],[ppn_z]],
        tbl_Historique_Final[ppn_z],
        tbl_Historique_Final[Horodatage],
        ""
    ),
    Horodatage!$A$2
)</f>
        <v>46233.670796365739</v>
      </c>
      <c r="P884" s="1" t="str">
        <f>IFERROR(IF(tbl_Historique_Final[[#This Row],[Commentaires]]&lt;&gt;"",tbl_Historique_Final[[#This Row],[Commentaires]],""),"")</f>
        <v/>
      </c>
      <c r="X884" s="8" t="str">
        <f>IF(Final_Sans_VGE[[#This Row],[ppn_z]]="","",IFERROR(
   IF(_xlfn.XLOOKUP(Final_Sans_VGE[[#This Row],[ppn_z]],tbl_Historique_Final[ppn_z],tbl_Historique_Final[date_modif])=Final_Sans_VGE[[#This Row],[date_modif]],
      "Ancien",
      "Modifié"),
   "Nouveau"))</f>
        <v>Ancien</v>
      </c>
      <c r="AC884"/>
      <c r="AD884"/>
    </row>
    <row r="885" spans="1:30" x14ac:dyDescent="0.25">
      <c r="A885" s="5" t="s">
        <v>2819</v>
      </c>
      <c r="B885" s="1" t="s">
        <v>8061</v>
      </c>
      <c r="C885" s="1" t="s">
        <v>90</v>
      </c>
      <c r="H885" s="1" t="s">
        <v>22</v>
      </c>
      <c r="I885" s="1" t="s">
        <v>140</v>
      </c>
      <c r="J885" s="3">
        <v>45847.645312499997</v>
      </c>
      <c r="K885" s="2" t="s">
        <v>8062</v>
      </c>
      <c r="L885" s="1">
        <v>1</v>
      </c>
      <c r="M885" s="1">
        <v>2</v>
      </c>
      <c r="N885">
        <v>1</v>
      </c>
      <c r="O885" s="3">
        <f>IF(
    R885="Ancien",
    _xlfn.XLOOKUP(
        Final_Sans_VGE[[#This Row],[ppn_z]],
        tbl_Historique_Final[ppn_z],
        tbl_Historique_Final[Horodatage],
        ""
    ),
    Horodatage!$A$2
)</f>
        <v>46233.670796365739</v>
      </c>
      <c r="P885" s="1" t="str">
        <f>IFERROR(IF(tbl_Historique_Final[[#This Row],[Commentaires]]&lt;&gt;"",tbl_Historique_Final[[#This Row],[Commentaires]],""),"")</f>
        <v/>
      </c>
      <c r="X885" s="8" t="str">
        <f>IF(Final_Sans_VGE[[#This Row],[ppn_z]]="","",IFERROR(
   IF(_xlfn.XLOOKUP(Final_Sans_VGE[[#This Row],[ppn_z]],tbl_Historique_Final[ppn_z],tbl_Historique_Final[date_modif])=Final_Sans_VGE[[#This Row],[date_modif]],
      "Ancien",
      "Modifié"),
   "Nouveau"))</f>
        <v>Ancien</v>
      </c>
      <c r="AC885"/>
      <c r="AD885"/>
    </row>
    <row r="886" spans="1:30" ht="45" x14ac:dyDescent="0.25">
      <c r="A886" s="5" t="s">
        <v>2822</v>
      </c>
      <c r="B886" s="1" t="s">
        <v>8063</v>
      </c>
      <c r="C886" s="1" t="s">
        <v>12</v>
      </c>
      <c r="G886" s="1" t="s">
        <v>11</v>
      </c>
      <c r="J886" s="3">
        <v>45831.34642361111</v>
      </c>
      <c r="K886" s="2" t="s">
        <v>8064</v>
      </c>
      <c r="L886" s="1">
        <v>1</v>
      </c>
      <c r="M886" s="1">
        <v>1</v>
      </c>
      <c r="N886">
        <v>0</v>
      </c>
      <c r="O886" s="3">
        <f>IF(
    R886="Ancien",
    _xlfn.XLOOKUP(
        Final_Sans_VGE[[#This Row],[ppn_z]],
        tbl_Historique_Final[ppn_z],
        tbl_Historique_Final[Horodatage],
        ""
    ),
    Horodatage!$A$2
)</f>
        <v>46233.670796365739</v>
      </c>
      <c r="P886" s="1" t="str">
        <f>IFERROR(IF(tbl_Historique_Final[[#This Row],[Commentaires]]&lt;&gt;"",tbl_Historique_Final[[#This Row],[Commentaires]],""),"")</f>
        <v/>
      </c>
      <c r="X886" s="8" t="str">
        <f>IF(Final_Sans_VGE[[#This Row],[ppn_z]]="","",IFERROR(
   IF(_xlfn.XLOOKUP(Final_Sans_VGE[[#This Row],[ppn_z]],tbl_Historique_Final[ppn_z],tbl_Historique_Final[date_modif])=Final_Sans_VGE[[#This Row],[date_modif]],
      "Ancien",
      "Modifié"),
   "Nouveau"))</f>
        <v>Ancien</v>
      </c>
      <c r="AC886"/>
      <c r="AD886"/>
    </row>
    <row r="887" spans="1:30" ht="45" x14ac:dyDescent="0.25">
      <c r="A887" s="5" t="s">
        <v>2825</v>
      </c>
      <c r="B887" s="1" t="s">
        <v>8065</v>
      </c>
      <c r="C887" s="1" t="s">
        <v>12</v>
      </c>
      <c r="G887" s="1" t="s">
        <v>11</v>
      </c>
      <c r="H887" s="1" t="s">
        <v>140</v>
      </c>
      <c r="I887" s="1" t="s">
        <v>140</v>
      </c>
      <c r="J887" s="3">
        <v>45894.57675925926</v>
      </c>
      <c r="K887" s="2" t="s">
        <v>8066</v>
      </c>
      <c r="L887" s="1">
        <v>5</v>
      </c>
      <c r="M887" s="1">
        <v>5</v>
      </c>
      <c r="N887">
        <v>0</v>
      </c>
      <c r="O887" s="3">
        <f>IF(
    R887="Ancien",
    _xlfn.XLOOKUP(
        Final_Sans_VGE[[#This Row],[ppn_z]],
        tbl_Historique_Final[ppn_z],
        tbl_Historique_Final[Horodatage],
        ""
    ),
    Horodatage!$A$2
)</f>
        <v>46233.670796365739</v>
      </c>
      <c r="P887" s="1" t="str">
        <f>IFERROR(IF(tbl_Historique_Final[[#This Row],[Commentaires]]&lt;&gt;"",tbl_Historique_Final[[#This Row],[Commentaires]],""),"")</f>
        <v/>
      </c>
      <c r="X887" s="8" t="str">
        <f>IF(Final_Sans_VGE[[#This Row],[ppn_z]]="","",IFERROR(
   IF(_xlfn.XLOOKUP(Final_Sans_VGE[[#This Row],[ppn_z]],tbl_Historique_Final[ppn_z],tbl_Historique_Final[date_modif])=Final_Sans_VGE[[#This Row],[date_modif]],
      "Ancien",
      "Modifié"),
   "Nouveau"))</f>
        <v>Ancien</v>
      </c>
      <c r="AC887"/>
      <c r="AD887"/>
    </row>
    <row r="888" spans="1:30" ht="30" x14ac:dyDescent="0.25">
      <c r="A888" s="5" t="s">
        <v>2828</v>
      </c>
      <c r="B888" s="1" t="s">
        <v>8067</v>
      </c>
      <c r="C888" s="1" t="s">
        <v>6355</v>
      </c>
      <c r="G888" s="1" t="s">
        <v>11</v>
      </c>
      <c r="J888" s="3">
        <v>45897.484791666669</v>
      </c>
      <c r="K888" s="2" t="s">
        <v>8068</v>
      </c>
      <c r="L888" s="1">
        <v>1</v>
      </c>
      <c r="M888" s="1">
        <v>1</v>
      </c>
      <c r="N888">
        <v>0</v>
      </c>
      <c r="O888" s="3">
        <f>IF(
    R888="Ancien",
    _xlfn.XLOOKUP(
        Final_Sans_VGE[[#This Row],[ppn_z]],
        tbl_Historique_Final[ppn_z],
        tbl_Historique_Final[Horodatage],
        ""
    ),
    Horodatage!$A$2
)</f>
        <v>46233.670796365739</v>
      </c>
      <c r="P888" s="1" t="str">
        <f>IFERROR(IF(tbl_Historique_Final[[#This Row],[Commentaires]]&lt;&gt;"",tbl_Historique_Final[[#This Row],[Commentaires]],""),"")</f>
        <v/>
      </c>
      <c r="X888" s="8" t="str">
        <f>IF(Final_Sans_VGE[[#This Row],[ppn_z]]="","",IFERROR(
   IF(_xlfn.XLOOKUP(Final_Sans_VGE[[#This Row],[ppn_z]],tbl_Historique_Final[ppn_z],tbl_Historique_Final[date_modif])=Final_Sans_VGE[[#This Row],[date_modif]],
      "Ancien",
      "Modifié"),
   "Nouveau"))</f>
        <v>Ancien</v>
      </c>
      <c r="AC888"/>
      <c r="AD888"/>
    </row>
    <row r="889" spans="1:30" x14ac:dyDescent="0.25">
      <c r="A889" s="5" t="s">
        <v>2831</v>
      </c>
      <c r="B889" s="1" t="s">
        <v>8069</v>
      </c>
      <c r="C889" s="1" t="s">
        <v>82</v>
      </c>
      <c r="G889" s="1" t="s">
        <v>10</v>
      </c>
      <c r="J889" s="3">
        <v>45833.568414351852</v>
      </c>
      <c r="K889" s="2" t="s">
        <v>8070</v>
      </c>
      <c r="M889" s="1">
        <v>0</v>
      </c>
      <c r="N889"/>
      <c r="O889" s="3">
        <f>IF(
    R889="Ancien",
    _xlfn.XLOOKUP(
        Final_Sans_VGE[[#This Row],[ppn_z]],
        tbl_Historique_Final[ppn_z],
        tbl_Historique_Final[Horodatage],
        ""
    ),
    Horodatage!$A$2
)</f>
        <v>46233.670796365739</v>
      </c>
      <c r="P889" s="1" t="str">
        <f>IFERROR(IF(tbl_Historique_Final[[#This Row],[Commentaires]]&lt;&gt;"",tbl_Historique_Final[[#This Row],[Commentaires]],""),"")</f>
        <v/>
      </c>
      <c r="X889" s="8" t="str">
        <f>IF(Final_Sans_VGE[[#This Row],[ppn_z]]="","",IFERROR(
   IF(_xlfn.XLOOKUP(Final_Sans_VGE[[#This Row],[ppn_z]],tbl_Historique_Final[ppn_z],tbl_Historique_Final[date_modif])=Final_Sans_VGE[[#This Row],[date_modif]],
      "Ancien",
      "Modifié"),
   "Nouveau"))</f>
        <v>Ancien</v>
      </c>
      <c r="AC889"/>
      <c r="AD889"/>
    </row>
    <row r="890" spans="1:30" ht="30" x14ac:dyDescent="0.25">
      <c r="A890" s="5" t="s">
        <v>2834</v>
      </c>
      <c r="B890" s="1" t="s">
        <v>8071</v>
      </c>
      <c r="C890" s="1" t="s">
        <v>12</v>
      </c>
      <c r="G890" s="1" t="s">
        <v>10</v>
      </c>
      <c r="J890" s="3">
        <v>45903.561956018515</v>
      </c>
      <c r="K890" s="2" t="s">
        <v>8072</v>
      </c>
      <c r="L890" s="1">
        <v>1</v>
      </c>
      <c r="M890" s="1">
        <v>1</v>
      </c>
      <c r="N890">
        <v>0</v>
      </c>
      <c r="O890" s="3">
        <f>IF(
    R890="Ancien",
    _xlfn.XLOOKUP(
        Final_Sans_VGE[[#This Row],[ppn_z]],
        tbl_Historique_Final[ppn_z],
        tbl_Historique_Final[Horodatage],
        ""
    ),
    Horodatage!$A$2
)</f>
        <v>46233.670796365739</v>
      </c>
      <c r="P890" s="1" t="str">
        <f>IFERROR(IF(tbl_Historique_Final[[#This Row],[Commentaires]]&lt;&gt;"",tbl_Historique_Final[[#This Row],[Commentaires]],""),"")</f>
        <v/>
      </c>
      <c r="X890" s="8" t="str">
        <f>IF(Final_Sans_VGE[[#This Row],[ppn_z]]="","",IFERROR(
   IF(_xlfn.XLOOKUP(Final_Sans_VGE[[#This Row],[ppn_z]],tbl_Historique_Final[ppn_z],tbl_Historique_Final[date_modif])=Final_Sans_VGE[[#This Row],[date_modif]],
      "Ancien",
      "Modifié"),
   "Nouveau"))</f>
        <v>Ancien</v>
      </c>
      <c r="AC890"/>
      <c r="AD890"/>
    </row>
    <row r="891" spans="1:30" ht="30" x14ac:dyDescent="0.25">
      <c r="A891" s="5" t="s">
        <v>2837</v>
      </c>
      <c r="B891" s="1" t="s">
        <v>8073</v>
      </c>
      <c r="C891" s="1" t="s">
        <v>49</v>
      </c>
      <c r="G891" s="1" t="s">
        <v>10</v>
      </c>
      <c r="J891" s="3">
        <v>45896.58216435185</v>
      </c>
      <c r="K891" s="2" t="s">
        <v>8074</v>
      </c>
      <c r="L891" s="1">
        <v>1</v>
      </c>
      <c r="M891" s="1">
        <v>1</v>
      </c>
      <c r="N891">
        <v>0</v>
      </c>
      <c r="O891" s="3">
        <f>IF(
    R891="Ancien",
    _xlfn.XLOOKUP(
        Final_Sans_VGE[[#This Row],[ppn_z]],
        tbl_Historique_Final[ppn_z],
        tbl_Historique_Final[Horodatage],
        ""
    ),
    Horodatage!$A$2
)</f>
        <v>46233.670796365739</v>
      </c>
      <c r="P891" s="1" t="str">
        <f>IFERROR(IF(tbl_Historique_Final[[#This Row],[Commentaires]]&lt;&gt;"",tbl_Historique_Final[[#This Row],[Commentaires]],""),"")</f>
        <v/>
      </c>
      <c r="X891" s="8" t="str">
        <f>IF(Final_Sans_VGE[[#This Row],[ppn_z]]="","",IFERROR(
   IF(_xlfn.XLOOKUP(Final_Sans_VGE[[#This Row],[ppn_z]],tbl_Historique_Final[ppn_z],tbl_Historique_Final[date_modif])=Final_Sans_VGE[[#This Row],[date_modif]],
      "Ancien",
      "Modifié"),
   "Nouveau"))</f>
        <v>Ancien</v>
      </c>
      <c r="AC891"/>
      <c r="AD891"/>
    </row>
    <row r="892" spans="1:30" x14ac:dyDescent="0.25">
      <c r="A892" s="5" t="s">
        <v>2840</v>
      </c>
      <c r="B892" s="1" t="s">
        <v>8075</v>
      </c>
      <c r="C892" s="1" t="s">
        <v>12</v>
      </c>
      <c r="G892" s="1" t="s">
        <v>11</v>
      </c>
      <c r="J892" s="3">
        <v>45890.567743055559</v>
      </c>
      <c r="K892" s="2" t="s">
        <v>8076</v>
      </c>
      <c r="L892" s="1">
        <v>12</v>
      </c>
      <c r="M892" s="1">
        <v>16</v>
      </c>
      <c r="N892">
        <v>4</v>
      </c>
      <c r="O892" s="3">
        <f>IF(
    R892="Ancien",
    _xlfn.XLOOKUP(
        Final_Sans_VGE[[#This Row],[ppn_z]],
        tbl_Historique_Final[ppn_z],
        tbl_Historique_Final[Horodatage],
        ""
    ),
    Horodatage!$A$2
)</f>
        <v>46233.670796365739</v>
      </c>
      <c r="P892" s="1" t="str">
        <f>IFERROR(IF(tbl_Historique_Final[[#This Row],[Commentaires]]&lt;&gt;"",tbl_Historique_Final[[#This Row],[Commentaires]],""),"")</f>
        <v/>
      </c>
      <c r="X892" s="8" t="str">
        <f>IF(Final_Sans_VGE[[#This Row],[ppn_z]]="","",IFERROR(
   IF(_xlfn.XLOOKUP(Final_Sans_VGE[[#This Row],[ppn_z]],tbl_Historique_Final[ppn_z],tbl_Historique_Final[date_modif])=Final_Sans_VGE[[#This Row],[date_modif]],
      "Ancien",
      "Modifié"),
   "Nouveau"))</f>
        <v>Ancien</v>
      </c>
      <c r="AC892"/>
      <c r="AD892"/>
    </row>
    <row r="893" spans="1:30" x14ac:dyDescent="0.25">
      <c r="A893" s="5" t="s">
        <v>2843</v>
      </c>
      <c r="B893" s="1" t="s">
        <v>8077</v>
      </c>
      <c r="D893" s="1" t="s">
        <v>14</v>
      </c>
      <c r="E893" s="1" t="s">
        <v>42</v>
      </c>
      <c r="H893" s="1" t="s">
        <v>22</v>
      </c>
      <c r="I893" s="1" t="s">
        <v>22</v>
      </c>
      <c r="J893" s="3">
        <v>45841.456296296295</v>
      </c>
      <c r="K893" s="2" t="s">
        <v>6433</v>
      </c>
      <c r="L893" s="1">
        <v>12</v>
      </c>
      <c r="M893" s="1">
        <v>13</v>
      </c>
      <c r="N893">
        <v>1</v>
      </c>
      <c r="O893" s="3">
        <f>IF(
    R893="Ancien",
    _xlfn.XLOOKUP(
        Final_Sans_VGE[[#This Row],[ppn_z]],
        tbl_Historique_Final[ppn_z],
        tbl_Historique_Final[Horodatage],
        ""
    ),
    Horodatage!$A$2
)</f>
        <v>46233.670796365739</v>
      </c>
      <c r="P893" s="1" t="str">
        <f>IFERROR(IF(tbl_Historique_Final[[#This Row],[Commentaires]]&lt;&gt;"",tbl_Historique_Final[[#This Row],[Commentaires]],""),"")</f>
        <v/>
      </c>
      <c r="X893" s="8" t="str">
        <f>IF(Final_Sans_VGE[[#This Row],[ppn_z]]="","",IFERROR(
   IF(_xlfn.XLOOKUP(Final_Sans_VGE[[#This Row],[ppn_z]],tbl_Historique_Final[ppn_z],tbl_Historique_Final[date_modif])=Final_Sans_VGE[[#This Row],[date_modif]],
      "Ancien",
      "Modifié"),
   "Nouveau"))</f>
        <v>Ancien</v>
      </c>
      <c r="AC893"/>
      <c r="AD893"/>
    </row>
    <row r="894" spans="1:30" x14ac:dyDescent="0.25">
      <c r="A894" s="5" t="s">
        <v>2846</v>
      </c>
      <c r="B894" s="1" t="s">
        <v>8078</v>
      </c>
      <c r="C894" s="1" t="s">
        <v>12</v>
      </c>
      <c r="G894" s="1" t="s">
        <v>10</v>
      </c>
      <c r="J894" s="3">
        <v>45834.462094907409</v>
      </c>
      <c r="L894" s="1">
        <v>1</v>
      </c>
      <c r="M894" s="1">
        <v>1</v>
      </c>
      <c r="N894">
        <v>0</v>
      </c>
      <c r="O894" s="3">
        <f>IF(
    R894="Ancien",
    _xlfn.XLOOKUP(
        Final_Sans_VGE[[#This Row],[ppn_z]],
        tbl_Historique_Final[ppn_z],
        tbl_Historique_Final[Horodatage],
        ""
    ),
    Horodatage!$A$2
)</f>
        <v>46233.670796365739</v>
      </c>
      <c r="P894" s="1" t="str">
        <f>IFERROR(IF(tbl_Historique_Final[[#This Row],[Commentaires]]&lt;&gt;"",tbl_Historique_Final[[#This Row],[Commentaires]],""),"")</f>
        <v/>
      </c>
      <c r="X894" s="8" t="str">
        <f>IF(Final_Sans_VGE[[#This Row],[ppn_z]]="","",IFERROR(
   IF(_xlfn.XLOOKUP(Final_Sans_VGE[[#This Row],[ppn_z]],tbl_Historique_Final[ppn_z],tbl_Historique_Final[date_modif])=Final_Sans_VGE[[#This Row],[date_modif]],
      "Ancien",
      "Modifié"),
   "Nouveau"))</f>
        <v>Ancien</v>
      </c>
      <c r="AC894"/>
      <c r="AD894"/>
    </row>
    <row r="895" spans="1:30" x14ac:dyDescent="0.25">
      <c r="A895" s="5" t="s">
        <v>2849</v>
      </c>
      <c r="B895" s="1" t="s">
        <v>8079</v>
      </c>
      <c r="C895" s="1" t="s">
        <v>76</v>
      </c>
      <c r="G895" s="1" t="s">
        <v>10</v>
      </c>
      <c r="J895" s="3">
        <v>45890.485046296293</v>
      </c>
      <c r="K895" s="2" t="s">
        <v>8080</v>
      </c>
      <c r="L895" s="1">
        <v>16</v>
      </c>
      <c r="M895" s="1">
        <v>16</v>
      </c>
      <c r="N895">
        <v>0</v>
      </c>
      <c r="O895" s="3">
        <f>IF(
    R895="Ancien",
    _xlfn.XLOOKUP(
        Final_Sans_VGE[[#This Row],[ppn_z]],
        tbl_Historique_Final[ppn_z],
        tbl_Historique_Final[Horodatage],
        ""
    ),
    Horodatage!$A$2
)</f>
        <v>46233.670796365739</v>
      </c>
      <c r="P895" s="1" t="str">
        <f>IFERROR(IF(tbl_Historique_Final[[#This Row],[Commentaires]]&lt;&gt;"",tbl_Historique_Final[[#This Row],[Commentaires]],""),"")</f>
        <v/>
      </c>
      <c r="X895" s="8" t="str">
        <f>IF(Final_Sans_VGE[[#This Row],[ppn_z]]="","",IFERROR(
   IF(_xlfn.XLOOKUP(Final_Sans_VGE[[#This Row],[ppn_z]],tbl_Historique_Final[ppn_z],tbl_Historique_Final[date_modif])=Final_Sans_VGE[[#This Row],[date_modif]],
      "Ancien",
      "Modifié"),
   "Nouveau"))</f>
        <v>Ancien</v>
      </c>
      <c r="AC895"/>
      <c r="AD895"/>
    </row>
    <row r="896" spans="1:30" x14ac:dyDescent="0.25">
      <c r="A896" s="5" t="s">
        <v>2852</v>
      </c>
      <c r="B896" s="1" t="s">
        <v>8081</v>
      </c>
      <c r="C896" s="1" t="s">
        <v>87</v>
      </c>
      <c r="J896" s="3">
        <v>45672.373078703706</v>
      </c>
      <c r="L896" s="1">
        <v>1</v>
      </c>
      <c r="M896" s="1">
        <v>1</v>
      </c>
      <c r="N896">
        <v>0</v>
      </c>
      <c r="O896" s="3">
        <f>IF(
    R896="Ancien",
    _xlfn.XLOOKUP(
        Final_Sans_VGE[[#This Row],[ppn_z]],
        tbl_Historique_Final[ppn_z],
        tbl_Historique_Final[Horodatage],
        ""
    ),
    Horodatage!$A$2
)</f>
        <v>46233.670796365739</v>
      </c>
      <c r="P896" s="1" t="str">
        <f>IFERROR(IF(tbl_Historique_Final[[#This Row],[Commentaires]]&lt;&gt;"",tbl_Historique_Final[[#This Row],[Commentaires]],""),"")</f>
        <v/>
      </c>
      <c r="X896" s="8" t="str">
        <f>IF(Final_Sans_VGE[[#This Row],[ppn_z]]="","",IFERROR(
   IF(_xlfn.XLOOKUP(Final_Sans_VGE[[#This Row],[ppn_z]],tbl_Historique_Final[ppn_z],tbl_Historique_Final[date_modif])=Final_Sans_VGE[[#This Row],[date_modif]],
      "Ancien",
      "Modifié"),
   "Nouveau"))</f>
        <v>Ancien</v>
      </c>
      <c r="AC896"/>
      <c r="AD896"/>
    </row>
    <row r="897" spans="1:30" x14ac:dyDescent="0.25">
      <c r="A897" s="5" t="s">
        <v>2855</v>
      </c>
      <c r="B897" s="1" t="s">
        <v>8082</v>
      </c>
      <c r="C897" s="1" t="s">
        <v>12</v>
      </c>
      <c r="D897" s="1" t="s">
        <v>6384</v>
      </c>
      <c r="G897" s="1" t="s">
        <v>11</v>
      </c>
      <c r="H897" s="1" t="s">
        <v>22</v>
      </c>
      <c r="I897" s="1" t="s">
        <v>22</v>
      </c>
      <c r="J897" s="3">
        <v>45846.722615740742</v>
      </c>
      <c r="K897" s="2" t="s">
        <v>8083</v>
      </c>
      <c r="L897" s="1">
        <v>8</v>
      </c>
      <c r="M897" s="1">
        <v>10</v>
      </c>
      <c r="N897">
        <v>2</v>
      </c>
      <c r="O897" s="3">
        <f>IF(
    R897="Ancien",
    _xlfn.XLOOKUP(
        Final_Sans_VGE[[#This Row],[ppn_z]],
        tbl_Historique_Final[ppn_z],
        tbl_Historique_Final[Horodatage],
        ""
    ),
    Horodatage!$A$2
)</f>
        <v>46233.670796365739</v>
      </c>
      <c r="P897" s="1" t="str">
        <f>IFERROR(IF(tbl_Historique_Final[[#This Row],[Commentaires]]&lt;&gt;"",tbl_Historique_Final[[#This Row],[Commentaires]],""),"")</f>
        <v/>
      </c>
      <c r="X897" s="8" t="str">
        <f>IF(Final_Sans_VGE[[#This Row],[ppn_z]]="","",IFERROR(
   IF(_xlfn.XLOOKUP(Final_Sans_VGE[[#This Row],[ppn_z]],tbl_Historique_Final[ppn_z],tbl_Historique_Final[date_modif])=Final_Sans_VGE[[#This Row],[date_modif]],
      "Ancien",
      "Modifié"),
   "Nouveau"))</f>
        <v>Ancien</v>
      </c>
      <c r="AC897"/>
      <c r="AD897"/>
    </row>
    <row r="898" spans="1:30" x14ac:dyDescent="0.25">
      <c r="A898" s="5" t="s">
        <v>2858</v>
      </c>
      <c r="B898" s="1" t="s">
        <v>8084</v>
      </c>
      <c r="C898" s="1" t="s">
        <v>12</v>
      </c>
      <c r="G898" s="1" t="s">
        <v>11</v>
      </c>
      <c r="J898" s="3">
        <v>45834.479328703703</v>
      </c>
      <c r="K898" s="2" t="s">
        <v>6738</v>
      </c>
      <c r="L898" s="1">
        <v>1</v>
      </c>
      <c r="M898" s="1">
        <v>1</v>
      </c>
      <c r="N898">
        <v>0</v>
      </c>
      <c r="O898" s="3">
        <f>IF(
    R898="Ancien",
    _xlfn.XLOOKUP(
        Final_Sans_VGE[[#This Row],[ppn_z]],
        tbl_Historique_Final[ppn_z],
        tbl_Historique_Final[Horodatage],
        ""
    ),
    Horodatage!$A$2
)</f>
        <v>46233.670796365739</v>
      </c>
      <c r="P898" s="1" t="str">
        <f>IFERROR(IF(tbl_Historique_Final[[#This Row],[Commentaires]]&lt;&gt;"",tbl_Historique_Final[[#This Row],[Commentaires]],""),"")</f>
        <v/>
      </c>
      <c r="X898" s="8" t="str">
        <f>IF(Final_Sans_VGE[[#This Row],[ppn_z]]="","",IFERROR(
   IF(_xlfn.XLOOKUP(Final_Sans_VGE[[#This Row],[ppn_z]],tbl_Historique_Final[ppn_z],tbl_Historique_Final[date_modif])=Final_Sans_VGE[[#This Row],[date_modif]],
      "Ancien",
      "Modifié"),
   "Nouveau"))</f>
        <v>Ancien</v>
      </c>
      <c r="AC898"/>
      <c r="AD898"/>
    </row>
    <row r="899" spans="1:30" ht="30" x14ac:dyDescent="0.25">
      <c r="A899" s="5" t="s">
        <v>2861</v>
      </c>
      <c r="B899" s="1" t="s">
        <v>8085</v>
      </c>
      <c r="C899" s="1" t="s">
        <v>8086</v>
      </c>
      <c r="G899" s="1" t="s">
        <v>10</v>
      </c>
      <c r="J899" s="3">
        <v>45902.572557870371</v>
      </c>
      <c r="K899" s="2" t="s">
        <v>8087</v>
      </c>
      <c r="L899" s="1">
        <v>9</v>
      </c>
      <c r="M899" s="1">
        <v>9</v>
      </c>
      <c r="N899">
        <v>0</v>
      </c>
      <c r="O899" s="3">
        <f>IF(
    R899="Ancien",
    _xlfn.XLOOKUP(
        Final_Sans_VGE[[#This Row],[ppn_z]],
        tbl_Historique_Final[ppn_z],
        tbl_Historique_Final[Horodatage],
        ""
    ),
    Horodatage!$A$2
)</f>
        <v>46233.670796365739</v>
      </c>
      <c r="P899" s="1" t="str">
        <f>IFERROR(IF(tbl_Historique_Final[[#This Row],[Commentaires]]&lt;&gt;"",tbl_Historique_Final[[#This Row],[Commentaires]],""),"")</f>
        <v/>
      </c>
      <c r="X899" s="8" t="str">
        <f>IF(Final_Sans_VGE[[#This Row],[ppn_z]]="","",IFERROR(
   IF(_xlfn.XLOOKUP(Final_Sans_VGE[[#This Row],[ppn_z]],tbl_Historique_Final[ppn_z],tbl_Historique_Final[date_modif])=Final_Sans_VGE[[#This Row],[date_modif]],
      "Ancien",
      "Modifié"),
   "Nouveau"))</f>
        <v>Ancien</v>
      </c>
      <c r="AC899"/>
      <c r="AD899"/>
    </row>
    <row r="900" spans="1:30" x14ac:dyDescent="0.25">
      <c r="A900" s="5" t="s">
        <v>2864</v>
      </c>
      <c r="B900" s="1" t="s">
        <v>8088</v>
      </c>
      <c r="C900" s="1" t="s">
        <v>32</v>
      </c>
      <c r="J900" s="3">
        <v>45672.4531712963</v>
      </c>
      <c r="L900" s="1">
        <v>1</v>
      </c>
      <c r="M900" s="1">
        <v>1</v>
      </c>
      <c r="N900">
        <v>0</v>
      </c>
      <c r="O900" s="3">
        <f>IF(
    R900="Ancien",
    _xlfn.XLOOKUP(
        Final_Sans_VGE[[#This Row],[ppn_z]],
        tbl_Historique_Final[ppn_z],
        tbl_Historique_Final[Horodatage],
        ""
    ),
    Horodatage!$A$2
)</f>
        <v>46233.670796365739</v>
      </c>
      <c r="P900" s="1" t="str">
        <f>IFERROR(IF(tbl_Historique_Final[[#This Row],[Commentaires]]&lt;&gt;"",tbl_Historique_Final[[#This Row],[Commentaires]],""),"")</f>
        <v/>
      </c>
      <c r="X900" s="8" t="str">
        <f>IF(Final_Sans_VGE[[#This Row],[ppn_z]]="","",IFERROR(
   IF(_xlfn.XLOOKUP(Final_Sans_VGE[[#This Row],[ppn_z]],tbl_Historique_Final[ppn_z],tbl_Historique_Final[date_modif])=Final_Sans_VGE[[#This Row],[date_modif]],
      "Ancien",
      "Modifié"),
   "Nouveau"))</f>
        <v>Ancien</v>
      </c>
      <c r="AC900"/>
      <c r="AD900"/>
    </row>
    <row r="901" spans="1:30" x14ac:dyDescent="0.25">
      <c r="A901" s="5" t="s">
        <v>2867</v>
      </c>
      <c r="B901" s="1" t="s">
        <v>8089</v>
      </c>
      <c r="C901" s="1" t="s">
        <v>82</v>
      </c>
      <c r="G901" s="1" t="s">
        <v>10</v>
      </c>
      <c r="J901" s="3">
        <v>45847.621550925927</v>
      </c>
      <c r="K901" s="2" t="s">
        <v>8090</v>
      </c>
      <c r="L901" s="1">
        <v>2</v>
      </c>
      <c r="M901" s="1">
        <v>2</v>
      </c>
      <c r="N901">
        <v>0</v>
      </c>
      <c r="O901" s="3">
        <f>IF(
    R901="Ancien",
    _xlfn.XLOOKUP(
        Final_Sans_VGE[[#This Row],[ppn_z]],
        tbl_Historique_Final[ppn_z],
        tbl_Historique_Final[Horodatage],
        ""
    ),
    Horodatage!$A$2
)</f>
        <v>46233.670796365739</v>
      </c>
      <c r="P901" s="1" t="str">
        <f>IFERROR(IF(tbl_Historique_Final[[#This Row],[Commentaires]]&lt;&gt;"",tbl_Historique_Final[[#This Row],[Commentaires]],""),"")</f>
        <v/>
      </c>
      <c r="X901" s="8" t="str">
        <f>IF(Final_Sans_VGE[[#This Row],[ppn_z]]="","",IFERROR(
   IF(_xlfn.XLOOKUP(Final_Sans_VGE[[#This Row],[ppn_z]],tbl_Historique_Final[ppn_z],tbl_Historique_Final[date_modif])=Final_Sans_VGE[[#This Row],[date_modif]],
      "Ancien",
      "Modifié"),
   "Nouveau"))</f>
        <v>Ancien</v>
      </c>
      <c r="AC901"/>
      <c r="AD901"/>
    </row>
    <row r="902" spans="1:30" x14ac:dyDescent="0.25">
      <c r="A902" s="5" t="s">
        <v>2870</v>
      </c>
      <c r="B902" s="1" t="s">
        <v>8091</v>
      </c>
      <c r="C902" s="1" t="s">
        <v>70</v>
      </c>
      <c r="G902" s="1" t="s">
        <v>11</v>
      </c>
      <c r="J902" s="3">
        <v>45834.482233796298</v>
      </c>
      <c r="K902" s="2" t="s">
        <v>8092</v>
      </c>
      <c r="L902" s="1">
        <v>1</v>
      </c>
      <c r="M902" s="1">
        <v>1</v>
      </c>
      <c r="N902">
        <v>0</v>
      </c>
      <c r="O902" s="3">
        <f>IF(
    R902="Ancien",
    _xlfn.XLOOKUP(
        Final_Sans_VGE[[#This Row],[ppn_z]],
        tbl_Historique_Final[ppn_z],
        tbl_Historique_Final[Horodatage],
        ""
    ),
    Horodatage!$A$2
)</f>
        <v>46233.670796365739</v>
      </c>
      <c r="P902" s="1" t="str">
        <f>IFERROR(IF(tbl_Historique_Final[[#This Row],[Commentaires]]&lt;&gt;"",tbl_Historique_Final[[#This Row],[Commentaires]],""),"")</f>
        <v/>
      </c>
      <c r="X902" s="8" t="str">
        <f>IF(Final_Sans_VGE[[#This Row],[ppn_z]]="","",IFERROR(
   IF(_xlfn.XLOOKUP(Final_Sans_VGE[[#This Row],[ppn_z]],tbl_Historique_Final[ppn_z],tbl_Historique_Final[date_modif])=Final_Sans_VGE[[#This Row],[date_modif]],
      "Ancien",
      "Modifié"),
   "Nouveau"))</f>
        <v>Ancien</v>
      </c>
      <c r="AC902"/>
      <c r="AD902"/>
    </row>
    <row r="903" spans="1:30" ht="30" x14ac:dyDescent="0.25">
      <c r="A903" s="5" t="s">
        <v>2873</v>
      </c>
      <c r="B903" s="1" t="s">
        <v>8093</v>
      </c>
      <c r="C903" s="1" t="s">
        <v>69</v>
      </c>
      <c r="G903" s="1" t="s">
        <v>10</v>
      </c>
      <c r="J903" s="3">
        <v>45842.637187499997</v>
      </c>
      <c r="K903" s="2" t="s">
        <v>8094</v>
      </c>
      <c r="L903" s="1">
        <v>24</v>
      </c>
      <c r="M903" s="1">
        <v>28</v>
      </c>
      <c r="N903">
        <v>4</v>
      </c>
      <c r="O903" s="3">
        <f>IF(
    R903="Ancien",
    _xlfn.XLOOKUP(
        Final_Sans_VGE[[#This Row],[ppn_z]],
        tbl_Historique_Final[ppn_z],
        tbl_Historique_Final[Horodatage],
        ""
    ),
    Horodatage!$A$2
)</f>
        <v>46233.670796365739</v>
      </c>
      <c r="P903" s="1" t="str">
        <f>IFERROR(IF(tbl_Historique_Final[[#This Row],[Commentaires]]&lt;&gt;"",tbl_Historique_Final[[#This Row],[Commentaires]],""),"")</f>
        <v/>
      </c>
      <c r="X903" s="8" t="str">
        <f>IF(Final_Sans_VGE[[#This Row],[ppn_z]]="","",IFERROR(
   IF(_xlfn.XLOOKUP(Final_Sans_VGE[[#This Row],[ppn_z]],tbl_Historique_Final[ppn_z],tbl_Historique_Final[date_modif])=Final_Sans_VGE[[#This Row],[date_modif]],
      "Ancien",
      "Modifié"),
   "Nouveau"))</f>
        <v>Ancien</v>
      </c>
      <c r="AC903"/>
      <c r="AD903"/>
    </row>
    <row r="904" spans="1:30" x14ac:dyDescent="0.25">
      <c r="A904" s="5" t="s">
        <v>2876</v>
      </c>
      <c r="B904" s="1" t="s">
        <v>8095</v>
      </c>
      <c r="C904" s="1" t="s">
        <v>32</v>
      </c>
      <c r="J904" s="3">
        <v>45672.479097222225</v>
      </c>
      <c r="L904" s="1">
        <v>1</v>
      </c>
      <c r="M904" s="1">
        <v>1</v>
      </c>
      <c r="N904">
        <v>0</v>
      </c>
      <c r="O904" s="3">
        <f>IF(
    R904="Ancien",
    _xlfn.XLOOKUP(
        Final_Sans_VGE[[#This Row],[ppn_z]],
        tbl_Historique_Final[ppn_z],
        tbl_Historique_Final[Horodatage],
        ""
    ),
    Horodatage!$A$2
)</f>
        <v>46233.670796365739</v>
      </c>
      <c r="P904" s="1" t="str">
        <f>IFERROR(IF(tbl_Historique_Final[[#This Row],[Commentaires]]&lt;&gt;"",tbl_Historique_Final[[#This Row],[Commentaires]],""),"")</f>
        <v/>
      </c>
      <c r="X904" s="8" t="str">
        <f>IF(Final_Sans_VGE[[#This Row],[ppn_z]]="","",IFERROR(
   IF(_xlfn.XLOOKUP(Final_Sans_VGE[[#This Row],[ppn_z]],tbl_Historique_Final[ppn_z],tbl_Historique_Final[date_modif])=Final_Sans_VGE[[#This Row],[date_modif]],
      "Ancien",
      "Modifié"),
   "Nouveau"))</f>
        <v>Ancien</v>
      </c>
      <c r="AC904"/>
      <c r="AD904"/>
    </row>
    <row r="905" spans="1:30" ht="30" x14ac:dyDescent="0.25">
      <c r="A905" s="5" t="s">
        <v>2879</v>
      </c>
      <c r="B905" s="1" t="s">
        <v>8096</v>
      </c>
      <c r="C905" s="1" t="s">
        <v>12</v>
      </c>
      <c r="G905" s="1" t="s">
        <v>10</v>
      </c>
      <c r="J905" s="3">
        <v>45891.666701388887</v>
      </c>
      <c r="K905" s="2" t="s">
        <v>8097</v>
      </c>
      <c r="L905" s="1">
        <v>8</v>
      </c>
      <c r="M905" s="1">
        <v>9</v>
      </c>
      <c r="N905">
        <v>1</v>
      </c>
      <c r="O905" s="3">
        <f>IF(
    R905="Ancien",
    _xlfn.XLOOKUP(
        Final_Sans_VGE[[#This Row],[ppn_z]],
        tbl_Historique_Final[ppn_z],
        tbl_Historique_Final[Horodatage],
        ""
    ),
    Horodatage!$A$2
)</f>
        <v>46233.670796365739</v>
      </c>
      <c r="P905" s="1" t="str">
        <f>IFERROR(IF(tbl_Historique_Final[[#This Row],[Commentaires]]&lt;&gt;"",tbl_Historique_Final[[#This Row],[Commentaires]],""),"")</f>
        <v/>
      </c>
      <c r="X905" s="8" t="str">
        <f>IF(Final_Sans_VGE[[#This Row],[ppn_z]]="","",IFERROR(
   IF(_xlfn.XLOOKUP(Final_Sans_VGE[[#This Row],[ppn_z]],tbl_Historique_Final[ppn_z],tbl_Historique_Final[date_modif])=Final_Sans_VGE[[#This Row],[date_modif]],
      "Ancien",
      "Modifié"),
   "Nouveau"))</f>
        <v>Ancien</v>
      </c>
      <c r="AC905"/>
      <c r="AD905"/>
    </row>
    <row r="906" spans="1:30" x14ac:dyDescent="0.25">
      <c r="A906" s="5" t="s">
        <v>2882</v>
      </c>
      <c r="B906" s="1" t="s">
        <v>8098</v>
      </c>
      <c r="C906" s="1" t="s">
        <v>39</v>
      </c>
      <c r="G906" s="1" t="s">
        <v>10</v>
      </c>
      <c r="J906" s="3">
        <v>45898.414085648146</v>
      </c>
      <c r="K906" s="2" t="s">
        <v>8099</v>
      </c>
      <c r="L906" s="1">
        <v>5</v>
      </c>
      <c r="M906" s="1">
        <v>14</v>
      </c>
      <c r="N906">
        <v>9</v>
      </c>
      <c r="O906" s="3">
        <f>IF(
    R906="Ancien",
    _xlfn.XLOOKUP(
        Final_Sans_VGE[[#This Row],[ppn_z]],
        tbl_Historique_Final[ppn_z],
        tbl_Historique_Final[Horodatage],
        ""
    ),
    Horodatage!$A$2
)</f>
        <v>46233.670796365739</v>
      </c>
      <c r="P906" s="1" t="str">
        <f>IFERROR(IF(tbl_Historique_Final[[#This Row],[Commentaires]]&lt;&gt;"",tbl_Historique_Final[[#This Row],[Commentaires]],""),"")</f>
        <v/>
      </c>
      <c r="X906" s="8" t="str">
        <f>IF(Final_Sans_VGE[[#This Row],[ppn_z]]="","",IFERROR(
   IF(_xlfn.XLOOKUP(Final_Sans_VGE[[#This Row],[ppn_z]],tbl_Historique_Final[ppn_z],tbl_Historique_Final[date_modif])=Final_Sans_VGE[[#This Row],[date_modif]],
      "Ancien",
      "Modifié"),
   "Nouveau"))</f>
        <v>Ancien</v>
      </c>
      <c r="AC906"/>
      <c r="AD906"/>
    </row>
    <row r="907" spans="1:30" ht="30" x14ac:dyDescent="0.25">
      <c r="A907" s="5" t="s">
        <v>2885</v>
      </c>
      <c r="B907" s="1" t="s">
        <v>8100</v>
      </c>
      <c r="C907" s="1" t="s">
        <v>12</v>
      </c>
      <c r="G907" s="1" t="s">
        <v>11</v>
      </c>
      <c r="J907" s="3">
        <v>45839.585486111115</v>
      </c>
      <c r="K907" s="2" t="s">
        <v>8101</v>
      </c>
      <c r="L907" s="1">
        <v>6</v>
      </c>
      <c r="M907" s="1">
        <v>15</v>
      </c>
      <c r="N907">
        <v>9</v>
      </c>
      <c r="O907" s="3">
        <f>IF(
    R907="Ancien",
    _xlfn.XLOOKUP(
        Final_Sans_VGE[[#This Row],[ppn_z]],
        tbl_Historique_Final[ppn_z],
        tbl_Historique_Final[Horodatage],
        ""
    ),
    Horodatage!$A$2
)</f>
        <v>46233.670796365739</v>
      </c>
      <c r="P907" s="1" t="str">
        <f>IFERROR(IF(tbl_Historique_Final[[#This Row],[Commentaires]]&lt;&gt;"",tbl_Historique_Final[[#This Row],[Commentaires]],""),"")</f>
        <v/>
      </c>
      <c r="X907" s="8" t="str">
        <f>IF(Final_Sans_VGE[[#This Row],[ppn_z]]="","",IFERROR(
   IF(_xlfn.XLOOKUP(Final_Sans_VGE[[#This Row],[ppn_z]],tbl_Historique_Final[ppn_z],tbl_Historique_Final[date_modif])=Final_Sans_VGE[[#This Row],[date_modif]],
      "Ancien",
      "Modifié"),
   "Nouveau"))</f>
        <v>Ancien</v>
      </c>
      <c r="AC907"/>
      <c r="AD907"/>
    </row>
    <row r="908" spans="1:30" x14ac:dyDescent="0.25">
      <c r="A908" s="5" t="s">
        <v>2888</v>
      </c>
      <c r="B908" s="1" t="s">
        <v>8102</v>
      </c>
      <c r="C908" s="1" t="s">
        <v>161</v>
      </c>
      <c r="J908" s="3">
        <v>45678.483101851853</v>
      </c>
      <c r="L908" s="1">
        <v>1</v>
      </c>
      <c r="M908" s="1">
        <v>1</v>
      </c>
      <c r="N908">
        <v>0</v>
      </c>
      <c r="O908" s="3">
        <f>IF(
    R908="Ancien",
    _xlfn.XLOOKUP(
        Final_Sans_VGE[[#This Row],[ppn_z]],
        tbl_Historique_Final[ppn_z],
        tbl_Historique_Final[Horodatage],
        ""
    ),
    Horodatage!$A$2
)</f>
        <v>46233.670796365739</v>
      </c>
      <c r="P908" s="1" t="str">
        <f>IFERROR(IF(tbl_Historique_Final[[#This Row],[Commentaires]]&lt;&gt;"",tbl_Historique_Final[[#This Row],[Commentaires]],""),"")</f>
        <v/>
      </c>
      <c r="X908" s="8" t="str">
        <f>IF(Final_Sans_VGE[[#This Row],[ppn_z]]="","",IFERROR(
   IF(_xlfn.XLOOKUP(Final_Sans_VGE[[#This Row],[ppn_z]],tbl_Historique_Final[ppn_z],tbl_Historique_Final[date_modif])=Final_Sans_VGE[[#This Row],[date_modif]],
      "Ancien",
      "Modifié"),
   "Nouveau"))</f>
        <v>Ancien</v>
      </c>
      <c r="AC908"/>
      <c r="AD908"/>
    </row>
    <row r="909" spans="1:30" x14ac:dyDescent="0.25">
      <c r="A909" s="5" t="s">
        <v>2891</v>
      </c>
      <c r="B909" s="1" t="s">
        <v>8103</v>
      </c>
      <c r="C909" s="1" t="s">
        <v>52</v>
      </c>
      <c r="E909" s="1" t="s">
        <v>87</v>
      </c>
      <c r="J909" s="3">
        <v>45875.519861111112</v>
      </c>
      <c r="K909" s="2" t="s">
        <v>8104</v>
      </c>
      <c r="L909" s="1">
        <v>4</v>
      </c>
      <c r="M909" s="1">
        <v>7</v>
      </c>
      <c r="N909">
        <v>3</v>
      </c>
      <c r="O909" s="3">
        <f>IF(
    R909="Ancien",
    _xlfn.XLOOKUP(
        Final_Sans_VGE[[#This Row],[ppn_z]],
        tbl_Historique_Final[ppn_z],
        tbl_Historique_Final[Horodatage],
        ""
    ),
    Horodatage!$A$2
)</f>
        <v>46233.670796365739</v>
      </c>
      <c r="P909" s="1" t="str">
        <f>IFERROR(IF(tbl_Historique_Final[[#This Row],[Commentaires]]&lt;&gt;"",tbl_Historique_Final[[#This Row],[Commentaires]],""),"")</f>
        <v/>
      </c>
      <c r="X909" s="8" t="str">
        <f>IF(Final_Sans_VGE[[#This Row],[ppn_z]]="","",IFERROR(
   IF(_xlfn.XLOOKUP(Final_Sans_VGE[[#This Row],[ppn_z]],tbl_Historique_Final[ppn_z],tbl_Historique_Final[date_modif])=Final_Sans_VGE[[#This Row],[date_modif]],
      "Ancien",
      "Modifié"),
   "Nouveau"))</f>
        <v>Ancien</v>
      </c>
      <c r="AC909"/>
      <c r="AD909"/>
    </row>
    <row r="910" spans="1:30" x14ac:dyDescent="0.25">
      <c r="A910" s="5" t="s">
        <v>2894</v>
      </c>
      <c r="B910" s="1" t="s">
        <v>8105</v>
      </c>
      <c r="C910" s="1" t="s">
        <v>76</v>
      </c>
      <c r="G910" s="1" t="s">
        <v>10</v>
      </c>
      <c r="J910" s="3">
        <v>45877.620648148149</v>
      </c>
      <c r="K910" s="2" t="s">
        <v>8106</v>
      </c>
      <c r="L910" s="1">
        <v>1</v>
      </c>
      <c r="M910" s="1">
        <v>1</v>
      </c>
      <c r="N910">
        <v>0</v>
      </c>
      <c r="O910" s="3">
        <f>IF(
    R910="Ancien",
    _xlfn.XLOOKUP(
        Final_Sans_VGE[[#This Row],[ppn_z]],
        tbl_Historique_Final[ppn_z],
        tbl_Historique_Final[Horodatage],
        ""
    ),
    Horodatage!$A$2
)</f>
        <v>46233.670796365739</v>
      </c>
      <c r="P910" s="1" t="str">
        <f>IFERROR(IF(tbl_Historique_Final[[#This Row],[Commentaires]]&lt;&gt;"",tbl_Historique_Final[[#This Row],[Commentaires]],""),"")</f>
        <v/>
      </c>
      <c r="X910" s="8" t="str">
        <f>IF(Final_Sans_VGE[[#This Row],[ppn_z]]="","",IFERROR(
   IF(_xlfn.XLOOKUP(Final_Sans_VGE[[#This Row],[ppn_z]],tbl_Historique_Final[ppn_z],tbl_Historique_Final[date_modif])=Final_Sans_VGE[[#This Row],[date_modif]],
      "Ancien",
      "Modifié"),
   "Nouveau"))</f>
        <v>Ancien</v>
      </c>
      <c r="AC910"/>
      <c r="AD910"/>
    </row>
    <row r="911" spans="1:30" x14ac:dyDescent="0.25">
      <c r="A911" s="5" t="s">
        <v>2897</v>
      </c>
      <c r="B911" s="1" t="s">
        <v>8107</v>
      </c>
      <c r="C911" s="1" t="s">
        <v>55</v>
      </c>
      <c r="D911" s="1" t="s">
        <v>14</v>
      </c>
      <c r="G911" s="1" t="s">
        <v>10</v>
      </c>
      <c r="H911" s="1" t="s">
        <v>22</v>
      </c>
      <c r="I911" s="1" t="s">
        <v>22</v>
      </c>
      <c r="J911" s="3">
        <v>45842.457418981481</v>
      </c>
      <c r="K911" s="2" t="s">
        <v>6492</v>
      </c>
      <c r="L911" s="1">
        <v>59</v>
      </c>
      <c r="M911" s="1">
        <v>67</v>
      </c>
      <c r="N911">
        <v>8</v>
      </c>
      <c r="O911" s="3">
        <f>IF(
    R911="Ancien",
    _xlfn.XLOOKUP(
        Final_Sans_VGE[[#This Row],[ppn_z]],
        tbl_Historique_Final[ppn_z],
        tbl_Historique_Final[Horodatage],
        ""
    ),
    Horodatage!$A$2
)</f>
        <v>46233.670796365739</v>
      </c>
      <c r="P911" s="1" t="str">
        <f>IFERROR(IF(tbl_Historique_Final[[#This Row],[Commentaires]]&lt;&gt;"",tbl_Historique_Final[[#This Row],[Commentaires]],""),"")</f>
        <v/>
      </c>
      <c r="X911" s="8" t="str">
        <f>IF(Final_Sans_VGE[[#This Row],[ppn_z]]="","",IFERROR(
   IF(_xlfn.XLOOKUP(Final_Sans_VGE[[#This Row],[ppn_z]],tbl_Historique_Final[ppn_z],tbl_Historique_Final[date_modif])=Final_Sans_VGE[[#This Row],[date_modif]],
      "Ancien",
      "Modifié"),
   "Nouveau"))</f>
        <v>Ancien</v>
      </c>
      <c r="AC911"/>
      <c r="AD911"/>
    </row>
    <row r="912" spans="1:30" ht="45" x14ac:dyDescent="0.25">
      <c r="A912" s="5" t="s">
        <v>2900</v>
      </c>
      <c r="B912" s="1" t="s">
        <v>8108</v>
      </c>
      <c r="C912" s="1" t="s">
        <v>12</v>
      </c>
      <c r="G912" s="1" t="s">
        <v>11</v>
      </c>
      <c r="J912" s="3">
        <v>45903.505312499998</v>
      </c>
      <c r="K912" s="2" t="s">
        <v>8109</v>
      </c>
      <c r="L912" s="1">
        <v>1</v>
      </c>
      <c r="M912" s="1">
        <v>1</v>
      </c>
      <c r="N912">
        <v>0</v>
      </c>
      <c r="O912" s="3">
        <f>IF(
    R912="Ancien",
    _xlfn.XLOOKUP(
        Final_Sans_VGE[[#This Row],[ppn_z]],
        tbl_Historique_Final[ppn_z],
        tbl_Historique_Final[Horodatage],
        ""
    ),
    Horodatage!$A$2
)</f>
        <v>46233.670796365739</v>
      </c>
      <c r="P912" s="1" t="str">
        <f>IFERROR(IF(tbl_Historique_Final[[#This Row],[Commentaires]]&lt;&gt;"",tbl_Historique_Final[[#This Row],[Commentaires]],""),"")</f>
        <v/>
      </c>
      <c r="X912" s="8" t="str">
        <f>IF(Final_Sans_VGE[[#This Row],[ppn_z]]="","",IFERROR(
   IF(_xlfn.XLOOKUP(Final_Sans_VGE[[#This Row],[ppn_z]],tbl_Historique_Final[ppn_z],tbl_Historique_Final[date_modif])=Final_Sans_VGE[[#This Row],[date_modif]],
      "Ancien",
      "Modifié"),
   "Nouveau"))</f>
        <v>Ancien</v>
      </c>
      <c r="AC912"/>
      <c r="AD912"/>
    </row>
    <row r="913" spans="1:30" ht="60" x14ac:dyDescent="0.25">
      <c r="A913" s="5" t="s">
        <v>2903</v>
      </c>
      <c r="B913" s="1" t="s">
        <v>8110</v>
      </c>
      <c r="C913" s="1" t="s">
        <v>69</v>
      </c>
      <c r="D913" s="1" t="s">
        <v>8111</v>
      </c>
      <c r="H913" s="1" t="s">
        <v>22</v>
      </c>
      <c r="I913" s="1" t="s">
        <v>22</v>
      </c>
      <c r="J913" s="3">
        <v>45929.607094907406</v>
      </c>
      <c r="K913" s="2" t="s">
        <v>8112</v>
      </c>
      <c r="L913" s="1">
        <v>66</v>
      </c>
      <c r="M913" s="1">
        <v>70</v>
      </c>
      <c r="N913">
        <v>4</v>
      </c>
      <c r="O913" s="3">
        <f>IF(
    R913="Ancien",
    _xlfn.XLOOKUP(
        Final_Sans_VGE[[#This Row],[ppn_z]],
        tbl_Historique_Final[ppn_z],
        tbl_Historique_Final[Horodatage],
        ""
    ),
    Horodatage!$A$2
)</f>
        <v>46233.670796365739</v>
      </c>
      <c r="P913" s="1" t="str">
        <f>IFERROR(IF(tbl_Historique_Final[[#This Row],[Commentaires]]&lt;&gt;"",tbl_Historique_Final[[#This Row],[Commentaires]],""),"")</f>
        <v/>
      </c>
      <c r="X913" s="8" t="str">
        <f>IF(Final_Sans_VGE[[#This Row],[ppn_z]]="","",IFERROR(
   IF(_xlfn.XLOOKUP(Final_Sans_VGE[[#This Row],[ppn_z]],tbl_Historique_Final[ppn_z],tbl_Historique_Final[date_modif])=Final_Sans_VGE[[#This Row],[date_modif]],
      "Ancien",
      "Modifié"),
   "Nouveau"))</f>
        <v>Ancien</v>
      </c>
      <c r="AC913"/>
      <c r="AD913"/>
    </row>
    <row r="914" spans="1:30" ht="30" x14ac:dyDescent="0.25">
      <c r="A914" s="5" t="s">
        <v>2906</v>
      </c>
      <c r="B914" s="1" t="s">
        <v>8113</v>
      </c>
      <c r="C914" s="1" t="s">
        <v>85</v>
      </c>
      <c r="D914" s="1" t="s">
        <v>14</v>
      </c>
      <c r="H914" s="1" t="s">
        <v>22</v>
      </c>
      <c r="I914" s="1" t="s">
        <v>22</v>
      </c>
      <c r="J914" s="3">
        <v>45908.47760416667</v>
      </c>
      <c r="K914" s="2" t="s">
        <v>8114</v>
      </c>
      <c r="L914" s="1">
        <v>8</v>
      </c>
      <c r="M914" s="1">
        <v>10</v>
      </c>
      <c r="N914">
        <v>2</v>
      </c>
      <c r="O914" s="3">
        <f>IF(
    R914="Ancien",
    _xlfn.XLOOKUP(
        Final_Sans_VGE[[#This Row],[ppn_z]],
        tbl_Historique_Final[ppn_z],
        tbl_Historique_Final[Horodatage],
        ""
    ),
    Horodatage!$A$2
)</f>
        <v>46233.670796365739</v>
      </c>
      <c r="P914" s="1" t="str">
        <f>IFERROR(IF(tbl_Historique_Final[[#This Row],[Commentaires]]&lt;&gt;"",tbl_Historique_Final[[#This Row],[Commentaires]],""),"")</f>
        <v/>
      </c>
      <c r="X914" s="8" t="str">
        <f>IF(Final_Sans_VGE[[#This Row],[ppn_z]]="","",IFERROR(
   IF(_xlfn.XLOOKUP(Final_Sans_VGE[[#This Row],[ppn_z]],tbl_Historique_Final[ppn_z],tbl_Historique_Final[date_modif])=Final_Sans_VGE[[#This Row],[date_modif]],
      "Ancien",
      "Modifié"),
   "Nouveau"))</f>
        <v>Ancien</v>
      </c>
      <c r="AC914"/>
      <c r="AD914"/>
    </row>
    <row r="915" spans="1:30" ht="30" x14ac:dyDescent="0.25">
      <c r="A915" s="5" t="s">
        <v>2909</v>
      </c>
      <c r="B915" s="1" t="s">
        <v>8115</v>
      </c>
      <c r="C915" s="1" t="s">
        <v>12</v>
      </c>
      <c r="G915" s="1" t="s">
        <v>10</v>
      </c>
      <c r="J915" s="3">
        <v>45939.406736111108</v>
      </c>
      <c r="K915" s="2" t="s">
        <v>8116</v>
      </c>
      <c r="L915" s="1">
        <v>1</v>
      </c>
      <c r="M915" s="1">
        <v>1</v>
      </c>
      <c r="N915">
        <v>0</v>
      </c>
      <c r="O915" s="3">
        <f>IF(
    R915="Ancien",
    _xlfn.XLOOKUP(
        Final_Sans_VGE[[#This Row],[ppn_z]],
        tbl_Historique_Final[ppn_z],
        tbl_Historique_Final[Horodatage],
        ""
    ),
    Horodatage!$A$2
)</f>
        <v>46233.670796365739</v>
      </c>
      <c r="P915" s="1" t="str">
        <f>IFERROR(IF(tbl_Historique_Final[[#This Row],[Commentaires]]&lt;&gt;"",tbl_Historique_Final[[#This Row],[Commentaires]],""),"")</f>
        <v/>
      </c>
      <c r="X915" s="8" t="str">
        <f>IF(Final_Sans_VGE[[#This Row],[ppn_z]]="","",IFERROR(
   IF(_xlfn.XLOOKUP(Final_Sans_VGE[[#This Row],[ppn_z]],tbl_Historique_Final[ppn_z],tbl_Historique_Final[date_modif])=Final_Sans_VGE[[#This Row],[date_modif]],
      "Ancien",
      "Modifié"),
   "Nouveau"))</f>
        <v>Ancien</v>
      </c>
      <c r="AC915"/>
      <c r="AD915"/>
    </row>
    <row r="916" spans="1:30" x14ac:dyDescent="0.25">
      <c r="A916" s="5" t="s">
        <v>2912</v>
      </c>
      <c r="B916" s="1" t="s">
        <v>8117</v>
      </c>
      <c r="C916" s="1" t="s">
        <v>58</v>
      </c>
      <c r="J916" s="3">
        <v>45678.674699074072</v>
      </c>
      <c r="L916" s="1">
        <v>1</v>
      </c>
      <c r="M916" s="1">
        <v>1</v>
      </c>
      <c r="N916">
        <v>0</v>
      </c>
      <c r="O916" s="3">
        <f>IF(
    R916="Ancien",
    _xlfn.XLOOKUP(
        Final_Sans_VGE[[#This Row],[ppn_z]],
        tbl_Historique_Final[ppn_z],
        tbl_Historique_Final[Horodatage],
        ""
    ),
    Horodatage!$A$2
)</f>
        <v>46233.670796365739</v>
      </c>
      <c r="P916" s="1" t="str">
        <f>IFERROR(IF(tbl_Historique_Final[[#This Row],[Commentaires]]&lt;&gt;"",tbl_Historique_Final[[#This Row],[Commentaires]],""),"")</f>
        <v/>
      </c>
      <c r="X916" s="8" t="str">
        <f>IF(Final_Sans_VGE[[#This Row],[ppn_z]]="","",IFERROR(
   IF(_xlfn.XLOOKUP(Final_Sans_VGE[[#This Row],[ppn_z]],tbl_Historique_Final[ppn_z],tbl_Historique_Final[date_modif])=Final_Sans_VGE[[#This Row],[date_modif]],
      "Ancien",
      "Modifié"),
   "Nouveau"))</f>
        <v>Ancien</v>
      </c>
      <c r="AC916"/>
      <c r="AD916"/>
    </row>
    <row r="917" spans="1:30" ht="75" x14ac:dyDescent="0.25">
      <c r="A917" s="5" t="s">
        <v>2915</v>
      </c>
      <c r="B917" s="1" t="s">
        <v>8118</v>
      </c>
      <c r="C917" s="1" t="s">
        <v>89</v>
      </c>
      <c r="D917" s="1" t="s">
        <v>8119</v>
      </c>
      <c r="G917" s="1" t="s">
        <v>10</v>
      </c>
      <c r="H917" s="1" t="s">
        <v>22</v>
      </c>
      <c r="I917" s="1" t="s">
        <v>22</v>
      </c>
      <c r="J917" s="3">
        <v>45904.371099537035</v>
      </c>
      <c r="K917" s="2" t="s">
        <v>8120</v>
      </c>
      <c r="L917" s="1">
        <v>42</v>
      </c>
      <c r="M917" s="1">
        <v>42</v>
      </c>
      <c r="N917">
        <v>0</v>
      </c>
      <c r="O917" s="3">
        <f>IF(
    R917="Ancien",
    _xlfn.XLOOKUP(
        Final_Sans_VGE[[#This Row],[ppn_z]],
        tbl_Historique_Final[ppn_z],
        tbl_Historique_Final[Horodatage],
        ""
    ),
    Horodatage!$A$2
)</f>
        <v>46233.670796365739</v>
      </c>
      <c r="P917" s="1" t="str">
        <f>IFERROR(IF(tbl_Historique_Final[[#This Row],[Commentaires]]&lt;&gt;"",tbl_Historique_Final[[#This Row],[Commentaires]],""),"")</f>
        <v/>
      </c>
      <c r="X917" s="8" t="str">
        <f>IF(Final_Sans_VGE[[#This Row],[ppn_z]]="","",IFERROR(
   IF(_xlfn.XLOOKUP(Final_Sans_VGE[[#This Row],[ppn_z]],tbl_Historique_Final[ppn_z],tbl_Historique_Final[date_modif])=Final_Sans_VGE[[#This Row],[date_modif]],
      "Ancien",
      "Modifié"),
   "Nouveau"))</f>
        <v>Ancien</v>
      </c>
      <c r="AC917"/>
      <c r="AD917"/>
    </row>
    <row r="918" spans="1:30" ht="45" x14ac:dyDescent="0.25">
      <c r="A918" s="5" t="s">
        <v>2918</v>
      </c>
      <c r="B918" s="1" t="s">
        <v>8121</v>
      </c>
      <c r="C918" s="1" t="s">
        <v>92</v>
      </c>
      <c r="E918" s="1" t="s">
        <v>108</v>
      </c>
      <c r="G918" s="1" t="s">
        <v>10</v>
      </c>
      <c r="J918" s="3">
        <v>45849.368981481479</v>
      </c>
      <c r="K918" s="2" t="s">
        <v>8122</v>
      </c>
      <c r="L918" s="1">
        <v>2</v>
      </c>
      <c r="M918" s="1">
        <v>2</v>
      </c>
      <c r="N918">
        <v>0</v>
      </c>
      <c r="O918" s="3">
        <f>IF(
    R918="Ancien",
    _xlfn.XLOOKUP(
        Final_Sans_VGE[[#This Row],[ppn_z]],
        tbl_Historique_Final[ppn_z],
        tbl_Historique_Final[Horodatage],
        ""
    ),
    Horodatage!$A$2
)</f>
        <v>46233.670796365739</v>
      </c>
      <c r="P918" s="1" t="str">
        <f>IFERROR(IF(tbl_Historique_Final[[#This Row],[Commentaires]]&lt;&gt;"",tbl_Historique_Final[[#This Row],[Commentaires]],""),"")</f>
        <v/>
      </c>
      <c r="X918" s="8" t="str">
        <f>IF(Final_Sans_VGE[[#This Row],[ppn_z]]="","",IFERROR(
   IF(_xlfn.XLOOKUP(Final_Sans_VGE[[#This Row],[ppn_z]],tbl_Historique_Final[ppn_z],tbl_Historique_Final[date_modif])=Final_Sans_VGE[[#This Row],[date_modif]],
      "Ancien",
      "Modifié"),
   "Nouveau"))</f>
        <v>Ancien</v>
      </c>
      <c r="AC918"/>
      <c r="AD918"/>
    </row>
    <row r="919" spans="1:30" x14ac:dyDescent="0.25">
      <c r="A919" s="5" t="s">
        <v>2921</v>
      </c>
      <c r="B919" s="1" t="s">
        <v>8123</v>
      </c>
      <c r="C919" s="1" t="s">
        <v>12</v>
      </c>
      <c r="G919" s="1" t="s">
        <v>11</v>
      </c>
      <c r="J919" s="3">
        <v>45909.389236111114</v>
      </c>
      <c r="K919" s="2" t="s">
        <v>8124</v>
      </c>
      <c r="L919" s="1">
        <v>1</v>
      </c>
      <c r="M919" s="1">
        <v>1</v>
      </c>
      <c r="N919">
        <v>0</v>
      </c>
      <c r="O919" s="3">
        <f>IF(
    R919="Ancien",
    _xlfn.XLOOKUP(
        Final_Sans_VGE[[#This Row],[ppn_z]],
        tbl_Historique_Final[ppn_z],
        tbl_Historique_Final[Horodatage],
        ""
    ),
    Horodatage!$A$2
)</f>
        <v>46233.670796365739</v>
      </c>
      <c r="P919" s="1" t="str">
        <f>IFERROR(IF(tbl_Historique_Final[[#This Row],[Commentaires]]&lt;&gt;"",tbl_Historique_Final[[#This Row],[Commentaires]],""),"")</f>
        <v/>
      </c>
      <c r="X919" s="8" t="str">
        <f>IF(Final_Sans_VGE[[#This Row],[ppn_z]]="","",IFERROR(
   IF(_xlfn.XLOOKUP(Final_Sans_VGE[[#This Row],[ppn_z]],tbl_Historique_Final[ppn_z],tbl_Historique_Final[date_modif])=Final_Sans_VGE[[#This Row],[date_modif]],
      "Ancien",
      "Modifié"),
   "Nouveau"))</f>
        <v>Ancien</v>
      </c>
      <c r="AC919"/>
      <c r="AD919"/>
    </row>
    <row r="920" spans="1:30" x14ac:dyDescent="0.25">
      <c r="A920" s="5" t="s">
        <v>2924</v>
      </c>
      <c r="B920" s="1" t="s">
        <v>8125</v>
      </c>
      <c r="C920" s="1" t="s">
        <v>6406</v>
      </c>
      <c r="J920" s="3">
        <v>45680.435995370368</v>
      </c>
      <c r="L920" s="1">
        <v>7</v>
      </c>
      <c r="M920" s="1">
        <v>8</v>
      </c>
      <c r="N920">
        <v>1</v>
      </c>
      <c r="O920" s="3">
        <f>IF(
    R920="Ancien",
    _xlfn.XLOOKUP(
        Final_Sans_VGE[[#This Row],[ppn_z]],
        tbl_Historique_Final[ppn_z],
        tbl_Historique_Final[Horodatage],
        ""
    ),
    Horodatage!$A$2
)</f>
        <v>46233.670796365739</v>
      </c>
      <c r="P920" s="1" t="str">
        <f>IFERROR(IF(tbl_Historique_Final[[#This Row],[Commentaires]]&lt;&gt;"",tbl_Historique_Final[[#This Row],[Commentaires]],""),"")</f>
        <v/>
      </c>
      <c r="X920" s="8" t="str">
        <f>IF(Final_Sans_VGE[[#This Row],[ppn_z]]="","",IFERROR(
   IF(_xlfn.XLOOKUP(Final_Sans_VGE[[#This Row],[ppn_z]],tbl_Historique_Final[ppn_z],tbl_Historique_Final[date_modif])=Final_Sans_VGE[[#This Row],[date_modif]],
      "Ancien",
      "Modifié"),
   "Nouveau"))</f>
        <v>Ancien</v>
      </c>
      <c r="AC920"/>
      <c r="AD920"/>
    </row>
    <row r="921" spans="1:30" ht="30" x14ac:dyDescent="0.25">
      <c r="A921" s="5" t="s">
        <v>2927</v>
      </c>
      <c r="B921" s="1" t="s">
        <v>8126</v>
      </c>
      <c r="C921" s="1" t="s">
        <v>12</v>
      </c>
      <c r="J921" s="3">
        <v>45890.377627314818</v>
      </c>
      <c r="K921" s="2" t="s">
        <v>8127</v>
      </c>
      <c r="L921" s="1">
        <v>2</v>
      </c>
      <c r="M921" s="1">
        <v>2</v>
      </c>
      <c r="N921">
        <v>0</v>
      </c>
      <c r="O921" s="3">
        <f>IF(
    R921="Ancien",
    _xlfn.XLOOKUP(
        Final_Sans_VGE[[#This Row],[ppn_z]],
        tbl_Historique_Final[ppn_z],
        tbl_Historique_Final[Horodatage],
        ""
    ),
    Horodatage!$A$2
)</f>
        <v>46233.670796365739</v>
      </c>
      <c r="P921" s="1" t="str">
        <f>IFERROR(IF(tbl_Historique_Final[[#This Row],[Commentaires]]&lt;&gt;"",tbl_Historique_Final[[#This Row],[Commentaires]],""),"")</f>
        <v/>
      </c>
      <c r="X921" s="8" t="str">
        <f>IF(Final_Sans_VGE[[#This Row],[ppn_z]]="","",IFERROR(
   IF(_xlfn.XLOOKUP(Final_Sans_VGE[[#This Row],[ppn_z]],tbl_Historique_Final[ppn_z],tbl_Historique_Final[date_modif])=Final_Sans_VGE[[#This Row],[date_modif]],
      "Ancien",
      "Modifié"),
   "Nouveau"))</f>
        <v>Ancien</v>
      </c>
      <c r="AC921"/>
      <c r="AD921"/>
    </row>
    <row r="922" spans="1:30" x14ac:dyDescent="0.25">
      <c r="A922" s="5" t="s">
        <v>2930</v>
      </c>
      <c r="B922" s="1" t="s">
        <v>8128</v>
      </c>
      <c r="C922" s="1" t="s">
        <v>80</v>
      </c>
      <c r="G922" s="1" t="s">
        <v>10</v>
      </c>
      <c r="J922" s="3">
        <v>45944.555393518516</v>
      </c>
      <c r="K922" s="2" t="s">
        <v>8129</v>
      </c>
      <c r="L922" s="1">
        <v>6</v>
      </c>
      <c r="M922" s="1">
        <v>9</v>
      </c>
      <c r="N922">
        <v>3</v>
      </c>
      <c r="O922" s="3">
        <f>IF(
    R922="Ancien",
    _xlfn.XLOOKUP(
        Final_Sans_VGE[[#This Row],[ppn_z]],
        tbl_Historique_Final[ppn_z],
        tbl_Historique_Final[Horodatage],
        ""
    ),
    Horodatage!$A$2
)</f>
        <v>46233.670796365739</v>
      </c>
      <c r="P922" s="1" t="str">
        <f>IFERROR(IF(tbl_Historique_Final[[#This Row],[Commentaires]]&lt;&gt;"",tbl_Historique_Final[[#This Row],[Commentaires]],""),"")</f>
        <v/>
      </c>
      <c r="X922" s="8" t="str">
        <f>IF(Final_Sans_VGE[[#This Row],[ppn_z]]="","",IFERROR(
   IF(_xlfn.XLOOKUP(Final_Sans_VGE[[#This Row],[ppn_z]],tbl_Historique_Final[ppn_z],tbl_Historique_Final[date_modif])=Final_Sans_VGE[[#This Row],[date_modif]],
      "Ancien",
      "Modifié"),
   "Nouveau"))</f>
        <v>Ancien</v>
      </c>
      <c r="AC922"/>
      <c r="AD922"/>
    </row>
    <row r="923" spans="1:30" x14ac:dyDescent="0.25">
      <c r="A923" s="5" t="s">
        <v>2933</v>
      </c>
      <c r="B923" s="1" t="s">
        <v>8130</v>
      </c>
      <c r="C923" s="1" t="s">
        <v>6694</v>
      </c>
      <c r="J923" s="3">
        <v>45681.377685185187</v>
      </c>
      <c r="L923" s="1">
        <v>3</v>
      </c>
      <c r="M923" s="1">
        <v>5</v>
      </c>
      <c r="N923">
        <v>2</v>
      </c>
      <c r="O923" s="3">
        <f>IF(
    R923="Ancien",
    _xlfn.XLOOKUP(
        Final_Sans_VGE[[#This Row],[ppn_z]],
        tbl_Historique_Final[ppn_z],
        tbl_Historique_Final[Horodatage],
        ""
    ),
    Horodatage!$A$2
)</f>
        <v>46233.670796365739</v>
      </c>
      <c r="P923" s="1" t="str">
        <f>IFERROR(IF(tbl_Historique_Final[[#This Row],[Commentaires]]&lt;&gt;"",tbl_Historique_Final[[#This Row],[Commentaires]],""),"")</f>
        <v/>
      </c>
      <c r="X923" s="8" t="str">
        <f>IF(Final_Sans_VGE[[#This Row],[ppn_z]]="","",IFERROR(
   IF(_xlfn.XLOOKUP(Final_Sans_VGE[[#This Row],[ppn_z]],tbl_Historique_Final[ppn_z],tbl_Historique_Final[date_modif])=Final_Sans_VGE[[#This Row],[date_modif]],
      "Ancien",
      "Modifié"),
   "Nouveau"))</f>
        <v>Ancien</v>
      </c>
      <c r="AC923"/>
      <c r="AD923"/>
    </row>
    <row r="924" spans="1:30" ht="30" x14ac:dyDescent="0.25">
      <c r="A924" s="5" t="s">
        <v>2936</v>
      </c>
      <c r="B924" s="1" t="s">
        <v>8131</v>
      </c>
      <c r="C924" s="1" t="s">
        <v>12</v>
      </c>
      <c r="G924" s="1" t="s">
        <v>11</v>
      </c>
      <c r="J924" s="3">
        <v>45902.610520833332</v>
      </c>
      <c r="K924" s="2" t="s">
        <v>8132</v>
      </c>
      <c r="L924" s="1">
        <v>1</v>
      </c>
      <c r="M924" s="1">
        <v>1</v>
      </c>
      <c r="N924">
        <v>0</v>
      </c>
      <c r="O924" s="3">
        <f>IF(
    R924="Ancien",
    _xlfn.XLOOKUP(
        Final_Sans_VGE[[#This Row],[ppn_z]],
        tbl_Historique_Final[ppn_z],
        tbl_Historique_Final[Horodatage],
        ""
    ),
    Horodatage!$A$2
)</f>
        <v>46233.670796365739</v>
      </c>
      <c r="P924" s="1" t="str">
        <f>IFERROR(IF(tbl_Historique_Final[[#This Row],[Commentaires]]&lt;&gt;"",tbl_Historique_Final[[#This Row],[Commentaires]],""),"")</f>
        <v/>
      </c>
      <c r="X924" s="8" t="str">
        <f>IF(Final_Sans_VGE[[#This Row],[ppn_z]]="","",IFERROR(
   IF(_xlfn.XLOOKUP(Final_Sans_VGE[[#This Row],[ppn_z]],tbl_Historique_Final[ppn_z],tbl_Historique_Final[date_modif])=Final_Sans_VGE[[#This Row],[date_modif]],
      "Ancien",
      "Modifié"),
   "Nouveau"))</f>
        <v>Ancien</v>
      </c>
      <c r="AC924"/>
      <c r="AD924"/>
    </row>
    <row r="925" spans="1:30" x14ac:dyDescent="0.25">
      <c r="A925" s="5" t="s">
        <v>2939</v>
      </c>
      <c r="B925" s="1" t="s">
        <v>8133</v>
      </c>
      <c r="C925" s="1" t="s">
        <v>7096</v>
      </c>
      <c r="J925" s="3">
        <v>45681.478842592594</v>
      </c>
      <c r="L925" s="1">
        <v>1</v>
      </c>
      <c r="M925" s="1">
        <v>1</v>
      </c>
      <c r="N925">
        <v>0</v>
      </c>
      <c r="O925" s="3">
        <f>IF(
    R925="Ancien",
    _xlfn.XLOOKUP(
        Final_Sans_VGE[[#This Row],[ppn_z]],
        tbl_Historique_Final[ppn_z],
        tbl_Historique_Final[Horodatage],
        ""
    ),
    Horodatage!$A$2
)</f>
        <v>46233.670796365739</v>
      </c>
      <c r="P925" s="1" t="str">
        <f>IFERROR(IF(tbl_Historique_Final[[#This Row],[Commentaires]]&lt;&gt;"",tbl_Historique_Final[[#This Row],[Commentaires]],""),"")</f>
        <v/>
      </c>
      <c r="X925" s="8" t="str">
        <f>IF(Final_Sans_VGE[[#This Row],[ppn_z]]="","",IFERROR(
   IF(_xlfn.XLOOKUP(Final_Sans_VGE[[#This Row],[ppn_z]],tbl_Historique_Final[ppn_z],tbl_Historique_Final[date_modif])=Final_Sans_VGE[[#This Row],[date_modif]],
      "Ancien",
      "Modifié"),
   "Nouveau"))</f>
        <v>Ancien</v>
      </c>
      <c r="AC925"/>
      <c r="AD925"/>
    </row>
    <row r="926" spans="1:30" x14ac:dyDescent="0.25">
      <c r="A926" s="5" t="s">
        <v>2942</v>
      </c>
      <c r="B926" s="1" t="s">
        <v>8134</v>
      </c>
      <c r="C926" s="1" t="s">
        <v>6447</v>
      </c>
      <c r="G926" s="1" t="s">
        <v>10</v>
      </c>
      <c r="J926" s="3">
        <v>45925.516643518517</v>
      </c>
      <c r="K926" s="2" t="s">
        <v>8135</v>
      </c>
      <c r="L926" s="1">
        <v>4</v>
      </c>
      <c r="M926" s="1">
        <v>8</v>
      </c>
      <c r="N926">
        <v>4</v>
      </c>
      <c r="O926" s="3">
        <f>IF(
    R926="Ancien",
    _xlfn.XLOOKUP(
        Final_Sans_VGE[[#This Row],[ppn_z]],
        tbl_Historique_Final[ppn_z],
        tbl_Historique_Final[Horodatage],
        ""
    ),
    Horodatage!$A$2
)</f>
        <v>46233.670796365739</v>
      </c>
      <c r="P926" s="1" t="str">
        <f>IFERROR(IF(tbl_Historique_Final[[#This Row],[Commentaires]]&lt;&gt;"",tbl_Historique_Final[[#This Row],[Commentaires]],""),"")</f>
        <v/>
      </c>
      <c r="X926" s="8" t="str">
        <f>IF(Final_Sans_VGE[[#This Row],[ppn_z]]="","",IFERROR(
   IF(_xlfn.XLOOKUP(Final_Sans_VGE[[#This Row],[ppn_z]],tbl_Historique_Final[ppn_z],tbl_Historique_Final[date_modif])=Final_Sans_VGE[[#This Row],[date_modif]],
      "Ancien",
      "Modifié"),
   "Nouveau"))</f>
        <v>Ancien</v>
      </c>
      <c r="AC926"/>
      <c r="AD926"/>
    </row>
    <row r="927" spans="1:30" ht="30" x14ac:dyDescent="0.25">
      <c r="A927" s="5" t="s">
        <v>2945</v>
      </c>
      <c r="B927" s="1" t="s">
        <v>8136</v>
      </c>
      <c r="C927" s="1" t="s">
        <v>6447</v>
      </c>
      <c r="G927" s="1" t="s">
        <v>11</v>
      </c>
      <c r="J927" s="3">
        <v>45846.728761574072</v>
      </c>
      <c r="K927" s="2" t="s">
        <v>8137</v>
      </c>
      <c r="L927" s="1">
        <v>26</v>
      </c>
      <c r="M927" s="1">
        <v>26</v>
      </c>
      <c r="N927">
        <v>0</v>
      </c>
      <c r="O927" s="3">
        <f>IF(
    R927="Ancien",
    _xlfn.XLOOKUP(
        Final_Sans_VGE[[#This Row],[ppn_z]],
        tbl_Historique_Final[ppn_z],
        tbl_Historique_Final[Horodatage],
        ""
    ),
    Horodatage!$A$2
)</f>
        <v>46233.670796365739</v>
      </c>
      <c r="P927" s="1" t="str">
        <f>IFERROR(IF(tbl_Historique_Final[[#This Row],[Commentaires]]&lt;&gt;"",tbl_Historique_Final[[#This Row],[Commentaires]],""),"")</f>
        <v/>
      </c>
      <c r="X927" s="8" t="str">
        <f>IF(Final_Sans_VGE[[#This Row],[ppn_z]]="","",IFERROR(
   IF(_xlfn.XLOOKUP(Final_Sans_VGE[[#This Row],[ppn_z]],tbl_Historique_Final[ppn_z],tbl_Historique_Final[date_modif])=Final_Sans_VGE[[#This Row],[date_modif]],
      "Ancien",
      "Modifié"),
   "Nouveau"))</f>
        <v>Ancien</v>
      </c>
      <c r="AC927"/>
      <c r="AD927"/>
    </row>
    <row r="928" spans="1:30" x14ac:dyDescent="0.25">
      <c r="A928" s="5" t="s">
        <v>2948</v>
      </c>
      <c r="B928" s="1" t="s">
        <v>8138</v>
      </c>
      <c r="C928" s="1" t="s">
        <v>12</v>
      </c>
      <c r="G928" s="1" t="s">
        <v>11</v>
      </c>
      <c r="J928" s="3">
        <v>45919.625254629631</v>
      </c>
      <c r="K928" s="2" t="s">
        <v>8139</v>
      </c>
      <c r="L928" s="1">
        <v>1</v>
      </c>
      <c r="M928" s="1">
        <v>1</v>
      </c>
      <c r="N928">
        <v>0</v>
      </c>
      <c r="O928" s="3">
        <f>IF(
    R928="Ancien",
    _xlfn.XLOOKUP(
        Final_Sans_VGE[[#This Row],[ppn_z]],
        tbl_Historique_Final[ppn_z],
        tbl_Historique_Final[Horodatage],
        ""
    ),
    Horodatage!$A$2
)</f>
        <v>46233.670796365739</v>
      </c>
      <c r="P928" s="1" t="str">
        <f>IFERROR(IF(tbl_Historique_Final[[#This Row],[Commentaires]]&lt;&gt;"",tbl_Historique_Final[[#This Row],[Commentaires]],""),"")</f>
        <v/>
      </c>
      <c r="X928" s="8" t="str">
        <f>IF(Final_Sans_VGE[[#This Row],[ppn_z]]="","",IFERROR(
   IF(_xlfn.XLOOKUP(Final_Sans_VGE[[#This Row],[ppn_z]],tbl_Historique_Final[ppn_z],tbl_Historique_Final[date_modif])=Final_Sans_VGE[[#This Row],[date_modif]],
      "Ancien",
      "Modifié"),
   "Nouveau"))</f>
        <v>Ancien</v>
      </c>
      <c r="AC928"/>
      <c r="AD928"/>
    </row>
    <row r="929" spans="1:30" ht="45" x14ac:dyDescent="0.25">
      <c r="A929" s="5" t="s">
        <v>2951</v>
      </c>
      <c r="B929" s="1" t="s">
        <v>8140</v>
      </c>
      <c r="C929" s="1" t="s">
        <v>12</v>
      </c>
      <c r="G929" s="1" t="s">
        <v>10</v>
      </c>
      <c r="J929" s="3">
        <v>45910.799189814818</v>
      </c>
      <c r="K929" s="2" t="s">
        <v>8141</v>
      </c>
      <c r="L929" s="1">
        <v>7</v>
      </c>
      <c r="M929" s="1">
        <v>8</v>
      </c>
      <c r="N929">
        <v>1</v>
      </c>
      <c r="O929" s="3">
        <f>IF(
    R929="Ancien",
    _xlfn.XLOOKUP(
        Final_Sans_VGE[[#This Row],[ppn_z]],
        tbl_Historique_Final[ppn_z],
        tbl_Historique_Final[Horodatage],
        ""
    ),
    Horodatage!$A$2
)</f>
        <v>46233.670796365739</v>
      </c>
      <c r="P929" s="1" t="str">
        <f>IFERROR(IF(tbl_Historique_Final[[#This Row],[Commentaires]]&lt;&gt;"",tbl_Historique_Final[[#This Row],[Commentaires]],""),"")</f>
        <v/>
      </c>
      <c r="X929" s="8" t="str">
        <f>IF(Final_Sans_VGE[[#This Row],[ppn_z]]="","",IFERROR(
   IF(_xlfn.XLOOKUP(Final_Sans_VGE[[#This Row],[ppn_z]],tbl_Historique_Final[ppn_z],tbl_Historique_Final[date_modif])=Final_Sans_VGE[[#This Row],[date_modif]],
      "Ancien",
      "Modifié"),
   "Nouveau"))</f>
        <v>Ancien</v>
      </c>
      <c r="AC929"/>
      <c r="AD929"/>
    </row>
    <row r="930" spans="1:30" ht="30" x14ac:dyDescent="0.25">
      <c r="A930" s="5" t="s">
        <v>2954</v>
      </c>
      <c r="B930" s="1" t="s">
        <v>8142</v>
      </c>
      <c r="C930" s="1" t="s">
        <v>12</v>
      </c>
      <c r="G930" s="1" t="s">
        <v>11</v>
      </c>
      <c r="J930" s="3">
        <v>45848.62599537037</v>
      </c>
      <c r="K930" s="2" t="s">
        <v>8143</v>
      </c>
      <c r="L930" s="1">
        <v>1</v>
      </c>
      <c r="M930" s="1">
        <v>3</v>
      </c>
      <c r="N930">
        <v>2</v>
      </c>
      <c r="O930" s="3">
        <f>IF(
    R930="Ancien",
    _xlfn.XLOOKUP(
        Final_Sans_VGE[[#This Row],[ppn_z]],
        tbl_Historique_Final[ppn_z],
        tbl_Historique_Final[Horodatage],
        ""
    ),
    Horodatage!$A$2
)</f>
        <v>46233.670796365739</v>
      </c>
      <c r="P930" s="1" t="str">
        <f>IFERROR(IF(tbl_Historique_Final[[#This Row],[Commentaires]]&lt;&gt;"",tbl_Historique_Final[[#This Row],[Commentaires]],""),"")</f>
        <v/>
      </c>
      <c r="X930" s="8" t="str">
        <f>IF(Final_Sans_VGE[[#This Row],[ppn_z]]="","",IFERROR(
   IF(_xlfn.XLOOKUP(Final_Sans_VGE[[#This Row],[ppn_z]],tbl_Historique_Final[ppn_z],tbl_Historique_Final[date_modif])=Final_Sans_VGE[[#This Row],[date_modif]],
      "Ancien",
      "Modifié"),
   "Nouveau"))</f>
        <v>Ancien</v>
      </c>
      <c r="AC930"/>
      <c r="AD930"/>
    </row>
    <row r="931" spans="1:30" ht="45" x14ac:dyDescent="0.25">
      <c r="A931" s="5" t="s">
        <v>2957</v>
      </c>
      <c r="B931" s="1" t="s">
        <v>8144</v>
      </c>
      <c r="C931" s="1" t="s">
        <v>12</v>
      </c>
      <c r="G931" s="1" t="s">
        <v>10</v>
      </c>
      <c r="J931" s="3">
        <v>45860.6012962963</v>
      </c>
      <c r="K931" s="2" t="s">
        <v>8145</v>
      </c>
      <c r="L931" s="1">
        <v>1</v>
      </c>
      <c r="M931" s="1">
        <v>1</v>
      </c>
      <c r="N931">
        <v>0</v>
      </c>
      <c r="O931" s="3">
        <f>IF(
    R931="Ancien",
    _xlfn.XLOOKUP(
        Final_Sans_VGE[[#This Row],[ppn_z]],
        tbl_Historique_Final[ppn_z],
        tbl_Historique_Final[Horodatage],
        ""
    ),
    Horodatage!$A$2
)</f>
        <v>46233.670796365739</v>
      </c>
      <c r="P931" s="1" t="str">
        <f>IFERROR(IF(tbl_Historique_Final[[#This Row],[Commentaires]]&lt;&gt;"",tbl_Historique_Final[[#This Row],[Commentaires]],""),"")</f>
        <v/>
      </c>
      <c r="X931" s="8" t="str">
        <f>IF(Final_Sans_VGE[[#This Row],[ppn_z]]="","",IFERROR(
   IF(_xlfn.XLOOKUP(Final_Sans_VGE[[#This Row],[ppn_z]],tbl_Historique_Final[ppn_z],tbl_Historique_Final[date_modif])=Final_Sans_VGE[[#This Row],[date_modif]],
      "Ancien",
      "Modifié"),
   "Nouveau"))</f>
        <v>Ancien</v>
      </c>
      <c r="AC931"/>
      <c r="AD931"/>
    </row>
    <row r="932" spans="1:30" x14ac:dyDescent="0.25">
      <c r="A932" s="5" t="s">
        <v>2960</v>
      </c>
      <c r="B932" s="1" t="s">
        <v>8146</v>
      </c>
      <c r="C932" s="1" t="s">
        <v>64</v>
      </c>
      <c r="G932" s="1" t="s">
        <v>10</v>
      </c>
      <c r="J932" s="3">
        <v>45848.363865740743</v>
      </c>
      <c r="K932" s="2" t="s">
        <v>8147</v>
      </c>
      <c r="L932" s="1">
        <v>1</v>
      </c>
      <c r="M932" s="1">
        <v>1</v>
      </c>
      <c r="N932">
        <v>0</v>
      </c>
      <c r="O932" s="3">
        <f>IF(
    R932="Ancien",
    _xlfn.XLOOKUP(
        Final_Sans_VGE[[#This Row],[ppn_z]],
        tbl_Historique_Final[ppn_z],
        tbl_Historique_Final[Horodatage],
        ""
    ),
    Horodatage!$A$2
)</f>
        <v>46233.670796365739</v>
      </c>
      <c r="P932" s="1" t="str">
        <f>IFERROR(IF(tbl_Historique_Final[[#This Row],[Commentaires]]&lt;&gt;"",tbl_Historique_Final[[#This Row],[Commentaires]],""),"")</f>
        <v/>
      </c>
      <c r="X932" s="8" t="str">
        <f>IF(Final_Sans_VGE[[#This Row],[ppn_z]]="","",IFERROR(
   IF(_xlfn.XLOOKUP(Final_Sans_VGE[[#This Row],[ppn_z]],tbl_Historique_Final[ppn_z],tbl_Historique_Final[date_modif])=Final_Sans_VGE[[#This Row],[date_modif]],
      "Ancien",
      "Modifié"),
   "Nouveau"))</f>
        <v>Ancien</v>
      </c>
      <c r="AC932"/>
      <c r="AD932"/>
    </row>
    <row r="933" spans="1:30" ht="30" x14ac:dyDescent="0.25">
      <c r="A933" s="5" t="s">
        <v>2963</v>
      </c>
      <c r="B933" s="1" t="s">
        <v>8148</v>
      </c>
      <c r="C933" s="1" t="s">
        <v>12</v>
      </c>
      <c r="G933" s="1" t="s">
        <v>11</v>
      </c>
      <c r="J933" s="3">
        <v>45897.592407407406</v>
      </c>
      <c r="K933" s="2" t="s">
        <v>8149</v>
      </c>
      <c r="L933" s="1">
        <v>1</v>
      </c>
      <c r="M933" s="1">
        <v>1</v>
      </c>
      <c r="N933">
        <v>0</v>
      </c>
      <c r="O933" s="3">
        <f>IF(
    R933="Ancien",
    _xlfn.XLOOKUP(
        Final_Sans_VGE[[#This Row],[ppn_z]],
        tbl_Historique_Final[ppn_z],
        tbl_Historique_Final[Horodatage],
        ""
    ),
    Horodatage!$A$2
)</f>
        <v>46233.670796365739</v>
      </c>
      <c r="P933" s="1" t="str">
        <f>IFERROR(IF(tbl_Historique_Final[[#This Row],[Commentaires]]&lt;&gt;"",tbl_Historique_Final[[#This Row],[Commentaires]],""),"")</f>
        <v/>
      </c>
      <c r="X933" s="8" t="str">
        <f>IF(Final_Sans_VGE[[#This Row],[ppn_z]]="","",IFERROR(
   IF(_xlfn.XLOOKUP(Final_Sans_VGE[[#This Row],[ppn_z]],tbl_Historique_Final[ppn_z],tbl_Historique_Final[date_modif])=Final_Sans_VGE[[#This Row],[date_modif]],
      "Ancien",
      "Modifié"),
   "Nouveau"))</f>
        <v>Ancien</v>
      </c>
      <c r="AC933"/>
      <c r="AD933"/>
    </row>
    <row r="934" spans="1:30" ht="45" x14ac:dyDescent="0.25">
      <c r="A934" s="5" t="s">
        <v>2966</v>
      </c>
      <c r="B934" s="1" t="s">
        <v>8150</v>
      </c>
      <c r="C934" s="1" t="s">
        <v>152</v>
      </c>
      <c r="E934" s="1" t="s">
        <v>152</v>
      </c>
      <c r="J934" s="3">
        <v>45952.696574074071</v>
      </c>
      <c r="K934" s="2" t="s">
        <v>8151</v>
      </c>
      <c r="L934" s="1">
        <v>24</v>
      </c>
      <c r="M934" s="1">
        <v>24</v>
      </c>
      <c r="N934">
        <v>0</v>
      </c>
      <c r="O934" s="3">
        <f>IF(
    R934="Ancien",
    _xlfn.XLOOKUP(
        Final_Sans_VGE[[#This Row],[ppn_z]],
        tbl_Historique_Final[ppn_z],
        tbl_Historique_Final[Horodatage],
        ""
    ),
    Horodatage!$A$2
)</f>
        <v>46233.670796365739</v>
      </c>
      <c r="P934" s="1" t="str">
        <f>IFERROR(IF(tbl_Historique_Final[[#This Row],[Commentaires]]&lt;&gt;"",tbl_Historique_Final[[#This Row],[Commentaires]],""),"")</f>
        <v/>
      </c>
      <c r="X934" s="8" t="str">
        <f>IF(Final_Sans_VGE[[#This Row],[ppn_z]]="","",IFERROR(
   IF(_xlfn.XLOOKUP(Final_Sans_VGE[[#This Row],[ppn_z]],tbl_Historique_Final[ppn_z],tbl_Historique_Final[date_modif])=Final_Sans_VGE[[#This Row],[date_modif]],
      "Ancien",
      "Modifié"),
   "Nouveau"))</f>
        <v>Ancien</v>
      </c>
      <c r="AC934"/>
      <c r="AD934"/>
    </row>
    <row r="935" spans="1:30" x14ac:dyDescent="0.25">
      <c r="A935" s="5" t="s">
        <v>2969</v>
      </c>
      <c r="B935" s="1" t="s">
        <v>8152</v>
      </c>
      <c r="C935" s="1" t="s">
        <v>45</v>
      </c>
      <c r="D935" s="1" t="s">
        <v>8153</v>
      </c>
      <c r="G935" s="1" t="s">
        <v>10</v>
      </c>
      <c r="H935" s="1" t="s">
        <v>22</v>
      </c>
      <c r="I935" s="1" t="s">
        <v>22</v>
      </c>
      <c r="J935" s="3">
        <v>45848.600856481484</v>
      </c>
      <c r="K935" s="2" t="s">
        <v>126</v>
      </c>
      <c r="L935" s="1">
        <v>2</v>
      </c>
      <c r="M935" s="1">
        <v>2</v>
      </c>
      <c r="N935">
        <v>0</v>
      </c>
      <c r="O935" s="3">
        <f>IF(
    R935="Ancien",
    _xlfn.XLOOKUP(
        Final_Sans_VGE[[#This Row],[ppn_z]],
        tbl_Historique_Final[ppn_z],
        tbl_Historique_Final[Horodatage],
        ""
    ),
    Horodatage!$A$2
)</f>
        <v>46233.670796365739</v>
      </c>
      <c r="P935" s="1" t="str">
        <f>IFERROR(IF(tbl_Historique_Final[[#This Row],[Commentaires]]&lt;&gt;"",tbl_Historique_Final[[#This Row],[Commentaires]],""),"")</f>
        <v/>
      </c>
      <c r="X935" s="8" t="str">
        <f>IF(Final_Sans_VGE[[#This Row],[ppn_z]]="","",IFERROR(
   IF(_xlfn.XLOOKUP(Final_Sans_VGE[[#This Row],[ppn_z]],tbl_Historique_Final[ppn_z],tbl_Historique_Final[date_modif])=Final_Sans_VGE[[#This Row],[date_modif]],
      "Ancien",
      "Modifié"),
   "Nouveau"))</f>
        <v>Ancien</v>
      </c>
      <c r="AC935"/>
      <c r="AD935"/>
    </row>
    <row r="936" spans="1:30" x14ac:dyDescent="0.25">
      <c r="A936" s="5" t="s">
        <v>2972</v>
      </c>
      <c r="B936" s="1" t="s">
        <v>8154</v>
      </c>
      <c r="C936" s="1" t="s">
        <v>8155</v>
      </c>
      <c r="E936" s="1" t="s">
        <v>8156</v>
      </c>
      <c r="G936" s="1" t="s">
        <v>11</v>
      </c>
      <c r="J936" s="3">
        <v>45926.69390046296</v>
      </c>
      <c r="K936" s="2" t="s">
        <v>8157</v>
      </c>
      <c r="L936" s="1">
        <v>1</v>
      </c>
      <c r="M936" s="1">
        <v>1</v>
      </c>
      <c r="N936">
        <v>0</v>
      </c>
      <c r="O936" s="3">
        <f>IF(
    R936="Ancien",
    _xlfn.XLOOKUP(
        Final_Sans_VGE[[#This Row],[ppn_z]],
        tbl_Historique_Final[ppn_z],
        tbl_Historique_Final[Horodatage],
        ""
    ),
    Horodatage!$A$2
)</f>
        <v>46233.670796365739</v>
      </c>
      <c r="P936" s="1" t="str">
        <f>IFERROR(IF(tbl_Historique_Final[[#This Row],[Commentaires]]&lt;&gt;"",tbl_Historique_Final[[#This Row],[Commentaires]],""),"")</f>
        <v/>
      </c>
      <c r="X936" s="8" t="str">
        <f>IF(Final_Sans_VGE[[#This Row],[ppn_z]]="","",IFERROR(
   IF(_xlfn.XLOOKUP(Final_Sans_VGE[[#This Row],[ppn_z]],tbl_Historique_Final[ppn_z],tbl_Historique_Final[date_modif])=Final_Sans_VGE[[#This Row],[date_modif]],
      "Ancien",
      "Modifié"),
   "Nouveau"))</f>
        <v>Ancien</v>
      </c>
      <c r="AC936"/>
      <c r="AD936"/>
    </row>
    <row r="937" spans="1:30" x14ac:dyDescent="0.25">
      <c r="A937" s="5" t="s">
        <v>2975</v>
      </c>
      <c r="B937" s="1" t="s">
        <v>8158</v>
      </c>
      <c r="C937" s="1" t="s">
        <v>49</v>
      </c>
      <c r="J937" s="3">
        <v>45685.472037037034</v>
      </c>
      <c r="L937" s="1">
        <v>1</v>
      </c>
      <c r="M937" s="1">
        <v>1</v>
      </c>
      <c r="N937">
        <v>0</v>
      </c>
      <c r="O937" s="3">
        <f>IF(
    R937="Ancien",
    _xlfn.XLOOKUP(
        Final_Sans_VGE[[#This Row],[ppn_z]],
        tbl_Historique_Final[ppn_z],
        tbl_Historique_Final[Horodatage],
        ""
    ),
    Horodatage!$A$2
)</f>
        <v>46233.670796365739</v>
      </c>
      <c r="P937" s="1" t="str">
        <f>IFERROR(IF(tbl_Historique_Final[[#This Row],[Commentaires]]&lt;&gt;"",tbl_Historique_Final[[#This Row],[Commentaires]],""),"")</f>
        <v/>
      </c>
      <c r="X937" s="8" t="str">
        <f>IF(Final_Sans_VGE[[#This Row],[ppn_z]]="","",IFERROR(
   IF(_xlfn.XLOOKUP(Final_Sans_VGE[[#This Row],[ppn_z]],tbl_Historique_Final[ppn_z],tbl_Historique_Final[date_modif])=Final_Sans_VGE[[#This Row],[date_modif]],
      "Ancien",
      "Modifié"),
   "Nouveau"))</f>
        <v>Ancien</v>
      </c>
      <c r="AC937"/>
      <c r="AD937"/>
    </row>
    <row r="938" spans="1:30" x14ac:dyDescent="0.25">
      <c r="A938" s="5" t="s">
        <v>2978</v>
      </c>
      <c r="B938" s="1" t="s">
        <v>8159</v>
      </c>
      <c r="C938" s="1" t="s">
        <v>12</v>
      </c>
      <c r="G938" s="1" t="s">
        <v>11</v>
      </c>
      <c r="J938" s="3">
        <v>45897.586608796293</v>
      </c>
      <c r="K938" s="2" t="s">
        <v>8160</v>
      </c>
      <c r="L938" s="1">
        <v>1</v>
      </c>
      <c r="M938" s="1">
        <v>1</v>
      </c>
      <c r="N938">
        <v>0</v>
      </c>
      <c r="O938" s="3">
        <f>IF(
    R938="Ancien",
    _xlfn.XLOOKUP(
        Final_Sans_VGE[[#This Row],[ppn_z]],
        tbl_Historique_Final[ppn_z],
        tbl_Historique_Final[Horodatage],
        ""
    ),
    Horodatage!$A$2
)</f>
        <v>46233.670796365739</v>
      </c>
      <c r="P938" s="1" t="str">
        <f>IFERROR(IF(tbl_Historique_Final[[#This Row],[Commentaires]]&lt;&gt;"",tbl_Historique_Final[[#This Row],[Commentaires]],""),"")</f>
        <v/>
      </c>
      <c r="X938" s="8" t="str">
        <f>IF(Final_Sans_VGE[[#This Row],[ppn_z]]="","",IFERROR(
   IF(_xlfn.XLOOKUP(Final_Sans_VGE[[#This Row],[ppn_z]],tbl_Historique_Final[ppn_z],tbl_Historique_Final[date_modif])=Final_Sans_VGE[[#This Row],[date_modif]],
      "Ancien",
      "Modifié"),
   "Nouveau"))</f>
        <v>Ancien</v>
      </c>
      <c r="AC938"/>
      <c r="AD938"/>
    </row>
    <row r="939" spans="1:30" x14ac:dyDescent="0.25">
      <c r="A939" s="5" t="s">
        <v>2981</v>
      </c>
      <c r="B939" s="1" t="s">
        <v>8161</v>
      </c>
      <c r="C939" s="1" t="s">
        <v>47</v>
      </c>
      <c r="J939" s="3">
        <v>45685.652465277781</v>
      </c>
      <c r="L939" s="1">
        <v>1</v>
      </c>
      <c r="M939" s="1">
        <v>1</v>
      </c>
      <c r="N939">
        <v>0</v>
      </c>
      <c r="O939" s="3">
        <f>IF(
    R939="Ancien",
    _xlfn.XLOOKUP(
        Final_Sans_VGE[[#This Row],[ppn_z]],
        tbl_Historique_Final[ppn_z],
        tbl_Historique_Final[Horodatage],
        ""
    ),
    Horodatage!$A$2
)</f>
        <v>46233.670796365739</v>
      </c>
      <c r="P939" s="1" t="str">
        <f>IFERROR(IF(tbl_Historique_Final[[#This Row],[Commentaires]]&lt;&gt;"",tbl_Historique_Final[[#This Row],[Commentaires]],""),"")</f>
        <v/>
      </c>
      <c r="X939" s="8" t="str">
        <f>IF(Final_Sans_VGE[[#This Row],[ppn_z]]="","",IFERROR(
   IF(_xlfn.XLOOKUP(Final_Sans_VGE[[#This Row],[ppn_z]],tbl_Historique_Final[ppn_z],tbl_Historique_Final[date_modif])=Final_Sans_VGE[[#This Row],[date_modif]],
      "Ancien",
      "Modifié"),
   "Nouveau"))</f>
        <v>Ancien</v>
      </c>
      <c r="AC939"/>
      <c r="AD939"/>
    </row>
    <row r="940" spans="1:30" x14ac:dyDescent="0.25">
      <c r="A940" s="5" t="s">
        <v>2984</v>
      </c>
      <c r="B940" s="1" t="s">
        <v>8162</v>
      </c>
      <c r="C940" s="1" t="s">
        <v>33</v>
      </c>
      <c r="G940" s="1" t="s">
        <v>10</v>
      </c>
      <c r="J940" s="3">
        <v>45897.431145833332</v>
      </c>
      <c r="K940" s="2" t="s">
        <v>158</v>
      </c>
      <c r="L940" s="1">
        <v>3</v>
      </c>
      <c r="M940" s="1">
        <v>3</v>
      </c>
      <c r="N940">
        <v>0</v>
      </c>
      <c r="O940" s="3">
        <f>IF(
    R940="Ancien",
    _xlfn.XLOOKUP(
        Final_Sans_VGE[[#This Row],[ppn_z]],
        tbl_Historique_Final[ppn_z],
        tbl_Historique_Final[Horodatage],
        ""
    ),
    Horodatage!$A$2
)</f>
        <v>46233.670796365739</v>
      </c>
      <c r="P940" s="1" t="str">
        <f>IFERROR(IF(tbl_Historique_Final[[#This Row],[Commentaires]]&lt;&gt;"",tbl_Historique_Final[[#This Row],[Commentaires]],""),"")</f>
        <v/>
      </c>
      <c r="X940" s="8" t="str">
        <f>IF(Final_Sans_VGE[[#This Row],[ppn_z]]="","",IFERROR(
   IF(_xlfn.XLOOKUP(Final_Sans_VGE[[#This Row],[ppn_z]],tbl_Historique_Final[ppn_z],tbl_Historique_Final[date_modif])=Final_Sans_VGE[[#This Row],[date_modif]],
      "Ancien",
      "Modifié"),
   "Nouveau"))</f>
        <v>Ancien</v>
      </c>
      <c r="AC940"/>
      <c r="AD940"/>
    </row>
    <row r="941" spans="1:30" ht="30" x14ac:dyDescent="0.25">
      <c r="A941" s="5" t="s">
        <v>2987</v>
      </c>
      <c r="B941" s="1" t="s">
        <v>8163</v>
      </c>
      <c r="G941" s="1" t="s">
        <v>10</v>
      </c>
      <c r="J941" s="3">
        <v>45903.517638888887</v>
      </c>
      <c r="K941" s="2" t="s">
        <v>8164</v>
      </c>
      <c r="L941" s="1">
        <v>1</v>
      </c>
      <c r="M941" s="1">
        <v>3</v>
      </c>
      <c r="N941">
        <v>2</v>
      </c>
      <c r="O941" s="3">
        <f>IF(
    R941="Ancien",
    _xlfn.XLOOKUP(
        Final_Sans_VGE[[#This Row],[ppn_z]],
        tbl_Historique_Final[ppn_z],
        tbl_Historique_Final[Horodatage],
        ""
    ),
    Horodatage!$A$2
)</f>
        <v>46233.670796365739</v>
      </c>
      <c r="P941" s="1" t="str">
        <f>IFERROR(IF(tbl_Historique_Final[[#This Row],[Commentaires]]&lt;&gt;"",tbl_Historique_Final[[#This Row],[Commentaires]],""),"")</f>
        <v/>
      </c>
      <c r="X941" s="8" t="str">
        <f>IF(Final_Sans_VGE[[#This Row],[ppn_z]]="","",IFERROR(
   IF(_xlfn.XLOOKUP(Final_Sans_VGE[[#This Row],[ppn_z]],tbl_Historique_Final[ppn_z],tbl_Historique_Final[date_modif])=Final_Sans_VGE[[#This Row],[date_modif]],
      "Ancien",
      "Modifié"),
   "Nouveau"))</f>
        <v>Ancien</v>
      </c>
      <c r="AC941"/>
      <c r="AD941"/>
    </row>
    <row r="942" spans="1:30" x14ac:dyDescent="0.25">
      <c r="A942" s="5" t="s">
        <v>2990</v>
      </c>
      <c r="B942" s="1" t="s">
        <v>8165</v>
      </c>
      <c r="J942" s="3">
        <v>45636.657604166663</v>
      </c>
      <c r="L942" s="1">
        <v>3</v>
      </c>
      <c r="M942" s="1">
        <v>3</v>
      </c>
      <c r="N942">
        <v>0</v>
      </c>
      <c r="O942" s="3">
        <f>IF(
    R942="Ancien",
    _xlfn.XLOOKUP(
        Final_Sans_VGE[[#This Row],[ppn_z]],
        tbl_Historique_Final[ppn_z],
        tbl_Historique_Final[Horodatage],
        ""
    ),
    Horodatage!$A$2
)</f>
        <v>46233.670796365739</v>
      </c>
      <c r="P942" s="1" t="str">
        <f>IFERROR(IF(tbl_Historique_Final[[#This Row],[Commentaires]]&lt;&gt;"",tbl_Historique_Final[[#This Row],[Commentaires]],""),"")</f>
        <v/>
      </c>
      <c r="X942" s="8" t="str">
        <f>IF(Final_Sans_VGE[[#This Row],[ppn_z]]="","",IFERROR(
   IF(_xlfn.XLOOKUP(Final_Sans_VGE[[#This Row],[ppn_z]],tbl_Historique_Final[ppn_z],tbl_Historique_Final[date_modif])=Final_Sans_VGE[[#This Row],[date_modif]],
      "Ancien",
      "Modifié"),
   "Nouveau"))</f>
        <v>Ancien</v>
      </c>
      <c r="AC942"/>
      <c r="AD942"/>
    </row>
    <row r="943" spans="1:30" ht="30" x14ac:dyDescent="0.25">
      <c r="A943" s="5" t="s">
        <v>2993</v>
      </c>
      <c r="B943" s="1" t="s">
        <v>8166</v>
      </c>
      <c r="C943" s="1" t="s">
        <v>12</v>
      </c>
      <c r="G943" s="1" t="s">
        <v>10</v>
      </c>
      <c r="J943" s="3">
        <v>45903.439641203702</v>
      </c>
      <c r="K943" s="2" t="s">
        <v>8167</v>
      </c>
      <c r="L943" s="1">
        <v>2</v>
      </c>
      <c r="M943" s="1">
        <v>2</v>
      </c>
      <c r="N943">
        <v>0</v>
      </c>
      <c r="O943" s="3">
        <f>IF(
    R943="Ancien",
    _xlfn.XLOOKUP(
        Final_Sans_VGE[[#This Row],[ppn_z]],
        tbl_Historique_Final[ppn_z],
        tbl_Historique_Final[Horodatage],
        ""
    ),
    Horodatage!$A$2
)</f>
        <v>46233.670796365739</v>
      </c>
      <c r="P943" s="1" t="str">
        <f>IFERROR(IF(tbl_Historique_Final[[#This Row],[Commentaires]]&lt;&gt;"",tbl_Historique_Final[[#This Row],[Commentaires]],""),"")</f>
        <v/>
      </c>
      <c r="X943" s="8" t="str">
        <f>IF(Final_Sans_VGE[[#This Row],[ppn_z]]="","",IFERROR(
   IF(_xlfn.XLOOKUP(Final_Sans_VGE[[#This Row],[ppn_z]],tbl_Historique_Final[ppn_z],tbl_Historique_Final[date_modif])=Final_Sans_VGE[[#This Row],[date_modif]],
      "Ancien",
      "Modifié"),
   "Nouveau"))</f>
        <v>Ancien</v>
      </c>
      <c r="AC943"/>
      <c r="AD943"/>
    </row>
    <row r="944" spans="1:30" x14ac:dyDescent="0.25">
      <c r="A944" s="5" t="s">
        <v>2996</v>
      </c>
      <c r="B944" s="1" t="s">
        <v>8168</v>
      </c>
      <c r="G944" s="1" t="s">
        <v>11</v>
      </c>
      <c r="J944" s="3">
        <v>45848.62195601852</v>
      </c>
      <c r="L944" s="1">
        <v>9</v>
      </c>
      <c r="M944" s="1">
        <v>10</v>
      </c>
      <c r="N944">
        <v>1</v>
      </c>
      <c r="O944" s="3">
        <f>IF(
    R944="Ancien",
    _xlfn.XLOOKUP(
        Final_Sans_VGE[[#This Row],[ppn_z]],
        tbl_Historique_Final[ppn_z],
        tbl_Historique_Final[Horodatage],
        ""
    ),
    Horodatage!$A$2
)</f>
        <v>46233.670796365739</v>
      </c>
      <c r="P944" s="1" t="str">
        <f>IFERROR(IF(tbl_Historique_Final[[#This Row],[Commentaires]]&lt;&gt;"",tbl_Historique_Final[[#This Row],[Commentaires]],""),"")</f>
        <v/>
      </c>
      <c r="X944" s="8" t="str">
        <f>IF(Final_Sans_VGE[[#This Row],[ppn_z]]="","",IFERROR(
   IF(_xlfn.XLOOKUP(Final_Sans_VGE[[#This Row],[ppn_z]],tbl_Historique_Final[ppn_z],tbl_Historique_Final[date_modif])=Final_Sans_VGE[[#This Row],[date_modif]],
      "Ancien",
      "Modifié"),
   "Nouveau"))</f>
        <v>Ancien</v>
      </c>
      <c r="AC944"/>
      <c r="AD944"/>
    </row>
    <row r="945" spans="1:30" x14ac:dyDescent="0.25">
      <c r="A945" s="5" t="s">
        <v>2999</v>
      </c>
      <c r="B945" s="1" t="s">
        <v>8169</v>
      </c>
      <c r="C945" s="1" t="s">
        <v>12</v>
      </c>
      <c r="G945" s="1" t="s">
        <v>11</v>
      </c>
      <c r="J945" s="3">
        <v>45877.626770833333</v>
      </c>
      <c r="K945" s="2" t="s">
        <v>8170</v>
      </c>
      <c r="L945" s="1">
        <v>1</v>
      </c>
      <c r="M945" s="1">
        <v>1</v>
      </c>
      <c r="N945">
        <v>0</v>
      </c>
      <c r="O945" s="3">
        <f>IF(
    R945="Ancien",
    _xlfn.XLOOKUP(
        Final_Sans_VGE[[#This Row],[ppn_z]],
        tbl_Historique_Final[ppn_z],
        tbl_Historique_Final[Horodatage],
        ""
    ),
    Horodatage!$A$2
)</f>
        <v>46233.670796365739</v>
      </c>
      <c r="P945" s="1" t="str">
        <f>IFERROR(IF(tbl_Historique_Final[[#This Row],[Commentaires]]&lt;&gt;"",tbl_Historique_Final[[#This Row],[Commentaires]],""),"")</f>
        <v/>
      </c>
      <c r="X945" s="8" t="str">
        <f>IF(Final_Sans_VGE[[#This Row],[ppn_z]]="","",IFERROR(
   IF(_xlfn.XLOOKUP(Final_Sans_VGE[[#This Row],[ppn_z]],tbl_Historique_Final[ppn_z],tbl_Historique_Final[date_modif])=Final_Sans_VGE[[#This Row],[date_modif]],
      "Ancien",
      "Modifié"),
   "Nouveau"))</f>
        <v>Ancien</v>
      </c>
      <c r="AC945"/>
      <c r="AD945"/>
    </row>
    <row r="946" spans="1:30" ht="30" x14ac:dyDescent="0.25">
      <c r="A946" s="5" t="s">
        <v>3002</v>
      </c>
      <c r="B946" s="1" t="s">
        <v>8171</v>
      </c>
      <c r="C946" s="1" t="s">
        <v>12</v>
      </c>
      <c r="G946" s="1" t="s">
        <v>11</v>
      </c>
      <c r="J946" s="3">
        <v>45897.427442129629</v>
      </c>
      <c r="K946" s="2" t="s">
        <v>8172</v>
      </c>
      <c r="L946" s="1">
        <v>0</v>
      </c>
      <c r="M946" s="1">
        <v>0</v>
      </c>
      <c r="N946">
        <v>0</v>
      </c>
      <c r="O946" s="3">
        <f>IF(
    R946="Ancien",
    _xlfn.XLOOKUP(
        Final_Sans_VGE[[#This Row],[ppn_z]],
        tbl_Historique_Final[ppn_z],
        tbl_Historique_Final[Horodatage],
        ""
    ),
    Horodatage!$A$2
)</f>
        <v>46233.670796365739</v>
      </c>
      <c r="P946" s="1" t="str">
        <f>IFERROR(IF(tbl_Historique_Final[[#This Row],[Commentaires]]&lt;&gt;"",tbl_Historique_Final[[#This Row],[Commentaires]],""),"")</f>
        <v/>
      </c>
      <c r="X946" s="8" t="str">
        <f>IF(Final_Sans_VGE[[#This Row],[ppn_z]]="","",IFERROR(
   IF(_xlfn.XLOOKUP(Final_Sans_VGE[[#This Row],[ppn_z]],tbl_Historique_Final[ppn_z],tbl_Historique_Final[date_modif])=Final_Sans_VGE[[#This Row],[date_modif]],
      "Ancien",
      "Modifié"),
   "Nouveau"))</f>
        <v>Ancien</v>
      </c>
      <c r="AC946"/>
      <c r="AD946"/>
    </row>
    <row r="947" spans="1:30" x14ac:dyDescent="0.25">
      <c r="A947" s="5" t="s">
        <v>3005</v>
      </c>
      <c r="B947" s="1" t="s">
        <v>8173</v>
      </c>
      <c r="C947" s="1" t="s">
        <v>68</v>
      </c>
      <c r="D947" s="1" t="s">
        <v>14</v>
      </c>
      <c r="G947" s="1" t="s">
        <v>10</v>
      </c>
      <c r="H947" s="1" t="s">
        <v>22</v>
      </c>
      <c r="I947" s="1" t="s">
        <v>22</v>
      </c>
      <c r="J947" s="3">
        <v>45925.361712962964</v>
      </c>
      <c r="K947" s="2" t="s">
        <v>8174</v>
      </c>
      <c r="L947" s="1">
        <v>36</v>
      </c>
      <c r="M947" s="1">
        <v>57</v>
      </c>
      <c r="N947">
        <v>21</v>
      </c>
      <c r="O947" s="3">
        <f>IF(
    R947="Ancien",
    _xlfn.XLOOKUP(
        Final_Sans_VGE[[#This Row],[ppn_z]],
        tbl_Historique_Final[ppn_z],
        tbl_Historique_Final[Horodatage],
        ""
    ),
    Horodatage!$A$2
)</f>
        <v>46233.670796365739</v>
      </c>
      <c r="P947" s="1" t="str">
        <f>IFERROR(IF(tbl_Historique_Final[[#This Row],[Commentaires]]&lt;&gt;"",tbl_Historique_Final[[#This Row],[Commentaires]],""),"")</f>
        <v/>
      </c>
      <c r="X947" s="8" t="str">
        <f>IF(Final_Sans_VGE[[#This Row],[ppn_z]]="","",IFERROR(
   IF(_xlfn.XLOOKUP(Final_Sans_VGE[[#This Row],[ppn_z]],tbl_Historique_Final[ppn_z],tbl_Historique_Final[date_modif])=Final_Sans_VGE[[#This Row],[date_modif]],
      "Ancien",
      "Modifié"),
   "Nouveau"))</f>
        <v>Ancien</v>
      </c>
      <c r="AC947"/>
      <c r="AD947"/>
    </row>
    <row r="948" spans="1:30" x14ac:dyDescent="0.25">
      <c r="A948" s="5" t="s">
        <v>3008</v>
      </c>
      <c r="B948" s="1" t="s">
        <v>8175</v>
      </c>
      <c r="C948" s="1" t="s">
        <v>12</v>
      </c>
      <c r="G948" s="1" t="s">
        <v>10</v>
      </c>
      <c r="J948" s="3">
        <v>45848.625775462962</v>
      </c>
      <c r="K948" s="2" t="s">
        <v>8176</v>
      </c>
      <c r="L948" s="1">
        <v>1</v>
      </c>
      <c r="M948" s="1">
        <v>1</v>
      </c>
      <c r="N948">
        <v>0</v>
      </c>
      <c r="O948" s="3">
        <f>IF(
    R948="Ancien",
    _xlfn.XLOOKUP(
        Final_Sans_VGE[[#This Row],[ppn_z]],
        tbl_Historique_Final[ppn_z],
        tbl_Historique_Final[Horodatage],
        ""
    ),
    Horodatage!$A$2
)</f>
        <v>46233.670796365739</v>
      </c>
      <c r="P948" s="1" t="str">
        <f>IFERROR(IF(tbl_Historique_Final[[#This Row],[Commentaires]]&lt;&gt;"",tbl_Historique_Final[[#This Row],[Commentaires]],""),"")</f>
        <v/>
      </c>
      <c r="X948" s="8" t="str">
        <f>IF(Final_Sans_VGE[[#This Row],[ppn_z]]="","",IFERROR(
   IF(_xlfn.XLOOKUP(Final_Sans_VGE[[#This Row],[ppn_z]],tbl_Historique_Final[ppn_z],tbl_Historique_Final[date_modif])=Final_Sans_VGE[[#This Row],[date_modif]],
      "Ancien",
      "Modifié"),
   "Nouveau"))</f>
        <v>Ancien</v>
      </c>
      <c r="AC948"/>
      <c r="AD948"/>
    </row>
    <row r="949" spans="1:30" x14ac:dyDescent="0.25">
      <c r="A949" s="5" t="s">
        <v>3011</v>
      </c>
      <c r="B949" s="1" t="s">
        <v>8177</v>
      </c>
      <c r="C949" s="1" t="s">
        <v>12</v>
      </c>
      <c r="G949" s="1" t="s">
        <v>10</v>
      </c>
      <c r="J949" s="3">
        <v>45905.325439814813</v>
      </c>
      <c r="K949" s="2" t="s">
        <v>8178</v>
      </c>
      <c r="L949" s="1">
        <v>1</v>
      </c>
      <c r="M949" s="1">
        <v>1</v>
      </c>
      <c r="N949">
        <v>0</v>
      </c>
      <c r="O949" s="3">
        <f>IF(
    R949="Ancien",
    _xlfn.XLOOKUP(
        Final_Sans_VGE[[#This Row],[ppn_z]],
        tbl_Historique_Final[ppn_z],
        tbl_Historique_Final[Horodatage],
        ""
    ),
    Horodatage!$A$2
)</f>
        <v>46233.670796365739</v>
      </c>
      <c r="P949" s="1" t="str">
        <f>IFERROR(IF(tbl_Historique_Final[[#This Row],[Commentaires]]&lt;&gt;"",tbl_Historique_Final[[#This Row],[Commentaires]],""),"")</f>
        <v/>
      </c>
      <c r="X949" s="8" t="str">
        <f>IF(Final_Sans_VGE[[#This Row],[ppn_z]]="","",IFERROR(
   IF(_xlfn.XLOOKUP(Final_Sans_VGE[[#This Row],[ppn_z]],tbl_Historique_Final[ppn_z],tbl_Historique_Final[date_modif])=Final_Sans_VGE[[#This Row],[date_modif]],
      "Ancien",
      "Modifié"),
   "Nouveau"))</f>
        <v>Ancien</v>
      </c>
      <c r="AC949"/>
      <c r="AD949"/>
    </row>
    <row r="950" spans="1:30" ht="30" x14ac:dyDescent="0.25">
      <c r="A950" s="5" t="s">
        <v>3014</v>
      </c>
      <c r="B950" s="1" t="s">
        <v>8179</v>
      </c>
      <c r="C950" s="1" t="s">
        <v>71</v>
      </c>
      <c r="D950" s="1" t="s">
        <v>14</v>
      </c>
      <c r="H950" s="1" t="s">
        <v>8180</v>
      </c>
      <c r="I950" s="1" t="s">
        <v>8181</v>
      </c>
      <c r="J950" s="3">
        <v>45898.418321759258</v>
      </c>
      <c r="K950" s="2" t="s">
        <v>8182</v>
      </c>
      <c r="L950" s="1">
        <v>15</v>
      </c>
      <c r="M950" s="1">
        <v>30</v>
      </c>
      <c r="N950">
        <v>15</v>
      </c>
      <c r="O950" s="3">
        <f>IF(
    R950="Ancien",
    _xlfn.XLOOKUP(
        Final_Sans_VGE[[#This Row],[ppn_z]],
        tbl_Historique_Final[ppn_z],
        tbl_Historique_Final[Horodatage],
        ""
    ),
    Horodatage!$A$2
)</f>
        <v>46233.670796365739</v>
      </c>
      <c r="P950" s="1" t="str">
        <f>IFERROR(IF(tbl_Historique_Final[[#This Row],[Commentaires]]&lt;&gt;"",tbl_Historique_Final[[#This Row],[Commentaires]],""),"")</f>
        <v/>
      </c>
      <c r="X950" s="8" t="str">
        <f>IF(Final_Sans_VGE[[#This Row],[ppn_z]]="","",IFERROR(
   IF(_xlfn.XLOOKUP(Final_Sans_VGE[[#This Row],[ppn_z]],tbl_Historique_Final[ppn_z],tbl_Historique_Final[date_modif])=Final_Sans_VGE[[#This Row],[date_modif]],
      "Ancien",
      "Modifié"),
   "Nouveau"))</f>
        <v>Ancien</v>
      </c>
      <c r="AC950"/>
      <c r="AD950"/>
    </row>
    <row r="951" spans="1:30" ht="90" x14ac:dyDescent="0.25">
      <c r="A951" s="5" t="s">
        <v>3017</v>
      </c>
      <c r="B951" s="1" t="s">
        <v>8183</v>
      </c>
      <c r="C951" s="1" t="s">
        <v>12</v>
      </c>
      <c r="G951" s="1" t="s">
        <v>10</v>
      </c>
      <c r="J951" s="3">
        <v>45849.398425925923</v>
      </c>
      <c r="K951" s="2" t="s">
        <v>8184</v>
      </c>
      <c r="L951" s="1">
        <v>10</v>
      </c>
      <c r="M951" s="1">
        <v>15</v>
      </c>
      <c r="N951">
        <v>5</v>
      </c>
      <c r="O951" s="3">
        <f>IF(
    R951="Ancien",
    _xlfn.XLOOKUP(
        Final_Sans_VGE[[#This Row],[ppn_z]],
        tbl_Historique_Final[ppn_z],
        tbl_Historique_Final[Horodatage],
        ""
    ),
    Horodatage!$A$2
)</f>
        <v>46233.670796365739</v>
      </c>
      <c r="P951" s="1" t="str">
        <f>IFERROR(IF(tbl_Historique_Final[[#This Row],[Commentaires]]&lt;&gt;"",tbl_Historique_Final[[#This Row],[Commentaires]],""),"")</f>
        <v/>
      </c>
      <c r="X951" s="8" t="str">
        <f>IF(Final_Sans_VGE[[#This Row],[ppn_z]]="","",IFERROR(
   IF(_xlfn.XLOOKUP(Final_Sans_VGE[[#This Row],[ppn_z]],tbl_Historique_Final[ppn_z],tbl_Historique_Final[date_modif])=Final_Sans_VGE[[#This Row],[date_modif]],
      "Ancien",
      "Modifié"),
   "Nouveau"))</f>
        <v>Ancien</v>
      </c>
      <c r="AC951"/>
      <c r="AD951"/>
    </row>
    <row r="952" spans="1:30" x14ac:dyDescent="0.25">
      <c r="A952" s="5" t="s">
        <v>3020</v>
      </c>
      <c r="B952" s="1" t="s">
        <v>8185</v>
      </c>
      <c r="C952" s="1" t="s">
        <v>131</v>
      </c>
      <c r="G952" s="1" t="s">
        <v>111</v>
      </c>
      <c r="J952" s="3">
        <v>45874.623831018522</v>
      </c>
      <c r="K952" s="2" t="s">
        <v>8186</v>
      </c>
      <c r="L952" s="1">
        <v>1</v>
      </c>
      <c r="M952" s="1">
        <v>1</v>
      </c>
      <c r="N952">
        <v>0</v>
      </c>
      <c r="O952" s="3">
        <f>IF(
    R952="Ancien",
    _xlfn.XLOOKUP(
        Final_Sans_VGE[[#This Row],[ppn_z]],
        tbl_Historique_Final[ppn_z],
        tbl_Historique_Final[Horodatage],
        ""
    ),
    Horodatage!$A$2
)</f>
        <v>46233.670796365739</v>
      </c>
      <c r="P952" s="1" t="str">
        <f>IFERROR(IF(tbl_Historique_Final[[#This Row],[Commentaires]]&lt;&gt;"",tbl_Historique_Final[[#This Row],[Commentaires]],""),"")</f>
        <v/>
      </c>
      <c r="X952" s="8" t="str">
        <f>IF(Final_Sans_VGE[[#This Row],[ppn_z]]="","",IFERROR(
   IF(_xlfn.XLOOKUP(Final_Sans_VGE[[#This Row],[ppn_z]],tbl_Historique_Final[ppn_z],tbl_Historique_Final[date_modif])=Final_Sans_VGE[[#This Row],[date_modif]],
      "Ancien",
      "Modifié"),
   "Nouveau"))</f>
        <v>Ancien</v>
      </c>
      <c r="AC952"/>
      <c r="AD952"/>
    </row>
    <row r="953" spans="1:30" x14ac:dyDescent="0.25">
      <c r="A953" s="5" t="s">
        <v>3023</v>
      </c>
      <c r="B953" s="1" t="s">
        <v>8187</v>
      </c>
      <c r="C953" s="1" t="s">
        <v>12</v>
      </c>
      <c r="G953" s="1" t="s">
        <v>11</v>
      </c>
      <c r="J953" s="3">
        <v>45897.487453703703</v>
      </c>
      <c r="K953" s="2" t="s">
        <v>8188</v>
      </c>
      <c r="L953" s="1">
        <v>1</v>
      </c>
      <c r="M953" s="1">
        <v>1</v>
      </c>
      <c r="N953">
        <v>0</v>
      </c>
      <c r="O953" s="3">
        <f>IF(
    R953="Ancien",
    _xlfn.XLOOKUP(
        Final_Sans_VGE[[#This Row],[ppn_z]],
        tbl_Historique_Final[ppn_z],
        tbl_Historique_Final[Horodatage],
        ""
    ),
    Horodatage!$A$2
)</f>
        <v>46233.670796365739</v>
      </c>
      <c r="P953" s="1" t="str">
        <f>IFERROR(IF(tbl_Historique_Final[[#This Row],[Commentaires]]&lt;&gt;"",tbl_Historique_Final[[#This Row],[Commentaires]],""),"")</f>
        <v/>
      </c>
      <c r="X953" s="8" t="str">
        <f>IF(Final_Sans_VGE[[#This Row],[ppn_z]]="","",IFERROR(
   IF(_xlfn.XLOOKUP(Final_Sans_VGE[[#This Row],[ppn_z]],tbl_Historique_Final[ppn_z],tbl_Historique_Final[date_modif])=Final_Sans_VGE[[#This Row],[date_modif]],
      "Ancien",
      "Modifié"),
   "Nouveau"))</f>
        <v>Ancien</v>
      </c>
      <c r="AC953"/>
      <c r="AD953"/>
    </row>
    <row r="954" spans="1:30" x14ac:dyDescent="0.25">
      <c r="A954" s="5" t="s">
        <v>3026</v>
      </c>
      <c r="B954" s="1" t="s">
        <v>8189</v>
      </c>
      <c r="C954" s="1" t="s">
        <v>42</v>
      </c>
      <c r="J954" s="3">
        <v>45706.514282407406</v>
      </c>
      <c r="L954" s="1">
        <v>2</v>
      </c>
      <c r="M954" s="1">
        <v>2</v>
      </c>
      <c r="N954">
        <v>0</v>
      </c>
      <c r="O954" s="3">
        <f>IF(
    R954="Ancien",
    _xlfn.XLOOKUP(
        Final_Sans_VGE[[#This Row],[ppn_z]],
        tbl_Historique_Final[ppn_z],
        tbl_Historique_Final[Horodatage],
        ""
    ),
    Horodatage!$A$2
)</f>
        <v>46233.670796365739</v>
      </c>
      <c r="P954" s="1" t="str">
        <f>IFERROR(IF(tbl_Historique_Final[[#This Row],[Commentaires]]&lt;&gt;"",tbl_Historique_Final[[#This Row],[Commentaires]],""),"")</f>
        <v/>
      </c>
      <c r="X954" s="8" t="str">
        <f>IF(Final_Sans_VGE[[#This Row],[ppn_z]]="","",IFERROR(
   IF(_xlfn.XLOOKUP(Final_Sans_VGE[[#This Row],[ppn_z]],tbl_Historique_Final[ppn_z],tbl_Historique_Final[date_modif])=Final_Sans_VGE[[#This Row],[date_modif]],
      "Ancien",
      "Modifié"),
   "Nouveau"))</f>
        <v>Ancien</v>
      </c>
      <c r="AC954"/>
      <c r="AD954"/>
    </row>
    <row r="955" spans="1:30" x14ac:dyDescent="0.25">
      <c r="A955" s="5" t="s">
        <v>3029</v>
      </c>
      <c r="B955" s="1" t="s">
        <v>8190</v>
      </c>
      <c r="C955" s="1" t="s">
        <v>12</v>
      </c>
      <c r="G955" s="1" t="s">
        <v>10</v>
      </c>
      <c r="J955" s="3">
        <v>45875.635787037034</v>
      </c>
      <c r="K955" s="2" t="s">
        <v>8191</v>
      </c>
      <c r="L955" s="1">
        <v>1</v>
      </c>
      <c r="M955" s="1">
        <v>1</v>
      </c>
      <c r="N955">
        <v>0</v>
      </c>
      <c r="O955" s="3">
        <f>IF(
    R955="Ancien",
    _xlfn.XLOOKUP(
        Final_Sans_VGE[[#This Row],[ppn_z]],
        tbl_Historique_Final[ppn_z],
        tbl_Historique_Final[Horodatage],
        ""
    ),
    Horodatage!$A$2
)</f>
        <v>46233.670796365739</v>
      </c>
      <c r="P955" s="1" t="str">
        <f>IFERROR(IF(tbl_Historique_Final[[#This Row],[Commentaires]]&lt;&gt;"",tbl_Historique_Final[[#This Row],[Commentaires]],""),"")</f>
        <v/>
      </c>
      <c r="X955" s="8" t="str">
        <f>IF(Final_Sans_VGE[[#This Row],[ppn_z]]="","",IFERROR(
   IF(_xlfn.XLOOKUP(Final_Sans_VGE[[#This Row],[ppn_z]],tbl_Historique_Final[ppn_z],tbl_Historique_Final[date_modif])=Final_Sans_VGE[[#This Row],[date_modif]],
      "Ancien",
      "Modifié"),
   "Nouveau"))</f>
        <v>Ancien</v>
      </c>
      <c r="AC955"/>
      <c r="AD955"/>
    </row>
    <row r="956" spans="1:30" x14ac:dyDescent="0.25">
      <c r="A956" s="5" t="s">
        <v>3032</v>
      </c>
      <c r="B956" s="1" t="s">
        <v>8192</v>
      </c>
      <c r="C956" s="1" t="s">
        <v>12</v>
      </c>
      <c r="G956" s="1" t="s">
        <v>11</v>
      </c>
      <c r="J956" s="3">
        <v>45936.401423611111</v>
      </c>
      <c r="K956" s="2" t="s">
        <v>8193</v>
      </c>
      <c r="L956" s="1">
        <v>1</v>
      </c>
      <c r="M956" s="1">
        <v>1</v>
      </c>
      <c r="N956">
        <v>0</v>
      </c>
      <c r="O956" s="3">
        <f>IF(
    R956="Ancien",
    _xlfn.XLOOKUP(
        Final_Sans_VGE[[#This Row],[ppn_z]],
        tbl_Historique_Final[ppn_z],
        tbl_Historique_Final[Horodatage],
        ""
    ),
    Horodatage!$A$2
)</f>
        <v>46233.670796365739</v>
      </c>
      <c r="P956" s="1" t="str">
        <f>IFERROR(IF(tbl_Historique_Final[[#This Row],[Commentaires]]&lt;&gt;"",tbl_Historique_Final[[#This Row],[Commentaires]],""),"")</f>
        <v/>
      </c>
      <c r="X956" s="8" t="str">
        <f>IF(Final_Sans_VGE[[#This Row],[ppn_z]]="","",IFERROR(
   IF(_xlfn.XLOOKUP(Final_Sans_VGE[[#This Row],[ppn_z]],tbl_Historique_Final[ppn_z],tbl_Historique_Final[date_modif])=Final_Sans_VGE[[#This Row],[date_modif]],
      "Ancien",
      "Modifié"),
   "Nouveau"))</f>
        <v>Ancien</v>
      </c>
      <c r="AC956"/>
      <c r="AD956"/>
    </row>
    <row r="957" spans="1:30" x14ac:dyDescent="0.25">
      <c r="A957" s="5" t="s">
        <v>3035</v>
      </c>
      <c r="B957" s="1" t="s">
        <v>8194</v>
      </c>
      <c r="J957" s="3">
        <v>45668.513483796298</v>
      </c>
      <c r="L957" s="1">
        <v>0</v>
      </c>
      <c r="M957" s="1">
        <v>0</v>
      </c>
      <c r="N957">
        <v>0</v>
      </c>
      <c r="O957" s="3">
        <f>IF(
    R957="Ancien",
    _xlfn.XLOOKUP(
        Final_Sans_VGE[[#This Row],[ppn_z]],
        tbl_Historique_Final[ppn_z],
        tbl_Historique_Final[Horodatage],
        ""
    ),
    Horodatage!$A$2
)</f>
        <v>46233.670796365739</v>
      </c>
      <c r="P957" s="1" t="str">
        <f>IFERROR(IF(tbl_Historique_Final[[#This Row],[Commentaires]]&lt;&gt;"",tbl_Historique_Final[[#This Row],[Commentaires]],""),"")</f>
        <v/>
      </c>
      <c r="X957" s="8" t="str">
        <f>IF(Final_Sans_VGE[[#This Row],[ppn_z]]="","",IFERROR(
   IF(_xlfn.XLOOKUP(Final_Sans_VGE[[#This Row],[ppn_z]],tbl_Historique_Final[ppn_z],tbl_Historique_Final[date_modif])=Final_Sans_VGE[[#This Row],[date_modif]],
      "Ancien",
      "Modifié"),
   "Nouveau"))</f>
        <v>Ancien</v>
      </c>
      <c r="AC957"/>
      <c r="AD957"/>
    </row>
    <row r="958" spans="1:30" ht="75" x14ac:dyDescent="0.25">
      <c r="A958" s="5" t="s">
        <v>3038</v>
      </c>
      <c r="B958" s="1" t="s">
        <v>8195</v>
      </c>
      <c r="C958" s="1" t="s">
        <v>12</v>
      </c>
      <c r="G958" s="1" t="s">
        <v>11</v>
      </c>
      <c r="J958" s="3">
        <v>45903.579212962963</v>
      </c>
      <c r="K958" s="2" t="s">
        <v>8196</v>
      </c>
      <c r="L958" s="1">
        <v>1</v>
      </c>
      <c r="M958" s="1">
        <v>1</v>
      </c>
      <c r="N958">
        <v>0</v>
      </c>
      <c r="O958" s="3">
        <f>IF(
    R958="Ancien",
    _xlfn.XLOOKUP(
        Final_Sans_VGE[[#This Row],[ppn_z]],
        tbl_Historique_Final[ppn_z],
        tbl_Historique_Final[Horodatage],
        ""
    ),
    Horodatage!$A$2
)</f>
        <v>46233.670796365739</v>
      </c>
      <c r="P958" s="1" t="str">
        <f>IFERROR(IF(tbl_Historique_Final[[#This Row],[Commentaires]]&lt;&gt;"",tbl_Historique_Final[[#This Row],[Commentaires]],""),"")</f>
        <v/>
      </c>
      <c r="X958" s="8" t="str">
        <f>IF(Final_Sans_VGE[[#This Row],[ppn_z]]="","",IFERROR(
   IF(_xlfn.XLOOKUP(Final_Sans_VGE[[#This Row],[ppn_z]],tbl_Historique_Final[ppn_z],tbl_Historique_Final[date_modif])=Final_Sans_VGE[[#This Row],[date_modif]],
      "Ancien",
      "Modifié"),
   "Nouveau"))</f>
        <v>Ancien</v>
      </c>
      <c r="AC958"/>
      <c r="AD958"/>
    </row>
    <row r="959" spans="1:30" x14ac:dyDescent="0.25">
      <c r="A959" s="5" t="s">
        <v>3041</v>
      </c>
      <c r="B959" s="1" t="s">
        <v>8197</v>
      </c>
      <c r="C959" s="1" t="s">
        <v>57</v>
      </c>
      <c r="G959" s="1" t="s">
        <v>11</v>
      </c>
      <c r="J959" s="3">
        <v>45877.638148148151</v>
      </c>
      <c r="K959" s="2" t="s">
        <v>8198</v>
      </c>
      <c r="L959" s="1">
        <v>2</v>
      </c>
      <c r="M959" s="1">
        <v>2</v>
      </c>
      <c r="N959">
        <v>0</v>
      </c>
      <c r="O959" s="3">
        <f>IF(
    R959="Ancien",
    _xlfn.XLOOKUP(
        Final_Sans_VGE[[#This Row],[ppn_z]],
        tbl_Historique_Final[ppn_z],
        tbl_Historique_Final[Horodatage],
        ""
    ),
    Horodatage!$A$2
)</f>
        <v>46233.670796365739</v>
      </c>
      <c r="P959" s="1" t="str">
        <f>IFERROR(IF(tbl_Historique_Final[[#This Row],[Commentaires]]&lt;&gt;"",tbl_Historique_Final[[#This Row],[Commentaires]],""),"")</f>
        <v/>
      </c>
      <c r="X959" s="8" t="str">
        <f>IF(Final_Sans_VGE[[#This Row],[ppn_z]]="","",IFERROR(
   IF(_xlfn.XLOOKUP(Final_Sans_VGE[[#This Row],[ppn_z]],tbl_Historique_Final[ppn_z],tbl_Historique_Final[date_modif])=Final_Sans_VGE[[#This Row],[date_modif]],
      "Ancien",
      "Modifié"),
   "Nouveau"))</f>
        <v>Ancien</v>
      </c>
      <c r="AC959"/>
      <c r="AD959"/>
    </row>
    <row r="960" spans="1:30" x14ac:dyDescent="0.25">
      <c r="A960" s="5" t="s">
        <v>3044</v>
      </c>
      <c r="B960" s="1" t="s">
        <v>8199</v>
      </c>
      <c r="C960" s="1" t="s">
        <v>59</v>
      </c>
      <c r="J960" s="3">
        <v>45713.451099537036</v>
      </c>
      <c r="L960" s="1">
        <v>1</v>
      </c>
      <c r="M960" s="1">
        <v>1</v>
      </c>
      <c r="N960">
        <v>0</v>
      </c>
      <c r="O960" s="3">
        <f>IF(
    R960="Ancien",
    _xlfn.XLOOKUP(
        Final_Sans_VGE[[#This Row],[ppn_z]],
        tbl_Historique_Final[ppn_z],
        tbl_Historique_Final[Horodatage],
        ""
    ),
    Horodatage!$A$2
)</f>
        <v>46233.670796365739</v>
      </c>
      <c r="P960" s="1" t="str">
        <f>IFERROR(IF(tbl_Historique_Final[[#This Row],[Commentaires]]&lt;&gt;"",tbl_Historique_Final[[#This Row],[Commentaires]],""),"")</f>
        <v/>
      </c>
      <c r="X960" s="8" t="str">
        <f>IF(Final_Sans_VGE[[#This Row],[ppn_z]]="","",IFERROR(
   IF(_xlfn.XLOOKUP(Final_Sans_VGE[[#This Row],[ppn_z]],tbl_Historique_Final[ppn_z],tbl_Historique_Final[date_modif])=Final_Sans_VGE[[#This Row],[date_modif]],
      "Ancien",
      "Modifié"),
   "Nouveau"))</f>
        <v>Ancien</v>
      </c>
      <c r="AC960"/>
      <c r="AD960"/>
    </row>
    <row r="961" spans="1:30" x14ac:dyDescent="0.25">
      <c r="A961" s="5" t="s">
        <v>3047</v>
      </c>
      <c r="B961" s="1" t="s">
        <v>8200</v>
      </c>
      <c r="C961" s="1" t="s">
        <v>33</v>
      </c>
      <c r="G961" s="1" t="s">
        <v>10</v>
      </c>
      <c r="J961" s="3">
        <v>45897.499918981484</v>
      </c>
      <c r="K961" s="2" t="s">
        <v>8201</v>
      </c>
      <c r="L961" s="1">
        <v>1</v>
      </c>
      <c r="M961" s="1">
        <v>1</v>
      </c>
      <c r="N961">
        <v>0</v>
      </c>
      <c r="O961" s="3">
        <f>IF(
    R961="Ancien",
    _xlfn.XLOOKUP(
        Final_Sans_VGE[[#This Row],[ppn_z]],
        tbl_Historique_Final[ppn_z],
        tbl_Historique_Final[Horodatage],
        ""
    ),
    Horodatage!$A$2
)</f>
        <v>46233.670796365739</v>
      </c>
      <c r="P961" s="1" t="str">
        <f>IFERROR(IF(tbl_Historique_Final[[#This Row],[Commentaires]]&lt;&gt;"",tbl_Historique_Final[[#This Row],[Commentaires]],""),"")</f>
        <v/>
      </c>
      <c r="X961" s="8" t="str">
        <f>IF(Final_Sans_VGE[[#This Row],[ppn_z]]="","",IFERROR(
   IF(_xlfn.XLOOKUP(Final_Sans_VGE[[#This Row],[ppn_z]],tbl_Historique_Final[ppn_z],tbl_Historique_Final[date_modif])=Final_Sans_VGE[[#This Row],[date_modif]],
      "Ancien",
      "Modifié"),
   "Nouveau"))</f>
        <v>Ancien</v>
      </c>
      <c r="AC961"/>
      <c r="AD961"/>
    </row>
    <row r="962" spans="1:30" x14ac:dyDescent="0.25">
      <c r="A962" s="5" t="s">
        <v>3050</v>
      </c>
      <c r="B962" s="1" t="s">
        <v>8202</v>
      </c>
      <c r="C962" s="1" t="s">
        <v>6482</v>
      </c>
      <c r="G962" s="1" t="s">
        <v>11</v>
      </c>
      <c r="J962" s="3">
        <v>45880.579328703701</v>
      </c>
      <c r="L962" s="1">
        <v>30</v>
      </c>
      <c r="M962" s="1">
        <v>30</v>
      </c>
      <c r="N962">
        <v>0</v>
      </c>
      <c r="O962" s="3">
        <f>IF(
    R962="Ancien",
    _xlfn.XLOOKUP(
        Final_Sans_VGE[[#This Row],[ppn_z]],
        tbl_Historique_Final[ppn_z],
        tbl_Historique_Final[Horodatage],
        ""
    ),
    Horodatage!$A$2
)</f>
        <v>46233.670796365739</v>
      </c>
      <c r="P962" s="1" t="str">
        <f>IFERROR(IF(tbl_Historique_Final[[#This Row],[Commentaires]]&lt;&gt;"",tbl_Historique_Final[[#This Row],[Commentaires]],""),"")</f>
        <v/>
      </c>
      <c r="X962" s="8" t="str">
        <f>IF(Final_Sans_VGE[[#This Row],[ppn_z]]="","",IFERROR(
   IF(_xlfn.XLOOKUP(Final_Sans_VGE[[#This Row],[ppn_z]],tbl_Historique_Final[ppn_z],tbl_Historique_Final[date_modif])=Final_Sans_VGE[[#This Row],[date_modif]],
      "Ancien",
      "Modifié"),
   "Nouveau"))</f>
        <v>Ancien</v>
      </c>
      <c r="AC962"/>
      <c r="AD962"/>
    </row>
    <row r="963" spans="1:30" x14ac:dyDescent="0.25">
      <c r="A963" s="5" t="s">
        <v>3053</v>
      </c>
      <c r="B963" s="1" t="s">
        <v>8203</v>
      </c>
      <c r="C963" s="1" t="s">
        <v>12</v>
      </c>
      <c r="G963" s="1" t="s">
        <v>11</v>
      </c>
      <c r="J963" s="3">
        <v>45908.630578703705</v>
      </c>
      <c r="K963" s="2" t="s">
        <v>8204</v>
      </c>
      <c r="L963" s="1">
        <v>1</v>
      </c>
      <c r="M963" s="1">
        <v>1</v>
      </c>
      <c r="N963">
        <v>0</v>
      </c>
      <c r="O963" s="3">
        <f>IF(
    R963="Ancien",
    _xlfn.XLOOKUP(
        Final_Sans_VGE[[#This Row],[ppn_z]],
        tbl_Historique_Final[ppn_z],
        tbl_Historique_Final[Horodatage],
        ""
    ),
    Horodatage!$A$2
)</f>
        <v>46233.670796365739</v>
      </c>
      <c r="P963" s="1" t="str">
        <f>IFERROR(IF(tbl_Historique_Final[[#This Row],[Commentaires]]&lt;&gt;"",tbl_Historique_Final[[#This Row],[Commentaires]],""),"")</f>
        <v/>
      </c>
      <c r="X963" s="8" t="str">
        <f>IF(Final_Sans_VGE[[#This Row],[ppn_z]]="","",IFERROR(
   IF(_xlfn.XLOOKUP(Final_Sans_VGE[[#This Row],[ppn_z]],tbl_Historique_Final[ppn_z],tbl_Historique_Final[date_modif])=Final_Sans_VGE[[#This Row],[date_modif]],
      "Ancien",
      "Modifié"),
   "Nouveau"))</f>
        <v>Ancien</v>
      </c>
      <c r="AC963"/>
      <c r="AD963"/>
    </row>
    <row r="964" spans="1:30" x14ac:dyDescent="0.25">
      <c r="A964" s="5" t="s">
        <v>3056</v>
      </c>
      <c r="B964" s="1" t="s">
        <v>8205</v>
      </c>
      <c r="C964" s="1" t="s">
        <v>81</v>
      </c>
      <c r="D964" s="1" t="s">
        <v>15</v>
      </c>
      <c r="G964" s="1" t="s">
        <v>10</v>
      </c>
      <c r="H964" s="1" t="s">
        <v>22</v>
      </c>
      <c r="I964" s="1" t="s">
        <v>22</v>
      </c>
      <c r="J964" s="3">
        <v>45886.344513888886</v>
      </c>
      <c r="K964" s="2" t="s">
        <v>8206</v>
      </c>
      <c r="L964" s="1">
        <v>37</v>
      </c>
      <c r="M964" s="1">
        <v>50</v>
      </c>
      <c r="N964">
        <v>13</v>
      </c>
      <c r="O964" s="3">
        <f>IF(
    R964="Ancien",
    _xlfn.XLOOKUP(
        Final_Sans_VGE[[#This Row],[ppn_z]],
        tbl_Historique_Final[ppn_z],
        tbl_Historique_Final[Horodatage],
        ""
    ),
    Horodatage!$A$2
)</f>
        <v>46233.670796365739</v>
      </c>
      <c r="P964" s="1" t="str">
        <f>IFERROR(IF(tbl_Historique_Final[[#This Row],[Commentaires]]&lt;&gt;"",tbl_Historique_Final[[#This Row],[Commentaires]],""),"")</f>
        <v/>
      </c>
      <c r="X964" s="8" t="str">
        <f>IF(Final_Sans_VGE[[#This Row],[ppn_z]]="","",IFERROR(
   IF(_xlfn.XLOOKUP(Final_Sans_VGE[[#This Row],[ppn_z]],tbl_Historique_Final[ppn_z],tbl_Historique_Final[date_modif])=Final_Sans_VGE[[#This Row],[date_modif]],
      "Ancien",
      "Modifié"),
   "Nouveau"))</f>
        <v>Ancien</v>
      </c>
      <c r="AC964"/>
      <c r="AD964"/>
    </row>
    <row r="965" spans="1:30" x14ac:dyDescent="0.25">
      <c r="A965" s="5" t="s">
        <v>3059</v>
      </c>
      <c r="B965" s="1" t="s">
        <v>8207</v>
      </c>
      <c r="C965" s="1" t="s">
        <v>12</v>
      </c>
      <c r="G965" s="1" t="s">
        <v>10</v>
      </c>
      <c r="J965" s="3">
        <v>45905.314351851855</v>
      </c>
      <c r="K965" s="2" t="s">
        <v>8208</v>
      </c>
      <c r="L965" s="1">
        <v>1</v>
      </c>
      <c r="M965" s="1">
        <v>1</v>
      </c>
      <c r="N965">
        <v>0</v>
      </c>
      <c r="O965" s="3">
        <f>IF(
    R965="Ancien",
    _xlfn.XLOOKUP(
        Final_Sans_VGE[[#This Row],[ppn_z]],
        tbl_Historique_Final[ppn_z],
        tbl_Historique_Final[Horodatage],
        ""
    ),
    Horodatage!$A$2
)</f>
        <v>46233.670796365739</v>
      </c>
      <c r="P965" s="1" t="str">
        <f>IFERROR(IF(tbl_Historique_Final[[#This Row],[Commentaires]]&lt;&gt;"",tbl_Historique_Final[[#This Row],[Commentaires]],""),"")</f>
        <v/>
      </c>
      <c r="X965" s="8" t="str">
        <f>IF(Final_Sans_VGE[[#This Row],[ppn_z]]="","",IFERROR(
   IF(_xlfn.XLOOKUP(Final_Sans_VGE[[#This Row],[ppn_z]],tbl_Historique_Final[ppn_z],tbl_Historique_Final[date_modif])=Final_Sans_VGE[[#This Row],[date_modif]],
      "Ancien",
      "Modifié"),
   "Nouveau"))</f>
        <v>Ancien</v>
      </c>
      <c r="AC965"/>
      <c r="AD965"/>
    </row>
    <row r="966" spans="1:30" x14ac:dyDescent="0.25">
      <c r="A966" s="5" t="s">
        <v>3062</v>
      </c>
      <c r="B966" s="1" t="s">
        <v>8209</v>
      </c>
      <c r="C966" s="1" t="s">
        <v>8210</v>
      </c>
      <c r="E966" s="1" t="s">
        <v>67</v>
      </c>
      <c r="G966" s="1" t="s">
        <v>10</v>
      </c>
      <c r="J966" s="3">
        <v>45902.569814814815</v>
      </c>
      <c r="K966" s="2" t="s">
        <v>8211</v>
      </c>
      <c r="L966" s="1">
        <v>1</v>
      </c>
      <c r="M966" s="1">
        <v>1</v>
      </c>
      <c r="N966">
        <v>0</v>
      </c>
      <c r="O966" s="3">
        <f>IF(
    R966="Ancien",
    _xlfn.XLOOKUP(
        Final_Sans_VGE[[#This Row],[ppn_z]],
        tbl_Historique_Final[ppn_z],
        tbl_Historique_Final[Horodatage],
        ""
    ),
    Horodatage!$A$2
)</f>
        <v>46233.670796365739</v>
      </c>
      <c r="P966" s="1" t="str">
        <f>IFERROR(IF(tbl_Historique_Final[[#This Row],[Commentaires]]&lt;&gt;"",tbl_Historique_Final[[#This Row],[Commentaires]],""),"")</f>
        <v/>
      </c>
      <c r="X966" s="8" t="str">
        <f>IF(Final_Sans_VGE[[#This Row],[ppn_z]]="","",IFERROR(
   IF(_xlfn.XLOOKUP(Final_Sans_VGE[[#This Row],[ppn_z]],tbl_Historique_Final[ppn_z],tbl_Historique_Final[date_modif])=Final_Sans_VGE[[#This Row],[date_modif]],
      "Ancien",
      "Modifié"),
   "Nouveau"))</f>
        <v>Ancien</v>
      </c>
      <c r="AC966"/>
      <c r="AD966"/>
    </row>
    <row r="967" spans="1:30" ht="30" x14ac:dyDescent="0.25">
      <c r="A967" s="5" t="s">
        <v>3065</v>
      </c>
      <c r="B967" s="1" t="s">
        <v>8212</v>
      </c>
      <c r="C967" s="1" t="s">
        <v>12</v>
      </c>
      <c r="G967" s="1" t="s">
        <v>10</v>
      </c>
      <c r="J967" s="3">
        <v>45882.470254629632</v>
      </c>
      <c r="K967" s="2" t="s">
        <v>8213</v>
      </c>
      <c r="L967" s="1">
        <v>40</v>
      </c>
      <c r="M967" s="1">
        <v>54</v>
      </c>
      <c r="N967">
        <v>14</v>
      </c>
      <c r="O967" s="3">
        <f>IF(
    R967="Ancien",
    _xlfn.XLOOKUP(
        Final_Sans_VGE[[#This Row],[ppn_z]],
        tbl_Historique_Final[ppn_z],
        tbl_Historique_Final[Horodatage],
        ""
    ),
    Horodatage!$A$2
)</f>
        <v>46233.670796365739</v>
      </c>
      <c r="P967" s="1" t="str">
        <f>IFERROR(IF(tbl_Historique_Final[[#This Row],[Commentaires]]&lt;&gt;"",tbl_Historique_Final[[#This Row],[Commentaires]],""),"")</f>
        <v/>
      </c>
      <c r="X967" s="8" t="str">
        <f>IF(Final_Sans_VGE[[#This Row],[ppn_z]]="","",IFERROR(
   IF(_xlfn.XLOOKUP(Final_Sans_VGE[[#This Row],[ppn_z]],tbl_Historique_Final[ppn_z],tbl_Historique_Final[date_modif])=Final_Sans_VGE[[#This Row],[date_modif]],
      "Ancien",
      "Modifié"),
   "Nouveau"))</f>
        <v>Ancien</v>
      </c>
      <c r="AC967"/>
      <c r="AD967"/>
    </row>
    <row r="968" spans="1:30" ht="30" x14ac:dyDescent="0.25">
      <c r="A968" s="5" t="s">
        <v>3068</v>
      </c>
      <c r="B968" s="1" t="s">
        <v>8214</v>
      </c>
      <c r="C968" s="1" t="s">
        <v>12</v>
      </c>
      <c r="G968" s="1" t="s">
        <v>10</v>
      </c>
      <c r="J968" s="3">
        <v>45923.604837962965</v>
      </c>
      <c r="K968" s="2" t="s">
        <v>8215</v>
      </c>
      <c r="L968" s="1">
        <v>7</v>
      </c>
      <c r="M968" s="1">
        <v>10</v>
      </c>
      <c r="N968">
        <v>3</v>
      </c>
      <c r="O968" s="3">
        <f>IF(
    R968="Ancien",
    _xlfn.XLOOKUP(
        Final_Sans_VGE[[#This Row],[ppn_z]],
        tbl_Historique_Final[ppn_z],
        tbl_Historique_Final[Horodatage],
        ""
    ),
    Horodatage!$A$2
)</f>
        <v>46233.670796365739</v>
      </c>
      <c r="P968" s="1" t="str">
        <f>IFERROR(IF(tbl_Historique_Final[[#This Row],[Commentaires]]&lt;&gt;"",tbl_Historique_Final[[#This Row],[Commentaires]],""),"")</f>
        <v/>
      </c>
      <c r="X968" s="8" t="str">
        <f>IF(Final_Sans_VGE[[#This Row],[ppn_z]]="","",IFERROR(
   IF(_xlfn.XLOOKUP(Final_Sans_VGE[[#This Row],[ppn_z]],tbl_Historique_Final[ppn_z],tbl_Historique_Final[date_modif])=Final_Sans_VGE[[#This Row],[date_modif]],
      "Ancien",
      "Modifié"),
   "Nouveau"))</f>
        <v>Ancien</v>
      </c>
      <c r="AC968"/>
      <c r="AD968"/>
    </row>
    <row r="969" spans="1:30" x14ac:dyDescent="0.25">
      <c r="A969" s="5" t="s">
        <v>3071</v>
      </c>
      <c r="B969" s="1" t="s">
        <v>8216</v>
      </c>
      <c r="C969" s="1" t="s">
        <v>159</v>
      </c>
      <c r="G969" s="1" t="s">
        <v>11</v>
      </c>
      <c r="J969" s="3">
        <v>45897.583298611113</v>
      </c>
      <c r="K969" s="2" t="s">
        <v>8217</v>
      </c>
      <c r="L969" s="1">
        <v>1</v>
      </c>
      <c r="M969" s="1">
        <v>1</v>
      </c>
      <c r="N969">
        <v>0</v>
      </c>
      <c r="O969" s="3">
        <f>IF(
    R969="Ancien",
    _xlfn.XLOOKUP(
        Final_Sans_VGE[[#This Row],[ppn_z]],
        tbl_Historique_Final[ppn_z],
        tbl_Historique_Final[Horodatage],
        ""
    ),
    Horodatage!$A$2
)</f>
        <v>46233.670796365739</v>
      </c>
      <c r="P969" s="1" t="str">
        <f>IFERROR(IF(tbl_Historique_Final[[#This Row],[Commentaires]]&lt;&gt;"",tbl_Historique_Final[[#This Row],[Commentaires]],""),"")</f>
        <v/>
      </c>
      <c r="X969" s="8" t="str">
        <f>IF(Final_Sans_VGE[[#This Row],[ppn_z]]="","",IFERROR(
   IF(_xlfn.XLOOKUP(Final_Sans_VGE[[#This Row],[ppn_z]],tbl_Historique_Final[ppn_z],tbl_Historique_Final[date_modif])=Final_Sans_VGE[[#This Row],[date_modif]],
      "Ancien",
      "Modifié"),
   "Nouveau"))</f>
        <v>Ancien</v>
      </c>
      <c r="AC969"/>
      <c r="AD969"/>
    </row>
    <row r="970" spans="1:30" x14ac:dyDescent="0.25">
      <c r="A970" s="5" t="s">
        <v>3074</v>
      </c>
      <c r="B970" s="1" t="s">
        <v>8218</v>
      </c>
      <c r="C970" s="1" t="s">
        <v>12</v>
      </c>
      <c r="G970" s="1" t="s">
        <v>10</v>
      </c>
      <c r="J970" s="3">
        <v>45904.589178240742</v>
      </c>
      <c r="K970" s="2" t="s">
        <v>8219</v>
      </c>
      <c r="L970" s="1">
        <v>1</v>
      </c>
      <c r="M970" s="1">
        <v>1</v>
      </c>
      <c r="N970">
        <v>0</v>
      </c>
      <c r="O970" s="3">
        <f>IF(
    R970="Ancien",
    _xlfn.XLOOKUP(
        Final_Sans_VGE[[#This Row],[ppn_z]],
        tbl_Historique_Final[ppn_z],
        tbl_Historique_Final[Horodatage],
        ""
    ),
    Horodatage!$A$2
)</f>
        <v>46233.670796365739</v>
      </c>
      <c r="P970" s="1" t="str">
        <f>IFERROR(IF(tbl_Historique_Final[[#This Row],[Commentaires]]&lt;&gt;"",tbl_Historique_Final[[#This Row],[Commentaires]],""),"")</f>
        <v/>
      </c>
      <c r="X970" s="8" t="str">
        <f>IF(Final_Sans_VGE[[#This Row],[ppn_z]]="","",IFERROR(
   IF(_xlfn.XLOOKUP(Final_Sans_VGE[[#This Row],[ppn_z]],tbl_Historique_Final[ppn_z],tbl_Historique_Final[date_modif])=Final_Sans_VGE[[#This Row],[date_modif]],
      "Ancien",
      "Modifié"),
   "Nouveau"))</f>
        <v>Ancien</v>
      </c>
      <c r="AC970"/>
      <c r="AD970"/>
    </row>
    <row r="971" spans="1:30" ht="30" x14ac:dyDescent="0.25">
      <c r="A971" s="5" t="s">
        <v>3077</v>
      </c>
      <c r="B971" s="1" t="s">
        <v>8220</v>
      </c>
      <c r="C971" s="1" t="s">
        <v>76</v>
      </c>
      <c r="D971" s="1" t="s">
        <v>14</v>
      </c>
      <c r="G971" s="1" t="s">
        <v>10</v>
      </c>
      <c r="H971" s="1" t="s">
        <v>22</v>
      </c>
      <c r="I971" s="1" t="s">
        <v>22</v>
      </c>
      <c r="J971" s="3">
        <v>45885.417939814812</v>
      </c>
      <c r="K971" s="2" t="s">
        <v>8221</v>
      </c>
      <c r="L971" s="1">
        <v>19</v>
      </c>
      <c r="M971" s="1">
        <v>20</v>
      </c>
      <c r="N971">
        <v>1</v>
      </c>
      <c r="O971" s="3">
        <f>IF(
    R971="Ancien",
    _xlfn.XLOOKUP(
        Final_Sans_VGE[[#This Row],[ppn_z]],
        tbl_Historique_Final[ppn_z],
        tbl_Historique_Final[Horodatage],
        ""
    ),
    Horodatage!$A$2
)</f>
        <v>46233.670796365739</v>
      </c>
      <c r="P971" s="1" t="str">
        <f>IFERROR(IF(tbl_Historique_Final[[#This Row],[Commentaires]]&lt;&gt;"",tbl_Historique_Final[[#This Row],[Commentaires]],""),"")</f>
        <v/>
      </c>
      <c r="X971" s="8" t="str">
        <f>IF(Final_Sans_VGE[[#This Row],[ppn_z]]="","",IFERROR(
   IF(_xlfn.XLOOKUP(Final_Sans_VGE[[#This Row],[ppn_z]],tbl_Historique_Final[ppn_z],tbl_Historique_Final[date_modif])=Final_Sans_VGE[[#This Row],[date_modif]],
      "Ancien",
      "Modifié"),
   "Nouveau"))</f>
        <v>Ancien</v>
      </c>
      <c r="AC971"/>
      <c r="AD971"/>
    </row>
    <row r="972" spans="1:30" x14ac:dyDescent="0.25">
      <c r="A972" s="5" t="s">
        <v>3080</v>
      </c>
      <c r="B972" s="1" t="s">
        <v>8222</v>
      </c>
      <c r="C972" s="1" t="s">
        <v>12</v>
      </c>
      <c r="G972" s="1" t="s">
        <v>10</v>
      </c>
      <c r="J972" s="3">
        <v>45902.591874999998</v>
      </c>
      <c r="K972" s="2" t="s">
        <v>8223</v>
      </c>
      <c r="L972" s="1">
        <v>1</v>
      </c>
      <c r="M972" s="1">
        <v>1</v>
      </c>
      <c r="N972">
        <v>0</v>
      </c>
      <c r="O972" s="3">
        <f>IF(
    R972="Ancien",
    _xlfn.XLOOKUP(
        Final_Sans_VGE[[#This Row],[ppn_z]],
        tbl_Historique_Final[ppn_z],
        tbl_Historique_Final[Horodatage],
        ""
    ),
    Horodatage!$A$2
)</f>
        <v>46233.670796365739</v>
      </c>
      <c r="P972" s="1" t="str">
        <f>IFERROR(IF(tbl_Historique_Final[[#This Row],[Commentaires]]&lt;&gt;"",tbl_Historique_Final[[#This Row],[Commentaires]],""),"")</f>
        <v/>
      </c>
      <c r="X972" s="8" t="str">
        <f>IF(Final_Sans_VGE[[#This Row],[ppn_z]]="","",IFERROR(
   IF(_xlfn.XLOOKUP(Final_Sans_VGE[[#This Row],[ppn_z]],tbl_Historique_Final[ppn_z],tbl_Historique_Final[date_modif])=Final_Sans_VGE[[#This Row],[date_modif]],
      "Ancien",
      "Modifié"),
   "Nouveau"))</f>
        <v>Ancien</v>
      </c>
      <c r="AC972"/>
      <c r="AD972"/>
    </row>
    <row r="973" spans="1:30" ht="30" x14ac:dyDescent="0.25">
      <c r="A973" s="5" t="s">
        <v>3083</v>
      </c>
      <c r="B973" s="1" t="s">
        <v>8224</v>
      </c>
      <c r="C973" s="1" t="s">
        <v>76</v>
      </c>
      <c r="G973" s="1" t="s">
        <v>11</v>
      </c>
      <c r="H973" s="1" t="s">
        <v>22</v>
      </c>
      <c r="I973" s="1" t="s">
        <v>22</v>
      </c>
      <c r="J973" s="3">
        <v>45915.57576388889</v>
      </c>
      <c r="K973" s="2" t="s">
        <v>8225</v>
      </c>
      <c r="L973" s="1">
        <v>19</v>
      </c>
      <c r="M973" s="1">
        <v>84</v>
      </c>
      <c r="N973">
        <v>65</v>
      </c>
      <c r="O973" s="3">
        <f>IF(
    R973="Ancien",
    _xlfn.XLOOKUP(
        Final_Sans_VGE[[#This Row],[ppn_z]],
        tbl_Historique_Final[ppn_z],
        tbl_Historique_Final[Horodatage],
        ""
    ),
    Horodatage!$A$2
)</f>
        <v>46233.670796365739</v>
      </c>
      <c r="P973" s="1" t="str">
        <f>IFERROR(IF(tbl_Historique_Final[[#This Row],[Commentaires]]&lt;&gt;"",tbl_Historique_Final[[#This Row],[Commentaires]],""),"")</f>
        <v/>
      </c>
      <c r="X973" s="8" t="str">
        <f>IF(Final_Sans_VGE[[#This Row],[ppn_z]]="","",IFERROR(
   IF(_xlfn.XLOOKUP(Final_Sans_VGE[[#This Row],[ppn_z]],tbl_Historique_Final[ppn_z],tbl_Historique_Final[date_modif])=Final_Sans_VGE[[#This Row],[date_modif]],
      "Ancien",
      "Modifié"),
   "Nouveau"))</f>
        <v>Ancien</v>
      </c>
      <c r="AC973"/>
      <c r="AD973"/>
    </row>
    <row r="974" spans="1:30" ht="30" x14ac:dyDescent="0.25">
      <c r="A974" s="5" t="s">
        <v>3086</v>
      </c>
      <c r="B974" s="1" t="s">
        <v>8226</v>
      </c>
      <c r="C974" s="1" t="s">
        <v>39</v>
      </c>
      <c r="G974" s="1" t="s">
        <v>10</v>
      </c>
      <c r="J974" s="3">
        <v>45957.365127314813</v>
      </c>
      <c r="K974" s="2" t="s">
        <v>8227</v>
      </c>
      <c r="L974" s="1">
        <v>2</v>
      </c>
      <c r="M974" s="1">
        <v>2</v>
      </c>
      <c r="N974">
        <v>0</v>
      </c>
      <c r="O974" s="3">
        <f>IF(
    R974="Ancien",
    _xlfn.XLOOKUP(
        Final_Sans_VGE[[#This Row],[ppn_z]],
        tbl_Historique_Final[ppn_z],
        tbl_Historique_Final[Horodatage],
        ""
    ),
    Horodatage!$A$2
)</f>
        <v>46233.670796365739</v>
      </c>
      <c r="P974" s="1" t="str">
        <f>IFERROR(IF(tbl_Historique_Final[[#This Row],[Commentaires]]&lt;&gt;"",tbl_Historique_Final[[#This Row],[Commentaires]],""),"")</f>
        <v/>
      </c>
      <c r="X974" s="8" t="str">
        <f>IF(Final_Sans_VGE[[#This Row],[ppn_z]]="","",IFERROR(
   IF(_xlfn.XLOOKUP(Final_Sans_VGE[[#This Row],[ppn_z]],tbl_Historique_Final[ppn_z],tbl_Historique_Final[date_modif])=Final_Sans_VGE[[#This Row],[date_modif]],
      "Ancien",
      "Modifié"),
   "Nouveau"))</f>
        <v>Ancien</v>
      </c>
      <c r="AC974"/>
      <c r="AD974"/>
    </row>
    <row r="975" spans="1:30" x14ac:dyDescent="0.25">
      <c r="A975" s="5" t="s">
        <v>3089</v>
      </c>
      <c r="B975" s="1" t="s">
        <v>8228</v>
      </c>
      <c r="C975" s="1" t="s">
        <v>57</v>
      </c>
      <c r="J975" s="3">
        <v>45748.511678240742</v>
      </c>
      <c r="L975" s="1">
        <v>2</v>
      </c>
      <c r="M975" s="1">
        <v>2</v>
      </c>
      <c r="N975">
        <v>0</v>
      </c>
      <c r="O975" s="3">
        <f>IF(
    R975="Ancien",
    _xlfn.XLOOKUP(
        Final_Sans_VGE[[#This Row],[ppn_z]],
        tbl_Historique_Final[ppn_z],
        tbl_Historique_Final[Horodatage],
        ""
    ),
    Horodatage!$A$2
)</f>
        <v>46233.670796365739</v>
      </c>
      <c r="P975" s="1" t="str">
        <f>IFERROR(IF(tbl_Historique_Final[[#This Row],[Commentaires]]&lt;&gt;"",tbl_Historique_Final[[#This Row],[Commentaires]],""),"")</f>
        <v/>
      </c>
      <c r="X975" s="8" t="str">
        <f>IF(Final_Sans_VGE[[#This Row],[ppn_z]]="","",IFERROR(
   IF(_xlfn.XLOOKUP(Final_Sans_VGE[[#This Row],[ppn_z]],tbl_Historique_Final[ppn_z],tbl_Historique_Final[date_modif])=Final_Sans_VGE[[#This Row],[date_modif]],
      "Ancien",
      "Modifié"),
   "Nouveau"))</f>
        <v>Ancien</v>
      </c>
      <c r="AC975"/>
      <c r="AD975"/>
    </row>
    <row r="976" spans="1:30" ht="90" x14ac:dyDescent="0.25">
      <c r="A976" s="5" t="s">
        <v>3092</v>
      </c>
      <c r="B976" s="1" t="s">
        <v>8229</v>
      </c>
      <c r="C976" s="1" t="s">
        <v>12</v>
      </c>
      <c r="D976" s="1" t="s">
        <v>14</v>
      </c>
      <c r="G976" s="1" t="s">
        <v>10</v>
      </c>
      <c r="H976" s="1" t="s">
        <v>10513</v>
      </c>
      <c r="I976" s="1" t="s">
        <v>8230</v>
      </c>
      <c r="J976" s="3">
        <v>45918.386979166666</v>
      </c>
      <c r="K976" s="2" t="s">
        <v>8231</v>
      </c>
      <c r="L976" s="1">
        <v>26</v>
      </c>
      <c r="M976" s="1">
        <v>36</v>
      </c>
      <c r="N976">
        <v>10</v>
      </c>
      <c r="O976" s="3">
        <f>IF(
    R976="Ancien",
    _xlfn.XLOOKUP(
        Final_Sans_VGE[[#This Row],[ppn_z]],
        tbl_Historique_Final[ppn_z],
        tbl_Historique_Final[Horodatage],
        ""
    ),
    Horodatage!$A$2
)</f>
        <v>46233.670796365739</v>
      </c>
      <c r="P976" s="1" t="str">
        <f>IFERROR(IF(tbl_Historique_Final[[#This Row],[Commentaires]]&lt;&gt;"",tbl_Historique_Final[[#This Row],[Commentaires]],""),"")</f>
        <v/>
      </c>
      <c r="X976" s="8" t="str">
        <f>IF(Final_Sans_VGE[[#This Row],[ppn_z]]="","",IFERROR(
   IF(_xlfn.XLOOKUP(Final_Sans_VGE[[#This Row],[ppn_z]],tbl_Historique_Final[ppn_z],tbl_Historique_Final[date_modif])=Final_Sans_VGE[[#This Row],[date_modif]],
      "Ancien",
      "Modifié"),
   "Nouveau"))</f>
        <v>Ancien</v>
      </c>
      <c r="AC976"/>
      <c r="AD976"/>
    </row>
    <row r="977" spans="1:30" ht="30" x14ac:dyDescent="0.25">
      <c r="A977" s="5" t="s">
        <v>3095</v>
      </c>
      <c r="B977" s="1" t="s">
        <v>8232</v>
      </c>
      <c r="C977" s="1" t="s">
        <v>8233</v>
      </c>
      <c r="D977" s="1" t="s">
        <v>8234</v>
      </c>
      <c r="E977" s="1" t="s">
        <v>108</v>
      </c>
      <c r="F977" s="1" t="s">
        <v>8235</v>
      </c>
      <c r="G977" s="1" t="s">
        <v>10</v>
      </c>
      <c r="H977" s="1" t="s">
        <v>22</v>
      </c>
      <c r="I977" s="1" t="s">
        <v>22</v>
      </c>
      <c r="J977" s="3">
        <v>46031.606504629628</v>
      </c>
      <c r="K977" s="2" t="s">
        <v>8236</v>
      </c>
      <c r="L977" s="1">
        <v>154</v>
      </c>
      <c r="M977" s="1">
        <v>158</v>
      </c>
      <c r="N977">
        <v>4</v>
      </c>
      <c r="O977" s="3">
        <f>IF(
    R977="Ancien",
    _xlfn.XLOOKUP(
        Final_Sans_VGE[[#This Row],[ppn_z]],
        tbl_Historique_Final[ppn_z],
        tbl_Historique_Final[Horodatage],
        ""
    ),
    Horodatage!$A$2
)</f>
        <v>46233.670796365739</v>
      </c>
      <c r="P977" s="1" t="str">
        <f>IFERROR(IF(tbl_Historique_Final[[#This Row],[Commentaires]]&lt;&gt;"",tbl_Historique_Final[[#This Row],[Commentaires]],""),"")</f>
        <v/>
      </c>
      <c r="X977" s="8" t="str">
        <f>IF(Final_Sans_VGE[[#This Row],[ppn_z]]="","",IFERROR(
   IF(_xlfn.XLOOKUP(Final_Sans_VGE[[#This Row],[ppn_z]],tbl_Historique_Final[ppn_z],tbl_Historique_Final[date_modif])=Final_Sans_VGE[[#This Row],[date_modif]],
      "Ancien",
      "Modifié"),
   "Nouveau"))</f>
        <v>Ancien</v>
      </c>
      <c r="AC977"/>
      <c r="AD977"/>
    </row>
    <row r="978" spans="1:30" x14ac:dyDescent="0.25">
      <c r="A978" s="5" t="s">
        <v>3098</v>
      </c>
      <c r="B978" s="1" t="s">
        <v>8237</v>
      </c>
      <c r="C978" s="1" t="s">
        <v>70</v>
      </c>
      <c r="D978" s="1" t="s">
        <v>8238</v>
      </c>
      <c r="G978" s="1" t="s">
        <v>11</v>
      </c>
      <c r="H978" s="1" t="s">
        <v>22</v>
      </c>
      <c r="I978" s="1" t="s">
        <v>22</v>
      </c>
      <c r="J978" s="3">
        <v>45989.418217592596</v>
      </c>
      <c r="K978" s="2" t="s">
        <v>8239</v>
      </c>
      <c r="L978" s="1">
        <v>4</v>
      </c>
      <c r="M978" s="1">
        <v>5</v>
      </c>
      <c r="N978">
        <v>1</v>
      </c>
      <c r="O978" s="3">
        <f>IF(
    R978="Ancien",
    _xlfn.XLOOKUP(
        Final_Sans_VGE[[#This Row],[ppn_z]],
        tbl_Historique_Final[ppn_z],
        tbl_Historique_Final[Horodatage],
        ""
    ),
    Horodatage!$A$2
)</f>
        <v>46233.670796365739</v>
      </c>
      <c r="P978" s="1" t="str">
        <f>IFERROR(IF(tbl_Historique_Final[[#This Row],[Commentaires]]&lt;&gt;"",tbl_Historique_Final[[#This Row],[Commentaires]],""),"")</f>
        <v/>
      </c>
      <c r="X978" s="8" t="str">
        <f>IF(Final_Sans_VGE[[#This Row],[ppn_z]]="","",IFERROR(
   IF(_xlfn.XLOOKUP(Final_Sans_VGE[[#This Row],[ppn_z]],tbl_Historique_Final[ppn_z],tbl_Historique_Final[date_modif])=Final_Sans_VGE[[#This Row],[date_modif]],
      "Ancien",
      "Modifié"),
   "Nouveau"))</f>
        <v>Ancien</v>
      </c>
      <c r="AC978"/>
      <c r="AD978"/>
    </row>
    <row r="979" spans="1:30" x14ac:dyDescent="0.25">
      <c r="A979" s="5" t="s">
        <v>3101</v>
      </c>
      <c r="B979" s="1" t="s">
        <v>8240</v>
      </c>
      <c r="C979" s="1" t="s">
        <v>33</v>
      </c>
      <c r="G979" s="1" t="s">
        <v>10</v>
      </c>
      <c r="J979" s="3">
        <v>45989.473402777781</v>
      </c>
      <c r="K979" s="2" t="s">
        <v>8241</v>
      </c>
      <c r="L979" s="1">
        <v>1</v>
      </c>
      <c r="M979" s="1">
        <v>1</v>
      </c>
      <c r="N979">
        <v>0</v>
      </c>
      <c r="O979" s="3">
        <f>IF(
    R979="Ancien",
    _xlfn.XLOOKUP(
        Final_Sans_VGE[[#This Row],[ppn_z]],
        tbl_Historique_Final[ppn_z],
        tbl_Historique_Final[Horodatage],
        ""
    ),
    Horodatage!$A$2
)</f>
        <v>46233.670796365739</v>
      </c>
      <c r="P979" s="1" t="str">
        <f>IFERROR(IF(tbl_Historique_Final[[#This Row],[Commentaires]]&lt;&gt;"",tbl_Historique_Final[[#This Row],[Commentaires]],""),"")</f>
        <v/>
      </c>
      <c r="X979" s="8" t="str">
        <f>IF(Final_Sans_VGE[[#This Row],[ppn_z]]="","",IFERROR(
   IF(_xlfn.XLOOKUP(Final_Sans_VGE[[#This Row],[ppn_z]],tbl_Historique_Final[ppn_z],tbl_Historique_Final[date_modif])=Final_Sans_VGE[[#This Row],[date_modif]],
      "Ancien",
      "Modifié"),
   "Nouveau"))</f>
        <v>Ancien</v>
      </c>
      <c r="AC979"/>
      <c r="AD979"/>
    </row>
    <row r="980" spans="1:30" x14ac:dyDescent="0.25">
      <c r="A980" s="5" t="s">
        <v>3104</v>
      </c>
      <c r="B980" s="1" t="s">
        <v>8242</v>
      </c>
      <c r="C980" s="1" t="s">
        <v>12</v>
      </c>
      <c r="G980" s="1" t="s">
        <v>10</v>
      </c>
      <c r="J980" s="3">
        <v>46045.334710648145</v>
      </c>
      <c r="K980" s="2" t="s">
        <v>8243</v>
      </c>
      <c r="L980" s="1">
        <v>2</v>
      </c>
      <c r="M980" s="1">
        <v>2</v>
      </c>
      <c r="N980">
        <v>0</v>
      </c>
      <c r="O980" s="3">
        <f>IF(
    R980="Ancien",
    _xlfn.XLOOKUP(
        Final_Sans_VGE[[#This Row],[ppn_z]],
        tbl_Historique_Final[ppn_z],
        tbl_Historique_Final[Horodatage],
        ""
    ),
    Horodatage!$A$2
)</f>
        <v>46233.670796365739</v>
      </c>
      <c r="P980" s="1" t="str">
        <f>IFERROR(IF(tbl_Historique_Final[[#This Row],[Commentaires]]&lt;&gt;"",tbl_Historique_Final[[#This Row],[Commentaires]],""),"")</f>
        <v/>
      </c>
      <c r="X980" s="8" t="str">
        <f>IF(Final_Sans_VGE[[#This Row],[ppn_z]]="","",IFERROR(
   IF(_xlfn.XLOOKUP(Final_Sans_VGE[[#This Row],[ppn_z]],tbl_Historique_Final[ppn_z],tbl_Historique_Final[date_modif])=Final_Sans_VGE[[#This Row],[date_modif]],
      "Ancien",
      "Modifié"),
   "Nouveau"))</f>
        <v>Ancien</v>
      </c>
      <c r="AC980"/>
      <c r="AD980"/>
    </row>
    <row r="981" spans="1:30" x14ac:dyDescent="0.25">
      <c r="A981" s="5" t="s">
        <v>3107</v>
      </c>
      <c r="B981" s="1" t="s">
        <v>8244</v>
      </c>
      <c r="C981" s="1" t="s">
        <v>12</v>
      </c>
      <c r="G981" s="1" t="s">
        <v>11</v>
      </c>
      <c r="J981" s="3">
        <v>46031.558159722219</v>
      </c>
      <c r="K981" s="2" t="s">
        <v>8245</v>
      </c>
      <c r="L981" s="1">
        <v>1</v>
      </c>
      <c r="M981" s="1">
        <v>1</v>
      </c>
      <c r="N981">
        <v>0</v>
      </c>
      <c r="O981" s="3">
        <f>IF(
    R981="Ancien",
    _xlfn.XLOOKUP(
        Final_Sans_VGE[[#This Row],[ppn_z]],
        tbl_Historique_Final[ppn_z],
        tbl_Historique_Final[Horodatage],
        ""
    ),
    Horodatage!$A$2
)</f>
        <v>46233.670796365739</v>
      </c>
      <c r="P981" s="1" t="str">
        <f>IFERROR(IF(tbl_Historique_Final[[#This Row],[Commentaires]]&lt;&gt;"",tbl_Historique_Final[[#This Row],[Commentaires]],""),"")</f>
        <v/>
      </c>
      <c r="X981" s="8" t="str">
        <f>IF(Final_Sans_VGE[[#This Row],[ppn_z]]="","",IFERROR(
   IF(_xlfn.XLOOKUP(Final_Sans_VGE[[#This Row],[ppn_z]],tbl_Historique_Final[ppn_z],tbl_Historique_Final[date_modif])=Final_Sans_VGE[[#This Row],[date_modif]],
      "Ancien",
      "Modifié"),
   "Nouveau"))</f>
        <v>Ancien</v>
      </c>
      <c r="AC981"/>
      <c r="AD981"/>
    </row>
    <row r="982" spans="1:30" x14ac:dyDescent="0.25">
      <c r="A982" s="5" t="s">
        <v>3110</v>
      </c>
      <c r="B982" s="1" t="s">
        <v>8246</v>
      </c>
      <c r="C982" s="1" t="s">
        <v>12</v>
      </c>
      <c r="G982" s="1" t="s">
        <v>10</v>
      </c>
      <c r="J982" s="3">
        <v>46043.574583333335</v>
      </c>
      <c r="K982" s="2" t="s">
        <v>8247</v>
      </c>
      <c r="L982" s="1">
        <v>1</v>
      </c>
      <c r="M982" s="1">
        <v>1</v>
      </c>
      <c r="N982">
        <v>0</v>
      </c>
      <c r="O982" s="3">
        <f>IF(
    R982="Ancien",
    _xlfn.XLOOKUP(
        Final_Sans_VGE[[#This Row],[ppn_z]],
        tbl_Historique_Final[ppn_z],
        tbl_Historique_Final[Horodatage],
        ""
    ),
    Horodatage!$A$2
)</f>
        <v>46233.670796365739</v>
      </c>
      <c r="P982" s="1" t="str">
        <f>IFERROR(IF(tbl_Historique_Final[[#This Row],[Commentaires]]&lt;&gt;"",tbl_Historique_Final[[#This Row],[Commentaires]],""),"")</f>
        <v/>
      </c>
      <c r="X982" s="8" t="str">
        <f>IF(Final_Sans_VGE[[#This Row],[ppn_z]]="","",IFERROR(
   IF(_xlfn.XLOOKUP(Final_Sans_VGE[[#This Row],[ppn_z]],tbl_Historique_Final[ppn_z],tbl_Historique_Final[date_modif])=Final_Sans_VGE[[#This Row],[date_modif]],
      "Ancien",
      "Modifié"),
   "Nouveau"))</f>
        <v>Ancien</v>
      </c>
      <c r="AC982"/>
      <c r="AD982"/>
    </row>
    <row r="983" spans="1:30" ht="45" x14ac:dyDescent="0.25">
      <c r="A983" s="5" t="s">
        <v>3113</v>
      </c>
      <c r="B983" s="1" t="s">
        <v>8248</v>
      </c>
      <c r="C983" s="1" t="s">
        <v>12</v>
      </c>
      <c r="G983" s="1" t="s">
        <v>11</v>
      </c>
      <c r="J983" s="3">
        <v>46044.597060185188</v>
      </c>
      <c r="K983" s="2" t="s">
        <v>8249</v>
      </c>
      <c r="L983" s="1">
        <v>1</v>
      </c>
      <c r="M983" s="1">
        <v>1</v>
      </c>
      <c r="N983">
        <v>0</v>
      </c>
      <c r="O983" s="3">
        <f>IF(
    R983="Ancien",
    _xlfn.XLOOKUP(
        Final_Sans_VGE[[#This Row],[ppn_z]],
        tbl_Historique_Final[ppn_z],
        tbl_Historique_Final[Horodatage],
        ""
    ),
    Horodatage!$A$2
)</f>
        <v>46233.670796365739</v>
      </c>
      <c r="P983" s="1" t="str">
        <f>IFERROR(IF(tbl_Historique_Final[[#This Row],[Commentaires]]&lt;&gt;"",tbl_Historique_Final[[#This Row],[Commentaires]],""),"")</f>
        <v/>
      </c>
      <c r="X983" s="8" t="str">
        <f>IF(Final_Sans_VGE[[#This Row],[ppn_z]]="","",IFERROR(
   IF(_xlfn.XLOOKUP(Final_Sans_VGE[[#This Row],[ppn_z]],tbl_Historique_Final[ppn_z],tbl_Historique_Final[date_modif])=Final_Sans_VGE[[#This Row],[date_modif]],
      "Ancien",
      "Modifié"),
   "Nouveau"))</f>
        <v>Ancien</v>
      </c>
      <c r="AC983"/>
      <c r="AD983"/>
    </row>
    <row r="984" spans="1:30" ht="45" x14ac:dyDescent="0.25">
      <c r="A984" s="5" t="s">
        <v>3116</v>
      </c>
      <c r="B984" s="1" t="s">
        <v>8250</v>
      </c>
      <c r="C984" s="1" t="s">
        <v>6545</v>
      </c>
      <c r="E984" s="1" t="s">
        <v>6816</v>
      </c>
      <c r="J984" s="3">
        <v>45961.464409722219</v>
      </c>
      <c r="K984" s="2" t="s">
        <v>8251</v>
      </c>
      <c r="L984" s="1">
        <v>5</v>
      </c>
      <c r="M984" s="1">
        <v>5</v>
      </c>
      <c r="N984">
        <v>0</v>
      </c>
      <c r="O984" s="3">
        <f>IF(
    R984="Ancien",
    _xlfn.XLOOKUP(
        Final_Sans_VGE[[#This Row],[ppn_z]],
        tbl_Historique_Final[ppn_z],
        tbl_Historique_Final[Horodatage],
        ""
    ),
    Horodatage!$A$2
)</f>
        <v>46233.670796365739</v>
      </c>
      <c r="P984" s="1" t="str">
        <f>IFERROR(IF(tbl_Historique_Final[[#This Row],[Commentaires]]&lt;&gt;"",tbl_Historique_Final[[#This Row],[Commentaires]],""),"")</f>
        <v/>
      </c>
      <c r="X984" s="8" t="str">
        <f>IF(Final_Sans_VGE[[#This Row],[ppn_z]]="","",IFERROR(
   IF(_xlfn.XLOOKUP(Final_Sans_VGE[[#This Row],[ppn_z]],tbl_Historique_Final[ppn_z],tbl_Historique_Final[date_modif])=Final_Sans_VGE[[#This Row],[date_modif]],
      "Ancien",
      "Modifié"),
   "Nouveau"))</f>
        <v>Ancien</v>
      </c>
      <c r="AC984"/>
      <c r="AD984"/>
    </row>
    <row r="985" spans="1:30" x14ac:dyDescent="0.25">
      <c r="A985" s="5" t="s">
        <v>3119</v>
      </c>
      <c r="B985" s="1" t="s">
        <v>8252</v>
      </c>
      <c r="C985" s="1" t="s">
        <v>52</v>
      </c>
      <c r="G985" s="1" t="s">
        <v>11</v>
      </c>
      <c r="J985" s="3">
        <v>45987.58121527778</v>
      </c>
      <c r="K985" s="2" t="s">
        <v>8253</v>
      </c>
      <c r="L985" s="1">
        <v>6</v>
      </c>
      <c r="M985" s="1">
        <v>7</v>
      </c>
      <c r="N985">
        <v>1</v>
      </c>
      <c r="O985" s="3">
        <f>IF(
    R985="Ancien",
    _xlfn.XLOOKUP(
        Final_Sans_VGE[[#This Row],[ppn_z]],
        tbl_Historique_Final[ppn_z],
        tbl_Historique_Final[Horodatage],
        ""
    ),
    Horodatage!$A$2
)</f>
        <v>46233.670796365739</v>
      </c>
      <c r="P985" s="1" t="str">
        <f>IFERROR(IF(tbl_Historique_Final[[#This Row],[Commentaires]]&lt;&gt;"",tbl_Historique_Final[[#This Row],[Commentaires]],""),"")</f>
        <v/>
      </c>
      <c r="X985" s="8" t="str">
        <f>IF(Final_Sans_VGE[[#This Row],[ppn_z]]="","",IFERROR(
   IF(_xlfn.XLOOKUP(Final_Sans_VGE[[#This Row],[ppn_z]],tbl_Historique_Final[ppn_z],tbl_Historique_Final[date_modif])=Final_Sans_VGE[[#This Row],[date_modif]],
      "Ancien",
      "Modifié"),
   "Nouveau"))</f>
        <v>Ancien</v>
      </c>
      <c r="AC985"/>
      <c r="AD985"/>
    </row>
    <row r="986" spans="1:30" x14ac:dyDescent="0.25">
      <c r="A986" s="5" t="s">
        <v>3122</v>
      </c>
      <c r="B986" s="1" t="s">
        <v>8254</v>
      </c>
      <c r="C986" s="1" t="s">
        <v>12</v>
      </c>
      <c r="G986" s="1" t="s">
        <v>11</v>
      </c>
      <c r="J986" s="3">
        <v>45987.549143518518</v>
      </c>
      <c r="K986" s="2" t="s">
        <v>8255</v>
      </c>
      <c r="L986" s="1">
        <v>1</v>
      </c>
      <c r="M986" s="1">
        <v>1</v>
      </c>
      <c r="N986">
        <v>0</v>
      </c>
      <c r="O986" s="3">
        <f>IF(
    R986="Ancien",
    _xlfn.XLOOKUP(
        Final_Sans_VGE[[#This Row],[ppn_z]],
        tbl_Historique_Final[ppn_z],
        tbl_Historique_Final[Horodatage],
        ""
    ),
    Horodatage!$A$2
)</f>
        <v>46233.670796365739</v>
      </c>
      <c r="P986" s="1" t="str">
        <f>IFERROR(IF(tbl_Historique_Final[[#This Row],[Commentaires]]&lt;&gt;"",tbl_Historique_Final[[#This Row],[Commentaires]],""),"")</f>
        <v/>
      </c>
      <c r="X986" s="8" t="str">
        <f>IF(Final_Sans_VGE[[#This Row],[ppn_z]]="","",IFERROR(
   IF(_xlfn.XLOOKUP(Final_Sans_VGE[[#This Row],[ppn_z]],tbl_Historique_Final[ppn_z],tbl_Historique_Final[date_modif])=Final_Sans_VGE[[#This Row],[date_modif]],
      "Ancien",
      "Modifié"),
   "Nouveau"))</f>
        <v>Ancien</v>
      </c>
      <c r="AC986"/>
      <c r="AD986"/>
    </row>
    <row r="987" spans="1:30" ht="30" x14ac:dyDescent="0.25">
      <c r="A987" s="5" t="s">
        <v>3125</v>
      </c>
      <c r="B987" s="1" t="s">
        <v>8256</v>
      </c>
      <c r="C987" s="1" t="s">
        <v>6447</v>
      </c>
      <c r="D987" s="1" t="s">
        <v>8257</v>
      </c>
      <c r="G987" s="1" t="s">
        <v>11</v>
      </c>
      <c r="H987" s="1" t="s">
        <v>22</v>
      </c>
      <c r="I987" s="1" t="s">
        <v>22</v>
      </c>
      <c r="J987" s="3">
        <v>46035.471273148149</v>
      </c>
      <c r="K987" s="2" t="s">
        <v>8258</v>
      </c>
      <c r="L987" s="1">
        <v>24</v>
      </c>
      <c r="M987" s="1">
        <v>25</v>
      </c>
      <c r="N987">
        <v>1</v>
      </c>
      <c r="O987" s="3">
        <f>IF(
    R987="Ancien",
    _xlfn.XLOOKUP(
        Final_Sans_VGE[[#This Row],[ppn_z]],
        tbl_Historique_Final[ppn_z],
        tbl_Historique_Final[Horodatage],
        ""
    ),
    Horodatage!$A$2
)</f>
        <v>46233.670796365739</v>
      </c>
      <c r="P987" s="1" t="str">
        <f>IFERROR(IF(tbl_Historique_Final[[#This Row],[Commentaires]]&lt;&gt;"",tbl_Historique_Final[[#This Row],[Commentaires]],""),"")</f>
        <v/>
      </c>
      <c r="X987" s="8" t="str">
        <f>IF(Final_Sans_VGE[[#This Row],[ppn_z]]="","",IFERROR(
   IF(_xlfn.XLOOKUP(Final_Sans_VGE[[#This Row],[ppn_z]],tbl_Historique_Final[ppn_z],tbl_Historique_Final[date_modif])=Final_Sans_VGE[[#This Row],[date_modif]],
      "Ancien",
      "Modifié"),
   "Nouveau"))</f>
        <v>Ancien</v>
      </c>
      <c r="AC987"/>
      <c r="AD987"/>
    </row>
    <row r="988" spans="1:30" x14ac:dyDescent="0.25">
      <c r="A988" s="5" t="s">
        <v>3128</v>
      </c>
      <c r="B988" s="1" t="s">
        <v>8259</v>
      </c>
      <c r="C988" s="1" t="s">
        <v>12</v>
      </c>
      <c r="G988" s="1" t="s">
        <v>11</v>
      </c>
      <c r="J988" s="3">
        <v>45959.454282407409</v>
      </c>
      <c r="K988" s="2" t="s">
        <v>6369</v>
      </c>
      <c r="L988" s="1">
        <v>7</v>
      </c>
      <c r="M988" s="1">
        <v>8</v>
      </c>
      <c r="N988">
        <v>1</v>
      </c>
      <c r="O988" s="3">
        <f>IF(
    R988="Ancien",
    _xlfn.XLOOKUP(
        Final_Sans_VGE[[#This Row],[ppn_z]],
        tbl_Historique_Final[ppn_z],
        tbl_Historique_Final[Horodatage],
        ""
    ),
    Horodatage!$A$2
)</f>
        <v>46233.670796365739</v>
      </c>
      <c r="P988" s="1" t="str">
        <f>IFERROR(IF(tbl_Historique_Final[[#This Row],[Commentaires]]&lt;&gt;"",tbl_Historique_Final[[#This Row],[Commentaires]],""),"")</f>
        <v/>
      </c>
      <c r="X988" s="8" t="str">
        <f>IF(Final_Sans_VGE[[#This Row],[ppn_z]]="","",IFERROR(
   IF(_xlfn.XLOOKUP(Final_Sans_VGE[[#This Row],[ppn_z]],tbl_Historique_Final[ppn_z],tbl_Historique_Final[date_modif])=Final_Sans_VGE[[#This Row],[date_modif]],
      "Ancien",
      "Modifié"),
   "Nouveau"))</f>
        <v>Ancien</v>
      </c>
      <c r="AC988"/>
      <c r="AD988"/>
    </row>
    <row r="989" spans="1:30" ht="30" x14ac:dyDescent="0.25">
      <c r="A989" s="5" t="s">
        <v>3131</v>
      </c>
      <c r="B989" s="1" t="s">
        <v>8260</v>
      </c>
      <c r="C989" s="1" t="s">
        <v>152</v>
      </c>
      <c r="E989" s="1" t="s">
        <v>12</v>
      </c>
      <c r="J989" s="3">
        <v>45965.416192129633</v>
      </c>
      <c r="K989" s="2" t="s">
        <v>8261</v>
      </c>
      <c r="L989" s="1">
        <v>2</v>
      </c>
      <c r="M989" s="1">
        <v>2</v>
      </c>
      <c r="N989">
        <v>0</v>
      </c>
      <c r="O989" s="3">
        <f>IF(
    R989="Ancien",
    _xlfn.XLOOKUP(
        Final_Sans_VGE[[#This Row],[ppn_z]],
        tbl_Historique_Final[ppn_z],
        tbl_Historique_Final[Horodatage],
        ""
    ),
    Horodatage!$A$2
)</f>
        <v>46233.670796365739</v>
      </c>
      <c r="P989" s="1" t="str">
        <f>IFERROR(IF(tbl_Historique_Final[[#This Row],[Commentaires]]&lt;&gt;"",tbl_Historique_Final[[#This Row],[Commentaires]],""),"")</f>
        <v/>
      </c>
      <c r="X989" s="8" t="str">
        <f>IF(Final_Sans_VGE[[#This Row],[ppn_z]]="","",IFERROR(
   IF(_xlfn.XLOOKUP(Final_Sans_VGE[[#This Row],[ppn_z]],tbl_Historique_Final[ppn_z],tbl_Historique_Final[date_modif])=Final_Sans_VGE[[#This Row],[date_modif]],
      "Ancien",
      "Modifié"),
   "Nouveau"))</f>
        <v>Ancien</v>
      </c>
      <c r="AC989"/>
      <c r="AD989"/>
    </row>
    <row r="990" spans="1:30" x14ac:dyDescent="0.25">
      <c r="A990" s="5" t="s">
        <v>3134</v>
      </c>
      <c r="B990" s="1" t="s">
        <v>8262</v>
      </c>
      <c r="C990" s="1" t="s">
        <v>152</v>
      </c>
      <c r="E990" s="1" t="s">
        <v>152</v>
      </c>
      <c r="J990" s="3">
        <v>45961.39435185185</v>
      </c>
      <c r="K990" s="2" t="s">
        <v>8263</v>
      </c>
      <c r="L990" s="1">
        <v>4</v>
      </c>
      <c r="M990" s="1">
        <v>4</v>
      </c>
      <c r="N990">
        <v>0</v>
      </c>
      <c r="O990" s="3">
        <f>IF(
    R990="Ancien",
    _xlfn.XLOOKUP(
        Final_Sans_VGE[[#This Row],[ppn_z]],
        tbl_Historique_Final[ppn_z],
        tbl_Historique_Final[Horodatage],
        ""
    ),
    Horodatage!$A$2
)</f>
        <v>46233.670796365739</v>
      </c>
      <c r="P990" s="1" t="str">
        <f>IFERROR(IF(tbl_Historique_Final[[#This Row],[Commentaires]]&lt;&gt;"",tbl_Historique_Final[[#This Row],[Commentaires]],""),"")</f>
        <v/>
      </c>
      <c r="X990" s="8" t="str">
        <f>IF(Final_Sans_VGE[[#This Row],[ppn_z]]="","",IFERROR(
   IF(_xlfn.XLOOKUP(Final_Sans_VGE[[#This Row],[ppn_z]],tbl_Historique_Final[ppn_z],tbl_Historique_Final[date_modif])=Final_Sans_VGE[[#This Row],[date_modif]],
      "Ancien",
      "Modifié"),
   "Nouveau"))</f>
        <v>Ancien</v>
      </c>
      <c r="AC990"/>
      <c r="AD990"/>
    </row>
    <row r="991" spans="1:30" ht="75" x14ac:dyDescent="0.25">
      <c r="A991" s="5" t="s">
        <v>3137</v>
      </c>
      <c r="B991" s="1" t="s">
        <v>8264</v>
      </c>
      <c r="C991" s="1" t="s">
        <v>8265</v>
      </c>
      <c r="E991" s="1" t="s">
        <v>8266</v>
      </c>
      <c r="J991" s="3">
        <v>46045.799386574072</v>
      </c>
      <c r="K991" s="2" t="s">
        <v>8267</v>
      </c>
      <c r="L991" s="1">
        <v>30</v>
      </c>
      <c r="M991" s="1">
        <v>39</v>
      </c>
      <c r="N991">
        <v>9</v>
      </c>
      <c r="O991" s="3">
        <f>IF(
    R991="Ancien",
    _xlfn.XLOOKUP(
        Final_Sans_VGE[[#This Row],[ppn_z]],
        tbl_Historique_Final[ppn_z],
        tbl_Historique_Final[Horodatage],
        ""
    ),
    Horodatage!$A$2
)</f>
        <v>46233.670796365739</v>
      </c>
      <c r="P991" s="1" t="str">
        <f>IFERROR(IF(tbl_Historique_Final[[#This Row],[Commentaires]]&lt;&gt;"",tbl_Historique_Final[[#This Row],[Commentaires]],""),"")</f>
        <v/>
      </c>
      <c r="X991" s="8" t="str">
        <f>IF(Final_Sans_VGE[[#This Row],[ppn_z]]="","",IFERROR(
   IF(_xlfn.XLOOKUP(Final_Sans_VGE[[#This Row],[ppn_z]],tbl_Historique_Final[ppn_z],tbl_Historique_Final[date_modif])=Final_Sans_VGE[[#This Row],[date_modif]],
      "Ancien",
      "Modifié"),
   "Nouveau"))</f>
        <v>Ancien</v>
      </c>
      <c r="AC991"/>
      <c r="AD991"/>
    </row>
    <row r="992" spans="1:30" x14ac:dyDescent="0.25">
      <c r="A992" s="5" t="s">
        <v>3140</v>
      </c>
      <c r="B992" s="1" t="s">
        <v>8268</v>
      </c>
      <c r="C992" s="1" t="s">
        <v>152</v>
      </c>
      <c r="E992" s="1" t="s">
        <v>152</v>
      </c>
      <c r="J992" s="3">
        <v>45961.545185185183</v>
      </c>
      <c r="K992" s="2" t="s">
        <v>8263</v>
      </c>
      <c r="L992" s="1">
        <v>1</v>
      </c>
      <c r="M992" s="1">
        <v>1</v>
      </c>
      <c r="N992">
        <v>0</v>
      </c>
      <c r="O992" s="3">
        <f>IF(
    R992="Ancien",
    _xlfn.XLOOKUP(
        Final_Sans_VGE[[#This Row],[ppn_z]],
        tbl_Historique_Final[ppn_z],
        tbl_Historique_Final[Horodatage],
        ""
    ),
    Horodatage!$A$2
)</f>
        <v>46233.670796365739</v>
      </c>
      <c r="P992" s="1" t="str">
        <f>IFERROR(IF(tbl_Historique_Final[[#This Row],[Commentaires]]&lt;&gt;"",tbl_Historique_Final[[#This Row],[Commentaires]],""),"")</f>
        <v/>
      </c>
      <c r="X992" s="8" t="str">
        <f>IF(Final_Sans_VGE[[#This Row],[ppn_z]]="","",IFERROR(
   IF(_xlfn.XLOOKUP(Final_Sans_VGE[[#This Row],[ppn_z]],tbl_Historique_Final[ppn_z],tbl_Historique_Final[date_modif])=Final_Sans_VGE[[#This Row],[date_modif]],
      "Ancien",
      "Modifié"),
   "Nouveau"))</f>
        <v>Ancien</v>
      </c>
      <c r="AC992"/>
      <c r="AD992"/>
    </row>
    <row r="993" spans="1:30" x14ac:dyDescent="0.25">
      <c r="A993" s="5" t="s">
        <v>3143</v>
      </c>
      <c r="B993" s="1" t="s">
        <v>8269</v>
      </c>
      <c r="C993" s="1" t="s">
        <v>12</v>
      </c>
      <c r="G993" s="1" t="s">
        <v>10</v>
      </c>
      <c r="J993" s="3">
        <v>46056.445474537039</v>
      </c>
      <c r="K993" s="2" t="s">
        <v>8270</v>
      </c>
      <c r="L993" s="1">
        <v>7</v>
      </c>
      <c r="M993" s="1">
        <v>7</v>
      </c>
      <c r="N993">
        <v>0</v>
      </c>
      <c r="O993" s="3">
        <f>IF(
    R993="Ancien",
    _xlfn.XLOOKUP(
        Final_Sans_VGE[[#This Row],[ppn_z]],
        tbl_Historique_Final[ppn_z],
        tbl_Historique_Final[Horodatage],
        ""
    ),
    Horodatage!$A$2
)</f>
        <v>46233.670796365739</v>
      </c>
      <c r="P993" s="1" t="str">
        <f>IFERROR(IF(tbl_Historique_Final[[#This Row],[Commentaires]]&lt;&gt;"",tbl_Historique_Final[[#This Row],[Commentaires]],""),"")</f>
        <v/>
      </c>
      <c r="X993" s="8" t="str">
        <f>IF(Final_Sans_VGE[[#This Row],[ppn_z]]="","",IFERROR(
   IF(_xlfn.XLOOKUP(Final_Sans_VGE[[#This Row],[ppn_z]],tbl_Historique_Final[ppn_z],tbl_Historique_Final[date_modif])=Final_Sans_VGE[[#This Row],[date_modif]],
      "Ancien",
      "Modifié"),
   "Nouveau"))</f>
        <v>Ancien</v>
      </c>
      <c r="AC993"/>
      <c r="AD993"/>
    </row>
    <row r="994" spans="1:30" ht="30" x14ac:dyDescent="0.25">
      <c r="A994" s="5" t="s">
        <v>3146</v>
      </c>
      <c r="B994" s="1" t="s">
        <v>8271</v>
      </c>
      <c r="C994" s="1" t="s">
        <v>36</v>
      </c>
      <c r="J994" s="3">
        <v>46051.530995370369</v>
      </c>
      <c r="K994" s="2" t="s">
        <v>8272</v>
      </c>
      <c r="L994" s="1">
        <v>1</v>
      </c>
      <c r="M994" s="1">
        <v>1</v>
      </c>
      <c r="N994">
        <v>0</v>
      </c>
      <c r="O994" s="3">
        <f>IF(
    R994="Ancien",
    _xlfn.XLOOKUP(
        Final_Sans_VGE[[#This Row],[ppn_z]],
        tbl_Historique_Final[ppn_z],
        tbl_Historique_Final[Horodatage],
        ""
    ),
    Horodatage!$A$2
)</f>
        <v>46233.670796365739</v>
      </c>
      <c r="P994" s="1" t="str">
        <f>IFERROR(IF(tbl_Historique_Final[[#This Row],[Commentaires]]&lt;&gt;"",tbl_Historique_Final[[#This Row],[Commentaires]],""),"")</f>
        <v/>
      </c>
      <c r="X994" s="8" t="str">
        <f>IF(Final_Sans_VGE[[#This Row],[ppn_z]]="","",IFERROR(
   IF(_xlfn.XLOOKUP(Final_Sans_VGE[[#This Row],[ppn_z]],tbl_Historique_Final[ppn_z],tbl_Historique_Final[date_modif])=Final_Sans_VGE[[#This Row],[date_modif]],
      "Ancien",
      "Modifié"),
   "Nouveau"))</f>
        <v>Ancien</v>
      </c>
      <c r="AC994"/>
      <c r="AD994"/>
    </row>
    <row r="995" spans="1:30" ht="30" x14ac:dyDescent="0.25">
      <c r="A995" s="5" t="s">
        <v>3149</v>
      </c>
      <c r="B995" s="1" t="s">
        <v>8273</v>
      </c>
      <c r="C995" s="1" t="s">
        <v>7463</v>
      </c>
      <c r="E995" s="1" t="s">
        <v>48</v>
      </c>
      <c r="G995" s="1" t="s">
        <v>10</v>
      </c>
      <c r="J995" s="3">
        <v>46044.606979166667</v>
      </c>
      <c r="K995" s="2" t="s">
        <v>8274</v>
      </c>
      <c r="L995" s="1">
        <v>41</v>
      </c>
      <c r="M995" s="1">
        <v>41</v>
      </c>
      <c r="N995">
        <v>0</v>
      </c>
      <c r="O995" s="3">
        <f>IF(
    R995="Ancien",
    _xlfn.XLOOKUP(
        Final_Sans_VGE[[#This Row],[ppn_z]],
        tbl_Historique_Final[ppn_z],
        tbl_Historique_Final[Horodatage],
        ""
    ),
    Horodatage!$A$2
)</f>
        <v>46233.670796365739</v>
      </c>
      <c r="P995" s="1" t="str">
        <f>IFERROR(IF(tbl_Historique_Final[[#This Row],[Commentaires]]&lt;&gt;"",tbl_Historique_Final[[#This Row],[Commentaires]],""),"")</f>
        <v/>
      </c>
      <c r="X995" s="8" t="str">
        <f>IF(Final_Sans_VGE[[#This Row],[ppn_z]]="","",IFERROR(
   IF(_xlfn.XLOOKUP(Final_Sans_VGE[[#This Row],[ppn_z]],tbl_Historique_Final[ppn_z],tbl_Historique_Final[date_modif])=Final_Sans_VGE[[#This Row],[date_modif]],
      "Ancien",
      "Modifié"),
   "Nouveau"))</f>
        <v>Ancien</v>
      </c>
      <c r="AC995"/>
      <c r="AD995"/>
    </row>
    <row r="996" spans="1:30" x14ac:dyDescent="0.25">
      <c r="A996" s="5" t="s">
        <v>3152</v>
      </c>
      <c r="B996" s="1" t="s">
        <v>8275</v>
      </c>
      <c r="C996" s="1" t="s">
        <v>6355</v>
      </c>
      <c r="G996" s="1" t="s">
        <v>11</v>
      </c>
      <c r="J996" s="3">
        <v>46001.615023148152</v>
      </c>
      <c r="K996" s="2" t="s">
        <v>8276</v>
      </c>
      <c r="L996" s="1">
        <v>1</v>
      </c>
      <c r="M996" s="1">
        <v>1</v>
      </c>
      <c r="N996">
        <v>0</v>
      </c>
      <c r="O996" s="3">
        <f>IF(
    R996="Ancien",
    _xlfn.XLOOKUP(
        Final_Sans_VGE[[#This Row],[ppn_z]],
        tbl_Historique_Final[ppn_z],
        tbl_Historique_Final[Horodatage],
        ""
    ),
    Horodatage!$A$2
)</f>
        <v>46233.670796365739</v>
      </c>
      <c r="P996" s="1" t="str">
        <f>IFERROR(IF(tbl_Historique_Final[[#This Row],[Commentaires]]&lt;&gt;"",tbl_Historique_Final[[#This Row],[Commentaires]],""),"")</f>
        <v/>
      </c>
      <c r="X996" s="8" t="str">
        <f>IF(Final_Sans_VGE[[#This Row],[ppn_z]]="","",IFERROR(
   IF(_xlfn.XLOOKUP(Final_Sans_VGE[[#This Row],[ppn_z]],tbl_Historique_Final[ppn_z],tbl_Historique_Final[date_modif])=Final_Sans_VGE[[#This Row],[date_modif]],
      "Ancien",
      "Modifié"),
   "Nouveau"))</f>
        <v>Ancien</v>
      </c>
      <c r="AC996"/>
      <c r="AD996"/>
    </row>
    <row r="997" spans="1:30" x14ac:dyDescent="0.25">
      <c r="A997" s="5" t="s">
        <v>3155</v>
      </c>
      <c r="B997" s="1" t="s">
        <v>8277</v>
      </c>
      <c r="H997" s="1" t="s">
        <v>22</v>
      </c>
      <c r="I997" s="1" t="s">
        <v>22</v>
      </c>
      <c r="J997" s="3">
        <v>46042.661481481482</v>
      </c>
      <c r="K997" s="2" t="s">
        <v>8278</v>
      </c>
      <c r="L997" s="1">
        <v>41</v>
      </c>
      <c r="M997" s="1">
        <v>41</v>
      </c>
      <c r="N997">
        <v>0</v>
      </c>
      <c r="O997" s="3">
        <f>IF(
    R997="Ancien",
    _xlfn.XLOOKUP(
        Final_Sans_VGE[[#This Row],[ppn_z]],
        tbl_Historique_Final[ppn_z],
        tbl_Historique_Final[Horodatage],
        ""
    ),
    Horodatage!$A$2
)</f>
        <v>46233.670796365739</v>
      </c>
      <c r="P997" s="1" t="str">
        <f>IFERROR(IF(tbl_Historique_Final[[#This Row],[Commentaires]]&lt;&gt;"",tbl_Historique_Final[[#This Row],[Commentaires]],""),"")</f>
        <v/>
      </c>
      <c r="X997" s="8" t="str">
        <f>IF(Final_Sans_VGE[[#This Row],[ppn_z]]="","",IFERROR(
   IF(_xlfn.XLOOKUP(Final_Sans_VGE[[#This Row],[ppn_z]],tbl_Historique_Final[ppn_z],tbl_Historique_Final[date_modif])=Final_Sans_VGE[[#This Row],[date_modif]],
      "Ancien",
      "Modifié"),
   "Nouveau"))</f>
        <v>Ancien</v>
      </c>
      <c r="AC997"/>
      <c r="AD997"/>
    </row>
    <row r="998" spans="1:30" ht="30" x14ac:dyDescent="0.25">
      <c r="A998" s="5" t="s">
        <v>3158</v>
      </c>
      <c r="B998" s="1" t="s">
        <v>8279</v>
      </c>
      <c r="C998" s="1" t="s">
        <v>49</v>
      </c>
      <c r="J998" s="3">
        <v>46001.666944444441</v>
      </c>
      <c r="K998" s="2" t="s">
        <v>8280</v>
      </c>
      <c r="L998" s="1">
        <v>1</v>
      </c>
      <c r="M998" s="1">
        <v>1</v>
      </c>
      <c r="N998">
        <v>0</v>
      </c>
      <c r="O998" s="3">
        <f>IF(
    R998="Ancien",
    _xlfn.XLOOKUP(
        Final_Sans_VGE[[#This Row],[ppn_z]],
        tbl_Historique_Final[ppn_z],
        tbl_Historique_Final[Horodatage],
        ""
    ),
    Horodatage!$A$2
)</f>
        <v>46233.670796365739</v>
      </c>
      <c r="P998" s="1" t="str">
        <f>IFERROR(IF(tbl_Historique_Final[[#This Row],[Commentaires]]&lt;&gt;"",tbl_Historique_Final[[#This Row],[Commentaires]],""),"")</f>
        <v/>
      </c>
      <c r="X998" s="8" t="str">
        <f>IF(Final_Sans_VGE[[#This Row],[ppn_z]]="","",IFERROR(
   IF(_xlfn.XLOOKUP(Final_Sans_VGE[[#This Row],[ppn_z]],tbl_Historique_Final[ppn_z],tbl_Historique_Final[date_modif])=Final_Sans_VGE[[#This Row],[date_modif]],
      "Ancien",
      "Modifié"),
   "Nouveau"))</f>
        <v>Ancien</v>
      </c>
      <c r="AC998"/>
      <c r="AD998"/>
    </row>
    <row r="999" spans="1:30" x14ac:dyDescent="0.25">
      <c r="A999" s="5" t="s">
        <v>3161</v>
      </c>
      <c r="B999" s="1" t="s">
        <v>8281</v>
      </c>
      <c r="C999" s="1" t="s">
        <v>12</v>
      </c>
      <c r="G999" s="1" t="s">
        <v>10</v>
      </c>
      <c r="J999" s="3">
        <v>46051.685023148151</v>
      </c>
      <c r="K999" s="2" t="s">
        <v>8282</v>
      </c>
      <c r="L999" s="1">
        <v>40</v>
      </c>
      <c r="M999" s="1">
        <v>41</v>
      </c>
      <c r="N999">
        <v>1</v>
      </c>
      <c r="O999" s="3">
        <f>IF(
    R999="Ancien",
    _xlfn.XLOOKUP(
        Final_Sans_VGE[[#This Row],[ppn_z]],
        tbl_Historique_Final[ppn_z],
        tbl_Historique_Final[Horodatage],
        ""
    ),
    Horodatage!$A$2
)</f>
        <v>46233.670796365739</v>
      </c>
      <c r="P999" s="1" t="str">
        <f>IFERROR(IF(tbl_Historique_Final[[#This Row],[Commentaires]]&lt;&gt;"",tbl_Historique_Final[[#This Row],[Commentaires]],""),"")</f>
        <v/>
      </c>
      <c r="X999" s="8" t="str">
        <f>IF(Final_Sans_VGE[[#This Row],[ppn_z]]="","",IFERROR(
   IF(_xlfn.XLOOKUP(Final_Sans_VGE[[#This Row],[ppn_z]],tbl_Historique_Final[ppn_z],tbl_Historique_Final[date_modif])=Final_Sans_VGE[[#This Row],[date_modif]],
      "Ancien",
      "Modifié"),
   "Nouveau"))</f>
        <v>Ancien</v>
      </c>
      <c r="AC999"/>
      <c r="AD999"/>
    </row>
    <row r="1000" spans="1:30" x14ac:dyDescent="0.25">
      <c r="A1000" s="5" t="s">
        <v>3164</v>
      </c>
      <c r="B1000" s="1" t="s">
        <v>8283</v>
      </c>
      <c r="C1000" s="1" t="s">
        <v>120</v>
      </c>
      <c r="D1000" s="1" t="s">
        <v>160</v>
      </c>
      <c r="G1000" s="1" t="s">
        <v>11</v>
      </c>
      <c r="H1000" s="1" t="s">
        <v>22</v>
      </c>
      <c r="I1000" s="1" t="s">
        <v>22</v>
      </c>
      <c r="J1000" s="3">
        <v>45994.443773148145</v>
      </c>
      <c r="K1000" s="2" t="s">
        <v>8284</v>
      </c>
      <c r="L1000" s="1">
        <v>16</v>
      </c>
      <c r="M1000" s="1">
        <v>21</v>
      </c>
      <c r="N1000">
        <v>5</v>
      </c>
      <c r="O1000" s="3">
        <f>IF(
    R1000="Ancien",
    _xlfn.XLOOKUP(
        Final_Sans_VGE[[#This Row],[ppn_z]],
        tbl_Historique_Final[ppn_z],
        tbl_Historique_Final[Horodatage],
        ""
    ),
    Horodatage!$A$2
)</f>
        <v>46233.670796365739</v>
      </c>
      <c r="P1000" s="1" t="str">
        <f>IFERROR(IF(tbl_Historique_Final[[#This Row],[Commentaires]]&lt;&gt;"",tbl_Historique_Final[[#This Row],[Commentaires]],""),"")</f>
        <v/>
      </c>
      <c r="X1000" s="8" t="str">
        <f>IF(Final_Sans_VGE[[#This Row],[ppn_z]]="","",IFERROR(
   IF(_xlfn.XLOOKUP(Final_Sans_VGE[[#This Row],[ppn_z]],tbl_Historique_Final[ppn_z],tbl_Historique_Final[date_modif])=Final_Sans_VGE[[#This Row],[date_modif]],
      "Ancien",
      "Modifié"),
   "Nouveau"))</f>
        <v>Ancien</v>
      </c>
      <c r="AC1000"/>
      <c r="AD1000"/>
    </row>
    <row r="1001" spans="1:30" x14ac:dyDescent="0.25">
      <c r="A1001" s="5" t="s">
        <v>3167</v>
      </c>
      <c r="B1001" s="1" t="s">
        <v>8285</v>
      </c>
      <c r="J1001" s="3">
        <v>46038.672048611108</v>
      </c>
      <c r="K1001" s="2" t="s">
        <v>8286</v>
      </c>
      <c r="L1001" s="1">
        <v>355</v>
      </c>
      <c r="M1001" s="1">
        <v>444</v>
      </c>
      <c r="N1001">
        <v>89</v>
      </c>
      <c r="O1001" s="3">
        <f>IF(
    R1001="Ancien",
    _xlfn.XLOOKUP(
        Final_Sans_VGE[[#This Row],[ppn_z]],
        tbl_Historique_Final[ppn_z],
        tbl_Historique_Final[Horodatage],
        ""
    ),
    Horodatage!$A$2
)</f>
        <v>46233.670796365739</v>
      </c>
      <c r="P1001" s="1" t="str">
        <f>IFERROR(IF(tbl_Historique_Final[[#This Row],[Commentaires]]&lt;&gt;"",tbl_Historique_Final[[#This Row],[Commentaires]],""),"")</f>
        <v/>
      </c>
      <c r="X1001" s="8" t="str">
        <f>IF(Final_Sans_VGE[[#This Row],[ppn_z]]="","",IFERROR(
   IF(_xlfn.XLOOKUP(Final_Sans_VGE[[#This Row],[ppn_z]],tbl_Historique_Final[ppn_z],tbl_Historique_Final[date_modif])=Final_Sans_VGE[[#This Row],[date_modif]],
      "Ancien",
      "Modifié"),
   "Nouveau"))</f>
        <v>Ancien</v>
      </c>
      <c r="AC1001"/>
      <c r="AD1001"/>
    </row>
    <row r="1002" spans="1:30" ht="90" x14ac:dyDescent="0.25">
      <c r="A1002" s="5" t="s">
        <v>3170</v>
      </c>
      <c r="B1002" s="1" t="s">
        <v>8287</v>
      </c>
      <c r="C1002" s="1" t="s">
        <v>137</v>
      </c>
      <c r="J1002" s="3">
        <v>46041.613900462966</v>
      </c>
      <c r="K1002" s="2" t="s">
        <v>8288</v>
      </c>
      <c r="L1002" s="1">
        <v>57</v>
      </c>
      <c r="M1002" s="1">
        <v>59</v>
      </c>
      <c r="N1002">
        <v>2</v>
      </c>
      <c r="O1002" s="3">
        <f>IF(
    R1002="Ancien",
    _xlfn.XLOOKUP(
        Final_Sans_VGE[[#This Row],[ppn_z]],
        tbl_Historique_Final[ppn_z],
        tbl_Historique_Final[Horodatage],
        ""
    ),
    Horodatage!$A$2
)</f>
        <v>46233.670796365739</v>
      </c>
      <c r="P1002" s="1" t="str">
        <f>IFERROR(IF(tbl_Historique_Final[[#This Row],[Commentaires]]&lt;&gt;"",tbl_Historique_Final[[#This Row],[Commentaires]],""),"")</f>
        <v/>
      </c>
      <c r="X1002" s="8" t="str">
        <f>IF(Final_Sans_VGE[[#This Row],[ppn_z]]="","",IFERROR(
   IF(_xlfn.XLOOKUP(Final_Sans_VGE[[#This Row],[ppn_z]],tbl_Historique_Final[ppn_z],tbl_Historique_Final[date_modif])=Final_Sans_VGE[[#This Row],[date_modif]],
      "Ancien",
      "Modifié"),
   "Nouveau"))</f>
        <v>Ancien</v>
      </c>
      <c r="AC1002"/>
      <c r="AD1002"/>
    </row>
    <row r="1003" spans="1:30" ht="45" x14ac:dyDescent="0.25">
      <c r="A1003" s="5" t="s">
        <v>3173</v>
      </c>
      <c r="B1003" s="1" t="s">
        <v>8289</v>
      </c>
      <c r="C1003" s="1" t="s">
        <v>83</v>
      </c>
      <c r="G1003" s="1" t="s">
        <v>10</v>
      </c>
      <c r="J1003" s="3">
        <v>45994.41202546296</v>
      </c>
      <c r="K1003" s="2" t="s">
        <v>8290</v>
      </c>
      <c r="L1003" s="1">
        <v>1</v>
      </c>
      <c r="M1003" s="1">
        <v>2</v>
      </c>
      <c r="N1003">
        <v>1</v>
      </c>
      <c r="O1003" s="3">
        <f>IF(
    R1003="Ancien",
    _xlfn.XLOOKUP(
        Final_Sans_VGE[[#This Row],[ppn_z]],
        tbl_Historique_Final[ppn_z],
        tbl_Historique_Final[Horodatage],
        ""
    ),
    Horodatage!$A$2
)</f>
        <v>46233.670796365739</v>
      </c>
      <c r="P1003" s="1" t="str">
        <f>IFERROR(IF(tbl_Historique_Final[[#This Row],[Commentaires]]&lt;&gt;"",tbl_Historique_Final[[#This Row],[Commentaires]],""),"")</f>
        <v/>
      </c>
      <c r="X1003" s="8" t="str">
        <f>IF(Final_Sans_VGE[[#This Row],[ppn_z]]="","",IFERROR(
   IF(_xlfn.XLOOKUP(Final_Sans_VGE[[#This Row],[ppn_z]],tbl_Historique_Final[ppn_z],tbl_Historique_Final[date_modif])=Final_Sans_VGE[[#This Row],[date_modif]],
      "Ancien",
      "Modifié"),
   "Nouveau"))</f>
        <v>Ancien</v>
      </c>
      <c r="AC1003"/>
      <c r="AD1003"/>
    </row>
    <row r="1004" spans="1:30" x14ac:dyDescent="0.25">
      <c r="A1004" s="5" t="s">
        <v>3176</v>
      </c>
      <c r="B1004" s="1" t="s">
        <v>8291</v>
      </c>
      <c r="C1004" s="1" t="s">
        <v>121</v>
      </c>
      <c r="G1004" s="1" t="s">
        <v>10</v>
      </c>
      <c r="H1004" s="1" t="s">
        <v>140</v>
      </c>
      <c r="I1004" s="1" t="s">
        <v>22</v>
      </c>
      <c r="J1004" s="3">
        <v>45981.902708333335</v>
      </c>
      <c r="K1004" s="2" t="s">
        <v>8292</v>
      </c>
      <c r="L1004" s="1">
        <v>2</v>
      </c>
      <c r="M1004" s="1">
        <v>47</v>
      </c>
      <c r="N1004">
        <v>45</v>
      </c>
      <c r="O1004" s="3">
        <f>IF(
    R1004="Ancien",
    _xlfn.XLOOKUP(
        Final_Sans_VGE[[#This Row],[ppn_z]],
        tbl_Historique_Final[ppn_z],
        tbl_Historique_Final[Horodatage],
        ""
    ),
    Horodatage!$A$2
)</f>
        <v>46233.670796365739</v>
      </c>
      <c r="P1004" s="1" t="str">
        <f>IFERROR(IF(tbl_Historique_Final[[#This Row],[Commentaires]]&lt;&gt;"",tbl_Historique_Final[[#This Row],[Commentaires]],""),"")</f>
        <v/>
      </c>
      <c r="X1004" s="8" t="str">
        <f>IF(Final_Sans_VGE[[#This Row],[ppn_z]]="","",IFERROR(
   IF(_xlfn.XLOOKUP(Final_Sans_VGE[[#This Row],[ppn_z]],tbl_Historique_Final[ppn_z],tbl_Historique_Final[date_modif])=Final_Sans_VGE[[#This Row],[date_modif]],
      "Ancien",
      "Modifié"),
   "Nouveau"))</f>
        <v>Ancien</v>
      </c>
      <c r="AC1004"/>
      <c r="AD1004"/>
    </row>
    <row r="1005" spans="1:30" x14ac:dyDescent="0.25">
      <c r="A1005" s="5" t="s">
        <v>3179</v>
      </c>
      <c r="B1005" s="1" t="s">
        <v>8293</v>
      </c>
      <c r="C1005" s="1" t="s">
        <v>6482</v>
      </c>
      <c r="G1005" s="1" t="s">
        <v>11</v>
      </c>
      <c r="J1005" s="3">
        <v>45989.382696759261</v>
      </c>
      <c r="K1005" s="2" t="s">
        <v>8294</v>
      </c>
      <c r="L1005" s="1">
        <v>1</v>
      </c>
      <c r="M1005" s="1">
        <v>1</v>
      </c>
      <c r="N1005">
        <v>0</v>
      </c>
      <c r="O1005" s="3">
        <f>IF(
    R1005="Ancien",
    _xlfn.XLOOKUP(
        Final_Sans_VGE[[#This Row],[ppn_z]],
        tbl_Historique_Final[ppn_z],
        tbl_Historique_Final[Horodatage],
        ""
    ),
    Horodatage!$A$2
)</f>
        <v>46233.670796365739</v>
      </c>
      <c r="P1005" s="1" t="str">
        <f>IFERROR(IF(tbl_Historique_Final[[#This Row],[Commentaires]]&lt;&gt;"",tbl_Historique_Final[[#This Row],[Commentaires]],""),"")</f>
        <v/>
      </c>
      <c r="X1005" s="8" t="str">
        <f>IF(Final_Sans_VGE[[#This Row],[ppn_z]]="","",IFERROR(
   IF(_xlfn.XLOOKUP(Final_Sans_VGE[[#This Row],[ppn_z]],tbl_Historique_Final[ppn_z],tbl_Historique_Final[date_modif])=Final_Sans_VGE[[#This Row],[date_modif]],
      "Ancien",
      "Modifié"),
   "Nouveau"))</f>
        <v>Ancien</v>
      </c>
      <c r="AC1005"/>
      <c r="AD1005"/>
    </row>
    <row r="1006" spans="1:30" ht="30" x14ac:dyDescent="0.25">
      <c r="A1006" s="5" t="s">
        <v>3182</v>
      </c>
      <c r="B1006" s="1" t="s">
        <v>8295</v>
      </c>
      <c r="C1006" s="1" t="s">
        <v>12</v>
      </c>
      <c r="G1006" s="1" t="s">
        <v>10</v>
      </c>
      <c r="J1006" s="3">
        <v>46055.535081018519</v>
      </c>
      <c r="K1006" s="2" t="s">
        <v>8296</v>
      </c>
      <c r="L1006" s="1">
        <v>35</v>
      </c>
      <c r="M1006" s="1">
        <v>39</v>
      </c>
      <c r="N1006">
        <v>4</v>
      </c>
      <c r="O1006" s="3">
        <f>IF(
    R1006="Ancien",
    _xlfn.XLOOKUP(
        Final_Sans_VGE[[#This Row],[ppn_z]],
        tbl_Historique_Final[ppn_z],
        tbl_Historique_Final[Horodatage],
        ""
    ),
    Horodatage!$A$2
)</f>
        <v>46233.670796365739</v>
      </c>
      <c r="P1006" s="1" t="str">
        <f>IFERROR(IF(tbl_Historique_Final[[#This Row],[Commentaires]]&lt;&gt;"",tbl_Historique_Final[[#This Row],[Commentaires]],""),"")</f>
        <v/>
      </c>
      <c r="X1006" s="8" t="str">
        <f>IF(Final_Sans_VGE[[#This Row],[ppn_z]]="","",IFERROR(
   IF(_xlfn.XLOOKUP(Final_Sans_VGE[[#This Row],[ppn_z]],tbl_Historique_Final[ppn_z],tbl_Historique_Final[date_modif])=Final_Sans_VGE[[#This Row],[date_modif]],
      "Ancien",
      "Modifié"),
   "Nouveau"))</f>
        <v>Ancien</v>
      </c>
      <c r="AC1006"/>
      <c r="AD1006"/>
    </row>
    <row r="1007" spans="1:30" x14ac:dyDescent="0.25">
      <c r="A1007" s="5" t="s">
        <v>3185</v>
      </c>
      <c r="B1007" s="1" t="s">
        <v>8297</v>
      </c>
      <c r="C1007" s="1" t="s">
        <v>139</v>
      </c>
      <c r="J1007" s="3">
        <v>45783.501608796294</v>
      </c>
      <c r="L1007" s="1">
        <v>1</v>
      </c>
      <c r="M1007" s="1">
        <v>1</v>
      </c>
      <c r="N1007">
        <v>0</v>
      </c>
      <c r="O1007" s="3">
        <f>IF(
    R1007="Ancien",
    _xlfn.XLOOKUP(
        Final_Sans_VGE[[#This Row],[ppn_z]],
        tbl_Historique_Final[ppn_z],
        tbl_Historique_Final[Horodatage],
        ""
    ),
    Horodatage!$A$2
)</f>
        <v>46233.670796365739</v>
      </c>
      <c r="P1007" s="1" t="str">
        <f>IFERROR(IF(tbl_Historique_Final[[#This Row],[Commentaires]]&lt;&gt;"",tbl_Historique_Final[[#This Row],[Commentaires]],""),"")</f>
        <v/>
      </c>
      <c r="X1007" s="8" t="str">
        <f>IF(Final_Sans_VGE[[#This Row],[ppn_z]]="","",IFERROR(
   IF(_xlfn.XLOOKUP(Final_Sans_VGE[[#This Row],[ppn_z]],tbl_Historique_Final[ppn_z],tbl_Historique_Final[date_modif])=Final_Sans_VGE[[#This Row],[date_modif]],
      "Ancien",
      "Modifié"),
   "Nouveau"))</f>
        <v>Ancien</v>
      </c>
      <c r="AC1007"/>
      <c r="AD1007"/>
    </row>
    <row r="1008" spans="1:30" ht="45" x14ac:dyDescent="0.25">
      <c r="A1008" s="5" t="s">
        <v>3188</v>
      </c>
      <c r="B1008" s="1" t="s">
        <v>8298</v>
      </c>
      <c r="C1008" s="1" t="s">
        <v>12</v>
      </c>
      <c r="G1008" s="1" t="s">
        <v>10</v>
      </c>
      <c r="J1008" s="3">
        <v>46042.647106481483</v>
      </c>
      <c r="K1008" s="2" t="s">
        <v>8299</v>
      </c>
      <c r="L1008" s="1">
        <v>1</v>
      </c>
      <c r="M1008" s="1">
        <v>1</v>
      </c>
      <c r="N1008">
        <v>0</v>
      </c>
      <c r="O1008" s="3">
        <f>IF(
    R1008="Ancien",
    _xlfn.XLOOKUP(
        Final_Sans_VGE[[#This Row],[ppn_z]],
        tbl_Historique_Final[ppn_z],
        tbl_Historique_Final[Horodatage],
        ""
    ),
    Horodatage!$A$2
)</f>
        <v>46233.670796365739</v>
      </c>
      <c r="P1008" s="1" t="str">
        <f>IFERROR(IF(tbl_Historique_Final[[#This Row],[Commentaires]]&lt;&gt;"",tbl_Historique_Final[[#This Row],[Commentaires]],""),"")</f>
        <v/>
      </c>
      <c r="X1008" s="8" t="str">
        <f>IF(Final_Sans_VGE[[#This Row],[ppn_z]]="","",IFERROR(
   IF(_xlfn.XLOOKUP(Final_Sans_VGE[[#This Row],[ppn_z]],tbl_Historique_Final[ppn_z],tbl_Historique_Final[date_modif])=Final_Sans_VGE[[#This Row],[date_modif]],
      "Ancien",
      "Modifié"),
   "Nouveau"))</f>
        <v>Ancien</v>
      </c>
      <c r="AC1008"/>
      <c r="AD1008"/>
    </row>
    <row r="1009" spans="1:30" ht="45" x14ac:dyDescent="0.25">
      <c r="A1009" s="5" t="s">
        <v>3191</v>
      </c>
      <c r="B1009" s="1" t="s">
        <v>8300</v>
      </c>
      <c r="C1009" s="1" t="s">
        <v>6607</v>
      </c>
      <c r="D1009" s="1" t="s">
        <v>8301</v>
      </c>
      <c r="E1009" s="1" t="s">
        <v>6793</v>
      </c>
      <c r="F1009" s="1" t="s">
        <v>8302</v>
      </c>
      <c r="G1009" s="1" t="s">
        <v>11</v>
      </c>
      <c r="H1009" s="1" t="s">
        <v>22</v>
      </c>
      <c r="I1009" s="1" t="s">
        <v>22</v>
      </c>
      <c r="J1009" s="3">
        <v>46057.476458333331</v>
      </c>
      <c r="K1009" s="2" t="s">
        <v>8303</v>
      </c>
      <c r="L1009" s="1">
        <v>161</v>
      </c>
      <c r="M1009" s="1">
        <v>192</v>
      </c>
      <c r="N1009">
        <v>31</v>
      </c>
      <c r="O1009" s="3">
        <f>IF(
    R1009="Ancien",
    _xlfn.XLOOKUP(
        Final_Sans_VGE[[#This Row],[ppn_z]],
        tbl_Historique_Final[ppn_z],
        tbl_Historique_Final[Horodatage],
        ""
    ),
    Horodatage!$A$2
)</f>
        <v>46233.670796365739</v>
      </c>
      <c r="P1009" s="1" t="str">
        <f>IFERROR(IF(tbl_Historique_Final[[#This Row],[Commentaires]]&lt;&gt;"",tbl_Historique_Final[[#This Row],[Commentaires]],""),"")</f>
        <v/>
      </c>
      <c r="X1009" s="8" t="str">
        <f>IF(Final_Sans_VGE[[#This Row],[ppn_z]]="","",IFERROR(
   IF(_xlfn.XLOOKUP(Final_Sans_VGE[[#This Row],[ppn_z]],tbl_Historique_Final[ppn_z],tbl_Historique_Final[date_modif])=Final_Sans_VGE[[#This Row],[date_modif]],
      "Ancien",
      "Modifié"),
   "Nouveau"))</f>
        <v>Ancien</v>
      </c>
      <c r="AC1009"/>
      <c r="AD1009"/>
    </row>
    <row r="1010" spans="1:30" x14ac:dyDescent="0.25">
      <c r="A1010" s="5" t="s">
        <v>3194</v>
      </c>
      <c r="B1010" s="1" t="s">
        <v>8304</v>
      </c>
      <c r="C1010" s="1" t="s">
        <v>7177</v>
      </c>
      <c r="D1010" s="1" t="s">
        <v>7857</v>
      </c>
      <c r="E1010" s="1" t="s">
        <v>50</v>
      </c>
      <c r="F1010" s="1" t="s">
        <v>14</v>
      </c>
      <c r="G1010" s="1" t="s">
        <v>10</v>
      </c>
      <c r="H1010" s="1" t="s">
        <v>22</v>
      </c>
      <c r="I1010" s="1" t="s">
        <v>140</v>
      </c>
      <c r="J1010" s="3">
        <v>46057.488310185188</v>
      </c>
      <c r="K1010" s="2" t="s">
        <v>8305</v>
      </c>
      <c r="L1010" s="1">
        <v>481</v>
      </c>
      <c r="M1010" s="1">
        <v>514</v>
      </c>
      <c r="N1010">
        <v>33</v>
      </c>
      <c r="O1010" s="3">
        <f>IF(
    R1010="Ancien",
    _xlfn.XLOOKUP(
        Final_Sans_VGE[[#This Row],[ppn_z]],
        tbl_Historique_Final[ppn_z],
        tbl_Historique_Final[Horodatage],
        ""
    ),
    Horodatage!$A$2
)</f>
        <v>46233.670796365739</v>
      </c>
      <c r="P1010" s="1" t="str">
        <f>IFERROR(IF(tbl_Historique_Final[[#This Row],[Commentaires]]&lt;&gt;"",tbl_Historique_Final[[#This Row],[Commentaires]],""),"")</f>
        <v/>
      </c>
      <c r="X1010" s="8" t="str">
        <f>IF(Final_Sans_VGE[[#This Row],[ppn_z]]="","",IFERROR(
   IF(_xlfn.XLOOKUP(Final_Sans_VGE[[#This Row],[ppn_z]],tbl_Historique_Final[ppn_z],tbl_Historique_Final[date_modif])=Final_Sans_VGE[[#This Row],[date_modif]],
      "Ancien",
      "Modifié"),
   "Nouveau"))</f>
        <v>Ancien</v>
      </c>
      <c r="AC1010"/>
      <c r="AD1010"/>
    </row>
    <row r="1011" spans="1:30" x14ac:dyDescent="0.25">
      <c r="A1011" s="5" t="s">
        <v>3197</v>
      </c>
      <c r="B1011" s="1" t="s">
        <v>8306</v>
      </c>
      <c r="C1011" s="1" t="s">
        <v>127</v>
      </c>
      <c r="J1011" s="3">
        <v>45785.468981481485</v>
      </c>
      <c r="L1011" s="1">
        <v>1</v>
      </c>
      <c r="M1011" s="1">
        <v>1</v>
      </c>
      <c r="N1011">
        <v>0</v>
      </c>
      <c r="O1011" s="3">
        <f>IF(
    R1011="Ancien",
    _xlfn.XLOOKUP(
        Final_Sans_VGE[[#This Row],[ppn_z]],
        tbl_Historique_Final[ppn_z],
        tbl_Historique_Final[Horodatage],
        ""
    ),
    Horodatage!$A$2
)</f>
        <v>46233.670796365739</v>
      </c>
      <c r="P1011" s="1" t="str">
        <f>IFERROR(IF(tbl_Historique_Final[[#This Row],[Commentaires]]&lt;&gt;"",tbl_Historique_Final[[#This Row],[Commentaires]],""),"")</f>
        <v/>
      </c>
      <c r="X1011" s="8" t="str">
        <f>IF(Final_Sans_VGE[[#This Row],[ppn_z]]="","",IFERROR(
   IF(_xlfn.XLOOKUP(Final_Sans_VGE[[#This Row],[ppn_z]],tbl_Historique_Final[ppn_z],tbl_Historique_Final[date_modif])=Final_Sans_VGE[[#This Row],[date_modif]],
      "Ancien",
      "Modifié"),
   "Nouveau"))</f>
        <v>Ancien</v>
      </c>
      <c r="AC1011"/>
      <c r="AD1011"/>
    </row>
    <row r="1012" spans="1:30" x14ac:dyDescent="0.25">
      <c r="A1012" s="5" t="s">
        <v>3200</v>
      </c>
      <c r="B1012" s="1" t="s">
        <v>8307</v>
      </c>
      <c r="C1012" s="1" t="s">
        <v>152</v>
      </c>
      <c r="E1012" s="1" t="s">
        <v>152</v>
      </c>
      <c r="J1012" s="3">
        <v>45961.48841435185</v>
      </c>
      <c r="K1012" s="2" t="s">
        <v>8263</v>
      </c>
      <c r="L1012" s="1">
        <v>1</v>
      </c>
      <c r="M1012" s="1">
        <v>1</v>
      </c>
      <c r="N1012">
        <v>0</v>
      </c>
      <c r="O1012" s="3">
        <f>IF(
    R1012="Ancien",
    _xlfn.XLOOKUP(
        Final_Sans_VGE[[#This Row],[ppn_z]],
        tbl_Historique_Final[ppn_z],
        tbl_Historique_Final[Horodatage],
        ""
    ),
    Horodatage!$A$2
)</f>
        <v>46233.670796365739</v>
      </c>
      <c r="P1012" s="1" t="str">
        <f>IFERROR(IF(tbl_Historique_Final[[#This Row],[Commentaires]]&lt;&gt;"",tbl_Historique_Final[[#This Row],[Commentaires]],""),"")</f>
        <v/>
      </c>
      <c r="X1012" s="8" t="str">
        <f>IF(Final_Sans_VGE[[#This Row],[ppn_z]]="","",IFERROR(
   IF(_xlfn.XLOOKUP(Final_Sans_VGE[[#This Row],[ppn_z]],tbl_Historique_Final[ppn_z],tbl_Historique_Final[date_modif])=Final_Sans_VGE[[#This Row],[date_modif]],
      "Ancien",
      "Modifié"),
   "Nouveau"))</f>
        <v>Ancien</v>
      </c>
      <c r="AC1012"/>
      <c r="AD1012"/>
    </row>
    <row r="1013" spans="1:30" x14ac:dyDescent="0.25">
      <c r="A1013" s="5" t="s">
        <v>3203</v>
      </c>
      <c r="B1013" s="1" t="s">
        <v>8308</v>
      </c>
      <c r="C1013" s="1" t="s">
        <v>152</v>
      </c>
      <c r="E1013" s="1" t="s">
        <v>152</v>
      </c>
      <c r="J1013" s="3">
        <v>45961.400706018518</v>
      </c>
      <c r="K1013" s="2" t="s">
        <v>8263</v>
      </c>
      <c r="L1013" s="1">
        <v>1</v>
      </c>
      <c r="M1013" s="1">
        <v>1</v>
      </c>
      <c r="N1013">
        <v>0</v>
      </c>
      <c r="O1013" s="3">
        <f>IF(
    R1013="Ancien",
    _xlfn.XLOOKUP(
        Final_Sans_VGE[[#This Row],[ppn_z]],
        tbl_Historique_Final[ppn_z],
        tbl_Historique_Final[Horodatage],
        ""
    ),
    Horodatage!$A$2
)</f>
        <v>46233.670796365739</v>
      </c>
      <c r="P1013" s="1" t="str">
        <f>IFERROR(IF(tbl_Historique_Final[[#This Row],[Commentaires]]&lt;&gt;"",tbl_Historique_Final[[#This Row],[Commentaires]],""),"")</f>
        <v/>
      </c>
      <c r="X1013" s="8" t="str">
        <f>IF(Final_Sans_VGE[[#This Row],[ppn_z]]="","",IFERROR(
   IF(_xlfn.XLOOKUP(Final_Sans_VGE[[#This Row],[ppn_z]],tbl_Historique_Final[ppn_z],tbl_Historique_Final[date_modif])=Final_Sans_VGE[[#This Row],[date_modif]],
      "Ancien",
      "Modifié"),
   "Nouveau"))</f>
        <v>Ancien</v>
      </c>
      <c r="AC1013"/>
      <c r="AD1013"/>
    </row>
    <row r="1014" spans="1:30" x14ac:dyDescent="0.25">
      <c r="A1014" s="5" t="s">
        <v>3206</v>
      </c>
      <c r="B1014" s="1" t="s">
        <v>8309</v>
      </c>
      <c r="C1014" s="1" t="s">
        <v>6330</v>
      </c>
      <c r="G1014" s="1" t="s">
        <v>10</v>
      </c>
      <c r="J1014" s="3">
        <v>45989.400277777779</v>
      </c>
      <c r="K1014" s="2" t="s">
        <v>8310</v>
      </c>
      <c r="L1014" s="1">
        <v>2</v>
      </c>
      <c r="M1014" s="1">
        <v>2</v>
      </c>
      <c r="N1014">
        <v>0</v>
      </c>
      <c r="O1014" s="3">
        <f>IF(
    R1014="Ancien",
    _xlfn.XLOOKUP(
        Final_Sans_VGE[[#This Row],[ppn_z]],
        tbl_Historique_Final[ppn_z],
        tbl_Historique_Final[Horodatage],
        ""
    ),
    Horodatage!$A$2
)</f>
        <v>46233.670796365739</v>
      </c>
      <c r="P1014" s="1" t="str">
        <f>IFERROR(IF(tbl_Historique_Final[[#This Row],[Commentaires]]&lt;&gt;"",tbl_Historique_Final[[#This Row],[Commentaires]],""),"")</f>
        <v/>
      </c>
      <c r="X1014" s="8" t="str">
        <f>IF(Final_Sans_VGE[[#This Row],[ppn_z]]="","",IFERROR(
   IF(_xlfn.XLOOKUP(Final_Sans_VGE[[#This Row],[ppn_z]],tbl_Historique_Final[ppn_z],tbl_Historique_Final[date_modif])=Final_Sans_VGE[[#This Row],[date_modif]],
      "Ancien",
      "Modifié"),
   "Nouveau"))</f>
        <v>Ancien</v>
      </c>
      <c r="AC1014"/>
      <c r="AD1014"/>
    </row>
    <row r="1015" spans="1:30" ht="60" x14ac:dyDescent="0.25">
      <c r="A1015" s="5" t="s">
        <v>3209</v>
      </c>
      <c r="B1015" s="1" t="s">
        <v>8311</v>
      </c>
      <c r="C1015" s="1" t="s">
        <v>8312</v>
      </c>
      <c r="D1015" s="1" t="s">
        <v>14</v>
      </c>
      <c r="E1015" s="1" t="s">
        <v>8313</v>
      </c>
      <c r="F1015" s="1" t="s">
        <v>14</v>
      </c>
      <c r="H1015" s="1" t="s">
        <v>22</v>
      </c>
      <c r="I1015" s="1" t="s">
        <v>140</v>
      </c>
      <c r="J1015" s="3">
        <v>46057.487638888888</v>
      </c>
      <c r="K1015" s="2" t="s">
        <v>8314</v>
      </c>
      <c r="M1015" s="1">
        <v>112</v>
      </c>
      <c r="N1015"/>
      <c r="O1015" s="3">
        <f>IF(
    R1015="Ancien",
    _xlfn.XLOOKUP(
        Final_Sans_VGE[[#This Row],[ppn_z]],
        tbl_Historique_Final[ppn_z],
        tbl_Historique_Final[Horodatage],
        ""
    ),
    Horodatage!$A$2
)</f>
        <v>46233.670796365739</v>
      </c>
      <c r="P1015" s="1" t="str">
        <f>IFERROR(IF(tbl_Historique_Final[[#This Row],[Commentaires]]&lt;&gt;"",tbl_Historique_Final[[#This Row],[Commentaires]],""),"")</f>
        <v/>
      </c>
      <c r="X1015" s="8" t="str">
        <f>IF(Final_Sans_VGE[[#This Row],[ppn_z]]="","",IFERROR(
   IF(_xlfn.XLOOKUP(Final_Sans_VGE[[#This Row],[ppn_z]],tbl_Historique_Final[ppn_z],tbl_Historique_Final[date_modif])=Final_Sans_VGE[[#This Row],[date_modif]],
      "Ancien",
      "Modifié"),
   "Nouveau"))</f>
        <v>Ancien</v>
      </c>
      <c r="AC1015"/>
      <c r="AD1015"/>
    </row>
    <row r="1016" spans="1:30" ht="75" x14ac:dyDescent="0.25">
      <c r="A1016" s="5" t="s">
        <v>3212</v>
      </c>
      <c r="B1016" s="1" t="s">
        <v>8315</v>
      </c>
      <c r="C1016" s="1" t="s">
        <v>7558</v>
      </c>
      <c r="D1016" s="1" t="s">
        <v>14</v>
      </c>
      <c r="E1016" s="1" t="s">
        <v>139</v>
      </c>
      <c r="F1016" s="1" t="s">
        <v>14</v>
      </c>
      <c r="G1016" s="1" t="s">
        <v>10</v>
      </c>
      <c r="H1016" s="1" t="s">
        <v>10514</v>
      </c>
      <c r="I1016" s="1" t="s">
        <v>140</v>
      </c>
      <c r="J1016" s="3">
        <v>46057.488321759258</v>
      </c>
      <c r="K1016" s="2" t="s">
        <v>8316</v>
      </c>
      <c r="L1016" s="1">
        <v>79</v>
      </c>
      <c r="M1016" s="1">
        <v>92</v>
      </c>
      <c r="N1016">
        <v>13</v>
      </c>
      <c r="O1016" s="3">
        <f>IF(
    R1016="Ancien",
    _xlfn.XLOOKUP(
        Final_Sans_VGE[[#This Row],[ppn_z]],
        tbl_Historique_Final[ppn_z],
        tbl_Historique_Final[Horodatage],
        ""
    ),
    Horodatage!$A$2
)</f>
        <v>46233.670796365739</v>
      </c>
      <c r="P1016" s="1" t="str">
        <f>IFERROR(IF(tbl_Historique_Final[[#This Row],[Commentaires]]&lt;&gt;"",tbl_Historique_Final[[#This Row],[Commentaires]],""),"")</f>
        <v/>
      </c>
      <c r="X1016" s="8" t="str">
        <f>IF(Final_Sans_VGE[[#This Row],[ppn_z]]="","",IFERROR(
   IF(_xlfn.XLOOKUP(Final_Sans_VGE[[#This Row],[ppn_z]],tbl_Historique_Final[ppn_z],tbl_Historique_Final[date_modif])=Final_Sans_VGE[[#This Row],[date_modif]],
      "Ancien",
      "Modifié"),
   "Nouveau"))</f>
        <v>Ancien</v>
      </c>
      <c r="AC1016"/>
      <c r="AD1016"/>
    </row>
    <row r="1017" spans="1:30" ht="60" x14ac:dyDescent="0.25">
      <c r="A1017" s="5" t="s">
        <v>3215</v>
      </c>
      <c r="B1017" s="1" t="s">
        <v>8317</v>
      </c>
      <c r="C1017" s="1" t="s">
        <v>167</v>
      </c>
      <c r="D1017" s="1" t="s">
        <v>8318</v>
      </c>
      <c r="E1017" s="1" t="s">
        <v>30</v>
      </c>
      <c r="F1017" s="1" t="s">
        <v>14</v>
      </c>
      <c r="G1017" s="1" t="s">
        <v>10</v>
      </c>
      <c r="H1017" s="1" t="s">
        <v>140</v>
      </c>
      <c r="I1017" s="1" t="s">
        <v>22</v>
      </c>
      <c r="J1017" s="3">
        <v>46057.487337962964</v>
      </c>
      <c r="K1017" s="2" t="s">
        <v>8319</v>
      </c>
      <c r="L1017" s="1">
        <v>21</v>
      </c>
      <c r="M1017" s="1">
        <v>35</v>
      </c>
      <c r="N1017">
        <v>14</v>
      </c>
      <c r="O1017" s="3">
        <f>IF(
    R1017="Ancien",
    _xlfn.XLOOKUP(
        Final_Sans_VGE[[#This Row],[ppn_z]],
        tbl_Historique_Final[ppn_z],
        tbl_Historique_Final[Horodatage],
        ""
    ),
    Horodatage!$A$2
)</f>
        <v>46233.670796365739</v>
      </c>
      <c r="P1017" s="1" t="str">
        <f>IFERROR(IF(tbl_Historique_Final[[#This Row],[Commentaires]]&lt;&gt;"",tbl_Historique_Final[[#This Row],[Commentaires]],""),"")</f>
        <v/>
      </c>
      <c r="X1017" s="8" t="str">
        <f>IF(Final_Sans_VGE[[#This Row],[ppn_z]]="","",IFERROR(
   IF(_xlfn.XLOOKUP(Final_Sans_VGE[[#This Row],[ppn_z]],tbl_Historique_Final[ppn_z],tbl_Historique_Final[date_modif])=Final_Sans_VGE[[#This Row],[date_modif]],
      "Ancien",
      "Modifié"),
   "Nouveau"))</f>
        <v>Ancien</v>
      </c>
      <c r="AC1017"/>
      <c r="AD1017"/>
    </row>
    <row r="1018" spans="1:30" x14ac:dyDescent="0.25">
      <c r="A1018" s="5" t="s">
        <v>3218</v>
      </c>
      <c r="B1018" s="1" t="s">
        <v>8320</v>
      </c>
      <c r="C1018" s="1" t="s">
        <v>59</v>
      </c>
      <c r="G1018" s="1" t="s">
        <v>10</v>
      </c>
      <c r="J1018" s="3">
        <v>45989.464386574073</v>
      </c>
      <c r="K1018" s="2" t="s">
        <v>8321</v>
      </c>
      <c r="L1018" s="1">
        <v>1</v>
      </c>
      <c r="M1018" s="1">
        <v>1</v>
      </c>
      <c r="N1018">
        <v>0</v>
      </c>
      <c r="O1018" s="3">
        <f>IF(
    R1018="Ancien",
    _xlfn.XLOOKUP(
        Final_Sans_VGE[[#This Row],[ppn_z]],
        tbl_Historique_Final[ppn_z],
        tbl_Historique_Final[Horodatage],
        ""
    ),
    Horodatage!$A$2
)</f>
        <v>46233.670796365739</v>
      </c>
      <c r="P1018" s="1" t="str">
        <f>IFERROR(IF(tbl_Historique_Final[[#This Row],[Commentaires]]&lt;&gt;"",tbl_Historique_Final[[#This Row],[Commentaires]],""),"")</f>
        <v/>
      </c>
      <c r="X1018" s="8" t="str">
        <f>IF(Final_Sans_VGE[[#This Row],[ppn_z]]="","",IFERROR(
   IF(_xlfn.XLOOKUP(Final_Sans_VGE[[#This Row],[ppn_z]],tbl_Historique_Final[ppn_z],tbl_Historique_Final[date_modif])=Final_Sans_VGE[[#This Row],[date_modif]],
      "Ancien",
      "Modifié"),
   "Nouveau"))</f>
        <v>Ancien</v>
      </c>
      <c r="AC1018"/>
      <c r="AD1018"/>
    </row>
    <row r="1019" spans="1:30" x14ac:dyDescent="0.25">
      <c r="A1019" s="5" t="s">
        <v>3221</v>
      </c>
      <c r="B1019" s="1" t="s">
        <v>8322</v>
      </c>
      <c r="C1019" s="1" t="s">
        <v>76</v>
      </c>
      <c r="D1019" s="1" t="s">
        <v>15</v>
      </c>
      <c r="G1019" s="1" t="s">
        <v>10</v>
      </c>
      <c r="H1019" s="1" t="s">
        <v>22</v>
      </c>
      <c r="I1019" s="1" t="s">
        <v>22</v>
      </c>
      <c r="J1019" s="3">
        <v>45994.360902777778</v>
      </c>
      <c r="K1019" s="2" t="s">
        <v>8323</v>
      </c>
      <c r="L1019" s="1">
        <v>1</v>
      </c>
      <c r="M1019" s="1">
        <v>2</v>
      </c>
      <c r="N1019">
        <v>1</v>
      </c>
      <c r="O1019" s="3">
        <f>IF(
    R1019="Ancien",
    _xlfn.XLOOKUP(
        Final_Sans_VGE[[#This Row],[ppn_z]],
        tbl_Historique_Final[ppn_z],
        tbl_Historique_Final[Horodatage],
        ""
    ),
    Horodatage!$A$2
)</f>
        <v>46233.670796365739</v>
      </c>
      <c r="P1019" s="1" t="str">
        <f>IFERROR(IF(tbl_Historique_Final[[#This Row],[Commentaires]]&lt;&gt;"",tbl_Historique_Final[[#This Row],[Commentaires]],""),"")</f>
        <v/>
      </c>
      <c r="X1019" s="8" t="str">
        <f>IF(Final_Sans_VGE[[#This Row],[ppn_z]]="","",IFERROR(
   IF(_xlfn.XLOOKUP(Final_Sans_VGE[[#This Row],[ppn_z]],tbl_Historique_Final[ppn_z],tbl_Historique_Final[date_modif])=Final_Sans_VGE[[#This Row],[date_modif]],
      "Ancien",
      "Modifié"),
   "Nouveau"))</f>
        <v>Ancien</v>
      </c>
      <c r="AC1019"/>
      <c r="AD1019"/>
    </row>
    <row r="1020" spans="1:30" ht="75" x14ac:dyDescent="0.25">
      <c r="A1020" s="5" t="s">
        <v>3224</v>
      </c>
      <c r="B1020" s="1" t="s">
        <v>8324</v>
      </c>
      <c r="C1020" s="1" t="s">
        <v>7291</v>
      </c>
      <c r="H1020" s="1" t="s">
        <v>22</v>
      </c>
      <c r="I1020" s="1" t="s">
        <v>22</v>
      </c>
      <c r="J1020" s="3">
        <v>46052.596631944441</v>
      </c>
      <c r="K1020" s="2" t="s">
        <v>8325</v>
      </c>
      <c r="L1020" s="1">
        <v>71</v>
      </c>
      <c r="M1020" s="1">
        <v>75</v>
      </c>
      <c r="N1020">
        <v>4</v>
      </c>
      <c r="O1020" s="3">
        <f>IF(
    R1020="Ancien",
    _xlfn.XLOOKUP(
        Final_Sans_VGE[[#This Row],[ppn_z]],
        tbl_Historique_Final[ppn_z],
        tbl_Historique_Final[Horodatage],
        ""
    ),
    Horodatage!$A$2
)</f>
        <v>46233.670796365739</v>
      </c>
      <c r="P1020" s="1" t="str">
        <f>IFERROR(IF(tbl_Historique_Final[[#This Row],[Commentaires]]&lt;&gt;"",tbl_Historique_Final[[#This Row],[Commentaires]],""),"")</f>
        <v/>
      </c>
      <c r="X1020" s="8" t="str">
        <f>IF(Final_Sans_VGE[[#This Row],[ppn_z]]="","",IFERROR(
   IF(_xlfn.XLOOKUP(Final_Sans_VGE[[#This Row],[ppn_z]],tbl_Historique_Final[ppn_z],tbl_Historique_Final[date_modif])=Final_Sans_VGE[[#This Row],[date_modif]],
      "Ancien",
      "Modifié"),
   "Nouveau"))</f>
        <v>Ancien</v>
      </c>
      <c r="AC1020"/>
      <c r="AD1020"/>
    </row>
    <row r="1021" spans="1:30" x14ac:dyDescent="0.25">
      <c r="A1021" s="5" t="s">
        <v>3227</v>
      </c>
      <c r="B1021" s="1" t="s">
        <v>8326</v>
      </c>
      <c r="C1021" s="1" t="s">
        <v>121</v>
      </c>
      <c r="D1021" s="1" t="s">
        <v>8327</v>
      </c>
      <c r="G1021" s="1" t="s">
        <v>10</v>
      </c>
      <c r="H1021" s="1" t="s">
        <v>22</v>
      </c>
      <c r="I1021" s="1" t="s">
        <v>22</v>
      </c>
      <c r="J1021" s="3">
        <v>45989.396886574075</v>
      </c>
      <c r="K1021" s="2" t="s">
        <v>8328</v>
      </c>
      <c r="L1021" s="1">
        <v>2</v>
      </c>
      <c r="M1021" s="1">
        <v>2</v>
      </c>
      <c r="N1021">
        <v>0</v>
      </c>
      <c r="O1021" s="3">
        <f>IF(
    R1021="Ancien",
    _xlfn.XLOOKUP(
        Final_Sans_VGE[[#This Row],[ppn_z]],
        tbl_Historique_Final[ppn_z],
        tbl_Historique_Final[Horodatage],
        ""
    ),
    Horodatage!$A$2
)</f>
        <v>46233.670796365739</v>
      </c>
      <c r="P1021" s="1" t="str">
        <f>IFERROR(IF(tbl_Historique_Final[[#This Row],[Commentaires]]&lt;&gt;"",tbl_Historique_Final[[#This Row],[Commentaires]],""),"")</f>
        <v/>
      </c>
      <c r="X1021" s="8" t="str">
        <f>IF(Final_Sans_VGE[[#This Row],[ppn_z]]="","",IFERROR(
   IF(_xlfn.XLOOKUP(Final_Sans_VGE[[#This Row],[ppn_z]],tbl_Historique_Final[ppn_z],tbl_Historique_Final[date_modif])=Final_Sans_VGE[[#This Row],[date_modif]],
      "Ancien",
      "Modifié"),
   "Nouveau"))</f>
        <v>Ancien</v>
      </c>
      <c r="AC1021"/>
      <c r="AD1021"/>
    </row>
    <row r="1022" spans="1:30" x14ac:dyDescent="0.25">
      <c r="A1022" s="5" t="s">
        <v>3230</v>
      </c>
      <c r="B1022" s="1" t="s">
        <v>8329</v>
      </c>
      <c r="C1022" s="1" t="s">
        <v>12</v>
      </c>
      <c r="G1022" s="1" t="s">
        <v>11</v>
      </c>
      <c r="J1022" s="3">
        <v>46037.500972222224</v>
      </c>
      <c r="K1022" s="2" t="s">
        <v>8330</v>
      </c>
      <c r="L1022" s="1">
        <v>1</v>
      </c>
      <c r="M1022" s="1">
        <v>1</v>
      </c>
      <c r="N1022">
        <v>0</v>
      </c>
      <c r="O1022" s="3">
        <f>IF(
    R1022="Ancien",
    _xlfn.XLOOKUP(
        Final_Sans_VGE[[#This Row],[ppn_z]],
        tbl_Historique_Final[ppn_z],
        tbl_Historique_Final[Horodatage],
        ""
    ),
    Horodatage!$A$2
)</f>
        <v>46233.670796365739</v>
      </c>
      <c r="P1022" s="1" t="str">
        <f>IFERROR(IF(tbl_Historique_Final[[#This Row],[Commentaires]]&lt;&gt;"",tbl_Historique_Final[[#This Row],[Commentaires]],""),"")</f>
        <v/>
      </c>
      <c r="X1022" s="8" t="str">
        <f>IF(Final_Sans_VGE[[#This Row],[ppn_z]]="","",IFERROR(
   IF(_xlfn.XLOOKUP(Final_Sans_VGE[[#This Row],[ppn_z]],tbl_Historique_Final[ppn_z],tbl_Historique_Final[date_modif])=Final_Sans_VGE[[#This Row],[date_modif]],
      "Ancien",
      "Modifié"),
   "Nouveau"))</f>
        <v>Ancien</v>
      </c>
      <c r="AC1022"/>
      <c r="AD1022"/>
    </row>
    <row r="1023" spans="1:30" ht="75" x14ac:dyDescent="0.25">
      <c r="A1023" s="5" t="s">
        <v>3233</v>
      </c>
      <c r="B1023" s="1" t="s">
        <v>8331</v>
      </c>
      <c r="C1023" s="1" t="s">
        <v>8266</v>
      </c>
      <c r="E1023" s="1" t="s">
        <v>80</v>
      </c>
      <c r="J1023" s="3">
        <v>46045.634340277778</v>
      </c>
      <c r="K1023" s="2" t="s">
        <v>8332</v>
      </c>
      <c r="L1023" s="1">
        <v>62</v>
      </c>
      <c r="M1023" s="1">
        <v>68</v>
      </c>
      <c r="N1023">
        <v>6</v>
      </c>
      <c r="O1023" s="3">
        <f>IF(
    R1023="Ancien",
    _xlfn.XLOOKUP(
        Final_Sans_VGE[[#This Row],[ppn_z]],
        tbl_Historique_Final[ppn_z],
        tbl_Historique_Final[Horodatage],
        ""
    ),
    Horodatage!$A$2
)</f>
        <v>46233.670796365739</v>
      </c>
      <c r="P1023" s="1" t="str">
        <f>IFERROR(IF(tbl_Historique_Final[[#This Row],[Commentaires]]&lt;&gt;"",tbl_Historique_Final[[#This Row],[Commentaires]],""),"")</f>
        <v/>
      </c>
      <c r="X1023" s="8" t="str">
        <f>IF(Final_Sans_VGE[[#This Row],[ppn_z]]="","",IFERROR(
   IF(_xlfn.XLOOKUP(Final_Sans_VGE[[#This Row],[ppn_z]],tbl_Historique_Final[ppn_z],tbl_Historique_Final[date_modif])=Final_Sans_VGE[[#This Row],[date_modif]],
      "Ancien",
      "Modifié"),
   "Nouveau"))</f>
        <v>Ancien</v>
      </c>
      <c r="AC1023"/>
      <c r="AD1023"/>
    </row>
    <row r="1024" spans="1:30" x14ac:dyDescent="0.25">
      <c r="A1024" s="5" t="s">
        <v>3236</v>
      </c>
      <c r="B1024" s="1" t="s">
        <v>8333</v>
      </c>
      <c r="C1024" s="1" t="s">
        <v>7164</v>
      </c>
      <c r="E1024" s="1" t="s">
        <v>82</v>
      </c>
      <c r="G1024" s="1" t="s">
        <v>10</v>
      </c>
      <c r="J1024" s="3">
        <v>46043.74596064815</v>
      </c>
      <c r="K1024" s="2" t="s">
        <v>8334</v>
      </c>
      <c r="L1024" s="1">
        <v>43</v>
      </c>
      <c r="M1024" s="1">
        <v>43</v>
      </c>
      <c r="N1024">
        <v>0</v>
      </c>
      <c r="O1024" s="3">
        <f>IF(
    R1024="Ancien",
    _xlfn.XLOOKUP(
        Final_Sans_VGE[[#This Row],[ppn_z]],
        tbl_Historique_Final[ppn_z],
        tbl_Historique_Final[Horodatage],
        ""
    ),
    Horodatage!$A$2
)</f>
        <v>46233.670796365739</v>
      </c>
      <c r="P1024" s="1" t="str">
        <f>IFERROR(IF(tbl_Historique_Final[[#This Row],[Commentaires]]&lt;&gt;"",tbl_Historique_Final[[#This Row],[Commentaires]],""),"")</f>
        <v/>
      </c>
      <c r="X1024" s="8" t="str">
        <f>IF(Final_Sans_VGE[[#This Row],[ppn_z]]="","",IFERROR(
   IF(_xlfn.XLOOKUP(Final_Sans_VGE[[#This Row],[ppn_z]],tbl_Historique_Final[ppn_z],tbl_Historique_Final[date_modif])=Final_Sans_VGE[[#This Row],[date_modif]],
      "Ancien",
      "Modifié"),
   "Nouveau"))</f>
        <v>Ancien</v>
      </c>
      <c r="AC1024"/>
      <c r="AD1024"/>
    </row>
    <row r="1025" spans="1:30" x14ac:dyDescent="0.25">
      <c r="A1025" s="5" t="s">
        <v>3239</v>
      </c>
      <c r="B1025" s="1" t="s">
        <v>8335</v>
      </c>
      <c r="C1025" s="1" t="s">
        <v>12</v>
      </c>
      <c r="G1025" s="1" t="s">
        <v>10</v>
      </c>
      <c r="J1025" s="3">
        <v>46056.452013888891</v>
      </c>
      <c r="K1025" s="2" t="s">
        <v>8336</v>
      </c>
      <c r="L1025" s="1">
        <v>31</v>
      </c>
      <c r="M1025" s="1">
        <v>33</v>
      </c>
      <c r="N1025">
        <v>2</v>
      </c>
      <c r="O1025" s="3">
        <f>IF(
    R1025="Ancien",
    _xlfn.XLOOKUP(
        Final_Sans_VGE[[#This Row],[ppn_z]],
        tbl_Historique_Final[ppn_z],
        tbl_Historique_Final[Horodatage],
        ""
    ),
    Horodatage!$A$2
)</f>
        <v>46233.670796365739</v>
      </c>
      <c r="P1025" s="1" t="str">
        <f>IFERROR(IF(tbl_Historique_Final[[#This Row],[Commentaires]]&lt;&gt;"",tbl_Historique_Final[[#This Row],[Commentaires]],""),"")</f>
        <v/>
      </c>
      <c r="X1025" s="8" t="str">
        <f>IF(Final_Sans_VGE[[#This Row],[ppn_z]]="","",IFERROR(
   IF(_xlfn.XLOOKUP(Final_Sans_VGE[[#This Row],[ppn_z]],tbl_Historique_Final[ppn_z],tbl_Historique_Final[date_modif])=Final_Sans_VGE[[#This Row],[date_modif]],
      "Ancien",
      "Modifié"),
   "Nouveau"))</f>
        <v>Ancien</v>
      </c>
      <c r="AC1025"/>
      <c r="AD1025"/>
    </row>
    <row r="1026" spans="1:30" ht="30" x14ac:dyDescent="0.25">
      <c r="A1026" s="5" t="s">
        <v>3242</v>
      </c>
      <c r="B1026" s="1" t="s">
        <v>8337</v>
      </c>
      <c r="C1026" s="1" t="s">
        <v>45</v>
      </c>
      <c r="G1026" s="1" t="s">
        <v>11</v>
      </c>
      <c r="J1026" s="3">
        <v>45994.517928240741</v>
      </c>
      <c r="K1026" s="2" t="s">
        <v>8338</v>
      </c>
      <c r="L1026" s="1">
        <v>1</v>
      </c>
      <c r="M1026" s="1">
        <v>2</v>
      </c>
      <c r="N1026">
        <v>1</v>
      </c>
      <c r="O1026" s="3">
        <f>IF(
    R1026="Ancien",
    _xlfn.XLOOKUP(
        Final_Sans_VGE[[#This Row],[ppn_z]],
        tbl_Historique_Final[ppn_z],
        tbl_Historique_Final[Horodatage],
        ""
    ),
    Horodatage!$A$2
)</f>
        <v>46233.670796365739</v>
      </c>
      <c r="P1026" s="1" t="str">
        <f>IFERROR(IF(tbl_Historique_Final[[#This Row],[Commentaires]]&lt;&gt;"",tbl_Historique_Final[[#This Row],[Commentaires]],""),"")</f>
        <v/>
      </c>
      <c r="X1026" s="8" t="str">
        <f>IF(Final_Sans_VGE[[#This Row],[ppn_z]]="","",IFERROR(
   IF(_xlfn.XLOOKUP(Final_Sans_VGE[[#This Row],[ppn_z]],tbl_Historique_Final[ppn_z],tbl_Historique_Final[date_modif])=Final_Sans_VGE[[#This Row],[date_modif]],
      "Ancien",
      "Modifié"),
   "Nouveau"))</f>
        <v>Ancien</v>
      </c>
      <c r="AC1026"/>
      <c r="AD1026"/>
    </row>
    <row r="1027" spans="1:30" x14ac:dyDescent="0.25">
      <c r="A1027" s="5" t="s">
        <v>3245</v>
      </c>
      <c r="B1027" s="1" t="s">
        <v>8339</v>
      </c>
      <c r="C1027" s="1" t="s">
        <v>12</v>
      </c>
      <c r="G1027" s="1" t="s">
        <v>11</v>
      </c>
      <c r="J1027" s="3">
        <v>45993.606400462966</v>
      </c>
      <c r="K1027" s="2" t="s">
        <v>8340</v>
      </c>
      <c r="L1027" s="1">
        <v>1</v>
      </c>
      <c r="M1027" s="1">
        <v>1</v>
      </c>
      <c r="N1027">
        <v>0</v>
      </c>
      <c r="O1027" s="3">
        <f>IF(
    R1027="Ancien",
    _xlfn.XLOOKUP(
        Final_Sans_VGE[[#This Row],[ppn_z]],
        tbl_Historique_Final[ppn_z],
        tbl_Historique_Final[Horodatage],
        ""
    ),
    Horodatage!$A$2
)</f>
        <v>46233.670796365739</v>
      </c>
      <c r="P1027" s="1" t="str">
        <f>IFERROR(IF(tbl_Historique_Final[[#This Row],[Commentaires]]&lt;&gt;"",tbl_Historique_Final[[#This Row],[Commentaires]],""),"")</f>
        <v/>
      </c>
      <c r="X1027" s="8" t="str">
        <f>IF(Final_Sans_VGE[[#This Row],[ppn_z]]="","",IFERROR(
   IF(_xlfn.XLOOKUP(Final_Sans_VGE[[#This Row],[ppn_z]],tbl_Historique_Final[ppn_z],tbl_Historique_Final[date_modif])=Final_Sans_VGE[[#This Row],[date_modif]],
      "Ancien",
      "Modifié"),
   "Nouveau"))</f>
        <v>Ancien</v>
      </c>
      <c r="AC1027"/>
      <c r="AD1027"/>
    </row>
    <row r="1028" spans="1:30" x14ac:dyDescent="0.25">
      <c r="A1028" s="5" t="s">
        <v>3248</v>
      </c>
      <c r="B1028" s="1" t="s">
        <v>8341</v>
      </c>
      <c r="D1028" s="1" t="s">
        <v>14</v>
      </c>
      <c r="G1028" s="1" t="s">
        <v>10</v>
      </c>
      <c r="H1028" s="1" t="s">
        <v>140</v>
      </c>
      <c r="I1028" s="1" t="s">
        <v>22</v>
      </c>
      <c r="J1028" s="3">
        <v>45903.514282407406</v>
      </c>
      <c r="L1028" s="1">
        <v>8</v>
      </c>
      <c r="M1028" s="1">
        <v>15</v>
      </c>
      <c r="N1028">
        <v>7</v>
      </c>
      <c r="O1028" s="3">
        <f>IF(
    R1028="Ancien",
    _xlfn.XLOOKUP(
        Final_Sans_VGE[[#This Row],[ppn_z]],
        tbl_Historique_Final[ppn_z],
        tbl_Historique_Final[Horodatage],
        ""
    ),
    Horodatage!$A$2
)</f>
        <v>46233.670796365739</v>
      </c>
      <c r="P1028" s="1" t="str">
        <f>IFERROR(IF(tbl_Historique_Final[[#This Row],[Commentaires]]&lt;&gt;"",tbl_Historique_Final[[#This Row],[Commentaires]],""),"")</f>
        <v/>
      </c>
      <c r="X1028" s="8" t="str">
        <f>IF(Final_Sans_VGE[[#This Row],[ppn_z]]="","",IFERROR(
   IF(_xlfn.XLOOKUP(Final_Sans_VGE[[#This Row],[ppn_z]],tbl_Historique_Final[ppn_z],tbl_Historique_Final[date_modif])=Final_Sans_VGE[[#This Row],[date_modif]],
      "Ancien",
      "Modifié"),
   "Nouveau"))</f>
        <v>Ancien</v>
      </c>
      <c r="AC1028"/>
      <c r="AD1028"/>
    </row>
    <row r="1029" spans="1:30" ht="30" x14ac:dyDescent="0.25">
      <c r="A1029" s="5" t="s">
        <v>3251</v>
      </c>
      <c r="B1029" s="1" t="s">
        <v>8342</v>
      </c>
      <c r="C1029" s="1" t="s">
        <v>63</v>
      </c>
      <c r="E1029" s="1" t="s">
        <v>62</v>
      </c>
      <c r="G1029" s="1" t="s">
        <v>10</v>
      </c>
      <c r="J1029" s="3">
        <v>46041.68273148148</v>
      </c>
      <c r="K1029" s="2" t="s">
        <v>8343</v>
      </c>
      <c r="L1029" s="1">
        <v>48</v>
      </c>
      <c r="M1029" s="1">
        <v>48</v>
      </c>
      <c r="N1029">
        <v>0</v>
      </c>
      <c r="O1029" s="3">
        <f>IF(
    R1029="Ancien",
    _xlfn.XLOOKUP(
        Final_Sans_VGE[[#This Row],[ppn_z]],
        tbl_Historique_Final[ppn_z],
        tbl_Historique_Final[Horodatage],
        ""
    ),
    Horodatage!$A$2
)</f>
        <v>46233.670796365739</v>
      </c>
      <c r="P1029" s="1" t="str">
        <f>IFERROR(IF(tbl_Historique_Final[[#This Row],[Commentaires]]&lt;&gt;"",tbl_Historique_Final[[#This Row],[Commentaires]],""),"")</f>
        <v/>
      </c>
      <c r="X1029" s="8" t="str">
        <f>IF(Final_Sans_VGE[[#This Row],[ppn_z]]="","",IFERROR(
   IF(_xlfn.XLOOKUP(Final_Sans_VGE[[#This Row],[ppn_z]],tbl_Historique_Final[ppn_z],tbl_Historique_Final[date_modif])=Final_Sans_VGE[[#This Row],[date_modif]],
      "Ancien",
      "Modifié"),
   "Nouveau"))</f>
        <v>Ancien</v>
      </c>
      <c r="AC1029"/>
      <c r="AD1029"/>
    </row>
    <row r="1030" spans="1:30" ht="30" x14ac:dyDescent="0.25">
      <c r="A1030" s="5" t="s">
        <v>3254</v>
      </c>
      <c r="B1030" s="1" t="s">
        <v>8344</v>
      </c>
      <c r="D1030" s="1" t="s">
        <v>133</v>
      </c>
      <c r="H1030" s="1" t="s">
        <v>22</v>
      </c>
      <c r="I1030" s="1" t="s">
        <v>22</v>
      </c>
      <c r="J1030" s="3">
        <v>45963.382256944446</v>
      </c>
      <c r="K1030" s="2" t="s">
        <v>8345</v>
      </c>
      <c r="L1030" s="1">
        <v>7</v>
      </c>
      <c r="M1030" s="1">
        <v>7</v>
      </c>
      <c r="N1030">
        <v>0</v>
      </c>
      <c r="O1030" s="3">
        <f>IF(
    R1030="Ancien",
    _xlfn.XLOOKUP(
        Final_Sans_VGE[[#This Row],[ppn_z]],
        tbl_Historique_Final[ppn_z],
        tbl_Historique_Final[Horodatage],
        ""
    ),
    Horodatage!$A$2
)</f>
        <v>46233.670796365739</v>
      </c>
      <c r="P1030" s="1" t="str">
        <f>IFERROR(IF(tbl_Historique_Final[[#This Row],[Commentaires]]&lt;&gt;"",tbl_Historique_Final[[#This Row],[Commentaires]],""),"")</f>
        <v/>
      </c>
      <c r="X1030" s="8" t="str">
        <f>IF(Final_Sans_VGE[[#This Row],[ppn_z]]="","",IFERROR(
   IF(_xlfn.XLOOKUP(Final_Sans_VGE[[#This Row],[ppn_z]],tbl_Historique_Final[ppn_z],tbl_Historique_Final[date_modif])=Final_Sans_VGE[[#This Row],[date_modif]],
      "Ancien",
      "Modifié"),
   "Nouveau"))</f>
        <v>Ancien</v>
      </c>
      <c r="AC1030"/>
      <c r="AD1030"/>
    </row>
    <row r="1031" spans="1:30" x14ac:dyDescent="0.25">
      <c r="A1031" s="5" t="s">
        <v>3257</v>
      </c>
      <c r="B1031" s="1" t="s">
        <v>8346</v>
      </c>
      <c r="C1031" s="1" t="s">
        <v>6447</v>
      </c>
      <c r="J1031" s="3">
        <v>45797.465509259258</v>
      </c>
      <c r="L1031" s="1">
        <v>3</v>
      </c>
      <c r="M1031" s="1">
        <v>3</v>
      </c>
      <c r="N1031">
        <v>0</v>
      </c>
      <c r="O1031" s="3">
        <f>IF(
    R1031="Ancien",
    _xlfn.XLOOKUP(
        Final_Sans_VGE[[#This Row],[ppn_z]],
        tbl_Historique_Final[ppn_z],
        tbl_Historique_Final[Horodatage],
        ""
    ),
    Horodatage!$A$2
)</f>
        <v>46233.670796365739</v>
      </c>
      <c r="P1031" s="1" t="str">
        <f>IFERROR(IF(tbl_Historique_Final[[#This Row],[Commentaires]]&lt;&gt;"",tbl_Historique_Final[[#This Row],[Commentaires]],""),"")</f>
        <v/>
      </c>
      <c r="X1031" s="8" t="str">
        <f>IF(Final_Sans_VGE[[#This Row],[ppn_z]]="","",IFERROR(
   IF(_xlfn.XLOOKUP(Final_Sans_VGE[[#This Row],[ppn_z]],tbl_Historique_Final[ppn_z],tbl_Historique_Final[date_modif])=Final_Sans_VGE[[#This Row],[date_modif]],
      "Ancien",
      "Modifié"),
   "Nouveau"))</f>
        <v>Ancien</v>
      </c>
      <c r="AC1031"/>
      <c r="AD1031"/>
    </row>
    <row r="1032" spans="1:30" x14ac:dyDescent="0.25">
      <c r="A1032" s="5" t="s">
        <v>3260</v>
      </c>
      <c r="B1032" s="1" t="s">
        <v>8347</v>
      </c>
      <c r="C1032" s="1" t="s">
        <v>8348</v>
      </c>
      <c r="E1032" s="1" t="s">
        <v>8349</v>
      </c>
      <c r="G1032" s="1" t="s">
        <v>10</v>
      </c>
      <c r="J1032" s="3">
        <v>46055.551087962966</v>
      </c>
      <c r="K1032" s="2" t="s">
        <v>8350</v>
      </c>
      <c r="L1032" s="1">
        <v>35</v>
      </c>
      <c r="M1032" s="1">
        <v>35</v>
      </c>
      <c r="N1032">
        <v>0</v>
      </c>
      <c r="O1032" s="3">
        <f>IF(
    R1032="Ancien",
    _xlfn.XLOOKUP(
        Final_Sans_VGE[[#This Row],[ppn_z]],
        tbl_Historique_Final[ppn_z],
        tbl_Historique_Final[Horodatage],
        ""
    ),
    Horodatage!$A$2
)</f>
        <v>46233.670796365739</v>
      </c>
      <c r="P1032" s="1" t="str">
        <f>IFERROR(IF(tbl_Historique_Final[[#This Row],[Commentaires]]&lt;&gt;"",tbl_Historique_Final[[#This Row],[Commentaires]],""),"")</f>
        <v/>
      </c>
      <c r="X1032" s="8" t="str">
        <f>IF(Final_Sans_VGE[[#This Row],[ppn_z]]="","",IFERROR(
   IF(_xlfn.XLOOKUP(Final_Sans_VGE[[#This Row],[ppn_z]],tbl_Historique_Final[ppn_z],tbl_Historique_Final[date_modif])=Final_Sans_VGE[[#This Row],[date_modif]],
      "Ancien",
      "Modifié"),
   "Nouveau"))</f>
        <v>Ancien</v>
      </c>
      <c r="AC1032"/>
      <c r="AD1032"/>
    </row>
    <row r="1033" spans="1:30" ht="30" x14ac:dyDescent="0.25">
      <c r="A1033" s="5" t="s">
        <v>3263</v>
      </c>
      <c r="B1033" s="1" t="s">
        <v>8351</v>
      </c>
      <c r="C1033" s="1" t="s">
        <v>31</v>
      </c>
      <c r="H1033" s="1" t="s">
        <v>22</v>
      </c>
      <c r="I1033" s="1" t="s">
        <v>22</v>
      </c>
      <c r="J1033" s="3">
        <v>46049.375960648147</v>
      </c>
      <c r="K1033" s="2" t="s">
        <v>8352</v>
      </c>
      <c r="L1033" s="1">
        <v>48</v>
      </c>
      <c r="M1033" s="1">
        <v>68</v>
      </c>
      <c r="N1033">
        <v>20</v>
      </c>
      <c r="O1033" s="3">
        <f>IF(
    R1033="Ancien",
    _xlfn.XLOOKUP(
        Final_Sans_VGE[[#This Row],[ppn_z]],
        tbl_Historique_Final[ppn_z],
        tbl_Historique_Final[Horodatage],
        ""
    ),
    Horodatage!$A$2
)</f>
        <v>46233.670796365739</v>
      </c>
      <c r="P1033" s="1" t="str">
        <f>IFERROR(IF(tbl_Historique_Final[[#This Row],[Commentaires]]&lt;&gt;"",tbl_Historique_Final[[#This Row],[Commentaires]],""),"")</f>
        <v/>
      </c>
      <c r="X1033" s="8" t="str">
        <f>IF(Final_Sans_VGE[[#This Row],[ppn_z]]="","",IFERROR(
   IF(_xlfn.XLOOKUP(Final_Sans_VGE[[#This Row],[ppn_z]],tbl_Historique_Final[ppn_z],tbl_Historique_Final[date_modif])=Final_Sans_VGE[[#This Row],[date_modif]],
      "Ancien",
      "Modifié"),
   "Nouveau"))</f>
        <v>Ancien</v>
      </c>
      <c r="AC1033"/>
      <c r="AD1033"/>
    </row>
    <row r="1034" spans="1:30" x14ac:dyDescent="0.25">
      <c r="A1034" s="5" t="s">
        <v>3266</v>
      </c>
      <c r="B1034" s="1" t="s">
        <v>8353</v>
      </c>
      <c r="C1034" s="1" t="s">
        <v>142</v>
      </c>
      <c r="J1034" s="3">
        <v>45797.499166666668</v>
      </c>
      <c r="L1034" s="1">
        <v>1</v>
      </c>
      <c r="M1034" s="1">
        <v>1</v>
      </c>
      <c r="N1034">
        <v>0</v>
      </c>
      <c r="O1034" s="3">
        <f>IF(
    R1034="Ancien",
    _xlfn.XLOOKUP(
        Final_Sans_VGE[[#This Row],[ppn_z]],
        tbl_Historique_Final[ppn_z],
        tbl_Historique_Final[Horodatage],
        ""
    ),
    Horodatage!$A$2
)</f>
        <v>46233.670796365739</v>
      </c>
      <c r="P1034" s="1" t="str">
        <f>IFERROR(IF(tbl_Historique_Final[[#This Row],[Commentaires]]&lt;&gt;"",tbl_Historique_Final[[#This Row],[Commentaires]],""),"")</f>
        <v/>
      </c>
      <c r="X1034" s="8" t="str">
        <f>IF(Final_Sans_VGE[[#This Row],[ppn_z]]="","",IFERROR(
   IF(_xlfn.XLOOKUP(Final_Sans_VGE[[#This Row],[ppn_z]],tbl_Historique_Final[ppn_z],tbl_Historique_Final[date_modif])=Final_Sans_VGE[[#This Row],[date_modif]],
      "Ancien",
      "Modifié"),
   "Nouveau"))</f>
        <v>Ancien</v>
      </c>
      <c r="AC1034"/>
      <c r="AD1034"/>
    </row>
    <row r="1035" spans="1:30" x14ac:dyDescent="0.25">
      <c r="A1035" s="5" t="s">
        <v>3269</v>
      </c>
      <c r="B1035" s="1" t="s">
        <v>8354</v>
      </c>
      <c r="C1035" s="1" t="s">
        <v>80</v>
      </c>
      <c r="G1035" s="1" t="s">
        <v>10</v>
      </c>
      <c r="H1035" s="1" t="s">
        <v>22</v>
      </c>
      <c r="I1035" s="1" t="s">
        <v>22</v>
      </c>
      <c r="J1035" s="3">
        <v>45989.40792824074</v>
      </c>
      <c r="K1035" s="2" t="s">
        <v>8355</v>
      </c>
      <c r="L1035" s="1">
        <v>2</v>
      </c>
      <c r="M1035" s="1">
        <v>2</v>
      </c>
      <c r="N1035">
        <v>0</v>
      </c>
      <c r="O1035" s="3">
        <f>IF(
    R1035="Ancien",
    _xlfn.XLOOKUP(
        Final_Sans_VGE[[#This Row],[ppn_z]],
        tbl_Historique_Final[ppn_z],
        tbl_Historique_Final[Horodatage],
        ""
    ),
    Horodatage!$A$2
)</f>
        <v>46233.670796365739</v>
      </c>
      <c r="P1035" s="1" t="str">
        <f>IFERROR(IF(tbl_Historique_Final[[#This Row],[Commentaires]]&lt;&gt;"",tbl_Historique_Final[[#This Row],[Commentaires]],""),"")</f>
        <v/>
      </c>
      <c r="X1035" s="8" t="str">
        <f>IF(Final_Sans_VGE[[#This Row],[ppn_z]]="","",IFERROR(
   IF(_xlfn.XLOOKUP(Final_Sans_VGE[[#This Row],[ppn_z]],tbl_Historique_Final[ppn_z],tbl_Historique_Final[date_modif])=Final_Sans_VGE[[#This Row],[date_modif]],
      "Ancien",
      "Modifié"),
   "Nouveau"))</f>
        <v>Ancien</v>
      </c>
      <c r="AC1035"/>
      <c r="AD1035"/>
    </row>
    <row r="1036" spans="1:30" ht="45" x14ac:dyDescent="0.25">
      <c r="A1036" s="5" t="s">
        <v>3272</v>
      </c>
      <c r="B1036" s="1" t="s">
        <v>8356</v>
      </c>
      <c r="C1036" s="1" t="s">
        <v>7164</v>
      </c>
      <c r="J1036" s="3">
        <v>46052.735358796293</v>
      </c>
      <c r="K1036" s="2" t="s">
        <v>8357</v>
      </c>
      <c r="L1036" s="1">
        <v>15</v>
      </c>
      <c r="M1036" s="1">
        <v>17</v>
      </c>
      <c r="N1036">
        <v>2</v>
      </c>
      <c r="O1036" s="3">
        <f>IF(
    R1036="Ancien",
    _xlfn.XLOOKUP(
        Final_Sans_VGE[[#This Row],[ppn_z]],
        tbl_Historique_Final[ppn_z],
        tbl_Historique_Final[Horodatage],
        ""
    ),
    Horodatage!$A$2
)</f>
        <v>46233.670796365739</v>
      </c>
      <c r="P1036" s="1" t="str">
        <f>IFERROR(IF(tbl_Historique_Final[[#This Row],[Commentaires]]&lt;&gt;"",tbl_Historique_Final[[#This Row],[Commentaires]],""),"")</f>
        <v/>
      </c>
      <c r="X1036" s="8" t="str">
        <f>IF(Final_Sans_VGE[[#This Row],[ppn_z]]="","",IFERROR(
   IF(_xlfn.XLOOKUP(Final_Sans_VGE[[#This Row],[ppn_z]],tbl_Historique_Final[ppn_z],tbl_Historique_Final[date_modif])=Final_Sans_VGE[[#This Row],[date_modif]],
      "Ancien",
      "Modifié"),
   "Nouveau"))</f>
        <v>Ancien</v>
      </c>
      <c r="AC1036"/>
      <c r="AD1036"/>
    </row>
    <row r="1037" spans="1:30" ht="30" x14ac:dyDescent="0.25">
      <c r="A1037" s="5" t="s">
        <v>3275</v>
      </c>
      <c r="B1037" s="1" t="s">
        <v>8358</v>
      </c>
      <c r="C1037" s="1" t="s">
        <v>6482</v>
      </c>
      <c r="G1037" s="1" t="s">
        <v>10</v>
      </c>
      <c r="J1037" s="3">
        <v>45994.642256944448</v>
      </c>
      <c r="K1037" s="2" t="s">
        <v>8359</v>
      </c>
      <c r="L1037" s="1">
        <v>4</v>
      </c>
      <c r="M1037" s="1">
        <v>4</v>
      </c>
      <c r="N1037">
        <v>0</v>
      </c>
      <c r="O1037" s="3">
        <f>IF(
    R1037="Ancien",
    _xlfn.XLOOKUP(
        Final_Sans_VGE[[#This Row],[ppn_z]],
        tbl_Historique_Final[ppn_z],
        tbl_Historique_Final[Horodatage],
        ""
    ),
    Horodatage!$A$2
)</f>
        <v>46233.670796365739</v>
      </c>
      <c r="P1037" s="1" t="str">
        <f>IFERROR(IF(tbl_Historique_Final[[#This Row],[Commentaires]]&lt;&gt;"",tbl_Historique_Final[[#This Row],[Commentaires]],""),"")</f>
        <v/>
      </c>
      <c r="X1037" s="8" t="str">
        <f>IF(Final_Sans_VGE[[#This Row],[ppn_z]]="","",IFERROR(
   IF(_xlfn.XLOOKUP(Final_Sans_VGE[[#This Row],[ppn_z]],tbl_Historique_Final[ppn_z],tbl_Historique_Final[date_modif])=Final_Sans_VGE[[#This Row],[date_modif]],
      "Ancien",
      "Modifié"),
   "Nouveau"))</f>
        <v>Ancien</v>
      </c>
      <c r="AC1037"/>
      <c r="AD1037"/>
    </row>
    <row r="1038" spans="1:30" x14ac:dyDescent="0.25">
      <c r="A1038" s="5" t="s">
        <v>3278</v>
      </c>
      <c r="B1038" s="1" t="s">
        <v>8360</v>
      </c>
      <c r="C1038" s="1" t="s">
        <v>12</v>
      </c>
      <c r="G1038" s="1" t="s">
        <v>11</v>
      </c>
      <c r="J1038" s="3">
        <v>46031.405729166669</v>
      </c>
      <c r="K1038" s="2" t="s">
        <v>8361</v>
      </c>
      <c r="L1038" s="1">
        <v>7</v>
      </c>
      <c r="M1038" s="1">
        <v>7</v>
      </c>
      <c r="N1038">
        <v>0</v>
      </c>
      <c r="O1038" s="3">
        <f>IF(
    R1038="Ancien",
    _xlfn.XLOOKUP(
        Final_Sans_VGE[[#This Row],[ppn_z]],
        tbl_Historique_Final[ppn_z],
        tbl_Historique_Final[Horodatage],
        ""
    ),
    Horodatage!$A$2
)</f>
        <v>46233.670796365739</v>
      </c>
      <c r="P1038" s="1" t="str">
        <f>IFERROR(IF(tbl_Historique_Final[[#This Row],[Commentaires]]&lt;&gt;"",tbl_Historique_Final[[#This Row],[Commentaires]],""),"")</f>
        <v/>
      </c>
      <c r="X1038" s="8" t="str">
        <f>IF(Final_Sans_VGE[[#This Row],[ppn_z]]="","",IFERROR(
   IF(_xlfn.XLOOKUP(Final_Sans_VGE[[#This Row],[ppn_z]],tbl_Historique_Final[ppn_z],tbl_Historique_Final[date_modif])=Final_Sans_VGE[[#This Row],[date_modif]],
      "Ancien",
      "Modifié"),
   "Nouveau"))</f>
        <v>Ancien</v>
      </c>
      <c r="AC1038"/>
      <c r="AD1038"/>
    </row>
    <row r="1039" spans="1:30" x14ac:dyDescent="0.25">
      <c r="A1039" s="5" t="s">
        <v>3281</v>
      </c>
      <c r="B1039" s="1" t="s">
        <v>8362</v>
      </c>
      <c r="C1039" s="1" t="s">
        <v>12</v>
      </c>
      <c r="G1039" s="1" t="s">
        <v>10</v>
      </c>
      <c r="J1039" s="3">
        <v>45989.323310185187</v>
      </c>
      <c r="K1039" s="2" t="s">
        <v>6438</v>
      </c>
      <c r="L1039" s="1">
        <v>1</v>
      </c>
      <c r="M1039" s="1">
        <v>1</v>
      </c>
      <c r="N1039">
        <v>0</v>
      </c>
      <c r="O1039" s="3">
        <f>IF(
    R1039="Ancien",
    _xlfn.XLOOKUP(
        Final_Sans_VGE[[#This Row],[ppn_z]],
        tbl_Historique_Final[ppn_z],
        tbl_Historique_Final[Horodatage],
        ""
    ),
    Horodatage!$A$2
)</f>
        <v>46233.670796365739</v>
      </c>
      <c r="P1039" s="1" t="str">
        <f>IFERROR(IF(tbl_Historique_Final[[#This Row],[Commentaires]]&lt;&gt;"",tbl_Historique_Final[[#This Row],[Commentaires]],""),"")</f>
        <v/>
      </c>
      <c r="X1039" s="8" t="str">
        <f>IF(Final_Sans_VGE[[#This Row],[ppn_z]]="","",IFERROR(
   IF(_xlfn.XLOOKUP(Final_Sans_VGE[[#This Row],[ppn_z]],tbl_Historique_Final[ppn_z],tbl_Historique_Final[date_modif])=Final_Sans_VGE[[#This Row],[date_modif]],
      "Ancien",
      "Modifié"),
   "Nouveau"))</f>
        <v>Ancien</v>
      </c>
      <c r="AC1039"/>
      <c r="AD1039"/>
    </row>
    <row r="1040" spans="1:30" x14ac:dyDescent="0.25">
      <c r="A1040" s="5" t="s">
        <v>3284</v>
      </c>
      <c r="B1040" s="1" t="s">
        <v>8363</v>
      </c>
      <c r="C1040" s="1" t="s">
        <v>12</v>
      </c>
      <c r="G1040" s="1" t="s">
        <v>11</v>
      </c>
      <c r="J1040" s="3">
        <v>46038.593506944446</v>
      </c>
      <c r="K1040" s="2" t="s">
        <v>8364</v>
      </c>
      <c r="L1040" s="1">
        <v>1</v>
      </c>
      <c r="M1040" s="1">
        <v>1</v>
      </c>
      <c r="N1040">
        <v>0</v>
      </c>
      <c r="O1040" s="3">
        <f>IF(
    R1040="Ancien",
    _xlfn.XLOOKUP(
        Final_Sans_VGE[[#This Row],[ppn_z]],
        tbl_Historique_Final[ppn_z],
        tbl_Historique_Final[Horodatage],
        ""
    ),
    Horodatage!$A$2
)</f>
        <v>46233.670796365739</v>
      </c>
      <c r="P1040" s="1" t="str">
        <f>IFERROR(IF(tbl_Historique_Final[[#This Row],[Commentaires]]&lt;&gt;"",tbl_Historique_Final[[#This Row],[Commentaires]],""),"")</f>
        <v/>
      </c>
      <c r="X1040" s="8" t="str">
        <f>IF(Final_Sans_VGE[[#This Row],[ppn_z]]="","",IFERROR(
   IF(_xlfn.XLOOKUP(Final_Sans_VGE[[#This Row],[ppn_z]],tbl_Historique_Final[ppn_z],tbl_Historique_Final[date_modif])=Final_Sans_VGE[[#This Row],[date_modif]],
      "Ancien",
      "Modifié"),
   "Nouveau"))</f>
        <v>Ancien</v>
      </c>
      <c r="AC1040"/>
      <c r="AD1040"/>
    </row>
    <row r="1041" spans="1:30" x14ac:dyDescent="0.25">
      <c r="A1041" s="5" t="s">
        <v>3287</v>
      </c>
      <c r="B1041" s="1" t="s">
        <v>8365</v>
      </c>
      <c r="C1041" s="1" t="s">
        <v>159</v>
      </c>
      <c r="G1041" s="1" t="s">
        <v>11</v>
      </c>
      <c r="J1041" s="3">
        <v>45989.47216435185</v>
      </c>
      <c r="K1041" s="2" t="s">
        <v>8366</v>
      </c>
      <c r="L1041" s="1">
        <v>1</v>
      </c>
      <c r="M1041" s="1">
        <v>1</v>
      </c>
      <c r="N1041">
        <v>0</v>
      </c>
      <c r="O1041" s="3">
        <f>IF(
    R1041="Ancien",
    _xlfn.XLOOKUP(
        Final_Sans_VGE[[#This Row],[ppn_z]],
        tbl_Historique_Final[ppn_z],
        tbl_Historique_Final[Horodatage],
        ""
    ),
    Horodatage!$A$2
)</f>
        <v>46233.670796365739</v>
      </c>
      <c r="P1041" s="1" t="str">
        <f>IFERROR(IF(tbl_Historique_Final[[#This Row],[Commentaires]]&lt;&gt;"",tbl_Historique_Final[[#This Row],[Commentaires]],""),"")</f>
        <v/>
      </c>
      <c r="X1041" s="8" t="str">
        <f>IF(Final_Sans_VGE[[#This Row],[ppn_z]]="","",IFERROR(
   IF(_xlfn.XLOOKUP(Final_Sans_VGE[[#This Row],[ppn_z]],tbl_Historique_Final[ppn_z],tbl_Historique_Final[date_modif])=Final_Sans_VGE[[#This Row],[date_modif]],
      "Ancien",
      "Modifié"),
   "Nouveau"))</f>
        <v>Ancien</v>
      </c>
      <c r="AC1041"/>
      <c r="AD1041"/>
    </row>
    <row r="1042" spans="1:30" ht="45" x14ac:dyDescent="0.25">
      <c r="A1042" s="5" t="s">
        <v>3290</v>
      </c>
      <c r="B1042" s="1" t="s">
        <v>8367</v>
      </c>
      <c r="C1042" s="1" t="s">
        <v>8368</v>
      </c>
      <c r="E1042" s="1" t="s">
        <v>40</v>
      </c>
      <c r="G1042" s="1" t="s">
        <v>10</v>
      </c>
      <c r="J1042" s="3">
        <v>46051.67324074074</v>
      </c>
      <c r="K1042" s="2" t="s">
        <v>8369</v>
      </c>
      <c r="L1042" s="1">
        <v>1</v>
      </c>
      <c r="M1042" s="1">
        <v>1</v>
      </c>
      <c r="N1042">
        <v>0</v>
      </c>
      <c r="O1042" s="3">
        <f>IF(
    R1042="Ancien",
    _xlfn.XLOOKUP(
        Final_Sans_VGE[[#This Row],[ppn_z]],
        tbl_Historique_Final[ppn_z],
        tbl_Historique_Final[Horodatage],
        ""
    ),
    Horodatage!$A$2
)</f>
        <v>46233.670796365739</v>
      </c>
      <c r="P1042" s="1" t="str">
        <f>IFERROR(IF(tbl_Historique_Final[[#This Row],[Commentaires]]&lt;&gt;"",tbl_Historique_Final[[#This Row],[Commentaires]],""),"")</f>
        <v/>
      </c>
      <c r="X1042" s="8" t="str">
        <f>IF(Final_Sans_VGE[[#This Row],[ppn_z]]="","",IFERROR(
   IF(_xlfn.XLOOKUP(Final_Sans_VGE[[#This Row],[ppn_z]],tbl_Historique_Final[ppn_z],tbl_Historique_Final[date_modif])=Final_Sans_VGE[[#This Row],[date_modif]],
      "Ancien",
      "Modifié"),
   "Nouveau"))</f>
        <v>Ancien</v>
      </c>
      <c r="AC1042"/>
      <c r="AD1042"/>
    </row>
    <row r="1043" spans="1:30" x14ac:dyDescent="0.25">
      <c r="A1043" s="5" t="s">
        <v>3293</v>
      </c>
      <c r="B1043" s="1" t="s">
        <v>8370</v>
      </c>
      <c r="C1043" s="1" t="s">
        <v>8371</v>
      </c>
      <c r="D1043" s="1" t="s">
        <v>14</v>
      </c>
      <c r="E1043" s="1" t="s">
        <v>8372</v>
      </c>
      <c r="F1043" s="1" t="s">
        <v>14</v>
      </c>
      <c r="G1043" s="1" t="s">
        <v>10</v>
      </c>
      <c r="H1043" s="1" t="s">
        <v>22</v>
      </c>
      <c r="I1043" s="1" t="s">
        <v>22</v>
      </c>
      <c r="J1043" s="3">
        <v>46057.472916666666</v>
      </c>
      <c r="K1043" s="2" t="s">
        <v>8373</v>
      </c>
      <c r="L1043" s="1">
        <v>22</v>
      </c>
      <c r="M1043" s="1">
        <v>24</v>
      </c>
      <c r="N1043">
        <v>2</v>
      </c>
      <c r="O1043" s="3">
        <f>IF(
    R1043="Ancien",
    _xlfn.XLOOKUP(
        Final_Sans_VGE[[#This Row],[ppn_z]],
        tbl_Historique_Final[ppn_z],
        tbl_Historique_Final[Horodatage],
        ""
    ),
    Horodatage!$A$2
)</f>
        <v>46233.670796365739</v>
      </c>
      <c r="P1043" s="1" t="str">
        <f>IFERROR(IF(tbl_Historique_Final[[#This Row],[Commentaires]]&lt;&gt;"",tbl_Historique_Final[[#This Row],[Commentaires]],""),"")</f>
        <v/>
      </c>
      <c r="X1043" s="8" t="str">
        <f>IF(Final_Sans_VGE[[#This Row],[ppn_z]]="","",IFERROR(
   IF(_xlfn.XLOOKUP(Final_Sans_VGE[[#This Row],[ppn_z]],tbl_Historique_Final[ppn_z],tbl_Historique_Final[date_modif])=Final_Sans_VGE[[#This Row],[date_modif]],
      "Ancien",
      "Modifié"),
   "Nouveau"))</f>
        <v>Ancien</v>
      </c>
      <c r="AC1043"/>
      <c r="AD1043"/>
    </row>
    <row r="1044" spans="1:30" ht="45" x14ac:dyDescent="0.25">
      <c r="A1044" s="5" t="s">
        <v>3296</v>
      </c>
      <c r="B1044" s="1" t="s">
        <v>8374</v>
      </c>
      <c r="C1044" s="1" t="s">
        <v>95</v>
      </c>
      <c r="D1044" s="1" t="s">
        <v>8375</v>
      </c>
      <c r="E1044" s="1" t="s">
        <v>6330</v>
      </c>
      <c r="F1044" s="1" t="s">
        <v>8376</v>
      </c>
      <c r="G1044" s="1" t="s">
        <v>11</v>
      </c>
      <c r="H1044" s="1" t="s">
        <v>22</v>
      </c>
      <c r="I1044" s="1" t="s">
        <v>22</v>
      </c>
      <c r="J1044" s="3">
        <v>46057.488333333335</v>
      </c>
      <c r="K1044" s="2" t="s">
        <v>8377</v>
      </c>
      <c r="L1044" s="1">
        <v>95</v>
      </c>
      <c r="M1044" s="1">
        <v>104</v>
      </c>
      <c r="N1044">
        <v>9</v>
      </c>
      <c r="O1044" s="3">
        <f>IF(
    R1044="Ancien",
    _xlfn.XLOOKUP(
        Final_Sans_VGE[[#This Row],[ppn_z]],
        tbl_Historique_Final[ppn_z],
        tbl_Historique_Final[Horodatage],
        ""
    ),
    Horodatage!$A$2
)</f>
        <v>46233.670796365739</v>
      </c>
      <c r="P1044" s="1" t="str">
        <f>IFERROR(IF(tbl_Historique_Final[[#This Row],[Commentaires]]&lt;&gt;"",tbl_Historique_Final[[#This Row],[Commentaires]],""),"")</f>
        <v/>
      </c>
      <c r="X1044" s="8" t="str">
        <f>IF(Final_Sans_VGE[[#This Row],[ppn_z]]="","",IFERROR(
   IF(_xlfn.XLOOKUP(Final_Sans_VGE[[#This Row],[ppn_z]],tbl_Historique_Final[ppn_z],tbl_Historique_Final[date_modif])=Final_Sans_VGE[[#This Row],[date_modif]],
      "Ancien",
      "Modifié"),
   "Nouveau"))</f>
        <v>Ancien</v>
      </c>
      <c r="AC1044"/>
      <c r="AD1044"/>
    </row>
    <row r="1045" spans="1:30" ht="30" x14ac:dyDescent="0.25">
      <c r="A1045" s="5" t="s">
        <v>3299</v>
      </c>
      <c r="B1045" s="1" t="s">
        <v>8378</v>
      </c>
      <c r="C1045" s="1" t="s">
        <v>61</v>
      </c>
      <c r="G1045" s="1" t="s">
        <v>11</v>
      </c>
      <c r="J1045" s="3">
        <v>45994.535196759258</v>
      </c>
      <c r="K1045" s="2" t="s">
        <v>8379</v>
      </c>
      <c r="L1045" s="1">
        <v>6</v>
      </c>
      <c r="M1045" s="1">
        <v>6</v>
      </c>
      <c r="N1045">
        <v>0</v>
      </c>
      <c r="O1045" s="3">
        <f>IF(
    R1045="Ancien",
    _xlfn.XLOOKUP(
        Final_Sans_VGE[[#This Row],[ppn_z]],
        tbl_Historique_Final[ppn_z],
        tbl_Historique_Final[Horodatage],
        ""
    ),
    Horodatage!$A$2
)</f>
        <v>46233.670796365739</v>
      </c>
      <c r="P1045" s="1" t="str">
        <f>IFERROR(IF(tbl_Historique_Final[[#This Row],[Commentaires]]&lt;&gt;"",tbl_Historique_Final[[#This Row],[Commentaires]],""),"")</f>
        <v/>
      </c>
      <c r="X1045" s="8" t="str">
        <f>IF(Final_Sans_VGE[[#This Row],[ppn_z]]="","",IFERROR(
   IF(_xlfn.XLOOKUP(Final_Sans_VGE[[#This Row],[ppn_z]],tbl_Historique_Final[ppn_z],tbl_Historique_Final[date_modif])=Final_Sans_VGE[[#This Row],[date_modif]],
      "Ancien",
      "Modifié"),
   "Nouveau"))</f>
        <v>Ancien</v>
      </c>
      <c r="AC1045"/>
      <c r="AD1045"/>
    </row>
    <row r="1046" spans="1:30" x14ac:dyDescent="0.25">
      <c r="A1046" s="5" t="s">
        <v>3302</v>
      </c>
      <c r="B1046" s="1" t="s">
        <v>8380</v>
      </c>
      <c r="C1046" s="1" t="s">
        <v>8381</v>
      </c>
      <c r="J1046" s="3">
        <v>46037.747071759259</v>
      </c>
      <c r="K1046" s="2" t="s">
        <v>8382</v>
      </c>
      <c r="L1046" s="1">
        <v>540</v>
      </c>
      <c r="M1046" s="1">
        <v>746</v>
      </c>
      <c r="N1046">
        <v>206</v>
      </c>
      <c r="O1046" s="3">
        <f>IF(
    R1046="Ancien",
    _xlfn.XLOOKUP(
        Final_Sans_VGE[[#This Row],[ppn_z]],
        tbl_Historique_Final[ppn_z],
        tbl_Historique_Final[Horodatage],
        ""
    ),
    Horodatage!$A$2
)</f>
        <v>46233.670796365739</v>
      </c>
      <c r="P1046" s="1" t="str">
        <f>IFERROR(IF(tbl_Historique_Final[[#This Row],[Commentaires]]&lt;&gt;"",tbl_Historique_Final[[#This Row],[Commentaires]],""),"")</f>
        <v/>
      </c>
      <c r="X1046" s="8" t="str">
        <f>IF(Final_Sans_VGE[[#This Row],[ppn_z]]="","",IFERROR(
   IF(_xlfn.XLOOKUP(Final_Sans_VGE[[#This Row],[ppn_z]],tbl_Historique_Final[ppn_z],tbl_Historique_Final[date_modif])=Final_Sans_VGE[[#This Row],[date_modif]],
      "Ancien",
      "Modifié"),
   "Nouveau"))</f>
        <v>Ancien</v>
      </c>
      <c r="AC1046"/>
      <c r="AD1046"/>
    </row>
    <row r="1047" spans="1:30" x14ac:dyDescent="0.25">
      <c r="A1047" s="5" t="s">
        <v>3305</v>
      </c>
      <c r="B1047" s="1" t="s">
        <v>8383</v>
      </c>
      <c r="C1047" s="1" t="s">
        <v>78</v>
      </c>
      <c r="D1047" s="1" t="s">
        <v>6462</v>
      </c>
      <c r="G1047" s="1" t="s">
        <v>11</v>
      </c>
      <c r="H1047" s="1" t="s">
        <v>22</v>
      </c>
      <c r="I1047" s="1" t="s">
        <v>22</v>
      </c>
      <c r="J1047" s="3">
        <v>45987.531168981484</v>
      </c>
      <c r="K1047" s="2" t="s">
        <v>6438</v>
      </c>
      <c r="L1047" s="1">
        <v>7</v>
      </c>
      <c r="M1047" s="1">
        <v>8</v>
      </c>
      <c r="N1047">
        <v>1</v>
      </c>
      <c r="O1047" s="3">
        <f>IF(
    R1047="Ancien",
    _xlfn.XLOOKUP(
        Final_Sans_VGE[[#This Row],[ppn_z]],
        tbl_Historique_Final[ppn_z],
        tbl_Historique_Final[Horodatage],
        ""
    ),
    Horodatage!$A$2
)</f>
        <v>46233.670796365739</v>
      </c>
      <c r="P1047" s="1" t="str">
        <f>IFERROR(IF(tbl_Historique_Final[[#This Row],[Commentaires]]&lt;&gt;"",tbl_Historique_Final[[#This Row],[Commentaires]],""),"")</f>
        <v/>
      </c>
      <c r="X1047" s="8" t="str">
        <f>IF(Final_Sans_VGE[[#This Row],[ppn_z]]="","",IFERROR(
   IF(_xlfn.XLOOKUP(Final_Sans_VGE[[#This Row],[ppn_z]],tbl_Historique_Final[ppn_z],tbl_Historique_Final[date_modif])=Final_Sans_VGE[[#This Row],[date_modif]],
      "Ancien",
      "Modifié"),
   "Nouveau"))</f>
        <v>Ancien</v>
      </c>
      <c r="AC1047"/>
      <c r="AD1047"/>
    </row>
    <row r="1048" spans="1:30" ht="30" x14ac:dyDescent="0.25">
      <c r="A1048" s="5" t="s">
        <v>3308</v>
      </c>
      <c r="B1048" s="1" t="s">
        <v>8384</v>
      </c>
      <c r="C1048" s="1" t="s">
        <v>90</v>
      </c>
      <c r="J1048" s="3">
        <v>46051.603796296295</v>
      </c>
      <c r="K1048" s="2" t="s">
        <v>8385</v>
      </c>
      <c r="L1048" s="1">
        <v>3</v>
      </c>
      <c r="M1048" s="1">
        <v>3</v>
      </c>
      <c r="N1048">
        <v>0</v>
      </c>
      <c r="O1048" s="3">
        <f>IF(
    R1048="Ancien",
    _xlfn.XLOOKUP(
        Final_Sans_VGE[[#This Row],[ppn_z]],
        tbl_Historique_Final[ppn_z],
        tbl_Historique_Final[Horodatage],
        ""
    ),
    Horodatage!$A$2
)</f>
        <v>46233.670796365739</v>
      </c>
      <c r="P1048" s="1" t="str">
        <f>IFERROR(IF(tbl_Historique_Final[[#This Row],[Commentaires]]&lt;&gt;"",tbl_Historique_Final[[#This Row],[Commentaires]],""),"")</f>
        <v/>
      </c>
      <c r="X1048" s="8" t="str">
        <f>IF(Final_Sans_VGE[[#This Row],[ppn_z]]="","",IFERROR(
   IF(_xlfn.XLOOKUP(Final_Sans_VGE[[#This Row],[ppn_z]],tbl_Historique_Final[ppn_z],tbl_Historique_Final[date_modif])=Final_Sans_VGE[[#This Row],[date_modif]],
      "Ancien",
      "Modifié"),
   "Nouveau"))</f>
        <v>Ancien</v>
      </c>
      <c r="AC1048"/>
      <c r="AD1048"/>
    </row>
    <row r="1049" spans="1:30" ht="75" x14ac:dyDescent="0.25">
      <c r="A1049" s="5" t="s">
        <v>3311</v>
      </c>
      <c r="B1049" s="1" t="s">
        <v>8386</v>
      </c>
      <c r="C1049" s="1" t="s">
        <v>7652</v>
      </c>
      <c r="D1049" s="1" t="s">
        <v>14</v>
      </c>
      <c r="E1049" s="1" t="s">
        <v>30</v>
      </c>
      <c r="F1049" s="1" t="s">
        <v>14</v>
      </c>
      <c r="G1049" s="1" t="s">
        <v>10</v>
      </c>
      <c r="H1049" s="1" t="s">
        <v>22</v>
      </c>
      <c r="I1049" s="1" t="s">
        <v>22</v>
      </c>
      <c r="J1049" s="3">
        <v>46057.488009259258</v>
      </c>
      <c r="K1049" s="2" t="s">
        <v>8387</v>
      </c>
      <c r="L1049" s="1">
        <v>84</v>
      </c>
      <c r="M1049" s="1">
        <v>86</v>
      </c>
      <c r="N1049">
        <v>2</v>
      </c>
      <c r="O1049" s="3">
        <f>IF(
    R1049="Ancien",
    _xlfn.XLOOKUP(
        Final_Sans_VGE[[#This Row],[ppn_z]],
        tbl_Historique_Final[ppn_z],
        tbl_Historique_Final[Horodatage],
        ""
    ),
    Horodatage!$A$2
)</f>
        <v>46233.670796365739</v>
      </c>
      <c r="P1049" s="1" t="str">
        <f>IFERROR(IF(tbl_Historique_Final[[#This Row],[Commentaires]]&lt;&gt;"",tbl_Historique_Final[[#This Row],[Commentaires]],""),"")</f>
        <v/>
      </c>
      <c r="X1049" s="8" t="str">
        <f>IF(Final_Sans_VGE[[#This Row],[ppn_z]]="","",IFERROR(
   IF(_xlfn.XLOOKUP(Final_Sans_VGE[[#This Row],[ppn_z]],tbl_Historique_Final[ppn_z],tbl_Historique_Final[date_modif])=Final_Sans_VGE[[#This Row],[date_modif]],
      "Ancien",
      "Modifié"),
   "Nouveau"))</f>
        <v>Ancien</v>
      </c>
      <c r="AC1049"/>
      <c r="AD1049"/>
    </row>
    <row r="1050" spans="1:30" ht="30" x14ac:dyDescent="0.25">
      <c r="A1050" s="5" t="s">
        <v>3314</v>
      </c>
      <c r="B1050" s="1" t="s">
        <v>8388</v>
      </c>
      <c r="C1050" s="1" t="s">
        <v>60</v>
      </c>
      <c r="D1050" s="1" t="s">
        <v>118</v>
      </c>
      <c r="E1050" s="1" t="s">
        <v>115</v>
      </c>
      <c r="F1050" s="1" t="s">
        <v>8025</v>
      </c>
      <c r="G1050" s="1" t="s">
        <v>10</v>
      </c>
      <c r="H1050" s="1" t="s">
        <v>22</v>
      </c>
      <c r="I1050" s="1" t="s">
        <v>8389</v>
      </c>
      <c r="J1050" s="3">
        <v>45960.574050925927</v>
      </c>
      <c r="K1050" s="2" t="s">
        <v>8390</v>
      </c>
      <c r="L1050" s="1">
        <v>21</v>
      </c>
      <c r="M1050" s="1">
        <v>38</v>
      </c>
      <c r="N1050">
        <v>17</v>
      </c>
      <c r="O1050" s="3">
        <f>IF(
    R1050="Ancien",
    _xlfn.XLOOKUP(
        Final_Sans_VGE[[#This Row],[ppn_z]],
        tbl_Historique_Final[ppn_z],
        tbl_Historique_Final[Horodatage],
        ""
    ),
    Horodatage!$A$2
)</f>
        <v>46233.670796365739</v>
      </c>
      <c r="P1050" s="1" t="str">
        <f>IFERROR(IF(tbl_Historique_Final[[#This Row],[Commentaires]]&lt;&gt;"",tbl_Historique_Final[[#This Row],[Commentaires]],""),"")</f>
        <v/>
      </c>
      <c r="X1050" s="8" t="str">
        <f>IF(Final_Sans_VGE[[#This Row],[ppn_z]]="","",IFERROR(
   IF(_xlfn.XLOOKUP(Final_Sans_VGE[[#This Row],[ppn_z]],tbl_Historique_Final[ppn_z],tbl_Historique_Final[date_modif])=Final_Sans_VGE[[#This Row],[date_modif]],
      "Ancien",
      "Modifié"),
   "Nouveau"))</f>
        <v>Ancien</v>
      </c>
      <c r="AC1050"/>
      <c r="AD1050"/>
    </row>
    <row r="1051" spans="1:30" x14ac:dyDescent="0.25">
      <c r="A1051" s="5" t="s">
        <v>3317</v>
      </c>
      <c r="B1051" s="1" t="s">
        <v>8391</v>
      </c>
      <c r="C1051" s="1" t="s">
        <v>90</v>
      </c>
      <c r="E1051" s="1" t="s">
        <v>123</v>
      </c>
      <c r="G1051" s="1" t="s">
        <v>10</v>
      </c>
      <c r="J1051" s="3">
        <v>46050.66002314815</v>
      </c>
      <c r="K1051" s="2" t="s">
        <v>8392</v>
      </c>
      <c r="L1051" s="1">
        <v>1</v>
      </c>
      <c r="M1051" s="1">
        <v>1</v>
      </c>
      <c r="N1051">
        <v>0</v>
      </c>
      <c r="O1051" s="3">
        <f>IF(
    R1051="Ancien",
    _xlfn.XLOOKUP(
        Final_Sans_VGE[[#This Row],[ppn_z]],
        tbl_Historique_Final[ppn_z],
        tbl_Historique_Final[Horodatage],
        ""
    ),
    Horodatage!$A$2
)</f>
        <v>46233.670796365739</v>
      </c>
      <c r="P1051" s="1" t="str">
        <f>IFERROR(IF(tbl_Historique_Final[[#This Row],[Commentaires]]&lt;&gt;"",tbl_Historique_Final[[#This Row],[Commentaires]],""),"")</f>
        <v/>
      </c>
      <c r="X1051" s="8" t="str">
        <f>IF(Final_Sans_VGE[[#This Row],[ppn_z]]="","",IFERROR(
   IF(_xlfn.XLOOKUP(Final_Sans_VGE[[#This Row],[ppn_z]],tbl_Historique_Final[ppn_z],tbl_Historique_Final[date_modif])=Final_Sans_VGE[[#This Row],[date_modif]],
      "Ancien",
      "Modifié"),
   "Nouveau"))</f>
        <v>Ancien</v>
      </c>
      <c r="AC1051"/>
      <c r="AD1051"/>
    </row>
    <row r="1052" spans="1:30" ht="45" x14ac:dyDescent="0.25">
      <c r="A1052" s="5" t="s">
        <v>3320</v>
      </c>
      <c r="B1052" s="1" t="s">
        <v>8393</v>
      </c>
      <c r="C1052" s="1" t="s">
        <v>8394</v>
      </c>
      <c r="E1052" s="1" t="s">
        <v>83</v>
      </c>
      <c r="G1052" s="1" t="s">
        <v>10</v>
      </c>
      <c r="J1052" s="3">
        <v>46055.651678240742</v>
      </c>
      <c r="K1052" s="2" t="s">
        <v>8395</v>
      </c>
      <c r="L1052" s="1">
        <v>2</v>
      </c>
      <c r="M1052" s="1">
        <v>2</v>
      </c>
      <c r="N1052">
        <v>0</v>
      </c>
      <c r="O1052" s="3">
        <f>IF(
    R1052="Ancien",
    _xlfn.XLOOKUP(
        Final_Sans_VGE[[#This Row],[ppn_z]],
        tbl_Historique_Final[ppn_z],
        tbl_Historique_Final[Horodatage],
        ""
    ),
    Horodatage!$A$2
)</f>
        <v>46233.670796365739</v>
      </c>
      <c r="P1052" s="1" t="str">
        <f>IFERROR(IF(tbl_Historique_Final[[#This Row],[Commentaires]]&lt;&gt;"",tbl_Historique_Final[[#This Row],[Commentaires]],""),"")</f>
        <v/>
      </c>
      <c r="X1052" s="8" t="str">
        <f>IF(Final_Sans_VGE[[#This Row],[ppn_z]]="","",IFERROR(
   IF(_xlfn.XLOOKUP(Final_Sans_VGE[[#This Row],[ppn_z]],tbl_Historique_Final[ppn_z],tbl_Historique_Final[date_modif])=Final_Sans_VGE[[#This Row],[date_modif]],
      "Ancien",
      "Modifié"),
   "Nouveau"))</f>
        <v>Ancien</v>
      </c>
      <c r="AC1052"/>
      <c r="AD1052"/>
    </row>
    <row r="1053" spans="1:30" ht="30" x14ac:dyDescent="0.25">
      <c r="A1053" s="5" t="s">
        <v>3323</v>
      </c>
      <c r="B1053" s="1" t="s">
        <v>8396</v>
      </c>
      <c r="C1053" s="1" t="s">
        <v>6729</v>
      </c>
      <c r="E1053" s="1" t="s">
        <v>141</v>
      </c>
      <c r="G1053" s="1" t="s">
        <v>10</v>
      </c>
      <c r="H1053" s="1" t="s">
        <v>22</v>
      </c>
      <c r="I1053" s="1" t="s">
        <v>22</v>
      </c>
      <c r="J1053" s="3">
        <v>46055.498645833337</v>
      </c>
      <c r="K1053" s="2" t="s">
        <v>8397</v>
      </c>
      <c r="L1053" s="1">
        <v>44</v>
      </c>
      <c r="M1053" s="1">
        <v>44</v>
      </c>
      <c r="N1053">
        <v>0</v>
      </c>
      <c r="O1053" s="3">
        <f>IF(
    R1053="Ancien",
    _xlfn.XLOOKUP(
        Final_Sans_VGE[[#This Row],[ppn_z]],
        tbl_Historique_Final[ppn_z],
        tbl_Historique_Final[Horodatage],
        ""
    ),
    Horodatage!$A$2
)</f>
        <v>46233.670796365739</v>
      </c>
      <c r="P1053" s="1" t="str">
        <f>IFERROR(IF(tbl_Historique_Final[[#This Row],[Commentaires]]&lt;&gt;"",tbl_Historique_Final[[#This Row],[Commentaires]],""),"")</f>
        <v/>
      </c>
      <c r="X1053" s="8" t="str">
        <f>IF(Final_Sans_VGE[[#This Row],[ppn_z]]="","",IFERROR(
   IF(_xlfn.XLOOKUP(Final_Sans_VGE[[#This Row],[ppn_z]],tbl_Historique_Final[ppn_z],tbl_Historique_Final[date_modif])=Final_Sans_VGE[[#This Row],[date_modif]],
      "Ancien",
      "Modifié"),
   "Nouveau"))</f>
        <v>Ancien</v>
      </c>
      <c r="AC1053"/>
      <c r="AD1053"/>
    </row>
    <row r="1054" spans="1:30" ht="30" x14ac:dyDescent="0.25">
      <c r="A1054" s="5" t="s">
        <v>3326</v>
      </c>
      <c r="B1054" s="1" t="s">
        <v>8398</v>
      </c>
      <c r="C1054" s="1" t="s">
        <v>8349</v>
      </c>
      <c r="D1054" s="1" t="s">
        <v>14</v>
      </c>
      <c r="E1054" s="1" t="s">
        <v>7789</v>
      </c>
      <c r="F1054" s="1" t="s">
        <v>14</v>
      </c>
      <c r="G1054" s="1" t="s">
        <v>10</v>
      </c>
      <c r="H1054" s="1" t="s">
        <v>22</v>
      </c>
      <c r="I1054" s="1" t="s">
        <v>22</v>
      </c>
      <c r="J1054" s="3">
        <v>46057.437280092592</v>
      </c>
      <c r="K1054" s="2" t="s">
        <v>8399</v>
      </c>
      <c r="L1054" s="1">
        <v>1</v>
      </c>
      <c r="M1054" s="1">
        <v>7</v>
      </c>
      <c r="N1054">
        <v>6</v>
      </c>
      <c r="O1054" s="3">
        <f>IF(
    R1054="Ancien",
    _xlfn.XLOOKUP(
        Final_Sans_VGE[[#This Row],[ppn_z]],
        tbl_Historique_Final[ppn_z],
        tbl_Historique_Final[Horodatage],
        ""
    ),
    Horodatage!$A$2
)</f>
        <v>46233.670796365739</v>
      </c>
      <c r="P1054" s="1" t="str">
        <f>IFERROR(IF(tbl_Historique_Final[[#This Row],[Commentaires]]&lt;&gt;"",tbl_Historique_Final[[#This Row],[Commentaires]],""),"")</f>
        <v/>
      </c>
      <c r="X1054" s="8" t="str">
        <f>IF(Final_Sans_VGE[[#This Row],[ppn_z]]="","",IFERROR(
   IF(_xlfn.XLOOKUP(Final_Sans_VGE[[#This Row],[ppn_z]],tbl_Historique_Final[ppn_z],tbl_Historique_Final[date_modif])=Final_Sans_VGE[[#This Row],[date_modif]],
      "Ancien",
      "Modifié"),
   "Nouveau"))</f>
        <v>Ancien</v>
      </c>
      <c r="AC1054"/>
      <c r="AD1054"/>
    </row>
    <row r="1055" spans="1:30" ht="45" x14ac:dyDescent="0.25">
      <c r="A1055" s="5" t="s">
        <v>3329</v>
      </c>
      <c r="B1055" s="1" t="s">
        <v>8400</v>
      </c>
      <c r="C1055" s="1" t="s">
        <v>7436</v>
      </c>
      <c r="D1055" s="1" t="s">
        <v>14</v>
      </c>
      <c r="E1055" s="1" t="s">
        <v>6683</v>
      </c>
      <c r="F1055" s="1" t="s">
        <v>8401</v>
      </c>
      <c r="G1055" s="1" t="s">
        <v>10</v>
      </c>
      <c r="H1055" s="1" t="s">
        <v>8402</v>
      </c>
      <c r="I1055" s="1" t="s">
        <v>22</v>
      </c>
      <c r="J1055" s="3">
        <v>46057.488344907404</v>
      </c>
      <c r="K1055" s="2" t="s">
        <v>8403</v>
      </c>
      <c r="L1055" s="1">
        <v>12</v>
      </c>
      <c r="M1055" s="1">
        <v>13</v>
      </c>
      <c r="N1055">
        <v>1</v>
      </c>
      <c r="O1055" s="3">
        <f>IF(
    R1055="Ancien",
    _xlfn.XLOOKUP(
        Final_Sans_VGE[[#This Row],[ppn_z]],
        tbl_Historique_Final[ppn_z],
        tbl_Historique_Final[Horodatage],
        ""
    ),
    Horodatage!$A$2
)</f>
        <v>46233.670796365739</v>
      </c>
      <c r="P1055" s="1" t="str">
        <f>IFERROR(IF(tbl_Historique_Final[[#This Row],[Commentaires]]&lt;&gt;"",tbl_Historique_Final[[#This Row],[Commentaires]],""),"")</f>
        <v/>
      </c>
      <c r="X1055" s="8" t="str">
        <f>IF(Final_Sans_VGE[[#This Row],[ppn_z]]="","",IFERROR(
   IF(_xlfn.XLOOKUP(Final_Sans_VGE[[#This Row],[ppn_z]],tbl_Historique_Final[ppn_z],tbl_Historique_Final[date_modif])=Final_Sans_VGE[[#This Row],[date_modif]],
      "Ancien",
      "Modifié"),
   "Nouveau"))</f>
        <v>Ancien</v>
      </c>
      <c r="AC1055"/>
      <c r="AD1055"/>
    </row>
    <row r="1056" spans="1:30" x14ac:dyDescent="0.25">
      <c r="A1056" s="5" t="s">
        <v>3332</v>
      </c>
      <c r="B1056" s="1" t="s">
        <v>8404</v>
      </c>
      <c r="C1056" s="1" t="s">
        <v>6582</v>
      </c>
      <c r="D1056" s="1" t="s">
        <v>14</v>
      </c>
      <c r="E1056" s="1" t="s">
        <v>37</v>
      </c>
      <c r="F1056" s="1" t="s">
        <v>14</v>
      </c>
      <c r="G1056" s="1" t="s">
        <v>10</v>
      </c>
      <c r="H1056" s="1" t="s">
        <v>22</v>
      </c>
      <c r="I1056" s="1" t="s">
        <v>22</v>
      </c>
      <c r="J1056" s="3">
        <v>46057.488113425927</v>
      </c>
      <c r="K1056" s="2" t="s">
        <v>6417</v>
      </c>
      <c r="L1056" s="1">
        <v>211</v>
      </c>
      <c r="M1056" s="1">
        <v>221</v>
      </c>
      <c r="N1056">
        <v>10</v>
      </c>
      <c r="O1056" s="3">
        <f>IF(
    R1056="Ancien",
    _xlfn.XLOOKUP(
        Final_Sans_VGE[[#This Row],[ppn_z]],
        tbl_Historique_Final[ppn_z],
        tbl_Historique_Final[Horodatage],
        ""
    ),
    Horodatage!$A$2
)</f>
        <v>46233.670796365739</v>
      </c>
      <c r="P1056" s="1" t="str">
        <f>IFERROR(IF(tbl_Historique_Final[[#This Row],[Commentaires]]&lt;&gt;"",tbl_Historique_Final[[#This Row],[Commentaires]],""),"")</f>
        <v/>
      </c>
      <c r="X1056" s="8" t="str">
        <f>IF(Final_Sans_VGE[[#This Row],[ppn_z]]="","",IFERROR(
   IF(_xlfn.XLOOKUP(Final_Sans_VGE[[#This Row],[ppn_z]],tbl_Historique_Final[ppn_z],tbl_Historique_Final[date_modif])=Final_Sans_VGE[[#This Row],[date_modif]],
      "Ancien",
      "Modifié"),
   "Nouveau"))</f>
        <v>Ancien</v>
      </c>
      <c r="AC1056"/>
      <c r="AD1056"/>
    </row>
    <row r="1057" spans="1:30" ht="45" x14ac:dyDescent="0.25">
      <c r="A1057" s="5" t="s">
        <v>3335</v>
      </c>
      <c r="B1057" s="1" t="s">
        <v>8405</v>
      </c>
      <c r="C1057" s="1" t="s">
        <v>69</v>
      </c>
      <c r="G1057" s="1" t="s">
        <v>11</v>
      </c>
      <c r="J1057" s="3">
        <v>45988.600798611114</v>
      </c>
      <c r="K1057" s="2" t="s">
        <v>8406</v>
      </c>
      <c r="L1057" s="1">
        <v>2</v>
      </c>
      <c r="M1057" s="1">
        <v>3</v>
      </c>
      <c r="N1057">
        <v>1</v>
      </c>
      <c r="O1057" s="3">
        <f>IF(
    R1057="Ancien",
    _xlfn.XLOOKUP(
        Final_Sans_VGE[[#This Row],[ppn_z]],
        tbl_Historique_Final[ppn_z],
        tbl_Historique_Final[Horodatage],
        ""
    ),
    Horodatage!$A$2
)</f>
        <v>46233.670796365739</v>
      </c>
      <c r="P1057" s="1" t="str">
        <f>IFERROR(IF(tbl_Historique_Final[[#This Row],[Commentaires]]&lt;&gt;"",tbl_Historique_Final[[#This Row],[Commentaires]],""),"")</f>
        <v/>
      </c>
      <c r="X1057" s="8" t="str">
        <f>IF(Final_Sans_VGE[[#This Row],[ppn_z]]="","",IFERROR(
   IF(_xlfn.XLOOKUP(Final_Sans_VGE[[#This Row],[ppn_z]],tbl_Historique_Final[ppn_z],tbl_Historique_Final[date_modif])=Final_Sans_VGE[[#This Row],[date_modif]],
      "Ancien",
      "Modifié"),
   "Nouveau"))</f>
        <v>Ancien</v>
      </c>
      <c r="AC1057"/>
      <c r="AD1057"/>
    </row>
    <row r="1058" spans="1:30" ht="30" x14ac:dyDescent="0.25">
      <c r="A1058" s="5" t="s">
        <v>3338</v>
      </c>
      <c r="B1058" s="1" t="s">
        <v>8407</v>
      </c>
      <c r="C1058" s="1" t="s">
        <v>6779</v>
      </c>
      <c r="D1058" s="1" t="s">
        <v>14</v>
      </c>
      <c r="E1058" s="1" t="s">
        <v>48</v>
      </c>
      <c r="F1058" s="1" t="s">
        <v>14</v>
      </c>
      <c r="G1058" s="1" t="s">
        <v>10</v>
      </c>
      <c r="H1058" s="1" t="s">
        <v>22</v>
      </c>
      <c r="I1058" s="1" t="s">
        <v>140</v>
      </c>
      <c r="J1058" s="3">
        <v>46056.595219907409</v>
      </c>
      <c r="K1058" s="2" t="s">
        <v>8408</v>
      </c>
      <c r="L1058" s="1">
        <v>16</v>
      </c>
      <c r="M1058" s="1">
        <v>19</v>
      </c>
      <c r="N1058">
        <v>3</v>
      </c>
      <c r="O1058" s="3">
        <f>IF(
    R1058="Ancien",
    _xlfn.XLOOKUP(
        Final_Sans_VGE[[#This Row],[ppn_z]],
        tbl_Historique_Final[ppn_z],
        tbl_Historique_Final[Horodatage],
        ""
    ),
    Horodatage!$A$2
)</f>
        <v>46233.670796365739</v>
      </c>
      <c r="P1058" s="1" t="str">
        <f>IFERROR(IF(tbl_Historique_Final[[#This Row],[Commentaires]]&lt;&gt;"",tbl_Historique_Final[[#This Row],[Commentaires]],""),"")</f>
        <v/>
      </c>
      <c r="X1058" s="8" t="str">
        <f>IF(Final_Sans_VGE[[#This Row],[ppn_z]]="","",IFERROR(
   IF(_xlfn.XLOOKUP(Final_Sans_VGE[[#This Row],[ppn_z]],tbl_Historique_Final[ppn_z],tbl_Historique_Final[date_modif])=Final_Sans_VGE[[#This Row],[date_modif]],
      "Ancien",
      "Modifié"),
   "Nouveau"))</f>
        <v>Ancien</v>
      </c>
      <c r="AC1058"/>
      <c r="AD1058"/>
    </row>
    <row r="1059" spans="1:30" x14ac:dyDescent="0.25">
      <c r="A1059" s="5" t="s">
        <v>3341</v>
      </c>
      <c r="B1059" s="1" t="s">
        <v>8409</v>
      </c>
      <c r="C1059" s="1" t="s">
        <v>152</v>
      </c>
      <c r="E1059" s="1" t="s">
        <v>152</v>
      </c>
      <c r="J1059" s="3">
        <v>45961.411770833336</v>
      </c>
      <c r="K1059" s="2" t="s">
        <v>6935</v>
      </c>
      <c r="L1059" s="1">
        <v>2</v>
      </c>
      <c r="M1059" s="1">
        <v>2</v>
      </c>
      <c r="N1059">
        <v>0</v>
      </c>
      <c r="O1059" s="3">
        <f>IF(
    R1059="Ancien",
    _xlfn.XLOOKUP(
        Final_Sans_VGE[[#This Row],[ppn_z]],
        tbl_Historique_Final[ppn_z],
        tbl_Historique_Final[Horodatage],
        ""
    ),
    Horodatage!$A$2
)</f>
        <v>46233.670796365739</v>
      </c>
      <c r="P1059" s="1" t="str">
        <f>IFERROR(IF(tbl_Historique_Final[[#This Row],[Commentaires]]&lt;&gt;"",tbl_Historique_Final[[#This Row],[Commentaires]],""),"")</f>
        <v/>
      </c>
      <c r="X1059" s="8" t="str">
        <f>IF(Final_Sans_VGE[[#This Row],[ppn_z]]="","",IFERROR(
   IF(_xlfn.XLOOKUP(Final_Sans_VGE[[#This Row],[ppn_z]],tbl_Historique_Final[ppn_z],tbl_Historique_Final[date_modif])=Final_Sans_VGE[[#This Row],[date_modif]],
      "Ancien",
      "Modifié"),
   "Nouveau"))</f>
        <v>Ancien</v>
      </c>
      <c r="AC1059"/>
      <c r="AD1059"/>
    </row>
    <row r="1060" spans="1:30" ht="30" x14ac:dyDescent="0.25">
      <c r="A1060" s="5" t="s">
        <v>3344</v>
      </c>
      <c r="B1060" s="1" t="s">
        <v>8410</v>
      </c>
      <c r="C1060" s="1" t="s">
        <v>8411</v>
      </c>
      <c r="D1060" s="1" t="s">
        <v>8412</v>
      </c>
      <c r="E1060" s="1" t="s">
        <v>8413</v>
      </c>
      <c r="F1060" s="1" t="s">
        <v>14</v>
      </c>
      <c r="H1060" s="1" t="s">
        <v>110</v>
      </c>
      <c r="I1060" s="1" t="s">
        <v>22</v>
      </c>
      <c r="J1060" s="3">
        <v>46057.488159722219</v>
      </c>
      <c r="K1060" s="2" t="s">
        <v>8414</v>
      </c>
      <c r="L1060" s="1">
        <v>76</v>
      </c>
      <c r="M1060" s="1">
        <v>89</v>
      </c>
      <c r="N1060">
        <v>13</v>
      </c>
      <c r="O1060" s="3">
        <f>IF(
    R1060="Ancien",
    _xlfn.XLOOKUP(
        Final_Sans_VGE[[#This Row],[ppn_z]],
        tbl_Historique_Final[ppn_z],
        tbl_Historique_Final[Horodatage],
        ""
    ),
    Horodatage!$A$2
)</f>
        <v>46233.670796365739</v>
      </c>
      <c r="P1060" s="1" t="str">
        <f>IFERROR(IF(tbl_Historique_Final[[#This Row],[Commentaires]]&lt;&gt;"",tbl_Historique_Final[[#This Row],[Commentaires]],""),"")</f>
        <v/>
      </c>
      <c r="X1060" s="8" t="str">
        <f>IF(Final_Sans_VGE[[#This Row],[ppn_z]]="","",IFERROR(
   IF(_xlfn.XLOOKUP(Final_Sans_VGE[[#This Row],[ppn_z]],tbl_Historique_Final[ppn_z],tbl_Historique_Final[date_modif])=Final_Sans_VGE[[#This Row],[date_modif]],
      "Ancien",
      "Modifié"),
   "Nouveau"))</f>
        <v>Ancien</v>
      </c>
      <c r="AC1060"/>
      <c r="AD1060"/>
    </row>
    <row r="1061" spans="1:30" x14ac:dyDescent="0.25">
      <c r="A1061" s="5" t="s">
        <v>3347</v>
      </c>
      <c r="B1061" s="1" t="s">
        <v>8415</v>
      </c>
      <c r="C1061" s="1" t="s">
        <v>8368</v>
      </c>
      <c r="H1061" s="1" t="s">
        <v>22</v>
      </c>
      <c r="I1061" s="1" t="s">
        <v>22</v>
      </c>
      <c r="J1061" s="3">
        <v>46044.799432870372</v>
      </c>
      <c r="K1061" s="2" t="s">
        <v>8416</v>
      </c>
      <c r="L1061" s="1">
        <v>80</v>
      </c>
      <c r="M1061" s="1">
        <v>93</v>
      </c>
      <c r="N1061">
        <v>13</v>
      </c>
      <c r="O1061" s="3">
        <f>IF(
    R1061="Ancien",
    _xlfn.XLOOKUP(
        Final_Sans_VGE[[#This Row],[ppn_z]],
        tbl_Historique_Final[ppn_z],
        tbl_Historique_Final[Horodatage],
        ""
    ),
    Horodatage!$A$2
)</f>
        <v>46233.670796365739</v>
      </c>
      <c r="P1061" s="1" t="str">
        <f>IFERROR(IF(tbl_Historique_Final[[#This Row],[Commentaires]]&lt;&gt;"",tbl_Historique_Final[[#This Row],[Commentaires]],""),"")</f>
        <v/>
      </c>
      <c r="X1061" s="8" t="str">
        <f>IF(Final_Sans_VGE[[#This Row],[ppn_z]]="","",IFERROR(
   IF(_xlfn.XLOOKUP(Final_Sans_VGE[[#This Row],[ppn_z]],tbl_Historique_Final[ppn_z],tbl_Historique_Final[date_modif])=Final_Sans_VGE[[#This Row],[date_modif]],
      "Ancien",
      "Modifié"),
   "Nouveau"))</f>
        <v>Ancien</v>
      </c>
      <c r="AC1061"/>
      <c r="AD1061"/>
    </row>
    <row r="1062" spans="1:30" ht="60" x14ac:dyDescent="0.25">
      <c r="A1062" s="5" t="s">
        <v>3350</v>
      </c>
      <c r="B1062" s="1" t="s">
        <v>8417</v>
      </c>
      <c r="C1062" s="1" t="s">
        <v>37</v>
      </c>
      <c r="G1062" s="1" t="s">
        <v>10</v>
      </c>
      <c r="J1062" s="3">
        <v>46051.649074074077</v>
      </c>
      <c r="K1062" s="2" t="s">
        <v>8418</v>
      </c>
      <c r="L1062" s="1">
        <v>6</v>
      </c>
      <c r="M1062" s="1">
        <v>14</v>
      </c>
      <c r="N1062">
        <v>8</v>
      </c>
      <c r="O1062" s="3">
        <f>IF(
    R1062="Ancien",
    _xlfn.XLOOKUP(
        Final_Sans_VGE[[#This Row],[ppn_z]],
        tbl_Historique_Final[ppn_z],
        tbl_Historique_Final[Horodatage],
        ""
    ),
    Horodatage!$A$2
)</f>
        <v>46233.670796365739</v>
      </c>
      <c r="P1062" s="1" t="str">
        <f>IFERROR(IF(tbl_Historique_Final[[#This Row],[Commentaires]]&lt;&gt;"",tbl_Historique_Final[[#This Row],[Commentaires]],""),"")</f>
        <v/>
      </c>
      <c r="X1062" s="8" t="str">
        <f>IF(Final_Sans_VGE[[#This Row],[ppn_z]]="","",IFERROR(
   IF(_xlfn.XLOOKUP(Final_Sans_VGE[[#This Row],[ppn_z]],tbl_Historique_Final[ppn_z],tbl_Historique_Final[date_modif])=Final_Sans_VGE[[#This Row],[date_modif]],
      "Ancien",
      "Modifié"),
   "Nouveau"))</f>
        <v>Ancien</v>
      </c>
      <c r="AC1062"/>
      <c r="AD1062"/>
    </row>
    <row r="1063" spans="1:30" x14ac:dyDescent="0.25">
      <c r="A1063" s="5" t="s">
        <v>3353</v>
      </c>
      <c r="B1063" s="1" t="s">
        <v>8419</v>
      </c>
      <c r="C1063" s="1" t="s">
        <v>12</v>
      </c>
      <c r="G1063" s="1" t="s">
        <v>11</v>
      </c>
      <c r="J1063" s="3">
        <v>46038.599733796298</v>
      </c>
      <c r="K1063" s="2" t="s">
        <v>7543</v>
      </c>
      <c r="L1063" s="1">
        <v>1</v>
      </c>
      <c r="M1063" s="1">
        <v>2</v>
      </c>
      <c r="N1063">
        <v>1</v>
      </c>
      <c r="O1063" s="3">
        <f>IF(
    R1063="Ancien",
    _xlfn.XLOOKUP(
        Final_Sans_VGE[[#This Row],[ppn_z]],
        tbl_Historique_Final[ppn_z],
        tbl_Historique_Final[Horodatage],
        ""
    ),
    Horodatage!$A$2
)</f>
        <v>46233.670796365739</v>
      </c>
      <c r="P1063" s="1" t="str">
        <f>IFERROR(IF(tbl_Historique_Final[[#This Row],[Commentaires]]&lt;&gt;"",tbl_Historique_Final[[#This Row],[Commentaires]],""),"")</f>
        <v/>
      </c>
      <c r="X1063" s="8" t="str">
        <f>IF(Final_Sans_VGE[[#This Row],[ppn_z]]="","",IFERROR(
   IF(_xlfn.XLOOKUP(Final_Sans_VGE[[#This Row],[ppn_z]],tbl_Historique_Final[ppn_z],tbl_Historique_Final[date_modif])=Final_Sans_VGE[[#This Row],[date_modif]],
      "Ancien",
      "Modifié"),
   "Nouveau"))</f>
        <v>Ancien</v>
      </c>
      <c r="AC1063"/>
      <c r="AD1063"/>
    </row>
    <row r="1064" spans="1:30" ht="30" x14ac:dyDescent="0.25">
      <c r="A1064" s="5" t="s">
        <v>3356</v>
      </c>
      <c r="B1064" s="1" t="s">
        <v>8420</v>
      </c>
      <c r="C1064" s="1" t="s">
        <v>6559</v>
      </c>
      <c r="D1064" s="1" t="s">
        <v>14</v>
      </c>
      <c r="E1064" s="1" t="s">
        <v>7219</v>
      </c>
      <c r="F1064" s="1" t="s">
        <v>8421</v>
      </c>
      <c r="G1064" s="1" t="s">
        <v>10</v>
      </c>
      <c r="H1064" s="1" t="s">
        <v>22</v>
      </c>
      <c r="I1064" s="1" t="s">
        <v>22</v>
      </c>
      <c r="J1064" s="3">
        <v>46057.488321759258</v>
      </c>
      <c r="K1064" s="2" t="s">
        <v>8422</v>
      </c>
      <c r="L1064" s="1">
        <v>65</v>
      </c>
      <c r="M1064" s="1">
        <v>65</v>
      </c>
      <c r="N1064">
        <v>0</v>
      </c>
      <c r="O1064" s="3">
        <f>IF(
    R1064="Ancien",
    _xlfn.XLOOKUP(
        Final_Sans_VGE[[#This Row],[ppn_z]],
        tbl_Historique_Final[ppn_z],
        tbl_Historique_Final[Horodatage],
        ""
    ),
    Horodatage!$A$2
)</f>
        <v>46233.670796365739</v>
      </c>
      <c r="P1064" s="1" t="str">
        <f>IFERROR(IF(tbl_Historique_Final[[#This Row],[Commentaires]]&lt;&gt;"",tbl_Historique_Final[[#This Row],[Commentaires]],""),"")</f>
        <v/>
      </c>
      <c r="X1064" s="8" t="str">
        <f>IF(Final_Sans_VGE[[#This Row],[ppn_z]]="","",IFERROR(
   IF(_xlfn.XLOOKUP(Final_Sans_VGE[[#This Row],[ppn_z]],tbl_Historique_Final[ppn_z],tbl_Historique_Final[date_modif])=Final_Sans_VGE[[#This Row],[date_modif]],
      "Ancien",
      "Modifié"),
   "Nouveau"))</f>
        <v>Ancien</v>
      </c>
      <c r="AC1064"/>
      <c r="AD1064"/>
    </row>
    <row r="1065" spans="1:30" ht="30" x14ac:dyDescent="0.25">
      <c r="A1065" s="5" t="s">
        <v>3359</v>
      </c>
      <c r="B1065" s="1" t="s">
        <v>8423</v>
      </c>
      <c r="C1065" s="1" t="s">
        <v>12</v>
      </c>
      <c r="G1065" s="1" t="s">
        <v>11</v>
      </c>
      <c r="J1065" s="3">
        <v>46055.492083333331</v>
      </c>
      <c r="K1065" s="2" t="s">
        <v>8424</v>
      </c>
      <c r="L1065" s="1">
        <v>49</v>
      </c>
      <c r="M1065" s="1">
        <v>50</v>
      </c>
      <c r="N1065">
        <v>1</v>
      </c>
      <c r="O1065" s="3">
        <f>IF(
    R1065="Ancien",
    _xlfn.XLOOKUP(
        Final_Sans_VGE[[#This Row],[ppn_z]],
        tbl_Historique_Final[ppn_z],
        tbl_Historique_Final[Horodatage],
        ""
    ),
    Horodatage!$A$2
)</f>
        <v>46233.670796365739</v>
      </c>
      <c r="P1065" s="1" t="str">
        <f>IFERROR(IF(tbl_Historique_Final[[#This Row],[Commentaires]]&lt;&gt;"",tbl_Historique_Final[[#This Row],[Commentaires]],""),"")</f>
        <v/>
      </c>
      <c r="X1065" s="8" t="str">
        <f>IF(Final_Sans_VGE[[#This Row],[ppn_z]]="","",IFERROR(
   IF(_xlfn.XLOOKUP(Final_Sans_VGE[[#This Row],[ppn_z]],tbl_Historique_Final[ppn_z],tbl_Historique_Final[date_modif])=Final_Sans_VGE[[#This Row],[date_modif]],
      "Ancien",
      "Modifié"),
   "Nouveau"))</f>
        <v>Ancien</v>
      </c>
      <c r="AC1065"/>
      <c r="AD1065"/>
    </row>
    <row r="1066" spans="1:30" x14ac:dyDescent="0.25">
      <c r="A1066" s="5" t="s">
        <v>3362</v>
      </c>
      <c r="B1066" s="1" t="s">
        <v>8425</v>
      </c>
      <c r="C1066" s="1" t="s">
        <v>7826</v>
      </c>
      <c r="E1066" s="1" t="s">
        <v>46</v>
      </c>
      <c r="G1066" s="1" t="s">
        <v>10</v>
      </c>
      <c r="J1066" s="3">
        <v>46055.695856481485</v>
      </c>
      <c r="K1066" s="2" t="s">
        <v>8426</v>
      </c>
      <c r="L1066" s="1">
        <v>36</v>
      </c>
      <c r="M1066" s="1">
        <v>37</v>
      </c>
      <c r="N1066">
        <v>1</v>
      </c>
      <c r="O1066" s="3">
        <f>IF(
    R1066="Ancien",
    _xlfn.XLOOKUP(
        Final_Sans_VGE[[#This Row],[ppn_z]],
        tbl_Historique_Final[ppn_z],
        tbl_Historique_Final[Horodatage],
        ""
    ),
    Horodatage!$A$2
)</f>
        <v>46233.670796365739</v>
      </c>
      <c r="P1066" s="1" t="str">
        <f>IFERROR(IF(tbl_Historique_Final[[#This Row],[Commentaires]]&lt;&gt;"",tbl_Historique_Final[[#This Row],[Commentaires]],""),"")</f>
        <v/>
      </c>
      <c r="X1066" s="8" t="str">
        <f>IF(Final_Sans_VGE[[#This Row],[ppn_z]]="","",IFERROR(
   IF(_xlfn.XLOOKUP(Final_Sans_VGE[[#This Row],[ppn_z]],tbl_Historique_Final[ppn_z],tbl_Historique_Final[date_modif])=Final_Sans_VGE[[#This Row],[date_modif]],
      "Ancien",
      "Modifié"),
   "Nouveau"))</f>
        <v>Ancien</v>
      </c>
      <c r="AC1066"/>
      <c r="AD1066"/>
    </row>
    <row r="1067" spans="1:30" ht="60" x14ac:dyDescent="0.25">
      <c r="A1067" s="5" t="s">
        <v>3365</v>
      </c>
      <c r="B1067" s="1" t="s">
        <v>8427</v>
      </c>
      <c r="C1067" s="1" t="s">
        <v>91</v>
      </c>
      <c r="D1067" s="1" t="s">
        <v>14</v>
      </c>
      <c r="E1067" s="1" t="s">
        <v>78</v>
      </c>
      <c r="F1067" s="1" t="s">
        <v>14</v>
      </c>
      <c r="G1067" s="1" t="s">
        <v>10</v>
      </c>
      <c r="H1067" s="1" t="s">
        <v>22</v>
      </c>
      <c r="I1067" s="1" t="s">
        <v>140</v>
      </c>
      <c r="J1067" s="3">
        <v>46057.488229166665</v>
      </c>
      <c r="K1067" s="2" t="s">
        <v>8428</v>
      </c>
      <c r="L1067" s="1">
        <v>183</v>
      </c>
      <c r="M1067" s="1">
        <v>188</v>
      </c>
      <c r="N1067">
        <v>5</v>
      </c>
      <c r="O1067" s="3">
        <f>IF(
    R1067="Ancien",
    _xlfn.XLOOKUP(
        Final_Sans_VGE[[#This Row],[ppn_z]],
        tbl_Historique_Final[ppn_z],
        tbl_Historique_Final[Horodatage],
        ""
    ),
    Horodatage!$A$2
)</f>
        <v>46233.670796365739</v>
      </c>
      <c r="P1067" s="1" t="str">
        <f>IFERROR(IF(tbl_Historique_Final[[#This Row],[Commentaires]]&lt;&gt;"",tbl_Historique_Final[[#This Row],[Commentaires]],""),"")</f>
        <v/>
      </c>
      <c r="X1067" s="8" t="str">
        <f>IF(Final_Sans_VGE[[#This Row],[ppn_z]]="","",IFERROR(
   IF(_xlfn.XLOOKUP(Final_Sans_VGE[[#This Row],[ppn_z]],tbl_Historique_Final[ppn_z],tbl_Historique_Final[date_modif])=Final_Sans_VGE[[#This Row],[date_modif]],
      "Ancien",
      "Modifié"),
   "Nouveau"))</f>
        <v>Ancien</v>
      </c>
      <c r="AC1067"/>
      <c r="AD1067"/>
    </row>
    <row r="1068" spans="1:30" x14ac:dyDescent="0.25">
      <c r="A1068" s="5" t="s">
        <v>3368</v>
      </c>
      <c r="B1068" s="1" t="s">
        <v>8429</v>
      </c>
      <c r="C1068" s="1" t="s">
        <v>8430</v>
      </c>
      <c r="D1068" s="1" t="s">
        <v>8431</v>
      </c>
      <c r="E1068" s="1" t="s">
        <v>6754</v>
      </c>
      <c r="F1068" s="1" t="s">
        <v>14</v>
      </c>
      <c r="G1068" s="1" t="s">
        <v>10</v>
      </c>
      <c r="H1068" s="1" t="s">
        <v>22</v>
      </c>
      <c r="I1068" s="1" t="s">
        <v>22</v>
      </c>
      <c r="J1068" s="3">
        <v>46057.450543981482</v>
      </c>
      <c r="K1068" s="2" t="s">
        <v>8432</v>
      </c>
      <c r="L1068" s="1">
        <v>55</v>
      </c>
      <c r="M1068" s="1">
        <v>55</v>
      </c>
      <c r="N1068">
        <v>0</v>
      </c>
      <c r="O1068" s="3">
        <f>IF(
    R1068="Ancien",
    _xlfn.XLOOKUP(
        Final_Sans_VGE[[#This Row],[ppn_z]],
        tbl_Historique_Final[ppn_z],
        tbl_Historique_Final[Horodatage],
        ""
    ),
    Horodatage!$A$2
)</f>
        <v>46233.670796365739</v>
      </c>
      <c r="P1068" s="1" t="str">
        <f>IFERROR(IF(tbl_Historique_Final[[#This Row],[Commentaires]]&lt;&gt;"",tbl_Historique_Final[[#This Row],[Commentaires]],""),"")</f>
        <v/>
      </c>
      <c r="X1068" s="8" t="str">
        <f>IF(Final_Sans_VGE[[#This Row],[ppn_z]]="","",IFERROR(
   IF(_xlfn.XLOOKUP(Final_Sans_VGE[[#This Row],[ppn_z]],tbl_Historique_Final[ppn_z],tbl_Historique_Final[date_modif])=Final_Sans_VGE[[#This Row],[date_modif]],
      "Ancien",
      "Modifié"),
   "Nouveau"))</f>
        <v>Ancien</v>
      </c>
      <c r="AC1068"/>
      <c r="AD1068"/>
    </row>
    <row r="1069" spans="1:30" x14ac:dyDescent="0.25">
      <c r="A1069" s="5" t="s">
        <v>3371</v>
      </c>
      <c r="B1069" s="1" t="s">
        <v>8433</v>
      </c>
      <c r="C1069" s="1" t="s">
        <v>12</v>
      </c>
      <c r="G1069" s="1" t="s">
        <v>11</v>
      </c>
      <c r="J1069" s="3">
        <v>45994.419027777774</v>
      </c>
      <c r="K1069" s="2" t="s">
        <v>144</v>
      </c>
      <c r="L1069" s="1">
        <v>1</v>
      </c>
      <c r="M1069" s="1">
        <v>1</v>
      </c>
      <c r="N1069">
        <v>0</v>
      </c>
      <c r="O1069" s="3">
        <f>IF(
    R1069="Ancien",
    _xlfn.XLOOKUP(
        Final_Sans_VGE[[#This Row],[ppn_z]],
        tbl_Historique_Final[ppn_z],
        tbl_Historique_Final[Horodatage],
        ""
    ),
    Horodatage!$A$2
)</f>
        <v>46233.670796365739</v>
      </c>
      <c r="P1069" s="1" t="str">
        <f>IFERROR(IF(tbl_Historique_Final[[#This Row],[Commentaires]]&lt;&gt;"",tbl_Historique_Final[[#This Row],[Commentaires]],""),"")</f>
        <v/>
      </c>
      <c r="X1069" s="8" t="str">
        <f>IF(Final_Sans_VGE[[#This Row],[ppn_z]]="","",IFERROR(
   IF(_xlfn.XLOOKUP(Final_Sans_VGE[[#This Row],[ppn_z]],tbl_Historique_Final[ppn_z],tbl_Historique_Final[date_modif])=Final_Sans_VGE[[#This Row],[date_modif]],
      "Ancien",
      "Modifié"),
   "Nouveau"))</f>
        <v>Ancien</v>
      </c>
      <c r="AC1069"/>
      <c r="AD1069"/>
    </row>
    <row r="1070" spans="1:30" ht="60" x14ac:dyDescent="0.25">
      <c r="A1070" s="5" t="s">
        <v>3374</v>
      </c>
      <c r="B1070" s="1" t="s">
        <v>8434</v>
      </c>
      <c r="C1070" s="1" t="s">
        <v>7588</v>
      </c>
      <c r="E1070" s="1" t="s">
        <v>36</v>
      </c>
      <c r="G1070" s="1" t="s">
        <v>10</v>
      </c>
      <c r="J1070" s="3">
        <v>45996.367152777777</v>
      </c>
      <c r="K1070" s="2" t="s">
        <v>8435</v>
      </c>
      <c r="L1070" s="1">
        <v>3</v>
      </c>
      <c r="M1070" s="1">
        <v>3</v>
      </c>
      <c r="N1070">
        <v>0</v>
      </c>
      <c r="O1070" s="3">
        <f>IF(
    R1070="Ancien",
    _xlfn.XLOOKUP(
        Final_Sans_VGE[[#This Row],[ppn_z]],
        tbl_Historique_Final[ppn_z],
        tbl_Historique_Final[Horodatage],
        ""
    ),
    Horodatage!$A$2
)</f>
        <v>46233.670796365739</v>
      </c>
      <c r="P1070" s="1" t="str">
        <f>IFERROR(IF(tbl_Historique_Final[[#This Row],[Commentaires]]&lt;&gt;"",tbl_Historique_Final[[#This Row],[Commentaires]],""),"")</f>
        <v/>
      </c>
      <c r="X1070" s="8" t="str">
        <f>IF(Final_Sans_VGE[[#This Row],[ppn_z]]="","",IFERROR(
   IF(_xlfn.XLOOKUP(Final_Sans_VGE[[#This Row],[ppn_z]],tbl_Historique_Final[ppn_z],tbl_Historique_Final[date_modif])=Final_Sans_VGE[[#This Row],[date_modif]],
      "Ancien",
      "Modifié"),
   "Nouveau"))</f>
        <v>Ancien</v>
      </c>
      <c r="AC1070"/>
      <c r="AD1070"/>
    </row>
    <row r="1071" spans="1:30" ht="90" x14ac:dyDescent="0.25">
      <c r="A1071" s="5" t="s">
        <v>3377</v>
      </c>
      <c r="B1071" s="1" t="s">
        <v>8436</v>
      </c>
      <c r="C1071" s="1" t="s">
        <v>132</v>
      </c>
      <c r="E1071" s="1" t="s">
        <v>6447</v>
      </c>
      <c r="J1071" s="3">
        <v>46038.579456018517</v>
      </c>
      <c r="K1071" s="2" t="s">
        <v>8437</v>
      </c>
      <c r="L1071" s="1">
        <v>260</v>
      </c>
      <c r="M1071" s="1">
        <v>260</v>
      </c>
      <c r="N1071">
        <v>0</v>
      </c>
      <c r="O1071" s="3">
        <f>IF(
    R1071="Ancien",
    _xlfn.XLOOKUP(
        Final_Sans_VGE[[#This Row],[ppn_z]],
        tbl_Historique_Final[ppn_z],
        tbl_Historique_Final[Horodatage],
        ""
    ),
    Horodatage!$A$2
)</f>
        <v>46233.670796365739</v>
      </c>
      <c r="P1071" s="1" t="str">
        <f>IFERROR(IF(tbl_Historique_Final[[#This Row],[Commentaires]]&lt;&gt;"",tbl_Historique_Final[[#This Row],[Commentaires]],""),"")</f>
        <v/>
      </c>
      <c r="X1071" s="8" t="str">
        <f>IF(Final_Sans_VGE[[#This Row],[ppn_z]]="","",IFERROR(
   IF(_xlfn.XLOOKUP(Final_Sans_VGE[[#This Row],[ppn_z]],tbl_Historique_Final[ppn_z],tbl_Historique_Final[date_modif])=Final_Sans_VGE[[#This Row],[date_modif]],
      "Ancien",
      "Modifié"),
   "Nouveau"))</f>
        <v>Ancien</v>
      </c>
      <c r="AC1071"/>
      <c r="AD1071"/>
    </row>
    <row r="1072" spans="1:30" x14ac:dyDescent="0.25">
      <c r="A1072" s="5" t="s">
        <v>3380</v>
      </c>
      <c r="B1072" s="1" t="s">
        <v>8438</v>
      </c>
      <c r="C1072" s="1" t="s">
        <v>129</v>
      </c>
      <c r="D1072" s="1" t="s">
        <v>14</v>
      </c>
      <c r="E1072" s="1" t="s">
        <v>148</v>
      </c>
      <c r="F1072" s="1" t="s">
        <v>8439</v>
      </c>
      <c r="G1072" s="1" t="s">
        <v>10</v>
      </c>
      <c r="H1072" s="1" t="s">
        <v>22</v>
      </c>
      <c r="I1072" s="1" t="s">
        <v>22</v>
      </c>
      <c r="J1072" s="3">
        <v>46057.488287037035</v>
      </c>
      <c r="K1072" s="2" t="s">
        <v>8440</v>
      </c>
      <c r="L1072" s="1">
        <v>6</v>
      </c>
      <c r="M1072" s="1">
        <v>7</v>
      </c>
      <c r="N1072">
        <v>1</v>
      </c>
      <c r="O1072" s="3">
        <f>IF(
    R1072="Ancien",
    _xlfn.XLOOKUP(
        Final_Sans_VGE[[#This Row],[ppn_z]],
        tbl_Historique_Final[ppn_z],
        tbl_Historique_Final[Horodatage],
        ""
    ),
    Horodatage!$A$2
)</f>
        <v>46233.670796365739</v>
      </c>
      <c r="P1072" s="1" t="str">
        <f>IFERROR(IF(tbl_Historique_Final[[#This Row],[Commentaires]]&lt;&gt;"",tbl_Historique_Final[[#This Row],[Commentaires]],""),"")</f>
        <v/>
      </c>
      <c r="X1072" s="8" t="str">
        <f>IF(Final_Sans_VGE[[#This Row],[ppn_z]]="","",IFERROR(
   IF(_xlfn.XLOOKUP(Final_Sans_VGE[[#This Row],[ppn_z]],tbl_Historique_Final[ppn_z],tbl_Historique_Final[date_modif])=Final_Sans_VGE[[#This Row],[date_modif]],
      "Ancien",
      "Modifié"),
   "Nouveau"))</f>
        <v>Ancien</v>
      </c>
      <c r="AC1072"/>
      <c r="AD1072"/>
    </row>
    <row r="1073" spans="1:30" x14ac:dyDescent="0.25">
      <c r="A1073" s="5" t="s">
        <v>3383</v>
      </c>
      <c r="B1073" s="1" t="s">
        <v>8441</v>
      </c>
      <c r="C1073" s="1" t="s">
        <v>7004</v>
      </c>
      <c r="G1073" s="1" t="s">
        <v>10</v>
      </c>
      <c r="J1073" s="3">
        <v>45987.459062499998</v>
      </c>
      <c r="K1073" s="2" t="s">
        <v>6935</v>
      </c>
      <c r="L1073" s="1">
        <v>1</v>
      </c>
      <c r="M1073" s="1">
        <v>1</v>
      </c>
      <c r="N1073">
        <v>0</v>
      </c>
      <c r="O1073" s="3">
        <f>IF(
    R1073="Ancien",
    _xlfn.XLOOKUP(
        Final_Sans_VGE[[#This Row],[ppn_z]],
        tbl_Historique_Final[ppn_z],
        tbl_Historique_Final[Horodatage],
        ""
    ),
    Horodatage!$A$2
)</f>
        <v>46233.670796365739</v>
      </c>
      <c r="P1073" s="1" t="str">
        <f>IFERROR(IF(tbl_Historique_Final[[#This Row],[Commentaires]]&lt;&gt;"",tbl_Historique_Final[[#This Row],[Commentaires]],""),"")</f>
        <v/>
      </c>
      <c r="X1073" s="8" t="str">
        <f>IF(Final_Sans_VGE[[#This Row],[ppn_z]]="","",IFERROR(
   IF(_xlfn.XLOOKUP(Final_Sans_VGE[[#This Row],[ppn_z]],tbl_Historique_Final[ppn_z],tbl_Historique_Final[date_modif])=Final_Sans_VGE[[#This Row],[date_modif]],
      "Ancien",
      "Modifié"),
   "Nouveau"))</f>
        <v>Ancien</v>
      </c>
      <c r="AC1073"/>
      <c r="AD1073"/>
    </row>
    <row r="1074" spans="1:30" x14ac:dyDescent="0.25">
      <c r="A1074" s="5" t="s">
        <v>3386</v>
      </c>
      <c r="B1074" s="1" t="s">
        <v>8442</v>
      </c>
      <c r="C1074" s="1" t="s">
        <v>46</v>
      </c>
      <c r="G1074" s="1" t="s">
        <v>10</v>
      </c>
      <c r="J1074" s="3">
        <v>46013.608807870369</v>
      </c>
      <c r="K1074" s="2" t="s">
        <v>8443</v>
      </c>
      <c r="L1074" s="1">
        <v>1</v>
      </c>
      <c r="M1074" s="1">
        <v>1</v>
      </c>
      <c r="N1074">
        <v>0</v>
      </c>
      <c r="O1074" s="3">
        <f>IF(
    R1074="Ancien",
    _xlfn.XLOOKUP(
        Final_Sans_VGE[[#This Row],[ppn_z]],
        tbl_Historique_Final[ppn_z],
        tbl_Historique_Final[Horodatage],
        ""
    ),
    Horodatage!$A$2
)</f>
        <v>46233.670796365739</v>
      </c>
      <c r="P1074" s="1" t="str">
        <f>IFERROR(IF(tbl_Historique_Final[[#This Row],[Commentaires]]&lt;&gt;"",tbl_Historique_Final[[#This Row],[Commentaires]],""),"")</f>
        <v/>
      </c>
      <c r="X1074" s="8" t="str">
        <f>IF(Final_Sans_VGE[[#This Row],[ppn_z]]="","",IFERROR(
   IF(_xlfn.XLOOKUP(Final_Sans_VGE[[#This Row],[ppn_z]],tbl_Historique_Final[ppn_z],tbl_Historique_Final[date_modif])=Final_Sans_VGE[[#This Row],[date_modif]],
      "Ancien",
      "Modifié"),
   "Nouveau"))</f>
        <v>Ancien</v>
      </c>
      <c r="AC1074"/>
      <c r="AD1074"/>
    </row>
    <row r="1075" spans="1:30" ht="75" x14ac:dyDescent="0.25">
      <c r="A1075" s="5" t="s">
        <v>3389</v>
      </c>
      <c r="B1075" s="1" t="s">
        <v>8444</v>
      </c>
      <c r="C1075" s="1" t="s">
        <v>12</v>
      </c>
      <c r="G1075" s="1" t="s">
        <v>11</v>
      </c>
      <c r="J1075" s="3">
        <v>45994.347326388888</v>
      </c>
      <c r="K1075" s="2" t="s">
        <v>8445</v>
      </c>
      <c r="L1075" s="1">
        <v>12</v>
      </c>
      <c r="M1075" s="1">
        <v>14</v>
      </c>
      <c r="N1075">
        <v>2</v>
      </c>
      <c r="O1075" s="3">
        <f>IF(
    R1075="Ancien",
    _xlfn.XLOOKUP(
        Final_Sans_VGE[[#This Row],[ppn_z]],
        tbl_Historique_Final[ppn_z],
        tbl_Historique_Final[Horodatage],
        ""
    ),
    Horodatage!$A$2
)</f>
        <v>46233.670796365739</v>
      </c>
      <c r="P1075" s="1" t="str">
        <f>IFERROR(IF(tbl_Historique_Final[[#This Row],[Commentaires]]&lt;&gt;"",tbl_Historique_Final[[#This Row],[Commentaires]],""),"")</f>
        <v/>
      </c>
      <c r="X1075" s="8" t="str">
        <f>IF(Final_Sans_VGE[[#This Row],[ppn_z]]="","",IFERROR(
   IF(_xlfn.XLOOKUP(Final_Sans_VGE[[#This Row],[ppn_z]],tbl_Historique_Final[ppn_z],tbl_Historique_Final[date_modif])=Final_Sans_VGE[[#This Row],[date_modif]],
      "Ancien",
      "Modifié"),
   "Nouveau"))</f>
        <v>Ancien</v>
      </c>
      <c r="AC1075"/>
      <c r="AD1075"/>
    </row>
    <row r="1076" spans="1:30" ht="30" x14ac:dyDescent="0.25">
      <c r="A1076" s="5" t="s">
        <v>3392</v>
      </c>
      <c r="B1076" s="1" t="s">
        <v>8446</v>
      </c>
      <c r="C1076" s="1" t="s">
        <v>12</v>
      </c>
      <c r="G1076" s="1" t="s">
        <v>11</v>
      </c>
      <c r="J1076" s="3">
        <v>45995.414398148147</v>
      </c>
      <c r="K1076" s="2" t="s">
        <v>8447</v>
      </c>
      <c r="L1076" s="1">
        <v>1</v>
      </c>
      <c r="M1076" s="1">
        <v>1</v>
      </c>
      <c r="N1076">
        <v>0</v>
      </c>
      <c r="O1076" s="3">
        <f>IF(
    R1076="Ancien",
    _xlfn.XLOOKUP(
        Final_Sans_VGE[[#This Row],[ppn_z]],
        tbl_Historique_Final[ppn_z],
        tbl_Historique_Final[Horodatage],
        ""
    ),
    Horodatage!$A$2
)</f>
        <v>46233.670796365739</v>
      </c>
      <c r="P1076" s="1" t="str">
        <f>IFERROR(IF(tbl_Historique_Final[[#This Row],[Commentaires]]&lt;&gt;"",tbl_Historique_Final[[#This Row],[Commentaires]],""),"")</f>
        <v/>
      </c>
      <c r="X1076" s="8" t="str">
        <f>IF(Final_Sans_VGE[[#This Row],[ppn_z]]="","",IFERROR(
   IF(_xlfn.XLOOKUP(Final_Sans_VGE[[#This Row],[ppn_z]],tbl_Historique_Final[ppn_z],tbl_Historique_Final[date_modif])=Final_Sans_VGE[[#This Row],[date_modif]],
      "Ancien",
      "Modifié"),
   "Nouveau"))</f>
        <v>Ancien</v>
      </c>
      <c r="AC1076"/>
      <c r="AD1076"/>
    </row>
    <row r="1077" spans="1:30" ht="30" x14ac:dyDescent="0.25">
      <c r="A1077" s="5" t="s">
        <v>3395</v>
      </c>
      <c r="B1077" s="1" t="s">
        <v>8448</v>
      </c>
      <c r="C1077" s="1" t="s">
        <v>152</v>
      </c>
      <c r="E1077" s="1" t="s">
        <v>12</v>
      </c>
      <c r="J1077" s="3">
        <v>45961.534942129627</v>
      </c>
      <c r="K1077" s="2" t="s">
        <v>8449</v>
      </c>
      <c r="L1077" s="1">
        <v>1</v>
      </c>
      <c r="M1077" s="1">
        <v>1</v>
      </c>
      <c r="N1077">
        <v>0</v>
      </c>
      <c r="O1077" s="3">
        <f>IF(
    R1077="Ancien",
    _xlfn.XLOOKUP(
        Final_Sans_VGE[[#This Row],[ppn_z]],
        tbl_Historique_Final[ppn_z],
        tbl_Historique_Final[Horodatage],
        ""
    ),
    Horodatage!$A$2
)</f>
        <v>46233.670796365739</v>
      </c>
      <c r="P1077" s="1" t="str">
        <f>IFERROR(IF(tbl_Historique_Final[[#This Row],[Commentaires]]&lt;&gt;"",tbl_Historique_Final[[#This Row],[Commentaires]],""),"")</f>
        <v/>
      </c>
      <c r="X1077" s="8" t="str">
        <f>IF(Final_Sans_VGE[[#This Row],[ppn_z]]="","",IFERROR(
   IF(_xlfn.XLOOKUP(Final_Sans_VGE[[#This Row],[ppn_z]],tbl_Historique_Final[ppn_z],tbl_Historique_Final[date_modif])=Final_Sans_VGE[[#This Row],[date_modif]],
      "Ancien",
      "Modifié"),
   "Nouveau"))</f>
        <v>Ancien</v>
      </c>
      <c r="AC1077"/>
      <c r="AD1077"/>
    </row>
    <row r="1078" spans="1:30" x14ac:dyDescent="0.25">
      <c r="A1078" s="5" t="s">
        <v>3398</v>
      </c>
      <c r="B1078" s="1" t="s">
        <v>8450</v>
      </c>
      <c r="C1078" s="1" t="s">
        <v>143</v>
      </c>
      <c r="D1078" s="1" t="s">
        <v>8451</v>
      </c>
      <c r="E1078" s="1" t="s">
        <v>6694</v>
      </c>
      <c r="F1078" s="1" t="s">
        <v>7604</v>
      </c>
      <c r="G1078" s="1" t="s">
        <v>11</v>
      </c>
      <c r="H1078" s="1" t="s">
        <v>22</v>
      </c>
      <c r="I1078" s="1" t="s">
        <v>22</v>
      </c>
      <c r="J1078" s="3">
        <v>46056.591365740744</v>
      </c>
      <c r="K1078" s="2" t="s">
        <v>8452</v>
      </c>
      <c r="L1078" s="1">
        <v>6</v>
      </c>
      <c r="M1078" s="1">
        <v>6</v>
      </c>
      <c r="N1078">
        <v>0</v>
      </c>
      <c r="O1078" s="3">
        <f>IF(
    R1078="Ancien",
    _xlfn.XLOOKUP(
        Final_Sans_VGE[[#This Row],[ppn_z]],
        tbl_Historique_Final[ppn_z],
        tbl_Historique_Final[Horodatage],
        ""
    ),
    Horodatage!$A$2
)</f>
        <v>46233.670796365739</v>
      </c>
      <c r="P1078" s="1" t="str">
        <f>IFERROR(IF(tbl_Historique_Final[[#This Row],[Commentaires]]&lt;&gt;"",tbl_Historique_Final[[#This Row],[Commentaires]],""),"")</f>
        <v/>
      </c>
      <c r="X1078" s="8" t="str">
        <f>IF(Final_Sans_VGE[[#This Row],[ppn_z]]="","",IFERROR(
   IF(_xlfn.XLOOKUP(Final_Sans_VGE[[#This Row],[ppn_z]],tbl_Historique_Final[ppn_z],tbl_Historique_Final[date_modif])=Final_Sans_VGE[[#This Row],[date_modif]],
      "Ancien",
      "Modifié"),
   "Nouveau"))</f>
        <v>Ancien</v>
      </c>
      <c r="AC1078"/>
      <c r="AD1078"/>
    </row>
    <row r="1079" spans="1:30" ht="30" x14ac:dyDescent="0.25">
      <c r="A1079" s="5" t="s">
        <v>3401</v>
      </c>
      <c r="B1079" s="1" t="s">
        <v>8453</v>
      </c>
      <c r="D1079" s="1" t="s">
        <v>8454</v>
      </c>
      <c r="H1079" s="1" t="s">
        <v>10515</v>
      </c>
      <c r="I1079" s="1" t="s">
        <v>140</v>
      </c>
      <c r="J1079" s="3">
        <v>46057.478310185186</v>
      </c>
      <c r="K1079" s="2" t="s">
        <v>8455</v>
      </c>
      <c r="L1079" s="1">
        <v>94</v>
      </c>
      <c r="M1079" s="1">
        <v>137</v>
      </c>
      <c r="N1079">
        <v>43</v>
      </c>
      <c r="O1079" s="3">
        <f>IF(
    R1079="Ancien",
    _xlfn.XLOOKUP(
        Final_Sans_VGE[[#This Row],[ppn_z]],
        tbl_Historique_Final[ppn_z],
        tbl_Historique_Final[Horodatage],
        ""
    ),
    Horodatage!$A$2
)</f>
        <v>46233.670796365739</v>
      </c>
      <c r="P1079" s="1" t="str">
        <f>IFERROR(IF(tbl_Historique_Final[[#This Row],[Commentaires]]&lt;&gt;"",tbl_Historique_Final[[#This Row],[Commentaires]],""),"")</f>
        <v/>
      </c>
      <c r="X1079" s="8" t="str">
        <f>IF(Final_Sans_VGE[[#This Row],[ppn_z]]="","",IFERROR(
   IF(_xlfn.XLOOKUP(Final_Sans_VGE[[#This Row],[ppn_z]],tbl_Historique_Final[ppn_z],tbl_Historique_Final[date_modif])=Final_Sans_VGE[[#This Row],[date_modif]],
      "Ancien",
      "Modifié"),
   "Nouveau"))</f>
        <v>Ancien</v>
      </c>
      <c r="AC1079"/>
      <c r="AD1079"/>
    </row>
    <row r="1080" spans="1:30" ht="45" x14ac:dyDescent="0.25">
      <c r="A1080" s="5" t="s">
        <v>3404</v>
      </c>
      <c r="B1080" s="1" t="s">
        <v>8456</v>
      </c>
      <c r="C1080" s="1" t="s">
        <v>7789</v>
      </c>
      <c r="D1080" s="1" t="s">
        <v>14</v>
      </c>
      <c r="E1080" s="1" t="s">
        <v>6416</v>
      </c>
      <c r="F1080" s="1" t="s">
        <v>8457</v>
      </c>
      <c r="G1080" s="1" t="s">
        <v>10</v>
      </c>
      <c r="H1080" s="1" t="s">
        <v>8458</v>
      </c>
      <c r="I1080" s="1" t="s">
        <v>8459</v>
      </c>
      <c r="J1080" s="3">
        <v>46057.476875</v>
      </c>
      <c r="K1080" s="2" t="s">
        <v>8460</v>
      </c>
      <c r="L1080" s="1">
        <v>323</v>
      </c>
      <c r="M1080" s="1">
        <v>356</v>
      </c>
      <c r="N1080">
        <v>33</v>
      </c>
      <c r="O1080" s="3">
        <f>IF(
    R1080="Ancien",
    _xlfn.XLOOKUP(
        Final_Sans_VGE[[#This Row],[ppn_z]],
        tbl_Historique_Final[ppn_z],
        tbl_Historique_Final[Horodatage],
        ""
    ),
    Horodatage!$A$2
)</f>
        <v>46233.670796365739</v>
      </c>
      <c r="P1080" s="1" t="str">
        <f>IFERROR(IF(tbl_Historique_Final[[#This Row],[Commentaires]]&lt;&gt;"",tbl_Historique_Final[[#This Row],[Commentaires]],""),"")</f>
        <v/>
      </c>
      <c r="X1080" s="8" t="str">
        <f>IF(Final_Sans_VGE[[#This Row],[ppn_z]]="","",IFERROR(
   IF(_xlfn.XLOOKUP(Final_Sans_VGE[[#This Row],[ppn_z]],tbl_Historique_Final[ppn_z],tbl_Historique_Final[date_modif])=Final_Sans_VGE[[#This Row],[date_modif]],
      "Ancien",
      "Modifié"),
   "Nouveau"))</f>
        <v>Ancien</v>
      </c>
      <c r="AC1080"/>
      <c r="AD1080"/>
    </row>
    <row r="1081" spans="1:30" x14ac:dyDescent="0.25">
      <c r="A1081" s="5" t="s">
        <v>3407</v>
      </c>
      <c r="B1081" s="1" t="s">
        <v>8461</v>
      </c>
      <c r="C1081" s="1" t="s">
        <v>74</v>
      </c>
      <c r="G1081" s="1" t="s">
        <v>11</v>
      </c>
      <c r="J1081" s="3">
        <v>45965.429710648146</v>
      </c>
      <c r="K1081" s="2" t="s">
        <v>8462</v>
      </c>
      <c r="L1081" s="1">
        <v>6</v>
      </c>
      <c r="M1081" s="1">
        <v>6</v>
      </c>
      <c r="N1081">
        <v>0</v>
      </c>
      <c r="O1081" s="3">
        <f>IF(
    R1081="Ancien",
    _xlfn.XLOOKUP(
        Final_Sans_VGE[[#This Row],[ppn_z]],
        tbl_Historique_Final[ppn_z],
        tbl_Historique_Final[Horodatage],
        ""
    ),
    Horodatage!$A$2
)</f>
        <v>46233.670796365739</v>
      </c>
      <c r="P1081" s="1" t="str">
        <f>IFERROR(IF(tbl_Historique_Final[[#This Row],[Commentaires]]&lt;&gt;"",tbl_Historique_Final[[#This Row],[Commentaires]],""),"")</f>
        <v/>
      </c>
      <c r="X1081" s="8" t="str">
        <f>IF(Final_Sans_VGE[[#This Row],[ppn_z]]="","",IFERROR(
   IF(_xlfn.XLOOKUP(Final_Sans_VGE[[#This Row],[ppn_z]],tbl_Historique_Final[ppn_z],tbl_Historique_Final[date_modif])=Final_Sans_VGE[[#This Row],[date_modif]],
      "Ancien",
      "Modifié"),
   "Nouveau"))</f>
        <v>Ancien</v>
      </c>
      <c r="AC1081"/>
      <c r="AD1081"/>
    </row>
    <row r="1082" spans="1:30" ht="60" x14ac:dyDescent="0.25">
      <c r="A1082" s="5" t="s">
        <v>3410</v>
      </c>
      <c r="B1082" s="1" t="s">
        <v>8463</v>
      </c>
      <c r="C1082" s="1" t="s">
        <v>50</v>
      </c>
      <c r="D1082" s="1" t="s">
        <v>14</v>
      </c>
      <c r="E1082" s="1" t="s">
        <v>42</v>
      </c>
      <c r="G1082" s="1" t="s">
        <v>10</v>
      </c>
      <c r="H1082" s="1" t="s">
        <v>8464</v>
      </c>
      <c r="I1082" s="1" t="s">
        <v>22</v>
      </c>
      <c r="J1082" s="3">
        <v>46029.480347222219</v>
      </c>
      <c r="K1082" s="2" t="s">
        <v>8465</v>
      </c>
      <c r="L1082" s="1">
        <v>49</v>
      </c>
      <c r="M1082" s="1">
        <v>55</v>
      </c>
      <c r="N1082">
        <v>6</v>
      </c>
      <c r="O1082" s="3">
        <f>IF(
    R1082="Ancien",
    _xlfn.XLOOKUP(
        Final_Sans_VGE[[#This Row],[ppn_z]],
        tbl_Historique_Final[ppn_z],
        tbl_Historique_Final[Horodatage],
        ""
    ),
    Horodatage!$A$2
)</f>
        <v>46233.670796365739</v>
      </c>
      <c r="P1082" s="1" t="str">
        <f>IFERROR(IF(tbl_Historique_Final[[#This Row],[Commentaires]]&lt;&gt;"",tbl_Historique_Final[[#This Row],[Commentaires]],""),"")</f>
        <v/>
      </c>
      <c r="X1082" s="8" t="str">
        <f>IF(Final_Sans_VGE[[#This Row],[ppn_z]]="","",IFERROR(
   IF(_xlfn.XLOOKUP(Final_Sans_VGE[[#This Row],[ppn_z]],tbl_Historique_Final[ppn_z],tbl_Historique_Final[date_modif])=Final_Sans_VGE[[#This Row],[date_modif]],
      "Ancien",
      "Modifié"),
   "Nouveau"))</f>
        <v>Ancien</v>
      </c>
      <c r="AC1082"/>
      <c r="AD1082"/>
    </row>
    <row r="1083" spans="1:30" ht="30" x14ac:dyDescent="0.25">
      <c r="A1083" s="5" t="s">
        <v>3413</v>
      </c>
      <c r="B1083" s="1" t="s">
        <v>8466</v>
      </c>
      <c r="C1083" s="1" t="s">
        <v>79</v>
      </c>
      <c r="E1083" s="1" t="s">
        <v>108</v>
      </c>
      <c r="G1083" s="1" t="s">
        <v>11</v>
      </c>
      <c r="J1083" s="3">
        <v>45994.409942129627</v>
      </c>
      <c r="K1083" s="2" t="s">
        <v>8467</v>
      </c>
      <c r="L1083" s="1">
        <v>5</v>
      </c>
      <c r="M1083" s="1">
        <v>8</v>
      </c>
      <c r="N1083">
        <v>3</v>
      </c>
      <c r="O1083" s="3">
        <f>IF(
    R1083="Ancien",
    _xlfn.XLOOKUP(
        Final_Sans_VGE[[#This Row],[ppn_z]],
        tbl_Historique_Final[ppn_z],
        tbl_Historique_Final[Horodatage],
        ""
    ),
    Horodatage!$A$2
)</f>
        <v>46233.670796365739</v>
      </c>
      <c r="P1083" s="1" t="str">
        <f>IFERROR(IF(tbl_Historique_Final[[#This Row],[Commentaires]]&lt;&gt;"",tbl_Historique_Final[[#This Row],[Commentaires]],""),"")</f>
        <v/>
      </c>
      <c r="X1083" s="8" t="str">
        <f>IF(Final_Sans_VGE[[#This Row],[ppn_z]]="","",IFERROR(
   IF(_xlfn.XLOOKUP(Final_Sans_VGE[[#This Row],[ppn_z]],tbl_Historique_Final[ppn_z],tbl_Historique_Final[date_modif])=Final_Sans_VGE[[#This Row],[date_modif]],
      "Ancien",
      "Modifié"),
   "Nouveau"))</f>
        <v>Ancien</v>
      </c>
      <c r="AC1083"/>
      <c r="AD1083"/>
    </row>
    <row r="1084" spans="1:30" ht="45" x14ac:dyDescent="0.25">
      <c r="A1084" s="5" t="s">
        <v>3416</v>
      </c>
      <c r="B1084" s="1" t="s">
        <v>8468</v>
      </c>
      <c r="C1084" s="1" t="s">
        <v>145</v>
      </c>
      <c r="J1084" s="3">
        <v>46051.630682870367</v>
      </c>
      <c r="K1084" s="2" t="s">
        <v>8469</v>
      </c>
      <c r="L1084" s="1">
        <v>54</v>
      </c>
      <c r="M1084" s="1">
        <v>55</v>
      </c>
      <c r="N1084">
        <v>1</v>
      </c>
      <c r="O1084" s="3">
        <f>IF(
    R1084="Ancien",
    _xlfn.XLOOKUP(
        Final_Sans_VGE[[#This Row],[ppn_z]],
        tbl_Historique_Final[ppn_z],
        tbl_Historique_Final[Horodatage],
        ""
    ),
    Horodatage!$A$2
)</f>
        <v>46233.670796365739</v>
      </c>
      <c r="P1084" s="1" t="str">
        <f>IFERROR(IF(tbl_Historique_Final[[#This Row],[Commentaires]]&lt;&gt;"",tbl_Historique_Final[[#This Row],[Commentaires]],""),"")</f>
        <v/>
      </c>
      <c r="X1084" s="8" t="str">
        <f>IF(Final_Sans_VGE[[#This Row],[ppn_z]]="","",IFERROR(
   IF(_xlfn.XLOOKUP(Final_Sans_VGE[[#This Row],[ppn_z]],tbl_Historique_Final[ppn_z],tbl_Historique_Final[date_modif])=Final_Sans_VGE[[#This Row],[date_modif]],
      "Ancien",
      "Modifié"),
   "Nouveau"))</f>
        <v>Ancien</v>
      </c>
      <c r="AC1084"/>
      <c r="AD1084"/>
    </row>
    <row r="1085" spans="1:30" ht="45" x14ac:dyDescent="0.25">
      <c r="A1085" s="5" t="s">
        <v>3419</v>
      </c>
      <c r="B1085" s="1" t="s">
        <v>8470</v>
      </c>
      <c r="C1085" s="1" t="s">
        <v>71</v>
      </c>
      <c r="J1085" s="3">
        <v>46045.562256944446</v>
      </c>
      <c r="K1085" s="2" t="s">
        <v>8471</v>
      </c>
      <c r="L1085" s="1">
        <v>0</v>
      </c>
      <c r="M1085" s="1">
        <v>7</v>
      </c>
      <c r="N1085">
        <v>7</v>
      </c>
      <c r="O1085" s="3">
        <f>IF(
    R1085="Ancien",
    _xlfn.XLOOKUP(
        Final_Sans_VGE[[#This Row],[ppn_z]],
        tbl_Historique_Final[ppn_z],
        tbl_Historique_Final[Horodatage],
        ""
    ),
    Horodatage!$A$2
)</f>
        <v>46233.670796365739</v>
      </c>
      <c r="P1085" s="1" t="str">
        <f>IFERROR(IF(tbl_Historique_Final[[#This Row],[Commentaires]]&lt;&gt;"",tbl_Historique_Final[[#This Row],[Commentaires]],""),"")</f>
        <v/>
      </c>
      <c r="X1085" s="8" t="str">
        <f>IF(Final_Sans_VGE[[#This Row],[ppn_z]]="","",IFERROR(
   IF(_xlfn.XLOOKUP(Final_Sans_VGE[[#This Row],[ppn_z]],tbl_Historique_Final[ppn_z],tbl_Historique_Final[date_modif])=Final_Sans_VGE[[#This Row],[date_modif]],
      "Ancien",
      "Modifié"),
   "Nouveau"))</f>
        <v>Ancien</v>
      </c>
      <c r="AC1085"/>
      <c r="AD1085"/>
    </row>
    <row r="1086" spans="1:30" x14ac:dyDescent="0.25">
      <c r="A1086" s="5" t="s">
        <v>3422</v>
      </c>
      <c r="B1086" s="1" t="s">
        <v>8472</v>
      </c>
      <c r="C1086" s="1" t="s">
        <v>123</v>
      </c>
      <c r="J1086" s="3">
        <v>45843.43141203704</v>
      </c>
      <c r="L1086" s="1">
        <v>1</v>
      </c>
      <c r="M1086" s="1">
        <v>1</v>
      </c>
      <c r="N1086">
        <v>0</v>
      </c>
      <c r="O1086" s="3">
        <f>IF(
    R1086="Ancien",
    _xlfn.XLOOKUP(
        Final_Sans_VGE[[#This Row],[ppn_z]],
        tbl_Historique_Final[ppn_z],
        tbl_Historique_Final[Horodatage],
        ""
    ),
    Horodatage!$A$2
)</f>
        <v>46233.670796365739</v>
      </c>
      <c r="P1086" s="1" t="str">
        <f>IFERROR(IF(tbl_Historique_Final[[#This Row],[Commentaires]]&lt;&gt;"",tbl_Historique_Final[[#This Row],[Commentaires]],""),"")</f>
        <v/>
      </c>
      <c r="X1086" s="8" t="str">
        <f>IF(Final_Sans_VGE[[#This Row],[ppn_z]]="","",IFERROR(
   IF(_xlfn.XLOOKUP(Final_Sans_VGE[[#This Row],[ppn_z]],tbl_Historique_Final[ppn_z],tbl_Historique_Final[date_modif])=Final_Sans_VGE[[#This Row],[date_modif]],
      "Ancien",
      "Modifié"),
   "Nouveau"))</f>
        <v>Ancien</v>
      </c>
      <c r="AC1086"/>
      <c r="AD1086"/>
    </row>
    <row r="1087" spans="1:30" x14ac:dyDescent="0.25">
      <c r="A1087" s="5" t="s">
        <v>3425</v>
      </c>
      <c r="B1087" s="1" t="s">
        <v>8473</v>
      </c>
      <c r="C1087" s="1" t="s">
        <v>12</v>
      </c>
      <c r="G1087" s="1" t="s">
        <v>11</v>
      </c>
      <c r="J1087" s="3">
        <v>46009.335578703707</v>
      </c>
      <c r="K1087" s="2" t="s">
        <v>8474</v>
      </c>
      <c r="L1087" s="1">
        <v>1</v>
      </c>
      <c r="M1087" s="1">
        <v>1</v>
      </c>
      <c r="N1087">
        <v>0</v>
      </c>
      <c r="O1087" s="3">
        <f>IF(
    R1087="Ancien",
    _xlfn.XLOOKUP(
        Final_Sans_VGE[[#This Row],[ppn_z]],
        tbl_Historique_Final[ppn_z],
        tbl_Historique_Final[Horodatage],
        ""
    ),
    Horodatage!$A$2
)</f>
        <v>46233.670796365739</v>
      </c>
      <c r="P1087" s="1" t="str">
        <f>IFERROR(IF(tbl_Historique_Final[[#This Row],[Commentaires]]&lt;&gt;"",tbl_Historique_Final[[#This Row],[Commentaires]],""),"")</f>
        <v/>
      </c>
      <c r="X1087" s="8" t="str">
        <f>IF(Final_Sans_VGE[[#This Row],[ppn_z]]="","",IFERROR(
   IF(_xlfn.XLOOKUP(Final_Sans_VGE[[#This Row],[ppn_z]],tbl_Historique_Final[ppn_z],tbl_Historique_Final[date_modif])=Final_Sans_VGE[[#This Row],[date_modif]],
      "Ancien",
      "Modifié"),
   "Nouveau"))</f>
        <v>Ancien</v>
      </c>
      <c r="AC1087"/>
      <c r="AD1087"/>
    </row>
    <row r="1088" spans="1:30" ht="30" x14ac:dyDescent="0.25">
      <c r="A1088" s="5" t="s">
        <v>3428</v>
      </c>
      <c r="B1088" s="1" t="s">
        <v>8475</v>
      </c>
      <c r="C1088" s="1" t="s">
        <v>12</v>
      </c>
      <c r="G1088" s="1" t="s">
        <v>10</v>
      </c>
      <c r="J1088" s="3">
        <v>45982.411226851851</v>
      </c>
      <c r="K1088" s="2" t="s">
        <v>8476</v>
      </c>
      <c r="L1088" s="1">
        <v>2</v>
      </c>
      <c r="M1088" s="1">
        <v>2</v>
      </c>
      <c r="N1088">
        <v>0</v>
      </c>
      <c r="O1088" s="3">
        <f>IF(
    R1088="Ancien",
    _xlfn.XLOOKUP(
        Final_Sans_VGE[[#This Row],[ppn_z]],
        tbl_Historique_Final[ppn_z],
        tbl_Historique_Final[Horodatage],
        ""
    ),
    Horodatage!$A$2
)</f>
        <v>46233.670796365739</v>
      </c>
      <c r="P1088" s="1" t="str">
        <f>IFERROR(IF(tbl_Historique_Final[[#This Row],[Commentaires]]&lt;&gt;"",tbl_Historique_Final[[#This Row],[Commentaires]],""),"")</f>
        <v/>
      </c>
      <c r="X1088" s="8" t="str">
        <f>IF(Final_Sans_VGE[[#This Row],[ppn_z]]="","",IFERROR(
   IF(_xlfn.XLOOKUP(Final_Sans_VGE[[#This Row],[ppn_z]],tbl_Historique_Final[ppn_z],tbl_Historique_Final[date_modif])=Final_Sans_VGE[[#This Row],[date_modif]],
      "Ancien",
      "Modifié"),
   "Nouveau"))</f>
        <v>Ancien</v>
      </c>
      <c r="AC1088"/>
      <c r="AD1088"/>
    </row>
    <row r="1089" spans="1:30" x14ac:dyDescent="0.25">
      <c r="A1089" s="5" t="s">
        <v>3431</v>
      </c>
      <c r="B1089" s="1" t="s">
        <v>8477</v>
      </c>
      <c r="C1089" s="1" t="s">
        <v>63</v>
      </c>
      <c r="E1089" s="1" t="s">
        <v>72</v>
      </c>
      <c r="G1089" s="1" t="s">
        <v>10</v>
      </c>
      <c r="J1089" s="3">
        <v>46057.488402777781</v>
      </c>
      <c r="K1089" s="2" t="s">
        <v>8478</v>
      </c>
      <c r="L1089" s="1">
        <v>57</v>
      </c>
      <c r="M1089" s="1">
        <v>66</v>
      </c>
      <c r="N1089">
        <v>9</v>
      </c>
      <c r="O1089" s="3">
        <f>IF(
    R1089="Ancien",
    _xlfn.XLOOKUP(
        Final_Sans_VGE[[#This Row],[ppn_z]],
        tbl_Historique_Final[ppn_z],
        tbl_Historique_Final[Horodatage],
        ""
    ),
    Horodatage!$A$2
)</f>
        <v>46233.670796365739</v>
      </c>
      <c r="P1089" s="1" t="str">
        <f>IFERROR(IF(tbl_Historique_Final[[#This Row],[Commentaires]]&lt;&gt;"",tbl_Historique_Final[[#This Row],[Commentaires]],""),"")</f>
        <v/>
      </c>
      <c r="X1089" s="8" t="str">
        <f>IF(Final_Sans_VGE[[#This Row],[ppn_z]]="","",IFERROR(
   IF(_xlfn.XLOOKUP(Final_Sans_VGE[[#This Row],[ppn_z]],tbl_Historique_Final[ppn_z],tbl_Historique_Final[date_modif])=Final_Sans_VGE[[#This Row],[date_modif]],
      "Ancien",
      "Modifié"),
   "Nouveau"))</f>
        <v>Ancien</v>
      </c>
      <c r="AC1089"/>
      <c r="AD1089"/>
    </row>
    <row r="1090" spans="1:30" ht="45" x14ac:dyDescent="0.25">
      <c r="A1090" s="5" t="s">
        <v>3434</v>
      </c>
      <c r="B1090" s="1" t="s">
        <v>8479</v>
      </c>
      <c r="C1090" s="1" t="s">
        <v>8480</v>
      </c>
      <c r="E1090" s="1" t="s">
        <v>50</v>
      </c>
      <c r="G1090" s="1" t="s">
        <v>10</v>
      </c>
      <c r="J1090" s="3">
        <v>46041.621134259258</v>
      </c>
      <c r="K1090" s="2" t="s">
        <v>8481</v>
      </c>
      <c r="L1090" s="1">
        <v>59</v>
      </c>
      <c r="M1090" s="1">
        <v>59</v>
      </c>
      <c r="N1090">
        <v>0</v>
      </c>
      <c r="O1090" s="3">
        <f>IF(
    R1090="Ancien",
    _xlfn.XLOOKUP(
        Final_Sans_VGE[[#This Row],[ppn_z]],
        tbl_Historique_Final[ppn_z],
        tbl_Historique_Final[Horodatage],
        ""
    ),
    Horodatage!$A$2
)</f>
        <v>46233.670796365739</v>
      </c>
      <c r="P1090" s="1" t="str">
        <f>IFERROR(IF(tbl_Historique_Final[[#This Row],[Commentaires]]&lt;&gt;"",tbl_Historique_Final[[#This Row],[Commentaires]],""),"")</f>
        <v/>
      </c>
      <c r="X1090" s="8" t="str">
        <f>IF(Final_Sans_VGE[[#This Row],[ppn_z]]="","",IFERROR(
   IF(_xlfn.XLOOKUP(Final_Sans_VGE[[#This Row],[ppn_z]],tbl_Historique_Final[ppn_z],tbl_Historique_Final[date_modif])=Final_Sans_VGE[[#This Row],[date_modif]],
      "Ancien",
      "Modifié"),
   "Nouveau"))</f>
        <v>Ancien</v>
      </c>
      <c r="AC1090"/>
      <c r="AD1090"/>
    </row>
    <row r="1091" spans="1:30" x14ac:dyDescent="0.25">
      <c r="A1091" s="5" t="s">
        <v>3437</v>
      </c>
      <c r="B1091" s="1" t="s">
        <v>8482</v>
      </c>
      <c r="C1091" s="1" t="s">
        <v>12</v>
      </c>
      <c r="G1091" s="1" t="s">
        <v>10</v>
      </c>
      <c r="H1091" s="1" t="s">
        <v>22</v>
      </c>
      <c r="I1091" s="1" t="s">
        <v>22</v>
      </c>
      <c r="J1091" s="3">
        <v>46051.391458333332</v>
      </c>
      <c r="K1091" s="2" t="s">
        <v>8483</v>
      </c>
      <c r="L1091" s="1">
        <v>10</v>
      </c>
      <c r="M1091" s="1">
        <v>22</v>
      </c>
      <c r="N1091">
        <v>12</v>
      </c>
      <c r="O1091" s="3">
        <f>IF(
    R1091="Ancien",
    _xlfn.XLOOKUP(
        Final_Sans_VGE[[#This Row],[ppn_z]],
        tbl_Historique_Final[ppn_z],
        tbl_Historique_Final[Horodatage],
        ""
    ),
    Horodatage!$A$2
)</f>
        <v>46233.670796365739</v>
      </c>
      <c r="P1091" s="1" t="str">
        <f>IFERROR(IF(tbl_Historique_Final[[#This Row],[Commentaires]]&lt;&gt;"",tbl_Historique_Final[[#This Row],[Commentaires]],""),"")</f>
        <v/>
      </c>
      <c r="X1091" s="8" t="str">
        <f>IF(Final_Sans_VGE[[#This Row],[ppn_z]]="","",IFERROR(
   IF(_xlfn.XLOOKUP(Final_Sans_VGE[[#This Row],[ppn_z]],tbl_Historique_Final[ppn_z],tbl_Historique_Final[date_modif])=Final_Sans_VGE[[#This Row],[date_modif]],
      "Ancien",
      "Modifié"),
   "Nouveau"))</f>
        <v>Ancien</v>
      </c>
      <c r="AC1091"/>
      <c r="AD1091"/>
    </row>
    <row r="1092" spans="1:30" ht="30" x14ac:dyDescent="0.25">
      <c r="A1092" s="5" t="s">
        <v>3440</v>
      </c>
      <c r="B1092" s="1" t="s">
        <v>8484</v>
      </c>
      <c r="C1092" s="1" t="s">
        <v>8485</v>
      </c>
      <c r="D1092" s="1" t="s">
        <v>14</v>
      </c>
      <c r="E1092" s="1" t="s">
        <v>92</v>
      </c>
      <c r="F1092" s="1" t="s">
        <v>14</v>
      </c>
      <c r="G1092" s="1" t="s">
        <v>10</v>
      </c>
      <c r="H1092" s="1" t="s">
        <v>22</v>
      </c>
      <c r="I1092" s="1" t="s">
        <v>22</v>
      </c>
      <c r="J1092" s="3">
        <v>46057.488263888888</v>
      </c>
      <c r="K1092" s="2" t="s">
        <v>8486</v>
      </c>
      <c r="L1092" s="1">
        <v>171</v>
      </c>
      <c r="M1092" s="1">
        <v>194</v>
      </c>
      <c r="N1092">
        <v>23</v>
      </c>
      <c r="O1092" s="3">
        <f>IF(
    R1092="Ancien",
    _xlfn.XLOOKUP(
        Final_Sans_VGE[[#This Row],[ppn_z]],
        tbl_Historique_Final[ppn_z],
        tbl_Historique_Final[Horodatage],
        ""
    ),
    Horodatage!$A$2
)</f>
        <v>46233.670796365739</v>
      </c>
      <c r="P1092" s="1" t="str">
        <f>IFERROR(IF(tbl_Historique_Final[[#This Row],[Commentaires]]&lt;&gt;"",tbl_Historique_Final[[#This Row],[Commentaires]],""),"")</f>
        <v/>
      </c>
      <c r="X1092" s="8" t="str">
        <f>IF(Final_Sans_VGE[[#This Row],[ppn_z]]="","",IFERROR(
   IF(_xlfn.XLOOKUP(Final_Sans_VGE[[#This Row],[ppn_z]],tbl_Historique_Final[ppn_z],tbl_Historique_Final[date_modif])=Final_Sans_VGE[[#This Row],[date_modif]],
      "Ancien",
      "Modifié"),
   "Nouveau"))</f>
        <v>Ancien</v>
      </c>
      <c r="AC1092"/>
      <c r="AD1092"/>
    </row>
    <row r="1093" spans="1:30" ht="30" x14ac:dyDescent="0.25">
      <c r="A1093" s="5" t="s">
        <v>3443</v>
      </c>
      <c r="B1093" s="1" t="s">
        <v>8487</v>
      </c>
      <c r="C1093" s="1" t="s">
        <v>12</v>
      </c>
      <c r="G1093" s="1" t="s">
        <v>10</v>
      </c>
      <c r="J1093" s="3">
        <v>45987.473912037036</v>
      </c>
      <c r="K1093" s="2" t="s">
        <v>8488</v>
      </c>
      <c r="L1093" s="1">
        <v>1</v>
      </c>
      <c r="M1093" s="1">
        <v>1</v>
      </c>
      <c r="N1093">
        <v>0</v>
      </c>
      <c r="O1093" s="3">
        <f>IF(
    R1093="Ancien",
    _xlfn.XLOOKUP(
        Final_Sans_VGE[[#This Row],[ppn_z]],
        tbl_Historique_Final[ppn_z],
        tbl_Historique_Final[Horodatage],
        ""
    ),
    Horodatage!$A$2
)</f>
        <v>46233.670796365739</v>
      </c>
      <c r="P1093" s="1" t="str">
        <f>IFERROR(IF(tbl_Historique_Final[[#This Row],[Commentaires]]&lt;&gt;"",tbl_Historique_Final[[#This Row],[Commentaires]],""),"")</f>
        <v/>
      </c>
      <c r="X1093" s="8" t="str">
        <f>IF(Final_Sans_VGE[[#This Row],[ppn_z]]="","",IFERROR(
   IF(_xlfn.XLOOKUP(Final_Sans_VGE[[#This Row],[ppn_z]],tbl_Historique_Final[ppn_z],tbl_Historique_Final[date_modif])=Final_Sans_VGE[[#This Row],[date_modif]],
      "Ancien",
      "Modifié"),
   "Nouveau"))</f>
        <v>Ancien</v>
      </c>
      <c r="AC1093"/>
      <c r="AD1093"/>
    </row>
    <row r="1094" spans="1:30" ht="30" x14ac:dyDescent="0.25">
      <c r="A1094" s="5" t="s">
        <v>3446</v>
      </c>
      <c r="B1094" s="1" t="s">
        <v>8489</v>
      </c>
      <c r="C1094" s="1" t="s">
        <v>12</v>
      </c>
      <c r="G1094" s="1" t="s">
        <v>10</v>
      </c>
      <c r="J1094" s="3">
        <v>46042.650196759256</v>
      </c>
      <c r="K1094" s="2" t="s">
        <v>8490</v>
      </c>
      <c r="L1094" s="1">
        <v>3</v>
      </c>
      <c r="M1094" s="1">
        <v>5</v>
      </c>
      <c r="N1094">
        <v>2</v>
      </c>
      <c r="O1094" s="3">
        <f>IF(
    R1094="Ancien",
    _xlfn.XLOOKUP(
        Final_Sans_VGE[[#This Row],[ppn_z]],
        tbl_Historique_Final[ppn_z],
        tbl_Historique_Final[Horodatage],
        ""
    ),
    Horodatage!$A$2
)</f>
        <v>46233.670796365739</v>
      </c>
      <c r="P1094" s="1" t="str">
        <f>IFERROR(IF(tbl_Historique_Final[[#This Row],[Commentaires]]&lt;&gt;"",tbl_Historique_Final[[#This Row],[Commentaires]],""),"")</f>
        <v/>
      </c>
      <c r="X1094" s="8" t="str">
        <f>IF(Final_Sans_VGE[[#This Row],[ppn_z]]="","",IFERROR(
   IF(_xlfn.XLOOKUP(Final_Sans_VGE[[#This Row],[ppn_z]],tbl_Historique_Final[ppn_z],tbl_Historique_Final[date_modif])=Final_Sans_VGE[[#This Row],[date_modif]],
      "Ancien",
      "Modifié"),
   "Nouveau"))</f>
        <v>Ancien</v>
      </c>
      <c r="AC1094"/>
      <c r="AD1094"/>
    </row>
    <row r="1095" spans="1:30" x14ac:dyDescent="0.25">
      <c r="A1095" s="5" t="s">
        <v>3449</v>
      </c>
      <c r="B1095" s="1" t="s">
        <v>8491</v>
      </c>
      <c r="C1095" s="1" t="s">
        <v>6783</v>
      </c>
      <c r="D1095" s="1" t="s">
        <v>14</v>
      </c>
      <c r="E1095" s="1" t="s">
        <v>143</v>
      </c>
      <c r="F1095" s="1" t="s">
        <v>14</v>
      </c>
      <c r="G1095" s="1" t="s">
        <v>10</v>
      </c>
      <c r="H1095" s="1" t="s">
        <v>8492</v>
      </c>
      <c r="I1095" s="1" t="s">
        <v>140</v>
      </c>
      <c r="J1095" s="3">
        <v>46055.487037037034</v>
      </c>
      <c r="K1095" s="2" t="s">
        <v>8493</v>
      </c>
      <c r="L1095" s="1">
        <v>38</v>
      </c>
      <c r="M1095" s="1">
        <v>41</v>
      </c>
      <c r="N1095">
        <v>3</v>
      </c>
      <c r="O1095" s="3">
        <f>IF(
    R1095="Ancien",
    _xlfn.XLOOKUP(
        Final_Sans_VGE[[#This Row],[ppn_z]],
        tbl_Historique_Final[ppn_z],
        tbl_Historique_Final[Horodatage],
        ""
    ),
    Horodatage!$A$2
)</f>
        <v>46233.670796365739</v>
      </c>
      <c r="P1095" s="1" t="str">
        <f>IFERROR(IF(tbl_Historique_Final[[#This Row],[Commentaires]]&lt;&gt;"",tbl_Historique_Final[[#This Row],[Commentaires]],""),"")</f>
        <v/>
      </c>
      <c r="X1095" s="8" t="str">
        <f>IF(Final_Sans_VGE[[#This Row],[ppn_z]]="","",IFERROR(
   IF(_xlfn.XLOOKUP(Final_Sans_VGE[[#This Row],[ppn_z]],tbl_Historique_Final[ppn_z],tbl_Historique_Final[date_modif])=Final_Sans_VGE[[#This Row],[date_modif]],
      "Ancien",
      "Modifié"),
   "Nouveau"))</f>
        <v>Ancien</v>
      </c>
      <c r="AC1095"/>
      <c r="AD1095"/>
    </row>
    <row r="1096" spans="1:30" x14ac:dyDescent="0.25">
      <c r="A1096" s="5" t="s">
        <v>3452</v>
      </c>
      <c r="B1096" s="1" t="s">
        <v>8494</v>
      </c>
      <c r="C1096" s="1" t="s">
        <v>6652</v>
      </c>
      <c r="E1096" s="1" t="s">
        <v>8233</v>
      </c>
      <c r="G1096" s="1" t="s">
        <v>10</v>
      </c>
      <c r="J1096" s="3">
        <v>46055.53943287037</v>
      </c>
      <c r="K1096" s="2" t="s">
        <v>8495</v>
      </c>
      <c r="L1096" s="1">
        <v>42</v>
      </c>
      <c r="M1096" s="1">
        <v>42</v>
      </c>
      <c r="N1096">
        <v>0</v>
      </c>
      <c r="O1096" s="3">
        <f>IF(
    R1096="Ancien",
    _xlfn.XLOOKUP(
        Final_Sans_VGE[[#This Row],[ppn_z]],
        tbl_Historique_Final[ppn_z],
        tbl_Historique_Final[Horodatage],
        ""
    ),
    Horodatage!$A$2
)</f>
        <v>46233.670796365739</v>
      </c>
      <c r="P1096" s="1" t="str">
        <f>IFERROR(IF(tbl_Historique_Final[[#This Row],[Commentaires]]&lt;&gt;"",tbl_Historique_Final[[#This Row],[Commentaires]],""),"")</f>
        <v/>
      </c>
      <c r="X1096" s="8" t="str">
        <f>IF(Final_Sans_VGE[[#This Row],[ppn_z]]="","",IFERROR(
   IF(_xlfn.XLOOKUP(Final_Sans_VGE[[#This Row],[ppn_z]],tbl_Historique_Final[ppn_z],tbl_Historique_Final[date_modif])=Final_Sans_VGE[[#This Row],[date_modif]],
      "Ancien",
      "Modifié"),
   "Nouveau"))</f>
        <v>Ancien</v>
      </c>
      <c r="AC1096"/>
      <c r="AD1096"/>
    </row>
    <row r="1097" spans="1:30" x14ac:dyDescent="0.25">
      <c r="A1097" s="5" t="s">
        <v>3455</v>
      </c>
      <c r="B1097" s="1" t="s">
        <v>8496</v>
      </c>
      <c r="C1097" s="1" t="s">
        <v>46</v>
      </c>
      <c r="G1097" s="1" t="s">
        <v>10</v>
      </c>
      <c r="J1097" s="3">
        <v>45965.400370370371</v>
      </c>
      <c r="K1097" s="2" t="s">
        <v>7248</v>
      </c>
      <c r="L1097" s="1">
        <v>4</v>
      </c>
      <c r="M1097" s="1">
        <v>4</v>
      </c>
      <c r="N1097">
        <v>0</v>
      </c>
      <c r="O1097" s="3">
        <f>IF(
    R1097="Ancien",
    _xlfn.XLOOKUP(
        Final_Sans_VGE[[#This Row],[ppn_z]],
        tbl_Historique_Final[ppn_z],
        tbl_Historique_Final[Horodatage],
        ""
    ),
    Horodatage!$A$2
)</f>
        <v>46233.670796365739</v>
      </c>
      <c r="P1097" s="1" t="str">
        <f>IFERROR(IF(tbl_Historique_Final[[#This Row],[Commentaires]]&lt;&gt;"",tbl_Historique_Final[[#This Row],[Commentaires]],""),"")</f>
        <v/>
      </c>
      <c r="X1097" s="8" t="str">
        <f>IF(Final_Sans_VGE[[#This Row],[ppn_z]]="","",IFERROR(
   IF(_xlfn.XLOOKUP(Final_Sans_VGE[[#This Row],[ppn_z]],tbl_Historique_Final[ppn_z],tbl_Historique_Final[date_modif])=Final_Sans_VGE[[#This Row],[date_modif]],
      "Ancien",
      "Modifié"),
   "Nouveau"))</f>
        <v>Ancien</v>
      </c>
      <c r="AC1097"/>
      <c r="AD1097"/>
    </row>
    <row r="1098" spans="1:30" ht="30" x14ac:dyDescent="0.25">
      <c r="A1098" s="5" t="s">
        <v>3458</v>
      </c>
      <c r="B1098" s="1" t="s">
        <v>8497</v>
      </c>
      <c r="C1098" s="1" t="s">
        <v>7177</v>
      </c>
      <c r="E1098" s="1" t="s">
        <v>141</v>
      </c>
      <c r="G1098" s="1" t="s">
        <v>10</v>
      </c>
      <c r="H1098" s="1" t="s">
        <v>22</v>
      </c>
      <c r="I1098" s="1" t="s">
        <v>22</v>
      </c>
      <c r="J1098" s="3">
        <v>46052.585312499999</v>
      </c>
      <c r="K1098" s="2" t="s">
        <v>8498</v>
      </c>
      <c r="L1098" s="1">
        <v>53</v>
      </c>
      <c r="M1098" s="1">
        <v>53</v>
      </c>
      <c r="N1098">
        <v>0</v>
      </c>
      <c r="O1098" s="3">
        <f>IF(
    R1098="Ancien",
    _xlfn.XLOOKUP(
        Final_Sans_VGE[[#This Row],[ppn_z]],
        tbl_Historique_Final[ppn_z],
        tbl_Historique_Final[Horodatage],
        ""
    ),
    Horodatage!$A$2
)</f>
        <v>46233.670796365739</v>
      </c>
      <c r="P1098" s="1" t="str">
        <f>IFERROR(IF(tbl_Historique_Final[[#This Row],[Commentaires]]&lt;&gt;"",tbl_Historique_Final[[#This Row],[Commentaires]],""),"")</f>
        <v/>
      </c>
      <c r="X1098" s="8" t="str">
        <f>IF(Final_Sans_VGE[[#This Row],[ppn_z]]="","",IFERROR(
   IF(_xlfn.XLOOKUP(Final_Sans_VGE[[#This Row],[ppn_z]],tbl_Historique_Final[ppn_z],tbl_Historique_Final[date_modif])=Final_Sans_VGE[[#This Row],[date_modif]],
      "Ancien",
      "Modifié"),
   "Nouveau"))</f>
        <v>Ancien</v>
      </c>
      <c r="AC1098"/>
      <c r="AD1098"/>
    </row>
    <row r="1099" spans="1:30" x14ac:dyDescent="0.25">
      <c r="A1099" s="5" t="s">
        <v>3461</v>
      </c>
      <c r="B1099" s="1" t="s">
        <v>8499</v>
      </c>
      <c r="C1099" s="1" t="s">
        <v>34</v>
      </c>
      <c r="D1099" s="1" t="s">
        <v>8500</v>
      </c>
      <c r="E1099" s="1" t="s">
        <v>6386</v>
      </c>
      <c r="F1099" s="1" t="s">
        <v>14</v>
      </c>
      <c r="H1099" s="1" t="s">
        <v>22</v>
      </c>
      <c r="I1099" s="1" t="s">
        <v>22</v>
      </c>
      <c r="J1099" s="3">
        <v>46057.471018518518</v>
      </c>
      <c r="K1099" s="2" t="s">
        <v>8501</v>
      </c>
      <c r="L1099" s="1">
        <v>23</v>
      </c>
      <c r="M1099" s="1">
        <v>23</v>
      </c>
      <c r="N1099">
        <v>0</v>
      </c>
      <c r="O1099" s="3">
        <f>IF(
    R1099="Ancien",
    _xlfn.XLOOKUP(
        Final_Sans_VGE[[#This Row],[ppn_z]],
        tbl_Historique_Final[ppn_z],
        tbl_Historique_Final[Horodatage],
        ""
    ),
    Horodatage!$A$2
)</f>
        <v>46233.670796365739</v>
      </c>
      <c r="P1099" s="1" t="str">
        <f>IFERROR(IF(tbl_Historique_Final[[#This Row],[Commentaires]]&lt;&gt;"",tbl_Historique_Final[[#This Row],[Commentaires]],""),"")</f>
        <v/>
      </c>
      <c r="X1099" s="8" t="str">
        <f>IF(Final_Sans_VGE[[#This Row],[ppn_z]]="","",IFERROR(
   IF(_xlfn.XLOOKUP(Final_Sans_VGE[[#This Row],[ppn_z]],tbl_Historique_Final[ppn_z],tbl_Historique_Final[date_modif])=Final_Sans_VGE[[#This Row],[date_modif]],
      "Ancien",
      "Modifié"),
   "Nouveau"))</f>
        <v>Ancien</v>
      </c>
      <c r="AC1099"/>
      <c r="AD1099"/>
    </row>
    <row r="1100" spans="1:30" x14ac:dyDescent="0.25">
      <c r="A1100" s="5" t="s">
        <v>3464</v>
      </c>
      <c r="B1100" s="1" t="s">
        <v>8502</v>
      </c>
      <c r="C1100" s="1" t="s">
        <v>40</v>
      </c>
      <c r="G1100" s="1" t="s">
        <v>10</v>
      </c>
      <c r="J1100" s="3">
        <v>45966.511655092596</v>
      </c>
      <c r="K1100" s="2" t="s">
        <v>8503</v>
      </c>
      <c r="L1100" s="1">
        <v>1</v>
      </c>
      <c r="M1100" s="1">
        <v>1</v>
      </c>
      <c r="N1100">
        <v>0</v>
      </c>
      <c r="O1100" s="3">
        <f>IF(
    R1100="Ancien",
    _xlfn.XLOOKUP(
        Final_Sans_VGE[[#This Row],[ppn_z]],
        tbl_Historique_Final[ppn_z],
        tbl_Historique_Final[Horodatage],
        ""
    ),
    Horodatage!$A$2
)</f>
        <v>46233.670796365739</v>
      </c>
      <c r="P1100" s="1" t="str">
        <f>IFERROR(IF(tbl_Historique_Final[[#This Row],[Commentaires]]&lt;&gt;"",tbl_Historique_Final[[#This Row],[Commentaires]],""),"")</f>
        <v/>
      </c>
      <c r="X1100" s="8" t="str">
        <f>IF(Final_Sans_VGE[[#This Row],[ppn_z]]="","",IFERROR(
   IF(_xlfn.XLOOKUP(Final_Sans_VGE[[#This Row],[ppn_z]],tbl_Historique_Final[ppn_z],tbl_Historique_Final[date_modif])=Final_Sans_VGE[[#This Row],[date_modif]],
      "Ancien",
      "Modifié"),
   "Nouveau"))</f>
        <v>Ancien</v>
      </c>
      <c r="AC1100"/>
      <c r="AD1100"/>
    </row>
    <row r="1101" spans="1:30" ht="75" x14ac:dyDescent="0.25">
      <c r="A1101" s="5" t="s">
        <v>3467</v>
      </c>
      <c r="B1101" s="1" t="s">
        <v>8504</v>
      </c>
      <c r="C1101" s="1" t="s">
        <v>8413</v>
      </c>
      <c r="J1101" s="3">
        <v>46056.71292824074</v>
      </c>
      <c r="K1101" s="2" t="s">
        <v>8505</v>
      </c>
      <c r="L1101" s="1">
        <v>21</v>
      </c>
      <c r="M1101" s="1">
        <v>31</v>
      </c>
      <c r="N1101">
        <v>10</v>
      </c>
      <c r="O1101" s="3">
        <f>IF(
    R1101="Ancien",
    _xlfn.XLOOKUP(
        Final_Sans_VGE[[#This Row],[ppn_z]],
        tbl_Historique_Final[ppn_z],
        tbl_Historique_Final[Horodatage],
        ""
    ),
    Horodatage!$A$2
)</f>
        <v>46233.670796365739</v>
      </c>
      <c r="P1101" s="1" t="str">
        <f>IFERROR(IF(tbl_Historique_Final[[#This Row],[Commentaires]]&lt;&gt;"",tbl_Historique_Final[[#This Row],[Commentaires]],""),"")</f>
        <v/>
      </c>
      <c r="X1101" s="8" t="str">
        <f>IF(Final_Sans_VGE[[#This Row],[ppn_z]]="","",IFERROR(
   IF(_xlfn.XLOOKUP(Final_Sans_VGE[[#This Row],[ppn_z]],tbl_Historique_Final[ppn_z],tbl_Historique_Final[date_modif])=Final_Sans_VGE[[#This Row],[date_modif]],
      "Ancien",
      "Modifié"),
   "Nouveau"))</f>
        <v>Ancien</v>
      </c>
      <c r="AC1101"/>
      <c r="AD1101"/>
    </row>
    <row r="1102" spans="1:30" x14ac:dyDescent="0.25">
      <c r="A1102" s="5" t="s">
        <v>3470</v>
      </c>
      <c r="B1102" s="1" t="s">
        <v>8506</v>
      </c>
      <c r="C1102" s="1" t="s">
        <v>52</v>
      </c>
      <c r="G1102" s="1" t="s">
        <v>11</v>
      </c>
      <c r="J1102" s="3">
        <v>45972.471087962964</v>
      </c>
      <c r="K1102" s="2" t="s">
        <v>7523</v>
      </c>
      <c r="L1102" s="1">
        <v>1</v>
      </c>
      <c r="M1102" s="1">
        <v>1</v>
      </c>
      <c r="N1102">
        <v>0</v>
      </c>
      <c r="O1102" s="3">
        <f>IF(
    R1102="Ancien",
    _xlfn.XLOOKUP(
        Final_Sans_VGE[[#This Row],[ppn_z]],
        tbl_Historique_Final[ppn_z],
        tbl_Historique_Final[Horodatage],
        ""
    ),
    Horodatage!$A$2
)</f>
        <v>46233.670796365739</v>
      </c>
      <c r="P1102" s="1" t="str">
        <f>IFERROR(IF(tbl_Historique_Final[[#This Row],[Commentaires]]&lt;&gt;"",tbl_Historique_Final[[#This Row],[Commentaires]],""),"")</f>
        <v/>
      </c>
      <c r="X1102" s="8" t="str">
        <f>IF(Final_Sans_VGE[[#This Row],[ppn_z]]="","",IFERROR(
   IF(_xlfn.XLOOKUP(Final_Sans_VGE[[#This Row],[ppn_z]],tbl_Historique_Final[ppn_z],tbl_Historique_Final[date_modif])=Final_Sans_VGE[[#This Row],[date_modif]],
      "Ancien",
      "Modifié"),
   "Nouveau"))</f>
        <v>Ancien</v>
      </c>
      <c r="AC1102"/>
      <c r="AD1102"/>
    </row>
    <row r="1103" spans="1:30" ht="30" x14ac:dyDescent="0.25">
      <c r="A1103" s="5" t="s">
        <v>3473</v>
      </c>
      <c r="B1103" s="1" t="s">
        <v>8507</v>
      </c>
      <c r="C1103" s="1" t="s">
        <v>12</v>
      </c>
      <c r="G1103" s="1" t="s">
        <v>11</v>
      </c>
      <c r="J1103" s="3">
        <v>45987.594317129631</v>
      </c>
      <c r="K1103" s="2" t="s">
        <v>8508</v>
      </c>
      <c r="L1103" s="1">
        <v>1</v>
      </c>
      <c r="M1103" s="1">
        <v>1</v>
      </c>
      <c r="N1103">
        <v>0</v>
      </c>
      <c r="O1103" s="3">
        <f>IF(
    R1103="Ancien",
    _xlfn.XLOOKUP(
        Final_Sans_VGE[[#This Row],[ppn_z]],
        tbl_Historique_Final[ppn_z],
        tbl_Historique_Final[Horodatage],
        ""
    ),
    Horodatage!$A$2
)</f>
        <v>46233.670796365739</v>
      </c>
      <c r="P1103" s="1" t="str">
        <f>IFERROR(IF(tbl_Historique_Final[[#This Row],[Commentaires]]&lt;&gt;"",tbl_Historique_Final[[#This Row],[Commentaires]],""),"")</f>
        <v/>
      </c>
      <c r="X1103" s="8" t="str">
        <f>IF(Final_Sans_VGE[[#This Row],[ppn_z]]="","",IFERROR(
   IF(_xlfn.XLOOKUP(Final_Sans_VGE[[#This Row],[ppn_z]],tbl_Historique_Final[ppn_z],tbl_Historique_Final[date_modif])=Final_Sans_VGE[[#This Row],[date_modif]],
      "Ancien",
      "Modifié"),
   "Nouveau"))</f>
        <v>Ancien</v>
      </c>
      <c r="AC1103"/>
      <c r="AD1103"/>
    </row>
    <row r="1104" spans="1:30" x14ac:dyDescent="0.25">
      <c r="A1104" s="5" t="s">
        <v>3476</v>
      </c>
      <c r="B1104" s="1" t="s">
        <v>8509</v>
      </c>
      <c r="C1104" s="1" t="s">
        <v>12</v>
      </c>
      <c r="G1104" s="1" t="s">
        <v>11</v>
      </c>
      <c r="J1104" s="3">
        <v>45972.639722222222</v>
      </c>
      <c r="K1104" s="2" t="s">
        <v>8510</v>
      </c>
      <c r="L1104" s="1">
        <v>2</v>
      </c>
      <c r="M1104" s="1">
        <v>2</v>
      </c>
      <c r="N1104">
        <v>0</v>
      </c>
      <c r="O1104" s="3">
        <f>IF(
    R1104="Ancien",
    _xlfn.XLOOKUP(
        Final_Sans_VGE[[#This Row],[ppn_z]],
        tbl_Historique_Final[ppn_z],
        tbl_Historique_Final[Horodatage],
        ""
    ),
    Horodatage!$A$2
)</f>
        <v>46233.670796365739</v>
      </c>
      <c r="P1104" s="1" t="str">
        <f>IFERROR(IF(tbl_Historique_Final[[#This Row],[Commentaires]]&lt;&gt;"",tbl_Historique_Final[[#This Row],[Commentaires]],""),"")</f>
        <v/>
      </c>
      <c r="X1104" s="8" t="str">
        <f>IF(Final_Sans_VGE[[#This Row],[ppn_z]]="","",IFERROR(
   IF(_xlfn.XLOOKUP(Final_Sans_VGE[[#This Row],[ppn_z]],tbl_Historique_Final[ppn_z],tbl_Historique_Final[date_modif])=Final_Sans_VGE[[#This Row],[date_modif]],
      "Ancien",
      "Modifié"),
   "Nouveau"))</f>
        <v>Ancien</v>
      </c>
      <c r="AC1104"/>
      <c r="AD1104"/>
    </row>
    <row r="1105" spans="1:30" x14ac:dyDescent="0.25">
      <c r="A1105" s="5" t="s">
        <v>3479</v>
      </c>
      <c r="B1105" s="1" t="s">
        <v>8511</v>
      </c>
      <c r="C1105" s="1" t="s">
        <v>159</v>
      </c>
      <c r="G1105" s="1" t="s">
        <v>11</v>
      </c>
      <c r="J1105" s="3">
        <v>45989.400636574072</v>
      </c>
      <c r="K1105" s="2" t="s">
        <v>8512</v>
      </c>
      <c r="L1105" s="1">
        <v>9</v>
      </c>
      <c r="M1105" s="1">
        <v>9</v>
      </c>
      <c r="N1105">
        <v>0</v>
      </c>
      <c r="O1105" s="3">
        <f>IF(
    R1105="Ancien",
    _xlfn.XLOOKUP(
        Final_Sans_VGE[[#This Row],[ppn_z]],
        tbl_Historique_Final[ppn_z],
        tbl_Historique_Final[Horodatage],
        ""
    ),
    Horodatage!$A$2
)</f>
        <v>46233.670796365739</v>
      </c>
      <c r="P1105" s="1" t="str">
        <f>IFERROR(IF(tbl_Historique_Final[[#This Row],[Commentaires]]&lt;&gt;"",tbl_Historique_Final[[#This Row],[Commentaires]],""),"")</f>
        <v/>
      </c>
      <c r="X1105" s="8" t="str">
        <f>IF(Final_Sans_VGE[[#This Row],[ppn_z]]="","",IFERROR(
   IF(_xlfn.XLOOKUP(Final_Sans_VGE[[#This Row],[ppn_z]],tbl_Historique_Final[ppn_z],tbl_Historique_Final[date_modif])=Final_Sans_VGE[[#This Row],[date_modif]],
      "Ancien",
      "Modifié"),
   "Nouveau"))</f>
        <v>Ancien</v>
      </c>
      <c r="AC1105"/>
      <c r="AD1105"/>
    </row>
    <row r="1106" spans="1:30" x14ac:dyDescent="0.25">
      <c r="A1106" s="5" t="s">
        <v>3482</v>
      </c>
      <c r="B1106" s="1" t="s">
        <v>8513</v>
      </c>
      <c r="C1106" s="1" t="s">
        <v>46</v>
      </c>
      <c r="G1106" s="1" t="s">
        <v>10</v>
      </c>
      <c r="H1106" s="1" t="s">
        <v>22</v>
      </c>
      <c r="I1106" s="1" t="s">
        <v>22</v>
      </c>
      <c r="J1106" s="3">
        <v>45980.7815162037</v>
      </c>
      <c r="K1106" s="2" t="s">
        <v>8350</v>
      </c>
      <c r="L1106" s="1">
        <v>1</v>
      </c>
      <c r="M1106" s="1">
        <v>19</v>
      </c>
      <c r="N1106">
        <v>18</v>
      </c>
      <c r="O1106" s="3">
        <f>IF(
    R1106="Ancien",
    _xlfn.XLOOKUP(
        Final_Sans_VGE[[#This Row],[ppn_z]],
        tbl_Historique_Final[ppn_z],
        tbl_Historique_Final[Horodatage],
        ""
    ),
    Horodatage!$A$2
)</f>
        <v>46233.670796365739</v>
      </c>
      <c r="P1106" s="1" t="str">
        <f>IFERROR(IF(tbl_Historique_Final[[#This Row],[Commentaires]]&lt;&gt;"",tbl_Historique_Final[[#This Row],[Commentaires]],""),"")</f>
        <v/>
      </c>
      <c r="X1106" s="8" t="str">
        <f>IF(Final_Sans_VGE[[#This Row],[ppn_z]]="","",IFERROR(
   IF(_xlfn.XLOOKUP(Final_Sans_VGE[[#This Row],[ppn_z]],tbl_Historique_Final[ppn_z],tbl_Historique_Final[date_modif])=Final_Sans_VGE[[#This Row],[date_modif]],
      "Ancien",
      "Modifié"),
   "Nouveau"))</f>
        <v>Ancien</v>
      </c>
      <c r="AC1106"/>
      <c r="AD1106"/>
    </row>
    <row r="1107" spans="1:30" ht="30" x14ac:dyDescent="0.25">
      <c r="A1107" s="5" t="s">
        <v>3485</v>
      </c>
      <c r="B1107" s="1" t="s">
        <v>8514</v>
      </c>
      <c r="G1107" s="1" t="s">
        <v>10</v>
      </c>
      <c r="J1107" s="3">
        <v>45995.415752314817</v>
      </c>
      <c r="K1107" s="2" t="s">
        <v>8515</v>
      </c>
      <c r="L1107" s="1">
        <v>1</v>
      </c>
      <c r="M1107" s="1">
        <v>1</v>
      </c>
      <c r="N1107">
        <v>0</v>
      </c>
      <c r="O1107" s="3">
        <f>IF(
    R1107="Ancien",
    _xlfn.XLOOKUP(
        Final_Sans_VGE[[#This Row],[ppn_z]],
        tbl_Historique_Final[ppn_z],
        tbl_Historique_Final[Horodatage],
        ""
    ),
    Horodatage!$A$2
)</f>
        <v>46233.670796365739</v>
      </c>
      <c r="P1107" s="1" t="str">
        <f>IFERROR(IF(tbl_Historique_Final[[#This Row],[Commentaires]]&lt;&gt;"",tbl_Historique_Final[[#This Row],[Commentaires]],""),"")</f>
        <v/>
      </c>
      <c r="X1107" s="8" t="str">
        <f>IF(Final_Sans_VGE[[#This Row],[ppn_z]]="","",IFERROR(
   IF(_xlfn.XLOOKUP(Final_Sans_VGE[[#This Row],[ppn_z]],tbl_Historique_Final[ppn_z],tbl_Historique_Final[date_modif])=Final_Sans_VGE[[#This Row],[date_modif]],
      "Ancien",
      "Modifié"),
   "Nouveau"))</f>
        <v>Ancien</v>
      </c>
      <c r="AC1107"/>
      <c r="AD1107"/>
    </row>
    <row r="1108" spans="1:30" x14ac:dyDescent="0.25">
      <c r="A1108" s="5" t="s">
        <v>3488</v>
      </c>
      <c r="B1108" s="1" t="s">
        <v>8516</v>
      </c>
      <c r="C1108" s="1" t="s">
        <v>6367</v>
      </c>
      <c r="E1108" s="1" t="s">
        <v>78</v>
      </c>
      <c r="G1108" s="1" t="s">
        <v>10</v>
      </c>
      <c r="J1108" s="3">
        <v>46055.659097222226</v>
      </c>
      <c r="K1108" s="2" t="s">
        <v>8517</v>
      </c>
      <c r="L1108" s="1">
        <v>37</v>
      </c>
      <c r="M1108" s="1">
        <v>46</v>
      </c>
      <c r="N1108">
        <v>9</v>
      </c>
      <c r="O1108" s="3">
        <f>IF(
    R1108="Ancien",
    _xlfn.XLOOKUP(
        Final_Sans_VGE[[#This Row],[ppn_z]],
        tbl_Historique_Final[ppn_z],
        tbl_Historique_Final[Horodatage],
        ""
    ),
    Horodatage!$A$2
)</f>
        <v>46233.670796365739</v>
      </c>
      <c r="P1108" s="1" t="str">
        <f>IFERROR(IF(tbl_Historique_Final[[#This Row],[Commentaires]]&lt;&gt;"",tbl_Historique_Final[[#This Row],[Commentaires]],""),"")</f>
        <v/>
      </c>
      <c r="X1108" s="8" t="str">
        <f>IF(Final_Sans_VGE[[#This Row],[ppn_z]]="","",IFERROR(
   IF(_xlfn.XLOOKUP(Final_Sans_VGE[[#This Row],[ppn_z]],tbl_Historique_Final[ppn_z],tbl_Historique_Final[date_modif])=Final_Sans_VGE[[#This Row],[date_modif]],
      "Ancien",
      "Modifié"),
   "Nouveau"))</f>
        <v>Ancien</v>
      </c>
      <c r="AC1108"/>
      <c r="AD1108"/>
    </row>
    <row r="1109" spans="1:30" x14ac:dyDescent="0.25">
      <c r="A1109" s="5" t="s">
        <v>3491</v>
      </c>
      <c r="B1109" s="1" t="s">
        <v>8518</v>
      </c>
      <c r="C1109" s="1" t="s">
        <v>12</v>
      </c>
      <c r="G1109" s="1" t="s">
        <v>11</v>
      </c>
      <c r="J1109" s="3">
        <v>45995.423645833333</v>
      </c>
      <c r="K1109" s="2" t="s">
        <v>8519</v>
      </c>
      <c r="L1109" s="1">
        <v>2</v>
      </c>
      <c r="M1109" s="1">
        <v>2</v>
      </c>
      <c r="N1109">
        <v>0</v>
      </c>
      <c r="O1109" s="3">
        <f>IF(
    R1109="Ancien",
    _xlfn.XLOOKUP(
        Final_Sans_VGE[[#This Row],[ppn_z]],
        tbl_Historique_Final[ppn_z],
        tbl_Historique_Final[Horodatage],
        ""
    ),
    Horodatage!$A$2
)</f>
        <v>46233.670796365739</v>
      </c>
      <c r="P1109" s="1" t="str">
        <f>IFERROR(IF(tbl_Historique_Final[[#This Row],[Commentaires]]&lt;&gt;"",tbl_Historique_Final[[#This Row],[Commentaires]],""),"")</f>
        <v/>
      </c>
      <c r="X1109" s="8" t="str">
        <f>IF(Final_Sans_VGE[[#This Row],[ppn_z]]="","",IFERROR(
   IF(_xlfn.XLOOKUP(Final_Sans_VGE[[#This Row],[ppn_z]],tbl_Historique_Final[ppn_z],tbl_Historique_Final[date_modif])=Final_Sans_VGE[[#This Row],[date_modif]],
      "Ancien",
      "Modifié"),
   "Nouveau"))</f>
        <v>Ancien</v>
      </c>
      <c r="AC1109"/>
      <c r="AD1109"/>
    </row>
    <row r="1110" spans="1:30" ht="30" x14ac:dyDescent="0.25">
      <c r="A1110" s="5" t="s">
        <v>3494</v>
      </c>
      <c r="B1110" s="1" t="s">
        <v>8520</v>
      </c>
      <c r="C1110" s="1" t="s">
        <v>12</v>
      </c>
      <c r="G1110" s="1" t="s">
        <v>10</v>
      </c>
      <c r="J1110" s="3">
        <v>45986.683182870373</v>
      </c>
      <c r="K1110" s="2" t="s">
        <v>8521</v>
      </c>
      <c r="L1110" s="1">
        <v>8</v>
      </c>
      <c r="M1110" s="1">
        <v>10</v>
      </c>
      <c r="N1110">
        <v>2</v>
      </c>
      <c r="O1110" s="3">
        <f>IF(
    R1110="Ancien",
    _xlfn.XLOOKUP(
        Final_Sans_VGE[[#This Row],[ppn_z]],
        tbl_Historique_Final[ppn_z],
        tbl_Historique_Final[Horodatage],
        ""
    ),
    Horodatage!$A$2
)</f>
        <v>46233.670796365739</v>
      </c>
      <c r="P1110" s="1" t="str">
        <f>IFERROR(IF(tbl_Historique_Final[[#This Row],[Commentaires]]&lt;&gt;"",tbl_Historique_Final[[#This Row],[Commentaires]],""),"")</f>
        <v/>
      </c>
      <c r="X1110" s="8" t="str">
        <f>IF(Final_Sans_VGE[[#This Row],[ppn_z]]="","",IFERROR(
   IF(_xlfn.XLOOKUP(Final_Sans_VGE[[#This Row],[ppn_z]],tbl_Historique_Final[ppn_z],tbl_Historique_Final[date_modif])=Final_Sans_VGE[[#This Row],[date_modif]],
      "Ancien",
      "Modifié"),
   "Nouveau"))</f>
        <v>Ancien</v>
      </c>
      <c r="AC1110"/>
      <c r="AD1110"/>
    </row>
    <row r="1111" spans="1:30" x14ac:dyDescent="0.25">
      <c r="A1111" s="5" t="s">
        <v>3497</v>
      </c>
      <c r="B1111" s="1" t="s">
        <v>8522</v>
      </c>
      <c r="C1111" s="1" t="s">
        <v>6779</v>
      </c>
      <c r="D1111" s="1" t="s">
        <v>8523</v>
      </c>
      <c r="E1111" s="1" t="s">
        <v>55</v>
      </c>
      <c r="F1111" s="1" t="s">
        <v>14</v>
      </c>
      <c r="H1111" s="1" t="s">
        <v>22</v>
      </c>
      <c r="I1111" s="1" t="s">
        <v>22</v>
      </c>
      <c r="J1111" s="3">
        <v>46057.488425925927</v>
      </c>
      <c r="K1111" s="2" t="s">
        <v>8524</v>
      </c>
      <c r="L1111" s="1">
        <v>34</v>
      </c>
      <c r="M1111" s="1">
        <v>35</v>
      </c>
      <c r="N1111">
        <v>1</v>
      </c>
      <c r="O1111" s="3">
        <f>IF(
    R1111="Ancien",
    _xlfn.XLOOKUP(
        Final_Sans_VGE[[#This Row],[ppn_z]],
        tbl_Historique_Final[ppn_z],
        tbl_Historique_Final[Horodatage],
        ""
    ),
    Horodatage!$A$2
)</f>
        <v>46233.670796365739</v>
      </c>
      <c r="P1111" s="1" t="str">
        <f>IFERROR(IF(tbl_Historique_Final[[#This Row],[Commentaires]]&lt;&gt;"",tbl_Historique_Final[[#This Row],[Commentaires]],""),"")</f>
        <v/>
      </c>
      <c r="X1111" s="8" t="str">
        <f>IF(Final_Sans_VGE[[#This Row],[ppn_z]]="","",IFERROR(
   IF(_xlfn.XLOOKUP(Final_Sans_VGE[[#This Row],[ppn_z]],tbl_Historique_Final[ppn_z],tbl_Historique_Final[date_modif])=Final_Sans_VGE[[#This Row],[date_modif]],
      "Ancien",
      "Modifié"),
   "Nouveau"))</f>
        <v>Ancien</v>
      </c>
      <c r="AC1111"/>
      <c r="AD1111"/>
    </row>
    <row r="1112" spans="1:30" x14ac:dyDescent="0.25">
      <c r="A1112" s="5" t="s">
        <v>3500</v>
      </c>
      <c r="B1112" s="1" t="s">
        <v>8525</v>
      </c>
      <c r="C1112" s="1" t="s">
        <v>54</v>
      </c>
      <c r="D1112" s="1" t="s">
        <v>8526</v>
      </c>
      <c r="G1112" s="1" t="s">
        <v>10</v>
      </c>
      <c r="H1112" s="1" t="s">
        <v>8527</v>
      </c>
      <c r="I1112" s="1" t="s">
        <v>8528</v>
      </c>
      <c r="J1112" s="3">
        <v>46000.633668981478</v>
      </c>
      <c r="K1112" s="2" t="s">
        <v>8529</v>
      </c>
      <c r="L1112" s="1">
        <v>47</v>
      </c>
      <c r="M1112" s="1">
        <v>62</v>
      </c>
      <c r="N1112">
        <v>15</v>
      </c>
      <c r="O1112" s="3">
        <f>IF(
    R1112="Ancien",
    _xlfn.XLOOKUP(
        Final_Sans_VGE[[#This Row],[ppn_z]],
        tbl_Historique_Final[ppn_z],
        tbl_Historique_Final[Horodatage],
        ""
    ),
    Horodatage!$A$2
)</f>
        <v>46233.670796365739</v>
      </c>
      <c r="P1112" s="1" t="str">
        <f>IFERROR(IF(tbl_Historique_Final[[#This Row],[Commentaires]]&lt;&gt;"",tbl_Historique_Final[[#This Row],[Commentaires]],""),"")</f>
        <v/>
      </c>
      <c r="X1112" s="8" t="str">
        <f>IF(Final_Sans_VGE[[#This Row],[ppn_z]]="","",IFERROR(
   IF(_xlfn.XLOOKUP(Final_Sans_VGE[[#This Row],[ppn_z]],tbl_Historique_Final[ppn_z],tbl_Historique_Final[date_modif])=Final_Sans_VGE[[#This Row],[date_modif]],
      "Ancien",
      "Modifié"),
   "Nouveau"))</f>
        <v>Ancien</v>
      </c>
      <c r="AC1112"/>
      <c r="AD1112"/>
    </row>
    <row r="1113" spans="1:30" x14ac:dyDescent="0.25">
      <c r="A1113" s="5" t="s">
        <v>3503</v>
      </c>
      <c r="B1113" s="1" t="s">
        <v>8530</v>
      </c>
      <c r="C1113" s="1" t="s">
        <v>30</v>
      </c>
      <c r="E1113" s="1" t="s">
        <v>117</v>
      </c>
      <c r="G1113" s="1" t="s">
        <v>10</v>
      </c>
      <c r="J1113" s="3">
        <v>46055.664733796293</v>
      </c>
      <c r="K1113" s="2" t="s">
        <v>8531</v>
      </c>
      <c r="L1113" s="1">
        <v>0</v>
      </c>
      <c r="M1113" s="1">
        <v>0</v>
      </c>
      <c r="N1113">
        <v>0</v>
      </c>
      <c r="O1113" s="3">
        <f>IF(
    R1113="Ancien",
    _xlfn.XLOOKUP(
        Final_Sans_VGE[[#This Row],[ppn_z]],
        tbl_Historique_Final[ppn_z],
        tbl_Historique_Final[Horodatage],
        ""
    ),
    Horodatage!$A$2
)</f>
        <v>46233.670796365739</v>
      </c>
      <c r="P1113" s="1" t="str">
        <f>IFERROR(IF(tbl_Historique_Final[[#This Row],[Commentaires]]&lt;&gt;"",tbl_Historique_Final[[#This Row],[Commentaires]],""),"")</f>
        <v/>
      </c>
      <c r="X1113" s="8" t="str">
        <f>IF(Final_Sans_VGE[[#This Row],[ppn_z]]="","",IFERROR(
   IF(_xlfn.XLOOKUP(Final_Sans_VGE[[#This Row],[ppn_z]],tbl_Historique_Final[ppn_z],tbl_Historique_Final[date_modif])=Final_Sans_VGE[[#This Row],[date_modif]],
      "Ancien",
      "Modifié"),
   "Nouveau"))</f>
        <v>Ancien</v>
      </c>
      <c r="AC1113"/>
      <c r="AD1113"/>
    </row>
    <row r="1114" spans="1:30" x14ac:dyDescent="0.25">
      <c r="A1114" s="5" t="s">
        <v>3506</v>
      </c>
      <c r="B1114" s="1" t="s">
        <v>8532</v>
      </c>
      <c r="C1114" s="1" t="s">
        <v>12</v>
      </c>
      <c r="G1114" s="1" t="s">
        <v>11</v>
      </c>
      <c r="J1114" s="3">
        <v>46043.620879629627</v>
      </c>
      <c r="K1114" s="2" t="s">
        <v>8533</v>
      </c>
      <c r="L1114" s="1">
        <v>1</v>
      </c>
      <c r="M1114" s="1">
        <v>1</v>
      </c>
      <c r="N1114">
        <v>0</v>
      </c>
      <c r="O1114" s="3">
        <f>IF(
    R1114="Ancien",
    _xlfn.XLOOKUP(
        Final_Sans_VGE[[#This Row],[ppn_z]],
        tbl_Historique_Final[ppn_z],
        tbl_Historique_Final[Horodatage],
        ""
    ),
    Horodatage!$A$2
)</f>
        <v>46233.670796365739</v>
      </c>
      <c r="P1114" s="1" t="str">
        <f>IFERROR(IF(tbl_Historique_Final[[#This Row],[Commentaires]]&lt;&gt;"",tbl_Historique_Final[[#This Row],[Commentaires]],""),"")</f>
        <v/>
      </c>
      <c r="X1114" s="8" t="str">
        <f>IF(Final_Sans_VGE[[#This Row],[ppn_z]]="","",IFERROR(
   IF(_xlfn.XLOOKUP(Final_Sans_VGE[[#This Row],[ppn_z]],tbl_Historique_Final[ppn_z],tbl_Historique_Final[date_modif])=Final_Sans_VGE[[#This Row],[date_modif]],
      "Ancien",
      "Modifié"),
   "Nouveau"))</f>
        <v>Ancien</v>
      </c>
      <c r="AC1114"/>
      <c r="AD1114"/>
    </row>
    <row r="1115" spans="1:30" x14ac:dyDescent="0.25">
      <c r="A1115" s="5" t="s">
        <v>3509</v>
      </c>
      <c r="B1115" s="1" t="s">
        <v>8534</v>
      </c>
      <c r="C1115" s="1" t="s">
        <v>152</v>
      </c>
      <c r="J1115" s="3">
        <v>45961.559490740743</v>
      </c>
      <c r="K1115" s="2" t="s">
        <v>8263</v>
      </c>
      <c r="L1115" s="1">
        <v>2</v>
      </c>
      <c r="M1115" s="1">
        <v>2</v>
      </c>
      <c r="N1115">
        <v>0</v>
      </c>
      <c r="O1115" s="3">
        <f>IF(
    R1115="Ancien",
    _xlfn.XLOOKUP(
        Final_Sans_VGE[[#This Row],[ppn_z]],
        tbl_Historique_Final[ppn_z],
        tbl_Historique_Final[Horodatage],
        ""
    ),
    Horodatage!$A$2
)</f>
        <v>46233.670796365739</v>
      </c>
      <c r="P1115" s="1" t="str">
        <f>IFERROR(IF(tbl_Historique_Final[[#This Row],[Commentaires]]&lt;&gt;"",tbl_Historique_Final[[#This Row],[Commentaires]],""),"")</f>
        <v/>
      </c>
      <c r="X1115" s="8" t="str">
        <f>IF(Final_Sans_VGE[[#This Row],[ppn_z]]="","",IFERROR(
   IF(_xlfn.XLOOKUP(Final_Sans_VGE[[#This Row],[ppn_z]],tbl_Historique_Final[ppn_z],tbl_Historique_Final[date_modif])=Final_Sans_VGE[[#This Row],[date_modif]],
      "Ancien",
      "Modifié"),
   "Nouveau"))</f>
        <v>Ancien</v>
      </c>
      <c r="AC1115"/>
      <c r="AD1115"/>
    </row>
    <row r="1116" spans="1:30" x14ac:dyDescent="0.25">
      <c r="A1116" s="5" t="s">
        <v>3512</v>
      </c>
      <c r="B1116" s="1" t="s">
        <v>8535</v>
      </c>
      <c r="C1116" s="1" t="s">
        <v>12</v>
      </c>
      <c r="G1116" s="1" t="s">
        <v>11</v>
      </c>
      <c r="J1116" s="3">
        <v>45987.583657407406</v>
      </c>
      <c r="K1116" s="2" t="s">
        <v>8536</v>
      </c>
      <c r="L1116" s="1">
        <v>1</v>
      </c>
      <c r="M1116" s="1">
        <v>1</v>
      </c>
      <c r="N1116">
        <v>0</v>
      </c>
      <c r="O1116" s="3">
        <f>IF(
    R1116="Ancien",
    _xlfn.XLOOKUP(
        Final_Sans_VGE[[#This Row],[ppn_z]],
        tbl_Historique_Final[ppn_z],
        tbl_Historique_Final[Horodatage],
        ""
    ),
    Horodatage!$A$2
)</f>
        <v>46233.670796365739</v>
      </c>
      <c r="P1116" s="1" t="str">
        <f>IFERROR(IF(tbl_Historique_Final[[#This Row],[Commentaires]]&lt;&gt;"",tbl_Historique_Final[[#This Row],[Commentaires]],""),"")</f>
        <v/>
      </c>
      <c r="X1116" s="8" t="str">
        <f>IF(Final_Sans_VGE[[#This Row],[ppn_z]]="","",IFERROR(
   IF(_xlfn.XLOOKUP(Final_Sans_VGE[[#This Row],[ppn_z]],tbl_Historique_Final[ppn_z],tbl_Historique_Final[date_modif])=Final_Sans_VGE[[#This Row],[date_modif]],
      "Ancien",
      "Modifié"),
   "Nouveau"))</f>
        <v>Ancien</v>
      </c>
      <c r="AC1116"/>
      <c r="AD1116"/>
    </row>
    <row r="1117" spans="1:30" ht="30" x14ac:dyDescent="0.25">
      <c r="A1117" s="5" t="s">
        <v>3515</v>
      </c>
      <c r="B1117" s="1" t="s">
        <v>8537</v>
      </c>
      <c r="C1117" s="1" t="s">
        <v>86</v>
      </c>
      <c r="H1117" s="1" t="s">
        <v>22</v>
      </c>
      <c r="I1117" s="1" t="s">
        <v>8538</v>
      </c>
      <c r="J1117" s="3">
        <v>45962.79109953704</v>
      </c>
      <c r="K1117" s="2" t="s">
        <v>8539</v>
      </c>
      <c r="L1117" s="1">
        <v>26</v>
      </c>
      <c r="M1117" s="1">
        <v>119</v>
      </c>
      <c r="N1117">
        <v>93</v>
      </c>
      <c r="O1117" s="3">
        <f>IF(
    R1117="Ancien",
    _xlfn.XLOOKUP(
        Final_Sans_VGE[[#This Row],[ppn_z]],
        tbl_Historique_Final[ppn_z],
        tbl_Historique_Final[Horodatage],
        ""
    ),
    Horodatage!$A$2
)</f>
        <v>46233.670796365739</v>
      </c>
      <c r="P1117" s="1" t="str">
        <f>IFERROR(IF(tbl_Historique_Final[[#This Row],[Commentaires]]&lt;&gt;"",tbl_Historique_Final[[#This Row],[Commentaires]],""),"")</f>
        <v/>
      </c>
      <c r="X1117" s="8" t="str">
        <f>IF(Final_Sans_VGE[[#This Row],[ppn_z]]="","",IFERROR(
   IF(_xlfn.XLOOKUP(Final_Sans_VGE[[#This Row],[ppn_z]],tbl_Historique_Final[ppn_z],tbl_Historique_Final[date_modif])=Final_Sans_VGE[[#This Row],[date_modif]],
      "Ancien",
      "Modifié"),
   "Nouveau"))</f>
        <v>Ancien</v>
      </c>
      <c r="AC1117"/>
      <c r="AD1117"/>
    </row>
    <row r="1118" spans="1:30" x14ac:dyDescent="0.25">
      <c r="A1118" s="5" t="s">
        <v>3518</v>
      </c>
      <c r="B1118" s="1" t="s">
        <v>8540</v>
      </c>
      <c r="C1118" s="1" t="s">
        <v>12</v>
      </c>
      <c r="G1118" s="1" t="s">
        <v>10</v>
      </c>
      <c r="J1118" s="3">
        <v>45987.58520833333</v>
      </c>
      <c r="K1118" s="2" t="s">
        <v>8541</v>
      </c>
      <c r="L1118" s="1">
        <v>1</v>
      </c>
      <c r="M1118" s="1">
        <v>1</v>
      </c>
      <c r="N1118">
        <v>0</v>
      </c>
      <c r="O1118" s="3">
        <f>IF(
    R1118="Ancien",
    _xlfn.XLOOKUP(
        Final_Sans_VGE[[#This Row],[ppn_z]],
        tbl_Historique_Final[ppn_z],
        tbl_Historique_Final[Horodatage],
        ""
    ),
    Horodatage!$A$2
)</f>
        <v>46233.670796365739</v>
      </c>
      <c r="P1118" s="1" t="str">
        <f>IFERROR(IF(tbl_Historique_Final[[#This Row],[Commentaires]]&lt;&gt;"",tbl_Historique_Final[[#This Row],[Commentaires]],""),"")</f>
        <v/>
      </c>
      <c r="X1118" s="8" t="str">
        <f>IF(Final_Sans_VGE[[#This Row],[ppn_z]]="","",IFERROR(
   IF(_xlfn.XLOOKUP(Final_Sans_VGE[[#This Row],[ppn_z]],tbl_Historique_Final[ppn_z],tbl_Historique_Final[date_modif])=Final_Sans_VGE[[#This Row],[date_modif]],
      "Ancien",
      "Modifié"),
   "Nouveau"))</f>
        <v>Ancien</v>
      </c>
      <c r="AC1118"/>
      <c r="AD1118"/>
    </row>
    <row r="1119" spans="1:30" x14ac:dyDescent="0.25">
      <c r="A1119" s="5" t="s">
        <v>3521</v>
      </c>
      <c r="B1119" s="1" t="s">
        <v>8542</v>
      </c>
      <c r="C1119" s="1" t="s">
        <v>8543</v>
      </c>
      <c r="D1119" s="1" t="s">
        <v>14</v>
      </c>
      <c r="E1119" s="1" t="s">
        <v>145</v>
      </c>
      <c r="F1119" s="1" t="s">
        <v>14</v>
      </c>
      <c r="G1119" s="1" t="s">
        <v>10</v>
      </c>
      <c r="H1119" s="1" t="s">
        <v>22</v>
      </c>
      <c r="I1119" s="1" t="s">
        <v>22</v>
      </c>
      <c r="J1119" s="3">
        <v>46057.33630787037</v>
      </c>
      <c r="K1119" s="2" t="s">
        <v>8544</v>
      </c>
      <c r="L1119" s="1">
        <v>2</v>
      </c>
      <c r="M1119" s="1">
        <v>14</v>
      </c>
      <c r="N1119">
        <v>12</v>
      </c>
      <c r="O1119" s="3">
        <f>IF(
    R1119="Ancien",
    _xlfn.XLOOKUP(
        Final_Sans_VGE[[#This Row],[ppn_z]],
        tbl_Historique_Final[ppn_z],
        tbl_Historique_Final[Horodatage],
        ""
    ),
    Horodatage!$A$2
)</f>
        <v>46233.670796365739</v>
      </c>
      <c r="P1119" s="1" t="str">
        <f>IFERROR(IF(tbl_Historique_Final[[#This Row],[Commentaires]]&lt;&gt;"",tbl_Historique_Final[[#This Row],[Commentaires]],""),"")</f>
        <v/>
      </c>
      <c r="X1119" s="8" t="str">
        <f>IF(Final_Sans_VGE[[#This Row],[ppn_z]]="","",IFERROR(
   IF(_xlfn.XLOOKUP(Final_Sans_VGE[[#This Row],[ppn_z]],tbl_Historique_Final[ppn_z],tbl_Historique_Final[date_modif])=Final_Sans_VGE[[#This Row],[date_modif]],
      "Ancien",
      "Modifié"),
   "Nouveau"))</f>
        <v>Ancien</v>
      </c>
      <c r="AC1119"/>
      <c r="AD1119"/>
    </row>
    <row r="1120" spans="1:30" ht="45" x14ac:dyDescent="0.25">
      <c r="A1120" s="5" t="s">
        <v>3524</v>
      </c>
      <c r="B1120" s="1" t="s">
        <v>8545</v>
      </c>
      <c r="C1120" s="1" t="s">
        <v>8546</v>
      </c>
      <c r="E1120" s="1" t="s">
        <v>90</v>
      </c>
      <c r="J1120" s="3">
        <v>46051.600312499999</v>
      </c>
      <c r="K1120" s="2" t="s">
        <v>8547</v>
      </c>
      <c r="L1120" s="1">
        <v>3</v>
      </c>
      <c r="M1120" s="1">
        <v>3</v>
      </c>
      <c r="N1120">
        <v>0</v>
      </c>
      <c r="O1120" s="3">
        <f>IF(
    R1120="Ancien",
    _xlfn.XLOOKUP(
        Final_Sans_VGE[[#This Row],[ppn_z]],
        tbl_Historique_Final[ppn_z],
        tbl_Historique_Final[Horodatage],
        ""
    ),
    Horodatage!$A$2
)</f>
        <v>46233.670796365739</v>
      </c>
      <c r="P1120" s="1" t="str">
        <f>IFERROR(IF(tbl_Historique_Final[[#This Row],[Commentaires]]&lt;&gt;"",tbl_Historique_Final[[#This Row],[Commentaires]],""),"")</f>
        <v/>
      </c>
      <c r="X1120" s="8" t="str">
        <f>IF(Final_Sans_VGE[[#This Row],[ppn_z]]="","",IFERROR(
   IF(_xlfn.XLOOKUP(Final_Sans_VGE[[#This Row],[ppn_z]],tbl_Historique_Final[ppn_z],tbl_Historique_Final[date_modif])=Final_Sans_VGE[[#This Row],[date_modif]],
      "Ancien",
      "Modifié"),
   "Nouveau"))</f>
        <v>Ancien</v>
      </c>
      <c r="AC1120"/>
      <c r="AD1120"/>
    </row>
    <row r="1121" spans="1:30" x14ac:dyDescent="0.25">
      <c r="A1121" s="5" t="s">
        <v>3527</v>
      </c>
      <c r="B1121" s="1" t="s">
        <v>8548</v>
      </c>
      <c r="C1121" s="1" t="s">
        <v>112</v>
      </c>
      <c r="J1121" s="3">
        <v>45867.47587962963</v>
      </c>
      <c r="L1121" s="1">
        <v>1</v>
      </c>
      <c r="M1121" s="1">
        <v>1</v>
      </c>
      <c r="N1121">
        <v>0</v>
      </c>
      <c r="O1121" s="3">
        <f>IF(
    R1121="Ancien",
    _xlfn.XLOOKUP(
        Final_Sans_VGE[[#This Row],[ppn_z]],
        tbl_Historique_Final[ppn_z],
        tbl_Historique_Final[Horodatage],
        ""
    ),
    Horodatage!$A$2
)</f>
        <v>46233.670796365739</v>
      </c>
      <c r="P1121" s="1" t="str">
        <f>IFERROR(IF(tbl_Historique_Final[[#This Row],[Commentaires]]&lt;&gt;"",tbl_Historique_Final[[#This Row],[Commentaires]],""),"")</f>
        <v/>
      </c>
      <c r="X1121" s="8" t="str">
        <f>IF(Final_Sans_VGE[[#This Row],[ppn_z]]="","",IFERROR(
   IF(_xlfn.XLOOKUP(Final_Sans_VGE[[#This Row],[ppn_z]],tbl_Historique_Final[ppn_z],tbl_Historique_Final[date_modif])=Final_Sans_VGE[[#This Row],[date_modif]],
      "Ancien",
      "Modifié"),
   "Nouveau"))</f>
        <v>Ancien</v>
      </c>
      <c r="AC1121"/>
      <c r="AD1121"/>
    </row>
    <row r="1122" spans="1:30" x14ac:dyDescent="0.25">
      <c r="A1122" s="5" t="s">
        <v>3530</v>
      </c>
      <c r="B1122" s="1" t="s">
        <v>8549</v>
      </c>
      <c r="C1122" s="1" t="s">
        <v>136</v>
      </c>
      <c r="D1122" s="1" t="s">
        <v>6384</v>
      </c>
      <c r="E1122" s="1" t="s">
        <v>8233</v>
      </c>
      <c r="F1122" s="1" t="s">
        <v>14</v>
      </c>
      <c r="G1122" s="1" t="s">
        <v>10</v>
      </c>
      <c r="H1122" s="1" t="s">
        <v>22</v>
      </c>
      <c r="I1122" s="1" t="s">
        <v>140</v>
      </c>
      <c r="J1122" s="3">
        <v>46057.488333333335</v>
      </c>
      <c r="K1122" s="2" t="s">
        <v>8550</v>
      </c>
      <c r="L1122" s="1">
        <v>86</v>
      </c>
      <c r="M1122" s="1">
        <v>116</v>
      </c>
      <c r="N1122">
        <v>30</v>
      </c>
      <c r="O1122" s="3">
        <f>IF(
    R1122="Ancien",
    _xlfn.XLOOKUP(
        Final_Sans_VGE[[#This Row],[ppn_z]],
        tbl_Historique_Final[ppn_z],
        tbl_Historique_Final[Horodatage],
        ""
    ),
    Horodatage!$A$2
)</f>
        <v>46233.670796365739</v>
      </c>
      <c r="P1122" s="1" t="str">
        <f>IFERROR(IF(tbl_Historique_Final[[#This Row],[Commentaires]]&lt;&gt;"",tbl_Historique_Final[[#This Row],[Commentaires]],""),"")</f>
        <v/>
      </c>
      <c r="X1122" s="8" t="str">
        <f>IF(Final_Sans_VGE[[#This Row],[ppn_z]]="","",IFERROR(
   IF(_xlfn.XLOOKUP(Final_Sans_VGE[[#This Row],[ppn_z]],tbl_Historique_Final[ppn_z],tbl_Historique_Final[date_modif])=Final_Sans_VGE[[#This Row],[date_modif]],
      "Ancien",
      "Modifié"),
   "Nouveau"))</f>
        <v>Ancien</v>
      </c>
      <c r="AC1122"/>
      <c r="AD1122"/>
    </row>
    <row r="1123" spans="1:30" x14ac:dyDescent="0.25">
      <c r="A1123" s="5" t="s">
        <v>3533</v>
      </c>
      <c r="B1123" s="1" t="s">
        <v>8551</v>
      </c>
      <c r="C1123" s="1" t="s">
        <v>12</v>
      </c>
      <c r="G1123" s="1" t="s">
        <v>11</v>
      </c>
      <c r="J1123" s="3">
        <v>45988.314826388887</v>
      </c>
      <c r="K1123" s="2" t="s">
        <v>8552</v>
      </c>
      <c r="L1123" s="1">
        <v>5</v>
      </c>
      <c r="M1123" s="1">
        <v>5</v>
      </c>
      <c r="N1123">
        <v>0</v>
      </c>
      <c r="O1123" s="3">
        <f>IF(
    R1123="Ancien",
    _xlfn.XLOOKUP(
        Final_Sans_VGE[[#This Row],[ppn_z]],
        tbl_Historique_Final[ppn_z],
        tbl_Historique_Final[Horodatage],
        ""
    ),
    Horodatage!$A$2
)</f>
        <v>46233.670796365739</v>
      </c>
      <c r="P1123" s="1" t="str">
        <f>IFERROR(IF(tbl_Historique_Final[[#This Row],[Commentaires]]&lt;&gt;"",tbl_Historique_Final[[#This Row],[Commentaires]],""),"")</f>
        <v/>
      </c>
      <c r="X1123" s="8" t="str">
        <f>IF(Final_Sans_VGE[[#This Row],[ppn_z]]="","",IFERROR(
   IF(_xlfn.XLOOKUP(Final_Sans_VGE[[#This Row],[ppn_z]],tbl_Historique_Final[ppn_z],tbl_Historique_Final[date_modif])=Final_Sans_VGE[[#This Row],[date_modif]],
      "Ancien",
      "Modifié"),
   "Nouveau"))</f>
        <v>Ancien</v>
      </c>
      <c r="AC1123"/>
      <c r="AD1123"/>
    </row>
    <row r="1124" spans="1:30" x14ac:dyDescent="0.25">
      <c r="A1124" s="5" t="s">
        <v>3536</v>
      </c>
      <c r="B1124" s="1" t="s">
        <v>8553</v>
      </c>
      <c r="C1124" s="1" t="s">
        <v>51</v>
      </c>
      <c r="G1124" s="1" t="s">
        <v>10</v>
      </c>
      <c r="J1124" s="3">
        <v>45989.468310185184</v>
      </c>
      <c r="K1124" s="2" t="s">
        <v>8554</v>
      </c>
      <c r="L1124" s="1">
        <v>1</v>
      </c>
      <c r="M1124" s="1">
        <v>1</v>
      </c>
      <c r="N1124">
        <v>0</v>
      </c>
      <c r="O1124" s="3">
        <f>IF(
    R1124="Ancien",
    _xlfn.XLOOKUP(
        Final_Sans_VGE[[#This Row],[ppn_z]],
        tbl_Historique_Final[ppn_z],
        tbl_Historique_Final[Horodatage],
        ""
    ),
    Horodatage!$A$2
)</f>
        <v>46233.670796365739</v>
      </c>
      <c r="P1124" s="1" t="str">
        <f>IFERROR(IF(tbl_Historique_Final[[#This Row],[Commentaires]]&lt;&gt;"",tbl_Historique_Final[[#This Row],[Commentaires]],""),"")</f>
        <v/>
      </c>
      <c r="X1124" s="8" t="str">
        <f>IF(Final_Sans_VGE[[#This Row],[ppn_z]]="","",IFERROR(
   IF(_xlfn.XLOOKUP(Final_Sans_VGE[[#This Row],[ppn_z]],tbl_Historique_Final[ppn_z],tbl_Historique_Final[date_modif])=Final_Sans_VGE[[#This Row],[date_modif]],
      "Ancien",
      "Modifié"),
   "Nouveau"))</f>
        <v>Ancien</v>
      </c>
      <c r="AC1124"/>
      <c r="AD1124"/>
    </row>
    <row r="1125" spans="1:30" x14ac:dyDescent="0.25">
      <c r="A1125" s="5" t="s">
        <v>3539</v>
      </c>
      <c r="B1125" s="1" t="s">
        <v>8555</v>
      </c>
      <c r="C1125" s="1" t="s">
        <v>83</v>
      </c>
      <c r="J1125" s="3">
        <v>45873.382916666669</v>
      </c>
      <c r="L1125" s="1">
        <v>6</v>
      </c>
      <c r="M1125" s="1">
        <v>7</v>
      </c>
      <c r="N1125">
        <v>1</v>
      </c>
      <c r="O1125" s="3">
        <f>IF(
    R1125="Ancien",
    _xlfn.XLOOKUP(
        Final_Sans_VGE[[#This Row],[ppn_z]],
        tbl_Historique_Final[ppn_z],
        tbl_Historique_Final[Horodatage],
        ""
    ),
    Horodatage!$A$2
)</f>
        <v>46233.670796365739</v>
      </c>
      <c r="P1125" s="1" t="str">
        <f>IFERROR(IF(tbl_Historique_Final[[#This Row],[Commentaires]]&lt;&gt;"",tbl_Historique_Final[[#This Row],[Commentaires]],""),"")</f>
        <v/>
      </c>
      <c r="X1125" s="8" t="str">
        <f>IF(Final_Sans_VGE[[#This Row],[ppn_z]]="","",IFERROR(
   IF(_xlfn.XLOOKUP(Final_Sans_VGE[[#This Row],[ppn_z]],tbl_Historique_Final[ppn_z],tbl_Historique_Final[date_modif])=Final_Sans_VGE[[#This Row],[date_modif]],
      "Ancien",
      "Modifié"),
   "Nouveau"))</f>
        <v>Ancien</v>
      </c>
      <c r="AC1125"/>
      <c r="AD1125"/>
    </row>
    <row r="1126" spans="1:30" x14ac:dyDescent="0.25">
      <c r="A1126" s="5" t="s">
        <v>3542</v>
      </c>
      <c r="B1126" s="1" t="s">
        <v>8556</v>
      </c>
      <c r="C1126" s="1" t="s">
        <v>45</v>
      </c>
      <c r="D1126" s="1" t="s">
        <v>14</v>
      </c>
      <c r="G1126" s="1" t="s">
        <v>10</v>
      </c>
      <c r="H1126" s="1" t="s">
        <v>22</v>
      </c>
      <c r="I1126" s="1" t="s">
        <v>22</v>
      </c>
      <c r="J1126" s="3">
        <v>45988.40079861111</v>
      </c>
      <c r="K1126" s="2" t="s">
        <v>8557</v>
      </c>
      <c r="L1126" s="1">
        <v>32</v>
      </c>
      <c r="M1126" s="1">
        <v>36</v>
      </c>
      <c r="N1126">
        <v>4</v>
      </c>
      <c r="O1126" s="3">
        <f>IF(
    R1126="Ancien",
    _xlfn.XLOOKUP(
        Final_Sans_VGE[[#This Row],[ppn_z]],
        tbl_Historique_Final[ppn_z],
        tbl_Historique_Final[Horodatage],
        ""
    ),
    Horodatage!$A$2
)</f>
        <v>46233.670796365739</v>
      </c>
      <c r="P1126" s="1" t="str">
        <f>IFERROR(IF(tbl_Historique_Final[[#This Row],[Commentaires]]&lt;&gt;"",tbl_Historique_Final[[#This Row],[Commentaires]],""),"")</f>
        <v/>
      </c>
      <c r="X1126" s="8" t="str">
        <f>IF(Final_Sans_VGE[[#This Row],[ppn_z]]="","",IFERROR(
   IF(_xlfn.XLOOKUP(Final_Sans_VGE[[#This Row],[ppn_z]],tbl_Historique_Final[ppn_z],tbl_Historique_Final[date_modif])=Final_Sans_VGE[[#This Row],[date_modif]],
      "Ancien",
      "Modifié"),
   "Nouveau"))</f>
        <v>Ancien</v>
      </c>
      <c r="AC1126"/>
      <c r="AD1126"/>
    </row>
    <row r="1127" spans="1:30" ht="30" x14ac:dyDescent="0.25">
      <c r="A1127" s="5" t="s">
        <v>3545</v>
      </c>
      <c r="B1127" s="1" t="s">
        <v>8558</v>
      </c>
      <c r="C1127" s="1" t="s">
        <v>53</v>
      </c>
      <c r="E1127" s="1" t="s">
        <v>38</v>
      </c>
      <c r="G1127" s="1" t="s">
        <v>11</v>
      </c>
      <c r="J1127" s="3">
        <v>46051.535451388889</v>
      </c>
      <c r="K1127" s="2" t="s">
        <v>8559</v>
      </c>
      <c r="L1127" s="1">
        <v>16</v>
      </c>
      <c r="M1127" s="1">
        <v>31</v>
      </c>
      <c r="N1127">
        <v>15</v>
      </c>
      <c r="O1127" s="3">
        <f>IF(
    R1127="Ancien",
    _xlfn.XLOOKUP(
        Final_Sans_VGE[[#This Row],[ppn_z]],
        tbl_Historique_Final[ppn_z],
        tbl_Historique_Final[Horodatage],
        ""
    ),
    Horodatage!$A$2
)</f>
        <v>46233.670796365739</v>
      </c>
      <c r="P1127" s="1" t="str">
        <f>IFERROR(IF(tbl_Historique_Final[[#This Row],[Commentaires]]&lt;&gt;"",tbl_Historique_Final[[#This Row],[Commentaires]],""),"")</f>
        <v/>
      </c>
      <c r="X1127" s="8" t="str">
        <f>IF(Final_Sans_VGE[[#This Row],[ppn_z]]="","",IFERROR(
   IF(_xlfn.XLOOKUP(Final_Sans_VGE[[#This Row],[ppn_z]],tbl_Historique_Final[ppn_z],tbl_Historique_Final[date_modif])=Final_Sans_VGE[[#This Row],[date_modif]],
      "Ancien",
      "Modifié"),
   "Nouveau"))</f>
        <v>Ancien</v>
      </c>
      <c r="AC1127"/>
      <c r="AD1127"/>
    </row>
    <row r="1128" spans="1:30" x14ac:dyDescent="0.25">
      <c r="A1128" s="5" t="s">
        <v>3548</v>
      </c>
      <c r="B1128" s="1" t="s">
        <v>8560</v>
      </c>
      <c r="C1128" s="1" t="s">
        <v>148</v>
      </c>
      <c r="J1128" s="3">
        <v>45875.48060185185</v>
      </c>
      <c r="L1128" s="1">
        <v>3</v>
      </c>
      <c r="M1128" s="1">
        <v>4</v>
      </c>
      <c r="N1128">
        <v>1</v>
      </c>
      <c r="O1128" s="3">
        <f>IF(
    R1128="Ancien",
    _xlfn.XLOOKUP(
        Final_Sans_VGE[[#This Row],[ppn_z]],
        tbl_Historique_Final[ppn_z],
        tbl_Historique_Final[Horodatage],
        ""
    ),
    Horodatage!$A$2
)</f>
        <v>46233.670796365739</v>
      </c>
      <c r="P1128" s="1" t="str">
        <f>IFERROR(IF(tbl_Historique_Final[[#This Row],[Commentaires]]&lt;&gt;"",tbl_Historique_Final[[#This Row],[Commentaires]],""),"")</f>
        <v/>
      </c>
      <c r="X1128" s="8" t="str">
        <f>IF(Final_Sans_VGE[[#This Row],[ppn_z]]="","",IFERROR(
   IF(_xlfn.XLOOKUP(Final_Sans_VGE[[#This Row],[ppn_z]],tbl_Historique_Final[ppn_z],tbl_Historique_Final[date_modif])=Final_Sans_VGE[[#This Row],[date_modif]],
      "Ancien",
      "Modifié"),
   "Nouveau"))</f>
        <v>Ancien</v>
      </c>
      <c r="AC1128"/>
      <c r="AD1128"/>
    </row>
    <row r="1129" spans="1:30" ht="30" x14ac:dyDescent="0.25">
      <c r="A1129" s="5" t="s">
        <v>3551</v>
      </c>
      <c r="B1129" s="1" t="s">
        <v>8561</v>
      </c>
      <c r="C1129" s="1" t="s">
        <v>12</v>
      </c>
      <c r="G1129" s="1" t="s">
        <v>10</v>
      </c>
      <c r="J1129" s="3">
        <v>45994.591539351852</v>
      </c>
      <c r="K1129" s="2" t="s">
        <v>8562</v>
      </c>
      <c r="L1129" s="1">
        <v>1</v>
      </c>
      <c r="M1129" s="1">
        <v>1</v>
      </c>
      <c r="N1129">
        <v>0</v>
      </c>
      <c r="O1129" s="3">
        <f>IF(
    R1129="Ancien",
    _xlfn.XLOOKUP(
        Final_Sans_VGE[[#This Row],[ppn_z]],
        tbl_Historique_Final[ppn_z],
        tbl_Historique_Final[Horodatage],
        ""
    ),
    Horodatage!$A$2
)</f>
        <v>46233.670796365739</v>
      </c>
      <c r="P1129" s="1" t="str">
        <f>IFERROR(IF(tbl_Historique_Final[[#This Row],[Commentaires]]&lt;&gt;"",tbl_Historique_Final[[#This Row],[Commentaires]],""),"")</f>
        <v/>
      </c>
      <c r="X1129" s="8" t="str">
        <f>IF(Final_Sans_VGE[[#This Row],[ppn_z]]="","",IFERROR(
   IF(_xlfn.XLOOKUP(Final_Sans_VGE[[#This Row],[ppn_z]],tbl_Historique_Final[ppn_z],tbl_Historique_Final[date_modif])=Final_Sans_VGE[[#This Row],[date_modif]],
      "Ancien",
      "Modifié"),
   "Nouveau"))</f>
        <v>Ancien</v>
      </c>
      <c r="AC1129"/>
      <c r="AD1129"/>
    </row>
    <row r="1130" spans="1:30" ht="45" x14ac:dyDescent="0.25">
      <c r="A1130" s="5" t="s">
        <v>3554</v>
      </c>
      <c r="B1130" s="1" t="s">
        <v>8563</v>
      </c>
      <c r="C1130" s="1" t="s">
        <v>12</v>
      </c>
      <c r="G1130" s="1" t="s">
        <v>11</v>
      </c>
      <c r="J1130" s="3">
        <v>45988.709502314814</v>
      </c>
      <c r="K1130" s="2" t="s">
        <v>8564</v>
      </c>
      <c r="L1130" s="1">
        <v>5</v>
      </c>
      <c r="M1130" s="1">
        <v>5</v>
      </c>
      <c r="N1130">
        <v>0</v>
      </c>
      <c r="O1130" s="3">
        <f>IF(
    R1130="Ancien",
    _xlfn.XLOOKUP(
        Final_Sans_VGE[[#This Row],[ppn_z]],
        tbl_Historique_Final[ppn_z],
        tbl_Historique_Final[Horodatage],
        ""
    ),
    Horodatage!$A$2
)</f>
        <v>46233.670796365739</v>
      </c>
      <c r="P1130" s="1" t="str">
        <f>IFERROR(IF(tbl_Historique_Final[[#This Row],[Commentaires]]&lt;&gt;"",tbl_Historique_Final[[#This Row],[Commentaires]],""),"")</f>
        <v/>
      </c>
      <c r="X1130" s="8" t="str">
        <f>IF(Final_Sans_VGE[[#This Row],[ppn_z]]="","",IFERROR(
   IF(_xlfn.XLOOKUP(Final_Sans_VGE[[#This Row],[ppn_z]],tbl_Historique_Final[ppn_z],tbl_Historique_Final[date_modif])=Final_Sans_VGE[[#This Row],[date_modif]],
      "Ancien",
      "Modifié"),
   "Nouveau"))</f>
        <v>Ancien</v>
      </c>
      <c r="AC1130"/>
      <c r="AD1130"/>
    </row>
    <row r="1131" spans="1:30" ht="30" x14ac:dyDescent="0.25">
      <c r="A1131" s="5" t="s">
        <v>3557</v>
      </c>
      <c r="B1131" s="1" t="s">
        <v>8565</v>
      </c>
      <c r="C1131" s="1" t="s">
        <v>8566</v>
      </c>
      <c r="D1131" s="1" t="s">
        <v>8567</v>
      </c>
      <c r="E1131" s="1" t="s">
        <v>8568</v>
      </c>
      <c r="F1131" s="1" t="s">
        <v>14</v>
      </c>
      <c r="H1131" s="1" t="s">
        <v>140</v>
      </c>
      <c r="I1131" s="1" t="s">
        <v>140</v>
      </c>
      <c r="J1131" s="3">
        <v>46057.48814814815</v>
      </c>
      <c r="K1131" s="2" t="s">
        <v>8569</v>
      </c>
      <c r="L1131" s="1">
        <v>182</v>
      </c>
      <c r="M1131" s="1">
        <v>196</v>
      </c>
      <c r="N1131">
        <v>14</v>
      </c>
      <c r="O1131" s="3">
        <f>IF(
    R1131="Ancien",
    _xlfn.XLOOKUP(
        Final_Sans_VGE[[#This Row],[ppn_z]],
        tbl_Historique_Final[ppn_z],
        tbl_Historique_Final[Horodatage],
        ""
    ),
    Horodatage!$A$2
)</f>
        <v>46233.670796365739</v>
      </c>
      <c r="P1131" s="1" t="str">
        <f>IFERROR(IF(tbl_Historique_Final[[#This Row],[Commentaires]]&lt;&gt;"",tbl_Historique_Final[[#This Row],[Commentaires]],""),"")</f>
        <v/>
      </c>
      <c r="X1131" s="8" t="str">
        <f>IF(Final_Sans_VGE[[#This Row],[ppn_z]]="","",IFERROR(
   IF(_xlfn.XLOOKUP(Final_Sans_VGE[[#This Row],[ppn_z]],tbl_Historique_Final[ppn_z],tbl_Historique_Final[date_modif])=Final_Sans_VGE[[#This Row],[date_modif]],
      "Ancien",
      "Modifié"),
   "Nouveau"))</f>
        <v>Ancien</v>
      </c>
      <c r="AC1131"/>
      <c r="AD1131"/>
    </row>
    <row r="1132" spans="1:30" x14ac:dyDescent="0.25">
      <c r="A1132" s="5" t="s">
        <v>3560</v>
      </c>
      <c r="B1132" s="1" t="s">
        <v>8570</v>
      </c>
      <c r="C1132" s="1" t="s">
        <v>8571</v>
      </c>
      <c r="D1132" s="1" t="s">
        <v>8572</v>
      </c>
      <c r="E1132" s="1" t="s">
        <v>6427</v>
      </c>
      <c r="F1132" s="1" t="s">
        <v>8301</v>
      </c>
      <c r="G1132" s="1" t="s">
        <v>10</v>
      </c>
      <c r="H1132" s="1" t="s">
        <v>22</v>
      </c>
      <c r="I1132" s="1" t="s">
        <v>22</v>
      </c>
      <c r="J1132" s="3">
        <v>46057.461851851855</v>
      </c>
      <c r="K1132" s="2" t="s">
        <v>8573</v>
      </c>
      <c r="L1132" s="1">
        <v>57</v>
      </c>
      <c r="M1132" s="1">
        <v>57</v>
      </c>
      <c r="N1132">
        <v>0</v>
      </c>
      <c r="O1132" s="3">
        <f>IF(
    R1132="Ancien",
    _xlfn.XLOOKUP(
        Final_Sans_VGE[[#This Row],[ppn_z]],
        tbl_Historique_Final[ppn_z],
        tbl_Historique_Final[Horodatage],
        ""
    ),
    Horodatage!$A$2
)</f>
        <v>46233.670796365739</v>
      </c>
      <c r="P1132" s="1" t="str">
        <f>IFERROR(IF(tbl_Historique_Final[[#This Row],[Commentaires]]&lt;&gt;"",tbl_Historique_Final[[#This Row],[Commentaires]],""),"")</f>
        <v/>
      </c>
      <c r="X1132" s="8" t="str">
        <f>IF(Final_Sans_VGE[[#This Row],[ppn_z]]="","",IFERROR(
   IF(_xlfn.XLOOKUP(Final_Sans_VGE[[#This Row],[ppn_z]],tbl_Historique_Final[ppn_z],tbl_Historique_Final[date_modif])=Final_Sans_VGE[[#This Row],[date_modif]],
      "Ancien",
      "Modifié"),
   "Nouveau"))</f>
        <v>Ancien</v>
      </c>
      <c r="AC1132"/>
      <c r="AD1132"/>
    </row>
    <row r="1133" spans="1:30" ht="60" x14ac:dyDescent="0.25">
      <c r="A1133" s="5" t="s">
        <v>3563</v>
      </c>
      <c r="B1133" s="1" t="s">
        <v>8574</v>
      </c>
      <c r="C1133" s="1" t="s">
        <v>6473</v>
      </c>
      <c r="G1133" s="1" t="s">
        <v>10</v>
      </c>
      <c r="J1133" s="3">
        <v>45993.386678240742</v>
      </c>
      <c r="K1133" s="2" t="s">
        <v>8575</v>
      </c>
      <c r="L1133" s="1">
        <v>1</v>
      </c>
      <c r="M1133" s="1">
        <v>6</v>
      </c>
      <c r="N1133">
        <v>5</v>
      </c>
      <c r="O1133" s="3">
        <f>IF(
    R1133="Ancien",
    _xlfn.XLOOKUP(
        Final_Sans_VGE[[#This Row],[ppn_z]],
        tbl_Historique_Final[ppn_z],
        tbl_Historique_Final[Horodatage],
        ""
    ),
    Horodatage!$A$2
)</f>
        <v>46233.670796365739</v>
      </c>
      <c r="P1133" s="1" t="str">
        <f>IFERROR(IF(tbl_Historique_Final[[#This Row],[Commentaires]]&lt;&gt;"",tbl_Historique_Final[[#This Row],[Commentaires]],""),"")</f>
        <v/>
      </c>
      <c r="X1133" s="8" t="str">
        <f>IF(Final_Sans_VGE[[#This Row],[ppn_z]]="","",IFERROR(
   IF(_xlfn.XLOOKUP(Final_Sans_VGE[[#This Row],[ppn_z]],tbl_Historique_Final[ppn_z],tbl_Historique_Final[date_modif])=Final_Sans_VGE[[#This Row],[date_modif]],
      "Ancien",
      "Modifié"),
   "Nouveau"))</f>
        <v>Ancien</v>
      </c>
      <c r="AC1133"/>
      <c r="AD1133"/>
    </row>
    <row r="1134" spans="1:30" x14ac:dyDescent="0.25">
      <c r="A1134" s="5" t="s">
        <v>3566</v>
      </c>
      <c r="B1134" s="1" t="s">
        <v>8576</v>
      </c>
      <c r="C1134" s="1" t="s">
        <v>89</v>
      </c>
      <c r="E1134" s="1" t="s">
        <v>52</v>
      </c>
      <c r="H1134" s="1" t="s">
        <v>22</v>
      </c>
      <c r="I1134" s="1" t="s">
        <v>22</v>
      </c>
      <c r="J1134" s="3">
        <v>46037.765439814815</v>
      </c>
      <c r="K1134" s="2" t="s">
        <v>8577</v>
      </c>
      <c r="L1134" s="1">
        <v>95</v>
      </c>
      <c r="M1134" s="1">
        <v>95</v>
      </c>
      <c r="N1134">
        <v>0</v>
      </c>
      <c r="O1134" s="3">
        <f>IF(
    R1134="Ancien",
    _xlfn.XLOOKUP(
        Final_Sans_VGE[[#This Row],[ppn_z]],
        tbl_Historique_Final[ppn_z],
        tbl_Historique_Final[Horodatage],
        ""
    ),
    Horodatage!$A$2
)</f>
        <v>46233.670796365739</v>
      </c>
      <c r="P1134" s="1" t="str">
        <f>IFERROR(IF(tbl_Historique_Final[[#This Row],[Commentaires]]&lt;&gt;"",tbl_Historique_Final[[#This Row],[Commentaires]],""),"")</f>
        <v/>
      </c>
      <c r="X1134" s="8" t="str">
        <f>IF(Final_Sans_VGE[[#This Row],[ppn_z]]="","",IFERROR(
   IF(_xlfn.XLOOKUP(Final_Sans_VGE[[#This Row],[ppn_z]],tbl_Historique_Final[ppn_z],tbl_Historique_Final[date_modif])=Final_Sans_VGE[[#This Row],[date_modif]],
      "Ancien",
      "Modifié"),
   "Nouveau"))</f>
        <v>Ancien</v>
      </c>
      <c r="AC1134"/>
      <c r="AD1134"/>
    </row>
    <row r="1135" spans="1:30" ht="30" x14ac:dyDescent="0.25">
      <c r="A1135" s="5" t="s">
        <v>3569</v>
      </c>
      <c r="B1135" s="1" t="s">
        <v>8578</v>
      </c>
      <c r="J1135" s="3">
        <v>46003.59915509259</v>
      </c>
      <c r="K1135" s="2" t="s">
        <v>8579</v>
      </c>
      <c r="L1135" s="1">
        <v>1</v>
      </c>
      <c r="M1135" s="1">
        <v>1</v>
      </c>
      <c r="N1135">
        <v>0</v>
      </c>
      <c r="O1135" s="3">
        <f>IF(
    R1135="Ancien",
    _xlfn.XLOOKUP(
        Final_Sans_VGE[[#This Row],[ppn_z]],
        tbl_Historique_Final[ppn_z],
        tbl_Historique_Final[Horodatage],
        ""
    ),
    Horodatage!$A$2
)</f>
        <v>46233.670796365739</v>
      </c>
      <c r="P1135" s="1" t="str">
        <f>IFERROR(IF(tbl_Historique_Final[[#This Row],[Commentaires]]&lt;&gt;"",tbl_Historique_Final[[#This Row],[Commentaires]],""),"")</f>
        <v/>
      </c>
      <c r="X1135" s="8" t="str">
        <f>IF(Final_Sans_VGE[[#This Row],[ppn_z]]="","",IFERROR(
   IF(_xlfn.XLOOKUP(Final_Sans_VGE[[#This Row],[ppn_z]],tbl_Historique_Final[ppn_z],tbl_Historique_Final[date_modif])=Final_Sans_VGE[[#This Row],[date_modif]],
      "Ancien",
      "Modifié"),
   "Nouveau"))</f>
        <v>Ancien</v>
      </c>
      <c r="AC1135"/>
      <c r="AD1135"/>
    </row>
    <row r="1136" spans="1:30" ht="60" x14ac:dyDescent="0.25">
      <c r="A1136" s="5" t="s">
        <v>3572</v>
      </c>
      <c r="B1136" s="1" t="s">
        <v>8580</v>
      </c>
      <c r="C1136" s="1" t="s">
        <v>6694</v>
      </c>
      <c r="J1136" s="3">
        <v>46055.68546296296</v>
      </c>
      <c r="K1136" s="2" t="s">
        <v>8581</v>
      </c>
      <c r="L1136" s="1">
        <v>17</v>
      </c>
      <c r="M1136" s="1">
        <v>21</v>
      </c>
      <c r="N1136">
        <v>4</v>
      </c>
      <c r="O1136" s="3">
        <f>IF(
    R1136="Ancien",
    _xlfn.XLOOKUP(
        Final_Sans_VGE[[#This Row],[ppn_z]],
        tbl_Historique_Final[ppn_z],
        tbl_Historique_Final[Horodatage],
        ""
    ),
    Horodatage!$A$2
)</f>
        <v>46233.670796365739</v>
      </c>
      <c r="P1136" s="1" t="str">
        <f>IFERROR(IF(tbl_Historique_Final[[#This Row],[Commentaires]]&lt;&gt;"",tbl_Historique_Final[[#This Row],[Commentaires]],""),"")</f>
        <v/>
      </c>
      <c r="X1136" s="8" t="str">
        <f>IF(Final_Sans_VGE[[#This Row],[ppn_z]]="","",IFERROR(
   IF(_xlfn.XLOOKUP(Final_Sans_VGE[[#This Row],[ppn_z]],tbl_Historique_Final[ppn_z],tbl_Historique_Final[date_modif])=Final_Sans_VGE[[#This Row],[date_modif]],
      "Ancien",
      "Modifié"),
   "Nouveau"))</f>
        <v>Ancien</v>
      </c>
      <c r="AC1136"/>
      <c r="AD1136"/>
    </row>
    <row r="1137" spans="1:30" ht="45" x14ac:dyDescent="0.25">
      <c r="A1137" s="5" t="s">
        <v>3575</v>
      </c>
      <c r="B1137" s="1" t="s">
        <v>8582</v>
      </c>
      <c r="C1137" s="1" t="s">
        <v>8430</v>
      </c>
      <c r="D1137" s="1" t="s">
        <v>14</v>
      </c>
      <c r="E1137" s="1" t="s">
        <v>146</v>
      </c>
      <c r="F1137" s="1" t="s">
        <v>14</v>
      </c>
      <c r="G1137" s="1" t="s">
        <v>10</v>
      </c>
      <c r="H1137" s="1" t="s">
        <v>140</v>
      </c>
      <c r="I1137" s="1" t="s">
        <v>8583</v>
      </c>
      <c r="J1137" s="3">
        <v>46057.488217592596</v>
      </c>
      <c r="K1137" s="2" t="s">
        <v>8584</v>
      </c>
      <c r="L1137" s="1">
        <v>114</v>
      </c>
      <c r="M1137" s="1">
        <v>115</v>
      </c>
      <c r="N1137">
        <v>1</v>
      </c>
      <c r="O1137" s="3">
        <f>IF(
    R1137="Ancien",
    _xlfn.XLOOKUP(
        Final_Sans_VGE[[#This Row],[ppn_z]],
        tbl_Historique_Final[ppn_z],
        tbl_Historique_Final[Horodatage],
        ""
    ),
    Horodatage!$A$2
)</f>
        <v>46233.670796365739</v>
      </c>
      <c r="P1137" s="1" t="str">
        <f>IFERROR(IF(tbl_Historique_Final[[#This Row],[Commentaires]]&lt;&gt;"",tbl_Historique_Final[[#This Row],[Commentaires]],""),"")</f>
        <v/>
      </c>
      <c r="X1137" s="8" t="str">
        <f>IF(Final_Sans_VGE[[#This Row],[ppn_z]]="","",IFERROR(
   IF(_xlfn.XLOOKUP(Final_Sans_VGE[[#This Row],[ppn_z]],tbl_Historique_Final[ppn_z],tbl_Historique_Final[date_modif])=Final_Sans_VGE[[#This Row],[date_modif]],
      "Ancien",
      "Modifié"),
   "Nouveau"))</f>
        <v>Ancien</v>
      </c>
      <c r="AC1137"/>
      <c r="AD1137"/>
    </row>
    <row r="1138" spans="1:30" x14ac:dyDescent="0.25">
      <c r="A1138" s="5" t="s">
        <v>3578</v>
      </c>
      <c r="B1138" s="1" t="s">
        <v>8585</v>
      </c>
      <c r="C1138" s="1" t="s">
        <v>33</v>
      </c>
      <c r="G1138" s="1" t="s">
        <v>11</v>
      </c>
      <c r="J1138" s="3">
        <v>45989.405104166668</v>
      </c>
      <c r="K1138" s="2" t="s">
        <v>8586</v>
      </c>
      <c r="L1138" s="1">
        <v>2</v>
      </c>
      <c r="M1138" s="1">
        <v>6</v>
      </c>
      <c r="N1138">
        <v>4</v>
      </c>
      <c r="O1138" s="3">
        <f>IF(
    R1138="Ancien",
    _xlfn.XLOOKUP(
        Final_Sans_VGE[[#This Row],[ppn_z]],
        tbl_Historique_Final[ppn_z],
        tbl_Historique_Final[Horodatage],
        ""
    ),
    Horodatage!$A$2
)</f>
        <v>46233.670796365739</v>
      </c>
      <c r="P1138" s="1" t="str">
        <f>IFERROR(IF(tbl_Historique_Final[[#This Row],[Commentaires]]&lt;&gt;"",tbl_Historique_Final[[#This Row],[Commentaires]],""),"")</f>
        <v/>
      </c>
      <c r="X1138" s="8" t="str">
        <f>IF(Final_Sans_VGE[[#This Row],[ppn_z]]="","",IFERROR(
   IF(_xlfn.XLOOKUP(Final_Sans_VGE[[#This Row],[ppn_z]],tbl_Historique_Final[ppn_z],tbl_Historique_Final[date_modif])=Final_Sans_VGE[[#This Row],[date_modif]],
      "Ancien",
      "Modifié"),
   "Nouveau"))</f>
        <v>Ancien</v>
      </c>
      <c r="AC1138"/>
      <c r="AD1138"/>
    </row>
    <row r="1139" spans="1:30" x14ac:dyDescent="0.25">
      <c r="A1139" s="5" t="s">
        <v>3581</v>
      </c>
      <c r="B1139" s="1" t="s">
        <v>8587</v>
      </c>
      <c r="C1139" s="1" t="s">
        <v>39</v>
      </c>
      <c r="G1139" s="1" t="s">
        <v>10</v>
      </c>
      <c r="J1139" s="3">
        <v>46009.349085648151</v>
      </c>
      <c r="K1139" s="2" t="s">
        <v>6438</v>
      </c>
      <c r="L1139" s="1">
        <v>1</v>
      </c>
      <c r="M1139" s="1">
        <v>1</v>
      </c>
      <c r="N1139">
        <v>0</v>
      </c>
      <c r="O1139" s="3">
        <f>IF(
    R1139="Ancien",
    _xlfn.XLOOKUP(
        Final_Sans_VGE[[#This Row],[ppn_z]],
        tbl_Historique_Final[ppn_z],
        tbl_Historique_Final[Horodatage],
        ""
    ),
    Horodatage!$A$2
)</f>
        <v>46233.670796365739</v>
      </c>
      <c r="P1139" s="1" t="str">
        <f>IFERROR(IF(tbl_Historique_Final[[#This Row],[Commentaires]]&lt;&gt;"",tbl_Historique_Final[[#This Row],[Commentaires]],""),"")</f>
        <v/>
      </c>
      <c r="X1139" s="8" t="str">
        <f>IF(Final_Sans_VGE[[#This Row],[ppn_z]]="","",IFERROR(
   IF(_xlfn.XLOOKUP(Final_Sans_VGE[[#This Row],[ppn_z]],tbl_Historique_Final[ppn_z],tbl_Historique_Final[date_modif])=Final_Sans_VGE[[#This Row],[date_modif]],
      "Ancien",
      "Modifié"),
   "Nouveau"))</f>
        <v>Ancien</v>
      </c>
      <c r="AC1139"/>
      <c r="AD1139"/>
    </row>
    <row r="1140" spans="1:30" x14ac:dyDescent="0.25">
      <c r="A1140" s="5" t="s">
        <v>3584</v>
      </c>
      <c r="B1140" s="1" t="s">
        <v>8588</v>
      </c>
      <c r="C1140" s="1" t="s">
        <v>75</v>
      </c>
      <c r="D1140" s="1" t="s">
        <v>8589</v>
      </c>
      <c r="G1140" s="1" t="s">
        <v>11</v>
      </c>
      <c r="H1140" s="1" t="s">
        <v>22</v>
      </c>
      <c r="I1140" s="1" t="s">
        <v>22</v>
      </c>
      <c r="J1140" s="3">
        <v>45994.641030092593</v>
      </c>
      <c r="K1140" s="2" t="s">
        <v>8590</v>
      </c>
      <c r="L1140" s="1">
        <v>8</v>
      </c>
      <c r="M1140" s="1">
        <v>10</v>
      </c>
      <c r="N1140">
        <v>2</v>
      </c>
      <c r="O1140" s="3">
        <f>IF(
    R1140="Ancien",
    _xlfn.XLOOKUP(
        Final_Sans_VGE[[#This Row],[ppn_z]],
        tbl_Historique_Final[ppn_z],
        tbl_Historique_Final[Horodatage],
        ""
    ),
    Horodatage!$A$2
)</f>
        <v>46233.670796365739</v>
      </c>
      <c r="P1140" s="1" t="str">
        <f>IFERROR(IF(tbl_Historique_Final[[#This Row],[Commentaires]]&lt;&gt;"",tbl_Historique_Final[[#This Row],[Commentaires]],""),"")</f>
        <v/>
      </c>
      <c r="X1140" s="8" t="str">
        <f>IF(Final_Sans_VGE[[#This Row],[ppn_z]]="","",IFERROR(
   IF(_xlfn.XLOOKUP(Final_Sans_VGE[[#This Row],[ppn_z]],tbl_Historique_Final[ppn_z],tbl_Historique_Final[date_modif])=Final_Sans_VGE[[#This Row],[date_modif]],
      "Ancien",
      "Modifié"),
   "Nouveau"))</f>
        <v>Ancien</v>
      </c>
      <c r="AC1140"/>
      <c r="AD1140"/>
    </row>
    <row r="1141" spans="1:30" ht="30" x14ac:dyDescent="0.25">
      <c r="A1141" s="5" t="s">
        <v>3587</v>
      </c>
      <c r="B1141" s="1" t="s">
        <v>8591</v>
      </c>
      <c r="C1141" s="1" t="s">
        <v>80</v>
      </c>
      <c r="G1141" s="1" t="s">
        <v>11</v>
      </c>
      <c r="J1141" s="3">
        <v>45989.413287037038</v>
      </c>
      <c r="K1141" s="2" t="s">
        <v>8592</v>
      </c>
      <c r="L1141" s="1">
        <v>1</v>
      </c>
      <c r="M1141" s="1">
        <v>1</v>
      </c>
      <c r="N1141">
        <v>0</v>
      </c>
      <c r="O1141" s="3">
        <f>IF(
    R1141="Ancien",
    _xlfn.XLOOKUP(
        Final_Sans_VGE[[#This Row],[ppn_z]],
        tbl_Historique_Final[ppn_z],
        tbl_Historique_Final[Horodatage],
        ""
    ),
    Horodatage!$A$2
)</f>
        <v>46233.670796365739</v>
      </c>
      <c r="P1141" s="1" t="str">
        <f>IFERROR(IF(tbl_Historique_Final[[#This Row],[Commentaires]]&lt;&gt;"",tbl_Historique_Final[[#This Row],[Commentaires]],""),"")</f>
        <v/>
      </c>
      <c r="X1141" s="8" t="str">
        <f>IF(Final_Sans_VGE[[#This Row],[ppn_z]]="","",IFERROR(
   IF(_xlfn.XLOOKUP(Final_Sans_VGE[[#This Row],[ppn_z]],tbl_Historique_Final[ppn_z],tbl_Historique_Final[date_modif])=Final_Sans_VGE[[#This Row],[date_modif]],
      "Ancien",
      "Modifié"),
   "Nouveau"))</f>
        <v>Ancien</v>
      </c>
      <c r="AC1141"/>
      <c r="AD1141"/>
    </row>
    <row r="1142" spans="1:30" x14ac:dyDescent="0.25">
      <c r="A1142" s="5" t="s">
        <v>3590</v>
      </c>
      <c r="B1142" s="1" t="s">
        <v>8593</v>
      </c>
      <c r="C1142" s="1" t="s">
        <v>12</v>
      </c>
      <c r="E1142" s="1" t="s">
        <v>142</v>
      </c>
      <c r="G1142" s="1" t="s">
        <v>10</v>
      </c>
      <c r="J1142" s="3">
        <v>46034.400127314817</v>
      </c>
      <c r="K1142" s="2" t="s">
        <v>138</v>
      </c>
      <c r="L1142" s="1">
        <v>1</v>
      </c>
      <c r="M1142" s="1">
        <v>1</v>
      </c>
      <c r="N1142">
        <v>0</v>
      </c>
      <c r="O1142" s="3">
        <f>IF(
    R1142="Ancien",
    _xlfn.XLOOKUP(
        Final_Sans_VGE[[#This Row],[ppn_z]],
        tbl_Historique_Final[ppn_z],
        tbl_Historique_Final[Horodatage],
        ""
    ),
    Horodatage!$A$2
)</f>
        <v>46233.670796365739</v>
      </c>
      <c r="P1142" s="1" t="str">
        <f>IFERROR(IF(tbl_Historique_Final[[#This Row],[Commentaires]]&lt;&gt;"",tbl_Historique_Final[[#This Row],[Commentaires]],""),"")</f>
        <v/>
      </c>
      <c r="X1142" s="8" t="str">
        <f>IF(Final_Sans_VGE[[#This Row],[ppn_z]]="","",IFERROR(
   IF(_xlfn.XLOOKUP(Final_Sans_VGE[[#This Row],[ppn_z]],tbl_Historique_Final[ppn_z],tbl_Historique_Final[date_modif])=Final_Sans_VGE[[#This Row],[date_modif]],
      "Ancien",
      "Modifié"),
   "Nouveau"))</f>
        <v>Ancien</v>
      </c>
      <c r="AC1142"/>
      <c r="AD1142"/>
    </row>
    <row r="1143" spans="1:30" x14ac:dyDescent="0.25">
      <c r="A1143" s="5" t="s">
        <v>3593</v>
      </c>
      <c r="B1143" s="1" t="s">
        <v>8594</v>
      </c>
      <c r="C1143" s="1" t="s">
        <v>12</v>
      </c>
      <c r="G1143" s="1" t="s">
        <v>11</v>
      </c>
      <c r="J1143" s="3">
        <v>45995.616736111115</v>
      </c>
      <c r="K1143" s="2" t="s">
        <v>8595</v>
      </c>
      <c r="L1143" s="1">
        <v>2</v>
      </c>
      <c r="M1143" s="1">
        <v>2</v>
      </c>
      <c r="N1143">
        <v>0</v>
      </c>
      <c r="O1143" s="3">
        <f>IF(
    R1143="Ancien",
    _xlfn.XLOOKUP(
        Final_Sans_VGE[[#This Row],[ppn_z]],
        tbl_Historique_Final[ppn_z],
        tbl_Historique_Final[Horodatage],
        ""
    ),
    Horodatage!$A$2
)</f>
        <v>46233.670796365739</v>
      </c>
      <c r="P1143" s="1" t="str">
        <f>IFERROR(IF(tbl_Historique_Final[[#This Row],[Commentaires]]&lt;&gt;"",tbl_Historique_Final[[#This Row],[Commentaires]],""),"")</f>
        <v/>
      </c>
      <c r="X1143" s="8" t="str">
        <f>IF(Final_Sans_VGE[[#This Row],[ppn_z]]="","",IFERROR(
   IF(_xlfn.XLOOKUP(Final_Sans_VGE[[#This Row],[ppn_z]],tbl_Historique_Final[ppn_z],tbl_Historique_Final[date_modif])=Final_Sans_VGE[[#This Row],[date_modif]],
      "Ancien",
      "Modifié"),
   "Nouveau"))</f>
        <v>Ancien</v>
      </c>
      <c r="AC1143"/>
      <c r="AD1143"/>
    </row>
    <row r="1144" spans="1:30" ht="30" x14ac:dyDescent="0.25">
      <c r="A1144" s="5" t="s">
        <v>3596</v>
      </c>
      <c r="B1144" s="1" t="s">
        <v>8596</v>
      </c>
      <c r="C1144" s="1" t="s">
        <v>37</v>
      </c>
      <c r="G1144" s="1" t="s">
        <v>10</v>
      </c>
      <c r="J1144" s="3">
        <v>46043.776608796295</v>
      </c>
      <c r="K1144" s="2" t="s">
        <v>8597</v>
      </c>
      <c r="L1144" s="1">
        <v>1</v>
      </c>
      <c r="M1144" s="1">
        <v>1</v>
      </c>
      <c r="N1144">
        <v>0</v>
      </c>
      <c r="O1144" s="3">
        <f>IF(
    R1144="Ancien",
    _xlfn.XLOOKUP(
        Final_Sans_VGE[[#This Row],[ppn_z]],
        tbl_Historique_Final[ppn_z],
        tbl_Historique_Final[Horodatage],
        ""
    ),
    Horodatage!$A$2
)</f>
        <v>46233.670796365739</v>
      </c>
      <c r="P1144" s="1" t="str">
        <f>IFERROR(IF(tbl_Historique_Final[[#This Row],[Commentaires]]&lt;&gt;"",tbl_Historique_Final[[#This Row],[Commentaires]],""),"")</f>
        <v/>
      </c>
      <c r="X1144" s="8" t="str">
        <f>IF(Final_Sans_VGE[[#This Row],[ppn_z]]="","",IFERROR(
   IF(_xlfn.XLOOKUP(Final_Sans_VGE[[#This Row],[ppn_z]],tbl_Historique_Final[ppn_z],tbl_Historique_Final[date_modif])=Final_Sans_VGE[[#This Row],[date_modif]],
      "Ancien",
      "Modifié"),
   "Nouveau"))</f>
        <v>Ancien</v>
      </c>
      <c r="AC1144"/>
      <c r="AD1144"/>
    </row>
    <row r="1145" spans="1:30" x14ac:dyDescent="0.25">
      <c r="A1145" s="5" t="s">
        <v>3599</v>
      </c>
      <c r="B1145" s="1" t="s">
        <v>8598</v>
      </c>
      <c r="C1145" s="1" t="s">
        <v>58</v>
      </c>
      <c r="G1145" s="1" t="s">
        <v>11</v>
      </c>
      <c r="J1145" s="3">
        <v>45989.479861111111</v>
      </c>
      <c r="K1145" s="2" t="s">
        <v>8599</v>
      </c>
      <c r="L1145" s="1">
        <v>1</v>
      </c>
      <c r="M1145" s="1">
        <v>1</v>
      </c>
      <c r="N1145">
        <v>0</v>
      </c>
      <c r="O1145" s="3">
        <f>IF(
    R1145="Ancien",
    _xlfn.XLOOKUP(
        Final_Sans_VGE[[#This Row],[ppn_z]],
        tbl_Historique_Final[ppn_z],
        tbl_Historique_Final[Horodatage],
        ""
    ),
    Horodatage!$A$2
)</f>
        <v>46233.670796365739</v>
      </c>
      <c r="P1145" s="1" t="str">
        <f>IFERROR(IF(tbl_Historique_Final[[#This Row],[Commentaires]]&lt;&gt;"",tbl_Historique_Final[[#This Row],[Commentaires]],""),"")</f>
        <v/>
      </c>
      <c r="X1145" s="8" t="str">
        <f>IF(Final_Sans_VGE[[#This Row],[ppn_z]]="","",IFERROR(
   IF(_xlfn.XLOOKUP(Final_Sans_VGE[[#This Row],[ppn_z]],tbl_Historique_Final[ppn_z],tbl_Historique_Final[date_modif])=Final_Sans_VGE[[#This Row],[date_modif]],
      "Ancien",
      "Modifié"),
   "Nouveau"))</f>
        <v>Ancien</v>
      </c>
      <c r="AC1145"/>
      <c r="AD1145"/>
    </row>
    <row r="1146" spans="1:30" ht="30" x14ac:dyDescent="0.25">
      <c r="A1146" s="5" t="s">
        <v>3602</v>
      </c>
      <c r="B1146" s="1" t="s">
        <v>8600</v>
      </c>
      <c r="C1146" s="1" t="s">
        <v>168</v>
      </c>
      <c r="E1146" s="1" t="s">
        <v>141</v>
      </c>
      <c r="G1146" s="1" t="s">
        <v>10</v>
      </c>
      <c r="J1146" s="3">
        <v>46048.79960648148</v>
      </c>
      <c r="K1146" s="2" t="s">
        <v>8601</v>
      </c>
      <c r="L1146" s="1">
        <v>2</v>
      </c>
      <c r="M1146" s="1">
        <v>2</v>
      </c>
      <c r="N1146">
        <v>0</v>
      </c>
      <c r="O1146" s="3">
        <f>IF(
    R1146="Ancien",
    _xlfn.XLOOKUP(
        Final_Sans_VGE[[#This Row],[ppn_z]],
        tbl_Historique_Final[ppn_z],
        tbl_Historique_Final[Horodatage],
        ""
    ),
    Horodatage!$A$2
)</f>
        <v>46233.670796365739</v>
      </c>
      <c r="P1146" s="1" t="str">
        <f>IFERROR(IF(tbl_Historique_Final[[#This Row],[Commentaires]]&lt;&gt;"",tbl_Historique_Final[[#This Row],[Commentaires]],""),"")</f>
        <v/>
      </c>
      <c r="X1146" s="8" t="str">
        <f>IF(Final_Sans_VGE[[#This Row],[ppn_z]]="","",IFERROR(
   IF(_xlfn.XLOOKUP(Final_Sans_VGE[[#This Row],[ppn_z]],tbl_Historique_Final[ppn_z],tbl_Historique_Final[date_modif])=Final_Sans_VGE[[#This Row],[date_modif]],
      "Ancien",
      "Modifié"),
   "Nouveau"))</f>
        <v>Ancien</v>
      </c>
      <c r="AC1146"/>
      <c r="AD1146"/>
    </row>
    <row r="1147" spans="1:30" x14ac:dyDescent="0.25">
      <c r="A1147" s="5" t="s">
        <v>3605</v>
      </c>
      <c r="B1147" s="1" t="s">
        <v>8602</v>
      </c>
      <c r="C1147" s="1" t="s">
        <v>70</v>
      </c>
      <c r="G1147" s="1" t="s">
        <v>10</v>
      </c>
      <c r="J1147" s="3">
        <v>45994.512650462966</v>
      </c>
      <c r="K1147" s="2" t="s">
        <v>8603</v>
      </c>
      <c r="L1147" s="1">
        <v>1</v>
      </c>
      <c r="M1147" s="1">
        <v>1</v>
      </c>
      <c r="N1147">
        <v>0</v>
      </c>
      <c r="O1147" s="3">
        <f>IF(
    R1147="Ancien",
    _xlfn.XLOOKUP(
        Final_Sans_VGE[[#This Row],[ppn_z]],
        tbl_Historique_Final[ppn_z],
        tbl_Historique_Final[Horodatage],
        ""
    ),
    Horodatage!$A$2
)</f>
        <v>46233.670796365739</v>
      </c>
      <c r="P1147" s="1" t="str">
        <f>IFERROR(IF(tbl_Historique_Final[[#This Row],[Commentaires]]&lt;&gt;"",tbl_Historique_Final[[#This Row],[Commentaires]],""),"")</f>
        <v/>
      </c>
      <c r="X1147" s="8" t="str">
        <f>IF(Final_Sans_VGE[[#This Row],[ppn_z]]="","",IFERROR(
   IF(_xlfn.XLOOKUP(Final_Sans_VGE[[#This Row],[ppn_z]],tbl_Historique_Final[ppn_z],tbl_Historique_Final[date_modif])=Final_Sans_VGE[[#This Row],[date_modif]],
      "Ancien",
      "Modifié"),
   "Nouveau"))</f>
        <v>Ancien</v>
      </c>
      <c r="AC1147"/>
      <c r="AD1147"/>
    </row>
    <row r="1148" spans="1:30" x14ac:dyDescent="0.25">
      <c r="A1148" s="5" t="s">
        <v>3608</v>
      </c>
      <c r="B1148" s="1" t="s">
        <v>8604</v>
      </c>
      <c r="C1148" s="1" t="s">
        <v>6447</v>
      </c>
      <c r="D1148" s="1" t="s">
        <v>8605</v>
      </c>
      <c r="G1148" s="1" t="s">
        <v>10</v>
      </c>
      <c r="H1148" s="1" t="s">
        <v>8606</v>
      </c>
      <c r="I1148" s="1" t="s">
        <v>22</v>
      </c>
      <c r="J1148" s="3">
        <v>45989.577199074076</v>
      </c>
      <c r="K1148" s="2" t="s">
        <v>8607</v>
      </c>
      <c r="L1148" s="1">
        <v>6</v>
      </c>
      <c r="M1148" s="1">
        <v>16</v>
      </c>
      <c r="N1148">
        <v>10</v>
      </c>
      <c r="O1148" s="3">
        <f>IF(
    R1148="Ancien",
    _xlfn.XLOOKUP(
        Final_Sans_VGE[[#This Row],[ppn_z]],
        tbl_Historique_Final[ppn_z],
        tbl_Historique_Final[Horodatage],
        ""
    ),
    Horodatage!$A$2
)</f>
        <v>46233.670796365739</v>
      </c>
      <c r="P1148" s="1" t="str">
        <f>IFERROR(IF(tbl_Historique_Final[[#This Row],[Commentaires]]&lt;&gt;"",tbl_Historique_Final[[#This Row],[Commentaires]],""),"")</f>
        <v/>
      </c>
      <c r="X1148" s="8" t="str">
        <f>IF(Final_Sans_VGE[[#This Row],[ppn_z]]="","",IFERROR(
   IF(_xlfn.XLOOKUP(Final_Sans_VGE[[#This Row],[ppn_z]],tbl_Historique_Final[ppn_z],tbl_Historique_Final[date_modif])=Final_Sans_VGE[[#This Row],[date_modif]],
      "Ancien",
      "Modifié"),
   "Nouveau"))</f>
        <v>Ancien</v>
      </c>
      <c r="AC1148"/>
      <c r="AD1148"/>
    </row>
    <row r="1149" spans="1:30" x14ac:dyDescent="0.25">
      <c r="A1149" s="5" t="s">
        <v>3611</v>
      </c>
      <c r="B1149" s="1" t="s">
        <v>8608</v>
      </c>
      <c r="C1149" s="1" t="s">
        <v>152</v>
      </c>
      <c r="E1149" s="1" t="s">
        <v>152</v>
      </c>
      <c r="J1149" s="3">
        <v>45961.492743055554</v>
      </c>
      <c r="K1149" s="2" t="s">
        <v>8263</v>
      </c>
      <c r="L1149" s="1">
        <v>1</v>
      </c>
      <c r="M1149" s="1">
        <v>1</v>
      </c>
      <c r="N1149">
        <v>0</v>
      </c>
      <c r="O1149" s="3">
        <f>IF(
    R1149="Ancien",
    _xlfn.XLOOKUP(
        Final_Sans_VGE[[#This Row],[ppn_z]],
        tbl_Historique_Final[ppn_z],
        tbl_Historique_Final[Horodatage],
        ""
    ),
    Horodatage!$A$2
)</f>
        <v>46233.670796365739</v>
      </c>
      <c r="P1149" s="1" t="str">
        <f>IFERROR(IF(tbl_Historique_Final[[#This Row],[Commentaires]]&lt;&gt;"",tbl_Historique_Final[[#This Row],[Commentaires]],""),"")</f>
        <v/>
      </c>
      <c r="X1149" s="8" t="str">
        <f>IF(Final_Sans_VGE[[#This Row],[ppn_z]]="","",IFERROR(
   IF(_xlfn.XLOOKUP(Final_Sans_VGE[[#This Row],[ppn_z]],tbl_Historique_Final[ppn_z],tbl_Historique_Final[date_modif])=Final_Sans_VGE[[#This Row],[date_modif]],
      "Ancien",
      "Modifié"),
   "Nouveau"))</f>
        <v>Ancien</v>
      </c>
      <c r="AC1149"/>
      <c r="AD1149"/>
    </row>
    <row r="1150" spans="1:30" x14ac:dyDescent="0.25">
      <c r="A1150" s="5" t="s">
        <v>3614</v>
      </c>
      <c r="B1150" s="1" t="s">
        <v>8609</v>
      </c>
      <c r="C1150" s="1" t="s">
        <v>121</v>
      </c>
      <c r="G1150" s="1" t="s">
        <v>111</v>
      </c>
      <c r="J1150" s="3">
        <v>45989.579872685186</v>
      </c>
      <c r="K1150" s="2" t="s">
        <v>6417</v>
      </c>
      <c r="L1150" s="1">
        <v>1</v>
      </c>
      <c r="M1150" s="1">
        <v>1</v>
      </c>
      <c r="N1150">
        <v>0</v>
      </c>
      <c r="O1150" s="3">
        <f>IF(
    R1150="Ancien",
    _xlfn.XLOOKUP(
        Final_Sans_VGE[[#This Row],[ppn_z]],
        tbl_Historique_Final[ppn_z],
        tbl_Historique_Final[Horodatage],
        ""
    ),
    Horodatage!$A$2
)</f>
        <v>46233.670796365739</v>
      </c>
      <c r="P1150" s="1" t="str">
        <f>IFERROR(IF(tbl_Historique_Final[[#This Row],[Commentaires]]&lt;&gt;"",tbl_Historique_Final[[#This Row],[Commentaires]],""),"")</f>
        <v/>
      </c>
      <c r="X1150" s="8" t="str">
        <f>IF(Final_Sans_VGE[[#This Row],[ppn_z]]="","",IFERROR(
   IF(_xlfn.XLOOKUP(Final_Sans_VGE[[#This Row],[ppn_z]],tbl_Historique_Final[ppn_z],tbl_Historique_Final[date_modif])=Final_Sans_VGE[[#This Row],[date_modif]],
      "Ancien",
      "Modifié"),
   "Nouveau"))</f>
        <v>Ancien</v>
      </c>
      <c r="AC1150"/>
      <c r="AD1150"/>
    </row>
    <row r="1151" spans="1:30" ht="30" x14ac:dyDescent="0.25">
      <c r="A1151" s="5" t="s">
        <v>3617</v>
      </c>
      <c r="B1151" s="1" t="s">
        <v>8610</v>
      </c>
      <c r="C1151" s="1" t="s">
        <v>31</v>
      </c>
      <c r="E1151" s="1" t="s">
        <v>161</v>
      </c>
      <c r="G1151" s="1" t="s">
        <v>10</v>
      </c>
      <c r="J1151" s="3">
        <v>46056.482847222222</v>
      </c>
      <c r="K1151" s="2" t="s">
        <v>8611</v>
      </c>
      <c r="L1151" s="1">
        <v>51</v>
      </c>
      <c r="M1151" s="1">
        <v>53</v>
      </c>
      <c r="N1151">
        <v>2</v>
      </c>
      <c r="O1151" s="3">
        <f>IF(
    R1151="Ancien",
    _xlfn.XLOOKUP(
        Final_Sans_VGE[[#This Row],[ppn_z]],
        tbl_Historique_Final[ppn_z],
        tbl_Historique_Final[Horodatage],
        ""
    ),
    Horodatage!$A$2
)</f>
        <v>46233.670796365739</v>
      </c>
      <c r="P1151" s="1" t="str">
        <f>IFERROR(IF(tbl_Historique_Final[[#This Row],[Commentaires]]&lt;&gt;"",tbl_Historique_Final[[#This Row],[Commentaires]],""),"")</f>
        <v/>
      </c>
      <c r="X1151" s="8" t="str">
        <f>IF(Final_Sans_VGE[[#This Row],[ppn_z]]="","",IFERROR(
   IF(_xlfn.XLOOKUP(Final_Sans_VGE[[#This Row],[ppn_z]],tbl_Historique_Final[ppn_z],tbl_Historique_Final[date_modif])=Final_Sans_VGE[[#This Row],[date_modif]],
      "Ancien",
      "Modifié"),
   "Nouveau"))</f>
        <v>Ancien</v>
      </c>
      <c r="AC1151"/>
      <c r="AD1151"/>
    </row>
    <row r="1152" spans="1:30" x14ac:dyDescent="0.25">
      <c r="A1152" s="5" t="s">
        <v>3620</v>
      </c>
      <c r="B1152" s="1" t="s">
        <v>8612</v>
      </c>
      <c r="C1152" s="1" t="s">
        <v>123</v>
      </c>
      <c r="J1152" s="3">
        <v>45888.344143518516</v>
      </c>
      <c r="L1152" s="1">
        <v>1</v>
      </c>
      <c r="M1152" s="1">
        <v>1</v>
      </c>
      <c r="N1152">
        <v>0</v>
      </c>
      <c r="O1152" s="3">
        <f>IF(
    R1152="Ancien",
    _xlfn.XLOOKUP(
        Final_Sans_VGE[[#This Row],[ppn_z]],
        tbl_Historique_Final[ppn_z],
        tbl_Historique_Final[Horodatage],
        ""
    ),
    Horodatage!$A$2
)</f>
        <v>46233.670796365739</v>
      </c>
      <c r="P1152" s="1" t="str">
        <f>IFERROR(IF(tbl_Historique_Final[[#This Row],[Commentaires]]&lt;&gt;"",tbl_Historique_Final[[#This Row],[Commentaires]],""),"")</f>
        <v/>
      </c>
      <c r="X1152" s="8" t="str">
        <f>IF(Final_Sans_VGE[[#This Row],[ppn_z]]="","",IFERROR(
   IF(_xlfn.XLOOKUP(Final_Sans_VGE[[#This Row],[ppn_z]],tbl_Historique_Final[ppn_z],tbl_Historique_Final[date_modif])=Final_Sans_VGE[[#This Row],[date_modif]],
      "Ancien",
      "Modifié"),
   "Nouveau"))</f>
        <v>Ancien</v>
      </c>
      <c r="AC1152"/>
      <c r="AD1152"/>
    </row>
    <row r="1153" spans="1:30" x14ac:dyDescent="0.25">
      <c r="A1153" s="5" t="s">
        <v>3623</v>
      </c>
      <c r="B1153" s="1" t="s">
        <v>8613</v>
      </c>
      <c r="C1153" s="1" t="s">
        <v>8614</v>
      </c>
      <c r="D1153" s="1" t="s">
        <v>8615</v>
      </c>
      <c r="E1153" s="1" t="s">
        <v>8616</v>
      </c>
      <c r="F1153" s="1" t="s">
        <v>8617</v>
      </c>
      <c r="H1153" s="1" t="s">
        <v>22</v>
      </c>
      <c r="I1153" s="1" t="s">
        <v>22</v>
      </c>
      <c r="J1153" s="3">
        <v>46057.488391203704</v>
      </c>
      <c r="K1153" s="2" t="s">
        <v>8618</v>
      </c>
      <c r="L1153" s="1">
        <v>2</v>
      </c>
      <c r="M1153" s="1">
        <v>4</v>
      </c>
      <c r="N1153">
        <v>2</v>
      </c>
      <c r="O1153" s="3">
        <f>IF(
    R1153="Ancien",
    _xlfn.XLOOKUP(
        Final_Sans_VGE[[#This Row],[ppn_z]],
        tbl_Historique_Final[ppn_z],
        tbl_Historique_Final[Horodatage],
        ""
    ),
    Horodatage!$A$2
)</f>
        <v>46233.670796365739</v>
      </c>
      <c r="P1153" s="1" t="str">
        <f>IFERROR(IF(tbl_Historique_Final[[#This Row],[Commentaires]]&lt;&gt;"",tbl_Historique_Final[[#This Row],[Commentaires]],""),"")</f>
        <v/>
      </c>
      <c r="X1153" s="8" t="str">
        <f>IF(Final_Sans_VGE[[#This Row],[ppn_z]]="","",IFERROR(
   IF(_xlfn.XLOOKUP(Final_Sans_VGE[[#This Row],[ppn_z]],tbl_Historique_Final[ppn_z],tbl_Historique_Final[date_modif])=Final_Sans_VGE[[#This Row],[date_modif]],
      "Ancien",
      "Modifié"),
   "Nouveau"))</f>
        <v>Ancien</v>
      </c>
      <c r="AC1153"/>
      <c r="AD1153"/>
    </row>
    <row r="1154" spans="1:30" x14ac:dyDescent="0.25">
      <c r="A1154" s="5" t="s">
        <v>3626</v>
      </c>
      <c r="B1154" s="1" t="s">
        <v>8619</v>
      </c>
      <c r="C1154" s="1" t="s">
        <v>69</v>
      </c>
      <c r="G1154" s="1" t="s">
        <v>11</v>
      </c>
      <c r="J1154" s="3">
        <v>45994.545416666668</v>
      </c>
      <c r="K1154" s="2" t="s">
        <v>8620</v>
      </c>
      <c r="L1154" s="1">
        <v>1</v>
      </c>
      <c r="M1154" s="1">
        <v>1</v>
      </c>
      <c r="N1154">
        <v>0</v>
      </c>
      <c r="O1154" s="3">
        <f>IF(
    R1154="Ancien",
    _xlfn.XLOOKUP(
        Final_Sans_VGE[[#This Row],[ppn_z]],
        tbl_Historique_Final[ppn_z],
        tbl_Historique_Final[Horodatage],
        ""
    ),
    Horodatage!$A$2
)</f>
        <v>46233.670796365739</v>
      </c>
      <c r="P1154" s="1" t="str">
        <f>IFERROR(IF(tbl_Historique_Final[[#This Row],[Commentaires]]&lt;&gt;"",tbl_Historique_Final[[#This Row],[Commentaires]],""),"")</f>
        <v/>
      </c>
      <c r="X1154" s="8" t="str">
        <f>IF(Final_Sans_VGE[[#This Row],[ppn_z]]="","",IFERROR(
   IF(_xlfn.XLOOKUP(Final_Sans_VGE[[#This Row],[ppn_z]],tbl_Historique_Final[ppn_z],tbl_Historique_Final[date_modif])=Final_Sans_VGE[[#This Row],[date_modif]],
      "Ancien",
      "Modifié"),
   "Nouveau"))</f>
        <v>Ancien</v>
      </c>
      <c r="AC1154"/>
      <c r="AD1154"/>
    </row>
    <row r="1155" spans="1:30" x14ac:dyDescent="0.25">
      <c r="A1155" s="5" t="s">
        <v>3629</v>
      </c>
      <c r="B1155" s="1" t="s">
        <v>8621</v>
      </c>
      <c r="D1155" s="1" t="s">
        <v>8622</v>
      </c>
      <c r="G1155" s="1" t="s">
        <v>11</v>
      </c>
      <c r="H1155" s="1" t="s">
        <v>22</v>
      </c>
      <c r="I1155" s="1" t="s">
        <v>22</v>
      </c>
      <c r="J1155" s="3">
        <v>45994.406134259261</v>
      </c>
      <c r="K1155" s="2" t="s">
        <v>8623</v>
      </c>
      <c r="L1155" s="1">
        <v>5</v>
      </c>
      <c r="M1155" s="1">
        <v>5</v>
      </c>
      <c r="N1155">
        <v>0</v>
      </c>
      <c r="O1155" s="3">
        <f>IF(
    R1155="Ancien",
    _xlfn.XLOOKUP(
        Final_Sans_VGE[[#This Row],[ppn_z]],
        tbl_Historique_Final[ppn_z],
        tbl_Historique_Final[Horodatage],
        ""
    ),
    Horodatage!$A$2
)</f>
        <v>46233.670796365739</v>
      </c>
      <c r="P1155" s="1" t="str">
        <f>IFERROR(IF(tbl_Historique_Final[[#This Row],[Commentaires]]&lt;&gt;"",tbl_Historique_Final[[#This Row],[Commentaires]],""),"")</f>
        <v/>
      </c>
      <c r="X1155" s="8" t="str">
        <f>IF(Final_Sans_VGE[[#This Row],[ppn_z]]="","",IFERROR(
   IF(_xlfn.XLOOKUP(Final_Sans_VGE[[#This Row],[ppn_z]],tbl_Historique_Final[ppn_z],tbl_Historique_Final[date_modif])=Final_Sans_VGE[[#This Row],[date_modif]],
      "Ancien",
      "Modifié"),
   "Nouveau"))</f>
        <v>Ancien</v>
      </c>
      <c r="AC1155"/>
      <c r="AD1155"/>
    </row>
    <row r="1156" spans="1:30" x14ac:dyDescent="0.25">
      <c r="A1156" s="5" t="s">
        <v>3632</v>
      </c>
      <c r="B1156" s="1" t="s">
        <v>8624</v>
      </c>
      <c r="C1156" s="1" t="s">
        <v>7766</v>
      </c>
      <c r="D1156" s="1" t="s">
        <v>14</v>
      </c>
      <c r="E1156" s="1" t="s">
        <v>8625</v>
      </c>
      <c r="F1156" s="1" t="s">
        <v>14</v>
      </c>
      <c r="G1156" s="1" t="s">
        <v>10</v>
      </c>
      <c r="H1156" s="1" t="s">
        <v>22</v>
      </c>
      <c r="I1156" s="1" t="s">
        <v>22</v>
      </c>
      <c r="J1156" s="3">
        <v>46057.488136574073</v>
      </c>
      <c r="K1156" s="2" t="s">
        <v>8626</v>
      </c>
      <c r="L1156" s="1">
        <v>27</v>
      </c>
      <c r="M1156" s="1">
        <v>33</v>
      </c>
      <c r="N1156">
        <v>6</v>
      </c>
      <c r="O1156" s="3">
        <f>IF(
    R1156="Ancien",
    _xlfn.XLOOKUP(
        Final_Sans_VGE[[#This Row],[ppn_z]],
        tbl_Historique_Final[ppn_z],
        tbl_Historique_Final[Horodatage],
        ""
    ),
    Horodatage!$A$2
)</f>
        <v>46233.670796365739</v>
      </c>
      <c r="P1156" s="1" t="str">
        <f>IFERROR(IF(tbl_Historique_Final[[#This Row],[Commentaires]]&lt;&gt;"",tbl_Historique_Final[[#This Row],[Commentaires]],""),"")</f>
        <v/>
      </c>
      <c r="X1156" s="8" t="str">
        <f>IF(Final_Sans_VGE[[#This Row],[ppn_z]]="","",IFERROR(
   IF(_xlfn.XLOOKUP(Final_Sans_VGE[[#This Row],[ppn_z]],tbl_Historique_Final[ppn_z],tbl_Historique_Final[date_modif])=Final_Sans_VGE[[#This Row],[date_modif]],
      "Ancien",
      "Modifié"),
   "Nouveau"))</f>
        <v>Ancien</v>
      </c>
      <c r="AC1156"/>
      <c r="AD1156"/>
    </row>
    <row r="1157" spans="1:30" x14ac:dyDescent="0.25">
      <c r="A1157" s="5" t="s">
        <v>3635</v>
      </c>
      <c r="B1157" s="1" t="s">
        <v>8627</v>
      </c>
      <c r="C1157" s="1" t="s">
        <v>152</v>
      </c>
      <c r="E1157" s="1" t="s">
        <v>8394</v>
      </c>
      <c r="G1157" s="1" t="s">
        <v>10</v>
      </c>
      <c r="J1157" s="3">
        <v>46031.471805555557</v>
      </c>
      <c r="K1157" s="2" t="s">
        <v>8628</v>
      </c>
      <c r="L1157" s="1">
        <v>1</v>
      </c>
      <c r="M1157" s="1">
        <v>1</v>
      </c>
      <c r="N1157">
        <v>0</v>
      </c>
      <c r="O1157" s="3">
        <f>IF(
    R1157="Ancien",
    _xlfn.XLOOKUP(
        Final_Sans_VGE[[#This Row],[ppn_z]],
        tbl_Historique_Final[ppn_z],
        tbl_Historique_Final[Horodatage],
        ""
    ),
    Horodatage!$A$2
)</f>
        <v>46233.670796365739</v>
      </c>
      <c r="P1157" s="1" t="str">
        <f>IFERROR(IF(tbl_Historique_Final[[#This Row],[Commentaires]]&lt;&gt;"",tbl_Historique_Final[[#This Row],[Commentaires]],""),"")</f>
        <v/>
      </c>
      <c r="X1157" s="8" t="str">
        <f>IF(Final_Sans_VGE[[#This Row],[ppn_z]]="","",IFERROR(
   IF(_xlfn.XLOOKUP(Final_Sans_VGE[[#This Row],[ppn_z]],tbl_Historique_Final[ppn_z],tbl_Historique_Final[date_modif])=Final_Sans_VGE[[#This Row],[date_modif]],
      "Ancien",
      "Modifié"),
   "Nouveau"))</f>
        <v>Ancien</v>
      </c>
      <c r="AC1157"/>
      <c r="AD1157"/>
    </row>
    <row r="1158" spans="1:30" ht="45" x14ac:dyDescent="0.25">
      <c r="A1158" s="5" t="s">
        <v>3638</v>
      </c>
      <c r="B1158" s="1" t="s">
        <v>8629</v>
      </c>
      <c r="C1158" s="1" t="s">
        <v>46</v>
      </c>
      <c r="D1158" s="1" t="s">
        <v>8025</v>
      </c>
      <c r="E1158" s="1" t="s">
        <v>137</v>
      </c>
      <c r="F1158" s="1" t="s">
        <v>14</v>
      </c>
      <c r="G1158" s="1" t="s">
        <v>11</v>
      </c>
      <c r="H1158" s="1" t="s">
        <v>22</v>
      </c>
      <c r="I1158" s="1" t="s">
        <v>22</v>
      </c>
      <c r="J1158" s="3">
        <v>46041.653298611112</v>
      </c>
      <c r="K1158" s="2" t="s">
        <v>8630</v>
      </c>
      <c r="L1158" s="1">
        <v>66</v>
      </c>
      <c r="M1158" s="1">
        <v>66</v>
      </c>
      <c r="N1158">
        <v>0</v>
      </c>
      <c r="O1158" s="3">
        <f>IF(
    R1158="Ancien",
    _xlfn.XLOOKUP(
        Final_Sans_VGE[[#This Row],[ppn_z]],
        tbl_Historique_Final[ppn_z],
        tbl_Historique_Final[Horodatage],
        ""
    ),
    Horodatage!$A$2
)</f>
        <v>46233.670796365739</v>
      </c>
      <c r="P1158" s="1" t="str">
        <f>IFERROR(IF(tbl_Historique_Final[[#This Row],[Commentaires]]&lt;&gt;"",tbl_Historique_Final[[#This Row],[Commentaires]],""),"")</f>
        <v/>
      </c>
      <c r="X1158" s="8" t="str">
        <f>IF(Final_Sans_VGE[[#This Row],[ppn_z]]="","",IFERROR(
   IF(_xlfn.XLOOKUP(Final_Sans_VGE[[#This Row],[ppn_z]],tbl_Historique_Final[ppn_z],tbl_Historique_Final[date_modif])=Final_Sans_VGE[[#This Row],[date_modif]],
      "Ancien",
      "Modifié"),
   "Nouveau"))</f>
        <v>Ancien</v>
      </c>
      <c r="AC1158"/>
      <c r="AD1158"/>
    </row>
    <row r="1159" spans="1:30" ht="105" x14ac:dyDescent="0.25">
      <c r="A1159" s="5" t="s">
        <v>3641</v>
      </c>
      <c r="B1159" s="1" t="s">
        <v>8631</v>
      </c>
      <c r="C1159" s="1" t="s">
        <v>8625</v>
      </c>
      <c r="E1159" s="1" t="s">
        <v>6694</v>
      </c>
      <c r="H1159" s="1" t="s">
        <v>22</v>
      </c>
      <c r="I1159" s="1" t="s">
        <v>22</v>
      </c>
      <c r="J1159" s="3">
        <v>46052.769293981481</v>
      </c>
      <c r="K1159" s="2" t="s">
        <v>8632</v>
      </c>
      <c r="L1159" s="1">
        <v>24</v>
      </c>
      <c r="M1159" s="1">
        <v>35</v>
      </c>
      <c r="N1159">
        <v>11</v>
      </c>
      <c r="O1159" s="3">
        <f>IF(
    R1159="Ancien",
    _xlfn.XLOOKUP(
        Final_Sans_VGE[[#This Row],[ppn_z]],
        tbl_Historique_Final[ppn_z],
        tbl_Historique_Final[Horodatage],
        ""
    ),
    Horodatage!$A$2
)</f>
        <v>46233.670796365739</v>
      </c>
      <c r="P1159" s="1" t="str">
        <f>IFERROR(IF(tbl_Historique_Final[[#This Row],[Commentaires]]&lt;&gt;"",tbl_Historique_Final[[#This Row],[Commentaires]],""),"")</f>
        <v/>
      </c>
      <c r="X1159" s="8" t="str">
        <f>IF(Final_Sans_VGE[[#This Row],[ppn_z]]="","",IFERROR(
   IF(_xlfn.XLOOKUP(Final_Sans_VGE[[#This Row],[ppn_z]],tbl_Historique_Final[ppn_z],tbl_Historique_Final[date_modif])=Final_Sans_VGE[[#This Row],[date_modif]],
      "Ancien",
      "Modifié"),
   "Nouveau"))</f>
        <v>Ancien</v>
      </c>
      <c r="AC1159"/>
      <c r="AD1159"/>
    </row>
    <row r="1160" spans="1:30" ht="30" x14ac:dyDescent="0.25">
      <c r="A1160" s="5" t="s">
        <v>3644</v>
      </c>
      <c r="B1160" s="1" t="s">
        <v>8633</v>
      </c>
      <c r="C1160" s="1" t="s">
        <v>86</v>
      </c>
      <c r="G1160" s="1" t="s">
        <v>10</v>
      </c>
      <c r="J1160" s="3">
        <v>46035.447592592594</v>
      </c>
      <c r="K1160" s="2" t="s">
        <v>8634</v>
      </c>
      <c r="L1160" s="1">
        <v>11</v>
      </c>
      <c r="M1160" s="1">
        <v>27</v>
      </c>
      <c r="N1160">
        <v>16</v>
      </c>
      <c r="O1160" s="3">
        <f>IF(
    R1160="Ancien",
    _xlfn.XLOOKUP(
        Final_Sans_VGE[[#This Row],[ppn_z]],
        tbl_Historique_Final[ppn_z],
        tbl_Historique_Final[Horodatage],
        ""
    ),
    Horodatage!$A$2
)</f>
        <v>46233.670796365739</v>
      </c>
      <c r="P1160" s="1" t="str">
        <f>IFERROR(IF(tbl_Historique_Final[[#This Row],[Commentaires]]&lt;&gt;"",tbl_Historique_Final[[#This Row],[Commentaires]],""),"")</f>
        <v/>
      </c>
      <c r="X1160" s="8" t="str">
        <f>IF(Final_Sans_VGE[[#This Row],[ppn_z]]="","",IFERROR(
   IF(_xlfn.XLOOKUP(Final_Sans_VGE[[#This Row],[ppn_z]],tbl_Historique_Final[ppn_z],tbl_Historique_Final[date_modif])=Final_Sans_VGE[[#This Row],[date_modif]],
      "Ancien",
      "Modifié"),
   "Nouveau"))</f>
        <v>Ancien</v>
      </c>
      <c r="AC1160"/>
      <c r="AD1160"/>
    </row>
    <row r="1161" spans="1:30" ht="30" x14ac:dyDescent="0.25">
      <c r="A1161" s="5" t="s">
        <v>3647</v>
      </c>
      <c r="B1161" s="1" t="s">
        <v>8635</v>
      </c>
      <c r="C1161" s="1" t="s">
        <v>6783</v>
      </c>
      <c r="E1161" s="1" t="s">
        <v>7291</v>
      </c>
      <c r="G1161" s="1" t="s">
        <v>10</v>
      </c>
      <c r="J1161" s="3">
        <v>46043.760972222219</v>
      </c>
      <c r="K1161" s="2" t="s">
        <v>8636</v>
      </c>
      <c r="L1161" s="1">
        <v>44</v>
      </c>
      <c r="M1161" s="1">
        <v>45</v>
      </c>
      <c r="N1161">
        <v>1</v>
      </c>
      <c r="O1161" s="3">
        <f>IF(
    R1161="Ancien",
    _xlfn.XLOOKUP(
        Final_Sans_VGE[[#This Row],[ppn_z]],
        tbl_Historique_Final[ppn_z],
        tbl_Historique_Final[Horodatage],
        ""
    ),
    Horodatage!$A$2
)</f>
        <v>46233.670796365739</v>
      </c>
      <c r="P1161" s="1" t="str">
        <f>IFERROR(IF(tbl_Historique_Final[[#This Row],[Commentaires]]&lt;&gt;"",tbl_Historique_Final[[#This Row],[Commentaires]],""),"")</f>
        <v/>
      </c>
      <c r="X1161" s="8" t="str">
        <f>IF(Final_Sans_VGE[[#This Row],[ppn_z]]="","",IFERROR(
   IF(_xlfn.XLOOKUP(Final_Sans_VGE[[#This Row],[ppn_z]],tbl_Historique_Final[ppn_z],tbl_Historique_Final[date_modif])=Final_Sans_VGE[[#This Row],[date_modif]],
      "Ancien",
      "Modifié"),
   "Nouveau"))</f>
        <v>Ancien</v>
      </c>
      <c r="AC1161"/>
      <c r="AD1161"/>
    </row>
    <row r="1162" spans="1:30" x14ac:dyDescent="0.25">
      <c r="A1162" s="5" t="s">
        <v>3650</v>
      </c>
      <c r="B1162" s="1" t="s">
        <v>8637</v>
      </c>
      <c r="C1162" s="1" t="s">
        <v>44</v>
      </c>
      <c r="G1162" s="1" t="s">
        <v>11</v>
      </c>
      <c r="J1162" s="3">
        <v>45994.610254629632</v>
      </c>
      <c r="K1162" s="2" t="s">
        <v>8638</v>
      </c>
      <c r="L1162" s="1">
        <v>1</v>
      </c>
      <c r="M1162" s="1">
        <v>1</v>
      </c>
      <c r="N1162">
        <v>0</v>
      </c>
      <c r="O1162" s="3">
        <f>IF(
    R1162="Ancien",
    _xlfn.XLOOKUP(
        Final_Sans_VGE[[#This Row],[ppn_z]],
        tbl_Historique_Final[ppn_z],
        tbl_Historique_Final[Horodatage],
        ""
    ),
    Horodatage!$A$2
)</f>
        <v>46233.670796365739</v>
      </c>
      <c r="P1162" s="1" t="str">
        <f>IFERROR(IF(tbl_Historique_Final[[#This Row],[Commentaires]]&lt;&gt;"",tbl_Historique_Final[[#This Row],[Commentaires]],""),"")</f>
        <v/>
      </c>
      <c r="X1162" s="8" t="str">
        <f>IF(Final_Sans_VGE[[#This Row],[ppn_z]]="","",IFERROR(
   IF(_xlfn.XLOOKUP(Final_Sans_VGE[[#This Row],[ppn_z]],tbl_Historique_Final[ppn_z],tbl_Historique_Final[date_modif])=Final_Sans_VGE[[#This Row],[date_modif]],
      "Ancien",
      "Modifié"),
   "Nouveau"))</f>
        <v>Ancien</v>
      </c>
      <c r="AC1162"/>
      <c r="AD1162"/>
    </row>
    <row r="1163" spans="1:30" x14ac:dyDescent="0.25">
      <c r="A1163" s="5" t="s">
        <v>3653</v>
      </c>
      <c r="B1163" s="1" t="s">
        <v>8639</v>
      </c>
      <c r="C1163" s="1" t="s">
        <v>6783</v>
      </c>
      <c r="D1163" s="1" t="s">
        <v>8640</v>
      </c>
      <c r="E1163" s="1" t="s">
        <v>60</v>
      </c>
      <c r="F1163" s="1" t="s">
        <v>14</v>
      </c>
      <c r="G1163" s="1" t="s">
        <v>10</v>
      </c>
      <c r="H1163" s="1" t="s">
        <v>8641</v>
      </c>
      <c r="I1163" s="1" t="s">
        <v>8642</v>
      </c>
      <c r="J1163" s="3">
        <v>46057.488067129627</v>
      </c>
      <c r="K1163" s="2" t="s">
        <v>8643</v>
      </c>
      <c r="L1163" s="1">
        <v>5</v>
      </c>
      <c r="M1163" s="1">
        <v>5</v>
      </c>
      <c r="N1163">
        <v>0</v>
      </c>
      <c r="O1163" s="3">
        <f>IF(
    R1163="Ancien",
    _xlfn.XLOOKUP(
        Final_Sans_VGE[[#This Row],[ppn_z]],
        tbl_Historique_Final[ppn_z],
        tbl_Historique_Final[Horodatage],
        ""
    ),
    Horodatage!$A$2
)</f>
        <v>46233.670796365739</v>
      </c>
      <c r="P1163" s="1" t="str">
        <f>IFERROR(IF(tbl_Historique_Final[[#This Row],[Commentaires]]&lt;&gt;"",tbl_Historique_Final[[#This Row],[Commentaires]],""),"")</f>
        <v/>
      </c>
      <c r="X1163" s="8" t="str">
        <f>IF(Final_Sans_VGE[[#This Row],[ppn_z]]="","",IFERROR(
   IF(_xlfn.XLOOKUP(Final_Sans_VGE[[#This Row],[ppn_z]],tbl_Historique_Final[ppn_z],tbl_Historique_Final[date_modif])=Final_Sans_VGE[[#This Row],[date_modif]],
      "Ancien",
      "Modifié"),
   "Nouveau"))</f>
        <v>Ancien</v>
      </c>
      <c r="AC1163"/>
      <c r="AD1163"/>
    </row>
    <row r="1164" spans="1:30" ht="45" x14ac:dyDescent="0.25">
      <c r="A1164" s="5" t="s">
        <v>3656</v>
      </c>
      <c r="B1164" s="1" t="s">
        <v>8644</v>
      </c>
      <c r="C1164" s="1" t="s">
        <v>161</v>
      </c>
      <c r="J1164" s="3">
        <v>46003.60125</v>
      </c>
      <c r="K1164" s="2" t="s">
        <v>8645</v>
      </c>
      <c r="L1164" s="1">
        <v>4</v>
      </c>
      <c r="M1164" s="1">
        <v>4</v>
      </c>
      <c r="N1164">
        <v>0</v>
      </c>
      <c r="O1164" s="3">
        <f>IF(
    R1164="Ancien",
    _xlfn.XLOOKUP(
        Final_Sans_VGE[[#This Row],[ppn_z]],
        tbl_Historique_Final[ppn_z],
        tbl_Historique_Final[Horodatage],
        ""
    ),
    Horodatage!$A$2
)</f>
        <v>46233.670796365739</v>
      </c>
      <c r="P1164" s="1" t="str">
        <f>IFERROR(IF(tbl_Historique_Final[[#This Row],[Commentaires]]&lt;&gt;"",tbl_Historique_Final[[#This Row],[Commentaires]],""),"")</f>
        <v/>
      </c>
      <c r="X1164" s="8" t="str">
        <f>IF(Final_Sans_VGE[[#This Row],[ppn_z]]="","",IFERROR(
   IF(_xlfn.XLOOKUP(Final_Sans_VGE[[#This Row],[ppn_z]],tbl_Historique_Final[ppn_z],tbl_Historique_Final[date_modif])=Final_Sans_VGE[[#This Row],[date_modif]],
      "Ancien",
      "Modifié"),
   "Nouveau"))</f>
        <v>Ancien</v>
      </c>
      <c r="AC1164"/>
      <c r="AD1164"/>
    </row>
    <row r="1165" spans="1:30" ht="45" x14ac:dyDescent="0.25">
      <c r="A1165" s="5" t="s">
        <v>3659</v>
      </c>
      <c r="B1165" s="1" t="s">
        <v>8646</v>
      </c>
      <c r="C1165" s="1" t="s">
        <v>8647</v>
      </c>
      <c r="J1165" s="3">
        <v>46037.745393518519</v>
      </c>
      <c r="K1165" s="2" t="s">
        <v>8648</v>
      </c>
      <c r="L1165" s="1">
        <v>744</v>
      </c>
      <c r="M1165" s="1">
        <v>811</v>
      </c>
      <c r="N1165">
        <v>67</v>
      </c>
      <c r="O1165" s="3">
        <f>IF(
    R1165="Ancien",
    _xlfn.XLOOKUP(
        Final_Sans_VGE[[#This Row],[ppn_z]],
        tbl_Historique_Final[ppn_z],
        tbl_Historique_Final[Horodatage],
        ""
    ),
    Horodatage!$A$2
)</f>
        <v>46233.670796365739</v>
      </c>
      <c r="P1165" s="1" t="str">
        <f>IFERROR(IF(tbl_Historique_Final[[#This Row],[Commentaires]]&lt;&gt;"",tbl_Historique_Final[[#This Row],[Commentaires]],""),"")</f>
        <v/>
      </c>
      <c r="X1165" s="8" t="str">
        <f>IF(Final_Sans_VGE[[#This Row],[ppn_z]]="","",IFERROR(
   IF(_xlfn.XLOOKUP(Final_Sans_VGE[[#This Row],[ppn_z]],tbl_Historique_Final[ppn_z],tbl_Historique_Final[date_modif])=Final_Sans_VGE[[#This Row],[date_modif]],
      "Ancien",
      "Modifié"),
   "Nouveau"))</f>
        <v>Ancien</v>
      </c>
      <c r="AC1165"/>
      <c r="AD1165"/>
    </row>
    <row r="1166" spans="1:30" x14ac:dyDescent="0.25">
      <c r="A1166" s="5" t="s">
        <v>3662</v>
      </c>
      <c r="B1166" s="1" t="s">
        <v>8649</v>
      </c>
      <c r="C1166" s="1" t="s">
        <v>52</v>
      </c>
      <c r="J1166" s="3">
        <v>45895.325810185182</v>
      </c>
      <c r="L1166" s="1">
        <v>0</v>
      </c>
      <c r="M1166" s="1">
        <v>0</v>
      </c>
      <c r="N1166">
        <v>0</v>
      </c>
      <c r="O1166" s="3">
        <f>IF(
    R1166="Ancien",
    _xlfn.XLOOKUP(
        Final_Sans_VGE[[#This Row],[ppn_z]],
        tbl_Historique_Final[ppn_z],
        tbl_Historique_Final[Horodatage],
        ""
    ),
    Horodatage!$A$2
)</f>
        <v>46233.670796365739</v>
      </c>
      <c r="P1166" s="1" t="str">
        <f>IFERROR(IF(tbl_Historique_Final[[#This Row],[Commentaires]]&lt;&gt;"",tbl_Historique_Final[[#This Row],[Commentaires]],""),"")</f>
        <v/>
      </c>
      <c r="X1166" s="8" t="str">
        <f>IF(Final_Sans_VGE[[#This Row],[ppn_z]]="","",IFERROR(
   IF(_xlfn.XLOOKUP(Final_Sans_VGE[[#This Row],[ppn_z]],tbl_Historique_Final[ppn_z],tbl_Historique_Final[date_modif])=Final_Sans_VGE[[#This Row],[date_modif]],
      "Ancien",
      "Modifié"),
   "Nouveau"))</f>
        <v>Ancien</v>
      </c>
      <c r="AC1166"/>
      <c r="AD1166"/>
    </row>
    <row r="1167" spans="1:30" ht="30" x14ac:dyDescent="0.25">
      <c r="A1167" s="5" t="s">
        <v>3665</v>
      </c>
      <c r="B1167" s="1" t="s">
        <v>8650</v>
      </c>
      <c r="C1167" s="1" t="s">
        <v>8651</v>
      </c>
      <c r="H1167" s="1" t="s">
        <v>22</v>
      </c>
      <c r="I1167" s="1" t="s">
        <v>22</v>
      </c>
      <c r="J1167" s="3">
        <v>46037.754479166666</v>
      </c>
      <c r="K1167" s="2" t="s">
        <v>8652</v>
      </c>
      <c r="L1167" s="1">
        <v>647</v>
      </c>
      <c r="M1167" s="1">
        <v>664</v>
      </c>
      <c r="N1167">
        <v>17</v>
      </c>
      <c r="O1167" s="3">
        <f>IF(
    R1167="Ancien",
    _xlfn.XLOOKUP(
        Final_Sans_VGE[[#This Row],[ppn_z]],
        tbl_Historique_Final[ppn_z],
        tbl_Historique_Final[Horodatage],
        ""
    ),
    Horodatage!$A$2
)</f>
        <v>46233.670796365739</v>
      </c>
      <c r="P1167" s="1" t="str">
        <f>IFERROR(IF(tbl_Historique_Final[[#This Row],[Commentaires]]&lt;&gt;"",tbl_Historique_Final[[#This Row],[Commentaires]],""),"")</f>
        <v/>
      </c>
      <c r="X1167" s="8" t="str">
        <f>IF(Final_Sans_VGE[[#This Row],[ppn_z]]="","",IFERROR(
   IF(_xlfn.XLOOKUP(Final_Sans_VGE[[#This Row],[ppn_z]],tbl_Historique_Final[ppn_z],tbl_Historique_Final[date_modif])=Final_Sans_VGE[[#This Row],[date_modif]],
      "Ancien",
      "Modifié"),
   "Nouveau"))</f>
        <v>Ancien</v>
      </c>
      <c r="AC1167"/>
      <c r="AD1167"/>
    </row>
    <row r="1168" spans="1:30" x14ac:dyDescent="0.25">
      <c r="A1168" s="5" t="s">
        <v>3668</v>
      </c>
      <c r="B1168" s="1" t="s">
        <v>8653</v>
      </c>
      <c r="C1168" s="1" t="s">
        <v>80</v>
      </c>
      <c r="J1168" s="3">
        <v>45895.478402777779</v>
      </c>
      <c r="L1168" s="1">
        <v>1</v>
      </c>
      <c r="M1168" s="1">
        <v>1</v>
      </c>
      <c r="N1168">
        <v>0</v>
      </c>
      <c r="O1168" s="3">
        <f>IF(
    R1168="Ancien",
    _xlfn.XLOOKUP(
        Final_Sans_VGE[[#This Row],[ppn_z]],
        tbl_Historique_Final[ppn_z],
        tbl_Historique_Final[Horodatage],
        ""
    ),
    Horodatage!$A$2
)</f>
        <v>46233.670796365739</v>
      </c>
      <c r="P1168" s="1" t="str">
        <f>IFERROR(IF(tbl_Historique_Final[[#This Row],[Commentaires]]&lt;&gt;"",tbl_Historique_Final[[#This Row],[Commentaires]],""),"")</f>
        <v/>
      </c>
      <c r="X1168" s="8" t="str">
        <f>IF(Final_Sans_VGE[[#This Row],[ppn_z]]="","",IFERROR(
   IF(_xlfn.XLOOKUP(Final_Sans_VGE[[#This Row],[ppn_z]],tbl_Historique_Final[ppn_z],tbl_Historique_Final[date_modif])=Final_Sans_VGE[[#This Row],[date_modif]],
      "Ancien",
      "Modifié"),
   "Nouveau"))</f>
        <v>Ancien</v>
      </c>
      <c r="AC1168"/>
      <c r="AD1168"/>
    </row>
    <row r="1169" spans="1:30" x14ac:dyDescent="0.25">
      <c r="A1169" s="5" t="s">
        <v>3671</v>
      </c>
      <c r="B1169" s="1" t="s">
        <v>8654</v>
      </c>
      <c r="C1169" s="1" t="s">
        <v>12</v>
      </c>
      <c r="G1169" s="1" t="s">
        <v>10</v>
      </c>
      <c r="J1169" s="3">
        <v>46009.343761574077</v>
      </c>
      <c r="K1169" s="2" t="s">
        <v>8655</v>
      </c>
      <c r="L1169" s="1">
        <v>1</v>
      </c>
      <c r="M1169" s="1">
        <v>1</v>
      </c>
      <c r="N1169">
        <v>0</v>
      </c>
      <c r="O1169" s="3">
        <f>IF(
    R1169="Ancien",
    _xlfn.XLOOKUP(
        Final_Sans_VGE[[#This Row],[ppn_z]],
        tbl_Historique_Final[ppn_z],
        tbl_Historique_Final[Horodatage],
        ""
    ),
    Horodatage!$A$2
)</f>
        <v>46233.670796365739</v>
      </c>
      <c r="P1169" s="1" t="str">
        <f>IFERROR(IF(tbl_Historique_Final[[#This Row],[Commentaires]]&lt;&gt;"",tbl_Historique_Final[[#This Row],[Commentaires]],""),"")</f>
        <v/>
      </c>
      <c r="X1169" s="8" t="str">
        <f>IF(Final_Sans_VGE[[#This Row],[ppn_z]]="","",IFERROR(
   IF(_xlfn.XLOOKUP(Final_Sans_VGE[[#This Row],[ppn_z]],tbl_Historique_Final[ppn_z],tbl_Historique_Final[date_modif])=Final_Sans_VGE[[#This Row],[date_modif]],
      "Ancien",
      "Modifié"),
   "Nouveau"))</f>
        <v>Ancien</v>
      </c>
      <c r="AC1169"/>
      <c r="AD1169"/>
    </row>
    <row r="1170" spans="1:30" x14ac:dyDescent="0.25">
      <c r="A1170" s="5" t="s">
        <v>3674</v>
      </c>
      <c r="B1170" s="1" t="s">
        <v>8656</v>
      </c>
      <c r="C1170" s="1" t="s">
        <v>7546</v>
      </c>
      <c r="J1170" s="3">
        <v>45895.488182870373</v>
      </c>
      <c r="L1170" s="1">
        <v>1</v>
      </c>
      <c r="M1170" s="1">
        <v>1</v>
      </c>
      <c r="N1170">
        <v>0</v>
      </c>
      <c r="O1170" s="3">
        <f>IF(
    R1170="Ancien",
    _xlfn.XLOOKUP(
        Final_Sans_VGE[[#This Row],[ppn_z]],
        tbl_Historique_Final[ppn_z],
        tbl_Historique_Final[Horodatage],
        ""
    ),
    Horodatage!$A$2
)</f>
        <v>46233.670796365739</v>
      </c>
      <c r="P1170" s="1" t="str">
        <f>IFERROR(IF(tbl_Historique_Final[[#This Row],[Commentaires]]&lt;&gt;"",tbl_Historique_Final[[#This Row],[Commentaires]],""),"")</f>
        <v/>
      </c>
      <c r="X1170" s="8" t="str">
        <f>IF(Final_Sans_VGE[[#This Row],[ppn_z]]="","",IFERROR(
   IF(_xlfn.XLOOKUP(Final_Sans_VGE[[#This Row],[ppn_z]],tbl_Historique_Final[ppn_z],tbl_Historique_Final[date_modif])=Final_Sans_VGE[[#This Row],[date_modif]],
      "Ancien",
      "Modifié"),
   "Nouveau"))</f>
        <v>Ancien</v>
      </c>
      <c r="AC1170"/>
      <c r="AD1170"/>
    </row>
    <row r="1171" spans="1:30" ht="30" x14ac:dyDescent="0.25">
      <c r="A1171" s="5" t="s">
        <v>3677</v>
      </c>
      <c r="B1171" s="1" t="s">
        <v>8657</v>
      </c>
      <c r="C1171" s="1" t="s">
        <v>8658</v>
      </c>
      <c r="D1171" s="1" t="s">
        <v>14</v>
      </c>
      <c r="E1171" s="1" t="s">
        <v>137</v>
      </c>
      <c r="F1171" s="1" t="s">
        <v>14</v>
      </c>
      <c r="G1171" s="1" t="s">
        <v>10</v>
      </c>
      <c r="H1171" s="1" t="s">
        <v>22</v>
      </c>
      <c r="I1171" s="1" t="s">
        <v>140</v>
      </c>
      <c r="J1171" s="3">
        <v>46065.663541666669</v>
      </c>
      <c r="K1171" s="2" t="s">
        <v>8659</v>
      </c>
      <c r="L1171" s="1">
        <v>146</v>
      </c>
      <c r="M1171" s="1">
        <v>170</v>
      </c>
      <c r="N1171">
        <v>24</v>
      </c>
      <c r="O1171" s="3">
        <f>IF(
    R1171="Ancien",
    _xlfn.XLOOKUP(
        Final_Sans_VGE[[#This Row],[ppn_z]],
        tbl_Historique_Final[ppn_z],
        tbl_Historique_Final[Horodatage],
        ""
    ),
    Horodatage!$A$2
)</f>
        <v>46233.670796365739</v>
      </c>
      <c r="P1171" s="1" t="str">
        <f>IFERROR(IF(tbl_Historique_Final[[#This Row],[Commentaires]]&lt;&gt;"",tbl_Historique_Final[[#This Row],[Commentaires]],""),"")</f>
        <v/>
      </c>
      <c r="X1171" s="8" t="str">
        <f>IF(Final_Sans_VGE[[#This Row],[ppn_z]]="","",IFERROR(
   IF(_xlfn.XLOOKUP(Final_Sans_VGE[[#This Row],[ppn_z]],tbl_Historique_Final[ppn_z],tbl_Historique_Final[date_modif])=Final_Sans_VGE[[#This Row],[date_modif]],
      "Ancien",
      "Modifié"),
   "Nouveau"))</f>
        <v>Ancien</v>
      </c>
      <c r="AC1171"/>
      <c r="AD1171"/>
    </row>
    <row r="1172" spans="1:30" x14ac:dyDescent="0.25">
      <c r="A1172" s="5" t="s">
        <v>3680</v>
      </c>
      <c r="B1172" s="1" t="s">
        <v>8660</v>
      </c>
      <c r="C1172" s="1" t="s">
        <v>6803</v>
      </c>
      <c r="D1172" s="1" t="s">
        <v>14</v>
      </c>
      <c r="E1172" s="1" t="s">
        <v>6652</v>
      </c>
      <c r="F1172" s="1" t="s">
        <v>14</v>
      </c>
      <c r="G1172" s="1" t="s">
        <v>10</v>
      </c>
      <c r="H1172" s="1" t="s">
        <v>22</v>
      </c>
      <c r="I1172" s="1" t="s">
        <v>22</v>
      </c>
      <c r="J1172" s="3">
        <v>46059.646817129629</v>
      </c>
      <c r="K1172" s="2" t="s">
        <v>8661</v>
      </c>
      <c r="L1172" s="1">
        <v>46</v>
      </c>
      <c r="M1172" s="1">
        <v>46</v>
      </c>
      <c r="N1172">
        <v>0</v>
      </c>
      <c r="O1172" s="3">
        <f>IF(
    R1172="Ancien",
    _xlfn.XLOOKUP(
        Final_Sans_VGE[[#This Row],[ppn_z]],
        tbl_Historique_Final[ppn_z],
        tbl_Historique_Final[Horodatage],
        ""
    ),
    Horodatage!$A$2
)</f>
        <v>46233.670796365739</v>
      </c>
      <c r="P1172" s="1" t="str">
        <f>IFERROR(IF(tbl_Historique_Final[[#This Row],[Commentaires]]&lt;&gt;"",tbl_Historique_Final[[#This Row],[Commentaires]],""),"")</f>
        <v/>
      </c>
      <c r="X1172" s="8" t="str">
        <f>IF(Final_Sans_VGE[[#This Row],[ppn_z]]="","",IFERROR(
   IF(_xlfn.XLOOKUP(Final_Sans_VGE[[#This Row],[ppn_z]],tbl_Historique_Final[ppn_z],tbl_Historique_Final[date_modif])=Final_Sans_VGE[[#This Row],[date_modif]],
      "Ancien",
      "Modifié"),
   "Nouveau"))</f>
        <v>Ancien</v>
      </c>
      <c r="AC1172"/>
      <c r="AD1172"/>
    </row>
    <row r="1173" spans="1:30" ht="30" x14ac:dyDescent="0.25">
      <c r="A1173" s="5" t="s">
        <v>3683</v>
      </c>
      <c r="B1173" s="1" t="s">
        <v>8662</v>
      </c>
      <c r="C1173" s="1" t="s">
        <v>8658</v>
      </c>
      <c r="E1173" s="1" t="s">
        <v>59</v>
      </c>
      <c r="G1173" s="1" t="s">
        <v>10</v>
      </c>
      <c r="J1173" s="3">
        <v>46058.620439814818</v>
      </c>
      <c r="K1173" s="2" t="s">
        <v>8663</v>
      </c>
      <c r="L1173" s="1">
        <v>3</v>
      </c>
      <c r="M1173" s="1">
        <v>3</v>
      </c>
      <c r="N1173">
        <v>0</v>
      </c>
      <c r="O1173" s="3">
        <f>IF(
    R1173="Ancien",
    _xlfn.XLOOKUP(
        Final_Sans_VGE[[#This Row],[ppn_z]],
        tbl_Historique_Final[ppn_z],
        tbl_Historique_Final[Horodatage],
        ""
    ),
    Horodatage!$A$2
)</f>
        <v>46233.670796365739</v>
      </c>
      <c r="P1173" s="1" t="str">
        <f>IFERROR(IF(tbl_Historique_Final[[#This Row],[Commentaires]]&lt;&gt;"",tbl_Historique_Final[[#This Row],[Commentaires]],""),"")</f>
        <v/>
      </c>
      <c r="X1173" s="8" t="str">
        <f>IF(Final_Sans_VGE[[#This Row],[ppn_z]]="","",IFERROR(
   IF(_xlfn.XLOOKUP(Final_Sans_VGE[[#This Row],[ppn_z]],tbl_Historique_Final[ppn_z],tbl_Historique_Final[date_modif])=Final_Sans_VGE[[#This Row],[date_modif]],
      "Ancien",
      "Modifié"),
   "Nouveau"))</f>
        <v>Ancien</v>
      </c>
      <c r="AC1173"/>
      <c r="AD1173"/>
    </row>
    <row r="1174" spans="1:30" ht="30" x14ac:dyDescent="0.25">
      <c r="A1174" s="5" t="s">
        <v>3686</v>
      </c>
      <c r="B1174" s="1" t="s">
        <v>8664</v>
      </c>
      <c r="C1174" s="1" t="s">
        <v>93</v>
      </c>
      <c r="E1174" s="1" t="s">
        <v>85</v>
      </c>
      <c r="G1174" s="1" t="s">
        <v>10</v>
      </c>
      <c r="J1174" s="3">
        <v>46097.516724537039</v>
      </c>
      <c r="K1174" s="2" t="s">
        <v>8665</v>
      </c>
      <c r="L1174" s="1">
        <v>38</v>
      </c>
      <c r="M1174" s="1">
        <v>38</v>
      </c>
      <c r="N1174">
        <v>0</v>
      </c>
      <c r="O1174" s="3">
        <f>IF(
    R1174="Ancien",
    _xlfn.XLOOKUP(
        Final_Sans_VGE[[#This Row],[ppn_z]],
        tbl_Historique_Final[ppn_z],
        tbl_Historique_Final[Horodatage],
        ""
    ),
    Horodatage!$A$2
)</f>
        <v>46233.670796365739</v>
      </c>
      <c r="P1174" s="1" t="str">
        <f>IFERROR(IF(tbl_Historique_Final[[#This Row],[Commentaires]]&lt;&gt;"",tbl_Historique_Final[[#This Row],[Commentaires]],""),"")</f>
        <v/>
      </c>
      <c r="X1174" s="8" t="str">
        <f>IF(Final_Sans_VGE[[#This Row],[ppn_z]]="","",IFERROR(
   IF(_xlfn.XLOOKUP(Final_Sans_VGE[[#This Row],[ppn_z]],tbl_Historique_Final[ppn_z],tbl_Historique_Final[date_modif])=Final_Sans_VGE[[#This Row],[date_modif]],
      "Ancien",
      "Modifié"),
   "Nouveau"))</f>
        <v>Ancien</v>
      </c>
      <c r="AC1174"/>
      <c r="AD1174"/>
    </row>
    <row r="1175" spans="1:30" x14ac:dyDescent="0.25">
      <c r="A1175" s="5" t="s">
        <v>3689</v>
      </c>
      <c r="B1175" s="1" t="s">
        <v>8666</v>
      </c>
      <c r="C1175" s="1" t="s">
        <v>7698</v>
      </c>
      <c r="D1175" s="1" t="s">
        <v>14</v>
      </c>
      <c r="E1175" s="1" t="s">
        <v>6415</v>
      </c>
      <c r="F1175" s="1" t="s">
        <v>151</v>
      </c>
      <c r="G1175" s="1" t="s">
        <v>10</v>
      </c>
      <c r="H1175" s="1" t="s">
        <v>22</v>
      </c>
      <c r="I1175" s="1" t="s">
        <v>22</v>
      </c>
      <c r="J1175" s="3">
        <v>46059.569016203706</v>
      </c>
      <c r="K1175" s="2" t="s">
        <v>8667</v>
      </c>
      <c r="L1175" s="1">
        <v>5</v>
      </c>
      <c r="M1175" s="1">
        <v>5</v>
      </c>
      <c r="N1175">
        <v>0</v>
      </c>
      <c r="O1175" s="3">
        <f>IF(
    R1175="Ancien",
    _xlfn.XLOOKUP(
        Final_Sans_VGE[[#This Row],[ppn_z]],
        tbl_Historique_Final[ppn_z],
        tbl_Historique_Final[Horodatage],
        ""
    ),
    Horodatage!$A$2
)</f>
        <v>46233.670796365739</v>
      </c>
      <c r="P1175" s="1" t="str">
        <f>IFERROR(IF(tbl_Historique_Final[[#This Row],[Commentaires]]&lt;&gt;"",tbl_Historique_Final[[#This Row],[Commentaires]],""),"")</f>
        <v/>
      </c>
      <c r="X1175" s="8" t="str">
        <f>IF(Final_Sans_VGE[[#This Row],[ppn_z]]="","",IFERROR(
   IF(_xlfn.XLOOKUP(Final_Sans_VGE[[#This Row],[ppn_z]],tbl_Historique_Final[ppn_z],tbl_Historique_Final[date_modif])=Final_Sans_VGE[[#This Row],[date_modif]],
      "Ancien",
      "Modifié"),
   "Nouveau"))</f>
        <v>Ancien</v>
      </c>
      <c r="AC1175"/>
      <c r="AD1175"/>
    </row>
    <row r="1176" spans="1:30" ht="30" x14ac:dyDescent="0.25">
      <c r="A1176" s="5" t="s">
        <v>3692</v>
      </c>
      <c r="B1176" s="1" t="s">
        <v>8668</v>
      </c>
      <c r="C1176" s="1" t="s">
        <v>53</v>
      </c>
      <c r="J1176" s="3">
        <v>46086.683807870373</v>
      </c>
      <c r="K1176" s="2" t="s">
        <v>8669</v>
      </c>
      <c r="L1176" s="1">
        <v>39</v>
      </c>
      <c r="M1176" s="1">
        <v>39</v>
      </c>
      <c r="N1176">
        <v>0</v>
      </c>
      <c r="O1176" s="3">
        <f>IF(
    R1176="Ancien",
    _xlfn.XLOOKUP(
        Final_Sans_VGE[[#This Row],[ppn_z]],
        tbl_Historique_Final[ppn_z],
        tbl_Historique_Final[Horodatage],
        ""
    ),
    Horodatage!$A$2
)</f>
        <v>46233.670796365739</v>
      </c>
      <c r="P1176" s="1" t="str">
        <f>IFERROR(IF(tbl_Historique_Final[[#This Row],[Commentaires]]&lt;&gt;"",tbl_Historique_Final[[#This Row],[Commentaires]],""),"")</f>
        <v/>
      </c>
      <c r="X1176" s="8" t="str">
        <f>IF(Final_Sans_VGE[[#This Row],[ppn_z]]="","",IFERROR(
   IF(_xlfn.XLOOKUP(Final_Sans_VGE[[#This Row],[ppn_z]],tbl_Historique_Final[ppn_z],tbl_Historique_Final[date_modif])=Final_Sans_VGE[[#This Row],[date_modif]],
      "Ancien",
      "Modifié"),
   "Nouveau"))</f>
        <v>Ancien</v>
      </c>
      <c r="AC1176"/>
      <c r="AD1176"/>
    </row>
    <row r="1177" spans="1:30" ht="30" x14ac:dyDescent="0.25">
      <c r="A1177" s="5" t="s">
        <v>3695</v>
      </c>
      <c r="B1177" s="1" t="s">
        <v>8670</v>
      </c>
      <c r="C1177" s="1" t="s">
        <v>12</v>
      </c>
      <c r="G1177" s="1" t="s">
        <v>10</v>
      </c>
      <c r="J1177" s="3">
        <v>46086.703020833331</v>
      </c>
      <c r="K1177" s="2" t="s">
        <v>8671</v>
      </c>
      <c r="L1177" s="1">
        <v>25</v>
      </c>
      <c r="M1177" s="1">
        <v>25</v>
      </c>
      <c r="N1177">
        <v>0</v>
      </c>
      <c r="O1177" s="3">
        <f>IF(
    R1177="Ancien",
    _xlfn.XLOOKUP(
        Final_Sans_VGE[[#This Row],[ppn_z]],
        tbl_Historique_Final[ppn_z],
        tbl_Historique_Final[Horodatage],
        ""
    ),
    Horodatage!$A$2
)</f>
        <v>46233.670796365739</v>
      </c>
      <c r="P1177" s="1" t="str">
        <f>IFERROR(IF(tbl_Historique_Final[[#This Row],[Commentaires]]&lt;&gt;"",tbl_Historique_Final[[#This Row],[Commentaires]],""),"")</f>
        <v/>
      </c>
      <c r="X1177" s="8" t="str">
        <f>IF(Final_Sans_VGE[[#This Row],[ppn_z]]="","",IFERROR(
   IF(_xlfn.XLOOKUP(Final_Sans_VGE[[#This Row],[ppn_z]],tbl_Historique_Final[ppn_z],tbl_Historique_Final[date_modif])=Final_Sans_VGE[[#This Row],[date_modif]],
      "Ancien",
      "Modifié"),
   "Nouveau"))</f>
        <v>Ancien</v>
      </c>
      <c r="AC1177"/>
      <c r="AD1177"/>
    </row>
    <row r="1178" spans="1:30" x14ac:dyDescent="0.25">
      <c r="A1178" s="5" t="s">
        <v>3698</v>
      </c>
      <c r="B1178" s="1" t="s">
        <v>8672</v>
      </c>
      <c r="C1178" s="1" t="s">
        <v>7506</v>
      </c>
      <c r="E1178" s="1" t="s">
        <v>7096</v>
      </c>
      <c r="G1178" s="1" t="s">
        <v>10</v>
      </c>
      <c r="J1178" s="3">
        <v>46077.763124999998</v>
      </c>
      <c r="K1178" s="2" t="s">
        <v>8673</v>
      </c>
      <c r="L1178" s="1">
        <v>27</v>
      </c>
      <c r="M1178" s="1">
        <v>30</v>
      </c>
      <c r="N1178">
        <v>3</v>
      </c>
      <c r="O1178" s="3">
        <f>IF(
    R1178="Ancien",
    _xlfn.XLOOKUP(
        Final_Sans_VGE[[#This Row],[ppn_z]],
        tbl_Historique_Final[ppn_z],
        tbl_Historique_Final[Horodatage],
        ""
    ),
    Horodatage!$A$2
)</f>
        <v>46233.670796365739</v>
      </c>
      <c r="P1178" s="1" t="str">
        <f>IFERROR(IF(tbl_Historique_Final[[#This Row],[Commentaires]]&lt;&gt;"",tbl_Historique_Final[[#This Row],[Commentaires]],""),"")</f>
        <v/>
      </c>
      <c r="X1178" s="8" t="str">
        <f>IF(Final_Sans_VGE[[#This Row],[ppn_z]]="","",IFERROR(
   IF(_xlfn.XLOOKUP(Final_Sans_VGE[[#This Row],[ppn_z]],tbl_Historique_Final[ppn_z],tbl_Historique_Final[date_modif])=Final_Sans_VGE[[#This Row],[date_modif]],
      "Ancien",
      "Modifié"),
   "Nouveau"))</f>
        <v>Ancien</v>
      </c>
      <c r="AC1178"/>
      <c r="AD1178"/>
    </row>
    <row r="1179" spans="1:30" x14ac:dyDescent="0.25">
      <c r="A1179" s="5" t="s">
        <v>3701</v>
      </c>
      <c r="B1179" s="1" t="s">
        <v>8674</v>
      </c>
      <c r="C1179" s="1" t="s">
        <v>8675</v>
      </c>
      <c r="D1179" s="1" t="s">
        <v>14</v>
      </c>
      <c r="E1179" s="1" t="s">
        <v>7558</v>
      </c>
      <c r="F1179" s="1" t="s">
        <v>14</v>
      </c>
      <c r="G1179" s="1" t="s">
        <v>10</v>
      </c>
      <c r="H1179" s="1" t="s">
        <v>22</v>
      </c>
      <c r="I1179" s="1" t="s">
        <v>22</v>
      </c>
      <c r="J1179" s="3">
        <v>46065.592349537037</v>
      </c>
      <c r="K1179" s="2" t="s">
        <v>7461</v>
      </c>
      <c r="L1179" s="1">
        <v>56</v>
      </c>
      <c r="M1179" s="1">
        <v>63</v>
      </c>
      <c r="N1179">
        <v>7</v>
      </c>
      <c r="O1179" s="3">
        <f>IF(
    R1179="Ancien",
    _xlfn.XLOOKUP(
        Final_Sans_VGE[[#This Row],[ppn_z]],
        tbl_Historique_Final[ppn_z],
        tbl_Historique_Final[Horodatage],
        ""
    ),
    Horodatage!$A$2
)</f>
        <v>46233.670796365739</v>
      </c>
      <c r="P1179" s="1" t="str">
        <f>IFERROR(IF(tbl_Historique_Final[[#This Row],[Commentaires]]&lt;&gt;"",tbl_Historique_Final[[#This Row],[Commentaires]],""),"")</f>
        <v/>
      </c>
      <c r="X1179" s="8" t="str">
        <f>IF(Final_Sans_VGE[[#This Row],[ppn_z]]="","",IFERROR(
   IF(_xlfn.XLOOKUP(Final_Sans_VGE[[#This Row],[ppn_z]],tbl_Historique_Final[ppn_z],tbl_Historique_Final[date_modif])=Final_Sans_VGE[[#This Row],[date_modif]],
      "Ancien",
      "Modifié"),
   "Nouveau"))</f>
        <v>Ancien</v>
      </c>
      <c r="AC1179"/>
      <c r="AD1179"/>
    </row>
    <row r="1180" spans="1:30" ht="30" x14ac:dyDescent="0.25">
      <c r="A1180" s="5" t="s">
        <v>3704</v>
      </c>
      <c r="B1180" s="1" t="s">
        <v>8676</v>
      </c>
      <c r="C1180" s="1" t="s">
        <v>7796</v>
      </c>
      <c r="D1180" s="1" t="s">
        <v>14</v>
      </c>
      <c r="E1180" s="1" t="s">
        <v>6353</v>
      </c>
      <c r="F1180" s="1" t="s">
        <v>7437</v>
      </c>
      <c r="G1180" s="1" t="s">
        <v>10</v>
      </c>
      <c r="H1180" s="1" t="s">
        <v>22</v>
      </c>
      <c r="I1180" s="1" t="s">
        <v>22</v>
      </c>
      <c r="J1180" s="3">
        <v>46059.319953703707</v>
      </c>
      <c r="K1180" s="2" t="s">
        <v>8677</v>
      </c>
      <c r="L1180" s="1">
        <v>27</v>
      </c>
      <c r="M1180" s="1">
        <v>30</v>
      </c>
      <c r="N1180">
        <v>3</v>
      </c>
      <c r="O1180" s="3">
        <f>IF(
    R1180="Ancien",
    _xlfn.XLOOKUP(
        Final_Sans_VGE[[#This Row],[ppn_z]],
        tbl_Historique_Final[ppn_z],
        tbl_Historique_Final[Horodatage],
        ""
    ),
    Horodatage!$A$2
)</f>
        <v>46233.670796365739</v>
      </c>
      <c r="P1180" s="1" t="str">
        <f>IFERROR(IF(tbl_Historique_Final[[#This Row],[Commentaires]]&lt;&gt;"",tbl_Historique_Final[[#This Row],[Commentaires]],""),"")</f>
        <v/>
      </c>
      <c r="X1180" s="8" t="str">
        <f>IF(Final_Sans_VGE[[#This Row],[ppn_z]]="","",IFERROR(
   IF(_xlfn.XLOOKUP(Final_Sans_VGE[[#This Row],[ppn_z]],tbl_Historique_Final[ppn_z],tbl_Historique_Final[date_modif])=Final_Sans_VGE[[#This Row],[date_modif]],
      "Ancien",
      "Modifié"),
   "Nouveau"))</f>
        <v>Ancien</v>
      </c>
      <c r="AC1180"/>
      <c r="AD1180"/>
    </row>
    <row r="1181" spans="1:30" x14ac:dyDescent="0.25">
      <c r="A1181" s="5" t="s">
        <v>3707</v>
      </c>
      <c r="B1181" s="1" t="s">
        <v>8678</v>
      </c>
      <c r="C1181" s="1" t="s">
        <v>7090</v>
      </c>
      <c r="J1181" s="3">
        <v>46070.494062500002</v>
      </c>
      <c r="K1181" s="2" t="s">
        <v>8679</v>
      </c>
      <c r="L1181" s="1">
        <v>2</v>
      </c>
      <c r="M1181" s="1">
        <v>2</v>
      </c>
      <c r="N1181">
        <v>0</v>
      </c>
      <c r="O1181" s="3">
        <f>IF(
    R1181="Ancien",
    _xlfn.XLOOKUP(
        Final_Sans_VGE[[#This Row],[ppn_z]],
        tbl_Historique_Final[ppn_z],
        tbl_Historique_Final[Horodatage],
        ""
    ),
    Horodatage!$A$2
)</f>
        <v>46233.670796365739</v>
      </c>
      <c r="P1181" s="1" t="str">
        <f>IFERROR(IF(tbl_Historique_Final[[#This Row],[Commentaires]]&lt;&gt;"",tbl_Historique_Final[[#This Row],[Commentaires]],""),"")</f>
        <v/>
      </c>
      <c r="X1181" s="8" t="str">
        <f>IF(Final_Sans_VGE[[#This Row],[ppn_z]]="","",IFERROR(
   IF(_xlfn.XLOOKUP(Final_Sans_VGE[[#This Row],[ppn_z]],tbl_Historique_Final[ppn_z],tbl_Historique_Final[date_modif])=Final_Sans_VGE[[#This Row],[date_modif]],
      "Ancien",
      "Modifié"),
   "Nouveau"))</f>
        <v>Ancien</v>
      </c>
      <c r="AC1181"/>
      <c r="AD1181"/>
    </row>
    <row r="1182" spans="1:30" x14ac:dyDescent="0.25">
      <c r="A1182" s="5" t="s">
        <v>3710</v>
      </c>
      <c r="B1182" s="1" t="s">
        <v>8680</v>
      </c>
      <c r="C1182" s="1" t="s">
        <v>44</v>
      </c>
      <c r="G1182" s="1" t="s">
        <v>10</v>
      </c>
      <c r="J1182" s="3">
        <v>46092.767164351855</v>
      </c>
      <c r="K1182" s="2" t="s">
        <v>8681</v>
      </c>
      <c r="L1182" s="1">
        <v>0</v>
      </c>
      <c r="M1182" s="1">
        <v>1</v>
      </c>
      <c r="N1182">
        <v>1</v>
      </c>
      <c r="O1182" s="3">
        <f>IF(
    R1182="Ancien",
    _xlfn.XLOOKUP(
        Final_Sans_VGE[[#This Row],[ppn_z]],
        tbl_Historique_Final[ppn_z],
        tbl_Historique_Final[Horodatage],
        ""
    ),
    Horodatage!$A$2
)</f>
        <v>46233.670796365739</v>
      </c>
      <c r="P1182" s="1" t="str">
        <f>IFERROR(IF(tbl_Historique_Final[[#This Row],[Commentaires]]&lt;&gt;"",tbl_Historique_Final[[#This Row],[Commentaires]],""),"")</f>
        <v/>
      </c>
      <c r="X1182" s="8" t="str">
        <f>IF(Final_Sans_VGE[[#This Row],[ppn_z]]="","",IFERROR(
   IF(_xlfn.XLOOKUP(Final_Sans_VGE[[#This Row],[ppn_z]],tbl_Historique_Final[ppn_z],tbl_Historique_Final[date_modif])=Final_Sans_VGE[[#This Row],[date_modif]],
      "Ancien",
      "Modifié"),
   "Nouveau"))</f>
        <v>Ancien</v>
      </c>
      <c r="AC1182"/>
      <c r="AD1182"/>
    </row>
    <row r="1183" spans="1:30" x14ac:dyDescent="0.25">
      <c r="A1183" s="5" t="s">
        <v>3713</v>
      </c>
      <c r="B1183" s="1" t="s">
        <v>8682</v>
      </c>
      <c r="C1183" s="1" t="s">
        <v>12</v>
      </c>
      <c r="G1183" s="1" t="s">
        <v>11</v>
      </c>
      <c r="J1183" s="3">
        <v>46077.630879629629</v>
      </c>
      <c r="K1183" s="2" t="s">
        <v>8683</v>
      </c>
      <c r="L1183" s="1">
        <v>1</v>
      </c>
      <c r="M1183" s="1">
        <v>1</v>
      </c>
      <c r="N1183">
        <v>0</v>
      </c>
      <c r="O1183" s="3">
        <f>IF(
    R1183="Ancien",
    _xlfn.XLOOKUP(
        Final_Sans_VGE[[#This Row],[ppn_z]],
        tbl_Historique_Final[ppn_z],
        tbl_Historique_Final[Horodatage],
        ""
    ),
    Horodatage!$A$2
)</f>
        <v>46233.670796365739</v>
      </c>
      <c r="P1183" s="1" t="str">
        <f>IFERROR(IF(tbl_Historique_Final[[#This Row],[Commentaires]]&lt;&gt;"",tbl_Historique_Final[[#This Row],[Commentaires]],""),"")</f>
        <v/>
      </c>
      <c r="X1183" s="8" t="str">
        <f>IF(Final_Sans_VGE[[#This Row],[ppn_z]]="","",IFERROR(
   IF(_xlfn.XLOOKUP(Final_Sans_VGE[[#This Row],[ppn_z]],tbl_Historique_Final[ppn_z],tbl_Historique_Final[date_modif])=Final_Sans_VGE[[#This Row],[date_modif]],
      "Ancien",
      "Modifié"),
   "Nouveau"))</f>
        <v>Ancien</v>
      </c>
      <c r="AC1183"/>
      <c r="AD1183"/>
    </row>
    <row r="1184" spans="1:30" ht="45" x14ac:dyDescent="0.25">
      <c r="A1184" s="5" t="s">
        <v>3716</v>
      </c>
      <c r="B1184" s="1" t="s">
        <v>8684</v>
      </c>
      <c r="C1184" s="1" t="s">
        <v>8685</v>
      </c>
      <c r="E1184" s="1" t="s">
        <v>6694</v>
      </c>
      <c r="J1184" s="3">
        <v>46057.707812499997</v>
      </c>
      <c r="K1184" s="2" t="s">
        <v>8686</v>
      </c>
      <c r="L1184" s="1">
        <v>1</v>
      </c>
      <c r="M1184" s="1">
        <v>1</v>
      </c>
      <c r="N1184">
        <v>0</v>
      </c>
      <c r="O1184" s="3">
        <f>IF(
    R1184="Ancien",
    _xlfn.XLOOKUP(
        Final_Sans_VGE[[#This Row],[ppn_z]],
        tbl_Historique_Final[ppn_z],
        tbl_Historique_Final[Horodatage],
        ""
    ),
    Horodatage!$A$2
)</f>
        <v>46233.670796365739</v>
      </c>
      <c r="P1184" s="1" t="str">
        <f>IFERROR(IF(tbl_Historique_Final[[#This Row],[Commentaires]]&lt;&gt;"",tbl_Historique_Final[[#This Row],[Commentaires]],""),"")</f>
        <v/>
      </c>
      <c r="X1184" s="8" t="str">
        <f>IF(Final_Sans_VGE[[#This Row],[ppn_z]]="","",IFERROR(
   IF(_xlfn.XLOOKUP(Final_Sans_VGE[[#This Row],[ppn_z]],tbl_Historique_Final[ppn_z],tbl_Historique_Final[date_modif])=Final_Sans_VGE[[#This Row],[date_modif]],
      "Ancien",
      "Modifié"),
   "Nouveau"))</f>
        <v>Ancien</v>
      </c>
      <c r="AC1184"/>
      <c r="AD1184"/>
    </row>
    <row r="1185" spans="1:30" ht="60" x14ac:dyDescent="0.25">
      <c r="A1185" s="5" t="s">
        <v>3719</v>
      </c>
      <c r="B1185" s="1" t="s">
        <v>8687</v>
      </c>
      <c r="J1185" s="3">
        <v>46058.59103009259</v>
      </c>
      <c r="K1185" s="2" t="s">
        <v>8688</v>
      </c>
      <c r="L1185" s="1">
        <v>41</v>
      </c>
      <c r="M1185" s="1">
        <v>50</v>
      </c>
      <c r="N1185">
        <v>9</v>
      </c>
      <c r="O1185" s="3">
        <f>IF(
    R1185="Ancien",
    _xlfn.XLOOKUP(
        Final_Sans_VGE[[#This Row],[ppn_z]],
        tbl_Historique_Final[ppn_z],
        tbl_Historique_Final[Horodatage],
        ""
    ),
    Horodatage!$A$2
)</f>
        <v>46233.670796365739</v>
      </c>
      <c r="P1185" s="1" t="str">
        <f>IFERROR(IF(tbl_Historique_Final[[#This Row],[Commentaires]]&lt;&gt;"",tbl_Historique_Final[[#This Row],[Commentaires]],""),"")</f>
        <v/>
      </c>
      <c r="X1185" s="8" t="str">
        <f>IF(Final_Sans_VGE[[#This Row],[ppn_z]]="","",IFERROR(
   IF(_xlfn.XLOOKUP(Final_Sans_VGE[[#This Row],[ppn_z]],tbl_Historique_Final[ppn_z],tbl_Historique_Final[date_modif])=Final_Sans_VGE[[#This Row],[date_modif]],
      "Ancien",
      "Modifié"),
   "Nouveau"))</f>
        <v>Ancien</v>
      </c>
      <c r="AC1185"/>
      <c r="AD1185"/>
    </row>
    <row r="1186" spans="1:30" ht="45" x14ac:dyDescent="0.25">
      <c r="A1186" s="5" t="s">
        <v>3722</v>
      </c>
      <c r="B1186" s="1" t="s">
        <v>8689</v>
      </c>
      <c r="C1186" s="1" t="s">
        <v>8690</v>
      </c>
      <c r="D1186" s="1" t="s">
        <v>14</v>
      </c>
      <c r="E1186" s="1" t="s">
        <v>8691</v>
      </c>
      <c r="F1186" s="1" t="s">
        <v>7437</v>
      </c>
      <c r="G1186" s="1" t="s">
        <v>10</v>
      </c>
      <c r="H1186" s="1" t="s">
        <v>140</v>
      </c>
      <c r="I1186" s="1" t="s">
        <v>22</v>
      </c>
      <c r="J1186" s="3">
        <v>46079.41002314815</v>
      </c>
      <c r="K1186" s="2" t="s">
        <v>8692</v>
      </c>
      <c r="L1186" s="1">
        <v>9</v>
      </c>
      <c r="M1186" s="1">
        <v>18</v>
      </c>
      <c r="N1186">
        <v>9</v>
      </c>
      <c r="O1186" s="3">
        <f>IF(
    R1186="Ancien",
    _xlfn.XLOOKUP(
        Final_Sans_VGE[[#This Row],[ppn_z]],
        tbl_Historique_Final[ppn_z],
        tbl_Historique_Final[Horodatage],
        ""
    ),
    Horodatage!$A$2
)</f>
        <v>46233.670796365739</v>
      </c>
      <c r="P1186" s="1" t="str">
        <f>IFERROR(IF(tbl_Historique_Final[[#This Row],[Commentaires]]&lt;&gt;"",tbl_Historique_Final[[#This Row],[Commentaires]],""),"")</f>
        <v/>
      </c>
      <c r="X1186" s="8" t="str">
        <f>IF(Final_Sans_VGE[[#This Row],[ppn_z]]="","",IFERROR(
   IF(_xlfn.XLOOKUP(Final_Sans_VGE[[#This Row],[ppn_z]],tbl_Historique_Final[ppn_z],tbl_Historique_Final[date_modif])=Final_Sans_VGE[[#This Row],[date_modif]],
      "Ancien",
      "Modifié"),
   "Nouveau"))</f>
        <v>Ancien</v>
      </c>
      <c r="AC1186"/>
      <c r="AD1186"/>
    </row>
    <row r="1187" spans="1:30" x14ac:dyDescent="0.25">
      <c r="A1187" s="5" t="s">
        <v>3725</v>
      </c>
      <c r="B1187" s="1" t="s">
        <v>8693</v>
      </c>
      <c r="C1187" s="1" t="s">
        <v>7771</v>
      </c>
      <c r="D1187" s="1" t="s">
        <v>14</v>
      </c>
      <c r="E1187" s="1" t="s">
        <v>6641</v>
      </c>
      <c r="F1187" s="1" t="s">
        <v>14</v>
      </c>
      <c r="G1187" s="1" t="s">
        <v>10</v>
      </c>
      <c r="H1187" s="1" t="s">
        <v>140</v>
      </c>
      <c r="I1187" s="1" t="s">
        <v>22</v>
      </c>
      <c r="J1187" s="3">
        <v>46080.642800925925</v>
      </c>
      <c r="K1187" s="2" t="s">
        <v>7461</v>
      </c>
      <c r="L1187" s="1">
        <v>0</v>
      </c>
      <c r="M1187" s="1">
        <v>1</v>
      </c>
      <c r="N1187">
        <v>1</v>
      </c>
      <c r="O1187" s="3">
        <f>IF(
    R1187="Ancien",
    _xlfn.XLOOKUP(
        Final_Sans_VGE[[#This Row],[ppn_z]],
        tbl_Historique_Final[ppn_z],
        tbl_Historique_Final[Horodatage],
        ""
    ),
    Horodatage!$A$2
)</f>
        <v>46233.670796365739</v>
      </c>
      <c r="P1187" s="1" t="str">
        <f>IFERROR(IF(tbl_Historique_Final[[#This Row],[Commentaires]]&lt;&gt;"",tbl_Historique_Final[[#This Row],[Commentaires]],""),"")</f>
        <v/>
      </c>
      <c r="X1187" s="8" t="str">
        <f>IF(Final_Sans_VGE[[#This Row],[ppn_z]]="","",IFERROR(
   IF(_xlfn.XLOOKUP(Final_Sans_VGE[[#This Row],[ppn_z]],tbl_Historique_Final[ppn_z],tbl_Historique_Final[date_modif])=Final_Sans_VGE[[#This Row],[date_modif]],
      "Ancien",
      "Modifié"),
   "Nouveau"))</f>
        <v>Ancien</v>
      </c>
      <c r="AC1187"/>
      <c r="AD1187"/>
    </row>
    <row r="1188" spans="1:30" x14ac:dyDescent="0.25">
      <c r="A1188" s="5" t="s">
        <v>3728</v>
      </c>
      <c r="B1188" s="1" t="s">
        <v>8694</v>
      </c>
      <c r="C1188" s="1" t="s">
        <v>6559</v>
      </c>
      <c r="D1188" s="1" t="s">
        <v>8695</v>
      </c>
      <c r="E1188" s="1" t="s">
        <v>70</v>
      </c>
      <c r="F1188" s="1" t="s">
        <v>8695</v>
      </c>
      <c r="G1188" s="1" t="s">
        <v>10</v>
      </c>
      <c r="H1188" s="1" t="s">
        <v>22</v>
      </c>
      <c r="I1188" s="1" t="s">
        <v>22</v>
      </c>
      <c r="J1188" s="3">
        <v>46098.555844907409</v>
      </c>
      <c r="K1188" s="2" t="s">
        <v>8696</v>
      </c>
      <c r="L1188" s="1">
        <v>14</v>
      </c>
      <c r="M1188" s="1">
        <v>38</v>
      </c>
      <c r="N1188">
        <v>24</v>
      </c>
      <c r="O1188" s="3">
        <f>IF(
    R1188="Ancien",
    _xlfn.XLOOKUP(
        Final_Sans_VGE[[#This Row],[ppn_z]],
        tbl_Historique_Final[ppn_z],
        tbl_Historique_Final[Horodatage],
        ""
    ),
    Horodatage!$A$2
)</f>
        <v>46233.670796365739</v>
      </c>
      <c r="P1188" s="1" t="str">
        <f>IFERROR(IF(tbl_Historique_Final[[#This Row],[Commentaires]]&lt;&gt;"",tbl_Historique_Final[[#This Row],[Commentaires]],""),"")</f>
        <v/>
      </c>
      <c r="X1188" s="8" t="str">
        <f>IF(Final_Sans_VGE[[#This Row],[ppn_z]]="","",IFERROR(
   IF(_xlfn.XLOOKUP(Final_Sans_VGE[[#This Row],[ppn_z]],tbl_Historique_Final[ppn_z],tbl_Historique_Final[date_modif])=Final_Sans_VGE[[#This Row],[date_modif]],
      "Ancien",
      "Modifié"),
   "Nouveau"))</f>
        <v>Ancien</v>
      </c>
      <c r="AC1188"/>
      <c r="AD1188"/>
    </row>
    <row r="1189" spans="1:30" x14ac:dyDescent="0.25">
      <c r="A1189" s="5" t="s">
        <v>3731</v>
      </c>
      <c r="B1189" s="1" t="s">
        <v>8697</v>
      </c>
      <c r="C1189" s="1" t="s">
        <v>8675</v>
      </c>
      <c r="D1189" s="1" t="s">
        <v>8698</v>
      </c>
      <c r="E1189" s="1" t="s">
        <v>7496</v>
      </c>
      <c r="G1189" s="1" t="s">
        <v>10</v>
      </c>
      <c r="H1189" s="1" t="s">
        <v>22</v>
      </c>
      <c r="I1189" s="1" t="s">
        <v>22</v>
      </c>
      <c r="J1189" s="3">
        <v>46080.601134259261</v>
      </c>
      <c r="K1189" s="2" t="s">
        <v>8699</v>
      </c>
      <c r="L1189" s="1">
        <v>1</v>
      </c>
      <c r="M1189" s="1">
        <v>1</v>
      </c>
      <c r="N1189">
        <v>0</v>
      </c>
      <c r="O1189" s="3">
        <f>IF(
    R1189="Ancien",
    _xlfn.XLOOKUP(
        Final_Sans_VGE[[#This Row],[ppn_z]],
        tbl_Historique_Final[ppn_z],
        tbl_Historique_Final[Horodatage],
        ""
    ),
    Horodatage!$A$2
)</f>
        <v>46233.670796365739</v>
      </c>
      <c r="P1189" s="1" t="str">
        <f>IFERROR(IF(tbl_Historique_Final[[#This Row],[Commentaires]]&lt;&gt;"",tbl_Historique_Final[[#This Row],[Commentaires]],""),"")</f>
        <v/>
      </c>
      <c r="X1189" s="8" t="str">
        <f>IF(Final_Sans_VGE[[#This Row],[ppn_z]]="","",IFERROR(
   IF(_xlfn.XLOOKUP(Final_Sans_VGE[[#This Row],[ppn_z]],tbl_Historique_Final[ppn_z],tbl_Historique_Final[date_modif])=Final_Sans_VGE[[#This Row],[date_modif]],
      "Ancien",
      "Modifié"),
   "Nouveau"))</f>
        <v>Ancien</v>
      </c>
      <c r="AC1189"/>
      <c r="AD1189"/>
    </row>
    <row r="1190" spans="1:30" x14ac:dyDescent="0.25">
      <c r="A1190" s="5" t="s">
        <v>3734</v>
      </c>
      <c r="B1190" s="1" t="s">
        <v>8700</v>
      </c>
      <c r="C1190" s="1" t="s">
        <v>12</v>
      </c>
      <c r="G1190" s="1" t="s">
        <v>10</v>
      </c>
      <c r="J1190" s="3">
        <v>46071.62704861111</v>
      </c>
      <c r="K1190" s="2" t="s">
        <v>8701</v>
      </c>
      <c r="L1190" s="1">
        <v>1</v>
      </c>
      <c r="M1190" s="1">
        <v>1</v>
      </c>
      <c r="N1190">
        <v>0</v>
      </c>
      <c r="O1190" s="3">
        <f>IF(
    R1190="Ancien",
    _xlfn.XLOOKUP(
        Final_Sans_VGE[[#This Row],[ppn_z]],
        tbl_Historique_Final[ppn_z],
        tbl_Historique_Final[Horodatage],
        ""
    ),
    Horodatage!$A$2
)</f>
        <v>46233.670796365739</v>
      </c>
      <c r="P1190" s="1" t="str">
        <f>IFERROR(IF(tbl_Historique_Final[[#This Row],[Commentaires]]&lt;&gt;"",tbl_Historique_Final[[#This Row],[Commentaires]],""),"")</f>
        <v/>
      </c>
      <c r="X1190" s="8" t="str">
        <f>IF(Final_Sans_VGE[[#This Row],[ppn_z]]="","",IFERROR(
   IF(_xlfn.XLOOKUP(Final_Sans_VGE[[#This Row],[ppn_z]],tbl_Historique_Final[ppn_z],tbl_Historique_Final[date_modif])=Final_Sans_VGE[[#This Row],[date_modif]],
      "Ancien",
      "Modifié"),
   "Nouveau"))</f>
        <v>Ancien</v>
      </c>
      <c r="AC1190"/>
      <c r="AD1190"/>
    </row>
    <row r="1191" spans="1:30" x14ac:dyDescent="0.25">
      <c r="A1191" s="5" t="s">
        <v>3737</v>
      </c>
      <c r="B1191" s="1" t="s">
        <v>8702</v>
      </c>
      <c r="C1191" s="1" t="s">
        <v>8703</v>
      </c>
      <c r="E1191" s="1" t="s">
        <v>60</v>
      </c>
      <c r="G1191" s="1" t="s">
        <v>10</v>
      </c>
      <c r="J1191" s="3">
        <v>46092.713217592594</v>
      </c>
      <c r="K1191" s="2" t="s">
        <v>8704</v>
      </c>
      <c r="L1191" s="1">
        <v>25</v>
      </c>
      <c r="M1191" s="1">
        <v>25</v>
      </c>
      <c r="N1191">
        <v>0</v>
      </c>
      <c r="O1191" s="3">
        <f>IF(
    R1191="Ancien",
    _xlfn.XLOOKUP(
        Final_Sans_VGE[[#This Row],[ppn_z]],
        tbl_Historique_Final[ppn_z],
        tbl_Historique_Final[Horodatage],
        ""
    ),
    Horodatage!$A$2
)</f>
        <v>46233.670796365739</v>
      </c>
      <c r="P1191" s="1" t="str">
        <f>IFERROR(IF(tbl_Historique_Final[[#This Row],[Commentaires]]&lt;&gt;"",tbl_Historique_Final[[#This Row],[Commentaires]],""),"")</f>
        <v/>
      </c>
      <c r="X1191" s="8" t="str">
        <f>IF(Final_Sans_VGE[[#This Row],[ppn_z]]="","",IFERROR(
   IF(_xlfn.XLOOKUP(Final_Sans_VGE[[#This Row],[ppn_z]],tbl_Historique_Final[ppn_z],tbl_Historique_Final[date_modif])=Final_Sans_VGE[[#This Row],[date_modif]],
      "Ancien",
      "Modifié"),
   "Nouveau"))</f>
        <v>Ancien</v>
      </c>
      <c r="AC1191"/>
      <c r="AD1191"/>
    </row>
    <row r="1192" spans="1:30" ht="45" x14ac:dyDescent="0.25">
      <c r="A1192" s="5" t="s">
        <v>3740</v>
      </c>
      <c r="B1192" s="1" t="s">
        <v>8705</v>
      </c>
      <c r="C1192" s="1" t="s">
        <v>6693</v>
      </c>
      <c r="J1192" s="3">
        <v>46076.589513888888</v>
      </c>
      <c r="K1192" s="2" t="s">
        <v>8706</v>
      </c>
      <c r="L1192" s="1">
        <v>59</v>
      </c>
      <c r="M1192" s="1">
        <v>64</v>
      </c>
      <c r="N1192">
        <v>5</v>
      </c>
      <c r="O1192" s="3">
        <f>IF(
    R1192="Ancien",
    _xlfn.XLOOKUP(
        Final_Sans_VGE[[#This Row],[ppn_z]],
        tbl_Historique_Final[ppn_z],
        tbl_Historique_Final[Horodatage],
        ""
    ),
    Horodatage!$A$2
)</f>
        <v>46233.670796365739</v>
      </c>
      <c r="P1192" s="1" t="str">
        <f>IFERROR(IF(tbl_Historique_Final[[#This Row],[Commentaires]]&lt;&gt;"",tbl_Historique_Final[[#This Row],[Commentaires]],""),"")</f>
        <v/>
      </c>
      <c r="X1192" s="8" t="str">
        <f>IF(Final_Sans_VGE[[#This Row],[ppn_z]]="","",IFERROR(
   IF(_xlfn.XLOOKUP(Final_Sans_VGE[[#This Row],[ppn_z]],tbl_Historique_Final[ppn_z],tbl_Historique_Final[date_modif])=Final_Sans_VGE[[#This Row],[date_modif]],
      "Ancien",
      "Modifié"),
   "Nouveau"))</f>
        <v>Ancien</v>
      </c>
      <c r="AC1192"/>
      <c r="AD1192"/>
    </row>
    <row r="1193" spans="1:30" x14ac:dyDescent="0.25">
      <c r="A1193" s="5" t="s">
        <v>3743</v>
      </c>
      <c r="B1193" s="1" t="s">
        <v>8707</v>
      </c>
      <c r="C1193" s="1" t="s">
        <v>7759</v>
      </c>
      <c r="E1193" s="1" t="s">
        <v>124</v>
      </c>
      <c r="F1193" s="1" t="s">
        <v>14</v>
      </c>
      <c r="G1193" s="1" t="s">
        <v>10</v>
      </c>
      <c r="H1193" s="1" t="s">
        <v>22</v>
      </c>
      <c r="I1193" s="1" t="s">
        <v>22</v>
      </c>
      <c r="J1193" s="3">
        <v>46058.655231481483</v>
      </c>
      <c r="K1193" s="2" t="s">
        <v>8708</v>
      </c>
      <c r="L1193" s="1">
        <v>41</v>
      </c>
      <c r="M1193" s="1">
        <v>43</v>
      </c>
      <c r="N1193">
        <v>2</v>
      </c>
      <c r="O1193" s="3">
        <f>IF(
    R1193="Ancien",
    _xlfn.XLOOKUP(
        Final_Sans_VGE[[#This Row],[ppn_z]],
        tbl_Historique_Final[ppn_z],
        tbl_Historique_Final[Horodatage],
        ""
    ),
    Horodatage!$A$2
)</f>
        <v>46233.670796365739</v>
      </c>
      <c r="P1193" s="1" t="str">
        <f>IFERROR(IF(tbl_Historique_Final[[#This Row],[Commentaires]]&lt;&gt;"",tbl_Historique_Final[[#This Row],[Commentaires]],""),"")</f>
        <v/>
      </c>
      <c r="X1193" s="8" t="str">
        <f>IF(Final_Sans_VGE[[#This Row],[ppn_z]]="","",IFERROR(
   IF(_xlfn.XLOOKUP(Final_Sans_VGE[[#This Row],[ppn_z]],tbl_Historique_Final[ppn_z],tbl_Historique_Final[date_modif])=Final_Sans_VGE[[#This Row],[date_modif]],
      "Ancien",
      "Modifié"),
   "Nouveau"))</f>
        <v>Ancien</v>
      </c>
      <c r="AC1193"/>
      <c r="AD1193"/>
    </row>
    <row r="1194" spans="1:30" ht="30" x14ac:dyDescent="0.25">
      <c r="A1194" s="5" t="s">
        <v>3746</v>
      </c>
      <c r="B1194" s="1" t="s">
        <v>8709</v>
      </c>
      <c r="C1194" s="1" t="s">
        <v>8691</v>
      </c>
      <c r="E1194" s="1" t="s">
        <v>7506</v>
      </c>
      <c r="G1194" s="1" t="s">
        <v>10</v>
      </c>
      <c r="J1194" s="3">
        <v>46097.713125000002</v>
      </c>
      <c r="K1194" s="2" t="s">
        <v>8710</v>
      </c>
      <c r="L1194" s="1">
        <v>1</v>
      </c>
      <c r="M1194" s="1">
        <v>1</v>
      </c>
      <c r="N1194">
        <v>0</v>
      </c>
      <c r="O1194" s="3">
        <f>IF(
    R1194="Ancien",
    _xlfn.XLOOKUP(
        Final_Sans_VGE[[#This Row],[ppn_z]],
        tbl_Historique_Final[ppn_z],
        tbl_Historique_Final[Horodatage],
        ""
    ),
    Horodatage!$A$2
)</f>
        <v>46233.670796365739</v>
      </c>
      <c r="P1194" s="1" t="str">
        <f>IFERROR(IF(tbl_Historique_Final[[#This Row],[Commentaires]]&lt;&gt;"",tbl_Historique_Final[[#This Row],[Commentaires]],""),"")</f>
        <v/>
      </c>
      <c r="X1194" s="8" t="str">
        <f>IF(Final_Sans_VGE[[#This Row],[ppn_z]]="","",IFERROR(
   IF(_xlfn.XLOOKUP(Final_Sans_VGE[[#This Row],[ppn_z]],tbl_Historique_Final[ppn_z],tbl_Historique_Final[date_modif])=Final_Sans_VGE[[#This Row],[date_modif]],
      "Ancien",
      "Modifié"),
   "Nouveau"))</f>
        <v>Ancien</v>
      </c>
      <c r="AC1194"/>
      <c r="AD1194"/>
    </row>
    <row r="1195" spans="1:30" x14ac:dyDescent="0.25">
      <c r="A1195" s="5" t="s">
        <v>3749</v>
      </c>
      <c r="B1195" s="1" t="s">
        <v>8711</v>
      </c>
      <c r="C1195" s="1" t="s">
        <v>7796</v>
      </c>
      <c r="D1195" s="1" t="s">
        <v>7437</v>
      </c>
      <c r="E1195" s="1" t="s">
        <v>6363</v>
      </c>
      <c r="F1195" s="1" t="s">
        <v>8301</v>
      </c>
      <c r="G1195" s="1" t="s">
        <v>10</v>
      </c>
      <c r="H1195" s="1" t="s">
        <v>22</v>
      </c>
      <c r="I1195" s="1" t="s">
        <v>22</v>
      </c>
      <c r="J1195" s="3">
        <v>46059.653761574074</v>
      </c>
      <c r="K1195" s="2" t="s">
        <v>8712</v>
      </c>
      <c r="L1195" s="1">
        <v>1</v>
      </c>
      <c r="M1195" s="1">
        <v>1</v>
      </c>
      <c r="N1195">
        <v>0</v>
      </c>
      <c r="O1195" s="3">
        <f>IF(
    R1195="Ancien",
    _xlfn.XLOOKUP(
        Final_Sans_VGE[[#This Row],[ppn_z]],
        tbl_Historique_Final[ppn_z],
        tbl_Historique_Final[Horodatage],
        ""
    ),
    Horodatage!$A$2
)</f>
        <v>46233.670796365739</v>
      </c>
      <c r="P1195" s="1" t="str">
        <f>IFERROR(IF(tbl_Historique_Final[[#This Row],[Commentaires]]&lt;&gt;"",tbl_Historique_Final[[#This Row],[Commentaires]],""),"")</f>
        <v/>
      </c>
      <c r="X1195" s="8" t="str">
        <f>IF(Final_Sans_VGE[[#This Row],[ppn_z]]="","",IFERROR(
   IF(_xlfn.XLOOKUP(Final_Sans_VGE[[#This Row],[ppn_z]],tbl_Historique_Final[ppn_z],tbl_Historique_Final[date_modif])=Final_Sans_VGE[[#This Row],[date_modif]],
      "Ancien",
      "Modifié"),
   "Nouveau"))</f>
        <v>Ancien</v>
      </c>
      <c r="AC1195"/>
      <c r="AD1195"/>
    </row>
    <row r="1196" spans="1:30" x14ac:dyDescent="0.25">
      <c r="A1196" s="5" t="s">
        <v>3752</v>
      </c>
      <c r="B1196" s="1" t="s">
        <v>8713</v>
      </c>
      <c r="C1196" s="1" t="s">
        <v>72</v>
      </c>
      <c r="G1196" s="1" t="s">
        <v>11</v>
      </c>
      <c r="J1196" s="3">
        <v>46076.376342592594</v>
      </c>
      <c r="K1196" s="2" t="s">
        <v>6738</v>
      </c>
      <c r="L1196" s="1">
        <v>28</v>
      </c>
      <c r="M1196" s="1">
        <v>36</v>
      </c>
      <c r="N1196">
        <v>8</v>
      </c>
      <c r="O1196" s="3">
        <f>IF(
    R1196="Ancien",
    _xlfn.XLOOKUP(
        Final_Sans_VGE[[#This Row],[ppn_z]],
        tbl_Historique_Final[ppn_z],
        tbl_Historique_Final[Horodatage],
        ""
    ),
    Horodatage!$A$2
)</f>
        <v>46233.670796365739</v>
      </c>
      <c r="P1196" s="1" t="str">
        <f>IFERROR(IF(tbl_Historique_Final[[#This Row],[Commentaires]]&lt;&gt;"",tbl_Historique_Final[[#This Row],[Commentaires]],""),"")</f>
        <v/>
      </c>
      <c r="X1196" s="8" t="str">
        <f>IF(Final_Sans_VGE[[#This Row],[ppn_z]]="","",IFERROR(
   IF(_xlfn.XLOOKUP(Final_Sans_VGE[[#This Row],[ppn_z]],tbl_Historique_Final[ppn_z],tbl_Historique_Final[date_modif])=Final_Sans_VGE[[#This Row],[date_modif]],
      "Ancien",
      "Modifié"),
   "Nouveau"))</f>
        <v>Ancien</v>
      </c>
      <c r="AC1196"/>
      <c r="AD1196"/>
    </row>
    <row r="1197" spans="1:30" ht="240" x14ac:dyDescent="0.25">
      <c r="A1197" s="5" t="s">
        <v>3755</v>
      </c>
      <c r="B1197" s="1" t="s">
        <v>8714</v>
      </c>
      <c r="C1197" s="1" t="s">
        <v>6565</v>
      </c>
      <c r="E1197" s="1" t="s">
        <v>12</v>
      </c>
      <c r="G1197" s="1" t="s">
        <v>10</v>
      </c>
      <c r="J1197" s="3">
        <v>46070.501307870371</v>
      </c>
      <c r="K1197" s="2" t="s">
        <v>8715</v>
      </c>
      <c r="L1197" s="1">
        <v>7</v>
      </c>
      <c r="M1197" s="1">
        <v>10</v>
      </c>
      <c r="N1197">
        <v>3</v>
      </c>
      <c r="O1197" s="3">
        <f>IF(
    R1197="Ancien",
    _xlfn.XLOOKUP(
        Final_Sans_VGE[[#This Row],[ppn_z]],
        tbl_Historique_Final[ppn_z],
        tbl_Historique_Final[Horodatage],
        ""
    ),
    Horodatage!$A$2
)</f>
        <v>46233.670796365739</v>
      </c>
      <c r="P1197" s="1" t="str">
        <f>IFERROR(IF(tbl_Historique_Final[[#This Row],[Commentaires]]&lt;&gt;"",tbl_Historique_Final[[#This Row],[Commentaires]],""),"")</f>
        <v/>
      </c>
      <c r="X1197" s="8" t="str">
        <f>IF(Final_Sans_VGE[[#This Row],[ppn_z]]="","",IFERROR(
   IF(_xlfn.XLOOKUP(Final_Sans_VGE[[#This Row],[ppn_z]],tbl_Historique_Final[ppn_z],tbl_Historique_Final[date_modif])=Final_Sans_VGE[[#This Row],[date_modif]],
      "Ancien",
      "Modifié"),
   "Nouveau"))</f>
        <v>Ancien</v>
      </c>
      <c r="AC1197"/>
      <c r="AD1197"/>
    </row>
    <row r="1198" spans="1:30" x14ac:dyDescent="0.25">
      <c r="A1198" s="5" t="s">
        <v>3758</v>
      </c>
      <c r="B1198" s="1" t="s">
        <v>8716</v>
      </c>
      <c r="C1198" s="1" t="s">
        <v>72</v>
      </c>
      <c r="G1198" s="1" t="s">
        <v>11</v>
      </c>
      <c r="J1198" s="3">
        <v>46073.602094907408</v>
      </c>
      <c r="K1198" s="2" t="s">
        <v>8717</v>
      </c>
      <c r="L1198" s="1">
        <v>1</v>
      </c>
      <c r="M1198" s="1">
        <v>1</v>
      </c>
      <c r="N1198">
        <v>0</v>
      </c>
      <c r="O1198" s="3">
        <f>IF(
    R1198="Ancien",
    _xlfn.XLOOKUP(
        Final_Sans_VGE[[#This Row],[ppn_z]],
        tbl_Historique_Final[ppn_z],
        tbl_Historique_Final[Horodatage],
        ""
    ),
    Horodatage!$A$2
)</f>
        <v>46233.670796365739</v>
      </c>
      <c r="P1198" s="1" t="str">
        <f>IFERROR(IF(tbl_Historique_Final[[#This Row],[Commentaires]]&lt;&gt;"",tbl_Historique_Final[[#This Row],[Commentaires]],""),"")</f>
        <v/>
      </c>
      <c r="X1198" s="8" t="str">
        <f>IF(Final_Sans_VGE[[#This Row],[ppn_z]]="","",IFERROR(
   IF(_xlfn.XLOOKUP(Final_Sans_VGE[[#This Row],[ppn_z]],tbl_Historique_Final[ppn_z],tbl_Historique_Final[date_modif])=Final_Sans_VGE[[#This Row],[date_modif]],
      "Ancien",
      "Modifié"),
   "Nouveau"))</f>
        <v>Ancien</v>
      </c>
      <c r="AC1198"/>
      <c r="AD1198"/>
    </row>
    <row r="1199" spans="1:30" ht="30" x14ac:dyDescent="0.25">
      <c r="A1199" s="5" t="s">
        <v>3761</v>
      </c>
      <c r="B1199" s="1" t="s">
        <v>8718</v>
      </c>
      <c r="C1199" s="1" t="s">
        <v>143</v>
      </c>
      <c r="D1199" s="1" t="s">
        <v>14</v>
      </c>
      <c r="E1199" s="1" t="s">
        <v>161</v>
      </c>
      <c r="G1199" s="1" t="s">
        <v>10</v>
      </c>
      <c r="H1199" s="1" t="s">
        <v>22</v>
      </c>
      <c r="I1199" s="1" t="s">
        <v>140</v>
      </c>
      <c r="J1199" s="3">
        <v>46097.71738425926</v>
      </c>
      <c r="K1199" s="2" t="s">
        <v>8719</v>
      </c>
      <c r="L1199" s="1">
        <v>2</v>
      </c>
      <c r="M1199" s="1">
        <v>2</v>
      </c>
      <c r="N1199">
        <v>0</v>
      </c>
      <c r="O1199" s="3">
        <f>IF(
    R1199="Ancien",
    _xlfn.XLOOKUP(
        Final_Sans_VGE[[#This Row],[ppn_z]],
        tbl_Historique_Final[ppn_z],
        tbl_Historique_Final[Horodatage],
        ""
    ),
    Horodatage!$A$2
)</f>
        <v>46233.670796365739</v>
      </c>
      <c r="P1199" s="1" t="str">
        <f>IFERROR(IF(tbl_Historique_Final[[#This Row],[Commentaires]]&lt;&gt;"",tbl_Historique_Final[[#This Row],[Commentaires]],""),"")</f>
        <v/>
      </c>
      <c r="X1199" s="8" t="str">
        <f>IF(Final_Sans_VGE[[#This Row],[ppn_z]]="","",IFERROR(
   IF(_xlfn.XLOOKUP(Final_Sans_VGE[[#This Row],[ppn_z]],tbl_Historique_Final[ppn_z],tbl_Historique_Final[date_modif])=Final_Sans_VGE[[#This Row],[date_modif]],
      "Ancien",
      "Modifié"),
   "Nouveau"))</f>
        <v>Ancien</v>
      </c>
      <c r="AC1199"/>
      <c r="AD1199"/>
    </row>
    <row r="1200" spans="1:30" ht="30" x14ac:dyDescent="0.25">
      <c r="A1200" s="5" t="s">
        <v>3764</v>
      </c>
      <c r="B1200" s="1" t="s">
        <v>8720</v>
      </c>
      <c r="C1200" s="1" t="s">
        <v>54</v>
      </c>
      <c r="D1200" s="1" t="s">
        <v>16</v>
      </c>
      <c r="G1200" s="1" t="s">
        <v>11</v>
      </c>
      <c r="H1200" s="1" t="s">
        <v>8721</v>
      </c>
      <c r="I1200" s="1" t="s">
        <v>140</v>
      </c>
      <c r="J1200" s="3">
        <v>46070.485590277778</v>
      </c>
      <c r="K1200" s="2" t="s">
        <v>8722</v>
      </c>
      <c r="L1200" s="1">
        <v>12</v>
      </c>
      <c r="M1200" s="1">
        <v>48</v>
      </c>
      <c r="N1200">
        <v>36</v>
      </c>
      <c r="O1200" s="3">
        <f>IF(
    R1200="Ancien",
    _xlfn.XLOOKUP(
        Final_Sans_VGE[[#This Row],[ppn_z]],
        tbl_Historique_Final[ppn_z],
        tbl_Historique_Final[Horodatage],
        ""
    ),
    Horodatage!$A$2
)</f>
        <v>46233.670796365739</v>
      </c>
      <c r="P1200" s="1" t="str">
        <f>IFERROR(IF(tbl_Historique_Final[[#This Row],[Commentaires]]&lt;&gt;"",tbl_Historique_Final[[#This Row],[Commentaires]],""),"")</f>
        <v/>
      </c>
      <c r="X1200" s="8" t="str">
        <f>IF(Final_Sans_VGE[[#This Row],[ppn_z]]="","",IFERROR(
   IF(_xlfn.XLOOKUP(Final_Sans_VGE[[#This Row],[ppn_z]],tbl_Historique_Final[ppn_z],tbl_Historique_Final[date_modif])=Final_Sans_VGE[[#This Row],[date_modif]],
      "Ancien",
      "Modifié"),
   "Nouveau"))</f>
        <v>Ancien</v>
      </c>
      <c r="AC1200"/>
      <c r="AD1200"/>
    </row>
    <row r="1201" spans="1:30" x14ac:dyDescent="0.25">
      <c r="A1201" s="5" t="s">
        <v>3767</v>
      </c>
      <c r="B1201" s="1" t="s">
        <v>8723</v>
      </c>
      <c r="C1201" s="1" t="s">
        <v>8724</v>
      </c>
      <c r="D1201" s="1" t="s">
        <v>14</v>
      </c>
      <c r="E1201" s="1" t="s">
        <v>8725</v>
      </c>
      <c r="F1201" s="1" t="s">
        <v>14</v>
      </c>
      <c r="G1201" s="1" t="s">
        <v>10</v>
      </c>
      <c r="H1201" s="1" t="s">
        <v>140</v>
      </c>
      <c r="I1201" s="1" t="s">
        <v>22</v>
      </c>
      <c r="J1201" s="3">
        <v>46064.633576388886</v>
      </c>
      <c r="K1201" s="2" t="s">
        <v>7461</v>
      </c>
      <c r="L1201" s="1">
        <v>0</v>
      </c>
      <c r="M1201" s="1">
        <v>1</v>
      </c>
      <c r="N1201">
        <v>1</v>
      </c>
      <c r="O1201" s="3">
        <f>IF(
    R1201="Ancien",
    _xlfn.XLOOKUP(
        Final_Sans_VGE[[#This Row],[ppn_z]],
        tbl_Historique_Final[ppn_z],
        tbl_Historique_Final[Horodatage],
        ""
    ),
    Horodatage!$A$2
)</f>
        <v>46233.670796365739</v>
      </c>
      <c r="P1201" s="1" t="str">
        <f>IFERROR(IF(tbl_Historique_Final[[#This Row],[Commentaires]]&lt;&gt;"",tbl_Historique_Final[[#This Row],[Commentaires]],""),"")</f>
        <v/>
      </c>
      <c r="X1201" s="8" t="str">
        <f>IF(Final_Sans_VGE[[#This Row],[ppn_z]]="","",IFERROR(
   IF(_xlfn.XLOOKUP(Final_Sans_VGE[[#This Row],[ppn_z]],tbl_Historique_Final[ppn_z],tbl_Historique_Final[date_modif])=Final_Sans_VGE[[#This Row],[date_modif]],
      "Ancien",
      "Modifié"),
   "Nouveau"))</f>
        <v>Ancien</v>
      </c>
      <c r="AC1201"/>
      <c r="AD1201"/>
    </row>
    <row r="1202" spans="1:30" ht="30" x14ac:dyDescent="0.25">
      <c r="A1202" s="5" t="s">
        <v>3770</v>
      </c>
      <c r="B1202" s="1" t="s">
        <v>8726</v>
      </c>
      <c r="C1202" s="1" t="s">
        <v>8727</v>
      </c>
      <c r="D1202" s="1" t="s">
        <v>14</v>
      </c>
      <c r="E1202" s="1" t="s">
        <v>8728</v>
      </c>
      <c r="F1202" s="1" t="s">
        <v>14</v>
      </c>
      <c r="G1202" s="1" t="s">
        <v>10</v>
      </c>
      <c r="H1202" s="1" t="s">
        <v>22</v>
      </c>
      <c r="I1202" s="1" t="s">
        <v>140</v>
      </c>
      <c r="J1202" s="3">
        <v>46065.615069444444</v>
      </c>
      <c r="K1202" s="2" t="s">
        <v>8729</v>
      </c>
      <c r="L1202" s="1">
        <v>26</v>
      </c>
      <c r="M1202" s="1">
        <v>28</v>
      </c>
      <c r="N1202">
        <v>2</v>
      </c>
      <c r="O1202" s="3">
        <f>IF(
    R1202="Ancien",
    _xlfn.XLOOKUP(
        Final_Sans_VGE[[#This Row],[ppn_z]],
        tbl_Historique_Final[ppn_z],
        tbl_Historique_Final[Horodatage],
        ""
    ),
    Horodatage!$A$2
)</f>
        <v>46233.670796365739</v>
      </c>
      <c r="P1202" s="1" t="str">
        <f>IFERROR(IF(tbl_Historique_Final[[#This Row],[Commentaires]]&lt;&gt;"",tbl_Historique_Final[[#This Row],[Commentaires]],""),"")</f>
        <v/>
      </c>
      <c r="X1202" s="8" t="str">
        <f>IF(Final_Sans_VGE[[#This Row],[ppn_z]]="","",IFERROR(
   IF(_xlfn.XLOOKUP(Final_Sans_VGE[[#This Row],[ppn_z]],tbl_Historique_Final[ppn_z],tbl_Historique_Final[date_modif])=Final_Sans_VGE[[#This Row],[date_modif]],
      "Ancien",
      "Modifié"),
   "Nouveau"))</f>
        <v>Ancien</v>
      </c>
      <c r="AC1202"/>
      <c r="AD1202"/>
    </row>
    <row r="1203" spans="1:30" x14ac:dyDescent="0.25">
      <c r="A1203" s="5" t="s">
        <v>3773</v>
      </c>
      <c r="B1203" s="1" t="s">
        <v>8730</v>
      </c>
      <c r="C1203" s="1" t="s">
        <v>74</v>
      </c>
      <c r="D1203" s="1" t="s">
        <v>14</v>
      </c>
      <c r="G1203" s="1" t="s">
        <v>11</v>
      </c>
      <c r="H1203" s="1" t="s">
        <v>8731</v>
      </c>
      <c r="I1203" s="1" t="s">
        <v>22</v>
      </c>
      <c r="J1203" s="3">
        <v>46090.723402777781</v>
      </c>
      <c r="K1203" s="2" t="s">
        <v>8732</v>
      </c>
      <c r="L1203" s="1">
        <v>15</v>
      </c>
      <c r="M1203" s="1">
        <v>43</v>
      </c>
      <c r="N1203">
        <v>28</v>
      </c>
      <c r="O1203" s="3">
        <f>IF(
    R1203="Ancien",
    _xlfn.XLOOKUP(
        Final_Sans_VGE[[#This Row],[ppn_z]],
        tbl_Historique_Final[ppn_z],
        tbl_Historique_Final[Horodatage],
        ""
    ),
    Horodatage!$A$2
)</f>
        <v>46233.670796365739</v>
      </c>
      <c r="P1203" s="1" t="str">
        <f>IFERROR(IF(tbl_Historique_Final[[#This Row],[Commentaires]]&lt;&gt;"",tbl_Historique_Final[[#This Row],[Commentaires]],""),"")</f>
        <v/>
      </c>
      <c r="X1203" s="8" t="str">
        <f>IF(Final_Sans_VGE[[#This Row],[ppn_z]]="","",IFERROR(
   IF(_xlfn.XLOOKUP(Final_Sans_VGE[[#This Row],[ppn_z]],tbl_Historique_Final[ppn_z],tbl_Historique_Final[date_modif])=Final_Sans_VGE[[#This Row],[date_modif]],
      "Ancien",
      "Modifié"),
   "Nouveau"))</f>
        <v>Ancien</v>
      </c>
      <c r="AC1203"/>
      <c r="AD1203"/>
    </row>
    <row r="1204" spans="1:30" x14ac:dyDescent="0.25">
      <c r="A1204" s="5" t="s">
        <v>3776</v>
      </c>
      <c r="B1204" s="1" t="s">
        <v>8733</v>
      </c>
      <c r="C1204" s="1" t="s">
        <v>8734</v>
      </c>
      <c r="D1204" s="1" t="s">
        <v>14</v>
      </c>
      <c r="E1204" s="1" t="s">
        <v>8735</v>
      </c>
      <c r="F1204" s="1" t="s">
        <v>8736</v>
      </c>
      <c r="G1204" s="1" t="s">
        <v>10</v>
      </c>
      <c r="H1204" s="1" t="s">
        <v>22</v>
      </c>
      <c r="I1204" s="1" t="s">
        <v>22</v>
      </c>
      <c r="J1204" s="3">
        <v>46064.632662037038</v>
      </c>
      <c r="K1204" s="2" t="s">
        <v>7461</v>
      </c>
      <c r="L1204" s="1">
        <v>0</v>
      </c>
      <c r="M1204" s="1">
        <v>2</v>
      </c>
      <c r="N1204">
        <v>2</v>
      </c>
      <c r="O1204" s="3">
        <f>IF(
    R1204="Ancien",
    _xlfn.XLOOKUP(
        Final_Sans_VGE[[#This Row],[ppn_z]],
        tbl_Historique_Final[ppn_z],
        tbl_Historique_Final[Horodatage],
        ""
    ),
    Horodatage!$A$2
)</f>
        <v>46233.670796365739</v>
      </c>
      <c r="P1204" s="1" t="str">
        <f>IFERROR(IF(tbl_Historique_Final[[#This Row],[Commentaires]]&lt;&gt;"",tbl_Historique_Final[[#This Row],[Commentaires]],""),"")</f>
        <v/>
      </c>
      <c r="X1204" s="8" t="str">
        <f>IF(Final_Sans_VGE[[#This Row],[ppn_z]]="","",IFERROR(
   IF(_xlfn.XLOOKUP(Final_Sans_VGE[[#This Row],[ppn_z]],tbl_Historique_Final[ppn_z],tbl_Historique_Final[date_modif])=Final_Sans_VGE[[#This Row],[date_modif]],
      "Ancien",
      "Modifié"),
   "Nouveau"))</f>
        <v>Ancien</v>
      </c>
      <c r="AC1204"/>
      <c r="AD1204"/>
    </row>
    <row r="1205" spans="1:30" ht="30" x14ac:dyDescent="0.25">
      <c r="A1205" s="5" t="s">
        <v>3779</v>
      </c>
      <c r="B1205" s="1" t="s">
        <v>8737</v>
      </c>
      <c r="C1205" s="1" t="s">
        <v>8738</v>
      </c>
      <c r="E1205" s="1" t="s">
        <v>8739</v>
      </c>
      <c r="G1205" s="1" t="s">
        <v>10</v>
      </c>
      <c r="H1205" s="1" t="s">
        <v>22</v>
      </c>
      <c r="I1205" s="1" t="s">
        <v>22</v>
      </c>
      <c r="J1205" s="3">
        <v>46085.783009259256</v>
      </c>
      <c r="K1205" s="2" t="s">
        <v>8740</v>
      </c>
      <c r="L1205" s="1">
        <v>77</v>
      </c>
      <c r="M1205" s="1">
        <v>81</v>
      </c>
      <c r="N1205">
        <v>4</v>
      </c>
      <c r="O1205" s="3">
        <f>IF(
    R1205="Ancien",
    _xlfn.XLOOKUP(
        Final_Sans_VGE[[#This Row],[ppn_z]],
        tbl_Historique_Final[ppn_z],
        tbl_Historique_Final[Horodatage],
        ""
    ),
    Horodatage!$A$2
)</f>
        <v>46233.670796365739</v>
      </c>
      <c r="P1205" s="1" t="str">
        <f>IFERROR(IF(tbl_Historique_Final[[#This Row],[Commentaires]]&lt;&gt;"",tbl_Historique_Final[[#This Row],[Commentaires]],""),"")</f>
        <v/>
      </c>
      <c r="X1205" s="8" t="str">
        <f>IF(Final_Sans_VGE[[#This Row],[ppn_z]]="","",IFERROR(
   IF(_xlfn.XLOOKUP(Final_Sans_VGE[[#This Row],[ppn_z]],tbl_Historique_Final[ppn_z],tbl_Historique_Final[date_modif])=Final_Sans_VGE[[#This Row],[date_modif]],
      "Ancien",
      "Modifié"),
   "Nouveau"))</f>
        <v>Ancien</v>
      </c>
      <c r="AC1205"/>
      <c r="AD1205"/>
    </row>
    <row r="1206" spans="1:30" x14ac:dyDescent="0.25">
      <c r="A1206" s="5" t="s">
        <v>3782</v>
      </c>
      <c r="B1206" s="1" t="s">
        <v>8741</v>
      </c>
      <c r="C1206" s="1" t="s">
        <v>56</v>
      </c>
      <c r="G1206" s="1" t="s">
        <v>10</v>
      </c>
      <c r="J1206" s="3">
        <v>46076.799305555556</v>
      </c>
      <c r="K1206" s="2" t="s">
        <v>8742</v>
      </c>
      <c r="L1206" s="1">
        <v>27</v>
      </c>
      <c r="M1206" s="1">
        <v>29</v>
      </c>
      <c r="N1206">
        <v>2</v>
      </c>
      <c r="O1206" s="3">
        <f>IF(
    R1206="Ancien",
    _xlfn.XLOOKUP(
        Final_Sans_VGE[[#This Row],[ppn_z]],
        tbl_Historique_Final[ppn_z],
        tbl_Historique_Final[Horodatage],
        ""
    ),
    Horodatage!$A$2
)</f>
        <v>46233.670796365739</v>
      </c>
      <c r="P1206" s="1" t="str">
        <f>IFERROR(IF(tbl_Historique_Final[[#This Row],[Commentaires]]&lt;&gt;"",tbl_Historique_Final[[#This Row],[Commentaires]],""),"")</f>
        <v/>
      </c>
      <c r="X1206" s="8" t="str">
        <f>IF(Final_Sans_VGE[[#This Row],[ppn_z]]="","",IFERROR(
   IF(_xlfn.XLOOKUP(Final_Sans_VGE[[#This Row],[ppn_z]],tbl_Historique_Final[ppn_z],tbl_Historique_Final[date_modif])=Final_Sans_VGE[[#This Row],[date_modif]],
      "Ancien",
      "Modifié"),
   "Nouveau"))</f>
        <v>Ancien</v>
      </c>
      <c r="AC1206"/>
      <c r="AD1206"/>
    </row>
    <row r="1207" spans="1:30" x14ac:dyDescent="0.25">
      <c r="A1207" s="5" t="s">
        <v>3785</v>
      </c>
      <c r="B1207" s="1" t="s">
        <v>8743</v>
      </c>
      <c r="C1207" s="1" t="s">
        <v>7436</v>
      </c>
      <c r="E1207" s="1" t="s">
        <v>79</v>
      </c>
      <c r="G1207" s="1" t="s">
        <v>10</v>
      </c>
      <c r="J1207" s="3">
        <v>46076.606458333335</v>
      </c>
      <c r="K1207" s="2" t="s">
        <v>8744</v>
      </c>
      <c r="L1207" s="1">
        <v>7</v>
      </c>
      <c r="M1207" s="1">
        <v>9</v>
      </c>
      <c r="N1207">
        <v>2</v>
      </c>
      <c r="O1207" s="3">
        <f>IF(
    R1207="Ancien",
    _xlfn.XLOOKUP(
        Final_Sans_VGE[[#This Row],[ppn_z]],
        tbl_Historique_Final[ppn_z],
        tbl_Historique_Final[Horodatage],
        ""
    ),
    Horodatage!$A$2
)</f>
        <v>46233.670796365739</v>
      </c>
      <c r="P1207" s="1" t="str">
        <f>IFERROR(IF(tbl_Historique_Final[[#This Row],[Commentaires]]&lt;&gt;"",tbl_Historique_Final[[#This Row],[Commentaires]],""),"")</f>
        <v/>
      </c>
      <c r="X1207" s="8" t="str">
        <f>IF(Final_Sans_VGE[[#This Row],[ppn_z]]="","",IFERROR(
   IF(_xlfn.XLOOKUP(Final_Sans_VGE[[#This Row],[ppn_z]],tbl_Historique_Final[ppn_z],tbl_Historique_Final[date_modif])=Final_Sans_VGE[[#This Row],[date_modif]],
      "Ancien",
      "Modifié"),
   "Nouveau"))</f>
        <v>Ancien</v>
      </c>
      <c r="AC1207"/>
      <c r="AD1207"/>
    </row>
    <row r="1208" spans="1:30" x14ac:dyDescent="0.25">
      <c r="A1208" s="5" t="s">
        <v>3788</v>
      </c>
      <c r="B1208" s="1" t="s">
        <v>8745</v>
      </c>
      <c r="C1208" s="1" t="s">
        <v>12</v>
      </c>
      <c r="G1208" s="1" t="s">
        <v>10</v>
      </c>
      <c r="J1208" s="3">
        <v>46101.482314814813</v>
      </c>
      <c r="K1208" s="2" t="s">
        <v>6438</v>
      </c>
      <c r="L1208" s="1">
        <v>1</v>
      </c>
      <c r="M1208" s="1">
        <v>1</v>
      </c>
      <c r="N1208">
        <v>0</v>
      </c>
      <c r="O1208" s="3">
        <f>IF(
    R1208="Ancien",
    _xlfn.XLOOKUP(
        Final_Sans_VGE[[#This Row],[ppn_z]],
        tbl_Historique_Final[ppn_z],
        tbl_Historique_Final[Horodatage],
        ""
    ),
    Horodatage!$A$2
)</f>
        <v>46233.670796365739</v>
      </c>
      <c r="P1208" s="1" t="str">
        <f>IFERROR(IF(tbl_Historique_Final[[#This Row],[Commentaires]]&lt;&gt;"",tbl_Historique_Final[[#This Row],[Commentaires]],""),"")</f>
        <v/>
      </c>
      <c r="X1208" s="8" t="str">
        <f>IF(Final_Sans_VGE[[#This Row],[ppn_z]]="","",IFERROR(
   IF(_xlfn.XLOOKUP(Final_Sans_VGE[[#This Row],[ppn_z]],tbl_Historique_Final[ppn_z],tbl_Historique_Final[date_modif])=Final_Sans_VGE[[#This Row],[date_modif]],
      "Ancien",
      "Modifié"),
   "Nouveau"))</f>
        <v>Ancien</v>
      </c>
      <c r="AC1208"/>
      <c r="AD1208"/>
    </row>
    <row r="1209" spans="1:30" x14ac:dyDescent="0.25">
      <c r="A1209" s="5" t="s">
        <v>3791</v>
      </c>
      <c r="B1209" s="1" t="s">
        <v>8746</v>
      </c>
      <c r="C1209" s="1" t="s">
        <v>12</v>
      </c>
      <c r="G1209" s="1" t="s">
        <v>11</v>
      </c>
      <c r="J1209" s="3">
        <v>46085.584398148145</v>
      </c>
      <c r="K1209" s="2" t="s">
        <v>8747</v>
      </c>
      <c r="L1209" s="1">
        <v>8</v>
      </c>
      <c r="M1209" s="1">
        <v>8</v>
      </c>
      <c r="N1209">
        <v>0</v>
      </c>
      <c r="O1209" s="3">
        <f>IF(
    R1209="Ancien",
    _xlfn.XLOOKUP(
        Final_Sans_VGE[[#This Row],[ppn_z]],
        tbl_Historique_Final[ppn_z],
        tbl_Historique_Final[Horodatage],
        ""
    ),
    Horodatage!$A$2
)</f>
        <v>46233.670796365739</v>
      </c>
      <c r="P1209" s="1" t="str">
        <f>IFERROR(IF(tbl_Historique_Final[[#This Row],[Commentaires]]&lt;&gt;"",tbl_Historique_Final[[#This Row],[Commentaires]],""),"")</f>
        <v/>
      </c>
      <c r="X1209" s="8" t="str">
        <f>IF(Final_Sans_VGE[[#This Row],[ppn_z]]="","",IFERROR(
   IF(_xlfn.XLOOKUP(Final_Sans_VGE[[#This Row],[ppn_z]],tbl_Historique_Final[ppn_z],tbl_Historique_Final[date_modif])=Final_Sans_VGE[[#This Row],[date_modif]],
      "Ancien",
      "Modifié"),
   "Nouveau"))</f>
        <v>Ancien</v>
      </c>
      <c r="AC1209"/>
      <c r="AD1209"/>
    </row>
    <row r="1210" spans="1:30" ht="30" x14ac:dyDescent="0.25">
      <c r="A1210" s="5" t="s">
        <v>3794</v>
      </c>
      <c r="B1210" s="1" t="s">
        <v>8748</v>
      </c>
      <c r="C1210" s="1" t="s">
        <v>141</v>
      </c>
      <c r="E1210" s="1" t="s">
        <v>70</v>
      </c>
      <c r="G1210" s="1" t="s">
        <v>10</v>
      </c>
      <c r="H1210" s="1" t="s">
        <v>22</v>
      </c>
      <c r="I1210" s="1" t="s">
        <v>22</v>
      </c>
      <c r="J1210" s="3">
        <v>46076.560914351852</v>
      </c>
      <c r="K1210" s="2" t="s">
        <v>8749</v>
      </c>
      <c r="L1210" s="1">
        <v>40</v>
      </c>
      <c r="M1210" s="1">
        <v>41</v>
      </c>
      <c r="N1210">
        <v>1</v>
      </c>
      <c r="O1210" s="3">
        <f>IF(
    R1210="Ancien",
    _xlfn.XLOOKUP(
        Final_Sans_VGE[[#This Row],[ppn_z]],
        tbl_Historique_Final[ppn_z],
        tbl_Historique_Final[Horodatage],
        ""
    ),
    Horodatage!$A$2
)</f>
        <v>46233.670796365739</v>
      </c>
      <c r="P1210" s="1" t="str">
        <f>IFERROR(IF(tbl_Historique_Final[[#This Row],[Commentaires]]&lt;&gt;"",tbl_Historique_Final[[#This Row],[Commentaires]],""),"")</f>
        <v/>
      </c>
      <c r="X1210" s="8" t="str">
        <f>IF(Final_Sans_VGE[[#This Row],[ppn_z]]="","",IFERROR(
   IF(_xlfn.XLOOKUP(Final_Sans_VGE[[#This Row],[ppn_z]],tbl_Historique_Final[ppn_z],tbl_Historique_Final[date_modif])=Final_Sans_VGE[[#This Row],[date_modif]],
      "Ancien",
      "Modifié"),
   "Nouveau"))</f>
        <v>Ancien</v>
      </c>
      <c r="AC1210"/>
      <c r="AD1210"/>
    </row>
    <row r="1211" spans="1:30" ht="75" x14ac:dyDescent="0.25">
      <c r="A1211" s="5" t="s">
        <v>3797</v>
      </c>
      <c r="B1211" s="1" t="s">
        <v>8750</v>
      </c>
      <c r="C1211" s="1" t="s">
        <v>8751</v>
      </c>
      <c r="J1211" s="3">
        <v>46097.730023148149</v>
      </c>
      <c r="K1211" s="2" t="s">
        <v>8752</v>
      </c>
      <c r="L1211" s="1">
        <v>142</v>
      </c>
      <c r="M1211" s="1">
        <v>152</v>
      </c>
      <c r="N1211">
        <v>10</v>
      </c>
      <c r="O1211" s="3">
        <f>IF(
    R1211="Ancien",
    _xlfn.XLOOKUP(
        Final_Sans_VGE[[#This Row],[ppn_z]],
        tbl_Historique_Final[ppn_z],
        tbl_Historique_Final[Horodatage],
        ""
    ),
    Horodatage!$A$2
)</f>
        <v>46233.670796365739</v>
      </c>
      <c r="P1211" s="1" t="str">
        <f>IFERROR(IF(tbl_Historique_Final[[#This Row],[Commentaires]]&lt;&gt;"",tbl_Historique_Final[[#This Row],[Commentaires]],""),"")</f>
        <v/>
      </c>
      <c r="X1211" s="8" t="str">
        <f>IF(Final_Sans_VGE[[#This Row],[ppn_z]]="","",IFERROR(
   IF(_xlfn.XLOOKUP(Final_Sans_VGE[[#This Row],[ppn_z]],tbl_Historique_Final[ppn_z],tbl_Historique_Final[date_modif])=Final_Sans_VGE[[#This Row],[date_modif]],
      "Ancien",
      "Modifié"),
   "Nouveau"))</f>
        <v>Ancien</v>
      </c>
      <c r="AC1211"/>
      <c r="AD1211"/>
    </row>
    <row r="1212" spans="1:30" x14ac:dyDescent="0.25">
      <c r="A1212" s="5" t="s">
        <v>3800</v>
      </c>
      <c r="B1212" s="1" t="s">
        <v>8753</v>
      </c>
      <c r="C1212" s="1" t="s">
        <v>56</v>
      </c>
      <c r="D1212" s="1" t="s">
        <v>14</v>
      </c>
      <c r="G1212" s="1" t="s">
        <v>11</v>
      </c>
      <c r="H1212" s="1" t="s">
        <v>10494</v>
      </c>
      <c r="I1212" s="1" t="s">
        <v>22</v>
      </c>
      <c r="J1212" s="3">
        <v>46058.329548611109</v>
      </c>
      <c r="K1212" s="2" t="s">
        <v>8754</v>
      </c>
      <c r="L1212" s="1">
        <v>16</v>
      </c>
      <c r="M1212" s="1">
        <v>16</v>
      </c>
      <c r="N1212">
        <v>0</v>
      </c>
      <c r="O1212" s="3">
        <f>IF(
    R1212="Ancien",
    _xlfn.XLOOKUP(
        Final_Sans_VGE[[#This Row],[ppn_z]],
        tbl_Historique_Final[ppn_z],
        tbl_Historique_Final[Horodatage],
        ""
    ),
    Horodatage!$A$2
)</f>
        <v>46233.670796365739</v>
      </c>
      <c r="P1212" s="1" t="str">
        <f>IFERROR(IF(tbl_Historique_Final[[#This Row],[Commentaires]]&lt;&gt;"",tbl_Historique_Final[[#This Row],[Commentaires]],""),"")</f>
        <v/>
      </c>
      <c r="X1212" s="8" t="str">
        <f>IF(Final_Sans_VGE[[#This Row],[ppn_z]]="","",IFERROR(
   IF(_xlfn.XLOOKUP(Final_Sans_VGE[[#This Row],[ppn_z]],tbl_Historique_Final[ppn_z],tbl_Historique_Final[date_modif])=Final_Sans_VGE[[#This Row],[date_modif]],
      "Ancien",
      "Modifié"),
   "Nouveau"))</f>
        <v>Ancien</v>
      </c>
      <c r="AC1212"/>
      <c r="AD1212"/>
    </row>
    <row r="1213" spans="1:30" ht="30" x14ac:dyDescent="0.25">
      <c r="A1213" s="5" t="s">
        <v>3803</v>
      </c>
      <c r="B1213" s="1" t="s">
        <v>8755</v>
      </c>
      <c r="C1213" s="1" t="s">
        <v>7558</v>
      </c>
      <c r="E1213" s="1" t="s">
        <v>154</v>
      </c>
      <c r="G1213" s="1" t="s">
        <v>11</v>
      </c>
      <c r="J1213" s="3">
        <v>46057.487951388888</v>
      </c>
      <c r="K1213" s="2" t="s">
        <v>8756</v>
      </c>
      <c r="L1213" s="1">
        <v>1</v>
      </c>
      <c r="M1213" s="1">
        <v>1</v>
      </c>
      <c r="N1213">
        <v>0</v>
      </c>
      <c r="O1213" s="3">
        <f>IF(
    R1213="Ancien",
    _xlfn.XLOOKUP(
        Final_Sans_VGE[[#This Row],[ppn_z]],
        tbl_Historique_Final[ppn_z],
        tbl_Historique_Final[Horodatage],
        ""
    ),
    Horodatage!$A$2
)</f>
        <v>46233.670796365739</v>
      </c>
      <c r="P1213" s="1" t="str">
        <f>IFERROR(IF(tbl_Historique_Final[[#This Row],[Commentaires]]&lt;&gt;"",tbl_Historique_Final[[#This Row],[Commentaires]],""),"")</f>
        <v/>
      </c>
      <c r="X1213" s="8" t="str">
        <f>IF(Final_Sans_VGE[[#This Row],[ppn_z]]="","",IFERROR(
   IF(_xlfn.XLOOKUP(Final_Sans_VGE[[#This Row],[ppn_z]],tbl_Historique_Final[ppn_z],tbl_Historique_Final[date_modif])=Final_Sans_VGE[[#This Row],[date_modif]],
      "Ancien",
      "Modifié"),
   "Nouveau"))</f>
        <v>Ancien</v>
      </c>
      <c r="AC1213"/>
      <c r="AD1213"/>
    </row>
    <row r="1214" spans="1:30" x14ac:dyDescent="0.25">
      <c r="A1214" s="5" t="s">
        <v>3806</v>
      </c>
      <c r="B1214" s="1" t="s">
        <v>8757</v>
      </c>
      <c r="C1214" s="1" t="s">
        <v>6767</v>
      </c>
      <c r="D1214" s="1" t="s">
        <v>14</v>
      </c>
      <c r="E1214" s="1" t="s">
        <v>6615</v>
      </c>
      <c r="F1214" s="1" t="s">
        <v>8758</v>
      </c>
      <c r="G1214" s="1" t="s">
        <v>11</v>
      </c>
      <c r="H1214" s="1" t="s">
        <v>22</v>
      </c>
      <c r="I1214" s="1" t="s">
        <v>22</v>
      </c>
      <c r="J1214" s="3">
        <v>46098.548993055556</v>
      </c>
      <c r="K1214" s="2" t="s">
        <v>8759</v>
      </c>
      <c r="L1214" s="1">
        <v>22</v>
      </c>
      <c r="M1214" s="1">
        <v>26</v>
      </c>
      <c r="N1214">
        <v>4</v>
      </c>
      <c r="O1214" s="3">
        <f>IF(
    R1214="Ancien",
    _xlfn.XLOOKUP(
        Final_Sans_VGE[[#This Row],[ppn_z]],
        tbl_Historique_Final[ppn_z],
        tbl_Historique_Final[Horodatage],
        ""
    ),
    Horodatage!$A$2
)</f>
        <v>46233.670796365739</v>
      </c>
      <c r="P1214" s="1" t="str">
        <f>IFERROR(IF(tbl_Historique_Final[[#This Row],[Commentaires]]&lt;&gt;"",tbl_Historique_Final[[#This Row],[Commentaires]],""),"")</f>
        <v/>
      </c>
      <c r="X1214" s="8" t="str">
        <f>IF(Final_Sans_VGE[[#This Row],[ppn_z]]="","",IFERROR(
   IF(_xlfn.XLOOKUP(Final_Sans_VGE[[#This Row],[ppn_z]],tbl_Historique_Final[ppn_z],tbl_Historique_Final[date_modif])=Final_Sans_VGE[[#This Row],[date_modif]],
      "Ancien",
      "Modifié"),
   "Nouveau"))</f>
        <v>Ancien</v>
      </c>
      <c r="AC1214"/>
      <c r="AD1214"/>
    </row>
    <row r="1215" spans="1:30" x14ac:dyDescent="0.25">
      <c r="A1215" s="5" t="s">
        <v>3809</v>
      </c>
      <c r="B1215" s="1" t="s">
        <v>8760</v>
      </c>
      <c r="C1215" s="1" t="s">
        <v>8761</v>
      </c>
      <c r="D1215" s="1" t="s">
        <v>8762</v>
      </c>
      <c r="E1215" s="1" t="s">
        <v>141</v>
      </c>
      <c r="F1215" s="1" t="s">
        <v>14</v>
      </c>
      <c r="G1215" s="1" t="s">
        <v>10</v>
      </c>
      <c r="H1215" s="1" t="s">
        <v>8763</v>
      </c>
      <c r="I1215" s="1" t="s">
        <v>22</v>
      </c>
      <c r="J1215" s="3">
        <v>46070.38962962963</v>
      </c>
      <c r="K1215" s="2" t="s">
        <v>8764</v>
      </c>
      <c r="L1215" s="1">
        <v>13</v>
      </c>
      <c r="M1215" s="1">
        <v>19</v>
      </c>
      <c r="N1215">
        <v>6</v>
      </c>
      <c r="O1215" s="3">
        <f>IF(
    R1215="Ancien",
    _xlfn.XLOOKUP(
        Final_Sans_VGE[[#This Row],[ppn_z]],
        tbl_Historique_Final[ppn_z],
        tbl_Historique_Final[Horodatage],
        ""
    ),
    Horodatage!$A$2
)</f>
        <v>46233.670796365739</v>
      </c>
      <c r="P1215" s="1" t="str">
        <f>IFERROR(IF(tbl_Historique_Final[[#This Row],[Commentaires]]&lt;&gt;"",tbl_Historique_Final[[#This Row],[Commentaires]],""),"")</f>
        <v/>
      </c>
      <c r="X1215" s="8" t="str">
        <f>IF(Final_Sans_VGE[[#This Row],[ppn_z]]="","",IFERROR(
   IF(_xlfn.XLOOKUP(Final_Sans_VGE[[#This Row],[ppn_z]],tbl_Historique_Final[ppn_z],tbl_Historique_Final[date_modif])=Final_Sans_VGE[[#This Row],[date_modif]],
      "Ancien",
      "Modifié"),
   "Nouveau"))</f>
        <v>Ancien</v>
      </c>
      <c r="AC1215"/>
      <c r="AD1215"/>
    </row>
    <row r="1216" spans="1:30" ht="30" x14ac:dyDescent="0.25">
      <c r="A1216" s="5" t="s">
        <v>3812</v>
      </c>
      <c r="B1216" s="1" t="s">
        <v>8765</v>
      </c>
      <c r="C1216" s="1" t="s">
        <v>90</v>
      </c>
      <c r="G1216" s="1" t="s">
        <v>11</v>
      </c>
      <c r="J1216" s="3">
        <v>46090.762337962966</v>
      </c>
      <c r="K1216" s="2" t="s">
        <v>8766</v>
      </c>
      <c r="L1216" s="1">
        <v>28</v>
      </c>
      <c r="M1216" s="1">
        <v>30</v>
      </c>
      <c r="N1216">
        <v>2</v>
      </c>
      <c r="O1216" s="3">
        <f>IF(
    R1216="Ancien",
    _xlfn.XLOOKUP(
        Final_Sans_VGE[[#This Row],[ppn_z]],
        tbl_Historique_Final[ppn_z],
        tbl_Historique_Final[Horodatage],
        ""
    ),
    Horodatage!$A$2
)</f>
        <v>46233.670796365739</v>
      </c>
      <c r="P1216" s="1" t="str">
        <f>IFERROR(IF(tbl_Historique_Final[[#This Row],[Commentaires]]&lt;&gt;"",tbl_Historique_Final[[#This Row],[Commentaires]],""),"")</f>
        <v/>
      </c>
      <c r="X1216" s="8" t="str">
        <f>IF(Final_Sans_VGE[[#This Row],[ppn_z]]="","",IFERROR(
   IF(_xlfn.XLOOKUP(Final_Sans_VGE[[#This Row],[ppn_z]],tbl_Historique_Final[ppn_z],tbl_Historique_Final[date_modif])=Final_Sans_VGE[[#This Row],[date_modif]],
      "Ancien",
      "Modifié"),
   "Nouveau"))</f>
        <v>Ancien</v>
      </c>
      <c r="AC1216"/>
      <c r="AD1216"/>
    </row>
    <row r="1217" spans="1:30" x14ac:dyDescent="0.25">
      <c r="A1217" s="5" t="s">
        <v>3815</v>
      </c>
      <c r="B1217" s="1" t="s">
        <v>8767</v>
      </c>
      <c r="C1217" s="1" t="s">
        <v>12</v>
      </c>
      <c r="G1217" s="1" t="s">
        <v>10</v>
      </c>
      <c r="J1217" s="3">
        <v>46063.586851851855</v>
      </c>
      <c r="K1217" s="2" t="s">
        <v>8768</v>
      </c>
      <c r="L1217" s="1">
        <v>1</v>
      </c>
      <c r="M1217" s="1">
        <v>1</v>
      </c>
      <c r="N1217">
        <v>0</v>
      </c>
      <c r="O1217" s="3">
        <f>IF(
    R1217="Ancien",
    _xlfn.XLOOKUP(
        Final_Sans_VGE[[#This Row],[ppn_z]],
        tbl_Historique_Final[ppn_z],
        tbl_Historique_Final[Horodatage],
        ""
    ),
    Horodatage!$A$2
)</f>
        <v>46233.670796365739</v>
      </c>
      <c r="P1217" s="1" t="str">
        <f>IFERROR(IF(tbl_Historique_Final[[#This Row],[Commentaires]]&lt;&gt;"",tbl_Historique_Final[[#This Row],[Commentaires]],""),"")</f>
        <v/>
      </c>
      <c r="X1217" s="8" t="str">
        <f>IF(Final_Sans_VGE[[#This Row],[ppn_z]]="","",IFERROR(
   IF(_xlfn.XLOOKUP(Final_Sans_VGE[[#This Row],[ppn_z]],tbl_Historique_Final[ppn_z],tbl_Historique_Final[date_modif])=Final_Sans_VGE[[#This Row],[date_modif]],
      "Ancien",
      "Modifié"),
   "Nouveau"))</f>
        <v>Ancien</v>
      </c>
      <c r="AC1217"/>
      <c r="AD1217"/>
    </row>
    <row r="1218" spans="1:30" x14ac:dyDescent="0.25">
      <c r="A1218" s="5" t="s">
        <v>3818</v>
      </c>
      <c r="B1218" s="1" t="s">
        <v>8769</v>
      </c>
      <c r="C1218" s="1" t="s">
        <v>8770</v>
      </c>
      <c r="D1218" s="1" t="s">
        <v>6384</v>
      </c>
      <c r="E1218" s="1" t="s">
        <v>8771</v>
      </c>
      <c r="F1218" s="1" t="s">
        <v>133</v>
      </c>
      <c r="G1218" s="1" t="s">
        <v>10</v>
      </c>
      <c r="H1218" s="1" t="s">
        <v>22</v>
      </c>
      <c r="I1218" s="1" t="s">
        <v>22</v>
      </c>
      <c r="J1218" s="3">
        <v>46065.416851851849</v>
      </c>
      <c r="K1218" s="2" t="s">
        <v>8772</v>
      </c>
      <c r="L1218" s="1">
        <v>0</v>
      </c>
      <c r="M1218" s="1">
        <v>0</v>
      </c>
      <c r="N1218">
        <v>0</v>
      </c>
      <c r="O1218" s="3">
        <f>IF(
    R1218="Ancien",
    _xlfn.XLOOKUP(
        Final_Sans_VGE[[#This Row],[ppn_z]],
        tbl_Historique_Final[ppn_z],
        tbl_Historique_Final[Horodatage],
        ""
    ),
    Horodatage!$A$2
)</f>
        <v>46233.670796365739</v>
      </c>
      <c r="P1218" s="1" t="str">
        <f>IFERROR(IF(tbl_Historique_Final[[#This Row],[Commentaires]]&lt;&gt;"",tbl_Historique_Final[[#This Row],[Commentaires]],""),"")</f>
        <v/>
      </c>
      <c r="X1218" s="8" t="str">
        <f>IF(Final_Sans_VGE[[#This Row],[ppn_z]]="","",IFERROR(
   IF(_xlfn.XLOOKUP(Final_Sans_VGE[[#This Row],[ppn_z]],tbl_Historique_Final[ppn_z],tbl_Historique_Final[date_modif])=Final_Sans_VGE[[#This Row],[date_modif]],
      "Ancien",
      "Modifié"),
   "Nouveau"))</f>
        <v>Ancien</v>
      </c>
      <c r="AC1218"/>
      <c r="AD1218"/>
    </row>
    <row r="1219" spans="1:30" x14ac:dyDescent="0.25">
      <c r="A1219" s="5" t="s">
        <v>3821</v>
      </c>
      <c r="B1219" s="1" t="s">
        <v>8773</v>
      </c>
      <c r="C1219" s="1" t="s">
        <v>154</v>
      </c>
      <c r="D1219" s="1" t="s">
        <v>14</v>
      </c>
      <c r="E1219" s="1" t="s">
        <v>32</v>
      </c>
      <c r="F1219" s="1" t="s">
        <v>14</v>
      </c>
      <c r="G1219" s="1" t="s">
        <v>10</v>
      </c>
      <c r="H1219" s="1" t="s">
        <v>8721</v>
      </c>
      <c r="I1219" s="1" t="s">
        <v>8721</v>
      </c>
      <c r="J1219" s="3">
        <v>46058.45416666667</v>
      </c>
      <c r="K1219" s="2" t="s">
        <v>8774</v>
      </c>
      <c r="L1219" s="1">
        <v>6</v>
      </c>
      <c r="M1219" s="1">
        <v>19</v>
      </c>
      <c r="N1219">
        <v>13</v>
      </c>
      <c r="O1219" s="3">
        <f>IF(
    R1219="Ancien",
    _xlfn.XLOOKUP(
        Final_Sans_VGE[[#This Row],[ppn_z]],
        tbl_Historique_Final[ppn_z],
        tbl_Historique_Final[Horodatage],
        ""
    ),
    Horodatage!$A$2
)</f>
        <v>46233.670796365739</v>
      </c>
      <c r="P1219" s="1" t="str">
        <f>IFERROR(IF(tbl_Historique_Final[[#This Row],[Commentaires]]&lt;&gt;"",tbl_Historique_Final[[#This Row],[Commentaires]],""),"")</f>
        <v/>
      </c>
      <c r="X1219" s="8" t="str">
        <f>IF(Final_Sans_VGE[[#This Row],[ppn_z]]="","",IFERROR(
   IF(_xlfn.XLOOKUP(Final_Sans_VGE[[#This Row],[ppn_z]],tbl_Historique_Final[ppn_z],tbl_Historique_Final[date_modif])=Final_Sans_VGE[[#This Row],[date_modif]],
      "Ancien",
      "Modifié"),
   "Nouveau"))</f>
        <v>Ancien</v>
      </c>
      <c r="AC1219"/>
      <c r="AD1219"/>
    </row>
    <row r="1220" spans="1:30" x14ac:dyDescent="0.25">
      <c r="A1220" s="5" t="s">
        <v>3824</v>
      </c>
      <c r="B1220" s="1" t="s">
        <v>8775</v>
      </c>
      <c r="C1220" s="1" t="s">
        <v>8675</v>
      </c>
      <c r="D1220" s="1" t="s">
        <v>14</v>
      </c>
      <c r="E1220" s="1" t="s">
        <v>6783</v>
      </c>
      <c r="F1220" s="1" t="s">
        <v>14</v>
      </c>
      <c r="G1220" s="1" t="s">
        <v>10</v>
      </c>
      <c r="H1220" s="1" t="s">
        <v>10516</v>
      </c>
      <c r="I1220" s="1" t="s">
        <v>22</v>
      </c>
      <c r="J1220" s="3">
        <v>46080.551574074074</v>
      </c>
      <c r="K1220" s="2" t="s">
        <v>7461</v>
      </c>
      <c r="L1220" s="1">
        <v>1</v>
      </c>
      <c r="M1220" s="1">
        <v>1</v>
      </c>
      <c r="N1220">
        <v>0</v>
      </c>
      <c r="O1220" s="3">
        <f>IF(
    R1220="Ancien",
    _xlfn.XLOOKUP(
        Final_Sans_VGE[[#This Row],[ppn_z]],
        tbl_Historique_Final[ppn_z],
        tbl_Historique_Final[Horodatage],
        ""
    ),
    Horodatage!$A$2
)</f>
        <v>46233.670796365739</v>
      </c>
      <c r="P1220" s="1" t="str">
        <f>IFERROR(IF(tbl_Historique_Final[[#This Row],[Commentaires]]&lt;&gt;"",tbl_Historique_Final[[#This Row],[Commentaires]],""),"")</f>
        <v/>
      </c>
      <c r="X1220" s="8" t="str">
        <f>IF(Final_Sans_VGE[[#This Row],[ppn_z]]="","",IFERROR(
   IF(_xlfn.XLOOKUP(Final_Sans_VGE[[#This Row],[ppn_z]],tbl_Historique_Final[ppn_z],tbl_Historique_Final[date_modif])=Final_Sans_VGE[[#This Row],[date_modif]],
      "Ancien",
      "Modifié"),
   "Nouveau"))</f>
        <v>Ancien</v>
      </c>
      <c r="AC1220"/>
      <c r="AD1220"/>
    </row>
    <row r="1221" spans="1:30" x14ac:dyDescent="0.25">
      <c r="A1221" s="5" t="s">
        <v>3827</v>
      </c>
      <c r="B1221" s="1" t="s">
        <v>8777</v>
      </c>
      <c r="C1221" s="1" t="s">
        <v>63</v>
      </c>
      <c r="E1221" s="1" t="s">
        <v>83</v>
      </c>
      <c r="G1221" s="1" t="s">
        <v>10</v>
      </c>
      <c r="J1221" s="3">
        <v>46097.712789351855</v>
      </c>
      <c r="K1221" s="2" t="s">
        <v>8778</v>
      </c>
      <c r="L1221" s="1">
        <v>32</v>
      </c>
      <c r="M1221" s="1">
        <v>32</v>
      </c>
      <c r="N1221">
        <v>0</v>
      </c>
      <c r="O1221" s="3">
        <f>IF(
    R1221="Ancien",
    _xlfn.XLOOKUP(
        Final_Sans_VGE[[#This Row],[ppn_z]],
        tbl_Historique_Final[ppn_z],
        tbl_Historique_Final[Horodatage],
        ""
    ),
    Horodatage!$A$2
)</f>
        <v>46233.670796365739</v>
      </c>
      <c r="P1221" s="1" t="str">
        <f>IFERROR(IF(tbl_Historique_Final[[#This Row],[Commentaires]]&lt;&gt;"",tbl_Historique_Final[[#This Row],[Commentaires]],""),"")</f>
        <v/>
      </c>
      <c r="X1221" s="8" t="str">
        <f>IF(Final_Sans_VGE[[#This Row],[ppn_z]]="","",IFERROR(
   IF(_xlfn.XLOOKUP(Final_Sans_VGE[[#This Row],[ppn_z]],tbl_Historique_Final[ppn_z],tbl_Historique_Final[date_modif])=Final_Sans_VGE[[#This Row],[date_modif]],
      "Ancien",
      "Modifié"),
   "Nouveau"))</f>
        <v>Ancien</v>
      </c>
      <c r="AC1221"/>
      <c r="AD1221"/>
    </row>
    <row r="1222" spans="1:30" x14ac:dyDescent="0.25">
      <c r="A1222" s="5" t="s">
        <v>3830</v>
      </c>
      <c r="B1222" s="1" t="s">
        <v>8779</v>
      </c>
      <c r="C1222" s="1" t="s">
        <v>6767</v>
      </c>
      <c r="D1222" s="1" t="s">
        <v>14</v>
      </c>
      <c r="E1222" s="1" t="s">
        <v>6754</v>
      </c>
      <c r="F1222" s="1" t="s">
        <v>14</v>
      </c>
      <c r="G1222" s="1" t="s">
        <v>10</v>
      </c>
      <c r="H1222" s="1" t="s">
        <v>22</v>
      </c>
      <c r="I1222" s="1" t="s">
        <v>22</v>
      </c>
      <c r="J1222" s="3">
        <v>46064.632002314815</v>
      </c>
      <c r="K1222" s="2" t="s">
        <v>7461</v>
      </c>
      <c r="L1222" s="1">
        <v>33</v>
      </c>
      <c r="M1222" s="1">
        <v>37</v>
      </c>
      <c r="N1222">
        <v>4</v>
      </c>
      <c r="O1222" s="3">
        <f>IF(
    R1222="Ancien",
    _xlfn.XLOOKUP(
        Final_Sans_VGE[[#This Row],[ppn_z]],
        tbl_Historique_Final[ppn_z],
        tbl_Historique_Final[Horodatage],
        ""
    ),
    Horodatage!$A$2
)</f>
        <v>46233.670796365739</v>
      </c>
      <c r="P1222" s="1" t="str">
        <f>IFERROR(IF(tbl_Historique_Final[[#This Row],[Commentaires]]&lt;&gt;"",tbl_Historique_Final[[#This Row],[Commentaires]],""),"")</f>
        <v/>
      </c>
      <c r="X1222" s="8" t="str">
        <f>IF(Final_Sans_VGE[[#This Row],[ppn_z]]="","",IFERROR(
   IF(_xlfn.XLOOKUP(Final_Sans_VGE[[#This Row],[ppn_z]],tbl_Historique_Final[ppn_z],tbl_Historique_Final[date_modif])=Final_Sans_VGE[[#This Row],[date_modif]],
      "Ancien",
      "Modifié"),
   "Nouveau"))</f>
        <v>Ancien</v>
      </c>
      <c r="AC1222"/>
      <c r="AD1222"/>
    </row>
    <row r="1223" spans="1:30" x14ac:dyDescent="0.25">
      <c r="A1223" s="5" t="s">
        <v>3833</v>
      </c>
      <c r="B1223" s="1" t="s">
        <v>8780</v>
      </c>
      <c r="C1223" s="1" t="s">
        <v>12</v>
      </c>
      <c r="G1223" s="1" t="s">
        <v>10</v>
      </c>
      <c r="J1223" s="3">
        <v>46091.732824074075</v>
      </c>
      <c r="K1223" s="2" t="s">
        <v>8781</v>
      </c>
      <c r="L1223" s="1">
        <v>29</v>
      </c>
      <c r="M1223" s="1">
        <v>38</v>
      </c>
      <c r="N1223">
        <v>9</v>
      </c>
      <c r="O1223" s="3">
        <f>IF(
    R1223="Ancien",
    _xlfn.XLOOKUP(
        Final_Sans_VGE[[#This Row],[ppn_z]],
        tbl_Historique_Final[ppn_z],
        tbl_Historique_Final[Horodatage],
        ""
    ),
    Horodatage!$A$2
)</f>
        <v>46233.670796365739</v>
      </c>
      <c r="P1223" s="1" t="str">
        <f>IFERROR(IF(tbl_Historique_Final[[#This Row],[Commentaires]]&lt;&gt;"",tbl_Historique_Final[[#This Row],[Commentaires]],""),"")</f>
        <v/>
      </c>
      <c r="X1223" s="8" t="str">
        <f>IF(Final_Sans_VGE[[#This Row],[ppn_z]]="","",IFERROR(
   IF(_xlfn.XLOOKUP(Final_Sans_VGE[[#This Row],[ppn_z]],tbl_Historique_Final[ppn_z],tbl_Historique_Final[date_modif])=Final_Sans_VGE[[#This Row],[date_modif]],
      "Ancien",
      "Modifié"),
   "Nouveau"))</f>
        <v>Ancien</v>
      </c>
      <c r="AC1223"/>
      <c r="AD1223"/>
    </row>
    <row r="1224" spans="1:30" ht="30" x14ac:dyDescent="0.25">
      <c r="A1224" s="5" t="s">
        <v>3836</v>
      </c>
      <c r="B1224" s="1" t="s">
        <v>8782</v>
      </c>
      <c r="C1224" s="1" t="s">
        <v>12</v>
      </c>
      <c r="G1224" s="1" t="s">
        <v>10</v>
      </c>
      <c r="J1224" s="3">
        <v>46062.62909722222</v>
      </c>
      <c r="K1224" s="2" t="s">
        <v>8783</v>
      </c>
      <c r="L1224" s="1">
        <v>31</v>
      </c>
      <c r="M1224" s="1">
        <v>44</v>
      </c>
      <c r="N1224">
        <v>13</v>
      </c>
      <c r="O1224" s="3">
        <f>IF(
    R1224="Ancien",
    _xlfn.XLOOKUP(
        Final_Sans_VGE[[#This Row],[ppn_z]],
        tbl_Historique_Final[ppn_z],
        tbl_Historique_Final[Horodatage],
        ""
    ),
    Horodatage!$A$2
)</f>
        <v>46233.670796365739</v>
      </c>
      <c r="P1224" s="1" t="str">
        <f>IFERROR(IF(tbl_Historique_Final[[#This Row],[Commentaires]]&lt;&gt;"",tbl_Historique_Final[[#This Row],[Commentaires]],""),"")</f>
        <v/>
      </c>
      <c r="X1224" s="8" t="str">
        <f>IF(Final_Sans_VGE[[#This Row],[ppn_z]]="","",IFERROR(
   IF(_xlfn.XLOOKUP(Final_Sans_VGE[[#This Row],[ppn_z]],tbl_Historique_Final[ppn_z],tbl_Historique_Final[date_modif])=Final_Sans_VGE[[#This Row],[date_modif]],
      "Ancien",
      "Modifié"),
   "Nouveau"))</f>
        <v>Ancien</v>
      </c>
      <c r="AC1224"/>
      <c r="AD1224"/>
    </row>
    <row r="1225" spans="1:30" x14ac:dyDescent="0.25">
      <c r="A1225" s="5" t="s">
        <v>3839</v>
      </c>
      <c r="B1225" s="1" t="s">
        <v>8784</v>
      </c>
      <c r="C1225" s="1" t="s">
        <v>94</v>
      </c>
      <c r="E1225" s="1" t="s">
        <v>58</v>
      </c>
      <c r="G1225" s="1" t="s">
        <v>10</v>
      </c>
      <c r="J1225" s="3">
        <v>46086.666041666664</v>
      </c>
      <c r="K1225" s="2" t="s">
        <v>8785</v>
      </c>
      <c r="L1225" s="1">
        <v>2</v>
      </c>
      <c r="M1225" s="1">
        <v>2</v>
      </c>
      <c r="N1225">
        <v>0</v>
      </c>
      <c r="O1225" s="3">
        <f>IF(
    R1225="Ancien",
    _xlfn.XLOOKUP(
        Final_Sans_VGE[[#This Row],[ppn_z]],
        tbl_Historique_Final[ppn_z],
        tbl_Historique_Final[Horodatage],
        ""
    ),
    Horodatage!$A$2
)</f>
        <v>46233.670796365739</v>
      </c>
      <c r="P1225" s="1" t="str">
        <f>IFERROR(IF(tbl_Historique_Final[[#This Row],[Commentaires]]&lt;&gt;"",tbl_Historique_Final[[#This Row],[Commentaires]],""),"")</f>
        <v/>
      </c>
      <c r="X1225" s="8" t="str">
        <f>IF(Final_Sans_VGE[[#This Row],[ppn_z]]="","",IFERROR(
   IF(_xlfn.XLOOKUP(Final_Sans_VGE[[#This Row],[ppn_z]],tbl_Historique_Final[ppn_z],tbl_Historique_Final[date_modif])=Final_Sans_VGE[[#This Row],[date_modif]],
      "Ancien",
      "Modifié"),
   "Nouveau"))</f>
        <v>Ancien</v>
      </c>
      <c r="AC1225"/>
      <c r="AD1225"/>
    </row>
    <row r="1226" spans="1:30" ht="45" x14ac:dyDescent="0.25">
      <c r="A1226" s="5" t="s">
        <v>3842</v>
      </c>
      <c r="B1226" s="1" t="s">
        <v>8786</v>
      </c>
      <c r="C1226" s="1" t="s">
        <v>12</v>
      </c>
      <c r="D1226" s="1" t="s">
        <v>15</v>
      </c>
      <c r="G1226" s="1" t="s">
        <v>10</v>
      </c>
      <c r="H1226" s="1" t="s">
        <v>10479</v>
      </c>
      <c r="I1226" s="1" t="s">
        <v>8787</v>
      </c>
      <c r="J1226" s="3">
        <v>45982.621747685182</v>
      </c>
      <c r="K1226" s="2" t="s">
        <v>8788</v>
      </c>
      <c r="L1226" s="1">
        <v>133</v>
      </c>
      <c r="M1226" s="1">
        <v>135</v>
      </c>
      <c r="N1226">
        <v>2</v>
      </c>
      <c r="O1226" s="3">
        <f>IF(
    R1226="Ancien",
    _xlfn.XLOOKUP(
        Final_Sans_VGE[[#This Row],[ppn_z]],
        tbl_Historique_Final[ppn_z],
        tbl_Historique_Final[Horodatage],
        ""
    ),
    Horodatage!$A$2
)</f>
        <v>46233.670796365739</v>
      </c>
      <c r="P1226" s="1" t="str">
        <f>IFERROR(IF(tbl_Historique_Final[[#This Row],[Commentaires]]&lt;&gt;"",tbl_Historique_Final[[#This Row],[Commentaires]],""),"")</f>
        <v/>
      </c>
      <c r="X1226" s="8" t="str">
        <f>IF(Final_Sans_VGE[[#This Row],[ppn_z]]="","",IFERROR(
   IF(_xlfn.XLOOKUP(Final_Sans_VGE[[#This Row],[ppn_z]],tbl_Historique_Final[ppn_z],tbl_Historique_Final[date_modif])=Final_Sans_VGE[[#This Row],[date_modif]],
      "Ancien",
      "Modifié"),
   "Nouveau"))</f>
        <v>Ancien</v>
      </c>
      <c r="AC1226"/>
      <c r="AD1226"/>
    </row>
    <row r="1227" spans="1:30" ht="30" x14ac:dyDescent="0.25">
      <c r="A1227" s="5" t="s">
        <v>3845</v>
      </c>
      <c r="B1227" s="1" t="s">
        <v>8789</v>
      </c>
      <c r="C1227" s="1" t="s">
        <v>7164</v>
      </c>
      <c r="D1227" s="1" t="s">
        <v>8790</v>
      </c>
      <c r="E1227" s="1" t="s">
        <v>76</v>
      </c>
      <c r="F1227" s="1" t="s">
        <v>14</v>
      </c>
      <c r="G1227" s="1" t="s">
        <v>10</v>
      </c>
      <c r="H1227" s="1" t="s">
        <v>10517</v>
      </c>
      <c r="I1227" s="1" t="s">
        <v>140</v>
      </c>
      <c r="J1227" s="3">
        <v>46070.593541666669</v>
      </c>
      <c r="K1227" s="2" t="s">
        <v>8792</v>
      </c>
      <c r="L1227" s="1">
        <v>100</v>
      </c>
      <c r="M1227" s="1">
        <v>115</v>
      </c>
      <c r="N1227">
        <v>15</v>
      </c>
      <c r="O1227" s="3">
        <f>IF(
    R1227="Ancien",
    _xlfn.XLOOKUP(
        Final_Sans_VGE[[#This Row],[ppn_z]],
        tbl_Historique_Final[ppn_z],
        tbl_Historique_Final[Horodatage],
        ""
    ),
    Horodatage!$A$2
)</f>
        <v>46233.670796365739</v>
      </c>
      <c r="P1227" s="1" t="str">
        <f>IFERROR(IF(tbl_Historique_Final[[#This Row],[Commentaires]]&lt;&gt;"",tbl_Historique_Final[[#This Row],[Commentaires]],""),"")</f>
        <v/>
      </c>
      <c r="X1227" s="8" t="str">
        <f>IF(Final_Sans_VGE[[#This Row],[ppn_z]]="","",IFERROR(
   IF(_xlfn.XLOOKUP(Final_Sans_VGE[[#This Row],[ppn_z]],tbl_Historique_Final[ppn_z],tbl_Historique_Final[date_modif])=Final_Sans_VGE[[#This Row],[date_modif]],
      "Ancien",
      "Modifié"),
   "Nouveau"))</f>
        <v>Ancien</v>
      </c>
      <c r="AC1227"/>
      <c r="AD1227"/>
    </row>
    <row r="1228" spans="1:30" x14ac:dyDescent="0.25">
      <c r="A1228" s="5" t="s">
        <v>3848</v>
      </c>
      <c r="B1228" s="1" t="s">
        <v>8793</v>
      </c>
      <c r="C1228" s="1" t="s">
        <v>6615</v>
      </c>
      <c r="D1228" s="1" t="s">
        <v>14</v>
      </c>
      <c r="E1228" s="1" t="s">
        <v>141</v>
      </c>
      <c r="F1228" s="1" t="s">
        <v>14</v>
      </c>
      <c r="G1228" s="1" t="s">
        <v>10</v>
      </c>
      <c r="H1228" s="1" t="s">
        <v>22</v>
      </c>
      <c r="I1228" s="1" t="s">
        <v>22</v>
      </c>
      <c r="J1228" s="3">
        <v>46056.579097222224</v>
      </c>
      <c r="L1228" s="1">
        <v>23</v>
      </c>
      <c r="M1228" s="1">
        <v>24</v>
      </c>
      <c r="N1228">
        <v>1</v>
      </c>
      <c r="O1228" s="3">
        <f>IF(
    R1228="Ancien",
    _xlfn.XLOOKUP(
        Final_Sans_VGE[[#This Row],[ppn_z]],
        tbl_Historique_Final[ppn_z],
        tbl_Historique_Final[Horodatage],
        ""
    ),
    Horodatage!$A$2
)</f>
        <v>46233.670796365739</v>
      </c>
      <c r="P1228" s="1" t="str">
        <f>IFERROR(IF(tbl_Historique_Final[[#This Row],[Commentaires]]&lt;&gt;"",tbl_Historique_Final[[#This Row],[Commentaires]],""),"")</f>
        <v/>
      </c>
      <c r="X1228" s="8" t="str">
        <f>IF(Final_Sans_VGE[[#This Row],[ppn_z]]="","",IFERROR(
   IF(_xlfn.XLOOKUP(Final_Sans_VGE[[#This Row],[ppn_z]],tbl_Historique_Final[ppn_z],tbl_Historique_Final[date_modif])=Final_Sans_VGE[[#This Row],[date_modif]],
      "Ancien",
      "Modifié"),
   "Nouveau"))</f>
        <v>Ancien</v>
      </c>
      <c r="AC1228"/>
      <c r="AD1228"/>
    </row>
    <row r="1229" spans="1:30" ht="45" x14ac:dyDescent="0.25">
      <c r="A1229" s="5" t="s">
        <v>3851</v>
      </c>
      <c r="B1229" s="1" t="s">
        <v>8794</v>
      </c>
      <c r="C1229" s="1" t="s">
        <v>146</v>
      </c>
      <c r="E1229" s="1" t="s">
        <v>79</v>
      </c>
      <c r="G1229" s="1" t="s">
        <v>11</v>
      </c>
      <c r="J1229" s="3">
        <v>46076.598344907405</v>
      </c>
      <c r="K1229" s="2" t="s">
        <v>8795</v>
      </c>
      <c r="L1229" s="1">
        <v>46</v>
      </c>
      <c r="M1229" s="1">
        <v>48</v>
      </c>
      <c r="N1229">
        <v>2</v>
      </c>
      <c r="O1229" s="3">
        <f>IF(
    R1229="Ancien",
    _xlfn.XLOOKUP(
        Final_Sans_VGE[[#This Row],[ppn_z]],
        tbl_Historique_Final[ppn_z],
        tbl_Historique_Final[Horodatage],
        ""
    ),
    Horodatage!$A$2
)</f>
        <v>46233.670796365739</v>
      </c>
      <c r="P1229" s="1" t="str">
        <f>IFERROR(IF(tbl_Historique_Final[[#This Row],[Commentaires]]&lt;&gt;"",tbl_Historique_Final[[#This Row],[Commentaires]],""),"")</f>
        <v/>
      </c>
      <c r="X1229" s="8" t="str">
        <f>IF(Final_Sans_VGE[[#This Row],[ppn_z]]="","",IFERROR(
   IF(_xlfn.XLOOKUP(Final_Sans_VGE[[#This Row],[ppn_z]],tbl_Historique_Final[ppn_z],tbl_Historique_Final[date_modif])=Final_Sans_VGE[[#This Row],[date_modif]],
      "Ancien",
      "Modifié"),
   "Nouveau"))</f>
        <v>Ancien</v>
      </c>
      <c r="AC1229"/>
      <c r="AD1229"/>
    </row>
    <row r="1230" spans="1:30" x14ac:dyDescent="0.25">
      <c r="A1230" s="5" t="s">
        <v>3854</v>
      </c>
      <c r="B1230" s="1" t="s">
        <v>8796</v>
      </c>
      <c r="C1230" s="1" t="s">
        <v>6792</v>
      </c>
      <c r="J1230" s="3">
        <v>45908.692858796298</v>
      </c>
      <c r="L1230" s="1">
        <v>11</v>
      </c>
      <c r="M1230" s="1">
        <v>11</v>
      </c>
      <c r="N1230">
        <v>0</v>
      </c>
      <c r="O1230" s="3">
        <f>IF(
    R1230="Ancien",
    _xlfn.XLOOKUP(
        Final_Sans_VGE[[#This Row],[ppn_z]],
        tbl_Historique_Final[ppn_z],
        tbl_Historique_Final[Horodatage],
        ""
    ),
    Horodatage!$A$2
)</f>
        <v>46233.670796365739</v>
      </c>
      <c r="P1230" s="1" t="str">
        <f>IFERROR(IF(tbl_Historique_Final[[#This Row],[Commentaires]]&lt;&gt;"",tbl_Historique_Final[[#This Row],[Commentaires]],""),"")</f>
        <v/>
      </c>
      <c r="X1230" s="8" t="str">
        <f>IF(Final_Sans_VGE[[#This Row],[ppn_z]]="","",IFERROR(
   IF(_xlfn.XLOOKUP(Final_Sans_VGE[[#This Row],[ppn_z]],tbl_Historique_Final[ppn_z],tbl_Historique_Final[date_modif])=Final_Sans_VGE[[#This Row],[date_modif]],
      "Ancien",
      "Modifié"),
   "Nouveau"))</f>
        <v>Ancien</v>
      </c>
      <c r="AC1230"/>
      <c r="AD1230"/>
    </row>
    <row r="1231" spans="1:30" ht="30" x14ac:dyDescent="0.25">
      <c r="A1231" s="5" t="s">
        <v>3857</v>
      </c>
      <c r="B1231" s="1" t="s">
        <v>8797</v>
      </c>
      <c r="C1231" s="1" t="s">
        <v>35</v>
      </c>
      <c r="G1231" s="1" t="s">
        <v>10</v>
      </c>
      <c r="H1231" s="1" t="s">
        <v>22</v>
      </c>
      <c r="I1231" s="1" t="s">
        <v>22</v>
      </c>
      <c r="J1231" s="3">
        <v>46058.609085648146</v>
      </c>
      <c r="K1231" s="2" t="s">
        <v>8798</v>
      </c>
      <c r="L1231" s="1">
        <v>54</v>
      </c>
      <c r="M1231" s="1">
        <v>70</v>
      </c>
      <c r="N1231">
        <v>16</v>
      </c>
      <c r="O1231" s="3">
        <f>IF(
    R1231="Ancien",
    _xlfn.XLOOKUP(
        Final_Sans_VGE[[#This Row],[ppn_z]],
        tbl_Historique_Final[ppn_z],
        tbl_Historique_Final[Horodatage],
        ""
    ),
    Horodatage!$A$2
)</f>
        <v>46233.670796365739</v>
      </c>
      <c r="P1231" s="1" t="str">
        <f>IFERROR(IF(tbl_Historique_Final[[#This Row],[Commentaires]]&lt;&gt;"",tbl_Historique_Final[[#This Row],[Commentaires]],""),"")</f>
        <v/>
      </c>
      <c r="X1231" s="8" t="str">
        <f>IF(Final_Sans_VGE[[#This Row],[ppn_z]]="","",IFERROR(
   IF(_xlfn.XLOOKUP(Final_Sans_VGE[[#This Row],[ppn_z]],tbl_Historique_Final[ppn_z],tbl_Historique_Final[date_modif])=Final_Sans_VGE[[#This Row],[date_modif]],
      "Ancien",
      "Modifié"),
   "Nouveau"))</f>
        <v>Ancien</v>
      </c>
      <c r="AC1231"/>
      <c r="AD1231"/>
    </row>
    <row r="1232" spans="1:30" x14ac:dyDescent="0.25">
      <c r="A1232" s="5" t="s">
        <v>3860</v>
      </c>
      <c r="B1232" s="1" t="s">
        <v>8799</v>
      </c>
      <c r="C1232" s="1" t="s">
        <v>7802</v>
      </c>
      <c r="D1232" s="1" t="s">
        <v>8800</v>
      </c>
      <c r="E1232" s="1" t="s">
        <v>6444</v>
      </c>
      <c r="F1232" s="1" t="s">
        <v>14</v>
      </c>
      <c r="G1232" s="1" t="s">
        <v>10</v>
      </c>
      <c r="H1232" s="1" t="s">
        <v>22</v>
      </c>
      <c r="I1232" s="1" t="s">
        <v>22</v>
      </c>
      <c r="J1232" s="3">
        <v>46079.354872685188</v>
      </c>
      <c r="K1232" s="2" t="s">
        <v>7461</v>
      </c>
      <c r="L1232" s="1">
        <v>4</v>
      </c>
      <c r="M1232" s="1">
        <v>5</v>
      </c>
      <c r="N1232">
        <v>1</v>
      </c>
      <c r="O1232" s="3">
        <f>IF(
    R1232="Ancien",
    _xlfn.XLOOKUP(
        Final_Sans_VGE[[#This Row],[ppn_z]],
        tbl_Historique_Final[ppn_z],
        tbl_Historique_Final[Horodatage],
        ""
    ),
    Horodatage!$A$2
)</f>
        <v>46233.670796365739</v>
      </c>
      <c r="P1232" s="1" t="str">
        <f>IFERROR(IF(tbl_Historique_Final[[#This Row],[Commentaires]]&lt;&gt;"",tbl_Historique_Final[[#This Row],[Commentaires]],""),"")</f>
        <v/>
      </c>
      <c r="X1232" s="8" t="str">
        <f>IF(Final_Sans_VGE[[#This Row],[ppn_z]]="","",IFERROR(
   IF(_xlfn.XLOOKUP(Final_Sans_VGE[[#This Row],[ppn_z]],tbl_Historique_Final[ppn_z],tbl_Historique_Final[date_modif])=Final_Sans_VGE[[#This Row],[date_modif]],
      "Ancien",
      "Modifié"),
   "Nouveau"))</f>
        <v>Ancien</v>
      </c>
      <c r="AC1232"/>
      <c r="AD1232"/>
    </row>
    <row r="1233" spans="1:30" x14ac:dyDescent="0.25">
      <c r="A1233" s="5" t="s">
        <v>3863</v>
      </c>
      <c r="B1233" s="1" t="s">
        <v>8801</v>
      </c>
      <c r="C1233" s="1" t="s">
        <v>7769</v>
      </c>
      <c r="E1233" s="1" t="s">
        <v>8802</v>
      </c>
      <c r="G1233" s="1" t="s">
        <v>10</v>
      </c>
      <c r="J1233" s="3">
        <v>46090.745983796296</v>
      </c>
      <c r="K1233" s="2" t="s">
        <v>8803</v>
      </c>
      <c r="L1233" s="1">
        <v>25</v>
      </c>
      <c r="M1233" s="1">
        <v>25</v>
      </c>
      <c r="N1233">
        <v>0</v>
      </c>
      <c r="O1233" s="3">
        <f>IF(
    R1233="Ancien",
    _xlfn.XLOOKUP(
        Final_Sans_VGE[[#This Row],[ppn_z]],
        tbl_Historique_Final[ppn_z],
        tbl_Historique_Final[Horodatage],
        ""
    ),
    Horodatage!$A$2
)</f>
        <v>46233.670796365739</v>
      </c>
      <c r="P1233" s="1" t="str">
        <f>IFERROR(IF(tbl_Historique_Final[[#This Row],[Commentaires]]&lt;&gt;"",tbl_Historique_Final[[#This Row],[Commentaires]],""),"")</f>
        <v/>
      </c>
      <c r="X1233" s="8" t="str">
        <f>IF(Final_Sans_VGE[[#This Row],[ppn_z]]="","",IFERROR(
   IF(_xlfn.XLOOKUP(Final_Sans_VGE[[#This Row],[ppn_z]],tbl_Historique_Final[ppn_z],tbl_Historique_Final[date_modif])=Final_Sans_VGE[[#This Row],[date_modif]],
      "Ancien",
      "Modifié"),
   "Nouveau"))</f>
        <v>Ancien</v>
      </c>
      <c r="AC1233"/>
      <c r="AD1233"/>
    </row>
    <row r="1234" spans="1:30" x14ac:dyDescent="0.25">
      <c r="A1234" s="5" t="s">
        <v>3866</v>
      </c>
      <c r="B1234" s="1" t="s">
        <v>8804</v>
      </c>
      <c r="C1234" s="1" t="s">
        <v>7033</v>
      </c>
      <c r="D1234" s="1" t="s">
        <v>8805</v>
      </c>
      <c r="E1234" s="1" t="s">
        <v>69</v>
      </c>
      <c r="F1234" s="1" t="s">
        <v>8421</v>
      </c>
      <c r="G1234" s="1" t="s">
        <v>10</v>
      </c>
      <c r="H1234" s="1" t="s">
        <v>22</v>
      </c>
      <c r="I1234" s="1" t="s">
        <v>22</v>
      </c>
      <c r="J1234" s="3">
        <v>46057.488298611112</v>
      </c>
      <c r="K1234" s="2" t="s">
        <v>6373</v>
      </c>
      <c r="L1234" s="1">
        <v>15</v>
      </c>
      <c r="M1234" s="1">
        <v>15</v>
      </c>
      <c r="N1234">
        <v>0</v>
      </c>
      <c r="O1234" s="3">
        <f>IF(
    R1234="Ancien",
    _xlfn.XLOOKUP(
        Final_Sans_VGE[[#This Row],[ppn_z]],
        tbl_Historique_Final[ppn_z],
        tbl_Historique_Final[Horodatage],
        ""
    ),
    Horodatage!$A$2
)</f>
        <v>46233.670796365739</v>
      </c>
      <c r="P1234" s="1" t="str">
        <f>IFERROR(IF(tbl_Historique_Final[[#This Row],[Commentaires]]&lt;&gt;"",tbl_Historique_Final[[#This Row],[Commentaires]],""),"")</f>
        <v/>
      </c>
      <c r="X1234" s="8" t="str">
        <f>IF(Final_Sans_VGE[[#This Row],[ppn_z]]="","",IFERROR(
   IF(_xlfn.XLOOKUP(Final_Sans_VGE[[#This Row],[ppn_z]],tbl_Historique_Final[ppn_z],tbl_Historique_Final[date_modif])=Final_Sans_VGE[[#This Row],[date_modif]],
      "Ancien",
      "Modifié"),
   "Nouveau"))</f>
        <v>Ancien</v>
      </c>
      <c r="AC1234"/>
      <c r="AD1234"/>
    </row>
    <row r="1235" spans="1:30" x14ac:dyDescent="0.25">
      <c r="A1235" s="5" t="s">
        <v>3869</v>
      </c>
      <c r="B1235" s="1" t="s">
        <v>8806</v>
      </c>
      <c r="C1235" s="1" t="s">
        <v>12</v>
      </c>
      <c r="G1235" s="1" t="s">
        <v>11</v>
      </c>
      <c r="J1235" s="3">
        <v>46105.500358796293</v>
      </c>
      <c r="K1235" s="2" t="s">
        <v>8807</v>
      </c>
      <c r="L1235" s="1">
        <v>6</v>
      </c>
      <c r="M1235" s="1">
        <v>6</v>
      </c>
      <c r="N1235">
        <v>0</v>
      </c>
      <c r="O1235" s="3">
        <f>IF(
    R1235="Ancien",
    _xlfn.XLOOKUP(
        Final_Sans_VGE[[#This Row],[ppn_z]],
        tbl_Historique_Final[ppn_z],
        tbl_Historique_Final[Horodatage],
        ""
    ),
    Horodatage!$A$2
)</f>
        <v>46233.670796365739</v>
      </c>
      <c r="P1235" s="1" t="str">
        <f>IFERROR(IF(tbl_Historique_Final[[#This Row],[Commentaires]]&lt;&gt;"",tbl_Historique_Final[[#This Row],[Commentaires]],""),"")</f>
        <v/>
      </c>
      <c r="X1235" s="8" t="str">
        <f>IF(Final_Sans_VGE[[#This Row],[ppn_z]]="","",IFERROR(
   IF(_xlfn.XLOOKUP(Final_Sans_VGE[[#This Row],[ppn_z]],tbl_Historique_Final[ppn_z],tbl_Historique_Final[date_modif])=Final_Sans_VGE[[#This Row],[date_modif]],
      "Ancien",
      "Modifié"),
   "Nouveau"))</f>
        <v>Ancien</v>
      </c>
      <c r="AC1235"/>
      <c r="AD1235"/>
    </row>
    <row r="1236" spans="1:30" x14ac:dyDescent="0.25">
      <c r="A1236" s="5" t="s">
        <v>3872</v>
      </c>
      <c r="B1236" s="1" t="s">
        <v>8808</v>
      </c>
      <c r="C1236" s="1" t="s">
        <v>146</v>
      </c>
      <c r="J1236" s="3">
        <v>45912.687893518516</v>
      </c>
      <c r="L1236" s="1">
        <v>21</v>
      </c>
      <c r="M1236" s="1">
        <v>23</v>
      </c>
      <c r="N1236">
        <v>2</v>
      </c>
      <c r="O1236" s="3">
        <f>IF(
    R1236="Ancien",
    _xlfn.XLOOKUP(
        Final_Sans_VGE[[#This Row],[ppn_z]],
        tbl_Historique_Final[ppn_z],
        tbl_Historique_Final[Horodatage],
        ""
    ),
    Horodatage!$A$2
)</f>
        <v>46233.670796365739</v>
      </c>
      <c r="P1236" s="1" t="str">
        <f>IFERROR(IF(tbl_Historique_Final[[#This Row],[Commentaires]]&lt;&gt;"",tbl_Historique_Final[[#This Row],[Commentaires]],""),"")</f>
        <v/>
      </c>
      <c r="X1236" s="8" t="str">
        <f>IF(Final_Sans_VGE[[#This Row],[ppn_z]]="","",IFERROR(
   IF(_xlfn.XLOOKUP(Final_Sans_VGE[[#This Row],[ppn_z]],tbl_Historique_Final[ppn_z],tbl_Historique_Final[date_modif])=Final_Sans_VGE[[#This Row],[date_modif]],
      "Ancien",
      "Modifié"),
   "Nouveau"))</f>
        <v>Ancien</v>
      </c>
      <c r="AC1236"/>
      <c r="AD1236"/>
    </row>
    <row r="1237" spans="1:30" x14ac:dyDescent="0.25">
      <c r="A1237" s="5" t="s">
        <v>3875</v>
      </c>
      <c r="B1237" s="1" t="s">
        <v>8809</v>
      </c>
      <c r="C1237" s="1" t="s">
        <v>74</v>
      </c>
      <c r="E1237" s="1" t="s">
        <v>123</v>
      </c>
      <c r="G1237" s="1" t="s">
        <v>11</v>
      </c>
      <c r="J1237" s="3">
        <v>46090.799201388887</v>
      </c>
      <c r="K1237" s="2" t="s">
        <v>8810</v>
      </c>
      <c r="L1237" s="1">
        <v>3</v>
      </c>
      <c r="M1237" s="1">
        <v>3</v>
      </c>
      <c r="N1237">
        <v>0</v>
      </c>
      <c r="O1237" s="3">
        <f>IF(
    R1237="Ancien",
    _xlfn.XLOOKUP(
        Final_Sans_VGE[[#This Row],[ppn_z]],
        tbl_Historique_Final[ppn_z],
        tbl_Historique_Final[Horodatage],
        ""
    ),
    Horodatage!$A$2
)</f>
        <v>46233.670796365739</v>
      </c>
      <c r="P1237" s="1" t="str">
        <f>IFERROR(IF(tbl_Historique_Final[[#This Row],[Commentaires]]&lt;&gt;"",tbl_Historique_Final[[#This Row],[Commentaires]],""),"")</f>
        <v/>
      </c>
      <c r="X1237" s="8" t="str">
        <f>IF(Final_Sans_VGE[[#This Row],[ppn_z]]="","",IFERROR(
   IF(_xlfn.XLOOKUP(Final_Sans_VGE[[#This Row],[ppn_z]],tbl_Historique_Final[ppn_z],tbl_Historique_Final[date_modif])=Final_Sans_VGE[[#This Row],[date_modif]],
      "Ancien",
      "Modifié"),
   "Nouveau"))</f>
        <v>Ancien</v>
      </c>
      <c r="AC1237"/>
      <c r="AD1237"/>
    </row>
    <row r="1238" spans="1:30" ht="45" x14ac:dyDescent="0.25">
      <c r="A1238" s="5" t="s">
        <v>3878</v>
      </c>
      <c r="B1238" s="1" t="s">
        <v>8811</v>
      </c>
      <c r="C1238" s="1" t="s">
        <v>8690</v>
      </c>
      <c r="D1238" s="1" t="s">
        <v>14</v>
      </c>
      <c r="E1238" s="1" t="s">
        <v>8266</v>
      </c>
      <c r="F1238" s="1" t="s">
        <v>14</v>
      </c>
      <c r="G1238" s="1" t="s">
        <v>10</v>
      </c>
      <c r="H1238" s="1" t="s">
        <v>22</v>
      </c>
      <c r="I1238" s="1" t="s">
        <v>22</v>
      </c>
      <c r="J1238" s="3">
        <v>46080.611203703702</v>
      </c>
      <c r="K1238" s="2" t="s">
        <v>8812</v>
      </c>
      <c r="L1238" s="1">
        <v>5</v>
      </c>
      <c r="M1238" s="1">
        <v>8</v>
      </c>
      <c r="N1238">
        <v>3</v>
      </c>
      <c r="O1238" s="3">
        <f>IF(
    R1238="Ancien",
    _xlfn.XLOOKUP(
        Final_Sans_VGE[[#This Row],[ppn_z]],
        tbl_Historique_Final[ppn_z],
        tbl_Historique_Final[Horodatage],
        ""
    ),
    Horodatage!$A$2
)</f>
        <v>46233.670796365739</v>
      </c>
      <c r="P1238" s="1" t="str">
        <f>IFERROR(IF(tbl_Historique_Final[[#This Row],[Commentaires]]&lt;&gt;"",tbl_Historique_Final[[#This Row],[Commentaires]],""),"")</f>
        <v/>
      </c>
      <c r="X1238" s="8" t="str">
        <f>IF(Final_Sans_VGE[[#This Row],[ppn_z]]="","",IFERROR(
   IF(_xlfn.XLOOKUP(Final_Sans_VGE[[#This Row],[ppn_z]],tbl_Historique_Final[ppn_z],tbl_Historique_Final[date_modif])=Final_Sans_VGE[[#This Row],[date_modif]],
      "Ancien",
      "Modifié"),
   "Nouveau"))</f>
        <v>Ancien</v>
      </c>
      <c r="AC1238"/>
      <c r="AD1238"/>
    </row>
    <row r="1239" spans="1:30" ht="45" x14ac:dyDescent="0.25">
      <c r="A1239" s="5" t="s">
        <v>3881</v>
      </c>
      <c r="B1239" s="1" t="s">
        <v>8813</v>
      </c>
      <c r="C1239" s="1" t="s">
        <v>8814</v>
      </c>
      <c r="E1239" s="1" t="s">
        <v>156</v>
      </c>
      <c r="G1239" s="1" t="s">
        <v>10</v>
      </c>
      <c r="J1239" s="3">
        <v>46080.390821759262</v>
      </c>
      <c r="K1239" s="2" t="s">
        <v>8815</v>
      </c>
      <c r="L1239" s="1">
        <v>2</v>
      </c>
      <c r="M1239" s="1">
        <v>4</v>
      </c>
      <c r="N1239">
        <v>2</v>
      </c>
      <c r="O1239" s="3">
        <f>IF(
    R1239="Ancien",
    _xlfn.XLOOKUP(
        Final_Sans_VGE[[#This Row],[ppn_z]],
        tbl_Historique_Final[ppn_z],
        tbl_Historique_Final[Horodatage],
        ""
    ),
    Horodatage!$A$2
)</f>
        <v>46233.670796365739</v>
      </c>
      <c r="P1239" s="1" t="str">
        <f>IFERROR(IF(tbl_Historique_Final[[#This Row],[Commentaires]]&lt;&gt;"",tbl_Historique_Final[[#This Row],[Commentaires]],""),"")</f>
        <v/>
      </c>
      <c r="X1239" s="8" t="str">
        <f>IF(Final_Sans_VGE[[#This Row],[ppn_z]]="","",IFERROR(
   IF(_xlfn.XLOOKUP(Final_Sans_VGE[[#This Row],[ppn_z]],tbl_Historique_Final[ppn_z],tbl_Historique_Final[date_modif])=Final_Sans_VGE[[#This Row],[date_modif]],
      "Ancien",
      "Modifié"),
   "Nouveau"))</f>
        <v>Ancien</v>
      </c>
      <c r="AC1239"/>
      <c r="AD1239"/>
    </row>
    <row r="1240" spans="1:30" x14ac:dyDescent="0.25">
      <c r="A1240" s="5" t="s">
        <v>3884</v>
      </c>
      <c r="B1240" s="1" t="s">
        <v>8816</v>
      </c>
      <c r="C1240" s="1" t="s">
        <v>94</v>
      </c>
      <c r="D1240" s="1" t="s">
        <v>8817</v>
      </c>
      <c r="E1240" s="1" t="s">
        <v>49</v>
      </c>
      <c r="F1240" s="1" t="s">
        <v>14</v>
      </c>
      <c r="G1240" s="1" t="s">
        <v>10</v>
      </c>
      <c r="H1240" s="1" t="s">
        <v>22</v>
      </c>
      <c r="I1240" s="1" t="s">
        <v>22</v>
      </c>
      <c r="J1240" s="3">
        <v>46076.366851851853</v>
      </c>
      <c r="K1240" s="2" t="s">
        <v>8818</v>
      </c>
      <c r="L1240" s="1">
        <v>3</v>
      </c>
      <c r="M1240" s="1">
        <v>5</v>
      </c>
      <c r="N1240">
        <v>2</v>
      </c>
      <c r="O1240" s="3">
        <f>IF(
    R1240="Ancien",
    _xlfn.XLOOKUP(
        Final_Sans_VGE[[#This Row],[ppn_z]],
        tbl_Historique_Final[ppn_z],
        tbl_Historique_Final[Horodatage],
        ""
    ),
    Horodatage!$A$2
)</f>
        <v>46233.670796365739</v>
      </c>
      <c r="P1240" s="1" t="str">
        <f>IFERROR(IF(tbl_Historique_Final[[#This Row],[Commentaires]]&lt;&gt;"",tbl_Historique_Final[[#This Row],[Commentaires]],""),"")</f>
        <v/>
      </c>
      <c r="X1240" s="8" t="str">
        <f>IF(Final_Sans_VGE[[#This Row],[ppn_z]]="","",IFERROR(
   IF(_xlfn.XLOOKUP(Final_Sans_VGE[[#This Row],[ppn_z]],tbl_Historique_Final[ppn_z],tbl_Historique_Final[date_modif])=Final_Sans_VGE[[#This Row],[date_modif]],
      "Ancien",
      "Modifié"),
   "Nouveau"))</f>
        <v>Ancien</v>
      </c>
      <c r="AC1240"/>
      <c r="AD1240"/>
    </row>
    <row r="1241" spans="1:30" ht="45" x14ac:dyDescent="0.25">
      <c r="A1241" s="5" t="s">
        <v>3887</v>
      </c>
      <c r="B1241" s="1" t="s">
        <v>8819</v>
      </c>
      <c r="C1241" s="1" t="s">
        <v>6607</v>
      </c>
      <c r="E1241" s="1" t="s">
        <v>120</v>
      </c>
      <c r="G1241" s="1" t="s">
        <v>10</v>
      </c>
      <c r="J1241" s="3">
        <v>46085.799062500002</v>
      </c>
      <c r="K1241" s="2" t="s">
        <v>8820</v>
      </c>
      <c r="L1241" s="1">
        <v>9</v>
      </c>
      <c r="M1241" s="1">
        <v>9</v>
      </c>
      <c r="N1241">
        <v>0</v>
      </c>
      <c r="O1241" s="3">
        <f>IF(
    R1241="Ancien",
    _xlfn.XLOOKUP(
        Final_Sans_VGE[[#This Row],[ppn_z]],
        tbl_Historique_Final[ppn_z],
        tbl_Historique_Final[Horodatage],
        ""
    ),
    Horodatage!$A$2
)</f>
        <v>46233.670796365739</v>
      </c>
      <c r="P1241" s="1" t="str">
        <f>IFERROR(IF(tbl_Historique_Final[[#This Row],[Commentaires]]&lt;&gt;"",tbl_Historique_Final[[#This Row],[Commentaires]],""),"")</f>
        <v/>
      </c>
      <c r="X1241" s="8" t="str">
        <f>IF(Final_Sans_VGE[[#This Row],[ppn_z]]="","",IFERROR(
   IF(_xlfn.XLOOKUP(Final_Sans_VGE[[#This Row],[ppn_z]],tbl_Historique_Final[ppn_z],tbl_Historique_Final[date_modif])=Final_Sans_VGE[[#This Row],[date_modif]],
      "Ancien",
      "Modifié"),
   "Nouveau"))</f>
        <v>Ancien</v>
      </c>
      <c r="AC1241"/>
      <c r="AD1241"/>
    </row>
    <row r="1242" spans="1:30" x14ac:dyDescent="0.25">
      <c r="A1242" s="5" t="s">
        <v>3890</v>
      </c>
      <c r="B1242" s="1" t="s">
        <v>8821</v>
      </c>
      <c r="C1242" s="1" t="s">
        <v>91</v>
      </c>
      <c r="J1242" s="3">
        <v>45917.423541666663</v>
      </c>
      <c r="L1242" s="1">
        <v>6</v>
      </c>
      <c r="M1242" s="1">
        <v>6</v>
      </c>
      <c r="N1242">
        <v>0</v>
      </c>
      <c r="O1242" s="3">
        <f>IF(
    R1242="Ancien",
    _xlfn.XLOOKUP(
        Final_Sans_VGE[[#This Row],[ppn_z]],
        tbl_Historique_Final[ppn_z],
        tbl_Historique_Final[Horodatage],
        ""
    ),
    Horodatage!$A$2
)</f>
        <v>46233.670796365739</v>
      </c>
      <c r="P1242" s="1" t="str">
        <f>IFERROR(IF(tbl_Historique_Final[[#This Row],[Commentaires]]&lt;&gt;"",tbl_Historique_Final[[#This Row],[Commentaires]],""),"")</f>
        <v/>
      </c>
      <c r="X1242" s="8" t="str">
        <f>IF(Final_Sans_VGE[[#This Row],[ppn_z]]="","",IFERROR(
   IF(_xlfn.XLOOKUP(Final_Sans_VGE[[#This Row],[ppn_z]],tbl_Historique_Final[ppn_z],tbl_Historique_Final[date_modif])=Final_Sans_VGE[[#This Row],[date_modif]],
      "Ancien",
      "Modifié"),
   "Nouveau"))</f>
        <v>Ancien</v>
      </c>
      <c r="AC1242"/>
      <c r="AD1242"/>
    </row>
    <row r="1243" spans="1:30" x14ac:dyDescent="0.25">
      <c r="A1243" s="5" t="s">
        <v>3893</v>
      </c>
      <c r="B1243" s="1" t="s">
        <v>8822</v>
      </c>
      <c r="C1243" s="1" t="s">
        <v>119</v>
      </c>
      <c r="G1243" s="1" t="s">
        <v>11</v>
      </c>
      <c r="J1243" s="3">
        <v>46063.46671296296</v>
      </c>
      <c r="K1243" s="2" t="s">
        <v>8823</v>
      </c>
      <c r="L1243" s="1">
        <v>1</v>
      </c>
      <c r="M1243" s="1">
        <v>1</v>
      </c>
      <c r="N1243">
        <v>0</v>
      </c>
      <c r="O1243" s="3">
        <f>IF(
    R1243="Ancien",
    _xlfn.XLOOKUP(
        Final_Sans_VGE[[#This Row],[ppn_z]],
        tbl_Historique_Final[ppn_z],
        tbl_Historique_Final[Horodatage],
        ""
    ),
    Horodatage!$A$2
)</f>
        <v>46233.670796365739</v>
      </c>
      <c r="P1243" s="1" t="str">
        <f>IFERROR(IF(tbl_Historique_Final[[#This Row],[Commentaires]]&lt;&gt;"",tbl_Historique_Final[[#This Row],[Commentaires]],""),"")</f>
        <v/>
      </c>
      <c r="X1243" s="8" t="str">
        <f>IF(Final_Sans_VGE[[#This Row],[ppn_z]]="","",IFERROR(
   IF(_xlfn.XLOOKUP(Final_Sans_VGE[[#This Row],[ppn_z]],tbl_Historique_Final[ppn_z],tbl_Historique_Final[date_modif])=Final_Sans_VGE[[#This Row],[date_modif]],
      "Ancien",
      "Modifié"),
   "Nouveau"))</f>
        <v>Ancien</v>
      </c>
      <c r="AC1243"/>
      <c r="AD1243"/>
    </row>
    <row r="1244" spans="1:30" ht="30" x14ac:dyDescent="0.25">
      <c r="A1244" s="5" t="s">
        <v>3896</v>
      </c>
      <c r="B1244" s="1" t="s">
        <v>8824</v>
      </c>
      <c r="C1244" s="1" t="s">
        <v>12</v>
      </c>
      <c r="G1244" s="1" t="s">
        <v>11</v>
      </c>
      <c r="J1244" s="3">
        <v>46085.585497685184</v>
      </c>
      <c r="K1244" s="2" t="s">
        <v>8825</v>
      </c>
      <c r="L1244" s="1">
        <v>1</v>
      </c>
      <c r="M1244" s="1">
        <v>1</v>
      </c>
      <c r="N1244">
        <v>0</v>
      </c>
      <c r="O1244" s="3">
        <f>IF(
    R1244="Ancien",
    _xlfn.XLOOKUP(
        Final_Sans_VGE[[#This Row],[ppn_z]],
        tbl_Historique_Final[ppn_z],
        tbl_Historique_Final[Horodatage],
        ""
    ),
    Horodatage!$A$2
)</f>
        <v>46233.670796365739</v>
      </c>
      <c r="P1244" s="1" t="str">
        <f>IFERROR(IF(tbl_Historique_Final[[#This Row],[Commentaires]]&lt;&gt;"",tbl_Historique_Final[[#This Row],[Commentaires]],""),"")</f>
        <v/>
      </c>
      <c r="X1244" s="8" t="str">
        <f>IF(Final_Sans_VGE[[#This Row],[ppn_z]]="","",IFERROR(
   IF(_xlfn.XLOOKUP(Final_Sans_VGE[[#This Row],[ppn_z]],tbl_Historique_Final[ppn_z],tbl_Historique_Final[date_modif])=Final_Sans_VGE[[#This Row],[date_modif]],
      "Ancien",
      "Modifié"),
   "Nouveau"))</f>
        <v>Ancien</v>
      </c>
      <c r="AC1244"/>
      <c r="AD1244"/>
    </row>
    <row r="1245" spans="1:30" x14ac:dyDescent="0.25">
      <c r="A1245" s="5" t="s">
        <v>3899</v>
      </c>
      <c r="B1245" s="1" t="s">
        <v>8826</v>
      </c>
      <c r="C1245" s="1" t="s">
        <v>6482</v>
      </c>
      <c r="J1245" s="3">
        <v>45917.43608796296</v>
      </c>
      <c r="L1245" s="1">
        <v>8</v>
      </c>
      <c r="M1245" s="1">
        <v>8</v>
      </c>
      <c r="N1245">
        <v>0</v>
      </c>
      <c r="O1245" s="3">
        <f>IF(
    R1245="Ancien",
    _xlfn.XLOOKUP(
        Final_Sans_VGE[[#This Row],[ppn_z]],
        tbl_Historique_Final[ppn_z],
        tbl_Historique_Final[Horodatage],
        ""
    ),
    Horodatage!$A$2
)</f>
        <v>46233.670796365739</v>
      </c>
      <c r="P1245" s="1" t="str">
        <f>IFERROR(IF(tbl_Historique_Final[[#This Row],[Commentaires]]&lt;&gt;"",tbl_Historique_Final[[#This Row],[Commentaires]],""),"")</f>
        <v/>
      </c>
      <c r="X1245" s="8" t="str">
        <f>IF(Final_Sans_VGE[[#This Row],[ppn_z]]="","",IFERROR(
   IF(_xlfn.XLOOKUP(Final_Sans_VGE[[#This Row],[ppn_z]],tbl_Historique_Final[ppn_z],tbl_Historique_Final[date_modif])=Final_Sans_VGE[[#This Row],[date_modif]],
      "Ancien",
      "Modifié"),
   "Nouveau"))</f>
        <v>Ancien</v>
      </c>
      <c r="AC1245"/>
      <c r="AD1245"/>
    </row>
    <row r="1246" spans="1:30" ht="105" x14ac:dyDescent="0.25">
      <c r="A1246" s="5" t="s">
        <v>3902</v>
      </c>
      <c r="B1246" s="1" t="s">
        <v>8827</v>
      </c>
      <c r="C1246" s="1" t="s">
        <v>8828</v>
      </c>
      <c r="D1246" s="1" t="s">
        <v>14</v>
      </c>
      <c r="E1246" s="1" t="s">
        <v>8829</v>
      </c>
      <c r="F1246" s="1" t="s">
        <v>8318</v>
      </c>
      <c r="G1246" s="1" t="s">
        <v>10</v>
      </c>
      <c r="H1246" s="1" t="s">
        <v>140</v>
      </c>
      <c r="I1246" s="1" t="s">
        <v>140</v>
      </c>
      <c r="J1246" s="3">
        <v>46097.744814814818</v>
      </c>
      <c r="K1246" s="2" t="s">
        <v>8830</v>
      </c>
      <c r="L1246" s="1">
        <v>8</v>
      </c>
      <c r="M1246" s="1">
        <v>8</v>
      </c>
      <c r="N1246">
        <v>0</v>
      </c>
      <c r="O1246" s="3">
        <f>IF(
    R1246="Ancien",
    _xlfn.XLOOKUP(
        Final_Sans_VGE[[#This Row],[ppn_z]],
        tbl_Historique_Final[ppn_z],
        tbl_Historique_Final[Horodatage],
        ""
    ),
    Horodatage!$A$2
)</f>
        <v>46233.670796365739</v>
      </c>
      <c r="P1246" s="1" t="str">
        <f>IFERROR(IF(tbl_Historique_Final[[#This Row],[Commentaires]]&lt;&gt;"",tbl_Historique_Final[[#This Row],[Commentaires]],""),"")</f>
        <v/>
      </c>
      <c r="X1246" s="8" t="str">
        <f>IF(Final_Sans_VGE[[#This Row],[ppn_z]]="","",IFERROR(
   IF(_xlfn.XLOOKUP(Final_Sans_VGE[[#This Row],[ppn_z]],tbl_Historique_Final[ppn_z],tbl_Historique_Final[date_modif])=Final_Sans_VGE[[#This Row],[date_modif]],
      "Ancien",
      "Modifié"),
   "Nouveau"))</f>
        <v>Ancien</v>
      </c>
      <c r="AC1246"/>
      <c r="AD1246"/>
    </row>
    <row r="1247" spans="1:30" x14ac:dyDescent="0.25">
      <c r="A1247" s="5" t="s">
        <v>3905</v>
      </c>
      <c r="B1247" s="1" t="s">
        <v>8831</v>
      </c>
      <c r="C1247" s="1" t="s">
        <v>8832</v>
      </c>
      <c r="D1247" s="1" t="s">
        <v>14</v>
      </c>
      <c r="E1247" s="1" t="s">
        <v>6729</v>
      </c>
      <c r="G1247" s="1" t="s">
        <v>10</v>
      </c>
      <c r="H1247" s="1" t="s">
        <v>22</v>
      </c>
      <c r="I1247" s="1" t="s">
        <v>22</v>
      </c>
      <c r="J1247" s="3">
        <v>46078.695405092592</v>
      </c>
      <c r="K1247" s="2" t="s">
        <v>8833</v>
      </c>
      <c r="L1247" s="1">
        <v>4</v>
      </c>
      <c r="M1247" s="1">
        <v>5</v>
      </c>
      <c r="N1247">
        <v>1</v>
      </c>
      <c r="O1247" s="3">
        <f>IF(
    R1247="Ancien",
    _xlfn.XLOOKUP(
        Final_Sans_VGE[[#This Row],[ppn_z]],
        tbl_Historique_Final[ppn_z],
        tbl_Historique_Final[Horodatage],
        ""
    ),
    Horodatage!$A$2
)</f>
        <v>46233.670796365739</v>
      </c>
      <c r="P1247" s="1" t="str">
        <f>IFERROR(IF(tbl_Historique_Final[[#This Row],[Commentaires]]&lt;&gt;"",tbl_Historique_Final[[#This Row],[Commentaires]],""),"")</f>
        <v/>
      </c>
      <c r="X1247" s="8" t="str">
        <f>IF(Final_Sans_VGE[[#This Row],[ppn_z]]="","",IFERROR(
   IF(_xlfn.XLOOKUP(Final_Sans_VGE[[#This Row],[ppn_z]],tbl_Historique_Final[ppn_z],tbl_Historique_Final[date_modif])=Final_Sans_VGE[[#This Row],[date_modif]],
      "Ancien",
      "Modifié"),
   "Nouveau"))</f>
        <v>Ancien</v>
      </c>
      <c r="AC1247"/>
      <c r="AD1247"/>
    </row>
    <row r="1248" spans="1:30" ht="30" x14ac:dyDescent="0.25">
      <c r="A1248" s="5" t="s">
        <v>3908</v>
      </c>
      <c r="B1248" s="1" t="s">
        <v>8834</v>
      </c>
      <c r="C1248" s="1" t="s">
        <v>146</v>
      </c>
      <c r="E1248" s="1" t="s">
        <v>64</v>
      </c>
      <c r="G1248" s="1" t="s">
        <v>10</v>
      </c>
      <c r="J1248" s="3">
        <v>46086.693530092591</v>
      </c>
      <c r="K1248" s="2" t="s">
        <v>8835</v>
      </c>
      <c r="L1248" s="1">
        <v>33</v>
      </c>
      <c r="M1248" s="1">
        <v>33</v>
      </c>
      <c r="N1248">
        <v>0</v>
      </c>
      <c r="O1248" s="3">
        <f>IF(
    R1248="Ancien",
    _xlfn.XLOOKUP(
        Final_Sans_VGE[[#This Row],[ppn_z]],
        tbl_Historique_Final[ppn_z],
        tbl_Historique_Final[Horodatage],
        ""
    ),
    Horodatage!$A$2
)</f>
        <v>46233.670796365739</v>
      </c>
      <c r="P1248" s="1" t="str">
        <f>IFERROR(IF(tbl_Historique_Final[[#This Row],[Commentaires]]&lt;&gt;"",tbl_Historique_Final[[#This Row],[Commentaires]],""),"")</f>
        <v/>
      </c>
      <c r="X1248" s="8" t="str">
        <f>IF(Final_Sans_VGE[[#This Row],[ppn_z]]="","",IFERROR(
   IF(_xlfn.XLOOKUP(Final_Sans_VGE[[#This Row],[ppn_z]],tbl_Historique_Final[ppn_z],tbl_Historique_Final[date_modif])=Final_Sans_VGE[[#This Row],[date_modif]],
      "Ancien",
      "Modifié"),
   "Nouveau"))</f>
        <v>Ancien</v>
      </c>
      <c r="AC1248"/>
      <c r="AD1248"/>
    </row>
    <row r="1249" spans="1:30" x14ac:dyDescent="0.25">
      <c r="A1249" s="5" t="s">
        <v>3911</v>
      </c>
      <c r="B1249" s="1" t="s">
        <v>8836</v>
      </c>
      <c r="C1249" s="1" t="s">
        <v>12</v>
      </c>
      <c r="E1249" s="1" t="s">
        <v>12</v>
      </c>
      <c r="G1249" s="1" t="s">
        <v>11</v>
      </c>
      <c r="J1249" s="3">
        <v>46080.630752314813</v>
      </c>
      <c r="K1249" s="2" t="s">
        <v>8350</v>
      </c>
      <c r="L1249" s="1">
        <v>1</v>
      </c>
      <c r="M1249" s="1">
        <v>1</v>
      </c>
      <c r="N1249">
        <v>0</v>
      </c>
      <c r="O1249" s="3">
        <f>IF(
    R1249="Ancien",
    _xlfn.XLOOKUP(
        Final_Sans_VGE[[#This Row],[ppn_z]],
        tbl_Historique_Final[ppn_z],
        tbl_Historique_Final[Horodatage],
        ""
    ),
    Horodatage!$A$2
)</f>
        <v>46233.670796365739</v>
      </c>
      <c r="P1249" s="1" t="str">
        <f>IFERROR(IF(tbl_Historique_Final[[#This Row],[Commentaires]]&lt;&gt;"",tbl_Historique_Final[[#This Row],[Commentaires]],""),"")</f>
        <v/>
      </c>
      <c r="X1249" s="8" t="str">
        <f>IF(Final_Sans_VGE[[#This Row],[ppn_z]]="","",IFERROR(
   IF(_xlfn.XLOOKUP(Final_Sans_VGE[[#This Row],[ppn_z]],tbl_Historique_Final[ppn_z],tbl_Historique_Final[date_modif])=Final_Sans_VGE[[#This Row],[date_modif]],
      "Ancien",
      "Modifié"),
   "Nouveau"))</f>
        <v>Ancien</v>
      </c>
      <c r="AC1249"/>
      <c r="AD1249"/>
    </row>
    <row r="1250" spans="1:30" x14ac:dyDescent="0.25">
      <c r="A1250" s="5" t="s">
        <v>3914</v>
      </c>
      <c r="B1250" s="1" t="s">
        <v>8837</v>
      </c>
      <c r="C1250" s="1" t="s">
        <v>86</v>
      </c>
      <c r="D1250" s="1" t="s">
        <v>8838</v>
      </c>
      <c r="G1250" s="1" t="s">
        <v>10</v>
      </c>
      <c r="H1250" s="1" t="s">
        <v>22</v>
      </c>
      <c r="I1250" s="1" t="s">
        <v>22</v>
      </c>
      <c r="J1250" s="3">
        <v>46062.472349537034</v>
      </c>
      <c r="K1250" s="2" t="s">
        <v>8839</v>
      </c>
      <c r="L1250" s="1">
        <v>47</v>
      </c>
      <c r="M1250" s="1">
        <v>51</v>
      </c>
      <c r="N1250">
        <v>4</v>
      </c>
      <c r="O1250" s="3">
        <f>IF(
    R1250="Ancien",
    _xlfn.XLOOKUP(
        Final_Sans_VGE[[#This Row],[ppn_z]],
        tbl_Historique_Final[ppn_z],
        tbl_Historique_Final[Horodatage],
        ""
    ),
    Horodatage!$A$2
)</f>
        <v>46233.670796365739</v>
      </c>
      <c r="P1250" s="1" t="str">
        <f>IFERROR(IF(tbl_Historique_Final[[#This Row],[Commentaires]]&lt;&gt;"",tbl_Historique_Final[[#This Row],[Commentaires]],""),"")</f>
        <v/>
      </c>
      <c r="X1250" s="8" t="str">
        <f>IF(Final_Sans_VGE[[#This Row],[ppn_z]]="","",IFERROR(
   IF(_xlfn.XLOOKUP(Final_Sans_VGE[[#This Row],[ppn_z]],tbl_Historique_Final[ppn_z],tbl_Historique_Final[date_modif])=Final_Sans_VGE[[#This Row],[date_modif]],
      "Ancien",
      "Modifié"),
   "Nouveau"))</f>
        <v>Ancien</v>
      </c>
      <c r="AC1250"/>
      <c r="AD1250"/>
    </row>
    <row r="1251" spans="1:30" x14ac:dyDescent="0.25">
      <c r="A1251" s="5" t="s">
        <v>3917</v>
      </c>
      <c r="B1251" s="1" t="s">
        <v>8840</v>
      </c>
      <c r="C1251" s="1" t="s">
        <v>12</v>
      </c>
      <c r="G1251" s="1" t="s">
        <v>11</v>
      </c>
      <c r="J1251" s="3">
        <v>46077.667662037034</v>
      </c>
      <c r="K1251" s="2" t="s">
        <v>8841</v>
      </c>
      <c r="L1251" s="1">
        <v>1</v>
      </c>
      <c r="M1251" s="1">
        <v>1</v>
      </c>
      <c r="N1251">
        <v>0</v>
      </c>
      <c r="O1251" s="3">
        <f>IF(
    R1251="Ancien",
    _xlfn.XLOOKUP(
        Final_Sans_VGE[[#This Row],[ppn_z]],
        tbl_Historique_Final[ppn_z],
        tbl_Historique_Final[Horodatage],
        ""
    ),
    Horodatage!$A$2
)</f>
        <v>46233.670796365739</v>
      </c>
      <c r="P1251" s="1" t="str">
        <f>IFERROR(IF(tbl_Historique_Final[[#This Row],[Commentaires]]&lt;&gt;"",tbl_Historique_Final[[#This Row],[Commentaires]],""),"")</f>
        <v/>
      </c>
      <c r="X1251" s="8" t="str">
        <f>IF(Final_Sans_VGE[[#This Row],[ppn_z]]="","",IFERROR(
   IF(_xlfn.XLOOKUP(Final_Sans_VGE[[#This Row],[ppn_z]],tbl_Historique_Final[ppn_z],tbl_Historique_Final[date_modif])=Final_Sans_VGE[[#This Row],[date_modif]],
      "Ancien",
      "Modifié"),
   "Nouveau"))</f>
        <v>Ancien</v>
      </c>
      <c r="AC1251"/>
      <c r="AD1251"/>
    </row>
    <row r="1252" spans="1:30" x14ac:dyDescent="0.25">
      <c r="A1252" s="5" t="s">
        <v>3920</v>
      </c>
      <c r="B1252" s="1" t="s">
        <v>8842</v>
      </c>
      <c r="C1252" s="1" t="s">
        <v>7692</v>
      </c>
      <c r="J1252" s="3">
        <v>45918.567546296297</v>
      </c>
      <c r="L1252" s="1">
        <v>2</v>
      </c>
      <c r="M1252" s="1">
        <v>2</v>
      </c>
      <c r="N1252">
        <v>0</v>
      </c>
      <c r="O1252" s="3">
        <f>IF(
    R1252="Ancien",
    _xlfn.XLOOKUP(
        Final_Sans_VGE[[#This Row],[ppn_z]],
        tbl_Historique_Final[ppn_z],
        tbl_Historique_Final[Horodatage],
        ""
    ),
    Horodatage!$A$2
)</f>
        <v>46233.670796365739</v>
      </c>
      <c r="P1252" s="1" t="str">
        <f>IFERROR(IF(tbl_Historique_Final[[#This Row],[Commentaires]]&lt;&gt;"",tbl_Historique_Final[[#This Row],[Commentaires]],""),"")</f>
        <v/>
      </c>
      <c r="X1252" s="8" t="str">
        <f>IF(Final_Sans_VGE[[#This Row],[ppn_z]]="","",IFERROR(
   IF(_xlfn.XLOOKUP(Final_Sans_VGE[[#This Row],[ppn_z]],tbl_Historique_Final[ppn_z],tbl_Historique_Final[date_modif])=Final_Sans_VGE[[#This Row],[date_modif]],
      "Ancien",
      "Modifié"),
   "Nouveau"))</f>
        <v>Ancien</v>
      </c>
      <c r="AC1252"/>
      <c r="AD1252"/>
    </row>
    <row r="1253" spans="1:30" x14ac:dyDescent="0.25">
      <c r="A1253" s="5" t="s">
        <v>3923</v>
      </c>
      <c r="B1253" s="1" t="s">
        <v>8843</v>
      </c>
      <c r="C1253" s="1" t="s">
        <v>92</v>
      </c>
      <c r="G1253" s="1" t="s">
        <v>10</v>
      </c>
      <c r="J1253" s="3">
        <v>46058.575497685182</v>
      </c>
      <c r="K1253" s="2" t="s">
        <v>6916</v>
      </c>
      <c r="L1253" s="1">
        <v>40</v>
      </c>
      <c r="M1253" s="1">
        <v>40</v>
      </c>
      <c r="N1253">
        <v>0</v>
      </c>
      <c r="O1253" s="3">
        <f>IF(
    R1253="Ancien",
    _xlfn.XLOOKUP(
        Final_Sans_VGE[[#This Row],[ppn_z]],
        tbl_Historique_Final[ppn_z],
        tbl_Historique_Final[Horodatage],
        ""
    ),
    Horodatage!$A$2
)</f>
        <v>46233.670796365739</v>
      </c>
      <c r="P1253" s="1" t="str">
        <f>IFERROR(IF(tbl_Historique_Final[[#This Row],[Commentaires]]&lt;&gt;"",tbl_Historique_Final[[#This Row],[Commentaires]],""),"")</f>
        <v/>
      </c>
      <c r="X1253" s="8" t="str">
        <f>IF(Final_Sans_VGE[[#This Row],[ppn_z]]="","",IFERROR(
   IF(_xlfn.XLOOKUP(Final_Sans_VGE[[#This Row],[ppn_z]],tbl_Historique_Final[ppn_z],tbl_Historique_Final[date_modif])=Final_Sans_VGE[[#This Row],[date_modif]],
      "Ancien",
      "Modifié"),
   "Nouveau"))</f>
        <v>Ancien</v>
      </c>
      <c r="AC1253"/>
      <c r="AD1253"/>
    </row>
    <row r="1254" spans="1:30" x14ac:dyDescent="0.25">
      <c r="A1254" s="5" t="s">
        <v>3926</v>
      </c>
      <c r="B1254" s="1" t="s">
        <v>8844</v>
      </c>
      <c r="C1254" s="1" t="s">
        <v>6363</v>
      </c>
      <c r="D1254" s="1" t="s">
        <v>15</v>
      </c>
      <c r="E1254" s="1" t="s">
        <v>7546</v>
      </c>
      <c r="F1254" s="1" t="s">
        <v>8318</v>
      </c>
      <c r="G1254" s="1" t="s">
        <v>10</v>
      </c>
      <c r="H1254" s="1" t="s">
        <v>22</v>
      </c>
      <c r="I1254" s="1" t="s">
        <v>8230</v>
      </c>
      <c r="J1254" s="3">
        <v>46070.606111111112</v>
      </c>
      <c r="K1254" s="2" t="s">
        <v>8845</v>
      </c>
      <c r="L1254" s="1">
        <v>97</v>
      </c>
      <c r="M1254" s="1">
        <v>101</v>
      </c>
      <c r="N1254">
        <v>4</v>
      </c>
      <c r="O1254" s="3">
        <f>IF(
    R1254="Ancien",
    _xlfn.XLOOKUP(
        Final_Sans_VGE[[#This Row],[ppn_z]],
        tbl_Historique_Final[ppn_z],
        tbl_Historique_Final[Horodatage],
        ""
    ),
    Horodatage!$A$2
)</f>
        <v>46233.670796365739</v>
      </c>
      <c r="P1254" s="1" t="str">
        <f>IFERROR(IF(tbl_Historique_Final[[#This Row],[Commentaires]]&lt;&gt;"",tbl_Historique_Final[[#This Row],[Commentaires]],""),"")</f>
        <v/>
      </c>
      <c r="X1254" s="8" t="str">
        <f>IF(Final_Sans_VGE[[#This Row],[ppn_z]]="","",IFERROR(
   IF(_xlfn.XLOOKUP(Final_Sans_VGE[[#This Row],[ppn_z]],tbl_Historique_Final[ppn_z],tbl_Historique_Final[date_modif])=Final_Sans_VGE[[#This Row],[date_modif]],
      "Ancien",
      "Modifié"),
   "Nouveau"))</f>
        <v>Ancien</v>
      </c>
      <c r="AC1254"/>
      <c r="AD1254"/>
    </row>
    <row r="1255" spans="1:30" x14ac:dyDescent="0.25">
      <c r="A1255" s="5" t="s">
        <v>3929</v>
      </c>
      <c r="B1255" s="1" t="s">
        <v>8846</v>
      </c>
      <c r="C1255" s="1" t="s">
        <v>8847</v>
      </c>
      <c r="D1255" s="1" t="s">
        <v>14</v>
      </c>
      <c r="E1255" s="1" t="s">
        <v>8848</v>
      </c>
      <c r="F1255" s="1" t="s">
        <v>14</v>
      </c>
      <c r="G1255" s="1" t="s">
        <v>10</v>
      </c>
      <c r="H1255" s="1" t="s">
        <v>22</v>
      </c>
      <c r="I1255" s="1" t="s">
        <v>22</v>
      </c>
      <c r="J1255" s="3">
        <v>46058.44431712963</v>
      </c>
      <c r="K1255" s="2" t="s">
        <v>8849</v>
      </c>
      <c r="L1255" s="1">
        <v>7</v>
      </c>
      <c r="M1255" s="1">
        <v>7</v>
      </c>
      <c r="N1255">
        <v>0</v>
      </c>
      <c r="O1255" s="3">
        <f>IF(
    R1255="Ancien",
    _xlfn.XLOOKUP(
        Final_Sans_VGE[[#This Row],[ppn_z]],
        tbl_Historique_Final[ppn_z],
        tbl_Historique_Final[Horodatage],
        ""
    ),
    Horodatage!$A$2
)</f>
        <v>46233.670796365739</v>
      </c>
      <c r="P1255" s="1" t="str">
        <f>IFERROR(IF(tbl_Historique_Final[[#This Row],[Commentaires]]&lt;&gt;"",tbl_Historique_Final[[#This Row],[Commentaires]],""),"")</f>
        <v/>
      </c>
      <c r="X1255" s="8" t="str">
        <f>IF(Final_Sans_VGE[[#This Row],[ppn_z]]="","",IFERROR(
   IF(_xlfn.XLOOKUP(Final_Sans_VGE[[#This Row],[ppn_z]],tbl_Historique_Final[ppn_z],tbl_Historique_Final[date_modif])=Final_Sans_VGE[[#This Row],[date_modif]],
      "Ancien",
      "Modifié"),
   "Nouveau"))</f>
        <v>Ancien</v>
      </c>
      <c r="AC1255"/>
      <c r="AD1255"/>
    </row>
    <row r="1256" spans="1:30" x14ac:dyDescent="0.25">
      <c r="A1256" s="5" t="s">
        <v>3932</v>
      </c>
      <c r="B1256" s="1" t="s">
        <v>8850</v>
      </c>
      <c r="C1256" s="1" t="s">
        <v>12</v>
      </c>
      <c r="G1256" s="1" t="s">
        <v>10</v>
      </c>
      <c r="J1256" s="3">
        <v>46094.632048611114</v>
      </c>
      <c r="K1256" s="2" t="s">
        <v>8851</v>
      </c>
      <c r="L1256" s="1">
        <v>1</v>
      </c>
      <c r="M1256" s="1">
        <v>1</v>
      </c>
      <c r="N1256">
        <v>0</v>
      </c>
      <c r="O1256" s="3">
        <f>IF(
    R1256="Ancien",
    _xlfn.XLOOKUP(
        Final_Sans_VGE[[#This Row],[ppn_z]],
        tbl_Historique_Final[ppn_z],
        tbl_Historique_Final[Horodatage],
        ""
    ),
    Horodatage!$A$2
)</f>
        <v>46233.670796365739</v>
      </c>
      <c r="P1256" s="1" t="str">
        <f>IFERROR(IF(tbl_Historique_Final[[#This Row],[Commentaires]]&lt;&gt;"",tbl_Historique_Final[[#This Row],[Commentaires]],""),"")</f>
        <v/>
      </c>
      <c r="X1256" s="8" t="str">
        <f>IF(Final_Sans_VGE[[#This Row],[ppn_z]]="","",IFERROR(
   IF(_xlfn.XLOOKUP(Final_Sans_VGE[[#This Row],[ppn_z]],tbl_Historique_Final[ppn_z],tbl_Historique_Final[date_modif])=Final_Sans_VGE[[#This Row],[date_modif]],
      "Ancien",
      "Modifié"),
   "Nouveau"))</f>
        <v>Ancien</v>
      </c>
      <c r="AC1256"/>
      <c r="AD1256"/>
    </row>
    <row r="1257" spans="1:30" x14ac:dyDescent="0.25">
      <c r="A1257" s="5" t="s">
        <v>3935</v>
      </c>
      <c r="B1257" s="1" t="s">
        <v>8852</v>
      </c>
      <c r="C1257" s="1" t="s">
        <v>12</v>
      </c>
      <c r="D1257" s="1" t="s">
        <v>14</v>
      </c>
      <c r="G1257" s="1" t="s">
        <v>11</v>
      </c>
      <c r="H1257" s="1" t="s">
        <v>8853</v>
      </c>
      <c r="I1257" s="1" t="s">
        <v>8854</v>
      </c>
      <c r="J1257" s="3">
        <v>46058.610520833332</v>
      </c>
      <c r="K1257" s="2" t="s">
        <v>8855</v>
      </c>
      <c r="L1257" s="1">
        <v>13</v>
      </c>
      <c r="M1257" s="1">
        <v>15</v>
      </c>
      <c r="N1257">
        <v>2</v>
      </c>
      <c r="O1257" s="3">
        <f>IF(
    R1257="Ancien",
    _xlfn.XLOOKUP(
        Final_Sans_VGE[[#This Row],[ppn_z]],
        tbl_Historique_Final[ppn_z],
        tbl_Historique_Final[Horodatage],
        ""
    ),
    Horodatage!$A$2
)</f>
        <v>46233.670796365739</v>
      </c>
      <c r="P1257" s="1" t="str">
        <f>IFERROR(IF(tbl_Historique_Final[[#This Row],[Commentaires]]&lt;&gt;"",tbl_Historique_Final[[#This Row],[Commentaires]],""),"")</f>
        <v/>
      </c>
      <c r="X1257" s="8" t="str">
        <f>IF(Final_Sans_VGE[[#This Row],[ppn_z]]="","",IFERROR(
   IF(_xlfn.XLOOKUP(Final_Sans_VGE[[#This Row],[ppn_z]],tbl_Historique_Final[ppn_z],tbl_Historique_Final[date_modif])=Final_Sans_VGE[[#This Row],[date_modif]],
      "Ancien",
      "Modifié"),
   "Nouveau"))</f>
        <v>Ancien</v>
      </c>
      <c r="AC1257"/>
      <c r="AD1257"/>
    </row>
    <row r="1258" spans="1:30" ht="30" x14ac:dyDescent="0.25">
      <c r="A1258" s="5" t="s">
        <v>3938</v>
      </c>
      <c r="B1258" s="1" t="s">
        <v>8856</v>
      </c>
      <c r="C1258" s="1" t="s">
        <v>64</v>
      </c>
      <c r="D1258" s="1" t="s">
        <v>8857</v>
      </c>
      <c r="G1258" s="1" t="s">
        <v>10</v>
      </c>
      <c r="H1258" s="1" t="s">
        <v>140</v>
      </c>
      <c r="I1258" s="1" t="s">
        <v>22</v>
      </c>
      <c r="J1258" s="3">
        <v>46062.641469907408</v>
      </c>
      <c r="K1258" s="2" t="s">
        <v>8858</v>
      </c>
      <c r="L1258" s="1">
        <v>33</v>
      </c>
      <c r="M1258" s="1">
        <v>39</v>
      </c>
      <c r="N1258">
        <v>6</v>
      </c>
      <c r="O1258" s="3">
        <f>IF(
    R1258="Ancien",
    _xlfn.XLOOKUP(
        Final_Sans_VGE[[#This Row],[ppn_z]],
        tbl_Historique_Final[ppn_z],
        tbl_Historique_Final[Horodatage],
        ""
    ),
    Horodatage!$A$2
)</f>
        <v>46233.670796365739</v>
      </c>
      <c r="P1258" s="1" t="str">
        <f>IFERROR(IF(tbl_Historique_Final[[#This Row],[Commentaires]]&lt;&gt;"",tbl_Historique_Final[[#This Row],[Commentaires]],""),"")</f>
        <v/>
      </c>
      <c r="X1258" s="8" t="str">
        <f>IF(Final_Sans_VGE[[#This Row],[ppn_z]]="","",IFERROR(
   IF(_xlfn.XLOOKUP(Final_Sans_VGE[[#This Row],[ppn_z]],tbl_Historique_Final[ppn_z],tbl_Historique_Final[date_modif])=Final_Sans_VGE[[#This Row],[date_modif]],
      "Ancien",
      "Modifié"),
   "Nouveau"))</f>
        <v>Ancien</v>
      </c>
      <c r="AC1258"/>
      <c r="AD1258"/>
    </row>
    <row r="1259" spans="1:30" x14ac:dyDescent="0.25">
      <c r="A1259" s="5" t="s">
        <v>3941</v>
      </c>
      <c r="B1259" s="1" t="s">
        <v>8859</v>
      </c>
      <c r="C1259" s="1" t="s">
        <v>46</v>
      </c>
      <c r="J1259" s="3">
        <v>45925.649733796294</v>
      </c>
      <c r="L1259" s="1">
        <v>14</v>
      </c>
      <c r="M1259" s="1">
        <v>15</v>
      </c>
      <c r="N1259">
        <v>1</v>
      </c>
      <c r="O1259" s="3">
        <f>IF(
    R1259="Ancien",
    _xlfn.XLOOKUP(
        Final_Sans_VGE[[#This Row],[ppn_z]],
        tbl_Historique_Final[ppn_z],
        tbl_Historique_Final[Horodatage],
        ""
    ),
    Horodatage!$A$2
)</f>
        <v>46233.670796365739</v>
      </c>
      <c r="P1259" s="1" t="str">
        <f>IFERROR(IF(tbl_Historique_Final[[#This Row],[Commentaires]]&lt;&gt;"",tbl_Historique_Final[[#This Row],[Commentaires]],""),"")</f>
        <v/>
      </c>
      <c r="X1259" s="8" t="str">
        <f>IF(Final_Sans_VGE[[#This Row],[ppn_z]]="","",IFERROR(
   IF(_xlfn.XLOOKUP(Final_Sans_VGE[[#This Row],[ppn_z]],tbl_Historique_Final[ppn_z],tbl_Historique_Final[date_modif])=Final_Sans_VGE[[#This Row],[date_modif]],
      "Ancien",
      "Modifié"),
   "Nouveau"))</f>
        <v>Ancien</v>
      </c>
      <c r="AC1259"/>
      <c r="AD1259"/>
    </row>
    <row r="1260" spans="1:30" x14ac:dyDescent="0.25">
      <c r="A1260" s="5" t="s">
        <v>3944</v>
      </c>
      <c r="B1260" s="1" t="s">
        <v>8860</v>
      </c>
      <c r="C1260" s="1" t="s">
        <v>8861</v>
      </c>
      <c r="D1260" s="1" t="s">
        <v>14</v>
      </c>
      <c r="E1260" s="1" t="s">
        <v>8703</v>
      </c>
      <c r="F1260" s="1" t="s">
        <v>14</v>
      </c>
      <c r="G1260" s="1" t="s">
        <v>10</v>
      </c>
      <c r="H1260" s="1" t="s">
        <v>22</v>
      </c>
      <c r="I1260" s="1" t="s">
        <v>22</v>
      </c>
      <c r="J1260" s="3">
        <v>46064.63453703704</v>
      </c>
      <c r="K1260" s="2" t="s">
        <v>8862</v>
      </c>
      <c r="L1260" s="1">
        <v>2</v>
      </c>
      <c r="M1260" s="1">
        <v>2</v>
      </c>
      <c r="N1260">
        <v>0</v>
      </c>
      <c r="O1260" s="3">
        <f>IF(
    R1260="Ancien",
    _xlfn.XLOOKUP(
        Final_Sans_VGE[[#This Row],[ppn_z]],
        tbl_Historique_Final[ppn_z],
        tbl_Historique_Final[Horodatage],
        ""
    ),
    Horodatage!$A$2
)</f>
        <v>46233.670796365739</v>
      </c>
      <c r="P1260" s="1" t="str">
        <f>IFERROR(IF(tbl_Historique_Final[[#This Row],[Commentaires]]&lt;&gt;"",tbl_Historique_Final[[#This Row],[Commentaires]],""),"")</f>
        <v/>
      </c>
      <c r="X1260" s="8" t="str">
        <f>IF(Final_Sans_VGE[[#This Row],[ppn_z]]="","",IFERROR(
   IF(_xlfn.XLOOKUP(Final_Sans_VGE[[#This Row],[ppn_z]],tbl_Historique_Final[ppn_z],tbl_Historique_Final[date_modif])=Final_Sans_VGE[[#This Row],[date_modif]],
      "Ancien",
      "Modifié"),
   "Nouveau"))</f>
        <v>Ancien</v>
      </c>
      <c r="AC1260"/>
      <c r="AD1260"/>
    </row>
    <row r="1261" spans="1:30" ht="45" x14ac:dyDescent="0.25">
      <c r="A1261" s="5" t="s">
        <v>3947</v>
      </c>
      <c r="B1261" s="1" t="s">
        <v>8863</v>
      </c>
      <c r="C1261" s="1" t="s">
        <v>93</v>
      </c>
      <c r="E1261" s="1" t="s">
        <v>48</v>
      </c>
      <c r="J1261" s="3">
        <v>46086.674525462964</v>
      </c>
      <c r="K1261" s="2" t="s">
        <v>8864</v>
      </c>
      <c r="L1261" s="1">
        <v>1</v>
      </c>
      <c r="M1261" s="1">
        <v>1</v>
      </c>
      <c r="N1261">
        <v>0</v>
      </c>
      <c r="O1261" s="3">
        <f>IF(
    R1261="Ancien",
    _xlfn.XLOOKUP(
        Final_Sans_VGE[[#This Row],[ppn_z]],
        tbl_Historique_Final[ppn_z],
        tbl_Historique_Final[Horodatage],
        ""
    ),
    Horodatage!$A$2
)</f>
        <v>46233.670796365739</v>
      </c>
      <c r="P1261" s="1" t="str">
        <f>IFERROR(IF(tbl_Historique_Final[[#This Row],[Commentaires]]&lt;&gt;"",tbl_Historique_Final[[#This Row],[Commentaires]],""),"")</f>
        <v/>
      </c>
      <c r="X1261" s="8" t="str">
        <f>IF(Final_Sans_VGE[[#This Row],[ppn_z]]="","",IFERROR(
   IF(_xlfn.XLOOKUP(Final_Sans_VGE[[#This Row],[ppn_z]],tbl_Historique_Final[ppn_z],tbl_Historique_Final[date_modif])=Final_Sans_VGE[[#This Row],[date_modif]],
      "Ancien",
      "Modifié"),
   "Nouveau"))</f>
        <v>Ancien</v>
      </c>
      <c r="AC1261"/>
      <c r="AD1261"/>
    </row>
    <row r="1262" spans="1:30" x14ac:dyDescent="0.25">
      <c r="A1262" s="5" t="s">
        <v>3950</v>
      </c>
      <c r="B1262" s="1" t="s">
        <v>8865</v>
      </c>
      <c r="C1262" s="1" t="s">
        <v>136</v>
      </c>
      <c r="D1262" s="1" t="s">
        <v>8866</v>
      </c>
      <c r="E1262" s="1" t="s">
        <v>141</v>
      </c>
      <c r="F1262" s="1" t="s">
        <v>135</v>
      </c>
      <c r="G1262" s="1" t="s">
        <v>10</v>
      </c>
      <c r="H1262" s="1" t="s">
        <v>22</v>
      </c>
      <c r="I1262" s="1" t="s">
        <v>22</v>
      </c>
      <c r="J1262" s="3">
        <v>46065.611655092594</v>
      </c>
      <c r="K1262" s="2" t="s">
        <v>8867</v>
      </c>
      <c r="L1262" s="1">
        <v>26</v>
      </c>
      <c r="M1262" s="1">
        <v>28</v>
      </c>
      <c r="N1262">
        <v>2</v>
      </c>
      <c r="O1262" s="3">
        <f>IF(
    R1262="Ancien",
    _xlfn.XLOOKUP(
        Final_Sans_VGE[[#This Row],[ppn_z]],
        tbl_Historique_Final[ppn_z],
        tbl_Historique_Final[Horodatage],
        ""
    ),
    Horodatage!$A$2
)</f>
        <v>46233.670796365739</v>
      </c>
      <c r="P1262" s="1" t="str">
        <f>IFERROR(IF(tbl_Historique_Final[[#This Row],[Commentaires]]&lt;&gt;"",tbl_Historique_Final[[#This Row],[Commentaires]],""),"")</f>
        <v/>
      </c>
      <c r="X1262" s="8" t="str">
        <f>IF(Final_Sans_VGE[[#This Row],[ppn_z]]="","",IFERROR(
   IF(_xlfn.XLOOKUP(Final_Sans_VGE[[#This Row],[ppn_z]],tbl_Historique_Final[ppn_z],tbl_Historique_Final[date_modif])=Final_Sans_VGE[[#This Row],[date_modif]],
      "Ancien",
      "Modifié"),
   "Nouveau"))</f>
        <v>Ancien</v>
      </c>
      <c r="AC1262"/>
      <c r="AD1262"/>
    </row>
    <row r="1263" spans="1:30" x14ac:dyDescent="0.25">
      <c r="A1263" s="5" t="s">
        <v>3953</v>
      </c>
      <c r="B1263" s="1" t="s">
        <v>8868</v>
      </c>
      <c r="C1263" s="1" t="s">
        <v>58</v>
      </c>
      <c r="J1263" s="3">
        <v>45929.367997685185</v>
      </c>
      <c r="L1263" s="1">
        <v>1</v>
      </c>
      <c r="M1263" s="1">
        <v>1</v>
      </c>
      <c r="N1263">
        <v>0</v>
      </c>
      <c r="O1263" s="3">
        <f>IF(
    R1263="Ancien",
    _xlfn.XLOOKUP(
        Final_Sans_VGE[[#This Row],[ppn_z]],
        tbl_Historique_Final[ppn_z],
        tbl_Historique_Final[Horodatage],
        ""
    ),
    Horodatage!$A$2
)</f>
        <v>46233.670796365739</v>
      </c>
      <c r="P1263" s="1" t="str">
        <f>IFERROR(IF(tbl_Historique_Final[[#This Row],[Commentaires]]&lt;&gt;"",tbl_Historique_Final[[#This Row],[Commentaires]],""),"")</f>
        <v/>
      </c>
      <c r="X1263" s="8" t="str">
        <f>IF(Final_Sans_VGE[[#This Row],[ppn_z]]="","",IFERROR(
   IF(_xlfn.XLOOKUP(Final_Sans_VGE[[#This Row],[ppn_z]],tbl_Historique_Final[ppn_z],tbl_Historique_Final[date_modif])=Final_Sans_VGE[[#This Row],[date_modif]],
      "Ancien",
      "Modifié"),
   "Nouveau"))</f>
        <v>Ancien</v>
      </c>
      <c r="AC1263"/>
      <c r="AD1263"/>
    </row>
    <row r="1264" spans="1:30" x14ac:dyDescent="0.25">
      <c r="A1264" s="5" t="s">
        <v>3956</v>
      </c>
      <c r="B1264" s="1" t="s">
        <v>8869</v>
      </c>
      <c r="C1264" s="1" t="s">
        <v>92</v>
      </c>
      <c r="D1264" s="1" t="s">
        <v>14</v>
      </c>
      <c r="G1264" s="1" t="s">
        <v>10</v>
      </c>
      <c r="H1264" s="1" t="s">
        <v>22</v>
      </c>
      <c r="I1264" s="1" t="s">
        <v>22</v>
      </c>
      <c r="J1264" s="3">
        <v>46076.574826388889</v>
      </c>
      <c r="K1264" s="2" t="s">
        <v>8870</v>
      </c>
      <c r="L1264" s="1">
        <v>48</v>
      </c>
      <c r="M1264" s="1">
        <v>53</v>
      </c>
      <c r="N1264">
        <v>5</v>
      </c>
      <c r="O1264" s="3">
        <f>IF(
    R1264="Ancien",
    _xlfn.XLOOKUP(
        Final_Sans_VGE[[#This Row],[ppn_z]],
        tbl_Historique_Final[ppn_z],
        tbl_Historique_Final[Horodatage],
        ""
    ),
    Horodatage!$A$2
)</f>
        <v>46233.670796365739</v>
      </c>
      <c r="P1264" s="1" t="str">
        <f>IFERROR(IF(tbl_Historique_Final[[#This Row],[Commentaires]]&lt;&gt;"",tbl_Historique_Final[[#This Row],[Commentaires]],""),"")</f>
        <v/>
      </c>
      <c r="X1264" s="8" t="str">
        <f>IF(Final_Sans_VGE[[#This Row],[ppn_z]]="","",IFERROR(
   IF(_xlfn.XLOOKUP(Final_Sans_VGE[[#This Row],[ppn_z]],tbl_Historique_Final[ppn_z],tbl_Historique_Final[date_modif])=Final_Sans_VGE[[#This Row],[date_modif]],
      "Ancien",
      "Modifié"),
   "Nouveau"))</f>
        <v>Ancien</v>
      </c>
      <c r="AC1264"/>
      <c r="AD1264"/>
    </row>
    <row r="1265" spans="1:30" x14ac:dyDescent="0.25">
      <c r="A1265" s="5" t="s">
        <v>3959</v>
      </c>
      <c r="B1265" s="1" t="s">
        <v>8871</v>
      </c>
      <c r="C1265" s="1" t="s">
        <v>8872</v>
      </c>
      <c r="D1265" s="1" t="s">
        <v>14</v>
      </c>
      <c r="E1265" s="1" t="s">
        <v>7558</v>
      </c>
      <c r="F1265" s="1" t="s">
        <v>8736</v>
      </c>
      <c r="G1265" s="1" t="s">
        <v>10</v>
      </c>
      <c r="H1265" s="1" t="s">
        <v>22</v>
      </c>
      <c r="I1265" s="1" t="s">
        <v>7507</v>
      </c>
      <c r="J1265" s="3">
        <v>46065.626446759263</v>
      </c>
      <c r="K1265" s="2" t="s">
        <v>8873</v>
      </c>
      <c r="L1265" s="1">
        <v>16</v>
      </c>
      <c r="M1265" s="1">
        <v>16</v>
      </c>
      <c r="N1265">
        <v>0</v>
      </c>
      <c r="O1265" s="3">
        <f>IF(
    R1265="Ancien",
    _xlfn.XLOOKUP(
        Final_Sans_VGE[[#This Row],[ppn_z]],
        tbl_Historique_Final[ppn_z],
        tbl_Historique_Final[Horodatage],
        ""
    ),
    Horodatage!$A$2
)</f>
        <v>46233.670796365739</v>
      </c>
      <c r="P1265" s="1" t="str">
        <f>IFERROR(IF(tbl_Historique_Final[[#This Row],[Commentaires]]&lt;&gt;"",tbl_Historique_Final[[#This Row],[Commentaires]],""),"")</f>
        <v/>
      </c>
      <c r="X1265" s="8" t="str">
        <f>IF(Final_Sans_VGE[[#This Row],[ppn_z]]="","",IFERROR(
   IF(_xlfn.XLOOKUP(Final_Sans_VGE[[#This Row],[ppn_z]],tbl_Historique_Final[ppn_z],tbl_Historique_Final[date_modif])=Final_Sans_VGE[[#This Row],[date_modif]],
      "Ancien",
      "Modifié"),
   "Nouveau"))</f>
        <v>Ancien</v>
      </c>
      <c r="AC1265"/>
      <c r="AD1265"/>
    </row>
    <row r="1266" spans="1:30" x14ac:dyDescent="0.25">
      <c r="A1266" s="5" t="s">
        <v>3962</v>
      </c>
      <c r="B1266" s="1" t="s">
        <v>8874</v>
      </c>
      <c r="C1266" s="1" t="s">
        <v>51</v>
      </c>
      <c r="J1266" s="3">
        <v>45929.372731481482</v>
      </c>
      <c r="L1266" s="1">
        <v>1</v>
      </c>
      <c r="M1266" s="1">
        <v>1</v>
      </c>
      <c r="N1266">
        <v>0</v>
      </c>
      <c r="O1266" s="3">
        <f>IF(
    R1266="Ancien",
    _xlfn.XLOOKUP(
        Final_Sans_VGE[[#This Row],[ppn_z]],
        tbl_Historique_Final[ppn_z],
        tbl_Historique_Final[Horodatage],
        ""
    ),
    Horodatage!$A$2
)</f>
        <v>46233.670796365739</v>
      </c>
      <c r="P1266" s="1" t="str">
        <f>IFERROR(IF(tbl_Historique_Final[[#This Row],[Commentaires]]&lt;&gt;"",tbl_Historique_Final[[#This Row],[Commentaires]],""),"")</f>
        <v/>
      </c>
      <c r="X1266" s="8" t="str">
        <f>IF(Final_Sans_VGE[[#This Row],[ppn_z]]="","",IFERROR(
   IF(_xlfn.XLOOKUP(Final_Sans_VGE[[#This Row],[ppn_z]],tbl_Historique_Final[ppn_z],tbl_Historique_Final[date_modif])=Final_Sans_VGE[[#This Row],[date_modif]],
      "Ancien",
      "Modifié"),
   "Nouveau"))</f>
        <v>Ancien</v>
      </c>
      <c r="AC1266"/>
      <c r="AD1266"/>
    </row>
    <row r="1267" spans="1:30" ht="30" x14ac:dyDescent="0.25">
      <c r="A1267" s="5" t="s">
        <v>3965</v>
      </c>
      <c r="B1267" s="1" t="s">
        <v>8875</v>
      </c>
      <c r="C1267" s="1" t="s">
        <v>70</v>
      </c>
      <c r="G1267" s="1" t="s">
        <v>11</v>
      </c>
      <c r="J1267" s="3">
        <v>46091.452407407407</v>
      </c>
      <c r="K1267" s="2" t="s">
        <v>8876</v>
      </c>
      <c r="L1267" s="1">
        <v>8</v>
      </c>
      <c r="M1267" s="1">
        <v>8</v>
      </c>
      <c r="N1267">
        <v>0</v>
      </c>
      <c r="O1267" s="3">
        <f>IF(
    R1267="Ancien",
    _xlfn.XLOOKUP(
        Final_Sans_VGE[[#This Row],[ppn_z]],
        tbl_Historique_Final[ppn_z],
        tbl_Historique_Final[Horodatage],
        ""
    ),
    Horodatage!$A$2
)</f>
        <v>46233.670796365739</v>
      </c>
      <c r="P1267" s="1" t="str">
        <f>IFERROR(IF(tbl_Historique_Final[[#This Row],[Commentaires]]&lt;&gt;"",tbl_Historique_Final[[#This Row],[Commentaires]],""),"")</f>
        <v/>
      </c>
      <c r="X1267" s="8" t="str">
        <f>IF(Final_Sans_VGE[[#This Row],[ppn_z]]="","",IFERROR(
   IF(_xlfn.XLOOKUP(Final_Sans_VGE[[#This Row],[ppn_z]],tbl_Historique_Final[ppn_z],tbl_Historique_Final[date_modif])=Final_Sans_VGE[[#This Row],[date_modif]],
      "Ancien",
      "Modifié"),
   "Nouveau"))</f>
        <v>Ancien</v>
      </c>
      <c r="AC1267"/>
      <c r="AD1267"/>
    </row>
    <row r="1268" spans="1:30" ht="30" x14ac:dyDescent="0.25">
      <c r="A1268" s="5" t="s">
        <v>3968</v>
      </c>
      <c r="B1268" s="1" t="s">
        <v>8877</v>
      </c>
      <c r="C1268" s="1" t="s">
        <v>7666</v>
      </c>
      <c r="D1268" s="1" t="s">
        <v>8878</v>
      </c>
      <c r="E1268" s="1" t="s">
        <v>86</v>
      </c>
      <c r="F1268" s="1" t="s">
        <v>14</v>
      </c>
      <c r="G1268" s="1" t="s">
        <v>10</v>
      </c>
      <c r="H1268" s="1" t="s">
        <v>22</v>
      </c>
      <c r="I1268" s="1" t="s">
        <v>22</v>
      </c>
      <c r="J1268" s="3">
        <v>46098.61818287037</v>
      </c>
      <c r="K1268" s="2" t="s">
        <v>8879</v>
      </c>
      <c r="L1268" s="1">
        <v>3</v>
      </c>
      <c r="M1268" s="1">
        <v>4</v>
      </c>
      <c r="N1268">
        <v>1</v>
      </c>
      <c r="O1268" s="3">
        <f>IF(
    R1268="Ancien",
    _xlfn.XLOOKUP(
        Final_Sans_VGE[[#This Row],[ppn_z]],
        tbl_Historique_Final[ppn_z],
        tbl_Historique_Final[Horodatage],
        ""
    ),
    Horodatage!$A$2
)</f>
        <v>46233.670796365739</v>
      </c>
      <c r="P1268" s="1" t="str">
        <f>IFERROR(IF(tbl_Historique_Final[[#This Row],[Commentaires]]&lt;&gt;"",tbl_Historique_Final[[#This Row],[Commentaires]],""),"")</f>
        <v/>
      </c>
      <c r="X1268" s="8" t="str">
        <f>IF(Final_Sans_VGE[[#This Row],[ppn_z]]="","",IFERROR(
   IF(_xlfn.XLOOKUP(Final_Sans_VGE[[#This Row],[ppn_z]],tbl_Historique_Final[ppn_z],tbl_Historique_Final[date_modif])=Final_Sans_VGE[[#This Row],[date_modif]],
      "Ancien",
      "Modifié"),
   "Nouveau"))</f>
        <v>Ancien</v>
      </c>
      <c r="AC1268"/>
      <c r="AD1268"/>
    </row>
    <row r="1269" spans="1:30" ht="45" x14ac:dyDescent="0.25">
      <c r="A1269" s="5" t="s">
        <v>3971</v>
      </c>
      <c r="B1269" s="1" t="s">
        <v>8880</v>
      </c>
      <c r="C1269" s="1" t="s">
        <v>8233</v>
      </c>
      <c r="E1269" s="1" t="s">
        <v>159</v>
      </c>
      <c r="G1269" s="1" t="s">
        <v>10</v>
      </c>
      <c r="H1269" s="1" t="s">
        <v>22</v>
      </c>
      <c r="I1269" s="1" t="s">
        <v>22</v>
      </c>
      <c r="J1269" s="3">
        <v>46090.717164351852</v>
      </c>
      <c r="K1269" s="2" t="s">
        <v>8881</v>
      </c>
      <c r="L1269" s="1">
        <v>5</v>
      </c>
      <c r="M1269" s="1">
        <v>5</v>
      </c>
      <c r="N1269">
        <v>0</v>
      </c>
      <c r="O1269" s="3">
        <f>IF(
    R1269="Ancien",
    _xlfn.XLOOKUP(
        Final_Sans_VGE[[#This Row],[ppn_z]],
        tbl_Historique_Final[ppn_z],
        tbl_Historique_Final[Horodatage],
        ""
    ),
    Horodatage!$A$2
)</f>
        <v>46233.670796365739</v>
      </c>
      <c r="P1269" s="1" t="str">
        <f>IFERROR(IF(tbl_Historique_Final[[#This Row],[Commentaires]]&lt;&gt;"",tbl_Historique_Final[[#This Row],[Commentaires]],""),"")</f>
        <v/>
      </c>
      <c r="X1269" s="8" t="str">
        <f>IF(Final_Sans_VGE[[#This Row],[ppn_z]]="","",IFERROR(
   IF(_xlfn.XLOOKUP(Final_Sans_VGE[[#This Row],[ppn_z]],tbl_Historique_Final[ppn_z],tbl_Historique_Final[date_modif])=Final_Sans_VGE[[#This Row],[date_modif]],
      "Ancien",
      "Modifié"),
   "Nouveau"))</f>
        <v>Ancien</v>
      </c>
      <c r="AC1269"/>
      <c r="AD1269"/>
    </row>
    <row r="1270" spans="1:30" x14ac:dyDescent="0.25">
      <c r="A1270" s="5" t="s">
        <v>3974</v>
      </c>
      <c r="B1270" s="1" t="s">
        <v>8882</v>
      </c>
      <c r="C1270" s="1" t="s">
        <v>12</v>
      </c>
      <c r="G1270" s="1" t="s">
        <v>10</v>
      </c>
      <c r="J1270" s="3">
        <v>46065.363993055558</v>
      </c>
      <c r="K1270" s="2" t="s">
        <v>8883</v>
      </c>
      <c r="L1270" s="1">
        <v>1</v>
      </c>
      <c r="M1270" s="1">
        <v>1</v>
      </c>
      <c r="N1270">
        <v>0</v>
      </c>
      <c r="O1270" s="3">
        <f>IF(
    R1270="Ancien",
    _xlfn.XLOOKUP(
        Final_Sans_VGE[[#This Row],[ppn_z]],
        tbl_Historique_Final[ppn_z],
        tbl_Historique_Final[Horodatage],
        ""
    ),
    Horodatage!$A$2
)</f>
        <v>46233.670796365739</v>
      </c>
      <c r="P1270" s="1" t="str">
        <f>IFERROR(IF(tbl_Historique_Final[[#This Row],[Commentaires]]&lt;&gt;"",tbl_Historique_Final[[#This Row],[Commentaires]],""),"")</f>
        <v/>
      </c>
      <c r="X1270" s="8" t="str">
        <f>IF(Final_Sans_VGE[[#This Row],[ppn_z]]="","",IFERROR(
   IF(_xlfn.XLOOKUP(Final_Sans_VGE[[#This Row],[ppn_z]],tbl_Historique_Final[ppn_z],tbl_Historique_Final[date_modif])=Final_Sans_VGE[[#This Row],[date_modif]],
      "Ancien",
      "Modifié"),
   "Nouveau"))</f>
        <v>Ancien</v>
      </c>
      <c r="AC1270"/>
      <c r="AD1270"/>
    </row>
    <row r="1271" spans="1:30" x14ac:dyDescent="0.25">
      <c r="A1271" s="5" t="s">
        <v>3977</v>
      </c>
      <c r="B1271" s="1" t="s">
        <v>8884</v>
      </c>
      <c r="C1271" s="1" t="s">
        <v>12</v>
      </c>
      <c r="G1271" s="1" t="s">
        <v>11</v>
      </c>
      <c r="J1271" s="3">
        <v>46086.678206018521</v>
      </c>
      <c r="K1271" s="2" t="s">
        <v>150</v>
      </c>
      <c r="L1271" s="1">
        <v>25</v>
      </c>
      <c r="M1271" s="1">
        <v>25</v>
      </c>
      <c r="N1271">
        <v>0</v>
      </c>
      <c r="O1271" s="3">
        <f>IF(
    R1271="Ancien",
    _xlfn.XLOOKUP(
        Final_Sans_VGE[[#This Row],[ppn_z]],
        tbl_Historique_Final[ppn_z],
        tbl_Historique_Final[Horodatage],
        ""
    ),
    Horodatage!$A$2
)</f>
        <v>46233.670796365739</v>
      </c>
      <c r="P1271" s="1" t="str">
        <f>IFERROR(IF(tbl_Historique_Final[[#This Row],[Commentaires]]&lt;&gt;"",tbl_Historique_Final[[#This Row],[Commentaires]],""),"")</f>
        <v/>
      </c>
      <c r="X1271" s="8" t="str">
        <f>IF(Final_Sans_VGE[[#This Row],[ppn_z]]="","",IFERROR(
   IF(_xlfn.XLOOKUP(Final_Sans_VGE[[#This Row],[ppn_z]],tbl_Historique_Final[ppn_z],tbl_Historique_Final[date_modif])=Final_Sans_VGE[[#This Row],[date_modif]],
      "Ancien",
      "Modifié"),
   "Nouveau"))</f>
        <v>Ancien</v>
      </c>
      <c r="AC1271"/>
      <c r="AD1271"/>
    </row>
    <row r="1272" spans="1:30" x14ac:dyDescent="0.25">
      <c r="A1272" s="5" t="s">
        <v>3980</v>
      </c>
      <c r="B1272" s="1" t="s">
        <v>8885</v>
      </c>
      <c r="C1272" s="1" t="s">
        <v>8233</v>
      </c>
      <c r="E1272" s="1" t="s">
        <v>157</v>
      </c>
      <c r="G1272" s="1" t="s">
        <v>10</v>
      </c>
      <c r="J1272" s="3">
        <v>46058.710381944446</v>
      </c>
      <c r="K1272" s="2" t="s">
        <v>8886</v>
      </c>
      <c r="L1272" s="1">
        <v>33</v>
      </c>
      <c r="M1272" s="1">
        <v>33</v>
      </c>
      <c r="N1272">
        <v>0</v>
      </c>
      <c r="O1272" s="3">
        <f>IF(
    R1272="Ancien",
    _xlfn.XLOOKUP(
        Final_Sans_VGE[[#This Row],[ppn_z]],
        tbl_Historique_Final[ppn_z],
        tbl_Historique_Final[Horodatage],
        ""
    ),
    Horodatage!$A$2
)</f>
        <v>46233.670796365739</v>
      </c>
      <c r="P1272" s="1" t="str">
        <f>IFERROR(IF(tbl_Historique_Final[[#This Row],[Commentaires]]&lt;&gt;"",tbl_Historique_Final[[#This Row],[Commentaires]],""),"")</f>
        <v/>
      </c>
      <c r="X1272" s="8" t="str">
        <f>IF(Final_Sans_VGE[[#This Row],[ppn_z]]="","",IFERROR(
   IF(_xlfn.XLOOKUP(Final_Sans_VGE[[#This Row],[ppn_z]],tbl_Historique_Final[ppn_z],tbl_Historique_Final[date_modif])=Final_Sans_VGE[[#This Row],[date_modif]],
      "Ancien",
      "Modifié"),
   "Nouveau"))</f>
        <v>Ancien</v>
      </c>
      <c r="AC1272"/>
      <c r="AD1272"/>
    </row>
    <row r="1273" spans="1:30" x14ac:dyDescent="0.25">
      <c r="A1273" s="5" t="s">
        <v>3983</v>
      </c>
      <c r="B1273" s="1" t="s">
        <v>8887</v>
      </c>
      <c r="C1273" s="1" t="s">
        <v>12</v>
      </c>
      <c r="G1273" s="1" t="s">
        <v>10</v>
      </c>
      <c r="J1273" s="3">
        <v>46059.628900462965</v>
      </c>
      <c r="K1273" s="2" t="s">
        <v>8888</v>
      </c>
      <c r="L1273" s="1">
        <v>1</v>
      </c>
      <c r="M1273" s="1">
        <v>1</v>
      </c>
      <c r="N1273">
        <v>0</v>
      </c>
      <c r="O1273" s="3">
        <f>IF(
    R1273="Ancien",
    _xlfn.XLOOKUP(
        Final_Sans_VGE[[#This Row],[ppn_z]],
        tbl_Historique_Final[ppn_z],
        tbl_Historique_Final[Horodatage],
        ""
    ),
    Horodatage!$A$2
)</f>
        <v>46233.670796365739</v>
      </c>
      <c r="P1273" s="1" t="str">
        <f>IFERROR(IF(tbl_Historique_Final[[#This Row],[Commentaires]]&lt;&gt;"",tbl_Historique_Final[[#This Row],[Commentaires]],""),"")</f>
        <v/>
      </c>
      <c r="X1273" s="8" t="str">
        <f>IF(Final_Sans_VGE[[#This Row],[ppn_z]]="","",IFERROR(
   IF(_xlfn.XLOOKUP(Final_Sans_VGE[[#This Row],[ppn_z]],tbl_Historique_Final[ppn_z],tbl_Historique_Final[date_modif])=Final_Sans_VGE[[#This Row],[date_modif]],
      "Ancien",
      "Modifié"),
   "Nouveau"))</f>
        <v>Ancien</v>
      </c>
      <c r="AC1273"/>
      <c r="AD1273"/>
    </row>
    <row r="1274" spans="1:30" ht="75" x14ac:dyDescent="0.25">
      <c r="A1274" s="5" t="s">
        <v>3986</v>
      </c>
      <c r="B1274" s="1" t="s">
        <v>8889</v>
      </c>
      <c r="C1274" s="1" t="s">
        <v>8890</v>
      </c>
      <c r="E1274" s="1" t="s">
        <v>8891</v>
      </c>
      <c r="G1274" s="1" t="s">
        <v>10</v>
      </c>
      <c r="J1274" s="3">
        <v>46057.487824074073</v>
      </c>
      <c r="K1274" s="2" t="s">
        <v>8892</v>
      </c>
      <c r="L1274" s="1">
        <v>3</v>
      </c>
      <c r="M1274" s="1">
        <v>3</v>
      </c>
      <c r="N1274">
        <v>0</v>
      </c>
      <c r="O1274" s="3">
        <f>IF(
    R1274="Ancien",
    _xlfn.XLOOKUP(
        Final_Sans_VGE[[#This Row],[ppn_z]],
        tbl_Historique_Final[ppn_z],
        tbl_Historique_Final[Horodatage],
        ""
    ),
    Horodatage!$A$2
)</f>
        <v>46233.670796365739</v>
      </c>
      <c r="P1274" s="1" t="str">
        <f>IFERROR(IF(tbl_Historique_Final[[#This Row],[Commentaires]]&lt;&gt;"",tbl_Historique_Final[[#This Row],[Commentaires]],""),"")</f>
        <v/>
      </c>
      <c r="X1274" s="8" t="str">
        <f>IF(Final_Sans_VGE[[#This Row],[ppn_z]]="","",IFERROR(
   IF(_xlfn.XLOOKUP(Final_Sans_VGE[[#This Row],[ppn_z]],tbl_Historique_Final[ppn_z],tbl_Historique_Final[date_modif])=Final_Sans_VGE[[#This Row],[date_modif]],
      "Ancien",
      "Modifié"),
   "Nouveau"))</f>
        <v>Ancien</v>
      </c>
      <c r="AC1274"/>
      <c r="AD1274"/>
    </row>
    <row r="1275" spans="1:30" x14ac:dyDescent="0.25">
      <c r="A1275" s="5" t="s">
        <v>3989</v>
      </c>
      <c r="B1275" s="1" t="s">
        <v>8893</v>
      </c>
      <c r="C1275" s="1" t="s">
        <v>8894</v>
      </c>
      <c r="D1275" s="1" t="s">
        <v>14</v>
      </c>
      <c r="E1275" s="1" t="s">
        <v>8895</v>
      </c>
      <c r="F1275" s="1" t="s">
        <v>14</v>
      </c>
      <c r="G1275" s="1" t="s">
        <v>10</v>
      </c>
      <c r="H1275" s="1" t="s">
        <v>22</v>
      </c>
      <c r="I1275" s="1" t="s">
        <v>22</v>
      </c>
      <c r="J1275" s="3">
        <v>46062.492939814816</v>
      </c>
      <c r="K1275" s="2" t="s">
        <v>8896</v>
      </c>
      <c r="L1275" s="1">
        <v>2</v>
      </c>
      <c r="M1275" s="1">
        <v>3</v>
      </c>
      <c r="N1275">
        <v>1</v>
      </c>
      <c r="O1275" s="3">
        <f>IF(
    R1275="Ancien",
    _xlfn.XLOOKUP(
        Final_Sans_VGE[[#This Row],[ppn_z]],
        tbl_Historique_Final[ppn_z],
        tbl_Historique_Final[Horodatage],
        ""
    ),
    Horodatage!$A$2
)</f>
        <v>46233.670796365739</v>
      </c>
      <c r="P1275" s="1" t="str">
        <f>IFERROR(IF(tbl_Historique_Final[[#This Row],[Commentaires]]&lt;&gt;"",tbl_Historique_Final[[#This Row],[Commentaires]],""),"")</f>
        <v/>
      </c>
      <c r="X1275" s="8" t="str">
        <f>IF(Final_Sans_VGE[[#This Row],[ppn_z]]="","",IFERROR(
   IF(_xlfn.XLOOKUP(Final_Sans_VGE[[#This Row],[ppn_z]],tbl_Historique_Final[ppn_z],tbl_Historique_Final[date_modif])=Final_Sans_VGE[[#This Row],[date_modif]],
      "Ancien",
      "Modifié"),
   "Nouveau"))</f>
        <v>Ancien</v>
      </c>
      <c r="AC1275"/>
      <c r="AD1275"/>
    </row>
    <row r="1276" spans="1:30" ht="30" x14ac:dyDescent="0.25">
      <c r="A1276" s="5" t="s">
        <v>3992</v>
      </c>
      <c r="B1276" s="1" t="s">
        <v>8897</v>
      </c>
      <c r="C1276" s="1" t="s">
        <v>96</v>
      </c>
      <c r="E1276" s="1" t="s">
        <v>6482</v>
      </c>
      <c r="G1276" s="1" t="s">
        <v>10</v>
      </c>
      <c r="J1276" s="3">
        <v>46062.626319444447</v>
      </c>
      <c r="K1276" s="2" t="s">
        <v>8898</v>
      </c>
      <c r="L1276" s="1">
        <v>37</v>
      </c>
      <c r="M1276" s="1">
        <v>40</v>
      </c>
      <c r="N1276">
        <v>3</v>
      </c>
      <c r="O1276" s="3">
        <f>IF(
    R1276="Ancien",
    _xlfn.XLOOKUP(
        Final_Sans_VGE[[#This Row],[ppn_z]],
        tbl_Historique_Final[ppn_z],
        tbl_Historique_Final[Horodatage],
        ""
    ),
    Horodatage!$A$2
)</f>
        <v>46233.670796365739</v>
      </c>
      <c r="P1276" s="1" t="str">
        <f>IFERROR(IF(tbl_Historique_Final[[#This Row],[Commentaires]]&lt;&gt;"",tbl_Historique_Final[[#This Row],[Commentaires]],""),"")</f>
        <v/>
      </c>
      <c r="X1276" s="8" t="str">
        <f>IF(Final_Sans_VGE[[#This Row],[ppn_z]]="","",IFERROR(
   IF(_xlfn.XLOOKUP(Final_Sans_VGE[[#This Row],[ppn_z]],tbl_Historique_Final[ppn_z],tbl_Historique_Final[date_modif])=Final_Sans_VGE[[#This Row],[date_modif]],
      "Ancien",
      "Modifié"),
   "Nouveau"))</f>
        <v>Ancien</v>
      </c>
      <c r="AC1276"/>
      <c r="AD1276"/>
    </row>
    <row r="1277" spans="1:30" x14ac:dyDescent="0.25">
      <c r="A1277" s="5" t="s">
        <v>3995</v>
      </c>
      <c r="B1277" s="1" t="s">
        <v>8899</v>
      </c>
      <c r="C1277" s="1" t="s">
        <v>7652</v>
      </c>
      <c r="D1277" s="1" t="s">
        <v>14</v>
      </c>
      <c r="E1277" s="1" t="s">
        <v>8546</v>
      </c>
      <c r="F1277" s="1" t="s">
        <v>14</v>
      </c>
      <c r="G1277" s="1" t="s">
        <v>11</v>
      </c>
      <c r="H1277" s="1" t="s">
        <v>22</v>
      </c>
      <c r="I1277" s="1" t="s">
        <v>22</v>
      </c>
      <c r="J1277" s="3">
        <v>46058.446099537039</v>
      </c>
      <c r="K1277" s="2" t="s">
        <v>8900</v>
      </c>
      <c r="L1277" s="1">
        <v>3</v>
      </c>
      <c r="M1277" s="1">
        <v>3</v>
      </c>
      <c r="N1277">
        <v>0</v>
      </c>
      <c r="O1277" s="3">
        <f>IF(
    R1277="Ancien",
    _xlfn.XLOOKUP(
        Final_Sans_VGE[[#This Row],[ppn_z]],
        tbl_Historique_Final[ppn_z],
        tbl_Historique_Final[Horodatage],
        ""
    ),
    Horodatage!$A$2
)</f>
        <v>46233.670796365739</v>
      </c>
      <c r="P1277" s="1" t="str">
        <f>IFERROR(IF(tbl_Historique_Final[[#This Row],[Commentaires]]&lt;&gt;"",tbl_Historique_Final[[#This Row],[Commentaires]],""),"")</f>
        <v/>
      </c>
      <c r="X1277" s="8" t="str">
        <f>IF(Final_Sans_VGE[[#This Row],[ppn_z]]="","",IFERROR(
   IF(_xlfn.XLOOKUP(Final_Sans_VGE[[#This Row],[ppn_z]],tbl_Historique_Final[ppn_z],tbl_Historique_Final[date_modif])=Final_Sans_VGE[[#This Row],[date_modif]],
      "Ancien",
      "Modifié"),
   "Nouveau"))</f>
        <v>Ancien</v>
      </c>
      <c r="AC1277"/>
      <c r="AD1277"/>
    </row>
    <row r="1278" spans="1:30" x14ac:dyDescent="0.25">
      <c r="A1278" s="5" t="s">
        <v>3998</v>
      </c>
      <c r="B1278" s="1" t="s">
        <v>8901</v>
      </c>
      <c r="C1278" s="1" t="s">
        <v>8902</v>
      </c>
      <c r="D1278" s="1" t="s">
        <v>14</v>
      </c>
      <c r="E1278" s="1" t="s">
        <v>7436</v>
      </c>
      <c r="F1278" s="1" t="s">
        <v>14</v>
      </c>
      <c r="G1278" s="1" t="s">
        <v>10</v>
      </c>
      <c r="H1278" s="1" t="s">
        <v>22</v>
      </c>
      <c r="I1278" s="1" t="s">
        <v>22</v>
      </c>
      <c r="J1278" s="3">
        <v>46079.367118055554</v>
      </c>
      <c r="K1278" s="2" t="s">
        <v>7461</v>
      </c>
      <c r="L1278" s="1">
        <v>5</v>
      </c>
      <c r="M1278" s="1">
        <v>5</v>
      </c>
      <c r="N1278">
        <v>0</v>
      </c>
      <c r="O1278" s="3">
        <f>IF(
    R1278="Ancien",
    _xlfn.XLOOKUP(
        Final_Sans_VGE[[#This Row],[ppn_z]],
        tbl_Historique_Final[ppn_z],
        tbl_Historique_Final[Horodatage],
        ""
    ),
    Horodatage!$A$2
)</f>
        <v>46233.670796365739</v>
      </c>
      <c r="P1278" s="1" t="str">
        <f>IFERROR(IF(tbl_Historique_Final[[#This Row],[Commentaires]]&lt;&gt;"",tbl_Historique_Final[[#This Row],[Commentaires]],""),"")</f>
        <v/>
      </c>
      <c r="X1278" s="8" t="str">
        <f>IF(Final_Sans_VGE[[#This Row],[ppn_z]]="","",IFERROR(
   IF(_xlfn.XLOOKUP(Final_Sans_VGE[[#This Row],[ppn_z]],tbl_Historique_Final[ppn_z],tbl_Historique_Final[date_modif])=Final_Sans_VGE[[#This Row],[date_modif]],
      "Ancien",
      "Modifié"),
   "Nouveau"))</f>
        <v>Ancien</v>
      </c>
      <c r="AC1278"/>
      <c r="AD1278"/>
    </row>
    <row r="1279" spans="1:30" x14ac:dyDescent="0.25">
      <c r="A1279" s="5" t="s">
        <v>4001</v>
      </c>
      <c r="B1279" s="1" t="s">
        <v>8903</v>
      </c>
      <c r="C1279" s="1" t="s">
        <v>8904</v>
      </c>
      <c r="D1279" s="1" t="s">
        <v>14</v>
      </c>
      <c r="E1279" s="1" t="s">
        <v>7709</v>
      </c>
      <c r="F1279" s="1" t="s">
        <v>7437</v>
      </c>
      <c r="G1279" s="1" t="s">
        <v>10</v>
      </c>
      <c r="H1279" s="1" t="s">
        <v>22</v>
      </c>
      <c r="I1279" s="1" t="s">
        <v>22</v>
      </c>
      <c r="J1279" s="3">
        <v>46057.54928240741</v>
      </c>
      <c r="K1279" s="2" t="s">
        <v>8905</v>
      </c>
      <c r="L1279" s="1">
        <v>42</v>
      </c>
      <c r="M1279" s="1">
        <v>46</v>
      </c>
      <c r="N1279">
        <v>4</v>
      </c>
      <c r="O1279" s="3">
        <f>IF(
    R1279="Ancien",
    _xlfn.XLOOKUP(
        Final_Sans_VGE[[#This Row],[ppn_z]],
        tbl_Historique_Final[ppn_z],
        tbl_Historique_Final[Horodatage],
        ""
    ),
    Horodatage!$A$2
)</f>
        <v>46233.670796365739</v>
      </c>
      <c r="P1279" s="1" t="str">
        <f>IFERROR(IF(tbl_Historique_Final[[#This Row],[Commentaires]]&lt;&gt;"",tbl_Historique_Final[[#This Row],[Commentaires]],""),"")</f>
        <v/>
      </c>
      <c r="X1279" s="8" t="str">
        <f>IF(Final_Sans_VGE[[#This Row],[ppn_z]]="","",IFERROR(
   IF(_xlfn.XLOOKUP(Final_Sans_VGE[[#This Row],[ppn_z]],tbl_Historique_Final[ppn_z],tbl_Historique_Final[date_modif])=Final_Sans_VGE[[#This Row],[date_modif]],
      "Ancien",
      "Modifié"),
   "Nouveau"))</f>
        <v>Ancien</v>
      </c>
      <c r="AC1279"/>
      <c r="AD1279"/>
    </row>
    <row r="1280" spans="1:30" x14ac:dyDescent="0.25">
      <c r="A1280" s="5" t="s">
        <v>4004</v>
      </c>
      <c r="B1280" s="1" t="s">
        <v>8906</v>
      </c>
      <c r="C1280" s="1" t="s">
        <v>167</v>
      </c>
      <c r="E1280" s="1" t="s">
        <v>6566</v>
      </c>
      <c r="G1280" s="1" t="s">
        <v>10</v>
      </c>
      <c r="J1280" s="3">
        <v>46057.799189814818</v>
      </c>
      <c r="L1280" s="1">
        <v>1</v>
      </c>
      <c r="M1280" s="1">
        <v>1</v>
      </c>
      <c r="N1280">
        <v>0</v>
      </c>
      <c r="O1280" s="3">
        <f>IF(
    R1280="Ancien",
    _xlfn.XLOOKUP(
        Final_Sans_VGE[[#This Row],[ppn_z]],
        tbl_Historique_Final[ppn_z],
        tbl_Historique_Final[Horodatage],
        ""
    ),
    Horodatage!$A$2
)</f>
        <v>46233.670796365739</v>
      </c>
      <c r="P1280" s="1" t="str">
        <f>IFERROR(IF(tbl_Historique_Final[[#This Row],[Commentaires]]&lt;&gt;"",tbl_Historique_Final[[#This Row],[Commentaires]],""),"")</f>
        <v/>
      </c>
      <c r="X1280" s="8" t="str">
        <f>IF(Final_Sans_VGE[[#This Row],[ppn_z]]="","",IFERROR(
   IF(_xlfn.XLOOKUP(Final_Sans_VGE[[#This Row],[ppn_z]],tbl_Historique_Final[ppn_z],tbl_Historique_Final[date_modif])=Final_Sans_VGE[[#This Row],[date_modif]],
      "Ancien",
      "Modifié"),
   "Nouveau"))</f>
        <v>Ancien</v>
      </c>
      <c r="AC1280"/>
      <c r="AD1280"/>
    </row>
    <row r="1281" spans="1:30" x14ac:dyDescent="0.25">
      <c r="A1281" s="5" t="s">
        <v>4007</v>
      </c>
      <c r="B1281" s="1" t="s">
        <v>8907</v>
      </c>
      <c r="C1281" s="1" t="s">
        <v>143</v>
      </c>
      <c r="D1281" s="1" t="s">
        <v>14</v>
      </c>
      <c r="E1281" s="1" t="s">
        <v>75</v>
      </c>
      <c r="F1281" s="1" t="s">
        <v>14</v>
      </c>
      <c r="G1281" s="1" t="s">
        <v>10</v>
      </c>
      <c r="H1281" s="1" t="s">
        <v>8028</v>
      </c>
      <c r="I1281" s="1" t="s">
        <v>22</v>
      </c>
      <c r="J1281" s="3">
        <v>46065.415613425925</v>
      </c>
      <c r="K1281" s="2" t="s">
        <v>8908</v>
      </c>
      <c r="L1281" s="1">
        <v>7</v>
      </c>
      <c r="M1281" s="1">
        <v>8</v>
      </c>
      <c r="N1281">
        <v>1</v>
      </c>
      <c r="O1281" s="3">
        <f>IF(
    R1281="Ancien",
    _xlfn.XLOOKUP(
        Final_Sans_VGE[[#This Row],[ppn_z]],
        tbl_Historique_Final[ppn_z],
        tbl_Historique_Final[Horodatage],
        ""
    ),
    Horodatage!$A$2
)</f>
        <v>46233.670796365739</v>
      </c>
      <c r="P1281" s="1" t="str">
        <f>IFERROR(IF(tbl_Historique_Final[[#This Row],[Commentaires]]&lt;&gt;"",tbl_Historique_Final[[#This Row],[Commentaires]],""),"")</f>
        <v/>
      </c>
      <c r="X1281" s="8" t="str">
        <f>IF(Final_Sans_VGE[[#This Row],[ppn_z]]="","",IFERROR(
   IF(_xlfn.XLOOKUP(Final_Sans_VGE[[#This Row],[ppn_z]],tbl_Historique_Final[ppn_z],tbl_Historique_Final[date_modif])=Final_Sans_VGE[[#This Row],[date_modif]],
      "Ancien",
      "Modifié"),
   "Nouveau"))</f>
        <v>Ancien</v>
      </c>
      <c r="AC1281"/>
      <c r="AD1281"/>
    </row>
    <row r="1282" spans="1:30" x14ac:dyDescent="0.25">
      <c r="A1282" s="5" t="s">
        <v>4010</v>
      </c>
      <c r="B1282" s="1" t="s">
        <v>8909</v>
      </c>
      <c r="C1282" s="1" t="s">
        <v>7460</v>
      </c>
      <c r="D1282" s="1" t="s">
        <v>14</v>
      </c>
      <c r="E1282" s="1" t="s">
        <v>6676</v>
      </c>
      <c r="F1282" s="1" t="s">
        <v>14</v>
      </c>
      <c r="G1282" s="1" t="s">
        <v>10</v>
      </c>
      <c r="H1282" s="1" t="s">
        <v>22</v>
      </c>
      <c r="I1282" s="1" t="s">
        <v>22</v>
      </c>
      <c r="J1282" s="3">
        <v>46062.539502314816</v>
      </c>
      <c r="K1282" s="2" t="s">
        <v>8910</v>
      </c>
      <c r="L1282" s="1">
        <v>1</v>
      </c>
      <c r="M1282" s="1">
        <v>2</v>
      </c>
      <c r="N1282">
        <v>1</v>
      </c>
      <c r="O1282" s="3">
        <f>IF(
    R1282="Ancien",
    _xlfn.XLOOKUP(
        Final_Sans_VGE[[#This Row],[ppn_z]],
        tbl_Historique_Final[ppn_z],
        tbl_Historique_Final[Horodatage],
        ""
    ),
    Horodatage!$A$2
)</f>
        <v>46233.670796365739</v>
      </c>
      <c r="P1282" s="1" t="str">
        <f>IFERROR(IF(tbl_Historique_Final[[#This Row],[Commentaires]]&lt;&gt;"",tbl_Historique_Final[[#This Row],[Commentaires]],""),"")</f>
        <v/>
      </c>
      <c r="X1282" s="8" t="str">
        <f>IF(Final_Sans_VGE[[#This Row],[ppn_z]]="","",IFERROR(
   IF(_xlfn.XLOOKUP(Final_Sans_VGE[[#This Row],[ppn_z]],tbl_Historique_Final[ppn_z],tbl_Historique_Final[date_modif])=Final_Sans_VGE[[#This Row],[date_modif]],
      "Ancien",
      "Modifié"),
   "Nouveau"))</f>
        <v>Ancien</v>
      </c>
      <c r="AC1282"/>
      <c r="AD1282"/>
    </row>
    <row r="1283" spans="1:30" x14ac:dyDescent="0.25">
      <c r="A1283" s="5" t="s">
        <v>4013</v>
      </c>
      <c r="B1283" s="1" t="s">
        <v>8911</v>
      </c>
      <c r="C1283" s="1" t="s">
        <v>8372</v>
      </c>
      <c r="D1283" s="1" t="s">
        <v>14</v>
      </c>
      <c r="E1283" s="1" t="s">
        <v>31</v>
      </c>
      <c r="F1283" s="1" t="s">
        <v>14</v>
      </c>
      <c r="G1283" s="1" t="s">
        <v>10</v>
      </c>
      <c r="H1283" s="1" t="s">
        <v>22</v>
      </c>
      <c r="I1283" s="1" t="s">
        <v>22</v>
      </c>
      <c r="J1283" s="3">
        <v>46058.403275462966</v>
      </c>
      <c r="L1283" s="1">
        <v>0</v>
      </c>
      <c r="M1283" s="1">
        <v>0</v>
      </c>
      <c r="N1283">
        <v>0</v>
      </c>
      <c r="O1283" s="3">
        <f>IF(
    R1283="Ancien",
    _xlfn.XLOOKUP(
        Final_Sans_VGE[[#This Row],[ppn_z]],
        tbl_Historique_Final[ppn_z],
        tbl_Historique_Final[Horodatage],
        ""
    ),
    Horodatage!$A$2
)</f>
        <v>46233.670796365739</v>
      </c>
      <c r="P1283" s="1" t="str">
        <f>IFERROR(IF(tbl_Historique_Final[[#This Row],[Commentaires]]&lt;&gt;"",tbl_Historique_Final[[#This Row],[Commentaires]],""),"")</f>
        <v/>
      </c>
      <c r="X1283" s="8" t="str">
        <f>IF(Final_Sans_VGE[[#This Row],[ppn_z]]="","",IFERROR(
   IF(_xlfn.XLOOKUP(Final_Sans_VGE[[#This Row],[ppn_z]],tbl_Historique_Final[ppn_z],tbl_Historique_Final[date_modif])=Final_Sans_VGE[[#This Row],[date_modif]],
      "Ancien",
      "Modifié"),
   "Nouveau"))</f>
        <v>Ancien</v>
      </c>
      <c r="AC1283"/>
      <c r="AD1283"/>
    </row>
    <row r="1284" spans="1:30" x14ac:dyDescent="0.25">
      <c r="A1284" s="5" t="s">
        <v>4016</v>
      </c>
      <c r="B1284" s="1" t="s">
        <v>8912</v>
      </c>
      <c r="C1284" s="1" t="s">
        <v>8349</v>
      </c>
      <c r="D1284" s="1" t="s">
        <v>133</v>
      </c>
      <c r="E1284" s="1" t="s">
        <v>8381</v>
      </c>
      <c r="F1284" s="1" t="s">
        <v>133</v>
      </c>
      <c r="G1284" s="1" t="s">
        <v>10</v>
      </c>
      <c r="H1284" s="1" t="s">
        <v>22</v>
      </c>
      <c r="I1284" s="1" t="s">
        <v>22</v>
      </c>
      <c r="J1284" s="3">
        <v>46080.566759259258</v>
      </c>
      <c r="K1284" s="2" t="s">
        <v>7461</v>
      </c>
      <c r="L1284" s="1">
        <v>3</v>
      </c>
      <c r="M1284" s="1">
        <v>3</v>
      </c>
      <c r="N1284">
        <v>0</v>
      </c>
      <c r="O1284" s="3">
        <f>IF(
    R1284="Ancien",
    _xlfn.XLOOKUP(
        Final_Sans_VGE[[#This Row],[ppn_z]],
        tbl_Historique_Final[ppn_z],
        tbl_Historique_Final[Horodatage],
        ""
    ),
    Horodatage!$A$2
)</f>
        <v>46233.670796365739</v>
      </c>
      <c r="P1284" s="1" t="str">
        <f>IFERROR(IF(tbl_Historique_Final[[#This Row],[Commentaires]]&lt;&gt;"",tbl_Historique_Final[[#This Row],[Commentaires]],""),"")</f>
        <v/>
      </c>
      <c r="X1284" s="8" t="str">
        <f>IF(Final_Sans_VGE[[#This Row],[ppn_z]]="","",IFERROR(
   IF(_xlfn.XLOOKUP(Final_Sans_VGE[[#This Row],[ppn_z]],tbl_Historique_Final[ppn_z],tbl_Historique_Final[date_modif])=Final_Sans_VGE[[#This Row],[date_modif]],
      "Ancien",
      "Modifié"),
   "Nouveau"))</f>
        <v>Ancien</v>
      </c>
      <c r="AC1284"/>
      <c r="AD1284"/>
    </row>
    <row r="1285" spans="1:30" x14ac:dyDescent="0.25">
      <c r="A1285" s="5" t="s">
        <v>4019</v>
      </c>
      <c r="B1285" s="1" t="s">
        <v>8913</v>
      </c>
      <c r="C1285" s="1" t="s">
        <v>8675</v>
      </c>
      <c r="D1285" s="1" t="s">
        <v>14</v>
      </c>
      <c r="E1285" s="1" t="s">
        <v>7796</v>
      </c>
      <c r="F1285" s="1" t="s">
        <v>8914</v>
      </c>
      <c r="G1285" s="1" t="s">
        <v>10</v>
      </c>
      <c r="H1285" s="1" t="s">
        <v>22</v>
      </c>
      <c r="I1285" s="1" t="s">
        <v>22</v>
      </c>
      <c r="J1285" s="3">
        <v>46058.418136574073</v>
      </c>
      <c r="K1285" s="2" t="s">
        <v>7461</v>
      </c>
      <c r="L1285" s="1">
        <v>6</v>
      </c>
      <c r="M1285" s="1">
        <v>11</v>
      </c>
      <c r="N1285">
        <v>5</v>
      </c>
      <c r="O1285" s="3">
        <f>IF(
    R1285="Ancien",
    _xlfn.XLOOKUP(
        Final_Sans_VGE[[#This Row],[ppn_z]],
        tbl_Historique_Final[ppn_z],
        tbl_Historique_Final[Horodatage],
        ""
    ),
    Horodatage!$A$2
)</f>
        <v>46233.670796365739</v>
      </c>
      <c r="P1285" s="1" t="str">
        <f>IFERROR(IF(tbl_Historique_Final[[#This Row],[Commentaires]]&lt;&gt;"",tbl_Historique_Final[[#This Row],[Commentaires]],""),"")</f>
        <v/>
      </c>
      <c r="X1285" s="8" t="str">
        <f>IF(Final_Sans_VGE[[#This Row],[ppn_z]]="","",IFERROR(
   IF(_xlfn.XLOOKUP(Final_Sans_VGE[[#This Row],[ppn_z]],tbl_Historique_Final[ppn_z],tbl_Historique_Final[date_modif])=Final_Sans_VGE[[#This Row],[date_modif]],
      "Ancien",
      "Modifié"),
   "Nouveau"))</f>
        <v>Ancien</v>
      </c>
      <c r="AC1285"/>
      <c r="AD1285"/>
    </row>
    <row r="1286" spans="1:30" x14ac:dyDescent="0.25">
      <c r="A1286" s="5" t="s">
        <v>4022</v>
      </c>
      <c r="B1286" s="1" t="s">
        <v>8915</v>
      </c>
      <c r="C1286" s="1" t="s">
        <v>8916</v>
      </c>
      <c r="D1286" s="1" t="s">
        <v>14</v>
      </c>
      <c r="E1286" s="1" t="s">
        <v>8917</v>
      </c>
      <c r="F1286" s="1" t="s">
        <v>14</v>
      </c>
      <c r="G1286" s="1" t="s">
        <v>10</v>
      </c>
      <c r="H1286" s="1" t="s">
        <v>22</v>
      </c>
      <c r="I1286" s="1" t="s">
        <v>22</v>
      </c>
      <c r="J1286" s="3">
        <v>46080.609872685185</v>
      </c>
      <c r="K1286" s="2" t="s">
        <v>8918</v>
      </c>
      <c r="L1286" s="1">
        <v>99</v>
      </c>
      <c r="M1286" s="1">
        <v>105</v>
      </c>
      <c r="N1286">
        <v>6</v>
      </c>
      <c r="O1286" s="3">
        <f>IF(
    R1286="Ancien",
    _xlfn.XLOOKUP(
        Final_Sans_VGE[[#This Row],[ppn_z]],
        tbl_Historique_Final[ppn_z],
        tbl_Historique_Final[Horodatage],
        ""
    ),
    Horodatage!$A$2
)</f>
        <v>46233.670796365739</v>
      </c>
      <c r="P1286" s="1" t="str">
        <f>IFERROR(IF(tbl_Historique_Final[[#This Row],[Commentaires]]&lt;&gt;"",tbl_Historique_Final[[#This Row],[Commentaires]],""),"")</f>
        <v/>
      </c>
      <c r="X1286" s="8" t="str">
        <f>IF(Final_Sans_VGE[[#This Row],[ppn_z]]="","",IFERROR(
   IF(_xlfn.XLOOKUP(Final_Sans_VGE[[#This Row],[ppn_z]],tbl_Historique_Final[ppn_z],tbl_Historique_Final[date_modif])=Final_Sans_VGE[[#This Row],[date_modif]],
      "Ancien",
      "Modifié"),
   "Nouveau"))</f>
        <v>Ancien</v>
      </c>
      <c r="AC1286"/>
      <c r="AD1286"/>
    </row>
    <row r="1287" spans="1:30" ht="30" x14ac:dyDescent="0.25">
      <c r="A1287" s="5" t="s">
        <v>4025</v>
      </c>
      <c r="B1287" s="1" t="s">
        <v>8919</v>
      </c>
      <c r="C1287" s="1" t="s">
        <v>8368</v>
      </c>
      <c r="D1287" s="1" t="s">
        <v>7437</v>
      </c>
      <c r="E1287" s="1" t="s">
        <v>116</v>
      </c>
      <c r="F1287" s="1" t="s">
        <v>8920</v>
      </c>
      <c r="G1287" s="1" t="s">
        <v>10</v>
      </c>
      <c r="H1287" s="1" t="s">
        <v>140</v>
      </c>
      <c r="I1287" s="1" t="s">
        <v>8921</v>
      </c>
      <c r="J1287" s="3">
        <v>46070.381076388891</v>
      </c>
      <c r="K1287" s="2" t="s">
        <v>8922</v>
      </c>
      <c r="L1287" s="1">
        <v>25</v>
      </c>
      <c r="M1287" s="1">
        <v>28</v>
      </c>
      <c r="N1287">
        <v>3</v>
      </c>
      <c r="O1287" s="3">
        <f>IF(
    R1287="Ancien",
    _xlfn.XLOOKUP(
        Final_Sans_VGE[[#This Row],[ppn_z]],
        tbl_Historique_Final[ppn_z],
        tbl_Historique_Final[Horodatage],
        ""
    ),
    Horodatage!$A$2
)</f>
        <v>46233.670796365739</v>
      </c>
      <c r="P1287" s="1" t="str">
        <f>IFERROR(IF(tbl_Historique_Final[[#This Row],[Commentaires]]&lt;&gt;"",tbl_Historique_Final[[#This Row],[Commentaires]],""),"")</f>
        <v/>
      </c>
      <c r="X1287" s="8" t="str">
        <f>IF(Final_Sans_VGE[[#This Row],[ppn_z]]="","",IFERROR(
   IF(_xlfn.XLOOKUP(Final_Sans_VGE[[#This Row],[ppn_z]],tbl_Historique_Final[ppn_z],tbl_Historique_Final[date_modif])=Final_Sans_VGE[[#This Row],[date_modif]],
      "Ancien",
      "Modifié"),
   "Nouveau"))</f>
        <v>Ancien</v>
      </c>
      <c r="AC1287"/>
      <c r="AD1287"/>
    </row>
    <row r="1288" spans="1:30" x14ac:dyDescent="0.25">
      <c r="A1288" s="5" t="s">
        <v>4028</v>
      </c>
      <c r="B1288" s="1" t="s">
        <v>8923</v>
      </c>
      <c r="C1288" s="1" t="s">
        <v>7164</v>
      </c>
      <c r="D1288" s="1" t="s">
        <v>14</v>
      </c>
      <c r="E1288" s="1" t="s">
        <v>120</v>
      </c>
      <c r="F1288" s="1" t="s">
        <v>14</v>
      </c>
      <c r="G1288" s="1" t="s">
        <v>10</v>
      </c>
      <c r="H1288" s="1" t="s">
        <v>22</v>
      </c>
      <c r="I1288" s="1" t="s">
        <v>22</v>
      </c>
      <c r="J1288" s="3">
        <v>46058.441053240742</v>
      </c>
      <c r="L1288" s="1">
        <v>26</v>
      </c>
      <c r="M1288" s="1">
        <v>28</v>
      </c>
      <c r="N1288">
        <v>2</v>
      </c>
      <c r="O1288" s="3">
        <f>IF(
    R1288="Ancien",
    _xlfn.XLOOKUP(
        Final_Sans_VGE[[#This Row],[ppn_z]],
        tbl_Historique_Final[ppn_z],
        tbl_Historique_Final[Horodatage],
        ""
    ),
    Horodatage!$A$2
)</f>
        <v>46233.670796365739</v>
      </c>
      <c r="P1288" s="1" t="str">
        <f>IFERROR(IF(tbl_Historique_Final[[#This Row],[Commentaires]]&lt;&gt;"",tbl_Historique_Final[[#This Row],[Commentaires]],""),"")</f>
        <v/>
      </c>
      <c r="X1288" s="8" t="str">
        <f>IF(Final_Sans_VGE[[#This Row],[ppn_z]]="","",IFERROR(
   IF(_xlfn.XLOOKUP(Final_Sans_VGE[[#This Row],[ppn_z]],tbl_Historique_Final[ppn_z],tbl_Historique_Final[date_modif])=Final_Sans_VGE[[#This Row],[date_modif]],
      "Ancien",
      "Modifié"),
   "Nouveau"))</f>
        <v>Ancien</v>
      </c>
      <c r="AC1288"/>
      <c r="AD1288"/>
    </row>
    <row r="1289" spans="1:30" ht="45" x14ac:dyDescent="0.25">
      <c r="A1289" s="5" t="s">
        <v>4031</v>
      </c>
      <c r="B1289" s="1" t="s">
        <v>8924</v>
      </c>
      <c r="C1289" s="1" t="s">
        <v>8832</v>
      </c>
      <c r="D1289" s="1" t="s">
        <v>14</v>
      </c>
      <c r="E1289" s="1" t="s">
        <v>97</v>
      </c>
      <c r="F1289" s="1" t="s">
        <v>14</v>
      </c>
      <c r="G1289" s="1" t="s">
        <v>10</v>
      </c>
      <c r="H1289" s="1" t="s">
        <v>22</v>
      </c>
      <c r="I1289" s="1" t="s">
        <v>22</v>
      </c>
      <c r="J1289" s="3">
        <v>46065.600069444445</v>
      </c>
      <c r="K1289" s="2" t="s">
        <v>8925</v>
      </c>
      <c r="L1289" s="1">
        <v>18</v>
      </c>
      <c r="M1289" s="1">
        <v>18</v>
      </c>
      <c r="N1289">
        <v>0</v>
      </c>
      <c r="O1289" s="3">
        <f>IF(
    R1289="Ancien",
    _xlfn.XLOOKUP(
        Final_Sans_VGE[[#This Row],[ppn_z]],
        tbl_Historique_Final[ppn_z],
        tbl_Historique_Final[Horodatage],
        ""
    ),
    Horodatage!$A$2
)</f>
        <v>46233.670796365739</v>
      </c>
      <c r="P1289" s="1" t="str">
        <f>IFERROR(IF(tbl_Historique_Final[[#This Row],[Commentaires]]&lt;&gt;"",tbl_Historique_Final[[#This Row],[Commentaires]],""),"")</f>
        <v/>
      </c>
      <c r="X1289" s="8" t="str">
        <f>IF(Final_Sans_VGE[[#This Row],[ppn_z]]="","",IFERROR(
   IF(_xlfn.XLOOKUP(Final_Sans_VGE[[#This Row],[ppn_z]],tbl_Historique_Final[ppn_z],tbl_Historique_Final[date_modif])=Final_Sans_VGE[[#This Row],[date_modif]],
      "Ancien",
      "Modifié"),
   "Nouveau"))</f>
        <v>Ancien</v>
      </c>
      <c r="AC1289"/>
      <c r="AD1289"/>
    </row>
    <row r="1290" spans="1:30" x14ac:dyDescent="0.25">
      <c r="A1290" s="5" t="s">
        <v>4034</v>
      </c>
      <c r="B1290" s="1" t="s">
        <v>8926</v>
      </c>
      <c r="C1290" s="1" t="s">
        <v>143</v>
      </c>
      <c r="D1290" s="1" t="s">
        <v>8927</v>
      </c>
      <c r="E1290" s="1" t="s">
        <v>120</v>
      </c>
      <c r="F1290" s="1" t="s">
        <v>14</v>
      </c>
      <c r="G1290" s="1" t="s">
        <v>10</v>
      </c>
      <c r="H1290" s="1" t="s">
        <v>22</v>
      </c>
      <c r="I1290" s="1" t="s">
        <v>22</v>
      </c>
      <c r="J1290" s="3">
        <v>46073.661793981482</v>
      </c>
      <c r="K1290" s="2" t="s">
        <v>8928</v>
      </c>
      <c r="L1290" s="1">
        <v>18</v>
      </c>
      <c r="M1290" s="1">
        <v>21</v>
      </c>
      <c r="N1290">
        <v>3</v>
      </c>
      <c r="O1290" s="3">
        <f>IF(
    R1290="Ancien",
    _xlfn.XLOOKUP(
        Final_Sans_VGE[[#This Row],[ppn_z]],
        tbl_Historique_Final[ppn_z],
        tbl_Historique_Final[Horodatage],
        ""
    ),
    Horodatage!$A$2
)</f>
        <v>46233.670796365739</v>
      </c>
      <c r="P1290" s="1" t="str">
        <f>IFERROR(IF(tbl_Historique_Final[[#This Row],[Commentaires]]&lt;&gt;"",tbl_Historique_Final[[#This Row],[Commentaires]],""),"")</f>
        <v/>
      </c>
      <c r="X1290" s="8" t="str">
        <f>IF(Final_Sans_VGE[[#This Row],[ppn_z]]="","",IFERROR(
   IF(_xlfn.XLOOKUP(Final_Sans_VGE[[#This Row],[ppn_z]],tbl_Historique_Final[ppn_z],tbl_Historique_Final[date_modif])=Final_Sans_VGE[[#This Row],[date_modif]],
      "Ancien",
      "Modifié"),
   "Nouveau"))</f>
        <v>Ancien</v>
      </c>
      <c r="AC1290"/>
      <c r="AD1290"/>
    </row>
    <row r="1291" spans="1:30" ht="75" x14ac:dyDescent="0.25">
      <c r="A1291" s="5" t="s">
        <v>4037</v>
      </c>
      <c r="B1291" s="1" t="s">
        <v>8929</v>
      </c>
      <c r="C1291" s="1" t="s">
        <v>97</v>
      </c>
      <c r="D1291" s="1" t="s">
        <v>14</v>
      </c>
      <c r="E1291" s="1" t="s">
        <v>66</v>
      </c>
      <c r="F1291" s="1" t="s">
        <v>14</v>
      </c>
      <c r="G1291" s="1" t="s">
        <v>10</v>
      </c>
      <c r="H1291" s="1" t="s">
        <v>22</v>
      </c>
      <c r="I1291" s="1" t="s">
        <v>22</v>
      </c>
      <c r="J1291" s="3">
        <v>46058.4453587963</v>
      </c>
      <c r="K1291" s="2" t="s">
        <v>8930</v>
      </c>
      <c r="L1291" s="1">
        <v>33</v>
      </c>
      <c r="M1291" s="1">
        <v>36</v>
      </c>
      <c r="N1291">
        <v>3</v>
      </c>
      <c r="O1291" s="3">
        <f>IF(
    R1291="Ancien",
    _xlfn.XLOOKUP(
        Final_Sans_VGE[[#This Row],[ppn_z]],
        tbl_Historique_Final[ppn_z],
        tbl_Historique_Final[Horodatage],
        ""
    ),
    Horodatage!$A$2
)</f>
        <v>46233.670796365739</v>
      </c>
      <c r="P1291" s="1" t="str">
        <f>IFERROR(IF(tbl_Historique_Final[[#This Row],[Commentaires]]&lt;&gt;"",tbl_Historique_Final[[#This Row],[Commentaires]],""),"")</f>
        <v/>
      </c>
      <c r="X1291" s="8" t="str">
        <f>IF(Final_Sans_VGE[[#This Row],[ppn_z]]="","",IFERROR(
   IF(_xlfn.XLOOKUP(Final_Sans_VGE[[#This Row],[ppn_z]],tbl_Historique_Final[ppn_z],tbl_Historique_Final[date_modif])=Final_Sans_VGE[[#This Row],[date_modif]],
      "Ancien",
      "Modifié"),
   "Nouveau"))</f>
        <v>Ancien</v>
      </c>
      <c r="AC1291"/>
      <c r="AD1291"/>
    </row>
    <row r="1292" spans="1:30" x14ac:dyDescent="0.25">
      <c r="A1292" s="5" t="s">
        <v>4040</v>
      </c>
      <c r="B1292" s="1" t="s">
        <v>8931</v>
      </c>
      <c r="C1292" s="1" t="s">
        <v>136</v>
      </c>
      <c r="E1292" s="1" t="s">
        <v>8233</v>
      </c>
      <c r="G1292" s="1" t="s">
        <v>10</v>
      </c>
      <c r="J1292" s="3">
        <v>46085.799062500002</v>
      </c>
      <c r="K1292" s="2" t="s">
        <v>8704</v>
      </c>
      <c r="L1292" s="1">
        <v>4</v>
      </c>
      <c r="M1292" s="1">
        <v>4</v>
      </c>
      <c r="N1292">
        <v>0</v>
      </c>
      <c r="O1292" s="3">
        <f>IF(
    R1292="Ancien",
    _xlfn.XLOOKUP(
        Final_Sans_VGE[[#This Row],[ppn_z]],
        tbl_Historique_Final[ppn_z],
        tbl_Historique_Final[Horodatage],
        ""
    ),
    Horodatage!$A$2
)</f>
        <v>46233.670796365739</v>
      </c>
      <c r="P1292" s="1" t="str">
        <f>IFERROR(IF(tbl_Historique_Final[[#This Row],[Commentaires]]&lt;&gt;"",tbl_Historique_Final[[#This Row],[Commentaires]],""),"")</f>
        <v/>
      </c>
      <c r="X1292" s="8" t="str">
        <f>IF(Final_Sans_VGE[[#This Row],[ppn_z]]="","",IFERROR(
   IF(_xlfn.XLOOKUP(Final_Sans_VGE[[#This Row],[ppn_z]],tbl_Historique_Final[ppn_z],tbl_Historique_Final[date_modif])=Final_Sans_VGE[[#This Row],[date_modif]],
      "Ancien",
      "Modifié"),
   "Nouveau"))</f>
        <v>Ancien</v>
      </c>
      <c r="AC1292"/>
      <c r="AD1292"/>
    </row>
    <row r="1293" spans="1:30" x14ac:dyDescent="0.25">
      <c r="A1293" s="5" t="s">
        <v>4043</v>
      </c>
      <c r="B1293" s="1" t="s">
        <v>8932</v>
      </c>
      <c r="C1293" s="1" t="s">
        <v>8933</v>
      </c>
      <c r="D1293" s="1" t="s">
        <v>14</v>
      </c>
      <c r="E1293" s="1" t="s">
        <v>8568</v>
      </c>
      <c r="F1293" s="1" t="s">
        <v>14</v>
      </c>
      <c r="G1293" s="1" t="s">
        <v>10</v>
      </c>
      <c r="H1293" s="1" t="s">
        <v>22</v>
      </c>
      <c r="I1293" s="1" t="s">
        <v>22</v>
      </c>
      <c r="J1293" s="3">
        <v>46078.468263888892</v>
      </c>
      <c r="K1293" s="2" t="s">
        <v>8934</v>
      </c>
      <c r="L1293" s="1">
        <v>1</v>
      </c>
      <c r="M1293" s="1">
        <v>1</v>
      </c>
      <c r="N1293">
        <v>0</v>
      </c>
      <c r="O1293" s="3">
        <f>IF(
    R1293="Ancien",
    _xlfn.XLOOKUP(
        Final_Sans_VGE[[#This Row],[ppn_z]],
        tbl_Historique_Final[ppn_z],
        tbl_Historique_Final[Horodatage],
        ""
    ),
    Horodatage!$A$2
)</f>
        <v>46233.670796365739</v>
      </c>
      <c r="P1293" s="1" t="str">
        <f>IFERROR(IF(tbl_Historique_Final[[#This Row],[Commentaires]]&lt;&gt;"",tbl_Historique_Final[[#This Row],[Commentaires]],""),"")</f>
        <v/>
      </c>
      <c r="X1293" s="8" t="str">
        <f>IF(Final_Sans_VGE[[#This Row],[ppn_z]]="","",IFERROR(
   IF(_xlfn.XLOOKUP(Final_Sans_VGE[[#This Row],[ppn_z]],tbl_Historique_Final[ppn_z],tbl_Historique_Final[date_modif])=Final_Sans_VGE[[#This Row],[date_modif]],
      "Ancien",
      "Modifié"),
   "Nouveau"))</f>
        <v>Ancien</v>
      </c>
      <c r="AC1293"/>
      <c r="AD1293"/>
    </row>
    <row r="1294" spans="1:30" x14ac:dyDescent="0.25">
      <c r="A1294" s="5" t="s">
        <v>4046</v>
      </c>
      <c r="B1294" s="1" t="s">
        <v>8935</v>
      </c>
      <c r="C1294" s="1" t="s">
        <v>48</v>
      </c>
      <c r="G1294" s="1" t="s">
        <v>11</v>
      </c>
      <c r="J1294" s="3">
        <v>46090.695381944446</v>
      </c>
      <c r="K1294" s="2" t="s">
        <v>8936</v>
      </c>
      <c r="L1294" s="1">
        <v>1</v>
      </c>
      <c r="M1294" s="1">
        <v>1</v>
      </c>
      <c r="N1294">
        <v>0</v>
      </c>
      <c r="O1294" s="3">
        <f>IF(
    R1294="Ancien",
    _xlfn.XLOOKUP(
        Final_Sans_VGE[[#This Row],[ppn_z]],
        tbl_Historique_Final[ppn_z],
        tbl_Historique_Final[Horodatage],
        ""
    ),
    Horodatage!$A$2
)</f>
        <v>46233.670796365739</v>
      </c>
      <c r="P1294" s="1" t="str">
        <f>IFERROR(IF(tbl_Historique_Final[[#This Row],[Commentaires]]&lt;&gt;"",tbl_Historique_Final[[#This Row],[Commentaires]],""),"")</f>
        <v/>
      </c>
      <c r="X1294" s="8" t="str">
        <f>IF(Final_Sans_VGE[[#This Row],[ppn_z]]="","",IFERROR(
   IF(_xlfn.XLOOKUP(Final_Sans_VGE[[#This Row],[ppn_z]],tbl_Historique_Final[ppn_z],tbl_Historique_Final[date_modif])=Final_Sans_VGE[[#This Row],[date_modif]],
      "Ancien",
      "Modifié"),
   "Nouveau"))</f>
        <v>Ancien</v>
      </c>
      <c r="AC1294"/>
      <c r="AD1294"/>
    </row>
    <row r="1295" spans="1:30" ht="45" x14ac:dyDescent="0.25">
      <c r="A1295" s="5" t="s">
        <v>4049</v>
      </c>
      <c r="B1295" s="1" t="s">
        <v>8937</v>
      </c>
      <c r="C1295" s="1" t="s">
        <v>12</v>
      </c>
      <c r="G1295" s="1" t="s">
        <v>10</v>
      </c>
      <c r="J1295" s="3">
        <v>46058.467268518521</v>
      </c>
      <c r="K1295" s="2" t="s">
        <v>8938</v>
      </c>
      <c r="L1295" s="1">
        <v>1</v>
      </c>
      <c r="M1295" s="1">
        <v>1</v>
      </c>
      <c r="N1295">
        <v>0</v>
      </c>
      <c r="O1295" s="3">
        <f>IF(
    R1295="Ancien",
    _xlfn.XLOOKUP(
        Final_Sans_VGE[[#This Row],[ppn_z]],
        tbl_Historique_Final[ppn_z],
        tbl_Historique_Final[Horodatage],
        ""
    ),
    Horodatage!$A$2
)</f>
        <v>46233.670796365739</v>
      </c>
      <c r="P1295" s="1" t="str">
        <f>IFERROR(IF(tbl_Historique_Final[[#This Row],[Commentaires]]&lt;&gt;"",tbl_Historique_Final[[#This Row],[Commentaires]],""),"")</f>
        <v/>
      </c>
      <c r="X1295" s="8" t="str">
        <f>IF(Final_Sans_VGE[[#This Row],[ppn_z]]="","",IFERROR(
   IF(_xlfn.XLOOKUP(Final_Sans_VGE[[#This Row],[ppn_z]],tbl_Historique_Final[ppn_z],tbl_Historique_Final[date_modif])=Final_Sans_VGE[[#This Row],[date_modif]],
      "Ancien",
      "Modifié"),
   "Nouveau"))</f>
        <v>Ancien</v>
      </c>
      <c r="AC1295"/>
      <c r="AD1295"/>
    </row>
    <row r="1296" spans="1:30" ht="60" x14ac:dyDescent="0.25">
      <c r="A1296" s="5" t="s">
        <v>4052</v>
      </c>
      <c r="B1296" s="1" t="s">
        <v>8939</v>
      </c>
      <c r="C1296" s="1" t="s">
        <v>7506</v>
      </c>
      <c r="E1296" s="1" t="s">
        <v>137</v>
      </c>
      <c r="G1296" s="1" t="s">
        <v>10</v>
      </c>
      <c r="J1296" s="3">
        <v>46062.573645833334</v>
      </c>
      <c r="K1296" s="2" t="s">
        <v>8940</v>
      </c>
      <c r="L1296" s="1">
        <v>2</v>
      </c>
      <c r="M1296" s="1">
        <v>2</v>
      </c>
      <c r="N1296">
        <v>0</v>
      </c>
      <c r="O1296" s="3">
        <f>IF(
    R1296="Ancien",
    _xlfn.XLOOKUP(
        Final_Sans_VGE[[#This Row],[ppn_z]],
        tbl_Historique_Final[ppn_z],
        tbl_Historique_Final[Horodatage],
        ""
    ),
    Horodatage!$A$2
)</f>
        <v>46233.670796365739</v>
      </c>
      <c r="P1296" s="1" t="str">
        <f>IFERROR(IF(tbl_Historique_Final[[#This Row],[Commentaires]]&lt;&gt;"",tbl_Historique_Final[[#This Row],[Commentaires]],""),"")</f>
        <v/>
      </c>
      <c r="X1296" s="8" t="str">
        <f>IF(Final_Sans_VGE[[#This Row],[ppn_z]]="","",IFERROR(
   IF(_xlfn.XLOOKUP(Final_Sans_VGE[[#This Row],[ppn_z]],tbl_Historique_Final[ppn_z],tbl_Historique_Final[date_modif])=Final_Sans_VGE[[#This Row],[date_modif]],
      "Ancien",
      "Modifié"),
   "Nouveau"))</f>
        <v>Ancien</v>
      </c>
      <c r="AC1296"/>
      <c r="AD1296"/>
    </row>
    <row r="1297" spans="1:30" ht="45" x14ac:dyDescent="0.25">
      <c r="A1297" s="5" t="s">
        <v>4055</v>
      </c>
      <c r="B1297" s="1" t="s">
        <v>8941</v>
      </c>
      <c r="C1297" s="1" t="s">
        <v>97</v>
      </c>
      <c r="D1297" s="1" t="s">
        <v>7857</v>
      </c>
      <c r="E1297" s="1" t="s">
        <v>139</v>
      </c>
      <c r="F1297" s="1" t="s">
        <v>14</v>
      </c>
      <c r="G1297" s="1" t="s">
        <v>10</v>
      </c>
      <c r="H1297" s="1" t="s">
        <v>140</v>
      </c>
      <c r="I1297" s="1" t="s">
        <v>140</v>
      </c>
      <c r="J1297" s="3">
        <v>46058.594085648147</v>
      </c>
      <c r="K1297" s="2" t="s">
        <v>8942</v>
      </c>
      <c r="L1297" s="1">
        <v>61</v>
      </c>
      <c r="M1297" s="1">
        <v>65</v>
      </c>
      <c r="N1297">
        <v>4</v>
      </c>
      <c r="O1297" s="3">
        <f>IF(
    R1297="Ancien",
    _xlfn.XLOOKUP(
        Final_Sans_VGE[[#This Row],[ppn_z]],
        tbl_Historique_Final[ppn_z],
        tbl_Historique_Final[Horodatage],
        ""
    ),
    Horodatage!$A$2
)</f>
        <v>46233.670796365739</v>
      </c>
      <c r="P1297" s="1" t="str">
        <f>IFERROR(IF(tbl_Historique_Final[[#This Row],[Commentaires]]&lt;&gt;"",tbl_Historique_Final[[#This Row],[Commentaires]],""),"")</f>
        <v/>
      </c>
      <c r="X1297" s="8" t="str">
        <f>IF(Final_Sans_VGE[[#This Row],[ppn_z]]="","",IFERROR(
   IF(_xlfn.XLOOKUP(Final_Sans_VGE[[#This Row],[ppn_z]],tbl_Historique_Final[ppn_z],tbl_Historique_Final[date_modif])=Final_Sans_VGE[[#This Row],[date_modif]],
      "Ancien",
      "Modifié"),
   "Nouveau"))</f>
        <v>Ancien</v>
      </c>
      <c r="AC1297"/>
      <c r="AD1297"/>
    </row>
    <row r="1298" spans="1:30" x14ac:dyDescent="0.25">
      <c r="A1298" s="5" t="s">
        <v>4058</v>
      </c>
      <c r="B1298" s="1" t="s">
        <v>8943</v>
      </c>
      <c r="C1298" s="1" t="s">
        <v>6482</v>
      </c>
      <c r="G1298" s="1" t="s">
        <v>10</v>
      </c>
      <c r="J1298" s="3">
        <v>46105.4997337963</v>
      </c>
      <c r="K1298" s="2" t="s">
        <v>8944</v>
      </c>
      <c r="L1298" s="1">
        <v>13</v>
      </c>
      <c r="M1298" s="1">
        <v>14</v>
      </c>
      <c r="N1298">
        <v>1</v>
      </c>
      <c r="O1298" s="3">
        <f>IF(
    R1298="Ancien",
    _xlfn.XLOOKUP(
        Final_Sans_VGE[[#This Row],[ppn_z]],
        tbl_Historique_Final[ppn_z],
        tbl_Historique_Final[Horodatage],
        ""
    ),
    Horodatage!$A$2
)</f>
        <v>46233.670796365739</v>
      </c>
      <c r="P1298" s="1" t="str">
        <f>IFERROR(IF(tbl_Historique_Final[[#This Row],[Commentaires]]&lt;&gt;"",tbl_Historique_Final[[#This Row],[Commentaires]],""),"")</f>
        <v/>
      </c>
      <c r="X1298" s="8" t="str">
        <f>IF(Final_Sans_VGE[[#This Row],[ppn_z]]="","",IFERROR(
   IF(_xlfn.XLOOKUP(Final_Sans_VGE[[#This Row],[ppn_z]],tbl_Historique_Final[ppn_z],tbl_Historique_Final[date_modif])=Final_Sans_VGE[[#This Row],[date_modif]],
      "Ancien",
      "Modifié"),
   "Nouveau"))</f>
        <v>Ancien</v>
      </c>
      <c r="AC1298"/>
      <c r="AD1298"/>
    </row>
    <row r="1299" spans="1:30" x14ac:dyDescent="0.25">
      <c r="A1299" s="5" t="s">
        <v>4061</v>
      </c>
      <c r="B1299" s="1" t="s">
        <v>8945</v>
      </c>
      <c r="C1299" s="1" t="s">
        <v>95</v>
      </c>
      <c r="J1299" s="3">
        <v>45946.701261574075</v>
      </c>
      <c r="L1299" s="1">
        <v>17</v>
      </c>
      <c r="M1299" s="1">
        <v>19</v>
      </c>
      <c r="N1299">
        <v>2</v>
      </c>
      <c r="O1299" s="3">
        <f>IF(
    R1299="Ancien",
    _xlfn.XLOOKUP(
        Final_Sans_VGE[[#This Row],[ppn_z]],
        tbl_Historique_Final[ppn_z],
        tbl_Historique_Final[Horodatage],
        ""
    ),
    Horodatage!$A$2
)</f>
        <v>46233.670796365739</v>
      </c>
      <c r="P1299" s="1" t="str">
        <f>IFERROR(IF(tbl_Historique_Final[[#This Row],[Commentaires]]&lt;&gt;"",tbl_Historique_Final[[#This Row],[Commentaires]],""),"")</f>
        <v/>
      </c>
      <c r="X1299" s="8" t="str">
        <f>IF(Final_Sans_VGE[[#This Row],[ppn_z]]="","",IFERROR(
   IF(_xlfn.XLOOKUP(Final_Sans_VGE[[#This Row],[ppn_z]],tbl_Historique_Final[ppn_z],tbl_Historique_Final[date_modif])=Final_Sans_VGE[[#This Row],[date_modif]],
      "Ancien",
      "Modifié"),
   "Nouveau"))</f>
        <v>Ancien</v>
      </c>
      <c r="AC1299"/>
      <c r="AD1299"/>
    </row>
    <row r="1300" spans="1:30" x14ac:dyDescent="0.25">
      <c r="A1300" s="5" t="s">
        <v>4064</v>
      </c>
      <c r="B1300" s="1" t="s">
        <v>8946</v>
      </c>
      <c r="C1300" s="1" t="s">
        <v>6792</v>
      </c>
      <c r="E1300" s="1" t="s">
        <v>141</v>
      </c>
      <c r="F1300" s="1" t="s">
        <v>14</v>
      </c>
      <c r="G1300" s="1" t="s">
        <v>10</v>
      </c>
      <c r="H1300" s="1" t="s">
        <v>22</v>
      </c>
      <c r="I1300" s="1" t="s">
        <v>22</v>
      </c>
      <c r="J1300" s="3">
        <v>46098.624143518522</v>
      </c>
      <c r="K1300" s="2" t="s">
        <v>8947</v>
      </c>
      <c r="L1300" s="1">
        <v>236</v>
      </c>
      <c r="M1300" s="1">
        <v>249</v>
      </c>
      <c r="N1300">
        <v>13</v>
      </c>
      <c r="O1300" s="3">
        <f>IF(
    R1300="Ancien",
    _xlfn.XLOOKUP(
        Final_Sans_VGE[[#This Row],[ppn_z]],
        tbl_Historique_Final[ppn_z],
        tbl_Historique_Final[Horodatage],
        ""
    ),
    Horodatage!$A$2
)</f>
        <v>46233.670796365739</v>
      </c>
      <c r="P1300" s="1" t="str">
        <f>IFERROR(IF(tbl_Historique_Final[[#This Row],[Commentaires]]&lt;&gt;"",tbl_Historique_Final[[#This Row],[Commentaires]],""),"")</f>
        <v/>
      </c>
      <c r="X1300" s="8" t="str">
        <f>IF(Final_Sans_VGE[[#This Row],[ppn_z]]="","",IFERROR(
   IF(_xlfn.XLOOKUP(Final_Sans_VGE[[#This Row],[ppn_z]],tbl_Historique_Final[ppn_z],tbl_Historique_Final[date_modif])=Final_Sans_VGE[[#This Row],[date_modif]],
      "Ancien",
      "Modifié"),
   "Nouveau"))</f>
        <v>Ancien</v>
      </c>
      <c r="AC1300"/>
      <c r="AD1300"/>
    </row>
    <row r="1301" spans="1:30" ht="30" x14ac:dyDescent="0.25">
      <c r="A1301" s="5" t="s">
        <v>4067</v>
      </c>
      <c r="B1301" s="1" t="s">
        <v>8948</v>
      </c>
      <c r="C1301" s="1" t="s">
        <v>6783</v>
      </c>
      <c r="D1301" s="1" t="s">
        <v>14</v>
      </c>
      <c r="E1301" s="1" t="s">
        <v>92</v>
      </c>
      <c r="F1301" s="1" t="s">
        <v>8376</v>
      </c>
      <c r="G1301" s="1" t="s">
        <v>10</v>
      </c>
      <c r="H1301" s="1" t="s">
        <v>22</v>
      </c>
      <c r="I1301" s="1" t="s">
        <v>140</v>
      </c>
      <c r="J1301" s="3">
        <v>46059.564317129632</v>
      </c>
      <c r="K1301" s="2" t="s">
        <v>8949</v>
      </c>
      <c r="L1301" s="1">
        <v>67</v>
      </c>
      <c r="M1301" s="1">
        <v>75</v>
      </c>
      <c r="N1301">
        <v>8</v>
      </c>
      <c r="O1301" s="3">
        <f>IF(
    R1301="Ancien",
    _xlfn.XLOOKUP(
        Final_Sans_VGE[[#This Row],[ppn_z]],
        tbl_Historique_Final[ppn_z],
        tbl_Historique_Final[Horodatage],
        ""
    ),
    Horodatage!$A$2
)</f>
        <v>46233.670796365739</v>
      </c>
      <c r="P1301" s="1" t="str">
        <f>IFERROR(IF(tbl_Historique_Final[[#This Row],[Commentaires]]&lt;&gt;"",tbl_Historique_Final[[#This Row],[Commentaires]],""),"")</f>
        <v/>
      </c>
      <c r="X1301" s="8" t="str">
        <f>IF(Final_Sans_VGE[[#This Row],[ppn_z]]="","",IFERROR(
   IF(_xlfn.XLOOKUP(Final_Sans_VGE[[#This Row],[ppn_z]],tbl_Historique_Final[ppn_z],tbl_Historique_Final[date_modif])=Final_Sans_VGE[[#This Row],[date_modif]],
      "Ancien",
      "Modifié"),
   "Nouveau"))</f>
        <v>Ancien</v>
      </c>
      <c r="AC1301"/>
      <c r="AD1301"/>
    </row>
    <row r="1302" spans="1:30" x14ac:dyDescent="0.25">
      <c r="A1302" s="5" t="s">
        <v>4070</v>
      </c>
      <c r="B1302" s="1" t="s">
        <v>8950</v>
      </c>
      <c r="C1302" s="1" t="s">
        <v>78</v>
      </c>
      <c r="G1302" s="1" t="s">
        <v>11</v>
      </c>
      <c r="J1302" s="3">
        <v>46086.634942129633</v>
      </c>
      <c r="K1302" s="2" t="s">
        <v>8951</v>
      </c>
      <c r="L1302" s="1">
        <v>2</v>
      </c>
      <c r="M1302" s="1">
        <v>2</v>
      </c>
      <c r="N1302">
        <v>0</v>
      </c>
      <c r="O1302" s="3">
        <f>IF(
    R1302="Ancien",
    _xlfn.XLOOKUP(
        Final_Sans_VGE[[#This Row],[ppn_z]],
        tbl_Historique_Final[ppn_z],
        tbl_Historique_Final[Horodatage],
        ""
    ),
    Horodatage!$A$2
)</f>
        <v>46233.670796365739</v>
      </c>
      <c r="P1302" s="1" t="str">
        <f>IFERROR(IF(tbl_Historique_Final[[#This Row],[Commentaires]]&lt;&gt;"",tbl_Historique_Final[[#This Row],[Commentaires]],""),"")</f>
        <v/>
      </c>
      <c r="X1302" s="8" t="str">
        <f>IF(Final_Sans_VGE[[#This Row],[ppn_z]]="","",IFERROR(
   IF(_xlfn.XLOOKUP(Final_Sans_VGE[[#This Row],[ppn_z]],tbl_Historique_Final[ppn_z],tbl_Historique_Final[date_modif])=Final_Sans_VGE[[#This Row],[date_modif]],
      "Ancien",
      "Modifié"),
   "Nouveau"))</f>
        <v>Ancien</v>
      </c>
      <c r="AC1302"/>
      <c r="AD1302"/>
    </row>
    <row r="1303" spans="1:30" x14ac:dyDescent="0.25">
      <c r="A1303" s="5" t="s">
        <v>4073</v>
      </c>
      <c r="B1303" s="1" t="s">
        <v>8952</v>
      </c>
      <c r="C1303" s="1" t="s">
        <v>8953</v>
      </c>
      <c r="D1303" s="1" t="s">
        <v>14</v>
      </c>
      <c r="E1303" s="1" t="s">
        <v>7652</v>
      </c>
      <c r="F1303" s="1" t="s">
        <v>14</v>
      </c>
      <c r="G1303" s="1" t="s">
        <v>10</v>
      </c>
      <c r="H1303" s="1" t="s">
        <v>22</v>
      </c>
      <c r="I1303" s="1" t="s">
        <v>22</v>
      </c>
      <c r="J1303" s="3">
        <v>46058.615243055552</v>
      </c>
      <c r="K1303" s="2" t="s">
        <v>8954</v>
      </c>
      <c r="L1303" s="1">
        <v>71</v>
      </c>
      <c r="M1303" s="1">
        <v>71</v>
      </c>
      <c r="N1303">
        <v>0</v>
      </c>
      <c r="O1303" s="3">
        <f>IF(
    R1303="Ancien",
    _xlfn.XLOOKUP(
        Final_Sans_VGE[[#This Row],[ppn_z]],
        tbl_Historique_Final[ppn_z],
        tbl_Historique_Final[Horodatage],
        ""
    ),
    Horodatage!$A$2
)</f>
        <v>46233.670796365739</v>
      </c>
      <c r="P1303" s="1" t="str">
        <f>IFERROR(IF(tbl_Historique_Final[[#This Row],[Commentaires]]&lt;&gt;"",tbl_Historique_Final[[#This Row],[Commentaires]],""),"")</f>
        <v/>
      </c>
      <c r="X1303" s="8" t="str">
        <f>IF(Final_Sans_VGE[[#This Row],[ppn_z]]="","",IFERROR(
   IF(_xlfn.XLOOKUP(Final_Sans_VGE[[#This Row],[ppn_z]],tbl_Historique_Final[ppn_z],tbl_Historique_Final[date_modif])=Final_Sans_VGE[[#This Row],[date_modif]],
      "Ancien",
      "Modifié"),
   "Nouveau"))</f>
        <v>Ancien</v>
      </c>
      <c r="AC1303"/>
      <c r="AD1303"/>
    </row>
    <row r="1304" spans="1:30" x14ac:dyDescent="0.25">
      <c r="A1304" s="5" t="s">
        <v>4076</v>
      </c>
      <c r="B1304" s="1" t="s">
        <v>8955</v>
      </c>
      <c r="C1304" s="1" t="s">
        <v>72</v>
      </c>
      <c r="D1304" s="1" t="s">
        <v>8956</v>
      </c>
      <c r="G1304" s="1" t="s">
        <v>11</v>
      </c>
      <c r="H1304" s="1" t="s">
        <v>22</v>
      </c>
      <c r="I1304" s="1" t="s">
        <v>22</v>
      </c>
      <c r="J1304" s="3">
        <v>46090.344097222223</v>
      </c>
      <c r="K1304" s="2" t="s">
        <v>8957</v>
      </c>
      <c r="L1304" s="1">
        <v>53</v>
      </c>
      <c r="M1304" s="1">
        <v>62</v>
      </c>
      <c r="N1304">
        <v>9</v>
      </c>
      <c r="O1304" s="3">
        <f>IF(
    R1304="Ancien",
    _xlfn.XLOOKUP(
        Final_Sans_VGE[[#This Row],[ppn_z]],
        tbl_Historique_Final[ppn_z],
        tbl_Historique_Final[Horodatage],
        ""
    ),
    Horodatage!$A$2
)</f>
        <v>46233.670796365739</v>
      </c>
      <c r="P1304" s="1" t="str">
        <f>IFERROR(IF(tbl_Historique_Final[[#This Row],[Commentaires]]&lt;&gt;"",tbl_Historique_Final[[#This Row],[Commentaires]],""),"")</f>
        <v/>
      </c>
      <c r="X1304" s="8" t="str">
        <f>IF(Final_Sans_VGE[[#This Row],[ppn_z]]="","",IFERROR(
   IF(_xlfn.XLOOKUP(Final_Sans_VGE[[#This Row],[ppn_z]],tbl_Historique_Final[ppn_z],tbl_Historique_Final[date_modif])=Final_Sans_VGE[[#This Row],[date_modif]],
      "Ancien",
      "Modifié"),
   "Nouveau"))</f>
        <v>Ancien</v>
      </c>
      <c r="AC1304"/>
      <c r="AD1304"/>
    </row>
    <row r="1305" spans="1:30" x14ac:dyDescent="0.25">
      <c r="A1305" s="5" t="s">
        <v>4079</v>
      </c>
      <c r="B1305" s="1" t="s">
        <v>8958</v>
      </c>
      <c r="C1305" s="1" t="s">
        <v>166</v>
      </c>
      <c r="D1305" s="1" t="s">
        <v>14</v>
      </c>
      <c r="E1305" s="1" t="s">
        <v>8959</v>
      </c>
      <c r="F1305" s="1" t="s">
        <v>14</v>
      </c>
      <c r="G1305" s="1" t="s">
        <v>10</v>
      </c>
      <c r="H1305" s="1" t="s">
        <v>22</v>
      </c>
      <c r="I1305" s="1" t="s">
        <v>22</v>
      </c>
      <c r="J1305" s="3">
        <v>46086.656527777777</v>
      </c>
      <c r="K1305" s="2" t="s">
        <v>8960</v>
      </c>
      <c r="L1305" s="1">
        <v>49</v>
      </c>
      <c r="N1305"/>
      <c r="O1305" s="3">
        <f>IF(
    R1305="Ancien",
    _xlfn.XLOOKUP(
        Final_Sans_VGE[[#This Row],[ppn_z]],
        tbl_Historique_Final[ppn_z],
        tbl_Historique_Final[Horodatage],
        ""
    ),
    Horodatage!$A$2
)</f>
        <v>46233.670796365739</v>
      </c>
      <c r="P1305" s="1" t="str">
        <f>IFERROR(IF(tbl_Historique_Final[[#This Row],[Commentaires]]&lt;&gt;"",tbl_Historique_Final[[#This Row],[Commentaires]],""),"")</f>
        <v/>
      </c>
      <c r="X1305" s="8" t="str">
        <f>IF(Final_Sans_VGE[[#This Row],[ppn_z]]="","",IFERROR(
   IF(_xlfn.XLOOKUP(Final_Sans_VGE[[#This Row],[ppn_z]],tbl_Historique_Final[ppn_z],tbl_Historique_Final[date_modif])=Final_Sans_VGE[[#This Row],[date_modif]],
      "Ancien",
      "Modifié"),
   "Nouveau"))</f>
        <v>Ancien</v>
      </c>
      <c r="AC1305"/>
      <c r="AD1305"/>
    </row>
    <row r="1306" spans="1:30" x14ac:dyDescent="0.25">
      <c r="A1306" s="5" t="s">
        <v>4082</v>
      </c>
      <c r="B1306" s="1" t="s">
        <v>8961</v>
      </c>
      <c r="C1306" s="1" t="s">
        <v>8210</v>
      </c>
      <c r="D1306" s="1" t="s">
        <v>14</v>
      </c>
      <c r="E1306" s="1" t="s">
        <v>129</v>
      </c>
      <c r="F1306" s="1" t="s">
        <v>14</v>
      </c>
      <c r="G1306" s="1" t="s">
        <v>10</v>
      </c>
      <c r="H1306" s="1" t="s">
        <v>22</v>
      </c>
      <c r="I1306" s="1" t="s">
        <v>140</v>
      </c>
      <c r="J1306" s="3">
        <v>46058.627534722225</v>
      </c>
      <c r="L1306" s="1">
        <v>82</v>
      </c>
      <c r="M1306" s="1">
        <v>91</v>
      </c>
      <c r="N1306">
        <v>9</v>
      </c>
      <c r="O1306" s="3">
        <f>IF(
    R1306="Ancien",
    _xlfn.XLOOKUP(
        Final_Sans_VGE[[#This Row],[ppn_z]],
        tbl_Historique_Final[ppn_z],
        tbl_Historique_Final[Horodatage],
        ""
    ),
    Horodatage!$A$2
)</f>
        <v>46233.670796365739</v>
      </c>
      <c r="P1306" s="1" t="str">
        <f>IFERROR(IF(tbl_Historique_Final[[#This Row],[Commentaires]]&lt;&gt;"",tbl_Historique_Final[[#This Row],[Commentaires]],""),"")</f>
        <v/>
      </c>
      <c r="X1306" s="8" t="str">
        <f>IF(Final_Sans_VGE[[#This Row],[ppn_z]]="","",IFERROR(
   IF(_xlfn.XLOOKUP(Final_Sans_VGE[[#This Row],[ppn_z]],tbl_Historique_Final[ppn_z],tbl_Historique_Final[date_modif])=Final_Sans_VGE[[#This Row],[date_modif]],
      "Ancien",
      "Modifié"),
   "Nouveau"))</f>
        <v>Ancien</v>
      </c>
      <c r="AC1306"/>
      <c r="AD1306"/>
    </row>
    <row r="1307" spans="1:30" x14ac:dyDescent="0.25">
      <c r="A1307" s="5" t="s">
        <v>4085</v>
      </c>
      <c r="B1307" s="1" t="s">
        <v>8962</v>
      </c>
      <c r="C1307" s="1" t="s">
        <v>12</v>
      </c>
      <c r="G1307" s="1" t="s">
        <v>10</v>
      </c>
      <c r="H1307" s="1" t="s">
        <v>22</v>
      </c>
      <c r="I1307" s="1" t="s">
        <v>8008</v>
      </c>
      <c r="J1307" s="3">
        <v>46105.498715277776</v>
      </c>
      <c r="K1307" s="2" t="s">
        <v>8963</v>
      </c>
      <c r="L1307" s="1">
        <v>18</v>
      </c>
      <c r="M1307" s="1">
        <v>18</v>
      </c>
      <c r="N1307">
        <v>0</v>
      </c>
      <c r="O1307" s="3">
        <f>IF(
    R1307="Ancien",
    _xlfn.XLOOKUP(
        Final_Sans_VGE[[#This Row],[ppn_z]],
        tbl_Historique_Final[ppn_z],
        tbl_Historique_Final[Horodatage],
        ""
    ),
    Horodatage!$A$2
)</f>
        <v>46233.670796365739</v>
      </c>
      <c r="P1307" s="1" t="str">
        <f>IFERROR(IF(tbl_Historique_Final[[#This Row],[Commentaires]]&lt;&gt;"",tbl_Historique_Final[[#This Row],[Commentaires]],""),"")</f>
        <v/>
      </c>
      <c r="X1307" s="8" t="str">
        <f>IF(Final_Sans_VGE[[#This Row],[ppn_z]]="","",IFERROR(
   IF(_xlfn.XLOOKUP(Final_Sans_VGE[[#This Row],[ppn_z]],tbl_Historique_Final[ppn_z],tbl_Historique_Final[date_modif])=Final_Sans_VGE[[#This Row],[date_modif]],
      "Ancien",
      "Modifié"),
   "Nouveau"))</f>
        <v>Ancien</v>
      </c>
      <c r="AC1307"/>
      <c r="AD1307"/>
    </row>
    <row r="1308" spans="1:30" x14ac:dyDescent="0.25">
      <c r="A1308" s="5" t="s">
        <v>4088</v>
      </c>
      <c r="B1308" s="1" t="s">
        <v>8964</v>
      </c>
      <c r="C1308" s="1" t="s">
        <v>59</v>
      </c>
      <c r="J1308" s="3">
        <v>45953.669965277775</v>
      </c>
      <c r="L1308" s="1">
        <v>2</v>
      </c>
      <c r="M1308" s="1">
        <v>2</v>
      </c>
      <c r="N1308">
        <v>0</v>
      </c>
      <c r="O1308" s="3">
        <f>IF(
    R1308="Ancien",
    _xlfn.XLOOKUP(
        Final_Sans_VGE[[#This Row],[ppn_z]],
        tbl_Historique_Final[ppn_z],
        tbl_Historique_Final[Horodatage],
        ""
    ),
    Horodatage!$A$2
)</f>
        <v>46233.670796365739</v>
      </c>
      <c r="P1308" s="1" t="str">
        <f>IFERROR(IF(tbl_Historique_Final[[#This Row],[Commentaires]]&lt;&gt;"",tbl_Historique_Final[[#This Row],[Commentaires]],""),"")</f>
        <v/>
      </c>
      <c r="X1308" s="8" t="str">
        <f>IF(Final_Sans_VGE[[#This Row],[ppn_z]]="","",IFERROR(
   IF(_xlfn.XLOOKUP(Final_Sans_VGE[[#This Row],[ppn_z]],tbl_Historique_Final[ppn_z],tbl_Historique_Final[date_modif])=Final_Sans_VGE[[#This Row],[date_modif]],
      "Ancien",
      "Modifié"),
   "Nouveau"))</f>
        <v>Ancien</v>
      </c>
      <c r="AC1308"/>
      <c r="AD1308"/>
    </row>
    <row r="1309" spans="1:30" x14ac:dyDescent="0.25">
      <c r="A1309" s="5" t="s">
        <v>4091</v>
      </c>
      <c r="B1309" s="1" t="s">
        <v>8965</v>
      </c>
      <c r="C1309" s="1" t="s">
        <v>6406</v>
      </c>
      <c r="D1309" s="1" t="s">
        <v>8526</v>
      </c>
      <c r="G1309" s="1" t="s">
        <v>10</v>
      </c>
      <c r="H1309" s="1" t="s">
        <v>22</v>
      </c>
      <c r="I1309" s="1" t="s">
        <v>22</v>
      </c>
      <c r="J1309" s="3">
        <v>46080.617893518516</v>
      </c>
      <c r="K1309" s="2" t="s">
        <v>8966</v>
      </c>
      <c r="L1309" s="1">
        <v>4</v>
      </c>
      <c r="M1309" s="1">
        <v>4</v>
      </c>
      <c r="N1309">
        <v>0</v>
      </c>
      <c r="O1309" s="3">
        <f>IF(
    R1309="Ancien",
    _xlfn.XLOOKUP(
        Final_Sans_VGE[[#This Row],[ppn_z]],
        tbl_Historique_Final[ppn_z],
        tbl_Historique_Final[Horodatage],
        ""
    ),
    Horodatage!$A$2
)</f>
        <v>46233.670796365739</v>
      </c>
      <c r="P1309" s="1" t="str">
        <f>IFERROR(IF(tbl_Historique_Final[[#This Row],[Commentaires]]&lt;&gt;"",tbl_Historique_Final[[#This Row],[Commentaires]],""),"")</f>
        <v/>
      </c>
      <c r="X1309" s="8" t="str">
        <f>IF(Final_Sans_VGE[[#This Row],[ppn_z]]="","",IFERROR(
   IF(_xlfn.XLOOKUP(Final_Sans_VGE[[#This Row],[ppn_z]],tbl_Historique_Final[ppn_z],tbl_Historique_Final[date_modif])=Final_Sans_VGE[[#This Row],[date_modif]],
      "Ancien",
      "Modifié"),
   "Nouveau"))</f>
        <v>Ancien</v>
      </c>
      <c r="AC1309"/>
      <c r="AD1309"/>
    </row>
    <row r="1310" spans="1:30" ht="45" x14ac:dyDescent="0.25">
      <c r="A1310" s="5" t="s">
        <v>4094</v>
      </c>
      <c r="B1310" s="1" t="s">
        <v>8967</v>
      </c>
      <c r="C1310" s="1" t="s">
        <v>8685</v>
      </c>
      <c r="D1310" s="1" t="s">
        <v>8968</v>
      </c>
      <c r="E1310" s="1" t="s">
        <v>139</v>
      </c>
      <c r="F1310" s="1" t="s">
        <v>8301</v>
      </c>
      <c r="G1310" s="1" t="s">
        <v>10</v>
      </c>
      <c r="H1310" s="1" t="s">
        <v>22</v>
      </c>
      <c r="I1310" s="1" t="s">
        <v>8969</v>
      </c>
      <c r="J1310" s="3">
        <v>46065.657071759262</v>
      </c>
      <c r="K1310" s="2" t="s">
        <v>8970</v>
      </c>
      <c r="L1310" s="1">
        <v>10</v>
      </c>
      <c r="M1310" s="1">
        <v>11</v>
      </c>
      <c r="N1310">
        <v>1</v>
      </c>
      <c r="O1310" s="3">
        <f>IF(
    R1310="Ancien",
    _xlfn.XLOOKUP(
        Final_Sans_VGE[[#This Row],[ppn_z]],
        tbl_Historique_Final[ppn_z],
        tbl_Historique_Final[Horodatage],
        ""
    ),
    Horodatage!$A$2
)</f>
        <v>46233.670796365739</v>
      </c>
      <c r="P1310" s="1" t="str">
        <f>IFERROR(IF(tbl_Historique_Final[[#This Row],[Commentaires]]&lt;&gt;"",tbl_Historique_Final[[#This Row],[Commentaires]],""),"")</f>
        <v/>
      </c>
      <c r="X1310" s="8" t="str">
        <f>IF(Final_Sans_VGE[[#This Row],[ppn_z]]="","",IFERROR(
   IF(_xlfn.XLOOKUP(Final_Sans_VGE[[#This Row],[ppn_z]],tbl_Historique_Final[ppn_z],tbl_Historique_Final[date_modif])=Final_Sans_VGE[[#This Row],[date_modif]],
      "Ancien",
      "Modifié"),
   "Nouveau"))</f>
        <v>Ancien</v>
      </c>
      <c r="AC1310"/>
      <c r="AD1310"/>
    </row>
    <row r="1311" spans="1:30" x14ac:dyDescent="0.25">
      <c r="A1311" s="5" t="s">
        <v>4097</v>
      </c>
      <c r="B1311" s="1" t="s">
        <v>8971</v>
      </c>
      <c r="C1311" s="1" t="s">
        <v>8972</v>
      </c>
      <c r="D1311" s="1" t="s">
        <v>14</v>
      </c>
      <c r="E1311" s="1" t="s">
        <v>79</v>
      </c>
      <c r="F1311" s="1" t="s">
        <v>14</v>
      </c>
      <c r="G1311" s="1" t="s">
        <v>10</v>
      </c>
      <c r="H1311" s="1" t="s">
        <v>22</v>
      </c>
      <c r="I1311" s="1" t="s">
        <v>22</v>
      </c>
      <c r="J1311" s="3">
        <v>46059.646585648145</v>
      </c>
      <c r="K1311" s="2" t="s">
        <v>8973</v>
      </c>
      <c r="L1311" s="1">
        <v>5</v>
      </c>
      <c r="M1311" s="1">
        <v>5</v>
      </c>
      <c r="N1311">
        <v>0</v>
      </c>
      <c r="O1311" s="3">
        <f>IF(
    R1311="Ancien",
    _xlfn.XLOOKUP(
        Final_Sans_VGE[[#This Row],[ppn_z]],
        tbl_Historique_Final[ppn_z],
        tbl_Historique_Final[Horodatage],
        ""
    ),
    Horodatage!$A$2
)</f>
        <v>46233.670796365739</v>
      </c>
      <c r="P1311" s="1" t="str">
        <f>IFERROR(IF(tbl_Historique_Final[[#This Row],[Commentaires]]&lt;&gt;"",tbl_Historique_Final[[#This Row],[Commentaires]],""),"")</f>
        <v/>
      </c>
      <c r="X1311" s="8" t="str">
        <f>IF(Final_Sans_VGE[[#This Row],[ppn_z]]="","",IFERROR(
   IF(_xlfn.XLOOKUP(Final_Sans_VGE[[#This Row],[ppn_z]],tbl_Historique_Final[ppn_z],tbl_Historique_Final[date_modif])=Final_Sans_VGE[[#This Row],[date_modif]],
      "Ancien",
      "Modifié"),
   "Nouveau"))</f>
        <v>Ancien</v>
      </c>
      <c r="AC1311"/>
      <c r="AD1311"/>
    </row>
    <row r="1312" spans="1:30" x14ac:dyDescent="0.25">
      <c r="A1312" s="5" t="s">
        <v>4100</v>
      </c>
      <c r="B1312" s="1" t="s">
        <v>8974</v>
      </c>
      <c r="C1312" s="1" t="s">
        <v>12</v>
      </c>
      <c r="G1312" s="1" t="s">
        <v>10</v>
      </c>
      <c r="J1312" s="3">
        <v>46058.79923611111</v>
      </c>
      <c r="K1312" s="2" t="s">
        <v>8975</v>
      </c>
      <c r="L1312" s="1">
        <v>6</v>
      </c>
      <c r="M1312" s="1">
        <v>6</v>
      </c>
      <c r="N1312">
        <v>0</v>
      </c>
      <c r="O1312" s="3">
        <f>IF(
    R1312="Ancien",
    _xlfn.XLOOKUP(
        Final_Sans_VGE[[#This Row],[ppn_z]],
        tbl_Historique_Final[ppn_z],
        tbl_Historique_Final[Horodatage],
        ""
    ),
    Horodatage!$A$2
)</f>
        <v>46233.670796365739</v>
      </c>
      <c r="P1312" s="1" t="str">
        <f>IFERROR(IF(tbl_Historique_Final[[#This Row],[Commentaires]]&lt;&gt;"",tbl_Historique_Final[[#This Row],[Commentaires]],""),"")</f>
        <v/>
      </c>
      <c r="X1312" s="8" t="str">
        <f>IF(Final_Sans_VGE[[#This Row],[ppn_z]]="","",IFERROR(
   IF(_xlfn.XLOOKUP(Final_Sans_VGE[[#This Row],[ppn_z]],tbl_Historique_Final[ppn_z],tbl_Historique_Final[date_modif])=Final_Sans_VGE[[#This Row],[date_modif]],
      "Ancien",
      "Modifié"),
   "Nouveau"))</f>
        <v>Ancien</v>
      </c>
      <c r="AC1312"/>
      <c r="AD1312"/>
    </row>
    <row r="1313" spans="1:30" x14ac:dyDescent="0.25">
      <c r="A1313" s="5" t="s">
        <v>4103</v>
      </c>
      <c r="B1313" s="1" t="s">
        <v>8976</v>
      </c>
      <c r="C1313" s="1" t="s">
        <v>60</v>
      </c>
      <c r="D1313" s="1" t="s">
        <v>8025</v>
      </c>
      <c r="E1313" s="1" t="s">
        <v>7090</v>
      </c>
      <c r="F1313" s="1" t="s">
        <v>14</v>
      </c>
      <c r="G1313" s="1" t="s">
        <v>10</v>
      </c>
      <c r="H1313" s="1" t="s">
        <v>10480</v>
      </c>
      <c r="I1313" s="1" t="s">
        <v>8977</v>
      </c>
      <c r="J1313" s="3">
        <v>46070.593761574077</v>
      </c>
      <c r="K1313" s="2" t="s">
        <v>8978</v>
      </c>
      <c r="L1313" s="1">
        <v>3</v>
      </c>
      <c r="M1313" s="1">
        <v>5</v>
      </c>
      <c r="N1313">
        <v>2</v>
      </c>
      <c r="O1313" s="3">
        <f>IF(
    R1313="Ancien",
    _xlfn.XLOOKUP(
        Final_Sans_VGE[[#This Row],[ppn_z]],
        tbl_Historique_Final[ppn_z],
        tbl_Historique_Final[Horodatage],
        ""
    ),
    Horodatage!$A$2
)</f>
        <v>46233.670796365739</v>
      </c>
      <c r="P1313" s="1" t="str">
        <f>IFERROR(IF(tbl_Historique_Final[[#This Row],[Commentaires]]&lt;&gt;"",tbl_Historique_Final[[#This Row],[Commentaires]],""),"")</f>
        <v/>
      </c>
      <c r="X1313" s="8" t="str">
        <f>IF(Final_Sans_VGE[[#This Row],[ppn_z]]="","",IFERROR(
   IF(_xlfn.XLOOKUP(Final_Sans_VGE[[#This Row],[ppn_z]],tbl_Historique_Final[ppn_z],tbl_Historique_Final[date_modif])=Final_Sans_VGE[[#This Row],[date_modif]],
      "Ancien",
      "Modifié"),
   "Nouveau"))</f>
        <v>Ancien</v>
      </c>
      <c r="AC1313"/>
      <c r="AD1313"/>
    </row>
    <row r="1314" spans="1:30" x14ac:dyDescent="0.25">
      <c r="A1314" s="5" t="s">
        <v>4106</v>
      </c>
      <c r="B1314" s="1" t="s">
        <v>8979</v>
      </c>
      <c r="C1314" s="1" t="s">
        <v>12</v>
      </c>
      <c r="G1314" s="1" t="s">
        <v>11</v>
      </c>
      <c r="J1314" s="3">
        <v>46058.79923611111</v>
      </c>
      <c r="K1314" s="2" t="s">
        <v>8980</v>
      </c>
      <c r="L1314" s="1">
        <v>3</v>
      </c>
      <c r="M1314" s="1">
        <v>3</v>
      </c>
      <c r="N1314">
        <v>0</v>
      </c>
      <c r="O1314" s="3">
        <f>IF(
    R1314="Ancien",
    _xlfn.XLOOKUP(
        Final_Sans_VGE[[#This Row],[ppn_z]],
        tbl_Historique_Final[ppn_z],
        tbl_Historique_Final[Horodatage],
        ""
    ),
    Horodatage!$A$2
)</f>
        <v>46233.670796365739</v>
      </c>
      <c r="P1314" s="1" t="str">
        <f>IFERROR(IF(tbl_Historique_Final[[#This Row],[Commentaires]]&lt;&gt;"",tbl_Historique_Final[[#This Row],[Commentaires]],""),"")</f>
        <v/>
      </c>
      <c r="X1314" s="8" t="str">
        <f>IF(Final_Sans_VGE[[#This Row],[ppn_z]]="","",IFERROR(
   IF(_xlfn.XLOOKUP(Final_Sans_VGE[[#This Row],[ppn_z]],tbl_Historique_Final[ppn_z],tbl_Historique_Final[date_modif])=Final_Sans_VGE[[#This Row],[date_modif]],
      "Ancien",
      "Modifié"),
   "Nouveau"))</f>
        <v>Ancien</v>
      </c>
      <c r="AC1314"/>
      <c r="AD1314"/>
    </row>
    <row r="1315" spans="1:30" ht="30" x14ac:dyDescent="0.25">
      <c r="A1315" s="5" t="s">
        <v>4109</v>
      </c>
      <c r="B1315" s="1" t="s">
        <v>8981</v>
      </c>
      <c r="C1315" s="1" t="s">
        <v>123</v>
      </c>
      <c r="J1315" s="3">
        <v>46105.750613425924</v>
      </c>
      <c r="K1315" s="2" t="s">
        <v>8982</v>
      </c>
      <c r="L1315" s="1">
        <v>4</v>
      </c>
      <c r="M1315" s="1">
        <v>5</v>
      </c>
      <c r="N1315">
        <v>1</v>
      </c>
      <c r="O1315" s="3">
        <f>IF(
    R1315="Ancien",
    _xlfn.XLOOKUP(
        Final_Sans_VGE[[#This Row],[ppn_z]],
        tbl_Historique_Final[ppn_z],
        tbl_Historique_Final[Horodatage],
        ""
    ),
    Horodatage!$A$2
)</f>
        <v>46233.670796365739</v>
      </c>
      <c r="P1315" s="1" t="str">
        <f>IFERROR(IF(tbl_Historique_Final[[#This Row],[Commentaires]]&lt;&gt;"",tbl_Historique_Final[[#This Row],[Commentaires]],""),"")</f>
        <v/>
      </c>
      <c r="X1315" s="8" t="str">
        <f>IF(Final_Sans_VGE[[#This Row],[ppn_z]]="","",IFERROR(
   IF(_xlfn.XLOOKUP(Final_Sans_VGE[[#This Row],[ppn_z]],tbl_Historique_Final[ppn_z],tbl_Historique_Final[date_modif])=Final_Sans_VGE[[#This Row],[date_modif]],
      "Ancien",
      "Modifié"),
   "Nouveau"))</f>
        <v>Ancien</v>
      </c>
      <c r="AC1315"/>
      <c r="AD1315"/>
    </row>
    <row r="1316" spans="1:30" ht="30" x14ac:dyDescent="0.25">
      <c r="A1316" s="5" t="s">
        <v>4112</v>
      </c>
      <c r="B1316" s="1" t="s">
        <v>8983</v>
      </c>
      <c r="C1316" s="1" t="s">
        <v>7997</v>
      </c>
      <c r="D1316" s="1" t="s">
        <v>8984</v>
      </c>
      <c r="E1316" s="1" t="s">
        <v>63</v>
      </c>
      <c r="F1316" s="1" t="s">
        <v>14</v>
      </c>
      <c r="G1316" s="1" t="s">
        <v>10</v>
      </c>
      <c r="H1316" s="1" t="s">
        <v>22</v>
      </c>
      <c r="I1316" s="1" t="s">
        <v>22</v>
      </c>
      <c r="J1316" s="3">
        <v>46065.63863425926</v>
      </c>
      <c r="K1316" s="2" t="s">
        <v>8985</v>
      </c>
      <c r="L1316" s="1">
        <v>88</v>
      </c>
      <c r="M1316" s="1">
        <v>91</v>
      </c>
      <c r="N1316">
        <v>3</v>
      </c>
      <c r="O1316" s="3">
        <f>IF(
    R1316="Ancien",
    _xlfn.XLOOKUP(
        Final_Sans_VGE[[#This Row],[ppn_z]],
        tbl_Historique_Final[ppn_z],
        tbl_Historique_Final[Horodatage],
        ""
    ),
    Horodatage!$A$2
)</f>
        <v>46233.670796365739</v>
      </c>
      <c r="P1316" s="1" t="str">
        <f>IFERROR(IF(tbl_Historique_Final[[#This Row],[Commentaires]]&lt;&gt;"",tbl_Historique_Final[[#This Row],[Commentaires]],""),"")</f>
        <v/>
      </c>
      <c r="X1316" s="8" t="str">
        <f>IF(Final_Sans_VGE[[#This Row],[ppn_z]]="","",IFERROR(
   IF(_xlfn.XLOOKUP(Final_Sans_VGE[[#This Row],[ppn_z]],tbl_Historique_Final[ppn_z],tbl_Historique_Final[date_modif])=Final_Sans_VGE[[#This Row],[date_modif]],
      "Ancien",
      "Modifié"),
   "Nouveau"))</f>
        <v>Ancien</v>
      </c>
      <c r="AC1316"/>
      <c r="AD1316"/>
    </row>
    <row r="1317" spans="1:30" ht="30" x14ac:dyDescent="0.25">
      <c r="A1317" s="5" t="s">
        <v>4115</v>
      </c>
      <c r="B1317" s="1" t="s">
        <v>8986</v>
      </c>
      <c r="C1317" s="1" t="s">
        <v>7496</v>
      </c>
      <c r="D1317" s="1" t="s">
        <v>14</v>
      </c>
      <c r="E1317" s="1" t="s">
        <v>53</v>
      </c>
      <c r="F1317" s="1" t="s">
        <v>14</v>
      </c>
      <c r="G1317" s="1" t="s">
        <v>10</v>
      </c>
      <c r="H1317" s="1" t="s">
        <v>140</v>
      </c>
      <c r="I1317" s="1" t="s">
        <v>8987</v>
      </c>
      <c r="J1317" s="3">
        <v>46065.64167824074</v>
      </c>
      <c r="K1317" s="2" t="s">
        <v>8988</v>
      </c>
      <c r="L1317" s="1">
        <v>174</v>
      </c>
      <c r="M1317" s="1">
        <v>183</v>
      </c>
      <c r="N1317">
        <v>9</v>
      </c>
      <c r="O1317" s="3">
        <f>IF(
    R1317="Ancien",
    _xlfn.XLOOKUP(
        Final_Sans_VGE[[#This Row],[ppn_z]],
        tbl_Historique_Final[ppn_z],
        tbl_Historique_Final[Horodatage],
        ""
    ),
    Horodatage!$A$2
)</f>
        <v>46233.670796365739</v>
      </c>
      <c r="P1317" s="1" t="str">
        <f>IFERROR(IF(tbl_Historique_Final[[#This Row],[Commentaires]]&lt;&gt;"",tbl_Historique_Final[[#This Row],[Commentaires]],""),"")</f>
        <v/>
      </c>
      <c r="X1317" s="8" t="str">
        <f>IF(Final_Sans_VGE[[#This Row],[ppn_z]]="","",IFERROR(
   IF(_xlfn.XLOOKUP(Final_Sans_VGE[[#This Row],[ppn_z]],tbl_Historique_Final[ppn_z],tbl_Historique_Final[date_modif])=Final_Sans_VGE[[#This Row],[date_modif]],
      "Ancien",
      "Modifié"),
   "Nouveau"))</f>
        <v>Ancien</v>
      </c>
      <c r="AC1317"/>
      <c r="AD1317"/>
    </row>
    <row r="1318" spans="1:30" x14ac:dyDescent="0.25">
      <c r="A1318" s="5" t="s">
        <v>4118</v>
      </c>
      <c r="B1318" s="1" t="s">
        <v>8989</v>
      </c>
      <c r="C1318" s="1" t="s">
        <v>8990</v>
      </c>
      <c r="D1318" s="1" t="s">
        <v>14</v>
      </c>
      <c r="E1318" s="1" t="s">
        <v>8381</v>
      </c>
      <c r="F1318" s="1" t="s">
        <v>14</v>
      </c>
      <c r="G1318" s="1" t="s">
        <v>10</v>
      </c>
      <c r="H1318" s="1" t="s">
        <v>22</v>
      </c>
      <c r="I1318" s="1" t="s">
        <v>22</v>
      </c>
      <c r="J1318" s="3">
        <v>46070.379236111112</v>
      </c>
      <c r="K1318" s="2" t="s">
        <v>8991</v>
      </c>
      <c r="L1318" s="1">
        <v>2</v>
      </c>
      <c r="M1318" s="1">
        <v>2</v>
      </c>
      <c r="N1318">
        <v>0</v>
      </c>
      <c r="O1318" s="3">
        <f>IF(
    R1318="Ancien",
    _xlfn.XLOOKUP(
        Final_Sans_VGE[[#This Row],[ppn_z]],
        tbl_Historique_Final[ppn_z],
        tbl_Historique_Final[Horodatage],
        ""
    ),
    Horodatage!$A$2
)</f>
        <v>46233.670796365739</v>
      </c>
      <c r="P1318" s="1" t="str">
        <f>IFERROR(IF(tbl_Historique_Final[[#This Row],[Commentaires]]&lt;&gt;"",tbl_Historique_Final[[#This Row],[Commentaires]],""),"")</f>
        <v/>
      </c>
      <c r="X1318" s="8" t="str">
        <f>IF(Final_Sans_VGE[[#This Row],[ppn_z]]="","",IFERROR(
   IF(_xlfn.XLOOKUP(Final_Sans_VGE[[#This Row],[ppn_z]],tbl_Historique_Final[ppn_z],tbl_Historique_Final[date_modif])=Final_Sans_VGE[[#This Row],[date_modif]],
      "Ancien",
      "Modifié"),
   "Nouveau"))</f>
        <v>Ancien</v>
      </c>
      <c r="AC1318"/>
      <c r="AD1318"/>
    </row>
    <row r="1319" spans="1:30" ht="30" x14ac:dyDescent="0.25">
      <c r="A1319" s="5" t="s">
        <v>4121</v>
      </c>
      <c r="B1319" s="1" t="s">
        <v>8992</v>
      </c>
      <c r="C1319" s="1" t="s">
        <v>65</v>
      </c>
      <c r="G1319" s="1" t="s">
        <v>10</v>
      </c>
      <c r="J1319" s="3">
        <v>46064.460104166668</v>
      </c>
      <c r="K1319" s="2" t="s">
        <v>8993</v>
      </c>
      <c r="L1319" s="1">
        <v>39</v>
      </c>
      <c r="M1319" s="1">
        <v>41</v>
      </c>
      <c r="N1319">
        <v>2</v>
      </c>
      <c r="O1319" s="3">
        <f>IF(
    R1319="Ancien",
    _xlfn.XLOOKUP(
        Final_Sans_VGE[[#This Row],[ppn_z]],
        tbl_Historique_Final[ppn_z],
        tbl_Historique_Final[Horodatage],
        ""
    ),
    Horodatage!$A$2
)</f>
        <v>46233.670796365739</v>
      </c>
      <c r="P1319" s="1" t="str">
        <f>IFERROR(IF(tbl_Historique_Final[[#This Row],[Commentaires]]&lt;&gt;"",tbl_Historique_Final[[#This Row],[Commentaires]],""),"")</f>
        <v/>
      </c>
      <c r="X1319" s="8" t="str">
        <f>IF(Final_Sans_VGE[[#This Row],[ppn_z]]="","",IFERROR(
   IF(_xlfn.XLOOKUP(Final_Sans_VGE[[#This Row],[ppn_z]],tbl_Historique_Final[ppn_z],tbl_Historique_Final[date_modif])=Final_Sans_VGE[[#This Row],[date_modif]],
      "Ancien",
      "Modifié"),
   "Nouveau"))</f>
        <v>Ancien</v>
      </c>
      <c r="AC1319"/>
      <c r="AD1319"/>
    </row>
    <row r="1320" spans="1:30" x14ac:dyDescent="0.25">
      <c r="A1320" s="5" t="s">
        <v>4124</v>
      </c>
      <c r="B1320" s="1" t="s">
        <v>8994</v>
      </c>
      <c r="C1320" s="1" t="s">
        <v>12</v>
      </c>
      <c r="G1320" s="1" t="s">
        <v>11</v>
      </c>
      <c r="J1320" s="3">
        <v>46077.66611111111</v>
      </c>
      <c r="K1320" s="2" t="s">
        <v>8995</v>
      </c>
      <c r="L1320" s="1">
        <v>1</v>
      </c>
      <c r="M1320" s="1">
        <v>1</v>
      </c>
      <c r="N1320">
        <v>0</v>
      </c>
      <c r="O1320" s="3">
        <f>IF(
    R1320="Ancien",
    _xlfn.XLOOKUP(
        Final_Sans_VGE[[#This Row],[ppn_z]],
        tbl_Historique_Final[ppn_z],
        tbl_Historique_Final[Horodatage],
        ""
    ),
    Horodatage!$A$2
)</f>
        <v>46233.670796365739</v>
      </c>
      <c r="P1320" s="1" t="str">
        <f>IFERROR(IF(tbl_Historique_Final[[#This Row],[Commentaires]]&lt;&gt;"",tbl_Historique_Final[[#This Row],[Commentaires]],""),"")</f>
        <v/>
      </c>
      <c r="X1320" s="8" t="str">
        <f>IF(Final_Sans_VGE[[#This Row],[ppn_z]]="","",IFERROR(
   IF(_xlfn.XLOOKUP(Final_Sans_VGE[[#This Row],[ppn_z]],tbl_Historique_Final[ppn_z],tbl_Historique_Final[date_modif])=Final_Sans_VGE[[#This Row],[date_modif]],
      "Ancien",
      "Modifié"),
   "Nouveau"))</f>
        <v>Ancien</v>
      </c>
      <c r="AC1320"/>
      <c r="AD1320"/>
    </row>
    <row r="1321" spans="1:30" ht="30" x14ac:dyDescent="0.25">
      <c r="A1321" s="5" t="s">
        <v>4127</v>
      </c>
      <c r="B1321" s="1" t="s">
        <v>8996</v>
      </c>
      <c r="C1321" s="1" t="s">
        <v>137</v>
      </c>
      <c r="J1321" s="3">
        <v>46105.665590277778</v>
      </c>
      <c r="K1321" s="2" t="s">
        <v>8997</v>
      </c>
      <c r="L1321" s="1">
        <v>7</v>
      </c>
      <c r="M1321" s="1">
        <v>7</v>
      </c>
      <c r="N1321">
        <v>0</v>
      </c>
      <c r="O1321" s="3">
        <f>IF(
    R1321="Ancien",
    _xlfn.XLOOKUP(
        Final_Sans_VGE[[#This Row],[ppn_z]],
        tbl_Historique_Final[ppn_z],
        tbl_Historique_Final[Horodatage],
        ""
    ),
    Horodatage!$A$2
)</f>
        <v>46233.670796365739</v>
      </c>
      <c r="P1321" s="1" t="str">
        <f>IFERROR(IF(tbl_Historique_Final[[#This Row],[Commentaires]]&lt;&gt;"",tbl_Historique_Final[[#This Row],[Commentaires]],""),"")</f>
        <v/>
      </c>
      <c r="X1321" s="8" t="str">
        <f>IF(Final_Sans_VGE[[#This Row],[ppn_z]]="","",IFERROR(
   IF(_xlfn.XLOOKUP(Final_Sans_VGE[[#This Row],[ppn_z]],tbl_Historique_Final[ppn_z],tbl_Historique_Final[date_modif])=Final_Sans_VGE[[#This Row],[date_modif]],
      "Ancien",
      "Modifié"),
   "Nouveau"))</f>
        <v>Ancien</v>
      </c>
      <c r="AC1321"/>
      <c r="AD1321"/>
    </row>
    <row r="1322" spans="1:30" ht="30" x14ac:dyDescent="0.25">
      <c r="A1322" s="5" t="s">
        <v>4130</v>
      </c>
      <c r="B1322" s="1" t="s">
        <v>8998</v>
      </c>
      <c r="C1322" s="1" t="s">
        <v>8233</v>
      </c>
      <c r="D1322" s="1" t="s">
        <v>14</v>
      </c>
      <c r="E1322" s="1" t="s">
        <v>127</v>
      </c>
      <c r="F1322" s="1" t="s">
        <v>8999</v>
      </c>
      <c r="G1322" s="1" t="s">
        <v>10</v>
      </c>
      <c r="H1322" s="1" t="s">
        <v>22</v>
      </c>
      <c r="I1322" s="1" t="s">
        <v>8230</v>
      </c>
      <c r="J1322" s="3">
        <v>46059.644189814811</v>
      </c>
      <c r="K1322" s="2" t="s">
        <v>9000</v>
      </c>
      <c r="L1322" s="1">
        <v>46</v>
      </c>
      <c r="M1322" s="1">
        <v>60</v>
      </c>
      <c r="N1322">
        <v>14</v>
      </c>
      <c r="O1322" s="3">
        <f>IF(
    R1322="Ancien",
    _xlfn.XLOOKUP(
        Final_Sans_VGE[[#This Row],[ppn_z]],
        tbl_Historique_Final[ppn_z],
        tbl_Historique_Final[Horodatage],
        ""
    ),
    Horodatage!$A$2
)</f>
        <v>46233.670796365739</v>
      </c>
      <c r="P1322" s="1" t="str">
        <f>IFERROR(IF(tbl_Historique_Final[[#This Row],[Commentaires]]&lt;&gt;"",tbl_Historique_Final[[#This Row],[Commentaires]],""),"")</f>
        <v/>
      </c>
      <c r="X1322" s="8" t="str">
        <f>IF(Final_Sans_VGE[[#This Row],[ppn_z]]="","",IFERROR(
   IF(_xlfn.XLOOKUP(Final_Sans_VGE[[#This Row],[ppn_z]],tbl_Historique_Final[ppn_z],tbl_Historique_Final[date_modif])=Final_Sans_VGE[[#This Row],[date_modif]],
      "Ancien",
      "Modifié"),
   "Nouveau"))</f>
        <v>Ancien</v>
      </c>
      <c r="AC1322"/>
      <c r="AD1322"/>
    </row>
    <row r="1323" spans="1:30" x14ac:dyDescent="0.25">
      <c r="A1323" s="5" t="s">
        <v>4133</v>
      </c>
      <c r="B1323" s="1" t="s">
        <v>9001</v>
      </c>
      <c r="C1323" s="1" t="s">
        <v>12</v>
      </c>
      <c r="G1323" s="1" t="s">
        <v>11</v>
      </c>
      <c r="J1323" s="3">
        <v>46086.346875000003</v>
      </c>
      <c r="K1323" s="2" t="s">
        <v>6438</v>
      </c>
      <c r="L1323" s="1">
        <v>1</v>
      </c>
      <c r="M1323" s="1">
        <v>1</v>
      </c>
      <c r="N1323">
        <v>0</v>
      </c>
      <c r="O1323" s="3">
        <f>IF(
    R1323="Ancien",
    _xlfn.XLOOKUP(
        Final_Sans_VGE[[#This Row],[ppn_z]],
        tbl_Historique_Final[ppn_z],
        tbl_Historique_Final[Horodatage],
        ""
    ),
    Horodatage!$A$2
)</f>
        <v>46233.670796365739</v>
      </c>
      <c r="P1323" s="1" t="str">
        <f>IFERROR(IF(tbl_Historique_Final[[#This Row],[Commentaires]]&lt;&gt;"",tbl_Historique_Final[[#This Row],[Commentaires]],""),"")</f>
        <v/>
      </c>
      <c r="X1323" s="8" t="str">
        <f>IF(Final_Sans_VGE[[#This Row],[ppn_z]]="","",IFERROR(
   IF(_xlfn.XLOOKUP(Final_Sans_VGE[[#This Row],[ppn_z]],tbl_Historique_Final[ppn_z],tbl_Historique_Final[date_modif])=Final_Sans_VGE[[#This Row],[date_modif]],
      "Ancien",
      "Modifié"),
   "Nouveau"))</f>
        <v>Ancien</v>
      </c>
      <c r="AC1323"/>
      <c r="AD1323"/>
    </row>
    <row r="1324" spans="1:30" x14ac:dyDescent="0.25">
      <c r="A1324" s="5" t="s">
        <v>4136</v>
      </c>
      <c r="B1324" s="1" t="s">
        <v>9002</v>
      </c>
      <c r="C1324" s="1" t="s">
        <v>129</v>
      </c>
      <c r="E1324" s="1" t="s">
        <v>9003</v>
      </c>
      <c r="G1324" s="1" t="s">
        <v>11</v>
      </c>
      <c r="J1324" s="3">
        <v>46080.421481481484</v>
      </c>
      <c r="K1324" s="2" t="s">
        <v>9004</v>
      </c>
      <c r="L1324" s="1">
        <v>1</v>
      </c>
      <c r="M1324" s="1">
        <v>2</v>
      </c>
      <c r="N1324">
        <v>1</v>
      </c>
      <c r="O1324" s="3">
        <f>IF(
    R1324="Ancien",
    _xlfn.XLOOKUP(
        Final_Sans_VGE[[#This Row],[ppn_z]],
        tbl_Historique_Final[ppn_z],
        tbl_Historique_Final[Horodatage],
        ""
    ),
    Horodatage!$A$2
)</f>
        <v>46233.670796365739</v>
      </c>
      <c r="P1324" s="1" t="str">
        <f>IFERROR(IF(tbl_Historique_Final[[#This Row],[Commentaires]]&lt;&gt;"",tbl_Historique_Final[[#This Row],[Commentaires]],""),"")</f>
        <v/>
      </c>
      <c r="X1324" s="8" t="str">
        <f>IF(Final_Sans_VGE[[#This Row],[ppn_z]]="","",IFERROR(
   IF(_xlfn.XLOOKUP(Final_Sans_VGE[[#This Row],[ppn_z]],tbl_Historique_Final[ppn_z],tbl_Historique_Final[date_modif])=Final_Sans_VGE[[#This Row],[date_modif]],
      "Ancien",
      "Modifié"),
   "Nouveau"))</f>
        <v>Ancien</v>
      </c>
      <c r="AC1324"/>
      <c r="AD1324"/>
    </row>
    <row r="1325" spans="1:30" x14ac:dyDescent="0.25">
      <c r="A1325" s="5" t="s">
        <v>4139</v>
      </c>
      <c r="B1325" s="1" t="s">
        <v>9005</v>
      </c>
      <c r="J1325" s="3">
        <v>45908.688773148147</v>
      </c>
      <c r="L1325" s="1">
        <v>9</v>
      </c>
      <c r="M1325" s="1">
        <v>10</v>
      </c>
      <c r="N1325">
        <v>1</v>
      </c>
      <c r="O1325" s="3">
        <f>IF(
    R1325="Ancien",
    _xlfn.XLOOKUP(
        Final_Sans_VGE[[#This Row],[ppn_z]],
        tbl_Historique_Final[ppn_z],
        tbl_Historique_Final[Horodatage],
        ""
    ),
    Horodatage!$A$2
)</f>
        <v>46233.670796365739</v>
      </c>
      <c r="P1325" s="1" t="str">
        <f>IFERROR(IF(tbl_Historique_Final[[#This Row],[Commentaires]]&lt;&gt;"",tbl_Historique_Final[[#This Row],[Commentaires]],""),"")</f>
        <v/>
      </c>
      <c r="X1325" s="8" t="str">
        <f>IF(Final_Sans_VGE[[#This Row],[ppn_z]]="","",IFERROR(
   IF(_xlfn.XLOOKUP(Final_Sans_VGE[[#This Row],[ppn_z]],tbl_Historique_Final[ppn_z],tbl_Historique_Final[date_modif])=Final_Sans_VGE[[#This Row],[date_modif]],
      "Ancien",
      "Modifié"),
   "Nouveau"))</f>
        <v>Ancien</v>
      </c>
      <c r="AC1325"/>
      <c r="AD1325"/>
    </row>
    <row r="1326" spans="1:30" x14ac:dyDescent="0.25">
      <c r="A1326" s="5" t="s">
        <v>4142</v>
      </c>
      <c r="B1326" s="1" t="s">
        <v>9006</v>
      </c>
      <c r="C1326" s="1" t="s">
        <v>12</v>
      </c>
      <c r="G1326" s="1" t="s">
        <v>11</v>
      </c>
      <c r="J1326" s="3">
        <v>46105.72896990741</v>
      </c>
      <c r="K1326" s="2" t="s">
        <v>150</v>
      </c>
      <c r="L1326" s="1">
        <v>26</v>
      </c>
      <c r="M1326" s="1">
        <v>26</v>
      </c>
      <c r="N1326">
        <v>0</v>
      </c>
      <c r="O1326" s="3">
        <f>IF(
    R1326="Ancien",
    _xlfn.XLOOKUP(
        Final_Sans_VGE[[#This Row],[ppn_z]],
        tbl_Historique_Final[ppn_z],
        tbl_Historique_Final[Horodatage],
        ""
    ),
    Horodatage!$A$2
)</f>
        <v>46233.670796365739</v>
      </c>
      <c r="P1326" s="1" t="str">
        <f>IFERROR(IF(tbl_Historique_Final[[#This Row],[Commentaires]]&lt;&gt;"",tbl_Historique_Final[[#This Row],[Commentaires]],""),"")</f>
        <v/>
      </c>
      <c r="X1326" s="8" t="str">
        <f>IF(Final_Sans_VGE[[#This Row],[ppn_z]]="","",IFERROR(
   IF(_xlfn.XLOOKUP(Final_Sans_VGE[[#This Row],[ppn_z]],tbl_Historique_Final[ppn_z],tbl_Historique_Final[date_modif])=Final_Sans_VGE[[#This Row],[date_modif]],
      "Ancien",
      "Modifié"),
   "Nouveau"))</f>
        <v>Ancien</v>
      </c>
      <c r="AC1326"/>
      <c r="AD1326"/>
    </row>
    <row r="1327" spans="1:30" x14ac:dyDescent="0.25">
      <c r="A1327" s="5" t="s">
        <v>4145</v>
      </c>
      <c r="B1327" s="1" t="s">
        <v>9007</v>
      </c>
      <c r="C1327" s="1" t="s">
        <v>39</v>
      </c>
      <c r="G1327" s="1" t="s">
        <v>11</v>
      </c>
      <c r="J1327" s="3">
        <v>46064.469618055555</v>
      </c>
      <c r="K1327" s="2" t="s">
        <v>9008</v>
      </c>
      <c r="L1327" s="1">
        <v>1</v>
      </c>
      <c r="M1327" s="1">
        <v>1</v>
      </c>
      <c r="N1327">
        <v>0</v>
      </c>
      <c r="O1327" s="3">
        <f>IF(
    R1327="Ancien",
    _xlfn.XLOOKUP(
        Final_Sans_VGE[[#This Row],[ppn_z]],
        tbl_Historique_Final[ppn_z],
        tbl_Historique_Final[Horodatage],
        ""
    ),
    Horodatage!$A$2
)</f>
        <v>46233.670796365739</v>
      </c>
      <c r="P1327" s="1" t="str">
        <f>IFERROR(IF(tbl_Historique_Final[[#This Row],[Commentaires]]&lt;&gt;"",tbl_Historique_Final[[#This Row],[Commentaires]],""),"")</f>
        <v/>
      </c>
      <c r="X1327" s="8" t="str">
        <f>IF(Final_Sans_VGE[[#This Row],[ppn_z]]="","",IFERROR(
   IF(_xlfn.XLOOKUP(Final_Sans_VGE[[#This Row],[ppn_z]],tbl_Historique_Final[ppn_z],tbl_Historique_Final[date_modif])=Final_Sans_VGE[[#This Row],[date_modif]],
      "Ancien",
      "Modifié"),
   "Nouveau"))</f>
        <v>Ancien</v>
      </c>
      <c r="AC1327"/>
      <c r="AD1327"/>
    </row>
    <row r="1328" spans="1:30" x14ac:dyDescent="0.25">
      <c r="A1328" s="5" t="s">
        <v>4148</v>
      </c>
      <c r="B1328" s="1" t="s">
        <v>9009</v>
      </c>
      <c r="C1328" s="1" t="s">
        <v>46</v>
      </c>
      <c r="D1328" s="1" t="s">
        <v>14</v>
      </c>
      <c r="H1328" s="1" t="s">
        <v>22</v>
      </c>
      <c r="I1328" s="1" t="s">
        <v>22</v>
      </c>
      <c r="J1328" s="3">
        <v>46064.623020833336</v>
      </c>
      <c r="K1328" s="2" t="s">
        <v>9010</v>
      </c>
      <c r="L1328" s="1">
        <v>52</v>
      </c>
      <c r="M1328" s="1">
        <v>53</v>
      </c>
      <c r="N1328">
        <v>1</v>
      </c>
      <c r="O1328" s="3">
        <f>IF(
    R1328="Ancien",
    _xlfn.XLOOKUP(
        Final_Sans_VGE[[#This Row],[ppn_z]],
        tbl_Historique_Final[ppn_z],
        tbl_Historique_Final[Horodatage],
        ""
    ),
    Horodatage!$A$2
)</f>
        <v>46233.670796365739</v>
      </c>
      <c r="P1328" s="1" t="str">
        <f>IFERROR(IF(tbl_Historique_Final[[#This Row],[Commentaires]]&lt;&gt;"",tbl_Historique_Final[[#This Row],[Commentaires]],""),"")</f>
        <v/>
      </c>
      <c r="X1328" s="8" t="str">
        <f>IF(Final_Sans_VGE[[#This Row],[ppn_z]]="","",IFERROR(
   IF(_xlfn.XLOOKUP(Final_Sans_VGE[[#This Row],[ppn_z]],tbl_Historique_Final[ppn_z],tbl_Historique_Final[date_modif])=Final_Sans_VGE[[#This Row],[date_modif]],
      "Ancien",
      "Modifié"),
   "Nouveau"))</f>
        <v>Ancien</v>
      </c>
      <c r="AC1328"/>
      <c r="AD1328"/>
    </row>
    <row r="1329" spans="1:30" x14ac:dyDescent="0.25">
      <c r="A1329" s="5" t="s">
        <v>4151</v>
      </c>
      <c r="B1329" s="1" t="s">
        <v>9011</v>
      </c>
      <c r="C1329" s="1" t="s">
        <v>12</v>
      </c>
      <c r="G1329" s="1" t="s">
        <v>10</v>
      </c>
      <c r="J1329" s="3">
        <v>46080.621574074074</v>
      </c>
      <c r="K1329" s="2" t="s">
        <v>9012</v>
      </c>
      <c r="L1329" s="1">
        <v>1</v>
      </c>
      <c r="M1329" s="1">
        <v>1</v>
      </c>
      <c r="N1329">
        <v>0</v>
      </c>
      <c r="O1329" s="3">
        <f>IF(
    R1329="Ancien",
    _xlfn.XLOOKUP(
        Final_Sans_VGE[[#This Row],[ppn_z]],
        tbl_Historique_Final[ppn_z],
        tbl_Historique_Final[Horodatage],
        ""
    ),
    Horodatage!$A$2
)</f>
        <v>46233.670796365739</v>
      </c>
      <c r="P1329" s="1" t="str">
        <f>IFERROR(IF(tbl_Historique_Final[[#This Row],[Commentaires]]&lt;&gt;"",tbl_Historique_Final[[#This Row],[Commentaires]],""),"")</f>
        <v/>
      </c>
      <c r="X1329" s="8" t="str">
        <f>IF(Final_Sans_VGE[[#This Row],[ppn_z]]="","",IFERROR(
   IF(_xlfn.XLOOKUP(Final_Sans_VGE[[#This Row],[ppn_z]],tbl_Historique_Final[ppn_z],tbl_Historique_Final[date_modif])=Final_Sans_VGE[[#This Row],[date_modif]],
      "Ancien",
      "Modifié"),
   "Nouveau"))</f>
        <v>Ancien</v>
      </c>
      <c r="AC1329"/>
      <c r="AD1329"/>
    </row>
    <row r="1330" spans="1:30" x14ac:dyDescent="0.25">
      <c r="A1330" s="5" t="s">
        <v>4154</v>
      </c>
      <c r="B1330" s="1" t="s">
        <v>9013</v>
      </c>
      <c r="C1330" s="1" t="s">
        <v>93</v>
      </c>
      <c r="D1330" s="1" t="s">
        <v>14</v>
      </c>
      <c r="E1330" s="1" t="s">
        <v>81</v>
      </c>
      <c r="F1330" s="1" t="s">
        <v>14</v>
      </c>
      <c r="G1330" s="1" t="s">
        <v>10</v>
      </c>
      <c r="H1330" s="1" t="s">
        <v>22</v>
      </c>
      <c r="I1330" s="1" t="s">
        <v>22</v>
      </c>
      <c r="J1330" s="3">
        <v>46065.799259259256</v>
      </c>
      <c r="K1330" s="2" t="s">
        <v>9014</v>
      </c>
      <c r="L1330" s="1">
        <v>120</v>
      </c>
      <c r="M1330" s="1">
        <v>137</v>
      </c>
      <c r="N1330">
        <v>17</v>
      </c>
      <c r="O1330" s="3">
        <f>IF(
    R1330="Ancien",
    _xlfn.XLOOKUP(
        Final_Sans_VGE[[#This Row],[ppn_z]],
        tbl_Historique_Final[ppn_z],
        tbl_Historique_Final[Horodatage],
        ""
    ),
    Horodatage!$A$2
)</f>
        <v>46233.670796365739</v>
      </c>
      <c r="P1330" s="1" t="str">
        <f>IFERROR(IF(tbl_Historique_Final[[#This Row],[Commentaires]]&lt;&gt;"",tbl_Historique_Final[[#This Row],[Commentaires]],""),"")</f>
        <v/>
      </c>
      <c r="X1330" s="8" t="str">
        <f>IF(Final_Sans_VGE[[#This Row],[ppn_z]]="","",IFERROR(
   IF(_xlfn.XLOOKUP(Final_Sans_VGE[[#This Row],[ppn_z]],tbl_Historique_Final[ppn_z],tbl_Historique_Final[date_modif])=Final_Sans_VGE[[#This Row],[date_modif]],
      "Ancien",
      "Modifié"),
   "Nouveau"))</f>
        <v>Ancien</v>
      </c>
      <c r="AC1330"/>
      <c r="AD1330"/>
    </row>
    <row r="1331" spans="1:30" x14ac:dyDescent="0.25">
      <c r="A1331" s="5" t="s">
        <v>4157</v>
      </c>
      <c r="B1331" s="1" t="s">
        <v>9015</v>
      </c>
      <c r="C1331" s="1" t="s">
        <v>9016</v>
      </c>
      <c r="D1331" s="1" t="s">
        <v>14</v>
      </c>
      <c r="E1331" s="1" t="s">
        <v>8761</v>
      </c>
      <c r="F1331" s="1" t="s">
        <v>14</v>
      </c>
      <c r="G1331" s="1" t="s">
        <v>10</v>
      </c>
      <c r="H1331" s="1" t="s">
        <v>22</v>
      </c>
      <c r="I1331" s="1" t="s">
        <v>22</v>
      </c>
      <c r="J1331" s="3">
        <v>46080.382094907407</v>
      </c>
      <c r="K1331" s="2" t="s">
        <v>7461</v>
      </c>
      <c r="L1331" s="1">
        <v>4</v>
      </c>
      <c r="M1331" s="1">
        <v>5</v>
      </c>
      <c r="N1331">
        <v>1</v>
      </c>
      <c r="O1331" s="3">
        <f>IF(
    R1331="Ancien",
    _xlfn.XLOOKUP(
        Final_Sans_VGE[[#This Row],[ppn_z]],
        tbl_Historique_Final[ppn_z],
        tbl_Historique_Final[Horodatage],
        ""
    ),
    Horodatage!$A$2
)</f>
        <v>46233.670796365739</v>
      </c>
      <c r="P1331" s="1" t="str">
        <f>IFERROR(IF(tbl_Historique_Final[[#This Row],[Commentaires]]&lt;&gt;"",tbl_Historique_Final[[#This Row],[Commentaires]],""),"")</f>
        <v/>
      </c>
      <c r="X1331" s="8" t="str">
        <f>IF(Final_Sans_VGE[[#This Row],[ppn_z]]="","",IFERROR(
   IF(_xlfn.XLOOKUP(Final_Sans_VGE[[#This Row],[ppn_z]],tbl_Historique_Final[ppn_z],tbl_Historique_Final[date_modif])=Final_Sans_VGE[[#This Row],[date_modif]],
      "Ancien",
      "Modifié"),
   "Nouveau"))</f>
        <v>Ancien</v>
      </c>
      <c r="AC1331"/>
      <c r="AD1331"/>
    </row>
    <row r="1332" spans="1:30" ht="45" x14ac:dyDescent="0.25">
      <c r="A1332" s="5" t="s">
        <v>4160</v>
      </c>
      <c r="B1332" s="1" t="s">
        <v>9017</v>
      </c>
      <c r="C1332" s="1" t="s">
        <v>8861</v>
      </c>
      <c r="E1332" s="1" t="s">
        <v>6779</v>
      </c>
      <c r="G1332" s="1" t="s">
        <v>10</v>
      </c>
      <c r="J1332" s="3">
        <v>46091.723599537036</v>
      </c>
      <c r="K1332" s="2" t="s">
        <v>9018</v>
      </c>
      <c r="L1332" s="1">
        <v>15</v>
      </c>
      <c r="M1332" s="1">
        <v>18</v>
      </c>
      <c r="N1332">
        <v>3</v>
      </c>
      <c r="O1332" s="3">
        <f>IF(
    R1332="Ancien",
    _xlfn.XLOOKUP(
        Final_Sans_VGE[[#This Row],[ppn_z]],
        tbl_Historique_Final[ppn_z],
        tbl_Historique_Final[Horodatage],
        ""
    ),
    Horodatage!$A$2
)</f>
        <v>46233.670796365739</v>
      </c>
      <c r="P1332" s="1" t="str">
        <f>IFERROR(IF(tbl_Historique_Final[[#This Row],[Commentaires]]&lt;&gt;"",tbl_Historique_Final[[#This Row],[Commentaires]],""),"")</f>
        <v/>
      </c>
      <c r="X1332" s="8" t="str">
        <f>IF(Final_Sans_VGE[[#This Row],[ppn_z]]="","",IFERROR(
   IF(_xlfn.XLOOKUP(Final_Sans_VGE[[#This Row],[ppn_z]],tbl_Historique_Final[ppn_z],tbl_Historique_Final[date_modif])=Final_Sans_VGE[[#This Row],[date_modif]],
      "Ancien",
      "Modifié"),
   "Nouveau"))</f>
        <v>Ancien</v>
      </c>
      <c r="AC1332"/>
      <c r="AD1332"/>
    </row>
    <row r="1333" spans="1:30" x14ac:dyDescent="0.25">
      <c r="A1333" s="5" t="s">
        <v>4163</v>
      </c>
      <c r="B1333" s="1" t="s">
        <v>9019</v>
      </c>
      <c r="C1333" s="1" t="s">
        <v>12</v>
      </c>
      <c r="G1333" s="1" t="s">
        <v>10</v>
      </c>
      <c r="J1333" s="3">
        <v>46098.752268518518</v>
      </c>
      <c r="K1333" s="2" t="s">
        <v>9020</v>
      </c>
      <c r="L1333" s="1">
        <v>23</v>
      </c>
      <c r="M1333" s="1">
        <v>26</v>
      </c>
      <c r="N1333">
        <v>3</v>
      </c>
      <c r="O1333" s="3">
        <f>IF(
    R1333="Ancien",
    _xlfn.XLOOKUP(
        Final_Sans_VGE[[#This Row],[ppn_z]],
        tbl_Historique_Final[ppn_z],
        tbl_Historique_Final[Horodatage],
        ""
    ),
    Horodatage!$A$2
)</f>
        <v>46233.670796365739</v>
      </c>
      <c r="P1333" s="1" t="str">
        <f>IFERROR(IF(tbl_Historique_Final[[#This Row],[Commentaires]]&lt;&gt;"",tbl_Historique_Final[[#This Row],[Commentaires]],""),"")</f>
        <v/>
      </c>
      <c r="X1333" s="8" t="str">
        <f>IF(Final_Sans_VGE[[#This Row],[ppn_z]]="","",IFERROR(
   IF(_xlfn.XLOOKUP(Final_Sans_VGE[[#This Row],[ppn_z]],tbl_Historique_Final[ppn_z],tbl_Historique_Final[date_modif])=Final_Sans_VGE[[#This Row],[date_modif]],
      "Ancien",
      "Modifié"),
   "Nouveau"))</f>
        <v>Ancien</v>
      </c>
      <c r="AC1333"/>
      <c r="AD1333"/>
    </row>
    <row r="1334" spans="1:30" x14ac:dyDescent="0.25">
      <c r="A1334" s="5" t="s">
        <v>4166</v>
      </c>
      <c r="B1334" s="1" t="s">
        <v>9021</v>
      </c>
      <c r="C1334" s="1" t="s">
        <v>8959</v>
      </c>
      <c r="E1334" s="1" t="s">
        <v>62</v>
      </c>
      <c r="G1334" s="1" t="s">
        <v>10</v>
      </c>
      <c r="J1334" s="3">
        <v>46098.749097222222</v>
      </c>
      <c r="K1334" s="2" t="s">
        <v>9022</v>
      </c>
      <c r="L1334" s="1">
        <v>34</v>
      </c>
      <c r="M1334" s="1">
        <v>35</v>
      </c>
      <c r="N1334">
        <v>1</v>
      </c>
      <c r="O1334" s="3">
        <f>IF(
    R1334="Ancien",
    _xlfn.XLOOKUP(
        Final_Sans_VGE[[#This Row],[ppn_z]],
        tbl_Historique_Final[ppn_z],
        tbl_Historique_Final[Horodatage],
        ""
    ),
    Horodatage!$A$2
)</f>
        <v>46233.670796365739</v>
      </c>
      <c r="P1334" s="1" t="str">
        <f>IFERROR(IF(tbl_Historique_Final[[#This Row],[Commentaires]]&lt;&gt;"",tbl_Historique_Final[[#This Row],[Commentaires]],""),"")</f>
        <v/>
      </c>
      <c r="X1334" s="8" t="str">
        <f>IF(Final_Sans_VGE[[#This Row],[ppn_z]]="","",IFERROR(
   IF(_xlfn.XLOOKUP(Final_Sans_VGE[[#This Row],[ppn_z]],tbl_Historique_Final[ppn_z],tbl_Historique_Final[date_modif])=Final_Sans_VGE[[#This Row],[date_modif]],
      "Ancien",
      "Modifié"),
   "Nouveau"))</f>
        <v>Ancien</v>
      </c>
      <c r="AC1334"/>
      <c r="AD1334"/>
    </row>
    <row r="1335" spans="1:30" ht="30" x14ac:dyDescent="0.25">
      <c r="A1335" s="5" t="s">
        <v>4169</v>
      </c>
      <c r="B1335" s="1" t="s">
        <v>9023</v>
      </c>
      <c r="C1335" s="1" t="s">
        <v>12</v>
      </c>
      <c r="G1335" s="1" t="s">
        <v>11</v>
      </c>
      <c r="J1335" s="3">
        <v>46101.453506944446</v>
      </c>
      <c r="K1335" s="2" t="s">
        <v>9024</v>
      </c>
      <c r="L1335" s="1">
        <v>23</v>
      </c>
      <c r="M1335" s="1">
        <v>23</v>
      </c>
      <c r="N1335">
        <v>0</v>
      </c>
      <c r="O1335" s="3">
        <f>IF(
    R1335="Ancien",
    _xlfn.XLOOKUP(
        Final_Sans_VGE[[#This Row],[ppn_z]],
        tbl_Historique_Final[ppn_z],
        tbl_Historique_Final[Horodatage],
        ""
    ),
    Horodatage!$A$2
)</f>
        <v>46233.670796365739</v>
      </c>
      <c r="P1335" s="1" t="str">
        <f>IFERROR(IF(tbl_Historique_Final[[#This Row],[Commentaires]]&lt;&gt;"",tbl_Historique_Final[[#This Row],[Commentaires]],""),"")</f>
        <v/>
      </c>
      <c r="X1335" s="8" t="str">
        <f>IF(Final_Sans_VGE[[#This Row],[ppn_z]]="","",IFERROR(
   IF(_xlfn.XLOOKUP(Final_Sans_VGE[[#This Row],[ppn_z]],tbl_Historique_Final[ppn_z],tbl_Historique_Final[date_modif])=Final_Sans_VGE[[#This Row],[date_modif]],
      "Ancien",
      "Modifié"),
   "Nouveau"))</f>
        <v>Ancien</v>
      </c>
      <c r="AC1335"/>
      <c r="AD1335"/>
    </row>
    <row r="1336" spans="1:30" x14ac:dyDescent="0.25">
      <c r="A1336" s="5" t="s">
        <v>4172</v>
      </c>
      <c r="B1336" s="1" t="s">
        <v>9025</v>
      </c>
      <c r="C1336" s="1" t="s">
        <v>12</v>
      </c>
      <c r="G1336" s="1" t="s">
        <v>10</v>
      </c>
      <c r="J1336" s="3">
        <v>46105.343229166669</v>
      </c>
      <c r="K1336" s="2" t="s">
        <v>6935</v>
      </c>
      <c r="L1336" s="1">
        <v>1</v>
      </c>
      <c r="M1336" s="1">
        <v>1</v>
      </c>
      <c r="N1336">
        <v>0</v>
      </c>
      <c r="O1336" s="3">
        <f>IF(
    R1336="Ancien",
    _xlfn.XLOOKUP(
        Final_Sans_VGE[[#This Row],[ppn_z]],
        tbl_Historique_Final[ppn_z],
        tbl_Historique_Final[Horodatage],
        ""
    ),
    Horodatage!$A$2
)</f>
        <v>46233.670796365739</v>
      </c>
      <c r="P1336" s="1" t="str">
        <f>IFERROR(IF(tbl_Historique_Final[[#This Row],[Commentaires]]&lt;&gt;"",tbl_Historique_Final[[#This Row],[Commentaires]],""),"")</f>
        <v/>
      </c>
      <c r="X1336" s="8" t="str">
        <f>IF(Final_Sans_VGE[[#This Row],[ppn_z]]="","",IFERROR(
   IF(_xlfn.XLOOKUP(Final_Sans_VGE[[#This Row],[ppn_z]],tbl_Historique_Final[ppn_z],tbl_Historique_Final[date_modif])=Final_Sans_VGE[[#This Row],[date_modif]],
      "Ancien",
      "Modifié"),
   "Nouveau"))</f>
        <v>Ancien</v>
      </c>
      <c r="AC1336"/>
      <c r="AD1336"/>
    </row>
    <row r="1337" spans="1:30" x14ac:dyDescent="0.25">
      <c r="A1337" s="5" t="s">
        <v>4175</v>
      </c>
      <c r="B1337" s="1" t="s">
        <v>9026</v>
      </c>
      <c r="C1337" s="1" t="s">
        <v>12</v>
      </c>
      <c r="G1337" s="1" t="s">
        <v>10</v>
      </c>
      <c r="J1337" s="3">
        <v>46073.609965277778</v>
      </c>
      <c r="K1337" s="2" t="s">
        <v>150</v>
      </c>
      <c r="L1337" s="1">
        <v>1</v>
      </c>
      <c r="M1337" s="1">
        <v>1</v>
      </c>
      <c r="N1337">
        <v>0</v>
      </c>
      <c r="O1337" s="3">
        <f>IF(
    R1337="Ancien",
    _xlfn.XLOOKUP(
        Final_Sans_VGE[[#This Row],[ppn_z]],
        tbl_Historique_Final[ppn_z],
        tbl_Historique_Final[Horodatage],
        ""
    ),
    Horodatage!$A$2
)</f>
        <v>46233.670796365739</v>
      </c>
      <c r="P1337" s="1" t="str">
        <f>IFERROR(IF(tbl_Historique_Final[[#This Row],[Commentaires]]&lt;&gt;"",tbl_Historique_Final[[#This Row],[Commentaires]],""),"")</f>
        <v/>
      </c>
      <c r="X1337" s="8" t="str">
        <f>IF(Final_Sans_VGE[[#This Row],[ppn_z]]="","",IFERROR(
   IF(_xlfn.XLOOKUP(Final_Sans_VGE[[#This Row],[ppn_z]],tbl_Historique_Final[ppn_z],tbl_Historique_Final[date_modif])=Final_Sans_VGE[[#This Row],[date_modif]],
      "Ancien",
      "Modifié"),
   "Nouveau"))</f>
        <v>Ancien</v>
      </c>
      <c r="AC1337"/>
      <c r="AD1337"/>
    </row>
    <row r="1338" spans="1:30" x14ac:dyDescent="0.25">
      <c r="A1338" s="5" t="s">
        <v>4178</v>
      </c>
      <c r="B1338" s="1" t="s">
        <v>9027</v>
      </c>
      <c r="C1338" s="1" t="s">
        <v>7468</v>
      </c>
      <c r="D1338" s="1" t="s">
        <v>14</v>
      </c>
      <c r="E1338" s="1" t="s">
        <v>8735</v>
      </c>
      <c r="F1338" s="1" t="s">
        <v>8866</v>
      </c>
      <c r="G1338" s="1" t="s">
        <v>10</v>
      </c>
      <c r="H1338" s="1" t="s">
        <v>22</v>
      </c>
      <c r="I1338" s="1" t="s">
        <v>22</v>
      </c>
      <c r="J1338" s="3">
        <v>46080.661736111113</v>
      </c>
      <c r="K1338" s="2" t="s">
        <v>7461</v>
      </c>
      <c r="L1338" s="1">
        <v>1</v>
      </c>
      <c r="M1338" s="1">
        <v>1</v>
      </c>
      <c r="N1338">
        <v>0</v>
      </c>
      <c r="O1338" s="3">
        <f>IF(
    R1338="Ancien",
    _xlfn.XLOOKUP(
        Final_Sans_VGE[[#This Row],[ppn_z]],
        tbl_Historique_Final[ppn_z],
        tbl_Historique_Final[Horodatage],
        ""
    ),
    Horodatage!$A$2
)</f>
        <v>46233.670796365739</v>
      </c>
      <c r="P1338" s="1" t="str">
        <f>IFERROR(IF(tbl_Historique_Final[[#This Row],[Commentaires]]&lt;&gt;"",tbl_Historique_Final[[#This Row],[Commentaires]],""),"")</f>
        <v/>
      </c>
      <c r="X1338" s="8" t="str">
        <f>IF(Final_Sans_VGE[[#This Row],[ppn_z]]="","",IFERROR(
   IF(_xlfn.XLOOKUP(Final_Sans_VGE[[#This Row],[ppn_z]],tbl_Historique_Final[ppn_z],tbl_Historique_Final[date_modif])=Final_Sans_VGE[[#This Row],[date_modif]],
      "Ancien",
      "Modifié"),
   "Nouveau"))</f>
        <v>Ancien</v>
      </c>
      <c r="AC1338"/>
      <c r="AD1338"/>
    </row>
    <row r="1339" spans="1:30" x14ac:dyDescent="0.25">
      <c r="A1339" s="5" t="s">
        <v>4181</v>
      </c>
      <c r="B1339" s="1" t="s">
        <v>9028</v>
      </c>
      <c r="C1339" s="1" t="s">
        <v>12</v>
      </c>
      <c r="G1339" s="1" t="s">
        <v>10</v>
      </c>
      <c r="J1339" s="3">
        <v>46092.730914351851</v>
      </c>
      <c r="K1339" s="2" t="s">
        <v>8774</v>
      </c>
      <c r="L1339" s="1">
        <v>24</v>
      </c>
      <c r="M1339" s="1">
        <v>24</v>
      </c>
      <c r="N1339">
        <v>0</v>
      </c>
      <c r="O1339" s="3">
        <f>IF(
    R1339="Ancien",
    _xlfn.XLOOKUP(
        Final_Sans_VGE[[#This Row],[ppn_z]],
        tbl_Historique_Final[ppn_z],
        tbl_Historique_Final[Horodatage],
        ""
    ),
    Horodatage!$A$2
)</f>
        <v>46233.670796365739</v>
      </c>
      <c r="P1339" s="1" t="str">
        <f>IFERROR(IF(tbl_Historique_Final[[#This Row],[Commentaires]]&lt;&gt;"",tbl_Historique_Final[[#This Row],[Commentaires]],""),"")</f>
        <v/>
      </c>
      <c r="X1339" s="8" t="str">
        <f>IF(Final_Sans_VGE[[#This Row],[ppn_z]]="","",IFERROR(
   IF(_xlfn.XLOOKUP(Final_Sans_VGE[[#This Row],[ppn_z]],tbl_Historique_Final[ppn_z],tbl_Historique_Final[date_modif])=Final_Sans_VGE[[#This Row],[date_modif]],
      "Ancien",
      "Modifié"),
   "Nouveau"))</f>
        <v>Ancien</v>
      </c>
      <c r="AC1339"/>
      <c r="AD1339"/>
    </row>
    <row r="1340" spans="1:30" x14ac:dyDescent="0.25">
      <c r="A1340" s="5" t="s">
        <v>4184</v>
      </c>
      <c r="B1340" s="1" t="s">
        <v>9029</v>
      </c>
      <c r="C1340" s="1" t="s">
        <v>9030</v>
      </c>
      <c r="D1340" s="1" t="s">
        <v>9031</v>
      </c>
      <c r="F1340" s="1" t="s">
        <v>14</v>
      </c>
      <c r="H1340" s="1" t="s">
        <v>22</v>
      </c>
      <c r="I1340" s="1" t="s">
        <v>140</v>
      </c>
      <c r="J1340" s="3">
        <v>46057.487939814811</v>
      </c>
      <c r="K1340" s="2" t="s">
        <v>9032</v>
      </c>
      <c r="L1340" s="1">
        <v>6</v>
      </c>
      <c r="M1340" s="1">
        <v>6</v>
      </c>
      <c r="N1340">
        <v>0</v>
      </c>
      <c r="O1340" s="3">
        <f>IF(
    R1340="Ancien",
    _xlfn.XLOOKUP(
        Final_Sans_VGE[[#This Row],[ppn_z]],
        tbl_Historique_Final[ppn_z],
        tbl_Historique_Final[Horodatage],
        ""
    ),
    Horodatage!$A$2
)</f>
        <v>46233.670796365739</v>
      </c>
      <c r="P1340" s="1" t="str">
        <f>IFERROR(IF(tbl_Historique_Final[[#This Row],[Commentaires]]&lt;&gt;"",tbl_Historique_Final[[#This Row],[Commentaires]],""),"")</f>
        <v/>
      </c>
      <c r="X1340" s="8" t="str">
        <f>IF(Final_Sans_VGE[[#This Row],[ppn_z]]="","",IFERROR(
   IF(_xlfn.XLOOKUP(Final_Sans_VGE[[#This Row],[ppn_z]],tbl_Historique_Final[ppn_z],tbl_Historique_Final[date_modif])=Final_Sans_VGE[[#This Row],[date_modif]],
      "Ancien",
      "Modifié"),
   "Nouveau"))</f>
        <v>Ancien</v>
      </c>
      <c r="AC1340"/>
      <c r="AD1340"/>
    </row>
    <row r="1341" spans="1:30" x14ac:dyDescent="0.25">
      <c r="A1341" s="5" t="s">
        <v>4187</v>
      </c>
      <c r="B1341" s="1" t="s">
        <v>9033</v>
      </c>
      <c r="C1341" s="1" t="s">
        <v>75</v>
      </c>
      <c r="J1341" s="3">
        <v>46105.569050925929</v>
      </c>
      <c r="K1341" s="2" t="s">
        <v>9034</v>
      </c>
      <c r="L1341" s="1">
        <v>1</v>
      </c>
      <c r="M1341" s="1">
        <v>1</v>
      </c>
      <c r="N1341">
        <v>0</v>
      </c>
      <c r="O1341" s="3">
        <f>IF(
    R1341="Ancien",
    _xlfn.XLOOKUP(
        Final_Sans_VGE[[#This Row],[ppn_z]],
        tbl_Historique_Final[ppn_z],
        tbl_Historique_Final[Horodatage],
        ""
    ),
    Horodatage!$A$2
)</f>
        <v>46233.670796365739</v>
      </c>
      <c r="P1341" s="1" t="str">
        <f>IFERROR(IF(tbl_Historique_Final[[#This Row],[Commentaires]]&lt;&gt;"",tbl_Historique_Final[[#This Row],[Commentaires]],""),"")</f>
        <v/>
      </c>
      <c r="X1341" s="8" t="str">
        <f>IF(Final_Sans_VGE[[#This Row],[ppn_z]]="","",IFERROR(
   IF(_xlfn.XLOOKUP(Final_Sans_VGE[[#This Row],[ppn_z]],tbl_Historique_Final[ppn_z],tbl_Historique_Final[date_modif])=Final_Sans_VGE[[#This Row],[date_modif]],
      "Ancien",
      "Modifié"),
   "Nouveau"))</f>
        <v>Ancien</v>
      </c>
      <c r="AC1341"/>
      <c r="AD1341"/>
    </row>
    <row r="1342" spans="1:30" x14ac:dyDescent="0.25">
      <c r="A1342" s="5" t="s">
        <v>4190</v>
      </c>
      <c r="B1342" s="1" t="s">
        <v>9035</v>
      </c>
      <c r="C1342" s="1" t="s">
        <v>6528</v>
      </c>
      <c r="D1342" s="1" t="s">
        <v>14</v>
      </c>
      <c r="E1342" s="1" t="s">
        <v>9036</v>
      </c>
      <c r="F1342" s="1" t="s">
        <v>133</v>
      </c>
      <c r="G1342" s="1" t="s">
        <v>10</v>
      </c>
      <c r="H1342" s="1" t="s">
        <v>22</v>
      </c>
      <c r="I1342" s="1" t="s">
        <v>22</v>
      </c>
      <c r="J1342" s="3">
        <v>46078.799212962964</v>
      </c>
      <c r="K1342" s="2" t="s">
        <v>9037</v>
      </c>
      <c r="L1342" s="1">
        <v>0</v>
      </c>
      <c r="M1342" s="1">
        <v>0</v>
      </c>
      <c r="N1342">
        <v>0</v>
      </c>
      <c r="O1342" s="3">
        <f>IF(
    R1342="Ancien",
    _xlfn.XLOOKUP(
        Final_Sans_VGE[[#This Row],[ppn_z]],
        tbl_Historique_Final[ppn_z],
        tbl_Historique_Final[Horodatage],
        ""
    ),
    Horodatage!$A$2
)</f>
        <v>46233.670796365739</v>
      </c>
      <c r="P1342" s="1" t="str">
        <f>IFERROR(IF(tbl_Historique_Final[[#This Row],[Commentaires]]&lt;&gt;"",tbl_Historique_Final[[#This Row],[Commentaires]],""),"")</f>
        <v/>
      </c>
      <c r="X1342" s="8" t="str">
        <f>IF(Final_Sans_VGE[[#This Row],[ppn_z]]="","",IFERROR(
   IF(_xlfn.XLOOKUP(Final_Sans_VGE[[#This Row],[ppn_z]],tbl_Historique_Final[ppn_z],tbl_Historique_Final[date_modif])=Final_Sans_VGE[[#This Row],[date_modif]],
      "Ancien",
      "Modifié"),
   "Nouveau"))</f>
        <v>Ancien</v>
      </c>
      <c r="AC1342"/>
      <c r="AD1342"/>
    </row>
    <row r="1343" spans="1:30" ht="30" x14ac:dyDescent="0.25">
      <c r="A1343" s="5" t="s">
        <v>4193</v>
      </c>
      <c r="B1343" s="1" t="s">
        <v>9038</v>
      </c>
      <c r="C1343" s="1" t="s">
        <v>12</v>
      </c>
      <c r="G1343" s="1" t="s">
        <v>10</v>
      </c>
      <c r="J1343" s="3">
        <v>46083.498171296298</v>
      </c>
      <c r="K1343" s="2" t="s">
        <v>9039</v>
      </c>
      <c r="L1343" s="1">
        <v>1</v>
      </c>
      <c r="M1343" s="1">
        <v>1</v>
      </c>
      <c r="N1343">
        <v>0</v>
      </c>
      <c r="O1343" s="3">
        <f>IF(
    R1343="Ancien",
    _xlfn.XLOOKUP(
        Final_Sans_VGE[[#This Row],[ppn_z]],
        tbl_Historique_Final[ppn_z],
        tbl_Historique_Final[Horodatage],
        ""
    ),
    Horodatage!$A$2
)</f>
        <v>46233.670796365739</v>
      </c>
      <c r="P1343" s="1" t="str">
        <f>IFERROR(IF(tbl_Historique_Final[[#This Row],[Commentaires]]&lt;&gt;"",tbl_Historique_Final[[#This Row],[Commentaires]],""),"")</f>
        <v/>
      </c>
      <c r="X1343" s="8" t="str">
        <f>IF(Final_Sans_VGE[[#This Row],[ppn_z]]="","",IFERROR(
   IF(_xlfn.XLOOKUP(Final_Sans_VGE[[#This Row],[ppn_z]],tbl_Historique_Final[ppn_z],tbl_Historique_Final[date_modif])=Final_Sans_VGE[[#This Row],[date_modif]],
      "Ancien",
      "Modifié"),
   "Nouveau"))</f>
        <v>Ancien</v>
      </c>
      <c r="AC1343"/>
      <c r="AD1343"/>
    </row>
    <row r="1344" spans="1:30" x14ac:dyDescent="0.25">
      <c r="A1344" s="5" t="s">
        <v>4196</v>
      </c>
      <c r="B1344" s="1" t="s">
        <v>9040</v>
      </c>
      <c r="C1344" s="1" t="s">
        <v>9041</v>
      </c>
      <c r="G1344" s="1" t="s">
        <v>11</v>
      </c>
      <c r="J1344" s="3">
        <v>46094.629872685182</v>
      </c>
      <c r="K1344" s="2" t="s">
        <v>9042</v>
      </c>
      <c r="L1344" s="1">
        <v>1</v>
      </c>
      <c r="M1344" s="1">
        <v>1</v>
      </c>
      <c r="N1344">
        <v>0</v>
      </c>
      <c r="O1344" s="3">
        <f>IF(
    R1344="Ancien",
    _xlfn.XLOOKUP(
        Final_Sans_VGE[[#This Row],[ppn_z]],
        tbl_Historique_Final[ppn_z],
        tbl_Historique_Final[Horodatage],
        ""
    ),
    Horodatage!$A$2
)</f>
        <v>46233.670796365739</v>
      </c>
      <c r="P1344" s="1" t="str">
        <f>IFERROR(IF(tbl_Historique_Final[[#This Row],[Commentaires]]&lt;&gt;"",tbl_Historique_Final[[#This Row],[Commentaires]],""),"")</f>
        <v/>
      </c>
      <c r="X1344" s="8" t="str">
        <f>IF(Final_Sans_VGE[[#This Row],[ppn_z]]="","",IFERROR(
   IF(_xlfn.XLOOKUP(Final_Sans_VGE[[#This Row],[ppn_z]],tbl_Historique_Final[ppn_z],tbl_Historique_Final[date_modif])=Final_Sans_VGE[[#This Row],[date_modif]],
      "Ancien",
      "Modifié"),
   "Nouveau"))</f>
        <v>Ancien</v>
      </c>
      <c r="AC1344"/>
      <c r="AD1344"/>
    </row>
    <row r="1345" spans="1:30" x14ac:dyDescent="0.25">
      <c r="A1345" s="5" t="s">
        <v>4199</v>
      </c>
      <c r="B1345" s="1" t="s">
        <v>9043</v>
      </c>
      <c r="C1345" s="1" t="s">
        <v>115</v>
      </c>
      <c r="J1345" s="3">
        <v>45971.460277777776</v>
      </c>
      <c r="L1345" s="1">
        <v>1</v>
      </c>
      <c r="M1345" s="1">
        <v>1</v>
      </c>
      <c r="N1345">
        <v>0</v>
      </c>
      <c r="O1345" s="3">
        <f>IF(
    R1345="Ancien",
    _xlfn.XLOOKUP(
        Final_Sans_VGE[[#This Row],[ppn_z]],
        tbl_Historique_Final[ppn_z],
        tbl_Historique_Final[Horodatage],
        ""
    ),
    Horodatage!$A$2
)</f>
        <v>46233.670796365739</v>
      </c>
      <c r="P1345" s="1" t="str">
        <f>IFERROR(IF(tbl_Historique_Final[[#This Row],[Commentaires]]&lt;&gt;"",tbl_Historique_Final[[#This Row],[Commentaires]],""),"")</f>
        <v/>
      </c>
      <c r="X1345" s="8" t="str">
        <f>IF(Final_Sans_VGE[[#This Row],[ppn_z]]="","",IFERROR(
   IF(_xlfn.XLOOKUP(Final_Sans_VGE[[#This Row],[ppn_z]],tbl_Historique_Final[ppn_z],tbl_Historique_Final[date_modif])=Final_Sans_VGE[[#This Row],[date_modif]],
      "Ancien",
      "Modifié"),
   "Nouveau"))</f>
        <v>Ancien</v>
      </c>
      <c r="AC1345"/>
      <c r="AD1345"/>
    </row>
    <row r="1346" spans="1:30" x14ac:dyDescent="0.25">
      <c r="A1346" s="5" t="s">
        <v>4202</v>
      </c>
      <c r="B1346" s="1" t="s">
        <v>9044</v>
      </c>
      <c r="C1346" s="1" t="s">
        <v>12</v>
      </c>
      <c r="G1346" s="1" t="s">
        <v>10</v>
      </c>
      <c r="J1346" s="3">
        <v>46101.36241898148</v>
      </c>
      <c r="K1346" s="2" t="s">
        <v>9045</v>
      </c>
      <c r="L1346" s="1">
        <v>1</v>
      </c>
      <c r="M1346" s="1">
        <v>1</v>
      </c>
      <c r="N1346">
        <v>0</v>
      </c>
      <c r="O1346" s="3">
        <f>IF(
    R1346="Ancien",
    _xlfn.XLOOKUP(
        Final_Sans_VGE[[#This Row],[ppn_z]],
        tbl_Historique_Final[ppn_z],
        tbl_Historique_Final[Horodatage],
        ""
    ),
    Horodatage!$A$2
)</f>
        <v>46233.670796365739</v>
      </c>
      <c r="P1346" s="1" t="str">
        <f>IFERROR(IF(tbl_Historique_Final[[#This Row],[Commentaires]]&lt;&gt;"",tbl_Historique_Final[[#This Row],[Commentaires]],""),"")</f>
        <v/>
      </c>
      <c r="X1346" s="8" t="str">
        <f>IF(Final_Sans_VGE[[#This Row],[ppn_z]]="","",IFERROR(
   IF(_xlfn.XLOOKUP(Final_Sans_VGE[[#This Row],[ppn_z]],tbl_Historique_Final[ppn_z],tbl_Historique_Final[date_modif])=Final_Sans_VGE[[#This Row],[date_modif]],
      "Ancien",
      "Modifié"),
   "Nouveau"))</f>
        <v>Ancien</v>
      </c>
      <c r="AC1346"/>
      <c r="AD1346"/>
    </row>
    <row r="1347" spans="1:30" ht="30" x14ac:dyDescent="0.25">
      <c r="A1347" s="5" t="s">
        <v>4205</v>
      </c>
      <c r="B1347" s="1" t="s">
        <v>9046</v>
      </c>
      <c r="C1347" s="1" t="s">
        <v>6607</v>
      </c>
      <c r="D1347" s="1" t="s">
        <v>14</v>
      </c>
      <c r="E1347" s="1" t="s">
        <v>88</v>
      </c>
      <c r="F1347" s="1" t="s">
        <v>14</v>
      </c>
      <c r="G1347" s="1" t="s">
        <v>10</v>
      </c>
      <c r="H1347" s="1" t="s">
        <v>22</v>
      </c>
      <c r="I1347" s="1" t="s">
        <v>22</v>
      </c>
      <c r="J1347" s="3">
        <v>46098.615497685183</v>
      </c>
      <c r="K1347" s="2" t="s">
        <v>9047</v>
      </c>
      <c r="L1347" s="1">
        <v>12</v>
      </c>
      <c r="M1347" s="1">
        <v>32</v>
      </c>
      <c r="N1347">
        <v>20</v>
      </c>
      <c r="O1347" s="3">
        <f>IF(
    R1347="Ancien",
    _xlfn.XLOOKUP(
        Final_Sans_VGE[[#This Row],[ppn_z]],
        tbl_Historique_Final[ppn_z],
        tbl_Historique_Final[Horodatage],
        ""
    ),
    Horodatage!$A$2
)</f>
        <v>46233.670796365739</v>
      </c>
      <c r="P1347" s="1" t="str">
        <f>IFERROR(IF(tbl_Historique_Final[[#This Row],[Commentaires]]&lt;&gt;"",tbl_Historique_Final[[#This Row],[Commentaires]],""),"")</f>
        <v/>
      </c>
      <c r="X1347" s="8" t="str">
        <f>IF(Final_Sans_VGE[[#This Row],[ppn_z]]="","",IFERROR(
   IF(_xlfn.XLOOKUP(Final_Sans_VGE[[#This Row],[ppn_z]],tbl_Historique_Final[ppn_z],tbl_Historique_Final[date_modif])=Final_Sans_VGE[[#This Row],[date_modif]],
      "Ancien",
      "Modifié"),
   "Nouveau"))</f>
        <v>Ancien</v>
      </c>
      <c r="AC1347"/>
      <c r="AD1347"/>
    </row>
    <row r="1348" spans="1:30" x14ac:dyDescent="0.25">
      <c r="A1348" s="5" t="s">
        <v>4208</v>
      </c>
      <c r="B1348" s="1" t="s">
        <v>9048</v>
      </c>
      <c r="C1348" s="1" t="s">
        <v>9049</v>
      </c>
      <c r="D1348" s="1" t="s">
        <v>14</v>
      </c>
      <c r="E1348" s="1" t="s">
        <v>8571</v>
      </c>
      <c r="F1348" s="1" t="s">
        <v>14</v>
      </c>
      <c r="G1348" s="1" t="s">
        <v>10</v>
      </c>
      <c r="H1348" s="1" t="s">
        <v>10518</v>
      </c>
      <c r="I1348" s="1" t="s">
        <v>22</v>
      </c>
      <c r="J1348" s="3">
        <v>46064.632418981484</v>
      </c>
      <c r="K1348" s="2" t="s">
        <v>7461</v>
      </c>
      <c r="L1348" s="1">
        <v>3</v>
      </c>
      <c r="M1348" s="1">
        <v>5</v>
      </c>
      <c r="N1348">
        <v>2</v>
      </c>
      <c r="O1348" s="3">
        <f>IF(
    R1348="Ancien",
    _xlfn.XLOOKUP(
        Final_Sans_VGE[[#This Row],[ppn_z]],
        tbl_Historique_Final[ppn_z],
        tbl_Historique_Final[Horodatage],
        ""
    ),
    Horodatage!$A$2
)</f>
        <v>46233.670796365739</v>
      </c>
      <c r="P1348" s="1" t="str">
        <f>IFERROR(IF(tbl_Historique_Final[[#This Row],[Commentaires]]&lt;&gt;"",tbl_Historique_Final[[#This Row],[Commentaires]],""),"")</f>
        <v/>
      </c>
      <c r="X1348" s="8" t="str">
        <f>IF(Final_Sans_VGE[[#This Row],[ppn_z]]="","",IFERROR(
   IF(_xlfn.XLOOKUP(Final_Sans_VGE[[#This Row],[ppn_z]],tbl_Historique_Final[ppn_z],tbl_Historique_Final[date_modif])=Final_Sans_VGE[[#This Row],[date_modif]],
      "Ancien",
      "Modifié"),
   "Nouveau"))</f>
        <v>Ancien</v>
      </c>
      <c r="AC1348"/>
      <c r="AD1348"/>
    </row>
    <row r="1349" spans="1:30" ht="45" x14ac:dyDescent="0.25">
      <c r="A1349" s="5" t="s">
        <v>4211</v>
      </c>
      <c r="B1349" s="1" t="s">
        <v>9050</v>
      </c>
      <c r="C1349" s="1" t="s">
        <v>122</v>
      </c>
      <c r="D1349" s="1" t="s">
        <v>8589</v>
      </c>
      <c r="E1349" s="1" t="s">
        <v>108</v>
      </c>
      <c r="G1349" s="1" t="s">
        <v>10</v>
      </c>
      <c r="H1349" s="1" t="s">
        <v>140</v>
      </c>
      <c r="I1349" s="1" t="s">
        <v>9051</v>
      </c>
      <c r="J1349" s="3">
        <v>46070.58699074074</v>
      </c>
      <c r="K1349" s="2" t="s">
        <v>9052</v>
      </c>
      <c r="L1349" s="1">
        <v>0</v>
      </c>
      <c r="M1349" s="1">
        <v>0</v>
      </c>
      <c r="N1349">
        <v>0</v>
      </c>
      <c r="O1349" s="3">
        <f>IF(
    R1349="Ancien",
    _xlfn.XLOOKUP(
        Final_Sans_VGE[[#This Row],[ppn_z]],
        tbl_Historique_Final[ppn_z],
        tbl_Historique_Final[Horodatage],
        ""
    ),
    Horodatage!$A$2
)</f>
        <v>46233.670796365739</v>
      </c>
      <c r="P1349" s="1" t="str">
        <f>IFERROR(IF(tbl_Historique_Final[[#This Row],[Commentaires]]&lt;&gt;"",tbl_Historique_Final[[#This Row],[Commentaires]],""),"")</f>
        <v/>
      </c>
      <c r="X1349" s="8" t="str">
        <f>IF(Final_Sans_VGE[[#This Row],[ppn_z]]="","",IFERROR(
   IF(_xlfn.XLOOKUP(Final_Sans_VGE[[#This Row],[ppn_z]],tbl_Historique_Final[ppn_z],tbl_Historique_Final[date_modif])=Final_Sans_VGE[[#This Row],[date_modif]],
      "Ancien",
      "Modifié"),
   "Nouveau"))</f>
        <v>Ancien</v>
      </c>
      <c r="AC1349"/>
      <c r="AD1349"/>
    </row>
    <row r="1350" spans="1:30" x14ac:dyDescent="0.25">
      <c r="A1350" s="5" t="s">
        <v>4214</v>
      </c>
      <c r="B1350" s="1" t="s">
        <v>9053</v>
      </c>
      <c r="C1350" s="1" t="s">
        <v>6482</v>
      </c>
      <c r="J1350" s="3">
        <v>45978.353958333333</v>
      </c>
      <c r="L1350" s="1">
        <v>1</v>
      </c>
      <c r="M1350" s="1">
        <v>1</v>
      </c>
      <c r="N1350">
        <v>0</v>
      </c>
      <c r="O1350" s="3">
        <f>IF(
    R1350="Ancien",
    _xlfn.XLOOKUP(
        Final_Sans_VGE[[#This Row],[ppn_z]],
        tbl_Historique_Final[ppn_z],
        tbl_Historique_Final[Horodatage],
        ""
    ),
    Horodatage!$A$2
)</f>
        <v>46233.670796365739</v>
      </c>
      <c r="P1350" s="1" t="str">
        <f>IFERROR(IF(tbl_Historique_Final[[#This Row],[Commentaires]]&lt;&gt;"",tbl_Historique_Final[[#This Row],[Commentaires]],""),"")</f>
        <v/>
      </c>
      <c r="X1350" s="8" t="str">
        <f>IF(Final_Sans_VGE[[#This Row],[ppn_z]]="","",IFERROR(
   IF(_xlfn.XLOOKUP(Final_Sans_VGE[[#This Row],[ppn_z]],tbl_Historique_Final[ppn_z],tbl_Historique_Final[date_modif])=Final_Sans_VGE[[#This Row],[date_modif]],
      "Ancien",
      "Modifié"),
   "Nouveau"))</f>
        <v>Ancien</v>
      </c>
      <c r="AC1350"/>
      <c r="AD1350"/>
    </row>
    <row r="1351" spans="1:30" x14ac:dyDescent="0.25">
      <c r="A1351" s="5" t="s">
        <v>4217</v>
      </c>
      <c r="B1351" s="1" t="s">
        <v>9054</v>
      </c>
      <c r="C1351" s="1" t="s">
        <v>7460</v>
      </c>
      <c r="D1351" s="1" t="s">
        <v>14</v>
      </c>
      <c r="E1351" s="1" t="s">
        <v>8413</v>
      </c>
      <c r="F1351" s="1" t="s">
        <v>14</v>
      </c>
      <c r="G1351" s="1" t="s">
        <v>10</v>
      </c>
      <c r="H1351" s="1" t="s">
        <v>22</v>
      </c>
      <c r="I1351" s="1" t="s">
        <v>22</v>
      </c>
      <c r="J1351" s="3">
        <v>46064.633333333331</v>
      </c>
      <c r="K1351" s="2" t="s">
        <v>9055</v>
      </c>
      <c r="L1351" s="1">
        <v>7</v>
      </c>
      <c r="M1351" s="1">
        <v>7</v>
      </c>
      <c r="N1351">
        <v>0</v>
      </c>
      <c r="O1351" s="3">
        <f>IF(
    R1351="Ancien",
    _xlfn.XLOOKUP(
        Final_Sans_VGE[[#This Row],[ppn_z]],
        tbl_Historique_Final[ppn_z],
        tbl_Historique_Final[Horodatage],
        ""
    ),
    Horodatage!$A$2
)</f>
        <v>46233.670796365739</v>
      </c>
      <c r="P1351" s="1" t="str">
        <f>IFERROR(IF(tbl_Historique_Final[[#This Row],[Commentaires]]&lt;&gt;"",tbl_Historique_Final[[#This Row],[Commentaires]],""),"")</f>
        <v/>
      </c>
      <c r="X1351" s="8" t="str">
        <f>IF(Final_Sans_VGE[[#This Row],[ppn_z]]="","",IFERROR(
   IF(_xlfn.XLOOKUP(Final_Sans_VGE[[#This Row],[ppn_z]],tbl_Historique_Final[ppn_z],tbl_Historique_Final[date_modif])=Final_Sans_VGE[[#This Row],[date_modif]],
      "Ancien",
      "Modifié"),
   "Nouveau"))</f>
        <v>Ancien</v>
      </c>
      <c r="AC1351"/>
      <c r="AD1351"/>
    </row>
    <row r="1352" spans="1:30" x14ac:dyDescent="0.25">
      <c r="A1352" s="5" t="s">
        <v>4220</v>
      </c>
      <c r="B1352" s="1" t="s">
        <v>9056</v>
      </c>
      <c r="C1352" s="1" t="s">
        <v>7802</v>
      </c>
      <c r="D1352" s="1" t="s">
        <v>14</v>
      </c>
      <c r="E1352" s="1" t="s">
        <v>136</v>
      </c>
      <c r="F1352" s="1" t="s">
        <v>14</v>
      </c>
      <c r="G1352" s="1" t="s">
        <v>10</v>
      </c>
      <c r="H1352" s="1" t="s">
        <v>22</v>
      </c>
      <c r="I1352" s="1" t="s">
        <v>22</v>
      </c>
      <c r="J1352" s="3">
        <v>46087.617407407408</v>
      </c>
      <c r="K1352" s="2" t="s">
        <v>9057</v>
      </c>
      <c r="L1352" s="1">
        <v>90</v>
      </c>
      <c r="M1352" s="1">
        <v>90</v>
      </c>
      <c r="N1352">
        <v>0</v>
      </c>
      <c r="O1352" s="3">
        <f>IF(
    R1352="Ancien",
    _xlfn.XLOOKUP(
        Final_Sans_VGE[[#This Row],[ppn_z]],
        tbl_Historique_Final[ppn_z],
        tbl_Historique_Final[Horodatage],
        ""
    ),
    Horodatage!$A$2
)</f>
        <v>46233.670796365739</v>
      </c>
      <c r="P1352" s="1" t="str">
        <f>IFERROR(IF(tbl_Historique_Final[[#This Row],[Commentaires]]&lt;&gt;"",tbl_Historique_Final[[#This Row],[Commentaires]],""),"")</f>
        <v/>
      </c>
      <c r="X1352" s="8" t="str">
        <f>IF(Final_Sans_VGE[[#This Row],[ppn_z]]="","",IFERROR(
   IF(_xlfn.XLOOKUP(Final_Sans_VGE[[#This Row],[ppn_z]],tbl_Historique_Final[ppn_z],tbl_Historique_Final[date_modif])=Final_Sans_VGE[[#This Row],[date_modif]],
      "Ancien",
      "Modifié"),
   "Nouveau"))</f>
        <v>Ancien</v>
      </c>
      <c r="AC1352"/>
      <c r="AD1352"/>
    </row>
    <row r="1353" spans="1:30" x14ac:dyDescent="0.25">
      <c r="A1353" s="5" t="s">
        <v>4223</v>
      </c>
      <c r="B1353" s="1" t="s">
        <v>9058</v>
      </c>
      <c r="C1353" s="1" t="s">
        <v>143</v>
      </c>
      <c r="D1353" s="1" t="s">
        <v>9059</v>
      </c>
      <c r="E1353" s="1" t="s">
        <v>58</v>
      </c>
      <c r="F1353" s="1" t="s">
        <v>14</v>
      </c>
      <c r="G1353" s="1" t="s">
        <v>10</v>
      </c>
      <c r="H1353" s="1" t="s">
        <v>22</v>
      </c>
      <c r="I1353" s="1" t="s">
        <v>22</v>
      </c>
      <c r="J1353" s="3">
        <v>46076.365532407406</v>
      </c>
      <c r="K1353" s="2" t="s">
        <v>6369</v>
      </c>
      <c r="L1353" s="1">
        <v>10</v>
      </c>
      <c r="M1353" s="1">
        <v>11</v>
      </c>
      <c r="N1353">
        <v>1</v>
      </c>
      <c r="O1353" s="3">
        <f>IF(
    R1353="Ancien",
    _xlfn.XLOOKUP(
        Final_Sans_VGE[[#This Row],[ppn_z]],
        tbl_Historique_Final[ppn_z],
        tbl_Historique_Final[Horodatage],
        ""
    ),
    Horodatage!$A$2
)</f>
        <v>46233.670796365739</v>
      </c>
      <c r="P1353" s="1" t="str">
        <f>IFERROR(IF(tbl_Historique_Final[[#This Row],[Commentaires]]&lt;&gt;"",tbl_Historique_Final[[#This Row],[Commentaires]],""),"")</f>
        <v/>
      </c>
      <c r="X1353" s="8" t="str">
        <f>IF(Final_Sans_VGE[[#This Row],[ppn_z]]="","",IFERROR(
   IF(_xlfn.XLOOKUP(Final_Sans_VGE[[#This Row],[ppn_z]],tbl_Historique_Final[ppn_z],tbl_Historique_Final[date_modif])=Final_Sans_VGE[[#This Row],[date_modif]],
      "Ancien",
      "Modifié"),
   "Nouveau"))</f>
        <v>Ancien</v>
      </c>
      <c r="AC1353"/>
      <c r="AD1353"/>
    </row>
    <row r="1354" spans="1:30" ht="30" x14ac:dyDescent="0.25">
      <c r="A1354" s="5" t="s">
        <v>4226</v>
      </c>
      <c r="B1354" s="1" t="s">
        <v>9060</v>
      </c>
      <c r="C1354" s="1" t="s">
        <v>9061</v>
      </c>
      <c r="D1354" s="1" t="s">
        <v>8318</v>
      </c>
      <c r="E1354" s="1" t="s">
        <v>30</v>
      </c>
      <c r="F1354" s="1" t="s">
        <v>9062</v>
      </c>
      <c r="G1354" s="1" t="s">
        <v>10</v>
      </c>
      <c r="H1354" s="1" t="s">
        <v>22</v>
      </c>
      <c r="I1354" s="1" t="s">
        <v>22</v>
      </c>
      <c r="J1354" s="3">
        <v>46070.37568287037</v>
      </c>
      <c r="K1354" s="2" t="s">
        <v>9063</v>
      </c>
      <c r="L1354" s="1">
        <v>84</v>
      </c>
      <c r="M1354" s="1">
        <v>88</v>
      </c>
      <c r="N1354">
        <v>4</v>
      </c>
      <c r="O1354" s="3">
        <f>IF(
    R1354="Ancien",
    _xlfn.XLOOKUP(
        Final_Sans_VGE[[#This Row],[ppn_z]],
        tbl_Historique_Final[ppn_z],
        tbl_Historique_Final[Horodatage],
        ""
    ),
    Horodatage!$A$2
)</f>
        <v>46233.670796365739</v>
      </c>
      <c r="P1354" s="1" t="str">
        <f>IFERROR(IF(tbl_Historique_Final[[#This Row],[Commentaires]]&lt;&gt;"",tbl_Historique_Final[[#This Row],[Commentaires]],""),"")</f>
        <v/>
      </c>
      <c r="X1354" s="8" t="str">
        <f>IF(Final_Sans_VGE[[#This Row],[ppn_z]]="","",IFERROR(
   IF(_xlfn.XLOOKUP(Final_Sans_VGE[[#This Row],[ppn_z]],tbl_Historique_Final[ppn_z],tbl_Historique_Final[date_modif])=Final_Sans_VGE[[#This Row],[date_modif]],
      "Ancien",
      "Modifié"),
   "Nouveau"))</f>
        <v>Ancien</v>
      </c>
      <c r="AC1354"/>
      <c r="AD1354"/>
    </row>
    <row r="1355" spans="1:30" x14ac:dyDescent="0.25">
      <c r="A1355" s="5" t="s">
        <v>4229</v>
      </c>
      <c r="B1355" s="1" t="s">
        <v>9064</v>
      </c>
      <c r="C1355" s="1" t="s">
        <v>7759</v>
      </c>
      <c r="D1355" s="1" t="s">
        <v>14</v>
      </c>
      <c r="E1355" s="1" t="s">
        <v>6746</v>
      </c>
      <c r="F1355" s="1" t="s">
        <v>14</v>
      </c>
      <c r="G1355" s="1" t="s">
        <v>10</v>
      </c>
      <c r="H1355" s="1" t="s">
        <v>22</v>
      </c>
      <c r="I1355" s="1" t="s">
        <v>140</v>
      </c>
      <c r="J1355" s="3">
        <v>46065.663958333331</v>
      </c>
      <c r="K1355" s="2" t="s">
        <v>9065</v>
      </c>
      <c r="L1355" s="1">
        <v>0</v>
      </c>
      <c r="M1355" s="1">
        <v>1</v>
      </c>
      <c r="N1355">
        <v>1</v>
      </c>
      <c r="O1355" s="3">
        <f>IF(
    R1355="Ancien",
    _xlfn.XLOOKUP(
        Final_Sans_VGE[[#This Row],[ppn_z]],
        tbl_Historique_Final[ppn_z],
        tbl_Historique_Final[Horodatage],
        ""
    ),
    Horodatage!$A$2
)</f>
        <v>46233.670796365739</v>
      </c>
      <c r="P1355" s="1" t="str">
        <f>IFERROR(IF(tbl_Historique_Final[[#This Row],[Commentaires]]&lt;&gt;"",tbl_Historique_Final[[#This Row],[Commentaires]],""),"")</f>
        <v/>
      </c>
      <c r="X1355" s="8" t="str">
        <f>IF(Final_Sans_VGE[[#This Row],[ppn_z]]="","",IFERROR(
   IF(_xlfn.XLOOKUP(Final_Sans_VGE[[#This Row],[ppn_z]],tbl_Historique_Final[ppn_z],tbl_Historique_Final[date_modif])=Final_Sans_VGE[[#This Row],[date_modif]],
      "Ancien",
      "Modifié"),
   "Nouveau"))</f>
        <v>Ancien</v>
      </c>
      <c r="AC1355"/>
      <c r="AD1355"/>
    </row>
    <row r="1356" spans="1:30" x14ac:dyDescent="0.25">
      <c r="A1356" s="5" t="s">
        <v>4232</v>
      </c>
      <c r="B1356" s="1" t="s">
        <v>9066</v>
      </c>
      <c r="J1356" s="3">
        <v>45918.567395833335</v>
      </c>
      <c r="L1356" s="1">
        <v>1</v>
      </c>
      <c r="M1356" s="1">
        <v>1</v>
      </c>
      <c r="N1356">
        <v>0</v>
      </c>
      <c r="O1356" s="3">
        <f>IF(
    R1356="Ancien",
    _xlfn.XLOOKUP(
        Final_Sans_VGE[[#This Row],[ppn_z]],
        tbl_Historique_Final[ppn_z],
        tbl_Historique_Final[Horodatage],
        ""
    ),
    Horodatage!$A$2
)</f>
        <v>46233.670796365739</v>
      </c>
      <c r="P1356" s="1" t="str">
        <f>IFERROR(IF(tbl_Historique_Final[[#This Row],[Commentaires]]&lt;&gt;"",tbl_Historique_Final[[#This Row],[Commentaires]],""),"")</f>
        <v/>
      </c>
      <c r="X1356" s="8" t="str">
        <f>IF(Final_Sans_VGE[[#This Row],[ppn_z]]="","",IFERROR(
   IF(_xlfn.XLOOKUP(Final_Sans_VGE[[#This Row],[ppn_z]],tbl_Historique_Final[ppn_z],tbl_Historique_Final[date_modif])=Final_Sans_VGE[[#This Row],[date_modif]],
      "Ancien",
      "Modifié"),
   "Nouveau"))</f>
        <v>Ancien</v>
      </c>
      <c r="AC1356"/>
      <c r="AD1356"/>
    </row>
    <row r="1357" spans="1:30" ht="30" x14ac:dyDescent="0.25">
      <c r="A1357" s="5" t="s">
        <v>4235</v>
      </c>
      <c r="B1357" s="1" t="s">
        <v>9067</v>
      </c>
      <c r="C1357" s="1" t="s">
        <v>96</v>
      </c>
      <c r="D1357" s="1" t="s">
        <v>9068</v>
      </c>
      <c r="E1357" s="1" t="s">
        <v>120</v>
      </c>
      <c r="F1357" s="1" t="s">
        <v>14</v>
      </c>
      <c r="G1357" s="1" t="s">
        <v>10</v>
      </c>
      <c r="H1357" s="1" t="s">
        <v>22</v>
      </c>
      <c r="I1357" s="1" t="s">
        <v>22</v>
      </c>
      <c r="J1357" s="3">
        <v>46098.799189814818</v>
      </c>
      <c r="K1357" s="2" t="s">
        <v>9069</v>
      </c>
      <c r="L1357" s="1">
        <v>6</v>
      </c>
      <c r="M1357" s="1">
        <v>6</v>
      </c>
      <c r="N1357">
        <v>0</v>
      </c>
      <c r="O1357" s="3">
        <f>IF(
    R1357="Ancien",
    _xlfn.XLOOKUP(
        Final_Sans_VGE[[#This Row],[ppn_z]],
        tbl_Historique_Final[ppn_z],
        tbl_Historique_Final[Horodatage],
        ""
    ),
    Horodatage!$A$2
)</f>
        <v>46233.670796365739</v>
      </c>
      <c r="P1357" s="1" t="str">
        <f>IFERROR(IF(tbl_Historique_Final[[#This Row],[Commentaires]]&lt;&gt;"",tbl_Historique_Final[[#This Row],[Commentaires]],""),"")</f>
        <v/>
      </c>
      <c r="X1357" s="8" t="str">
        <f>IF(Final_Sans_VGE[[#This Row],[ppn_z]]="","",IFERROR(
   IF(_xlfn.XLOOKUP(Final_Sans_VGE[[#This Row],[ppn_z]],tbl_Historique_Final[ppn_z],tbl_Historique_Final[date_modif])=Final_Sans_VGE[[#This Row],[date_modif]],
      "Ancien",
      "Modifié"),
   "Nouveau"))</f>
        <v>Ancien</v>
      </c>
      <c r="AC1357"/>
      <c r="AD1357"/>
    </row>
    <row r="1358" spans="1:30" ht="30" x14ac:dyDescent="0.25">
      <c r="A1358" s="5" t="s">
        <v>4238</v>
      </c>
      <c r="B1358" s="1" t="s">
        <v>9070</v>
      </c>
      <c r="C1358" s="1" t="s">
        <v>12</v>
      </c>
      <c r="G1358" s="1" t="s">
        <v>11</v>
      </c>
      <c r="J1358" s="3">
        <v>46076.566435185188</v>
      </c>
      <c r="K1358" s="2" t="s">
        <v>9071</v>
      </c>
      <c r="L1358" s="1">
        <v>29</v>
      </c>
      <c r="M1358" s="1">
        <v>30</v>
      </c>
      <c r="N1358">
        <v>1</v>
      </c>
      <c r="O1358" s="3">
        <f>IF(
    R1358="Ancien",
    _xlfn.XLOOKUP(
        Final_Sans_VGE[[#This Row],[ppn_z]],
        tbl_Historique_Final[ppn_z],
        tbl_Historique_Final[Horodatage],
        ""
    ),
    Horodatage!$A$2
)</f>
        <v>46233.670796365739</v>
      </c>
      <c r="P1358" s="1" t="str">
        <f>IFERROR(IF(tbl_Historique_Final[[#This Row],[Commentaires]]&lt;&gt;"",tbl_Historique_Final[[#This Row],[Commentaires]],""),"")</f>
        <v/>
      </c>
      <c r="X1358" s="8" t="str">
        <f>IF(Final_Sans_VGE[[#This Row],[ppn_z]]="","",IFERROR(
   IF(_xlfn.XLOOKUP(Final_Sans_VGE[[#This Row],[ppn_z]],tbl_Historique_Final[ppn_z],tbl_Historique_Final[date_modif])=Final_Sans_VGE[[#This Row],[date_modif]],
      "Ancien",
      "Modifié"),
   "Nouveau"))</f>
        <v>Ancien</v>
      </c>
      <c r="AC1358"/>
      <c r="AD1358"/>
    </row>
    <row r="1359" spans="1:30" x14ac:dyDescent="0.25">
      <c r="A1359" s="5" t="s">
        <v>4241</v>
      </c>
      <c r="B1359" s="1" t="s">
        <v>9072</v>
      </c>
      <c r="C1359" s="1" t="s">
        <v>9073</v>
      </c>
      <c r="E1359" s="1" t="s">
        <v>9074</v>
      </c>
      <c r="J1359" s="3">
        <v>46098.759629629632</v>
      </c>
      <c r="K1359" s="2" t="s">
        <v>9075</v>
      </c>
      <c r="L1359" s="1">
        <v>18</v>
      </c>
      <c r="M1359" s="1">
        <v>19</v>
      </c>
      <c r="N1359">
        <v>1</v>
      </c>
      <c r="O1359" s="3">
        <f>IF(
    R1359="Ancien",
    _xlfn.XLOOKUP(
        Final_Sans_VGE[[#This Row],[ppn_z]],
        tbl_Historique_Final[ppn_z],
        tbl_Historique_Final[Horodatage],
        ""
    ),
    Horodatage!$A$2
)</f>
        <v>46233.670796365739</v>
      </c>
      <c r="P1359" s="1" t="str">
        <f>IFERROR(IF(tbl_Historique_Final[[#This Row],[Commentaires]]&lt;&gt;"",tbl_Historique_Final[[#This Row],[Commentaires]],""),"")</f>
        <v/>
      </c>
      <c r="X1359" s="8" t="str">
        <f>IF(Final_Sans_VGE[[#This Row],[ppn_z]]="","",IFERROR(
   IF(_xlfn.XLOOKUP(Final_Sans_VGE[[#This Row],[ppn_z]],tbl_Historique_Final[ppn_z],tbl_Historique_Final[date_modif])=Final_Sans_VGE[[#This Row],[date_modif]],
      "Ancien",
      "Modifié"),
   "Nouveau"))</f>
        <v>Ancien</v>
      </c>
      <c r="AC1359"/>
      <c r="AD1359"/>
    </row>
    <row r="1360" spans="1:30" x14ac:dyDescent="0.25">
      <c r="A1360" s="5" t="s">
        <v>4244</v>
      </c>
      <c r="B1360" s="1" t="s">
        <v>9076</v>
      </c>
      <c r="C1360" s="1" t="s">
        <v>8761</v>
      </c>
      <c r="D1360" s="1" t="s">
        <v>14</v>
      </c>
      <c r="E1360" s="1" t="s">
        <v>143</v>
      </c>
      <c r="F1360" s="1" t="s">
        <v>14</v>
      </c>
      <c r="G1360" s="1" t="s">
        <v>10</v>
      </c>
      <c r="H1360" s="1" t="s">
        <v>22</v>
      </c>
      <c r="I1360" s="1" t="s">
        <v>22</v>
      </c>
      <c r="J1360" s="3">
        <v>46065.414571759262</v>
      </c>
      <c r="L1360" s="1">
        <v>16</v>
      </c>
      <c r="M1360" s="1">
        <v>18</v>
      </c>
      <c r="N1360">
        <v>2</v>
      </c>
      <c r="O1360" s="3">
        <f>IF(
    R1360="Ancien",
    _xlfn.XLOOKUP(
        Final_Sans_VGE[[#This Row],[ppn_z]],
        tbl_Historique_Final[ppn_z],
        tbl_Historique_Final[Horodatage],
        ""
    ),
    Horodatage!$A$2
)</f>
        <v>46233.670796365739</v>
      </c>
      <c r="P1360" s="1" t="str">
        <f>IFERROR(IF(tbl_Historique_Final[[#This Row],[Commentaires]]&lt;&gt;"",tbl_Historique_Final[[#This Row],[Commentaires]],""),"")</f>
        <v/>
      </c>
      <c r="X1360" s="8" t="str">
        <f>IF(Final_Sans_VGE[[#This Row],[ppn_z]]="","",IFERROR(
   IF(_xlfn.XLOOKUP(Final_Sans_VGE[[#This Row],[ppn_z]],tbl_Historique_Final[ppn_z],tbl_Historique_Final[date_modif])=Final_Sans_VGE[[#This Row],[date_modif]],
      "Ancien",
      "Modifié"),
   "Nouveau"))</f>
        <v>Ancien</v>
      </c>
      <c r="AC1360"/>
      <c r="AD1360"/>
    </row>
    <row r="1361" spans="1:30" ht="30" x14ac:dyDescent="0.25">
      <c r="A1361" s="5" t="s">
        <v>4247</v>
      </c>
      <c r="B1361" s="1" t="s">
        <v>9077</v>
      </c>
      <c r="C1361" s="1" t="s">
        <v>6447</v>
      </c>
      <c r="G1361" s="1" t="s">
        <v>10</v>
      </c>
      <c r="J1361" s="3">
        <v>46090.688090277778</v>
      </c>
      <c r="K1361" s="2" t="s">
        <v>9078</v>
      </c>
      <c r="L1361" s="1">
        <v>12</v>
      </c>
      <c r="M1361" s="1">
        <v>13</v>
      </c>
      <c r="N1361">
        <v>1</v>
      </c>
      <c r="O1361" s="3">
        <f>IF(
    R1361="Ancien",
    _xlfn.XLOOKUP(
        Final_Sans_VGE[[#This Row],[ppn_z]],
        tbl_Historique_Final[ppn_z],
        tbl_Historique_Final[Horodatage],
        ""
    ),
    Horodatage!$A$2
)</f>
        <v>46233.670796365739</v>
      </c>
      <c r="P1361" s="1" t="str">
        <f>IFERROR(IF(tbl_Historique_Final[[#This Row],[Commentaires]]&lt;&gt;"",tbl_Historique_Final[[#This Row],[Commentaires]],""),"")</f>
        <v/>
      </c>
      <c r="X1361" s="8" t="str">
        <f>IF(Final_Sans_VGE[[#This Row],[ppn_z]]="","",IFERROR(
   IF(_xlfn.XLOOKUP(Final_Sans_VGE[[#This Row],[ppn_z]],tbl_Historique_Final[ppn_z],tbl_Historique_Final[date_modif])=Final_Sans_VGE[[#This Row],[date_modif]],
      "Ancien",
      "Modifié"),
   "Nouveau"))</f>
        <v>Ancien</v>
      </c>
      <c r="AC1361"/>
      <c r="AD1361"/>
    </row>
    <row r="1362" spans="1:30" x14ac:dyDescent="0.25">
      <c r="A1362" s="5" t="s">
        <v>4250</v>
      </c>
      <c r="B1362" s="1" t="s">
        <v>9079</v>
      </c>
      <c r="C1362" s="1" t="s">
        <v>6792</v>
      </c>
      <c r="D1362" s="1" t="s">
        <v>14</v>
      </c>
      <c r="E1362" s="1" t="s">
        <v>50</v>
      </c>
      <c r="F1362" s="1" t="s">
        <v>8968</v>
      </c>
      <c r="G1362" s="1" t="s">
        <v>10</v>
      </c>
      <c r="H1362" s="1" t="s">
        <v>140</v>
      </c>
      <c r="I1362" s="1" t="s">
        <v>22</v>
      </c>
      <c r="J1362" s="3">
        <v>46065.473564814813</v>
      </c>
      <c r="K1362" s="2" t="s">
        <v>9080</v>
      </c>
      <c r="L1362" s="1">
        <v>4</v>
      </c>
      <c r="M1362" s="1">
        <v>11</v>
      </c>
      <c r="N1362">
        <v>7</v>
      </c>
      <c r="O1362" s="3">
        <f>IF(
    R1362="Ancien",
    _xlfn.XLOOKUP(
        Final_Sans_VGE[[#This Row],[ppn_z]],
        tbl_Historique_Final[ppn_z],
        tbl_Historique_Final[Horodatage],
        ""
    ),
    Horodatage!$A$2
)</f>
        <v>46233.670796365739</v>
      </c>
      <c r="P1362" s="1" t="str">
        <f>IFERROR(IF(tbl_Historique_Final[[#This Row],[Commentaires]]&lt;&gt;"",tbl_Historique_Final[[#This Row],[Commentaires]],""),"")</f>
        <v/>
      </c>
      <c r="X1362" s="8" t="str">
        <f>IF(Final_Sans_VGE[[#This Row],[ppn_z]]="","",IFERROR(
   IF(_xlfn.XLOOKUP(Final_Sans_VGE[[#This Row],[ppn_z]],tbl_Historique_Final[ppn_z],tbl_Historique_Final[date_modif])=Final_Sans_VGE[[#This Row],[date_modif]],
      "Ancien",
      "Modifié"),
   "Nouveau"))</f>
        <v>Ancien</v>
      </c>
      <c r="AC1362"/>
      <c r="AD1362"/>
    </row>
    <row r="1363" spans="1:30" ht="30" x14ac:dyDescent="0.25">
      <c r="A1363" s="5" t="s">
        <v>4253</v>
      </c>
      <c r="B1363" s="1" t="s">
        <v>9081</v>
      </c>
      <c r="C1363" s="1" t="s">
        <v>79</v>
      </c>
      <c r="D1363" s="1" t="s">
        <v>114</v>
      </c>
      <c r="G1363" s="1" t="s">
        <v>10</v>
      </c>
      <c r="H1363" s="1" t="s">
        <v>140</v>
      </c>
      <c r="I1363" s="1" t="s">
        <v>9082</v>
      </c>
      <c r="J1363" s="3">
        <v>46091.707858796297</v>
      </c>
      <c r="K1363" s="2" t="s">
        <v>9083</v>
      </c>
      <c r="L1363" s="1">
        <v>22</v>
      </c>
      <c r="M1363" s="1">
        <v>72</v>
      </c>
      <c r="N1363">
        <v>50</v>
      </c>
      <c r="O1363" s="3">
        <f>IF(
    R1363="Ancien",
    _xlfn.XLOOKUP(
        Final_Sans_VGE[[#This Row],[ppn_z]],
        tbl_Historique_Final[ppn_z],
        tbl_Historique_Final[Horodatage],
        ""
    ),
    Horodatage!$A$2
)</f>
        <v>46233.670796365739</v>
      </c>
      <c r="P1363" s="1" t="str">
        <f>IFERROR(IF(tbl_Historique_Final[[#This Row],[Commentaires]]&lt;&gt;"",tbl_Historique_Final[[#This Row],[Commentaires]],""),"")</f>
        <v/>
      </c>
      <c r="X1363" s="8" t="str">
        <f>IF(Final_Sans_VGE[[#This Row],[ppn_z]]="","",IFERROR(
   IF(_xlfn.XLOOKUP(Final_Sans_VGE[[#This Row],[ppn_z]],tbl_Historique_Final[ppn_z],tbl_Historique_Final[date_modif])=Final_Sans_VGE[[#This Row],[date_modif]],
      "Ancien",
      "Modifié"),
   "Nouveau"))</f>
        <v>Ancien</v>
      </c>
      <c r="AC1363"/>
      <c r="AD1363"/>
    </row>
    <row r="1364" spans="1:30" x14ac:dyDescent="0.25">
      <c r="A1364" s="5" t="s">
        <v>4256</v>
      </c>
      <c r="B1364" s="1" t="s">
        <v>9084</v>
      </c>
      <c r="C1364" s="1" t="s">
        <v>12</v>
      </c>
      <c r="G1364" s="1" t="s">
        <v>10</v>
      </c>
      <c r="J1364" s="3">
        <v>46101.361331018517</v>
      </c>
      <c r="K1364" s="2" t="s">
        <v>9045</v>
      </c>
      <c r="L1364" s="1">
        <v>2</v>
      </c>
      <c r="M1364" s="1">
        <v>2</v>
      </c>
      <c r="N1364">
        <v>0</v>
      </c>
      <c r="O1364" s="3">
        <f>IF(
    R1364="Ancien",
    _xlfn.XLOOKUP(
        Final_Sans_VGE[[#This Row],[ppn_z]],
        tbl_Historique_Final[ppn_z],
        tbl_Historique_Final[Horodatage],
        ""
    ),
    Horodatage!$A$2
)</f>
        <v>46233.670796365739</v>
      </c>
      <c r="P1364" s="1" t="str">
        <f>IFERROR(IF(tbl_Historique_Final[[#This Row],[Commentaires]]&lt;&gt;"",tbl_Historique_Final[[#This Row],[Commentaires]],""),"")</f>
        <v/>
      </c>
      <c r="X1364" s="8" t="str">
        <f>IF(Final_Sans_VGE[[#This Row],[ppn_z]]="","",IFERROR(
   IF(_xlfn.XLOOKUP(Final_Sans_VGE[[#This Row],[ppn_z]],tbl_Historique_Final[ppn_z],tbl_Historique_Final[date_modif])=Final_Sans_VGE[[#This Row],[date_modif]],
      "Ancien",
      "Modifié"),
   "Nouveau"))</f>
        <v>Ancien</v>
      </c>
      <c r="AC1364"/>
      <c r="AD1364"/>
    </row>
    <row r="1365" spans="1:30" ht="30" x14ac:dyDescent="0.25">
      <c r="A1365" s="5" t="s">
        <v>4259</v>
      </c>
      <c r="B1365" s="1" t="s">
        <v>9085</v>
      </c>
      <c r="C1365" s="1" t="s">
        <v>8972</v>
      </c>
      <c r="D1365" s="1" t="s">
        <v>9086</v>
      </c>
      <c r="E1365" s="1" t="s">
        <v>68</v>
      </c>
      <c r="F1365" s="1" t="s">
        <v>14</v>
      </c>
      <c r="G1365" s="1" t="s">
        <v>10</v>
      </c>
      <c r="H1365" s="1" t="s">
        <v>22</v>
      </c>
      <c r="I1365" s="1" t="s">
        <v>22</v>
      </c>
      <c r="J1365" s="3">
        <v>46098.616597222222</v>
      </c>
      <c r="K1365" s="2" t="s">
        <v>9087</v>
      </c>
      <c r="L1365" s="1">
        <v>37</v>
      </c>
      <c r="M1365" s="1">
        <v>38</v>
      </c>
      <c r="N1365">
        <v>1</v>
      </c>
      <c r="O1365" s="3">
        <f>IF(
    R1365="Ancien",
    _xlfn.XLOOKUP(
        Final_Sans_VGE[[#This Row],[ppn_z]],
        tbl_Historique_Final[ppn_z],
        tbl_Historique_Final[Horodatage],
        ""
    ),
    Horodatage!$A$2
)</f>
        <v>46233.670796365739</v>
      </c>
      <c r="P1365" s="1" t="str">
        <f>IFERROR(IF(tbl_Historique_Final[[#This Row],[Commentaires]]&lt;&gt;"",tbl_Historique_Final[[#This Row],[Commentaires]],""),"")</f>
        <v/>
      </c>
      <c r="X1365" s="8" t="str">
        <f>IF(Final_Sans_VGE[[#This Row],[ppn_z]]="","",IFERROR(
   IF(_xlfn.XLOOKUP(Final_Sans_VGE[[#This Row],[ppn_z]],tbl_Historique_Final[ppn_z],tbl_Historique_Final[date_modif])=Final_Sans_VGE[[#This Row],[date_modif]],
      "Ancien",
      "Modifié"),
   "Nouveau"))</f>
        <v>Ancien</v>
      </c>
      <c r="AC1365"/>
      <c r="AD1365"/>
    </row>
    <row r="1366" spans="1:30" x14ac:dyDescent="0.25">
      <c r="A1366" s="5" t="s">
        <v>4262</v>
      </c>
      <c r="B1366" s="1" t="s">
        <v>9088</v>
      </c>
      <c r="C1366" s="1" t="s">
        <v>8703</v>
      </c>
      <c r="D1366" s="1" t="s">
        <v>14</v>
      </c>
      <c r="E1366" s="1" t="s">
        <v>7291</v>
      </c>
      <c r="F1366" s="1" t="s">
        <v>7604</v>
      </c>
      <c r="G1366" s="1" t="s">
        <v>10</v>
      </c>
      <c r="H1366" s="1" t="s">
        <v>22</v>
      </c>
      <c r="I1366" s="1" t="s">
        <v>22</v>
      </c>
      <c r="J1366" s="3">
        <v>46065.615902777776</v>
      </c>
      <c r="L1366" s="1">
        <v>68</v>
      </c>
      <c r="M1366" s="1">
        <v>70</v>
      </c>
      <c r="N1366">
        <v>2</v>
      </c>
      <c r="O1366" s="3">
        <f>IF(
    R1366="Ancien",
    _xlfn.XLOOKUP(
        Final_Sans_VGE[[#This Row],[ppn_z]],
        tbl_Historique_Final[ppn_z],
        tbl_Historique_Final[Horodatage],
        ""
    ),
    Horodatage!$A$2
)</f>
        <v>46233.670796365739</v>
      </c>
      <c r="P1366" s="1" t="str">
        <f>IFERROR(IF(tbl_Historique_Final[[#This Row],[Commentaires]]&lt;&gt;"",tbl_Historique_Final[[#This Row],[Commentaires]],""),"")</f>
        <v/>
      </c>
      <c r="X1366" s="8" t="str">
        <f>IF(Final_Sans_VGE[[#This Row],[ppn_z]]="","",IFERROR(
   IF(_xlfn.XLOOKUP(Final_Sans_VGE[[#This Row],[ppn_z]],tbl_Historique_Final[ppn_z],tbl_Historique_Final[date_modif])=Final_Sans_VGE[[#This Row],[date_modif]],
      "Ancien",
      "Modifié"),
   "Nouveau"))</f>
        <v>Ancien</v>
      </c>
      <c r="AC1366"/>
      <c r="AD1366"/>
    </row>
    <row r="1367" spans="1:30" x14ac:dyDescent="0.25">
      <c r="A1367" s="5" t="s">
        <v>4265</v>
      </c>
      <c r="B1367" s="1" t="s">
        <v>9089</v>
      </c>
      <c r="C1367" s="1" t="s">
        <v>9090</v>
      </c>
      <c r="D1367" s="1" t="s">
        <v>133</v>
      </c>
      <c r="E1367" s="1" t="s">
        <v>9091</v>
      </c>
      <c r="F1367" s="1" t="s">
        <v>8817</v>
      </c>
      <c r="H1367" s="1" t="s">
        <v>22</v>
      </c>
      <c r="I1367" s="1" t="s">
        <v>22</v>
      </c>
      <c r="J1367" s="3">
        <v>46076.536817129629</v>
      </c>
      <c r="K1367" s="2" t="s">
        <v>9092</v>
      </c>
      <c r="L1367" s="1">
        <v>41</v>
      </c>
      <c r="M1367" s="1">
        <v>43</v>
      </c>
      <c r="N1367">
        <v>2</v>
      </c>
      <c r="O1367" s="3">
        <f>IF(
    R1367="Ancien",
    _xlfn.XLOOKUP(
        Final_Sans_VGE[[#This Row],[ppn_z]],
        tbl_Historique_Final[ppn_z],
        tbl_Historique_Final[Horodatage],
        ""
    ),
    Horodatage!$A$2
)</f>
        <v>46233.670796365739</v>
      </c>
      <c r="P1367" s="1" t="str">
        <f>IFERROR(IF(tbl_Historique_Final[[#This Row],[Commentaires]]&lt;&gt;"",tbl_Historique_Final[[#This Row],[Commentaires]],""),"")</f>
        <v/>
      </c>
      <c r="X1367" s="8" t="str">
        <f>IF(Final_Sans_VGE[[#This Row],[ppn_z]]="","",IFERROR(
   IF(_xlfn.XLOOKUP(Final_Sans_VGE[[#This Row],[ppn_z]],tbl_Historique_Final[ppn_z],tbl_Historique_Final[date_modif])=Final_Sans_VGE[[#This Row],[date_modif]],
      "Ancien",
      "Modifié"),
   "Nouveau"))</f>
        <v>Ancien</v>
      </c>
      <c r="AC1367"/>
      <c r="AD1367"/>
    </row>
    <row r="1368" spans="1:30" x14ac:dyDescent="0.25">
      <c r="A1368" s="5" t="s">
        <v>4268</v>
      </c>
      <c r="B1368" s="1" t="s">
        <v>9093</v>
      </c>
      <c r="C1368" s="1" t="s">
        <v>9094</v>
      </c>
      <c r="D1368" s="1" t="s">
        <v>14</v>
      </c>
      <c r="E1368" s="1" t="s">
        <v>145</v>
      </c>
      <c r="F1368" s="1" t="s">
        <v>14</v>
      </c>
      <c r="G1368" s="1" t="s">
        <v>10</v>
      </c>
      <c r="H1368" s="1" t="s">
        <v>22</v>
      </c>
      <c r="I1368" s="1" t="s">
        <v>22</v>
      </c>
      <c r="J1368" s="3">
        <v>46078.41642361111</v>
      </c>
      <c r="K1368" s="2" t="s">
        <v>7461</v>
      </c>
      <c r="L1368" s="1">
        <v>2</v>
      </c>
      <c r="M1368" s="1">
        <v>4</v>
      </c>
      <c r="N1368">
        <v>2</v>
      </c>
      <c r="O1368" s="3">
        <f>IF(
    R1368="Ancien",
    _xlfn.XLOOKUP(
        Final_Sans_VGE[[#This Row],[ppn_z]],
        tbl_Historique_Final[ppn_z],
        tbl_Historique_Final[Horodatage],
        ""
    ),
    Horodatage!$A$2
)</f>
        <v>46233.670796365739</v>
      </c>
      <c r="P1368" s="1" t="str">
        <f>IFERROR(IF(tbl_Historique_Final[[#This Row],[Commentaires]]&lt;&gt;"",tbl_Historique_Final[[#This Row],[Commentaires]],""),"")</f>
        <v/>
      </c>
      <c r="X1368" s="8" t="str">
        <f>IF(Final_Sans_VGE[[#This Row],[ppn_z]]="","",IFERROR(
   IF(_xlfn.XLOOKUP(Final_Sans_VGE[[#This Row],[ppn_z]],tbl_Historique_Final[ppn_z],tbl_Historique_Final[date_modif])=Final_Sans_VGE[[#This Row],[date_modif]],
      "Ancien",
      "Modifié"),
   "Nouveau"))</f>
        <v>Ancien</v>
      </c>
      <c r="AC1368"/>
      <c r="AD1368"/>
    </row>
    <row r="1369" spans="1:30" ht="30" x14ac:dyDescent="0.25">
      <c r="A1369" s="5" t="s">
        <v>4271</v>
      </c>
      <c r="B1369" s="1" t="s">
        <v>9095</v>
      </c>
      <c r="C1369" s="1" t="s">
        <v>89</v>
      </c>
      <c r="G1369" s="1" t="s">
        <v>10</v>
      </c>
      <c r="J1369" s="3">
        <v>46097.799317129633</v>
      </c>
      <c r="K1369" s="2" t="s">
        <v>9096</v>
      </c>
      <c r="L1369" s="1">
        <v>31</v>
      </c>
      <c r="M1369" s="1">
        <v>50</v>
      </c>
      <c r="N1369">
        <v>19</v>
      </c>
      <c r="O1369" s="3">
        <f>IF(
    R1369="Ancien",
    _xlfn.XLOOKUP(
        Final_Sans_VGE[[#This Row],[ppn_z]],
        tbl_Historique_Final[ppn_z],
        tbl_Historique_Final[Horodatage],
        ""
    ),
    Horodatage!$A$2
)</f>
        <v>46233.670796365739</v>
      </c>
      <c r="P1369" s="1" t="str">
        <f>IFERROR(IF(tbl_Historique_Final[[#This Row],[Commentaires]]&lt;&gt;"",tbl_Historique_Final[[#This Row],[Commentaires]],""),"")</f>
        <v/>
      </c>
      <c r="X1369" s="8" t="str">
        <f>IF(Final_Sans_VGE[[#This Row],[ppn_z]]="","",IFERROR(
   IF(_xlfn.XLOOKUP(Final_Sans_VGE[[#This Row],[ppn_z]],tbl_Historique_Final[ppn_z],tbl_Historique_Final[date_modif])=Final_Sans_VGE[[#This Row],[date_modif]],
      "Ancien",
      "Modifié"),
   "Nouveau"))</f>
        <v>Ancien</v>
      </c>
      <c r="AC1369"/>
      <c r="AD1369"/>
    </row>
    <row r="1370" spans="1:30" x14ac:dyDescent="0.25">
      <c r="A1370" s="5" t="s">
        <v>4274</v>
      </c>
      <c r="B1370" s="1" t="s">
        <v>9097</v>
      </c>
      <c r="C1370" s="1" t="s">
        <v>7796</v>
      </c>
      <c r="D1370" s="1" t="s">
        <v>14</v>
      </c>
      <c r="E1370" s="1" t="s">
        <v>6779</v>
      </c>
      <c r="F1370" s="1" t="s">
        <v>14</v>
      </c>
      <c r="G1370" s="1" t="s">
        <v>10</v>
      </c>
      <c r="H1370" s="1" t="s">
        <v>22</v>
      </c>
      <c r="I1370" s="1" t="s">
        <v>22</v>
      </c>
      <c r="J1370" s="3">
        <v>46065.644212962965</v>
      </c>
      <c r="L1370" s="1">
        <v>6</v>
      </c>
      <c r="M1370" s="1">
        <v>6</v>
      </c>
      <c r="N1370">
        <v>0</v>
      </c>
      <c r="O1370" s="3">
        <f>IF(
    R1370="Ancien",
    _xlfn.XLOOKUP(
        Final_Sans_VGE[[#This Row],[ppn_z]],
        tbl_Historique_Final[ppn_z],
        tbl_Historique_Final[Horodatage],
        ""
    ),
    Horodatage!$A$2
)</f>
        <v>46233.670796365739</v>
      </c>
      <c r="P1370" s="1" t="str">
        <f>IFERROR(IF(tbl_Historique_Final[[#This Row],[Commentaires]]&lt;&gt;"",tbl_Historique_Final[[#This Row],[Commentaires]],""),"")</f>
        <v/>
      </c>
      <c r="X1370" s="8" t="str">
        <f>IF(Final_Sans_VGE[[#This Row],[ppn_z]]="","",IFERROR(
   IF(_xlfn.XLOOKUP(Final_Sans_VGE[[#This Row],[ppn_z]],tbl_Historique_Final[ppn_z],tbl_Historique_Final[date_modif])=Final_Sans_VGE[[#This Row],[date_modif]],
      "Ancien",
      "Modifié"),
   "Nouveau"))</f>
        <v>Ancien</v>
      </c>
      <c r="AC1370"/>
      <c r="AD1370"/>
    </row>
    <row r="1371" spans="1:30" ht="45" x14ac:dyDescent="0.25">
      <c r="A1371" s="5" t="s">
        <v>4277</v>
      </c>
      <c r="B1371" s="1" t="s">
        <v>9098</v>
      </c>
      <c r="C1371" s="1" t="s">
        <v>12</v>
      </c>
      <c r="G1371" s="1" t="s">
        <v>11</v>
      </c>
      <c r="J1371" s="3">
        <v>46100.478402777779</v>
      </c>
      <c r="K1371" s="2" t="s">
        <v>9099</v>
      </c>
      <c r="L1371" s="1">
        <v>25</v>
      </c>
      <c r="M1371" s="1">
        <v>27</v>
      </c>
      <c r="N1371">
        <v>2</v>
      </c>
      <c r="O1371" s="3">
        <f>IF(
    R1371="Ancien",
    _xlfn.XLOOKUP(
        Final_Sans_VGE[[#This Row],[ppn_z]],
        tbl_Historique_Final[ppn_z],
        tbl_Historique_Final[Horodatage],
        ""
    ),
    Horodatage!$A$2
)</f>
        <v>46233.670796365739</v>
      </c>
      <c r="P1371" s="1" t="str">
        <f>IFERROR(IF(tbl_Historique_Final[[#This Row],[Commentaires]]&lt;&gt;"",tbl_Historique_Final[[#This Row],[Commentaires]],""),"")</f>
        <v/>
      </c>
      <c r="X1371" s="8" t="str">
        <f>IF(Final_Sans_VGE[[#This Row],[ppn_z]]="","",IFERROR(
   IF(_xlfn.XLOOKUP(Final_Sans_VGE[[#This Row],[ppn_z]],tbl_Historique_Final[ppn_z],tbl_Historique_Final[date_modif])=Final_Sans_VGE[[#This Row],[date_modif]],
      "Ancien",
      "Modifié"),
   "Nouveau"))</f>
        <v>Ancien</v>
      </c>
      <c r="AC1371"/>
      <c r="AD1371"/>
    </row>
    <row r="1372" spans="1:30" x14ac:dyDescent="0.25">
      <c r="A1372" s="5" t="s">
        <v>4280</v>
      </c>
      <c r="B1372" s="1" t="s">
        <v>9100</v>
      </c>
      <c r="C1372" s="1" t="s">
        <v>6386</v>
      </c>
      <c r="J1372" s="3">
        <v>46147.500243055554</v>
      </c>
      <c r="K1372" s="2" t="s">
        <v>9101</v>
      </c>
      <c r="L1372" s="1">
        <v>12</v>
      </c>
      <c r="M1372" s="1">
        <v>12</v>
      </c>
      <c r="N1372">
        <v>0</v>
      </c>
      <c r="O1372" s="3">
        <f>IF(
    R1372="Ancien",
    _xlfn.XLOOKUP(
        Final_Sans_VGE[[#This Row],[ppn_z]],
        tbl_Historique_Final[ppn_z],
        tbl_Historique_Final[Horodatage],
        ""
    ),
    Horodatage!$A$2
)</f>
        <v>46233.670796365739</v>
      </c>
      <c r="P1372" s="1" t="str">
        <f>IFERROR(IF(tbl_Historique_Final[[#This Row],[Commentaires]]&lt;&gt;"",tbl_Historique_Final[[#This Row],[Commentaires]],""),"")</f>
        <v/>
      </c>
      <c r="X1372" s="8" t="str">
        <f>IF(Final_Sans_VGE[[#This Row],[ppn_z]]="","",IFERROR(
   IF(_xlfn.XLOOKUP(Final_Sans_VGE[[#This Row],[ppn_z]],tbl_Historique_Final[ppn_z],tbl_Historique_Final[date_modif])=Final_Sans_VGE[[#This Row],[date_modif]],
      "Ancien",
      "Modifié"),
   "Nouveau"))</f>
        <v>Ancien</v>
      </c>
      <c r="AC1372"/>
      <c r="AD1372"/>
    </row>
    <row r="1373" spans="1:30" x14ac:dyDescent="0.25">
      <c r="A1373" s="5" t="s">
        <v>4283</v>
      </c>
      <c r="B1373" s="1" t="s">
        <v>9102</v>
      </c>
      <c r="C1373" s="1" t="s">
        <v>157</v>
      </c>
      <c r="J1373" s="3">
        <v>45988.633888888886</v>
      </c>
      <c r="L1373" s="1">
        <v>1</v>
      </c>
      <c r="M1373" s="1">
        <v>1</v>
      </c>
      <c r="N1373">
        <v>0</v>
      </c>
      <c r="O1373" s="3">
        <f>IF(
    R1373="Ancien",
    _xlfn.XLOOKUP(
        Final_Sans_VGE[[#This Row],[ppn_z]],
        tbl_Historique_Final[ppn_z],
        tbl_Historique_Final[Horodatage],
        ""
    ),
    Horodatage!$A$2
)</f>
        <v>46233.670796365739</v>
      </c>
      <c r="P1373" s="1" t="str">
        <f>IFERROR(IF(tbl_Historique_Final[[#This Row],[Commentaires]]&lt;&gt;"",tbl_Historique_Final[[#This Row],[Commentaires]],""),"")</f>
        <v/>
      </c>
      <c r="X1373" s="8" t="str">
        <f>IF(Final_Sans_VGE[[#This Row],[ppn_z]]="","",IFERROR(
   IF(_xlfn.XLOOKUP(Final_Sans_VGE[[#This Row],[ppn_z]],tbl_Historique_Final[ppn_z],tbl_Historique_Final[date_modif])=Final_Sans_VGE[[#This Row],[date_modif]],
      "Ancien",
      "Modifié"),
   "Nouveau"))</f>
        <v>Ancien</v>
      </c>
      <c r="AC1373"/>
      <c r="AD1373"/>
    </row>
    <row r="1374" spans="1:30" x14ac:dyDescent="0.25">
      <c r="A1374" s="5" t="s">
        <v>4286</v>
      </c>
      <c r="B1374" s="1" t="s">
        <v>9103</v>
      </c>
      <c r="C1374" s="1" t="s">
        <v>9104</v>
      </c>
      <c r="D1374" s="1" t="s">
        <v>14</v>
      </c>
      <c r="E1374" s="1" t="s">
        <v>8413</v>
      </c>
      <c r="F1374" s="1" t="s">
        <v>14</v>
      </c>
      <c r="G1374" s="1" t="s">
        <v>10</v>
      </c>
      <c r="H1374" s="1" t="s">
        <v>22</v>
      </c>
      <c r="I1374" s="1" t="s">
        <v>22</v>
      </c>
      <c r="J1374" s="3">
        <v>46138.421712962961</v>
      </c>
      <c r="K1374" s="2" t="s">
        <v>9105</v>
      </c>
      <c r="L1374" s="1">
        <v>2</v>
      </c>
      <c r="M1374" s="1">
        <v>2</v>
      </c>
      <c r="N1374">
        <v>0</v>
      </c>
      <c r="O1374" s="3">
        <f>IF(
    R1374="Ancien",
    _xlfn.XLOOKUP(
        Final_Sans_VGE[[#This Row],[ppn_z]],
        tbl_Historique_Final[ppn_z],
        tbl_Historique_Final[Horodatage],
        ""
    ),
    Horodatage!$A$2
)</f>
        <v>46233.670796365739</v>
      </c>
      <c r="P1374" s="1" t="str">
        <f>IFERROR(IF(tbl_Historique_Final[[#This Row],[Commentaires]]&lt;&gt;"",tbl_Historique_Final[[#This Row],[Commentaires]],""),"")</f>
        <v/>
      </c>
      <c r="X1374" s="8" t="str">
        <f>IF(Final_Sans_VGE[[#This Row],[ppn_z]]="","",IFERROR(
   IF(_xlfn.XLOOKUP(Final_Sans_VGE[[#This Row],[ppn_z]],tbl_Historique_Final[ppn_z],tbl_Historique_Final[date_modif])=Final_Sans_VGE[[#This Row],[date_modif]],
      "Ancien",
      "Modifié"),
   "Nouveau"))</f>
        <v>Ancien</v>
      </c>
      <c r="AC1374"/>
      <c r="AD1374"/>
    </row>
    <row r="1375" spans="1:30" ht="60" x14ac:dyDescent="0.25">
      <c r="A1375" s="5" t="s">
        <v>4289</v>
      </c>
      <c r="B1375" s="1" t="s">
        <v>9106</v>
      </c>
      <c r="C1375" s="1" t="s">
        <v>6386</v>
      </c>
      <c r="J1375" s="3">
        <v>46147.506898148145</v>
      </c>
      <c r="K1375" s="2" t="s">
        <v>9107</v>
      </c>
      <c r="L1375" s="1">
        <v>4</v>
      </c>
      <c r="M1375" s="1">
        <v>5</v>
      </c>
      <c r="N1375">
        <v>1</v>
      </c>
      <c r="O1375" s="3">
        <f>IF(
    R1375="Ancien",
    _xlfn.XLOOKUP(
        Final_Sans_VGE[[#This Row],[ppn_z]],
        tbl_Historique_Final[ppn_z],
        tbl_Historique_Final[Horodatage],
        ""
    ),
    Horodatage!$A$2
)</f>
        <v>46233.670796365739</v>
      </c>
      <c r="P1375" s="1" t="str">
        <f>IFERROR(IF(tbl_Historique_Final[[#This Row],[Commentaires]]&lt;&gt;"",tbl_Historique_Final[[#This Row],[Commentaires]],""),"")</f>
        <v/>
      </c>
      <c r="X1375" s="8" t="str">
        <f>IF(Final_Sans_VGE[[#This Row],[ppn_z]]="","",IFERROR(
   IF(_xlfn.XLOOKUP(Final_Sans_VGE[[#This Row],[ppn_z]],tbl_Historique_Final[ppn_z],tbl_Historique_Final[date_modif])=Final_Sans_VGE[[#This Row],[date_modif]],
      "Ancien",
      "Modifié"),
   "Nouveau"))</f>
        <v>Ancien</v>
      </c>
      <c r="AC1375"/>
      <c r="AD1375"/>
    </row>
    <row r="1376" spans="1:30" x14ac:dyDescent="0.25">
      <c r="A1376" s="5" t="s">
        <v>4292</v>
      </c>
      <c r="B1376" s="1" t="s">
        <v>9108</v>
      </c>
      <c r="C1376" s="1" t="s">
        <v>38</v>
      </c>
      <c r="J1376" s="3">
        <v>45988.635196759256</v>
      </c>
      <c r="L1376" s="1">
        <v>1</v>
      </c>
      <c r="M1376" s="1">
        <v>1</v>
      </c>
      <c r="N1376">
        <v>0</v>
      </c>
      <c r="O1376" s="3">
        <f>IF(
    R1376="Ancien",
    _xlfn.XLOOKUP(
        Final_Sans_VGE[[#This Row],[ppn_z]],
        tbl_Historique_Final[ppn_z],
        tbl_Historique_Final[Horodatage],
        ""
    ),
    Horodatage!$A$2
)</f>
        <v>46233.670796365739</v>
      </c>
      <c r="P1376" s="1" t="str">
        <f>IFERROR(IF(tbl_Historique_Final[[#This Row],[Commentaires]]&lt;&gt;"",tbl_Historique_Final[[#This Row],[Commentaires]],""),"")</f>
        <v/>
      </c>
      <c r="X1376" s="8" t="str">
        <f>IF(Final_Sans_VGE[[#This Row],[ppn_z]]="","",IFERROR(
   IF(_xlfn.XLOOKUP(Final_Sans_VGE[[#This Row],[ppn_z]],tbl_Historique_Final[ppn_z],tbl_Historique_Final[date_modif])=Final_Sans_VGE[[#This Row],[date_modif]],
      "Ancien",
      "Modifié"),
   "Nouveau"))</f>
        <v>Ancien</v>
      </c>
      <c r="AC1376"/>
      <c r="AD1376"/>
    </row>
    <row r="1377" spans="1:30" x14ac:dyDescent="0.25">
      <c r="A1377" s="5" t="s">
        <v>4295</v>
      </c>
      <c r="B1377" s="1" t="s">
        <v>9109</v>
      </c>
      <c r="C1377" s="1" t="s">
        <v>8691</v>
      </c>
      <c r="E1377" s="1" t="s">
        <v>143</v>
      </c>
      <c r="G1377" s="1" t="s">
        <v>10</v>
      </c>
      <c r="J1377" s="3">
        <v>46117.409317129626</v>
      </c>
      <c r="K1377" s="2" t="s">
        <v>9110</v>
      </c>
      <c r="L1377" s="1">
        <v>4</v>
      </c>
      <c r="M1377" s="1">
        <v>5</v>
      </c>
      <c r="N1377">
        <v>1</v>
      </c>
      <c r="O1377" s="3">
        <f>IF(
    R1377="Ancien",
    _xlfn.XLOOKUP(
        Final_Sans_VGE[[#This Row],[ppn_z]],
        tbl_Historique_Final[ppn_z],
        tbl_Historique_Final[Horodatage],
        ""
    ),
    Horodatage!$A$2
)</f>
        <v>46233.670796365739</v>
      </c>
      <c r="P1377" s="1" t="str">
        <f>IFERROR(IF(tbl_Historique_Final[[#This Row],[Commentaires]]&lt;&gt;"",tbl_Historique_Final[[#This Row],[Commentaires]],""),"")</f>
        <v/>
      </c>
      <c r="X1377" s="8" t="str">
        <f>IF(Final_Sans_VGE[[#This Row],[ppn_z]]="","",IFERROR(
   IF(_xlfn.XLOOKUP(Final_Sans_VGE[[#This Row],[ppn_z]],tbl_Historique_Final[ppn_z],tbl_Historique_Final[date_modif])=Final_Sans_VGE[[#This Row],[date_modif]],
      "Ancien",
      "Modifié"),
   "Nouveau"))</f>
        <v>Ancien</v>
      </c>
      <c r="AC1377"/>
      <c r="AD1377"/>
    </row>
    <row r="1378" spans="1:30" ht="30" x14ac:dyDescent="0.25">
      <c r="A1378" s="5" t="s">
        <v>4298</v>
      </c>
      <c r="B1378" s="1" t="s">
        <v>9111</v>
      </c>
      <c r="C1378" s="1" t="s">
        <v>39</v>
      </c>
      <c r="D1378" s="1" t="s">
        <v>14</v>
      </c>
      <c r="G1378" s="1" t="s">
        <v>10</v>
      </c>
      <c r="H1378" s="1" t="s">
        <v>140</v>
      </c>
      <c r="I1378" s="1" t="s">
        <v>22</v>
      </c>
      <c r="J1378" s="3">
        <v>46128.64739583333</v>
      </c>
      <c r="K1378" s="2" t="s">
        <v>9112</v>
      </c>
      <c r="L1378" s="1">
        <v>8</v>
      </c>
      <c r="M1378" s="1">
        <v>15</v>
      </c>
      <c r="N1378">
        <v>7</v>
      </c>
      <c r="O1378" s="3">
        <f>IF(
    R1378="Ancien",
    _xlfn.XLOOKUP(
        Final_Sans_VGE[[#This Row],[ppn_z]],
        tbl_Historique_Final[ppn_z],
        tbl_Historique_Final[Horodatage],
        ""
    ),
    Horodatage!$A$2
)</f>
        <v>46233.670796365739</v>
      </c>
      <c r="P1378" s="1" t="str">
        <f>IFERROR(IF(tbl_Historique_Final[[#This Row],[Commentaires]]&lt;&gt;"",tbl_Historique_Final[[#This Row],[Commentaires]],""),"")</f>
        <v/>
      </c>
      <c r="X1378" s="8" t="str">
        <f>IF(Final_Sans_VGE[[#This Row],[ppn_z]]="","",IFERROR(
   IF(_xlfn.XLOOKUP(Final_Sans_VGE[[#This Row],[ppn_z]],tbl_Historique_Final[ppn_z],tbl_Historique_Final[date_modif])=Final_Sans_VGE[[#This Row],[date_modif]],
      "Ancien",
      "Modifié"),
   "Nouveau"))</f>
        <v>Ancien</v>
      </c>
      <c r="AC1378"/>
      <c r="AD1378"/>
    </row>
    <row r="1379" spans="1:30" ht="30" x14ac:dyDescent="0.25">
      <c r="A1379" s="5" t="s">
        <v>4301</v>
      </c>
      <c r="B1379" s="1" t="s">
        <v>9113</v>
      </c>
      <c r="C1379" s="1" t="s">
        <v>90</v>
      </c>
      <c r="D1379" s="1" t="s">
        <v>15</v>
      </c>
      <c r="G1379" s="1" t="s">
        <v>10</v>
      </c>
      <c r="H1379" s="1" t="s">
        <v>22</v>
      </c>
      <c r="I1379" s="1" t="s">
        <v>140</v>
      </c>
      <c r="J1379" s="3">
        <v>46131.364791666667</v>
      </c>
      <c r="K1379" s="2" t="s">
        <v>9114</v>
      </c>
      <c r="L1379" s="1">
        <v>9</v>
      </c>
      <c r="M1379" s="1">
        <v>141</v>
      </c>
      <c r="N1379">
        <v>132</v>
      </c>
      <c r="O1379" s="3">
        <f>IF(
    R1379="Ancien",
    _xlfn.XLOOKUP(
        Final_Sans_VGE[[#This Row],[ppn_z]],
        tbl_Historique_Final[ppn_z],
        tbl_Historique_Final[Horodatage],
        ""
    ),
    Horodatage!$A$2
)</f>
        <v>46233.670796365739</v>
      </c>
      <c r="P1379" s="1" t="str">
        <f>IFERROR(IF(tbl_Historique_Final[[#This Row],[Commentaires]]&lt;&gt;"",tbl_Historique_Final[[#This Row],[Commentaires]],""),"")</f>
        <v/>
      </c>
      <c r="X1379" s="8" t="str">
        <f>IF(Final_Sans_VGE[[#This Row],[ppn_z]]="","",IFERROR(
   IF(_xlfn.XLOOKUP(Final_Sans_VGE[[#This Row],[ppn_z]],tbl_Historique_Final[ppn_z],tbl_Historique_Final[date_modif])=Final_Sans_VGE[[#This Row],[date_modif]],
      "Ancien",
      "Modifié"),
   "Nouveau"))</f>
        <v>Ancien</v>
      </c>
      <c r="AC1379"/>
      <c r="AD1379"/>
    </row>
    <row r="1380" spans="1:30" x14ac:dyDescent="0.25">
      <c r="A1380" s="5" t="s">
        <v>4304</v>
      </c>
      <c r="B1380" s="1" t="s">
        <v>9115</v>
      </c>
      <c r="C1380" s="1" t="s">
        <v>7759</v>
      </c>
      <c r="D1380" s="1" t="s">
        <v>14</v>
      </c>
      <c r="E1380" s="1" t="s">
        <v>7506</v>
      </c>
      <c r="F1380" s="1" t="s">
        <v>9068</v>
      </c>
      <c r="G1380" s="1" t="s">
        <v>10</v>
      </c>
      <c r="H1380" s="1" t="s">
        <v>22</v>
      </c>
      <c r="I1380" s="1" t="s">
        <v>22</v>
      </c>
      <c r="J1380" s="3">
        <v>46070.369027777779</v>
      </c>
      <c r="L1380" s="1">
        <v>34</v>
      </c>
      <c r="M1380" s="1">
        <v>36</v>
      </c>
      <c r="N1380">
        <v>2</v>
      </c>
      <c r="O1380" s="3">
        <f>IF(
    R1380="Ancien",
    _xlfn.XLOOKUP(
        Final_Sans_VGE[[#This Row],[ppn_z]],
        tbl_Historique_Final[ppn_z],
        tbl_Historique_Final[Horodatage],
        ""
    ),
    Horodatage!$A$2
)</f>
        <v>46233.670796365739</v>
      </c>
      <c r="P1380" s="1" t="str">
        <f>IFERROR(IF(tbl_Historique_Final[[#This Row],[Commentaires]]&lt;&gt;"",tbl_Historique_Final[[#This Row],[Commentaires]],""),"")</f>
        <v/>
      </c>
      <c r="X1380" s="8" t="str">
        <f>IF(Final_Sans_VGE[[#This Row],[ppn_z]]="","",IFERROR(
   IF(_xlfn.XLOOKUP(Final_Sans_VGE[[#This Row],[ppn_z]],tbl_Historique_Final[ppn_z],tbl_Historique_Final[date_modif])=Final_Sans_VGE[[#This Row],[date_modif]],
      "Ancien",
      "Modifié"),
   "Nouveau"))</f>
        <v>Ancien</v>
      </c>
      <c r="AC1380"/>
      <c r="AD1380"/>
    </row>
    <row r="1381" spans="1:30" ht="45" x14ac:dyDescent="0.25">
      <c r="A1381" s="5" t="s">
        <v>4307</v>
      </c>
      <c r="B1381" s="1" t="s">
        <v>9116</v>
      </c>
      <c r="C1381" s="1" t="s">
        <v>6566</v>
      </c>
      <c r="E1381" s="1" t="s">
        <v>70</v>
      </c>
      <c r="J1381" s="3">
        <v>46126.574953703705</v>
      </c>
      <c r="K1381" s="2" t="s">
        <v>9117</v>
      </c>
      <c r="L1381" s="1">
        <v>28</v>
      </c>
      <c r="M1381" s="1">
        <v>37</v>
      </c>
      <c r="N1381">
        <v>9</v>
      </c>
      <c r="O1381" s="3">
        <f>IF(
    R1381="Ancien",
    _xlfn.XLOOKUP(
        Final_Sans_VGE[[#This Row],[ppn_z]],
        tbl_Historique_Final[ppn_z],
        tbl_Historique_Final[Horodatage],
        ""
    ),
    Horodatage!$A$2
)</f>
        <v>46233.670796365739</v>
      </c>
      <c r="P1381" s="1" t="str">
        <f>IFERROR(IF(tbl_Historique_Final[[#This Row],[Commentaires]]&lt;&gt;"",tbl_Historique_Final[[#This Row],[Commentaires]],""),"")</f>
        <v/>
      </c>
      <c r="X1381" s="8" t="str">
        <f>IF(Final_Sans_VGE[[#This Row],[ppn_z]]="","",IFERROR(
   IF(_xlfn.XLOOKUP(Final_Sans_VGE[[#This Row],[ppn_z]],tbl_Historique_Final[ppn_z],tbl_Historique_Final[date_modif])=Final_Sans_VGE[[#This Row],[date_modif]],
      "Ancien",
      "Modifié"),
   "Nouveau"))</f>
        <v>Ancien</v>
      </c>
      <c r="AC1381"/>
      <c r="AD1381"/>
    </row>
    <row r="1382" spans="1:30" ht="60" x14ac:dyDescent="0.25">
      <c r="A1382" s="5" t="s">
        <v>4310</v>
      </c>
      <c r="B1382" s="1" t="s">
        <v>9118</v>
      </c>
      <c r="C1382" s="1" t="s">
        <v>9119</v>
      </c>
      <c r="D1382" s="1" t="s">
        <v>14</v>
      </c>
      <c r="E1382" s="1" t="s">
        <v>7826</v>
      </c>
      <c r="F1382" s="1" t="s">
        <v>8572</v>
      </c>
      <c r="G1382" s="1" t="s">
        <v>10</v>
      </c>
      <c r="H1382" s="1" t="s">
        <v>140</v>
      </c>
      <c r="I1382" s="1" t="s">
        <v>22</v>
      </c>
      <c r="J1382" s="3">
        <v>46166.382847222223</v>
      </c>
      <c r="K1382" s="2" t="s">
        <v>9120</v>
      </c>
      <c r="L1382" s="1">
        <v>19</v>
      </c>
      <c r="M1382" s="1">
        <v>19</v>
      </c>
      <c r="N1382">
        <v>0</v>
      </c>
      <c r="O1382" s="3">
        <f>IF(
    R1382="Ancien",
    _xlfn.XLOOKUP(
        Final_Sans_VGE[[#This Row],[ppn_z]],
        tbl_Historique_Final[ppn_z],
        tbl_Historique_Final[Horodatage],
        ""
    ),
    Horodatage!$A$2
)</f>
        <v>46233.670796365739</v>
      </c>
      <c r="P1382" s="1" t="str">
        <f>IFERROR(IF(tbl_Historique_Final[[#This Row],[Commentaires]]&lt;&gt;"",tbl_Historique_Final[[#This Row],[Commentaires]],""),"")</f>
        <v/>
      </c>
      <c r="X1382" s="8" t="str">
        <f>IF(Final_Sans_VGE[[#This Row],[ppn_z]]="","",IFERROR(
   IF(_xlfn.XLOOKUP(Final_Sans_VGE[[#This Row],[ppn_z]],tbl_Historique_Final[ppn_z],tbl_Historique_Final[date_modif])=Final_Sans_VGE[[#This Row],[date_modif]],
      "Ancien",
      "Modifié"),
   "Nouveau"))</f>
        <v>Ancien</v>
      </c>
      <c r="AC1382"/>
      <c r="AD1382"/>
    </row>
    <row r="1383" spans="1:30" x14ac:dyDescent="0.25">
      <c r="A1383" s="5" t="s">
        <v>4313</v>
      </c>
      <c r="B1383" s="1" t="s">
        <v>9121</v>
      </c>
      <c r="C1383" s="1" t="s">
        <v>9122</v>
      </c>
      <c r="D1383" s="1" t="s">
        <v>14</v>
      </c>
      <c r="E1383" s="1" t="s">
        <v>145</v>
      </c>
      <c r="F1383" s="1" t="s">
        <v>14</v>
      </c>
      <c r="G1383" s="1" t="s">
        <v>10</v>
      </c>
      <c r="H1383" s="1" t="s">
        <v>140</v>
      </c>
      <c r="I1383" s="1" t="s">
        <v>22</v>
      </c>
      <c r="J1383" s="3">
        <v>46138.427233796298</v>
      </c>
      <c r="K1383" s="2" t="s">
        <v>9123</v>
      </c>
      <c r="L1383" s="1">
        <v>8</v>
      </c>
      <c r="M1383" s="1">
        <v>9</v>
      </c>
      <c r="N1383">
        <v>1</v>
      </c>
      <c r="O1383" s="3">
        <f>IF(
    R1383="Ancien",
    _xlfn.XLOOKUP(
        Final_Sans_VGE[[#This Row],[ppn_z]],
        tbl_Historique_Final[ppn_z],
        tbl_Historique_Final[Horodatage],
        ""
    ),
    Horodatage!$A$2
)</f>
        <v>46233.670796365739</v>
      </c>
      <c r="P1383" s="1" t="str">
        <f>IFERROR(IF(tbl_Historique_Final[[#This Row],[Commentaires]]&lt;&gt;"",tbl_Historique_Final[[#This Row],[Commentaires]],""),"")</f>
        <v/>
      </c>
      <c r="X1383" s="8" t="str">
        <f>IF(Final_Sans_VGE[[#This Row],[ppn_z]]="","",IFERROR(
   IF(_xlfn.XLOOKUP(Final_Sans_VGE[[#This Row],[ppn_z]],tbl_Historique_Final[ppn_z],tbl_Historique_Final[date_modif])=Final_Sans_VGE[[#This Row],[date_modif]],
      "Ancien",
      "Modifié"),
   "Nouveau"))</f>
        <v>Ancien</v>
      </c>
      <c r="AC1383"/>
      <c r="AD1383"/>
    </row>
    <row r="1384" spans="1:30" ht="30" x14ac:dyDescent="0.25">
      <c r="A1384" s="5" t="s">
        <v>4316</v>
      </c>
      <c r="B1384" s="1" t="s">
        <v>9124</v>
      </c>
      <c r="C1384" s="1" t="s">
        <v>6406</v>
      </c>
      <c r="D1384" s="1" t="s">
        <v>14</v>
      </c>
      <c r="G1384" s="1" t="s">
        <v>10</v>
      </c>
      <c r="H1384" s="1" t="s">
        <v>22</v>
      </c>
      <c r="I1384" s="1" t="s">
        <v>22</v>
      </c>
      <c r="J1384" s="3">
        <v>46153.647592592592</v>
      </c>
      <c r="K1384" s="2" t="s">
        <v>9125</v>
      </c>
      <c r="L1384" s="1">
        <v>45</v>
      </c>
      <c r="M1384" s="1">
        <v>58</v>
      </c>
      <c r="N1384">
        <v>13</v>
      </c>
      <c r="O1384" s="3">
        <f>IF(
    R1384="Ancien",
    _xlfn.XLOOKUP(
        Final_Sans_VGE[[#This Row],[ppn_z]],
        tbl_Historique_Final[ppn_z],
        tbl_Historique_Final[Horodatage],
        ""
    ),
    Horodatage!$A$2
)</f>
        <v>46233.670796365739</v>
      </c>
      <c r="P1384" s="1" t="str">
        <f>IFERROR(IF(tbl_Historique_Final[[#This Row],[Commentaires]]&lt;&gt;"",tbl_Historique_Final[[#This Row],[Commentaires]],""),"")</f>
        <v/>
      </c>
      <c r="X1384" s="8" t="str">
        <f>IF(Final_Sans_VGE[[#This Row],[ppn_z]]="","",IFERROR(
   IF(_xlfn.XLOOKUP(Final_Sans_VGE[[#This Row],[ppn_z]],tbl_Historique_Final[ppn_z],tbl_Historique_Final[date_modif])=Final_Sans_VGE[[#This Row],[date_modif]],
      "Ancien",
      "Modifié"),
   "Nouveau"))</f>
        <v>Ancien</v>
      </c>
      <c r="AC1384"/>
      <c r="AD1384"/>
    </row>
    <row r="1385" spans="1:30" ht="45" x14ac:dyDescent="0.25">
      <c r="A1385" s="5" t="s">
        <v>4319</v>
      </c>
      <c r="B1385" s="1" t="s">
        <v>9126</v>
      </c>
      <c r="C1385" s="1" t="s">
        <v>6793</v>
      </c>
      <c r="E1385" s="1" t="s">
        <v>73</v>
      </c>
      <c r="J1385" s="3">
        <v>46148.739016203705</v>
      </c>
      <c r="K1385" s="2" t="s">
        <v>9127</v>
      </c>
      <c r="L1385" s="1">
        <v>42</v>
      </c>
      <c r="M1385" s="1">
        <v>64</v>
      </c>
      <c r="N1385">
        <v>22</v>
      </c>
      <c r="O1385" s="3">
        <f>IF(
    R1385="Ancien",
    _xlfn.XLOOKUP(
        Final_Sans_VGE[[#This Row],[ppn_z]],
        tbl_Historique_Final[ppn_z],
        tbl_Historique_Final[Horodatage],
        ""
    ),
    Horodatage!$A$2
)</f>
        <v>46233.670796365739</v>
      </c>
      <c r="P1385" s="1" t="str">
        <f>IFERROR(IF(tbl_Historique_Final[[#This Row],[Commentaires]]&lt;&gt;"",tbl_Historique_Final[[#This Row],[Commentaires]],""),"")</f>
        <v/>
      </c>
      <c r="X1385" s="8" t="str">
        <f>IF(Final_Sans_VGE[[#This Row],[ppn_z]]="","",IFERROR(
   IF(_xlfn.XLOOKUP(Final_Sans_VGE[[#This Row],[ppn_z]],tbl_Historique_Final[ppn_z],tbl_Historique_Final[date_modif])=Final_Sans_VGE[[#This Row],[date_modif]],
      "Ancien",
      "Modifié"),
   "Nouveau"))</f>
        <v>Ancien</v>
      </c>
      <c r="AC1385"/>
      <c r="AD1385"/>
    </row>
    <row r="1386" spans="1:30" ht="30" x14ac:dyDescent="0.25">
      <c r="A1386" s="5" t="s">
        <v>4322</v>
      </c>
      <c r="B1386" s="1" t="s">
        <v>9128</v>
      </c>
      <c r="C1386" s="1" t="s">
        <v>9129</v>
      </c>
      <c r="D1386" s="1" t="s">
        <v>14</v>
      </c>
      <c r="E1386" s="1" t="s">
        <v>146</v>
      </c>
      <c r="F1386" s="1" t="s">
        <v>8318</v>
      </c>
      <c r="G1386" s="1" t="s">
        <v>10</v>
      </c>
      <c r="H1386" s="1" t="s">
        <v>140</v>
      </c>
      <c r="I1386" s="1" t="s">
        <v>22</v>
      </c>
      <c r="J1386" s="3">
        <v>46121.728645833333</v>
      </c>
      <c r="K1386" s="2" t="s">
        <v>9130</v>
      </c>
      <c r="L1386" s="1">
        <v>53</v>
      </c>
      <c r="M1386" s="1">
        <v>53</v>
      </c>
      <c r="N1386">
        <v>0</v>
      </c>
      <c r="O1386" s="3">
        <f>IF(
    R1386="Ancien",
    _xlfn.XLOOKUP(
        Final_Sans_VGE[[#This Row],[ppn_z]],
        tbl_Historique_Final[ppn_z],
        tbl_Historique_Final[Horodatage],
        ""
    ),
    Horodatage!$A$2
)</f>
        <v>46233.670796365739</v>
      </c>
      <c r="P1386" s="1" t="str">
        <f>IFERROR(IF(tbl_Historique_Final[[#This Row],[Commentaires]]&lt;&gt;"",tbl_Historique_Final[[#This Row],[Commentaires]],""),"")</f>
        <v/>
      </c>
      <c r="X1386" s="8" t="str">
        <f>IF(Final_Sans_VGE[[#This Row],[ppn_z]]="","",IFERROR(
   IF(_xlfn.XLOOKUP(Final_Sans_VGE[[#This Row],[ppn_z]],tbl_Historique_Final[ppn_z],tbl_Historique_Final[date_modif])=Final_Sans_VGE[[#This Row],[date_modif]],
      "Ancien",
      "Modifié"),
   "Nouveau"))</f>
        <v>Ancien</v>
      </c>
      <c r="AC1386"/>
      <c r="AD1386"/>
    </row>
    <row r="1387" spans="1:30" x14ac:dyDescent="0.25">
      <c r="A1387" s="5" t="s">
        <v>4325</v>
      </c>
      <c r="B1387" s="1" t="s">
        <v>9131</v>
      </c>
      <c r="C1387" s="1" t="s">
        <v>12</v>
      </c>
      <c r="G1387" s="1" t="s">
        <v>10</v>
      </c>
      <c r="J1387" s="3">
        <v>46122.767731481479</v>
      </c>
      <c r="K1387" s="2" t="s">
        <v>9132</v>
      </c>
      <c r="L1387" s="1">
        <v>22</v>
      </c>
      <c r="M1387" s="1">
        <v>22</v>
      </c>
      <c r="N1387">
        <v>0</v>
      </c>
      <c r="O1387" s="3">
        <f>IF(
    R1387="Ancien",
    _xlfn.XLOOKUP(
        Final_Sans_VGE[[#This Row],[ppn_z]],
        tbl_Historique_Final[ppn_z],
        tbl_Historique_Final[Horodatage],
        ""
    ),
    Horodatage!$A$2
)</f>
        <v>46233.670796365739</v>
      </c>
      <c r="P1387" s="1" t="str">
        <f>IFERROR(IF(tbl_Historique_Final[[#This Row],[Commentaires]]&lt;&gt;"",tbl_Historique_Final[[#This Row],[Commentaires]],""),"")</f>
        <v/>
      </c>
      <c r="X1387" s="8" t="str">
        <f>IF(Final_Sans_VGE[[#This Row],[ppn_z]]="","",IFERROR(
   IF(_xlfn.XLOOKUP(Final_Sans_VGE[[#This Row],[ppn_z]],tbl_Historique_Final[ppn_z],tbl_Historique_Final[date_modif])=Final_Sans_VGE[[#This Row],[date_modif]],
      "Ancien",
      "Modifié"),
   "Nouveau"))</f>
        <v>Ancien</v>
      </c>
      <c r="AC1387"/>
      <c r="AD1387"/>
    </row>
    <row r="1388" spans="1:30" ht="30" x14ac:dyDescent="0.25">
      <c r="A1388" s="5" t="s">
        <v>4328</v>
      </c>
      <c r="B1388" s="1" t="s">
        <v>9133</v>
      </c>
      <c r="C1388" s="1" t="s">
        <v>12</v>
      </c>
      <c r="G1388" s="1" t="s">
        <v>11</v>
      </c>
      <c r="J1388" s="3">
        <v>46136.444201388891</v>
      </c>
      <c r="K1388" s="2" t="s">
        <v>9134</v>
      </c>
      <c r="L1388" s="1">
        <v>1</v>
      </c>
      <c r="M1388" s="1">
        <v>1</v>
      </c>
      <c r="N1388">
        <v>0</v>
      </c>
      <c r="O1388" s="3">
        <f>IF(
    R1388="Ancien",
    _xlfn.XLOOKUP(
        Final_Sans_VGE[[#This Row],[ppn_z]],
        tbl_Historique_Final[ppn_z],
        tbl_Historique_Final[Horodatage],
        ""
    ),
    Horodatage!$A$2
)</f>
        <v>46233.670796365739</v>
      </c>
      <c r="P1388" s="1" t="str">
        <f>IFERROR(IF(tbl_Historique_Final[[#This Row],[Commentaires]]&lt;&gt;"",tbl_Historique_Final[[#This Row],[Commentaires]],""),"")</f>
        <v/>
      </c>
      <c r="X1388" s="8" t="str">
        <f>IF(Final_Sans_VGE[[#This Row],[ppn_z]]="","",IFERROR(
   IF(_xlfn.XLOOKUP(Final_Sans_VGE[[#This Row],[ppn_z]],tbl_Historique_Final[ppn_z],tbl_Historique_Final[date_modif])=Final_Sans_VGE[[#This Row],[date_modif]],
      "Ancien",
      "Modifié"),
   "Nouveau"))</f>
        <v>Ancien</v>
      </c>
      <c r="AC1388"/>
      <c r="AD1388"/>
    </row>
    <row r="1389" spans="1:30" ht="60" x14ac:dyDescent="0.25">
      <c r="A1389" s="5" t="s">
        <v>4331</v>
      </c>
      <c r="B1389" s="1" t="s">
        <v>9135</v>
      </c>
      <c r="C1389" s="1" t="s">
        <v>32</v>
      </c>
      <c r="J1389" s="3">
        <v>46170.387800925928</v>
      </c>
      <c r="K1389" s="2" t="s">
        <v>9136</v>
      </c>
      <c r="L1389" s="1">
        <v>1</v>
      </c>
      <c r="M1389" s="1">
        <v>1</v>
      </c>
      <c r="N1389">
        <v>0</v>
      </c>
      <c r="O1389" s="3">
        <f>IF(
    R1389="Ancien",
    _xlfn.XLOOKUP(
        Final_Sans_VGE[[#This Row],[ppn_z]],
        tbl_Historique_Final[ppn_z],
        tbl_Historique_Final[Horodatage],
        ""
    ),
    Horodatage!$A$2
)</f>
        <v>46233.670796365739</v>
      </c>
      <c r="P1389" s="1" t="str">
        <f>IFERROR(IF(tbl_Historique_Final[[#This Row],[Commentaires]]&lt;&gt;"",tbl_Historique_Final[[#This Row],[Commentaires]],""),"")</f>
        <v/>
      </c>
      <c r="X1389" s="8" t="str">
        <f>IF(Final_Sans_VGE[[#This Row],[ppn_z]]="","",IFERROR(
   IF(_xlfn.XLOOKUP(Final_Sans_VGE[[#This Row],[ppn_z]],tbl_Historique_Final[ppn_z],tbl_Historique_Final[date_modif])=Final_Sans_VGE[[#This Row],[date_modif]],
      "Ancien",
      "Modifié"),
   "Nouveau"))</f>
        <v>Ancien</v>
      </c>
      <c r="AC1389"/>
      <c r="AD1389"/>
    </row>
    <row r="1390" spans="1:30" x14ac:dyDescent="0.25">
      <c r="A1390" s="5" t="s">
        <v>4334</v>
      </c>
      <c r="B1390" s="1" t="s">
        <v>9137</v>
      </c>
      <c r="C1390" s="1" t="s">
        <v>69</v>
      </c>
      <c r="D1390" s="1" t="s">
        <v>14</v>
      </c>
      <c r="G1390" s="1" t="s">
        <v>11</v>
      </c>
      <c r="H1390" s="1" t="s">
        <v>22</v>
      </c>
      <c r="I1390" s="1" t="s">
        <v>22</v>
      </c>
      <c r="J1390" s="3">
        <v>46149.410995370374</v>
      </c>
      <c r="K1390" s="2" t="s">
        <v>9138</v>
      </c>
      <c r="L1390" s="1">
        <v>9</v>
      </c>
      <c r="M1390" s="1">
        <v>10</v>
      </c>
      <c r="N1390">
        <v>1</v>
      </c>
      <c r="O1390" s="3">
        <f>IF(
    R1390="Ancien",
    _xlfn.XLOOKUP(
        Final_Sans_VGE[[#This Row],[ppn_z]],
        tbl_Historique_Final[ppn_z],
        tbl_Historique_Final[Horodatage],
        ""
    ),
    Horodatage!$A$2
)</f>
        <v>46233.670796365739</v>
      </c>
      <c r="P1390" s="1" t="str">
        <f>IFERROR(IF(tbl_Historique_Final[[#This Row],[Commentaires]]&lt;&gt;"",tbl_Historique_Final[[#This Row],[Commentaires]],""),"")</f>
        <v/>
      </c>
      <c r="X1390" s="8" t="str">
        <f>IF(Final_Sans_VGE[[#This Row],[ppn_z]]="","",IFERROR(
   IF(_xlfn.XLOOKUP(Final_Sans_VGE[[#This Row],[ppn_z]],tbl_Historique_Final[ppn_z],tbl_Historique_Final[date_modif])=Final_Sans_VGE[[#This Row],[date_modif]],
      "Ancien",
      "Modifié"),
   "Nouveau"))</f>
        <v>Ancien</v>
      </c>
      <c r="AC1390"/>
      <c r="AD1390"/>
    </row>
    <row r="1391" spans="1:30" x14ac:dyDescent="0.25">
      <c r="A1391" s="5" t="s">
        <v>4337</v>
      </c>
      <c r="B1391" s="1" t="s">
        <v>9139</v>
      </c>
      <c r="J1391" s="3">
        <v>46141.43409722222</v>
      </c>
      <c r="K1391" s="2" t="s">
        <v>9140</v>
      </c>
      <c r="L1391" s="1">
        <v>41</v>
      </c>
      <c r="M1391" s="1">
        <v>48</v>
      </c>
      <c r="N1391">
        <v>7</v>
      </c>
      <c r="O1391" s="3">
        <f>IF(
    R1391="Ancien",
    _xlfn.XLOOKUP(
        Final_Sans_VGE[[#This Row],[ppn_z]],
        tbl_Historique_Final[ppn_z],
        tbl_Historique_Final[Horodatage],
        ""
    ),
    Horodatage!$A$2
)</f>
        <v>46233.670796365739</v>
      </c>
      <c r="P1391" s="1" t="str">
        <f>IFERROR(IF(tbl_Historique_Final[[#This Row],[Commentaires]]&lt;&gt;"",tbl_Historique_Final[[#This Row],[Commentaires]],""),"")</f>
        <v/>
      </c>
      <c r="X1391" s="8" t="str">
        <f>IF(Final_Sans_VGE[[#This Row],[ppn_z]]="","",IFERROR(
   IF(_xlfn.XLOOKUP(Final_Sans_VGE[[#This Row],[ppn_z]],tbl_Historique_Final[ppn_z],tbl_Historique_Final[date_modif])=Final_Sans_VGE[[#This Row],[date_modif]],
      "Ancien",
      "Modifié"),
   "Nouveau"))</f>
        <v>Ancien</v>
      </c>
      <c r="AC1391"/>
      <c r="AD1391"/>
    </row>
    <row r="1392" spans="1:30" ht="45" x14ac:dyDescent="0.25">
      <c r="A1392" s="5" t="s">
        <v>4340</v>
      </c>
      <c r="B1392" s="1" t="s">
        <v>9141</v>
      </c>
      <c r="C1392" s="1" t="s">
        <v>6676</v>
      </c>
      <c r="E1392" s="1" t="s">
        <v>76</v>
      </c>
      <c r="G1392" s="1" t="s">
        <v>10</v>
      </c>
      <c r="J1392" s="3">
        <v>46140.351388888892</v>
      </c>
      <c r="K1392" s="2" t="s">
        <v>9142</v>
      </c>
      <c r="L1392" s="1">
        <v>32</v>
      </c>
      <c r="M1392" s="1">
        <v>72</v>
      </c>
      <c r="N1392">
        <v>40</v>
      </c>
      <c r="O1392" s="3">
        <f>IF(
    R1392="Ancien",
    _xlfn.XLOOKUP(
        Final_Sans_VGE[[#This Row],[ppn_z]],
        tbl_Historique_Final[ppn_z],
        tbl_Historique_Final[Horodatage],
        ""
    ),
    Horodatage!$A$2
)</f>
        <v>46233.670796365739</v>
      </c>
      <c r="P1392" s="1" t="str">
        <f>IFERROR(IF(tbl_Historique_Final[[#This Row],[Commentaires]]&lt;&gt;"",tbl_Historique_Final[[#This Row],[Commentaires]],""),"")</f>
        <v/>
      </c>
      <c r="X1392" s="8" t="str">
        <f>IF(Final_Sans_VGE[[#This Row],[ppn_z]]="","",IFERROR(
   IF(_xlfn.XLOOKUP(Final_Sans_VGE[[#This Row],[ppn_z]],tbl_Historique_Final[ppn_z],tbl_Historique_Final[date_modif])=Final_Sans_VGE[[#This Row],[date_modif]],
      "Ancien",
      "Modifié"),
   "Nouveau"))</f>
        <v>Ancien</v>
      </c>
      <c r="AC1392"/>
      <c r="AD1392"/>
    </row>
    <row r="1393" spans="1:30" ht="75" x14ac:dyDescent="0.25">
      <c r="A1393" s="5" t="s">
        <v>4343</v>
      </c>
      <c r="B1393" s="1" t="s">
        <v>9143</v>
      </c>
      <c r="C1393" s="1" t="s">
        <v>32</v>
      </c>
      <c r="E1393" s="1" t="s">
        <v>32</v>
      </c>
      <c r="J1393" s="3">
        <v>46147.560196759259</v>
      </c>
      <c r="K1393" s="2" t="s">
        <v>9144</v>
      </c>
      <c r="L1393" s="1">
        <v>1</v>
      </c>
      <c r="M1393" s="1">
        <v>1</v>
      </c>
      <c r="N1393">
        <v>0</v>
      </c>
      <c r="O1393" s="3">
        <f>IF(
    R1393="Ancien",
    _xlfn.XLOOKUP(
        Final_Sans_VGE[[#This Row],[ppn_z]],
        tbl_Historique_Final[ppn_z],
        tbl_Historique_Final[Horodatage],
        ""
    ),
    Horodatage!$A$2
)</f>
        <v>46233.670796365739</v>
      </c>
      <c r="P1393" s="1" t="str">
        <f>IFERROR(IF(tbl_Historique_Final[[#This Row],[Commentaires]]&lt;&gt;"",tbl_Historique_Final[[#This Row],[Commentaires]],""),"")</f>
        <v/>
      </c>
      <c r="X1393" s="8" t="str">
        <f>IF(Final_Sans_VGE[[#This Row],[ppn_z]]="","",IFERROR(
   IF(_xlfn.XLOOKUP(Final_Sans_VGE[[#This Row],[ppn_z]],tbl_Historique_Final[ppn_z],tbl_Historique_Final[date_modif])=Final_Sans_VGE[[#This Row],[date_modif]],
      "Ancien",
      "Modifié"),
   "Nouveau"))</f>
        <v>Ancien</v>
      </c>
      <c r="AC1393"/>
      <c r="AD1393"/>
    </row>
    <row r="1394" spans="1:30" ht="75" x14ac:dyDescent="0.25">
      <c r="A1394" s="5" t="s">
        <v>4346</v>
      </c>
      <c r="B1394" s="1" t="s">
        <v>9145</v>
      </c>
      <c r="C1394" s="1" t="s">
        <v>7090</v>
      </c>
      <c r="E1394" s="1" t="s">
        <v>7546</v>
      </c>
      <c r="J1394" s="3">
        <v>46142.452407407407</v>
      </c>
      <c r="K1394" s="2" t="s">
        <v>9146</v>
      </c>
      <c r="L1394" s="1">
        <v>16</v>
      </c>
      <c r="M1394" s="1">
        <v>17</v>
      </c>
      <c r="N1394">
        <v>1</v>
      </c>
      <c r="O1394" s="3">
        <f>IF(
    R1394="Ancien",
    _xlfn.XLOOKUP(
        Final_Sans_VGE[[#This Row],[ppn_z]],
        tbl_Historique_Final[ppn_z],
        tbl_Historique_Final[Horodatage],
        ""
    ),
    Horodatage!$A$2
)</f>
        <v>46233.670796365739</v>
      </c>
      <c r="P1394" s="1" t="str">
        <f>IFERROR(IF(tbl_Historique_Final[[#This Row],[Commentaires]]&lt;&gt;"",tbl_Historique_Final[[#This Row],[Commentaires]],""),"")</f>
        <v/>
      </c>
      <c r="X1394" s="8" t="str">
        <f>IF(Final_Sans_VGE[[#This Row],[ppn_z]]="","",IFERROR(
   IF(_xlfn.XLOOKUP(Final_Sans_VGE[[#This Row],[ppn_z]],tbl_Historique_Final[ppn_z],tbl_Historique_Final[date_modif])=Final_Sans_VGE[[#This Row],[date_modif]],
      "Ancien",
      "Modifié"),
   "Nouveau"))</f>
        <v>Ancien</v>
      </c>
      <c r="AC1394"/>
      <c r="AD1394"/>
    </row>
    <row r="1395" spans="1:30" ht="75" x14ac:dyDescent="0.25">
      <c r="A1395" s="5" t="s">
        <v>4349</v>
      </c>
      <c r="B1395" s="1" t="s">
        <v>9147</v>
      </c>
      <c r="C1395" s="1" t="s">
        <v>32</v>
      </c>
      <c r="E1395" s="1" t="s">
        <v>142</v>
      </c>
      <c r="J1395" s="3">
        <v>46147.539548611108</v>
      </c>
      <c r="K1395" s="2" t="s">
        <v>9148</v>
      </c>
      <c r="L1395" s="1">
        <v>0</v>
      </c>
      <c r="M1395" s="1">
        <v>0</v>
      </c>
      <c r="N1395">
        <v>0</v>
      </c>
      <c r="O1395" s="3">
        <f>IF(
    R1395="Ancien",
    _xlfn.XLOOKUP(
        Final_Sans_VGE[[#This Row],[ppn_z]],
        tbl_Historique_Final[ppn_z],
        tbl_Historique_Final[Horodatage],
        ""
    ),
    Horodatage!$A$2
)</f>
        <v>46233.670796365739</v>
      </c>
      <c r="P1395" s="1" t="str">
        <f>IFERROR(IF(tbl_Historique_Final[[#This Row],[Commentaires]]&lt;&gt;"",tbl_Historique_Final[[#This Row],[Commentaires]],""),"")</f>
        <v/>
      </c>
      <c r="X1395" s="8" t="str">
        <f>IF(Final_Sans_VGE[[#This Row],[ppn_z]]="","",IFERROR(
   IF(_xlfn.XLOOKUP(Final_Sans_VGE[[#This Row],[ppn_z]],tbl_Historique_Final[ppn_z],tbl_Historique_Final[date_modif])=Final_Sans_VGE[[#This Row],[date_modif]],
      "Ancien",
      "Modifié"),
   "Nouveau"))</f>
        <v>Ancien</v>
      </c>
      <c r="AC1395"/>
      <c r="AD1395"/>
    </row>
    <row r="1396" spans="1:30" x14ac:dyDescent="0.25">
      <c r="A1396" s="5" t="s">
        <v>4352</v>
      </c>
      <c r="B1396" s="1" t="s">
        <v>9149</v>
      </c>
      <c r="C1396" s="1" t="s">
        <v>8266</v>
      </c>
      <c r="D1396" s="1" t="s">
        <v>9150</v>
      </c>
      <c r="E1396" s="1" t="s">
        <v>139</v>
      </c>
      <c r="F1396" s="1" t="s">
        <v>14</v>
      </c>
      <c r="G1396" s="1" t="s">
        <v>11</v>
      </c>
      <c r="H1396" s="1" t="s">
        <v>22</v>
      </c>
      <c r="I1396" s="1" t="s">
        <v>22</v>
      </c>
      <c r="J1396" s="3">
        <v>46073.662743055553</v>
      </c>
      <c r="L1396" s="1">
        <v>20</v>
      </c>
      <c r="M1396" s="1">
        <v>22</v>
      </c>
      <c r="N1396">
        <v>2</v>
      </c>
      <c r="O1396" s="3">
        <f>IF(
    R1396="Ancien",
    _xlfn.XLOOKUP(
        Final_Sans_VGE[[#This Row],[ppn_z]],
        tbl_Historique_Final[ppn_z],
        tbl_Historique_Final[Horodatage],
        ""
    ),
    Horodatage!$A$2
)</f>
        <v>46233.670796365739</v>
      </c>
      <c r="P1396" s="1" t="str">
        <f>IFERROR(IF(tbl_Historique_Final[[#This Row],[Commentaires]]&lt;&gt;"",tbl_Historique_Final[[#This Row],[Commentaires]],""),"")</f>
        <v/>
      </c>
      <c r="X1396" s="8" t="str">
        <f>IF(Final_Sans_VGE[[#This Row],[ppn_z]]="","",IFERROR(
   IF(_xlfn.XLOOKUP(Final_Sans_VGE[[#This Row],[ppn_z]],tbl_Historique_Final[ppn_z],tbl_Historique_Final[date_modif])=Final_Sans_VGE[[#This Row],[date_modif]],
      "Ancien",
      "Modifié"),
   "Nouveau"))</f>
        <v>Ancien</v>
      </c>
      <c r="AC1396"/>
      <c r="AD1396"/>
    </row>
    <row r="1397" spans="1:30" ht="45" x14ac:dyDescent="0.25">
      <c r="A1397" s="5" t="s">
        <v>4355</v>
      </c>
      <c r="B1397" s="1" t="s">
        <v>9151</v>
      </c>
      <c r="C1397" s="1" t="s">
        <v>12</v>
      </c>
      <c r="G1397" s="1" t="s">
        <v>10</v>
      </c>
      <c r="J1397" s="3">
        <v>46148.583738425928</v>
      </c>
      <c r="K1397" s="2" t="s">
        <v>9152</v>
      </c>
      <c r="L1397" s="1">
        <v>1</v>
      </c>
      <c r="M1397" s="1">
        <v>1</v>
      </c>
      <c r="N1397">
        <v>0</v>
      </c>
      <c r="O1397" s="3">
        <f>IF(
    R1397="Ancien",
    _xlfn.XLOOKUP(
        Final_Sans_VGE[[#This Row],[ppn_z]],
        tbl_Historique_Final[ppn_z],
        tbl_Historique_Final[Horodatage],
        ""
    ),
    Horodatage!$A$2
)</f>
        <v>46233.670796365739</v>
      </c>
      <c r="P1397" s="1" t="str">
        <f>IFERROR(IF(tbl_Historique_Final[[#This Row],[Commentaires]]&lt;&gt;"",tbl_Historique_Final[[#This Row],[Commentaires]],""),"")</f>
        <v/>
      </c>
      <c r="X1397" s="8" t="str">
        <f>IF(Final_Sans_VGE[[#This Row],[ppn_z]]="","",IFERROR(
   IF(_xlfn.XLOOKUP(Final_Sans_VGE[[#This Row],[ppn_z]],tbl_Historique_Final[ppn_z],tbl_Historique_Final[date_modif])=Final_Sans_VGE[[#This Row],[date_modif]],
      "Ancien",
      "Modifié"),
   "Nouveau"))</f>
        <v>Ancien</v>
      </c>
      <c r="AC1397"/>
      <c r="AD1397"/>
    </row>
    <row r="1398" spans="1:30" ht="120" x14ac:dyDescent="0.25">
      <c r="A1398" s="5" t="s">
        <v>4358</v>
      </c>
      <c r="B1398" s="1" t="s">
        <v>9153</v>
      </c>
      <c r="C1398" s="1" t="s">
        <v>123</v>
      </c>
      <c r="E1398" s="1" t="s">
        <v>117</v>
      </c>
      <c r="J1398" s="3">
        <v>46147.599849537037</v>
      </c>
      <c r="K1398" s="2" t="s">
        <v>9154</v>
      </c>
      <c r="L1398" s="1">
        <v>0</v>
      </c>
      <c r="M1398" s="1">
        <v>0</v>
      </c>
      <c r="N1398">
        <v>0</v>
      </c>
      <c r="O1398" s="3">
        <f>IF(
    R1398="Ancien",
    _xlfn.XLOOKUP(
        Final_Sans_VGE[[#This Row],[ppn_z]],
        tbl_Historique_Final[ppn_z],
        tbl_Historique_Final[Horodatage],
        ""
    ),
    Horodatage!$A$2
)</f>
        <v>46233.670796365739</v>
      </c>
      <c r="P1398" s="1" t="str">
        <f>IFERROR(IF(tbl_Historique_Final[[#This Row],[Commentaires]]&lt;&gt;"",tbl_Historique_Final[[#This Row],[Commentaires]],""),"")</f>
        <v/>
      </c>
      <c r="X1398" s="8" t="str">
        <f>IF(Final_Sans_VGE[[#This Row],[ppn_z]]="","",IFERROR(
   IF(_xlfn.XLOOKUP(Final_Sans_VGE[[#This Row],[ppn_z]],tbl_Historique_Final[ppn_z],tbl_Historique_Final[date_modif])=Final_Sans_VGE[[#This Row],[date_modif]],
      "Ancien",
      "Modifié"),
   "Nouveau"))</f>
        <v>Ancien</v>
      </c>
      <c r="AC1398"/>
      <c r="AD1398"/>
    </row>
    <row r="1399" spans="1:30" ht="30" x14ac:dyDescent="0.25">
      <c r="A1399" s="5" t="s">
        <v>4361</v>
      </c>
      <c r="B1399" s="1" t="s">
        <v>9155</v>
      </c>
      <c r="C1399" s="1" t="s">
        <v>7709</v>
      </c>
      <c r="D1399" s="1" t="s">
        <v>14</v>
      </c>
      <c r="E1399" s="1" t="s">
        <v>122</v>
      </c>
      <c r="G1399" s="1" t="s">
        <v>10</v>
      </c>
      <c r="H1399" s="1" t="s">
        <v>22</v>
      </c>
      <c r="I1399" s="1" t="s">
        <v>140</v>
      </c>
      <c r="J1399" s="3">
        <v>46110.45521990741</v>
      </c>
      <c r="K1399" s="2" t="s">
        <v>9156</v>
      </c>
      <c r="L1399" s="1">
        <v>30</v>
      </c>
      <c r="M1399" s="1">
        <v>31</v>
      </c>
      <c r="N1399">
        <v>1</v>
      </c>
      <c r="O1399" s="3">
        <f>IF(
    R1399="Ancien",
    _xlfn.XLOOKUP(
        Final_Sans_VGE[[#This Row],[ppn_z]],
        tbl_Historique_Final[ppn_z],
        tbl_Historique_Final[Horodatage],
        ""
    ),
    Horodatage!$A$2
)</f>
        <v>46233.670796365739</v>
      </c>
      <c r="P1399" s="1" t="str">
        <f>IFERROR(IF(tbl_Historique_Final[[#This Row],[Commentaires]]&lt;&gt;"",tbl_Historique_Final[[#This Row],[Commentaires]],""),"")</f>
        <v/>
      </c>
      <c r="X1399" s="8" t="str">
        <f>IF(Final_Sans_VGE[[#This Row],[ppn_z]]="","",IFERROR(
   IF(_xlfn.XLOOKUP(Final_Sans_VGE[[#This Row],[ppn_z]],tbl_Historique_Final[ppn_z],tbl_Historique_Final[date_modif])=Final_Sans_VGE[[#This Row],[date_modif]],
      "Ancien",
      "Modifié"),
   "Nouveau"))</f>
        <v>Ancien</v>
      </c>
      <c r="AC1399"/>
      <c r="AD1399"/>
    </row>
    <row r="1400" spans="1:30" ht="45" x14ac:dyDescent="0.25">
      <c r="A1400" s="5" t="s">
        <v>4364</v>
      </c>
      <c r="B1400" s="1" t="s">
        <v>9157</v>
      </c>
      <c r="C1400" s="1" t="s">
        <v>84</v>
      </c>
      <c r="E1400" s="1" t="s">
        <v>73</v>
      </c>
      <c r="J1400" s="3">
        <v>46127.710011574076</v>
      </c>
      <c r="K1400" s="2" t="s">
        <v>9158</v>
      </c>
      <c r="L1400" s="1">
        <v>17</v>
      </c>
      <c r="M1400" s="1">
        <v>28</v>
      </c>
      <c r="N1400">
        <v>11</v>
      </c>
      <c r="O1400" s="3">
        <f>IF(
    R1400="Ancien",
    _xlfn.XLOOKUP(
        Final_Sans_VGE[[#This Row],[ppn_z]],
        tbl_Historique_Final[ppn_z],
        tbl_Historique_Final[Horodatage],
        ""
    ),
    Horodatage!$A$2
)</f>
        <v>46233.670796365739</v>
      </c>
      <c r="P1400" s="1" t="str">
        <f>IFERROR(IF(tbl_Historique_Final[[#This Row],[Commentaires]]&lt;&gt;"",tbl_Historique_Final[[#This Row],[Commentaires]],""),"")</f>
        <v/>
      </c>
      <c r="X1400" s="8" t="str">
        <f>IF(Final_Sans_VGE[[#This Row],[ppn_z]]="","",IFERROR(
   IF(_xlfn.XLOOKUP(Final_Sans_VGE[[#This Row],[ppn_z]],tbl_Historique_Final[ppn_z],tbl_Historique_Final[date_modif])=Final_Sans_VGE[[#This Row],[date_modif]],
      "Ancien",
      "Modifié"),
   "Nouveau"))</f>
        <v>Ancien</v>
      </c>
      <c r="AC1400"/>
      <c r="AD1400"/>
    </row>
    <row r="1401" spans="1:30" x14ac:dyDescent="0.25">
      <c r="A1401" s="5" t="s">
        <v>4367</v>
      </c>
      <c r="B1401" s="1" t="s">
        <v>9159</v>
      </c>
      <c r="C1401" s="1" t="s">
        <v>7033</v>
      </c>
      <c r="D1401" s="1" t="s">
        <v>8589</v>
      </c>
      <c r="E1401" s="1" t="s">
        <v>35</v>
      </c>
      <c r="F1401" s="1" t="s">
        <v>14</v>
      </c>
      <c r="G1401" s="1" t="s">
        <v>10</v>
      </c>
      <c r="H1401" s="1" t="s">
        <v>22</v>
      </c>
      <c r="I1401" s="1" t="s">
        <v>22</v>
      </c>
      <c r="J1401" s="3">
        <v>46120.665497685186</v>
      </c>
      <c r="K1401" s="2" t="s">
        <v>9160</v>
      </c>
      <c r="L1401" s="1">
        <v>7</v>
      </c>
      <c r="M1401" s="1">
        <v>10</v>
      </c>
      <c r="N1401">
        <v>3</v>
      </c>
      <c r="O1401" s="3">
        <f>IF(
    R1401="Ancien",
    _xlfn.XLOOKUP(
        Final_Sans_VGE[[#This Row],[ppn_z]],
        tbl_Historique_Final[ppn_z],
        tbl_Historique_Final[Horodatage],
        ""
    ),
    Horodatage!$A$2
)</f>
        <v>46233.670796365739</v>
      </c>
      <c r="P1401" s="1" t="str">
        <f>IFERROR(IF(tbl_Historique_Final[[#This Row],[Commentaires]]&lt;&gt;"",tbl_Historique_Final[[#This Row],[Commentaires]],""),"")</f>
        <v/>
      </c>
      <c r="X1401" s="8" t="str">
        <f>IF(Final_Sans_VGE[[#This Row],[ppn_z]]="","",IFERROR(
   IF(_xlfn.XLOOKUP(Final_Sans_VGE[[#This Row],[ppn_z]],tbl_Historique_Final[ppn_z],tbl_Historique_Final[date_modif])=Final_Sans_VGE[[#This Row],[date_modif]],
      "Ancien",
      "Modifié"),
   "Nouveau"))</f>
        <v>Ancien</v>
      </c>
      <c r="AC1401"/>
      <c r="AD1401"/>
    </row>
    <row r="1402" spans="1:30" x14ac:dyDescent="0.25">
      <c r="A1402" s="5" t="s">
        <v>4370</v>
      </c>
      <c r="B1402" s="1" t="s">
        <v>9161</v>
      </c>
      <c r="C1402" s="1" t="s">
        <v>8848</v>
      </c>
      <c r="D1402" s="1" t="s">
        <v>14</v>
      </c>
      <c r="E1402" s="1" t="s">
        <v>168</v>
      </c>
      <c r="F1402" s="1" t="s">
        <v>14</v>
      </c>
      <c r="G1402" s="1" t="s">
        <v>10</v>
      </c>
      <c r="H1402" s="1" t="s">
        <v>22</v>
      </c>
      <c r="I1402" s="1" t="s">
        <v>22</v>
      </c>
      <c r="J1402" s="3">
        <v>46136.639560185184</v>
      </c>
      <c r="K1402" s="2" t="s">
        <v>9162</v>
      </c>
      <c r="L1402" s="1">
        <v>28</v>
      </c>
      <c r="M1402" s="1">
        <v>29</v>
      </c>
      <c r="N1402">
        <v>1</v>
      </c>
      <c r="O1402" s="3">
        <f>IF(
    R1402="Ancien",
    _xlfn.XLOOKUP(
        Final_Sans_VGE[[#This Row],[ppn_z]],
        tbl_Historique_Final[ppn_z],
        tbl_Historique_Final[Horodatage],
        ""
    ),
    Horodatage!$A$2
)</f>
        <v>46233.670796365739</v>
      </c>
      <c r="P1402" s="1" t="str">
        <f>IFERROR(IF(tbl_Historique_Final[[#This Row],[Commentaires]]&lt;&gt;"",tbl_Historique_Final[[#This Row],[Commentaires]],""),"")</f>
        <v/>
      </c>
      <c r="X1402" s="8" t="str">
        <f>IF(Final_Sans_VGE[[#This Row],[ppn_z]]="","",IFERROR(
   IF(_xlfn.XLOOKUP(Final_Sans_VGE[[#This Row],[ppn_z]],tbl_Historique_Final[ppn_z],tbl_Historique_Final[date_modif])=Final_Sans_VGE[[#This Row],[date_modif]],
      "Ancien",
      "Modifié"),
   "Nouveau"))</f>
        <v>Ancien</v>
      </c>
      <c r="AC1402"/>
      <c r="AD1402"/>
    </row>
    <row r="1403" spans="1:30" x14ac:dyDescent="0.25">
      <c r="A1403" s="5" t="s">
        <v>4373</v>
      </c>
      <c r="B1403" s="1" t="s">
        <v>9163</v>
      </c>
      <c r="C1403" s="1" t="s">
        <v>109</v>
      </c>
      <c r="G1403" s="1" t="s">
        <v>10</v>
      </c>
      <c r="J1403" s="3">
        <v>46136.383634259262</v>
      </c>
      <c r="K1403" s="2" t="s">
        <v>9164</v>
      </c>
      <c r="L1403" s="1">
        <v>1</v>
      </c>
      <c r="M1403" s="1">
        <v>1</v>
      </c>
      <c r="N1403">
        <v>0</v>
      </c>
      <c r="O1403" s="3">
        <f>IF(
    R1403="Ancien",
    _xlfn.XLOOKUP(
        Final_Sans_VGE[[#This Row],[ppn_z]],
        tbl_Historique_Final[ppn_z],
        tbl_Historique_Final[Horodatage],
        ""
    ),
    Horodatage!$A$2
)</f>
        <v>46233.670796365739</v>
      </c>
      <c r="P1403" s="1" t="str">
        <f>IFERROR(IF(tbl_Historique_Final[[#This Row],[Commentaires]]&lt;&gt;"",tbl_Historique_Final[[#This Row],[Commentaires]],""),"")</f>
        <v/>
      </c>
      <c r="X1403" s="8" t="str">
        <f>IF(Final_Sans_VGE[[#This Row],[ppn_z]]="","",IFERROR(
   IF(_xlfn.XLOOKUP(Final_Sans_VGE[[#This Row],[ppn_z]],tbl_Historique_Final[ppn_z],tbl_Historique_Final[date_modif])=Final_Sans_VGE[[#This Row],[date_modif]],
      "Ancien",
      "Modifié"),
   "Nouveau"))</f>
        <v>Ancien</v>
      </c>
      <c r="AC1403"/>
      <c r="AD1403"/>
    </row>
    <row r="1404" spans="1:30" ht="75" x14ac:dyDescent="0.25">
      <c r="A1404" s="5" t="s">
        <v>4376</v>
      </c>
      <c r="B1404" s="1" t="s">
        <v>9165</v>
      </c>
      <c r="C1404" s="1" t="s">
        <v>145</v>
      </c>
      <c r="H1404" s="1" t="s">
        <v>22</v>
      </c>
      <c r="I1404" s="1" t="s">
        <v>22</v>
      </c>
      <c r="J1404" s="3">
        <v>46124.421817129631</v>
      </c>
      <c r="K1404" s="2" t="s">
        <v>9166</v>
      </c>
      <c r="L1404" s="1">
        <v>466</v>
      </c>
      <c r="M1404" s="1">
        <v>537</v>
      </c>
      <c r="N1404">
        <v>71</v>
      </c>
      <c r="O1404" s="3">
        <f>IF(
    R1404="Ancien",
    _xlfn.XLOOKUP(
        Final_Sans_VGE[[#This Row],[ppn_z]],
        tbl_Historique_Final[ppn_z],
        tbl_Historique_Final[Horodatage],
        ""
    ),
    Horodatage!$A$2
)</f>
        <v>46233.670796365739</v>
      </c>
      <c r="P1404" s="1" t="str">
        <f>IFERROR(IF(tbl_Historique_Final[[#This Row],[Commentaires]]&lt;&gt;"",tbl_Historique_Final[[#This Row],[Commentaires]],""),"")</f>
        <v/>
      </c>
      <c r="X1404" s="8" t="str">
        <f>IF(Final_Sans_VGE[[#This Row],[ppn_z]]="","",IFERROR(
   IF(_xlfn.XLOOKUP(Final_Sans_VGE[[#This Row],[ppn_z]],tbl_Historique_Final[ppn_z],tbl_Historique_Final[date_modif])=Final_Sans_VGE[[#This Row],[date_modif]],
      "Ancien",
      "Modifié"),
   "Nouveau"))</f>
        <v>Ancien</v>
      </c>
      <c r="AC1404"/>
      <c r="AD1404"/>
    </row>
    <row r="1405" spans="1:30" x14ac:dyDescent="0.25">
      <c r="A1405" s="5" t="s">
        <v>4379</v>
      </c>
      <c r="B1405" s="1" t="s">
        <v>9167</v>
      </c>
      <c r="C1405" s="1" t="s">
        <v>76</v>
      </c>
      <c r="G1405" s="1" t="s">
        <v>11</v>
      </c>
      <c r="J1405" s="3">
        <v>46168.377222222225</v>
      </c>
      <c r="K1405" s="2" t="s">
        <v>9168</v>
      </c>
      <c r="L1405" s="1">
        <v>1</v>
      </c>
      <c r="M1405" s="1">
        <v>1</v>
      </c>
      <c r="N1405">
        <v>0</v>
      </c>
      <c r="O1405" s="3">
        <f>IF(
    R1405="Ancien",
    _xlfn.XLOOKUP(
        Final_Sans_VGE[[#This Row],[ppn_z]],
        tbl_Historique_Final[ppn_z],
        tbl_Historique_Final[Horodatage],
        ""
    ),
    Horodatage!$A$2
)</f>
        <v>46233.670796365739</v>
      </c>
      <c r="P1405" s="1" t="str">
        <f>IFERROR(IF(tbl_Historique_Final[[#This Row],[Commentaires]]&lt;&gt;"",tbl_Historique_Final[[#This Row],[Commentaires]],""),"")</f>
        <v/>
      </c>
      <c r="X1405" s="8" t="str">
        <f>IF(Final_Sans_VGE[[#This Row],[ppn_z]]="","",IFERROR(
   IF(_xlfn.XLOOKUP(Final_Sans_VGE[[#This Row],[ppn_z]],tbl_Historique_Final[ppn_z],tbl_Historique_Final[date_modif])=Final_Sans_VGE[[#This Row],[date_modif]],
      "Ancien",
      "Modifié"),
   "Nouveau"))</f>
        <v>Ancien</v>
      </c>
      <c r="AC1405"/>
      <c r="AD1405"/>
    </row>
    <row r="1406" spans="1:30" ht="30" x14ac:dyDescent="0.25">
      <c r="A1406" s="5" t="s">
        <v>4382</v>
      </c>
      <c r="B1406" s="1" t="s">
        <v>9169</v>
      </c>
      <c r="C1406" s="1" t="s">
        <v>12</v>
      </c>
      <c r="G1406" s="1" t="s">
        <v>10</v>
      </c>
      <c r="J1406" s="3">
        <v>46136.441296296296</v>
      </c>
      <c r="K1406" s="2" t="s">
        <v>9170</v>
      </c>
      <c r="L1406" s="1">
        <v>1</v>
      </c>
      <c r="M1406" s="1">
        <v>1</v>
      </c>
      <c r="N1406">
        <v>0</v>
      </c>
      <c r="O1406" s="3">
        <f>IF(
    R1406="Ancien",
    _xlfn.XLOOKUP(
        Final_Sans_VGE[[#This Row],[ppn_z]],
        tbl_Historique_Final[ppn_z],
        tbl_Historique_Final[Horodatage],
        ""
    ),
    Horodatage!$A$2
)</f>
        <v>46233.670796365739</v>
      </c>
      <c r="P1406" s="1" t="str">
        <f>IFERROR(IF(tbl_Historique_Final[[#This Row],[Commentaires]]&lt;&gt;"",tbl_Historique_Final[[#This Row],[Commentaires]],""),"")</f>
        <v/>
      </c>
      <c r="X1406" s="8" t="str">
        <f>IF(Final_Sans_VGE[[#This Row],[ppn_z]]="","",IFERROR(
   IF(_xlfn.XLOOKUP(Final_Sans_VGE[[#This Row],[ppn_z]],tbl_Historique_Final[ppn_z],tbl_Historique_Final[date_modif])=Final_Sans_VGE[[#This Row],[date_modif]],
      "Ancien",
      "Modifié"),
   "Nouveau"))</f>
        <v>Ancien</v>
      </c>
      <c r="AC1406"/>
      <c r="AD1406"/>
    </row>
    <row r="1407" spans="1:30" ht="45" x14ac:dyDescent="0.25">
      <c r="A1407" s="5" t="s">
        <v>4385</v>
      </c>
      <c r="B1407" s="1" t="s">
        <v>9171</v>
      </c>
      <c r="C1407" s="1" t="s">
        <v>81</v>
      </c>
      <c r="D1407" s="1" t="s">
        <v>8500</v>
      </c>
      <c r="G1407" s="1" t="s">
        <v>10</v>
      </c>
      <c r="H1407" s="1" t="s">
        <v>22</v>
      </c>
      <c r="I1407" s="1" t="s">
        <v>10519</v>
      </c>
      <c r="J1407" s="3">
        <v>46138.428622685184</v>
      </c>
      <c r="K1407" s="2" t="s">
        <v>9172</v>
      </c>
      <c r="L1407" s="1">
        <v>7</v>
      </c>
      <c r="M1407" s="1">
        <v>19</v>
      </c>
      <c r="N1407">
        <v>12</v>
      </c>
      <c r="O1407" s="3">
        <f>IF(
    R1407="Ancien",
    _xlfn.XLOOKUP(
        Final_Sans_VGE[[#This Row],[ppn_z]],
        tbl_Historique_Final[ppn_z],
        tbl_Historique_Final[Horodatage],
        ""
    ),
    Horodatage!$A$2
)</f>
        <v>46233.670796365739</v>
      </c>
      <c r="P1407" s="1" t="str">
        <f>IFERROR(IF(tbl_Historique_Final[[#This Row],[Commentaires]]&lt;&gt;"",tbl_Historique_Final[[#This Row],[Commentaires]],""),"")</f>
        <v/>
      </c>
      <c r="X1407" s="8" t="str">
        <f>IF(Final_Sans_VGE[[#This Row],[ppn_z]]="","",IFERROR(
   IF(_xlfn.XLOOKUP(Final_Sans_VGE[[#This Row],[ppn_z]],tbl_Historique_Final[ppn_z],tbl_Historique_Final[date_modif])=Final_Sans_VGE[[#This Row],[date_modif]],
      "Ancien",
      "Modifié"),
   "Nouveau"))</f>
        <v>Ancien</v>
      </c>
      <c r="AC1407"/>
      <c r="AD1407"/>
    </row>
    <row r="1408" spans="1:30" x14ac:dyDescent="0.25">
      <c r="A1408" s="5" t="s">
        <v>4388</v>
      </c>
      <c r="B1408" s="1" t="s">
        <v>9173</v>
      </c>
      <c r="C1408" s="1" t="s">
        <v>12</v>
      </c>
      <c r="G1408" s="1" t="s">
        <v>11</v>
      </c>
      <c r="J1408" s="3">
        <v>46112.589305555557</v>
      </c>
      <c r="K1408" s="2" t="s">
        <v>9174</v>
      </c>
      <c r="L1408" s="1">
        <v>1</v>
      </c>
      <c r="M1408" s="1">
        <v>1</v>
      </c>
      <c r="N1408">
        <v>0</v>
      </c>
      <c r="O1408" s="3">
        <f>IF(
    R1408="Ancien",
    _xlfn.XLOOKUP(
        Final_Sans_VGE[[#This Row],[ppn_z]],
        tbl_Historique_Final[ppn_z],
        tbl_Historique_Final[Horodatage],
        ""
    ),
    Horodatage!$A$2
)</f>
        <v>46233.670796365739</v>
      </c>
      <c r="P1408" s="1" t="str">
        <f>IFERROR(IF(tbl_Historique_Final[[#This Row],[Commentaires]]&lt;&gt;"",tbl_Historique_Final[[#This Row],[Commentaires]],""),"")</f>
        <v/>
      </c>
      <c r="X1408" s="8" t="str">
        <f>IF(Final_Sans_VGE[[#This Row],[ppn_z]]="","",IFERROR(
   IF(_xlfn.XLOOKUP(Final_Sans_VGE[[#This Row],[ppn_z]],tbl_Historique_Final[ppn_z],tbl_Historique_Final[date_modif])=Final_Sans_VGE[[#This Row],[date_modif]],
      "Ancien",
      "Modifié"),
   "Nouveau"))</f>
        <v>Ancien</v>
      </c>
      <c r="AC1408"/>
      <c r="AD1408"/>
    </row>
    <row r="1409" spans="1:30" ht="30" x14ac:dyDescent="0.25">
      <c r="A1409" s="5" t="s">
        <v>4391</v>
      </c>
      <c r="B1409" s="1" t="s">
        <v>9175</v>
      </c>
      <c r="C1409" s="1" t="s">
        <v>12</v>
      </c>
      <c r="G1409" s="1" t="s">
        <v>11</v>
      </c>
      <c r="J1409" s="3">
        <v>46136.447569444441</v>
      </c>
      <c r="K1409" s="2" t="s">
        <v>9134</v>
      </c>
      <c r="L1409" s="1">
        <v>1</v>
      </c>
      <c r="N1409"/>
      <c r="O1409" s="3">
        <f>IF(
    R1409="Ancien",
    _xlfn.XLOOKUP(
        Final_Sans_VGE[[#This Row],[ppn_z]],
        tbl_Historique_Final[ppn_z],
        tbl_Historique_Final[Horodatage],
        ""
    ),
    Horodatage!$A$2
)</f>
        <v>46233.670796365739</v>
      </c>
      <c r="P1409" s="1" t="str">
        <f>IFERROR(IF(tbl_Historique_Final[[#This Row],[Commentaires]]&lt;&gt;"",tbl_Historique_Final[[#This Row],[Commentaires]],""),"")</f>
        <v/>
      </c>
      <c r="X1409" s="8" t="str">
        <f>IF(Final_Sans_VGE[[#This Row],[ppn_z]]="","",IFERROR(
   IF(_xlfn.XLOOKUP(Final_Sans_VGE[[#This Row],[ppn_z]],tbl_Historique_Final[ppn_z],tbl_Historique_Final[date_modif])=Final_Sans_VGE[[#This Row],[date_modif]],
      "Ancien",
      "Modifié"),
   "Nouveau"))</f>
        <v>Ancien</v>
      </c>
      <c r="AC1409"/>
      <c r="AD1409"/>
    </row>
    <row r="1410" spans="1:30" x14ac:dyDescent="0.25">
      <c r="A1410" s="5" t="s">
        <v>4394</v>
      </c>
      <c r="B1410" s="1" t="s">
        <v>9176</v>
      </c>
      <c r="C1410" s="1" t="s">
        <v>8916</v>
      </c>
      <c r="D1410" s="1" t="s">
        <v>14</v>
      </c>
      <c r="E1410" s="1" t="s">
        <v>9177</v>
      </c>
      <c r="F1410" s="1" t="s">
        <v>7883</v>
      </c>
      <c r="G1410" s="1" t="s">
        <v>10</v>
      </c>
      <c r="H1410" s="1" t="s">
        <v>22</v>
      </c>
      <c r="I1410" s="1" t="s">
        <v>22</v>
      </c>
      <c r="J1410" s="3">
        <v>46135.591747685183</v>
      </c>
      <c r="K1410" s="2" t="s">
        <v>9178</v>
      </c>
      <c r="L1410" s="1">
        <v>3</v>
      </c>
      <c r="M1410" s="1">
        <v>4</v>
      </c>
      <c r="N1410">
        <v>1</v>
      </c>
      <c r="O1410" s="3">
        <f>IF(
    R1410="Ancien",
    _xlfn.XLOOKUP(
        Final_Sans_VGE[[#This Row],[ppn_z]],
        tbl_Historique_Final[ppn_z],
        tbl_Historique_Final[Horodatage],
        ""
    ),
    Horodatage!$A$2
)</f>
        <v>46233.670796365739</v>
      </c>
      <c r="P1410" s="1" t="str">
        <f>IFERROR(IF(tbl_Historique_Final[[#This Row],[Commentaires]]&lt;&gt;"",tbl_Historique_Final[[#This Row],[Commentaires]],""),"")</f>
        <v/>
      </c>
      <c r="X1410" s="8" t="str">
        <f>IF(Final_Sans_VGE[[#This Row],[ppn_z]]="","",IFERROR(
   IF(_xlfn.XLOOKUP(Final_Sans_VGE[[#This Row],[ppn_z]],tbl_Historique_Final[ppn_z],tbl_Historique_Final[date_modif])=Final_Sans_VGE[[#This Row],[date_modif]],
      "Ancien",
      "Modifié"),
   "Nouveau"))</f>
        <v>Ancien</v>
      </c>
      <c r="AC1410"/>
      <c r="AD1410"/>
    </row>
    <row r="1411" spans="1:30" ht="30" x14ac:dyDescent="0.25">
      <c r="A1411" s="5" t="s">
        <v>4397</v>
      </c>
      <c r="B1411" s="1" t="s">
        <v>9179</v>
      </c>
      <c r="C1411" s="1" t="s">
        <v>143</v>
      </c>
      <c r="D1411" s="1" t="s">
        <v>14</v>
      </c>
      <c r="E1411" s="1" t="s">
        <v>157</v>
      </c>
      <c r="G1411" s="1" t="s">
        <v>10</v>
      </c>
      <c r="H1411" s="1" t="s">
        <v>22</v>
      </c>
      <c r="I1411" s="1" t="s">
        <v>22</v>
      </c>
      <c r="J1411" s="3">
        <v>46138.416168981479</v>
      </c>
      <c r="K1411" s="2" t="s">
        <v>9180</v>
      </c>
      <c r="L1411" s="1">
        <v>37</v>
      </c>
      <c r="M1411" s="1">
        <v>40</v>
      </c>
      <c r="N1411">
        <v>3</v>
      </c>
      <c r="O1411" s="3">
        <f>IF(
    R1411="Ancien",
    _xlfn.XLOOKUP(
        Final_Sans_VGE[[#This Row],[ppn_z]],
        tbl_Historique_Final[ppn_z],
        tbl_Historique_Final[Horodatage],
        ""
    ),
    Horodatage!$A$2
)</f>
        <v>46233.670796365739</v>
      </c>
      <c r="P1411" s="1" t="str">
        <f>IFERROR(IF(tbl_Historique_Final[[#This Row],[Commentaires]]&lt;&gt;"",tbl_Historique_Final[[#This Row],[Commentaires]],""),"")</f>
        <v/>
      </c>
      <c r="X1411" s="8" t="str">
        <f>IF(Final_Sans_VGE[[#This Row],[ppn_z]]="","",IFERROR(
   IF(_xlfn.XLOOKUP(Final_Sans_VGE[[#This Row],[ppn_z]],tbl_Historique_Final[ppn_z],tbl_Historique_Final[date_modif])=Final_Sans_VGE[[#This Row],[date_modif]],
      "Ancien",
      "Modifié"),
   "Nouveau"))</f>
        <v>Ancien</v>
      </c>
      <c r="AC1411"/>
      <c r="AD1411"/>
    </row>
    <row r="1412" spans="1:30" x14ac:dyDescent="0.25">
      <c r="A1412" s="5" t="s">
        <v>4400</v>
      </c>
      <c r="B1412" s="1" t="s">
        <v>9181</v>
      </c>
      <c r="C1412" s="1" t="s">
        <v>12</v>
      </c>
      <c r="G1412" s="1" t="s">
        <v>11</v>
      </c>
      <c r="J1412" s="3">
        <v>46106.548634259256</v>
      </c>
      <c r="K1412" s="2" t="s">
        <v>9182</v>
      </c>
      <c r="L1412" s="1">
        <v>1</v>
      </c>
      <c r="M1412" s="1">
        <v>1</v>
      </c>
      <c r="N1412">
        <v>0</v>
      </c>
      <c r="O1412" s="3">
        <f>IF(
    R1412="Ancien",
    _xlfn.XLOOKUP(
        Final_Sans_VGE[[#This Row],[ppn_z]],
        tbl_Historique_Final[ppn_z],
        tbl_Historique_Final[Horodatage],
        ""
    ),
    Horodatage!$A$2
)</f>
        <v>46233.670796365739</v>
      </c>
      <c r="P1412" s="1" t="str">
        <f>IFERROR(IF(tbl_Historique_Final[[#This Row],[Commentaires]]&lt;&gt;"",tbl_Historique_Final[[#This Row],[Commentaires]],""),"")</f>
        <v/>
      </c>
      <c r="X1412" s="8" t="str">
        <f>IF(Final_Sans_VGE[[#This Row],[ppn_z]]="","",IFERROR(
   IF(_xlfn.XLOOKUP(Final_Sans_VGE[[#This Row],[ppn_z]],tbl_Historique_Final[ppn_z],tbl_Historique_Final[date_modif])=Final_Sans_VGE[[#This Row],[date_modif]],
      "Ancien",
      "Modifié"),
   "Nouveau"))</f>
        <v>Ancien</v>
      </c>
      <c r="AC1412"/>
      <c r="AD1412"/>
    </row>
    <row r="1413" spans="1:30" x14ac:dyDescent="0.25">
      <c r="A1413" s="5" t="s">
        <v>4403</v>
      </c>
      <c r="B1413" s="1" t="s">
        <v>9183</v>
      </c>
      <c r="C1413" s="1" t="s">
        <v>7759</v>
      </c>
      <c r="E1413" s="1" t="s">
        <v>159</v>
      </c>
      <c r="J1413" s="3">
        <v>46152.35491898148</v>
      </c>
      <c r="K1413" s="2" t="s">
        <v>9184</v>
      </c>
      <c r="L1413" s="1">
        <v>96</v>
      </c>
      <c r="M1413" s="1">
        <v>147</v>
      </c>
      <c r="N1413">
        <v>51</v>
      </c>
      <c r="O1413" s="3">
        <f>IF(
    R1413="Ancien",
    _xlfn.XLOOKUP(
        Final_Sans_VGE[[#This Row],[ppn_z]],
        tbl_Historique_Final[ppn_z],
        tbl_Historique_Final[Horodatage],
        ""
    ),
    Horodatage!$A$2
)</f>
        <v>46233.670796365739</v>
      </c>
      <c r="P1413" s="1" t="str">
        <f>IFERROR(IF(tbl_Historique_Final[[#This Row],[Commentaires]]&lt;&gt;"",tbl_Historique_Final[[#This Row],[Commentaires]],""),"")</f>
        <v/>
      </c>
      <c r="X1413" s="8" t="str">
        <f>IF(Final_Sans_VGE[[#This Row],[ppn_z]]="","",IFERROR(
   IF(_xlfn.XLOOKUP(Final_Sans_VGE[[#This Row],[ppn_z]],tbl_Historique_Final[ppn_z],tbl_Historique_Final[date_modif])=Final_Sans_VGE[[#This Row],[date_modif]],
      "Ancien",
      "Modifié"),
   "Nouveau"))</f>
        <v>Ancien</v>
      </c>
      <c r="AC1413"/>
      <c r="AD1413"/>
    </row>
    <row r="1414" spans="1:30" ht="105" x14ac:dyDescent="0.25">
      <c r="A1414" s="5" t="s">
        <v>4406</v>
      </c>
      <c r="B1414" s="1" t="s">
        <v>9185</v>
      </c>
      <c r="C1414" s="1" t="s">
        <v>32</v>
      </c>
      <c r="E1414" s="1" t="s">
        <v>123</v>
      </c>
      <c r="J1414" s="3">
        <v>46147.581516203703</v>
      </c>
      <c r="K1414" s="2" t="s">
        <v>9186</v>
      </c>
      <c r="L1414" s="1">
        <v>0</v>
      </c>
      <c r="M1414" s="1">
        <v>0</v>
      </c>
      <c r="N1414">
        <v>0</v>
      </c>
      <c r="O1414" s="3">
        <f>IF(
    R1414="Ancien",
    _xlfn.XLOOKUP(
        Final_Sans_VGE[[#This Row],[ppn_z]],
        tbl_Historique_Final[ppn_z],
        tbl_Historique_Final[Horodatage],
        ""
    ),
    Horodatage!$A$2
)</f>
        <v>46233.670796365739</v>
      </c>
      <c r="P1414" s="1" t="str">
        <f>IFERROR(IF(tbl_Historique_Final[[#This Row],[Commentaires]]&lt;&gt;"",tbl_Historique_Final[[#This Row],[Commentaires]],""),"")</f>
        <v/>
      </c>
      <c r="X1414" s="8" t="str">
        <f>IF(Final_Sans_VGE[[#This Row],[ppn_z]]="","",IFERROR(
   IF(_xlfn.XLOOKUP(Final_Sans_VGE[[#This Row],[ppn_z]],tbl_Historique_Final[ppn_z],tbl_Historique_Final[date_modif])=Final_Sans_VGE[[#This Row],[date_modif]],
      "Ancien",
      "Modifié"),
   "Nouveau"))</f>
        <v>Ancien</v>
      </c>
      <c r="AC1414"/>
      <c r="AD1414"/>
    </row>
    <row r="1415" spans="1:30" ht="30" x14ac:dyDescent="0.25">
      <c r="A1415" s="5" t="s">
        <v>4409</v>
      </c>
      <c r="B1415" s="1" t="s">
        <v>9187</v>
      </c>
      <c r="C1415" s="1" t="s">
        <v>12</v>
      </c>
      <c r="G1415" s="1" t="s">
        <v>11</v>
      </c>
      <c r="J1415" s="3">
        <v>46142.346250000002</v>
      </c>
      <c r="K1415" s="2" t="s">
        <v>9188</v>
      </c>
      <c r="L1415" s="1">
        <v>1</v>
      </c>
      <c r="M1415" s="1">
        <v>1</v>
      </c>
      <c r="N1415">
        <v>0</v>
      </c>
      <c r="O1415" s="3">
        <f>IF(
    R1415="Ancien",
    _xlfn.XLOOKUP(
        Final_Sans_VGE[[#This Row],[ppn_z]],
        tbl_Historique_Final[ppn_z],
        tbl_Historique_Final[Horodatage],
        ""
    ),
    Horodatage!$A$2
)</f>
        <v>46233.670796365739</v>
      </c>
      <c r="P1415" s="1" t="str">
        <f>IFERROR(IF(tbl_Historique_Final[[#This Row],[Commentaires]]&lt;&gt;"",tbl_Historique_Final[[#This Row],[Commentaires]],""),"")</f>
        <v/>
      </c>
      <c r="X1415" s="8" t="str">
        <f>IF(Final_Sans_VGE[[#This Row],[ppn_z]]="","",IFERROR(
   IF(_xlfn.XLOOKUP(Final_Sans_VGE[[#This Row],[ppn_z]],tbl_Historique_Final[ppn_z],tbl_Historique_Final[date_modif])=Final_Sans_VGE[[#This Row],[date_modif]],
      "Ancien",
      "Modifié"),
   "Nouveau"))</f>
        <v>Ancien</v>
      </c>
      <c r="AC1415"/>
      <c r="AD1415"/>
    </row>
    <row r="1416" spans="1:30" x14ac:dyDescent="0.25">
      <c r="A1416" s="5" t="s">
        <v>4412</v>
      </c>
      <c r="B1416" s="1" t="s">
        <v>9189</v>
      </c>
      <c r="C1416" s="1" t="s">
        <v>9122</v>
      </c>
      <c r="D1416" s="1" t="s">
        <v>14</v>
      </c>
      <c r="E1416" s="1" t="s">
        <v>7695</v>
      </c>
      <c r="F1416" s="1" t="s">
        <v>14</v>
      </c>
      <c r="G1416" s="1" t="s">
        <v>10</v>
      </c>
      <c r="H1416" s="1" t="s">
        <v>22</v>
      </c>
      <c r="I1416" s="1" t="s">
        <v>22</v>
      </c>
      <c r="J1416" s="3">
        <v>46153.336909722224</v>
      </c>
      <c r="K1416" s="2" t="s">
        <v>9190</v>
      </c>
      <c r="L1416" s="1">
        <v>8</v>
      </c>
      <c r="M1416" s="1">
        <v>10</v>
      </c>
      <c r="N1416">
        <v>2</v>
      </c>
      <c r="O1416" s="3">
        <f>IF(
    R1416="Ancien",
    _xlfn.XLOOKUP(
        Final_Sans_VGE[[#This Row],[ppn_z]],
        tbl_Historique_Final[ppn_z],
        tbl_Historique_Final[Horodatage],
        ""
    ),
    Horodatage!$A$2
)</f>
        <v>46233.670796365739</v>
      </c>
      <c r="P1416" s="1" t="str">
        <f>IFERROR(IF(tbl_Historique_Final[[#This Row],[Commentaires]]&lt;&gt;"",tbl_Historique_Final[[#This Row],[Commentaires]],""),"")</f>
        <v/>
      </c>
      <c r="X1416" s="8" t="str">
        <f>IF(Final_Sans_VGE[[#This Row],[ppn_z]]="","",IFERROR(
   IF(_xlfn.XLOOKUP(Final_Sans_VGE[[#This Row],[ppn_z]],tbl_Historique_Final[ppn_z],tbl_Historique_Final[date_modif])=Final_Sans_VGE[[#This Row],[date_modif]],
      "Ancien",
      "Modifié"),
   "Nouveau"))</f>
        <v>Ancien</v>
      </c>
      <c r="AC1416"/>
      <c r="AD1416"/>
    </row>
    <row r="1417" spans="1:30" x14ac:dyDescent="0.25">
      <c r="A1417" s="5" t="s">
        <v>4415</v>
      </c>
      <c r="B1417" s="1" t="s">
        <v>9191</v>
      </c>
      <c r="C1417" s="1" t="s">
        <v>8848</v>
      </c>
      <c r="D1417" s="1" t="s">
        <v>9192</v>
      </c>
      <c r="E1417" s="1" t="s">
        <v>8266</v>
      </c>
      <c r="F1417" s="1" t="s">
        <v>14</v>
      </c>
      <c r="G1417" s="1" t="s">
        <v>10</v>
      </c>
      <c r="H1417" s="1" t="s">
        <v>140</v>
      </c>
      <c r="I1417" s="1" t="s">
        <v>22</v>
      </c>
      <c r="J1417" s="3">
        <v>46124.387106481481</v>
      </c>
      <c r="K1417" s="2" t="s">
        <v>9193</v>
      </c>
      <c r="L1417" s="1">
        <v>55</v>
      </c>
      <c r="M1417" s="1">
        <v>55</v>
      </c>
      <c r="N1417">
        <v>0</v>
      </c>
      <c r="O1417" s="3">
        <f>IF(
    R1417="Ancien",
    _xlfn.XLOOKUP(
        Final_Sans_VGE[[#This Row],[ppn_z]],
        tbl_Historique_Final[ppn_z],
        tbl_Historique_Final[Horodatage],
        ""
    ),
    Horodatage!$A$2
)</f>
        <v>46233.670796365739</v>
      </c>
      <c r="P1417" s="1" t="str">
        <f>IFERROR(IF(tbl_Historique_Final[[#This Row],[Commentaires]]&lt;&gt;"",tbl_Historique_Final[[#This Row],[Commentaires]],""),"")</f>
        <v/>
      </c>
      <c r="X1417" s="8" t="str">
        <f>IF(Final_Sans_VGE[[#This Row],[ppn_z]]="","",IFERROR(
   IF(_xlfn.XLOOKUP(Final_Sans_VGE[[#This Row],[ppn_z]],tbl_Historique_Final[ppn_z],tbl_Historique_Final[date_modif])=Final_Sans_VGE[[#This Row],[date_modif]],
      "Ancien",
      "Modifié"),
   "Nouveau"))</f>
        <v>Ancien</v>
      </c>
      <c r="AC1417"/>
      <c r="AD1417"/>
    </row>
    <row r="1418" spans="1:30" ht="60" x14ac:dyDescent="0.25">
      <c r="A1418" s="5" t="s">
        <v>4418</v>
      </c>
      <c r="B1418" s="1" t="s">
        <v>9194</v>
      </c>
      <c r="C1418" s="1" t="s">
        <v>48</v>
      </c>
      <c r="G1418" s="1" t="s">
        <v>10</v>
      </c>
      <c r="J1418" s="3">
        <v>46162.555092592593</v>
      </c>
      <c r="K1418" s="2" t="s">
        <v>9195</v>
      </c>
      <c r="L1418" s="1">
        <v>1</v>
      </c>
      <c r="M1418" s="1">
        <v>1</v>
      </c>
      <c r="N1418">
        <v>0</v>
      </c>
      <c r="O1418" s="3">
        <f>IF(
    R1418="Ancien",
    _xlfn.XLOOKUP(
        Final_Sans_VGE[[#This Row],[ppn_z]],
        tbl_Historique_Final[ppn_z],
        tbl_Historique_Final[Horodatage],
        ""
    ),
    Horodatage!$A$2
)</f>
        <v>46233.670796365739</v>
      </c>
      <c r="P1418" s="1" t="str">
        <f>IFERROR(IF(tbl_Historique_Final[[#This Row],[Commentaires]]&lt;&gt;"",tbl_Historique_Final[[#This Row],[Commentaires]],""),"")</f>
        <v/>
      </c>
      <c r="X1418" s="8" t="str">
        <f>IF(Final_Sans_VGE[[#This Row],[ppn_z]]="","",IFERROR(
   IF(_xlfn.XLOOKUP(Final_Sans_VGE[[#This Row],[ppn_z]],tbl_Historique_Final[ppn_z],tbl_Historique_Final[date_modif])=Final_Sans_VGE[[#This Row],[date_modif]],
      "Ancien",
      "Modifié"),
   "Nouveau"))</f>
        <v>Ancien</v>
      </c>
      <c r="AC1418"/>
      <c r="AD1418"/>
    </row>
    <row r="1419" spans="1:30" x14ac:dyDescent="0.25">
      <c r="A1419" s="5" t="s">
        <v>4421</v>
      </c>
      <c r="B1419" s="1" t="s">
        <v>9196</v>
      </c>
      <c r="C1419" s="1" t="s">
        <v>44</v>
      </c>
      <c r="J1419" s="3">
        <v>46108.534444444442</v>
      </c>
      <c r="K1419" s="2" t="s">
        <v>9197</v>
      </c>
      <c r="L1419" s="1">
        <v>3</v>
      </c>
      <c r="M1419" s="1">
        <v>3</v>
      </c>
      <c r="N1419">
        <v>0</v>
      </c>
      <c r="O1419" s="3">
        <f>IF(
    R1419="Ancien",
    _xlfn.XLOOKUP(
        Final_Sans_VGE[[#This Row],[ppn_z]],
        tbl_Historique_Final[ppn_z],
        tbl_Historique_Final[Horodatage],
        ""
    ),
    Horodatage!$A$2
)</f>
        <v>46233.670796365739</v>
      </c>
      <c r="P1419" s="1" t="str">
        <f>IFERROR(IF(tbl_Historique_Final[[#This Row],[Commentaires]]&lt;&gt;"",tbl_Historique_Final[[#This Row],[Commentaires]],""),"")</f>
        <v/>
      </c>
      <c r="X1419" s="8" t="str">
        <f>IF(Final_Sans_VGE[[#This Row],[ppn_z]]="","",IFERROR(
   IF(_xlfn.XLOOKUP(Final_Sans_VGE[[#This Row],[ppn_z]],tbl_Historique_Final[ppn_z],tbl_Historique_Final[date_modif])=Final_Sans_VGE[[#This Row],[date_modif]],
      "Ancien",
      "Modifié"),
   "Nouveau"))</f>
        <v>Ancien</v>
      </c>
      <c r="AC1419"/>
      <c r="AD1419"/>
    </row>
    <row r="1420" spans="1:30" ht="45" x14ac:dyDescent="0.25">
      <c r="A1420" s="5" t="s">
        <v>4424</v>
      </c>
      <c r="B1420" s="1" t="s">
        <v>9198</v>
      </c>
      <c r="C1420" s="1" t="s">
        <v>6694</v>
      </c>
      <c r="J1420" s="3">
        <v>46155.616423611114</v>
      </c>
      <c r="K1420" s="2" t="s">
        <v>9199</v>
      </c>
      <c r="L1420" s="1">
        <v>6</v>
      </c>
      <c r="M1420" s="1">
        <v>6</v>
      </c>
      <c r="N1420">
        <v>0</v>
      </c>
      <c r="O1420" s="3">
        <f>IF(
    R1420="Ancien",
    _xlfn.XLOOKUP(
        Final_Sans_VGE[[#This Row],[ppn_z]],
        tbl_Historique_Final[ppn_z],
        tbl_Historique_Final[Horodatage],
        ""
    ),
    Horodatage!$A$2
)</f>
        <v>46233.670796365739</v>
      </c>
      <c r="P1420" s="1" t="str">
        <f>IFERROR(IF(tbl_Historique_Final[[#This Row],[Commentaires]]&lt;&gt;"",tbl_Historique_Final[[#This Row],[Commentaires]],""),"")</f>
        <v/>
      </c>
      <c r="X1420" s="8" t="str">
        <f>IF(Final_Sans_VGE[[#This Row],[ppn_z]]="","",IFERROR(
   IF(_xlfn.XLOOKUP(Final_Sans_VGE[[#This Row],[ppn_z]],tbl_Historique_Final[ppn_z],tbl_Historique_Final[date_modif])=Final_Sans_VGE[[#This Row],[date_modif]],
      "Ancien",
      "Modifié"),
   "Nouveau"))</f>
        <v>Ancien</v>
      </c>
      <c r="AC1420"/>
      <c r="AD1420"/>
    </row>
    <row r="1421" spans="1:30" ht="30" x14ac:dyDescent="0.25">
      <c r="A1421" s="5" t="s">
        <v>4427</v>
      </c>
      <c r="B1421" s="1" t="s">
        <v>9200</v>
      </c>
      <c r="C1421" s="1" t="s">
        <v>12</v>
      </c>
      <c r="G1421" s="1" t="s">
        <v>11</v>
      </c>
      <c r="J1421" s="3">
        <v>46112.438171296293</v>
      </c>
      <c r="K1421" s="2" t="s">
        <v>9201</v>
      </c>
      <c r="L1421" s="1">
        <v>4</v>
      </c>
      <c r="M1421" s="1">
        <v>4</v>
      </c>
      <c r="N1421">
        <v>0</v>
      </c>
      <c r="O1421" s="3">
        <f>IF(
    R1421="Ancien",
    _xlfn.XLOOKUP(
        Final_Sans_VGE[[#This Row],[ppn_z]],
        tbl_Historique_Final[ppn_z],
        tbl_Historique_Final[Horodatage],
        ""
    ),
    Horodatage!$A$2
)</f>
        <v>46233.670796365739</v>
      </c>
      <c r="P1421" s="1" t="str">
        <f>IFERROR(IF(tbl_Historique_Final[[#This Row],[Commentaires]]&lt;&gt;"",tbl_Historique_Final[[#This Row],[Commentaires]],""),"")</f>
        <v/>
      </c>
      <c r="X1421" s="8" t="str">
        <f>IF(Final_Sans_VGE[[#This Row],[ppn_z]]="","",IFERROR(
   IF(_xlfn.XLOOKUP(Final_Sans_VGE[[#This Row],[ppn_z]],tbl_Historique_Final[ppn_z],tbl_Historique_Final[date_modif])=Final_Sans_VGE[[#This Row],[date_modif]],
      "Ancien",
      "Modifié"),
   "Nouveau"))</f>
        <v>Ancien</v>
      </c>
      <c r="AC1421"/>
      <c r="AD1421"/>
    </row>
    <row r="1422" spans="1:30" x14ac:dyDescent="0.25">
      <c r="A1422" s="5" t="s">
        <v>4430</v>
      </c>
      <c r="B1422" s="1" t="s">
        <v>9202</v>
      </c>
      <c r="C1422" s="1" t="s">
        <v>9203</v>
      </c>
      <c r="D1422" s="1" t="s">
        <v>8589</v>
      </c>
      <c r="E1422" s="1" t="s">
        <v>58</v>
      </c>
      <c r="F1422" s="1" t="s">
        <v>14</v>
      </c>
      <c r="G1422" s="1" t="s">
        <v>10</v>
      </c>
      <c r="H1422" s="1" t="s">
        <v>9204</v>
      </c>
      <c r="I1422" s="1" t="s">
        <v>22</v>
      </c>
      <c r="J1422" s="3">
        <v>46145.413472222222</v>
      </c>
      <c r="K1422" s="2" t="s">
        <v>9205</v>
      </c>
      <c r="L1422" s="1">
        <v>11</v>
      </c>
      <c r="M1422" s="1">
        <v>23</v>
      </c>
      <c r="N1422">
        <v>12</v>
      </c>
      <c r="O1422" s="3">
        <f>IF(
    R1422="Ancien",
    _xlfn.XLOOKUP(
        Final_Sans_VGE[[#This Row],[ppn_z]],
        tbl_Historique_Final[ppn_z],
        tbl_Historique_Final[Horodatage],
        ""
    ),
    Horodatage!$A$2
)</f>
        <v>46233.670796365739</v>
      </c>
      <c r="P1422" s="1" t="str">
        <f>IFERROR(IF(tbl_Historique_Final[[#This Row],[Commentaires]]&lt;&gt;"",tbl_Historique_Final[[#This Row],[Commentaires]],""),"")</f>
        <v/>
      </c>
      <c r="X1422" s="8" t="str">
        <f>IF(Final_Sans_VGE[[#This Row],[ppn_z]]="","",IFERROR(
   IF(_xlfn.XLOOKUP(Final_Sans_VGE[[#This Row],[ppn_z]],tbl_Historique_Final[ppn_z],tbl_Historique_Final[date_modif])=Final_Sans_VGE[[#This Row],[date_modif]],
      "Ancien",
      "Modifié"),
   "Nouveau"))</f>
        <v>Ancien</v>
      </c>
      <c r="AC1422"/>
      <c r="AD1422"/>
    </row>
    <row r="1423" spans="1:30" x14ac:dyDescent="0.25">
      <c r="A1423" s="5" t="s">
        <v>4433</v>
      </c>
      <c r="B1423" s="1" t="s">
        <v>9206</v>
      </c>
      <c r="C1423" s="1" t="s">
        <v>121</v>
      </c>
      <c r="G1423" s="1" t="s">
        <v>11</v>
      </c>
      <c r="J1423" s="3">
        <v>46107.621469907404</v>
      </c>
      <c r="K1423" s="2" t="s">
        <v>9207</v>
      </c>
      <c r="L1423" s="1">
        <v>1</v>
      </c>
      <c r="M1423" s="1">
        <v>3</v>
      </c>
      <c r="N1423">
        <v>2</v>
      </c>
      <c r="O1423" s="3">
        <f>IF(
    R1423="Ancien",
    _xlfn.XLOOKUP(
        Final_Sans_VGE[[#This Row],[ppn_z]],
        tbl_Historique_Final[ppn_z],
        tbl_Historique_Final[Horodatage],
        ""
    ),
    Horodatage!$A$2
)</f>
        <v>46233.670796365739</v>
      </c>
      <c r="P1423" s="1" t="str">
        <f>IFERROR(IF(tbl_Historique_Final[[#This Row],[Commentaires]]&lt;&gt;"",tbl_Historique_Final[[#This Row],[Commentaires]],""),"")</f>
        <v/>
      </c>
      <c r="X1423" s="8" t="str">
        <f>IF(Final_Sans_VGE[[#This Row],[ppn_z]]="","",IFERROR(
   IF(_xlfn.XLOOKUP(Final_Sans_VGE[[#This Row],[ppn_z]],tbl_Historique_Final[ppn_z],tbl_Historique_Final[date_modif])=Final_Sans_VGE[[#This Row],[date_modif]],
      "Ancien",
      "Modifié"),
   "Nouveau"))</f>
        <v>Ancien</v>
      </c>
      <c r="AC1423"/>
      <c r="AD1423"/>
    </row>
    <row r="1424" spans="1:30" ht="30" x14ac:dyDescent="0.25">
      <c r="A1424" s="5" t="s">
        <v>4436</v>
      </c>
      <c r="B1424" s="1" t="s">
        <v>9208</v>
      </c>
      <c r="C1424" s="1" t="s">
        <v>7759</v>
      </c>
      <c r="E1424" s="1" t="s">
        <v>124</v>
      </c>
      <c r="J1424" s="3">
        <v>46127.693576388891</v>
      </c>
      <c r="K1424" s="2" t="s">
        <v>9209</v>
      </c>
      <c r="L1424" s="1">
        <v>25</v>
      </c>
      <c r="M1424" s="1">
        <v>26</v>
      </c>
      <c r="N1424">
        <v>1</v>
      </c>
      <c r="O1424" s="3">
        <f>IF(
    R1424="Ancien",
    _xlfn.XLOOKUP(
        Final_Sans_VGE[[#This Row],[ppn_z]],
        tbl_Historique_Final[ppn_z],
        tbl_Historique_Final[Horodatage],
        ""
    ),
    Horodatage!$A$2
)</f>
        <v>46233.670796365739</v>
      </c>
      <c r="P1424" s="1" t="str">
        <f>IFERROR(IF(tbl_Historique_Final[[#This Row],[Commentaires]]&lt;&gt;"",tbl_Historique_Final[[#This Row],[Commentaires]],""),"")</f>
        <v/>
      </c>
      <c r="X1424" s="8" t="str">
        <f>IF(Final_Sans_VGE[[#This Row],[ppn_z]]="","",IFERROR(
   IF(_xlfn.XLOOKUP(Final_Sans_VGE[[#This Row],[ppn_z]],tbl_Historique_Final[ppn_z],tbl_Historique_Final[date_modif])=Final_Sans_VGE[[#This Row],[date_modif]],
      "Ancien",
      "Modifié"),
   "Nouveau"))</f>
        <v>Ancien</v>
      </c>
      <c r="AC1424"/>
      <c r="AD1424"/>
    </row>
    <row r="1425" spans="1:30" x14ac:dyDescent="0.25">
      <c r="A1425" s="5" t="s">
        <v>4439</v>
      </c>
      <c r="B1425" s="1" t="s">
        <v>9210</v>
      </c>
      <c r="C1425" s="1" t="s">
        <v>12</v>
      </c>
      <c r="G1425" s="1" t="s">
        <v>10</v>
      </c>
      <c r="J1425" s="3">
        <v>46155.640324074076</v>
      </c>
      <c r="K1425" s="2" t="s">
        <v>9211</v>
      </c>
      <c r="L1425" s="1">
        <v>1</v>
      </c>
      <c r="M1425" s="1">
        <v>1</v>
      </c>
      <c r="N1425">
        <v>0</v>
      </c>
      <c r="O1425" s="3">
        <f>IF(
    R1425="Ancien",
    _xlfn.XLOOKUP(
        Final_Sans_VGE[[#This Row],[ppn_z]],
        tbl_Historique_Final[ppn_z],
        tbl_Historique_Final[Horodatage],
        ""
    ),
    Horodatage!$A$2
)</f>
        <v>46233.670796365739</v>
      </c>
      <c r="P1425" s="1" t="str">
        <f>IFERROR(IF(tbl_Historique_Final[[#This Row],[Commentaires]]&lt;&gt;"",tbl_Historique_Final[[#This Row],[Commentaires]],""),"")</f>
        <v/>
      </c>
      <c r="X1425" s="8" t="str">
        <f>IF(Final_Sans_VGE[[#This Row],[ppn_z]]="","",IFERROR(
   IF(_xlfn.XLOOKUP(Final_Sans_VGE[[#This Row],[ppn_z]],tbl_Historique_Final[ppn_z],tbl_Historique_Final[date_modif])=Final_Sans_VGE[[#This Row],[date_modif]],
      "Ancien",
      "Modifié"),
   "Nouveau"))</f>
        <v>Ancien</v>
      </c>
      <c r="AC1425"/>
      <c r="AD1425"/>
    </row>
    <row r="1426" spans="1:30" x14ac:dyDescent="0.25">
      <c r="A1426" s="5" t="s">
        <v>4442</v>
      </c>
      <c r="B1426" s="1" t="s">
        <v>9212</v>
      </c>
      <c r="C1426" s="1" t="s">
        <v>58</v>
      </c>
      <c r="J1426" s="3">
        <v>46006.505601851852</v>
      </c>
      <c r="L1426" s="1">
        <v>1</v>
      </c>
      <c r="M1426" s="1">
        <v>1</v>
      </c>
      <c r="N1426">
        <v>0</v>
      </c>
      <c r="O1426" s="3">
        <f>IF(
    R1426="Ancien",
    _xlfn.XLOOKUP(
        Final_Sans_VGE[[#This Row],[ppn_z]],
        tbl_Historique_Final[ppn_z],
        tbl_Historique_Final[Horodatage],
        ""
    ),
    Horodatage!$A$2
)</f>
        <v>46233.670796365739</v>
      </c>
      <c r="P1426" s="1" t="str">
        <f>IFERROR(IF(tbl_Historique_Final[[#This Row],[Commentaires]]&lt;&gt;"",tbl_Historique_Final[[#This Row],[Commentaires]],""),"")</f>
        <v/>
      </c>
      <c r="X1426" s="8" t="str">
        <f>IF(Final_Sans_VGE[[#This Row],[ppn_z]]="","",IFERROR(
   IF(_xlfn.XLOOKUP(Final_Sans_VGE[[#This Row],[ppn_z]],tbl_Historique_Final[ppn_z],tbl_Historique_Final[date_modif])=Final_Sans_VGE[[#This Row],[date_modif]],
      "Ancien",
      "Modifié"),
   "Nouveau"))</f>
        <v>Ancien</v>
      </c>
      <c r="AC1426"/>
      <c r="AD1426"/>
    </row>
    <row r="1427" spans="1:30" ht="30" x14ac:dyDescent="0.25">
      <c r="A1427" s="5" t="s">
        <v>4445</v>
      </c>
      <c r="B1427" s="1" t="s">
        <v>9213</v>
      </c>
      <c r="C1427" s="1" t="s">
        <v>12</v>
      </c>
      <c r="G1427" s="1" t="s">
        <v>11</v>
      </c>
      <c r="J1427" s="3">
        <v>46136.444560185184</v>
      </c>
      <c r="K1427" s="2" t="s">
        <v>9134</v>
      </c>
      <c r="L1427" s="1">
        <v>1</v>
      </c>
      <c r="M1427" s="1">
        <v>1</v>
      </c>
      <c r="N1427">
        <v>0</v>
      </c>
      <c r="O1427" s="3">
        <f>IF(
    R1427="Ancien",
    _xlfn.XLOOKUP(
        Final_Sans_VGE[[#This Row],[ppn_z]],
        tbl_Historique_Final[ppn_z],
        tbl_Historique_Final[Horodatage],
        ""
    ),
    Horodatage!$A$2
)</f>
        <v>46233.670796365739</v>
      </c>
      <c r="P1427" s="1" t="str">
        <f>IFERROR(IF(tbl_Historique_Final[[#This Row],[Commentaires]]&lt;&gt;"",tbl_Historique_Final[[#This Row],[Commentaires]],""),"")</f>
        <v/>
      </c>
      <c r="X1427" s="8" t="str">
        <f>IF(Final_Sans_VGE[[#This Row],[ppn_z]]="","",IFERROR(
   IF(_xlfn.XLOOKUP(Final_Sans_VGE[[#This Row],[ppn_z]],tbl_Historique_Final[ppn_z],tbl_Historique_Final[date_modif])=Final_Sans_VGE[[#This Row],[date_modif]],
      "Ancien",
      "Modifié"),
   "Nouveau"))</f>
        <v>Ancien</v>
      </c>
      <c r="AC1427"/>
      <c r="AD1427"/>
    </row>
    <row r="1428" spans="1:30" ht="30" x14ac:dyDescent="0.25">
      <c r="A1428" s="5" t="s">
        <v>4448</v>
      </c>
      <c r="B1428" s="1" t="s">
        <v>9214</v>
      </c>
      <c r="C1428" s="1" t="s">
        <v>154</v>
      </c>
      <c r="D1428" s="1" t="s">
        <v>14</v>
      </c>
      <c r="E1428" s="1" t="s">
        <v>38</v>
      </c>
      <c r="F1428" s="1" t="s">
        <v>14</v>
      </c>
      <c r="G1428" s="1" t="s">
        <v>10</v>
      </c>
      <c r="H1428" s="1" t="s">
        <v>22</v>
      </c>
      <c r="I1428" s="1" t="s">
        <v>22</v>
      </c>
      <c r="J1428" s="3">
        <v>46124.406400462962</v>
      </c>
      <c r="K1428" s="2" t="s">
        <v>9215</v>
      </c>
      <c r="L1428" s="1">
        <v>90</v>
      </c>
      <c r="M1428" s="1">
        <v>102</v>
      </c>
      <c r="N1428">
        <v>12</v>
      </c>
      <c r="O1428" s="3">
        <f>IF(
    R1428="Ancien",
    _xlfn.XLOOKUP(
        Final_Sans_VGE[[#This Row],[ppn_z]],
        tbl_Historique_Final[ppn_z],
        tbl_Historique_Final[Horodatage],
        ""
    ),
    Horodatage!$A$2
)</f>
        <v>46233.670796365739</v>
      </c>
      <c r="P1428" s="1" t="str">
        <f>IFERROR(IF(tbl_Historique_Final[[#This Row],[Commentaires]]&lt;&gt;"",tbl_Historique_Final[[#This Row],[Commentaires]],""),"")</f>
        <v/>
      </c>
      <c r="X1428" s="8" t="str">
        <f>IF(Final_Sans_VGE[[#This Row],[ppn_z]]="","",IFERROR(
   IF(_xlfn.XLOOKUP(Final_Sans_VGE[[#This Row],[ppn_z]],tbl_Historique_Final[ppn_z],tbl_Historique_Final[date_modif])=Final_Sans_VGE[[#This Row],[date_modif]],
      "Ancien",
      "Modifié"),
   "Nouveau"))</f>
        <v>Ancien</v>
      </c>
      <c r="AC1428"/>
      <c r="AD1428"/>
    </row>
    <row r="1429" spans="1:30" ht="45" x14ac:dyDescent="0.25">
      <c r="A1429" s="5" t="s">
        <v>4451</v>
      </c>
      <c r="B1429" s="1" t="s">
        <v>9216</v>
      </c>
      <c r="C1429" s="1" t="s">
        <v>73</v>
      </c>
      <c r="E1429" s="1" t="s">
        <v>7090</v>
      </c>
      <c r="J1429" s="3">
        <v>46142.451979166668</v>
      </c>
      <c r="K1429" s="2" t="s">
        <v>9217</v>
      </c>
      <c r="L1429" s="1">
        <v>2</v>
      </c>
      <c r="M1429" s="1">
        <v>2</v>
      </c>
      <c r="N1429">
        <v>0</v>
      </c>
      <c r="O1429" s="3">
        <f>IF(
    R1429="Ancien",
    _xlfn.XLOOKUP(
        Final_Sans_VGE[[#This Row],[ppn_z]],
        tbl_Historique_Final[ppn_z],
        tbl_Historique_Final[Horodatage],
        ""
    ),
    Horodatage!$A$2
)</f>
        <v>46233.670796365739</v>
      </c>
      <c r="P1429" s="1" t="str">
        <f>IFERROR(IF(tbl_Historique_Final[[#This Row],[Commentaires]]&lt;&gt;"",tbl_Historique_Final[[#This Row],[Commentaires]],""),"")</f>
        <v/>
      </c>
      <c r="X1429" s="8" t="str">
        <f>IF(Final_Sans_VGE[[#This Row],[ppn_z]]="","",IFERROR(
   IF(_xlfn.XLOOKUP(Final_Sans_VGE[[#This Row],[ppn_z]],tbl_Historique_Final[ppn_z],tbl_Historique_Final[date_modif])=Final_Sans_VGE[[#This Row],[date_modif]],
      "Ancien",
      "Modifié"),
   "Nouveau"))</f>
        <v>Ancien</v>
      </c>
      <c r="AC1429"/>
      <c r="AD1429"/>
    </row>
    <row r="1430" spans="1:30" x14ac:dyDescent="0.25">
      <c r="A1430" s="5" t="s">
        <v>4454</v>
      </c>
      <c r="B1430" s="1" t="s">
        <v>9218</v>
      </c>
      <c r="C1430" s="1" t="s">
        <v>65</v>
      </c>
      <c r="D1430" s="1" t="s">
        <v>17</v>
      </c>
      <c r="G1430" s="1" t="s">
        <v>11</v>
      </c>
      <c r="H1430" s="1" t="s">
        <v>22</v>
      </c>
      <c r="I1430" s="1" t="s">
        <v>9219</v>
      </c>
      <c r="J1430" s="3">
        <v>46128.638935185183</v>
      </c>
      <c r="K1430" s="2" t="s">
        <v>9220</v>
      </c>
      <c r="L1430" s="1">
        <v>29</v>
      </c>
      <c r="M1430" s="1">
        <v>31</v>
      </c>
      <c r="N1430">
        <v>2</v>
      </c>
      <c r="O1430" s="3">
        <f>IF(
    R1430="Ancien",
    _xlfn.XLOOKUP(
        Final_Sans_VGE[[#This Row],[ppn_z]],
        tbl_Historique_Final[ppn_z],
        tbl_Historique_Final[Horodatage],
        ""
    ),
    Horodatage!$A$2
)</f>
        <v>46233.670796365739</v>
      </c>
      <c r="P1430" s="1" t="str">
        <f>IFERROR(IF(tbl_Historique_Final[[#This Row],[Commentaires]]&lt;&gt;"",tbl_Historique_Final[[#This Row],[Commentaires]],""),"")</f>
        <v/>
      </c>
      <c r="X1430" s="8" t="str">
        <f>IF(Final_Sans_VGE[[#This Row],[ppn_z]]="","",IFERROR(
   IF(_xlfn.XLOOKUP(Final_Sans_VGE[[#This Row],[ppn_z]],tbl_Historique_Final[ppn_z],tbl_Historique_Final[date_modif])=Final_Sans_VGE[[#This Row],[date_modif]],
      "Ancien",
      "Modifié"),
   "Nouveau"))</f>
        <v>Ancien</v>
      </c>
      <c r="AC1430"/>
      <c r="AD1430"/>
    </row>
    <row r="1431" spans="1:30" ht="45" x14ac:dyDescent="0.25">
      <c r="A1431" s="5" t="s">
        <v>4457</v>
      </c>
      <c r="B1431" s="1" t="s">
        <v>9221</v>
      </c>
      <c r="C1431" s="1" t="s">
        <v>7546</v>
      </c>
      <c r="E1431" s="1" t="s">
        <v>123</v>
      </c>
      <c r="J1431" s="3">
        <v>46148.746307870373</v>
      </c>
      <c r="K1431" s="2" t="s">
        <v>9222</v>
      </c>
      <c r="L1431" s="1">
        <v>23</v>
      </c>
      <c r="M1431" s="1">
        <v>29</v>
      </c>
      <c r="N1431">
        <v>6</v>
      </c>
      <c r="O1431" s="3">
        <f>IF(
    R1431="Ancien",
    _xlfn.XLOOKUP(
        Final_Sans_VGE[[#This Row],[ppn_z]],
        tbl_Historique_Final[ppn_z],
        tbl_Historique_Final[Horodatage],
        ""
    ),
    Horodatage!$A$2
)</f>
        <v>46233.670796365739</v>
      </c>
      <c r="P1431" s="1" t="str">
        <f>IFERROR(IF(tbl_Historique_Final[[#This Row],[Commentaires]]&lt;&gt;"",tbl_Historique_Final[[#This Row],[Commentaires]],""),"")</f>
        <v/>
      </c>
      <c r="X1431" s="8" t="str">
        <f>IF(Final_Sans_VGE[[#This Row],[ppn_z]]="","",IFERROR(
   IF(_xlfn.XLOOKUP(Final_Sans_VGE[[#This Row],[ppn_z]],tbl_Historique_Final[ppn_z],tbl_Historique_Final[date_modif])=Final_Sans_VGE[[#This Row],[date_modif]],
      "Ancien",
      "Modifié"),
   "Nouveau"))</f>
        <v>Ancien</v>
      </c>
      <c r="AC1431"/>
      <c r="AD1431"/>
    </row>
    <row r="1432" spans="1:30" ht="45" x14ac:dyDescent="0.25">
      <c r="A1432" s="5" t="s">
        <v>4460</v>
      </c>
      <c r="B1432" s="1" t="s">
        <v>9223</v>
      </c>
      <c r="C1432" s="1" t="s">
        <v>117</v>
      </c>
      <c r="J1432" s="3">
        <v>46147.603692129633</v>
      </c>
      <c r="K1432" s="2" t="s">
        <v>9224</v>
      </c>
      <c r="L1432" s="1">
        <v>0</v>
      </c>
      <c r="M1432" s="1">
        <v>0</v>
      </c>
      <c r="N1432">
        <v>0</v>
      </c>
      <c r="O1432" s="3">
        <f>IF(
    R1432="Ancien",
    _xlfn.XLOOKUP(
        Final_Sans_VGE[[#This Row],[ppn_z]],
        tbl_Historique_Final[ppn_z],
        tbl_Historique_Final[Horodatage],
        ""
    ),
    Horodatage!$A$2
)</f>
        <v>46233.670796365739</v>
      </c>
      <c r="P1432" s="1" t="str">
        <f>IFERROR(IF(tbl_Historique_Final[[#This Row],[Commentaires]]&lt;&gt;"",tbl_Historique_Final[[#This Row],[Commentaires]],""),"")</f>
        <v/>
      </c>
      <c r="X1432" s="8" t="str">
        <f>IF(Final_Sans_VGE[[#This Row],[ppn_z]]="","",IFERROR(
   IF(_xlfn.XLOOKUP(Final_Sans_VGE[[#This Row],[ppn_z]],tbl_Historique_Final[ppn_z],tbl_Historique_Final[date_modif])=Final_Sans_VGE[[#This Row],[date_modif]],
      "Ancien",
      "Modifié"),
   "Nouveau"))</f>
        <v>Ancien</v>
      </c>
      <c r="AC1432"/>
      <c r="AD1432"/>
    </row>
    <row r="1433" spans="1:30" x14ac:dyDescent="0.25">
      <c r="A1433" s="5" t="s">
        <v>4463</v>
      </c>
      <c r="B1433" s="1" t="s">
        <v>9225</v>
      </c>
      <c r="C1433" s="1" t="s">
        <v>6355</v>
      </c>
      <c r="J1433" s="3">
        <v>46114.711388888885</v>
      </c>
      <c r="K1433" s="2" t="s">
        <v>9226</v>
      </c>
      <c r="L1433" s="1">
        <v>24</v>
      </c>
      <c r="M1433" s="1">
        <v>24</v>
      </c>
      <c r="N1433">
        <v>0</v>
      </c>
      <c r="O1433" s="3">
        <f>IF(
    R1433="Ancien",
    _xlfn.XLOOKUP(
        Final_Sans_VGE[[#This Row],[ppn_z]],
        tbl_Historique_Final[ppn_z],
        tbl_Historique_Final[Horodatage],
        ""
    ),
    Horodatage!$A$2
)</f>
        <v>46233.670796365739</v>
      </c>
      <c r="P1433" s="1" t="str">
        <f>IFERROR(IF(tbl_Historique_Final[[#This Row],[Commentaires]]&lt;&gt;"",tbl_Historique_Final[[#This Row],[Commentaires]],""),"")</f>
        <v/>
      </c>
      <c r="X1433" s="8" t="str">
        <f>IF(Final_Sans_VGE[[#This Row],[ppn_z]]="","",IFERROR(
   IF(_xlfn.XLOOKUP(Final_Sans_VGE[[#This Row],[ppn_z]],tbl_Historique_Final[ppn_z],tbl_Historique_Final[date_modif])=Final_Sans_VGE[[#This Row],[date_modif]],
      "Ancien",
      "Modifié"),
   "Nouveau"))</f>
        <v>Ancien</v>
      </c>
      <c r="AC1433"/>
      <c r="AD1433"/>
    </row>
    <row r="1434" spans="1:30" ht="30" x14ac:dyDescent="0.25">
      <c r="A1434" s="5" t="s">
        <v>4466</v>
      </c>
      <c r="B1434" s="1" t="s">
        <v>9227</v>
      </c>
      <c r="C1434" s="1" t="s">
        <v>12</v>
      </c>
      <c r="G1434" s="1" t="s">
        <v>10</v>
      </c>
      <c r="J1434" s="3">
        <v>46136.446886574071</v>
      </c>
      <c r="K1434" s="2" t="s">
        <v>9228</v>
      </c>
      <c r="L1434" s="1">
        <v>2</v>
      </c>
      <c r="M1434" s="1">
        <v>2</v>
      </c>
      <c r="N1434">
        <v>0</v>
      </c>
      <c r="O1434" s="3">
        <f>IF(
    R1434="Ancien",
    _xlfn.XLOOKUP(
        Final_Sans_VGE[[#This Row],[ppn_z]],
        tbl_Historique_Final[ppn_z],
        tbl_Historique_Final[Horodatage],
        ""
    ),
    Horodatage!$A$2
)</f>
        <v>46233.670796365739</v>
      </c>
      <c r="P1434" s="1" t="str">
        <f>IFERROR(IF(tbl_Historique_Final[[#This Row],[Commentaires]]&lt;&gt;"",tbl_Historique_Final[[#This Row],[Commentaires]],""),"")</f>
        <v/>
      </c>
      <c r="X1434" s="8" t="str">
        <f>IF(Final_Sans_VGE[[#This Row],[ppn_z]]="","",IFERROR(
   IF(_xlfn.XLOOKUP(Final_Sans_VGE[[#This Row],[ppn_z]],tbl_Historique_Final[ppn_z],tbl_Historique_Final[date_modif])=Final_Sans_VGE[[#This Row],[date_modif]],
      "Ancien",
      "Modifié"),
   "Nouveau"))</f>
        <v>Ancien</v>
      </c>
      <c r="AC1434"/>
      <c r="AD1434"/>
    </row>
    <row r="1435" spans="1:30" x14ac:dyDescent="0.25">
      <c r="A1435" s="5" t="s">
        <v>4469</v>
      </c>
      <c r="B1435" s="1" t="s">
        <v>9229</v>
      </c>
      <c r="C1435" s="1" t="s">
        <v>31</v>
      </c>
      <c r="G1435" s="1" t="s">
        <v>10</v>
      </c>
      <c r="J1435" s="3">
        <v>46135.546400462961</v>
      </c>
      <c r="K1435" s="2" t="s">
        <v>9230</v>
      </c>
      <c r="L1435" s="1">
        <v>1</v>
      </c>
      <c r="M1435" s="1">
        <v>1</v>
      </c>
      <c r="N1435">
        <v>0</v>
      </c>
      <c r="O1435" s="3">
        <f>IF(
    R1435="Ancien",
    _xlfn.XLOOKUP(
        Final_Sans_VGE[[#This Row],[ppn_z]],
        tbl_Historique_Final[ppn_z],
        tbl_Historique_Final[Horodatage],
        ""
    ),
    Horodatage!$A$2
)</f>
        <v>46233.670796365739</v>
      </c>
      <c r="P1435" s="1" t="str">
        <f>IFERROR(IF(tbl_Historique_Final[[#This Row],[Commentaires]]&lt;&gt;"",tbl_Historique_Final[[#This Row],[Commentaires]],""),"")</f>
        <v/>
      </c>
      <c r="X1435" s="8" t="str">
        <f>IF(Final_Sans_VGE[[#This Row],[ppn_z]]="","",IFERROR(
   IF(_xlfn.XLOOKUP(Final_Sans_VGE[[#This Row],[ppn_z]],tbl_Historique_Final[ppn_z],tbl_Historique_Final[date_modif])=Final_Sans_VGE[[#This Row],[date_modif]],
      "Ancien",
      "Modifié"),
   "Nouveau"))</f>
        <v>Ancien</v>
      </c>
      <c r="AC1435"/>
      <c r="AD1435"/>
    </row>
    <row r="1436" spans="1:30" x14ac:dyDescent="0.25">
      <c r="A1436" s="5" t="s">
        <v>4472</v>
      </c>
      <c r="B1436" s="1" t="s">
        <v>9231</v>
      </c>
      <c r="C1436" s="1" t="s">
        <v>64</v>
      </c>
      <c r="G1436" s="1" t="s">
        <v>10</v>
      </c>
      <c r="J1436" s="3">
        <v>46113.42328703704</v>
      </c>
      <c r="K1436" s="2" t="s">
        <v>9232</v>
      </c>
      <c r="L1436" s="1">
        <v>1</v>
      </c>
      <c r="M1436" s="1">
        <v>1</v>
      </c>
      <c r="N1436">
        <v>0</v>
      </c>
      <c r="O1436" s="3">
        <f>IF(
    R1436="Ancien",
    _xlfn.XLOOKUP(
        Final_Sans_VGE[[#This Row],[ppn_z]],
        tbl_Historique_Final[ppn_z],
        tbl_Historique_Final[Horodatage],
        ""
    ),
    Horodatage!$A$2
)</f>
        <v>46233.670796365739</v>
      </c>
      <c r="P1436" s="1" t="str">
        <f>IFERROR(IF(tbl_Historique_Final[[#This Row],[Commentaires]]&lt;&gt;"",tbl_Historique_Final[[#This Row],[Commentaires]],""),"")</f>
        <v/>
      </c>
      <c r="X1436" s="8" t="str">
        <f>IF(Final_Sans_VGE[[#This Row],[ppn_z]]="","",IFERROR(
   IF(_xlfn.XLOOKUP(Final_Sans_VGE[[#This Row],[ppn_z]],tbl_Historique_Final[ppn_z],tbl_Historique_Final[date_modif])=Final_Sans_VGE[[#This Row],[date_modif]],
      "Ancien",
      "Modifié"),
   "Nouveau"))</f>
        <v>Ancien</v>
      </c>
      <c r="AC1436"/>
      <c r="AD1436"/>
    </row>
    <row r="1437" spans="1:30" ht="45" x14ac:dyDescent="0.25">
      <c r="A1437" s="5" t="s">
        <v>4475</v>
      </c>
      <c r="B1437" s="1" t="s">
        <v>9233</v>
      </c>
      <c r="C1437" s="1" t="s">
        <v>6694</v>
      </c>
      <c r="E1437" s="1" t="s">
        <v>7692</v>
      </c>
      <c r="J1437" s="3">
        <v>46126.540219907409</v>
      </c>
      <c r="K1437" s="2" t="s">
        <v>9234</v>
      </c>
      <c r="L1437" s="1">
        <v>18</v>
      </c>
      <c r="M1437" s="1">
        <v>26</v>
      </c>
      <c r="N1437">
        <v>8</v>
      </c>
      <c r="O1437" s="3">
        <f>IF(
    R1437="Ancien",
    _xlfn.XLOOKUP(
        Final_Sans_VGE[[#This Row],[ppn_z]],
        tbl_Historique_Final[ppn_z],
        tbl_Historique_Final[Horodatage],
        ""
    ),
    Horodatage!$A$2
)</f>
        <v>46233.670796365739</v>
      </c>
      <c r="P1437" s="1" t="str">
        <f>IFERROR(IF(tbl_Historique_Final[[#This Row],[Commentaires]]&lt;&gt;"",tbl_Historique_Final[[#This Row],[Commentaires]],""),"")</f>
        <v/>
      </c>
      <c r="X1437" s="8" t="str">
        <f>IF(Final_Sans_VGE[[#This Row],[ppn_z]]="","",IFERROR(
   IF(_xlfn.XLOOKUP(Final_Sans_VGE[[#This Row],[ppn_z]],tbl_Historique_Final[ppn_z],tbl_Historique_Final[date_modif])=Final_Sans_VGE[[#This Row],[date_modif]],
      "Ancien",
      "Modifié"),
   "Nouveau"))</f>
        <v>Ancien</v>
      </c>
      <c r="AC1437"/>
      <c r="AD1437"/>
    </row>
    <row r="1438" spans="1:30" ht="60" x14ac:dyDescent="0.25">
      <c r="A1438" s="5" t="s">
        <v>4478</v>
      </c>
      <c r="B1438" s="1" t="s">
        <v>9235</v>
      </c>
      <c r="C1438" s="1" t="s">
        <v>55</v>
      </c>
      <c r="G1438" s="1" t="s">
        <v>10</v>
      </c>
      <c r="J1438" s="3">
        <v>46125.395995370367</v>
      </c>
      <c r="K1438" s="2" t="s">
        <v>9236</v>
      </c>
      <c r="L1438" s="1">
        <v>4</v>
      </c>
      <c r="M1438" s="1">
        <v>8</v>
      </c>
      <c r="N1438">
        <v>4</v>
      </c>
      <c r="O1438" s="3">
        <f>IF(
    R1438="Ancien",
    _xlfn.XLOOKUP(
        Final_Sans_VGE[[#This Row],[ppn_z]],
        tbl_Historique_Final[ppn_z],
        tbl_Historique_Final[Horodatage],
        ""
    ),
    Horodatage!$A$2
)</f>
        <v>46233.670796365739</v>
      </c>
      <c r="P1438" s="1" t="str">
        <f>IFERROR(IF(tbl_Historique_Final[[#This Row],[Commentaires]]&lt;&gt;"",tbl_Historique_Final[[#This Row],[Commentaires]],""),"")</f>
        <v/>
      </c>
      <c r="X1438" s="8" t="str">
        <f>IF(Final_Sans_VGE[[#This Row],[ppn_z]]="","",IFERROR(
   IF(_xlfn.XLOOKUP(Final_Sans_VGE[[#This Row],[ppn_z]],tbl_Historique_Final[ppn_z],tbl_Historique_Final[date_modif])=Final_Sans_VGE[[#This Row],[date_modif]],
      "Ancien",
      "Modifié"),
   "Nouveau"))</f>
        <v>Ancien</v>
      </c>
      <c r="AC1438"/>
      <c r="AD1438"/>
    </row>
    <row r="1439" spans="1:30" x14ac:dyDescent="0.25">
      <c r="A1439" s="5" t="s">
        <v>4481</v>
      </c>
      <c r="B1439" s="1" t="s">
        <v>9237</v>
      </c>
      <c r="C1439" s="1" t="s">
        <v>127</v>
      </c>
      <c r="J1439" s="3">
        <v>46034.460081018522</v>
      </c>
      <c r="L1439" s="1">
        <v>1</v>
      </c>
      <c r="M1439" s="1">
        <v>1</v>
      </c>
      <c r="N1439">
        <v>0</v>
      </c>
      <c r="O1439" s="3">
        <f>IF(
    R1439="Ancien",
    _xlfn.XLOOKUP(
        Final_Sans_VGE[[#This Row],[ppn_z]],
        tbl_Historique_Final[ppn_z],
        tbl_Historique_Final[Horodatage],
        ""
    ),
    Horodatage!$A$2
)</f>
        <v>46233.670796365739</v>
      </c>
      <c r="P1439" s="1" t="str">
        <f>IFERROR(IF(tbl_Historique_Final[[#This Row],[Commentaires]]&lt;&gt;"",tbl_Historique_Final[[#This Row],[Commentaires]],""),"")</f>
        <v/>
      </c>
      <c r="X1439" s="8" t="str">
        <f>IF(Final_Sans_VGE[[#This Row],[ppn_z]]="","",IFERROR(
   IF(_xlfn.XLOOKUP(Final_Sans_VGE[[#This Row],[ppn_z]],tbl_Historique_Final[ppn_z],tbl_Historique_Final[date_modif])=Final_Sans_VGE[[#This Row],[date_modif]],
      "Ancien",
      "Modifié"),
   "Nouveau"))</f>
        <v>Ancien</v>
      </c>
      <c r="AC1439"/>
      <c r="AD1439"/>
    </row>
    <row r="1440" spans="1:30" x14ac:dyDescent="0.25">
      <c r="A1440" s="5" t="s">
        <v>4484</v>
      </c>
      <c r="B1440" s="1" t="s">
        <v>9238</v>
      </c>
      <c r="C1440" s="1" t="s">
        <v>7164</v>
      </c>
      <c r="D1440" s="1" t="s">
        <v>14</v>
      </c>
      <c r="E1440" s="1" t="s">
        <v>120</v>
      </c>
      <c r="F1440" s="1" t="s">
        <v>14</v>
      </c>
      <c r="G1440" s="1" t="s">
        <v>10</v>
      </c>
      <c r="H1440" s="1" t="s">
        <v>22</v>
      </c>
      <c r="I1440" s="1" t="s">
        <v>22</v>
      </c>
      <c r="J1440" s="3">
        <v>46138.435532407406</v>
      </c>
      <c r="K1440" s="2" t="s">
        <v>6916</v>
      </c>
      <c r="L1440" s="1">
        <v>400</v>
      </c>
      <c r="M1440" s="1">
        <v>596</v>
      </c>
      <c r="N1440">
        <v>196</v>
      </c>
      <c r="O1440" s="3">
        <f>IF(
    R1440="Ancien",
    _xlfn.XLOOKUP(
        Final_Sans_VGE[[#This Row],[ppn_z]],
        tbl_Historique_Final[ppn_z],
        tbl_Historique_Final[Horodatage],
        ""
    ),
    Horodatage!$A$2
)</f>
        <v>46233.670796365739</v>
      </c>
      <c r="P1440" s="1" t="str">
        <f>IFERROR(IF(tbl_Historique_Final[[#This Row],[Commentaires]]&lt;&gt;"",tbl_Historique_Final[[#This Row],[Commentaires]],""),"")</f>
        <v/>
      </c>
      <c r="X1440" s="8" t="str">
        <f>IF(Final_Sans_VGE[[#This Row],[ppn_z]]="","",IFERROR(
   IF(_xlfn.XLOOKUP(Final_Sans_VGE[[#This Row],[ppn_z]],tbl_Historique_Final[ppn_z],tbl_Historique_Final[date_modif])=Final_Sans_VGE[[#This Row],[date_modif]],
      "Ancien",
      "Modifié"),
   "Nouveau"))</f>
        <v>Ancien</v>
      </c>
      <c r="AC1440"/>
      <c r="AD1440"/>
    </row>
    <row r="1441" spans="1:30" x14ac:dyDescent="0.25">
      <c r="A1441" s="5" t="s">
        <v>4487</v>
      </c>
      <c r="B1441" s="1" t="s">
        <v>9239</v>
      </c>
      <c r="C1441" s="1" t="s">
        <v>12</v>
      </c>
      <c r="G1441" s="1" t="s">
        <v>11</v>
      </c>
      <c r="J1441" s="3">
        <v>46136.655833333331</v>
      </c>
      <c r="K1441" s="2" t="s">
        <v>9240</v>
      </c>
      <c r="L1441" s="1">
        <v>2</v>
      </c>
      <c r="M1441" s="1">
        <v>2</v>
      </c>
      <c r="N1441">
        <v>0</v>
      </c>
      <c r="O1441" s="3">
        <f>IF(
    R1441="Ancien",
    _xlfn.XLOOKUP(
        Final_Sans_VGE[[#This Row],[ppn_z]],
        tbl_Historique_Final[ppn_z],
        tbl_Historique_Final[Horodatage],
        ""
    ),
    Horodatage!$A$2
)</f>
        <v>46233.670796365739</v>
      </c>
      <c r="P1441" s="1" t="str">
        <f>IFERROR(IF(tbl_Historique_Final[[#This Row],[Commentaires]]&lt;&gt;"",tbl_Historique_Final[[#This Row],[Commentaires]],""),"")</f>
        <v/>
      </c>
      <c r="X1441" s="8" t="str">
        <f>IF(Final_Sans_VGE[[#This Row],[ppn_z]]="","",IFERROR(
   IF(_xlfn.XLOOKUP(Final_Sans_VGE[[#This Row],[ppn_z]],tbl_Historique_Final[ppn_z],tbl_Historique_Final[date_modif])=Final_Sans_VGE[[#This Row],[date_modif]],
      "Ancien",
      "Modifié"),
   "Nouveau"))</f>
        <v>Ancien</v>
      </c>
      <c r="AC1441"/>
      <c r="AD1441"/>
    </row>
    <row r="1442" spans="1:30" x14ac:dyDescent="0.25">
      <c r="A1442" s="5" t="s">
        <v>4490</v>
      </c>
      <c r="B1442" s="1" t="s">
        <v>9241</v>
      </c>
      <c r="C1442" s="1" t="s">
        <v>141</v>
      </c>
      <c r="E1442" s="1" t="s">
        <v>115</v>
      </c>
      <c r="J1442" s="3">
        <v>46035.446666666663</v>
      </c>
      <c r="L1442" s="1">
        <v>5</v>
      </c>
      <c r="M1442" s="1">
        <v>7</v>
      </c>
      <c r="N1442">
        <v>2</v>
      </c>
      <c r="O1442" s="3">
        <f>IF(
    R1442="Ancien",
    _xlfn.XLOOKUP(
        Final_Sans_VGE[[#This Row],[ppn_z]],
        tbl_Historique_Final[ppn_z],
        tbl_Historique_Final[Horodatage],
        ""
    ),
    Horodatage!$A$2
)</f>
        <v>46233.670796365739</v>
      </c>
      <c r="P1442" s="1" t="str">
        <f>IFERROR(IF(tbl_Historique_Final[[#This Row],[Commentaires]]&lt;&gt;"",tbl_Historique_Final[[#This Row],[Commentaires]],""),"")</f>
        <v/>
      </c>
      <c r="X1442" s="8" t="str">
        <f>IF(Final_Sans_VGE[[#This Row],[ppn_z]]="","",IFERROR(
   IF(_xlfn.XLOOKUP(Final_Sans_VGE[[#This Row],[ppn_z]],tbl_Historique_Final[ppn_z],tbl_Historique_Final[date_modif])=Final_Sans_VGE[[#This Row],[date_modif]],
      "Ancien",
      "Modifié"),
   "Nouveau"))</f>
        <v>Ancien</v>
      </c>
      <c r="AC1442"/>
      <c r="AD1442"/>
    </row>
    <row r="1443" spans="1:30" ht="30" x14ac:dyDescent="0.25">
      <c r="A1443" s="5" t="s">
        <v>4493</v>
      </c>
      <c r="B1443" s="1" t="s">
        <v>9242</v>
      </c>
      <c r="C1443" s="1" t="s">
        <v>168</v>
      </c>
      <c r="D1443" s="1" t="s">
        <v>8451</v>
      </c>
      <c r="E1443" s="1" t="s">
        <v>129</v>
      </c>
      <c r="F1443" s="1" t="s">
        <v>8451</v>
      </c>
      <c r="G1443" s="1" t="s">
        <v>10</v>
      </c>
      <c r="H1443" s="1" t="s">
        <v>22</v>
      </c>
      <c r="I1443" s="1" t="s">
        <v>22</v>
      </c>
      <c r="J1443" s="3">
        <v>46128.659699074073</v>
      </c>
      <c r="K1443" s="2" t="s">
        <v>9243</v>
      </c>
      <c r="L1443" s="1">
        <v>1</v>
      </c>
      <c r="M1443" s="1">
        <v>1</v>
      </c>
      <c r="N1443">
        <v>0</v>
      </c>
      <c r="O1443" s="3">
        <f>IF(
    R1443="Ancien",
    _xlfn.XLOOKUP(
        Final_Sans_VGE[[#This Row],[ppn_z]],
        tbl_Historique_Final[ppn_z],
        tbl_Historique_Final[Horodatage],
        ""
    ),
    Horodatage!$A$2
)</f>
        <v>46233.670796365739</v>
      </c>
      <c r="P1443" s="1" t="str">
        <f>IFERROR(IF(tbl_Historique_Final[[#This Row],[Commentaires]]&lt;&gt;"",tbl_Historique_Final[[#This Row],[Commentaires]],""),"")</f>
        <v/>
      </c>
      <c r="X1443" s="8" t="str">
        <f>IF(Final_Sans_VGE[[#This Row],[ppn_z]]="","",IFERROR(
   IF(_xlfn.XLOOKUP(Final_Sans_VGE[[#This Row],[ppn_z]],tbl_Historique_Final[ppn_z],tbl_Historique_Final[date_modif])=Final_Sans_VGE[[#This Row],[date_modif]],
      "Ancien",
      "Modifié"),
   "Nouveau"))</f>
        <v>Ancien</v>
      </c>
      <c r="AC1443"/>
      <c r="AD1443"/>
    </row>
    <row r="1444" spans="1:30" ht="45" x14ac:dyDescent="0.25">
      <c r="A1444" s="5" t="s">
        <v>4496</v>
      </c>
      <c r="B1444" s="1" t="s">
        <v>9244</v>
      </c>
      <c r="C1444" s="1" t="s">
        <v>6694</v>
      </c>
      <c r="E1444" s="1" t="s">
        <v>147</v>
      </c>
      <c r="J1444" s="3">
        <v>46148.738275462965</v>
      </c>
      <c r="K1444" s="2" t="s">
        <v>9245</v>
      </c>
      <c r="L1444" s="1">
        <v>9</v>
      </c>
      <c r="M1444" s="1">
        <v>12</v>
      </c>
      <c r="N1444">
        <v>3</v>
      </c>
      <c r="O1444" s="3">
        <f>IF(
    R1444="Ancien",
    _xlfn.XLOOKUP(
        Final_Sans_VGE[[#This Row],[ppn_z]],
        tbl_Historique_Final[ppn_z],
        tbl_Historique_Final[Horodatage],
        ""
    ),
    Horodatage!$A$2
)</f>
        <v>46233.670796365739</v>
      </c>
      <c r="P1444" s="1" t="str">
        <f>IFERROR(IF(tbl_Historique_Final[[#This Row],[Commentaires]]&lt;&gt;"",tbl_Historique_Final[[#This Row],[Commentaires]],""),"")</f>
        <v/>
      </c>
      <c r="X1444" s="8" t="str">
        <f>IF(Final_Sans_VGE[[#This Row],[ppn_z]]="","",IFERROR(
   IF(_xlfn.XLOOKUP(Final_Sans_VGE[[#This Row],[ppn_z]],tbl_Historique_Final[ppn_z],tbl_Historique_Final[date_modif])=Final_Sans_VGE[[#This Row],[date_modif]],
      "Ancien",
      "Modifié"),
   "Nouveau"))</f>
        <v>Ancien</v>
      </c>
      <c r="AC1444"/>
      <c r="AD1444"/>
    </row>
    <row r="1445" spans="1:30" x14ac:dyDescent="0.25">
      <c r="A1445" s="5" t="s">
        <v>4499</v>
      </c>
      <c r="B1445" s="1" t="s">
        <v>9246</v>
      </c>
      <c r="C1445" s="1" t="s">
        <v>12</v>
      </c>
      <c r="G1445" s="1" t="s">
        <v>10</v>
      </c>
      <c r="J1445" s="3">
        <v>46111.63652777778</v>
      </c>
      <c r="K1445" s="2" t="s">
        <v>9247</v>
      </c>
      <c r="L1445" s="1">
        <v>1</v>
      </c>
      <c r="M1445" s="1">
        <v>1</v>
      </c>
      <c r="N1445">
        <v>0</v>
      </c>
      <c r="O1445" s="3">
        <f>IF(
    R1445="Ancien",
    _xlfn.XLOOKUP(
        Final_Sans_VGE[[#This Row],[ppn_z]],
        tbl_Historique_Final[ppn_z],
        tbl_Historique_Final[Horodatage],
        ""
    ),
    Horodatage!$A$2
)</f>
        <v>46233.670796365739</v>
      </c>
      <c r="P1445" s="1" t="str">
        <f>IFERROR(IF(tbl_Historique_Final[[#This Row],[Commentaires]]&lt;&gt;"",tbl_Historique_Final[[#This Row],[Commentaires]],""),"")</f>
        <v/>
      </c>
      <c r="X1445" s="8" t="str">
        <f>IF(Final_Sans_VGE[[#This Row],[ppn_z]]="","",IFERROR(
   IF(_xlfn.XLOOKUP(Final_Sans_VGE[[#This Row],[ppn_z]],tbl_Historique_Final[ppn_z],tbl_Historique_Final[date_modif])=Final_Sans_VGE[[#This Row],[date_modif]],
      "Ancien",
      "Modifié"),
   "Nouveau"))</f>
        <v>Ancien</v>
      </c>
      <c r="AC1445"/>
      <c r="AD1445"/>
    </row>
    <row r="1446" spans="1:30" x14ac:dyDescent="0.25">
      <c r="A1446" s="5" t="s">
        <v>4502</v>
      </c>
      <c r="B1446" s="1" t="s">
        <v>9248</v>
      </c>
      <c r="C1446" s="1" t="s">
        <v>12</v>
      </c>
      <c r="G1446" s="1" t="s">
        <v>11</v>
      </c>
      <c r="J1446" s="3">
        <v>46136.668842592589</v>
      </c>
      <c r="K1446" s="2" t="s">
        <v>150</v>
      </c>
      <c r="L1446" s="1">
        <v>20</v>
      </c>
      <c r="M1446" s="1">
        <v>20</v>
      </c>
      <c r="N1446">
        <v>0</v>
      </c>
      <c r="O1446" s="3">
        <f>IF(
    R1446="Ancien",
    _xlfn.XLOOKUP(
        Final_Sans_VGE[[#This Row],[ppn_z]],
        tbl_Historique_Final[ppn_z],
        tbl_Historique_Final[Horodatage],
        ""
    ),
    Horodatage!$A$2
)</f>
        <v>46233.670796365739</v>
      </c>
      <c r="P1446" s="1" t="str">
        <f>IFERROR(IF(tbl_Historique_Final[[#This Row],[Commentaires]]&lt;&gt;"",tbl_Historique_Final[[#This Row],[Commentaires]],""),"")</f>
        <v/>
      </c>
      <c r="X1446" s="8" t="str">
        <f>IF(Final_Sans_VGE[[#This Row],[ppn_z]]="","",IFERROR(
   IF(_xlfn.XLOOKUP(Final_Sans_VGE[[#This Row],[ppn_z]],tbl_Historique_Final[ppn_z],tbl_Historique_Final[date_modif])=Final_Sans_VGE[[#This Row],[date_modif]],
      "Ancien",
      "Modifié"),
   "Nouveau"))</f>
        <v>Ancien</v>
      </c>
      <c r="AC1446"/>
      <c r="AD1446"/>
    </row>
    <row r="1447" spans="1:30" x14ac:dyDescent="0.25">
      <c r="A1447" s="5" t="s">
        <v>4505</v>
      </c>
      <c r="B1447" s="1" t="s">
        <v>9249</v>
      </c>
      <c r="C1447" s="1" t="s">
        <v>12</v>
      </c>
      <c r="G1447" s="1" t="s">
        <v>10</v>
      </c>
      <c r="J1447" s="3">
        <v>46111.699942129628</v>
      </c>
      <c r="K1447" s="2" t="s">
        <v>9250</v>
      </c>
      <c r="L1447" s="1">
        <v>1</v>
      </c>
      <c r="M1447" s="1">
        <v>1</v>
      </c>
      <c r="N1447">
        <v>0</v>
      </c>
      <c r="O1447" s="3">
        <f>IF(
    R1447="Ancien",
    _xlfn.XLOOKUP(
        Final_Sans_VGE[[#This Row],[ppn_z]],
        tbl_Historique_Final[ppn_z],
        tbl_Historique_Final[Horodatage],
        ""
    ),
    Horodatage!$A$2
)</f>
        <v>46233.670796365739</v>
      </c>
      <c r="P1447" s="1" t="str">
        <f>IFERROR(IF(tbl_Historique_Final[[#This Row],[Commentaires]]&lt;&gt;"",tbl_Historique_Final[[#This Row],[Commentaires]],""),"")</f>
        <v/>
      </c>
      <c r="X1447" s="8" t="str">
        <f>IF(Final_Sans_VGE[[#This Row],[ppn_z]]="","",IFERROR(
   IF(_xlfn.XLOOKUP(Final_Sans_VGE[[#This Row],[ppn_z]],tbl_Historique_Final[ppn_z],tbl_Historique_Final[date_modif])=Final_Sans_VGE[[#This Row],[date_modif]],
      "Ancien",
      "Modifié"),
   "Nouveau"))</f>
        <v>Ancien</v>
      </c>
      <c r="AC1447"/>
      <c r="AD1447"/>
    </row>
    <row r="1448" spans="1:30" ht="45" x14ac:dyDescent="0.25">
      <c r="A1448" s="5" t="s">
        <v>4508</v>
      </c>
      <c r="B1448" s="1" t="s">
        <v>9251</v>
      </c>
      <c r="C1448" s="1" t="s">
        <v>117</v>
      </c>
      <c r="J1448" s="3">
        <v>46147.60496527778</v>
      </c>
      <c r="K1448" s="2" t="s">
        <v>9224</v>
      </c>
      <c r="L1448" s="1">
        <v>0</v>
      </c>
      <c r="M1448" s="1">
        <v>0</v>
      </c>
      <c r="N1448">
        <v>0</v>
      </c>
      <c r="O1448" s="3">
        <f>IF(
    R1448="Ancien",
    _xlfn.XLOOKUP(
        Final_Sans_VGE[[#This Row],[ppn_z]],
        tbl_Historique_Final[ppn_z],
        tbl_Historique_Final[Horodatage],
        ""
    ),
    Horodatage!$A$2
)</f>
        <v>46233.670796365739</v>
      </c>
      <c r="P1448" s="1" t="str">
        <f>IFERROR(IF(tbl_Historique_Final[[#This Row],[Commentaires]]&lt;&gt;"",tbl_Historique_Final[[#This Row],[Commentaires]],""),"")</f>
        <v/>
      </c>
      <c r="X1448" s="8" t="str">
        <f>IF(Final_Sans_VGE[[#This Row],[ppn_z]]="","",IFERROR(
   IF(_xlfn.XLOOKUP(Final_Sans_VGE[[#This Row],[ppn_z]],tbl_Historique_Final[ppn_z],tbl_Historique_Final[date_modif])=Final_Sans_VGE[[#This Row],[date_modif]],
      "Ancien",
      "Modifié"),
   "Nouveau"))</f>
        <v>Ancien</v>
      </c>
      <c r="AC1448"/>
      <c r="AD1448"/>
    </row>
    <row r="1449" spans="1:30" x14ac:dyDescent="0.25">
      <c r="A1449" s="5" t="s">
        <v>4511</v>
      </c>
      <c r="B1449" s="1" t="s">
        <v>9252</v>
      </c>
      <c r="C1449" s="1" t="s">
        <v>12</v>
      </c>
      <c r="G1449" s="1" t="s">
        <v>10</v>
      </c>
      <c r="J1449" s="3">
        <v>46112.579421296294</v>
      </c>
      <c r="K1449" s="2" t="s">
        <v>9253</v>
      </c>
      <c r="L1449" s="1">
        <v>1</v>
      </c>
      <c r="M1449" s="1">
        <v>1</v>
      </c>
      <c r="N1449">
        <v>0</v>
      </c>
      <c r="O1449" s="3">
        <f>IF(
    R1449="Ancien",
    _xlfn.XLOOKUP(
        Final_Sans_VGE[[#This Row],[ppn_z]],
        tbl_Historique_Final[ppn_z],
        tbl_Historique_Final[Horodatage],
        ""
    ),
    Horodatage!$A$2
)</f>
        <v>46233.670796365739</v>
      </c>
      <c r="P1449" s="1" t="str">
        <f>IFERROR(IF(tbl_Historique_Final[[#This Row],[Commentaires]]&lt;&gt;"",tbl_Historique_Final[[#This Row],[Commentaires]],""),"")</f>
        <v/>
      </c>
      <c r="X1449" s="8" t="str">
        <f>IF(Final_Sans_VGE[[#This Row],[ppn_z]]="","",IFERROR(
   IF(_xlfn.XLOOKUP(Final_Sans_VGE[[#This Row],[ppn_z]],tbl_Historique_Final[ppn_z],tbl_Historique_Final[date_modif])=Final_Sans_VGE[[#This Row],[date_modif]],
      "Ancien",
      "Modifié"),
   "Nouveau"))</f>
        <v>Ancien</v>
      </c>
      <c r="AC1449"/>
      <c r="AD1449"/>
    </row>
    <row r="1450" spans="1:30" x14ac:dyDescent="0.25">
      <c r="A1450" s="5" t="s">
        <v>4514</v>
      </c>
      <c r="B1450" s="1" t="s">
        <v>9254</v>
      </c>
      <c r="C1450" s="1" t="s">
        <v>6693</v>
      </c>
      <c r="D1450" s="1" t="s">
        <v>8920</v>
      </c>
      <c r="E1450" s="1" t="s">
        <v>87</v>
      </c>
      <c r="F1450" s="1" t="s">
        <v>14</v>
      </c>
      <c r="G1450" s="1" t="s">
        <v>10</v>
      </c>
      <c r="H1450" s="1" t="s">
        <v>8458</v>
      </c>
      <c r="I1450" s="1" t="s">
        <v>22</v>
      </c>
      <c r="J1450" s="3">
        <v>46138.457731481481</v>
      </c>
      <c r="K1450" s="2" t="s">
        <v>9255</v>
      </c>
      <c r="L1450" s="1">
        <v>27</v>
      </c>
      <c r="M1450" s="1">
        <v>34</v>
      </c>
      <c r="N1450">
        <v>7</v>
      </c>
      <c r="O1450" s="3">
        <f>IF(
    R1450="Ancien",
    _xlfn.XLOOKUP(
        Final_Sans_VGE[[#This Row],[ppn_z]],
        tbl_Historique_Final[ppn_z],
        tbl_Historique_Final[Horodatage],
        ""
    ),
    Horodatage!$A$2
)</f>
        <v>46233.670796365739</v>
      </c>
      <c r="P1450" s="1" t="str">
        <f>IFERROR(IF(tbl_Historique_Final[[#This Row],[Commentaires]]&lt;&gt;"",tbl_Historique_Final[[#This Row],[Commentaires]],""),"")</f>
        <v/>
      </c>
      <c r="X1450" s="8" t="str">
        <f>IF(Final_Sans_VGE[[#This Row],[ppn_z]]="","",IFERROR(
   IF(_xlfn.XLOOKUP(Final_Sans_VGE[[#This Row],[ppn_z]],tbl_Historique_Final[ppn_z],tbl_Historique_Final[date_modif])=Final_Sans_VGE[[#This Row],[date_modif]],
      "Ancien",
      "Modifié"),
   "Nouveau"))</f>
        <v>Ancien</v>
      </c>
      <c r="AC1450"/>
      <c r="AD1450"/>
    </row>
    <row r="1451" spans="1:30" x14ac:dyDescent="0.25">
      <c r="A1451" s="5" t="s">
        <v>4517</v>
      </c>
      <c r="B1451" s="1" t="s">
        <v>9256</v>
      </c>
      <c r="C1451" s="1" t="s">
        <v>6816</v>
      </c>
      <c r="D1451" s="1" t="s">
        <v>14</v>
      </c>
      <c r="E1451" s="1" t="s">
        <v>36</v>
      </c>
      <c r="F1451" s="1" t="s">
        <v>14</v>
      </c>
      <c r="G1451" s="1" t="s">
        <v>11</v>
      </c>
      <c r="H1451" s="1" t="s">
        <v>22</v>
      </c>
      <c r="I1451" s="1" t="s">
        <v>22</v>
      </c>
      <c r="J1451" s="3">
        <v>46129.616759259261</v>
      </c>
      <c r="K1451" s="2" t="s">
        <v>9257</v>
      </c>
      <c r="L1451" s="1">
        <v>13</v>
      </c>
      <c r="M1451" s="1">
        <v>14</v>
      </c>
      <c r="N1451">
        <v>1</v>
      </c>
      <c r="O1451" s="3">
        <f>IF(
    R1451="Ancien",
    _xlfn.XLOOKUP(
        Final_Sans_VGE[[#This Row],[ppn_z]],
        tbl_Historique_Final[ppn_z],
        tbl_Historique_Final[Horodatage],
        ""
    ),
    Horodatage!$A$2
)</f>
        <v>46233.670796365739</v>
      </c>
      <c r="P1451" s="1" t="str">
        <f>IFERROR(IF(tbl_Historique_Final[[#This Row],[Commentaires]]&lt;&gt;"",tbl_Historique_Final[[#This Row],[Commentaires]],""),"")</f>
        <v/>
      </c>
      <c r="X1451" s="8" t="str">
        <f>IF(Final_Sans_VGE[[#This Row],[ppn_z]]="","",IFERROR(
   IF(_xlfn.XLOOKUP(Final_Sans_VGE[[#This Row],[ppn_z]],tbl_Historique_Final[ppn_z],tbl_Historique_Final[date_modif])=Final_Sans_VGE[[#This Row],[date_modif]],
      "Ancien",
      "Modifié"),
   "Nouveau"))</f>
        <v>Ancien</v>
      </c>
      <c r="AC1451"/>
      <c r="AD1451"/>
    </row>
    <row r="1452" spans="1:30" x14ac:dyDescent="0.25">
      <c r="A1452" s="5" t="s">
        <v>4520</v>
      </c>
      <c r="B1452" s="1" t="s">
        <v>9258</v>
      </c>
      <c r="C1452" s="1" t="s">
        <v>7468</v>
      </c>
      <c r="J1452" s="3">
        <v>46037.75105324074</v>
      </c>
      <c r="L1452" s="1">
        <v>38</v>
      </c>
      <c r="M1452" s="1">
        <v>46</v>
      </c>
      <c r="N1452">
        <v>8</v>
      </c>
      <c r="O1452" s="3">
        <f>IF(
    R1452="Ancien",
    _xlfn.XLOOKUP(
        Final_Sans_VGE[[#This Row],[ppn_z]],
        tbl_Historique_Final[ppn_z],
        tbl_Historique_Final[Horodatage],
        ""
    ),
    Horodatage!$A$2
)</f>
        <v>46233.670796365739</v>
      </c>
      <c r="P1452" s="1" t="str">
        <f>IFERROR(IF(tbl_Historique_Final[[#This Row],[Commentaires]]&lt;&gt;"",tbl_Historique_Final[[#This Row],[Commentaires]],""),"")</f>
        <v/>
      </c>
      <c r="X1452" s="8" t="str">
        <f>IF(Final_Sans_VGE[[#This Row],[ppn_z]]="","",IFERROR(
   IF(_xlfn.XLOOKUP(Final_Sans_VGE[[#This Row],[ppn_z]],tbl_Historique_Final[ppn_z],tbl_Historique_Final[date_modif])=Final_Sans_VGE[[#This Row],[date_modif]],
      "Ancien",
      "Modifié"),
   "Nouveau"))</f>
        <v>Ancien</v>
      </c>
      <c r="AC1452"/>
      <c r="AD1452"/>
    </row>
    <row r="1453" spans="1:30" ht="30" x14ac:dyDescent="0.25">
      <c r="A1453" s="5" t="s">
        <v>4523</v>
      </c>
      <c r="B1453" s="1" t="s">
        <v>9259</v>
      </c>
      <c r="C1453" s="1" t="s">
        <v>129</v>
      </c>
      <c r="D1453" s="1" t="s">
        <v>8301</v>
      </c>
      <c r="E1453" s="1" t="s">
        <v>32</v>
      </c>
      <c r="F1453" s="1" t="s">
        <v>9260</v>
      </c>
      <c r="G1453" s="1" t="s">
        <v>10</v>
      </c>
      <c r="H1453" s="1" t="s">
        <v>22</v>
      </c>
      <c r="I1453" s="1" t="s">
        <v>8969</v>
      </c>
      <c r="J1453" s="3">
        <v>46138.457812499997</v>
      </c>
      <c r="K1453" s="2" t="s">
        <v>9261</v>
      </c>
      <c r="L1453" s="1">
        <v>1</v>
      </c>
      <c r="M1453" s="1">
        <v>1</v>
      </c>
      <c r="N1453">
        <v>0</v>
      </c>
      <c r="O1453" s="3">
        <f>IF(
    R1453="Ancien",
    _xlfn.XLOOKUP(
        Final_Sans_VGE[[#This Row],[ppn_z]],
        tbl_Historique_Final[ppn_z],
        tbl_Historique_Final[Horodatage],
        ""
    ),
    Horodatage!$A$2
)</f>
        <v>46233.670796365739</v>
      </c>
      <c r="P1453" s="1" t="str">
        <f>IFERROR(IF(tbl_Historique_Final[[#This Row],[Commentaires]]&lt;&gt;"",tbl_Historique_Final[[#This Row],[Commentaires]],""),"")</f>
        <v/>
      </c>
      <c r="X1453" s="8" t="str">
        <f>IF(Final_Sans_VGE[[#This Row],[ppn_z]]="","",IFERROR(
   IF(_xlfn.XLOOKUP(Final_Sans_VGE[[#This Row],[ppn_z]],tbl_Historique_Final[ppn_z],tbl_Historique_Final[date_modif])=Final_Sans_VGE[[#This Row],[date_modif]],
      "Ancien",
      "Modifié"),
   "Nouveau"))</f>
        <v>Ancien</v>
      </c>
      <c r="AC1453"/>
      <c r="AD1453"/>
    </row>
    <row r="1454" spans="1:30" x14ac:dyDescent="0.25">
      <c r="A1454" s="5" t="s">
        <v>4526</v>
      </c>
      <c r="B1454" s="1" t="s">
        <v>9262</v>
      </c>
      <c r="C1454" s="1" t="s">
        <v>92</v>
      </c>
      <c r="D1454" s="1" t="s">
        <v>14</v>
      </c>
      <c r="G1454" s="1" t="s">
        <v>10</v>
      </c>
      <c r="H1454" s="1" t="s">
        <v>9263</v>
      </c>
      <c r="I1454" s="1" t="s">
        <v>22</v>
      </c>
      <c r="J1454" s="3">
        <v>46147.645289351851</v>
      </c>
      <c r="K1454" s="2" t="s">
        <v>9264</v>
      </c>
      <c r="L1454" s="1">
        <v>3</v>
      </c>
      <c r="M1454" s="1">
        <v>5</v>
      </c>
      <c r="N1454">
        <v>2</v>
      </c>
      <c r="O1454" s="3">
        <f>IF(
    R1454="Ancien",
    _xlfn.XLOOKUP(
        Final_Sans_VGE[[#This Row],[ppn_z]],
        tbl_Historique_Final[ppn_z],
        tbl_Historique_Final[Horodatage],
        ""
    ),
    Horodatage!$A$2
)</f>
        <v>46233.670796365739</v>
      </c>
      <c r="P1454" s="1" t="str">
        <f>IFERROR(IF(tbl_Historique_Final[[#This Row],[Commentaires]]&lt;&gt;"",tbl_Historique_Final[[#This Row],[Commentaires]],""),"")</f>
        <v/>
      </c>
      <c r="X1454" s="8" t="str">
        <f>IF(Final_Sans_VGE[[#This Row],[ppn_z]]="","",IFERROR(
   IF(_xlfn.XLOOKUP(Final_Sans_VGE[[#This Row],[ppn_z]],tbl_Historique_Final[ppn_z],tbl_Historique_Final[date_modif])=Final_Sans_VGE[[#This Row],[date_modif]],
      "Ancien",
      "Modifié"),
   "Nouveau"))</f>
        <v>Ancien</v>
      </c>
      <c r="AC1454"/>
      <c r="AD1454"/>
    </row>
    <row r="1455" spans="1:30" ht="45" x14ac:dyDescent="0.25">
      <c r="A1455" s="5" t="s">
        <v>4529</v>
      </c>
      <c r="B1455" s="1" t="s">
        <v>9265</v>
      </c>
      <c r="C1455" s="1" t="s">
        <v>7692</v>
      </c>
      <c r="E1455" s="1" t="s">
        <v>147</v>
      </c>
      <c r="J1455" s="3">
        <v>46126.5002662037</v>
      </c>
      <c r="K1455" s="2" t="s">
        <v>9266</v>
      </c>
      <c r="L1455" s="1">
        <v>6</v>
      </c>
      <c r="M1455" s="1">
        <v>7</v>
      </c>
      <c r="N1455">
        <v>1</v>
      </c>
      <c r="O1455" s="3">
        <f>IF(
    R1455="Ancien",
    _xlfn.XLOOKUP(
        Final_Sans_VGE[[#This Row],[ppn_z]],
        tbl_Historique_Final[ppn_z],
        tbl_Historique_Final[Horodatage],
        ""
    ),
    Horodatage!$A$2
)</f>
        <v>46233.670796365739</v>
      </c>
      <c r="P1455" s="1" t="str">
        <f>IFERROR(IF(tbl_Historique_Final[[#This Row],[Commentaires]]&lt;&gt;"",tbl_Historique_Final[[#This Row],[Commentaires]],""),"")</f>
        <v/>
      </c>
      <c r="X1455" s="8" t="str">
        <f>IF(Final_Sans_VGE[[#This Row],[ppn_z]]="","",IFERROR(
   IF(_xlfn.XLOOKUP(Final_Sans_VGE[[#This Row],[ppn_z]],tbl_Historique_Final[ppn_z],tbl_Historique_Final[date_modif])=Final_Sans_VGE[[#This Row],[date_modif]],
      "Ancien",
      "Modifié"),
   "Nouveau"))</f>
        <v>Ancien</v>
      </c>
      <c r="AC1455"/>
      <c r="AD1455"/>
    </row>
    <row r="1456" spans="1:30" ht="30" x14ac:dyDescent="0.25">
      <c r="A1456" s="5" t="s">
        <v>4532</v>
      </c>
      <c r="B1456" s="1" t="s">
        <v>9267</v>
      </c>
      <c r="C1456" s="1" t="s">
        <v>168</v>
      </c>
      <c r="E1456" s="1" t="s">
        <v>74</v>
      </c>
      <c r="G1456" s="1" t="s">
        <v>10</v>
      </c>
      <c r="H1456" s="1" t="s">
        <v>22</v>
      </c>
      <c r="I1456" s="1" t="s">
        <v>22</v>
      </c>
      <c r="J1456" s="3">
        <v>46125.718831018516</v>
      </c>
      <c r="K1456" s="2" t="s">
        <v>9268</v>
      </c>
      <c r="L1456" s="1">
        <v>33</v>
      </c>
      <c r="M1456" s="1">
        <v>35</v>
      </c>
      <c r="N1456">
        <v>2</v>
      </c>
      <c r="O1456" s="3">
        <f>IF(
    R1456="Ancien",
    _xlfn.XLOOKUP(
        Final_Sans_VGE[[#This Row],[ppn_z]],
        tbl_Historique_Final[ppn_z],
        tbl_Historique_Final[Horodatage],
        ""
    ),
    Horodatage!$A$2
)</f>
        <v>46233.670796365739</v>
      </c>
      <c r="P1456" s="1" t="str">
        <f>IFERROR(IF(tbl_Historique_Final[[#This Row],[Commentaires]]&lt;&gt;"",tbl_Historique_Final[[#This Row],[Commentaires]],""),"")</f>
        <v/>
      </c>
      <c r="X1456" s="8" t="str">
        <f>IF(Final_Sans_VGE[[#This Row],[ppn_z]]="","",IFERROR(
   IF(_xlfn.XLOOKUP(Final_Sans_VGE[[#This Row],[ppn_z]],tbl_Historique_Final[ppn_z],tbl_Historique_Final[date_modif])=Final_Sans_VGE[[#This Row],[date_modif]],
      "Ancien",
      "Modifié"),
   "Nouveau"))</f>
        <v>Ancien</v>
      </c>
      <c r="AC1456"/>
      <c r="AD1456"/>
    </row>
    <row r="1457" spans="1:30" x14ac:dyDescent="0.25">
      <c r="A1457" s="5" t="s">
        <v>4535</v>
      </c>
      <c r="B1457" s="1" t="s">
        <v>9269</v>
      </c>
      <c r="C1457" s="1" t="s">
        <v>76</v>
      </c>
      <c r="G1457" s="1" t="s">
        <v>11</v>
      </c>
      <c r="J1457" s="3">
        <v>46149.41747685185</v>
      </c>
      <c r="K1457" s="2" t="s">
        <v>9270</v>
      </c>
      <c r="L1457" s="1">
        <v>7</v>
      </c>
      <c r="M1457" s="1">
        <v>8</v>
      </c>
      <c r="N1457">
        <v>1</v>
      </c>
      <c r="O1457" s="3">
        <f>IF(
    R1457="Ancien",
    _xlfn.XLOOKUP(
        Final_Sans_VGE[[#This Row],[ppn_z]],
        tbl_Historique_Final[ppn_z],
        tbl_Historique_Final[Horodatage],
        ""
    ),
    Horodatage!$A$2
)</f>
        <v>46233.670796365739</v>
      </c>
      <c r="P1457" s="1" t="str">
        <f>IFERROR(IF(tbl_Historique_Final[[#This Row],[Commentaires]]&lt;&gt;"",tbl_Historique_Final[[#This Row],[Commentaires]],""),"")</f>
        <v/>
      </c>
      <c r="X1457" s="8" t="str">
        <f>IF(Final_Sans_VGE[[#This Row],[ppn_z]]="","",IFERROR(
   IF(_xlfn.XLOOKUP(Final_Sans_VGE[[#This Row],[ppn_z]],tbl_Historique_Final[ppn_z],tbl_Historique_Final[date_modif])=Final_Sans_VGE[[#This Row],[date_modif]],
      "Ancien",
      "Modifié"),
   "Nouveau"))</f>
        <v>Ancien</v>
      </c>
      <c r="AC1457"/>
      <c r="AD1457"/>
    </row>
    <row r="1458" spans="1:30" x14ac:dyDescent="0.25">
      <c r="A1458" s="5" t="s">
        <v>4538</v>
      </c>
      <c r="B1458" s="1" t="s">
        <v>9271</v>
      </c>
      <c r="C1458" s="1" t="s">
        <v>8724</v>
      </c>
      <c r="D1458" s="1" t="s">
        <v>14</v>
      </c>
      <c r="E1458" s="1" t="s">
        <v>97</v>
      </c>
      <c r="F1458" s="1" t="s">
        <v>14</v>
      </c>
      <c r="G1458" s="1" t="s">
        <v>10</v>
      </c>
      <c r="H1458" s="1" t="s">
        <v>22</v>
      </c>
      <c r="I1458" s="1" t="s">
        <v>22</v>
      </c>
      <c r="J1458" s="3">
        <v>46129.614641203705</v>
      </c>
      <c r="K1458" s="2" t="s">
        <v>7461</v>
      </c>
      <c r="L1458" s="1">
        <v>3</v>
      </c>
      <c r="M1458" s="1">
        <v>10</v>
      </c>
      <c r="N1458">
        <v>7</v>
      </c>
      <c r="O1458" s="3">
        <f>IF(
    R1458="Ancien",
    _xlfn.XLOOKUP(
        Final_Sans_VGE[[#This Row],[ppn_z]],
        tbl_Historique_Final[ppn_z],
        tbl_Historique_Final[Horodatage],
        ""
    ),
    Horodatage!$A$2
)</f>
        <v>46233.670796365739</v>
      </c>
      <c r="P1458" s="1" t="str">
        <f>IFERROR(IF(tbl_Historique_Final[[#This Row],[Commentaires]]&lt;&gt;"",tbl_Historique_Final[[#This Row],[Commentaires]],""),"")</f>
        <v/>
      </c>
      <c r="X1458" s="8" t="str">
        <f>IF(Final_Sans_VGE[[#This Row],[ppn_z]]="","",IFERROR(
   IF(_xlfn.XLOOKUP(Final_Sans_VGE[[#This Row],[ppn_z]],tbl_Historique_Final[ppn_z],tbl_Historique_Final[date_modif])=Final_Sans_VGE[[#This Row],[date_modif]],
      "Ancien",
      "Modifié"),
   "Nouveau"))</f>
        <v>Ancien</v>
      </c>
      <c r="AC1458"/>
      <c r="AD1458"/>
    </row>
    <row r="1459" spans="1:30" ht="45" x14ac:dyDescent="0.25">
      <c r="A1459" s="5" t="s">
        <v>4541</v>
      </c>
      <c r="B1459" s="1" t="s">
        <v>9272</v>
      </c>
      <c r="C1459" s="1" t="s">
        <v>77</v>
      </c>
      <c r="J1459" s="3">
        <v>46124.40215277778</v>
      </c>
      <c r="K1459" s="2" t="s">
        <v>9273</v>
      </c>
      <c r="L1459" s="1">
        <v>96</v>
      </c>
      <c r="M1459" s="1">
        <v>98</v>
      </c>
      <c r="N1459">
        <v>2</v>
      </c>
      <c r="O1459" s="3">
        <f>IF(
    R1459="Ancien",
    _xlfn.XLOOKUP(
        Final_Sans_VGE[[#This Row],[ppn_z]],
        tbl_Historique_Final[ppn_z],
        tbl_Historique_Final[Horodatage],
        ""
    ),
    Horodatage!$A$2
)</f>
        <v>46233.670796365739</v>
      </c>
      <c r="P1459" s="1" t="str">
        <f>IFERROR(IF(tbl_Historique_Final[[#This Row],[Commentaires]]&lt;&gt;"",tbl_Historique_Final[[#This Row],[Commentaires]],""),"")</f>
        <v/>
      </c>
      <c r="X1459" s="8" t="str">
        <f>IF(Final_Sans_VGE[[#This Row],[ppn_z]]="","",IFERROR(
   IF(_xlfn.XLOOKUP(Final_Sans_VGE[[#This Row],[ppn_z]],tbl_Historique_Final[ppn_z],tbl_Historique_Final[date_modif])=Final_Sans_VGE[[#This Row],[date_modif]],
      "Ancien",
      "Modifié"),
   "Nouveau"))</f>
        <v>Ancien</v>
      </c>
      <c r="AC1459"/>
      <c r="AD1459"/>
    </row>
    <row r="1460" spans="1:30" x14ac:dyDescent="0.25">
      <c r="A1460" s="5" t="s">
        <v>4544</v>
      </c>
      <c r="B1460" s="1" t="s">
        <v>9274</v>
      </c>
      <c r="C1460" s="1" t="s">
        <v>6528</v>
      </c>
      <c r="D1460" s="1" t="s">
        <v>14</v>
      </c>
      <c r="E1460" s="1" t="s">
        <v>9177</v>
      </c>
      <c r="F1460" s="1" t="s">
        <v>14</v>
      </c>
      <c r="G1460" s="1" t="s">
        <v>10</v>
      </c>
      <c r="H1460" s="1" t="s">
        <v>22</v>
      </c>
      <c r="I1460" s="1" t="s">
        <v>22</v>
      </c>
      <c r="J1460" s="3">
        <v>46131.374490740738</v>
      </c>
      <c r="K1460" s="2" t="s">
        <v>9275</v>
      </c>
      <c r="L1460" s="1">
        <v>67</v>
      </c>
      <c r="M1460" s="1">
        <v>70</v>
      </c>
      <c r="N1460">
        <v>3</v>
      </c>
      <c r="O1460" s="3">
        <f>IF(
    R1460="Ancien",
    _xlfn.XLOOKUP(
        Final_Sans_VGE[[#This Row],[ppn_z]],
        tbl_Historique_Final[ppn_z],
        tbl_Historique_Final[Horodatage],
        ""
    ),
    Horodatage!$A$2
)</f>
        <v>46233.670796365739</v>
      </c>
      <c r="P1460" s="1" t="str">
        <f>IFERROR(IF(tbl_Historique_Final[[#This Row],[Commentaires]]&lt;&gt;"",tbl_Historique_Final[[#This Row],[Commentaires]],""),"")</f>
        <v/>
      </c>
      <c r="X1460" s="8" t="str">
        <f>IF(Final_Sans_VGE[[#This Row],[ppn_z]]="","",IFERROR(
   IF(_xlfn.XLOOKUP(Final_Sans_VGE[[#This Row],[ppn_z]],tbl_Historique_Final[ppn_z],tbl_Historique_Final[date_modif])=Final_Sans_VGE[[#This Row],[date_modif]],
      "Ancien",
      "Modifié"),
   "Nouveau"))</f>
        <v>Ancien</v>
      </c>
      <c r="AC1460"/>
      <c r="AD1460"/>
    </row>
    <row r="1461" spans="1:30" ht="60" x14ac:dyDescent="0.25">
      <c r="A1461" s="5" t="s">
        <v>4547</v>
      </c>
      <c r="B1461" s="1" t="s">
        <v>9276</v>
      </c>
      <c r="C1461" s="1" t="s">
        <v>12</v>
      </c>
      <c r="G1461" s="1" t="s">
        <v>10</v>
      </c>
      <c r="J1461" s="3">
        <v>46120.751099537039</v>
      </c>
      <c r="K1461" s="2" t="s">
        <v>9277</v>
      </c>
      <c r="L1461" s="1">
        <v>2</v>
      </c>
      <c r="M1461" s="1">
        <v>2</v>
      </c>
      <c r="N1461">
        <v>0</v>
      </c>
      <c r="O1461" s="3">
        <f>IF(
    R1461="Ancien",
    _xlfn.XLOOKUP(
        Final_Sans_VGE[[#This Row],[ppn_z]],
        tbl_Historique_Final[ppn_z],
        tbl_Historique_Final[Horodatage],
        ""
    ),
    Horodatage!$A$2
)</f>
        <v>46233.670796365739</v>
      </c>
      <c r="P1461" s="1" t="str">
        <f>IFERROR(IF(tbl_Historique_Final[[#This Row],[Commentaires]]&lt;&gt;"",tbl_Historique_Final[[#This Row],[Commentaires]],""),"")</f>
        <v/>
      </c>
      <c r="X1461" s="8" t="str">
        <f>IF(Final_Sans_VGE[[#This Row],[ppn_z]]="","",IFERROR(
   IF(_xlfn.XLOOKUP(Final_Sans_VGE[[#This Row],[ppn_z]],tbl_Historique_Final[ppn_z],tbl_Historique_Final[date_modif])=Final_Sans_VGE[[#This Row],[date_modif]],
      "Ancien",
      "Modifié"),
   "Nouveau"))</f>
        <v>Ancien</v>
      </c>
      <c r="AC1461"/>
      <c r="AD1461"/>
    </row>
    <row r="1462" spans="1:30" x14ac:dyDescent="0.25">
      <c r="A1462" s="5" t="s">
        <v>4550</v>
      </c>
      <c r="B1462" s="1" t="s">
        <v>9278</v>
      </c>
      <c r="C1462" s="1" t="s">
        <v>41</v>
      </c>
      <c r="D1462" s="1" t="s">
        <v>8301</v>
      </c>
      <c r="E1462" s="1" t="s">
        <v>109</v>
      </c>
      <c r="F1462" s="1" t="s">
        <v>14</v>
      </c>
      <c r="G1462" s="1" t="s">
        <v>10</v>
      </c>
      <c r="H1462" s="1" t="s">
        <v>22</v>
      </c>
      <c r="I1462" s="1" t="s">
        <v>22</v>
      </c>
      <c r="J1462" s="3">
        <v>46159.342627314814</v>
      </c>
      <c r="K1462" s="2" t="s">
        <v>9279</v>
      </c>
      <c r="L1462" s="1">
        <v>28</v>
      </c>
      <c r="M1462" s="1">
        <v>32</v>
      </c>
      <c r="N1462">
        <v>4</v>
      </c>
      <c r="O1462" s="3">
        <f>IF(
    R1462="Ancien",
    _xlfn.XLOOKUP(
        Final_Sans_VGE[[#This Row],[ppn_z]],
        tbl_Historique_Final[ppn_z],
        tbl_Historique_Final[Horodatage],
        ""
    ),
    Horodatage!$A$2
)</f>
        <v>46233.670796365739</v>
      </c>
      <c r="P1462" s="1" t="str">
        <f>IFERROR(IF(tbl_Historique_Final[[#This Row],[Commentaires]]&lt;&gt;"",tbl_Historique_Final[[#This Row],[Commentaires]],""),"")</f>
        <v/>
      </c>
      <c r="X1462" s="8" t="str">
        <f>IF(Final_Sans_VGE[[#This Row],[ppn_z]]="","",IFERROR(
   IF(_xlfn.XLOOKUP(Final_Sans_VGE[[#This Row],[ppn_z]],tbl_Historique_Final[ppn_z],tbl_Historique_Final[date_modif])=Final_Sans_VGE[[#This Row],[date_modif]],
      "Ancien",
      "Modifié"),
   "Nouveau"))</f>
        <v>Ancien</v>
      </c>
      <c r="AC1462"/>
      <c r="AD1462"/>
    </row>
    <row r="1463" spans="1:30" x14ac:dyDescent="0.25">
      <c r="A1463" s="5" t="s">
        <v>4553</v>
      </c>
      <c r="B1463" s="1" t="s">
        <v>9280</v>
      </c>
      <c r="C1463" s="1" t="s">
        <v>7588</v>
      </c>
      <c r="J1463" s="3">
        <v>46038.674131944441</v>
      </c>
      <c r="L1463" s="1">
        <v>204</v>
      </c>
      <c r="M1463" s="1">
        <v>236</v>
      </c>
      <c r="N1463">
        <v>32</v>
      </c>
      <c r="O1463" s="3">
        <f>IF(
    R1463="Ancien",
    _xlfn.XLOOKUP(
        Final_Sans_VGE[[#This Row],[ppn_z]],
        tbl_Historique_Final[ppn_z],
        tbl_Historique_Final[Horodatage],
        ""
    ),
    Horodatage!$A$2
)</f>
        <v>46233.670796365739</v>
      </c>
      <c r="P1463" s="1" t="str">
        <f>IFERROR(IF(tbl_Historique_Final[[#This Row],[Commentaires]]&lt;&gt;"",tbl_Historique_Final[[#This Row],[Commentaires]],""),"")</f>
        <v/>
      </c>
      <c r="X1463" s="8" t="str">
        <f>IF(Final_Sans_VGE[[#This Row],[ppn_z]]="","",IFERROR(
   IF(_xlfn.XLOOKUP(Final_Sans_VGE[[#This Row],[ppn_z]],tbl_Historique_Final[ppn_z],tbl_Historique_Final[date_modif])=Final_Sans_VGE[[#This Row],[date_modif]],
      "Ancien",
      "Modifié"),
   "Nouveau"))</f>
        <v>Ancien</v>
      </c>
      <c r="AC1463"/>
      <c r="AD1463"/>
    </row>
    <row r="1464" spans="1:30" ht="45" x14ac:dyDescent="0.25">
      <c r="A1464" s="5" t="s">
        <v>4556</v>
      </c>
      <c r="B1464" s="1" t="s">
        <v>9281</v>
      </c>
      <c r="C1464" s="1" t="s">
        <v>8394</v>
      </c>
      <c r="E1464" s="1" t="s">
        <v>37</v>
      </c>
      <c r="J1464" s="3">
        <v>46164.340104166666</v>
      </c>
      <c r="K1464" s="2" t="s">
        <v>9282</v>
      </c>
      <c r="L1464" s="1">
        <v>1</v>
      </c>
      <c r="M1464" s="1">
        <v>1</v>
      </c>
      <c r="N1464">
        <v>0</v>
      </c>
      <c r="O1464" s="3">
        <f>IF(
    R1464="Ancien",
    _xlfn.XLOOKUP(
        Final_Sans_VGE[[#This Row],[ppn_z]],
        tbl_Historique_Final[ppn_z],
        tbl_Historique_Final[Horodatage],
        ""
    ),
    Horodatage!$A$2
)</f>
        <v>46233.670796365739</v>
      </c>
      <c r="P1464" s="1" t="str">
        <f>IFERROR(IF(tbl_Historique_Final[[#This Row],[Commentaires]]&lt;&gt;"",tbl_Historique_Final[[#This Row],[Commentaires]],""),"")</f>
        <v/>
      </c>
      <c r="X1464" s="8" t="str">
        <f>IF(Final_Sans_VGE[[#This Row],[ppn_z]]="","",IFERROR(
   IF(_xlfn.XLOOKUP(Final_Sans_VGE[[#This Row],[ppn_z]],tbl_Historique_Final[ppn_z],tbl_Historique_Final[date_modif])=Final_Sans_VGE[[#This Row],[date_modif]],
      "Ancien",
      "Modifié"),
   "Nouveau"))</f>
        <v>Ancien</v>
      </c>
      <c r="AC1464"/>
      <c r="AD1464"/>
    </row>
    <row r="1465" spans="1:30" x14ac:dyDescent="0.25">
      <c r="A1465" s="5" t="s">
        <v>4559</v>
      </c>
      <c r="B1465" s="1" t="s">
        <v>9283</v>
      </c>
      <c r="C1465" s="1" t="s">
        <v>7096</v>
      </c>
      <c r="J1465" s="3">
        <v>46125.700659722221</v>
      </c>
      <c r="K1465" s="2" t="s">
        <v>9284</v>
      </c>
      <c r="L1465" s="1">
        <v>1</v>
      </c>
      <c r="M1465" s="1">
        <v>1</v>
      </c>
      <c r="N1465">
        <v>0</v>
      </c>
      <c r="O1465" s="3">
        <f>IF(
    R1465="Ancien",
    _xlfn.XLOOKUP(
        Final_Sans_VGE[[#This Row],[ppn_z]],
        tbl_Historique_Final[ppn_z],
        tbl_Historique_Final[Horodatage],
        ""
    ),
    Horodatage!$A$2
)</f>
        <v>46233.670796365739</v>
      </c>
      <c r="P1465" s="1" t="str">
        <f>IFERROR(IF(tbl_Historique_Final[[#This Row],[Commentaires]]&lt;&gt;"",tbl_Historique_Final[[#This Row],[Commentaires]],""),"")</f>
        <v/>
      </c>
      <c r="X1465" s="8" t="str">
        <f>IF(Final_Sans_VGE[[#This Row],[ppn_z]]="","",IFERROR(
   IF(_xlfn.XLOOKUP(Final_Sans_VGE[[#This Row],[ppn_z]],tbl_Historique_Final[ppn_z],tbl_Historique_Final[date_modif])=Final_Sans_VGE[[#This Row],[date_modif]],
      "Ancien",
      "Modifié"),
   "Nouveau"))</f>
        <v>Ancien</v>
      </c>
      <c r="AC1465"/>
      <c r="AD1465"/>
    </row>
    <row r="1466" spans="1:30" ht="45" x14ac:dyDescent="0.25">
      <c r="A1466" s="5" t="s">
        <v>4562</v>
      </c>
      <c r="B1466" s="1" t="s">
        <v>9285</v>
      </c>
      <c r="C1466" s="1" t="s">
        <v>124</v>
      </c>
      <c r="D1466" s="1" t="s">
        <v>9286</v>
      </c>
      <c r="E1466" s="1" t="s">
        <v>7219</v>
      </c>
      <c r="F1466" s="1" t="s">
        <v>14</v>
      </c>
      <c r="G1466" s="1" t="s">
        <v>10</v>
      </c>
      <c r="H1466" s="1" t="s">
        <v>22</v>
      </c>
      <c r="I1466" s="1" t="s">
        <v>140</v>
      </c>
      <c r="J1466" s="3">
        <v>46110.469050925924</v>
      </c>
      <c r="K1466" s="2" t="s">
        <v>9287</v>
      </c>
      <c r="L1466" s="1">
        <v>59</v>
      </c>
      <c r="M1466" s="1">
        <v>69</v>
      </c>
      <c r="N1466">
        <v>10</v>
      </c>
      <c r="O1466" s="3">
        <f>IF(
    R1466="Ancien",
    _xlfn.XLOOKUP(
        Final_Sans_VGE[[#This Row],[ppn_z]],
        tbl_Historique_Final[ppn_z],
        tbl_Historique_Final[Horodatage],
        ""
    ),
    Horodatage!$A$2
)</f>
        <v>46233.670796365739</v>
      </c>
      <c r="P1466" s="1" t="str">
        <f>IFERROR(IF(tbl_Historique_Final[[#This Row],[Commentaires]]&lt;&gt;"",tbl_Historique_Final[[#This Row],[Commentaires]],""),"")</f>
        <v/>
      </c>
      <c r="X1466" s="8" t="str">
        <f>IF(Final_Sans_VGE[[#This Row],[ppn_z]]="","",IFERROR(
   IF(_xlfn.XLOOKUP(Final_Sans_VGE[[#This Row],[ppn_z]],tbl_Historique_Final[ppn_z],tbl_Historique_Final[date_modif])=Final_Sans_VGE[[#This Row],[date_modif]],
      "Ancien",
      "Modifié"),
   "Nouveau"))</f>
        <v>Ancien</v>
      </c>
      <c r="AC1466"/>
      <c r="AD1466"/>
    </row>
    <row r="1467" spans="1:30" ht="30" x14ac:dyDescent="0.25">
      <c r="A1467" s="5" t="s">
        <v>4565</v>
      </c>
      <c r="B1467" s="1" t="s">
        <v>9288</v>
      </c>
      <c r="C1467" s="1" t="s">
        <v>127</v>
      </c>
      <c r="J1467" s="3">
        <v>46142.668587962966</v>
      </c>
      <c r="K1467" s="2" t="s">
        <v>9289</v>
      </c>
      <c r="L1467" s="1">
        <v>0</v>
      </c>
      <c r="M1467" s="1">
        <v>0</v>
      </c>
      <c r="N1467">
        <v>0</v>
      </c>
      <c r="O1467" s="3">
        <f>IF(
    R1467="Ancien",
    _xlfn.XLOOKUP(
        Final_Sans_VGE[[#This Row],[ppn_z]],
        tbl_Historique_Final[ppn_z],
        tbl_Historique_Final[Horodatage],
        ""
    ),
    Horodatage!$A$2
)</f>
        <v>46233.670796365739</v>
      </c>
      <c r="P1467" s="1" t="str">
        <f>IFERROR(IF(tbl_Historique_Final[[#This Row],[Commentaires]]&lt;&gt;"",tbl_Historique_Final[[#This Row],[Commentaires]],""),"")</f>
        <v/>
      </c>
      <c r="X1467" s="8" t="str">
        <f>IF(Final_Sans_VGE[[#This Row],[ppn_z]]="","",IFERROR(
   IF(_xlfn.XLOOKUP(Final_Sans_VGE[[#This Row],[ppn_z]],tbl_Historique_Final[ppn_z],tbl_Historique_Final[date_modif])=Final_Sans_VGE[[#This Row],[date_modif]],
      "Ancien",
      "Modifié"),
   "Nouveau"))</f>
        <v>Ancien</v>
      </c>
      <c r="AC1467"/>
      <c r="AD1467"/>
    </row>
    <row r="1468" spans="1:30" ht="45" x14ac:dyDescent="0.25">
      <c r="A1468" s="5" t="s">
        <v>4568</v>
      </c>
      <c r="B1468" s="1" t="s">
        <v>9290</v>
      </c>
      <c r="C1468" s="1" t="s">
        <v>32</v>
      </c>
      <c r="E1468" s="1" t="s">
        <v>123</v>
      </c>
      <c r="J1468" s="3">
        <v>46147.582465277781</v>
      </c>
      <c r="K1468" s="2" t="s">
        <v>9291</v>
      </c>
      <c r="L1468" s="1">
        <v>4</v>
      </c>
      <c r="M1468" s="1">
        <v>7</v>
      </c>
      <c r="N1468">
        <v>3</v>
      </c>
      <c r="O1468" s="3">
        <f>IF(
    R1468="Ancien",
    _xlfn.XLOOKUP(
        Final_Sans_VGE[[#This Row],[ppn_z]],
        tbl_Historique_Final[ppn_z],
        tbl_Historique_Final[Horodatage],
        ""
    ),
    Horodatage!$A$2
)</f>
        <v>46233.670796365739</v>
      </c>
      <c r="P1468" s="1" t="str">
        <f>IFERROR(IF(tbl_Historique_Final[[#This Row],[Commentaires]]&lt;&gt;"",tbl_Historique_Final[[#This Row],[Commentaires]],""),"")</f>
        <v/>
      </c>
      <c r="X1468" s="8" t="str">
        <f>IF(Final_Sans_VGE[[#This Row],[ppn_z]]="","",IFERROR(
   IF(_xlfn.XLOOKUP(Final_Sans_VGE[[#This Row],[ppn_z]],tbl_Historique_Final[ppn_z],tbl_Historique_Final[date_modif])=Final_Sans_VGE[[#This Row],[date_modif]],
      "Ancien",
      "Modifié"),
   "Nouveau"))</f>
        <v>Ancien</v>
      </c>
      <c r="AC1468"/>
      <c r="AD1468"/>
    </row>
    <row r="1469" spans="1:30" x14ac:dyDescent="0.25">
      <c r="A1469" s="5" t="s">
        <v>4571</v>
      </c>
      <c r="B1469" s="1" t="s">
        <v>9292</v>
      </c>
      <c r="C1469" s="1" t="s">
        <v>48</v>
      </c>
      <c r="D1469" s="1" t="s">
        <v>14</v>
      </c>
      <c r="G1469" s="1" t="s">
        <v>10</v>
      </c>
      <c r="H1469" s="1" t="s">
        <v>22</v>
      </c>
      <c r="I1469" s="1" t="s">
        <v>22</v>
      </c>
      <c r="J1469" s="3">
        <v>46124.427268518521</v>
      </c>
      <c r="K1469" s="2" t="s">
        <v>9293</v>
      </c>
      <c r="L1469" s="1">
        <v>6</v>
      </c>
      <c r="M1469" s="1">
        <v>13</v>
      </c>
      <c r="N1469">
        <v>7</v>
      </c>
      <c r="O1469" s="3">
        <f>IF(
    R1469="Ancien",
    _xlfn.XLOOKUP(
        Final_Sans_VGE[[#This Row],[ppn_z]],
        tbl_Historique_Final[ppn_z],
        tbl_Historique_Final[Horodatage],
        ""
    ),
    Horodatage!$A$2
)</f>
        <v>46233.670796365739</v>
      </c>
      <c r="P1469" s="1" t="str">
        <f>IFERROR(IF(tbl_Historique_Final[[#This Row],[Commentaires]]&lt;&gt;"",tbl_Historique_Final[[#This Row],[Commentaires]],""),"")</f>
        <v/>
      </c>
      <c r="X1469" s="8" t="str">
        <f>IF(Final_Sans_VGE[[#This Row],[ppn_z]]="","",IFERROR(
   IF(_xlfn.XLOOKUP(Final_Sans_VGE[[#This Row],[ppn_z]],tbl_Historique_Final[ppn_z],tbl_Historique_Final[date_modif])=Final_Sans_VGE[[#This Row],[date_modif]],
      "Ancien",
      "Modifié"),
   "Nouveau"))</f>
        <v>Ancien</v>
      </c>
      <c r="AC1469"/>
      <c r="AD1469"/>
    </row>
    <row r="1470" spans="1:30" x14ac:dyDescent="0.25">
      <c r="A1470" s="5" t="s">
        <v>4574</v>
      </c>
      <c r="B1470" s="1" t="s">
        <v>9294</v>
      </c>
      <c r="C1470" s="1" t="s">
        <v>12</v>
      </c>
      <c r="G1470" s="1" t="s">
        <v>11</v>
      </c>
      <c r="J1470" s="3">
        <v>46155.634479166663</v>
      </c>
      <c r="K1470" s="2" t="s">
        <v>9295</v>
      </c>
      <c r="L1470" s="1">
        <v>1</v>
      </c>
      <c r="M1470" s="1">
        <v>1</v>
      </c>
      <c r="N1470">
        <v>0</v>
      </c>
      <c r="O1470" s="3">
        <f>IF(
    R1470="Ancien",
    _xlfn.XLOOKUP(
        Final_Sans_VGE[[#This Row],[ppn_z]],
        tbl_Historique_Final[ppn_z],
        tbl_Historique_Final[Horodatage],
        ""
    ),
    Horodatage!$A$2
)</f>
        <v>46233.670796365739</v>
      </c>
      <c r="P1470" s="1" t="str">
        <f>IFERROR(IF(tbl_Historique_Final[[#This Row],[Commentaires]]&lt;&gt;"",tbl_Historique_Final[[#This Row],[Commentaires]],""),"")</f>
        <v/>
      </c>
      <c r="X1470" s="8" t="str">
        <f>IF(Final_Sans_VGE[[#This Row],[ppn_z]]="","",IFERROR(
   IF(_xlfn.XLOOKUP(Final_Sans_VGE[[#This Row],[ppn_z]],tbl_Historique_Final[ppn_z],tbl_Historique_Final[date_modif])=Final_Sans_VGE[[#This Row],[date_modif]],
      "Ancien",
      "Modifié"),
   "Nouveau"))</f>
        <v>Ancien</v>
      </c>
      <c r="AC1470"/>
      <c r="AD1470"/>
    </row>
    <row r="1471" spans="1:30" x14ac:dyDescent="0.25">
      <c r="A1471" s="5" t="s">
        <v>4577</v>
      </c>
      <c r="B1471" s="1" t="s">
        <v>9296</v>
      </c>
      <c r="C1471" s="1" t="s">
        <v>6652</v>
      </c>
      <c r="E1471" s="1" t="s">
        <v>48</v>
      </c>
      <c r="G1471" s="1" t="s">
        <v>10</v>
      </c>
      <c r="J1471" s="3">
        <v>46122.679837962962</v>
      </c>
      <c r="K1471" s="2" t="s">
        <v>9297</v>
      </c>
      <c r="L1471" s="1">
        <v>23</v>
      </c>
      <c r="M1471" s="1">
        <v>23</v>
      </c>
      <c r="N1471">
        <v>0</v>
      </c>
      <c r="O1471" s="3">
        <f>IF(
    R1471="Ancien",
    _xlfn.XLOOKUP(
        Final_Sans_VGE[[#This Row],[ppn_z]],
        tbl_Historique_Final[ppn_z],
        tbl_Historique_Final[Horodatage],
        ""
    ),
    Horodatage!$A$2
)</f>
        <v>46233.670796365739</v>
      </c>
      <c r="P1471" s="1" t="str">
        <f>IFERROR(IF(tbl_Historique_Final[[#This Row],[Commentaires]]&lt;&gt;"",tbl_Historique_Final[[#This Row],[Commentaires]],""),"")</f>
        <v/>
      </c>
      <c r="X1471" s="8" t="str">
        <f>IF(Final_Sans_VGE[[#This Row],[ppn_z]]="","",IFERROR(
   IF(_xlfn.XLOOKUP(Final_Sans_VGE[[#This Row],[ppn_z]],tbl_Historique_Final[ppn_z],tbl_Historique_Final[date_modif])=Final_Sans_VGE[[#This Row],[date_modif]],
      "Ancien",
      "Modifié"),
   "Nouveau"))</f>
        <v>Ancien</v>
      </c>
      <c r="AC1471"/>
      <c r="AD1471"/>
    </row>
    <row r="1472" spans="1:30" ht="30" x14ac:dyDescent="0.25">
      <c r="A1472" s="5" t="s">
        <v>4580</v>
      </c>
      <c r="B1472" s="1" t="s">
        <v>9298</v>
      </c>
      <c r="C1472" s="1" t="s">
        <v>12</v>
      </c>
      <c r="G1472" s="1" t="s">
        <v>11</v>
      </c>
      <c r="J1472" s="3">
        <v>46121.57744212963</v>
      </c>
      <c r="K1472" s="2" t="s">
        <v>9299</v>
      </c>
      <c r="L1472" s="1">
        <v>21</v>
      </c>
      <c r="M1472" s="1">
        <v>24</v>
      </c>
      <c r="N1472">
        <v>3</v>
      </c>
      <c r="O1472" s="3">
        <f>IF(
    R1472="Ancien",
    _xlfn.XLOOKUP(
        Final_Sans_VGE[[#This Row],[ppn_z]],
        tbl_Historique_Final[ppn_z],
        tbl_Historique_Final[Horodatage],
        ""
    ),
    Horodatage!$A$2
)</f>
        <v>46233.670796365739</v>
      </c>
      <c r="P1472" s="1" t="str">
        <f>IFERROR(IF(tbl_Historique_Final[[#This Row],[Commentaires]]&lt;&gt;"",tbl_Historique_Final[[#This Row],[Commentaires]],""),"")</f>
        <v/>
      </c>
      <c r="X1472" s="8" t="str">
        <f>IF(Final_Sans_VGE[[#This Row],[ppn_z]]="","",IFERROR(
   IF(_xlfn.XLOOKUP(Final_Sans_VGE[[#This Row],[ppn_z]],tbl_Historique_Final[ppn_z],tbl_Historique_Final[date_modif])=Final_Sans_VGE[[#This Row],[date_modif]],
      "Ancien",
      "Modifié"),
   "Nouveau"))</f>
        <v>Ancien</v>
      </c>
      <c r="AC1472"/>
      <c r="AD1472"/>
    </row>
    <row r="1473" spans="1:30" ht="30" x14ac:dyDescent="0.25">
      <c r="A1473" s="5" t="s">
        <v>4583</v>
      </c>
      <c r="B1473" s="1" t="s">
        <v>9300</v>
      </c>
      <c r="C1473" s="1" t="s">
        <v>154</v>
      </c>
      <c r="D1473" s="1" t="s">
        <v>14</v>
      </c>
      <c r="E1473" s="1" t="s">
        <v>148</v>
      </c>
      <c r="F1473" s="1" t="s">
        <v>9301</v>
      </c>
      <c r="G1473" s="1" t="s">
        <v>11</v>
      </c>
      <c r="H1473" s="1" t="s">
        <v>22</v>
      </c>
      <c r="I1473" s="1" t="s">
        <v>9302</v>
      </c>
      <c r="J1473" s="3">
        <v>46129.79928240741</v>
      </c>
      <c r="K1473" s="2" t="s">
        <v>9303</v>
      </c>
      <c r="L1473" s="1">
        <v>3</v>
      </c>
      <c r="M1473" s="1">
        <v>4</v>
      </c>
      <c r="N1473">
        <v>1</v>
      </c>
      <c r="O1473" s="3">
        <f>IF(
    R1473="Ancien",
    _xlfn.XLOOKUP(
        Final_Sans_VGE[[#This Row],[ppn_z]],
        tbl_Historique_Final[ppn_z],
        tbl_Historique_Final[Horodatage],
        ""
    ),
    Horodatage!$A$2
)</f>
        <v>46233.670796365739</v>
      </c>
      <c r="P1473" s="1" t="str">
        <f>IFERROR(IF(tbl_Historique_Final[[#This Row],[Commentaires]]&lt;&gt;"",tbl_Historique_Final[[#This Row],[Commentaires]],""),"")</f>
        <v/>
      </c>
      <c r="X1473" s="8" t="str">
        <f>IF(Final_Sans_VGE[[#This Row],[ppn_z]]="","",IFERROR(
   IF(_xlfn.XLOOKUP(Final_Sans_VGE[[#This Row],[ppn_z]],tbl_Historique_Final[ppn_z],tbl_Historique_Final[date_modif])=Final_Sans_VGE[[#This Row],[date_modif]],
      "Ancien",
      "Modifié"),
   "Nouveau"))</f>
        <v>Ancien</v>
      </c>
      <c r="AC1473"/>
      <c r="AD1473"/>
    </row>
    <row r="1474" spans="1:30" x14ac:dyDescent="0.25">
      <c r="A1474" s="5" t="s">
        <v>4586</v>
      </c>
      <c r="B1474" s="1" t="s">
        <v>9304</v>
      </c>
      <c r="C1474" s="1" t="s">
        <v>44</v>
      </c>
      <c r="D1474" s="1" t="s">
        <v>14</v>
      </c>
      <c r="E1474" s="1" t="s">
        <v>108</v>
      </c>
      <c r="F1474" s="1" t="s">
        <v>14</v>
      </c>
      <c r="G1474" s="1" t="s">
        <v>10</v>
      </c>
      <c r="H1474" s="1" t="s">
        <v>22</v>
      </c>
      <c r="I1474" s="1" t="s">
        <v>22</v>
      </c>
      <c r="J1474" s="3">
        <v>46149.415648148148</v>
      </c>
      <c r="K1474" s="2" t="s">
        <v>9305</v>
      </c>
      <c r="L1474" s="1">
        <v>9</v>
      </c>
      <c r="M1474" s="1">
        <v>13</v>
      </c>
      <c r="N1474">
        <v>4</v>
      </c>
      <c r="O1474" s="3">
        <f>IF(
    R1474="Ancien",
    _xlfn.XLOOKUP(
        Final_Sans_VGE[[#This Row],[ppn_z]],
        tbl_Historique_Final[ppn_z],
        tbl_Historique_Final[Horodatage],
        ""
    ),
    Horodatage!$A$2
)</f>
        <v>46233.670796365739</v>
      </c>
      <c r="P1474" s="1" t="str">
        <f>IFERROR(IF(tbl_Historique_Final[[#This Row],[Commentaires]]&lt;&gt;"",tbl_Historique_Final[[#This Row],[Commentaires]],""),"")</f>
        <v/>
      </c>
      <c r="X1474" s="8" t="str">
        <f>IF(Final_Sans_VGE[[#This Row],[ppn_z]]="","",IFERROR(
   IF(_xlfn.XLOOKUP(Final_Sans_VGE[[#This Row],[ppn_z]],tbl_Historique_Final[ppn_z],tbl_Historique_Final[date_modif])=Final_Sans_VGE[[#This Row],[date_modif]],
      "Ancien",
      "Modifié"),
   "Nouveau"))</f>
        <v>Ancien</v>
      </c>
      <c r="AC1474"/>
      <c r="AD1474"/>
    </row>
    <row r="1475" spans="1:30" x14ac:dyDescent="0.25">
      <c r="A1475" s="5" t="s">
        <v>4589</v>
      </c>
      <c r="B1475" s="1" t="s">
        <v>9306</v>
      </c>
      <c r="C1475" s="1" t="s">
        <v>12</v>
      </c>
      <c r="G1475" s="1" t="s">
        <v>11</v>
      </c>
      <c r="J1475" s="3">
        <v>46155.636979166666</v>
      </c>
      <c r="K1475" s="2" t="s">
        <v>9307</v>
      </c>
      <c r="L1475" s="1">
        <v>1</v>
      </c>
      <c r="M1475" s="1">
        <v>1</v>
      </c>
      <c r="N1475">
        <v>0</v>
      </c>
      <c r="O1475" s="3">
        <f>IF(
    R1475="Ancien",
    _xlfn.XLOOKUP(
        Final_Sans_VGE[[#This Row],[ppn_z]],
        tbl_Historique_Final[ppn_z],
        tbl_Historique_Final[Horodatage],
        ""
    ),
    Horodatage!$A$2
)</f>
        <v>46233.670796365739</v>
      </c>
      <c r="P1475" s="1" t="str">
        <f>IFERROR(IF(tbl_Historique_Final[[#This Row],[Commentaires]]&lt;&gt;"",tbl_Historique_Final[[#This Row],[Commentaires]],""),"")</f>
        <v/>
      </c>
      <c r="X1475" s="8" t="str">
        <f>IF(Final_Sans_VGE[[#This Row],[ppn_z]]="","",IFERROR(
   IF(_xlfn.XLOOKUP(Final_Sans_VGE[[#This Row],[ppn_z]],tbl_Historique_Final[ppn_z],tbl_Historique_Final[date_modif])=Final_Sans_VGE[[#This Row],[date_modif]],
      "Ancien",
      "Modifié"),
   "Nouveau"))</f>
        <v>Ancien</v>
      </c>
      <c r="AC1475"/>
      <c r="AD1475"/>
    </row>
    <row r="1476" spans="1:30" ht="30" x14ac:dyDescent="0.25">
      <c r="A1476" s="5" t="s">
        <v>4592</v>
      </c>
      <c r="B1476" s="1" t="s">
        <v>9308</v>
      </c>
      <c r="C1476" s="1" t="s">
        <v>7769</v>
      </c>
      <c r="D1476" s="1" t="s">
        <v>14</v>
      </c>
      <c r="E1476" s="1" t="s">
        <v>7459</v>
      </c>
      <c r="F1476" s="1" t="s">
        <v>14</v>
      </c>
      <c r="G1476" s="1" t="s">
        <v>10</v>
      </c>
      <c r="H1476" s="1" t="s">
        <v>10520</v>
      </c>
      <c r="I1476" s="1" t="s">
        <v>140</v>
      </c>
      <c r="J1476" s="3">
        <v>46125.435717592591</v>
      </c>
      <c r="K1476" s="2" t="s">
        <v>9309</v>
      </c>
      <c r="L1476" s="1">
        <v>45</v>
      </c>
      <c r="M1476" s="1">
        <v>46</v>
      </c>
      <c r="N1476">
        <v>1</v>
      </c>
      <c r="O1476" s="3">
        <f>IF(
    R1476="Ancien",
    _xlfn.XLOOKUP(
        Final_Sans_VGE[[#This Row],[ppn_z]],
        tbl_Historique_Final[ppn_z],
        tbl_Historique_Final[Horodatage],
        ""
    ),
    Horodatage!$A$2
)</f>
        <v>46233.670796365739</v>
      </c>
      <c r="P1476" s="1" t="str">
        <f>IFERROR(IF(tbl_Historique_Final[[#This Row],[Commentaires]]&lt;&gt;"",tbl_Historique_Final[[#This Row],[Commentaires]],""),"")</f>
        <v/>
      </c>
      <c r="X1476" s="8" t="str">
        <f>IF(Final_Sans_VGE[[#This Row],[ppn_z]]="","",IFERROR(
   IF(_xlfn.XLOOKUP(Final_Sans_VGE[[#This Row],[ppn_z]],tbl_Historique_Final[ppn_z],tbl_Historique_Final[date_modif])=Final_Sans_VGE[[#This Row],[date_modif]],
      "Ancien",
      "Modifié"),
   "Nouveau"))</f>
        <v>Ancien</v>
      </c>
      <c r="AC1476"/>
      <c r="AD1476"/>
    </row>
    <row r="1477" spans="1:30" x14ac:dyDescent="0.25">
      <c r="A1477" s="5" t="s">
        <v>4595</v>
      </c>
      <c r="B1477" s="1" t="s">
        <v>9310</v>
      </c>
      <c r="E1477" s="1" t="s">
        <v>6694</v>
      </c>
      <c r="J1477" s="3">
        <v>46146.76766203704</v>
      </c>
      <c r="K1477" s="2" t="s">
        <v>9311</v>
      </c>
      <c r="L1477" s="1">
        <v>7</v>
      </c>
      <c r="M1477" s="1">
        <v>14</v>
      </c>
      <c r="N1477">
        <v>7</v>
      </c>
      <c r="O1477" s="3">
        <f>IF(
    R1477="Ancien",
    _xlfn.XLOOKUP(
        Final_Sans_VGE[[#This Row],[ppn_z]],
        tbl_Historique_Final[ppn_z],
        tbl_Historique_Final[Horodatage],
        ""
    ),
    Horodatage!$A$2
)</f>
        <v>46233.670796365739</v>
      </c>
      <c r="P1477" s="1" t="str">
        <f>IFERROR(IF(tbl_Historique_Final[[#This Row],[Commentaires]]&lt;&gt;"",tbl_Historique_Final[[#This Row],[Commentaires]],""),"")</f>
        <v/>
      </c>
      <c r="X1477" s="8" t="str">
        <f>IF(Final_Sans_VGE[[#This Row],[ppn_z]]="","",IFERROR(
   IF(_xlfn.XLOOKUP(Final_Sans_VGE[[#This Row],[ppn_z]],tbl_Historique_Final[ppn_z],tbl_Historique_Final[date_modif])=Final_Sans_VGE[[#This Row],[date_modif]],
      "Ancien",
      "Modifié"),
   "Nouveau"))</f>
        <v>Ancien</v>
      </c>
      <c r="AC1477"/>
      <c r="AD1477"/>
    </row>
    <row r="1478" spans="1:30" ht="30" x14ac:dyDescent="0.25">
      <c r="A1478" s="5" t="s">
        <v>4598</v>
      </c>
      <c r="B1478" s="1" t="s">
        <v>9312</v>
      </c>
      <c r="C1478" s="1" t="s">
        <v>82</v>
      </c>
      <c r="H1478" s="1" t="s">
        <v>22</v>
      </c>
      <c r="I1478" s="1" t="s">
        <v>22</v>
      </c>
      <c r="J1478" s="3">
        <v>46166.36619212963</v>
      </c>
      <c r="K1478" s="2" t="s">
        <v>9313</v>
      </c>
      <c r="L1478" s="1">
        <v>2</v>
      </c>
      <c r="M1478" s="1">
        <v>2</v>
      </c>
      <c r="N1478">
        <v>0</v>
      </c>
      <c r="O1478" s="3">
        <f>IF(
    R1478="Ancien",
    _xlfn.XLOOKUP(
        Final_Sans_VGE[[#This Row],[ppn_z]],
        tbl_Historique_Final[ppn_z],
        tbl_Historique_Final[Horodatage],
        ""
    ),
    Horodatage!$A$2
)</f>
        <v>46233.670796365739</v>
      </c>
      <c r="P1478" s="1" t="str">
        <f>IFERROR(IF(tbl_Historique_Final[[#This Row],[Commentaires]]&lt;&gt;"",tbl_Historique_Final[[#This Row],[Commentaires]],""),"")</f>
        <v/>
      </c>
      <c r="X1478" s="8" t="str">
        <f>IF(Final_Sans_VGE[[#This Row],[ppn_z]]="","",IFERROR(
   IF(_xlfn.XLOOKUP(Final_Sans_VGE[[#This Row],[ppn_z]],tbl_Historique_Final[ppn_z],tbl_Historique_Final[date_modif])=Final_Sans_VGE[[#This Row],[date_modif]],
      "Ancien",
      "Modifié"),
   "Nouveau"))</f>
        <v>Ancien</v>
      </c>
      <c r="AC1478"/>
      <c r="AD1478"/>
    </row>
    <row r="1479" spans="1:30" x14ac:dyDescent="0.25">
      <c r="A1479" s="5" t="s">
        <v>4601</v>
      </c>
      <c r="B1479" s="1" t="s">
        <v>9314</v>
      </c>
      <c r="C1479" s="1" t="s">
        <v>124</v>
      </c>
      <c r="D1479" s="1" t="s">
        <v>14</v>
      </c>
      <c r="E1479" s="1" t="s">
        <v>80</v>
      </c>
      <c r="F1479" s="1" t="s">
        <v>14</v>
      </c>
      <c r="G1479" s="1" t="s">
        <v>10</v>
      </c>
      <c r="H1479" s="1" t="s">
        <v>22</v>
      </c>
      <c r="I1479" s="1" t="s">
        <v>22</v>
      </c>
      <c r="J1479" s="3">
        <v>46138.438321759262</v>
      </c>
      <c r="K1479" s="2" t="s">
        <v>9315</v>
      </c>
      <c r="L1479" s="1">
        <v>5</v>
      </c>
      <c r="M1479" s="1">
        <v>5</v>
      </c>
      <c r="N1479">
        <v>0</v>
      </c>
      <c r="O1479" s="3">
        <f>IF(
    R1479="Ancien",
    _xlfn.XLOOKUP(
        Final_Sans_VGE[[#This Row],[ppn_z]],
        tbl_Historique_Final[ppn_z],
        tbl_Historique_Final[Horodatage],
        ""
    ),
    Horodatage!$A$2
)</f>
        <v>46233.670796365739</v>
      </c>
      <c r="P1479" s="1" t="str">
        <f>IFERROR(IF(tbl_Historique_Final[[#This Row],[Commentaires]]&lt;&gt;"",tbl_Historique_Final[[#This Row],[Commentaires]],""),"")</f>
        <v/>
      </c>
      <c r="X1479" s="8" t="str">
        <f>IF(Final_Sans_VGE[[#This Row],[ppn_z]]="","",IFERROR(
   IF(_xlfn.XLOOKUP(Final_Sans_VGE[[#This Row],[ppn_z]],tbl_Historique_Final[ppn_z],tbl_Historique_Final[date_modif])=Final_Sans_VGE[[#This Row],[date_modif]],
      "Ancien",
      "Modifié"),
   "Nouveau"))</f>
        <v>Ancien</v>
      </c>
      <c r="AC1479"/>
      <c r="AD1479"/>
    </row>
    <row r="1480" spans="1:30" x14ac:dyDescent="0.25">
      <c r="A1480" s="5" t="s">
        <v>4604</v>
      </c>
      <c r="B1480" s="1" t="s">
        <v>9316</v>
      </c>
      <c r="C1480" s="1" t="s">
        <v>6676</v>
      </c>
      <c r="D1480" s="1" t="s">
        <v>14</v>
      </c>
      <c r="E1480" s="1" t="s">
        <v>71</v>
      </c>
      <c r="F1480" s="1" t="s">
        <v>14</v>
      </c>
      <c r="G1480" s="1" t="s">
        <v>10</v>
      </c>
      <c r="H1480" s="1" t="s">
        <v>22</v>
      </c>
      <c r="I1480" s="1" t="s">
        <v>22</v>
      </c>
      <c r="J1480" s="3">
        <v>46112.652187500003</v>
      </c>
      <c r="K1480" s="2" t="s">
        <v>9317</v>
      </c>
      <c r="L1480" s="1">
        <v>0</v>
      </c>
      <c r="M1480" s="1">
        <v>0</v>
      </c>
      <c r="N1480">
        <v>0</v>
      </c>
      <c r="O1480" s="3">
        <f>IF(
    R1480="Ancien",
    _xlfn.XLOOKUP(
        Final_Sans_VGE[[#This Row],[ppn_z]],
        tbl_Historique_Final[ppn_z],
        tbl_Historique_Final[Horodatage],
        ""
    ),
    Horodatage!$A$2
)</f>
        <v>46233.670796365739</v>
      </c>
      <c r="P1480" s="1" t="str">
        <f>IFERROR(IF(tbl_Historique_Final[[#This Row],[Commentaires]]&lt;&gt;"",tbl_Historique_Final[[#This Row],[Commentaires]],""),"")</f>
        <v/>
      </c>
      <c r="X1480" s="8" t="str">
        <f>IF(Final_Sans_VGE[[#This Row],[ppn_z]]="","",IFERROR(
   IF(_xlfn.XLOOKUP(Final_Sans_VGE[[#This Row],[ppn_z]],tbl_Historique_Final[ppn_z],tbl_Historique_Final[date_modif])=Final_Sans_VGE[[#This Row],[date_modif]],
      "Ancien",
      "Modifié"),
   "Nouveau"))</f>
        <v>Ancien</v>
      </c>
      <c r="AC1480"/>
      <c r="AD1480"/>
    </row>
    <row r="1481" spans="1:30" x14ac:dyDescent="0.25">
      <c r="A1481" s="5" t="s">
        <v>4607</v>
      </c>
      <c r="B1481" s="1" t="s">
        <v>9318</v>
      </c>
      <c r="C1481" s="1" t="s">
        <v>71</v>
      </c>
      <c r="H1481" s="1" t="s">
        <v>22</v>
      </c>
      <c r="I1481" s="1" t="s">
        <v>22</v>
      </c>
      <c r="J1481" s="3">
        <v>46044.632465277777</v>
      </c>
      <c r="L1481" s="1">
        <v>5</v>
      </c>
      <c r="M1481" s="1">
        <v>5</v>
      </c>
      <c r="N1481">
        <v>0</v>
      </c>
      <c r="O1481" s="3">
        <f>IF(
    R1481="Ancien",
    _xlfn.XLOOKUP(
        Final_Sans_VGE[[#This Row],[ppn_z]],
        tbl_Historique_Final[ppn_z],
        tbl_Historique_Final[Horodatage],
        ""
    ),
    Horodatage!$A$2
)</f>
        <v>46233.670796365739</v>
      </c>
      <c r="P1481" s="1" t="str">
        <f>IFERROR(IF(tbl_Historique_Final[[#This Row],[Commentaires]]&lt;&gt;"",tbl_Historique_Final[[#This Row],[Commentaires]],""),"")</f>
        <v/>
      </c>
      <c r="X1481" s="8" t="str">
        <f>IF(Final_Sans_VGE[[#This Row],[ppn_z]]="","",IFERROR(
   IF(_xlfn.XLOOKUP(Final_Sans_VGE[[#This Row],[ppn_z]],tbl_Historique_Final[ppn_z],tbl_Historique_Final[date_modif])=Final_Sans_VGE[[#This Row],[date_modif]],
      "Ancien",
      "Modifié"),
   "Nouveau"))</f>
        <v>Ancien</v>
      </c>
      <c r="AC1481"/>
      <c r="AD1481"/>
    </row>
    <row r="1482" spans="1:30" ht="60" x14ac:dyDescent="0.25">
      <c r="A1482" s="5" t="s">
        <v>4610</v>
      </c>
      <c r="B1482" s="1" t="s">
        <v>9319</v>
      </c>
      <c r="C1482" s="1" t="s">
        <v>8904</v>
      </c>
      <c r="D1482" s="1" t="s">
        <v>14</v>
      </c>
      <c r="E1482" s="1" t="s">
        <v>8156</v>
      </c>
      <c r="F1482" s="1" t="s">
        <v>14</v>
      </c>
      <c r="G1482" s="1" t="s">
        <v>11</v>
      </c>
      <c r="H1482" s="1" t="s">
        <v>22</v>
      </c>
      <c r="I1482" s="1" t="s">
        <v>22</v>
      </c>
      <c r="J1482" s="3">
        <v>46065.635011574072</v>
      </c>
      <c r="K1482" s="2" t="s">
        <v>9320</v>
      </c>
      <c r="L1482" s="1">
        <v>1</v>
      </c>
      <c r="M1482" s="1">
        <v>1</v>
      </c>
      <c r="N1482">
        <v>0</v>
      </c>
      <c r="O1482" s="3">
        <f>IF(
    R1482="Ancien",
    _xlfn.XLOOKUP(
        Final_Sans_VGE[[#This Row],[ppn_z]],
        tbl_Historique_Final[ppn_z],
        tbl_Historique_Final[Horodatage],
        ""
    ),
    Horodatage!$A$2
)</f>
        <v>46233.670796365739</v>
      </c>
      <c r="P1482" s="1" t="str">
        <f>IFERROR(IF(tbl_Historique_Final[[#This Row],[Commentaires]]&lt;&gt;"",tbl_Historique_Final[[#This Row],[Commentaires]],""),"")</f>
        <v/>
      </c>
      <c r="X1482" s="8" t="str">
        <f>IF(Final_Sans_VGE[[#This Row],[ppn_z]]="","",IFERROR(
   IF(_xlfn.XLOOKUP(Final_Sans_VGE[[#This Row],[ppn_z]],tbl_Historique_Final[ppn_z],tbl_Historique_Final[date_modif])=Final_Sans_VGE[[#This Row],[date_modif]],
      "Ancien",
      "Modifié"),
   "Nouveau"))</f>
        <v>Ancien</v>
      </c>
      <c r="AC1482"/>
      <c r="AD1482"/>
    </row>
    <row r="1483" spans="1:30" x14ac:dyDescent="0.25">
      <c r="A1483" s="5" t="s">
        <v>4613</v>
      </c>
      <c r="B1483" s="1" t="s">
        <v>9321</v>
      </c>
      <c r="C1483" s="1" t="s">
        <v>12</v>
      </c>
      <c r="E1483" s="1" t="s">
        <v>117</v>
      </c>
      <c r="G1483" s="1" t="s">
        <v>10</v>
      </c>
      <c r="J1483" s="3">
        <v>46111.686909722222</v>
      </c>
      <c r="K1483" s="2" t="s">
        <v>9322</v>
      </c>
      <c r="L1483" s="1">
        <v>2</v>
      </c>
      <c r="M1483" s="1">
        <v>2</v>
      </c>
      <c r="N1483">
        <v>0</v>
      </c>
      <c r="O1483" s="3">
        <f>IF(
    R1483="Ancien",
    _xlfn.XLOOKUP(
        Final_Sans_VGE[[#This Row],[ppn_z]],
        tbl_Historique_Final[ppn_z],
        tbl_Historique_Final[Horodatage],
        ""
    ),
    Horodatage!$A$2
)</f>
        <v>46233.670796365739</v>
      </c>
      <c r="P1483" s="1" t="str">
        <f>IFERROR(IF(tbl_Historique_Final[[#This Row],[Commentaires]]&lt;&gt;"",tbl_Historique_Final[[#This Row],[Commentaires]],""),"")</f>
        <v/>
      </c>
      <c r="X1483" s="8" t="str">
        <f>IF(Final_Sans_VGE[[#This Row],[ppn_z]]="","",IFERROR(
   IF(_xlfn.XLOOKUP(Final_Sans_VGE[[#This Row],[ppn_z]],tbl_Historique_Final[ppn_z],tbl_Historique_Final[date_modif])=Final_Sans_VGE[[#This Row],[date_modif]],
      "Ancien",
      "Modifié"),
   "Nouveau"))</f>
        <v>Ancien</v>
      </c>
      <c r="AC1483"/>
      <c r="AD1483"/>
    </row>
    <row r="1484" spans="1:30" ht="30" x14ac:dyDescent="0.25">
      <c r="A1484" s="5" t="s">
        <v>4616</v>
      </c>
      <c r="B1484" s="1" t="s">
        <v>9323</v>
      </c>
      <c r="C1484" s="1" t="s">
        <v>9324</v>
      </c>
      <c r="E1484" s="1" t="s">
        <v>9325</v>
      </c>
      <c r="G1484" s="1" t="s">
        <v>10</v>
      </c>
      <c r="J1484" s="3">
        <v>46121.593078703707</v>
      </c>
      <c r="K1484" s="2" t="s">
        <v>9326</v>
      </c>
      <c r="L1484" s="1">
        <v>21</v>
      </c>
      <c r="M1484" s="1">
        <v>21</v>
      </c>
      <c r="N1484">
        <v>0</v>
      </c>
      <c r="O1484" s="3">
        <f>IF(
    R1484="Ancien",
    _xlfn.XLOOKUP(
        Final_Sans_VGE[[#This Row],[ppn_z]],
        tbl_Historique_Final[ppn_z],
        tbl_Historique_Final[Horodatage],
        ""
    ),
    Horodatage!$A$2
)</f>
        <v>46233.670796365739</v>
      </c>
      <c r="P1484" s="1" t="str">
        <f>IFERROR(IF(tbl_Historique_Final[[#This Row],[Commentaires]]&lt;&gt;"",tbl_Historique_Final[[#This Row],[Commentaires]],""),"")</f>
        <v/>
      </c>
      <c r="X1484" s="8" t="str">
        <f>IF(Final_Sans_VGE[[#This Row],[ppn_z]]="","",IFERROR(
   IF(_xlfn.XLOOKUP(Final_Sans_VGE[[#This Row],[ppn_z]],tbl_Historique_Final[ppn_z],tbl_Historique_Final[date_modif])=Final_Sans_VGE[[#This Row],[date_modif]],
      "Ancien",
      "Modifié"),
   "Nouveau"))</f>
        <v>Ancien</v>
      </c>
      <c r="AC1484"/>
      <c r="AD1484"/>
    </row>
    <row r="1485" spans="1:30" ht="30" x14ac:dyDescent="0.25">
      <c r="A1485" s="5" t="s">
        <v>4619</v>
      </c>
      <c r="B1485" s="1" t="s">
        <v>9327</v>
      </c>
      <c r="C1485" s="1" t="s">
        <v>44</v>
      </c>
      <c r="G1485" s="1" t="s">
        <v>11</v>
      </c>
      <c r="J1485" s="3">
        <v>46146.675844907404</v>
      </c>
      <c r="K1485" s="2" t="s">
        <v>9328</v>
      </c>
      <c r="L1485" s="1">
        <v>30</v>
      </c>
      <c r="M1485" s="1">
        <v>35</v>
      </c>
      <c r="N1485">
        <v>5</v>
      </c>
      <c r="O1485" s="3">
        <f>IF(
    R1485="Ancien",
    _xlfn.XLOOKUP(
        Final_Sans_VGE[[#This Row],[ppn_z]],
        tbl_Historique_Final[ppn_z],
        tbl_Historique_Final[Horodatage],
        ""
    ),
    Horodatage!$A$2
)</f>
        <v>46233.670796365739</v>
      </c>
      <c r="P1485" s="1" t="str">
        <f>IFERROR(IF(tbl_Historique_Final[[#This Row],[Commentaires]]&lt;&gt;"",tbl_Historique_Final[[#This Row],[Commentaires]],""),"")</f>
        <v/>
      </c>
      <c r="X1485" s="8" t="str">
        <f>IF(Final_Sans_VGE[[#This Row],[ppn_z]]="","",IFERROR(
   IF(_xlfn.XLOOKUP(Final_Sans_VGE[[#This Row],[ppn_z]],tbl_Historique_Final[ppn_z],tbl_Historique_Final[date_modif])=Final_Sans_VGE[[#This Row],[date_modif]],
      "Ancien",
      "Modifié"),
   "Nouveau"))</f>
        <v>Ancien</v>
      </c>
      <c r="AC1485"/>
      <c r="AD1485"/>
    </row>
    <row r="1486" spans="1:30" ht="30" x14ac:dyDescent="0.25">
      <c r="A1486" s="5" t="s">
        <v>4622</v>
      </c>
      <c r="B1486" s="1" t="s">
        <v>9329</v>
      </c>
      <c r="C1486" s="1" t="s">
        <v>123</v>
      </c>
      <c r="J1486" s="3">
        <v>46148.736238425925</v>
      </c>
      <c r="K1486" s="2" t="s">
        <v>9330</v>
      </c>
      <c r="L1486" s="1">
        <v>13</v>
      </c>
      <c r="M1486" s="1">
        <v>25</v>
      </c>
      <c r="N1486">
        <v>12</v>
      </c>
      <c r="O1486" s="3">
        <f>IF(
    R1486="Ancien",
    _xlfn.XLOOKUP(
        Final_Sans_VGE[[#This Row],[ppn_z]],
        tbl_Historique_Final[ppn_z],
        tbl_Historique_Final[Horodatage],
        ""
    ),
    Horodatage!$A$2
)</f>
        <v>46233.670796365739</v>
      </c>
      <c r="P1486" s="1" t="str">
        <f>IFERROR(IF(tbl_Historique_Final[[#This Row],[Commentaires]]&lt;&gt;"",tbl_Historique_Final[[#This Row],[Commentaires]],""),"")</f>
        <v/>
      </c>
      <c r="X1486" s="8" t="str">
        <f>IF(Final_Sans_VGE[[#This Row],[ppn_z]]="","",IFERROR(
   IF(_xlfn.XLOOKUP(Final_Sans_VGE[[#This Row],[ppn_z]],tbl_Historique_Final[ppn_z],tbl_Historique_Final[date_modif])=Final_Sans_VGE[[#This Row],[date_modif]],
      "Ancien",
      "Modifié"),
   "Nouveau"))</f>
        <v>Ancien</v>
      </c>
      <c r="AC1486"/>
      <c r="AD1486"/>
    </row>
    <row r="1487" spans="1:30" x14ac:dyDescent="0.25">
      <c r="A1487" s="5" t="s">
        <v>4625</v>
      </c>
      <c r="B1487" s="1" t="s">
        <v>9331</v>
      </c>
      <c r="C1487" s="1" t="s">
        <v>6793</v>
      </c>
      <c r="H1487" s="1" t="s">
        <v>22</v>
      </c>
      <c r="I1487" s="1" t="s">
        <v>22</v>
      </c>
      <c r="J1487" s="3">
        <v>46045.394212962965</v>
      </c>
      <c r="L1487" s="1">
        <v>8</v>
      </c>
      <c r="M1487" s="1">
        <v>10</v>
      </c>
      <c r="N1487">
        <v>2</v>
      </c>
      <c r="O1487" s="3">
        <f>IF(
    R1487="Ancien",
    _xlfn.XLOOKUP(
        Final_Sans_VGE[[#This Row],[ppn_z]],
        tbl_Historique_Final[ppn_z],
        tbl_Historique_Final[Horodatage],
        ""
    ),
    Horodatage!$A$2
)</f>
        <v>46233.670796365739</v>
      </c>
      <c r="P1487" s="1" t="str">
        <f>IFERROR(IF(tbl_Historique_Final[[#This Row],[Commentaires]]&lt;&gt;"",tbl_Historique_Final[[#This Row],[Commentaires]],""),"")</f>
        <v/>
      </c>
      <c r="X1487" s="8" t="str">
        <f>IF(Final_Sans_VGE[[#This Row],[ppn_z]]="","",IFERROR(
   IF(_xlfn.XLOOKUP(Final_Sans_VGE[[#This Row],[ppn_z]],tbl_Historique_Final[ppn_z],tbl_Historique_Final[date_modif])=Final_Sans_VGE[[#This Row],[date_modif]],
      "Ancien",
      "Modifié"),
   "Nouveau"))</f>
        <v>Ancien</v>
      </c>
      <c r="AC1487"/>
      <c r="AD1487"/>
    </row>
    <row r="1488" spans="1:30" ht="30" x14ac:dyDescent="0.25">
      <c r="A1488" s="5" t="s">
        <v>4628</v>
      </c>
      <c r="B1488" s="1" t="s">
        <v>9332</v>
      </c>
      <c r="C1488" s="1" t="s">
        <v>12</v>
      </c>
      <c r="G1488" s="1" t="s">
        <v>10</v>
      </c>
      <c r="J1488" s="3">
        <v>46111.685879629629</v>
      </c>
      <c r="K1488" s="2" t="s">
        <v>9333</v>
      </c>
      <c r="L1488" s="1">
        <v>2</v>
      </c>
      <c r="M1488" s="1">
        <v>2</v>
      </c>
      <c r="N1488">
        <v>0</v>
      </c>
      <c r="O1488" s="3">
        <f>IF(
    R1488="Ancien",
    _xlfn.XLOOKUP(
        Final_Sans_VGE[[#This Row],[ppn_z]],
        tbl_Historique_Final[ppn_z],
        tbl_Historique_Final[Horodatage],
        ""
    ),
    Horodatage!$A$2
)</f>
        <v>46233.670796365739</v>
      </c>
      <c r="P1488" s="1" t="str">
        <f>IFERROR(IF(tbl_Historique_Final[[#This Row],[Commentaires]]&lt;&gt;"",tbl_Historique_Final[[#This Row],[Commentaires]],""),"")</f>
        <v/>
      </c>
      <c r="X1488" s="8" t="str">
        <f>IF(Final_Sans_VGE[[#This Row],[ppn_z]]="","",IFERROR(
   IF(_xlfn.XLOOKUP(Final_Sans_VGE[[#This Row],[ppn_z]],tbl_Historique_Final[ppn_z],tbl_Historique_Final[date_modif])=Final_Sans_VGE[[#This Row],[date_modif]],
      "Ancien",
      "Modifié"),
   "Nouveau"))</f>
        <v>Ancien</v>
      </c>
      <c r="AC1488"/>
      <c r="AD1488"/>
    </row>
    <row r="1489" spans="1:30" x14ac:dyDescent="0.25">
      <c r="A1489" s="5" t="s">
        <v>4631</v>
      </c>
      <c r="B1489" s="1" t="s">
        <v>9334</v>
      </c>
      <c r="C1489" s="1" t="s">
        <v>131</v>
      </c>
      <c r="G1489" s="1" t="s">
        <v>11</v>
      </c>
      <c r="J1489" s="3">
        <v>46155.640833333331</v>
      </c>
      <c r="K1489" s="2" t="s">
        <v>9335</v>
      </c>
      <c r="L1489" s="1">
        <v>1</v>
      </c>
      <c r="M1489" s="1">
        <v>1</v>
      </c>
      <c r="N1489">
        <v>0</v>
      </c>
      <c r="O1489" s="3">
        <f>IF(
    R1489="Ancien",
    _xlfn.XLOOKUP(
        Final_Sans_VGE[[#This Row],[ppn_z]],
        tbl_Historique_Final[ppn_z],
        tbl_Historique_Final[Horodatage],
        ""
    ),
    Horodatage!$A$2
)</f>
        <v>46233.670796365739</v>
      </c>
      <c r="P1489" s="1" t="str">
        <f>IFERROR(IF(tbl_Historique_Final[[#This Row],[Commentaires]]&lt;&gt;"",tbl_Historique_Final[[#This Row],[Commentaires]],""),"")</f>
        <v/>
      </c>
      <c r="X1489" s="8" t="str">
        <f>IF(Final_Sans_VGE[[#This Row],[ppn_z]]="","",IFERROR(
   IF(_xlfn.XLOOKUP(Final_Sans_VGE[[#This Row],[ppn_z]],tbl_Historique_Final[ppn_z],tbl_Historique_Final[date_modif])=Final_Sans_VGE[[#This Row],[date_modif]],
      "Ancien",
      "Modifié"),
   "Nouveau"))</f>
        <v>Ancien</v>
      </c>
      <c r="AC1489"/>
      <c r="AD1489"/>
    </row>
    <row r="1490" spans="1:30" ht="30" x14ac:dyDescent="0.25">
      <c r="A1490" s="5" t="s">
        <v>4634</v>
      </c>
      <c r="B1490" s="1" t="s">
        <v>9336</v>
      </c>
      <c r="C1490" s="1" t="s">
        <v>6406</v>
      </c>
      <c r="G1490" s="1" t="s">
        <v>10</v>
      </c>
      <c r="J1490" s="3">
        <v>46149.427094907405</v>
      </c>
      <c r="K1490" s="2" t="s">
        <v>9337</v>
      </c>
      <c r="L1490" s="1">
        <v>1</v>
      </c>
      <c r="M1490" s="1">
        <v>1</v>
      </c>
      <c r="N1490">
        <v>0</v>
      </c>
      <c r="O1490" s="3">
        <f>IF(
    R1490="Ancien",
    _xlfn.XLOOKUP(
        Final_Sans_VGE[[#This Row],[ppn_z]],
        tbl_Historique_Final[ppn_z],
        tbl_Historique_Final[Horodatage],
        ""
    ),
    Horodatage!$A$2
)</f>
        <v>46233.670796365739</v>
      </c>
      <c r="P1490" s="1" t="str">
        <f>IFERROR(IF(tbl_Historique_Final[[#This Row],[Commentaires]]&lt;&gt;"",tbl_Historique_Final[[#This Row],[Commentaires]],""),"")</f>
        <v/>
      </c>
      <c r="X1490" s="8" t="str">
        <f>IF(Final_Sans_VGE[[#This Row],[ppn_z]]="","",IFERROR(
   IF(_xlfn.XLOOKUP(Final_Sans_VGE[[#This Row],[ppn_z]],tbl_Historique_Final[ppn_z],tbl_Historique_Final[date_modif])=Final_Sans_VGE[[#This Row],[date_modif]],
      "Ancien",
      "Modifié"),
   "Nouveau"))</f>
        <v>Ancien</v>
      </c>
      <c r="AC1490"/>
      <c r="AD1490"/>
    </row>
    <row r="1491" spans="1:30" ht="30" x14ac:dyDescent="0.25">
      <c r="A1491" s="5" t="s">
        <v>4637</v>
      </c>
      <c r="B1491" s="1" t="s">
        <v>9338</v>
      </c>
      <c r="C1491" s="1" t="s">
        <v>81</v>
      </c>
      <c r="G1491" s="1" t="s">
        <v>10</v>
      </c>
      <c r="H1491" s="1" t="s">
        <v>22</v>
      </c>
      <c r="I1491" s="1" t="s">
        <v>22</v>
      </c>
      <c r="J1491" s="3">
        <v>46110.459143518521</v>
      </c>
      <c r="K1491" s="2" t="s">
        <v>9339</v>
      </c>
      <c r="L1491" s="1">
        <v>29</v>
      </c>
      <c r="M1491" s="1">
        <v>35</v>
      </c>
      <c r="N1491">
        <v>6</v>
      </c>
      <c r="O1491" s="3">
        <f>IF(
    R1491="Ancien",
    _xlfn.XLOOKUP(
        Final_Sans_VGE[[#This Row],[ppn_z]],
        tbl_Historique_Final[ppn_z],
        tbl_Historique_Final[Horodatage],
        ""
    ),
    Horodatage!$A$2
)</f>
        <v>46233.670796365739</v>
      </c>
      <c r="P1491" s="1" t="str">
        <f>IFERROR(IF(tbl_Historique_Final[[#This Row],[Commentaires]]&lt;&gt;"",tbl_Historique_Final[[#This Row],[Commentaires]],""),"")</f>
        <v/>
      </c>
      <c r="X1491" s="8" t="str">
        <f>IF(Final_Sans_VGE[[#This Row],[ppn_z]]="","",IFERROR(
   IF(_xlfn.XLOOKUP(Final_Sans_VGE[[#This Row],[ppn_z]],tbl_Historique_Final[ppn_z],tbl_Historique_Final[date_modif])=Final_Sans_VGE[[#This Row],[date_modif]],
      "Ancien",
      "Modifié"),
   "Nouveau"))</f>
        <v>Ancien</v>
      </c>
      <c r="AC1491"/>
      <c r="AD1491"/>
    </row>
    <row r="1492" spans="1:30" ht="45" x14ac:dyDescent="0.25">
      <c r="A1492" s="5" t="s">
        <v>4640</v>
      </c>
      <c r="B1492" s="1" t="s">
        <v>9340</v>
      </c>
      <c r="C1492" s="1" t="s">
        <v>6355</v>
      </c>
      <c r="E1492" s="1" t="s">
        <v>159</v>
      </c>
      <c r="J1492" s="3">
        <v>46127.702094907407</v>
      </c>
      <c r="K1492" s="2" t="s">
        <v>9341</v>
      </c>
      <c r="L1492" s="1">
        <v>4</v>
      </c>
      <c r="M1492" s="1">
        <v>5</v>
      </c>
      <c r="N1492">
        <v>1</v>
      </c>
      <c r="O1492" s="3">
        <f>IF(
    R1492="Ancien",
    _xlfn.XLOOKUP(
        Final_Sans_VGE[[#This Row],[ppn_z]],
        tbl_Historique_Final[ppn_z],
        tbl_Historique_Final[Horodatage],
        ""
    ),
    Horodatage!$A$2
)</f>
        <v>46233.670796365739</v>
      </c>
      <c r="P1492" s="1" t="str">
        <f>IFERROR(IF(tbl_Historique_Final[[#This Row],[Commentaires]]&lt;&gt;"",tbl_Historique_Final[[#This Row],[Commentaires]],""),"")</f>
        <v/>
      </c>
      <c r="X1492" s="8" t="str">
        <f>IF(Final_Sans_VGE[[#This Row],[ppn_z]]="","",IFERROR(
   IF(_xlfn.XLOOKUP(Final_Sans_VGE[[#This Row],[ppn_z]],tbl_Historique_Final[ppn_z],tbl_Historique_Final[date_modif])=Final_Sans_VGE[[#This Row],[date_modif]],
      "Ancien",
      "Modifié"),
   "Nouveau"))</f>
        <v>Ancien</v>
      </c>
      <c r="AC1492"/>
      <c r="AD1492"/>
    </row>
    <row r="1493" spans="1:30" ht="45" x14ac:dyDescent="0.25">
      <c r="A1493" s="5" t="s">
        <v>4643</v>
      </c>
      <c r="B1493" s="1" t="s">
        <v>9342</v>
      </c>
      <c r="C1493" s="1" t="s">
        <v>80</v>
      </c>
      <c r="E1493" s="1" t="s">
        <v>6793</v>
      </c>
      <c r="J1493" s="3">
        <v>46127.703865740739</v>
      </c>
      <c r="K1493" s="2" t="s">
        <v>9343</v>
      </c>
      <c r="L1493" s="1">
        <v>13</v>
      </c>
      <c r="M1493" s="1">
        <v>20</v>
      </c>
      <c r="N1493">
        <v>7</v>
      </c>
      <c r="O1493" s="3">
        <f>IF(
    R1493="Ancien",
    _xlfn.XLOOKUP(
        Final_Sans_VGE[[#This Row],[ppn_z]],
        tbl_Historique_Final[ppn_z],
        tbl_Historique_Final[Horodatage],
        ""
    ),
    Horodatage!$A$2
)</f>
        <v>46233.670796365739</v>
      </c>
      <c r="P1493" s="1" t="str">
        <f>IFERROR(IF(tbl_Historique_Final[[#This Row],[Commentaires]]&lt;&gt;"",tbl_Historique_Final[[#This Row],[Commentaires]],""),"")</f>
        <v/>
      </c>
      <c r="X1493" s="8" t="str">
        <f>IF(Final_Sans_VGE[[#This Row],[ppn_z]]="","",IFERROR(
   IF(_xlfn.XLOOKUP(Final_Sans_VGE[[#This Row],[ppn_z]],tbl_Historique_Final[ppn_z],tbl_Historique_Final[date_modif])=Final_Sans_VGE[[#This Row],[date_modif]],
      "Ancien",
      "Modifié"),
   "Nouveau"))</f>
        <v>Ancien</v>
      </c>
      <c r="AC1493"/>
      <c r="AD1493"/>
    </row>
    <row r="1494" spans="1:30" x14ac:dyDescent="0.25">
      <c r="A1494" s="5" t="s">
        <v>4646</v>
      </c>
      <c r="B1494" s="1" t="s">
        <v>9344</v>
      </c>
      <c r="C1494" s="1" t="s">
        <v>12</v>
      </c>
      <c r="G1494" s="1" t="s">
        <v>10</v>
      </c>
      <c r="J1494" s="3">
        <v>46122.670497685183</v>
      </c>
      <c r="K1494" s="2" t="s">
        <v>9345</v>
      </c>
      <c r="L1494" s="1">
        <v>25</v>
      </c>
      <c r="M1494" s="1">
        <v>32</v>
      </c>
      <c r="N1494">
        <v>7</v>
      </c>
      <c r="O1494" s="3">
        <f>IF(
    R1494="Ancien",
    _xlfn.XLOOKUP(
        Final_Sans_VGE[[#This Row],[ppn_z]],
        tbl_Historique_Final[ppn_z],
        tbl_Historique_Final[Horodatage],
        ""
    ),
    Horodatage!$A$2
)</f>
        <v>46233.670796365739</v>
      </c>
      <c r="P1494" s="1" t="str">
        <f>IFERROR(IF(tbl_Historique_Final[[#This Row],[Commentaires]]&lt;&gt;"",tbl_Historique_Final[[#This Row],[Commentaires]],""),"")</f>
        <v/>
      </c>
      <c r="X1494" s="8" t="str">
        <f>IF(Final_Sans_VGE[[#This Row],[ppn_z]]="","",IFERROR(
   IF(_xlfn.XLOOKUP(Final_Sans_VGE[[#This Row],[ppn_z]],tbl_Historique_Final[ppn_z],tbl_Historique_Final[date_modif])=Final_Sans_VGE[[#This Row],[date_modif]],
      "Ancien",
      "Modifié"),
   "Nouveau"))</f>
        <v>Ancien</v>
      </c>
      <c r="AC1494"/>
      <c r="AD1494"/>
    </row>
    <row r="1495" spans="1:30" x14ac:dyDescent="0.25">
      <c r="A1495" s="5" t="s">
        <v>4649</v>
      </c>
      <c r="B1495" s="1" t="s">
        <v>9346</v>
      </c>
      <c r="J1495" s="3">
        <v>46170.388368055559</v>
      </c>
      <c r="K1495" s="2" t="s">
        <v>9347</v>
      </c>
      <c r="L1495" s="1">
        <v>1</v>
      </c>
      <c r="M1495" s="1">
        <v>1</v>
      </c>
      <c r="N1495">
        <v>0</v>
      </c>
      <c r="O1495" s="3">
        <f>IF(
    R1495="Ancien",
    _xlfn.XLOOKUP(
        Final_Sans_VGE[[#This Row],[ppn_z]],
        tbl_Historique_Final[ppn_z],
        tbl_Historique_Final[Horodatage],
        ""
    ),
    Horodatage!$A$2
)</f>
        <v>46233.670796365739</v>
      </c>
      <c r="P1495" s="1" t="str">
        <f>IFERROR(IF(tbl_Historique_Final[[#This Row],[Commentaires]]&lt;&gt;"",tbl_Historique_Final[[#This Row],[Commentaires]],""),"")</f>
        <v/>
      </c>
      <c r="X1495" s="8" t="str">
        <f>IF(Final_Sans_VGE[[#This Row],[ppn_z]]="","",IFERROR(
   IF(_xlfn.XLOOKUP(Final_Sans_VGE[[#This Row],[ppn_z]],tbl_Historique_Final[ppn_z],tbl_Historique_Final[date_modif])=Final_Sans_VGE[[#This Row],[date_modif]],
      "Ancien",
      "Modifié"),
   "Nouveau"))</f>
        <v>Ancien</v>
      </c>
      <c r="AC1495"/>
      <c r="AD1495"/>
    </row>
    <row r="1496" spans="1:30" x14ac:dyDescent="0.25">
      <c r="A1496" s="5" t="s">
        <v>4652</v>
      </c>
      <c r="B1496" s="1" t="s">
        <v>9348</v>
      </c>
      <c r="C1496" s="1" t="s">
        <v>8266</v>
      </c>
      <c r="D1496" s="1" t="s">
        <v>9349</v>
      </c>
      <c r="E1496" s="1" t="s">
        <v>66</v>
      </c>
      <c r="F1496" s="1" t="s">
        <v>8572</v>
      </c>
      <c r="G1496" s="1" t="s">
        <v>10</v>
      </c>
      <c r="H1496" s="1" t="s">
        <v>22</v>
      </c>
      <c r="I1496" s="1" t="s">
        <v>22</v>
      </c>
      <c r="J1496" s="3">
        <v>46114.473530092589</v>
      </c>
      <c r="K1496" s="2" t="s">
        <v>9350</v>
      </c>
      <c r="L1496" s="1">
        <v>66</v>
      </c>
      <c r="M1496" s="1">
        <v>78</v>
      </c>
      <c r="N1496">
        <v>12</v>
      </c>
      <c r="O1496" s="3">
        <f>IF(
    R1496="Ancien",
    _xlfn.XLOOKUP(
        Final_Sans_VGE[[#This Row],[ppn_z]],
        tbl_Historique_Final[ppn_z],
        tbl_Historique_Final[Horodatage],
        ""
    ),
    Horodatage!$A$2
)</f>
        <v>46233.670796365739</v>
      </c>
      <c r="P1496" s="1" t="str">
        <f>IFERROR(IF(tbl_Historique_Final[[#This Row],[Commentaires]]&lt;&gt;"",tbl_Historique_Final[[#This Row],[Commentaires]],""),"")</f>
        <v/>
      </c>
      <c r="X1496" s="8" t="str">
        <f>IF(Final_Sans_VGE[[#This Row],[ppn_z]]="","",IFERROR(
   IF(_xlfn.XLOOKUP(Final_Sans_VGE[[#This Row],[ppn_z]],tbl_Historique_Final[ppn_z],tbl_Historique_Final[date_modif])=Final_Sans_VGE[[#This Row],[date_modif]],
      "Ancien",
      "Modifié"),
   "Nouveau"))</f>
        <v>Ancien</v>
      </c>
      <c r="AC1496"/>
      <c r="AD1496"/>
    </row>
    <row r="1497" spans="1:30" ht="60" x14ac:dyDescent="0.25">
      <c r="A1497" s="5" t="s">
        <v>4655</v>
      </c>
      <c r="B1497" s="1" t="s">
        <v>9351</v>
      </c>
      <c r="C1497" s="1" t="s">
        <v>9352</v>
      </c>
      <c r="D1497" s="1" t="s">
        <v>14</v>
      </c>
      <c r="E1497" s="1" t="s">
        <v>9353</v>
      </c>
      <c r="F1497" s="1" t="s">
        <v>14</v>
      </c>
      <c r="G1497" s="1" t="s">
        <v>10</v>
      </c>
      <c r="H1497" s="1" t="s">
        <v>22</v>
      </c>
      <c r="I1497" s="1" t="s">
        <v>22</v>
      </c>
      <c r="J1497" s="3">
        <v>46147.484571759262</v>
      </c>
      <c r="K1497" s="2" t="s">
        <v>9354</v>
      </c>
      <c r="L1497" s="1">
        <v>1</v>
      </c>
      <c r="M1497" s="1">
        <v>1</v>
      </c>
      <c r="N1497">
        <v>0</v>
      </c>
      <c r="O1497" s="3">
        <f>IF(
    R1497="Ancien",
    _xlfn.XLOOKUP(
        Final_Sans_VGE[[#This Row],[ppn_z]],
        tbl_Historique_Final[ppn_z],
        tbl_Historique_Final[Horodatage],
        ""
    ),
    Horodatage!$A$2
)</f>
        <v>46233.670796365739</v>
      </c>
      <c r="P1497" s="1" t="str">
        <f>IFERROR(IF(tbl_Historique_Final[[#This Row],[Commentaires]]&lt;&gt;"",tbl_Historique_Final[[#This Row],[Commentaires]],""),"")</f>
        <v/>
      </c>
      <c r="X1497" s="8" t="str">
        <f>IF(Final_Sans_VGE[[#This Row],[ppn_z]]="","",IFERROR(
   IF(_xlfn.XLOOKUP(Final_Sans_VGE[[#This Row],[ppn_z]],tbl_Historique_Final[ppn_z],tbl_Historique_Final[date_modif])=Final_Sans_VGE[[#This Row],[date_modif]],
      "Ancien",
      "Modifié"),
   "Nouveau"))</f>
        <v>Ancien</v>
      </c>
      <c r="AC1497"/>
      <c r="AD1497"/>
    </row>
    <row r="1498" spans="1:30" ht="60" x14ac:dyDescent="0.25">
      <c r="A1498" s="5" t="s">
        <v>4658</v>
      </c>
      <c r="B1498" s="1" t="s">
        <v>9355</v>
      </c>
      <c r="C1498" s="1" t="s">
        <v>109</v>
      </c>
      <c r="J1498" s="3">
        <v>46163.577986111108</v>
      </c>
      <c r="K1498" s="2" t="s">
        <v>9356</v>
      </c>
      <c r="L1498" s="1">
        <v>1</v>
      </c>
      <c r="M1498" s="1">
        <v>1</v>
      </c>
      <c r="N1498">
        <v>0</v>
      </c>
      <c r="O1498" s="3">
        <f>IF(
    R1498="Ancien",
    _xlfn.XLOOKUP(
        Final_Sans_VGE[[#This Row],[ppn_z]],
        tbl_Historique_Final[ppn_z],
        tbl_Historique_Final[Horodatage],
        ""
    ),
    Horodatage!$A$2
)</f>
        <v>46233.670796365739</v>
      </c>
      <c r="P1498" s="1" t="str">
        <f>IFERROR(IF(tbl_Historique_Final[[#This Row],[Commentaires]]&lt;&gt;"",tbl_Historique_Final[[#This Row],[Commentaires]],""),"")</f>
        <v/>
      </c>
      <c r="X1498" s="8" t="str">
        <f>IF(Final_Sans_VGE[[#This Row],[ppn_z]]="","",IFERROR(
   IF(_xlfn.XLOOKUP(Final_Sans_VGE[[#This Row],[ppn_z]],tbl_Historique_Final[ppn_z],tbl_Historique_Final[date_modif])=Final_Sans_VGE[[#This Row],[date_modif]],
      "Ancien",
      "Modifié"),
   "Nouveau"))</f>
        <v>Ancien</v>
      </c>
      <c r="AC1498"/>
      <c r="AD1498"/>
    </row>
    <row r="1499" spans="1:30" x14ac:dyDescent="0.25">
      <c r="A1499" s="5" t="s">
        <v>4661</v>
      </c>
      <c r="B1499" s="1" t="s">
        <v>9357</v>
      </c>
      <c r="C1499" s="1" t="s">
        <v>6615</v>
      </c>
      <c r="D1499" s="1" t="s">
        <v>8572</v>
      </c>
      <c r="E1499" s="1" t="s">
        <v>6416</v>
      </c>
      <c r="F1499" s="1" t="s">
        <v>8572</v>
      </c>
      <c r="G1499" s="1" t="s">
        <v>10</v>
      </c>
      <c r="H1499" s="1" t="s">
        <v>22</v>
      </c>
      <c r="I1499" s="1" t="s">
        <v>22</v>
      </c>
      <c r="J1499" s="3">
        <v>46098.556967592594</v>
      </c>
      <c r="L1499" s="1">
        <v>52</v>
      </c>
      <c r="M1499" s="1">
        <v>58</v>
      </c>
      <c r="N1499">
        <v>6</v>
      </c>
      <c r="O1499" s="3">
        <f>IF(
    R1499="Ancien",
    _xlfn.XLOOKUP(
        Final_Sans_VGE[[#This Row],[ppn_z]],
        tbl_Historique_Final[ppn_z],
        tbl_Historique_Final[Horodatage],
        ""
    ),
    Horodatage!$A$2
)</f>
        <v>46233.670796365739</v>
      </c>
      <c r="P1499" s="1" t="str">
        <f>IFERROR(IF(tbl_Historique_Final[[#This Row],[Commentaires]]&lt;&gt;"",tbl_Historique_Final[[#This Row],[Commentaires]],""),"")</f>
        <v/>
      </c>
      <c r="X1499" s="8" t="str">
        <f>IF(Final_Sans_VGE[[#This Row],[ppn_z]]="","",IFERROR(
   IF(_xlfn.XLOOKUP(Final_Sans_VGE[[#This Row],[ppn_z]],tbl_Historique_Final[ppn_z],tbl_Historique_Final[date_modif])=Final_Sans_VGE[[#This Row],[date_modif]],
      "Ancien",
      "Modifié"),
   "Nouveau"))</f>
        <v>Ancien</v>
      </c>
      <c r="AC1499"/>
      <c r="AD1499"/>
    </row>
    <row r="1500" spans="1:30" x14ac:dyDescent="0.25">
      <c r="A1500" s="5" t="s">
        <v>4664</v>
      </c>
      <c r="B1500" s="1" t="s">
        <v>9358</v>
      </c>
      <c r="C1500" s="1" t="s">
        <v>9359</v>
      </c>
      <c r="E1500" s="1" t="s">
        <v>9360</v>
      </c>
      <c r="G1500" s="1" t="s">
        <v>10</v>
      </c>
      <c r="J1500" s="3">
        <v>46122.734375</v>
      </c>
      <c r="K1500" s="2" t="s">
        <v>9361</v>
      </c>
      <c r="L1500" s="1">
        <v>9</v>
      </c>
      <c r="M1500" s="1">
        <v>9</v>
      </c>
      <c r="N1500">
        <v>0</v>
      </c>
      <c r="O1500" s="3">
        <f>IF(
    R1500="Ancien",
    _xlfn.XLOOKUP(
        Final_Sans_VGE[[#This Row],[ppn_z]],
        tbl_Historique_Final[ppn_z],
        tbl_Historique_Final[Horodatage],
        ""
    ),
    Horodatage!$A$2
)</f>
        <v>46233.670796365739</v>
      </c>
      <c r="P1500" s="1" t="str">
        <f>IFERROR(IF(tbl_Historique_Final[[#This Row],[Commentaires]]&lt;&gt;"",tbl_Historique_Final[[#This Row],[Commentaires]],""),"")</f>
        <v/>
      </c>
      <c r="X1500" s="8" t="str">
        <f>IF(Final_Sans_VGE[[#This Row],[ppn_z]]="","",IFERROR(
   IF(_xlfn.XLOOKUP(Final_Sans_VGE[[#This Row],[ppn_z]],tbl_Historique_Final[ppn_z],tbl_Historique_Final[date_modif])=Final_Sans_VGE[[#This Row],[date_modif]],
      "Ancien",
      "Modifié"),
   "Nouveau"))</f>
        <v>Ancien</v>
      </c>
      <c r="AC1500"/>
      <c r="AD1500"/>
    </row>
    <row r="1501" spans="1:30" ht="45" x14ac:dyDescent="0.25">
      <c r="A1501" s="5" t="s">
        <v>4667</v>
      </c>
      <c r="B1501" s="1" t="s">
        <v>9362</v>
      </c>
      <c r="C1501" s="1" t="s">
        <v>147</v>
      </c>
      <c r="E1501" s="1" t="s">
        <v>7546</v>
      </c>
      <c r="J1501" s="3">
        <v>46148.732361111113</v>
      </c>
      <c r="K1501" s="2" t="s">
        <v>9363</v>
      </c>
      <c r="L1501" s="1">
        <v>7</v>
      </c>
      <c r="M1501" s="1">
        <v>7</v>
      </c>
      <c r="N1501">
        <v>0</v>
      </c>
      <c r="O1501" s="3">
        <f>IF(
    R1501="Ancien",
    _xlfn.XLOOKUP(
        Final_Sans_VGE[[#This Row],[ppn_z]],
        tbl_Historique_Final[ppn_z],
        tbl_Historique_Final[Horodatage],
        ""
    ),
    Horodatage!$A$2
)</f>
        <v>46233.670796365739</v>
      </c>
      <c r="P1501" s="1" t="str">
        <f>IFERROR(IF(tbl_Historique_Final[[#This Row],[Commentaires]]&lt;&gt;"",tbl_Historique_Final[[#This Row],[Commentaires]],""),"")</f>
        <v/>
      </c>
      <c r="X1501" s="8" t="str">
        <f>IF(Final_Sans_VGE[[#This Row],[ppn_z]]="","",IFERROR(
   IF(_xlfn.XLOOKUP(Final_Sans_VGE[[#This Row],[ppn_z]],tbl_Historique_Final[ppn_z],tbl_Historique_Final[date_modif])=Final_Sans_VGE[[#This Row],[date_modif]],
      "Ancien",
      "Modifié"),
   "Nouveau"))</f>
        <v>Ancien</v>
      </c>
      <c r="AC1501"/>
      <c r="AD1501"/>
    </row>
    <row r="1502" spans="1:30" x14ac:dyDescent="0.25">
      <c r="A1502" s="5" t="s">
        <v>4670</v>
      </c>
      <c r="B1502" s="1" t="s">
        <v>9364</v>
      </c>
      <c r="C1502" s="1" t="s">
        <v>9365</v>
      </c>
      <c r="D1502" s="1" t="s">
        <v>9366</v>
      </c>
      <c r="E1502" s="1" t="s">
        <v>7588</v>
      </c>
      <c r="F1502" s="1" t="s">
        <v>6384</v>
      </c>
      <c r="G1502" s="1" t="s">
        <v>10</v>
      </c>
      <c r="H1502" s="1" t="s">
        <v>10521</v>
      </c>
      <c r="I1502" s="1" t="s">
        <v>22</v>
      </c>
      <c r="J1502" s="3">
        <v>46138.432893518519</v>
      </c>
      <c r="K1502" s="2" t="s">
        <v>9368</v>
      </c>
      <c r="L1502" s="1">
        <v>114</v>
      </c>
      <c r="M1502" s="1">
        <v>115</v>
      </c>
      <c r="N1502">
        <v>1</v>
      </c>
      <c r="O1502" s="3">
        <f>IF(
    R1502="Ancien",
    _xlfn.XLOOKUP(
        Final_Sans_VGE[[#This Row],[ppn_z]],
        tbl_Historique_Final[ppn_z],
        tbl_Historique_Final[Horodatage],
        ""
    ),
    Horodatage!$A$2
)</f>
        <v>46233.670796365739</v>
      </c>
      <c r="P1502" s="1" t="str">
        <f>IFERROR(IF(tbl_Historique_Final[[#This Row],[Commentaires]]&lt;&gt;"",tbl_Historique_Final[[#This Row],[Commentaires]],""),"")</f>
        <v/>
      </c>
      <c r="X1502" s="8" t="str">
        <f>IF(Final_Sans_VGE[[#This Row],[ppn_z]]="","",IFERROR(
   IF(_xlfn.XLOOKUP(Final_Sans_VGE[[#This Row],[ppn_z]],tbl_Historique_Final[ppn_z],tbl_Historique_Final[date_modif])=Final_Sans_VGE[[#This Row],[date_modif]],
      "Ancien",
      "Modifié"),
   "Nouveau"))</f>
        <v>Ancien</v>
      </c>
      <c r="AC1502"/>
      <c r="AD1502"/>
    </row>
    <row r="1503" spans="1:30" ht="45" x14ac:dyDescent="0.25">
      <c r="A1503" s="5" t="s">
        <v>4673</v>
      </c>
      <c r="B1503" s="1" t="s">
        <v>9369</v>
      </c>
      <c r="C1503" s="1" t="s">
        <v>90</v>
      </c>
      <c r="G1503" s="1" t="s">
        <v>10</v>
      </c>
      <c r="J1503" s="3">
        <v>46162.554745370369</v>
      </c>
      <c r="K1503" s="2" t="s">
        <v>9370</v>
      </c>
      <c r="L1503" s="1">
        <v>26</v>
      </c>
      <c r="M1503" s="1">
        <v>28</v>
      </c>
      <c r="N1503">
        <v>2</v>
      </c>
      <c r="O1503" s="3">
        <f>IF(
    R1503="Ancien",
    _xlfn.XLOOKUP(
        Final_Sans_VGE[[#This Row],[ppn_z]],
        tbl_Historique_Final[ppn_z],
        tbl_Historique_Final[Horodatage],
        ""
    ),
    Horodatage!$A$2
)</f>
        <v>46233.670796365739</v>
      </c>
      <c r="P1503" s="1" t="str">
        <f>IFERROR(IF(tbl_Historique_Final[[#This Row],[Commentaires]]&lt;&gt;"",tbl_Historique_Final[[#This Row],[Commentaires]],""),"")</f>
        <v/>
      </c>
      <c r="X1503" s="8" t="str">
        <f>IF(Final_Sans_VGE[[#This Row],[ppn_z]]="","",IFERROR(
   IF(_xlfn.XLOOKUP(Final_Sans_VGE[[#This Row],[ppn_z]],tbl_Historique_Final[ppn_z],tbl_Historique_Final[date_modif])=Final_Sans_VGE[[#This Row],[date_modif]],
      "Ancien",
      "Modifié"),
   "Nouveau"))</f>
        <v>Ancien</v>
      </c>
      <c r="AC1503"/>
      <c r="AD1503"/>
    </row>
    <row r="1504" spans="1:30" ht="45" x14ac:dyDescent="0.25">
      <c r="A1504" s="5" t="s">
        <v>4676</v>
      </c>
      <c r="B1504" s="1" t="s">
        <v>9371</v>
      </c>
      <c r="C1504" s="1" t="s">
        <v>9372</v>
      </c>
      <c r="D1504" s="1" t="s">
        <v>8301</v>
      </c>
      <c r="E1504" s="1" t="s">
        <v>6676</v>
      </c>
      <c r="F1504" s="1" t="s">
        <v>14</v>
      </c>
      <c r="H1504" s="1" t="s">
        <v>9373</v>
      </c>
      <c r="I1504" s="1" t="s">
        <v>140</v>
      </c>
      <c r="J1504" s="3">
        <v>46117.430081018516</v>
      </c>
      <c r="K1504" s="2" t="s">
        <v>9374</v>
      </c>
      <c r="L1504" s="1">
        <v>121</v>
      </c>
      <c r="M1504" s="1">
        <v>160</v>
      </c>
      <c r="N1504">
        <v>39</v>
      </c>
      <c r="O1504" s="3">
        <f>IF(
    R1504="Ancien",
    _xlfn.XLOOKUP(
        Final_Sans_VGE[[#This Row],[ppn_z]],
        tbl_Historique_Final[ppn_z],
        tbl_Historique_Final[Horodatage],
        ""
    ),
    Horodatage!$A$2
)</f>
        <v>46233.670796365739</v>
      </c>
      <c r="P1504" s="1" t="str">
        <f>IFERROR(IF(tbl_Historique_Final[[#This Row],[Commentaires]]&lt;&gt;"",tbl_Historique_Final[[#This Row],[Commentaires]],""),"")</f>
        <v/>
      </c>
      <c r="X1504" s="8" t="str">
        <f>IF(Final_Sans_VGE[[#This Row],[ppn_z]]="","",IFERROR(
   IF(_xlfn.XLOOKUP(Final_Sans_VGE[[#This Row],[ppn_z]],tbl_Historique_Final[ppn_z],tbl_Historique_Final[date_modif])=Final_Sans_VGE[[#This Row],[date_modif]],
      "Ancien",
      "Modifié"),
   "Nouveau"))</f>
        <v>Ancien</v>
      </c>
      <c r="AC1504"/>
      <c r="AD1504"/>
    </row>
    <row r="1505" spans="1:30" x14ac:dyDescent="0.25">
      <c r="A1505" s="5" t="s">
        <v>4679</v>
      </c>
      <c r="B1505" s="1" t="s">
        <v>9375</v>
      </c>
      <c r="C1505" s="1" t="s">
        <v>39</v>
      </c>
      <c r="D1505" s="1" t="s">
        <v>14</v>
      </c>
      <c r="G1505" s="1" t="s">
        <v>10</v>
      </c>
      <c r="H1505" s="1" t="s">
        <v>22</v>
      </c>
      <c r="I1505" s="1" t="s">
        <v>22</v>
      </c>
      <c r="J1505" s="3">
        <v>46138.457719907405</v>
      </c>
      <c r="K1505" s="2" t="s">
        <v>9376</v>
      </c>
      <c r="L1505" s="1">
        <v>0</v>
      </c>
      <c r="M1505" s="1">
        <v>19</v>
      </c>
      <c r="N1505">
        <v>19</v>
      </c>
      <c r="O1505" s="3">
        <f>IF(
    R1505="Ancien",
    _xlfn.XLOOKUP(
        Final_Sans_VGE[[#This Row],[ppn_z]],
        tbl_Historique_Final[ppn_z],
        tbl_Historique_Final[Horodatage],
        ""
    ),
    Horodatage!$A$2
)</f>
        <v>46233.670796365739</v>
      </c>
      <c r="P1505" s="1" t="str">
        <f>IFERROR(IF(tbl_Historique_Final[[#This Row],[Commentaires]]&lt;&gt;"",tbl_Historique_Final[[#This Row],[Commentaires]],""),"")</f>
        <v/>
      </c>
      <c r="X1505" s="8" t="str">
        <f>IF(Final_Sans_VGE[[#This Row],[ppn_z]]="","",IFERROR(
   IF(_xlfn.XLOOKUP(Final_Sans_VGE[[#This Row],[ppn_z]],tbl_Historique_Final[ppn_z],tbl_Historique_Final[date_modif])=Final_Sans_VGE[[#This Row],[date_modif]],
      "Ancien",
      "Modifié"),
   "Nouveau"))</f>
        <v>Ancien</v>
      </c>
      <c r="AC1505"/>
      <c r="AD1505"/>
    </row>
    <row r="1506" spans="1:30" x14ac:dyDescent="0.25">
      <c r="A1506" s="5" t="s">
        <v>4682</v>
      </c>
      <c r="B1506" s="1" t="s">
        <v>9377</v>
      </c>
      <c r="C1506" s="1" t="s">
        <v>12</v>
      </c>
      <c r="G1506" s="1" t="s">
        <v>11</v>
      </c>
      <c r="J1506" s="3">
        <v>46155.619293981479</v>
      </c>
      <c r="K1506" s="2" t="s">
        <v>9378</v>
      </c>
      <c r="L1506" s="1">
        <v>2</v>
      </c>
      <c r="M1506" s="1">
        <v>2</v>
      </c>
      <c r="N1506">
        <v>0</v>
      </c>
      <c r="O1506" s="3">
        <f>IF(
    R1506="Ancien",
    _xlfn.XLOOKUP(
        Final_Sans_VGE[[#This Row],[ppn_z]],
        tbl_Historique_Final[ppn_z],
        tbl_Historique_Final[Horodatage],
        ""
    ),
    Horodatage!$A$2
)</f>
        <v>46233.670796365739</v>
      </c>
      <c r="P1506" s="1" t="str">
        <f>IFERROR(IF(tbl_Historique_Final[[#This Row],[Commentaires]]&lt;&gt;"",tbl_Historique_Final[[#This Row],[Commentaires]],""),"")</f>
        <v/>
      </c>
      <c r="X1506" s="8" t="str">
        <f>IF(Final_Sans_VGE[[#This Row],[ppn_z]]="","",IFERROR(
   IF(_xlfn.XLOOKUP(Final_Sans_VGE[[#This Row],[ppn_z]],tbl_Historique_Final[ppn_z],tbl_Historique_Final[date_modif])=Final_Sans_VGE[[#This Row],[date_modif]],
      "Ancien",
      "Modifié"),
   "Nouveau"))</f>
        <v>Ancien</v>
      </c>
      <c r="AC1506"/>
      <c r="AD1506"/>
    </row>
    <row r="1507" spans="1:30" x14ac:dyDescent="0.25">
      <c r="A1507" s="5" t="s">
        <v>4685</v>
      </c>
      <c r="B1507" s="1" t="s">
        <v>9379</v>
      </c>
      <c r="C1507" s="1" t="s">
        <v>8848</v>
      </c>
      <c r="D1507" s="1" t="s">
        <v>133</v>
      </c>
      <c r="E1507" s="1" t="s">
        <v>146</v>
      </c>
      <c r="F1507" s="1" t="s">
        <v>14</v>
      </c>
      <c r="G1507" s="1" t="s">
        <v>10</v>
      </c>
      <c r="H1507" s="1" t="s">
        <v>9380</v>
      </c>
      <c r="I1507" s="1" t="s">
        <v>22</v>
      </c>
      <c r="J1507" s="3">
        <v>46141.799143518518</v>
      </c>
      <c r="K1507" s="2" t="s">
        <v>9381</v>
      </c>
      <c r="L1507" s="1">
        <v>2</v>
      </c>
      <c r="M1507" s="1">
        <v>2</v>
      </c>
      <c r="N1507">
        <v>0</v>
      </c>
      <c r="O1507" s="3">
        <f>IF(
    R1507="Ancien",
    _xlfn.XLOOKUP(
        Final_Sans_VGE[[#This Row],[ppn_z]],
        tbl_Historique_Final[ppn_z],
        tbl_Historique_Final[Horodatage],
        ""
    ),
    Horodatage!$A$2
)</f>
        <v>46233.670796365739</v>
      </c>
      <c r="P1507" s="1" t="str">
        <f>IFERROR(IF(tbl_Historique_Final[[#This Row],[Commentaires]]&lt;&gt;"",tbl_Historique_Final[[#This Row],[Commentaires]],""),"")</f>
        <v/>
      </c>
      <c r="X1507" s="8" t="str">
        <f>IF(Final_Sans_VGE[[#This Row],[ppn_z]]="","",IFERROR(
   IF(_xlfn.XLOOKUP(Final_Sans_VGE[[#This Row],[ppn_z]],tbl_Historique_Final[ppn_z],tbl_Historique_Final[date_modif])=Final_Sans_VGE[[#This Row],[date_modif]],
      "Ancien",
      "Modifié"),
   "Nouveau"))</f>
        <v>Ancien</v>
      </c>
      <c r="AC1507"/>
      <c r="AD1507"/>
    </row>
    <row r="1508" spans="1:30" ht="45" x14ac:dyDescent="0.25">
      <c r="A1508" s="5" t="s">
        <v>4688</v>
      </c>
      <c r="B1508" s="1" t="s">
        <v>9382</v>
      </c>
      <c r="C1508" s="1" t="s">
        <v>6542</v>
      </c>
      <c r="G1508" s="1" t="s">
        <v>10</v>
      </c>
      <c r="J1508" s="3">
        <v>46111.389664351853</v>
      </c>
      <c r="K1508" s="2" t="s">
        <v>9383</v>
      </c>
      <c r="L1508" s="1">
        <v>23</v>
      </c>
      <c r="M1508" s="1">
        <v>45</v>
      </c>
      <c r="N1508">
        <v>22</v>
      </c>
      <c r="O1508" s="3">
        <f>IF(
    R1508="Ancien",
    _xlfn.XLOOKUP(
        Final_Sans_VGE[[#This Row],[ppn_z]],
        tbl_Historique_Final[ppn_z],
        tbl_Historique_Final[Horodatage],
        ""
    ),
    Horodatage!$A$2
)</f>
        <v>46233.670796365739</v>
      </c>
      <c r="P1508" s="1" t="str">
        <f>IFERROR(IF(tbl_Historique_Final[[#This Row],[Commentaires]]&lt;&gt;"",tbl_Historique_Final[[#This Row],[Commentaires]],""),"")</f>
        <v/>
      </c>
      <c r="X1508" s="8" t="str">
        <f>IF(Final_Sans_VGE[[#This Row],[ppn_z]]="","",IFERROR(
   IF(_xlfn.XLOOKUP(Final_Sans_VGE[[#This Row],[ppn_z]],tbl_Historique_Final[ppn_z],tbl_Historique_Final[date_modif])=Final_Sans_VGE[[#This Row],[date_modif]],
      "Ancien",
      "Modifié"),
   "Nouveau"))</f>
        <v>Ancien</v>
      </c>
      <c r="AC1508"/>
      <c r="AD1508"/>
    </row>
    <row r="1509" spans="1:30" ht="30" x14ac:dyDescent="0.25">
      <c r="A1509" s="5" t="s">
        <v>4691</v>
      </c>
      <c r="B1509" s="1" t="s">
        <v>9384</v>
      </c>
      <c r="J1509" s="3">
        <v>46114.61005787037</v>
      </c>
      <c r="K1509" s="2" t="s">
        <v>9385</v>
      </c>
      <c r="L1509" s="1">
        <v>1</v>
      </c>
      <c r="M1509" s="1">
        <v>1</v>
      </c>
      <c r="N1509">
        <v>0</v>
      </c>
      <c r="O1509" s="3">
        <f>IF(
    R1509="Ancien",
    _xlfn.XLOOKUP(
        Final_Sans_VGE[[#This Row],[ppn_z]],
        tbl_Historique_Final[ppn_z],
        tbl_Historique_Final[Horodatage],
        ""
    ),
    Horodatage!$A$2
)</f>
        <v>46233.670796365739</v>
      </c>
      <c r="P1509" s="1" t="str">
        <f>IFERROR(IF(tbl_Historique_Final[[#This Row],[Commentaires]]&lt;&gt;"",tbl_Historique_Final[[#This Row],[Commentaires]],""),"")</f>
        <v/>
      </c>
      <c r="X1509" s="8" t="str">
        <f>IF(Final_Sans_VGE[[#This Row],[ppn_z]]="","",IFERROR(
   IF(_xlfn.XLOOKUP(Final_Sans_VGE[[#This Row],[ppn_z]],tbl_Historique_Final[ppn_z],tbl_Historique_Final[date_modif])=Final_Sans_VGE[[#This Row],[date_modif]],
      "Ancien",
      "Modifié"),
   "Nouveau"))</f>
        <v>Ancien</v>
      </c>
      <c r="AC1509"/>
      <c r="AD1509"/>
    </row>
    <row r="1510" spans="1:30" ht="30" x14ac:dyDescent="0.25">
      <c r="A1510" s="5" t="s">
        <v>4694</v>
      </c>
      <c r="B1510" s="1" t="s">
        <v>9386</v>
      </c>
      <c r="C1510" s="1" t="s">
        <v>147</v>
      </c>
      <c r="J1510" s="3">
        <v>46106.559236111112</v>
      </c>
      <c r="K1510" s="2" t="s">
        <v>9387</v>
      </c>
      <c r="L1510" s="1">
        <v>2</v>
      </c>
      <c r="M1510" s="1">
        <v>2</v>
      </c>
      <c r="N1510">
        <v>0</v>
      </c>
      <c r="O1510" s="3">
        <f>IF(
    R1510="Ancien",
    _xlfn.XLOOKUP(
        Final_Sans_VGE[[#This Row],[ppn_z]],
        tbl_Historique_Final[ppn_z],
        tbl_Historique_Final[Horodatage],
        ""
    ),
    Horodatage!$A$2
)</f>
        <v>46233.670796365739</v>
      </c>
      <c r="P1510" s="1" t="str">
        <f>IFERROR(IF(tbl_Historique_Final[[#This Row],[Commentaires]]&lt;&gt;"",tbl_Historique_Final[[#This Row],[Commentaires]],""),"")</f>
        <v/>
      </c>
      <c r="X1510" s="8" t="str">
        <f>IF(Final_Sans_VGE[[#This Row],[ppn_z]]="","",IFERROR(
   IF(_xlfn.XLOOKUP(Final_Sans_VGE[[#This Row],[ppn_z]],tbl_Historique_Final[ppn_z],tbl_Historique_Final[date_modif])=Final_Sans_VGE[[#This Row],[date_modif]],
      "Ancien",
      "Modifié"),
   "Nouveau"))</f>
        <v>Ancien</v>
      </c>
      <c r="AC1510"/>
      <c r="AD1510"/>
    </row>
    <row r="1511" spans="1:30" ht="30" x14ac:dyDescent="0.25">
      <c r="A1511" s="5" t="s">
        <v>4697</v>
      </c>
      <c r="B1511" s="1" t="s">
        <v>9388</v>
      </c>
      <c r="C1511" s="1" t="s">
        <v>28</v>
      </c>
      <c r="G1511" s="1" t="s">
        <v>11</v>
      </c>
      <c r="J1511" s="3">
        <v>46110.363495370373</v>
      </c>
      <c r="K1511" s="2" t="s">
        <v>9389</v>
      </c>
      <c r="L1511" s="1">
        <v>12</v>
      </c>
      <c r="M1511" s="1">
        <v>31</v>
      </c>
      <c r="N1511">
        <v>19</v>
      </c>
      <c r="O1511" s="3">
        <f>IF(
    R1511="Ancien",
    _xlfn.XLOOKUP(
        Final_Sans_VGE[[#This Row],[ppn_z]],
        tbl_Historique_Final[ppn_z],
        tbl_Historique_Final[Horodatage],
        ""
    ),
    Horodatage!$A$2
)</f>
        <v>46233.670796365739</v>
      </c>
      <c r="P1511" s="1" t="str">
        <f>IFERROR(IF(tbl_Historique_Final[[#This Row],[Commentaires]]&lt;&gt;"",tbl_Historique_Final[[#This Row],[Commentaires]],""),"")</f>
        <v/>
      </c>
      <c r="X1511" s="8" t="str">
        <f>IF(Final_Sans_VGE[[#This Row],[ppn_z]]="","",IFERROR(
   IF(_xlfn.XLOOKUP(Final_Sans_VGE[[#This Row],[ppn_z]],tbl_Historique_Final[ppn_z],tbl_Historique_Final[date_modif])=Final_Sans_VGE[[#This Row],[date_modif]],
      "Ancien",
      "Modifié"),
   "Nouveau"))</f>
        <v>Ancien</v>
      </c>
      <c r="AC1511"/>
      <c r="AD1511"/>
    </row>
    <row r="1512" spans="1:30" ht="30" x14ac:dyDescent="0.25">
      <c r="A1512" s="5" t="s">
        <v>4700</v>
      </c>
      <c r="B1512" s="1" t="s">
        <v>9390</v>
      </c>
      <c r="C1512" s="1" t="s">
        <v>159</v>
      </c>
      <c r="E1512" s="1" t="s">
        <v>119</v>
      </c>
      <c r="J1512" s="3">
        <v>46142.385659722226</v>
      </c>
      <c r="K1512" s="2" t="s">
        <v>9391</v>
      </c>
      <c r="L1512" s="1">
        <v>8</v>
      </c>
      <c r="M1512" s="1">
        <v>9</v>
      </c>
      <c r="N1512">
        <v>1</v>
      </c>
      <c r="O1512" s="3">
        <f>IF(
    R1512="Ancien",
    _xlfn.XLOOKUP(
        Final_Sans_VGE[[#This Row],[ppn_z]],
        tbl_Historique_Final[ppn_z],
        tbl_Historique_Final[Horodatage],
        ""
    ),
    Horodatage!$A$2
)</f>
        <v>46233.670796365739</v>
      </c>
      <c r="P1512" s="1" t="str">
        <f>IFERROR(IF(tbl_Historique_Final[[#This Row],[Commentaires]]&lt;&gt;"",tbl_Historique_Final[[#This Row],[Commentaires]],""),"")</f>
        <v/>
      </c>
      <c r="X1512" s="8" t="str">
        <f>IF(Final_Sans_VGE[[#This Row],[ppn_z]]="","",IFERROR(
   IF(_xlfn.XLOOKUP(Final_Sans_VGE[[#This Row],[ppn_z]],tbl_Historique_Final[ppn_z],tbl_Historique_Final[date_modif])=Final_Sans_VGE[[#This Row],[date_modif]],
      "Ancien",
      "Modifié"),
   "Nouveau"))</f>
        <v>Ancien</v>
      </c>
      <c r="AC1512"/>
      <c r="AD1512"/>
    </row>
    <row r="1513" spans="1:30" x14ac:dyDescent="0.25">
      <c r="A1513" s="5" t="s">
        <v>4703</v>
      </c>
      <c r="B1513" s="1" t="s">
        <v>9392</v>
      </c>
      <c r="C1513" s="1" t="s">
        <v>9203</v>
      </c>
      <c r="E1513" s="1" t="s">
        <v>61</v>
      </c>
      <c r="G1513" s="1" t="s">
        <v>11</v>
      </c>
      <c r="J1513" s="3">
        <v>46124.442453703705</v>
      </c>
      <c r="K1513" s="2" t="s">
        <v>6650</v>
      </c>
      <c r="L1513" s="1">
        <v>37</v>
      </c>
      <c r="M1513" s="1">
        <v>37</v>
      </c>
      <c r="N1513">
        <v>0</v>
      </c>
      <c r="O1513" s="3">
        <f>IF(
    R1513="Ancien",
    _xlfn.XLOOKUP(
        Final_Sans_VGE[[#This Row],[ppn_z]],
        tbl_Historique_Final[ppn_z],
        tbl_Historique_Final[Horodatage],
        ""
    ),
    Horodatage!$A$2
)</f>
        <v>46233.670796365739</v>
      </c>
      <c r="P1513" s="1" t="str">
        <f>IFERROR(IF(tbl_Historique_Final[[#This Row],[Commentaires]]&lt;&gt;"",tbl_Historique_Final[[#This Row],[Commentaires]],""),"")</f>
        <v/>
      </c>
      <c r="X1513" s="8" t="str">
        <f>IF(Final_Sans_VGE[[#This Row],[ppn_z]]="","",IFERROR(
   IF(_xlfn.XLOOKUP(Final_Sans_VGE[[#This Row],[ppn_z]],tbl_Historique_Final[ppn_z],tbl_Historique_Final[date_modif])=Final_Sans_VGE[[#This Row],[date_modif]],
      "Ancien",
      "Modifié"),
   "Nouveau"))</f>
        <v>Ancien</v>
      </c>
      <c r="AC1513"/>
      <c r="AD1513"/>
    </row>
    <row r="1514" spans="1:30" x14ac:dyDescent="0.25">
      <c r="A1514" s="5" t="s">
        <v>4706</v>
      </c>
      <c r="B1514" s="1" t="s">
        <v>9393</v>
      </c>
      <c r="C1514" s="1" t="s">
        <v>145</v>
      </c>
      <c r="D1514" s="1" t="s">
        <v>9394</v>
      </c>
      <c r="E1514" s="1" t="s">
        <v>8368</v>
      </c>
      <c r="F1514" s="1" t="s">
        <v>9395</v>
      </c>
      <c r="G1514" s="1" t="s">
        <v>10</v>
      </c>
      <c r="H1514" s="1" t="s">
        <v>22</v>
      </c>
      <c r="I1514" s="1" t="s">
        <v>22</v>
      </c>
      <c r="J1514" s="3">
        <v>46129.615254629629</v>
      </c>
      <c r="K1514" s="2" t="s">
        <v>9396</v>
      </c>
      <c r="L1514" s="1">
        <v>12</v>
      </c>
      <c r="M1514" s="1">
        <v>15</v>
      </c>
      <c r="N1514">
        <v>3</v>
      </c>
      <c r="O1514" s="3">
        <f>IF(
    R1514="Ancien",
    _xlfn.XLOOKUP(
        Final_Sans_VGE[[#This Row],[ppn_z]],
        tbl_Historique_Final[ppn_z],
        tbl_Historique_Final[Horodatage],
        ""
    ),
    Horodatage!$A$2
)</f>
        <v>46233.670796365739</v>
      </c>
      <c r="P1514" s="1" t="str">
        <f>IFERROR(IF(tbl_Historique_Final[[#This Row],[Commentaires]]&lt;&gt;"",tbl_Historique_Final[[#This Row],[Commentaires]],""),"")</f>
        <v/>
      </c>
      <c r="X1514" s="8" t="str">
        <f>IF(Final_Sans_VGE[[#This Row],[ppn_z]]="","",IFERROR(
   IF(_xlfn.XLOOKUP(Final_Sans_VGE[[#This Row],[ppn_z]],tbl_Historique_Final[ppn_z],tbl_Historique_Final[date_modif])=Final_Sans_VGE[[#This Row],[date_modif]],
      "Ancien",
      "Modifié"),
   "Nouveau"))</f>
        <v>Ancien</v>
      </c>
      <c r="AC1514"/>
      <c r="AD1514"/>
    </row>
    <row r="1515" spans="1:30" ht="45" x14ac:dyDescent="0.25">
      <c r="A1515" s="5" t="s">
        <v>4709</v>
      </c>
      <c r="B1515" s="1" t="s">
        <v>9397</v>
      </c>
      <c r="C1515" s="1" t="s">
        <v>147</v>
      </c>
      <c r="E1515" s="1" t="s">
        <v>7546</v>
      </c>
      <c r="J1515" s="3">
        <v>46126.515625</v>
      </c>
      <c r="K1515" s="2" t="s">
        <v>9398</v>
      </c>
      <c r="L1515" s="1">
        <v>9</v>
      </c>
      <c r="M1515" s="1">
        <v>9</v>
      </c>
      <c r="N1515">
        <v>0</v>
      </c>
      <c r="O1515" s="3">
        <f>IF(
    R1515="Ancien",
    _xlfn.XLOOKUP(
        Final_Sans_VGE[[#This Row],[ppn_z]],
        tbl_Historique_Final[ppn_z],
        tbl_Historique_Final[Horodatage],
        ""
    ),
    Horodatage!$A$2
)</f>
        <v>46233.670796365739</v>
      </c>
      <c r="P1515" s="1" t="str">
        <f>IFERROR(IF(tbl_Historique_Final[[#This Row],[Commentaires]]&lt;&gt;"",tbl_Historique_Final[[#This Row],[Commentaires]],""),"")</f>
        <v/>
      </c>
      <c r="X1515" s="8" t="str">
        <f>IF(Final_Sans_VGE[[#This Row],[ppn_z]]="","",IFERROR(
   IF(_xlfn.XLOOKUP(Final_Sans_VGE[[#This Row],[ppn_z]],tbl_Historique_Final[ppn_z],tbl_Historique_Final[date_modif])=Final_Sans_VGE[[#This Row],[date_modif]],
      "Ancien",
      "Modifié"),
   "Nouveau"))</f>
        <v>Ancien</v>
      </c>
      <c r="AC1515"/>
      <c r="AD1515"/>
    </row>
    <row r="1516" spans="1:30" ht="75" x14ac:dyDescent="0.25">
      <c r="A1516" s="5" t="s">
        <v>4712</v>
      </c>
      <c r="B1516" s="1" t="s">
        <v>9399</v>
      </c>
      <c r="C1516" s="1" t="s">
        <v>32</v>
      </c>
      <c r="E1516" s="1" t="s">
        <v>142</v>
      </c>
      <c r="J1516" s="3">
        <v>46147.559108796297</v>
      </c>
      <c r="K1516" s="2" t="s">
        <v>9400</v>
      </c>
      <c r="L1516" s="1">
        <v>0</v>
      </c>
      <c r="M1516" s="1">
        <v>0</v>
      </c>
      <c r="N1516">
        <v>0</v>
      </c>
      <c r="O1516" s="3">
        <f>IF(
    R1516="Ancien",
    _xlfn.XLOOKUP(
        Final_Sans_VGE[[#This Row],[ppn_z]],
        tbl_Historique_Final[ppn_z],
        tbl_Historique_Final[Horodatage],
        ""
    ),
    Horodatage!$A$2
)</f>
        <v>46233.670796365739</v>
      </c>
      <c r="P1516" s="1" t="str">
        <f>IFERROR(IF(tbl_Historique_Final[[#This Row],[Commentaires]]&lt;&gt;"",tbl_Historique_Final[[#This Row],[Commentaires]],""),"")</f>
        <v/>
      </c>
      <c r="X1516" s="8" t="str">
        <f>IF(Final_Sans_VGE[[#This Row],[ppn_z]]="","",IFERROR(
   IF(_xlfn.XLOOKUP(Final_Sans_VGE[[#This Row],[ppn_z]],tbl_Historique_Final[ppn_z],tbl_Historique_Final[date_modif])=Final_Sans_VGE[[#This Row],[date_modif]],
      "Ancien",
      "Modifié"),
   "Nouveau"))</f>
        <v>Ancien</v>
      </c>
      <c r="AC1516"/>
      <c r="AD1516"/>
    </row>
    <row r="1517" spans="1:30" ht="30" x14ac:dyDescent="0.25">
      <c r="A1517" s="5" t="s">
        <v>4715</v>
      </c>
      <c r="B1517" s="1" t="s">
        <v>9401</v>
      </c>
      <c r="C1517" s="1" t="s">
        <v>123</v>
      </c>
      <c r="J1517" s="3">
        <v>46148.745763888888</v>
      </c>
      <c r="K1517" s="2" t="s">
        <v>9402</v>
      </c>
      <c r="L1517" s="1">
        <v>9</v>
      </c>
      <c r="M1517" s="1">
        <v>10</v>
      </c>
      <c r="N1517">
        <v>1</v>
      </c>
      <c r="O1517" s="3">
        <f>IF(
    R1517="Ancien",
    _xlfn.XLOOKUP(
        Final_Sans_VGE[[#This Row],[ppn_z]],
        tbl_Historique_Final[ppn_z],
        tbl_Historique_Final[Horodatage],
        ""
    ),
    Horodatage!$A$2
)</f>
        <v>46233.670796365739</v>
      </c>
      <c r="P1517" s="1" t="str">
        <f>IFERROR(IF(tbl_Historique_Final[[#This Row],[Commentaires]]&lt;&gt;"",tbl_Historique_Final[[#This Row],[Commentaires]],""),"")</f>
        <v/>
      </c>
      <c r="X1517" s="8" t="str">
        <f>IF(Final_Sans_VGE[[#This Row],[ppn_z]]="","",IFERROR(
   IF(_xlfn.XLOOKUP(Final_Sans_VGE[[#This Row],[ppn_z]],tbl_Historique_Final[ppn_z],tbl_Historique_Final[date_modif])=Final_Sans_VGE[[#This Row],[date_modif]],
      "Ancien",
      "Modifié"),
   "Nouveau"))</f>
        <v>Ancien</v>
      </c>
      <c r="AC1517"/>
      <c r="AD1517"/>
    </row>
    <row r="1518" spans="1:30" x14ac:dyDescent="0.25">
      <c r="A1518" s="5" t="s">
        <v>4718</v>
      </c>
      <c r="B1518" s="1" t="s">
        <v>9403</v>
      </c>
      <c r="C1518" s="1" t="s">
        <v>56</v>
      </c>
      <c r="D1518" s="1" t="s">
        <v>9404</v>
      </c>
      <c r="G1518" s="1" t="s">
        <v>10</v>
      </c>
      <c r="H1518" s="1" t="s">
        <v>22</v>
      </c>
      <c r="I1518" s="1" t="s">
        <v>22</v>
      </c>
      <c r="J1518" s="3">
        <v>46152.370381944442</v>
      </c>
      <c r="K1518" s="2" t="s">
        <v>9405</v>
      </c>
      <c r="L1518" s="1">
        <v>26</v>
      </c>
      <c r="M1518" s="1">
        <v>29</v>
      </c>
      <c r="N1518">
        <v>3</v>
      </c>
      <c r="O1518" s="3">
        <f>IF(
    R1518="Ancien",
    _xlfn.XLOOKUP(
        Final_Sans_VGE[[#This Row],[ppn_z]],
        tbl_Historique_Final[ppn_z],
        tbl_Historique_Final[Horodatage],
        ""
    ),
    Horodatage!$A$2
)</f>
        <v>46233.670796365739</v>
      </c>
      <c r="P1518" s="1" t="str">
        <f>IFERROR(IF(tbl_Historique_Final[[#This Row],[Commentaires]]&lt;&gt;"",tbl_Historique_Final[[#This Row],[Commentaires]],""),"")</f>
        <v/>
      </c>
      <c r="X1518" s="8" t="str">
        <f>IF(Final_Sans_VGE[[#This Row],[ppn_z]]="","",IFERROR(
   IF(_xlfn.XLOOKUP(Final_Sans_VGE[[#This Row],[ppn_z]],tbl_Historique_Final[ppn_z],tbl_Historique_Final[date_modif])=Final_Sans_VGE[[#This Row],[date_modif]],
      "Ancien",
      "Modifié"),
   "Nouveau"))</f>
        <v>Ancien</v>
      </c>
      <c r="AC1518"/>
      <c r="AD1518"/>
    </row>
    <row r="1519" spans="1:30" x14ac:dyDescent="0.25">
      <c r="A1519" s="5" t="s">
        <v>4721</v>
      </c>
      <c r="B1519" s="1" t="s">
        <v>9406</v>
      </c>
      <c r="C1519" s="1" t="s">
        <v>36</v>
      </c>
      <c r="D1519" s="1" t="s">
        <v>14</v>
      </c>
      <c r="G1519" s="1" t="s">
        <v>10</v>
      </c>
      <c r="H1519" s="1" t="s">
        <v>22</v>
      </c>
      <c r="I1519" s="1" t="s">
        <v>22</v>
      </c>
      <c r="J1519" s="3">
        <v>46138.439895833333</v>
      </c>
      <c r="K1519" s="2" t="s">
        <v>9407</v>
      </c>
      <c r="L1519" s="1">
        <v>0</v>
      </c>
      <c r="M1519" s="1">
        <v>12</v>
      </c>
      <c r="N1519">
        <v>12</v>
      </c>
      <c r="O1519" s="3">
        <f>IF(
    R1519="Ancien",
    _xlfn.XLOOKUP(
        Final_Sans_VGE[[#This Row],[ppn_z]],
        tbl_Historique_Final[ppn_z],
        tbl_Historique_Final[Horodatage],
        ""
    ),
    Horodatage!$A$2
)</f>
        <v>46233.670796365739</v>
      </c>
      <c r="P1519" s="1" t="str">
        <f>IFERROR(IF(tbl_Historique_Final[[#This Row],[Commentaires]]&lt;&gt;"",tbl_Historique_Final[[#This Row],[Commentaires]],""),"")</f>
        <v/>
      </c>
      <c r="X1519" s="8" t="str">
        <f>IF(Final_Sans_VGE[[#This Row],[ppn_z]]="","",IFERROR(
   IF(_xlfn.XLOOKUP(Final_Sans_VGE[[#This Row],[ppn_z]],tbl_Historique_Final[ppn_z],tbl_Historique_Final[date_modif])=Final_Sans_VGE[[#This Row],[date_modif]],
      "Ancien",
      "Modifié"),
   "Nouveau"))</f>
        <v>Ancien</v>
      </c>
      <c r="AC1519"/>
      <c r="AD1519"/>
    </row>
    <row r="1520" spans="1:30" x14ac:dyDescent="0.25">
      <c r="A1520" s="5" t="s">
        <v>4724</v>
      </c>
      <c r="B1520" s="1" t="s">
        <v>9408</v>
      </c>
      <c r="C1520" s="1" t="s">
        <v>12</v>
      </c>
      <c r="G1520" s="1" t="s">
        <v>10</v>
      </c>
      <c r="J1520" s="3">
        <v>46111.634027777778</v>
      </c>
      <c r="K1520" s="2" t="s">
        <v>9409</v>
      </c>
      <c r="L1520" s="1">
        <v>1</v>
      </c>
      <c r="M1520" s="1">
        <v>1</v>
      </c>
      <c r="N1520">
        <v>0</v>
      </c>
      <c r="O1520" s="3">
        <f>IF(
    R1520="Ancien",
    _xlfn.XLOOKUP(
        Final_Sans_VGE[[#This Row],[ppn_z]],
        tbl_Historique_Final[ppn_z],
        tbl_Historique_Final[Horodatage],
        ""
    ),
    Horodatage!$A$2
)</f>
        <v>46233.670796365739</v>
      </c>
      <c r="P1520" s="1" t="str">
        <f>IFERROR(IF(tbl_Historique_Final[[#This Row],[Commentaires]]&lt;&gt;"",tbl_Historique_Final[[#This Row],[Commentaires]],""),"")</f>
        <v/>
      </c>
      <c r="X1520" s="8" t="str">
        <f>IF(Final_Sans_VGE[[#This Row],[ppn_z]]="","",IFERROR(
   IF(_xlfn.XLOOKUP(Final_Sans_VGE[[#This Row],[ppn_z]],tbl_Historique_Final[ppn_z],tbl_Historique_Final[date_modif])=Final_Sans_VGE[[#This Row],[date_modif]],
      "Ancien",
      "Modifié"),
   "Nouveau"))</f>
        <v>Ancien</v>
      </c>
      <c r="AC1520"/>
      <c r="AD1520"/>
    </row>
    <row r="1521" spans="1:30" x14ac:dyDescent="0.25">
      <c r="A1521" s="5" t="s">
        <v>4727</v>
      </c>
      <c r="B1521" s="1" t="s">
        <v>9410</v>
      </c>
      <c r="C1521" s="1" t="s">
        <v>89</v>
      </c>
      <c r="E1521" s="1" t="s">
        <v>108</v>
      </c>
      <c r="G1521" s="1" t="s">
        <v>10</v>
      </c>
      <c r="J1521" s="3">
        <v>46112.586365740739</v>
      </c>
      <c r="K1521" s="2" t="s">
        <v>9411</v>
      </c>
      <c r="L1521" s="1">
        <v>2</v>
      </c>
      <c r="M1521" s="1">
        <v>2</v>
      </c>
      <c r="N1521">
        <v>0</v>
      </c>
      <c r="O1521" s="3">
        <f>IF(
    R1521="Ancien",
    _xlfn.XLOOKUP(
        Final_Sans_VGE[[#This Row],[ppn_z]],
        tbl_Historique_Final[ppn_z],
        tbl_Historique_Final[Horodatage],
        ""
    ),
    Horodatage!$A$2
)</f>
        <v>46233.670796365739</v>
      </c>
      <c r="P1521" s="1" t="str">
        <f>IFERROR(IF(tbl_Historique_Final[[#This Row],[Commentaires]]&lt;&gt;"",tbl_Historique_Final[[#This Row],[Commentaires]],""),"")</f>
        <v/>
      </c>
      <c r="X1521" s="8" t="str">
        <f>IF(Final_Sans_VGE[[#This Row],[ppn_z]]="","",IFERROR(
   IF(_xlfn.XLOOKUP(Final_Sans_VGE[[#This Row],[ppn_z]],tbl_Historique_Final[ppn_z],tbl_Historique_Final[date_modif])=Final_Sans_VGE[[#This Row],[date_modif]],
      "Ancien",
      "Modifié"),
   "Nouveau"))</f>
        <v>Ancien</v>
      </c>
      <c r="AC1521"/>
      <c r="AD1521"/>
    </row>
    <row r="1522" spans="1:30" x14ac:dyDescent="0.25">
      <c r="A1522" s="5" t="s">
        <v>4730</v>
      </c>
      <c r="B1522" s="1" t="s">
        <v>9412</v>
      </c>
      <c r="C1522" s="1" t="s">
        <v>6694</v>
      </c>
      <c r="H1522" s="1" t="s">
        <v>22</v>
      </c>
      <c r="I1522" s="1" t="s">
        <v>22</v>
      </c>
      <c r="J1522" s="3">
        <v>46052.749166666668</v>
      </c>
      <c r="L1522" s="1">
        <v>260</v>
      </c>
      <c r="M1522" s="1">
        <v>349</v>
      </c>
      <c r="N1522">
        <v>89</v>
      </c>
      <c r="O1522" s="3">
        <f>IF(
    R1522="Ancien",
    _xlfn.XLOOKUP(
        Final_Sans_VGE[[#This Row],[ppn_z]],
        tbl_Historique_Final[ppn_z],
        tbl_Historique_Final[Horodatage],
        ""
    ),
    Horodatage!$A$2
)</f>
        <v>46233.670796365739</v>
      </c>
      <c r="P1522" s="1" t="str">
        <f>IFERROR(IF(tbl_Historique_Final[[#This Row],[Commentaires]]&lt;&gt;"",tbl_Historique_Final[[#This Row],[Commentaires]],""),"")</f>
        <v/>
      </c>
      <c r="X1522" s="8" t="str">
        <f>IF(Final_Sans_VGE[[#This Row],[ppn_z]]="","",IFERROR(
   IF(_xlfn.XLOOKUP(Final_Sans_VGE[[#This Row],[ppn_z]],tbl_Historique_Final[ppn_z],tbl_Historique_Final[date_modif])=Final_Sans_VGE[[#This Row],[date_modif]],
      "Ancien",
      "Modifié"),
   "Nouveau"))</f>
        <v>Ancien</v>
      </c>
      <c r="AC1522"/>
      <c r="AD1522"/>
    </row>
    <row r="1523" spans="1:30" x14ac:dyDescent="0.25">
      <c r="A1523" s="5" t="s">
        <v>4733</v>
      </c>
      <c r="B1523" s="1" t="s">
        <v>9413</v>
      </c>
      <c r="C1523" s="1" t="s">
        <v>61</v>
      </c>
      <c r="G1523" s="1" t="s">
        <v>11</v>
      </c>
      <c r="J1523" s="3">
        <v>46136.499675925923</v>
      </c>
      <c r="K1523" s="2" t="s">
        <v>9414</v>
      </c>
      <c r="L1523" s="1">
        <v>1</v>
      </c>
      <c r="M1523" s="1">
        <v>1</v>
      </c>
      <c r="N1523">
        <v>0</v>
      </c>
      <c r="O1523" s="3">
        <f>IF(
    R1523="Ancien",
    _xlfn.XLOOKUP(
        Final_Sans_VGE[[#This Row],[ppn_z]],
        tbl_Historique_Final[ppn_z],
        tbl_Historique_Final[Horodatage],
        ""
    ),
    Horodatage!$A$2
)</f>
        <v>46233.670796365739</v>
      </c>
      <c r="P1523" s="1" t="str">
        <f>IFERROR(IF(tbl_Historique_Final[[#This Row],[Commentaires]]&lt;&gt;"",tbl_Historique_Final[[#This Row],[Commentaires]],""),"")</f>
        <v/>
      </c>
      <c r="X1523" s="8" t="str">
        <f>IF(Final_Sans_VGE[[#This Row],[ppn_z]]="","",IFERROR(
   IF(_xlfn.XLOOKUP(Final_Sans_VGE[[#This Row],[ppn_z]],tbl_Historique_Final[ppn_z],tbl_Historique_Final[date_modif])=Final_Sans_VGE[[#This Row],[date_modif]],
      "Ancien",
      "Modifié"),
   "Nouveau"))</f>
        <v>Ancien</v>
      </c>
      <c r="AC1523"/>
      <c r="AD1523"/>
    </row>
    <row r="1524" spans="1:30" ht="30" x14ac:dyDescent="0.25">
      <c r="A1524" s="5" t="s">
        <v>4736</v>
      </c>
      <c r="B1524" s="1" t="s">
        <v>9415</v>
      </c>
      <c r="C1524" s="1" t="s">
        <v>7546</v>
      </c>
      <c r="E1524" s="1" t="s">
        <v>123</v>
      </c>
      <c r="J1524" s="3">
        <v>46148.737060185187</v>
      </c>
      <c r="K1524" s="2" t="s">
        <v>9416</v>
      </c>
      <c r="L1524" s="1">
        <v>2</v>
      </c>
      <c r="M1524" s="1">
        <v>4</v>
      </c>
      <c r="N1524">
        <v>2</v>
      </c>
      <c r="O1524" s="3">
        <f>IF(
    R1524="Ancien",
    _xlfn.XLOOKUP(
        Final_Sans_VGE[[#This Row],[ppn_z]],
        tbl_Historique_Final[ppn_z],
        tbl_Historique_Final[Horodatage],
        ""
    ),
    Horodatage!$A$2
)</f>
        <v>46233.670796365739</v>
      </c>
      <c r="P1524" s="1" t="str">
        <f>IFERROR(IF(tbl_Historique_Final[[#This Row],[Commentaires]]&lt;&gt;"",tbl_Historique_Final[[#This Row],[Commentaires]],""),"")</f>
        <v/>
      </c>
      <c r="X1524" s="8" t="str">
        <f>IF(Final_Sans_VGE[[#This Row],[ppn_z]]="","",IFERROR(
   IF(_xlfn.XLOOKUP(Final_Sans_VGE[[#This Row],[ppn_z]],tbl_Historique_Final[ppn_z],tbl_Historique_Final[date_modif])=Final_Sans_VGE[[#This Row],[date_modif]],
      "Ancien",
      "Modifié"),
   "Nouveau"))</f>
        <v>Ancien</v>
      </c>
      <c r="AC1524"/>
      <c r="AD1524"/>
    </row>
    <row r="1525" spans="1:30" x14ac:dyDescent="0.25">
      <c r="A1525" s="5" t="s">
        <v>4739</v>
      </c>
      <c r="B1525" s="1" t="s">
        <v>9417</v>
      </c>
      <c r="C1525" s="1" t="s">
        <v>6353</v>
      </c>
      <c r="D1525" s="1" t="s">
        <v>14</v>
      </c>
      <c r="E1525" s="1" t="s">
        <v>109</v>
      </c>
      <c r="F1525" s="1" t="s">
        <v>14</v>
      </c>
      <c r="G1525" s="1" t="s">
        <v>10</v>
      </c>
      <c r="H1525" s="1" t="s">
        <v>22</v>
      </c>
      <c r="I1525" s="1" t="s">
        <v>22</v>
      </c>
      <c r="J1525" s="3">
        <v>46153.331932870373</v>
      </c>
      <c r="K1525" s="2" t="s">
        <v>9418</v>
      </c>
      <c r="L1525" s="1">
        <v>17</v>
      </c>
      <c r="M1525" s="1">
        <v>21</v>
      </c>
      <c r="N1525">
        <v>4</v>
      </c>
      <c r="O1525" s="3">
        <f>IF(
    R1525="Ancien",
    _xlfn.XLOOKUP(
        Final_Sans_VGE[[#This Row],[ppn_z]],
        tbl_Historique_Final[ppn_z],
        tbl_Historique_Final[Horodatage],
        ""
    ),
    Horodatage!$A$2
)</f>
        <v>46233.670796365739</v>
      </c>
      <c r="P1525" s="1" t="str">
        <f>IFERROR(IF(tbl_Historique_Final[[#This Row],[Commentaires]]&lt;&gt;"",tbl_Historique_Final[[#This Row],[Commentaires]],""),"")</f>
        <v/>
      </c>
      <c r="X1525" s="8" t="str">
        <f>IF(Final_Sans_VGE[[#This Row],[ppn_z]]="","",IFERROR(
   IF(_xlfn.XLOOKUP(Final_Sans_VGE[[#This Row],[ppn_z]],tbl_Historique_Final[ppn_z],tbl_Historique_Final[date_modif])=Final_Sans_VGE[[#This Row],[date_modif]],
      "Ancien",
      "Modifié"),
   "Nouveau"))</f>
        <v>Ancien</v>
      </c>
      <c r="AC1525"/>
      <c r="AD1525"/>
    </row>
    <row r="1526" spans="1:30" x14ac:dyDescent="0.25">
      <c r="A1526" s="5" t="s">
        <v>4742</v>
      </c>
      <c r="B1526" s="1" t="s">
        <v>9419</v>
      </c>
      <c r="C1526" s="1" t="s">
        <v>6444</v>
      </c>
      <c r="D1526" s="1" t="s">
        <v>14</v>
      </c>
      <c r="E1526" s="1" t="s">
        <v>7172</v>
      </c>
      <c r="F1526" s="1" t="s">
        <v>8605</v>
      </c>
      <c r="G1526" s="1" t="s">
        <v>10</v>
      </c>
      <c r="H1526" s="1" t="s">
        <v>22</v>
      </c>
      <c r="I1526" s="1" t="s">
        <v>9420</v>
      </c>
      <c r="J1526" s="3">
        <v>46153.338194444441</v>
      </c>
      <c r="K1526" s="2" t="s">
        <v>8873</v>
      </c>
      <c r="L1526" s="1">
        <v>10</v>
      </c>
      <c r="M1526" s="1">
        <v>11</v>
      </c>
      <c r="N1526">
        <v>1</v>
      </c>
      <c r="O1526" s="3">
        <f>IF(
    R1526="Ancien",
    _xlfn.XLOOKUP(
        Final_Sans_VGE[[#This Row],[ppn_z]],
        tbl_Historique_Final[ppn_z],
        tbl_Historique_Final[Horodatage],
        ""
    ),
    Horodatage!$A$2
)</f>
        <v>46233.670796365739</v>
      </c>
      <c r="P1526" s="1" t="str">
        <f>IFERROR(IF(tbl_Historique_Final[[#This Row],[Commentaires]]&lt;&gt;"",tbl_Historique_Final[[#This Row],[Commentaires]],""),"")</f>
        <v/>
      </c>
      <c r="X1526" s="8" t="str">
        <f>IF(Final_Sans_VGE[[#This Row],[ppn_z]]="","",IFERROR(
   IF(_xlfn.XLOOKUP(Final_Sans_VGE[[#This Row],[ppn_z]],tbl_Historique_Final[ppn_z],tbl_Historique_Final[date_modif])=Final_Sans_VGE[[#This Row],[date_modif]],
      "Ancien",
      "Modifié"),
   "Nouveau"))</f>
        <v>Ancien</v>
      </c>
      <c r="AC1526"/>
      <c r="AD1526"/>
    </row>
    <row r="1527" spans="1:30" ht="30" x14ac:dyDescent="0.25">
      <c r="A1527" s="5" t="s">
        <v>4745</v>
      </c>
      <c r="B1527" s="1" t="s">
        <v>9421</v>
      </c>
      <c r="C1527" s="1" t="s">
        <v>6615</v>
      </c>
      <c r="D1527" s="1" t="s">
        <v>14</v>
      </c>
      <c r="E1527" s="1" t="s">
        <v>6559</v>
      </c>
      <c r="F1527" s="1" t="s">
        <v>8301</v>
      </c>
      <c r="G1527" s="1" t="s">
        <v>10</v>
      </c>
      <c r="H1527" s="1" t="s">
        <v>22</v>
      </c>
      <c r="I1527" s="1" t="s">
        <v>22</v>
      </c>
      <c r="J1527" s="3">
        <v>46139.721875000003</v>
      </c>
      <c r="K1527" s="2" t="s">
        <v>9422</v>
      </c>
      <c r="L1527" s="1">
        <v>32</v>
      </c>
      <c r="M1527" s="1">
        <v>32</v>
      </c>
      <c r="N1527">
        <v>0</v>
      </c>
      <c r="O1527" s="3">
        <f>IF(
    R1527="Ancien",
    _xlfn.XLOOKUP(
        Final_Sans_VGE[[#This Row],[ppn_z]],
        tbl_Historique_Final[ppn_z],
        tbl_Historique_Final[Horodatage],
        ""
    ),
    Horodatage!$A$2
)</f>
        <v>46233.670796365739</v>
      </c>
      <c r="P1527" s="1" t="str">
        <f>IFERROR(IF(tbl_Historique_Final[[#This Row],[Commentaires]]&lt;&gt;"",tbl_Historique_Final[[#This Row],[Commentaires]],""),"")</f>
        <v/>
      </c>
      <c r="X1527" s="8" t="str">
        <f>IF(Final_Sans_VGE[[#This Row],[ppn_z]]="","",IFERROR(
   IF(_xlfn.XLOOKUP(Final_Sans_VGE[[#This Row],[ppn_z]],tbl_Historique_Final[ppn_z],tbl_Historique_Final[date_modif])=Final_Sans_VGE[[#This Row],[date_modif]],
      "Ancien",
      "Modifié"),
   "Nouveau"))</f>
        <v>Ancien</v>
      </c>
      <c r="AC1527"/>
      <c r="AD1527"/>
    </row>
    <row r="1528" spans="1:30" x14ac:dyDescent="0.25">
      <c r="A1528" s="5" t="s">
        <v>4748</v>
      </c>
      <c r="B1528" s="1" t="s">
        <v>9423</v>
      </c>
      <c r="C1528" s="1" t="s">
        <v>9424</v>
      </c>
      <c r="D1528" s="1" t="s">
        <v>14</v>
      </c>
      <c r="E1528" s="1" t="s">
        <v>8814</v>
      </c>
      <c r="F1528" s="1" t="s">
        <v>9425</v>
      </c>
      <c r="H1528" s="1" t="s">
        <v>22</v>
      </c>
      <c r="I1528" s="1" t="s">
        <v>22</v>
      </c>
      <c r="J1528" s="3">
        <v>46166.38690972222</v>
      </c>
      <c r="K1528" s="2" t="s">
        <v>9426</v>
      </c>
      <c r="L1528" s="1">
        <v>85</v>
      </c>
      <c r="M1528" s="1">
        <v>91</v>
      </c>
      <c r="N1528">
        <v>6</v>
      </c>
      <c r="O1528" s="3">
        <f>IF(
    R1528="Ancien",
    _xlfn.XLOOKUP(
        Final_Sans_VGE[[#This Row],[ppn_z]],
        tbl_Historique_Final[ppn_z],
        tbl_Historique_Final[Horodatage],
        ""
    ),
    Horodatage!$A$2
)</f>
        <v>46233.670796365739</v>
      </c>
      <c r="P1528" s="1" t="str">
        <f>IFERROR(IF(tbl_Historique_Final[[#This Row],[Commentaires]]&lt;&gt;"",tbl_Historique_Final[[#This Row],[Commentaires]],""),"")</f>
        <v/>
      </c>
      <c r="X1528" s="8" t="str">
        <f>IF(Final_Sans_VGE[[#This Row],[ppn_z]]="","",IFERROR(
   IF(_xlfn.XLOOKUP(Final_Sans_VGE[[#This Row],[ppn_z]],tbl_Historique_Final[ppn_z],tbl_Historique_Final[date_modif])=Final_Sans_VGE[[#This Row],[date_modif]],
      "Ancien",
      "Modifié"),
   "Nouveau"))</f>
        <v>Ancien</v>
      </c>
      <c r="AC1528"/>
      <c r="AD1528"/>
    </row>
    <row r="1529" spans="1:30" x14ac:dyDescent="0.25">
      <c r="A1529" s="5" t="s">
        <v>4751</v>
      </c>
      <c r="B1529" s="1" t="s">
        <v>9427</v>
      </c>
      <c r="C1529" s="1" t="s">
        <v>152</v>
      </c>
      <c r="E1529" s="1" t="s">
        <v>159</v>
      </c>
      <c r="J1529" s="3">
        <v>46142.380995370368</v>
      </c>
      <c r="K1529" s="2" t="s">
        <v>9428</v>
      </c>
      <c r="L1529" s="1">
        <v>29</v>
      </c>
      <c r="M1529" s="1">
        <v>35</v>
      </c>
      <c r="N1529">
        <v>6</v>
      </c>
      <c r="O1529" s="3">
        <f>IF(
    R1529="Ancien",
    _xlfn.XLOOKUP(
        Final_Sans_VGE[[#This Row],[ppn_z]],
        tbl_Historique_Final[ppn_z],
        tbl_Historique_Final[Horodatage],
        ""
    ),
    Horodatage!$A$2
)</f>
        <v>46233.670796365739</v>
      </c>
      <c r="P1529" s="1" t="str">
        <f>IFERROR(IF(tbl_Historique_Final[[#This Row],[Commentaires]]&lt;&gt;"",tbl_Historique_Final[[#This Row],[Commentaires]],""),"")</f>
        <v/>
      </c>
      <c r="X1529" s="8" t="str">
        <f>IF(Final_Sans_VGE[[#This Row],[ppn_z]]="","",IFERROR(
   IF(_xlfn.XLOOKUP(Final_Sans_VGE[[#This Row],[ppn_z]],tbl_Historique_Final[ppn_z],tbl_Historique_Final[date_modif])=Final_Sans_VGE[[#This Row],[date_modif]],
      "Ancien",
      "Modifié"),
   "Nouveau"))</f>
        <v>Ancien</v>
      </c>
      <c r="AC1529"/>
      <c r="AD1529"/>
    </row>
    <row r="1530" spans="1:30" ht="45" x14ac:dyDescent="0.25">
      <c r="A1530" s="5" t="s">
        <v>4754</v>
      </c>
      <c r="B1530" s="1" t="s">
        <v>9429</v>
      </c>
      <c r="C1530" s="1" t="s">
        <v>8959</v>
      </c>
      <c r="D1530" s="1" t="s">
        <v>7437</v>
      </c>
      <c r="E1530" s="1" t="s">
        <v>54</v>
      </c>
      <c r="F1530" s="1" t="s">
        <v>8920</v>
      </c>
      <c r="G1530" s="1" t="s">
        <v>10</v>
      </c>
      <c r="H1530" s="1" t="s">
        <v>22</v>
      </c>
      <c r="I1530" s="1" t="s">
        <v>22</v>
      </c>
      <c r="J1530" s="3">
        <v>46113.48337962963</v>
      </c>
      <c r="K1530" s="2" t="s">
        <v>9430</v>
      </c>
      <c r="L1530" s="1">
        <v>1</v>
      </c>
      <c r="M1530" s="1">
        <v>2</v>
      </c>
      <c r="N1530">
        <v>1</v>
      </c>
      <c r="O1530" s="3">
        <f>IF(
    R1530="Ancien",
    _xlfn.XLOOKUP(
        Final_Sans_VGE[[#This Row],[ppn_z]],
        tbl_Historique_Final[ppn_z],
        tbl_Historique_Final[Horodatage],
        ""
    ),
    Horodatage!$A$2
)</f>
        <v>46233.670796365739</v>
      </c>
      <c r="P1530" s="1" t="str">
        <f>IFERROR(IF(tbl_Historique_Final[[#This Row],[Commentaires]]&lt;&gt;"",tbl_Historique_Final[[#This Row],[Commentaires]],""),"")</f>
        <v/>
      </c>
      <c r="X1530" s="8" t="str">
        <f>IF(Final_Sans_VGE[[#This Row],[ppn_z]]="","",IFERROR(
   IF(_xlfn.XLOOKUP(Final_Sans_VGE[[#This Row],[ppn_z]],tbl_Historique_Final[ppn_z],tbl_Historique_Final[date_modif])=Final_Sans_VGE[[#This Row],[date_modif]],
      "Ancien",
      "Modifié"),
   "Nouveau"))</f>
        <v>Ancien</v>
      </c>
      <c r="AC1530"/>
      <c r="AD1530"/>
    </row>
    <row r="1531" spans="1:30" ht="45" x14ac:dyDescent="0.25">
      <c r="A1531" s="5" t="s">
        <v>4757</v>
      </c>
      <c r="B1531" s="1" t="s">
        <v>9431</v>
      </c>
      <c r="C1531" s="1" t="s">
        <v>9104</v>
      </c>
      <c r="E1531" s="1" t="s">
        <v>8703</v>
      </c>
      <c r="G1531" s="1" t="s">
        <v>10</v>
      </c>
      <c r="J1531" s="3">
        <v>46142.719155092593</v>
      </c>
      <c r="K1531" s="2" t="s">
        <v>9432</v>
      </c>
      <c r="L1531" s="1">
        <v>33</v>
      </c>
      <c r="M1531" s="1">
        <v>33</v>
      </c>
      <c r="N1531">
        <v>0</v>
      </c>
      <c r="O1531" s="3">
        <f>IF(
    R1531="Ancien",
    _xlfn.XLOOKUP(
        Final_Sans_VGE[[#This Row],[ppn_z]],
        tbl_Historique_Final[ppn_z],
        tbl_Historique_Final[Horodatage],
        ""
    ),
    Horodatage!$A$2
)</f>
        <v>46233.670796365739</v>
      </c>
      <c r="P1531" s="1" t="str">
        <f>IFERROR(IF(tbl_Historique_Final[[#This Row],[Commentaires]]&lt;&gt;"",tbl_Historique_Final[[#This Row],[Commentaires]],""),"")</f>
        <v/>
      </c>
      <c r="X1531" s="8" t="str">
        <f>IF(Final_Sans_VGE[[#This Row],[ppn_z]]="","",IFERROR(
   IF(_xlfn.XLOOKUP(Final_Sans_VGE[[#This Row],[ppn_z]],tbl_Historique_Final[ppn_z],tbl_Historique_Final[date_modif])=Final_Sans_VGE[[#This Row],[date_modif]],
      "Ancien",
      "Modifié"),
   "Nouveau"))</f>
        <v>Ancien</v>
      </c>
      <c r="AC1531"/>
      <c r="AD1531"/>
    </row>
    <row r="1532" spans="1:30" x14ac:dyDescent="0.25">
      <c r="A1532" s="5" t="s">
        <v>4760</v>
      </c>
      <c r="B1532" s="1" t="s">
        <v>9433</v>
      </c>
      <c r="C1532" s="1" t="s">
        <v>9434</v>
      </c>
      <c r="E1532" s="1" t="s">
        <v>31</v>
      </c>
      <c r="G1532" s="1" t="s">
        <v>10</v>
      </c>
      <c r="J1532" s="3">
        <v>46131.356469907405</v>
      </c>
      <c r="K1532" s="2" t="s">
        <v>9435</v>
      </c>
      <c r="L1532" s="1">
        <v>0</v>
      </c>
      <c r="M1532" s="1">
        <v>0</v>
      </c>
      <c r="N1532">
        <v>0</v>
      </c>
      <c r="O1532" s="3">
        <f>IF(
    R1532="Ancien",
    _xlfn.XLOOKUP(
        Final_Sans_VGE[[#This Row],[ppn_z]],
        tbl_Historique_Final[ppn_z],
        tbl_Historique_Final[Horodatage],
        ""
    ),
    Horodatage!$A$2
)</f>
        <v>46233.670796365739</v>
      </c>
      <c r="P1532" s="1" t="str">
        <f>IFERROR(IF(tbl_Historique_Final[[#This Row],[Commentaires]]&lt;&gt;"",tbl_Historique_Final[[#This Row],[Commentaires]],""),"")</f>
        <v/>
      </c>
      <c r="X1532" s="8" t="str">
        <f>IF(Final_Sans_VGE[[#This Row],[ppn_z]]="","",IFERROR(
   IF(_xlfn.XLOOKUP(Final_Sans_VGE[[#This Row],[ppn_z]],tbl_Historique_Final[ppn_z],tbl_Historique_Final[date_modif])=Final_Sans_VGE[[#This Row],[date_modif]],
      "Ancien",
      "Modifié"),
   "Nouveau"))</f>
        <v>Ancien</v>
      </c>
      <c r="AC1532"/>
      <c r="AD1532"/>
    </row>
    <row r="1533" spans="1:30" x14ac:dyDescent="0.25">
      <c r="A1533" s="5" t="s">
        <v>4763</v>
      </c>
      <c r="B1533" s="1" t="s">
        <v>9436</v>
      </c>
      <c r="C1533" s="1" t="s">
        <v>30</v>
      </c>
      <c r="D1533" s="1" t="s">
        <v>9437</v>
      </c>
      <c r="E1533" s="1" t="s">
        <v>47</v>
      </c>
      <c r="G1533" s="1" t="s">
        <v>11</v>
      </c>
      <c r="H1533" s="1" t="s">
        <v>22</v>
      </c>
      <c r="I1533" s="1" t="s">
        <v>22</v>
      </c>
      <c r="J1533" s="3">
        <v>46110.463483796295</v>
      </c>
      <c r="K1533" s="2" t="s">
        <v>8873</v>
      </c>
      <c r="L1533" s="1">
        <v>22</v>
      </c>
      <c r="M1533" s="1">
        <v>22</v>
      </c>
      <c r="N1533">
        <v>0</v>
      </c>
      <c r="O1533" s="3">
        <f>IF(
    R1533="Ancien",
    _xlfn.XLOOKUP(
        Final_Sans_VGE[[#This Row],[ppn_z]],
        tbl_Historique_Final[ppn_z],
        tbl_Historique_Final[Horodatage],
        ""
    ),
    Horodatage!$A$2
)</f>
        <v>46233.670796365739</v>
      </c>
      <c r="P1533" s="1" t="str">
        <f>IFERROR(IF(tbl_Historique_Final[[#This Row],[Commentaires]]&lt;&gt;"",tbl_Historique_Final[[#This Row],[Commentaires]],""),"")</f>
        <v/>
      </c>
      <c r="X1533" s="8" t="str">
        <f>IF(Final_Sans_VGE[[#This Row],[ppn_z]]="","",IFERROR(
   IF(_xlfn.XLOOKUP(Final_Sans_VGE[[#This Row],[ppn_z]],tbl_Historique_Final[ppn_z],tbl_Historique_Final[date_modif])=Final_Sans_VGE[[#This Row],[date_modif]],
      "Ancien",
      "Modifié"),
   "Nouveau"))</f>
        <v>Ancien</v>
      </c>
      <c r="AC1533"/>
      <c r="AD1533"/>
    </row>
    <row r="1534" spans="1:30" ht="45" x14ac:dyDescent="0.25">
      <c r="A1534" s="5" t="s">
        <v>4766</v>
      </c>
      <c r="B1534" s="1" t="s">
        <v>9438</v>
      </c>
      <c r="C1534" s="1" t="s">
        <v>9090</v>
      </c>
      <c r="E1534" s="1" t="s">
        <v>9439</v>
      </c>
      <c r="G1534" s="1" t="s">
        <v>10</v>
      </c>
      <c r="H1534" s="1" t="s">
        <v>22</v>
      </c>
      <c r="I1534" s="1" t="s">
        <v>22</v>
      </c>
      <c r="J1534" s="3">
        <v>46152.380046296297</v>
      </c>
      <c r="K1534" s="2" t="s">
        <v>9440</v>
      </c>
      <c r="L1534" s="1">
        <v>232</v>
      </c>
      <c r="M1534" s="1">
        <v>288</v>
      </c>
      <c r="N1534">
        <v>56</v>
      </c>
      <c r="O1534" s="3">
        <f>IF(
    R1534="Ancien",
    _xlfn.XLOOKUP(
        Final_Sans_VGE[[#This Row],[ppn_z]],
        tbl_Historique_Final[ppn_z],
        tbl_Historique_Final[Horodatage],
        ""
    ),
    Horodatage!$A$2
)</f>
        <v>46233.670796365739</v>
      </c>
      <c r="P1534" s="1" t="str">
        <f>IFERROR(IF(tbl_Historique_Final[[#This Row],[Commentaires]]&lt;&gt;"",tbl_Historique_Final[[#This Row],[Commentaires]],""),"")</f>
        <v/>
      </c>
      <c r="X1534" s="8" t="str">
        <f>IF(Final_Sans_VGE[[#This Row],[ppn_z]]="","",IFERROR(
   IF(_xlfn.XLOOKUP(Final_Sans_VGE[[#This Row],[ppn_z]],tbl_Historique_Final[ppn_z],tbl_Historique_Final[date_modif])=Final_Sans_VGE[[#This Row],[date_modif]],
      "Ancien",
      "Modifié"),
   "Nouveau"))</f>
        <v>Ancien</v>
      </c>
      <c r="AC1534"/>
      <c r="AD1534"/>
    </row>
    <row r="1535" spans="1:30" ht="45" x14ac:dyDescent="0.25">
      <c r="A1535" s="5" t="s">
        <v>4769</v>
      </c>
      <c r="B1535" s="1" t="s">
        <v>9441</v>
      </c>
      <c r="C1535" s="1" t="s">
        <v>47</v>
      </c>
      <c r="J1535" s="3">
        <v>46147.557002314818</v>
      </c>
      <c r="K1535" s="2" t="s">
        <v>9442</v>
      </c>
      <c r="L1535" s="1">
        <v>0</v>
      </c>
      <c r="M1535" s="1">
        <v>0</v>
      </c>
      <c r="N1535">
        <v>0</v>
      </c>
      <c r="O1535" s="3">
        <f>IF(
    R1535="Ancien",
    _xlfn.XLOOKUP(
        Final_Sans_VGE[[#This Row],[ppn_z]],
        tbl_Historique_Final[ppn_z],
        tbl_Historique_Final[Horodatage],
        ""
    ),
    Horodatage!$A$2
)</f>
        <v>46233.670796365739</v>
      </c>
      <c r="P1535" s="1" t="str">
        <f>IFERROR(IF(tbl_Historique_Final[[#This Row],[Commentaires]]&lt;&gt;"",tbl_Historique_Final[[#This Row],[Commentaires]],""),"")</f>
        <v/>
      </c>
      <c r="X1535" s="8" t="str">
        <f>IF(Final_Sans_VGE[[#This Row],[ppn_z]]="","",IFERROR(
   IF(_xlfn.XLOOKUP(Final_Sans_VGE[[#This Row],[ppn_z]],tbl_Historique_Final[ppn_z],tbl_Historique_Final[date_modif])=Final_Sans_VGE[[#This Row],[date_modif]],
      "Ancien",
      "Modifié"),
   "Nouveau"))</f>
        <v>Ancien</v>
      </c>
      <c r="AC1535"/>
      <c r="AD1535"/>
    </row>
    <row r="1536" spans="1:30" ht="30" x14ac:dyDescent="0.25">
      <c r="A1536" s="5" t="s">
        <v>4772</v>
      </c>
      <c r="B1536" s="1" t="s">
        <v>9443</v>
      </c>
      <c r="C1536" s="1" t="s">
        <v>12</v>
      </c>
      <c r="G1536" s="1" t="s">
        <v>10</v>
      </c>
      <c r="J1536" s="3">
        <v>46136.451562499999</v>
      </c>
      <c r="K1536" s="2" t="s">
        <v>9170</v>
      </c>
      <c r="L1536" s="1">
        <v>1</v>
      </c>
      <c r="M1536" s="1">
        <v>1</v>
      </c>
      <c r="N1536">
        <v>0</v>
      </c>
      <c r="O1536" s="3">
        <f>IF(
    R1536="Ancien",
    _xlfn.XLOOKUP(
        Final_Sans_VGE[[#This Row],[ppn_z]],
        tbl_Historique_Final[ppn_z],
        tbl_Historique_Final[Horodatage],
        ""
    ),
    Horodatage!$A$2
)</f>
        <v>46233.670796365739</v>
      </c>
      <c r="P1536" s="1" t="str">
        <f>IFERROR(IF(tbl_Historique_Final[[#This Row],[Commentaires]]&lt;&gt;"",tbl_Historique_Final[[#This Row],[Commentaires]],""),"")</f>
        <v/>
      </c>
      <c r="X1536" s="8" t="str">
        <f>IF(Final_Sans_VGE[[#This Row],[ppn_z]]="","",IFERROR(
   IF(_xlfn.XLOOKUP(Final_Sans_VGE[[#This Row],[ppn_z]],tbl_Historique_Final[ppn_z],tbl_Historique_Final[date_modif])=Final_Sans_VGE[[#This Row],[date_modif]],
      "Ancien",
      "Modifié"),
   "Nouveau"))</f>
        <v>Ancien</v>
      </c>
      <c r="AC1536"/>
      <c r="AD1536"/>
    </row>
    <row r="1537" spans="1:30" ht="30" x14ac:dyDescent="0.25">
      <c r="A1537" s="5" t="s">
        <v>4775</v>
      </c>
      <c r="B1537" s="1" t="s">
        <v>9444</v>
      </c>
      <c r="C1537" s="1" t="s">
        <v>12</v>
      </c>
      <c r="G1537" s="1" t="s">
        <v>10</v>
      </c>
      <c r="H1537" s="1" t="s">
        <v>22</v>
      </c>
      <c r="I1537" s="1" t="s">
        <v>22</v>
      </c>
      <c r="J1537" s="3">
        <v>46152.370462962965</v>
      </c>
      <c r="K1537" s="2" t="s">
        <v>9445</v>
      </c>
      <c r="L1537" s="1">
        <v>137</v>
      </c>
      <c r="M1537" s="1">
        <v>147</v>
      </c>
      <c r="N1537">
        <v>10</v>
      </c>
      <c r="O1537" s="3">
        <f>IF(
    R1537="Ancien",
    _xlfn.XLOOKUP(
        Final_Sans_VGE[[#This Row],[ppn_z]],
        tbl_Historique_Final[ppn_z],
        tbl_Historique_Final[Horodatage],
        ""
    ),
    Horodatage!$A$2
)</f>
        <v>46233.670796365739</v>
      </c>
      <c r="P1537" s="1" t="str">
        <f>IFERROR(IF(tbl_Historique_Final[[#This Row],[Commentaires]]&lt;&gt;"",tbl_Historique_Final[[#This Row],[Commentaires]],""),"")</f>
        <v/>
      </c>
      <c r="X1537" s="8" t="str">
        <f>IF(Final_Sans_VGE[[#This Row],[ppn_z]]="","",IFERROR(
   IF(_xlfn.XLOOKUP(Final_Sans_VGE[[#This Row],[ppn_z]],tbl_Historique_Final[ppn_z],tbl_Historique_Final[date_modif])=Final_Sans_VGE[[#This Row],[date_modif]],
      "Ancien",
      "Modifié"),
   "Nouveau"))</f>
        <v>Ancien</v>
      </c>
      <c r="AC1537"/>
      <c r="AD1537"/>
    </row>
    <row r="1538" spans="1:30" x14ac:dyDescent="0.25">
      <c r="A1538" s="5" t="s">
        <v>4778</v>
      </c>
      <c r="B1538" s="1" t="s">
        <v>9446</v>
      </c>
      <c r="C1538" s="1" t="s">
        <v>8265</v>
      </c>
      <c r="J1538" s="3">
        <v>46121.723900462966</v>
      </c>
      <c r="K1538" s="2" t="s">
        <v>9447</v>
      </c>
      <c r="L1538" s="1">
        <v>35</v>
      </c>
      <c r="M1538" s="1">
        <v>36</v>
      </c>
      <c r="N1538">
        <v>1</v>
      </c>
      <c r="O1538" s="3">
        <f>IF(
    R1538="Ancien",
    _xlfn.XLOOKUP(
        Final_Sans_VGE[[#This Row],[ppn_z]],
        tbl_Historique_Final[ppn_z],
        tbl_Historique_Final[Horodatage],
        ""
    ),
    Horodatage!$A$2
)</f>
        <v>46233.670796365739</v>
      </c>
      <c r="P1538" s="1" t="str">
        <f>IFERROR(IF(tbl_Historique_Final[[#This Row],[Commentaires]]&lt;&gt;"",tbl_Historique_Final[[#This Row],[Commentaires]],""),"")</f>
        <v/>
      </c>
      <c r="X1538" s="8" t="str">
        <f>IF(Final_Sans_VGE[[#This Row],[ppn_z]]="","",IFERROR(
   IF(_xlfn.XLOOKUP(Final_Sans_VGE[[#This Row],[ppn_z]],tbl_Historique_Final[ppn_z],tbl_Historique_Final[date_modif])=Final_Sans_VGE[[#This Row],[date_modif]],
      "Ancien",
      "Modifié"),
   "Nouveau"))</f>
        <v>Ancien</v>
      </c>
      <c r="AC1538"/>
      <c r="AD1538"/>
    </row>
    <row r="1539" spans="1:30" ht="60" x14ac:dyDescent="0.25">
      <c r="A1539" s="5" t="s">
        <v>4781</v>
      </c>
      <c r="B1539" s="1" t="s">
        <v>9448</v>
      </c>
      <c r="C1539" s="1" t="s">
        <v>117</v>
      </c>
      <c r="J1539" s="3">
        <v>46147.597962962966</v>
      </c>
      <c r="K1539" s="2" t="s">
        <v>9449</v>
      </c>
      <c r="L1539" s="1">
        <v>0</v>
      </c>
      <c r="M1539" s="1">
        <v>0</v>
      </c>
      <c r="N1539">
        <v>0</v>
      </c>
      <c r="O1539" s="3">
        <f>IF(
    R1539="Ancien",
    _xlfn.XLOOKUP(
        Final_Sans_VGE[[#This Row],[ppn_z]],
        tbl_Historique_Final[ppn_z],
        tbl_Historique_Final[Horodatage],
        ""
    ),
    Horodatage!$A$2
)</f>
        <v>46233.670796365739</v>
      </c>
      <c r="P1539" s="1" t="str">
        <f>IFERROR(IF(tbl_Historique_Final[[#This Row],[Commentaires]]&lt;&gt;"",tbl_Historique_Final[[#This Row],[Commentaires]],""),"")</f>
        <v/>
      </c>
      <c r="X1539" s="8" t="str">
        <f>IF(Final_Sans_VGE[[#This Row],[ppn_z]]="","",IFERROR(
   IF(_xlfn.XLOOKUP(Final_Sans_VGE[[#This Row],[ppn_z]],tbl_Historique_Final[ppn_z],tbl_Historique_Final[date_modif])=Final_Sans_VGE[[#This Row],[date_modif]],
      "Ancien",
      "Modifié"),
   "Nouveau"))</f>
        <v>Ancien</v>
      </c>
      <c r="AC1539"/>
      <c r="AD1539"/>
    </row>
    <row r="1540" spans="1:30" ht="60" x14ac:dyDescent="0.25">
      <c r="A1540" s="5" t="s">
        <v>4784</v>
      </c>
      <c r="B1540" s="1" t="s">
        <v>9450</v>
      </c>
      <c r="C1540" s="1" t="s">
        <v>9451</v>
      </c>
      <c r="D1540" s="1" t="s">
        <v>8572</v>
      </c>
      <c r="E1540" s="1" t="s">
        <v>50</v>
      </c>
      <c r="F1540" s="1" t="s">
        <v>8318</v>
      </c>
      <c r="G1540" s="1" t="s">
        <v>10</v>
      </c>
      <c r="H1540" s="1" t="s">
        <v>22</v>
      </c>
      <c r="I1540" s="1" t="s">
        <v>22</v>
      </c>
      <c r="J1540" s="3">
        <v>46112.635462962964</v>
      </c>
      <c r="K1540" s="2" t="s">
        <v>9452</v>
      </c>
      <c r="L1540" s="1">
        <v>32</v>
      </c>
      <c r="M1540" s="1">
        <v>32</v>
      </c>
      <c r="N1540">
        <v>0</v>
      </c>
      <c r="O1540" s="3">
        <f>IF(
    R1540="Ancien",
    _xlfn.XLOOKUP(
        Final_Sans_VGE[[#This Row],[ppn_z]],
        tbl_Historique_Final[ppn_z],
        tbl_Historique_Final[Horodatage],
        ""
    ),
    Horodatage!$A$2
)</f>
        <v>46233.670796365739</v>
      </c>
      <c r="P1540" s="1" t="str">
        <f>IFERROR(IF(tbl_Historique_Final[[#This Row],[Commentaires]]&lt;&gt;"",tbl_Historique_Final[[#This Row],[Commentaires]],""),"")</f>
        <v/>
      </c>
      <c r="X1540" s="8" t="str">
        <f>IF(Final_Sans_VGE[[#This Row],[ppn_z]]="","",IFERROR(
   IF(_xlfn.XLOOKUP(Final_Sans_VGE[[#This Row],[ppn_z]],tbl_Historique_Final[ppn_z],tbl_Historique_Final[date_modif])=Final_Sans_VGE[[#This Row],[date_modif]],
      "Ancien",
      "Modifié"),
   "Nouveau"))</f>
        <v>Ancien</v>
      </c>
      <c r="AC1540"/>
      <c r="AD1540"/>
    </row>
    <row r="1541" spans="1:30" ht="45" x14ac:dyDescent="0.25">
      <c r="A1541" s="5" t="s">
        <v>4787</v>
      </c>
      <c r="B1541" s="1" t="s">
        <v>9453</v>
      </c>
      <c r="C1541" s="1" t="s">
        <v>117</v>
      </c>
      <c r="J1541" s="3">
        <v>46147.589618055557</v>
      </c>
      <c r="K1541" s="2" t="s">
        <v>9224</v>
      </c>
      <c r="L1541" s="1">
        <v>0</v>
      </c>
      <c r="M1541" s="1">
        <v>0</v>
      </c>
      <c r="N1541">
        <v>0</v>
      </c>
      <c r="O1541" s="3">
        <f>IF(
    R1541="Ancien",
    _xlfn.XLOOKUP(
        Final_Sans_VGE[[#This Row],[ppn_z]],
        tbl_Historique_Final[ppn_z],
        tbl_Historique_Final[Horodatage],
        ""
    ),
    Horodatage!$A$2
)</f>
        <v>46233.670796365739</v>
      </c>
      <c r="P1541" s="1" t="str">
        <f>IFERROR(IF(tbl_Historique_Final[[#This Row],[Commentaires]]&lt;&gt;"",tbl_Historique_Final[[#This Row],[Commentaires]],""),"")</f>
        <v/>
      </c>
      <c r="X1541" s="8" t="str">
        <f>IF(Final_Sans_VGE[[#This Row],[ppn_z]]="","",IFERROR(
   IF(_xlfn.XLOOKUP(Final_Sans_VGE[[#This Row],[ppn_z]],tbl_Historique_Final[ppn_z],tbl_Historique_Final[date_modif])=Final_Sans_VGE[[#This Row],[date_modif]],
      "Ancien",
      "Modifié"),
   "Nouveau"))</f>
        <v>Ancien</v>
      </c>
      <c r="AC1541"/>
      <c r="AD1541"/>
    </row>
    <row r="1542" spans="1:30" x14ac:dyDescent="0.25">
      <c r="A1542" s="5" t="s">
        <v>4790</v>
      </c>
      <c r="B1542" s="1" t="s">
        <v>9454</v>
      </c>
      <c r="C1542" s="1" t="s">
        <v>12</v>
      </c>
      <c r="G1542" s="1" t="s">
        <v>11</v>
      </c>
      <c r="J1542" s="3">
        <v>46168.362083333333</v>
      </c>
      <c r="K1542" s="2" t="s">
        <v>9455</v>
      </c>
      <c r="L1542" s="1">
        <v>1</v>
      </c>
      <c r="M1542" s="1">
        <v>1</v>
      </c>
      <c r="N1542">
        <v>0</v>
      </c>
      <c r="O1542" s="3">
        <f>IF(
    R1542="Ancien",
    _xlfn.XLOOKUP(
        Final_Sans_VGE[[#This Row],[ppn_z]],
        tbl_Historique_Final[ppn_z],
        tbl_Historique_Final[Horodatage],
        ""
    ),
    Horodatage!$A$2
)</f>
        <v>46233.670796365739</v>
      </c>
      <c r="P1542" s="1" t="str">
        <f>IFERROR(IF(tbl_Historique_Final[[#This Row],[Commentaires]]&lt;&gt;"",tbl_Historique_Final[[#This Row],[Commentaires]],""),"")</f>
        <v/>
      </c>
      <c r="X1542" s="8" t="str">
        <f>IF(Final_Sans_VGE[[#This Row],[ppn_z]]="","",IFERROR(
   IF(_xlfn.XLOOKUP(Final_Sans_VGE[[#This Row],[ppn_z]],tbl_Historique_Final[ppn_z],tbl_Historique_Final[date_modif])=Final_Sans_VGE[[#This Row],[date_modif]],
      "Ancien",
      "Modifié"),
   "Nouveau"))</f>
        <v>Ancien</v>
      </c>
      <c r="AC1542"/>
      <c r="AD1542"/>
    </row>
    <row r="1543" spans="1:30" x14ac:dyDescent="0.25">
      <c r="A1543" s="5" t="s">
        <v>4793</v>
      </c>
      <c r="B1543" s="1" t="s">
        <v>9456</v>
      </c>
      <c r="C1543" s="1" t="s">
        <v>58</v>
      </c>
      <c r="J1543" s="3">
        <v>46056.493391203701</v>
      </c>
      <c r="L1543" s="1">
        <v>31</v>
      </c>
      <c r="M1543" s="1">
        <v>31</v>
      </c>
      <c r="N1543">
        <v>0</v>
      </c>
      <c r="O1543" s="3">
        <f>IF(
    R1543="Ancien",
    _xlfn.XLOOKUP(
        Final_Sans_VGE[[#This Row],[ppn_z]],
        tbl_Historique_Final[ppn_z],
        tbl_Historique_Final[Horodatage],
        ""
    ),
    Horodatage!$A$2
)</f>
        <v>46233.670796365739</v>
      </c>
      <c r="P1543" s="1" t="str">
        <f>IFERROR(IF(tbl_Historique_Final[[#This Row],[Commentaires]]&lt;&gt;"",tbl_Historique_Final[[#This Row],[Commentaires]],""),"")</f>
        <v/>
      </c>
      <c r="X1543" s="8" t="str">
        <f>IF(Final_Sans_VGE[[#This Row],[ppn_z]]="","",IFERROR(
   IF(_xlfn.XLOOKUP(Final_Sans_VGE[[#This Row],[ppn_z]],tbl_Historique_Final[ppn_z],tbl_Historique_Final[date_modif])=Final_Sans_VGE[[#This Row],[date_modif]],
      "Ancien",
      "Modifié"),
   "Nouveau"))</f>
        <v>Ancien</v>
      </c>
      <c r="AC1543"/>
      <c r="AD1543"/>
    </row>
    <row r="1544" spans="1:30" x14ac:dyDescent="0.25">
      <c r="A1544" s="5" t="s">
        <v>4796</v>
      </c>
      <c r="B1544" s="1" t="s">
        <v>9457</v>
      </c>
      <c r="C1544" s="1" t="s">
        <v>12</v>
      </c>
      <c r="G1544" s="1" t="s">
        <v>11</v>
      </c>
      <c r="J1544" s="3">
        <v>46120.625868055555</v>
      </c>
      <c r="K1544" s="2" t="s">
        <v>9458</v>
      </c>
      <c r="L1544" s="1">
        <v>1</v>
      </c>
      <c r="M1544" s="1">
        <v>1</v>
      </c>
      <c r="N1544">
        <v>0</v>
      </c>
      <c r="O1544" s="3">
        <f>IF(
    R1544="Ancien",
    _xlfn.XLOOKUP(
        Final_Sans_VGE[[#This Row],[ppn_z]],
        tbl_Historique_Final[ppn_z],
        tbl_Historique_Final[Horodatage],
        ""
    ),
    Horodatage!$A$2
)</f>
        <v>46233.670796365739</v>
      </c>
      <c r="P1544" s="1" t="str">
        <f>IFERROR(IF(tbl_Historique_Final[[#This Row],[Commentaires]]&lt;&gt;"",tbl_Historique_Final[[#This Row],[Commentaires]],""),"")</f>
        <v/>
      </c>
      <c r="X1544" s="8" t="str">
        <f>IF(Final_Sans_VGE[[#This Row],[ppn_z]]="","",IFERROR(
   IF(_xlfn.XLOOKUP(Final_Sans_VGE[[#This Row],[ppn_z]],tbl_Historique_Final[ppn_z],tbl_Historique_Final[date_modif])=Final_Sans_VGE[[#This Row],[date_modif]],
      "Ancien",
      "Modifié"),
   "Nouveau"))</f>
        <v>Ancien</v>
      </c>
      <c r="AC1544"/>
      <c r="AD1544"/>
    </row>
    <row r="1545" spans="1:30" x14ac:dyDescent="0.25">
      <c r="A1545" s="5" t="s">
        <v>4799</v>
      </c>
      <c r="B1545" s="1" t="s">
        <v>9459</v>
      </c>
      <c r="C1545" s="1" t="s">
        <v>9460</v>
      </c>
      <c r="D1545" s="1" t="s">
        <v>9461</v>
      </c>
      <c r="E1545" s="1" t="s">
        <v>9462</v>
      </c>
      <c r="F1545" s="1" t="s">
        <v>14</v>
      </c>
      <c r="G1545" s="1" t="s">
        <v>10</v>
      </c>
      <c r="H1545" s="1" t="s">
        <v>9463</v>
      </c>
      <c r="I1545" s="1" t="s">
        <v>22</v>
      </c>
      <c r="J1545" s="3">
        <v>46117.431469907409</v>
      </c>
      <c r="K1545" s="2" t="s">
        <v>9464</v>
      </c>
      <c r="L1545" s="1">
        <v>2503</v>
      </c>
      <c r="M1545" s="1">
        <v>3572</v>
      </c>
      <c r="N1545">
        <v>1069</v>
      </c>
      <c r="O1545" s="3">
        <f>IF(
    R1545="Ancien",
    _xlfn.XLOOKUP(
        Final_Sans_VGE[[#This Row],[ppn_z]],
        tbl_Historique_Final[ppn_z],
        tbl_Historique_Final[Horodatage],
        ""
    ),
    Horodatage!$A$2
)</f>
        <v>46233.670796365739</v>
      </c>
      <c r="P1545" s="1" t="str">
        <f>IFERROR(IF(tbl_Historique_Final[[#This Row],[Commentaires]]&lt;&gt;"",tbl_Historique_Final[[#This Row],[Commentaires]],""),"")</f>
        <v/>
      </c>
      <c r="X1545" s="8" t="str">
        <f>IF(Final_Sans_VGE[[#This Row],[ppn_z]]="","",IFERROR(
   IF(_xlfn.XLOOKUP(Final_Sans_VGE[[#This Row],[ppn_z]],tbl_Historique_Final[ppn_z],tbl_Historique_Final[date_modif])=Final_Sans_VGE[[#This Row],[date_modif]],
      "Ancien",
      "Modifié"),
   "Nouveau"))</f>
        <v>Ancien</v>
      </c>
      <c r="AC1545"/>
      <c r="AD1545"/>
    </row>
    <row r="1546" spans="1:30" x14ac:dyDescent="0.25">
      <c r="A1546" s="5" t="s">
        <v>4802</v>
      </c>
      <c r="B1546" s="1" t="s">
        <v>9465</v>
      </c>
      <c r="C1546" s="1" t="s">
        <v>56</v>
      </c>
      <c r="G1546" s="1" t="s">
        <v>10</v>
      </c>
      <c r="J1546" s="3">
        <v>46149.414502314816</v>
      </c>
      <c r="K1546" s="2" t="s">
        <v>9466</v>
      </c>
      <c r="L1546" s="1">
        <v>8</v>
      </c>
      <c r="M1546" s="1">
        <v>8</v>
      </c>
      <c r="N1546">
        <v>0</v>
      </c>
      <c r="O1546" s="3">
        <f>IF(
    R1546="Ancien",
    _xlfn.XLOOKUP(
        Final_Sans_VGE[[#This Row],[ppn_z]],
        tbl_Historique_Final[ppn_z],
        tbl_Historique_Final[Horodatage],
        ""
    ),
    Horodatage!$A$2
)</f>
        <v>46233.670796365739</v>
      </c>
      <c r="P1546" s="1" t="str">
        <f>IFERROR(IF(tbl_Historique_Final[[#This Row],[Commentaires]]&lt;&gt;"",tbl_Historique_Final[[#This Row],[Commentaires]],""),"")</f>
        <v/>
      </c>
      <c r="X1546" s="8" t="str">
        <f>IF(Final_Sans_VGE[[#This Row],[ppn_z]]="","",IFERROR(
   IF(_xlfn.XLOOKUP(Final_Sans_VGE[[#This Row],[ppn_z]],tbl_Historique_Final[ppn_z],tbl_Historique_Final[date_modif])=Final_Sans_VGE[[#This Row],[date_modif]],
      "Ancien",
      "Modifié"),
   "Nouveau"))</f>
        <v>Ancien</v>
      </c>
      <c r="AC1546"/>
      <c r="AD1546"/>
    </row>
    <row r="1547" spans="1:30" ht="75" x14ac:dyDescent="0.25">
      <c r="A1547" s="5" t="s">
        <v>4805</v>
      </c>
      <c r="B1547" s="1" t="s">
        <v>9467</v>
      </c>
      <c r="C1547" s="1" t="s">
        <v>142</v>
      </c>
      <c r="E1547" s="1" t="s">
        <v>47</v>
      </c>
      <c r="J1547" s="3">
        <v>46147.558275462965</v>
      </c>
      <c r="K1547" s="2" t="s">
        <v>9468</v>
      </c>
      <c r="L1547" s="1">
        <v>0</v>
      </c>
      <c r="M1547" s="1">
        <v>0</v>
      </c>
      <c r="N1547">
        <v>0</v>
      </c>
      <c r="O1547" s="3">
        <f>IF(
    R1547="Ancien",
    _xlfn.XLOOKUP(
        Final_Sans_VGE[[#This Row],[ppn_z]],
        tbl_Historique_Final[ppn_z],
        tbl_Historique_Final[Horodatage],
        ""
    ),
    Horodatage!$A$2
)</f>
        <v>46233.670796365739</v>
      </c>
      <c r="P1547" s="1" t="str">
        <f>IFERROR(IF(tbl_Historique_Final[[#This Row],[Commentaires]]&lt;&gt;"",tbl_Historique_Final[[#This Row],[Commentaires]],""),"")</f>
        <v/>
      </c>
      <c r="X1547" s="8" t="str">
        <f>IF(Final_Sans_VGE[[#This Row],[ppn_z]]="","",IFERROR(
   IF(_xlfn.XLOOKUP(Final_Sans_VGE[[#This Row],[ppn_z]],tbl_Historique_Final[ppn_z],tbl_Historique_Final[date_modif])=Final_Sans_VGE[[#This Row],[date_modif]],
      "Ancien",
      "Modifié"),
   "Nouveau"))</f>
        <v>Ancien</v>
      </c>
      <c r="AC1547"/>
      <c r="AD1547"/>
    </row>
    <row r="1548" spans="1:30" x14ac:dyDescent="0.25">
      <c r="A1548" s="5" t="s">
        <v>4808</v>
      </c>
      <c r="B1548" s="1" t="s">
        <v>9469</v>
      </c>
      <c r="C1548" s="1" t="s">
        <v>12</v>
      </c>
      <c r="G1548" s="1" t="s">
        <v>11</v>
      </c>
      <c r="J1548" s="3">
        <v>46132.473692129628</v>
      </c>
      <c r="K1548" s="2" t="s">
        <v>7209</v>
      </c>
      <c r="L1548" s="1">
        <v>0</v>
      </c>
      <c r="M1548" s="1">
        <v>0</v>
      </c>
      <c r="N1548">
        <v>0</v>
      </c>
      <c r="O1548" s="3">
        <f>IF(
    R1548="Ancien",
    _xlfn.XLOOKUP(
        Final_Sans_VGE[[#This Row],[ppn_z]],
        tbl_Historique_Final[ppn_z],
        tbl_Historique_Final[Horodatage],
        ""
    ),
    Horodatage!$A$2
)</f>
        <v>46233.670796365739</v>
      </c>
      <c r="P1548" s="1" t="str">
        <f>IFERROR(IF(tbl_Historique_Final[[#This Row],[Commentaires]]&lt;&gt;"",tbl_Historique_Final[[#This Row],[Commentaires]],""),"")</f>
        <v/>
      </c>
      <c r="X1548" s="8" t="str">
        <f>IF(Final_Sans_VGE[[#This Row],[ppn_z]]="","",IFERROR(
   IF(_xlfn.XLOOKUP(Final_Sans_VGE[[#This Row],[ppn_z]],tbl_Historique_Final[ppn_z],tbl_Historique_Final[date_modif])=Final_Sans_VGE[[#This Row],[date_modif]],
      "Ancien",
      "Modifié"),
   "Nouveau"))</f>
        <v>Ancien</v>
      </c>
      <c r="AC1548"/>
      <c r="AD1548"/>
    </row>
    <row r="1549" spans="1:30" ht="60" x14ac:dyDescent="0.25">
      <c r="A1549" s="5" t="s">
        <v>4811</v>
      </c>
      <c r="B1549" s="1" t="s">
        <v>9470</v>
      </c>
      <c r="C1549" s="1" t="s">
        <v>40</v>
      </c>
      <c r="E1549" s="1" t="s">
        <v>45</v>
      </c>
      <c r="J1549" s="3">
        <v>46142.455405092594</v>
      </c>
      <c r="K1549" s="2" t="s">
        <v>9471</v>
      </c>
      <c r="L1549" s="1">
        <v>0</v>
      </c>
      <c r="M1549" s="1">
        <v>0</v>
      </c>
      <c r="N1549">
        <v>0</v>
      </c>
      <c r="O1549" s="3">
        <f>IF(
    R1549="Ancien",
    _xlfn.XLOOKUP(
        Final_Sans_VGE[[#This Row],[ppn_z]],
        tbl_Historique_Final[ppn_z],
        tbl_Historique_Final[Horodatage],
        ""
    ),
    Horodatage!$A$2
)</f>
        <v>46233.670796365739</v>
      </c>
      <c r="P1549" s="1" t="str">
        <f>IFERROR(IF(tbl_Historique_Final[[#This Row],[Commentaires]]&lt;&gt;"",tbl_Historique_Final[[#This Row],[Commentaires]],""),"")</f>
        <v/>
      </c>
      <c r="X1549" s="8" t="str">
        <f>IF(Final_Sans_VGE[[#This Row],[ppn_z]]="","",IFERROR(
   IF(_xlfn.XLOOKUP(Final_Sans_VGE[[#This Row],[ppn_z]],tbl_Historique_Final[ppn_z],tbl_Historique_Final[date_modif])=Final_Sans_VGE[[#This Row],[date_modif]],
      "Ancien",
      "Modifié"),
   "Nouveau"))</f>
        <v>Ancien</v>
      </c>
      <c r="AC1549"/>
      <c r="AD1549"/>
    </row>
    <row r="1550" spans="1:30" ht="90" x14ac:dyDescent="0.25">
      <c r="A1550" s="5" t="s">
        <v>4814</v>
      </c>
      <c r="B1550" s="1" t="s">
        <v>9472</v>
      </c>
      <c r="H1550" s="1" t="s">
        <v>22</v>
      </c>
      <c r="I1550" s="1" t="s">
        <v>22</v>
      </c>
      <c r="J1550" s="3">
        <v>46145.449479166666</v>
      </c>
      <c r="K1550" s="2" t="s">
        <v>9473</v>
      </c>
      <c r="L1550" s="1">
        <v>338</v>
      </c>
      <c r="M1550" s="1">
        <v>394</v>
      </c>
      <c r="N1550">
        <v>56</v>
      </c>
      <c r="O1550" s="3">
        <f>IF(
    R1550="Ancien",
    _xlfn.XLOOKUP(
        Final_Sans_VGE[[#This Row],[ppn_z]],
        tbl_Historique_Final[ppn_z],
        tbl_Historique_Final[Horodatage],
        ""
    ),
    Horodatage!$A$2
)</f>
        <v>46233.670796365739</v>
      </c>
      <c r="P1550" s="1" t="str">
        <f>IFERROR(IF(tbl_Historique_Final[[#This Row],[Commentaires]]&lt;&gt;"",tbl_Historique_Final[[#This Row],[Commentaires]],""),"")</f>
        <v/>
      </c>
      <c r="X1550" s="8" t="str">
        <f>IF(Final_Sans_VGE[[#This Row],[ppn_z]]="","",IFERROR(
   IF(_xlfn.XLOOKUP(Final_Sans_VGE[[#This Row],[ppn_z]],tbl_Historique_Final[ppn_z],tbl_Historique_Final[date_modif])=Final_Sans_VGE[[#This Row],[date_modif]],
      "Ancien",
      "Modifié"),
   "Nouveau"))</f>
        <v>Ancien</v>
      </c>
      <c r="AC1550"/>
      <c r="AD1550"/>
    </row>
    <row r="1551" spans="1:30" ht="30" x14ac:dyDescent="0.25">
      <c r="A1551" s="5" t="s">
        <v>4817</v>
      </c>
      <c r="B1551" s="1" t="s">
        <v>9474</v>
      </c>
      <c r="C1551" s="1" t="s">
        <v>58</v>
      </c>
      <c r="J1551" s="3">
        <v>46120.623796296299</v>
      </c>
      <c r="K1551" s="2" t="s">
        <v>9475</v>
      </c>
      <c r="L1551" s="1">
        <v>1</v>
      </c>
      <c r="M1551" s="1">
        <v>1</v>
      </c>
      <c r="N1551">
        <v>0</v>
      </c>
      <c r="O1551" s="3">
        <f>IF(
    R1551="Ancien",
    _xlfn.XLOOKUP(
        Final_Sans_VGE[[#This Row],[ppn_z]],
        tbl_Historique_Final[ppn_z],
        tbl_Historique_Final[Horodatage],
        ""
    ),
    Horodatage!$A$2
)</f>
        <v>46233.670796365739</v>
      </c>
      <c r="P1551" s="1" t="str">
        <f>IFERROR(IF(tbl_Historique_Final[[#This Row],[Commentaires]]&lt;&gt;"",tbl_Historique_Final[[#This Row],[Commentaires]],""),"")</f>
        <v/>
      </c>
      <c r="X1551" s="8" t="str">
        <f>IF(Final_Sans_VGE[[#This Row],[ppn_z]]="","",IFERROR(
   IF(_xlfn.XLOOKUP(Final_Sans_VGE[[#This Row],[ppn_z]],tbl_Historique_Final[ppn_z],tbl_Historique_Final[date_modif])=Final_Sans_VGE[[#This Row],[date_modif]],
      "Ancien",
      "Modifié"),
   "Nouveau"))</f>
        <v>Ancien</v>
      </c>
      <c r="AC1551"/>
      <c r="AD1551"/>
    </row>
    <row r="1552" spans="1:30" ht="45" x14ac:dyDescent="0.25">
      <c r="A1552" s="5" t="s">
        <v>4820</v>
      </c>
      <c r="B1552" s="1" t="s">
        <v>9476</v>
      </c>
      <c r="C1552" s="1" t="s">
        <v>12</v>
      </c>
      <c r="G1552" s="1" t="s">
        <v>11</v>
      </c>
      <c r="J1552" s="3">
        <v>46122.647268518522</v>
      </c>
      <c r="K1552" s="2" t="s">
        <v>9477</v>
      </c>
      <c r="L1552" s="1">
        <v>21</v>
      </c>
      <c r="M1552" s="1">
        <v>21</v>
      </c>
      <c r="N1552">
        <v>0</v>
      </c>
      <c r="O1552" s="3">
        <f>IF(
    R1552="Ancien",
    _xlfn.XLOOKUP(
        Final_Sans_VGE[[#This Row],[ppn_z]],
        tbl_Historique_Final[ppn_z],
        tbl_Historique_Final[Horodatage],
        ""
    ),
    Horodatage!$A$2
)</f>
        <v>46233.670796365739</v>
      </c>
      <c r="P1552" s="1" t="str">
        <f>IFERROR(IF(tbl_Historique_Final[[#This Row],[Commentaires]]&lt;&gt;"",tbl_Historique_Final[[#This Row],[Commentaires]],""),"")</f>
        <v/>
      </c>
      <c r="X1552" s="8" t="str">
        <f>IF(Final_Sans_VGE[[#This Row],[ppn_z]]="","",IFERROR(
   IF(_xlfn.XLOOKUP(Final_Sans_VGE[[#This Row],[ppn_z]],tbl_Historique_Final[ppn_z],tbl_Historique_Final[date_modif])=Final_Sans_VGE[[#This Row],[date_modif]],
      "Ancien",
      "Modifié"),
   "Nouveau"))</f>
        <v>Ancien</v>
      </c>
      <c r="AC1552"/>
      <c r="AD1552"/>
    </row>
    <row r="1553" spans="1:30" ht="45" x14ac:dyDescent="0.25">
      <c r="A1553" s="5" t="s">
        <v>4823</v>
      </c>
      <c r="B1553" s="1" t="s">
        <v>9478</v>
      </c>
      <c r="C1553" s="1" t="s">
        <v>156</v>
      </c>
      <c r="D1553" s="1" t="s">
        <v>133</v>
      </c>
      <c r="E1553" s="1" t="s">
        <v>159</v>
      </c>
      <c r="G1553" s="1" t="s">
        <v>10</v>
      </c>
      <c r="H1553" s="1" t="s">
        <v>22</v>
      </c>
      <c r="I1553" s="1" t="s">
        <v>22</v>
      </c>
      <c r="J1553" s="3">
        <v>46138.452256944445</v>
      </c>
      <c r="K1553" s="2" t="s">
        <v>9479</v>
      </c>
      <c r="L1553" s="1">
        <v>207</v>
      </c>
      <c r="M1553" s="1">
        <v>212</v>
      </c>
      <c r="N1553">
        <v>5</v>
      </c>
      <c r="O1553" s="3">
        <f>IF(
    R1553="Ancien",
    _xlfn.XLOOKUP(
        Final_Sans_VGE[[#This Row],[ppn_z]],
        tbl_Historique_Final[ppn_z],
        tbl_Historique_Final[Horodatage],
        ""
    ),
    Horodatage!$A$2
)</f>
        <v>46233.670796365739</v>
      </c>
      <c r="P1553" s="1" t="str">
        <f>IFERROR(IF(tbl_Historique_Final[[#This Row],[Commentaires]]&lt;&gt;"",tbl_Historique_Final[[#This Row],[Commentaires]],""),"")</f>
        <v/>
      </c>
      <c r="X1553" s="8" t="str">
        <f>IF(Final_Sans_VGE[[#This Row],[ppn_z]]="","",IFERROR(
   IF(_xlfn.XLOOKUP(Final_Sans_VGE[[#This Row],[ppn_z]],tbl_Historique_Final[ppn_z],tbl_Historique_Final[date_modif])=Final_Sans_VGE[[#This Row],[date_modif]],
      "Ancien",
      "Modifié"),
   "Nouveau"))</f>
        <v>Ancien</v>
      </c>
      <c r="AC1553"/>
      <c r="AD1553"/>
    </row>
    <row r="1554" spans="1:30" x14ac:dyDescent="0.25">
      <c r="A1554" s="5" t="s">
        <v>4826</v>
      </c>
      <c r="B1554" s="1" t="s">
        <v>9480</v>
      </c>
      <c r="C1554" s="1" t="s">
        <v>75</v>
      </c>
      <c r="G1554" s="1" t="s">
        <v>11</v>
      </c>
      <c r="J1554" s="3">
        <v>46134.684745370374</v>
      </c>
      <c r="K1554" s="2" t="s">
        <v>9481</v>
      </c>
      <c r="L1554" s="1">
        <v>23</v>
      </c>
      <c r="M1554" s="1">
        <v>24</v>
      </c>
      <c r="N1554">
        <v>1</v>
      </c>
      <c r="O1554" s="3">
        <f>IF(
    R1554="Ancien",
    _xlfn.XLOOKUP(
        Final_Sans_VGE[[#This Row],[ppn_z]],
        tbl_Historique_Final[ppn_z],
        tbl_Historique_Final[Horodatage],
        ""
    ),
    Horodatage!$A$2
)</f>
        <v>46233.670796365739</v>
      </c>
      <c r="P1554" s="1" t="str">
        <f>IFERROR(IF(tbl_Historique_Final[[#This Row],[Commentaires]]&lt;&gt;"",tbl_Historique_Final[[#This Row],[Commentaires]],""),"")</f>
        <v/>
      </c>
      <c r="X1554" s="8" t="str">
        <f>IF(Final_Sans_VGE[[#This Row],[ppn_z]]="","",IFERROR(
   IF(_xlfn.XLOOKUP(Final_Sans_VGE[[#This Row],[ppn_z]],tbl_Historique_Final[ppn_z],tbl_Historique_Final[date_modif])=Final_Sans_VGE[[#This Row],[date_modif]],
      "Ancien",
      "Modifié"),
   "Nouveau"))</f>
        <v>Ancien</v>
      </c>
      <c r="AC1554"/>
      <c r="AD1554"/>
    </row>
    <row r="1555" spans="1:30" x14ac:dyDescent="0.25">
      <c r="A1555" s="5" t="s">
        <v>4829</v>
      </c>
      <c r="B1555" s="1" t="s">
        <v>9482</v>
      </c>
      <c r="J1555" s="3">
        <v>46038.640949074077</v>
      </c>
      <c r="L1555" s="1">
        <v>4</v>
      </c>
      <c r="M1555" s="1">
        <v>4</v>
      </c>
      <c r="N1555">
        <v>0</v>
      </c>
      <c r="O1555" s="3">
        <f>IF(
    R1555="Ancien",
    _xlfn.XLOOKUP(
        Final_Sans_VGE[[#This Row],[ppn_z]],
        tbl_Historique_Final[ppn_z],
        tbl_Historique_Final[Horodatage],
        ""
    ),
    Horodatage!$A$2
)</f>
        <v>46233.670796365739</v>
      </c>
      <c r="P1555" s="1" t="str">
        <f>IFERROR(IF(tbl_Historique_Final[[#This Row],[Commentaires]]&lt;&gt;"",tbl_Historique_Final[[#This Row],[Commentaires]],""),"")</f>
        <v/>
      </c>
      <c r="X1555" s="8" t="str">
        <f>IF(Final_Sans_VGE[[#This Row],[ppn_z]]="","",IFERROR(
   IF(_xlfn.XLOOKUP(Final_Sans_VGE[[#This Row],[ppn_z]],tbl_Historique_Final[ppn_z],tbl_Historique_Final[date_modif])=Final_Sans_VGE[[#This Row],[date_modif]],
      "Ancien",
      "Modifié"),
   "Nouveau"))</f>
        <v>Ancien</v>
      </c>
      <c r="AC1555"/>
      <c r="AD1555"/>
    </row>
    <row r="1556" spans="1:30" ht="45" x14ac:dyDescent="0.25">
      <c r="A1556" s="5" t="s">
        <v>4832</v>
      </c>
      <c r="B1556" s="1" t="s">
        <v>9483</v>
      </c>
      <c r="C1556" s="1" t="s">
        <v>123</v>
      </c>
      <c r="J1556" s="3">
        <v>46142.384027777778</v>
      </c>
      <c r="K1556" s="2" t="s">
        <v>9484</v>
      </c>
      <c r="L1556" s="1">
        <v>2</v>
      </c>
      <c r="M1556" s="1">
        <v>4</v>
      </c>
      <c r="N1556">
        <v>2</v>
      </c>
      <c r="O1556" s="3">
        <f>IF(
    R1556="Ancien",
    _xlfn.XLOOKUP(
        Final_Sans_VGE[[#This Row],[ppn_z]],
        tbl_Historique_Final[ppn_z],
        tbl_Historique_Final[Horodatage],
        ""
    ),
    Horodatage!$A$2
)</f>
        <v>46233.670796365739</v>
      </c>
      <c r="P1556" s="1" t="str">
        <f>IFERROR(IF(tbl_Historique_Final[[#This Row],[Commentaires]]&lt;&gt;"",tbl_Historique_Final[[#This Row],[Commentaires]],""),"")</f>
        <v/>
      </c>
      <c r="X1556" s="8" t="str">
        <f>IF(Final_Sans_VGE[[#This Row],[ppn_z]]="","",IFERROR(
   IF(_xlfn.XLOOKUP(Final_Sans_VGE[[#This Row],[ppn_z]],tbl_Historique_Final[ppn_z],tbl_Historique_Final[date_modif])=Final_Sans_VGE[[#This Row],[date_modif]],
      "Ancien",
      "Modifié"),
   "Nouveau"))</f>
        <v>Ancien</v>
      </c>
      <c r="AC1556"/>
      <c r="AD1556"/>
    </row>
    <row r="1557" spans="1:30" x14ac:dyDescent="0.25">
      <c r="A1557" s="5" t="s">
        <v>4835</v>
      </c>
      <c r="B1557" s="1" t="s">
        <v>9485</v>
      </c>
      <c r="G1557" s="1" t="s">
        <v>10</v>
      </c>
      <c r="J1557" s="3">
        <v>46114.486944444441</v>
      </c>
      <c r="L1557" s="1">
        <v>16</v>
      </c>
      <c r="M1557" s="1">
        <v>19</v>
      </c>
      <c r="N1557">
        <v>3</v>
      </c>
      <c r="O1557" s="3">
        <f>IF(
    R1557="Ancien",
    _xlfn.XLOOKUP(
        Final_Sans_VGE[[#This Row],[ppn_z]],
        tbl_Historique_Final[ppn_z],
        tbl_Historique_Final[Horodatage],
        ""
    ),
    Horodatage!$A$2
)</f>
        <v>46233.670796365739</v>
      </c>
      <c r="P1557" s="1" t="str">
        <f>IFERROR(IF(tbl_Historique_Final[[#This Row],[Commentaires]]&lt;&gt;"",tbl_Historique_Final[[#This Row],[Commentaires]],""),"")</f>
        <v/>
      </c>
      <c r="X1557" s="8" t="str">
        <f>IF(Final_Sans_VGE[[#This Row],[ppn_z]]="","",IFERROR(
   IF(_xlfn.XLOOKUP(Final_Sans_VGE[[#This Row],[ppn_z]],tbl_Historique_Final[ppn_z],tbl_Historique_Final[date_modif])=Final_Sans_VGE[[#This Row],[date_modif]],
      "Ancien",
      "Modifié"),
   "Nouveau"))</f>
        <v>Ancien</v>
      </c>
      <c r="AC1557"/>
      <c r="AD1557"/>
    </row>
    <row r="1558" spans="1:30" x14ac:dyDescent="0.25">
      <c r="A1558" s="5" t="s">
        <v>4838</v>
      </c>
      <c r="B1558" s="1" t="s">
        <v>9486</v>
      </c>
      <c r="C1558" s="1" t="s">
        <v>8724</v>
      </c>
      <c r="D1558" s="1" t="s">
        <v>14</v>
      </c>
      <c r="E1558" s="1" t="s">
        <v>7789</v>
      </c>
      <c r="F1558" s="1" t="s">
        <v>8572</v>
      </c>
      <c r="G1558" s="1" t="s">
        <v>10</v>
      </c>
      <c r="H1558" s="1" t="s">
        <v>22</v>
      </c>
      <c r="I1558" s="1" t="s">
        <v>22</v>
      </c>
      <c r="J1558" s="3">
        <v>46135.590277777781</v>
      </c>
      <c r="K1558" s="2" t="s">
        <v>7461</v>
      </c>
      <c r="L1558" s="1">
        <v>3</v>
      </c>
      <c r="M1558" s="1">
        <v>4</v>
      </c>
      <c r="N1558">
        <v>1</v>
      </c>
      <c r="O1558" s="3">
        <f>IF(
    R1558="Ancien",
    _xlfn.XLOOKUP(
        Final_Sans_VGE[[#This Row],[ppn_z]],
        tbl_Historique_Final[ppn_z],
        tbl_Historique_Final[Horodatage],
        ""
    ),
    Horodatage!$A$2
)</f>
        <v>46233.670796365739</v>
      </c>
      <c r="P1558" s="1" t="str">
        <f>IFERROR(IF(tbl_Historique_Final[[#This Row],[Commentaires]]&lt;&gt;"",tbl_Historique_Final[[#This Row],[Commentaires]],""),"")</f>
        <v/>
      </c>
      <c r="X1558" s="8" t="str">
        <f>IF(Final_Sans_VGE[[#This Row],[ppn_z]]="","",IFERROR(
   IF(_xlfn.XLOOKUP(Final_Sans_VGE[[#This Row],[ppn_z]],tbl_Historique_Final[ppn_z],tbl_Historique_Final[date_modif])=Final_Sans_VGE[[#This Row],[date_modif]],
      "Ancien",
      "Modifié"),
   "Nouveau"))</f>
        <v>Ancien</v>
      </c>
      <c r="AC1558"/>
      <c r="AD1558"/>
    </row>
    <row r="1559" spans="1:30" x14ac:dyDescent="0.25">
      <c r="A1559" s="5" t="s">
        <v>4841</v>
      </c>
      <c r="B1559" s="1" t="s">
        <v>9487</v>
      </c>
      <c r="C1559" s="1" t="s">
        <v>39</v>
      </c>
      <c r="G1559" s="1" t="s">
        <v>11</v>
      </c>
      <c r="J1559" s="3">
        <v>46169.334374999999</v>
      </c>
      <c r="K1559" s="2" t="s">
        <v>9488</v>
      </c>
      <c r="L1559" s="1">
        <v>26</v>
      </c>
      <c r="M1559" s="1">
        <v>27</v>
      </c>
      <c r="N1559">
        <v>1</v>
      </c>
      <c r="O1559" s="3">
        <f>IF(
    R1559="Ancien",
    _xlfn.XLOOKUP(
        Final_Sans_VGE[[#This Row],[ppn_z]],
        tbl_Historique_Final[ppn_z],
        tbl_Historique_Final[Horodatage],
        ""
    ),
    Horodatage!$A$2
)</f>
        <v>46233.670796365739</v>
      </c>
      <c r="P1559" s="1" t="str">
        <f>IFERROR(IF(tbl_Historique_Final[[#This Row],[Commentaires]]&lt;&gt;"",tbl_Historique_Final[[#This Row],[Commentaires]],""),"")</f>
        <v/>
      </c>
      <c r="X1559" s="8" t="str">
        <f>IF(Final_Sans_VGE[[#This Row],[ppn_z]]="","",IFERROR(
   IF(_xlfn.XLOOKUP(Final_Sans_VGE[[#This Row],[ppn_z]],tbl_Historique_Final[ppn_z],tbl_Historique_Final[date_modif])=Final_Sans_VGE[[#This Row],[date_modif]],
      "Ancien",
      "Modifié"),
   "Nouveau"))</f>
        <v>Ancien</v>
      </c>
      <c r="AC1559"/>
      <c r="AD1559"/>
    </row>
    <row r="1560" spans="1:30" x14ac:dyDescent="0.25">
      <c r="A1560" s="5" t="s">
        <v>4844</v>
      </c>
      <c r="B1560" s="1" t="s">
        <v>9489</v>
      </c>
      <c r="C1560" s="1" t="s">
        <v>82</v>
      </c>
      <c r="G1560" s="1" t="s">
        <v>11</v>
      </c>
      <c r="J1560" s="3">
        <v>46114.704548611109</v>
      </c>
      <c r="K1560" s="2" t="s">
        <v>9490</v>
      </c>
      <c r="L1560" s="1">
        <v>22</v>
      </c>
      <c r="M1560" s="1">
        <v>22</v>
      </c>
      <c r="N1560">
        <v>0</v>
      </c>
      <c r="O1560" s="3">
        <f>IF(
    R1560="Ancien",
    _xlfn.XLOOKUP(
        Final_Sans_VGE[[#This Row],[ppn_z]],
        tbl_Historique_Final[ppn_z],
        tbl_Historique_Final[Horodatage],
        ""
    ),
    Horodatage!$A$2
)</f>
        <v>46233.670796365739</v>
      </c>
      <c r="P1560" s="1" t="str">
        <f>IFERROR(IF(tbl_Historique_Final[[#This Row],[Commentaires]]&lt;&gt;"",tbl_Historique_Final[[#This Row],[Commentaires]],""),"")</f>
        <v/>
      </c>
      <c r="X1560" s="8" t="str">
        <f>IF(Final_Sans_VGE[[#This Row],[ppn_z]]="","",IFERROR(
   IF(_xlfn.XLOOKUP(Final_Sans_VGE[[#This Row],[ppn_z]],tbl_Historique_Final[ppn_z],tbl_Historique_Final[date_modif])=Final_Sans_VGE[[#This Row],[date_modif]],
      "Ancien",
      "Modifié"),
   "Nouveau"))</f>
        <v>Ancien</v>
      </c>
      <c r="AC1560"/>
      <c r="AD1560"/>
    </row>
    <row r="1561" spans="1:30" x14ac:dyDescent="0.25">
      <c r="A1561" s="5" t="s">
        <v>4847</v>
      </c>
      <c r="B1561" s="1" t="s">
        <v>9491</v>
      </c>
      <c r="J1561" s="3">
        <v>46170.380740740744</v>
      </c>
      <c r="K1561" s="2" t="s">
        <v>9492</v>
      </c>
      <c r="L1561" s="1">
        <v>1</v>
      </c>
      <c r="M1561" s="1">
        <v>1</v>
      </c>
      <c r="N1561">
        <v>0</v>
      </c>
      <c r="O1561" s="3">
        <f>IF(
    R1561="Ancien",
    _xlfn.XLOOKUP(
        Final_Sans_VGE[[#This Row],[ppn_z]],
        tbl_Historique_Final[ppn_z],
        tbl_Historique_Final[Horodatage],
        ""
    ),
    Horodatage!$A$2
)</f>
        <v>46233.670796365739</v>
      </c>
      <c r="P1561" s="1" t="str">
        <f>IFERROR(IF(tbl_Historique_Final[[#This Row],[Commentaires]]&lt;&gt;"",tbl_Historique_Final[[#This Row],[Commentaires]],""),"")</f>
        <v/>
      </c>
      <c r="X1561" s="8" t="str">
        <f>IF(Final_Sans_VGE[[#This Row],[ppn_z]]="","",IFERROR(
   IF(_xlfn.XLOOKUP(Final_Sans_VGE[[#This Row],[ppn_z]],tbl_Historique_Final[ppn_z],tbl_Historique_Final[date_modif])=Final_Sans_VGE[[#This Row],[date_modif]],
      "Ancien",
      "Modifié"),
   "Nouveau"))</f>
        <v>Ancien</v>
      </c>
      <c r="AC1561"/>
      <c r="AD1561"/>
    </row>
    <row r="1562" spans="1:30" x14ac:dyDescent="0.25">
      <c r="A1562" s="5" t="s">
        <v>4850</v>
      </c>
      <c r="B1562" s="1" t="s">
        <v>9493</v>
      </c>
      <c r="J1562" s="3">
        <v>46038.642418981479</v>
      </c>
      <c r="L1562" s="1">
        <v>160</v>
      </c>
      <c r="M1562" s="1">
        <v>169</v>
      </c>
      <c r="N1562">
        <v>9</v>
      </c>
      <c r="O1562" s="3">
        <f>IF(
    R1562="Ancien",
    _xlfn.XLOOKUP(
        Final_Sans_VGE[[#This Row],[ppn_z]],
        tbl_Historique_Final[ppn_z],
        tbl_Historique_Final[Horodatage],
        ""
    ),
    Horodatage!$A$2
)</f>
        <v>46233.670796365739</v>
      </c>
      <c r="P1562" s="1" t="str">
        <f>IFERROR(IF(tbl_Historique_Final[[#This Row],[Commentaires]]&lt;&gt;"",tbl_Historique_Final[[#This Row],[Commentaires]],""),"")</f>
        <v/>
      </c>
      <c r="X1562" s="8" t="str">
        <f>IF(Final_Sans_VGE[[#This Row],[ppn_z]]="","",IFERROR(
   IF(_xlfn.XLOOKUP(Final_Sans_VGE[[#This Row],[ppn_z]],tbl_Historique_Final[ppn_z],tbl_Historique_Final[date_modif])=Final_Sans_VGE[[#This Row],[date_modif]],
      "Ancien",
      "Modifié"),
   "Nouveau"))</f>
        <v>Ancien</v>
      </c>
      <c r="AC1562"/>
      <c r="AD1562"/>
    </row>
    <row r="1563" spans="1:30" x14ac:dyDescent="0.25">
      <c r="A1563" s="5" t="s">
        <v>4853</v>
      </c>
      <c r="B1563" s="1" t="s">
        <v>9494</v>
      </c>
      <c r="C1563" s="1" t="s">
        <v>12</v>
      </c>
      <c r="G1563" s="1" t="s">
        <v>10</v>
      </c>
      <c r="J1563" s="3">
        <v>46126.701226851852</v>
      </c>
      <c r="K1563" s="2" t="s">
        <v>9495</v>
      </c>
      <c r="L1563" s="1">
        <v>3</v>
      </c>
      <c r="M1563" s="1">
        <v>3</v>
      </c>
      <c r="N1563">
        <v>0</v>
      </c>
      <c r="O1563" s="3">
        <f>IF(
    R1563="Ancien",
    _xlfn.XLOOKUP(
        Final_Sans_VGE[[#This Row],[ppn_z]],
        tbl_Historique_Final[ppn_z],
        tbl_Historique_Final[Horodatage],
        ""
    ),
    Horodatage!$A$2
)</f>
        <v>46233.670796365739</v>
      </c>
      <c r="P1563" s="1" t="str">
        <f>IFERROR(IF(tbl_Historique_Final[[#This Row],[Commentaires]]&lt;&gt;"",tbl_Historique_Final[[#This Row],[Commentaires]],""),"")</f>
        <v/>
      </c>
      <c r="X1563" s="8" t="str">
        <f>IF(Final_Sans_VGE[[#This Row],[ppn_z]]="","",IFERROR(
   IF(_xlfn.XLOOKUP(Final_Sans_VGE[[#This Row],[ppn_z]],tbl_Historique_Final[ppn_z],tbl_Historique_Final[date_modif])=Final_Sans_VGE[[#This Row],[date_modif]],
      "Ancien",
      "Modifié"),
   "Nouveau"))</f>
        <v>Ancien</v>
      </c>
      <c r="AC1563"/>
      <c r="AD1563"/>
    </row>
    <row r="1564" spans="1:30" x14ac:dyDescent="0.25">
      <c r="A1564" s="5" t="s">
        <v>4856</v>
      </c>
      <c r="B1564" s="1" t="s">
        <v>9496</v>
      </c>
      <c r="J1564" s="3">
        <v>46038.647465277776</v>
      </c>
      <c r="L1564" s="1">
        <v>618</v>
      </c>
      <c r="M1564" s="1">
        <v>909</v>
      </c>
      <c r="N1564">
        <v>291</v>
      </c>
      <c r="O1564" s="3">
        <f>IF(
    R1564="Ancien",
    _xlfn.XLOOKUP(
        Final_Sans_VGE[[#This Row],[ppn_z]],
        tbl_Historique_Final[ppn_z],
        tbl_Historique_Final[Horodatage],
        ""
    ),
    Horodatage!$A$2
)</f>
        <v>46233.670796365739</v>
      </c>
      <c r="P1564" s="1" t="str">
        <f>IFERROR(IF(tbl_Historique_Final[[#This Row],[Commentaires]]&lt;&gt;"",tbl_Historique_Final[[#This Row],[Commentaires]],""),"")</f>
        <v/>
      </c>
      <c r="X1564" s="8" t="str">
        <f>IF(Final_Sans_VGE[[#This Row],[ppn_z]]="","",IFERROR(
   IF(_xlfn.XLOOKUP(Final_Sans_VGE[[#This Row],[ppn_z]],tbl_Historique_Final[ppn_z],tbl_Historique_Final[date_modif])=Final_Sans_VGE[[#This Row],[date_modif]],
      "Ancien",
      "Modifié"),
   "Nouveau"))</f>
        <v>Ancien</v>
      </c>
      <c r="AC1564"/>
      <c r="AD1564"/>
    </row>
    <row r="1565" spans="1:30" ht="30" x14ac:dyDescent="0.25">
      <c r="A1565" s="5" t="s">
        <v>4859</v>
      </c>
      <c r="B1565" s="1" t="s">
        <v>9497</v>
      </c>
      <c r="C1565" s="1" t="s">
        <v>7793</v>
      </c>
      <c r="D1565" s="1" t="s">
        <v>8153</v>
      </c>
      <c r="E1565" s="1" t="s">
        <v>77</v>
      </c>
      <c r="F1565" s="1" t="s">
        <v>14</v>
      </c>
      <c r="G1565" s="1" t="s">
        <v>10</v>
      </c>
      <c r="H1565" s="1" t="s">
        <v>9498</v>
      </c>
      <c r="I1565" s="1" t="s">
        <v>10522</v>
      </c>
      <c r="J1565" s="3">
        <v>46138.441284722219</v>
      </c>
      <c r="K1565" s="2" t="s">
        <v>9499</v>
      </c>
      <c r="L1565" s="1">
        <v>575</v>
      </c>
      <c r="M1565" s="1">
        <v>585</v>
      </c>
      <c r="N1565">
        <v>10</v>
      </c>
      <c r="O1565" s="3">
        <f>IF(
    R1565="Ancien",
    _xlfn.XLOOKUP(
        Final_Sans_VGE[[#This Row],[ppn_z]],
        tbl_Historique_Final[ppn_z],
        tbl_Historique_Final[Horodatage],
        ""
    ),
    Horodatage!$A$2
)</f>
        <v>46233.670796365739</v>
      </c>
      <c r="P1565" s="1" t="str">
        <f>IFERROR(IF(tbl_Historique_Final[[#This Row],[Commentaires]]&lt;&gt;"",tbl_Historique_Final[[#This Row],[Commentaires]],""),"")</f>
        <v/>
      </c>
      <c r="X1565" s="8" t="str">
        <f>IF(Final_Sans_VGE[[#This Row],[ppn_z]]="","",IFERROR(
   IF(_xlfn.XLOOKUP(Final_Sans_VGE[[#This Row],[ppn_z]],tbl_Historique_Final[ppn_z],tbl_Historique_Final[date_modif])=Final_Sans_VGE[[#This Row],[date_modif]],
      "Ancien",
      "Modifié"),
   "Nouveau"))</f>
        <v>Ancien</v>
      </c>
      <c r="AC1565"/>
      <c r="AD1565"/>
    </row>
    <row r="1566" spans="1:30" x14ac:dyDescent="0.25">
      <c r="A1566" s="5" t="s">
        <v>4862</v>
      </c>
      <c r="B1566" s="1" t="s">
        <v>9500</v>
      </c>
      <c r="C1566" s="1" t="s">
        <v>6363</v>
      </c>
      <c r="D1566" s="1" t="s">
        <v>9501</v>
      </c>
      <c r="E1566" s="1" t="s">
        <v>7546</v>
      </c>
      <c r="F1566" s="1" t="s">
        <v>14</v>
      </c>
      <c r="G1566" s="1" t="s">
        <v>10</v>
      </c>
      <c r="H1566" s="1" t="s">
        <v>22</v>
      </c>
      <c r="I1566" s="1" t="s">
        <v>22</v>
      </c>
      <c r="J1566" s="3">
        <v>46145.438414351855</v>
      </c>
      <c r="K1566" s="2" t="s">
        <v>9502</v>
      </c>
      <c r="L1566" s="1">
        <v>31</v>
      </c>
      <c r="M1566" s="1">
        <v>34</v>
      </c>
      <c r="N1566">
        <v>3</v>
      </c>
      <c r="O1566" s="3">
        <f>IF(
    R1566="Ancien",
    _xlfn.XLOOKUP(
        Final_Sans_VGE[[#This Row],[ppn_z]],
        tbl_Historique_Final[ppn_z],
        tbl_Historique_Final[Horodatage],
        ""
    ),
    Horodatage!$A$2
)</f>
        <v>46233.670796365739</v>
      </c>
      <c r="P1566" s="1" t="str">
        <f>IFERROR(IF(tbl_Historique_Final[[#This Row],[Commentaires]]&lt;&gt;"",tbl_Historique_Final[[#This Row],[Commentaires]],""),"")</f>
        <v/>
      </c>
      <c r="X1566" s="8" t="str">
        <f>IF(Final_Sans_VGE[[#This Row],[ppn_z]]="","",IFERROR(
   IF(_xlfn.XLOOKUP(Final_Sans_VGE[[#This Row],[ppn_z]],tbl_Historique_Final[ppn_z],tbl_Historique_Final[date_modif])=Final_Sans_VGE[[#This Row],[date_modif]],
      "Ancien",
      "Modifié"),
   "Nouveau"))</f>
        <v>Ancien</v>
      </c>
      <c r="AC1566"/>
      <c r="AD1566"/>
    </row>
    <row r="1567" spans="1:30" ht="30" x14ac:dyDescent="0.25">
      <c r="A1567" s="5" t="s">
        <v>4865</v>
      </c>
      <c r="B1567" s="1" t="s">
        <v>9503</v>
      </c>
      <c r="C1567" s="1" t="s">
        <v>60</v>
      </c>
      <c r="E1567" s="1" t="s">
        <v>9003</v>
      </c>
      <c r="G1567" s="1" t="s">
        <v>10</v>
      </c>
      <c r="H1567" s="1" t="s">
        <v>9504</v>
      </c>
      <c r="I1567" s="1" t="s">
        <v>22</v>
      </c>
      <c r="J1567" s="3">
        <v>46131.378738425927</v>
      </c>
      <c r="K1567" s="2" t="s">
        <v>9505</v>
      </c>
      <c r="L1567" s="1">
        <v>45</v>
      </c>
      <c r="M1567" s="1">
        <v>50</v>
      </c>
      <c r="N1567">
        <v>5</v>
      </c>
      <c r="O1567" s="3">
        <f>IF(
    R1567="Ancien",
    _xlfn.XLOOKUP(
        Final_Sans_VGE[[#This Row],[ppn_z]],
        tbl_Historique_Final[ppn_z],
        tbl_Historique_Final[Horodatage],
        ""
    ),
    Horodatage!$A$2
)</f>
        <v>46233.670796365739</v>
      </c>
      <c r="P1567" s="1" t="str">
        <f>IFERROR(IF(tbl_Historique_Final[[#This Row],[Commentaires]]&lt;&gt;"",tbl_Historique_Final[[#This Row],[Commentaires]],""),"")</f>
        <v/>
      </c>
      <c r="X1567" s="8" t="str">
        <f>IF(Final_Sans_VGE[[#This Row],[ppn_z]]="","",IFERROR(
   IF(_xlfn.XLOOKUP(Final_Sans_VGE[[#This Row],[ppn_z]],tbl_Historique_Final[ppn_z],tbl_Historique_Final[date_modif])=Final_Sans_VGE[[#This Row],[date_modif]],
      "Ancien",
      "Modifié"),
   "Nouveau"))</f>
        <v>Ancien</v>
      </c>
      <c r="AC1567"/>
      <c r="AD1567"/>
    </row>
    <row r="1568" spans="1:30" x14ac:dyDescent="0.25">
      <c r="A1568" s="5" t="s">
        <v>4868</v>
      </c>
      <c r="B1568" s="1" t="s">
        <v>9506</v>
      </c>
      <c r="C1568" s="1" t="s">
        <v>6447</v>
      </c>
      <c r="G1568" s="1" t="s">
        <v>11</v>
      </c>
      <c r="J1568" s="3">
        <v>46133.551689814813</v>
      </c>
      <c r="K1568" s="2" t="s">
        <v>9507</v>
      </c>
      <c r="L1568" s="1">
        <v>11</v>
      </c>
      <c r="M1568" s="1">
        <v>12</v>
      </c>
      <c r="N1568">
        <v>1</v>
      </c>
      <c r="O1568" s="3">
        <f>IF(
    R1568="Ancien",
    _xlfn.XLOOKUP(
        Final_Sans_VGE[[#This Row],[ppn_z]],
        tbl_Historique_Final[ppn_z],
        tbl_Historique_Final[Horodatage],
        ""
    ),
    Horodatage!$A$2
)</f>
        <v>46233.670796365739</v>
      </c>
      <c r="P1568" s="1" t="str">
        <f>IFERROR(IF(tbl_Historique_Final[[#This Row],[Commentaires]]&lt;&gt;"",tbl_Historique_Final[[#This Row],[Commentaires]],""),"")</f>
        <v/>
      </c>
      <c r="X1568" s="8" t="str">
        <f>IF(Final_Sans_VGE[[#This Row],[ppn_z]]="","",IFERROR(
   IF(_xlfn.XLOOKUP(Final_Sans_VGE[[#This Row],[ppn_z]],tbl_Historique_Final[ppn_z],tbl_Historique_Final[date_modif])=Final_Sans_VGE[[#This Row],[date_modif]],
      "Ancien",
      "Modifié"),
   "Nouveau"))</f>
        <v>Ancien</v>
      </c>
      <c r="AC1568"/>
      <c r="AD1568"/>
    </row>
    <row r="1569" spans="1:30" x14ac:dyDescent="0.25">
      <c r="A1569" s="5" t="s">
        <v>4871</v>
      </c>
      <c r="B1569" s="1" t="s">
        <v>9508</v>
      </c>
      <c r="C1569" s="1" t="s">
        <v>152</v>
      </c>
      <c r="E1569" s="1" t="s">
        <v>12</v>
      </c>
      <c r="G1569" s="1" t="s">
        <v>10</v>
      </c>
      <c r="J1569" s="3">
        <v>46120.679652777777</v>
      </c>
      <c r="L1569" s="1">
        <v>4</v>
      </c>
      <c r="M1569" s="1">
        <v>5</v>
      </c>
      <c r="N1569">
        <v>1</v>
      </c>
      <c r="O1569" s="3">
        <f>IF(
    R1569="Ancien",
    _xlfn.XLOOKUP(
        Final_Sans_VGE[[#This Row],[ppn_z]],
        tbl_Historique_Final[ppn_z],
        tbl_Historique_Final[Horodatage],
        ""
    ),
    Horodatage!$A$2
)</f>
        <v>46233.670796365739</v>
      </c>
      <c r="P1569" s="1" t="str">
        <f>IFERROR(IF(tbl_Historique_Final[[#This Row],[Commentaires]]&lt;&gt;"",tbl_Historique_Final[[#This Row],[Commentaires]],""),"")</f>
        <v/>
      </c>
      <c r="X1569" s="8" t="str">
        <f>IF(Final_Sans_VGE[[#This Row],[ppn_z]]="","",IFERROR(
   IF(_xlfn.XLOOKUP(Final_Sans_VGE[[#This Row],[ppn_z]],tbl_Historique_Final[ppn_z],tbl_Historique_Final[date_modif])=Final_Sans_VGE[[#This Row],[date_modif]],
      "Ancien",
      "Modifié"),
   "Nouveau"))</f>
        <v>Ancien</v>
      </c>
      <c r="AC1569"/>
      <c r="AD1569"/>
    </row>
    <row r="1570" spans="1:30" x14ac:dyDescent="0.25">
      <c r="A1570" s="5" t="s">
        <v>4874</v>
      </c>
      <c r="B1570" s="1" t="s">
        <v>9509</v>
      </c>
      <c r="C1570" s="1" t="s">
        <v>9510</v>
      </c>
      <c r="D1570" s="1" t="s">
        <v>14</v>
      </c>
      <c r="E1570" s="1" t="s">
        <v>9049</v>
      </c>
      <c r="G1570" s="1" t="s">
        <v>10</v>
      </c>
      <c r="H1570" s="1" t="s">
        <v>22</v>
      </c>
      <c r="I1570" s="1" t="s">
        <v>22</v>
      </c>
      <c r="J1570" s="3">
        <v>46153.357951388891</v>
      </c>
      <c r="K1570" s="2" t="s">
        <v>9511</v>
      </c>
      <c r="L1570" s="1">
        <v>7</v>
      </c>
      <c r="M1570" s="1">
        <v>7</v>
      </c>
      <c r="N1570">
        <v>0</v>
      </c>
      <c r="O1570" s="3">
        <f>IF(
    R1570="Ancien",
    _xlfn.XLOOKUP(
        Final_Sans_VGE[[#This Row],[ppn_z]],
        tbl_Historique_Final[ppn_z],
        tbl_Historique_Final[Horodatage],
        ""
    ),
    Horodatage!$A$2
)</f>
        <v>46233.670796365739</v>
      </c>
      <c r="P1570" s="1" t="str">
        <f>IFERROR(IF(tbl_Historique_Final[[#This Row],[Commentaires]]&lt;&gt;"",tbl_Historique_Final[[#This Row],[Commentaires]],""),"")</f>
        <v/>
      </c>
      <c r="X1570" s="8" t="str">
        <f>IF(Final_Sans_VGE[[#This Row],[ppn_z]]="","",IFERROR(
   IF(_xlfn.XLOOKUP(Final_Sans_VGE[[#This Row],[ppn_z]],tbl_Historique_Final[ppn_z],tbl_Historique_Final[date_modif])=Final_Sans_VGE[[#This Row],[date_modif]],
      "Ancien",
      "Modifié"),
   "Nouveau"))</f>
        <v>Ancien</v>
      </c>
      <c r="AC1570"/>
      <c r="AD1570"/>
    </row>
    <row r="1571" spans="1:30" x14ac:dyDescent="0.25">
      <c r="A1571" s="5" t="s">
        <v>4877</v>
      </c>
      <c r="B1571" s="1" t="s">
        <v>9512</v>
      </c>
      <c r="C1571" s="1" t="s">
        <v>79</v>
      </c>
      <c r="G1571" s="1" t="s">
        <v>11</v>
      </c>
      <c r="J1571" s="3">
        <v>46120.745324074072</v>
      </c>
      <c r="L1571" s="1">
        <v>6</v>
      </c>
      <c r="M1571" s="1">
        <v>7</v>
      </c>
      <c r="N1571">
        <v>1</v>
      </c>
      <c r="O1571" s="3">
        <f>IF(
    R1571="Ancien",
    _xlfn.XLOOKUP(
        Final_Sans_VGE[[#This Row],[ppn_z]],
        tbl_Historique_Final[ppn_z],
        tbl_Historique_Final[Horodatage],
        ""
    ),
    Horodatage!$A$2
)</f>
        <v>46233.670796365739</v>
      </c>
      <c r="P1571" s="1" t="str">
        <f>IFERROR(IF(tbl_Historique_Final[[#This Row],[Commentaires]]&lt;&gt;"",tbl_Historique_Final[[#This Row],[Commentaires]],""),"")</f>
        <v/>
      </c>
      <c r="X1571" s="8" t="str">
        <f>IF(Final_Sans_VGE[[#This Row],[ppn_z]]="","",IFERROR(
   IF(_xlfn.XLOOKUP(Final_Sans_VGE[[#This Row],[ppn_z]],tbl_Historique_Final[ppn_z],tbl_Historique_Final[date_modif])=Final_Sans_VGE[[#This Row],[date_modif]],
      "Ancien",
      "Modifié"),
   "Nouveau"))</f>
        <v>Ancien</v>
      </c>
      <c r="AC1571"/>
      <c r="AD1571"/>
    </row>
    <row r="1572" spans="1:30" x14ac:dyDescent="0.25">
      <c r="A1572" s="5" t="s">
        <v>4880</v>
      </c>
      <c r="B1572" s="1" t="s">
        <v>9513</v>
      </c>
      <c r="C1572" s="1" t="s">
        <v>12</v>
      </c>
      <c r="G1572" s="1" t="s">
        <v>10</v>
      </c>
      <c r="J1572" s="3">
        <v>46142.463090277779</v>
      </c>
      <c r="K1572" s="2" t="s">
        <v>9514</v>
      </c>
      <c r="L1572" s="1">
        <v>19</v>
      </c>
      <c r="M1572" s="1">
        <v>19</v>
      </c>
      <c r="N1572">
        <v>0</v>
      </c>
      <c r="O1572" s="3">
        <f>IF(
    R1572="Ancien",
    _xlfn.XLOOKUP(
        Final_Sans_VGE[[#This Row],[ppn_z]],
        tbl_Historique_Final[ppn_z],
        tbl_Historique_Final[Horodatage],
        ""
    ),
    Horodatage!$A$2
)</f>
        <v>46233.670796365739</v>
      </c>
      <c r="P1572" s="1" t="str">
        <f>IFERROR(IF(tbl_Historique_Final[[#This Row],[Commentaires]]&lt;&gt;"",tbl_Historique_Final[[#This Row],[Commentaires]],""),"")</f>
        <v/>
      </c>
      <c r="X1572" s="8" t="str">
        <f>IF(Final_Sans_VGE[[#This Row],[ppn_z]]="","",IFERROR(
   IF(_xlfn.XLOOKUP(Final_Sans_VGE[[#This Row],[ppn_z]],tbl_Historique_Final[ppn_z],tbl_Historique_Final[date_modif])=Final_Sans_VGE[[#This Row],[date_modif]],
      "Ancien",
      "Modifié"),
   "Nouveau"))</f>
        <v>Ancien</v>
      </c>
      <c r="AC1572"/>
      <c r="AD1572"/>
    </row>
    <row r="1573" spans="1:30" ht="30" x14ac:dyDescent="0.25">
      <c r="A1573" s="5" t="s">
        <v>4883</v>
      </c>
      <c r="B1573" s="1" t="s">
        <v>9515</v>
      </c>
      <c r="C1573" s="1" t="s">
        <v>6793</v>
      </c>
      <c r="J1573" s="3">
        <v>46112.643148148149</v>
      </c>
      <c r="K1573" s="2" t="s">
        <v>9516</v>
      </c>
      <c r="L1573" s="1">
        <v>1</v>
      </c>
      <c r="M1573" s="1">
        <v>1</v>
      </c>
      <c r="N1573">
        <v>0</v>
      </c>
      <c r="O1573" s="3">
        <f>IF(
    R1573="Ancien",
    _xlfn.XLOOKUP(
        Final_Sans_VGE[[#This Row],[ppn_z]],
        tbl_Historique_Final[ppn_z],
        tbl_Historique_Final[Horodatage],
        ""
    ),
    Horodatage!$A$2
)</f>
        <v>46233.670796365739</v>
      </c>
      <c r="P1573" s="1" t="str">
        <f>IFERROR(IF(tbl_Historique_Final[[#This Row],[Commentaires]]&lt;&gt;"",tbl_Historique_Final[[#This Row],[Commentaires]],""),"")</f>
        <v/>
      </c>
      <c r="X1573" s="8" t="str">
        <f>IF(Final_Sans_VGE[[#This Row],[ppn_z]]="","",IFERROR(
   IF(_xlfn.XLOOKUP(Final_Sans_VGE[[#This Row],[ppn_z]],tbl_Historique_Final[ppn_z],tbl_Historique_Final[date_modif])=Final_Sans_VGE[[#This Row],[date_modif]],
      "Ancien",
      "Modifié"),
   "Nouveau"))</f>
        <v>Ancien</v>
      </c>
      <c r="AC1573"/>
      <c r="AD1573"/>
    </row>
    <row r="1574" spans="1:30" x14ac:dyDescent="0.25">
      <c r="A1574" s="5" t="s">
        <v>4886</v>
      </c>
      <c r="B1574" s="1" t="s">
        <v>9517</v>
      </c>
      <c r="C1574" s="1" t="s">
        <v>9518</v>
      </c>
      <c r="D1574" s="1" t="s">
        <v>8968</v>
      </c>
      <c r="E1574" s="1" t="s">
        <v>154</v>
      </c>
      <c r="F1574" s="1" t="s">
        <v>14</v>
      </c>
      <c r="G1574" s="1" t="s">
        <v>11</v>
      </c>
      <c r="H1574" s="1" t="s">
        <v>22</v>
      </c>
      <c r="I1574" s="1" t="s">
        <v>22</v>
      </c>
      <c r="J1574" s="3">
        <v>46138.441157407404</v>
      </c>
      <c r="K1574" s="2" t="s">
        <v>9519</v>
      </c>
      <c r="L1574" s="1">
        <v>9</v>
      </c>
      <c r="M1574" s="1">
        <v>9</v>
      </c>
      <c r="N1574">
        <v>0</v>
      </c>
      <c r="O1574" s="3">
        <f>IF(
    R1574="Ancien",
    _xlfn.XLOOKUP(
        Final_Sans_VGE[[#This Row],[ppn_z]],
        tbl_Historique_Final[ppn_z],
        tbl_Historique_Final[Horodatage],
        ""
    ),
    Horodatage!$A$2
)</f>
        <v>46233.670796365739</v>
      </c>
      <c r="P1574" s="1" t="str">
        <f>IFERROR(IF(tbl_Historique_Final[[#This Row],[Commentaires]]&lt;&gt;"",tbl_Historique_Final[[#This Row],[Commentaires]],""),"")</f>
        <v/>
      </c>
      <c r="X1574" s="8" t="str">
        <f>IF(Final_Sans_VGE[[#This Row],[ppn_z]]="","",IFERROR(
   IF(_xlfn.XLOOKUP(Final_Sans_VGE[[#This Row],[ppn_z]],tbl_Historique_Final[ppn_z],tbl_Historique_Final[date_modif])=Final_Sans_VGE[[#This Row],[date_modif]],
      "Ancien",
      "Modifié"),
   "Nouveau"))</f>
        <v>Ancien</v>
      </c>
      <c r="AC1574"/>
      <c r="AD1574"/>
    </row>
    <row r="1575" spans="1:30" x14ac:dyDescent="0.25">
      <c r="A1575" s="5" t="s">
        <v>4889</v>
      </c>
      <c r="B1575" s="1" t="s">
        <v>9520</v>
      </c>
      <c r="C1575" s="1" t="s">
        <v>8814</v>
      </c>
      <c r="E1575" s="1" t="s">
        <v>139</v>
      </c>
      <c r="G1575" s="1" t="s">
        <v>10</v>
      </c>
      <c r="J1575" s="3">
        <v>46190.610972222225</v>
      </c>
      <c r="K1575" s="2" t="s">
        <v>9521</v>
      </c>
      <c r="L1575" s="1">
        <v>5</v>
      </c>
      <c r="M1575" s="1">
        <v>6</v>
      </c>
      <c r="N1575">
        <v>1</v>
      </c>
      <c r="O1575" s="3">
        <f>IF(
    R1575="Ancien",
    _xlfn.XLOOKUP(
        Final_Sans_VGE[[#This Row],[ppn_z]],
        tbl_Historique_Final[ppn_z],
        tbl_Historique_Final[Horodatage],
        ""
    ),
    Horodatage!$A$2
)</f>
        <v>46233.670796365739</v>
      </c>
      <c r="P1575" s="1" t="str">
        <f>IFERROR(IF(tbl_Historique_Final[[#This Row],[Commentaires]]&lt;&gt;"",tbl_Historique_Final[[#This Row],[Commentaires]],""),"")</f>
        <v/>
      </c>
      <c r="X1575" s="8" t="str">
        <f>IF(Final_Sans_VGE[[#This Row],[ppn_z]]="","",IFERROR(
   IF(_xlfn.XLOOKUP(Final_Sans_VGE[[#This Row],[ppn_z]],tbl_Historique_Final[ppn_z],tbl_Historique_Final[date_modif])=Final_Sans_VGE[[#This Row],[date_modif]],
      "Ancien",
      "Modifié"),
   "Nouveau"))</f>
        <v>Ancien</v>
      </c>
      <c r="AC1575"/>
      <c r="AD1575"/>
    </row>
    <row r="1576" spans="1:30" x14ac:dyDescent="0.25">
      <c r="A1576" s="5" t="s">
        <v>4892</v>
      </c>
      <c r="B1576" s="1" t="s">
        <v>9522</v>
      </c>
      <c r="C1576" s="1" t="s">
        <v>12</v>
      </c>
      <c r="G1576" s="1" t="s">
        <v>11</v>
      </c>
      <c r="J1576" s="3">
        <v>46199.461701388886</v>
      </c>
      <c r="K1576" s="2" t="s">
        <v>9523</v>
      </c>
      <c r="L1576" s="1">
        <v>4</v>
      </c>
      <c r="M1576" s="1">
        <v>4</v>
      </c>
      <c r="N1576">
        <v>0</v>
      </c>
      <c r="O1576" s="3">
        <f>IF(
    R1576="Ancien",
    _xlfn.XLOOKUP(
        Final_Sans_VGE[[#This Row],[ppn_z]],
        tbl_Historique_Final[ppn_z],
        tbl_Historique_Final[Horodatage],
        ""
    ),
    Horodatage!$A$2
)</f>
        <v>46233.670796365739</v>
      </c>
      <c r="P1576" s="1" t="str">
        <f>IFERROR(IF(tbl_Historique_Final[[#This Row],[Commentaires]]&lt;&gt;"",tbl_Historique_Final[[#This Row],[Commentaires]],""),"")</f>
        <v/>
      </c>
      <c r="X1576" s="8" t="str">
        <f>IF(Final_Sans_VGE[[#This Row],[ppn_z]]="","",IFERROR(
   IF(_xlfn.XLOOKUP(Final_Sans_VGE[[#This Row],[ppn_z]],tbl_Historique_Final[ppn_z],tbl_Historique_Final[date_modif])=Final_Sans_VGE[[#This Row],[date_modif]],
      "Ancien",
      "Modifié"),
   "Nouveau"))</f>
        <v>Ancien</v>
      </c>
      <c r="AC1576"/>
      <c r="AD1576"/>
    </row>
    <row r="1577" spans="1:30" x14ac:dyDescent="0.25">
      <c r="A1577" s="5" t="s">
        <v>4895</v>
      </c>
      <c r="B1577" s="1" t="s">
        <v>9524</v>
      </c>
      <c r="C1577" s="1" t="s">
        <v>8372</v>
      </c>
      <c r="E1577" s="1" t="s">
        <v>6683</v>
      </c>
      <c r="G1577" s="1" t="s">
        <v>10</v>
      </c>
      <c r="J1577" s="3">
        <v>46189.37296296296</v>
      </c>
      <c r="K1577" s="2" t="s">
        <v>9525</v>
      </c>
      <c r="L1577" s="1">
        <v>7</v>
      </c>
      <c r="M1577" s="1">
        <v>7</v>
      </c>
      <c r="N1577">
        <v>0</v>
      </c>
      <c r="O1577" s="3">
        <f>IF(
    R1577="Ancien",
    _xlfn.XLOOKUP(
        Final_Sans_VGE[[#This Row],[ppn_z]],
        tbl_Historique_Final[ppn_z],
        tbl_Historique_Final[Horodatage],
        ""
    ),
    Horodatage!$A$2
)</f>
        <v>46233.670796365739</v>
      </c>
      <c r="P1577" s="1" t="str">
        <f>IFERROR(IF(tbl_Historique_Final[[#This Row],[Commentaires]]&lt;&gt;"",tbl_Historique_Final[[#This Row],[Commentaires]],""),"")</f>
        <v/>
      </c>
      <c r="X1577" s="8" t="str">
        <f>IF(Final_Sans_VGE[[#This Row],[ppn_z]]="","",IFERROR(
   IF(_xlfn.XLOOKUP(Final_Sans_VGE[[#This Row],[ppn_z]],tbl_Historique_Final[ppn_z],tbl_Historique_Final[date_modif])=Final_Sans_VGE[[#This Row],[date_modif]],
      "Ancien",
      "Modifié"),
   "Nouveau"))</f>
        <v>Ancien</v>
      </c>
      <c r="AC1577"/>
      <c r="AD1577"/>
    </row>
    <row r="1578" spans="1:30" ht="30" x14ac:dyDescent="0.25">
      <c r="A1578" s="5" t="s">
        <v>4898</v>
      </c>
      <c r="B1578" s="1" t="s">
        <v>9526</v>
      </c>
      <c r="C1578" s="1" t="s">
        <v>9434</v>
      </c>
      <c r="E1578" s="1" t="s">
        <v>76</v>
      </c>
      <c r="G1578" s="1" t="s">
        <v>10</v>
      </c>
      <c r="J1578" s="3">
        <v>46182.586273148147</v>
      </c>
      <c r="K1578" s="2" t="s">
        <v>9527</v>
      </c>
      <c r="L1578" s="1">
        <v>0</v>
      </c>
      <c r="M1578" s="1">
        <v>2</v>
      </c>
      <c r="N1578">
        <v>2</v>
      </c>
      <c r="O1578" s="3">
        <f>IF(
    R1578="Ancien",
    _xlfn.XLOOKUP(
        Final_Sans_VGE[[#This Row],[ppn_z]],
        tbl_Historique_Final[ppn_z],
        tbl_Historique_Final[Horodatage],
        ""
    ),
    Horodatage!$A$2
)</f>
        <v>46233.670796365739</v>
      </c>
      <c r="P1578" s="1" t="str">
        <f>IFERROR(IF(tbl_Historique_Final[[#This Row],[Commentaires]]&lt;&gt;"",tbl_Historique_Final[[#This Row],[Commentaires]],""),"")</f>
        <v/>
      </c>
      <c r="X1578" s="8" t="str">
        <f>IF(Final_Sans_VGE[[#This Row],[ppn_z]]="","",IFERROR(
   IF(_xlfn.XLOOKUP(Final_Sans_VGE[[#This Row],[ppn_z]],tbl_Historique_Final[ppn_z],tbl_Historique_Final[date_modif])=Final_Sans_VGE[[#This Row],[date_modif]],
      "Ancien",
      "Modifié"),
   "Nouveau"))</f>
        <v>Ancien</v>
      </c>
      <c r="AC1578"/>
      <c r="AD1578"/>
    </row>
    <row r="1579" spans="1:30" x14ac:dyDescent="0.25">
      <c r="A1579" s="5" t="s">
        <v>4901</v>
      </c>
      <c r="B1579" s="1" t="s">
        <v>9528</v>
      </c>
      <c r="C1579" s="1" t="s">
        <v>12</v>
      </c>
      <c r="G1579" s="1" t="s">
        <v>10</v>
      </c>
      <c r="J1579" s="3">
        <v>46174.679409722223</v>
      </c>
      <c r="K1579" s="2" t="s">
        <v>6935</v>
      </c>
      <c r="L1579" s="1">
        <v>1</v>
      </c>
      <c r="M1579" s="1">
        <v>1</v>
      </c>
      <c r="N1579">
        <v>0</v>
      </c>
      <c r="O1579" s="3">
        <f>IF(
    R1579="Ancien",
    _xlfn.XLOOKUP(
        Final_Sans_VGE[[#This Row],[ppn_z]],
        tbl_Historique_Final[ppn_z],
        tbl_Historique_Final[Horodatage],
        ""
    ),
    Horodatage!$A$2
)</f>
        <v>46233.670796365739</v>
      </c>
      <c r="P1579" s="1" t="str">
        <f>IFERROR(IF(tbl_Historique_Final[[#This Row],[Commentaires]]&lt;&gt;"",tbl_Historique_Final[[#This Row],[Commentaires]],""),"")</f>
        <v/>
      </c>
      <c r="X1579" s="8" t="str">
        <f>IF(Final_Sans_VGE[[#This Row],[ppn_z]]="","",IFERROR(
   IF(_xlfn.XLOOKUP(Final_Sans_VGE[[#This Row],[ppn_z]],tbl_Historique_Final[ppn_z],tbl_Historique_Final[date_modif])=Final_Sans_VGE[[#This Row],[date_modif]],
      "Ancien",
      "Modifié"),
   "Nouveau"))</f>
        <v>Ancien</v>
      </c>
      <c r="AC1579"/>
      <c r="AD1579"/>
    </row>
    <row r="1580" spans="1:30" ht="30" x14ac:dyDescent="0.25">
      <c r="A1580" s="5" t="s">
        <v>4904</v>
      </c>
      <c r="B1580" s="1" t="s">
        <v>9529</v>
      </c>
      <c r="C1580" s="1" t="s">
        <v>6444</v>
      </c>
      <c r="E1580" s="1" t="s">
        <v>8233</v>
      </c>
      <c r="G1580" s="1" t="s">
        <v>10</v>
      </c>
      <c r="J1580" s="3">
        <v>46199.603761574072</v>
      </c>
      <c r="K1580" s="2" t="s">
        <v>9530</v>
      </c>
      <c r="L1580" s="1">
        <v>14</v>
      </c>
      <c r="M1580" s="1">
        <v>15</v>
      </c>
      <c r="N1580">
        <v>1</v>
      </c>
      <c r="O1580" s="3">
        <f>IF(
    R1580="Ancien",
    _xlfn.XLOOKUP(
        Final_Sans_VGE[[#This Row],[ppn_z]],
        tbl_Historique_Final[ppn_z],
        tbl_Historique_Final[Horodatage],
        ""
    ),
    Horodatage!$A$2
)</f>
        <v>46233.670796365739</v>
      </c>
      <c r="P1580" s="1" t="str">
        <f>IFERROR(IF(tbl_Historique_Final[[#This Row],[Commentaires]]&lt;&gt;"",tbl_Historique_Final[[#This Row],[Commentaires]],""),"")</f>
        <v/>
      </c>
      <c r="X1580" s="8" t="str">
        <f>IF(Final_Sans_VGE[[#This Row],[ppn_z]]="","",IFERROR(
   IF(_xlfn.XLOOKUP(Final_Sans_VGE[[#This Row],[ppn_z]],tbl_Historique_Final[ppn_z],tbl_Historique_Final[date_modif])=Final_Sans_VGE[[#This Row],[date_modif]],
      "Ancien",
      "Modifié"),
   "Nouveau"))</f>
        <v>Ancien</v>
      </c>
      <c r="AC1580"/>
      <c r="AD1580"/>
    </row>
    <row r="1581" spans="1:30" ht="30" x14ac:dyDescent="0.25">
      <c r="A1581" s="5" t="s">
        <v>4907</v>
      </c>
      <c r="B1581" s="1" t="s">
        <v>9531</v>
      </c>
      <c r="C1581" s="1" t="s">
        <v>74</v>
      </c>
      <c r="G1581" s="1" t="s">
        <v>10</v>
      </c>
      <c r="J1581" s="3">
        <v>46175.799166666664</v>
      </c>
      <c r="K1581" s="2" t="s">
        <v>9532</v>
      </c>
      <c r="L1581" s="1">
        <v>20</v>
      </c>
      <c r="M1581" s="1">
        <v>48</v>
      </c>
      <c r="N1581">
        <v>28</v>
      </c>
      <c r="O1581" s="3">
        <f>IF(
    R1581="Ancien",
    _xlfn.XLOOKUP(
        Final_Sans_VGE[[#This Row],[ppn_z]],
        tbl_Historique_Final[ppn_z],
        tbl_Historique_Final[Horodatage],
        ""
    ),
    Horodatage!$A$2
)</f>
        <v>46233.670796365739</v>
      </c>
      <c r="P1581" s="1" t="str">
        <f>IFERROR(IF(tbl_Historique_Final[[#This Row],[Commentaires]]&lt;&gt;"",tbl_Historique_Final[[#This Row],[Commentaires]],""),"")</f>
        <v/>
      </c>
      <c r="X1581" s="8" t="str">
        <f>IF(Final_Sans_VGE[[#This Row],[ppn_z]]="","",IFERROR(
   IF(_xlfn.XLOOKUP(Final_Sans_VGE[[#This Row],[ppn_z]],tbl_Historique_Final[ppn_z],tbl_Historique_Final[date_modif])=Final_Sans_VGE[[#This Row],[date_modif]],
      "Ancien",
      "Modifié"),
   "Nouveau"))</f>
        <v>Ancien</v>
      </c>
      <c r="AC1581"/>
      <c r="AD1581"/>
    </row>
    <row r="1582" spans="1:30" x14ac:dyDescent="0.25">
      <c r="A1582" s="5" t="s">
        <v>4910</v>
      </c>
      <c r="B1582" s="1" t="s">
        <v>9533</v>
      </c>
      <c r="C1582" s="1" t="s">
        <v>9534</v>
      </c>
      <c r="D1582" s="1" t="s">
        <v>14</v>
      </c>
      <c r="E1582" s="1" t="s">
        <v>9535</v>
      </c>
      <c r="F1582" s="1" t="s">
        <v>14</v>
      </c>
      <c r="G1582" s="1" t="s">
        <v>10</v>
      </c>
      <c r="H1582" s="1" t="s">
        <v>22</v>
      </c>
      <c r="I1582" s="1" t="s">
        <v>22</v>
      </c>
      <c r="J1582" s="3">
        <v>46181.567974537036</v>
      </c>
      <c r="K1582" s="2" t="s">
        <v>9536</v>
      </c>
      <c r="L1582" s="1">
        <v>16</v>
      </c>
      <c r="M1582" s="1">
        <v>16</v>
      </c>
      <c r="N1582">
        <v>0</v>
      </c>
      <c r="O1582" s="3">
        <f>IF(
    R1582="Ancien",
    _xlfn.XLOOKUP(
        Final_Sans_VGE[[#This Row],[ppn_z]],
        tbl_Historique_Final[ppn_z],
        tbl_Historique_Final[Horodatage],
        ""
    ),
    Horodatage!$A$2
)</f>
        <v>46233.670796365739</v>
      </c>
      <c r="P1582" s="1" t="str">
        <f>IFERROR(IF(tbl_Historique_Final[[#This Row],[Commentaires]]&lt;&gt;"",tbl_Historique_Final[[#This Row],[Commentaires]],""),"")</f>
        <v/>
      </c>
      <c r="X1582" s="8" t="str">
        <f>IF(Final_Sans_VGE[[#This Row],[ppn_z]]="","",IFERROR(
   IF(_xlfn.XLOOKUP(Final_Sans_VGE[[#This Row],[ppn_z]],tbl_Historique_Final[ppn_z],tbl_Historique_Final[date_modif])=Final_Sans_VGE[[#This Row],[date_modif]],
      "Ancien",
      "Modifié"),
   "Nouveau"))</f>
        <v>Ancien</v>
      </c>
      <c r="AC1582"/>
      <c r="AD1582"/>
    </row>
    <row r="1583" spans="1:30" x14ac:dyDescent="0.25">
      <c r="A1583" s="5" t="s">
        <v>4913</v>
      </c>
      <c r="B1583" s="1" t="s">
        <v>9537</v>
      </c>
      <c r="C1583" s="1" t="s">
        <v>12</v>
      </c>
      <c r="G1583" s="1" t="s">
        <v>11</v>
      </c>
      <c r="J1583" s="3">
        <v>46183.44158564815</v>
      </c>
      <c r="K1583" s="2" t="s">
        <v>9538</v>
      </c>
      <c r="L1583" s="1">
        <v>1</v>
      </c>
      <c r="M1583" s="1">
        <v>1</v>
      </c>
      <c r="N1583">
        <v>0</v>
      </c>
      <c r="O1583" s="3">
        <f>IF(
    R1583="Ancien",
    _xlfn.XLOOKUP(
        Final_Sans_VGE[[#This Row],[ppn_z]],
        tbl_Historique_Final[ppn_z],
        tbl_Historique_Final[Horodatage],
        ""
    ),
    Horodatage!$A$2
)</f>
        <v>46233.670796365739</v>
      </c>
      <c r="P1583" s="1" t="str">
        <f>IFERROR(IF(tbl_Historique_Final[[#This Row],[Commentaires]]&lt;&gt;"",tbl_Historique_Final[[#This Row],[Commentaires]],""),"")</f>
        <v/>
      </c>
      <c r="X1583" s="8" t="str">
        <f>IF(Final_Sans_VGE[[#This Row],[ppn_z]]="","",IFERROR(
   IF(_xlfn.XLOOKUP(Final_Sans_VGE[[#This Row],[ppn_z]],tbl_Historique_Final[ppn_z],tbl_Historique_Final[date_modif])=Final_Sans_VGE[[#This Row],[date_modif]],
      "Ancien",
      "Modifié"),
   "Nouveau"))</f>
        <v>Ancien</v>
      </c>
      <c r="AC1583"/>
      <c r="AD1583"/>
    </row>
    <row r="1584" spans="1:30" x14ac:dyDescent="0.25">
      <c r="A1584" s="5" t="s">
        <v>4916</v>
      </c>
      <c r="B1584" s="1" t="s">
        <v>9539</v>
      </c>
      <c r="C1584" s="1" t="s">
        <v>9540</v>
      </c>
      <c r="E1584" s="1" t="s">
        <v>9541</v>
      </c>
      <c r="G1584" s="1" t="s">
        <v>10</v>
      </c>
      <c r="J1584" s="3">
        <v>46170.695914351854</v>
      </c>
      <c r="K1584" s="2" t="s">
        <v>8350</v>
      </c>
      <c r="L1584" s="1">
        <v>19</v>
      </c>
      <c r="M1584" s="1">
        <v>19</v>
      </c>
      <c r="N1584">
        <v>0</v>
      </c>
      <c r="O1584" s="3">
        <f>IF(
    R1584="Ancien",
    _xlfn.XLOOKUP(
        Final_Sans_VGE[[#This Row],[ppn_z]],
        tbl_Historique_Final[ppn_z],
        tbl_Historique_Final[Horodatage],
        ""
    ),
    Horodatage!$A$2
)</f>
        <v>46233.670796365739</v>
      </c>
      <c r="P1584" s="1" t="str">
        <f>IFERROR(IF(tbl_Historique_Final[[#This Row],[Commentaires]]&lt;&gt;"",tbl_Historique_Final[[#This Row],[Commentaires]],""),"")</f>
        <v/>
      </c>
      <c r="X1584" s="8" t="str">
        <f>IF(Final_Sans_VGE[[#This Row],[ppn_z]]="","",IFERROR(
   IF(_xlfn.XLOOKUP(Final_Sans_VGE[[#This Row],[ppn_z]],tbl_Historique_Final[ppn_z],tbl_Historique_Final[date_modif])=Final_Sans_VGE[[#This Row],[date_modif]],
      "Ancien",
      "Modifié"),
   "Nouveau"))</f>
        <v>Ancien</v>
      </c>
      <c r="AC1584"/>
      <c r="AD1584"/>
    </row>
    <row r="1585" spans="1:30" x14ac:dyDescent="0.25">
      <c r="A1585" s="5" t="s">
        <v>4919</v>
      </c>
      <c r="B1585" s="1" t="s">
        <v>9542</v>
      </c>
      <c r="C1585" s="1" t="s">
        <v>9543</v>
      </c>
      <c r="D1585" s="1" t="s">
        <v>14</v>
      </c>
      <c r="E1585" s="1" t="s">
        <v>8872</v>
      </c>
      <c r="F1585" s="1" t="s">
        <v>14</v>
      </c>
      <c r="G1585" s="1" t="s">
        <v>10</v>
      </c>
      <c r="H1585" s="1" t="s">
        <v>22</v>
      </c>
      <c r="I1585" s="1" t="s">
        <v>22</v>
      </c>
      <c r="J1585" s="3">
        <v>46204.524421296293</v>
      </c>
      <c r="K1585" s="2" t="s">
        <v>9544</v>
      </c>
      <c r="L1585" s="1">
        <v>291</v>
      </c>
      <c r="M1585" s="1">
        <v>295</v>
      </c>
      <c r="N1585">
        <v>4</v>
      </c>
      <c r="O1585" s="3">
        <f>IF(
    R1585="Ancien",
    _xlfn.XLOOKUP(
        Final_Sans_VGE[[#This Row],[ppn_z]],
        tbl_Historique_Final[ppn_z],
        tbl_Historique_Final[Horodatage],
        ""
    ),
    Horodatage!$A$2
)</f>
        <v>46233.670796365739</v>
      </c>
      <c r="P1585" s="1" t="str">
        <f>IFERROR(IF(tbl_Historique_Final[[#This Row],[Commentaires]]&lt;&gt;"",tbl_Historique_Final[[#This Row],[Commentaires]],""),"")</f>
        <v/>
      </c>
      <c r="X1585" s="8" t="str">
        <f>IF(Final_Sans_VGE[[#This Row],[ppn_z]]="","",IFERROR(
   IF(_xlfn.XLOOKUP(Final_Sans_VGE[[#This Row],[ppn_z]],tbl_Historique_Final[ppn_z],tbl_Historique_Final[date_modif])=Final_Sans_VGE[[#This Row],[date_modif]],
      "Ancien",
      "Modifié"),
   "Nouveau"))</f>
        <v>Ancien</v>
      </c>
      <c r="AC1585"/>
      <c r="AD1585"/>
    </row>
    <row r="1586" spans="1:30" x14ac:dyDescent="0.25">
      <c r="A1586" s="5" t="s">
        <v>4922</v>
      </c>
      <c r="B1586" s="1" t="s">
        <v>9545</v>
      </c>
      <c r="C1586" s="1" t="s">
        <v>120</v>
      </c>
      <c r="J1586" s="3">
        <v>46189.745659722219</v>
      </c>
      <c r="K1586" s="2" t="s">
        <v>9546</v>
      </c>
      <c r="L1586" s="1">
        <v>17</v>
      </c>
      <c r="M1586" s="1">
        <v>17</v>
      </c>
      <c r="N1586">
        <v>0</v>
      </c>
      <c r="O1586" s="3">
        <f>IF(
    R1586="Ancien",
    _xlfn.XLOOKUP(
        Final_Sans_VGE[[#This Row],[ppn_z]],
        tbl_Historique_Final[ppn_z],
        tbl_Historique_Final[Horodatage],
        ""
    ),
    Horodatage!$A$2
)</f>
        <v>46233.670796365739</v>
      </c>
      <c r="P1586" s="1" t="str">
        <f>IFERROR(IF(tbl_Historique_Final[[#This Row],[Commentaires]]&lt;&gt;"",tbl_Historique_Final[[#This Row],[Commentaires]],""),"")</f>
        <v/>
      </c>
      <c r="X1586" s="8" t="str">
        <f>IF(Final_Sans_VGE[[#This Row],[ppn_z]]="","",IFERROR(
   IF(_xlfn.XLOOKUP(Final_Sans_VGE[[#This Row],[ppn_z]],tbl_Historique_Final[ppn_z],tbl_Historique_Final[date_modif])=Final_Sans_VGE[[#This Row],[date_modif]],
      "Ancien",
      "Modifié"),
   "Nouveau"))</f>
        <v>Ancien</v>
      </c>
      <c r="AC1586"/>
      <c r="AD1586"/>
    </row>
    <row r="1587" spans="1:30" ht="30" x14ac:dyDescent="0.25">
      <c r="A1587" s="5" t="s">
        <v>4925</v>
      </c>
      <c r="B1587" s="1" t="s">
        <v>9547</v>
      </c>
      <c r="C1587" s="1" t="s">
        <v>96</v>
      </c>
      <c r="E1587" s="1" t="s">
        <v>70</v>
      </c>
      <c r="G1587" s="1" t="s">
        <v>10</v>
      </c>
      <c r="J1587" s="3">
        <v>46189.729699074072</v>
      </c>
      <c r="K1587" s="2" t="s">
        <v>9548</v>
      </c>
      <c r="L1587" s="1">
        <v>15</v>
      </c>
      <c r="M1587" s="1">
        <v>15</v>
      </c>
      <c r="N1587">
        <v>0</v>
      </c>
      <c r="O1587" s="3">
        <f>IF(
    R1587="Ancien",
    _xlfn.XLOOKUP(
        Final_Sans_VGE[[#This Row],[ppn_z]],
        tbl_Historique_Final[ppn_z],
        tbl_Historique_Final[Horodatage],
        ""
    ),
    Horodatage!$A$2
)</f>
        <v>46233.670796365739</v>
      </c>
      <c r="P1587" s="1" t="str">
        <f>IFERROR(IF(tbl_Historique_Final[[#This Row],[Commentaires]]&lt;&gt;"",tbl_Historique_Final[[#This Row],[Commentaires]],""),"")</f>
        <v/>
      </c>
      <c r="X1587" s="8" t="str">
        <f>IF(Final_Sans_VGE[[#This Row],[ppn_z]]="","",IFERROR(
   IF(_xlfn.XLOOKUP(Final_Sans_VGE[[#This Row],[ppn_z]],tbl_Historique_Final[ppn_z],tbl_Historique_Final[date_modif])=Final_Sans_VGE[[#This Row],[date_modif]],
      "Ancien",
      "Modifié"),
   "Nouveau"))</f>
        <v>Ancien</v>
      </c>
      <c r="AC1587"/>
      <c r="AD1587"/>
    </row>
    <row r="1588" spans="1:30" ht="30" x14ac:dyDescent="0.25">
      <c r="A1588" s="5" t="s">
        <v>4928</v>
      </c>
      <c r="B1588" s="1" t="s">
        <v>9549</v>
      </c>
      <c r="C1588" s="1" t="s">
        <v>6676</v>
      </c>
      <c r="E1588" s="1" t="s">
        <v>6735</v>
      </c>
      <c r="J1588" s="3">
        <v>46121.692557870374</v>
      </c>
      <c r="K1588" s="2" t="s">
        <v>9550</v>
      </c>
      <c r="L1588" s="1">
        <v>1</v>
      </c>
      <c r="M1588" s="1">
        <v>1</v>
      </c>
      <c r="N1588">
        <v>0</v>
      </c>
      <c r="O1588" s="3">
        <f>IF(
    R1588="Ancien",
    _xlfn.XLOOKUP(
        Final_Sans_VGE[[#This Row],[ppn_z]],
        tbl_Historique_Final[ppn_z],
        tbl_Historique_Final[Horodatage],
        ""
    ),
    Horodatage!$A$2
)</f>
        <v>46233.670796365739</v>
      </c>
      <c r="P1588" s="1" t="str">
        <f>IFERROR(IF(tbl_Historique_Final[[#This Row],[Commentaires]]&lt;&gt;"",tbl_Historique_Final[[#This Row],[Commentaires]],""),"")</f>
        <v/>
      </c>
      <c r="X1588" s="8" t="str">
        <f>IF(Final_Sans_VGE[[#This Row],[ppn_z]]="","",IFERROR(
   IF(_xlfn.XLOOKUP(Final_Sans_VGE[[#This Row],[ppn_z]],tbl_Historique_Final[ppn_z],tbl_Historique_Final[date_modif])=Final_Sans_VGE[[#This Row],[date_modif]],
      "Ancien",
      "Modifié"),
   "Nouveau"))</f>
        <v>Ancien</v>
      </c>
      <c r="AC1588"/>
      <c r="AD1588"/>
    </row>
    <row r="1589" spans="1:30" ht="30" x14ac:dyDescent="0.25">
      <c r="A1589" s="5" t="s">
        <v>4931</v>
      </c>
      <c r="B1589" s="1" t="s">
        <v>9551</v>
      </c>
      <c r="C1589" s="1" t="s">
        <v>36</v>
      </c>
      <c r="J1589" s="3">
        <v>46191.540486111109</v>
      </c>
      <c r="K1589" s="2" t="s">
        <v>9552</v>
      </c>
      <c r="L1589" s="1">
        <v>21</v>
      </c>
      <c r="M1589" s="1">
        <v>21</v>
      </c>
      <c r="N1589">
        <v>0</v>
      </c>
      <c r="O1589" s="3">
        <f>IF(
    R1589="Ancien",
    _xlfn.XLOOKUP(
        Final_Sans_VGE[[#This Row],[ppn_z]],
        tbl_Historique_Final[ppn_z],
        tbl_Historique_Final[Horodatage],
        ""
    ),
    Horodatage!$A$2
)</f>
        <v>46233.670796365739</v>
      </c>
      <c r="P1589" s="1" t="str">
        <f>IFERROR(IF(tbl_Historique_Final[[#This Row],[Commentaires]]&lt;&gt;"",tbl_Historique_Final[[#This Row],[Commentaires]],""),"")</f>
        <v/>
      </c>
      <c r="X1589" s="8" t="str">
        <f>IF(Final_Sans_VGE[[#This Row],[ppn_z]]="","",IFERROR(
   IF(_xlfn.XLOOKUP(Final_Sans_VGE[[#This Row],[ppn_z]],tbl_Historique_Final[ppn_z],tbl_Historique_Final[date_modif])=Final_Sans_VGE[[#This Row],[date_modif]],
      "Ancien",
      "Modifié"),
   "Nouveau"))</f>
        <v>Ancien</v>
      </c>
      <c r="AC1589"/>
      <c r="AD1589"/>
    </row>
    <row r="1590" spans="1:30" x14ac:dyDescent="0.25">
      <c r="A1590" s="5" t="s">
        <v>4934</v>
      </c>
      <c r="B1590" s="1" t="s">
        <v>9553</v>
      </c>
      <c r="C1590" s="1" t="s">
        <v>12</v>
      </c>
      <c r="G1590" s="1" t="s">
        <v>10</v>
      </c>
      <c r="J1590" s="3">
        <v>46199.493368055555</v>
      </c>
      <c r="K1590" s="2" t="s">
        <v>9554</v>
      </c>
      <c r="L1590" s="1">
        <v>4</v>
      </c>
      <c r="M1590" s="1">
        <v>5</v>
      </c>
      <c r="N1590">
        <v>1</v>
      </c>
      <c r="O1590" s="3">
        <f>IF(
    R1590="Ancien",
    _xlfn.XLOOKUP(
        Final_Sans_VGE[[#This Row],[ppn_z]],
        tbl_Historique_Final[ppn_z],
        tbl_Historique_Final[Horodatage],
        ""
    ),
    Horodatage!$A$2
)</f>
        <v>46233.670796365739</v>
      </c>
      <c r="P1590" s="1" t="str">
        <f>IFERROR(IF(tbl_Historique_Final[[#This Row],[Commentaires]]&lt;&gt;"",tbl_Historique_Final[[#This Row],[Commentaires]],""),"")</f>
        <v/>
      </c>
      <c r="X1590" s="8" t="str">
        <f>IF(Final_Sans_VGE[[#This Row],[ppn_z]]="","",IFERROR(
   IF(_xlfn.XLOOKUP(Final_Sans_VGE[[#This Row],[ppn_z]],tbl_Historique_Final[ppn_z],tbl_Historique_Final[date_modif])=Final_Sans_VGE[[#This Row],[date_modif]],
      "Ancien",
      "Modifié"),
   "Nouveau"))</f>
        <v>Ancien</v>
      </c>
      <c r="AC1590"/>
      <c r="AD1590"/>
    </row>
    <row r="1591" spans="1:30" x14ac:dyDescent="0.25">
      <c r="A1591" s="5" t="s">
        <v>4937</v>
      </c>
      <c r="B1591" s="1" t="s">
        <v>9555</v>
      </c>
      <c r="C1591" s="1" t="s">
        <v>9556</v>
      </c>
      <c r="E1591" s="1" t="s">
        <v>9557</v>
      </c>
      <c r="G1591" s="1" t="s">
        <v>10</v>
      </c>
      <c r="J1591" s="3">
        <v>46189.364247685182</v>
      </c>
      <c r="K1591" s="2" t="s">
        <v>9558</v>
      </c>
      <c r="L1591" s="1">
        <v>9</v>
      </c>
      <c r="M1591" s="1">
        <v>9</v>
      </c>
      <c r="N1591">
        <v>0</v>
      </c>
      <c r="O1591" s="3">
        <f>IF(
    R1591="Ancien",
    _xlfn.XLOOKUP(
        Final_Sans_VGE[[#This Row],[ppn_z]],
        tbl_Historique_Final[ppn_z],
        tbl_Historique_Final[Horodatage],
        ""
    ),
    Horodatage!$A$2
)</f>
        <v>46233.670796365739</v>
      </c>
      <c r="P1591" s="1" t="str">
        <f>IFERROR(IF(tbl_Historique_Final[[#This Row],[Commentaires]]&lt;&gt;"",tbl_Historique_Final[[#This Row],[Commentaires]],""),"")</f>
        <v/>
      </c>
      <c r="X1591" s="8" t="str">
        <f>IF(Final_Sans_VGE[[#This Row],[ppn_z]]="","",IFERROR(
   IF(_xlfn.XLOOKUP(Final_Sans_VGE[[#This Row],[ppn_z]],tbl_Historique_Final[ppn_z],tbl_Historique_Final[date_modif])=Final_Sans_VGE[[#This Row],[date_modif]],
      "Ancien",
      "Modifié"),
   "Nouveau"))</f>
        <v>Ancien</v>
      </c>
      <c r="AC1591"/>
      <c r="AD1591"/>
    </row>
    <row r="1592" spans="1:30" x14ac:dyDescent="0.25">
      <c r="A1592" s="5" t="s">
        <v>4940</v>
      </c>
      <c r="B1592" s="1" t="s">
        <v>9559</v>
      </c>
      <c r="J1592" s="3">
        <v>46044.624166666668</v>
      </c>
      <c r="L1592" s="1">
        <v>0</v>
      </c>
      <c r="M1592" s="1">
        <v>0</v>
      </c>
      <c r="N1592">
        <v>0</v>
      </c>
      <c r="O1592" s="3">
        <f>IF(
    R1592="Ancien",
    _xlfn.XLOOKUP(
        Final_Sans_VGE[[#This Row],[ppn_z]],
        tbl_Historique_Final[ppn_z],
        tbl_Historique_Final[Horodatage],
        ""
    ),
    Horodatage!$A$2
)</f>
        <v>46233.670796365739</v>
      </c>
      <c r="P1592" s="1" t="str">
        <f>IFERROR(IF(tbl_Historique_Final[[#This Row],[Commentaires]]&lt;&gt;"",tbl_Historique_Final[[#This Row],[Commentaires]],""),"")</f>
        <v/>
      </c>
      <c r="X1592" s="8" t="str">
        <f>IF(Final_Sans_VGE[[#This Row],[ppn_z]]="","",IFERROR(
   IF(_xlfn.XLOOKUP(Final_Sans_VGE[[#This Row],[ppn_z]],tbl_Historique_Final[ppn_z],tbl_Historique_Final[date_modif])=Final_Sans_VGE[[#This Row],[date_modif]],
      "Ancien",
      "Modifié"),
   "Nouveau"))</f>
        <v>Ancien</v>
      </c>
      <c r="AC1592"/>
      <c r="AD1592"/>
    </row>
    <row r="1593" spans="1:30" x14ac:dyDescent="0.25">
      <c r="A1593" s="5" t="s">
        <v>4943</v>
      </c>
      <c r="B1593" s="1" t="s">
        <v>9560</v>
      </c>
      <c r="C1593" s="1" t="s">
        <v>12</v>
      </c>
      <c r="G1593" s="1" t="s">
        <v>11</v>
      </c>
      <c r="J1593" s="3">
        <v>46192.4768287037</v>
      </c>
      <c r="K1593" s="2" t="s">
        <v>9561</v>
      </c>
      <c r="L1593" s="1">
        <v>2</v>
      </c>
      <c r="M1593" s="1">
        <v>2</v>
      </c>
      <c r="N1593">
        <v>0</v>
      </c>
      <c r="O1593" s="3">
        <f>IF(
    R1593="Ancien",
    _xlfn.XLOOKUP(
        Final_Sans_VGE[[#This Row],[ppn_z]],
        tbl_Historique_Final[ppn_z],
        tbl_Historique_Final[Horodatage],
        ""
    ),
    Horodatage!$A$2
)</f>
        <v>46233.670796365739</v>
      </c>
      <c r="P1593" s="1" t="str">
        <f>IFERROR(IF(tbl_Historique_Final[[#This Row],[Commentaires]]&lt;&gt;"",tbl_Historique_Final[[#This Row],[Commentaires]],""),"")</f>
        <v/>
      </c>
      <c r="X1593" s="8" t="str">
        <f>IF(Final_Sans_VGE[[#This Row],[ppn_z]]="","",IFERROR(
   IF(_xlfn.XLOOKUP(Final_Sans_VGE[[#This Row],[ppn_z]],tbl_Historique_Final[ppn_z],tbl_Historique_Final[date_modif])=Final_Sans_VGE[[#This Row],[date_modif]],
      "Ancien",
      "Modifié"),
   "Nouveau"))</f>
        <v>Ancien</v>
      </c>
      <c r="AC1593"/>
      <c r="AD1593"/>
    </row>
    <row r="1594" spans="1:30" x14ac:dyDescent="0.25">
      <c r="A1594" s="5" t="s">
        <v>4946</v>
      </c>
      <c r="B1594" s="1" t="s">
        <v>9562</v>
      </c>
      <c r="C1594" s="1" t="s">
        <v>9540</v>
      </c>
      <c r="E1594" s="1" t="s">
        <v>9563</v>
      </c>
      <c r="G1594" s="1" t="s">
        <v>10</v>
      </c>
      <c r="J1594" s="3">
        <v>46181.641250000001</v>
      </c>
      <c r="K1594" s="2" t="s">
        <v>9564</v>
      </c>
      <c r="L1594" s="1">
        <v>17</v>
      </c>
      <c r="M1594" s="1">
        <v>17</v>
      </c>
      <c r="N1594">
        <v>0</v>
      </c>
      <c r="O1594" s="3">
        <f>IF(
    R1594="Ancien",
    _xlfn.XLOOKUP(
        Final_Sans_VGE[[#This Row],[ppn_z]],
        tbl_Historique_Final[ppn_z],
        tbl_Historique_Final[Horodatage],
        ""
    ),
    Horodatage!$A$2
)</f>
        <v>46233.670796365739</v>
      </c>
      <c r="P1594" s="1" t="str">
        <f>IFERROR(IF(tbl_Historique_Final[[#This Row],[Commentaires]]&lt;&gt;"",tbl_Historique_Final[[#This Row],[Commentaires]],""),"")</f>
        <v/>
      </c>
      <c r="X1594" s="8" t="str">
        <f>IF(Final_Sans_VGE[[#This Row],[ppn_z]]="","",IFERROR(
   IF(_xlfn.XLOOKUP(Final_Sans_VGE[[#This Row],[ppn_z]],tbl_Historique_Final[ppn_z],tbl_Historique_Final[date_modif])=Final_Sans_VGE[[#This Row],[date_modif]],
      "Ancien",
      "Modifié"),
   "Nouveau"))</f>
        <v>Ancien</v>
      </c>
      <c r="AC1594"/>
      <c r="AD1594"/>
    </row>
    <row r="1595" spans="1:30" x14ac:dyDescent="0.25">
      <c r="A1595" s="5" t="s">
        <v>4949</v>
      </c>
      <c r="B1595" s="1" t="s">
        <v>9565</v>
      </c>
      <c r="C1595" s="1" t="s">
        <v>6816</v>
      </c>
      <c r="D1595" s="1" t="s">
        <v>14</v>
      </c>
      <c r="E1595" s="1" t="s">
        <v>56</v>
      </c>
      <c r="F1595" s="1" t="s">
        <v>14</v>
      </c>
      <c r="G1595" s="1" t="s">
        <v>10</v>
      </c>
      <c r="H1595" s="1" t="s">
        <v>22</v>
      </c>
      <c r="I1595" s="1" t="s">
        <v>22</v>
      </c>
      <c r="J1595" s="3">
        <v>46201.399467592593</v>
      </c>
      <c r="K1595" s="2" t="s">
        <v>9566</v>
      </c>
      <c r="L1595" s="1">
        <v>85</v>
      </c>
      <c r="M1595" s="1">
        <v>88</v>
      </c>
      <c r="N1595">
        <v>3</v>
      </c>
      <c r="O1595" s="3">
        <f>IF(
    R1595="Ancien",
    _xlfn.XLOOKUP(
        Final_Sans_VGE[[#This Row],[ppn_z]],
        tbl_Historique_Final[ppn_z],
        tbl_Historique_Final[Horodatage],
        ""
    ),
    Horodatage!$A$2
)</f>
        <v>46233.670796365739</v>
      </c>
      <c r="P1595" s="1" t="str">
        <f>IFERROR(IF(tbl_Historique_Final[[#This Row],[Commentaires]]&lt;&gt;"",tbl_Historique_Final[[#This Row],[Commentaires]],""),"")</f>
        <v/>
      </c>
      <c r="X1595" s="8" t="str">
        <f>IF(Final_Sans_VGE[[#This Row],[ppn_z]]="","",IFERROR(
   IF(_xlfn.XLOOKUP(Final_Sans_VGE[[#This Row],[ppn_z]],tbl_Historique_Final[ppn_z],tbl_Historique_Final[date_modif])=Final_Sans_VGE[[#This Row],[date_modif]],
      "Ancien",
      "Modifié"),
   "Nouveau"))</f>
        <v>Ancien</v>
      </c>
      <c r="AC1595"/>
      <c r="AD1595"/>
    </row>
    <row r="1596" spans="1:30" x14ac:dyDescent="0.25">
      <c r="A1596" s="5" t="s">
        <v>4952</v>
      </c>
      <c r="B1596" s="1" t="s">
        <v>9567</v>
      </c>
      <c r="C1596" s="1" t="s">
        <v>6746</v>
      </c>
      <c r="E1596" s="1" t="s">
        <v>6355</v>
      </c>
      <c r="G1596" s="1" t="s">
        <v>10</v>
      </c>
      <c r="J1596" s="3">
        <v>46191.419085648151</v>
      </c>
      <c r="K1596" s="2" t="s">
        <v>9568</v>
      </c>
      <c r="L1596" s="1">
        <v>4</v>
      </c>
      <c r="M1596" s="1">
        <v>4</v>
      </c>
      <c r="N1596">
        <v>0</v>
      </c>
      <c r="O1596" s="3">
        <f>IF(
    R1596="Ancien",
    _xlfn.XLOOKUP(
        Final_Sans_VGE[[#This Row],[ppn_z]],
        tbl_Historique_Final[ppn_z],
        tbl_Historique_Final[Horodatage],
        ""
    ),
    Horodatage!$A$2
)</f>
        <v>46233.670796365739</v>
      </c>
      <c r="P1596" s="1" t="str">
        <f>IFERROR(IF(tbl_Historique_Final[[#This Row],[Commentaires]]&lt;&gt;"",tbl_Historique_Final[[#This Row],[Commentaires]],""),"")</f>
        <v/>
      </c>
      <c r="X1596" s="8" t="str">
        <f>IF(Final_Sans_VGE[[#This Row],[ppn_z]]="","",IFERROR(
   IF(_xlfn.XLOOKUP(Final_Sans_VGE[[#This Row],[ppn_z]],tbl_Historique_Final[ppn_z],tbl_Historique_Final[date_modif])=Final_Sans_VGE[[#This Row],[date_modif]],
      "Ancien",
      "Modifié"),
   "Nouveau"))</f>
        <v>Ancien</v>
      </c>
      <c r="AC1596"/>
      <c r="AD1596"/>
    </row>
    <row r="1597" spans="1:30" x14ac:dyDescent="0.25">
      <c r="A1597" s="5" t="s">
        <v>4955</v>
      </c>
      <c r="B1597" s="1" t="s">
        <v>9569</v>
      </c>
      <c r="C1597" s="1" t="s">
        <v>124</v>
      </c>
      <c r="D1597" s="1" t="s">
        <v>15</v>
      </c>
      <c r="E1597" s="1" t="s">
        <v>84</v>
      </c>
      <c r="F1597" s="1" t="s">
        <v>14</v>
      </c>
      <c r="G1597" s="1" t="s">
        <v>10</v>
      </c>
      <c r="H1597" s="1" t="s">
        <v>22</v>
      </c>
      <c r="I1597" s="1" t="s">
        <v>22</v>
      </c>
      <c r="J1597" s="3">
        <v>46194.377337962964</v>
      </c>
      <c r="K1597" s="2" t="s">
        <v>9570</v>
      </c>
      <c r="L1597" s="1">
        <v>44</v>
      </c>
      <c r="M1597" s="1">
        <v>46</v>
      </c>
      <c r="N1597">
        <v>2</v>
      </c>
      <c r="O1597" s="3">
        <f>IF(
    R1597="Ancien",
    _xlfn.XLOOKUP(
        Final_Sans_VGE[[#This Row],[ppn_z]],
        tbl_Historique_Final[ppn_z],
        tbl_Historique_Final[Horodatage],
        ""
    ),
    Horodatage!$A$2
)</f>
        <v>46233.670796365739</v>
      </c>
      <c r="P1597" s="1" t="str">
        <f>IFERROR(IF(tbl_Historique_Final[[#This Row],[Commentaires]]&lt;&gt;"",tbl_Historique_Final[[#This Row],[Commentaires]],""),"")</f>
        <v/>
      </c>
      <c r="X1597" s="8" t="str">
        <f>IF(Final_Sans_VGE[[#This Row],[ppn_z]]="","",IFERROR(
   IF(_xlfn.XLOOKUP(Final_Sans_VGE[[#This Row],[ppn_z]],tbl_Historique_Final[ppn_z],tbl_Historique_Final[date_modif])=Final_Sans_VGE[[#This Row],[date_modif]],
      "Ancien",
      "Modifié"),
   "Nouveau"))</f>
        <v>Ancien</v>
      </c>
      <c r="AC1597"/>
      <c r="AD1597"/>
    </row>
    <row r="1598" spans="1:30" ht="105" x14ac:dyDescent="0.25">
      <c r="A1598" s="5" t="s">
        <v>4958</v>
      </c>
      <c r="B1598" s="1" t="s">
        <v>9571</v>
      </c>
      <c r="C1598" s="1" t="s">
        <v>91</v>
      </c>
      <c r="D1598" s="1" t="s">
        <v>9572</v>
      </c>
      <c r="E1598" s="1" t="s">
        <v>48</v>
      </c>
      <c r="F1598" s="1" t="s">
        <v>160</v>
      </c>
      <c r="G1598" s="1" t="s">
        <v>11</v>
      </c>
      <c r="H1598" s="1" t="s">
        <v>140</v>
      </c>
      <c r="I1598" s="1" t="s">
        <v>140</v>
      </c>
      <c r="J1598" s="3">
        <v>46185.5625462963</v>
      </c>
      <c r="K1598" s="2" t="s">
        <v>9573</v>
      </c>
      <c r="L1598" s="1">
        <v>15</v>
      </c>
      <c r="M1598" s="1">
        <v>20</v>
      </c>
      <c r="N1598">
        <v>5</v>
      </c>
      <c r="O1598" s="3">
        <f>IF(
    R1598="Ancien",
    _xlfn.XLOOKUP(
        Final_Sans_VGE[[#This Row],[ppn_z]],
        tbl_Historique_Final[ppn_z],
        tbl_Historique_Final[Horodatage],
        ""
    ),
    Horodatage!$A$2
)</f>
        <v>46233.670796365739</v>
      </c>
      <c r="P1598" s="1" t="str">
        <f>IFERROR(IF(tbl_Historique_Final[[#This Row],[Commentaires]]&lt;&gt;"",tbl_Historique_Final[[#This Row],[Commentaires]],""),"")</f>
        <v/>
      </c>
      <c r="X1598" s="8" t="str">
        <f>IF(Final_Sans_VGE[[#This Row],[ppn_z]]="","",IFERROR(
   IF(_xlfn.XLOOKUP(Final_Sans_VGE[[#This Row],[ppn_z]],tbl_Historique_Final[ppn_z],tbl_Historique_Final[date_modif])=Final_Sans_VGE[[#This Row],[date_modif]],
      "Ancien",
      "Modifié"),
   "Nouveau"))</f>
        <v>Ancien</v>
      </c>
      <c r="AC1598"/>
      <c r="AD1598"/>
    </row>
    <row r="1599" spans="1:30" ht="45" x14ac:dyDescent="0.25">
      <c r="A1599" s="5" t="s">
        <v>4961</v>
      </c>
      <c r="B1599" s="1" t="s">
        <v>9574</v>
      </c>
      <c r="C1599" s="1" t="s">
        <v>89</v>
      </c>
      <c r="J1599" s="3">
        <v>46187.391192129631</v>
      </c>
      <c r="K1599" s="2" t="s">
        <v>9575</v>
      </c>
      <c r="L1599" s="1">
        <v>23</v>
      </c>
      <c r="M1599" s="1">
        <v>31</v>
      </c>
      <c r="N1599">
        <v>8</v>
      </c>
      <c r="O1599" s="3">
        <f>IF(
    R1599="Ancien",
    _xlfn.XLOOKUP(
        Final_Sans_VGE[[#This Row],[ppn_z]],
        tbl_Historique_Final[ppn_z],
        tbl_Historique_Final[Horodatage],
        ""
    ),
    Horodatage!$A$2
)</f>
        <v>46233.670796365739</v>
      </c>
      <c r="P1599" s="1" t="str">
        <f>IFERROR(IF(tbl_Historique_Final[[#This Row],[Commentaires]]&lt;&gt;"",tbl_Historique_Final[[#This Row],[Commentaires]],""),"")</f>
        <v/>
      </c>
      <c r="X1599" s="8" t="str">
        <f>IF(Final_Sans_VGE[[#This Row],[ppn_z]]="","",IFERROR(
   IF(_xlfn.XLOOKUP(Final_Sans_VGE[[#This Row],[ppn_z]],tbl_Historique_Final[ppn_z],tbl_Historique_Final[date_modif])=Final_Sans_VGE[[#This Row],[date_modif]],
      "Ancien",
      "Modifié"),
   "Nouveau"))</f>
        <v>Ancien</v>
      </c>
      <c r="AC1599"/>
      <c r="AD1599"/>
    </row>
    <row r="1600" spans="1:30" x14ac:dyDescent="0.25">
      <c r="A1600" s="5" t="s">
        <v>4964</v>
      </c>
      <c r="B1600" s="1" t="s">
        <v>9576</v>
      </c>
      <c r="C1600" s="1" t="s">
        <v>9577</v>
      </c>
      <c r="J1600" s="3">
        <v>46199.79923611111</v>
      </c>
      <c r="K1600" s="2" t="s">
        <v>9578</v>
      </c>
      <c r="L1600" s="1">
        <v>43</v>
      </c>
      <c r="M1600" s="1">
        <v>49</v>
      </c>
      <c r="N1600">
        <v>6</v>
      </c>
      <c r="O1600" s="3">
        <f>IF(
    R1600="Ancien",
    _xlfn.XLOOKUP(
        Final_Sans_VGE[[#This Row],[ppn_z]],
        tbl_Historique_Final[ppn_z],
        tbl_Historique_Final[Horodatage],
        ""
    ),
    Horodatage!$A$2
)</f>
        <v>46233.670796365739</v>
      </c>
      <c r="P1600" s="1" t="str">
        <f>IFERROR(IF(tbl_Historique_Final[[#This Row],[Commentaires]]&lt;&gt;"",tbl_Historique_Final[[#This Row],[Commentaires]],""),"")</f>
        <v/>
      </c>
      <c r="X1600" s="8" t="str">
        <f>IF(Final_Sans_VGE[[#This Row],[ppn_z]]="","",IFERROR(
   IF(_xlfn.XLOOKUP(Final_Sans_VGE[[#This Row],[ppn_z]],tbl_Historique_Final[ppn_z],tbl_Historique_Final[date_modif])=Final_Sans_VGE[[#This Row],[date_modif]],
      "Ancien",
      "Modifié"),
   "Nouveau"))</f>
        <v>Ancien</v>
      </c>
      <c r="AC1600"/>
      <c r="AD1600"/>
    </row>
    <row r="1601" spans="1:30" x14ac:dyDescent="0.25">
      <c r="A1601" s="5" t="s">
        <v>4967</v>
      </c>
      <c r="B1601" s="1" t="s">
        <v>9579</v>
      </c>
      <c r="C1601" s="1" t="s">
        <v>12</v>
      </c>
      <c r="G1601" s="1" t="s">
        <v>10</v>
      </c>
      <c r="J1601" s="3">
        <v>46184.490856481483</v>
      </c>
      <c r="K1601" s="2" t="s">
        <v>9580</v>
      </c>
      <c r="L1601" s="1">
        <v>1</v>
      </c>
      <c r="M1601" s="1">
        <v>1</v>
      </c>
      <c r="N1601">
        <v>0</v>
      </c>
      <c r="O1601" s="3">
        <f>IF(
    R1601="Ancien",
    _xlfn.XLOOKUP(
        Final_Sans_VGE[[#This Row],[ppn_z]],
        tbl_Historique_Final[ppn_z],
        tbl_Historique_Final[Horodatage],
        ""
    ),
    Horodatage!$A$2
)</f>
        <v>46233.670796365739</v>
      </c>
      <c r="P1601" s="1" t="str">
        <f>IFERROR(IF(tbl_Historique_Final[[#This Row],[Commentaires]]&lt;&gt;"",tbl_Historique_Final[[#This Row],[Commentaires]],""),"")</f>
        <v/>
      </c>
      <c r="X1601" s="8" t="str">
        <f>IF(Final_Sans_VGE[[#This Row],[ppn_z]]="","",IFERROR(
   IF(_xlfn.XLOOKUP(Final_Sans_VGE[[#This Row],[ppn_z]],tbl_Historique_Final[ppn_z],tbl_Historique_Final[date_modif])=Final_Sans_VGE[[#This Row],[date_modif]],
      "Ancien",
      "Modifié"),
   "Nouveau"))</f>
        <v>Ancien</v>
      </c>
      <c r="AC1601"/>
      <c r="AD1601"/>
    </row>
    <row r="1602" spans="1:30" x14ac:dyDescent="0.25">
      <c r="A1602" s="5" t="s">
        <v>4970</v>
      </c>
      <c r="B1602" s="1" t="s">
        <v>9581</v>
      </c>
      <c r="C1602" s="1" t="s">
        <v>75</v>
      </c>
      <c r="G1602" s="1" t="s">
        <v>11</v>
      </c>
      <c r="J1602" s="3">
        <v>46189.413298611114</v>
      </c>
      <c r="K1602" s="2" t="s">
        <v>9582</v>
      </c>
      <c r="L1602" s="1">
        <v>4</v>
      </c>
      <c r="M1602" s="1">
        <v>5</v>
      </c>
      <c r="N1602">
        <v>1</v>
      </c>
      <c r="O1602" s="3">
        <f>IF(
    R1602="Ancien",
    _xlfn.XLOOKUP(
        Final_Sans_VGE[[#This Row],[ppn_z]],
        tbl_Historique_Final[ppn_z],
        tbl_Historique_Final[Horodatage],
        ""
    ),
    Horodatage!$A$2
)</f>
        <v>46233.670796365739</v>
      </c>
      <c r="P1602" s="1" t="str">
        <f>IFERROR(IF(tbl_Historique_Final[[#This Row],[Commentaires]]&lt;&gt;"",tbl_Historique_Final[[#This Row],[Commentaires]],""),"")</f>
        <v/>
      </c>
      <c r="X1602" s="8" t="str">
        <f>IF(Final_Sans_VGE[[#This Row],[ppn_z]]="","",IFERROR(
   IF(_xlfn.XLOOKUP(Final_Sans_VGE[[#This Row],[ppn_z]],tbl_Historique_Final[ppn_z],tbl_Historique_Final[date_modif])=Final_Sans_VGE[[#This Row],[date_modif]],
      "Ancien",
      "Modifié"),
   "Nouveau"))</f>
        <v>Ancien</v>
      </c>
      <c r="AC1602"/>
      <c r="AD1602"/>
    </row>
    <row r="1603" spans="1:30" ht="30" x14ac:dyDescent="0.25">
      <c r="A1603" s="5" t="s">
        <v>4973</v>
      </c>
      <c r="B1603" s="1" t="s">
        <v>9583</v>
      </c>
      <c r="C1603" s="1" t="s">
        <v>8802</v>
      </c>
      <c r="D1603" s="1" t="s">
        <v>14</v>
      </c>
      <c r="E1603" s="1" t="s">
        <v>9177</v>
      </c>
      <c r="F1603" s="1" t="s">
        <v>9349</v>
      </c>
      <c r="G1603" s="1" t="s">
        <v>10</v>
      </c>
      <c r="H1603" s="1" t="s">
        <v>22</v>
      </c>
      <c r="I1603" s="1" t="s">
        <v>22</v>
      </c>
      <c r="J1603" s="3">
        <v>46180.413321759261</v>
      </c>
      <c r="K1603" s="2" t="s">
        <v>9584</v>
      </c>
      <c r="L1603" s="1">
        <v>55</v>
      </c>
      <c r="M1603" s="1">
        <v>56</v>
      </c>
      <c r="N1603">
        <v>1</v>
      </c>
      <c r="O1603" s="3">
        <f>IF(
    R1603="Ancien",
    _xlfn.XLOOKUP(
        Final_Sans_VGE[[#This Row],[ppn_z]],
        tbl_Historique_Final[ppn_z],
        tbl_Historique_Final[Horodatage],
        ""
    ),
    Horodatage!$A$2
)</f>
        <v>46233.670796365739</v>
      </c>
      <c r="P1603" s="1" t="str">
        <f>IFERROR(IF(tbl_Historique_Final[[#This Row],[Commentaires]]&lt;&gt;"",tbl_Historique_Final[[#This Row],[Commentaires]],""),"")</f>
        <v/>
      </c>
      <c r="X1603" s="8" t="str">
        <f>IF(Final_Sans_VGE[[#This Row],[ppn_z]]="","",IFERROR(
   IF(_xlfn.XLOOKUP(Final_Sans_VGE[[#This Row],[ppn_z]],tbl_Historique_Final[ppn_z],tbl_Historique_Final[date_modif])=Final_Sans_VGE[[#This Row],[date_modif]],
      "Ancien",
      "Modifié"),
   "Nouveau"))</f>
        <v>Ancien</v>
      </c>
      <c r="AC1603"/>
      <c r="AD1603"/>
    </row>
    <row r="1604" spans="1:30" ht="45" x14ac:dyDescent="0.25">
      <c r="A1604" s="5" t="s">
        <v>4976</v>
      </c>
      <c r="B1604" s="1" t="s">
        <v>9585</v>
      </c>
      <c r="C1604" s="1" t="s">
        <v>12</v>
      </c>
      <c r="G1604" s="1" t="s">
        <v>11</v>
      </c>
      <c r="J1604" s="3">
        <v>46191.650729166664</v>
      </c>
      <c r="K1604" s="2" t="s">
        <v>9586</v>
      </c>
      <c r="L1604" s="1">
        <v>4</v>
      </c>
      <c r="M1604" s="1">
        <v>4</v>
      </c>
      <c r="N1604">
        <v>0</v>
      </c>
      <c r="O1604" s="3">
        <f>IF(
    R1604="Ancien",
    _xlfn.XLOOKUP(
        Final_Sans_VGE[[#This Row],[ppn_z]],
        tbl_Historique_Final[ppn_z],
        tbl_Historique_Final[Horodatage],
        ""
    ),
    Horodatage!$A$2
)</f>
        <v>46233.670796365739</v>
      </c>
      <c r="P1604" s="1" t="str">
        <f>IFERROR(IF(tbl_Historique_Final[[#This Row],[Commentaires]]&lt;&gt;"",tbl_Historique_Final[[#This Row],[Commentaires]],""),"")</f>
        <v/>
      </c>
      <c r="X1604" s="8" t="str">
        <f>IF(Final_Sans_VGE[[#This Row],[ppn_z]]="","",IFERROR(
   IF(_xlfn.XLOOKUP(Final_Sans_VGE[[#This Row],[ppn_z]],tbl_Historique_Final[ppn_z],tbl_Historique_Final[date_modif])=Final_Sans_VGE[[#This Row],[date_modif]],
      "Ancien",
      "Modifié"),
   "Nouveau"))</f>
        <v>Ancien</v>
      </c>
      <c r="AC1604"/>
      <c r="AD1604"/>
    </row>
    <row r="1605" spans="1:30" x14ac:dyDescent="0.25">
      <c r="A1605" s="5" t="s">
        <v>4979</v>
      </c>
      <c r="B1605" s="1" t="s">
        <v>9587</v>
      </c>
      <c r="C1605" s="1" t="s">
        <v>7759</v>
      </c>
      <c r="E1605" s="1" t="s">
        <v>50</v>
      </c>
      <c r="J1605" s="3">
        <v>46057.487939814811</v>
      </c>
      <c r="L1605" s="1">
        <v>6</v>
      </c>
      <c r="M1605" s="1">
        <v>7</v>
      </c>
      <c r="N1605">
        <v>1</v>
      </c>
      <c r="O1605" s="3">
        <f>IF(
    R1605="Ancien",
    _xlfn.XLOOKUP(
        Final_Sans_VGE[[#This Row],[ppn_z]],
        tbl_Historique_Final[ppn_z],
        tbl_Historique_Final[Horodatage],
        ""
    ),
    Horodatage!$A$2
)</f>
        <v>46233.670796365739</v>
      </c>
      <c r="P1605" s="1" t="str">
        <f>IFERROR(IF(tbl_Historique_Final[[#This Row],[Commentaires]]&lt;&gt;"",tbl_Historique_Final[[#This Row],[Commentaires]],""),"")</f>
        <v/>
      </c>
      <c r="X1605" s="8" t="str">
        <f>IF(Final_Sans_VGE[[#This Row],[ppn_z]]="","",IFERROR(
   IF(_xlfn.XLOOKUP(Final_Sans_VGE[[#This Row],[ppn_z]],tbl_Historique_Final[ppn_z],tbl_Historique_Final[date_modif])=Final_Sans_VGE[[#This Row],[date_modif]],
      "Ancien",
      "Modifié"),
   "Nouveau"))</f>
        <v>Ancien</v>
      </c>
      <c r="AC1605"/>
      <c r="AD1605"/>
    </row>
    <row r="1606" spans="1:30" ht="45" x14ac:dyDescent="0.25">
      <c r="A1606" s="5" t="s">
        <v>4982</v>
      </c>
      <c r="B1606" s="1" t="s">
        <v>9588</v>
      </c>
      <c r="C1606" s="1" t="s">
        <v>8372</v>
      </c>
      <c r="E1606" s="1" t="s">
        <v>141</v>
      </c>
      <c r="G1606" s="1" t="s">
        <v>10</v>
      </c>
      <c r="J1606" s="3">
        <v>46191.591296296298</v>
      </c>
      <c r="K1606" s="2" t="s">
        <v>9589</v>
      </c>
      <c r="L1606" s="1">
        <v>6</v>
      </c>
      <c r="M1606" s="1">
        <v>6</v>
      </c>
      <c r="N1606">
        <v>0</v>
      </c>
      <c r="O1606" s="3">
        <f>IF(
    R1606="Ancien",
    _xlfn.XLOOKUP(
        Final_Sans_VGE[[#This Row],[ppn_z]],
        tbl_Historique_Final[ppn_z],
        tbl_Historique_Final[Horodatage],
        ""
    ),
    Horodatage!$A$2
)</f>
        <v>46233.670796365739</v>
      </c>
      <c r="P1606" s="1" t="str">
        <f>IFERROR(IF(tbl_Historique_Final[[#This Row],[Commentaires]]&lt;&gt;"",tbl_Historique_Final[[#This Row],[Commentaires]],""),"")</f>
        <v/>
      </c>
      <c r="X1606" s="8" t="str">
        <f>IF(Final_Sans_VGE[[#This Row],[ppn_z]]="","",IFERROR(
   IF(_xlfn.XLOOKUP(Final_Sans_VGE[[#This Row],[ppn_z]],tbl_Historique_Final[ppn_z],tbl_Historique_Final[date_modif])=Final_Sans_VGE[[#This Row],[date_modif]],
      "Ancien",
      "Modifié"),
   "Nouveau"))</f>
        <v>Ancien</v>
      </c>
      <c r="AC1606"/>
      <c r="AD1606"/>
    </row>
    <row r="1607" spans="1:30" x14ac:dyDescent="0.25">
      <c r="A1607" s="5" t="s">
        <v>4985</v>
      </c>
      <c r="B1607" s="1" t="s">
        <v>9590</v>
      </c>
      <c r="C1607" s="1" t="s">
        <v>12</v>
      </c>
      <c r="G1607" s="1" t="s">
        <v>10</v>
      </c>
      <c r="J1607" s="3">
        <v>46191.466608796298</v>
      </c>
      <c r="K1607" s="2" t="s">
        <v>9591</v>
      </c>
      <c r="L1607" s="1">
        <v>4</v>
      </c>
      <c r="M1607" s="1">
        <v>4</v>
      </c>
      <c r="N1607">
        <v>0</v>
      </c>
      <c r="O1607" s="3">
        <f>IF(
    R1607="Ancien",
    _xlfn.XLOOKUP(
        Final_Sans_VGE[[#This Row],[ppn_z]],
        tbl_Historique_Final[ppn_z],
        tbl_Historique_Final[Horodatage],
        ""
    ),
    Horodatage!$A$2
)</f>
        <v>46233.670796365739</v>
      </c>
      <c r="P1607" s="1" t="str">
        <f>IFERROR(IF(tbl_Historique_Final[[#This Row],[Commentaires]]&lt;&gt;"",tbl_Historique_Final[[#This Row],[Commentaires]],""),"")</f>
        <v/>
      </c>
      <c r="X1607" s="8" t="str">
        <f>IF(Final_Sans_VGE[[#This Row],[ppn_z]]="","",IFERROR(
   IF(_xlfn.XLOOKUP(Final_Sans_VGE[[#This Row],[ppn_z]],tbl_Historique_Final[ppn_z],tbl_Historique_Final[date_modif])=Final_Sans_VGE[[#This Row],[date_modif]],
      "Ancien",
      "Modifié"),
   "Nouveau"))</f>
        <v>Ancien</v>
      </c>
      <c r="AC1607"/>
      <c r="AD1607"/>
    </row>
    <row r="1608" spans="1:30" ht="30" x14ac:dyDescent="0.25">
      <c r="A1608" s="5" t="s">
        <v>4988</v>
      </c>
      <c r="B1608" s="1" t="s">
        <v>9592</v>
      </c>
      <c r="C1608" s="1" t="s">
        <v>7291</v>
      </c>
      <c r="D1608" s="1" t="s">
        <v>14</v>
      </c>
      <c r="G1608" s="1" t="s">
        <v>11</v>
      </c>
      <c r="H1608" s="1" t="s">
        <v>22</v>
      </c>
      <c r="I1608" s="1" t="s">
        <v>22</v>
      </c>
      <c r="J1608" s="3">
        <v>46180.399421296293</v>
      </c>
      <c r="K1608" s="2" t="s">
        <v>9593</v>
      </c>
      <c r="L1608" s="1">
        <v>12</v>
      </c>
      <c r="M1608" s="1">
        <v>17</v>
      </c>
      <c r="N1608">
        <v>5</v>
      </c>
      <c r="O1608" s="3">
        <f>IF(
    R1608="Ancien",
    _xlfn.XLOOKUP(
        Final_Sans_VGE[[#This Row],[ppn_z]],
        tbl_Historique_Final[ppn_z],
        tbl_Historique_Final[Horodatage],
        ""
    ),
    Horodatage!$A$2
)</f>
        <v>46233.670796365739</v>
      </c>
      <c r="P1608" s="1" t="str">
        <f>IFERROR(IF(tbl_Historique_Final[[#This Row],[Commentaires]]&lt;&gt;"",tbl_Historique_Final[[#This Row],[Commentaires]],""),"")</f>
        <v/>
      </c>
      <c r="X1608" s="8" t="str">
        <f>IF(Final_Sans_VGE[[#This Row],[ppn_z]]="","",IFERROR(
   IF(_xlfn.XLOOKUP(Final_Sans_VGE[[#This Row],[ppn_z]],tbl_Historique_Final[ppn_z],tbl_Historique_Final[date_modif])=Final_Sans_VGE[[#This Row],[date_modif]],
      "Ancien",
      "Modifié"),
   "Nouveau"))</f>
        <v>Ancien</v>
      </c>
      <c r="AC1608"/>
      <c r="AD1608"/>
    </row>
    <row r="1609" spans="1:30" ht="135" x14ac:dyDescent="0.25">
      <c r="A1609" s="5" t="s">
        <v>4991</v>
      </c>
      <c r="B1609" s="1" t="s">
        <v>9594</v>
      </c>
      <c r="C1609" s="1" t="s">
        <v>167</v>
      </c>
      <c r="D1609" s="1" t="s">
        <v>9595</v>
      </c>
      <c r="E1609" s="1" t="s">
        <v>6816</v>
      </c>
      <c r="F1609" s="1" t="s">
        <v>9596</v>
      </c>
      <c r="G1609" s="1" t="s">
        <v>10</v>
      </c>
      <c r="H1609" s="1" t="s">
        <v>10523</v>
      </c>
      <c r="I1609" s="1" t="s">
        <v>140</v>
      </c>
      <c r="J1609" s="3">
        <v>46180.410763888889</v>
      </c>
      <c r="K1609" s="2" t="s">
        <v>9597</v>
      </c>
      <c r="L1609" s="1">
        <v>61</v>
      </c>
      <c r="M1609" s="1">
        <v>61</v>
      </c>
      <c r="N1609">
        <v>0</v>
      </c>
      <c r="O1609" s="3">
        <f>IF(
    R1609="Ancien",
    _xlfn.XLOOKUP(
        Final_Sans_VGE[[#This Row],[ppn_z]],
        tbl_Historique_Final[ppn_z],
        tbl_Historique_Final[Horodatage],
        ""
    ),
    Horodatage!$A$2
)</f>
        <v>46233.670796365739</v>
      </c>
      <c r="P1609" s="1" t="str">
        <f>IFERROR(IF(tbl_Historique_Final[[#This Row],[Commentaires]]&lt;&gt;"",tbl_Historique_Final[[#This Row],[Commentaires]],""),"")</f>
        <v/>
      </c>
      <c r="X1609" s="8" t="str">
        <f>IF(Final_Sans_VGE[[#This Row],[ppn_z]]="","",IFERROR(
   IF(_xlfn.XLOOKUP(Final_Sans_VGE[[#This Row],[ppn_z]],tbl_Historique_Final[ppn_z],tbl_Historique_Final[date_modif])=Final_Sans_VGE[[#This Row],[date_modif]],
      "Ancien",
      "Modifié"),
   "Nouveau"))</f>
        <v>Ancien</v>
      </c>
      <c r="AC1609"/>
      <c r="AD1609"/>
    </row>
    <row r="1610" spans="1:30" x14ac:dyDescent="0.25">
      <c r="A1610" s="5" t="s">
        <v>4994</v>
      </c>
      <c r="B1610" s="1" t="s">
        <v>9598</v>
      </c>
      <c r="C1610" s="1" t="s">
        <v>8771</v>
      </c>
      <c r="E1610" s="1" t="s">
        <v>71</v>
      </c>
      <c r="G1610" s="1" t="s">
        <v>10</v>
      </c>
      <c r="J1610" s="3">
        <v>46188.613599537035</v>
      </c>
      <c r="K1610" s="2" t="s">
        <v>9599</v>
      </c>
      <c r="L1610" s="1">
        <v>23</v>
      </c>
      <c r="M1610" s="1">
        <v>23</v>
      </c>
      <c r="N1610">
        <v>0</v>
      </c>
      <c r="O1610" s="3">
        <f>IF(
    R1610="Ancien",
    _xlfn.XLOOKUP(
        Final_Sans_VGE[[#This Row],[ppn_z]],
        tbl_Historique_Final[ppn_z],
        tbl_Historique_Final[Horodatage],
        ""
    ),
    Horodatage!$A$2
)</f>
        <v>46233.670796365739</v>
      </c>
      <c r="P1610" s="1" t="str">
        <f>IFERROR(IF(tbl_Historique_Final[[#This Row],[Commentaires]]&lt;&gt;"",tbl_Historique_Final[[#This Row],[Commentaires]],""),"")</f>
        <v/>
      </c>
      <c r="X1610" s="8" t="str">
        <f>IF(Final_Sans_VGE[[#This Row],[ppn_z]]="","",IFERROR(
   IF(_xlfn.XLOOKUP(Final_Sans_VGE[[#This Row],[ppn_z]],tbl_Historique_Final[ppn_z],tbl_Historique_Final[date_modif])=Final_Sans_VGE[[#This Row],[date_modif]],
      "Ancien",
      "Modifié"),
   "Nouveau"))</f>
        <v>Ancien</v>
      </c>
      <c r="AC1610"/>
      <c r="AD1610"/>
    </row>
    <row r="1611" spans="1:30" x14ac:dyDescent="0.25">
      <c r="A1611" s="5" t="s">
        <v>4997</v>
      </c>
      <c r="B1611" s="1" t="s">
        <v>9600</v>
      </c>
      <c r="C1611" s="1" t="s">
        <v>7467</v>
      </c>
      <c r="E1611" s="1" t="s">
        <v>8739</v>
      </c>
      <c r="G1611" s="1" t="s">
        <v>10</v>
      </c>
      <c r="J1611" s="3">
        <v>46189.351574074077</v>
      </c>
      <c r="K1611" s="2" t="s">
        <v>9601</v>
      </c>
      <c r="L1611" s="1">
        <v>5</v>
      </c>
      <c r="M1611" s="1">
        <v>5</v>
      </c>
      <c r="N1611">
        <v>0</v>
      </c>
      <c r="O1611" s="3">
        <f>IF(
    R1611="Ancien",
    _xlfn.XLOOKUP(
        Final_Sans_VGE[[#This Row],[ppn_z]],
        tbl_Historique_Final[ppn_z],
        tbl_Historique_Final[Horodatage],
        ""
    ),
    Horodatage!$A$2
)</f>
        <v>46233.670796365739</v>
      </c>
      <c r="P1611" s="1" t="str">
        <f>IFERROR(IF(tbl_Historique_Final[[#This Row],[Commentaires]]&lt;&gt;"",tbl_Historique_Final[[#This Row],[Commentaires]],""),"")</f>
        <v/>
      </c>
      <c r="X1611" s="8" t="str">
        <f>IF(Final_Sans_VGE[[#This Row],[ppn_z]]="","",IFERROR(
   IF(_xlfn.XLOOKUP(Final_Sans_VGE[[#This Row],[ppn_z]],tbl_Historique_Final[ppn_z],tbl_Historique_Final[date_modif])=Final_Sans_VGE[[#This Row],[date_modif]],
      "Ancien",
      "Modifié"),
   "Nouveau"))</f>
        <v>Ancien</v>
      </c>
      <c r="AC1611"/>
      <c r="AD1611"/>
    </row>
    <row r="1612" spans="1:30" ht="30" x14ac:dyDescent="0.25">
      <c r="A1612" s="5" t="s">
        <v>5000</v>
      </c>
      <c r="B1612" s="1" t="s">
        <v>9602</v>
      </c>
      <c r="C1612" s="1" t="s">
        <v>8685</v>
      </c>
      <c r="E1612" s="1" t="s">
        <v>159</v>
      </c>
      <c r="J1612" s="3">
        <v>46183.730949074074</v>
      </c>
      <c r="K1612" s="2" t="s">
        <v>9603</v>
      </c>
      <c r="L1612" s="1">
        <v>16</v>
      </c>
      <c r="M1612" s="1">
        <v>17</v>
      </c>
      <c r="N1612">
        <v>1</v>
      </c>
      <c r="O1612" s="3">
        <f>IF(
    R1612="Ancien",
    _xlfn.XLOOKUP(
        Final_Sans_VGE[[#This Row],[ppn_z]],
        tbl_Historique_Final[ppn_z],
        tbl_Historique_Final[Horodatage],
        ""
    ),
    Horodatage!$A$2
)</f>
        <v>46233.670796365739</v>
      </c>
      <c r="P1612" s="1" t="str">
        <f>IFERROR(IF(tbl_Historique_Final[[#This Row],[Commentaires]]&lt;&gt;"",tbl_Historique_Final[[#This Row],[Commentaires]],""),"")</f>
        <v/>
      </c>
      <c r="X1612" s="8" t="str">
        <f>IF(Final_Sans_VGE[[#This Row],[ppn_z]]="","",IFERROR(
   IF(_xlfn.XLOOKUP(Final_Sans_VGE[[#This Row],[ppn_z]],tbl_Historique_Final[ppn_z],tbl_Historique_Final[date_modif])=Final_Sans_VGE[[#This Row],[date_modif]],
      "Ancien",
      "Modifié"),
   "Nouveau"))</f>
        <v>Ancien</v>
      </c>
      <c r="AC1612"/>
      <c r="AD1612"/>
    </row>
    <row r="1613" spans="1:30" x14ac:dyDescent="0.25">
      <c r="A1613" s="5" t="s">
        <v>5003</v>
      </c>
      <c r="B1613" s="1" t="s">
        <v>9604</v>
      </c>
      <c r="C1613" s="1" t="s">
        <v>12</v>
      </c>
      <c r="G1613" s="1" t="s">
        <v>10</v>
      </c>
      <c r="J1613" s="3">
        <v>46135.350659722222</v>
      </c>
      <c r="L1613" s="1">
        <v>1</v>
      </c>
      <c r="M1613" s="1">
        <v>1</v>
      </c>
      <c r="N1613">
        <v>0</v>
      </c>
      <c r="O1613" s="3">
        <f>IF(
    R1613="Ancien",
    _xlfn.XLOOKUP(
        Final_Sans_VGE[[#This Row],[ppn_z]],
        tbl_Historique_Final[ppn_z],
        tbl_Historique_Final[Horodatage],
        ""
    ),
    Horodatage!$A$2
)</f>
        <v>46233.670796365739</v>
      </c>
      <c r="P1613" s="1" t="str">
        <f>IFERROR(IF(tbl_Historique_Final[[#This Row],[Commentaires]]&lt;&gt;"",tbl_Historique_Final[[#This Row],[Commentaires]],""),"")</f>
        <v/>
      </c>
      <c r="X1613" s="8" t="str">
        <f>IF(Final_Sans_VGE[[#This Row],[ppn_z]]="","",IFERROR(
   IF(_xlfn.XLOOKUP(Final_Sans_VGE[[#This Row],[ppn_z]],tbl_Historique_Final[ppn_z],tbl_Historique_Final[date_modif])=Final_Sans_VGE[[#This Row],[date_modif]],
      "Ancien",
      "Modifié"),
   "Nouveau"))</f>
        <v>Ancien</v>
      </c>
      <c r="AC1613"/>
      <c r="AD1613"/>
    </row>
    <row r="1614" spans="1:30" x14ac:dyDescent="0.25">
      <c r="A1614" s="5" t="s">
        <v>5006</v>
      </c>
      <c r="B1614" s="1" t="s">
        <v>9605</v>
      </c>
      <c r="C1614" s="1" t="s">
        <v>96</v>
      </c>
      <c r="D1614" s="1" t="s">
        <v>8878</v>
      </c>
      <c r="E1614" s="1" t="s">
        <v>6355</v>
      </c>
      <c r="H1614" s="1" t="s">
        <v>22</v>
      </c>
      <c r="I1614" s="1" t="s">
        <v>22</v>
      </c>
      <c r="J1614" s="3">
        <v>46201.402268518519</v>
      </c>
      <c r="K1614" s="2" t="s">
        <v>9606</v>
      </c>
      <c r="L1614" s="1">
        <v>20</v>
      </c>
      <c r="M1614" s="1">
        <v>22</v>
      </c>
      <c r="N1614">
        <v>2</v>
      </c>
      <c r="O1614" s="3">
        <f>IF(
    R1614="Ancien",
    _xlfn.XLOOKUP(
        Final_Sans_VGE[[#This Row],[ppn_z]],
        tbl_Historique_Final[ppn_z],
        tbl_Historique_Final[Horodatage],
        ""
    ),
    Horodatage!$A$2
)</f>
        <v>46233.670796365739</v>
      </c>
      <c r="P1614" s="1" t="str">
        <f>IFERROR(IF(tbl_Historique_Final[[#This Row],[Commentaires]]&lt;&gt;"",tbl_Historique_Final[[#This Row],[Commentaires]],""),"")</f>
        <v/>
      </c>
      <c r="X1614" s="8" t="str">
        <f>IF(Final_Sans_VGE[[#This Row],[ppn_z]]="","",IFERROR(
   IF(_xlfn.XLOOKUP(Final_Sans_VGE[[#This Row],[ppn_z]],tbl_Historique_Final[ppn_z],tbl_Historique_Final[date_modif])=Final_Sans_VGE[[#This Row],[date_modif]],
      "Ancien",
      "Modifié"),
   "Nouveau"))</f>
        <v>Ancien</v>
      </c>
      <c r="AC1614"/>
      <c r="AD1614"/>
    </row>
    <row r="1615" spans="1:30" x14ac:dyDescent="0.25">
      <c r="A1615" s="5" t="s">
        <v>5009</v>
      </c>
      <c r="B1615" s="1" t="s">
        <v>9607</v>
      </c>
      <c r="C1615" s="1" t="s">
        <v>7546</v>
      </c>
      <c r="G1615" s="1" t="s">
        <v>10</v>
      </c>
      <c r="J1615" s="3">
        <v>46199.496689814812</v>
      </c>
      <c r="K1615" s="2" t="s">
        <v>125</v>
      </c>
      <c r="L1615" s="1">
        <v>1</v>
      </c>
      <c r="M1615" s="1">
        <v>1</v>
      </c>
      <c r="N1615">
        <v>0</v>
      </c>
      <c r="O1615" s="3">
        <f>IF(
    R1615="Ancien",
    _xlfn.XLOOKUP(
        Final_Sans_VGE[[#This Row],[ppn_z]],
        tbl_Historique_Final[ppn_z],
        tbl_Historique_Final[Horodatage],
        ""
    ),
    Horodatage!$A$2
)</f>
        <v>46233.670796365739</v>
      </c>
      <c r="P1615" s="1" t="str">
        <f>IFERROR(IF(tbl_Historique_Final[[#This Row],[Commentaires]]&lt;&gt;"",tbl_Historique_Final[[#This Row],[Commentaires]],""),"")</f>
        <v/>
      </c>
      <c r="X1615" s="8" t="str">
        <f>IF(Final_Sans_VGE[[#This Row],[ppn_z]]="","",IFERROR(
   IF(_xlfn.XLOOKUP(Final_Sans_VGE[[#This Row],[ppn_z]],tbl_Historique_Final[ppn_z],tbl_Historique_Final[date_modif])=Final_Sans_VGE[[#This Row],[date_modif]],
      "Ancien",
      "Modifié"),
   "Nouveau"))</f>
        <v>Ancien</v>
      </c>
      <c r="AC1615"/>
      <c r="AD1615"/>
    </row>
    <row r="1616" spans="1:30" ht="60" x14ac:dyDescent="0.25">
      <c r="A1616" s="5" t="s">
        <v>5012</v>
      </c>
      <c r="B1616" s="1" t="s">
        <v>9608</v>
      </c>
      <c r="C1616" s="1" t="s">
        <v>9543</v>
      </c>
      <c r="E1616" s="1" t="s">
        <v>9129</v>
      </c>
      <c r="G1616" s="1" t="s">
        <v>10</v>
      </c>
      <c r="J1616" s="3">
        <v>46191.577847222223</v>
      </c>
      <c r="K1616" s="2" t="s">
        <v>9609</v>
      </c>
      <c r="L1616" s="1">
        <v>7</v>
      </c>
      <c r="M1616" s="1">
        <v>7</v>
      </c>
      <c r="N1616">
        <v>0</v>
      </c>
      <c r="O1616" s="3">
        <f>IF(
    R1616="Ancien",
    _xlfn.XLOOKUP(
        Final_Sans_VGE[[#This Row],[ppn_z]],
        tbl_Historique_Final[ppn_z],
        tbl_Historique_Final[Horodatage],
        ""
    ),
    Horodatage!$A$2
)</f>
        <v>46233.670796365739</v>
      </c>
      <c r="P1616" s="1" t="str">
        <f>IFERROR(IF(tbl_Historique_Final[[#This Row],[Commentaires]]&lt;&gt;"",tbl_Historique_Final[[#This Row],[Commentaires]],""),"")</f>
        <v/>
      </c>
      <c r="X1616" s="8" t="str">
        <f>IF(Final_Sans_VGE[[#This Row],[ppn_z]]="","",IFERROR(
   IF(_xlfn.XLOOKUP(Final_Sans_VGE[[#This Row],[ppn_z]],tbl_Historique_Final[ppn_z],tbl_Historique_Final[date_modif])=Final_Sans_VGE[[#This Row],[date_modif]],
      "Ancien",
      "Modifié"),
   "Nouveau"))</f>
        <v>Ancien</v>
      </c>
      <c r="AC1616"/>
      <c r="AD1616"/>
    </row>
    <row r="1617" spans="1:30" ht="60" x14ac:dyDescent="0.25">
      <c r="A1617" s="5" t="s">
        <v>5015</v>
      </c>
      <c r="B1617" s="1" t="s">
        <v>9610</v>
      </c>
      <c r="C1617" s="1" t="s">
        <v>12</v>
      </c>
      <c r="G1617" s="1" t="s">
        <v>10</v>
      </c>
      <c r="J1617" s="3">
        <v>46199.358587962961</v>
      </c>
      <c r="K1617" s="2" t="s">
        <v>9611</v>
      </c>
      <c r="L1617" s="1">
        <v>4</v>
      </c>
      <c r="M1617" s="1">
        <v>8</v>
      </c>
      <c r="N1617">
        <v>4</v>
      </c>
      <c r="O1617" s="3">
        <f>IF(
    R1617="Ancien",
    _xlfn.XLOOKUP(
        Final_Sans_VGE[[#This Row],[ppn_z]],
        tbl_Historique_Final[ppn_z],
        tbl_Historique_Final[Horodatage],
        ""
    ),
    Horodatage!$A$2
)</f>
        <v>46233.670796365739</v>
      </c>
      <c r="P1617" s="1" t="str">
        <f>IFERROR(IF(tbl_Historique_Final[[#This Row],[Commentaires]]&lt;&gt;"",tbl_Historique_Final[[#This Row],[Commentaires]],""),"")</f>
        <v/>
      </c>
      <c r="X1617" s="8" t="str">
        <f>IF(Final_Sans_VGE[[#This Row],[ppn_z]]="","",IFERROR(
   IF(_xlfn.XLOOKUP(Final_Sans_VGE[[#This Row],[ppn_z]],tbl_Historique_Final[ppn_z],tbl_Historique_Final[date_modif])=Final_Sans_VGE[[#This Row],[date_modif]],
      "Ancien",
      "Modifié"),
   "Nouveau"))</f>
        <v>Ancien</v>
      </c>
      <c r="AC1617"/>
      <c r="AD1617"/>
    </row>
    <row r="1618" spans="1:30" x14ac:dyDescent="0.25">
      <c r="A1618" s="5" t="s">
        <v>5018</v>
      </c>
      <c r="B1618" s="1" t="s">
        <v>9612</v>
      </c>
      <c r="C1618" s="1" t="s">
        <v>48</v>
      </c>
      <c r="G1618" s="1" t="s">
        <v>11</v>
      </c>
      <c r="J1618" s="3">
        <v>46189.438055555554</v>
      </c>
      <c r="K1618" s="2" t="s">
        <v>9613</v>
      </c>
      <c r="L1618" s="1">
        <v>5</v>
      </c>
      <c r="M1618" s="1">
        <v>5</v>
      </c>
      <c r="N1618">
        <v>0</v>
      </c>
      <c r="O1618" s="3">
        <f>IF(
    R1618="Ancien",
    _xlfn.XLOOKUP(
        Final_Sans_VGE[[#This Row],[ppn_z]],
        tbl_Historique_Final[ppn_z],
        tbl_Historique_Final[Horodatage],
        ""
    ),
    Horodatage!$A$2
)</f>
        <v>46233.670796365739</v>
      </c>
      <c r="P1618" s="1" t="str">
        <f>IFERROR(IF(tbl_Historique_Final[[#This Row],[Commentaires]]&lt;&gt;"",tbl_Historique_Final[[#This Row],[Commentaires]],""),"")</f>
        <v/>
      </c>
      <c r="X1618" s="8" t="str">
        <f>IF(Final_Sans_VGE[[#This Row],[ppn_z]]="","",IFERROR(
   IF(_xlfn.XLOOKUP(Final_Sans_VGE[[#This Row],[ppn_z]],tbl_Historique_Final[ppn_z],tbl_Historique_Final[date_modif])=Final_Sans_VGE[[#This Row],[date_modif]],
      "Ancien",
      "Modifié"),
   "Nouveau"))</f>
        <v>Ancien</v>
      </c>
      <c r="AC1618"/>
      <c r="AD1618"/>
    </row>
    <row r="1619" spans="1:30" x14ac:dyDescent="0.25">
      <c r="A1619" s="5" t="s">
        <v>5021</v>
      </c>
      <c r="B1619" s="1" t="s">
        <v>9614</v>
      </c>
      <c r="C1619" s="1" t="s">
        <v>79</v>
      </c>
      <c r="G1619" s="1" t="s">
        <v>10</v>
      </c>
      <c r="J1619" s="3">
        <v>46188.681354166663</v>
      </c>
      <c r="K1619" s="2" t="s">
        <v>9615</v>
      </c>
      <c r="L1619" s="1">
        <v>6</v>
      </c>
      <c r="M1619" s="1">
        <v>6</v>
      </c>
      <c r="N1619">
        <v>0</v>
      </c>
      <c r="O1619" s="3">
        <f>IF(
    R1619="Ancien",
    _xlfn.XLOOKUP(
        Final_Sans_VGE[[#This Row],[ppn_z]],
        tbl_Historique_Final[ppn_z],
        tbl_Historique_Final[Horodatage],
        ""
    ),
    Horodatage!$A$2
)</f>
        <v>46233.670796365739</v>
      </c>
      <c r="P1619" s="1" t="str">
        <f>IFERROR(IF(tbl_Historique_Final[[#This Row],[Commentaires]]&lt;&gt;"",tbl_Historique_Final[[#This Row],[Commentaires]],""),"")</f>
        <v/>
      </c>
      <c r="X1619" s="8" t="str">
        <f>IF(Final_Sans_VGE[[#This Row],[ppn_z]]="","",IFERROR(
   IF(_xlfn.XLOOKUP(Final_Sans_VGE[[#This Row],[ppn_z]],tbl_Historique_Final[ppn_z],tbl_Historique_Final[date_modif])=Final_Sans_VGE[[#This Row],[date_modif]],
      "Ancien",
      "Modifié"),
   "Nouveau"))</f>
        <v>Ancien</v>
      </c>
      <c r="AC1619"/>
      <c r="AD1619"/>
    </row>
    <row r="1620" spans="1:30" ht="30" x14ac:dyDescent="0.25">
      <c r="A1620" s="5" t="s">
        <v>5024</v>
      </c>
      <c r="B1620" s="1" t="s">
        <v>9616</v>
      </c>
      <c r="C1620" s="1" t="s">
        <v>7796</v>
      </c>
      <c r="D1620" s="1" t="s">
        <v>14</v>
      </c>
      <c r="E1620" s="1" t="s">
        <v>6559</v>
      </c>
      <c r="F1620" s="1" t="s">
        <v>8301</v>
      </c>
      <c r="G1620" s="1" t="s">
        <v>10</v>
      </c>
      <c r="H1620" s="1" t="s">
        <v>8458</v>
      </c>
      <c r="I1620" s="1" t="s">
        <v>22</v>
      </c>
      <c r="J1620" s="3">
        <v>46187.387106481481</v>
      </c>
      <c r="K1620" s="2" t="s">
        <v>9617</v>
      </c>
      <c r="L1620" s="1">
        <v>87</v>
      </c>
      <c r="M1620" s="1">
        <v>99</v>
      </c>
      <c r="N1620">
        <v>12</v>
      </c>
      <c r="O1620" s="3">
        <f>IF(
    R1620="Ancien",
    _xlfn.XLOOKUP(
        Final_Sans_VGE[[#This Row],[ppn_z]],
        tbl_Historique_Final[ppn_z],
        tbl_Historique_Final[Horodatage],
        ""
    ),
    Horodatage!$A$2
)</f>
        <v>46233.670796365739</v>
      </c>
      <c r="P1620" s="1" t="str">
        <f>IFERROR(IF(tbl_Historique_Final[[#This Row],[Commentaires]]&lt;&gt;"",tbl_Historique_Final[[#This Row],[Commentaires]],""),"")</f>
        <v/>
      </c>
      <c r="X1620" s="8" t="str">
        <f>IF(Final_Sans_VGE[[#This Row],[ppn_z]]="","",IFERROR(
   IF(_xlfn.XLOOKUP(Final_Sans_VGE[[#This Row],[ppn_z]],tbl_Historique_Final[ppn_z],tbl_Historique_Final[date_modif])=Final_Sans_VGE[[#This Row],[date_modif]],
      "Ancien",
      "Modifié"),
   "Nouveau"))</f>
        <v>Ancien</v>
      </c>
      <c r="AC1620"/>
      <c r="AD1620"/>
    </row>
    <row r="1621" spans="1:30" x14ac:dyDescent="0.25">
      <c r="A1621" s="5" t="s">
        <v>5027</v>
      </c>
      <c r="B1621" s="1" t="s">
        <v>9618</v>
      </c>
      <c r="C1621" s="1" t="s">
        <v>12</v>
      </c>
      <c r="G1621" s="1" t="s">
        <v>11</v>
      </c>
      <c r="J1621" s="3">
        <v>46194.399745370371</v>
      </c>
      <c r="K1621" s="2" t="s">
        <v>9619</v>
      </c>
      <c r="L1621" s="1">
        <v>6</v>
      </c>
      <c r="M1621" s="1">
        <v>6</v>
      </c>
      <c r="N1621">
        <v>0</v>
      </c>
      <c r="O1621" s="3">
        <f>IF(
    R1621="Ancien",
    _xlfn.XLOOKUP(
        Final_Sans_VGE[[#This Row],[ppn_z]],
        tbl_Historique_Final[ppn_z],
        tbl_Historique_Final[Horodatage],
        ""
    ),
    Horodatage!$A$2
)</f>
        <v>46233.670796365739</v>
      </c>
      <c r="P1621" s="1" t="str">
        <f>IFERROR(IF(tbl_Historique_Final[[#This Row],[Commentaires]]&lt;&gt;"",tbl_Historique_Final[[#This Row],[Commentaires]],""),"")</f>
        <v/>
      </c>
      <c r="X1621" s="8" t="str">
        <f>IF(Final_Sans_VGE[[#This Row],[ppn_z]]="","",IFERROR(
   IF(_xlfn.XLOOKUP(Final_Sans_VGE[[#This Row],[ppn_z]],tbl_Historique_Final[ppn_z],tbl_Historique_Final[date_modif])=Final_Sans_VGE[[#This Row],[date_modif]],
      "Ancien",
      "Modifié"),
   "Nouveau"))</f>
        <v>Ancien</v>
      </c>
      <c r="AC1621"/>
      <c r="AD1621"/>
    </row>
    <row r="1622" spans="1:30" x14ac:dyDescent="0.25">
      <c r="A1622" s="5" t="s">
        <v>5030</v>
      </c>
      <c r="B1622" s="1" t="s">
        <v>9620</v>
      </c>
      <c r="J1622" s="3">
        <v>46055.481817129628</v>
      </c>
      <c r="L1622" s="1">
        <v>37</v>
      </c>
      <c r="M1622" s="1">
        <v>37</v>
      </c>
      <c r="N1622">
        <v>0</v>
      </c>
      <c r="O1622" s="3">
        <f>IF(
    R1622="Ancien",
    _xlfn.XLOOKUP(
        Final_Sans_VGE[[#This Row],[ppn_z]],
        tbl_Historique_Final[ppn_z],
        tbl_Historique_Final[Horodatage],
        ""
    ),
    Horodatage!$A$2
)</f>
        <v>46233.670796365739</v>
      </c>
      <c r="P1622" s="1" t="str">
        <f>IFERROR(IF(tbl_Historique_Final[[#This Row],[Commentaires]]&lt;&gt;"",tbl_Historique_Final[[#This Row],[Commentaires]],""),"")</f>
        <v/>
      </c>
      <c r="X1622" s="8" t="str">
        <f>IF(Final_Sans_VGE[[#This Row],[ppn_z]]="","",IFERROR(
   IF(_xlfn.XLOOKUP(Final_Sans_VGE[[#This Row],[ppn_z]],tbl_Historique_Final[ppn_z],tbl_Historique_Final[date_modif])=Final_Sans_VGE[[#This Row],[date_modif]],
      "Ancien",
      "Modifié"),
   "Nouveau"))</f>
        <v>Ancien</v>
      </c>
      <c r="AC1622"/>
      <c r="AD1622"/>
    </row>
    <row r="1623" spans="1:30" ht="30" x14ac:dyDescent="0.25">
      <c r="A1623" s="5" t="s">
        <v>5033</v>
      </c>
      <c r="B1623" s="1" t="s">
        <v>9621</v>
      </c>
      <c r="C1623" s="1" t="s">
        <v>12</v>
      </c>
      <c r="G1623" s="1" t="s">
        <v>11</v>
      </c>
      <c r="J1623" s="3">
        <v>46175.598645833335</v>
      </c>
      <c r="K1623" s="2" t="s">
        <v>9622</v>
      </c>
      <c r="L1623" s="1">
        <v>22</v>
      </c>
      <c r="M1623" s="1">
        <v>24</v>
      </c>
      <c r="N1623">
        <v>2</v>
      </c>
      <c r="O1623" s="3">
        <f>IF(
    R1623="Ancien",
    _xlfn.XLOOKUP(
        Final_Sans_VGE[[#This Row],[ppn_z]],
        tbl_Historique_Final[ppn_z],
        tbl_Historique_Final[Horodatage],
        ""
    ),
    Horodatage!$A$2
)</f>
        <v>46233.670796365739</v>
      </c>
      <c r="P1623" s="1" t="str">
        <f>IFERROR(IF(tbl_Historique_Final[[#This Row],[Commentaires]]&lt;&gt;"",tbl_Historique_Final[[#This Row],[Commentaires]],""),"")</f>
        <v/>
      </c>
      <c r="X1623" s="8" t="str">
        <f>IF(Final_Sans_VGE[[#This Row],[ppn_z]]="","",IFERROR(
   IF(_xlfn.XLOOKUP(Final_Sans_VGE[[#This Row],[ppn_z]],tbl_Historique_Final[ppn_z],tbl_Historique_Final[date_modif])=Final_Sans_VGE[[#This Row],[date_modif]],
      "Ancien",
      "Modifié"),
   "Nouveau"))</f>
        <v>Ancien</v>
      </c>
      <c r="AC1623"/>
      <c r="AD1623"/>
    </row>
    <row r="1624" spans="1:30" x14ac:dyDescent="0.25">
      <c r="A1624" s="5" t="s">
        <v>5036</v>
      </c>
      <c r="B1624" s="1" t="s">
        <v>9623</v>
      </c>
      <c r="C1624" s="1" t="s">
        <v>28</v>
      </c>
      <c r="D1624" s="1" t="s">
        <v>14</v>
      </c>
      <c r="E1624" s="1" t="s">
        <v>127</v>
      </c>
      <c r="F1624" s="1" t="s">
        <v>14</v>
      </c>
      <c r="G1624" s="1" t="s">
        <v>11</v>
      </c>
      <c r="H1624" s="1" t="s">
        <v>22</v>
      </c>
      <c r="I1624" s="1" t="s">
        <v>22</v>
      </c>
      <c r="J1624" s="3">
        <v>46194.396874999999</v>
      </c>
      <c r="K1624" s="2" t="s">
        <v>9624</v>
      </c>
      <c r="L1624" s="1">
        <v>31</v>
      </c>
      <c r="M1624" s="1">
        <v>36</v>
      </c>
      <c r="N1624">
        <v>5</v>
      </c>
      <c r="O1624" s="3">
        <f>IF(
    R1624="Ancien",
    _xlfn.XLOOKUP(
        Final_Sans_VGE[[#This Row],[ppn_z]],
        tbl_Historique_Final[ppn_z],
        tbl_Historique_Final[Horodatage],
        ""
    ),
    Horodatage!$A$2
)</f>
        <v>46233.670796365739</v>
      </c>
      <c r="P1624" s="1" t="str">
        <f>IFERROR(IF(tbl_Historique_Final[[#This Row],[Commentaires]]&lt;&gt;"",tbl_Historique_Final[[#This Row],[Commentaires]],""),"")</f>
        <v/>
      </c>
      <c r="X1624" s="8" t="str">
        <f>IF(Final_Sans_VGE[[#This Row],[ppn_z]]="","",IFERROR(
   IF(_xlfn.XLOOKUP(Final_Sans_VGE[[#This Row],[ppn_z]],tbl_Historique_Final[ppn_z],tbl_Historique_Final[date_modif])=Final_Sans_VGE[[#This Row],[date_modif]],
      "Ancien",
      "Modifié"),
   "Nouveau"))</f>
        <v>Ancien</v>
      </c>
      <c r="AC1624"/>
      <c r="AD1624"/>
    </row>
    <row r="1625" spans="1:30" x14ac:dyDescent="0.25">
      <c r="A1625" s="5" t="s">
        <v>5039</v>
      </c>
      <c r="B1625" s="1" t="s">
        <v>9625</v>
      </c>
      <c r="C1625" s="1" t="s">
        <v>7709</v>
      </c>
      <c r="E1625" s="1" t="s">
        <v>30</v>
      </c>
      <c r="G1625" s="1" t="s">
        <v>10</v>
      </c>
      <c r="J1625" s="3">
        <v>46189.633043981485</v>
      </c>
      <c r="K1625" s="2" t="s">
        <v>9626</v>
      </c>
      <c r="L1625" s="1">
        <v>6</v>
      </c>
      <c r="M1625" s="1">
        <v>6</v>
      </c>
      <c r="N1625">
        <v>0</v>
      </c>
      <c r="O1625" s="3">
        <f>IF(
    R1625="Ancien",
    _xlfn.XLOOKUP(
        Final_Sans_VGE[[#This Row],[ppn_z]],
        tbl_Historique_Final[ppn_z],
        tbl_Historique_Final[Horodatage],
        ""
    ),
    Horodatage!$A$2
)</f>
        <v>46233.670796365739</v>
      </c>
      <c r="P1625" s="1" t="str">
        <f>IFERROR(IF(tbl_Historique_Final[[#This Row],[Commentaires]]&lt;&gt;"",tbl_Historique_Final[[#This Row],[Commentaires]],""),"")</f>
        <v/>
      </c>
      <c r="X1625" s="8" t="str">
        <f>IF(Final_Sans_VGE[[#This Row],[ppn_z]]="","",IFERROR(
   IF(_xlfn.XLOOKUP(Final_Sans_VGE[[#This Row],[ppn_z]],tbl_Historique_Final[ppn_z],tbl_Historique_Final[date_modif])=Final_Sans_VGE[[#This Row],[date_modif]],
      "Ancien",
      "Modifié"),
   "Nouveau"))</f>
        <v>Ancien</v>
      </c>
      <c r="AC1625"/>
      <c r="AD1625"/>
    </row>
    <row r="1626" spans="1:30" x14ac:dyDescent="0.25">
      <c r="A1626" s="5" t="s">
        <v>5042</v>
      </c>
      <c r="B1626" s="1" t="s">
        <v>9627</v>
      </c>
      <c r="C1626" s="1" t="s">
        <v>37</v>
      </c>
      <c r="G1626" s="1" t="s">
        <v>10</v>
      </c>
      <c r="J1626" s="3">
        <v>46184.66951388889</v>
      </c>
      <c r="K1626" s="2" t="s">
        <v>9628</v>
      </c>
      <c r="L1626" s="1">
        <v>17</v>
      </c>
      <c r="M1626" s="1">
        <v>18</v>
      </c>
      <c r="N1626">
        <v>1</v>
      </c>
      <c r="O1626" s="3">
        <f>IF(
    R1626="Ancien",
    _xlfn.XLOOKUP(
        Final_Sans_VGE[[#This Row],[ppn_z]],
        tbl_Historique_Final[ppn_z],
        tbl_Historique_Final[Horodatage],
        ""
    ),
    Horodatage!$A$2
)</f>
        <v>46233.670796365739</v>
      </c>
      <c r="P1626" s="1" t="str">
        <f>IFERROR(IF(tbl_Historique_Final[[#This Row],[Commentaires]]&lt;&gt;"",tbl_Historique_Final[[#This Row],[Commentaires]],""),"")</f>
        <v/>
      </c>
      <c r="X1626" s="8" t="str">
        <f>IF(Final_Sans_VGE[[#This Row],[ppn_z]]="","",IFERROR(
   IF(_xlfn.XLOOKUP(Final_Sans_VGE[[#This Row],[ppn_z]],tbl_Historique_Final[ppn_z],tbl_Historique_Final[date_modif])=Final_Sans_VGE[[#This Row],[date_modif]],
      "Ancien",
      "Modifié"),
   "Nouveau"))</f>
        <v>Ancien</v>
      </c>
      <c r="AC1626"/>
      <c r="AD1626"/>
    </row>
    <row r="1627" spans="1:30" x14ac:dyDescent="0.25">
      <c r="A1627" s="5" t="s">
        <v>5045</v>
      </c>
      <c r="B1627" s="1" t="s">
        <v>9629</v>
      </c>
      <c r="C1627" s="1" t="s">
        <v>53</v>
      </c>
      <c r="G1627" s="1" t="s">
        <v>10</v>
      </c>
      <c r="J1627" s="3">
        <v>46199.519594907404</v>
      </c>
      <c r="K1627" s="2" t="s">
        <v>9630</v>
      </c>
      <c r="L1627" s="1">
        <v>12</v>
      </c>
      <c r="M1627" s="1">
        <v>12</v>
      </c>
      <c r="N1627">
        <v>0</v>
      </c>
      <c r="O1627" s="3">
        <f>IF(
    R1627="Ancien",
    _xlfn.XLOOKUP(
        Final_Sans_VGE[[#This Row],[ppn_z]],
        tbl_Historique_Final[ppn_z],
        tbl_Historique_Final[Horodatage],
        ""
    ),
    Horodatage!$A$2
)</f>
        <v>46233.670796365739</v>
      </c>
      <c r="P1627" s="1" t="str">
        <f>IFERROR(IF(tbl_Historique_Final[[#This Row],[Commentaires]]&lt;&gt;"",tbl_Historique_Final[[#This Row],[Commentaires]],""),"")</f>
        <v/>
      </c>
      <c r="X1627" s="8" t="str">
        <f>IF(Final_Sans_VGE[[#This Row],[ppn_z]]="","",IFERROR(
   IF(_xlfn.XLOOKUP(Final_Sans_VGE[[#This Row],[ppn_z]],tbl_Historique_Final[ppn_z],tbl_Historique_Final[date_modif])=Final_Sans_VGE[[#This Row],[date_modif]],
      "Ancien",
      "Modifié"),
   "Nouveau"))</f>
        <v>Ancien</v>
      </c>
      <c r="AC1627"/>
      <c r="AD1627"/>
    </row>
    <row r="1628" spans="1:30" ht="90" x14ac:dyDescent="0.25">
      <c r="A1628" s="5" t="s">
        <v>5048</v>
      </c>
      <c r="B1628" s="1" t="s">
        <v>9631</v>
      </c>
      <c r="C1628" s="1" t="s">
        <v>9632</v>
      </c>
      <c r="D1628" s="1" t="s">
        <v>14</v>
      </c>
      <c r="E1628" s="1" t="s">
        <v>6779</v>
      </c>
      <c r="F1628" s="1" t="s">
        <v>14</v>
      </c>
      <c r="G1628" s="1" t="s">
        <v>10</v>
      </c>
      <c r="H1628" s="1" t="s">
        <v>9633</v>
      </c>
      <c r="I1628" s="1" t="s">
        <v>9634</v>
      </c>
      <c r="J1628" s="3">
        <v>46204.525300925925</v>
      </c>
      <c r="K1628" s="2" t="s">
        <v>9635</v>
      </c>
      <c r="L1628" s="1">
        <v>132</v>
      </c>
      <c r="M1628" s="1">
        <v>201</v>
      </c>
      <c r="N1628">
        <v>69</v>
      </c>
      <c r="O1628" s="3">
        <f>IF(
    R1628="Ancien",
    _xlfn.XLOOKUP(
        Final_Sans_VGE[[#This Row],[ppn_z]],
        tbl_Historique_Final[ppn_z],
        tbl_Historique_Final[Horodatage],
        ""
    ),
    Horodatage!$A$2
)</f>
        <v>46233.670796365739</v>
      </c>
      <c r="P1628" s="1" t="str">
        <f>IFERROR(IF(tbl_Historique_Final[[#This Row],[Commentaires]]&lt;&gt;"",tbl_Historique_Final[[#This Row],[Commentaires]],""),"")</f>
        <v/>
      </c>
      <c r="X1628" s="8" t="str">
        <f>IF(Final_Sans_VGE[[#This Row],[ppn_z]]="","",IFERROR(
   IF(_xlfn.XLOOKUP(Final_Sans_VGE[[#This Row],[ppn_z]],tbl_Historique_Final[ppn_z],tbl_Historique_Final[date_modif])=Final_Sans_VGE[[#This Row],[date_modif]],
      "Ancien",
      "Modifié"),
   "Nouveau"))</f>
        <v>Ancien</v>
      </c>
      <c r="AC1628"/>
      <c r="AD1628"/>
    </row>
    <row r="1629" spans="1:30" x14ac:dyDescent="0.25">
      <c r="A1629" s="5" t="s">
        <v>5051</v>
      </c>
      <c r="B1629" s="1" t="s">
        <v>9636</v>
      </c>
      <c r="C1629" s="1" t="s">
        <v>12</v>
      </c>
      <c r="G1629" s="1" t="s">
        <v>10</v>
      </c>
      <c r="J1629" s="3">
        <v>46189.443009259259</v>
      </c>
      <c r="K1629" s="2" t="s">
        <v>9637</v>
      </c>
      <c r="L1629" s="1">
        <v>7</v>
      </c>
      <c r="M1629" s="1">
        <v>9</v>
      </c>
      <c r="N1629">
        <v>2</v>
      </c>
      <c r="O1629" s="3">
        <f>IF(
    R1629="Ancien",
    _xlfn.XLOOKUP(
        Final_Sans_VGE[[#This Row],[ppn_z]],
        tbl_Historique_Final[ppn_z],
        tbl_Historique_Final[Horodatage],
        ""
    ),
    Horodatage!$A$2
)</f>
        <v>46233.670796365739</v>
      </c>
      <c r="P1629" s="1" t="str">
        <f>IFERROR(IF(tbl_Historique_Final[[#This Row],[Commentaires]]&lt;&gt;"",tbl_Historique_Final[[#This Row],[Commentaires]],""),"")</f>
        <v/>
      </c>
      <c r="X1629" s="8" t="str">
        <f>IF(Final_Sans_VGE[[#This Row],[ppn_z]]="","",IFERROR(
   IF(_xlfn.XLOOKUP(Final_Sans_VGE[[#This Row],[ppn_z]],tbl_Historique_Final[ppn_z],tbl_Historique_Final[date_modif])=Final_Sans_VGE[[#This Row],[date_modif]],
      "Ancien",
      "Modifié"),
   "Nouveau"))</f>
        <v>Ancien</v>
      </c>
      <c r="AC1629"/>
      <c r="AD1629"/>
    </row>
    <row r="1630" spans="1:30" ht="30" x14ac:dyDescent="0.25">
      <c r="A1630" s="5" t="s">
        <v>5054</v>
      </c>
      <c r="B1630" s="1" t="s">
        <v>9638</v>
      </c>
      <c r="C1630" s="1" t="s">
        <v>68</v>
      </c>
      <c r="G1630" s="1" t="s">
        <v>10</v>
      </c>
      <c r="J1630" s="3">
        <v>46184.626458333332</v>
      </c>
      <c r="K1630" s="2" t="s">
        <v>9639</v>
      </c>
      <c r="L1630" s="1">
        <v>20</v>
      </c>
      <c r="M1630" s="1">
        <v>25</v>
      </c>
      <c r="N1630">
        <v>5</v>
      </c>
      <c r="O1630" s="3">
        <f>IF(
    R1630="Ancien",
    _xlfn.XLOOKUP(
        Final_Sans_VGE[[#This Row],[ppn_z]],
        tbl_Historique_Final[ppn_z],
        tbl_Historique_Final[Horodatage],
        ""
    ),
    Horodatage!$A$2
)</f>
        <v>46233.670796365739</v>
      </c>
      <c r="P1630" s="1" t="str">
        <f>IFERROR(IF(tbl_Historique_Final[[#This Row],[Commentaires]]&lt;&gt;"",tbl_Historique_Final[[#This Row],[Commentaires]],""),"")</f>
        <v/>
      </c>
      <c r="X1630" s="8" t="str">
        <f>IF(Final_Sans_VGE[[#This Row],[ppn_z]]="","",IFERROR(
   IF(_xlfn.XLOOKUP(Final_Sans_VGE[[#This Row],[ppn_z]],tbl_Historique_Final[ppn_z],tbl_Historique_Final[date_modif])=Final_Sans_VGE[[#This Row],[date_modif]],
      "Ancien",
      "Modifié"),
   "Nouveau"))</f>
        <v>Ancien</v>
      </c>
      <c r="AC1630"/>
      <c r="AD1630"/>
    </row>
    <row r="1631" spans="1:30" x14ac:dyDescent="0.25">
      <c r="A1631" s="5" t="s">
        <v>5057</v>
      </c>
      <c r="B1631" s="1" t="s">
        <v>9640</v>
      </c>
      <c r="C1631" s="1" t="s">
        <v>89</v>
      </c>
      <c r="G1631" s="1" t="s">
        <v>11</v>
      </c>
      <c r="J1631" s="3">
        <v>46199.495428240742</v>
      </c>
      <c r="K1631" s="2" t="s">
        <v>9641</v>
      </c>
      <c r="L1631" s="1">
        <v>1</v>
      </c>
      <c r="M1631" s="1">
        <v>1</v>
      </c>
      <c r="N1631">
        <v>0</v>
      </c>
      <c r="O1631" s="3">
        <f>IF(
    R1631="Ancien",
    _xlfn.XLOOKUP(
        Final_Sans_VGE[[#This Row],[ppn_z]],
        tbl_Historique_Final[ppn_z],
        tbl_Historique_Final[Horodatage],
        ""
    ),
    Horodatage!$A$2
)</f>
        <v>46233.670796365739</v>
      </c>
      <c r="P1631" s="1" t="str">
        <f>IFERROR(IF(tbl_Historique_Final[[#This Row],[Commentaires]]&lt;&gt;"",tbl_Historique_Final[[#This Row],[Commentaires]],""),"")</f>
        <v/>
      </c>
      <c r="X1631" s="8" t="str">
        <f>IF(Final_Sans_VGE[[#This Row],[ppn_z]]="","",IFERROR(
   IF(_xlfn.XLOOKUP(Final_Sans_VGE[[#This Row],[ppn_z]],tbl_Historique_Final[ppn_z],tbl_Historique_Final[date_modif])=Final_Sans_VGE[[#This Row],[date_modif]],
      "Ancien",
      "Modifié"),
   "Nouveau"))</f>
        <v>Ancien</v>
      </c>
      <c r="AC1631"/>
      <c r="AD1631"/>
    </row>
    <row r="1632" spans="1:30" ht="45" x14ac:dyDescent="0.25">
      <c r="A1632" s="5" t="s">
        <v>5060</v>
      </c>
      <c r="B1632" s="1" t="s">
        <v>9642</v>
      </c>
      <c r="J1632" s="3">
        <v>46187.378831018519</v>
      </c>
      <c r="K1632" s="2" t="s">
        <v>9643</v>
      </c>
      <c r="L1632" s="1">
        <v>33</v>
      </c>
      <c r="M1632" s="1">
        <v>33</v>
      </c>
      <c r="N1632">
        <v>0</v>
      </c>
      <c r="O1632" s="3">
        <f>IF(
    R1632="Ancien",
    _xlfn.XLOOKUP(
        Final_Sans_VGE[[#This Row],[ppn_z]],
        tbl_Historique_Final[ppn_z],
        tbl_Historique_Final[Horodatage],
        ""
    ),
    Horodatage!$A$2
)</f>
        <v>46233.670796365739</v>
      </c>
      <c r="P1632" s="1" t="str">
        <f>IFERROR(IF(tbl_Historique_Final[[#This Row],[Commentaires]]&lt;&gt;"",tbl_Historique_Final[[#This Row],[Commentaires]],""),"")</f>
        <v/>
      </c>
      <c r="X1632" s="8" t="str">
        <f>IF(Final_Sans_VGE[[#This Row],[ppn_z]]="","",IFERROR(
   IF(_xlfn.XLOOKUP(Final_Sans_VGE[[#This Row],[ppn_z]],tbl_Historique_Final[ppn_z],tbl_Historique_Final[date_modif])=Final_Sans_VGE[[#This Row],[date_modif]],
      "Ancien",
      "Modifié"),
   "Nouveau"))</f>
        <v>Ancien</v>
      </c>
      <c r="AC1632"/>
      <c r="AD1632"/>
    </row>
    <row r="1633" spans="1:30" ht="30" x14ac:dyDescent="0.25">
      <c r="A1633" s="5" t="s">
        <v>5063</v>
      </c>
      <c r="B1633" s="1" t="s">
        <v>9644</v>
      </c>
      <c r="C1633" s="1" t="s">
        <v>146</v>
      </c>
      <c r="E1633" s="1" t="s">
        <v>40</v>
      </c>
      <c r="G1633" s="1" t="s">
        <v>10</v>
      </c>
      <c r="J1633" s="3">
        <v>46190.561608796299</v>
      </c>
      <c r="K1633" s="2" t="s">
        <v>9645</v>
      </c>
      <c r="L1633" s="1">
        <v>9</v>
      </c>
      <c r="M1633" s="1">
        <v>9</v>
      </c>
      <c r="N1633">
        <v>0</v>
      </c>
      <c r="O1633" s="3">
        <f>IF(
    R1633="Ancien",
    _xlfn.XLOOKUP(
        Final_Sans_VGE[[#This Row],[ppn_z]],
        tbl_Historique_Final[ppn_z],
        tbl_Historique_Final[Horodatage],
        ""
    ),
    Horodatage!$A$2
)</f>
        <v>46233.670796365739</v>
      </c>
      <c r="P1633" s="1" t="str">
        <f>IFERROR(IF(tbl_Historique_Final[[#This Row],[Commentaires]]&lt;&gt;"",tbl_Historique_Final[[#This Row],[Commentaires]],""),"")</f>
        <v/>
      </c>
      <c r="X1633" s="8" t="str">
        <f>IF(Final_Sans_VGE[[#This Row],[ppn_z]]="","",IFERROR(
   IF(_xlfn.XLOOKUP(Final_Sans_VGE[[#This Row],[ppn_z]],tbl_Historique_Final[ppn_z],tbl_Historique_Final[date_modif])=Final_Sans_VGE[[#This Row],[date_modif]],
      "Ancien",
      "Modifié"),
   "Nouveau"))</f>
        <v>Ancien</v>
      </c>
      <c r="AC1633"/>
      <c r="AD1633"/>
    </row>
    <row r="1634" spans="1:30" ht="30" x14ac:dyDescent="0.25">
      <c r="A1634" s="5" t="s">
        <v>5066</v>
      </c>
      <c r="B1634" s="1" t="s">
        <v>9646</v>
      </c>
      <c r="C1634" s="1" t="s">
        <v>12</v>
      </c>
      <c r="G1634" s="1" t="s">
        <v>10</v>
      </c>
      <c r="J1634" s="3">
        <v>46194.395219907405</v>
      </c>
      <c r="K1634" s="2" t="s">
        <v>9647</v>
      </c>
      <c r="L1634" s="1">
        <v>7</v>
      </c>
      <c r="M1634" s="1">
        <v>11</v>
      </c>
      <c r="N1634">
        <v>4</v>
      </c>
      <c r="O1634" s="3">
        <f>IF(
    R1634="Ancien",
    _xlfn.XLOOKUP(
        Final_Sans_VGE[[#This Row],[ppn_z]],
        tbl_Historique_Final[ppn_z],
        tbl_Historique_Final[Horodatage],
        ""
    ),
    Horodatage!$A$2
)</f>
        <v>46233.670796365739</v>
      </c>
      <c r="P1634" s="1" t="str">
        <f>IFERROR(IF(tbl_Historique_Final[[#This Row],[Commentaires]]&lt;&gt;"",tbl_Historique_Final[[#This Row],[Commentaires]],""),"")</f>
        <v/>
      </c>
      <c r="X1634" s="8" t="str">
        <f>IF(Final_Sans_VGE[[#This Row],[ppn_z]]="","",IFERROR(
   IF(_xlfn.XLOOKUP(Final_Sans_VGE[[#This Row],[ppn_z]],tbl_Historique_Final[ppn_z],tbl_Historique_Final[date_modif])=Final_Sans_VGE[[#This Row],[date_modif]],
      "Ancien",
      "Modifié"),
   "Nouveau"))</f>
        <v>Ancien</v>
      </c>
      <c r="AC1634"/>
      <c r="AD1634"/>
    </row>
    <row r="1635" spans="1:30" ht="30" x14ac:dyDescent="0.25">
      <c r="A1635" s="5" t="s">
        <v>5069</v>
      </c>
      <c r="B1635" s="1" t="s">
        <v>9648</v>
      </c>
      <c r="C1635" s="1" t="s">
        <v>9203</v>
      </c>
      <c r="E1635" s="1" t="s">
        <v>120</v>
      </c>
      <c r="G1635" s="1" t="s">
        <v>10</v>
      </c>
      <c r="J1635" s="3">
        <v>46191.387615740743</v>
      </c>
      <c r="K1635" s="2" t="s">
        <v>9649</v>
      </c>
      <c r="L1635" s="1">
        <v>5</v>
      </c>
      <c r="M1635" s="1">
        <v>5</v>
      </c>
      <c r="N1635">
        <v>0</v>
      </c>
      <c r="O1635" s="3">
        <f>IF(
    R1635="Ancien",
    _xlfn.XLOOKUP(
        Final_Sans_VGE[[#This Row],[ppn_z]],
        tbl_Historique_Final[ppn_z],
        tbl_Historique_Final[Horodatage],
        ""
    ),
    Horodatage!$A$2
)</f>
        <v>46233.670796365739</v>
      </c>
      <c r="P1635" s="1" t="str">
        <f>IFERROR(IF(tbl_Historique_Final[[#This Row],[Commentaires]]&lt;&gt;"",tbl_Historique_Final[[#This Row],[Commentaires]],""),"")</f>
        <v/>
      </c>
      <c r="X1635" s="8" t="str">
        <f>IF(Final_Sans_VGE[[#This Row],[ppn_z]]="","",IFERROR(
   IF(_xlfn.XLOOKUP(Final_Sans_VGE[[#This Row],[ppn_z]],tbl_Historique_Final[ppn_z],tbl_Historique_Final[date_modif])=Final_Sans_VGE[[#This Row],[date_modif]],
      "Ancien",
      "Modifié"),
   "Nouveau"))</f>
        <v>Ancien</v>
      </c>
      <c r="AC1635"/>
      <c r="AD1635"/>
    </row>
    <row r="1636" spans="1:30" x14ac:dyDescent="0.25">
      <c r="A1636" s="5" t="s">
        <v>5072</v>
      </c>
      <c r="B1636" s="1" t="s">
        <v>9650</v>
      </c>
      <c r="C1636" s="1" t="s">
        <v>12</v>
      </c>
      <c r="G1636" s="1" t="s">
        <v>10</v>
      </c>
      <c r="J1636" s="3">
        <v>46202.49559027778</v>
      </c>
      <c r="K1636" s="2" t="s">
        <v>9651</v>
      </c>
      <c r="L1636" s="1">
        <v>1</v>
      </c>
      <c r="M1636" s="1">
        <v>1</v>
      </c>
      <c r="N1636">
        <v>0</v>
      </c>
      <c r="O1636" s="3">
        <f>IF(
    R1636="Ancien",
    _xlfn.XLOOKUP(
        Final_Sans_VGE[[#This Row],[ppn_z]],
        tbl_Historique_Final[ppn_z],
        tbl_Historique_Final[Horodatage],
        ""
    ),
    Horodatage!$A$2
)</f>
        <v>46233.670796365739</v>
      </c>
      <c r="P1636" s="1" t="str">
        <f>IFERROR(IF(tbl_Historique_Final[[#This Row],[Commentaires]]&lt;&gt;"",tbl_Historique_Final[[#This Row],[Commentaires]],""),"")</f>
        <v/>
      </c>
      <c r="X1636" s="8" t="str">
        <f>IF(Final_Sans_VGE[[#This Row],[ppn_z]]="","",IFERROR(
   IF(_xlfn.XLOOKUP(Final_Sans_VGE[[#This Row],[ppn_z]],tbl_Historique_Final[ppn_z],tbl_Historique_Final[date_modif])=Final_Sans_VGE[[#This Row],[date_modif]],
      "Ancien",
      "Modifié"),
   "Nouveau"))</f>
        <v>Ancien</v>
      </c>
      <c r="AC1636"/>
      <c r="AD1636"/>
    </row>
    <row r="1637" spans="1:30" x14ac:dyDescent="0.25">
      <c r="A1637" s="5" t="s">
        <v>5075</v>
      </c>
      <c r="B1637" s="1" t="s">
        <v>9652</v>
      </c>
      <c r="C1637" s="1" t="s">
        <v>12</v>
      </c>
      <c r="D1637" s="1" t="s">
        <v>14</v>
      </c>
      <c r="H1637" s="1" t="s">
        <v>9653</v>
      </c>
      <c r="I1637" s="1" t="s">
        <v>22</v>
      </c>
      <c r="J1637" s="3">
        <v>46199.576504629629</v>
      </c>
      <c r="K1637" s="2" t="s">
        <v>9654</v>
      </c>
      <c r="L1637" s="1">
        <v>2</v>
      </c>
      <c r="M1637" s="1">
        <v>4</v>
      </c>
      <c r="N1637">
        <v>2</v>
      </c>
      <c r="O1637" s="3">
        <f>IF(
    R1637="Ancien",
    _xlfn.XLOOKUP(
        Final_Sans_VGE[[#This Row],[ppn_z]],
        tbl_Historique_Final[ppn_z],
        tbl_Historique_Final[Horodatage],
        ""
    ),
    Horodatage!$A$2
)</f>
        <v>46233.670796365739</v>
      </c>
      <c r="P1637" s="1" t="str">
        <f>IFERROR(IF(tbl_Historique_Final[[#This Row],[Commentaires]]&lt;&gt;"",tbl_Historique_Final[[#This Row],[Commentaires]],""),"")</f>
        <v/>
      </c>
      <c r="X1637" s="8" t="str">
        <f>IF(Final_Sans_VGE[[#This Row],[ppn_z]]="","",IFERROR(
   IF(_xlfn.XLOOKUP(Final_Sans_VGE[[#This Row],[ppn_z]],tbl_Historique_Final[ppn_z],tbl_Historique_Final[date_modif])=Final_Sans_VGE[[#This Row],[date_modif]],
      "Ancien",
      "Modifié"),
   "Nouveau"))</f>
        <v>Ancien</v>
      </c>
      <c r="AC1637"/>
      <c r="AD1637"/>
    </row>
    <row r="1638" spans="1:30" x14ac:dyDescent="0.25">
      <c r="A1638" s="5" t="s">
        <v>5078</v>
      </c>
      <c r="B1638" s="1" t="s">
        <v>9655</v>
      </c>
      <c r="C1638" s="1" t="s">
        <v>12</v>
      </c>
      <c r="G1638" s="1" t="s">
        <v>11</v>
      </c>
      <c r="J1638" s="3">
        <v>46185.397060185183</v>
      </c>
      <c r="K1638" s="2" t="s">
        <v>9656</v>
      </c>
      <c r="L1638" s="1">
        <v>9</v>
      </c>
      <c r="M1638" s="1">
        <v>11</v>
      </c>
      <c r="N1638">
        <v>2</v>
      </c>
      <c r="O1638" s="3">
        <f>IF(
    R1638="Ancien",
    _xlfn.XLOOKUP(
        Final_Sans_VGE[[#This Row],[ppn_z]],
        tbl_Historique_Final[ppn_z],
        tbl_Historique_Final[Horodatage],
        ""
    ),
    Horodatage!$A$2
)</f>
        <v>46233.670796365739</v>
      </c>
      <c r="P1638" s="1" t="str">
        <f>IFERROR(IF(tbl_Historique_Final[[#This Row],[Commentaires]]&lt;&gt;"",tbl_Historique_Final[[#This Row],[Commentaires]],""),"")</f>
        <v/>
      </c>
      <c r="X1638" s="8" t="str">
        <f>IF(Final_Sans_VGE[[#This Row],[ppn_z]]="","",IFERROR(
   IF(_xlfn.XLOOKUP(Final_Sans_VGE[[#This Row],[ppn_z]],tbl_Historique_Final[ppn_z],tbl_Historique_Final[date_modif])=Final_Sans_VGE[[#This Row],[date_modif]],
      "Ancien",
      "Modifié"),
   "Nouveau"))</f>
        <v>Ancien</v>
      </c>
      <c r="AC1638"/>
      <c r="AD1638"/>
    </row>
    <row r="1639" spans="1:30" ht="30" x14ac:dyDescent="0.25">
      <c r="A1639" s="5" t="s">
        <v>5081</v>
      </c>
      <c r="B1639" s="1" t="s">
        <v>9657</v>
      </c>
      <c r="C1639" s="1" t="s">
        <v>6793</v>
      </c>
      <c r="G1639" s="1" t="s">
        <v>11</v>
      </c>
      <c r="J1639" s="3">
        <v>46174.673738425925</v>
      </c>
      <c r="K1639" s="2" t="s">
        <v>9658</v>
      </c>
      <c r="L1639" s="1">
        <v>1</v>
      </c>
      <c r="M1639" s="1">
        <v>1</v>
      </c>
      <c r="N1639">
        <v>0</v>
      </c>
      <c r="O1639" s="3">
        <f>IF(
    R1639="Ancien",
    _xlfn.XLOOKUP(
        Final_Sans_VGE[[#This Row],[ppn_z]],
        tbl_Historique_Final[ppn_z],
        tbl_Historique_Final[Horodatage],
        ""
    ),
    Horodatage!$A$2
)</f>
        <v>46233.670796365739</v>
      </c>
      <c r="P1639" s="1" t="str">
        <f>IFERROR(IF(tbl_Historique_Final[[#This Row],[Commentaires]]&lt;&gt;"",tbl_Historique_Final[[#This Row],[Commentaires]],""),"")</f>
        <v/>
      </c>
      <c r="X1639" s="8" t="str">
        <f>IF(Final_Sans_VGE[[#This Row],[ppn_z]]="","",IFERROR(
   IF(_xlfn.XLOOKUP(Final_Sans_VGE[[#This Row],[ppn_z]],tbl_Historique_Final[ppn_z],tbl_Historique_Final[date_modif])=Final_Sans_VGE[[#This Row],[date_modif]],
      "Ancien",
      "Modifié"),
   "Nouveau"))</f>
        <v>Ancien</v>
      </c>
      <c r="AC1639"/>
      <c r="AD1639"/>
    </row>
    <row r="1640" spans="1:30" x14ac:dyDescent="0.25">
      <c r="A1640" s="5" t="s">
        <v>5084</v>
      </c>
      <c r="B1640" s="1" t="s">
        <v>9659</v>
      </c>
      <c r="C1640" s="1" t="s">
        <v>7177</v>
      </c>
      <c r="E1640" s="1" t="s">
        <v>6566</v>
      </c>
      <c r="G1640" s="1" t="s">
        <v>10</v>
      </c>
      <c r="J1640" s="3">
        <v>46175.614814814813</v>
      </c>
      <c r="K1640" s="2" t="s">
        <v>9660</v>
      </c>
      <c r="L1640" s="1">
        <v>30</v>
      </c>
      <c r="M1640" s="1">
        <v>31</v>
      </c>
      <c r="N1640">
        <v>1</v>
      </c>
      <c r="O1640" s="3">
        <f>IF(
    R1640="Ancien",
    _xlfn.XLOOKUP(
        Final_Sans_VGE[[#This Row],[ppn_z]],
        tbl_Historique_Final[ppn_z],
        tbl_Historique_Final[Horodatage],
        ""
    ),
    Horodatage!$A$2
)</f>
        <v>46233.670796365739</v>
      </c>
      <c r="P1640" s="1" t="str">
        <f>IFERROR(IF(tbl_Historique_Final[[#This Row],[Commentaires]]&lt;&gt;"",tbl_Historique_Final[[#This Row],[Commentaires]],""),"")</f>
        <v/>
      </c>
      <c r="X1640" s="8" t="str">
        <f>IF(Final_Sans_VGE[[#This Row],[ppn_z]]="","",IFERROR(
   IF(_xlfn.XLOOKUP(Final_Sans_VGE[[#This Row],[ppn_z]],tbl_Historique_Final[ppn_z],tbl_Historique_Final[date_modif])=Final_Sans_VGE[[#This Row],[date_modif]],
      "Ancien",
      "Modifié"),
   "Nouveau"))</f>
        <v>Ancien</v>
      </c>
      <c r="AC1640"/>
      <c r="AD1640"/>
    </row>
    <row r="1641" spans="1:30" ht="60" x14ac:dyDescent="0.25">
      <c r="A1641" s="5" t="s">
        <v>5087</v>
      </c>
      <c r="B1641" s="1" t="s">
        <v>9661</v>
      </c>
      <c r="C1641" s="1" t="s">
        <v>6355</v>
      </c>
      <c r="J1641" s="3">
        <v>46194.380011574074</v>
      </c>
      <c r="K1641" s="2" t="s">
        <v>9662</v>
      </c>
      <c r="L1641" s="1">
        <v>23</v>
      </c>
      <c r="M1641" s="1">
        <v>24</v>
      </c>
      <c r="N1641">
        <v>1</v>
      </c>
      <c r="O1641" s="3">
        <f>IF(
    R1641="Ancien",
    _xlfn.XLOOKUP(
        Final_Sans_VGE[[#This Row],[ppn_z]],
        tbl_Historique_Final[ppn_z],
        tbl_Historique_Final[Horodatage],
        ""
    ),
    Horodatage!$A$2
)</f>
        <v>46233.670796365739</v>
      </c>
      <c r="P1641" s="1" t="str">
        <f>IFERROR(IF(tbl_Historique_Final[[#This Row],[Commentaires]]&lt;&gt;"",tbl_Historique_Final[[#This Row],[Commentaires]],""),"")</f>
        <v/>
      </c>
      <c r="X1641" s="8" t="str">
        <f>IF(Final_Sans_VGE[[#This Row],[ppn_z]]="","",IFERROR(
   IF(_xlfn.XLOOKUP(Final_Sans_VGE[[#This Row],[ppn_z]],tbl_Historique_Final[ppn_z],tbl_Historique_Final[date_modif])=Final_Sans_VGE[[#This Row],[date_modif]],
      "Ancien",
      "Modifié"),
   "Nouveau"))</f>
        <v>Ancien</v>
      </c>
      <c r="AC1641"/>
      <c r="AD1641"/>
    </row>
    <row r="1642" spans="1:30" x14ac:dyDescent="0.25">
      <c r="A1642" s="5" t="s">
        <v>5090</v>
      </c>
      <c r="B1642" s="1" t="s">
        <v>9663</v>
      </c>
      <c r="C1642" s="1" t="s">
        <v>152</v>
      </c>
      <c r="E1642" s="1" t="s">
        <v>12</v>
      </c>
      <c r="G1642" s="1" t="s">
        <v>10</v>
      </c>
      <c r="J1642" s="3">
        <v>46185.677870370368</v>
      </c>
      <c r="K1642" s="2" t="s">
        <v>9664</v>
      </c>
      <c r="L1642" s="1">
        <v>0</v>
      </c>
      <c r="M1642" s="1">
        <v>0</v>
      </c>
      <c r="N1642">
        <v>0</v>
      </c>
      <c r="O1642" s="3">
        <f>IF(
    R1642="Ancien",
    _xlfn.XLOOKUP(
        Final_Sans_VGE[[#This Row],[ppn_z]],
        tbl_Historique_Final[ppn_z],
        tbl_Historique_Final[Horodatage],
        ""
    ),
    Horodatage!$A$2
)</f>
        <v>46233.670796365739</v>
      </c>
      <c r="P1642" s="1" t="str">
        <f>IFERROR(IF(tbl_Historique_Final[[#This Row],[Commentaires]]&lt;&gt;"",tbl_Historique_Final[[#This Row],[Commentaires]],""),"")</f>
        <v/>
      </c>
      <c r="X1642" s="8" t="str">
        <f>IF(Final_Sans_VGE[[#This Row],[ppn_z]]="","",IFERROR(
   IF(_xlfn.XLOOKUP(Final_Sans_VGE[[#This Row],[ppn_z]],tbl_Historique_Final[ppn_z],tbl_Historique_Final[date_modif])=Final_Sans_VGE[[#This Row],[date_modif]],
      "Ancien",
      "Modifié"),
   "Nouveau"))</f>
        <v>Ancien</v>
      </c>
      <c r="AC1642"/>
      <c r="AD1642"/>
    </row>
    <row r="1643" spans="1:30" x14ac:dyDescent="0.25">
      <c r="A1643" s="5" t="s">
        <v>5093</v>
      </c>
      <c r="B1643" s="1" t="s">
        <v>9665</v>
      </c>
      <c r="C1643" s="1" t="s">
        <v>12</v>
      </c>
      <c r="G1643" s="1" t="s">
        <v>11</v>
      </c>
      <c r="J1643" s="3">
        <v>46175.743518518517</v>
      </c>
      <c r="K1643" s="2" t="s">
        <v>9666</v>
      </c>
      <c r="L1643" s="1">
        <v>0</v>
      </c>
      <c r="M1643" s="1">
        <v>2</v>
      </c>
      <c r="N1643">
        <v>2</v>
      </c>
      <c r="O1643" s="3">
        <f>IF(
    R1643="Ancien",
    _xlfn.XLOOKUP(
        Final_Sans_VGE[[#This Row],[ppn_z]],
        tbl_Historique_Final[ppn_z],
        tbl_Historique_Final[Horodatage],
        ""
    ),
    Horodatage!$A$2
)</f>
        <v>46233.670796365739</v>
      </c>
      <c r="P1643" s="1" t="str">
        <f>IFERROR(IF(tbl_Historique_Final[[#This Row],[Commentaires]]&lt;&gt;"",tbl_Historique_Final[[#This Row],[Commentaires]],""),"")</f>
        <v/>
      </c>
      <c r="X1643" s="8" t="str">
        <f>IF(Final_Sans_VGE[[#This Row],[ppn_z]]="","",IFERROR(
   IF(_xlfn.XLOOKUP(Final_Sans_VGE[[#This Row],[ppn_z]],tbl_Historique_Final[ppn_z],tbl_Historique_Final[date_modif])=Final_Sans_VGE[[#This Row],[date_modif]],
      "Ancien",
      "Modifié"),
   "Nouveau"))</f>
        <v>Ancien</v>
      </c>
      <c r="AC1643"/>
      <c r="AD1643"/>
    </row>
    <row r="1644" spans="1:30" x14ac:dyDescent="0.25">
      <c r="A1644" s="5" t="s">
        <v>5096</v>
      </c>
      <c r="B1644" s="1" t="s">
        <v>9667</v>
      </c>
      <c r="C1644" s="1" t="s">
        <v>8959</v>
      </c>
      <c r="E1644" s="1" t="s">
        <v>6416</v>
      </c>
      <c r="J1644" s="3">
        <v>46121.680300925924</v>
      </c>
      <c r="K1644" s="2" t="s">
        <v>9668</v>
      </c>
      <c r="L1644" s="1">
        <v>1</v>
      </c>
      <c r="M1644" s="1">
        <v>1</v>
      </c>
      <c r="N1644">
        <v>0</v>
      </c>
      <c r="O1644" s="3">
        <f>IF(
    R1644="Ancien",
    _xlfn.XLOOKUP(
        Final_Sans_VGE[[#This Row],[ppn_z]],
        tbl_Historique_Final[ppn_z],
        tbl_Historique_Final[Horodatage],
        ""
    ),
    Horodatage!$A$2
)</f>
        <v>46233.670796365739</v>
      </c>
      <c r="P1644" s="1" t="str">
        <f>IFERROR(IF(tbl_Historique_Final[[#This Row],[Commentaires]]&lt;&gt;"",tbl_Historique_Final[[#This Row],[Commentaires]],""),"")</f>
        <v/>
      </c>
      <c r="X1644" s="8" t="str">
        <f>IF(Final_Sans_VGE[[#This Row],[ppn_z]]="","",IFERROR(
   IF(_xlfn.XLOOKUP(Final_Sans_VGE[[#This Row],[ppn_z]],tbl_Historique_Final[ppn_z],tbl_Historique_Final[date_modif])=Final_Sans_VGE[[#This Row],[date_modif]],
      "Ancien",
      "Modifié"),
   "Nouveau"))</f>
        <v>Ancien</v>
      </c>
      <c r="AC1644"/>
      <c r="AD1644"/>
    </row>
    <row r="1645" spans="1:30" x14ac:dyDescent="0.25">
      <c r="A1645" s="5" t="s">
        <v>5099</v>
      </c>
      <c r="B1645" s="1" t="s">
        <v>9669</v>
      </c>
      <c r="C1645" s="1" t="s">
        <v>12</v>
      </c>
      <c r="G1645" s="1" t="s">
        <v>11</v>
      </c>
      <c r="J1645" s="3">
        <v>46187.382835648146</v>
      </c>
      <c r="K1645" s="2" t="s">
        <v>9670</v>
      </c>
      <c r="L1645" s="1">
        <v>4</v>
      </c>
      <c r="M1645" s="1">
        <v>7</v>
      </c>
      <c r="N1645">
        <v>3</v>
      </c>
      <c r="O1645" s="3">
        <f>IF(
    R1645="Ancien",
    _xlfn.XLOOKUP(
        Final_Sans_VGE[[#This Row],[ppn_z]],
        tbl_Historique_Final[ppn_z],
        tbl_Historique_Final[Horodatage],
        ""
    ),
    Horodatage!$A$2
)</f>
        <v>46233.670796365739</v>
      </c>
      <c r="P1645" s="1" t="str">
        <f>IFERROR(IF(tbl_Historique_Final[[#This Row],[Commentaires]]&lt;&gt;"",tbl_Historique_Final[[#This Row],[Commentaires]],""),"")</f>
        <v/>
      </c>
      <c r="X1645" s="8" t="str">
        <f>IF(Final_Sans_VGE[[#This Row],[ppn_z]]="","",IFERROR(
   IF(_xlfn.XLOOKUP(Final_Sans_VGE[[#This Row],[ppn_z]],tbl_Historique_Final[ppn_z],tbl_Historique_Final[date_modif])=Final_Sans_VGE[[#This Row],[date_modif]],
      "Ancien",
      "Modifié"),
   "Nouveau"))</f>
        <v>Ancien</v>
      </c>
      <c r="AC1645"/>
      <c r="AD1645"/>
    </row>
    <row r="1646" spans="1:30" ht="30" x14ac:dyDescent="0.25">
      <c r="A1646" s="5" t="s">
        <v>5102</v>
      </c>
      <c r="B1646" s="1" t="s">
        <v>9671</v>
      </c>
      <c r="C1646" s="1" t="s">
        <v>12</v>
      </c>
      <c r="G1646" s="1" t="s">
        <v>10</v>
      </c>
      <c r="J1646" s="3">
        <v>46185.675092592595</v>
      </c>
      <c r="K1646" s="2" t="s">
        <v>9672</v>
      </c>
      <c r="L1646" s="1">
        <v>4</v>
      </c>
      <c r="M1646" s="1">
        <v>7</v>
      </c>
      <c r="N1646">
        <v>3</v>
      </c>
      <c r="O1646" s="3">
        <f>IF(
    R1646="Ancien",
    _xlfn.XLOOKUP(
        Final_Sans_VGE[[#This Row],[ppn_z]],
        tbl_Historique_Final[ppn_z],
        tbl_Historique_Final[Horodatage],
        ""
    ),
    Horodatage!$A$2
)</f>
        <v>46233.670796365739</v>
      </c>
      <c r="P1646" s="1" t="str">
        <f>IFERROR(IF(tbl_Historique_Final[[#This Row],[Commentaires]]&lt;&gt;"",tbl_Historique_Final[[#This Row],[Commentaires]],""),"")</f>
        <v/>
      </c>
      <c r="X1646" s="8" t="str">
        <f>IF(Final_Sans_VGE[[#This Row],[ppn_z]]="","",IFERROR(
   IF(_xlfn.XLOOKUP(Final_Sans_VGE[[#This Row],[ppn_z]],tbl_Historique_Final[ppn_z],tbl_Historique_Final[date_modif])=Final_Sans_VGE[[#This Row],[date_modif]],
      "Ancien",
      "Modifié"),
   "Nouveau"))</f>
        <v>Ancien</v>
      </c>
      <c r="AC1646"/>
      <c r="AD1646"/>
    </row>
    <row r="1647" spans="1:30" x14ac:dyDescent="0.25">
      <c r="A1647" s="5" t="s">
        <v>5105</v>
      </c>
      <c r="B1647" s="1" t="s">
        <v>9673</v>
      </c>
      <c r="C1647" s="1" t="s">
        <v>12</v>
      </c>
      <c r="G1647" s="1" t="s">
        <v>11</v>
      </c>
      <c r="J1647" s="3">
        <v>46195.311006944445</v>
      </c>
      <c r="K1647" s="2" t="s">
        <v>9674</v>
      </c>
      <c r="L1647" s="1">
        <v>2</v>
      </c>
      <c r="M1647" s="1">
        <v>2</v>
      </c>
      <c r="N1647">
        <v>0</v>
      </c>
      <c r="O1647" s="3">
        <f>IF(
    R1647="Ancien",
    _xlfn.XLOOKUP(
        Final_Sans_VGE[[#This Row],[ppn_z]],
        tbl_Historique_Final[ppn_z],
        tbl_Historique_Final[Horodatage],
        ""
    ),
    Horodatage!$A$2
)</f>
        <v>46233.670796365739</v>
      </c>
      <c r="P1647" s="1" t="str">
        <f>IFERROR(IF(tbl_Historique_Final[[#This Row],[Commentaires]]&lt;&gt;"",tbl_Historique_Final[[#This Row],[Commentaires]],""),"")</f>
        <v/>
      </c>
      <c r="X1647" s="8" t="str">
        <f>IF(Final_Sans_VGE[[#This Row],[ppn_z]]="","",IFERROR(
   IF(_xlfn.XLOOKUP(Final_Sans_VGE[[#This Row],[ppn_z]],tbl_Historique_Final[ppn_z],tbl_Historique_Final[date_modif])=Final_Sans_VGE[[#This Row],[date_modif]],
      "Ancien",
      "Modifié"),
   "Nouveau"))</f>
        <v>Ancien</v>
      </c>
      <c r="AC1647"/>
      <c r="AD1647"/>
    </row>
    <row r="1648" spans="1:30" x14ac:dyDescent="0.25">
      <c r="A1648" s="5" t="s">
        <v>5108</v>
      </c>
      <c r="B1648" s="1" t="s">
        <v>9675</v>
      </c>
      <c r="C1648" s="1" t="s">
        <v>7588</v>
      </c>
      <c r="E1648" s="1" t="s">
        <v>61</v>
      </c>
      <c r="G1648" s="1" t="s">
        <v>10</v>
      </c>
      <c r="J1648" s="3">
        <v>46189.652349537035</v>
      </c>
      <c r="K1648" s="2" t="s">
        <v>9676</v>
      </c>
      <c r="L1648" s="1">
        <v>11</v>
      </c>
      <c r="M1648" s="1">
        <v>11</v>
      </c>
      <c r="N1648">
        <v>0</v>
      </c>
      <c r="O1648" s="3">
        <f>IF(
    R1648="Ancien",
    _xlfn.XLOOKUP(
        Final_Sans_VGE[[#This Row],[ppn_z]],
        tbl_Historique_Final[ppn_z],
        tbl_Historique_Final[Horodatage],
        ""
    ),
    Horodatage!$A$2
)</f>
        <v>46233.670796365739</v>
      </c>
      <c r="P1648" s="1" t="str">
        <f>IFERROR(IF(tbl_Historique_Final[[#This Row],[Commentaires]]&lt;&gt;"",tbl_Historique_Final[[#This Row],[Commentaires]],""),"")</f>
        <v/>
      </c>
      <c r="X1648" s="8" t="str">
        <f>IF(Final_Sans_VGE[[#This Row],[ppn_z]]="","",IFERROR(
   IF(_xlfn.XLOOKUP(Final_Sans_VGE[[#This Row],[ppn_z]],tbl_Historique_Final[ppn_z],tbl_Historique_Final[date_modif])=Final_Sans_VGE[[#This Row],[date_modif]],
      "Ancien",
      "Modifié"),
   "Nouveau"))</f>
        <v>Ancien</v>
      </c>
      <c r="AC1648"/>
      <c r="AD1648"/>
    </row>
    <row r="1649" spans="1:30" x14ac:dyDescent="0.25">
      <c r="A1649" s="5" t="s">
        <v>5111</v>
      </c>
      <c r="B1649" s="1" t="s">
        <v>9677</v>
      </c>
      <c r="C1649" s="1" t="s">
        <v>53</v>
      </c>
      <c r="D1649" s="1" t="s">
        <v>9678</v>
      </c>
      <c r="H1649" s="1" t="s">
        <v>22</v>
      </c>
      <c r="I1649" s="1" t="s">
        <v>22</v>
      </c>
      <c r="J1649" s="3">
        <v>46187.395543981482</v>
      </c>
      <c r="K1649" s="2" t="s">
        <v>9679</v>
      </c>
      <c r="L1649" s="1">
        <v>33</v>
      </c>
      <c r="M1649" s="1">
        <v>34</v>
      </c>
      <c r="N1649">
        <v>1</v>
      </c>
      <c r="O1649" s="3">
        <f>IF(
    R1649="Ancien",
    _xlfn.XLOOKUP(
        Final_Sans_VGE[[#This Row],[ppn_z]],
        tbl_Historique_Final[ppn_z],
        tbl_Historique_Final[Horodatage],
        ""
    ),
    Horodatage!$A$2
)</f>
        <v>46233.670796365739</v>
      </c>
      <c r="P1649" s="1" t="str">
        <f>IFERROR(IF(tbl_Historique_Final[[#This Row],[Commentaires]]&lt;&gt;"",tbl_Historique_Final[[#This Row],[Commentaires]],""),"")</f>
        <v/>
      </c>
      <c r="X1649" s="8" t="str">
        <f>IF(Final_Sans_VGE[[#This Row],[ppn_z]]="","",IFERROR(
   IF(_xlfn.XLOOKUP(Final_Sans_VGE[[#This Row],[ppn_z]],tbl_Historique_Final[ppn_z],tbl_Historique_Final[date_modif])=Final_Sans_VGE[[#This Row],[date_modif]],
      "Ancien",
      "Modifié"),
   "Nouveau"))</f>
        <v>Ancien</v>
      </c>
      <c r="AC1649"/>
      <c r="AD1649"/>
    </row>
    <row r="1650" spans="1:30" x14ac:dyDescent="0.25">
      <c r="A1650" s="5" t="s">
        <v>5114</v>
      </c>
      <c r="B1650" s="1" t="s">
        <v>9680</v>
      </c>
      <c r="C1650" s="1" t="s">
        <v>12</v>
      </c>
      <c r="G1650" s="1" t="s">
        <v>10</v>
      </c>
      <c r="J1650" s="3">
        <v>46199.589884259258</v>
      </c>
      <c r="K1650" s="2" t="s">
        <v>9681</v>
      </c>
      <c r="L1650" s="1">
        <v>6</v>
      </c>
      <c r="M1650" s="1">
        <v>6</v>
      </c>
      <c r="N1650">
        <v>0</v>
      </c>
      <c r="O1650" s="3">
        <f>IF(
    R1650="Ancien",
    _xlfn.XLOOKUP(
        Final_Sans_VGE[[#This Row],[ppn_z]],
        tbl_Historique_Final[ppn_z],
        tbl_Historique_Final[Horodatage],
        ""
    ),
    Horodatage!$A$2
)</f>
        <v>46233.670796365739</v>
      </c>
      <c r="P1650" s="1" t="str">
        <f>IFERROR(IF(tbl_Historique_Final[[#This Row],[Commentaires]]&lt;&gt;"",tbl_Historique_Final[[#This Row],[Commentaires]],""),"")</f>
        <v/>
      </c>
      <c r="X1650" s="8" t="str">
        <f>IF(Final_Sans_VGE[[#This Row],[ppn_z]]="","",IFERROR(
   IF(_xlfn.XLOOKUP(Final_Sans_VGE[[#This Row],[ppn_z]],tbl_Historique_Final[ppn_z],tbl_Historique_Final[date_modif])=Final_Sans_VGE[[#This Row],[date_modif]],
      "Ancien",
      "Modifié"),
   "Nouveau"))</f>
        <v>Ancien</v>
      </c>
      <c r="AC1650"/>
      <c r="AD1650"/>
    </row>
    <row r="1651" spans="1:30" ht="30" x14ac:dyDescent="0.25">
      <c r="A1651" s="5" t="s">
        <v>5117</v>
      </c>
      <c r="B1651" s="1" t="s">
        <v>9682</v>
      </c>
      <c r="C1651" s="1" t="s">
        <v>53</v>
      </c>
      <c r="G1651" s="1" t="s">
        <v>10</v>
      </c>
      <c r="J1651" s="3">
        <v>46201.366273148145</v>
      </c>
      <c r="K1651" s="2" t="s">
        <v>9683</v>
      </c>
      <c r="L1651" s="1">
        <v>4</v>
      </c>
      <c r="M1651" s="1">
        <v>4</v>
      </c>
      <c r="N1651">
        <v>0</v>
      </c>
      <c r="O1651" s="3">
        <f>IF(
    R1651="Ancien",
    _xlfn.XLOOKUP(
        Final_Sans_VGE[[#This Row],[ppn_z]],
        tbl_Historique_Final[ppn_z],
        tbl_Historique_Final[Horodatage],
        ""
    ),
    Horodatage!$A$2
)</f>
        <v>46233.670796365739</v>
      </c>
      <c r="P1651" s="1" t="str">
        <f>IFERROR(IF(tbl_Historique_Final[[#This Row],[Commentaires]]&lt;&gt;"",tbl_Historique_Final[[#This Row],[Commentaires]],""),"")</f>
        <v/>
      </c>
      <c r="X1651" s="8" t="str">
        <f>IF(Final_Sans_VGE[[#This Row],[ppn_z]]="","",IFERROR(
   IF(_xlfn.XLOOKUP(Final_Sans_VGE[[#This Row],[ppn_z]],tbl_Historique_Final[ppn_z],tbl_Historique_Final[date_modif])=Final_Sans_VGE[[#This Row],[date_modif]],
      "Ancien",
      "Modifié"),
   "Nouveau"))</f>
        <v>Ancien</v>
      </c>
      <c r="AC1651"/>
      <c r="AD1651"/>
    </row>
    <row r="1652" spans="1:30" x14ac:dyDescent="0.25">
      <c r="A1652" s="5" t="s">
        <v>5120</v>
      </c>
      <c r="B1652" s="1" t="s">
        <v>9684</v>
      </c>
      <c r="C1652" s="1" t="s">
        <v>152</v>
      </c>
      <c r="E1652" s="1" t="s">
        <v>6416</v>
      </c>
      <c r="J1652" s="3">
        <v>46121.698587962965</v>
      </c>
      <c r="K1652" s="2" t="s">
        <v>9668</v>
      </c>
      <c r="L1652" s="1">
        <v>1</v>
      </c>
      <c r="M1652" s="1">
        <v>1</v>
      </c>
      <c r="N1652">
        <v>0</v>
      </c>
      <c r="O1652" s="3">
        <f>IF(
    R1652="Ancien",
    _xlfn.XLOOKUP(
        Final_Sans_VGE[[#This Row],[ppn_z]],
        tbl_Historique_Final[ppn_z],
        tbl_Historique_Final[Horodatage],
        ""
    ),
    Horodatage!$A$2
)</f>
        <v>46233.670796365739</v>
      </c>
      <c r="P1652" s="1" t="str">
        <f>IFERROR(IF(tbl_Historique_Final[[#This Row],[Commentaires]]&lt;&gt;"",tbl_Historique_Final[[#This Row],[Commentaires]],""),"")</f>
        <v/>
      </c>
      <c r="X1652" s="8" t="str">
        <f>IF(Final_Sans_VGE[[#This Row],[ppn_z]]="","",IFERROR(
   IF(_xlfn.XLOOKUP(Final_Sans_VGE[[#This Row],[ppn_z]],tbl_Historique_Final[ppn_z],tbl_Historique_Final[date_modif])=Final_Sans_VGE[[#This Row],[date_modif]],
      "Ancien",
      "Modifié"),
   "Nouveau"))</f>
        <v>Ancien</v>
      </c>
      <c r="AC1652"/>
      <c r="AD1652"/>
    </row>
    <row r="1653" spans="1:30" x14ac:dyDescent="0.25">
      <c r="A1653" s="5" t="s">
        <v>5123</v>
      </c>
      <c r="B1653" s="1" t="s">
        <v>9685</v>
      </c>
      <c r="C1653" s="1" t="s">
        <v>92</v>
      </c>
      <c r="E1653" s="1" t="s">
        <v>47</v>
      </c>
      <c r="G1653" s="1" t="s">
        <v>11</v>
      </c>
      <c r="J1653" s="3">
        <v>46149.431423611109</v>
      </c>
      <c r="L1653" s="1">
        <v>1</v>
      </c>
      <c r="M1653" s="1">
        <v>1</v>
      </c>
      <c r="N1653">
        <v>0</v>
      </c>
      <c r="O1653" s="3">
        <f>IF(
    R1653="Ancien",
    _xlfn.XLOOKUP(
        Final_Sans_VGE[[#This Row],[ppn_z]],
        tbl_Historique_Final[ppn_z],
        tbl_Historique_Final[Horodatage],
        ""
    ),
    Horodatage!$A$2
)</f>
        <v>46233.670796365739</v>
      </c>
      <c r="P1653" s="1" t="str">
        <f>IFERROR(IF(tbl_Historique_Final[[#This Row],[Commentaires]]&lt;&gt;"",tbl_Historique_Final[[#This Row],[Commentaires]],""),"")</f>
        <v/>
      </c>
      <c r="X1653" s="8" t="str">
        <f>IF(Final_Sans_VGE[[#This Row],[ppn_z]]="","",IFERROR(
   IF(_xlfn.XLOOKUP(Final_Sans_VGE[[#This Row],[ppn_z]],tbl_Historique_Final[ppn_z],tbl_Historique_Final[date_modif])=Final_Sans_VGE[[#This Row],[date_modif]],
      "Ancien",
      "Modifié"),
   "Nouveau"))</f>
        <v>Ancien</v>
      </c>
      <c r="AC1653"/>
      <c r="AD1653"/>
    </row>
    <row r="1654" spans="1:30" ht="60" x14ac:dyDescent="0.25">
      <c r="A1654" s="5" t="s">
        <v>5126</v>
      </c>
      <c r="B1654" s="1" t="s">
        <v>9686</v>
      </c>
      <c r="C1654" s="1" t="s">
        <v>7172</v>
      </c>
      <c r="D1654" s="1" t="s">
        <v>9687</v>
      </c>
      <c r="E1654" s="1" t="s">
        <v>6355</v>
      </c>
      <c r="F1654" s="1" t="s">
        <v>14</v>
      </c>
      <c r="G1654" s="1" t="s">
        <v>10</v>
      </c>
      <c r="H1654" s="1" t="s">
        <v>22</v>
      </c>
      <c r="I1654" s="1" t="s">
        <v>22</v>
      </c>
      <c r="J1654" s="3">
        <v>46194.407731481479</v>
      </c>
      <c r="K1654" s="2" t="s">
        <v>9688</v>
      </c>
      <c r="L1654" s="1">
        <v>2</v>
      </c>
      <c r="M1654" s="1">
        <v>3</v>
      </c>
      <c r="N1654">
        <v>1</v>
      </c>
      <c r="O1654" s="3">
        <f>IF(
    R1654="Ancien",
    _xlfn.XLOOKUP(
        Final_Sans_VGE[[#This Row],[ppn_z]],
        tbl_Historique_Final[ppn_z],
        tbl_Historique_Final[Horodatage],
        ""
    ),
    Horodatage!$A$2
)</f>
        <v>46233.670796365739</v>
      </c>
      <c r="P1654" s="1" t="str">
        <f>IFERROR(IF(tbl_Historique_Final[[#This Row],[Commentaires]]&lt;&gt;"",tbl_Historique_Final[[#This Row],[Commentaires]],""),"")</f>
        <v/>
      </c>
      <c r="X1654" s="8" t="str">
        <f>IF(Final_Sans_VGE[[#This Row],[ppn_z]]="","",IFERROR(
   IF(_xlfn.XLOOKUP(Final_Sans_VGE[[#This Row],[ppn_z]],tbl_Historique_Final[ppn_z],tbl_Historique_Final[date_modif])=Final_Sans_VGE[[#This Row],[date_modif]],
      "Ancien",
      "Modifié"),
   "Nouveau"))</f>
        <v>Ancien</v>
      </c>
      <c r="AC1654"/>
      <c r="AD1654"/>
    </row>
    <row r="1655" spans="1:30" x14ac:dyDescent="0.25">
      <c r="A1655" s="5" t="s">
        <v>5129</v>
      </c>
      <c r="B1655" s="1" t="s">
        <v>9689</v>
      </c>
      <c r="C1655" s="1" t="s">
        <v>6735</v>
      </c>
      <c r="G1655" s="1" t="s">
        <v>11</v>
      </c>
      <c r="J1655" s="3">
        <v>46199.397256944445</v>
      </c>
      <c r="K1655" s="2" t="s">
        <v>7122</v>
      </c>
      <c r="L1655" s="1">
        <v>5</v>
      </c>
      <c r="M1655" s="1">
        <v>7</v>
      </c>
      <c r="N1655">
        <v>2</v>
      </c>
      <c r="O1655" s="3">
        <f>IF(
    R1655="Ancien",
    _xlfn.XLOOKUP(
        Final_Sans_VGE[[#This Row],[ppn_z]],
        tbl_Historique_Final[ppn_z],
        tbl_Historique_Final[Horodatage],
        ""
    ),
    Horodatage!$A$2
)</f>
        <v>46233.670796365739</v>
      </c>
      <c r="P1655" s="1" t="str">
        <f>IFERROR(IF(tbl_Historique_Final[[#This Row],[Commentaires]]&lt;&gt;"",tbl_Historique_Final[[#This Row],[Commentaires]],""),"")</f>
        <v/>
      </c>
      <c r="X1655" s="8" t="str">
        <f>IF(Final_Sans_VGE[[#This Row],[ppn_z]]="","",IFERROR(
   IF(_xlfn.XLOOKUP(Final_Sans_VGE[[#This Row],[ppn_z]],tbl_Historique_Final[ppn_z],tbl_Historique_Final[date_modif])=Final_Sans_VGE[[#This Row],[date_modif]],
      "Ancien",
      "Modifié"),
   "Nouveau"))</f>
        <v>Ancien</v>
      </c>
      <c r="AC1655"/>
      <c r="AD1655"/>
    </row>
    <row r="1656" spans="1:30" ht="30" x14ac:dyDescent="0.25">
      <c r="A1656" s="5" t="s">
        <v>5132</v>
      </c>
      <c r="B1656" s="1" t="s">
        <v>9690</v>
      </c>
      <c r="C1656" s="1" t="s">
        <v>9577</v>
      </c>
      <c r="E1656" s="1" t="s">
        <v>159</v>
      </c>
      <c r="J1656" s="3">
        <v>46183.733912037038</v>
      </c>
      <c r="K1656" s="2" t="s">
        <v>9691</v>
      </c>
      <c r="L1656" s="1">
        <v>17</v>
      </c>
      <c r="M1656" s="1">
        <v>23</v>
      </c>
      <c r="N1656">
        <v>6</v>
      </c>
      <c r="O1656" s="3">
        <f>IF(
    R1656="Ancien",
    _xlfn.XLOOKUP(
        Final_Sans_VGE[[#This Row],[ppn_z]],
        tbl_Historique_Final[ppn_z],
        tbl_Historique_Final[Horodatage],
        ""
    ),
    Horodatage!$A$2
)</f>
        <v>46233.670796365739</v>
      </c>
      <c r="P1656" s="1" t="str">
        <f>IFERROR(IF(tbl_Historique_Final[[#This Row],[Commentaires]]&lt;&gt;"",tbl_Historique_Final[[#This Row],[Commentaires]],""),"")</f>
        <v/>
      </c>
      <c r="X1656" s="8" t="str">
        <f>IF(Final_Sans_VGE[[#This Row],[ppn_z]]="","",IFERROR(
   IF(_xlfn.XLOOKUP(Final_Sans_VGE[[#This Row],[ppn_z]],tbl_Historique_Final[ppn_z],tbl_Historique_Final[date_modif])=Final_Sans_VGE[[#This Row],[date_modif]],
      "Ancien",
      "Modifié"),
   "Nouveau"))</f>
        <v>Ancien</v>
      </c>
      <c r="AC1656"/>
      <c r="AD1656"/>
    </row>
    <row r="1657" spans="1:30" x14ac:dyDescent="0.25">
      <c r="A1657" s="5" t="s">
        <v>5135</v>
      </c>
      <c r="B1657" s="1" t="s">
        <v>9692</v>
      </c>
      <c r="C1657" s="1" t="s">
        <v>49</v>
      </c>
      <c r="D1657" s="1" t="s">
        <v>14</v>
      </c>
      <c r="G1657" s="1" t="s">
        <v>11</v>
      </c>
      <c r="H1657" s="1" t="s">
        <v>22</v>
      </c>
      <c r="I1657" s="1" t="s">
        <v>22</v>
      </c>
      <c r="J1657" s="3">
        <v>46152.384108796294</v>
      </c>
      <c r="L1657" s="1">
        <v>11</v>
      </c>
      <c r="M1657" s="1">
        <v>13</v>
      </c>
      <c r="N1657">
        <v>2</v>
      </c>
      <c r="O1657" s="3">
        <f>IF(
    R1657="Ancien",
    _xlfn.XLOOKUP(
        Final_Sans_VGE[[#This Row],[ppn_z]],
        tbl_Historique_Final[ppn_z],
        tbl_Historique_Final[Horodatage],
        ""
    ),
    Horodatage!$A$2
)</f>
        <v>46233.670796365739</v>
      </c>
      <c r="P1657" s="1" t="str">
        <f>IFERROR(IF(tbl_Historique_Final[[#This Row],[Commentaires]]&lt;&gt;"",tbl_Historique_Final[[#This Row],[Commentaires]],""),"")</f>
        <v/>
      </c>
      <c r="X1657" s="8" t="str">
        <f>IF(Final_Sans_VGE[[#This Row],[ppn_z]]="","",IFERROR(
   IF(_xlfn.XLOOKUP(Final_Sans_VGE[[#This Row],[ppn_z]],tbl_Historique_Final[ppn_z],tbl_Historique_Final[date_modif])=Final_Sans_VGE[[#This Row],[date_modif]],
      "Ancien",
      "Modifié"),
   "Nouveau"))</f>
        <v>Ancien</v>
      </c>
      <c r="AC1657"/>
      <c r="AD1657"/>
    </row>
    <row r="1658" spans="1:30" x14ac:dyDescent="0.25">
      <c r="A1658" s="5" t="s">
        <v>5138</v>
      </c>
      <c r="B1658" s="1" t="s">
        <v>9693</v>
      </c>
      <c r="C1658" s="1" t="s">
        <v>109</v>
      </c>
      <c r="G1658" s="1" t="s">
        <v>10</v>
      </c>
      <c r="J1658" s="3">
        <v>46199.550659722219</v>
      </c>
      <c r="K1658" s="2" t="s">
        <v>9694</v>
      </c>
      <c r="L1658" s="1">
        <v>6</v>
      </c>
      <c r="M1658" s="1">
        <v>7</v>
      </c>
      <c r="N1658">
        <v>1</v>
      </c>
      <c r="O1658" s="3">
        <f>IF(
    R1658="Ancien",
    _xlfn.XLOOKUP(
        Final_Sans_VGE[[#This Row],[ppn_z]],
        tbl_Historique_Final[ppn_z],
        tbl_Historique_Final[Horodatage],
        ""
    ),
    Horodatage!$A$2
)</f>
        <v>46233.670796365739</v>
      </c>
      <c r="P1658" s="1" t="str">
        <f>IFERROR(IF(tbl_Historique_Final[[#This Row],[Commentaires]]&lt;&gt;"",tbl_Historique_Final[[#This Row],[Commentaires]],""),"")</f>
        <v/>
      </c>
      <c r="X1658" s="8" t="str">
        <f>IF(Final_Sans_VGE[[#This Row],[ppn_z]]="","",IFERROR(
   IF(_xlfn.XLOOKUP(Final_Sans_VGE[[#This Row],[ppn_z]],tbl_Historique_Final[ppn_z],tbl_Historique_Final[date_modif])=Final_Sans_VGE[[#This Row],[date_modif]],
      "Ancien",
      "Modifié"),
   "Nouveau"))</f>
        <v>Ancien</v>
      </c>
      <c r="AC1658"/>
      <c r="AD1658"/>
    </row>
    <row r="1659" spans="1:30" ht="30" x14ac:dyDescent="0.25">
      <c r="A1659" s="5" t="s">
        <v>5141</v>
      </c>
      <c r="B1659" s="1" t="s">
        <v>9695</v>
      </c>
      <c r="C1659" s="1" t="s">
        <v>12</v>
      </c>
      <c r="D1659" s="1" t="s">
        <v>9696</v>
      </c>
      <c r="E1659" s="1" t="s">
        <v>47</v>
      </c>
      <c r="F1659" s="1" t="s">
        <v>14</v>
      </c>
      <c r="G1659" s="1" t="s">
        <v>11</v>
      </c>
      <c r="H1659" s="1" t="s">
        <v>22</v>
      </c>
      <c r="I1659" s="1" t="s">
        <v>140</v>
      </c>
      <c r="J1659" s="3">
        <v>46187.395451388889</v>
      </c>
      <c r="K1659" s="2" t="s">
        <v>9697</v>
      </c>
      <c r="L1659" s="1">
        <v>9</v>
      </c>
      <c r="M1659" s="1">
        <v>16</v>
      </c>
      <c r="N1659">
        <v>7</v>
      </c>
      <c r="O1659" s="3">
        <f>IF(
    R1659="Ancien",
    _xlfn.XLOOKUP(
        Final_Sans_VGE[[#This Row],[ppn_z]],
        tbl_Historique_Final[ppn_z],
        tbl_Historique_Final[Horodatage],
        ""
    ),
    Horodatage!$A$2
)</f>
        <v>46233.670796365739</v>
      </c>
      <c r="P1659" s="1" t="str">
        <f>IFERROR(IF(tbl_Historique_Final[[#This Row],[Commentaires]]&lt;&gt;"",tbl_Historique_Final[[#This Row],[Commentaires]],""),"")</f>
        <v/>
      </c>
      <c r="X1659" s="8" t="str">
        <f>IF(Final_Sans_VGE[[#This Row],[ppn_z]]="","",IFERROR(
   IF(_xlfn.XLOOKUP(Final_Sans_VGE[[#This Row],[ppn_z]],tbl_Historique_Final[ppn_z],tbl_Historique_Final[date_modif])=Final_Sans_VGE[[#This Row],[date_modif]],
      "Ancien",
      "Modifié"),
   "Nouveau"))</f>
        <v>Ancien</v>
      </c>
      <c r="AC1659"/>
      <c r="AD1659"/>
    </row>
    <row r="1660" spans="1:30" x14ac:dyDescent="0.25">
      <c r="A1660" s="5" t="s">
        <v>5144</v>
      </c>
      <c r="B1660" s="1" t="s">
        <v>9698</v>
      </c>
      <c r="C1660" s="1" t="s">
        <v>8156</v>
      </c>
      <c r="E1660" s="1" t="s">
        <v>68</v>
      </c>
      <c r="G1660" s="1" t="s">
        <v>10</v>
      </c>
      <c r="J1660" s="3">
        <v>46199.568935185183</v>
      </c>
      <c r="K1660" s="2" t="s">
        <v>9699</v>
      </c>
      <c r="L1660" s="1">
        <v>10</v>
      </c>
      <c r="M1660" s="1">
        <v>10</v>
      </c>
      <c r="N1660">
        <v>0</v>
      </c>
      <c r="O1660" s="3">
        <f>IF(
    R1660="Ancien",
    _xlfn.XLOOKUP(
        Final_Sans_VGE[[#This Row],[ppn_z]],
        tbl_Historique_Final[ppn_z],
        tbl_Historique_Final[Horodatage],
        ""
    ),
    Horodatage!$A$2
)</f>
        <v>46233.670796365739</v>
      </c>
      <c r="P1660" s="1" t="str">
        <f>IFERROR(IF(tbl_Historique_Final[[#This Row],[Commentaires]]&lt;&gt;"",tbl_Historique_Final[[#This Row],[Commentaires]],""),"")</f>
        <v/>
      </c>
      <c r="X1660" s="8" t="str">
        <f>IF(Final_Sans_VGE[[#This Row],[ppn_z]]="","",IFERROR(
   IF(_xlfn.XLOOKUP(Final_Sans_VGE[[#This Row],[ppn_z]],tbl_Historique_Final[ppn_z],tbl_Historique_Final[date_modif])=Final_Sans_VGE[[#This Row],[date_modif]],
      "Ancien",
      "Modifié"),
   "Nouveau"))</f>
        <v>Ancien</v>
      </c>
      <c r="AC1660"/>
      <c r="AD1660"/>
    </row>
    <row r="1661" spans="1:30" ht="75" x14ac:dyDescent="0.25">
      <c r="A1661" s="5" t="s">
        <v>5147</v>
      </c>
      <c r="B1661" s="1" t="s">
        <v>9700</v>
      </c>
      <c r="C1661" s="1" t="s">
        <v>7709</v>
      </c>
      <c r="D1661" s="1" t="s">
        <v>9701</v>
      </c>
      <c r="E1661" s="1" t="s">
        <v>6473</v>
      </c>
      <c r="F1661" s="1" t="s">
        <v>9701</v>
      </c>
      <c r="H1661" s="1" t="s">
        <v>22</v>
      </c>
      <c r="I1661" s="1" t="s">
        <v>22</v>
      </c>
      <c r="J1661" s="3">
        <v>46194.377152777779</v>
      </c>
      <c r="K1661" s="2" t="s">
        <v>9702</v>
      </c>
      <c r="L1661" s="1">
        <v>84</v>
      </c>
      <c r="M1661" s="1">
        <v>86</v>
      </c>
      <c r="N1661">
        <v>2</v>
      </c>
      <c r="O1661" s="3">
        <f>IF(
    R1661="Ancien",
    _xlfn.XLOOKUP(
        Final_Sans_VGE[[#This Row],[ppn_z]],
        tbl_Historique_Final[ppn_z],
        tbl_Historique_Final[Horodatage],
        ""
    ),
    Horodatage!$A$2
)</f>
        <v>46233.670796365739</v>
      </c>
      <c r="P1661" s="1" t="str">
        <f>IFERROR(IF(tbl_Historique_Final[[#This Row],[Commentaires]]&lt;&gt;"",tbl_Historique_Final[[#This Row],[Commentaires]],""),"")</f>
        <v/>
      </c>
      <c r="X1661" s="8" t="str">
        <f>IF(Final_Sans_VGE[[#This Row],[ppn_z]]="","",IFERROR(
   IF(_xlfn.XLOOKUP(Final_Sans_VGE[[#This Row],[ppn_z]],tbl_Historique_Final[ppn_z],tbl_Historique_Final[date_modif])=Final_Sans_VGE[[#This Row],[date_modif]],
      "Ancien",
      "Modifié"),
   "Nouveau"))</f>
        <v>Ancien</v>
      </c>
      <c r="AC1661"/>
      <c r="AD1661"/>
    </row>
    <row r="1662" spans="1:30" x14ac:dyDescent="0.25">
      <c r="A1662" s="5" t="s">
        <v>5150</v>
      </c>
      <c r="B1662" s="1" t="s">
        <v>9703</v>
      </c>
      <c r="C1662" s="1" t="s">
        <v>9704</v>
      </c>
      <c r="E1662" s="1" t="s">
        <v>9705</v>
      </c>
      <c r="G1662" s="1" t="s">
        <v>10</v>
      </c>
      <c r="J1662" s="3">
        <v>46190.598287037035</v>
      </c>
      <c r="K1662" s="2" t="s">
        <v>9706</v>
      </c>
      <c r="L1662" s="1">
        <v>4</v>
      </c>
      <c r="M1662" s="1">
        <v>4</v>
      </c>
      <c r="N1662">
        <v>0</v>
      </c>
      <c r="O1662" s="3">
        <f>IF(
    R1662="Ancien",
    _xlfn.XLOOKUP(
        Final_Sans_VGE[[#This Row],[ppn_z]],
        tbl_Historique_Final[ppn_z],
        tbl_Historique_Final[Horodatage],
        ""
    ),
    Horodatage!$A$2
)</f>
        <v>46233.670796365739</v>
      </c>
      <c r="P1662" s="1" t="str">
        <f>IFERROR(IF(tbl_Historique_Final[[#This Row],[Commentaires]]&lt;&gt;"",tbl_Historique_Final[[#This Row],[Commentaires]],""),"")</f>
        <v/>
      </c>
      <c r="X1662" s="8" t="str">
        <f>IF(Final_Sans_VGE[[#This Row],[ppn_z]]="","",IFERROR(
   IF(_xlfn.XLOOKUP(Final_Sans_VGE[[#This Row],[ppn_z]],tbl_Historique_Final[ppn_z],tbl_Historique_Final[date_modif])=Final_Sans_VGE[[#This Row],[date_modif]],
      "Ancien",
      "Modifié"),
   "Nouveau"))</f>
        <v>Ancien</v>
      </c>
      <c r="AC1662"/>
      <c r="AD1662"/>
    </row>
    <row r="1663" spans="1:30" ht="30" x14ac:dyDescent="0.25">
      <c r="A1663" s="5" t="s">
        <v>5153</v>
      </c>
      <c r="B1663" s="1" t="s">
        <v>9707</v>
      </c>
      <c r="C1663" s="1" t="s">
        <v>7460</v>
      </c>
      <c r="D1663" s="1" t="s">
        <v>14</v>
      </c>
      <c r="E1663" s="1" t="s">
        <v>8771</v>
      </c>
      <c r="F1663" s="1" t="s">
        <v>14</v>
      </c>
      <c r="G1663" s="1" t="s">
        <v>10</v>
      </c>
      <c r="H1663" s="1" t="s">
        <v>22</v>
      </c>
      <c r="I1663" s="1" t="s">
        <v>22</v>
      </c>
      <c r="J1663" s="3">
        <v>46185.521747685183</v>
      </c>
      <c r="K1663" s="2" t="s">
        <v>9708</v>
      </c>
      <c r="L1663" s="1">
        <v>58</v>
      </c>
      <c r="M1663" s="1">
        <v>58</v>
      </c>
      <c r="N1663">
        <v>0</v>
      </c>
      <c r="O1663" s="3">
        <f>IF(
    R1663="Ancien",
    _xlfn.XLOOKUP(
        Final_Sans_VGE[[#This Row],[ppn_z]],
        tbl_Historique_Final[ppn_z],
        tbl_Historique_Final[Horodatage],
        ""
    ),
    Horodatage!$A$2
)</f>
        <v>46233.670796365739</v>
      </c>
      <c r="P1663" s="1" t="str">
        <f>IFERROR(IF(tbl_Historique_Final[[#This Row],[Commentaires]]&lt;&gt;"",tbl_Historique_Final[[#This Row],[Commentaires]],""),"")</f>
        <v/>
      </c>
      <c r="X1663" s="8" t="str">
        <f>IF(Final_Sans_VGE[[#This Row],[ppn_z]]="","",IFERROR(
   IF(_xlfn.XLOOKUP(Final_Sans_VGE[[#This Row],[ppn_z]],tbl_Historique_Final[ppn_z],tbl_Historique_Final[date_modif])=Final_Sans_VGE[[#This Row],[date_modif]],
      "Ancien",
      "Modifié"),
   "Nouveau"))</f>
        <v>Ancien</v>
      </c>
      <c r="AC1663"/>
      <c r="AD1663"/>
    </row>
    <row r="1664" spans="1:30" ht="75" x14ac:dyDescent="0.25">
      <c r="A1664" s="5" t="s">
        <v>5156</v>
      </c>
      <c r="B1664" s="1" t="s">
        <v>9709</v>
      </c>
      <c r="C1664" s="1" t="s">
        <v>6574</v>
      </c>
      <c r="G1664" s="1" t="s">
        <v>11</v>
      </c>
      <c r="J1664" s="3">
        <v>46189.344537037039</v>
      </c>
      <c r="K1664" s="2" t="s">
        <v>9710</v>
      </c>
      <c r="L1664" s="1">
        <v>4</v>
      </c>
      <c r="M1664" s="1">
        <v>5</v>
      </c>
      <c r="N1664">
        <v>1</v>
      </c>
      <c r="O1664" s="3">
        <f>IF(
    R1664="Ancien",
    _xlfn.XLOOKUP(
        Final_Sans_VGE[[#This Row],[ppn_z]],
        tbl_Historique_Final[ppn_z],
        tbl_Historique_Final[Horodatage],
        ""
    ),
    Horodatage!$A$2
)</f>
        <v>46233.670796365739</v>
      </c>
      <c r="P1664" s="1" t="str">
        <f>IFERROR(IF(tbl_Historique_Final[[#This Row],[Commentaires]]&lt;&gt;"",tbl_Historique_Final[[#This Row],[Commentaires]],""),"")</f>
        <v/>
      </c>
      <c r="X1664" s="8" t="str">
        <f>IF(Final_Sans_VGE[[#This Row],[ppn_z]]="","",IFERROR(
   IF(_xlfn.XLOOKUP(Final_Sans_VGE[[#This Row],[ppn_z]],tbl_Historique_Final[ppn_z],tbl_Historique_Final[date_modif])=Final_Sans_VGE[[#This Row],[date_modif]],
      "Ancien",
      "Modifié"),
   "Nouveau"))</f>
        <v>Ancien</v>
      </c>
      <c r="AC1664"/>
      <c r="AD1664"/>
    </row>
    <row r="1665" spans="1:30" ht="30" x14ac:dyDescent="0.25">
      <c r="A1665" s="5" t="s">
        <v>5159</v>
      </c>
      <c r="B1665" s="1" t="s">
        <v>9711</v>
      </c>
      <c r="C1665" s="1" t="s">
        <v>12</v>
      </c>
      <c r="J1665" s="3">
        <v>46187.395543981482</v>
      </c>
      <c r="K1665" s="2" t="s">
        <v>9712</v>
      </c>
      <c r="L1665" s="1">
        <v>31</v>
      </c>
      <c r="M1665" s="1">
        <v>32</v>
      </c>
      <c r="N1665">
        <v>1</v>
      </c>
      <c r="O1665" s="3">
        <f>IF(
    R1665="Ancien",
    _xlfn.XLOOKUP(
        Final_Sans_VGE[[#This Row],[ppn_z]],
        tbl_Historique_Final[ppn_z],
        tbl_Historique_Final[Horodatage],
        ""
    ),
    Horodatage!$A$2
)</f>
        <v>46233.670796365739</v>
      </c>
      <c r="P1665" s="1" t="str">
        <f>IFERROR(IF(tbl_Historique_Final[[#This Row],[Commentaires]]&lt;&gt;"",tbl_Historique_Final[[#This Row],[Commentaires]],""),"")</f>
        <v/>
      </c>
      <c r="X1665" s="8" t="str">
        <f>IF(Final_Sans_VGE[[#This Row],[ppn_z]]="","",IFERROR(
   IF(_xlfn.XLOOKUP(Final_Sans_VGE[[#This Row],[ppn_z]],tbl_Historique_Final[ppn_z],tbl_Historique_Final[date_modif])=Final_Sans_VGE[[#This Row],[date_modif]],
      "Ancien",
      "Modifié"),
   "Nouveau"))</f>
        <v>Ancien</v>
      </c>
      <c r="AC1665"/>
      <c r="AD1665"/>
    </row>
    <row r="1666" spans="1:30" ht="30" x14ac:dyDescent="0.25">
      <c r="A1666" s="5" t="s">
        <v>5162</v>
      </c>
      <c r="B1666" s="1" t="s">
        <v>9713</v>
      </c>
      <c r="C1666" s="1" t="s">
        <v>9714</v>
      </c>
      <c r="D1666" s="1" t="s">
        <v>14</v>
      </c>
      <c r="E1666" s="1" t="s">
        <v>9715</v>
      </c>
      <c r="F1666" s="1" t="s">
        <v>14</v>
      </c>
      <c r="G1666" s="1" t="s">
        <v>10</v>
      </c>
      <c r="H1666" s="1" t="s">
        <v>140</v>
      </c>
      <c r="I1666" s="1" t="s">
        <v>140</v>
      </c>
      <c r="J1666" s="3">
        <v>46204.522245370368</v>
      </c>
      <c r="K1666" s="2" t="s">
        <v>9716</v>
      </c>
      <c r="L1666" s="1">
        <v>15</v>
      </c>
      <c r="M1666" s="1">
        <v>16</v>
      </c>
      <c r="N1666">
        <v>1</v>
      </c>
      <c r="O1666" s="3">
        <f>IF(
    R1666="Ancien",
    _xlfn.XLOOKUP(
        Final_Sans_VGE[[#This Row],[ppn_z]],
        tbl_Historique_Final[ppn_z],
        tbl_Historique_Final[Horodatage],
        ""
    ),
    Horodatage!$A$2
)</f>
        <v>46233.670796365739</v>
      </c>
      <c r="P1666" s="1" t="str">
        <f>IFERROR(IF(tbl_Historique_Final[[#This Row],[Commentaires]]&lt;&gt;"",tbl_Historique_Final[[#This Row],[Commentaires]],""),"")</f>
        <v/>
      </c>
      <c r="X1666" s="8" t="str">
        <f>IF(Final_Sans_VGE[[#This Row],[ppn_z]]="","",IFERROR(
   IF(_xlfn.XLOOKUP(Final_Sans_VGE[[#This Row],[ppn_z]],tbl_Historique_Final[ppn_z],tbl_Historique_Final[date_modif])=Final_Sans_VGE[[#This Row],[date_modif]],
      "Ancien",
      "Modifié"),
   "Nouveau"))</f>
        <v>Ancien</v>
      </c>
      <c r="AC1666"/>
      <c r="AD1666"/>
    </row>
    <row r="1667" spans="1:30" x14ac:dyDescent="0.25">
      <c r="A1667" s="5" t="s">
        <v>5165</v>
      </c>
      <c r="B1667" s="1" t="s">
        <v>9717</v>
      </c>
      <c r="C1667" s="1" t="s">
        <v>7463</v>
      </c>
      <c r="E1667" s="1" t="s">
        <v>6482</v>
      </c>
      <c r="G1667" s="1" t="s">
        <v>10</v>
      </c>
      <c r="H1667" s="1" t="s">
        <v>22</v>
      </c>
      <c r="I1667" s="1" t="s">
        <v>22</v>
      </c>
      <c r="J1667" s="3">
        <v>46180.408009259256</v>
      </c>
      <c r="K1667" s="2" t="s">
        <v>9718</v>
      </c>
      <c r="L1667" s="1">
        <v>28</v>
      </c>
      <c r="M1667" s="1">
        <v>43</v>
      </c>
      <c r="N1667">
        <v>15</v>
      </c>
      <c r="O1667" s="3">
        <f>IF(
    R1667="Ancien",
    _xlfn.XLOOKUP(
        Final_Sans_VGE[[#This Row],[ppn_z]],
        tbl_Historique_Final[ppn_z],
        tbl_Historique_Final[Horodatage],
        ""
    ),
    Horodatage!$A$2
)</f>
        <v>46233.670796365739</v>
      </c>
      <c r="P1667" s="1" t="str">
        <f>IFERROR(IF(tbl_Historique_Final[[#This Row],[Commentaires]]&lt;&gt;"",tbl_Historique_Final[[#This Row],[Commentaires]],""),"")</f>
        <v/>
      </c>
      <c r="X1667" s="8" t="str">
        <f>IF(Final_Sans_VGE[[#This Row],[ppn_z]]="","",IFERROR(
   IF(_xlfn.XLOOKUP(Final_Sans_VGE[[#This Row],[ppn_z]],tbl_Historique_Final[ppn_z],tbl_Historique_Final[date_modif])=Final_Sans_VGE[[#This Row],[date_modif]],
      "Ancien",
      "Modifié"),
   "Nouveau"))</f>
        <v>Ancien</v>
      </c>
      <c r="AC1667"/>
      <c r="AD1667"/>
    </row>
    <row r="1668" spans="1:30" ht="30" x14ac:dyDescent="0.25">
      <c r="A1668" s="5" t="s">
        <v>5168</v>
      </c>
      <c r="B1668" s="1" t="s">
        <v>9719</v>
      </c>
      <c r="C1668" s="1" t="s">
        <v>131</v>
      </c>
      <c r="G1668" s="1" t="s">
        <v>11</v>
      </c>
      <c r="J1668" s="3">
        <v>46181.682071759256</v>
      </c>
      <c r="K1668" s="2" t="s">
        <v>9720</v>
      </c>
      <c r="L1668" s="1">
        <v>2</v>
      </c>
      <c r="M1668" s="1">
        <v>2</v>
      </c>
      <c r="N1668">
        <v>0</v>
      </c>
      <c r="O1668" s="3">
        <f>IF(
    R1668="Ancien",
    _xlfn.XLOOKUP(
        Final_Sans_VGE[[#This Row],[ppn_z]],
        tbl_Historique_Final[ppn_z],
        tbl_Historique_Final[Horodatage],
        ""
    ),
    Horodatage!$A$2
)</f>
        <v>46233.670796365739</v>
      </c>
      <c r="P1668" s="1" t="str">
        <f>IFERROR(IF(tbl_Historique_Final[[#This Row],[Commentaires]]&lt;&gt;"",tbl_Historique_Final[[#This Row],[Commentaires]],""),"")</f>
        <v/>
      </c>
      <c r="X1668" s="8" t="str">
        <f>IF(Final_Sans_VGE[[#This Row],[ppn_z]]="","",IFERROR(
   IF(_xlfn.XLOOKUP(Final_Sans_VGE[[#This Row],[ppn_z]],tbl_Historique_Final[ppn_z],tbl_Historique_Final[date_modif])=Final_Sans_VGE[[#This Row],[date_modif]],
      "Ancien",
      "Modifié"),
   "Nouveau"))</f>
        <v>Ancien</v>
      </c>
      <c r="AC1668"/>
      <c r="AD1668"/>
    </row>
    <row r="1669" spans="1:30" ht="30" x14ac:dyDescent="0.25">
      <c r="A1669" s="5" t="s">
        <v>5171</v>
      </c>
      <c r="B1669" s="1" t="s">
        <v>9721</v>
      </c>
      <c r="C1669" s="1" t="s">
        <v>12</v>
      </c>
      <c r="G1669" s="1" t="s">
        <v>11</v>
      </c>
      <c r="J1669" s="3">
        <v>46189.474317129629</v>
      </c>
      <c r="K1669" s="2" t="s">
        <v>9722</v>
      </c>
      <c r="L1669" s="1">
        <v>4</v>
      </c>
      <c r="M1669" s="1">
        <v>4</v>
      </c>
      <c r="N1669">
        <v>0</v>
      </c>
      <c r="O1669" s="3">
        <f>IF(
    R1669="Ancien",
    _xlfn.XLOOKUP(
        Final_Sans_VGE[[#This Row],[ppn_z]],
        tbl_Historique_Final[ppn_z],
        tbl_Historique_Final[Horodatage],
        ""
    ),
    Horodatage!$A$2
)</f>
        <v>46233.670796365739</v>
      </c>
      <c r="P1669" s="1" t="str">
        <f>IFERROR(IF(tbl_Historique_Final[[#This Row],[Commentaires]]&lt;&gt;"",tbl_Historique_Final[[#This Row],[Commentaires]],""),"")</f>
        <v/>
      </c>
      <c r="X1669" s="8" t="str">
        <f>IF(Final_Sans_VGE[[#This Row],[ppn_z]]="","",IFERROR(
   IF(_xlfn.XLOOKUP(Final_Sans_VGE[[#This Row],[ppn_z]],tbl_Historique_Final[ppn_z],tbl_Historique_Final[date_modif])=Final_Sans_VGE[[#This Row],[date_modif]],
      "Ancien",
      "Modifié"),
   "Nouveau"))</f>
        <v>Ancien</v>
      </c>
      <c r="AC1669"/>
      <c r="AD1669"/>
    </row>
    <row r="1670" spans="1:30" ht="30" x14ac:dyDescent="0.25">
      <c r="A1670" s="5" t="s">
        <v>5174</v>
      </c>
      <c r="B1670" s="1" t="s">
        <v>9723</v>
      </c>
      <c r="C1670" s="1" t="s">
        <v>95</v>
      </c>
      <c r="D1670" s="1" t="s">
        <v>15</v>
      </c>
      <c r="E1670" s="1" t="s">
        <v>120</v>
      </c>
      <c r="F1670" s="1" t="s">
        <v>14</v>
      </c>
      <c r="G1670" s="1" t="s">
        <v>11</v>
      </c>
      <c r="H1670" s="1" t="s">
        <v>110</v>
      </c>
      <c r="I1670" s="1" t="s">
        <v>22</v>
      </c>
      <c r="J1670" s="3">
        <v>46180.396666666667</v>
      </c>
      <c r="K1670" s="2" t="s">
        <v>9724</v>
      </c>
      <c r="L1670" s="1">
        <v>31</v>
      </c>
      <c r="M1670" s="1">
        <v>32</v>
      </c>
      <c r="N1670">
        <v>1</v>
      </c>
      <c r="O1670" s="3">
        <f>IF(
    R1670="Ancien",
    _xlfn.XLOOKUP(
        Final_Sans_VGE[[#This Row],[ppn_z]],
        tbl_Historique_Final[ppn_z],
        tbl_Historique_Final[Horodatage],
        ""
    ),
    Horodatage!$A$2
)</f>
        <v>46233.670796365739</v>
      </c>
      <c r="P1670" s="1" t="str">
        <f>IFERROR(IF(tbl_Historique_Final[[#This Row],[Commentaires]]&lt;&gt;"",tbl_Historique_Final[[#This Row],[Commentaires]],""),"")</f>
        <v/>
      </c>
      <c r="X1670" s="8" t="str">
        <f>IF(Final_Sans_VGE[[#This Row],[ppn_z]]="","",IFERROR(
   IF(_xlfn.XLOOKUP(Final_Sans_VGE[[#This Row],[ppn_z]],tbl_Historique_Final[ppn_z],tbl_Historique_Final[date_modif])=Final_Sans_VGE[[#This Row],[date_modif]],
      "Ancien",
      "Modifié"),
   "Nouveau"))</f>
        <v>Ancien</v>
      </c>
      <c r="AC1670"/>
      <c r="AD1670"/>
    </row>
    <row r="1671" spans="1:30" x14ac:dyDescent="0.25">
      <c r="A1671" s="5" t="s">
        <v>5177</v>
      </c>
      <c r="B1671" s="1" t="s">
        <v>9725</v>
      </c>
      <c r="C1671" s="1" t="s">
        <v>12</v>
      </c>
      <c r="G1671" s="1" t="s">
        <v>10</v>
      </c>
      <c r="J1671" s="3">
        <v>46175.371736111112</v>
      </c>
      <c r="K1671" s="2" t="s">
        <v>9726</v>
      </c>
      <c r="L1671" s="1">
        <v>1</v>
      </c>
      <c r="M1671" s="1">
        <v>1</v>
      </c>
      <c r="N1671">
        <v>0</v>
      </c>
      <c r="O1671" s="3">
        <f>IF(
    R1671="Ancien",
    _xlfn.XLOOKUP(
        Final_Sans_VGE[[#This Row],[ppn_z]],
        tbl_Historique_Final[ppn_z],
        tbl_Historique_Final[Horodatage],
        ""
    ),
    Horodatage!$A$2
)</f>
        <v>46233.670796365739</v>
      </c>
      <c r="P1671" s="1" t="str">
        <f>IFERROR(IF(tbl_Historique_Final[[#This Row],[Commentaires]]&lt;&gt;"",tbl_Historique_Final[[#This Row],[Commentaires]],""),"")</f>
        <v/>
      </c>
      <c r="X1671" s="8" t="str">
        <f>IF(Final_Sans_VGE[[#This Row],[ppn_z]]="","",IFERROR(
   IF(_xlfn.XLOOKUP(Final_Sans_VGE[[#This Row],[ppn_z]],tbl_Historique_Final[ppn_z],tbl_Historique_Final[date_modif])=Final_Sans_VGE[[#This Row],[date_modif]],
      "Ancien",
      "Modifié"),
   "Nouveau"))</f>
        <v>Ancien</v>
      </c>
      <c r="AC1671"/>
      <c r="AD1671"/>
    </row>
    <row r="1672" spans="1:30" x14ac:dyDescent="0.25">
      <c r="A1672" s="5" t="s">
        <v>5180</v>
      </c>
      <c r="B1672" s="1" t="s">
        <v>9727</v>
      </c>
      <c r="C1672" s="1" t="s">
        <v>6803</v>
      </c>
      <c r="D1672" s="1" t="s">
        <v>14</v>
      </c>
      <c r="E1672" s="1" t="s">
        <v>7826</v>
      </c>
      <c r="F1672" s="1" t="s">
        <v>8920</v>
      </c>
      <c r="G1672" s="1" t="s">
        <v>10</v>
      </c>
      <c r="H1672" s="1" t="s">
        <v>10524</v>
      </c>
      <c r="I1672" s="1" t="s">
        <v>140</v>
      </c>
      <c r="J1672" s="3">
        <v>46162.576296296298</v>
      </c>
      <c r="L1672" s="1">
        <v>23</v>
      </c>
      <c r="M1672" s="1">
        <v>23</v>
      </c>
      <c r="N1672">
        <v>0</v>
      </c>
      <c r="O1672" s="3">
        <f>IF(
    R1672="Ancien",
    _xlfn.XLOOKUP(
        Final_Sans_VGE[[#This Row],[ppn_z]],
        tbl_Historique_Final[ppn_z],
        tbl_Historique_Final[Horodatage],
        ""
    ),
    Horodatage!$A$2
)</f>
        <v>46233.670796365739</v>
      </c>
      <c r="P1672" s="1" t="str">
        <f>IFERROR(IF(tbl_Historique_Final[[#This Row],[Commentaires]]&lt;&gt;"",tbl_Historique_Final[[#This Row],[Commentaires]],""),"")</f>
        <v/>
      </c>
      <c r="X1672" s="8" t="str">
        <f>IF(Final_Sans_VGE[[#This Row],[ppn_z]]="","",IFERROR(
   IF(_xlfn.XLOOKUP(Final_Sans_VGE[[#This Row],[ppn_z]],tbl_Historique_Final[ppn_z],tbl_Historique_Final[date_modif])=Final_Sans_VGE[[#This Row],[date_modif]],
      "Ancien",
      "Modifié"),
   "Nouveau"))</f>
        <v>Ancien</v>
      </c>
      <c r="AC1672"/>
      <c r="AD1672"/>
    </row>
    <row r="1673" spans="1:30" x14ac:dyDescent="0.25">
      <c r="A1673" s="5" t="s">
        <v>5183</v>
      </c>
      <c r="B1673" s="1" t="s">
        <v>9728</v>
      </c>
      <c r="C1673" s="1" t="s">
        <v>9729</v>
      </c>
      <c r="E1673" s="1" t="s">
        <v>8848</v>
      </c>
      <c r="G1673" s="1" t="s">
        <v>10</v>
      </c>
      <c r="J1673" s="3">
        <v>46189.358923611115</v>
      </c>
      <c r="K1673" s="2" t="s">
        <v>9730</v>
      </c>
      <c r="L1673" s="1">
        <v>19</v>
      </c>
      <c r="M1673" s="1">
        <v>19</v>
      </c>
      <c r="N1673">
        <v>0</v>
      </c>
      <c r="O1673" s="3">
        <f>IF(
    R1673="Ancien",
    _xlfn.XLOOKUP(
        Final_Sans_VGE[[#This Row],[ppn_z]],
        tbl_Historique_Final[ppn_z],
        tbl_Historique_Final[Horodatage],
        ""
    ),
    Horodatage!$A$2
)</f>
        <v>46233.670796365739</v>
      </c>
      <c r="P1673" s="1" t="str">
        <f>IFERROR(IF(tbl_Historique_Final[[#This Row],[Commentaires]]&lt;&gt;"",tbl_Historique_Final[[#This Row],[Commentaires]],""),"")</f>
        <v/>
      </c>
      <c r="X1673" s="8" t="str">
        <f>IF(Final_Sans_VGE[[#This Row],[ppn_z]]="","",IFERROR(
   IF(_xlfn.XLOOKUP(Final_Sans_VGE[[#This Row],[ppn_z]],tbl_Historique_Final[ppn_z],tbl_Historique_Final[date_modif])=Final_Sans_VGE[[#This Row],[date_modif]],
      "Ancien",
      "Modifié"),
   "Nouveau"))</f>
        <v>Ancien</v>
      </c>
      <c r="AC1673"/>
      <c r="AD1673"/>
    </row>
    <row r="1674" spans="1:30" x14ac:dyDescent="0.25">
      <c r="A1674" s="5" t="s">
        <v>5186</v>
      </c>
      <c r="B1674" s="1" t="s">
        <v>9731</v>
      </c>
      <c r="C1674" s="1" t="s">
        <v>166</v>
      </c>
      <c r="D1674" s="1" t="s">
        <v>14</v>
      </c>
      <c r="E1674" s="1" t="s">
        <v>63</v>
      </c>
      <c r="F1674" s="1" t="s">
        <v>14</v>
      </c>
      <c r="G1674" s="1" t="s">
        <v>10</v>
      </c>
      <c r="H1674" s="1" t="s">
        <v>22</v>
      </c>
      <c r="I1674" s="1" t="s">
        <v>22</v>
      </c>
      <c r="J1674" s="3">
        <v>46191.506516203706</v>
      </c>
      <c r="K1674" s="2" t="s">
        <v>9732</v>
      </c>
      <c r="L1674" s="1">
        <v>7</v>
      </c>
      <c r="M1674" s="1">
        <v>9</v>
      </c>
      <c r="N1674">
        <v>2</v>
      </c>
      <c r="O1674" s="3">
        <f>IF(
    R1674="Ancien",
    _xlfn.XLOOKUP(
        Final_Sans_VGE[[#This Row],[ppn_z]],
        tbl_Historique_Final[ppn_z],
        tbl_Historique_Final[Horodatage],
        ""
    ),
    Horodatage!$A$2
)</f>
        <v>46233.670796365739</v>
      </c>
      <c r="P1674" s="1" t="str">
        <f>IFERROR(IF(tbl_Historique_Final[[#This Row],[Commentaires]]&lt;&gt;"",tbl_Historique_Final[[#This Row],[Commentaires]],""),"")</f>
        <v/>
      </c>
      <c r="X1674" s="8" t="str">
        <f>IF(Final_Sans_VGE[[#This Row],[ppn_z]]="","",IFERROR(
   IF(_xlfn.XLOOKUP(Final_Sans_VGE[[#This Row],[ppn_z]],tbl_Historique_Final[ppn_z],tbl_Historique_Final[date_modif])=Final_Sans_VGE[[#This Row],[date_modif]],
      "Ancien",
      "Modifié"),
   "Nouveau"))</f>
        <v>Ancien</v>
      </c>
      <c r="AC1674"/>
      <c r="AD1674"/>
    </row>
    <row r="1675" spans="1:30" ht="30" x14ac:dyDescent="0.25">
      <c r="A1675" s="5" t="s">
        <v>5189</v>
      </c>
      <c r="B1675" s="1" t="s">
        <v>9733</v>
      </c>
      <c r="C1675" s="1" t="s">
        <v>7692</v>
      </c>
      <c r="H1675" s="1" t="s">
        <v>22</v>
      </c>
      <c r="I1675" s="1" t="s">
        <v>22</v>
      </c>
      <c r="J1675" s="3">
        <v>46038.651678240742</v>
      </c>
      <c r="K1675" s="2" t="s">
        <v>9734</v>
      </c>
      <c r="L1675" s="1">
        <v>223</v>
      </c>
      <c r="M1675" s="1">
        <v>264</v>
      </c>
      <c r="N1675">
        <v>41</v>
      </c>
      <c r="O1675" s="3">
        <f>IF(
    R1675="Ancien",
    _xlfn.XLOOKUP(
        Final_Sans_VGE[[#This Row],[ppn_z]],
        tbl_Historique_Final[ppn_z],
        tbl_Historique_Final[Horodatage],
        ""
    ),
    Horodatage!$A$2
)</f>
        <v>46233.670796365739</v>
      </c>
      <c r="P1675" s="1" t="str">
        <f>IFERROR(IF(tbl_Historique_Final[[#This Row],[Commentaires]]&lt;&gt;"",tbl_Historique_Final[[#This Row],[Commentaires]],""),"")</f>
        <v/>
      </c>
      <c r="X1675" s="8" t="str">
        <f>IF(Final_Sans_VGE[[#This Row],[ppn_z]]="","",IFERROR(
   IF(_xlfn.XLOOKUP(Final_Sans_VGE[[#This Row],[ppn_z]],tbl_Historique_Final[ppn_z],tbl_Historique_Final[date_modif])=Final_Sans_VGE[[#This Row],[date_modif]],
      "Ancien",
      "Modifié"),
   "Nouveau"))</f>
        <v>Ancien</v>
      </c>
      <c r="AC1675"/>
      <c r="AD1675"/>
    </row>
    <row r="1676" spans="1:30" x14ac:dyDescent="0.25">
      <c r="A1676" s="5" t="s">
        <v>5192</v>
      </c>
      <c r="B1676" s="1" t="s">
        <v>9735</v>
      </c>
      <c r="C1676" s="1" t="s">
        <v>7291</v>
      </c>
      <c r="G1676" s="1" t="s">
        <v>10</v>
      </c>
      <c r="J1676" s="3">
        <v>46189.66369212963</v>
      </c>
      <c r="K1676" s="2" t="s">
        <v>9736</v>
      </c>
      <c r="L1676" s="1">
        <v>11</v>
      </c>
      <c r="M1676" s="1">
        <v>11</v>
      </c>
      <c r="N1676">
        <v>0</v>
      </c>
      <c r="O1676" s="3">
        <f>IF(
    R1676="Ancien",
    _xlfn.XLOOKUP(
        Final_Sans_VGE[[#This Row],[ppn_z]],
        tbl_Historique_Final[ppn_z],
        tbl_Historique_Final[Horodatage],
        ""
    ),
    Horodatage!$A$2
)</f>
        <v>46233.670796365739</v>
      </c>
      <c r="P1676" s="1" t="str">
        <f>IFERROR(IF(tbl_Historique_Final[[#This Row],[Commentaires]]&lt;&gt;"",tbl_Historique_Final[[#This Row],[Commentaires]],""),"")</f>
        <v/>
      </c>
      <c r="X1676" s="8" t="str">
        <f>IF(Final_Sans_VGE[[#This Row],[ppn_z]]="","",IFERROR(
   IF(_xlfn.XLOOKUP(Final_Sans_VGE[[#This Row],[ppn_z]],tbl_Historique_Final[ppn_z],tbl_Historique_Final[date_modif])=Final_Sans_VGE[[#This Row],[date_modif]],
      "Ancien",
      "Modifié"),
   "Nouveau"))</f>
        <v>Ancien</v>
      </c>
      <c r="AC1676"/>
      <c r="AD1676"/>
    </row>
    <row r="1677" spans="1:30" x14ac:dyDescent="0.25">
      <c r="A1677" s="5" t="s">
        <v>5195</v>
      </c>
      <c r="B1677" s="1" t="s">
        <v>9737</v>
      </c>
      <c r="C1677" s="1" t="s">
        <v>7291</v>
      </c>
      <c r="D1677" s="1" t="s">
        <v>133</v>
      </c>
      <c r="H1677" s="1" t="s">
        <v>9738</v>
      </c>
      <c r="I1677" s="1" t="s">
        <v>9739</v>
      </c>
      <c r="J1677" s="3">
        <v>46190.412627314814</v>
      </c>
      <c r="K1677" s="2" t="s">
        <v>9740</v>
      </c>
      <c r="L1677" s="1">
        <v>14</v>
      </c>
      <c r="M1677" s="1">
        <v>16</v>
      </c>
      <c r="N1677">
        <v>2</v>
      </c>
      <c r="O1677" s="3">
        <f>IF(
    R1677="Ancien",
    _xlfn.XLOOKUP(
        Final_Sans_VGE[[#This Row],[ppn_z]],
        tbl_Historique_Final[ppn_z],
        tbl_Historique_Final[Horodatage],
        ""
    ),
    Horodatage!$A$2
)</f>
        <v>46233.670796365739</v>
      </c>
      <c r="P1677" s="1" t="str">
        <f>IFERROR(IF(tbl_Historique_Final[[#This Row],[Commentaires]]&lt;&gt;"",tbl_Historique_Final[[#This Row],[Commentaires]],""),"")</f>
        <v/>
      </c>
      <c r="X1677" s="8" t="str">
        <f>IF(Final_Sans_VGE[[#This Row],[ppn_z]]="","",IFERROR(
   IF(_xlfn.XLOOKUP(Final_Sans_VGE[[#This Row],[ppn_z]],tbl_Historique_Final[ppn_z],tbl_Historique_Final[date_modif])=Final_Sans_VGE[[#This Row],[date_modif]],
      "Ancien",
      "Modifié"),
   "Nouveau"))</f>
        <v>Ancien</v>
      </c>
      <c r="AC1677"/>
      <c r="AD1677"/>
    </row>
    <row r="1678" spans="1:30" ht="30" x14ac:dyDescent="0.25">
      <c r="A1678" s="5" t="s">
        <v>5201</v>
      </c>
      <c r="B1678" s="1" t="s">
        <v>9742</v>
      </c>
      <c r="C1678" s="1" t="s">
        <v>97</v>
      </c>
      <c r="E1678" s="1" t="s">
        <v>34</v>
      </c>
      <c r="G1678" s="1" t="s">
        <v>10</v>
      </c>
      <c r="J1678" s="3">
        <v>46189.627418981479</v>
      </c>
      <c r="K1678" s="2" t="s">
        <v>9743</v>
      </c>
      <c r="L1678" s="1">
        <v>14</v>
      </c>
      <c r="M1678" s="1">
        <v>14</v>
      </c>
      <c r="N1678">
        <v>0</v>
      </c>
      <c r="O1678" s="3">
        <f>IF(
    R1678="Ancien",
    _xlfn.XLOOKUP(
        Final_Sans_VGE[[#This Row],[ppn_z]],
        tbl_Historique_Final[ppn_z],
        tbl_Historique_Final[Horodatage],
        ""
    ),
    Horodatage!$A$2
)</f>
        <v>46233.670796365739</v>
      </c>
      <c r="P1678" s="1" t="str">
        <f>IFERROR(IF(tbl_Historique_Final[[#This Row],[Commentaires]]&lt;&gt;"",tbl_Historique_Final[[#This Row],[Commentaires]],""),"")</f>
        <v/>
      </c>
      <c r="X1678" s="8" t="str">
        <f>IF(Final_Sans_VGE[[#This Row],[ppn_z]]="","",IFERROR(
   IF(_xlfn.XLOOKUP(Final_Sans_VGE[[#This Row],[ppn_z]],tbl_Historique_Final[ppn_z],tbl_Historique_Final[date_modif])=Final_Sans_VGE[[#This Row],[date_modif]],
      "Ancien",
      "Modifié"),
   "Nouveau"))</f>
        <v>Ancien</v>
      </c>
      <c r="AC1678"/>
      <c r="AD1678"/>
    </row>
    <row r="1679" spans="1:30" x14ac:dyDescent="0.25">
      <c r="A1679" s="5" t="s">
        <v>5198</v>
      </c>
      <c r="B1679" s="1" t="s">
        <v>9741</v>
      </c>
      <c r="C1679" s="1" t="s">
        <v>51</v>
      </c>
      <c r="J1679" s="3">
        <v>46076.375439814816</v>
      </c>
      <c r="L1679" s="1">
        <v>1</v>
      </c>
      <c r="M1679" s="1">
        <v>1</v>
      </c>
      <c r="N1679">
        <v>0</v>
      </c>
      <c r="O1679" s="3">
        <f>IF(
    R1679="Ancien",
    _xlfn.XLOOKUP(
        Final_Sans_VGE[[#This Row],[ppn_z]],
        tbl_Historique_Final[ppn_z],
        tbl_Historique_Final[Horodatage],
        ""
    ),
    Horodatage!$A$2
)</f>
        <v>46233.670796365739</v>
      </c>
      <c r="P1679" s="1" t="str">
        <f>IFERROR(IF(tbl_Historique_Final[[#This Row],[Commentaires]]&lt;&gt;"",tbl_Historique_Final[[#This Row],[Commentaires]],""),"")</f>
        <v/>
      </c>
      <c r="X1679" s="8" t="str">
        <f>IF(Final_Sans_VGE[[#This Row],[ppn_z]]="","",IFERROR(
   IF(_xlfn.XLOOKUP(Final_Sans_VGE[[#This Row],[ppn_z]],tbl_Historique_Final[ppn_z],tbl_Historique_Final[date_modif])=Final_Sans_VGE[[#This Row],[date_modif]],
      "Ancien",
      "Modifié"),
   "Nouveau"))</f>
        <v>Ancien</v>
      </c>
      <c r="AC1679"/>
      <c r="AD1679"/>
    </row>
    <row r="1680" spans="1:30" ht="75" x14ac:dyDescent="0.25">
      <c r="A1680" s="5" t="s">
        <v>5204</v>
      </c>
      <c r="B1680" s="1" t="s">
        <v>9744</v>
      </c>
      <c r="C1680" s="1" t="s">
        <v>6416</v>
      </c>
      <c r="H1680" s="1" t="s">
        <v>22</v>
      </c>
      <c r="I1680" s="1" t="s">
        <v>22</v>
      </c>
      <c r="J1680" s="3">
        <v>46191.670358796298</v>
      </c>
      <c r="K1680" s="2" t="s">
        <v>9745</v>
      </c>
      <c r="L1680" s="1">
        <v>1999</v>
      </c>
      <c r="M1680" s="1">
        <v>2241</v>
      </c>
      <c r="N1680">
        <v>242</v>
      </c>
      <c r="O1680" s="3">
        <f>IF(
    R1680="Ancien",
    _xlfn.XLOOKUP(
        Final_Sans_VGE[[#This Row],[ppn_z]],
        tbl_Historique_Final[ppn_z],
        tbl_Historique_Final[Horodatage],
        ""
    ),
    Horodatage!$A$2
)</f>
        <v>46233.670796365739</v>
      </c>
      <c r="P1680" s="1" t="str">
        <f>IFERROR(IF(tbl_Historique_Final[[#This Row],[Commentaires]]&lt;&gt;"",tbl_Historique_Final[[#This Row],[Commentaires]],""),"")</f>
        <v/>
      </c>
      <c r="X1680" s="8" t="str">
        <f>IF(Final_Sans_VGE[[#This Row],[ppn_z]]="","",IFERROR(
   IF(_xlfn.XLOOKUP(Final_Sans_VGE[[#This Row],[ppn_z]],tbl_Historique_Final[ppn_z],tbl_Historique_Final[date_modif])=Final_Sans_VGE[[#This Row],[date_modif]],
      "Ancien",
      "Modifié"),
   "Nouveau"))</f>
        <v>Ancien</v>
      </c>
      <c r="AC1680"/>
      <c r="AD1680"/>
    </row>
    <row r="1681" spans="1:30" ht="45" x14ac:dyDescent="0.25">
      <c r="A1681" s="5" t="s">
        <v>5210</v>
      </c>
      <c r="B1681" s="1" t="s">
        <v>9747</v>
      </c>
      <c r="C1681" s="1" t="s">
        <v>6607</v>
      </c>
      <c r="D1681" s="1" t="s">
        <v>14</v>
      </c>
      <c r="E1681" s="1" t="s">
        <v>55</v>
      </c>
      <c r="F1681" s="1" t="s">
        <v>14</v>
      </c>
      <c r="G1681" s="1" t="s">
        <v>10</v>
      </c>
      <c r="H1681" s="1" t="s">
        <v>22</v>
      </c>
      <c r="I1681" s="1" t="s">
        <v>22</v>
      </c>
      <c r="J1681" s="3">
        <v>46180.418969907405</v>
      </c>
      <c r="K1681" s="2" t="s">
        <v>9748</v>
      </c>
      <c r="L1681" s="1">
        <v>37</v>
      </c>
      <c r="M1681" s="1">
        <v>43</v>
      </c>
      <c r="N1681">
        <v>6</v>
      </c>
      <c r="O1681" s="3">
        <f>IF(
    R1681="Ancien",
    _xlfn.XLOOKUP(
        Final_Sans_VGE[[#This Row],[ppn_z]],
        tbl_Historique_Final[ppn_z],
        tbl_Historique_Final[Horodatage],
        ""
    ),
    Horodatage!$A$2
)</f>
        <v>46233.670796365739</v>
      </c>
      <c r="P1681" s="1" t="str">
        <f>IFERROR(IF(tbl_Historique_Final[[#This Row],[Commentaires]]&lt;&gt;"",tbl_Historique_Final[[#This Row],[Commentaires]],""),"")</f>
        <v/>
      </c>
      <c r="X1681" s="8" t="str">
        <f>IF(Final_Sans_VGE[[#This Row],[ppn_z]]="","",IFERROR(
   IF(_xlfn.XLOOKUP(Final_Sans_VGE[[#This Row],[ppn_z]],tbl_Historique_Final[ppn_z],tbl_Historique_Final[date_modif])=Final_Sans_VGE[[#This Row],[date_modif]],
      "Ancien",
      "Modifié"),
   "Nouveau"))</f>
        <v>Ancien</v>
      </c>
      <c r="AC1681"/>
      <c r="AD1681"/>
    </row>
    <row r="1682" spans="1:30" x14ac:dyDescent="0.25">
      <c r="A1682" s="5" t="s">
        <v>5207</v>
      </c>
      <c r="B1682" s="1" t="s">
        <v>9746</v>
      </c>
      <c r="H1682" s="1" t="s">
        <v>22</v>
      </c>
      <c r="I1682" s="1" t="s">
        <v>22</v>
      </c>
      <c r="J1682" s="3">
        <v>46058.650949074072</v>
      </c>
      <c r="L1682" s="1">
        <v>74</v>
      </c>
      <c r="M1682" s="1">
        <v>162</v>
      </c>
      <c r="N1682">
        <v>88</v>
      </c>
      <c r="O1682" s="3">
        <f>IF(
    R1682="Ancien",
    _xlfn.XLOOKUP(
        Final_Sans_VGE[[#This Row],[ppn_z]],
        tbl_Historique_Final[ppn_z],
        tbl_Historique_Final[Horodatage],
        ""
    ),
    Horodatage!$A$2
)</f>
        <v>46233.670796365739</v>
      </c>
      <c r="P1682" s="1" t="str">
        <f>IFERROR(IF(tbl_Historique_Final[[#This Row],[Commentaires]]&lt;&gt;"",tbl_Historique_Final[[#This Row],[Commentaires]],""),"")</f>
        <v/>
      </c>
      <c r="X1682" s="8" t="str">
        <f>IF(Final_Sans_VGE[[#This Row],[ppn_z]]="","",IFERROR(
   IF(_xlfn.XLOOKUP(Final_Sans_VGE[[#This Row],[ppn_z]],tbl_Historique_Final[ppn_z],tbl_Historique_Final[date_modif])=Final_Sans_VGE[[#This Row],[date_modif]],
      "Ancien",
      "Modifié"),
   "Nouveau"))</f>
        <v>Ancien</v>
      </c>
      <c r="AC1682"/>
      <c r="AD1682"/>
    </row>
    <row r="1683" spans="1:30" ht="30" x14ac:dyDescent="0.25">
      <c r="A1683" s="5" t="s">
        <v>5213</v>
      </c>
      <c r="B1683" s="1" t="s">
        <v>9749</v>
      </c>
      <c r="C1683" s="1" t="s">
        <v>48</v>
      </c>
      <c r="G1683" s="1" t="s">
        <v>10</v>
      </c>
      <c r="J1683" s="3">
        <v>46185.448506944442</v>
      </c>
      <c r="K1683" s="2" t="s">
        <v>9750</v>
      </c>
      <c r="L1683" s="1">
        <v>6</v>
      </c>
      <c r="M1683" s="1">
        <v>6</v>
      </c>
      <c r="N1683">
        <v>0</v>
      </c>
      <c r="O1683" s="3">
        <f>IF(
    R1683="Ancien",
    _xlfn.XLOOKUP(
        Final_Sans_VGE[[#This Row],[ppn_z]],
        tbl_Historique_Final[ppn_z],
        tbl_Historique_Final[Horodatage],
        ""
    ),
    Horodatage!$A$2
)</f>
        <v>46233.670796365739</v>
      </c>
      <c r="P1683" s="1" t="str">
        <f>IFERROR(IF(tbl_Historique_Final[[#This Row],[Commentaires]]&lt;&gt;"",tbl_Historique_Final[[#This Row],[Commentaires]],""),"")</f>
        <v/>
      </c>
      <c r="X1683" s="8" t="str">
        <f>IF(Final_Sans_VGE[[#This Row],[ppn_z]]="","",IFERROR(
   IF(_xlfn.XLOOKUP(Final_Sans_VGE[[#This Row],[ppn_z]],tbl_Historique_Final[ppn_z],tbl_Historique_Final[date_modif])=Final_Sans_VGE[[#This Row],[date_modif]],
      "Ancien",
      "Modifié"),
   "Nouveau"))</f>
        <v>Ancien</v>
      </c>
      <c r="AC1683"/>
      <c r="AD1683"/>
    </row>
    <row r="1684" spans="1:30" x14ac:dyDescent="0.25">
      <c r="A1684" s="5" t="s">
        <v>5219</v>
      </c>
      <c r="B1684" s="1" t="s">
        <v>9752</v>
      </c>
      <c r="C1684" s="1" t="s">
        <v>31</v>
      </c>
      <c r="G1684" s="1" t="s">
        <v>11</v>
      </c>
      <c r="J1684" s="3">
        <v>46191.448888888888</v>
      </c>
      <c r="K1684" s="2" t="s">
        <v>158</v>
      </c>
      <c r="L1684" s="1">
        <v>5</v>
      </c>
      <c r="M1684" s="1">
        <v>5</v>
      </c>
      <c r="N1684">
        <v>0</v>
      </c>
      <c r="O1684" s="3">
        <f>IF(
    R1684="Ancien",
    _xlfn.XLOOKUP(
        Final_Sans_VGE[[#This Row],[ppn_z]],
        tbl_Historique_Final[ppn_z],
        tbl_Historique_Final[Horodatage],
        ""
    ),
    Horodatage!$A$2
)</f>
        <v>46233.670796365739</v>
      </c>
      <c r="P1684" s="1" t="str">
        <f>IFERROR(IF(tbl_Historique_Final[[#This Row],[Commentaires]]&lt;&gt;"",tbl_Historique_Final[[#This Row],[Commentaires]],""),"")</f>
        <v/>
      </c>
      <c r="X1684" s="8" t="str">
        <f>IF(Final_Sans_VGE[[#This Row],[ppn_z]]="","",IFERROR(
   IF(_xlfn.XLOOKUP(Final_Sans_VGE[[#This Row],[ppn_z]],tbl_Historique_Final[ppn_z],tbl_Historique_Final[date_modif])=Final_Sans_VGE[[#This Row],[date_modif]],
      "Ancien",
      "Modifié"),
   "Nouveau"))</f>
        <v>Ancien</v>
      </c>
      <c r="AC1684"/>
      <c r="AD1684"/>
    </row>
    <row r="1685" spans="1:30" x14ac:dyDescent="0.25">
      <c r="A1685" s="5" t="s">
        <v>5216</v>
      </c>
      <c r="B1685" s="1" t="s">
        <v>9751</v>
      </c>
      <c r="C1685" s="1" t="s">
        <v>159</v>
      </c>
      <c r="J1685" s="3">
        <v>46076.670856481483</v>
      </c>
      <c r="L1685" s="1">
        <v>3</v>
      </c>
      <c r="M1685" s="1">
        <v>3</v>
      </c>
      <c r="N1685">
        <v>0</v>
      </c>
      <c r="O1685" s="3">
        <f>IF(
    R1685="Ancien",
    _xlfn.XLOOKUP(
        Final_Sans_VGE[[#This Row],[ppn_z]],
        tbl_Historique_Final[ppn_z],
        tbl_Historique_Final[Horodatage],
        ""
    ),
    Horodatage!$A$2
)</f>
        <v>46233.670796365739</v>
      </c>
      <c r="P1685" s="1" t="str">
        <f>IFERROR(IF(tbl_Historique_Final[[#This Row],[Commentaires]]&lt;&gt;"",tbl_Historique_Final[[#This Row],[Commentaires]],""),"")</f>
        <v/>
      </c>
      <c r="X1685" s="8" t="str">
        <f>IF(Final_Sans_VGE[[#This Row],[ppn_z]]="","",IFERROR(
   IF(_xlfn.XLOOKUP(Final_Sans_VGE[[#This Row],[ppn_z]],tbl_Historique_Final[ppn_z],tbl_Historique_Final[date_modif])=Final_Sans_VGE[[#This Row],[date_modif]],
      "Ancien",
      "Modifié"),
   "Nouveau"))</f>
        <v>Ancien</v>
      </c>
      <c r="AC1685"/>
      <c r="AD1685"/>
    </row>
    <row r="1686" spans="1:30" ht="60" x14ac:dyDescent="0.25">
      <c r="A1686" s="5" t="s">
        <v>5225</v>
      </c>
      <c r="B1686" s="1" t="s">
        <v>9754</v>
      </c>
      <c r="C1686" s="1" t="s">
        <v>61</v>
      </c>
      <c r="E1686" s="1" t="s">
        <v>119</v>
      </c>
      <c r="J1686" s="3">
        <v>46188.674189814818</v>
      </c>
      <c r="K1686" s="2" t="s">
        <v>9755</v>
      </c>
      <c r="L1686" s="1">
        <v>19</v>
      </c>
      <c r="M1686" s="1">
        <v>28</v>
      </c>
      <c r="N1686">
        <v>9</v>
      </c>
      <c r="O1686" s="3">
        <f>IF(
    R1686="Ancien",
    _xlfn.XLOOKUP(
        Final_Sans_VGE[[#This Row],[ppn_z]],
        tbl_Historique_Final[ppn_z],
        tbl_Historique_Final[Horodatage],
        ""
    ),
    Horodatage!$A$2
)</f>
        <v>46233.670796365739</v>
      </c>
      <c r="P1686" s="1" t="str">
        <f>IFERROR(IF(tbl_Historique_Final[[#This Row],[Commentaires]]&lt;&gt;"",tbl_Historique_Final[[#This Row],[Commentaires]],""),"")</f>
        <v/>
      </c>
      <c r="X1686" s="8" t="str">
        <f>IF(Final_Sans_VGE[[#This Row],[ppn_z]]="","",IFERROR(
   IF(_xlfn.XLOOKUP(Final_Sans_VGE[[#This Row],[ppn_z]],tbl_Historique_Final[ppn_z],tbl_Historique_Final[date_modif])=Final_Sans_VGE[[#This Row],[date_modif]],
      "Ancien",
      "Modifié"),
   "Nouveau"))</f>
        <v>Ancien</v>
      </c>
      <c r="AC1686"/>
      <c r="AD1686"/>
    </row>
    <row r="1687" spans="1:30" x14ac:dyDescent="0.25">
      <c r="A1687" s="5" t="s">
        <v>5222</v>
      </c>
      <c r="B1687" s="1" t="s">
        <v>9753</v>
      </c>
      <c r="C1687" s="1" t="s">
        <v>6683</v>
      </c>
      <c r="E1687" s="1" t="s">
        <v>82</v>
      </c>
      <c r="J1687" s="3">
        <v>46080.447013888886</v>
      </c>
      <c r="L1687" s="1">
        <v>3</v>
      </c>
      <c r="M1687" s="1">
        <v>3</v>
      </c>
      <c r="N1687">
        <v>0</v>
      </c>
      <c r="O1687" s="3">
        <f>IF(
    R1687="Ancien",
    _xlfn.XLOOKUP(
        Final_Sans_VGE[[#This Row],[ppn_z]],
        tbl_Historique_Final[ppn_z],
        tbl_Historique_Final[Horodatage],
        ""
    ),
    Horodatage!$A$2
)</f>
        <v>46233.670796365739</v>
      </c>
      <c r="P1687" s="1" t="str">
        <f>IFERROR(IF(tbl_Historique_Final[[#This Row],[Commentaires]]&lt;&gt;"",tbl_Historique_Final[[#This Row],[Commentaires]],""),"")</f>
        <v/>
      </c>
      <c r="X1687" s="8" t="str">
        <f>IF(Final_Sans_VGE[[#This Row],[ppn_z]]="","",IFERROR(
   IF(_xlfn.XLOOKUP(Final_Sans_VGE[[#This Row],[ppn_z]],tbl_Historique_Final[ppn_z],tbl_Historique_Final[date_modif])=Final_Sans_VGE[[#This Row],[date_modif]],
      "Ancien",
      "Modifié"),
   "Nouveau"))</f>
        <v>Ancien</v>
      </c>
      <c r="AC1687"/>
      <c r="AD1687"/>
    </row>
    <row r="1688" spans="1:30" x14ac:dyDescent="0.25">
      <c r="A1688" s="5" t="s">
        <v>5228</v>
      </c>
      <c r="B1688" s="1" t="s">
        <v>9756</v>
      </c>
      <c r="C1688" s="1" t="s">
        <v>7698</v>
      </c>
      <c r="E1688" s="1" t="s">
        <v>9757</v>
      </c>
      <c r="G1688" s="1" t="s">
        <v>10</v>
      </c>
      <c r="J1688" s="3">
        <v>46191.452627314815</v>
      </c>
      <c r="K1688" s="2" t="s">
        <v>9758</v>
      </c>
      <c r="L1688" s="1">
        <v>6</v>
      </c>
      <c r="M1688" s="1">
        <v>6</v>
      </c>
      <c r="N1688">
        <v>0</v>
      </c>
      <c r="O1688" s="3">
        <f>IF(
    R1688="Ancien",
    _xlfn.XLOOKUP(
        Final_Sans_VGE[[#This Row],[ppn_z]],
        tbl_Historique_Final[ppn_z],
        tbl_Historique_Final[Horodatage],
        ""
    ),
    Horodatage!$A$2
)</f>
        <v>46233.670796365739</v>
      </c>
      <c r="P1688" s="1" t="str">
        <f>IFERROR(IF(tbl_Historique_Final[[#This Row],[Commentaires]]&lt;&gt;"",tbl_Historique_Final[[#This Row],[Commentaires]],""),"")</f>
        <v/>
      </c>
      <c r="X1688" s="8" t="str">
        <f>IF(Final_Sans_VGE[[#This Row],[ppn_z]]="","",IFERROR(
   IF(_xlfn.XLOOKUP(Final_Sans_VGE[[#This Row],[ppn_z]],tbl_Historique_Final[ppn_z],tbl_Historique_Final[date_modif])=Final_Sans_VGE[[#This Row],[date_modif]],
      "Ancien",
      "Modifié"),
   "Nouveau"))</f>
        <v>Ancien</v>
      </c>
      <c r="AC1688"/>
      <c r="AD1688"/>
    </row>
    <row r="1689" spans="1:30" x14ac:dyDescent="0.25">
      <c r="A1689" s="5" t="s">
        <v>5231</v>
      </c>
      <c r="B1689" s="1" t="s">
        <v>9759</v>
      </c>
      <c r="C1689" s="1" t="s">
        <v>9760</v>
      </c>
      <c r="D1689" s="1" t="s">
        <v>14</v>
      </c>
      <c r="E1689" s="1" t="s">
        <v>6792</v>
      </c>
      <c r="F1689" s="1" t="s">
        <v>9761</v>
      </c>
      <c r="G1689" s="1" t="s">
        <v>10</v>
      </c>
      <c r="H1689" s="1" t="s">
        <v>140</v>
      </c>
      <c r="I1689" s="1" t="s">
        <v>9762</v>
      </c>
      <c r="J1689" s="3">
        <v>46194.405277777776</v>
      </c>
      <c r="K1689" s="2" t="s">
        <v>9763</v>
      </c>
      <c r="L1689" s="1">
        <v>58</v>
      </c>
      <c r="M1689" s="1">
        <v>64</v>
      </c>
      <c r="N1689">
        <v>6</v>
      </c>
      <c r="O1689" s="3">
        <f>IF(
    R1689="Ancien",
    _xlfn.XLOOKUP(
        Final_Sans_VGE[[#This Row],[ppn_z]],
        tbl_Historique_Final[ppn_z],
        tbl_Historique_Final[Horodatage],
        ""
    ),
    Horodatage!$A$2
)</f>
        <v>46233.670796365739</v>
      </c>
      <c r="P1689" s="1" t="str">
        <f>IFERROR(IF(tbl_Historique_Final[[#This Row],[Commentaires]]&lt;&gt;"",tbl_Historique_Final[[#This Row],[Commentaires]],""),"")</f>
        <v/>
      </c>
      <c r="X1689" s="8" t="str">
        <f>IF(Final_Sans_VGE[[#This Row],[ppn_z]]="","",IFERROR(
   IF(_xlfn.XLOOKUP(Final_Sans_VGE[[#This Row],[ppn_z]],tbl_Historique_Final[ppn_z],tbl_Historique_Final[date_modif])=Final_Sans_VGE[[#This Row],[date_modif]],
      "Ancien",
      "Modifié"),
   "Nouveau"))</f>
        <v>Ancien</v>
      </c>
      <c r="AC1689"/>
      <c r="AD1689"/>
    </row>
    <row r="1690" spans="1:30" ht="75" x14ac:dyDescent="0.25">
      <c r="A1690" s="5" t="s">
        <v>5234</v>
      </c>
      <c r="B1690" s="1" t="s">
        <v>9764</v>
      </c>
      <c r="C1690" s="1" t="s">
        <v>35</v>
      </c>
      <c r="D1690" s="1" t="s">
        <v>14</v>
      </c>
      <c r="G1690" s="1" t="s">
        <v>11</v>
      </c>
      <c r="H1690" s="1" t="s">
        <v>22</v>
      </c>
      <c r="I1690" s="1" t="s">
        <v>22</v>
      </c>
      <c r="J1690" s="3">
        <v>46203.72215277778</v>
      </c>
      <c r="K1690" s="2" t="s">
        <v>9765</v>
      </c>
      <c r="L1690" s="1">
        <v>8</v>
      </c>
      <c r="M1690" s="1">
        <v>10</v>
      </c>
      <c r="N1690">
        <v>2</v>
      </c>
      <c r="O1690" s="3">
        <f>IF(
    R1690="Ancien",
    _xlfn.XLOOKUP(
        Final_Sans_VGE[[#This Row],[ppn_z]],
        tbl_Historique_Final[ppn_z],
        tbl_Historique_Final[Horodatage],
        ""
    ),
    Horodatage!$A$2
)</f>
        <v>46233.670796365739</v>
      </c>
      <c r="P1690" s="1" t="str">
        <f>IFERROR(IF(tbl_Historique_Final[[#This Row],[Commentaires]]&lt;&gt;"",tbl_Historique_Final[[#This Row],[Commentaires]],""),"")</f>
        <v/>
      </c>
      <c r="X1690" s="8" t="str">
        <f>IF(Final_Sans_VGE[[#This Row],[ppn_z]]="","",IFERROR(
   IF(_xlfn.XLOOKUP(Final_Sans_VGE[[#This Row],[ppn_z]],tbl_Historique_Final[ppn_z],tbl_Historique_Final[date_modif])=Final_Sans_VGE[[#This Row],[date_modif]],
      "Ancien",
      "Modifié"),
   "Nouveau"))</f>
        <v>Ancien</v>
      </c>
      <c r="AC1690"/>
      <c r="AD1690"/>
    </row>
    <row r="1691" spans="1:30" x14ac:dyDescent="0.25">
      <c r="A1691" s="5" t="s">
        <v>5237</v>
      </c>
      <c r="B1691" s="1" t="s">
        <v>9766</v>
      </c>
      <c r="C1691" s="1" t="s">
        <v>9767</v>
      </c>
      <c r="E1691" s="1" t="s">
        <v>9768</v>
      </c>
      <c r="G1691" s="1" t="s">
        <v>10</v>
      </c>
      <c r="J1691" s="3">
        <v>46181.633159722223</v>
      </c>
      <c r="K1691" s="2" t="s">
        <v>9769</v>
      </c>
      <c r="L1691" s="1">
        <v>18</v>
      </c>
      <c r="M1691" s="1">
        <v>18</v>
      </c>
      <c r="N1691">
        <v>0</v>
      </c>
      <c r="O1691" s="3">
        <f>IF(
    R1691="Ancien",
    _xlfn.XLOOKUP(
        Final_Sans_VGE[[#This Row],[ppn_z]],
        tbl_Historique_Final[ppn_z],
        tbl_Historique_Final[Horodatage],
        ""
    ),
    Horodatage!$A$2
)</f>
        <v>46233.670796365739</v>
      </c>
      <c r="P1691" s="1" t="str">
        <f>IFERROR(IF(tbl_Historique_Final[[#This Row],[Commentaires]]&lt;&gt;"",tbl_Historique_Final[[#This Row],[Commentaires]],""),"")</f>
        <v/>
      </c>
      <c r="X1691" s="8" t="str">
        <f>IF(Final_Sans_VGE[[#This Row],[ppn_z]]="","",IFERROR(
   IF(_xlfn.XLOOKUP(Final_Sans_VGE[[#This Row],[ppn_z]],tbl_Historique_Final[ppn_z],tbl_Historique_Final[date_modif])=Final_Sans_VGE[[#This Row],[date_modif]],
      "Ancien",
      "Modifié"),
   "Nouveau"))</f>
        <v>Ancien</v>
      </c>
      <c r="AC1691"/>
      <c r="AD1691"/>
    </row>
    <row r="1692" spans="1:30" ht="45" x14ac:dyDescent="0.25">
      <c r="A1692" s="5" t="s">
        <v>5240</v>
      </c>
      <c r="B1692" s="1" t="s">
        <v>9770</v>
      </c>
      <c r="C1692" s="1" t="s">
        <v>39</v>
      </c>
      <c r="G1692" s="1" t="s">
        <v>10</v>
      </c>
      <c r="J1692" s="3">
        <v>46199.390532407408</v>
      </c>
      <c r="K1692" s="2" t="s">
        <v>9771</v>
      </c>
      <c r="L1692" s="1">
        <v>7</v>
      </c>
      <c r="M1692" s="1">
        <v>8</v>
      </c>
      <c r="N1692">
        <v>1</v>
      </c>
      <c r="O1692" s="3">
        <f>IF(
    R1692="Ancien",
    _xlfn.XLOOKUP(
        Final_Sans_VGE[[#This Row],[ppn_z]],
        tbl_Historique_Final[ppn_z],
        tbl_Historique_Final[Horodatage],
        ""
    ),
    Horodatage!$A$2
)</f>
        <v>46233.670796365739</v>
      </c>
      <c r="P1692" s="1" t="str">
        <f>IFERROR(IF(tbl_Historique_Final[[#This Row],[Commentaires]]&lt;&gt;"",tbl_Historique_Final[[#This Row],[Commentaires]],""),"")</f>
        <v/>
      </c>
      <c r="X1692" s="8" t="str">
        <f>IF(Final_Sans_VGE[[#This Row],[ppn_z]]="","",IFERROR(
   IF(_xlfn.XLOOKUP(Final_Sans_VGE[[#This Row],[ppn_z]],tbl_Historique_Final[ppn_z],tbl_Historique_Final[date_modif])=Final_Sans_VGE[[#This Row],[date_modif]],
      "Ancien",
      "Modifié"),
   "Nouveau"))</f>
        <v>Ancien</v>
      </c>
      <c r="AC1692"/>
      <c r="AD1692"/>
    </row>
    <row r="1693" spans="1:30" x14ac:dyDescent="0.25">
      <c r="A1693" s="5" t="s">
        <v>5243</v>
      </c>
      <c r="B1693" s="1" t="s">
        <v>9772</v>
      </c>
      <c r="C1693" s="1" t="s">
        <v>12</v>
      </c>
      <c r="G1693" s="1" t="s">
        <v>11</v>
      </c>
      <c r="J1693" s="3">
        <v>46190.483599537038</v>
      </c>
      <c r="K1693" s="2" t="s">
        <v>9773</v>
      </c>
      <c r="L1693" s="1">
        <v>8</v>
      </c>
      <c r="M1693" s="1">
        <v>10</v>
      </c>
      <c r="N1693">
        <v>2</v>
      </c>
      <c r="O1693" s="3">
        <f>IF(
    R1693="Ancien",
    _xlfn.XLOOKUP(
        Final_Sans_VGE[[#This Row],[ppn_z]],
        tbl_Historique_Final[ppn_z],
        tbl_Historique_Final[Horodatage],
        ""
    ),
    Horodatage!$A$2
)</f>
        <v>46233.670796365739</v>
      </c>
      <c r="P1693" s="1" t="str">
        <f>IFERROR(IF(tbl_Historique_Final[[#This Row],[Commentaires]]&lt;&gt;"",tbl_Historique_Final[[#This Row],[Commentaires]],""),"")</f>
        <v/>
      </c>
      <c r="X1693" s="8" t="str">
        <f>IF(Final_Sans_VGE[[#This Row],[ppn_z]]="","",IFERROR(
   IF(_xlfn.XLOOKUP(Final_Sans_VGE[[#This Row],[ppn_z]],tbl_Historique_Final[ppn_z],tbl_Historique_Final[date_modif])=Final_Sans_VGE[[#This Row],[date_modif]],
      "Ancien",
      "Modifié"),
   "Nouveau"))</f>
        <v>Ancien</v>
      </c>
      <c r="AC1693"/>
      <c r="AD1693"/>
    </row>
    <row r="1694" spans="1:30" x14ac:dyDescent="0.25">
      <c r="A1694" s="5" t="s">
        <v>5249</v>
      </c>
      <c r="B1694" s="1" t="s">
        <v>9775</v>
      </c>
      <c r="C1694" s="1" t="s">
        <v>65</v>
      </c>
      <c r="D1694" s="1" t="s">
        <v>14</v>
      </c>
      <c r="E1694" s="1" t="s">
        <v>38</v>
      </c>
      <c r="F1694" s="1" t="s">
        <v>14</v>
      </c>
      <c r="G1694" s="1" t="s">
        <v>11</v>
      </c>
      <c r="H1694" s="1" t="s">
        <v>22</v>
      </c>
      <c r="I1694" s="1" t="s">
        <v>22</v>
      </c>
      <c r="J1694" s="3">
        <v>46185.361932870372</v>
      </c>
      <c r="K1694" s="2" t="s">
        <v>9776</v>
      </c>
      <c r="L1694" s="1">
        <v>13</v>
      </c>
      <c r="M1694" s="1">
        <v>24</v>
      </c>
      <c r="N1694">
        <v>11</v>
      </c>
      <c r="O1694" s="3">
        <f>IF(
    R1694="Ancien",
    _xlfn.XLOOKUP(
        Final_Sans_VGE[[#This Row],[ppn_z]],
        tbl_Historique_Final[ppn_z],
        tbl_Historique_Final[Horodatage],
        ""
    ),
    Horodatage!$A$2
)</f>
        <v>46233.670796365739</v>
      </c>
      <c r="P1694" s="1" t="str">
        <f>IFERROR(IF(tbl_Historique_Final[[#This Row],[Commentaires]]&lt;&gt;"",tbl_Historique_Final[[#This Row],[Commentaires]],""),"")</f>
        <v/>
      </c>
      <c r="X1694" s="8" t="str">
        <f>IF(Final_Sans_VGE[[#This Row],[ppn_z]]="","",IFERROR(
   IF(_xlfn.XLOOKUP(Final_Sans_VGE[[#This Row],[ppn_z]],tbl_Historique_Final[ppn_z],tbl_Historique_Final[date_modif])=Final_Sans_VGE[[#This Row],[date_modif]],
      "Ancien",
      "Modifié"),
   "Nouveau"))</f>
        <v>Ancien</v>
      </c>
      <c r="AC1694"/>
      <c r="AD1694"/>
    </row>
    <row r="1695" spans="1:30" x14ac:dyDescent="0.25">
      <c r="A1695" s="5" t="s">
        <v>5246</v>
      </c>
      <c r="B1695" s="1" t="s">
        <v>9774</v>
      </c>
      <c r="C1695" s="1" t="s">
        <v>75</v>
      </c>
      <c r="J1695" s="3">
        <v>46105.676157407404</v>
      </c>
      <c r="L1695" s="1">
        <v>25</v>
      </c>
      <c r="M1695" s="1">
        <v>34</v>
      </c>
      <c r="N1695">
        <v>9</v>
      </c>
      <c r="O1695" s="3">
        <f>IF(
    R1695="Ancien",
    _xlfn.XLOOKUP(
        Final_Sans_VGE[[#This Row],[ppn_z]],
        tbl_Historique_Final[ppn_z],
        tbl_Historique_Final[Horodatage],
        ""
    ),
    Horodatage!$A$2
)</f>
        <v>46233.670796365739</v>
      </c>
      <c r="P1695" s="1" t="str">
        <f>IFERROR(IF(tbl_Historique_Final[[#This Row],[Commentaires]]&lt;&gt;"",tbl_Historique_Final[[#This Row],[Commentaires]],""),"")</f>
        <v/>
      </c>
      <c r="X1695" s="8" t="str">
        <f>IF(Final_Sans_VGE[[#This Row],[ppn_z]]="","",IFERROR(
   IF(_xlfn.XLOOKUP(Final_Sans_VGE[[#This Row],[ppn_z]],tbl_Historique_Final[ppn_z],tbl_Historique_Final[date_modif])=Final_Sans_VGE[[#This Row],[date_modif]],
      "Ancien",
      "Modifié"),
   "Nouveau"))</f>
        <v>Ancien</v>
      </c>
      <c r="AC1695"/>
      <c r="AD1695"/>
    </row>
    <row r="1696" spans="1:30" x14ac:dyDescent="0.25">
      <c r="A1696" s="5" t="s">
        <v>5252</v>
      </c>
      <c r="B1696" s="1" t="s">
        <v>9777</v>
      </c>
      <c r="C1696" s="1" t="s">
        <v>12</v>
      </c>
      <c r="G1696" s="1" t="s">
        <v>11</v>
      </c>
      <c r="J1696" s="3">
        <v>46196.394467592596</v>
      </c>
      <c r="K1696" s="2" t="s">
        <v>9778</v>
      </c>
      <c r="L1696" s="1">
        <v>1</v>
      </c>
      <c r="M1696" s="1">
        <v>1</v>
      </c>
      <c r="N1696">
        <v>0</v>
      </c>
      <c r="O1696" s="3">
        <f>IF(
    R1696="Ancien",
    _xlfn.XLOOKUP(
        Final_Sans_VGE[[#This Row],[ppn_z]],
        tbl_Historique_Final[ppn_z],
        tbl_Historique_Final[Horodatage],
        ""
    ),
    Horodatage!$A$2
)</f>
        <v>46233.670796365739</v>
      </c>
      <c r="P1696" s="1" t="str">
        <f>IFERROR(IF(tbl_Historique_Final[[#This Row],[Commentaires]]&lt;&gt;"",tbl_Historique_Final[[#This Row],[Commentaires]],""),"")</f>
        <v/>
      </c>
      <c r="X1696" s="8" t="str">
        <f>IF(Final_Sans_VGE[[#This Row],[ppn_z]]="","",IFERROR(
   IF(_xlfn.XLOOKUP(Final_Sans_VGE[[#This Row],[ppn_z]],tbl_Historique_Final[ppn_z],tbl_Historique_Final[date_modif])=Final_Sans_VGE[[#This Row],[date_modif]],
      "Ancien",
      "Modifié"),
   "Nouveau"))</f>
        <v>Ancien</v>
      </c>
      <c r="AC1696"/>
      <c r="AD1696"/>
    </row>
    <row r="1697" spans="1:30" x14ac:dyDescent="0.25">
      <c r="A1697" s="5" t="s">
        <v>5258</v>
      </c>
      <c r="B1697" s="1" t="s">
        <v>9780</v>
      </c>
      <c r="C1697" s="1" t="s">
        <v>12</v>
      </c>
      <c r="G1697" s="1" t="s">
        <v>10</v>
      </c>
      <c r="J1697" s="3">
        <v>46191.397743055553</v>
      </c>
      <c r="K1697" s="2" t="s">
        <v>9781</v>
      </c>
      <c r="L1697" s="1">
        <v>7</v>
      </c>
      <c r="M1697" s="1">
        <v>7</v>
      </c>
      <c r="N1697">
        <v>0</v>
      </c>
      <c r="O1697" s="3">
        <f>IF(
    R1697="Ancien",
    _xlfn.XLOOKUP(
        Final_Sans_VGE[[#This Row],[ppn_z]],
        tbl_Historique_Final[ppn_z],
        tbl_Historique_Final[Horodatage],
        ""
    ),
    Horodatage!$A$2
)</f>
        <v>46233.670796365739</v>
      </c>
      <c r="P1697" s="1" t="str">
        <f>IFERROR(IF(tbl_Historique_Final[[#This Row],[Commentaires]]&lt;&gt;"",tbl_Historique_Final[[#This Row],[Commentaires]],""),"")</f>
        <v/>
      </c>
      <c r="X1697" s="8" t="str">
        <f>IF(Final_Sans_VGE[[#This Row],[ppn_z]]="","",IFERROR(
   IF(_xlfn.XLOOKUP(Final_Sans_VGE[[#This Row],[ppn_z]],tbl_Historique_Final[ppn_z],tbl_Historique_Final[date_modif])=Final_Sans_VGE[[#This Row],[date_modif]],
      "Ancien",
      "Modifié"),
   "Nouveau"))</f>
        <v>Ancien</v>
      </c>
      <c r="AC1697"/>
      <c r="AD1697"/>
    </row>
    <row r="1698" spans="1:30" x14ac:dyDescent="0.25">
      <c r="A1698" s="5" t="s">
        <v>5255</v>
      </c>
      <c r="B1698" s="1" t="s">
        <v>9779</v>
      </c>
      <c r="C1698" s="1" t="s">
        <v>8381</v>
      </c>
      <c r="J1698" s="3">
        <v>46105.750925925924</v>
      </c>
      <c r="L1698" s="1">
        <v>28</v>
      </c>
      <c r="M1698" s="1">
        <v>32</v>
      </c>
      <c r="N1698">
        <v>4</v>
      </c>
      <c r="O1698" s="3">
        <f>IF(
    R1698="Ancien",
    _xlfn.XLOOKUP(
        Final_Sans_VGE[[#This Row],[ppn_z]],
        tbl_Historique_Final[ppn_z],
        tbl_Historique_Final[Horodatage],
        ""
    ),
    Horodatage!$A$2
)</f>
        <v>46233.670796365739</v>
      </c>
      <c r="P1698" s="1" t="str">
        <f>IFERROR(IF(tbl_Historique_Final[[#This Row],[Commentaires]]&lt;&gt;"",tbl_Historique_Final[[#This Row],[Commentaires]],""),"")</f>
        <v/>
      </c>
      <c r="X1698" s="8" t="str">
        <f>IF(Final_Sans_VGE[[#This Row],[ppn_z]]="","",IFERROR(
   IF(_xlfn.XLOOKUP(Final_Sans_VGE[[#This Row],[ppn_z]],tbl_Historique_Final[ppn_z],tbl_Historique_Final[date_modif])=Final_Sans_VGE[[#This Row],[date_modif]],
      "Ancien",
      "Modifié"),
   "Nouveau"))</f>
        <v>Ancien</v>
      </c>
      <c r="AC1698"/>
      <c r="AD1698"/>
    </row>
    <row r="1699" spans="1:30" x14ac:dyDescent="0.25">
      <c r="A1699" s="5" t="s">
        <v>5261</v>
      </c>
      <c r="B1699" s="1" t="s">
        <v>9782</v>
      </c>
      <c r="G1699" s="1" t="s">
        <v>10</v>
      </c>
      <c r="J1699" s="3">
        <v>46187.398055555554</v>
      </c>
      <c r="K1699" s="2" t="s">
        <v>6935</v>
      </c>
      <c r="L1699" s="1">
        <v>7</v>
      </c>
      <c r="M1699" s="1">
        <v>14</v>
      </c>
      <c r="N1699">
        <v>7</v>
      </c>
      <c r="O1699" s="3">
        <f>IF(
    R1699="Ancien",
    _xlfn.XLOOKUP(
        Final_Sans_VGE[[#This Row],[ppn_z]],
        tbl_Historique_Final[ppn_z],
        tbl_Historique_Final[Horodatage],
        ""
    ),
    Horodatage!$A$2
)</f>
        <v>46233.670796365739</v>
      </c>
      <c r="P1699" s="1" t="str">
        <f>IFERROR(IF(tbl_Historique_Final[[#This Row],[Commentaires]]&lt;&gt;"",tbl_Historique_Final[[#This Row],[Commentaires]],""),"")</f>
        <v/>
      </c>
      <c r="X1699" s="8" t="str">
        <f>IF(Final_Sans_VGE[[#This Row],[ppn_z]]="","",IFERROR(
   IF(_xlfn.XLOOKUP(Final_Sans_VGE[[#This Row],[ppn_z]],tbl_Historique_Final[ppn_z],tbl_Historique_Final[date_modif])=Final_Sans_VGE[[#This Row],[date_modif]],
      "Ancien",
      "Modifié"),
   "Nouveau"))</f>
        <v>Ancien</v>
      </c>
      <c r="AC1699"/>
      <c r="AD1699"/>
    </row>
    <row r="1700" spans="1:30" x14ac:dyDescent="0.25">
      <c r="A1700" s="5" t="s">
        <v>5264</v>
      </c>
      <c r="B1700" s="1" t="s">
        <v>9783</v>
      </c>
      <c r="C1700" s="1" t="s">
        <v>97</v>
      </c>
      <c r="E1700" s="1" t="s">
        <v>9784</v>
      </c>
      <c r="G1700" s="1" t="s">
        <v>10</v>
      </c>
      <c r="J1700" s="3">
        <v>46190.661932870367</v>
      </c>
      <c r="K1700" s="2" t="s">
        <v>9785</v>
      </c>
      <c r="L1700" s="1">
        <v>6</v>
      </c>
      <c r="M1700" s="1">
        <v>7</v>
      </c>
      <c r="N1700">
        <v>1</v>
      </c>
      <c r="O1700" s="3">
        <f>IF(
    R1700="Ancien",
    _xlfn.XLOOKUP(
        Final_Sans_VGE[[#This Row],[ppn_z]],
        tbl_Historique_Final[ppn_z],
        tbl_Historique_Final[Horodatage],
        ""
    ),
    Horodatage!$A$2
)</f>
        <v>46233.670796365739</v>
      </c>
      <c r="P1700" s="1" t="str">
        <f>IFERROR(IF(tbl_Historique_Final[[#This Row],[Commentaires]]&lt;&gt;"",tbl_Historique_Final[[#This Row],[Commentaires]],""),"")</f>
        <v/>
      </c>
      <c r="X1700" s="8" t="str">
        <f>IF(Final_Sans_VGE[[#This Row],[ppn_z]]="","",IFERROR(
   IF(_xlfn.XLOOKUP(Final_Sans_VGE[[#This Row],[ppn_z]],tbl_Historique_Final[ppn_z],tbl_Historique_Final[date_modif])=Final_Sans_VGE[[#This Row],[date_modif]],
      "Ancien",
      "Modifié"),
   "Nouveau"))</f>
        <v>Ancien</v>
      </c>
      <c r="AC1700"/>
      <c r="AD1700"/>
    </row>
    <row r="1701" spans="1:30" ht="30" x14ac:dyDescent="0.25">
      <c r="A1701" s="5" t="s">
        <v>5270</v>
      </c>
      <c r="B1701" s="1" t="s">
        <v>9787</v>
      </c>
      <c r="C1701" s="1" t="s">
        <v>12</v>
      </c>
      <c r="G1701" s="1" t="s">
        <v>10</v>
      </c>
      <c r="J1701" s="3">
        <v>46191.599016203705</v>
      </c>
      <c r="K1701" s="2" t="s">
        <v>9788</v>
      </c>
      <c r="L1701" s="1">
        <v>0</v>
      </c>
      <c r="M1701" s="1">
        <v>1</v>
      </c>
      <c r="N1701">
        <v>1</v>
      </c>
      <c r="O1701" s="3">
        <f>IF(
    R1701="Ancien",
    _xlfn.XLOOKUP(
        Final_Sans_VGE[[#This Row],[ppn_z]],
        tbl_Historique_Final[ppn_z],
        tbl_Historique_Final[Horodatage],
        ""
    ),
    Horodatage!$A$2
)</f>
        <v>46233.670796365739</v>
      </c>
      <c r="P1701" s="1" t="str">
        <f>IFERROR(IF(tbl_Historique_Final[[#This Row],[Commentaires]]&lt;&gt;"",tbl_Historique_Final[[#This Row],[Commentaires]],""),"")</f>
        <v/>
      </c>
      <c r="X1701" s="8" t="str">
        <f>IF(Final_Sans_VGE[[#This Row],[ppn_z]]="","",IFERROR(
   IF(_xlfn.XLOOKUP(Final_Sans_VGE[[#This Row],[ppn_z]],tbl_Historique_Final[ppn_z],tbl_Historique_Final[date_modif])=Final_Sans_VGE[[#This Row],[date_modif]],
      "Ancien",
      "Modifié"),
   "Nouveau"))</f>
        <v>Ancien</v>
      </c>
      <c r="AC1701"/>
      <c r="AD1701"/>
    </row>
    <row r="1702" spans="1:30" x14ac:dyDescent="0.25">
      <c r="A1702" s="5" t="s">
        <v>5267</v>
      </c>
      <c r="B1702" s="1" t="s">
        <v>9786</v>
      </c>
      <c r="C1702" s="1" t="s">
        <v>6482</v>
      </c>
      <c r="J1702" s="3">
        <v>46112.542129629626</v>
      </c>
      <c r="L1702" s="1">
        <v>5</v>
      </c>
      <c r="M1702" s="1">
        <v>5</v>
      </c>
      <c r="N1702">
        <v>0</v>
      </c>
      <c r="O1702" s="3">
        <f>IF(
    R1702="Ancien",
    _xlfn.XLOOKUP(
        Final_Sans_VGE[[#This Row],[ppn_z]],
        tbl_Historique_Final[ppn_z],
        tbl_Historique_Final[Horodatage],
        ""
    ),
    Horodatage!$A$2
)</f>
        <v>46233.670796365739</v>
      </c>
      <c r="P1702" s="1" t="str">
        <f>IFERROR(IF(tbl_Historique_Final[[#This Row],[Commentaires]]&lt;&gt;"",tbl_Historique_Final[[#This Row],[Commentaires]],""),"")</f>
        <v/>
      </c>
      <c r="X1702" s="8" t="str">
        <f>IF(Final_Sans_VGE[[#This Row],[ppn_z]]="","",IFERROR(
   IF(_xlfn.XLOOKUP(Final_Sans_VGE[[#This Row],[ppn_z]],tbl_Historique_Final[ppn_z],tbl_Historique_Final[date_modif])=Final_Sans_VGE[[#This Row],[date_modif]],
      "Ancien",
      "Modifié"),
   "Nouveau"))</f>
        <v>Ancien</v>
      </c>
      <c r="AC1702"/>
      <c r="AD1702"/>
    </row>
    <row r="1703" spans="1:30" ht="255" x14ac:dyDescent="0.25">
      <c r="A1703" s="5" t="s">
        <v>5273</v>
      </c>
      <c r="B1703" s="1" t="s">
        <v>9789</v>
      </c>
      <c r="J1703" s="3">
        <v>46173.366261574076</v>
      </c>
      <c r="K1703" s="2" t="s">
        <v>9790</v>
      </c>
      <c r="L1703" s="1">
        <v>155</v>
      </c>
      <c r="M1703" s="1">
        <v>157</v>
      </c>
      <c r="N1703">
        <v>2</v>
      </c>
      <c r="O1703" s="3">
        <f>IF(
    R1703="Ancien",
    _xlfn.XLOOKUP(
        Final_Sans_VGE[[#This Row],[ppn_z]],
        tbl_Historique_Final[ppn_z],
        tbl_Historique_Final[Horodatage],
        ""
    ),
    Horodatage!$A$2
)</f>
        <v>46233.670796365739</v>
      </c>
      <c r="P1703" s="1" t="str">
        <f>IFERROR(IF(tbl_Historique_Final[[#This Row],[Commentaires]]&lt;&gt;"",tbl_Historique_Final[[#This Row],[Commentaires]],""),"")</f>
        <v/>
      </c>
      <c r="X1703" s="8" t="str">
        <f>IF(Final_Sans_VGE[[#This Row],[ppn_z]]="","",IFERROR(
   IF(_xlfn.XLOOKUP(Final_Sans_VGE[[#This Row],[ppn_z]],tbl_Historique_Final[ppn_z],tbl_Historique_Final[date_modif])=Final_Sans_VGE[[#This Row],[date_modif]],
      "Ancien",
      "Modifié"),
   "Nouveau"))</f>
        <v>Ancien</v>
      </c>
      <c r="AC1703"/>
      <c r="AD1703"/>
    </row>
    <row r="1704" spans="1:30" ht="30" x14ac:dyDescent="0.25">
      <c r="A1704" s="5" t="s">
        <v>5276</v>
      </c>
      <c r="B1704" s="1" t="s">
        <v>9791</v>
      </c>
      <c r="C1704" s="1" t="s">
        <v>74</v>
      </c>
      <c r="D1704" s="1" t="s">
        <v>9792</v>
      </c>
      <c r="E1704" s="1" t="s">
        <v>38</v>
      </c>
      <c r="F1704" s="1" t="s">
        <v>14</v>
      </c>
      <c r="H1704" s="1" t="s">
        <v>8721</v>
      </c>
      <c r="I1704" s="1" t="s">
        <v>9793</v>
      </c>
      <c r="J1704" s="3">
        <v>46180.402361111112</v>
      </c>
      <c r="K1704" s="2" t="s">
        <v>9794</v>
      </c>
      <c r="L1704" s="1">
        <v>31</v>
      </c>
      <c r="M1704" s="1">
        <v>34</v>
      </c>
      <c r="N1704">
        <v>3</v>
      </c>
      <c r="O1704" s="3">
        <f>IF(
    R1704="Ancien",
    _xlfn.XLOOKUP(
        Final_Sans_VGE[[#This Row],[ppn_z]],
        tbl_Historique_Final[ppn_z],
        tbl_Historique_Final[Horodatage],
        ""
    ),
    Horodatage!$A$2
)</f>
        <v>46233.670796365739</v>
      </c>
      <c r="P1704" s="1" t="str">
        <f>IFERROR(IF(tbl_Historique_Final[[#This Row],[Commentaires]]&lt;&gt;"",tbl_Historique_Final[[#This Row],[Commentaires]],""),"")</f>
        <v/>
      </c>
      <c r="X1704" s="8" t="str">
        <f>IF(Final_Sans_VGE[[#This Row],[ppn_z]]="","",IFERROR(
   IF(_xlfn.XLOOKUP(Final_Sans_VGE[[#This Row],[ppn_z]],tbl_Historique_Final[ppn_z],tbl_Historique_Final[date_modif])=Final_Sans_VGE[[#This Row],[date_modif]],
      "Ancien",
      "Modifié"),
   "Nouveau"))</f>
        <v>Ancien</v>
      </c>
      <c r="AC1704"/>
      <c r="AD1704"/>
    </row>
    <row r="1705" spans="1:30" ht="30" x14ac:dyDescent="0.25">
      <c r="A1705" s="5" t="s">
        <v>5279</v>
      </c>
      <c r="B1705" s="1" t="s">
        <v>9795</v>
      </c>
      <c r="C1705" s="1" t="s">
        <v>89</v>
      </c>
      <c r="E1705" s="1" t="s">
        <v>112</v>
      </c>
      <c r="G1705" s="1" t="s">
        <v>10</v>
      </c>
      <c r="J1705" s="3">
        <v>46190.457939814813</v>
      </c>
      <c r="K1705" s="2" t="s">
        <v>9796</v>
      </c>
      <c r="L1705" s="1">
        <v>4</v>
      </c>
      <c r="M1705" s="1">
        <v>7</v>
      </c>
      <c r="N1705">
        <v>3</v>
      </c>
      <c r="O1705" s="3">
        <f>IF(
    R1705="Ancien",
    _xlfn.XLOOKUP(
        Final_Sans_VGE[[#This Row],[ppn_z]],
        tbl_Historique_Final[ppn_z],
        tbl_Historique_Final[Horodatage],
        ""
    ),
    Horodatage!$A$2
)</f>
        <v>46233.670796365739</v>
      </c>
      <c r="P1705" s="1" t="str">
        <f>IFERROR(IF(tbl_Historique_Final[[#This Row],[Commentaires]]&lt;&gt;"",tbl_Historique_Final[[#This Row],[Commentaires]],""),"")</f>
        <v/>
      </c>
      <c r="X1705" s="8" t="str">
        <f>IF(Final_Sans_VGE[[#This Row],[ppn_z]]="","",IFERROR(
   IF(_xlfn.XLOOKUP(Final_Sans_VGE[[#This Row],[ppn_z]],tbl_Historique_Final[ppn_z],tbl_Historique_Final[date_modif])=Final_Sans_VGE[[#This Row],[date_modif]],
      "Ancien",
      "Modifié"),
   "Nouveau"))</f>
        <v>Ancien</v>
      </c>
      <c r="AC1705"/>
      <c r="AD1705"/>
    </row>
    <row r="1706" spans="1:30" x14ac:dyDescent="0.25">
      <c r="A1706" s="5" t="s">
        <v>5282</v>
      </c>
      <c r="B1706" s="1" t="s">
        <v>9797</v>
      </c>
      <c r="C1706" s="1" t="s">
        <v>76</v>
      </c>
      <c r="D1706" s="1" t="s">
        <v>14</v>
      </c>
      <c r="G1706" s="1" t="s">
        <v>10</v>
      </c>
      <c r="H1706" s="1" t="s">
        <v>22</v>
      </c>
      <c r="I1706" s="1" t="s">
        <v>22</v>
      </c>
      <c r="J1706" s="3">
        <v>46194.402268518519</v>
      </c>
      <c r="K1706" s="2" t="s">
        <v>7985</v>
      </c>
      <c r="L1706" s="1">
        <v>48</v>
      </c>
      <c r="M1706" s="1">
        <v>51</v>
      </c>
      <c r="N1706">
        <v>3</v>
      </c>
      <c r="O1706" s="3">
        <f>IF(
    R1706="Ancien",
    _xlfn.XLOOKUP(
        Final_Sans_VGE[[#This Row],[ppn_z]],
        tbl_Historique_Final[ppn_z],
        tbl_Historique_Final[Horodatage],
        ""
    ),
    Horodatage!$A$2
)</f>
        <v>46233.670796365739</v>
      </c>
      <c r="P1706" s="1" t="str">
        <f>IFERROR(IF(tbl_Historique_Final[[#This Row],[Commentaires]]&lt;&gt;"",tbl_Historique_Final[[#This Row],[Commentaires]],""),"")</f>
        <v/>
      </c>
      <c r="X1706" s="8" t="str">
        <f>IF(Final_Sans_VGE[[#This Row],[ppn_z]]="","",IFERROR(
   IF(_xlfn.XLOOKUP(Final_Sans_VGE[[#This Row],[ppn_z]],tbl_Historique_Final[ppn_z],tbl_Historique_Final[date_modif])=Final_Sans_VGE[[#This Row],[date_modif]],
      "Ancien",
      "Modifié"),
   "Nouveau"))</f>
        <v>Ancien</v>
      </c>
      <c r="AC1706"/>
      <c r="AD1706"/>
    </row>
    <row r="1707" spans="1:30" x14ac:dyDescent="0.25">
      <c r="A1707" s="5" t="s">
        <v>5285</v>
      </c>
      <c r="B1707" s="1" t="s">
        <v>9798</v>
      </c>
      <c r="C1707" s="1" t="s">
        <v>12</v>
      </c>
      <c r="G1707" s="1" t="s">
        <v>11</v>
      </c>
      <c r="J1707" s="3">
        <v>46199.432881944442</v>
      </c>
      <c r="K1707" s="2" t="s">
        <v>9799</v>
      </c>
      <c r="L1707" s="1">
        <v>5</v>
      </c>
      <c r="M1707" s="1">
        <v>6</v>
      </c>
      <c r="N1707">
        <v>1</v>
      </c>
      <c r="O1707" s="3">
        <f>IF(
    R1707="Ancien",
    _xlfn.XLOOKUP(
        Final_Sans_VGE[[#This Row],[ppn_z]],
        tbl_Historique_Final[ppn_z],
        tbl_Historique_Final[Horodatage],
        ""
    ),
    Horodatage!$A$2
)</f>
        <v>46233.670796365739</v>
      </c>
      <c r="P1707" s="1" t="str">
        <f>IFERROR(IF(tbl_Historique_Final[[#This Row],[Commentaires]]&lt;&gt;"",tbl_Historique_Final[[#This Row],[Commentaires]],""),"")</f>
        <v/>
      </c>
      <c r="X1707" s="8" t="str">
        <f>IF(Final_Sans_VGE[[#This Row],[ppn_z]]="","",IFERROR(
   IF(_xlfn.XLOOKUP(Final_Sans_VGE[[#This Row],[ppn_z]],tbl_Historique_Final[ppn_z],tbl_Historique_Final[date_modif])=Final_Sans_VGE[[#This Row],[date_modif]],
      "Ancien",
      "Modifié"),
   "Nouveau"))</f>
        <v>Ancien</v>
      </c>
      <c r="AC1707"/>
      <c r="AD1707"/>
    </row>
    <row r="1708" spans="1:30" ht="30" x14ac:dyDescent="0.25">
      <c r="A1708" s="5" t="s">
        <v>5288</v>
      </c>
      <c r="B1708" s="1" t="s">
        <v>9800</v>
      </c>
      <c r="C1708" s="1" t="s">
        <v>12</v>
      </c>
      <c r="G1708" s="1" t="s">
        <v>10</v>
      </c>
      <c r="J1708" s="3">
        <v>46191.375625000001</v>
      </c>
      <c r="K1708" s="2" t="s">
        <v>9801</v>
      </c>
      <c r="L1708" s="1">
        <v>6</v>
      </c>
      <c r="M1708" s="1">
        <v>6</v>
      </c>
      <c r="N1708">
        <v>0</v>
      </c>
      <c r="O1708" s="3">
        <f>IF(
    R1708="Ancien",
    _xlfn.XLOOKUP(
        Final_Sans_VGE[[#This Row],[ppn_z]],
        tbl_Historique_Final[ppn_z],
        tbl_Historique_Final[Horodatage],
        ""
    ),
    Horodatage!$A$2
)</f>
        <v>46233.670796365739</v>
      </c>
      <c r="P1708" s="1" t="str">
        <f>IFERROR(IF(tbl_Historique_Final[[#This Row],[Commentaires]]&lt;&gt;"",tbl_Historique_Final[[#This Row],[Commentaires]],""),"")</f>
        <v/>
      </c>
      <c r="X1708" s="8" t="str">
        <f>IF(Final_Sans_VGE[[#This Row],[ppn_z]]="","",IFERROR(
   IF(_xlfn.XLOOKUP(Final_Sans_VGE[[#This Row],[ppn_z]],tbl_Historique_Final[ppn_z],tbl_Historique_Final[date_modif])=Final_Sans_VGE[[#This Row],[date_modif]],
      "Ancien",
      "Modifié"),
   "Nouveau"))</f>
        <v>Ancien</v>
      </c>
      <c r="AC1708"/>
      <c r="AD1708"/>
    </row>
    <row r="1709" spans="1:30" x14ac:dyDescent="0.25">
      <c r="A1709" s="5" t="s">
        <v>5291</v>
      </c>
      <c r="B1709" s="1" t="s">
        <v>9802</v>
      </c>
      <c r="C1709" s="1" t="s">
        <v>6473</v>
      </c>
      <c r="E1709" s="1" t="s">
        <v>115</v>
      </c>
      <c r="G1709" s="1" t="s">
        <v>10</v>
      </c>
      <c r="J1709" s="3">
        <v>46190.650266203702</v>
      </c>
      <c r="K1709" s="2" t="s">
        <v>9803</v>
      </c>
      <c r="L1709" s="1">
        <v>0</v>
      </c>
      <c r="M1709" s="1">
        <v>1</v>
      </c>
      <c r="N1709">
        <v>1</v>
      </c>
      <c r="O1709" s="3">
        <f>IF(
    R1709="Ancien",
    _xlfn.XLOOKUP(
        Final_Sans_VGE[[#This Row],[ppn_z]],
        tbl_Historique_Final[ppn_z],
        tbl_Historique_Final[Horodatage],
        ""
    ),
    Horodatage!$A$2
)</f>
        <v>46233.670796365739</v>
      </c>
      <c r="P1709" s="1" t="str">
        <f>IFERROR(IF(tbl_Historique_Final[[#This Row],[Commentaires]]&lt;&gt;"",tbl_Historique_Final[[#This Row],[Commentaires]],""),"")</f>
        <v/>
      </c>
      <c r="X1709" s="8" t="str">
        <f>IF(Final_Sans_VGE[[#This Row],[ppn_z]]="","",IFERROR(
   IF(_xlfn.XLOOKUP(Final_Sans_VGE[[#This Row],[ppn_z]],tbl_Historique_Final[ppn_z],tbl_Historique_Final[date_modif])=Final_Sans_VGE[[#This Row],[date_modif]],
      "Ancien",
      "Modifié"),
   "Nouveau"))</f>
        <v>Ancien</v>
      </c>
      <c r="AC1709"/>
      <c r="AD1709"/>
    </row>
    <row r="1710" spans="1:30" x14ac:dyDescent="0.25">
      <c r="A1710" s="5" t="s">
        <v>5294</v>
      </c>
      <c r="B1710" s="1" t="s">
        <v>9804</v>
      </c>
      <c r="C1710" s="1" t="s">
        <v>65</v>
      </c>
      <c r="G1710" s="1" t="s">
        <v>11</v>
      </c>
      <c r="J1710" s="3">
        <v>46187.404988425929</v>
      </c>
      <c r="K1710" s="2" t="s">
        <v>9805</v>
      </c>
      <c r="L1710" s="1">
        <v>5</v>
      </c>
      <c r="M1710" s="1">
        <v>5</v>
      </c>
      <c r="N1710">
        <v>0</v>
      </c>
      <c r="O1710" s="3">
        <f>IF(
    R1710="Ancien",
    _xlfn.XLOOKUP(
        Final_Sans_VGE[[#This Row],[ppn_z]],
        tbl_Historique_Final[ppn_z],
        tbl_Historique_Final[Horodatage],
        ""
    ),
    Horodatage!$A$2
)</f>
        <v>46233.670796365739</v>
      </c>
      <c r="P1710" s="1" t="str">
        <f>IFERROR(IF(tbl_Historique_Final[[#This Row],[Commentaires]]&lt;&gt;"",tbl_Historique_Final[[#This Row],[Commentaires]],""),"")</f>
        <v/>
      </c>
      <c r="X1710" s="8" t="str">
        <f>IF(Final_Sans_VGE[[#This Row],[ppn_z]]="","",IFERROR(
   IF(_xlfn.XLOOKUP(Final_Sans_VGE[[#This Row],[ppn_z]],tbl_Historique_Final[ppn_z],tbl_Historique_Final[date_modif])=Final_Sans_VGE[[#This Row],[date_modif]],
      "Ancien",
      "Modifié"),
   "Nouveau"))</f>
        <v>Ancien</v>
      </c>
      <c r="AC1710"/>
      <c r="AD1710"/>
    </row>
    <row r="1711" spans="1:30" ht="45" x14ac:dyDescent="0.25">
      <c r="A1711" s="5" t="s">
        <v>5297</v>
      </c>
      <c r="B1711" s="1" t="s">
        <v>9806</v>
      </c>
      <c r="C1711" s="1" t="s">
        <v>80</v>
      </c>
      <c r="H1711" s="1" t="s">
        <v>22</v>
      </c>
      <c r="I1711" s="1" t="s">
        <v>22</v>
      </c>
      <c r="J1711" s="3">
        <v>46187.380196759259</v>
      </c>
      <c r="K1711" s="2" t="s">
        <v>9807</v>
      </c>
      <c r="L1711" s="1">
        <v>49</v>
      </c>
      <c r="M1711" s="1">
        <v>58</v>
      </c>
      <c r="N1711">
        <v>9</v>
      </c>
      <c r="O1711" s="3">
        <f>IF(
    R1711="Ancien",
    _xlfn.XLOOKUP(
        Final_Sans_VGE[[#This Row],[ppn_z]],
        tbl_Historique_Final[ppn_z],
        tbl_Historique_Final[Horodatage],
        ""
    ),
    Horodatage!$A$2
)</f>
        <v>46233.670796365739</v>
      </c>
      <c r="P1711" s="1" t="str">
        <f>IFERROR(IF(tbl_Historique_Final[[#This Row],[Commentaires]]&lt;&gt;"",tbl_Historique_Final[[#This Row],[Commentaires]],""),"")</f>
        <v/>
      </c>
      <c r="X1711" s="8" t="str">
        <f>IF(Final_Sans_VGE[[#This Row],[ppn_z]]="","",IFERROR(
   IF(_xlfn.XLOOKUP(Final_Sans_VGE[[#This Row],[ppn_z]],tbl_Historique_Final[ppn_z],tbl_Historique_Final[date_modif])=Final_Sans_VGE[[#This Row],[date_modif]],
      "Ancien",
      "Modifié"),
   "Nouveau"))</f>
        <v>Ancien</v>
      </c>
      <c r="AC1711"/>
      <c r="AD1711"/>
    </row>
    <row r="1712" spans="1:30" x14ac:dyDescent="0.25">
      <c r="A1712" s="5" t="s">
        <v>5300</v>
      </c>
      <c r="B1712" s="1" t="s">
        <v>9808</v>
      </c>
      <c r="C1712" s="1" t="s">
        <v>12</v>
      </c>
      <c r="G1712" s="1" t="s">
        <v>10</v>
      </c>
      <c r="J1712" s="3">
        <v>46196.38962962963</v>
      </c>
      <c r="K1712" s="2" t="s">
        <v>6771</v>
      </c>
      <c r="L1712" s="1">
        <v>1</v>
      </c>
      <c r="M1712" s="1">
        <v>1</v>
      </c>
      <c r="N1712">
        <v>0</v>
      </c>
      <c r="O1712" s="3">
        <f>IF(
    R1712="Ancien",
    _xlfn.XLOOKUP(
        Final_Sans_VGE[[#This Row],[ppn_z]],
        tbl_Historique_Final[ppn_z],
        tbl_Historique_Final[Horodatage],
        ""
    ),
    Horodatage!$A$2
)</f>
        <v>46233.670796365739</v>
      </c>
      <c r="P1712" s="1" t="str">
        <f>IFERROR(IF(tbl_Historique_Final[[#This Row],[Commentaires]]&lt;&gt;"",tbl_Historique_Final[[#This Row],[Commentaires]],""),"")</f>
        <v/>
      </c>
      <c r="X1712" s="8" t="str">
        <f>IF(Final_Sans_VGE[[#This Row],[ppn_z]]="","",IFERROR(
   IF(_xlfn.XLOOKUP(Final_Sans_VGE[[#This Row],[ppn_z]],tbl_Historique_Final[ppn_z],tbl_Historique_Final[date_modif])=Final_Sans_VGE[[#This Row],[date_modif]],
      "Ancien",
      "Modifié"),
   "Nouveau"))</f>
        <v>Ancien</v>
      </c>
      <c r="AC1712"/>
      <c r="AD1712"/>
    </row>
    <row r="1713" spans="1:30" x14ac:dyDescent="0.25">
      <c r="A1713" s="5" t="s">
        <v>5303</v>
      </c>
      <c r="B1713" s="1" t="s">
        <v>9809</v>
      </c>
      <c r="C1713" s="1" t="s">
        <v>6415</v>
      </c>
      <c r="D1713" s="1" t="s">
        <v>14</v>
      </c>
      <c r="E1713" s="1" t="s">
        <v>6683</v>
      </c>
      <c r="F1713" s="1" t="s">
        <v>8235</v>
      </c>
      <c r="G1713" s="1" t="s">
        <v>10</v>
      </c>
      <c r="H1713" s="1" t="s">
        <v>22</v>
      </c>
      <c r="I1713" s="1" t="s">
        <v>22</v>
      </c>
      <c r="J1713" s="3">
        <v>46185.461261574077</v>
      </c>
      <c r="K1713" s="2" t="s">
        <v>6638</v>
      </c>
      <c r="L1713" s="1">
        <v>8</v>
      </c>
      <c r="M1713" s="1">
        <v>11</v>
      </c>
      <c r="N1713">
        <v>3</v>
      </c>
      <c r="O1713" s="3">
        <f>IF(
    R1713="Ancien",
    _xlfn.XLOOKUP(
        Final_Sans_VGE[[#This Row],[ppn_z]],
        tbl_Historique_Final[ppn_z],
        tbl_Historique_Final[Horodatage],
        ""
    ),
    Horodatage!$A$2
)</f>
        <v>46233.670796365739</v>
      </c>
      <c r="P1713" s="1" t="str">
        <f>IFERROR(IF(tbl_Historique_Final[[#This Row],[Commentaires]]&lt;&gt;"",tbl_Historique_Final[[#This Row],[Commentaires]],""),"")</f>
        <v/>
      </c>
      <c r="X1713" s="8" t="str">
        <f>IF(Final_Sans_VGE[[#This Row],[ppn_z]]="","",IFERROR(
   IF(_xlfn.XLOOKUP(Final_Sans_VGE[[#This Row],[ppn_z]],tbl_Historique_Final[ppn_z],tbl_Historique_Final[date_modif])=Final_Sans_VGE[[#This Row],[date_modif]],
      "Ancien",
      "Modifié"),
   "Nouveau"))</f>
        <v>Ancien</v>
      </c>
      <c r="AC1713"/>
      <c r="AD1713"/>
    </row>
    <row r="1714" spans="1:30" x14ac:dyDescent="0.25">
      <c r="A1714" s="5" t="s">
        <v>5306</v>
      </c>
      <c r="B1714" s="1" t="s">
        <v>9810</v>
      </c>
      <c r="C1714" s="1" t="s">
        <v>6447</v>
      </c>
      <c r="D1714" s="1" t="s">
        <v>14</v>
      </c>
      <c r="G1714" s="1" t="s">
        <v>11</v>
      </c>
      <c r="H1714" s="1" t="s">
        <v>9811</v>
      </c>
      <c r="I1714" s="1" t="s">
        <v>22</v>
      </c>
      <c r="J1714" s="3">
        <v>46185.497314814813</v>
      </c>
      <c r="K1714" s="2" t="s">
        <v>9812</v>
      </c>
      <c r="L1714" s="1">
        <v>23</v>
      </c>
      <c r="M1714" s="1">
        <v>27</v>
      </c>
      <c r="N1714">
        <v>4</v>
      </c>
      <c r="O1714" s="3">
        <f>IF(
    R1714="Ancien",
    _xlfn.XLOOKUP(
        Final_Sans_VGE[[#This Row],[ppn_z]],
        tbl_Historique_Final[ppn_z],
        tbl_Historique_Final[Horodatage],
        ""
    ),
    Horodatage!$A$2
)</f>
        <v>46233.670796365739</v>
      </c>
      <c r="P1714" s="1" t="str">
        <f>IFERROR(IF(tbl_Historique_Final[[#This Row],[Commentaires]]&lt;&gt;"",tbl_Historique_Final[[#This Row],[Commentaires]],""),"")</f>
        <v/>
      </c>
      <c r="X1714" s="8" t="str">
        <f>IF(Final_Sans_VGE[[#This Row],[ppn_z]]="","",IFERROR(
   IF(_xlfn.XLOOKUP(Final_Sans_VGE[[#This Row],[ppn_z]],tbl_Historique_Final[ppn_z],tbl_Historique_Final[date_modif])=Final_Sans_VGE[[#This Row],[date_modif]],
      "Ancien",
      "Modifié"),
   "Nouveau"))</f>
        <v>Ancien</v>
      </c>
      <c r="AC1714"/>
      <c r="AD1714"/>
    </row>
    <row r="1715" spans="1:30" x14ac:dyDescent="0.25">
      <c r="A1715" s="5" t="s">
        <v>5309</v>
      </c>
      <c r="B1715" s="1" t="s">
        <v>9813</v>
      </c>
      <c r="C1715" s="1" t="s">
        <v>40</v>
      </c>
      <c r="D1715" s="1" t="s">
        <v>7870</v>
      </c>
      <c r="G1715" s="1" t="s">
        <v>10</v>
      </c>
      <c r="H1715" s="1" t="s">
        <v>22</v>
      </c>
      <c r="I1715" s="1" t="s">
        <v>22</v>
      </c>
      <c r="J1715" s="3">
        <v>46194.408032407409</v>
      </c>
      <c r="K1715" s="2" t="s">
        <v>9814</v>
      </c>
      <c r="L1715" s="1">
        <v>12</v>
      </c>
      <c r="M1715" s="1">
        <v>14</v>
      </c>
      <c r="N1715">
        <v>2</v>
      </c>
      <c r="O1715" s="3">
        <f>IF(
    R1715="Ancien",
    _xlfn.XLOOKUP(
        Final_Sans_VGE[[#This Row],[ppn_z]],
        tbl_Historique_Final[ppn_z],
        tbl_Historique_Final[Horodatage],
        ""
    ),
    Horodatage!$A$2
)</f>
        <v>46233.670796365739</v>
      </c>
      <c r="P1715" s="1" t="str">
        <f>IFERROR(IF(tbl_Historique_Final[[#This Row],[Commentaires]]&lt;&gt;"",tbl_Historique_Final[[#This Row],[Commentaires]],""),"")</f>
        <v/>
      </c>
      <c r="X1715" s="8" t="str">
        <f>IF(Final_Sans_VGE[[#This Row],[ppn_z]]="","",IFERROR(
   IF(_xlfn.XLOOKUP(Final_Sans_VGE[[#This Row],[ppn_z]],tbl_Historique_Final[ppn_z],tbl_Historique_Final[date_modif])=Final_Sans_VGE[[#This Row],[date_modif]],
      "Ancien",
      "Modifié"),
   "Nouveau"))</f>
        <v>Ancien</v>
      </c>
      <c r="AC1715"/>
      <c r="AD1715"/>
    </row>
    <row r="1716" spans="1:30" x14ac:dyDescent="0.25">
      <c r="A1716" s="5" t="s">
        <v>5315</v>
      </c>
      <c r="B1716" s="1" t="s">
        <v>9816</v>
      </c>
      <c r="C1716" s="1" t="s">
        <v>74</v>
      </c>
      <c r="G1716" s="1" t="s">
        <v>10</v>
      </c>
      <c r="J1716" s="3">
        <v>46190.369004629632</v>
      </c>
      <c r="K1716" s="2" t="s">
        <v>9817</v>
      </c>
      <c r="L1716" s="1">
        <v>5</v>
      </c>
      <c r="M1716" s="1">
        <v>5</v>
      </c>
      <c r="N1716">
        <v>0</v>
      </c>
      <c r="O1716" s="3">
        <f>IF(
    R1716="Ancien",
    _xlfn.XLOOKUP(
        Final_Sans_VGE[[#This Row],[ppn_z]],
        tbl_Historique_Final[ppn_z],
        tbl_Historique_Final[Horodatage],
        ""
    ),
    Horodatage!$A$2
)</f>
        <v>46233.670796365739</v>
      </c>
      <c r="P1716" s="1" t="str">
        <f>IFERROR(IF(tbl_Historique_Final[[#This Row],[Commentaires]]&lt;&gt;"",tbl_Historique_Final[[#This Row],[Commentaires]],""),"")</f>
        <v/>
      </c>
      <c r="X1716" s="8" t="str">
        <f>IF(Final_Sans_VGE[[#This Row],[ppn_z]]="","",IFERROR(
   IF(_xlfn.XLOOKUP(Final_Sans_VGE[[#This Row],[ppn_z]],tbl_Historique_Final[ppn_z],tbl_Historique_Final[date_modif])=Final_Sans_VGE[[#This Row],[date_modif]],
      "Ancien",
      "Modifié"),
   "Nouveau"))</f>
        <v>Ancien</v>
      </c>
      <c r="AC1716"/>
      <c r="AD1716"/>
    </row>
    <row r="1717" spans="1:30" x14ac:dyDescent="0.25">
      <c r="A1717" s="5" t="s">
        <v>5312</v>
      </c>
      <c r="B1717" s="1" t="s">
        <v>9815</v>
      </c>
      <c r="J1717" s="3">
        <v>46105.737384259257</v>
      </c>
      <c r="L1717" s="1">
        <v>13</v>
      </c>
      <c r="M1717" s="1">
        <v>15</v>
      </c>
      <c r="N1717">
        <v>2</v>
      </c>
      <c r="O1717" s="3">
        <f>IF(
    R1717="Ancien",
    _xlfn.XLOOKUP(
        Final_Sans_VGE[[#This Row],[ppn_z]],
        tbl_Historique_Final[ppn_z],
        tbl_Historique_Final[Horodatage],
        ""
    ),
    Horodatage!$A$2
)</f>
        <v>46233.670796365739</v>
      </c>
      <c r="P1717" s="1" t="str">
        <f>IFERROR(IF(tbl_Historique_Final[[#This Row],[Commentaires]]&lt;&gt;"",tbl_Historique_Final[[#This Row],[Commentaires]],""),"")</f>
        <v/>
      </c>
      <c r="X1717" s="8" t="str">
        <f>IF(Final_Sans_VGE[[#This Row],[ppn_z]]="","",IFERROR(
   IF(_xlfn.XLOOKUP(Final_Sans_VGE[[#This Row],[ppn_z]],tbl_Historique_Final[ppn_z],tbl_Historique_Final[date_modif])=Final_Sans_VGE[[#This Row],[date_modif]],
      "Ancien",
      "Modifié"),
   "Nouveau"))</f>
        <v>Ancien</v>
      </c>
      <c r="AC1717"/>
      <c r="AD1717"/>
    </row>
    <row r="1718" spans="1:30" ht="30" x14ac:dyDescent="0.25">
      <c r="A1718" s="5" t="s">
        <v>5321</v>
      </c>
      <c r="B1718" s="1" t="s">
        <v>9819</v>
      </c>
      <c r="C1718" s="1" t="s">
        <v>85</v>
      </c>
      <c r="G1718" s="1" t="s">
        <v>11</v>
      </c>
      <c r="J1718" s="3">
        <v>46181.628229166665</v>
      </c>
      <c r="K1718" s="2" t="s">
        <v>9820</v>
      </c>
      <c r="L1718" s="1">
        <v>23</v>
      </c>
      <c r="M1718" s="1">
        <v>39</v>
      </c>
      <c r="N1718">
        <v>16</v>
      </c>
      <c r="O1718" s="3">
        <f>IF(
    R1718="Ancien",
    _xlfn.XLOOKUP(
        Final_Sans_VGE[[#This Row],[ppn_z]],
        tbl_Historique_Final[ppn_z],
        tbl_Historique_Final[Horodatage],
        ""
    ),
    Horodatage!$A$2
)</f>
        <v>46233.670796365739</v>
      </c>
      <c r="P1718" s="1" t="str">
        <f>IFERROR(IF(tbl_Historique_Final[[#This Row],[Commentaires]]&lt;&gt;"",tbl_Historique_Final[[#This Row],[Commentaires]],""),"")</f>
        <v/>
      </c>
      <c r="X1718" s="8" t="str">
        <f>IF(Final_Sans_VGE[[#This Row],[ppn_z]]="","",IFERROR(
   IF(_xlfn.XLOOKUP(Final_Sans_VGE[[#This Row],[ppn_z]],tbl_Historique_Final[ppn_z],tbl_Historique_Final[date_modif])=Final_Sans_VGE[[#This Row],[date_modif]],
      "Ancien",
      "Modifié"),
   "Nouveau"))</f>
        <v>Ancien</v>
      </c>
      <c r="AC1718"/>
      <c r="AD1718"/>
    </row>
    <row r="1719" spans="1:30" x14ac:dyDescent="0.25">
      <c r="A1719" s="5" t="s">
        <v>5318</v>
      </c>
      <c r="B1719" s="1" t="s">
        <v>9818</v>
      </c>
      <c r="J1719" s="3">
        <v>46105.747615740744</v>
      </c>
      <c r="L1719" s="1">
        <v>3</v>
      </c>
      <c r="M1719" s="1">
        <v>3</v>
      </c>
      <c r="N1719">
        <v>0</v>
      </c>
      <c r="O1719" s="3">
        <f>IF(
    R1719="Ancien",
    _xlfn.XLOOKUP(
        Final_Sans_VGE[[#This Row],[ppn_z]],
        tbl_Historique_Final[ppn_z],
        tbl_Historique_Final[Horodatage],
        ""
    ),
    Horodatage!$A$2
)</f>
        <v>46233.670796365739</v>
      </c>
      <c r="P1719" s="1" t="str">
        <f>IFERROR(IF(tbl_Historique_Final[[#This Row],[Commentaires]]&lt;&gt;"",tbl_Historique_Final[[#This Row],[Commentaires]],""),"")</f>
        <v/>
      </c>
      <c r="X1719" s="8" t="str">
        <f>IF(Final_Sans_VGE[[#This Row],[ppn_z]]="","",IFERROR(
   IF(_xlfn.XLOOKUP(Final_Sans_VGE[[#This Row],[ppn_z]],tbl_Historique_Final[ppn_z],tbl_Historique_Final[date_modif])=Final_Sans_VGE[[#This Row],[date_modif]],
      "Ancien",
      "Modifié"),
   "Nouveau"))</f>
        <v>Ancien</v>
      </c>
      <c r="AC1719"/>
      <c r="AD1719"/>
    </row>
    <row r="1720" spans="1:30" x14ac:dyDescent="0.25">
      <c r="A1720" s="5" t="s">
        <v>5327</v>
      </c>
      <c r="B1720" s="1" t="s">
        <v>9822</v>
      </c>
      <c r="C1720" s="1" t="s">
        <v>12</v>
      </c>
      <c r="G1720" s="1" t="s">
        <v>11</v>
      </c>
      <c r="J1720" s="3">
        <v>46202.497175925928</v>
      </c>
      <c r="K1720" s="2" t="s">
        <v>9823</v>
      </c>
      <c r="L1720" s="1">
        <v>1</v>
      </c>
      <c r="M1720" s="1">
        <v>1</v>
      </c>
      <c r="N1720">
        <v>0</v>
      </c>
      <c r="O1720" s="3">
        <f>IF(
    R1720="Ancien",
    _xlfn.XLOOKUP(
        Final_Sans_VGE[[#This Row],[ppn_z]],
        tbl_Historique_Final[ppn_z],
        tbl_Historique_Final[Horodatage],
        ""
    ),
    Horodatage!$A$2
)</f>
        <v>46233.670796365739</v>
      </c>
      <c r="P1720" s="1" t="str">
        <f>IFERROR(IF(tbl_Historique_Final[[#This Row],[Commentaires]]&lt;&gt;"",tbl_Historique_Final[[#This Row],[Commentaires]],""),"")</f>
        <v/>
      </c>
      <c r="X1720" s="8" t="str">
        <f>IF(Final_Sans_VGE[[#This Row],[ppn_z]]="","",IFERROR(
   IF(_xlfn.XLOOKUP(Final_Sans_VGE[[#This Row],[ppn_z]],tbl_Historique_Final[ppn_z],tbl_Historique_Final[date_modif])=Final_Sans_VGE[[#This Row],[date_modif]],
      "Ancien",
      "Modifié"),
   "Nouveau"))</f>
        <v>Ancien</v>
      </c>
      <c r="AC1720"/>
      <c r="AD1720"/>
    </row>
    <row r="1721" spans="1:30" x14ac:dyDescent="0.25">
      <c r="A1721" s="5" t="s">
        <v>5324</v>
      </c>
      <c r="B1721" s="1" t="s">
        <v>9821</v>
      </c>
      <c r="J1721" s="3">
        <v>46105.751180555555</v>
      </c>
      <c r="L1721" s="1">
        <v>17</v>
      </c>
      <c r="M1721" s="1">
        <v>21</v>
      </c>
      <c r="N1721">
        <v>4</v>
      </c>
      <c r="O1721" s="3">
        <f>IF(
    R1721="Ancien",
    _xlfn.XLOOKUP(
        Final_Sans_VGE[[#This Row],[ppn_z]],
        tbl_Historique_Final[ppn_z],
        tbl_Historique_Final[Horodatage],
        ""
    ),
    Horodatage!$A$2
)</f>
        <v>46233.670796365739</v>
      </c>
      <c r="P1721" s="1" t="str">
        <f>IFERROR(IF(tbl_Historique_Final[[#This Row],[Commentaires]]&lt;&gt;"",tbl_Historique_Final[[#This Row],[Commentaires]],""),"")</f>
        <v/>
      </c>
      <c r="X1721" s="8" t="str">
        <f>IF(Final_Sans_VGE[[#This Row],[ppn_z]]="","",IFERROR(
   IF(_xlfn.XLOOKUP(Final_Sans_VGE[[#This Row],[ppn_z]],tbl_Historique_Final[ppn_z],tbl_Historique_Final[date_modif])=Final_Sans_VGE[[#This Row],[date_modif]],
      "Ancien",
      "Modifié"),
   "Nouveau"))</f>
        <v>Ancien</v>
      </c>
      <c r="AC1721"/>
      <c r="AD1721"/>
    </row>
    <row r="1722" spans="1:30" x14ac:dyDescent="0.25">
      <c r="A1722" s="5" t="s">
        <v>5333</v>
      </c>
      <c r="B1722" s="1" t="s">
        <v>9825</v>
      </c>
      <c r="C1722" s="1" t="s">
        <v>145</v>
      </c>
      <c r="E1722" s="1" t="s">
        <v>67</v>
      </c>
      <c r="G1722" s="1" t="s">
        <v>10</v>
      </c>
      <c r="J1722" s="3">
        <v>46185.535798611112</v>
      </c>
      <c r="K1722" s="2" t="s">
        <v>9826</v>
      </c>
      <c r="L1722" s="1">
        <v>7</v>
      </c>
      <c r="M1722" s="1">
        <v>7</v>
      </c>
      <c r="N1722">
        <v>0</v>
      </c>
      <c r="O1722" s="3">
        <f>IF(
    R1722="Ancien",
    _xlfn.XLOOKUP(
        Final_Sans_VGE[[#This Row],[ppn_z]],
        tbl_Historique_Final[ppn_z],
        tbl_Historique_Final[Horodatage],
        ""
    ),
    Horodatage!$A$2
)</f>
        <v>46233.670796365739</v>
      </c>
      <c r="P1722" s="1" t="str">
        <f>IFERROR(IF(tbl_Historique_Final[[#This Row],[Commentaires]]&lt;&gt;"",tbl_Historique_Final[[#This Row],[Commentaires]],""),"")</f>
        <v/>
      </c>
      <c r="X1722" s="8" t="str">
        <f>IF(Final_Sans_VGE[[#This Row],[ppn_z]]="","",IFERROR(
   IF(_xlfn.XLOOKUP(Final_Sans_VGE[[#This Row],[ppn_z]],tbl_Historique_Final[ppn_z],tbl_Historique_Final[date_modif])=Final_Sans_VGE[[#This Row],[date_modif]],
      "Ancien",
      "Modifié"),
   "Nouveau"))</f>
        <v>Ancien</v>
      </c>
      <c r="AC1722"/>
      <c r="AD1722"/>
    </row>
    <row r="1723" spans="1:30" x14ac:dyDescent="0.25">
      <c r="A1723" s="5" t="s">
        <v>5330</v>
      </c>
      <c r="B1723" s="1" t="s">
        <v>9824</v>
      </c>
      <c r="J1723" s="3">
        <v>46105.751446759263</v>
      </c>
      <c r="L1723" s="1">
        <v>1</v>
      </c>
      <c r="M1723" s="1">
        <v>2</v>
      </c>
      <c r="N1723">
        <v>1</v>
      </c>
      <c r="O1723" s="3">
        <f>IF(
    R1723="Ancien",
    _xlfn.XLOOKUP(
        Final_Sans_VGE[[#This Row],[ppn_z]],
        tbl_Historique_Final[ppn_z],
        tbl_Historique_Final[Horodatage],
        ""
    ),
    Horodatage!$A$2
)</f>
        <v>46233.670796365739</v>
      </c>
      <c r="P1723" s="1" t="str">
        <f>IFERROR(IF(tbl_Historique_Final[[#This Row],[Commentaires]]&lt;&gt;"",tbl_Historique_Final[[#This Row],[Commentaires]],""),"")</f>
        <v/>
      </c>
      <c r="X1723" s="8" t="str">
        <f>IF(Final_Sans_VGE[[#This Row],[ppn_z]]="","",IFERROR(
   IF(_xlfn.XLOOKUP(Final_Sans_VGE[[#This Row],[ppn_z]],tbl_Historique_Final[ppn_z],tbl_Historique_Final[date_modif])=Final_Sans_VGE[[#This Row],[date_modif]],
      "Ancien",
      "Modifié"),
   "Nouveau"))</f>
        <v>Ancien</v>
      </c>
      <c r="AC1723"/>
      <c r="AD1723"/>
    </row>
    <row r="1724" spans="1:30" x14ac:dyDescent="0.25">
      <c r="A1724" s="5" t="s">
        <v>5339</v>
      </c>
      <c r="B1724" s="1" t="s">
        <v>9828</v>
      </c>
      <c r="C1724" s="1" t="s">
        <v>152</v>
      </c>
      <c r="E1724" s="1" t="s">
        <v>29</v>
      </c>
      <c r="G1724" s="1" t="s">
        <v>10</v>
      </c>
      <c r="J1724" s="3">
        <v>46187.404953703706</v>
      </c>
      <c r="K1724" s="2" t="s">
        <v>9829</v>
      </c>
      <c r="L1724" s="1">
        <v>9</v>
      </c>
      <c r="M1724" s="1">
        <v>9</v>
      </c>
      <c r="N1724">
        <v>0</v>
      </c>
      <c r="O1724" s="3">
        <f>IF(
    R1724="Ancien",
    _xlfn.XLOOKUP(
        Final_Sans_VGE[[#This Row],[ppn_z]],
        tbl_Historique_Final[ppn_z],
        tbl_Historique_Final[Horodatage],
        ""
    ),
    Horodatage!$A$2
)</f>
        <v>46233.670796365739</v>
      </c>
      <c r="P1724" s="1" t="str">
        <f>IFERROR(IF(tbl_Historique_Final[[#This Row],[Commentaires]]&lt;&gt;"",tbl_Historique_Final[[#This Row],[Commentaires]],""),"")</f>
        <v/>
      </c>
      <c r="X1724" s="8" t="str">
        <f>IF(Final_Sans_VGE[[#This Row],[ppn_z]]="","",IFERROR(
   IF(_xlfn.XLOOKUP(Final_Sans_VGE[[#This Row],[ppn_z]],tbl_Historique_Final[ppn_z],tbl_Historique_Final[date_modif])=Final_Sans_VGE[[#This Row],[date_modif]],
      "Ancien",
      "Modifié"),
   "Nouveau"))</f>
        <v>Ancien</v>
      </c>
      <c r="AC1724"/>
      <c r="AD1724"/>
    </row>
    <row r="1725" spans="1:30" x14ac:dyDescent="0.25">
      <c r="A1725" s="5" t="s">
        <v>5336</v>
      </c>
      <c r="B1725" s="1" t="s">
        <v>9827</v>
      </c>
      <c r="C1725" s="1" t="s">
        <v>7826</v>
      </c>
      <c r="J1725" s="3">
        <v>46139.371145833335</v>
      </c>
      <c r="L1725" s="1">
        <v>1</v>
      </c>
      <c r="M1725" s="1">
        <v>1</v>
      </c>
      <c r="N1725">
        <v>0</v>
      </c>
      <c r="O1725" s="3">
        <f>IF(
    R1725="Ancien",
    _xlfn.XLOOKUP(
        Final_Sans_VGE[[#This Row],[ppn_z]],
        tbl_Historique_Final[ppn_z],
        tbl_Historique_Final[Horodatage],
        ""
    ),
    Horodatage!$A$2
)</f>
        <v>46233.670796365739</v>
      </c>
      <c r="P1725" s="1" t="str">
        <f>IFERROR(IF(tbl_Historique_Final[[#This Row],[Commentaires]]&lt;&gt;"",tbl_Historique_Final[[#This Row],[Commentaires]],""),"")</f>
        <v/>
      </c>
      <c r="X1725" s="8" t="str">
        <f>IF(Final_Sans_VGE[[#This Row],[ppn_z]]="","",IFERROR(
   IF(_xlfn.XLOOKUP(Final_Sans_VGE[[#This Row],[ppn_z]],tbl_Historique_Final[ppn_z],tbl_Historique_Final[date_modif])=Final_Sans_VGE[[#This Row],[date_modif]],
      "Ancien",
      "Modifié"),
   "Nouveau"))</f>
        <v>Ancien</v>
      </c>
      <c r="AC1725"/>
      <c r="AD1725"/>
    </row>
    <row r="1726" spans="1:30" x14ac:dyDescent="0.25">
      <c r="A1726" s="5" t="s">
        <v>5342</v>
      </c>
      <c r="B1726" s="1" t="s">
        <v>9830</v>
      </c>
      <c r="C1726" s="1" t="s">
        <v>6559</v>
      </c>
      <c r="J1726" s="3">
        <v>46139.692499999997</v>
      </c>
      <c r="L1726" s="1">
        <v>1</v>
      </c>
      <c r="M1726" s="1">
        <v>1</v>
      </c>
      <c r="N1726">
        <v>0</v>
      </c>
      <c r="O1726" s="3">
        <f>IF(
    R1726="Ancien",
    _xlfn.XLOOKUP(
        Final_Sans_VGE[[#This Row],[ppn_z]],
        tbl_Historique_Final[ppn_z],
        tbl_Historique_Final[Horodatage],
        ""
    ),
    Horodatage!$A$2
)</f>
        <v>46233.670796365739</v>
      </c>
      <c r="P1726" s="1" t="str">
        <f>IFERROR(IF(tbl_Historique_Final[[#This Row],[Commentaires]]&lt;&gt;"",tbl_Historique_Final[[#This Row],[Commentaires]],""),"")</f>
        <v/>
      </c>
      <c r="X1726" s="8" t="str">
        <f>IF(Final_Sans_VGE[[#This Row],[ppn_z]]="","",IFERROR(
   IF(_xlfn.XLOOKUP(Final_Sans_VGE[[#This Row],[ppn_z]],tbl_Historique_Final[ppn_z],tbl_Historique_Final[date_modif])=Final_Sans_VGE[[#This Row],[date_modif]],
      "Ancien",
      "Modifié"),
   "Nouveau"))</f>
        <v>Ancien</v>
      </c>
      <c r="AC1726"/>
      <c r="AD1726"/>
    </row>
    <row r="1727" spans="1:30" x14ac:dyDescent="0.25">
      <c r="A1727" s="5" t="s">
        <v>5345</v>
      </c>
      <c r="B1727" s="1" t="s">
        <v>9831</v>
      </c>
      <c r="C1727" s="1" t="s">
        <v>9016</v>
      </c>
      <c r="D1727" s="1" t="s">
        <v>14</v>
      </c>
      <c r="E1727" s="1" t="s">
        <v>146</v>
      </c>
      <c r="F1727" s="1" t="s">
        <v>14</v>
      </c>
      <c r="G1727" s="1" t="s">
        <v>10</v>
      </c>
      <c r="H1727" s="1" t="s">
        <v>22</v>
      </c>
      <c r="I1727" s="1" t="s">
        <v>8459</v>
      </c>
      <c r="J1727" s="3">
        <v>46191.517893518518</v>
      </c>
      <c r="K1727" s="2" t="s">
        <v>8774</v>
      </c>
      <c r="L1727" s="1">
        <v>16</v>
      </c>
      <c r="M1727" s="1">
        <v>16</v>
      </c>
      <c r="N1727">
        <v>0</v>
      </c>
      <c r="O1727" s="3">
        <f>IF(
    R1727="Ancien",
    _xlfn.XLOOKUP(
        Final_Sans_VGE[[#This Row],[ppn_z]],
        tbl_Historique_Final[ppn_z],
        tbl_Historique_Final[Horodatage],
        ""
    ),
    Horodatage!$A$2
)</f>
        <v>46233.670796365739</v>
      </c>
      <c r="P1727" s="1" t="str">
        <f>IFERROR(IF(tbl_Historique_Final[[#This Row],[Commentaires]]&lt;&gt;"",tbl_Historique_Final[[#This Row],[Commentaires]],""),"")</f>
        <v/>
      </c>
      <c r="X1727" s="8" t="str">
        <f>IF(Final_Sans_VGE[[#This Row],[ppn_z]]="","",IFERROR(
   IF(_xlfn.XLOOKUP(Final_Sans_VGE[[#This Row],[ppn_z]],tbl_Historique_Final[ppn_z],tbl_Historique_Final[date_modif])=Final_Sans_VGE[[#This Row],[date_modif]],
      "Ancien",
      "Modifié"),
   "Nouveau"))</f>
        <v>Ancien</v>
      </c>
      <c r="AC1727"/>
      <c r="AD1727"/>
    </row>
    <row r="1728" spans="1:30" ht="30" x14ac:dyDescent="0.25">
      <c r="A1728" s="5" t="s">
        <v>5351</v>
      </c>
      <c r="B1728" s="1" t="s">
        <v>9833</v>
      </c>
      <c r="C1728" s="1" t="s">
        <v>94</v>
      </c>
      <c r="E1728" s="1" t="s">
        <v>40</v>
      </c>
      <c r="G1728" s="1" t="s">
        <v>10</v>
      </c>
      <c r="J1728" s="3">
        <v>46181.646539351852</v>
      </c>
      <c r="K1728" s="2" t="s">
        <v>9834</v>
      </c>
      <c r="L1728" s="1">
        <v>28</v>
      </c>
      <c r="M1728" s="1">
        <v>28</v>
      </c>
      <c r="N1728">
        <v>0</v>
      </c>
      <c r="O1728" s="3">
        <f>IF(
    R1728="Ancien",
    _xlfn.XLOOKUP(
        Final_Sans_VGE[[#This Row],[ppn_z]],
        tbl_Historique_Final[ppn_z],
        tbl_Historique_Final[Horodatage],
        ""
    ),
    Horodatage!$A$2
)</f>
        <v>46233.670796365739</v>
      </c>
      <c r="P1728" s="1" t="str">
        <f>IFERROR(IF(tbl_Historique_Final[[#This Row],[Commentaires]]&lt;&gt;"",tbl_Historique_Final[[#This Row],[Commentaires]],""),"")</f>
        <v/>
      </c>
      <c r="X1728" s="8" t="str">
        <f>IF(Final_Sans_VGE[[#This Row],[ppn_z]]="","",IFERROR(
   IF(_xlfn.XLOOKUP(Final_Sans_VGE[[#This Row],[ppn_z]],tbl_Historique_Final[ppn_z],tbl_Historique_Final[date_modif])=Final_Sans_VGE[[#This Row],[date_modif]],
      "Ancien",
      "Modifié"),
   "Nouveau"))</f>
        <v>Ancien</v>
      </c>
      <c r="AC1728"/>
      <c r="AD1728"/>
    </row>
    <row r="1729" spans="1:30" x14ac:dyDescent="0.25">
      <c r="A1729" s="5" t="s">
        <v>5348</v>
      </c>
      <c r="B1729" s="1" t="s">
        <v>9832</v>
      </c>
      <c r="C1729" s="1" t="s">
        <v>32</v>
      </c>
      <c r="E1729" s="1" t="s">
        <v>123</v>
      </c>
      <c r="J1729" s="3">
        <v>46142.383194444446</v>
      </c>
      <c r="L1729" s="1">
        <v>5</v>
      </c>
      <c r="M1729" s="1">
        <v>6</v>
      </c>
      <c r="N1729">
        <v>1</v>
      </c>
      <c r="O1729" s="3">
        <f>IF(
    R1729="Ancien",
    _xlfn.XLOOKUP(
        Final_Sans_VGE[[#This Row],[ppn_z]],
        tbl_Historique_Final[ppn_z],
        tbl_Historique_Final[Horodatage],
        ""
    ),
    Horodatage!$A$2
)</f>
        <v>46233.670796365739</v>
      </c>
      <c r="P1729" s="1" t="str">
        <f>IFERROR(IF(tbl_Historique_Final[[#This Row],[Commentaires]]&lt;&gt;"",tbl_Historique_Final[[#This Row],[Commentaires]],""),"")</f>
        <v/>
      </c>
      <c r="X1729" s="8" t="str">
        <f>IF(Final_Sans_VGE[[#This Row],[ppn_z]]="","",IFERROR(
   IF(_xlfn.XLOOKUP(Final_Sans_VGE[[#This Row],[ppn_z]],tbl_Historique_Final[ppn_z],tbl_Historique_Final[date_modif])=Final_Sans_VGE[[#This Row],[date_modif]],
      "Ancien",
      "Modifié"),
   "Nouveau"))</f>
        <v>Ancien</v>
      </c>
      <c r="AC1729"/>
      <c r="AD1729"/>
    </row>
    <row r="1730" spans="1:30" x14ac:dyDescent="0.25">
      <c r="A1730" s="5" t="s">
        <v>5354</v>
      </c>
      <c r="B1730" s="1" t="s">
        <v>9835</v>
      </c>
      <c r="C1730" s="1" t="s">
        <v>84</v>
      </c>
      <c r="E1730" s="1" t="s">
        <v>73</v>
      </c>
      <c r="J1730" s="3">
        <v>46142.381898148145</v>
      </c>
      <c r="L1730" s="1">
        <v>2</v>
      </c>
      <c r="M1730" s="1">
        <v>3</v>
      </c>
      <c r="N1730">
        <v>1</v>
      </c>
      <c r="O1730" s="3">
        <f>IF(
    R1730="Ancien",
    _xlfn.XLOOKUP(
        Final_Sans_VGE[[#This Row],[ppn_z]],
        tbl_Historique_Final[ppn_z],
        tbl_Historique_Final[Horodatage],
        ""
    ),
    Horodatage!$A$2
)</f>
        <v>46233.670796365739</v>
      </c>
      <c r="P1730" s="1" t="str">
        <f>IFERROR(IF(tbl_Historique_Final[[#This Row],[Commentaires]]&lt;&gt;"",tbl_Historique_Final[[#This Row],[Commentaires]],""),"")</f>
        <v/>
      </c>
      <c r="X1730" s="8" t="str">
        <f>IF(Final_Sans_VGE[[#This Row],[ppn_z]]="","",IFERROR(
   IF(_xlfn.XLOOKUP(Final_Sans_VGE[[#This Row],[ppn_z]],tbl_Historique_Final[ppn_z],tbl_Historique_Final[date_modif])=Final_Sans_VGE[[#This Row],[date_modif]],
      "Ancien",
      "Modifié"),
   "Nouveau"))</f>
        <v>Ancien</v>
      </c>
      <c r="AC1730"/>
      <c r="AD1730"/>
    </row>
    <row r="1731" spans="1:30" x14ac:dyDescent="0.25">
      <c r="A1731" s="5" t="s">
        <v>5360</v>
      </c>
      <c r="B1731" s="1" t="s">
        <v>9837</v>
      </c>
      <c r="C1731" s="1" t="s">
        <v>30</v>
      </c>
      <c r="E1731" s="1" t="s">
        <v>108</v>
      </c>
      <c r="G1731" s="1" t="s">
        <v>10</v>
      </c>
      <c r="H1731" s="1" t="s">
        <v>9838</v>
      </c>
      <c r="I1731" s="1" t="s">
        <v>9839</v>
      </c>
      <c r="J1731" s="3">
        <v>46180.416250000002</v>
      </c>
      <c r="K1731" s="2" t="s">
        <v>9840</v>
      </c>
      <c r="L1731" s="1">
        <v>31</v>
      </c>
      <c r="M1731" s="1">
        <v>34</v>
      </c>
      <c r="N1731">
        <v>3</v>
      </c>
      <c r="O1731" s="3">
        <f>IF(
    R1731="Ancien",
    _xlfn.XLOOKUP(
        Final_Sans_VGE[[#This Row],[ppn_z]],
        tbl_Historique_Final[ppn_z],
        tbl_Historique_Final[Horodatage],
        ""
    ),
    Horodatage!$A$2
)</f>
        <v>46233.670796365739</v>
      </c>
      <c r="P1731" s="1" t="str">
        <f>IFERROR(IF(tbl_Historique_Final[[#This Row],[Commentaires]]&lt;&gt;"",tbl_Historique_Final[[#This Row],[Commentaires]],""),"")</f>
        <v/>
      </c>
      <c r="X1731" s="8" t="str">
        <f>IF(Final_Sans_VGE[[#This Row],[ppn_z]]="","",IFERROR(
   IF(_xlfn.XLOOKUP(Final_Sans_VGE[[#This Row],[ppn_z]],tbl_Historique_Final[ppn_z],tbl_Historique_Final[date_modif])=Final_Sans_VGE[[#This Row],[date_modif]],
      "Ancien",
      "Modifié"),
   "Nouveau"))</f>
        <v>Ancien</v>
      </c>
      <c r="AC1731"/>
      <c r="AD1731"/>
    </row>
    <row r="1732" spans="1:30" x14ac:dyDescent="0.25">
      <c r="A1732" s="5" t="s">
        <v>5357</v>
      </c>
      <c r="B1732" s="1" t="s">
        <v>9836</v>
      </c>
      <c r="C1732" s="1" t="s">
        <v>7692</v>
      </c>
      <c r="E1732" s="1" t="s">
        <v>7546</v>
      </c>
      <c r="J1732" s="3">
        <v>46142.3827662037</v>
      </c>
      <c r="L1732" s="1">
        <v>2</v>
      </c>
      <c r="M1732" s="1">
        <v>2</v>
      </c>
      <c r="N1732">
        <v>0</v>
      </c>
      <c r="O1732" s="3">
        <f>IF(
    R1732="Ancien",
    _xlfn.XLOOKUP(
        Final_Sans_VGE[[#This Row],[ppn_z]],
        tbl_Historique_Final[ppn_z],
        tbl_Historique_Final[Horodatage],
        ""
    ),
    Horodatage!$A$2
)</f>
        <v>46233.670796365739</v>
      </c>
      <c r="P1732" s="1" t="str">
        <f>IFERROR(IF(tbl_Historique_Final[[#This Row],[Commentaires]]&lt;&gt;"",tbl_Historique_Final[[#This Row],[Commentaires]],""),"")</f>
        <v/>
      </c>
      <c r="X1732" s="8" t="str">
        <f>IF(Final_Sans_VGE[[#This Row],[ppn_z]]="","",IFERROR(
   IF(_xlfn.XLOOKUP(Final_Sans_VGE[[#This Row],[ppn_z]],tbl_Historique_Final[ppn_z],tbl_Historique_Final[date_modif])=Final_Sans_VGE[[#This Row],[date_modif]],
      "Ancien",
      "Modifié"),
   "Nouveau"))</f>
        <v>Ancien</v>
      </c>
      <c r="AC1732"/>
      <c r="AD1732"/>
    </row>
    <row r="1733" spans="1:30" x14ac:dyDescent="0.25">
      <c r="A1733" s="5" t="s">
        <v>5363</v>
      </c>
      <c r="B1733" s="1" t="s">
        <v>9841</v>
      </c>
      <c r="C1733" s="1" t="s">
        <v>12</v>
      </c>
      <c r="G1733" s="1" t="s">
        <v>10</v>
      </c>
      <c r="J1733" s="3">
        <v>46189.678784722222</v>
      </c>
      <c r="K1733" s="2" t="s">
        <v>9842</v>
      </c>
      <c r="L1733" s="1">
        <v>21</v>
      </c>
      <c r="M1733" s="1">
        <v>24</v>
      </c>
      <c r="N1733">
        <v>3</v>
      </c>
      <c r="O1733" s="3">
        <f>IF(
    R1733="Ancien",
    _xlfn.XLOOKUP(
        Final_Sans_VGE[[#This Row],[ppn_z]],
        tbl_Historique_Final[ppn_z],
        tbl_Historique_Final[Horodatage],
        ""
    ),
    Horodatage!$A$2
)</f>
        <v>46233.670796365739</v>
      </c>
      <c r="P1733" s="1" t="str">
        <f>IFERROR(IF(tbl_Historique_Final[[#This Row],[Commentaires]]&lt;&gt;"",tbl_Historique_Final[[#This Row],[Commentaires]],""),"")</f>
        <v/>
      </c>
      <c r="X1733" s="8" t="str">
        <f>IF(Final_Sans_VGE[[#This Row],[ppn_z]]="","",IFERROR(
   IF(_xlfn.XLOOKUP(Final_Sans_VGE[[#This Row],[ppn_z]],tbl_Historique_Final[ppn_z],tbl_Historique_Final[date_modif])=Final_Sans_VGE[[#This Row],[date_modif]],
      "Ancien",
      "Modifié"),
   "Nouveau"))</f>
        <v>Ancien</v>
      </c>
      <c r="AC1733"/>
      <c r="AD1733"/>
    </row>
    <row r="1734" spans="1:30" x14ac:dyDescent="0.25">
      <c r="A1734" s="5" t="s">
        <v>5366</v>
      </c>
      <c r="B1734" s="1" t="s">
        <v>9843</v>
      </c>
      <c r="C1734" s="1" t="s">
        <v>6554</v>
      </c>
      <c r="G1734" s="1" t="s">
        <v>11</v>
      </c>
      <c r="J1734" s="3">
        <v>46181.658912037034</v>
      </c>
      <c r="K1734" s="2" t="s">
        <v>9844</v>
      </c>
      <c r="L1734" s="1">
        <v>1</v>
      </c>
      <c r="M1734" s="1">
        <v>1</v>
      </c>
      <c r="N1734">
        <v>0</v>
      </c>
      <c r="O1734" s="3">
        <f>IF(
    R1734="Ancien",
    _xlfn.XLOOKUP(
        Final_Sans_VGE[[#This Row],[ppn_z]],
        tbl_Historique_Final[ppn_z],
        tbl_Historique_Final[Horodatage],
        ""
    ),
    Horodatage!$A$2
)</f>
        <v>46233.670796365739</v>
      </c>
      <c r="P1734" s="1" t="str">
        <f>IFERROR(IF(tbl_Historique_Final[[#This Row],[Commentaires]]&lt;&gt;"",tbl_Historique_Final[[#This Row],[Commentaires]],""),"")</f>
        <v/>
      </c>
      <c r="X1734" s="8" t="str">
        <f>IF(Final_Sans_VGE[[#This Row],[ppn_z]]="","",IFERROR(
   IF(_xlfn.XLOOKUP(Final_Sans_VGE[[#This Row],[ppn_z]],tbl_Historique_Final[ppn_z],tbl_Historique_Final[date_modif])=Final_Sans_VGE[[#This Row],[date_modif]],
      "Ancien",
      "Modifié"),
   "Nouveau"))</f>
        <v>Ancien</v>
      </c>
      <c r="AC1734"/>
      <c r="AD1734"/>
    </row>
    <row r="1735" spans="1:30" x14ac:dyDescent="0.25">
      <c r="A1735" s="5" t="s">
        <v>5369</v>
      </c>
      <c r="B1735" s="1" t="s">
        <v>9845</v>
      </c>
      <c r="C1735" s="1" t="s">
        <v>12</v>
      </c>
      <c r="G1735" s="1" t="s">
        <v>11</v>
      </c>
      <c r="J1735" s="3">
        <v>46199.487453703703</v>
      </c>
      <c r="K1735" s="2" t="s">
        <v>9846</v>
      </c>
      <c r="L1735" s="1">
        <v>3</v>
      </c>
      <c r="M1735" s="1">
        <v>3</v>
      </c>
      <c r="N1735">
        <v>0</v>
      </c>
      <c r="O1735" s="3">
        <f>IF(
    R1735="Ancien",
    _xlfn.XLOOKUP(
        Final_Sans_VGE[[#This Row],[ppn_z]],
        tbl_Historique_Final[ppn_z],
        tbl_Historique_Final[Horodatage],
        ""
    ),
    Horodatage!$A$2
)</f>
        <v>46233.670796365739</v>
      </c>
      <c r="P1735" s="1" t="str">
        <f>IFERROR(IF(tbl_Historique_Final[[#This Row],[Commentaires]]&lt;&gt;"",tbl_Historique_Final[[#This Row],[Commentaires]],""),"")</f>
        <v/>
      </c>
      <c r="X1735" s="8" t="str">
        <f>IF(Final_Sans_VGE[[#This Row],[ppn_z]]="","",IFERROR(
   IF(_xlfn.XLOOKUP(Final_Sans_VGE[[#This Row],[ppn_z]],tbl_Historique_Final[ppn_z],tbl_Historique_Final[date_modif])=Final_Sans_VGE[[#This Row],[date_modif]],
      "Ancien",
      "Modifié"),
   "Nouveau"))</f>
        <v>Ancien</v>
      </c>
      <c r="AC1735"/>
      <c r="AD1735"/>
    </row>
    <row r="1736" spans="1:30" x14ac:dyDescent="0.25">
      <c r="A1736" s="5" t="s">
        <v>5372</v>
      </c>
      <c r="B1736" s="1" t="s">
        <v>9847</v>
      </c>
      <c r="C1736" s="1" t="s">
        <v>9848</v>
      </c>
      <c r="E1736" s="1" t="s">
        <v>9849</v>
      </c>
      <c r="G1736" s="1" t="s">
        <v>10</v>
      </c>
      <c r="J1736" s="3">
        <v>46188.607106481482</v>
      </c>
      <c r="K1736" s="2" t="s">
        <v>9850</v>
      </c>
      <c r="L1736" s="1">
        <v>17</v>
      </c>
      <c r="M1736" s="1">
        <v>17</v>
      </c>
      <c r="N1736">
        <v>0</v>
      </c>
      <c r="O1736" s="3">
        <f>IF(
    R1736="Ancien",
    _xlfn.XLOOKUP(
        Final_Sans_VGE[[#This Row],[ppn_z]],
        tbl_Historique_Final[ppn_z],
        tbl_Historique_Final[Horodatage],
        ""
    ),
    Horodatage!$A$2
)</f>
        <v>46233.670796365739</v>
      </c>
      <c r="P1736" s="1" t="str">
        <f>IFERROR(IF(tbl_Historique_Final[[#This Row],[Commentaires]]&lt;&gt;"",tbl_Historique_Final[[#This Row],[Commentaires]],""),"")</f>
        <v/>
      </c>
      <c r="X1736" s="8" t="str">
        <f>IF(Final_Sans_VGE[[#This Row],[ppn_z]]="","",IFERROR(
   IF(_xlfn.XLOOKUP(Final_Sans_VGE[[#This Row],[ppn_z]],tbl_Historique_Final[ppn_z],tbl_Historique_Final[date_modif])=Final_Sans_VGE[[#This Row],[date_modif]],
      "Ancien",
      "Modifié"),
   "Nouveau"))</f>
        <v>Ancien</v>
      </c>
      <c r="AC1736"/>
      <c r="AD1736"/>
    </row>
    <row r="1737" spans="1:30" x14ac:dyDescent="0.25">
      <c r="A1737" s="5" t="s">
        <v>5375</v>
      </c>
      <c r="B1737" s="1" t="s">
        <v>9851</v>
      </c>
      <c r="C1737" s="1" t="s">
        <v>12</v>
      </c>
      <c r="G1737" s="1" t="s">
        <v>10</v>
      </c>
      <c r="J1737" s="3">
        <v>46199.372129629628</v>
      </c>
      <c r="K1737" s="2" t="s">
        <v>6438</v>
      </c>
      <c r="L1737" s="1">
        <v>4</v>
      </c>
      <c r="M1737" s="1">
        <v>4</v>
      </c>
      <c r="N1737">
        <v>0</v>
      </c>
      <c r="O1737" s="3">
        <f>IF(
    R1737="Ancien",
    _xlfn.XLOOKUP(
        Final_Sans_VGE[[#This Row],[ppn_z]],
        tbl_Historique_Final[ppn_z],
        tbl_Historique_Final[Horodatage],
        ""
    ),
    Horodatage!$A$2
)</f>
        <v>46233.670796365739</v>
      </c>
      <c r="P1737" s="1" t="str">
        <f>IFERROR(IF(tbl_Historique_Final[[#This Row],[Commentaires]]&lt;&gt;"",tbl_Historique_Final[[#This Row],[Commentaires]],""),"")</f>
        <v/>
      </c>
      <c r="X1737" s="8" t="str">
        <f>IF(Final_Sans_VGE[[#This Row],[ppn_z]]="","",IFERROR(
   IF(_xlfn.XLOOKUP(Final_Sans_VGE[[#This Row],[ppn_z]],tbl_Historique_Final[ppn_z],tbl_Historique_Final[date_modif])=Final_Sans_VGE[[#This Row],[date_modif]],
      "Ancien",
      "Modifié"),
   "Nouveau"))</f>
        <v>Ancien</v>
      </c>
      <c r="AC1737"/>
      <c r="AD1737"/>
    </row>
    <row r="1738" spans="1:30" ht="30" x14ac:dyDescent="0.25">
      <c r="A1738" s="5" t="s">
        <v>5378</v>
      </c>
      <c r="B1738" s="1" t="s">
        <v>9852</v>
      </c>
      <c r="C1738" s="1" t="s">
        <v>6363</v>
      </c>
      <c r="D1738" s="1" t="s">
        <v>14</v>
      </c>
      <c r="E1738" s="1" t="s">
        <v>38</v>
      </c>
      <c r="G1738" s="1" t="s">
        <v>10</v>
      </c>
      <c r="H1738" s="1" t="s">
        <v>22</v>
      </c>
      <c r="I1738" s="1" t="s">
        <v>22</v>
      </c>
      <c r="J1738" s="3">
        <v>46173.36209490741</v>
      </c>
      <c r="K1738" s="2" t="s">
        <v>9853</v>
      </c>
      <c r="L1738" s="1">
        <v>14</v>
      </c>
      <c r="M1738" s="1">
        <v>61</v>
      </c>
      <c r="N1738">
        <v>47</v>
      </c>
      <c r="O1738" s="3">
        <f>IF(
    R1738="Ancien",
    _xlfn.XLOOKUP(
        Final_Sans_VGE[[#This Row],[ppn_z]],
        tbl_Historique_Final[ppn_z],
        tbl_Historique_Final[Horodatage],
        ""
    ),
    Horodatage!$A$2
)</f>
        <v>46233.670796365739</v>
      </c>
      <c r="P1738" s="1" t="str">
        <f>IFERROR(IF(tbl_Historique_Final[[#This Row],[Commentaires]]&lt;&gt;"",tbl_Historique_Final[[#This Row],[Commentaires]],""),"")</f>
        <v/>
      </c>
      <c r="X1738" s="8" t="str">
        <f>IF(Final_Sans_VGE[[#This Row],[ppn_z]]="","",IFERROR(
   IF(_xlfn.XLOOKUP(Final_Sans_VGE[[#This Row],[ppn_z]],tbl_Historique_Final[ppn_z],tbl_Historique_Final[date_modif])=Final_Sans_VGE[[#This Row],[date_modif]],
      "Ancien",
      "Modifié"),
   "Nouveau"))</f>
        <v>Ancien</v>
      </c>
      <c r="AC1738"/>
      <c r="AD1738"/>
    </row>
    <row r="1739" spans="1:30" x14ac:dyDescent="0.25">
      <c r="A1739" s="5" t="s">
        <v>5381</v>
      </c>
      <c r="B1739" s="1" t="s">
        <v>9854</v>
      </c>
      <c r="C1739" s="1" t="s">
        <v>12</v>
      </c>
      <c r="J1739" s="3">
        <v>46146.382048611114</v>
      </c>
      <c r="L1739" s="1">
        <v>1</v>
      </c>
      <c r="M1739" s="1">
        <v>1</v>
      </c>
      <c r="N1739">
        <v>0</v>
      </c>
      <c r="O1739" s="3">
        <f>IF(
    R1739="Ancien",
    _xlfn.XLOOKUP(
        Final_Sans_VGE[[#This Row],[ppn_z]],
        tbl_Historique_Final[ppn_z],
        tbl_Historique_Final[Horodatage],
        ""
    ),
    Horodatage!$A$2
)</f>
        <v>46233.670796365739</v>
      </c>
      <c r="P1739" s="1" t="str">
        <f>IFERROR(IF(tbl_Historique_Final[[#This Row],[Commentaires]]&lt;&gt;"",tbl_Historique_Final[[#This Row],[Commentaires]],""),"")</f>
        <v/>
      </c>
      <c r="X1739" s="8" t="str">
        <f>IF(Final_Sans_VGE[[#This Row],[ppn_z]]="","",IFERROR(
   IF(_xlfn.XLOOKUP(Final_Sans_VGE[[#This Row],[ppn_z]],tbl_Historique_Final[ppn_z],tbl_Historique_Final[date_modif])=Final_Sans_VGE[[#This Row],[date_modif]],
      "Ancien",
      "Modifié"),
   "Nouveau"))</f>
        <v>Ancien</v>
      </c>
      <c r="AC1739"/>
      <c r="AD1739"/>
    </row>
    <row r="1740" spans="1:30" x14ac:dyDescent="0.25">
      <c r="A1740" s="5" t="s">
        <v>5384</v>
      </c>
      <c r="B1740" s="1" t="s">
        <v>9855</v>
      </c>
      <c r="C1740" s="1" t="s">
        <v>41</v>
      </c>
      <c r="J1740" s="3">
        <v>46153.467997685184</v>
      </c>
      <c r="L1740" s="1">
        <v>1</v>
      </c>
      <c r="M1740" s="1">
        <v>1</v>
      </c>
      <c r="N1740">
        <v>0</v>
      </c>
      <c r="O1740" s="3">
        <f>IF(
    R1740="Ancien",
    _xlfn.XLOOKUP(
        Final_Sans_VGE[[#This Row],[ppn_z]],
        tbl_Historique_Final[ppn_z],
        tbl_Historique_Final[Horodatage],
        ""
    ),
    Horodatage!$A$2
)</f>
        <v>46233.670796365739</v>
      </c>
      <c r="P1740" s="1" t="str">
        <f>IFERROR(IF(tbl_Historique_Final[[#This Row],[Commentaires]]&lt;&gt;"",tbl_Historique_Final[[#This Row],[Commentaires]],""),"")</f>
        <v/>
      </c>
      <c r="X1740" s="8" t="str">
        <f>IF(Final_Sans_VGE[[#This Row],[ppn_z]]="","",IFERROR(
   IF(_xlfn.XLOOKUP(Final_Sans_VGE[[#This Row],[ppn_z]],tbl_Historique_Final[ppn_z],tbl_Historique_Final[date_modif])=Final_Sans_VGE[[#This Row],[date_modif]],
      "Ancien",
      "Modifié"),
   "Nouveau"))</f>
        <v>Ancien</v>
      </c>
      <c r="AC1740"/>
      <c r="AD1740"/>
    </row>
    <row r="1741" spans="1:30" x14ac:dyDescent="0.25">
      <c r="A1741" s="5" t="s">
        <v>5387</v>
      </c>
      <c r="B1741" s="1" t="s">
        <v>9856</v>
      </c>
      <c r="J1741" s="3">
        <v>46136.696574074071</v>
      </c>
      <c r="L1741" s="1">
        <v>22</v>
      </c>
      <c r="M1741" s="1">
        <v>22</v>
      </c>
      <c r="N1741">
        <v>0</v>
      </c>
      <c r="O1741" s="3">
        <f>IF(
    R1741="Ancien",
    _xlfn.XLOOKUP(
        Final_Sans_VGE[[#This Row],[ppn_z]],
        tbl_Historique_Final[ppn_z],
        tbl_Historique_Final[Horodatage],
        ""
    ),
    Horodatage!$A$2
)</f>
        <v>46233.670796365739</v>
      </c>
      <c r="P1741" s="1" t="str">
        <f>IFERROR(IF(tbl_Historique_Final[[#This Row],[Commentaires]]&lt;&gt;"",tbl_Historique_Final[[#This Row],[Commentaires]],""),"")</f>
        <v/>
      </c>
      <c r="X1741" s="8" t="str">
        <f>IF(Final_Sans_VGE[[#This Row],[ppn_z]]="","",IFERROR(
   IF(_xlfn.XLOOKUP(Final_Sans_VGE[[#This Row],[ppn_z]],tbl_Historique_Final[ppn_z],tbl_Historique_Final[date_modif])=Final_Sans_VGE[[#This Row],[date_modif]],
      "Ancien",
      "Modifié"),
   "Nouveau"))</f>
        <v>Ancien</v>
      </c>
      <c r="AC1741"/>
      <c r="AD1741"/>
    </row>
    <row r="1742" spans="1:30" x14ac:dyDescent="0.25">
      <c r="A1742" s="5" t="s">
        <v>5390</v>
      </c>
      <c r="B1742" s="1" t="s">
        <v>9857</v>
      </c>
      <c r="C1742" s="1" t="s">
        <v>12</v>
      </c>
      <c r="J1742" s="3">
        <v>46163.59103009259</v>
      </c>
      <c r="L1742" s="1">
        <v>1</v>
      </c>
      <c r="M1742" s="1">
        <v>1</v>
      </c>
      <c r="N1742">
        <v>0</v>
      </c>
      <c r="O1742" s="3">
        <f>IF(
    R1742="Ancien",
    _xlfn.XLOOKUP(
        Final_Sans_VGE[[#This Row],[ppn_z]],
        tbl_Historique_Final[ppn_z],
        tbl_Historique_Final[Horodatage],
        ""
    ),
    Horodatage!$A$2
)</f>
        <v>46233.670796365739</v>
      </c>
      <c r="P1742" s="1" t="str">
        <f>IFERROR(IF(tbl_Historique_Final[[#This Row],[Commentaires]]&lt;&gt;"",tbl_Historique_Final[[#This Row],[Commentaires]],""),"")</f>
        <v/>
      </c>
      <c r="X1742" s="8" t="str">
        <f>IF(Final_Sans_VGE[[#This Row],[ppn_z]]="","",IFERROR(
   IF(_xlfn.XLOOKUP(Final_Sans_VGE[[#This Row],[ppn_z]],tbl_Historique_Final[ppn_z],tbl_Historique_Final[date_modif])=Final_Sans_VGE[[#This Row],[date_modif]],
      "Ancien",
      "Modifié"),
   "Nouveau"))</f>
        <v>Ancien</v>
      </c>
      <c r="AC1742"/>
      <c r="AD1742"/>
    </row>
    <row r="1743" spans="1:30" x14ac:dyDescent="0.25">
      <c r="A1743" s="5" t="s">
        <v>5393</v>
      </c>
      <c r="B1743" s="1" t="s">
        <v>9858</v>
      </c>
      <c r="C1743" s="1" t="s">
        <v>7172</v>
      </c>
      <c r="J1743" s="3">
        <v>46170.691423611112</v>
      </c>
      <c r="L1743" s="1">
        <v>2</v>
      </c>
      <c r="M1743" s="1">
        <v>4</v>
      </c>
      <c r="N1743">
        <v>2</v>
      </c>
      <c r="O1743" s="3">
        <f>IF(
    R1743="Ancien",
    _xlfn.XLOOKUP(
        Final_Sans_VGE[[#This Row],[ppn_z]],
        tbl_Historique_Final[ppn_z],
        tbl_Historique_Final[Horodatage],
        ""
    ),
    Horodatage!$A$2
)</f>
        <v>46233.670796365739</v>
      </c>
      <c r="P1743" s="1" t="str">
        <f>IFERROR(IF(tbl_Historique_Final[[#This Row],[Commentaires]]&lt;&gt;"",tbl_Historique_Final[[#This Row],[Commentaires]],""),"")</f>
        <v/>
      </c>
      <c r="X1743" s="8" t="str">
        <f>IF(Final_Sans_VGE[[#This Row],[ppn_z]]="","",IFERROR(
   IF(_xlfn.XLOOKUP(Final_Sans_VGE[[#This Row],[ppn_z]],tbl_Historique_Final[ppn_z],tbl_Historique_Final[date_modif])=Final_Sans_VGE[[#This Row],[date_modif]],
      "Ancien",
      "Modifié"),
   "Nouveau"))</f>
        <v>Ancien</v>
      </c>
      <c r="AC1743"/>
      <c r="AD1743"/>
    </row>
    <row r="1744" spans="1:30" x14ac:dyDescent="0.25">
      <c r="A1744" s="5" t="s">
        <v>5396</v>
      </c>
      <c r="B1744" s="1" t="s">
        <v>9859</v>
      </c>
      <c r="C1744" s="1" t="s">
        <v>12</v>
      </c>
      <c r="J1744" s="3">
        <v>46171.465810185182</v>
      </c>
      <c r="L1744" s="1">
        <v>1</v>
      </c>
      <c r="M1744" s="1">
        <v>1</v>
      </c>
      <c r="N1744">
        <v>0</v>
      </c>
      <c r="O1744" s="3">
        <f>IF(
    R1744="Ancien",
    _xlfn.XLOOKUP(
        Final_Sans_VGE[[#This Row],[ppn_z]],
        tbl_Historique_Final[ppn_z],
        tbl_Historique_Final[Horodatage],
        ""
    ),
    Horodatage!$A$2
)</f>
        <v>46233.670796365739</v>
      </c>
      <c r="P1744" s="1" t="str">
        <f>IFERROR(IF(tbl_Historique_Final[[#This Row],[Commentaires]]&lt;&gt;"",tbl_Historique_Final[[#This Row],[Commentaires]],""),"")</f>
        <v/>
      </c>
      <c r="X1744" s="8" t="str">
        <f>IF(Final_Sans_VGE[[#This Row],[ppn_z]]="","",IFERROR(
   IF(_xlfn.XLOOKUP(Final_Sans_VGE[[#This Row],[ppn_z]],tbl_Historique_Final[ppn_z],tbl_Historique_Final[date_modif])=Final_Sans_VGE[[#This Row],[date_modif]],
      "Ancien",
      "Modifié"),
   "Nouveau"))</f>
        <v>Ancien</v>
      </c>
      <c r="AC1744"/>
      <c r="AD1744"/>
    </row>
    <row r="1745" spans="1:30" x14ac:dyDescent="0.25">
      <c r="A1745" s="5" t="s">
        <v>5399</v>
      </c>
      <c r="B1745" s="1" t="s">
        <v>9860</v>
      </c>
      <c r="C1745" s="1" t="s">
        <v>7558</v>
      </c>
      <c r="J1745" s="3">
        <v>46171.487719907411</v>
      </c>
      <c r="L1745" s="1">
        <v>1</v>
      </c>
      <c r="M1745" s="1">
        <v>1</v>
      </c>
      <c r="N1745">
        <v>0</v>
      </c>
      <c r="O1745" s="3">
        <f>IF(
    R1745="Ancien",
    _xlfn.XLOOKUP(
        Final_Sans_VGE[[#This Row],[ppn_z]],
        tbl_Historique_Final[ppn_z],
        tbl_Historique_Final[Horodatage],
        ""
    ),
    Horodatage!$A$2
)</f>
        <v>46233.670796365739</v>
      </c>
      <c r="P1745" s="1" t="str">
        <f>IFERROR(IF(tbl_Historique_Final[[#This Row],[Commentaires]]&lt;&gt;"",tbl_Historique_Final[[#This Row],[Commentaires]],""),"")</f>
        <v/>
      </c>
      <c r="X1745" s="8" t="str">
        <f>IF(Final_Sans_VGE[[#This Row],[ppn_z]]="","",IFERROR(
   IF(_xlfn.XLOOKUP(Final_Sans_VGE[[#This Row],[ppn_z]],tbl_Historique_Final[ppn_z],tbl_Historique_Final[date_modif])=Final_Sans_VGE[[#This Row],[date_modif]],
      "Ancien",
      "Modifié"),
   "Nouveau"))</f>
        <v>Ancien</v>
      </c>
      <c r="AC1745"/>
      <c r="AD1745"/>
    </row>
    <row r="1746" spans="1:30" x14ac:dyDescent="0.25">
      <c r="A1746" s="5" t="s">
        <v>5402</v>
      </c>
      <c r="B1746" s="1" t="s">
        <v>9861</v>
      </c>
      <c r="C1746" s="1" t="s">
        <v>12</v>
      </c>
      <c r="J1746" s="3">
        <v>46171.495509259257</v>
      </c>
      <c r="L1746" s="1">
        <v>1</v>
      </c>
      <c r="M1746" s="1">
        <v>1</v>
      </c>
      <c r="N1746">
        <v>0</v>
      </c>
      <c r="O1746" s="3">
        <f>IF(
    R1746="Ancien",
    _xlfn.XLOOKUP(
        Final_Sans_VGE[[#This Row],[ppn_z]],
        tbl_Historique_Final[ppn_z],
        tbl_Historique_Final[Horodatage],
        ""
    ),
    Horodatage!$A$2
)</f>
        <v>46233.670796365739</v>
      </c>
      <c r="P1746" s="1" t="str">
        <f>IFERROR(IF(tbl_Historique_Final[[#This Row],[Commentaires]]&lt;&gt;"",tbl_Historique_Final[[#This Row],[Commentaires]],""),"")</f>
        <v/>
      </c>
      <c r="X1746" s="8" t="str">
        <f>IF(Final_Sans_VGE[[#This Row],[ppn_z]]="","",IFERROR(
   IF(_xlfn.XLOOKUP(Final_Sans_VGE[[#This Row],[ppn_z]],tbl_Historique_Final[ppn_z],tbl_Historique_Final[date_modif])=Final_Sans_VGE[[#This Row],[date_modif]],
      "Ancien",
      "Modifié"),
   "Nouveau"))</f>
        <v>Ancien</v>
      </c>
      <c r="AC1746"/>
      <c r="AD1746"/>
    </row>
    <row r="1747" spans="1:30" x14ac:dyDescent="0.25">
      <c r="A1747" s="5" t="s">
        <v>5405</v>
      </c>
      <c r="B1747" s="1" t="s">
        <v>9862</v>
      </c>
      <c r="C1747" s="1" t="s">
        <v>12</v>
      </c>
      <c r="J1747" s="3">
        <v>46171.495439814818</v>
      </c>
      <c r="L1747" s="1">
        <v>1</v>
      </c>
      <c r="M1747" s="1">
        <v>1</v>
      </c>
      <c r="N1747">
        <v>0</v>
      </c>
      <c r="O1747" s="3">
        <f>IF(
    R1747="Ancien",
    _xlfn.XLOOKUP(
        Final_Sans_VGE[[#This Row],[ppn_z]],
        tbl_Historique_Final[ppn_z],
        tbl_Historique_Final[Horodatage],
        ""
    ),
    Horodatage!$A$2
)</f>
        <v>46233.670796365739</v>
      </c>
      <c r="P1747" s="1" t="str">
        <f>IFERROR(IF(tbl_Historique_Final[[#This Row],[Commentaires]]&lt;&gt;"",tbl_Historique_Final[[#This Row],[Commentaires]],""),"")</f>
        <v/>
      </c>
      <c r="X1747" s="8" t="str">
        <f>IF(Final_Sans_VGE[[#This Row],[ppn_z]]="","",IFERROR(
   IF(_xlfn.XLOOKUP(Final_Sans_VGE[[#This Row],[ppn_z]],tbl_Historique_Final[ppn_z],tbl_Historique_Final[date_modif])=Final_Sans_VGE[[#This Row],[date_modif]],
      "Ancien",
      "Modifié"),
   "Nouveau"))</f>
        <v>Ancien</v>
      </c>
      <c r="AC1747"/>
      <c r="AD1747"/>
    </row>
    <row r="1748" spans="1:30" x14ac:dyDescent="0.25">
      <c r="A1748" s="5" t="s">
        <v>5408</v>
      </c>
      <c r="B1748" s="1" t="s">
        <v>9863</v>
      </c>
      <c r="C1748" s="1" t="s">
        <v>12</v>
      </c>
      <c r="J1748" s="3">
        <v>46171.495127314818</v>
      </c>
      <c r="L1748" s="1">
        <v>1</v>
      </c>
      <c r="M1748" s="1">
        <v>1</v>
      </c>
      <c r="N1748">
        <v>0</v>
      </c>
      <c r="O1748" s="3">
        <f>IF(
    R1748="Ancien",
    _xlfn.XLOOKUP(
        Final_Sans_VGE[[#This Row],[ppn_z]],
        tbl_Historique_Final[ppn_z],
        tbl_Historique_Final[Horodatage],
        ""
    ),
    Horodatage!$A$2
)</f>
        <v>46233.670796365739</v>
      </c>
      <c r="P1748" s="1" t="str">
        <f>IFERROR(IF(tbl_Historique_Final[[#This Row],[Commentaires]]&lt;&gt;"",tbl_Historique_Final[[#This Row],[Commentaires]],""),"")</f>
        <v/>
      </c>
      <c r="X1748" s="8" t="str">
        <f>IF(Final_Sans_VGE[[#This Row],[ppn_z]]="","",IFERROR(
   IF(_xlfn.XLOOKUP(Final_Sans_VGE[[#This Row],[ppn_z]],tbl_Historique_Final[ppn_z],tbl_Historique_Final[date_modif])=Final_Sans_VGE[[#This Row],[date_modif]],
      "Ancien",
      "Modifié"),
   "Nouveau"))</f>
        <v>Ancien</v>
      </c>
      <c r="AC1748"/>
      <c r="AD1748"/>
    </row>
    <row r="1749" spans="1:30" x14ac:dyDescent="0.25">
      <c r="A1749" s="5" t="s">
        <v>5411</v>
      </c>
      <c r="B1749" s="1" t="s">
        <v>9864</v>
      </c>
      <c r="C1749" s="1" t="s">
        <v>35</v>
      </c>
      <c r="J1749" s="3">
        <v>46174.635312500002</v>
      </c>
      <c r="L1749" s="1">
        <v>18</v>
      </c>
      <c r="M1749" s="1">
        <v>18</v>
      </c>
      <c r="N1749">
        <v>0</v>
      </c>
      <c r="O1749" s="3">
        <f>IF(
    R1749="Ancien",
    _xlfn.XLOOKUP(
        Final_Sans_VGE[[#This Row],[ppn_z]],
        tbl_Historique_Final[ppn_z],
        tbl_Historique_Final[Horodatage],
        ""
    ),
    Horodatage!$A$2
)</f>
        <v>46233.670796365739</v>
      </c>
      <c r="P1749" s="1" t="str">
        <f>IFERROR(IF(tbl_Historique_Final[[#This Row],[Commentaires]]&lt;&gt;"",tbl_Historique_Final[[#This Row],[Commentaires]],""),"")</f>
        <v/>
      </c>
      <c r="X1749" s="8" t="str">
        <f>IF(Final_Sans_VGE[[#This Row],[ppn_z]]="","",IFERROR(
   IF(_xlfn.XLOOKUP(Final_Sans_VGE[[#This Row],[ppn_z]],tbl_Historique_Final[ppn_z],tbl_Historique_Final[date_modif])=Final_Sans_VGE[[#This Row],[date_modif]],
      "Ancien",
      "Modifié"),
   "Nouveau"))</f>
        <v>Ancien</v>
      </c>
      <c r="AC1749"/>
      <c r="AD1749"/>
    </row>
    <row r="1750" spans="1:30" x14ac:dyDescent="0.25">
      <c r="A1750" s="5" t="s">
        <v>5414</v>
      </c>
      <c r="B1750" s="1" t="s">
        <v>9865</v>
      </c>
      <c r="C1750" s="1" t="s">
        <v>6793</v>
      </c>
      <c r="J1750" s="3">
        <v>46175.538807870369</v>
      </c>
      <c r="L1750" s="1">
        <v>19</v>
      </c>
      <c r="M1750" s="1">
        <v>20</v>
      </c>
      <c r="N1750">
        <v>1</v>
      </c>
      <c r="O1750" s="3">
        <f>IF(
    R1750="Ancien",
    _xlfn.XLOOKUP(
        Final_Sans_VGE[[#This Row],[ppn_z]],
        tbl_Historique_Final[ppn_z],
        tbl_Historique_Final[Horodatage],
        ""
    ),
    Horodatage!$A$2
)</f>
        <v>46233.670796365739</v>
      </c>
      <c r="P1750" s="1" t="str">
        <f>IFERROR(IF(tbl_Historique_Final[[#This Row],[Commentaires]]&lt;&gt;"",tbl_Historique_Final[[#This Row],[Commentaires]],""),"")</f>
        <v/>
      </c>
      <c r="X1750" s="8" t="str">
        <f>IF(Final_Sans_VGE[[#This Row],[ppn_z]]="","",IFERROR(
   IF(_xlfn.XLOOKUP(Final_Sans_VGE[[#This Row],[ppn_z]],tbl_Historique_Final[ppn_z],tbl_Historique_Final[date_modif])=Final_Sans_VGE[[#This Row],[date_modif]],
      "Ancien",
      "Modifié"),
   "Nouveau"))</f>
        <v>Ancien</v>
      </c>
      <c r="AC1750"/>
      <c r="AD1750"/>
    </row>
    <row r="1751" spans="1:30" x14ac:dyDescent="0.25">
      <c r="A1751" s="5" t="s">
        <v>5417</v>
      </c>
      <c r="B1751" s="1" t="s">
        <v>9866</v>
      </c>
      <c r="C1751" s="1" t="s">
        <v>90</v>
      </c>
      <c r="J1751" s="3">
        <v>46175.568657407406</v>
      </c>
      <c r="L1751" s="1">
        <v>20</v>
      </c>
      <c r="M1751" s="1">
        <v>20</v>
      </c>
      <c r="N1751">
        <v>0</v>
      </c>
      <c r="O1751" s="3">
        <f>IF(
    R1751="Ancien",
    _xlfn.XLOOKUP(
        Final_Sans_VGE[[#This Row],[ppn_z]],
        tbl_Historique_Final[ppn_z],
        tbl_Historique_Final[Horodatage],
        ""
    ),
    Horodatage!$A$2
)</f>
        <v>46233.670796365739</v>
      </c>
      <c r="P1751" s="1" t="str">
        <f>IFERROR(IF(tbl_Historique_Final[[#This Row],[Commentaires]]&lt;&gt;"",tbl_Historique_Final[[#This Row],[Commentaires]],""),"")</f>
        <v/>
      </c>
      <c r="X1751" s="8" t="str">
        <f>IF(Final_Sans_VGE[[#This Row],[ppn_z]]="","",IFERROR(
   IF(_xlfn.XLOOKUP(Final_Sans_VGE[[#This Row],[ppn_z]],tbl_Historique_Final[ppn_z],tbl_Historique_Final[date_modif])=Final_Sans_VGE[[#This Row],[date_modif]],
      "Ancien",
      "Modifié"),
   "Nouveau"))</f>
        <v>Ancien</v>
      </c>
      <c r="AC1751"/>
      <c r="AD1751"/>
    </row>
    <row r="1752" spans="1:30" x14ac:dyDescent="0.25">
      <c r="A1752" s="5" t="s">
        <v>5420</v>
      </c>
      <c r="B1752" s="1" t="s">
        <v>9867</v>
      </c>
      <c r="C1752" s="1" t="s">
        <v>6386</v>
      </c>
      <c r="J1752" s="3">
        <v>46181.586412037039</v>
      </c>
      <c r="L1752" s="1">
        <v>17</v>
      </c>
      <c r="M1752" s="1">
        <v>17</v>
      </c>
      <c r="N1752">
        <v>0</v>
      </c>
      <c r="O1752" s="3">
        <f>IF(
    R1752="Ancien",
    _xlfn.XLOOKUP(
        Final_Sans_VGE[[#This Row],[ppn_z]],
        tbl_Historique_Final[ppn_z],
        tbl_Historique_Final[Horodatage],
        ""
    ),
    Horodatage!$A$2
)</f>
        <v>46233.670796365739</v>
      </c>
      <c r="P1752" s="1" t="str">
        <f>IFERROR(IF(tbl_Historique_Final[[#This Row],[Commentaires]]&lt;&gt;"",tbl_Historique_Final[[#This Row],[Commentaires]],""),"")</f>
        <v/>
      </c>
      <c r="X1752" s="8" t="str">
        <f>IF(Final_Sans_VGE[[#This Row],[ppn_z]]="","",IFERROR(
   IF(_xlfn.XLOOKUP(Final_Sans_VGE[[#This Row],[ppn_z]],tbl_Historique_Final[ppn_z],tbl_Historique_Final[date_modif])=Final_Sans_VGE[[#This Row],[date_modif]],
      "Ancien",
      "Modifié"),
   "Nouveau"))</f>
        <v>Ancien</v>
      </c>
      <c r="AC1752"/>
      <c r="AD1752"/>
    </row>
    <row r="1753" spans="1:30" x14ac:dyDescent="0.25">
      <c r="A1753" s="5" t="s">
        <v>5423</v>
      </c>
      <c r="B1753" s="1" t="s">
        <v>9868</v>
      </c>
      <c r="C1753" s="1" t="s">
        <v>9129</v>
      </c>
      <c r="E1753" s="1" t="s">
        <v>8685</v>
      </c>
      <c r="J1753" s="3">
        <v>46184.648761574077</v>
      </c>
      <c r="L1753" s="1">
        <v>31</v>
      </c>
      <c r="M1753" s="1">
        <v>31</v>
      </c>
      <c r="N1753">
        <v>0</v>
      </c>
      <c r="O1753" s="3">
        <f>IF(
    R1753="Ancien",
    _xlfn.XLOOKUP(
        Final_Sans_VGE[[#This Row],[ppn_z]],
        tbl_Historique_Final[ppn_z],
        tbl_Historique_Final[Horodatage],
        ""
    ),
    Horodatage!$A$2
)</f>
        <v>46233.670796365739</v>
      </c>
      <c r="P1753" s="1" t="str">
        <f>IFERROR(IF(tbl_Historique_Final[[#This Row],[Commentaires]]&lt;&gt;"",tbl_Historique_Final[[#This Row],[Commentaires]],""),"")</f>
        <v/>
      </c>
      <c r="X1753" s="8" t="str">
        <f>IF(Final_Sans_VGE[[#This Row],[ppn_z]]="","",IFERROR(
   IF(_xlfn.XLOOKUP(Final_Sans_VGE[[#This Row],[ppn_z]],tbl_Historique_Final[ppn_z],tbl_Historique_Final[date_modif])=Final_Sans_VGE[[#This Row],[date_modif]],
      "Ancien",
      "Modifié"),
   "Nouveau"))</f>
        <v>Ancien</v>
      </c>
      <c r="AC1753"/>
      <c r="AD1753"/>
    </row>
    <row r="1754" spans="1:30" x14ac:dyDescent="0.25">
      <c r="A1754" s="5" t="s">
        <v>5426</v>
      </c>
      <c r="B1754" s="1" t="s">
        <v>9869</v>
      </c>
      <c r="C1754" s="1" t="s">
        <v>12</v>
      </c>
      <c r="G1754" s="1" t="s">
        <v>10</v>
      </c>
      <c r="J1754" s="3">
        <v>46185.390300925923</v>
      </c>
      <c r="L1754" s="1">
        <v>5</v>
      </c>
      <c r="M1754" s="1">
        <v>5</v>
      </c>
      <c r="N1754">
        <v>0</v>
      </c>
      <c r="O1754" s="3">
        <f>IF(
    R1754="Ancien",
    _xlfn.XLOOKUP(
        Final_Sans_VGE[[#This Row],[ppn_z]],
        tbl_Historique_Final[ppn_z],
        tbl_Historique_Final[Horodatage],
        ""
    ),
    Horodatage!$A$2
)</f>
        <v>46233.670796365739</v>
      </c>
      <c r="P1754" s="1" t="str">
        <f>IFERROR(IF(tbl_Historique_Final[[#This Row],[Commentaires]]&lt;&gt;"",tbl_Historique_Final[[#This Row],[Commentaires]],""),"")</f>
        <v/>
      </c>
      <c r="X1754" s="8" t="str">
        <f>IF(Final_Sans_VGE[[#This Row],[ppn_z]]="","",IFERROR(
   IF(_xlfn.XLOOKUP(Final_Sans_VGE[[#This Row],[ppn_z]],tbl_Historique_Final[ppn_z],tbl_Historique_Final[date_modif])=Final_Sans_VGE[[#This Row],[date_modif]],
      "Ancien",
      "Modifié"),
   "Nouveau"))</f>
        <v>Ancien</v>
      </c>
      <c r="AC1754"/>
      <c r="AD1754"/>
    </row>
    <row r="1755" spans="1:30" x14ac:dyDescent="0.25">
      <c r="A1755" s="5" t="s">
        <v>5429</v>
      </c>
      <c r="B1755" s="1" t="s">
        <v>9870</v>
      </c>
      <c r="C1755" s="1" t="s">
        <v>12</v>
      </c>
      <c r="G1755" s="1" t="s">
        <v>10</v>
      </c>
      <c r="J1755" s="3">
        <v>46185.507222222222</v>
      </c>
      <c r="L1755" s="1">
        <v>10</v>
      </c>
      <c r="M1755" s="1">
        <v>10</v>
      </c>
      <c r="N1755">
        <v>0</v>
      </c>
      <c r="O1755" s="3">
        <f>IF(
    R1755="Ancien",
    _xlfn.XLOOKUP(
        Final_Sans_VGE[[#This Row],[ppn_z]],
        tbl_Historique_Final[ppn_z],
        tbl_Historique_Final[Horodatage],
        ""
    ),
    Horodatage!$A$2
)</f>
        <v>46233.670796365739</v>
      </c>
      <c r="P1755" s="1" t="str">
        <f>IFERROR(IF(tbl_Historique_Final[[#This Row],[Commentaires]]&lt;&gt;"",tbl_Historique_Final[[#This Row],[Commentaires]],""),"")</f>
        <v/>
      </c>
      <c r="X1755" s="8" t="str">
        <f>IF(Final_Sans_VGE[[#This Row],[ppn_z]]="","",IFERROR(
   IF(_xlfn.XLOOKUP(Final_Sans_VGE[[#This Row],[ppn_z]],tbl_Historique_Final[ppn_z],tbl_Historique_Final[date_modif])=Final_Sans_VGE[[#This Row],[date_modif]],
      "Ancien",
      "Modifié"),
   "Nouveau"))</f>
        <v>Ancien</v>
      </c>
      <c r="AC1755"/>
      <c r="AD1755"/>
    </row>
    <row r="1756" spans="1:30" x14ac:dyDescent="0.25">
      <c r="A1756" s="5" t="s">
        <v>5432</v>
      </c>
      <c r="B1756" s="1" t="s">
        <v>9871</v>
      </c>
      <c r="C1756" s="1" t="s">
        <v>12</v>
      </c>
      <c r="G1756" s="1" t="s">
        <v>10</v>
      </c>
      <c r="J1756" s="3">
        <v>46185.526863425926</v>
      </c>
      <c r="L1756" s="1">
        <v>5</v>
      </c>
      <c r="M1756" s="1">
        <v>5</v>
      </c>
      <c r="N1756">
        <v>0</v>
      </c>
      <c r="O1756" s="3">
        <f>IF(
    R1756="Ancien",
    _xlfn.XLOOKUP(
        Final_Sans_VGE[[#This Row],[ppn_z]],
        tbl_Historique_Final[ppn_z],
        tbl_Historique_Final[Horodatage],
        ""
    ),
    Horodatage!$A$2
)</f>
        <v>46233.670796365739</v>
      </c>
      <c r="P1756" s="1" t="str">
        <f>IFERROR(IF(tbl_Historique_Final[[#This Row],[Commentaires]]&lt;&gt;"",tbl_Historique_Final[[#This Row],[Commentaires]],""),"")</f>
        <v/>
      </c>
      <c r="X1756" s="8" t="str">
        <f>IF(Final_Sans_VGE[[#This Row],[ppn_z]]="","",IFERROR(
   IF(_xlfn.XLOOKUP(Final_Sans_VGE[[#This Row],[ppn_z]],tbl_Historique_Final[ppn_z],tbl_Historique_Final[date_modif])=Final_Sans_VGE[[#This Row],[date_modif]],
      "Ancien",
      "Modifié"),
   "Nouveau"))</f>
        <v>Ancien</v>
      </c>
      <c r="AC1756"/>
      <c r="AD1756"/>
    </row>
    <row r="1757" spans="1:30" x14ac:dyDescent="0.25">
      <c r="A1757" s="5" t="s">
        <v>5435</v>
      </c>
      <c r="B1757" s="1" t="s">
        <v>9872</v>
      </c>
      <c r="C1757" s="1" t="s">
        <v>12</v>
      </c>
      <c r="G1757" s="1" t="s">
        <v>10</v>
      </c>
      <c r="J1757" s="3">
        <v>46185.600393518522</v>
      </c>
      <c r="L1757" s="1">
        <v>5</v>
      </c>
      <c r="M1757" s="1">
        <v>5</v>
      </c>
      <c r="N1757">
        <v>0</v>
      </c>
      <c r="O1757" s="3">
        <f>IF(
    R1757="Ancien",
    _xlfn.XLOOKUP(
        Final_Sans_VGE[[#This Row],[ppn_z]],
        tbl_Historique_Final[ppn_z],
        tbl_Historique_Final[Horodatage],
        ""
    ),
    Horodatage!$A$2
)</f>
        <v>46233.670796365739</v>
      </c>
      <c r="P1757" s="1" t="str">
        <f>IFERROR(IF(tbl_Historique_Final[[#This Row],[Commentaires]]&lt;&gt;"",tbl_Historique_Final[[#This Row],[Commentaires]],""),"")</f>
        <v/>
      </c>
      <c r="X1757" s="8" t="str">
        <f>IF(Final_Sans_VGE[[#This Row],[ppn_z]]="","",IFERROR(
   IF(_xlfn.XLOOKUP(Final_Sans_VGE[[#This Row],[ppn_z]],tbl_Historique_Final[ppn_z],tbl_Historique_Final[date_modif])=Final_Sans_VGE[[#This Row],[date_modif]],
      "Ancien",
      "Modifié"),
   "Nouveau"))</f>
        <v>Ancien</v>
      </c>
      <c r="AC1757"/>
      <c r="AD1757"/>
    </row>
    <row r="1758" spans="1:30" x14ac:dyDescent="0.25">
      <c r="A1758" s="5" t="s">
        <v>5438</v>
      </c>
      <c r="B1758" s="1" t="s">
        <v>9873</v>
      </c>
      <c r="C1758" s="1" t="s">
        <v>12</v>
      </c>
      <c r="G1758" s="1" t="s">
        <v>11</v>
      </c>
      <c r="J1758" s="3">
        <v>46185.605196759258</v>
      </c>
      <c r="L1758" s="1">
        <v>5</v>
      </c>
      <c r="M1758" s="1">
        <v>5</v>
      </c>
      <c r="N1758">
        <v>0</v>
      </c>
      <c r="O1758" s="3">
        <f>IF(
    R1758="Ancien",
    _xlfn.XLOOKUP(
        Final_Sans_VGE[[#This Row],[ppn_z]],
        tbl_Historique_Final[ppn_z],
        tbl_Historique_Final[Horodatage],
        ""
    ),
    Horodatage!$A$2
)</f>
        <v>46233.670796365739</v>
      </c>
      <c r="P1758" s="1" t="str">
        <f>IFERROR(IF(tbl_Historique_Final[[#This Row],[Commentaires]]&lt;&gt;"",tbl_Historique_Final[[#This Row],[Commentaires]],""),"")</f>
        <v/>
      </c>
      <c r="X1758" s="8" t="str">
        <f>IF(Final_Sans_VGE[[#This Row],[ppn_z]]="","",IFERROR(
   IF(_xlfn.XLOOKUP(Final_Sans_VGE[[#This Row],[ppn_z]],tbl_Historique_Final[ppn_z],tbl_Historique_Final[date_modif])=Final_Sans_VGE[[#This Row],[date_modif]],
      "Ancien",
      "Modifié"),
   "Nouveau"))</f>
        <v>Ancien</v>
      </c>
      <c r="AC1758"/>
      <c r="AD1758"/>
    </row>
    <row r="1759" spans="1:30" x14ac:dyDescent="0.25">
      <c r="A1759" s="5" t="s">
        <v>5441</v>
      </c>
      <c r="B1759" s="1" t="s">
        <v>9874</v>
      </c>
      <c r="C1759" s="1" t="s">
        <v>12</v>
      </c>
      <c r="G1759" s="1" t="s">
        <v>11</v>
      </c>
      <c r="J1759" s="3">
        <v>46185.635462962964</v>
      </c>
      <c r="L1759" s="1">
        <v>5</v>
      </c>
      <c r="M1759" s="1">
        <v>6</v>
      </c>
      <c r="N1759">
        <v>1</v>
      </c>
      <c r="O1759" s="3">
        <f>IF(
    R1759="Ancien",
    _xlfn.XLOOKUP(
        Final_Sans_VGE[[#This Row],[ppn_z]],
        tbl_Historique_Final[ppn_z],
        tbl_Historique_Final[Horodatage],
        ""
    ),
    Horodatage!$A$2
)</f>
        <v>46233.670796365739</v>
      </c>
      <c r="P1759" s="1" t="str">
        <f>IFERROR(IF(tbl_Historique_Final[[#This Row],[Commentaires]]&lt;&gt;"",tbl_Historique_Final[[#This Row],[Commentaires]],""),"")</f>
        <v/>
      </c>
      <c r="X1759" s="8" t="str">
        <f>IF(Final_Sans_VGE[[#This Row],[ppn_z]]="","",IFERROR(
   IF(_xlfn.XLOOKUP(Final_Sans_VGE[[#This Row],[ppn_z]],tbl_Historique_Final[ppn_z],tbl_Historique_Final[date_modif])=Final_Sans_VGE[[#This Row],[date_modif]],
      "Ancien",
      "Modifié"),
   "Nouveau"))</f>
        <v>Ancien</v>
      </c>
      <c r="AC1759"/>
      <c r="AD1759"/>
    </row>
    <row r="1760" spans="1:30" x14ac:dyDescent="0.25">
      <c r="A1760" s="5" t="s">
        <v>5444</v>
      </c>
      <c r="B1760" s="1" t="s">
        <v>9875</v>
      </c>
      <c r="C1760" s="1" t="s">
        <v>12</v>
      </c>
      <c r="G1760" s="1" t="s">
        <v>10</v>
      </c>
      <c r="J1760" s="3">
        <v>46185.649733796294</v>
      </c>
      <c r="L1760" s="1">
        <v>5</v>
      </c>
      <c r="M1760" s="1">
        <v>5</v>
      </c>
      <c r="N1760">
        <v>0</v>
      </c>
      <c r="O1760" s="3">
        <f>IF(
    R1760="Ancien",
    _xlfn.XLOOKUP(
        Final_Sans_VGE[[#This Row],[ppn_z]],
        tbl_Historique_Final[ppn_z],
        tbl_Historique_Final[Horodatage],
        ""
    ),
    Horodatage!$A$2
)</f>
        <v>46233.670796365739</v>
      </c>
      <c r="P1760" s="1" t="str">
        <f>IFERROR(IF(tbl_Historique_Final[[#This Row],[Commentaires]]&lt;&gt;"",tbl_Historique_Final[[#This Row],[Commentaires]],""),"")</f>
        <v/>
      </c>
      <c r="X1760" s="8" t="str">
        <f>IF(Final_Sans_VGE[[#This Row],[ppn_z]]="","",IFERROR(
   IF(_xlfn.XLOOKUP(Final_Sans_VGE[[#This Row],[ppn_z]],tbl_Historique_Final[ppn_z],tbl_Historique_Final[date_modif])=Final_Sans_VGE[[#This Row],[date_modif]],
      "Ancien",
      "Modifié"),
   "Nouveau"))</f>
        <v>Ancien</v>
      </c>
      <c r="AC1760"/>
      <c r="AD1760"/>
    </row>
    <row r="1761" spans="1:30" x14ac:dyDescent="0.25">
      <c r="A1761" s="5" t="s">
        <v>5447</v>
      </c>
      <c r="B1761" s="1" t="s">
        <v>9876</v>
      </c>
      <c r="C1761" s="1" t="s">
        <v>12</v>
      </c>
      <c r="G1761" s="1" t="s">
        <v>10</v>
      </c>
      <c r="J1761" s="3">
        <v>46185.653449074074</v>
      </c>
      <c r="L1761" s="1">
        <v>5</v>
      </c>
      <c r="M1761" s="1">
        <v>6</v>
      </c>
      <c r="N1761">
        <v>1</v>
      </c>
      <c r="O1761" s="3">
        <f>IF(
    R1761="Ancien",
    _xlfn.XLOOKUP(
        Final_Sans_VGE[[#This Row],[ppn_z]],
        tbl_Historique_Final[ppn_z],
        tbl_Historique_Final[Horodatage],
        ""
    ),
    Horodatage!$A$2
)</f>
        <v>46233.670796365739</v>
      </c>
      <c r="P1761" s="1" t="str">
        <f>IFERROR(IF(tbl_Historique_Final[[#This Row],[Commentaires]]&lt;&gt;"",tbl_Historique_Final[[#This Row],[Commentaires]],""),"")</f>
        <v/>
      </c>
      <c r="X1761" s="8" t="str">
        <f>IF(Final_Sans_VGE[[#This Row],[ppn_z]]="","",IFERROR(
   IF(_xlfn.XLOOKUP(Final_Sans_VGE[[#This Row],[ppn_z]],tbl_Historique_Final[ppn_z],tbl_Historique_Final[date_modif])=Final_Sans_VGE[[#This Row],[date_modif]],
      "Ancien",
      "Modifié"),
   "Nouveau"))</f>
        <v>Ancien</v>
      </c>
      <c r="AC1761"/>
      <c r="AD1761"/>
    </row>
    <row r="1762" spans="1:30" x14ac:dyDescent="0.25">
      <c r="A1762" s="5" t="s">
        <v>5450</v>
      </c>
      <c r="B1762" s="1" t="s">
        <v>9877</v>
      </c>
      <c r="C1762" s="1" t="s">
        <v>6694</v>
      </c>
      <c r="E1762" s="1" t="s">
        <v>147</v>
      </c>
      <c r="J1762" s="3">
        <v>46188.57608796296</v>
      </c>
      <c r="L1762" s="1">
        <v>0</v>
      </c>
      <c r="M1762" s="1">
        <v>6</v>
      </c>
      <c r="N1762">
        <v>6</v>
      </c>
      <c r="O1762" s="3">
        <f>IF(
    R1762="Ancien",
    _xlfn.XLOOKUP(
        Final_Sans_VGE[[#This Row],[ppn_z]],
        tbl_Historique_Final[ppn_z],
        tbl_Historique_Final[Horodatage],
        ""
    ),
    Horodatage!$A$2
)</f>
        <v>46233.670796365739</v>
      </c>
      <c r="P1762" s="1" t="str">
        <f>IFERROR(IF(tbl_Historique_Final[[#This Row],[Commentaires]]&lt;&gt;"",tbl_Historique_Final[[#This Row],[Commentaires]],""),"")</f>
        <v/>
      </c>
      <c r="X1762" s="8" t="str">
        <f>IF(Final_Sans_VGE[[#This Row],[ppn_z]]="","",IFERROR(
   IF(_xlfn.XLOOKUP(Final_Sans_VGE[[#This Row],[ppn_z]],tbl_Historique_Final[ppn_z],tbl_Historique_Final[date_modif])=Final_Sans_VGE[[#This Row],[date_modif]],
      "Ancien",
      "Modifié"),
   "Nouveau"))</f>
        <v>Ancien</v>
      </c>
      <c r="AC1762"/>
      <c r="AD1762"/>
    </row>
    <row r="1763" spans="1:30" x14ac:dyDescent="0.25">
      <c r="A1763" s="5" t="s">
        <v>5453</v>
      </c>
      <c r="B1763" s="1" t="s">
        <v>9878</v>
      </c>
      <c r="C1763" s="1" t="s">
        <v>9879</v>
      </c>
      <c r="G1763" s="1" t="s">
        <v>10</v>
      </c>
      <c r="J1763" s="3">
        <v>46189.485069444447</v>
      </c>
      <c r="L1763" s="1">
        <v>4</v>
      </c>
      <c r="M1763" s="1">
        <v>5</v>
      </c>
      <c r="N1763">
        <v>1</v>
      </c>
      <c r="O1763" s="3">
        <f>IF(
    R1763="Ancien",
    _xlfn.XLOOKUP(
        Final_Sans_VGE[[#This Row],[ppn_z]],
        tbl_Historique_Final[ppn_z],
        tbl_Historique_Final[Horodatage],
        ""
    ),
    Horodatage!$A$2
)</f>
        <v>46233.670796365739</v>
      </c>
      <c r="P1763" s="1" t="str">
        <f>IFERROR(IF(tbl_Historique_Final[[#This Row],[Commentaires]]&lt;&gt;"",tbl_Historique_Final[[#This Row],[Commentaires]],""),"")</f>
        <v/>
      </c>
      <c r="X1763" s="8" t="str">
        <f>IF(Final_Sans_VGE[[#This Row],[ppn_z]]="","",IFERROR(
   IF(_xlfn.XLOOKUP(Final_Sans_VGE[[#This Row],[ppn_z]],tbl_Historique_Final[ppn_z],tbl_Historique_Final[date_modif])=Final_Sans_VGE[[#This Row],[date_modif]],
      "Ancien",
      "Modifié"),
   "Nouveau"))</f>
        <v>Ancien</v>
      </c>
      <c r="AC1763"/>
      <c r="AD1763"/>
    </row>
    <row r="1764" spans="1:30" x14ac:dyDescent="0.25">
      <c r="A1764" s="5" t="s">
        <v>5456</v>
      </c>
      <c r="B1764" s="1" t="s">
        <v>9880</v>
      </c>
      <c r="C1764" s="1" t="s">
        <v>152</v>
      </c>
      <c r="E1764" s="1" t="s">
        <v>12</v>
      </c>
      <c r="J1764" s="3">
        <v>46189.50204861111</v>
      </c>
      <c r="L1764" s="1">
        <v>5</v>
      </c>
      <c r="M1764" s="1">
        <v>5</v>
      </c>
      <c r="N1764">
        <v>0</v>
      </c>
      <c r="O1764" s="3">
        <f>IF(
    R1764="Ancien",
    _xlfn.XLOOKUP(
        Final_Sans_VGE[[#This Row],[ppn_z]],
        tbl_Historique_Final[ppn_z],
        tbl_Historique_Final[Horodatage],
        ""
    ),
    Horodatage!$A$2
)</f>
        <v>46233.670796365739</v>
      </c>
      <c r="P1764" s="1" t="str">
        <f>IFERROR(IF(tbl_Historique_Final[[#This Row],[Commentaires]]&lt;&gt;"",tbl_Historique_Final[[#This Row],[Commentaires]],""),"")</f>
        <v/>
      </c>
      <c r="X1764" s="8" t="str">
        <f>IF(Final_Sans_VGE[[#This Row],[ppn_z]]="","",IFERROR(
   IF(_xlfn.XLOOKUP(Final_Sans_VGE[[#This Row],[ppn_z]],tbl_Historique_Final[ppn_z],tbl_Historique_Final[date_modif])=Final_Sans_VGE[[#This Row],[date_modif]],
      "Ancien",
      "Modifié"),
   "Nouveau"))</f>
        <v>Ancien</v>
      </c>
      <c r="AC1764"/>
      <c r="AD1764"/>
    </row>
    <row r="1765" spans="1:30" x14ac:dyDescent="0.25">
      <c r="A1765" s="5" t="s">
        <v>5459</v>
      </c>
      <c r="B1765" s="1" t="s">
        <v>9881</v>
      </c>
      <c r="C1765" s="1" t="s">
        <v>12</v>
      </c>
      <c r="G1765" s="1" t="s">
        <v>11</v>
      </c>
      <c r="J1765" s="3">
        <v>46190.342349537037</v>
      </c>
      <c r="L1765" s="1">
        <v>4</v>
      </c>
      <c r="M1765" s="1">
        <v>5</v>
      </c>
      <c r="N1765">
        <v>1</v>
      </c>
      <c r="O1765" s="3">
        <f>IF(
    R1765="Ancien",
    _xlfn.XLOOKUP(
        Final_Sans_VGE[[#This Row],[ppn_z]],
        tbl_Historique_Final[ppn_z],
        tbl_Historique_Final[Horodatage],
        ""
    ),
    Horodatage!$A$2
)</f>
        <v>46233.670796365739</v>
      </c>
      <c r="P1765" s="1" t="str">
        <f>IFERROR(IF(tbl_Historique_Final[[#This Row],[Commentaires]]&lt;&gt;"",tbl_Historique_Final[[#This Row],[Commentaires]],""),"")</f>
        <v/>
      </c>
      <c r="X1765" s="8" t="str">
        <f>IF(Final_Sans_VGE[[#This Row],[ppn_z]]="","",IFERROR(
   IF(_xlfn.XLOOKUP(Final_Sans_VGE[[#This Row],[ppn_z]],tbl_Historique_Final[ppn_z],tbl_Historique_Final[date_modif])=Final_Sans_VGE[[#This Row],[date_modif]],
      "Ancien",
      "Modifié"),
   "Nouveau"))</f>
        <v>Ancien</v>
      </c>
      <c r="AC1765"/>
      <c r="AD1765"/>
    </row>
    <row r="1766" spans="1:30" x14ac:dyDescent="0.25">
      <c r="A1766" s="5" t="s">
        <v>5462</v>
      </c>
      <c r="B1766" s="1" t="s">
        <v>9882</v>
      </c>
      <c r="C1766" s="1" t="s">
        <v>12</v>
      </c>
      <c r="E1766" s="1" t="s">
        <v>7096</v>
      </c>
      <c r="G1766" s="1" t="s">
        <v>10</v>
      </c>
      <c r="J1766" s="3">
        <v>46190.496307870373</v>
      </c>
      <c r="L1766" s="1">
        <v>10</v>
      </c>
      <c r="M1766" s="1">
        <v>17</v>
      </c>
      <c r="N1766">
        <v>7</v>
      </c>
      <c r="O1766" s="3">
        <f>IF(
    R1766="Ancien",
    _xlfn.XLOOKUP(
        Final_Sans_VGE[[#This Row],[ppn_z]],
        tbl_Historique_Final[ppn_z],
        tbl_Historique_Final[Horodatage],
        ""
    ),
    Horodatage!$A$2
)</f>
        <v>46233.670796365739</v>
      </c>
      <c r="P1766" s="1" t="str">
        <f>IFERROR(IF(tbl_Historique_Final[[#This Row],[Commentaires]]&lt;&gt;"",tbl_Historique_Final[[#This Row],[Commentaires]],""),"")</f>
        <v/>
      </c>
      <c r="X1766" s="8" t="str">
        <f>IF(Final_Sans_VGE[[#This Row],[ppn_z]]="","",IFERROR(
   IF(_xlfn.XLOOKUP(Final_Sans_VGE[[#This Row],[ppn_z]],tbl_Historique_Final[ppn_z],tbl_Historique_Final[date_modif])=Final_Sans_VGE[[#This Row],[date_modif]],
      "Ancien",
      "Modifié"),
   "Nouveau"))</f>
        <v>Ancien</v>
      </c>
      <c r="AC1766"/>
      <c r="AD1766"/>
    </row>
    <row r="1767" spans="1:30" x14ac:dyDescent="0.25">
      <c r="A1767" s="5" t="s">
        <v>5465</v>
      </c>
      <c r="B1767" s="1" t="s">
        <v>9883</v>
      </c>
      <c r="C1767" s="1" t="s">
        <v>7588</v>
      </c>
      <c r="E1767" s="1" t="s">
        <v>109</v>
      </c>
      <c r="G1767" s="1" t="s">
        <v>10</v>
      </c>
      <c r="J1767" s="3">
        <v>46191.354155092595</v>
      </c>
      <c r="L1767" s="1">
        <v>12</v>
      </c>
      <c r="M1767" s="1">
        <v>12</v>
      </c>
      <c r="N1767">
        <v>0</v>
      </c>
      <c r="O1767" s="3">
        <f>IF(
    R1767="Ancien",
    _xlfn.XLOOKUP(
        Final_Sans_VGE[[#This Row],[ppn_z]],
        tbl_Historique_Final[ppn_z],
        tbl_Historique_Final[Horodatage],
        ""
    ),
    Horodatage!$A$2
)</f>
        <v>46233.670796365739</v>
      </c>
      <c r="P1767" s="1" t="str">
        <f>IFERROR(IF(tbl_Historique_Final[[#This Row],[Commentaires]]&lt;&gt;"",tbl_Historique_Final[[#This Row],[Commentaires]],""),"")</f>
        <v/>
      </c>
      <c r="X1767" s="8" t="str">
        <f>IF(Final_Sans_VGE[[#This Row],[ppn_z]]="","",IFERROR(
   IF(_xlfn.XLOOKUP(Final_Sans_VGE[[#This Row],[ppn_z]],tbl_Historique_Final[ppn_z],tbl_Historique_Final[date_modif])=Final_Sans_VGE[[#This Row],[date_modif]],
      "Ancien",
      "Modifié"),
   "Nouveau"))</f>
        <v>Ancien</v>
      </c>
      <c r="AC1767"/>
      <c r="AD1767"/>
    </row>
    <row r="1768" spans="1:30" x14ac:dyDescent="0.25">
      <c r="A1768" s="5" t="s">
        <v>5468</v>
      </c>
      <c r="B1768" s="1" t="s">
        <v>9884</v>
      </c>
      <c r="C1768" s="1" t="s">
        <v>6565</v>
      </c>
      <c r="J1768" s="3">
        <v>46191.639467592591</v>
      </c>
      <c r="L1768" s="1">
        <v>17</v>
      </c>
      <c r="M1768" s="1">
        <v>17</v>
      </c>
      <c r="N1768">
        <v>0</v>
      </c>
      <c r="O1768" s="3">
        <f>IF(
    R1768="Ancien",
    _xlfn.XLOOKUP(
        Final_Sans_VGE[[#This Row],[ppn_z]],
        tbl_Historique_Final[ppn_z],
        tbl_Historique_Final[Horodatage],
        ""
    ),
    Horodatage!$A$2
)</f>
        <v>46233.670796365739</v>
      </c>
      <c r="P1768" s="1" t="str">
        <f>IFERROR(IF(tbl_Historique_Final[[#This Row],[Commentaires]]&lt;&gt;"",tbl_Historique_Final[[#This Row],[Commentaires]],""),"")</f>
        <v/>
      </c>
      <c r="X1768" s="8" t="str">
        <f>IF(Final_Sans_VGE[[#This Row],[ppn_z]]="","",IFERROR(
   IF(_xlfn.XLOOKUP(Final_Sans_VGE[[#This Row],[ppn_z]],tbl_Historique_Final[ppn_z],tbl_Historique_Final[date_modif])=Final_Sans_VGE[[#This Row],[date_modif]],
      "Ancien",
      "Modifié"),
   "Nouveau"))</f>
        <v>Ancien</v>
      </c>
      <c r="AC1768"/>
      <c r="AD1768"/>
    </row>
    <row r="1769" spans="1:30" x14ac:dyDescent="0.25">
      <c r="A1769" s="5" t="s">
        <v>5471</v>
      </c>
      <c r="B1769" s="1" t="s">
        <v>9885</v>
      </c>
      <c r="C1769" s="1" t="s">
        <v>6447</v>
      </c>
      <c r="J1769" s="3">
        <v>46191.799328703702</v>
      </c>
      <c r="L1769" s="1">
        <v>17</v>
      </c>
      <c r="M1769" s="1">
        <v>17</v>
      </c>
      <c r="N1769">
        <v>0</v>
      </c>
      <c r="O1769" s="3">
        <f>IF(
    R1769="Ancien",
    _xlfn.XLOOKUP(
        Final_Sans_VGE[[#This Row],[ppn_z]],
        tbl_Historique_Final[ppn_z],
        tbl_Historique_Final[Horodatage],
        ""
    ),
    Horodatage!$A$2
)</f>
        <v>46233.670796365739</v>
      </c>
      <c r="P1769" s="1" t="str">
        <f>IFERROR(IF(tbl_Historique_Final[[#This Row],[Commentaires]]&lt;&gt;"",tbl_Historique_Final[[#This Row],[Commentaires]],""),"")</f>
        <v/>
      </c>
      <c r="X1769" s="8" t="str">
        <f>IF(Final_Sans_VGE[[#This Row],[ppn_z]]="","",IFERROR(
   IF(_xlfn.XLOOKUP(Final_Sans_VGE[[#This Row],[ppn_z]],tbl_Historique_Final[ppn_z],tbl_Historique_Final[date_modif])=Final_Sans_VGE[[#This Row],[date_modif]],
      "Ancien",
      "Modifié"),
   "Nouveau"))</f>
        <v>Ancien</v>
      </c>
      <c r="AC1769"/>
      <c r="AD1769"/>
    </row>
    <row r="1770" spans="1:30" x14ac:dyDescent="0.25">
      <c r="A1770" s="5" t="s">
        <v>5474</v>
      </c>
      <c r="B1770" s="1" t="s">
        <v>9886</v>
      </c>
      <c r="C1770" s="1" t="s">
        <v>12</v>
      </c>
      <c r="G1770" s="1" t="s">
        <v>11</v>
      </c>
      <c r="J1770" s="3">
        <v>46199.488206018519</v>
      </c>
      <c r="L1770" s="1">
        <v>4</v>
      </c>
      <c r="M1770" s="1">
        <v>4</v>
      </c>
      <c r="N1770">
        <v>0</v>
      </c>
      <c r="O1770" s="3">
        <f>IF(
    R1770="Ancien",
    _xlfn.XLOOKUP(
        Final_Sans_VGE[[#This Row],[ppn_z]],
        tbl_Historique_Final[ppn_z],
        tbl_Historique_Final[Horodatage],
        ""
    ),
    Horodatage!$A$2
)</f>
        <v>46233.670796365739</v>
      </c>
      <c r="P1770" s="1" t="str">
        <f>IFERROR(IF(tbl_Historique_Final[[#This Row],[Commentaires]]&lt;&gt;"",tbl_Historique_Final[[#This Row],[Commentaires]],""),"")</f>
        <v/>
      </c>
      <c r="X1770" s="8" t="str">
        <f>IF(Final_Sans_VGE[[#This Row],[ppn_z]]="","",IFERROR(
   IF(_xlfn.XLOOKUP(Final_Sans_VGE[[#This Row],[ppn_z]],tbl_Historique_Final[ppn_z],tbl_Historique_Final[date_modif])=Final_Sans_VGE[[#This Row],[date_modif]],
      "Ancien",
      "Modifié"),
   "Nouveau"))</f>
        <v>Ancien</v>
      </c>
      <c r="AC1770"/>
      <c r="AD1770"/>
    </row>
    <row r="1771" spans="1:30" x14ac:dyDescent="0.25">
      <c r="A1771" s="5" t="s">
        <v>5477</v>
      </c>
      <c r="B1771" s="1" t="s">
        <v>9887</v>
      </c>
      <c r="C1771" s="1" t="s">
        <v>12</v>
      </c>
      <c r="G1771" s="1" t="s">
        <v>11</v>
      </c>
      <c r="J1771" s="3">
        <v>46199.629965277774</v>
      </c>
      <c r="L1771" s="1">
        <v>5</v>
      </c>
      <c r="M1771" s="1">
        <v>5</v>
      </c>
      <c r="N1771">
        <v>0</v>
      </c>
      <c r="O1771" s="3">
        <f>IF(
    R1771="Ancien",
    _xlfn.XLOOKUP(
        Final_Sans_VGE[[#This Row],[ppn_z]],
        tbl_Historique_Final[ppn_z],
        tbl_Historique_Final[Horodatage],
        ""
    ),
    Horodatage!$A$2
)</f>
        <v>46233.670796365739</v>
      </c>
      <c r="P1771" s="1" t="str">
        <f>IFERROR(IF(tbl_Historique_Final[[#This Row],[Commentaires]]&lt;&gt;"",tbl_Historique_Final[[#This Row],[Commentaires]],""),"")</f>
        <v/>
      </c>
      <c r="X1771" s="8" t="str">
        <f>IF(Final_Sans_VGE[[#This Row],[ppn_z]]="","",IFERROR(
   IF(_xlfn.XLOOKUP(Final_Sans_VGE[[#This Row],[ppn_z]],tbl_Historique_Final[ppn_z],tbl_Historique_Final[date_modif])=Final_Sans_VGE[[#This Row],[date_modif]],
      "Ancien",
      "Modifié"),
   "Nouveau"))</f>
        <v>Ancien</v>
      </c>
      <c r="AC1771"/>
      <c r="AD1771"/>
    </row>
    <row r="1772" spans="1:30" x14ac:dyDescent="0.25">
      <c r="A1772" s="5" t="s">
        <v>5480</v>
      </c>
      <c r="B1772" s="1" t="s">
        <v>9888</v>
      </c>
      <c r="C1772" s="1" t="s">
        <v>12</v>
      </c>
      <c r="G1772" s="1" t="s">
        <v>11</v>
      </c>
      <c r="J1772" s="3">
        <v>46199.635752314818</v>
      </c>
      <c r="L1772" s="1">
        <v>5</v>
      </c>
      <c r="M1772" s="1">
        <v>5</v>
      </c>
      <c r="N1772">
        <v>0</v>
      </c>
      <c r="O1772" s="3">
        <f>IF(
    R1772="Ancien",
    _xlfn.XLOOKUP(
        Final_Sans_VGE[[#This Row],[ppn_z]],
        tbl_Historique_Final[ppn_z],
        tbl_Historique_Final[Horodatage],
        ""
    ),
    Horodatage!$A$2
)</f>
        <v>46233.670796365739</v>
      </c>
      <c r="P1772" s="1" t="str">
        <f>IFERROR(IF(tbl_Historique_Final[[#This Row],[Commentaires]]&lt;&gt;"",tbl_Historique_Final[[#This Row],[Commentaires]],""),"")</f>
        <v/>
      </c>
      <c r="X1772" s="8" t="str">
        <f>IF(Final_Sans_VGE[[#This Row],[ppn_z]]="","",IFERROR(
   IF(_xlfn.XLOOKUP(Final_Sans_VGE[[#This Row],[ppn_z]],tbl_Historique_Final[ppn_z],tbl_Historique_Final[date_modif])=Final_Sans_VGE[[#This Row],[date_modif]],
      "Ancien",
      "Modifié"),
   "Nouveau"))</f>
        <v>Ancien</v>
      </c>
      <c r="AC1772"/>
      <c r="AD1772"/>
    </row>
    <row r="1773" spans="1:30" x14ac:dyDescent="0.25">
      <c r="A1773" s="5" t="s">
        <v>5483</v>
      </c>
      <c r="B1773" s="1" t="s">
        <v>9889</v>
      </c>
      <c r="C1773" s="1" t="s">
        <v>7164</v>
      </c>
      <c r="E1773" s="1" t="s">
        <v>116</v>
      </c>
      <c r="J1773" s="3">
        <v>46204.492164351854</v>
      </c>
      <c r="L1773" s="1">
        <v>1</v>
      </c>
      <c r="M1773" s="1">
        <v>1</v>
      </c>
      <c r="N1773">
        <v>0</v>
      </c>
      <c r="O1773" s="3">
        <f>IF(
    R1773="Ancien",
    _xlfn.XLOOKUP(
        Final_Sans_VGE[[#This Row],[ppn_z]],
        tbl_Historique_Final[ppn_z],
        tbl_Historique_Final[Horodatage],
        ""
    ),
    Horodatage!$A$2
)</f>
        <v>46233.670796365739</v>
      </c>
      <c r="P1773" s="1" t="str">
        <f>IFERROR(IF(tbl_Historique_Final[[#This Row],[Commentaires]]&lt;&gt;"",tbl_Historique_Final[[#This Row],[Commentaires]],""),"")</f>
        <v/>
      </c>
      <c r="X1773" s="8" t="str">
        <f>IF(Final_Sans_VGE[[#This Row],[ppn_z]]="","",IFERROR(
   IF(_xlfn.XLOOKUP(Final_Sans_VGE[[#This Row],[ppn_z]],tbl_Historique_Final[ppn_z],tbl_Historique_Final[date_modif])=Final_Sans_VGE[[#This Row],[date_modif]],
      "Ancien",
      "Modifié"),
   "Nouveau"))</f>
        <v>Ancien</v>
      </c>
      <c r="AC1773"/>
      <c r="AD1773"/>
    </row>
    <row r="1774" spans="1:30" x14ac:dyDescent="0.25">
      <c r="A1774" s="5" t="s">
        <v>5486</v>
      </c>
      <c r="B1774" s="1" t="s">
        <v>9890</v>
      </c>
      <c r="C1774" s="1" t="s">
        <v>9540</v>
      </c>
      <c r="D1774" s="1" t="s">
        <v>14</v>
      </c>
      <c r="E1774" s="1" t="s">
        <v>9424</v>
      </c>
      <c r="F1774" s="1" t="s">
        <v>9891</v>
      </c>
      <c r="G1774" s="1" t="s">
        <v>10</v>
      </c>
      <c r="H1774" s="1" t="s">
        <v>22</v>
      </c>
      <c r="I1774" s="1" t="s">
        <v>22</v>
      </c>
      <c r="J1774" s="3">
        <v>46204.552303240744</v>
      </c>
      <c r="K1774" s="2" t="s">
        <v>9892</v>
      </c>
      <c r="L1774" s="1">
        <v>19</v>
      </c>
      <c r="M1774" s="1">
        <v>36</v>
      </c>
      <c r="N1774">
        <v>17</v>
      </c>
      <c r="O1774" s="3">
        <f>IF(
    R1774="Ancien",
    _xlfn.XLOOKUP(
        Final_Sans_VGE[[#This Row],[ppn_z]],
        tbl_Historique_Final[ppn_z],
        tbl_Historique_Final[Horodatage],
        ""
    ),
    Horodatage!$A$2
)</f>
        <v>46233.670796365739</v>
      </c>
      <c r="P1774" s="1" t="str">
        <f>IFERROR(IF(tbl_Historique_Final[[#This Row],[Commentaires]]&lt;&gt;"",tbl_Historique_Final[[#This Row],[Commentaires]],""),"")</f>
        <v/>
      </c>
      <c r="X1774" s="8" t="str">
        <f>IF(Final_Sans_VGE[[#This Row],[ppn_z]]="","",IFERROR(
   IF(_xlfn.XLOOKUP(Final_Sans_VGE[[#This Row],[ppn_z]],tbl_Historique_Final[ppn_z],tbl_Historique_Final[date_modif])=Final_Sans_VGE[[#This Row],[date_modif]],
      "Ancien",
      "Modifié"),
   "Nouveau"))</f>
        <v>Ancien</v>
      </c>
      <c r="AC1774"/>
      <c r="AD1774"/>
    </row>
    <row r="1775" spans="1:30" x14ac:dyDescent="0.25">
      <c r="A1775" s="5" t="s">
        <v>5489</v>
      </c>
      <c r="B1775" s="1" t="s">
        <v>9893</v>
      </c>
      <c r="C1775" s="1" t="s">
        <v>12</v>
      </c>
      <c r="G1775" s="1" t="s">
        <v>10</v>
      </c>
      <c r="J1775" s="3">
        <v>46204.672905092593</v>
      </c>
      <c r="K1775" s="2" t="s">
        <v>9894</v>
      </c>
      <c r="L1775" s="1">
        <v>1</v>
      </c>
      <c r="M1775" s="1">
        <v>1</v>
      </c>
      <c r="N1775">
        <v>0</v>
      </c>
      <c r="O1775" s="3">
        <f>IF(
    R1775="Ancien",
    _xlfn.XLOOKUP(
        Final_Sans_VGE[[#This Row],[ppn_z]],
        tbl_Historique_Final[ppn_z],
        tbl_Historique_Final[Horodatage],
        ""
    ),
    Horodatage!$A$2
)</f>
        <v>46233.670796365739</v>
      </c>
      <c r="P1775" s="1" t="str">
        <f>IFERROR(IF(tbl_Historique_Final[[#This Row],[Commentaires]]&lt;&gt;"",tbl_Historique_Final[[#This Row],[Commentaires]],""),"")</f>
        <v/>
      </c>
      <c r="X1775" s="8" t="str">
        <f>IF(Final_Sans_VGE[[#This Row],[ppn_z]]="","",IFERROR(
   IF(_xlfn.XLOOKUP(Final_Sans_VGE[[#This Row],[ppn_z]],tbl_Historique_Final[ppn_z],tbl_Historique_Final[date_modif])=Final_Sans_VGE[[#This Row],[date_modif]],
      "Ancien",
      "Modifié"),
   "Nouveau"))</f>
        <v>Ancien</v>
      </c>
      <c r="AC1775"/>
      <c r="AD1775"/>
    </row>
    <row r="1776" spans="1:30" x14ac:dyDescent="0.25">
      <c r="A1776" s="5" t="s">
        <v>5492</v>
      </c>
      <c r="B1776" s="1" t="s">
        <v>9895</v>
      </c>
      <c r="C1776" s="1" t="s">
        <v>6366</v>
      </c>
      <c r="E1776" s="1" t="s">
        <v>7272</v>
      </c>
      <c r="J1776" s="3">
        <v>46205.647604166668</v>
      </c>
      <c r="K1776" s="2" t="s">
        <v>9896</v>
      </c>
      <c r="L1776" s="1">
        <v>18</v>
      </c>
      <c r="M1776" s="1">
        <v>19</v>
      </c>
      <c r="N1776">
        <v>1</v>
      </c>
      <c r="O1776" s="3">
        <f>IF(
    R1776="Ancien",
    _xlfn.XLOOKUP(
        Final_Sans_VGE[[#This Row],[ppn_z]],
        tbl_Historique_Final[ppn_z],
        tbl_Historique_Final[Horodatage],
        ""
    ),
    Horodatage!$A$2
)</f>
        <v>46233.670796365739</v>
      </c>
      <c r="P1776" s="1" t="str">
        <f>IFERROR(IF(tbl_Historique_Final[[#This Row],[Commentaires]]&lt;&gt;"",tbl_Historique_Final[[#This Row],[Commentaires]],""),"")</f>
        <v/>
      </c>
      <c r="X1776" s="8" t="str">
        <f>IF(Final_Sans_VGE[[#This Row],[ppn_z]]="","",IFERROR(
   IF(_xlfn.XLOOKUP(Final_Sans_VGE[[#This Row],[ppn_z]],tbl_Historique_Final[ppn_z],tbl_Historique_Final[date_modif])=Final_Sans_VGE[[#This Row],[date_modif]],
      "Ancien",
      "Modifié"),
   "Nouveau"))</f>
        <v>Ancien</v>
      </c>
      <c r="AC1776"/>
      <c r="AD1776"/>
    </row>
    <row r="1777" spans="1:30" x14ac:dyDescent="0.25">
      <c r="A1777" s="5" t="s">
        <v>5495</v>
      </c>
      <c r="B1777" s="1" t="s">
        <v>9897</v>
      </c>
      <c r="C1777" s="1" t="s">
        <v>167</v>
      </c>
      <c r="E1777" s="1" t="s">
        <v>9203</v>
      </c>
      <c r="J1777" s="3">
        <v>46205.656018518515</v>
      </c>
      <c r="L1777" s="1">
        <v>12</v>
      </c>
      <c r="M1777" s="1">
        <v>14</v>
      </c>
      <c r="N1777">
        <v>2</v>
      </c>
      <c r="O1777" s="3">
        <f>IF(
    R1777="Ancien",
    _xlfn.XLOOKUP(
        Final_Sans_VGE[[#This Row],[ppn_z]],
        tbl_Historique_Final[ppn_z],
        tbl_Historique_Final[Horodatage],
        ""
    ),
    Horodatage!$A$2
)</f>
        <v>46233.670796365739</v>
      </c>
      <c r="P1777" s="1" t="str">
        <f>IFERROR(IF(tbl_Historique_Final[[#This Row],[Commentaires]]&lt;&gt;"",tbl_Historique_Final[[#This Row],[Commentaires]],""),"")</f>
        <v/>
      </c>
      <c r="X1777" s="8" t="str">
        <f>IF(Final_Sans_VGE[[#This Row],[ppn_z]]="","",IFERROR(
   IF(_xlfn.XLOOKUP(Final_Sans_VGE[[#This Row],[ppn_z]],tbl_Historique_Final[ppn_z],tbl_Historique_Final[date_modif])=Final_Sans_VGE[[#This Row],[date_modif]],
      "Ancien",
      "Modifié"),
   "Nouveau"))</f>
        <v>Ancien</v>
      </c>
      <c r="AC1777"/>
      <c r="AD1777"/>
    </row>
    <row r="1778" spans="1:30" x14ac:dyDescent="0.25">
      <c r="A1778" s="5" t="s">
        <v>5498</v>
      </c>
      <c r="B1778" s="1" t="s">
        <v>9898</v>
      </c>
      <c r="C1778" s="1" t="s">
        <v>47</v>
      </c>
      <c r="H1778" s="1" t="s">
        <v>22</v>
      </c>
      <c r="I1778" s="1" t="s">
        <v>22</v>
      </c>
      <c r="J1778" s="3">
        <v>46206.438715277778</v>
      </c>
      <c r="K1778" s="2" t="s">
        <v>9899</v>
      </c>
      <c r="L1778" s="1">
        <v>1</v>
      </c>
      <c r="M1778" s="1">
        <v>1</v>
      </c>
      <c r="N1778">
        <v>0</v>
      </c>
      <c r="O1778" s="3">
        <f>IF(
    R1778="Ancien",
    _xlfn.XLOOKUP(
        Final_Sans_VGE[[#This Row],[ppn_z]],
        tbl_Historique_Final[ppn_z],
        tbl_Historique_Final[Horodatage],
        ""
    ),
    Horodatage!$A$2
)</f>
        <v>46233.670796365739</v>
      </c>
      <c r="P1778" s="1" t="str">
        <f>IFERROR(IF(tbl_Historique_Final[[#This Row],[Commentaires]]&lt;&gt;"",tbl_Historique_Final[[#This Row],[Commentaires]],""),"")</f>
        <v/>
      </c>
      <c r="X1778" s="8" t="str">
        <f>IF(Final_Sans_VGE[[#This Row],[ppn_z]]="","",IFERROR(
   IF(_xlfn.XLOOKUP(Final_Sans_VGE[[#This Row],[ppn_z]],tbl_Historique_Final[ppn_z],tbl_Historique_Final[date_modif])=Final_Sans_VGE[[#This Row],[date_modif]],
      "Ancien",
      "Modifié"),
   "Nouveau"))</f>
        <v>Ancien</v>
      </c>
      <c r="AC1778"/>
      <c r="AD1778"/>
    </row>
    <row r="1779" spans="1:30" ht="30" x14ac:dyDescent="0.25">
      <c r="A1779" s="5" t="s">
        <v>5501</v>
      </c>
      <c r="B1779" s="1" t="s">
        <v>9900</v>
      </c>
      <c r="C1779" s="1" t="s">
        <v>8771</v>
      </c>
      <c r="D1779" s="1" t="s">
        <v>14</v>
      </c>
      <c r="E1779" s="1" t="s">
        <v>64</v>
      </c>
      <c r="F1779" s="1" t="s">
        <v>14</v>
      </c>
      <c r="G1779" s="1" t="s">
        <v>10</v>
      </c>
      <c r="H1779" s="1" t="s">
        <v>22</v>
      </c>
      <c r="I1779" s="1" t="s">
        <v>140</v>
      </c>
      <c r="J1779" s="3">
        <v>46208.349560185183</v>
      </c>
      <c r="K1779" s="2" t="s">
        <v>9901</v>
      </c>
      <c r="L1779" s="1">
        <v>1</v>
      </c>
      <c r="M1779" s="1">
        <v>2</v>
      </c>
      <c r="N1779">
        <v>1</v>
      </c>
      <c r="O1779" s="3">
        <f>IF(
    R1779="Ancien",
    _xlfn.XLOOKUP(
        Final_Sans_VGE[[#This Row],[ppn_z]],
        tbl_Historique_Final[ppn_z],
        tbl_Historique_Final[Horodatage],
        ""
    ),
    Horodatage!$A$2
)</f>
        <v>46233.670796365739</v>
      </c>
      <c r="P1779" s="1" t="str">
        <f>IFERROR(IF(tbl_Historique_Final[[#This Row],[Commentaires]]&lt;&gt;"",tbl_Historique_Final[[#This Row],[Commentaires]],""),"")</f>
        <v/>
      </c>
      <c r="X1779" s="8" t="str">
        <f>IF(Final_Sans_VGE[[#This Row],[ppn_z]]="","",IFERROR(
   IF(_xlfn.XLOOKUP(Final_Sans_VGE[[#This Row],[ppn_z]],tbl_Historique_Final[ppn_z],tbl_Historique_Final[date_modif])=Final_Sans_VGE[[#This Row],[date_modif]],
      "Ancien",
      "Modifié"),
   "Nouveau"))</f>
        <v>Ancien</v>
      </c>
      <c r="AC1779"/>
      <c r="AD1779"/>
    </row>
    <row r="1780" spans="1:30" x14ac:dyDescent="0.25">
      <c r="A1780" s="5" t="s">
        <v>5504</v>
      </c>
      <c r="B1780" s="1" t="s">
        <v>9902</v>
      </c>
      <c r="C1780" s="1" t="s">
        <v>9577</v>
      </c>
      <c r="D1780" s="1" t="s">
        <v>14</v>
      </c>
      <c r="E1780" s="1" t="s">
        <v>132</v>
      </c>
      <c r="F1780" s="1" t="s">
        <v>14</v>
      </c>
      <c r="G1780" s="1" t="s">
        <v>10</v>
      </c>
      <c r="H1780" s="1" t="s">
        <v>9903</v>
      </c>
      <c r="I1780" s="1" t="s">
        <v>140</v>
      </c>
      <c r="J1780" s="3">
        <v>46208.349409722221</v>
      </c>
      <c r="K1780" s="2" t="s">
        <v>9904</v>
      </c>
      <c r="L1780" s="1">
        <v>26</v>
      </c>
      <c r="M1780" s="1">
        <v>26</v>
      </c>
      <c r="N1780">
        <v>0</v>
      </c>
      <c r="O1780" s="3">
        <f>IF(
    R1780="Ancien",
    _xlfn.XLOOKUP(
        Final_Sans_VGE[[#This Row],[ppn_z]],
        tbl_Historique_Final[ppn_z],
        tbl_Historique_Final[Horodatage],
        ""
    ),
    Horodatage!$A$2
)</f>
        <v>46233.670796365739</v>
      </c>
      <c r="P1780" s="1" t="str">
        <f>IFERROR(IF(tbl_Historique_Final[[#This Row],[Commentaires]]&lt;&gt;"",tbl_Historique_Final[[#This Row],[Commentaires]],""),"")</f>
        <v/>
      </c>
      <c r="X1780" s="8" t="str">
        <f>IF(Final_Sans_VGE[[#This Row],[ppn_z]]="","",IFERROR(
   IF(_xlfn.XLOOKUP(Final_Sans_VGE[[#This Row],[ppn_z]],tbl_Historique_Final[ppn_z],tbl_Historique_Final[date_modif])=Final_Sans_VGE[[#This Row],[date_modif]],
      "Ancien",
      "Modifié"),
   "Nouveau"))</f>
        <v>Ancien</v>
      </c>
      <c r="AC1780"/>
      <c r="AD1780"/>
    </row>
    <row r="1781" spans="1:30" ht="30" x14ac:dyDescent="0.25">
      <c r="A1781" s="5" t="s">
        <v>5507</v>
      </c>
      <c r="B1781" s="1" t="s">
        <v>9905</v>
      </c>
      <c r="C1781" s="1" t="s">
        <v>6735</v>
      </c>
      <c r="D1781" s="1" t="s">
        <v>14</v>
      </c>
      <c r="E1781" s="1" t="s">
        <v>7096</v>
      </c>
      <c r="F1781" s="1" t="s">
        <v>9906</v>
      </c>
      <c r="G1781" s="1" t="s">
        <v>10</v>
      </c>
      <c r="H1781" s="1" t="s">
        <v>22</v>
      </c>
      <c r="I1781" s="1" t="s">
        <v>22</v>
      </c>
      <c r="J1781" s="3">
        <v>46208.356550925928</v>
      </c>
      <c r="K1781" s="2" t="s">
        <v>9907</v>
      </c>
      <c r="L1781" s="1">
        <v>40</v>
      </c>
      <c r="M1781" s="1">
        <v>41</v>
      </c>
      <c r="N1781">
        <v>1</v>
      </c>
      <c r="O1781" s="3">
        <f>IF(
    R1781="Ancien",
    _xlfn.XLOOKUP(
        Final_Sans_VGE[[#This Row],[ppn_z]],
        tbl_Historique_Final[ppn_z],
        tbl_Historique_Final[Horodatage],
        ""
    ),
    Horodatage!$A$2
)</f>
        <v>46233.670796365739</v>
      </c>
      <c r="P1781" s="1" t="str">
        <f>IFERROR(IF(tbl_Historique_Final[[#This Row],[Commentaires]]&lt;&gt;"",tbl_Historique_Final[[#This Row],[Commentaires]],""),"")</f>
        <v/>
      </c>
      <c r="X1781" s="8" t="str">
        <f>IF(Final_Sans_VGE[[#This Row],[ppn_z]]="","",IFERROR(
   IF(_xlfn.XLOOKUP(Final_Sans_VGE[[#This Row],[ppn_z]],tbl_Historique_Final[ppn_z],tbl_Historique_Final[date_modif])=Final_Sans_VGE[[#This Row],[date_modif]],
      "Ancien",
      "Modifié"),
   "Nouveau"))</f>
        <v>Ancien</v>
      </c>
      <c r="AC1781"/>
      <c r="AD1781"/>
    </row>
    <row r="1782" spans="1:30" x14ac:dyDescent="0.25">
      <c r="A1782" s="5" t="s">
        <v>5510</v>
      </c>
      <c r="B1782" s="1" t="s">
        <v>9908</v>
      </c>
      <c r="C1782" s="1" t="s">
        <v>9360</v>
      </c>
      <c r="D1782" s="1" t="s">
        <v>14</v>
      </c>
      <c r="E1782" s="1" t="s">
        <v>9909</v>
      </c>
      <c r="F1782" s="1" t="s">
        <v>14</v>
      </c>
      <c r="G1782" s="1" t="s">
        <v>10</v>
      </c>
      <c r="H1782" s="1" t="s">
        <v>22</v>
      </c>
      <c r="I1782" s="1" t="s">
        <v>22</v>
      </c>
      <c r="J1782" s="3">
        <v>46208.356562499997</v>
      </c>
      <c r="K1782" s="2" t="s">
        <v>9910</v>
      </c>
      <c r="L1782" s="1">
        <v>222</v>
      </c>
      <c r="M1782" s="1">
        <v>233</v>
      </c>
      <c r="N1782">
        <v>11</v>
      </c>
      <c r="O1782" s="3">
        <f>IF(
    R1782="Ancien",
    _xlfn.XLOOKUP(
        Final_Sans_VGE[[#This Row],[ppn_z]],
        tbl_Historique_Final[ppn_z],
        tbl_Historique_Final[Horodatage],
        ""
    ),
    Horodatage!$A$2
)</f>
        <v>46233.670796365739</v>
      </c>
      <c r="P1782" s="1" t="str">
        <f>IFERROR(IF(tbl_Historique_Final[[#This Row],[Commentaires]]&lt;&gt;"",tbl_Historique_Final[[#This Row],[Commentaires]],""),"")</f>
        <v/>
      </c>
      <c r="X1782" s="8" t="str">
        <f>IF(Final_Sans_VGE[[#This Row],[ppn_z]]="","",IFERROR(
   IF(_xlfn.XLOOKUP(Final_Sans_VGE[[#This Row],[ppn_z]],tbl_Historique_Final[ppn_z],tbl_Historique_Final[date_modif])=Final_Sans_VGE[[#This Row],[date_modif]],
      "Ancien",
      "Modifié"),
   "Nouveau"))</f>
        <v>Ancien</v>
      </c>
      <c r="AC1782"/>
      <c r="AD1782"/>
    </row>
    <row r="1783" spans="1:30" ht="30" x14ac:dyDescent="0.25">
      <c r="A1783" s="5" t="s">
        <v>5513</v>
      </c>
      <c r="B1783" s="1" t="s">
        <v>9911</v>
      </c>
      <c r="C1783" s="1" t="s">
        <v>9122</v>
      </c>
      <c r="D1783" s="1" t="s">
        <v>14</v>
      </c>
      <c r="E1783" s="1" t="s">
        <v>9912</v>
      </c>
      <c r="F1783" s="1" t="s">
        <v>14</v>
      </c>
      <c r="G1783" s="1" t="s">
        <v>10</v>
      </c>
      <c r="H1783" s="1" t="s">
        <v>8458</v>
      </c>
      <c r="I1783" s="1" t="s">
        <v>10481</v>
      </c>
      <c r="J1783" s="3">
        <v>46208.36755787037</v>
      </c>
      <c r="K1783" s="2" t="s">
        <v>9913</v>
      </c>
      <c r="L1783" s="1">
        <v>17</v>
      </c>
      <c r="M1783" s="1">
        <v>17</v>
      </c>
      <c r="N1783">
        <v>0</v>
      </c>
      <c r="O1783" s="3">
        <f>IF(
    R1783="Ancien",
    _xlfn.XLOOKUP(
        Final_Sans_VGE[[#This Row],[ppn_z]],
        tbl_Historique_Final[ppn_z],
        tbl_Historique_Final[Horodatage],
        ""
    ),
    Horodatage!$A$2
)</f>
        <v>46233.670796365739</v>
      </c>
      <c r="P1783" s="1" t="str">
        <f>IFERROR(IF(tbl_Historique_Final[[#This Row],[Commentaires]]&lt;&gt;"",tbl_Historique_Final[[#This Row],[Commentaires]],""),"")</f>
        <v/>
      </c>
      <c r="X1783" s="8" t="str">
        <f>IF(Final_Sans_VGE[[#This Row],[ppn_z]]="","",IFERROR(
   IF(_xlfn.XLOOKUP(Final_Sans_VGE[[#This Row],[ppn_z]],tbl_Historique_Final[ppn_z],tbl_Historique_Final[date_modif])=Final_Sans_VGE[[#This Row],[date_modif]],
      "Ancien",
      "Modifié"),
   "Nouveau"))</f>
        <v>Ancien</v>
      </c>
      <c r="AC1783"/>
      <c r="AD1783"/>
    </row>
    <row r="1784" spans="1:30" ht="30" x14ac:dyDescent="0.25">
      <c r="A1784" s="5" t="s">
        <v>5516</v>
      </c>
      <c r="B1784" s="1" t="s">
        <v>9914</v>
      </c>
      <c r="C1784" s="1" t="s">
        <v>53</v>
      </c>
      <c r="D1784" s="1" t="s">
        <v>14</v>
      </c>
      <c r="G1784" s="1" t="s">
        <v>11</v>
      </c>
      <c r="H1784" s="1" t="s">
        <v>22</v>
      </c>
      <c r="I1784" s="1" t="s">
        <v>22</v>
      </c>
      <c r="J1784" s="3">
        <v>46208.378692129627</v>
      </c>
      <c r="K1784" s="2" t="s">
        <v>9915</v>
      </c>
      <c r="L1784" s="1">
        <v>22</v>
      </c>
      <c r="M1784" s="1">
        <v>25</v>
      </c>
      <c r="N1784">
        <v>3</v>
      </c>
      <c r="O1784" s="3">
        <f>IF(
    R1784="Ancien",
    _xlfn.XLOOKUP(
        Final_Sans_VGE[[#This Row],[ppn_z]],
        tbl_Historique_Final[ppn_z],
        tbl_Historique_Final[Horodatage],
        ""
    ),
    Horodatage!$A$2
)</f>
        <v>46233.670796365739</v>
      </c>
      <c r="P1784" s="1" t="str">
        <f>IFERROR(IF(tbl_Historique_Final[[#This Row],[Commentaires]]&lt;&gt;"",tbl_Historique_Final[[#This Row],[Commentaires]],""),"")</f>
        <v/>
      </c>
      <c r="X1784" s="8" t="str">
        <f>IF(Final_Sans_VGE[[#This Row],[ppn_z]]="","",IFERROR(
   IF(_xlfn.XLOOKUP(Final_Sans_VGE[[#This Row],[ppn_z]],tbl_Historique_Final[ppn_z],tbl_Historique_Final[date_modif])=Final_Sans_VGE[[#This Row],[date_modif]],
      "Ancien",
      "Modifié"),
   "Nouveau"))</f>
        <v>Ancien</v>
      </c>
      <c r="AC1784"/>
      <c r="AD1784"/>
    </row>
    <row r="1785" spans="1:30" ht="30" x14ac:dyDescent="0.25">
      <c r="A1785" s="5" t="s">
        <v>5519</v>
      </c>
      <c r="B1785" s="1" t="s">
        <v>9916</v>
      </c>
      <c r="C1785" s="1" t="s">
        <v>45</v>
      </c>
      <c r="J1785" s="3">
        <v>46210.553032407406</v>
      </c>
      <c r="K1785" s="2" t="s">
        <v>9917</v>
      </c>
      <c r="L1785" s="1">
        <v>9</v>
      </c>
      <c r="M1785" s="1">
        <v>11</v>
      </c>
      <c r="N1785">
        <v>2</v>
      </c>
      <c r="O1785" s="3">
        <f>IF(
    R1785="Ancien",
    _xlfn.XLOOKUP(
        Final_Sans_VGE[[#This Row],[ppn_z]],
        tbl_Historique_Final[ppn_z],
        tbl_Historique_Final[Horodatage],
        ""
    ),
    Horodatage!$A$2
)</f>
        <v>46233.670796365739</v>
      </c>
      <c r="P1785" s="1" t="str">
        <f>IFERROR(IF(tbl_Historique_Final[[#This Row],[Commentaires]]&lt;&gt;"",tbl_Historique_Final[[#This Row],[Commentaires]],""),"")</f>
        <v/>
      </c>
      <c r="X1785" s="8" t="str">
        <f>IF(Final_Sans_VGE[[#This Row],[ppn_z]]="","",IFERROR(
   IF(_xlfn.XLOOKUP(Final_Sans_VGE[[#This Row],[ppn_z]],tbl_Historique_Final[ppn_z],tbl_Historique_Final[date_modif])=Final_Sans_VGE[[#This Row],[date_modif]],
      "Ancien",
      "Modifié"),
   "Nouveau"))</f>
        <v>Ancien</v>
      </c>
      <c r="AC1785"/>
      <c r="AD1785"/>
    </row>
    <row r="1786" spans="1:30" ht="60" x14ac:dyDescent="0.25">
      <c r="A1786" s="5" t="s">
        <v>5522</v>
      </c>
      <c r="B1786" s="1" t="s">
        <v>9918</v>
      </c>
      <c r="C1786" s="1" t="s">
        <v>9784</v>
      </c>
      <c r="D1786" s="1" t="s">
        <v>9919</v>
      </c>
      <c r="E1786" s="1" t="s">
        <v>45</v>
      </c>
      <c r="G1786" s="1" t="s">
        <v>10</v>
      </c>
      <c r="H1786" s="1" t="s">
        <v>164</v>
      </c>
      <c r="I1786" s="1" t="s">
        <v>140</v>
      </c>
      <c r="J1786" s="3">
        <v>46211.371412037035</v>
      </c>
      <c r="K1786" s="2" t="s">
        <v>9920</v>
      </c>
      <c r="L1786" s="1">
        <v>20</v>
      </c>
      <c r="M1786" s="1">
        <v>25</v>
      </c>
      <c r="N1786">
        <v>5</v>
      </c>
      <c r="O1786" s="3">
        <f>IF(
    R1786="Ancien",
    _xlfn.XLOOKUP(
        Final_Sans_VGE[[#This Row],[ppn_z]],
        tbl_Historique_Final[ppn_z],
        tbl_Historique_Final[Horodatage],
        ""
    ),
    Horodatage!$A$2
)</f>
        <v>46233.670796365739</v>
      </c>
      <c r="P1786" s="1" t="str">
        <f>IFERROR(IF(tbl_Historique_Final[[#This Row],[Commentaires]]&lt;&gt;"",tbl_Historique_Final[[#This Row],[Commentaires]],""),"")</f>
        <v/>
      </c>
      <c r="X1786" s="8" t="str">
        <f>IF(Final_Sans_VGE[[#This Row],[ppn_z]]="","",IFERROR(
   IF(_xlfn.XLOOKUP(Final_Sans_VGE[[#This Row],[ppn_z]],tbl_Historique_Final[ppn_z],tbl_Historique_Final[date_modif])=Final_Sans_VGE[[#This Row],[date_modif]],
      "Ancien",
      "Modifié"),
   "Nouveau"))</f>
        <v>Ancien</v>
      </c>
      <c r="AC1786"/>
      <c r="AD1786"/>
    </row>
    <row r="1787" spans="1:30" x14ac:dyDescent="0.25">
      <c r="A1787" s="5" t="s">
        <v>5525</v>
      </c>
      <c r="B1787" s="1" t="s">
        <v>9921</v>
      </c>
      <c r="C1787" s="1" t="s">
        <v>12</v>
      </c>
      <c r="G1787" s="1" t="s">
        <v>10</v>
      </c>
      <c r="J1787" s="3">
        <v>46211.433761574073</v>
      </c>
      <c r="K1787" s="2" t="s">
        <v>6417</v>
      </c>
      <c r="L1787" s="1">
        <v>1</v>
      </c>
      <c r="M1787" s="1">
        <v>1</v>
      </c>
      <c r="N1787">
        <v>0</v>
      </c>
      <c r="O1787" s="3">
        <f>IF(
    R1787="Ancien",
    _xlfn.XLOOKUP(
        Final_Sans_VGE[[#This Row],[ppn_z]],
        tbl_Historique_Final[ppn_z],
        tbl_Historique_Final[Horodatage],
        ""
    ),
    Horodatage!$A$2
)</f>
        <v>46233.670796365739</v>
      </c>
      <c r="P1787" s="1" t="str">
        <f>IFERROR(IF(tbl_Historique_Final[[#This Row],[Commentaires]]&lt;&gt;"",tbl_Historique_Final[[#This Row],[Commentaires]],""),"")</f>
        <v/>
      </c>
      <c r="X1787" s="8" t="str">
        <f>IF(Final_Sans_VGE[[#This Row],[ppn_z]]="","",IFERROR(
   IF(_xlfn.XLOOKUP(Final_Sans_VGE[[#This Row],[ppn_z]],tbl_Historique_Final[ppn_z],tbl_Historique_Final[date_modif])=Final_Sans_VGE[[#This Row],[date_modif]],
      "Ancien",
      "Modifié"),
   "Nouveau"))</f>
        <v>Ancien</v>
      </c>
      <c r="AC1787"/>
      <c r="AD1787"/>
    </row>
    <row r="1788" spans="1:30" x14ac:dyDescent="0.25">
      <c r="A1788" s="5" t="s">
        <v>5528</v>
      </c>
      <c r="B1788" s="1" t="s">
        <v>9922</v>
      </c>
      <c r="C1788" s="1" t="s">
        <v>35</v>
      </c>
      <c r="D1788" s="1" t="s">
        <v>9923</v>
      </c>
      <c r="G1788" s="1" t="s">
        <v>10</v>
      </c>
      <c r="H1788" s="1" t="s">
        <v>22</v>
      </c>
      <c r="I1788" s="1" t="s">
        <v>22</v>
      </c>
      <c r="J1788" s="3">
        <v>46212.489814814813</v>
      </c>
      <c r="K1788" s="2" t="s">
        <v>9924</v>
      </c>
      <c r="L1788" s="1">
        <v>9</v>
      </c>
      <c r="M1788" s="1">
        <v>9</v>
      </c>
      <c r="N1788">
        <v>0</v>
      </c>
      <c r="O1788" s="3">
        <f>IF(
    R1788="Ancien",
    _xlfn.XLOOKUP(
        Final_Sans_VGE[[#This Row],[ppn_z]],
        tbl_Historique_Final[ppn_z],
        tbl_Historique_Final[Horodatage],
        ""
    ),
    Horodatage!$A$2
)</f>
        <v>46233.670796365739</v>
      </c>
      <c r="P1788" s="1" t="str">
        <f>IFERROR(IF(tbl_Historique_Final[[#This Row],[Commentaires]]&lt;&gt;"",tbl_Historique_Final[[#This Row],[Commentaires]],""),"")</f>
        <v/>
      </c>
      <c r="X1788" s="8" t="str">
        <f>IF(Final_Sans_VGE[[#This Row],[ppn_z]]="","",IFERROR(
   IF(_xlfn.XLOOKUP(Final_Sans_VGE[[#This Row],[ppn_z]],tbl_Historique_Final[ppn_z],tbl_Historique_Final[date_modif])=Final_Sans_VGE[[#This Row],[date_modif]],
      "Ancien",
      "Modifié"),
   "Nouveau"))</f>
        <v>Ancien</v>
      </c>
      <c r="AC1788"/>
      <c r="AD1788"/>
    </row>
    <row r="1789" spans="1:30" ht="30" x14ac:dyDescent="0.25">
      <c r="A1789" s="5" t="s">
        <v>5531</v>
      </c>
      <c r="B1789" s="1" t="s">
        <v>9925</v>
      </c>
      <c r="C1789" s="1" t="s">
        <v>12</v>
      </c>
      <c r="G1789" s="1" t="s">
        <v>11</v>
      </c>
      <c r="J1789" s="3">
        <v>46213.469155092593</v>
      </c>
      <c r="K1789" s="2" t="s">
        <v>9926</v>
      </c>
      <c r="L1789" s="1">
        <v>1</v>
      </c>
      <c r="M1789" s="1">
        <v>1</v>
      </c>
      <c r="N1789">
        <v>0</v>
      </c>
      <c r="O1789" s="3">
        <f>IF(
    R1789="Ancien",
    _xlfn.XLOOKUP(
        Final_Sans_VGE[[#This Row],[ppn_z]],
        tbl_Historique_Final[ppn_z],
        tbl_Historique_Final[Horodatage],
        ""
    ),
    Horodatage!$A$2
)</f>
        <v>46233.670796365739</v>
      </c>
      <c r="P1789" s="1" t="str">
        <f>IFERROR(IF(tbl_Historique_Final[[#This Row],[Commentaires]]&lt;&gt;"",tbl_Historique_Final[[#This Row],[Commentaires]],""),"")</f>
        <v/>
      </c>
      <c r="X1789" s="8" t="str">
        <f>IF(Final_Sans_VGE[[#This Row],[ppn_z]]="","",IFERROR(
   IF(_xlfn.XLOOKUP(Final_Sans_VGE[[#This Row],[ppn_z]],tbl_Historique_Final[ppn_z],tbl_Historique_Final[date_modif])=Final_Sans_VGE[[#This Row],[date_modif]],
      "Ancien",
      "Modifié"),
   "Nouveau"))</f>
        <v>Ancien</v>
      </c>
      <c r="AC1789"/>
      <c r="AD1789"/>
    </row>
    <row r="1790" spans="1:30" x14ac:dyDescent="0.25">
      <c r="A1790" s="5" t="s">
        <v>5534</v>
      </c>
      <c r="B1790" s="1" t="s">
        <v>9927</v>
      </c>
      <c r="C1790" s="1" t="s">
        <v>92</v>
      </c>
      <c r="G1790" s="1" t="s">
        <v>10</v>
      </c>
      <c r="H1790" s="1" t="s">
        <v>140</v>
      </c>
      <c r="I1790" s="1" t="s">
        <v>140</v>
      </c>
      <c r="J1790" s="3">
        <v>46215.356469907405</v>
      </c>
      <c r="K1790" s="2" t="s">
        <v>9928</v>
      </c>
      <c r="L1790" s="1">
        <v>13</v>
      </c>
      <c r="M1790" s="1">
        <v>48</v>
      </c>
      <c r="N1790">
        <v>35</v>
      </c>
      <c r="O1790" s="3">
        <f>IF(
    R1790="Ancien",
    _xlfn.XLOOKUP(
        Final_Sans_VGE[[#This Row],[ppn_z]],
        tbl_Historique_Final[ppn_z],
        tbl_Historique_Final[Horodatage],
        ""
    ),
    Horodatage!$A$2
)</f>
        <v>46233.670796365739</v>
      </c>
      <c r="P1790" s="1" t="str">
        <f>IFERROR(IF(tbl_Historique_Final[[#This Row],[Commentaires]]&lt;&gt;"",tbl_Historique_Final[[#This Row],[Commentaires]],""),"")</f>
        <v/>
      </c>
      <c r="X1790" s="8" t="str">
        <f>IF(Final_Sans_VGE[[#This Row],[ppn_z]]="","",IFERROR(
   IF(_xlfn.XLOOKUP(Final_Sans_VGE[[#This Row],[ppn_z]],tbl_Historique_Final[ppn_z],tbl_Historique_Final[date_modif])=Final_Sans_VGE[[#This Row],[date_modif]],
      "Ancien",
      "Modifié"),
   "Nouveau"))</f>
        <v>Ancien</v>
      </c>
      <c r="AC1790"/>
      <c r="AD1790"/>
    </row>
    <row r="1791" spans="1:30" ht="90" x14ac:dyDescent="0.25">
      <c r="A1791" s="5" t="s">
        <v>5537</v>
      </c>
      <c r="B1791" s="1" t="s">
        <v>9929</v>
      </c>
      <c r="C1791" s="1" t="s">
        <v>6735</v>
      </c>
      <c r="D1791" s="1" t="s">
        <v>14</v>
      </c>
      <c r="G1791" s="1" t="s">
        <v>10</v>
      </c>
      <c r="H1791" s="1" t="s">
        <v>22</v>
      </c>
      <c r="I1791" s="1" t="s">
        <v>140</v>
      </c>
      <c r="J1791" s="3">
        <v>46215.364895833336</v>
      </c>
      <c r="K1791" s="2" t="s">
        <v>9930</v>
      </c>
      <c r="L1791" s="1">
        <v>14</v>
      </c>
      <c r="M1791" s="1">
        <v>19</v>
      </c>
      <c r="N1791">
        <v>5</v>
      </c>
      <c r="O1791" s="3">
        <f>IF(
    R1791="Ancien",
    _xlfn.XLOOKUP(
        Final_Sans_VGE[[#This Row],[ppn_z]],
        tbl_Historique_Final[ppn_z],
        tbl_Historique_Final[Horodatage],
        ""
    ),
    Horodatage!$A$2
)</f>
        <v>46233.670796365739</v>
      </c>
      <c r="P1791" s="1" t="str">
        <f>IFERROR(IF(tbl_Historique_Final[[#This Row],[Commentaires]]&lt;&gt;"",tbl_Historique_Final[[#This Row],[Commentaires]],""),"")</f>
        <v/>
      </c>
      <c r="X1791" s="8" t="str">
        <f>IF(Final_Sans_VGE[[#This Row],[ppn_z]]="","",IFERROR(
   IF(_xlfn.XLOOKUP(Final_Sans_VGE[[#This Row],[ppn_z]],tbl_Historique_Final[ppn_z],tbl_Historique_Final[date_modif])=Final_Sans_VGE[[#This Row],[date_modif]],
      "Ancien",
      "Modifié"),
   "Nouveau"))</f>
        <v>Ancien</v>
      </c>
      <c r="AC1791"/>
      <c r="AD1791"/>
    </row>
    <row r="1792" spans="1:30" ht="30" x14ac:dyDescent="0.25">
      <c r="A1792" s="5" t="s">
        <v>5540</v>
      </c>
      <c r="B1792" s="1" t="s">
        <v>9931</v>
      </c>
      <c r="C1792" s="1" t="s">
        <v>64</v>
      </c>
      <c r="D1792" s="1" t="s">
        <v>14</v>
      </c>
      <c r="G1792" s="1" t="s">
        <v>10</v>
      </c>
      <c r="H1792" s="1" t="s">
        <v>22</v>
      </c>
      <c r="I1792" s="1" t="s">
        <v>22</v>
      </c>
      <c r="J1792" s="3">
        <v>46215.364861111113</v>
      </c>
      <c r="K1792" s="2" t="s">
        <v>9932</v>
      </c>
      <c r="L1792" s="1">
        <v>42</v>
      </c>
      <c r="M1792" s="1">
        <v>114</v>
      </c>
      <c r="N1792">
        <v>72</v>
      </c>
      <c r="O1792" s="3">
        <f>IF(
    R1792="Ancien",
    _xlfn.XLOOKUP(
        Final_Sans_VGE[[#This Row],[ppn_z]],
        tbl_Historique_Final[ppn_z],
        tbl_Historique_Final[Horodatage],
        ""
    ),
    Horodatage!$A$2
)</f>
        <v>46233.670796365739</v>
      </c>
      <c r="P1792" s="1" t="str">
        <f>IFERROR(IF(tbl_Historique_Final[[#This Row],[Commentaires]]&lt;&gt;"",tbl_Historique_Final[[#This Row],[Commentaires]],""),"")</f>
        <v/>
      </c>
      <c r="X1792" s="8" t="str">
        <f>IF(Final_Sans_VGE[[#This Row],[ppn_z]]="","",IFERROR(
   IF(_xlfn.XLOOKUP(Final_Sans_VGE[[#This Row],[ppn_z]],tbl_Historique_Final[ppn_z],tbl_Historique_Final[date_modif])=Final_Sans_VGE[[#This Row],[date_modif]],
      "Ancien",
      "Modifié"),
   "Nouveau"))</f>
        <v>Ancien</v>
      </c>
      <c r="AC1792"/>
      <c r="AD1792"/>
    </row>
    <row r="1793" spans="1:30" x14ac:dyDescent="0.25">
      <c r="A1793" s="5" t="s">
        <v>5543</v>
      </c>
      <c r="B1793" s="1" t="s">
        <v>9933</v>
      </c>
      <c r="C1793" s="1" t="s">
        <v>139</v>
      </c>
      <c r="D1793" s="1" t="s">
        <v>14</v>
      </c>
      <c r="E1793" s="1" t="s">
        <v>147</v>
      </c>
      <c r="F1793" s="1" t="s">
        <v>14</v>
      </c>
      <c r="G1793" s="1" t="s">
        <v>11</v>
      </c>
      <c r="H1793" s="1" t="s">
        <v>22</v>
      </c>
      <c r="I1793" s="1" t="s">
        <v>22</v>
      </c>
      <c r="J1793" s="3">
        <v>46215.374583333331</v>
      </c>
      <c r="K1793" s="2" t="s">
        <v>138</v>
      </c>
      <c r="L1793" s="1">
        <v>76</v>
      </c>
      <c r="M1793" s="1">
        <v>101</v>
      </c>
      <c r="N1793">
        <v>25</v>
      </c>
      <c r="O1793" s="3">
        <f>IF(
    R1793="Ancien",
    _xlfn.XLOOKUP(
        Final_Sans_VGE[[#This Row],[ppn_z]],
        tbl_Historique_Final[ppn_z],
        tbl_Historique_Final[Horodatage],
        ""
    ),
    Horodatage!$A$2
)</f>
        <v>46233.670796365739</v>
      </c>
      <c r="P1793" s="1" t="str">
        <f>IFERROR(IF(tbl_Historique_Final[[#This Row],[Commentaires]]&lt;&gt;"",tbl_Historique_Final[[#This Row],[Commentaires]],""),"")</f>
        <v/>
      </c>
      <c r="X1793" s="8" t="str">
        <f>IF(Final_Sans_VGE[[#This Row],[ppn_z]]="","",IFERROR(
   IF(_xlfn.XLOOKUP(Final_Sans_VGE[[#This Row],[ppn_z]],tbl_Historique_Final[ppn_z],tbl_Historique_Final[date_modif])=Final_Sans_VGE[[#This Row],[date_modif]],
      "Ancien",
      "Modifié"),
   "Nouveau"))</f>
        <v>Ancien</v>
      </c>
      <c r="AC1793"/>
      <c r="AD1793"/>
    </row>
    <row r="1794" spans="1:30" x14ac:dyDescent="0.25">
      <c r="A1794" s="5" t="s">
        <v>5546</v>
      </c>
      <c r="B1794" s="1" t="s">
        <v>9934</v>
      </c>
      <c r="C1794" s="1" t="s">
        <v>122</v>
      </c>
      <c r="D1794" s="1" t="s">
        <v>9349</v>
      </c>
      <c r="E1794" s="1" t="s">
        <v>6330</v>
      </c>
      <c r="F1794" s="1" t="s">
        <v>14</v>
      </c>
      <c r="G1794" s="1" t="s">
        <v>10</v>
      </c>
      <c r="H1794" s="1" t="s">
        <v>140</v>
      </c>
      <c r="I1794" s="1" t="s">
        <v>22</v>
      </c>
      <c r="J1794" s="3">
        <v>46215.383043981485</v>
      </c>
      <c r="K1794" s="2" t="s">
        <v>9935</v>
      </c>
      <c r="L1794" s="1">
        <v>1291</v>
      </c>
      <c r="M1794" s="1">
        <v>1334</v>
      </c>
      <c r="N1794">
        <v>43</v>
      </c>
      <c r="O1794" s="3">
        <f>IF(
    R1794="Ancien",
    _xlfn.XLOOKUP(
        Final_Sans_VGE[[#This Row],[ppn_z]],
        tbl_Historique_Final[ppn_z],
        tbl_Historique_Final[Horodatage],
        ""
    ),
    Horodatage!$A$2
)</f>
        <v>46233.670796365739</v>
      </c>
      <c r="P1794" s="1" t="str">
        <f>IFERROR(IF(tbl_Historique_Final[[#This Row],[Commentaires]]&lt;&gt;"",tbl_Historique_Final[[#This Row],[Commentaires]],""),"")</f>
        <v/>
      </c>
      <c r="X1794" s="8" t="str">
        <f>IF(Final_Sans_VGE[[#This Row],[ppn_z]]="","",IFERROR(
   IF(_xlfn.XLOOKUP(Final_Sans_VGE[[#This Row],[ppn_z]],tbl_Historique_Final[ppn_z],tbl_Historique_Final[date_modif])=Final_Sans_VGE[[#This Row],[date_modif]],
      "Ancien",
      "Modifié"),
   "Nouveau"))</f>
        <v>Ancien</v>
      </c>
      <c r="AC1794"/>
      <c r="AD1794"/>
    </row>
    <row r="1795" spans="1:30" x14ac:dyDescent="0.25">
      <c r="A1795" s="5" t="s">
        <v>5549</v>
      </c>
      <c r="B1795" s="1" t="s">
        <v>9936</v>
      </c>
      <c r="J1795" s="3">
        <v>46191.363877314812</v>
      </c>
      <c r="L1795" s="1">
        <v>4</v>
      </c>
      <c r="M1795" s="1">
        <v>4</v>
      </c>
      <c r="N1795">
        <v>0</v>
      </c>
      <c r="O1795" s="3">
        <f>IF(
    R1795="Ancien",
    _xlfn.XLOOKUP(
        Final_Sans_VGE[[#This Row],[ppn_z]],
        tbl_Historique_Final[ppn_z],
        tbl_Historique_Final[Horodatage],
        ""
    ),
    Horodatage!$A$2
)</f>
        <v>46233.670796365739</v>
      </c>
      <c r="P1795" s="1" t="str">
        <f>IFERROR(IF(tbl_Historique_Final[[#This Row],[Commentaires]]&lt;&gt;"",tbl_Historique_Final[[#This Row],[Commentaires]],""),"")</f>
        <v/>
      </c>
      <c r="X1795" s="8" t="str">
        <f>IF(Final_Sans_VGE[[#This Row],[ppn_z]]="","",IFERROR(
   IF(_xlfn.XLOOKUP(Final_Sans_VGE[[#This Row],[ppn_z]],tbl_Historique_Final[ppn_z],tbl_Historique_Final[date_modif])=Final_Sans_VGE[[#This Row],[date_modif]],
      "Ancien",
      "Modifié"),
   "Nouveau"))</f>
        <v>Ancien</v>
      </c>
      <c r="AC1795"/>
      <c r="AD1795"/>
    </row>
    <row r="1796" spans="1:30" x14ac:dyDescent="0.25">
      <c r="A1796" s="5" t="s">
        <v>5552</v>
      </c>
      <c r="B1796" s="1" t="s">
        <v>9937</v>
      </c>
      <c r="C1796" s="1" t="s">
        <v>6615</v>
      </c>
      <c r="D1796" s="1" t="s">
        <v>14</v>
      </c>
      <c r="E1796" s="1" t="s">
        <v>50</v>
      </c>
      <c r="F1796" s="1" t="s">
        <v>8920</v>
      </c>
      <c r="G1796" s="1" t="s">
        <v>10</v>
      </c>
      <c r="H1796" s="1" t="s">
        <v>22</v>
      </c>
      <c r="I1796" s="1" t="s">
        <v>22</v>
      </c>
      <c r="J1796" s="3">
        <v>46215.395474537036</v>
      </c>
      <c r="K1796" s="2" t="s">
        <v>9938</v>
      </c>
      <c r="L1796" s="1">
        <v>243</v>
      </c>
      <c r="M1796" s="1">
        <v>246</v>
      </c>
      <c r="N1796">
        <v>3</v>
      </c>
      <c r="O1796" s="3">
        <f>IF(
    R1796="Ancien",
    _xlfn.XLOOKUP(
        Final_Sans_VGE[[#This Row],[ppn_z]],
        tbl_Historique_Final[ppn_z],
        tbl_Historique_Final[Horodatage],
        ""
    ),
    Horodatage!$A$2
)</f>
        <v>46233.670796365739</v>
      </c>
      <c r="P1796" s="1" t="str">
        <f>IFERROR(IF(tbl_Historique_Final[[#This Row],[Commentaires]]&lt;&gt;"",tbl_Historique_Final[[#This Row],[Commentaires]],""),"")</f>
        <v/>
      </c>
      <c r="X1796" s="8" t="str">
        <f>IF(Final_Sans_VGE[[#This Row],[ppn_z]]="","",IFERROR(
   IF(_xlfn.XLOOKUP(Final_Sans_VGE[[#This Row],[ppn_z]],tbl_Historique_Final[ppn_z],tbl_Historique_Final[date_modif])=Final_Sans_VGE[[#This Row],[date_modif]],
      "Ancien",
      "Modifié"),
   "Nouveau"))</f>
        <v>Ancien</v>
      </c>
      <c r="AC1796"/>
      <c r="AD1796"/>
    </row>
    <row r="1797" spans="1:30" x14ac:dyDescent="0.25">
      <c r="A1797" s="5" t="s">
        <v>5555</v>
      </c>
      <c r="B1797" s="1" t="s">
        <v>9939</v>
      </c>
      <c r="C1797" s="1" t="s">
        <v>7096</v>
      </c>
      <c r="J1797" s="3">
        <v>46216.423518518517</v>
      </c>
      <c r="L1797" s="1">
        <v>1</v>
      </c>
      <c r="M1797" s="1">
        <v>1</v>
      </c>
      <c r="N1797">
        <v>0</v>
      </c>
      <c r="O1797" s="3">
        <f>IF(
    R1797="Ancien",
    _xlfn.XLOOKUP(
        Final_Sans_VGE[[#This Row],[ppn_z]],
        tbl_Historique_Final[ppn_z],
        tbl_Historique_Final[Horodatage],
        ""
    ),
    Horodatage!$A$2
)</f>
        <v>46233.670796365739</v>
      </c>
      <c r="P1797" s="1" t="str">
        <f>IFERROR(IF(tbl_Historique_Final[[#This Row],[Commentaires]]&lt;&gt;"",tbl_Historique_Final[[#This Row],[Commentaires]],""),"")</f>
        <v/>
      </c>
      <c r="X1797" s="8" t="str">
        <f>IF(Final_Sans_VGE[[#This Row],[ppn_z]]="","",IFERROR(
   IF(_xlfn.XLOOKUP(Final_Sans_VGE[[#This Row],[ppn_z]],tbl_Historique_Final[ppn_z],tbl_Historique_Final[date_modif])=Final_Sans_VGE[[#This Row],[date_modif]],
      "Ancien",
      "Modifié"),
   "Nouveau"))</f>
        <v>Ancien</v>
      </c>
      <c r="AC1797"/>
      <c r="AD1797"/>
    </row>
    <row r="1798" spans="1:30" x14ac:dyDescent="0.25">
      <c r="A1798" s="5" t="s">
        <v>5558</v>
      </c>
      <c r="B1798" s="1" t="s">
        <v>9940</v>
      </c>
      <c r="C1798" s="1" t="s">
        <v>6386</v>
      </c>
      <c r="E1798" s="1" t="s">
        <v>87</v>
      </c>
      <c r="J1798" s="3">
        <v>46216.68787037037</v>
      </c>
      <c r="L1798" s="1">
        <v>21</v>
      </c>
      <c r="M1798" s="1">
        <v>21</v>
      </c>
      <c r="N1798">
        <v>0</v>
      </c>
      <c r="O1798" s="3">
        <f>IF(
    R1798="Ancien",
    _xlfn.XLOOKUP(
        Final_Sans_VGE[[#This Row],[ppn_z]],
        tbl_Historique_Final[ppn_z],
        tbl_Historique_Final[Horodatage],
        ""
    ),
    Horodatage!$A$2
)</f>
        <v>46233.670796365739</v>
      </c>
      <c r="P1798" s="1" t="str">
        <f>IFERROR(IF(tbl_Historique_Final[[#This Row],[Commentaires]]&lt;&gt;"",tbl_Historique_Final[[#This Row],[Commentaires]],""),"")</f>
        <v/>
      </c>
      <c r="X1798" s="8" t="str">
        <f>IF(Final_Sans_VGE[[#This Row],[ppn_z]]="","",IFERROR(
   IF(_xlfn.XLOOKUP(Final_Sans_VGE[[#This Row],[ppn_z]],tbl_Historique_Final[ppn_z],tbl_Historique_Final[date_modif])=Final_Sans_VGE[[#This Row],[date_modif]],
      "Ancien",
      "Modifié"),
   "Nouveau"))</f>
        <v>Ancien</v>
      </c>
      <c r="AC1798"/>
      <c r="AD1798"/>
    </row>
    <row r="1799" spans="1:30" ht="90" x14ac:dyDescent="0.25">
      <c r="A1799" s="5" t="s">
        <v>5561</v>
      </c>
      <c r="B1799" s="1" t="s">
        <v>9941</v>
      </c>
      <c r="C1799" s="1" t="s">
        <v>86</v>
      </c>
      <c r="J1799" s="3">
        <v>46216.697488425925</v>
      </c>
      <c r="K1799" s="2" t="s">
        <v>9942</v>
      </c>
      <c r="L1799" s="1">
        <v>35</v>
      </c>
      <c r="M1799" s="1">
        <v>36</v>
      </c>
      <c r="N1799">
        <v>1</v>
      </c>
      <c r="O1799" s="3">
        <f>IF(
    R1799="Ancien",
    _xlfn.XLOOKUP(
        Final_Sans_VGE[[#This Row],[ppn_z]],
        tbl_Historique_Final[ppn_z],
        tbl_Historique_Final[Horodatage],
        ""
    ),
    Horodatage!$A$2
)</f>
        <v>46233.670796365739</v>
      </c>
      <c r="P1799" s="1" t="str">
        <f>IFERROR(IF(tbl_Historique_Final[[#This Row],[Commentaires]]&lt;&gt;"",tbl_Historique_Final[[#This Row],[Commentaires]],""),"")</f>
        <v/>
      </c>
      <c r="X1799" s="8" t="str">
        <f>IF(Final_Sans_VGE[[#This Row],[ppn_z]]="","",IFERROR(
   IF(_xlfn.XLOOKUP(Final_Sans_VGE[[#This Row],[ppn_z]],tbl_Historique_Final[ppn_z],tbl_Historique_Final[date_modif])=Final_Sans_VGE[[#This Row],[date_modif]],
      "Ancien",
      "Modifié"),
   "Nouveau"))</f>
        <v>Ancien</v>
      </c>
      <c r="AC1799"/>
      <c r="AD1799"/>
    </row>
    <row r="1800" spans="1:30" x14ac:dyDescent="0.25">
      <c r="A1800" s="5" t="s">
        <v>5564</v>
      </c>
      <c r="B1800" s="1" t="s">
        <v>9943</v>
      </c>
      <c r="C1800" s="1" t="s">
        <v>12</v>
      </c>
      <c r="G1800" s="1" t="s">
        <v>10</v>
      </c>
      <c r="J1800" s="3">
        <v>46216.719675925924</v>
      </c>
      <c r="L1800" s="1">
        <v>15</v>
      </c>
      <c r="M1800" s="1">
        <v>15</v>
      </c>
      <c r="N1800">
        <v>0</v>
      </c>
      <c r="O1800" s="3">
        <f>IF(
    R1800="Ancien",
    _xlfn.XLOOKUP(
        Final_Sans_VGE[[#This Row],[ppn_z]],
        tbl_Historique_Final[ppn_z],
        tbl_Historique_Final[Horodatage],
        ""
    ),
    Horodatage!$A$2
)</f>
        <v>46233.670796365739</v>
      </c>
      <c r="P1800" s="1" t="str">
        <f>IFERROR(IF(tbl_Historique_Final[[#This Row],[Commentaires]]&lt;&gt;"",tbl_Historique_Final[[#This Row],[Commentaires]],""),"")</f>
        <v/>
      </c>
      <c r="X1800" s="8" t="str">
        <f>IF(Final_Sans_VGE[[#This Row],[ppn_z]]="","",IFERROR(
   IF(_xlfn.XLOOKUP(Final_Sans_VGE[[#This Row],[ppn_z]],tbl_Historique_Final[ppn_z],tbl_Historique_Final[date_modif])=Final_Sans_VGE[[#This Row],[date_modif]],
      "Ancien",
      "Modifié"),
   "Nouveau"))</f>
        <v>Ancien</v>
      </c>
      <c r="AC1800"/>
      <c r="AD1800"/>
    </row>
    <row r="1801" spans="1:30" ht="105" x14ac:dyDescent="0.25">
      <c r="A1801" s="5" t="s">
        <v>5567</v>
      </c>
      <c r="B1801" s="1" t="s">
        <v>9944</v>
      </c>
      <c r="C1801" s="1" t="s">
        <v>93</v>
      </c>
      <c r="D1801" s="1" t="s">
        <v>9945</v>
      </c>
      <c r="E1801" s="1" t="s">
        <v>29</v>
      </c>
      <c r="F1801" s="1" t="s">
        <v>9946</v>
      </c>
      <c r="G1801" s="1" t="s">
        <v>10</v>
      </c>
      <c r="H1801" s="1" t="s">
        <v>22</v>
      </c>
      <c r="I1801" s="1" t="s">
        <v>140</v>
      </c>
      <c r="J1801" s="3">
        <v>46217.477662037039</v>
      </c>
      <c r="K1801" s="2" t="s">
        <v>9947</v>
      </c>
      <c r="L1801" s="1">
        <v>11</v>
      </c>
      <c r="M1801" s="1">
        <v>24</v>
      </c>
      <c r="N1801">
        <v>13</v>
      </c>
      <c r="O1801" s="3">
        <f>IF(
    R1801="Ancien",
    _xlfn.XLOOKUP(
        Final_Sans_VGE[[#This Row],[ppn_z]],
        tbl_Historique_Final[ppn_z],
        tbl_Historique_Final[Horodatage],
        ""
    ),
    Horodatage!$A$2
)</f>
        <v>46233.670796365739</v>
      </c>
      <c r="P1801" s="1" t="str">
        <f>IFERROR(IF(tbl_Historique_Final[[#This Row],[Commentaires]]&lt;&gt;"",tbl_Historique_Final[[#This Row],[Commentaires]],""),"")</f>
        <v/>
      </c>
      <c r="X1801" s="8" t="str">
        <f>IF(Final_Sans_VGE[[#This Row],[ppn_z]]="","",IFERROR(
   IF(_xlfn.XLOOKUP(Final_Sans_VGE[[#This Row],[ppn_z]],tbl_Historique_Final[ppn_z],tbl_Historique_Final[date_modif])=Final_Sans_VGE[[#This Row],[date_modif]],
      "Ancien",
      "Modifié"),
   "Nouveau"))</f>
        <v>Ancien</v>
      </c>
      <c r="AC1801"/>
      <c r="AD1801"/>
    </row>
    <row r="1802" spans="1:30" x14ac:dyDescent="0.25">
      <c r="A1802" s="5" t="s">
        <v>5570</v>
      </c>
      <c r="B1802" s="1" t="s">
        <v>9948</v>
      </c>
      <c r="C1802" s="1" t="s">
        <v>12</v>
      </c>
      <c r="G1802" s="1" t="s">
        <v>11</v>
      </c>
      <c r="J1802" s="3">
        <v>46217.624490740738</v>
      </c>
      <c r="K1802" s="2" t="s">
        <v>9949</v>
      </c>
      <c r="L1802" s="1">
        <v>1</v>
      </c>
      <c r="M1802" s="1">
        <v>1</v>
      </c>
      <c r="N1802">
        <v>0</v>
      </c>
      <c r="O1802" s="3">
        <f>IF(
    R1802="Ancien",
    _xlfn.XLOOKUP(
        Final_Sans_VGE[[#This Row],[ppn_z]],
        tbl_Historique_Final[ppn_z],
        tbl_Historique_Final[Horodatage],
        ""
    ),
    Horodatage!$A$2
)</f>
        <v>46233.670796365739</v>
      </c>
      <c r="P1802" s="1" t="str">
        <f>IFERROR(IF(tbl_Historique_Final[[#This Row],[Commentaires]]&lt;&gt;"",tbl_Historique_Final[[#This Row],[Commentaires]],""),"")</f>
        <v/>
      </c>
      <c r="X1802" s="8" t="str">
        <f>IF(Final_Sans_VGE[[#This Row],[ppn_z]]="","",IFERROR(
   IF(_xlfn.XLOOKUP(Final_Sans_VGE[[#This Row],[ppn_z]],tbl_Historique_Final[ppn_z],tbl_Historique_Final[date_modif])=Final_Sans_VGE[[#This Row],[date_modif]],
      "Ancien",
      "Modifié"),
   "Nouveau"))</f>
        <v>Ancien</v>
      </c>
      <c r="AC1802"/>
      <c r="AD1802"/>
    </row>
    <row r="1803" spans="1:30" ht="30" x14ac:dyDescent="0.25">
      <c r="A1803" s="5" t="s">
        <v>5573</v>
      </c>
      <c r="B1803" s="1" t="s">
        <v>9950</v>
      </c>
      <c r="C1803" s="1" t="s">
        <v>12</v>
      </c>
      <c r="G1803" s="1" t="s">
        <v>11</v>
      </c>
      <c r="J1803" s="3">
        <v>46217.627546296295</v>
      </c>
      <c r="K1803" s="2" t="s">
        <v>9951</v>
      </c>
      <c r="L1803" s="1">
        <v>1</v>
      </c>
      <c r="M1803" s="1">
        <v>1</v>
      </c>
      <c r="N1803">
        <v>0</v>
      </c>
      <c r="O1803" s="3">
        <f>IF(
    R1803="Ancien",
    _xlfn.XLOOKUP(
        Final_Sans_VGE[[#This Row],[ppn_z]],
        tbl_Historique_Final[ppn_z],
        tbl_Historique_Final[Horodatage],
        ""
    ),
    Horodatage!$A$2
)</f>
        <v>46233.670796365739</v>
      </c>
      <c r="P1803" s="1" t="str">
        <f>IFERROR(IF(tbl_Historique_Final[[#This Row],[Commentaires]]&lt;&gt;"",tbl_Historique_Final[[#This Row],[Commentaires]],""),"")</f>
        <v/>
      </c>
      <c r="X1803" s="8" t="str">
        <f>IF(Final_Sans_VGE[[#This Row],[ppn_z]]="","",IFERROR(
   IF(_xlfn.XLOOKUP(Final_Sans_VGE[[#This Row],[ppn_z]],tbl_Historique_Final[ppn_z],tbl_Historique_Final[date_modif])=Final_Sans_VGE[[#This Row],[date_modif]],
      "Ancien",
      "Modifié"),
   "Nouveau"))</f>
        <v>Ancien</v>
      </c>
      <c r="AC1803"/>
      <c r="AD1803"/>
    </row>
    <row r="1804" spans="1:30" x14ac:dyDescent="0.25">
      <c r="A1804" s="5" t="s">
        <v>5576</v>
      </c>
      <c r="B1804" s="1" t="s">
        <v>9952</v>
      </c>
      <c r="C1804" s="1" t="s">
        <v>12</v>
      </c>
      <c r="G1804" s="1" t="s">
        <v>10</v>
      </c>
      <c r="J1804" s="3">
        <v>46218.6797337963</v>
      </c>
      <c r="K1804" s="2" t="s">
        <v>9953</v>
      </c>
      <c r="L1804" s="1">
        <v>0</v>
      </c>
      <c r="M1804" s="1">
        <v>0</v>
      </c>
      <c r="N1804">
        <v>0</v>
      </c>
      <c r="O1804" s="3">
        <f>IF(
    R1804="Ancien",
    _xlfn.XLOOKUP(
        Final_Sans_VGE[[#This Row],[ppn_z]],
        tbl_Historique_Final[ppn_z],
        tbl_Historique_Final[Horodatage],
        ""
    ),
    Horodatage!$A$2
)</f>
        <v>46233.670796365739</v>
      </c>
      <c r="P1804" s="1" t="str">
        <f>IFERROR(IF(tbl_Historique_Final[[#This Row],[Commentaires]]&lt;&gt;"",tbl_Historique_Final[[#This Row],[Commentaires]],""),"")</f>
        <v/>
      </c>
      <c r="X1804" s="8" t="str">
        <f>IF(Final_Sans_VGE[[#This Row],[ppn_z]]="","",IFERROR(
   IF(_xlfn.XLOOKUP(Final_Sans_VGE[[#This Row],[ppn_z]],tbl_Historique_Final[ppn_z],tbl_Historique_Final[date_modif])=Final_Sans_VGE[[#This Row],[date_modif]],
      "Ancien",
      "Modifié"),
   "Nouveau"))</f>
        <v>Ancien</v>
      </c>
      <c r="AC1804"/>
      <c r="AD1804"/>
    </row>
    <row r="1805" spans="1:30" ht="30" x14ac:dyDescent="0.25">
      <c r="A1805" s="5" t="s">
        <v>5579</v>
      </c>
      <c r="B1805" s="1" t="s">
        <v>9954</v>
      </c>
      <c r="C1805" s="1" t="s">
        <v>72</v>
      </c>
      <c r="G1805" s="1" t="s">
        <v>10</v>
      </c>
      <c r="J1805" s="3">
        <v>46220.595173611109</v>
      </c>
      <c r="K1805" s="2" t="s">
        <v>9955</v>
      </c>
      <c r="L1805" s="1">
        <v>1</v>
      </c>
      <c r="M1805" s="1">
        <v>1</v>
      </c>
      <c r="N1805">
        <v>0</v>
      </c>
      <c r="O1805" s="3">
        <f>IF(
    R1805="Ancien",
    _xlfn.XLOOKUP(
        Final_Sans_VGE[[#This Row],[ppn_z]],
        tbl_Historique_Final[ppn_z],
        tbl_Historique_Final[Horodatage],
        ""
    ),
    Horodatage!$A$2
)</f>
        <v>46233.670796365739</v>
      </c>
      <c r="P1805" s="1" t="str">
        <f>IFERROR(IF(tbl_Historique_Final[[#This Row],[Commentaires]]&lt;&gt;"",tbl_Historique_Final[[#This Row],[Commentaires]],""),"")</f>
        <v/>
      </c>
      <c r="X1805" s="8" t="str">
        <f>IF(Final_Sans_VGE[[#This Row],[ppn_z]]="","",IFERROR(
   IF(_xlfn.XLOOKUP(Final_Sans_VGE[[#This Row],[ppn_z]],tbl_Historique_Final[ppn_z],tbl_Historique_Final[date_modif])=Final_Sans_VGE[[#This Row],[date_modif]],
      "Ancien",
      "Modifié"),
   "Nouveau"))</f>
        <v>Ancien</v>
      </c>
      <c r="AC1805"/>
      <c r="AD1805"/>
    </row>
    <row r="1806" spans="1:30" ht="30" x14ac:dyDescent="0.25">
      <c r="A1806" s="5" t="s">
        <v>5582</v>
      </c>
      <c r="B1806" s="1" t="s">
        <v>9956</v>
      </c>
      <c r="C1806" s="1" t="s">
        <v>68</v>
      </c>
      <c r="G1806" s="1" t="s">
        <v>10</v>
      </c>
      <c r="J1806" s="3">
        <v>46222.375891203701</v>
      </c>
      <c r="K1806" s="2" t="s">
        <v>9957</v>
      </c>
      <c r="L1806" s="1">
        <v>11</v>
      </c>
      <c r="M1806" s="1">
        <v>27</v>
      </c>
      <c r="N1806">
        <v>16</v>
      </c>
      <c r="O1806" s="3">
        <f>IF(
    R1806="Ancien",
    _xlfn.XLOOKUP(
        Final_Sans_VGE[[#This Row],[ppn_z]],
        tbl_Historique_Final[ppn_z],
        tbl_Historique_Final[Horodatage],
        ""
    ),
    Horodatage!$A$2
)</f>
        <v>46233.670796365739</v>
      </c>
      <c r="P1806" s="1" t="str">
        <f>IFERROR(IF(tbl_Historique_Final[[#This Row],[Commentaires]]&lt;&gt;"",tbl_Historique_Final[[#This Row],[Commentaires]],""),"")</f>
        <v/>
      </c>
      <c r="X1806" s="8" t="str">
        <f>IF(Final_Sans_VGE[[#This Row],[ppn_z]]="","",IFERROR(
   IF(_xlfn.XLOOKUP(Final_Sans_VGE[[#This Row],[ppn_z]],tbl_Historique_Final[ppn_z],tbl_Historique_Final[date_modif])=Final_Sans_VGE[[#This Row],[date_modif]],
      "Ancien",
      "Modifié"),
   "Nouveau"))</f>
        <v>Ancien</v>
      </c>
      <c r="AC1806"/>
      <c r="AD1806"/>
    </row>
    <row r="1807" spans="1:30" x14ac:dyDescent="0.25">
      <c r="A1807" s="5" t="s">
        <v>5585</v>
      </c>
      <c r="B1807" s="1" t="s">
        <v>9958</v>
      </c>
      <c r="C1807" s="1" t="s">
        <v>90</v>
      </c>
      <c r="G1807" s="1" t="s">
        <v>10</v>
      </c>
      <c r="J1807" s="3">
        <v>46222.3827662037</v>
      </c>
      <c r="K1807" s="2" t="s">
        <v>9959</v>
      </c>
      <c r="L1807" s="1">
        <v>4</v>
      </c>
      <c r="M1807" s="1">
        <v>4</v>
      </c>
      <c r="N1807">
        <v>0</v>
      </c>
      <c r="O1807" s="3">
        <f>IF(
    R1807="Ancien",
    _xlfn.XLOOKUP(
        Final_Sans_VGE[[#This Row],[ppn_z]],
        tbl_Historique_Final[ppn_z],
        tbl_Historique_Final[Horodatage],
        ""
    ),
    Horodatage!$A$2
)</f>
        <v>46233.670796365739</v>
      </c>
      <c r="P1807" s="1" t="str">
        <f>IFERROR(IF(tbl_Historique_Final[[#This Row],[Commentaires]]&lt;&gt;"",tbl_Historique_Final[[#This Row],[Commentaires]],""),"")</f>
        <v/>
      </c>
      <c r="X1807" s="8" t="str">
        <f>IF(Final_Sans_VGE[[#This Row],[ppn_z]]="","",IFERROR(
   IF(_xlfn.XLOOKUP(Final_Sans_VGE[[#This Row],[ppn_z]],tbl_Historique_Final[ppn_z],tbl_Historique_Final[date_modif])=Final_Sans_VGE[[#This Row],[date_modif]],
      "Ancien",
      "Modifié"),
   "Nouveau"))</f>
        <v>Ancien</v>
      </c>
      <c r="AC1807"/>
      <c r="AD1807"/>
    </row>
    <row r="1808" spans="1:30" x14ac:dyDescent="0.25">
      <c r="A1808" s="5" t="s">
        <v>5588</v>
      </c>
      <c r="B1808" s="1" t="s">
        <v>9960</v>
      </c>
      <c r="C1808" s="1" t="s">
        <v>12</v>
      </c>
      <c r="G1808" s="1" t="s">
        <v>10</v>
      </c>
      <c r="J1808" s="3">
        <v>46222.387025462966</v>
      </c>
      <c r="K1808" s="2" t="s">
        <v>9961</v>
      </c>
      <c r="L1808" s="1">
        <v>2</v>
      </c>
      <c r="M1808" s="1">
        <v>4</v>
      </c>
      <c r="N1808">
        <v>2</v>
      </c>
      <c r="O1808" s="3">
        <f>IF(
    R1808="Ancien",
    _xlfn.XLOOKUP(
        Final_Sans_VGE[[#This Row],[ppn_z]],
        tbl_Historique_Final[ppn_z],
        tbl_Historique_Final[Horodatage],
        ""
    ),
    Horodatage!$A$2
)</f>
        <v>46233.670796365739</v>
      </c>
      <c r="P1808" s="1" t="str">
        <f>IFERROR(IF(tbl_Historique_Final[[#This Row],[Commentaires]]&lt;&gt;"",tbl_Historique_Final[[#This Row],[Commentaires]],""),"")</f>
        <v/>
      </c>
      <c r="X1808" s="8" t="str">
        <f>IF(Final_Sans_VGE[[#This Row],[ppn_z]]="","",IFERROR(
   IF(_xlfn.XLOOKUP(Final_Sans_VGE[[#This Row],[ppn_z]],tbl_Historique_Final[ppn_z],tbl_Historique_Final[date_modif])=Final_Sans_VGE[[#This Row],[date_modif]],
      "Ancien",
      "Modifié"),
   "Nouveau"))</f>
        <v>Ancien</v>
      </c>
      <c r="AC1808"/>
      <c r="AD1808"/>
    </row>
    <row r="1809" spans="1:30" x14ac:dyDescent="0.25">
      <c r="A1809" s="5" t="s">
        <v>5591</v>
      </c>
      <c r="B1809" s="1" t="s">
        <v>9962</v>
      </c>
      <c r="C1809" s="1" t="s">
        <v>12</v>
      </c>
      <c r="D1809" s="1" t="s">
        <v>14</v>
      </c>
      <c r="H1809" s="1" t="s">
        <v>22</v>
      </c>
      <c r="I1809" s="1" t="s">
        <v>22</v>
      </c>
      <c r="J1809" s="3">
        <v>46222.392581018517</v>
      </c>
      <c r="K1809" s="2" t="s">
        <v>9963</v>
      </c>
      <c r="L1809" s="1">
        <v>3</v>
      </c>
      <c r="M1809" s="1">
        <v>4</v>
      </c>
      <c r="N1809">
        <v>1</v>
      </c>
      <c r="O1809" s="3">
        <f>IF(
    R1809="Ancien",
    _xlfn.XLOOKUP(
        Final_Sans_VGE[[#This Row],[ppn_z]],
        tbl_Historique_Final[ppn_z],
        tbl_Historique_Final[Horodatage],
        ""
    ),
    Horodatage!$A$2
)</f>
        <v>46233.670796365739</v>
      </c>
      <c r="P1809" s="1" t="str">
        <f>IFERROR(IF(tbl_Historique_Final[[#This Row],[Commentaires]]&lt;&gt;"",tbl_Historique_Final[[#This Row],[Commentaires]],""),"")</f>
        <v/>
      </c>
      <c r="X1809" s="8" t="str">
        <f>IF(Final_Sans_VGE[[#This Row],[ppn_z]]="","",IFERROR(
   IF(_xlfn.XLOOKUP(Final_Sans_VGE[[#This Row],[ppn_z]],tbl_Historique_Final[ppn_z],tbl_Historique_Final[date_modif])=Final_Sans_VGE[[#This Row],[date_modif]],
      "Ancien",
      "Modifié"),
   "Nouveau"))</f>
        <v>Ancien</v>
      </c>
      <c r="AC1809"/>
      <c r="AD1809"/>
    </row>
    <row r="1810" spans="1:30" ht="30" x14ac:dyDescent="0.25">
      <c r="A1810" s="5" t="s">
        <v>5594</v>
      </c>
      <c r="B1810" s="1" t="s">
        <v>9964</v>
      </c>
      <c r="C1810" s="1" t="s">
        <v>12</v>
      </c>
      <c r="G1810" s="1" t="s">
        <v>11</v>
      </c>
      <c r="J1810" s="3">
        <v>46223.703287037039</v>
      </c>
      <c r="K1810" s="2" t="s">
        <v>9965</v>
      </c>
      <c r="L1810" s="1">
        <v>18</v>
      </c>
      <c r="M1810" s="1">
        <v>18</v>
      </c>
      <c r="N1810">
        <v>0</v>
      </c>
      <c r="O1810" s="3">
        <f>IF(
    R1810="Ancien",
    _xlfn.XLOOKUP(
        Final_Sans_VGE[[#This Row],[ppn_z]],
        tbl_Historique_Final[ppn_z],
        tbl_Historique_Final[Horodatage],
        ""
    ),
    Horodatage!$A$2
)</f>
        <v>46233.670796365739</v>
      </c>
      <c r="P1810" s="1" t="str">
        <f>IFERROR(IF(tbl_Historique_Final[[#This Row],[Commentaires]]&lt;&gt;"",tbl_Historique_Final[[#This Row],[Commentaires]],""),"")</f>
        <v/>
      </c>
      <c r="X1810" s="8" t="str">
        <f>IF(Final_Sans_VGE[[#This Row],[ppn_z]]="","",IFERROR(
   IF(_xlfn.XLOOKUP(Final_Sans_VGE[[#This Row],[ppn_z]],tbl_Historique_Final[ppn_z],tbl_Historique_Final[date_modif])=Final_Sans_VGE[[#This Row],[date_modif]],
      "Ancien",
      "Modifié"),
   "Nouveau"))</f>
        <v>Ancien</v>
      </c>
      <c r="AC1810"/>
      <c r="AD1810"/>
    </row>
    <row r="1811" spans="1:30" x14ac:dyDescent="0.25">
      <c r="A1811" s="5" t="s">
        <v>5597</v>
      </c>
      <c r="B1811" s="1" t="s">
        <v>9966</v>
      </c>
      <c r="C1811" s="1" t="s">
        <v>8371</v>
      </c>
      <c r="E1811" s="1" t="s">
        <v>7652</v>
      </c>
      <c r="G1811" s="1" t="s">
        <v>10</v>
      </c>
      <c r="J1811" s="3">
        <v>46223.735844907409</v>
      </c>
      <c r="K1811" s="2" t="s">
        <v>6986</v>
      </c>
      <c r="L1811" s="1">
        <v>19</v>
      </c>
      <c r="M1811" s="1">
        <v>24</v>
      </c>
      <c r="N1811">
        <v>5</v>
      </c>
      <c r="O1811" s="3">
        <f>IF(
    R1811="Ancien",
    _xlfn.XLOOKUP(
        Final_Sans_VGE[[#This Row],[ppn_z]],
        tbl_Historique_Final[ppn_z],
        tbl_Historique_Final[Horodatage],
        ""
    ),
    Horodatage!$A$2
)</f>
        <v>46233.670796365739</v>
      </c>
      <c r="P1811" s="1" t="str">
        <f>IFERROR(IF(tbl_Historique_Final[[#This Row],[Commentaires]]&lt;&gt;"",tbl_Historique_Final[[#This Row],[Commentaires]],""),"")</f>
        <v/>
      </c>
      <c r="X1811" s="8" t="str">
        <f>IF(Final_Sans_VGE[[#This Row],[ppn_z]]="","",IFERROR(
   IF(_xlfn.XLOOKUP(Final_Sans_VGE[[#This Row],[ppn_z]],tbl_Historique_Final[ppn_z],tbl_Historique_Final[date_modif])=Final_Sans_VGE[[#This Row],[date_modif]],
      "Ancien",
      "Modifié"),
   "Nouveau"))</f>
        <v>Ancien</v>
      </c>
      <c r="AC1811"/>
      <c r="AD1811"/>
    </row>
    <row r="1812" spans="1:30" x14ac:dyDescent="0.25">
      <c r="A1812" s="5" t="s">
        <v>5600</v>
      </c>
      <c r="B1812" s="1" t="s">
        <v>9967</v>
      </c>
      <c r="C1812" s="1" t="s">
        <v>49</v>
      </c>
      <c r="J1812" s="3">
        <v>46223.744502314818</v>
      </c>
      <c r="L1812" s="1">
        <v>18</v>
      </c>
      <c r="M1812" s="1">
        <v>19</v>
      </c>
      <c r="N1812">
        <v>1</v>
      </c>
      <c r="O1812" s="3">
        <f>IF(
    R1812="Ancien",
    _xlfn.XLOOKUP(
        Final_Sans_VGE[[#This Row],[ppn_z]],
        tbl_Historique_Final[ppn_z],
        tbl_Historique_Final[Horodatage],
        ""
    ),
    Horodatage!$A$2
)</f>
        <v>46233.670796365739</v>
      </c>
      <c r="P1812" s="1" t="str">
        <f>IFERROR(IF(tbl_Historique_Final[[#This Row],[Commentaires]]&lt;&gt;"",tbl_Historique_Final[[#This Row],[Commentaires]],""),"")</f>
        <v/>
      </c>
      <c r="X1812" s="8" t="str">
        <f>IF(Final_Sans_VGE[[#This Row],[ppn_z]]="","",IFERROR(
   IF(_xlfn.XLOOKUP(Final_Sans_VGE[[#This Row],[ppn_z]],tbl_Historique_Final[ppn_z],tbl_Historique_Final[date_modif])=Final_Sans_VGE[[#This Row],[date_modif]],
      "Ancien",
      "Modifié"),
   "Nouveau"))</f>
        <v>Ancien</v>
      </c>
      <c r="AC1812"/>
      <c r="AD1812"/>
    </row>
    <row r="1813" spans="1:30" x14ac:dyDescent="0.25">
      <c r="A1813" s="5" t="s">
        <v>5603</v>
      </c>
      <c r="B1813" s="1" t="s">
        <v>9968</v>
      </c>
      <c r="C1813" s="1" t="s">
        <v>33</v>
      </c>
      <c r="J1813" s="3">
        <v>46223.750092592592</v>
      </c>
      <c r="K1813" s="2" t="s">
        <v>9969</v>
      </c>
      <c r="L1813" s="1">
        <v>8</v>
      </c>
      <c r="M1813" s="1">
        <v>8</v>
      </c>
      <c r="N1813">
        <v>0</v>
      </c>
      <c r="O1813" s="3">
        <f>IF(
    R1813="Ancien",
    _xlfn.XLOOKUP(
        Final_Sans_VGE[[#This Row],[ppn_z]],
        tbl_Historique_Final[ppn_z],
        tbl_Historique_Final[Horodatage],
        ""
    ),
    Horodatage!$A$2
)</f>
        <v>46233.670796365739</v>
      </c>
      <c r="P1813" s="1" t="str">
        <f>IFERROR(IF(tbl_Historique_Final[[#This Row],[Commentaires]]&lt;&gt;"",tbl_Historique_Final[[#This Row],[Commentaires]],""),"")</f>
        <v/>
      </c>
      <c r="X1813" s="8" t="str">
        <f>IF(Final_Sans_VGE[[#This Row],[ppn_z]]="","",IFERROR(
   IF(_xlfn.XLOOKUP(Final_Sans_VGE[[#This Row],[ppn_z]],tbl_Historique_Final[ppn_z],tbl_Historique_Final[date_modif])=Final_Sans_VGE[[#This Row],[date_modif]],
      "Ancien",
      "Modifié"),
   "Nouveau"))</f>
        <v>Ancien</v>
      </c>
      <c r="AC1813"/>
      <c r="AD1813"/>
    </row>
    <row r="1814" spans="1:30" x14ac:dyDescent="0.25">
      <c r="A1814" s="5" t="s">
        <v>5606</v>
      </c>
      <c r="B1814" s="1" t="s">
        <v>9970</v>
      </c>
      <c r="C1814" s="1" t="s">
        <v>9090</v>
      </c>
      <c r="E1814" s="1" t="s">
        <v>9090</v>
      </c>
      <c r="G1814" s="1" t="s">
        <v>10</v>
      </c>
      <c r="J1814" s="3">
        <v>46223.799259259256</v>
      </c>
      <c r="K1814" s="2" t="s">
        <v>9971</v>
      </c>
      <c r="L1814" s="1">
        <v>17</v>
      </c>
      <c r="M1814" s="1">
        <v>21</v>
      </c>
      <c r="N1814">
        <v>4</v>
      </c>
      <c r="O1814" s="3">
        <f>IF(
    R1814="Ancien",
    _xlfn.XLOOKUP(
        Final_Sans_VGE[[#This Row],[ppn_z]],
        tbl_Historique_Final[ppn_z],
        tbl_Historique_Final[Horodatage],
        ""
    ),
    Horodatage!$A$2
)</f>
        <v>46233.670796365739</v>
      </c>
      <c r="P1814" s="1" t="str">
        <f>IFERROR(IF(tbl_Historique_Final[[#This Row],[Commentaires]]&lt;&gt;"",tbl_Historique_Final[[#This Row],[Commentaires]],""),"")</f>
        <v/>
      </c>
      <c r="X1814" s="8" t="str">
        <f>IF(Final_Sans_VGE[[#This Row],[ppn_z]]="","",IFERROR(
   IF(_xlfn.XLOOKUP(Final_Sans_VGE[[#This Row],[ppn_z]],tbl_Historique_Final[ppn_z],tbl_Historique_Final[date_modif])=Final_Sans_VGE[[#This Row],[date_modif]],
      "Ancien",
      "Modifié"),
   "Nouveau"))</f>
        <v>Ancien</v>
      </c>
      <c r="AC1814"/>
      <c r="AD1814"/>
    </row>
    <row r="1815" spans="1:30" x14ac:dyDescent="0.25">
      <c r="A1815" s="5" t="s">
        <v>5609</v>
      </c>
      <c r="B1815" s="1" t="s">
        <v>9972</v>
      </c>
      <c r="C1815" s="1" t="s">
        <v>65</v>
      </c>
      <c r="G1815" s="1" t="s">
        <v>11</v>
      </c>
      <c r="J1815" s="3">
        <v>46230.499756944446</v>
      </c>
      <c r="K1815" s="2" t="s">
        <v>9973</v>
      </c>
      <c r="L1815" s="1">
        <v>15</v>
      </c>
      <c r="M1815" s="1">
        <v>15</v>
      </c>
      <c r="N1815">
        <v>0</v>
      </c>
      <c r="O1815" s="3">
        <f>IF(
    R1815="Ancien",
    _xlfn.XLOOKUP(
        Final_Sans_VGE[[#This Row],[ppn_z]],
        tbl_Historique_Final[ppn_z],
        tbl_Historique_Final[Horodatage],
        ""
    ),
    Horodatage!$A$2
)</f>
        <v>46233.670796365739</v>
      </c>
      <c r="P1815" s="1" t="str">
        <f>IFERROR(IF(tbl_Historique_Final[[#This Row],[Commentaires]]&lt;&gt;"",tbl_Historique_Final[[#This Row],[Commentaires]],""),"")</f>
        <v/>
      </c>
      <c r="X1815" s="8" t="str">
        <f>IF(Final_Sans_VGE[[#This Row],[ppn_z]]="","",IFERROR(
   IF(_xlfn.XLOOKUP(Final_Sans_VGE[[#This Row],[ppn_z]],tbl_Historique_Final[ppn_z],tbl_Historique_Final[date_modif])=Final_Sans_VGE[[#This Row],[date_modif]],
      "Ancien",
      "Modifié"),
   "Nouveau"))</f>
        <v>Ancien</v>
      </c>
      <c r="AC1815"/>
      <c r="AD1815"/>
    </row>
    <row r="1816" spans="1:30" ht="105" x14ac:dyDescent="0.25">
      <c r="A1816" s="5" t="s">
        <v>5612</v>
      </c>
      <c r="B1816" s="1" t="s">
        <v>9974</v>
      </c>
      <c r="C1816" s="1" t="s">
        <v>165</v>
      </c>
      <c r="D1816" s="1" t="s">
        <v>14</v>
      </c>
      <c r="E1816" s="1" t="s">
        <v>97</v>
      </c>
      <c r="F1816" s="1" t="s">
        <v>14</v>
      </c>
      <c r="G1816" s="1" t="s">
        <v>10</v>
      </c>
      <c r="H1816" s="1" t="s">
        <v>22</v>
      </c>
      <c r="I1816" s="1" t="s">
        <v>22</v>
      </c>
      <c r="J1816" s="3">
        <v>46230.588738425926</v>
      </c>
      <c r="K1816" s="2" t="s">
        <v>9975</v>
      </c>
      <c r="L1816" s="1">
        <v>69</v>
      </c>
      <c r="M1816" s="1">
        <v>73</v>
      </c>
      <c r="N1816">
        <v>4</v>
      </c>
      <c r="O1816" s="3">
        <f>IF(
    R1816="Ancien",
    _xlfn.XLOOKUP(
        Final_Sans_VGE[[#This Row],[ppn_z]],
        tbl_Historique_Final[ppn_z],
        tbl_Historique_Final[Horodatage],
        ""
    ),
    Horodatage!$A$2
)</f>
        <v>46233.670796365739</v>
      </c>
      <c r="P1816" s="1" t="str">
        <f>IFERROR(IF(tbl_Historique_Final[[#This Row],[Commentaires]]&lt;&gt;"",tbl_Historique_Final[[#This Row],[Commentaires]],""),"")</f>
        <v/>
      </c>
      <c r="X1816" s="8" t="str">
        <f>IF(Final_Sans_VGE[[#This Row],[ppn_z]]="","",IFERROR(
   IF(_xlfn.XLOOKUP(Final_Sans_VGE[[#This Row],[ppn_z]],tbl_Historique_Final[ppn_z],tbl_Historique_Final[date_modif])=Final_Sans_VGE[[#This Row],[date_modif]],
      "Ancien",
      "Modifié"),
   "Nouveau"))</f>
        <v>Ancien</v>
      </c>
      <c r="AC1816"/>
      <c r="AD1816"/>
    </row>
    <row r="1817" spans="1:30" x14ac:dyDescent="0.25">
      <c r="A1817" s="5" t="s">
        <v>5615</v>
      </c>
      <c r="B1817" s="1" t="s">
        <v>9976</v>
      </c>
      <c r="H1817" s="1" t="s">
        <v>22</v>
      </c>
      <c r="I1817" s="1" t="s">
        <v>22</v>
      </c>
      <c r="J1817" s="3">
        <v>46191.705081018517</v>
      </c>
      <c r="L1817" s="1">
        <v>2</v>
      </c>
      <c r="M1817" s="1">
        <v>3</v>
      </c>
      <c r="N1817">
        <v>1</v>
      </c>
      <c r="O1817" s="3">
        <f>IF(
    R1817="Ancien",
    _xlfn.XLOOKUP(
        Final_Sans_VGE[[#This Row],[ppn_z]],
        tbl_Historique_Final[ppn_z],
        tbl_Historique_Final[Horodatage],
        ""
    ),
    Horodatage!$A$2
)</f>
        <v>46233.670796365739</v>
      </c>
      <c r="P1817" s="1" t="str">
        <f>IFERROR(IF(tbl_Historique_Final[[#This Row],[Commentaires]]&lt;&gt;"",tbl_Historique_Final[[#This Row],[Commentaires]],""),"")</f>
        <v/>
      </c>
      <c r="X1817" s="8" t="str">
        <f>IF(Final_Sans_VGE[[#This Row],[ppn_z]]="","",IFERROR(
   IF(_xlfn.XLOOKUP(Final_Sans_VGE[[#This Row],[ppn_z]],tbl_Historique_Final[ppn_z],tbl_Historique_Final[date_modif])=Final_Sans_VGE[[#This Row],[date_modif]],
      "Ancien",
      "Modifié"),
   "Nouveau"))</f>
        <v>Ancien</v>
      </c>
      <c r="AC1817"/>
      <c r="AD1817"/>
    </row>
    <row r="1818" spans="1:30" x14ac:dyDescent="0.25">
      <c r="A1818" s="5" t="s">
        <v>5618</v>
      </c>
      <c r="B1818" s="1" t="s">
        <v>9977</v>
      </c>
      <c r="C1818" s="1" t="s">
        <v>12</v>
      </c>
      <c r="G1818" s="1" t="s">
        <v>11</v>
      </c>
      <c r="J1818" s="3">
        <v>46231.625706018516</v>
      </c>
      <c r="K1818" s="2" t="s">
        <v>9978</v>
      </c>
      <c r="L1818" s="1">
        <v>1</v>
      </c>
      <c r="M1818" s="1">
        <v>1</v>
      </c>
      <c r="N1818">
        <v>0</v>
      </c>
      <c r="O1818" s="3">
        <f>IF(
    R1818="Ancien",
    _xlfn.XLOOKUP(
        Final_Sans_VGE[[#This Row],[ppn_z]],
        tbl_Historique_Final[ppn_z],
        tbl_Historique_Final[Horodatage],
        ""
    ),
    Horodatage!$A$2
)</f>
        <v>46233.670796365739</v>
      </c>
      <c r="P1818" s="1" t="str">
        <f>IFERROR(IF(tbl_Historique_Final[[#This Row],[Commentaires]]&lt;&gt;"",tbl_Historique_Final[[#This Row],[Commentaires]],""),"")</f>
        <v/>
      </c>
      <c r="X1818" s="8" t="str">
        <f>IF(Final_Sans_VGE[[#This Row],[ppn_z]]="","",IFERROR(
   IF(_xlfn.XLOOKUP(Final_Sans_VGE[[#This Row],[ppn_z]],tbl_Historique_Final[ppn_z],tbl_Historique_Final[date_modif])=Final_Sans_VGE[[#This Row],[date_modif]],
      "Ancien",
      "Modifié"),
   "Nouveau"))</f>
        <v>Ancien</v>
      </c>
      <c r="AC1818"/>
      <c r="AD1818"/>
    </row>
    <row r="1819" spans="1:30" ht="30" x14ac:dyDescent="0.25">
      <c r="A1819" s="5" t="s">
        <v>10486</v>
      </c>
      <c r="B1819" s="1" t="s">
        <v>10500</v>
      </c>
      <c r="C1819" s="1" t="s">
        <v>10501</v>
      </c>
      <c r="D1819" s="1" t="s">
        <v>14</v>
      </c>
      <c r="E1819" s="1" t="s">
        <v>7398</v>
      </c>
      <c r="F1819" s="1" t="s">
        <v>14</v>
      </c>
      <c r="G1819" s="1" t="s">
        <v>10</v>
      </c>
      <c r="H1819" s="1" t="s">
        <v>22</v>
      </c>
      <c r="I1819" s="1" t="s">
        <v>22</v>
      </c>
      <c r="J1819" s="3">
        <v>46233.668206018519</v>
      </c>
      <c r="K1819" s="2" t="s">
        <v>10502</v>
      </c>
      <c r="L1819" s="1">
        <v>19</v>
      </c>
      <c r="M1819" s="1">
        <v>21</v>
      </c>
      <c r="N1819">
        <v>2</v>
      </c>
      <c r="O1819" s="3">
        <f>IF(
    R1819="Ancien",
    _xlfn.XLOOKUP(
        Final_Sans_VGE[[#This Row],[ppn_z]],
        tbl_Historique_Final[ppn_z],
        tbl_Historique_Final[Horodatage],
        ""
    ),
    Horodatage!$A$2
)</f>
        <v>46233.670796365739</v>
      </c>
      <c r="P1819" s="1" t="str">
        <f>IFERROR(IF(tbl_Historique_Final[[#This Row],[Commentaires]]&lt;&gt;"",tbl_Historique_Final[[#This Row],[Commentaires]],""),"")</f>
        <v/>
      </c>
      <c r="X1819" s="8" t="str">
        <f>IF(Final_Sans_VGE[[#This Row],[ppn_z]]="","",IFERROR(
   IF(_xlfn.XLOOKUP(Final_Sans_VGE[[#This Row],[ppn_z]],tbl_Historique_Final[ppn_z],tbl_Historique_Final[date_modif])=Final_Sans_VGE[[#This Row],[date_modif]],
      "Ancien",
      "Modifié"),
   "Nouveau"))</f>
        <v>Ancien</v>
      </c>
      <c r="AC1819"/>
      <c r="AD1819"/>
    </row>
    <row r="1820" spans="1:30" x14ac:dyDescent="0.25">
      <c r="A1820" s="5" t="s">
        <v>5621</v>
      </c>
      <c r="B1820" s="1" t="s">
        <v>9979</v>
      </c>
      <c r="C1820" s="1" t="s">
        <v>48</v>
      </c>
      <c r="D1820" s="1" t="s">
        <v>14</v>
      </c>
      <c r="G1820" s="1" t="s">
        <v>10</v>
      </c>
      <c r="H1820" s="1" t="s">
        <v>22</v>
      </c>
      <c r="I1820" s="1" t="s">
        <v>22</v>
      </c>
      <c r="J1820" s="3">
        <v>45574.423831018517</v>
      </c>
      <c r="K1820" s="2" t="s">
        <v>9980</v>
      </c>
      <c r="L1820" s="1">
        <v>68</v>
      </c>
      <c r="M1820" s="1">
        <v>80</v>
      </c>
      <c r="N1820">
        <v>12</v>
      </c>
      <c r="O1820" s="3">
        <f>IF(
    R1820="Ancien",
    _xlfn.XLOOKUP(
        Final_Sans_VGE[[#This Row],[ppn_z]],
        tbl_Historique_Final[ppn_z],
        tbl_Historique_Final[Horodatage],
        ""
    ),
    Horodatage!$A$2
)</f>
        <v>46233.670796365739</v>
      </c>
      <c r="P1820" s="1" t="str">
        <f>IFERROR(IF(tbl_Historique_Final[[#This Row],[Commentaires]]&lt;&gt;"",tbl_Historique_Final[[#This Row],[Commentaires]],""),"")</f>
        <v/>
      </c>
      <c r="X1820" s="8" t="str">
        <f>IF(Final_Sans_VGE[[#This Row],[ppn_z]]="","",IFERROR(
   IF(_xlfn.XLOOKUP(Final_Sans_VGE[[#This Row],[ppn_z]],tbl_Historique_Final[ppn_z],tbl_Historique_Final[date_modif])=Final_Sans_VGE[[#This Row],[date_modif]],
      "Ancien",
      "Modifié"),
   "Nouveau"))</f>
        <v>Ancien</v>
      </c>
      <c r="AC1820"/>
      <c r="AD1820"/>
    </row>
    <row r="1821" spans="1:30" x14ac:dyDescent="0.25">
      <c r="A1821" s="5" t="s">
        <v>5624</v>
      </c>
      <c r="B1821" s="1" t="s">
        <v>9981</v>
      </c>
      <c r="C1821" s="1" t="s">
        <v>88</v>
      </c>
      <c r="G1821" s="1" t="s">
        <v>10</v>
      </c>
      <c r="H1821" s="1" t="s">
        <v>9982</v>
      </c>
      <c r="I1821" s="1" t="s">
        <v>22</v>
      </c>
      <c r="J1821" s="3">
        <v>46090.684930555559</v>
      </c>
      <c r="K1821" s="2" t="s">
        <v>9983</v>
      </c>
      <c r="L1821" s="1">
        <v>38</v>
      </c>
      <c r="M1821" s="1">
        <v>39</v>
      </c>
      <c r="N1821">
        <v>1</v>
      </c>
      <c r="O1821" s="3">
        <f>IF(
    R1821="Ancien",
    _xlfn.XLOOKUP(
        Final_Sans_VGE[[#This Row],[ppn_z]],
        tbl_Historique_Final[ppn_z],
        tbl_Historique_Final[Horodatage],
        ""
    ),
    Horodatage!$A$2
)</f>
        <v>46233.670796365739</v>
      </c>
      <c r="P1821" s="1" t="str">
        <f>IFERROR(IF(tbl_Historique_Final[[#This Row],[Commentaires]]&lt;&gt;"",tbl_Historique_Final[[#This Row],[Commentaires]],""),"")</f>
        <v/>
      </c>
      <c r="X1821" s="8" t="str">
        <f>IF(Final_Sans_VGE[[#This Row],[ppn_z]]="","",IFERROR(
   IF(_xlfn.XLOOKUP(Final_Sans_VGE[[#This Row],[ppn_z]],tbl_Historique_Final[ppn_z],tbl_Historique_Final[date_modif])=Final_Sans_VGE[[#This Row],[date_modif]],
      "Ancien",
      "Modifié"),
   "Nouveau"))</f>
        <v>Ancien</v>
      </c>
      <c r="AC1821"/>
      <c r="AD1821"/>
    </row>
    <row r="1822" spans="1:30" x14ac:dyDescent="0.25">
      <c r="A1822" s="5" t="s">
        <v>5627</v>
      </c>
      <c r="B1822" s="1" t="s">
        <v>9984</v>
      </c>
      <c r="C1822" s="1" t="s">
        <v>6767</v>
      </c>
      <c r="D1822" s="1" t="s">
        <v>14</v>
      </c>
      <c r="E1822" s="1" t="s">
        <v>128</v>
      </c>
      <c r="F1822" s="1" t="s">
        <v>9985</v>
      </c>
      <c r="G1822" s="1" t="s">
        <v>10</v>
      </c>
      <c r="H1822" s="1" t="s">
        <v>9986</v>
      </c>
      <c r="I1822" s="1" t="s">
        <v>140</v>
      </c>
      <c r="J1822" s="3">
        <v>46097.742245370369</v>
      </c>
      <c r="L1822" s="1">
        <v>54</v>
      </c>
      <c r="M1822" s="1">
        <v>57</v>
      </c>
      <c r="N1822">
        <v>3</v>
      </c>
      <c r="O1822" s="3">
        <f>IF(
    R1822="Ancien",
    _xlfn.XLOOKUP(
        Final_Sans_VGE[[#This Row],[ppn_z]],
        tbl_Historique_Final[ppn_z],
        tbl_Historique_Final[Horodatage],
        ""
    ),
    Horodatage!$A$2
)</f>
        <v>46233.670796365739</v>
      </c>
      <c r="P1822" s="1" t="str">
        <f>IFERROR(IF(tbl_Historique_Final[[#This Row],[Commentaires]]&lt;&gt;"",tbl_Historique_Final[[#This Row],[Commentaires]],""),"")</f>
        <v/>
      </c>
      <c r="X1822" s="8" t="str">
        <f>IF(Final_Sans_VGE[[#This Row],[ppn_z]]="","",IFERROR(
   IF(_xlfn.XLOOKUP(Final_Sans_VGE[[#This Row],[ppn_z]],tbl_Historique_Final[ppn_z],tbl_Historique_Final[date_modif])=Final_Sans_VGE[[#This Row],[date_modif]],
      "Ancien",
      "Modifié"),
   "Nouveau"))</f>
        <v>Ancien</v>
      </c>
      <c r="AC1822"/>
      <c r="AD1822"/>
    </row>
    <row r="1823" spans="1:30" x14ac:dyDescent="0.25">
      <c r="A1823" s="5" t="s">
        <v>5633</v>
      </c>
      <c r="B1823" s="1" t="s">
        <v>9989</v>
      </c>
      <c r="J1823" s="3">
        <v>46194.378784722219</v>
      </c>
      <c r="K1823" s="2" t="s">
        <v>9990</v>
      </c>
      <c r="L1823" s="1">
        <v>3</v>
      </c>
      <c r="M1823" s="1">
        <v>4</v>
      </c>
      <c r="N1823">
        <v>1</v>
      </c>
      <c r="O1823" s="3">
        <f>IF(
    R1823="Ancien",
    _xlfn.XLOOKUP(
        Final_Sans_VGE[[#This Row],[ppn_z]],
        tbl_Historique_Final[ppn_z],
        tbl_Historique_Final[Horodatage],
        ""
    ),
    Horodatage!$A$2
)</f>
        <v>46233.670796365739</v>
      </c>
      <c r="P1823" s="1" t="str">
        <f>IFERROR(IF(tbl_Historique_Final[[#This Row],[Commentaires]]&lt;&gt;"",tbl_Historique_Final[[#This Row],[Commentaires]],""),"")</f>
        <v/>
      </c>
      <c r="X1823" s="8" t="str">
        <f>IF(Final_Sans_VGE[[#This Row],[ppn_z]]="","",IFERROR(
   IF(_xlfn.XLOOKUP(Final_Sans_VGE[[#This Row],[ppn_z]],tbl_Historique_Final[ppn_z],tbl_Historique_Final[date_modif])=Final_Sans_VGE[[#This Row],[date_modif]],
      "Ancien",
      "Modifié"),
   "Nouveau"))</f>
        <v>Ancien</v>
      </c>
      <c r="AC1823"/>
      <c r="AD1823"/>
    </row>
    <row r="1824" spans="1:30" x14ac:dyDescent="0.25">
      <c r="A1824" s="5" t="s">
        <v>5630</v>
      </c>
      <c r="B1824" s="1" t="s">
        <v>9987</v>
      </c>
      <c r="C1824" s="1" t="s">
        <v>44</v>
      </c>
      <c r="G1824" s="1" t="s">
        <v>11</v>
      </c>
      <c r="H1824" s="1" t="s">
        <v>22</v>
      </c>
      <c r="I1824" s="1" t="s">
        <v>22</v>
      </c>
      <c r="J1824" s="3">
        <v>44515.615057870367</v>
      </c>
      <c r="K1824" s="2" t="s">
        <v>9988</v>
      </c>
      <c r="L1824" s="1">
        <v>5</v>
      </c>
      <c r="M1824" s="1">
        <v>6</v>
      </c>
      <c r="N1824">
        <v>1</v>
      </c>
      <c r="O1824" s="3">
        <f>IF(
    R1824="Ancien",
    _xlfn.XLOOKUP(
        Final_Sans_VGE[[#This Row],[ppn_z]],
        tbl_Historique_Final[ppn_z],
        tbl_Historique_Final[Horodatage],
        ""
    ),
    Horodatage!$A$2
)</f>
        <v>46233.670796365739</v>
      </c>
      <c r="P1824" s="1" t="str">
        <f>IFERROR(IF(tbl_Historique_Final[[#This Row],[Commentaires]]&lt;&gt;"",tbl_Historique_Final[[#This Row],[Commentaires]],""),"")</f>
        <v/>
      </c>
      <c r="X1824" s="8" t="str">
        <f>IF(Final_Sans_VGE[[#This Row],[ppn_z]]="","",IFERROR(
   IF(_xlfn.XLOOKUP(Final_Sans_VGE[[#This Row],[ppn_z]],tbl_Historique_Final[ppn_z],tbl_Historique_Final[date_modif])=Final_Sans_VGE[[#This Row],[date_modif]],
      "Ancien",
      "Modifié"),
   "Nouveau"))</f>
        <v>Ancien</v>
      </c>
      <c r="AC1824"/>
      <c r="AD1824"/>
    </row>
    <row r="1825" spans="1:30" ht="45" x14ac:dyDescent="0.25">
      <c r="A1825" s="5" t="s">
        <v>5636</v>
      </c>
      <c r="B1825" s="1" t="s">
        <v>9991</v>
      </c>
      <c r="C1825" s="1" t="s">
        <v>6482</v>
      </c>
      <c r="G1825" s="1" t="s">
        <v>11</v>
      </c>
      <c r="J1825" s="3">
        <v>45406.934386574074</v>
      </c>
      <c r="K1825" s="2" t="s">
        <v>9992</v>
      </c>
      <c r="L1825" s="1">
        <v>13</v>
      </c>
      <c r="M1825" s="1">
        <v>20</v>
      </c>
      <c r="N1825">
        <v>7</v>
      </c>
      <c r="O1825" s="3">
        <f>IF(
    R1825="Ancien",
    _xlfn.XLOOKUP(
        Final_Sans_VGE[[#This Row],[ppn_z]],
        tbl_Historique_Final[ppn_z],
        tbl_Historique_Final[Horodatage],
        ""
    ),
    Horodatage!$A$2
)</f>
        <v>46233.670796365739</v>
      </c>
      <c r="P1825" s="1" t="str">
        <f>IFERROR(IF(tbl_Historique_Final[[#This Row],[Commentaires]]&lt;&gt;"",tbl_Historique_Final[[#This Row],[Commentaires]],""),"")</f>
        <v/>
      </c>
      <c r="X1825" s="8" t="str">
        <f>IF(Final_Sans_VGE[[#This Row],[ppn_z]]="","",IFERROR(
   IF(_xlfn.XLOOKUP(Final_Sans_VGE[[#This Row],[ppn_z]],tbl_Historique_Final[ppn_z],tbl_Historique_Final[date_modif])=Final_Sans_VGE[[#This Row],[date_modif]],
      "Ancien",
      "Modifié"),
   "Nouveau"))</f>
        <v>Ancien</v>
      </c>
      <c r="AC1825"/>
      <c r="AD1825"/>
    </row>
    <row r="1826" spans="1:30" ht="30" x14ac:dyDescent="0.25">
      <c r="A1826" s="5" t="s">
        <v>5639</v>
      </c>
      <c r="B1826" s="1" t="s">
        <v>9993</v>
      </c>
      <c r="C1826" s="1" t="s">
        <v>69</v>
      </c>
      <c r="G1826" s="1" t="s">
        <v>10</v>
      </c>
      <c r="H1826" s="1" t="s">
        <v>22</v>
      </c>
      <c r="I1826" s="1" t="s">
        <v>140</v>
      </c>
      <c r="J1826" s="3">
        <v>45421.101157407407</v>
      </c>
      <c r="K1826" s="2" t="s">
        <v>9994</v>
      </c>
      <c r="L1826" s="1">
        <v>72</v>
      </c>
      <c r="M1826" s="1">
        <v>121</v>
      </c>
      <c r="N1826">
        <v>49</v>
      </c>
      <c r="O1826" s="3">
        <f>IF(
    R1826="Ancien",
    _xlfn.XLOOKUP(
        Final_Sans_VGE[[#This Row],[ppn_z]],
        tbl_Historique_Final[ppn_z],
        tbl_Historique_Final[Horodatage],
        ""
    ),
    Horodatage!$A$2
)</f>
        <v>46233.670796365739</v>
      </c>
      <c r="P1826" s="1" t="str">
        <f>IFERROR(IF(tbl_Historique_Final[[#This Row],[Commentaires]]&lt;&gt;"",tbl_Historique_Final[[#This Row],[Commentaires]],""),"")</f>
        <v/>
      </c>
      <c r="X1826" s="8" t="str">
        <f>IF(Final_Sans_VGE[[#This Row],[ppn_z]]="","",IFERROR(
   IF(_xlfn.XLOOKUP(Final_Sans_VGE[[#This Row],[ppn_z]],tbl_Historique_Final[ppn_z],tbl_Historique_Final[date_modif])=Final_Sans_VGE[[#This Row],[date_modif]],
      "Ancien",
      "Modifié"),
   "Nouveau"))</f>
        <v>Ancien</v>
      </c>
      <c r="AC1826"/>
      <c r="AD1826"/>
    </row>
    <row r="1827" spans="1:30" ht="45" x14ac:dyDescent="0.25">
      <c r="A1827" s="5" t="s">
        <v>5642</v>
      </c>
      <c r="B1827" s="1" t="s">
        <v>9995</v>
      </c>
      <c r="C1827" s="1" t="s">
        <v>12</v>
      </c>
      <c r="G1827" s="1" t="s">
        <v>10</v>
      </c>
      <c r="J1827" s="3">
        <v>45421.497071759259</v>
      </c>
      <c r="K1827" s="2" t="s">
        <v>9996</v>
      </c>
      <c r="L1827" s="1">
        <v>36</v>
      </c>
      <c r="M1827" s="1">
        <v>49</v>
      </c>
      <c r="N1827">
        <v>13</v>
      </c>
      <c r="O1827" s="3">
        <f>IF(
    R1827="Ancien",
    _xlfn.XLOOKUP(
        Final_Sans_VGE[[#This Row],[ppn_z]],
        tbl_Historique_Final[ppn_z],
        tbl_Historique_Final[Horodatage],
        ""
    ),
    Horodatage!$A$2
)</f>
        <v>46233.670796365739</v>
      </c>
      <c r="P1827" s="1" t="str">
        <f>IFERROR(IF(tbl_Historique_Final[[#This Row],[Commentaires]]&lt;&gt;"",tbl_Historique_Final[[#This Row],[Commentaires]],""),"")</f>
        <v/>
      </c>
      <c r="X1827" s="8" t="str">
        <f>IF(Final_Sans_VGE[[#This Row],[ppn_z]]="","",IFERROR(
   IF(_xlfn.XLOOKUP(Final_Sans_VGE[[#This Row],[ppn_z]],tbl_Historique_Final[ppn_z],tbl_Historique_Final[date_modif])=Final_Sans_VGE[[#This Row],[date_modif]],
      "Ancien",
      "Modifié"),
   "Nouveau"))</f>
        <v>Ancien</v>
      </c>
      <c r="AC1827"/>
      <c r="AD1827"/>
    </row>
    <row r="1828" spans="1:30" x14ac:dyDescent="0.25">
      <c r="A1828" s="5" t="s">
        <v>5645</v>
      </c>
      <c r="B1828" s="1" t="s">
        <v>9997</v>
      </c>
      <c r="C1828" s="1" t="s">
        <v>65</v>
      </c>
      <c r="D1828" s="1" t="s">
        <v>9998</v>
      </c>
      <c r="G1828" s="1" t="s">
        <v>10</v>
      </c>
      <c r="H1828" s="1" t="s">
        <v>22</v>
      </c>
      <c r="I1828" s="1" t="s">
        <v>22</v>
      </c>
      <c r="J1828" s="3">
        <v>45421.49722222222</v>
      </c>
      <c r="K1828" s="2" t="s">
        <v>9999</v>
      </c>
      <c r="L1828" s="1">
        <v>45</v>
      </c>
      <c r="M1828" s="1">
        <v>128</v>
      </c>
      <c r="N1828">
        <v>83</v>
      </c>
      <c r="O1828" s="3">
        <f>IF(
    R1828="Ancien",
    _xlfn.XLOOKUP(
        Final_Sans_VGE[[#This Row],[ppn_z]],
        tbl_Historique_Final[ppn_z],
        tbl_Historique_Final[Horodatage],
        ""
    ),
    Horodatage!$A$2
)</f>
        <v>46233.670796365739</v>
      </c>
      <c r="P1828" s="1" t="str">
        <f>IFERROR(IF(tbl_Historique_Final[[#This Row],[Commentaires]]&lt;&gt;"",tbl_Historique_Final[[#This Row],[Commentaires]],""),"")</f>
        <v/>
      </c>
      <c r="X1828" s="8" t="str">
        <f>IF(Final_Sans_VGE[[#This Row],[ppn_z]]="","",IFERROR(
   IF(_xlfn.XLOOKUP(Final_Sans_VGE[[#This Row],[ppn_z]],tbl_Historique_Final[ppn_z],tbl_Historique_Final[date_modif])=Final_Sans_VGE[[#This Row],[date_modif]],
      "Ancien",
      "Modifié"),
   "Nouveau"))</f>
        <v>Ancien</v>
      </c>
      <c r="AC1828"/>
      <c r="AD1828"/>
    </row>
    <row r="1829" spans="1:30" ht="45" x14ac:dyDescent="0.25">
      <c r="A1829" s="5" t="s">
        <v>5648</v>
      </c>
      <c r="B1829" s="1" t="s">
        <v>10000</v>
      </c>
      <c r="C1829" s="1" t="s">
        <v>6406</v>
      </c>
      <c r="G1829" s="1" t="s">
        <v>10</v>
      </c>
      <c r="H1829" s="1" t="s">
        <v>22</v>
      </c>
      <c r="I1829" s="1" t="s">
        <v>22</v>
      </c>
      <c r="J1829" s="3">
        <v>45421.497152777774</v>
      </c>
      <c r="K1829" s="2" t="s">
        <v>10001</v>
      </c>
      <c r="L1829" s="1">
        <v>18</v>
      </c>
      <c r="M1829" s="1">
        <v>61</v>
      </c>
      <c r="N1829">
        <v>43</v>
      </c>
      <c r="O1829" s="3">
        <f>IF(
    R1829="Ancien",
    _xlfn.XLOOKUP(
        Final_Sans_VGE[[#This Row],[ppn_z]],
        tbl_Historique_Final[ppn_z],
        tbl_Historique_Final[Horodatage],
        ""
    ),
    Horodatage!$A$2
)</f>
        <v>46233.670796365739</v>
      </c>
      <c r="P1829" s="1" t="str">
        <f>IFERROR(IF(tbl_Historique_Final[[#This Row],[Commentaires]]&lt;&gt;"",tbl_Historique_Final[[#This Row],[Commentaires]],""),"")</f>
        <v/>
      </c>
      <c r="X1829" s="8" t="str">
        <f>IF(Final_Sans_VGE[[#This Row],[ppn_z]]="","",IFERROR(
   IF(_xlfn.XLOOKUP(Final_Sans_VGE[[#This Row],[ppn_z]],tbl_Historique_Final[ppn_z],tbl_Historique_Final[date_modif])=Final_Sans_VGE[[#This Row],[date_modif]],
      "Ancien",
      "Modifié"),
   "Nouveau"))</f>
        <v>Ancien</v>
      </c>
      <c r="AC1829"/>
      <c r="AD1829"/>
    </row>
    <row r="1830" spans="1:30" ht="30" x14ac:dyDescent="0.25">
      <c r="A1830" s="5" t="s">
        <v>5651</v>
      </c>
      <c r="B1830" s="1" t="s">
        <v>10002</v>
      </c>
      <c r="C1830" s="1" t="s">
        <v>43</v>
      </c>
      <c r="D1830" s="1" t="s">
        <v>10003</v>
      </c>
      <c r="G1830" s="1" t="s">
        <v>11</v>
      </c>
      <c r="H1830" s="1" t="s">
        <v>22</v>
      </c>
      <c r="I1830" s="1" t="s">
        <v>140</v>
      </c>
      <c r="J1830" s="3">
        <v>45421.595347222225</v>
      </c>
      <c r="K1830" s="2" t="s">
        <v>10004</v>
      </c>
      <c r="L1830" s="1">
        <v>39</v>
      </c>
      <c r="M1830" s="1">
        <v>95</v>
      </c>
      <c r="N1830">
        <v>56</v>
      </c>
      <c r="O1830" s="3">
        <f>IF(
    R1830="Ancien",
    _xlfn.XLOOKUP(
        Final_Sans_VGE[[#This Row],[ppn_z]],
        tbl_Historique_Final[ppn_z],
        tbl_Historique_Final[Horodatage],
        ""
    ),
    Horodatage!$A$2
)</f>
        <v>46233.670796365739</v>
      </c>
      <c r="P1830" s="1" t="str">
        <f>IFERROR(IF(tbl_Historique_Final[[#This Row],[Commentaires]]&lt;&gt;"",tbl_Historique_Final[[#This Row],[Commentaires]],""),"")</f>
        <v/>
      </c>
      <c r="X1830" s="8" t="str">
        <f>IF(Final_Sans_VGE[[#This Row],[ppn_z]]="","",IFERROR(
   IF(_xlfn.XLOOKUP(Final_Sans_VGE[[#This Row],[ppn_z]],tbl_Historique_Final[ppn_z],tbl_Historique_Final[date_modif])=Final_Sans_VGE[[#This Row],[date_modif]],
      "Ancien",
      "Modifié"),
   "Nouveau"))</f>
        <v>Ancien</v>
      </c>
      <c r="AC1830"/>
      <c r="AD1830"/>
    </row>
    <row r="1831" spans="1:30" x14ac:dyDescent="0.25">
      <c r="A1831" s="5" t="s">
        <v>5654</v>
      </c>
      <c r="B1831" s="1" t="s">
        <v>10005</v>
      </c>
      <c r="C1831" s="1" t="s">
        <v>116</v>
      </c>
      <c r="D1831" s="1" t="s">
        <v>10006</v>
      </c>
      <c r="G1831" s="1" t="s">
        <v>10</v>
      </c>
      <c r="H1831" s="1" t="s">
        <v>164</v>
      </c>
      <c r="I1831" s="1" t="s">
        <v>140</v>
      </c>
      <c r="J1831" s="3">
        <v>45440.475138888891</v>
      </c>
      <c r="K1831" s="2" t="s">
        <v>10007</v>
      </c>
      <c r="L1831" s="1">
        <v>58</v>
      </c>
      <c r="M1831" s="1">
        <v>112</v>
      </c>
      <c r="N1831">
        <v>54</v>
      </c>
      <c r="O1831" s="3">
        <f>IF(
    R1831="Ancien",
    _xlfn.XLOOKUP(
        Final_Sans_VGE[[#This Row],[ppn_z]],
        tbl_Historique_Final[ppn_z],
        tbl_Historique_Final[Horodatage],
        ""
    ),
    Horodatage!$A$2
)</f>
        <v>46233.670796365739</v>
      </c>
      <c r="P1831" s="1" t="str">
        <f>IFERROR(IF(tbl_Historique_Final[[#This Row],[Commentaires]]&lt;&gt;"",tbl_Historique_Final[[#This Row],[Commentaires]],""),"")</f>
        <v/>
      </c>
      <c r="X1831" s="8" t="str">
        <f>IF(Final_Sans_VGE[[#This Row],[ppn_z]]="","",IFERROR(
   IF(_xlfn.XLOOKUP(Final_Sans_VGE[[#This Row],[ppn_z]],tbl_Historique_Final[ppn_z],tbl_Historique_Final[date_modif])=Final_Sans_VGE[[#This Row],[date_modif]],
      "Ancien",
      "Modifié"),
   "Nouveau"))</f>
        <v>Ancien</v>
      </c>
      <c r="AC1831"/>
      <c r="AD1831"/>
    </row>
    <row r="1832" spans="1:30" ht="90" x14ac:dyDescent="0.25">
      <c r="A1832" s="5" t="s">
        <v>5657</v>
      </c>
      <c r="B1832" s="1" t="s">
        <v>10008</v>
      </c>
      <c r="C1832" s="1" t="s">
        <v>12</v>
      </c>
      <c r="G1832" s="1" t="s">
        <v>11</v>
      </c>
      <c r="J1832" s="3">
        <v>45471.424629629626</v>
      </c>
      <c r="K1832" s="2" t="s">
        <v>10009</v>
      </c>
      <c r="L1832" s="1">
        <v>10</v>
      </c>
      <c r="M1832" s="1">
        <v>22</v>
      </c>
      <c r="N1832">
        <v>12</v>
      </c>
      <c r="O1832" s="3">
        <f>IF(
    R1832="Ancien",
    _xlfn.XLOOKUP(
        Final_Sans_VGE[[#This Row],[ppn_z]],
        tbl_Historique_Final[ppn_z],
        tbl_Historique_Final[Horodatage],
        ""
    ),
    Horodatage!$A$2
)</f>
        <v>46233.670796365739</v>
      </c>
      <c r="P1832" s="1" t="str">
        <f>IFERROR(IF(tbl_Historique_Final[[#This Row],[Commentaires]]&lt;&gt;"",tbl_Historique_Final[[#This Row],[Commentaires]],""),"")</f>
        <v/>
      </c>
      <c r="X1832" s="8" t="str">
        <f>IF(Final_Sans_VGE[[#This Row],[ppn_z]]="","",IFERROR(
   IF(_xlfn.XLOOKUP(Final_Sans_VGE[[#This Row],[ppn_z]],tbl_Historique_Final[ppn_z],tbl_Historique_Final[date_modif])=Final_Sans_VGE[[#This Row],[date_modif]],
      "Ancien",
      "Modifié"),
   "Nouveau"))</f>
        <v>Ancien</v>
      </c>
      <c r="AC1832"/>
      <c r="AD1832"/>
    </row>
    <row r="1833" spans="1:30" ht="30" x14ac:dyDescent="0.25">
      <c r="A1833" s="5" t="s">
        <v>5660</v>
      </c>
      <c r="B1833" s="1" t="s">
        <v>10010</v>
      </c>
      <c r="C1833" s="1" t="s">
        <v>61</v>
      </c>
      <c r="G1833" s="1" t="s">
        <v>10</v>
      </c>
      <c r="J1833" s="3">
        <v>45482.485289351855</v>
      </c>
      <c r="K1833" s="2" t="s">
        <v>10011</v>
      </c>
      <c r="L1833" s="1">
        <v>4</v>
      </c>
      <c r="M1833" s="1">
        <v>6</v>
      </c>
      <c r="N1833">
        <v>2</v>
      </c>
      <c r="O1833" s="3">
        <f>IF(
    R1833="Ancien",
    _xlfn.XLOOKUP(
        Final_Sans_VGE[[#This Row],[ppn_z]],
        tbl_Historique_Final[ppn_z],
        tbl_Historique_Final[Horodatage],
        ""
    ),
    Horodatage!$A$2
)</f>
        <v>46233.670796365739</v>
      </c>
      <c r="P1833" s="1" t="str">
        <f>IFERROR(IF(tbl_Historique_Final[[#This Row],[Commentaires]]&lt;&gt;"",tbl_Historique_Final[[#This Row],[Commentaires]],""),"")</f>
        <v/>
      </c>
      <c r="X1833" s="8" t="str">
        <f>IF(Final_Sans_VGE[[#This Row],[ppn_z]]="","",IFERROR(
   IF(_xlfn.XLOOKUP(Final_Sans_VGE[[#This Row],[ppn_z]],tbl_Historique_Final[ppn_z],tbl_Historique_Final[date_modif])=Final_Sans_VGE[[#This Row],[date_modif]],
      "Ancien",
      "Modifié"),
   "Nouveau"))</f>
        <v>Ancien</v>
      </c>
      <c r="AC1833"/>
      <c r="AD1833"/>
    </row>
    <row r="1834" spans="1:30" ht="30" x14ac:dyDescent="0.25">
      <c r="A1834" s="5" t="s">
        <v>5663</v>
      </c>
      <c r="B1834" s="1" t="s">
        <v>10012</v>
      </c>
      <c r="C1834" s="1" t="s">
        <v>56</v>
      </c>
      <c r="D1834" s="1" t="s">
        <v>16</v>
      </c>
      <c r="H1834" s="1" t="s">
        <v>140</v>
      </c>
      <c r="I1834" s="1" t="s">
        <v>9082</v>
      </c>
      <c r="J1834" s="3">
        <v>45485.436851851853</v>
      </c>
      <c r="K1834" s="2" t="s">
        <v>10013</v>
      </c>
      <c r="L1834" s="1">
        <v>3</v>
      </c>
      <c r="M1834" s="1">
        <v>36</v>
      </c>
      <c r="N1834">
        <v>33</v>
      </c>
      <c r="O1834" s="3">
        <f>IF(
    R1834="Ancien",
    _xlfn.XLOOKUP(
        Final_Sans_VGE[[#This Row],[ppn_z]],
        tbl_Historique_Final[ppn_z],
        tbl_Historique_Final[Horodatage],
        ""
    ),
    Horodatage!$A$2
)</f>
        <v>46233.670796365739</v>
      </c>
      <c r="P1834" s="1" t="str">
        <f>IFERROR(IF(tbl_Historique_Final[[#This Row],[Commentaires]]&lt;&gt;"",tbl_Historique_Final[[#This Row],[Commentaires]],""),"")</f>
        <v/>
      </c>
      <c r="X1834" s="8" t="str">
        <f>IF(Final_Sans_VGE[[#This Row],[ppn_z]]="","",IFERROR(
   IF(_xlfn.XLOOKUP(Final_Sans_VGE[[#This Row],[ppn_z]],tbl_Historique_Final[ppn_z],tbl_Historique_Final[date_modif])=Final_Sans_VGE[[#This Row],[date_modif]],
      "Ancien",
      "Modifié"),
   "Nouveau"))</f>
        <v>Ancien</v>
      </c>
      <c r="AC1834"/>
      <c r="AD1834"/>
    </row>
    <row r="1835" spans="1:30" ht="45" x14ac:dyDescent="0.25">
      <c r="A1835" s="5" t="s">
        <v>5666</v>
      </c>
      <c r="B1835" s="1" t="s">
        <v>10014</v>
      </c>
      <c r="C1835" s="1" t="s">
        <v>6582</v>
      </c>
      <c r="E1835" s="1" t="s">
        <v>141</v>
      </c>
      <c r="G1835" s="1" t="s">
        <v>10</v>
      </c>
      <c r="J1835" s="3">
        <v>45533.033194444448</v>
      </c>
      <c r="K1835" s="2" t="s">
        <v>10015</v>
      </c>
      <c r="L1835" s="1">
        <v>2</v>
      </c>
      <c r="M1835" s="1">
        <v>2</v>
      </c>
      <c r="N1835">
        <v>0</v>
      </c>
      <c r="O1835" s="3">
        <f>IF(
    R1835="Ancien",
    _xlfn.XLOOKUP(
        Final_Sans_VGE[[#This Row],[ppn_z]],
        tbl_Historique_Final[ppn_z],
        tbl_Historique_Final[Horodatage],
        ""
    ),
    Horodatage!$A$2
)</f>
        <v>46233.670796365739</v>
      </c>
      <c r="P1835" s="1" t="str">
        <f>IFERROR(IF(tbl_Historique_Final[[#This Row],[Commentaires]]&lt;&gt;"",tbl_Historique_Final[[#This Row],[Commentaires]],""),"")</f>
        <v/>
      </c>
      <c r="X1835" s="8" t="str">
        <f>IF(Final_Sans_VGE[[#This Row],[ppn_z]]="","",IFERROR(
   IF(_xlfn.XLOOKUP(Final_Sans_VGE[[#This Row],[ppn_z]],tbl_Historique_Final[ppn_z],tbl_Historique_Final[date_modif])=Final_Sans_VGE[[#This Row],[date_modif]],
      "Ancien",
      "Modifié"),
   "Nouveau"))</f>
        <v>Ancien</v>
      </c>
      <c r="AC1835"/>
      <c r="AD1835"/>
    </row>
    <row r="1836" spans="1:30" ht="45" x14ac:dyDescent="0.25">
      <c r="A1836" s="5" t="s">
        <v>5669</v>
      </c>
      <c r="B1836" s="1" t="s">
        <v>10016</v>
      </c>
      <c r="C1836" s="1" t="s">
        <v>40</v>
      </c>
      <c r="G1836" s="1" t="s">
        <v>11</v>
      </c>
      <c r="J1836" s="3">
        <v>45538.560185185182</v>
      </c>
      <c r="K1836" s="2" t="s">
        <v>10017</v>
      </c>
      <c r="L1836" s="1">
        <v>24</v>
      </c>
      <c r="M1836" s="1">
        <v>46</v>
      </c>
      <c r="N1836">
        <v>22</v>
      </c>
      <c r="O1836" s="3">
        <f>IF(
    R1836="Ancien",
    _xlfn.XLOOKUP(
        Final_Sans_VGE[[#This Row],[ppn_z]],
        tbl_Historique_Final[ppn_z],
        tbl_Historique_Final[Horodatage],
        ""
    ),
    Horodatage!$A$2
)</f>
        <v>46233.670796365739</v>
      </c>
      <c r="P1836" s="1" t="str">
        <f>IFERROR(IF(tbl_Historique_Final[[#This Row],[Commentaires]]&lt;&gt;"",tbl_Historique_Final[[#This Row],[Commentaires]],""),"")</f>
        <v/>
      </c>
      <c r="X1836" s="8" t="str">
        <f>IF(Final_Sans_VGE[[#This Row],[ppn_z]]="","",IFERROR(
   IF(_xlfn.XLOOKUP(Final_Sans_VGE[[#This Row],[ppn_z]],tbl_Historique_Final[ppn_z],tbl_Historique_Final[date_modif])=Final_Sans_VGE[[#This Row],[date_modif]],
      "Ancien",
      "Modifié"),
   "Nouveau"))</f>
        <v>Ancien</v>
      </c>
      <c r="AC1836"/>
      <c r="AD1836"/>
    </row>
    <row r="1837" spans="1:30" x14ac:dyDescent="0.25">
      <c r="A1837" s="5" t="s">
        <v>5672</v>
      </c>
      <c r="B1837" s="1" t="s">
        <v>10018</v>
      </c>
      <c r="C1837" s="1" t="s">
        <v>12</v>
      </c>
      <c r="G1837" s="1" t="s">
        <v>10</v>
      </c>
      <c r="J1837" s="3">
        <v>45538.561469907407</v>
      </c>
      <c r="K1837" s="2" t="s">
        <v>10019</v>
      </c>
      <c r="L1837" s="1">
        <v>15</v>
      </c>
      <c r="M1837" s="1">
        <v>28</v>
      </c>
      <c r="N1837">
        <v>13</v>
      </c>
      <c r="O1837" s="3">
        <f>IF(
    R1837="Ancien",
    _xlfn.XLOOKUP(
        Final_Sans_VGE[[#This Row],[ppn_z]],
        tbl_Historique_Final[ppn_z],
        tbl_Historique_Final[Horodatage],
        ""
    ),
    Horodatage!$A$2
)</f>
        <v>46233.670796365739</v>
      </c>
      <c r="P1837" s="1" t="str">
        <f>IFERROR(IF(tbl_Historique_Final[[#This Row],[Commentaires]]&lt;&gt;"",tbl_Historique_Final[[#This Row],[Commentaires]],""),"")</f>
        <v/>
      </c>
      <c r="X1837" s="8" t="str">
        <f>IF(Final_Sans_VGE[[#This Row],[ppn_z]]="","",IFERROR(
   IF(_xlfn.XLOOKUP(Final_Sans_VGE[[#This Row],[ppn_z]],tbl_Historique_Final[ppn_z],tbl_Historique_Final[date_modif])=Final_Sans_VGE[[#This Row],[date_modif]],
      "Ancien",
      "Modifié"),
   "Nouveau"))</f>
        <v>Ancien</v>
      </c>
      <c r="AC1837"/>
      <c r="AD1837"/>
    </row>
    <row r="1838" spans="1:30" ht="60" x14ac:dyDescent="0.25">
      <c r="A1838" s="5" t="s">
        <v>5675</v>
      </c>
      <c r="B1838" s="1" t="s">
        <v>10020</v>
      </c>
      <c r="C1838" s="1" t="s">
        <v>42</v>
      </c>
      <c r="J1838" s="3">
        <v>45547.847060185188</v>
      </c>
      <c r="K1838" s="2" t="s">
        <v>10021</v>
      </c>
      <c r="L1838" s="1">
        <v>2</v>
      </c>
      <c r="M1838" s="1">
        <v>2</v>
      </c>
      <c r="N1838">
        <v>0</v>
      </c>
      <c r="O1838" s="3">
        <f>IF(
    R1838="Ancien",
    _xlfn.XLOOKUP(
        Final_Sans_VGE[[#This Row],[ppn_z]],
        tbl_Historique_Final[ppn_z],
        tbl_Historique_Final[Horodatage],
        ""
    ),
    Horodatage!$A$2
)</f>
        <v>46233.670796365739</v>
      </c>
      <c r="P1838" s="1" t="str">
        <f>IFERROR(IF(tbl_Historique_Final[[#This Row],[Commentaires]]&lt;&gt;"",tbl_Historique_Final[[#This Row],[Commentaires]],""),"")</f>
        <v/>
      </c>
      <c r="X1838" s="8" t="str">
        <f>IF(Final_Sans_VGE[[#This Row],[ppn_z]]="","",IFERROR(
   IF(_xlfn.XLOOKUP(Final_Sans_VGE[[#This Row],[ppn_z]],tbl_Historique_Final[ppn_z],tbl_Historique_Final[date_modif])=Final_Sans_VGE[[#This Row],[date_modif]],
      "Ancien",
      "Modifié"),
   "Nouveau"))</f>
        <v>Ancien</v>
      </c>
      <c r="AC1838"/>
      <c r="AD1838"/>
    </row>
    <row r="1839" spans="1:30" ht="30" x14ac:dyDescent="0.25">
      <c r="A1839" s="5" t="s">
        <v>5678</v>
      </c>
      <c r="B1839" s="1" t="s">
        <v>10022</v>
      </c>
      <c r="C1839" s="1" t="s">
        <v>64</v>
      </c>
      <c r="G1839" s="1" t="s">
        <v>10</v>
      </c>
      <c r="H1839" s="1" t="s">
        <v>22</v>
      </c>
      <c r="I1839" s="1" t="s">
        <v>140</v>
      </c>
      <c r="J1839" s="3">
        <v>45553.389849537038</v>
      </c>
      <c r="K1839" s="2" t="s">
        <v>10023</v>
      </c>
      <c r="L1839" s="1">
        <v>146</v>
      </c>
      <c r="M1839" s="1">
        <v>238</v>
      </c>
      <c r="N1839">
        <v>92</v>
      </c>
      <c r="O1839" s="3">
        <f>IF(
    R1839="Ancien",
    _xlfn.XLOOKUP(
        Final_Sans_VGE[[#This Row],[ppn_z]],
        tbl_Historique_Final[ppn_z],
        tbl_Historique_Final[Horodatage],
        ""
    ),
    Horodatage!$A$2
)</f>
        <v>46233.670796365739</v>
      </c>
      <c r="P1839" s="1" t="str">
        <f>IFERROR(IF(tbl_Historique_Final[[#This Row],[Commentaires]]&lt;&gt;"",tbl_Historique_Final[[#This Row],[Commentaires]],""),"")</f>
        <v/>
      </c>
      <c r="X1839" s="8" t="str">
        <f>IF(Final_Sans_VGE[[#This Row],[ppn_z]]="","",IFERROR(
   IF(_xlfn.XLOOKUP(Final_Sans_VGE[[#This Row],[ppn_z]],tbl_Historique_Final[ppn_z],tbl_Historique_Final[date_modif])=Final_Sans_VGE[[#This Row],[date_modif]],
      "Ancien",
      "Modifié"),
   "Nouveau"))</f>
        <v>Ancien</v>
      </c>
      <c r="AC1839"/>
      <c r="AD1839"/>
    </row>
    <row r="1840" spans="1:30" ht="45" x14ac:dyDescent="0.25">
      <c r="A1840" s="5" t="s">
        <v>5681</v>
      </c>
      <c r="B1840" s="1" t="s">
        <v>10024</v>
      </c>
      <c r="C1840" s="1" t="s">
        <v>39</v>
      </c>
      <c r="G1840" s="1" t="s">
        <v>11</v>
      </c>
      <c r="H1840" s="1" t="s">
        <v>10025</v>
      </c>
      <c r="I1840" s="1" t="s">
        <v>22</v>
      </c>
      <c r="J1840" s="3">
        <v>45566.521909722222</v>
      </c>
      <c r="K1840" s="2" t="s">
        <v>10026</v>
      </c>
      <c r="L1840" s="1">
        <v>4</v>
      </c>
      <c r="M1840" s="1">
        <v>25</v>
      </c>
      <c r="N1840">
        <v>21</v>
      </c>
      <c r="O1840" s="3">
        <f>IF(
    R1840="Ancien",
    _xlfn.XLOOKUP(
        Final_Sans_VGE[[#This Row],[ppn_z]],
        tbl_Historique_Final[ppn_z],
        tbl_Historique_Final[Horodatage],
        ""
    ),
    Horodatage!$A$2
)</f>
        <v>46233.670796365739</v>
      </c>
      <c r="P1840" s="1" t="str">
        <f>IFERROR(IF(tbl_Historique_Final[[#This Row],[Commentaires]]&lt;&gt;"",tbl_Historique_Final[[#This Row],[Commentaires]],""),"")</f>
        <v/>
      </c>
      <c r="X1840" s="8" t="str">
        <f>IF(Final_Sans_VGE[[#This Row],[ppn_z]]="","",IFERROR(
   IF(_xlfn.XLOOKUP(Final_Sans_VGE[[#This Row],[ppn_z]],tbl_Historique_Final[ppn_z],tbl_Historique_Final[date_modif])=Final_Sans_VGE[[#This Row],[date_modif]],
      "Ancien",
      "Modifié"),
   "Nouveau"))</f>
        <v>Ancien</v>
      </c>
      <c r="AC1840"/>
      <c r="AD1840"/>
    </row>
    <row r="1841" spans="1:30" ht="30" x14ac:dyDescent="0.25">
      <c r="A1841" s="5" t="s">
        <v>5684</v>
      </c>
      <c r="B1841" s="1" t="s">
        <v>10027</v>
      </c>
      <c r="C1841" s="1" t="s">
        <v>79</v>
      </c>
      <c r="D1841" s="1" t="s">
        <v>14</v>
      </c>
      <c r="H1841" s="1" t="s">
        <v>22</v>
      </c>
      <c r="I1841" s="1" t="s">
        <v>140</v>
      </c>
      <c r="J1841" s="3">
        <v>45593.432303240741</v>
      </c>
      <c r="K1841" s="2" t="s">
        <v>10028</v>
      </c>
      <c r="L1841" s="1">
        <v>32</v>
      </c>
      <c r="M1841" s="1">
        <v>35</v>
      </c>
      <c r="N1841">
        <v>3</v>
      </c>
      <c r="O1841" s="3">
        <f>IF(
    R1841="Ancien",
    _xlfn.XLOOKUP(
        Final_Sans_VGE[[#This Row],[ppn_z]],
        tbl_Historique_Final[ppn_z],
        tbl_Historique_Final[Horodatage],
        ""
    ),
    Horodatage!$A$2
)</f>
        <v>46233.670796365739</v>
      </c>
      <c r="P1841" s="1" t="str">
        <f>IFERROR(IF(tbl_Historique_Final[[#This Row],[Commentaires]]&lt;&gt;"",tbl_Historique_Final[[#This Row],[Commentaires]],""),"")</f>
        <v/>
      </c>
      <c r="X1841" s="8" t="str">
        <f>IF(Final_Sans_VGE[[#This Row],[ppn_z]]="","",IFERROR(
   IF(_xlfn.XLOOKUP(Final_Sans_VGE[[#This Row],[ppn_z]],tbl_Historique_Final[ppn_z],tbl_Historique_Final[date_modif])=Final_Sans_VGE[[#This Row],[date_modif]],
      "Ancien",
      "Modifié"),
   "Nouveau"))</f>
        <v>Ancien</v>
      </c>
      <c r="AC1841"/>
      <c r="AD1841"/>
    </row>
    <row r="1842" spans="1:30" x14ac:dyDescent="0.25">
      <c r="A1842" s="5" t="s">
        <v>5687</v>
      </c>
      <c r="B1842" s="1" t="s">
        <v>10029</v>
      </c>
      <c r="C1842" s="1" t="s">
        <v>12</v>
      </c>
      <c r="G1842" s="1" t="s">
        <v>11</v>
      </c>
      <c r="H1842" s="1" t="s">
        <v>22</v>
      </c>
      <c r="I1842" s="1" t="s">
        <v>22</v>
      </c>
      <c r="J1842" s="3">
        <v>45624.444490740738</v>
      </c>
      <c r="K1842" s="2" t="s">
        <v>10030</v>
      </c>
      <c r="L1842" s="1">
        <v>19</v>
      </c>
      <c r="M1842" s="1">
        <v>35</v>
      </c>
      <c r="N1842">
        <v>16</v>
      </c>
      <c r="O1842" s="3">
        <f>IF(
    R1842="Ancien",
    _xlfn.XLOOKUP(
        Final_Sans_VGE[[#This Row],[ppn_z]],
        tbl_Historique_Final[ppn_z],
        tbl_Historique_Final[Horodatage],
        ""
    ),
    Horodatage!$A$2
)</f>
        <v>46233.670796365739</v>
      </c>
      <c r="P1842" s="1" t="str">
        <f>IFERROR(IF(tbl_Historique_Final[[#This Row],[Commentaires]]&lt;&gt;"",tbl_Historique_Final[[#This Row],[Commentaires]],""),"")</f>
        <v/>
      </c>
      <c r="X1842" s="8" t="str">
        <f>IF(Final_Sans_VGE[[#This Row],[ppn_z]]="","",IFERROR(
   IF(_xlfn.XLOOKUP(Final_Sans_VGE[[#This Row],[ppn_z]],tbl_Historique_Final[ppn_z],tbl_Historique_Final[date_modif])=Final_Sans_VGE[[#This Row],[date_modif]],
      "Ancien",
      "Modifié"),
   "Nouveau"))</f>
        <v>Ancien</v>
      </c>
      <c r="AC1842"/>
      <c r="AD1842"/>
    </row>
    <row r="1843" spans="1:30" ht="30" x14ac:dyDescent="0.25">
      <c r="A1843" s="5" t="s">
        <v>5690</v>
      </c>
      <c r="B1843" s="1" t="s">
        <v>10031</v>
      </c>
      <c r="C1843" s="1" t="s">
        <v>44</v>
      </c>
      <c r="D1843" s="1" t="s">
        <v>10032</v>
      </c>
      <c r="G1843" s="1" t="s">
        <v>11</v>
      </c>
      <c r="H1843" s="1" t="s">
        <v>22</v>
      </c>
      <c r="I1843" s="1" t="s">
        <v>22</v>
      </c>
      <c r="J1843" s="3">
        <v>45624.446087962962</v>
      </c>
      <c r="K1843" s="2" t="s">
        <v>10033</v>
      </c>
      <c r="L1843" s="1">
        <v>15</v>
      </c>
      <c r="M1843" s="1">
        <v>36</v>
      </c>
      <c r="N1843">
        <v>21</v>
      </c>
      <c r="O1843" s="3">
        <f>IF(
    R1843="Ancien",
    _xlfn.XLOOKUP(
        Final_Sans_VGE[[#This Row],[ppn_z]],
        tbl_Historique_Final[ppn_z],
        tbl_Historique_Final[Horodatage],
        ""
    ),
    Horodatage!$A$2
)</f>
        <v>46233.670796365739</v>
      </c>
      <c r="P1843" s="1" t="str">
        <f>IFERROR(IF(tbl_Historique_Final[[#This Row],[Commentaires]]&lt;&gt;"",tbl_Historique_Final[[#This Row],[Commentaires]],""),"")</f>
        <v/>
      </c>
      <c r="X1843" s="8" t="str">
        <f>IF(Final_Sans_VGE[[#This Row],[ppn_z]]="","",IFERROR(
   IF(_xlfn.XLOOKUP(Final_Sans_VGE[[#This Row],[ppn_z]],tbl_Historique_Final[ppn_z],tbl_Historique_Final[date_modif])=Final_Sans_VGE[[#This Row],[date_modif]],
      "Ancien",
      "Modifié"),
   "Nouveau"))</f>
        <v>Ancien</v>
      </c>
      <c r="AC1843"/>
      <c r="AD1843"/>
    </row>
    <row r="1844" spans="1:30" ht="75" x14ac:dyDescent="0.25">
      <c r="A1844" s="5" t="s">
        <v>5693</v>
      </c>
      <c r="B1844" s="1" t="s">
        <v>10034</v>
      </c>
      <c r="C1844" s="1" t="s">
        <v>88</v>
      </c>
      <c r="D1844" s="1" t="s">
        <v>15</v>
      </c>
      <c r="G1844" s="1" t="s">
        <v>11</v>
      </c>
      <c r="H1844" s="1" t="s">
        <v>110</v>
      </c>
      <c r="I1844" s="1" t="s">
        <v>22</v>
      </c>
      <c r="J1844" s="3">
        <v>45644.460775462961</v>
      </c>
      <c r="K1844" s="2" t="s">
        <v>10035</v>
      </c>
      <c r="L1844" s="1">
        <v>67</v>
      </c>
      <c r="M1844" s="1">
        <v>74</v>
      </c>
      <c r="N1844">
        <v>7</v>
      </c>
      <c r="O1844" s="3">
        <f>IF(
    R1844="Ancien",
    _xlfn.XLOOKUP(
        Final_Sans_VGE[[#This Row],[ppn_z]],
        tbl_Historique_Final[ppn_z],
        tbl_Historique_Final[Horodatage],
        ""
    ),
    Horodatage!$A$2
)</f>
        <v>46233.670796365739</v>
      </c>
      <c r="P1844" s="1" t="str">
        <f>IFERROR(IF(tbl_Historique_Final[[#This Row],[Commentaires]]&lt;&gt;"",tbl_Historique_Final[[#This Row],[Commentaires]],""),"")</f>
        <v/>
      </c>
      <c r="X1844" s="8" t="str">
        <f>IF(Final_Sans_VGE[[#This Row],[ppn_z]]="","",IFERROR(
   IF(_xlfn.XLOOKUP(Final_Sans_VGE[[#This Row],[ppn_z]],tbl_Historique_Final[ppn_z],tbl_Historique_Final[date_modif])=Final_Sans_VGE[[#This Row],[date_modif]],
      "Ancien",
      "Modifié"),
   "Nouveau"))</f>
        <v>Ancien</v>
      </c>
      <c r="AC1844"/>
      <c r="AD1844"/>
    </row>
    <row r="1845" spans="1:30" ht="45" x14ac:dyDescent="0.25">
      <c r="A1845" s="5" t="s">
        <v>5696</v>
      </c>
      <c r="B1845" s="1" t="s">
        <v>10036</v>
      </c>
      <c r="C1845" s="1" t="s">
        <v>8233</v>
      </c>
      <c r="D1845" s="1" t="s">
        <v>14</v>
      </c>
      <c r="E1845" s="1" t="s">
        <v>10037</v>
      </c>
      <c r="G1845" s="1" t="s">
        <v>10</v>
      </c>
      <c r="H1845" s="1" t="s">
        <v>140</v>
      </c>
      <c r="I1845" s="1" t="s">
        <v>8854</v>
      </c>
      <c r="J1845" s="3">
        <v>45668.481631944444</v>
      </c>
      <c r="K1845" s="2" t="s">
        <v>10038</v>
      </c>
      <c r="L1845" s="1">
        <v>306</v>
      </c>
      <c r="M1845" s="1">
        <v>324</v>
      </c>
      <c r="N1845">
        <v>18</v>
      </c>
      <c r="O1845" s="3">
        <f>IF(
    R1845="Ancien",
    _xlfn.XLOOKUP(
        Final_Sans_VGE[[#This Row],[ppn_z]],
        tbl_Historique_Final[ppn_z],
        tbl_Historique_Final[Horodatage],
        ""
    ),
    Horodatage!$A$2
)</f>
        <v>46233.670796365739</v>
      </c>
      <c r="P1845" s="1" t="str">
        <f>IFERROR(IF(tbl_Historique_Final[[#This Row],[Commentaires]]&lt;&gt;"",tbl_Historique_Final[[#This Row],[Commentaires]],""),"")</f>
        <v/>
      </c>
      <c r="X1845" s="8" t="str">
        <f>IF(Final_Sans_VGE[[#This Row],[ppn_z]]="","",IFERROR(
   IF(_xlfn.XLOOKUP(Final_Sans_VGE[[#This Row],[ppn_z]],tbl_Historique_Final[ppn_z],tbl_Historique_Final[date_modif])=Final_Sans_VGE[[#This Row],[date_modif]],
      "Ancien",
      "Modifié"),
   "Nouveau"))</f>
        <v>Ancien</v>
      </c>
      <c r="AC1845"/>
      <c r="AD1845"/>
    </row>
    <row r="1846" spans="1:30" ht="30" x14ac:dyDescent="0.25">
      <c r="A1846" s="5" t="s">
        <v>5699</v>
      </c>
      <c r="B1846" s="1" t="s">
        <v>10039</v>
      </c>
      <c r="C1846" s="1" t="s">
        <v>86</v>
      </c>
      <c r="G1846" s="1" t="s">
        <v>10</v>
      </c>
      <c r="H1846" s="1" t="s">
        <v>140</v>
      </c>
      <c r="I1846" s="1" t="s">
        <v>8230</v>
      </c>
      <c r="J1846" s="3">
        <v>45668.503854166665</v>
      </c>
      <c r="K1846" s="2" t="s">
        <v>10040</v>
      </c>
      <c r="L1846" s="1">
        <v>35</v>
      </c>
      <c r="M1846" s="1">
        <v>53</v>
      </c>
      <c r="N1846">
        <v>18</v>
      </c>
      <c r="O1846" s="3">
        <f>IF(
    R1846="Ancien",
    _xlfn.XLOOKUP(
        Final_Sans_VGE[[#This Row],[ppn_z]],
        tbl_Historique_Final[ppn_z],
        tbl_Historique_Final[Horodatage],
        ""
    ),
    Horodatage!$A$2
)</f>
        <v>46233.670796365739</v>
      </c>
      <c r="P1846" s="1" t="str">
        <f>IFERROR(IF(tbl_Historique_Final[[#This Row],[Commentaires]]&lt;&gt;"",tbl_Historique_Final[[#This Row],[Commentaires]],""),"")</f>
        <v/>
      </c>
      <c r="X1846" s="8" t="str">
        <f>IF(Final_Sans_VGE[[#This Row],[ppn_z]]="","",IFERROR(
   IF(_xlfn.XLOOKUP(Final_Sans_VGE[[#This Row],[ppn_z]],tbl_Historique_Final[ppn_z],tbl_Historique_Final[date_modif])=Final_Sans_VGE[[#This Row],[date_modif]],
      "Ancien",
      "Modifié"),
   "Nouveau"))</f>
        <v>Ancien</v>
      </c>
      <c r="AC1846"/>
      <c r="AD1846"/>
    </row>
    <row r="1847" spans="1:30" ht="30" x14ac:dyDescent="0.25">
      <c r="A1847" s="5" t="s">
        <v>5702</v>
      </c>
      <c r="B1847" s="1" t="s">
        <v>10041</v>
      </c>
      <c r="C1847" s="1" t="s">
        <v>78</v>
      </c>
      <c r="D1847" s="1" t="s">
        <v>7893</v>
      </c>
      <c r="G1847" s="1" t="s">
        <v>10</v>
      </c>
      <c r="H1847" s="1" t="s">
        <v>22</v>
      </c>
      <c r="I1847" s="1" t="s">
        <v>140</v>
      </c>
      <c r="J1847" s="3">
        <v>45668.505208333336</v>
      </c>
      <c r="K1847" s="2" t="s">
        <v>10042</v>
      </c>
      <c r="L1847" s="1">
        <v>7</v>
      </c>
      <c r="M1847" s="1">
        <v>271</v>
      </c>
      <c r="N1847">
        <v>264</v>
      </c>
      <c r="O1847" s="3">
        <f>IF(
    R1847="Ancien",
    _xlfn.XLOOKUP(
        Final_Sans_VGE[[#This Row],[ppn_z]],
        tbl_Historique_Final[ppn_z],
        tbl_Historique_Final[Horodatage],
        ""
    ),
    Horodatage!$A$2
)</f>
        <v>46233.670796365739</v>
      </c>
      <c r="P1847" s="1" t="str">
        <f>IFERROR(IF(tbl_Historique_Final[[#This Row],[Commentaires]]&lt;&gt;"",tbl_Historique_Final[[#This Row],[Commentaires]],""),"")</f>
        <v/>
      </c>
      <c r="X1847" s="8" t="str">
        <f>IF(Final_Sans_VGE[[#This Row],[ppn_z]]="","",IFERROR(
   IF(_xlfn.XLOOKUP(Final_Sans_VGE[[#This Row],[ppn_z]],tbl_Historique_Final[ppn_z],tbl_Historique_Final[date_modif])=Final_Sans_VGE[[#This Row],[date_modif]],
      "Ancien",
      "Modifié"),
   "Nouveau"))</f>
        <v>Ancien</v>
      </c>
      <c r="AC1847"/>
      <c r="AD1847"/>
    </row>
    <row r="1848" spans="1:30" x14ac:dyDescent="0.25">
      <c r="A1848" s="5" t="s">
        <v>5705</v>
      </c>
      <c r="B1848" s="1" t="s">
        <v>10043</v>
      </c>
      <c r="C1848" s="1" t="s">
        <v>96</v>
      </c>
      <c r="D1848" s="1" t="s">
        <v>8758</v>
      </c>
      <c r="E1848" s="1" t="s">
        <v>6793</v>
      </c>
      <c r="F1848" s="1" t="s">
        <v>14</v>
      </c>
      <c r="G1848" s="1" t="s">
        <v>10</v>
      </c>
      <c r="H1848" s="1" t="s">
        <v>10525</v>
      </c>
      <c r="I1848" s="1" t="s">
        <v>22</v>
      </c>
      <c r="J1848" s="3">
        <v>45678.469421296293</v>
      </c>
      <c r="K1848" s="2" t="s">
        <v>10044</v>
      </c>
      <c r="L1848" s="1">
        <v>49</v>
      </c>
      <c r="M1848" s="1">
        <v>68</v>
      </c>
      <c r="N1848">
        <v>19</v>
      </c>
      <c r="O1848" s="3">
        <f>IF(
    R1848="Ancien",
    _xlfn.XLOOKUP(
        Final_Sans_VGE[[#This Row],[ppn_z]],
        tbl_Historique_Final[ppn_z],
        tbl_Historique_Final[Horodatage],
        ""
    ),
    Horodatage!$A$2
)</f>
        <v>46233.670796365739</v>
      </c>
      <c r="P1848" s="1" t="str">
        <f>IFERROR(IF(tbl_Historique_Final[[#This Row],[Commentaires]]&lt;&gt;"",tbl_Historique_Final[[#This Row],[Commentaires]],""),"")</f>
        <v/>
      </c>
      <c r="X1848" s="8" t="str">
        <f>IF(Final_Sans_VGE[[#This Row],[ppn_z]]="","",IFERROR(
   IF(_xlfn.XLOOKUP(Final_Sans_VGE[[#This Row],[ppn_z]],tbl_Historique_Final[ppn_z],tbl_Historique_Final[date_modif])=Final_Sans_VGE[[#This Row],[date_modif]],
      "Ancien",
      "Modifié"),
   "Nouveau"))</f>
        <v>Ancien</v>
      </c>
      <c r="AC1848"/>
      <c r="AD1848"/>
    </row>
    <row r="1849" spans="1:30" ht="30" x14ac:dyDescent="0.25">
      <c r="A1849" s="5" t="s">
        <v>5708</v>
      </c>
      <c r="B1849" s="1" t="s">
        <v>10045</v>
      </c>
      <c r="C1849" s="1" t="s">
        <v>12</v>
      </c>
      <c r="G1849" s="1" t="s">
        <v>10</v>
      </c>
      <c r="H1849" s="1" t="s">
        <v>22</v>
      </c>
      <c r="I1849" s="1" t="s">
        <v>22</v>
      </c>
      <c r="J1849" s="3">
        <v>45680.422314814816</v>
      </c>
      <c r="K1849" s="2" t="s">
        <v>10046</v>
      </c>
      <c r="L1849" s="1">
        <v>21</v>
      </c>
      <c r="M1849" s="1">
        <v>31</v>
      </c>
      <c r="N1849">
        <v>10</v>
      </c>
      <c r="O1849" s="3">
        <f>IF(
    R1849="Ancien",
    _xlfn.XLOOKUP(
        Final_Sans_VGE[[#This Row],[ppn_z]],
        tbl_Historique_Final[ppn_z],
        tbl_Historique_Final[Horodatage],
        ""
    ),
    Horodatage!$A$2
)</f>
        <v>46233.670796365739</v>
      </c>
      <c r="P1849" s="1" t="str">
        <f>IFERROR(IF(tbl_Historique_Final[[#This Row],[Commentaires]]&lt;&gt;"",tbl_Historique_Final[[#This Row],[Commentaires]],""),"")</f>
        <v/>
      </c>
      <c r="X1849" s="8" t="str">
        <f>IF(Final_Sans_VGE[[#This Row],[ppn_z]]="","",IFERROR(
   IF(_xlfn.XLOOKUP(Final_Sans_VGE[[#This Row],[ppn_z]],tbl_Historique_Final[ppn_z],tbl_Historique_Final[date_modif])=Final_Sans_VGE[[#This Row],[date_modif]],
      "Ancien",
      "Modifié"),
   "Nouveau"))</f>
        <v>Ancien</v>
      </c>
      <c r="AC1849"/>
      <c r="AD1849"/>
    </row>
    <row r="1850" spans="1:30" ht="30" x14ac:dyDescent="0.25">
      <c r="A1850" s="5" t="s">
        <v>5711</v>
      </c>
      <c r="B1850" s="1" t="s">
        <v>10047</v>
      </c>
      <c r="C1850" s="1" t="s">
        <v>45</v>
      </c>
      <c r="G1850" s="1" t="s">
        <v>10</v>
      </c>
      <c r="J1850" s="3">
        <v>45700.792349537034</v>
      </c>
      <c r="K1850" s="2" t="s">
        <v>10048</v>
      </c>
      <c r="L1850" s="1">
        <v>1</v>
      </c>
      <c r="M1850" s="1">
        <v>3</v>
      </c>
      <c r="N1850">
        <v>2</v>
      </c>
      <c r="O1850" s="3">
        <f>IF(
    R1850="Ancien",
    _xlfn.XLOOKUP(
        Final_Sans_VGE[[#This Row],[ppn_z]],
        tbl_Historique_Final[ppn_z],
        tbl_Historique_Final[Horodatage],
        ""
    ),
    Horodatage!$A$2
)</f>
        <v>46233.670796365739</v>
      </c>
      <c r="P1850" s="1" t="str">
        <f>IFERROR(IF(tbl_Historique_Final[[#This Row],[Commentaires]]&lt;&gt;"",tbl_Historique_Final[[#This Row],[Commentaires]],""),"")</f>
        <v/>
      </c>
      <c r="X1850" s="8" t="str">
        <f>IF(Final_Sans_VGE[[#This Row],[ppn_z]]="","",IFERROR(
   IF(_xlfn.XLOOKUP(Final_Sans_VGE[[#This Row],[ppn_z]],tbl_Historique_Final[ppn_z],tbl_Historique_Final[date_modif])=Final_Sans_VGE[[#This Row],[date_modif]],
      "Ancien",
      "Modifié"),
   "Nouveau"))</f>
        <v>Ancien</v>
      </c>
      <c r="AC1850"/>
      <c r="AD1850"/>
    </row>
    <row r="1851" spans="1:30" x14ac:dyDescent="0.25">
      <c r="A1851" s="5" t="s">
        <v>5714</v>
      </c>
      <c r="B1851" s="1" t="s">
        <v>10049</v>
      </c>
      <c r="C1851" s="1" t="s">
        <v>12</v>
      </c>
      <c r="G1851" s="1" t="s">
        <v>10</v>
      </c>
      <c r="J1851" s="3">
        <v>45727.445520833331</v>
      </c>
      <c r="K1851" s="2" t="s">
        <v>10050</v>
      </c>
      <c r="L1851" s="1">
        <v>21</v>
      </c>
      <c r="M1851" s="1">
        <v>40</v>
      </c>
      <c r="N1851">
        <v>19</v>
      </c>
      <c r="O1851" s="3">
        <f>IF(
    R1851="Ancien",
    _xlfn.XLOOKUP(
        Final_Sans_VGE[[#This Row],[ppn_z]],
        tbl_Historique_Final[ppn_z],
        tbl_Historique_Final[Horodatage],
        ""
    ),
    Horodatage!$A$2
)</f>
        <v>46233.670796365739</v>
      </c>
      <c r="P1851" s="1" t="str">
        <f>IFERROR(IF(tbl_Historique_Final[[#This Row],[Commentaires]]&lt;&gt;"",tbl_Historique_Final[[#This Row],[Commentaires]],""),"")</f>
        <v/>
      </c>
      <c r="X1851" s="8" t="str">
        <f>IF(Final_Sans_VGE[[#This Row],[ppn_z]]="","",IFERROR(
   IF(_xlfn.XLOOKUP(Final_Sans_VGE[[#This Row],[ppn_z]],tbl_Historique_Final[ppn_z],tbl_Historique_Final[date_modif])=Final_Sans_VGE[[#This Row],[date_modif]],
      "Ancien",
      "Modifié"),
   "Nouveau"))</f>
        <v>Ancien</v>
      </c>
      <c r="AC1851"/>
      <c r="AD1851"/>
    </row>
    <row r="1852" spans="1:30" x14ac:dyDescent="0.25">
      <c r="A1852" s="5" t="s">
        <v>5717</v>
      </c>
      <c r="B1852" s="1" t="s">
        <v>10051</v>
      </c>
      <c r="C1852" s="1" t="s">
        <v>8394</v>
      </c>
      <c r="E1852" s="1" t="s">
        <v>76</v>
      </c>
      <c r="F1852" s="1" t="s">
        <v>14</v>
      </c>
      <c r="G1852" s="1" t="s">
        <v>10</v>
      </c>
      <c r="H1852" s="1" t="s">
        <v>22</v>
      </c>
      <c r="I1852" s="1" t="s">
        <v>22</v>
      </c>
      <c r="J1852" s="3">
        <v>45757.509247685186</v>
      </c>
      <c r="L1852" s="1">
        <v>3</v>
      </c>
      <c r="M1852" s="1">
        <v>3</v>
      </c>
      <c r="N1852">
        <v>0</v>
      </c>
      <c r="O1852" s="3">
        <f>IF(
    R1852="Ancien",
    _xlfn.XLOOKUP(
        Final_Sans_VGE[[#This Row],[ppn_z]],
        tbl_Historique_Final[ppn_z],
        tbl_Historique_Final[Horodatage],
        ""
    ),
    Horodatage!$A$2
)</f>
        <v>46233.670796365739</v>
      </c>
      <c r="P1852" s="1" t="str">
        <f>IFERROR(IF(tbl_Historique_Final[[#This Row],[Commentaires]]&lt;&gt;"",tbl_Historique_Final[[#This Row],[Commentaires]],""),"")</f>
        <v/>
      </c>
      <c r="X1852" s="8" t="str">
        <f>IF(Final_Sans_VGE[[#This Row],[ppn_z]]="","",IFERROR(
   IF(_xlfn.XLOOKUP(Final_Sans_VGE[[#This Row],[ppn_z]],tbl_Historique_Final[ppn_z],tbl_Historique_Final[date_modif])=Final_Sans_VGE[[#This Row],[date_modif]],
      "Ancien",
      "Modifié"),
   "Nouveau"))</f>
        <v>Ancien</v>
      </c>
      <c r="AC1852"/>
      <c r="AD1852"/>
    </row>
    <row r="1853" spans="1:30" x14ac:dyDescent="0.25">
      <c r="A1853" s="5" t="s">
        <v>5720</v>
      </c>
      <c r="B1853" s="1" t="s">
        <v>10052</v>
      </c>
      <c r="C1853" s="1" t="s">
        <v>8735</v>
      </c>
      <c r="J1853" s="3">
        <v>45757.535370370373</v>
      </c>
      <c r="L1853" s="1">
        <v>2</v>
      </c>
      <c r="M1853" s="1">
        <v>2</v>
      </c>
      <c r="N1853">
        <v>0</v>
      </c>
      <c r="O1853" s="3">
        <f>IF(
    R1853="Ancien",
    _xlfn.XLOOKUP(
        Final_Sans_VGE[[#This Row],[ppn_z]],
        tbl_Historique_Final[ppn_z],
        tbl_Historique_Final[Horodatage],
        ""
    ),
    Horodatage!$A$2
)</f>
        <v>46233.670796365739</v>
      </c>
      <c r="P1853" s="1" t="str">
        <f>IFERROR(IF(tbl_Historique_Final[[#This Row],[Commentaires]]&lt;&gt;"",tbl_Historique_Final[[#This Row],[Commentaires]],""),"")</f>
        <v/>
      </c>
      <c r="X1853" s="8" t="str">
        <f>IF(Final_Sans_VGE[[#This Row],[ppn_z]]="","",IFERROR(
   IF(_xlfn.XLOOKUP(Final_Sans_VGE[[#This Row],[ppn_z]],tbl_Historique_Final[ppn_z],tbl_Historique_Final[date_modif])=Final_Sans_VGE[[#This Row],[date_modif]],
      "Ancien",
      "Modifié"),
   "Nouveau"))</f>
        <v>Ancien</v>
      </c>
      <c r="AC1853"/>
      <c r="AD1853"/>
    </row>
    <row r="1854" spans="1:30" x14ac:dyDescent="0.25">
      <c r="A1854" s="5" t="s">
        <v>5723</v>
      </c>
      <c r="B1854" s="1" t="s">
        <v>10053</v>
      </c>
      <c r="C1854" s="1" t="s">
        <v>75</v>
      </c>
      <c r="D1854" s="1" t="s">
        <v>14</v>
      </c>
      <c r="G1854" s="1" t="s">
        <v>10</v>
      </c>
      <c r="H1854" s="1" t="s">
        <v>22</v>
      </c>
      <c r="I1854" s="1" t="s">
        <v>22</v>
      </c>
      <c r="J1854" s="3">
        <v>45767.786238425928</v>
      </c>
      <c r="K1854" s="2" t="s">
        <v>10054</v>
      </c>
      <c r="L1854" s="1">
        <v>39</v>
      </c>
      <c r="M1854" s="1">
        <v>49</v>
      </c>
      <c r="N1854">
        <v>10</v>
      </c>
      <c r="O1854" s="3">
        <f>IF(
    R1854="Ancien",
    _xlfn.XLOOKUP(
        Final_Sans_VGE[[#This Row],[ppn_z]],
        tbl_Historique_Final[ppn_z],
        tbl_Historique_Final[Horodatage],
        ""
    ),
    Horodatage!$A$2
)</f>
        <v>46233.670796365739</v>
      </c>
      <c r="P1854" s="1" t="str">
        <f>IFERROR(IF(tbl_Historique_Final[[#This Row],[Commentaires]]&lt;&gt;"",tbl_Historique_Final[[#This Row],[Commentaires]],""),"")</f>
        <v/>
      </c>
      <c r="X1854" s="8" t="str">
        <f>IF(Final_Sans_VGE[[#This Row],[ppn_z]]="","",IFERROR(
   IF(_xlfn.XLOOKUP(Final_Sans_VGE[[#This Row],[ppn_z]],tbl_Historique_Final[ppn_z],tbl_Historique_Final[date_modif])=Final_Sans_VGE[[#This Row],[date_modif]],
      "Ancien",
      "Modifié"),
   "Nouveau"))</f>
        <v>Ancien</v>
      </c>
      <c r="AC1854"/>
      <c r="AD1854"/>
    </row>
    <row r="1855" spans="1:30" ht="45" x14ac:dyDescent="0.25">
      <c r="A1855" s="5" t="s">
        <v>5726</v>
      </c>
      <c r="B1855" s="1" t="s">
        <v>10055</v>
      </c>
      <c r="C1855" s="1" t="s">
        <v>29</v>
      </c>
      <c r="D1855" s="1" t="s">
        <v>14</v>
      </c>
      <c r="G1855" s="1" t="s">
        <v>10</v>
      </c>
      <c r="H1855" s="1" t="s">
        <v>22</v>
      </c>
      <c r="I1855" s="1" t="s">
        <v>22</v>
      </c>
      <c r="J1855" s="3">
        <v>45776.739212962966</v>
      </c>
      <c r="K1855" s="2" t="s">
        <v>10056</v>
      </c>
      <c r="L1855" s="1">
        <v>36</v>
      </c>
      <c r="M1855" s="1">
        <v>57</v>
      </c>
      <c r="N1855">
        <v>21</v>
      </c>
      <c r="O1855" s="3">
        <f>IF(
    R1855="Ancien",
    _xlfn.XLOOKUP(
        Final_Sans_VGE[[#This Row],[ppn_z]],
        tbl_Historique_Final[ppn_z],
        tbl_Historique_Final[Horodatage],
        ""
    ),
    Horodatage!$A$2
)</f>
        <v>46233.670796365739</v>
      </c>
      <c r="P1855" s="1" t="str">
        <f>IFERROR(IF(tbl_Historique_Final[[#This Row],[Commentaires]]&lt;&gt;"",tbl_Historique_Final[[#This Row],[Commentaires]],""),"")</f>
        <v/>
      </c>
      <c r="X1855" s="8" t="str">
        <f>IF(Final_Sans_VGE[[#This Row],[ppn_z]]="","",IFERROR(
   IF(_xlfn.XLOOKUP(Final_Sans_VGE[[#This Row],[ppn_z]],tbl_Historique_Final[ppn_z],tbl_Historique_Final[date_modif])=Final_Sans_VGE[[#This Row],[date_modif]],
      "Ancien",
      "Modifié"),
   "Nouveau"))</f>
        <v>Ancien</v>
      </c>
      <c r="AC1855"/>
      <c r="AD1855"/>
    </row>
    <row r="1856" spans="1:30" x14ac:dyDescent="0.25">
      <c r="A1856" s="5" t="s">
        <v>5729</v>
      </c>
      <c r="B1856" s="1" t="s">
        <v>10057</v>
      </c>
      <c r="C1856" s="1" t="s">
        <v>85</v>
      </c>
      <c r="D1856" s="1" t="s">
        <v>10058</v>
      </c>
      <c r="E1856" s="1" t="s">
        <v>123</v>
      </c>
      <c r="F1856" s="1" t="s">
        <v>14</v>
      </c>
      <c r="G1856" s="1" t="s">
        <v>10</v>
      </c>
      <c r="H1856" s="1" t="s">
        <v>10059</v>
      </c>
      <c r="I1856" s="1" t="s">
        <v>10060</v>
      </c>
      <c r="J1856" s="3">
        <v>45793.572060185186</v>
      </c>
      <c r="K1856" s="2" t="s">
        <v>10061</v>
      </c>
      <c r="L1856" s="1">
        <v>33</v>
      </c>
      <c r="M1856" s="1">
        <v>39</v>
      </c>
      <c r="N1856">
        <v>6</v>
      </c>
      <c r="O1856" s="3">
        <f>IF(
    R1856="Ancien",
    _xlfn.XLOOKUP(
        Final_Sans_VGE[[#This Row],[ppn_z]],
        tbl_Historique_Final[ppn_z],
        tbl_Historique_Final[Horodatage],
        ""
    ),
    Horodatage!$A$2
)</f>
        <v>46233.670796365739</v>
      </c>
      <c r="P1856" s="1" t="str">
        <f>IFERROR(IF(tbl_Historique_Final[[#This Row],[Commentaires]]&lt;&gt;"",tbl_Historique_Final[[#This Row],[Commentaires]],""),"")</f>
        <v/>
      </c>
      <c r="X1856" s="8" t="str">
        <f>IF(Final_Sans_VGE[[#This Row],[ppn_z]]="","",IFERROR(
   IF(_xlfn.XLOOKUP(Final_Sans_VGE[[#This Row],[ppn_z]],tbl_Historique_Final[ppn_z],tbl_Historique_Final[date_modif])=Final_Sans_VGE[[#This Row],[date_modif]],
      "Ancien",
      "Modifié"),
   "Nouveau"))</f>
        <v>Ancien</v>
      </c>
      <c r="AC1856"/>
      <c r="AD1856"/>
    </row>
    <row r="1857" spans="1:30" x14ac:dyDescent="0.25">
      <c r="A1857" s="5" t="s">
        <v>5732</v>
      </c>
      <c r="B1857" s="1" t="s">
        <v>10062</v>
      </c>
      <c r="C1857" s="1" t="s">
        <v>48</v>
      </c>
      <c r="J1857" s="3">
        <v>45820.314606481479</v>
      </c>
      <c r="K1857" s="2" t="s">
        <v>10063</v>
      </c>
      <c r="L1857" s="1">
        <v>4</v>
      </c>
      <c r="M1857" s="1">
        <v>6</v>
      </c>
      <c r="N1857">
        <v>2</v>
      </c>
      <c r="O1857" s="3">
        <f>IF(
    R1857="Ancien",
    _xlfn.XLOOKUP(
        Final_Sans_VGE[[#This Row],[ppn_z]],
        tbl_Historique_Final[ppn_z],
        tbl_Historique_Final[Horodatage],
        ""
    ),
    Horodatage!$A$2
)</f>
        <v>46233.670796365739</v>
      </c>
      <c r="P1857" s="1" t="str">
        <f>IFERROR(IF(tbl_Historique_Final[[#This Row],[Commentaires]]&lt;&gt;"",tbl_Historique_Final[[#This Row],[Commentaires]],""),"")</f>
        <v/>
      </c>
      <c r="X1857" s="8" t="str">
        <f>IF(Final_Sans_VGE[[#This Row],[ppn_z]]="","",IFERROR(
   IF(_xlfn.XLOOKUP(Final_Sans_VGE[[#This Row],[ppn_z]],tbl_Historique_Final[ppn_z],tbl_Historique_Final[date_modif])=Final_Sans_VGE[[#This Row],[date_modif]],
      "Ancien",
      "Modifié"),
   "Nouveau"))</f>
        <v>Ancien</v>
      </c>
      <c r="AC1857"/>
      <c r="AD1857"/>
    </row>
    <row r="1858" spans="1:30" x14ac:dyDescent="0.25">
      <c r="A1858" s="5" t="s">
        <v>5735</v>
      </c>
      <c r="B1858" s="1" t="s">
        <v>10064</v>
      </c>
      <c r="C1858" s="1" t="s">
        <v>12</v>
      </c>
      <c r="G1858" s="1" t="s">
        <v>10</v>
      </c>
      <c r="J1858" s="3">
        <v>45826.30364583333</v>
      </c>
      <c r="K1858" s="2" t="s">
        <v>10065</v>
      </c>
      <c r="L1858" s="1">
        <v>5</v>
      </c>
      <c r="M1858" s="1">
        <v>31</v>
      </c>
      <c r="N1858">
        <v>26</v>
      </c>
      <c r="O1858" s="3">
        <f>IF(
    R1858="Ancien",
    _xlfn.XLOOKUP(
        Final_Sans_VGE[[#This Row],[ppn_z]],
        tbl_Historique_Final[ppn_z],
        tbl_Historique_Final[Horodatage],
        ""
    ),
    Horodatage!$A$2
)</f>
        <v>46233.670796365739</v>
      </c>
      <c r="P1858" s="1" t="str">
        <f>IFERROR(IF(tbl_Historique_Final[[#This Row],[Commentaires]]&lt;&gt;"",tbl_Historique_Final[[#This Row],[Commentaires]],""),"")</f>
        <v/>
      </c>
      <c r="X1858" s="8" t="str">
        <f>IF(Final_Sans_VGE[[#This Row],[ppn_z]]="","",IFERROR(
   IF(_xlfn.XLOOKUP(Final_Sans_VGE[[#This Row],[ppn_z]],tbl_Historique_Final[ppn_z],tbl_Historique_Final[date_modif])=Final_Sans_VGE[[#This Row],[date_modif]],
      "Ancien",
      "Modifié"),
   "Nouveau"))</f>
        <v>Ancien</v>
      </c>
      <c r="AC1858"/>
      <c r="AD1858"/>
    </row>
    <row r="1859" spans="1:30" ht="45" x14ac:dyDescent="0.25">
      <c r="A1859" s="5" t="s">
        <v>5738</v>
      </c>
      <c r="B1859" s="1" t="s">
        <v>10066</v>
      </c>
      <c r="C1859" s="1" t="s">
        <v>45</v>
      </c>
      <c r="G1859" s="1" t="s">
        <v>11</v>
      </c>
      <c r="J1859" s="3">
        <v>45826.303657407407</v>
      </c>
      <c r="K1859" s="2" t="s">
        <v>10067</v>
      </c>
      <c r="L1859" s="1">
        <v>6</v>
      </c>
      <c r="M1859" s="1">
        <v>11</v>
      </c>
      <c r="N1859">
        <v>5</v>
      </c>
      <c r="O1859" s="3">
        <f>IF(
    R1859="Ancien",
    _xlfn.XLOOKUP(
        Final_Sans_VGE[[#This Row],[ppn_z]],
        tbl_Historique_Final[ppn_z],
        tbl_Historique_Final[Horodatage],
        ""
    ),
    Horodatage!$A$2
)</f>
        <v>46233.670796365739</v>
      </c>
      <c r="P1859" s="1" t="str">
        <f>IFERROR(IF(tbl_Historique_Final[[#This Row],[Commentaires]]&lt;&gt;"",tbl_Historique_Final[[#This Row],[Commentaires]],""),"")</f>
        <v/>
      </c>
      <c r="X1859" s="8" t="str">
        <f>IF(Final_Sans_VGE[[#This Row],[ppn_z]]="","",IFERROR(
   IF(_xlfn.XLOOKUP(Final_Sans_VGE[[#This Row],[ppn_z]],tbl_Historique_Final[ppn_z],tbl_Historique_Final[date_modif])=Final_Sans_VGE[[#This Row],[date_modif]],
      "Ancien",
      "Modifié"),
   "Nouveau"))</f>
        <v>Ancien</v>
      </c>
      <c r="AC1859"/>
      <c r="AD1859"/>
    </row>
    <row r="1860" spans="1:30" ht="45" x14ac:dyDescent="0.25">
      <c r="A1860" s="5" t="s">
        <v>5741</v>
      </c>
      <c r="B1860" s="1" t="s">
        <v>10068</v>
      </c>
      <c r="C1860" s="1" t="s">
        <v>120</v>
      </c>
      <c r="G1860" s="1" t="s">
        <v>10</v>
      </c>
      <c r="J1860" s="3">
        <v>45826.303587962961</v>
      </c>
      <c r="K1860" s="2" t="s">
        <v>10069</v>
      </c>
      <c r="L1860" s="1">
        <v>1</v>
      </c>
      <c r="M1860" s="1">
        <v>3</v>
      </c>
      <c r="N1860">
        <v>2</v>
      </c>
      <c r="O1860" s="3">
        <f>IF(
    R1860="Ancien",
    _xlfn.XLOOKUP(
        Final_Sans_VGE[[#This Row],[ppn_z]],
        tbl_Historique_Final[ppn_z],
        tbl_Historique_Final[Horodatage],
        ""
    ),
    Horodatage!$A$2
)</f>
        <v>46233.670796365739</v>
      </c>
      <c r="P1860" s="1" t="str">
        <f>IFERROR(IF(tbl_Historique_Final[[#This Row],[Commentaires]]&lt;&gt;"",tbl_Historique_Final[[#This Row],[Commentaires]],""),"")</f>
        <v/>
      </c>
      <c r="X1860" s="8" t="str">
        <f>IF(Final_Sans_VGE[[#This Row],[ppn_z]]="","",IFERROR(
   IF(_xlfn.XLOOKUP(Final_Sans_VGE[[#This Row],[ppn_z]],tbl_Historique_Final[ppn_z],tbl_Historique_Final[date_modif])=Final_Sans_VGE[[#This Row],[date_modif]],
      "Ancien",
      "Modifié"),
   "Nouveau"))</f>
        <v>Ancien</v>
      </c>
      <c r="AC1860"/>
      <c r="AD1860"/>
    </row>
    <row r="1861" spans="1:30" x14ac:dyDescent="0.25">
      <c r="A1861" s="5" t="s">
        <v>5744</v>
      </c>
      <c r="B1861" s="1" t="s">
        <v>10070</v>
      </c>
      <c r="C1861" s="1" t="s">
        <v>77</v>
      </c>
      <c r="G1861" s="1" t="s">
        <v>10</v>
      </c>
      <c r="H1861" s="1" t="s">
        <v>22</v>
      </c>
      <c r="I1861" s="1" t="s">
        <v>140</v>
      </c>
      <c r="J1861" s="3">
        <v>45828.674004629633</v>
      </c>
      <c r="K1861" s="2" t="s">
        <v>10071</v>
      </c>
      <c r="L1861" s="1">
        <v>0</v>
      </c>
      <c r="M1861" s="1">
        <v>5</v>
      </c>
      <c r="N1861">
        <v>5</v>
      </c>
      <c r="O1861" s="3">
        <f>IF(
    R1861="Ancien",
    _xlfn.XLOOKUP(
        Final_Sans_VGE[[#This Row],[ppn_z]],
        tbl_Historique_Final[ppn_z],
        tbl_Historique_Final[Horodatage],
        ""
    ),
    Horodatage!$A$2
)</f>
        <v>46233.670796365739</v>
      </c>
      <c r="P1861" s="1" t="str">
        <f>IFERROR(IF(tbl_Historique_Final[[#This Row],[Commentaires]]&lt;&gt;"",tbl_Historique_Final[[#This Row],[Commentaires]],""),"")</f>
        <v/>
      </c>
      <c r="X1861" s="8" t="str">
        <f>IF(Final_Sans_VGE[[#This Row],[ppn_z]]="","",IFERROR(
   IF(_xlfn.XLOOKUP(Final_Sans_VGE[[#This Row],[ppn_z]],tbl_Historique_Final[ppn_z],tbl_Historique_Final[date_modif])=Final_Sans_VGE[[#This Row],[date_modif]],
      "Ancien",
      "Modifié"),
   "Nouveau"))</f>
        <v>Ancien</v>
      </c>
      <c r="AC1861"/>
      <c r="AD1861"/>
    </row>
    <row r="1862" spans="1:30" ht="45" x14ac:dyDescent="0.25">
      <c r="A1862" s="5" t="s">
        <v>5747</v>
      </c>
      <c r="B1862" s="1" t="s">
        <v>10072</v>
      </c>
      <c r="C1862" s="1" t="s">
        <v>6355</v>
      </c>
      <c r="G1862" s="1" t="s">
        <v>10</v>
      </c>
      <c r="H1862" s="1" t="s">
        <v>22</v>
      </c>
      <c r="I1862" s="1" t="s">
        <v>22</v>
      </c>
      <c r="J1862" s="3">
        <v>45833.638483796298</v>
      </c>
      <c r="K1862" s="2" t="s">
        <v>10073</v>
      </c>
      <c r="L1862" s="1">
        <v>4</v>
      </c>
      <c r="M1862" s="1">
        <v>6</v>
      </c>
      <c r="N1862">
        <v>2</v>
      </c>
      <c r="O1862" s="3">
        <f>IF(
    R1862="Ancien",
    _xlfn.XLOOKUP(
        Final_Sans_VGE[[#This Row],[ppn_z]],
        tbl_Historique_Final[ppn_z],
        tbl_Historique_Final[Horodatage],
        ""
    ),
    Horodatage!$A$2
)</f>
        <v>46233.670796365739</v>
      </c>
      <c r="P1862" s="1" t="str">
        <f>IFERROR(IF(tbl_Historique_Final[[#This Row],[Commentaires]]&lt;&gt;"",tbl_Historique_Final[[#This Row],[Commentaires]],""),"")</f>
        <v/>
      </c>
      <c r="X1862" s="8" t="str">
        <f>IF(Final_Sans_VGE[[#This Row],[ppn_z]]="","",IFERROR(
   IF(_xlfn.XLOOKUP(Final_Sans_VGE[[#This Row],[ppn_z]],tbl_Historique_Final[ppn_z],tbl_Historique_Final[date_modif])=Final_Sans_VGE[[#This Row],[date_modif]],
      "Ancien",
      "Modifié"),
   "Nouveau"))</f>
        <v>Ancien</v>
      </c>
      <c r="AC1862"/>
      <c r="AD1862"/>
    </row>
    <row r="1863" spans="1:30" ht="30" x14ac:dyDescent="0.25">
      <c r="A1863" s="5" t="s">
        <v>5750</v>
      </c>
      <c r="B1863" s="1" t="s">
        <v>10074</v>
      </c>
      <c r="C1863" s="1" t="s">
        <v>45</v>
      </c>
      <c r="G1863" s="1" t="s">
        <v>11</v>
      </c>
      <c r="H1863" s="1" t="s">
        <v>22</v>
      </c>
      <c r="I1863" s="1" t="s">
        <v>22</v>
      </c>
      <c r="J1863" s="3">
        <v>45482.484814814816</v>
      </c>
      <c r="K1863" s="2" t="s">
        <v>10075</v>
      </c>
      <c r="L1863" s="1">
        <v>3</v>
      </c>
      <c r="M1863" s="1">
        <v>3</v>
      </c>
      <c r="N1863">
        <v>0</v>
      </c>
      <c r="O1863" s="3">
        <f>IF(
    R1863="Ancien",
    _xlfn.XLOOKUP(
        Final_Sans_VGE[[#This Row],[ppn_z]],
        tbl_Historique_Final[ppn_z],
        tbl_Historique_Final[Horodatage],
        ""
    ),
    Horodatage!$A$2
)</f>
        <v>46233.670796365739</v>
      </c>
      <c r="P1863" s="1" t="str">
        <f>IFERROR(IF(tbl_Historique_Final[[#This Row],[Commentaires]]&lt;&gt;"",tbl_Historique_Final[[#This Row],[Commentaires]],""),"")</f>
        <v/>
      </c>
      <c r="X1863" s="8" t="str">
        <f>IF(Final_Sans_VGE[[#This Row],[ppn_z]]="","",IFERROR(
   IF(_xlfn.XLOOKUP(Final_Sans_VGE[[#This Row],[ppn_z]],tbl_Historique_Final[ppn_z],tbl_Historique_Final[date_modif])=Final_Sans_VGE[[#This Row],[date_modif]],
      "Ancien",
      "Modifié"),
   "Nouveau"))</f>
        <v>Ancien</v>
      </c>
      <c r="AC1863"/>
      <c r="AD1863"/>
    </row>
    <row r="1864" spans="1:30" ht="60" x14ac:dyDescent="0.25">
      <c r="A1864" s="5" t="s">
        <v>5753</v>
      </c>
      <c r="B1864" s="1" t="s">
        <v>10076</v>
      </c>
      <c r="C1864" s="1" t="s">
        <v>35</v>
      </c>
      <c r="G1864" s="1" t="s">
        <v>11</v>
      </c>
      <c r="H1864" s="1" t="s">
        <v>9373</v>
      </c>
      <c r="I1864" s="1" t="s">
        <v>10077</v>
      </c>
      <c r="J1864" s="3">
        <v>45624.446967592594</v>
      </c>
      <c r="K1864" s="2" t="s">
        <v>10078</v>
      </c>
      <c r="L1864" s="1">
        <v>15</v>
      </c>
      <c r="M1864" s="1">
        <v>32</v>
      </c>
      <c r="N1864">
        <v>17</v>
      </c>
      <c r="O1864" s="3">
        <f>IF(
    R1864="Ancien",
    _xlfn.XLOOKUP(
        Final_Sans_VGE[[#This Row],[ppn_z]],
        tbl_Historique_Final[ppn_z],
        tbl_Historique_Final[Horodatage],
        ""
    ),
    Horodatage!$A$2
)</f>
        <v>46233.670796365739</v>
      </c>
      <c r="P1864" s="1" t="str">
        <f>IFERROR(IF(tbl_Historique_Final[[#This Row],[Commentaires]]&lt;&gt;"",tbl_Historique_Final[[#This Row],[Commentaires]],""),"")</f>
        <v/>
      </c>
      <c r="X1864" s="8" t="str">
        <f>IF(Final_Sans_VGE[[#This Row],[ppn_z]]="","",IFERROR(
   IF(_xlfn.XLOOKUP(Final_Sans_VGE[[#This Row],[ppn_z]],tbl_Historique_Final[ppn_z],tbl_Historique_Final[date_modif])=Final_Sans_VGE[[#This Row],[date_modif]],
      "Ancien",
      "Modifié"),
   "Nouveau"))</f>
        <v>Ancien</v>
      </c>
      <c r="AC1864"/>
      <c r="AD1864"/>
    </row>
    <row r="1865" spans="1:30" ht="30" x14ac:dyDescent="0.25">
      <c r="A1865" s="5" t="s">
        <v>5756</v>
      </c>
      <c r="B1865" s="1" t="s">
        <v>10079</v>
      </c>
      <c r="C1865" s="1" t="s">
        <v>37</v>
      </c>
      <c r="D1865" s="1" t="s">
        <v>8589</v>
      </c>
      <c r="G1865" s="1" t="s">
        <v>11</v>
      </c>
      <c r="H1865" s="1" t="s">
        <v>10482</v>
      </c>
      <c r="I1865" s="1" t="s">
        <v>140</v>
      </c>
      <c r="J1865" s="3">
        <v>45837.345451388886</v>
      </c>
      <c r="K1865" s="2" t="s">
        <v>10080</v>
      </c>
      <c r="L1865" s="1">
        <v>16</v>
      </c>
      <c r="M1865" s="1">
        <v>76</v>
      </c>
      <c r="N1865">
        <v>60</v>
      </c>
      <c r="O1865" s="3">
        <f>IF(
    R1865="Ancien",
    _xlfn.XLOOKUP(
        Final_Sans_VGE[[#This Row],[ppn_z]],
        tbl_Historique_Final[ppn_z],
        tbl_Historique_Final[Horodatage],
        ""
    ),
    Horodatage!$A$2
)</f>
        <v>46233.670796365739</v>
      </c>
      <c r="P1865" s="1" t="str">
        <f>IFERROR(IF(tbl_Historique_Final[[#This Row],[Commentaires]]&lt;&gt;"",tbl_Historique_Final[[#This Row],[Commentaires]],""),"")</f>
        <v/>
      </c>
      <c r="X1865" s="8" t="str">
        <f>IF(Final_Sans_VGE[[#This Row],[ppn_z]]="","",IFERROR(
   IF(_xlfn.XLOOKUP(Final_Sans_VGE[[#This Row],[ppn_z]],tbl_Historique_Final[ppn_z],tbl_Historique_Final[date_modif])=Final_Sans_VGE[[#This Row],[date_modif]],
      "Ancien",
      "Modifié"),
   "Nouveau"))</f>
        <v>Ancien</v>
      </c>
      <c r="AC1865"/>
      <c r="AD1865"/>
    </row>
    <row r="1866" spans="1:30" x14ac:dyDescent="0.25">
      <c r="A1866" s="5" t="s">
        <v>5759</v>
      </c>
      <c r="B1866" s="1" t="s">
        <v>10081</v>
      </c>
      <c r="C1866" s="1" t="s">
        <v>77</v>
      </c>
      <c r="G1866" s="1" t="s">
        <v>10</v>
      </c>
      <c r="H1866" s="1" t="s">
        <v>22</v>
      </c>
      <c r="I1866" s="1" t="s">
        <v>22</v>
      </c>
      <c r="J1866" s="3">
        <v>45839.584583333337</v>
      </c>
      <c r="K1866" s="2" t="s">
        <v>10082</v>
      </c>
      <c r="L1866" s="1">
        <v>46</v>
      </c>
      <c r="M1866" s="1">
        <v>85</v>
      </c>
      <c r="N1866">
        <v>39</v>
      </c>
      <c r="O1866" s="3">
        <f>IF(
    R1866="Ancien",
    _xlfn.XLOOKUP(
        Final_Sans_VGE[[#This Row],[ppn_z]],
        tbl_Historique_Final[ppn_z],
        tbl_Historique_Final[Horodatage],
        ""
    ),
    Horodatage!$A$2
)</f>
        <v>46233.670796365739</v>
      </c>
      <c r="P1866" s="1" t="str">
        <f>IFERROR(IF(tbl_Historique_Final[[#This Row],[Commentaires]]&lt;&gt;"",tbl_Historique_Final[[#This Row],[Commentaires]],""),"")</f>
        <v/>
      </c>
      <c r="X1866" s="8" t="str">
        <f>IF(Final_Sans_VGE[[#This Row],[ppn_z]]="","",IFERROR(
   IF(_xlfn.XLOOKUP(Final_Sans_VGE[[#This Row],[ppn_z]],tbl_Historique_Final[ppn_z],tbl_Historique_Final[date_modif])=Final_Sans_VGE[[#This Row],[date_modif]],
      "Ancien",
      "Modifié"),
   "Nouveau"))</f>
        <v>Ancien</v>
      </c>
      <c r="AC1866"/>
      <c r="AD1866"/>
    </row>
    <row r="1867" spans="1:30" x14ac:dyDescent="0.25">
      <c r="A1867" s="5" t="s">
        <v>5762</v>
      </c>
      <c r="B1867" s="1" t="s">
        <v>10083</v>
      </c>
      <c r="C1867" s="1" t="s">
        <v>62</v>
      </c>
      <c r="G1867" s="1" t="s">
        <v>10</v>
      </c>
      <c r="J1867" s="3">
        <v>45842.627812500003</v>
      </c>
      <c r="K1867" s="2" t="s">
        <v>10084</v>
      </c>
      <c r="L1867" s="1">
        <v>14</v>
      </c>
      <c r="M1867" s="1">
        <v>25</v>
      </c>
      <c r="N1867">
        <v>11</v>
      </c>
      <c r="O1867" s="3">
        <f>IF(
    R1867="Ancien",
    _xlfn.XLOOKUP(
        Final_Sans_VGE[[#This Row],[ppn_z]],
        tbl_Historique_Final[ppn_z],
        tbl_Historique_Final[Horodatage],
        ""
    ),
    Horodatage!$A$2
)</f>
        <v>46233.670796365739</v>
      </c>
      <c r="P1867" s="1" t="str">
        <f>IFERROR(IF(tbl_Historique_Final[[#This Row],[Commentaires]]&lt;&gt;"",tbl_Historique_Final[[#This Row],[Commentaires]],""),"")</f>
        <v/>
      </c>
      <c r="X1867" s="8" t="str">
        <f>IF(Final_Sans_VGE[[#This Row],[ppn_z]]="","",IFERROR(
   IF(_xlfn.XLOOKUP(Final_Sans_VGE[[#This Row],[ppn_z]],tbl_Historique_Final[ppn_z],tbl_Historique_Final[date_modif])=Final_Sans_VGE[[#This Row],[date_modif]],
      "Ancien",
      "Modifié"),
   "Nouveau"))</f>
        <v>Ancien</v>
      </c>
      <c r="AC1867"/>
      <c r="AD1867"/>
    </row>
    <row r="1868" spans="1:30" ht="45" x14ac:dyDescent="0.25">
      <c r="A1868" s="5" t="s">
        <v>5765</v>
      </c>
      <c r="B1868" s="1" t="s">
        <v>10085</v>
      </c>
      <c r="C1868" s="1" t="s">
        <v>48</v>
      </c>
      <c r="G1868" s="1" t="s">
        <v>10</v>
      </c>
      <c r="H1868" s="1" t="s">
        <v>22</v>
      </c>
      <c r="I1868" s="1" t="s">
        <v>10086</v>
      </c>
      <c r="J1868" s="3">
        <v>45842.635752314818</v>
      </c>
      <c r="K1868" s="2" t="s">
        <v>10087</v>
      </c>
      <c r="L1868" s="1">
        <v>20</v>
      </c>
      <c r="M1868" s="1">
        <v>21</v>
      </c>
      <c r="N1868">
        <v>1</v>
      </c>
      <c r="O1868" s="3">
        <f>IF(
    R1868="Ancien",
    _xlfn.XLOOKUP(
        Final_Sans_VGE[[#This Row],[ppn_z]],
        tbl_Historique_Final[ppn_z],
        tbl_Historique_Final[Horodatage],
        ""
    ),
    Horodatage!$A$2
)</f>
        <v>46233.670796365739</v>
      </c>
      <c r="P1868" s="1" t="str">
        <f>IFERROR(IF(tbl_Historique_Final[[#This Row],[Commentaires]]&lt;&gt;"",tbl_Historique_Final[[#This Row],[Commentaires]],""),"")</f>
        <v/>
      </c>
      <c r="X1868" s="8" t="str">
        <f>IF(Final_Sans_VGE[[#This Row],[ppn_z]]="","",IFERROR(
   IF(_xlfn.XLOOKUP(Final_Sans_VGE[[#This Row],[ppn_z]],tbl_Historique_Final[ppn_z],tbl_Historique_Final[date_modif])=Final_Sans_VGE[[#This Row],[date_modif]],
      "Ancien",
      "Modifié"),
   "Nouveau"))</f>
        <v>Ancien</v>
      </c>
      <c r="AC1868"/>
      <c r="AD1868"/>
    </row>
    <row r="1869" spans="1:30" ht="30" x14ac:dyDescent="0.25">
      <c r="A1869" s="5" t="s">
        <v>5768</v>
      </c>
      <c r="B1869" s="1" t="s">
        <v>10088</v>
      </c>
      <c r="C1869" s="1" t="s">
        <v>12</v>
      </c>
      <c r="G1869" s="1" t="s">
        <v>10</v>
      </c>
      <c r="H1869" s="1" t="s">
        <v>10089</v>
      </c>
      <c r="I1869" s="1" t="s">
        <v>140</v>
      </c>
      <c r="J1869" s="3">
        <v>45847.648032407407</v>
      </c>
      <c r="K1869" s="2" t="s">
        <v>10090</v>
      </c>
      <c r="L1869" s="1">
        <v>0</v>
      </c>
      <c r="M1869" s="1">
        <v>32</v>
      </c>
      <c r="N1869">
        <v>32</v>
      </c>
      <c r="O1869" s="3">
        <f>IF(
    R1869="Ancien",
    _xlfn.XLOOKUP(
        Final_Sans_VGE[[#This Row],[ppn_z]],
        tbl_Historique_Final[ppn_z],
        tbl_Historique_Final[Horodatage],
        ""
    ),
    Horodatage!$A$2
)</f>
        <v>46233.670796365739</v>
      </c>
      <c r="P1869" s="1" t="str">
        <f>IFERROR(IF(tbl_Historique_Final[[#This Row],[Commentaires]]&lt;&gt;"",tbl_Historique_Final[[#This Row],[Commentaires]],""),"")</f>
        <v/>
      </c>
      <c r="X1869" s="8" t="str">
        <f>IF(Final_Sans_VGE[[#This Row],[ppn_z]]="","",IFERROR(
   IF(_xlfn.XLOOKUP(Final_Sans_VGE[[#This Row],[ppn_z]],tbl_Historique_Final[ppn_z],tbl_Historique_Final[date_modif])=Final_Sans_VGE[[#This Row],[date_modif]],
      "Ancien",
      "Modifié"),
   "Nouveau"))</f>
        <v>Ancien</v>
      </c>
      <c r="AC1869"/>
      <c r="AD1869"/>
    </row>
    <row r="1870" spans="1:30" x14ac:dyDescent="0.25">
      <c r="A1870" s="5" t="s">
        <v>5771</v>
      </c>
      <c r="B1870" s="1" t="s">
        <v>10091</v>
      </c>
      <c r="C1870" s="1" t="s">
        <v>6735</v>
      </c>
      <c r="G1870" s="1" t="s">
        <v>10</v>
      </c>
      <c r="J1870" s="3">
        <v>45848.620636574073</v>
      </c>
      <c r="K1870" s="2" t="s">
        <v>10092</v>
      </c>
      <c r="L1870" s="1">
        <v>40</v>
      </c>
      <c r="M1870" s="1">
        <v>40</v>
      </c>
      <c r="N1870">
        <v>0</v>
      </c>
      <c r="O1870" s="3">
        <f>IF(
    R1870="Ancien",
    _xlfn.XLOOKUP(
        Final_Sans_VGE[[#This Row],[ppn_z]],
        tbl_Historique_Final[ppn_z],
        tbl_Historique_Final[Horodatage],
        ""
    ),
    Horodatage!$A$2
)</f>
        <v>46233.670796365739</v>
      </c>
      <c r="P1870" s="1" t="str">
        <f>IFERROR(IF(tbl_Historique_Final[[#This Row],[Commentaires]]&lt;&gt;"",tbl_Historique_Final[[#This Row],[Commentaires]],""),"")</f>
        <v/>
      </c>
      <c r="X1870" s="8" t="str">
        <f>IF(Final_Sans_VGE[[#This Row],[ppn_z]]="","",IFERROR(
   IF(_xlfn.XLOOKUP(Final_Sans_VGE[[#This Row],[ppn_z]],tbl_Historique_Final[ppn_z],tbl_Historique_Final[date_modif])=Final_Sans_VGE[[#This Row],[date_modif]],
      "Ancien",
      "Modifié"),
   "Nouveau"))</f>
        <v>Ancien</v>
      </c>
      <c r="AC1870"/>
      <c r="AD1870"/>
    </row>
    <row r="1871" spans="1:30" ht="30" x14ac:dyDescent="0.25">
      <c r="A1871" s="5" t="s">
        <v>5774</v>
      </c>
      <c r="B1871" s="1" t="s">
        <v>10093</v>
      </c>
      <c r="C1871" s="1" t="s">
        <v>12</v>
      </c>
      <c r="G1871" s="1" t="s">
        <v>11</v>
      </c>
      <c r="H1871" s="1" t="s">
        <v>22</v>
      </c>
      <c r="I1871" s="1" t="s">
        <v>22</v>
      </c>
      <c r="J1871" s="3">
        <v>45848.623252314814</v>
      </c>
      <c r="K1871" s="2" t="s">
        <v>10094</v>
      </c>
      <c r="L1871" s="1">
        <v>76</v>
      </c>
      <c r="M1871" s="1">
        <v>78</v>
      </c>
      <c r="N1871">
        <v>2</v>
      </c>
      <c r="O1871" s="3">
        <f>IF(
    R1871="Ancien",
    _xlfn.XLOOKUP(
        Final_Sans_VGE[[#This Row],[ppn_z]],
        tbl_Historique_Final[ppn_z],
        tbl_Historique_Final[Horodatage],
        ""
    ),
    Horodatage!$A$2
)</f>
        <v>46233.670796365739</v>
      </c>
      <c r="P1871" s="1" t="str">
        <f>IFERROR(IF(tbl_Historique_Final[[#This Row],[Commentaires]]&lt;&gt;"",tbl_Historique_Final[[#This Row],[Commentaires]],""),"")</f>
        <v/>
      </c>
      <c r="X1871" s="8" t="str">
        <f>IF(Final_Sans_VGE[[#This Row],[ppn_z]]="","",IFERROR(
   IF(_xlfn.XLOOKUP(Final_Sans_VGE[[#This Row],[ppn_z]],tbl_Historique_Final[ppn_z],tbl_Historique_Final[date_modif])=Final_Sans_VGE[[#This Row],[date_modif]],
      "Ancien",
      "Modifié"),
   "Nouveau"))</f>
        <v>Ancien</v>
      </c>
      <c r="AC1871"/>
      <c r="AD1871"/>
    </row>
    <row r="1872" spans="1:30" ht="45" x14ac:dyDescent="0.25">
      <c r="A1872" s="5" t="s">
        <v>5777</v>
      </c>
      <c r="B1872" s="1" t="s">
        <v>10095</v>
      </c>
      <c r="C1872" s="1" t="s">
        <v>12</v>
      </c>
      <c r="G1872" s="1" t="s">
        <v>11</v>
      </c>
      <c r="J1872" s="3">
        <v>45630.405011574076</v>
      </c>
      <c r="K1872" s="2" t="s">
        <v>10096</v>
      </c>
      <c r="L1872" s="1">
        <v>1</v>
      </c>
      <c r="M1872" s="1">
        <v>1</v>
      </c>
      <c r="N1872">
        <v>0</v>
      </c>
      <c r="O1872" s="3">
        <f>IF(
    R1872="Ancien",
    _xlfn.XLOOKUP(
        Final_Sans_VGE[[#This Row],[ppn_z]],
        tbl_Historique_Final[ppn_z],
        tbl_Historique_Final[Horodatage],
        ""
    ),
    Horodatage!$A$2
)</f>
        <v>46233.670796365739</v>
      </c>
      <c r="P1872" s="1" t="str">
        <f>IFERROR(IF(tbl_Historique_Final[[#This Row],[Commentaires]]&lt;&gt;"",tbl_Historique_Final[[#This Row],[Commentaires]],""),"")</f>
        <v/>
      </c>
      <c r="X1872" s="8" t="str">
        <f>IF(Final_Sans_VGE[[#This Row],[ppn_z]]="","",IFERROR(
   IF(_xlfn.XLOOKUP(Final_Sans_VGE[[#This Row],[ppn_z]],tbl_Historique_Final[ppn_z],tbl_Historique_Final[date_modif])=Final_Sans_VGE[[#This Row],[date_modif]],
      "Ancien",
      "Modifié"),
   "Nouveau"))</f>
        <v>Ancien</v>
      </c>
      <c r="AC1872"/>
      <c r="AD1872"/>
    </row>
    <row r="1873" spans="1:30" ht="30" x14ac:dyDescent="0.25">
      <c r="A1873" s="5" t="s">
        <v>5780</v>
      </c>
      <c r="B1873" s="1" t="s">
        <v>10097</v>
      </c>
      <c r="C1873" s="1" t="s">
        <v>6735</v>
      </c>
      <c r="D1873" s="1" t="s">
        <v>14</v>
      </c>
      <c r="G1873" s="1" t="s">
        <v>10</v>
      </c>
      <c r="H1873" s="1" t="s">
        <v>22</v>
      </c>
      <c r="I1873" s="1" t="s">
        <v>22</v>
      </c>
      <c r="J1873" s="3">
        <v>45883.407210648147</v>
      </c>
      <c r="K1873" s="2" t="s">
        <v>10098</v>
      </c>
      <c r="L1873" s="1">
        <v>71</v>
      </c>
      <c r="M1873" s="1">
        <v>83</v>
      </c>
      <c r="N1873">
        <v>12</v>
      </c>
      <c r="O1873" s="3">
        <f>IF(
    R1873="Ancien",
    _xlfn.XLOOKUP(
        Final_Sans_VGE[[#This Row],[ppn_z]],
        tbl_Historique_Final[ppn_z],
        tbl_Historique_Final[Horodatage],
        ""
    ),
    Horodatage!$A$2
)</f>
        <v>46233.670796365739</v>
      </c>
      <c r="P1873" s="1" t="str">
        <f>IFERROR(IF(tbl_Historique_Final[[#This Row],[Commentaires]]&lt;&gt;"",tbl_Historique_Final[[#This Row],[Commentaires]],""),"")</f>
        <v/>
      </c>
      <c r="X1873" s="8" t="str">
        <f>IF(Final_Sans_VGE[[#This Row],[ppn_z]]="","",IFERROR(
   IF(_xlfn.XLOOKUP(Final_Sans_VGE[[#This Row],[ppn_z]],tbl_Historique_Final[ppn_z],tbl_Historique_Final[date_modif])=Final_Sans_VGE[[#This Row],[date_modif]],
      "Ancien",
      "Modifié"),
   "Nouveau"))</f>
        <v>Ancien</v>
      </c>
      <c r="AC1873"/>
      <c r="AD1873"/>
    </row>
    <row r="1874" spans="1:30" ht="45" x14ac:dyDescent="0.25">
      <c r="A1874" s="5" t="s">
        <v>5783</v>
      </c>
      <c r="B1874" s="1" t="s">
        <v>10099</v>
      </c>
      <c r="C1874" s="1" t="s">
        <v>75</v>
      </c>
      <c r="D1874" s="1" t="s">
        <v>10100</v>
      </c>
      <c r="E1874" s="1" t="s">
        <v>108</v>
      </c>
      <c r="F1874" s="1" t="s">
        <v>10101</v>
      </c>
      <c r="G1874" s="1" t="s">
        <v>10</v>
      </c>
      <c r="H1874" s="1" t="s">
        <v>10102</v>
      </c>
      <c r="I1874" s="1" t="s">
        <v>8028</v>
      </c>
      <c r="J1874" s="3">
        <v>45886.344884259262</v>
      </c>
      <c r="K1874" s="2" t="s">
        <v>10103</v>
      </c>
      <c r="L1874" s="1">
        <v>22</v>
      </c>
      <c r="M1874" s="1">
        <v>41</v>
      </c>
      <c r="N1874">
        <v>19</v>
      </c>
      <c r="O1874" s="3">
        <f>IF(
    R1874="Ancien",
    _xlfn.XLOOKUP(
        Final_Sans_VGE[[#This Row],[ppn_z]],
        tbl_Historique_Final[ppn_z],
        tbl_Historique_Final[Horodatage],
        ""
    ),
    Horodatage!$A$2
)</f>
        <v>46233.670796365739</v>
      </c>
      <c r="P1874" s="1" t="str">
        <f>IFERROR(IF(tbl_Historique_Final[[#This Row],[Commentaires]]&lt;&gt;"",tbl_Historique_Final[[#This Row],[Commentaires]],""),"")</f>
        <v/>
      </c>
      <c r="X1874" s="8" t="str">
        <f>IF(Final_Sans_VGE[[#This Row],[ppn_z]]="","",IFERROR(
   IF(_xlfn.XLOOKUP(Final_Sans_VGE[[#This Row],[ppn_z]],tbl_Historique_Final[ppn_z],tbl_Historique_Final[date_modif])=Final_Sans_VGE[[#This Row],[date_modif]],
      "Ancien",
      "Modifié"),
   "Nouveau"))</f>
        <v>Ancien</v>
      </c>
      <c r="AC1874"/>
      <c r="AD1874"/>
    </row>
    <row r="1875" spans="1:30" x14ac:dyDescent="0.25">
      <c r="A1875" s="5" t="s">
        <v>5786</v>
      </c>
      <c r="B1875" s="1" t="s">
        <v>10104</v>
      </c>
      <c r="C1875" s="1" t="s">
        <v>55</v>
      </c>
      <c r="G1875" s="1" t="s">
        <v>10</v>
      </c>
      <c r="H1875" s="1" t="s">
        <v>140</v>
      </c>
      <c r="I1875" s="1" t="s">
        <v>22</v>
      </c>
      <c r="J1875" s="3">
        <v>45888.607175925928</v>
      </c>
      <c r="K1875" s="2" t="s">
        <v>10105</v>
      </c>
      <c r="L1875" s="1">
        <v>1</v>
      </c>
      <c r="M1875" s="1">
        <v>12</v>
      </c>
      <c r="N1875">
        <v>11</v>
      </c>
      <c r="O1875" s="3">
        <f>IF(
    R1875="Ancien",
    _xlfn.XLOOKUP(
        Final_Sans_VGE[[#This Row],[ppn_z]],
        tbl_Historique_Final[ppn_z],
        tbl_Historique_Final[Horodatage],
        ""
    ),
    Horodatage!$A$2
)</f>
        <v>46233.670796365739</v>
      </c>
      <c r="P1875" s="1" t="str">
        <f>IFERROR(IF(tbl_Historique_Final[[#This Row],[Commentaires]]&lt;&gt;"",tbl_Historique_Final[[#This Row],[Commentaires]],""),"")</f>
        <v/>
      </c>
      <c r="X1875" s="8" t="str">
        <f>IF(Final_Sans_VGE[[#This Row],[ppn_z]]="","",IFERROR(
   IF(_xlfn.XLOOKUP(Final_Sans_VGE[[#This Row],[ppn_z]],tbl_Historique_Final[ppn_z],tbl_Historique_Final[date_modif])=Final_Sans_VGE[[#This Row],[date_modif]],
      "Ancien",
      "Modifié"),
   "Nouveau"))</f>
        <v>Ancien</v>
      </c>
      <c r="AC1875"/>
      <c r="AD1875"/>
    </row>
    <row r="1876" spans="1:30" x14ac:dyDescent="0.25">
      <c r="A1876" s="5" t="s">
        <v>5789</v>
      </c>
      <c r="B1876" s="1" t="s">
        <v>10106</v>
      </c>
      <c r="C1876" s="1" t="s">
        <v>45</v>
      </c>
      <c r="G1876" s="1" t="s">
        <v>10</v>
      </c>
      <c r="J1876" s="3">
        <v>45890.648831018516</v>
      </c>
      <c r="K1876" s="2" t="s">
        <v>10107</v>
      </c>
      <c r="L1876" s="1">
        <v>2</v>
      </c>
      <c r="M1876" s="1">
        <v>5</v>
      </c>
      <c r="N1876">
        <v>3</v>
      </c>
      <c r="O1876" s="3">
        <f>IF(
    R1876="Ancien",
    _xlfn.XLOOKUP(
        Final_Sans_VGE[[#This Row],[ppn_z]],
        tbl_Historique_Final[ppn_z],
        tbl_Historique_Final[Horodatage],
        ""
    ),
    Horodatage!$A$2
)</f>
        <v>46233.670796365739</v>
      </c>
      <c r="P1876" s="1" t="str">
        <f>IFERROR(IF(tbl_Historique_Final[[#This Row],[Commentaires]]&lt;&gt;"",tbl_Historique_Final[[#This Row],[Commentaires]],""),"")</f>
        <v/>
      </c>
      <c r="X1876" s="8" t="str">
        <f>IF(Final_Sans_VGE[[#This Row],[ppn_z]]="","",IFERROR(
   IF(_xlfn.XLOOKUP(Final_Sans_VGE[[#This Row],[ppn_z]],tbl_Historique_Final[ppn_z],tbl_Historique_Final[date_modif])=Final_Sans_VGE[[#This Row],[date_modif]],
      "Ancien",
      "Modifié"),
   "Nouveau"))</f>
        <v>Ancien</v>
      </c>
      <c r="AC1876"/>
      <c r="AD1876"/>
    </row>
    <row r="1877" spans="1:30" ht="60" x14ac:dyDescent="0.25">
      <c r="A1877" s="5" t="s">
        <v>5795</v>
      </c>
      <c r="B1877" s="1" t="s">
        <v>10113</v>
      </c>
      <c r="G1877" s="1" t="s">
        <v>11</v>
      </c>
      <c r="J1877" s="3">
        <v>46210.548171296294</v>
      </c>
      <c r="K1877" s="2" t="s">
        <v>10114</v>
      </c>
      <c r="L1877" s="1">
        <v>2</v>
      </c>
      <c r="M1877" s="1">
        <v>2</v>
      </c>
      <c r="N1877">
        <v>0</v>
      </c>
      <c r="O1877" s="3">
        <f>IF(
    R1877="Ancien",
    _xlfn.XLOOKUP(
        Final_Sans_VGE[[#This Row],[ppn_z]],
        tbl_Historique_Final[ppn_z],
        tbl_Historique_Final[Horodatage],
        ""
    ),
    Horodatage!$A$2
)</f>
        <v>46233.670796365739</v>
      </c>
      <c r="P1877" s="1" t="str">
        <f>IFERROR(IF(tbl_Historique_Final[[#This Row],[Commentaires]]&lt;&gt;"",tbl_Historique_Final[[#This Row],[Commentaires]],""),"")</f>
        <v/>
      </c>
      <c r="X1877" s="8" t="str">
        <f>IF(Final_Sans_VGE[[#This Row],[ppn_z]]="","",IFERROR(
   IF(_xlfn.XLOOKUP(Final_Sans_VGE[[#This Row],[ppn_z]],tbl_Historique_Final[ppn_z],tbl_Historique_Final[date_modif])=Final_Sans_VGE[[#This Row],[date_modif]],
      "Ancien",
      "Modifié"),
   "Nouveau"))</f>
        <v>Ancien</v>
      </c>
      <c r="AC1877"/>
      <c r="AD1877"/>
    </row>
    <row r="1878" spans="1:30" ht="30" x14ac:dyDescent="0.25">
      <c r="A1878" s="5" t="s">
        <v>5792</v>
      </c>
      <c r="B1878" s="1" t="s">
        <v>10108</v>
      </c>
      <c r="C1878" s="1" t="s">
        <v>6735</v>
      </c>
      <c r="D1878" s="1" t="s">
        <v>10109</v>
      </c>
      <c r="E1878" s="1" t="s">
        <v>117</v>
      </c>
      <c r="F1878" s="1" t="s">
        <v>14</v>
      </c>
      <c r="G1878" s="1" t="s">
        <v>10</v>
      </c>
      <c r="H1878" s="1" t="s">
        <v>10110</v>
      </c>
      <c r="I1878" s="1" t="s">
        <v>10111</v>
      </c>
      <c r="J1878" s="3">
        <v>45900.348043981481</v>
      </c>
      <c r="K1878" s="2" t="s">
        <v>10112</v>
      </c>
      <c r="L1878" s="1">
        <v>66</v>
      </c>
      <c r="M1878" s="1">
        <v>70</v>
      </c>
      <c r="N1878">
        <v>4</v>
      </c>
      <c r="O1878" s="3">
        <f>IF(
    R1878="Ancien",
    _xlfn.XLOOKUP(
        Final_Sans_VGE[[#This Row],[ppn_z]],
        tbl_Historique_Final[ppn_z],
        tbl_Historique_Final[Horodatage],
        ""
    ),
    Horodatage!$A$2
)</f>
        <v>46233.670796365739</v>
      </c>
      <c r="P1878" s="1" t="str">
        <f>IFERROR(IF(tbl_Historique_Final[[#This Row],[Commentaires]]&lt;&gt;"",tbl_Historique_Final[[#This Row],[Commentaires]],""),"")</f>
        <v/>
      </c>
      <c r="X1878" s="8" t="str">
        <f>IF(Final_Sans_VGE[[#This Row],[ppn_z]]="","",IFERROR(
   IF(_xlfn.XLOOKUP(Final_Sans_VGE[[#This Row],[ppn_z]],tbl_Historique_Final[ppn_z],tbl_Historique_Final[date_modif])=Final_Sans_VGE[[#This Row],[date_modif]],
      "Ancien",
      "Modifié"),
   "Nouveau"))</f>
        <v>Ancien</v>
      </c>
      <c r="AC1878"/>
      <c r="AD1878"/>
    </row>
    <row r="1879" spans="1:30" ht="30" x14ac:dyDescent="0.25">
      <c r="A1879" s="5" t="s">
        <v>5798</v>
      </c>
      <c r="B1879" s="1" t="s">
        <v>10115</v>
      </c>
      <c r="C1879" s="1" t="s">
        <v>86</v>
      </c>
      <c r="D1879" s="1" t="s">
        <v>133</v>
      </c>
      <c r="G1879" s="1" t="s">
        <v>10</v>
      </c>
      <c r="H1879" s="1" t="s">
        <v>22</v>
      </c>
      <c r="I1879" s="1" t="s">
        <v>22</v>
      </c>
      <c r="J1879" s="3">
        <v>45902.693819444445</v>
      </c>
      <c r="K1879" s="2" t="s">
        <v>10116</v>
      </c>
      <c r="L1879" s="1">
        <v>20</v>
      </c>
      <c r="M1879" s="1">
        <v>64</v>
      </c>
      <c r="N1879">
        <v>44</v>
      </c>
      <c r="O1879" s="3">
        <f>IF(
    R1879="Ancien",
    _xlfn.XLOOKUP(
        Final_Sans_VGE[[#This Row],[ppn_z]],
        tbl_Historique_Final[ppn_z],
        tbl_Historique_Final[Horodatage],
        ""
    ),
    Horodatage!$A$2
)</f>
        <v>46233.670796365739</v>
      </c>
      <c r="P1879" s="1" t="str">
        <f>IFERROR(IF(tbl_Historique_Final[[#This Row],[Commentaires]]&lt;&gt;"",tbl_Historique_Final[[#This Row],[Commentaires]],""),"")</f>
        <v/>
      </c>
      <c r="X1879" s="8" t="str">
        <f>IF(Final_Sans_VGE[[#This Row],[ppn_z]]="","",IFERROR(
   IF(_xlfn.XLOOKUP(Final_Sans_VGE[[#This Row],[ppn_z]],tbl_Historique_Final[ppn_z],tbl_Historique_Final[date_modif])=Final_Sans_VGE[[#This Row],[date_modif]],
      "Ancien",
      "Modifié"),
   "Nouveau"))</f>
        <v>Ancien</v>
      </c>
      <c r="AC1879"/>
      <c r="AD1879"/>
    </row>
    <row r="1880" spans="1:30" ht="90" x14ac:dyDescent="0.25">
      <c r="A1880" s="5" t="s">
        <v>5801</v>
      </c>
      <c r="B1880" s="1" t="s">
        <v>10117</v>
      </c>
      <c r="C1880" s="1" t="s">
        <v>71</v>
      </c>
      <c r="D1880" s="1" t="s">
        <v>14</v>
      </c>
      <c r="G1880" s="1" t="s">
        <v>10</v>
      </c>
      <c r="H1880" s="1" t="s">
        <v>140</v>
      </c>
      <c r="I1880" s="1" t="s">
        <v>10526</v>
      </c>
      <c r="J1880" s="3">
        <v>45902.693807870368</v>
      </c>
      <c r="K1880" s="2" t="s">
        <v>10119</v>
      </c>
      <c r="L1880" s="1">
        <v>32</v>
      </c>
      <c r="M1880" s="1">
        <v>50</v>
      </c>
      <c r="N1880">
        <v>18</v>
      </c>
      <c r="O1880" s="3">
        <f>IF(
    R1880="Ancien",
    _xlfn.XLOOKUP(
        Final_Sans_VGE[[#This Row],[ppn_z]],
        tbl_Historique_Final[ppn_z],
        tbl_Historique_Final[Horodatage],
        ""
    ),
    Horodatage!$A$2
)</f>
        <v>46233.670796365739</v>
      </c>
      <c r="P1880" s="1" t="str">
        <f>IFERROR(IF(tbl_Historique_Final[[#This Row],[Commentaires]]&lt;&gt;"",tbl_Historique_Final[[#This Row],[Commentaires]],""),"")</f>
        <v/>
      </c>
      <c r="X1880" s="8" t="str">
        <f>IF(Final_Sans_VGE[[#This Row],[ppn_z]]="","",IFERROR(
   IF(_xlfn.XLOOKUP(Final_Sans_VGE[[#This Row],[ppn_z]],tbl_Historique_Final[ppn_z],tbl_Historique_Final[date_modif])=Final_Sans_VGE[[#This Row],[date_modif]],
      "Ancien",
      "Modifié"),
   "Nouveau"))</f>
        <v>Ancien</v>
      </c>
      <c r="AC1880"/>
      <c r="AD1880"/>
    </row>
    <row r="1881" spans="1:30" x14ac:dyDescent="0.25">
      <c r="A1881" s="5" t="s">
        <v>5804</v>
      </c>
      <c r="B1881" s="1" t="s">
        <v>10120</v>
      </c>
      <c r="C1881" s="1" t="s">
        <v>56</v>
      </c>
      <c r="J1881" s="3">
        <v>45905.337071759262</v>
      </c>
      <c r="K1881" s="2" t="s">
        <v>10121</v>
      </c>
      <c r="L1881" s="1">
        <v>32</v>
      </c>
      <c r="M1881" s="1">
        <v>53</v>
      </c>
      <c r="N1881">
        <v>21</v>
      </c>
      <c r="O1881" s="3">
        <f>IF(
    R1881="Ancien",
    _xlfn.XLOOKUP(
        Final_Sans_VGE[[#This Row],[ppn_z]],
        tbl_Historique_Final[ppn_z],
        tbl_Historique_Final[Horodatage],
        ""
    ),
    Horodatage!$A$2
)</f>
        <v>46233.670796365739</v>
      </c>
      <c r="P1881" s="1" t="str">
        <f>IFERROR(IF(tbl_Historique_Final[[#This Row],[Commentaires]]&lt;&gt;"",tbl_Historique_Final[[#This Row],[Commentaires]],""),"")</f>
        <v/>
      </c>
      <c r="X1881" s="8" t="str">
        <f>IF(Final_Sans_VGE[[#This Row],[ppn_z]]="","",IFERROR(
   IF(_xlfn.XLOOKUP(Final_Sans_VGE[[#This Row],[ppn_z]],tbl_Historique_Final[ppn_z],tbl_Historique_Final[date_modif])=Final_Sans_VGE[[#This Row],[date_modif]],
      "Ancien",
      "Modifié"),
   "Nouveau"))</f>
        <v>Ancien</v>
      </c>
      <c r="AC1881"/>
      <c r="AD1881"/>
    </row>
    <row r="1882" spans="1:30" x14ac:dyDescent="0.25">
      <c r="A1882" s="5" t="s">
        <v>5807</v>
      </c>
      <c r="B1882" s="1" t="s">
        <v>10122</v>
      </c>
      <c r="C1882" s="1" t="s">
        <v>90</v>
      </c>
      <c r="D1882" s="1" t="s">
        <v>10123</v>
      </c>
      <c r="H1882" s="1" t="s">
        <v>140</v>
      </c>
      <c r="I1882" s="1" t="s">
        <v>22</v>
      </c>
      <c r="J1882" s="3">
        <v>45909.326851851853</v>
      </c>
      <c r="K1882" s="2" t="s">
        <v>10124</v>
      </c>
      <c r="L1882" s="1">
        <v>45</v>
      </c>
      <c r="M1882" s="1">
        <v>47</v>
      </c>
      <c r="N1882">
        <v>2</v>
      </c>
      <c r="O1882" s="3">
        <f>IF(
    R1882="Ancien",
    _xlfn.XLOOKUP(
        Final_Sans_VGE[[#This Row],[ppn_z]],
        tbl_Historique_Final[ppn_z],
        tbl_Historique_Final[Horodatage],
        ""
    ),
    Horodatage!$A$2
)</f>
        <v>46233.670796365739</v>
      </c>
      <c r="P1882" s="1" t="str">
        <f>IFERROR(IF(tbl_Historique_Final[[#This Row],[Commentaires]]&lt;&gt;"",tbl_Historique_Final[[#This Row],[Commentaires]],""),"")</f>
        <v/>
      </c>
      <c r="X1882" s="8" t="str">
        <f>IF(Final_Sans_VGE[[#This Row],[ppn_z]]="","",IFERROR(
   IF(_xlfn.XLOOKUP(Final_Sans_VGE[[#This Row],[ppn_z]],tbl_Historique_Final[ppn_z],tbl_Historique_Final[date_modif])=Final_Sans_VGE[[#This Row],[date_modif]],
      "Ancien",
      "Modifié"),
   "Nouveau"))</f>
        <v>Ancien</v>
      </c>
      <c r="AC1882"/>
      <c r="AD1882"/>
    </row>
    <row r="1883" spans="1:30" x14ac:dyDescent="0.25">
      <c r="A1883" s="5" t="s">
        <v>5810</v>
      </c>
      <c r="B1883" s="1" t="s">
        <v>10125</v>
      </c>
      <c r="C1883" s="1" t="s">
        <v>12</v>
      </c>
      <c r="G1883" s="1" t="s">
        <v>10</v>
      </c>
      <c r="J1883" s="3">
        <v>45915.569120370368</v>
      </c>
      <c r="L1883" s="1">
        <v>12</v>
      </c>
      <c r="M1883" s="1">
        <v>12</v>
      </c>
      <c r="N1883">
        <v>0</v>
      </c>
      <c r="O1883" s="3">
        <f>IF(
    R1883="Ancien",
    _xlfn.XLOOKUP(
        Final_Sans_VGE[[#This Row],[ppn_z]],
        tbl_Historique_Final[ppn_z],
        tbl_Historique_Final[Horodatage],
        ""
    ),
    Horodatage!$A$2
)</f>
        <v>46233.670796365739</v>
      </c>
      <c r="P1883" s="1" t="str">
        <f>IFERROR(IF(tbl_Historique_Final[[#This Row],[Commentaires]]&lt;&gt;"",tbl_Historique_Final[[#This Row],[Commentaires]],""),"")</f>
        <v/>
      </c>
      <c r="X1883" s="8" t="str">
        <f>IF(Final_Sans_VGE[[#This Row],[ppn_z]]="","",IFERROR(
   IF(_xlfn.XLOOKUP(Final_Sans_VGE[[#This Row],[ppn_z]],tbl_Historique_Final[ppn_z],tbl_Historique_Final[date_modif])=Final_Sans_VGE[[#This Row],[date_modif]],
      "Ancien",
      "Modifié"),
   "Nouveau"))</f>
        <v>Ancien</v>
      </c>
      <c r="AC1883"/>
      <c r="AD1883"/>
    </row>
    <row r="1884" spans="1:30" ht="30" x14ac:dyDescent="0.25">
      <c r="A1884" s="5" t="s">
        <v>5813</v>
      </c>
      <c r="B1884" s="1" t="s">
        <v>10126</v>
      </c>
      <c r="C1884" s="1" t="s">
        <v>12</v>
      </c>
      <c r="G1884" s="1" t="s">
        <v>11</v>
      </c>
      <c r="J1884" s="3">
        <v>45915.572002314817</v>
      </c>
      <c r="K1884" s="2" t="s">
        <v>10127</v>
      </c>
      <c r="L1884" s="1">
        <v>6</v>
      </c>
      <c r="M1884" s="1">
        <v>10</v>
      </c>
      <c r="N1884">
        <v>4</v>
      </c>
      <c r="O1884" s="3">
        <f>IF(
    R1884="Ancien",
    _xlfn.XLOOKUP(
        Final_Sans_VGE[[#This Row],[ppn_z]],
        tbl_Historique_Final[ppn_z],
        tbl_Historique_Final[Horodatage],
        ""
    ),
    Horodatage!$A$2
)</f>
        <v>46233.670796365739</v>
      </c>
      <c r="P1884" s="1" t="str">
        <f>IFERROR(IF(tbl_Historique_Final[[#This Row],[Commentaires]]&lt;&gt;"",tbl_Historique_Final[[#This Row],[Commentaires]],""),"")</f>
        <v/>
      </c>
      <c r="X1884" s="8" t="str">
        <f>IF(Final_Sans_VGE[[#This Row],[ppn_z]]="","",IFERROR(
   IF(_xlfn.XLOOKUP(Final_Sans_VGE[[#This Row],[ppn_z]],tbl_Historique_Final[ppn_z],tbl_Historique_Final[date_modif])=Final_Sans_VGE[[#This Row],[date_modif]],
      "Ancien",
      "Modifié"),
   "Nouveau"))</f>
        <v>Ancien</v>
      </c>
      <c r="AC1884"/>
      <c r="AD1884"/>
    </row>
    <row r="1885" spans="1:30" ht="30" x14ac:dyDescent="0.25">
      <c r="A1885" s="5" t="s">
        <v>5816</v>
      </c>
      <c r="B1885" s="1" t="s">
        <v>10128</v>
      </c>
      <c r="C1885" s="1" t="s">
        <v>71</v>
      </c>
      <c r="G1885" s="1" t="s">
        <v>11</v>
      </c>
      <c r="H1885" s="1" t="s">
        <v>22</v>
      </c>
      <c r="I1885" s="1" t="s">
        <v>140</v>
      </c>
      <c r="J1885" s="3">
        <v>45939.799375000002</v>
      </c>
      <c r="K1885" s="2" t="s">
        <v>10129</v>
      </c>
      <c r="L1885" s="1">
        <v>4</v>
      </c>
      <c r="M1885" s="1">
        <v>6</v>
      </c>
      <c r="N1885">
        <v>2</v>
      </c>
      <c r="O1885" s="3">
        <f>IF(
    R1885="Ancien",
    _xlfn.XLOOKUP(
        Final_Sans_VGE[[#This Row],[ppn_z]],
        tbl_Historique_Final[ppn_z],
        tbl_Historique_Final[Horodatage],
        ""
    ),
    Horodatage!$A$2
)</f>
        <v>46233.670796365739</v>
      </c>
      <c r="P1885" s="1" t="str">
        <f>IFERROR(IF(tbl_Historique_Final[[#This Row],[Commentaires]]&lt;&gt;"",tbl_Historique_Final[[#This Row],[Commentaires]],""),"")</f>
        <v/>
      </c>
      <c r="X1885" s="8" t="str">
        <f>IF(Final_Sans_VGE[[#This Row],[ppn_z]]="","",IFERROR(
   IF(_xlfn.XLOOKUP(Final_Sans_VGE[[#This Row],[ppn_z]],tbl_Historique_Final[ppn_z],tbl_Historique_Final[date_modif])=Final_Sans_VGE[[#This Row],[date_modif]],
      "Ancien",
      "Modifié"),
   "Nouveau"))</f>
        <v>Ancien</v>
      </c>
      <c r="AC1885"/>
      <c r="AD1885"/>
    </row>
    <row r="1886" spans="1:30" x14ac:dyDescent="0.25">
      <c r="A1886" s="5" t="s">
        <v>5819</v>
      </c>
      <c r="B1886" s="1" t="s">
        <v>10130</v>
      </c>
      <c r="C1886" s="1" t="s">
        <v>86</v>
      </c>
      <c r="H1886" s="1" t="s">
        <v>22</v>
      </c>
      <c r="I1886" s="1" t="s">
        <v>22</v>
      </c>
      <c r="J1886" s="3">
        <v>45985.836469907408</v>
      </c>
      <c r="K1886" s="2" t="s">
        <v>10131</v>
      </c>
      <c r="L1886" s="1">
        <v>8</v>
      </c>
      <c r="M1886" s="1">
        <v>50</v>
      </c>
      <c r="N1886">
        <v>42</v>
      </c>
      <c r="O1886" s="3">
        <f>IF(
    R1886="Ancien",
    _xlfn.XLOOKUP(
        Final_Sans_VGE[[#This Row],[ppn_z]],
        tbl_Historique_Final[ppn_z],
        tbl_Historique_Final[Horodatage],
        ""
    ),
    Horodatage!$A$2
)</f>
        <v>46233.670796365739</v>
      </c>
      <c r="P1886" s="1" t="str">
        <f>IFERROR(IF(tbl_Historique_Final[[#This Row],[Commentaires]]&lt;&gt;"",tbl_Historique_Final[[#This Row],[Commentaires]],""),"")</f>
        <v/>
      </c>
      <c r="X1886" s="8" t="str">
        <f>IF(Final_Sans_VGE[[#This Row],[ppn_z]]="","",IFERROR(
   IF(_xlfn.XLOOKUP(Final_Sans_VGE[[#This Row],[ppn_z]],tbl_Historique_Final[ppn_z],tbl_Historique_Final[date_modif])=Final_Sans_VGE[[#This Row],[date_modif]],
      "Ancien",
      "Modifié"),
   "Nouveau"))</f>
        <v>Ancien</v>
      </c>
      <c r="AC1886"/>
      <c r="AD1886"/>
    </row>
    <row r="1887" spans="1:30" ht="30" x14ac:dyDescent="0.25">
      <c r="A1887" s="5" t="s">
        <v>5822</v>
      </c>
      <c r="B1887" s="1" t="s">
        <v>10132</v>
      </c>
      <c r="C1887" s="1" t="s">
        <v>9784</v>
      </c>
      <c r="E1887" s="1" t="s">
        <v>6355</v>
      </c>
      <c r="G1887" s="1" t="s">
        <v>11</v>
      </c>
      <c r="J1887" s="3">
        <v>45988.552314814813</v>
      </c>
      <c r="K1887" s="2" t="s">
        <v>10133</v>
      </c>
      <c r="L1887" s="1">
        <v>7</v>
      </c>
      <c r="M1887" s="1">
        <v>7</v>
      </c>
      <c r="N1887">
        <v>0</v>
      </c>
      <c r="O1887" s="3">
        <f>IF(
    R1887="Ancien",
    _xlfn.XLOOKUP(
        Final_Sans_VGE[[#This Row],[ppn_z]],
        tbl_Historique_Final[ppn_z],
        tbl_Historique_Final[Horodatage],
        ""
    ),
    Horodatage!$A$2
)</f>
        <v>46233.670796365739</v>
      </c>
      <c r="P1887" s="1" t="str">
        <f>IFERROR(IF(tbl_Historique_Final[[#This Row],[Commentaires]]&lt;&gt;"",tbl_Historique_Final[[#This Row],[Commentaires]],""),"")</f>
        <v/>
      </c>
      <c r="X1887" s="8" t="str">
        <f>IF(Final_Sans_VGE[[#This Row],[ppn_z]]="","",IFERROR(
   IF(_xlfn.XLOOKUP(Final_Sans_VGE[[#This Row],[ppn_z]],tbl_Historique_Final[ppn_z],tbl_Historique_Final[date_modif])=Final_Sans_VGE[[#This Row],[date_modif]],
      "Ancien",
      "Modifié"),
   "Nouveau"))</f>
        <v>Ancien</v>
      </c>
      <c r="AC1887"/>
      <c r="AD1887"/>
    </row>
    <row r="1888" spans="1:30" ht="60" x14ac:dyDescent="0.25">
      <c r="A1888" s="5" t="s">
        <v>5825</v>
      </c>
      <c r="B1888" s="1" t="s">
        <v>10134</v>
      </c>
      <c r="C1888" s="1" t="s">
        <v>65</v>
      </c>
      <c r="G1888" s="1" t="s">
        <v>10</v>
      </c>
      <c r="H1888" s="1" t="s">
        <v>10135</v>
      </c>
      <c r="I1888" s="1" t="s">
        <v>10527</v>
      </c>
      <c r="J1888" s="3">
        <v>45988.907592592594</v>
      </c>
      <c r="K1888" s="2" t="s">
        <v>10136</v>
      </c>
      <c r="L1888" s="1">
        <v>5</v>
      </c>
      <c r="M1888" s="1">
        <v>30</v>
      </c>
      <c r="N1888">
        <v>25</v>
      </c>
      <c r="O1888" s="3">
        <f>IF(
    R1888="Ancien",
    _xlfn.XLOOKUP(
        Final_Sans_VGE[[#This Row],[ppn_z]],
        tbl_Historique_Final[ppn_z],
        tbl_Historique_Final[Horodatage],
        ""
    ),
    Horodatage!$A$2
)</f>
        <v>46233.670796365739</v>
      </c>
      <c r="P1888" s="1" t="str">
        <f>IFERROR(IF(tbl_Historique_Final[[#This Row],[Commentaires]]&lt;&gt;"",tbl_Historique_Final[[#This Row],[Commentaires]],""),"")</f>
        <v/>
      </c>
      <c r="X1888" s="8" t="str">
        <f>IF(Final_Sans_VGE[[#This Row],[ppn_z]]="","",IFERROR(
   IF(_xlfn.XLOOKUP(Final_Sans_VGE[[#This Row],[ppn_z]],tbl_Historique_Final[ppn_z],tbl_Historique_Final[date_modif])=Final_Sans_VGE[[#This Row],[date_modif]],
      "Ancien",
      "Modifié"),
   "Nouveau"))</f>
        <v>Ancien</v>
      </c>
      <c r="AC1888"/>
      <c r="AD1888"/>
    </row>
    <row r="1889" spans="1:30" ht="45" x14ac:dyDescent="0.25">
      <c r="A1889" s="5" t="s">
        <v>5828</v>
      </c>
      <c r="B1889" s="1" t="s">
        <v>10137</v>
      </c>
      <c r="C1889" s="1" t="s">
        <v>7090</v>
      </c>
      <c r="J1889" s="3">
        <v>45995.669131944444</v>
      </c>
      <c r="K1889" s="2" t="s">
        <v>10138</v>
      </c>
      <c r="L1889" s="1">
        <v>8</v>
      </c>
      <c r="M1889" s="1">
        <v>9</v>
      </c>
      <c r="N1889">
        <v>1</v>
      </c>
      <c r="O1889" s="3">
        <f>IF(
    R1889="Ancien",
    _xlfn.XLOOKUP(
        Final_Sans_VGE[[#This Row],[ppn_z]],
        tbl_Historique_Final[ppn_z],
        tbl_Historique_Final[Horodatage],
        ""
    ),
    Horodatage!$A$2
)</f>
        <v>46233.670796365739</v>
      </c>
      <c r="P1889" s="1" t="str">
        <f>IFERROR(IF(tbl_Historique_Final[[#This Row],[Commentaires]]&lt;&gt;"",tbl_Historique_Final[[#This Row],[Commentaires]],""),"")</f>
        <v/>
      </c>
      <c r="X1889" s="8" t="str">
        <f>IF(Final_Sans_VGE[[#This Row],[ppn_z]]="","",IFERROR(
   IF(_xlfn.XLOOKUP(Final_Sans_VGE[[#This Row],[ppn_z]],tbl_Historique_Final[ppn_z],tbl_Historique_Final[date_modif])=Final_Sans_VGE[[#This Row],[date_modif]],
      "Ancien",
      "Modifié"),
   "Nouveau"))</f>
        <v>Ancien</v>
      </c>
      <c r="AC1889"/>
      <c r="AD1889"/>
    </row>
    <row r="1890" spans="1:30" ht="75" x14ac:dyDescent="0.25">
      <c r="A1890" s="5" t="s">
        <v>5831</v>
      </c>
      <c r="B1890" s="1" t="s">
        <v>10139</v>
      </c>
      <c r="C1890" s="1" t="s">
        <v>77</v>
      </c>
      <c r="G1890" s="1" t="s">
        <v>10</v>
      </c>
      <c r="H1890" s="1" t="s">
        <v>22</v>
      </c>
      <c r="I1890" s="1" t="s">
        <v>22</v>
      </c>
      <c r="J1890" s="3">
        <v>46004.882627314815</v>
      </c>
      <c r="K1890" s="2" t="s">
        <v>10140</v>
      </c>
      <c r="L1890" s="1">
        <v>10</v>
      </c>
      <c r="M1890" s="1">
        <v>15</v>
      </c>
      <c r="N1890">
        <v>5</v>
      </c>
      <c r="O1890" s="3">
        <f>IF(
    R1890="Ancien",
    _xlfn.XLOOKUP(
        Final_Sans_VGE[[#This Row],[ppn_z]],
        tbl_Historique_Final[ppn_z],
        tbl_Historique_Final[Horodatage],
        ""
    ),
    Horodatage!$A$2
)</f>
        <v>46233.670796365739</v>
      </c>
      <c r="P1890" s="1" t="str">
        <f>IFERROR(IF(tbl_Historique_Final[[#This Row],[Commentaires]]&lt;&gt;"",tbl_Historique_Final[[#This Row],[Commentaires]],""),"")</f>
        <v/>
      </c>
      <c r="X1890" s="8" t="str">
        <f>IF(Final_Sans_VGE[[#This Row],[ppn_z]]="","",IFERROR(
   IF(_xlfn.XLOOKUP(Final_Sans_VGE[[#This Row],[ppn_z]],tbl_Historique_Final[ppn_z],tbl_Historique_Final[date_modif])=Final_Sans_VGE[[#This Row],[date_modif]],
      "Ancien",
      "Modifié"),
   "Nouveau"))</f>
        <v>Ancien</v>
      </c>
      <c r="AC1890"/>
      <c r="AD1890"/>
    </row>
    <row r="1891" spans="1:30" ht="90" x14ac:dyDescent="0.25">
      <c r="A1891" s="5" t="s">
        <v>5834</v>
      </c>
      <c r="B1891" s="1" t="s">
        <v>10141</v>
      </c>
      <c r="C1891" s="1" t="s">
        <v>7291</v>
      </c>
      <c r="D1891" s="1" t="s">
        <v>14</v>
      </c>
      <c r="G1891" s="1" t="s">
        <v>11</v>
      </c>
      <c r="H1891" s="1" t="s">
        <v>22</v>
      </c>
      <c r="I1891" s="1" t="s">
        <v>22</v>
      </c>
      <c r="J1891" s="3">
        <v>46004.894293981481</v>
      </c>
      <c r="K1891" s="2" t="s">
        <v>10142</v>
      </c>
      <c r="L1891" s="1">
        <v>37</v>
      </c>
      <c r="M1891" s="1">
        <v>58</v>
      </c>
      <c r="N1891">
        <v>21</v>
      </c>
      <c r="O1891" s="3">
        <f>IF(
    R1891="Ancien",
    _xlfn.XLOOKUP(
        Final_Sans_VGE[[#This Row],[ppn_z]],
        tbl_Historique_Final[ppn_z],
        tbl_Historique_Final[Horodatage],
        ""
    ),
    Horodatage!$A$2
)</f>
        <v>46233.670796365739</v>
      </c>
      <c r="P1891" s="1" t="str">
        <f>IFERROR(IF(tbl_Historique_Final[[#This Row],[Commentaires]]&lt;&gt;"",tbl_Historique_Final[[#This Row],[Commentaires]],""),"")</f>
        <v/>
      </c>
      <c r="X1891" s="8" t="str">
        <f>IF(Final_Sans_VGE[[#This Row],[ppn_z]]="","",IFERROR(
   IF(_xlfn.XLOOKUP(Final_Sans_VGE[[#This Row],[ppn_z]],tbl_Historique_Final[ppn_z],tbl_Historique_Final[date_modif])=Final_Sans_VGE[[#This Row],[date_modif]],
      "Ancien",
      "Modifié"),
   "Nouveau"))</f>
        <v>Ancien</v>
      </c>
      <c r="AC1891"/>
      <c r="AD1891"/>
    </row>
    <row r="1892" spans="1:30" x14ac:dyDescent="0.25">
      <c r="A1892" s="5" t="s">
        <v>5837</v>
      </c>
      <c r="B1892" s="1" t="s">
        <v>10143</v>
      </c>
      <c r="C1892" s="1" t="s">
        <v>7291</v>
      </c>
      <c r="G1892" s="1" t="s">
        <v>10</v>
      </c>
      <c r="H1892" s="1" t="s">
        <v>9838</v>
      </c>
      <c r="I1892" s="1" t="s">
        <v>140</v>
      </c>
      <c r="J1892" s="3">
        <v>46028.471342592595</v>
      </c>
      <c r="K1892" s="2" t="s">
        <v>10144</v>
      </c>
      <c r="L1892" s="1">
        <v>53</v>
      </c>
      <c r="M1892" s="1">
        <v>126</v>
      </c>
      <c r="N1892">
        <v>73</v>
      </c>
      <c r="O1892" s="3">
        <f>IF(
    R1892="Ancien",
    _xlfn.XLOOKUP(
        Final_Sans_VGE[[#This Row],[ppn_z]],
        tbl_Historique_Final[ppn_z],
        tbl_Historique_Final[Horodatage],
        ""
    ),
    Horodatage!$A$2
)</f>
        <v>46233.670796365739</v>
      </c>
      <c r="P1892" s="1" t="str">
        <f>IFERROR(IF(tbl_Historique_Final[[#This Row],[Commentaires]]&lt;&gt;"",tbl_Historique_Final[[#This Row],[Commentaires]],""),"")</f>
        <v/>
      </c>
      <c r="X1892" s="8" t="str">
        <f>IF(Final_Sans_VGE[[#This Row],[ppn_z]]="","",IFERROR(
   IF(_xlfn.XLOOKUP(Final_Sans_VGE[[#This Row],[ppn_z]],tbl_Historique_Final[ppn_z],tbl_Historique_Final[date_modif])=Final_Sans_VGE[[#This Row],[date_modif]],
      "Ancien",
      "Modifié"),
   "Nouveau"))</f>
        <v>Ancien</v>
      </c>
      <c r="AC1892"/>
      <c r="AD1892"/>
    </row>
    <row r="1893" spans="1:30" x14ac:dyDescent="0.25">
      <c r="A1893" s="5" t="s">
        <v>5843</v>
      </c>
      <c r="B1893" s="1" t="s">
        <v>10147</v>
      </c>
      <c r="J1893" s="3">
        <v>46216.704884259256</v>
      </c>
      <c r="L1893" s="1">
        <v>17</v>
      </c>
      <c r="M1893" s="1">
        <v>18</v>
      </c>
      <c r="N1893">
        <v>1</v>
      </c>
      <c r="O1893" s="3">
        <f>IF(
    R1893="Ancien",
    _xlfn.XLOOKUP(
        Final_Sans_VGE[[#This Row],[ppn_z]],
        tbl_Historique_Final[ppn_z],
        tbl_Historique_Final[Horodatage],
        ""
    ),
    Horodatage!$A$2
)</f>
        <v>46233.670796365739</v>
      </c>
      <c r="P1893" s="1" t="str">
        <f>IFERROR(IF(tbl_Historique_Final[[#This Row],[Commentaires]]&lt;&gt;"",tbl_Historique_Final[[#This Row],[Commentaires]],""),"")</f>
        <v/>
      </c>
      <c r="X1893" s="8" t="str">
        <f>IF(Final_Sans_VGE[[#This Row],[ppn_z]]="","",IFERROR(
   IF(_xlfn.XLOOKUP(Final_Sans_VGE[[#This Row],[ppn_z]],tbl_Historique_Final[ppn_z],tbl_Historique_Final[date_modif])=Final_Sans_VGE[[#This Row],[date_modif]],
      "Ancien",
      "Modifié"),
   "Nouveau"))</f>
        <v>Ancien</v>
      </c>
      <c r="AC1893"/>
      <c r="AD1893"/>
    </row>
    <row r="1894" spans="1:30" x14ac:dyDescent="0.25">
      <c r="A1894" s="5" t="s">
        <v>5840</v>
      </c>
      <c r="B1894" s="1" t="s">
        <v>10145</v>
      </c>
      <c r="C1894" s="1" t="s">
        <v>37</v>
      </c>
      <c r="G1894" s="1" t="s">
        <v>10</v>
      </c>
      <c r="J1894" s="3">
        <v>46030.390104166669</v>
      </c>
      <c r="K1894" s="2" t="s">
        <v>10146</v>
      </c>
      <c r="L1894" s="1">
        <v>1</v>
      </c>
      <c r="M1894" s="1">
        <v>1</v>
      </c>
      <c r="N1894">
        <v>0</v>
      </c>
      <c r="O1894" s="3">
        <f>IF(
    R1894="Ancien",
    _xlfn.XLOOKUP(
        Final_Sans_VGE[[#This Row],[ppn_z]],
        tbl_Historique_Final[ppn_z],
        tbl_Historique_Final[Horodatage],
        ""
    ),
    Horodatage!$A$2
)</f>
        <v>46233.670796365739</v>
      </c>
      <c r="P1894" s="1" t="str">
        <f>IFERROR(IF(tbl_Historique_Final[[#This Row],[Commentaires]]&lt;&gt;"",tbl_Historique_Final[[#This Row],[Commentaires]],""),"")</f>
        <v/>
      </c>
      <c r="X1894" s="8" t="str">
        <f>IF(Final_Sans_VGE[[#This Row],[ppn_z]]="","",IFERROR(
   IF(_xlfn.XLOOKUP(Final_Sans_VGE[[#This Row],[ppn_z]],tbl_Historique_Final[ppn_z],tbl_Historique_Final[date_modif])=Final_Sans_VGE[[#This Row],[date_modif]],
      "Ancien",
      "Modifié"),
   "Nouveau"))</f>
        <v>Ancien</v>
      </c>
      <c r="AC1894"/>
      <c r="AD1894"/>
    </row>
    <row r="1895" spans="1:30" ht="30" x14ac:dyDescent="0.25">
      <c r="A1895" s="5" t="s">
        <v>5846</v>
      </c>
      <c r="B1895" s="1" t="s">
        <v>10148</v>
      </c>
      <c r="C1895" s="1" t="s">
        <v>90</v>
      </c>
      <c r="D1895" s="1" t="s">
        <v>14</v>
      </c>
      <c r="G1895" s="1" t="s">
        <v>11</v>
      </c>
      <c r="H1895" s="1" t="s">
        <v>140</v>
      </c>
      <c r="I1895" s="1" t="s">
        <v>10528</v>
      </c>
      <c r="J1895" s="3">
        <v>46034.482789351852</v>
      </c>
      <c r="K1895" s="2" t="s">
        <v>10149</v>
      </c>
      <c r="L1895" s="1">
        <v>20</v>
      </c>
      <c r="M1895" s="1">
        <v>46</v>
      </c>
      <c r="N1895">
        <v>26</v>
      </c>
      <c r="O1895" s="3">
        <f>IF(
    R1895="Ancien",
    _xlfn.XLOOKUP(
        Final_Sans_VGE[[#This Row],[ppn_z]],
        tbl_Historique_Final[ppn_z],
        tbl_Historique_Final[Horodatage],
        ""
    ),
    Horodatage!$A$2
)</f>
        <v>46233.670796365739</v>
      </c>
      <c r="P1895" s="1" t="str">
        <f>IFERROR(IF(tbl_Historique_Final[[#This Row],[Commentaires]]&lt;&gt;"",tbl_Historique_Final[[#This Row],[Commentaires]],""),"")</f>
        <v/>
      </c>
      <c r="X1895" s="8" t="str">
        <f>IF(Final_Sans_VGE[[#This Row],[ppn_z]]="","",IFERROR(
   IF(_xlfn.XLOOKUP(Final_Sans_VGE[[#This Row],[ppn_z]],tbl_Historique_Final[ppn_z],tbl_Historique_Final[date_modif])=Final_Sans_VGE[[#This Row],[date_modif]],
      "Ancien",
      "Modifié"),
   "Nouveau"))</f>
        <v>Ancien</v>
      </c>
      <c r="AC1895"/>
      <c r="AD1895"/>
    </row>
    <row r="1896" spans="1:30" ht="60" x14ac:dyDescent="0.25">
      <c r="A1896" s="5" t="s">
        <v>5849</v>
      </c>
      <c r="B1896" s="1" t="s">
        <v>10150</v>
      </c>
      <c r="C1896" s="1" t="s">
        <v>7272</v>
      </c>
      <c r="D1896" s="1" t="s">
        <v>10151</v>
      </c>
      <c r="G1896" s="1" t="s">
        <v>10</v>
      </c>
      <c r="H1896" s="1" t="s">
        <v>10152</v>
      </c>
      <c r="I1896" s="1" t="s">
        <v>140</v>
      </c>
      <c r="J1896" s="3">
        <v>46035.839756944442</v>
      </c>
      <c r="K1896" s="2" t="s">
        <v>10153</v>
      </c>
      <c r="L1896" s="1">
        <v>322</v>
      </c>
      <c r="M1896" s="1">
        <v>359</v>
      </c>
      <c r="N1896">
        <v>37</v>
      </c>
      <c r="O1896" s="3">
        <f>IF(
    R1896="Ancien",
    _xlfn.XLOOKUP(
        Final_Sans_VGE[[#This Row],[ppn_z]],
        tbl_Historique_Final[ppn_z],
        tbl_Historique_Final[Horodatage],
        ""
    ),
    Horodatage!$A$2
)</f>
        <v>46233.670796365739</v>
      </c>
      <c r="P1896" s="1" t="str">
        <f>IFERROR(IF(tbl_Historique_Final[[#This Row],[Commentaires]]&lt;&gt;"",tbl_Historique_Final[[#This Row],[Commentaires]],""),"")</f>
        <v/>
      </c>
      <c r="X1896" s="8" t="str">
        <f>IF(Final_Sans_VGE[[#This Row],[ppn_z]]="","",IFERROR(
   IF(_xlfn.XLOOKUP(Final_Sans_VGE[[#This Row],[ppn_z]],tbl_Historique_Final[ppn_z],tbl_Historique_Final[date_modif])=Final_Sans_VGE[[#This Row],[date_modif]],
      "Ancien",
      "Modifié"),
   "Nouveau"))</f>
        <v>Ancien</v>
      </c>
      <c r="AC1896"/>
      <c r="AD1896"/>
    </row>
    <row r="1897" spans="1:30" ht="30" x14ac:dyDescent="0.25">
      <c r="A1897" s="5" t="s">
        <v>5852</v>
      </c>
      <c r="B1897" s="1" t="s">
        <v>10154</v>
      </c>
      <c r="C1897" s="1" t="s">
        <v>6415</v>
      </c>
      <c r="H1897" s="1" t="s">
        <v>22</v>
      </c>
      <c r="I1897" s="1" t="s">
        <v>22</v>
      </c>
      <c r="J1897" s="3">
        <v>46038.638101851851</v>
      </c>
      <c r="K1897" s="2" t="s">
        <v>10155</v>
      </c>
      <c r="L1897" s="1">
        <v>156</v>
      </c>
      <c r="M1897" s="1">
        <v>167</v>
      </c>
      <c r="N1897">
        <v>11</v>
      </c>
      <c r="O1897" s="3">
        <f>IF(
    R1897="Ancien",
    _xlfn.XLOOKUP(
        Final_Sans_VGE[[#This Row],[ppn_z]],
        tbl_Historique_Final[ppn_z],
        tbl_Historique_Final[Horodatage],
        ""
    ),
    Horodatage!$A$2
)</f>
        <v>46233.670796365739</v>
      </c>
      <c r="P1897" s="1" t="str">
        <f>IFERROR(IF(tbl_Historique_Final[[#This Row],[Commentaires]]&lt;&gt;"",tbl_Historique_Final[[#This Row],[Commentaires]],""),"")</f>
        <v/>
      </c>
      <c r="X1897" s="8" t="str">
        <f>IF(Final_Sans_VGE[[#This Row],[ppn_z]]="","",IFERROR(
   IF(_xlfn.XLOOKUP(Final_Sans_VGE[[#This Row],[ppn_z]],tbl_Historique_Final[ppn_z],tbl_Historique_Final[date_modif])=Final_Sans_VGE[[#This Row],[date_modif]],
      "Ancien",
      "Modifié"),
   "Nouveau"))</f>
        <v>Ancien</v>
      </c>
      <c r="AC1897"/>
      <c r="AD1897"/>
    </row>
    <row r="1898" spans="1:30" ht="45" x14ac:dyDescent="0.25">
      <c r="A1898" s="5" t="s">
        <v>5855</v>
      </c>
      <c r="B1898" s="1" t="s">
        <v>10156</v>
      </c>
      <c r="C1898" s="1" t="s">
        <v>9129</v>
      </c>
      <c r="E1898" s="1" t="s">
        <v>9119</v>
      </c>
      <c r="J1898" s="3">
        <v>46041.668298611112</v>
      </c>
      <c r="K1898" s="2" t="s">
        <v>10157</v>
      </c>
      <c r="L1898" s="1">
        <v>159</v>
      </c>
      <c r="M1898" s="1">
        <v>173</v>
      </c>
      <c r="N1898">
        <v>14</v>
      </c>
      <c r="O1898" s="3">
        <f>IF(
    R1898="Ancien",
    _xlfn.XLOOKUP(
        Final_Sans_VGE[[#This Row],[ppn_z]],
        tbl_Historique_Final[ppn_z],
        tbl_Historique_Final[Horodatage],
        ""
    ),
    Horodatage!$A$2
)</f>
        <v>46233.670796365739</v>
      </c>
      <c r="P1898" s="1" t="str">
        <f>IFERROR(IF(tbl_Historique_Final[[#This Row],[Commentaires]]&lt;&gt;"",tbl_Historique_Final[[#This Row],[Commentaires]],""),"")</f>
        <v/>
      </c>
      <c r="X1898" s="8" t="str">
        <f>IF(Final_Sans_VGE[[#This Row],[ppn_z]]="","",IFERROR(
   IF(_xlfn.XLOOKUP(Final_Sans_VGE[[#This Row],[ppn_z]],tbl_Historique_Final[ppn_z],tbl_Historique_Final[date_modif])=Final_Sans_VGE[[#This Row],[date_modif]],
      "Ancien",
      "Modifié"),
   "Nouveau"))</f>
        <v>Ancien</v>
      </c>
      <c r="AC1898"/>
      <c r="AD1898"/>
    </row>
    <row r="1899" spans="1:30" x14ac:dyDescent="0.25">
      <c r="A1899" s="5" t="s">
        <v>5858</v>
      </c>
      <c r="B1899" s="1" t="s">
        <v>10158</v>
      </c>
      <c r="C1899" s="1" t="s">
        <v>45</v>
      </c>
      <c r="J1899" s="3">
        <v>46042.723993055559</v>
      </c>
      <c r="K1899" s="2" t="s">
        <v>10159</v>
      </c>
      <c r="L1899" s="1">
        <v>45</v>
      </c>
      <c r="M1899" s="1">
        <v>46</v>
      </c>
      <c r="N1899">
        <v>1</v>
      </c>
      <c r="O1899" s="3">
        <f>IF(
    R1899="Ancien",
    _xlfn.XLOOKUP(
        Final_Sans_VGE[[#This Row],[ppn_z]],
        tbl_Historique_Final[ppn_z],
        tbl_Historique_Final[Horodatage],
        ""
    ),
    Horodatage!$A$2
)</f>
        <v>46233.670796365739</v>
      </c>
      <c r="P1899" s="1" t="str">
        <f>IFERROR(IF(tbl_Historique_Final[[#This Row],[Commentaires]]&lt;&gt;"",tbl_Historique_Final[[#This Row],[Commentaires]],""),"")</f>
        <v/>
      </c>
      <c r="X1899" s="8" t="str">
        <f>IF(Final_Sans_VGE[[#This Row],[ppn_z]]="","",IFERROR(
   IF(_xlfn.XLOOKUP(Final_Sans_VGE[[#This Row],[ppn_z]],tbl_Historique_Final[ppn_z],tbl_Historique_Final[date_modif])=Final_Sans_VGE[[#This Row],[date_modif]],
      "Ancien",
      "Modifié"),
   "Nouveau"))</f>
        <v>Ancien</v>
      </c>
      <c r="AC1899"/>
      <c r="AD1899"/>
    </row>
    <row r="1900" spans="1:30" ht="45" x14ac:dyDescent="0.25">
      <c r="A1900" s="5" t="s">
        <v>5861</v>
      </c>
      <c r="B1900" s="1" t="s">
        <v>10160</v>
      </c>
      <c r="C1900" s="1" t="s">
        <v>9036</v>
      </c>
      <c r="E1900" s="1" t="s">
        <v>8368</v>
      </c>
      <c r="H1900" s="1" t="s">
        <v>22</v>
      </c>
      <c r="I1900" s="1" t="s">
        <v>22</v>
      </c>
      <c r="J1900" s="3">
        <v>46044.68241898148</v>
      </c>
      <c r="K1900" s="2" t="s">
        <v>10161</v>
      </c>
      <c r="L1900" s="1">
        <v>40</v>
      </c>
      <c r="M1900" s="1">
        <v>41</v>
      </c>
      <c r="N1900">
        <v>1</v>
      </c>
      <c r="O1900" s="3">
        <f>IF(
    R1900="Ancien",
    _xlfn.XLOOKUP(
        Final_Sans_VGE[[#This Row],[ppn_z]],
        tbl_Historique_Final[ppn_z],
        tbl_Historique_Final[Horodatage],
        ""
    ),
    Horodatage!$A$2
)</f>
        <v>46233.670796365739</v>
      </c>
      <c r="P1900" s="1" t="str">
        <f>IFERROR(IF(tbl_Historique_Final[[#This Row],[Commentaires]]&lt;&gt;"",tbl_Historique_Final[[#This Row],[Commentaires]],""),"")</f>
        <v/>
      </c>
      <c r="X1900" s="8" t="str">
        <f>IF(Final_Sans_VGE[[#This Row],[ppn_z]]="","",IFERROR(
   IF(_xlfn.XLOOKUP(Final_Sans_VGE[[#This Row],[ppn_z]],tbl_Historique_Final[ppn_z],tbl_Historique_Final[date_modif])=Final_Sans_VGE[[#This Row],[date_modif]],
      "Ancien",
      "Modifié"),
   "Nouveau"))</f>
        <v>Ancien</v>
      </c>
      <c r="AC1900"/>
      <c r="AD1900"/>
    </row>
    <row r="1901" spans="1:30" ht="90" x14ac:dyDescent="0.25">
      <c r="A1901" s="5" t="s">
        <v>5864</v>
      </c>
      <c r="B1901" s="1" t="s">
        <v>10162</v>
      </c>
      <c r="C1901" s="1" t="s">
        <v>7496</v>
      </c>
      <c r="H1901" s="1" t="s">
        <v>22</v>
      </c>
      <c r="I1901" s="1" t="s">
        <v>22</v>
      </c>
      <c r="J1901" s="3">
        <v>46046.517638888887</v>
      </c>
      <c r="K1901" s="2" t="s">
        <v>10163</v>
      </c>
      <c r="L1901" s="1">
        <v>113</v>
      </c>
      <c r="M1901" s="1">
        <v>144</v>
      </c>
      <c r="N1901">
        <v>31</v>
      </c>
      <c r="O1901" s="3">
        <f>IF(
    R1901="Ancien",
    _xlfn.XLOOKUP(
        Final_Sans_VGE[[#This Row],[ppn_z]],
        tbl_Historique_Final[ppn_z],
        tbl_Historique_Final[Horodatage],
        ""
    ),
    Horodatage!$A$2
)</f>
        <v>46233.670796365739</v>
      </c>
      <c r="P1901" s="1" t="str">
        <f>IFERROR(IF(tbl_Historique_Final[[#This Row],[Commentaires]]&lt;&gt;"",tbl_Historique_Final[[#This Row],[Commentaires]],""),"")</f>
        <v/>
      </c>
      <c r="X1901" s="8" t="str">
        <f>IF(Final_Sans_VGE[[#This Row],[ppn_z]]="","",IFERROR(
   IF(_xlfn.XLOOKUP(Final_Sans_VGE[[#This Row],[ppn_z]],tbl_Historique_Final[ppn_z],tbl_Historique_Final[date_modif])=Final_Sans_VGE[[#This Row],[date_modif]],
      "Ancien",
      "Modifié"),
   "Nouveau"))</f>
        <v>Ancien</v>
      </c>
      <c r="AC1901"/>
      <c r="AD1901"/>
    </row>
    <row r="1902" spans="1:30" x14ac:dyDescent="0.25">
      <c r="A1902" s="5" t="s">
        <v>5867</v>
      </c>
      <c r="B1902" s="1" t="s">
        <v>10164</v>
      </c>
      <c r="C1902" s="1" t="s">
        <v>12</v>
      </c>
      <c r="G1902" s="1" t="s">
        <v>11</v>
      </c>
      <c r="J1902" s="3">
        <v>46051.391932870371</v>
      </c>
      <c r="K1902" s="2" t="s">
        <v>140</v>
      </c>
      <c r="L1902" s="1">
        <v>2</v>
      </c>
      <c r="M1902" s="1">
        <v>2</v>
      </c>
      <c r="N1902">
        <v>0</v>
      </c>
      <c r="O1902" s="3">
        <f>IF(
    R1902="Ancien",
    _xlfn.XLOOKUP(
        Final_Sans_VGE[[#This Row],[ppn_z]],
        tbl_Historique_Final[ppn_z],
        tbl_Historique_Final[Horodatage],
        ""
    ),
    Horodatage!$A$2
)</f>
        <v>46233.670796365739</v>
      </c>
      <c r="P1902" s="1" t="str">
        <f>IFERROR(IF(tbl_Historique_Final[[#This Row],[Commentaires]]&lt;&gt;"",tbl_Historique_Final[[#This Row],[Commentaires]],""),"")</f>
        <v/>
      </c>
      <c r="X1902" s="8" t="str">
        <f>IF(Final_Sans_VGE[[#This Row],[ppn_z]]="","",IFERROR(
   IF(_xlfn.XLOOKUP(Final_Sans_VGE[[#This Row],[ppn_z]],tbl_Historique_Final[ppn_z],tbl_Historique_Final[date_modif])=Final_Sans_VGE[[#This Row],[date_modif]],
      "Ancien",
      "Modifié"),
   "Nouveau"))</f>
        <v>Ancien</v>
      </c>
      <c r="AC1902"/>
      <c r="AD1902"/>
    </row>
    <row r="1903" spans="1:30" ht="30" x14ac:dyDescent="0.25">
      <c r="A1903" s="5" t="s">
        <v>5870</v>
      </c>
      <c r="B1903" s="1" t="s">
        <v>10165</v>
      </c>
      <c r="C1903" s="1" t="s">
        <v>74</v>
      </c>
      <c r="D1903" s="1" t="s">
        <v>14</v>
      </c>
      <c r="E1903" s="1" t="s">
        <v>117</v>
      </c>
      <c r="F1903" s="1" t="s">
        <v>14</v>
      </c>
      <c r="G1903" s="1" t="s">
        <v>10</v>
      </c>
      <c r="H1903" s="1" t="s">
        <v>22</v>
      </c>
      <c r="I1903" s="1" t="s">
        <v>140</v>
      </c>
      <c r="J1903" s="3">
        <v>46051.623703703706</v>
      </c>
      <c r="K1903" s="2" t="s">
        <v>10166</v>
      </c>
      <c r="L1903" s="1">
        <v>75</v>
      </c>
      <c r="M1903" s="1">
        <v>141</v>
      </c>
      <c r="N1903">
        <v>66</v>
      </c>
      <c r="O1903" s="3">
        <f>IF(
    R1903="Ancien",
    _xlfn.XLOOKUP(
        Final_Sans_VGE[[#This Row],[ppn_z]],
        tbl_Historique_Final[ppn_z],
        tbl_Historique_Final[Horodatage],
        ""
    ),
    Horodatage!$A$2
)</f>
        <v>46233.670796365739</v>
      </c>
      <c r="P1903" s="1" t="str">
        <f>IFERROR(IF(tbl_Historique_Final[[#This Row],[Commentaires]]&lt;&gt;"",tbl_Historique_Final[[#This Row],[Commentaires]],""),"")</f>
        <v/>
      </c>
      <c r="X1903" s="8" t="str">
        <f>IF(Final_Sans_VGE[[#This Row],[ppn_z]]="","",IFERROR(
   IF(_xlfn.XLOOKUP(Final_Sans_VGE[[#This Row],[ppn_z]],tbl_Historique_Final[ppn_z],tbl_Historique_Final[date_modif])=Final_Sans_VGE[[#This Row],[date_modif]],
      "Ancien",
      "Modifié"),
   "Nouveau"))</f>
        <v>Ancien</v>
      </c>
      <c r="AC1903"/>
      <c r="AD1903"/>
    </row>
    <row r="1904" spans="1:30" x14ac:dyDescent="0.25">
      <c r="A1904" s="5" t="s">
        <v>5876</v>
      </c>
      <c r="B1904" s="1" t="s">
        <v>10169</v>
      </c>
      <c r="G1904" s="1" t="s">
        <v>11</v>
      </c>
      <c r="J1904" s="3">
        <v>46222.388333333336</v>
      </c>
      <c r="K1904" s="2" t="s">
        <v>10170</v>
      </c>
      <c r="L1904" s="1">
        <v>15</v>
      </c>
      <c r="M1904" s="1">
        <v>16</v>
      </c>
      <c r="N1904">
        <v>1</v>
      </c>
      <c r="O1904" s="3">
        <f>IF(
    R1904="Ancien",
    _xlfn.XLOOKUP(
        Final_Sans_VGE[[#This Row],[ppn_z]],
        tbl_Historique_Final[ppn_z],
        tbl_Historique_Final[Horodatage],
        ""
    ),
    Horodatage!$A$2
)</f>
        <v>46233.670796365739</v>
      </c>
      <c r="P1904" s="1" t="str">
        <f>IFERROR(IF(tbl_Historique_Final[[#This Row],[Commentaires]]&lt;&gt;"",tbl_Historique_Final[[#This Row],[Commentaires]],""),"")</f>
        <v/>
      </c>
      <c r="X1904" s="8" t="str">
        <f>IF(Final_Sans_VGE[[#This Row],[ppn_z]]="","",IFERROR(
   IF(_xlfn.XLOOKUP(Final_Sans_VGE[[#This Row],[ppn_z]],tbl_Historique_Final[ppn_z],tbl_Historique_Final[date_modif])=Final_Sans_VGE[[#This Row],[date_modif]],
      "Ancien",
      "Modifié"),
   "Nouveau"))</f>
        <v>Ancien</v>
      </c>
      <c r="AC1904"/>
      <c r="AD1904"/>
    </row>
    <row r="1905" spans="1:30" ht="30" x14ac:dyDescent="0.25">
      <c r="A1905" s="5" t="s">
        <v>5873</v>
      </c>
      <c r="B1905" s="1" t="s">
        <v>10167</v>
      </c>
      <c r="C1905" s="1" t="s">
        <v>53</v>
      </c>
      <c r="G1905" s="1" t="s">
        <v>11</v>
      </c>
      <c r="J1905" s="3">
        <v>46051.64875</v>
      </c>
      <c r="K1905" s="2" t="s">
        <v>10168</v>
      </c>
      <c r="L1905" s="1">
        <v>2</v>
      </c>
      <c r="M1905" s="1">
        <v>5</v>
      </c>
      <c r="N1905">
        <v>3</v>
      </c>
      <c r="O1905" s="3">
        <f>IF(
    R1905="Ancien",
    _xlfn.XLOOKUP(
        Final_Sans_VGE[[#This Row],[ppn_z]],
        tbl_Historique_Final[ppn_z],
        tbl_Historique_Final[Horodatage],
        ""
    ),
    Horodatage!$A$2
)</f>
        <v>46233.670796365739</v>
      </c>
      <c r="P1905" s="1" t="str">
        <f>IFERROR(IF(tbl_Historique_Final[[#This Row],[Commentaires]]&lt;&gt;"",tbl_Historique_Final[[#This Row],[Commentaires]],""),"")</f>
        <v/>
      </c>
      <c r="X1905" s="8" t="str">
        <f>IF(Final_Sans_VGE[[#This Row],[ppn_z]]="","",IFERROR(
   IF(_xlfn.XLOOKUP(Final_Sans_VGE[[#This Row],[ppn_z]],tbl_Historique_Final[ppn_z],tbl_Historique_Final[date_modif])=Final_Sans_VGE[[#This Row],[date_modif]],
      "Ancien",
      "Modifié"),
   "Nouveau"))</f>
        <v>Ancien</v>
      </c>
      <c r="AC1905"/>
      <c r="AD1905"/>
    </row>
    <row r="1906" spans="1:30" x14ac:dyDescent="0.25">
      <c r="A1906" s="5" t="s">
        <v>5879</v>
      </c>
      <c r="B1906" s="1" t="s">
        <v>10171</v>
      </c>
      <c r="G1906" s="1" t="s">
        <v>10</v>
      </c>
      <c r="J1906" s="3">
        <v>46222.392604166664</v>
      </c>
      <c r="K1906" s="2" t="s">
        <v>10172</v>
      </c>
      <c r="L1906" s="1">
        <v>1</v>
      </c>
      <c r="M1906" s="1">
        <v>1</v>
      </c>
      <c r="N1906">
        <v>0</v>
      </c>
      <c r="O1906" s="3">
        <f>IF(
    R1906="Ancien",
    _xlfn.XLOOKUP(
        Final_Sans_VGE[[#This Row],[ppn_z]],
        tbl_Historique_Final[ppn_z],
        tbl_Historique_Final[Horodatage],
        ""
    ),
    Horodatage!$A$2
)</f>
        <v>46233.670796365739</v>
      </c>
      <c r="P1906" s="1" t="str">
        <f>IFERROR(IF(tbl_Historique_Final[[#This Row],[Commentaires]]&lt;&gt;"",tbl_Historique_Final[[#This Row],[Commentaires]],""),"")</f>
        <v/>
      </c>
      <c r="X1906" s="8" t="str">
        <f>IF(Final_Sans_VGE[[#This Row],[ppn_z]]="","",IFERROR(
   IF(_xlfn.XLOOKUP(Final_Sans_VGE[[#This Row],[ppn_z]],tbl_Historique_Final[ppn_z],tbl_Historique_Final[date_modif])=Final_Sans_VGE[[#This Row],[date_modif]],
      "Ancien",
      "Modifié"),
   "Nouveau"))</f>
        <v>Ancien</v>
      </c>
      <c r="AC1906"/>
      <c r="AD1906"/>
    </row>
    <row r="1907" spans="1:30" ht="30" x14ac:dyDescent="0.25">
      <c r="A1907" s="5" t="s">
        <v>5882</v>
      </c>
      <c r="B1907" s="1" t="s">
        <v>10173</v>
      </c>
      <c r="G1907" s="1" t="s">
        <v>11</v>
      </c>
      <c r="J1907" s="3">
        <v>45471.422835648147</v>
      </c>
      <c r="K1907" s="2" t="s">
        <v>10174</v>
      </c>
      <c r="L1907" s="1">
        <v>5</v>
      </c>
      <c r="M1907" s="1">
        <v>18</v>
      </c>
      <c r="N1907">
        <v>13</v>
      </c>
      <c r="O1907" s="3">
        <f>IF(
    R1907="Ancien",
    _xlfn.XLOOKUP(
        Final_Sans_VGE[[#This Row],[ppn_z]],
        tbl_Historique_Final[ppn_z],
        tbl_Historique_Final[Horodatage],
        ""
    ),
    Horodatage!$A$2
)</f>
        <v>46233.670796365739</v>
      </c>
      <c r="P1907" s="1" t="str">
        <f>IFERROR(IF(tbl_Historique_Final[[#This Row],[Commentaires]]&lt;&gt;"",tbl_Historique_Final[[#This Row],[Commentaires]],""),"")</f>
        <v/>
      </c>
      <c r="X1907" s="8" t="str">
        <f>IF(Final_Sans_VGE[[#This Row],[ppn_z]]="","",IFERROR(
   IF(_xlfn.XLOOKUP(Final_Sans_VGE[[#This Row],[ppn_z]],tbl_Historique_Final[ppn_z],tbl_Historique_Final[date_modif])=Final_Sans_VGE[[#This Row],[date_modif]],
      "Ancien",
      "Modifié"),
   "Nouveau"))</f>
        <v>Ancien</v>
      </c>
      <c r="AC1907"/>
      <c r="AD1907"/>
    </row>
    <row r="1908" spans="1:30" x14ac:dyDescent="0.25">
      <c r="A1908" s="5" t="s">
        <v>5885</v>
      </c>
      <c r="B1908" s="1" t="s">
        <v>10175</v>
      </c>
      <c r="G1908" s="1" t="s">
        <v>10</v>
      </c>
      <c r="J1908" s="3">
        <v>45533.273298611108</v>
      </c>
      <c r="K1908" s="2" t="s">
        <v>6417</v>
      </c>
      <c r="L1908" s="1">
        <v>2</v>
      </c>
      <c r="M1908" s="1">
        <v>2</v>
      </c>
      <c r="N1908">
        <v>0</v>
      </c>
      <c r="O1908" s="3">
        <f>IF(
    R1908="Ancien",
    _xlfn.XLOOKUP(
        Final_Sans_VGE[[#This Row],[ppn_z]],
        tbl_Historique_Final[ppn_z],
        tbl_Historique_Final[Horodatage],
        ""
    ),
    Horodatage!$A$2
)</f>
        <v>46233.670796365739</v>
      </c>
      <c r="P1908" s="1" t="str">
        <f>IFERROR(IF(tbl_Historique_Final[[#This Row],[Commentaires]]&lt;&gt;"",tbl_Historique_Final[[#This Row],[Commentaires]],""),"")</f>
        <v/>
      </c>
      <c r="X1908" s="8" t="str">
        <f>IF(Final_Sans_VGE[[#This Row],[ppn_z]]="","",IFERROR(
   IF(_xlfn.XLOOKUP(Final_Sans_VGE[[#This Row],[ppn_z]],tbl_Historique_Final[ppn_z],tbl_Historique_Final[date_modif])=Final_Sans_VGE[[#This Row],[date_modif]],
      "Ancien",
      "Modifié"),
   "Nouveau"))</f>
        <v>Ancien</v>
      </c>
      <c r="AC1908"/>
      <c r="AD1908"/>
    </row>
    <row r="1909" spans="1:30" ht="60" x14ac:dyDescent="0.25">
      <c r="A1909" s="5" t="s">
        <v>5888</v>
      </c>
      <c r="B1909" s="1" t="s">
        <v>10176</v>
      </c>
      <c r="G1909" s="1" t="s">
        <v>10</v>
      </c>
      <c r="J1909" s="3">
        <v>45547.847025462965</v>
      </c>
      <c r="K1909" s="2" t="s">
        <v>10177</v>
      </c>
      <c r="L1909" s="1">
        <v>9</v>
      </c>
      <c r="M1909" s="1">
        <v>58</v>
      </c>
      <c r="N1909">
        <v>49</v>
      </c>
      <c r="O1909" s="3">
        <f>IF(
    R1909="Ancien",
    _xlfn.XLOOKUP(
        Final_Sans_VGE[[#This Row],[ppn_z]],
        tbl_Historique_Final[ppn_z],
        tbl_Historique_Final[Horodatage],
        ""
    ),
    Horodatage!$A$2
)</f>
        <v>46233.670796365739</v>
      </c>
      <c r="P1909" s="1" t="str">
        <f>IFERROR(IF(tbl_Historique_Final[[#This Row],[Commentaires]]&lt;&gt;"",tbl_Historique_Final[[#This Row],[Commentaires]],""),"")</f>
        <v/>
      </c>
      <c r="X1909" s="8" t="str">
        <f>IF(Final_Sans_VGE[[#This Row],[ppn_z]]="","",IFERROR(
   IF(_xlfn.XLOOKUP(Final_Sans_VGE[[#This Row],[ppn_z]],tbl_Historique_Final[ppn_z],tbl_Historique_Final[date_modif])=Final_Sans_VGE[[#This Row],[date_modif]],
      "Ancien",
      "Modifié"),
   "Nouveau"))</f>
        <v>Ancien</v>
      </c>
      <c r="AC1909"/>
      <c r="AD1909"/>
    </row>
    <row r="1910" spans="1:30" ht="30" x14ac:dyDescent="0.25">
      <c r="A1910" s="5" t="s">
        <v>5891</v>
      </c>
      <c r="B1910" s="1" t="s">
        <v>10178</v>
      </c>
      <c r="J1910" s="3">
        <v>45624.585462962961</v>
      </c>
      <c r="K1910" s="2" t="s">
        <v>10179</v>
      </c>
      <c r="L1910" s="1">
        <v>1</v>
      </c>
      <c r="M1910" s="1">
        <v>1</v>
      </c>
      <c r="N1910">
        <v>0</v>
      </c>
      <c r="O1910" s="3">
        <f>IF(
    R1910="Ancien",
    _xlfn.XLOOKUP(
        Final_Sans_VGE[[#This Row],[ppn_z]],
        tbl_Historique_Final[ppn_z],
        tbl_Historique_Final[Horodatage],
        ""
    ),
    Horodatage!$A$2
)</f>
        <v>46233.670796365739</v>
      </c>
      <c r="P1910" s="1" t="str">
        <f>IFERROR(IF(tbl_Historique_Final[[#This Row],[Commentaires]]&lt;&gt;"",tbl_Historique_Final[[#This Row],[Commentaires]],""),"")</f>
        <v/>
      </c>
      <c r="X1910" s="8" t="str">
        <f>IF(Final_Sans_VGE[[#This Row],[ppn_z]]="","",IFERROR(
   IF(_xlfn.XLOOKUP(Final_Sans_VGE[[#This Row],[ppn_z]],tbl_Historique_Final[ppn_z],tbl_Historique_Final[date_modif])=Final_Sans_VGE[[#This Row],[date_modif]],
      "Ancien",
      "Modifié"),
   "Nouveau"))</f>
        <v>Ancien</v>
      </c>
      <c r="AC1910"/>
      <c r="AD1910"/>
    </row>
    <row r="1911" spans="1:30" x14ac:dyDescent="0.25">
      <c r="A1911" s="5" t="s">
        <v>5894</v>
      </c>
      <c r="B1911" s="1" t="s">
        <v>10180</v>
      </c>
      <c r="D1911" s="1" t="s">
        <v>14</v>
      </c>
      <c r="G1911" s="1" t="s">
        <v>10</v>
      </c>
      <c r="H1911" s="1" t="s">
        <v>10181</v>
      </c>
      <c r="I1911" s="1" t="s">
        <v>140</v>
      </c>
      <c r="J1911" s="3">
        <v>45768.450729166667</v>
      </c>
      <c r="K1911" s="2" t="s">
        <v>10182</v>
      </c>
      <c r="L1911" s="1">
        <v>15</v>
      </c>
      <c r="M1911" s="1">
        <v>216</v>
      </c>
      <c r="N1911">
        <v>201</v>
      </c>
      <c r="O1911" s="3">
        <f>IF(
    R1911="Ancien",
    _xlfn.XLOOKUP(
        Final_Sans_VGE[[#This Row],[ppn_z]],
        tbl_Historique_Final[ppn_z],
        tbl_Historique_Final[Horodatage],
        ""
    ),
    Horodatage!$A$2
)</f>
        <v>46233.670796365739</v>
      </c>
      <c r="P1911" s="1" t="str">
        <f>IFERROR(IF(tbl_Historique_Final[[#This Row],[Commentaires]]&lt;&gt;"",tbl_Historique_Final[[#This Row],[Commentaires]],""),"")</f>
        <v/>
      </c>
      <c r="X1911" s="8" t="str">
        <f>IF(Final_Sans_VGE[[#This Row],[ppn_z]]="","",IFERROR(
   IF(_xlfn.XLOOKUP(Final_Sans_VGE[[#This Row],[ppn_z]],tbl_Historique_Final[ppn_z],tbl_Historique_Final[date_modif])=Final_Sans_VGE[[#This Row],[date_modif]],
      "Ancien",
      "Modifié"),
   "Nouveau"))</f>
        <v>Ancien</v>
      </c>
      <c r="AC1911"/>
      <c r="AD1911"/>
    </row>
    <row r="1912" spans="1:30" ht="30" x14ac:dyDescent="0.25">
      <c r="A1912" s="5" t="s">
        <v>5897</v>
      </c>
      <c r="B1912" s="1" t="s">
        <v>10183</v>
      </c>
      <c r="J1912" s="3">
        <v>45853.40152777778</v>
      </c>
      <c r="K1912" s="2" t="s">
        <v>10184</v>
      </c>
      <c r="L1912" s="1">
        <v>22</v>
      </c>
      <c r="M1912" s="1">
        <v>162</v>
      </c>
      <c r="N1912">
        <v>140</v>
      </c>
      <c r="O1912" s="3">
        <f>IF(
    R1912="Ancien",
    _xlfn.XLOOKUP(
        Final_Sans_VGE[[#This Row],[ppn_z]],
        tbl_Historique_Final[ppn_z],
        tbl_Historique_Final[Horodatage],
        ""
    ),
    Horodatage!$A$2
)</f>
        <v>46233.670796365739</v>
      </c>
      <c r="P1912" s="1" t="str">
        <f>IFERROR(IF(tbl_Historique_Final[[#This Row],[Commentaires]]&lt;&gt;"",tbl_Historique_Final[[#This Row],[Commentaires]],""),"")</f>
        <v/>
      </c>
      <c r="X1912" s="8" t="str">
        <f>IF(Final_Sans_VGE[[#This Row],[ppn_z]]="","",IFERROR(
   IF(_xlfn.XLOOKUP(Final_Sans_VGE[[#This Row],[ppn_z]],tbl_Historique_Final[ppn_z],tbl_Historique_Final[date_modif])=Final_Sans_VGE[[#This Row],[date_modif]],
      "Ancien",
      "Modifié"),
   "Nouveau"))</f>
        <v>Ancien</v>
      </c>
      <c r="AC1912"/>
      <c r="AD1912"/>
    </row>
    <row r="1913" spans="1:30" x14ac:dyDescent="0.25">
      <c r="A1913" s="5" t="s">
        <v>5900</v>
      </c>
      <c r="B1913" s="1" t="s">
        <v>10185</v>
      </c>
      <c r="G1913" s="1" t="s">
        <v>11</v>
      </c>
      <c r="J1913" s="3">
        <v>45853.652141203704</v>
      </c>
      <c r="K1913" s="2" t="s">
        <v>10186</v>
      </c>
      <c r="L1913" s="1">
        <v>7</v>
      </c>
      <c r="M1913" s="1">
        <v>11</v>
      </c>
      <c r="N1913">
        <v>4</v>
      </c>
      <c r="O1913" s="3">
        <f>IF(
    R1913="Ancien",
    _xlfn.XLOOKUP(
        Final_Sans_VGE[[#This Row],[ppn_z]],
        tbl_Historique_Final[ppn_z],
        tbl_Historique_Final[Horodatage],
        ""
    ),
    Horodatage!$A$2
)</f>
        <v>46233.670796365739</v>
      </c>
      <c r="P1913" s="1" t="str">
        <f>IFERROR(IF(tbl_Historique_Final[[#This Row],[Commentaires]]&lt;&gt;"",tbl_Historique_Final[[#This Row],[Commentaires]],""),"")</f>
        <v/>
      </c>
      <c r="X1913" s="8" t="str">
        <f>IF(Final_Sans_VGE[[#This Row],[ppn_z]]="","",IFERROR(
   IF(_xlfn.XLOOKUP(Final_Sans_VGE[[#This Row],[ppn_z]],tbl_Historique_Final[ppn_z],tbl_Historique_Final[date_modif])=Final_Sans_VGE[[#This Row],[date_modif]],
      "Ancien",
      "Modifié"),
   "Nouveau"))</f>
        <v>Ancien</v>
      </c>
      <c r="AC1913"/>
      <c r="AD1913"/>
    </row>
    <row r="1914" spans="1:30" ht="135" x14ac:dyDescent="0.25">
      <c r="A1914" s="5" t="s">
        <v>5903</v>
      </c>
      <c r="B1914" s="1" t="s">
        <v>10187</v>
      </c>
      <c r="G1914" s="1" t="s">
        <v>11</v>
      </c>
      <c r="J1914" s="3">
        <v>45904.544398148151</v>
      </c>
      <c r="K1914" s="2" t="s">
        <v>10188</v>
      </c>
      <c r="L1914" s="1">
        <v>2</v>
      </c>
      <c r="M1914" s="1">
        <v>2</v>
      </c>
      <c r="N1914">
        <v>0</v>
      </c>
      <c r="O1914" s="3">
        <f>IF(
    R1914="Ancien",
    _xlfn.XLOOKUP(
        Final_Sans_VGE[[#This Row],[ppn_z]],
        tbl_Historique_Final[ppn_z],
        tbl_Historique_Final[Horodatage],
        ""
    ),
    Horodatage!$A$2
)</f>
        <v>46233.670796365739</v>
      </c>
      <c r="P1914" s="1" t="str">
        <f>IFERROR(IF(tbl_Historique_Final[[#This Row],[Commentaires]]&lt;&gt;"",tbl_Historique_Final[[#This Row],[Commentaires]],""),"")</f>
        <v/>
      </c>
      <c r="X1914" s="8" t="str">
        <f>IF(Final_Sans_VGE[[#This Row],[ppn_z]]="","",IFERROR(
   IF(_xlfn.XLOOKUP(Final_Sans_VGE[[#This Row],[ppn_z]],tbl_Historique_Final[ppn_z],tbl_Historique_Final[date_modif])=Final_Sans_VGE[[#This Row],[date_modif]],
      "Ancien",
      "Modifié"),
   "Nouveau"))</f>
        <v>Ancien</v>
      </c>
      <c r="AC1914"/>
      <c r="AD1914"/>
    </row>
    <row r="1915" spans="1:30" x14ac:dyDescent="0.25">
      <c r="A1915" s="5" t="s">
        <v>5906</v>
      </c>
      <c r="B1915" s="1" t="s">
        <v>10189</v>
      </c>
      <c r="J1915" s="3">
        <v>45967.513182870367</v>
      </c>
      <c r="L1915" s="1">
        <v>3</v>
      </c>
      <c r="M1915" s="1">
        <v>3</v>
      </c>
      <c r="N1915">
        <v>0</v>
      </c>
      <c r="O1915" s="3">
        <f>IF(
    R1915="Ancien",
    _xlfn.XLOOKUP(
        Final_Sans_VGE[[#This Row],[ppn_z]],
        tbl_Historique_Final[ppn_z],
        tbl_Historique_Final[Horodatage],
        ""
    ),
    Horodatage!$A$2
)</f>
        <v>46233.670796365739</v>
      </c>
      <c r="P1915" s="1" t="str">
        <f>IFERROR(IF(tbl_Historique_Final[[#This Row],[Commentaires]]&lt;&gt;"",tbl_Historique_Final[[#This Row],[Commentaires]],""),"")</f>
        <v/>
      </c>
      <c r="X1915" s="8" t="str">
        <f>IF(Final_Sans_VGE[[#This Row],[ppn_z]]="","",IFERROR(
   IF(_xlfn.XLOOKUP(Final_Sans_VGE[[#This Row],[ppn_z]],tbl_Historique_Final[ppn_z],tbl_Historique_Final[date_modif])=Final_Sans_VGE[[#This Row],[date_modif]],
      "Ancien",
      "Modifié"),
   "Nouveau"))</f>
        <v>Ancien</v>
      </c>
      <c r="AC1915"/>
      <c r="AD1915"/>
    </row>
    <row r="1916" spans="1:30" x14ac:dyDescent="0.25">
      <c r="A1916" s="5" t="s">
        <v>5909</v>
      </c>
      <c r="B1916" s="1" t="s">
        <v>10190</v>
      </c>
      <c r="J1916" s="3">
        <v>45967.635092592594</v>
      </c>
      <c r="L1916" s="1">
        <v>11</v>
      </c>
      <c r="M1916" s="1">
        <v>12</v>
      </c>
      <c r="N1916">
        <v>1</v>
      </c>
      <c r="O1916" s="3">
        <f>IF(
    R1916="Ancien",
    _xlfn.XLOOKUP(
        Final_Sans_VGE[[#This Row],[ppn_z]],
        tbl_Historique_Final[ppn_z],
        tbl_Historique_Final[Horodatage],
        ""
    ),
    Horodatage!$A$2
)</f>
        <v>46233.670796365739</v>
      </c>
      <c r="P1916" s="1" t="str">
        <f>IFERROR(IF(tbl_Historique_Final[[#This Row],[Commentaires]]&lt;&gt;"",tbl_Historique_Final[[#This Row],[Commentaires]],""),"")</f>
        <v/>
      </c>
      <c r="X1916" s="8" t="str">
        <f>IF(Final_Sans_VGE[[#This Row],[ppn_z]]="","",IFERROR(
   IF(_xlfn.XLOOKUP(Final_Sans_VGE[[#This Row],[ppn_z]],tbl_Historique_Final[ppn_z],tbl_Historique_Final[date_modif])=Final_Sans_VGE[[#This Row],[date_modif]],
      "Ancien",
      "Modifié"),
   "Nouveau"))</f>
        <v>Ancien</v>
      </c>
      <c r="AC1916"/>
      <c r="AD1916"/>
    </row>
    <row r="1917" spans="1:30" ht="30" x14ac:dyDescent="0.25">
      <c r="A1917" s="5" t="s">
        <v>5912</v>
      </c>
      <c r="B1917" s="1" t="s">
        <v>10191</v>
      </c>
      <c r="G1917" s="1" t="s">
        <v>11</v>
      </c>
      <c r="J1917" s="3">
        <v>45993.603171296294</v>
      </c>
      <c r="K1917" s="2" t="s">
        <v>10192</v>
      </c>
      <c r="L1917" s="1">
        <v>2</v>
      </c>
      <c r="M1917" s="1">
        <v>2</v>
      </c>
      <c r="N1917">
        <v>0</v>
      </c>
      <c r="O1917" s="3">
        <f>IF(
    R1917="Ancien",
    _xlfn.XLOOKUP(
        Final_Sans_VGE[[#This Row],[ppn_z]],
        tbl_Historique_Final[ppn_z],
        tbl_Historique_Final[Horodatage],
        ""
    ),
    Horodatage!$A$2
)</f>
        <v>46233.670796365739</v>
      </c>
      <c r="P1917" s="1" t="str">
        <f>IFERROR(IF(tbl_Historique_Final[[#This Row],[Commentaires]]&lt;&gt;"",tbl_Historique_Final[[#This Row],[Commentaires]],""),"")</f>
        <v/>
      </c>
      <c r="X1917" s="8" t="str">
        <f>IF(Final_Sans_VGE[[#This Row],[ppn_z]]="","",IFERROR(
   IF(_xlfn.XLOOKUP(Final_Sans_VGE[[#This Row],[ppn_z]],tbl_Historique_Final[ppn_z],tbl_Historique_Final[date_modif])=Final_Sans_VGE[[#This Row],[date_modif]],
      "Ancien",
      "Modifié"),
   "Nouveau"))</f>
        <v>Ancien</v>
      </c>
      <c r="AC1917"/>
      <c r="AD1917"/>
    </row>
    <row r="1918" spans="1:30" x14ac:dyDescent="0.25">
      <c r="A1918" s="5" t="s">
        <v>5915</v>
      </c>
      <c r="B1918" s="1" t="s">
        <v>10193</v>
      </c>
      <c r="J1918" s="3">
        <v>46038.646145833336</v>
      </c>
      <c r="L1918" s="1">
        <v>138</v>
      </c>
      <c r="M1918" s="1">
        <v>170</v>
      </c>
      <c r="N1918">
        <v>32</v>
      </c>
      <c r="O1918" s="3">
        <f>IF(
    R1918="Ancien",
    _xlfn.XLOOKUP(
        Final_Sans_VGE[[#This Row],[ppn_z]],
        tbl_Historique_Final[ppn_z],
        tbl_Historique_Final[Horodatage],
        ""
    ),
    Horodatage!$A$2
)</f>
        <v>46233.670796365739</v>
      </c>
      <c r="P1918" s="1" t="str">
        <f>IFERROR(IF(tbl_Historique_Final[[#This Row],[Commentaires]]&lt;&gt;"",tbl_Historique_Final[[#This Row],[Commentaires]],""),"")</f>
        <v/>
      </c>
      <c r="X1918" s="8" t="str">
        <f>IF(Final_Sans_VGE[[#This Row],[ppn_z]]="","",IFERROR(
   IF(_xlfn.XLOOKUP(Final_Sans_VGE[[#This Row],[ppn_z]],tbl_Historique_Final[ppn_z],tbl_Historique_Final[date_modif])=Final_Sans_VGE[[#This Row],[date_modif]],
      "Ancien",
      "Modifié"),
   "Nouveau"))</f>
        <v>Ancien</v>
      </c>
      <c r="AC1918"/>
      <c r="AD1918"/>
    </row>
    <row r="1919" spans="1:30" ht="30" x14ac:dyDescent="0.25">
      <c r="A1919" s="5" t="s">
        <v>5918</v>
      </c>
      <c r="B1919" s="1" t="s">
        <v>10194</v>
      </c>
      <c r="J1919" s="3">
        <v>46041.609988425924</v>
      </c>
      <c r="K1919" s="2" t="s">
        <v>10195</v>
      </c>
      <c r="L1919" s="1">
        <v>78</v>
      </c>
      <c r="M1919" s="1">
        <v>84</v>
      </c>
      <c r="N1919">
        <v>6</v>
      </c>
      <c r="O1919" s="3">
        <f>IF(
    R1919="Ancien",
    _xlfn.XLOOKUP(
        Final_Sans_VGE[[#This Row],[ppn_z]],
        tbl_Historique_Final[ppn_z],
        tbl_Historique_Final[Horodatage],
        ""
    ),
    Horodatage!$A$2
)</f>
        <v>46233.670796365739</v>
      </c>
      <c r="P1919" s="1" t="str">
        <f>IFERROR(IF(tbl_Historique_Final[[#This Row],[Commentaires]]&lt;&gt;"",tbl_Historique_Final[[#This Row],[Commentaires]],""),"")</f>
        <v/>
      </c>
      <c r="X1919" s="8" t="str">
        <f>IF(Final_Sans_VGE[[#This Row],[ppn_z]]="","",IFERROR(
   IF(_xlfn.XLOOKUP(Final_Sans_VGE[[#This Row],[ppn_z]],tbl_Historique_Final[ppn_z],tbl_Historique_Final[date_modif])=Final_Sans_VGE[[#This Row],[date_modif]],
      "Ancien",
      "Modifié"),
   "Nouveau"))</f>
        <v>Ancien</v>
      </c>
      <c r="AC1919"/>
      <c r="AD1919"/>
    </row>
    <row r="1920" spans="1:30" x14ac:dyDescent="0.25">
      <c r="A1920" s="5" t="s">
        <v>5921</v>
      </c>
      <c r="B1920" s="1" t="s">
        <v>10196</v>
      </c>
      <c r="J1920" s="3">
        <v>46041.624837962961</v>
      </c>
      <c r="L1920" s="1">
        <v>58</v>
      </c>
      <c r="M1920" s="1">
        <v>61</v>
      </c>
      <c r="N1920">
        <v>3</v>
      </c>
      <c r="O1920" s="3">
        <f>IF(
    R1920="Ancien",
    _xlfn.XLOOKUP(
        Final_Sans_VGE[[#This Row],[ppn_z]],
        tbl_Historique_Final[ppn_z],
        tbl_Historique_Final[Horodatage],
        ""
    ),
    Horodatage!$A$2
)</f>
        <v>46233.670796365739</v>
      </c>
      <c r="P1920" s="1" t="str">
        <f>IFERROR(IF(tbl_Historique_Final[[#This Row],[Commentaires]]&lt;&gt;"",tbl_Historique_Final[[#This Row],[Commentaires]],""),"")</f>
        <v/>
      </c>
      <c r="X1920" s="8" t="str">
        <f>IF(Final_Sans_VGE[[#This Row],[ppn_z]]="","",IFERROR(
   IF(_xlfn.XLOOKUP(Final_Sans_VGE[[#This Row],[ppn_z]],tbl_Historique_Final[ppn_z],tbl_Historique_Final[date_modif])=Final_Sans_VGE[[#This Row],[date_modif]],
      "Ancien",
      "Modifié"),
   "Nouveau"))</f>
        <v>Ancien</v>
      </c>
      <c r="AC1920"/>
      <c r="AD1920"/>
    </row>
    <row r="1921" spans="1:30" x14ac:dyDescent="0.25">
      <c r="A1921" s="5" t="s">
        <v>5924</v>
      </c>
      <c r="B1921" s="1" t="s">
        <v>10197</v>
      </c>
      <c r="J1921" s="3">
        <v>46042.742905092593</v>
      </c>
      <c r="L1921" s="1">
        <v>43</v>
      </c>
      <c r="M1921" s="1">
        <v>43</v>
      </c>
      <c r="N1921">
        <v>0</v>
      </c>
      <c r="O1921" s="3">
        <f>IF(
    R1921="Ancien",
    _xlfn.XLOOKUP(
        Final_Sans_VGE[[#This Row],[ppn_z]],
        tbl_Historique_Final[ppn_z],
        tbl_Historique_Final[Horodatage],
        ""
    ),
    Horodatage!$A$2
)</f>
        <v>46233.670796365739</v>
      </c>
      <c r="P1921" s="1" t="str">
        <f>IFERROR(IF(tbl_Historique_Final[[#This Row],[Commentaires]]&lt;&gt;"",tbl_Historique_Final[[#This Row],[Commentaires]],""),"")</f>
        <v/>
      </c>
      <c r="X1921" s="8" t="str">
        <f>IF(Final_Sans_VGE[[#This Row],[ppn_z]]="","",IFERROR(
   IF(_xlfn.XLOOKUP(Final_Sans_VGE[[#This Row],[ppn_z]],tbl_Historique_Final[ppn_z],tbl_Historique_Final[date_modif])=Final_Sans_VGE[[#This Row],[date_modif]],
      "Ancien",
      "Modifié"),
   "Nouveau"))</f>
        <v>Ancien</v>
      </c>
      <c r="AC1921"/>
      <c r="AD1921"/>
    </row>
    <row r="1922" spans="1:30" x14ac:dyDescent="0.25">
      <c r="A1922" s="5" t="s">
        <v>5927</v>
      </c>
      <c r="B1922" s="1" t="s">
        <v>10198</v>
      </c>
      <c r="C1922" s="1" t="s">
        <v>7096</v>
      </c>
      <c r="E1922" s="1" t="s">
        <v>47</v>
      </c>
      <c r="J1922" s="3">
        <v>46051.667604166665</v>
      </c>
      <c r="K1922" s="2" t="s">
        <v>10199</v>
      </c>
      <c r="L1922" s="1">
        <v>40</v>
      </c>
      <c r="M1922" s="1">
        <v>40</v>
      </c>
      <c r="N1922">
        <v>0</v>
      </c>
      <c r="O1922" s="3">
        <f>IF(
    R1922="Ancien",
    _xlfn.XLOOKUP(
        Final_Sans_VGE[[#This Row],[ppn_z]],
        tbl_Historique_Final[ppn_z],
        tbl_Historique_Final[Horodatage],
        ""
    ),
    Horodatage!$A$2
)</f>
        <v>46233.670796365739</v>
      </c>
      <c r="P1922" s="1" t="str">
        <f>IFERROR(IF(tbl_Historique_Final[[#This Row],[Commentaires]]&lt;&gt;"",tbl_Historique_Final[[#This Row],[Commentaires]],""),"")</f>
        <v/>
      </c>
      <c r="X1922" s="8" t="str">
        <f>IF(Final_Sans_VGE[[#This Row],[ppn_z]]="","",IFERROR(
   IF(_xlfn.XLOOKUP(Final_Sans_VGE[[#This Row],[ppn_z]],tbl_Historique_Final[ppn_z],tbl_Historique_Final[date_modif])=Final_Sans_VGE[[#This Row],[date_modif]],
      "Ancien",
      "Modifié"),
   "Nouveau"))</f>
        <v>Ancien</v>
      </c>
      <c r="AC1922"/>
      <c r="AD1922"/>
    </row>
    <row r="1923" spans="1:30" ht="45" x14ac:dyDescent="0.25">
      <c r="A1923" s="5" t="s">
        <v>5930</v>
      </c>
      <c r="B1923" s="1" t="s">
        <v>10200</v>
      </c>
      <c r="C1923" s="1" t="s">
        <v>6482</v>
      </c>
      <c r="E1923" s="1" t="s">
        <v>7090</v>
      </c>
      <c r="J1923" s="3">
        <v>46051.6794212963</v>
      </c>
      <c r="K1923" s="2" t="s">
        <v>10201</v>
      </c>
      <c r="L1923" s="1">
        <v>59</v>
      </c>
      <c r="M1923" s="1">
        <v>83</v>
      </c>
      <c r="N1923">
        <v>24</v>
      </c>
      <c r="O1923" s="3">
        <f>IF(
    R1923="Ancien",
    _xlfn.XLOOKUP(
        Final_Sans_VGE[[#This Row],[ppn_z]],
        tbl_Historique_Final[ppn_z],
        tbl_Historique_Final[Horodatage],
        ""
    ),
    Horodatage!$A$2
)</f>
        <v>46233.670796365739</v>
      </c>
      <c r="P1923" s="1" t="str">
        <f>IFERROR(IF(tbl_Historique_Final[[#This Row],[Commentaires]]&lt;&gt;"",tbl_Historique_Final[[#This Row],[Commentaires]],""),"")</f>
        <v/>
      </c>
      <c r="X1923" s="8" t="str">
        <f>IF(Final_Sans_VGE[[#This Row],[ppn_z]]="","",IFERROR(
   IF(_xlfn.XLOOKUP(Final_Sans_VGE[[#This Row],[ppn_z]],tbl_Historique_Final[ppn_z],tbl_Historique_Final[date_modif])=Final_Sans_VGE[[#This Row],[date_modif]],
      "Ancien",
      "Modifié"),
   "Nouveau"))</f>
        <v>Ancien</v>
      </c>
      <c r="AC1923"/>
      <c r="AD1923"/>
    </row>
    <row r="1924" spans="1:30" ht="30" x14ac:dyDescent="0.25">
      <c r="A1924" s="5" t="s">
        <v>5933</v>
      </c>
      <c r="B1924" s="1" t="s">
        <v>10202</v>
      </c>
      <c r="C1924" s="1" t="s">
        <v>51</v>
      </c>
      <c r="E1924" s="1" t="s">
        <v>7546</v>
      </c>
      <c r="J1924" s="3">
        <v>46055.523159722223</v>
      </c>
      <c r="K1924" s="2" t="s">
        <v>10203</v>
      </c>
      <c r="L1924" s="1">
        <v>35</v>
      </c>
      <c r="M1924" s="1">
        <v>37</v>
      </c>
      <c r="N1924">
        <v>2</v>
      </c>
      <c r="O1924" s="3">
        <f>IF(
    R1924="Ancien",
    _xlfn.XLOOKUP(
        Final_Sans_VGE[[#This Row],[ppn_z]],
        tbl_Historique_Final[ppn_z],
        tbl_Historique_Final[Horodatage],
        ""
    ),
    Horodatage!$A$2
)</f>
        <v>46233.670796365739</v>
      </c>
      <c r="P1924" s="1" t="str">
        <f>IFERROR(IF(tbl_Historique_Final[[#This Row],[Commentaires]]&lt;&gt;"",tbl_Historique_Final[[#This Row],[Commentaires]],""),"")</f>
        <v/>
      </c>
      <c r="X1924" s="8" t="str">
        <f>IF(Final_Sans_VGE[[#This Row],[ppn_z]]="","",IFERROR(
   IF(_xlfn.XLOOKUP(Final_Sans_VGE[[#This Row],[ppn_z]],tbl_Historique_Final[ppn_z],tbl_Historique_Final[date_modif])=Final_Sans_VGE[[#This Row],[date_modif]],
      "Ancien",
      "Modifié"),
   "Nouveau"))</f>
        <v>Ancien</v>
      </c>
      <c r="AC1924"/>
      <c r="AD1924"/>
    </row>
    <row r="1925" spans="1:30" x14ac:dyDescent="0.25">
      <c r="A1925" s="5" t="s">
        <v>5936</v>
      </c>
      <c r="B1925" s="1" t="s">
        <v>10204</v>
      </c>
      <c r="C1925" s="1" t="s">
        <v>12</v>
      </c>
      <c r="G1925" s="1" t="s">
        <v>10</v>
      </c>
      <c r="J1925" s="3">
        <v>46055.725671296299</v>
      </c>
      <c r="K1925" s="2" t="s">
        <v>10205</v>
      </c>
      <c r="L1925" s="1">
        <v>0</v>
      </c>
      <c r="M1925" s="1">
        <v>0</v>
      </c>
      <c r="N1925">
        <v>0</v>
      </c>
      <c r="O1925" s="3">
        <f>IF(
    R1925="Ancien",
    _xlfn.XLOOKUP(
        Final_Sans_VGE[[#This Row],[ppn_z]],
        tbl_Historique_Final[ppn_z],
        tbl_Historique_Final[Horodatage],
        ""
    ),
    Horodatage!$A$2
)</f>
        <v>46233.670796365739</v>
      </c>
      <c r="P1925" s="1" t="str">
        <f>IFERROR(IF(tbl_Historique_Final[[#This Row],[Commentaires]]&lt;&gt;"",tbl_Historique_Final[[#This Row],[Commentaires]],""),"")</f>
        <v/>
      </c>
      <c r="X1925" s="8" t="str">
        <f>IF(Final_Sans_VGE[[#This Row],[ppn_z]]="","",IFERROR(
   IF(_xlfn.XLOOKUP(Final_Sans_VGE[[#This Row],[ppn_z]],tbl_Historique_Final[ppn_z],tbl_Historique_Final[date_modif])=Final_Sans_VGE[[#This Row],[date_modif]],
      "Ancien",
      "Modifié"),
   "Nouveau"))</f>
        <v>Ancien</v>
      </c>
      <c r="AC1925"/>
      <c r="AD1925"/>
    </row>
    <row r="1926" spans="1:30" x14ac:dyDescent="0.25">
      <c r="A1926" s="5" t="s">
        <v>5939</v>
      </c>
      <c r="B1926" s="1" t="s">
        <v>10206</v>
      </c>
      <c r="C1926" s="1" t="s">
        <v>12</v>
      </c>
      <c r="G1926" s="1" t="s">
        <v>10</v>
      </c>
      <c r="H1926" s="1" t="s">
        <v>22</v>
      </c>
      <c r="I1926" s="1" t="s">
        <v>22</v>
      </c>
      <c r="J1926" s="3">
        <v>46056.457280092596</v>
      </c>
      <c r="K1926" s="2" t="s">
        <v>10207</v>
      </c>
      <c r="L1926" s="1">
        <v>32</v>
      </c>
      <c r="M1926" s="1">
        <v>32</v>
      </c>
      <c r="N1926">
        <v>0</v>
      </c>
      <c r="O1926" s="3">
        <f>IF(
    R1926="Ancien",
    _xlfn.XLOOKUP(
        Final_Sans_VGE[[#This Row],[ppn_z]],
        tbl_Historique_Final[ppn_z],
        tbl_Historique_Final[Horodatage],
        ""
    ),
    Horodatage!$A$2
)</f>
        <v>46233.670796365739</v>
      </c>
      <c r="P1926" s="1" t="str">
        <f>IFERROR(IF(tbl_Historique_Final[[#This Row],[Commentaires]]&lt;&gt;"",tbl_Historique_Final[[#This Row],[Commentaires]],""),"")</f>
        <v/>
      </c>
      <c r="X1926" s="8" t="str">
        <f>IF(Final_Sans_VGE[[#This Row],[ppn_z]]="","",IFERROR(
   IF(_xlfn.XLOOKUP(Final_Sans_VGE[[#This Row],[ppn_z]],tbl_Historique_Final[ppn_z],tbl_Historique_Final[date_modif])=Final_Sans_VGE[[#This Row],[date_modif]],
      "Ancien",
      "Modifié"),
   "Nouveau"))</f>
        <v>Ancien</v>
      </c>
      <c r="AC1926"/>
      <c r="AD1926"/>
    </row>
    <row r="1927" spans="1:30" x14ac:dyDescent="0.25">
      <c r="A1927" s="5" t="s">
        <v>5942</v>
      </c>
      <c r="B1927" s="1" t="s">
        <v>10208</v>
      </c>
      <c r="J1927" s="3">
        <v>46056.484861111108</v>
      </c>
      <c r="L1927" s="1">
        <v>36</v>
      </c>
      <c r="M1927" s="1">
        <v>36</v>
      </c>
      <c r="N1927">
        <v>0</v>
      </c>
      <c r="O1927" s="3">
        <f>IF(
    R1927="Ancien",
    _xlfn.XLOOKUP(
        Final_Sans_VGE[[#This Row],[ppn_z]],
        tbl_Historique_Final[ppn_z],
        tbl_Historique_Final[Horodatage],
        ""
    ),
    Horodatage!$A$2
)</f>
        <v>46233.670796365739</v>
      </c>
      <c r="P1927" s="1" t="str">
        <f>IFERROR(IF(tbl_Historique_Final[[#This Row],[Commentaires]]&lt;&gt;"",tbl_Historique_Final[[#This Row],[Commentaires]],""),"")</f>
        <v/>
      </c>
      <c r="X1927" s="8" t="str">
        <f>IF(Final_Sans_VGE[[#This Row],[ppn_z]]="","",IFERROR(
   IF(_xlfn.XLOOKUP(Final_Sans_VGE[[#This Row],[ppn_z]],tbl_Historique_Final[ppn_z],tbl_Historique_Final[date_modif])=Final_Sans_VGE[[#This Row],[date_modif]],
      "Ancien",
      "Modifié"),
   "Nouveau"))</f>
        <v>Ancien</v>
      </c>
      <c r="AC1927"/>
      <c r="AD1927"/>
    </row>
    <row r="1928" spans="1:30" ht="60" x14ac:dyDescent="0.25">
      <c r="A1928" s="5" t="s">
        <v>5945</v>
      </c>
      <c r="B1928" s="1" t="s">
        <v>10209</v>
      </c>
      <c r="C1928" s="1" t="s">
        <v>10210</v>
      </c>
      <c r="J1928" s="3">
        <v>46056.621400462966</v>
      </c>
      <c r="K1928" s="2" t="s">
        <v>10211</v>
      </c>
      <c r="L1928" s="1">
        <v>44</v>
      </c>
      <c r="M1928" s="1">
        <v>50</v>
      </c>
      <c r="N1928">
        <v>6</v>
      </c>
      <c r="O1928" s="3">
        <f>IF(
    R1928="Ancien",
    _xlfn.XLOOKUP(
        Final_Sans_VGE[[#This Row],[ppn_z]],
        tbl_Historique_Final[ppn_z],
        tbl_Historique_Final[Horodatage],
        ""
    ),
    Horodatage!$A$2
)</f>
        <v>46233.670796365739</v>
      </c>
      <c r="P1928" s="1" t="str">
        <f>IFERROR(IF(tbl_Historique_Final[[#This Row],[Commentaires]]&lt;&gt;"",tbl_Historique_Final[[#This Row],[Commentaires]],""),"")</f>
        <v/>
      </c>
      <c r="X1928" s="8" t="str">
        <f>IF(Final_Sans_VGE[[#This Row],[ppn_z]]="","",IFERROR(
   IF(_xlfn.XLOOKUP(Final_Sans_VGE[[#This Row],[ppn_z]],tbl_Historique_Final[ppn_z],tbl_Historique_Final[date_modif])=Final_Sans_VGE[[#This Row],[date_modif]],
      "Ancien",
      "Modifié"),
   "Nouveau"))</f>
        <v>Ancien</v>
      </c>
      <c r="AC1928"/>
      <c r="AD1928"/>
    </row>
    <row r="1929" spans="1:30" x14ac:dyDescent="0.25">
      <c r="A1929" s="5" t="s">
        <v>5948</v>
      </c>
      <c r="B1929" s="1" t="s">
        <v>10212</v>
      </c>
      <c r="C1929" s="1" t="s">
        <v>6676</v>
      </c>
      <c r="D1929" s="1" t="s">
        <v>14</v>
      </c>
      <c r="E1929" s="1" t="s">
        <v>78</v>
      </c>
      <c r="F1929" s="1" t="s">
        <v>14</v>
      </c>
      <c r="H1929" s="1" t="s">
        <v>22</v>
      </c>
      <c r="I1929" s="1" t="s">
        <v>22</v>
      </c>
      <c r="J1929" s="3">
        <v>46057.488229166665</v>
      </c>
      <c r="K1929" s="2" t="s">
        <v>10213</v>
      </c>
      <c r="L1929" s="1">
        <v>236</v>
      </c>
      <c r="M1929" s="1">
        <v>274</v>
      </c>
      <c r="N1929">
        <v>38</v>
      </c>
      <c r="O1929" s="3">
        <f>IF(
    R1929="Ancien",
    _xlfn.XLOOKUP(
        Final_Sans_VGE[[#This Row],[ppn_z]],
        tbl_Historique_Final[ppn_z],
        tbl_Historique_Final[Horodatage],
        ""
    ),
    Horodatage!$A$2
)</f>
        <v>46233.670796365739</v>
      </c>
      <c r="P1929" s="1" t="str">
        <f>IFERROR(IF(tbl_Historique_Final[[#This Row],[Commentaires]]&lt;&gt;"",tbl_Historique_Final[[#This Row],[Commentaires]],""),"")</f>
        <v/>
      </c>
      <c r="X1929" s="8" t="str">
        <f>IF(Final_Sans_VGE[[#This Row],[ppn_z]]="","",IFERROR(
   IF(_xlfn.XLOOKUP(Final_Sans_VGE[[#This Row],[ppn_z]],tbl_Historique_Final[ppn_z],tbl_Historique_Final[date_modif])=Final_Sans_VGE[[#This Row],[date_modif]],
      "Ancien",
      "Modifié"),
   "Nouveau"))</f>
        <v>Ancien</v>
      </c>
      <c r="AC1929"/>
      <c r="AD1929"/>
    </row>
    <row r="1930" spans="1:30" ht="45" x14ac:dyDescent="0.25">
      <c r="A1930" s="5" t="s">
        <v>5951</v>
      </c>
      <c r="B1930" s="1" t="s">
        <v>10214</v>
      </c>
      <c r="C1930" s="1" t="s">
        <v>61</v>
      </c>
      <c r="H1930" s="1" t="s">
        <v>22</v>
      </c>
      <c r="I1930" s="1" t="s">
        <v>22</v>
      </c>
      <c r="J1930" s="3">
        <v>46058.603715277779</v>
      </c>
      <c r="K1930" s="2" t="s">
        <v>10215</v>
      </c>
      <c r="L1930" s="1">
        <v>38</v>
      </c>
      <c r="M1930" s="1">
        <v>42</v>
      </c>
      <c r="N1930">
        <v>4</v>
      </c>
      <c r="O1930" s="3">
        <f>IF(
    R1930="Ancien",
    _xlfn.XLOOKUP(
        Final_Sans_VGE[[#This Row],[ppn_z]],
        tbl_Historique_Final[ppn_z],
        tbl_Historique_Final[Horodatage],
        ""
    ),
    Horodatage!$A$2
)</f>
        <v>46233.670796365739</v>
      </c>
      <c r="P1930" s="1" t="str">
        <f>IFERROR(IF(tbl_Historique_Final[[#This Row],[Commentaires]]&lt;&gt;"",tbl_Historique_Final[[#This Row],[Commentaires]],""),"")</f>
        <v/>
      </c>
      <c r="X1930" s="8" t="str">
        <f>IF(Final_Sans_VGE[[#This Row],[ppn_z]]="","",IFERROR(
   IF(_xlfn.XLOOKUP(Final_Sans_VGE[[#This Row],[ppn_z]],tbl_Historique_Final[ppn_z],tbl_Historique_Final[date_modif])=Final_Sans_VGE[[#This Row],[date_modif]],
      "Ancien",
      "Modifié"),
   "Nouveau"))</f>
        <v>Ancien</v>
      </c>
      <c r="AC1930"/>
      <c r="AD1930"/>
    </row>
    <row r="1931" spans="1:30" x14ac:dyDescent="0.25">
      <c r="A1931" s="5" t="s">
        <v>5954</v>
      </c>
      <c r="B1931" s="1" t="s">
        <v>10216</v>
      </c>
      <c r="J1931" s="3">
        <v>46058.632048611114</v>
      </c>
      <c r="L1931" s="1">
        <v>37</v>
      </c>
      <c r="M1931" s="1">
        <v>38</v>
      </c>
      <c r="N1931">
        <v>1</v>
      </c>
      <c r="O1931" s="3">
        <f>IF(
    R1931="Ancien",
    _xlfn.XLOOKUP(
        Final_Sans_VGE[[#This Row],[ppn_z]],
        tbl_Historique_Final[ppn_z],
        tbl_Historique_Final[Horodatage],
        ""
    ),
    Horodatage!$A$2
)</f>
        <v>46233.670796365739</v>
      </c>
      <c r="P1931" s="1" t="str">
        <f>IFERROR(IF(tbl_Historique_Final[[#This Row],[Commentaires]]&lt;&gt;"",tbl_Historique_Final[[#This Row],[Commentaires]],""),"")</f>
        <v/>
      </c>
      <c r="X1931" s="8" t="str">
        <f>IF(Final_Sans_VGE[[#This Row],[ppn_z]]="","",IFERROR(
   IF(_xlfn.XLOOKUP(Final_Sans_VGE[[#This Row],[ppn_z]],tbl_Historique_Final[ppn_z],tbl_Historique_Final[date_modif])=Final_Sans_VGE[[#This Row],[date_modif]],
      "Ancien",
      "Modifié"),
   "Nouveau"))</f>
        <v>Ancien</v>
      </c>
      <c r="AC1931"/>
      <c r="AD1931"/>
    </row>
    <row r="1932" spans="1:30" x14ac:dyDescent="0.25">
      <c r="A1932" s="5" t="s">
        <v>5957</v>
      </c>
      <c r="B1932" s="1" t="s">
        <v>10217</v>
      </c>
      <c r="C1932" s="1" t="s">
        <v>8675</v>
      </c>
      <c r="D1932" s="1" t="s">
        <v>14</v>
      </c>
      <c r="E1932" s="1" t="s">
        <v>8691</v>
      </c>
      <c r="F1932" s="1" t="s">
        <v>14</v>
      </c>
      <c r="G1932" s="1" t="s">
        <v>10</v>
      </c>
      <c r="H1932" s="1" t="s">
        <v>22</v>
      </c>
      <c r="I1932" s="1" t="s">
        <v>22</v>
      </c>
      <c r="J1932" s="3">
        <v>46059.65042824074</v>
      </c>
      <c r="L1932" s="1">
        <v>21</v>
      </c>
      <c r="M1932" s="1">
        <v>23</v>
      </c>
      <c r="N1932">
        <v>2</v>
      </c>
      <c r="O1932" s="3">
        <f>IF(
    R1932="Ancien",
    _xlfn.XLOOKUP(
        Final_Sans_VGE[[#This Row],[ppn_z]],
        tbl_Historique_Final[ppn_z],
        tbl_Historique_Final[Horodatage],
        ""
    ),
    Horodatage!$A$2
)</f>
        <v>46233.670796365739</v>
      </c>
      <c r="P1932" s="1" t="str">
        <f>IFERROR(IF(tbl_Historique_Final[[#This Row],[Commentaires]]&lt;&gt;"",tbl_Historique_Final[[#This Row],[Commentaires]],""),"")</f>
        <v/>
      </c>
      <c r="X1932" s="8" t="str">
        <f>IF(Final_Sans_VGE[[#This Row],[ppn_z]]="","",IFERROR(
   IF(_xlfn.XLOOKUP(Final_Sans_VGE[[#This Row],[ppn_z]],tbl_Historique_Final[ppn_z],tbl_Historique_Final[date_modif])=Final_Sans_VGE[[#This Row],[date_modif]],
      "Ancien",
      "Modifié"),
   "Nouveau"))</f>
        <v>Ancien</v>
      </c>
      <c r="AC1932"/>
      <c r="AD1932"/>
    </row>
    <row r="1933" spans="1:30" ht="45" x14ac:dyDescent="0.25">
      <c r="A1933" s="5" t="s">
        <v>5960</v>
      </c>
      <c r="B1933" s="1" t="s">
        <v>10218</v>
      </c>
      <c r="C1933" s="1" t="s">
        <v>6792</v>
      </c>
      <c r="D1933" s="1" t="s">
        <v>8736</v>
      </c>
      <c r="E1933" s="1" t="s">
        <v>7506</v>
      </c>
      <c r="F1933" s="1" t="s">
        <v>14</v>
      </c>
      <c r="G1933" s="1" t="s">
        <v>10</v>
      </c>
      <c r="H1933" s="1" t="s">
        <v>8969</v>
      </c>
      <c r="I1933" s="1" t="s">
        <v>22</v>
      </c>
      <c r="J1933" s="3">
        <v>46059.654872685183</v>
      </c>
      <c r="K1933" s="2" t="s">
        <v>10219</v>
      </c>
      <c r="L1933" s="1">
        <v>14</v>
      </c>
      <c r="M1933" s="1">
        <v>14</v>
      </c>
      <c r="N1933">
        <v>0</v>
      </c>
      <c r="O1933" s="3">
        <f>IF(
    R1933="Ancien",
    _xlfn.XLOOKUP(
        Final_Sans_VGE[[#This Row],[ppn_z]],
        tbl_Historique_Final[ppn_z],
        tbl_Historique_Final[Horodatage],
        ""
    ),
    Horodatage!$A$2
)</f>
        <v>46233.670796365739</v>
      </c>
      <c r="P1933" s="1" t="str">
        <f>IFERROR(IF(tbl_Historique_Final[[#This Row],[Commentaires]]&lt;&gt;"",tbl_Historique_Final[[#This Row],[Commentaires]],""),"")</f>
        <v/>
      </c>
      <c r="X1933" s="8" t="str">
        <f>IF(Final_Sans_VGE[[#This Row],[ppn_z]]="","",IFERROR(
   IF(_xlfn.XLOOKUP(Final_Sans_VGE[[#This Row],[ppn_z]],tbl_Historique_Final[ppn_z],tbl_Historique_Final[date_modif])=Final_Sans_VGE[[#This Row],[date_modif]],
      "Ancien",
      "Modifié"),
   "Nouveau"))</f>
        <v>Ancien</v>
      </c>
      <c r="AC1933"/>
      <c r="AD1933"/>
    </row>
    <row r="1934" spans="1:30" ht="45" x14ac:dyDescent="0.25">
      <c r="A1934" s="5" t="s">
        <v>5963</v>
      </c>
      <c r="B1934" s="1" t="s">
        <v>10220</v>
      </c>
      <c r="C1934" s="1" t="s">
        <v>166</v>
      </c>
      <c r="J1934" s="3">
        <v>46062.630381944444</v>
      </c>
      <c r="K1934" s="2" t="s">
        <v>10221</v>
      </c>
      <c r="L1934" s="1">
        <v>34</v>
      </c>
      <c r="M1934" s="1">
        <v>39</v>
      </c>
      <c r="N1934">
        <v>5</v>
      </c>
      <c r="O1934" s="3">
        <f>IF(
    R1934="Ancien",
    _xlfn.XLOOKUP(
        Final_Sans_VGE[[#This Row],[ppn_z]],
        tbl_Historique_Final[ppn_z],
        tbl_Historique_Final[Horodatage],
        ""
    ),
    Horodatage!$A$2
)</f>
        <v>46233.670796365739</v>
      </c>
      <c r="P1934" s="1" t="str">
        <f>IFERROR(IF(tbl_Historique_Final[[#This Row],[Commentaires]]&lt;&gt;"",tbl_Historique_Final[[#This Row],[Commentaires]],""),"")</f>
        <v/>
      </c>
      <c r="X1934" s="8" t="str">
        <f>IF(Final_Sans_VGE[[#This Row],[ppn_z]]="","",IFERROR(
   IF(_xlfn.XLOOKUP(Final_Sans_VGE[[#This Row],[ppn_z]],tbl_Historique_Final[ppn_z],tbl_Historique_Final[date_modif])=Final_Sans_VGE[[#This Row],[date_modif]],
      "Ancien",
      "Modifié"),
   "Nouveau"))</f>
        <v>Ancien</v>
      </c>
      <c r="AC1934"/>
      <c r="AD1934"/>
    </row>
    <row r="1935" spans="1:30" ht="45" x14ac:dyDescent="0.25">
      <c r="A1935" s="5" t="s">
        <v>5966</v>
      </c>
      <c r="B1935" s="1" t="s">
        <v>10222</v>
      </c>
      <c r="C1935" s="1" t="s">
        <v>146</v>
      </c>
      <c r="D1935" s="1" t="s">
        <v>14</v>
      </c>
      <c r="E1935" s="1" t="s">
        <v>79</v>
      </c>
      <c r="F1935" s="1" t="s">
        <v>14</v>
      </c>
      <c r="G1935" s="1" t="s">
        <v>10</v>
      </c>
      <c r="H1935" s="1" t="s">
        <v>22</v>
      </c>
      <c r="I1935" s="1" t="s">
        <v>22</v>
      </c>
      <c r="J1935" s="3">
        <v>46065.482581018521</v>
      </c>
      <c r="K1935" s="2" t="s">
        <v>10223</v>
      </c>
      <c r="L1935" s="1">
        <v>10</v>
      </c>
      <c r="M1935" s="1">
        <v>11</v>
      </c>
      <c r="N1935">
        <v>1</v>
      </c>
      <c r="O1935" s="3">
        <f>IF(
    R1935="Ancien",
    _xlfn.XLOOKUP(
        Final_Sans_VGE[[#This Row],[ppn_z]],
        tbl_Historique_Final[ppn_z],
        tbl_Historique_Final[Horodatage],
        ""
    ),
    Horodatage!$A$2
)</f>
        <v>46233.670796365739</v>
      </c>
      <c r="P1935" s="1" t="str">
        <f>IFERROR(IF(tbl_Historique_Final[[#This Row],[Commentaires]]&lt;&gt;"",tbl_Historique_Final[[#This Row],[Commentaires]],""),"")</f>
        <v/>
      </c>
      <c r="X1935" s="8" t="str">
        <f>IF(Final_Sans_VGE[[#This Row],[ppn_z]]="","",IFERROR(
   IF(_xlfn.XLOOKUP(Final_Sans_VGE[[#This Row],[ppn_z]],tbl_Historique_Final[ppn_z],tbl_Historique_Final[date_modif])=Final_Sans_VGE[[#This Row],[date_modif]],
      "Ancien",
      "Modifié"),
   "Nouveau"))</f>
        <v>Ancien</v>
      </c>
      <c r="AC1935"/>
      <c r="AD1935"/>
    </row>
    <row r="1936" spans="1:30" x14ac:dyDescent="0.25">
      <c r="A1936" s="5" t="s">
        <v>5969</v>
      </c>
      <c r="B1936" s="1" t="s">
        <v>10224</v>
      </c>
      <c r="C1936" s="1" t="s">
        <v>8411</v>
      </c>
      <c r="D1936" s="1" t="s">
        <v>14</v>
      </c>
      <c r="E1936" s="1" t="s">
        <v>7496</v>
      </c>
      <c r="F1936" s="1" t="s">
        <v>14</v>
      </c>
      <c r="G1936" s="1" t="s">
        <v>10</v>
      </c>
      <c r="H1936" s="1" t="s">
        <v>10225</v>
      </c>
      <c r="I1936" s="1" t="s">
        <v>22</v>
      </c>
      <c r="J1936" s="3">
        <v>46065.601701388892</v>
      </c>
      <c r="K1936" s="2" t="s">
        <v>10226</v>
      </c>
      <c r="L1936" s="1">
        <v>9</v>
      </c>
      <c r="M1936" s="1">
        <v>10</v>
      </c>
      <c r="N1936">
        <v>1</v>
      </c>
      <c r="O1936" s="3">
        <f>IF(
    R1936="Ancien",
    _xlfn.XLOOKUP(
        Final_Sans_VGE[[#This Row],[ppn_z]],
        tbl_Historique_Final[ppn_z],
        tbl_Historique_Final[Horodatage],
        ""
    ),
    Horodatage!$A$2
)</f>
        <v>46233.670796365739</v>
      </c>
      <c r="P1936" s="1" t="str">
        <f>IFERROR(IF(tbl_Historique_Final[[#This Row],[Commentaires]]&lt;&gt;"",tbl_Historique_Final[[#This Row],[Commentaires]],""),"")</f>
        <v/>
      </c>
      <c r="X1936" s="8" t="str">
        <f>IF(Final_Sans_VGE[[#This Row],[ppn_z]]="","",IFERROR(
   IF(_xlfn.XLOOKUP(Final_Sans_VGE[[#This Row],[ppn_z]],tbl_Historique_Final[ppn_z],tbl_Historique_Final[date_modif])=Final_Sans_VGE[[#This Row],[date_modif]],
      "Ancien",
      "Modifié"),
   "Nouveau"))</f>
        <v>Ancien</v>
      </c>
      <c r="AC1936"/>
      <c r="AD1936"/>
    </row>
    <row r="1937" spans="1:30" ht="120" x14ac:dyDescent="0.25">
      <c r="A1937" s="5" t="s">
        <v>5972</v>
      </c>
      <c r="B1937" s="1" t="s">
        <v>10227</v>
      </c>
      <c r="C1937" s="1" t="s">
        <v>71</v>
      </c>
      <c r="D1937" s="1" t="s">
        <v>14</v>
      </c>
      <c r="G1937" s="1" t="s">
        <v>10</v>
      </c>
      <c r="H1937" s="1" t="s">
        <v>22</v>
      </c>
      <c r="I1937" s="1" t="s">
        <v>22</v>
      </c>
      <c r="J1937" s="3">
        <v>46073.454513888886</v>
      </c>
      <c r="K1937" s="2" t="s">
        <v>10228</v>
      </c>
      <c r="L1937" s="1">
        <v>35</v>
      </c>
      <c r="M1937" s="1">
        <v>47</v>
      </c>
      <c r="N1937">
        <v>12</v>
      </c>
      <c r="O1937" s="3">
        <f>IF(
    R1937="Ancien",
    _xlfn.XLOOKUP(
        Final_Sans_VGE[[#This Row],[ppn_z]],
        tbl_Historique_Final[ppn_z],
        tbl_Historique_Final[Horodatage],
        ""
    ),
    Horodatage!$A$2
)</f>
        <v>46233.670796365739</v>
      </c>
      <c r="P1937" s="1" t="str">
        <f>IFERROR(IF(tbl_Historique_Final[[#This Row],[Commentaires]]&lt;&gt;"",tbl_Historique_Final[[#This Row],[Commentaires]],""),"")</f>
        <v/>
      </c>
      <c r="X1937" s="8" t="str">
        <f>IF(Final_Sans_VGE[[#This Row],[ppn_z]]="","",IFERROR(
   IF(_xlfn.XLOOKUP(Final_Sans_VGE[[#This Row],[ppn_z]],tbl_Historique_Final[ppn_z],tbl_Historique_Final[date_modif])=Final_Sans_VGE[[#This Row],[date_modif]],
      "Ancien",
      "Modifié"),
   "Nouveau"))</f>
        <v>Ancien</v>
      </c>
      <c r="AC1937"/>
      <c r="AD1937"/>
    </row>
    <row r="1938" spans="1:30" ht="30" x14ac:dyDescent="0.25">
      <c r="A1938" s="5" t="s">
        <v>5975</v>
      </c>
      <c r="B1938" s="1" t="s">
        <v>10229</v>
      </c>
      <c r="C1938" s="1" t="s">
        <v>10230</v>
      </c>
      <c r="D1938" s="1" t="s">
        <v>10231</v>
      </c>
      <c r="E1938" s="1" t="s">
        <v>10232</v>
      </c>
      <c r="F1938" s="1" t="s">
        <v>14</v>
      </c>
      <c r="G1938" s="1" t="s">
        <v>11</v>
      </c>
      <c r="H1938" s="1" t="s">
        <v>22</v>
      </c>
      <c r="I1938" s="1" t="s">
        <v>22</v>
      </c>
      <c r="J1938" s="3">
        <v>46076.353449074071</v>
      </c>
      <c r="K1938" s="2" t="s">
        <v>10233</v>
      </c>
      <c r="L1938" s="1">
        <v>16</v>
      </c>
      <c r="M1938" s="1">
        <v>18</v>
      </c>
      <c r="N1938">
        <v>2</v>
      </c>
      <c r="O1938" s="3">
        <f>IF(
    R1938="Ancien",
    _xlfn.XLOOKUP(
        Final_Sans_VGE[[#This Row],[ppn_z]],
        tbl_Historique_Final[ppn_z],
        tbl_Historique_Final[Horodatage],
        ""
    ),
    Horodatage!$A$2
)</f>
        <v>46233.670796365739</v>
      </c>
      <c r="P1938" s="1" t="str">
        <f>IFERROR(IF(tbl_Historique_Final[[#This Row],[Commentaires]]&lt;&gt;"",tbl_Historique_Final[[#This Row],[Commentaires]],""),"")</f>
        <v/>
      </c>
      <c r="X1938" s="8" t="str">
        <f>IF(Final_Sans_VGE[[#This Row],[ppn_z]]="","",IFERROR(
   IF(_xlfn.XLOOKUP(Final_Sans_VGE[[#This Row],[ppn_z]],tbl_Historique_Final[ppn_z],tbl_Historique_Final[date_modif])=Final_Sans_VGE[[#This Row],[date_modif]],
      "Ancien",
      "Modifié"),
   "Nouveau"))</f>
        <v>Ancien</v>
      </c>
      <c r="AC1938"/>
      <c r="AD1938"/>
    </row>
    <row r="1939" spans="1:30" ht="75" x14ac:dyDescent="0.25">
      <c r="A1939" s="5" t="s">
        <v>5978</v>
      </c>
      <c r="B1939" s="1" t="s">
        <v>10234</v>
      </c>
      <c r="C1939" s="1" t="s">
        <v>6783</v>
      </c>
      <c r="J1939" s="3">
        <v>46076.570902777778</v>
      </c>
      <c r="K1939" s="2" t="s">
        <v>10235</v>
      </c>
      <c r="L1939" s="1">
        <v>101</v>
      </c>
      <c r="M1939" s="1">
        <v>114</v>
      </c>
      <c r="N1939">
        <v>13</v>
      </c>
      <c r="O1939" s="3">
        <f>IF(
    R1939="Ancien",
    _xlfn.XLOOKUP(
        Final_Sans_VGE[[#This Row],[ppn_z]],
        tbl_Historique_Final[ppn_z],
        tbl_Historique_Final[Horodatage],
        ""
    ),
    Horodatage!$A$2
)</f>
        <v>46233.670796365739</v>
      </c>
      <c r="P1939" s="1" t="str">
        <f>IFERROR(IF(tbl_Historique_Final[[#This Row],[Commentaires]]&lt;&gt;"",tbl_Historique_Final[[#This Row],[Commentaires]],""),"")</f>
        <v/>
      </c>
      <c r="X1939" s="8" t="str">
        <f>IF(Final_Sans_VGE[[#This Row],[ppn_z]]="","",IFERROR(
   IF(_xlfn.XLOOKUP(Final_Sans_VGE[[#This Row],[ppn_z]],tbl_Historique_Final[ppn_z],tbl_Historique_Final[date_modif])=Final_Sans_VGE[[#This Row],[date_modif]],
      "Ancien",
      "Modifié"),
   "Nouveau"))</f>
        <v>Ancien</v>
      </c>
      <c r="AC1939"/>
      <c r="AD1939"/>
    </row>
    <row r="1940" spans="1:30" x14ac:dyDescent="0.25">
      <c r="A1940" s="5" t="s">
        <v>5981</v>
      </c>
      <c r="B1940" s="1" t="s">
        <v>10236</v>
      </c>
      <c r="C1940" s="1" t="s">
        <v>12</v>
      </c>
      <c r="G1940" s="1" t="s">
        <v>11</v>
      </c>
      <c r="J1940" s="3">
        <v>46076.592407407406</v>
      </c>
      <c r="K1940" s="2" t="s">
        <v>10237</v>
      </c>
      <c r="L1940" s="1">
        <v>28</v>
      </c>
      <c r="M1940" s="1">
        <v>29</v>
      </c>
      <c r="N1940">
        <v>1</v>
      </c>
      <c r="O1940" s="3">
        <f>IF(
    R1940="Ancien",
    _xlfn.XLOOKUP(
        Final_Sans_VGE[[#This Row],[ppn_z]],
        tbl_Historique_Final[ppn_z],
        tbl_Historique_Final[Horodatage],
        ""
    ),
    Horodatage!$A$2
)</f>
        <v>46233.670796365739</v>
      </c>
      <c r="P1940" s="1" t="str">
        <f>IFERROR(IF(tbl_Historique_Final[[#This Row],[Commentaires]]&lt;&gt;"",tbl_Historique_Final[[#This Row],[Commentaires]],""),"")</f>
        <v/>
      </c>
      <c r="X1940" s="8" t="str">
        <f>IF(Final_Sans_VGE[[#This Row],[ppn_z]]="","",IFERROR(
   IF(_xlfn.XLOOKUP(Final_Sans_VGE[[#This Row],[ppn_z]],tbl_Historique_Final[ppn_z],tbl_Historique_Final[date_modif])=Final_Sans_VGE[[#This Row],[date_modif]],
      "Ancien",
      "Modifié"),
   "Nouveau"))</f>
        <v>Ancien</v>
      </c>
      <c r="AC1940"/>
      <c r="AD1940"/>
    </row>
    <row r="1941" spans="1:30" ht="30" x14ac:dyDescent="0.25">
      <c r="A1941" s="5" t="s">
        <v>5984</v>
      </c>
      <c r="B1941" s="1" t="s">
        <v>10238</v>
      </c>
      <c r="J1941" s="3">
        <v>46076.617951388886</v>
      </c>
      <c r="K1941" s="2" t="s">
        <v>10239</v>
      </c>
      <c r="L1941" s="1">
        <v>32</v>
      </c>
      <c r="M1941" s="1">
        <v>38</v>
      </c>
      <c r="N1941">
        <v>6</v>
      </c>
      <c r="O1941" s="3">
        <f>IF(
    R1941="Ancien",
    _xlfn.XLOOKUP(
        Final_Sans_VGE[[#This Row],[ppn_z]],
        tbl_Historique_Final[ppn_z],
        tbl_Historique_Final[Horodatage],
        ""
    ),
    Horodatage!$A$2
)</f>
        <v>46233.670796365739</v>
      </c>
      <c r="P1941" s="1" t="str">
        <f>IFERROR(IF(tbl_Historique_Final[[#This Row],[Commentaires]]&lt;&gt;"",tbl_Historique_Final[[#This Row],[Commentaires]],""),"")</f>
        <v/>
      </c>
      <c r="X1941" s="8" t="str">
        <f>IF(Final_Sans_VGE[[#This Row],[ppn_z]]="","",IFERROR(
   IF(_xlfn.XLOOKUP(Final_Sans_VGE[[#This Row],[ppn_z]],tbl_Historique_Final[ppn_z],tbl_Historique_Final[date_modif])=Final_Sans_VGE[[#This Row],[date_modif]],
      "Ancien",
      "Modifié"),
   "Nouveau"))</f>
        <v>Ancien</v>
      </c>
      <c r="AC1941"/>
      <c r="AD1941"/>
    </row>
    <row r="1942" spans="1:30" ht="45" x14ac:dyDescent="0.25">
      <c r="A1942" s="5" t="s">
        <v>5987</v>
      </c>
      <c r="B1942" s="1" t="s">
        <v>10240</v>
      </c>
      <c r="C1942" s="1" t="s">
        <v>8832</v>
      </c>
      <c r="D1942" s="1" t="s">
        <v>14</v>
      </c>
      <c r="E1942" s="1" t="s">
        <v>8266</v>
      </c>
      <c r="F1942" s="1" t="s">
        <v>14</v>
      </c>
      <c r="G1942" s="1" t="s">
        <v>10</v>
      </c>
      <c r="H1942" s="1" t="s">
        <v>22</v>
      </c>
      <c r="I1942" s="1" t="s">
        <v>22</v>
      </c>
      <c r="J1942" s="3">
        <v>46080.60324074074</v>
      </c>
      <c r="K1942" s="2" t="s">
        <v>10241</v>
      </c>
      <c r="L1942" s="1">
        <v>82</v>
      </c>
      <c r="M1942" s="1">
        <v>83</v>
      </c>
      <c r="N1942">
        <v>1</v>
      </c>
      <c r="O1942" s="3">
        <f>IF(
    R1942="Ancien",
    _xlfn.XLOOKUP(
        Final_Sans_VGE[[#This Row],[ppn_z]],
        tbl_Historique_Final[ppn_z],
        tbl_Historique_Final[Horodatage],
        ""
    ),
    Horodatage!$A$2
)</f>
        <v>46233.670796365739</v>
      </c>
      <c r="P1942" s="1" t="str">
        <f>IFERROR(IF(tbl_Historique_Final[[#This Row],[Commentaires]]&lt;&gt;"",tbl_Historique_Final[[#This Row],[Commentaires]],""),"")</f>
        <v/>
      </c>
      <c r="X1942" s="8" t="str">
        <f>IF(Final_Sans_VGE[[#This Row],[ppn_z]]="","",IFERROR(
   IF(_xlfn.XLOOKUP(Final_Sans_VGE[[#This Row],[ppn_z]],tbl_Historique_Final[ppn_z],tbl_Historique_Final[date_modif])=Final_Sans_VGE[[#This Row],[date_modif]],
      "Ancien",
      "Modifié"),
   "Nouveau"))</f>
        <v>Ancien</v>
      </c>
      <c r="AC1942"/>
      <c r="AD1942"/>
    </row>
    <row r="1943" spans="1:30" x14ac:dyDescent="0.25">
      <c r="A1943" s="5" t="s">
        <v>5990</v>
      </c>
      <c r="B1943" s="1" t="s">
        <v>10242</v>
      </c>
      <c r="C1943" s="1" t="s">
        <v>10243</v>
      </c>
      <c r="D1943" s="1" t="s">
        <v>14</v>
      </c>
      <c r="E1943" s="1" t="s">
        <v>9912</v>
      </c>
      <c r="F1943" s="1" t="s">
        <v>14</v>
      </c>
      <c r="G1943" s="1" t="s">
        <v>10</v>
      </c>
      <c r="H1943" s="1" t="s">
        <v>8402</v>
      </c>
      <c r="I1943" s="1" t="s">
        <v>22</v>
      </c>
      <c r="J1943" s="3">
        <v>46080.680868055555</v>
      </c>
      <c r="K1943" s="2" t="s">
        <v>7461</v>
      </c>
      <c r="L1943" s="1">
        <v>7</v>
      </c>
      <c r="M1943" s="1">
        <v>8</v>
      </c>
      <c r="N1943">
        <v>1</v>
      </c>
      <c r="O1943" s="3">
        <f>IF(
    R1943="Ancien",
    _xlfn.XLOOKUP(
        Final_Sans_VGE[[#This Row],[ppn_z]],
        tbl_Historique_Final[ppn_z],
        tbl_Historique_Final[Horodatage],
        ""
    ),
    Horodatage!$A$2
)</f>
        <v>46233.670796365739</v>
      </c>
      <c r="P1943" s="1" t="str">
        <f>IFERROR(IF(tbl_Historique_Final[[#This Row],[Commentaires]]&lt;&gt;"",tbl_Historique_Final[[#This Row],[Commentaires]],""),"")</f>
        <v/>
      </c>
      <c r="X1943" s="8" t="str">
        <f>IF(Final_Sans_VGE[[#This Row],[ppn_z]]="","",IFERROR(
   IF(_xlfn.XLOOKUP(Final_Sans_VGE[[#This Row],[ppn_z]],tbl_Historique_Final[ppn_z],tbl_Historique_Final[date_modif])=Final_Sans_VGE[[#This Row],[date_modif]],
      "Ancien",
      "Modifié"),
   "Nouveau"))</f>
        <v>Ancien</v>
      </c>
      <c r="AC1943"/>
      <c r="AD1943"/>
    </row>
    <row r="1944" spans="1:30" x14ac:dyDescent="0.25">
      <c r="A1944" s="5" t="s">
        <v>5993</v>
      </c>
      <c r="B1944" s="1" t="s">
        <v>10244</v>
      </c>
      <c r="C1944" s="1" t="s">
        <v>12</v>
      </c>
      <c r="G1944" s="1" t="s">
        <v>10</v>
      </c>
      <c r="H1944" s="1" t="s">
        <v>22</v>
      </c>
      <c r="I1944" s="1" t="s">
        <v>22</v>
      </c>
      <c r="J1944" s="3">
        <v>46086.578379629631</v>
      </c>
      <c r="K1944" s="2" t="s">
        <v>10245</v>
      </c>
      <c r="L1944" s="1">
        <v>22</v>
      </c>
      <c r="M1944" s="1">
        <v>44</v>
      </c>
      <c r="N1944">
        <v>22</v>
      </c>
      <c r="O1944" s="3">
        <f>IF(
    R1944="Ancien",
    _xlfn.XLOOKUP(
        Final_Sans_VGE[[#This Row],[ppn_z]],
        tbl_Historique_Final[ppn_z],
        tbl_Historique_Final[Horodatage],
        ""
    ),
    Horodatage!$A$2
)</f>
        <v>46233.670796365739</v>
      </c>
      <c r="P1944" s="1" t="str">
        <f>IFERROR(IF(tbl_Historique_Final[[#This Row],[Commentaires]]&lt;&gt;"",tbl_Historique_Final[[#This Row],[Commentaires]],""),"")</f>
        <v/>
      </c>
      <c r="X1944" s="8" t="str">
        <f>IF(Final_Sans_VGE[[#This Row],[ppn_z]]="","",IFERROR(
   IF(_xlfn.XLOOKUP(Final_Sans_VGE[[#This Row],[ppn_z]],tbl_Historique_Final[ppn_z],tbl_Historique_Final[date_modif])=Final_Sans_VGE[[#This Row],[date_modif]],
      "Ancien",
      "Modifié"),
   "Nouveau"))</f>
        <v>Ancien</v>
      </c>
      <c r="AC1944"/>
      <c r="AD1944"/>
    </row>
    <row r="1945" spans="1:30" x14ac:dyDescent="0.25">
      <c r="A1945" s="5" t="s">
        <v>5996</v>
      </c>
      <c r="B1945" s="1" t="s">
        <v>10246</v>
      </c>
      <c r="J1945" s="3">
        <v>46086.66201388889</v>
      </c>
      <c r="L1945" s="1">
        <v>2</v>
      </c>
      <c r="M1945" s="1">
        <v>4</v>
      </c>
      <c r="N1945">
        <v>2</v>
      </c>
      <c r="O1945" s="3">
        <f>IF(
    R1945="Ancien",
    _xlfn.XLOOKUP(
        Final_Sans_VGE[[#This Row],[ppn_z]],
        tbl_Historique_Final[ppn_z],
        tbl_Historique_Final[Horodatage],
        ""
    ),
    Horodatage!$A$2
)</f>
        <v>46233.670796365739</v>
      </c>
      <c r="P1945" s="1" t="str">
        <f>IFERROR(IF(tbl_Historique_Final[[#This Row],[Commentaires]]&lt;&gt;"",tbl_Historique_Final[[#This Row],[Commentaires]],""),"")</f>
        <v/>
      </c>
      <c r="X1945" s="8" t="str">
        <f>IF(Final_Sans_VGE[[#This Row],[ppn_z]]="","",IFERROR(
   IF(_xlfn.XLOOKUP(Final_Sans_VGE[[#This Row],[ppn_z]],tbl_Historique_Final[ppn_z],tbl_Historique_Final[date_modif])=Final_Sans_VGE[[#This Row],[date_modif]],
      "Ancien",
      "Modifié"),
   "Nouveau"))</f>
        <v>Ancien</v>
      </c>
      <c r="AC1945"/>
      <c r="AD1945"/>
    </row>
    <row r="1946" spans="1:30" ht="30" x14ac:dyDescent="0.25">
      <c r="A1946" s="5" t="s">
        <v>5999</v>
      </c>
      <c r="B1946" s="1" t="s">
        <v>10247</v>
      </c>
      <c r="C1946" s="1" t="s">
        <v>12</v>
      </c>
      <c r="G1946" s="1" t="s">
        <v>11</v>
      </c>
      <c r="J1946" s="3">
        <v>46091.701296296298</v>
      </c>
      <c r="K1946" s="2" t="s">
        <v>10248</v>
      </c>
      <c r="L1946" s="1">
        <v>21</v>
      </c>
      <c r="M1946" s="1">
        <v>26</v>
      </c>
      <c r="N1946">
        <v>5</v>
      </c>
      <c r="O1946" s="3">
        <f>IF(
    R1946="Ancien",
    _xlfn.XLOOKUP(
        Final_Sans_VGE[[#This Row],[ppn_z]],
        tbl_Historique_Final[ppn_z],
        tbl_Historique_Final[Horodatage],
        ""
    ),
    Horodatage!$A$2
)</f>
        <v>46233.670796365739</v>
      </c>
      <c r="P1946" s="1" t="str">
        <f>IFERROR(IF(tbl_Historique_Final[[#This Row],[Commentaires]]&lt;&gt;"",tbl_Historique_Final[[#This Row],[Commentaires]],""),"")</f>
        <v/>
      </c>
      <c r="X1946" s="8" t="str">
        <f>IF(Final_Sans_VGE[[#This Row],[ppn_z]]="","",IFERROR(
   IF(_xlfn.XLOOKUP(Final_Sans_VGE[[#This Row],[ppn_z]],tbl_Historique_Final[ppn_z],tbl_Historique_Final[date_modif])=Final_Sans_VGE[[#This Row],[date_modif]],
      "Ancien",
      "Modifié"),
   "Nouveau"))</f>
        <v>Ancien</v>
      </c>
      <c r="AC1946"/>
      <c r="AD1946"/>
    </row>
    <row r="1947" spans="1:30" x14ac:dyDescent="0.25">
      <c r="A1947" s="5" t="s">
        <v>6002</v>
      </c>
      <c r="B1947" s="1" t="s">
        <v>10249</v>
      </c>
      <c r="C1947" s="1" t="s">
        <v>10250</v>
      </c>
      <c r="J1947" s="3">
        <v>46097.539652777778</v>
      </c>
      <c r="L1947" s="1">
        <v>4</v>
      </c>
      <c r="M1947" s="1">
        <v>4</v>
      </c>
      <c r="N1947">
        <v>0</v>
      </c>
      <c r="O1947" s="3">
        <f>IF(
    R1947="Ancien",
    _xlfn.XLOOKUP(
        Final_Sans_VGE[[#This Row],[ppn_z]],
        tbl_Historique_Final[ppn_z],
        tbl_Historique_Final[Horodatage],
        ""
    ),
    Horodatage!$A$2
)</f>
        <v>46233.670796365739</v>
      </c>
      <c r="P1947" s="1" t="str">
        <f>IFERROR(IF(tbl_Historique_Final[[#This Row],[Commentaires]]&lt;&gt;"",tbl_Historique_Final[[#This Row],[Commentaires]],""),"")</f>
        <v/>
      </c>
      <c r="X1947" s="8" t="str">
        <f>IF(Final_Sans_VGE[[#This Row],[ppn_z]]="","",IFERROR(
   IF(_xlfn.XLOOKUP(Final_Sans_VGE[[#This Row],[ppn_z]],tbl_Historique_Final[ppn_z],tbl_Historique_Final[date_modif])=Final_Sans_VGE[[#This Row],[date_modif]],
      "Ancien",
      "Modifié"),
   "Nouveau"))</f>
        <v>Ancien</v>
      </c>
      <c r="AC1947"/>
      <c r="AD1947"/>
    </row>
    <row r="1948" spans="1:30" ht="195" x14ac:dyDescent="0.25">
      <c r="A1948" s="5" t="s">
        <v>6005</v>
      </c>
      <c r="B1948" s="1" t="s">
        <v>10251</v>
      </c>
      <c r="C1948" s="1" t="s">
        <v>10252</v>
      </c>
      <c r="D1948" s="1" t="s">
        <v>8318</v>
      </c>
      <c r="E1948" s="1" t="s">
        <v>9757</v>
      </c>
      <c r="F1948" s="1" t="s">
        <v>14</v>
      </c>
      <c r="G1948" s="1" t="s">
        <v>10</v>
      </c>
      <c r="H1948" s="1" t="s">
        <v>22</v>
      </c>
      <c r="I1948" s="1" t="s">
        <v>22</v>
      </c>
      <c r="J1948" s="3">
        <v>46098.605115740742</v>
      </c>
      <c r="K1948" s="2" t="s">
        <v>10253</v>
      </c>
      <c r="L1948" s="1">
        <v>17</v>
      </c>
      <c r="M1948" s="1">
        <v>17</v>
      </c>
      <c r="N1948">
        <v>0</v>
      </c>
      <c r="O1948" s="3">
        <f>IF(
    R1948="Ancien",
    _xlfn.XLOOKUP(
        Final_Sans_VGE[[#This Row],[ppn_z]],
        tbl_Historique_Final[ppn_z],
        tbl_Historique_Final[Horodatage],
        ""
    ),
    Horodatage!$A$2
)</f>
        <v>46233.670796365739</v>
      </c>
      <c r="P1948" s="1" t="str">
        <f>IFERROR(IF(tbl_Historique_Final[[#This Row],[Commentaires]]&lt;&gt;"",tbl_Historique_Final[[#This Row],[Commentaires]],""),"")</f>
        <v/>
      </c>
      <c r="X1948" s="8" t="str">
        <f>IF(Final_Sans_VGE[[#This Row],[ppn_z]]="","",IFERROR(
   IF(_xlfn.XLOOKUP(Final_Sans_VGE[[#This Row],[ppn_z]],tbl_Historique_Final[ppn_z],tbl_Historique_Final[date_modif])=Final_Sans_VGE[[#This Row],[date_modif]],
      "Ancien",
      "Modifié"),
   "Nouveau"))</f>
        <v>Ancien</v>
      </c>
      <c r="AC1948"/>
      <c r="AD1948"/>
    </row>
    <row r="1949" spans="1:30" ht="30" x14ac:dyDescent="0.25">
      <c r="A1949" s="5" t="s">
        <v>6008</v>
      </c>
      <c r="B1949" s="1" t="s">
        <v>10254</v>
      </c>
      <c r="C1949" s="1" t="s">
        <v>8735</v>
      </c>
      <c r="D1949" s="1" t="s">
        <v>14</v>
      </c>
      <c r="E1949" s="1" t="s">
        <v>122</v>
      </c>
      <c r="F1949" s="1" t="s">
        <v>133</v>
      </c>
      <c r="H1949" s="1" t="s">
        <v>140</v>
      </c>
      <c r="I1949" s="1" t="s">
        <v>10529</v>
      </c>
      <c r="J1949" s="3">
        <v>46098.748402777775</v>
      </c>
      <c r="K1949" s="2" t="s">
        <v>10255</v>
      </c>
      <c r="L1949" s="1">
        <v>8</v>
      </c>
      <c r="M1949" s="1">
        <v>9</v>
      </c>
      <c r="N1949">
        <v>1</v>
      </c>
      <c r="O1949" s="3">
        <f>IF(
    R1949="Ancien",
    _xlfn.XLOOKUP(
        Final_Sans_VGE[[#This Row],[ppn_z]],
        tbl_Historique_Final[ppn_z],
        tbl_Historique_Final[Horodatage],
        ""
    ),
    Horodatage!$A$2
)</f>
        <v>46233.670796365739</v>
      </c>
      <c r="P1949" s="1" t="str">
        <f>IFERROR(IF(tbl_Historique_Final[[#This Row],[Commentaires]]&lt;&gt;"",tbl_Historique_Final[[#This Row],[Commentaires]],""),"")</f>
        <v/>
      </c>
      <c r="X1949" s="8" t="str">
        <f>IF(Final_Sans_VGE[[#This Row],[ppn_z]]="","",IFERROR(
   IF(_xlfn.XLOOKUP(Final_Sans_VGE[[#This Row],[ppn_z]],tbl_Historique_Final[ppn_z],tbl_Historique_Final[date_modif])=Final_Sans_VGE[[#This Row],[date_modif]],
      "Ancien",
      "Modifié"),
   "Nouveau"))</f>
        <v>Ancien</v>
      </c>
      <c r="AC1949"/>
      <c r="AD1949"/>
    </row>
    <row r="1950" spans="1:30" ht="45" x14ac:dyDescent="0.25">
      <c r="A1950" s="5" t="s">
        <v>6011</v>
      </c>
      <c r="B1950" s="1" t="s">
        <v>10256</v>
      </c>
      <c r="C1950" s="1" t="s">
        <v>6406</v>
      </c>
      <c r="J1950" s="3">
        <v>46098.763807870368</v>
      </c>
      <c r="K1950" s="2" t="s">
        <v>10257</v>
      </c>
      <c r="L1950" s="1">
        <v>3</v>
      </c>
      <c r="M1950" s="1">
        <v>5</v>
      </c>
      <c r="N1950">
        <v>2</v>
      </c>
      <c r="O1950" s="3">
        <f>IF(
    R1950="Ancien",
    _xlfn.XLOOKUP(
        Final_Sans_VGE[[#This Row],[ppn_z]],
        tbl_Historique_Final[ppn_z],
        tbl_Historique_Final[Horodatage],
        ""
    ),
    Horodatage!$A$2
)</f>
        <v>46233.670796365739</v>
      </c>
      <c r="P1950" s="1" t="str">
        <f>IFERROR(IF(tbl_Historique_Final[[#This Row],[Commentaires]]&lt;&gt;"",tbl_Historique_Final[[#This Row],[Commentaires]],""),"")</f>
        <v/>
      </c>
      <c r="X1950" s="8" t="str">
        <f>IF(Final_Sans_VGE[[#This Row],[ppn_z]]="","",IFERROR(
   IF(_xlfn.XLOOKUP(Final_Sans_VGE[[#This Row],[ppn_z]],tbl_Historique_Final[ppn_z],tbl_Historique_Final[date_modif])=Final_Sans_VGE[[#This Row],[date_modif]],
      "Ancien",
      "Modifié"),
   "Nouveau"))</f>
        <v>Ancien</v>
      </c>
      <c r="AC1950"/>
      <c r="AD1950"/>
    </row>
    <row r="1951" spans="1:30" x14ac:dyDescent="0.25">
      <c r="A1951" s="5" t="s">
        <v>6014</v>
      </c>
      <c r="B1951" s="1" t="s">
        <v>10258</v>
      </c>
      <c r="C1951" s="1" t="s">
        <v>10259</v>
      </c>
      <c r="E1951" s="1" t="s">
        <v>8625</v>
      </c>
      <c r="G1951" s="1" t="s">
        <v>10</v>
      </c>
      <c r="J1951" s="3">
        <v>46098.768009259256</v>
      </c>
      <c r="K1951" s="2" t="s">
        <v>10260</v>
      </c>
      <c r="L1951" s="1">
        <v>1</v>
      </c>
      <c r="M1951" s="1">
        <v>1</v>
      </c>
      <c r="N1951">
        <v>0</v>
      </c>
      <c r="O1951" s="3">
        <f>IF(
    R1951="Ancien",
    _xlfn.XLOOKUP(
        Final_Sans_VGE[[#This Row],[ppn_z]],
        tbl_Historique_Final[ppn_z],
        tbl_Historique_Final[Horodatage],
        ""
    ),
    Horodatage!$A$2
)</f>
        <v>46233.670796365739</v>
      </c>
      <c r="P1951" s="1" t="str">
        <f>IFERROR(IF(tbl_Historique_Final[[#This Row],[Commentaires]]&lt;&gt;"",tbl_Historique_Final[[#This Row],[Commentaires]],""),"")</f>
        <v/>
      </c>
      <c r="X1951" s="8" t="str">
        <f>IF(Final_Sans_VGE[[#This Row],[ppn_z]]="","",IFERROR(
   IF(_xlfn.XLOOKUP(Final_Sans_VGE[[#This Row],[ppn_z]],tbl_Historique_Final[ppn_z],tbl_Historique_Final[date_modif])=Final_Sans_VGE[[#This Row],[date_modif]],
      "Ancien",
      "Modifié"),
   "Nouveau"))</f>
        <v>Ancien</v>
      </c>
      <c r="AC1951"/>
      <c r="AD1951"/>
    </row>
    <row r="1952" spans="1:30" x14ac:dyDescent="0.25">
      <c r="A1952" s="5" t="s">
        <v>6017</v>
      </c>
      <c r="B1952" s="1" t="s">
        <v>10261</v>
      </c>
      <c r="C1952" s="1" t="s">
        <v>62</v>
      </c>
      <c r="G1952" s="1" t="s">
        <v>10</v>
      </c>
      <c r="H1952" s="1" t="s">
        <v>22</v>
      </c>
      <c r="I1952" s="1" t="s">
        <v>14</v>
      </c>
      <c r="J1952" s="3">
        <v>46105.495868055557</v>
      </c>
      <c r="K1952" s="2" t="s">
        <v>10262</v>
      </c>
      <c r="L1952" s="1">
        <v>110</v>
      </c>
      <c r="M1952" s="1">
        <v>112</v>
      </c>
      <c r="N1952">
        <v>2</v>
      </c>
      <c r="O1952" s="3">
        <f>IF(
    R1952="Ancien",
    _xlfn.XLOOKUP(
        Final_Sans_VGE[[#This Row],[ppn_z]],
        tbl_Historique_Final[ppn_z],
        tbl_Historique_Final[Horodatage],
        ""
    ),
    Horodatage!$A$2
)</f>
        <v>46233.670796365739</v>
      </c>
      <c r="P1952" s="1" t="str">
        <f>IFERROR(IF(tbl_Historique_Final[[#This Row],[Commentaires]]&lt;&gt;"",tbl_Historique_Final[[#This Row],[Commentaires]],""),"")</f>
        <v/>
      </c>
      <c r="X1952" s="8" t="str">
        <f>IF(Final_Sans_VGE[[#This Row],[ppn_z]]="","",IFERROR(
   IF(_xlfn.XLOOKUP(Final_Sans_VGE[[#This Row],[ppn_z]],tbl_Historique_Final[ppn_z],tbl_Historique_Final[date_modif])=Final_Sans_VGE[[#This Row],[date_modif]],
      "Ancien",
      "Modifié"),
   "Nouveau"))</f>
        <v>Ancien</v>
      </c>
      <c r="AC1952"/>
      <c r="AD1952"/>
    </row>
    <row r="1953" spans="1:30" x14ac:dyDescent="0.25">
      <c r="A1953" s="5" t="s">
        <v>6020</v>
      </c>
      <c r="B1953" s="1" t="s">
        <v>10263</v>
      </c>
      <c r="J1953" s="3">
        <v>46105.731238425928</v>
      </c>
      <c r="L1953" s="1">
        <v>22</v>
      </c>
      <c r="M1953" s="1">
        <v>29</v>
      </c>
      <c r="N1953">
        <v>7</v>
      </c>
      <c r="O1953" s="3">
        <f>IF(
    R1953="Ancien",
    _xlfn.XLOOKUP(
        Final_Sans_VGE[[#This Row],[ppn_z]],
        tbl_Historique_Final[ppn_z],
        tbl_Historique_Final[Horodatage],
        ""
    ),
    Horodatage!$A$2
)</f>
        <v>46233.670796365739</v>
      </c>
      <c r="P1953" s="1" t="str">
        <f>IFERROR(IF(tbl_Historique_Final[[#This Row],[Commentaires]]&lt;&gt;"",tbl_Historique_Final[[#This Row],[Commentaires]],""),"")</f>
        <v/>
      </c>
      <c r="X1953" s="8" t="str">
        <f>IF(Final_Sans_VGE[[#This Row],[ppn_z]]="","",IFERROR(
   IF(_xlfn.XLOOKUP(Final_Sans_VGE[[#This Row],[ppn_z]],tbl_Historique_Final[ppn_z],tbl_Historique_Final[date_modif])=Final_Sans_VGE[[#This Row],[date_modif]],
      "Ancien",
      "Modifié"),
   "Nouveau"))</f>
        <v>Ancien</v>
      </c>
      <c r="AC1953"/>
      <c r="AD1953"/>
    </row>
    <row r="1954" spans="1:30" x14ac:dyDescent="0.25">
      <c r="A1954" s="5" t="s">
        <v>6023</v>
      </c>
      <c r="B1954" s="1" t="s">
        <v>10264</v>
      </c>
      <c r="J1954" s="3">
        <v>46105.736956018518</v>
      </c>
      <c r="L1954" s="1">
        <v>34</v>
      </c>
      <c r="M1954" s="1">
        <v>45</v>
      </c>
      <c r="N1954">
        <v>11</v>
      </c>
      <c r="O1954" s="3">
        <f>IF(
    R1954="Ancien",
    _xlfn.XLOOKUP(
        Final_Sans_VGE[[#This Row],[ppn_z]],
        tbl_Historique_Final[ppn_z],
        tbl_Historique_Final[Horodatage],
        ""
    ),
    Horodatage!$A$2
)</f>
        <v>46233.670796365739</v>
      </c>
      <c r="P1954" s="1" t="str">
        <f>IFERROR(IF(tbl_Historique_Final[[#This Row],[Commentaires]]&lt;&gt;"",tbl_Historique_Final[[#This Row],[Commentaires]],""),"")</f>
        <v/>
      </c>
      <c r="X1954" s="8" t="str">
        <f>IF(Final_Sans_VGE[[#This Row],[ppn_z]]="","",IFERROR(
   IF(_xlfn.XLOOKUP(Final_Sans_VGE[[#This Row],[ppn_z]],tbl_Historique_Final[ppn_z],tbl_Historique_Final[date_modif])=Final_Sans_VGE[[#This Row],[date_modif]],
      "Ancien",
      "Modifié"),
   "Nouveau"))</f>
        <v>Ancien</v>
      </c>
      <c r="AC1954"/>
      <c r="AD1954"/>
    </row>
    <row r="1955" spans="1:30" x14ac:dyDescent="0.25">
      <c r="A1955" s="5" t="s">
        <v>6026</v>
      </c>
      <c r="B1955" s="1" t="s">
        <v>10265</v>
      </c>
      <c r="J1955" s="3">
        <v>46105.747164351851</v>
      </c>
      <c r="L1955" s="1">
        <v>29</v>
      </c>
      <c r="M1955" s="1">
        <v>36</v>
      </c>
      <c r="N1955">
        <v>7</v>
      </c>
      <c r="O1955" s="3">
        <f>IF(
    R1955="Ancien",
    _xlfn.XLOOKUP(
        Final_Sans_VGE[[#This Row],[ppn_z]],
        tbl_Historique_Final[ppn_z],
        tbl_Historique_Final[Horodatage],
        ""
    ),
    Horodatage!$A$2
)</f>
        <v>46233.670796365739</v>
      </c>
      <c r="P1955" s="1" t="str">
        <f>IFERROR(IF(tbl_Historique_Final[[#This Row],[Commentaires]]&lt;&gt;"",tbl_Historique_Final[[#This Row],[Commentaires]],""),"")</f>
        <v/>
      </c>
      <c r="X1955" s="8" t="str">
        <f>IF(Final_Sans_VGE[[#This Row],[ppn_z]]="","",IFERROR(
   IF(_xlfn.XLOOKUP(Final_Sans_VGE[[#This Row],[ppn_z]],tbl_Historique_Final[ppn_z],tbl_Historique_Final[date_modif])=Final_Sans_VGE[[#This Row],[date_modif]],
      "Ancien",
      "Modifié"),
   "Nouveau"))</f>
        <v>Ancien</v>
      </c>
      <c r="AC1955"/>
      <c r="AD1955"/>
    </row>
    <row r="1956" spans="1:30" ht="75" x14ac:dyDescent="0.25">
      <c r="A1956" s="5" t="s">
        <v>6029</v>
      </c>
      <c r="B1956" s="1" t="s">
        <v>10266</v>
      </c>
      <c r="E1956" s="1" t="s">
        <v>73</v>
      </c>
      <c r="J1956" s="3">
        <v>46105.749606481484</v>
      </c>
      <c r="K1956" s="2" t="s">
        <v>10267</v>
      </c>
      <c r="L1956" s="1">
        <v>43</v>
      </c>
      <c r="M1956" s="1">
        <v>50</v>
      </c>
      <c r="N1956">
        <v>7</v>
      </c>
      <c r="O1956" s="3">
        <f>IF(
    R1956="Ancien",
    _xlfn.XLOOKUP(
        Final_Sans_VGE[[#This Row],[ppn_z]],
        tbl_Historique_Final[ppn_z],
        tbl_Historique_Final[Horodatage],
        ""
    ),
    Horodatage!$A$2
)</f>
        <v>46233.670796365739</v>
      </c>
      <c r="P1956" s="1" t="str">
        <f>IFERROR(IF(tbl_Historique_Final[[#This Row],[Commentaires]]&lt;&gt;"",tbl_Historique_Final[[#This Row],[Commentaires]],""),"")</f>
        <v/>
      </c>
      <c r="X1956" s="8" t="str">
        <f>IF(Final_Sans_VGE[[#This Row],[ppn_z]]="","",IFERROR(
   IF(_xlfn.XLOOKUP(Final_Sans_VGE[[#This Row],[ppn_z]],tbl_Historique_Final[ppn_z],tbl_Historique_Final[date_modif])=Final_Sans_VGE[[#This Row],[date_modif]],
      "Ancien",
      "Modifié"),
   "Nouveau"))</f>
        <v>Ancien</v>
      </c>
      <c r="AC1956"/>
      <c r="AD1956"/>
    </row>
    <row r="1957" spans="1:30" x14ac:dyDescent="0.25">
      <c r="A1957" s="5" t="s">
        <v>6032</v>
      </c>
      <c r="B1957" s="1" t="s">
        <v>10268</v>
      </c>
      <c r="C1957" s="1" t="s">
        <v>7692</v>
      </c>
      <c r="J1957" s="3">
        <v>46105.7499537037</v>
      </c>
      <c r="L1957" s="1">
        <v>43</v>
      </c>
      <c r="M1957" s="1">
        <v>46</v>
      </c>
      <c r="N1957">
        <v>3</v>
      </c>
      <c r="O1957" s="3">
        <f>IF(
    R1957="Ancien",
    _xlfn.XLOOKUP(
        Final_Sans_VGE[[#This Row],[ppn_z]],
        tbl_Historique_Final[ppn_z],
        tbl_Historique_Final[Horodatage],
        ""
    ),
    Horodatage!$A$2
)</f>
        <v>46233.670796365739</v>
      </c>
      <c r="P1957" s="1" t="str">
        <f>IFERROR(IF(tbl_Historique_Final[[#This Row],[Commentaires]]&lt;&gt;"",tbl_Historique_Final[[#This Row],[Commentaires]],""),"")</f>
        <v/>
      </c>
      <c r="X1957" s="8" t="str">
        <f>IF(Final_Sans_VGE[[#This Row],[ppn_z]]="","",IFERROR(
   IF(_xlfn.XLOOKUP(Final_Sans_VGE[[#This Row],[ppn_z]],tbl_Historique_Final[ppn_z],tbl_Historique_Final[date_modif])=Final_Sans_VGE[[#This Row],[date_modif]],
      "Ancien",
      "Modifié"),
   "Nouveau"))</f>
        <v>Ancien</v>
      </c>
      <c r="AC1957"/>
      <c r="AD1957"/>
    </row>
    <row r="1958" spans="1:30" ht="60" x14ac:dyDescent="0.25">
      <c r="A1958" s="5" t="s">
        <v>6035</v>
      </c>
      <c r="B1958" s="1" t="s">
        <v>10269</v>
      </c>
      <c r="C1958" s="1" t="s">
        <v>8691</v>
      </c>
      <c r="E1958" s="1" t="s">
        <v>123</v>
      </c>
      <c r="J1958" s="3">
        <v>46105.750358796293</v>
      </c>
      <c r="K1958" s="2" t="s">
        <v>10270</v>
      </c>
      <c r="L1958" s="1">
        <v>40</v>
      </c>
      <c r="M1958" s="1">
        <v>57</v>
      </c>
      <c r="N1958">
        <v>17</v>
      </c>
      <c r="O1958" s="3">
        <f>IF(
    R1958="Ancien",
    _xlfn.XLOOKUP(
        Final_Sans_VGE[[#This Row],[ppn_z]],
        tbl_Historique_Final[ppn_z],
        tbl_Historique_Final[Horodatage],
        ""
    ),
    Horodatage!$A$2
)</f>
        <v>46233.670796365739</v>
      </c>
      <c r="P1958" s="1" t="str">
        <f>IFERROR(IF(tbl_Historique_Final[[#This Row],[Commentaires]]&lt;&gt;"",tbl_Historique_Final[[#This Row],[Commentaires]],""),"")</f>
        <v/>
      </c>
      <c r="X1958" s="8" t="str">
        <f>IF(Final_Sans_VGE[[#This Row],[ppn_z]]="","",IFERROR(
   IF(_xlfn.XLOOKUP(Final_Sans_VGE[[#This Row],[ppn_z]],tbl_Historique_Final[ppn_z],tbl_Historique_Final[date_modif])=Final_Sans_VGE[[#This Row],[date_modif]],
      "Ancien",
      "Modifié"),
   "Nouveau"))</f>
        <v>Ancien</v>
      </c>
      <c r="AC1958"/>
      <c r="AD1958"/>
    </row>
    <row r="1959" spans="1:30" x14ac:dyDescent="0.25">
      <c r="A1959" s="5" t="s">
        <v>6038</v>
      </c>
      <c r="B1959" s="1" t="s">
        <v>10271</v>
      </c>
      <c r="C1959" s="1" t="s">
        <v>12</v>
      </c>
      <c r="G1959" s="1" t="s">
        <v>10</v>
      </c>
      <c r="H1959" s="1" t="s">
        <v>22</v>
      </c>
      <c r="I1959" s="1" t="s">
        <v>10272</v>
      </c>
      <c r="J1959" s="3">
        <v>46110.450983796298</v>
      </c>
      <c r="K1959" s="2" t="s">
        <v>8873</v>
      </c>
      <c r="L1959" s="1">
        <v>34</v>
      </c>
      <c r="M1959" s="1">
        <v>35</v>
      </c>
      <c r="N1959">
        <v>1</v>
      </c>
      <c r="O1959" s="3">
        <f>IF(
    R1959="Ancien",
    _xlfn.XLOOKUP(
        Final_Sans_VGE[[#This Row],[ppn_z]],
        tbl_Historique_Final[ppn_z],
        tbl_Historique_Final[Horodatage],
        ""
    ),
    Horodatage!$A$2
)</f>
        <v>46233.670796365739</v>
      </c>
      <c r="P1959" s="1" t="str">
        <f>IFERROR(IF(tbl_Historique_Final[[#This Row],[Commentaires]]&lt;&gt;"",tbl_Historique_Final[[#This Row],[Commentaires]],""),"")</f>
        <v/>
      </c>
      <c r="X1959" s="8" t="str">
        <f>IF(Final_Sans_VGE[[#This Row],[ppn_z]]="","",IFERROR(
   IF(_xlfn.XLOOKUP(Final_Sans_VGE[[#This Row],[ppn_z]],tbl_Historique_Final[ppn_z],tbl_Historique_Final[date_modif])=Final_Sans_VGE[[#This Row],[date_modif]],
      "Ancien",
      "Modifié"),
   "Nouveau"))</f>
        <v>Ancien</v>
      </c>
      <c r="AC1959"/>
      <c r="AD1959"/>
    </row>
    <row r="1960" spans="1:30" x14ac:dyDescent="0.25">
      <c r="A1960" s="5" t="s">
        <v>6041</v>
      </c>
      <c r="B1960" s="1" t="s">
        <v>10273</v>
      </c>
      <c r="J1960" s="3">
        <v>46114.502013888887</v>
      </c>
      <c r="L1960" s="1">
        <v>2</v>
      </c>
      <c r="M1960" s="1">
        <v>2</v>
      </c>
      <c r="N1960">
        <v>0</v>
      </c>
      <c r="O1960" s="3">
        <f>IF(
    R1960="Ancien",
    _xlfn.XLOOKUP(
        Final_Sans_VGE[[#This Row],[ppn_z]],
        tbl_Historique_Final[ppn_z],
        tbl_Historique_Final[Horodatage],
        ""
    ),
    Horodatage!$A$2
)</f>
        <v>46233.670796365739</v>
      </c>
      <c r="P1960" s="1" t="str">
        <f>IFERROR(IF(tbl_Historique_Final[[#This Row],[Commentaires]]&lt;&gt;"",tbl_Historique_Final[[#This Row],[Commentaires]],""),"")</f>
        <v/>
      </c>
      <c r="X1960" s="8" t="str">
        <f>IF(Final_Sans_VGE[[#This Row],[ppn_z]]="","",IFERROR(
   IF(_xlfn.XLOOKUP(Final_Sans_VGE[[#This Row],[ppn_z]],tbl_Historique_Final[ppn_z],tbl_Historique_Final[date_modif])=Final_Sans_VGE[[#This Row],[date_modif]],
      "Ancien",
      "Modifié"),
   "Nouveau"))</f>
        <v>Ancien</v>
      </c>
      <c r="AC1960"/>
      <c r="AD1960"/>
    </row>
    <row r="1961" spans="1:30" x14ac:dyDescent="0.25">
      <c r="A1961" s="5" t="s">
        <v>6044</v>
      </c>
      <c r="B1961" s="1" t="s">
        <v>10274</v>
      </c>
      <c r="J1961" s="3">
        <v>46114.513298611113</v>
      </c>
      <c r="L1961" s="1">
        <v>11</v>
      </c>
      <c r="M1961" s="1">
        <v>13</v>
      </c>
      <c r="N1961">
        <v>2</v>
      </c>
      <c r="O1961" s="3">
        <f>IF(
    R1961="Ancien",
    _xlfn.XLOOKUP(
        Final_Sans_VGE[[#This Row],[ppn_z]],
        tbl_Historique_Final[ppn_z],
        tbl_Historique_Final[Horodatage],
        ""
    ),
    Horodatage!$A$2
)</f>
        <v>46233.670796365739</v>
      </c>
      <c r="P1961" s="1" t="str">
        <f>IFERROR(IF(tbl_Historique_Final[[#This Row],[Commentaires]]&lt;&gt;"",tbl_Historique_Final[[#This Row],[Commentaires]],""),"")</f>
        <v/>
      </c>
      <c r="X1961" s="8" t="str">
        <f>IF(Final_Sans_VGE[[#This Row],[ppn_z]]="","",IFERROR(
   IF(_xlfn.XLOOKUP(Final_Sans_VGE[[#This Row],[ppn_z]],tbl_Historique_Final[ppn_z],tbl_Historique_Final[date_modif])=Final_Sans_VGE[[#This Row],[date_modif]],
      "Ancien",
      "Modifié"),
   "Nouveau"))</f>
        <v>Ancien</v>
      </c>
      <c r="AC1961"/>
      <c r="AD1961"/>
    </row>
    <row r="1962" spans="1:30" x14ac:dyDescent="0.25">
      <c r="A1962" s="5" t="s">
        <v>6047</v>
      </c>
      <c r="B1962" s="1" t="s">
        <v>10275</v>
      </c>
      <c r="C1962" s="1" t="s">
        <v>12</v>
      </c>
      <c r="G1962" s="1" t="s">
        <v>10</v>
      </c>
      <c r="J1962" s="3">
        <v>46120.664571759262</v>
      </c>
      <c r="K1962" s="2" t="s">
        <v>10276</v>
      </c>
      <c r="L1962" s="1">
        <v>1</v>
      </c>
      <c r="M1962" s="1">
        <v>1</v>
      </c>
      <c r="N1962">
        <v>0</v>
      </c>
      <c r="O1962" s="3">
        <f>IF(
    R1962="Ancien",
    _xlfn.XLOOKUP(
        Final_Sans_VGE[[#This Row],[ppn_z]],
        tbl_Historique_Final[ppn_z],
        tbl_Historique_Final[Horodatage],
        ""
    ),
    Horodatage!$A$2
)</f>
        <v>46233.670796365739</v>
      </c>
      <c r="P1962" s="1" t="str">
        <f>IFERROR(IF(tbl_Historique_Final[[#This Row],[Commentaires]]&lt;&gt;"",tbl_Historique_Final[[#This Row],[Commentaires]],""),"")</f>
        <v/>
      </c>
      <c r="X1962" s="8" t="str">
        <f>IF(Final_Sans_VGE[[#This Row],[ppn_z]]="","",IFERROR(
   IF(_xlfn.XLOOKUP(Final_Sans_VGE[[#This Row],[ppn_z]],tbl_Historique_Final[ppn_z],tbl_Historique_Final[date_modif])=Final_Sans_VGE[[#This Row],[date_modif]],
      "Ancien",
      "Modifié"),
   "Nouveau"))</f>
        <v>Ancien</v>
      </c>
      <c r="AC1962"/>
      <c r="AD1962"/>
    </row>
    <row r="1963" spans="1:30" ht="90" x14ac:dyDescent="0.25">
      <c r="A1963" s="5" t="s">
        <v>6050</v>
      </c>
      <c r="B1963" s="1" t="s">
        <v>10277</v>
      </c>
      <c r="C1963" s="1" t="s">
        <v>6607</v>
      </c>
      <c r="E1963" s="1" t="s">
        <v>82</v>
      </c>
      <c r="G1963" s="1" t="s">
        <v>10</v>
      </c>
      <c r="J1963" s="3">
        <v>46120.667997685188</v>
      </c>
      <c r="K1963" s="2" t="s">
        <v>10278</v>
      </c>
      <c r="L1963" s="1">
        <v>5</v>
      </c>
      <c r="M1963" s="1">
        <v>5</v>
      </c>
      <c r="N1963">
        <v>0</v>
      </c>
      <c r="O1963" s="3">
        <f>IF(
    R1963="Ancien",
    _xlfn.XLOOKUP(
        Final_Sans_VGE[[#This Row],[ppn_z]],
        tbl_Historique_Final[ppn_z],
        tbl_Historique_Final[Horodatage],
        ""
    ),
    Horodatage!$A$2
)</f>
        <v>46233.670796365739</v>
      </c>
      <c r="P1963" s="1" t="str">
        <f>IFERROR(IF(tbl_Historique_Final[[#This Row],[Commentaires]]&lt;&gt;"",tbl_Historique_Final[[#This Row],[Commentaires]],""),"")</f>
        <v/>
      </c>
      <c r="X1963" s="8" t="str">
        <f>IF(Final_Sans_VGE[[#This Row],[ppn_z]]="","",IFERROR(
   IF(_xlfn.XLOOKUP(Final_Sans_VGE[[#This Row],[ppn_z]],tbl_Historique_Final[ppn_z],tbl_Historique_Final[date_modif])=Final_Sans_VGE[[#This Row],[date_modif]],
      "Ancien",
      "Modifié"),
   "Nouveau"))</f>
        <v>Ancien</v>
      </c>
      <c r="AC1963"/>
      <c r="AD1963"/>
    </row>
    <row r="1964" spans="1:30" x14ac:dyDescent="0.25">
      <c r="A1964" s="5" t="s">
        <v>6053</v>
      </c>
      <c r="B1964" s="1" t="s">
        <v>10279</v>
      </c>
      <c r="C1964" s="1" t="s">
        <v>9909</v>
      </c>
      <c r="D1964" s="1" t="s">
        <v>8376</v>
      </c>
      <c r="E1964" s="1" t="s">
        <v>128</v>
      </c>
      <c r="F1964" s="1" t="s">
        <v>10280</v>
      </c>
      <c r="G1964" s="1" t="s">
        <v>10</v>
      </c>
      <c r="H1964" s="1" t="s">
        <v>22</v>
      </c>
      <c r="I1964" s="1" t="s">
        <v>22</v>
      </c>
      <c r="J1964" s="3">
        <v>46121.44427083333</v>
      </c>
      <c r="K1964" s="2" t="s">
        <v>10281</v>
      </c>
      <c r="L1964" s="1">
        <v>8</v>
      </c>
      <c r="M1964" s="1">
        <v>8</v>
      </c>
      <c r="N1964">
        <v>0</v>
      </c>
      <c r="O1964" s="3">
        <f>IF(
    R1964="Ancien",
    _xlfn.XLOOKUP(
        Final_Sans_VGE[[#This Row],[ppn_z]],
        tbl_Historique_Final[ppn_z],
        tbl_Historique_Final[Horodatage],
        ""
    ),
    Horodatage!$A$2
)</f>
        <v>46233.670796365739</v>
      </c>
      <c r="P1964" s="1" t="str">
        <f>IFERROR(IF(tbl_Historique_Final[[#This Row],[Commentaires]]&lt;&gt;"",tbl_Historique_Final[[#This Row],[Commentaires]],""),"")</f>
        <v/>
      </c>
      <c r="X1964" s="8" t="str">
        <f>IF(Final_Sans_VGE[[#This Row],[ppn_z]]="","",IFERROR(
   IF(_xlfn.XLOOKUP(Final_Sans_VGE[[#This Row],[ppn_z]],tbl_Historique_Final[ppn_z],tbl_Historique_Final[date_modif])=Final_Sans_VGE[[#This Row],[date_modif]],
      "Ancien",
      "Modifié"),
   "Nouveau"))</f>
        <v>Ancien</v>
      </c>
      <c r="AC1964"/>
      <c r="AD1964"/>
    </row>
    <row r="1965" spans="1:30" x14ac:dyDescent="0.25">
      <c r="A1965" s="5" t="s">
        <v>6056</v>
      </c>
      <c r="B1965" s="1" t="s">
        <v>10282</v>
      </c>
      <c r="C1965" s="1" t="s">
        <v>69</v>
      </c>
      <c r="D1965" s="1" t="s">
        <v>10283</v>
      </c>
      <c r="G1965" s="1" t="s">
        <v>11</v>
      </c>
      <c r="H1965" s="1" t="s">
        <v>22</v>
      </c>
      <c r="I1965" s="1" t="s">
        <v>22</v>
      </c>
      <c r="J1965" s="3">
        <v>46124.391238425924</v>
      </c>
      <c r="K1965" s="2" t="s">
        <v>10284</v>
      </c>
      <c r="L1965" s="1">
        <v>10</v>
      </c>
      <c r="M1965" s="1">
        <v>16</v>
      </c>
      <c r="N1965">
        <v>6</v>
      </c>
      <c r="O1965" s="3">
        <f>IF(
    R1965="Ancien",
    _xlfn.XLOOKUP(
        Final_Sans_VGE[[#This Row],[ppn_z]],
        tbl_Historique_Final[ppn_z],
        tbl_Historique_Final[Horodatage],
        ""
    ),
    Horodatage!$A$2
)</f>
        <v>46233.670796365739</v>
      </c>
      <c r="P1965" s="1" t="str">
        <f>IFERROR(IF(tbl_Historique_Final[[#This Row],[Commentaires]]&lt;&gt;"",tbl_Historique_Final[[#This Row],[Commentaires]],""),"")</f>
        <v/>
      </c>
      <c r="X1965" s="8" t="str">
        <f>IF(Final_Sans_VGE[[#This Row],[ppn_z]]="","",IFERROR(
   IF(_xlfn.XLOOKUP(Final_Sans_VGE[[#This Row],[ppn_z]],tbl_Historique_Final[ppn_z],tbl_Historique_Final[date_modif])=Final_Sans_VGE[[#This Row],[date_modif]],
      "Ancien",
      "Modifié"),
   "Nouveau"))</f>
        <v>Ancien</v>
      </c>
      <c r="AC1965"/>
      <c r="AD1965"/>
    </row>
    <row r="1966" spans="1:30" ht="30" x14ac:dyDescent="0.25">
      <c r="A1966" s="5" t="s">
        <v>6059</v>
      </c>
      <c r="B1966" s="1" t="s">
        <v>10285</v>
      </c>
      <c r="C1966" s="1" t="s">
        <v>7291</v>
      </c>
      <c r="G1966" s="1" t="s">
        <v>10</v>
      </c>
      <c r="J1966" s="3">
        <v>46124.423043981478</v>
      </c>
      <c r="K1966" s="2" t="s">
        <v>10286</v>
      </c>
      <c r="L1966" s="1">
        <v>40</v>
      </c>
      <c r="M1966" s="1">
        <v>45</v>
      </c>
      <c r="N1966">
        <v>5</v>
      </c>
      <c r="O1966" s="3">
        <f>IF(
    R1966="Ancien",
    _xlfn.XLOOKUP(
        Final_Sans_VGE[[#This Row],[ppn_z]],
        tbl_Historique_Final[ppn_z],
        tbl_Historique_Final[Horodatage],
        ""
    ),
    Horodatage!$A$2
)</f>
        <v>46233.670796365739</v>
      </c>
      <c r="P1966" s="1" t="str">
        <f>IFERROR(IF(tbl_Historique_Final[[#This Row],[Commentaires]]&lt;&gt;"",tbl_Historique_Final[[#This Row],[Commentaires]],""),"")</f>
        <v/>
      </c>
      <c r="X1966" s="8" t="str">
        <f>IF(Final_Sans_VGE[[#This Row],[ppn_z]]="","",IFERROR(
   IF(_xlfn.XLOOKUP(Final_Sans_VGE[[#This Row],[ppn_z]],tbl_Historique_Final[ppn_z],tbl_Historique_Final[date_modif])=Final_Sans_VGE[[#This Row],[date_modif]],
      "Ancien",
      "Modifié"),
   "Nouveau"))</f>
        <v>Ancien</v>
      </c>
      <c r="AC1966"/>
      <c r="AD1966"/>
    </row>
    <row r="1967" spans="1:30" ht="45" x14ac:dyDescent="0.25">
      <c r="A1967" s="5" t="s">
        <v>6062</v>
      </c>
      <c r="B1967" s="1" t="s">
        <v>10287</v>
      </c>
      <c r="C1967" s="1" t="s">
        <v>68</v>
      </c>
      <c r="H1967" s="1" t="s">
        <v>22</v>
      </c>
      <c r="I1967" s="1" t="s">
        <v>22</v>
      </c>
      <c r="J1967" s="3">
        <v>46124.439780092594</v>
      </c>
      <c r="K1967" s="2" t="s">
        <v>10288</v>
      </c>
      <c r="L1967" s="1">
        <v>22</v>
      </c>
      <c r="M1967" s="1">
        <v>37</v>
      </c>
      <c r="N1967">
        <v>15</v>
      </c>
      <c r="O1967" s="3">
        <f>IF(
    R1967="Ancien",
    _xlfn.XLOOKUP(
        Final_Sans_VGE[[#This Row],[ppn_z]],
        tbl_Historique_Final[ppn_z],
        tbl_Historique_Final[Horodatage],
        ""
    ),
    Horodatage!$A$2
)</f>
        <v>46233.670796365739</v>
      </c>
      <c r="P1967" s="1" t="str">
        <f>IFERROR(IF(tbl_Historique_Final[[#This Row],[Commentaires]]&lt;&gt;"",tbl_Historique_Final[[#This Row],[Commentaires]],""),"")</f>
        <v/>
      </c>
      <c r="X1967" s="8" t="str">
        <f>IF(Final_Sans_VGE[[#This Row],[ppn_z]]="","",IFERROR(
   IF(_xlfn.XLOOKUP(Final_Sans_VGE[[#This Row],[ppn_z]],tbl_Historique_Final[ppn_z],tbl_Historique_Final[date_modif])=Final_Sans_VGE[[#This Row],[date_modif]],
      "Ancien",
      "Modifié"),
   "Nouveau"))</f>
        <v>Ancien</v>
      </c>
      <c r="AC1967"/>
      <c r="AD1967"/>
    </row>
    <row r="1968" spans="1:30" ht="45" x14ac:dyDescent="0.25">
      <c r="A1968" s="5" t="s">
        <v>6065</v>
      </c>
      <c r="B1968" s="1" t="s">
        <v>10289</v>
      </c>
      <c r="C1968" s="1" t="s">
        <v>8156</v>
      </c>
      <c r="E1968" s="1" t="s">
        <v>7096</v>
      </c>
      <c r="H1968" s="1" t="s">
        <v>22</v>
      </c>
      <c r="I1968" s="1" t="s">
        <v>22</v>
      </c>
      <c r="J1968" s="3">
        <v>46125.70484953704</v>
      </c>
      <c r="K1968" s="2" t="s">
        <v>10290</v>
      </c>
      <c r="L1968" s="1">
        <v>52</v>
      </c>
      <c r="M1968" s="1">
        <v>53</v>
      </c>
      <c r="N1968">
        <v>1</v>
      </c>
      <c r="O1968" s="3">
        <f>IF(
    R1968="Ancien",
    _xlfn.XLOOKUP(
        Final_Sans_VGE[[#This Row],[ppn_z]],
        tbl_Historique_Final[ppn_z],
        tbl_Historique_Final[Horodatage],
        ""
    ),
    Horodatage!$A$2
)</f>
        <v>46233.670796365739</v>
      </c>
      <c r="P1968" s="1" t="str">
        <f>IFERROR(IF(tbl_Historique_Final[[#This Row],[Commentaires]]&lt;&gt;"",tbl_Historique_Final[[#This Row],[Commentaires]],""),"")</f>
        <v/>
      </c>
      <c r="X1968" s="8" t="str">
        <f>IF(Final_Sans_VGE[[#This Row],[ppn_z]]="","",IFERROR(
   IF(_xlfn.XLOOKUP(Final_Sans_VGE[[#This Row],[ppn_z]],tbl_Historique_Final[ppn_z],tbl_Historique_Final[date_modif])=Final_Sans_VGE[[#This Row],[date_modif]],
      "Ancien",
      "Modifié"),
   "Nouveau"))</f>
        <v>Ancien</v>
      </c>
      <c r="AC1968"/>
      <c r="AD1968"/>
    </row>
    <row r="1969" spans="1:30" ht="30" x14ac:dyDescent="0.25">
      <c r="A1969" s="5" t="s">
        <v>6068</v>
      </c>
      <c r="B1969" s="1" t="s">
        <v>10291</v>
      </c>
      <c r="C1969" s="1" t="s">
        <v>97</v>
      </c>
      <c r="E1969" s="1" t="s">
        <v>7096</v>
      </c>
      <c r="J1969" s="3">
        <v>46125.706006944441</v>
      </c>
      <c r="K1969" s="2" t="s">
        <v>10292</v>
      </c>
      <c r="L1969" s="1">
        <v>37</v>
      </c>
      <c r="M1969" s="1">
        <v>42</v>
      </c>
      <c r="N1969">
        <v>5</v>
      </c>
      <c r="O1969" s="3">
        <f>IF(
    R1969="Ancien",
    _xlfn.XLOOKUP(
        Final_Sans_VGE[[#This Row],[ppn_z]],
        tbl_Historique_Final[ppn_z],
        tbl_Historique_Final[Horodatage],
        ""
    ),
    Horodatage!$A$2
)</f>
        <v>46233.670796365739</v>
      </c>
      <c r="P1969" s="1" t="str">
        <f>IFERROR(IF(tbl_Historique_Final[[#This Row],[Commentaires]]&lt;&gt;"",tbl_Historique_Final[[#This Row],[Commentaires]],""),"")</f>
        <v/>
      </c>
      <c r="X1969" s="8" t="str">
        <f>IF(Final_Sans_VGE[[#This Row],[ppn_z]]="","",IFERROR(
   IF(_xlfn.XLOOKUP(Final_Sans_VGE[[#This Row],[ppn_z]],tbl_Historique_Final[ppn_z],tbl_Historique_Final[date_modif])=Final_Sans_VGE[[#This Row],[date_modif]],
      "Ancien",
      "Modifié"),
   "Nouveau"))</f>
        <v>Ancien</v>
      </c>
      <c r="AC1969"/>
      <c r="AD1969"/>
    </row>
    <row r="1970" spans="1:30" x14ac:dyDescent="0.25">
      <c r="A1970" s="5" t="s">
        <v>6071</v>
      </c>
      <c r="B1970" s="1" t="s">
        <v>10293</v>
      </c>
      <c r="J1970" s="3">
        <v>45894.596817129626</v>
      </c>
      <c r="L1970" s="1">
        <v>39</v>
      </c>
      <c r="M1970" s="1">
        <v>51</v>
      </c>
      <c r="N1970">
        <v>12</v>
      </c>
      <c r="O1970" s="3">
        <f>IF(
    R1970="Ancien",
    _xlfn.XLOOKUP(
        Final_Sans_VGE[[#This Row],[ppn_z]],
        tbl_Historique_Final[ppn_z],
        tbl_Historique_Final[Horodatage],
        ""
    ),
    Horodatage!$A$2
)</f>
        <v>46233.670796365739</v>
      </c>
      <c r="P1970" s="1" t="str">
        <f>IFERROR(IF(tbl_Historique_Final[[#This Row],[Commentaires]]&lt;&gt;"",tbl_Historique_Final[[#This Row],[Commentaires]],""),"")</f>
        <v/>
      </c>
      <c r="X1970" s="8" t="str">
        <f>IF(Final_Sans_VGE[[#This Row],[ppn_z]]="","",IFERROR(
   IF(_xlfn.XLOOKUP(Final_Sans_VGE[[#This Row],[ppn_z]],tbl_Historique_Final[ppn_z],tbl_Historique_Final[date_modif])=Final_Sans_VGE[[#This Row],[date_modif]],
      "Ancien",
      "Modifié"),
   "Nouveau"))</f>
        <v>Ancien</v>
      </c>
      <c r="AC1970"/>
      <c r="AD1970"/>
    </row>
    <row r="1971" spans="1:30" x14ac:dyDescent="0.25">
      <c r="A1971" s="5" t="s">
        <v>6074</v>
      </c>
      <c r="B1971" s="1" t="s">
        <v>10294</v>
      </c>
      <c r="C1971" s="1" t="s">
        <v>132</v>
      </c>
      <c r="D1971" s="1" t="s">
        <v>14</v>
      </c>
      <c r="E1971" s="1" t="s">
        <v>70</v>
      </c>
      <c r="F1971" s="1" t="s">
        <v>14</v>
      </c>
      <c r="G1971" s="1" t="s">
        <v>10</v>
      </c>
      <c r="H1971" s="1" t="s">
        <v>22</v>
      </c>
      <c r="I1971" s="1" t="s">
        <v>22</v>
      </c>
      <c r="J1971" s="3">
        <v>46127.696030092593</v>
      </c>
      <c r="K1971" s="2" t="s">
        <v>7461</v>
      </c>
      <c r="L1971" s="1">
        <v>21</v>
      </c>
      <c r="M1971" s="1">
        <v>22</v>
      </c>
      <c r="N1971">
        <v>1</v>
      </c>
      <c r="O1971" s="3">
        <f>IF(
    R1971="Ancien",
    _xlfn.XLOOKUP(
        Final_Sans_VGE[[#This Row],[ppn_z]],
        tbl_Historique_Final[ppn_z],
        tbl_Historique_Final[Horodatage],
        ""
    ),
    Horodatage!$A$2
)</f>
        <v>46233.670796365739</v>
      </c>
      <c r="P1971" s="1" t="str">
        <f>IFERROR(IF(tbl_Historique_Final[[#This Row],[Commentaires]]&lt;&gt;"",tbl_Historique_Final[[#This Row],[Commentaires]],""),"")</f>
        <v/>
      </c>
      <c r="X1971" s="8" t="str">
        <f>IF(Final_Sans_VGE[[#This Row],[ppn_z]]="","",IFERROR(
   IF(_xlfn.XLOOKUP(Final_Sans_VGE[[#This Row],[ppn_z]],tbl_Historique_Final[ppn_z],tbl_Historique_Final[date_modif])=Final_Sans_VGE[[#This Row],[date_modif]],
      "Ancien",
      "Modifié"),
   "Nouveau"))</f>
        <v>Ancien</v>
      </c>
      <c r="AC1971"/>
      <c r="AD1971"/>
    </row>
    <row r="1972" spans="1:30" x14ac:dyDescent="0.25">
      <c r="A1972" s="5" t="s">
        <v>6077</v>
      </c>
      <c r="B1972" s="1" t="s">
        <v>10295</v>
      </c>
      <c r="J1972" s="3">
        <v>46128.658263888887</v>
      </c>
      <c r="L1972" s="1">
        <v>29</v>
      </c>
      <c r="M1972" s="1">
        <v>49</v>
      </c>
      <c r="N1972">
        <v>20</v>
      </c>
      <c r="O1972" s="3">
        <f>IF(
    R1972="Ancien",
    _xlfn.XLOOKUP(
        Final_Sans_VGE[[#This Row],[ppn_z]],
        tbl_Historique_Final[ppn_z],
        tbl_Historique_Final[Horodatage],
        ""
    ),
    Horodatage!$A$2
)</f>
        <v>46233.670796365739</v>
      </c>
      <c r="P1972" s="1" t="str">
        <f>IFERROR(IF(tbl_Historique_Final[[#This Row],[Commentaires]]&lt;&gt;"",tbl_Historique_Final[[#This Row],[Commentaires]],""),"")</f>
        <v/>
      </c>
      <c r="X1972" s="8" t="str">
        <f>IF(Final_Sans_VGE[[#This Row],[ppn_z]]="","",IFERROR(
   IF(_xlfn.XLOOKUP(Final_Sans_VGE[[#This Row],[ppn_z]],tbl_Historique_Final[ppn_z],tbl_Historique_Final[date_modif])=Final_Sans_VGE[[#This Row],[date_modif]],
      "Ancien",
      "Modifié"),
   "Nouveau"))</f>
        <v>Ancien</v>
      </c>
      <c r="AC1972"/>
      <c r="AD1972"/>
    </row>
    <row r="1973" spans="1:30" ht="135" x14ac:dyDescent="0.25">
      <c r="A1973" s="5" t="s">
        <v>6080</v>
      </c>
      <c r="B1973" s="1" t="s">
        <v>10296</v>
      </c>
      <c r="C1973" s="1" t="s">
        <v>29</v>
      </c>
      <c r="G1973" s="1" t="s">
        <v>10</v>
      </c>
      <c r="H1973" s="1" t="s">
        <v>10297</v>
      </c>
      <c r="I1973" s="1" t="s">
        <v>10530</v>
      </c>
      <c r="J1973" s="3">
        <v>46132.642916666664</v>
      </c>
      <c r="K1973" s="2" t="s">
        <v>10298</v>
      </c>
      <c r="L1973" s="1">
        <v>16</v>
      </c>
      <c r="M1973" s="1">
        <v>28</v>
      </c>
      <c r="N1973">
        <v>12</v>
      </c>
      <c r="O1973" s="3">
        <f>IF(
    R1973="Ancien",
    _xlfn.XLOOKUP(
        Final_Sans_VGE[[#This Row],[ppn_z]],
        tbl_Historique_Final[ppn_z],
        tbl_Historique_Final[Horodatage],
        ""
    ),
    Horodatage!$A$2
)</f>
        <v>46233.670796365739</v>
      </c>
      <c r="P1973" s="1" t="str">
        <f>IFERROR(IF(tbl_Historique_Final[[#This Row],[Commentaires]]&lt;&gt;"",tbl_Historique_Final[[#This Row],[Commentaires]],""),"")</f>
        <v/>
      </c>
      <c r="X1973" s="8" t="str">
        <f>IF(Final_Sans_VGE[[#This Row],[ppn_z]]="","",IFERROR(
   IF(_xlfn.XLOOKUP(Final_Sans_VGE[[#This Row],[ppn_z]],tbl_Historique_Final[ppn_z],tbl_Historique_Final[date_modif])=Final_Sans_VGE[[#This Row],[date_modif]],
      "Ancien",
      "Modifié"),
   "Nouveau"))</f>
        <v>Ancien</v>
      </c>
      <c r="AC1973"/>
      <c r="AD1973"/>
    </row>
    <row r="1974" spans="1:30" ht="45" x14ac:dyDescent="0.25">
      <c r="A1974" s="5" t="s">
        <v>6083</v>
      </c>
      <c r="B1974" s="1" t="s">
        <v>10299</v>
      </c>
      <c r="C1974" s="1" t="s">
        <v>10232</v>
      </c>
      <c r="D1974" s="1" t="s">
        <v>14</v>
      </c>
      <c r="E1974" s="1" t="s">
        <v>9540</v>
      </c>
      <c r="F1974" s="1" t="s">
        <v>14</v>
      </c>
      <c r="G1974" s="1" t="s">
        <v>10</v>
      </c>
      <c r="H1974" s="1" t="s">
        <v>22</v>
      </c>
      <c r="I1974" s="1" t="s">
        <v>22</v>
      </c>
      <c r="J1974" s="3">
        <v>46135.581759259258</v>
      </c>
      <c r="K1974" s="2" t="s">
        <v>10300</v>
      </c>
      <c r="L1974" s="1">
        <v>27</v>
      </c>
      <c r="M1974" s="1">
        <v>27</v>
      </c>
      <c r="N1974">
        <v>0</v>
      </c>
      <c r="O1974" s="3">
        <f>IF(
    R1974="Ancien",
    _xlfn.XLOOKUP(
        Final_Sans_VGE[[#This Row],[ppn_z]],
        tbl_Historique_Final[ppn_z],
        tbl_Historique_Final[Horodatage],
        ""
    ),
    Horodatage!$A$2
)</f>
        <v>46233.670796365739</v>
      </c>
      <c r="P1974" s="1" t="str">
        <f>IFERROR(IF(tbl_Historique_Final[[#This Row],[Commentaires]]&lt;&gt;"",tbl_Historique_Final[[#This Row],[Commentaires]],""),"")</f>
        <v/>
      </c>
      <c r="X1974" s="8" t="str">
        <f>IF(Final_Sans_VGE[[#This Row],[ppn_z]]="","",IFERROR(
   IF(_xlfn.XLOOKUP(Final_Sans_VGE[[#This Row],[ppn_z]],tbl_Historique_Final[ppn_z],tbl_Historique_Final[date_modif])=Final_Sans_VGE[[#This Row],[date_modif]],
      "Ancien",
      "Modifié"),
   "Nouveau"))</f>
        <v>Ancien</v>
      </c>
      <c r="AC1974"/>
      <c r="AD1974"/>
    </row>
    <row r="1975" spans="1:30" x14ac:dyDescent="0.25">
      <c r="A1975" s="5" t="s">
        <v>6086</v>
      </c>
      <c r="B1975" s="1" t="s">
        <v>10301</v>
      </c>
      <c r="C1975" s="1" t="s">
        <v>8210</v>
      </c>
      <c r="D1975" s="1" t="s">
        <v>14</v>
      </c>
      <c r="E1975" s="1" t="s">
        <v>50</v>
      </c>
      <c r="F1975" s="1" t="s">
        <v>14</v>
      </c>
      <c r="G1975" s="1" t="s">
        <v>10</v>
      </c>
      <c r="H1975" s="1" t="s">
        <v>22</v>
      </c>
      <c r="I1975" s="1" t="s">
        <v>22</v>
      </c>
      <c r="J1975" s="3">
        <v>46135.613912037035</v>
      </c>
      <c r="K1975" s="2" t="s">
        <v>8873</v>
      </c>
      <c r="L1975" s="1">
        <v>10</v>
      </c>
      <c r="M1975" s="1">
        <v>10</v>
      </c>
      <c r="N1975">
        <v>0</v>
      </c>
      <c r="O1975" s="3">
        <f>IF(
    R1975="Ancien",
    _xlfn.XLOOKUP(
        Final_Sans_VGE[[#This Row],[ppn_z]],
        tbl_Historique_Final[ppn_z],
        tbl_Historique_Final[Horodatage],
        ""
    ),
    Horodatage!$A$2
)</f>
        <v>46233.670796365739</v>
      </c>
      <c r="P1975" s="1" t="str">
        <f>IFERROR(IF(tbl_Historique_Final[[#This Row],[Commentaires]]&lt;&gt;"",tbl_Historique_Final[[#This Row],[Commentaires]],""),"")</f>
        <v/>
      </c>
      <c r="X1975" s="8" t="str">
        <f>IF(Final_Sans_VGE[[#This Row],[ppn_z]]="","",IFERROR(
   IF(_xlfn.XLOOKUP(Final_Sans_VGE[[#This Row],[ppn_z]],tbl_Historique_Final[ppn_z],tbl_Historique_Final[date_modif])=Final_Sans_VGE[[#This Row],[date_modif]],
      "Ancien",
      "Modifié"),
   "Nouveau"))</f>
        <v>Ancien</v>
      </c>
      <c r="AC1975"/>
      <c r="AD1975"/>
    </row>
    <row r="1976" spans="1:30" ht="30" x14ac:dyDescent="0.25">
      <c r="A1976" s="5" t="s">
        <v>6089</v>
      </c>
      <c r="B1976" s="1" t="s">
        <v>10302</v>
      </c>
      <c r="H1976" s="1" t="s">
        <v>22</v>
      </c>
      <c r="I1976" s="1" t="s">
        <v>22</v>
      </c>
      <c r="J1976" s="3">
        <v>46136.664444444446</v>
      </c>
      <c r="K1976" s="2" t="s">
        <v>10303</v>
      </c>
      <c r="L1976" s="1">
        <v>36</v>
      </c>
      <c r="M1976" s="1">
        <v>36</v>
      </c>
      <c r="N1976">
        <v>0</v>
      </c>
      <c r="O1976" s="3">
        <f>IF(
    R1976="Ancien",
    _xlfn.XLOOKUP(
        Final_Sans_VGE[[#This Row],[ppn_z]],
        tbl_Historique_Final[ppn_z],
        tbl_Historique_Final[Horodatage],
        ""
    ),
    Horodatage!$A$2
)</f>
        <v>46233.670796365739</v>
      </c>
      <c r="P1976" s="1" t="str">
        <f>IFERROR(IF(tbl_Historique_Final[[#This Row],[Commentaires]]&lt;&gt;"",tbl_Historique_Final[[#This Row],[Commentaires]],""),"")</f>
        <v/>
      </c>
      <c r="X1976" s="8" t="str">
        <f>IF(Final_Sans_VGE[[#This Row],[ppn_z]]="","",IFERROR(
   IF(_xlfn.XLOOKUP(Final_Sans_VGE[[#This Row],[ppn_z]],tbl_Historique_Final[ppn_z],tbl_Historique_Final[date_modif])=Final_Sans_VGE[[#This Row],[date_modif]],
      "Ancien",
      "Modifié"),
   "Nouveau"))</f>
        <v>Ancien</v>
      </c>
      <c r="AC1976"/>
      <c r="AD1976"/>
    </row>
    <row r="1977" spans="1:30" x14ac:dyDescent="0.25">
      <c r="A1977" s="5" t="s">
        <v>6092</v>
      </c>
      <c r="B1977" s="1" t="s">
        <v>10304</v>
      </c>
      <c r="C1977" s="1" t="s">
        <v>121</v>
      </c>
      <c r="J1977" s="3">
        <v>46139.656863425924</v>
      </c>
      <c r="L1977" s="1">
        <v>26</v>
      </c>
      <c r="M1977" s="1">
        <v>27</v>
      </c>
      <c r="N1977">
        <v>1</v>
      </c>
      <c r="O1977" s="3">
        <f>IF(
    R1977="Ancien",
    _xlfn.XLOOKUP(
        Final_Sans_VGE[[#This Row],[ppn_z]],
        tbl_Historique_Final[ppn_z],
        tbl_Historique_Final[Horodatage],
        ""
    ),
    Horodatage!$A$2
)</f>
        <v>46233.670796365739</v>
      </c>
      <c r="P1977" s="1" t="str">
        <f>IFERROR(IF(tbl_Historique_Final[[#This Row],[Commentaires]]&lt;&gt;"",tbl_Historique_Final[[#This Row],[Commentaires]],""),"")</f>
        <v/>
      </c>
      <c r="X1977" s="8" t="str">
        <f>IF(Final_Sans_VGE[[#This Row],[ppn_z]]="","",IFERROR(
   IF(_xlfn.XLOOKUP(Final_Sans_VGE[[#This Row],[ppn_z]],tbl_Historique_Final[ppn_z],tbl_Historique_Final[date_modif])=Final_Sans_VGE[[#This Row],[date_modif]],
      "Ancien",
      "Modifié"),
   "Nouveau"))</f>
        <v>Ancien</v>
      </c>
      <c r="AC1977"/>
      <c r="AD1977"/>
    </row>
    <row r="1978" spans="1:30" ht="30" x14ac:dyDescent="0.25">
      <c r="A1978" s="5" t="s">
        <v>6095</v>
      </c>
      <c r="B1978" s="1" t="s">
        <v>10305</v>
      </c>
      <c r="C1978" s="1" t="s">
        <v>9912</v>
      </c>
      <c r="H1978" s="1" t="s">
        <v>22</v>
      </c>
      <c r="I1978" s="1" t="s">
        <v>22</v>
      </c>
      <c r="J1978" s="3">
        <v>46139.668078703704</v>
      </c>
      <c r="K1978" s="2" t="s">
        <v>10306</v>
      </c>
      <c r="L1978" s="1">
        <v>73</v>
      </c>
      <c r="M1978" s="1">
        <v>78</v>
      </c>
      <c r="N1978">
        <v>5</v>
      </c>
      <c r="O1978" s="3">
        <f>IF(
    R1978="Ancien",
    _xlfn.XLOOKUP(
        Final_Sans_VGE[[#This Row],[ppn_z]],
        tbl_Historique_Final[ppn_z],
        tbl_Historique_Final[Horodatage],
        ""
    ),
    Horodatage!$A$2
)</f>
        <v>46233.670796365739</v>
      </c>
      <c r="P1978" s="1" t="str">
        <f>IFERROR(IF(tbl_Historique_Final[[#This Row],[Commentaires]]&lt;&gt;"",tbl_Historique_Final[[#This Row],[Commentaires]],""),"")</f>
        <v/>
      </c>
      <c r="X1978" s="8" t="str">
        <f>IF(Final_Sans_VGE[[#This Row],[ppn_z]]="","",IFERROR(
   IF(_xlfn.XLOOKUP(Final_Sans_VGE[[#This Row],[ppn_z]],tbl_Historique_Final[ppn_z],tbl_Historique_Final[date_modif])=Final_Sans_VGE[[#This Row],[date_modif]],
      "Ancien",
      "Modifié"),
   "Nouveau"))</f>
        <v>Ancien</v>
      </c>
      <c r="AC1978"/>
      <c r="AD1978"/>
    </row>
    <row r="1979" spans="1:30" x14ac:dyDescent="0.25">
      <c r="A1979" s="5" t="s">
        <v>6098</v>
      </c>
      <c r="B1979" s="1" t="s">
        <v>10307</v>
      </c>
      <c r="J1979" s="3">
        <v>46140.449340277781</v>
      </c>
      <c r="K1979" s="2" t="s">
        <v>10308</v>
      </c>
      <c r="L1979" s="1">
        <v>35</v>
      </c>
      <c r="M1979" s="1">
        <v>47</v>
      </c>
      <c r="N1979">
        <v>12</v>
      </c>
      <c r="O1979" s="3">
        <f>IF(
    R1979="Ancien",
    _xlfn.XLOOKUP(
        Final_Sans_VGE[[#This Row],[ppn_z]],
        tbl_Historique_Final[ppn_z],
        tbl_Historique_Final[Horodatage],
        ""
    ),
    Horodatage!$A$2
)</f>
        <v>46233.670796365739</v>
      </c>
      <c r="P1979" s="1" t="str">
        <f>IFERROR(IF(tbl_Historique_Final[[#This Row],[Commentaires]]&lt;&gt;"",tbl_Historique_Final[[#This Row],[Commentaires]],""),"")</f>
        <v/>
      </c>
      <c r="X1979" s="8" t="str">
        <f>IF(Final_Sans_VGE[[#This Row],[ppn_z]]="","",IFERROR(
   IF(_xlfn.XLOOKUP(Final_Sans_VGE[[#This Row],[ppn_z]],tbl_Historique_Final[ppn_z],tbl_Historique_Final[date_modif])=Final_Sans_VGE[[#This Row],[date_modif]],
      "Ancien",
      "Modifié"),
   "Nouveau"))</f>
        <v>Ancien</v>
      </c>
      <c r="AC1979"/>
      <c r="AD1979"/>
    </row>
    <row r="1980" spans="1:30" ht="75" x14ac:dyDescent="0.25">
      <c r="A1980" s="5" t="s">
        <v>6101</v>
      </c>
      <c r="B1980" s="1" t="s">
        <v>10309</v>
      </c>
      <c r="C1980" s="1" t="s">
        <v>7546</v>
      </c>
      <c r="E1980" s="1" t="s">
        <v>127</v>
      </c>
      <c r="J1980" s="3">
        <v>46142.452928240738</v>
      </c>
      <c r="K1980" s="2" t="s">
        <v>10310</v>
      </c>
      <c r="L1980" s="1">
        <v>18</v>
      </c>
      <c r="M1980" s="1">
        <v>22</v>
      </c>
      <c r="N1980">
        <v>4</v>
      </c>
      <c r="O1980" s="3">
        <f>IF(
    R1980="Ancien",
    _xlfn.XLOOKUP(
        Final_Sans_VGE[[#This Row],[ppn_z]],
        tbl_Historique_Final[ppn_z],
        tbl_Historique_Final[Horodatage],
        ""
    ),
    Horodatage!$A$2
)</f>
        <v>46233.670796365739</v>
      </c>
      <c r="P1980" s="1" t="str">
        <f>IFERROR(IF(tbl_Historique_Final[[#This Row],[Commentaires]]&lt;&gt;"",tbl_Historique_Final[[#This Row],[Commentaires]],""),"")</f>
        <v/>
      </c>
      <c r="X1980" s="8" t="str">
        <f>IF(Final_Sans_VGE[[#This Row],[ppn_z]]="","",IFERROR(
   IF(_xlfn.XLOOKUP(Final_Sans_VGE[[#This Row],[ppn_z]],tbl_Historique_Final[ppn_z],tbl_Historique_Final[date_modif])=Final_Sans_VGE[[#This Row],[date_modif]],
      "Ancien",
      "Modifié"),
   "Nouveau"))</f>
        <v>Ancien</v>
      </c>
      <c r="AC1980"/>
      <c r="AD1980"/>
    </row>
    <row r="1981" spans="1:30" ht="105" x14ac:dyDescent="0.25">
      <c r="A1981" s="5" t="s">
        <v>6104</v>
      </c>
      <c r="B1981" s="1" t="s">
        <v>10311</v>
      </c>
      <c r="C1981" s="1" t="s">
        <v>45</v>
      </c>
      <c r="E1981" s="1" t="s">
        <v>73</v>
      </c>
      <c r="J1981" s="3">
        <v>46142.455069444448</v>
      </c>
      <c r="K1981" s="2" t="s">
        <v>10312</v>
      </c>
      <c r="L1981" s="1">
        <v>25</v>
      </c>
      <c r="M1981" s="1">
        <v>30</v>
      </c>
      <c r="N1981">
        <v>5</v>
      </c>
      <c r="O1981" s="3">
        <f>IF(
    R1981="Ancien",
    _xlfn.XLOOKUP(
        Final_Sans_VGE[[#This Row],[ppn_z]],
        tbl_Historique_Final[ppn_z],
        tbl_Historique_Final[Horodatage],
        ""
    ),
    Horodatage!$A$2
)</f>
        <v>46233.670796365739</v>
      </c>
      <c r="P1981" s="1" t="str">
        <f>IFERROR(IF(tbl_Historique_Final[[#This Row],[Commentaires]]&lt;&gt;"",tbl_Historique_Final[[#This Row],[Commentaires]],""),"")</f>
        <v/>
      </c>
      <c r="X1981" s="8" t="str">
        <f>IF(Final_Sans_VGE[[#This Row],[ppn_z]]="","",IFERROR(
   IF(_xlfn.XLOOKUP(Final_Sans_VGE[[#This Row],[ppn_z]],tbl_Historique_Final[ppn_z],tbl_Historique_Final[date_modif])=Final_Sans_VGE[[#This Row],[date_modif]],
      "Ancien",
      "Modifié"),
   "Nouveau"))</f>
        <v>Ancien</v>
      </c>
      <c r="AC1981"/>
      <c r="AD1981"/>
    </row>
    <row r="1982" spans="1:30" x14ac:dyDescent="0.25">
      <c r="A1982" s="5" t="s">
        <v>6107</v>
      </c>
      <c r="B1982" s="1" t="s">
        <v>10313</v>
      </c>
      <c r="G1982" s="1" t="s">
        <v>11</v>
      </c>
      <c r="H1982" s="1" t="s">
        <v>22</v>
      </c>
      <c r="I1982" s="1" t="s">
        <v>22</v>
      </c>
      <c r="J1982" s="3">
        <v>46145.428680555553</v>
      </c>
      <c r="L1982" s="1">
        <v>2</v>
      </c>
      <c r="M1982" s="1">
        <v>67</v>
      </c>
      <c r="N1982">
        <v>65</v>
      </c>
      <c r="O1982" s="3">
        <f>IF(
    R1982="Ancien",
    _xlfn.XLOOKUP(
        Final_Sans_VGE[[#This Row],[ppn_z]],
        tbl_Historique_Final[ppn_z],
        tbl_Historique_Final[Horodatage],
        ""
    ),
    Horodatage!$A$2
)</f>
        <v>46233.670796365739</v>
      </c>
      <c r="P1982" s="1" t="str">
        <f>IFERROR(IF(tbl_Historique_Final[[#This Row],[Commentaires]]&lt;&gt;"",tbl_Historique_Final[[#This Row],[Commentaires]],""),"")</f>
        <v/>
      </c>
      <c r="X1982" s="8" t="str">
        <f>IF(Final_Sans_VGE[[#This Row],[ppn_z]]="","",IFERROR(
   IF(_xlfn.XLOOKUP(Final_Sans_VGE[[#This Row],[ppn_z]],tbl_Historique_Final[ppn_z],tbl_Historique_Final[date_modif])=Final_Sans_VGE[[#This Row],[date_modif]],
      "Ancien",
      "Modifié"),
   "Nouveau"))</f>
        <v>Ancien</v>
      </c>
      <c r="AC1982"/>
      <c r="AD1982"/>
    </row>
    <row r="1983" spans="1:30" ht="120" x14ac:dyDescent="0.25">
      <c r="A1983" s="5" t="s">
        <v>6110</v>
      </c>
      <c r="B1983" s="1" t="s">
        <v>10314</v>
      </c>
      <c r="C1983" s="1" t="s">
        <v>7096</v>
      </c>
      <c r="E1983" s="1" t="s">
        <v>7546</v>
      </c>
      <c r="J1983" s="3">
        <v>46147.564085648148</v>
      </c>
      <c r="K1983" s="2" t="s">
        <v>10315</v>
      </c>
      <c r="L1983" s="1">
        <v>20</v>
      </c>
      <c r="M1983" s="1">
        <v>28</v>
      </c>
      <c r="N1983">
        <v>8</v>
      </c>
      <c r="O1983" s="3">
        <f>IF(
    R1983="Ancien",
    _xlfn.XLOOKUP(
        Final_Sans_VGE[[#This Row],[ppn_z]],
        tbl_Historique_Final[ppn_z],
        tbl_Historique_Final[Horodatage],
        ""
    ),
    Horodatage!$A$2
)</f>
        <v>46233.670796365739</v>
      </c>
      <c r="P1983" s="1" t="str">
        <f>IFERROR(IF(tbl_Historique_Final[[#This Row],[Commentaires]]&lt;&gt;"",tbl_Historique_Final[[#This Row],[Commentaires]],""),"")</f>
        <v/>
      </c>
      <c r="X1983" s="8" t="str">
        <f>IF(Final_Sans_VGE[[#This Row],[ppn_z]]="","",IFERROR(
   IF(_xlfn.XLOOKUP(Final_Sans_VGE[[#This Row],[ppn_z]],tbl_Historique_Final[ppn_z],tbl_Historique_Final[date_modif])=Final_Sans_VGE[[#This Row],[date_modif]],
      "Ancien",
      "Modifié"),
   "Nouveau"))</f>
        <v>Ancien</v>
      </c>
      <c r="AC1983"/>
      <c r="AD1983"/>
    </row>
    <row r="1984" spans="1:30" x14ac:dyDescent="0.25">
      <c r="A1984" s="5" t="s">
        <v>6113</v>
      </c>
      <c r="B1984" s="1" t="s">
        <v>10316</v>
      </c>
      <c r="J1984" s="3">
        <v>46149.413449074076</v>
      </c>
      <c r="L1984" s="1">
        <v>2</v>
      </c>
      <c r="M1984" s="1">
        <v>2</v>
      </c>
      <c r="N1984">
        <v>0</v>
      </c>
      <c r="O1984" s="3">
        <f>IF(
    R1984="Ancien",
    _xlfn.XLOOKUP(
        Final_Sans_VGE[[#This Row],[ppn_z]],
        tbl_Historique_Final[ppn_z],
        tbl_Historique_Final[Horodatage],
        ""
    ),
    Horodatage!$A$2
)</f>
        <v>46233.670796365739</v>
      </c>
      <c r="P1984" s="1" t="str">
        <f>IFERROR(IF(tbl_Historique_Final[[#This Row],[Commentaires]]&lt;&gt;"",tbl_Historique_Final[[#This Row],[Commentaires]],""),"")</f>
        <v/>
      </c>
      <c r="X1984" s="8" t="str">
        <f>IF(Final_Sans_VGE[[#This Row],[ppn_z]]="","",IFERROR(
   IF(_xlfn.XLOOKUP(Final_Sans_VGE[[#This Row],[ppn_z]],tbl_Historique_Final[ppn_z],tbl_Historique_Final[date_modif])=Final_Sans_VGE[[#This Row],[date_modif]],
      "Ancien",
      "Modifié"),
   "Nouveau"))</f>
        <v>Ancien</v>
      </c>
      <c r="AC1984"/>
      <c r="AD1984"/>
    </row>
    <row r="1985" spans="1:30" ht="45" x14ac:dyDescent="0.25">
      <c r="A1985" s="5" t="s">
        <v>6116</v>
      </c>
      <c r="B1985" s="1" t="s">
        <v>10317</v>
      </c>
      <c r="C1985" s="1" t="s">
        <v>43</v>
      </c>
      <c r="D1985" s="1" t="s">
        <v>10318</v>
      </c>
      <c r="G1985" s="1" t="s">
        <v>11</v>
      </c>
      <c r="H1985" s="1" t="s">
        <v>10319</v>
      </c>
      <c r="I1985" s="1" t="s">
        <v>10531</v>
      </c>
      <c r="J1985" s="3">
        <v>46152.357974537037</v>
      </c>
      <c r="K1985" s="2" t="s">
        <v>10320</v>
      </c>
      <c r="L1985" s="1">
        <v>26</v>
      </c>
      <c r="M1985" s="1">
        <v>45</v>
      </c>
      <c r="N1985">
        <v>19</v>
      </c>
      <c r="O1985" s="3">
        <f>IF(
    R1985="Ancien",
    _xlfn.XLOOKUP(
        Final_Sans_VGE[[#This Row],[ppn_z]],
        tbl_Historique_Final[ppn_z],
        tbl_Historique_Final[Horodatage],
        ""
    ),
    Horodatage!$A$2
)</f>
        <v>46233.670796365739</v>
      </c>
      <c r="P1985" s="1" t="str">
        <f>IFERROR(IF(tbl_Historique_Final[[#This Row],[Commentaires]]&lt;&gt;"",tbl_Historique_Final[[#This Row],[Commentaires]],""),"")</f>
        <v/>
      </c>
      <c r="X1985" s="8" t="str">
        <f>IF(Final_Sans_VGE[[#This Row],[ppn_z]]="","",IFERROR(
   IF(_xlfn.XLOOKUP(Final_Sans_VGE[[#This Row],[ppn_z]],tbl_Historique_Final[ppn_z],tbl_Historique_Final[date_modif])=Final_Sans_VGE[[#This Row],[date_modif]],
      "Ancien",
      "Modifié"),
   "Nouveau"))</f>
        <v>Ancien</v>
      </c>
      <c r="AC1985"/>
      <c r="AD1985"/>
    </row>
    <row r="1986" spans="1:30" x14ac:dyDescent="0.25">
      <c r="A1986" s="5" t="s">
        <v>6119</v>
      </c>
      <c r="B1986" s="1" t="s">
        <v>10321</v>
      </c>
      <c r="C1986" s="1" t="s">
        <v>29</v>
      </c>
      <c r="D1986" s="1" t="s">
        <v>8927</v>
      </c>
      <c r="G1986" s="1" t="s">
        <v>10</v>
      </c>
      <c r="H1986" s="1" t="s">
        <v>22</v>
      </c>
      <c r="I1986" s="1" t="s">
        <v>10322</v>
      </c>
      <c r="J1986" s="3">
        <v>46152.373159722221</v>
      </c>
      <c r="K1986" s="2" t="s">
        <v>10323</v>
      </c>
      <c r="L1986" s="1">
        <v>51</v>
      </c>
      <c r="M1986" s="1">
        <v>53</v>
      </c>
      <c r="N1986">
        <v>2</v>
      </c>
      <c r="O1986" s="3">
        <f>IF(
    R1986="Ancien",
    _xlfn.XLOOKUP(
        Final_Sans_VGE[[#This Row],[ppn_z]],
        tbl_Historique_Final[ppn_z],
        tbl_Historique_Final[Horodatage],
        ""
    ),
    Horodatage!$A$2
)</f>
        <v>46233.670796365739</v>
      </c>
      <c r="P1986" s="1" t="str">
        <f>IFERROR(IF(tbl_Historique_Final[[#This Row],[Commentaires]]&lt;&gt;"",tbl_Historique_Final[[#This Row],[Commentaires]],""),"")</f>
        <v/>
      </c>
      <c r="X1986" s="8" t="str">
        <f>IF(Final_Sans_VGE[[#This Row],[ppn_z]]="","",IFERROR(
   IF(_xlfn.XLOOKUP(Final_Sans_VGE[[#This Row],[ppn_z]],tbl_Historique_Final[ppn_z],tbl_Historique_Final[date_modif])=Final_Sans_VGE[[#This Row],[date_modif]],
      "Ancien",
      "Modifié"),
   "Nouveau"))</f>
        <v>Ancien</v>
      </c>
      <c r="AC1986"/>
      <c r="AD1986"/>
    </row>
    <row r="1987" spans="1:30" ht="30" x14ac:dyDescent="0.25">
      <c r="A1987" s="5" t="s">
        <v>6122</v>
      </c>
      <c r="B1987" s="1" t="s">
        <v>10324</v>
      </c>
      <c r="C1987" s="1" t="s">
        <v>37</v>
      </c>
      <c r="D1987" s="1" t="s">
        <v>10280</v>
      </c>
      <c r="E1987" s="1" t="s">
        <v>127</v>
      </c>
      <c r="F1987" s="1" t="s">
        <v>10325</v>
      </c>
      <c r="G1987" s="1" t="s">
        <v>10</v>
      </c>
      <c r="H1987" s="1" t="s">
        <v>10532</v>
      </c>
      <c r="I1987" s="1" t="s">
        <v>10326</v>
      </c>
      <c r="J1987" s="3">
        <v>46154.503240740742</v>
      </c>
      <c r="K1987" s="2" t="s">
        <v>10327</v>
      </c>
      <c r="L1987" s="1">
        <v>38</v>
      </c>
      <c r="M1987" s="1">
        <v>172</v>
      </c>
      <c r="N1987">
        <v>134</v>
      </c>
      <c r="O1987" s="3">
        <f>IF(
    R1987="Ancien",
    _xlfn.XLOOKUP(
        Final_Sans_VGE[[#This Row],[ppn_z]],
        tbl_Historique_Final[ppn_z],
        tbl_Historique_Final[Horodatage],
        ""
    ),
    Horodatage!$A$2
)</f>
        <v>46233.670796365739</v>
      </c>
      <c r="P1987" s="1" t="str">
        <f>IFERROR(IF(tbl_Historique_Final[[#This Row],[Commentaires]]&lt;&gt;"",tbl_Historique_Final[[#This Row],[Commentaires]],""),"")</f>
        <v/>
      </c>
      <c r="X1987" s="8" t="str">
        <f>IF(Final_Sans_VGE[[#This Row],[ppn_z]]="","",IFERROR(
   IF(_xlfn.XLOOKUP(Final_Sans_VGE[[#This Row],[ppn_z]],tbl_Historique_Final[ppn_z],tbl_Historique_Final[date_modif])=Final_Sans_VGE[[#This Row],[date_modif]],
      "Ancien",
      "Modifié"),
   "Nouveau"))</f>
        <v>Ancien</v>
      </c>
      <c r="AC1987"/>
      <c r="AD1987"/>
    </row>
    <row r="1988" spans="1:30" ht="30" x14ac:dyDescent="0.25">
      <c r="A1988" s="5" t="s">
        <v>6125</v>
      </c>
      <c r="B1988" s="1" t="s">
        <v>10328</v>
      </c>
      <c r="C1988" s="1" t="s">
        <v>42</v>
      </c>
      <c r="G1988" s="1" t="s">
        <v>11</v>
      </c>
      <c r="H1988" s="1" t="s">
        <v>22</v>
      </c>
      <c r="I1988" s="1" t="s">
        <v>22</v>
      </c>
      <c r="J1988" s="3">
        <v>46166.355000000003</v>
      </c>
      <c r="K1988" s="2" t="s">
        <v>10329</v>
      </c>
      <c r="L1988" s="1">
        <v>9</v>
      </c>
      <c r="M1988" s="1">
        <v>13</v>
      </c>
      <c r="N1988">
        <v>4</v>
      </c>
      <c r="O1988" s="3">
        <f>IF(
    R1988="Ancien",
    _xlfn.XLOOKUP(
        Final_Sans_VGE[[#This Row],[ppn_z]],
        tbl_Historique_Final[ppn_z],
        tbl_Historique_Final[Horodatage],
        ""
    ),
    Horodatage!$A$2
)</f>
        <v>46233.670796365739</v>
      </c>
      <c r="P1988" s="1" t="str">
        <f>IFERROR(IF(tbl_Historique_Final[[#This Row],[Commentaires]]&lt;&gt;"",tbl_Historique_Final[[#This Row],[Commentaires]],""),"")</f>
        <v/>
      </c>
      <c r="X1988" s="8" t="str">
        <f>IF(Final_Sans_VGE[[#This Row],[ppn_z]]="","",IFERROR(
   IF(_xlfn.XLOOKUP(Final_Sans_VGE[[#This Row],[ppn_z]],tbl_Historique_Final[ppn_z],tbl_Historique_Final[date_modif])=Final_Sans_VGE[[#This Row],[date_modif]],
      "Ancien",
      "Modifié"),
   "Nouveau"))</f>
        <v>Ancien</v>
      </c>
      <c r="AC1988"/>
      <c r="AD1988"/>
    </row>
    <row r="1989" spans="1:30" ht="45" x14ac:dyDescent="0.25">
      <c r="A1989" s="5" t="s">
        <v>6128</v>
      </c>
      <c r="B1989" s="1" t="s">
        <v>10330</v>
      </c>
      <c r="C1989" s="1" t="s">
        <v>76</v>
      </c>
      <c r="G1989" s="1" t="s">
        <v>10</v>
      </c>
      <c r="J1989" s="3">
        <v>46166.357824074075</v>
      </c>
      <c r="K1989" s="2" t="s">
        <v>10331</v>
      </c>
      <c r="L1989" s="1">
        <v>17</v>
      </c>
      <c r="M1989" s="1">
        <v>22</v>
      </c>
      <c r="N1989">
        <v>5</v>
      </c>
      <c r="O1989" s="3">
        <f>IF(
    R1989="Ancien",
    _xlfn.XLOOKUP(
        Final_Sans_VGE[[#This Row],[ppn_z]],
        tbl_Historique_Final[ppn_z],
        tbl_Historique_Final[Horodatage],
        ""
    ),
    Horodatage!$A$2
)</f>
        <v>46233.670796365739</v>
      </c>
      <c r="P1989" s="1" t="str">
        <f>IFERROR(IF(tbl_Historique_Final[[#This Row],[Commentaires]]&lt;&gt;"",tbl_Historique_Final[[#This Row],[Commentaires]],""),"")</f>
        <v/>
      </c>
      <c r="X1989" s="8" t="str">
        <f>IF(Final_Sans_VGE[[#This Row],[ppn_z]]="","",IFERROR(
   IF(_xlfn.XLOOKUP(Final_Sans_VGE[[#This Row],[ppn_z]],tbl_Historique_Final[ppn_z],tbl_Historique_Final[date_modif])=Final_Sans_VGE[[#This Row],[date_modif]],
      "Ancien",
      "Modifié"),
   "Nouveau"))</f>
        <v>Ancien</v>
      </c>
      <c r="AC1989"/>
      <c r="AD1989"/>
    </row>
    <row r="1990" spans="1:30" ht="90" x14ac:dyDescent="0.25">
      <c r="A1990" s="5" t="s">
        <v>6131</v>
      </c>
      <c r="B1990" s="1" t="s">
        <v>10332</v>
      </c>
      <c r="C1990" s="1" t="s">
        <v>64</v>
      </c>
      <c r="G1990" s="1" t="s">
        <v>10</v>
      </c>
      <c r="H1990" s="1" t="s">
        <v>22</v>
      </c>
      <c r="I1990" s="1" t="s">
        <v>22</v>
      </c>
      <c r="J1990" s="3">
        <v>46166.370370370372</v>
      </c>
      <c r="K1990" s="2" t="s">
        <v>10333</v>
      </c>
      <c r="L1990" s="1">
        <v>183</v>
      </c>
      <c r="M1990" s="1">
        <v>221</v>
      </c>
      <c r="N1990">
        <v>38</v>
      </c>
      <c r="O1990" s="3">
        <f>IF(
    R1990="Ancien",
    _xlfn.XLOOKUP(
        Final_Sans_VGE[[#This Row],[ppn_z]],
        tbl_Historique_Final[ppn_z],
        tbl_Historique_Final[Horodatage],
        ""
    ),
    Horodatage!$A$2
)</f>
        <v>46233.670796365739</v>
      </c>
      <c r="P1990" s="1" t="str">
        <f>IFERROR(IF(tbl_Historique_Final[[#This Row],[Commentaires]]&lt;&gt;"",tbl_Historique_Final[[#This Row],[Commentaires]],""),"")</f>
        <v/>
      </c>
      <c r="X1990" s="8" t="str">
        <f>IF(Final_Sans_VGE[[#This Row],[ppn_z]]="","",IFERROR(
   IF(_xlfn.XLOOKUP(Final_Sans_VGE[[#This Row],[ppn_z]],tbl_Historique_Final[ppn_z],tbl_Historique_Final[date_modif])=Final_Sans_VGE[[#This Row],[date_modif]],
      "Ancien",
      "Modifié"),
   "Nouveau"))</f>
        <v>Ancien</v>
      </c>
      <c r="AC1990"/>
      <c r="AD1990"/>
    </row>
    <row r="1991" spans="1:30" ht="30" x14ac:dyDescent="0.25">
      <c r="A1991" s="5" t="s">
        <v>6134</v>
      </c>
      <c r="B1991" s="1" t="s">
        <v>10334</v>
      </c>
      <c r="J1991" s="3">
        <v>46175.55804398148</v>
      </c>
      <c r="K1991" s="2" t="s">
        <v>10335</v>
      </c>
      <c r="L1991" s="1">
        <v>34</v>
      </c>
      <c r="M1991" s="1">
        <v>36</v>
      </c>
      <c r="N1991">
        <v>2</v>
      </c>
      <c r="O1991" s="3">
        <f>IF(
    R1991="Ancien",
    _xlfn.XLOOKUP(
        Final_Sans_VGE[[#This Row],[ppn_z]],
        tbl_Historique_Final[ppn_z],
        tbl_Historique_Final[Horodatage],
        ""
    ),
    Horodatage!$A$2
)</f>
        <v>46233.670796365739</v>
      </c>
      <c r="P1991" s="1" t="str">
        <f>IFERROR(IF(tbl_Historique_Final[[#This Row],[Commentaires]]&lt;&gt;"",tbl_Historique_Final[[#This Row],[Commentaires]],""),"")</f>
        <v/>
      </c>
      <c r="X1991" s="8" t="str">
        <f>IF(Final_Sans_VGE[[#This Row],[ppn_z]]="","",IFERROR(
   IF(_xlfn.XLOOKUP(Final_Sans_VGE[[#This Row],[ppn_z]],tbl_Historique_Final[ppn_z],tbl_Historique_Final[date_modif])=Final_Sans_VGE[[#This Row],[date_modif]],
      "Ancien",
      "Modifié"),
   "Nouveau"))</f>
        <v>Ancien</v>
      </c>
      <c r="AC1991"/>
      <c r="AD1991"/>
    </row>
    <row r="1992" spans="1:30" x14ac:dyDescent="0.25">
      <c r="A1992" s="5" t="s">
        <v>6137</v>
      </c>
      <c r="B1992" s="1" t="s">
        <v>10336</v>
      </c>
      <c r="C1992" s="1" t="s">
        <v>57</v>
      </c>
      <c r="J1992" s="3">
        <v>46175.59511574074</v>
      </c>
      <c r="L1992" s="1">
        <v>25</v>
      </c>
      <c r="M1992" s="1">
        <v>124</v>
      </c>
      <c r="N1992">
        <v>99</v>
      </c>
      <c r="O1992" s="3">
        <f>IF(
    R1992="Ancien",
    _xlfn.XLOOKUP(
        Final_Sans_VGE[[#This Row],[ppn_z]],
        tbl_Historique_Final[ppn_z],
        tbl_Historique_Final[Horodatage],
        ""
    ),
    Horodatage!$A$2
)</f>
        <v>46233.670796365739</v>
      </c>
      <c r="P1992" s="1" t="str">
        <f>IFERROR(IF(tbl_Historique_Final[[#This Row],[Commentaires]]&lt;&gt;"",tbl_Historique_Final[[#This Row],[Commentaires]],""),"")</f>
        <v/>
      </c>
      <c r="X1992" s="8" t="str">
        <f>IF(Final_Sans_VGE[[#This Row],[ppn_z]]="","",IFERROR(
   IF(_xlfn.XLOOKUP(Final_Sans_VGE[[#This Row],[ppn_z]],tbl_Historique_Final[ppn_z],tbl_Historique_Final[date_modif])=Final_Sans_VGE[[#This Row],[date_modif]],
      "Ancien",
      "Modifié"),
   "Nouveau"))</f>
        <v>Ancien</v>
      </c>
      <c r="AC1992"/>
      <c r="AD1992"/>
    </row>
    <row r="1993" spans="1:30" x14ac:dyDescent="0.25">
      <c r="A1993" s="5" t="s">
        <v>6140</v>
      </c>
      <c r="B1993" s="1" t="s">
        <v>10337</v>
      </c>
      <c r="J1993" s="3">
        <v>46175.601134259261</v>
      </c>
      <c r="L1993" s="1">
        <v>28</v>
      </c>
      <c r="M1993" s="1">
        <v>30</v>
      </c>
      <c r="N1993">
        <v>2</v>
      </c>
      <c r="O1993" s="3">
        <f>IF(
    R1993="Ancien",
    _xlfn.XLOOKUP(
        Final_Sans_VGE[[#This Row],[ppn_z]],
        tbl_Historique_Final[ppn_z],
        tbl_Historique_Final[Horodatage],
        ""
    ),
    Horodatage!$A$2
)</f>
        <v>46233.670796365739</v>
      </c>
      <c r="P1993" s="1" t="str">
        <f>IFERROR(IF(tbl_Historique_Final[[#This Row],[Commentaires]]&lt;&gt;"",tbl_Historique_Final[[#This Row],[Commentaires]],""),"")</f>
        <v/>
      </c>
      <c r="X1993" s="8" t="str">
        <f>IF(Final_Sans_VGE[[#This Row],[ppn_z]]="","",IFERROR(
   IF(_xlfn.XLOOKUP(Final_Sans_VGE[[#This Row],[ppn_z]],tbl_Historique_Final[ppn_z],tbl_Historique_Final[date_modif])=Final_Sans_VGE[[#This Row],[date_modif]],
      "Ancien",
      "Modifié"),
   "Nouveau"))</f>
        <v>Ancien</v>
      </c>
      <c r="AC1993"/>
      <c r="AD1993"/>
    </row>
    <row r="1994" spans="1:30" x14ac:dyDescent="0.25">
      <c r="A1994" s="5" t="s">
        <v>6143</v>
      </c>
      <c r="B1994" s="1" t="s">
        <v>10338</v>
      </c>
      <c r="C1994" s="1" t="s">
        <v>12</v>
      </c>
      <c r="G1994" s="1" t="s">
        <v>11</v>
      </c>
      <c r="J1994" s="3">
        <v>46175.618460648147</v>
      </c>
      <c r="K1994" s="2" t="s">
        <v>10339</v>
      </c>
      <c r="L1994" s="1">
        <v>2</v>
      </c>
      <c r="M1994" s="1">
        <v>2</v>
      </c>
      <c r="N1994">
        <v>0</v>
      </c>
      <c r="O1994" s="3">
        <f>IF(
    R1994="Ancien",
    _xlfn.XLOOKUP(
        Final_Sans_VGE[[#This Row],[ppn_z]],
        tbl_Historique_Final[ppn_z],
        tbl_Historique_Final[Horodatage],
        ""
    ),
    Horodatage!$A$2
)</f>
        <v>46233.670796365739</v>
      </c>
      <c r="P1994" s="1" t="str">
        <f>IFERROR(IF(tbl_Historique_Final[[#This Row],[Commentaires]]&lt;&gt;"",tbl_Historique_Final[[#This Row],[Commentaires]],""),"")</f>
        <v/>
      </c>
      <c r="X1994" s="8" t="str">
        <f>IF(Final_Sans_VGE[[#This Row],[ppn_z]]="","",IFERROR(
   IF(_xlfn.XLOOKUP(Final_Sans_VGE[[#This Row],[ppn_z]],tbl_Historique_Final[ppn_z],tbl_Historique_Final[date_modif])=Final_Sans_VGE[[#This Row],[date_modif]],
      "Ancien",
      "Modifié"),
   "Nouveau"))</f>
        <v>Ancien</v>
      </c>
      <c r="AC1994"/>
      <c r="AD1994"/>
    </row>
    <row r="1995" spans="1:30" ht="30" x14ac:dyDescent="0.25">
      <c r="A1995" s="5" t="s">
        <v>6146</v>
      </c>
      <c r="B1995" s="1" t="s">
        <v>10340</v>
      </c>
      <c r="G1995" s="1" t="s">
        <v>11</v>
      </c>
      <c r="J1995" s="3">
        <v>46180.405162037037</v>
      </c>
      <c r="K1995" s="2" t="s">
        <v>10341</v>
      </c>
      <c r="L1995" s="1">
        <v>9</v>
      </c>
      <c r="M1995" s="1">
        <v>10</v>
      </c>
      <c r="N1995">
        <v>1</v>
      </c>
      <c r="O1995" s="3">
        <f>IF(
    R1995="Ancien",
    _xlfn.XLOOKUP(
        Final_Sans_VGE[[#This Row],[ppn_z]],
        tbl_Historique_Final[ppn_z],
        tbl_Historique_Final[Horodatage],
        ""
    ),
    Horodatage!$A$2
)</f>
        <v>46233.670796365739</v>
      </c>
      <c r="P1995" s="1" t="str">
        <f>IFERROR(IF(tbl_Historique_Final[[#This Row],[Commentaires]]&lt;&gt;"",tbl_Historique_Final[[#This Row],[Commentaires]],""),"")</f>
        <v/>
      </c>
      <c r="X1995" s="8" t="str">
        <f>IF(Final_Sans_VGE[[#This Row],[ppn_z]]="","",IFERROR(
   IF(_xlfn.XLOOKUP(Final_Sans_VGE[[#This Row],[ppn_z]],tbl_Historique_Final[ppn_z],tbl_Historique_Final[date_modif])=Final_Sans_VGE[[#This Row],[date_modif]],
      "Ancien",
      "Modifié"),
   "Nouveau"))</f>
        <v>Ancien</v>
      </c>
      <c r="AC1995"/>
      <c r="AD1995"/>
    </row>
    <row r="1996" spans="1:30" x14ac:dyDescent="0.25">
      <c r="A1996" s="5" t="s">
        <v>6149</v>
      </c>
      <c r="B1996" s="1" t="s">
        <v>10342</v>
      </c>
      <c r="C1996" s="1" t="s">
        <v>82</v>
      </c>
      <c r="E1996" s="1" t="s">
        <v>6793</v>
      </c>
      <c r="J1996" s="3">
        <v>46181.619571759256</v>
      </c>
      <c r="L1996" s="1">
        <v>43</v>
      </c>
      <c r="M1996" s="1">
        <v>43</v>
      </c>
      <c r="N1996">
        <v>0</v>
      </c>
      <c r="O1996" s="3">
        <f>IF(
    R1996="Ancien",
    _xlfn.XLOOKUP(
        Final_Sans_VGE[[#This Row],[ppn_z]],
        tbl_Historique_Final[ppn_z],
        tbl_Historique_Final[Horodatage],
        ""
    ),
    Horodatage!$A$2
)</f>
        <v>46233.670796365739</v>
      </c>
      <c r="P1996" s="1" t="str">
        <f>IFERROR(IF(tbl_Historique_Final[[#This Row],[Commentaires]]&lt;&gt;"",tbl_Historique_Final[[#This Row],[Commentaires]],""),"")</f>
        <v/>
      </c>
      <c r="X1996" s="8" t="str">
        <f>IF(Final_Sans_VGE[[#This Row],[ppn_z]]="","",IFERROR(
   IF(_xlfn.XLOOKUP(Final_Sans_VGE[[#This Row],[ppn_z]],tbl_Historique_Final[ppn_z],tbl_Historique_Final[date_modif])=Final_Sans_VGE[[#This Row],[date_modif]],
      "Ancien",
      "Modifié"),
   "Nouveau"))</f>
        <v>Ancien</v>
      </c>
      <c r="AC1996"/>
      <c r="AD1996"/>
    </row>
    <row r="1997" spans="1:30" x14ac:dyDescent="0.25">
      <c r="A1997" s="5" t="s">
        <v>6152</v>
      </c>
      <c r="B1997" s="1" t="s">
        <v>10343</v>
      </c>
      <c r="C1997" s="1" t="s">
        <v>45</v>
      </c>
      <c r="J1997" s="3">
        <v>46181.65320601852</v>
      </c>
      <c r="L1997" s="1">
        <v>23</v>
      </c>
      <c r="M1997" s="1">
        <v>24</v>
      </c>
      <c r="N1997">
        <v>1</v>
      </c>
      <c r="O1997" s="3">
        <f>IF(
    R1997="Ancien",
    _xlfn.XLOOKUP(
        Final_Sans_VGE[[#This Row],[ppn_z]],
        tbl_Historique_Final[ppn_z],
        tbl_Historique_Final[Horodatage],
        ""
    ),
    Horodatage!$A$2
)</f>
        <v>46233.670796365739</v>
      </c>
      <c r="P1997" s="1" t="str">
        <f>IFERROR(IF(tbl_Historique_Final[[#This Row],[Commentaires]]&lt;&gt;"",tbl_Historique_Final[[#This Row],[Commentaires]],""),"")</f>
        <v/>
      </c>
      <c r="X1997" s="8" t="str">
        <f>IF(Final_Sans_VGE[[#This Row],[ppn_z]]="","",IFERROR(
   IF(_xlfn.XLOOKUP(Final_Sans_VGE[[#This Row],[ppn_z]],tbl_Historique_Final[ppn_z],tbl_Historique_Final[date_modif])=Final_Sans_VGE[[#This Row],[date_modif]],
      "Ancien",
      "Modifié"),
   "Nouveau"))</f>
        <v>Ancien</v>
      </c>
      <c r="AC1997"/>
      <c r="AD1997"/>
    </row>
    <row r="1998" spans="1:30" x14ac:dyDescent="0.25">
      <c r="A1998" s="5" t="s">
        <v>6155</v>
      </c>
      <c r="B1998" s="1" t="s">
        <v>10344</v>
      </c>
      <c r="C1998" s="1" t="s">
        <v>10345</v>
      </c>
      <c r="E1998" s="1" t="s">
        <v>7652</v>
      </c>
      <c r="J1998" s="3">
        <v>46184.620868055557</v>
      </c>
      <c r="L1998" s="1">
        <v>29</v>
      </c>
      <c r="M1998" s="1">
        <v>30</v>
      </c>
      <c r="N1998">
        <v>1</v>
      </c>
      <c r="O1998" s="3">
        <f>IF(
    R1998="Ancien",
    _xlfn.XLOOKUP(
        Final_Sans_VGE[[#This Row],[ppn_z]],
        tbl_Historique_Final[ppn_z],
        tbl_Historique_Final[Horodatage],
        ""
    ),
    Horodatage!$A$2
)</f>
        <v>46233.670796365739</v>
      </c>
      <c r="P1998" s="1" t="str">
        <f>IFERROR(IF(tbl_Historique_Final[[#This Row],[Commentaires]]&lt;&gt;"",tbl_Historique_Final[[#This Row],[Commentaires]],""),"")</f>
        <v/>
      </c>
      <c r="X1998" s="8" t="str">
        <f>IF(Final_Sans_VGE[[#This Row],[ppn_z]]="","",IFERROR(
   IF(_xlfn.XLOOKUP(Final_Sans_VGE[[#This Row],[ppn_z]],tbl_Historique_Final[ppn_z],tbl_Historique_Final[date_modif])=Final_Sans_VGE[[#This Row],[date_modif]],
      "Ancien",
      "Modifié"),
   "Nouveau"))</f>
        <v>Ancien</v>
      </c>
      <c r="AC1998"/>
      <c r="AD1998"/>
    </row>
    <row r="1999" spans="1:30" x14ac:dyDescent="0.25">
      <c r="A1999" s="5" t="s">
        <v>6158</v>
      </c>
      <c r="B1999" s="1" t="s">
        <v>10346</v>
      </c>
      <c r="C1999" s="1" t="s">
        <v>40</v>
      </c>
      <c r="J1999" s="3">
        <v>46184.63890046296</v>
      </c>
      <c r="L1999" s="1">
        <v>24</v>
      </c>
      <c r="M1999" s="1">
        <v>29</v>
      </c>
      <c r="N1999">
        <v>5</v>
      </c>
      <c r="O1999" s="3">
        <f>IF(
    R1999="Ancien",
    _xlfn.XLOOKUP(
        Final_Sans_VGE[[#This Row],[ppn_z]],
        tbl_Historique_Final[ppn_z],
        tbl_Historique_Final[Horodatage],
        ""
    ),
    Horodatage!$A$2
)</f>
        <v>46233.670796365739</v>
      </c>
      <c r="P1999" s="1" t="str">
        <f>IFERROR(IF(tbl_Historique_Final[[#This Row],[Commentaires]]&lt;&gt;"",tbl_Historique_Final[[#This Row],[Commentaires]],""),"")</f>
        <v/>
      </c>
      <c r="X1999" s="8" t="str">
        <f>IF(Final_Sans_VGE[[#This Row],[ppn_z]]="","",IFERROR(
   IF(_xlfn.XLOOKUP(Final_Sans_VGE[[#This Row],[ppn_z]],tbl_Historique_Final[ppn_z],tbl_Historique_Final[date_modif])=Final_Sans_VGE[[#This Row],[date_modif]],
      "Ancien",
      "Modifié"),
   "Nouveau"))</f>
        <v>Ancien</v>
      </c>
      <c r="AC1999"/>
      <c r="AD1999"/>
    </row>
    <row r="2000" spans="1:30" x14ac:dyDescent="0.25">
      <c r="A2000" s="5" t="s">
        <v>6161</v>
      </c>
      <c r="B2000" s="1" t="s">
        <v>10347</v>
      </c>
      <c r="J2000" s="3">
        <v>46185.359270833331</v>
      </c>
      <c r="L2000" s="1">
        <v>7</v>
      </c>
      <c r="M2000" s="1">
        <v>8</v>
      </c>
      <c r="N2000">
        <v>1</v>
      </c>
      <c r="O2000" s="3">
        <f>IF(
    R2000="Ancien",
    _xlfn.XLOOKUP(
        Final_Sans_VGE[[#This Row],[ppn_z]],
        tbl_Historique_Final[ppn_z],
        tbl_Historique_Final[Horodatage],
        ""
    ),
    Horodatage!$A$2
)</f>
        <v>46233.670796365739</v>
      </c>
      <c r="P2000" s="1" t="str">
        <f>IFERROR(IF(tbl_Historique_Final[[#This Row],[Commentaires]]&lt;&gt;"",tbl_Historique_Final[[#This Row],[Commentaires]],""),"")</f>
        <v/>
      </c>
      <c r="X2000" s="8" t="str">
        <f>IF(Final_Sans_VGE[[#This Row],[ppn_z]]="","",IFERROR(
   IF(_xlfn.XLOOKUP(Final_Sans_VGE[[#This Row],[ppn_z]],tbl_Historique_Final[ppn_z],tbl_Historique_Final[date_modif])=Final_Sans_VGE[[#This Row],[date_modif]],
      "Ancien",
      "Modifié"),
   "Nouveau"))</f>
        <v>Ancien</v>
      </c>
      <c r="AC2000"/>
      <c r="AD2000"/>
    </row>
    <row r="2001" spans="1:30" x14ac:dyDescent="0.25">
      <c r="A2001" s="5" t="s">
        <v>6164</v>
      </c>
      <c r="B2001" s="1" t="s">
        <v>10348</v>
      </c>
      <c r="J2001" s="3">
        <v>46185.464780092596</v>
      </c>
      <c r="L2001" s="1">
        <v>0</v>
      </c>
      <c r="M2001" s="1">
        <v>0</v>
      </c>
      <c r="N2001">
        <v>0</v>
      </c>
      <c r="O2001" s="3">
        <f>IF(
    R2001="Ancien",
    _xlfn.XLOOKUP(
        Final_Sans_VGE[[#This Row],[ppn_z]],
        tbl_Historique_Final[ppn_z],
        tbl_Historique_Final[Horodatage],
        ""
    ),
    Horodatage!$A$2
)</f>
        <v>46233.670796365739</v>
      </c>
      <c r="P2001" s="1" t="str">
        <f>IFERROR(IF(tbl_Historique_Final[[#This Row],[Commentaires]]&lt;&gt;"",tbl_Historique_Final[[#This Row],[Commentaires]],""),"")</f>
        <v/>
      </c>
      <c r="X2001" s="8" t="str">
        <f>IF(Final_Sans_VGE[[#This Row],[ppn_z]]="","",IFERROR(
   IF(_xlfn.XLOOKUP(Final_Sans_VGE[[#This Row],[ppn_z]],tbl_Historique_Final[ppn_z],tbl_Historique_Final[date_modif])=Final_Sans_VGE[[#This Row],[date_modif]],
      "Ancien",
      "Modifié"),
   "Nouveau"))</f>
        <v>Ancien</v>
      </c>
      <c r="AC2001"/>
      <c r="AD2001"/>
    </row>
    <row r="2002" spans="1:30" x14ac:dyDescent="0.25">
      <c r="A2002" s="5" t="s">
        <v>6167</v>
      </c>
      <c r="B2002" s="1" t="s">
        <v>10349</v>
      </c>
      <c r="C2002" s="1" t="s">
        <v>35</v>
      </c>
      <c r="J2002" s="3">
        <v>46185.491840277777</v>
      </c>
      <c r="L2002" s="1">
        <v>8</v>
      </c>
      <c r="M2002" s="1">
        <v>9</v>
      </c>
      <c r="N2002">
        <v>1</v>
      </c>
      <c r="O2002" s="3">
        <f>IF(
    R2002="Ancien",
    _xlfn.XLOOKUP(
        Final_Sans_VGE[[#This Row],[ppn_z]],
        tbl_Historique_Final[ppn_z],
        tbl_Historique_Final[Horodatage],
        ""
    ),
    Horodatage!$A$2
)</f>
        <v>46233.670796365739</v>
      </c>
      <c r="P2002" s="1" t="str">
        <f>IFERROR(IF(tbl_Historique_Final[[#This Row],[Commentaires]]&lt;&gt;"",tbl_Historique_Final[[#This Row],[Commentaires]],""),"")</f>
        <v/>
      </c>
      <c r="X2002" s="8" t="str">
        <f>IF(Final_Sans_VGE[[#This Row],[ppn_z]]="","",IFERROR(
   IF(_xlfn.XLOOKUP(Final_Sans_VGE[[#This Row],[ppn_z]],tbl_Historique_Final[ppn_z],tbl_Historique_Final[date_modif])=Final_Sans_VGE[[#This Row],[date_modif]],
      "Ancien",
      "Modifié"),
   "Nouveau"))</f>
        <v>Ancien</v>
      </c>
      <c r="AC2002"/>
      <c r="AD2002"/>
    </row>
    <row r="2003" spans="1:30" ht="105" x14ac:dyDescent="0.25">
      <c r="A2003" s="5" t="s">
        <v>6170</v>
      </c>
      <c r="B2003" s="1" t="s">
        <v>10350</v>
      </c>
      <c r="C2003" s="1" t="s">
        <v>119</v>
      </c>
      <c r="E2003" s="1" t="s">
        <v>6694</v>
      </c>
      <c r="J2003" s="3">
        <v>46188.577569444446</v>
      </c>
      <c r="K2003" s="2" t="s">
        <v>10351</v>
      </c>
      <c r="L2003" s="1">
        <v>21</v>
      </c>
      <c r="M2003" s="1">
        <v>25</v>
      </c>
      <c r="N2003">
        <v>4</v>
      </c>
      <c r="O2003" s="3">
        <f>IF(
    R2003="Ancien",
    _xlfn.XLOOKUP(
        Final_Sans_VGE[[#This Row],[ppn_z]],
        tbl_Historique_Final[ppn_z],
        tbl_Historique_Final[Horodatage],
        ""
    ),
    Horodatage!$A$2
)</f>
        <v>46233.670796365739</v>
      </c>
      <c r="P2003" s="1" t="str">
        <f>IFERROR(IF(tbl_Historique_Final[[#This Row],[Commentaires]]&lt;&gt;"",tbl_Historique_Final[[#This Row],[Commentaires]],""),"")</f>
        <v/>
      </c>
      <c r="X2003" s="8" t="str">
        <f>IF(Final_Sans_VGE[[#This Row],[ppn_z]]="","",IFERROR(
   IF(_xlfn.XLOOKUP(Final_Sans_VGE[[#This Row],[ppn_z]],tbl_Historique_Final[ppn_z],tbl_Historique_Final[date_modif])=Final_Sans_VGE[[#This Row],[date_modif]],
      "Ancien",
      "Modifié"),
   "Nouveau"))</f>
        <v>Ancien</v>
      </c>
      <c r="AC2003"/>
      <c r="AD2003"/>
    </row>
    <row r="2004" spans="1:30" ht="60" x14ac:dyDescent="0.25">
      <c r="A2004" s="5" t="s">
        <v>6173</v>
      </c>
      <c r="B2004" s="1" t="s">
        <v>10352</v>
      </c>
      <c r="J2004" s="3">
        <v>46189.645127314812</v>
      </c>
      <c r="K2004" s="2" t="s">
        <v>10353</v>
      </c>
      <c r="L2004" s="1">
        <v>4</v>
      </c>
      <c r="M2004" s="1">
        <v>4</v>
      </c>
      <c r="N2004">
        <v>0</v>
      </c>
      <c r="O2004" s="3">
        <f>IF(
    R2004="Ancien",
    _xlfn.XLOOKUP(
        Final_Sans_VGE[[#This Row],[ppn_z]],
        tbl_Historique_Final[ppn_z],
        tbl_Historique_Final[Horodatage],
        ""
    ),
    Horodatage!$A$2
)</f>
        <v>46233.670796365739</v>
      </c>
      <c r="P2004" s="1" t="str">
        <f>IFERROR(IF(tbl_Historique_Final[[#This Row],[Commentaires]]&lt;&gt;"",tbl_Historique_Final[[#This Row],[Commentaires]],""),"")</f>
        <v/>
      </c>
      <c r="X2004" s="8" t="str">
        <f>IF(Final_Sans_VGE[[#This Row],[ppn_z]]="","",IFERROR(
   IF(_xlfn.XLOOKUP(Final_Sans_VGE[[#This Row],[ppn_z]],tbl_Historique_Final[ppn_z],tbl_Historique_Final[date_modif])=Final_Sans_VGE[[#This Row],[date_modif]],
      "Ancien",
      "Modifié"),
   "Nouveau"))</f>
        <v>Ancien</v>
      </c>
      <c r="AC2004"/>
      <c r="AD2004"/>
    </row>
    <row r="2005" spans="1:30" x14ac:dyDescent="0.25">
      <c r="A2005" s="5" t="s">
        <v>6176</v>
      </c>
      <c r="B2005" s="1" t="s">
        <v>10354</v>
      </c>
      <c r="C2005" s="1" t="s">
        <v>81</v>
      </c>
      <c r="J2005" s="3">
        <v>46189.725925925923</v>
      </c>
      <c r="L2005" s="1">
        <v>23</v>
      </c>
      <c r="M2005" s="1">
        <v>24</v>
      </c>
      <c r="N2005">
        <v>1</v>
      </c>
      <c r="O2005" s="3">
        <f>IF(
    R2005="Ancien",
    _xlfn.XLOOKUP(
        Final_Sans_VGE[[#This Row],[ppn_z]],
        tbl_Historique_Final[ppn_z],
        tbl_Historique_Final[Horodatage],
        ""
    ),
    Horodatage!$A$2
)</f>
        <v>46233.670796365739</v>
      </c>
      <c r="P2005" s="1" t="str">
        <f>IFERROR(IF(tbl_Historique_Final[[#This Row],[Commentaires]]&lt;&gt;"",tbl_Historique_Final[[#This Row],[Commentaires]],""),"")</f>
        <v/>
      </c>
      <c r="X2005" s="8" t="str">
        <f>IF(Final_Sans_VGE[[#This Row],[ppn_z]]="","",IFERROR(
   IF(_xlfn.XLOOKUP(Final_Sans_VGE[[#This Row],[ppn_z]],tbl_Historique_Final[ppn_z],tbl_Historique_Final[date_modif])=Final_Sans_VGE[[#This Row],[date_modif]],
      "Ancien",
      "Modifié"),
   "Nouveau"))</f>
        <v>Ancien</v>
      </c>
      <c r="AC2005"/>
      <c r="AD2005"/>
    </row>
    <row r="2006" spans="1:30" x14ac:dyDescent="0.25">
      <c r="A2006" s="5" t="s">
        <v>6179</v>
      </c>
      <c r="B2006" s="1" t="s">
        <v>10355</v>
      </c>
      <c r="C2006" s="1" t="s">
        <v>9757</v>
      </c>
      <c r="E2006" s="1" t="s">
        <v>9757</v>
      </c>
      <c r="J2006" s="3">
        <v>46189.751620370371</v>
      </c>
      <c r="L2006" s="1">
        <v>22</v>
      </c>
      <c r="M2006" s="1">
        <v>23</v>
      </c>
      <c r="N2006">
        <v>1</v>
      </c>
      <c r="O2006" s="3">
        <f>IF(
    R2006="Ancien",
    _xlfn.XLOOKUP(
        Final_Sans_VGE[[#This Row],[ppn_z]],
        tbl_Historique_Final[ppn_z],
        tbl_Historique_Final[Horodatage],
        ""
    ),
    Horodatage!$A$2
)</f>
        <v>46233.670796365739</v>
      </c>
      <c r="P2006" s="1" t="str">
        <f>IFERROR(IF(tbl_Historique_Final[[#This Row],[Commentaires]]&lt;&gt;"",tbl_Historique_Final[[#This Row],[Commentaires]],""),"")</f>
        <v/>
      </c>
      <c r="X2006" s="8" t="str">
        <f>IF(Final_Sans_VGE[[#This Row],[ppn_z]]="","",IFERROR(
   IF(_xlfn.XLOOKUP(Final_Sans_VGE[[#This Row],[ppn_z]],tbl_Historique_Final[ppn_z],tbl_Historique_Final[date_modif])=Final_Sans_VGE[[#This Row],[date_modif]],
      "Ancien",
      "Modifié"),
   "Nouveau"))</f>
        <v>Ancien</v>
      </c>
      <c r="AC2006"/>
      <c r="AD2006"/>
    </row>
    <row r="2007" spans="1:30" ht="30" x14ac:dyDescent="0.25">
      <c r="A2007" s="5" t="s">
        <v>6182</v>
      </c>
      <c r="B2007" s="1" t="s">
        <v>10356</v>
      </c>
      <c r="C2007" s="1" t="s">
        <v>8959</v>
      </c>
      <c r="E2007" s="1" t="s">
        <v>6416</v>
      </c>
      <c r="H2007" s="1" t="s">
        <v>22</v>
      </c>
      <c r="I2007" s="1" t="s">
        <v>22</v>
      </c>
      <c r="J2007" s="3">
        <v>46121.660856481481</v>
      </c>
      <c r="K2007" s="2" t="s">
        <v>10357</v>
      </c>
      <c r="L2007" s="1">
        <v>19</v>
      </c>
      <c r="M2007" s="1">
        <v>19</v>
      </c>
      <c r="N2007">
        <v>0</v>
      </c>
      <c r="O2007" s="3">
        <f>IF(
    R2007="Ancien",
    _xlfn.XLOOKUP(
        Final_Sans_VGE[[#This Row],[ppn_z]],
        tbl_Historique_Final[ppn_z],
        tbl_Historique_Final[Horodatage],
        ""
    ),
    Horodatage!$A$2
)</f>
        <v>46233.670796365739</v>
      </c>
      <c r="P2007" s="1" t="str">
        <f>IFERROR(IF(tbl_Historique_Final[[#This Row],[Commentaires]]&lt;&gt;"",tbl_Historique_Final[[#This Row],[Commentaires]],""),"")</f>
        <v/>
      </c>
      <c r="X2007" s="8" t="str">
        <f>IF(Final_Sans_VGE[[#This Row],[ppn_z]]="","",IFERROR(
   IF(_xlfn.XLOOKUP(Final_Sans_VGE[[#This Row],[ppn_z]],tbl_Historique_Final[ppn_z],tbl_Historique_Final[date_modif])=Final_Sans_VGE[[#This Row],[date_modif]],
      "Ancien",
      "Modifié"),
   "Nouveau"))</f>
        <v>Ancien</v>
      </c>
      <c r="AC2007"/>
      <c r="AD2007"/>
    </row>
    <row r="2008" spans="1:30" ht="30" x14ac:dyDescent="0.25">
      <c r="A2008" s="5" t="s">
        <v>6185</v>
      </c>
      <c r="B2008" s="1" t="s">
        <v>10358</v>
      </c>
      <c r="C2008" s="1" t="s">
        <v>92</v>
      </c>
      <c r="G2008" s="1" t="s">
        <v>11</v>
      </c>
      <c r="J2008" s="3">
        <v>46194.406319444446</v>
      </c>
      <c r="K2008" s="2" t="s">
        <v>10359</v>
      </c>
      <c r="L2008" s="1">
        <v>31</v>
      </c>
      <c r="M2008" s="1">
        <v>32</v>
      </c>
      <c r="N2008">
        <v>1</v>
      </c>
      <c r="O2008" s="3">
        <f>IF(
    R2008="Ancien",
    _xlfn.XLOOKUP(
        Final_Sans_VGE[[#This Row],[ppn_z]],
        tbl_Historique_Final[ppn_z],
        tbl_Historique_Final[Horodatage],
        ""
    ),
    Horodatage!$A$2
)</f>
        <v>46233.670796365739</v>
      </c>
      <c r="P2008" s="1" t="str">
        <f>IFERROR(IF(tbl_Historique_Final[[#This Row],[Commentaires]]&lt;&gt;"",tbl_Historique_Final[[#This Row],[Commentaires]],""),"")</f>
        <v/>
      </c>
      <c r="X2008" s="8" t="str">
        <f>IF(Final_Sans_VGE[[#This Row],[ppn_z]]="","",IFERROR(
   IF(_xlfn.XLOOKUP(Final_Sans_VGE[[#This Row],[ppn_z]],tbl_Historique_Final[ppn_z],tbl_Historique_Final[date_modif])=Final_Sans_VGE[[#This Row],[date_modif]],
      "Ancien",
      "Modifié"),
   "Nouveau"))</f>
        <v>Ancien</v>
      </c>
      <c r="AC2008"/>
      <c r="AD2008"/>
    </row>
    <row r="2009" spans="1:30" x14ac:dyDescent="0.25">
      <c r="A2009" s="5" t="s">
        <v>6188</v>
      </c>
      <c r="B2009" s="1" t="s">
        <v>10360</v>
      </c>
      <c r="C2009" s="1" t="s">
        <v>7398</v>
      </c>
      <c r="D2009" s="1" t="s">
        <v>14</v>
      </c>
      <c r="E2009" s="1" t="s">
        <v>10361</v>
      </c>
      <c r="F2009" s="1" t="s">
        <v>14</v>
      </c>
      <c r="G2009" s="1" t="s">
        <v>10</v>
      </c>
      <c r="H2009" s="1" t="s">
        <v>22</v>
      </c>
      <c r="I2009" s="1" t="s">
        <v>22</v>
      </c>
      <c r="J2009" s="3">
        <v>46198.496481481481</v>
      </c>
      <c r="L2009" s="1">
        <v>6</v>
      </c>
      <c r="M2009" s="1">
        <v>6</v>
      </c>
      <c r="N2009">
        <v>0</v>
      </c>
      <c r="O2009" s="3">
        <f>IF(
    R2009="Ancien",
    _xlfn.XLOOKUP(
        Final_Sans_VGE[[#This Row],[ppn_z]],
        tbl_Historique_Final[ppn_z],
        tbl_Historique_Final[Horodatage],
        ""
    ),
    Horodatage!$A$2
)</f>
        <v>46233.670796365739</v>
      </c>
      <c r="P2009" s="1" t="str">
        <f>IFERROR(IF(tbl_Historique_Final[[#This Row],[Commentaires]]&lt;&gt;"",tbl_Historique_Final[[#This Row],[Commentaires]],""),"")</f>
        <v/>
      </c>
      <c r="X2009" s="8" t="str">
        <f>IF(Final_Sans_VGE[[#This Row],[ppn_z]]="","",IFERROR(
   IF(_xlfn.XLOOKUP(Final_Sans_VGE[[#This Row],[ppn_z]],tbl_Historique_Final[ppn_z],tbl_Historique_Final[date_modif])=Final_Sans_VGE[[#This Row],[date_modif]],
      "Ancien",
      "Modifié"),
   "Nouveau"))</f>
        <v>Ancien</v>
      </c>
      <c r="AC2009"/>
      <c r="AD2009"/>
    </row>
    <row r="2010" spans="1:30" ht="30" x14ac:dyDescent="0.25">
      <c r="A2010" s="5" t="s">
        <v>6191</v>
      </c>
      <c r="B2010" s="1" t="s">
        <v>10362</v>
      </c>
      <c r="C2010" s="1" t="s">
        <v>12</v>
      </c>
      <c r="G2010" s="1" t="s">
        <v>10</v>
      </c>
      <c r="J2010" s="3">
        <v>46198.799166666664</v>
      </c>
      <c r="K2010" s="2" t="s">
        <v>10363</v>
      </c>
      <c r="L2010" s="1">
        <v>45</v>
      </c>
      <c r="M2010" s="1">
        <v>49</v>
      </c>
      <c r="N2010">
        <v>4</v>
      </c>
      <c r="O2010" s="3">
        <f>IF(
    R2010="Ancien",
    _xlfn.XLOOKUP(
        Final_Sans_VGE[[#This Row],[ppn_z]],
        tbl_Historique_Final[ppn_z],
        tbl_Historique_Final[Horodatage],
        ""
    ),
    Horodatage!$A$2
)</f>
        <v>46233.670796365739</v>
      </c>
      <c r="P2010" s="1" t="str">
        <f>IFERROR(IF(tbl_Historique_Final[[#This Row],[Commentaires]]&lt;&gt;"",tbl_Historique_Final[[#This Row],[Commentaires]],""),"")</f>
        <v/>
      </c>
      <c r="X2010" s="8" t="str">
        <f>IF(Final_Sans_VGE[[#This Row],[ppn_z]]="","",IFERROR(
   IF(_xlfn.XLOOKUP(Final_Sans_VGE[[#This Row],[ppn_z]],tbl_Historique_Final[ppn_z],tbl_Historique_Final[date_modif])=Final_Sans_VGE[[#This Row],[date_modif]],
      "Ancien",
      "Modifié"),
   "Nouveau"))</f>
        <v>Ancien</v>
      </c>
      <c r="AC2010"/>
      <c r="AD2010"/>
    </row>
    <row r="2011" spans="1:30" ht="45" x14ac:dyDescent="0.25">
      <c r="A2011" s="5" t="s">
        <v>6194</v>
      </c>
      <c r="B2011" s="1" t="s">
        <v>10364</v>
      </c>
      <c r="C2011" s="1" t="s">
        <v>83</v>
      </c>
      <c r="G2011" s="1" t="s">
        <v>11</v>
      </c>
      <c r="J2011" s="3">
        <v>46198.799166666664</v>
      </c>
      <c r="K2011" s="2" t="s">
        <v>10365</v>
      </c>
      <c r="L2011" s="1">
        <v>6</v>
      </c>
      <c r="M2011" s="1">
        <v>6</v>
      </c>
      <c r="N2011">
        <v>0</v>
      </c>
      <c r="O2011" s="3">
        <f>IF(
    R2011="Ancien",
    _xlfn.XLOOKUP(
        Final_Sans_VGE[[#This Row],[ppn_z]],
        tbl_Historique_Final[ppn_z],
        tbl_Historique_Final[Horodatage],
        ""
    ),
    Horodatage!$A$2
)</f>
        <v>46233.670796365739</v>
      </c>
      <c r="P2011" s="1" t="str">
        <f>IFERROR(IF(tbl_Historique_Final[[#This Row],[Commentaires]]&lt;&gt;"",tbl_Historique_Final[[#This Row],[Commentaires]],""),"")</f>
        <v/>
      </c>
      <c r="X2011" s="8" t="str">
        <f>IF(Final_Sans_VGE[[#This Row],[ppn_z]]="","",IFERROR(
   IF(_xlfn.XLOOKUP(Final_Sans_VGE[[#This Row],[ppn_z]],tbl_Historique_Final[ppn_z],tbl_Historique_Final[date_modif])=Final_Sans_VGE[[#This Row],[date_modif]],
      "Ancien",
      "Modifié"),
   "Nouveau"))</f>
        <v>Ancien</v>
      </c>
      <c r="AC2011"/>
      <c r="AD2011"/>
    </row>
    <row r="2012" spans="1:30" ht="45" x14ac:dyDescent="0.25">
      <c r="A2012" s="5" t="s">
        <v>6197</v>
      </c>
      <c r="B2012" s="1" t="s">
        <v>10366</v>
      </c>
      <c r="G2012" s="1" t="s">
        <v>10</v>
      </c>
      <c r="J2012" s="3">
        <v>46201.399525462963</v>
      </c>
      <c r="K2012" s="2" t="s">
        <v>10367</v>
      </c>
      <c r="L2012" s="1">
        <v>5</v>
      </c>
      <c r="M2012" s="1">
        <v>23</v>
      </c>
      <c r="N2012">
        <v>18</v>
      </c>
      <c r="O2012" s="3">
        <f>IF(
    R2012="Ancien",
    _xlfn.XLOOKUP(
        Final_Sans_VGE[[#This Row],[ppn_z]],
        tbl_Historique_Final[ppn_z],
        tbl_Historique_Final[Horodatage],
        ""
    ),
    Horodatage!$A$2
)</f>
        <v>46233.670796365739</v>
      </c>
      <c r="P2012" s="1" t="str">
        <f>IFERROR(IF(tbl_Historique_Final[[#This Row],[Commentaires]]&lt;&gt;"",tbl_Historique_Final[[#This Row],[Commentaires]],""),"")</f>
        <v/>
      </c>
      <c r="X2012" s="8" t="str">
        <f>IF(Final_Sans_VGE[[#This Row],[ppn_z]]="","",IFERROR(
   IF(_xlfn.XLOOKUP(Final_Sans_VGE[[#This Row],[ppn_z]],tbl_Historique_Final[ppn_z],tbl_Historique_Final[date_modif])=Final_Sans_VGE[[#This Row],[date_modif]],
      "Ancien",
      "Modifié"),
   "Nouveau"))</f>
        <v>Ancien</v>
      </c>
      <c r="AC2012"/>
      <c r="AD2012"/>
    </row>
    <row r="2013" spans="1:30" ht="45" x14ac:dyDescent="0.25">
      <c r="A2013" s="5" t="s">
        <v>6200</v>
      </c>
      <c r="B2013" s="1" t="s">
        <v>10368</v>
      </c>
      <c r="C2013" s="1" t="s">
        <v>88</v>
      </c>
      <c r="G2013" s="1" t="s">
        <v>10</v>
      </c>
      <c r="H2013" s="1" t="s">
        <v>140</v>
      </c>
      <c r="I2013" s="1" t="s">
        <v>140</v>
      </c>
      <c r="J2013" s="3">
        <v>46210.339722222219</v>
      </c>
      <c r="K2013" s="2" t="s">
        <v>10369</v>
      </c>
      <c r="L2013" s="1">
        <v>1</v>
      </c>
      <c r="M2013" s="1">
        <v>10</v>
      </c>
      <c r="N2013">
        <v>9</v>
      </c>
      <c r="O2013" s="3">
        <f>IF(
    R2013="Ancien",
    _xlfn.XLOOKUP(
        Final_Sans_VGE[[#This Row],[ppn_z]],
        tbl_Historique_Final[ppn_z],
        tbl_Historique_Final[Horodatage],
        ""
    ),
    Horodatage!$A$2
)</f>
        <v>46233.670796365739</v>
      </c>
      <c r="P2013" s="1" t="str">
        <f>IFERROR(IF(tbl_Historique_Final[[#This Row],[Commentaires]]&lt;&gt;"",tbl_Historique_Final[[#This Row],[Commentaires]],""),"")</f>
        <v/>
      </c>
      <c r="X2013" s="8" t="str">
        <f>IF(Final_Sans_VGE[[#This Row],[ppn_z]]="","",IFERROR(
   IF(_xlfn.XLOOKUP(Final_Sans_VGE[[#This Row],[ppn_z]],tbl_Historique_Final[ppn_z],tbl_Historique_Final[date_modif])=Final_Sans_VGE[[#This Row],[date_modif]],
      "Ancien",
      "Modifié"),
   "Nouveau"))</f>
        <v>Ancien</v>
      </c>
      <c r="AC2013"/>
      <c r="AD2013"/>
    </row>
    <row r="2014" spans="1:30" x14ac:dyDescent="0.25">
      <c r="A2014" s="5" t="s">
        <v>6203</v>
      </c>
      <c r="B2014" s="1" t="s">
        <v>10370</v>
      </c>
      <c r="C2014" s="1" t="s">
        <v>7709</v>
      </c>
      <c r="D2014" s="1" t="s">
        <v>10371</v>
      </c>
      <c r="E2014" s="1" t="s">
        <v>139</v>
      </c>
      <c r="F2014" s="1" t="s">
        <v>14</v>
      </c>
      <c r="G2014" s="1" t="s">
        <v>10</v>
      </c>
      <c r="H2014" s="1" t="s">
        <v>10372</v>
      </c>
      <c r="I2014" s="1" t="s">
        <v>22</v>
      </c>
      <c r="J2014" s="3">
        <v>46210.442662037036</v>
      </c>
      <c r="K2014" s="2" t="s">
        <v>10373</v>
      </c>
      <c r="L2014" s="1">
        <v>6</v>
      </c>
      <c r="M2014" s="1">
        <v>9</v>
      </c>
      <c r="N2014">
        <v>3</v>
      </c>
      <c r="O2014" s="3">
        <f>IF(
    R2014="Ancien",
    _xlfn.XLOOKUP(
        Final_Sans_VGE[[#This Row],[ppn_z]],
        tbl_Historique_Final[ppn_z],
        tbl_Historique_Final[Horodatage],
        ""
    ),
    Horodatage!$A$2
)</f>
        <v>46233.670796365739</v>
      </c>
      <c r="P2014" s="1" t="str">
        <f>IFERROR(IF(tbl_Historique_Final[[#This Row],[Commentaires]]&lt;&gt;"",tbl_Historique_Final[[#This Row],[Commentaires]],""),"")</f>
        <v/>
      </c>
      <c r="X2014" s="8" t="str">
        <f>IF(Final_Sans_VGE[[#This Row],[ppn_z]]="","",IFERROR(
   IF(_xlfn.XLOOKUP(Final_Sans_VGE[[#This Row],[ppn_z]],tbl_Historique_Final[ppn_z],tbl_Historique_Final[date_modif])=Final_Sans_VGE[[#This Row],[date_modif]],
      "Ancien",
      "Modifié"),
   "Nouveau"))</f>
        <v>Ancien</v>
      </c>
      <c r="AC2014"/>
      <c r="AD2014"/>
    </row>
    <row r="2015" spans="1:30" ht="165" x14ac:dyDescent="0.25">
      <c r="A2015" s="5" t="s">
        <v>6206</v>
      </c>
      <c r="B2015" s="1" t="s">
        <v>10374</v>
      </c>
      <c r="C2015" s="1" t="s">
        <v>39</v>
      </c>
      <c r="G2015" s="1" t="s">
        <v>11</v>
      </c>
      <c r="H2015" s="1" t="s">
        <v>10375</v>
      </c>
      <c r="I2015" s="1" t="s">
        <v>140</v>
      </c>
      <c r="J2015" s="3">
        <v>46213.481307870374</v>
      </c>
      <c r="K2015" s="2" t="s">
        <v>10376</v>
      </c>
      <c r="L2015" s="1">
        <v>0</v>
      </c>
      <c r="M2015" s="1">
        <v>26</v>
      </c>
      <c r="N2015">
        <v>26</v>
      </c>
      <c r="O2015" s="3">
        <f>IF(
    R2015="Ancien",
    _xlfn.XLOOKUP(
        Final_Sans_VGE[[#This Row],[ppn_z]],
        tbl_Historique_Final[ppn_z],
        tbl_Historique_Final[Horodatage],
        ""
    ),
    Horodatage!$A$2
)</f>
        <v>46233.670796365739</v>
      </c>
      <c r="P2015" s="1" t="str">
        <f>IFERROR(IF(tbl_Historique_Final[[#This Row],[Commentaires]]&lt;&gt;"",tbl_Historique_Final[[#This Row],[Commentaires]],""),"")</f>
        <v/>
      </c>
      <c r="X2015" s="8" t="str">
        <f>IF(Final_Sans_VGE[[#This Row],[ppn_z]]="","",IFERROR(
   IF(_xlfn.XLOOKUP(Final_Sans_VGE[[#This Row],[ppn_z]],tbl_Historique_Final[ppn_z],tbl_Historique_Final[date_modif])=Final_Sans_VGE[[#This Row],[date_modif]],
      "Ancien",
      "Modifié"),
   "Nouveau"))</f>
        <v>Ancien</v>
      </c>
      <c r="AC2015"/>
      <c r="AD2015"/>
    </row>
    <row r="2016" spans="1:30" x14ac:dyDescent="0.25">
      <c r="A2016" s="5" t="s">
        <v>6209</v>
      </c>
      <c r="B2016" s="1" t="s">
        <v>10377</v>
      </c>
      <c r="C2016" s="1" t="s">
        <v>6406</v>
      </c>
      <c r="G2016" s="1" t="s">
        <v>10</v>
      </c>
      <c r="H2016" s="1" t="s">
        <v>22</v>
      </c>
      <c r="I2016" s="1" t="s">
        <v>8389</v>
      </c>
      <c r="J2016" s="3">
        <v>46213.537418981483</v>
      </c>
      <c r="K2016" s="2" t="s">
        <v>10378</v>
      </c>
      <c r="L2016" s="1">
        <v>33</v>
      </c>
      <c r="M2016" s="1">
        <v>46</v>
      </c>
      <c r="N2016">
        <v>13</v>
      </c>
      <c r="O2016" s="3">
        <f>IF(
    R2016="Ancien",
    _xlfn.XLOOKUP(
        Final_Sans_VGE[[#This Row],[ppn_z]],
        tbl_Historique_Final[ppn_z],
        tbl_Historique_Final[Horodatage],
        ""
    ),
    Horodatage!$A$2
)</f>
        <v>46233.670796365739</v>
      </c>
      <c r="P2016" s="1" t="str">
        <f>IFERROR(IF(tbl_Historique_Final[[#This Row],[Commentaires]]&lt;&gt;"",tbl_Historique_Final[[#This Row],[Commentaires]],""),"")</f>
        <v/>
      </c>
      <c r="X2016" s="8" t="str">
        <f>IF(Final_Sans_VGE[[#This Row],[ppn_z]]="","",IFERROR(
   IF(_xlfn.XLOOKUP(Final_Sans_VGE[[#This Row],[ppn_z]],tbl_Historique_Final[ppn_z],tbl_Historique_Final[date_modif])=Final_Sans_VGE[[#This Row],[date_modif]],
      "Ancien",
      "Modifié"),
   "Nouveau"))</f>
        <v>Ancien</v>
      </c>
      <c r="AC2016"/>
      <c r="AD2016"/>
    </row>
    <row r="2017" spans="1:30" ht="45" x14ac:dyDescent="0.25">
      <c r="A2017" s="5" t="s">
        <v>6212</v>
      </c>
      <c r="B2017" s="1" t="s">
        <v>10379</v>
      </c>
      <c r="C2017" s="1" t="s">
        <v>46</v>
      </c>
      <c r="D2017" s="1" t="s">
        <v>10380</v>
      </c>
      <c r="G2017" s="1" t="s">
        <v>11</v>
      </c>
      <c r="H2017" s="1" t="s">
        <v>22</v>
      </c>
      <c r="I2017" s="1" t="s">
        <v>10381</v>
      </c>
      <c r="J2017" s="3">
        <v>46215.353703703702</v>
      </c>
      <c r="K2017" s="2" t="s">
        <v>10382</v>
      </c>
      <c r="L2017" s="1">
        <v>4</v>
      </c>
      <c r="M2017" s="1">
        <v>11</v>
      </c>
      <c r="N2017">
        <v>7</v>
      </c>
      <c r="O2017" s="3">
        <f>IF(
    R2017="Ancien",
    _xlfn.XLOOKUP(
        Final_Sans_VGE[[#This Row],[ppn_z]],
        tbl_Historique_Final[ppn_z],
        tbl_Historique_Final[Horodatage],
        ""
    ),
    Horodatage!$A$2
)</f>
        <v>46233.670796365739</v>
      </c>
      <c r="P2017" s="1" t="str">
        <f>IFERROR(IF(tbl_Historique_Final[[#This Row],[Commentaires]]&lt;&gt;"",tbl_Historique_Final[[#This Row],[Commentaires]],""),"")</f>
        <v/>
      </c>
      <c r="X2017" s="8" t="str">
        <f>IF(Final_Sans_VGE[[#This Row],[ppn_z]]="","",IFERROR(
   IF(_xlfn.XLOOKUP(Final_Sans_VGE[[#This Row],[ppn_z]],tbl_Historique_Final[ppn_z],tbl_Historique_Final[date_modif])=Final_Sans_VGE[[#This Row],[date_modif]],
      "Ancien",
      "Modifié"),
   "Nouveau"))</f>
        <v>Ancien</v>
      </c>
      <c r="AC2017"/>
      <c r="AD2017"/>
    </row>
    <row r="2018" spans="1:30" ht="30" x14ac:dyDescent="0.25">
      <c r="A2018" s="5" t="s">
        <v>6215</v>
      </c>
      <c r="B2018" s="1" t="s">
        <v>10383</v>
      </c>
      <c r="C2018" s="1" t="s">
        <v>69</v>
      </c>
      <c r="G2018" s="1" t="s">
        <v>10</v>
      </c>
      <c r="H2018" s="1" t="s">
        <v>140</v>
      </c>
      <c r="I2018" s="1" t="s">
        <v>10384</v>
      </c>
      <c r="J2018" s="3">
        <v>46215.359363425923</v>
      </c>
      <c r="K2018" s="2" t="s">
        <v>10385</v>
      </c>
      <c r="L2018" s="1">
        <v>23</v>
      </c>
      <c r="M2018" s="1">
        <v>32</v>
      </c>
      <c r="N2018">
        <v>9</v>
      </c>
      <c r="O2018" s="3">
        <f>IF(
    R2018="Ancien",
    _xlfn.XLOOKUP(
        Final_Sans_VGE[[#This Row],[ppn_z]],
        tbl_Historique_Final[ppn_z],
        tbl_Historique_Final[Horodatage],
        ""
    ),
    Horodatage!$A$2
)</f>
        <v>46233.670796365739</v>
      </c>
      <c r="P2018" s="1" t="str">
        <f>IFERROR(IF(tbl_Historique_Final[[#This Row],[Commentaires]]&lt;&gt;"",tbl_Historique_Final[[#This Row],[Commentaires]],""),"")</f>
        <v/>
      </c>
      <c r="X2018" s="8" t="str">
        <f>IF(Final_Sans_VGE[[#This Row],[ppn_z]]="","",IFERROR(
   IF(_xlfn.XLOOKUP(Final_Sans_VGE[[#This Row],[ppn_z]],tbl_Historique_Final[ppn_z],tbl_Historique_Final[date_modif])=Final_Sans_VGE[[#This Row],[date_modif]],
      "Ancien",
      "Modifié"),
   "Nouveau"))</f>
        <v>Ancien</v>
      </c>
      <c r="AC2018"/>
      <c r="AD2018"/>
    </row>
    <row r="2019" spans="1:30" ht="45" x14ac:dyDescent="0.25">
      <c r="A2019" s="5" t="s">
        <v>6218</v>
      </c>
      <c r="B2019" s="1" t="s">
        <v>10386</v>
      </c>
      <c r="C2019" s="1" t="s">
        <v>43</v>
      </c>
      <c r="D2019" s="1" t="s">
        <v>14</v>
      </c>
      <c r="G2019" s="1" t="s">
        <v>10</v>
      </c>
      <c r="H2019" s="1" t="s">
        <v>22</v>
      </c>
      <c r="I2019" s="1" t="s">
        <v>22</v>
      </c>
      <c r="J2019" s="3">
        <v>46215.364861111113</v>
      </c>
      <c r="K2019" s="2" t="s">
        <v>10387</v>
      </c>
      <c r="L2019" s="1">
        <v>39</v>
      </c>
      <c r="M2019" s="1">
        <v>43</v>
      </c>
      <c r="N2019">
        <v>4</v>
      </c>
      <c r="O2019" s="3">
        <f>IF(
    R2019="Ancien",
    _xlfn.XLOOKUP(
        Final_Sans_VGE[[#This Row],[ppn_z]],
        tbl_Historique_Final[ppn_z],
        tbl_Historique_Final[Horodatage],
        ""
    ),
    Horodatage!$A$2
)</f>
        <v>46233.670796365739</v>
      </c>
      <c r="P2019" s="1" t="str">
        <f>IFERROR(IF(tbl_Historique_Final[[#This Row],[Commentaires]]&lt;&gt;"",tbl_Historique_Final[[#This Row],[Commentaires]],""),"")</f>
        <v/>
      </c>
      <c r="X2019" s="8" t="str">
        <f>IF(Final_Sans_VGE[[#This Row],[ppn_z]]="","",IFERROR(
   IF(_xlfn.XLOOKUP(Final_Sans_VGE[[#This Row],[ppn_z]],tbl_Historique_Final[ppn_z],tbl_Historique_Final[date_modif])=Final_Sans_VGE[[#This Row],[date_modif]],
      "Ancien",
      "Modifié"),
   "Nouveau"))</f>
        <v>Ancien</v>
      </c>
      <c r="AC2019"/>
      <c r="AD2019"/>
    </row>
    <row r="2020" spans="1:30" ht="30" x14ac:dyDescent="0.25">
      <c r="A2020" s="5" t="s">
        <v>6221</v>
      </c>
      <c r="B2020" s="1" t="s">
        <v>10388</v>
      </c>
      <c r="C2020" s="1" t="s">
        <v>6406</v>
      </c>
      <c r="D2020" s="1" t="s">
        <v>14</v>
      </c>
      <c r="G2020" s="1" t="s">
        <v>10</v>
      </c>
      <c r="H2020" s="1" t="s">
        <v>22</v>
      </c>
      <c r="I2020" s="1" t="s">
        <v>140</v>
      </c>
      <c r="J2020" s="3">
        <v>46215.367615740739</v>
      </c>
      <c r="K2020" s="2" t="s">
        <v>10389</v>
      </c>
      <c r="L2020" s="1">
        <v>18</v>
      </c>
      <c r="M2020" s="1">
        <v>26</v>
      </c>
      <c r="N2020">
        <v>8</v>
      </c>
      <c r="O2020" s="3">
        <f>IF(
    R2020="Ancien",
    _xlfn.XLOOKUP(
        Final_Sans_VGE[[#This Row],[ppn_z]],
        tbl_Historique_Final[ppn_z],
        tbl_Historique_Final[Horodatage],
        ""
    ),
    Horodatage!$A$2
)</f>
        <v>46233.670796365739</v>
      </c>
      <c r="P2020" s="1" t="str">
        <f>IFERROR(IF(tbl_Historique_Final[[#This Row],[Commentaires]]&lt;&gt;"",tbl_Historique_Final[[#This Row],[Commentaires]],""),"")</f>
        <v/>
      </c>
      <c r="X2020" s="8" t="str">
        <f>IF(Final_Sans_VGE[[#This Row],[ppn_z]]="","",IFERROR(
   IF(_xlfn.XLOOKUP(Final_Sans_VGE[[#This Row],[ppn_z]],tbl_Historique_Final[ppn_z],tbl_Historique_Final[date_modif])=Final_Sans_VGE[[#This Row],[date_modif]],
      "Ancien",
      "Modifié"),
   "Nouveau"))</f>
        <v>Ancien</v>
      </c>
      <c r="AC2020"/>
      <c r="AD2020"/>
    </row>
    <row r="2021" spans="1:30" ht="45" x14ac:dyDescent="0.25">
      <c r="A2021" s="5" t="s">
        <v>6224</v>
      </c>
      <c r="B2021" s="1" t="s">
        <v>10390</v>
      </c>
      <c r="C2021" s="1" t="s">
        <v>35</v>
      </c>
      <c r="D2021" s="1" t="s">
        <v>14</v>
      </c>
      <c r="G2021" s="1" t="s">
        <v>10</v>
      </c>
      <c r="H2021" s="1" t="s">
        <v>140</v>
      </c>
      <c r="I2021" s="1" t="s">
        <v>10533</v>
      </c>
      <c r="J2021" s="3">
        <v>46215.392708333333</v>
      </c>
      <c r="K2021" s="2" t="s">
        <v>10392</v>
      </c>
      <c r="L2021" s="1">
        <v>5</v>
      </c>
      <c r="M2021" s="1">
        <v>9</v>
      </c>
      <c r="N2021">
        <v>4</v>
      </c>
      <c r="O2021" s="3">
        <f>IF(
    R2021="Ancien",
    _xlfn.XLOOKUP(
        Final_Sans_VGE[[#This Row],[ppn_z]],
        tbl_Historique_Final[ppn_z],
        tbl_Historique_Final[Horodatage],
        ""
    ),
    Horodatage!$A$2
)</f>
        <v>46233.670796365739</v>
      </c>
      <c r="P2021" s="1" t="str">
        <f>IFERROR(IF(tbl_Historique_Final[[#This Row],[Commentaires]]&lt;&gt;"",tbl_Historique_Final[[#This Row],[Commentaires]],""),"")</f>
        <v/>
      </c>
      <c r="X2021" s="8" t="str">
        <f>IF(Final_Sans_VGE[[#This Row],[ppn_z]]="","",IFERROR(
   IF(_xlfn.XLOOKUP(Final_Sans_VGE[[#This Row],[ppn_z]],tbl_Historique_Final[ppn_z],tbl_Historique_Final[date_modif])=Final_Sans_VGE[[#This Row],[date_modif]],
      "Ancien",
      "Modifié"),
   "Nouveau"))</f>
        <v>Ancien</v>
      </c>
      <c r="AC2021"/>
      <c r="AD2021"/>
    </row>
    <row r="2022" spans="1:30" x14ac:dyDescent="0.25">
      <c r="A2022" s="5" t="s">
        <v>6227</v>
      </c>
      <c r="B2022" s="1" t="s">
        <v>10393</v>
      </c>
      <c r="C2022" s="1" t="s">
        <v>6792</v>
      </c>
      <c r="J2022" s="3">
        <v>46216.722488425927</v>
      </c>
      <c r="L2022" s="1">
        <v>46</v>
      </c>
      <c r="M2022" s="1">
        <v>49</v>
      </c>
      <c r="N2022">
        <v>3</v>
      </c>
      <c r="O2022" s="3">
        <f>IF(
    R2022="Ancien",
    _xlfn.XLOOKUP(
        Final_Sans_VGE[[#This Row],[ppn_z]],
        tbl_Historique_Final[ppn_z],
        tbl_Historique_Final[Horodatage],
        ""
    ),
    Horodatage!$A$2
)</f>
        <v>46233.670796365739</v>
      </c>
      <c r="P2022" s="1" t="str">
        <f>IFERROR(IF(tbl_Historique_Final[[#This Row],[Commentaires]]&lt;&gt;"",tbl_Historique_Final[[#This Row],[Commentaires]],""),"")</f>
        <v/>
      </c>
      <c r="X2022" s="8" t="str">
        <f>IF(Final_Sans_VGE[[#This Row],[ppn_z]]="","",IFERROR(
   IF(_xlfn.XLOOKUP(Final_Sans_VGE[[#This Row],[ppn_z]],tbl_Historique_Final[ppn_z],tbl_Historique_Final[date_modif])=Final_Sans_VGE[[#This Row],[date_modif]],
      "Ancien",
      "Modifié"),
   "Nouveau"))</f>
        <v>Ancien</v>
      </c>
      <c r="AC2022"/>
      <c r="AD2022"/>
    </row>
    <row r="2023" spans="1:30" x14ac:dyDescent="0.25">
      <c r="A2023" s="5" t="s">
        <v>6230</v>
      </c>
      <c r="B2023" s="1" t="s">
        <v>10394</v>
      </c>
      <c r="J2023" s="3">
        <v>46217.614583333336</v>
      </c>
      <c r="L2023" s="1">
        <v>4</v>
      </c>
      <c r="M2023" s="1">
        <v>5</v>
      </c>
      <c r="N2023">
        <v>1</v>
      </c>
      <c r="O2023" s="3">
        <f>IF(
    R2023="Ancien",
    _xlfn.XLOOKUP(
        Final_Sans_VGE[[#This Row],[ppn_z]],
        tbl_Historique_Final[ppn_z],
        tbl_Historique_Final[Horodatage],
        ""
    ),
    Horodatage!$A$2
)</f>
        <v>46233.670796365739</v>
      </c>
      <c r="P2023" s="1" t="str">
        <f>IFERROR(IF(tbl_Historique_Final[[#This Row],[Commentaires]]&lt;&gt;"",tbl_Historique_Final[[#This Row],[Commentaires]],""),"")</f>
        <v/>
      </c>
      <c r="X2023" s="8" t="str">
        <f>IF(Final_Sans_VGE[[#This Row],[ppn_z]]="","",IFERROR(
   IF(_xlfn.XLOOKUP(Final_Sans_VGE[[#This Row],[ppn_z]],tbl_Historique_Final[ppn_z],tbl_Historique_Final[date_modif])=Final_Sans_VGE[[#This Row],[date_modif]],
      "Ancien",
      "Modifié"),
   "Nouveau"))</f>
        <v>Ancien</v>
      </c>
      <c r="AC2023"/>
      <c r="AD2023"/>
    </row>
    <row r="2024" spans="1:30" x14ac:dyDescent="0.25">
      <c r="A2024" s="5" t="s">
        <v>6233</v>
      </c>
      <c r="B2024" s="1" t="s">
        <v>10395</v>
      </c>
      <c r="J2024" s="3">
        <v>46217.618009259262</v>
      </c>
      <c r="L2024" s="1">
        <v>2</v>
      </c>
      <c r="M2024" s="1">
        <v>3</v>
      </c>
      <c r="N2024">
        <v>1</v>
      </c>
      <c r="O2024" s="3">
        <f>IF(
    R2024="Ancien",
    _xlfn.XLOOKUP(
        Final_Sans_VGE[[#This Row],[ppn_z]],
        tbl_Historique_Final[ppn_z],
        tbl_Historique_Final[Horodatage],
        ""
    ),
    Horodatage!$A$2
)</f>
        <v>46233.670796365739</v>
      </c>
      <c r="P2024" s="1" t="str">
        <f>IFERROR(IF(tbl_Historique_Final[[#This Row],[Commentaires]]&lt;&gt;"",tbl_Historique_Final[[#This Row],[Commentaires]],""),"")</f>
        <v/>
      </c>
      <c r="X2024" s="8" t="str">
        <f>IF(Final_Sans_VGE[[#This Row],[ppn_z]]="","",IFERROR(
   IF(_xlfn.XLOOKUP(Final_Sans_VGE[[#This Row],[ppn_z]],tbl_Historique_Final[ppn_z],tbl_Historique_Final[date_modif])=Final_Sans_VGE[[#This Row],[date_modif]],
      "Ancien",
      "Modifié"),
   "Nouveau"))</f>
        <v>Ancien</v>
      </c>
      <c r="AC2024"/>
      <c r="AD2024"/>
    </row>
    <row r="2025" spans="1:30" ht="30" x14ac:dyDescent="0.25">
      <c r="A2025" s="5" t="s">
        <v>6236</v>
      </c>
      <c r="B2025" s="1" t="s">
        <v>10396</v>
      </c>
      <c r="C2025" s="1" t="s">
        <v>77</v>
      </c>
      <c r="D2025" s="1" t="s">
        <v>14</v>
      </c>
      <c r="G2025" s="1" t="s">
        <v>10</v>
      </c>
      <c r="H2025" s="1" t="s">
        <v>140</v>
      </c>
      <c r="I2025" s="1" t="s">
        <v>140</v>
      </c>
      <c r="J2025" s="3">
        <v>46222.381527777776</v>
      </c>
      <c r="K2025" s="2" t="s">
        <v>10397</v>
      </c>
      <c r="L2025" s="1">
        <v>119</v>
      </c>
      <c r="M2025" s="1">
        <v>134</v>
      </c>
      <c r="N2025">
        <v>15</v>
      </c>
      <c r="O2025" s="3">
        <f>IF(
    R2025="Ancien",
    _xlfn.XLOOKUP(
        Final_Sans_VGE[[#This Row],[ppn_z]],
        tbl_Historique_Final[ppn_z],
        tbl_Historique_Final[Horodatage],
        ""
    ),
    Horodatage!$A$2
)</f>
        <v>46233.670796365739</v>
      </c>
      <c r="P2025" s="1" t="str">
        <f>IFERROR(IF(tbl_Historique_Final[[#This Row],[Commentaires]]&lt;&gt;"",tbl_Historique_Final[[#This Row],[Commentaires]],""),"")</f>
        <v/>
      </c>
      <c r="X2025" s="8" t="str">
        <f>IF(Final_Sans_VGE[[#This Row],[ppn_z]]="","",IFERROR(
   IF(_xlfn.XLOOKUP(Final_Sans_VGE[[#This Row],[ppn_z]],tbl_Historique_Final[ppn_z],tbl_Historique_Final[date_modif])=Final_Sans_VGE[[#This Row],[date_modif]],
      "Ancien",
      "Modifié"),
   "Nouveau"))</f>
        <v>Ancien</v>
      </c>
      <c r="AC2025"/>
      <c r="AD2025"/>
    </row>
    <row r="2026" spans="1:30" x14ac:dyDescent="0.25">
      <c r="A2026" s="5" t="s">
        <v>6239</v>
      </c>
      <c r="B2026" s="1" t="s">
        <v>10398</v>
      </c>
      <c r="C2026" s="1" t="s">
        <v>146</v>
      </c>
      <c r="E2026" s="1" t="s">
        <v>6735</v>
      </c>
      <c r="G2026" s="1" t="s">
        <v>10</v>
      </c>
      <c r="J2026" s="3">
        <v>46223.71634259259</v>
      </c>
      <c r="K2026" s="2" t="s">
        <v>10399</v>
      </c>
      <c r="L2026" s="1">
        <v>22</v>
      </c>
      <c r="M2026" s="1">
        <v>23</v>
      </c>
      <c r="N2026">
        <v>1</v>
      </c>
      <c r="O2026" s="3">
        <f>IF(
    R2026="Ancien",
    _xlfn.XLOOKUP(
        Final_Sans_VGE[[#This Row],[ppn_z]],
        tbl_Historique_Final[ppn_z],
        tbl_Historique_Final[Horodatage],
        ""
    ),
    Horodatage!$A$2
)</f>
        <v>46233.670796365739</v>
      </c>
      <c r="P2026" s="1" t="str">
        <f>IFERROR(IF(tbl_Historique_Final[[#This Row],[Commentaires]]&lt;&gt;"",tbl_Historique_Final[[#This Row],[Commentaires]],""),"")</f>
        <v/>
      </c>
      <c r="X2026" s="8" t="str">
        <f>IF(Final_Sans_VGE[[#This Row],[ppn_z]]="","",IFERROR(
   IF(_xlfn.XLOOKUP(Final_Sans_VGE[[#This Row],[ppn_z]],tbl_Historique_Final[ppn_z],tbl_Historique_Final[date_modif])=Final_Sans_VGE[[#This Row],[date_modif]],
      "Ancien",
      "Modifié"),
   "Nouveau"))</f>
        <v>Ancien</v>
      </c>
      <c r="AC2026"/>
      <c r="AD2026"/>
    </row>
    <row r="2027" spans="1:30" ht="105" x14ac:dyDescent="0.25">
      <c r="A2027" s="5" t="s">
        <v>6242</v>
      </c>
      <c r="B2027" s="1" t="s">
        <v>10400</v>
      </c>
      <c r="C2027" s="1" t="s">
        <v>54</v>
      </c>
      <c r="J2027" s="3">
        <v>45386.564710648148</v>
      </c>
      <c r="K2027" s="2" t="s">
        <v>10401</v>
      </c>
      <c r="L2027" s="1">
        <v>1</v>
      </c>
      <c r="M2027" s="1">
        <v>1</v>
      </c>
      <c r="N2027">
        <v>0</v>
      </c>
      <c r="O2027" s="3">
        <f>IF(
    R2027="Ancien",
    _xlfn.XLOOKUP(
        Final_Sans_VGE[[#This Row],[ppn_z]],
        tbl_Historique_Final[ppn_z],
        tbl_Historique_Final[Horodatage],
        ""
    ),
    Horodatage!$A$2
)</f>
        <v>46233.670796365739</v>
      </c>
      <c r="P2027" s="1" t="str">
        <f>IFERROR(IF(tbl_Historique_Final[[#This Row],[Commentaires]]&lt;&gt;"",tbl_Historique_Final[[#This Row],[Commentaires]],""),"")</f>
        <v/>
      </c>
      <c r="X2027" s="8" t="str">
        <f>IF(Final_Sans_VGE[[#This Row],[ppn_z]]="","",IFERROR(
   IF(_xlfn.XLOOKUP(Final_Sans_VGE[[#This Row],[ppn_z]],tbl_Historique_Final[ppn_z],tbl_Historique_Final[date_modif])=Final_Sans_VGE[[#This Row],[date_modif]],
      "Ancien",
      "Modifié"),
   "Nouveau"))</f>
        <v>Ancien</v>
      </c>
      <c r="AC2027"/>
      <c r="AD2027"/>
    </row>
    <row r="2028" spans="1:30" ht="30" x14ac:dyDescent="0.25">
      <c r="A2028" s="5" t="s">
        <v>6245</v>
      </c>
      <c r="B2028" s="1" t="s">
        <v>10402</v>
      </c>
      <c r="C2028" s="1" t="s">
        <v>77</v>
      </c>
      <c r="J2028" s="3">
        <v>45415.053923611114</v>
      </c>
      <c r="K2028" s="2" t="s">
        <v>10403</v>
      </c>
      <c r="L2028" s="1">
        <v>1</v>
      </c>
      <c r="M2028" s="1">
        <v>27</v>
      </c>
      <c r="N2028">
        <v>26</v>
      </c>
      <c r="O2028" s="3">
        <f>IF(
    R2028="Ancien",
    _xlfn.XLOOKUP(
        Final_Sans_VGE[[#This Row],[ppn_z]],
        tbl_Historique_Final[ppn_z],
        tbl_Historique_Final[Horodatage],
        ""
    ),
    Horodatage!$A$2
)</f>
        <v>46233.670796365739</v>
      </c>
      <c r="P2028" s="1" t="str">
        <f>IFERROR(IF(tbl_Historique_Final[[#This Row],[Commentaires]]&lt;&gt;"",tbl_Historique_Final[[#This Row],[Commentaires]],""),"")</f>
        <v/>
      </c>
      <c r="X2028" s="8" t="str">
        <f>IF(Final_Sans_VGE[[#This Row],[ppn_z]]="","",IFERROR(
   IF(_xlfn.XLOOKUP(Final_Sans_VGE[[#This Row],[ppn_z]],tbl_Historique_Final[ppn_z],tbl_Historique_Final[date_modif])=Final_Sans_VGE[[#This Row],[date_modif]],
      "Ancien",
      "Modifié"),
   "Nouveau"))</f>
        <v>Ancien</v>
      </c>
      <c r="AC2028"/>
      <c r="AD2028"/>
    </row>
    <row r="2029" spans="1:30" ht="60" x14ac:dyDescent="0.25">
      <c r="A2029" s="5" t="s">
        <v>6248</v>
      </c>
      <c r="B2029" s="1" t="s">
        <v>10404</v>
      </c>
      <c r="C2029" s="1" t="s">
        <v>9577</v>
      </c>
      <c r="E2029" s="1" t="s">
        <v>67</v>
      </c>
      <c r="G2029" s="1" t="s">
        <v>10</v>
      </c>
      <c r="J2029" s="3">
        <v>45668.457916666666</v>
      </c>
      <c r="K2029" s="2" t="s">
        <v>10405</v>
      </c>
      <c r="L2029" s="1">
        <v>4</v>
      </c>
      <c r="M2029" s="1">
        <v>32</v>
      </c>
      <c r="N2029">
        <v>28</v>
      </c>
      <c r="O2029" s="3">
        <f>IF(
    R2029="Ancien",
    _xlfn.XLOOKUP(
        Final_Sans_VGE[[#This Row],[ppn_z]],
        tbl_Historique_Final[ppn_z],
        tbl_Historique_Final[Horodatage],
        ""
    ),
    Horodatage!$A$2
)</f>
        <v>46233.670796365739</v>
      </c>
      <c r="P2029" s="1" t="str">
        <f>IFERROR(IF(tbl_Historique_Final[[#This Row],[Commentaires]]&lt;&gt;"",tbl_Historique_Final[[#This Row],[Commentaires]],""),"")</f>
        <v/>
      </c>
      <c r="X2029" s="8" t="str">
        <f>IF(Final_Sans_VGE[[#This Row],[ppn_z]]="","",IFERROR(
   IF(_xlfn.XLOOKUP(Final_Sans_VGE[[#This Row],[ppn_z]],tbl_Historique_Final[ppn_z],tbl_Historique_Final[date_modif])=Final_Sans_VGE[[#This Row],[date_modif]],
      "Ancien",
      "Modifié"),
   "Nouveau"))</f>
        <v>Ancien</v>
      </c>
      <c r="AC2029"/>
      <c r="AD2029"/>
    </row>
    <row r="2030" spans="1:30" ht="30" x14ac:dyDescent="0.25">
      <c r="A2030" s="5" t="s">
        <v>6251</v>
      </c>
      <c r="B2030" s="1" t="s">
        <v>10406</v>
      </c>
      <c r="C2030" s="1" t="s">
        <v>109</v>
      </c>
      <c r="D2030" s="1" t="s">
        <v>6329</v>
      </c>
      <c r="G2030" s="1" t="s">
        <v>10</v>
      </c>
      <c r="H2030" s="1" t="s">
        <v>22</v>
      </c>
      <c r="I2030" s="1" t="s">
        <v>22</v>
      </c>
      <c r="J2030" s="3">
        <v>45574.440844907411</v>
      </c>
      <c r="K2030" s="2" t="s">
        <v>10407</v>
      </c>
      <c r="L2030" s="1">
        <v>10</v>
      </c>
      <c r="M2030" s="1">
        <v>10</v>
      </c>
      <c r="N2030">
        <v>0</v>
      </c>
      <c r="O2030" s="3">
        <f>IF(
    R2030="Ancien",
    _xlfn.XLOOKUP(
        Final_Sans_VGE[[#This Row],[ppn_z]],
        tbl_Historique_Final[ppn_z],
        tbl_Historique_Final[Horodatage],
        ""
    ),
    Horodatage!$A$2
)</f>
        <v>46233.670796365739</v>
      </c>
      <c r="P2030" s="1" t="str">
        <f>IFERROR(IF(tbl_Historique_Final[[#This Row],[Commentaires]]&lt;&gt;"",tbl_Historique_Final[[#This Row],[Commentaires]],""),"")</f>
        <v/>
      </c>
      <c r="X2030" s="8" t="str">
        <f>IF(Final_Sans_VGE[[#This Row],[ppn_z]]="","",IFERROR(
   IF(_xlfn.XLOOKUP(Final_Sans_VGE[[#This Row],[ppn_z]],tbl_Historique_Final[ppn_z],tbl_Historique_Final[date_modif])=Final_Sans_VGE[[#This Row],[date_modif]],
      "Ancien",
      "Modifié"),
   "Nouveau"))</f>
        <v>Ancien</v>
      </c>
      <c r="AC2030"/>
      <c r="AD2030"/>
    </row>
    <row r="2031" spans="1:30" x14ac:dyDescent="0.25">
      <c r="A2031" s="5" t="s">
        <v>6254</v>
      </c>
      <c r="B2031" s="1" t="s">
        <v>10408</v>
      </c>
      <c r="C2031" s="1" t="s">
        <v>54</v>
      </c>
      <c r="G2031" s="1" t="s">
        <v>10</v>
      </c>
      <c r="J2031" s="3">
        <v>45866.621249999997</v>
      </c>
      <c r="K2031" s="2" t="s">
        <v>10409</v>
      </c>
      <c r="L2031" s="1">
        <v>12</v>
      </c>
      <c r="M2031" s="1">
        <v>13</v>
      </c>
      <c r="N2031">
        <v>1</v>
      </c>
      <c r="O2031" s="3">
        <f>IF(
    R2031="Ancien",
    _xlfn.XLOOKUP(
        Final_Sans_VGE[[#This Row],[ppn_z]],
        tbl_Historique_Final[ppn_z],
        tbl_Historique_Final[Horodatage],
        ""
    ),
    Horodatage!$A$2
)</f>
        <v>46233.670796365739</v>
      </c>
      <c r="P2031" s="1" t="str">
        <f>IFERROR(IF(tbl_Historique_Final[[#This Row],[Commentaires]]&lt;&gt;"",tbl_Historique_Final[[#This Row],[Commentaires]],""),"")</f>
        <v/>
      </c>
      <c r="X2031" s="8" t="str">
        <f>IF(Final_Sans_VGE[[#This Row],[ppn_z]]="","",IFERROR(
   IF(_xlfn.XLOOKUP(Final_Sans_VGE[[#This Row],[ppn_z]],tbl_Historique_Final[ppn_z],tbl_Historique_Final[date_modif])=Final_Sans_VGE[[#This Row],[date_modif]],
      "Ancien",
      "Modifié"),
   "Nouveau"))</f>
        <v>Ancien</v>
      </c>
      <c r="AC2031"/>
      <c r="AD2031"/>
    </row>
    <row r="2032" spans="1:30" ht="30" x14ac:dyDescent="0.25">
      <c r="A2032" s="5" t="s">
        <v>6257</v>
      </c>
      <c r="B2032" s="1" t="s">
        <v>10410</v>
      </c>
      <c r="C2032" s="1" t="s">
        <v>88</v>
      </c>
      <c r="D2032" s="1" t="s">
        <v>14</v>
      </c>
      <c r="G2032" s="1" t="s">
        <v>10</v>
      </c>
      <c r="H2032" s="1" t="s">
        <v>22</v>
      </c>
      <c r="I2032" s="1" t="s">
        <v>22</v>
      </c>
      <c r="J2032" s="3">
        <v>45915.702615740738</v>
      </c>
      <c r="K2032" s="2" t="s">
        <v>10411</v>
      </c>
      <c r="L2032" s="1">
        <v>32</v>
      </c>
      <c r="M2032" s="1">
        <v>40</v>
      </c>
      <c r="N2032">
        <v>8</v>
      </c>
      <c r="O2032" s="3">
        <f>IF(
    R2032="Ancien",
    _xlfn.XLOOKUP(
        Final_Sans_VGE[[#This Row],[ppn_z]],
        tbl_Historique_Final[ppn_z],
        tbl_Historique_Final[Horodatage],
        ""
    ),
    Horodatage!$A$2
)</f>
        <v>46233.670796365739</v>
      </c>
      <c r="P2032" s="1" t="str">
        <f>IFERROR(IF(tbl_Historique_Final[[#This Row],[Commentaires]]&lt;&gt;"",tbl_Historique_Final[[#This Row],[Commentaires]],""),"")</f>
        <v/>
      </c>
      <c r="X2032" s="8" t="str">
        <f>IF(Final_Sans_VGE[[#This Row],[ppn_z]]="","",IFERROR(
   IF(_xlfn.XLOOKUP(Final_Sans_VGE[[#This Row],[ppn_z]],tbl_Historique_Final[ppn_z],tbl_Historique_Final[date_modif])=Final_Sans_VGE[[#This Row],[date_modif]],
      "Ancien",
      "Modifié"),
   "Nouveau"))</f>
        <v>Ancien</v>
      </c>
      <c r="AC2032"/>
      <c r="AD2032"/>
    </row>
    <row r="2033" spans="1:30" ht="45" x14ac:dyDescent="0.25">
      <c r="A2033" s="5" t="s">
        <v>6260</v>
      </c>
      <c r="B2033" s="1" t="s">
        <v>10412</v>
      </c>
      <c r="C2033" s="1" t="s">
        <v>72</v>
      </c>
      <c r="D2033" s="1" t="s">
        <v>14</v>
      </c>
      <c r="G2033" s="1" t="s">
        <v>10</v>
      </c>
      <c r="H2033" s="1" t="s">
        <v>10413</v>
      </c>
      <c r="I2033" s="1" t="s">
        <v>10414</v>
      </c>
      <c r="J2033" s="3">
        <v>45923.538599537038</v>
      </c>
      <c r="K2033" s="2" t="s">
        <v>10415</v>
      </c>
      <c r="L2033" s="1">
        <v>7</v>
      </c>
      <c r="M2033" s="1">
        <v>7</v>
      </c>
      <c r="N2033">
        <v>0</v>
      </c>
      <c r="O2033" s="3">
        <f>IF(
    R2033="Ancien",
    _xlfn.XLOOKUP(
        Final_Sans_VGE[[#This Row],[ppn_z]],
        tbl_Historique_Final[ppn_z],
        tbl_Historique_Final[Horodatage],
        ""
    ),
    Horodatage!$A$2
)</f>
        <v>46233.670796365739</v>
      </c>
      <c r="P2033" s="1" t="str">
        <f>IFERROR(IF(tbl_Historique_Final[[#This Row],[Commentaires]]&lt;&gt;"",tbl_Historique_Final[[#This Row],[Commentaires]],""),"")</f>
        <v/>
      </c>
      <c r="X2033" s="8" t="str">
        <f>IF(Final_Sans_VGE[[#This Row],[ppn_z]]="","",IFERROR(
   IF(_xlfn.XLOOKUP(Final_Sans_VGE[[#This Row],[ppn_z]],tbl_Historique_Final[ppn_z],tbl_Historique_Final[date_modif])=Final_Sans_VGE[[#This Row],[date_modif]],
      "Ancien",
      "Modifié"),
   "Nouveau"))</f>
        <v>Ancien</v>
      </c>
      <c r="AC2033"/>
      <c r="AD2033"/>
    </row>
    <row r="2034" spans="1:30" x14ac:dyDescent="0.25">
      <c r="A2034" s="5" t="s">
        <v>6263</v>
      </c>
      <c r="B2034" s="1" t="s">
        <v>10416</v>
      </c>
      <c r="G2034" s="1" t="s">
        <v>11</v>
      </c>
      <c r="H2034" s="1" t="s">
        <v>22</v>
      </c>
      <c r="I2034" s="1" t="s">
        <v>113</v>
      </c>
      <c r="J2034" s="3">
        <v>46030.575150462966</v>
      </c>
      <c r="K2034" s="2" t="s">
        <v>10417</v>
      </c>
      <c r="L2034" s="1">
        <v>8</v>
      </c>
      <c r="M2034" s="1">
        <v>13</v>
      </c>
      <c r="N2034">
        <v>5</v>
      </c>
      <c r="O2034" s="3">
        <f>IF(
    R2034="Ancien",
    _xlfn.XLOOKUP(
        Final_Sans_VGE[[#This Row],[ppn_z]],
        tbl_Historique_Final[ppn_z],
        tbl_Historique_Final[Horodatage],
        ""
    ),
    Horodatage!$A$2
)</f>
        <v>46233.670796365739</v>
      </c>
      <c r="P2034" s="1" t="str">
        <f>IFERROR(IF(tbl_Historique_Final[[#This Row],[Commentaires]]&lt;&gt;"",tbl_Historique_Final[[#This Row],[Commentaires]],""),"")</f>
        <v/>
      </c>
      <c r="X2034" s="8" t="str">
        <f>IF(Final_Sans_VGE[[#This Row],[ppn_z]]="","",IFERROR(
   IF(_xlfn.XLOOKUP(Final_Sans_VGE[[#This Row],[ppn_z]],tbl_Historique_Final[ppn_z],tbl_Historique_Final[date_modif])=Final_Sans_VGE[[#This Row],[date_modif]],
      "Ancien",
      "Modifié"),
   "Nouveau"))</f>
        <v>Ancien</v>
      </c>
      <c r="AC2034"/>
      <c r="AD2034"/>
    </row>
    <row r="2035" spans="1:30" ht="30" x14ac:dyDescent="0.25">
      <c r="A2035" s="5" t="s">
        <v>6266</v>
      </c>
      <c r="B2035" s="1" t="s">
        <v>10418</v>
      </c>
      <c r="C2035" s="1" t="s">
        <v>6816</v>
      </c>
      <c r="D2035" s="1" t="s">
        <v>10419</v>
      </c>
      <c r="E2035" s="1" t="s">
        <v>88</v>
      </c>
      <c r="F2035" s="1" t="s">
        <v>10420</v>
      </c>
      <c r="G2035" s="1" t="s">
        <v>11</v>
      </c>
      <c r="H2035" s="1" t="s">
        <v>10421</v>
      </c>
      <c r="I2035" s="1" t="s">
        <v>10422</v>
      </c>
      <c r="J2035" s="3">
        <v>46043.583749999998</v>
      </c>
      <c r="K2035" s="2" t="s">
        <v>10423</v>
      </c>
      <c r="L2035" s="1">
        <v>3</v>
      </c>
      <c r="M2035" s="1">
        <v>4</v>
      </c>
      <c r="N2035">
        <v>1</v>
      </c>
      <c r="O2035" s="3">
        <f>IF(
    R2035="Ancien",
    _xlfn.XLOOKUP(
        Final_Sans_VGE[[#This Row],[ppn_z]],
        tbl_Historique_Final[ppn_z],
        tbl_Historique_Final[Horodatage],
        ""
    ),
    Horodatage!$A$2
)</f>
        <v>46233.670796365739</v>
      </c>
      <c r="P2035" s="1" t="str">
        <f>IFERROR(IF(tbl_Historique_Final[[#This Row],[Commentaires]]&lt;&gt;"",tbl_Historique_Final[[#This Row],[Commentaires]],""),"")</f>
        <v/>
      </c>
      <c r="X2035" s="8" t="str">
        <f>IF(Final_Sans_VGE[[#This Row],[ppn_z]]="","",IFERROR(
   IF(_xlfn.XLOOKUP(Final_Sans_VGE[[#This Row],[ppn_z]],tbl_Historique_Final[ppn_z],tbl_Historique_Final[date_modif])=Final_Sans_VGE[[#This Row],[date_modif]],
      "Ancien",
      "Modifié"),
   "Nouveau"))</f>
        <v>Ancien</v>
      </c>
      <c r="AC2035"/>
      <c r="AD2035"/>
    </row>
    <row r="2036" spans="1:30" ht="195" x14ac:dyDescent="0.25">
      <c r="A2036" s="5" t="s">
        <v>6269</v>
      </c>
      <c r="B2036" s="1" t="s">
        <v>10424</v>
      </c>
      <c r="C2036" s="1" t="s">
        <v>51</v>
      </c>
      <c r="J2036" s="3">
        <v>46045.659259259257</v>
      </c>
      <c r="K2036" s="2" t="s">
        <v>10425</v>
      </c>
      <c r="L2036" s="1">
        <v>224</v>
      </c>
      <c r="M2036" s="1">
        <v>279</v>
      </c>
      <c r="N2036">
        <v>55</v>
      </c>
      <c r="O2036" s="3">
        <f>IF(
    R2036="Ancien",
    _xlfn.XLOOKUP(
        Final_Sans_VGE[[#This Row],[ppn_z]],
        tbl_Historique_Final[ppn_z],
        tbl_Historique_Final[Horodatage],
        ""
    ),
    Horodatage!$A$2
)</f>
        <v>46233.670796365739</v>
      </c>
      <c r="P2036" s="1" t="str">
        <f>IFERROR(IF(tbl_Historique_Final[[#This Row],[Commentaires]]&lt;&gt;"",tbl_Historique_Final[[#This Row],[Commentaires]],""),"")</f>
        <v/>
      </c>
      <c r="X2036" s="8" t="str">
        <f>IF(Final_Sans_VGE[[#This Row],[ppn_z]]="","",IFERROR(
   IF(_xlfn.XLOOKUP(Final_Sans_VGE[[#This Row],[ppn_z]],tbl_Historique_Final[ppn_z],tbl_Historique_Final[date_modif])=Final_Sans_VGE[[#This Row],[date_modif]],
      "Ancien",
      "Modifié"),
   "Nouveau"))</f>
        <v>Ancien</v>
      </c>
      <c r="AC2036"/>
      <c r="AD2036"/>
    </row>
    <row r="2037" spans="1:30" ht="45" x14ac:dyDescent="0.25">
      <c r="A2037" s="5" t="s">
        <v>6272</v>
      </c>
      <c r="B2037" s="1" t="s">
        <v>10426</v>
      </c>
      <c r="C2037" s="1" t="s">
        <v>10427</v>
      </c>
      <c r="D2037" s="1" t="s">
        <v>10428</v>
      </c>
      <c r="E2037" s="1" t="s">
        <v>10230</v>
      </c>
      <c r="F2037" s="1" t="s">
        <v>14</v>
      </c>
      <c r="G2037" s="1" t="s">
        <v>10</v>
      </c>
      <c r="H2037" s="1" t="s">
        <v>22</v>
      </c>
      <c r="I2037" s="1" t="s">
        <v>22</v>
      </c>
      <c r="J2037" s="3">
        <v>46070.388564814813</v>
      </c>
      <c r="K2037" s="2" t="s">
        <v>10429</v>
      </c>
      <c r="L2037" s="1">
        <v>10</v>
      </c>
      <c r="M2037" s="1">
        <v>12</v>
      </c>
      <c r="N2037">
        <v>2</v>
      </c>
      <c r="O2037" s="3">
        <f>IF(
    R2037="Ancien",
    _xlfn.XLOOKUP(
        Final_Sans_VGE[[#This Row],[ppn_z]],
        tbl_Historique_Final[ppn_z],
        tbl_Historique_Final[Horodatage],
        ""
    ),
    Horodatage!$A$2
)</f>
        <v>46233.670796365739</v>
      </c>
      <c r="P2037" s="1" t="str">
        <f>IFERROR(IF(tbl_Historique_Final[[#This Row],[Commentaires]]&lt;&gt;"",tbl_Historique_Final[[#This Row],[Commentaires]],""),"")</f>
        <v/>
      </c>
      <c r="X2037" s="8" t="str">
        <f>IF(Final_Sans_VGE[[#This Row],[ppn_z]]="","",IFERROR(
   IF(_xlfn.XLOOKUP(Final_Sans_VGE[[#This Row],[ppn_z]],tbl_Historique_Final[ppn_z],tbl_Historique_Final[date_modif])=Final_Sans_VGE[[#This Row],[date_modif]],
      "Ancien",
      "Modifié"),
   "Nouveau"))</f>
        <v>Ancien</v>
      </c>
      <c r="AC2037"/>
      <c r="AD2037"/>
    </row>
    <row r="2038" spans="1:30" x14ac:dyDescent="0.25">
      <c r="A2038" s="5" t="s">
        <v>6275</v>
      </c>
      <c r="B2038" s="1" t="s">
        <v>10430</v>
      </c>
      <c r="C2038" s="1" t="s">
        <v>8543</v>
      </c>
      <c r="D2038" s="1" t="s">
        <v>14</v>
      </c>
      <c r="E2038" s="1" t="s">
        <v>9577</v>
      </c>
      <c r="F2038" s="1" t="s">
        <v>14</v>
      </c>
      <c r="G2038" s="1" t="s">
        <v>10</v>
      </c>
      <c r="H2038" s="1" t="s">
        <v>10524</v>
      </c>
      <c r="I2038" s="1" t="s">
        <v>22</v>
      </c>
      <c r="J2038" s="3">
        <v>46085.784479166665</v>
      </c>
      <c r="K2038" s="2" t="s">
        <v>10431</v>
      </c>
      <c r="L2038" s="1">
        <v>8</v>
      </c>
      <c r="M2038" s="1">
        <v>12</v>
      </c>
      <c r="N2038">
        <v>4</v>
      </c>
      <c r="O2038" s="3">
        <f>IF(
    R2038="Ancien",
    _xlfn.XLOOKUP(
        Final_Sans_VGE[[#This Row],[ppn_z]],
        tbl_Historique_Final[ppn_z],
        tbl_Historique_Final[Horodatage],
        ""
    ),
    Horodatage!$A$2
)</f>
        <v>46233.670796365739</v>
      </c>
      <c r="P2038" s="1" t="str">
        <f>IFERROR(IF(tbl_Historique_Final[[#This Row],[Commentaires]]&lt;&gt;"",tbl_Historique_Final[[#This Row],[Commentaires]],""),"")</f>
        <v/>
      </c>
      <c r="X2038" s="8" t="str">
        <f>IF(Final_Sans_VGE[[#This Row],[ppn_z]]="","",IFERROR(
   IF(_xlfn.XLOOKUP(Final_Sans_VGE[[#This Row],[ppn_z]],tbl_Historique_Final[ppn_z],tbl_Historique_Final[date_modif])=Final_Sans_VGE[[#This Row],[date_modif]],
      "Ancien",
      "Modifié"),
   "Nouveau"))</f>
        <v>Ancien</v>
      </c>
      <c r="AC2038"/>
      <c r="AD2038"/>
    </row>
    <row r="2039" spans="1:30" ht="30" x14ac:dyDescent="0.25">
      <c r="A2039" s="5" t="s">
        <v>6278</v>
      </c>
      <c r="B2039" s="1" t="s">
        <v>10432</v>
      </c>
      <c r="C2039" s="1" t="s">
        <v>9104</v>
      </c>
      <c r="D2039" s="1" t="s">
        <v>14</v>
      </c>
      <c r="E2039" s="1" t="s">
        <v>7496</v>
      </c>
      <c r="F2039" s="1" t="s">
        <v>153</v>
      </c>
      <c r="G2039" s="1" t="s">
        <v>10</v>
      </c>
      <c r="H2039" s="1" t="s">
        <v>10433</v>
      </c>
      <c r="I2039" s="1" t="s">
        <v>10434</v>
      </c>
      <c r="J2039" s="3">
        <v>46097.617523148147</v>
      </c>
      <c r="K2039" s="2" t="s">
        <v>10435</v>
      </c>
      <c r="L2039" s="1">
        <v>79</v>
      </c>
      <c r="M2039" s="1">
        <v>82</v>
      </c>
      <c r="N2039">
        <v>3</v>
      </c>
      <c r="O2039" s="3">
        <f>IF(
    R2039="Ancien",
    _xlfn.XLOOKUP(
        Final_Sans_VGE[[#This Row],[ppn_z]],
        tbl_Historique_Final[ppn_z],
        tbl_Historique_Final[Horodatage],
        ""
    ),
    Horodatage!$A$2
)</f>
        <v>46233.670796365739</v>
      </c>
      <c r="P2039" s="1" t="str">
        <f>IFERROR(IF(tbl_Historique_Final[[#This Row],[Commentaires]]&lt;&gt;"",tbl_Historique_Final[[#This Row],[Commentaires]],""),"")</f>
        <v/>
      </c>
      <c r="X2039" s="8" t="str">
        <f>IF(Final_Sans_VGE[[#This Row],[ppn_z]]="","",IFERROR(
   IF(_xlfn.XLOOKUP(Final_Sans_VGE[[#This Row],[ppn_z]],tbl_Historique_Final[ppn_z],tbl_Historique_Final[date_modif])=Final_Sans_VGE[[#This Row],[date_modif]],
      "Ancien",
      "Modifié"),
   "Nouveau"))</f>
        <v>Ancien</v>
      </c>
      <c r="AC2039"/>
      <c r="AD2039"/>
    </row>
    <row r="2040" spans="1:30" x14ac:dyDescent="0.25">
      <c r="A2040" s="5" t="s">
        <v>6281</v>
      </c>
      <c r="B2040" s="1" t="s">
        <v>10436</v>
      </c>
      <c r="C2040" s="1" t="s">
        <v>62</v>
      </c>
      <c r="J2040" s="3">
        <v>46110.456469907411</v>
      </c>
      <c r="K2040" s="2" t="s">
        <v>10437</v>
      </c>
      <c r="L2040" s="1">
        <v>10</v>
      </c>
      <c r="M2040" s="1">
        <v>10</v>
      </c>
      <c r="N2040">
        <v>0</v>
      </c>
      <c r="O2040" s="3">
        <f>IF(
    R2040="Ancien",
    _xlfn.XLOOKUP(
        Final_Sans_VGE[[#This Row],[ppn_z]],
        tbl_Historique_Final[ppn_z],
        tbl_Historique_Final[Horodatage],
        ""
    ),
    Horodatage!$A$2
)</f>
        <v>46233.670796365739</v>
      </c>
      <c r="P2040" s="1" t="str">
        <f>IFERROR(IF(tbl_Historique_Final[[#This Row],[Commentaires]]&lt;&gt;"",tbl_Historique_Final[[#This Row],[Commentaires]],""),"")</f>
        <v/>
      </c>
      <c r="X2040" s="8" t="str">
        <f>IF(Final_Sans_VGE[[#This Row],[ppn_z]]="","",IFERROR(
   IF(_xlfn.XLOOKUP(Final_Sans_VGE[[#This Row],[ppn_z]],tbl_Historique_Final[ppn_z],tbl_Historique_Final[date_modif])=Final_Sans_VGE[[#This Row],[date_modif]],
      "Ancien",
      "Modifié"),
   "Nouveau"))</f>
        <v>Ancien</v>
      </c>
      <c r="AC2040"/>
      <c r="AD2040"/>
    </row>
    <row r="2041" spans="1:30" ht="45" x14ac:dyDescent="0.25">
      <c r="A2041" s="5" t="s">
        <v>6284</v>
      </c>
      <c r="B2041" s="1" t="s">
        <v>10438</v>
      </c>
      <c r="C2041" s="1" t="s">
        <v>6729</v>
      </c>
      <c r="D2041" s="1" t="s">
        <v>14</v>
      </c>
      <c r="E2041" s="1" t="s">
        <v>6693</v>
      </c>
      <c r="F2041" s="1" t="s">
        <v>8376</v>
      </c>
      <c r="G2041" s="1" t="s">
        <v>10</v>
      </c>
      <c r="H2041" s="1" t="s">
        <v>10439</v>
      </c>
      <c r="I2041" s="1" t="s">
        <v>22</v>
      </c>
      <c r="J2041" s="3">
        <v>46138.439895833333</v>
      </c>
      <c r="K2041" s="2" t="s">
        <v>10440</v>
      </c>
      <c r="L2041" s="1">
        <v>256</v>
      </c>
      <c r="M2041" s="1">
        <v>267</v>
      </c>
      <c r="N2041">
        <v>11</v>
      </c>
      <c r="O2041" s="3">
        <f>IF(
    R2041="Ancien",
    _xlfn.XLOOKUP(
        Final_Sans_VGE[[#This Row],[ppn_z]],
        tbl_Historique_Final[ppn_z],
        tbl_Historique_Final[Horodatage],
        ""
    ),
    Horodatage!$A$2
)</f>
        <v>46233.670796365739</v>
      </c>
      <c r="P2041" s="1" t="str">
        <f>IFERROR(IF(tbl_Historique_Final[[#This Row],[Commentaires]]&lt;&gt;"",tbl_Historique_Final[[#This Row],[Commentaires]],""),"")</f>
        <v/>
      </c>
      <c r="X2041" s="8" t="str">
        <f>IF(Final_Sans_VGE[[#This Row],[ppn_z]]="","",IFERROR(
   IF(_xlfn.XLOOKUP(Final_Sans_VGE[[#This Row],[ppn_z]],tbl_Historique_Final[ppn_z],tbl_Historique_Final[date_modif])=Final_Sans_VGE[[#This Row],[date_modif]],
      "Ancien",
      "Modifié"),
   "Nouveau"))</f>
        <v>Ancien</v>
      </c>
      <c r="AC2041"/>
      <c r="AD2041"/>
    </row>
    <row r="2042" spans="1:30" x14ac:dyDescent="0.25">
      <c r="A2042" s="5" t="s">
        <v>6287</v>
      </c>
      <c r="B2042" s="1" t="s">
        <v>10441</v>
      </c>
      <c r="C2042" s="1" t="s">
        <v>9061</v>
      </c>
      <c r="D2042" s="1" t="s">
        <v>14</v>
      </c>
      <c r="E2042" s="1" t="s">
        <v>95</v>
      </c>
      <c r="F2042" s="1" t="s">
        <v>10442</v>
      </c>
      <c r="G2042" s="1" t="s">
        <v>10</v>
      </c>
      <c r="H2042" s="1" t="s">
        <v>22</v>
      </c>
      <c r="I2042" s="1" t="s">
        <v>22</v>
      </c>
      <c r="J2042" s="3">
        <v>46145.428761574076</v>
      </c>
      <c r="K2042" s="2" t="s">
        <v>10443</v>
      </c>
      <c r="L2042" s="1">
        <v>2</v>
      </c>
      <c r="M2042" s="1">
        <v>9</v>
      </c>
      <c r="N2042">
        <v>7</v>
      </c>
      <c r="O2042" s="3">
        <f>IF(
    R2042="Ancien",
    _xlfn.XLOOKUP(
        Final_Sans_VGE[[#This Row],[ppn_z]],
        tbl_Historique_Final[ppn_z],
        tbl_Historique_Final[Horodatage],
        ""
    ),
    Horodatage!$A$2
)</f>
        <v>46233.670796365739</v>
      </c>
      <c r="P2042" s="1" t="str">
        <f>IFERROR(IF(tbl_Historique_Final[[#This Row],[Commentaires]]&lt;&gt;"",tbl_Historique_Final[[#This Row],[Commentaires]],""),"")</f>
        <v/>
      </c>
      <c r="X2042" s="8" t="str">
        <f>IF(Final_Sans_VGE[[#This Row],[ppn_z]]="","",IFERROR(
   IF(_xlfn.XLOOKUP(Final_Sans_VGE[[#This Row],[ppn_z]],tbl_Historique_Final[ppn_z],tbl_Historique_Final[date_modif])=Final_Sans_VGE[[#This Row],[date_modif]],
      "Ancien",
      "Modifié"),
   "Nouveau"))</f>
        <v>Ancien</v>
      </c>
      <c r="AC2042"/>
      <c r="AD2042"/>
    </row>
    <row r="2043" spans="1:30" ht="60" x14ac:dyDescent="0.25">
      <c r="A2043" s="5" t="s">
        <v>6290</v>
      </c>
      <c r="B2043" s="1" t="s">
        <v>10444</v>
      </c>
      <c r="C2043" s="1" t="s">
        <v>75</v>
      </c>
      <c r="E2043" s="1" t="s">
        <v>157</v>
      </c>
      <c r="H2043" s="1" t="s">
        <v>22</v>
      </c>
      <c r="I2043" s="1" t="s">
        <v>22</v>
      </c>
      <c r="J2043" s="3">
        <v>46145.448113425926</v>
      </c>
      <c r="K2043" s="2" t="s">
        <v>10445</v>
      </c>
      <c r="L2043" s="1">
        <v>59</v>
      </c>
      <c r="M2043" s="1">
        <v>72</v>
      </c>
      <c r="N2043">
        <v>13</v>
      </c>
      <c r="O2043" s="3">
        <f>IF(
    R2043="Ancien",
    _xlfn.XLOOKUP(
        Final_Sans_VGE[[#This Row],[ppn_z]],
        tbl_Historique_Final[ppn_z],
        tbl_Historique_Final[Horodatage],
        ""
    ),
    Horodatage!$A$2
)</f>
        <v>46233.670796365739</v>
      </c>
      <c r="P2043" s="1" t="str">
        <f>IFERROR(IF(tbl_Historique_Final[[#This Row],[Commentaires]]&lt;&gt;"",tbl_Historique_Final[[#This Row],[Commentaires]],""),"")</f>
        <v/>
      </c>
      <c r="X2043" s="8" t="str">
        <f>IF(Final_Sans_VGE[[#This Row],[ppn_z]]="","",IFERROR(
   IF(_xlfn.XLOOKUP(Final_Sans_VGE[[#This Row],[ppn_z]],tbl_Historique_Final[ppn_z],tbl_Historique_Final[date_modif])=Final_Sans_VGE[[#This Row],[date_modif]],
      "Ancien",
      "Modifié"),
   "Nouveau"))</f>
        <v>Ancien</v>
      </c>
      <c r="AC2043"/>
      <c r="AD2043"/>
    </row>
    <row r="2044" spans="1:30" ht="30" x14ac:dyDescent="0.25">
      <c r="A2044" s="5" t="s">
        <v>6293</v>
      </c>
      <c r="B2044" s="1" t="s">
        <v>10446</v>
      </c>
      <c r="C2044" s="1" t="s">
        <v>37</v>
      </c>
      <c r="D2044" s="1" t="s">
        <v>14</v>
      </c>
      <c r="E2044" s="1" t="s">
        <v>159</v>
      </c>
      <c r="F2044" s="1" t="s">
        <v>14</v>
      </c>
      <c r="G2044" s="1" t="s">
        <v>11</v>
      </c>
      <c r="H2044" s="1" t="s">
        <v>22</v>
      </c>
      <c r="I2044" s="1" t="s">
        <v>22</v>
      </c>
      <c r="J2044" s="3">
        <v>46166.355150462965</v>
      </c>
      <c r="K2044" s="2" t="s">
        <v>10447</v>
      </c>
      <c r="L2044" s="1">
        <v>6</v>
      </c>
      <c r="M2044" s="1">
        <v>11</v>
      </c>
      <c r="N2044">
        <v>5</v>
      </c>
      <c r="O2044" s="3">
        <f>IF(
    R2044="Ancien",
    _xlfn.XLOOKUP(
        Final_Sans_VGE[[#This Row],[ppn_z]],
        tbl_Historique_Final[ppn_z],
        tbl_Historique_Final[Horodatage],
        ""
    ),
    Horodatage!$A$2
)</f>
        <v>46233.670796365739</v>
      </c>
      <c r="P2044" s="1" t="str">
        <f>IFERROR(IF(tbl_Historique_Final[[#This Row],[Commentaires]]&lt;&gt;"",tbl_Historique_Final[[#This Row],[Commentaires]],""),"")</f>
        <v/>
      </c>
      <c r="X2044" s="8" t="str">
        <f>IF(Final_Sans_VGE[[#This Row],[ppn_z]]="","",IFERROR(
   IF(_xlfn.XLOOKUP(Final_Sans_VGE[[#This Row],[ppn_z]],tbl_Historique_Final[ppn_z],tbl_Historique_Final[date_modif])=Final_Sans_VGE[[#This Row],[date_modif]],
      "Ancien",
      "Modifié"),
   "Nouveau"))</f>
        <v>Ancien</v>
      </c>
      <c r="AC2044"/>
      <c r="AD2044"/>
    </row>
    <row r="2045" spans="1:30" x14ac:dyDescent="0.25">
      <c r="A2045" s="5" t="s">
        <v>6296</v>
      </c>
      <c r="B2045" s="1" t="s">
        <v>10448</v>
      </c>
      <c r="C2045" s="1" t="s">
        <v>10449</v>
      </c>
      <c r="J2045" s="3">
        <v>46180.4218287037</v>
      </c>
      <c r="L2045" s="1">
        <v>100</v>
      </c>
      <c r="M2045" s="1">
        <v>132</v>
      </c>
      <c r="N2045">
        <v>32</v>
      </c>
      <c r="O2045" s="3">
        <f>IF(
    R2045="Ancien",
    _xlfn.XLOOKUP(
        Final_Sans_VGE[[#This Row],[ppn_z]],
        tbl_Historique_Final[ppn_z],
        tbl_Historique_Final[Horodatage],
        ""
    ),
    Horodatage!$A$2
)</f>
        <v>46233.670796365739</v>
      </c>
      <c r="P2045" s="1" t="str">
        <f>IFERROR(IF(tbl_Historique_Final[[#This Row],[Commentaires]]&lt;&gt;"",tbl_Historique_Final[[#This Row],[Commentaires]],""),"")</f>
        <v/>
      </c>
      <c r="X2045" s="8" t="str">
        <f>IF(Final_Sans_VGE[[#This Row],[ppn_z]]="","",IFERROR(
   IF(_xlfn.XLOOKUP(Final_Sans_VGE[[#This Row],[ppn_z]],tbl_Historique_Final[ppn_z],tbl_Historique_Final[date_modif])=Final_Sans_VGE[[#This Row],[date_modif]],
      "Ancien",
      "Modifié"),
   "Nouveau"))</f>
        <v>Ancien</v>
      </c>
      <c r="AC2045"/>
      <c r="AD2045"/>
    </row>
    <row r="2046" spans="1:30" ht="30" x14ac:dyDescent="0.25">
      <c r="A2046" s="5" t="s">
        <v>6299</v>
      </c>
      <c r="B2046" s="1" t="s">
        <v>10450</v>
      </c>
      <c r="C2046" s="1" t="s">
        <v>6416</v>
      </c>
      <c r="J2046" s="3">
        <v>46184.656793981485</v>
      </c>
      <c r="K2046" s="2" t="s">
        <v>10451</v>
      </c>
      <c r="L2046" s="1">
        <v>11</v>
      </c>
      <c r="M2046" s="1">
        <v>21</v>
      </c>
      <c r="N2046">
        <v>10</v>
      </c>
      <c r="O2046" s="3">
        <f>IF(
    R2046="Ancien",
    _xlfn.XLOOKUP(
        Final_Sans_VGE[[#This Row],[ppn_z]],
        tbl_Historique_Final[ppn_z],
        tbl_Historique_Final[Horodatage],
        ""
    ),
    Horodatage!$A$2
)</f>
        <v>46233.670796365739</v>
      </c>
      <c r="P2046" s="1" t="str">
        <f>IFERROR(IF(tbl_Historique_Final[[#This Row],[Commentaires]]&lt;&gt;"",tbl_Historique_Final[[#This Row],[Commentaires]],""),"")</f>
        <v/>
      </c>
      <c r="X2046" s="8" t="str">
        <f>IF(Final_Sans_VGE[[#This Row],[ppn_z]]="","",IFERROR(
   IF(_xlfn.XLOOKUP(Final_Sans_VGE[[#This Row],[ppn_z]],tbl_Historique_Final[ppn_z],tbl_Historique_Final[date_modif])=Final_Sans_VGE[[#This Row],[date_modif]],
      "Ancien",
      "Modifié"),
   "Nouveau"))</f>
        <v>Ancien</v>
      </c>
      <c r="AC2046"/>
      <c r="AD2046"/>
    </row>
    <row r="2047" spans="1:30" x14ac:dyDescent="0.25">
      <c r="A2047" s="5" t="s">
        <v>6302</v>
      </c>
      <c r="B2047" s="1" t="s">
        <v>10452</v>
      </c>
      <c r="C2047" s="1" t="s">
        <v>152</v>
      </c>
      <c r="E2047" s="1" t="s">
        <v>12</v>
      </c>
      <c r="G2047" s="1" t="s">
        <v>10</v>
      </c>
      <c r="J2047" s="3">
        <v>46189.498935185184</v>
      </c>
      <c r="K2047" s="2" t="s">
        <v>10453</v>
      </c>
      <c r="L2047" s="1">
        <v>8</v>
      </c>
      <c r="M2047" s="1">
        <v>9</v>
      </c>
      <c r="N2047">
        <v>1</v>
      </c>
      <c r="O2047" s="3">
        <f>IF(
    R2047="Ancien",
    _xlfn.XLOOKUP(
        Final_Sans_VGE[[#This Row],[ppn_z]],
        tbl_Historique_Final[ppn_z],
        tbl_Historique_Final[Horodatage],
        ""
    ),
    Horodatage!$A$2
)</f>
        <v>46233.670796365739</v>
      </c>
      <c r="P2047" s="1" t="str">
        <f>IFERROR(IF(tbl_Historique_Final[[#This Row],[Commentaires]]&lt;&gt;"",tbl_Historique_Final[[#This Row],[Commentaires]],""),"")</f>
        <v/>
      </c>
      <c r="X2047" s="8" t="str">
        <f>IF(Final_Sans_VGE[[#This Row],[ppn_z]]="","",IFERROR(
   IF(_xlfn.XLOOKUP(Final_Sans_VGE[[#This Row],[ppn_z]],tbl_Historique_Final[ppn_z],tbl_Historique_Final[date_modif])=Final_Sans_VGE[[#This Row],[date_modif]],
      "Ancien",
      "Modifié"),
   "Nouveau"))</f>
        <v>Ancien</v>
      </c>
      <c r="AC2047"/>
      <c r="AD2047"/>
    </row>
    <row r="2048" spans="1:30" x14ac:dyDescent="0.25">
      <c r="A2048" s="5" t="s">
        <v>6305</v>
      </c>
      <c r="B2048" s="1" t="s">
        <v>10454</v>
      </c>
      <c r="C2048" s="1" t="s">
        <v>92</v>
      </c>
      <c r="G2048" s="1" t="s">
        <v>10</v>
      </c>
      <c r="J2048" s="3">
        <v>46201.369016203702</v>
      </c>
      <c r="K2048" s="2" t="s">
        <v>10455</v>
      </c>
      <c r="L2048" s="1">
        <v>6</v>
      </c>
      <c r="M2048" s="1">
        <v>13</v>
      </c>
      <c r="N2048">
        <v>7</v>
      </c>
      <c r="O2048" s="3">
        <f>IF(
    R2048="Ancien",
    _xlfn.XLOOKUP(
        Final_Sans_VGE[[#This Row],[ppn_z]],
        tbl_Historique_Final[ppn_z],
        tbl_Historique_Final[Horodatage],
        ""
    ),
    Horodatage!$A$2
)</f>
        <v>46233.670796365739</v>
      </c>
      <c r="P2048" s="1" t="str">
        <f>IFERROR(IF(tbl_Historique_Final[[#This Row],[Commentaires]]&lt;&gt;"",tbl_Historique_Final[[#This Row],[Commentaires]],""),"")</f>
        <v/>
      </c>
      <c r="X2048" s="8" t="str">
        <f>IF(Final_Sans_VGE[[#This Row],[ppn_z]]="","",IFERROR(
   IF(_xlfn.XLOOKUP(Final_Sans_VGE[[#This Row],[ppn_z]],tbl_Historique_Final[ppn_z],tbl_Historique_Final[date_modif])=Final_Sans_VGE[[#This Row],[date_modif]],
      "Ancien",
      "Modifié"),
   "Nouveau"))</f>
        <v>Ancien</v>
      </c>
      <c r="AC2048"/>
      <c r="AD2048"/>
    </row>
    <row r="2049" spans="1:30" ht="45" x14ac:dyDescent="0.25">
      <c r="A2049" s="5" t="s">
        <v>6308</v>
      </c>
      <c r="B2049" s="1" t="s">
        <v>10456</v>
      </c>
      <c r="C2049" s="1" t="s">
        <v>57</v>
      </c>
      <c r="D2049" s="1" t="s">
        <v>8589</v>
      </c>
      <c r="G2049" s="1" t="s">
        <v>11</v>
      </c>
      <c r="H2049" s="1" t="s">
        <v>10457</v>
      </c>
      <c r="I2049" s="1" t="s">
        <v>22</v>
      </c>
      <c r="J2049" s="3">
        <v>46231.707754629628</v>
      </c>
      <c r="K2049" s="2" t="s">
        <v>10458</v>
      </c>
      <c r="L2049" s="1">
        <v>6</v>
      </c>
      <c r="M2049" s="1">
        <v>9</v>
      </c>
      <c r="N2049">
        <v>3</v>
      </c>
      <c r="O2049" s="3">
        <f>IF(
    R2049="Ancien",
    _xlfn.XLOOKUP(
        Final_Sans_VGE[[#This Row],[ppn_z]],
        tbl_Historique_Final[ppn_z],
        tbl_Historique_Final[Horodatage],
        ""
    ),
    Horodatage!$A$2
)</f>
        <v>46233.670796365739</v>
      </c>
      <c r="P2049" s="1" t="str">
        <f>IFERROR(IF(tbl_Historique_Final[[#This Row],[Commentaires]]&lt;&gt;"",tbl_Historique_Final[[#This Row],[Commentaires]],""),"")</f>
        <v/>
      </c>
      <c r="X2049" s="8" t="str">
        <f>IF(Final_Sans_VGE[[#This Row],[ppn_z]]="","",IFERROR(
   IF(_xlfn.XLOOKUP(Final_Sans_VGE[[#This Row],[ppn_z]],tbl_Historique_Final[ppn_z],tbl_Historique_Final[date_modif])=Final_Sans_VGE[[#This Row],[date_modif]],
      "Ancien",
      "Modifié"),
   "Nouveau"))</f>
        <v>Ancien</v>
      </c>
      <c r="AC2049"/>
      <c r="AD2049"/>
    </row>
    <row r="2050" spans="1:30" ht="30" x14ac:dyDescent="0.25">
      <c r="A2050" s="5" t="s">
        <v>6311</v>
      </c>
      <c r="B2050" s="1" t="s">
        <v>10459</v>
      </c>
      <c r="C2050" s="1" t="s">
        <v>10449</v>
      </c>
      <c r="H2050" s="1" t="s">
        <v>22</v>
      </c>
      <c r="I2050" s="1" t="s">
        <v>22</v>
      </c>
      <c r="J2050" s="3">
        <v>46055.68959490741</v>
      </c>
      <c r="K2050" s="2" t="s">
        <v>10460</v>
      </c>
      <c r="L2050" s="1">
        <v>645</v>
      </c>
      <c r="M2050" s="1">
        <v>843</v>
      </c>
      <c r="N2050">
        <v>198</v>
      </c>
      <c r="O2050" s="3">
        <f>IF(
    R2050="Ancien",
    _xlfn.XLOOKUP(
        Final_Sans_VGE[[#This Row],[ppn_z]],
        tbl_Historique_Final[ppn_z],
        tbl_Historique_Final[Horodatage],
        ""
    ),
    Horodatage!$A$2
)</f>
        <v>46233.670796365739</v>
      </c>
      <c r="P2050" s="1" t="str">
        <f>IFERROR(IF(tbl_Historique_Final[[#This Row],[Commentaires]]&lt;&gt;"",tbl_Historique_Final[[#This Row],[Commentaires]],""),"")</f>
        <v/>
      </c>
      <c r="X2050" s="8" t="str">
        <f>IF(Final_Sans_VGE[[#This Row],[ppn_z]]="","",IFERROR(
   IF(_xlfn.XLOOKUP(Final_Sans_VGE[[#This Row],[ppn_z]],tbl_Historique_Final[ppn_z],tbl_Historique_Final[date_modif])=Final_Sans_VGE[[#This Row],[date_modif]],
      "Ancien",
      "Modifié"),
   "Nouveau"))</f>
        <v>Ancien</v>
      </c>
      <c r="AC2050"/>
      <c r="AD2050"/>
    </row>
    <row r="2051" spans="1:30" ht="30" x14ac:dyDescent="0.25">
      <c r="A2051" s="5" t="s">
        <v>6314</v>
      </c>
      <c r="B2051" s="1" t="s">
        <v>10461</v>
      </c>
      <c r="C2051" s="1" t="s">
        <v>10462</v>
      </c>
      <c r="D2051" s="1" t="s">
        <v>10463</v>
      </c>
      <c r="E2051" s="1" t="s">
        <v>10464</v>
      </c>
      <c r="F2051" s="1" t="s">
        <v>8025</v>
      </c>
      <c r="G2051" s="1" t="s">
        <v>10</v>
      </c>
      <c r="H2051" s="1" t="s">
        <v>22</v>
      </c>
      <c r="I2051" s="1" t="s">
        <v>22</v>
      </c>
      <c r="J2051" s="3">
        <v>46056.442094907405</v>
      </c>
      <c r="K2051" s="2" t="s">
        <v>10465</v>
      </c>
      <c r="L2051" s="1">
        <v>23</v>
      </c>
      <c r="M2051" s="1">
        <v>25</v>
      </c>
      <c r="N2051">
        <v>2</v>
      </c>
      <c r="O2051" s="3">
        <f>IF(
    R2051="Ancien",
    _xlfn.XLOOKUP(
        Final_Sans_VGE[[#This Row],[ppn_z]],
        tbl_Historique_Final[ppn_z],
        tbl_Historique_Final[Horodatage],
        ""
    ),
    Horodatage!$A$2
)</f>
        <v>46233.670796365739</v>
      </c>
      <c r="P2051" s="1" t="str">
        <f>IFERROR(IF(tbl_Historique_Final[[#This Row],[Commentaires]]&lt;&gt;"",tbl_Historique_Final[[#This Row],[Commentaires]],""),"")</f>
        <v/>
      </c>
      <c r="X2051" s="8" t="str">
        <f>IF(Final_Sans_VGE[[#This Row],[ppn_z]]="","",IFERROR(
   IF(_xlfn.XLOOKUP(Final_Sans_VGE[[#This Row],[ppn_z]],tbl_Historique_Final[ppn_z],tbl_Historique_Final[date_modif])=Final_Sans_VGE[[#This Row],[date_modif]],
      "Ancien",
      "Modifié"),
   "Nouveau"))</f>
        <v>Ancien</v>
      </c>
      <c r="AC2051"/>
      <c r="AD2051"/>
    </row>
    <row r="2052" spans="1:30" ht="30" x14ac:dyDescent="0.25">
      <c r="A2052" s="5" t="s">
        <v>6317</v>
      </c>
      <c r="B2052" s="1" t="s">
        <v>10466</v>
      </c>
      <c r="C2052" s="1" t="s">
        <v>8738</v>
      </c>
      <c r="D2052" s="1" t="s">
        <v>14</v>
      </c>
      <c r="E2052" s="1" t="s">
        <v>8832</v>
      </c>
      <c r="F2052" s="1" t="s">
        <v>10467</v>
      </c>
      <c r="G2052" s="1" t="s">
        <v>10</v>
      </c>
      <c r="H2052" s="1" t="s">
        <v>22</v>
      </c>
      <c r="I2052" s="1" t="s">
        <v>22</v>
      </c>
      <c r="J2052" s="3">
        <v>46059.749328703707</v>
      </c>
      <c r="K2052" s="2" t="s">
        <v>10468</v>
      </c>
      <c r="L2052" s="1">
        <v>6299</v>
      </c>
      <c r="M2052" s="1">
        <v>6759</v>
      </c>
      <c r="N2052">
        <v>460</v>
      </c>
      <c r="O2052" s="3">
        <f>IF(
    R2052="Ancien",
    _xlfn.XLOOKUP(
        Final_Sans_VGE[[#This Row],[ppn_z]],
        tbl_Historique_Final[ppn_z],
        tbl_Historique_Final[Horodatage],
        ""
    ),
    Horodatage!$A$2
)</f>
        <v>46233.670796365739</v>
      </c>
      <c r="P2052" s="1" t="str">
        <f>IFERROR(IF(tbl_Historique_Final[[#This Row],[Commentaires]]&lt;&gt;"",tbl_Historique_Final[[#This Row],[Commentaires]],""),"")</f>
        <v/>
      </c>
      <c r="X2052" s="8" t="str">
        <f>IF(Final_Sans_VGE[[#This Row],[ppn_z]]="","",IFERROR(
   IF(_xlfn.XLOOKUP(Final_Sans_VGE[[#This Row],[ppn_z]],tbl_Historique_Final[ppn_z],tbl_Historique_Final[date_modif])=Final_Sans_VGE[[#This Row],[date_modif]],
      "Ancien",
      "Modifié"),
   "Nouveau"))</f>
        <v>Ancien</v>
      </c>
      <c r="AC2052"/>
      <c r="AD2052"/>
    </row>
    <row r="2053" spans="1:30" ht="30" x14ac:dyDescent="0.25">
      <c r="A2053" s="5" t="s">
        <v>6320</v>
      </c>
      <c r="B2053" s="1" t="s">
        <v>10469</v>
      </c>
      <c r="C2053" s="1" t="s">
        <v>10470</v>
      </c>
      <c r="D2053" s="1" t="s">
        <v>14</v>
      </c>
      <c r="E2053" s="1" t="s">
        <v>10471</v>
      </c>
      <c r="F2053" s="1" t="s">
        <v>14</v>
      </c>
      <c r="G2053" s="1" t="s">
        <v>10</v>
      </c>
      <c r="H2053" s="1" t="s">
        <v>22</v>
      </c>
      <c r="I2053" s="1" t="s">
        <v>140</v>
      </c>
      <c r="J2053" s="3">
        <v>46070.377280092594</v>
      </c>
      <c r="K2053" s="2" t="s">
        <v>10472</v>
      </c>
      <c r="L2053" s="1">
        <v>6</v>
      </c>
      <c r="M2053" s="1">
        <v>8</v>
      </c>
      <c r="N2053">
        <v>2</v>
      </c>
      <c r="O2053" s="3">
        <f>IF(
    R2053="Ancien",
    _xlfn.XLOOKUP(
        Final_Sans_VGE[[#This Row],[ppn_z]],
        tbl_Historique_Final[ppn_z],
        tbl_Historique_Final[Horodatage],
        ""
    ),
    Horodatage!$A$2
)</f>
        <v>46233.670796365739</v>
      </c>
      <c r="P2053" s="1" t="str">
        <f>IFERROR(IF(tbl_Historique_Final[[#This Row],[Commentaires]]&lt;&gt;"",tbl_Historique_Final[[#This Row],[Commentaires]],""),"")</f>
        <v/>
      </c>
      <c r="X2053" s="8" t="str">
        <f>IF(Final_Sans_VGE[[#This Row],[ppn_z]]="","",IFERROR(
   IF(_xlfn.XLOOKUP(Final_Sans_VGE[[#This Row],[ppn_z]],tbl_Historique_Final[ppn_z],tbl_Historique_Final[date_modif])=Final_Sans_VGE[[#This Row],[date_modif]],
      "Ancien",
      "Modifié"),
   "Nouveau"))</f>
        <v>Ancien</v>
      </c>
      <c r="AC2053"/>
      <c r="AD2053"/>
    </row>
    <row r="2054" spans="1:30" ht="75" x14ac:dyDescent="0.25">
      <c r="A2054" s="5" t="s">
        <v>6323</v>
      </c>
      <c r="B2054" s="1" t="s">
        <v>10473</v>
      </c>
      <c r="C2054" s="1" t="s">
        <v>8725</v>
      </c>
      <c r="D2054" s="1" t="s">
        <v>10474</v>
      </c>
      <c r="E2054" s="1" t="s">
        <v>96</v>
      </c>
      <c r="F2054" s="1" t="s">
        <v>10475</v>
      </c>
      <c r="G2054" s="1" t="s">
        <v>10</v>
      </c>
      <c r="H2054" s="1" t="s">
        <v>10476</v>
      </c>
      <c r="I2054" s="1" t="s">
        <v>10477</v>
      </c>
      <c r="J2054" s="3">
        <v>46057.476446759261</v>
      </c>
      <c r="K2054" s="2" t="s">
        <v>10478</v>
      </c>
      <c r="L2054" s="1">
        <v>205</v>
      </c>
      <c r="M2054" s="1">
        <v>240</v>
      </c>
      <c r="N2054">
        <v>35</v>
      </c>
      <c r="O2054" s="3">
        <f>IF(
    R2054="Ancien",
    _xlfn.XLOOKUP(
        Final_Sans_VGE[[#This Row],[ppn_z]],
        tbl_Historique_Final[ppn_z],
        tbl_Historique_Final[Horodatage],
        ""
    ),
    Horodatage!$A$2
)</f>
        <v>46233.670796365739</v>
      </c>
      <c r="P2054" s="1" t="str">
        <f>IFERROR(IF(tbl_Historique_Final[[#This Row],[Commentaires]]&lt;&gt;"",tbl_Historique_Final[[#This Row],[Commentaires]],""),"")</f>
        <v/>
      </c>
      <c r="X2054" s="8" t="str">
        <f>IF(Final_Sans_VGE[[#This Row],[ppn_z]]="","",IFERROR(
   IF(_xlfn.XLOOKUP(Final_Sans_VGE[[#This Row],[ppn_z]],tbl_Historique_Final[ppn_z],tbl_Historique_Final[date_modif])=Final_Sans_VGE[[#This Row],[date_modif]],
      "Ancien",
      "Modifié"),
   "Nouveau"))</f>
        <v>Ancien</v>
      </c>
      <c r="AD2054" s="1" t="str">
        <f>IFERROR(IF(Final_Sans_VGE[[#This Row],[ppn_z]]="","",IFERROR(
   IF(_xlfn.XLOOKUP(Final_Sans_VGE[[#This Row],[ppn_z]],tbl_Historique_Final[[#This Row],[ppn_z]],tbl_Historique_Final[[#This Row],[date_modif]])=Final_Sans_VGE[[#This Row],[date_modif]],
      "Ancien",
      "Modifié"),
   "Nouveau")),"")</f>
        <v>Ancien</v>
      </c>
    </row>
    <row r="2055" spans="1:30" x14ac:dyDescent="0.25">
      <c r="X2055" s="8" t="e">
        <f>IF(Final_Sans_VGE[[#This Row],[ppn_z]]="","",IFERROR(
   IF(_xlfn.XLOOKUP(Final_Sans_VGE[[#This Row],[ppn_z]],tbl_Historique_Final[ppn_z],tbl_Historique_Final[date_modif])=Final_Sans_VGE[[#This Row],[date_modif]],
      "Ancien",
      "Modifié"),
   "Nouveau"))</f>
        <v>#VALUE!</v>
      </c>
      <c r="AD2055" s="1" t="str">
        <f>IFERROR(IF(Final_Sans_VGE[[#This Row],[ppn_z]]="","",IFERROR(
   IF(_xlfn.XLOOKUP(Final_Sans_VGE[[#This Row],[ppn_z]],tbl_Historique_Final[[#This Row],[ppn_z]],tbl_Historique_Final[[#This Row],[date_modif]])=Final_Sans_VGE[[#This Row],[date_modif]],
      "Ancien",
      "Modifié"),
   "Nouveau")),"")</f>
        <v/>
      </c>
    </row>
    <row r="2056" spans="1:30" x14ac:dyDescent="0.25">
      <c r="X2056" s="8" t="e">
        <f>IF(Final_Sans_VGE[[#This Row],[ppn_z]]="","",IFERROR(
   IF(_xlfn.XLOOKUP(Final_Sans_VGE[[#This Row],[ppn_z]],tbl_Historique_Final[ppn_z],tbl_Historique_Final[date_modif])=Final_Sans_VGE[[#This Row],[date_modif]],
      "Ancien",
      "Modifié"),
   "Nouveau"))</f>
        <v>#VALUE!</v>
      </c>
      <c r="AD2056" s="1" t="str">
        <f>IFERROR(IF(Final_Sans_VGE[[#This Row],[ppn_z]]="","",IFERROR(
   IF(_xlfn.XLOOKUP(Final_Sans_VGE[[#This Row],[ppn_z]],tbl_Historique_Final[[#This Row],[ppn_z]],tbl_Historique_Final[[#This Row],[date_modif]])=Final_Sans_VGE[[#This Row],[date_modif]],
      "Ancien",
      "Modifié"),
   "Nouveau")),"")</f>
        <v/>
      </c>
    </row>
    <row r="2057" spans="1:30" x14ac:dyDescent="0.25">
      <c r="X2057" s="8" t="e">
        <f>IF(Final_Sans_VGE[[#This Row],[ppn_z]]="","",IFERROR(
   IF(_xlfn.XLOOKUP(Final_Sans_VGE[[#This Row],[ppn_z]],tbl_Historique_Final[ppn_z],tbl_Historique_Final[date_modif])=Final_Sans_VGE[[#This Row],[date_modif]],
      "Ancien",
      "Modifié"),
   "Nouveau"))</f>
        <v>#VALUE!</v>
      </c>
      <c r="AD2057" s="1" t="str">
        <f>IFERROR(IF(Final_Sans_VGE[[#This Row],[ppn_z]]="","",IFERROR(
   IF(_xlfn.XLOOKUP(Final_Sans_VGE[[#This Row],[ppn_z]],tbl_Historique_Final[[#This Row],[ppn_z]],tbl_Historique_Final[[#This Row],[date_modif]])=Final_Sans_VGE[[#This Row],[date_modif]],
      "Ancien",
      "Modifié"),
   "Nouveau")),"")</f>
        <v/>
      </c>
    </row>
    <row r="2058" spans="1:30" x14ac:dyDescent="0.25">
      <c r="X2058" s="8" t="e">
        <f>IF(Final_Sans_VGE[[#This Row],[ppn_z]]="","",IFERROR(
   IF(_xlfn.XLOOKUP(Final_Sans_VGE[[#This Row],[ppn_z]],tbl_Historique_Final[ppn_z],tbl_Historique_Final[date_modif])=Final_Sans_VGE[[#This Row],[date_modif]],
      "Ancien",
      "Modifié"),
   "Nouveau"))</f>
        <v>#VALUE!</v>
      </c>
      <c r="AD2058" s="1" t="str">
        <f>IFERROR(IF(Final_Sans_VGE[[#This Row],[ppn_z]]="","",IFERROR(
   IF(_xlfn.XLOOKUP(Final_Sans_VGE[[#This Row],[ppn_z]],tbl_Historique_Final[[#This Row],[ppn_z]],tbl_Historique_Final[[#This Row],[date_modif]])=Final_Sans_VGE[[#This Row],[date_modif]],
      "Ancien",
      "Modifié"),
   "Nouveau")),"")</f>
        <v/>
      </c>
    </row>
    <row r="2059" spans="1:30" x14ac:dyDescent="0.25">
      <c r="X2059" s="8" t="e">
        <f>IF(Final_Sans_VGE[[#This Row],[ppn_z]]="","",IFERROR(
   IF(_xlfn.XLOOKUP(Final_Sans_VGE[[#This Row],[ppn_z]],tbl_Historique_Final[ppn_z],tbl_Historique_Final[date_modif])=Final_Sans_VGE[[#This Row],[date_modif]],
      "Ancien",
      "Modifié"),
   "Nouveau"))</f>
        <v>#VALUE!</v>
      </c>
      <c r="AD2059" s="1" t="str">
        <f>IFERROR(IF(Final_Sans_VGE[[#This Row],[ppn_z]]="","",IFERROR(
   IF(_xlfn.XLOOKUP(Final_Sans_VGE[[#This Row],[ppn_z]],tbl_Historique_Final[[#This Row],[ppn_z]],tbl_Historique_Final[[#This Row],[date_modif]])=Final_Sans_VGE[[#This Row],[date_modif]],
      "Ancien",
      "Modifié"),
   "Nouveau")),"")</f>
        <v/>
      </c>
    </row>
    <row r="2060" spans="1:30" x14ac:dyDescent="0.25">
      <c r="X2060" s="8" t="e">
        <f>IF(Final_Sans_VGE[[#This Row],[ppn_z]]="","",IFERROR(
   IF(_xlfn.XLOOKUP(Final_Sans_VGE[[#This Row],[ppn_z]],tbl_Historique_Final[ppn_z],tbl_Historique_Final[date_modif])=Final_Sans_VGE[[#This Row],[date_modif]],
      "Ancien",
      "Modifié"),
   "Nouveau"))</f>
        <v>#VALUE!</v>
      </c>
      <c r="AD2060" s="1" t="str">
        <f>IFERROR(IF(Final_Sans_VGE[[#This Row],[ppn_z]]="","",IFERROR(
   IF(_xlfn.XLOOKUP(Final_Sans_VGE[[#This Row],[ppn_z]],tbl_Historique_Final[[#This Row],[ppn_z]],tbl_Historique_Final[[#This Row],[date_modif]])=Final_Sans_VGE[[#This Row],[date_modif]],
      "Ancien",
      "Modifié"),
   "Nouveau")),"")</f>
        <v/>
      </c>
    </row>
    <row r="2061" spans="1:30" x14ac:dyDescent="0.25">
      <c r="X2061" s="8" t="e">
        <f>IF(Final_Sans_VGE[[#This Row],[ppn_z]]="","",IFERROR(
   IF(_xlfn.XLOOKUP(Final_Sans_VGE[[#This Row],[ppn_z]],tbl_Historique_Final[ppn_z],tbl_Historique_Final[date_modif])=Final_Sans_VGE[[#This Row],[date_modif]],
      "Ancien",
      "Modifié"),
   "Nouveau"))</f>
        <v>#VALUE!</v>
      </c>
      <c r="AD2061" s="1" t="str">
        <f>IFERROR(IF(Final_Sans_VGE[[#This Row],[ppn_z]]="","",IFERROR(
   IF(_xlfn.XLOOKUP(Final_Sans_VGE[[#This Row],[ppn_z]],tbl_Historique_Final[[#This Row],[ppn_z]],tbl_Historique_Final[[#This Row],[date_modif]])=Final_Sans_VGE[[#This Row],[date_modif]],
      "Ancien",
      "Modifié"),
   "Nouveau")),"")</f>
        <v/>
      </c>
    </row>
    <row r="2062" spans="1:30" x14ac:dyDescent="0.25">
      <c r="X2062" s="8" t="e">
        <f>IF(Final_Sans_VGE[[#This Row],[ppn_z]]="","",IFERROR(
   IF(_xlfn.XLOOKUP(Final_Sans_VGE[[#This Row],[ppn_z]],tbl_Historique_Final[ppn_z],tbl_Historique_Final[date_modif])=Final_Sans_VGE[[#This Row],[date_modif]],
      "Ancien",
      "Modifié"),
   "Nouveau"))</f>
        <v>#VALUE!</v>
      </c>
      <c r="AD2062" s="1" t="str">
        <f>IFERROR(IF(Final_Sans_VGE[[#This Row],[ppn_z]]="","",IFERROR(
   IF(_xlfn.XLOOKUP(Final_Sans_VGE[[#This Row],[ppn_z]],tbl_Historique_Final[[#This Row],[ppn_z]],tbl_Historique_Final[[#This Row],[date_modif]])=Final_Sans_VGE[[#This Row],[date_modif]],
      "Ancien",
      "Modifié"),
   "Nouveau")),"")</f>
        <v/>
      </c>
    </row>
    <row r="2063" spans="1:30" x14ac:dyDescent="0.25">
      <c r="X2063" s="8" t="e">
        <f>IF(Final_Sans_VGE[[#This Row],[ppn_z]]="","",IFERROR(
   IF(_xlfn.XLOOKUP(Final_Sans_VGE[[#This Row],[ppn_z]],tbl_Historique_Final[ppn_z],tbl_Historique_Final[date_modif])=Final_Sans_VGE[[#This Row],[date_modif]],
      "Ancien",
      "Modifié"),
   "Nouveau"))</f>
        <v>#VALUE!</v>
      </c>
      <c r="AD2063" s="1" t="str">
        <f>IFERROR(IF(Final_Sans_VGE[[#This Row],[ppn_z]]="","",IFERROR(
   IF(_xlfn.XLOOKUP(Final_Sans_VGE[[#This Row],[ppn_z]],tbl_Historique_Final[[#This Row],[ppn_z]],tbl_Historique_Final[[#This Row],[date_modif]])=Final_Sans_VGE[[#This Row],[date_modif]],
      "Ancien",
      "Modifié"),
   "Nouveau")),"")</f>
        <v/>
      </c>
    </row>
    <row r="2064" spans="1:30" x14ac:dyDescent="0.25">
      <c r="X2064" s="8" t="e">
        <f>IF(Final_Sans_VGE[[#This Row],[ppn_z]]="","",IFERROR(
   IF(_xlfn.XLOOKUP(Final_Sans_VGE[[#This Row],[ppn_z]],tbl_Historique_Final[ppn_z],tbl_Historique_Final[date_modif])=Final_Sans_VGE[[#This Row],[date_modif]],
      "Ancien",
      "Modifié"),
   "Nouveau"))</f>
        <v>#VALUE!</v>
      </c>
      <c r="AD2064" s="1" t="str">
        <f>IFERROR(IF(Final_Sans_VGE[[#This Row],[ppn_z]]="","",IFERROR(
   IF(_xlfn.XLOOKUP(Final_Sans_VGE[[#This Row],[ppn_z]],tbl_Historique_Final[[#This Row],[ppn_z]],tbl_Historique_Final[[#This Row],[date_modif]])=Final_Sans_VGE[[#This Row],[date_modif]],
      "Ancien",
      "Modifié"),
   "Nouveau")),"")</f>
        <v/>
      </c>
    </row>
    <row r="2065" spans="24:30" x14ac:dyDescent="0.25">
      <c r="X2065" s="8" t="e">
        <f>IF(Final_Sans_VGE[[#This Row],[ppn_z]]="","",IFERROR(
   IF(_xlfn.XLOOKUP(Final_Sans_VGE[[#This Row],[ppn_z]],tbl_Historique_Final[ppn_z],tbl_Historique_Final[date_modif])=Final_Sans_VGE[[#This Row],[date_modif]],
      "Ancien",
      "Modifié"),
   "Nouveau"))</f>
        <v>#VALUE!</v>
      </c>
      <c r="AD2065" s="1" t="str">
        <f>IFERROR(IF(Final_Sans_VGE[[#This Row],[ppn_z]]="","",IFERROR(
   IF(_xlfn.XLOOKUP(Final_Sans_VGE[[#This Row],[ppn_z]],tbl_Historique_Final[[#This Row],[ppn_z]],tbl_Historique_Final[[#This Row],[date_modif]])=Final_Sans_VGE[[#This Row],[date_modif]],
      "Ancien",
      "Modifié"),
   "Nouveau")),"")</f>
        <v/>
      </c>
    </row>
    <row r="2066" spans="24:30" x14ac:dyDescent="0.25">
      <c r="X2066" s="8" t="e">
        <f>IF(Final_Sans_VGE[[#This Row],[ppn_z]]="","",IFERROR(
   IF(_xlfn.XLOOKUP(Final_Sans_VGE[[#This Row],[ppn_z]],tbl_Historique_Final[ppn_z],tbl_Historique_Final[date_modif])=Final_Sans_VGE[[#This Row],[date_modif]],
      "Ancien",
      "Modifié"),
   "Nouveau"))</f>
        <v>#VALUE!</v>
      </c>
      <c r="AD2066" s="1" t="str">
        <f>IFERROR(IF(Final_Sans_VGE[[#This Row],[ppn_z]]="","",IFERROR(
   IF(_xlfn.XLOOKUP(Final_Sans_VGE[[#This Row],[ppn_z]],tbl_Historique_Final[[#This Row],[ppn_z]],tbl_Historique_Final[[#This Row],[date_modif]])=Final_Sans_VGE[[#This Row],[date_modif]],
      "Ancien",
      "Modifié"),
   "Nouveau")),"")</f>
        <v/>
      </c>
    </row>
    <row r="2067" spans="24:30" x14ac:dyDescent="0.25">
      <c r="X2067" s="8" t="e">
        <f>IF(Final_Sans_VGE[[#This Row],[ppn_z]]="","",IFERROR(
   IF(_xlfn.XLOOKUP(Final_Sans_VGE[[#This Row],[ppn_z]],tbl_Historique_Final[ppn_z],tbl_Historique_Final[date_modif])=Final_Sans_VGE[[#This Row],[date_modif]],
      "Ancien",
      "Modifié"),
   "Nouveau"))</f>
        <v>#VALUE!</v>
      </c>
      <c r="AD2067" s="1" t="str">
        <f>IFERROR(IF(Final_Sans_VGE[[#This Row],[ppn_z]]="","",IFERROR(
   IF(_xlfn.XLOOKUP(Final_Sans_VGE[[#This Row],[ppn_z]],tbl_Historique_Final[[#This Row],[ppn_z]],tbl_Historique_Final[[#This Row],[date_modif]])=Final_Sans_VGE[[#This Row],[date_modif]],
      "Ancien",
      "Modifié"),
   "Nouveau")),"")</f>
        <v/>
      </c>
    </row>
    <row r="2068" spans="24:30" x14ac:dyDescent="0.25">
      <c r="X2068" s="8" t="e">
        <f>IF(Final_Sans_VGE[[#This Row],[ppn_z]]="","",IFERROR(
   IF(_xlfn.XLOOKUP(Final_Sans_VGE[[#This Row],[ppn_z]],tbl_Historique_Final[ppn_z],tbl_Historique_Final[date_modif])=Final_Sans_VGE[[#This Row],[date_modif]],
      "Ancien",
      "Modifié"),
   "Nouveau"))</f>
        <v>#VALUE!</v>
      </c>
      <c r="AD2068" s="1" t="str">
        <f>IFERROR(IF(Final_Sans_VGE[[#This Row],[ppn_z]]="","",IFERROR(
   IF(_xlfn.XLOOKUP(Final_Sans_VGE[[#This Row],[ppn_z]],tbl_Historique_Final[[#This Row],[ppn_z]],tbl_Historique_Final[[#This Row],[date_modif]])=Final_Sans_VGE[[#This Row],[date_modif]],
      "Ancien",
      "Modifié"),
   "Nouveau")),"")</f>
        <v/>
      </c>
    </row>
    <row r="2069" spans="24:30" x14ac:dyDescent="0.25">
      <c r="X2069" s="8" t="e">
        <f>IF(Final_Sans_VGE[[#This Row],[ppn_z]]="","",IFERROR(
   IF(_xlfn.XLOOKUP(Final_Sans_VGE[[#This Row],[ppn_z]],tbl_Historique_Final[ppn_z],tbl_Historique_Final[date_modif])=Final_Sans_VGE[[#This Row],[date_modif]],
      "Ancien",
      "Modifié"),
   "Nouveau"))</f>
        <v>#VALUE!</v>
      </c>
      <c r="AD2069" s="1" t="str">
        <f>IFERROR(IF(Final_Sans_VGE[[#This Row],[ppn_z]]="","",IFERROR(
   IF(_xlfn.XLOOKUP(Final_Sans_VGE[[#This Row],[ppn_z]],tbl_Historique_Final[[#This Row],[ppn_z]],tbl_Historique_Final[[#This Row],[date_modif]])=Final_Sans_VGE[[#This Row],[date_modif]],
      "Ancien",
      "Modifié"),
   "Nouveau")),"")</f>
        <v/>
      </c>
    </row>
    <row r="2070" spans="24:30" x14ac:dyDescent="0.25">
      <c r="X2070" s="8" t="e">
        <f>IF(Final_Sans_VGE[[#This Row],[ppn_z]]="","",IFERROR(
   IF(_xlfn.XLOOKUP(Final_Sans_VGE[[#This Row],[ppn_z]],tbl_Historique_Final[ppn_z],tbl_Historique_Final[date_modif])=Final_Sans_VGE[[#This Row],[date_modif]],
      "Ancien",
      "Modifié"),
   "Nouveau"))</f>
        <v>#VALUE!</v>
      </c>
      <c r="AD2070" s="1" t="str">
        <f>IFERROR(IF(Final_Sans_VGE[[#This Row],[ppn_z]]="","",IFERROR(
   IF(_xlfn.XLOOKUP(Final_Sans_VGE[[#This Row],[ppn_z]],tbl_Historique_Final[[#This Row],[ppn_z]],tbl_Historique_Final[[#This Row],[date_modif]])=Final_Sans_VGE[[#This Row],[date_modif]],
      "Ancien",
      "Modifié"),
   "Nouveau")),"")</f>
        <v/>
      </c>
    </row>
    <row r="2071" spans="24:30" x14ac:dyDescent="0.25">
      <c r="X2071" s="8" t="e">
        <f>IF(Final_Sans_VGE[[#This Row],[ppn_z]]="","",IFERROR(
   IF(_xlfn.XLOOKUP(Final_Sans_VGE[[#This Row],[ppn_z]],tbl_Historique_Final[ppn_z],tbl_Historique_Final[date_modif])=Final_Sans_VGE[[#This Row],[date_modif]],
      "Ancien",
      "Modifié"),
   "Nouveau"))</f>
        <v>#VALUE!</v>
      </c>
      <c r="AD2071" s="1" t="str">
        <f>IFERROR(IF(Final_Sans_VGE[[#This Row],[ppn_z]]="","",IFERROR(
   IF(_xlfn.XLOOKUP(Final_Sans_VGE[[#This Row],[ppn_z]],tbl_Historique_Final[[#This Row],[ppn_z]],tbl_Historique_Final[[#This Row],[date_modif]])=Final_Sans_VGE[[#This Row],[date_modif]],
      "Ancien",
      "Modifié"),
   "Nouveau")),"")</f>
        <v/>
      </c>
    </row>
    <row r="2072" spans="24:30" x14ac:dyDescent="0.25">
      <c r="X2072" s="8" t="e">
        <f>IF(Final_Sans_VGE[[#This Row],[ppn_z]]="","",IFERROR(
   IF(_xlfn.XLOOKUP(Final_Sans_VGE[[#This Row],[ppn_z]],tbl_Historique_Final[ppn_z],tbl_Historique_Final[date_modif])=Final_Sans_VGE[[#This Row],[date_modif]],
      "Ancien",
      "Modifié"),
   "Nouveau"))</f>
        <v>#VALUE!</v>
      </c>
      <c r="AD2072" s="1" t="str">
        <f>IFERROR(IF(Final_Sans_VGE[[#This Row],[ppn_z]]="","",IFERROR(
   IF(_xlfn.XLOOKUP(Final_Sans_VGE[[#This Row],[ppn_z]],tbl_Historique_Final[[#This Row],[ppn_z]],tbl_Historique_Final[[#This Row],[date_modif]])=Final_Sans_VGE[[#This Row],[date_modif]],
      "Ancien",
      "Modifié"),
   "Nouveau")),"")</f>
        <v/>
      </c>
    </row>
    <row r="2073" spans="24:30" x14ac:dyDescent="0.25">
      <c r="X2073" s="8" t="e">
        <f>IF(Final_Sans_VGE[[#This Row],[ppn_z]]="","",IFERROR(
   IF(_xlfn.XLOOKUP(Final_Sans_VGE[[#This Row],[ppn_z]],tbl_Historique_Final[ppn_z],tbl_Historique_Final[date_modif])=Final_Sans_VGE[[#This Row],[date_modif]],
      "Ancien",
      "Modifié"),
   "Nouveau"))</f>
        <v>#VALUE!</v>
      </c>
      <c r="AD2073" s="1" t="str">
        <f>IFERROR(IF(Final_Sans_VGE[[#This Row],[ppn_z]]="","",IFERROR(
   IF(_xlfn.XLOOKUP(Final_Sans_VGE[[#This Row],[ppn_z]],tbl_Historique_Final[[#This Row],[ppn_z]],tbl_Historique_Final[[#This Row],[date_modif]])=Final_Sans_VGE[[#This Row],[date_modif]],
      "Ancien",
      "Modifié"),
   "Nouveau")),"")</f>
        <v/>
      </c>
    </row>
    <row r="2074" spans="24:30" x14ac:dyDescent="0.25">
      <c r="X2074" s="8" t="e">
        <f>IF(Final_Sans_VGE[[#This Row],[ppn_z]]="","",IFERROR(
   IF(_xlfn.XLOOKUP(Final_Sans_VGE[[#This Row],[ppn_z]],tbl_Historique_Final[ppn_z],tbl_Historique_Final[date_modif])=Final_Sans_VGE[[#This Row],[date_modif]],
      "Ancien",
      "Modifié"),
   "Nouveau"))</f>
        <v>#VALUE!</v>
      </c>
      <c r="AD2074" s="1" t="str">
        <f>IFERROR(IF(Final_Sans_VGE[[#This Row],[ppn_z]]="","",IFERROR(
   IF(_xlfn.XLOOKUP(Final_Sans_VGE[[#This Row],[ppn_z]],tbl_Historique_Final[[#This Row],[ppn_z]],tbl_Historique_Final[[#This Row],[date_modif]])=Final_Sans_VGE[[#This Row],[date_modif]],
      "Ancien",
      "Modifié"),
   "Nouveau")),"")</f>
        <v/>
      </c>
    </row>
    <row r="2075" spans="24:30" x14ac:dyDescent="0.25">
      <c r="X2075" s="8" t="e">
        <f>IF(Final_Sans_VGE[[#This Row],[ppn_z]]="","",IFERROR(
   IF(_xlfn.XLOOKUP(Final_Sans_VGE[[#This Row],[ppn_z]],tbl_Historique_Final[ppn_z],tbl_Historique_Final[date_modif])=Final_Sans_VGE[[#This Row],[date_modif]],
      "Ancien",
      "Modifié"),
   "Nouveau"))</f>
        <v>#VALUE!</v>
      </c>
      <c r="AD2075" s="1" t="str">
        <f>IFERROR(IF(Final_Sans_VGE[[#This Row],[ppn_z]]="","",IFERROR(
   IF(_xlfn.XLOOKUP(Final_Sans_VGE[[#This Row],[ppn_z]],tbl_Historique_Final[[#This Row],[ppn_z]],tbl_Historique_Final[[#This Row],[date_modif]])=Final_Sans_VGE[[#This Row],[date_modif]],
      "Ancien",
      "Modifié"),
   "Nouveau")),"")</f>
        <v/>
      </c>
    </row>
    <row r="2076" spans="24:30" x14ac:dyDescent="0.25">
      <c r="X2076" s="8" t="e">
        <f>IF(Final_Sans_VGE[[#This Row],[ppn_z]]="","",IFERROR(
   IF(_xlfn.XLOOKUP(Final_Sans_VGE[[#This Row],[ppn_z]],tbl_Historique_Final[ppn_z],tbl_Historique_Final[date_modif])=Final_Sans_VGE[[#This Row],[date_modif]],
      "Ancien",
      "Modifié"),
   "Nouveau"))</f>
        <v>#VALUE!</v>
      </c>
      <c r="AD2076" s="1" t="str">
        <f>IFERROR(IF(Final_Sans_VGE[[#This Row],[ppn_z]]="","",IFERROR(
   IF(_xlfn.XLOOKUP(Final_Sans_VGE[[#This Row],[ppn_z]],tbl_Historique_Final[[#This Row],[ppn_z]],tbl_Historique_Final[[#This Row],[date_modif]])=Final_Sans_VGE[[#This Row],[date_modif]],
      "Ancien",
      "Modifié"),
   "Nouveau")),"")</f>
        <v/>
      </c>
    </row>
    <row r="2077" spans="24:30" x14ac:dyDescent="0.25">
      <c r="X2077" s="8" t="e">
        <f>IF(Final_Sans_VGE[[#This Row],[ppn_z]]="","",IFERROR(
   IF(_xlfn.XLOOKUP(Final_Sans_VGE[[#This Row],[ppn_z]],tbl_Historique_Final[ppn_z],tbl_Historique_Final[date_modif])=Final_Sans_VGE[[#This Row],[date_modif]],
      "Ancien",
      "Modifié"),
   "Nouveau"))</f>
        <v>#VALUE!</v>
      </c>
      <c r="AD2077" s="1" t="str">
        <f>IFERROR(IF(Final_Sans_VGE[[#This Row],[ppn_z]]="","",IFERROR(
   IF(_xlfn.XLOOKUP(Final_Sans_VGE[[#This Row],[ppn_z]],tbl_Historique_Final[[#This Row],[ppn_z]],tbl_Historique_Final[[#This Row],[date_modif]])=Final_Sans_VGE[[#This Row],[date_modif]],
      "Ancien",
      "Modifié"),
   "Nouveau")),"")</f>
        <v/>
      </c>
    </row>
    <row r="2078" spans="24:30" x14ac:dyDescent="0.25">
      <c r="X2078" s="8" t="e">
        <f>IF(Final_Sans_VGE[[#This Row],[ppn_z]]="","",IFERROR(
   IF(_xlfn.XLOOKUP(Final_Sans_VGE[[#This Row],[ppn_z]],tbl_Historique_Final[ppn_z],tbl_Historique_Final[date_modif])=Final_Sans_VGE[[#This Row],[date_modif]],
      "Ancien",
      "Modifié"),
   "Nouveau"))</f>
        <v>#VALUE!</v>
      </c>
      <c r="AD2078" s="1" t="str">
        <f>IFERROR(IF(Final_Sans_VGE[[#This Row],[ppn_z]]="","",IFERROR(
   IF(_xlfn.XLOOKUP(Final_Sans_VGE[[#This Row],[ppn_z]],tbl_Historique_Final[[#This Row],[ppn_z]],tbl_Historique_Final[[#This Row],[date_modif]])=Final_Sans_VGE[[#This Row],[date_modif]],
      "Ancien",
      "Modifié"),
   "Nouveau")),"")</f>
        <v/>
      </c>
    </row>
    <row r="2079" spans="24:30" x14ac:dyDescent="0.25">
      <c r="X2079" s="8" t="e">
        <f>IF(Final_Sans_VGE[[#This Row],[ppn_z]]="","",IFERROR(
   IF(_xlfn.XLOOKUP(Final_Sans_VGE[[#This Row],[ppn_z]],tbl_Historique_Final[ppn_z],tbl_Historique_Final[date_modif])=Final_Sans_VGE[[#This Row],[date_modif]],
      "Ancien",
      "Modifié"),
   "Nouveau"))</f>
        <v>#VALUE!</v>
      </c>
      <c r="AD2079" s="1" t="str">
        <f>IFERROR(IF(Final_Sans_VGE[[#This Row],[ppn_z]]="","",IFERROR(
   IF(_xlfn.XLOOKUP(Final_Sans_VGE[[#This Row],[ppn_z]],tbl_Historique_Final[[#This Row],[ppn_z]],tbl_Historique_Final[[#This Row],[date_modif]])=Final_Sans_VGE[[#This Row],[date_modif]],
      "Ancien",
      "Modifié"),
   "Nouveau")),"")</f>
        <v/>
      </c>
    </row>
    <row r="2080" spans="24:30" x14ac:dyDescent="0.25">
      <c r="X2080" s="8" t="e">
        <f>IF(Final_Sans_VGE[[#This Row],[ppn_z]]="","",IFERROR(
   IF(_xlfn.XLOOKUP(Final_Sans_VGE[[#This Row],[ppn_z]],tbl_Historique_Final[ppn_z],tbl_Historique_Final[date_modif])=Final_Sans_VGE[[#This Row],[date_modif]],
      "Ancien",
      "Modifié"),
   "Nouveau"))</f>
        <v>#VALUE!</v>
      </c>
      <c r="AD2080" s="1" t="str">
        <f>IFERROR(IF(Final_Sans_VGE[[#This Row],[ppn_z]]="","",IFERROR(
   IF(_xlfn.XLOOKUP(Final_Sans_VGE[[#This Row],[ppn_z]],tbl_Historique_Final[[#This Row],[ppn_z]],tbl_Historique_Final[[#This Row],[date_modif]])=Final_Sans_VGE[[#This Row],[date_modif]],
      "Ancien",
      "Modifié"),
   "Nouveau")),"")</f>
        <v/>
      </c>
    </row>
    <row r="2081" spans="24:30" x14ac:dyDescent="0.25">
      <c r="X2081" s="8" t="e">
        <f>IF(Final_Sans_VGE[[#This Row],[ppn_z]]="","",IFERROR(
   IF(_xlfn.XLOOKUP(Final_Sans_VGE[[#This Row],[ppn_z]],tbl_Historique_Final[ppn_z],tbl_Historique_Final[date_modif])=Final_Sans_VGE[[#This Row],[date_modif]],
      "Ancien",
      "Modifié"),
   "Nouveau"))</f>
        <v>#VALUE!</v>
      </c>
      <c r="AD2081" s="1" t="str">
        <f>IFERROR(IF(Final_Sans_VGE[[#This Row],[ppn_z]]="","",IFERROR(
   IF(_xlfn.XLOOKUP(Final_Sans_VGE[[#This Row],[ppn_z]],tbl_Historique_Final[[#This Row],[ppn_z]],tbl_Historique_Final[[#This Row],[date_modif]])=Final_Sans_VGE[[#This Row],[date_modif]],
      "Ancien",
      "Modifié"),
   "Nouveau")),"")</f>
        <v/>
      </c>
    </row>
    <row r="2082" spans="24:30" x14ac:dyDescent="0.25">
      <c r="X2082" s="8" t="e">
        <f>IF(Final_Sans_VGE[[#This Row],[ppn_z]]="","",IFERROR(
   IF(_xlfn.XLOOKUP(Final_Sans_VGE[[#This Row],[ppn_z]],tbl_Historique_Final[ppn_z],tbl_Historique_Final[date_modif])=Final_Sans_VGE[[#This Row],[date_modif]],
      "Ancien",
      "Modifié"),
   "Nouveau"))</f>
        <v>#VALUE!</v>
      </c>
      <c r="AD2082" s="1" t="str">
        <f>IFERROR(IF(Final_Sans_VGE[[#This Row],[ppn_z]]="","",IFERROR(
   IF(_xlfn.XLOOKUP(Final_Sans_VGE[[#This Row],[ppn_z]],tbl_Historique_Final[[#This Row],[ppn_z]],tbl_Historique_Final[[#This Row],[date_modif]])=Final_Sans_VGE[[#This Row],[date_modif]],
      "Ancien",
      "Modifié"),
   "Nouveau")),"")</f>
        <v/>
      </c>
    </row>
    <row r="2083" spans="24:30" x14ac:dyDescent="0.25">
      <c r="X2083" s="8" t="e">
        <f>IF(Final_Sans_VGE[[#This Row],[ppn_z]]="","",IFERROR(
   IF(_xlfn.XLOOKUP(Final_Sans_VGE[[#This Row],[ppn_z]],tbl_Historique_Final[ppn_z],tbl_Historique_Final[date_modif])=Final_Sans_VGE[[#This Row],[date_modif]],
      "Ancien",
      "Modifié"),
   "Nouveau"))</f>
        <v>#VALUE!</v>
      </c>
      <c r="AD2083" s="1" t="str">
        <f>IFERROR(IF(Final_Sans_VGE[[#This Row],[ppn_z]]="","",IFERROR(
   IF(_xlfn.XLOOKUP(Final_Sans_VGE[[#This Row],[ppn_z]],tbl_Historique_Final[[#This Row],[ppn_z]],tbl_Historique_Final[[#This Row],[date_modif]])=Final_Sans_VGE[[#This Row],[date_modif]],
      "Ancien",
      "Modifié"),
   "Nouveau")),"")</f>
        <v/>
      </c>
    </row>
    <row r="2084" spans="24:30" x14ac:dyDescent="0.25">
      <c r="X2084" s="8" t="e">
        <f>IF(Final_Sans_VGE[[#This Row],[ppn_z]]="","",IFERROR(
   IF(_xlfn.XLOOKUP(Final_Sans_VGE[[#This Row],[ppn_z]],tbl_Historique_Final[ppn_z],tbl_Historique_Final[date_modif])=Final_Sans_VGE[[#This Row],[date_modif]],
      "Ancien",
      "Modifié"),
   "Nouveau"))</f>
        <v>#VALUE!</v>
      </c>
      <c r="AD2084" s="1" t="str">
        <f>IFERROR(IF(Final_Sans_VGE[[#This Row],[ppn_z]]="","",IFERROR(
   IF(_xlfn.XLOOKUP(Final_Sans_VGE[[#This Row],[ppn_z]],tbl_Historique_Final[[#This Row],[ppn_z]],tbl_Historique_Final[[#This Row],[date_modif]])=Final_Sans_VGE[[#This Row],[date_modif]],
      "Ancien",
      "Modifié"),
   "Nouveau")),"")</f>
        <v/>
      </c>
    </row>
    <row r="2085" spans="24:30" x14ac:dyDescent="0.25">
      <c r="X2085" s="8" t="e">
        <f>IF(Final_Sans_VGE[[#This Row],[ppn_z]]="","",IFERROR(
   IF(_xlfn.XLOOKUP(Final_Sans_VGE[[#This Row],[ppn_z]],tbl_Historique_Final[ppn_z],tbl_Historique_Final[date_modif])=Final_Sans_VGE[[#This Row],[date_modif]],
      "Ancien",
      "Modifié"),
   "Nouveau"))</f>
        <v>#VALUE!</v>
      </c>
      <c r="AD2085" s="1" t="str">
        <f>IFERROR(IF(Final_Sans_VGE[[#This Row],[ppn_z]]="","",IFERROR(
   IF(_xlfn.XLOOKUP(Final_Sans_VGE[[#This Row],[ppn_z]],tbl_Historique_Final[[#This Row],[ppn_z]],tbl_Historique_Final[[#This Row],[date_modif]])=Final_Sans_VGE[[#This Row],[date_modif]],
      "Ancien",
      "Modifié"),
   "Nouveau")),"")</f>
        <v/>
      </c>
    </row>
    <row r="2086" spans="24:30" x14ac:dyDescent="0.25">
      <c r="X2086" s="8" t="e">
        <f>IF(Final_Sans_VGE[[#This Row],[ppn_z]]="","",IFERROR(
   IF(_xlfn.XLOOKUP(Final_Sans_VGE[[#This Row],[ppn_z]],tbl_Historique_Final[ppn_z],tbl_Historique_Final[date_modif])=Final_Sans_VGE[[#This Row],[date_modif]],
      "Ancien",
      "Modifié"),
   "Nouveau"))</f>
        <v>#VALUE!</v>
      </c>
      <c r="AD2086" s="1" t="str">
        <f>IFERROR(IF(Final_Sans_VGE[[#This Row],[ppn_z]]="","",IFERROR(
   IF(_xlfn.XLOOKUP(Final_Sans_VGE[[#This Row],[ppn_z]],tbl_Historique_Final[[#This Row],[ppn_z]],tbl_Historique_Final[[#This Row],[date_modif]])=Final_Sans_VGE[[#This Row],[date_modif]],
      "Ancien",
      "Modifié"),
   "Nouveau")),"")</f>
        <v/>
      </c>
    </row>
    <row r="2087" spans="24:30" x14ac:dyDescent="0.25">
      <c r="X2087" s="8" t="e">
        <f>IF(Final_Sans_VGE[[#This Row],[ppn_z]]="","",IFERROR(
   IF(_xlfn.XLOOKUP(Final_Sans_VGE[[#This Row],[ppn_z]],tbl_Historique_Final[ppn_z],tbl_Historique_Final[date_modif])=Final_Sans_VGE[[#This Row],[date_modif]],
      "Ancien",
      "Modifié"),
   "Nouveau"))</f>
        <v>#VALUE!</v>
      </c>
      <c r="AD2087" s="1" t="str">
        <f>IFERROR(IF(Final_Sans_VGE[[#This Row],[ppn_z]]="","",IFERROR(
   IF(_xlfn.XLOOKUP(Final_Sans_VGE[[#This Row],[ppn_z]],tbl_Historique_Final[[#This Row],[ppn_z]],tbl_Historique_Final[[#This Row],[date_modif]])=Final_Sans_VGE[[#This Row],[date_modif]],
      "Ancien",
      "Modifié"),
   "Nouveau")),"")</f>
        <v/>
      </c>
    </row>
    <row r="2088" spans="24:30" x14ac:dyDescent="0.25">
      <c r="X2088" s="8" t="e">
        <f>IF(Final_Sans_VGE[[#This Row],[ppn_z]]="","",IFERROR(
   IF(_xlfn.XLOOKUP(Final_Sans_VGE[[#This Row],[ppn_z]],tbl_Historique_Final[ppn_z],tbl_Historique_Final[date_modif])=Final_Sans_VGE[[#This Row],[date_modif]],
      "Ancien",
      "Modifié"),
   "Nouveau"))</f>
        <v>#VALUE!</v>
      </c>
      <c r="AD2088" s="1" t="str">
        <f>IFERROR(IF(Final_Sans_VGE[[#This Row],[ppn_z]]="","",IFERROR(
   IF(_xlfn.XLOOKUP(Final_Sans_VGE[[#This Row],[ppn_z]],tbl_Historique_Final[[#This Row],[ppn_z]],tbl_Historique_Final[[#This Row],[date_modif]])=Final_Sans_VGE[[#This Row],[date_modif]],
      "Ancien",
      "Modifié"),
   "Nouveau")),"")</f>
        <v/>
      </c>
    </row>
    <row r="2089" spans="24:30" x14ac:dyDescent="0.25">
      <c r="X2089" s="8" t="e">
        <f>IF(Final_Sans_VGE[[#This Row],[ppn_z]]="","",IFERROR(
   IF(_xlfn.XLOOKUP(Final_Sans_VGE[[#This Row],[ppn_z]],tbl_Historique_Final[ppn_z],tbl_Historique_Final[date_modif])=Final_Sans_VGE[[#This Row],[date_modif]],
      "Ancien",
      "Modifié"),
   "Nouveau"))</f>
        <v>#VALUE!</v>
      </c>
      <c r="AD2089" s="1" t="str">
        <f>IFERROR(IF(Final_Sans_VGE[[#This Row],[ppn_z]]="","",IFERROR(
   IF(_xlfn.XLOOKUP(Final_Sans_VGE[[#This Row],[ppn_z]],tbl_Historique_Final[[#This Row],[ppn_z]],tbl_Historique_Final[[#This Row],[date_modif]])=Final_Sans_VGE[[#This Row],[date_modif]],
      "Ancien",
      "Modifié"),
   "Nouveau")),"")</f>
        <v/>
      </c>
    </row>
    <row r="2090" spans="24:30" x14ac:dyDescent="0.25">
      <c r="X2090" s="8" t="e">
        <f>IF(Final_Sans_VGE[[#This Row],[ppn_z]]="","",IFERROR(
   IF(_xlfn.XLOOKUP(Final_Sans_VGE[[#This Row],[ppn_z]],tbl_Historique_Final[ppn_z],tbl_Historique_Final[date_modif])=Final_Sans_VGE[[#This Row],[date_modif]],
      "Ancien",
      "Modifié"),
   "Nouveau"))</f>
        <v>#VALUE!</v>
      </c>
      <c r="AD2090" s="1" t="str">
        <f>IFERROR(IF(Final_Sans_VGE[[#This Row],[ppn_z]]="","",IFERROR(
   IF(_xlfn.XLOOKUP(Final_Sans_VGE[[#This Row],[ppn_z]],tbl_Historique_Final[[#This Row],[ppn_z]],tbl_Historique_Final[[#This Row],[date_modif]])=Final_Sans_VGE[[#This Row],[date_modif]],
      "Ancien",
      "Modifié"),
   "Nouveau")),"")</f>
        <v/>
      </c>
    </row>
    <row r="2091" spans="24:30" x14ac:dyDescent="0.25">
      <c r="X2091" s="8" t="e">
        <f>IF(Final_Sans_VGE[[#This Row],[ppn_z]]="","",IFERROR(
   IF(_xlfn.XLOOKUP(Final_Sans_VGE[[#This Row],[ppn_z]],tbl_Historique_Final[ppn_z],tbl_Historique_Final[date_modif])=Final_Sans_VGE[[#This Row],[date_modif]],
      "Ancien",
      "Modifié"),
   "Nouveau"))</f>
        <v>#VALUE!</v>
      </c>
      <c r="AD2091" s="1" t="str">
        <f>IFERROR(IF(Final_Sans_VGE[[#This Row],[ppn_z]]="","",IFERROR(
   IF(_xlfn.XLOOKUP(Final_Sans_VGE[[#This Row],[ppn_z]],tbl_Historique_Final[[#This Row],[ppn_z]],tbl_Historique_Final[[#This Row],[date_modif]])=Final_Sans_VGE[[#This Row],[date_modif]],
      "Ancien",
      "Modifié"),
   "Nouveau")),"")</f>
        <v/>
      </c>
    </row>
    <row r="2092" spans="24:30" x14ac:dyDescent="0.25">
      <c r="X2092" s="8" t="e">
        <f>IF(Final_Sans_VGE[[#This Row],[ppn_z]]="","",IFERROR(
   IF(_xlfn.XLOOKUP(Final_Sans_VGE[[#This Row],[ppn_z]],tbl_Historique_Final[ppn_z],tbl_Historique_Final[date_modif])=Final_Sans_VGE[[#This Row],[date_modif]],
      "Ancien",
      "Modifié"),
   "Nouveau"))</f>
        <v>#VALUE!</v>
      </c>
      <c r="AD2092" s="1" t="str">
        <f>IFERROR(IF(Final_Sans_VGE[[#This Row],[ppn_z]]="","",IFERROR(
   IF(_xlfn.XLOOKUP(Final_Sans_VGE[[#This Row],[ppn_z]],tbl_Historique_Final[[#This Row],[ppn_z]],tbl_Historique_Final[[#This Row],[date_modif]])=Final_Sans_VGE[[#This Row],[date_modif]],
      "Ancien",
      "Modifié"),
   "Nouveau")),"")</f>
        <v/>
      </c>
    </row>
    <row r="2093" spans="24:30" x14ac:dyDescent="0.25">
      <c r="X2093" s="8" t="e">
        <f>IF(Final_Sans_VGE[[#This Row],[ppn_z]]="","",IFERROR(
   IF(_xlfn.XLOOKUP(Final_Sans_VGE[[#This Row],[ppn_z]],tbl_Historique_Final[ppn_z],tbl_Historique_Final[date_modif])=Final_Sans_VGE[[#This Row],[date_modif]],
      "Ancien",
      "Modifié"),
   "Nouveau"))</f>
        <v>#VALUE!</v>
      </c>
      <c r="AD2093" s="1" t="str">
        <f>IFERROR(IF(Final_Sans_VGE[[#This Row],[ppn_z]]="","",IFERROR(
   IF(_xlfn.XLOOKUP(Final_Sans_VGE[[#This Row],[ppn_z]],tbl_Historique_Final[[#This Row],[ppn_z]],tbl_Historique_Final[[#This Row],[date_modif]])=Final_Sans_VGE[[#This Row],[date_modif]],
      "Ancien",
      "Modifié"),
   "Nouveau")),"")</f>
        <v/>
      </c>
    </row>
    <row r="2094" spans="24:30" x14ac:dyDescent="0.25">
      <c r="X2094" s="8" t="e">
        <f>IF(Final_Sans_VGE[[#This Row],[ppn_z]]="","",IFERROR(
   IF(_xlfn.XLOOKUP(Final_Sans_VGE[[#This Row],[ppn_z]],tbl_Historique_Final[ppn_z],tbl_Historique_Final[date_modif])=Final_Sans_VGE[[#This Row],[date_modif]],
      "Ancien",
      "Modifié"),
   "Nouveau"))</f>
        <v>#VALUE!</v>
      </c>
      <c r="AD2094" s="1" t="str">
        <f>IFERROR(IF(Final_Sans_VGE[[#This Row],[ppn_z]]="","",IFERROR(
   IF(_xlfn.XLOOKUP(Final_Sans_VGE[[#This Row],[ppn_z]],tbl_Historique_Final[[#This Row],[ppn_z]],tbl_Historique_Final[[#This Row],[date_modif]])=Final_Sans_VGE[[#This Row],[date_modif]],
      "Ancien",
      "Modifié"),
   "Nouveau")),"")</f>
        <v/>
      </c>
    </row>
    <row r="2095" spans="24:30" x14ac:dyDescent="0.25">
      <c r="X2095" s="8" t="e">
        <f>IF(Final_Sans_VGE[[#This Row],[ppn_z]]="","",IFERROR(
   IF(_xlfn.XLOOKUP(Final_Sans_VGE[[#This Row],[ppn_z]],tbl_Historique_Final[ppn_z],tbl_Historique_Final[date_modif])=Final_Sans_VGE[[#This Row],[date_modif]],
      "Ancien",
      "Modifié"),
   "Nouveau"))</f>
        <v>#VALUE!</v>
      </c>
      <c r="AD2095" s="1" t="str">
        <f>IFERROR(IF(Final_Sans_VGE[[#This Row],[ppn_z]]="","",IFERROR(
   IF(_xlfn.XLOOKUP(Final_Sans_VGE[[#This Row],[ppn_z]],tbl_Historique_Final[[#This Row],[ppn_z]],tbl_Historique_Final[[#This Row],[date_modif]])=Final_Sans_VGE[[#This Row],[date_modif]],
      "Ancien",
      "Modifié"),
   "Nouveau")),"")</f>
        <v/>
      </c>
    </row>
    <row r="2096" spans="24:30" x14ac:dyDescent="0.25">
      <c r="X2096" s="8" t="e">
        <f>IF(Final_Sans_VGE[[#This Row],[ppn_z]]="","",IFERROR(
   IF(_xlfn.XLOOKUP(Final_Sans_VGE[[#This Row],[ppn_z]],tbl_Historique_Final[ppn_z],tbl_Historique_Final[date_modif])=Final_Sans_VGE[[#This Row],[date_modif]],
      "Ancien",
      "Modifié"),
   "Nouveau"))</f>
        <v>#VALUE!</v>
      </c>
      <c r="AD2096" s="1" t="str">
        <f>IFERROR(IF(Final_Sans_VGE[[#This Row],[ppn_z]]="","",IFERROR(
   IF(_xlfn.XLOOKUP(Final_Sans_VGE[[#This Row],[ppn_z]],tbl_Historique_Final[[#This Row],[ppn_z]],tbl_Historique_Final[[#This Row],[date_modif]])=Final_Sans_VGE[[#This Row],[date_modif]],
      "Ancien",
      "Modifié"),
   "Nouveau")),"")</f>
        <v/>
      </c>
    </row>
    <row r="2097" spans="24:30" x14ac:dyDescent="0.25">
      <c r="X2097" s="8" t="e">
        <f>IF(Final_Sans_VGE[[#This Row],[ppn_z]]="","",IFERROR(
   IF(_xlfn.XLOOKUP(Final_Sans_VGE[[#This Row],[ppn_z]],tbl_Historique_Final[ppn_z],tbl_Historique_Final[date_modif])=Final_Sans_VGE[[#This Row],[date_modif]],
      "Ancien",
      "Modifié"),
   "Nouveau"))</f>
        <v>#VALUE!</v>
      </c>
      <c r="AD2097" s="1" t="str">
        <f>IFERROR(IF(Final_Sans_VGE[[#This Row],[ppn_z]]="","",IFERROR(
   IF(_xlfn.XLOOKUP(Final_Sans_VGE[[#This Row],[ppn_z]],tbl_Historique_Final[[#This Row],[ppn_z]],tbl_Historique_Final[[#This Row],[date_modif]])=Final_Sans_VGE[[#This Row],[date_modif]],
      "Ancien",
      "Modifié"),
   "Nouveau")),"")</f>
        <v/>
      </c>
    </row>
    <row r="2098" spans="24:30" x14ac:dyDescent="0.25">
      <c r="X2098" s="8" t="e">
        <f>IF(Final_Sans_VGE[[#This Row],[ppn_z]]="","",IFERROR(
   IF(_xlfn.XLOOKUP(Final_Sans_VGE[[#This Row],[ppn_z]],tbl_Historique_Final[ppn_z],tbl_Historique_Final[date_modif])=Final_Sans_VGE[[#This Row],[date_modif]],
      "Ancien",
      "Modifié"),
   "Nouveau"))</f>
        <v>#VALUE!</v>
      </c>
      <c r="AD2098" s="1" t="str">
        <f>IFERROR(IF(Final_Sans_VGE[[#This Row],[ppn_z]]="","",IFERROR(
   IF(_xlfn.XLOOKUP(Final_Sans_VGE[[#This Row],[ppn_z]],tbl_Historique_Final[[#This Row],[ppn_z]],tbl_Historique_Final[[#This Row],[date_modif]])=Final_Sans_VGE[[#This Row],[date_modif]],
      "Ancien",
      "Modifié"),
   "Nouveau")),"")</f>
        <v/>
      </c>
    </row>
    <row r="2099" spans="24:30" x14ac:dyDescent="0.25">
      <c r="X2099" s="8" t="e">
        <f>IF(Final_Sans_VGE[[#This Row],[ppn_z]]="","",IFERROR(
   IF(_xlfn.XLOOKUP(Final_Sans_VGE[[#This Row],[ppn_z]],tbl_Historique_Final[ppn_z],tbl_Historique_Final[date_modif])=Final_Sans_VGE[[#This Row],[date_modif]],
      "Ancien",
      "Modifié"),
   "Nouveau"))</f>
        <v>#VALUE!</v>
      </c>
      <c r="AD2099" s="1" t="str">
        <f>IFERROR(IF(Final_Sans_VGE[[#This Row],[ppn_z]]="","",IFERROR(
   IF(_xlfn.XLOOKUP(Final_Sans_VGE[[#This Row],[ppn_z]],tbl_Historique_Final[[#This Row],[ppn_z]],tbl_Historique_Final[[#This Row],[date_modif]])=Final_Sans_VGE[[#This Row],[date_modif]],
      "Ancien",
      "Modifié"),
   "Nouveau")),"")</f>
        <v/>
      </c>
    </row>
    <row r="2100" spans="24:30" x14ac:dyDescent="0.25">
      <c r="X2100" s="8" t="e">
        <f>IF(Final_Sans_VGE[[#This Row],[ppn_z]]="","",IFERROR(
   IF(_xlfn.XLOOKUP(Final_Sans_VGE[[#This Row],[ppn_z]],tbl_Historique_Final[ppn_z],tbl_Historique_Final[date_modif])=Final_Sans_VGE[[#This Row],[date_modif]],
      "Ancien",
      "Modifié"),
   "Nouveau"))</f>
        <v>#VALUE!</v>
      </c>
      <c r="AD2100" s="1" t="str">
        <f>IFERROR(IF(Final_Sans_VGE[[#This Row],[ppn_z]]="","",IFERROR(
   IF(_xlfn.XLOOKUP(Final_Sans_VGE[[#This Row],[ppn_z]],tbl_Historique_Final[[#This Row],[ppn_z]],tbl_Historique_Final[[#This Row],[date_modif]])=Final_Sans_VGE[[#This Row],[date_modif]],
      "Ancien",
      "Modifié"),
   "Nouveau")),"")</f>
        <v/>
      </c>
    </row>
    <row r="2101" spans="24:30" x14ac:dyDescent="0.25">
      <c r="X2101" s="8" t="e">
        <f>IF(Final_Sans_VGE[[#This Row],[ppn_z]]="","",IFERROR(
   IF(_xlfn.XLOOKUP(Final_Sans_VGE[[#This Row],[ppn_z]],tbl_Historique_Final[ppn_z],tbl_Historique_Final[date_modif])=Final_Sans_VGE[[#This Row],[date_modif]],
      "Ancien",
      "Modifié"),
   "Nouveau"))</f>
        <v>#VALUE!</v>
      </c>
      <c r="AD2101" s="1" t="str">
        <f>IFERROR(IF(Final_Sans_VGE[[#This Row],[ppn_z]]="","",IFERROR(
   IF(_xlfn.XLOOKUP(Final_Sans_VGE[[#This Row],[ppn_z]],tbl_Historique_Final[[#This Row],[ppn_z]],tbl_Historique_Final[[#This Row],[date_modif]])=Final_Sans_VGE[[#This Row],[date_modif]],
      "Ancien",
      "Modifié"),
   "Nouveau")),"")</f>
        <v/>
      </c>
    </row>
    <row r="2102" spans="24:30" x14ac:dyDescent="0.25">
      <c r="X2102" s="8" t="e">
        <f>IF(Final_Sans_VGE[[#This Row],[ppn_z]]="","",IFERROR(
   IF(_xlfn.XLOOKUP(Final_Sans_VGE[[#This Row],[ppn_z]],tbl_Historique_Final[ppn_z],tbl_Historique_Final[date_modif])=Final_Sans_VGE[[#This Row],[date_modif]],
      "Ancien",
      "Modifié"),
   "Nouveau"))</f>
        <v>#VALUE!</v>
      </c>
      <c r="AD2102" s="1" t="str">
        <f>IFERROR(IF(Final_Sans_VGE[[#This Row],[ppn_z]]="","",IFERROR(
   IF(_xlfn.XLOOKUP(Final_Sans_VGE[[#This Row],[ppn_z]],tbl_Historique_Final[[#This Row],[ppn_z]],tbl_Historique_Final[[#This Row],[date_modif]])=Final_Sans_VGE[[#This Row],[date_modif]],
      "Ancien",
      "Modifié"),
   "Nouveau")),"")</f>
        <v/>
      </c>
    </row>
    <row r="2103" spans="24:30" x14ac:dyDescent="0.25">
      <c r="X2103" s="8" t="e">
        <f>IF(Final_Sans_VGE[[#This Row],[ppn_z]]="","",IFERROR(
   IF(_xlfn.XLOOKUP(Final_Sans_VGE[[#This Row],[ppn_z]],tbl_Historique_Final[ppn_z],tbl_Historique_Final[date_modif])=Final_Sans_VGE[[#This Row],[date_modif]],
      "Ancien",
      "Modifié"),
   "Nouveau"))</f>
        <v>#VALUE!</v>
      </c>
      <c r="AD2103" s="1" t="str">
        <f>IFERROR(IF(Final_Sans_VGE[[#This Row],[ppn_z]]="","",IFERROR(
   IF(_xlfn.XLOOKUP(Final_Sans_VGE[[#This Row],[ppn_z]],tbl_Historique_Final[[#This Row],[ppn_z]],tbl_Historique_Final[[#This Row],[date_modif]])=Final_Sans_VGE[[#This Row],[date_modif]],
      "Ancien",
      "Modifié"),
   "Nouveau")),"")</f>
        <v/>
      </c>
    </row>
    <row r="2104" spans="24:30" x14ac:dyDescent="0.25">
      <c r="X2104" s="8" t="e">
        <f>IF(Final_Sans_VGE[[#This Row],[ppn_z]]="","",IFERROR(
   IF(_xlfn.XLOOKUP(Final_Sans_VGE[[#This Row],[ppn_z]],tbl_Historique_Final[ppn_z],tbl_Historique_Final[date_modif])=Final_Sans_VGE[[#This Row],[date_modif]],
      "Ancien",
      "Modifié"),
   "Nouveau"))</f>
        <v>#VALUE!</v>
      </c>
      <c r="AD2104" s="1" t="str">
        <f>IFERROR(IF(Final_Sans_VGE[[#This Row],[ppn_z]]="","",IFERROR(
   IF(_xlfn.XLOOKUP(Final_Sans_VGE[[#This Row],[ppn_z]],tbl_Historique_Final[[#This Row],[ppn_z]],tbl_Historique_Final[[#This Row],[date_modif]])=Final_Sans_VGE[[#This Row],[date_modif]],
      "Ancien",
      "Modifié"),
   "Nouveau")),"")</f>
        <v/>
      </c>
    </row>
    <row r="2105" spans="24:30" x14ac:dyDescent="0.25">
      <c r="X2105" s="8" t="e">
        <f>IF(Final_Sans_VGE[[#This Row],[ppn_z]]="","",IFERROR(
   IF(_xlfn.XLOOKUP(Final_Sans_VGE[[#This Row],[ppn_z]],tbl_Historique_Final[ppn_z],tbl_Historique_Final[date_modif])=Final_Sans_VGE[[#This Row],[date_modif]],
      "Ancien",
      "Modifié"),
   "Nouveau"))</f>
        <v>#VALUE!</v>
      </c>
      <c r="AD2105" s="1" t="str">
        <f>IFERROR(IF(Final_Sans_VGE[[#This Row],[ppn_z]]="","",IFERROR(
   IF(_xlfn.XLOOKUP(Final_Sans_VGE[[#This Row],[ppn_z]],tbl_Historique_Final[[#This Row],[ppn_z]],tbl_Historique_Final[[#This Row],[date_modif]])=Final_Sans_VGE[[#This Row],[date_modif]],
      "Ancien",
      "Modifié"),
   "Nouveau")),"")</f>
        <v/>
      </c>
    </row>
    <row r="2106" spans="24:30" x14ac:dyDescent="0.25">
      <c r="X2106" s="8" t="e">
        <f>IF(Final_Sans_VGE[[#This Row],[ppn_z]]="","",IFERROR(
   IF(_xlfn.XLOOKUP(Final_Sans_VGE[[#This Row],[ppn_z]],tbl_Historique_Final[ppn_z],tbl_Historique_Final[date_modif])=Final_Sans_VGE[[#This Row],[date_modif]],
      "Ancien",
      "Modifié"),
   "Nouveau"))</f>
        <v>#VALUE!</v>
      </c>
      <c r="AD2106" s="1" t="str">
        <f>IFERROR(IF(Final_Sans_VGE[[#This Row],[ppn_z]]="","",IFERROR(
   IF(_xlfn.XLOOKUP(Final_Sans_VGE[[#This Row],[ppn_z]],tbl_Historique_Final[[#This Row],[ppn_z]],tbl_Historique_Final[[#This Row],[date_modif]])=Final_Sans_VGE[[#This Row],[date_modif]],
      "Ancien",
      "Modifié"),
   "Nouveau")),"")</f>
        <v/>
      </c>
    </row>
    <row r="2107" spans="24:30" x14ac:dyDescent="0.25">
      <c r="X2107" s="8" t="e">
        <f>IF(Final_Sans_VGE[[#This Row],[ppn_z]]="","",IFERROR(
   IF(_xlfn.XLOOKUP(Final_Sans_VGE[[#This Row],[ppn_z]],tbl_Historique_Final[ppn_z],tbl_Historique_Final[date_modif])=Final_Sans_VGE[[#This Row],[date_modif]],
      "Ancien",
      "Modifié"),
   "Nouveau"))</f>
        <v>#VALUE!</v>
      </c>
      <c r="AD2107" s="1" t="str">
        <f>IFERROR(IF(Final_Sans_VGE[[#This Row],[ppn_z]]="","",IFERROR(
   IF(_xlfn.XLOOKUP(Final_Sans_VGE[[#This Row],[ppn_z]],tbl_Historique_Final[[#This Row],[ppn_z]],tbl_Historique_Final[[#This Row],[date_modif]])=Final_Sans_VGE[[#This Row],[date_modif]],
      "Ancien",
      "Modifié"),
   "Nouveau")),"")</f>
        <v/>
      </c>
    </row>
    <row r="2108" spans="24:30" x14ac:dyDescent="0.25">
      <c r="X2108" s="8" t="e">
        <f>IF(Final_Sans_VGE[[#This Row],[ppn_z]]="","",IFERROR(
   IF(_xlfn.XLOOKUP(Final_Sans_VGE[[#This Row],[ppn_z]],tbl_Historique_Final[ppn_z],tbl_Historique_Final[date_modif])=Final_Sans_VGE[[#This Row],[date_modif]],
      "Ancien",
      "Modifié"),
   "Nouveau"))</f>
        <v>#VALUE!</v>
      </c>
      <c r="AD2108" s="1" t="str">
        <f>IFERROR(IF(Final_Sans_VGE[[#This Row],[ppn_z]]="","",IFERROR(
   IF(_xlfn.XLOOKUP(Final_Sans_VGE[[#This Row],[ppn_z]],tbl_Historique_Final[[#This Row],[ppn_z]],tbl_Historique_Final[[#This Row],[date_modif]])=Final_Sans_VGE[[#This Row],[date_modif]],
      "Ancien",
      "Modifié"),
   "Nouveau")),"")</f>
        <v/>
      </c>
    </row>
    <row r="2109" spans="24:30" x14ac:dyDescent="0.25">
      <c r="X2109" s="8" t="e">
        <f>IF(Final_Sans_VGE[[#This Row],[ppn_z]]="","",IFERROR(
   IF(_xlfn.XLOOKUP(Final_Sans_VGE[[#This Row],[ppn_z]],tbl_Historique_Final[ppn_z],tbl_Historique_Final[date_modif])=Final_Sans_VGE[[#This Row],[date_modif]],
      "Ancien",
      "Modifié"),
   "Nouveau"))</f>
        <v>#VALUE!</v>
      </c>
      <c r="AD2109" s="1" t="str">
        <f>IFERROR(IF(Final_Sans_VGE[[#This Row],[ppn_z]]="","",IFERROR(
   IF(_xlfn.XLOOKUP(Final_Sans_VGE[[#This Row],[ppn_z]],tbl_Historique_Final[[#This Row],[ppn_z]],tbl_Historique_Final[[#This Row],[date_modif]])=Final_Sans_VGE[[#This Row],[date_modif]],
      "Ancien",
      "Modifié"),
   "Nouveau")),"")</f>
        <v/>
      </c>
    </row>
    <row r="2110" spans="24:30" x14ac:dyDescent="0.25">
      <c r="X2110" s="8" t="e">
        <f>IF(Final_Sans_VGE[[#This Row],[ppn_z]]="","",IFERROR(
   IF(_xlfn.XLOOKUP(Final_Sans_VGE[[#This Row],[ppn_z]],tbl_Historique_Final[ppn_z],tbl_Historique_Final[date_modif])=Final_Sans_VGE[[#This Row],[date_modif]],
      "Ancien",
      "Modifié"),
   "Nouveau"))</f>
        <v>#VALUE!</v>
      </c>
      <c r="AD2110" s="1" t="str">
        <f>IFERROR(IF(Final_Sans_VGE[[#This Row],[ppn_z]]="","",IFERROR(
   IF(_xlfn.XLOOKUP(Final_Sans_VGE[[#This Row],[ppn_z]],tbl_Historique_Final[[#This Row],[ppn_z]],tbl_Historique_Final[[#This Row],[date_modif]])=Final_Sans_VGE[[#This Row],[date_modif]],
      "Ancien",
      "Modifié"),
   "Nouveau")),"")</f>
        <v/>
      </c>
    </row>
    <row r="2111" spans="24:30" x14ac:dyDescent="0.25">
      <c r="X2111" s="8" t="e">
        <f>IF(Final_Sans_VGE[[#This Row],[ppn_z]]="","",IFERROR(
   IF(_xlfn.XLOOKUP(Final_Sans_VGE[[#This Row],[ppn_z]],tbl_Historique_Final[ppn_z],tbl_Historique_Final[date_modif])=Final_Sans_VGE[[#This Row],[date_modif]],
      "Ancien",
      "Modifié"),
   "Nouveau"))</f>
        <v>#VALUE!</v>
      </c>
      <c r="AD2111" s="1" t="str">
        <f>IFERROR(IF(Final_Sans_VGE[[#This Row],[ppn_z]]="","",IFERROR(
   IF(_xlfn.XLOOKUP(Final_Sans_VGE[[#This Row],[ppn_z]],tbl_Historique_Final[[#This Row],[ppn_z]],tbl_Historique_Final[[#This Row],[date_modif]])=Final_Sans_VGE[[#This Row],[date_modif]],
      "Ancien",
      "Modifié"),
   "Nouveau")),"")</f>
        <v/>
      </c>
    </row>
    <row r="2112" spans="24:30" x14ac:dyDescent="0.25">
      <c r="X2112" s="8" t="e">
        <f>IF(Final_Sans_VGE[[#This Row],[ppn_z]]="","",IFERROR(
   IF(_xlfn.XLOOKUP(Final_Sans_VGE[[#This Row],[ppn_z]],tbl_Historique_Final[ppn_z],tbl_Historique_Final[date_modif])=Final_Sans_VGE[[#This Row],[date_modif]],
      "Ancien",
      "Modifié"),
   "Nouveau"))</f>
        <v>#VALUE!</v>
      </c>
      <c r="AD2112" s="1" t="str">
        <f>IFERROR(IF(Final_Sans_VGE[[#This Row],[ppn_z]]="","",IFERROR(
   IF(_xlfn.XLOOKUP(Final_Sans_VGE[[#This Row],[ppn_z]],tbl_Historique_Final[[#This Row],[ppn_z]],tbl_Historique_Final[[#This Row],[date_modif]])=Final_Sans_VGE[[#This Row],[date_modif]],
      "Ancien",
      "Modifié"),
   "Nouveau")),"")</f>
        <v/>
      </c>
    </row>
    <row r="2113" spans="24:30" x14ac:dyDescent="0.25">
      <c r="X2113" s="8" t="e">
        <f>IF(Final_Sans_VGE[[#This Row],[ppn_z]]="","",IFERROR(
   IF(_xlfn.XLOOKUP(Final_Sans_VGE[[#This Row],[ppn_z]],tbl_Historique_Final[ppn_z],tbl_Historique_Final[date_modif])=Final_Sans_VGE[[#This Row],[date_modif]],
      "Ancien",
      "Modifié"),
   "Nouveau"))</f>
        <v>#VALUE!</v>
      </c>
      <c r="AD2113" s="1" t="str">
        <f>IFERROR(IF(Final_Sans_VGE[[#This Row],[ppn_z]]="","",IFERROR(
   IF(_xlfn.XLOOKUP(Final_Sans_VGE[[#This Row],[ppn_z]],tbl_Historique_Final[[#This Row],[ppn_z]],tbl_Historique_Final[[#This Row],[date_modif]])=Final_Sans_VGE[[#This Row],[date_modif]],
      "Ancien",
      "Modifié"),
   "Nouveau")),"")</f>
        <v/>
      </c>
    </row>
    <row r="2114" spans="24:30" x14ac:dyDescent="0.25">
      <c r="X2114" s="8" t="e">
        <f>IF(Final_Sans_VGE[[#This Row],[ppn_z]]="","",IFERROR(
   IF(_xlfn.XLOOKUP(Final_Sans_VGE[[#This Row],[ppn_z]],tbl_Historique_Final[ppn_z],tbl_Historique_Final[date_modif])=Final_Sans_VGE[[#This Row],[date_modif]],
      "Ancien",
      "Modifié"),
   "Nouveau"))</f>
        <v>#VALUE!</v>
      </c>
      <c r="AD2114" s="1" t="str">
        <f>IFERROR(IF(Final_Sans_VGE[[#This Row],[ppn_z]]="","",IFERROR(
   IF(_xlfn.XLOOKUP(Final_Sans_VGE[[#This Row],[ppn_z]],tbl_Historique_Final[[#This Row],[ppn_z]],tbl_Historique_Final[[#This Row],[date_modif]])=Final_Sans_VGE[[#This Row],[date_modif]],
      "Ancien",
      "Modifié"),
   "Nouveau")),"")</f>
        <v/>
      </c>
    </row>
    <row r="2115" spans="24:30" x14ac:dyDescent="0.25">
      <c r="X2115" s="8" t="e">
        <f>IF(Final_Sans_VGE[[#This Row],[ppn_z]]="","",IFERROR(
   IF(_xlfn.XLOOKUP(Final_Sans_VGE[[#This Row],[ppn_z]],tbl_Historique_Final[ppn_z],tbl_Historique_Final[date_modif])=Final_Sans_VGE[[#This Row],[date_modif]],
      "Ancien",
      "Modifié"),
   "Nouveau"))</f>
        <v>#VALUE!</v>
      </c>
      <c r="AD2115" s="1" t="str">
        <f>IFERROR(IF(Final_Sans_VGE[[#This Row],[ppn_z]]="","",IFERROR(
   IF(_xlfn.XLOOKUP(Final_Sans_VGE[[#This Row],[ppn_z]],tbl_Historique_Final[[#This Row],[ppn_z]],tbl_Historique_Final[[#This Row],[date_modif]])=Final_Sans_VGE[[#This Row],[date_modif]],
      "Ancien",
      "Modifié"),
   "Nouveau")),"")</f>
        <v/>
      </c>
    </row>
    <row r="2116" spans="24:30" x14ac:dyDescent="0.25">
      <c r="X2116" s="8" t="e">
        <f>IF(Final_Sans_VGE[[#This Row],[ppn_z]]="","",IFERROR(
   IF(_xlfn.XLOOKUP(Final_Sans_VGE[[#This Row],[ppn_z]],tbl_Historique_Final[ppn_z],tbl_Historique_Final[date_modif])=Final_Sans_VGE[[#This Row],[date_modif]],
      "Ancien",
      "Modifié"),
   "Nouveau"))</f>
        <v>#VALUE!</v>
      </c>
      <c r="AD2116" s="1" t="str">
        <f>IFERROR(IF(Final_Sans_VGE[[#This Row],[ppn_z]]="","",IFERROR(
   IF(_xlfn.XLOOKUP(Final_Sans_VGE[[#This Row],[ppn_z]],tbl_Historique_Final[[#This Row],[ppn_z]],tbl_Historique_Final[[#This Row],[date_modif]])=Final_Sans_VGE[[#This Row],[date_modif]],
      "Ancien",
      "Modifié"),
   "Nouveau")),"")</f>
        <v/>
      </c>
    </row>
    <row r="2117" spans="24:30" x14ac:dyDescent="0.25">
      <c r="X2117" s="8" t="e">
        <f>IF(Final_Sans_VGE[[#This Row],[ppn_z]]="","",IFERROR(
   IF(_xlfn.XLOOKUP(Final_Sans_VGE[[#This Row],[ppn_z]],tbl_Historique_Final[ppn_z],tbl_Historique_Final[date_modif])=Final_Sans_VGE[[#This Row],[date_modif]],
      "Ancien",
      "Modifié"),
   "Nouveau"))</f>
        <v>#VALUE!</v>
      </c>
      <c r="AD2117" s="1" t="str">
        <f>IFERROR(IF(Final_Sans_VGE[[#This Row],[ppn_z]]="","",IFERROR(
   IF(_xlfn.XLOOKUP(Final_Sans_VGE[[#This Row],[ppn_z]],tbl_Historique_Final[[#This Row],[ppn_z]],tbl_Historique_Final[[#This Row],[date_modif]])=Final_Sans_VGE[[#This Row],[date_modif]],
      "Ancien",
      "Modifié"),
   "Nouveau")),"")</f>
        <v/>
      </c>
    </row>
    <row r="2118" spans="24:30" x14ac:dyDescent="0.25">
      <c r="X2118" s="8" t="e">
        <f>IF(Final_Sans_VGE[[#This Row],[ppn_z]]="","",IFERROR(
   IF(_xlfn.XLOOKUP(Final_Sans_VGE[[#This Row],[ppn_z]],tbl_Historique_Final[ppn_z],tbl_Historique_Final[date_modif])=Final_Sans_VGE[[#This Row],[date_modif]],
      "Ancien",
      "Modifié"),
   "Nouveau"))</f>
        <v>#VALUE!</v>
      </c>
      <c r="AD2118" s="1" t="str">
        <f>IFERROR(IF(Final_Sans_VGE[[#This Row],[ppn_z]]="","",IFERROR(
   IF(_xlfn.XLOOKUP(Final_Sans_VGE[[#This Row],[ppn_z]],tbl_Historique_Final[[#This Row],[ppn_z]],tbl_Historique_Final[[#This Row],[date_modif]])=Final_Sans_VGE[[#This Row],[date_modif]],
      "Ancien",
      "Modifié"),
   "Nouveau")),"")</f>
        <v/>
      </c>
    </row>
    <row r="2119" spans="24:30" x14ac:dyDescent="0.25">
      <c r="X2119" s="8" t="e">
        <f>IF(Final_Sans_VGE[[#This Row],[ppn_z]]="","",IFERROR(
   IF(_xlfn.XLOOKUP(Final_Sans_VGE[[#This Row],[ppn_z]],tbl_Historique_Final[ppn_z],tbl_Historique_Final[date_modif])=Final_Sans_VGE[[#This Row],[date_modif]],
      "Ancien",
      "Modifié"),
   "Nouveau"))</f>
        <v>#VALUE!</v>
      </c>
      <c r="AD2119" s="1" t="str">
        <f>IFERROR(IF(Final_Sans_VGE[[#This Row],[ppn_z]]="","",IFERROR(
   IF(_xlfn.XLOOKUP(Final_Sans_VGE[[#This Row],[ppn_z]],tbl_Historique_Final[[#This Row],[ppn_z]],tbl_Historique_Final[[#This Row],[date_modif]])=Final_Sans_VGE[[#This Row],[date_modif]],
      "Ancien",
      "Modifié"),
   "Nouveau")),"")</f>
        <v/>
      </c>
    </row>
    <row r="2120" spans="24:30" x14ac:dyDescent="0.25">
      <c r="X2120" s="8" t="e">
        <f>IF(Final_Sans_VGE[[#This Row],[ppn_z]]="","",IFERROR(
   IF(_xlfn.XLOOKUP(Final_Sans_VGE[[#This Row],[ppn_z]],tbl_Historique_Final[ppn_z],tbl_Historique_Final[date_modif])=Final_Sans_VGE[[#This Row],[date_modif]],
      "Ancien",
      "Modifié"),
   "Nouveau"))</f>
        <v>#VALUE!</v>
      </c>
      <c r="AD2120" s="1" t="str">
        <f>IFERROR(IF(Final_Sans_VGE[[#This Row],[ppn_z]]="","",IFERROR(
   IF(_xlfn.XLOOKUP(Final_Sans_VGE[[#This Row],[ppn_z]],tbl_Historique_Final[[#This Row],[ppn_z]],tbl_Historique_Final[[#This Row],[date_modif]])=Final_Sans_VGE[[#This Row],[date_modif]],
      "Ancien",
      "Modifié"),
   "Nouveau")),"")</f>
        <v/>
      </c>
    </row>
    <row r="2121" spans="24:30" x14ac:dyDescent="0.25">
      <c r="X2121" s="8" t="e">
        <f>IF(Final_Sans_VGE[[#This Row],[ppn_z]]="","",IFERROR(
   IF(_xlfn.XLOOKUP(Final_Sans_VGE[[#This Row],[ppn_z]],tbl_Historique_Final[ppn_z],tbl_Historique_Final[date_modif])=Final_Sans_VGE[[#This Row],[date_modif]],
      "Ancien",
      "Modifié"),
   "Nouveau"))</f>
        <v>#VALUE!</v>
      </c>
      <c r="AD2121" s="1" t="str">
        <f>IFERROR(IF(Final_Sans_VGE[[#This Row],[ppn_z]]="","",IFERROR(
   IF(_xlfn.XLOOKUP(Final_Sans_VGE[[#This Row],[ppn_z]],tbl_Historique_Final[[#This Row],[ppn_z]],tbl_Historique_Final[[#This Row],[date_modif]])=Final_Sans_VGE[[#This Row],[date_modif]],
      "Ancien",
      "Modifié"),
   "Nouveau")),"")</f>
        <v/>
      </c>
    </row>
    <row r="2122" spans="24:30" x14ac:dyDescent="0.25">
      <c r="X2122" s="8" t="e">
        <f>IF(Final_Sans_VGE[[#This Row],[ppn_z]]="","",IFERROR(
   IF(_xlfn.XLOOKUP(Final_Sans_VGE[[#This Row],[ppn_z]],tbl_Historique_Final[ppn_z],tbl_Historique_Final[date_modif])=Final_Sans_VGE[[#This Row],[date_modif]],
      "Ancien",
      "Modifié"),
   "Nouveau"))</f>
        <v>#VALUE!</v>
      </c>
      <c r="AD2122" s="1" t="str">
        <f>IFERROR(IF(Final_Sans_VGE[[#This Row],[ppn_z]]="","",IFERROR(
   IF(_xlfn.XLOOKUP(Final_Sans_VGE[[#This Row],[ppn_z]],tbl_Historique_Final[[#This Row],[ppn_z]],tbl_Historique_Final[[#This Row],[date_modif]])=Final_Sans_VGE[[#This Row],[date_modif]],
      "Ancien",
      "Modifié"),
   "Nouveau")),"")</f>
        <v/>
      </c>
    </row>
    <row r="2123" spans="24:30" x14ac:dyDescent="0.25">
      <c r="X2123" s="8" t="e">
        <f>IF(Final_Sans_VGE[[#This Row],[ppn_z]]="","",IFERROR(
   IF(_xlfn.XLOOKUP(Final_Sans_VGE[[#This Row],[ppn_z]],tbl_Historique_Final[ppn_z],tbl_Historique_Final[date_modif])=Final_Sans_VGE[[#This Row],[date_modif]],
      "Ancien",
      "Modifié"),
   "Nouveau"))</f>
        <v>#VALUE!</v>
      </c>
      <c r="AD2123" s="1" t="str">
        <f>IFERROR(IF(Final_Sans_VGE[[#This Row],[ppn_z]]="","",IFERROR(
   IF(_xlfn.XLOOKUP(Final_Sans_VGE[[#This Row],[ppn_z]],tbl_Historique_Final[[#This Row],[ppn_z]],tbl_Historique_Final[[#This Row],[date_modif]])=Final_Sans_VGE[[#This Row],[date_modif]],
      "Ancien",
      "Modifié"),
   "Nouveau")),"")</f>
        <v/>
      </c>
    </row>
    <row r="2124" spans="24:30" x14ac:dyDescent="0.25">
      <c r="X2124" s="8" t="e">
        <f>IF(Final_Sans_VGE[[#This Row],[ppn_z]]="","",IFERROR(
   IF(_xlfn.XLOOKUP(Final_Sans_VGE[[#This Row],[ppn_z]],tbl_Historique_Final[ppn_z],tbl_Historique_Final[date_modif])=Final_Sans_VGE[[#This Row],[date_modif]],
      "Ancien",
      "Modifié"),
   "Nouveau"))</f>
        <v>#VALUE!</v>
      </c>
      <c r="AD2124" s="1" t="str">
        <f>IFERROR(IF(Final_Sans_VGE[[#This Row],[ppn_z]]="","",IFERROR(
   IF(_xlfn.XLOOKUP(Final_Sans_VGE[[#This Row],[ppn_z]],tbl_Historique_Final[[#This Row],[ppn_z]],tbl_Historique_Final[[#This Row],[date_modif]])=Final_Sans_VGE[[#This Row],[date_modif]],
      "Ancien",
      "Modifié"),
   "Nouveau")),"")</f>
        <v/>
      </c>
    </row>
    <row r="2125" spans="24:30" x14ac:dyDescent="0.25">
      <c r="X2125" s="8" t="e">
        <f>IF(Final_Sans_VGE[[#This Row],[ppn_z]]="","",IFERROR(
   IF(_xlfn.XLOOKUP(Final_Sans_VGE[[#This Row],[ppn_z]],tbl_Historique_Final[ppn_z],tbl_Historique_Final[date_modif])=Final_Sans_VGE[[#This Row],[date_modif]],
      "Ancien",
      "Modifié"),
   "Nouveau"))</f>
        <v>#VALUE!</v>
      </c>
      <c r="AD2125" s="1" t="str">
        <f>IFERROR(IF(Final_Sans_VGE[[#This Row],[ppn_z]]="","",IFERROR(
   IF(_xlfn.XLOOKUP(Final_Sans_VGE[[#This Row],[ppn_z]],tbl_Historique_Final[[#This Row],[ppn_z]],tbl_Historique_Final[[#This Row],[date_modif]])=Final_Sans_VGE[[#This Row],[date_modif]],
      "Ancien",
      "Modifié"),
   "Nouveau")),"")</f>
        <v/>
      </c>
    </row>
    <row r="2126" spans="24:30" x14ac:dyDescent="0.25">
      <c r="X2126" s="8" t="e">
        <f>IF(Final_Sans_VGE[[#This Row],[ppn_z]]="","",IFERROR(
   IF(_xlfn.XLOOKUP(Final_Sans_VGE[[#This Row],[ppn_z]],tbl_Historique_Final[ppn_z],tbl_Historique_Final[date_modif])=Final_Sans_VGE[[#This Row],[date_modif]],
      "Ancien",
      "Modifié"),
   "Nouveau"))</f>
        <v>#VALUE!</v>
      </c>
      <c r="AD2126" s="1" t="str">
        <f>IFERROR(IF(Final_Sans_VGE[[#This Row],[ppn_z]]="","",IFERROR(
   IF(_xlfn.XLOOKUP(Final_Sans_VGE[[#This Row],[ppn_z]],tbl_Historique_Final[[#This Row],[ppn_z]],tbl_Historique_Final[[#This Row],[date_modif]])=Final_Sans_VGE[[#This Row],[date_modif]],
      "Ancien",
      "Modifié"),
   "Nouveau")),"")</f>
        <v/>
      </c>
    </row>
    <row r="2127" spans="24:30" x14ac:dyDescent="0.25">
      <c r="X2127" s="8" t="e">
        <f>IF(Final_Sans_VGE[[#This Row],[ppn_z]]="","",IFERROR(
   IF(_xlfn.XLOOKUP(Final_Sans_VGE[[#This Row],[ppn_z]],tbl_Historique_Final[ppn_z],tbl_Historique_Final[date_modif])=Final_Sans_VGE[[#This Row],[date_modif]],
      "Ancien",
      "Modifié"),
   "Nouveau"))</f>
        <v>#VALUE!</v>
      </c>
      <c r="AD2127" s="1" t="str">
        <f>IFERROR(IF(Final_Sans_VGE[[#This Row],[ppn_z]]="","",IFERROR(
   IF(_xlfn.XLOOKUP(Final_Sans_VGE[[#This Row],[ppn_z]],tbl_Historique_Final[[#This Row],[ppn_z]],tbl_Historique_Final[[#This Row],[date_modif]])=Final_Sans_VGE[[#This Row],[date_modif]],
      "Ancien",
      "Modifié"),
   "Nouveau")),"")</f>
        <v/>
      </c>
    </row>
    <row r="2128" spans="24:30" x14ac:dyDescent="0.25">
      <c r="X2128" s="8" t="e">
        <f>IF(Final_Sans_VGE[[#This Row],[ppn_z]]="","",IFERROR(
   IF(_xlfn.XLOOKUP(Final_Sans_VGE[[#This Row],[ppn_z]],tbl_Historique_Final[ppn_z],tbl_Historique_Final[date_modif])=Final_Sans_VGE[[#This Row],[date_modif]],
      "Ancien",
      "Modifié"),
   "Nouveau"))</f>
        <v>#VALUE!</v>
      </c>
      <c r="AD2128" s="1" t="str">
        <f>IFERROR(IF(Final_Sans_VGE[[#This Row],[ppn_z]]="","",IFERROR(
   IF(_xlfn.XLOOKUP(Final_Sans_VGE[[#This Row],[ppn_z]],tbl_Historique_Final[[#This Row],[ppn_z]],tbl_Historique_Final[[#This Row],[date_modif]])=Final_Sans_VGE[[#This Row],[date_modif]],
      "Ancien",
      "Modifié"),
   "Nouveau")),"")</f>
        <v/>
      </c>
    </row>
    <row r="2129" spans="24:30" x14ac:dyDescent="0.25">
      <c r="X2129" s="8" t="e">
        <f>IF(Final_Sans_VGE[[#This Row],[ppn_z]]="","",IFERROR(
   IF(_xlfn.XLOOKUP(Final_Sans_VGE[[#This Row],[ppn_z]],tbl_Historique_Final[ppn_z],tbl_Historique_Final[date_modif])=Final_Sans_VGE[[#This Row],[date_modif]],
      "Ancien",
      "Modifié"),
   "Nouveau"))</f>
        <v>#VALUE!</v>
      </c>
      <c r="AD2129" s="1" t="str">
        <f>IFERROR(IF(Final_Sans_VGE[[#This Row],[ppn_z]]="","",IFERROR(
   IF(_xlfn.XLOOKUP(Final_Sans_VGE[[#This Row],[ppn_z]],tbl_Historique_Final[[#This Row],[ppn_z]],tbl_Historique_Final[[#This Row],[date_modif]])=Final_Sans_VGE[[#This Row],[date_modif]],
      "Ancien",
      "Modifié"),
   "Nouveau")),"")</f>
        <v/>
      </c>
    </row>
    <row r="2130" spans="24:30" x14ac:dyDescent="0.25">
      <c r="X2130" s="8" t="e">
        <f>IF(Final_Sans_VGE[[#This Row],[ppn_z]]="","",IFERROR(
   IF(_xlfn.XLOOKUP(Final_Sans_VGE[[#This Row],[ppn_z]],tbl_Historique_Final[ppn_z],tbl_Historique_Final[date_modif])=Final_Sans_VGE[[#This Row],[date_modif]],
      "Ancien",
      "Modifié"),
   "Nouveau"))</f>
        <v>#VALUE!</v>
      </c>
      <c r="AD2130" s="1" t="str">
        <f>IFERROR(IF(Final_Sans_VGE[[#This Row],[ppn_z]]="","",IFERROR(
   IF(_xlfn.XLOOKUP(Final_Sans_VGE[[#This Row],[ppn_z]],tbl_Historique_Final[[#This Row],[ppn_z]],tbl_Historique_Final[[#This Row],[date_modif]])=Final_Sans_VGE[[#This Row],[date_modif]],
      "Ancien",
      "Modifié"),
   "Nouveau")),"")</f>
        <v/>
      </c>
    </row>
    <row r="2131" spans="24:30" x14ac:dyDescent="0.25">
      <c r="X2131" s="8" t="e">
        <f>IF(Final_Sans_VGE[[#This Row],[ppn_z]]="","",IFERROR(
   IF(_xlfn.XLOOKUP(Final_Sans_VGE[[#This Row],[ppn_z]],tbl_Historique_Final[ppn_z],tbl_Historique_Final[date_modif])=Final_Sans_VGE[[#This Row],[date_modif]],
      "Ancien",
      "Modifié"),
   "Nouveau"))</f>
        <v>#VALUE!</v>
      </c>
      <c r="AD2131" s="1" t="str">
        <f>IFERROR(IF(Final_Sans_VGE[[#This Row],[ppn_z]]="","",IFERROR(
   IF(_xlfn.XLOOKUP(Final_Sans_VGE[[#This Row],[ppn_z]],tbl_Historique_Final[[#This Row],[ppn_z]],tbl_Historique_Final[[#This Row],[date_modif]])=Final_Sans_VGE[[#This Row],[date_modif]],
      "Ancien",
      "Modifié"),
   "Nouveau")),"")</f>
        <v/>
      </c>
    </row>
    <row r="2132" spans="24:30" x14ac:dyDescent="0.25">
      <c r="X2132" s="8" t="e">
        <f>IF(Final_Sans_VGE[[#This Row],[ppn_z]]="","",IFERROR(
   IF(_xlfn.XLOOKUP(Final_Sans_VGE[[#This Row],[ppn_z]],tbl_Historique_Final[ppn_z],tbl_Historique_Final[date_modif])=Final_Sans_VGE[[#This Row],[date_modif]],
      "Ancien",
      "Modifié"),
   "Nouveau"))</f>
        <v>#VALUE!</v>
      </c>
      <c r="AD2132" s="1" t="str">
        <f>IFERROR(IF(Final_Sans_VGE[[#This Row],[ppn_z]]="","",IFERROR(
   IF(_xlfn.XLOOKUP(Final_Sans_VGE[[#This Row],[ppn_z]],tbl_Historique_Final[[#This Row],[ppn_z]],tbl_Historique_Final[[#This Row],[date_modif]])=Final_Sans_VGE[[#This Row],[date_modif]],
      "Ancien",
      "Modifié"),
   "Nouveau")),"")</f>
        <v/>
      </c>
    </row>
    <row r="2133" spans="24:30" x14ac:dyDescent="0.25">
      <c r="X2133" s="8" t="e">
        <f>IF(Final_Sans_VGE[[#This Row],[ppn_z]]="","",IFERROR(
   IF(_xlfn.XLOOKUP(Final_Sans_VGE[[#This Row],[ppn_z]],tbl_Historique_Final[ppn_z],tbl_Historique_Final[date_modif])=Final_Sans_VGE[[#This Row],[date_modif]],
      "Ancien",
      "Modifié"),
   "Nouveau"))</f>
        <v>#VALUE!</v>
      </c>
      <c r="AD2133" s="1" t="str">
        <f>IFERROR(IF(Final_Sans_VGE[[#This Row],[ppn_z]]="","",IFERROR(
   IF(_xlfn.XLOOKUP(Final_Sans_VGE[[#This Row],[ppn_z]],tbl_Historique_Final[[#This Row],[ppn_z]],tbl_Historique_Final[[#This Row],[date_modif]])=Final_Sans_VGE[[#This Row],[date_modif]],
      "Ancien",
      "Modifié"),
   "Nouveau")),"")</f>
        <v/>
      </c>
    </row>
    <row r="2134" spans="24:30" x14ac:dyDescent="0.25">
      <c r="X2134" s="8" t="e">
        <f>IF(Final_Sans_VGE[[#This Row],[ppn_z]]="","",IFERROR(
   IF(_xlfn.XLOOKUP(Final_Sans_VGE[[#This Row],[ppn_z]],tbl_Historique_Final[ppn_z],tbl_Historique_Final[date_modif])=Final_Sans_VGE[[#This Row],[date_modif]],
      "Ancien",
      "Modifié"),
   "Nouveau"))</f>
        <v>#VALUE!</v>
      </c>
      <c r="AD2134" s="1" t="str">
        <f>IFERROR(IF(Final_Sans_VGE[[#This Row],[ppn_z]]="","",IFERROR(
   IF(_xlfn.XLOOKUP(Final_Sans_VGE[[#This Row],[ppn_z]],tbl_Historique_Final[[#This Row],[ppn_z]],tbl_Historique_Final[[#This Row],[date_modif]])=Final_Sans_VGE[[#This Row],[date_modif]],
      "Ancien",
      "Modifié"),
   "Nouveau")),"")</f>
        <v/>
      </c>
    </row>
    <row r="2135" spans="24:30" x14ac:dyDescent="0.25">
      <c r="X2135" s="8" t="e">
        <f>IF(Final_Sans_VGE[[#This Row],[ppn_z]]="","",IFERROR(
   IF(_xlfn.XLOOKUP(Final_Sans_VGE[[#This Row],[ppn_z]],tbl_Historique_Final[ppn_z],tbl_Historique_Final[date_modif])=Final_Sans_VGE[[#This Row],[date_modif]],
      "Ancien",
      "Modifié"),
   "Nouveau"))</f>
        <v>#VALUE!</v>
      </c>
      <c r="AD2135" s="1" t="str">
        <f>IFERROR(IF(Final_Sans_VGE[[#This Row],[ppn_z]]="","",IFERROR(
   IF(_xlfn.XLOOKUP(Final_Sans_VGE[[#This Row],[ppn_z]],tbl_Historique_Final[[#This Row],[ppn_z]],tbl_Historique_Final[[#This Row],[date_modif]])=Final_Sans_VGE[[#This Row],[date_modif]],
      "Ancien",
      "Modifié"),
   "Nouveau")),"")</f>
        <v/>
      </c>
    </row>
    <row r="2136" spans="24:30" x14ac:dyDescent="0.25">
      <c r="X2136" s="8" t="e">
        <f>IF(Final_Sans_VGE[[#This Row],[ppn_z]]="","",IFERROR(
   IF(_xlfn.XLOOKUP(Final_Sans_VGE[[#This Row],[ppn_z]],tbl_Historique_Final[ppn_z],tbl_Historique_Final[date_modif])=Final_Sans_VGE[[#This Row],[date_modif]],
      "Ancien",
      "Modifié"),
   "Nouveau"))</f>
        <v>#VALUE!</v>
      </c>
      <c r="AD2136" s="1" t="str">
        <f>IFERROR(IF(Final_Sans_VGE[[#This Row],[ppn_z]]="","",IFERROR(
   IF(_xlfn.XLOOKUP(Final_Sans_VGE[[#This Row],[ppn_z]],tbl_Historique_Final[[#This Row],[ppn_z]],tbl_Historique_Final[[#This Row],[date_modif]])=Final_Sans_VGE[[#This Row],[date_modif]],
      "Ancien",
      "Modifié"),
   "Nouveau")),"")</f>
        <v/>
      </c>
    </row>
    <row r="2137" spans="24:30" x14ac:dyDescent="0.25">
      <c r="X2137" s="8" t="e">
        <f>IF(Final_Sans_VGE[[#This Row],[ppn_z]]="","",IFERROR(
   IF(_xlfn.XLOOKUP(Final_Sans_VGE[[#This Row],[ppn_z]],tbl_Historique_Final[ppn_z],tbl_Historique_Final[date_modif])=Final_Sans_VGE[[#This Row],[date_modif]],
      "Ancien",
      "Modifié"),
   "Nouveau"))</f>
        <v>#VALUE!</v>
      </c>
      <c r="AD2137" s="1" t="str">
        <f>IFERROR(IF(Final_Sans_VGE[[#This Row],[ppn_z]]="","",IFERROR(
   IF(_xlfn.XLOOKUP(Final_Sans_VGE[[#This Row],[ppn_z]],tbl_Historique_Final[[#This Row],[ppn_z]],tbl_Historique_Final[[#This Row],[date_modif]])=Final_Sans_VGE[[#This Row],[date_modif]],
      "Ancien",
      "Modifié"),
   "Nouveau")),"")</f>
        <v/>
      </c>
    </row>
    <row r="2138" spans="24:30" x14ac:dyDescent="0.25">
      <c r="X2138" s="8" t="e">
        <f>IF(Final_Sans_VGE[[#This Row],[ppn_z]]="","",IFERROR(
   IF(_xlfn.XLOOKUP(Final_Sans_VGE[[#This Row],[ppn_z]],tbl_Historique_Final[ppn_z],tbl_Historique_Final[date_modif])=Final_Sans_VGE[[#This Row],[date_modif]],
      "Ancien",
      "Modifié"),
   "Nouveau"))</f>
        <v>#VALUE!</v>
      </c>
      <c r="AD2138" s="1" t="str">
        <f>IFERROR(IF(Final_Sans_VGE[[#This Row],[ppn_z]]="","",IFERROR(
   IF(_xlfn.XLOOKUP(Final_Sans_VGE[[#This Row],[ppn_z]],tbl_Historique_Final[[#This Row],[ppn_z]],tbl_Historique_Final[[#This Row],[date_modif]])=Final_Sans_VGE[[#This Row],[date_modif]],
      "Ancien",
      "Modifié"),
   "Nouveau")),"")</f>
        <v/>
      </c>
    </row>
    <row r="2139" spans="24:30" x14ac:dyDescent="0.25">
      <c r="X2139" s="8" t="e">
        <f>IF(Final_Sans_VGE[[#This Row],[ppn_z]]="","",IFERROR(
   IF(_xlfn.XLOOKUP(Final_Sans_VGE[[#This Row],[ppn_z]],tbl_Historique_Final[ppn_z],tbl_Historique_Final[date_modif])=Final_Sans_VGE[[#This Row],[date_modif]],
      "Ancien",
      "Modifié"),
   "Nouveau"))</f>
        <v>#VALUE!</v>
      </c>
      <c r="AD2139" s="1" t="str">
        <f>IFERROR(IF(Final_Sans_VGE[[#This Row],[ppn_z]]="","",IFERROR(
   IF(_xlfn.XLOOKUP(Final_Sans_VGE[[#This Row],[ppn_z]],tbl_Historique_Final[[#This Row],[ppn_z]],tbl_Historique_Final[[#This Row],[date_modif]])=Final_Sans_VGE[[#This Row],[date_modif]],
      "Ancien",
      "Modifié"),
   "Nouveau")),"")</f>
        <v/>
      </c>
    </row>
    <row r="2140" spans="24:30" x14ac:dyDescent="0.25">
      <c r="X2140" s="8" t="e">
        <f>IF(Final_Sans_VGE[[#This Row],[ppn_z]]="","",IFERROR(
   IF(_xlfn.XLOOKUP(Final_Sans_VGE[[#This Row],[ppn_z]],tbl_Historique_Final[ppn_z],tbl_Historique_Final[date_modif])=Final_Sans_VGE[[#This Row],[date_modif]],
      "Ancien",
      "Modifié"),
   "Nouveau"))</f>
        <v>#VALUE!</v>
      </c>
      <c r="AD2140" s="1" t="str">
        <f>IFERROR(IF(Final_Sans_VGE[[#This Row],[ppn_z]]="","",IFERROR(
   IF(_xlfn.XLOOKUP(Final_Sans_VGE[[#This Row],[ppn_z]],tbl_Historique_Final[[#This Row],[ppn_z]],tbl_Historique_Final[[#This Row],[date_modif]])=Final_Sans_VGE[[#This Row],[date_modif]],
      "Ancien",
      "Modifié"),
   "Nouveau")),"")</f>
        <v/>
      </c>
    </row>
    <row r="2141" spans="24:30" x14ac:dyDescent="0.25">
      <c r="X2141" s="8" t="e">
        <f>IF(Final_Sans_VGE[[#This Row],[ppn_z]]="","",IFERROR(
   IF(_xlfn.XLOOKUP(Final_Sans_VGE[[#This Row],[ppn_z]],tbl_Historique_Final[ppn_z],tbl_Historique_Final[date_modif])=Final_Sans_VGE[[#This Row],[date_modif]],
      "Ancien",
      "Modifié"),
   "Nouveau"))</f>
        <v>#VALUE!</v>
      </c>
      <c r="AD2141" s="1" t="str">
        <f>IFERROR(IF(Final_Sans_VGE[[#This Row],[ppn_z]]="","",IFERROR(
   IF(_xlfn.XLOOKUP(Final_Sans_VGE[[#This Row],[ppn_z]],tbl_Historique_Final[[#This Row],[ppn_z]],tbl_Historique_Final[[#This Row],[date_modif]])=Final_Sans_VGE[[#This Row],[date_modif]],
      "Ancien",
      "Modifié"),
   "Nouveau")),"")</f>
        <v/>
      </c>
    </row>
    <row r="2142" spans="24:30" x14ac:dyDescent="0.25">
      <c r="X2142" s="8" t="e">
        <f>IF(Final_Sans_VGE[[#This Row],[ppn_z]]="","",IFERROR(
   IF(_xlfn.XLOOKUP(Final_Sans_VGE[[#This Row],[ppn_z]],tbl_Historique_Final[ppn_z],tbl_Historique_Final[date_modif])=Final_Sans_VGE[[#This Row],[date_modif]],
      "Ancien",
      "Modifié"),
   "Nouveau"))</f>
        <v>#VALUE!</v>
      </c>
      <c r="AD2142" s="1" t="str">
        <f>IFERROR(IF(Final_Sans_VGE[[#This Row],[ppn_z]]="","",IFERROR(
   IF(_xlfn.XLOOKUP(Final_Sans_VGE[[#This Row],[ppn_z]],tbl_Historique_Final[[#This Row],[ppn_z]],tbl_Historique_Final[[#This Row],[date_modif]])=Final_Sans_VGE[[#This Row],[date_modif]],
      "Ancien",
      "Modifié"),
   "Nouveau")),"")</f>
        <v/>
      </c>
    </row>
    <row r="2143" spans="24:30" x14ac:dyDescent="0.25">
      <c r="X2143" s="8" t="e">
        <f>IF(Final_Sans_VGE[[#This Row],[ppn_z]]="","",IFERROR(
   IF(_xlfn.XLOOKUP(Final_Sans_VGE[[#This Row],[ppn_z]],tbl_Historique_Final[ppn_z],tbl_Historique_Final[date_modif])=Final_Sans_VGE[[#This Row],[date_modif]],
      "Ancien",
      "Modifié"),
   "Nouveau"))</f>
        <v>#VALUE!</v>
      </c>
      <c r="AD2143" s="1" t="str">
        <f>IFERROR(IF(Final_Sans_VGE[[#This Row],[ppn_z]]="","",IFERROR(
   IF(_xlfn.XLOOKUP(Final_Sans_VGE[[#This Row],[ppn_z]],tbl_Historique_Final[[#This Row],[ppn_z]],tbl_Historique_Final[[#This Row],[date_modif]])=Final_Sans_VGE[[#This Row],[date_modif]],
      "Ancien",
      "Modifié"),
   "Nouveau")),"")</f>
        <v/>
      </c>
    </row>
    <row r="2144" spans="24:30" x14ac:dyDescent="0.25">
      <c r="X2144" s="8" t="e">
        <f>IF(Final_Sans_VGE[[#This Row],[ppn_z]]="","",IFERROR(
   IF(_xlfn.XLOOKUP(Final_Sans_VGE[[#This Row],[ppn_z]],tbl_Historique_Final[ppn_z],tbl_Historique_Final[date_modif])=Final_Sans_VGE[[#This Row],[date_modif]],
      "Ancien",
      "Modifié"),
   "Nouveau"))</f>
        <v>#VALUE!</v>
      </c>
      <c r="AD2144" s="1" t="str">
        <f>IFERROR(IF(Final_Sans_VGE[[#This Row],[ppn_z]]="","",IFERROR(
   IF(_xlfn.XLOOKUP(Final_Sans_VGE[[#This Row],[ppn_z]],tbl_Historique_Final[[#This Row],[ppn_z]],tbl_Historique_Final[[#This Row],[date_modif]])=Final_Sans_VGE[[#This Row],[date_modif]],
      "Ancien",
      "Modifié"),
   "Nouveau")),"")</f>
        <v/>
      </c>
    </row>
    <row r="2145" spans="24:30" x14ac:dyDescent="0.25">
      <c r="X2145" s="8" t="e">
        <f>IF(Final_Sans_VGE[[#This Row],[ppn_z]]="","",IFERROR(
   IF(_xlfn.XLOOKUP(Final_Sans_VGE[[#This Row],[ppn_z]],tbl_Historique_Final[ppn_z],tbl_Historique_Final[date_modif])=Final_Sans_VGE[[#This Row],[date_modif]],
      "Ancien",
      "Modifié"),
   "Nouveau"))</f>
        <v>#VALUE!</v>
      </c>
      <c r="AD2145" s="1" t="str">
        <f>IFERROR(IF(Final_Sans_VGE[[#This Row],[ppn_z]]="","",IFERROR(
   IF(_xlfn.XLOOKUP(Final_Sans_VGE[[#This Row],[ppn_z]],tbl_Historique_Final[[#This Row],[ppn_z]],tbl_Historique_Final[[#This Row],[date_modif]])=Final_Sans_VGE[[#This Row],[date_modif]],
      "Ancien",
      "Modifié"),
   "Nouveau")),"")</f>
        <v/>
      </c>
    </row>
    <row r="2146" spans="24:30" x14ac:dyDescent="0.25">
      <c r="X2146" s="8" t="e">
        <f>IF(Final_Sans_VGE[[#This Row],[ppn_z]]="","",IFERROR(
   IF(_xlfn.XLOOKUP(Final_Sans_VGE[[#This Row],[ppn_z]],tbl_Historique_Final[ppn_z],tbl_Historique_Final[date_modif])=Final_Sans_VGE[[#This Row],[date_modif]],
      "Ancien",
      "Modifié"),
   "Nouveau"))</f>
        <v>#VALUE!</v>
      </c>
      <c r="AD2146" s="1" t="str">
        <f>IFERROR(IF(Final_Sans_VGE[[#This Row],[ppn_z]]="","",IFERROR(
   IF(_xlfn.XLOOKUP(Final_Sans_VGE[[#This Row],[ppn_z]],tbl_Historique_Final[[#This Row],[ppn_z]],tbl_Historique_Final[[#This Row],[date_modif]])=Final_Sans_VGE[[#This Row],[date_modif]],
      "Ancien",
      "Modifié"),
   "Nouveau")),"")</f>
        <v/>
      </c>
    </row>
    <row r="2147" spans="24:30" x14ac:dyDescent="0.25">
      <c r="X2147" s="8" t="e">
        <f>IF(Final_Sans_VGE[[#This Row],[ppn_z]]="","",IFERROR(
   IF(_xlfn.XLOOKUP(Final_Sans_VGE[[#This Row],[ppn_z]],tbl_Historique_Final[ppn_z],tbl_Historique_Final[date_modif])=Final_Sans_VGE[[#This Row],[date_modif]],
      "Ancien",
      "Modifié"),
   "Nouveau"))</f>
        <v>#VALUE!</v>
      </c>
      <c r="AD2147" s="1" t="str">
        <f>IFERROR(IF(Final_Sans_VGE[[#This Row],[ppn_z]]="","",IFERROR(
   IF(_xlfn.XLOOKUP(Final_Sans_VGE[[#This Row],[ppn_z]],tbl_Historique_Final[[#This Row],[ppn_z]],tbl_Historique_Final[[#This Row],[date_modif]])=Final_Sans_VGE[[#This Row],[date_modif]],
      "Ancien",
      "Modifié"),
   "Nouveau")),"")</f>
        <v/>
      </c>
    </row>
    <row r="2148" spans="24:30" x14ac:dyDescent="0.25">
      <c r="X2148" s="8" t="e">
        <f>IF(Final_Sans_VGE[[#This Row],[ppn_z]]="","",IFERROR(
   IF(_xlfn.XLOOKUP(Final_Sans_VGE[[#This Row],[ppn_z]],tbl_Historique_Final[ppn_z],tbl_Historique_Final[date_modif])=Final_Sans_VGE[[#This Row],[date_modif]],
      "Ancien",
      "Modifié"),
   "Nouveau"))</f>
        <v>#VALUE!</v>
      </c>
      <c r="AD2148" s="1" t="str">
        <f>IFERROR(IF(Final_Sans_VGE[[#This Row],[ppn_z]]="","",IFERROR(
   IF(_xlfn.XLOOKUP(Final_Sans_VGE[[#This Row],[ppn_z]],tbl_Historique_Final[[#This Row],[ppn_z]],tbl_Historique_Final[[#This Row],[date_modif]])=Final_Sans_VGE[[#This Row],[date_modif]],
      "Ancien",
      "Modifié"),
   "Nouveau")),"")</f>
        <v/>
      </c>
    </row>
    <row r="2149" spans="24:30" x14ac:dyDescent="0.25">
      <c r="X2149" s="8" t="e">
        <f>IF(Final_Sans_VGE[[#This Row],[ppn_z]]="","",IFERROR(
   IF(_xlfn.XLOOKUP(Final_Sans_VGE[[#This Row],[ppn_z]],tbl_Historique_Final[ppn_z],tbl_Historique_Final[date_modif])=Final_Sans_VGE[[#This Row],[date_modif]],
      "Ancien",
      "Modifié"),
   "Nouveau"))</f>
        <v>#VALUE!</v>
      </c>
      <c r="AD2149" s="1" t="str">
        <f>IFERROR(IF(Final_Sans_VGE[[#This Row],[ppn_z]]="","",IFERROR(
   IF(_xlfn.XLOOKUP(Final_Sans_VGE[[#This Row],[ppn_z]],tbl_Historique_Final[[#This Row],[ppn_z]],tbl_Historique_Final[[#This Row],[date_modif]])=Final_Sans_VGE[[#This Row],[date_modif]],
      "Ancien",
      "Modifié"),
   "Nouveau")),"")</f>
        <v/>
      </c>
    </row>
    <row r="2150" spans="24:30" x14ac:dyDescent="0.25">
      <c r="X2150" s="8" t="e">
        <f>IF(Final_Sans_VGE[[#This Row],[ppn_z]]="","",IFERROR(
   IF(_xlfn.XLOOKUP(Final_Sans_VGE[[#This Row],[ppn_z]],tbl_Historique_Final[ppn_z],tbl_Historique_Final[date_modif])=Final_Sans_VGE[[#This Row],[date_modif]],
      "Ancien",
      "Modifié"),
   "Nouveau"))</f>
        <v>#VALUE!</v>
      </c>
      <c r="AD2150" s="1" t="str">
        <f>IFERROR(IF(Final_Sans_VGE[[#This Row],[ppn_z]]="","",IFERROR(
   IF(_xlfn.XLOOKUP(Final_Sans_VGE[[#This Row],[ppn_z]],tbl_Historique_Final[[#This Row],[ppn_z]],tbl_Historique_Final[[#This Row],[date_modif]])=Final_Sans_VGE[[#This Row],[date_modif]],
      "Ancien",
      "Modifié"),
   "Nouveau")),"")</f>
        <v/>
      </c>
    </row>
    <row r="2151" spans="24:30" x14ac:dyDescent="0.25">
      <c r="X2151" s="8" t="e">
        <f>IF(Final_Sans_VGE[[#This Row],[ppn_z]]="","",IFERROR(
   IF(_xlfn.XLOOKUP(Final_Sans_VGE[[#This Row],[ppn_z]],tbl_Historique_Final[ppn_z],tbl_Historique_Final[date_modif])=Final_Sans_VGE[[#This Row],[date_modif]],
      "Ancien",
      "Modifié"),
   "Nouveau"))</f>
        <v>#VALUE!</v>
      </c>
      <c r="AD2151" s="1" t="str">
        <f>IFERROR(IF(Final_Sans_VGE[[#This Row],[ppn_z]]="","",IFERROR(
   IF(_xlfn.XLOOKUP(Final_Sans_VGE[[#This Row],[ppn_z]],tbl_Historique_Final[[#This Row],[ppn_z]],tbl_Historique_Final[[#This Row],[date_modif]])=Final_Sans_VGE[[#This Row],[date_modif]],
      "Ancien",
      "Modifié"),
   "Nouveau")),"")</f>
        <v/>
      </c>
    </row>
    <row r="2152" spans="24:30" x14ac:dyDescent="0.25">
      <c r="X2152" s="8" t="e">
        <f>IF(Final_Sans_VGE[[#This Row],[ppn_z]]="","",IFERROR(
   IF(_xlfn.XLOOKUP(Final_Sans_VGE[[#This Row],[ppn_z]],tbl_Historique_Final[ppn_z],tbl_Historique_Final[date_modif])=Final_Sans_VGE[[#This Row],[date_modif]],
      "Ancien",
      "Modifié"),
   "Nouveau"))</f>
        <v>#VALUE!</v>
      </c>
      <c r="AD2152" s="1" t="str">
        <f>IFERROR(IF(Final_Sans_VGE[[#This Row],[ppn_z]]="","",IFERROR(
   IF(_xlfn.XLOOKUP(Final_Sans_VGE[[#This Row],[ppn_z]],tbl_Historique_Final[[#This Row],[ppn_z]],tbl_Historique_Final[[#This Row],[date_modif]])=Final_Sans_VGE[[#This Row],[date_modif]],
      "Ancien",
      "Modifié"),
   "Nouveau")),"")</f>
        <v/>
      </c>
    </row>
    <row r="2153" spans="24:30" x14ac:dyDescent="0.25">
      <c r="X2153" s="8" t="e">
        <f>IF(Final_Sans_VGE[[#This Row],[ppn_z]]="","",IFERROR(
   IF(_xlfn.XLOOKUP(Final_Sans_VGE[[#This Row],[ppn_z]],tbl_Historique_Final[ppn_z],tbl_Historique_Final[date_modif])=Final_Sans_VGE[[#This Row],[date_modif]],
      "Ancien",
      "Modifié"),
   "Nouveau"))</f>
        <v>#VALUE!</v>
      </c>
      <c r="AD2153" s="1" t="str">
        <f>IFERROR(IF(Final_Sans_VGE[[#This Row],[ppn_z]]="","",IFERROR(
   IF(_xlfn.XLOOKUP(Final_Sans_VGE[[#This Row],[ppn_z]],tbl_Historique_Final[[#This Row],[ppn_z]],tbl_Historique_Final[[#This Row],[date_modif]])=Final_Sans_VGE[[#This Row],[date_modif]],
      "Ancien",
      "Modifié"),
   "Nouveau")),"")</f>
        <v/>
      </c>
    </row>
    <row r="2154" spans="24:30" x14ac:dyDescent="0.25">
      <c r="X2154" s="8" t="e">
        <f>IF(Final_Sans_VGE[[#This Row],[ppn_z]]="","",IFERROR(
   IF(_xlfn.XLOOKUP(Final_Sans_VGE[[#This Row],[ppn_z]],tbl_Historique_Final[ppn_z],tbl_Historique_Final[date_modif])=Final_Sans_VGE[[#This Row],[date_modif]],
      "Ancien",
      "Modifié"),
   "Nouveau"))</f>
        <v>#VALUE!</v>
      </c>
      <c r="AD2154" s="1" t="str">
        <f>IFERROR(IF(Final_Sans_VGE[[#This Row],[ppn_z]]="","",IFERROR(
   IF(_xlfn.XLOOKUP(Final_Sans_VGE[[#This Row],[ppn_z]],tbl_Historique_Final[[#This Row],[ppn_z]],tbl_Historique_Final[[#This Row],[date_modif]])=Final_Sans_VGE[[#This Row],[date_modif]],
      "Ancien",
      "Modifié"),
   "Nouveau")),"")</f>
        <v/>
      </c>
    </row>
    <row r="2155" spans="24:30" x14ac:dyDescent="0.25">
      <c r="X2155" s="8" t="e">
        <f>IF(Final_Sans_VGE[[#This Row],[ppn_z]]="","",IFERROR(
   IF(_xlfn.XLOOKUP(Final_Sans_VGE[[#This Row],[ppn_z]],tbl_Historique_Final[ppn_z],tbl_Historique_Final[date_modif])=Final_Sans_VGE[[#This Row],[date_modif]],
      "Ancien",
      "Modifié"),
   "Nouveau"))</f>
        <v>#VALUE!</v>
      </c>
      <c r="AD2155" s="1" t="str">
        <f>IFERROR(IF(Final_Sans_VGE[[#This Row],[ppn_z]]="","",IFERROR(
   IF(_xlfn.XLOOKUP(Final_Sans_VGE[[#This Row],[ppn_z]],tbl_Historique_Final[[#This Row],[ppn_z]],tbl_Historique_Final[[#This Row],[date_modif]])=Final_Sans_VGE[[#This Row],[date_modif]],
      "Ancien",
      "Modifié"),
   "Nouveau")),"")</f>
        <v/>
      </c>
    </row>
    <row r="2156" spans="24:30" x14ac:dyDescent="0.25">
      <c r="X2156" s="8" t="e">
        <f>IF(Final_Sans_VGE[[#This Row],[ppn_z]]="","",IFERROR(
   IF(_xlfn.XLOOKUP(Final_Sans_VGE[[#This Row],[ppn_z]],tbl_Historique_Final[ppn_z],tbl_Historique_Final[date_modif])=Final_Sans_VGE[[#This Row],[date_modif]],
      "Ancien",
      "Modifié"),
   "Nouveau"))</f>
        <v>#VALUE!</v>
      </c>
      <c r="AD2156" s="1" t="str">
        <f>IFERROR(IF(Final_Sans_VGE[[#This Row],[ppn_z]]="","",IFERROR(
   IF(_xlfn.XLOOKUP(Final_Sans_VGE[[#This Row],[ppn_z]],tbl_Historique_Final[[#This Row],[ppn_z]],tbl_Historique_Final[[#This Row],[date_modif]])=Final_Sans_VGE[[#This Row],[date_modif]],
      "Ancien",
      "Modifié"),
   "Nouveau")),"")</f>
        <v/>
      </c>
    </row>
    <row r="2157" spans="24:30" x14ac:dyDescent="0.25">
      <c r="X2157" s="8" t="e">
        <f>IF(Final_Sans_VGE[[#This Row],[ppn_z]]="","",IFERROR(
   IF(_xlfn.XLOOKUP(Final_Sans_VGE[[#This Row],[ppn_z]],tbl_Historique_Final[ppn_z],tbl_Historique_Final[date_modif])=Final_Sans_VGE[[#This Row],[date_modif]],
      "Ancien",
      "Modifié"),
   "Nouveau"))</f>
        <v>#VALUE!</v>
      </c>
      <c r="AD2157" s="1" t="str">
        <f>IFERROR(IF(Final_Sans_VGE[[#This Row],[ppn_z]]="","",IFERROR(
   IF(_xlfn.XLOOKUP(Final_Sans_VGE[[#This Row],[ppn_z]],tbl_Historique_Final[[#This Row],[ppn_z]],tbl_Historique_Final[[#This Row],[date_modif]])=Final_Sans_VGE[[#This Row],[date_modif]],
      "Ancien",
      "Modifié"),
   "Nouveau")),"")</f>
        <v/>
      </c>
    </row>
    <row r="2158" spans="24:30" x14ac:dyDescent="0.25">
      <c r="X2158" s="8" t="e">
        <f>IF(Final_Sans_VGE[[#This Row],[ppn_z]]="","",IFERROR(
   IF(_xlfn.XLOOKUP(Final_Sans_VGE[[#This Row],[ppn_z]],tbl_Historique_Final[ppn_z],tbl_Historique_Final[date_modif])=Final_Sans_VGE[[#This Row],[date_modif]],
      "Ancien",
      "Modifié"),
   "Nouveau"))</f>
        <v>#VALUE!</v>
      </c>
      <c r="AD2158" s="1" t="str">
        <f>IFERROR(IF(Final_Sans_VGE[[#This Row],[ppn_z]]="","",IFERROR(
   IF(_xlfn.XLOOKUP(Final_Sans_VGE[[#This Row],[ppn_z]],tbl_Historique_Final[[#This Row],[ppn_z]],tbl_Historique_Final[[#This Row],[date_modif]])=Final_Sans_VGE[[#This Row],[date_modif]],
      "Ancien",
      "Modifié"),
   "Nouveau")),"")</f>
        <v/>
      </c>
    </row>
    <row r="2159" spans="24:30" x14ac:dyDescent="0.25">
      <c r="X2159" s="8" t="e">
        <f>IF(Final_Sans_VGE[[#This Row],[ppn_z]]="","",IFERROR(
   IF(_xlfn.XLOOKUP(Final_Sans_VGE[[#This Row],[ppn_z]],tbl_Historique_Final[ppn_z],tbl_Historique_Final[date_modif])=Final_Sans_VGE[[#This Row],[date_modif]],
      "Ancien",
      "Modifié"),
   "Nouveau"))</f>
        <v>#VALUE!</v>
      </c>
      <c r="AD2159" s="1" t="str">
        <f>IFERROR(IF(Final_Sans_VGE[[#This Row],[ppn_z]]="","",IFERROR(
   IF(_xlfn.XLOOKUP(Final_Sans_VGE[[#This Row],[ppn_z]],tbl_Historique_Final[[#This Row],[ppn_z]],tbl_Historique_Final[[#This Row],[date_modif]])=Final_Sans_VGE[[#This Row],[date_modif]],
      "Ancien",
      "Modifié"),
   "Nouveau")),"")</f>
        <v/>
      </c>
    </row>
    <row r="2160" spans="24:30" x14ac:dyDescent="0.25">
      <c r="X2160" s="8" t="e">
        <f>IF(Final_Sans_VGE[[#This Row],[ppn_z]]="","",IFERROR(
   IF(_xlfn.XLOOKUP(Final_Sans_VGE[[#This Row],[ppn_z]],tbl_Historique_Final[ppn_z],tbl_Historique_Final[date_modif])=Final_Sans_VGE[[#This Row],[date_modif]],
      "Ancien",
      "Modifié"),
   "Nouveau"))</f>
        <v>#VALUE!</v>
      </c>
      <c r="AD2160" s="1" t="str">
        <f>IFERROR(IF(Final_Sans_VGE[[#This Row],[ppn_z]]="","",IFERROR(
   IF(_xlfn.XLOOKUP(Final_Sans_VGE[[#This Row],[ppn_z]],tbl_Historique_Final[[#This Row],[ppn_z]],tbl_Historique_Final[[#This Row],[date_modif]])=Final_Sans_VGE[[#This Row],[date_modif]],
      "Ancien",
      "Modifié"),
   "Nouveau")),"")</f>
        <v/>
      </c>
    </row>
    <row r="2161" spans="24:30" x14ac:dyDescent="0.25">
      <c r="X2161" s="8" t="e">
        <f>IF(Final_Sans_VGE[[#This Row],[ppn_z]]="","",IFERROR(
   IF(_xlfn.XLOOKUP(Final_Sans_VGE[[#This Row],[ppn_z]],tbl_Historique_Final[ppn_z],tbl_Historique_Final[date_modif])=Final_Sans_VGE[[#This Row],[date_modif]],
      "Ancien",
      "Modifié"),
   "Nouveau"))</f>
        <v>#VALUE!</v>
      </c>
      <c r="AD2161" s="1" t="str">
        <f>IFERROR(IF(Final_Sans_VGE[[#This Row],[ppn_z]]="","",IFERROR(
   IF(_xlfn.XLOOKUP(Final_Sans_VGE[[#This Row],[ppn_z]],tbl_Historique_Final[[#This Row],[ppn_z]],tbl_Historique_Final[[#This Row],[date_modif]])=Final_Sans_VGE[[#This Row],[date_modif]],
      "Ancien",
      "Modifié"),
   "Nouveau")),"")</f>
        <v/>
      </c>
    </row>
    <row r="2162" spans="24:30" x14ac:dyDescent="0.25">
      <c r="X2162" s="8" t="e">
        <f>IF(Final_Sans_VGE[[#This Row],[ppn_z]]="","",IFERROR(
   IF(_xlfn.XLOOKUP(Final_Sans_VGE[[#This Row],[ppn_z]],tbl_Historique_Final[ppn_z],tbl_Historique_Final[date_modif])=Final_Sans_VGE[[#This Row],[date_modif]],
      "Ancien",
      "Modifié"),
   "Nouveau"))</f>
        <v>#VALUE!</v>
      </c>
      <c r="AD2162" s="1" t="str">
        <f>IFERROR(IF(Final_Sans_VGE[[#This Row],[ppn_z]]="","",IFERROR(
   IF(_xlfn.XLOOKUP(Final_Sans_VGE[[#This Row],[ppn_z]],tbl_Historique_Final[[#This Row],[ppn_z]],tbl_Historique_Final[[#This Row],[date_modif]])=Final_Sans_VGE[[#This Row],[date_modif]],
      "Ancien",
      "Modifié"),
   "Nouveau")),"")</f>
        <v/>
      </c>
    </row>
    <row r="2163" spans="24:30" x14ac:dyDescent="0.25">
      <c r="X2163" s="8" t="e">
        <f>IF(Final_Sans_VGE[[#This Row],[ppn_z]]="","",IFERROR(
   IF(_xlfn.XLOOKUP(Final_Sans_VGE[[#This Row],[ppn_z]],tbl_Historique_Final[ppn_z],tbl_Historique_Final[date_modif])=Final_Sans_VGE[[#This Row],[date_modif]],
      "Ancien",
      "Modifié"),
   "Nouveau"))</f>
        <v>#VALUE!</v>
      </c>
      <c r="AD2163" s="1" t="str">
        <f>IFERROR(IF(Final_Sans_VGE[[#This Row],[ppn_z]]="","",IFERROR(
   IF(_xlfn.XLOOKUP(Final_Sans_VGE[[#This Row],[ppn_z]],tbl_Historique_Final[[#This Row],[ppn_z]],tbl_Historique_Final[[#This Row],[date_modif]])=Final_Sans_VGE[[#This Row],[date_modif]],
      "Ancien",
      "Modifié"),
   "Nouveau")),"")</f>
        <v/>
      </c>
    </row>
    <row r="2164" spans="24:30" x14ac:dyDescent="0.25">
      <c r="X2164" s="8" t="e">
        <f>IF(Final_Sans_VGE[[#This Row],[ppn_z]]="","",IFERROR(
   IF(_xlfn.XLOOKUP(Final_Sans_VGE[[#This Row],[ppn_z]],tbl_Historique_Final[ppn_z],tbl_Historique_Final[date_modif])=Final_Sans_VGE[[#This Row],[date_modif]],
      "Ancien",
      "Modifié"),
   "Nouveau"))</f>
        <v>#VALUE!</v>
      </c>
      <c r="AD2164" s="1" t="str">
        <f>IFERROR(IF(Final_Sans_VGE[[#This Row],[ppn_z]]="","",IFERROR(
   IF(_xlfn.XLOOKUP(Final_Sans_VGE[[#This Row],[ppn_z]],tbl_Historique_Final[[#This Row],[ppn_z]],tbl_Historique_Final[[#This Row],[date_modif]])=Final_Sans_VGE[[#This Row],[date_modif]],
      "Ancien",
      "Modifié"),
   "Nouveau")),"")</f>
        <v/>
      </c>
    </row>
    <row r="2165" spans="24:30" x14ac:dyDescent="0.25">
      <c r="X2165" s="8" t="e">
        <f>IF(Final_Sans_VGE[[#This Row],[ppn_z]]="","",IFERROR(
   IF(_xlfn.XLOOKUP(Final_Sans_VGE[[#This Row],[ppn_z]],tbl_Historique_Final[ppn_z],tbl_Historique_Final[date_modif])=Final_Sans_VGE[[#This Row],[date_modif]],
      "Ancien",
      "Modifié"),
   "Nouveau"))</f>
        <v>#VALUE!</v>
      </c>
      <c r="AD2165" s="1" t="str">
        <f>IFERROR(IF(Final_Sans_VGE[[#This Row],[ppn_z]]="","",IFERROR(
   IF(_xlfn.XLOOKUP(Final_Sans_VGE[[#This Row],[ppn_z]],tbl_Historique_Final[[#This Row],[ppn_z]],tbl_Historique_Final[[#This Row],[date_modif]])=Final_Sans_VGE[[#This Row],[date_modif]],
      "Ancien",
      "Modifié"),
   "Nouveau")),"")</f>
        <v/>
      </c>
    </row>
    <row r="2166" spans="24:30" x14ac:dyDescent="0.25">
      <c r="X2166" s="8" t="e">
        <f>IF(Final_Sans_VGE[[#This Row],[ppn_z]]="","",IFERROR(
   IF(_xlfn.XLOOKUP(Final_Sans_VGE[[#This Row],[ppn_z]],tbl_Historique_Final[ppn_z],tbl_Historique_Final[date_modif])=Final_Sans_VGE[[#This Row],[date_modif]],
      "Ancien",
      "Modifié"),
   "Nouveau"))</f>
        <v>#VALUE!</v>
      </c>
      <c r="AD2166" s="1" t="str">
        <f>IFERROR(IF(Final_Sans_VGE[[#This Row],[ppn_z]]="","",IFERROR(
   IF(_xlfn.XLOOKUP(Final_Sans_VGE[[#This Row],[ppn_z]],tbl_Historique_Final[[#This Row],[ppn_z]],tbl_Historique_Final[[#This Row],[date_modif]])=Final_Sans_VGE[[#This Row],[date_modif]],
      "Ancien",
      "Modifié"),
   "Nouveau")),"")</f>
        <v/>
      </c>
    </row>
    <row r="2167" spans="24:30" x14ac:dyDescent="0.25">
      <c r="X2167" s="8" t="e">
        <f>IF(Final_Sans_VGE[[#This Row],[ppn_z]]="","",IFERROR(
   IF(_xlfn.XLOOKUP(Final_Sans_VGE[[#This Row],[ppn_z]],tbl_Historique_Final[ppn_z],tbl_Historique_Final[date_modif])=Final_Sans_VGE[[#This Row],[date_modif]],
      "Ancien",
      "Modifié"),
   "Nouveau"))</f>
        <v>#VALUE!</v>
      </c>
      <c r="AD2167" s="1" t="str">
        <f>IFERROR(IF(Final_Sans_VGE[[#This Row],[ppn_z]]="","",IFERROR(
   IF(_xlfn.XLOOKUP(Final_Sans_VGE[[#This Row],[ppn_z]],tbl_Historique_Final[[#This Row],[ppn_z]],tbl_Historique_Final[[#This Row],[date_modif]])=Final_Sans_VGE[[#This Row],[date_modif]],
      "Ancien",
      "Modifié"),
   "Nouveau")),"")</f>
        <v/>
      </c>
    </row>
    <row r="2168" spans="24:30" x14ac:dyDescent="0.25">
      <c r="X2168" s="8" t="e">
        <f>IF(Final_Sans_VGE[[#This Row],[ppn_z]]="","",IFERROR(
   IF(_xlfn.XLOOKUP(Final_Sans_VGE[[#This Row],[ppn_z]],tbl_Historique_Final[ppn_z],tbl_Historique_Final[date_modif])=Final_Sans_VGE[[#This Row],[date_modif]],
      "Ancien",
      "Modifié"),
   "Nouveau"))</f>
        <v>#VALUE!</v>
      </c>
      <c r="AD2168" s="1" t="str">
        <f>IFERROR(IF(Final_Sans_VGE[[#This Row],[ppn_z]]="","",IFERROR(
   IF(_xlfn.XLOOKUP(Final_Sans_VGE[[#This Row],[ppn_z]],tbl_Historique_Final[[#This Row],[ppn_z]],tbl_Historique_Final[[#This Row],[date_modif]])=Final_Sans_VGE[[#This Row],[date_modif]],
      "Ancien",
      "Modifié"),
   "Nouveau")),"")</f>
        <v/>
      </c>
    </row>
    <row r="2169" spans="24:30" x14ac:dyDescent="0.25">
      <c r="X2169" s="8" t="e">
        <f>IF(Final_Sans_VGE[[#This Row],[ppn_z]]="","",IFERROR(
   IF(_xlfn.XLOOKUP(Final_Sans_VGE[[#This Row],[ppn_z]],tbl_Historique_Final[ppn_z],tbl_Historique_Final[date_modif])=Final_Sans_VGE[[#This Row],[date_modif]],
      "Ancien",
      "Modifié"),
   "Nouveau"))</f>
        <v>#VALUE!</v>
      </c>
      <c r="AD2169" s="1" t="str">
        <f>IFERROR(IF(Final_Sans_VGE[[#This Row],[ppn_z]]="","",IFERROR(
   IF(_xlfn.XLOOKUP(Final_Sans_VGE[[#This Row],[ppn_z]],tbl_Historique_Final[[#This Row],[ppn_z]],tbl_Historique_Final[[#This Row],[date_modif]])=Final_Sans_VGE[[#This Row],[date_modif]],
      "Ancien",
      "Modifié"),
   "Nouveau")),"")</f>
        <v/>
      </c>
    </row>
    <row r="2170" spans="24:30" x14ac:dyDescent="0.25">
      <c r="X2170" s="8" t="e">
        <f>IF(Final_Sans_VGE[[#This Row],[ppn_z]]="","",IFERROR(
   IF(_xlfn.XLOOKUP(Final_Sans_VGE[[#This Row],[ppn_z]],tbl_Historique_Final[ppn_z],tbl_Historique_Final[date_modif])=Final_Sans_VGE[[#This Row],[date_modif]],
      "Ancien",
      "Modifié"),
   "Nouveau"))</f>
        <v>#VALUE!</v>
      </c>
      <c r="AD2170" s="1" t="str">
        <f>IFERROR(IF(Final_Sans_VGE[[#This Row],[ppn_z]]="","",IFERROR(
   IF(_xlfn.XLOOKUP(Final_Sans_VGE[[#This Row],[ppn_z]],tbl_Historique_Final[[#This Row],[ppn_z]],tbl_Historique_Final[[#This Row],[date_modif]])=Final_Sans_VGE[[#This Row],[date_modif]],
      "Ancien",
      "Modifié"),
   "Nouveau")),"")</f>
        <v/>
      </c>
    </row>
    <row r="2171" spans="24:30" x14ac:dyDescent="0.25">
      <c r="X2171" s="8" t="e">
        <f>IF(Final_Sans_VGE[[#This Row],[ppn_z]]="","",IFERROR(
   IF(_xlfn.XLOOKUP(Final_Sans_VGE[[#This Row],[ppn_z]],tbl_Historique_Final[ppn_z],tbl_Historique_Final[date_modif])=Final_Sans_VGE[[#This Row],[date_modif]],
      "Ancien",
      "Modifié"),
   "Nouveau"))</f>
        <v>#VALUE!</v>
      </c>
      <c r="AD2171" s="1" t="str">
        <f>IFERROR(IF(Final_Sans_VGE[[#This Row],[ppn_z]]="","",IFERROR(
   IF(_xlfn.XLOOKUP(Final_Sans_VGE[[#This Row],[ppn_z]],tbl_Historique_Final[[#This Row],[ppn_z]],tbl_Historique_Final[[#This Row],[date_modif]])=Final_Sans_VGE[[#This Row],[date_modif]],
      "Ancien",
      "Modifié"),
   "Nouveau")),"")</f>
        <v/>
      </c>
    </row>
    <row r="2172" spans="24:30" x14ac:dyDescent="0.25">
      <c r="X2172" s="8" t="e">
        <f>IF(Final_Sans_VGE[[#This Row],[ppn_z]]="","",IFERROR(
   IF(_xlfn.XLOOKUP(Final_Sans_VGE[[#This Row],[ppn_z]],tbl_Historique_Final[ppn_z],tbl_Historique_Final[date_modif])=Final_Sans_VGE[[#This Row],[date_modif]],
      "Ancien",
      "Modifié"),
   "Nouveau"))</f>
        <v>#VALUE!</v>
      </c>
      <c r="AD2172" s="1" t="str">
        <f>IFERROR(IF(Final_Sans_VGE[[#This Row],[ppn_z]]="","",IFERROR(
   IF(_xlfn.XLOOKUP(Final_Sans_VGE[[#This Row],[ppn_z]],tbl_Historique_Final[[#This Row],[ppn_z]],tbl_Historique_Final[[#This Row],[date_modif]])=Final_Sans_VGE[[#This Row],[date_modif]],
      "Ancien",
      "Modifié"),
   "Nouveau")),"")</f>
        <v/>
      </c>
    </row>
    <row r="2173" spans="24:30" x14ac:dyDescent="0.25">
      <c r="X2173" s="8" t="e">
        <f>IF(Final_Sans_VGE[[#This Row],[ppn_z]]="","",IFERROR(
   IF(_xlfn.XLOOKUP(Final_Sans_VGE[[#This Row],[ppn_z]],tbl_Historique_Final[ppn_z],tbl_Historique_Final[date_modif])=Final_Sans_VGE[[#This Row],[date_modif]],
      "Ancien",
      "Modifié"),
   "Nouveau"))</f>
        <v>#VALUE!</v>
      </c>
      <c r="AD2173" s="1" t="str">
        <f>IFERROR(IF(Final_Sans_VGE[[#This Row],[ppn_z]]="","",IFERROR(
   IF(_xlfn.XLOOKUP(Final_Sans_VGE[[#This Row],[ppn_z]],tbl_Historique_Final[[#This Row],[ppn_z]],tbl_Historique_Final[[#This Row],[date_modif]])=Final_Sans_VGE[[#This Row],[date_modif]],
      "Ancien",
      "Modifié"),
   "Nouveau")),"")</f>
        <v/>
      </c>
    </row>
    <row r="2174" spans="24:30" x14ac:dyDescent="0.25">
      <c r="X2174" s="8" t="e">
        <f>IF(Final_Sans_VGE[[#This Row],[ppn_z]]="","",IFERROR(
   IF(_xlfn.XLOOKUP(Final_Sans_VGE[[#This Row],[ppn_z]],tbl_Historique_Final[ppn_z],tbl_Historique_Final[date_modif])=Final_Sans_VGE[[#This Row],[date_modif]],
      "Ancien",
      "Modifié"),
   "Nouveau"))</f>
        <v>#VALUE!</v>
      </c>
      <c r="AD2174" s="1" t="str">
        <f>IFERROR(IF(Final_Sans_VGE[[#This Row],[ppn_z]]="","",IFERROR(
   IF(_xlfn.XLOOKUP(Final_Sans_VGE[[#This Row],[ppn_z]],tbl_Historique_Final[[#This Row],[ppn_z]],tbl_Historique_Final[[#This Row],[date_modif]])=Final_Sans_VGE[[#This Row],[date_modif]],
      "Ancien",
      "Modifié"),
   "Nouveau")),"")</f>
        <v/>
      </c>
    </row>
    <row r="2175" spans="24:30" x14ac:dyDescent="0.25">
      <c r="X2175" s="8" t="e">
        <f>IF(Final_Sans_VGE[[#This Row],[ppn_z]]="","",IFERROR(
   IF(_xlfn.XLOOKUP(Final_Sans_VGE[[#This Row],[ppn_z]],tbl_Historique_Final[ppn_z],tbl_Historique_Final[date_modif])=Final_Sans_VGE[[#This Row],[date_modif]],
      "Ancien",
      "Modifié"),
   "Nouveau"))</f>
        <v>#VALUE!</v>
      </c>
      <c r="AD2175" s="1" t="str">
        <f>IFERROR(IF(Final_Sans_VGE[[#This Row],[ppn_z]]="","",IFERROR(
   IF(_xlfn.XLOOKUP(Final_Sans_VGE[[#This Row],[ppn_z]],tbl_Historique_Final[[#This Row],[ppn_z]],tbl_Historique_Final[[#This Row],[date_modif]])=Final_Sans_VGE[[#This Row],[date_modif]],
      "Ancien",
      "Modifié"),
   "Nouveau")),"")</f>
        <v/>
      </c>
    </row>
    <row r="2176" spans="24:30" x14ac:dyDescent="0.25">
      <c r="X2176" s="8" t="e">
        <f>IF(Final_Sans_VGE[[#This Row],[ppn_z]]="","",IFERROR(
   IF(_xlfn.XLOOKUP(Final_Sans_VGE[[#This Row],[ppn_z]],tbl_Historique_Final[ppn_z],tbl_Historique_Final[date_modif])=Final_Sans_VGE[[#This Row],[date_modif]],
      "Ancien",
      "Modifié"),
   "Nouveau"))</f>
        <v>#VALUE!</v>
      </c>
      <c r="AD2176" s="1" t="str">
        <f>IFERROR(IF(Final_Sans_VGE[[#This Row],[ppn_z]]="","",IFERROR(
   IF(_xlfn.XLOOKUP(Final_Sans_VGE[[#This Row],[ppn_z]],tbl_Historique_Final[[#This Row],[ppn_z]],tbl_Historique_Final[[#This Row],[date_modif]])=Final_Sans_VGE[[#This Row],[date_modif]],
      "Ancien",
      "Modifié"),
   "Nouveau")),"")</f>
        <v/>
      </c>
    </row>
    <row r="2177" spans="24:30" x14ac:dyDescent="0.25">
      <c r="X2177" s="8" t="e">
        <f>IF(Final_Sans_VGE[[#This Row],[ppn_z]]="","",IFERROR(
   IF(_xlfn.XLOOKUP(Final_Sans_VGE[[#This Row],[ppn_z]],tbl_Historique_Final[ppn_z],tbl_Historique_Final[date_modif])=Final_Sans_VGE[[#This Row],[date_modif]],
      "Ancien",
      "Modifié"),
   "Nouveau"))</f>
        <v>#VALUE!</v>
      </c>
      <c r="AD2177" s="1" t="str">
        <f>IFERROR(IF(Final_Sans_VGE[[#This Row],[ppn_z]]="","",IFERROR(
   IF(_xlfn.XLOOKUP(Final_Sans_VGE[[#This Row],[ppn_z]],tbl_Historique_Final[[#This Row],[ppn_z]],tbl_Historique_Final[[#This Row],[date_modif]])=Final_Sans_VGE[[#This Row],[date_modif]],
      "Ancien",
      "Modifié"),
   "Nouveau")),"")</f>
        <v/>
      </c>
    </row>
    <row r="2178" spans="24:30" x14ac:dyDescent="0.25">
      <c r="X2178" s="8" t="e">
        <f>IF(Final_Sans_VGE[[#This Row],[ppn_z]]="","",IFERROR(
   IF(_xlfn.XLOOKUP(Final_Sans_VGE[[#This Row],[ppn_z]],tbl_Historique_Final[ppn_z],tbl_Historique_Final[date_modif])=Final_Sans_VGE[[#This Row],[date_modif]],
      "Ancien",
      "Modifié"),
   "Nouveau"))</f>
        <v>#VALUE!</v>
      </c>
      <c r="AD2178" s="1" t="str">
        <f>IFERROR(IF(Final_Sans_VGE[[#This Row],[ppn_z]]="","",IFERROR(
   IF(_xlfn.XLOOKUP(Final_Sans_VGE[[#This Row],[ppn_z]],tbl_Historique_Final[[#This Row],[ppn_z]],tbl_Historique_Final[[#This Row],[date_modif]])=Final_Sans_VGE[[#This Row],[date_modif]],
      "Ancien",
      "Modifié"),
   "Nouveau")),"")</f>
        <v/>
      </c>
    </row>
    <row r="2179" spans="24:30" x14ac:dyDescent="0.25">
      <c r="X2179" s="8" t="e">
        <f>IF(Final_Sans_VGE[[#This Row],[ppn_z]]="","",IFERROR(
   IF(_xlfn.XLOOKUP(Final_Sans_VGE[[#This Row],[ppn_z]],tbl_Historique_Final[ppn_z],tbl_Historique_Final[date_modif])=Final_Sans_VGE[[#This Row],[date_modif]],
      "Ancien",
      "Modifié"),
   "Nouveau"))</f>
        <v>#VALUE!</v>
      </c>
      <c r="AD2179" s="1" t="str">
        <f>IFERROR(IF(Final_Sans_VGE[[#This Row],[ppn_z]]="","",IFERROR(
   IF(_xlfn.XLOOKUP(Final_Sans_VGE[[#This Row],[ppn_z]],tbl_Historique_Final[[#This Row],[ppn_z]],tbl_Historique_Final[[#This Row],[date_modif]])=Final_Sans_VGE[[#This Row],[date_modif]],
      "Ancien",
      "Modifié"),
   "Nouveau")),"")</f>
        <v/>
      </c>
    </row>
    <row r="2180" spans="24:30" x14ac:dyDescent="0.25">
      <c r="X2180" s="8" t="e">
        <f>IF(Final_Sans_VGE[[#This Row],[ppn_z]]="","",IFERROR(
   IF(_xlfn.XLOOKUP(Final_Sans_VGE[[#This Row],[ppn_z]],tbl_Historique_Final[ppn_z],tbl_Historique_Final[date_modif])=Final_Sans_VGE[[#This Row],[date_modif]],
      "Ancien",
      "Modifié"),
   "Nouveau"))</f>
        <v>#VALUE!</v>
      </c>
      <c r="AD2180" s="1" t="str">
        <f>IFERROR(IF(Final_Sans_VGE[[#This Row],[ppn_z]]="","",IFERROR(
   IF(_xlfn.XLOOKUP(Final_Sans_VGE[[#This Row],[ppn_z]],tbl_Historique_Final[[#This Row],[ppn_z]],tbl_Historique_Final[[#This Row],[date_modif]])=Final_Sans_VGE[[#This Row],[date_modif]],
      "Ancien",
      "Modifié"),
   "Nouveau")),"")</f>
        <v/>
      </c>
    </row>
    <row r="2181" spans="24:30" x14ac:dyDescent="0.25">
      <c r="X2181" s="8" t="e">
        <f>IF(Final_Sans_VGE[[#This Row],[ppn_z]]="","",IFERROR(
   IF(_xlfn.XLOOKUP(Final_Sans_VGE[[#This Row],[ppn_z]],tbl_Historique_Final[ppn_z],tbl_Historique_Final[date_modif])=Final_Sans_VGE[[#This Row],[date_modif]],
      "Ancien",
      "Modifié"),
   "Nouveau"))</f>
        <v>#VALUE!</v>
      </c>
      <c r="AD2181" s="1" t="str">
        <f>IFERROR(IF(Final_Sans_VGE[[#This Row],[ppn_z]]="","",IFERROR(
   IF(_xlfn.XLOOKUP(Final_Sans_VGE[[#This Row],[ppn_z]],tbl_Historique_Final[[#This Row],[ppn_z]],tbl_Historique_Final[[#This Row],[date_modif]])=Final_Sans_VGE[[#This Row],[date_modif]],
      "Ancien",
      "Modifié"),
   "Nouveau")),"")</f>
        <v/>
      </c>
    </row>
    <row r="2182" spans="24:30" x14ac:dyDescent="0.25">
      <c r="X2182" s="8" t="e">
        <f>IF(Final_Sans_VGE[[#This Row],[ppn_z]]="","",IFERROR(
   IF(_xlfn.XLOOKUP(Final_Sans_VGE[[#This Row],[ppn_z]],tbl_Historique_Final[ppn_z],tbl_Historique_Final[date_modif])=Final_Sans_VGE[[#This Row],[date_modif]],
      "Ancien",
      "Modifié"),
   "Nouveau"))</f>
        <v>#VALUE!</v>
      </c>
      <c r="AD2182" s="1" t="str">
        <f>IFERROR(IF(Final_Sans_VGE[[#This Row],[ppn_z]]="","",IFERROR(
   IF(_xlfn.XLOOKUP(Final_Sans_VGE[[#This Row],[ppn_z]],tbl_Historique_Final[[#This Row],[ppn_z]],tbl_Historique_Final[[#This Row],[date_modif]])=Final_Sans_VGE[[#This Row],[date_modif]],
      "Ancien",
      "Modifié"),
   "Nouveau")),"")</f>
        <v/>
      </c>
    </row>
    <row r="2183" spans="24:30" x14ac:dyDescent="0.25">
      <c r="X2183" s="8" t="e">
        <f>IF(Final_Sans_VGE[[#This Row],[ppn_z]]="","",IFERROR(
   IF(_xlfn.XLOOKUP(Final_Sans_VGE[[#This Row],[ppn_z]],tbl_Historique_Final[ppn_z],tbl_Historique_Final[date_modif])=Final_Sans_VGE[[#This Row],[date_modif]],
      "Ancien",
      "Modifié"),
   "Nouveau"))</f>
        <v>#VALUE!</v>
      </c>
      <c r="AD2183" s="1" t="str">
        <f>IFERROR(IF(Final_Sans_VGE[[#This Row],[ppn_z]]="","",IFERROR(
   IF(_xlfn.XLOOKUP(Final_Sans_VGE[[#This Row],[ppn_z]],tbl_Historique_Final[[#This Row],[ppn_z]],tbl_Historique_Final[[#This Row],[date_modif]])=Final_Sans_VGE[[#This Row],[date_modif]],
      "Ancien",
      "Modifié"),
   "Nouveau")),"")</f>
        <v/>
      </c>
    </row>
    <row r="2184" spans="24:30" x14ac:dyDescent="0.25">
      <c r="X2184" s="8" t="e">
        <f>IF(Final_Sans_VGE[[#This Row],[ppn_z]]="","",IFERROR(
   IF(_xlfn.XLOOKUP(Final_Sans_VGE[[#This Row],[ppn_z]],tbl_Historique_Final[ppn_z],tbl_Historique_Final[date_modif])=Final_Sans_VGE[[#This Row],[date_modif]],
      "Ancien",
      "Modifié"),
   "Nouveau"))</f>
        <v>#VALUE!</v>
      </c>
      <c r="AD2184" s="1" t="str">
        <f>IFERROR(IF(Final_Sans_VGE[[#This Row],[ppn_z]]="","",IFERROR(
   IF(_xlfn.XLOOKUP(Final_Sans_VGE[[#This Row],[ppn_z]],tbl_Historique_Final[[#This Row],[ppn_z]],tbl_Historique_Final[[#This Row],[date_modif]])=Final_Sans_VGE[[#This Row],[date_modif]],
      "Ancien",
      "Modifié"),
   "Nouveau")),"")</f>
        <v/>
      </c>
    </row>
    <row r="2185" spans="24:30" x14ac:dyDescent="0.25">
      <c r="X2185" s="8" t="e">
        <f>IF(Final_Sans_VGE[[#This Row],[ppn_z]]="","",IFERROR(
   IF(_xlfn.XLOOKUP(Final_Sans_VGE[[#This Row],[ppn_z]],tbl_Historique_Final[ppn_z],tbl_Historique_Final[date_modif])=Final_Sans_VGE[[#This Row],[date_modif]],
      "Ancien",
      "Modifié"),
   "Nouveau"))</f>
        <v>#VALUE!</v>
      </c>
      <c r="AD2185" s="1" t="str">
        <f>IFERROR(IF(Final_Sans_VGE[[#This Row],[ppn_z]]="","",IFERROR(
   IF(_xlfn.XLOOKUP(Final_Sans_VGE[[#This Row],[ppn_z]],tbl_Historique_Final[[#This Row],[ppn_z]],tbl_Historique_Final[[#This Row],[date_modif]])=Final_Sans_VGE[[#This Row],[date_modif]],
      "Ancien",
      "Modifié"),
   "Nouveau")),"")</f>
        <v/>
      </c>
    </row>
    <row r="2186" spans="24:30" x14ac:dyDescent="0.25">
      <c r="X2186" s="8" t="e">
        <f>IF(Final_Sans_VGE[[#This Row],[ppn_z]]="","",IFERROR(
   IF(_xlfn.XLOOKUP(Final_Sans_VGE[[#This Row],[ppn_z]],tbl_Historique_Final[ppn_z],tbl_Historique_Final[date_modif])=Final_Sans_VGE[[#This Row],[date_modif]],
      "Ancien",
      "Modifié"),
   "Nouveau"))</f>
        <v>#VALUE!</v>
      </c>
      <c r="AD2186" s="1" t="str">
        <f>IFERROR(IF(Final_Sans_VGE[[#This Row],[ppn_z]]="","",IFERROR(
   IF(_xlfn.XLOOKUP(Final_Sans_VGE[[#This Row],[ppn_z]],tbl_Historique_Final[[#This Row],[ppn_z]],tbl_Historique_Final[[#This Row],[date_modif]])=Final_Sans_VGE[[#This Row],[date_modif]],
      "Ancien",
      "Modifié"),
   "Nouveau")),"")</f>
        <v/>
      </c>
    </row>
    <row r="2187" spans="24:30" x14ac:dyDescent="0.25">
      <c r="X2187" s="8" t="e">
        <f>IF(Final_Sans_VGE[[#This Row],[ppn_z]]="","",IFERROR(
   IF(_xlfn.XLOOKUP(Final_Sans_VGE[[#This Row],[ppn_z]],tbl_Historique_Final[ppn_z],tbl_Historique_Final[date_modif])=Final_Sans_VGE[[#This Row],[date_modif]],
      "Ancien",
      "Modifié"),
   "Nouveau"))</f>
        <v>#VALUE!</v>
      </c>
      <c r="AD2187" s="1" t="str">
        <f>IFERROR(IF(Final_Sans_VGE[[#This Row],[ppn_z]]="","",IFERROR(
   IF(_xlfn.XLOOKUP(Final_Sans_VGE[[#This Row],[ppn_z]],tbl_Historique_Final[[#This Row],[ppn_z]],tbl_Historique_Final[[#This Row],[date_modif]])=Final_Sans_VGE[[#This Row],[date_modif]],
      "Ancien",
      "Modifié"),
   "Nouveau")),"")</f>
        <v/>
      </c>
    </row>
    <row r="2188" spans="24:30" x14ac:dyDescent="0.25">
      <c r="X2188" s="8" t="e">
        <f>IF(Final_Sans_VGE[[#This Row],[ppn_z]]="","",IFERROR(
   IF(_xlfn.XLOOKUP(Final_Sans_VGE[[#This Row],[ppn_z]],tbl_Historique_Final[ppn_z],tbl_Historique_Final[date_modif])=Final_Sans_VGE[[#This Row],[date_modif]],
      "Ancien",
      "Modifié"),
   "Nouveau"))</f>
        <v>#VALUE!</v>
      </c>
      <c r="AD2188" s="1" t="str">
        <f>IFERROR(IF(Final_Sans_VGE[[#This Row],[ppn_z]]="","",IFERROR(
   IF(_xlfn.XLOOKUP(Final_Sans_VGE[[#This Row],[ppn_z]],tbl_Historique_Final[[#This Row],[ppn_z]],tbl_Historique_Final[[#This Row],[date_modif]])=Final_Sans_VGE[[#This Row],[date_modif]],
      "Ancien",
      "Modifié"),
   "Nouveau")),"")</f>
        <v/>
      </c>
    </row>
    <row r="2189" spans="24:30" x14ac:dyDescent="0.25">
      <c r="X2189" s="8" t="e">
        <f>IF(Final_Sans_VGE[[#This Row],[ppn_z]]="","",IFERROR(
   IF(_xlfn.XLOOKUP(Final_Sans_VGE[[#This Row],[ppn_z]],tbl_Historique_Final[ppn_z],tbl_Historique_Final[date_modif])=Final_Sans_VGE[[#This Row],[date_modif]],
      "Ancien",
      "Modifié"),
   "Nouveau"))</f>
        <v>#VALUE!</v>
      </c>
      <c r="AD2189" s="1" t="str">
        <f>IFERROR(IF(Final_Sans_VGE[[#This Row],[ppn_z]]="","",IFERROR(
   IF(_xlfn.XLOOKUP(Final_Sans_VGE[[#This Row],[ppn_z]],tbl_Historique_Final[[#This Row],[ppn_z]],tbl_Historique_Final[[#This Row],[date_modif]])=Final_Sans_VGE[[#This Row],[date_modif]],
      "Ancien",
      "Modifié"),
   "Nouveau")),"")</f>
        <v/>
      </c>
    </row>
    <row r="2190" spans="24:30" x14ac:dyDescent="0.25">
      <c r="X2190" s="8" t="e">
        <f>IF(Final_Sans_VGE[[#This Row],[ppn_z]]="","",IFERROR(
   IF(_xlfn.XLOOKUP(Final_Sans_VGE[[#This Row],[ppn_z]],tbl_Historique_Final[ppn_z],tbl_Historique_Final[date_modif])=Final_Sans_VGE[[#This Row],[date_modif]],
      "Ancien",
      "Modifié"),
   "Nouveau"))</f>
        <v>#VALUE!</v>
      </c>
      <c r="AD2190" s="1" t="str">
        <f>IFERROR(IF(Final_Sans_VGE[[#This Row],[ppn_z]]="","",IFERROR(
   IF(_xlfn.XLOOKUP(Final_Sans_VGE[[#This Row],[ppn_z]],tbl_Historique_Final[[#This Row],[ppn_z]],tbl_Historique_Final[[#This Row],[date_modif]])=Final_Sans_VGE[[#This Row],[date_modif]],
      "Ancien",
      "Modifié"),
   "Nouveau")),"")</f>
        <v/>
      </c>
    </row>
    <row r="2191" spans="24:30" x14ac:dyDescent="0.25">
      <c r="X2191" s="8" t="e">
        <f>IF(Final_Sans_VGE[[#This Row],[ppn_z]]="","",IFERROR(
   IF(_xlfn.XLOOKUP(Final_Sans_VGE[[#This Row],[ppn_z]],tbl_Historique_Final[ppn_z],tbl_Historique_Final[date_modif])=Final_Sans_VGE[[#This Row],[date_modif]],
      "Ancien",
      "Modifié"),
   "Nouveau"))</f>
        <v>#VALUE!</v>
      </c>
      <c r="AD2191" s="1" t="str">
        <f>IFERROR(IF(Final_Sans_VGE[[#This Row],[ppn_z]]="","",IFERROR(
   IF(_xlfn.XLOOKUP(Final_Sans_VGE[[#This Row],[ppn_z]],tbl_Historique_Final[[#This Row],[ppn_z]],tbl_Historique_Final[[#This Row],[date_modif]])=Final_Sans_VGE[[#This Row],[date_modif]],
      "Ancien",
      "Modifié"),
   "Nouveau")),"")</f>
        <v/>
      </c>
    </row>
    <row r="2192" spans="24:30" x14ac:dyDescent="0.25">
      <c r="X2192" s="8" t="e">
        <f>IF(Final_Sans_VGE[[#This Row],[ppn_z]]="","",IFERROR(
   IF(_xlfn.XLOOKUP(Final_Sans_VGE[[#This Row],[ppn_z]],tbl_Historique_Final[ppn_z],tbl_Historique_Final[date_modif])=Final_Sans_VGE[[#This Row],[date_modif]],
      "Ancien",
      "Modifié"),
   "Nouveau"))</f>
        <v>#VALUE!</v>
      </c>
      <c r="AD2192" s="1" t="str">
        <f>IFERROR(IF(Final_Sans_VGE[[#This Row],[ppn_z]]="","",IFERROR(
   IF(_xlfn.XLOOKUP(Final_Sans_VGE[[#This Row],[ppn_z]],tbl_Historique_Final[[#This Row],[ppn_z]],tbl_Historique_Final[[#This Row],[date_modif]])=Final_Sans_VGE[[#This Row],[date_modif]],
      "Ancien",
      "Modifié"),
   "Nouveau")),"")</f>
        <v/>
      </c>
    </row>
    <row r="2193" spans="24:30" x14ac:dyDescent="0.25">
      <c r="X2193" s="8" t="e">
        <f>IF(Final_Sans_VGE[[#This Row],[ppn_z]]="","",IFERROR(
   IF(_xlfn.XLOOKUP(Final_Sans_VGE[[#This Row],[ppn_z]],tbl_Historique_Final[ppn_z],tbl_Historique_Final[date_modif])=Final_Sans_VGE[[#This Row],[date_modif]],
      "Ancien",
      "Modifié"),
   "Nouveau"))</f>
        <v>#VALUE!</v>
      </c>
      <c r="AD2193" s="1" t="str">
        <f>IFERROR(IF(Final_Sans_VGE[[#This Row],[ppn_z]]="","",IFERROR(
   IF(_xlfn.XLOOKUP(Final_Sans_VGE[[#This Row],[ppn_z]],tbl_Historique_Final[[#This Row],[ppn_z]],tbl_Historique_Final[[#This Row],[date_modif]])=Final_Sans_VGE[[#This Row],[date_modif]],
      "Ancien",
      "Modifié"),
   "Nouveau")),"")</f>
        <v/>
      </c>
    </row>
    <row r="2194" spans="24:30" x14ac:dyDescent="0.25">
      <c r="X2194" s="8" t="e">
        <f>IF(Final_Sans_VGE[[#This Row],[ppn_z]]="","",IFERROR(
   IF(_xlfn.XLOOKUP(Final_Sans_VGE[[#This Row],[ppn_z]],tbl_Historique_Final[ppn_z],tbl_Historique_Final[date_modif])=Final_Sans_VGE[[#This Row],[date_modif]],
      "Ancien",
      "Modifié"),
   "Nouveau"))</f>
        <v>#VALUE!</v>
      </c>
      <c r="AD2194" s="1" t="str">
        <f>IFERROR(IF(Final_Sans_VGE[[#This Row],[ppn_z]]="","",IFERROR(
   IF(_xlfn.XLOOKUP(Final_Sans_VGE[[#This Row],[ppn_z]],tbl_Historique_Final[[#This Row],[ppn_z]],tbl_Historique_Final[[#This Row],[date_modif]])=Final_Sans_VGE[[#This Row],[date_modif]],
      "Ancien",
      "Modifié"),
   "Nouveau")),"")</f>
        <v/>
      </c>
    </row>
    <row r="2195" spans="24:30" x14ac:dyDescent="0.25">
      <c r="X2195" s="8" t="e">
        <f>IF(Final_Sans_VGE[[#This Row],[ppn_z]]="","",IFERROR(
   IF(_xlfn.XLOOKUP(Final_Sans_VGE[[#This Row],[ppn_z]],tbl_Historique_Final[ppn_z],tbl_Historique_Final[date_modif])=Final_Sans_VGE[[#This Row],[date_modif]],
      "Ancien",
      "Modifié"),
   "Nouveau"))</f>
        <v>#VALUE!</v>
      </c>
      <c r="AD2195" s="1" t="str">
        <f>IFERROR(IF(Final_Sans_VGE[[#This Row],[ppn_z]]="","",IFERROR(
   IF(_xlfn.XLOOKUP(Final_Sans_VGE[[#This Row],[ppn_z]],tbl_Historique_Final[[#This Row],[ppn_z]],tbl_Historique_Final[[#This Row],[date_modif]])=Final_Sans_VGE[[#This Row],[date_modif]],
      "Ancien",
      "Modifié"),
   "Nouveau")),"")</f>
        <v/>
      </c>
    </row>
    <row r="2196" spans="24:30" x14ac:dyDescent="0.25">
      <c r="X2196" s="8" t="e">
        <f>IF(Final_Sans_VGE[[#This Row],[ppn_z]]="","",IFERROR(
   IF(_xlfn.XLOOKUP(Final_Sans_VGE[[#This Row],[ppn_z]],tbl_Historique_Final[ppn_z],tbl_Historique_Final[date_modif])=Final_Sans_VGE[[#This Row],[date_modif]],
      "Ancien",
      "Modifié"),
   "Nouveau"))</f>
        <v>#VALUE!</v>
      </c>
      <c r="AD2196" s="1" t="str">
        <f>IFERROR(IF(Final_Sans_VGE[[#This Row],[ppn_z]]="","",IFERROR(
   IF(_xlfn.XLOOKUP(Final_Sans_VGE[[#This Row],[ppn_z]],tbl_Historique_Final[[#This Row],[ppn_z]],tbl_Historique_Final[[#This Row],[date_modif]])=Final_Sans_VGE[[#This Row],[date_modif]],
      "Ancien",
      "Modifié"),
   "Nouveau")),"")</f>
        <v/>
      </c>
    </row>
    <row r="2197" spans="24:30" x14ac:dyDescent="0.25">
      <c r="X2197" s="8" t="e">
        <f>IF(Final_Sans_VGE[[#This Row],[ppn_z]]="","",IFERROR(
   IF(_xlfn.XLOOKUP(Final_Sans_VGE[[#This Row],[ppn_z]],tbl_Historique_Final[ppn_z],tbl_Historique_Final[date_modif])=Final_Sans_VGE[[#This Row],[date_modif]],
      "Ancien",
      "Modifié"),
   "Nouveau"))</f>
        <v>#VALUE!</v>
      </c>
      <c r="AD2197" s="1" t="str">
        <f>IFERROR(IF(Final_Sans_VGE[[#This Row],[ppn_z]]="","",IFERROR(
   IF(_xlfn.XLOOKUP(Final_Sans_VGE[[#This Row],[ppn_z]],tbl_Historique_Final[[#This Row],[ppn_z]],tbl_Historique_Final[[#This Row],[date_modif]])=Final_Sans_VGE[[#This Row],[date_modif]],
      "Ancien",
      "Modifié"),
   "Nouveau")),"")</f>
        <v/>
      </c>
    </row>
    <row r="2198" spans="24:30" x14ac:dyDescent="0.25">
      <c r="X2198" s="8" t="e">
        <f>IF(Final_Sans_VGE[[#This Row],[ppn_z]]="","",IFERROR(
   IF(_xlfn.XLOOKUP(Final_Sans_VGE[[#This Row],[ppn_z]],tbl_Historique_Final[ppn_z],tbl_Historique_Final[date_modif])=Final_Sans_VGE[[#This Row],[date_modif]],
      "Ancien",
      "Modifié"),
   "Nouveau"))</f>
        <v>#VALUE!</v>
      </c>
      <c r="AD2198" s="1" t="str">
        <f>IFERROR(IF(Final_Sans_VGE[[#This Row],[ppn_z]]="","",IFERROR(
   IF(_xlfn.XLOOKUP(Final_Sans_VGE[[#This Row],[ppn_z]],tbl_Historique_Final[[#This Row],[ppn_z]],tbl_Historique_Final[[#This Row],[date_modif]])=Final_Sans_VGE[[#This Row],[date_modif]],
      "Ancien",
      "Modifié"),
   "Nouveau")),"")</f>
        <v/>
      </c>
    </row>
    <row r="2199" spans="24:30" x14ac:dyDescent="0.25">
      <c r="X2199" s="8" t="e">
        <f>IF(Final_Sans_VGE[[#This Row],[ppn_z]]="","",IFERROR(
   IF(_xlfn.XLOOKUP(Final_Sans_VGE[[#This Row],[ppn_z]],tbl_Historique_Final[ppn_z],tbl_Historique_Final[date_modif])=Final_Sans_VGE[[#This Row],[date_modif]],
      "Ancien",
      "Modifié"),
   "Nouveau"))</f>
        <v>#VALUE!</v>
      </c>
      <c r="AD2199" s="1" t="str">
        <f>IFERROR(IF(Final_Sans_VGE[[#This Row],[ppn_z]]="","",IFERROR(
   IF(_xlfn.XLOOKUP(Final_Sans_VGE[[#This Row],[ppn_z]],tbl_Historique_Final[[#This Row],[ppn_z]],tbl_Historique_Final[[#This Row],[date_modif]])=Final_Sans_VGE[[#This Row],[date_modif]],
      "Ancien",
      "Modifié"),
   "Nouveau")),"")</f>
        <v/>
      </c>
    </row>
    <row r="2200" spans="24:30" x14ac:dyDescent="0.25">
      <c r="X2200" s="8" t="e">
        <f>IF(Final_Sans_VGE[[#This Row],[ppn_z]]="","",IFERROR(
   IF(_xlfn.XLOOKUP(Final_Sans_VGE[[#This Row],[ppn_z]],tbl_Historique_Final[ppn_z],tbl_Historique_Final[date_modif])=Final_Sans_VGE[[#This Row],[date_modif]],
      "Ancien",
      "Modifié"),
   "Nouveau"))</f>
        <v>#VALUE!</v>
      </c>
      <c r="AD2200" s="1" t="str">
        <f>IFERROR(IF(Final_Sans_VGE[[#This Row],[ppn_z]]="","",IFERROR(
   IF(_xlfn.XLOOKUP(Final_Sans_VGE[[#This Row],[ppn_z]],tbl_Historique_Final[[#This Row],[ppn_z]],tbl_Historique_Final[[#This Row],[date_modif]])=Final_Sans_VGE[[#This Row],[date_modif]],
      "Ancien",
      "Modifié"),
   "Nouveau")),"")</f>
        <v/>
      </c>
    </row>
    <row r="2201" spans="24:30" x14ac:dyDescent="0.25">
      <c r="X2201" s="8" t="e">
        <f>IF(Final_Sans_VGE[[#This Row],[ppn_z]]="","",IFERROR(
   IF(_xlfn.XLOOKUP(Final_Sans_VGE[[#This Row],[ppn_z]],tbl_Historique_Final[ppn_z],tbl_Historique_Final[date_modif])=Final_Sans_VGE[[#This Row],[date_modif]],
      "Ancien",
      "Modifié"),
   "Nouveau"))</f>
        <v>#VALUE!</v>
      </c>
      <c r="AD2201" s="1" t="str">
        <f>IFERROR(IF(Final_Sans_VGE[[#This Row],[ppn_z]]="","",IFERROR(
   IF(_xlfn.XLOOKUP(Final_Sans_VGE[[#This Row],[ppn_z]],tbl_Historique_Final[[#This Row],[ppn_z]],tbl_Historique_Final[[#This Row],[date_modif]])=Final_Sans_VGE[[#This Row],[date_modif]],
      "Ancien",
      "Modifié"),
   "Nouveau")),"")</f>
        <v/>
      </c>
    </row>
    <row r="2202" spans="24:30" x14ac:dyDescent="0.25">
      <c r="X2202" s="8" t="e">
        <f>IF(Final_Sans_VGE[[#This Row],[ppn_z]]="","",IFERROR(
   IF(_xlfn.XLOOKUP(Final_Sans_VGE[[#This Row],[ppn_z]],tbl_Historique_Final[ppn_z],tbl_Historique_Final[date_modif])=Final_Sans_VGE[[#This Row],[date_modif]],
      "Ancien",
      "Modifié"),
   "Nouveau"))</f>
        <v>#VALUE!</v>
      </c>
      <c r="AD2202" s="1" t="str">
        <f>IFERROR(IF(Final_Sans_VGE[[#This Row],[ppn_z]]="","",IFERROR(
   IF(_xlfn.XLOOKUP(Final_Sans_VGE[[#This Row],[ppn_z]],tbl_Historique_Final[[#This Row],[ppn_z]],tbl_Historique_Final[[#This Row],[date_modif]])=Final_Sans_VGE[[#This Row],[date_modif]],
      "Ancien",
      "Modifié"),
   "Nouveau")),"")</f>
        <v/>
      </c>
    </row>
    <row r="2203" spans="24:30" x14ac:dyDescent="0.25">
      <c r="X2203" s="8" t="e">
        <f>IF(Final_Sans_VGE[[#This Row],[ppn_z]]="","",IFERROR(
   IF(_xlfn.XLOOKUP(Final_Sans_VGE[[#This Row],[ppn_z]],tbl_Historique_Final[ppn_z],tbl_Historique_Final[date_modif])=Final_Sans_VGE[[#This Row],[date_modif]],
      "Ancien",
      "Modifié"),
   "Nouveau"))</f>
        <v>#VALUE!</v>
      </c>
      <c r="AD2203" s="1" t="str">
        <f>IFERROR(IF(Final_Sans_VGE[[#This Row],[ppn_z]]="","",IFERROR(
   IF(_xlfn.XLOOKUP(Final_Sans_VGE[[#This Row],[ppn_z]],tbl_Historique_Final[[#This Row],[ppn_z]],tbl_Historique_Final[[#This Row],[date_modif]])=Final_Sans_VGE[[#This Row],[date_modif]],
      "Ancien",
      "Modifié"),
   "Nouveau")),"")</f>
        <v/>
      </c>
    </row>
    <row r="2204" spans="24:30" x14ac:dyDescent="0.25">
      <c r="X2204" s="8" t="e">
        <f>IF(Final_Sans_VGE[[#This Row],[ppn_z]]="","",IFERROR(
   IF(_xlfn.XLOOKUP(Final_Sans_VGE[[#This Row],[ppn_z]],tbl_Historique_Final[ppn_z],tbl_Historique_Final[date_modif])=Final_Sans_VGE[[#This Row],[date_modif]],
      "Ancien",
      "Modifié"),
   "Nouveau"))</f>
        <v>#VALUE!</v>
      </c>
      <c r="AD2204" s="1" t="str">
        <f>IFERROR(IF(Final_Sans_VGE[[#This Row],[ppn_z]]="","",IFERROR(
   IF(_xlfn.XLOOKUP(Final_Sans_VGE[[#This Row],[ppn_z]],tbl_Historique_Final[[#This Row],[ppn_z]],tbl_Historique_Final[[#This Row],[date_modif]])=Final_Sans_VGE[[#This Row],[date_modif]],
      "Ancien",
      "Modifié"),
   "Nouveau")),"")</f>
        <v/>
      </c>
    </row>
    <row r="2205" spans="24:30" x14ac:dyDescent="0.25">
      <c r="X2205" s="8" t="e">
        <f>IF(Final_Sans_VGE[[#This Row],[ppn_z]]="","",IFERROR(
   IF(_xlfn.XLOOKUP(Final_Sans_VGE[[#This Row],[ppn_z]],tbl_Historique_Final[ppn_z],tbl_Historique_Final[date_modif])=Final_Sans_VGE[[#This Row],[date_modif]],
      "Ancien",
      "Modifié"),
   "Nouveau"))</f>
        <v>#VALUE!</v>
      </c>
      <c r="AD2205" s="1" t="str">
        <f>IFERROR(IF(Final_Sans_VGE[[#This Row],[ppn_z]]="","",IFERROR(
   IF(_xlfn.XLOOKUP(Final_Sans_VGE[[#This Row],[ppn_z]],tbl_Historique_Final[[#This Row],[ppn_z]],tbl_Historique_Final[[#This Row],[date_modif]])=Final_Sans_VGE[[#This Row],[date_modif]],
      "Ancien",
      "Modifié"),
   "Nouveau")),"")</f>
        <v/>
      </c>
    </row>
    <row r="2206" spans="24:30" x14ac:dyDescent="0.25">
      <c r="X2206" s="8" t="e">
        <f>IF(Final_Sans_VGE[[#This Row],[ppn_z]]="","",IFERROR(
   IF(_xlfn.XLOOKUP(Final_Sans_VGE[[#This Row],[ppn_z]],tbl_Historique_Final[ppn_z],tbl_Historique_Final[date_modif])=Final_Sans_VGE[[#This Row],[date_modif]],
      "Ancien",
      "Modifié"),
   "Nouveau"))</f>
        <v>#VALUE!</v>
      </c>
      <c r="AD2206" s="1" t="str">
        <f>IFERROR(IF(Final_Sans_VGE[[#This Row],[ppn_z]]="","",IFERROR(
   IF(_xlfn.XLOOKUP(Final_Sans_VGE[[#This Row],[ppn_z]],tbl_Historique_Final[[#This Row],[ppn_z]],tbl_Historique_Final[[#This Row],[date_modif]])=Final_Sans_VGE[[#This Row],[date_modif]],
      "Ancien",
      "Modifié"),
   "Nouveau")),"")</f>
        <v/>
      </c>
    </row>
    <row r="2207" spans="24:30" x14ac:dyDescent="0.25">
      <c r="X2207" s="8" t="e">
        <f>IF(Final_Sans_VGE[[#This Row],[ppn_z]]="","",IFERROR(
   IF(_xlfn.XLOOKUP(Final_Sans_VGE[[#This Row],[ppn_z]],tbl_Historique_Final[ppn_z],tbl_Historique_Final[date_modif])=Final_Sans_VGE[[#This Row],[date_modif]],
      "Ancien",
      "Modifié"),
   "Nouveau"))</f>
        <v>#VALUE!</v>
      </c>
      <c r="AD2207" s="1" t="str">
        <f>IFERROR(IF(Final_Sans_VGE[[#This Row],[ppn_z]]="","",IFERROR(
   IF(_xlfn.XLOOKUP(Final_Sans_VGE[[#This Row],[ppn_z]],tbl_Historique_Final[[#This Row],[ppn_z]],tbl_Historique_Final[[#This Row],[date_modif]])=Final_Sans_VGE[[#This Row],[date_modif]],
      "Ancien",
      "Modifié"),
   "Nouveau")),"")</f>
        <v/>
      </c>
    </row>
    <row r="2208" spans="24:30" x14ac:dyDescent="0.25">
      <c r="X2208" s="8" t="e">
        <f>IF(Final_Sans_VGE[[#This Row],[ppn_z]]="","",IFERROR(
   IF(_xlfn.XLOOKUP(Final_Sans_VGE[[#This Row],[ppn_z]],tbl_Historique_Final[ppn_z],tbl_Historique_Final[date_modif])=Final_Sans_VGE[[#This Row],[date_modif]],
      "Ancien",
      "Modifié"),
   "Nouveau"))</f>
        <v>#VALUE!</v>
      </c>
      <c r="AD2208" s="1" t="str">
        <f>IFERROR(IF(Final_Sans_VGE[[#This Row],[ppn_z]]="","",IFERROR(
   IF(_xlfn.XLOOKUP(Final_Sans_VGE[[#This Row],[ppn_z]],tbl_Historique_Final[[#This Row],[ppn_z]],tbl_Historique_Final[[#This Row],[date_modif]])=Final_Sans_VGE[[#This Row],[date_modif]],
      "Ancien",
      "Modifié"),
   "Nouveau")),"")</f>
        <v/>
      </c>
    </row>
    <row r="2209" spans="24:30" x14ac:dyDescent="0.25">
      <c r="X2209" s="8" t="e">
        <f>IF(Final_Sans_VGE[[#This Row],[ppn_z]]="","",IFERROR(
   IF(_xlfn.XLOOKUP(Final_Sans_VGE[[#This Row],[ppn_z]],tbl_Historique_Final[ppn_z],tbl_Historique_Final[date_modif])=Final_Sans_VGE[[#This Row],[date_modif]],
      "Ancien",
      "Modifié"),
   "Nouveau"))</f>
        <v>#VALUE!</v>
      </c>
      <c r="AD2209" s="1" t="str">
        <f>IFERROR(IF(Final_Sans_VGE[[#This Row],[ppn_z]]="","",IFERROR(
   IF(_xlfn.XLOOKUP(Final_Sans_VGE[[#This Row],[ppn_z]],tbl_Historique_Final[[#This Row],[ppn_z]],tbl_Historique_Final[[#This Row],[date_modif]])=Final_Sans_VGE[[#This Row],[date_modif]],
      "Ancien",
      "Modifié"),
   "Nouveau")),"")</f>
        <v/>
      </c>
    </row>
    <row r="2210" spans="24:30" x14ac:dyDescent="0.25">
      <c r="X2210" s="8" t="e">
        <f>IF(Final_Sans_VGE[[#This Row],[ppn_z]]="","",IFERROR(
   IF(_xlfn.XLOOKUP(Final_Sans_VGE[[#This Row],[ppn_z]],tbl_Historique_Final[ppn_z],tbl_Historique_Final[date_modif])=Final_Sans_VGE[[#This Row],[date_modif]],
      "Ancien",
      "Modifié"),
   "Nouveau"))</f>
        <v>#VALUE!</v>
      </c>
      <c r="AD2210" s="1" t="str">
        <f>IFERROR(IF(Final_Sans_VGE[[#This Row],[ppn_z]]="","",IFERROR(
   IF(_xlfn.XLOOKUP(Final_Sans_VGE[[#This Row],[ppn_z]],tbl_Historique_Final[[#This Row],[ppn_z]],tbl_Historique_Final[[#This Row],[date_modif]])=Final_Sans_VGE[[#This Row],[date_modif]],
      "Ancien",
      "Modifié"),
   "Nouveau")),"")</f>
        <v/>
      </c>
    </row>
    <row r="2211" spans="24:30" x14ac:dyDescent="0.25">
      <c r="X2211" s="8" t="e">
        <f>IF(Final_Sans_VGE[[#This Row],[ppn_z]]="","",IFERROR(
   IF(_xlfn.XLOOKUP(Final_Sans_VGE[[#This Row],[ppn_z]],tbl_Historique_Final[ppn_z],tbl_Historique_Final[date_modif])=Final_Sans_VGE[[#This Row],[date_modif]],
      "Ancien",
      "Modifié"),
   "Nouveau"))</f>
        <v>#VALUE!</v>
      </c>
      <c r="AD2211" s="1" t="str">
        <f>IFERROR(IF(Final_Sans_VGE[[#This Row],[ppn_z]]="","",IFERROR(
   IF(_xlfn.XLOOKUP(Final_Sans_VGE[[#This Row],[ppn_z]],tbl_Historique_Final[[#This Row],[ppn_z]],tbl_Historique_Final[[#This Row],[date_modif]])=Final_Sans_VGE[[#This Row],[date_modif]],
      "Ancien",
      "Modifié"),
   "Nouveau")),"")</f>
        <v/>
      </c>
    </row>
    <row r="2212" spans="24:30" x14ac:dyDescent="0.25">
      <c r="X2212" s="8" t="e">
        <f>IF(Final_Sans_VGE[[#This Row],[ppn_z]]="","",IFERROR(
   IF(_xlfn.XLOOKUP(Final_Sans_VGE[[#This Row],[ppn_z]],tbl_Historique_Final[ppn_z],tbl_Historique_Final[date_modif])=Final_Sans_VGE[[#This Row],[date_modif]],
      "Ancien",
      "Modifié"),
   "Nouveau"))</f>
        <v>#VALUE!</v>
      </c>
      <c r="AD2212" s="1" t="str">
        <f>IFERROR(IF(Final_Sans_VGE[[#This Row],[ppn_z]]="","",IFERROR(
   IF(_xlfn.XLOOKUP(Final_Sans_VGE[[#This Row],[ppn_z]],tbl_Historique_Final[[#This Row],[ppn_z]],tbl_Historique_Final[[#This Row],[date_modif]])=Final_Sans_VGE[[#This Row],[date_modif]],
      "Ancien",
      "Modifié"),
   "Nouveau")),"")</f>
        <v/>
      </c>
    </row>
    <row r="2213" spans="24:30" x14ac:dyDescent="0.25">
      <c r="X2213" s="8" t="e">
        <f>IF(Final_Sans_VGE[[#This Row],[ppn_z]]="","",IFERROR(
   IF(_xlfn.XLOOKUP(Final_Sans_VGE[[#This Row],[ppn_z]],tbl_Historique_Final[ppn_z],tbl_Historique_Final[date_modif])=Final_Sans_VGE[[#This Row],[date_modif]],
      "Ancien",
      "Modifié"),
   "Nouveau"))</f>
        <v>#VALUE!</v>
      </c>
      <c r="AD2213" s="1" t="str">
        <f>IFERROR(IF(Final_Sans_VGE[[#This Row],[ppn_z]]="","",IFERROR(
   IF(_xlfn.XLOOKUP(Final_Sans_VGE[[#This Row],[ppn_z]],tbl_Historique_Final[[#This Row],[ppn_z]],tbl_Historique_Final[[#This Row],[date_modif]])=Final_Sans_VGE[[#This Row],[date_modif]],
      "Ancien",
      "Modifié"),
   "Nouveau")),"")</f>
        <v/>
      </c>
    </row>
    <row r="2214" spans="24:30" x14ac:dyDescent="0.25">
      <c r="X2214" s="8" t="e">
        <f>IF(Final_Sans_VGE[[#This Row],[ppn_z]]="","",IFERROR(
   IF(_xlfn.XLOOKUP(Final_Sans_VGE[[#This Row],[ppn_z]],tbl_Historique_Final[ppn_z],tbl_Historique_Final[date_modif])=Final_Sans_VGE[[#This Row],[date_modif]],
      "Ancien",
      "Modifié"),
   "Nouveau"))</f>
        <v>#VALUE!</v>
      </c>
      <c r="AD2214" s="1" t="str">
        <f>IFERROR(IF(Final_Sans_VGE[[#This Row],[ppn_z]]="","",IFERROR(
   IF(_xlfn.XLOOKUP(Final_Sans_VGE[[#This Row],[ppn_z]],tbl_Historique_Final[[#This Row],[ppn_z]],tbl_Historique_Final[[#This Row],[date_modif]])=Final_Sans_VGE[[#This Row],[date_modif]],
      "Ancien",
      "Modifié"),
   "Nouveau")),"")</f>
        <v/>
      </c>
    </row>
    <row r="2215" spans="24:30" x14ac:dyDescent="0.25">
      <c r="X2215" s="8" t="e">
        <f>IF(Final_Sans_VGE[[#This Row],[ppn_z]]="","",IFERROR(
   IF(_xlfn.XLOOKUP(Final_Sans_VGE[[#This Row],[ppn_z]],tbl_Historique_Final[ppn_z],tbl_Historique_Final[date_modif])=Final_Sans_VGE[[#This Row],[date_modif]],
      "Ancien",
      "Modifié"),
   "Nouveau"))</f>
        <v>#VALUE!</v>
      </c>
      <c r="AD2215" s="1" t="str">
        <f>IFERROR(IF(Final_Sans_VGE[[#This Row],[ppn_z]]="","",IFERROR(
   IF(_xlfn.XLOOKUP(Final_Sans_VGE[[#This Row],[ppn_z]],tbl_Historique_Final[[#This Row],[ppn_z]],tbl_Historique_Final[[#This Row],[date_modif]])=Final_Sans_VGE[[#This Row],[date_modif]],
      "Ancien",
      "Modifié"),
   "Nouveau")),"")</f>
        <v/>
      </c>
    </row>
    <row r="2216" spans="24:30" x14ac:dyDescent="0.25">
      <c r="X2216" s="8" t="e">
        <f>IF(Final_Sans_VGE[[#This Row],[ppn_z]]="","",IFERROR(
   IF(_xlfn.XLOOKUP(Final_Sans_VGE[[#This Row],[ppn_z]],tbl_Historique_Final[ppn_z],tbl_Historique_Final[date_modif])=Final_Sans_VGE[[#This Row],[date_modif]],
      "Ancien",
      "Modifié"),
   "Nouveau"))</f>
        <v>#VALUE!</v>
      </c>
      <c r="AD2216" s="1" t="str">
        <f>IFERROR(IF(Final_Sans_VGE[[#This Row],[ppn_z]]="","",IFERROR(
   IF(_xlfn.XLOOKUP(Final_Sans_VGE[[#This Row],[ppn_z]],tbl_Historique_Final[[#This Row],[ppn_z]],tbl_Historique_Final[[#This Row],[date_modif]])=Final_Sans_VGE[[#This Row],[date_modif]],
      "Ancien",
      "Modifié"),
   "Nouveau")),"")</f>
        <v/>
      </c>
    </row>
    <row r="2217" spans="24:30" x14ac:dyDescent="0.25">
      <c r="X2217" s="8" t="e">
        <f>IF(Final_Sans_VGE[[#This Row],[ppn_z]]="","",IFERROR(
   IF(_xlfn.XLOOKUP(Final_Sans_VGE[[#This Row],[ppn_z]],tbl_Historique_Final[ppn_z],tbl_Historique_Final[date_modif])=Final_Sans_VGE[[#This Row],[date_modif]],
      "Ancien",
      "Modifié"),
   "Nouveau"))</f>
        <v>#VALUE!</v>
      </c>
      <c r="AD2217" s="1" t="str">
        <f>IFERROR(IF(Final_Sans_VGE[[#This Row],[ppn_z]]="","",IFERROR(
   IF(_xlfn.XLOOKUP(Final_Sans_VGE[[#This Row],[ppn_z]],tbl_Historique_Final[[#This Row],[ppn_z]],tbl_Historique_Final[[#This Row],[date_modif]])=Final_Sans_VGE[[#This Row],[date_modif]],
      "Ancien",
      "Modifié"),
   "Nouveau")),"")</f>
        <v/>
      </c>
    </row>
    <row r="2218" spans="24:30" x14ac:dyDescent="0.25">
      <c r="X2218" s="8" t="e">
        <f>IF(Final_Sans_VGE[[#This Row],[ppn_z]]="","",IFERROR(
   IF(_xlfn.XLOOKUP(Final_Sans_VGE[[#This Row],[ppn_z]],tbl_Historique_Final[ppn_z],tbl_Historique_Final[date_modif])=Final_Sans_VGE[[#This Row],[date_modif]],
      "Ancien",
      "Modifié"),
   "Nouveau"))</f>
        <v>#VALUE!</v>
      </c>
      <c r="AD2218" s="1" t="str">
        <f>IFERROR(IF(Final_Sans_VGE[[#This Row],[ppn_z]]="","",IFERROR(
   IF(_xlfn.XLOOKUP(Final_Sans_VGE[[#This Row],[ppn_z]],tbl_Historique_Final[[#This Row],[ppn_z]],tbl_Historique_Final[[#This Row],[date_modif]])=Final_Sans_VGE[[#This Row],[date_modif]],
      "Ancien",
      "Modifié"),
   "Nouveau")),"")</f>
        <v/>
      </c>
    </row>
    <row r="2219" spans="24:30" x14ac:dyDescent="0.25">
      <c r="X2219" s="8" t="e">
        <f>IF(Final_Sans_VGE[[#This Row],[ppn_z]]="","",IFERROR(
   IF(_xlfn.XLOOKUP(Final_Sans_VGE[[#This Row],[ppn_z]],tbl_Historique_Final[ppn_z],tbl_Historique_Final[date_modif])=Final_Sans_VGE[[#This Row],[date_modif]],
      "Ancien",
      "Modifié"),
   "Nouveau"))</f>
        <v>#VALUE!</v>
      </c>
      <c r="AD2219" s="1" t="str">
        <f>IFERROR(IF(Final_Sans_VGE[[#This Row],[ppn_z]]="","",IFERROR(
   IF(_xlfn.XLOOKUP(Final_Sans_VGE[[#This Row],[ppn_z]],tbl_Historique_Final[[#This Row],[ppn_z]],tbl_Historique_Final[[#This Row],[date_modif]])=Final_Sans_VGE[[#This Row],[date_modif]],
      "Ancien",
      "Modifié"),
   "Nouveau")),"")</f>
        <v/>
      </c>
    </row>
    <row r="2220" spans="24:30" x14ac:dyDescent="0.25">
      <c r="X2220" s="8" t="e">
        <f>IF(Final_Sans_VGE[[#This Row],[ppn_z]]="","",IFERROR(
   IF(_xlfn.XLOOKUP(Final_Sans_VGE[[#This Row],[ppn_z]],tbl_Historique_Final[ppn_z],tbl_Historique_Final[date_modif])=Final_Sans_VGE[[#This Row],[date_modif]],
      "Ancien",
      "Modifié"),
   "Nouveau"))</f>
        <v>#VALUE!</v>
      </c>
      <c r="AD2220" s="1" t="str">
        <f>IFERROR(IF(Final_Sans_VGE[[#This Row],[ppn_z]]="","",IFERROR(
   IF(_xlfn.XLOOKUP(Final_Sans_VGE[[#This Row],[ppn_z]],tbl_Historique_Final[[#This Row],[ppn_z]],tbl_Historique_Final[[#This Row],[date_modif]])=Final_Sans_VGE[[#This Row],[date_modif]],
      "Ancien",
      "Modifié"),
   "Nouveau")),"")</f>
        <v/>
      </c>
    </row>
    <row r="2221" spans="24:30" x14ac:dyDescent="0.25">
      <c r="X2221" s="8" t="e">
        <f>IF(Final_Sans_VGE[[#This Row],[ppn_z]]="","",IFERROR(
   IF(_xlfn.XLOOKUP(Final_Sans_VGE[[#This Row],[ppn_z]],tbl_Historique_Final[ppn_z],tbl_Historique_Final[date_modif])=Final_Sans_VGE[[#This Row],[date_modif]],
      "Ancien",
      "Modifié"),
   "Nouveau"))</f>
        <v>#VALUE!</v>
      </c>
      <c r="AD2221" s="1" t="str">
        <f>IFERROR(IF(Final_Sans_VGE[[#This Row],[ppn_z]]="","",IFERROR(
   IF(_xlfn.XLOOKUP(Final_Sans_VGE[[#This Row],[ppn_z]],tbl_Historique_Final[[#This Row],[ppn_z]],tbl_Historique_Final[[#This Row],[date_modif]])=Final_Sans_VGE[[#This Row],[date_modif]],
      "Ancien",
      "Modifié"),
   "Nouveau")),"")</f>
        <v/>
      </c>
    </row>
    <row r="2222" spans="24:30" x14ac:dyDescent="0.25">
      <c r="X2222" s="8" t="e">
        <f>IF(Final_Sans_VGE[[#This Row],[ppn_z]]="","",IFERROR(
   IF(_xlfn.XLOOKUP(Final_Sans_VGE[[#This Row],[ppn_z]],tbl_Historique_Final[ppn_z],tbl_Historique_Final[date_modif])=Final_Sans_VGE[[#This Row],[date_modif]],
      "Ancien",
      "Modifié"),
   "Nouveau"))</f>
        <v>#VALUE!</v>
      </c>
      <c r="AD2222" s="1" t="str">
        <f>IFERROR(IF(Final_Sans_VGE[[#This Row],[ppn_z]]="","",IFERROR(
   IF(_xlfn.XLOOKUP(Final_Sans_VGE[[#This Row],[ppn_z]],tbl_Historique_Final[[#This Row],[ppn_z]],tbl_Historique_Final[[#This Row],[date_modif]])=Final_Sans_VGE[[#This Row],[date_modif]],
      "Ancien",
      "Modifié"),
   "Nouveau")),"")</f>
        <v/>
      </c>
    </row>
    <row r="2223" spans="24:30" x14ac:dyDescent="0.25">
      <c r="X2223" s="8" t="e">
        <f>IF(Final_Sans_VGE[[#This Row],[ppn_z]]="","",IFERROR(
   IF(_xlfn.XLOOKUP(Final_Sans_VGE[[#This Row],[ppn_z]],tbl_Historique_Final[ppn_z],tbl_Historique_Final[date_modif])=Final_Sans_VGE[[#This Row],[date_modif]],
      "Ancien",
      "Modifié"),
   "Nouveau"))</f>
        <v>#VALUE!</v>
      </c>
      <c r="AD2223" s="1" t="str">
        <f>IFERROR(IF(Final_Sans_VGE[[#This Row],[ppn_z]]="","",IFERROR(
   IF(_xlfn.XLOOKUP(Final_Sans_VGE[[#This Row],[ppn_z]],tbl_Historique_Final[[#This Row],[ppn_z]],tbl_Historique_Final[[#This Row],[date_modif]])=Final_Sans_VGE[[#This Row],[date_modif]],
      "Ancien",
      "Modifié"),
   "Nouveau")),"")</f>
        <v/>
      </c>
    </row>
    <row r="2224" spans="24:30" x14ac:dyDescent="0.25">
      <c r="X2224" s="8" t="e">
        <f>IF(Final_Sans_VGE[[#This Row],[ppn_z]]="","",IFERROR(
   IF(_xlfn.XLOOKUP(Final_Sans_VGE[[#This Row],[ppn_z]],tbl_Historique_Final[ppn_z],tbl_Historique_Final[date_modif])=Final_Sans_VGE[[#This Row],[date_modif]],
      "Ancien",
      "Modifié"),
   "Nouveau"))</f>
        <v>#VALUE!</v>
      </c>
      <c r="AD2224" s="1" t="str">
        <f>IFERROR(IF(Final_Sans_VGE[[#This Row],[ppn_z]]="","",IFERROR(
   IF(_xlfn.XLOOKUP(Final_Sans_VGE[[#This Row],[ppn_z]],tbl_Historique_Final[[#This Row],[ppn_z]],tbl_Historique_Final[[#This Row],[date_modif]])=Final_Sans_VGE[[#This Row],[date_modif]],
      "Ancien",
      "Modifié"),
   "Nouveau")),"")</f>
        <v/>
      </c>
    </row>
    <row r="2225" spans="24:30" x14ac:dyDescent="0.25">
      <c r="X2225" s="8" t="e">
        <f>IF(Final_Sans_VGE[[#This Row],[ppn_z]]="","",IFERROR(
   IF(_xlfn.XLOOKUP(Final_Sans_VGE[[#This Row],[ppn_z]],tbl_Historique_Final[ppn_z],tbl_Historique_Final[date_modif])=Final_Sans_VGE[[#This Row],[date_modif]],
      "Ancien",
      "Modifié"),
   "Nouveau"))</f>
        <v>#VALUE!</v>
      </c>
      <c r="AD2225" s="1" t="str">
        <f>IFERROR(IF(Final_Sans_VGE[[#This Row],[ppn_z]]="","",IFERROR(
   IF(_xlfn.XLOOKUP(Final_Sans_VGE[[#This Row],[ppn_z]],tbl_Historique_Final[[#This Row],[ppn_z]],tbl_Historique_Final[[#This Row],[date_modif]])=Final_Sans_VGE[[#This Row],[date_modif]],
      "Ancien",
      "Modifié"),
   "Nouveau")),"")</f>
        <v/>
      </c>
    </row>
    <row r="2226" spans="24:30" x14ac:dyDescent="0.25">
      <c r="X2226" s="8" t="e">
        <f>IF(Final_Sans_VGE[[#This Row],[ppn_z]]="","",IFERROR(
   IF(_xlfn.XLOOKUP(Final_Sans_VGE[[#This Row],[ppn_z]],tbl_Historique_Final[ppn_z],tbl_Historique_Final[date_modif])=Final_Sans_VGE[[#This Row],[date_modif]],
      "Ancien",
      "Modifié"),
   "Nouveau"))</f>
        <v>#VALUE!</v>
      </c>
      <c r="AD2226" s="1" t="str">
        <f>IFERROR(IF(Final_Sans_VGE[[#This Row],[ppn_z]]="","",IFERROR(
   IF(_xlfn.XLOOKUP(Final_Sans_VGE[[#This Row],[ppn_z]],tbl_Historique_Final[[#This Row],[ppn_z]],tbl_Historique_Final[[#This Row],[date_modif]])=Final_Sans_VGE[[#This Row],[date_modif]],
      "Ancien",
      "Modifié"),
   "Nouveau")),"")</f>
        <v/>
      </c>
    </row>
    <row r="2227" spans="24:30" x14ac:dyDescent="0.25">
      <c r="X2227" s="8" t="e">
        <f>IF(Final_Sans_VGE[[#This Row],[ppn_z]]="","",IFERROR(
   IF(_xlfn.XLOOKUP(Final_Sans_VGE[[#This Row],[ppn_z]],tbl_Historique_Final[ppn_z],tbl_Historique_Final[date_modif])=Final_Sans_VGE[[#This Row],[date_modif]],
      "Ancien",
      "Modifié"),
   "Nouveau"))</f>
        <v>#VALUE!</v>
      </c>
      <c r="AD2227" s="1" t="str">
        <f>IFERROR(IF(Final_Sans_VGE[[#This Row],[ppn_z]]="","",IFERROR(
   IF(_xlfn.XLOOKUP(Final_Sans_VGE[[#This Row],[ppn_z]],tbl_Historique_Final[[#This Row],[ppn_z]],tbl_Historique_Final[[#This Row],[date_modif]])=Final_Sans_VGE[[#This Row],[date_modif]],
      "Ancien",
      "Modifié"),
   "Nouveau")),"")</f>
        <v/>
      </c>
    </row>
    <row r="2228" spans="24:30" x14ac:dyDescent="0.25">
      <c r="X2228" s="8" t="e">
        <f>IF(Final_Sans_VGE[[#This Row],[ppn_z]]="","",IFERROR(
   IF(_xlfn.XLOOKUP(Final_Sans_VGE[[#This Row],[ppn_z]],tbl_Historique_Final[ppn_z],tbl_Historique_Final[date_modif])=Final_Sans_VGE[[#This Row],[date_modif]],
      "Ancien",
      "Modifié"),
   "Nouveau"))</f>
        <v>#VALUE!</v>
      </c>
      <c r="AD2228" s="1" t="str">
        <f>IFERROR(IF(Final_Sans_VGE[[#This Row],[ppn_z]]="","",IFERROR(
   IF(_xlfn.XLOOKUP(Final_Sans_VGE[[#This Row],[ppn_z]],tbl_Historique_Final[[#This Row],[ppn_z]],tbl_Historique_Final[[#This Row],[date_modif]])=Final_Sans_VGE[[#This Row],[date_modif]],
      "Ancien",
      "Modifié"),
   "Nouveau")),"")</f>
        <v/>
      </c>
    </row>
    <row r="2229" spans="24:30" x14ac:dyDescent="0.25">
      <c r="X2229" s="8" t="e">
        <f>IF(Final_Sans_VGE[[#This Row],[ppn_z]]="","",IFERROR(
   IF(_xlfn.XLOOKUP(Final_Sans_VGE[[#This Row],[ppn_z]],tbl_Historique_Final[ppn_z],tbl_Historique_Final[date_modif])=Final_Sans_VGE[[#This Row],[date_modif]],
      "Ancien",
      "Modifié"),
   "Nouveau"))</f>
        <v>#VALUE!</v>
      </c>
      <c r="AD2229" s="1" t="str">
        <f>IFERROR(IF(Final_Sans_VGE[[#This Row],[ppn_z]]="","",IFERROR(
   IF(_xlfn.XLOOKUP(Final_Sans_VGE[[#This Row],[ppn_z]],tbl_Historique_Final[[#This Row],[ppn_z]],tbl_Historique_Final[[#This Row],[date_modif]])=Final_Sans_VGE[[#This Row],[date_modif]],
      "Ancien",
      "Modifié"),
   "Nouveau")),"")</f>
        <v/>
      </c>
    </row>
    <row r="2230" spans="24:30" x14ac:dyDescent="0.25">
      <c r="X2230" s="8" t="e">
        <f>IF(Final_Sans_VGE[[#This Row],[ppn_z]]="","",IFERROR(
   IF(_xlfn.XLOOKUP(Final_Sans_VGE[[#This Row],[ppn_z]],tbl_Historique_Final[ppn_z],tbl_Historique_Final[date_modif])=Final_Sans_VGE[[#This Row],[date_modif]],
      "Ancien",
      "Modifié"),
   "Nouveau"))</f>
        <v>#VALUE!</v>
      </c>
      <c r="AD2230" s="1" t="str">
        <f>IFERROR(IF(Final_Sans_VGE[[#This Row],[ppn_z]]="","",IFERROR(
   IF(_xlfn.XLOOKUP(Final_Sans_VGE[[#This Row],[ppn_z]],tbl_Historique_Final[[#This Row],[ppn_z]],tbl_Historique_Final[[#This Row],[date_modif]])=Final_Sans_VGE[[#This Row],[date_modif]],
      "Ancien",
      "Modifié"),
   "Nouveau")),"")</f>
        <v/>
      </c>
    </row>
    <row r="2231" spans="24:30" x14ac:dyDescent="0.25">
      <c r="X2231" s="8" t="e">
        <f>IF(Final_Sans_VGE[[#This Row],[ppn_z]]="","",IFERROR(
   IF(_xlfn.XLOOKUP(Final_Sans_VGE[[#This Row],[ppn_z]],tbl_Historique_Final[ppn_z],tbl_Historique_Final[date_modif])=Final_Sans_VGE[[#This Row],[date_modif]],
      "Ancien",
      "Modifié"),
   "Nouveau"))</f>
        <v>#VALUE!</v>
      </c>
      <c r="AD2231" s="1" t="str">
        <f>IFERROR(IF(Final_Sans_VGE[[#This Row],[ppn_z]]="","",IFERROR(
   IF(_xlfn.XLOOKUP(Final_Sans_VGE[[#This Row],[ppn_z]],tbl_Historique_Final[[#This Row],[ppn_z]],tbl_Historique_Final[[#This Row],[date_modif]])=Final_Sans_VGE[[#This Row],[date_modif]],
      "Ancien",
      "Modifié"),
   "Nouveau")),"")</f>
        <v/>
      </c>
    </row>
    <row r="2232" spans="24:30" x14ac:dyDescent="0.25">
      <c r="X2232" s="8" t="e">
        <f>IF(Final_Sans_VGE[[#This Row],[ppn_z]]="","",IFERROR(
   IF(_xlfn.XLOOKUP(Final_Sans_VGE[[#This Row],[ppn_z]],tbl_Historique_Final[ppn_z],tbl_Historique_Final[date_modif])=Final_Sans_VGE[[#This Row],[date_modif]],
      "Ancien",
      "Modifié"),
   "Nouveau"))</f>
        <v>#VALUE!</v>
      </c>
      <c r="AD2232" s="1" t="str">
        <f>IFERROR(IF(Final_Sans_VGE[[#This Row],[ppn_z]]="","",IFERROR(
   IF(_xlfn.XLOOKUP(Final_Sans_VGE[[#This Row],[ppn_z]],tbl_Historique_Final[[#This Row],[ppn_z]],tbl_Historique_Final[[#This Row],[date_modif]])=Final_Sans_VGE[[#This Row],[date_modif]],
      "Ancien",
      "Modifié"),
   "Nouveau")),"")</f>
        <v/>
      </c>
    </row>
    <row r="2233" spans="24:30" x14ac:dyDescent="0.25">
      <c r="X2233" s="8" t="e">
        <f>IF(Final_Sans_VGE[[#This Row],[ppn_z]]="","",IFERROR(
   IF(_xlfn.XLOOKUP(Final_Sans_VGE[[#This Row],[ppn_z]],tbl_Historique_Final[ppn_z],tbl_Historique_Final[date_modif])=Final_Sans_VGE[[#This Row],[date_modif]],
      "Ancien",
      "Modifié"),
   "Nouveau"))</f>
        <v>#VALUE!</v>
      </c>
      <c r="AD2233" s="1" t="str">
        <f>IFERROR(IF(Final_Sans_VGE[[#This Row],[ppn_z]]="","",IFERROR(
   IF(_xlfn.XLOOKUP(Final_Sans_VGE[[#This Row],[ppn_z]],tbl_Historique_Final[[#This Row],[ppn_z]],tbl_Historique_Final[[#This Row],[date_modif]])=Final_Sans_VGE[[#This Row],[date_modif]],
      "Ancien",
      "Modifié"),
   "Nouveau")),"")</f>
        <v/>
      </c>
    </row>
    <row r="2234" spans="24:30" x14ac:dyDescent="0.25">
      <c r="X2234" s="8" t="e">
        <f>IF(Final_Sans_VGE[[#This Row],[ppn_z]]="","",IFERROR(
   IF(_xlfn.XLOOKUP(Final_Sans_VGE[[#This Row],[ppn_z]],tbl_Historique_Final[ppn_z],tbl_Historique_Final[date_modif])=Final_Sans_VGE[[#This Row],[date_modif]],
      "Ancien",
      "Modifié"),
   "Nouveau"))</f>
        <v>#VALUE!</v>
      </c>
      <c r="AD2234" s="1" t="str">
        <f>IFERROR(IF(Final_Sans_VGE[[#This Row],[ppn_z]]="","",IFERROR(
   IF(_xlfn.XLOOKUP(Final_Sans_VGE[[#This Row],[ppn_z]],tbl_Historique_Final[[#This Row],[ppn_z]],tbl_Historique_Final[[#This Row],[date_modif]])=Final_Sans_VGE[[#This Row],[date_modif]],
      "Ancien",
      "Modifié"),
   "Nouveau")),"")</f>
        <v/>
      </c>
    </row>
    <row r="2235" spans="24:30" x14ac:dyDescent="0.25">
      <c r="X2235" s="8" t="e">
        <f>IF(Final_Sans_VGE[[#This Row],[ppn_z]]="","",IFERROR(
   IF(_xlfn.XLOOKUP(Final_Sans_VGE[[#This Row],[ppn_z]],tbl_Historique_Final[ppn_z],tbl_Historique_Final[date_modif])=Final_Sans_VGE[[#This Row],[date_modif]],
      "Ancien",
      "Modifié"),
   "Nouveau"))</f>
        <v>#VALUE!</v>
      </c>
      <c r="AD2235" s="1" t="str">
        <f>IFERROR(IF(Final_Sans_VGE[[#This Row],[ppn_z]]="","",IFERROR(
   IF(_xlfn.XLOOKUP(Final_Sans_VGE[[#This Row],[ppn_z]],tbl_Historique_Final[[#This Row],[ppn_z]],tbl_Historique_Final[[#This Row],[date_modif]])=Final_Sans_VGE[[#This Row],[date_modif]],
      "Ancien",
      "Modifié"),
   "Nouveau")),"")</f>
        <v/>
      </c>
    </row>
    <row r="2236" spans="24:30" x14ac:dyDescent="0.25">
      <c r="X2236" s="8" t="e">
        <f>IF(Final_Sans_VGE[[#This Row],[ppn_z]]="","",IFERROR(
   IF(_xlfn.XLOOKUP(Final_Sans_VGE[[#This Row],[ppn_z]],tbl_Historique_Final[ppn_z],tbl_Historique_Final[date_modif])=Final_Sans_VGE[[#This Row],[date_modif]],
      "Ancien",
      "Modifié"),
   "Nouveau"))</f>
        <v>#VALUE!</v>
      </c>
      <c r="AD2236" s="1" t="str">
        <f>IFERROR(IF(Final_Sans_VGE[[#This Row],[ppn_z]]="","",IFERROR(
   IF(_xlfn.XLOOKUP(Final_Sans_VGE[[#This Row],[ppn_z]],tbl_Historique_Final[[#This Row],[ppn_z]],tbl_Historique_Final[[#This Row],[date_modif]])=Final_Sans_VGE[[#This Row],[date_modif]],
      "Ancien",
      "Modifié"),
   "Nouveau")),"")</f>
        <v/>
      </c>
    </row>
    <row r="2237" spans="24:30" x14ac:dyDescent="0.25">
      <c r="X2237" s="8" t="e">
        <f>IF(Final_Sans_VGE[[#This Row],[ppn_z]]="","",IFERROR(
   IF(_xlfn.XLOOKUP(Final_Sans_VGE[[#This Row],[ppn_z]],tbl_Historique_Final[ppn_z],tbl_Historique_Final[date_modif])=Final_Sans_VGE[[#This Row],[date_modif]],
      "Ancien",
      "Modifié"),
   "Nouveau"))</f>
        <v>#VALUE!</v>
      </c>
      <c r="AD2237" s="1" t="str">
        <f>IFERROR(IF(Final_Sans_VGE[[#This Row],[ppn_z]]="","",IFERROR(
   IF(_xlfn.XLOOKUP(Final_Sans_VGE[[#This Row],[ppn_z]],tbl_Historique_Final[[#This Row],[ppn_z]],tbl_Historique_Final[[#This Row],[date_modif]])=Final_Sans_VGE[[#This Row],[date_modif]],
      "Ancien",
      "Modifié"),
   "Nouveau")),"")</f>
        <v/>
      </c>
    </row>
    <row r="2238" spans="24:30" x14ac:dyDescent="0.25">
      <c r="X2238" s="8" t="e">
        <f>IF(Final_Sans_VGE[[#This Row],[ppn_z]]="","",IFERROR(
   IF(_xlfn.XLOOKUP(Final_Sans_VGE[[#This Row],[ppn_z]],tbl_Historique_Final[ppn_z],tbl_Historique_Final[date_modif])=Final_Sans_VGE[[#This Row],[date_modif]],
      "Ancien",
      "Modifié"),
   "Nouveau"))</f>
        <v>#VALUE!</v>
      </c>
      <c r="AD2238" s="1" t="str">
        <f>IFERROR(IF(Final_Sans_VGE[[#This Row],[ppn_z]]="","",IFERROR(
   IF(_xlfn.XLOOKUP(Final_Sans_VGE[[#This Row],[ppn_z]],tbl_Historique_Final[[#This Row],[ppn_z]],tbl_Historique_Final[[#This Row],[date_modif]])=Final_Sans_VGE[[#This Row],[date_modif]],
      "Ancien",
      "Modifié"),
   "Nouveau")),"")</f>
        <v/>
      </c>
    </row>
    <row r="2239" spans="24:30" x14ac:dyDescent="0.25">
      <c r="X2239" s="8" t="e">
        <f>IF(Final_Sans_VGE[[#This Row],[ppn_z]]="","",IFERROR(
   IF(_xlfn.XLOOKUP(Final_Sans_VGE[[#This Row],[ppn_z]],tbl_Historique_Final[ppn_z],tbl_Historique_Final[date_modif])=Final_Sans_VGE[[#This Row],[date_modif]],
      "Ancien",
      "Modifié"),
   "Nouveau"))</f>
        <v>#VALUE!</v>
      </c>
      <c r="AD2239" s="1" t="str">
        <f>IFERROR(IF(Final_Sans_VGE[[#This Row],[ppn_z]]="","",IFERROR(
   IF(_xlfn.XLOOKUP(Final_Sans_VGE[[#This Row],[ppn_z]],tbl_Historique_Final[[#This Row],[ppn_z]],tbl_Historique_Final[[#This Row],[date_modif]])=Final_Sans_VGE[[#This Row],[date_modif]],
      "Ancien",
      "Modifié"),
   "Nouveau")),"")</f>
        <v/>
      </c>
    </row>
    <row r="2240" spans="24:30" x14ac:dyDescent="0.25">
      <c r="X2240" s="8" t="e">
        <f>IF(Final_Sans_VGE[[#This Row],[ppn_z]]="","",IFERROR(
   IF(_xlfn.XLOOKUP(Final_Sans_VGE[[#This Row],[ppn_z]],tbl_Historique_Final[ppn_z],tbl_Historique_Final[date_modif])=Final_Sans_VGE[[#This Row],[date_modif]],
      "Ancien",
      "Modifié"),
   "Nouveau"))</f>
        <v>#VALUE!</v>
      </c>
      <c r="AD2240" s="1" t="str">
        <f>IFERROR(IF(Final_Sans_VGE[[#This Row],[ppn_z]]="","",IFERROR(
   IF(_xlfn.XLOOKUP(Final_Sans_VGE[[#This Row],[ppn_z]],tbl_Historique_Final[[#This Row],[ppn_z]],tbl_Historique_Final[[#This Row],[date_modif]])=Final_Sans_VGE[[#This Row],[date_modif]],
      "Ancien",
      "Modifié"),
   "Nouveau")),"")</f>
        <v/>
      </c>
    </row>
    <row r="2241" spans="24:30" x14ac:dyDescent="0.25">
      <c r="X2241" s="8" t="e">
        <f>IF(Final_Sans_VGE[[#This Row],[ppn_z]]="","",IFERROR(
   IF(_xlfn.XLOOKUP(Final_Sans_VGE[[#This Row],[ppn_z]],tbl_Historique_Final[ppn_z],tbl_Historique_Final[date_modif])=Final_Sans_VGE[[#This Row],[date_modif]],
      "Ancien",
      "Modifié"),
   "Nouveau"))</f>
        <v>#VALUE!</v>
      </c>
      <c r="AD2241" s="1" t="str">
        <f>IFERROR(IF(Final_Sans_VGE[[#This Row],[ppn_z]]="","",IFERROR(
   IF(_xlfn.XLOOKUP(Final_Sans_VGE[[#This Row],[ppn_z]],tbl_Historique_Final[[#This Row],[ppn_z]],tbl_Historique_Final[[#This Row],[date_modif]])=Final_Sans_VGE[[#This Row],[date_modif]],
      "Ancien",
      "Modifié"),
   "Nouveau")),"")</f>
        <v/>
      </c>
    </row>
    <row r="2242" spans="24:30" x14ac:dyDescent="0.25">
      <c r="X2242" s="8" t="e">
        <f>IF(Final_Sans_VGE[[#This Row],[ppn_z]]="","",IFERROR(
   IF(_xlfn.XLOOKUP(Final_Sans_VGE[[#This Row],[ppn_z]],tbl_Historique_Final[ppn_z],tbl_Historique_Final[date_modif])=Final_Sans_VGE[[#This Row],[date_modif]],
      "Ancien",
      "Modifié"),
   "Nouveau"))</f>
        <v>#VALUE!</v>
      </c>
      <c r="AD2242" s="1" t="str">
        <f>IFERROR(IF(Final_Sans_VGE[[#This Row],[ppn_z]]="","",IFERROR(
   IF(_xlfn.XLOOKUP(Final_Sans_VGE[[#This Row],[ppn_z]],tbl_Historique_Final[[#This Row],[ppn_z]],tbl_Historique_Final[[#This Row],[date_modif]])=Final_Sans_VGE[[#This Row],[date_modif]],
      "Ancien",
      "Modifié"),
   "Nouveau")),"")</f>
        <v/>
      </c>
    </row>
    <row r="2243" spans="24:30" x14ac:dyDescent="0.25">
      <c r="X2243" s="8" t="e">
        <f>IF(Final_Sans_VGE[[#This Row],[ppn_z]]="","",IFERROR(
   IF(_xlfn.XLOOKUP(Final_Sans_VGE[[#This Row],[ppn_z]],tbl_Historique_Final[ppn_z],tbl_Historique_Final[date_modif])=Final_Sans_VGE[[#This Row],[date_modif]],
      "Ancien",
      "Modifié"),
   "Nouveau"))</f>
        <v>#VALUE!</v>
      </c>
      <c r="AD2243" s="1" t="str">
        <f>IFERROR(IF(Final_Sans_VGE[[#This Row],[ppn_z]]="","",IFERROR(
   IF(_xlfn.XLOOKUP(Final_Sans_VGE[[#This Row],[ppn_z]],tbl_Historique_Final[[#This Row],[ppn_z]],tbl_Historique_Final[[#This Row],[date_modif]])=Final_Sans_VGE[[#This Row],[date_modif]],
      "Ancien",
      "Modifié"),
   "Nouveau")),"")</f>
        <v/>
      </c>
    </row>
    <row r="2244" spans="24:30" x14ac:dyDescent="0.25">
      <c r="X2244" s="8" t="e">
        <f>IF(Final_Sans_VGE[[#This Row],[ppn_z]]="","",IFERROR(
   IF(_xlfn.XLOOKUP(Final_Sans_VGE[[#This Row],[ppn_z]],tbl_Historique_Final[ppn_z],tbl_Historique_Final[date_modif])=Final_Sans_VGE[[#This Row],[date_modif]],
      "Ancien",
      "Modifié"),
   "Nouveau"))</f>
        <v>#VALUE!</v>
      </c>
      <c r="AD2244" s="1" t="str">
        <f>IFERROR(IF(Final_Sans_VGE[[#This Row],[ppn_z]]="","",IFERROR(
   IF(_xlfn.XLOOKUP(Final_Sans_VGE[[#This Row],[ppn_z]],tbl_Historique_Final[[#This Row],[ppn_z]],tbl_Historique_Final[[#This Row],[date_modif]])=Final_Sans_VGE[[#This Row],[date_modif]],
      "Ancien",
      "Modifié"),
   "Nouveau")),"")</f>
        <v/>
      </c>
    </row>
    <row r="2245" spans="24:30" x14ac:dyDescent="0.25">
      <c r="X2245" s="8" t="e">
        <f>IF(Final_Sans_VGE[[#This Row],[ppn_z]]="","",IFERROR(
   IF(_xlfn.XLOOKUP(Final_Sans_VGE[[#This Row],[ppn_z]],tbl_Historique_Final[ppn_z],tbl_Historique_Final[date_modif])=Final_Sans_VGE[[#This Row],[date_modif]],
      "Ancien",
      "Modifié"),
   "Nouveau"))</f>
        <v>#VALUE!</v>
      </c>
      <c r="AD2245" s="1" t="str">
        <f>IFERROR(IF(Final_Sans_VGE[[#This Row],[ppn_z]]="","",IFERROR(
   IF(_xlfn.XLOOKUP(Final_Sans_VGE[[#This Row],[ppn_z]],tbl_Historique_Final[[#This Row],[ppn_z]],tbl_Historique_Final[[#This Row],[date_modif]])=Final_Sans_VGE[[#This Row],[date_modif]],
      "Ancien",
      "Modifié"),
   "Nouveau")),"")</f>
        <v/>
      </c>
    </row>
    <row r="2246" spans="24:30" x14ac:dyDescent="0.25">
      <c r="X2246" s="8" t="e">
        <f>IF(Final_Sans_VGE[[#This Row],[ppn_z]]="","",IFERROR(
   IF(_xlfn.XLOOKUP(Final_Sans_VGE[[#This Row],[ppn_z]],tbl_Historique_Final[ppn_z],tbl_Historique_Final[date_modif])=Final_Sans_VGE[[#This Row],[date_modif]],
      "Ancien",
      "Modifié"),
   "Nouveau"))</f>
        <v>#VALUE!</v>
      </c>
      <c r="AD2246" s="1" t="str">
        <f>IFERROR(IF(Final_Sans_VGE[[#This Row],[ppn_z]]="","",IFERROR(
   IF(_xlfn.XLOOKUP(Final_Sans_VGE[[#This Row],[ppn_z]],tbl_Historique_Final[[#This Row],[ppn_z]],tbl_Historique_Final[[#This Row],[date_modif]])=Final_Sans_VGE[[#This Row],[date_modif]],
      "Ancien",
      "Modifié"),
   "Nouveau")),"")</f>
        <v/>
      </c>
    </row>
    <row r="2247" spans="24:30" x14ac:dyDescent="0.25">
      <c r="X2247" s="8" t="e">
        <f>IF(Final_Sans_VGE[[#This Row],[ppn_z]]="","",IFERROR(
   IF(_xlfn.XLOOKUP(Final_Sans_VGE[[#This Row],[ppn_z]],tbl_Historique_Final[ppn_z],tbl_Historique_Final[date_modif])=Final_Sans_VGE[[#This Row],[date_modif]],
      "Ancien",
      "Modifié"),
   "Nouveau"))</f>
        <v>#VALUE!</v>
      </c>
      <c r="AD2247" s="1" t="str">
        <f>IFERROR(IF(Final_Sans_VGE[[#This Row],[ppn_z]]="","",IFERROR(
   IF(_xlfn.XLOOKUP(Final_Sans_VGE[[#This Row],[ppn_z]],tbl_Historique_Final[[#This Row],[ppn_z]],tbl_Historique_Final[[#This Row],[date_modif]])=Final_Sans_VGE[[#This Row],[date_modif]],
      "Ancien",
      "Modifié"),
   "Nouveau")),"")</f>
        <v/>
      </c>
    </row>
    <row r="2248" spans="24:30" x14ac:dyDescent="0.25">
      <c r="X2248" s="8" t="e">
        <f>IF(Final_Sans_VGE[[#This Row],[ppn_z]]="","",IFERROR(
   IF(_xlfn.XLOOKUP(Final_Sans_VGE[[#This Row],[ppn_z]],tbl_Historique_Final[ppn_z],tbl_Historique_Final[date_modif])=Final_Sans_VGE[[#This Row],[date_modif]],
      "Ancien",
      "Modifié"),
   "Nouveau"))</f>
        <v>#VALUE!</v>
      </c>
      <c r="AD2248" s="1" t="str">
        <f>IFERROR(IF(Final_Sans_VGE[[#This Row],[ppn_z]]="","",IFERROR(
   IF(_xlfn.XLOOKUP(Final_Sans_VGE[[#This Row],[ppn_z]],tbl_Historique_Final[[#This Row],[ppn_z]],tbl_Historique_Final[[#This Row],[date_modif]])=Final_Sans_VGE[[#This Row],[date_modif]],
      "Ancien",
      "Modifié"),
   "Nouveau")),"")</f>
        <v/>
      </c>
    </row>
    <row r="2249" spans="24:30" x14ac:dyDescent="0.25">
      <c r="X2249" s="8" t="e">
        <f>IF(Final_Sans_VGE[[#This Row],[ppn_z]]="","",IFERROR(
   IF(_xlfn.XLOOKUP(Final_Sans_VGE[[#This Row],[ppn_z]],tbl_Historique_Final[ppn_z],tbl_Historique_Final[date_modif])=Final_Sans_VGE[[#This Row],[date_modif]],
      "Ancien",
      "Modifié"),
   "Nouveau"))</f>
        <v>#VALUE!</v>
      </c>
      <c r="AD2249" s="1" t="str">
        <f>IFERROR(IF(Final_Sans_VGE[[#This Row],[ppn_z]]="","",IFERROR(
   IF(_xlfn.XLOOKUP(Final_Sans_VGE[[#This Row],[ppn_z]],tbl_Historique_Final[[#This Row],[ppn_z]],tbl_Historique_Final[[#This Row],[date_modif]])=Final_Sans_VGE[[#This Row],[date_modif]],
      "Ancien",
      "Modifié"),
   "Nouveau")),"")</f>
        <v/>
      </c>
    </row>
    <row r="2250" spans="24:30" x14ac:dyDescent="0.25">
      <c r="X2250" s="8" t="e">
        <f>IF(Final_Sans_VGE[[#This Row],[ppn_z]]="","",IFERROR(
   IF(_xlfn.XLOOKUP(Final_Sans_VGE[[#This Row],[ppn_z]],tbl_Historique_Final[ppn_z],tbl_Historique_Final[date_modif])=Final_Sans_VGE[[#This Row],[date_modif]],
      "Ancien",
      "Modifié"),
   "Nouveau"))</f>
        <v>#VALUE!</v>
      </c>
      <c r="AD2250" s="1" t="str">
        <f>IFERROR(IF(Final_Sans_VGE[[#This Row],[ppn_z]]="","",IFERROR(
   IF(_xlfn.XLOOKUP(Final_Sans_VGE[[#This Row],[ppn_z]],tbl_Historique_Final[[#This Row],[ppn_z]],tbl_Historique_Final[[#This Row],[date_modif]])=Final_Sans_VGE[[#This Row],[date_modif]],
      "Ancien",
      "Modifié"),
   "Nouveau")),"")</f>
        <v/>
      </c>
    </row>
    <row r="2251" spans="24:30" x14ac:dyDescent="0.25">
      <c r="X2251" s="8" t="e">
        <f>IF(Final_Sans_VGE[[#This Row],[ppn_z]]="","",IFERROR(
   IF(_xlfn.XLOOKUP(Final_Sans_VGE[[#This Row],[ppn_z]],tbl_Historique_Final[ppn_z],tbl_Historique_Final[date_modif])=Final_Sans_VGE[[#This Row],[date_modif]],
      "Ancien",
      "Modifié"),
   "Nouveau"))</f>
        <v>#VALUE!</v>
      </c>
      <c r="AD2251" s="1" t="str">
        <f>IFERROR(IF(Final_Sans_VGE[[#This Row],[ppn_z]]="","",IFERROR(
   IF(_xlfn.XLOOKUP(Final_Sans_VGE[[#This Row],[ppn_z]],tbl_Historique_Final[[#This Row],[ppn_z]],tbl_Historique_Final[[#This Row],[date_modif]])=Final_Sans_VGE[[#This Row],[date_modif]],
      "Ancien",
      "Modifié"),
   "Nouveau")),"")</f>
        <v/>
      </c>
    </row>
    <row r="2252" spans="24:30" x14ac:dyDescent="0.25">
      <c r="X2252" s="8" t="e">
        <f>IF(Final_Sans_VGE[[#This Row],[ppn_z]]="","",IFERROR(
   IF(_xlfn.XLOOKUP(Final_Sans_VGE[[#This Row],[ppn_z]],tbl_Historique_Final[ppn_z],tbl_Historique_Final[date_modif])=Final_Sans_VGE[[#This Row],[date_modif]],
      "Ancien",
      "Modifié"),
   "Nouveau"))</f>
        <v>#VALUE!</v>
      </c>
      <c r="AD2252" s="1" t="str">
        <f>IFERROR(IF(Final_Sans_VGE[[#This Row],[ppn_z]]="","",IFERROR(
   IF(_xlfn.XLOOKUP(Final_Sans_VGE[[#This Row],[ppn_z]],tbl_Historique_Final[[#This Row],[ppn_z]],tbl_Historique_Final[[#This Row],[date_modif]])=Final_Sans_VGE[[#This Row],[date_modif]],
      "Ancien",
      "Modifié"),
   "Nouveau")),"")</f>
        <v/>
      </c>
    </row>
    <row r="2253" spans="24:30" x14ac:dyDescent="0.25">
      <c r="X2253" s="8" t="e">
        <f>IF(Final_Sans_VGE[[#This Row],[ppn_z]]="","",IFERROR(
   IF(_xlfn.XLOOKUP(Final_Sans_VGE[[#This Row],[ppn_z]],tbl_Historique_Final[ppn_z],tbl_Historique_Final[date_modif])=Final_Sans_VGE[[#This Row],[date_modif]],
      "Ancien",
      "Modifié"),
   "Nouveau"))</f>
        <v>#VALUE!</v>
      </c>
      <c r="AD2253" s="1" t="str">
        <f>IFERROR(IF(Final_Sans_VGE[[#This Row],[ppn_z]]="","",IFERROR(
   IF(_xlfn.XLOOKUP(Final_Sans_VGE[[#This Row],[ppn_z]],tbl_Historique_Final[[#This Row],[ppn_z]],tbl_Historique_Final[[#This Row],[date_modif]])=Final_Sans_VGE[[#This Row],[date_modif]],
      "Ancien",
      "Modifié"),
   "Nouveau")),"")</f>
        <v/>
      </c>
    </row>
    <row r="2254" spans="24:30" x14ac:dyDescent="0.25">
      <c r="X2254" s="8" t="e">
        <f>IF(Final_Sans_VGE[[#This Row],[ppn_z]]="","",IFERROR(
   IF(_xlfn.XLOOKUP(Final_Sans_VGE[[#This Row],[ppn_z]],tbl_Historique_Final[ppn_z],tbl_Historique_Final[date_modif])=Final_Sans_VGE[[#This Row],[date_modif]],
      "Ancien",
      "Modifié"),
   "Nouveau"))</f>
        <v>#VALUE!</v>
      </c>
      <c r="AD2254" s="1" t="str">
        <f>IFERROR(IF(Final_Sans_VGE[[#This Row],[ppn_z]]="","",IFERROR(
   IF(_xlfn.XLOOKUP(Final_Sans_VGE[[#This Row],[ppn_z]],tbl_Historique_Final[[#This Row],[ppn_z]],tbl_Historique_Final[[#This Row],[date_modif]])=Final_Sans_VGE[[#This Row],[date_modif]],
      "Ancien",
      "Modifié"),
   "Nouveau")),"")</f>
        <v/>
      </c>
    </row>
    <row r="2255" spans="24:30" x14ac:dyDescent="0.25">
      <c r="X2255" s="8" t="e">
        <f>IF(Final_Sans_VGE[[#This Row],[ppn_z]]="","",IFERROR(
   IF(_xlfn.XLOOKUP(Final_Sans_VGE[[#This Row],[ppn_z]],tbl_Historique_Final[ppn_z],tbl_Historique_Final[date_modif])=Final_Sans_VGE[[#This Row],[date_modif]],
      "Ancien",
      "Modifié"),
   "Nouveau"))</f>
        <v>#VALUE!</v>
      </c>
      <c r="AD2255" s="1" t="str">
        <f>IFERROR(IF(Final_Sans_VGE[[#This Row],[ppn_z]]="","",IFERROR(
   IF(_xlfn.XLOOKUP(Final_Sans_VGE[[#This Row],[ppn_z]],tbl_Historique_Final[[#This Row],[ppn_z]],tbl_Historique_Final[[#This Row],[date_modif]])=Final_Sans_VGE[[#This Row],[date_modif]],
      "Ancien",
      "Modifié"),
   "Nouveau")),"")</f>
        <v/>
      </c>
    </row>
    <row r="2256" spans="24:30" x14ac:dyDescent="0.25">
      <c r="X2256" s="8" t="e">
        <f>IF(Final_Sans_VGE[[#This Row],[ppn_z]]="","",IFERROR(
   IF(_xlfn.XLOOKUP(Final_Sans_VGE[[#This Row],[ppn_z]],tbl_Historique_Final[ppn_z],tbl_Historique_Final[date_modif])=Final_Sans_VGE[[#This Row],[date_modif]],
      "Ancien",
      "Modifié"),
   "Nouveau"))</f>
        <v>#VALUE!</v>
      </c>
      <c r="AD2256" s="1" t="str">
        <f>IFERROR(IF(Final_Sans_VGE[[#This Row],[ppn_z]]="","",IFERROR(
   IF(_xlfn.XLOOKUP(Final_Sans_VGE[[#This Row],[ppn_z]],tbl_Historique_Final[[#This Row],[ppn_z]],tbl_Historique_Final[[#This Row],[date_modif]])=Final_Sans_VGE[[#This Row],[date_modif]],
      "Ancien",
      "Modifié"),
   "Nouveau")),"")</f>
        <v/>
      </c>
    </row>
    <row r="2257" spans="24:30" x14ac:dyDescent="0.25">
      <c r="X2257" s="8" t="e">
        <f>IF(Final_Sans_VGE[[#This Row],[ppn_z]]="","",IFERROR(
   IF(_xlfn.XLOOKUP(Final_Sans_VGE[[#This Row],[ppn_z]],tbl_Historique_Final[ppn_z],tbl_Historique_Final[date_modif])=Final_Sans_VGE[[#This Row],[date_modif]],
      "Ancien",
      "Modifié"),
   "Nouveau"))</f>
        <v>#VALUE!</v>
      </c>
      <c r="AD2257" s="1" t="str">
        <f>IFERROR(IF(Final_Sans_VGE[[#This Row],[ppn_z]]="","",IFERROR(
   IF(_xlfn.XLOOKUP(Final_Sans_VGE[[#This Row],[ppn_z]],tbl_Historique_Final[[#This Row],[ppn_z]],tbl_Historique_Final[[#This Row],[date_modif]])=Final_Sans_VGE[[#This Row],[date_modif]],
      "Ancien",
      "Modifié"),
   "Nouveau")),"")</f>
        <v/>
      </c>
    </row>
    <row r="2258" spans="24:30" x14ac:dyDescent="0.25">
      <c r="X2258" s="8" t="e">
        <f>IF(Final_Sans_VGE[[#This Row],[ppn_z]]="","",IFERROR(
   IF(_xlfn.XLOOKUP(Final_Sans_VGE[[#This Row],[ppn_z]],tbl_Historique_Final[ppn_z],tbl_Historique_Final[date_modif])=Final_Sans_VGE[[#This Row],[date_modif]],
      "Ancien",
      "Modifié"),
   "Nouveau"))</f>
        <v>#VALUE!</v>
      </c>
      <c r="AD2258" s="1" t="str">
        <f>IFERROR(IF(Final_Sans_VGE[[#This Row],[ppn_z]]="","",IFERROR(
   IF(_xlfn.XLOOKUP(Final_Sans_VGE[[#This Row],[ppn_z]],tbl_Historique_Final[[#This Row],[ppn_z]],tbl_Historique_Final[[#This Row],[date_modif]])=Final_Sans_VGE[[#This Row],[date_modif]],
      "Ancien",
      "Modifié"),
   "Nouveau")),"")</f>
        <v/>
      </c>
    </row>
    <row r="2259" spans="24:30" x14ac:dyDescent="0.25">
      <c r="X2259" s="8" t="e">
        <f>IF(Final_Sans_VGE[[#This Row],[ppn_z]]="","",IFERROR(
   IF(_xlfn.XLOOKUP(Final_Sans_VGE[[#This Row],[ppn_z]],tbl_Historique_Final[ppn_z],tbl_Historique_Final[date_modif])=Final_Sans_VGE[[#This Row],[date_modif]],
      "Ancien",
      "Modifié"),
   "Nouveau"))</f>
        <v>#VALUE!</v>
      </c>
      <c r="AD2259" s="1" t="str">
        <f>IFERROR(IF(Final_Sans_VGE[[#This Row],[ppn_z]]="","",IFERROR(
   IF(_xlfn.XLOOKUP(Final_Sans_VGE[[#This Row],[ppn_z]],tbl_Historique_Final[[#This Row],[ppn_z]],tbl_Historique_Final[[#This Row],[date_modif]])=Final_Sans_VGE[[#This Row],[date_modif]],
      "Ancien",
      "Modifié"),
   "Nouveau")),"")</f>
        <v/>
      </c>
    </row>
    <row r="2260" spans="24:30" x14ac:dyDescent="0.25">
      <c r="X2260" s="8" t="e">
        <f>IF(Final_Sans_VGE[[#This Row],[ppn_z]]="","",IFERROR(
   IF(_xlfn.XLOOKUP(Final_Sans_VGE[[#This Row],[ppn_z]],tbl_Historique_Final[ppn_z],tbl_Historique_Final[date_modif])=Final_Sans_VGE[[#This Row],[date_modif]],
      "Ancien",
      "Modifié"),
   "Nouveau"))</f>
        <v>#VALUE!</v>
      </c>
      <c r="AD2260" s="1" t="str">
        <f>IFERROR(IF(Final_Sans_VGE[[#This Row],[ppn_z]]="","",IFERROR(
   IF(_xlfn.XLOOKUP(Final_Sans_VGE[[#This Row],[ppn_z]],tbl_Historique_Final[[#This Row],[ppn_z]],tbl_Historique_Final[[#This Row],[date_modif]])=Final_Sans_VGE[[#This Row],[date_modif]],
      "Ancien",
      "Modifié"),
   "Nouveau")),"")</f>
        <v/>
      </c>
    </row>
    <row r="2261" spans="24:30" x14ac:dyDescent="0.25">
      <c r="X2261" s="8" t="e">
        <f>IF(Final_Sans_VGE[[#This Row],[ppn_z]]="","",IFERROR(
   IF(_xlfn.XLOOKUP(Final_Sans_VGE[[#This Row],[ppn_z]],tbl_Historique_Final[ppn_z],tbl_Historique_Final[date_modif])=Final_Sans_VGE[[#This Row],[date_modif]],
      "Ancien",
      "Modifié"),
   "Nouveau"))</f>
        <v>#VALUE!</v>
      </c>
      <c r="AD2261" s="1" t="str">
        <f>IFERROR(IF(Final_Sans_VGE[[#This Row],[ppn_z]]="","",IFERROR(
   IF(_xlfn.XLOOKUP(Final_Sans_VGE[[#This Row],[ppn_z]],tbl_Historique_Final[[#This Row],[ppn_z]],tbl_Historique_Final[[#This Row],[date_modif]])=Final_Sans_VGE[[#This Row],[date_modif]],
      "Ancien",
      "Modifié"),
   "Nouveau")),"")</f>
        <v/>
      </c>
    </row>
    <row r="2262" spans="24:30" x14ac:dyDescent="0.25">
      <c r="X2262" s="8" t="e">
        <f>IF(Final_Sans_VGE[[#This Row],[ppn_z]]="","",IFERROR(
   IF(_xlfn.XLOOKUP(Final_Sans_VGE[[#This Row],[ppn_z]],tbl_Historique_Final[ppn_z],tbl_Historique_Final[date_modif])=Final_Sans_VGE[[#This Row],[date_modif]],
      "Ancien",
      "Modifié"),
   "Nouveau"))</f>
        <v>#VALUE!</v>
      </c>
      <c r="AD2262" s="1" t="str">
        <f>IFERROR(IF(Final_Sans_VGE[[#This Row],[ppn_z]]="","",IFERROR(
   IF(_xlfn.XLOOKUP(Final_Sans_VGE[[#This Row],[ppn_z]],tbl_Historique_Final[[#This Row],[ppn_z]],tbl_Historique_Final[[#This Row],[date_modif]])=Final_Sans_VGE[[#This Row],[date_modif]],
      "Ancien",
      "Modifié"),
   "Nouveau")),"")</f>
        <v/>
      </c>
    </row>
    <row r="2263" spans="24:30" x14ac:dyDescent="0.25">
      <c r="X2263" s="8" t="e">
        <f>IF(Final_Sans_VGE[[#This Row],[ppn_z]]="","",IFERROR(
   IF(_xlfn.XLOOKUP(Final_Sans_VGE[[#This Row],[ppn_z]],tbl_Historique_Final[ppn_z],tbl_Historique_Final[date_modif])=Final_Sans_VGE[[#This Row],[date_modif]],
      "Ancien",
      "Modifié"),
   "Nouveau"))</f>
        <v>#VALUE!</v>
      </c>
      <c r="AD2263" s="1" t="str">
        <f>IFERROR(IF(Final_Sans_VGE[[#This Row],[ppn_z]]="","",IFERROR(
   IF(_xlfn.XLOOKUP(Final_Sans_VGE[[#This Row],[ppn_z]],tbl_Historique_Final[[#This Row],[ppn_z]],tbl_Historique_Final[[#This Row],[date_modif]])=Final_Sans_VGE[[#This Row],[date_modif]],
      "Ancien",
      "Modifié"),
   "Nouveau")),"")</f>
        <v/>
      </c>
    </row>
    <row r="2264" spans="24:30" x14ac:dyDescent="0.25">
      <c r="X2264" s="8" t="e">
        <f>IF(Final_Sans_VGE[[#This Row],[ppn_z]]="","",IFERROR(
   IF(_xlfn.XLOOKUP(Final_Sans_VGE[[#This Row],[ppn_z]],tbl_Historique_Final[ppn_z],tbl_Historique_Final[date_modif])=Final_Sans_VGE[[#This Row],[date_modif]],
      "Ancien",
      "Modifié"),
   "Nouveau"))</f>
        <v>#VALUE!</v>
      </c>
      <c r="AD2264" s="1" t="str">
        <f>IFERROR(IF(Final_Sans_VGE[[#This Row],[ppn_z]]="","",IFERROR(
   IF(_xlfn.XLOOKUP(Final_Sans_VGE[[#This Row],[ppn_z]],tbl_Historique_Final[[#This Row],[ppn_z]],tbl_Historique_Final[[#This Row],[date_modif]])=Final_Sans_VGE[[#This Row],[date_modif]],
      "Ancien",
      "Modifié"),
   "Nouveau")),"")</f>
        <v/>
      </c>
    </row>
    <row r="2265" spans="24:30" x14ac:dyDescent="0.25">
      <c r="X2265" s="8" t="e">
        <f>IF(Final_Sans_VGE[[#This Row],[ppn_z]]="","",IFERROR(
   IF(_xlfn.XLOOKUP(Final_Sans_VGE[[#This Row],[ppn_z]],tbl_Historique_Final[ppn_z],tbl_Historique_Final[date_modif])=Final_Sans_VGE[[#This Row],[date_modif]],
      "Ancien",
      "Modifié"),
   "Nouveau"))</f>
        <v>#VALUE!</v>
      </c>
      <c r="AD2265" s="1" t="str">
        <f>IFERROR(IF(Final_Sans_VGE[[#This Row],[ppn_z]]="","",IFERROR(
   IF(_xlfn.XLOOKUP(Final_Sans_VGE[[#This Row],[ppn_z]],tbl_Historique_Final[[#This Row],[ppn_z]],tbl_Historique_Final[[#This Row],[date_modif]])=Final_Sans_VGE[[#This Row],[date_modif]],
      "Ancien",
      "Modifié"),
   "Nouveau")),"")</f>
        <v/>
      </c>
    </row>
    <row r="2266" spans="24:30" x14ac:dyDescent="0.25">
      <c r="X2266" s="8" t="e">
        <f>IF(Final_Sans_VGE[[#This Row],[ppn_z]]="","",IFERROR(
   IF(_xlfn.XLOOKUP(Final_Sans_VGE[[#This Row],[ppn_z]],tbl_Historique_Final[ppn_z],tbl_Historique_Final[date_modif])=Final_Sans_VGE[[#This Row],[date_modif]],
      "Ancien",
      "Modifié"),
   "Nouveau"))</f>
        <v>#VALUE!</v>
      </c>
      <c r="AD2266" s="1" t="str">
        <f>IFERROR(IF(Final_Sans_VGE[[#This Row],[ppn_z]]="","",IFERROR(
   IF(_xlfn.XLOOKUP(Final_Sans_VGE[[#This Row],[ppn_z]],tbl_Historique_Final[[#This Row],[ppn_z]],tbl_Historique_Final[[#This Row],[date_modif]])=Final_Sans_VGE[[#This Row],[date_modif]],
      "Ancien",
      "Modifié"),
   "Nouveau")),"")</f>
        <v/>
      </c>
    </row>
    <row r="2267" spans="24:30" x14ac:dyDescent="0.25">
      <c r="X2267" s="8" t="e">
        <f>IF(Final_Sans_VGE[[#This Row],[ppn_z]]="","",IFERROR(
   IF(_xlfn.XLOOKUP(Final_Sans_VGE[[#This Row],[ppn_z]],tbl_Historique_Final[ppn_z],tbl_Historique_Final[date_modif])=Final_Sans_VGE[[#This Row],[date_modif]],
      "Ancien",
      "Modifié"),
   "Nouveau"))</f>
        <v>#VALUE!</v>
      </c>
      <c r="AD2267" s="1" t="str">
        <f>IFERROR(IF(Final_Sans_VGE[[#This Row],[ppn_z]]="","",IFERROR(
   IF(_xlfn.XLOOKUP(Final_Sans_VGE[[#This Row],[ppn_z]],tbl_Historique_Final[[#This Row],[ppn_z]],tbl_Historique_Final[[#This Row],[date_modif]])=Final_Sans_VGE[[#This Row],[date_modif]],
      "Ancien",
      "Modifié"),
   "Nouveau")),"")</f>
        <v/>
      </c>
    </row>
    <row r="2268" spans="24:30" x14ac:dyDescent="0.25">
      <c r="X2268" s="8" t="e">
        <f>IF(Final_Sans_VGE[[#This Row],[ppn_z]]="","",IFERROR(
   IF(_xlfn.XLOOKUP(Final_Sans_VGE[[#This Row],[ppn_z]],tbl_Historique_Final[ppn_z],tbl_Historique_Final[date_modif])=Final_Sans_VGE[[#This Row],[date_modif]],
      "Ancien",
      "Modifié"),
   "Nouveau"))</f>
        <v>#VALUE!</v>
      </c>
      <c r="AD2268" s="1" t="str">
        <f>IFERROR(IF(Final_Sans_VGE[[#This Row],[ppn_z]]="","",IFERROR(
   IF(_xlfn.XLOOKUP(Final_Sans_VGE[[#This Row],[ppn_z]],tbl_Historique_Final[[#This Row],[ppn_z]],tbl_Historique_Final[[#This Row],[date_modif]])=Final_Sans_VGE[[#This Row],[date_modif]],
      "Ancien",
      "Modifié"),
   "Nouveau")),"")</f>
        <v/>
      </c>
    </row>
    <row r="2269" spans="24:30" x14ac:dyDescent="0.25">
      <c r="X2269" s="8" t="e">
        <f>IF(Final_Sans_VGE[[#This Row],[ppn_z]]="","",IFERROR(
   IF(_xlfn.XLOOKUP(Final_Sans_VGE[[#This Row],[ppn_z]],tbl_Historique_Final[ppn_z],tbl_Historique_Final[date_modif])=Final_Sans_VGE[[#This Row],[date_modif]],
      "Ancien",
      "Modifié"),
   "Nouveau"))</f>
        <v>#VALUE!</v>
      </c>
      <c r="AD2269" s="1" t="str">
        <f>IFERROR(IF(Final_Sans_VGE[[#This Row],[ppn_z]]="","",IFERROR(
   IF(_xlfn.XLOOKUP(Final_Sans_VGE[[#This Row],[ppn_z]],tbl_Historique_Final[[#This Row],[ppn_z]],tbl_Historique_Final[[#This Row],[date_modif]])=Final_Sans_VGE[[#This Row],[date_modif]],
      "Ancien",
      "Modifié"),
   "Nouveau")),"")</f>
        <v/>
      </c>
    </row>
    <row r="2270" spans="24:30" x14ac:dyDescent="0.25">
      <c r="X2270" s="8" t="e">
        <f>IF(Final_Sans_VGE[[#This Row],[ppn_z]]="","",IFERROR(
   IF(_xlfn.XLOOKUP(Final_Sans_VGE[[#This Row],[ppn_z]],tbl_Historique_Final[ppn_z],tbl_Historique_Final[date_modif])=Final_Sans_VGE[[#This Row],[date_modif]],
      "Ancien",
      "Modifié"),
   "Nouveau"))</f>
        <v>#VALUE!</v>
      </c>
      <c r="AD2270" s="1" t="str">
        <f>IFERROR(IF(Final_Sans_VGE[[#This Row],[ppn_z]]="","",IFERROR(
   IF(_xlfn.XLOOKUP(Final_Sans_VGE[[#This Row],[ppn_z]],tbl_Historique_Final[[#This Row],[ppn_z]],tbl_Historique_Final[[#This Row],[date_modif]])=Final_Sans_VGE[[#This Row],[date_modif]],
      "Ancien",
      "Modifié"),
   "Nouveau")),"")</f>
        <v/>
      </c>
    </row>
    <row r="2271" spans="24:30" x14ac:dyDescent="0.25">
      <c r="X2271" s="8" t="e">
        <f>IF(Final_Sans_VGE[[#This Row],[ppn_z]]="","",IFERROR(
   IF(_xlfn.XLOOKUP(Final_Sans_VGE[[#This Row],[ppn_z]],tbl_Historique_Final[ppn_z],tbl_Historique_Final[date_modif])=Final_Sans_VGE[[#This Row],[date_modif]],
      "Ancien",
      "Modifié"),
   "Nouveau"))</f>
        <v>#VALUE!</v>
      </c>
      <c r="AD2271" s="1" t="str">
        <f>IFERROR(IF(Final_Sans_VGE[[#This Row],[ppn_z]]="","",IFERROR(
   IF(_xlfn.XLOOKUP(Final_Sans_VGE[[#This Row],[ppn_z]],tbl_Historique_Final[[#This Row],[ppn_z]],tbl_Historique_Final[[#This Row],[date_modif]])=Final_Sans_VGE[[#This Row],[date_modif]],
      "Ancien",
      "Modifié"),
   "Nouveau")),"")</f>
        <v/>
      </c>
    </row>
    <row r="2272" spans="24:30" x14ac:dyDescent="0.25">
      <c r="X2272" s="8" t="e">
        <f>IF(Final_Sans_VGE[[#This Row],[ppn_z]]="","",IFERROR(
   IF(_xlfn.XLOOKUP(Final_Sans_VGE[[#This Row],[ppn_z]],tbl_Historique_Final[ppn_z],tbl_Historique_Final[date_modif])=Final_Sans_VGE[[#This Row],[date_modif]],
      "Ancien",
      "Modifié"),
   "Nouveau"))</f>
        <v>#VALUE!</v>
      </c>
      <c r="AD2272" s="1" t="str">
        <f>IFERROR(IF(Final_Sans_VGE[[#This Row],[ppn_z]]="","",IFERROR(
   IF(_xlfn.XLOOKUP(Final_Sans_VGE[[#This Row],[ppn_z]],tbl_Historique_Final[[#This Row],[ppn_z]],tbl_Historique_Final[[#This Row],[date_modif]])=Final_Sans_VGE[[#This Row],[date_modif]],
      "Ancien",
      "Modifié"),
   "Nouveau")),"")</f>
        <v/>
      </c>
    </row>
    <row r="2273" spans="24:30" x14ac:dyDescent="0.25">
      <c r="X2273" s="8" t="e">
        <f>IF(Final_Sans_VGE[[#This Row],[ppn_z]]="","",IFERROR(
   IF(_xlfn.XLOOKUP(Final_Sans_VGE[[#This Row],[ppn_z]],tbl_Historique_Final[ppn_z],tbl_Historique_Final[date_modif])=Final_Sans_VGE[[#This Row],[date_modif]],
      "Ancien",
      "Modifié"),
   "Nouveau"))</f>
        <v>#VALUE!</v>
      </c>
      <c r="AD2273" s="1" t="str">
        <f>IFERROR(IF(Final_Sans_VGE[[#This Row],[ppn_z]]="","",IFERROR(
   IF(_xlfn.XLOOKUP(Final_Sans_VGE[[#This Row],[ppn_z]],tbl_Historique_Final[[#This Row],[ppn_z]],tbl_Historique_Final[[#This Row],[date_modif]])=Final_Sans_VGE[[#This Row],[date_modif]],
      "Ancien",
      "Modifié"),
   "Nouveau")),"")</f>
        <v/>
      </c>
    </row>
    <row r="2274" spans="24:30" x14ac:dyDescent="0.25">
      <c r="X2274" s="8" t="e">
        <f>IF(Final_Sans_VGE[[#This Row],[ppn_z]]="","",IFERROR(
   IF(_xlfn.XLOOKUP(Final_Sans_VGE[[#This Row],[ppn_z]],tbl_Historique_Final[ppn_z],tbl_Historique_Final[date_modif])=Final_Sans_VGE[[#This Row],[date_modif]],
      "Ancien",
      "Modifié"),
   "Nouveau"))</f>
        <v>#VALUE!</v>
      </c>
      <c r="AD2274" s="1" t="str">
        <f>IFERROR(IF(Final_Sans_VGE[[#This Row],[ppn_z]]="","",IFERROR(
   IF(_xlfn.XLOOKUP(Final_Sans_VGE[[#This Row],[ppn_z]],tbl_Historique_Final[[#This Row],[ppn_z]],tbl_Historique_Final[[#This Row],[date_modif]])=Final_Sans_VGE[[#This Row],[date_modif]],
      "Ancien",
      "Modifié"),
   "Nouveau")),"")</f>
        <v/>
      </c>
    </row>
    <row r="2275" spans="24:30" x14ac:dyDescent="0.25">
      <c r="X2275" s="8" t="e">
        <f>IF(Final_Sans_VGE[[#This Row],[ppn_z]]="","",IFERROR(
   IF(_xlfn.XLOOKUP(Final_Sans_VGE[[#This Row],[ppn_z]],tbl_Historique_Final[ppn_z],tbl_Historique_Final[date_modif])=Final_Sans_VGE[[#This Row],[date_modif]],
      "Ancien",
      "Modifié"),
   "Nouveau"))</f>
        <v>#VALUE!</v>
      </c>
      <c r="AD2275" s="1" t="str">
        <f>IFERROR(IF(Final_Sans_VGE[[#This Row],[ppn_z]]="","",IFERROR(
   IF(_xlfn.XLOOKUP(Final_Sans_VGE[[#This Row],[ppn_z]],tbl_Historique_Final[[#This Row],[ppn_z]],tbl_Historique_Final[[#This Row],[date_modif]])=Final_Sans_VGE[[#This Row],[date_modif]],
      "Ancien",
      "Modifié"),
   "Nouveau")),"")</f>
        <v/>
      </c>
    </row>
    <row r="2276" spans="24:30" x14ac:dyDescent="0.25">
      <c r="X2276" s="8" t="e">
        <f>IF(Final_Sans_VGE[[#This Row],[ppn_z]]="","",IFERROR(
   IF(_xlfn.XLOOKUP(Final_Sans_VGE[[#This Row],[ppn_z]],tbl_Historique_Final[ppn_z],tbl_Historique_Final[date_modif])=Final_Sans_VGE[[#This Row],[date_modif]],
      "Ancien",
      "Modifié"),
   "Nouveau"))</f>
        <v>#VALUE!</v>
      </c>
      <c r="AD2276" s="1" t="str">
        <f>IFERROR(IF(Final_Sans_VGE[[#This Row],[ppn_z]]="","",IFERROR(
   IF(_xlfn.XLOOKUP(Final_Sans_VGE[[#This Row],[ppn_z]],tbl_Historique_Final[[#This Row],[ppn_z]],tbl_Historique_Final[[#This Row],[date_modif]])=Final_Sans_VGE[[#This Row],[date_modif]],
      "Ancien",
      "Modifié"),
   "Nouveau")),"")</f>
        <v/>
      </c>
    </row>
    <row r="2277" spans="24:30" x14ac:dyDescent="0.25">
      <c r="X2277" s="8" t="e">
        <f>IF(Final_Sans_VGE[[#This Row],[ppn_z]]="","",IFERROR(
   IF(_xlfn.XLOOKUP(Final_Sans_VGE[[#This Row],[ppn_z]],tbl_Historique_Final[ppn_z],tbl_Historique_Final[date_modif])=Final_Sans_VGE[[#This Row],[date_modif]],
      "Ancien",
      "Modifié"),
   "Nouveau"))</f>
        <v>#VALUE!</v>
      </c>
      <c r="AD2277" s="1" t="str">
        <f>IFERROR(IF(Final_Sans_VGE[[#This Row],[ppn_z]]="","",IFERROR(
   IF(_xlfn.XLOOKUP(Final_Sans_VGE[[#This Row],[ppn_z]],tbl_Historique_Final[[#This Row],[ppn_z]],tbl_Historique_Final[[#This Row],[date_modif]])=Final_Sans_VGE[[#This Row],[date_modif]],
      "Ancien",
      "Modifié"),
   "Nouveau")),"")</f>
        <v/>
      </c>
    </row>
    <row r="2278" spans="24:30" x14ac:dyDescent="0.25">
      <c r="X2278" s="8" t="e">
        <f>IF(Final_Sans_VGE[[#This Row],[ppn_z]]="","",IFERROR(
   IF(_xlfn.XLOOKUP(Final_Sans_VGE[[#This Row],[ppn_z]],tbl_Historique_Final[ppn_z],tbl_Historique_Final[date_modif])=Final_Sans_VGE[[#This Row],[date_modif]],
      "Ancien",
      "Modifié"),
   "Nouveau"))</f>
        <v>#VALUE!</v>
      </c>
      <c r="AD2278" s="1" t="str">
        <f>IFERROR(IF(Final_Sans_VGE[[#This Row],[ppn_z]]="","",IFERROR(
   IF(_xlfn.XLOOKUP(Final_Sans_VGE[[#This Row],[ppn_z]],tbl_Historique_Final[[#This Row],[ppn_z]],tbl_Historique_Final[[#This Row],[date_modif]])=Final_Sans_VGE[[#This Row],[date_modif]],
      "Ancien",
      "Modifié"),
   "Nouveau")),"")</f>
        <v/>
      </c>
    </row>
    <row r="2279" spans="24:30" x14ac:dyDescent="0.25">
      <c r="X2279" s="8" t="e">
        <f>IF(Final_Sans_VGE[[#This Row],[ppn_z]]="","",IFERROR(
   IF(_xlfn.XLOOKUP(Final_Sans_VGE[[#This Row],[ppn_z]],tbl_Historique_Final[ppn_z],tbl_Historique_Final[date_modif])=Final_Sans_VGE[[#This Row],[date_modif]],
      "Ancien",
      "Modifié"),
   "Nouveau"))</f>
        <v>#VALUE!</v>
      </c>
      <c r="AD2279" s="1" t="str">
        <f>IFERROR(IF(Final_Sans_VGE[[#This Row],[ppn_z]]="","",IFERROR(
   IF(_xlfn.XLOOKUP(Final_Sans_VGE[[#This Row],[ppn_z]],tbl_Historique_Final[[#This Row],[ppn_z]],tbl_Historique_Final[[#This Row],[date_modif]])=Final_Sans_VGE[[#This Row],[date_modif]],
      "Ancien",
      "Modifié"),
   "Nouveau")),"")</f>
        <v/>
      </c>
    </row>
    <row r="2280" spans="24:30" x14ac:dyDescent="0.25">
      <c r="X2280" s="8" t="e">
        <f>IF(Final_Sans_VGE[[#This Row],[ppn_z]]="","",IFERROR(
   IF(_xlfn.XLOOKUP(Final_Sans_VGE[[#This Row],[ppn_z]],tbl_Historique_Final[ppn_z],tbl_Historique_Final[date_modif])=Final_Sans_VGE[[#This Row],[date_modif]],
      "Ancien",
      "Modifié"),
   "Nouveau"))</f>
        <v>#VALUE!</v>
      </c>
      <c r="AD2280" s="1" t="str">
        <f>IFERROR(IF(Final_Sans_VGE[[#This Row],[ppn_z]]="","",IFERROR(
   IF(_xlfn.XLOOKUP(Final_Sans_VGE[[#This Row],[ppn_z]],tbl_Historique_Final[[#This Row],[ppn_z]],tbl_Historique_Final[[#This Row],[date_modif]])=Final_Sans_VGE[[#This Row],[date_modif]],
      "Ancien",
      "Modifié"),
   "Nouveau")),"")</f>
        <v/>
      </c>
    </row>
    <row r="2281" spans="24:30" x14ac:dyDescent="0.25">
      <c r="X2281" s="8" t="e">
        <f>IF(Final_Sans_VGE[[#This Row],[ppn_z]]="","",IFERROR(
   IF(_xlfn.XLOOKUP(Final_Sans_VGE[[#This Row],[ppn_z]],tbl_Historique_Final[ppn_z],tbl_Historique_Final[date_modif])=Final_Sans_VGE[[#This Row],[date_modif]],
      "Ancien",
      "Modifié"),
   "Nouveau"))</f>
        <v>#VALUE!</v>
      </c>
      <c r="AD2281" s="1" t="str">
        <f>IFERROR(IF(Final_Sans_VGE[[#This Row],[ppn_z]]="","",IFERROR(
   IF(_xlfn.XLOOKUP(Final_Sans_VGE[[#This Row],[ppn_z]],tbl_Historique_Final[[#This Row],[ppn_z]],tbl_Historique_Final[[#This Row],[date_modif]])=Final_Sans_VGE[[#This Row],[date_modif]],
      "Ancien",
      "Modifié"),
   "Nouveau")),"")</f>
        <v/>
      </c>
    </row>
    <row r="2282" spans="24:30" x14ac:dyDescent="0.25">
      <c r="X2282" s="8" t="e">
        <f>IF(Final_Sans_VGE[[#This Row],[ppn_z]]="","",IFERROR(
   IF(_xlfn.XLOOKUP(Final_Sans_VGE[[#This Row],[ppn_z]],tbl_Historique_Final[ppn_z],tbl_Historique_Final[date_modif])=Final_Sans_VGE[[#This Row],[date_modif]],
      "Ancien",
      "Modifié"),
   "Nouveau"))</f>
        <v>#VALUE!</v>
      </c>
      <c r="AD2282" s="1" t="str">
        <f>IFERROR(IF(Final_Sans_VGE[[#This Row],[ppn_z]]="","",IFERROR(
   IF(_xlfn.XLOOKUP(Final_Sans_VGE[[#This Row],[ppn_z]],tbl_Historique_Final[[#This Row],[ppn_z]],tbl_Historique_Final[[#This Row],[date_modif]])=Final_Sans_VGE[[#This Row],[date_modif]],
      "Ancien",
      "Modifié"),
   "Nouveau")),"")</f>
        <v/>
      </c>
    </row>
    <row r="2283" spans="24:30" x14ac:dyDescent="0.25">
      <c r="X2283" s="8" t="e">
        <f>IF(Final_Sans_VGE[[#This Row],[ppn_z]]="","",IFERROR(
   IF(_xlfn.XLOOKUP(Final_Sans_VGE[[#This Row],[ppn_z]],tbl_Historique_Final[ppn_z],tbl_Historique_Final[date_modif])=Final_Sans_VGE[[#This Row],[date_modif]],
      "Ancien",
      "Modifié"),
   "Nouveau"))</f>
        <v>#VALUE!</v>
      </c>
      <c r="AD2283" s="1" t="str">
        <f>IFERROR(IF(Final_Sans_VGE[[#This Row],[ppn_z]]="","",IFERROR(
   IF(_xlfn.XLOOKUP(Final_Sans_VGE[[#This Row],[ppn_z]],tbl_Historique_Final[[#This Row],[ppn_z]],tbl_Historique_Final[[#This Row],[date_modif]])=Final_Sans_VGE[[#This Row],[date_modif]],
      "Ancien",
      "Modifié"),
   "Nouveau")),"")</f>
        <v/>
      </c>
    </row>
    <row r="2284" spans="24:30" x14ac:dyDescent="0.25">
      <c r="X2284" s="8" t="e">
        <f>IF(Final_Sans_VGE[[#This Row],[ppn_z]]="","",IFERROR(
   IF(_xlfn.XLOOKUP(Final_Sans_VGE[[#This Row],[ppn_z]],tbl_Historique_Final[ppn_z],tbl_Historique_Final[date_modif])=Final_Sans_VGE[[#This Row],[date_modif]],
      "Ancien",
      "Modifié"),
   "Nouveau"))</f>
        <v>#VALUE!</v>
      </c>
      <c r="AD2284" s="1" t="str">
        <f>IFERROR(IF(Final_Sans_VGE[[#This Row],[ppn_z]]="","",IFERROR(
   IF(_xlfn.XLOOKUP(Final_Sans_VGE[[#This Row],[ppn_z]],tbl_Historique_Final[[#This Row],[ppn_z]],tbl_Historique_Final[[#This Row],[date_modif]])=Final_Sans_VGE[[#This Row],[date_modif]],
      "Ancien",
      "Modifié"),
   "Nouveau")),"")</f>
        <v/>
      </c>
    </row>
    <row r="2285" spans="24:30" x14ac:dyDescent="0.25">
      <c r="X2285" s="8" t="e">
        <f>IF(Final_Sans_VGE[[#This Row],[ppn_z]]="","",IFERROR(
   IF(_xlfn.XLOOKUP(Final_Sans_VGE[[#This Row],[ppn_z]],tbl_Historique_Final[ppn_z],tbl_Historique_Final[date_modif])=Final_Sans_VGE[[#This Row],[date_modif]],
      "Ancien",
      "Modifié"),
   "Nouveau"))</f>
        <v>#VALUE!</v>
      </c>
      <c r="AD2285" s="1" t="str">
        <f>IFERROR(IF(Final_Sans_VGE[[#This Row],[ppn_z]]="","",IFERROR(
   IF(_xlfn.XLOOKUP(Final_Sans_VGE[[#This Row],[ppn_z]],tbl_Historique_Final[[#This Row],[ppn_z]],tbl_Historique_Final[[#This Row],[date_modif]])=Final_Sans_VGE[[#This Row],[date_modif]],
      "Ancien",
      "Modifié"),
   "Nouveau")),"")</f>
        <v/>
      </c>
    </row>
    <row r="2286" spans="24:30" x14ac:dyDescent="0.25">
      <c r="X2286" s="8" t="e">
        <f>IF(Final_Sans_VGE[[#This Row],[ppn_z]]="","",IFERROR(
   IF(_xlfn.XLOOKUP(Final_Sans_VGE[[#This Row],[ppn_z]],tbl_Historique_Final[ppn_z],tbl_Historique_Final[date_modif])=Final_Sans_VGE[[#This Row],[date_modif]],
      "Ancien",
      "Modifié"),
   "Nouveau"))</f>
        <v>#VALUE!</v>
      </c>
      <c r="AD2286" s="1" t="str">
        <f>IFERROR(IF(Final_Sans_VGE[[#This Row],[ppn_z]]="","",IFERROR(
   IF(_xlfn.XLOOKUP(Final_Sans_VGE[[#This Row],[ppn_z]],tbl_Historique_Final[[#This Row],[ppn_z]],tbl_Historique_Final[[#This Row],[date_modif]])=Final_Sans_VGE[[#This Row],[date_modif]],
      "Ancien",
      "Modifié"),
   "Nouveau")),"")</f>
        <v/>
      </c>
    </row>
    <row r="2287" spans="24:30" x14ac:dyDescent="0.25">
      <c r="X2287" s="8" t="e">
        <f>IF(Final_Sans_VGE[[#This Row],[ppn_z]]="","",IFERROR(
   IF(_xlfn.XLOOKUP(Final_Sans_VGE[[#This Row],[ppn_z]],tbl_Historique_Final[ppn_z],tbl_Historique_Final[date_modif])=Final_Sans_VGE[[#This Row],[date_modif]],
      "Ancien",
      "Modifié"),
   "Nouveau"))</f>
        <v>#VALUE!</v>
      </c>
      <c r="AD2287" s="1" t="str">
        <f>IFERROR(IF(Final_Sans_VGE[[#This Row],[ppn_z]]="","",IFERROR(
   IF(_xlfn.XLOOKUP(Final_Sans_VGE[[#This Row],[ppn_z]],tbl_Historique_Final[[#This Row],[ppn_z]],tbl_Historique_Final[[#This Row],[date_modif]])=Final_Sans_VGE[[#This Row],[date_modif]],
      "Ancien",
      "Modifié"),
   "Nouveau")),"")</f>
        <v/>
      </c>
    </row>
    <row r="2288" spans="24:30" x14ac:dyDescent="0.25">
      <c r="X2288" s="8" t="e">
        <f>IF(Final_Sans_VGE[[#This Row],[ppn_z]]="","",IFERROR(
   IF(_xlfn.XLOOKUP(Final_Sans_VGE[[#This Row],[ppn_z]],tbl_Historique_Final[ppn_z],tbl_Historique_Final[date_modif])=Final_Sans_VGE[[#This Row],[date_modif]],
      "Ancien",
      "Modifié"),
   "Nouveau"))</f>
        <v>#VALUE!</v>
      </c>
      <c r="AD2288" s="1" t="str">
        <f>IFERROR(IF(Final_Sans_VGE[[#This Row],[ppn_z]]="","",IFERROR(
   IF(_xlfn.XLOOKUP(Final_Sans_VGE[[#This Row],[ppn_z]],tbl_Historique_Final[[#This Row],[ppn_z]],tbl_Historique_Final[[#This Row],[date_modif]])=Final_Sans_VGE[[#This Row],[date_modif]],
      "Ancien",
      "Modifié"),
   "Nouveau")),"")</f>
        <v/>
      </c>
    </row>
    <row r="2289" spans="24:30" x14ac:dyDescent="0.25">
      <c r="X2289" s="8" t="e">
        <f>IF(Final_Sans_VGE[[#This Row],[ppn_z]]="","",IFERROR(
   IF(_xlfn.XLOOKUP(Final_Sans_VGE[[#This Row],[ppn_z]],tbl_Historique_Final[ppn_z],tbl_Historique_Final[date_modif])=Final_Sans_VGE[[#This Row],[date_modif]],
      "Ancien",
      "Modifié"),
   "Nouveau"))</f>
        <v>#VALUE!</v>
      </c>
      <c r="AD2289" s="1" t="str">
        <f>IFERROR(IF(Final_Sans_VGE[[#This Row],[ppn_z]]="","",IFERROR(
   IF(_xlfn.XLOOKUP(Final_Sans_VGE[[#This Row],[ppn_z]],tbl_Historique_Final[[#This Row],[ppn_z]],tbl_Historique_Final[[#This Row],[date_modif]])=Final_Sans_VGE[[#This Row],[date_modif]],
      "Ancien",
      "Modifié"),
   "Nouveau")),"")</f>
        <v/>
      </c>
    </row>
    <row r="2290" spans="24:30" x14ac:dyDescent="0.25">
      <c r="X2290" s="8" t="e">
        <f>IF(Final_Sans_VGE[[#This Row],[ppn_z]]="","",IFERROR(
   IF(_xlfn.XLOOKUP(Final_Sans_VGE[[#This Row],[ppn_z]],tbl_Historique_Final[ppn_z],tbl_Historique_Final[date_modif])=Final_Sans_VGE[[#This Row],[date_modif]],
      "Ancien",
      "Modifié"),
   "Nouveau"))</f>
        <v>#VALUE!</v>
      </c>
      <c r="AD2290" s="1" t="str">
        <f>IFERROR(IF(Final_Sans_VGE[[#This Row],[ppn_z]]="","",IFERROR(
   IF(_xlfn.XLOOKUP(Final_Sans_VGE[[#This Row],[ppn_z]],tbl_Historique_Final[[#This Row],[ppn_z]],tbl_Historique_Final[[#This Row],[date_modif]])=Final_Sans_VGE[[#This Row],[date_modif]],
      "Ancien",
      "Modifié"),
   "Nouveau")),"")</f>
        <v/>
      </c>
    </row>
    <row r="2291" spans="24:30" x14ac:dyDescent="0.25">
      <c r="X2291" s="8" t="e">
        <f>IF(Final_Sans_VGE[[#This Row],[ppn_z]]="","",IFERROR(
   IF(_xlfn.XLOOKUP(Final_Sans_VGE[[#This Row],[ppn_z]],tbl_Historique_Final[ppn_z],tbl_Historique_Final[date_modif])=Final_Sans_VGE[[#This Row],[date_modif]],
      "Ancien",
      "Modifié"),
   "Nouveau"))</f>
        <v>#VALUE!</v>
      </c>
      <c r="AD2291" s="1" t="str">
        <f>IFERROR(IF(Final_Sans_VGE[[#This Row],[ppn_z]]="","",IFERROR(
   IF(_xlfn.XLOOKUP(Final_Sans_VGE[[#This Row],[ppn_z]],tbl_Historique_Final[[#This Row],[ppn_z]],tbl_Historique_Final[[#This Row],[date_modif]])=Final_Sans_VGE[[#This Row],[date_modif]],
      "Ancien",
      "Modifié"),
   "Nouveau")),"")</f>
        <v/>
      </c>
    </row>
    <row r="2292" spans="24:30" x14ac:dyDescent="0.25">
      <c r="X2292" s="8" t="e">
        <f>IF(Final_Sans_VGE[[#This Row],[ppn_z]]="","",IFERROR(
   IF(_xlfn.XLOOKUP(Final_Sans_VGE[[#This Row],[ppn_z]],tbl_Historique_Final[ppn_z],tbl_Historique_Final[date_modif])=Final_Sans_VGE[[#This Row],[date_modif]],
      "Ancien",
      "Modifié"),
   "Nouveau"))</f>
        <v>#VALUE!</v>
      </c>
      <c r="AD2292" s="1" t="str">
        <f>IFERROR(IF(Final_Sans_VGE[[#This Row],[ppn_z]]="","",IFERROR(
   IF(_xlfn.XLOOKUP(Final_Sans_VGE[[#This Row],[ppn_z]],tbl_Historique_Final[[#This Row],[ppn_z]],tbl_Historique_Final[[#This Row],[date_modif]])=Final_Sans_VGE[[#This Row],[date_modif]],
      "Ancien",
      "Modifié"),
   "Nouveau")),"")</f>
        <v/>
      </c>
    </row>
    <row r="2293" spans="24:30" x14ac:dyDescent="0.25">
      <c r="X2293" s="8" t="e">
        <f>IF(Final_Sans_VGE[[#This Row],[ppn_z]]="","",IFERROR(
   IF(_xlfn.XLOOKUP(Final_Sans_VGE[[#This Row],[ppn_z]],tbl_Historique_Final[ppn_z],tbl_Historique_Final[date_modif])=Final_Sans_VGE[[#This Row],[date_modif]],
      "Ancien",
      "Modifié"),
   "Nouveau"))</f>
        <v>#VALUE!</v>
      </c>
      <c r="AD2293" s="1" t="str">
        <f>IFERROR(IF(Final_Sans_VGE[[#This Row],[ppn_z]]="","",IFERROR(
   IF(_xlfn.XLOOKUP(Final_Sans_VGE[[#This Row],[ppn_z]],tbl_Historique_Final[[#This Row],[ppn_z]],tbl_Historique_Final[[#This Row],[date_modif]])=Final_Sans_VGE[[#This Row],[date_modif]],
      "Ancien",
      "Modifié"),
   "Nouveau")),"")</f>
        <v/>
      </c>
    </row>
    <row r="2294" spans="24:30" x14ac:dyDescent="0.25">
      <c r="X2294" s="8" t="e">
        <f>IF(Final_Sans_VGE[[#This Row],[ppn_z]]="","",IFERROR(
   IF(_xlfn.XLOOKUP(Final_Sans_VGE[[#This Row],[ppn_z]],tbl_Historique_Final[ppn_z],tbl_Historique_Final[date_modif])=Final_Sans_VGE[[#This Row],[date_modif]],
      "Ancien",
      "Modifié"),
   "Nouveau"))</f>
        <v>#VALUE!</v>
      </c>
      <c r="AD2294" s="1" t="str">
        <f>IFERROR(IF(Final_Sans_VGE[[#This Row],[ppn_z]]="","",IFERROR(
   IF(_xlfn.XLOOKUP(Final_Sans_VGE[[#This Row],[ppn_z]],tbl_Historique_Final[[#This Row],[ppn_z]],tbl_Historique_Final[[#This Row],[date_modif]])=Final_Sans_VGE[[#This Row],[date_modif]],
      "Ancien",
      "Modifié"),
   "Nouveau")),"")</f>
        <v/>
      </c>
    </row>
    <row r="2295" spans="24:30" x14ac:dyDescent="0.25">
      <c r="X2295" s="8" t="e">
        <f>IF(Final_Sans_VGE[[#This Row],[ppn_z]]="","",IFERROR(
   IF(_xlfn.XLOOKUP(Final_Sans_VGE[[#This Row],[ppn_z]],tbl_Historique_Final[ppn_z],tbl_Historique_Final[date_modif])=Final_Sans_VGE[[#This Row],[date_modif]],
      "Ancien",
      "Modifié"),
   "Nouveau"))</f>
        <v>#VALUE!</v>
      </c>
      <c r="AD2295" s="1" t="str">
        <f>IFERROR(IF(Final_Sans_VGE[[#This Row],[ppn_z]]="","",IFERROR(
   IF(_xlfn.XLOOKUP(Final_Sans_VGE[[#This Row],[ppn_z]],tbl_Historique_Final[[#This Row],[ppn_z]],tbl_Historique_Final[[#This Row],[date_modif]])=Final_Sans_VGE[[#This Row],[date_modif]],
      "Ancien",
      "Modifié"),
   "Nouveau")),"")</f>
        <v/>
      </c>
    </row>
    <row r="2296" spans="24:30" x14ac:dyDescent="0.25">
      <c r="X2296" s="8" t="e">
        <f>IF(Final_Sans_VGE[[#This Row],[ppn_z]]="","",IFERROR(
   IF(_xlfn.XLOOKUP(Final_Sans_VGE[[#This Row],[ppn_z]],tbl_Historique_Final[ppn_z],tbl_Historique_Final[date_modif])=Final_Sans_VGE[[#This Row],[date_modif]],
      "Ancien",
      "Modifié"),
   "Nouveau"))</f>
        <v>#VALUE!</v>
      </c>
      <c r="AD2296" s="1" t="str">
        <f>IFERROR(IF(Final_Sans_VGE[[#This Row],[ppn_z]]="","",IFERROR(
   IF(_xlfn.XLOOKUP(Final_Sans_VGE[[#This Row],[ppn_z]],tbl_Historique_Final[[#This Row],[ppn_z]],tbl_Historique_Final[[#This Row],[date_modif]])=Final_Sans_VGE[[#This Row],[date_modif]],
      "Ancien",
      "Modifié"),
   "Nouveau")),"")</f>
        <v/>
      </c>
    </row>
    <row r="2297" spans="24:30" x14ac:dyDescent="0.25">
      <c r="X2297" s="8" t="e">
        <f>IF(Final_Sans_VGE[[#This Row],[ppn_z]]="","",IFERROR(
   IF(_xlfn.XLOOKUP(Final_Sans_VGE[[#This Row],[ppn_z]],tbl_Historique_Final[ppn_z],tbl_Historique_Final[date_modif])=Final_Sans_VGE[[#This Row],[date_modif]],
      "Ancien",
      "Modifié"),
   "Nouveau"))</f>
        <v>#VALUE!</v>
      </c>
      <c r="AD2297" s="1" t="str">
        <f>IFERROR(IF(Final_Sans_VGE[[#This Row],[ppn_z]]="","",IFERROR(
   IF(_xlfn.XLOOKUP(Final_Sans_VGE[[#This Row],[ppn_z]],tbl_Historique_Final[[#This Row],[ppn_z]],tbl_Historique_Final[[#This Row],[date_modif]])=Final_Sans_VGE[[#This Row],[date_modif]],
      "Ancien",
      "Modifié"),
   "Nouveau")),"")</f>
        <v/>
      </c>
    </row>
    <row r="2298" spans="24:30" x14ac:dyDescent="0.25">
      <c r="X2298" s="8" t="e">
        <f>IF(Final_Sans_VGE[[#This Row],[ppn_z]]="","",IFERROR(
   IF(_xlfn.XLOOKUP(Final_Sans_VGE[[#This Row],[ppn_z]],tbl_Historique_Final[ppn_z],tbl_Historique_Final[date_modif])=Final_Sans_VGE[[#This Row],[date_modif]],
      "Ancien",
      "Modifié"),
   "Nouveau"))</f>
        <v>#VALUE!</v>
      </c>
      <c r="AD2298" s="1" t="str">
        <f>IFERROR(IF(Final_Sans_VGE[[#This Row],[ppn_z]]="","",IFERROR(
   IF(_xlfn.XLOOKUP(Final_Sans_VGE[[#This Row],[ppn_z]],tbl_Historique_Final[[#This Row],[ppn_z]],tbl_Historique_Final[[#This Row],[date_modif]])=Final_Sans_VGE[[#This Row],[date_modif]],
      "Ancien",
      "Modifié"),
   "Nouveau")),"")</f>
        <v/>
      </c>
    </row>
    <row r="2299" spans="24:30" x14ac:dyDescent="0.25">
      <c r="X2299" s="8" t="e">
        <f>IF(Final_Sans_VGE[[#This Row],[ppn_z]]="","",IFERROR(
   IF(_xlfn.XLOOKUP(Final_Sans_VGE[[#This Row],[ppn_z]],tbl_Historique_Final[ppn_z],tbl_Historique_Final[date_modif])=Final_Sans_VGE[[#This Row],[date_modif]],
      "Ancien",
      "Modifié"),
   "Nouveau"))</f>
        <v>#VALUE!</v>
      </c>
      <c r="AD2299" s="1" t="str">
        <f>IFERROR(IF(Final_Sans_VGE[[#This Row],[ppn_z]]="","",IFERROR(
   IF(_xlfn.XLOOKUP(Final_Sans_VGE[[#This Row],[ppn_z]],tbl_Historique_Final[[#This Row],[ppn_z]],tbl_Historique_Final[[#This Row],[date_modif]])=Final_Sans_VGE[[#This Row],[date_modif]],
      "Ancien",
      "Modifié"),
   "Nouveau")),"")</f>
        <v/>
      </c>
    </row>
    <row r="2300" spans="24:30" x14ac:dyDescent="0.25">
      <c r="X2300" s="8" t="e">
        <f>IF(Final_Sans_VGE[[#This Row],[ppn_z]]="","",IFERROR(
   IF(_xlfn.XLOOKUP(Final_Sans_VGE[[#This Row],[ppn_z]],tbl_Historique_Final[ppn_z],tbl_Historique_Final[date_modif])=Final_Sans_VGE[[#This Row],[date_modif]],
      "Ancien",
      "Modifié"),
   "Nouveau"))</f>
        <v>#VALUE!</v>
      </c>
      <c r="AD2300" s="1" t="str">
        <f>IFERROR(IF(Final_Sans_VGE[[#This Row],[ppn_z]]="","",IFERROR(
   IF(_xlfn.XLOOKUP(Final_Sans_VGE[[#This Row],[ppn_z]],tbl_Historique_Final[[#This Row],[ppn_z]],tbl_Historique_Final[[#This Row],[date_modif]])=Final_Sans_VGE[[#This Row],[date_modif]],
      "Ancien",
      "Modifié"),
   "Nouveau")),"")</f>
        <v/>
      </c>
    </row>
    <row r="2301" spans="24:30" x14ac:dyDescent="0.25">
      <c r="X2301" s="8" t="e">
        <f>IF(Final_Sans_VGE[[#This Row],[ppn_z]]="","",IFERROR(
   IF(_xlfn.XLOOKUP(Final_Sans_VGE[[#This Row],[ppn_z]],tbl_Historique_Final[ppn_z],tbl_Historique_Final[date_modif])=Final_Sans_VGE[[#This Row],[date_modif]],
      "Ancien",
      "Modifié"),
   "Nouveau"))</f>
        <v>#VALUE!</v>
      </c>
      <c r="AD2301" s="1" t="str">
        <f>IFERROR(IF(Final_Sans_VGE[[#This Row],[ppn_z]]="","",IFERROR(
   IF(_xlfn.XLOOKUP(Final_Sans_VGE[[#This Row],[ppn_z]],tbl_Historique_Final[[#This Row],[ppn_z]],tbl_Historique_Final[[#This Row],[date_modif]])=Final_Sans_VGE[[#This Row],[date_modif]],
      "Ancien",
      "Modifié"),
   "Nouveau")),"")</f>
        <v/>
      </c>
    </row>
    <row r="2302" spans="24:30" x14ac:dyDescent="0.25">
      <c r="X2302" s="8" t="e">
        <f>IF(Final_Sans_VGE[[#This Row],[ppn_z]]="","",IFERROR(
   IF(_xlfn.XLOOKUP(Final_Sans_VGE[[#This Row],[ppn_z]],tbl_Historique_Final[ppn_z],tbl_Historique_Final[date_modif])=Final_Sans_VGE[[#This Row],[date_modif]],
      "Ancien",
      "Modifié"),
   "Nouveau"))</f>
        <v>#VALUE!</v>
      </c>
      <c r="AD2302" s="1" t="str">
        <f>IFERROR(IF(Final_Sans_VGE[[#This Row],[ppn_z]]="","",IFERROR(
   IF(_xlfn.XLOOKUP(Final_Sans_VGE[[#This Row],[ppn_z]],tbl_Historique_Final[[#This Row],[ppn_z]],tbl_Historique_Final[[#This Row],[date_modif]])=Final_Sans_VGE[[#This Row],[date_modif]],
      "Ancien",
      "Modifié"),
   "Nouveau")),"")</f>
        <v/>
      </c>
    </row>
    <row r="2303" spans="24:30" x14ac:dyDescent="0.25">
      <c r="X2303" s="8" t="e">
        <f>IF(Final_Sans_VGE[[#This Row],[ppn_z]]="","",IFERROR(
   IF(_xlfn.XLOOKUP(Final_Sans_VGE[[#This Row],[ppn_z]],tbl_Historique_Final[ppn_z],tbl_Historique_Final[date_modif])=Final_Sans_VGE[[#This Row],[date_modif]],
      "Ancien",
      "Modifié"),
   "Nouveau"))</f>
        <v>#VALUE!</v>
      </c>
      <c r="AD2303" s="1" t="str">
        <f>IFERROR(IF(Final_Sans_VGE[[#This Row],[ppn_z]]="","",IFERROR(
   IF(_xlfn.XLOOKUP(Final_Sans_VGE[[#This Row],[ppn_z]],tbl_Historique_Final[[#This Row],[ppn_z]],tbl_Historique_Final[[#This Row],[date_modif]])=Final_Sans_VGE[[#This Row],[date_modif]],
      "Ancien",
      "Modifié"),
   "Nouveau")),"")</f>
        <v/>
      </c>
    </row>
    <row r="2304" spans="24:30" x14ac:dyDescent="0.25">
      <c r="X2304" s="8" t="e">
        <f>IF(Final_Sans_VGE[[#This Row],[ppn_z]]="","",IFERROR(
   IF(_xlfn.XLOOKUP(Final_Sans_VGE[[#This Row],[ppn_z]],tbl_Historique_Final[ppn_z],tbl_Historique_Final[date_modif])=Final_Sans_VGE[[#This Row],[date_modif]],
      "Ancien",
      "Modifié"),
   "Nouveau"))</f>
        <v>#VALUE!</v>
      </c>
      <c r="AD2304" s="1" t="str">
        <f>IFERROR(IF(Final_Sans_VGE[[#This Row],[ppn_z]]="","",IFERROR(
   IF(_xlfn.XLOOKUP(Final_Sans_VGE[[#This Row],[ppn_z]],tbl_Historique_Final[[#This Row],[ppn_z]],tbl_Historique_Final[[#This Row],[date_modif]])=Final_Sans_VGE[[#This Row],[date_modif]],
      "Ancien",
      "Modifié"),
   "Nouveau")),"")</f>
        <v/>
      </c>
    </row>
    <row r="2305" spans="24:30" x14ac:dyDescent="0.25">
      <c r="X2305" s="8" t="e">
        <f>IF(Final_Sans_VGE[[#This Row],[ppn_z]]="","",IFERROR(
   IF(_xlfn.XLOOKUP(Final_Sans_VGE[[#This Row],[ppn_z]],tbl_Historique_Final[ppn_z],tbl_Historique_Final[date_modif])=Final_Sans_VGE[[#This Row],[date_modif]],
      "Ancien",
      "Modifié"),
   "Nouveau"))</f>
        <v>#VALUE!</v>
      </c>
      <c r="AD2305" s="1" t="str">
        <f>IFERROR(IF(Final_Sans_VGE[[#This Row],[ppn_z]]="","",IFERROR(
   IF(_xlfn.XLOOKUP(Final_Sans_VGE[[#This Row],[ppn_z]],tbl_Historique_Final[[#This Row],[ppn_z]],tbl_Historique_Final[[#This Row],[date_modif]])=Final_Sans_VGE[[#This Row],[date_modif]],
      "Ancien",
      "Modifié"),
   "Nouveau")),"")</f>
        <v/>
      </c>
    </row>
    <row r="2306" spans="24:30" x14ac:dyDescent="0.25">
      <c r="X2306" s="8" t="e">
        <f>IF(Final_Sans_VGE[[#This Row],[ppn_z]]="","",IFERROR(
   IF(_xlfn.XLOOKUP(Final_Sans_VGE[[#This Row],[ppn_z]],tbl_Historique_Final[ppn_z],tbl_Historique_Final[date_modif])=Final_Sans_VGE[[#This Row],[date_modif]],
      "Ancien",
      "Modifié"),
   "Nouveau"))</f>
        <v>#VALUE!</v>
      </c>
      <c r="AD2306" s="1" t="str">
        <f>IFERROR(IF(Final_Sans_VGE[[#This Row],[ppn_z]]="","",IFERROR(
   IF(_xlfn.XLOOKUP(Final_Sans_VGE[[#This Row],[ppn_z]],tbl_Historique_Final[[#This Row],[ppn_z]],tbl_Historique_Final[[#This Row],[date_modif]])=Final_Sans_VGE[[#This Row],[date_modif]],
      "Ancien",
      "Modifié"),
   "Nouveau")),"")</f>
        <v/>
      </c>
    </row>
    <row r="2307" spans="24:30" x14ac:dyDescent="0.25">
      <c r="X2307" s="8" t="e">
        <f>IF(Final_Sans_VGE[[#This Row],[ppn_z]]="","",IFERROR(
   IF(_xlfn.XLOOKUP(Final_Sans_VGE[[#This Row],[ppn_z]],tbl_Historique_Final[ppn_z],tbl_Historique_Final[date_modif])=Final_Sans_VGE[[#This Row],[date_modif]],
      "Ancien",
      "Modifié"),
   "Nouveau"))</f>
        <v>#VALUE!</v>
      </c>
      <c r="AD2307" s="1" t="str">
        <f>IFERROR(IF(Final_Sans_VGE[[#This Row],[ppn_z]]="","",IFERROR(
   IF(_xlfn.XLOOKUP(Final_Sans_VGE[[#This Row],[ppn_z]],tbl_Historique_Final[[#This Row],[ppn_z]],tbl_Historique_Final[[#This Row],[date_modif]])=Final_Sans_VGE[[#This Row],[date_modif]],
      "Ancien",
      "Modifié"),
   "Nouveau")),"")</f>
        <v/>
      </c>
    </row>
    <row r="2308" spans="24:30" x14ac:dyDescent="0.25">
      <c r="X2308" s="8" t="e">
        <f>IF(Final_Sans_VGE[[#This Row],[ppn_z]]="","",IFERROR(
   IF(_xlfn.XLOOKUP(Final_Sans_VGE[[#This Row],[ppn_z]],tbl_Historique_Final[ppn_z],tbl_Historique_Final[date_modif])=Final_Sans_VGE[[#This Row],[date_modif]],
      "Ancien",
      "Modifié"),
   "Nouveau"))</f>
        <v>#VALUE!</v>
      </c>
      <c r="AD2308" s="1" t="str">
        <f>IFERROR(IF(Final_Sans_VGE[[#This Row],[ppn_z]]="","",IFERROR(
   IF(_xlfn.XLOOKUP(Final_Sans_VGE[[#This Row],[ppn_z]],tbl_Historique_Final[[#This Row],[ppn_z]],tbl_Historique_Final[[#This Row],[date_modif]])=Final_Sans_VGE[[#This Row],[date_modif]],
      "Ancien",
      "Modifié"),
   "Nouveau")),"")</f>
        <v/>
      </c>
    </row>
    <row r="2309" spans="24:30" x14ac:dyDescent="0.25">
      <c r="X2309" s="8" t="e">
        <f>IF(Final_Sans_VGE[[#This Row],[ppn_z]]="","",IFERROR(
   IF(_xlfn.XLOOKUP(Final_Sans_VGE[[#This Row],[ppn_z]],tbl_Historique_Final[ppn_z],tbl_Historique_Final[date_modif])=Final_Sans_VGE[[#This Row],[date_modif]],
      "Ancien",
      "Modifié"),
   "Nouveau"))</f>
        <v>#VALUE!</v>
      </c>
      <c r="AD2309" s="1" t="str">
        <f>IFERROR(IF(Final_Sans_VGE[[#This Row],[ppn_z]]="","",IFERROR(
   IF(_xlfn.XLOOKUP(Final_Sans_VGE[[#This Row],[ppn_z]],tbl_Historique_Final[[#This Row],[ppn_z]],tbl_Historique_Final[[#This Row],[date_modif]])=Final_Sans_VGE[[#This Row],[date_modif]],
      "Ancien",
      "Modifié"),
   "Nouveau")),"")</f>
        <v/>
      </c>
    </row>
    <row r="2310" spans="24:30" x14ac:dyDescent="0.25">
      <c r="X2310" s="8" t="e">
        <f>IF(Final_Sans_VGE[[#This Row],[ppn_z]]="","",IFERROR(
   IF(_xlfn.XLOOKUP(Final_Sans_VGE[[#This Row],[ppn_z]],tbl_Historique_Final[ppn_z],tbl_Historique_Final[date_modif])=Final_Sans_VGE[[#This Row],[date_modif]],
      "Ancien",
      "Modifié"),
   "Nouveau"))</f>
        <v>#VALUE!</v>
      </c>
      <c r="AD2310" s="1" t="str">
        <f>IFERROR(IF(Final_Sans_VGE[[#This Row],[ppn_z]]="","",IFERROR(
   IF(_xlfn.XLOOKUP(Final_Sans_VGE[[#This Row],[ppn_z]],tbl_Historique_Final[[#This Row],[ppn_z]],tbl_Historique_Final[[#This Row],[date_modif]])=Final_Sans_VGE[[#This Row],[date_modif]],
      "Ancien",
      "Modifié"),
   "Nouveau")),"")</f>
        <v/>
      </c>
    </row>
    <row r="2311" spans="24:30" x14ac:dyDescent="0.25">
      <c r="X2311" s="8" t="e">
        <f>IF(Final_Sans_VGE[[#This Row],[ppn_z]]="","",IFERROR(
   IF(_xlfn.XLOOKUP(Final_Sans_VGE[[#This Row],[ppn_z]],tbl_Historique_Final[ppn_z],tbl_Historique_Final[date_modif])=Final_Sans_VGE[[#This Row],[date_modif]],
      "Ancien",
      "Modifié"),
   "Nouveau"))</f>
        <v>#VALUE!</v>
      </c>
      <c r="AD2311" s="1" t="str">
        <f>IFERROR(IF(Final_Sans_VGE[[#This Row],[ppn_z]]="","",IFERROR(
   IF(_xlfn.XLOOKUP(Final_Sans_VGE[[#This Row],[ppn_z]],tbl_Historique_Final[[#This Row],[ppn_z]],tbl_Historique_Final[[#This Row],[date_modif]])=Final_Sans_VGE[[#This Row],[date_modif]],
      "Ancien",
      "Modifié"),
   "Nouveau")),"")</f>
        <v/>
      </c>
    </row>
    <row r="2312" spans="24:30" x14ac:dyDescent="0.25">
      <c r="X2312" s="8" t="e">
        <f>IF(Final_Sans_VGE[[#This Row],[ppn_z]]="","",IFERROR(
   IF(_xlfn.XLOOKUP(Final_Sans_VGE[[#This Row],[ppn_z]],tbl_Historique_Final[ppn_z],tbl_Historique_Final[date_modif])=Final_Sans_VGE[[#This Row],[date_modif]],
      "Ancien",
      "Modifié"),
   "Nouveau"))</f>
        <v>#VALUE!</v>
      </c>
      <c r="AD2312" s="1" t="str">
        <f>IFERROR(IF(Final_Sans_VGE[[#This Row],[ppn_z]]="","",IFERROR(
   IF(_xlfn.XLOOKUP(Final_Sans_VGE[[#This Row],[ppn_z]],tbl_Historique_Final[[#This Row],[ppn_z]],tbl_Historique_Final[[#This Row],[date_modif]])=Final_Sans_VGE[[#This Row],[date_modif]],
      "Ancien",
      "Modifié"),
   "Nouveau")),"")</f>
        <v/>
      </c>
    </row>
    <row r="2313" spans="24:30" x14ac:dyDescent="0.25">
      <c r="X2313" s="8" t="e">
        <f>IF(Final_Sans_VGE[[#This Row],[ppn_z]]="","",IFERROR(
   IF(_xlfn.XLOOKUP(Final_Sans_VGE[[#This Row],[ppn_z]],tbl_Historique_Final[ppn_z],tbl_Historique_Final[date_modif])=Final_Sans_VGE[[#This Row],[date_modif]],
      "Ancien",
      "Modifié"),
   "Nouveau"))</f>
        <v>#VALUE!</v>
      </c>
      <c r="AD2313" s="1" t="str">
        <f>IFERROR(IF(Final_Sans_VGE[[#This Row],[ppn_z]]="","",IFERROR(
   IF(_xlfn.XLOOKUP(Final_Sans_VGE[[#This Row],[ppn_z]],tbl_Historique_Final[[#This Row],[ppn_z]],tbl_Historique_Final[[#This Row],[date_modif]])=Final_Sans_VGE[[#This Row],[date_modif]],
      "Ancien",
      "Modifié"),
   "Nouveau")),"")</f>
        <v/>
      </c>
    </row>
    <row r="2314" spans="24:30" x14ac:dyDescent="0.25">
      <c r="X2314" s="8" t="e">
        <f>IF(Final_Sans_VGE[[#This Row],[ppn_z]]="","",IFERROR(
   IF(_xlfn.XLOOKUP(Final_Sans_VGE[[#This Row],[ppn_z]],tbl_Historique_Final[ppn_z],tbl_Historique_Final[date_modif])=Final_Sans_VGE[[#This Row],[date_modif]],
      "Ancien",
      "Modifié"),
   "Nouveau"))</f>
        <v>#VALUE!</v>
      </c>
      <c r="AD2314" s="1" t="str">
        <f>IFERROR(IF(Final_Sans_VGE[[#This Row],[ppn_z]]="","",IFERROR(
   IF(_xlfn.XLOOKUP(Final_Sans_VGE[[#This Row],[ppn_z]],tbl_Historique_Final[[#This Row],[ppn_z]],tbl_Historique_Final[[#This Row],[date_modif]])=Final_Sans_VGE[[#This Row],[date_modif]],
      "Ancien",
      "Modifié"),
   "Nouveau")),"")</f>
        <v/>
      </c>
    </row>
    <row r="2315" spans="24:30" x14ac:dyDescent="0.25">
      <c r="X2315" s="8" t="e">
        <f>IF(Final_Sans_VGE[[#This Row],[ppn_z]]="","",IFERROR(
   IF(_xlfn.XLOOKUP(Final_Sans_VGE[[#This Row],[ppn_z]],tbl_Historique_Final[ppn_z],tbl_Historique_Final[date_modif])=Final_Sans_VGE[[#This Row],[date_modif]],
      "Ancien",
      "Modifié"),
   "Nouveau"))</f>
        <v>#VALUE!</v>
      </c>
      <c r="AD2315" s="1" t="str">
        <f>IFERROR(IF(Final_Sans_VGE[[#This Row],[ppn_z]]="","",IFERROR(
   IF(_xlfn.XLOOKUP(Final_Sans_VGE[[#This Row],[ppn_z]],tbl_Historique_Final[[#This Row],[ppn_z]],tbl_Historique_Final[[#This Row],[date_modif]])=Final_Sans_VGE[[#This Row],[date_modif]],
      "Ancien",
      "Modifié"),
   "Nouveau")),"")</f>
        <v/>
      </c>
    </row>
    <row r="2316" spans="24:30" x14ac:dyDescent="0.25">
      <c r="X2316" s="8" t="e">
        <f>IF(Final_Sans_VGE[[#This Row],[ppn_z]]="","",IFERROR(
   IF(_xlfn.XLOOKUP(Final_Sans_VGE[[#This Row],[ppn_z]],tbl_Historique_Final[ppn_z],tbl_Historique_Final[date_modif])=Final_Sans_VGE[[#This Row],[date_modif]],
      "Ancien",
      "Modifié"),
   "Nouveau"))</f>
        <v>#VALUE!</v>
      </c>
      <c r="AD2316" s="1" t="str">
        <f>IFERROR(IF(Final_Sans_VGE[[#This Row],[ppn_z]]="","",IFERROR(
   IF(_xlfn.XLOOKUP(Final_Sans_VGE[[#This Row],[ppn_z]],tbl_Historique_Final[[#This Row],[ppn_z]],tbl_Historique_Final[[#This Row],[date_modif]])=Final_Sans_VGE[[#This Row],[date_modif]],
      "Ancien",
      "Modifié"),
   "Nouveau")),"")</f>
        <v/>
      </c>
    </row>
    <row r="2317" spans="24:30" x14ac:dyDescent="0.25">
      <c r="X2317" s="8" t="e">
        <f>IF(Final_Sans_VGE[[#This Row],[ppn_z]]="","",IFERROR(
   IF(_xlfn.XLOOKUP(Final_Sans_VGE[[#This Row],[ppn_z]],tbl_Historique_Final[ppn_z],tbl_Historique_Final[date_modif])=Final_Sans_VGE[[#This Row],[date_modif]],
      "Ancien",
      "Modifié"),
   "Nouveau"))</f>
        <v>#VALUE!</v>
      </c>
      <c r="AD2317" s="1" t="str">
        <f>IFERROR(IF(Final_Sans_VGE[[#This Row],[ppn_z]]="","",IFERROR(
   IF(_xlfn.XLOOKUP(Final_Sans_VGE[[#This Row],[ppn_z]],tbl_Historique_Final[[#This Row],[ppn_z]],tbl_Historique_Final[[#This Row],[date_modif]])=Final_Sans_VGE[[#This Row],[date_modif]],
      "Ancien",
      "Modifié"),
   "Nouveau")),"")</f>
        <v/>
      </c>
    </row>
    <row r="2318" spans="24:30" x14ac:dyDescent="0.25">
      <c r="X2318" s="8" t="e">
        <f>IF(Final_Sans_VGE[[#This Row],[ppn_z]]="","",IFERROR(
   IF(_xlfn.XLOOKUP(Final_Sans_VGE[[#This Row],[ppn_z]],tbl_Historique_Final[ppn_z],tbl_Historique_Final[date_modif])=Final_Sans_VGE[[#This Row],[date_modif]],
      "Ancien",
      "Modifié"),
   "Nouveau"))</f>
        <v>#VALUE!</v>
      </c>
      <c r="AD2318" s="1" t="str">
        <f>IFERROR(IF(Final_Sans_VGE[[#This Row],[ppn_z]]="","",IFERROR(
   IF(_xlfn.XLOOKUP(Final_Sans_VGE[[#This Row],[ppn_z]],tbl_Historique_Final[[#This Row],[ppn_z]],tbl_Historique_Final[[#This Row],[date_modif]])=Final_Sans_VGE[[#This Row],[date_modif]],
      "Ancien",
      "Modifié"),
   "Nouveau")),"")</f>
        <v/>
      </c>
    </row>
    <row r="2319" spans="24:30" x14ac:dyDescent="0.25">
      <c r="X2319" s="8" t="e">
        <f>IF(Final_Sans_VGE[[#This Row],[ppn_z]]="","",IFERROR(
   IF(_xlfn.XLOOKUP(Final_Sans_VGE[[#This Row],[ppn_z]],tbl_Historique_Final[ppn_z],tbl_Historique_Final[date_modif])=Final_Sans_VGE[[#This Row],[date_modif]],
      "Ancien",
      "Modifié"),
   "Nouveau"))</f>
        <v>#VALUE!</v>
      </c>
      <c r="AD2319" s="1" t="str">
        <f>IFERROR(IF(Final_Sans_VGE[[#This Row],[ppn_z]]="","",IFERROR(
   IF(_xlfn.XLOOKUP(Final_Sans_VGE[[#This Row],[ppn_z]],tbl_Historique_Final[[#This Row],[ppn_z]],tbl_Historique_Final[[#This Row],[date_modif]])=Final_Sans_VGE[[#This Row],[date_modif]],
      "Ancien",
      "Modifié"),
   "Nouveau")),"")</f>
        <v/>
      </c>
    </row>
    <row r="2320" spans="24:30" x14ac:dyDescent="0.25">
      <c r="X2320" s="8" t="e">
        <f>IF(Final_Sans_VGE[[#This Row],[ppn_z]]="","",IFERROR(
   IF(_xlfn.XLOOKUP(Final_Sans_VGE[[#This Row],[ppn_z]],tbl_Historique_Final[ppn_z],tbl_Historique_Final[date_modif])=Final_Sans_VGE[[#This Row],[date_modif]],
      "Ancien",
      "Modifié"),
   "Nouveau"))</f>
        <v>#VALUE!</v>
      </c>
      <c r="AD2320" s="1" t="str">
        <f>IFERROR(IF(Final_Sans_VGE[[#This Row],[ppn_z]]="","",IFERROR(
   IF(_xlfn.XLOOKUP(Final_Sans_VGE[[#This Row],[ppn_z]],tbl_Historique_Final[[#This Row],[ppn_z]],tbl_Historique_Final[[#This Row],[date_modif]])=Final_Sans_VGE[[#This Row],[date_modif]],
      "Ancien",
      "Modifié"),
   "Nouveau")),"")</f>
        <v/>
      </c>
    </row>
    <row r="2321" spans="24:30" x14ac:dyDescent="0.25">
      <c r="X2321" s="8" t="e">
        <f>IF(Final_Sans_VGE[[#This Row],[ppn_z]]="","",IFERROR(
   IF(_xlfn.XLOOKUP(Final_Sans_VGE[[#This Row],[ppn_z]],tbl_Historique_Final[ppn_z],tbl_Historique_Final[date_modif])=Final_Sans_VGE[[#This Row],[date_modif]],
      "Ancien",
      "Modifié"),
   "Nouveau"))</f>
        <v>#VALUE!</v>
      </c>
      <c r="AD2321" s="1" t="str">
        <f>IFERROR(IF(Final_Sans_VGE[[#This Row],[ppn_z]]="","",IFERROR(
   IF(_xlfn.XLOOKUP(Final_Sans_VGE[[#This Row],[ppn_z]],tbl_Historique_Final[[#This Row],[ppn_z]],tbl_Historique_Final[[#This Row],[date_modif]])=Final_Sans_VGE[[#This Row],[date_modif]],
      "Ancien",
      "Modifié"),
   "Nouveau")),"")</f>
        <v/>
      </c>
    </row>
    <row r="2322" spans="24:30" x14ac:dyDescent="0.25">
      <c r="X2322" s="8" t="e">
        <f>IF(Final_Sans_VGE[[#This Row],[ppn_z]]="","",IFERROR(
   IF(_xlfn.XLOOKUP(Final_Sans_VGE[[#This Row],[ppn_z]],tbl_Historique_Final[ppn_z],tbl_Historique_Final[date_modif])=Final_Sans_VGE[[#This Row],[date_modif]],
      "Ancien",
      "Modifié"),
   "Nouveau"))</f>
        <v>#VALUE!</v>
      </c>
      <c r="AD2322" s="1" t="str">
        <f>IFERROR(IF(Final_Sans_VGE[[#This Row],[ppn_z]]="","",IFERROR(
   IF(_xlfn.XLOOKUP(Final_Sans_VGE[[#This Row],[ppn_z]],tbl_Historique_Final[[#This Row],[ppn_z]],tbl_Historique_Final[[#This Row],[date_modif]])=Final_Sans_VGE[[#This Row],[date_modif]],
      "Ancien",
      "Modifié"),
   "Nouveau")),"")</f>
        <v/>
      </c>
    </row>
    <row r="2323" spans="24:30" x14ac:dyDescent="0.25">
      <c r="X2323" s="8" t="e">
        <f>IF(Final_Sans_VGE[[#This Row],[ppn_z]]="","",IFERROR(
   IF(_xlfn.XLOOKUP(Final_Sans_VGE[[#This Row],[ppn_z]],tbl_Historique_Final[ppn_z],tbl_Historique_Final[date_modif])=Final_Sans_VGE[[#This Row],[date_modif]],
      "Ancien",
      "Modifié"),
   "Nouveau"))</f>
        <v>#VALUE!</v>
      </c>
      <c r="AD2323" s="1" t="str">
        <f>IFERROR(IF(Final_Sans_VGE[[#This Row],[ppn_z]]="","",IFERROR(
   IF(_xlfn.XLOOKUP(Final_Sans_VGE[[#This Row],[ppn_z]],tbl_Historique_Final[[#This Row],[ppn_z]],tbl_Historique_Final[[#This Row],[date_modif]])=Final_Sans_VGE[[#This Row],[date_modif]],
      "Ancien",
      "Modifié"),
   "Nouveau")),"")</f>
        <v/>
      </c>
    </row>
    <row r="2324" spans="24:30" x14ac:dyDescent="0.25">
      <c r="X2324" s="8" t="e">
        <f>IF(Final_Sans_VGE[[#This Row],[ppn_z]]="","",IFERROR(
   IF(_xlfn.XLOOKUP(Final_Sans_VGE[[#This Row],[ppn_z]],tbl_Historique_Final[ppn_z],tbl_Historique_Final[date_modif])=Final_Sans_VGE[[#This Row],[date_modif]],
      "Ancien",
      "Modifié"),
   "Nouveau"))</f>
        <v>#VALUE!</v>
      </c>
      <c r="AD2324" s="1" t="str">
        <f>IFERROR(IF(Final_Sans_VGE[[#This Row],[ppn_z]]="","",IFERROR(
   IF(_xlfn.XLOOKUP(Final_Sans_VGE[[#This Row],[ppn_z]],tbl_Historique_Final[[#This Row],[ppn_z]],tbl_Historique_Final[[#This Row],[date_modif]])=Final_Sans_VGE[[#This Row],[date_modif]],
      "Ancien",
      "Modifié"),
   "Nouveau")),"")</f>
        <v/>
      </c>
    </row>
    <row r="2325" spans="24:30" x14ac:dyDescent="0.25">
      <c r="X2325" s="8" t="e">
        <f>IF(Final_Sans_VGE[[#This Row],[ppn_z]]="","",IFERROR(
   IF(_xlfn.XLOOKUP(Final_Sans_VGE[[#This Row],[ppn_z]],tbl_Historique_Final[ppn_z],tbl_Historique_Final[date_modif])=Final_Sans_VGE[[#This Row],[date_modif]],
      "Ancien",
      "Modifié"),
   "Nouveau"))</f>
        <v>#VALUE!</v>
      </c>
      <c r="AD2325" s="1" t="str">
        <f>IFERROR(IF(Final_Sans_VGE[[#This Row],[ppn_z]]="","",IFERROR(
   IF(_xlfn.XLOOKUP(Final_Sans_VGE[[#This Row],[ppn_z]],tbl_Historique_Final[[#This Row],[ppn_z]],tbl_Historique_Final[[#This Row],[date_modif]])=Final_Sans_VGE[[#This Row],[date_modif]],
      "Ancien",
      "Modifié"),
   "Nouveau")),"")</f>
        <v/>
      </c>
    </row>
    <row r="2326" spans="24:30" x14ac:dyDescent="0.25">
      <c r="X2326" s="8" t="e">
        <f>IF(Final_Sans_VGE[[#This Row],[ppn_z]]="","",IFERROR(
   IF(_xlfn.XLOOKUP(Final_Sans_VGE[[#This Row],[ppn_z]],tbl_Historique_Final[ppn_z],tbl_Historique_Final[date_modif])=Final_Sans_VGE[[#This Row],[date_modif]],
      "Ancien",
      "Modifié"),
   "Nouveau"))</f>
        <v>#VALUE!</v>
      </c>
      <c r="AD2326" s="1" t="str">
        <f>IFERROR(IF(Final_Sans_VGE[[#This Row],[ppn_z]]="","",IFERROR(
   IF(_xlfn.XLOOKUP(Final_Sans_VGE[[#This Row],[ppn_z]],tbl_Historique_Final[[#This Row],[ppn_z]],tbl_Historique_Final[[#This Row],[date_modif]])=Final_Sans_VGE[[#This Row],[date_modif]],
      "Ancien",
      "Modifié"),
   "Nouveau")),"")</f>
        <v/>
      </c>
    </row>
    <row r="2327" spans="24:30" x14ac:dyDescent="0.25">
      <c r="X2327" s="8" t="e">
        <f>IF(Final_Sans_VGE[[#This Row],[ppn_z]]="","",IFERROR(
   IF(_xlfn.XLOOKUP(Final_Sans_VGE[[#This Row],[ppn_z]],tbl_Historique_Final[ppn_z],tbl_Historique_Final[date_modif])=Final_Sans_VGE[[#This Row],[date_modif]],
      "Ancien",
      "Modifié"),
   "Nouveau"))</f>
        <v>#VALUE!</v>
      </c>
      <c r="AD2327" s="1" t="str">
        <f>IFERROR(IF(Final_Sans_VGE[[#This Row],[ppn_z]]="","",IFERROR(
   IF(_xlfn.XLOOKUP(Final_Sans_VGE[[#This Row],[ppn_z]],tbl_Historique_Final[[#This Row],[ppn_z]],tbl_Historique_Final[[#This Row],[date_modif]])=Final_Sans_VGE[[#This Row],[date_modif]],
      "Ancien",
      "Modifié"),
   "Nouveau")),"")</f>
        <v/>
      </c>
    </row>
    <row r="2328" spans="24:30" x14ac:dyDescent="0.25">
      <c r="X2328" s="8" t="e">
        <f>IF(Final_Sans_VGE[[#This Row],[ppn_z]]="","",IFERROR(
   IF(_xlfn.XLOOKUP(Final_Sans_VGE[[#This Row],[ppn_z]],tbl_Historique_Final[ppn_z],tbl_Historique_Final[date_modif])=Final_Sans_VGE[[#This Row],[date_modif]],
      "Ancien",
      "Modifié"),
   "Nouveau"))</f>
        <v>#VALUE!</v>
      </c>
      <c r="AD2328" s="1" t="str">
        <f>IFERROR(IF(Final_Sans_VGE[[#This Row],[ppn_z]]="","",IFERROR(
   IF(_xlfn.XLOOKUP(Final_Sans_VGE[[#This Row],[ppn_z]],tbl_Historique_Final[[#This Row],[ppn_z]],tbl_Historique_Final[[#This Row],[date_modif]])=Final_Sans_VGE[[#This Row],[date_modif]],
      "Ancien",
      "Modifié"),
   "Nouveau")),"")</f>
        <v/>
      </c>
    </row>
    <row r="2329" spans="24:30" x14ac:dyDescent="0.25">
      <c r="X2329" s="8" t="e">
        <f>IF(Final_Sans_VGE[[#This Row],[ppn_z]]="","",IFERROR(
   IF(_xlfn.XLOOKUP(Final_Sans_VGE[[#This Row],[ppn_z]],tbl_Historique_Final[ppn_z],tbl_Historique_Final[date_modif])=Final_Sans_VGE[[#This Row],[date_modif]],
      "Ancien",
      "Modifié"),
   "Nouveau"))</f>
        <v>#VALUE!</v>
      </c>
      <c r="AD2329" s="1" t="str">
        <f>IFERROR(IF(Final_Sans_VGE[[#This Row],[ppn_z]]="","",IFERROR(
   IF(_xlfn.XLOOKUP(Final_Sans_VGE[[#This Row],[ppn_z]],tbl_Historique_Final[[#This Row],[ppn_z]],tbl_Historique_Final[[#This Row],[date_modif]])=Final_Sans_VGE[[#This Row],[date_modif]],
      "Ancien",
      "Modifié"),
   "Nouveau")),"")</f>
        <v/>
      </c>
    </row>
    <row r="2330" spans="24:30" x14ac:dyDescent="0.25">
      <c r="X2330" s="8" t="e">
        <f>IF(Final_Sans_VGE[[#This Row],[ppn_z]]="","",IFERROR(
   IF(_xlfn.XLOOKUP(Final_Sans_VGE[[#This Row],[ppn_z]],tbl_Historique_Final[ppn_z],tbl_Historique_Final[date_modif])=Final_Sans_VGE[[#This Row],[date_modif]],
      "Ancien",
      "Modifié"),
   "Nouveau"))</f>
        <v>#VALUE!</v>
      </c>
      <c r="AD2330" s="1" t="str">
        <f>IFERROR(IF(Final_Sans_VGE[[#This Row],[ppn_z]]="","",IFERROR(
   IF(_xlfn.XLOOKUP(Final_Sans_VGE[[#This Row],[ppn_z]],tbl_Historique_Final[[#This Row],[ppn_z]],tbl_Historique_Final[[#This Row],[date_modif]])=Final_Sans_VGE[[#This Row],[date_modif]],
      "Ancien",
      "Modifié"),
   "Nouveau")),"")</f>
        <v/>
      </c>
    </row>
    <row r="2331" spans="24:30" x14ac:dyDescent="0.25">
      <c r="X2331" s="8" t="e">
        <f>IF(Final_Sans_VGE[[#This Row],[ppn_z]]="","",IFERROR(
   IF(_xlfn.XLOOKUP(Final_Sans_VGE[[#This Row],[ppn_z]],tbl_Historique_Final[ppn_z],tbl_Historique_Final[date_modif])=Final_Sans_VGE[[#This Row],[date_modif]],
      "Ancien",
      "Modifié"),
   "Nouveau"))</f>
        <v>#VALUE!</v>
      </c>
      <c r="AD2331" s="1" t="str">
        <f>IFERROR(IF(Final_Sans_VGE[[#This Row],[ppn_z]]="","",IFERROR(
   IF(_xlfn.XLOOKUP(Final_Sans_VGE[[#This Row],[ppn_z]],tbl_Historique_Final[[#This Row],[ppn_z]],tbl_Historique_Final[[#This Row],[date_modif]])=Final_Sans_VGE[[#This Row],[date_modif]],
      "Ancien",
      "Modifié"),
   "Nouveau")),"")</f>
        <v/>
      </c>
    </row>
    <row r="2332" spans="24:30" x14ac:dyDescent="0.25">
      <c r="X2332" s="8" t="e">
        <f>IF(Final_Sans_VGE[[#This Row],[ppn_z]]="","",IFERROR(
   IF(_xlfn.XLOOKUP(Final_Sans_VGE[[#This Row],[ppn_z]],tbl_Historique_Final[ppn_z],tbl_Historique_Final[date_modif])=Final_Sans_VGE[[#This Row],[date_modif]],
      "Ancien",
      "Modifié"),
   "Nouveau"))</f>
        <v>#VALUE!</v>
      </c>
      <c r="AD2332" s="1" t="str">
        <f>IFERROR(IF(Final_Sans_VGE[[#This Row],[ppn_z]]="","",IFERROR(
   IF(_xlfn.XLOOKUP(Final_Sans_VGE[[#This Row],[ppn_z]],tbl_Historique_Final[[#This Row],[ppn_z]],tbl_Historique_Final[[#This Row],[date_modif]])=Final_Sans_VGE[[#This Row],[date_modif]],
      "Ancien",
      "Modifié"),
   "Nouveau")),"")</f>
        <v/>
      </c>
    </row>
    <row r="2333" spans="24:30" x14ac:dyDescent="0.25">
      <c r="X2333" s="8" t="e">
        <f>IF(Final_Sans_VGE[[#This Row],[ppn_z]]="","",IFERROR(
   IF(_xlfn.XLOOKUP(Final_Sans_VGE[[#This Row],[ppn_z]],tbl_Historique_Final[ppn_z],tbl_Historique_Final[date_modif])=Final_Sans_VGE[[#This Row],[date_modif]],
      "Ancien",
      "Modifié"),
   "Nouveau"))</f>
        <v>#VALUE!</v>
      </c>
      <c r="AD2333" s="1" t="str">
        <f>IFERROR(IF(Final_Sans_VGE[[#This Row],[ppn_z]]="","",IFERROR(
   IF(_xlfn.XLOOKUP(Final_Sans_VGE[[#This Row],[ppn_z]],tbl_Historique_Final[[#This Row],[ppn_z]],tbl_Historique_Final[[#This Row],[date_modif]])=Final_Sans_VGE[[#This Row],[date_modif]],
      "Ancien",
      "Modifié"),
   "Nouveau")),"")</f>
        <v/>
      </c>
    </row>
    <row r="2334" spans="24:30" x14ac:dyDescent="0.25">
      <c r="X2334" s="8" t="e">
        <f>IF(Final_Sans_VGE[[#This Row],[ppn_z]]="","",IFERROR(
   IF(_xlfn.XLOOKUP(Final_Sans_VGE[[#This Row],[ppn_z]],tbl_Historique_Final[ppn_z],tbl_Historique_Final[date_modif])=Final_Sans_VGE[[#This Row],[date_modif]],
      "Ancien",
      "Modifié"),
   "Nouveau"))</f>
        <v>#VALUE!</v>
      </c>
      <c r="AD2334" s="1" t="str">
        <f>IFERROR(IF(Final_Sans_VGE[[#This Row],[ppn_z]]="","",IFERROR(
   IF(_xlfn.XLOOKUP(Final_Sans_VGE[[#This Row],[ppn_z]],tbl_Historique_Final[[#This Row],[ppn_z]],tbl_Historique_Final[[#This Row],[date_modif]])=Final_Sans_VGE[[#This Row],[date_modif]],
      "Ancien",
      "Modifié"),
   "Nouveau")),"")</f>
        <v/>
      </c>
    </row>
    <row r="2335" spans="24:30" x14ac:dyDescent="0.25">
      <c r="X2335" s="8" t="e">
        <f>IF(Final_Sans_VGE[[#This Row],[ppn_z]]="","",IFERROR(
   IF(_xlfn.XLOOKUP(Final_Sans_VGE[[#This Row],[ppn_z]],tbl_Historique_Final[ppn_z],tbl_Historique_Final[date_modif])=Final_Sans_VGE[[#This Row],[date_modif]],
      "Ancien",
      "Modifié"),
   "Nouveau"))</f>
        <v>#VALUE!</v>
      </c>
      <c r="AD2335" s="1" t="str">
        <f>IFERROR(IF(Final_Sans_VGE[[#This Row],[ppn_z]]="","",IFERROR(
   IF(_xlfn.XLOOKUP(Final_Sans_VGE[[#This Row],[ppn_z]],tbl_Historique_Final[[#This Row],[ppn_z]],tbl_Historique_Final[[#This Row],[date_modif]])=Final_Sans_VGE[[#This Row],[date_modif]],
      "Ancien",
      "Modifié"),
   "Nouveau")),"")</f>
        <v/>
      </c>
    </row>
    <row r="2336" spans="24:30" x14ac:dyDescent="0.25">
      <c r="X2336" s="8" t="e">
        <f>IF(Final_Sans_VGE[[#This Row],[ppn_z]]="","",IFERROR(
   IF(_xlfn.XLOOKUP(Final_Sans_VGE[[#This Row],[ppn_z]],tbl_Historique_Final[ppn_z],tbl_Historique_Final[date_modif])=Final_Sans_VGE[[#This Row],[date_modif]],
      "Ancien",
      "Modifié"),
   "Nouveau"))</f>
        <v>#VALUE!</v>
      </c>
      <c r="AD2336" s="1" t="str">
        <f>IFERROR(IF(Final_Sans_VGE[[#This Row],[ppn_z]]="","",IFERROR(
   IF(_xlfn.XLOOKUP(Final_Sans_VGE[[#This Row],[ppn_z]],tbl_Historique_Final[[#This Row],[ppn_z]],tbl_Historique_Final[[#This Row],[date_modif]])=Final_Sans_VGE[[#This Row],[date_modif]],
      "Ancien",
      "Modifié"),
   "Nouveau")),"")</f>
        <v/>
      </c>
    </row>
    <row r="2337" spans="24:30" x14ac:dyDescent="0.25">
      <c r="X2337" s="8" t="e">
        <f>IF(Final_Sans_VGE[[#This Row],[ppn_z]]="","",IFERROR(
   IF(_xlfn.XLOOKUP(Final_Sans_VGE[[#This Row],[ppn_z]],tbl_Historique_Final[ppn_z],tbl_Historique_Final[date_modif])=Final_Sans_VGE[[#This Row],[date_modif]],
      "Ancien",
      "Modifié"),
   "Nouveau"))</f>
        <v>#VALUE!</v>
      </c>
      <c r="AD2337" s="1" t="str">
        <f>IFERROR(IF(Final_Sans_VGE[[#This Row],[ppn_z]]="","",IFERROR(
   IF(_xlfn.XLOOKUP(Final_Sans_VGE[[#This Row],[ppn_z]],tbl_Historique_Final[[#This Row],[ppn_z]],tbl_Historique_Final[[#This Row],[date_modif]])=Final_Sans_VGE[[#This Row],[date_modif]],
      "Ancien",
      "Modifié"),
   "Nouveau")),"")</f>
        <v/>
      </c>
    </row>
    <row r="2338" spans="24:30" x14ac:dyDescent="0.25">
      <c r="X2338" s="8" t="e">
        <f>IF(Final_Sans_VGE[[#This Row],[ppn_z]]="","",IFERROR(
   IF(_xlfn.XLOOKUP(Final_Sans_VGE[[#This Row],[ppn_z]],tbl_Historique_Final[ppn_z],tbl_Historique_Final[date_modif])=Final_Sans_VGE[[#This Row],[date_modif]],
      "Ancien",
      "Modifié"),
   "Nouveau"))</f>
        <v>#VALUE!</v>
      </c>
      <c r="AD2338" s="1" t="str">
        <f>IFERROR(IF(Final_Sans_VGE[[#This Row],[ppn_z]]="","",IFERROR(
   IF(_xlfn.XLOOKUP(Final_Sans_VGE[[#This Row],[ppn_z]],tbl_Historique_Final[[#This Row],[ppn_z]],tbl_Historique_Final[[#This Row],[date_modif]])=Final_Sans_VGE[[#This Row],[date_modif]],
      "Ancien",
      "Modifié"),
   "Nouveau")),"")</f>
        <v/>
      </c>
    </row>
    <row r="2339" spans="24:30" x14ac:dyDescent="0.25">
      <c r="X2339" s="8" t="e">
        <f>IF(Final_Sans_VGE[[#This Row],[ppn_z]]="","",IFERROR(
   IF(_xlfn.XLOOKUP(Final_Sans_VGE[[#This Row],[ppn_z]],tbl_Historique_Final[ppn_z],tbl_Historique_Final[date_modif])=Final_Sans_VGE[[#This Row],[date_modif]],
      "Ancien",
      "Modifié"),
   "Nouveau"))</f>
        <v>#VALUE!</v>
      </c>
      <c r="AD2339" s="1" t="str">
        <f>IFERROR(IF(Final_Sans_VGE[[#This Row],[ppn_z]]="","",IFERROR(
   IF(_xlfn.XLOOKUP(Final_Sans_VGE[[#This Row],[ppn_z]],tbl_Historique_Final[[#This Row],[ppn_z]],tbl_Historique_Final[[#This Row],[date_modif]])=Final_Sans_VGE[[#This Row],[date_modif]],
      "Ancien",
      "Modifié"),
   "Nouveau")),"")</f>
        <v/>
      </c>
    </row>
    <row r="2340" spans="24:30" x14ac:dyDescent="0.25">
      <c r="X2340" s="8" t="e">
        <f>IF(Final_Sans_VGE[[#This Row],[ppn_z]]="","",IFERROR(
   IF(_xlfn.XLOOKUP(Final_Sans_VGE[[#This Row],[ppn_z]],tbl_Historique_Final[ppn_z],tbl_Historique_Final[date_modif])=Final_Sans_VGE[[#This Row],[date_modif]],
      "Ancien",
      "Modifié"),
   "Nouveau"))</f>
        <v>#VALUE!</v>
      </c>
      <c r="AD2340" s="1" t="str">
        <f>IFERROR(IF(Final_Sans_VGE[[#This Row],[ppn_z]]="","",IFERROR(
   IF(_xlfn.XLOOKUP(Final_Sans_VGE[[#This Row],[ppn_z]],tbl_Historique_Final[[#This Row],[ppn_z]],tbl_Historique_Final[[#This Row],[date_modif]])=Final_Sans_VGE[[#This Row],[date_modif]],
      "Ancien",
      "Modifié"),
   "Nouveau")),"")</f>
        <v/>
      </c>
    </row>
    <row r="2341" spans="24:30" x14ac:dyDescent="0.25">
      <c r="X2341" s="8" t="e">
        <f>IF(Final_Sans_VGE[[#This Row],[ppn_z]]="","",IFERROR(
   IF(_xlfn.XLOOKUP(Final_Sans_VGE[[#This Row],[ppn_z]],tbl_Historique_Final[ppn_z],tbl_Historique_Final[date_modif])=Final_Sans_VGE[[#This Row],[date_modif]],
      "Ancien",
      "Modifié"),
   "Nouveau"))</f>
        <v>#VALUE!</v>
      </c>
      <c r="AD2341" s="1" t="str">
        <f>IFERROR(IF(Final_Sans_VGE[[#This Row],[ppn_z]]="","",IFERROR(
   IF(_xlfn.XLOOKUP(Final_Sans_VGE[[#This Row],[ppn_z]],tbl_Historique_Final[[#This Row],[ppn_z]],tbl_Historique_Final[[#This Row],[date_modif]])=Final_Sans_VGE[[#This Row],[date_modif]],
      "Ancien",
      "Modifié"),
   "Nouveau")),"")</f>
        <v/>
      </c>
    </row>
    <row r="2342" spans="24:30" x14ac:dyDescent="0.25">
      <c r="X2342" s="8" t="e">
        <f>IF(Final_Sans_VGE[[#This Row],[ppn_z]]="","",IFERROR(
   IF(_xlfn.XLOOKUP(Final_Sans_VGE[[#This Row],[ppn_z]],tbl_Historique_Final[ppn_z],tbl_Historique_Final[date_modif])=Final_Sans_VGE[[#This Row],[date_modif]],
      "Ancien",
      "Modifié"),
   "Nouveau"))</f>
        <v>#VALUE!</v>
      </c>
      <c r="AD2342" s="1" t="str">
        <f>IFERROR(IF(Final_Sans_VGE[[#This Row],[ppn_z]]="","",IFERROR(
   IF(_xlfn.XLOOKUP(Final_Sans_VGE[[#This Row],[ppn_z]],tbl_Historique_Final[[#This Row],[ppn_z]],tbl_Historique_Final[[#This Row],[date_modif]])=Final_Sans_VGE[[#This Row],[date_modif]],
      "Ancien",
      "Modifié"),
   "Nouveau")),"")</f>
        <v/>
      </c>
    </row>
    <row r="2343" spans="24:30" x14ac:dyDescent="0.25">
      <c r="X2343" s="8" t="e">
        <f>IF(Final_Sans_VGE[[#This Row],[ppn_z]]="","",IFERROR(
   IF(_xlfn.XLOOKUP(Final_Sans_VGE[[#This Row],[ppn_z]],tbl_Historique_Final[ppn_z],tbl_Historique_Final[date_modif])=Final_Sans_VGE[[#This Row],[date_modif]],
      "Ancien",
      "Modifié"),
   "Nouveau"))</f>
        <v>#VALUE!</v>
      </c>
      <c r="AD2343" s="1" t="str">
        <f>IFERROR(IF(Final_Sans_VGE[[#This Row],[ppn_z]]="","",IFERROR(
   IF(_xlfn.XLOOKUP(Final_Sans_VGE[[#This Row],[ppn_z]],tbl_Historique_Final[[#This Row],[ppn_z]],tbl_Historique_Final[[#This Row],[date_modif]])=Final_Sans_VGE[[#This Row],[date_modif]],
      "Ancien",
      "Modifié"),
   "Nouveau")),"")</f>
        <v/>
      </c>
    </row>
    <row r="2344" spans="24:30" x14ac:dyDescent="0.25">
      <c r="X2344" s="8" t="e">
        <f>IF(Final_Sans_VGE[[#This Row],[ppn_z]]="","",IFERROR(
   IF(_xlfn.XLOOKUP(Final_Sans_VGE[[#This Row],[ppn_z]],tbl_Historique_Final[ppn_z],tbl_Historique_Final[date_modif])=Final_Sans_VGE[[#This Row],[date_modif]],
      "Ancien",
      "Modifié"),
   "Nouveau"))</f>
        <v>#VALUE!</v>
      </c>
      <c r="AD2344" s="1" t="str">
        <f>IFERROR(IF(Final_Sans_VGE[[#This Row],[ppn_z]]="","",IFERROR(
   IF(_xlfn.XLOOKUP(Final_Sans_VGE[[#This Row],[ppn_z]],tbl_Historique_Final[[#This Row],[ppn_z]],tbl_Historique_Final[[#This Row],[date_modif]])=Final_Sans_VGE[[#This Row],[date_modif]],
      "Ancien",
      "Modifié"),
   "Nouveau")),"")</f>
        <v/>
      </c>
    </row>
    <row r="2345" spans="24:30" x14ac:dyDescent="0.25">
      <c r="X2345" s="8" t="e">
        <f>IF(Final_Sans_VGE[[#This Row],[ppn_z]]="","",IFERROR(
   IF(_xlfn.XLOOKUP(Final_Sans_VGE[[#This Row],[ppn_z]],tbl_Historique_Final[ppn_z],tbl_Historique_Final[date_modif])=Final_Sans_VGE[[#This Row],[date_modif]],
      "Ancien",
      "Modifié"),
   "Nouveau"))</f>
        <v>#VALUE!</v>
      </c>
      <c r="AD2345" s="1" t="str">
        <f>IFERROR(IF(Final_Sans_VGE[[#This Row],[ppn_z]]="","",IFERROR(
   IF(_xlfn.XLOOKUP(Final_Sans_VGE[[#This Row],[ppn_z]],tbl_Historique_Final[[#This Row],[ppn_z]],tbl_Historique_Final[[#This Row],[date_modif]])=Final_Sans_VGE[[#This Row],[date_modif]],
      "Ancien",
      "Modifié"),
   "Nouveau")),"")</f>
        <v/>
      </c>
    </row>
    <row r="2346" spans="24:30" x14ac:dyDescent="0.25">
      <c r="X2346" s="8" t="e">
        <f>IF(Final_Sans_VGE[[#This Row],[ppn_z]]="","",IFERROR(
   IF(_xlfn.XLOOKUP(Final_Sans_VGE[[#This Row],[ppn_z]],tbl_Historique_Final[ppn_z],tbl_Historique_Final[date_modif])=Final_Sans_VGE[[#This Row],[date_modif]],
      "Ancien",
      "Modifié"),
   "Nouveau"))</f>
        <v>#VALUE!</v>
      </c>
      <c r="AD2346" s="1" t="str">
        <f>IFERROR(IF(Final_Sans_VGE[[#This Row],[ppn_z]]="","",IFERROR(
   IF(_xlfn.XLOOKUP(Final_Sans_VGE[[#This Row],[ppn_z]],tbl_Historique_Final[[#This Row],[ppn_z]],tbl_Historique_Final[[#This Row],[date_modif]])=Final_Sans_VGE[[#This Row],[date_modif]],
      "Ancien",
      "Modifié"),
   "Nouveau")),"")</f>
        <v/>
      </c>
    </row>
    <row r="2347" spans="24:30" x14ac:dyDescent="0.25">
      <c r="X2347" s="8" t="e">
        <f>IF(Final_Sans_VGE[[#This Row],[ppn_z]]="","",IFERROR(
   IF(_xlfn.XLOOKUP(Final_Sans_VGE[[#This Row],[ppn_z]],tbl_Historique_Final[ppn_z],tbl_Historique_Final[date_modif])=Final_Sans_VGE[[#This Row],[date_modif]],
      "Ancien",
      "Modifié"),
   "Nouveau"))</f>
        <v>#VALUE!</v>
      </c>
      <c r="AD2347" s="1" t="str">
        <f>IFERROR(IF(Final_Sans_VGE[[#This Row],[ppn_z]]="","",IFERROR(
   IF(_xlfn.XLOOKUP(Final_Sans_VGE[[#This Row],[ppn_z]],tbl_Historique_Final[[#This Row],[ppn_z]],tbl_Historique_Final[[#This Row],[date_modif]])=Final_Sans_VGE[[#This Row],[date_modif]],
      "Ancien",
      "Modifié"),
   "Nouveau")),"")</f>
        <v/>
      </c>
    </row>
    <row r="2348" spans="24:30" x14ac:dyDescent="0.25">
      <c r="X2348" s="8" t="e">
        <f>IF(Final_Sans_VGE[[#This Row],[ppn_z]]="","",IFERROR(
   IF(_xlfn.XLOOKUP(Final_Sans_VGE[[#This Row],[ppn_z]],tbl_Historique_Final[ppn_z],tbl_Historique_Final[date_modif])=Final_Sans_VGE[[#This Row],[date_modif]],
      "Ancien",
      "Modifié"),
   "Nouveau"))</f>
        <v>#VALUE!</v>
      </c>
      <c r="AD2348" s="1" t="str">
        <f>IFERROR(IF(Final_Sans_VGE[[#This Row],[ppn_z]]="","",IFERROR(
   IF(_xlfn.XLOOKUP(Final_Sans_VGE[[#This Row],[ppn_z]],tbl_Historique_Final[[#This Row],[ppn_z]],tbl_Historique_Final[[#This Row],[date_modif]])=Final_Sans_VGE[[#This Row],[date_modif]],
      "Ancien",
      "Modifié"),
   "Nouveau")),"")</f>
        <v/>
      </c>
    </row>
    <row r="2349" spans="24:30" x14ac:dyDescent="0.25">
      <c r="X2349" s="8" t="e">
        <f>IF(Final_Sans_VGE[[#This Row],[ppn_z]]="","",IFERROR(
   IF(_xlfn.XLOOKUP(Final_Sans_VGE[[#This Row],[ppn_z]],tbl_Historique_Final[ppn_z],tbl_Historique_Final[date_modif])=Final_Sans_VGE[[#This Row],[date_modif]],
      "Ancien",
      "Modifié"),
   "Nouveau"))</f>
        <v>#VALUE!</v>
      </c>
      <c r="AD2349" s="1" t="str">
        <f>IFERROR(IF(Final_Sans_VGE[[#This Row],[ppn_z]]="","",IFERROR(
   IF(_xlfn.XLOOKUP(Final_Sans_VGE[[#This Row],[ppn_z]],tbl_Historique_Final[[#This Row],[ppn_z]],tbl_Historique_Final[[#This Row],[date_modif]])=Final_Sans_VGE[[#This Row],[date_modif]],
      "Ancien",
      "Modifié"),
   "Nouveau")),"")</f>
        <v/>
      </c>
    </row>
    <row r="2350" spans="24:30" x14ac:dyDescent="0.25">
      <c r="X2350" s="8" t="e">
        <f>IF(Final_Sans_VGE[[#This Row],[ppn_z]]="","",IFERROR(
   IF(_xlfn.XLOOKUP(Final_Sans_VGE[[#This Row],[ppn_z]],tbl_Historique_Final[ppn_z],tbl_Historique_Final[date_modif])=Final_Sans_VGE[[#This Row],[date_modif]],
      "Ancien",
      "Modifié"),
   "Nouveau"))</f>
        <v>#VALUE!</v>
      </c>
      <c r="AD2350" s="1" t="str">
        <f>IFERROR(IF(Final_Sans_VGE[[#This Row],[ppn_z]]="","",IFERROR(
   IF(_xlfn.XLOOKUP(Final_Sans_VGE[[#This Row],[ppn_z]],tbl_Historique_Final[[#This Row],[ppn_z]],tbl_Historique_Final[[#This Row],[date_modif]])=Final_Sans_VGE[[#This Row],[date_modif]],
      "Ancien",
      "Modifié"),
   "Nouveau")),"")</f>
        <v/>
      </c>
    </row>
    <row r="2351" spans="24:30" x14ac:dyDescent="0.25">
      <c r="X2351" s="8" t="e">
        <f>IF(Final_Sans_VGE[[#This Row],[ppn_z]]="","",IFERROR(
   IF(_xlfn.XLOOKUP(Final_Sans_VGE[[#This Row],[ppn_z]],tbl_Historique_Final[ppn_z],tbl_Historique_Final[date_modif])=Final_Sans_VGE[[#This Row],[date_modif]],
      "Ancien",
      "Modifié"),
   "Nouveau"))</f>
        <v>#VALUE!</v>
      </c>
      <c r="AD2351" s="1" t="str">
        <f>IFERROR(IF(Final_Sans_VGE[[#This Row],[ppn_z]]="","",IFERROR(
   IF(_xlfn.XLOOKUP(Final_Sans_VGE[[#This Row],[ppn_z]],tbl_Historique_Final[[#This Row],[ppn_z]],tbl_Historique_Final[[#This Row],[date_modif]])=Final_Sans_VGE[[#This Row],[date_modif]],
      "Ancien",
      "Modifié"),
   "Nouveau")),"")</f>
        <v/>
      </c>
    </row>
    <row r="2352" spans="24:30" x14ac:dyDescent="0.25">
      <c r="X2352" s="8" t="e">
        <f>IF(Final_Sans_VGE[[#This Row],[ppn_z]]="","",IFERROR(
   IF(_xlfn.XLOOKUP(Final_Sans_VGE[[#This Row],[ppn_z]],tbl_Historique_Final[ppn_z],tbl_Historique_Final[date_modif])=Final_Sans_VGE[[#This Row],[date_modif]],
      "Ancien",
      "Modifié"),
   "Nouveau"))</f>
        <v>#VALUE!</v>
      </c>
      <c r="AD2352" s="1" t="str">
        <f>IFERROR(IF(Final_Sans_VGE[[#This Row],[ppn_z]]="","",IFERROR(
   IF(_xlfn.XLOOKUP(Final_Sans_VGE[[#This Row],[ppn_z]],tbl_Historique_Final[[#This Row],[ppn_z]],tbl_Historique_Final[[#This Row],[date_modif]])=Final_Sans_VGE[[#This Row],[date_modif]],
      "Ancien",
      "Modifié"),
   "Nouveau")),"")</f>
        <v/>
      </c>
    </row>
    <row r="2353" spans="24:30" x14ac:dyDescent="0.25">
      <c r="X2353" s="8" t="e">
        <f>IF(Final_Sans_VGE[[#This Row],[ppn_z]]="","",IFERROR(
   IF(_xlfn.XLOOKUP(Final_Sans_VGE[[#This Row],[ppn_z]],tbl_Historique_Final[ppn_z],tbl_Historique_Final[date_modif])=Final_Sans_VGE[[#This Row],[date_modif]],
      "Ancien",
      "Modifié"),
   "Nouveau"))</f>
        <v>#VALUE!</v>
      </c>
      <c r="AD2353" s="1" t="str">
        <f>IFERROR(IF(Final_Sans_VGE[[#This Row],[ppn_z]]="","",IFERROR(
   IF(_xlfn.XLOOKUP(Final_Sans_VGE[[#This Row],[ppn_z]],tbl_Historique_Final[[#This Row],[ppn_z]],tbl_Historique_Final[[#This Row],[date_modif]])=Final_Sans_VGE[[#This Row],[date_modif]],
      "Ancien",
      "Modifié"),
   "Nouveau")),"")</f>
        <v/>
      </c>
    </row>
    <row r="2354" spans="24:30" x14ac:dyDescent="0.25">
      <c r="X2354" s="8" t="e">
        <f>IF(Final_Sans_VGE[[#This Row],[ppn_z]]="","",IFERROR(
   IF(_xlfn.XLOOKUP(Final_Sans_VGE[[#This Row],[ppn_z]],tbl_Historique_Final[ppn_z],tbl_Historique_Final[date_modif])=Final_Sans_VGE[[#This Row],[date_modif]],
      "Ancien",
      "Modifié"),
   "Nouveau"))</f>
        <v>#VALUE!</v>
      </c>
      <c r="AD2354" s="1" t="str">
        <f>IFERROR(IF(Final_Sans_VGE[[#This Row],[ppn_z]]="","",IFERROR(
   IF(_xlfn.XLOOKUP(Final_Sans_VGE[[#This Row],[ppn_z]],tbl_Historique_Final[[#This Row],[ppn_z]],tbl_Historique_Final[[#This Row],[date_modif]])=Final_Sans_VGE[[#This Row],[date_modif]],
      "Ancien",
      "Modifié"),
   "Nouveau")),"")</f>
        <v/>
      </c>
    </row>
    <row r="2355" spans="24:30" x14ac:dyDescent="0.25">
      <c r="X2355" s="8" t="e">
        <f>IF(Final_Sans_VGE[[#This Row],[ppn_z]]="","",IFERROR(
   IF(_xlfn.XLOOKUP(Final_Sans_VGE[[#This Row],[ppn_z]],tbl_Historique_Final[ppn_z],tbl_Historique_Final[date_modif])=Final_Sans_VGE[[#This Row],[date_modif]],
      "Ancien",
      "Modifié"),
   "Nouveau"))</f>
        <v>#VALUE!</v>
      </c>
      <c r="AD2355" s="1" t="str">
        <f>IFERROR(IF(Final_Sans_VGE[[#This Row],[ppn_z]]="","",IFERROR(
   IF(_xlfn.XLOOKUP(Final_Sans_VGE[[#This Row],[ppn_z]],tbl_Historique_Final[[#This Row],[ppn_z]],tbl_Historique_Final[[#This Row],[date_modif]])=Final_Sans_VGE[[#This Row],[date_modif]],
      "Ancien",
      "Modifié"),
   "Nouveau")),"")</f>
        <v/>
      </c>
    </row>
    <row r="2356" spans="24:30" x14ac:dyDescent="0.25">
      <c r="X2356" s="8" t="e">
        <f>IF(Final_Sans_VGE[[#This Row],[ppn_z]]="","",IFERROR(
   IF(_xlfn.XLOOKUP(Final_Sans_VGE[[#This Row],[ppn_z]],tbl_Historique_Final[ppn_z],tbl_Historique_Final[date_modif])=Final_Sans_VGE[[#This Row],[date_modif]],
      "Ancien",
      "Modifié"),
   "Nouveau"))</f>
        <v>#VALUE!</v>
      </c>
      <c r="AD2356" s="1" t="str">
        <f>IFERROR(IF(Final_Sans_VGE[[#This Row],[ppn_z]]="","",IFERROR(
   IF(_xlfn.XLOOKUP(Final_Sans_VGE[[#This Row],[ppn_z]],tbl_Historique_Final[[#This Row],[ppn_z]],tbl_Historique_Final[[#This Row],[date_modif]])=Final_Sans_VGE[[#This Row],[date_modif]],
      "Ancien",
      "Modifié"),
   "Nouveau")),"")</f>
        <v/>
      </c>
    </row>
    <row r="2357" spans="24:30" x14ac:dyDescent="0.25">
      <c r="X2357" s="8" t="e">
        <f>IF(Final_Sans_VGE[[#This Row],[ppn_z]]="","",IFERROR(
   IF(_xlfn.XLOOKUP(Final_Sans_VGE[[#This Row],[ppn_z]],tbl_Historique_Final[ppn_z],tbl_Historique_Final[date_modif])=Final_Sans_VGE[[#This Row],[date_modif]],
      "Ancien",
      "Modifié"),
   "Nouveau"))</f>
        <v>#VALUE!</v>
      </c>
      <c r="AD2357" s="1" t="str">
        <f>IFERROR(IF(Final_Sans_VGE[[#This Row],[ppn_z]]="","",IFERROR(
   IF(_xlfn.XLOOKUP(Final_Sans_VGE[[#This Row],[ppn_z]],tbl_Historique_Final[[#This Row],[ppn_z]],tbl_Historique_Final[[#This Row],[date_modif]])=Final_Sans_VGE[[#This Row],[date_modif]],
      "Ancien",
      "Modifié"),
   "Nouveau")),"")</f>
        <v/>
      </c>
    </row>
    <row r="2358" spans="24:30" x14ac:dyDescent="0.25">
      <c r="X2358" s="8" t="e">
        <f>IF(Final_Sans_VGE[[#This Row],[ppn_z]]="","",IFERROR(
   IF(_xlfn.XLOOKUP(Final_Sans_VGE[[#This Row],[ppn_z]],tbl_Historique_Final[ppn_z],tbl_Historique_Final[date_modif])=Final_Sans_VGE[[#This Row],[date_modif]],
      "Ancien",
      "Modifié"),
   "Nouveau"))</f>
        <v>#VALUE!</v>
      </c>
      <c r="AD2358" s="1" t="str">
        <f>IFERROR(IF(Final_Sans_VGE[[#This Row],[ppn_z]]="","",IFERROR(
   IF(_xlfn.XLOOKUP(Final_Sans_VGE[[#This Row],[ppn_z]],tbl_Historique_Final[[#This Row],[ppn_z]],tbl_Historique_Final[[#This Row],[date_modif]])=Final_Sans_VGE[[#This Row],[date_modif]],
      "Ancien",
      "Modifié"),
   "Nouveau")),"")</f>
        <v/>
      </c>
    </row>
    <row r="2359" spans="24:30" x14ac:dyDescent="0.25">
      <c r="X2359" s="8" t="e">
        <f>IF(Final_Sans_VGE[[#This Row],[ppn_z]]="","",IFERROR(
   IF(_xlfn.XLOOKUP(Final_Sans_VGE[[#This Row],[ppn_z]],tbl_Historique_Final[ppn_z],tbl_Historique_Final[date_modif])=Final_Sans_VGE[[#This Row],[date_modif]],
      "Ancien",
      "Modifié"),
   "Nouveau"))</f>
        <v>#VALUE!</v>
      </c>
      <c r="AD2359" s="1" t="str">
        <f>IFERROR(IF(Final_Sans_VGE[[#This Row],[ppn_z]]="","",IFERROR(
   IF(_xlfn.XLOOKUP(Final_Sans_VGE[[#This Row],[ppn_z]],tbl_Historique_Final[[#This Row],[ppn_z]],tbl_Historique_Final[[#This Row],[date_modif]])=Final_Sans_VGE[[#This Row],[date_modif]],
      "Ancien",
      "Modifié"),
   "Nouveau")),"")</f>
        <v/>
      </c>
    </row>
    <row r="2360" spans="24:30" x14ac:dyDescent="0.25">
      <c r="X2360" s="8" t="e">
        <f>IF(Final_Sans_VGE[[#This Row],[ppn_z]]="","",IFERROR(
   IF(_xlfn.XLOOKUP(Final_Sans_VGE[[#This Row],[ppn_z]],tbl_Historique_Final[ppn_z],tbl_Historique_Final[date_modif])=Final_Sans_VGE[[#This Row],[date_modif]],
      "Ancien",
      "Modifié"),
   "Nouveau"))</f>
        <v>#VALUE!</v>
      </c>
      <c r="AD2360" s="1" t="str">
        <f>IFERROR(IF(Final_Sans_VGE[[#This Row],[ppn_z]]="","",IFERROR(
   IF(_xlfn.XLOOKUP(Final_Sans_VGE[[#This Row],[ppn_z]],tbl_Historique_Final[[#This Row],[ppn_z]],tbl_Historique_Final[[#This Row],[date_modif]])=Final_Sans_VGE[[#This Row],[date_modif]],
      "Ancien",
      "Modifié"),
   "Nouveau")),"")</f>
        <v/>
      </c>
    </row>
    <row r="2361" spans="24:30" x14ac:dyDescent="0.25">
      <c r="X2361" s="8" t="e">
        <f>IF(Final_Sans_VGE[[#This Row],[ppn_z]]="","",IFERROR(
   IF(_xlfn.XLOOKUP(Final_Sans_VGE[[#This Row],[ppn_z]],tbl_Historique_Final[ppn_z],tbl_Historique_Final[date_modif])=Final_Sans_VGE[[#This Row],[date_modif]],
      "Ancien",
      "Modifié"),
   "Nouveau"))</f>
        <v>#VALUE!</v>
      </c>
      <c r="AD2361" s="1" t="str">
        <f>IFERROR(IF(Final_Sans_VGE[[#This Row],[ppn_z]]="","",IFERROR(
   IF(_xlfn.XLOOKUP(Final_Sans_VGE[[#This Row],[ppn_z]],tbl_Historique_Final[[#This Row],[ppn_z]],tbl_Historique_Final[[#This Row],[date_modif]])=Final_Sans_VGE[[#This Row],[date_modif]],
      "Ancien",
      "Modifié"),
   "Nouveau")),"")</f>
        <v/>
      </c>
    </row>
    <row r="2362" spans="24:30" x14ac:dyDescent="0.25">
      <c r="X2362" s="8" t="e">
        <f>IF(Final_Sans_VGE[[#This Row],[ppn_z]]="","",IFERROR(
   IF(_xlfn.XLOOKUP(Final_Sans_VGE[[#This Row],[ppn_z]],tbl_Historique_Final[ppn_z],tbl_Historique_Final[date_modif])=Final_Sans_VGE[[#This Row],[date_modif]],
      "Ancien",
      "Modifié"),
   "Nouveau"))</f>
        <v>#VALUE!</v>
      </c>
      <c r="AD2362" s="1" t="str">
        <f>IFERROR(IF(Final_Sans_VGE[[#This Row],[ppn_z]]="","",IFERROR(
   IF(_xlfn.XLOOKUP(Final_Sans_VGE[[#This Row],[ppn_z]],tbl_Historique_Final[[#This Row],[ppn_z]],tbl_Historique_Final[[#This Row],[date_modif]])=Final_Sans_VGE[[#This Row],[date_modif]],
      "Ancien",
      "Modifié"),
   "Nouveau")),"")</f>
        <v/>
      </c>
    </row>
    <row r="2363" spans="24:30" x14ac:dyDescent="0.25">
      <c r="X2363" s="8" t="e">
        <f>IF(Final_Sans_VGE[[#This Row],[ppn_z]]="","",IFERROR(
   IF(_xlfn.XLOOKUP(Final_Sans_VGE[[#This Row],[ppn_z]],tbl_Historique_Final[ppn_z],tbl_Historique_Final[date_modif])=Final_Sans_VGE[[#This Row],[date_modif]],
      "Ancien",
      "Modifié"),
   "Nouveau"))</f>
        <v>#VALUE!</v>
      </c>
      <c r="AD2363" s="1" t="str">
        <f>IFERROR(IF(Final_Sans_VGE[[#This Row],[ppn_z]]="","",IFERROR(
   IF(_xlfn.XLOOKUP(Final_Sans_VGE[[#This Row],[ppn_z]],tbl_Historique_Final[[#This Row],[ppn_z]],tbl_Historique_Final[[#This Row],[date_modif]])=Final_Sans_VGE[[#This Row],[date_modif]],
      "Ancien",
      "Modifié"),
   "Nouveau")),"")</f>
        <v/>
      </c>
    </row>
    <row r="2364" spans="24:30" x14ac:dyDescent="0.25">
      <c r="X2364" s="8" t="e">
        <f>IF(Final_Sans_VGE[[#This Row],[ppn_z]]="","",IFERROR(
   IF(_xlfn.XLOOKUP(Final_Sans_VGE[[#This Row],[ppn_z]],tbl_Historique_Final[ppn_z],tbl_Historique_Final[date_modif])=Final_Sans_VGE[[#This Row],[date_modif]],
      "Ancien",
      "Modifié"),
   "Nouveau"))</f>
        <v>#VALUE!</v>
      </c>
      <c r="AD2364" s="1" t="str">
        <f>IFERROR(IF(Final_Sans_VGE[[#This Row],[ppn_z]]="","",IFERROR(
   IF(_xlfn.XLOOKUP(Final_Sans_VGE[[#This Row],[ppn_z]],tbl_Historique_Final[[#This Row],[ppn_z]],tbl_Historique_Final[[#This Row],[date_modif]])=Final_Sans_VGE[[#This Row],[date_modif]],
      "Ancien",
      "Modifié"),
   "Nouveau")),"")</f>
        <v/>
      </c>
    </row>
    <row r="2365" spans="24:30" x14ac:dyDescent="0.25">
      <c r="X2365" s="8" t="e">
        <f>IF(Final_Sans_VGE[[#This Row],[ppn_z]]="","",IFERROR(
   IF(_xlfn.XLOOKUP(Final_Sans_VGE[[#This Row],[ppn_z]],tbl_Historique_Final[ppn_z],tbl_Historique_Final[date_modif])=Final_Sans_VGE[[#This Row],[date_modif]],
      "Ancien",
      "Modifié"),
   "Nouveau"))</f>
        <v>#VALUE!</v>
      </c>
      <c r="AD2365" s="1" t="str">
        <f>IFERROR(IF(Final_Sans_VGE[[#This Row],[ppn_z]]="","",IFERROR(
   IF(_xlfn.XLOOKUP(Final_Sans_VGE[[#This Row],[ppn_z]],tbl_Historique_Final[[#This Row],[ppn_z]],tbl_Historique_Final[[#This Row],[date_modif]])=Final_Sans_VGE[[#This Row],[date_modif]],
      "Ancien",
      "Modifié"),
   "Nouveau")),"")</f>
        <v/>
      </c>
    </row>
    <row r="2366" spans="24:30" x14ac:dyDescent="0.25">
      <c r="X2366" s="8" t="e">
        <f>IF(Final_Sans_VGE[[#This Row],[ppn_z]]="","",IFERROR(
   IF(_xlfn.XLOOKUP(Final_Sans_VGE[[#This Row],[ppn_z]],tbl_Historique_Final[ppn_z],tbl_Historique_Final[date_modif])=Final_Sans_VGE[[#This Row],[date_modif]],
      "Ancien",
      "Modifié"),
   "Nouveau"))</f>
        <v>#VALUE!</v>
      </c>
      <c r="AD2366" s="1" t="str">
        <f>IFERROR(IF(Final_Sans_VGE[[#This Row],[ppn_z]]="","",IFERROR(
   IF(_xlfn.XLOOKUP(Final_Sans_VGE[[#This Row],[ppn_z]],tbl_Historique_Final[[#This Row],[ppn_z]],tbl_Historique_Final[[#This Row],[date_modif]])=Final_Sans_VGE[[#This Row],[date_modif]],
      "Ancien",
      "Modifié"),
   "Nouveau")),"")</f>
        <v/>
      </c>
    </row>
    <row r="2367" spans="24:30" x14ac:dyDescent="0.25">
      <c r="X2367" s="8" t="e">
        <f>IF(Final_Sans_VGE[[#This Row],[ppn_z]]="","",IFERROR(
   IF(_xlfn.XLOOKUP(Final_Sans_VGE[[#This Row],[ppn_z]],tbl_Historique_Final[ppn_z],tbl_Historique_Final[date_modif])=Final_Sans_VGE[[#This Row],[date_modif]],
      "Ancien",
      "Modifié"),
   "Nouveau"))</f>
        <v>#VALUE!</v>
      </c>
      <c r="AD2367" s="1" t="str">
        <f>IFERROR(IF(Final_Sans_VGE[[#This Row],[ppn_z]]="","",IFERROR(
   IF(_xlfn.XLOOKUP(Final_Sans_VGE[[#This Row],[ppn_z]],tbl_Historique_Final[[#This Row],[ppn_z]],tbl_Historique_Final[[#This Row],[date_modif]])=Final_Sans_VGE[[#This Row],[date_modif]],
      "Ancien",
      "Modifié"),
   "Nouveau")),"")</f>
        <v/>
      </c>
    </row>
    <row r="2368" spans="24:30" x14ac:dyDescent="0.25">
      <c r="X2368" s="8" t="e">
        <f>IF(Final_Sans_VGE[[#This Row],[ppn_z]]="","",IFERROR(
   IF(_xlfn.XLOOKUP(Final_Sans_VGE[[#This Row],[ppn_z]],tbl_Historique_Final[ppn_z],tbl_Historique_Final[date_modif])=Final_Sans_VGE[[#This Row],[date_modif]],
      "Ancien",
      "Modifié"),
   "Nouveau"))</f>
        <v>#VALUE!</v>
      </c>
      <c r="AD2368" s="1" t="str">
        <f>IFERROR(IF(Final_Sans_VGE[[#This Row],[ppn_z]]="","",IFERROR(
   IF(_xlfn.XLOOKUP(Final_Sans_VGE[[#This Row],[ppn_z]],tbl_Historique_Final[[#This Row],[ppn_z]],tbl_Historique_Final[[#This Row],[date_modif]])=Final_Sans_VGE[[#This Row],[date_modif]],
      "Ancien",
      "Modifié"),
   "Nouveau")),"")</f>
        <v/>
      </c>
    </row>
    <row r="2369" spans="24:30" x14ac:dyDescent="0.25">
      <c r="X2369" s="8" t="e">
        <f>IF(Final_Sans_VGE[[#This Row],[ppn_z]]="","",IFERROR(
   IF(_xlfn.XLOOKUP(Final_Sans_VGE[[#This Row],[ppn_z]],tbl_Historique_Final[ppn_z],tbl_Historique_Final[date_modif])=Final_Sans_VGE[[#This Row],[date_modif]],
      "Ancien",
      "Modifié"),
   "Nouveau"))</f>
        <v>#VALUE!</v>
      </c>
      <c r="AD2369" s="1" t="str">
        <f>IFERROR(IF(Final_Sans_VGE[[#This Row],[ppn_z]]="","",IFERROR(
   IF(_xlfn.XLOOKUP(Final_Sans_VGE[[#This Row],[ppn_z]],tbl_Historique_Final[[#This Row],[ppn_z]],tbl_Historique_Final[[#This Row],[date_modif]])=Final_Sans_VGE[[#This Row],[date_modif]],
      "Ancien",
      "Modifié"),
   "Nouveau")),"")</f>
        <v/>
      </c>
    </row>
    <row r="2370" spans="24:30" x14ac:dyDescent="0.25">
      <c r="X2370" s="8" t="e">
        <f>IF(Final_Sans_VGE[[#This Row],[ppn_z]]="","",IFERROR(
   IF(_xlfn.XLOOKUP(Final_Sans_VGE[[#This Row],[ppn_z]],tbl_Historique_Final[ppn_z],tbl_Historique_Final[date_modif])=Final_Sans_VGE[[#This Row],[date_modif]],
      "Ancien",
      "Modifié"),
   "Nouveau"))</f>
        <v>#VALUE!</v>
      </c>
      <c r="AD2370" s="1" t="str">
        <f>IFERROR(IF(Final_Sans_VGE[[#This Row],[ppn_z]]="","",IFERROR(
   IF(_xlfn.XLOOKUP(Final_Sans_VGE[[#This Row],[ppn_z]],tbl_Historique_Final[[#This Row],[ppn_z]],tbl_Historique_Final[[#This Row],[date_modif]])=Final_Sans_VGE[[#This Row],[date_modif]],
      "Ancien",
      "Modifié"),
   "Nouveau")),"")</f>
        <v/>
      </c>
    </row>
    <row r="2371" spans="24:30" x14ac:dyDescent="0.25">
      <c r="X2371" s="8" t="e">
        <f>IF(Final_Sans_VGE[[#This Row],[ppn_z]]="","",IFERROR(
   IF(_xlfn.XLOOKUP(Final_Sans_VGE[[#This Row],[ppn_z]],tbl_Historique_Final[ppn_z],tbl_Historique_Final[date_modif])=Final_Sans_VGE[[#This Row],[date_modif]],
      "Ancien",
      "Modifié"),
   "Nouveau"))</f>
        <v>#VALUE!</v>
      </c>
      <c r="AD2371" s="1" t="str">
        <f>IFERROR(IF(Final_Sans_VGE[[#This Row],[ppn_z]]="","",IFERROR(
   IF(_xlfn.XLOOKUP(Final_Sans_VGE[[#This Row],[ppn_z]],tbl_Historique_Final[[#This Row],[ppn_z]],tbl_Historique_Final[[#This Row],[date_modif]])=Final_Sans_VGE[[#This Row],[date_modif]],
      "Ancien",
      "Modifié"),
   "Nouveau")),"")</f>
        <v/>
      </c>
    </row>
    <row r="2372" spans="24:30" x14ac:dyDescent="0.25">
      <c r="X2372" s="8" t="e">
        <f>IF(Final_Sans_VGE[[#This Row],[ppn_z]]="","",IFERROR(
   IF(_xlfn.XLOOKUP(Final_Sans_VGE[[#This Row],[ppn_z]],tbl_Historique_Final[ppn_z],tbl_Historique_Final[date_modif])=Final_Sans_VGE[[#This Row],[date_modif]],
      "Ancien",
      "Modifié"),
   "Nouveau"))</f>
        <v>#VALUE!</v>
      </c>
      <c r="AD2372" s="1" t="str">
        <f>IFERROR(IF(Final_Sans_VGE[[#This Row],[ppn_z]]="","",IFERROR(
   IF(_xlfn.XLOOKUP(Final_Sans_VGE[[#This Row],[ppn_z]],tbl_Historique_Final[[#This Row],[ppn_z]],tbl_Historique_Final[[#This Row],[date_modif]])=Final_Sans_VGE[[#This Row],[date_modif]],
      "Ancien",
      "Modifié"),
   "Nouveau")),"")</f>
        <v/>
      </c>
    </row>
    <row r="2373" spans="24:30" x14ac:dyDescent="0.25">
      <c r="X2373" s="8" t="e">
        <f>IF(Final_Sans_VGE[[#This Row],[ppn_z]]="","",IFERROR(
   IF(_xlfn.XLOOKUP(Final_Sans_VGE[[#This Row],[ppn_z]],tbl_Historique_Final[ppn_z],tbl_Historique_Final[date_modif])=Final_Sans_VGE[[#This Row],[date_modif]],
      "Ancien",
      "Modifié"),
   "Nouveau"))</f>
        <v>#VALUE!</v>
      </c>
      <c r="AD2373" s="1" t="str">
        <f>IFERROR(IF(Final_Sans_VGE[[#This Row],[ppn_z]]="","",IFERROR(
   IF(_xlfn.XLOOKUP(Final_Sans_VGE[[#This Row],[ppn_z]],tbl_Historique_Final[[#This Row],[ppn_z]],tbl_Historique_Final[[#This Row],[date_modif]])=Final_Sans_VGE[[#This Row],[date_modif]],
      "Ancien",
      "Modifié"),
   "Nouveau")),"")</f>
        <v/>
      </c>
    </row>
    <row r="2374" spans="24:30" x14ac:dyDescent="0.25">
      <c r="X2374" s="8" t="e">
        <f>IF(Final_Sans_VGE[[#This Row],[ppn_z]]="","",IFERROR(
   IF(_xlfn.XLOOKUP(Final_Sans_VGE[[#This Row],[ppn_z]],tbl_Historique_Final[ppn_z],tbl_Historique_Final[date_modif])=Final_Sans_VGE[[#This Row],[date_modif]],
      "Ancien",
      "Modifié"),
   "Nouveau"))</f>
        <v>#VALUE!</v>
      </c>
      <c r="AD2374" s="1" t="str">
        <f>IFERROR(IF(Final_Sans_VGE[[#This Row],[ppn_z]]="","",IFERROR(
   IF(_xlfn.XLOOKUP(Final_Sans_VGE[[#This Row],[ppn_z]],tbl_Historique_Final[[#This Row],[ppn_z]],tbl_Historique_Final[[#This Row],[date_modif]])=Final_Sans_VGE[[#This Row],[date_modif]],
      "Ancien",
      "Modifié"),
   "Nouveau")),"")</f>
        <v/>
      </c>
    </row>
    <row r="2375" spans="24:30" x14ac:dyDescent="0.25">
      <c r="X2375" s="8" t="e">
        <f>IF(Final_Sans_VGE[[#This Row],[ppn_z]]="","",IFERROR(
   IF(_xlfn.XLOOKUP(Final_Sans_VGE[[#This Row],[ppn_z]],tbl_Historique_Final[ppn_z],tbl_Historique_Final[date_modif])=Final_Sans_VGE[[#This Row],[date_modif]],
      "Ancien",
      "Modifié"),
   "Nouveau"))</f>
        <v>#VALUE!</v>
      </c>
      <c r="AD2375" s="1" t="str">
        <f>IFERROR(IF(Final_Sans_VGE[[#This Row],[ppn_z]]="","",IFERROR(
   IF(_xlfn.XLOOKUP(Final_Sans_VGE[[#This Row],[ppn_z]],tbl_Historique_Final[[#This Row],[ppn_z]],tbl_Historique_Final[[#This Row],[date_modif]])=Final_Sans_VGE[[#This Row],[date_modif]],
      "Ancien",
      "Modifié"),
   "Nouveau")),"")</f>
        <v/>
      </c>
    </row>
    <row r="2376" spans="24:30" x14ac:dyDescent="0.25">
      <c r="X2376" s="8" t="e">
        <f>IF(Final_Sans_VGE[[#This Row],[ppn_z]]="","",IFERROR(
   IF(_xlfn.XLOOKUP(Final_Sans_VGE[[#This Row],[ppn_z]],tbl_Historique_Final[ppn_z],tbl_Historique_Final[date_modif])=Final_Sans_VGE[[#This Row],[date_modif]],
      "Ancien",
      "Modifié"),
   "Nouveau"))</f>
        <v>#VALUE!</v>
      </c>
      <c r="AD2376" s="1" t="str">
        <f>IFERROR(IF(Final_Sans_VGE[[#This Row],[ppn_z]]="","",IFERROR(
   IF(_xlfn.XLOOKUP(Final_Sans_VGE[[#This Row],[ppn_z]],tbl_Historique_Final[[#This Row],[ppn_z]],tbl_Historique_Final[[#This Row],[date_modif]])=Final_Sans_VGE[[#This Row],[date_modif]],
      "Ancien",
      "Modifié"),
   "Nouveau")),"")</f>
        <v/>
      </c>
    </row>
    <row r="2377" spans="24:30" x14ac:dyDescent="0.25">
      <c r="X2377" s="8" t="e">
        <f>IF(Final_Sans_VGE[[#This Row],[ppn_z]]="","",IFERROR(
   IF(_xlfn.XLOOKUP(Final_Sans_VGE[[#This Row],[ppn_z]],tbl_Historique_Final[ppn_z],tbl_Historique_Final[date_modif])=Final_Sans_VGE[[#This Row],[date_modif]],
      "Ancien",
      "Modifié"),
   "Nouveau"))</f>
        <v>#VALUE!</v>
      </c>
      <c r="AD2377" s="1" t="str">
        <f>IFERROR(IF(Final_Sans_VGE[[#This Row],[ppn_z]]="","",IFERROR(
   IF(_xlfn.XLOOKUP(Final_Sans_VGE[[#This Row],[ppn_z]],tbl_Historique_Final[[#This Row],[ppn_z]],tbl_Historique_Final[[#This Row],[date_modif]])=Final_Sans_VGE[[#This Row],[date_modif]],
      "Ancien",
      "Modifié"),
   "Nouveau")),"")</f>
        <v/>
      </c>
    </row>
    <row r="2378" spans="24:30" x14ac:dyDescent="0.25">
      <c r="X2378" s="8" t="e">
        <f>IF(Final_Sans_VGE[[#This Row],[ppn_z]]="","",IFERROR(
   IF(_xlfn.XLOOKUP(Final_Sans_VGE[[#This Row],[ppn_z]],tbl_Historique_Final[ppn_z],tbl_Historique_Final[date_modif])=Final_Sans_VGE[[#This Row],[date_modif]],
      "Ancien",
      "Modifié"),
   "Nouveau"))</f>
        <v>#VALUE!</v>
      </c>
      <c r="AD2378" s="1" t="str">
        <f>IFERROR(IF(Final_Sans_VGE[[#This Row],[ppn_z]]="","",IFERROR(
   IF(_xlfn.XLOOKUP(Final_Sans_VGE[[#This Row],[ppn_z]],tbl_Historique_Final[[#This Row],[ppn_z]],tbl_Historique_Final[[#This Row],[date_modif]])=Final_Sans_VGE[[#This Row],[date_modif]],
      "Ancien",
      "Modifié"),
   "Nouveau")),"")</f>
        <v/>
      </c>
    </row>
    <row r="2379" spans="24:30" x14ac:dyDescent="0.25">
      <c r="X2379" s="8" t="e">
        <f>IF(Final_Sans_VGE[[#This Row],[ppn_z]]="","",IFERROR(
   IF(_xlfn.XLOOKUP(Final_Sans_VGE[[#This Row],[ppn_z]],tbl_Historique_Final[ppn_z],tbl_Historique_Final[date_modif])=Final_Sans_VGE[[#This Row],[date_modif]],
      "Ancien",
      "Modifié"),
   "Nouveau"))</f>
        <v>#VALUE!</v>
      </c>
      <c r="AD2379" s="1" t="str">
        <f>IFERROR(IF(Final_Sans_VGE[[#This Row],[ppn_z]]="","",IFERROR(
   IF(_xlfn.XLOOKUP(Final_Sans_VGE[[#This Row],[ppn_z]],tbl_Historique_Final[[#This Row],[ppn_z]],tbl_Historique_Final[[#This Row],[date_modif]])=Final_Sans_VGE[[#This Row],[date_modif]],
      "Ancien",
      "Modifié"),
   "Nouveau")),"")</f>
        <v/>
      </c>
    </row>
    <row r="2380" spans="24:30" x14ac:dyDescent="0.25">
      <c r="X2380" s="8" t="e">
        <f>IF(Final_Sans_VGE[[#This Row],[ppn_z]]="","",IFERROR(
   IF(_xlfn.XLOOKUP(Final_Sans_VGE[[#This Row],[ppn_z]],tbl_Historique_Final[ppn_z],tbl_Historique_Final[date_modif])=Final_Sans_VGE[[#This Row],[date_modif]],
      "Ancien",
      "Modifié"),
   "Nouveau"))</f>
        <v>#VALUE!</v>
      </c>
      <c r="AD2380" s="1" t="str">
        <f>IFERROR(IF(Final_Sans_VGE[[#This Row],[ppn_z]]="","",IFERROR(
   IF(_xlfn.XLOOKUP(Final_Sans_VGE[[#This Row],[ppn_z]],tbl_Historique_Final[[#This Row],[ppn_z]],tbl_Historique_Final[[#This Row],[date_modif]])=Final_Sans_VGE[[#This Row],[date_modif]],
      "Ancien",
      "Modifié"),
   "Nouveau")),"")</f>
        <v/>
      </c>
    </row>
    <row r="2381" spans="24:30" x14ac:dyDescent="0.25">
      <c r="X2381" s="8" t="e">
        <f>IF(Final_Sans_VGE[[#This Row],[ppn_z]]="","",IFERROR(
   IF(_xlfn.XLOOKUP(Final_Sans_VGE[[#This Row],[ppn_z]],tbl_Historique_Final[ppn_z],tbl_Historique_Final[date_modif])=Final_Sans_VGE[[#This Row],[date_modif]],
      "Ancien",
      "Modifié"),
   "Nouveau"))</f>
        <v>#VALUE!</v>
      </c>
      <c r="AD2381" s="1" t="str">
        <f>IFERROR(IF(Final_Sans_VGE[[#This Row],[ppn_z]]="","",IFERROR(
   IF(_xlfn.XLOOKUP(Final_Sans_VGE[[#This Row],[ppn_z]],tbl_Historique_Final[[#This Row],[ppn_z]],tbl_Historique_Final[[#This Row],[date_modif]])=Final_Sans_VGE[[#This Row],[date_modif]],
      "Ancien",
      "Modifié"),
   "Nouveau")),"")</f>
        <v/>
      </c>
    </row>
    <row r="2382" spans="24:30" x14ac:dyDescent="0.25">
      <c r="X2382" s="8" t="e">
        <f>IF(Final_Sans_VGE[[#This Row],[ppn_z]]="","",IFERROR(
   IF(_xlfn.XLOOKUP(Final_Sans_VGE[[#This Row],[ppn_z]],tbl_Historique_Final[ppn_z],tbl_Historique_Final[date_modif])=Final_Sans_VGE[[#This Row],[date_modif]],
      "Ancien",
      "Modifié"),
   "Nouveau"))</f>
        <v>#VALUE!</v>
      </c>
      <c r="AD2382" s="1" t="str">
        <f>IFERROR(IF(Final_Sans_VGE[[#This Row],[ppn_z]]="","",IFERROR(
   IF(_xlfn.XLOOKUP(Final_Sans_VGE[[#This Row],[ppn_z]],tbl_Historique_Final[[#This Row],[ppn_z]],tbl_Historique_Final[[#This Row],[date_modif]])=Final_Sans_VGE[[#This Row],[date_modif]],
      "Ancien",
      "Modifié"),
   "Nouveau")),"")</f>
        <v/>
      </c>
    </row>
    <row r="2383" spans="24:30" x14ac:dyDescent="0.25">
      <c r="X2383" s="8" t="e">
        <f>IF(Final_Sans_VGE[[#This Row],[ppn_z]]="","",IFERROR(
   IF(_xlfn.XLOOKUP(Final_Sans_VGE[[#This Row],[ppn_z]],tbl_Historique_Final[ppn_z],tbl_Historique_Final[date_modif])=Final_Sans_VGE[[#This Row],[date_modif]],
      "Ancien",
      "Modifié"),
   "Nouveau"))</f>
        <v>#VALUE!</v>
      </c>
      <c r="AD2383" s="1" t="str">
        <f>IFERROR(IF(Final_Sans_VGE[[#This Row],[ppn_z]]="","",IFERROR(
   IF(_xlfn.XLOOKUP(Final_Sans_VGE[[#This Row],[ppn_z]],tbl_Historique_Final[[#This Row],[ppn_z]],tbl_Historique_Final[[#This Row],[date_modif]])=Final_Sans_VGE[[#This Row],[date_modif]],
      "Ancien",
      "Modifié"),
   "Nouveau")),"")</f>
        <v/>
      </c>
    </row>
    <row r="2384" spans="24:30" x14ac:dyDescent="0.25">
      <c r="X2384" s="8" t="e">
        <f>IF(Final_Sans_VGE[[#This Row],[ppn_z]]="","",IFERROR(
   IF(_xlfn.XLOOKUP(Final_Sans_VGE[[#This Row],[ppn_z]],tbl_Historique_Final[ppn_z],tbl_Historique_Final[date_modif])=Final_Sans_VGE[[#This Row],[date_modif]],
      "Ancien",
      "Modifié"),
   "Nouveau"))</f>
        <v>#VALUE!</v>
      </c>
      <c r="AD2384" s="1" t="str">
        <f>IFERROR(IF(Final_Sans_VGE[[#This Row],[ppn_z]]="","",IFERROR(
   IF(_xlfn.XLOOKUP(Final_Sans_VGE[[#This Row],[ppn_z]],tbl_Historique_Final[[#This Row],[ppn_z]],tbl_Historique_Final[[#This Row],[date_modif]])=Final_Sans_VGE[[#This Row],[date_modif]],
      "Ancien",
      "Modifié"),
   "Nouveau")),"")</f>
        <v/>
      </c>
    </row>
    <row r="2385" spans="24:30" x14ac:dyDescent="0.25">
      <c r="X2385" s="8" t="e">
        <f>IF(Final_Sans_VGE[[#This Row],[ppn_z]]="","",IFERROR(
   IF(_xlfn.XLOOKUP(Final_Sans_VGE[[#This Row],[ppn_z]],tbl_Historique_Final[ppn_z],tbl_Historique_Final[date_modif])=Final_Sans_VGE[[#This Row],[date_modif]],
      "Ancien",
      "Modifié"),
   "Nouveau"))</f>
        <v>#VALUE!</v>
      </c>
      <c r="AD2385" s="1" t="str">
        <f>IFERROR(IF(Final_Sans_VGE[[#This Row],[ppn_z]]="","",IFERROR(
   IF(_xlfn.XLOOKUP(Final_Sans_VGE[[#This Row],[ppn_z]],tbl_Historique_Final[[#This Row],[ppn_z]],tbl_Historique_Final[[#This Row],[date_modif]])=Final_Sans_VGE[[#This Row],[date_modif]],
      "Ancien",
      "Modifié"),
   "Nouveau")),"")</f>
        <v/>
      </c>
    </row>
    <row r="2386" spans="24:30" x14ac:dyDescent="0.25">
      <c r="X2386" s="8" t="e">
        <f>IF(Final_Sans_VGE[[#This Row],[ppn_z]]="","",IFERROR(
   IF(_xlfn.XLOOKUP(Final_Sans_VGE[[#This Row],[ppn_z]],tbl_Historique_Final[ppn_z],tbl_Historique_Final[date_modif])=Final_Sans_VGE[[#This Row],[date_modif]],
      "Ancien",
      "Modifié"),
   "Nouveau"))</f>
        <v>#VALUE!</v>
      </c>
      <c r="AD2386" s="1" t="str">
        <f>IFERROR(IF(Final_Sans_VGE[[#This Row],[ppn_z]]="","",IFERROR(
   IF(_xlfn.XLOOKUP(Final_Sans_VGE[[#This Row],[ppn_z]],tbl_Historique_Final[[#This Row],[ppn_z]],tbl_Historique_Final[[#This Row],[date_modif]])=Final_Sans_VGE[[#This Row],[date_modif]],
      "Ancien",
      "Modifié"),
   "Nouveau")),"")</f>
        <v/>
      </c>
    </row>
    <row r="2387" spans="24:30" x14ac:dyDescent="0.25">
      <c r="X2387" s="8" t="e">
        <f>IF(Final_Sans_VGE[[#This Row],[ppn_z]]="","",IFERROR(
   IF(_xlfn.XLOOKUP(Final_Sans_VGE[[#This Row],[ppn_z]],tbl_Historique_Final[ppn_z],tbl_Historique_Final[date_modif])=Final_Sans_VGE[[#This Row],[date_modif]],
      "Ancien",
      "Modifié"),
   "Nouveau"))</f>
        <v>#VALUE!</v>
      </c>
      <c r="AD2387" s="1" t="str">
        <f>IFERROR(IF(Final_Sans_VGE[[#This Row],[ppn_z]]="","",IFERROR(
   IF(_xlfn.XLOOKUP(Final_Sans_VGE[[#This Row],[ppn_z]],tbl_Historique_Final[[#This Row],[ppn_z]],tbl_Historique_Final[[#This Row],[date_modif]])=Final_Sans_VGE[[#This Row],[date_modif]],
      "Ancien",
      "Modifié"),
   "Nouveau")),"")</f>
        <v/>
      </c>
    </row>
    <row r="2388" spans="24:30" x14ac:dyDescent="0.25">
      <c r="X2388" s="8" t="e">
        <f>IF(Final_Sans_VGE[[#This Row],[ppn_z]]="","",IFERROR(
   IF(_xlfn.XLOOKUP(Final_Sans_VGE[[#This Row],[ppn_z]],tbl_Historique_Final[ppn_z],tbl_Historique_Final[date_modif])=Final_Sans_VGE[[#This Row],[date_modif]],
      "Ancien",
      "Modifié"),
   "Nouveau"))</f>
        <v>#VALUE!</v>
      </c>
      <c r="AD2388" s="1" t="str">
        <f>IFERROR(IF(Final_Sans_VGE[[#This Row],[ppn_z]]="","",IFERROR(
   IF(_xlfn.XLOOKUP(Final_Sans_VGE[[#This Row],[ppn_z]],tbl_Historique_Final[[#This Row],[ppn_z]],tbl_Historique_Final[[#This Row],[date_modif]])=Final_Sans_VGE[[#This Row],[date_modif]],
      "Ancien",
      "Modifié"),
   "Nouveau")),"")</f>
        <v/>
      </c>
    </row>
    <row r="2389" spans="24:30" x14ac:dyDescent="0.25">
      <c r="X2389" s="8" t="e">
        <f>IF(Final_Sans_VGE[[#This Row],[ppn_z]]="","",IFERROR(
   IF(_xlfn.XLOOKUP(Final_Sans_VGE[[#This Row],[ppn_z]],tbl_Historique_Final[ppn_z],tbl_Historique_Final[date_modif])=Final_Sans_VGE[[#This Row],[date_modif]],
      "Ancien",
      "Modifié"),
   "Nouveau"))</f>
        <v>#VALUE!</v>
      </c>
      <c r="AD2389" s="1" t="str">
        <f>IFERROR(IF(Final_Sans_VGE[[#This Row],[ppn_z]]="","",IFERROR(
   IF(_xlfn.XLOOKUP(Final_Sans_VGE[[#This Row],[ppn_z]],tbl_Historique_Final[[#This Row],[ppn_z]],tbl_Historique_Final[[#This Row],[date_modif]])=Final_Sans_VGE[[#This Row],[date_modif]],
      "Ancien",
      "Modifié"),
   "Nouveau")),"")</f>
        <v/>
      </c>
    </row>
    <row r="2390" spans="24:30" x14ac:dyDescent="0.25">
      <c r="X2390" s="8" t="e">
        <f>IF(Final_Sans_VGE[[#This Row],[ppn_z]]="","",IFERROR(
   IF(_xlfn.XLOOKUP(Final_Sans_VGE[[#This Row],[ppn_z]],tbl_Historique_Final[ppn_z],tbl_Historique_Final[date_modif])=Final_Sans_VGE[[#This Row],[date_modif]],
      "Ancien",
      "Modifié"),
   "Nouveau"))</f>
        <v>#VALUE!</v>
      </c>
      <c r="AD2390" s="1" t="str">
        <f>IFERROR(IF(Final_Sans_VGE[[#This Row],[ppn_z]]="","",IFERROR(
   IF(_xlfn.XLOOKUP(Final_Sans_VGE[[#This Row],[ppn_z]],tbl_Historique_Final[[#This Row],[ppn_z]],tbl_Historique_Final[[#This Row],[date_modif]])=Final_Sans_VGE[[#This Row],[date_modif]],
      "Ancien",
      "Modifié"),
   "Nouveau")),"")</f>
        <v/>
      </c>
    </row>
    <row r="2391" spans="24:30" x14ac:dyDescent="0.25">
      <c r="X2391" s="8" t="e">
        <f>IF(Final_Sans_VGE[[#This Row],[ppn_z]]="","",IFERROR(
   IF(_xlfn.XLOOKUP(Final_Sans_VGE[[#This Row],[ppn_z]],tbl_Historique_Final[ppn_z],tbl_Historique_Final[date_modif])=Final_Sans_VGE[[#This Row],[date_modif]],
      "Ancien",
      "Modifié"),
   "Nouveau"))</f>
        <v>#VALUE!</v>
      </c>
      <c r="AD2391" s="1" t="str">
        <f>IFERROR(IF(Final_Sans_VGE[[#This Row],[ppn_z]]="","",IFERROR(
   IF(_xlfn.XLOOKUP(Final_Sans_VGE[[#This Row],[ppn_z]],tbl_Historique_Final[[#This Row],[ppn_z]],tbl_Historique_Final[[#This Row],[date_modif]])=Final_Sans_VGE[[#This Row],[date_modif]],
      "Ancien",
      "Modifié"),
   "Nouveau")),"")</f>
        <v/>
      </c>
    </row>
    <row r="2392" spans="24:30" x14ac:dyDescent="0.25">
      <c r="X2392" s="8" t="e">
        <f>IF(Final_Sans_VGE[[#This Row],[ppn_z]]="","",IFERROR(
   IF(_xlfn.XLOOKUP(Final_Sans_VGE[[#This Row],[ppn_z]],tbl_Historique_Final[ppn_z],tbl_Historique_Final[date_modif])=Final_Sans_VGE[[#This Row],[date_modif]],
      "Ancien",
      "Modifié"),
   "Nouveau"))</f>
        <v>#VALUE!</v>
      </c>
      <c r="AD2392" s="1" t="str">
        <f>IFERROR(IF(Final_Sans_VGE[[#This Row],[ppn_z]]="","",IFERROR(
   IF(_xlfn.XLOOKUP(Final_Sans_VGE[[#This Row],[ppn_z]],tbl_Historique_Final[[#This Row],[ppn_z]],tbl_Historique_Final[[#This Row],[date_modif]])=Final_Sans_VGE[[#This Row],[date_modif]],
      "Ancien",
      "Modifié"),
   "Nouveau")),"")</f>
        <v/>
      </c>
    </row>
    <row r="2393" spans="24:30" x14ac:dyDescent="0.25">
      <c r="X2393" s="8" t="e">
        <f>IF(Final_Sans_VGE[[#This Row],[ppn_z]]="","",IFERROR(
   IF(_xlfn.XLOOKUP(Final_Sans_VGE[[#This Row],[ppn_z]],tbl_Historique_Final[ppn_z],tbl_Historique_Final[date_modif])=Final_Sans_VGE[[#This Row],[date_modif]],
      "Ancien",
      "Modifié"),
   "Nouveau"))</f>
        <v>#VALUE!</v>
      </c>
      <c r="AD2393" s="1" t="str">
        <f>IFERROR(IF(Final_Sans_VGE[[#This Row],[ppn_z]]="","",IFERROR(
   IF(_xlfn.XLOOKUP(Final_Sans_VGE[[#This Row],[ppn_z]],tbl_Historique_Final[[#This Row],[ppn_z]],tbl_Historique_Final[[#This Row],[date_modif]])=Final_Sans_VGE[[#This Row],[date_modif]],
      "Ancien",
      "Modifié"),
   "Nouveau")),"")</f>
        <v/>
      </c>
    </row>
    <row r="2394" spans="24:30" x14ac:dyDescent="0.25">
      <c r="X2394" s="8" t="e">
        <f>IF(Final_Sans_VGE[[#This Row],[ppn_z]]="","",IFERROR(
   IF(_xlfn.XLOOKUP(Final_Sans_VGE[[#This Row],[ppn_z]],tbl_Historique_Final[ppn_z],tbl_Historique_Final[date_modif])=Final_Sans_VGE[[#This Row],[date_modif]],
      "Ancien",
      "Modifié"),
   "Nouveau"))</f>
        <v>#VALUE!</v>
      </c>
      <c r="AD2394" s="1" t="str">
        <f>IFERROR(IF(Final_Sans_VGE[[#This Row],[ppn_z]]="","",IFERROR(
   IF(_xlfn.XLOOKUP(Final_Sans_VGE[[#This Row],[ppn_z]],tbl_Historique_Final[[#This Row],[ppn_z]],tbl_Historique_Final[[#This Row],[date_modif]])=Final_Sans_VGE[[#This Row],[date_modif]],
      "Ancien",
      "Modifié"),
   "Nouveau")),"")</f>
        <v/>
      </c>
    </row>
    <row r="2395" spans="24:30" x14ac:dyDescent="0.25">
      <c r="X2395" s="8" t="e">
        <f>IF(Final_Sans_VGE[[#This Row],[ppn_z]]="","",IFERROR(
   IF(_xlfn.XLOOKUP(Final_Sans_VGE[[#This Row],[ppn_z]],tbl_Historique_Final[ppn_z],tbl_Historique_Final[date_modif])=Final_Sans_VGE[[#This Row],[date_modif]],
      "Ancien",
      "Modifié"),
   "Nouveau"))</f>
        <v>#VALUE!</v>
      </c>
      <c r="AD2395" s="1" t="str">
        <f>IFERROR(IF(Final_Sans_VGE[[#This Row],[ppn_z]]="","",IFERROR(
   IF(_xlfn.XLOOKUP(Final_Sans_VGE[[#This Row],[ppn_z]],tbl_Historique_Final[[#This Row],[ppn_z]],tbl_Historique_Final[[#This Row],[date_modif]])=Final_Sans_VGE[[#This Row],[date_modif]],
      "Ancien",
      "Modifié"),
   "Nouveau")),"")</f>
        <v/>
      </c>
    </row>
    <row r="2396" spans="24:30" x14ac:dyDescent="0.25">
      <c r="X2396" s="8" t="e">
        <f>IF(Final_Sans_VGE[[#This Row],[ppn_z]]="","",IFERROR(
   IF(_xlfn.XLOOKUP(Final_Sans_VGE[[#This Row],[ppn_z]],tbl_Historique_Final[ppn_z],tbl_Historique_Final[date_modif])=Final_Sans_VGE[[#This Row],[date_modif]],
      "Ancien",
      "Modifié"),
   "Nouveau"))</f>
        <v>#VALUE!</v>
      </c>
      <c r="AD2396" s="1" t="str">
        <f>IFERROR(IF(Final_Sans_VGE[[#This Row],[ppn_z]]="","",IFERROR(
   IF(_xlfn.XLOOKUP(Final_Sans_VGE[[#This Row],[ppn_z]],tbl_Historique_Final[[#This Row],[ppn_z]],tbl_Historique_Final[[#This Row],[date_modif]])=Final_Sans_VGE[[#This Row],[date_modif]],
      "Ancien",
      "Modifié"),
   "Nouveau")),"")</f>
        <v/>
      </c>
    </row>
    <row r="2397" spans="24:30" x14ac:dyDescent="0.25">
      <c r="X2397" s="8" t="e">
        <f>IF(Final_Sans_VGE[[#This Row],[ppn_z]]="","",IFERROR(
   IF(_xlfn.XLOOKUP(Final_Sans_VGE[[#This Row],[ppn_z]],tbl_Historique_Final[ppn_z],tbl_Historique_Final[date_modif])=Final_Sans_VGE[[#This Row],[date_modif]],
      "Ancien",
      "Modifié"),
   "Nouveau"))</f>
        <v>#VALUE!</v>
      </c>
      <c r="AD2397" s="1" t="str">
        <f>IFERROR(IF(Final_Sans_VGE[[#This Row],[ppn_z]]="","",IFERROR(
   IF(_xlfn.XLOOKUP(Final_Sans_VGE[[#This Row],[ppn_z]],tbl_Historique_Final[[#This Row],[ppn_z]],tbl_Historique_Final[[#This Row],[date_modif]])=Final_Sans_VGE[[#This Row],[date_modif]],
      "Ancien",
      "Modifié"),
   "Nouveau")),"")</f>
        <v/>
      </c>
    </row>
    <row r="2398" spans="24:30" x14ac:dyDescent="0.25">
      <c r="X2398" s="8" t="e">
        <f>IF(Final_Sans_VGE[[#This Row],[ppn_z]]="","",IFERROR(
   IF(_xlfn.XLOOKUP(Final_Sans_VGE[[#This Row],[ppn_z]],tbl_Historique_Final[ppn_z],tbl_Historique_Final[date_modif])=Final_Sans_VGE[[#This Row],[date_modif]],
      "Ancien",
      "Modifié"),
   "Nouveau"))</f>
        <v>#VALUE!</v>
      </c>
      <c r="AD2398" s="1" t="str">
        <f>IFERROR(IF(Final_Sans_VGE[[#This Row],[ppn_z]]="","",IFERROR(
   IF(_xlfn.XLOOKUP(Final_Sans_VGE[[#This Row],[ppn_z]],tbl_Historique_Final[[#This Row],[ppn_z]],tbl_Historique_Final[[#This Row],[date_modif]])=Final_Sans_VGE[[#This Row],[date_modif]],
      "Ancien",
      "Modifié"),
   "Nouveau")),"")</f>
        <v/>
      </c>
    </row>
    <row r="2399" spans="24:30" x14ac:dyDescent="0.25">
      <c r="X2399" s="8" t="e">
        <f>IF(Final_Sans_VGE[[#This Row],[ppn_z]]="","",IFERROR(
   IF(_xlfn.XLOOKUP(Final_Sans_VGE[[#This Row],[ppn_z]],tbl_Historique_Final[ppn_z],tbl_Historique_Final[date_modif])=Final_Sans_VGE[[#This Row],[date_modif]],
      "Ancien",
      "Modifié"),
   "Nouveau"))</f>
        <v>#VALUE!</v>
      </c>
      <c r="AD2399" s="1" t="str">
        <f>IFERROR(IF(Final_Sans_VGE[[#This Row],[ppn_z]]="","",IFERROR(
   IF(_xlfn.XLOOKUP(Final_Sans_VGE[[#This Row],[ppn_z]],tbl_Historique_Final[[#This Row],[ppn_z]],tbl_Historique_Final[[#This Row],[date_modif]])=Final_Sans_VGE[[#This Row],[date_modif]],
      "Ancien",
      "Modifié"),
   "Nouveau")),"")</f>
        <v/>
      </c>
    </row>
    <row r="2400" spans="24:30" x14ac:dyDescent="0.25">
      <c r="X2400" s="8" t="e">
        <f>IF(Final_Sans_VGE[[#This Row],[ppn_z]]="","",IFERROR(
   IF(_xlfn.XLOOKUP(Final_Sans_VGE[[#This Row],[ppn_z]],tbl_Historique_Final[ppn_z],tbl_Historique_Final[date_modif])=Final_Sans_VGE[[#This Row],[date_modif]],
      "Ancien",
      "Modifié"),
   "Nouveau"))</f>
        <v>#VALUE!</v>
      </c>
      <c r="AD2400" s="1" t="str">
        <f>IFERROR(IF(Final_Sans_VGE[[#This Row],[ppn_z]]="","",IFERROR(
   IF(_xlfn.XLOOKUP(Final_Sans_VGE[[#This Row],[ppn_z]],tbl_Historique_Final[[#This Row],[ppn_z]],tbl_Historique_Final[[#This Row],[date_modif]])=Final_Sans_VGE[[#This Row],[date_modif]],
      "Ancien",
      "Modifié"),
   "Nouveau")),"")</f>
        <v/>
      </c>
    </row>
    <row r="2401" spans="24:30" x14ac:dyDescent="0.25">
      <c r="X2401" s="8" t="e">
        <f>IF(Final_Sans_VGE[[#This Row],[ppn_z]]="","",IFERROR(
   IF(_xlfn.XLOOKUP(Final_Sans_VGE[[#This Row],[ppn_z]],tbl_Historique_Final[ppn_z],tbl_Historique_Final[date_modif])=Final_Sans_VGE[[#This Row],[date_modif]],
      "Ancien",
      "Modifié"),
   "Nouveau"))</f>
        <v>#VALUE!</v>
      </c>
      <c r="AD2401" s="1" t="str">
        <f>IFERROR(IF(Final_Sans_VGE[[#This Row],[ppn_z]]="","",IFERROR(
   IF(_xlfn.XLOOKUP(Final_Sans_VGE[[#This Row],[ppn_z]],tbl_Historique_Final[[#This Row],[ppn_z]],tbl_Historique_Final[[#This Row],[date_modif]])=Final_Sans_VGE[[#This Row],[date_modif]],
      "Ancien",
      "Modifié"),
   "Nouveau")),"")</f>
        <v/>
      </c>
    </row>
    <row r="2402" spans="24:30" x14ac:dyDescent="0.25">
      <c r="X2402" s="8" t="e">
        <f>IF(Final_Sans_VGE[[#This Row],[ppn_z]]="","",IFERROR(
   IF(_xlfn.XLOOKUP(Final_Sans_VGE[[#This Row],[ppn_z]],tbl_Historique_Final[ppn_z],tbl_Historique_Final[date_modif])=Final_Sans_VGE[[#This Row],[date_modif]],
      "Ancien",
      "Modifié"),
   "Nouveau"))</f>
        <v>#VALUE!</v>
      </c>
      <c r="AD2402" s="1" t="str">
        <f>IFERROR(IF(Final_Sans_VGE[[#This Row],[ppn_z]]="","",IFERROR(
   IF(_xlfn.XLOOKUP(Final_Sans_VGE[[#This Row],[ppn_z]],tbl_Historique_Final[[#This Row],[ppn_z]],tbl_Historique_Final[[#This Row],[date_modif]])=Final_Sans_VGE[[#This Row],[date_modif]],
      "Ancien",
      "Modifié"),
   "Nouveau")),"")</f>
        <v/>
      </c>
    </row>
    <row r="2403" spans="24:30" x14ac:dyDescent="0.25">
      <c r="X2403" s="8" t="e">
        <f>IF(Final_Sans_VGE[[#This Row],[ppn_z]]="","",IFERROR(
   IF(_xlfn.XLOOKUP(Final_Sans_VGE[[#This Row],[ppn_z]],tbl_Historique_Final[ppn_z],tbl_Historique_Final[date_modif])=Final_Sans_VGE[[#This Row],[date_modif]],
      "Ancien",
      "Modifié"),
   "Nouveau"))</f>
        <v>#VALUE!</v>
      </c>
      <c r="AD2403" s="1" t="str">
        <f>IFERROR(IF(Final_Sans_VGE[[#This Row],[ppn_z]]="","",IFERROR(
   IF(_xlfn.XLOOKUP(Final_Sans_VGE[[#This Row],[ppn_z]],tbl_Historique_Final[[#This Row],[ppn_z]],tbl_Historique_Final[[#This Row],[date_modif]])=Final_Sans_VGE[[#This Row],[date_modif]],
      "Ancien",
      "Modifié"),
   "Nouveau")),"")</f>
        <v/>
      </c>
    </row>
    <row r="2404" spans="24:30" x14ac:dyDescent="0.25">
      <c r="X2404" s="8" t="e">
        <f>IF(Final_Sans_VGE[[#This Row],[ppn_z]]="","",IFERROR(
   IF(_xlfn.XLOOKUP(Final_Sans_VGE[[#This Row],[ppn_z]],tbl_Historique_Final[ppn_z],tbl_Historique_Final[date_modif])=Final_Sans_VGE[[#This Row],[date_modif]],
      "Ancien",
      "Modifié"),
   "Nouveau"))</f>
        <v>#VALUE!</v>
      </c>
      <c r="AD2404" s="1" t="str">
        <f>IFERROR(IF(Final_Sans_VGE[[#This Row],[ppn_z]]="","",IFERROR(
   IF(_xlfn.XLOOKUP(Final_Sans_VGE[[#This Row],[ppn_z]],tbl_Historique_Final[[#This Row],[ppn_z]],tbl_Historique_Final[[#This Row],[date_modif]])=Final_Sans_VGE[[#This Row],[date_modif]],
      "Ancien",
      "Modifié"),
   "Nouveau")),"")</f>
        <v/>
      </c>
    </row>
    <row r="2405" spans="24:30" x14ac:dyDescent="0.25">
      <c r="X2405" s="8" t="e">
        <f>IF(Final_Sans_VGE[[#This Row],[ppn_z]]="","",IFERROR(
   IF(_xlfn.XLOOKUP(Final_Sans_VGE[[#This Row],[ppn_z]],tbl_Historique_Final[ppn_z],tbl_Historique_Final[date_modif])=Final_Sans_VGE[[#This Row],[date_modif]],
      "Ancien",
      "Modifié"),
   "Nouveau"))</f>
        <v>#VALUE!</v>
      </c>
      <c r="AD2405" s="1" t="str">
        <f>IFERROR(IF(Final_Sans_VGE[[#This Row],[ppn_z]]="","",IFERROR(
   IF(_xlfn.XLOOKUP(Final_Sans_VGE[[#This Row],[ppn_z]],tbl_Historique_Final[[#This Row],[ppn_z]],tbl_Historique_Final[[#This Row],[date_modif]])=Final_Sans_VGE[[#This Row],[date_modif]],
      "Ancien",
      "Modifié"),
   "Nouveau")),"")</f>
        <v/>
      </c>
    </row>
    <row r="2406" spans="24:30" x14ac:dyDescent="0.25">
      <c r="X2406" s="8" t="e">
        <f>IF(Final_Sans_VGE[[#This Row],[ppn_z]]="","",IFERROR(
   IF(_xlfn.XLOOKUP(Final_Sans_VGE[[#This Row],[ppn_z]],tbl_Historique_Final[ppn_z],tbl_Historique_Final[date_modif])=Final_Sans_VGE[[#This Row],[date_modif]],
      "Ancien",
      "Modifié"),
   "Nouveau"))</f>
        <v>#VALUE!</v>
      </c>
      <c r="AD2406" s="1" t="str">
        <f>IFERROR(IF(Final_Sans_VGE[[#This Row],[ppn_z]]="","",IFERROR(
   IF(_xlfn.XLOOKUP(Final_Sans_VGE[[#This Row],[ppn_z]],tbl_Historique_Final[[#This Row],[ppn_z]],tbl_Historique_Final[[#This Row],[date_modif]])=Final_Sans_VGE[[#This Row],[date_modif]],
      "Ancien",
      "Modifié"),
   "Nouveau")),"")</f>
        <v/>
      </c>
    </row>
    <row r="2407" spans="24:30" x14ac:dyDescent="0.25">
      <c r="X2407" s="8" t="e">
        <f>IF(Final_Sans_VGE[[#This Row],[ppn_z]]="","",IFERROR(
   IF(_xlfn.XLOOKUP(Final_Sans_VGE[[#This Row],[ppn_z]],tbl_Historique_Final[ppn_z],tbl_Historique_Final[date_modif])=Final_Sans_VGE[[#This Row],[date_modif]],
      "Ancien",
      "Modifié"),
   "Nouveau"))</f>
        <v>#VALUE!</v>
      </c>
      <c r="AD2407" s="1" t="str">
        <f>IFERROR(IF(Final_Sans_VGE[[#This Row],[ppn_z]]="","",IFERROR(
   IF(_xlfn.XLOOKUP(Final_Sans_VGE[[#This Row],[ppn_z]],tbl_Historique_Final[[#This Row],[ppn_z]],tbl_Historique_Final[[#This Row],[date_modif]])=Final_Sans_VGE[[#This Row],[date_modif]],
      "Ancien",
      "Modifié"),
   "Nouveau")),"")</f>
        <v/>
      </c>
    </row>
    <row r="2408" spans="24:30" x14ac:dyDescent="0.25">
      <c r="X2408" s="8" t="e">
        <f>IF(Final_Sans_VGE[[#This Row],[ppn_z]]="","",IFERROR(
   IF(_xlfn.XLOOKUP(Final_Sans_VGE[[#This Row],[ppn_z]],tbl_Historique_Final[ppn_z],tbl_Historique_Final[date_modif])=Final_Sans_VGE[[#This Row],[date_modif]],
      "Ancien",
      "Modifié"),
   "Nouveau"))</f>
        <v>#VALUE!</v>
      </c>
      <c r="AD2408" s="1" t="str">
        <f>IFERROR(IF(Final_Sans_VGE[[#This Row],[ppn_z]]="","",IFERROR(
   IF(_xlfn.XLOOKUP(Final_Sans_VGE[[#This Row],[ppn_z]],tbl_Historique_Final[[#This Row],[ppn_z]],tbl_Historique_Final[[#This Row],[date_modif]])=Final_Sans_VGE[[#This Row],[date_modif]],
      "Ancien",
      "Modifié"),
   "Nouveau")),"")</f>
        <v/>
      </c>
    </row>
    <row r="2409" spans="24:30" x14ac:dyDescent="0.25">
      <c r="X2409" s="8" t="e">
        <f>IF(Final_Sans_VGE[[#This Row],[ppn_z]]="","",IFERROR(
   IF(_xlfn.XLOOKUP(Final_Sans_VGE[[#This Row],[ppn_z]],tbl_Historique_Final[ppn_z],tbl_Historique_Final[date_modif])=Final_Sans_VGE[[#This Row],[date_modif]],
      "Ancien",
      "Modifié"),
   "Nouveau"))</f>
        <v>#VALUE!</v>
      </c>
      <c r="AD2409" s="1" t="str">
        <f>IFERROR(IF(Final_Sans_VGE[[#This Row],[ppn_z]]="","",IFERROR(
   IF(_xlfn.XLOOKUP(Final_Sans_VGE[[#This Row],[ppn_z]],tbl_Historique_Final[[#This Row],[ppn_z]],tbl_Historique_Final[[#This Row],[date_modif]])=Final_Sans_VGE[[#This Row],[date_modif]],
      "Ancien",
      "Modifié"),
   "Nouveau")),"")</f>
        <v/>
      </c>
    </row>
    <row r="2410" spans="24:30" x14ac:dyDescent="0.25">
      <c r="X2410" s="8" t="e">
        <f>IF(Final_Sans_VGE[[#This Row],[ppn_z]]="","",IFERROR(
   IF(_xlfn.XLOOKUP(Final_Sans_VGE[[#This Row],[ppn_z]],tbl_Historique_Final[ppn_z],tbl_Historique_Final[date_modif])=Final_Sans_VGE[[#This Row],[date_modif]],
      "Ancien",
      "Modifié"),
   "Nouveau"))</f>
        <v>#VALUE!</v>
      </c>
      <c r="AD2410" s="1" t="str">
        <f>IFERROR(IF(Final_Sans_VGE[[#This Row],[ppn_z]]="","",IFERROR(
   IF(_xlfn.XLOOKUP(Final_Sans_VGE[[#This Row],[ppn_z]],tbl_Historique_Final[[#This Row],[ppn_z]],tbl_Historique_Final[[#This Row],[date_modif]])=Final_Sans_VGE[[#This Row],[date_modif]],
      "Ancien",
      "Modifié"),
   "Nouveau")),"")</f>
        <v/>
      </c>
    </row>
    <row r="2411" spans="24:30" x14ac:dyDescent="0.25">
      <c r="X2411" s="8" t="e">
        <f>IF(Final_Sans_VGE[[#This Row],[ppn_z]]="","",IFERROR(
   IF(_xlfn.XLOOKUP(Final_Sans_VGE[[#This Row],[ppn_z]],tbl_Historique_Final[ppn_z],tbl_Historique_Final[date_modif])=Final_Sans_VGE[[#This Row],[date_modif]],
      "Ancien",
      "Modifié"),
   "Nouveau"))</f>
        <v>#VALUE!</v>
      </c>
      <c r="AD2411" s="1" t="str">
        <f>IFERROR(IF(Final_Sans_VGE[[#This Row],[ppn_z]]="","",IFERROR(
   IF(_xlfn.XLOOKUP(Final_Sans_VGE[[#This Row],[ppn_z]],tbl_Historique_Final[[#This Row],[ppn_z]],tbl_Historique_Final[[#This Row],[date_modif]])=Final_Sans_VGE[[#This Row],[date_modif]],
      "Ancien",
      "Modifié"),
   "Nouveau")),"")</f>
        <v/>
      </c>
    </row>
    <row r="2412" spans="24:30" x14ac:dyDescent="0.25">
      <c r="X2412" s="8" t="e">
        <f>IF(Final_Sans_VGE[[#This Row],[ppn_z]]="","",IFERROR(
   IF(_xlfn.XLOOKUP(Final_Sans_VGE[[#This Row],[ppn_z]],tbl_Historique_Final[ppn_z],tbl_Historique_Final[date_modif])=Final_Sans_VGE[[#This Row],[date_modif]],
      "Ancien",
      "Modifié"),
   "Nouveau"))</f>
        <v>#VALUE!</v>
      </c>
      <c r="AD2412" s="1" t="str">
        <f>IFERROR(IF(Final_Sans_VGE[[#This Row],[ppn_z]]="","",IFERROR(
   IF(_xlfn.XLOOKUP(Final_Sans_VGE[[#This Row],[ppn_z]],tbl_Historique_Final[[#This Row],[ppn_z]],tbl_Historique_Final[[#This Row],[date_modif]])=Final_Sans_VGE[[#This Row],[date_modif]],
      "Ancien",
      "Modifié"),
   "Nouveau")),"")</f>
        <v/>
      </c>
    </row>
    <row r="2413" spans="24:30" x14ac:dyDescent="0.25">
      <c r="X2413" s="8" t="e">
        <f>IF(Final_Sans_VGE[[#This Row],[ppn_z]]="","",IFERROR(
   IF(_xlfn.XLOOKUP(Final_Sans_VGE[[#This Row],[ppn_z]],tbl_Historique_Final[ppn_z],tbl_Historique_Final[date_modif])=Final_Sans_VGE[[#This Row],[date_modif]],
      "Ancien",
      "Modifié"),
   "Nouveau"))</f>
        <v>#VALUE!</v>
      </c>
      <c r="AD2413" s="1" t="str">
        <f>IFERROR(IF(Final_Sans_VGE[[#This Row],[ppn_z]]="","",IFERROR(
   IF(_xlfn.XLOOKUP(Final_Sans_VGE[[#This Row],[ppn_z]],tbl_Historique_Final[[#This Row],[ppn_z]],tbl_Historique_Final[[#This Row],[date_modif]])=Final_Sans_VGE[[#This Row],[date_modif]],
      "Ancien",
      "Modifié"),
   "Nouveau")),"")</f>
        <v/>
      </c>
    </row>
    <row r="2414" spans="24:30" x14ac:dyDescent="0.25">
      <c r="X2414" s="8" t="e">
        <f>IF(Final_Sans_VGE[[#This Row],[ppn_z]]="","",IFERROR(
   IF(_xlfn.XLOOKUP(Final_Sans_VGE[[#This Row],[ppn_z]],tbl_Historique_Final[ppn_z],tbl_Historique_Final[date_modif])=Final_Sans_VGE[[#This Row],[date_modif]],
      "Ancien",
      "Modifié"),
   "Nouveau"))</f>
        <v>#VALUE!</v>
      </c>
      <c r="AD2414" s="1" t="str">
        <f>IFERROR(IF(Final_Sans_VGE[[#This Row],[ppn_z]]="","",IFERROR(
   IF(_xlfn.XLOOKUP(Final_Sans_VGE[[#This Row],[ppn_z]],tbl_Historique_Final[[#This Row],[ppn_z]],tbl_Historique_Final[[#This Row],[date_modif]])=Final_Sans_VGE[[#This Row],[date_modif]],
      "Ancien",
      "Modifié"),
   "Nouveau")),"")</f>
        <v/>
      </c>
    </row>
    <row r="2415" spans="24:30" x14ac:dyDescent="0.25">
      <c r="X2415" s="8" t="e">
        <f>IF(Final_Sans_VGE[[#This Row],[ppn_z]]="","",IFERROR(
   IF(_xlfn.XLOOKUP(Final_Sans_VGE[[#This Row],[ppn_z]],tbl_Historique_Final[ppn_z],tbl_Historique_Final[date_modif])=Final_Sans_VGE[[#This Row],[date_modif]],
      "Ancien",
      "Modifié"),
   "Nouveau"))</f>
        <v>#VALUE!</v>
      </c>
      <c r="AD2415" s="1" t="str">
        <f>IFERROR(IF(Final_Sans_VGE[[#This Row],[ppn_z]]="","",IFERROR(
   IF(_xlfn.XLOOKUP(Final_Sans_VGE[[#This Row],[ppn_z]],tbl_Historique_Final[[#This Row],[ppn_z]],tbl_Historique_Final[[#This Row],[date_modif]])=Final_Sans_VGE[[#This Row],[date_modif]],
      "Ancien",
      "Modifié"),
   "Nouveau")),"")</f>
        <v/>
      </c>
    </row>
    <row r="2416" spans="24:30" x14ac:dyDescent="0.25">
      <c r="X2416" s="8" t="e">
        <f>IF(Final_Sans_VGE[[#This Row],[ppn_z]]="","",IFERROR(
   IF(_xlfn.XLOOKUP(Final_Sans_VGE[[#This Row],[ppn_z]],tbl_Historique_Final[ppn_z],tbl_Historique_Final[date_modif])=Final_Sans_VGE[[#This Row],[date_modif]],
      "Ancien",
      "Modifié"),
   "Nouveau"))</f>
        <v>#VALUE!</v>
      </c>
      <c r="AD2416" s="1" t="str">
        <f>IFERROR(IF(Final_Sans_VGE[[#This Row],[ppn_z]]="","",IFERROR(
   IF(_xlfn.XLOOKUP(Final_Sans_VGE[[#This Row],[ppn_z]],tbl_Historique_Final[[#This Row],[ppn_z]],tbl_Historique_Final[[#This Row],[date_modif]])=Final_Sans_VGE[[#This Row],[date_modif]],
      "Ancien",
      "Modifié"),
   "Nouveau")),"")</f>
        <v/>
      </c>
    </row>
    <row r="2417" spans="24:30" x14ac:dyDescent="0.25">
      <c r="X2417" s="8" t="e">
        <f>IF(Final_Sans_VGE[[#This Row],[ppn_z]]="","",IFERROR(
   IF(_xlfn.XLOOKUP(Final_Sans_VGE[[#This Row],[ppn_z]],tbl_Historique_Final[ppn_z],tbl_Historique_Final[date_modif])=Final_Sans_VGE[[#This Row],[date_modif]],
      "Ancien",
      "Modifié"),
   "Nouveau"))</f>
        <v>#VALUE!</v>
      </c>
      <c r="AD2417" s="1" t="str">
        <f>IFERROR(IF(Final_Sans_VGE[[#This Row],[ppn_z]]="","",IFERROR(
   IF(_xlfn.XLOOKUP(Final_Sans_VGE[[#This Row],[ppn_z]],tbl_Historique_Final[[#This Row],[ppn_z]],tbl_Historique_Final[[#This Row],[date_modif]])=Final_Sans_VGE[[#This Row],[date_modif]],
      "Ancien",
      "Modifié"),
   "Nouveau")),"")</f>
        <v/>
      </c>
    </row>
    <row r="2418" spans="24:30" x14ac:dyDescent="0.25">
      <c r="X2418" s="8" t="e">
        <f>IF(Final_Sans_VGE[[#This Row],[ppn_z]]="","",IFERROR(
   IF(_xlfn.XLOOKUP(Final_Sans_VGE[[#This Row],[ppn_z]],tbl_Historique_Final[ppn_z],tbl_Historique_Final[date_modif])=Final_Sans_VGE[[#This Row],[date_modif]],
      "Ancien",
      "Modifié"),
   "Nouveau"))</f>
        <v>#VALUE!</v>
      </c>
      <c r="AD2418" s="1" t="str">
        <f>IFERROR(IF(Final_Sans_VGE[[#This Row],[ppn_z]]="","",IFERROR(
   IF(_xlfn.XLOOKUP(Final_Sans_VGE[[#This Row],[ppn_z]],tbl_Historique_Final[[#This Row],[ppn_z]],tbl_Historique_Final[[#This Row],[date_modif]])=Final_Sans_VGE[[#This Row],[date_modif]],
      "Ancien",
      "Modifié"),
   "Nouveau")),"")</f>
        <v/>
      </c>
    </row>
    <row r="2419" spans="24:30" x14ac:dyDescent="0.25">
      <c r="X2419" s="8" t="e">
        <f>IF(Final_Sans_VGE[[#This Row],[ppn_z]]="","",IFERROR(
   IF(_xlfn.XLOOKUP(Final_Sans_VGE[[#This Row],[ppn_z]],tbl_Historique_Final[ppn_z],tbl_Historique_Final[date_modif])=Final_Sans_VGE[[#This Row],[date_modif]],
      "Ancien",
      "Modifié"),
   "Nouveau"))</f>
        <v>#VALUE!</v>
      </c>
      <c r="AD2419" s="1" t="str">
        <f>IFERROR(IF(Final_Sans_VGE[[#This Row],[ppn_z]]="","",IFERROR(
   IF(_xlfn.XLOOKUP(Final_Sans_VGE[[#This Row],[ppn_z]],tbl_Historique_Final[[#This Row],[ppn_z]],tbl_Historique_Final[[#This Row],[date_modif]])=Final_Sans_VGE[[#This Row],[date_modif]],
      "Ancien",
      "Modifié"),
   "Nouveau")),"")</f>
        <v/>
      </c>
    </row>
    <row r="2420" spans="24:30" x14ac:dyDescent="0.25">
      <c r="X2420" s="8" t="e">
        <f>IF(Final_Sans_VGE[[#This Row],[ppn_z]]="","",IFERROR(
   IF(_xlfn.XLOOKUP(Final_Sans_VGE[[#This Row],[ppn_z]],tbl_Historique_Final[ppn_z],tbl_Historique_Final[date_modif])=Final_Sans_VGE[[#This Row],[date_modif]],
      "Ancien",
      "Modifié"),
   "Nouveau"))</f>
        <v>#VALUE!</v>
      </c>
      <c r="AD2420" s="1" t="str">
        <f>IFERROR(IF(Final_Sans_VGE[[#This Row],[ppn_z]]="","",IFERROR(
   IF(_xlfn.XLOOKUP(Final_Sans_VGE[[#This Row],[ppn_z]],tbl_Historique_Final[[#This Row],[ppn_z]],tbl_Historique_Final[[#This Row],[date_modif]])=Final_Sans_VGE[[#This Row],[date_modif]],
      "Ancien",
      "Modifié"),
   "Nouveau")),"")</f>
        <v/>
      </c>
    </row>
    <row r="2421" spans="24:30" x14ac:dyDescent="0.25">
      <c r="X2421" s="8" t="e">
        <f>IF(Final_Sans_VGE[[#This Row],[ppn_z]]="","",IFERROR(
   IF(_xlfn.XLOOKUP(Final_Sans_VGE[[#This Row],[ppn_z]],tbl_Historique_Final[ppn_z],tbl_Historique_Final[date_modif])=Final_Sans_VGE[[#This Row],[date_modif]],
      "Ancien",
      "Modifié"),
   "Nouveau"))</f>
        <v>#VALUE!</v>
      </c>
      <c r="AD2421" s="1" t="str">
        <f>IFERROR(IF(Final_Sans_VGE[[#This Row],[ppn_z]]="","",IFERROR(
   IF(_xlfn.XLOOKUP(Final_Sans_VGE[[#This Row],[ppn_z]],tbl_Historique_Final[[#This Row],[ppn_z]],tbl_Historique_Final[[#This Row],[date_modif]])=Final_Sans_VGE[[#This Row],[date_modif]],
      "Ancien",
      "Modifié"),
   "Nouveau")),"")</f>
        <v/>
      </c>
    </row>
    <row r="2422" spans="24:30" x14ac:dyDescent="0.25">
      <c r="X2422" s="8" t="e">
        <f>IF(Final_Sans_VGE[[#This Row],[ppn_z]]="","",IFERROR(
   IF(_xlfn.XLOOKUP(Final_Sans_VGE[[#This Row],[ppn_z]],tbl_Historique_Final[ppn_z],tbl_Historique_Final[date_modif])=Final_Sans_VGE[[#This Row],[date_modif]],
      "Ancien",
      "Modifié"),
   "Nouveau"))</f>
        <v>#VALUE!</v>
      </c>
      <c r="AD2422" s="1" t="str">
        <f>IFERROR(IF(Final_Sans_VGE[[#This Row],[ppn_z]]="","",IFERROR(
   IF(_xlfn.XLOOKUP(Final_Sans_VGE[[#This Row],[ppn_z]],tbl_Historique_Final[[#This Row],[ppn_z]],tbl_Historique_Final[[#This Row],[date_modif]])=Final_Sans_VGE[[#This Row],[date_modif]],
      "Ancien",
      "Modifié"),
   "Nouveau")),"")</f>
        <v/>
      </c>
    </row>
    <row r="2423" spans="24:30" x14ac:dyDescent="0.25">
      <c r="X2423" s="8" t="e">
        <f>IF(Final_Sans_VGE[[#This Row],[ppn_z]]="","",IFERROR(
   IF(_xlfn.XLOOKUP(Final_Sans_VGE[[#This Row],[ppn_z]],tbl_Historique_Final[ppn_z],tbl_Historique_Final[date_modif])=Final_Sans_VGE[[#This Row],[date_modif]],
      "Ancien",
      "Modifié"),
   "Nouveau"))</f>
        <v>#VALUE!</v>
      </c>
      <c r="AD2423" s="1" t="str">
        <f>IFERROR(IF(Final_Sans_VGE[[#This Row],[ppn_z]]="","",IFERROR(
   IF(_xlfn.XLOOKUP(Final_Sans_VGE[[#This Row],[ppn_z]],tbl_Historique_Final[[#This Row],[ppn_z]],tbl_Historique_Final[[#This Row],[date_modif]])=Final_Sans_VGE[[#This Row],[date_modif]],
      "Ancien",
      "Modifié"),
   "Nouveau")),"")</f>
        <v/>
      </c>
    </row>
    <row r="2424" spans="24:30" x14ac:dyDescent="0.25">
      <c r="X2424" s="8" t="e">
        <f>IF(Final_Sans_VGE[[#This Row],[ppn_z]]="","",IFERROR(
   IF(_xlfn.XLOOKUP(Final_Sans_VGE[[#This Row],[ppn_z]],tbl_Historique_Final[ppn_z],tbl_Historique_Final[date_modif])=Final_Sans_VGE[[#This Row],[date_modif]],
      "Ancien",
      "Modifié"),
   "Nouveau"))</f>
        <v>#VALUE!</v>
      </c>
      <c r="AD2424" s="1" t="str">
        <f>IFERROR(IF(Final_Sans_VGE[[#This Row],[ppn_z]]="","",IFERROR(
   IF(_xlfn.XLOOKUP(Final_Sans_VGE[[#This Row],[ppn_z]],tbl_Historique_Final[[#This Row],[ppn_z]],tbl_Historique_Final[[#This Row],[date_modif]])=Final_Sans_VGE[[#This Row],[date_modif]],
      "Ancien",
      "Modifié"),
   "Nouveau")),"")</f>
        <v/>
      </c>
    </row>
    <row r="2425" spans="24:30" x14ac:dyDescent="0.25">
      <c r="X2425" s="8" t="e">
        <f>IF(Final_Sans_VGE[[#This Row],[ppn_z]]="","",IFERROR(
   IF(_xlfn.XLOOKUP(Final_Sans_VGE[[#This Row],[ppn_z]],tbl_Historique_Final[ppn_z],tbl_Historique_Final[date_modif])=Final_Sans_VGE[[#This Row],[date_modif]],
      "Ancien",
      "Modifié"),
   "Nouveau"))</f>
        <v>#VALUE!</v>
      </c>
      <c r="AD2425" s="1" t="str">
        <f>IFERROR(IF(Final_Sans_VGE[[#This Row],[ppn_z]]="","",IFERROR(
   IF(_xlfn.XLOOKUP(Final_Sans_VGE[[#This Row],[ppn_z]],tbl_Historique_Final[[#This Row],[ppn_z]],tbl_Historique_Final[[#This Row],[date_modif]])=Final_Sans_VGE[[#This Row],[date_modif]],
      "Ancien",
      "Modifié"),
   "Nouveau")),"")</f>
        <v/>
      </c>
    </row>
    <row r="2426" spans="24:30" x14ac:dyDescent="0.25">
      <c r="X2426" s="8" t="e">
        <f>IF(Final_Sans_VGE[[#This Row],[ppn_z]]="","",IFERROR(
   IF(_xlfn.XLOOKUP(Final_Sans_VGE[[#This Row],[ppn_z]],tbl_Historique_Final[ppn_z],tbl_Historique_Final[date_modif])=Final_Sans_VGE[[#This Row],[date_modif]],
      "Ancien",
      "Modifié"),
   "Nouveau"))</f>
        <v>#VALUE!</v>
      </c>
      <c r="AD2426" s="1" t="str">
        <f>IFERROR(IF(Final_Sans_VGE[[#This Row],[ppn_z]]="","",IFERROR(
   IF(_xlfn.XLOOKUP(Final_Sans_VGE[[#This Row],[ppn_z]],tbl_Historique_Final[[#This Row],[ppn_z]],tbl_Historique_Final[[#This Row],[date_modif]])=Final_Sans_VGE[[#This Row],[date_modif]],
      "Ancien",
      "Modifié"),
   "Nouveau")),"")</f>
        <v/>
      </c>
    </row>
    <row r="2427" spans="24:30" x14ac:dyDescent="0.25">
      <c r="X2427" s="8" t="e">
        <f>IF(Final_Sans_VGE[[#This Row],[ppn_z]]="","",IFERROR(
   IF(_xlfn.XLOOKUP(Final_Sans_VGE[[#This Row],[ppn_z]],tbl_Historique_Final[ppn_z],tbl_Historique_Final[date_modif])=Final_Sans_VGE[[#This Row],[date_modif]],
      "Ancien",
      "Modifié"),
   "Nouveau"))</f>
        <v>#VALUE!</v>
      </c>
      <c r="AD2427" s="1" t="str">
        <f>IFERROR(IF(Final_Sans_VGE[[#This Row],[ppn_z]]="","",IFERROR(
   IF(_xlfn.XLOOKUP(Final_Sans_VGE[[#This Row],[ppn_z]],tbl_Historique_Final[[#This Row],[ppn_z]],tbl_Historique_Final[[#This Row],[date_modif]])=Final_Sans_VGE[[#This Row],[date_modif]],
      "Ancien",
      "Modifié"),
   "Nouveau")),"")</f>
        <v/>
      </c>
    </row>
    <row r="2428" spans="24:30" x14ac:dyDescent="0.25">
      <c r="X2428" s="8" t="e">
        <f>IF(Final_Sans_VGE[[#This Row],[ppn_z]]="","",IFERROR(
   IF(_xlfn.XLOOKUP(Final_Sans_VGE[[#This Row],[ppn_z]],tbl_Historique_Final[ppn_z],tbl_Historique_Final[date_modif])=Final_Sans_VGE[[#This Row],[date_modif]],
      "Ancien",
      "Modifié"),
   "Nouveau"))</f>
        <v>#VALUE!</v>
      </c>
      <c r="AD2428" s="1" t="str">
        <f>IFERROR(IF(Final_Sans_VGE[[#This Row],[ppn_z]]="","",IFERROR(
   IF(_xlfn.XLOOKUP(Final_Sans_VGE[[#This Row],[ppn_z]],tbl_Historique_Final[[#This Row],[ppn_z]],tbl_Historique_Final[[#This Row],[date_modif]])=Final_Sans_VGE[[#This Row],[date_modif]],
      "Ancien",
      "Modifié"),
   "Nouveau")),"")</f>
        <v/>
      </c>
    </row>
    <row r="2429" spans="24:30" x14ac:dyDescent="0.25">
      <c r="X2429" s="8" t="e">
        <f>IF(Final_Sans_VGE[[#This Row],[ppn_z]]="","",IFERROR(
   IF(_xlfn.XLOOKUP(Final_Sans_VGE[[#This Row],[ppn_z]],tbl_Historique_Final[ppn_z],tbl_Historique_Final[date_modif])=Final_Sans_VGE[[#This Row],[date_modif]],
      "Ancien",
      "Modifié"),
   "Nouveau"))</f>
        <v>#VALUE!</v>
      </c>
      <c r="AD2429" s="1" t="str">
        <f>IFERROR(IF(Final_Sans_VGE[[#This Row],[ppn_z]]="","",IFERROR(
   IF(_xlfn.XLOOKUP(Final_Sans_VGE[[#This Row],[ppn_z]],tbl_Historique_Final[[#This Row],[ppn_z]],tbl_Historique_Final[[#This Row],[date_modif]])=Final_Sans_VGE[[#This Row],[date_modif]],
      "Ancien",
      "Modifié"),
   "Nouveau")),"")</f>
        <v/>
      </c>
    </row>
    <row r="2430" spans="24:30" x14ac:dyDescent="0.25">
      <c r="X2430" s="8" t="e">
        <f>IF(Final_Sans_VGE[[#This Row],[ppn_z]]="","",IFERROR(
   IF(_xlfn.XLOOKUP(Final_Sans_VGE[[#This Row],[ppn_z]],tbl_Historique_Final[ppn_z],tbl_Historique_Final[date_modif])=Final_Sans_VGE[[#This Row],[date_modif]],
      "Ancien",
      "Modifié"),
   "Nouveau"))</f>
        <v>#VALUE!</v>
      </c>
      <c r="AD2430" s="1" t="str">
        <f>IFERROR(IF(Final_Sans_VGE[[#This Row],[ppn_z]]="","",IFERROR(
   IF(_xlfn.XLOOKUP(Final_Sans_VGE[[#This Row],[ppn_z]],tbl_Historique_Final[[#This Row],[ppn_z]],tbl_Historique_Final[[#This Row],[date_modif]])=Final_Sans_VGE[[#This Row],[date_modif]],
      "Ancien",
      "Modifié"),
   "Nouveau")),"")</f>
        <v/>
      </c>
    </row>
    <row r="2431" spans="24:30" x14ac:dyDescent="0.25">
      <c r="X2431" s="8" t="e">
        <f>IF(Final_Sans_VGE[[#This Row],[ppn_z]]="","",IFERROR(
   IF(_xlfn.XLOOKUP(Final_Sans_VGE[[#This Row],[ppn_z]],tbl_Historique_Final[ppn_z],tbl_Historique_Final[date_modif])=Final_Sans_VGE[[#This Row],[date_modif]],
      "Ancien",
      "Modifié"),
   "Nouveau"))</f>
        <v>#VALUE!</v>
      </c>
      <c r="AD2431" s="1" t="str">
        <f>IFERROR(IF(Final_Sans_VGE[[#This Row],[ppn_z]]="","",IFERROR(
   IF(_xlfn.XLOOKUP(Final_Sans_VGE[[#This Row],[ppn_z]],tbl_Historique_Final[[#This Row],[ppn_z]],tbl_Historique_Final[[#This Row],[date_modif]])=Final_Sans_VGE[[#This Row],[date_modif]],
      "Ancien",
      "Modifié"),
   "Nouveau")),"")</f>
        <v/>
      </c>
    </row>
    <row r="2432" spans="24:30" x14ac:dyDescent="0.25">
      <c r="X2432" s="8" t="e">
        <f>IF(Final_Sans_VGE[[#This Row],[ppn_z]]="","",IFERROR(
   IF(_xlfn.XLOOKUP(Final_Sans_VGE[[#This Row],[ppn_z]],tbl_Historique_Final[ppn_z],tbl_Historique_Final[date_modif])=Final_Sans_VGE[[#This Row],[date_modif]],
      "Ancien",
      "Modifié"),
   "Nouveau"))</f>
        <v>#VALUE!</v>
      </c>
      <c r="AD2432" s="1" t="str">
        <f>IFERROR(IF(Final_Sans_VGE[[#This Row],[ppn_z]]="","",IFERROR(
   IF(_xlfn.XLOOKUP(Final_Sans_VGE[[#This Row],[ppn_z]],tbl_Historique_Final[[#This Row],[ppn_z]],tbl_Historique_Final[[#This Row],[date_modif]])=Final_Sans_VGE[[#This Row],[date_modif]],
      "Ancien",
      "Modifié"),
   "Nouveau")),"")</f>
        <v/>
      </c>
    </row>
    <row r="2433" spans="24:30" x14ac:dyDescent="0.25">
      <c r="X2433" s="8" t="e">
        <f>IF(Final_Sans_VGE[[#This Row],[ppn_z]]="","",IFERROR(
   IF(_xlfn.XLOOKUP(Final_Sans_VGE[[#This Row],[ppn_z]],tbl_Historique_Final[ppn_z],tbl_Historique_Final[date_modif])=Final_Sans_VGE[[#This Row],[date_modif]],
      "Ancien",
      "Modifié"),
   "Nouveau"))</f>
        <v>#VALUE!</v>
      </c>
      <c r="AD2433" s="1" t="str">
        <f>IFERROR(IF(Final_Sans_VGE[[#This Row],[ppn_z]]="","",IFERROR(
   IF(_xlfn.XLOOKUP(Final_Sans_VGE[[#This Row],[ppn_z]],tbl_Historique_Final[[#This Row],[ppn_z]],tbl_Historique_Final[[#This Row],[date_modif]])=Final_Sans_VGE[[#This Row],[date_modif]],
      "Ancien",
      "Modifié"),
   "Nouveau")),"")</f>
        <v/>
      </c>
    </row>
    <row r="2434" spans="24:30" x14ac:dyDescent="0.25">
      <c r="X2434" s="8" t="e">
        <f>IF(Final_Sans_VGE[[#This Row],[ppn_z]]="","",IFERROR(
   IF(_xlfn.XLOOKUP(Final_Sans_VGE[[#This Row],[ppn_z]],tbl_Historique_Final[ppn_z],tbl_Historique_Final[date_modif])=Final_Sans_VGE[[#This Row],[date_modif]],
      "Ancien",
      "Modifié"),
   "Nouveau"))</f>
        <v>#VALUE!</v>
      </c>
      <c r="AD2434" s="1" t="str">
        <f>IFERROR(IF(Final_Sans_VGE[[#This Row],[ppn_z]]="","",IFERROR(
   IF(_xlfn.XLOOKUP(Final_Sans_VGE[[#This Row],[ppn_z]],tbl_Historique_Final[[#This Row],[ppn_z]],tbl_Historique_Final[[#This Row],[date_modif]])=Final_Sans_VGE[[#This Row],[date_modif]],
      "Ancien",
      "Modifié"),
   "Nouveau")),"")</f>
        <v/>
      </c>
    </row>
    <row r="2435" spans="24:30" x14ac:dyDescent="0.25">
      <c r="X2435" s="8" t="e">
        <f>IF(Final_Sans_VGE[[#This Row],[ppn_z]]="","",IFERROR(
   IF(_xlfn.XLOOKUP(Final_Sans_VGE[[#This Row],[ppn_z]],tbl_Historique_Final[ppn_z],tbl_Historique_Final[date_modif])=Final_Sans_VGE[[#This Row],[date_modif]],
      "Ancien",
      "Modifié"),
   "Nouveau"))</f>
        <v>#VALUE!</v>
      </c>
      <c r="AD2435" s="1" t="str">
        <f>IFERROR(IF(Final_Sans_VGE[[#This Row],[ppn_z]]="","",IFERROR(
   IF(_xlfn.XLOOKUP(Final_Sans_VGE[[#This Row],[ppn_z]],tbl_Historique_Final[[#This Row],[ppn_z]],tbl_Historique_Final[[#This Row],[date_modif]])=Final_Sans_VGE[[#This Row],[date_modif]],
      "Ancien",
      "Modifié"),
   "Nouveau")),"")</f>
        <v/>
      </c>
    </row>
    <row r="2436" spans="24:30" x14ac:dyDescent="0.25">
      <c r="X2436" s="8" t="e">
        <f>IF(Final_Sans_VGE[[#This Row],[ppn_z]]="","",IFERROR(
   IF(_xlfn.XLOOKUP(Final_Sans_VGE[[#This Row],[ppn_z]],tbl_Historique_Final[ppn_z],tbl_Historique_Final[date_modif])=Final_Sans_VGE[[#This Row],[date_modif]],
      "Ancien",
      "Modifié"),
   "Nouveau"))</f>
        <v>#VALUE!</v>
      </c>
      <c r="AD2436" s="1" t="str">
        <f>IFERROR(IF(Final_Sans_VGE[[#This Row],[ppn_z]]="","",IFERROR(
   IF(_xlfn.XLOOKUP(Final_Sans_VGE[[#This Row],[ppn_z]],tbl_Historique_Final[[#This Row],[ppn_z]],tbl_Historique_Final[[#This Row],[date_modif]])=Final_Sans_VGE[[#This Row],[date_modif]],
      "Ancien",
      "Modifié"),
   "Nouveau")),"")</f>
        <v/>
      </c>
    </row>
    <row r="2437" spans="24:30" x14ac:dyDescent="0.25">
      <c r="X2437" s="8" t="e">
        <f>IF(Final_Sans_VGE[[#This Row],[ppn_z]]="","",IFERROR(
   IF(_xlfn.XLOOKUP(Final_Sans_VGE[[#This Row],[ppn_z]],tbl_Historique_Final[ppn_z],tbl_Historique_Final[date_modif])=Final_Sans_VGE[[#This Row],[date_modif]],
      "Ancien",
      "Modifié"),
   "Nouveau"))</f>
        <v>#VALUE!</v>
      </c>
      <c r="AD2437" s="1" t="str">
        <f>IFERROR(IF(Final_Sans_VGE[[#This Row],[ppn_z]]="","",IFERROR(
   IF(_xlfn.XLOOKUP(Final_Sans_VGE[[#This Row],[ppn_z]],tbl_Historique_Final[[#This Row],[ppn_z]],tbl_Historique_Final[[#This Row],[date_modif]])=Final_Sans_VGE[[#This Row],[date_modif]],
      "Ancien",
      "Modifié"),
   "Nouveau")),"")</f>
        <v/>
      </c>
    </row>
    <row r="2438" spans="24:30" x14ac:dyDescent="0.25">
      <c r="X2438" s="8" t="e">
        <f>IF(Final_Sans_VGE[[#This Row],[ppn_z]]="","",IFERROR(
   IF(_xlfn.XLOOKUP(Final_Sans_VGE[[#This Row],[ppn_z]],tbl_Historique_Final[ppn_z],tbl_Historique_Final[date_modif])=Final_Sans_VGE[[#This Row],[date_modif]],
      "Ancien",
      "Modifié"),
   "Nouveau"))</f>
        <v>#VALUE!</v>
      </c>
      <c r="AD2438" s="1" t="str">
        <f>IFERROR(IF(Final_Sans_VGE[[#This Row],[ppn_z]]="","",IFERROR(
   IF(_xlfn.XLOOKUP(Final_Sans_VGE[[#This Row],[ppn_z]],tbl_Historique_Final[[#This Row],[ppn_z]],tbl_Historique_Final[[#This Row],[date_modif]])=Final_Sans_VGE[[#This Row],[date_modif]],
      "Ancien",
      "Modifié"),
   "Nouveau")),"")</f>
        <v/>
      </c>
    </row>
    <row r="2439" spans="24:30" x14ac:dyDescent="0.25">
      <c r="X2439" s="8" t="e">
        <f>IF(Final_Sans_VGE[[#This Row],[ppn_z]]="","",IFERROR(
   IF(_xlfn.XLOOKUP(Final_Sans_VGE[[#This Row],[ppn_z]],tbl_Historique_Final[ppn_z],tbl_Historique_Final[date_modif])=Final_Sans_VGE[[#This Row],[date_modif]],
      "Ancien",
      "Modifié"),
   "Nouveau"))</f>
        <v>#VALUE!</v>
      </c>
      <c r="AD2439" s="1" t="str">
        <f>IFERROR(IF(Final_Sans_VGE[[#This Row],[ppn_z]]="","",IFERROR(
   IF(_xlfn.XLOOKUP(Final_Sans_VGE[[#This Row],[ppn_z]],tbl_Historique_Final[[#This Row],[ppn_z]],tbl_Historique_Final[[#This Row],[date_modif]])=Final_Sans_VGE[[#This Row],[date_modif]],
      "Ancien",
      "Modifié"),
   "Nouveau")),"")</f>
        <v/>
      </c>
    </row>
    <row r="2440" spans="24:30" x14ac:dyDescent="0.25">
      <c r="X2440" s="8" t="e">
        <f>IF(Final_Sans_VGE[[#This Row],[ppn_z]]="","",IFERROR(
   IF(_xlfn.XLOOKUP(Final_Sans_VGE[[#This Row],[ppn_z]],tbl_Historique_Final[ppn_z],tbl_Historique_Final[date_modif])=Final_Sans_VGE[[#This Row],[date_modif]],
      "Ancien",
      "Modifié"),
   "Nouveau"))</f>
        <v>#VALUE!</v>
      </c>
      <c r="AD2440" s="1" t="str">
        <f>IFERROR(IF(Final_Sans_VGE[[#This Row],[ppn_z]]="","",IFERROR(
   IF(_xlfn.XLOOKUP(Final_Sans_VGE[[#This Row],[ppn_z]],tbl_Historique_Final[[#This Row],[ppn_z]],tbl_Historique_Final[[#This Row],[date_modif]])=Final_Sans_VGE[[#This Row],[date_modif]],
      "Ancien",
      "Modifié"),
   "Nouveau")),"")</f>
        <v/>
      </c>
    </row>
    <row r="2441" spans="24:30" x14ac:dyDescent="0.25">
      <c r="X2441" s="8" t="e">
        <f>IF(Final_Sans_VGE[[#This Row],[ppn_z]]="","",IFERROR(
   IF(_xlfn.XLOOKUP(Final_Sans_VGE[[#This Row],[ppn_z]],tbl_Historique_Final[ppn_z],tbl_Historique_Final[date_modif])=Final_Sans_VGE[[#This Row],[date_modif]],
      "Ancien",
      "Modifié"),
   "Nouveau"))</f>
        <v>#VALUE!</v>
      </c>
      <c r="AD2441" s="1" t="str">
        <f>IFERROR(IF(Final_Sans_VGE[[#This Row],[ppn_z]]="","",IFERROR(
   IF(_xlfn.XLOOKUP(Final_Sans_VGE[[#This Row],[ppn_z]],tbl_Historique_Final[[#This Row],[ppn_z]],tbl_Historique_Final[[#This Row],[date_modif]])=Final_Sans_VGE[[#This Row],[date_modif]],
      "Ancien",
      "Modifié"),
   "Nouveau")),"")</f>
        <v/>
      </c>
    </row>
    <row r="2442" spans="24:30" x14ac:dyDescent="0.25">
      <c r="X2442" s="8" t="e">
        <f>IF(Final_Sans_VGE[[#This Row],[ppn_z]]="","",IFERROR(
   IF(_xlfn.XLOOKUP(Final_Sans_VGE[[#This Row],[ppn_z]],tbl_Historique_Final[ppn_z],tbl_Historique_Final[date_modif])=Final_Sans_VGE[[#This Row],[date_modif]],
      "Ancien",
      "Modifié"),
   "Nouveau"))</f>
        <v>#VALUE!</v>
      </c>
      <c r="AD2442" s="1" t="str">
        <f>IFERROR(IF(Final_Sans_VGE[[#This Row],[ppn_z]]="","",IFERROR(
   IF(_xlfn.XLOOKUP(Final_Sans_VGE[[#This Row],[ppn_z]],tbl_Historique_Final[[#This Row],[ppn_z]],tbl_Historique_Final[[#This Row],[date_modif]])=Final_Sans_VGE[[#This Row],[date_modif]],
      "Ancien",
      "Modifié"),
   "Nouveau")),"")</f>
        <v/>
      </c>
    </row>
    <row r="2443" spans="24:30" x14ac:dyDescent="0.25">
      <c r="X2443" s="8" t="e">
        <f>IF(Final_Sans_VGE[[#This Row],[ppn_z]]="","",IFERROR(
   IF(_xlfn.XLOOKUP(Final_Sans_VGE[[#This Row],[ppn_z]],tbl_Historique_Final[ppn_z],tbl_Historique_Final[date_modif])=Final_Sans_VGE[[#This Row],[date_modif]],
      "Ancien",
      "Modifié"),
   "Nouveau"))</f>
        <v>#VALUE!</v>
      </c>
      <c r="AD2443" s="1" t="str">
        <f>IFERROR(IF(Final_Sans_VGE[[#This Row],[ppn_z]]="","",IFERROR(
   IF(_xlfn.XLOOKUP(Final_Sans_VGE[[#This Row],[ppn_z]],tbl_Historique_Final[[#This Row],[ppn_z]],tbl_Historique_Final[[#This Row],[date_modif]])=Final_Sans_VGE[[#This Row],[date_modif]],
      "Ancien",
      "Modifié"),
   "Nouveau")),"")</f>
        <v/>
      </c>
    </row>
    <row r="2444" spans="24:30" x14ac:dyDescent="0.25">
      <c r="X2444" s="8" t="e">
        <f>IF(Final_Sans_VGE[[#This Row],[ppn_z]]="","",IFERROR(
   IF(_xlfn.XLOOKUP(Final_Sans_VGE[[#This Row],[ppn_z]],tbl_Historique_Final[ppn_z],tbl_Historique_Final[date_modif])=Final_Sans_VGE[[#This Row],[date_modif]],
      "Ancien",
      "Modifié"),
   "Nouveau"))</f>
        <v>#VALUE!</v>
      </c>
      <c r="AD2444" s="1" t="str">
        <f>IFERROR(IF(Final_Sans_VGE[[#This Row],[ppn_z]]="","",IFERROR(
   IF(_xlfn.XLOOKUP(Final_Sans_VGE[[#This Row],[ppn_z]],tbl_Historique_Final[[#This Row],[ppn_z]],tbl_Historique_Final[[#This Row],[date_modif]])=Final_Sans_VGE[[#This Row],[date_modif]],
      "Ancien",
      "Modifié"),
   "Nouveau")),"")</f>
        <v/>
      </c>
    </row>
    <row r="2445" spans="24:30" x14ac:dyDescent="0.25">
      <c r="X2445" s="8" t="e">
        <f>IF(Final_Sans_VGE[[#This Row],[ppn_z]]="","",IFERROR(
   IF(_xlfn.XLOOKUP(Final_Sans_VGE[[#This Row],[ppn_z]],tbl_Historique_Final[ppn_z],tbl_Historique_Final[date_modif])=Final_Sans_VGE[[#This Row],[date_modif]],
      "Ancien",
      "Modifié"),
   "Nouveau"))</f>
        <v>#VALUE!</v>
      </c>
      <c r="AD2445" s="1" t="str">
        <f>IFERROR(IF(Final_Sans_VGE[[#This Row],[ppn_z]]="","",IFERROR(
   IF(_xlfn.XLOOKUP(Final_Sans_VGE[[#This Row],[ppn_z]],tbl_Historique_Final[[#This Row],[ppn_z]],tbl_Historique_Final[[#This Row],[date_modif]])=Final_Sans_VGE[[#This Row],[date_modif]],
      "Ancien",
      "Modifié"),
   "Nouveau")),"")</f>
        <v/>
      </c>
    </row>
    <row r="2446" spans="24:30" x14ac:dyDescent="0.25">
      <c r="X2446" s="8" t="e">
        <f>IF(Final_Sans_VGE[[#This Row],[ppn_z]]="","",IFERROR(
   IF(_xlfn.XLOOKUP(Final_Sans_VGE[[#This Row],[ppn_z]],tbl_Historique_Final[ppn_z],tbl_Historique_Final[date_modif])=Final_Sans_VGE[[#This Row],[date_modif]],
      "Ancien",
      "Modifié"),
   "Nouveau"))</f>
        <v>#VALUE!</v>
      </c>
      <c r="AD2446" s="1" t="str">
        <f>IFERROR(IF(Final_Sans_VGE[[#This Row],[ppn_z]]="","",IFERROR(
   IF(_xlfn.XLOOKUP(Final_Sans_VGE[[#This Row],[ppn_z]],tbl_Historique_Final[[#This Row],[ppn_z]],tbl_Historique_Final[[#This Row],[date_modif]])=Final_Sans_VGE[[#This Row],[date_modif]],
      "Ancien",
      "Modifié"),
   "Nouveau")),"")</f>
        <v/>
      </c>
    </row>
    <row r="2447" spans="24:30" x14ac:dyDescent="0.25">
      <c r="X2447" s="8" t="e">
        <f>IF(Final_Sans_VGE[[#This Row],[ppn_z]]="","",IFERROR(
   IF(_xlfn.XLOOKUP(Final_Sans_VGE[[#This Row],[ppn_z]],tbl_Historique_Final[ppn_z],tbl_Historique_Final[date_modif])=Final_Sans_VGE[[#This Row],[date_modif]],
      "Ancien",
      "Modifié"),
   "Nouveau"))</f>
        <v>#VALUE!</v>
      </c>
      <c r="AD2447" s="1" t="str">
        <f>IFERROR(IF(Final_Sans_VGE[[#This Row],[ppn_z]]="","",IFERROR(
   IF(_xlfn.XLOOKUP(Final_Sans_VGE[[#This Row],[ppn_z]],tbl_Historique_Final[[#This Row],[ppn_z]],tbl_Historique_Final[[#This Row],[date_modif]])=Final_Sans_VGE[[#This Row],[date_modif]],
      "Ancien",
      "Modifié"),
   "Nouveau")),"")</f>
        <v/>
      </c>
    </row>
    <row r="2448" spans="24:30" x14ac:dyDescent="0.25">
      <c r="X2448" s="8" t="e">
        <f>IF(Final_Sans_VGE[[#This Row],[ppn_z]]="","",IFERROR(
   IF(_xlfn.XLOOKUP(Final_Sans_VGE[[#This Row],[ppn_z]],tbl_Historique_Final[ppn_z],tbl_Historique_Final[date_modif])=Final_Sans_VGE[[#This Row],[date_modif]],
      "Ancien",
      "Modifié"),
   "Nouveau"))</f>
        <v>#VALUE!</v>
      </c>
      <c r="AD2448" s="1" t="str">
        <f>IFERROR(IF(Final_Sans_VGE[[#This Row],[ppn_z]]="","",IFERROR(
   IF(_xlfn.XLOOKUP(Final_Sans_VGE[[#This Row],[ppn_z]],tbl_Historique_Final[[#This Row],[ppn_z]],tbl_Historique_Final[[#This Row],[date_modif]])=Final_Sans_VGE[[#This Row],[date_modif]],
      "Ancien",
      "Modifié"),
   "Nouveau")),"")</f>
        <v/>
      </c>
    </row>
    <row r="2449" spans="24:30" x14ac:dyDescent="0.25">
      <c r="X2449" s="8" t="e">
        <f>IF(Final_Sans_VGE[[#This Row],[ppn_z]]="","",IFERROR(
   IF(_xlfn.XLOOKUP(Final_Sans_VGE[[#This Row],[ppn_z]],tbl_Historique_Final[ppn_z],tbl_Historique_Final[date_modif])=Final_Sans_VGE[[#This Row],[date_modif]],
      "Ancien",
      "Modifié"),
   "Nouveau"))</f>
        <v>#VALUE!</v>
      </c>
      <c r="AD2449" s="1" t="str">
        <f>IFERROR(IF(Final_Sans_VGE[[#This Row],[ppn_z]]="","",IFERROR(
   IF(_xlfn.XLOOKUP(Final_Sans_VGE[[#This Row],[ppn_z]],tbl_Historique_Final[[#This Row],[ppn_z]],tbl_Historique_Final[[#This Row],[date_modif]])=Final_Sans_VGE[[#This Row],[date_modif]],
      "Ancien",
      "Modifié"),
   "Nouveau")),"")</f>
        <v/>
      </c>
    </row>
    <row r="2450" spans="24:30" x14ac:dyDescent="0.25">
      <c r="X2450" s="8" t="e">
        <f>IF(Final_Sans_VGE[[#This Row],[ppn_z]]="","",IFERROR(
   IF(_xlfn.XLOOKUP(Final_Sans_VGE[[#This Row],[ppn_z]],tbl_Historique_Final[ppn_z],tbl_Historique_Final[date_modif])=Final_Sans_VGE[[#This Row],[date_modif]],
      "Ancien",
      "Modifié"),
   "Nouveau"))</f>
        <v>#VALUE!</v>
      </c>
      <c r="AD2450" s="1" t="str">
        <f>IFERROR(IF(Final_Sans_VGE[[#This Row],[ppn_z]]="","",IFERROR(
   IF(_xlfn.XLOOKUP(Final_Sans_VGE[[#This Row],[ppn_z]],tbl_Historique_Final[[#This Row],[ppn_z]],tbl_Historique_Final[[#This Row],[date_modif]])=Final_Sans_VGE[[#This Row],[date_modif]],
      "Ancien",
      "Modifié"),
   "Nouveau")),"")</f>
        <v/>
      </c>
    </row>
    <row r="2451" spans="24:30" x14ac:dyDescent="0.25">
      <c r="X2451" s="8" t="e">
        <f>IF(Final_Sans_VGE[[#This Row],[ppn_z]]="","",IFERROR(
   IF(_xlfn.XLOOKUP(Final_Sans_VGE[[#This Row],[ppn_z]],tbl_Historique_Final[ppn_z],tbl_Historique_Final[date_modif])=Final_Sans_VGE[[#This Row],[date_modif]],
      "Ancien",
      "Modifié"),
   "Nouveau"))</f>
        <v>#VALUE!</v>
      </c>
      <c r="AD2451" s="1" t="str">
        <f>IFERROR(IF(Final_Sans_VGE[[#This Row],[ppn_z]]="","",IFERROR(
   IF(_xlfn.XLOOKUP(Final_Sans_VGE[[#This Row],[ppn_z]],tbl_Historique_Final[[#This Row],[ppn_z]],tbl_Historique_Final[[#This Row],[date_modif]])=Final_Sans_VGE[[#This Row],[date_modif]],
      "Ancien",
      "Modifié"),
   "Nouveau")),"")</f>
        <v/>
      </c>
    </row>
    <row r="2452" spans="24:30" x14ac:dyDescent="0.25">
      <c r="X2452" s="8" t="e">
        <f>IF(Final_Sans_VGE[[#This Row],[ppn_z]]="","",IFERROR(
   IF(_xlfn.XLOOKUP(Final_Sans_VGE[[#This Row],[ppn_z]],tbl_Historique_Final[ppn_z],tbl_Historique_Final[date_modif])=Final_Sans_VGE[[#This Row],[date_modif]],
      "Ancien",
      "Modifié"),
   "Nouveau"))</f>
        <v>#VALUE!</v>
      </c>
      <c r="AD2452" s="1" t="str">
        <f>IFERROR(IF(Final_Sans_VGE[[#This Row],[ppn_z]]="","",IFERROR(
   IF(_xlfn.XLOOKUP(Final_Sans_VGE[[#This Row],[ppn_z]],tbl_Historique_Final[[#This Row],[ppn_z]],tbl_Historique_Final[[#This Row],[date_modif]])=Final_Sans_VGE[[#This Row],[date_modif]],
      "Ancien",
      "Modifié"),
   "Nouveau")),"")</f>
        <v/>
      </c>
    </row>
    <row r="2453" spans="24:30" x14ac:dyDescent="0.25">
      <c r="X2453" s="8" t="e">
        <f>IF(Final_Sans_VGE[[#This Row],[ppn_z]]="","",IFERROR(
   IF(_xlfn.XLOOKUP(Final_Sans_VGE[[#This Row],[ppn_z]],tbl_Historique_Final[ppn_z],tbl_Historique_Final[date_modif])=Final_Sans_VGE[[#This Row],[date_modif]],
      "Ancien",
      "Modifié"),
   "Nouveau"))</f>
        <v>#VALUE!</v>
      </c>
      <c r="AD2453" s="1" t="str">
        <f>IFERROR(IF(Final_Sans_VGE[[#This Row],[ppn_z]]="","",IFERROR(
   IF(_xlfn.XLOOKUP(Final_Sans_VGE[[#This Row],[ppn_z]],tbl_Historique_Final[[#This Row],[ppn_z]],tbl_Historique_Final[[#This Row],[date_modif]])=Final_Sans_VGE[[#This Row],[date_modif]],
      "Ancien",
      "Modifié"),
   "Nouveau")),"")</f>
        <v/>
      </c>
    </row>
    <row r="2454" spans="24:30" x14ac:dyDescent="0.25">
      <c r="X2454" s="8" t="e">
        <f>IF(Final_Sans_VGE[[#This Row],[ppn_z]]="","",IFERROR(
   IF(_xlfn.XLOOKUP(Final_Sans_VGE[[#This Row],[ppn_z]],tbl_Historique_Final[ppn_z],tbl_Historique_Final[date_modif])=Final_Sans_VGE[[#This Row],[date_modif]],
      "Ancien",
      "Modifié"),
   "Nouveau"))</f>
        <v>#VALUE!</v>
      </c>
      <c r="AD2454" s="1" t="str">
        <f>IFERROR(IF(Final_Sans_VGE[[#This Row],[ppn_z]]="","",IFERROR(
   IF(_xlfn.XLOOKUP(Final_Sans_VGE[[#This Row],[ppn_z]],tbl_Historique_Final[[#This Row],[ppn_z]],tbl_Historique_Final[[#This Row],[date_modif]])=Final_Sans_VGE[[#This Row],[date_modif]],
      "Ancien",
      "Modifié"),
   "Nouveau")),"")</f>
        <v/>
      </c>
    </row>
    <row r="2455" spans="24:30" x14ac:dyDescent="0.25">
      <c r="X2455" s="8" t="e">
        <f>IF(Final_Sans_VGE[[#This Row],[ppn_z]]="","",IFERROR(
   IF(_xlfn.XLOOKUP(Final_Sans_VGE[[#This Row],[ppn_z]],tbl_Historique_Final[ppn_z],tbl_Historique_Final[date_modif])=Final_Sans_VGE[[#This Row],[date_modif]],
      "Ancien",
      "Modifié"),
   "Nouveau"))</f>
        <v>#VALUE!</v>
      </c>
      <c r="AD2455" s="1" t="str">
        <f>IFERROR(IF(Final_Sans_VGE[[#This Row],[ppn_z]]="","",IFERROR(
   IF(_xlfn.XLOOKUP(Final_Sans_VGE[[#This Row],[ppn_z]],tbl_Historique_Final[[#This Row],[ppn_z]],tbl_Historique_Final[[#This Row],[date_modif]])=Final_Sans_VGE[[#This Row],[date_modif]],
      "Ancien",
      "Modifié"),
   "Nouveau")),"")</f>
        <v/>
      </c>
    </row>
    <row r="2456" spans="24:30" x14ac:dyDescent="0.25">
      <c r="X2456" s="8" t="e">
        <f>IF(Final_Sans_VGE[[#This Row],[ppn_z]]="","",IFERROR(
   IF(_xlfn.XLOOKUP(Final_Sans_VGE[[#This Row],[ppn_z]],tbl_Historique_Final[ppn_z],tbl_Historique_Final[date_modif])=Final_Sans_VGE[[#This Row],[date_modif]],
      "Ancien",
      "Modifié"),
   "Nouveau"))</f>
        <v>#VALUE!</v>
      </c>
      <c r="AD2456" s="1" t="str">
        <f>IFERROR(IF(Final_Sans_VGE[[#This Row],[ppn_z]]="","",IFERROR(
   IF(_xlfn.XLOOKUP(Final_Sans_VGE[[#This Row],[ppn_z]],tbl_Historique_Final[[#This Row],[ppn_z]],tbl_Historique_Final[[#This Row],[date_modif]])=Final_Sans_VGE[[#This Row],[date_modif]],
      "Ancien",
      "Modifié"),
   "Nouveau")),"")</f>
        <v/>
      </c>
    </row>
    <row r="2457" spans="24:30" x14ac:dyDescent="0.25">
      <c r="X2457" s="8" t="e">
        <f>IF(Final_Sans_VGE[[#This Row],[ppn_z]]="","",IFERROR(
   IF(_xlfn.XLOOKUP(Final_Sans_VGE[[#This Row],[ppn_z]],tbl_Historique_Final[ppn_z],tbl_Historique_Final[date_modif])=Final_Sans_VGE[[#This Row],[date_modif]],
      "Ancien",
      "Modifié"),
   "Nouveau"))</f>
        <v>#VALUE!</v>
      </c>
      <c r="AD2457" s="1" t="str">
        <f>IFERROR(IF(Final_Sans_VGE[[#This Row],[ppn_z]]="","",IFERROR(
   IF(_xlfn.XLOOKUP(Final_Sans_VGE[[#This Row],[ppn_z]],tbl_Historique_Final[[#This Row],[ppn_z]],tbl_Historique_Final[[#This Row],[date_modif]])=Final_Sans_VGE[[#This Row],[date_modif]],
      "Ancien",
      "Modifié"),
   "Nouveau")),"")</f>
        <v/>
      </c>
    </row>
    <row r="2458" spans="24:30" x14ac:dyDescent="0.25">
      <c r="X2458" s="8" t="e">
        <f>IF(Final_Sans_VGE[[#This Row],[ppn_z]]="","",IFERROR(
   IF(_xlfn.XLOOKUP(Final_Sans_VGE[[#This Row],[ppn_z]],tbl_Historique_Final[ppn_z],tbl_Historique_Final[date_modif])=Final_Sans_VGE[[#This Row],[date_modif]],
      "Ancien",
      "Modifié"),
   "Nouveau"))</f>
        <v>#VALUE!</v>
      </c>
      <c r="AD2458" s="1" t="str">
        <f>IFERROR(IF(Final_Sans_VGE[[#This Row],[ppn_z]]="","",IFERROR(
   IF(_xlfn.XLOOKUP(Final_Sans_VGE[[#This Row],[ppn_z]],tbl_Historique_Final[[#This Row],[ppn_z]],tbl_Historique_Final[[#This Row],[date_modif]])=Final_Sans_VGE[[#This Row],[date_modif]],
      "Ancien",
      "Modifié"),
   "Nouveau")),"")</f>
        <v/>
      </c>
    </row>
    <row r="2459" spans="24:30" x14ac:dyDescent="0.25">
      <c r="X2459" s="8" t="e">
        <f>IF(Final_Sans_VGE[[#This Row],[ppn_z]]="","",IFERROR(
   IF(_xlfn.XLOOKUP(Final_Sans_VGE[[#This Row],[ppn_z]],tbl_Historique_Final[ppn_z],tbl_Historique_Final[date_modif])=Final_Sans_VGE[[#This Row],[date_modif]],
      "Ancien",
      "Modifié"),
   "Nouveau"))</f>
        <v>#VALUE!</v>
      </c>
      <c r="AD2459" s="1" t="str">
        <f>IFERROR(IF(Final_Sans_VGE[[#This Row],[ppn_z]]="","",IFERROR(
   IF(_xlfn.XLOOKUP(Final_Sans_VGE[[#This Row],[ppn_z]],tbl_Historique_Final[[#This Row],[ppn_z]],tbl_Historique_Final[[#This Row],[date_modif]])=Final_Sans_VGE[[#This Row],[date_modif]],
      "Ancien",
      "Modifié"),
   "Nouveau")),"")</f>
        <v/>
      </c>
    </row>
    <row r="2460" spans="24:30" x14ac:dyDescent="0.25">
      <c r="X2460" s="8" t="e">
        <f>IF(Final_Sans_VGE[[#This Row],[ppn_z]]="","",IFERROR(
   IF(_xlfn.XLOOKUP(Final_Sans_VGE[[#This Row],[ppn_z]],tbl_Historique_Final[ppn_z],tbl_Historique_Final[date_modif])=Final_Sans_VGE[[#This Row],[date_modif]],
      "Ancien",
      "Modifié"),
   "Nouveau"))</f>
        <v>#VALUE!</v>
      </c>
      <c r="AD2460" s="1" t="str">
        <f>IFERROR(IF(Final_Sans_VGE[[#This Row],[ppn_z]]="","",IFERROR(
   IF(_xlfn.XLOOKUP(Final_Sans_VGE[[#This Row],[ppn_z]],tbl_Historique_Final[[#This Row],[ppn_z]],tbl_Historique_Final[[#This Row],[date_modif]])=Final_Sans_VGE[[#This Row],[date_modif]],
      "Ancien",
      "Modifié"),
   "Nouveau")),"")</f>
        <v/>
      </c>
    </row>
    <row r="2461" spans="24:30" x14ac:dyDescent="0.25">
      <c r="X2461" s="8" t="e">
        <f>IF(Final_Sans_VGE[[#This Row],[ppn_z]]="","",IFERROR(
   IF(_xlfn.XLOOKUP(Final_Sans_VGE[[#This Row],[ppn_z]],tbl_Historique_Final[ppn_z],tbl_Historique_Final[date_modif])=Final_Sans_VGE[[#This Row],[date_modif]],
      "Ancien",
      "Modifié"),
   "Nouveau"))</f>
        <v>#VALUE!</v>
      </c>
      <c r="AD2461" s="1" t="str">
        <f>IFERROR(IF(Final_Sans_VGE[[#This Row],[ppn_z]]="","",IFERROR(
   IF(_xlfn.XLOOKUP(Final_Sans_VGE[[#This Row],[ppn_z]],tbl_Historique_Final[[#This Row],[ppn_z]],tbl_Historique_Final[[#This Row],[date_modif]])=Final_Sans_VGE[[#This Row],[date_modif]],
      "Ancien",
      "Modifié"),
   "Nouveau")),"")</f>
        <v/>
      </c>
    </row>
    <row r="2462" spans="24:30" x14ac:dyDescent="0.25">
      <c r="X2462" s="8" t="e">
        <f>IF(Final_Sans_VGE[[#This Row],[ppn_z]]="","",IFERROR(
   IF(_xlfn.XLOOKUP(Final_Sans_VGE[[#This Row],[ppn_z]],tbl_Historique_Final[ppn_z],tbl_Historique_Final[date_modif])=Final_Sans_VGE[[#This Row],[date_modif]],
      "Ancien",
      "Modifié"),
   "Nouveau"))</f>
        <v>#VALUE!</v>
      </c>
      <c r="AD2462" s="1" t="str">
        <f>IFERROR(IF(Final_Sans_VGE[[#This Row],[ppn_z]]="","",IFERROR(
   IF(_xlfn.XLOOKUP(Final_Sans_VGE[[#This Row],[ppn_z]],tbl_Historique_Final[[#This Row],[ppn_z]],tbl_Historique_Final[[#This Row],[date_modif]])=Final_Sans_VGE[[#This Row],[date_modif]],
      "Ancien",
      "Modifié"),
   "Nouveau")),"")</f>
        <v/>
      </c>
    </row>
    <row r="2463" spans="24:30" x14ac:dyDescent="0.25">
      <c r="X2463" s="8" t="e">
        <f>IF(Final_Sans_VGE[[#This Row],[ppn_z]]="","",IFERROR(
   IF(_xlfn.XLOOKUP(Final_Sans_VGE[[#This Row],[ppn_z]],tbl_Historique_Final[ppn_z],tbl_Historique_Final[date_modif])=Final_Sans_VGE[[#This Row],[date_modif]],
      "Ancien",
      "Modifié"),
   "Nouveau"))</f>
        <v>#VALUE!</v>
      </c>
      <c r="AD2463" s="1" t="str">
        <f>IFERROR(IF(Final_Sans_VGE[[#This Row],[ppn_z]]="","",IFERROR(
   IF(_xlfn.XLOOKUP(Final_Sans_VGE[[#This Row],[ppn_z]],tbl_Historique_Final[[#This Row],[ppn_z]],tbl_Historique_Final[[#This Row],[date_modif]])=Final_Sans_VGE[[#This Row],[date_modif]],
      "Ancien",
      "Modifié"),
   "Nouveau")),"")</f>
        <v/>
      </c>
    </row>
    <row r="2464" spans="24:30" x14ac:dyDescent="0.25">
      <c r="X2464" s="8" t="e">
        <f>IF(Final_Sans_VGE[[#This Row],[ppn_z]]="","",IFERROR(
   IF(_xlfn.XLOOKUP(Final_Sans_VGE[[#This Row],[ppn_z]],tbl_Historique_Final[ppn_z],tbl_Historique_Final[date_modif])=Final_Sans_VGE[[#This Row],[date_modif]],
      "Ancien",
      "Modifié"),
   "Nouveau"))</f>
        <v>#VALUE!</v>
      </c>
      <c r="AD2464" s="1" t="str">
        <f>IFERROR(IF(Final_Sans_VGE[[#This Row],[ppn_z]]="","",IFERROR(
   IF(_xlfn.XLOOKUP(Final_Sans_VGE[[#This Row],[ppn_z]],tbl_Historique_Final[[#This Row],[ppn_z]],tbl_Historique_Final[[#This Row],[date_modif]])=Final_Sans_VGE[[#This Row],[date_modif]],
      "Ancien",
      "Modifié"),
   "Nouveau")),"")</f>
        <v/>
      </c>
    </row>
    <row r="2465" spans="24:30" x14ac:dyDescent="0.25">
      <c r="X2465" s="8" t="e">
        <f>IF(Final_Sans_VGE[[#This Row],[ppn_z]]="","",IFERROR(
   IF(_xlfn.XLOOKUP(Final_Sans_VGE[[#This Row],[ppn_z]],tbl_Historique_Final[ppn_z],tbl_Historique_Final[date_modif])=Final_Sans_VGE[[#This Row],[date_modif]],
      "Ancien",
      "Modifié"),
   "Nouveau"))</f>
        <v>#VALUE!</v>
      </c>
      <c r="AD2465" s="1" t="str">
        <f>IFERROR(IF(Final_Sans_VGE[[#This Row],[ppn_z]]="","",IFERROR(
   IF(_xlfn.XLOOKUP(Final_Sans_VGE[[#This Row],[ppn_z]],tbl_Historique_Final[[#This Row],[ppn_z]],tbl_Historique_Final[[#This Row],[date_modif]])=Final_Sans_VGE[[#This Row],[date_modif]],
      "Ancien",
      "Modifié"),
   "Nouveau")),"")</f>
        <v/>
      </c>
    </row>
    <row r="2466" spans="24:30" x14ac:dyDescent="0.25">
      <c r="X2466" s="8" t="e">
        <f>IF(Final_Sans_VGE[[#This Row],[ppn_z]]="","",IFERROR(
   IF(_xlfn.XLOOKUP(Final_Sans_VGE[[#This Row],[ppn_z]],tbl_Historique_Final[ppn_z],tbl_Historique_Final[date_modif])=Final_Sans_VGE[[#This Row],[date_modif]],
      "Ancien",
      "Modifié"),
   "Nouveau"))</f>
        <v>#VALUE!</v>
      </c>
      <c r="AD2466" s="1" t="str">
        <f>IFERROR(IF(Final_Sans_VGE[[#This Row],[ppn_z]]="","",IFERROR(
   IF(_xlfn.XLOOKUP(Final_Sans_VGE[[#This Row],[ppn_z]],tbl_Historique_Final[[#This Row],[ppn_z]],tbl_Historique_Final[[#This Row],[date_modif]])=Final_Sans_VGE[[#This Row],[date_modif]],
      "Ancien",
      "Modifié"),
   "Nouveau")),"")</f>
        <v/>
      </c>
    </row>
    <row r="2467" spans="24:30" x14ac:dyDescent="0.25">
      <c r="X2467" s="8" t="e">
        <f>IF(Final_Sans_VGE[[#This Row],[ppn_z]]="","",IFERROR(
   IF(_xlfn.XLOOKUP(Final_Sans_VGE[[#This Row],[ppn_z]],tbl_Historique_Final[ppn_z],tbl_Historique_Final[date_modif])=Final_Sans_VGE[[#This Row],[date_modif]],
      "Ancien",
      "Modifié"),
   "Nouveau"))</f>
        <v>#VALUE!</v>
      </c>
      <c r="AD2467" s="1" t="str">
        <f>IFERROR(IF(Final_Sans_VGE[[#This Row],[ppn_z]]="","",IFERROR(
   IF(_xlfn.XLOOKUP(Final_Sans_VGE[[#This Row],[ppn_z]],tbl_Historique_Final[[#This Row],[ppn_z]],tbl_Historique_Final[[#This Row],[date_modif]])=Final_Sans_VGE[[#This Row],[date_modif]],
      "Ancien",
      "Modifié"),
   "Nouveau")),"")</f>
        <v/>
      </c>
    </row>
    <row r="2468" spans="24:30" x14ac:dyDescent="0.25">
      <c r="X2468" s="8" t="e">
        <f>IF(Final_Sans_VGE[[#This Row],[ppn_z]]="","",IFERROR(
   IF(_xlfn.XLOOKUP(Final_Sans_VGE[[#This Row],[ppn_z]],tbl_Historique_Final[ppn_z],tbl_Historique_Final[date_modif])=Final_Sans_VGE[[#This Row],[date_modif]],
      "Ancien",
      "Modifié"),
   "Nouveau"))</f>
        <v>#VALUE!</v>
      </c>
      <c r="AD2468" s="1" t="str">
        <f>IFERROR(IF(Final_Sans_VGE[[#This Row],[ppn_z]]="","",IFERROR(
   IF(_xlfn.XLOOKUP(Final_Sans_VGE[[#This Row],[ppn_z]],tbl_Historique_Final[[#This Row],[ppn_z]],tbl_Historique_Final[[#This Row],[date_modif]])=Final_Sans_VGE[[#This Row],[date_modif]],
      "Ancien",
      "Modifié"),
   "Nouveau")),"")</f>
        <v/>
      </c>
    </row>
    <row r="2469" spans="24:30" x14ac:dyDescent="0.25">
      <c r="X2469" s="8" t="e">
        <f>IF(Final_Sans_VGE[[#This Row],[ppn_z]]="","",IFERROR(
   IF(_xlfn.XLOOKUP(Final_Sans_VGE[[#This Row],[ppn_z]],tbl_Historique_Final[ppn_z],tbl_Historique_Final[date_modif])=Final_Sans_VGE[[#This Row],[date_modif]],
      "Ancien",
      "Modifié"),
   "Nouveau"))</f>
        <v>#VALUE!</v>
      </c>
      <c r="AD2469" s="1" t="str">
        <f>IFERROR(IF(Final_Sans_VGE[[#This Row],[ppn_z]]="","",IFERROR(
   IF(_xlfn.XLOOKUP(Final_Sans_VGE[[#This Row],[ppn_z]],tbl_Historique_Final[[#This Row],[ppn_z]],tbl_Historique_Final[[#This Row],[date_modif]])=Final_Sans_VGE[[#This Row],[date_modif]],
      "Ancien",
      "Modifié"),
   "Nouveau")),"")</f>
        <v/>
      </c>
    </row>
    <row r="2470" spans="24:30" x14ac:dyDescent="0.25">
      <c r="X2470" s="8" t="e">
        <f>IF(Final_Sans_VGE[[#This Row],[ppn_z]]="","",IFERROR(
   IF(_xlfn.XLOOKUP(Final_Sans_VGE[[#This Row],[ppn_z]],tbl_Historique_Final[ppn_z],tbl_Historique_Final[date_modif])=Final_Sans_VGE[[#This Row],[date_modif]],
      "Ancien",
      "Modifié"),
   "Nouveau"))</f>
        <v>#VALUE!</v>
      </c>
      <c r="AD2470" s="1" t="str">
        <f>IFERROR(IF(Final_Sans_VGE[[#This Row],[ppn_z]]="","",IFERROR(
   IF(_xlfn.XLOOKUP(Final_Sans_VGE[[#This Row],[ppn_z]],tbl_Historique_Final[[#This Row],[ppn_z]],tbl_Historique_Final[[#This Row],[date_modif]])=Final_Sans_VGE[[#This Row],[date_modif]],
      "Ancien",
      "Modifié"),
   "Nouveau")),"")</f>
        <v/>
      </c>
    </row>
    <row r="2471" spans="24:30" x14ac:dyDescent="0.25">
      <c r="X2471" s="8" t="e">
        <f>IF(Final_Sans_VGE[[#This Row],[ppn_z]]="","",IFERROR(
   IF(_xlfn.XLOOKUP(Final_Sans_VGE[[#This Row],[ppn_z]],tbl_Historique_Final[ppn_z],tbl_Historique_Final[date_modif])=Final_Sans_VGE[[#This Row],[date_modif]],
      "Ancien",
      "Modifié"),
   "Nouveau"))</f>
        <v>#VALUE!</v>
      </c>
      <c r="AD2471" s="1" t="str">
        <f>IFERROR(IF(Final_Sans_VGE[[#This Row],[ppn_z]]="","",IFERROR(
   IF(_xlfn.XLOOKUP(Final_Sans_VGE[[#This Row],[ppn_z]],tbl_Historique_Final[[#This Row],[ppn_z]],tbl_Historique_Final[[#This Row],[date_modif]])=Final_Sans_VGE[[#This Row],[date_modif]],
      "Ancien",
      "Modifié"),
   "Nouveau")),"")</f>
        <v/>
      </c>
    </row>
    <row r="2472" spans="24:30" x14ac:dyDescent="0.25">
      <c r="X2472" s="8" t="e">
        <f>IF(Final_Sans_VGE[[#This Row],[ppn_z]]="","",IFERROR(
   IF(_xlfn.XLOOKUP(Final_Sans_VGE[[#This Row],[ppn_z]],tbl_Historique_Final[ppn_z],tbl_Historique_Final[date_modif])=Final_Sans_VGE[[#This Row],[date_modif]],
      "Ancien",
      "Modifié"),
   "Nouveau"))</f>
        <v>#VALUE!</v>
      </c>
      <c r="AD2472" s="1" t="str">
        <f>IFERROR(IF(Final_Sans_VGE[[#This Row],[ppn_z]]="","",IFERROR(
   IF(_xlfn.XLOOKUP(Final_Sans_VGE[[#This Row],[ppn_z]],tbl_Historique_Final[[#This Row],[ppn_z]],tbl_Historique_Final[[#This Row],[date_modif]])=Final_Sans_VGE[[#This Row],[date_modif]],
      "Ancien",
      "Modifié"),
   "Nouveau")),"")</f>
        <v/>
      </c>
    </row>
    <row r="2473" spans="24:30" x14ac:dyDescent="0.25">
      <c r="X2473" s="8" t="e">
        <f>IF(Final_Sans_VGE[[#This Row],[ppn_z]]="","",IFERROR(
   IF(_xlfn.XLOOKUP(Final_Sans_VGE[[#This Row],[ppn_z]],tbl_Historique_Final[ppn_z],tbl_Historique_Final[date_modif])=Final_Sans_VGE[[#This Row],[date_modif]],
      "Ancien",
      "Modifié"),
   "Nouveau"))</f>
        <v>#VALUE!</v>
      </c>
      <c r="AD2473" s="1" t="str">
        <f>IFERROR(IF(Final_Sans_VGE[[#This Row],[ppn_z]]="","",IFERROR(
   IF(_xlfn.XLOOKUP(Final_Sans_VGE[[#This Row],[ppn_z]],tbl_Historique_Final[[#This Row],[ppn_z]],tbl_Historique_Final[[#This Row],[date_modif]])=Final_Sans_VGE[[#This Row],[date_modif]],
      "Ancien",
      "Modifié"),
   "Nouveau")),"")</f>
        <v/>
      </c>
    </row>
    <row r="2474" spans="24:30" x14ac:dyDescent="0.25">
      <c r="X2474" s="8" t="e">
        <f>IF(Final_Sans_VGE[[#This Row],[ppn_z]]="","",IFERROR(
   IF(_xlfn.XLOOKUP(Final_Sans_VGE[[#This Row],[ppn_z]],tbl_Historique_Final[ppn_z],tbl_Historique_Final[date_modif])=Final_Sans_VGE[[#This Row],[date_modif]],
      "Ancien",
      "Modifié"),
   "Nouveau"))</f>
        <v>#VALUE!</v>
      </c>
      <c r="AD2474" s="1" t="str">
        <f>IFERROR(IF(Final_Sans_VGE[[#This Row],[ppn_z]]="","",IFERROR(
   IF(_xlfn.XLOOKUP(Final_Sans_VGE[[#This Row],[ppn_z]],tbl_Historique_Final[[#This Row],[ppn_z]],tbl_Historique_Final[[#This Row],[date_modif]])=Final_Sans_VGE[[#This Row],[date_modif]],
      "Ancien",
      "Modifié"),
   "Nouveau")),"")</f>
        <v/>
      </c>
    </row>
    <row r="2475" spans="24:30" x14ac:dyDescent="0.25">
      <c r="X2475" s="8" t="e">
        <f>IF(Final_Sans_VGE[[#This Row],[ppn_z]]="","",IFERROR(
   IF(_xlfn.XLOOKUP(Final_Sans_VGE[[#This Row],[ppn_z]],tbl_Historique_Final[ppn_z],tbl_Historique_Final[date_modif])=Final_Sans_VGE[[#This Row],[date_modif]],
      "Ancien",
      "Modifié"),
   "Nouveau"))</f>
        <v>#VALUE!</v>
      </c>
      <c r="AD2475" s="1" t="str">
        <f>IFERROR(IF(Final_Sans_VGE[[#This Row],[ppn_z]]="","",IFERROR(
   IF(_xlfn.XLOOKUP(Final_Sans_VGE[[#This Row],[ppn_z]],tbl_Historique_Final[[#This Row],[ppn_z]],tbl_Historique_Final[[#This Row],[date_modif]])=Final_Sans_VGE[[#This Row],[date_modif]],
      "Ancien",
      "Modifié"),
   "Nouveau")),"")</f>
        <v/>
      </c>
    </row>
    <row r="2476" spans="24:30" x14ac:dyDescent="0.25">
      <c r="X2476" s="8" t="e">
        <f>IF(Final_Sans_VGE[[#This Row],[ppn_z]]="","",IFERROR(
   IF(_xlfn.XLOOKUP(Final_Sans_VGE[[#This Row],[ppn_z]],tbl_Historique_Final[ppn_z],tbl_Historique_Final[date_modif])=Final_Sans_VGE[[#This Row],[date_modif]],
      "Ancien",
      "Modifié"),
   "Nouveau"))</f>
        <v>#VALUE!</v>
      </c>
      <c r="AD2476" s="1" t="str">
        <f>IFERROR(IF(Final_Sans_VGE[[#This Row],[ppn_z]]="","",IFERROR(
   IF(_xlfn.XLOOKUP(Final_Sans_VGE[[#This Row],[ppn_z]],tbl_Historique_Final[[#This Row],[ppn_z]],tbl_Historique_Final[[#This Row],[date_modif]])=Final_Sans_VGE[[#This Row],[date_modif]],
      "Ancien",
      "Modifié"),
   "Nouveau")),"")</f>
        <v/>
      </c>
    </row>
    <row r="2477" spans="24:30" x14ac:dyDescent="0.25">
      <c r="X2477" s="8" t="e">
        <f>IF(Final_Sans_VGE[[#This Row],[ppn_z]]="","",IFERROR(
   IF(_xlfn.XLOOKUP(Final_Sans_VGE[[#This Row],[ppn_z]],tbl_Historique_Final[ppn_z],tbl_Historique_Final[date_modif])=Final_Sans_VGE[[#This Row],[date_modif]],
      "Ancien",
      "Modifié"),
   "Nouveau"))</f>
        <v>#VALUE!</v>
      </c>
      <c r="AD2477" s="1" t="str">
        <f>IFERROR(IF(Final_Sans_VGE[[#This Row],[ppn_z]]="","",IFERROR(
   IF(_xlfn.XLOOKUP(Final_Sans_VGE[[#This Row],[ppn_z]],tbl_Historique_Final[[#This Row],[ppn_z]],tbl_Historique_Final[[#This Row],[date_modif]])=Final_Sans_VGE[[#This Row],[date_modif]],
      "Ancien",
      "Modifié"),
   "Nouveau")),"")</f>
        <v/>
      </c>
    </row>
    <row r="2478" spans="24:30" x14ac:dyDescent="0.25">
      <c r="X2478" s="8" t="e">
        <f>IF(Final_Sans_VGE[[#This Row],[ppn_z]]="","",IFERROR(
   IF(_xlfn.XLOOKUP(Final_Sans_VGE[[#This Row],[ppn_z]],tbl_Historique_Final[ppn_z],tbl_Historique_Final[date_modif])=Final_Sans_VGE[[#This Row],[date_modif]],
      "Ancien",
      "Modifié"),
   "Nouveau"))</f>
        <v>#VALUE!</v>
      </c>
      <c r="AD2478" s="1" t="str">
        <f>IFERROR(IF(Final_Sans_VGE[[#This Row],[ppn_z]]="","",IFERROR(
   IF(_xlfn.XLOOKUP(Final_Sans_VGE[[#This Row],[ppn_z]],tbl_Historique_Final[[#This Row],[ppn_z]],tbl_Historique_Final[[#This Row],[date_modif]])=Final_Sans_VGE[[#This Row],[date_modif]],
      "Ancien",
      "Modifié"),
   "Nouveau")),"")</f>
        <v/>
      </c>
    </row>
    <row r="2479" spans="24:30" x14ac:dyDescent="0.25">
      <c r="X2479" s="8" t="e">
        <f>IF(Final_Sans_VGE[[#This Row],[ppn_z]]="","",IFERROR(
   IF(_xlfn.XLOOKUP(Final_Sans_VGE[[#This Row],[ppn_z]],tbl_Historique_Final[ppn_z],tbl_Historique_Final[date_modif])=Final_Sans_VGE[[#This Row],[date_modif]],
      "Ancien",
      "Modifié"),
   "Nouveau"))</f>
        <v>#VALUE!</v>
      </c>
      <c r="AD2479" s="1" t="str">
        <f>IFERROR(IF(Final_Sans_VGE[[#This Row],[ppn_z]]="","",IFERROR(
   IF(_xlfn.XLOOKUP(Final_Sans_VGE[[#This Row],[ppn_z]],tbl_Historique_Final[[#This Row],[ppn_z]],tbl_Historique_Final[[#This Row],[date_modif]])=Final_Sans_VGE[[#This Row],[date_modif]],
      "Ancien",
      "Modifié"),
   "Nouveau")),"")</f>
        <v/>
      </c>
    </row>
    <row r="2480" spans="24:30" x14ac:dyDescent="0.25">
      <c r="X2480" s="8" t="e">
        <f>IF(Final_Sans_VGE[[#This Row],[ppn_z]]="","",IFERROR(
   IF(_xlfn.XLOOKUP(Final_Sans_VGE[[#This Row],[ppn_z]],tbl_Historique_Final[ppn_z],tbl_Historique_Final[date_modif])=Final_Sans_VGE[[#This Row],[date_modif]],
      "Ancien",
      "Modifié"),
   "Nouveau"))</f>
        <v>#VALUE!</v>
      </c>
      <c r="AD2480" s="1" t="str">
        <f>IFERROR(IF(Final_Sans_VGE[[#This Row],[ppn_z]]="","",IFERROR(
   IF(_xlfn.XLOOKUP(Final_Sans_VGE[[#This Row],[ppn_z]],tbl_Historique_Final[[#This Row],[ppn_z]],tbl_Historique_Final[[#This Row],[date_modif]])=Final_Sans_VGE[[#This Row],[date_modif]],
      "Ancien",
      "Modifié"),
   "Nouveau")),"")</f>
        <v/>
      </c>
    </row>
    <row r="2481" spans="24:30" x14ac:dyDescent="0.25">
      <c r="X2481" s="8" t="e">
        <f>IF(Final_Sans_VGE[[#This Row],[ppn_z]]="","",IFERROR(
   IF(_xlfn.XLOOKUP(Final_Sans_VGE[[#This Row],[ppn_z]],tbl_Historique_Final[ppn_z],tbl_Historique_Final[date_modif])=Final_Sans_VGE[[#This Row],[date_modif]],
      "Ancien",
      "Modifié"),
   "Nouveau"))</f>
        <v>#VALUE!</v>
      </c>
      <c r="AD2481" s="1" t="str">
        <f>IFERROR(IF(Final_Sans_VGE[[#This Row],[ppn_z]]="","",IFERROR(
   IF(_xlfn.XLOOKUP(Final_Sans_VGE[[#This Row],[ppn_z]],tbl_Historique_Final[[#This Row],[ppn_z]],tbl_Historique_Final[[#This Row],[date_modif]])=Final_Sans_VGE[[#This Row],[date_modif]],
      "Ancien",
      "Modifié"),
   "Nouveau")),"")</f>
        <v/>
      </c>
    </row>
    <row r="2482" spans="24:30" x14ac:dyDescent="0.25">
      <c r="X2482" s="8" t="e">
        <f>IF(Final_Sans_VGE[[#This Row],[ppn_z]]="","",IFERROR(
   IF(_xlfn.XLOOKUP(Final_Sans_VGE[[#This Row],[ppn_z]],tbl_Historique_Final[ppn_z],tbl_Historique_Final[date_modif])=Final_Sans_VGE[[#This Row],[date_modif]],
      "Ancien",
      "Modifié"),
   "Nouveau"))</f>
        <v>#VALUE!</v>
      </c>
      <c r="AD2482" s="1" t="str">
        <f>IFERROR(IF(Final_Sans_VGE[[#This Row],[ppn_z]]="","",IFERROR(
   IF(_xlfn.XLOOKUP(Final_Sans_VGE[[#This Row],[ppn_z]],tbl_Historique_Final[[#This Row],[ppn_z]],tbl_Historique_Final[[#This Row],[date_modif]])=Final_Sans_VGE[[#This Row],[date_modif]],
      "Ancien",
      "Modifié"),
   "Nouveau")),"")</f>
        <v/>
      </c>
    </row>
    <row r="2483" spans="24:30" x14ac:dyDescent="0.25">
      <c r="X2483" s="8" t="e">
        <f>IF(Final_Sans_VGE[[#This Row],[ppn_z]]="","",IFERROR(
   IF(_xlfn.XLOOKUP(Final_Sans_VGE[[#This Row],[ppn_z]],tbl_Historique_Final[ppn_z],tbl_Historique_Final[date_modif])=Final_Sans_VGE[[#This Row],[date_modif]],
      "Ancien",
      "Modifié"),
   "Nouveau"))</f>
        <v>#VALUE!</v>
      </c>
      <c r="AD2483" s="1" t="str">
        <f>IFERROR(IF(Final_Sans_VGE[[#This Row],[ppn_z]]="","",IFERROR(
   IF(_xlfn.XLOOKUP(Final_Sans_VGE[[#This Row],[ppn_z]],tbl_Historique_Final[[#This Row],[ppn_z]],tbl_Historique_Final[[#This Row],[date_modif]])=Final_Sans_VGE[[#This Row],[date_modif]],
      "Ancien",
      "Modifié"),
   "Nouveau")),"")</f>
        <v/>
      </c>
    </row>
    <row r="2484" spans="24:30" x14ac:dyDescent="0.25">
      <c r="X2484" s="8" t="e">
        <f>IF(Final_Sans_VGE[[#This Row],[ppn_z]]="","",IFERROR(
   IF(_xlfn.XLOOKUP(Final_Sans_VGE[[#This Row],[ppn_z]],tbl_Historique_Final[ppn_z],tbl_Historique_Final[date_modif])=Final_Sans_VGE[[#This Row],[date_modif]],
      "Ancien",
      "Modifié"),
   "Nouveau"))</f>
        <v>#VALUE!</v>
      </c>
      <c r="AD2484" s="1" t="str">
        <f>IFERROR(IF(Final_Sans_VGE[[#This Row],[ppn_z]]="","",IFERROR(
   IF(_xlfn.XLOOKUP(Final_Sans_VGE[[#This Row],[ppn_z]],tbl_Historique_Final[[#This Row],[ppn_z]],tbl_Historique_Final[[#This Row],[date_modif]])=Final_Sans_VGE[[#This Row],[date_modif]],
      "Ancien",
      "Modifié"),
   "Nouveau")),"")</f>
        <v/>
      </c>
    </row>
    <row r="2485" spans="24:30" x14ac:dyDescent="0.25">
      <c r="X2485" s="8" t="e">
        <f>IF(Final_Sans_VGE[[#This Row],[ppn_z]]="","",IFERROR(
   IF(_xlfn.XLOOKUP(Final_Sans_VGE[[#This Row],[ppn_z]],tbl_Historique_Final[ppn_z],tbl_Historique_Final[date_modif])=Final_Sans_VGE[[#This Row],[date_modif]],
      "Ancien",
      "Modifié"),
   "Nouveau"))</f>
        <v>#VALUE!</v>
      </c>
      <c r="AD2485" s="1" t="str">
        <f>IFERROR(IF(Final_Sans_VGE[[#This Row],[ppn_z]]="","",IFERROR(
   IF(_xlfn.XLOOKUP(Final_Sans_VGE[[#This Row],[ppn_z]],tbl_Historique_Final[[#This Row],[ppn_z]],tbl_Historique_Final[[#This Row],[date_modif]])=Final_Sans_VGE[[#This Row],[date_modif]],
      "Ancien",
      "Modifié"),
   "Nouveau")),"")</f>
        <v/>
      </c>
    </row>
    <row r="2486" spans="24:30" x14ac:dyDescent="0.25">
      <c r="X2486" s="8" t="e">
        <f>IF(Final_Sans_VGE[[#This Row],[ppn_z]]="","",IFERROR(
   IF(_xlfn.XLOOKUP(Final_Sans_VGE[[#This Row],[ppn_z]],tbl_Historique_Final[ppn_z],tbl_Historique_Final[date_modif])=Final_Sans_VGE[[#This Row],[date_modif]],
      "Ancien",
      "Modifié"),
   "Nouveau"))</f>
        <v>#VALUE!</v>
      </c>
      <c r="AD2486" s="1" t="str">
        <f>IFERROR(IF(Final_Sans_VGE[[#This Row],[ppn_z]]="","",IFERROR(
   IF(_xlfn.XLOOKUP(Final_Sans_VGE[[#This Row],[ppn_z]],tbl_Historique_Final[[#This Row],[ppn_z]],tbl_Historique_Final[[#This Row],[date_modif]])=Final_Sans_VGE[[#This Row],[date_modif]],
      "Ancien",
      "Modifié"),
   "Nouveau")),"")</f>
        <v/>
      </c>
    </row>
    <row r="2487" spans="24:30" x14ac:dyDescent="0.25">
      <c r="X2487" s="8" t="e">
        <f>IF(Final_Sans_VGE[[#This Row],[ppn_z]]="","",IFERROR(
   IF(_xlfn.XLOOKUP(Final_Sans_VGE[[#This Row],[ppn_z]],tbl_Historique_Final[ppn_z],tbl_Historique_Final[date_modif])=Final_Sans_VGE[[#This Row],[date_modif]],
      "Ancien",
      "Modifié"),
   "Nouveau"))</f>
        <v>#VALUE!</v>
      </c>
      <c r="AD2487" s="1" t="str">
        <f>IFERROR(IF(Final_Sans_VGE[[#This Row],[ppn_z]]="","",IFERROR(
   IF(_xlfn.XLOOKUP(Final_Sans_VGE[[#This Row],[ppn_z]],tbl_Historique_Final[[#This Row],[ppn_z]],tbl_Historique_Final[[#This Row],[date_modif]])=Final_Sans_VGE[[#This Row],[date_modif]],
      "Ancien",
      "Modifié"),
   "Nouveau")),"")</f>
        <v/>
      </c>
    </row>
    <row r="2488" spans="24:30" x14ac:dyDescent="0.25">
      <c r="X2488" s="8" t="e">
        <f>IF(Final_Sans_VGE[[#This Row],[ppn_z]]="","",IFERROR(
   IF(_xlfn.XLOOKUP(Final_Sans_VGE[[#This Row],[ppn_z]],tbl_Historique_Final[ppn_z],tbl_Historique_Final[date_modif])=Final_Sans_VGE[[#This Row],[date_modif]],
      "Ancien",
      "Modifié"),
   "Nouveau"))</f>
        <v>#VALUE!</v>
      </c>
      <c r="AD2488" s="1" t="str">
        <f>IFERROR(IF(Final_Sans_VGE[[#This Row],[ppn_z]]="","",IFERROR(
   IF(_xlfn.XLOOKUP(Final_Sans_VGE[[#This Row],[ppn_z]],tbl_Historique_Final[[#This Row],[ppn_z]],tbl_Historique_Final[[#This Row],[date_modif]])=Final_Sans_VGE[[#This Row],[date_modif]],
      "Ancien",
      "Modifié"),
   "Nouveau")),"")</f>
        <v/>
      </c>
    </row>
    <row r="2489" spans="24:30" x14ac:dyDescent="0.25">
      <c r="X2489" s="8" t="e">
        <f>IF(Final_Sans_VGE[[#This Row],[ppn_z]]="","",IFERROR(
   IF(_xlfn.XLOOKUP(Final_Sans_VGE[[#This Row],[ppn_z]],tbl_Historique_Final[ppn_z],tbl_Historique_Final[date_modif])=Final_Sans_VGE[[#This Row],[date_modif]],
      "Ancien",
      "Modifié"),
   "Nouveau"))</f>
        <v>#VALUE!</v>
      </c>
      <c r="AD2489" s="1" t="str">
        <f>IFERROR(IF(Final_Sans_VGE[[#This Row],[ppn_z]]="","",IFERROR(
   IF(_xlfn.XLOOKUP(Final_Sans_VGE[[#This Row],[ppn_z]],tbl_Historique_Final[[#This Row],[ppn_z]],tbl_Historique_Final[[#This Row],[date_modif]])=Final_Sans_VGE[[#This Row],[date_modif]],
      "Ancien",
      "Modifié"),
   "Nouveau")),"")</f>
        <v/>
      </c>
    </row>
    <row r="2490" spans="24:30" x14ac:dyDescent="0.25">
      <c r="X2490" s="8" t="e">
        <f>IF(Final_Sans_VGE[[#This Row],[ppn_z]]="","",IFERROR(
   IF(_xlfn.XLOOKUP(Final_Sans_VGE[[#This Row],[ppn_z]],tbl_Historique_Final[ppn_z],tbl_Historique_Final[date_modif])=Final_Sans_VGE[[#This Row],[date_modif]],
      "Ancien",
      "Modifié"),
   "Nouveau"))</f>
        <v>#VALUE!</v>
      </c>
      <c r="AD2490" s="1" t="str">
        <f>IFERROR(IF(Final_Sans_VGE[[#This Row],[ppn_z]]="","",IFERROR(
   IF(_xlfn.XLOOKUP(Final_Sans_VGE[[#This Row],[ppn_z]],tbl_Historique_Final[[#This Row],[ppn_z]],tbl_Historique_Final[[#This Row],[date_modif]])=Final_Sans_VGE[[#This Row],[date_modif]],
      "Ancien",
      "Modifié"),
   "Nouveau")),"")</f>
        <v/>
      </c>
    </row>
    <row r="2491" spans="24:30" x14ac:dyDescent="0.25">
      <c r="X2491" s="8" t="e">
        <f>IF(Final_Sans_VGE[[#This Row],[ppn_z]]="","",IFERROR(
   IF(_xlfn.XLOOKUP(Final_Sans_VGE[[#This Row],[ppn_z]],tbl_Historique_Final[ppn_z],tbl_Historique_Final[date_modif])=Final_Sans_VGE[[#This Row],[date_modif]],
      "Ancien",
      "Modifié"),
   "Nouveau"))</f>
        <v>#VALUE!</v>
      </c>
      <c r="AD2491" s="1" t="str">
        <f>IFERROR(IF(Final_Sans_VGE[[#This Row],[ppn_z]]="","",IFERROR(
   IF(_xlfn.XLOOKUP(Final_Sans_VGE[[#This Row],[ppn_z]],tbl_Historique_Final[[#This Row],[ppn_z]],tbl_Historique_Final[[#This Row],[date_modif]])=Final_Sans_VGE[[#This Row],[date_modif]],
      "Ancien",
      "Modifié"),
   "Nouveau")),"")</f>
        <v/>
      </c>
    </row>
    <row r="2492" spans="24:30" x14ac:dyDescent="0.25">
      <c r="X2492" s="8" t="e">
        <f>IF(Final_Sans_VGE[[#This Row],[ppn_z]]="","",IFERROR(
   IF(_xlfn.XLOOKUP(Final_Sans_VGE[[#This Row],[ppn_z]],tbl_Historique_Final[ppn_z],tbl_Historique_Final[date_modif])=Final_Sans_VGE[[#This Row],[date_modif]],
      "Ancien",
      "Modifié"),
   "Nouveau"))</f>
        <v>#VALUE!</v>
      </c>
      <c r="AD2492" s="1" t="str">
        <f>IFERROR(IF(Final_Sans_VGE[[#This Row],[ppn_z]]="","",IFERROR(
   IF(_xlfn.XLOOKUP(Final_Sans_VGE[[#This Row],[ppn_z]],tbl_Historique_Final[[#This Row],[ppn_z]],tbl_Historique_Final[[#This Row],[date_modif]])=Final_Sans_VGE[[#This Row],[date_modif]],
      "Ancien",
      "Modifié"),
   "Nouveau")),"")</f>
        <v/>
      </c>
    </row>
    <row r="2493" spans="24:30" x14ac:dyDescent="0.25">
      <c r="X2493" s="8" t="e">
        <f>IF(Final_Sans_VGE[[#This Row],[ppn_z]]="","",IFERROR(
   IF(_xlfn.XLOOKUP(Final_Sans_VGE[[#This Row],[ppn_z]],tbl_Historique_Final[ppn_z],tbl_Historique_Final[date_modif])=Final_Sans_VGE[[#This Row],[date_modif]],
      "Ancien",
      "Modifié"),
   "Nouveau"))</f>
        <v>#VALUE!</v>
      </c>
      <c r="AD2493" s="1" t="str">
        <f>IFERROR(IF(Final_Sans_VGE[[#This Row],[ppn_z]]="","",IFERROR(
   IF(_xlfn.XLOOKUP(Final_Sans_VGE[[#This Row],[ppn_z]],tbl_Historique_Final[[#This Row],[ppn_z]],tbl_Historique_Final[[#This Row],[date_modif]])=Final_Sans_VGE[[#This Row],[date_modif]],
      "Ancien",
      "Modifié"),
   "Nouveau")),"")</f>
        <v/>
      </c>
    </row>
    <row r="2494" spans="24:30" x14ac:dyDescent="0.25">
      <c r="X2494" s="8" t="e">
        <f>IF(Final_Sans_VGE[[#This Row],[ppn_z]]="","",IFERROR(
   IF(_xlfn.XLOOKUP(Final_Sans_VGE[[#This Row],[ppn_z]],tbl_Historique_Final[ppn_z],tbl_Historique_Final[date_modif])=Final_Sans_VGE[[#This Row],[date_modif]],
      "Ancien",
      "Modifié"),
   "Nouveau"))</f>
        <v>#VALUE!</v>
      </c>
      <c r="AD2494" s="1" t="str">
        <f>IFERROR(IF(Final_Sans_VGE[[#This Row],[ppn_z]]="","",IFERROR(
   IF(_xlfn.XLOOKUP(Final_Sans_VGE[[#This Row],[ppn_z]],tbl_Historique_Final[[#This Row],[ppn_z]],tbl_Historique_Final[[#This Row],[date_modif]])=Final_Sans_VGE[[#This Row],[date_modif]],
      "Ancien",
      "Modifié"),
   "Nouveau")),"")</f>
        <v/>
      </c>
    </row>
    <row r="2495" spans="24:30" x14ac:dyDescent="0.25">
      <c r="X2495" s="8" t="e">
        <f>IF(Final_Sans_VGE[[#This Row],[ppn_z]]="","",IFERROR(
   IF(_xlfn.XLOOKUP(Final_Sans_VGE[[#This Row],[ppn_z]],tbl_Historique_Final[ppn_z],tbl_Historique_Final[date_modif])=Final_Sans_VGE[[#This Row],[date_modif]],
      "Ancien",
      "Modifié"),
   "Nouveau"))</f>
        <v>#VALUE!</v>
      </c>
      <c r="AD2495" s="1" t="str">
        <f>IFERROR(IF(Final_Sans_VGE[[#This Row],[ppn_z]]="","",IFERROR(
   IF(_xlfn.XLOOKUP(Final_Sans_VGE[[#This Row],[ppn_z]],tbl_Historique_Final[[#This Row],[ppn_z]],tbl_Historique_Final[[#This Row],[date_modif]])=Final_Sans_VGE[[#This Row],[date_modif]],
      "Ancien",
      "Modifié"),
   "Nouveau")),"")</f>
        <v/>
      </c>
    </row>
    <row r="2496" spans="24:30" x14ac:dyDescent="0.25">
      <c r="X2496" s="8" t="e">
        <f>IF(Final_Sans_VGE[[#This Row],[ppn_z]]="","",IFERROR(
   IF(_xlfn.XLOOKUP(Final_Sans_VGE[[#This Row],[ppn_z]],tbl_Historique_Final[ppn_z],tbl_Historique_Final[date_modif])=Final_Sans_VGE[[#This Row],[date_modif]],
      "Ancien",
      "Modifié"),
   "Nouveau"))</f>
        <v>#VALUE!</v>
      </c>
      <c r="AD2496" s="1" t="str">
        <f>IFERROR(IF(Final_Sans_VGE[[#This Row],[ppn_z]]="","",IFERROR(
   IF(_xlfn.XLOOKUP(Final_Sans_VGE[[#This Row],[ppn_z]],tbl_Historique_Final[[#This Row],[ppn_z]],tbl_Historique_Final[[#This Row],[date_modif]])=Final_Sans_VGE[[#This Row],[date_modif]],
      "Ancien",
      "Modifié"),
   "Nouveau")),"")</f>
        <v/>
      </c>
    </row>
    <row r="2497" spans="24:30" x14ac:dyDescent="0.25">
      <c r="X2497" s="8" t="e">
        <f>IF(Final_Sans_VGE[[#This Row],[ppn_z]]="","",IFERROR(
   IF(_xlfn.XLOOKUP(Final_Sans_VGE[[#This Row],[ppn_z]],tbl_Historique_Final[ppn_z],tbl_Historique_Final[date_modif])=Final_Sans_VGE[[#This Row],[date_modif]],
      "Ancien",
      "Modifié"),
   "Nouveau"))</f>
        <v>#VALUE!</v>
      </c>
      <c r="AD2497" s="1" t="str">
        <f>IFERROR(IF(Final_Sans_VGE[[#This Row],[ppn_z]]="","",IFERROR(
   IF(_xlfn.XLOOKUP(Final_Sans_VGE[[#This Row],[ppn_z]],tbl_Historique_Final[[#This Row],[ppn_z]],tbl_Historique_Final[[#This Row],[date_modif]])=Final_Sans_VGE[[#This Row],[date_modif]],
      "Ancien",
      "Modifié"),
   "Nouveau")),"")</f>
        <v/>
      </c>
    </row>
    <row r="2498" spans="24:30" x14ac:dyDescent="0.25">
      <c r="X2498" s="8" t="e">
        <f>IF(Final_Sans_VGE[[#This Row],[ppn_z]]="","",IFERROR(
   IF(_xlfn.XLOOKUP(Final_Sans_VGE[[#This Row],[ppn_z]],tbl_Historique_Final[ppn_z],tbl_Historique_Final[date_modif])=Final_Sans_VGE[[#This Row],[date_modif]],
      "Ancien",
      "Modifié"),
   "Nouveau"))</f>
        <v>#VALUE!</v>
      </c>
      <c r="AD2498" s="1" t="str">
        <f>IFERROR(IF(Final_Sans_VGE[[#This Row],[ppn_z]]="","",IFERROR(
   IF(_xlfn.XLOOKUP(Final_Sans_VGE[[#This Row],[ppn_z]],tbl_Historique_Final[[#This Row],[ppn_z]],tbl_Historique_Final[[#This Row],[date_modif]])=Final_Sans_VGE[[#This Row],[date_modif]],
      "Ancien",
      "Modifié"),
   "Nouveau")),"")</f>
        <v/>
      </c>
    </row>
    <row r="2499" spans="24:30" x14ac:dyDescent="0.25">
      <c r="X2499" s="8" t="e">
        <f>IF(Final_Sans_VGE[[#This Row],[ppn_z]]="","",IFERROR(
   IF(_xlfn.XLOOKUP(Final_Sans_VGE[[#This Row],[ppn_z]],tbl_Historique_Final[ppn_z],tbl_Historique_Final[date_modif])=Final_Sans_VGE[[#This Row],[date_modif]],
      "Ancien",
      "Modifié"),
   "Nouveau"))</f>
        <v>#VALUE!</v>
      </c>
      <c r="AD2499" s="1" t="str">
        <f>IFERROR(IF(Final_Sans_VGE[[#This Row],[ppn_z]]="","",IFERROR(
   IF(_xlfn.XLOOKUP(Final_Sans_VGE[[#This Row],[ppn_z]],tbl_Historique_Final[[#This Row],[ppn_z]],tbl_Historique_Final[[#This Row],[date_modif]])=Final_Sans_VGE[[#This Row],[date_modif]],
      "Ancien",
      "Modifié"),
   "Nouveau")),"")</f>
        <v/>
      </c>
    </row>
    <row r="2500" spans="24:30" x14ac:dyDescent="0.25">
      <c r="X2500" s="8" t="e">
        <f>IF(Final_Sans_VGE[[#This Row],[ppn_z]]="","",IFERROR(
   IF(_xlfn.XLOOKUP(Final_Sans_VGE[[#This Row],[ppn_z]],tbl_Historique_Final[ppn_z],tbl_Historique_Final[date_modif])=Final_Sans_VGE[[#This Row],[date_modif]],
      "Ancien",
      "Modifié"),
   "Nouveau"))</f>
        <v>#VALUE!</v>
      </c>
      <c r="AD2500" s="1" t="str">
        <f>IFERROR(IF(Final_Sans_VGE[[#This Row],[ppn_z]]="","",IFERROR(
   IF(_xlfn.XLOOKUP(Final_Sans_VGE[[#This Row],[ppn_z]],tbl_Historique_Final[[#This Row],[ppn_z]],tbl_Historique_Final[[#This Row],[date_modif]])=Final_Sans_VGE[[#This Row],[date_modif]],
      "Ancien",
      "Modifié"),
   "Nouveau")),"")</f>
        <v/>
      </c>
    </row>
    <row r="2501" spans="24:30" x14ac:dyDescent="0.25">
      <c r="X2501" s="8" t="e">
        <f>IF(Final_Sans_VGE[[#This Row],[ppn_z]]="","",IFERROR(
   IF(_xlfn.XLOOKUP(Final_Sans_VGE[[#This Row],[ppn_z]],tbl_Historique_Final[ppn_z],tbl_Historique_Final[date_modif])=Final_Sans_VGE[[#This Row],[date_modif]],
      "Ancien",
      "Modifié"),
   "Nouveau"))</f>
        <v>#VALUE!</v>
      </c>
      <c r="AD2501" s="1" t="str">
        <f>IFERROR(IF(Final_Sans_VGE[[#This Row],[ppn_z]]="","",IFERROR(
   IF(_xlfn.XLOOKUP(Final_Sans_VGE[[#This Row],[ppn_z]],tbl_Historique_Final[[#This Row],[ppn_z]],tbl_Historique_Final[[#This Row],[date_modif]])=Final_Sans_VGE[[#This Row],[date_modif]],
      "Ancien",
      "Modifié"),
   "Nouveau")),"")</f>
        <v/>
      </c>
    </row>
    <row r="2502" spans="24:30" x14ac:dyDescent="0.25">
      <c r="X2502" s="8" t="e">
        <f>IF(Final_Sans_VGE[[#This Row],[ppn_z]]="","",IFERROR(
   IF(_xlfn.XLOOKUP(Final_Sans_VGE[[#This Row],[ppn_z]],tbl_Historique_Final[ppn_z],tbl_Historique_Final[date_modif])=Final_Sans_VGE[[#This Row],[date_modif]],
      "Ancien",
      "Modifié"),
   "Nouveau"))</f>
        <v>#VALUE!</v>
      </c>
      <c r="AD2502" s="1" t="str">
        <f>IFERROR(IF(Final_Sans_VGE[[#This Row],[ppn_z]]="","",IFERROR(
   IF(_xlfn.XLOOKUP(Final_Sans_VGE[[#This Row],[ppn_z]],tbl_Historique_Final[[#This Row],[ppn_z]],tbl_Historique_Final[[#This Row],[date_modif]])=Final_Sans_VGE[[#This Row],[date_modif]],
      "Ancien",
      "Modifié"),
   "Nouveau")),"")</f>
        <v/>
      </c>
    </row>
    <row r="2503" spans="24:30" x14ac:dyDescent="0.25">
      <c r="X2503" s="8" t="e">
        <f>IF(Final_Sans_VGE[[#This Row],[ppn_z]]="","",IFERROR(
   IF(_xlfn.XLOOKUP(Final_Sans_VGE[[#This Row],[ppn_z]],tbl_Historique_Final[ppn_z],tbl_Historique_Final[date_modif])=Final_Sans_VGE[[#This Row],[date_modif]],
      "Ancien",
      "Modifié"),
   "Nouveau"))</f>
        <v>#VALUE!</v>
      </c>
      <c r="AD2503" s="1" t="str">
        <f>IFERROR(IF(Final_Sans_VGE[[#This Row],[ppn_z]]="","",IFERROR(
   IF(_xlfn.XLOOKUP(Final_Sans_VGE[[#This Row],[ppn_z]],tbl_Historique_Final[[#This Row],[ppn_z]],tbl_Historique_Final[[#This Row],[date_modif]])=Final_Sans_VGE[[#This Row],[date_modif]],
      "Ancien",
      "Modifié"),
   "Nouveau")),"")</f>
        <v/>
      </c>
    </row>
    <row r="2504" spans="24:30" x14ac:dyDescent="0.25">
      <c r="X2504" s="8" t="e">
        <f>IF(Final_Sans_VGE[[#This Row],[ppn_z]]="","",IFERROR(
   IF(_xlfn.XLOOKUP(Final_Sans_VGE[[#This Row],[ppn_z]],tbl_Historique_Final[ppn_z],tbl_Historique_Final[date_modif])=Final_Sans_VGE[[#This Row],[date_modif]],
      "Ancien",
      "Modifié"),
   "Nouveau"))</f>
        <v>#VALUE!</v>
      </c>
      <c r="AD2504" s="1" t="str">
        <f>IFERROR(IF(Final_Sans_VGE[[#This Row],[ppn_z]]="","",IFERROR(
   IF(_xlfn.XLOOKUP(Final_Sans_VGE[[#This Row],[ppn_z]],tbl_Historique_Final[[#This Row],[ppn_z]],tbl_Historique_Final[[#This Row],[date_modif]])=Final_Sans_VGE[[#This Row],[date_modif]],
      "Ancien",
      "Modifié"),
   "Nouveau")),"")</f>
        <v/>
      </c>
    </row>
    <row r="2505" spans="24:30" x14ac:dyDescent="0.25">
      <c r="X2505" s="8" t="e">
        <f>IF(Final_Sans_VGE[[#This Row],[ppn_z]]="","",IFERROR(
   IF(_xlfn.XLOOKUP(Final_Sans_VGE[[#This Row],[ppn_z]],tbl_Historique_Final[ppn_z],tbl_Historique_Final[date_modif])=Final_Sans_VGE[[#This Row],[date_modif]],
      "Ancien",
      "Modifié"),
   "Nouveau"))</f>
        <v>#VALUE!</v>
      </c>
      <c r="AD2505" s="1" t="str">
        <f>IFERROR(IF(Final_Sans_VGE[[#This Row],[ppn_z]]="","",IFERROR(
   IF(_xlfn.XLOOKUP(Final_Sans_VGE[[#This Row],[ppn_z]],tbl_Historique_Final[[#This Row],[ppn_z]],tbl_Historique_Final[[#This Row],[date_modif]])=Final_Sans_VGE[[#This Row],[date_modif]],
      "Ancien",
      "Modifié"),
   "Nouveau")),"")</f>
        <v/>
      </c>
    </row>
    <row r="2506" spans="24:30" x14ac:dyDescent="0.25">
      <c r="X2506" s="8" t="e">
        <f>IF(Final_Sans_VGE[[#This Row],[ppn_z]]="","",IFERROR(
   IF(_xlfn.XLOOKUP(Final_Sans_VGE[[#This Row],[ppn_z]],tbl_Historique_Final[ppn_z],tbl_Historique_Final[date_modif])=Final_Sans_VGE[[#This Row],[date_modif]],
      "Ancien",
      "Modifié"),
   "Nouveau"))</f>
        <v>#VALUE!</v>
      </c>
      <c r="AD2506" s="1" t="str">
        <f>IFERROR(IF(Final_Sans_VGE[[#This Row],[ppn_z]]="","",IFERROR(
   IF(_xlfn.XLOOKUP(Final_Sans_VGE[[#This Row],[ppn_z]],tbl_Historique_Final[[#This Row],[ppn_z]],tbl_Historique_Final[[#This Row],[date_modif]])=Final_Sans_VGE[[#This Row],[date_modif]],
      "Ancien",
      "Modifié"),
   "Nouveau")),"")</f>
        <v/>
      </c>
    </row>
    <row r="2507" spans="24:30" x14ac:dyDescent="0.25">
      <c r="X2507" s="8" t="e">
        <f>IF(Final_Sans_VGE[[#This Row],[ppn_z]]="","",IFERROR(
   IF(_xlfn.XLOOKUP(Final_Sans_VGE[[#This Row],[ppn_z]],tbl_Historique_Final[ppn_z],tbl_Historique_Final[date_modif])=Final_Sans_VGE[[#This Row],[date_modif]],
      "Ancien",
      "Modifié"),
   "Nouveau"))</f>
        <v>#VALUE!</v>
      </c>
      <c r="AD2507" s="1" t="str">
        <f>IFERROR(IF(Final_Sans_VGE[[#This Row],[ppn_z]]="","",IFERROR(
   IF(_xlfn.XLOOKUP(Final_Sans_VGE[[#This Row],[ppn_z]],tbl_Historique_Final[[#This Row],[ppn_z]],tbl_Historique_Final[[#This Row],[date_modif]])=Final_Sans_VGE[[#This Row],[date_modif]],
      "Ancien",
      "Modifié"),
   "Nouveau")),"")</f>
        <v/>
      </c>
    </row>
    <row r="2508" spans="24:30" x14ac:dyDescent="0.25">
      <c r="X2508" s="8" t="e">
        <f>IF(Final_Sans_VGE[[#This Row],[ppn_z]]="","",IFERROR(
   IF(_xlfn.XLOOKUP(Final_Sans_VGE[[#This Row],[ppn_z]],tbl_Historique_Final[ppn_z],tbl_Historique_Final[date_modif])=Final_Sans_VGE[[#This Row],[date_modif]],
      "Ancien",
      "Modifié"),
   "Nouveau"))</f>
        <v>#VALUE!</v>
      </c>
      <c r="AD2508" s="1" t="str">
        <f>IFERROR(IF(Final_Sans_VGE[[#This Row],[ppn_z]]="","",IFERROR(
   IF(_xlfn.XLOOKUP(Final_Sans_VGE[[#This Row],[ppn_z]],tbl_Historique_Final[[#This Row],[ppn_z]],tbl_Historique_Final[[#This Row],[date_modif]])=Final_Sans_VGE[[#This Row],[date_modif]],
      "Ancien",
      "Modifié"),
   "Nouveau")),"")</f>
        <v/>
      </c>
    </row>
    <row r="2509" spans="24:30" x14ac:dyDescent="0.25">
      <c r="X2509" s="8" t="e">
        <f>IF(Final_Sans_VGE[[#This Row],[ppn_z]]="","",IFERROR(
   IF(_xlfn.XLOOKUP(Final_Sans_VGE[[#This Row],[ppn_z]],tbl_Historique_Final[ppn_z],tbl_Historique_Final[date_modif])=Final_Sans_VGE[[#This Row],[date_modif]],
      "Ancien",
      "Modifié"),
   "Nouveau"))</f>
        <v>#VALUE!</v>
      </c>
      <c r="AD2509" s="1" t="str">
        <f>IFERROR(IF(Final_Sans_VGE[[#This Row],[ppn_z]]="","",IFERROR(
   IF(_xlfn.XLOOKUP(Final_Sans_VGE[[#This Row],[ppn_z]],tbl_Historique_Final[[#This Row],[ppn_z]],tbl_Historique_Final[[#This Row],[date_modif]])=Final_Sans_VGE[[#This Row],[date_modif]],
      "Ancien",
      "Modifié"),
   "Nouveau")),"")</f>
        <v/>
      </c>
    </row>
    <row r="2510" spans="24:30" x14ac:dyDescent="0.25">
      <c r="X2510" s="8" t="e">
        <f>IF(Final_Sans_VGE[[#This Row],[ppn_z]]="","",IFERROR(
   IF(_xlfn.XLOOKUP(Final_Sans_VGE[[#This Row],[ppn_z]],tbl_Historique_Final[ppn_z],tbl_Historique_Final[date_modif])=Final_Sans_VGE[[#This Row],[date_modif]],
      "Ancien",
      "Modifié"),
   "Nouveau"))</f>
        <v>#VALUE!</v>
      </c>
      <c r="AD2510" s="1" t="str">
        <f>IFERROR(IF(Final_Sans_VGE[[#This Row],[ppn_z]]="","",IFERROR(
   IF(_xlfn.XLOOKUP(Final_Sans_VGE[[#This Row],[ppn_z]],tbl_Historique_Final[[#This Row],[ppn_z]],tbl_Historique_Final[[#This Row],[date_modif]])=Final_Sans_VGE[[#This Row],[date_modif]],
      "Ancien",
      "Modifié"),
   "Nouveau")),"")</f>
        <v/>
      </c>
    </row>
    <row r="2511" spans="24:30" x14ac:dyDescent="0.25">
      <c r="X2511" s="8" t="e">
        <f>IF(Final_Sans_VGE[[#This Row],[ppn_z]]="","",IFERROR(
   IF(_xlfn.XLOOKUP(Final_Sans_VGE[[#This Row],[ppn_z]],tbl_Historique_Final[ppn_z],tbl_Historique_Final[date_modif])=Final_Sans_VGE[[#This Row],[date_modif]],
      "Ancien",
      "Modifié"),
   "Nouveau"))</f>
        <v>#VALUE!</v>
      </c>
      <c r="AD2511" s="1" t="str">
        <f>IFERROR(IF(Final_Sans_VGE[[#This Row],[ppn_z]]="","",IFERROR(
   IF(_xlfn.XLOOKUP(Final_Sans_VGE[[#This Row],[ppn_z]],tbl_Historique_Final[[#This Row],[ppn_z]],tbl_Historique_Final[[#This Row],[date_modif]])=Final_Sans_VGE[[#This Row],[date_modif]],
      "Ancien",
      "Modifié"),
   "Nouveau")),"")</f>
        <v/>
      </c>
    </row>
    <row r="2512" spans="24:30" x14ac:dyDescent="0.25">
      <c r="X2512" s="8" t="e">
        <f>IF(Final_Sans_VGE[[#This Row],[ppn_z]]="","",IFERROR(
   IF(_xlfn.XLOOKUP(Final_Sans_VGE[[#This Row],[ppn_z]],tbl_Historique_Final[ppn_z],tbl_Historique_Final[date_modif])=Final_Sans_VGE[[#This Row],[date_modif]],
      "Ancien",
      "Modifié"),
   "Nouveau"))</f>
        <v>#VALUE!</v>
      </c>
      <c r="AD2512" s="1" t="str">
        <f>IFERROR(IF(Final_Sans_VGE[[#This Row],[ppn_z]]="","",IFERROR(
   IF(_xlfn.XLOOKUP(Final_Sans_VGE[[#This Row],[ppn_z]],tbl_Historique_Final[[#This Row],[ppn_z]],tbl_Historique_Final[[#This Row],[date_modif]])=Final_Sans_VGE[[#This Row],[date_modif]],
      "Ancien",
      "Modifié"),
   "Nouveau")),"")</f>
        <v/>
      </c>
    </row>
    <row r="2513" spans="24:30" x14ac:dyDescent="0.25">
      <c r="X2513" s="8" t="e">
        <f>IF(Final_Sans_VGE[[#This Row],[ppn_z]]="","",IFERROR(
   IF(_xlfn.XLOOKUP(Final_Sans_VGE[[#This Row],[ppn_z]],tbl_Historique_Final[ppn_z],tbl_Historique_Final[date_modif])=Final_Sans_VGE[[#This Row],[date_modif]],
      "Ancien",
      "Modifié"),
   "Nouveau"))</f>
        <v>#VALUE!</v>
      </c>
      <c r="AD2513" s="1" t="str">
        <f>IFERROR(IF(Final_Sans_VGE[[#This Row],[ppn_z]]="","",IFERROR(
   IF(_xlfn.XLOOKUP(Final_Sans_VGE[[#This Row],[ppn_z]],tbl_Historique_Final[[#This Row],[ppn_z]],tbl_Historique_Final[[#This Row],[date_modif]])=Final_Sans_VGE[[#This Row],[date_modif]],
      "Ancien",
      "Modifié"),
   "Nouveau")),"")</f>
        <v/>
      </c>
    </row>
    <row r="2514" spans="24:30" x14ac:dyDescent="0.25">
      <c r="X2514" s="8" t="e">
        <f>IF(Final_Sans_VGE[[#This Row],[ppn_z]]="","",IFERROR(
   IF(_xlfn.XLOOKUP(Final_Sans_VGE[[#This Row],[ppn_z]],tbl_Historique_Final[ppn_z],tbl_Historique_Final[date_modif])=Final_Sans_VGE[[#This Row],[date_modif]],
      "Ancien",
      "Modifié"),
   "Nouveau"))</f>
        <v>#VALUE!</v>
      </c>
      <c r="AD2514" s="1" t="str">
        <f>IFERROR(IF(Final_Sans_VGE[[#This Row],[ppn_z]]="","",IFERROR(
   IF(_xlfn.XLOOKUP(Final_Sans_VGE[[#This Row],[ppn_z]],tbl_Historique_Final[[#This Row],[ppn_z]],tbl_Historique_Final[[#This Row],[date_modif]])=Final_Sans_VGE[[#This Row],[date_modif]],
      "Ancien",
      "Modifié"),
   "Nouveau")),"")</f>
        <v/>
      </c>
    </row>
    <row r="2515" spans="24:30" x14ac:dyDescent="0.25">
      <c r="X2515" s="8" t="e">
        <f>IF(Final_Sans_VGE[[#This Row],[ppn_z]]="","",IFERROR(
   IF(_xlfn.XLOOKUP(Final_Sans_VGE[[#This Row],[ppn_z]],tbl_Historique_Final[ppn_z],tbl_Historique_Final[date_modif])=Final_Sans_VGE[[#This Row],[date_modif]],
      "Ancien",
      "Modifié"),
   "Nouveau"))</f>
        <v>#VALUE!</v>
      </c>
      <c r="AD2515" s="1" t="str">
        <f>IFERROR(IF(Final_Sans_VGE[[#This Row],[ppn_z]]="","",IFERROR(
   IF(_xlfn.XLOOKUP(Final_Sans_VGE[[#This Row],[ppn_z]],tbl_Historique_Final[[#This Row],[ppn_z]],tbl_Historique_Final[[#This Row],[date_modif]])=Final_Sans_VGE[[#This Row],[date_modif]],
      "Ancien",
      "Modifié"),
   "Nouveau")),"")</f>
        <v/>
      </c>
    </row>
    <row r="2516" spans="24:30" x14ac:dyDescent="0.25">
      <c r="X2516" s="8" t="e">
        <f>IF(Final_Sans_VGE[[#This Row],[ppn_z]]="","",IFERROR(
   IF(_xlfn.XLOOKUP(Final_Sans_VGE[[#This Row],[ppn_z]],tbl_Historique_Final[ppn_z],tbl_Historique_Final[date_modif])=Final_Sans_VGE[[#This Row],[date_modif]],
      "Ancien",
      "Modifié"),
   "Nouveau"))</f>
        <v>#VALUE!</v>
      </c>
      <c r="AD2516" s="1" t="str">
        <f>IFERROR(IF(Final_Sans_VGE[[#This Row],[ppn_z]]="","",IFERROR(
   IF(_xlfn.XLOOKUP(Final_Sans_VGE[[#This Row],[ppn_z]],tbl_Historique_Final[[#This Row],[ppn_z]],tbl_Historique_Final[[#This Row],[date_modif]])=Final_Sans_VGE[[#This Row],[date_modif]],
      "Ancien",
      "Modifié"),
   "Nouveau")),"")</f>
        <v/>
      </c>
    </row>
    <row r="2517" spans="24:30" x14ac:dyDescent="0.25">
      <c r="X2517" s="8" t="e">
        <f>IF(Final_Sans_VGE[[#This Row],[ppn_z]]="","",IFERROR(
   IF(_xlfn.XLOOKUP(Final_Sans_VGE[[#This Row],[ppn_z]],tbl_Historique_Final[ppn_z],tbl_Historique_Final[date_modif])=Final_Sans_VGE[[#This Row],[date_modif]],
      "Ancien",
      "Modifié"),
   "Nouveau"))</f>
        <v>#VALUE!</v>
      </c>
      <c r="AD2517" s="1" t="str">
        <f>IFERROR(IF(Final_Sans_VGE[[#This Row],[ppn_z]]="","",IFERROR(
   IF(_xlfn.XLOOKUP(Final_Sans_VGE[[#This Row],[ppn_z]],tbl_Historique_Final[[#This Row],[ppn_z]],tbl_Historique_Final[[#This Row],[date_modif]])=Final_Sans_VGE[[#This Row],[date_modif]],
      "Ancien",
      "Modifié"),
   "Nouveau")),"")</f>
        <v/>
      </c>
    </row>
    <row r="2518" spans="24:30" x14ac:dyDescent="0.25">
      <c r="X2518" s="8" t="e">
        <f>IF(Final_Sans_VGE[[#This Row],[ppn_z]]="","",IFERROR(
   IF(_xlfn.XLOOKUP(Final_Sans_VGE[[#This Row],[ppn_z]],tbl_Historique_Final[ppn_z],tbl_Historique_Final[date_modif])=Final_Sans_VGE[[#This Row],[date_modif]],
      "Ancien",
      "Modifié"),
   "Nouveau"))</f>
        <v>#VALUE!</v>
      </c>
      <c r="AD2518" s="1" t="str">
        <f>IFERROR(IF(Final_Sans_VGE[[#This Row],[ppn_z]]="","",IFERROR(
   IF(_xlfn.XLOOKUP(Final_Sans_VGE[[#This Row],[ppn_z]],tbl_Historique_Final[[#This Row],[ppn_z]],tbl_Historique_Final[[#This Row],[date_modif]])=Final_Sans_VGE[[#This Row],[date_modif]],
      "Ancien",
      "Modifié"),
   "Nouveau")),"")</f>
        <v/>
      </c>
    </row>
    <row r="2519" spans="24:30" x14ac:dyDescent="0.25">
      <c r="X2519" s="8" t="e">
        <f>IF(Final_Sans_VGE[[#This Row],[ppn_z]]="","",IFERROR(
   IF(_xlfn.XLOOKUP(Final_Sans_VGE[[#This Row],[ppn_z]],tbl_Historique_Final[ppn_z],tbl_Historique_Final[date_modif])=Final_Sans_VGE[[#This Row],[date_modif]],
      "Ancien",
      "Modifié"),
   "Nouveau"))</f>
        <v>#VALUE!</v>
      </c>
      <c r="AD2519" s="1" t="str">
        <f>IFERROR(IF(Final_Sans_VGE[[#This Row],[ppn_z]]="","",IFERROR(
   IF(_xlfn.XLOOKUP(Final_Sans_VGE[[#This Row],[ppn_z]],tbl_Historique_Final[[#This Row],[ppn_z]],tbl_Historique_Final[[#This Row],[date_modif]])=Final_Sans_VGE[[#This Row],[date_modif]],
      "Ancien",
      "Modifié"),
   "Nouveau")),"")</f>
        <v/>
      </c>
    </row>
    <row r="2520" spans="24:30" x14ac:dyDescent="0.25">
      <c r="X2520" s="8" t="e">
        <f>IF(Final_Sans_VGE[[#This Row],[ppn_z]]="","",IFERROR(
   IF(_xlfn.XLOOKUP(Final_Sans_VGE[[#This Row],[ppn_z]],tbl_Historique_Final[ppn_z],tbl_Historique_Final[date_modif])=Final_Sans_VGE[[#This Row],[date_modif]],
      "Ancien",
      "Modifié"),
   "Nouveau"))</f>
        <v>#VALUE!</v>
      </c>
      <c r="AD2520" s="1" t="str">
        <f>IFERROR(IF(Final_Sans_VGE[[#This Row],[ppn_z]]="","",IFERROR(
   IF(_xlfn.XLOOKUP(Final_Sans_VGE[[#This Row],[ppn_z]],tbl_Historique_Final[[#This Row],[ppn_z]],tbl_Historique_Final[[#This Row],[date_modif]])=Final_Sans_VGE[[#This Row],[date_modif]],
      "Ancien",
      "Modifié"),
   "Nouveau")),"")</f>
        <v/>
      </c>
    </row>
    <row r="2521" spans="24:30" x14ac:dyDescent="0.25">
      <c r="X2521" s="8" t="e">
        <f>IF(Final_Sans_VGE[[#This Row],[ppn_z]]="","",IFERROR(
   IF(_xlfn.XLOOKUP(Final_Sans_VGE[[#This Row],[ppn_z]],tbl_Historique_Final[ppn_z],tbl_Historique_Final[date_modif])=Final_Sans_VGE[[#This Row],[date_modif]],
      "Ancien",
      "Modifié"),
   "Nouveau"))</f>
        <v>#VALUE!</v>
      </c>
      <c r="AD2521" s="1" t="str">
        <f>IFERROR(IF(Final_Sans_VGE[[#This Row],[ppn_z]]="","",IFERROR(
   IF(_xlfn.XLOOKUP(Final_Sans_VGE[[#This Row],[ppn_z]],tbl_Historique_Final[[#This Row],[ppn_z]],tbl_Historique_Final[[#This Row],[date_modif]])=Final_Sans_VGE[[#This Row],[date_modif]],
      "Ancien",
      "Modifié"),
   "Nouveau")),"")</f>
        <v/>
      </c>
    </row>
    <row r="2522" spans="24:30" x14ac:dyDescent="0.25">
      <c r="X2522" s="8" t="e">
        <f>IF(Final_Sans_VGE[[#This Row],[ppn_z]]="","",IFERROR(
   IF(_xlfn.XLOOKUP(Final_Sans_VGE[[#This Row],[ppn_z]],tbl_Historique_Final[ppn_z],tbl_Historique_Final[date_modif])=Final_Sans_VGE[[#This Row],[date_modif]],
      "Ancien",
      "Modifié"),
   "Nouveau"))</f>
        <v>#VALUE!</v>
      </c>
      <c r="AD2522" s="1" t="str">
        <f>IFERROR(IF(Final_Sans_VGE[[#This Row],[ppn_z]]="","",IFERROR(
   IF(_xlfn.XLOOKUP(Final_Sans_VGE[[#This Row],[ppn_z]],tbl_Historique_Final[[#This Row],[ppn_z]],tbl_Historique_Final[[#This Row],[date_modif]])=Final_Sans_VGE[[#This Row],[date_modif]],
      "Ancien",
      "Modifié"),
   "Nouveau")),"")</f>
        <v/>
      </c>
    </row>
    <row r="2523" spans="24:30" x14ac:dyDescent="0.25">
      <c r="X2523" s="8" t="e">
        <f>IF(Final_Sans_VGE[[#This Row],[ppn_z]]="","",IFERROR(
   IF(_xlfn.XLOOKUP(Final_Sans_VGE[[#This Row],[ppn_z]],tbl_Historique_Final[ppn_z],tbl_Historique_Final[date_modif])=Final_Sans_VGE[[#This Row],[date_modif]],
      "Ancien",
      "Modifié"),
   "Nouveau"))</f>
        <v>#VALUE!</v>
      </c>
      <c r="AD2523" s="1" t="str">
        <f>IFERROR(IF(Final_Sans_VGE[[#This Row],[ppn_z]]="","",IFERROR(
   IF(_xlfn.XLOOKUP(Final_Sans_VGE[[#This Row],[ppn_z]],tbl_Historique_Final[[#This Row],[ppn_z]],tbl_Historique_Final[[#This Row],[date_modif]])=Final_Sans_VGE[[#This Row],[date_modif]],
      "Ancien",
      "Modifié"),
   "Nouveau")),"")</f>
        <v/>
      </c>
    </row>
    <row r="2524" spans="24:30" x14ac:dyDescent="0.25">
      <c r="X2524" s="8" t="e">
        <f>IF(Final_Sans_VGE[[#This Row],[ppn_z]]="","",IFERROR(
   IF(_xlfn.XLOOKUP(Final_Sans_VGE[[#This Row],[ppn_z]],tbl_Historique_Final[ppn_z],tbl_Historique_Final[date_modif])=Final_Sans_VGE[[#This Row],[date_modif]],
      "Ancien",
      "Modifié"),
   "Nouveau"))</f>
        <v>#VALUE!</v>
      </c>
      <c r="AD2524" s="1" t="str">
        <f>IFERROR(IF(Final_Sans_VGE[[#This Row],[ppn_z]]="","",IFERROR(
   IF(_xlfn.XLOOKUP(Final_Sans_VGE[[#This Row],[ppn_z]],tbl_Historique_Final[[#This Row],[ppn_z]],tbl_Historique_Final[[#This Row],[date_modif]])=Final_Sans_VGE[[#This Row],[date_modif]],
      "Ancien",
      "Modifié"),
   "Nouveau")),"")</f>
        <v/>
      </c>
    </row>
    <row r="2525" spans="24:30" x14ac:dyDescent="0.25">
      <c r="X2525" s="8" t="e">
        <f>IF(Final_Sans_VGE[[#This Row],[ppn_z]]="","",IFERROR(
   IF(_xlfn.XLOOKUP(Final_Sans_VGE[[#This Row],[ppn_z]],tbl_Historique_Final[ppn_z],tbl_Historique_Final[date_modif])=Final_Sans_VGE[[#This Row],[date_modif]],
      "Ancien",
      "Modifié"),
   "Nouveau"))</f>
        <v>#VALUE!</v>
      </c>
      <c r="AD2525" s="1" t="str">
        <f>IFERROR(IF(Final_Sans_VGE[[#This Row],[ppn_z]]="","",IFERROR(
   IF(_xlfn.XLOOKUP(Final_Sans_VGE[[#This Row],[ppn_z]],tbl_Historique_Final[[#This Row],[ppn_z]],tbl_Historique_Final[[#This Row],[date_modif]])=Final_Sans_VGE[[#This Row],[date_modif]],
      "Ancien",
      "Modifié"),
   "Nouveau")),"")</f>
        <v/>
      </c>
    </row>
    <row r="2526" spans="24:30" x14ac:dyDescent="0.25">
      <c r="X2526" s="8" t="e">
        <f>IF(Final_Sans_VGE[[#This Row],[ppn_z]]="","",IFERROR(
   IF(_xlfn.XLOOKUP(Final_Sans_VGE[[#This Row],[ppn_z]],tbl_Historique_Final[ppn_z],tbl_Historique_Final[date_modif])=Final_Sans_VGE[[#This Row],[date_modif]],
      "Ancien",
      "Modifié"),
   "Nouveau"))</f>
        <v>#VALUE!</v>
      </c>
      <c r="AD2526" s="1" t="str">
        <f>IFERROR(IF(Final_Sans_VGE[[#This Row],[ppn_z]]="","",IFERROR(
   IF(_xlfn.XLOOKUP(Final_Sans_VGE[[#This Row],[ppn_z]],tbl_Historique_Final[[#This Row],[ppn_z]],tbl_Historique_Final[[#This Row],[date_modif]])=Final_Sans_VGE[[#This Row],[date_modif]],
      "Ancien",
      "Modifié"),
   "Nouveau")),"")</f>
        <v/>
      </c>
    </row>
    <row r="2527" spans="24:30" x14ac:dyDescent="0.25">
      <c r="X2527" s="8" t="e">
        <f>IF(Final_Sans_VGE[[#This Row],[ppn_z]]="","",IFERROR(
   IF(_xlfn.XLOOKUP(Final_Sans_VGE[[#This Row],[ppn_z]],tbl_Historique_Final[ppn_z],tbl_Historique_Final[date_modif])=Final_Sans_VGE[[#This Row],[date_modif]],
      "Ancien",
      "Modifié"),
   "Nouveau"))</f>
        <v>#VALUE!</v>
      </c>
      <c r="AD2527" s="1" t="str">
        <f>IFERROR(IF(Final_Sans_VGE[[#This Row],[ppn_z]]="","",IFERROR(
   IF(_xlfn.XLOOKUP(Final_Sans_VGE[[#This Row],[ppn_z]],tbl_Historique_Final[[#This Row],[ppn_z]],tbl_Historique_Final[[#This Row],[date_modif]])=Final_Sans_VGE[[#This Row],[date_modif]],
      "Ancien",
      "Modifié"),
   "Nouveau")),"")</f>
        <v/>
      </c>
    </row>
    <row r="2528" spans="24:30" x14ac:dyDescent="0.25">
      <c r="X2528" s="8" t="e">
        <f>IF(Final_Sans_VGE[[#This Row],[ppn_z]]="","",IFERROR(
   IF(_xlfn.XLOOKUP(Final_Sans_VGE[[#This Row],[ppn_z]],tbl_Historique_Final[ppn_z],tbl_Historique_Final[date_modif])=Final_Sans_VGE[[#This Row],[date_modif]],
      "Ancien",
      "Modifié"),
   "Nouveau"))</f>
        <v>#VALUE!</v>
      </c>
      <c r="AD2528" s="1" t="str">
        <f>IFERROR(IF(Final_Sans_VGE[[#This Row],[ppn_z]]="","",IFERROR(
   IF(_xlfn.XLOOKUP(Final_Sans_VGE[[#This Row],[ppn_z]],tbl_Historique_Final[[#This Row],[ppn_z]],tbl_Historique_Final[[#This Row],[date_modif]])=Final_Sans_VGE[[#This Row],[date_modif]],
      "Ancien",
      "Modifié"),
   "Nouveau")),"")</f>
        <v/>
      </c>
    </row>
    <row r="2529" spans="24:30" x14ac:dyDescent="0.25">
      <c r="X2529" s="8" t="e">
        <f>IF(Final_Sans_VGE[[#This Row],[ppn_z]]="","",IFERROR(
   IF(_xlfn.XLOOKUP(Final_Sans_VGE[[#This Row],[ppn_z]],tbl_Historique_Final[ppn_z],tbl_Historique_Final[date_modif])=Final_Sans_VGE[[#This Row],[date_modif]],
      "Ancien",
      "Modifié"),
   "Nouveau"))</f>
        <v>#VALUE!</v>
      </c>
      <c r="AD2529" s="1" t="str">
        <f>IFERROR(IF(Final_Sans_VGE[[#This Row],[ppn_z]]="","",IFERROR(
   IF(_xlfn.XLOOKUP(Final_Sans_VGE[[#This Row],[ppn_z]],tbl_Historique_Final[[#This Row],[ppn_z]],tbl_Historique_Final[[#This Row],[date_modif]])=Final_Sans_VGE[[#This Row],[date_modif]],
      "Ancien",
      "Modifié"),
   "Nouveau")),"")</f>
        <v/>
      </c>
    </row>
    <row r="2530" spans="24:30" x14ac:dyDescent="0.25">
      <c r="X2530" s="8" t="e">
        <f>IF(Final_Sans_VGE[[#This Row],[ppn_z]]="","",IFERROR(
   IF(_xlfn.XLOOKUP(Final_Sans_VGE[[#This Row],[ppn_z]],tbl_Historique_Final[ppn_z],tbl_Historique_Final[date_modif])=Final_Sans_VGE[[#This Row],[date_modif]],
      "Ancien",
      "Modifié"),
   "Nouveau"))</f>
        <v>#VALUE!</v>
      </c>
      <c r="AD2530" s="1" t="str">
        <f>IFERROR(IF(Final_Sans_VGE[[#This Row],[ppn_z]]="","",IFERROR(
   IF(_xlfn.XLOOKUP(Final_Sans_VGE[[#This Row],[ppn_z]],tbl_Historique_Final[[#This Row],[ppn_z]],tbl_Historique_Final[[#This Row],[date_modif]])=Final_Sans_VGE[[#This Row],[date_modif]],
      "Ancien",
      "Modifié"),
   "Nouveau")),"")</f>
        <v/>
      </c>
    </row>
    <row r="2531" spans="24:30" x14ac:dyDescent="0.25">
      <c r="X2531" s="8" t="e">
        <f>IF(Final_Sans_VGE[[#This Row],[ppn_z]]="","",IFERROR(
   IF(_xlfn.XLOOKUP(Final_Sans_VGE[[#This Row],[ppn_z]],tbl_Historique_Final[ppn_z],tbl_Historique_Final[date_modif])=Final_Sans_VGE[[#This Row],[date_modif]],
      "Ancien",
      "Modifié"),
   "Nouveau"))</f>
        <v>#VALUE!</v>
      </c>
      <c r="AD2531" s="1" t="str">
        <f>IFERROR(IF(Final_Sans_VGE[[#This Row],[ppn_z]]="","",IFERROR(
   IF(_xlfn.XLOOKUP(Final_Sans_VGE[[#This Row],[ppn_z]],tbl_Historique_Final[[#This Row],[ppn_z]],tbl_Historique_Final[[#This Row],[date_modif]])=Final_Sans_VGE[[#This Row],[date_modif]],
      "Ancien",
      "Modifié"),
   "Nouveau")),"")</f>
        <v/>
      </c>
    </row>
    <row r="2532" spans="24:30" x14ac:dyDescent="0.25">
      <c r="X2532" s="8" t="e">
        <f>IF(Final_Sans_VGE[[#This Row],[ppn_z]]="","",IFERROR(
   IF(_xlfn.XLOOKUP(Final_Sans_VGE[[#This Row],[ppn_z]],tbl_Historique_Final[ppn_z],tbl_Historique_Final[date_modif])=Final_Sans_VGE[[#This Row],[date_modif]],
      "Ancien",
      "Modifié"),
   "Nouveau"))</f>
        <v>#VALUE!</v>
      </c>
      <c r="AD2532" s="1" t="str">
        <f>IFERROR(IF(Final_Sans_VGE[[#This Row],[ppn_z]]="","",IFERROR(
   IF(_xlfn.XLOOKUP(Final_Sans_VGE[[#This Row],[ppn_z]],tbl_Historique_Final[[#This Row],[ppn_z]],tbl_Historique_Final[[#This Row],[date_modif]])=Final_Sans_VGE[[#This Row],[date_modif]],
      "Ancien",
      "Modifié"),
   "Nouveau")),"")</f>
        <v/>
      </c>
    </row>
    <row r="2533" spans="24:30" x14ac:dyDescent="0.25">
      <c r="X2533" s="8" t="e">
        <f>IF(Final_Sans_VGE[[#This Row],[ppn_z]]="","",IFERROR(
   IF(_xlfn.XLOOKUP(Final_Sans_VGE[[#This Row],[ppn_z]],tbl_Historique_Final[ppn_z],tbl_Historique_Final[date_modif])=Final_Sans_VGE[[#This Row],[date_modif]],
      "Ancien",
      "Modifié"),
   "Nouveau"))</f>
        <v>#VALUE!</v>
      </c>
      <c r="AD2533" s="1" t="str">
        <f>IFERROR(IF(Final_Sans_VGE[[#This Row],[ppn_z]]="","",IFERROR(
   IF(_xlfn.XLOOKUP(Final_Sans_VGE[[#This Row],[ppn_z]],tbl_Historique_Final[[#This Row],[ppn_z]],tbl_Historique_Final[[#This Row],[date_modif]])=Final_Sans_VGE[[#This Row],[date_modif]],
      "Ancien",
      "Modifié"),
   "Nouveau")),"")</f>
        <v/>
      </c>
    </row>
    <row r="2534" spans="24:30" x14ac:dyDescent="0.25">
      <c r="X2534" s="8" t="e">
        <f>IF(Final_Sans_VGE[[#This Row],[ppn_z]]="","",IFERROR(
   IF(_xlfn.XLOOKUP(Final_Sans_VGE[[#This Row],[ppn_z]],tbl_Historique_Final[ppn_z],tbl_Historique_Final[date_modif])=Final_Sans_VGE[[#This Row],[date_modif]],
      "Ancien",
      "Modifié"),
   "Nouveau"))</f>
        <v>#VALUE!</v>
      </c>
      <c r="AD2534" s="1" t="str">
        <f>IFERROR(IF(Final_Sans_VGE[[#This Row],[ppn_z]]="","",IFERROR(
   IF(_xlfn.XLOOKUP(Final_Sans_VGE[[#This Row],[ppn_z]],tbl_Historique_Final[[#This Row],[ppn_z]],tbl_Historique_Final[[#This Row],[date_modif]])=Final_Sans_VGE[[#This Row],[date_modif]],
      "Ancien",
      "Modifié"),
   "Nouveau")),"")</f>
        <v/>
      </c>
    </row>
    <row r="2535" spans="24:30" x14ac:dyDescent="0.25">
      <c r="X2535" s="8" t="e">
        <f>IF(Final_Sans_VGE[[#This Row],[ppn_z]]="","",IFERROR(
   IF(_xlfn.XLOOKUP(Final_Sans_VGE[[#This Row],[ppn_z]],tbl_Historique_Final[ppn_z],tbl_Historique_Final[date_modif])=Final_Sans_VGE[[#This Row],[date_modif]],
      "Ancien",
      "Modifié"),
   "Nouveau"))</f>
        <v>#VALUE!</v>
      </c>
      <c r="AD2535" s="1" t="str">
        <f>IFERROR(IF(Final_Sans_VGE[[#This Row],[ppn_z]]="","",IFERROR(
   IF(_xlfn.XLOOKUP(Final_Sans_VGE[[#This Row],[ppn_z]],tbl_Historique_Final[[#This Row],[ppn_z]],tbl_Historique_Final[[#This Row],[date_modif]])=Final_Sans_VGE[[#This Row],[date_modif]],
      "Ancien",
      "Modifié"),
   "Nouveau")),"")</f>
        <v/>
      </c>
    </row>
    <row r="2536" spans="24:30" x14ac:dyDescent="0.25">
      <c r="X2536" s="8" t="e">
        <f>IF(Final_Sans_VGE[[#This Row],[ppn_z]]="","",IFERROR(
   IF(_xlfn.XLOOKUP(Final_Sans_VGE[[#This Row],[ppn_z]],tbl_Historique_Final[ppn_z],tbl_Historique_Final[date_modif])=Final_Sans_VGE[[#This Row],[date_modif]],
      "Ancien",
      "Modifié"),
   "Nouveau"))</f>
        <v>#VALUE!</v>
      </c>
      <c r="AD2536" s="1" t="str">
        <f>IFERROR(IF(Final_Sans_VGE[[#This Row],[ppn_z]]="","",IFERROR(
   IF(_xlfn.XLOOKUP(Final_Sans_VGE[[#This Row],[ppn_z]],tbl_Historique_Final[[#This Row],[ppn_z]],tbl_Historique_Final[[#This Row],[date_modif]])=Final_Sans_VGE[[#This Row],[date_modif]],
      "Ancien",
      "Modifié"),
   "Nouveau")),"")</f>
        <v/>
      </c>
    </row>
    <row r="2537" spans="24:30" x14ac:dyDescent="0.25">
      <c r="X2537" s="8" t="e">
        <f>IF(Final_Sans_VGE[[#This Row],[ppn_z]]="","",IFERROR(
   IF(_xlfn.XLOOKUP(Final_Sans_VGE[[#This Row],[ppn_z]],tbl_Historique_Final[ppn_z],tbl_Historique_Final[date_modif])=Final_Sans_VGE[[#This Row],[date_modif]],
      "Ancien",
      "Modifié"),
   "Nouveau"))</f>
        <v>#VALUE!</v>
      </c>
      <c r="AD2537" s="1" t="str">
        <f>IFERROR(IF(Final_Sans_VGE[[#This Row],[ppn_z]]="","",IFERROR(
   IF(_xlfn.XLOOKUP(Final_Sans_VGE[[#This Row],[ppn_z]],tbl_Historique_Final[[#This Row],[ppn_z]],tbl_Historique_Final[[#This Row],[date_modif]])=Final_Sans_VGE[[#This Row],[date_modif]],
      "Ancien",
      "Modifié"),
   "Nouveau")),"")</f>
        <v/>
      </c>
    </row>
    <row r="2538" spans="24:30" x14ac:dyDescent="0.25">
      <c r="X2538" s="8" t="e">
        <f>IF(Final_Sans_VGE[[#This Row],[ppn_z]]="","",IFERROR(
   IF(_xlfn.XLOOKUP(Final_Sans_VGE[[#This Row],[ppn_z]],tbl_Historique_Final[ppn_z],tbl_Historique_Final[date_modif])=Final_Sans_VGE[[#This Row],[date_modif]],
      "Ancien",
      "Modifié"),
   "Nouveau"))</f>
        <v>#VALUE!</v>
      </c>
      <c r="AD2538" s="1" t="str">
        <f>IFERROR(IF(Final_Sans_VGE[[#This Row],[ppn_z]]="","",IFERROR(
   IF(_xlfn.XLOOKUP(Final_Sans_VGE[[#This Row],[ppn_z]],tbl_Historique_Final[[#This Row],[ppn_z]],tbl_Historique_Final[[#This Row],[date_modif]])=Final_Sans_VGE[[#This Row],[date_modif]],
      "Ancien",
      "Modifié"),
   "Nouveau")),"")</f>
        <v/>
      </c>
    </row>
    <row r="2539" spans="24:30" x14ac:dyDescent="0.25">
      <c r="X2539" s="8" t="e">
        <f>IF(Final_Sans_VGE[[#This Row],[ppn_z]]="","",IFERROR(
   IF(_xlfn.XLOOKUP(Final_Sans_VGE[[#This Row],[ppn_z]],tbl_Historique_Final[ppn_z],tbl_Historique_Final[date_modif])=Final_Sans_VGE[[#This Row],[date_modif]],
      "Ancien",
      "Modifié"),
   "Nouveau"))</f>
        <v>#VALUE!</v>
      </c>
      <c r="AD2539" s="1" t="str">
        <f>IFERROR(IF(Final_Sans_VGE[[#This Row],[ppn_z]]="","",IFERROR(
   IF(_xlfn.XLOOKUP(Final_Sans_VGE[[#This Row],[ppn_z]],tbl_Historique_Final[[#This Row],[ppn_z]],tbl_Historique_Final[[#This Row],[date_modif]])=Final_Sans_VGE[[#This Row],[date_modif]],
      "Ancien",
      "Modifié"),
   "Nouveau")),"")</f>
        <v/>
      </c>
    </row>
    <row r="2540" spans="24:30" x14ac:dyDescent="0.25">
      <c r="X2540" s="8" t="e">
        <f>IF(Final_Sans_VGE[[#This Row],[ppn_z]]="","",IFERROR(
   IF(_xlfn.XLOOKUP(Final_Sans_VGE[[#This Row],[ppn_z]],tbl_Historique_Final[ppn_z],tbl_Historique_Final[date_modif])=Final_Sans_VGE[[#This Row],[date_modif]],
      "Ancien",
      "Modifié"),
   "Nouveau"))</f>
        <v>#VALUE!</v>
      </c>
      <c r="AD2540" s="1" t="str">
        <f>IFERROR(IF(Final_Sans_VGE[[#This Row],[ppn_z]]="","",IFERROR(
   IF(_xlfn.XLOOKUP(Final_Sans_VGE[[#This Row],[ppn_z]],tbl_Historique_Final[[#This Row],[ppn_z]],tbl_Historique_Final[[#This Row],[date_modif]])=Final_Sans_VGE[[#This Row],[date_modif]],
      "Ancien",
      "Modifié"),
   "Nouveau")),"")</f>
        <v/>
      </c>
    </row>
    <row r="2541" spans="24:30" x14ac:dyDescent="0.25">
      <c r="X2541" s="8" t="e">
        <f>IF(Final_Sans_VGE[[#This Row],[ppn_z]]="","",IFERROR(
   IF(_xlfn.XLOOKUP(Final_Sans_VGE[[#This Row],[ppn_z]],tbl_Historique_Final[ppn_z],tbl_Historique_Final[date_modif])=Final_Sans_VGE[[#This Row],[date_modif]],
      "Ancien",
      "Modifié"),
   "Nouveau"))</f>
        <v>#VALUE!</v>
      </c>
      <c r="AD2541" s="1" t="str">
        <f>IFERROR(IF(Final_Sans_VGE[[#This Row],[ppn_z]]="","",IFERROR(
   IF(_xlfn.XLOOKUP(Final_Sans_VGE[[#This Row],[ppn_z]],tbl_Historique_Final[[#This Row],[ppn_z]],tbl_Historique_Final[[#This Row],[date_modif]])=Final_Sans_VGE[[#This Row],[date_modif]],
      "Ancien",
      "Modifié"),
   "Nouveau")),"")</f>
        <v/>
      </c>
    </row>
    <row r="2542" spans="24:30" x14ac:dyDescent="0.25">
      <c r="X2542" s="8" t="e">
        <f>IF(Final_Sans_VGE[[#This Row],[ppn_z]]="","",IFERROR(
   IF(_xlfn.XLOOKUP(Final_Sans_VGE[[#This Row],[ppn_z]],tbl_Historique_Final[ppn_z],tbl_Historique_Final[date_modif])=Final_Sans_VGE[[#This Row],[date_modif]],
      "Ancien",
      "Modifié"),
   "Nouveau"))</f>
        <v>#VALUE!</v>
      </c>
      <c r="AD2542" s="1" t="str">
        <f>IFERROR(IF(Final_Sans_VGE[[#This Row],[ppn_z]]="","",IFERROR(
   IF(_xlfn.XLOOKUP(Final_Sans_VGE[[#This Row],[ppn_z]],tbl_Historique_Final[[#This Row],[ppn_z]],tbl_Historique_Final[[#This Row],[date_modif]])=Final_Sans_VGE[[#This Row],[date_modif]],
      "Ancien",
      "Modifié"),
   "Nouveau")),"")</f>
        <v/>
      </c>
    </row>
    <row r="2543" spans="24:30" x14ac:dyDescent="0.25">
      <c r="X2543" s="8" t="e">
        <f>IF(Final_Sans_VGE[[#This Row],[ppn_z]]="","",IFERROR(
   IF(_xlfn.XLOOKUP(Final_Sans_VGE[[#This Row],[ppn_z]],tbl_Historique_Final[ppn_z],tbl_Historique_Final[date_modif])=Final_Sans_VGE[[#This Row],[date_modif]],
      "Ancien",
      "Modifié"),
   "Nouveau"))</f>
        <v>#VALUE!</v>
      </c>
      <c r="AD2543" s="1" t="str">
        <f>IFERROR(IF(Final_Sans_VGE[[#This Row],[ppn_z]]="","",IFERROR(
   IF(_xlfn.XLOOKUP(Final_Sans_VGE[[#This Row],[ppn_z]],tbl_Historique_Final[[#This Row],[ppn_z]],tbl_Historique_Final[[#This Row],[date_modif]])=Final_Sans_VGE[[#This Row],[date_modif]],
      "Ancien",
      "Modifié"),
   "Nouveau")),"")</f>
        <v/>
      </c>
    </row>
    <row r="2544" spans="24:30" x14ac:dyDescent="0.25">
      <c r="X2544" s="8" t="e">
        <f>IF(Final_Sans_VGE[[#This Row],[ppn_z]]="","",IFERROR(
   IF(_xlfn.XLOOKUP(Final_Sans_VGE[[#This Row],[ppn_z]],tbl_Historique_Final[ppn_z],tbl_Historique_Final[date_modif])=Final_Sans_VGE[[#This Row],[date_modif]],
      "Ancien",
      "Modifié"),
   "Nouveau"))</f>
        <v>#VALUE!</v>
      </c>
      <c r="AD2544" s="1" t="str">
        <f>IFERROR(IF(Final_Sans_VGE[[#This Row],[ppn_z]]="","",IFERROR(
   IF(_xlfn.XLOOKUP(Final_Sans_VGE[[#This Row],[ppn_z]],tbl_Historique_Final[[#This Row],[ppn_z]],tbl_Historique_Final[[#This Row],[date_modif]])=Final_Sans_VGE[[#This Row],[date_modif]],
      "Ancien",
      "Modifié"),
   "Nouveau")),"")</f>
        <v/>
      </c>
    </row>
    <row r="2545" spans="24:30" x14ac:dyDescent="0.25">
      <c r="X2545" s="8" t="e">
        <f>IF(Final_Sans_VGE[[#This Row],[ppn_z]]="","",IFERROR(
   IF(_xlfn.XLOOKUP(Final_Sans_VGE[[#This Row],[ppn_z]],tbl_Historique_Final[ppn_z],tbl_Historique_Final[date_modif])=Final_Sans_VGE[[#This Row],[date_modif]],
      "Ancien",
      "Modifié"),
   "Nouveau"))</f>
        <v>#VALUE!</v>
      </c>
      <c r="AD2545" s="1" t="str">
        <f>IFERROR(IF(Final_Sans_VGE[[#This Row],[ppn_z]]="","",IFERROR(
   IF(_xlfn.XLOOKUP(Final_Sans_VGE[[#This Row],[ppn_z]],tbl_Historique_Final[[#This Row],[ppn_z]],tbl_Historique_Final[[#This Row],[date_modif]])=Final_Sans_VGE[[#This Row],[date_modif]],
      "Ancien",
      "Modifié"),
   "Nouveau")),"")</f>
        <v/>
      </c>
    </row>
    <row r="2546" spans="24:30" x14ac:dyDescent="0.25">
      <c r="X2546" s="8" t="e">
        <f>IF(Final_Sans_VGE[[#This Row],[ppn_z]]="","",IFERROR(
   IF(_xlfn.XLOOKUP(Final_Sans_VGE[[#This Row],[ppn_z]],tbl_Historique_Final[ppn_z],tbl_Historique_Final[date_modif])=Final_Sans_VGE[[#This Row],[date_modif]],
      "Ancien",
      "Modifié"),
   "Nouveau"))</f>
        <v>#VALUE!</v>
      </c>
      <c r="AD2546" s="1" t="str">
        <f>IFERROR(IF(Final_Sans_VGE[[#This Row],[ppn_z]]="","",IFERROR(
   IF(_xlfn.XLOOKUP(Final_Sans_VGE[[#This Row],[ppn_z]],tbl_Historique_Final[[#This Row],[ppn_z]],tbl_Historique_Final[[#This Row],[date_modif]])=Final_Sans_VGE[[#This Row],[date_modif]],
      "Ancien",
      "Modifié"),
   "Nouveau")),"")</f>
        <v/>
      </c>
    </row>
    <row r="2547" spans="24:30" x14ac:dyDescent="0.25">
      <c r="X2547" s="8" t="e">
        <f>IF(Final_Sans_VGE[[#This Row],[ppn_z]]="","",IFERROR(
   IF(_xlfn.XLOOKUP(Final_Sans_VGE[[#This Row],[ppn_z]],tbl_Historique_Final[ppn_z],tbl_Historique_Final[date_modif])=Final_Sans_VGE[[#This Row],[date_modif]],
      "Ancien",
      "Modifié"),
   "Nouveau"))</f>
        <v>#VALUE!</v>
      </c>
      <c r="AD2547" s="1" t="str">
        <f>IFERROR(IF(Final_Sans_VGE[[#This Row],[ppn_z]]="","",IFERROR(
   IF(_xlfn.XLOOKUP(Final_Sans_VGE[[#This Row],[ppn_z]],tbl_Historique_Final[[#This Row],[ppn_z]],tbl_Historique_Final[[#This Row],[date_modif]])=Final_Sans_VGE[[#This Row],[date_modif]],
      "Ancien",
      "Modifié"),
   "Nouveau")),"")</f>
        <v/>
      </c>
    </row>
    <row r="2548" spans="24:30" x14ac:dyDescent="0.25">
      <c r="X2548" s="8" t="e">
        <f>IF(Final_Sans_VGE[[#This Row],[ppn_z]]="","",IFERROR(
   IF(_xlfn.XLOOKUP(Final_Sans_VGE[[#This Row],[ppn_z]],tbl_Historique_Final[ppn_z],tbl_Historique_Final[date_modif])=Final_Sans_VGE[[#This Row],[date_modif]],
      "Ancien",
      "Modifié"),
   "Nouveau"))</f>
        <v>#VALUE!</v>
      </c>
      <c r="AD2548" s="1" t="str">
        <f>IFERROR(IF(Final_Sans_VGE[[#This Row],[ppn_z]]="","",IFERROR(
   IF(_xlfn.XLOOKUP(Final_Sans_VGE[[#This Row],[ppn_z]],tbl_Historique_Final[[#This Row],[ppn_z]],tbl_Historique_Final[[#This Row],[date_modif]])=Final_Sans_VGE[[#This Row],[date_modif]],
      "Ancien",
      "Modifié"),
   "Nouveau")),"")</f>
        <v/>
      </c>
    </row>
    <row r="2549" spans="24:30" x14ac:dyDescent="0.25">
      <c r="X2549" s="8" t="e">
        <f>IF(Final_Sans_VGE[[#This Row],[ppn_z]]="","",IFERROR(
   IF(_xlfn.XLOOKUP(Final_Sans_VGE[[#This Row],[ppn_z]],tbl_Historique_Final[ppn_z],tbl_Historique_Final[date_modif])=Final_Sans_VGE[[#This Row],[date_modif]],
      "Ancien",
      "Modifié"),
   "Nouveau"))</f>
        <v>#VALUE!</v>
      </c>
      <c r="AD2549" s="1" t="str">
        <f>IFERROR(IF(Final_Sans_VGE[[#This Row],[ppn_z]]="","",IFERROR(
   IF(_xlfn.XLOOKUP(Final_Sans_VGE[[#This Row],[ppn_z]],tbl_Historique_Final[[#This Row],[ppn_z]],tbl_Historique_Final[[#This Row],[date_modif]])=Final_Sans_VGE[[#This Row],[date_modif]],
      "Ancien",
      "Modifié"),
   "Nouveau")),"")</f>
        <v/>
      </c>
    </row>
    <row r="2550" spans="24:30" x14ac:dyDescent="0.25">
      <c r="X2550" s="8" t="e">
        <f>IF(Final_Sans_VGE[[#This Row],[ppn_z]]="","",IFERROR(
   IF(_xlfn.XLOOKUP(Final_Sans_VGE[[#This Row],[ppn_z]],tbl_Historique_Final[ppn_z],tbl_Historique_Final[date_modif])=Final_Sans_VGE[[#This Row],[date_modif]],
      "Ancien",
      "Modifié"),
   "Nouveau"))</f>
        <v>#VALUE!</v>
      </c>
      <c r="AD2550" s="1" t="str">
        <f>IFERROR(IF(Final_Sans_VGE[[#This Row],[ppn_z]]="","",IFERROR(
   IF(_xlfn.XLOOKUP(Final_Sans_VGE[[#This Row],[ppn_z]],tbl_Historique_Final[[#This Row],[ppn_z]],tbl_Historique_Final[[#This Row],[date_modif]])=Final_Sans_VGE[[#This Row],[date_modif]],
      "Ancien",
      "Modifié"),
   "Nouveau")),"")</f>
        <v/>
      </c>
    </row>
    <row r="2551" spans="24:30" x14ac:dyDescent="0.25">
      <c r="X2551" s="8" t="e">
        <f>IF(Final_Sans_VGE[[#This Row],[ppn_z]]="","",IFERROR(
   IF(_xlfn.XLOOKUP(Final_Sans_VGE[[#This Row],[ppn_z]],tbl_Historique_Final[ppn_z],tbl_Historique_Final[date_modif])=Final_Sans_VGE[[#This Row],[date_modif]],
      "Ancien",
      "Modifié"),
   "Nouveau"))</f>
        <v>#VALUE!</v>
      </c>
      <c r="AD2551" s="1" t="str">
        <f>IFERROR(IF(Final_Sans_VGE[[#This Row],[ppn_z]]="","",IFERROR(
   IF(_xlfn.XLOOKUP(Final_Sans_VGE[[#This Row],[ppn_z]],tbl_Historique_Final[[#This Row],[ppn_z]],tbl_Historique_Final[[#This Row],[date_modif]])=Final_Sans_VGE[[#This Row],[date_modif]],
      "Ancien",
      "Modifié"),
   "Nouveau")),"")</f>
        <v/>
      </c>
    </row>
    <row r="2552" spans="24:30" x14ac:dyDescent="0.25">
      <c r="X2552" s="8" t="e">
        <f>IF(Final_Sans_VGE[[#This Row],[ppn_z]]="","",IFERROR(
   IF(_xlfn.XLOOKUP(Final_Sans_VGE[[#This Row],[ppn_z]],tbl_Historique_Final[ppn_z],tbl_Historique_Final[date_modif])=Final_Sans_VGE[[#This Row],[date_modif]],
      "Ancien",
      "Modifié"),
   "Nouveau"))</f>
        <v>#VALUE!</v>
      </c>
      <c r="AD2552" s="1" t="str">
        <f>IFERROR(IF(Final_Sans_VGE[[#This Row],[ppn_z]]="","",IFERROR(
   IF(_xlfn.XLOOKUP(Final_Sans_VGE[[#This Row],[ppn_z]],tbl_Historique_Final[[#This Row],[ppn_z]],tbl_Historique_Final[[#This Row],[date_modif]])=Final_Sans_VGE[[#This Row],[date_modif]],
      "Ancien",
      "Modifié"),
   "Nouveau")),"")</f>
        <v/>
      </c>
    </row>
    <row r="2553" spans="24:30" x14ac:dyDescent="0.25">
      <c r="X2553" s="8" t="e">
        <f>IF(Final_Sans_VGE[[#This Row],[ppn_z]]="","",IFERROR(
   IF(_xlfn.XLOOKUP(Final_Sans_VGE[[#This Row],[ppn_z]],tbl_Historique_Final[ppn_z],tbl_Historique_Final[date_modif])=Final_Sans_VGE[[#This Row],[date_modif]],
      "Ancien",
      "Modifié"),
   "Nouveau"))</f>
        <v>#VALUE!</v>
      </c>
      <c r="AD2553" s="1" t="str">
        <f>IFERROR(IF(Final_Sans_VGE[[#This Row],[ppn_z]]="","",IFERROR(
   IF(_xlfn.XLOOKUP(Final_Sans_VGE[[#This Row],[ppn_z]],tbl_Historique_Final[[#This Row],[ppn_z]],tbl_Historique_Final[[#This Row],[date_modif]])=Final_Sans_VGE[[#This Row],[date_modif]],
      "Ancien",
      "Modifié"),
   "Nouveau")),"")</f>
        <v/>
      </c>
    </row>
    <row r="2554" spans="24:30" x14ac:dyDescent="0.25">
      <c r="X2554" s="8" t="e">
        <f>IF(Final_Sans_VGE[[#This Row],[ppn_z]]="","",IFERROR(
   IF(_xlfn.XLOOKUP(Final_Sans_VGE[[#This Row],[ppn_z]],tbl_Historique_Final[ppn_z],tbl_Historique_Final[date_modif])=Final_Sans_VGE[[#This Row],[date_modif]],
      "Ancien",
      "Modifié"),
   "Nouveau"))</f>
        <v>#VALUE!</v>
      </c>
      <c r="AD2554" s="1" t="str">
        <f>IFERROR(IF(Final_Sans_VGE[[#This Row],[ppn_z]]="","",IFERROR(
   IF(_xlfn.XLOOKUP(Final_Sans_VGE[[#This Row],[ppn_z]],tbl_Historique_Final[[#This Row],[ppn_z]],tbl_Historique_Final[[#This Row],[date_modif]])=Final_Sans_VGE[[#This Row],[date_modif]],
      "Ancien",
      "Modifié"),
   "Nouveau")),"")</f>
        <v/>
      </c>
    </row>
    <row r="2555" spans="24:30" x14ac:dyDescent="0.25">
      <c r="X2555" s="8" t="e">
        <f>IF(Final_Sans_VGE[[#This Row],[ppn_z]]="","",IFERROR(
   IF(_xlfn.XLOOKUP(Final_Sans_VGE[[#This Row],[ppn_z]],tbl_Historique_Final[ppn_z],tbl_Historique_Final[date_modif])=Final_Sans_VGE[[#This Row],[date_modif]],
      "Ancien",
      "Modifié"),
   "Nouveau"))</f>
        <v>#VALUE!</v>
      </c>
      <c r="AD2555" s="1" t="str">
        <f>IFERROR(IF(Final_Sans_VGE[[#This Row],[ppn_z]]="","",IFERROR(
   IF(_xlfn.XLOOKUP(Final_Sans_VGE[[#This Row],[ppn_z]],tbl_Historique_Final[[#This Row],[ppn_z]],tbl_Historique_Final[[#This Row],[date_modif]])=Final_Sans_VGE[[#This Row],[date_modif]],
      "Ancien",
      "Modifié"),
   "Nouveau")),"")</f>
        <v/>
      </c>
    </row>
    <row r="2556" spans="24:30" x14ac:dyDescent="0.25">
      <c r="X2556" s="8" t="e">
        <f>IF(Final_Sans_VGE[[#This Row],[ppn_z]]="","",IFERROR(
   IF(_xlfn.XLOOKUP(Final_Sans_VGE[[#This Row],[ppn_z]],tbl_Historique_Final[ppn_z],tbl_Historique_Final[date_modif])=Final_Sans_VGE[[#This Row],[date_modif]],
      "Ancien",
      "Modifié"),
   "Nouveau"))</f>
        <v>#VALUE!</v>
      </c>
      <c r="AD2556" s="1" t="str">
        <f>IFERROR(IF(Final_Sans_VGE[[#This Row],[ppn_z]]="","",IFERROR(
   IF(_xlfn.XLOOKUP(Final_Sans_VGE[[#This Row],[ppn_z]],tbl_Historique_Final[[#This Row],[ppn_z]],tbl_Historique_Final[[#This Row],[date_modif]])=Final_Sans_VGE[[#This Row],[date_modif]],
      "Ancien",
      "Modifié"),
   "Nouveau")),"")</f>
        <v/>
      </c>
    </row>
    <row r="2557" spans="24:30" x14ac:dyDescent="0.25">
      <c r="X2557" s="8" t="e">
        <f>IF(Final_Sans_VGE[[#This Row],[ppn_z]]="","",IFERROR(
   IF(_xlfn.XLOOKUP(Final_Sans_VGE[[#This Row],[ppn_z]],tbl_Historique_Final[ppn_z],tbl_Historique_Final[date_modif])=Final_Sans_VGE[[#This Row],[date_modif]],
      "Ancien",
      "Modifié"),
   "Nouveau"))</f>
        <v>#VALUE!</v>
      </c>
      <c r="AD2557" s="1" t="str">
        <f>IFERROR(IF(Final_Sans_VGE[[#This Row],[ppn_z]]="","",IFERROR(
   IF(_xlfn.XLOOKUP(Final_Sans_VGE[[#This Row],[ppn_z]],tbl_Historique_Final[[#This Row],[ppn_z]],tbl_Historique_Final[[#This Row],[date_modif]])=Final_Sans_VGE[[#This Row],[date_modif]],
      "Ancien",
      "Modifié"),
   "Nouveau")),"")</f>
        <v/>
      </c>
    </row>
    <row r="2558" spans="24:30" x14ac:dyDescent="0.25">
      <c r="X2558" s="8" t="e">
        <f>IF(Final_Sans_VGE[[#This Row],[ppn_z]]="","",IFERROR(
   IF(_xlfn.XLOOKUP(Final_Sans_VGE[[#This Row],[ppn_z]],tbl_Historique_Final[ppn_z],tbl_Historique_Final[date_modif])=Final_Sans_VGE[[#This Row],[date_modif]],
      "Ancien",
      "Modifié"),
   "Nouveau"))</f>
        <v>#VALUE!</v>
      </c>
      <c r="AD2558" s="1" t="str">
        <f>IFERROR(IF(Final_Sans_VGE[[#This Row],[ppn_z]]="","",IFERROR(
   IF(_xlfn.XLOOKUP(Final_Sans_VGE[[#This Row],[ppn_z]],tbl_Historique_Final[[#This Row],[ppn_z]],tbl_Historique_Final[[#This Row],[date_modif]])=Final_Sans_VGE[[#This Row],[date_modif]],
      "Ancien",
      "Modifié"),
   "Nouveau")),"")</f>
        <v/>
      </c>
    </row>
    <row r="2559" spans="24:30" x14ac:dyDescent="0.25">
      <c r="X2559" s="8" t="e">
        <f>IF(Final_Sans_VGE[[#This Row],[ppn_z]]="","",IFERROR(
   IF(_xlfn.XLOOKUP(Final_Sans_VGE[[#This Row],[ppn_z]],tbl_Historique_Final[ppn_z],tbl_Historique_Final[date_modif])=Final_Sans_VGE[[#This Row],[date_modif]],
      "Ancien",
      "Modifié"),
   "Nouveau"))</f>
        <v>#VALUE!</v>
      </c>
      <c r="AD2559" s="1" t="str">
        <f>IFERROR(IF(Final_Sans_VGE[[#This Row],[ppn_z]]="","",IFERROR(
   IF(_xlfn.XLOOKUP(Final_Sans_VGE[[#This Row],[ppn_z]],tbl_Historique_Final[[#This Row],[ppn_z]],tbl_Historique_Final[[#This Row],[date_modif]])=Final_Sans_VGE[[#This Row],[date_modif]],
      "Ancien",
      "Modifié"),
   "Nouveau")),"")</f>
        <v/>
      </c>
    </row>
    <row r="2560" spans="24:30" x14ac:dyDescent="0.25">
      <c r="X2560" s="8" t="e">
        <f>IF(Final_Sans_VGE[[#This Row],[ppn_z]]="","",IFERROR(
   IF(_xlfn.XLOOKUP(Final_Sans_VGE[[#This Row],[ppn_z]],tbl_Historique_Final[ppn_z],tbl_Historique_Final[date_modif])=Final_Sans_VGE[[#This Row],[date_modif]],
      "Ancien",
      "Modifié"),
   "Nouveau"))</f>
        <v>#VALUE!</v>
      </c>
      <c r="AD2560" s="1" t="str">
        <f>IFERROR(IF(Final_Sans_VGE[[#This Row],[ppn_z]]="","",IFERROR(
   IF(_xlfn.XLOOKUP(Final_Sans_VGE[[#This Row],[ppn_z]],tbl_Historique_Final[[#This Row],[ppn_z]],tbl_Historique_Final[[#This Row],[date_modif]])=Final_Sans_VGE[[#This Row],[date_modif]],
      "Ancien",
      "Modifié"),
   "Nouveau")),"")</f>
        <v/>
      </c>
    </row>
    <row r="2561" spans="24:30" x14ac:dyDescent="0.25">
      <c r="X2561" s="8" t="e">
        <f>IF(Final_Sans_VGE[[#This Row],[ppn_z]]="","",IFERROR(
   IF(_xlfn.XLOOKUP(Final_Sans_VGE[[#This Row],[ppn_z]],tbl_Historique_Final[ppn_z],tbl_Historique_Final[date_modif])=Final_Sans_VGE[[#This Row],[date_modif]],
      "Ancien",
      "Modifié"),
   "Nouveau"))</f>
        <v>#VALUE!</v>
      </c>
      <c r="AD2561" s="1" t="str">
        <f>IFERROR(IF(Final_Sans_VGE[[#This Row],[ppn_z]]="","",IFERROR(
   IF(_xlfn.XLOOKUP(Final_Sans_VGE[[#This Row],[ppn_z]],tbl_Historique_Final[[#This Row],[ppn_z]],tbl_Historique_Final[[#This Row],[date_modif]])=Final_Sans_VGE[[#This Row],[date_modif]],
      "Ancien",
      "Modifié"),
   "Nouveau")),"")</f>
        <v/>
      </c>
    </row>
    <row r="2562" spans="24:30" x14ac:dyDescent="0.25">
      <c r="X2562" s="8" t="e">
        <f>IF(Final_Sans_VGE[[#This Row],[ppn_z]]="","",IFERROR(
   IF(_xlfn.XLOOKUP(Final_Sans_VGE[[#This Row],[ppn_z]],tbl_Historique_Final[ppn_z],tbl_Historique_Final[date_modif])=Final_Sans_VGE[[#This Row],[date_modif]],
      "Ancien",
      "Modifié"),
   "Nouveau"))</f>
        <v>#VALUE!</v>
      </c>
      <c r="AD2562" s="1" t="str">
        <f>IFERROR(IF(Final_Sans_VGE[[#This Row],[ppn_z]]="","",IFERROR(
   IF(_xlfn.XLOOKUP(Final_Sans_VGE[[#This Row],[ppn_z]],tbl_Historique_Final[[#This Row],[ppn_z]],tbl_Historique_Final[[#This Row],[date_modif]])=Final_Sans_VGE[[#This Row],[date_modif]],
      "Ancien",
      "Modifié"),
   "Nouveau")),"")</f>
        <v/>
      </c>
    </row>
    <row r="2563" spans="24:30" x14ac:dyDescent="0.25">
      <c r="X2563" s="8" t="e">
        <f>IF(Final_Sans_VGE[[#This Row],[ppn_z]]="","",IFERROR(
   IF(_xlfn.XLOOKUP(Final_Sans_VGE[[#This Row],[ppn_z]],tbl_Historique_Final[ppn_z],tbl_Historique_Final[date_modif])=Final_Sans_VGE[[#This Row],[date_modif]],
      "Ancien",
      "Modifié"),
   "Nouveau"))</f>
        <v>#VALUE!</v>
      </c>
      <c r="AD2563" s="1" t="str">
        <f>IFERROR(IF(Final_Sans_VGE[[#This Row],[ppn_z]]="","",IFERROR(
   IF(_xlfn.XLOOKUP(Final_Sans_VGE[[#This Row],[ppn_z]],tbl_Historique_Final[[#This Row],[ppn_z]],tbl_Historique_Final[[#This Row],[date_modif]])=Final_Sans_VGE[[#This Row],[date_modif]],
      "Ancien",
      "Modifié"),
   "Nouveau")),"")</f>
        <v/>
      </c>
    </row>
    <row r="2564" spans="24:30" x14ac:dyDescent="0.25">
      <c r="X2564" s="8" t="e">
        <f>IF(Final_Sans_VGE[[#This Row],[ppn_z]]="","",IFERROR(
   IF(_xlfn.XLOOKUP(Final_Sans_VGE[[#This Row],[ppn_z]],tbl_Historique_Final[ppn_z],tbl_Historique_Final[date_modif])=Final_Sans_VGE[[#This Row],[date_modif]],
      "Ancien",
      "Modifié"),
   "Nouveau"))</f>
        <v>#VALUE!</v>
      </c>
      <c r="AD2564" s="1" t="str">
        <f>IFERROR(IF(Final_Sans_VGE[[#This Row],[ppn_z]]="","",IFERROR(
   IF(_xlfn.XLOOKUP(Final_Sans_VGE[[#This Row],[ppn_z]],tbl_Historique_Final[[#This Row],[ppn_z]],tbl_Historique_Final[[#This Row],[date_modif]])=Final_Sans_VGE[[#This Row],[date_modif]],
      "Ancien",
      "Modifié"),
   "Nouveau")),"")</f>
        <v/>
      </c>
    </row>
    <row r="2565" spans="24:30" x14ac:dyDescent="0.25">
      <c r="X2565" s="8" t="e">
        <f>IF(Final_Sans_VGE[[#This Row],[ppn_z]]="","",IFERROR(
   IF(_xlfn.XLOOKUP(Final_Sans_VGE[[#This Row],[ppn_z]],tbl_Historique_Final[ppn_z],tbl_Historique_Final[date_modif])=Final_Sans_VGE[[#This Row],[date_modif]],
      "Ancien",
      "Modifié"),
   "Nouveau"))</f>
        <v>#VALUE!</v>
      </c>
      <c r="AD2565" s="1" t="str">
        <f>IFERROR(IF(Final_Sans_VGE[[#This Row],[ppn_z]]="","",IFERROR(
   IF(_xlfn.XLOOKUP(Final_Sans_VGE[[#This Row],[ppn_z]],tbl_Historique_Final[[#This Row],[ppn_z]],tbl_Historique_Final[[#This Row],[date_modif]])=Final_Sans_VGE[[#This Row],[date_modif]],
      "Ancien",
      "Modifié"),
   "Nouveau")),"")</f>
        <v/>
      </c>
    </row>
    <row r="2566" spans="24:30" x14ac:dyDescent="0.25">
      <c r="X2566" s="8" t="e">
        <f>IF(Final_Sans_VGE[[#This Row],[ppn_z]]="","",IFERROR(
   IF(_xlfn.XLOOKUP(Final_Sans_VGE[[#This Row],[ppn_z]],tbl_Historique_Final[ppn_z],tbl_Historique_Final[date_modif])=Final_Sans_VGE[[#This Row],[date_modif]],
      "Ancien",
      "Modifié"),
   "Nouveau"))</f>
        <v>#VALUE!</v>
      </c>
      <c r="AD2566" s="1" t="str">
        <f>IFERROR(IF(Final_Sans_VGE[[#This Row],[ppn_z]]="","",IFERROR(
   IF(_xlfn.XLOOKUP(Final_Sans_VGE[[#This Row],[ppn_z]],tbl_Historique_Final[[#This Row],[ppn_z]],tbl_Historique_Final[[#This Row],[date_modif]])=Final_Sans_VGE[[#This Row],[date_modif]],
      "Ancien",
      "Modifié"),
   "Nouveau")),"")</f>
        <v/>
      </c>
    </row>
    <row r="2567" spans="24:30" x14ac:dyDescent="0.25">
      <c r="X2567" s="8" t="e">
        <f>IF(Final_Sans_VGE[[#This Row],[ppn_z]]="","",IFERROR(
   IF(_xlfn.XLOOKUP(Final_Sans_VGE[[#This Row],[ppn_z]],tbl_Historique_Final[ppn_z],tbl_Historique_Final[date_modif])=Final_Sans_VGE[[#This Row],[date_modif]],
      "Ancien",
      "Modifié"),
   "Nouveau"))</f>
        <v>#VALUE!</v>
      </c>
      <c r="AD2567" s="1" t="str">
        <f>IFERROR(IF(Final_Sans_VGE[[#This Row],[ppn_z]]="","",IFERROR(
   IF(_xlfn.XLOOKUP(Final_Sans_VGE[[#This Row],[ppn_z]],tbl_Historique_Final[[#This Row],[ppn_z]],tbl_Historique_Final[[#This Row],[date_modif]])=Final_Sans_VGE[[#This Row],[date_modif]],
      "Ancien",
      "Modifié"),
   "Nouveau")),"")</f>
        <v/>
      </c>
    </row>
    <row r="2568" spans="24:30" x14ac:dyDescent="0.25">
      <c r="X2568" s="8" t="e">
        <f>IF(Final_Sans_VGE[[#This Row],[ppn_z]]="","",IFERROR(
   IF(_xlfn.XLOOKUP(Final_Sans_VGE[[#This Row],[ppn_z]],tbl_Historique_Final[ppn_z],tbl_Historique_Final[date_modif])=Final_Sans_VGE[[#This Row],[date_modif]],
      "Ancien",
      "Modifié"),
   "Nouveau"))</f>
        <v>#VALUE!</v>
      </c>
      <c r="AD2568" s="1" t="str">
        <f>IFERROR(IF(Final_Sans_VGE[[#This Row],[ppn_z]]="","",IFERROR(
   IF(_xlfn.XLOOKUP(Final_Sans_VGE[[#This Row],[ppn_z]],tbl_Historique_Final[[#This Row],[ppn_z]],tbl_Historique_Final[[#This Row],[date_modif]])=Final_Sans_VGE[[#This Row],[date_modif]],
      "Ancien",
      "Modifié"),
   "Nouveau")),"")</f>
        <v/>
      </c>
    </row>
    <row r="2569" spans="24:30" x14ac:dyDescent="0.25">
      <c r="X2569" s="8" t="e">
        <f>IF(Final_Sans_VGE[[#This Row],[ppn_z]]="","",IFERROR(
   IF(_xlfn.XLOOKUP(Final_Sans_VGE[[#This Row],[ppn_z]],tbl_Historique_Final[ppn_z],tbl_Historique_Final[date_modif])=Final_Sans_VGE[[#This Row],[date_modif]],
      "Ancien",
      "Modifié"),
   "Nouveau"))</f>
        <v>#VALUE!</v>
      </c>
      <c r="AD2569" s="1" t="str">
        <f>IFERROR(IF(Final_Sans_VGE[[#This Row],[ppn_z]]="","",IFERROR(
   IF(_xlfn.XLOOKUP(Final_Sans_VGE[[#This Row],[ppn_z]],tbl_Historique_Final[[#This Row],[ppn_z]],tbl_Historique_Final[[#This Row],[date_modif]])=Final_Sans_VGE[[#This Row],[date_modif]],
      "Ancien",
      "Modifié"),
   "Nouveau")),"")</f>
        <v/>
      </c>
    </row>
    <row r="2570" spans="24:30" x14ac:dyDescent="0.25">
      <c r="X2570" s="8" t="e">
        <f>IF(Final_Sans_VGE[[#This Row],[ppn_z]]="","",IFERROR(
   IF(_xlfn.XLOOKUP(Final_Sans_VGE[[#This Row],[ppn_z]],tbl_Historique_Final[ppn_z],tbl_Historique_Final[date_modif])=Final_Sans_VGE[[#This Row],[date_modif]],
      "Ancien",
      "Modifié"),
   "Nouveau"))</f>
        <v>#VALUE!</v>
      </c>
      <c r="AD2570" s="1" t="str">
        <f>IFERROR(IF(Final_Sans_VGE[[#This Row],[ppn_z]]="","",IFERROR(
   IF(_xlfn.XLOOKUP(Final_Sans_VGE[[#This Row],[ppn_z]],tbl_Historique_Final[[#This Row],[ppn_z]],tbl_Historique_Final[[#This Row],[date_modif]])=Final_Sans_VGE[[#This Row],[date_modif]],
      "Ancien",
      "Modifié"),
   "Nouveau")),"")</f>
        <v/>
      </c>
    </row>
    <row r="2571" spans="24:30" x14ac:dyDescent="0.25">
      <c r="X2571" s="8" t="e">
        <f>IF(Final_Sans_VGE[[#This Row],[ppn_z]]="","",IFERROR(
   IF(_xlfn.XLOOKUP(Final_Sans_VGE[[#This Row],[ppn_z]],tbl_Historique_Final[ppn_z],tbl_Historique_Final[date_modif])=Final_Sans_VGE[[#This Row],[date_modif]],
      "Ancien",
      "Modifié"),
   "Nouveau"))</f>
        <v>#VALUE!</v>
      </c>
      <c r="AD2571" s="1" t="str">
        <f>IFERROR(IF(Final_Sans_VGE[[#This Row],[ppn_z]]="","",IFERROR(
   IF(_xlfn.XLOOKUP(Final_Sans_VGE[[#This Row],[ppn_z]],tbl_Historique_Final[[#This Row],[ppn_z]],tbl_Historique_Final[[#This Row],[date_modif]])=Final_Sans_VGE[[#This Row],[date_modif]],
      "Ancien",
      "Modifié"),
   "Nouveau")),"")</f>
        <v/>
      </c>
    </row>
    <row r="2572" spans="24:30" x14ac:dyDescent="0.25">
      <c r="X2572" s="8" t="e">
        <f>IF(Final_Sans_VGE[[#This Row],[ppn_z]]="","",IFERROR(
   IF(_xlfn.XLOOKUP(Final_Sans_VGE[[#This Row],[ppn_z]],tbl_Historique_Final[ppn_z],tbl_Historique_Final[date_modif])=Final_Sans_VGE[[#This Row],[date_modif]],
      "Ancien",
      "Modifié"),
   "Nouveau"))</f>
        <v>#VALUE!</v>
      </c>
      <c r="AD2572" s="1" t="str">
        <f>IFERROR(IF(Final_Sans_VGE[[#This Row],[ppn_z]]="","",IFERROR(
   IF(_xlfn.XLOOKUP(Final_Sans_VGE[[#This Row],[ppn_z]],tbl_Historique_Final[[#This Row],[ppn_z]],tbl_Historique_Final[[#This Row],[date_modif]])=Final_Sans_VGE[[#This Row],[date_modif]],
      "Ancien",
      "Modifié"),
   "Nouveau")),"")</f>
        <v/>
      </c>
    </row>
    <row r="2573" spans="24:30" x14ac:dyDescent="0.25">
      <c r="X2573" s="8" t="e">
        <f>IF(Final_Sans_VGE[[#This Row],[ppn_z]]="","",IFERROR(
   IF(_xlfn.XLOOKUP(Final_Sans_VGE[[#This Row],[ppn_z]],tbl_Historique_Final[ppn_z],tbl_Historique_Final[date_modif])=Final_Sans_VGE[[#This Row],[date_modif]],
      "Ancien",
      "Modifié"),
   "Nouveau"))</f>
        <v>#VALUE!</v>
      </c>
      <c r="AD2573" s="1" t="str">
        <f>IFERROR(IF(Final_Sans_VGE[[#This Row],[ppn_z]]="","",IFERROR(
   IF(_xlfn.XLOOKUP(Final_Sans_VGE[[#This Row],[ppn_z]],tbl_Historique_Final[[#This Row],[ppn_z]],tbl_Historique_Final[[#This Row],[date_modif]])=Final_Sans_VGE[[#This Row],[date_modif]],
      "Ancien",
      "Modifié"),
   "Nouveau")),"")</f>
        <v/>
      </c>
    </row>
    <row r="2574" spans="24:30" x14ac:dyDescent="0.25">
      <c r="X2574" s="8" t="e">
        <f>IF(Final_Sans_VGE[[#This Row],[ppn_z]]="","",IFERROR(
   IF(_xlfn.XLOOKUP(Final_Sans_VGE[[#This Row],[ppn_z]],tbl_Historique_Final[ppn_z],tbl_Historique_Final[date_modif])=Final_Sans_VGE[[#This Row],[date_modif]],
      "Ancien",
      "Modifié"),
   "Nouveau"))</f>
        <v>#VALUE!</v>
      </c>
      <c r="AD2574" s="1" t="str">
        <f>IFERROR(IF(Final_Sans_VGE[[#This Row],[ppn_z]]="","",IFERROR(
   IF(_xlfn.XLOOKUP(Final_Sans_VGE[[#This Row],[ppn_z]],tbl_Historique_Final[[#This Row],[ppn_z]],tbl_Historique_Final[[#This Row],[date_modif]])=Final_Sans_VGE[[#This Row],[date_modif]],
      "Ancien",
      "Modifié"),
   "Nouveau")),"")</f>
        <v/>
      </c>
    </row>
    <row r="2575" spans="24:30" x14ac:dyDescent="0.25">
      <c r="X2575" s="8" t="e">
        <f>IF(Final_Sans_VGE[[#This Row],[ppn_z]]="","",IFERROR(
   IF(_xlfn.XLOOKUP(Final_Sans_VGE[[#This Row],[ppn_z]],tbl_Historique_Final[ppn_z],tbl_Historique_Final[date_modif])=Final_Sans_VGE[[#This Row],[date_modif]],
      "Ancien",
      "Modifié"),
   "Nouveau"))</f>
        <v>#VALUE!</v>
      </c>
      <c r="AD2575" s="1" t="str">
        <f>IFERROR(IF(Final_Sans_VGE[[#This Row],[ppn_z]]="","",IFERROR(
   IF(_xlfn.XLOOKUP(Final_Sans_VGE[[#This Row],[ppn_z]],tbl_Historique_Final[[#This Row],[ppn_z]],tbl_Historique_Final[[#This Row],[date_modif]])=Final_Sans_VGE[[#This Row],[date_modif]],
      "Ancien",
      "Modifié"),
   "Nouveau")),"")</f>
        <v/>
      </c>
    </row>
    <row r="2576" spans="24:30" x14ac:dyDescent="0.25">
      <c r="X2576" s="8" t="e">
        <f>IF(Final_Sans_VGE[[#This Row],[ppn_z]]="","",IFERROR(
   IF(_xlfn.XLOOKUP(Final_Sans_VGE[[#This Row],[ppn_z]],tbl_Historique_Final[ppn_z],tbl_Historique_Final[date_modif])=Final_Sans_VGE[[#This Row],[date_modif]],
      "Ancien",
      "Modifié"),
   "Nouveau"))</f>
        <v>#VALUE!</v>
      </c>
      <c r="AD2576" s="1" t="str">
        <f>IFERROR(IF(Final_Sans_VGE[[#This Row],[ppn_z]]="","",IFERROR(
   IF(_xlfn.XLOOKUP(Final_Sans_VGE[[#This Row],[ppn_z]],tbl_Historique_Final[[#This Row],[ppn_z]],tbl_Historique_Final[[#This Row],[date_modif]])=Final_Sans_VGE[[#This Row],[date_modif]],
      "Ancien",
      "Modifié"),
   "Nouveau")),"")</f>
        <v/>
      </c>
    </row>
    <row r="2577" spans="24:30" x14ac:dyDescent="0.25">
      <c r="X2577" s="8" t="e">
        <f>IF(Final_Sans_VGE[[#This Row],[ppn_z]]="","",IFERROR(
   IF(_xlfn.XLOOKUP(Final_Sans_VGE[[#This Row],[ppn_z]],tbl_Historique_Final[ppn_z],tbl_Historique_Final[date_modif])=Final_Sans_VGE[[#This Row],[date_modif]],
      "Ancien",
      "Modifié"),
   "Nouveau"))</f>
        <v>#VALUE!</v>
      </c>
      <c r="AD2577" s="1" t="str">
        <f>IFERROR(IF(Final_Sans_VGE[[#This Row],[ppn_z]]="","",IFERROR(
   IF(_xlfn.XLOOKUP(Final_Sans_VGE[[#This Row],[ppn_z]],tbl_Historique_Final[[#This Row],[ppn_z]],tbl_Historique_Final[[#This Row],[date_modif]])=Final_Sans_VGE[[#This Row],[date_modif]],
      "Ancien",
      "Modifié"),
   "Nouveau")),"")</f>
        <v/>
      </c>
    </row>
    <row r="2578" spans="24:30" x14ac:dyDescent="0.25">
      <c r="X2578" s="8" t="e">
        <f>IF(Final_Sans_VGE[[#This Row],[ppn_z]]="","",IFERROR(
   IF(_xlfn.XLOOKUP(Final_Sans_VGE[[#This Row],[ppn_z]],tbl_Historique_Final[ppn_z],tbl_Historique_Final[date_modif])=Final_Sans_VGE[[#This Row],[date_modif]],
      "Ancien",
      "Modifié"),
   "Nouveau"))</f>
        <v>#VALUE!</v>
      </c>
      <c r="AD2578" s="1" t="str">
        <f>IFERROR(IF(Final_Sans_VGE[[#This Row],[ppn_z]]="","",IFERROR(
   IF(_xlfn.XLOOKUP(Final_Sans_VGE[[#This Row],[ppn_z]],tbl_Historique_Final[[#This Row],[ppn_z]],tbl_Historique_Final[[#This Row],[date_modif]])=Final_Sans_VGE[[#This Row],[date_modif]],
      "Ancien",
      "Modifié"),
   "Nouveau")),"")</f>
        <v/>
      </c>
    </row>
    <row r="2579" spans="24:30" x14ac:dyDescent="0.25">
      <c r="X2579" s="8" t="e">
        <f>IF(Final_Sans_VGE[[#This Row],[ppn_z]]="","",IFERROR(
   IF(_xlfn.XLOOKUP(Final_Sans_VGE[[#This Row],[ppn_z]],tbl_Historique_Final[ppn_z],tbl_Historique_Final[date_modif])=Final_Sans_VGE[[#This Row],[date_modif]],
      "Ancien",
      "Modifié"),
   "Nouveau"))</f>
        <v>#VALUE!</v>
      </c>
      <c r="AD2579" s="1" t="str">
        <f>IFERROR(IF(Final_Sans_VGE[[#This Row],[ppn_z]]="","",IFERROR(
   IF(_xlfn.XLOOKUP(Final_Sans_VGE[[#This Row],[ppn_z]],tbl_Historique_Final[[#This Row],[ppn_z]],tbl_Historique_Final[[#This Row],[date_modif]])=Final_Sans_VGE[[#This Row],[date_modif]],
      "Ancien",
      "Modifié"),
   "Nouveau")),"")</f>
        <v/>
      </c>
    </row>
    <row r="2580" spans="24:30" x14ac:dyDescent="0.25">
      <c r="X2580" s="8" t="e">
        <f>IF(Final_Sans_VGE[[#This Row],[ppn_z]]="","",IFERROR(
   IF(_xlfn.XLOOKUP(Final_Sans_VGE[[#This Row],[ppn_z]],tbl_Historique_Final[ppn_z],tbl_Historique_Final[date_modif])=Final_Sans_VGE[[#This Row],[date_modif]],
      "Ancien",
      "Modifié"),
   "Nouveau"))</f>
        <v>#VALUE!</v>
      </c>
      <c r="AD2580" s="1" t="str">
        <f>IFERROR(IF(Final_Sans_VGE[[#This Row],[ppn_z]]="","",IFERROR(
   IF(_xlfn.XLOOKUP(Final_Sans_VGE[[#This Row],[ppn_z]],tbl_Historique_Final[[#This Row],[ppn_z]],tbl_Historique_Final[[#This Row],[date_modif]])=Final_Sans_VGE[[#This Row],[date_modif]],
      "Ancien",
      "Modifié"),
   "Nouveau")),"")</f>
        <v/>
      </c>
    </row>
    <row r="2581" spans="24:30" x14ac:dyDescent="0.25">
      <c r="X2581" s="8" t="e">
        <f>IF(Final_Sans_VGE[[#This Row],[ppn_z]]="","",IFERROR(
   IF(_xlfn.XLOOKUP(Final_Sans_VGE[[#This Row],[ppn_z]],tbl_Historique_Final[ppn_z],tbl_Historique_Final[date_modif])=Final_Sans_VGE[[#This Row],[date_modif]],
      "Ancien",
      "Modifié"),
   "Nouveau"))</f>
        <v>#VALUE!</v>
      </c>
      <c r="AD2581" s="1" t="str">
        <f>IFERROR(IF(Final_Sans_VGE[[#This Row],[ppn_z]]="","",IFERROR(
   IF(_xlfn.XLOOKUP(Final_Sans_VGE[[#This Row],[ppn_z]],tbl_Historique_Final[[#This Row],[ppn_z]],tbl_Historique_Final[[#This Row],[date_modif]])=Final_Sans_VGE[[#This Row],[date_modif]],
      "Ancien",
      "Modifié"),
   "Nouveau")),"")</f>
        <v/>
      </c>
    </row>
    <row r="2582" spans="24:30" x14ac:dyDescent="0.25">
      <c r="X2582" s="8" t="e">
        <f>IF(Final_Sans_VGE[[#This Row],[ppn_z]]="","",IFERROR(
   IF(_xlfn.XLOOKUP(Final_Sans_VGE[[#This Row],[ppn_z]],tbl_Historique_Final[ppn_z],tbl_Historique_Final[date_modif])=Final_Sans_VGE[[#This Row],[date_modif]],
      "Ancien",
      "Modifié"),
   "Nouveau"))</f>
        <v>#VALUE!</v>
      </c>
      <c r="AD2582" s="1" t="str">
        <f>IFERROR(IF(Final_Sans_VGE[[#This Row],[ppn_z]]="","",IFERROR(
   IF(_xlfn.XLOOKUP(Final_Sans_VGE[[#This Row],[ppn_z]],tbl_Historique_Final[[#This Row],[ppn_z]],tbl_Historique_Final[[#This Row],[date_modif]])=Final_Sans_VGE[[#This Row],[date_modif]],
      "Ancien",
      "Modifié"),
   "Nouveau")),"")</f>
        <v/>
      </c>
    </row>
    <row r="2583" spans="24:30" x14ac:dyDescent="0.25">
      <c r="X2583" s="8" t="e">
        <f>IF(Final_Sans_VGE[[#This Row],[ppn_z]]="","",IFERROR(
   IF(_xlfn.XLOOKUP(Final_Sans_VGE[[#This Row],[ppn_z]],tbl_Historique_Final[ppn_z],tbl_Historique_Final[date_modif])=Final_Sans_VGE[[#This Row],[date_modif]],
      "Ancien",
      "Modifié"),
   "Nouveau"))</f>
        <v>#VALUE!</v>
      </c>
      <c r="AD2583" s="1" t="str">
        <f>IFERROR(IF(Final_Sans_VGE[[#This Row],[ppn_z]]="","",IFERROR(
   IF(_xlfn.XLOOKUP(Final_Sans_VGE[[#This Row],[ppn_z]],tbl_Historique_Final[[#This Row],[ppn_z]],tbl_Historique_Final[[#This Row],[date_modif]])=Final_Sans_VGE[[#This Row],[date_modif]],
      "Ancien",
      "Modifié"),
   "Nouveau")),"")</f>
        <v/>
      </c>
    </row>
    <row r="2584" spans="24:30" x14ac:dyDescent="0.25">
      <c r="X2584" s="8" t="e">
        <f>IF(Final_Sans_VGE[[#This Row],[ppn_z]]="","",IFERROR(
   IF(_xlfn.XLOOKUP(Final_Sans_VGE[[#This Row],[ppn_z]],tbl_Historique_Final[ppn_z],tbl_Historique_Final[date_modif])=Final_Sans_VGE[[#This Row],[date_modif]],
      "Ancien",
      "Modifié"),
   "Nouveau"))</f>
        <v>#VALUE!</v>
      </c>
      <c r="AD2584" s="1" t="str">
        <f>IFERROR(IF(Final_Sans_VGE[[#This Row],[ppn_z]]="","",IFERROR(
   IF(_xlfn.XLOOKUP(Final_Sans_VGE[[#This Row],[ppn_z]],tbl_Historique_Final[[#This Row],[ppn_z]],tbl_Historique_Final[[#This Row],[date_modif]])=Final_Sans_VGE[[#This Row],[date_modif]],
      "Ancien",
      "Modifié"),
   "Nouveau")),"")</f>
        <v/>
      </c>
    </row>
    <row r="2585" spans="24:30" x14ac:dyDescent="0.25">
      <c r="X2585" s="8" t="e">
        <f>IF(Final_Sans_VGE[[#This Row],[ppn_z]]="","",IFERROR(
   IF(_xlfn.XLOOKUP(Final_Sans_VGE[[#This Row],[ppn_z]],tbl_Historique_Final[ppn_z],tbl_Historique_Final[date_modif])=Final_Sans_VGE[[#This Row],[date_modif]],
      "Ancien",
      "Modifié"),
   "Nouveau"))</f>
        <v>#VALUE!</v>
      </c>
      <c r="AD2585" s="1" t="str">
        <f>IFERROR(IF(Final_Sans_VGE[[#This Row],[ppn_z]]="","",IFERROR(
   IF(_xlfn.XLOOKUP(Final_Sans_VGE[[#This Row],[ppn_z]],tbl_Historique_Final[[#This Row],[ppn_z]],tbl_Historique_Final[[#This Row],[date_modif]])=Final_Sans_VGE[[#This Row],[date_modif]],
      "Ancien",
      "Modifié"),
   "Nouveau")),"")</f>
        <v/>
      </c>
    </row>
    <row r="2586" spans="24:30" x14ac:dyDescent="0.25">
      <c r="X2586" s="8" t="e">
        <f>IF(Final_Sans_VGE[[#This Row],[ppn_z]]="","",IFERROR(
   IF(_xlfn.XLOOKUP(Final_Sans_VGE[[#This Row],[ppn_z]],tbl_Historique_Final[ppn_z],tbl_Historique_Final[date_modif])=Final_Sans_VGE[[#This Row],[date_modif]],
      "Ancien",
      "Modifié"),
   "Nouveau"))</f>
        <v>#VALUE!</v>
      </c>
      <c r="AD2586" s="1" t="str">
        <f>IFERROR(IF(Final_Sans_VGE[[#This Row],[ppn_z]]="","",IFERROR(
   IF(_xlfn.XLOOKUP(Final_Sans_VGE[[#This Row],[ppn_z]],tbl_Historique_Final[[#This Row],[ppn_z]],tbl_Historique_Final[[#This Row],[date_modif]])=Final_Sans_VGE[[#This Row],[date_modif]],
      "Ancien",
      "Modifié"),
   "Nouveau")),"")</f>
        <v/>
      </c>
    </row>
    <row r="2587" spans="24:30" x14ac:dyDescent="0.25">
      <c r="X2587" s="8" t="e">
        <f>IF(Final_Sans_VGE[[#This Row],[ppn_z]]="","",IFERROR(
   IF(_xlfn.XLOOKUP(Final_Sans_VGE[[#This Row],[ppn_z]],tbl_Historique_Final[ppn_z],tbl_Historique_Final[date_modif])=Final_Sans_VGE[[#This Row],[date_modif]],
      "Ancien",
      "Modifié"),
   "Nouveau"))</f>
        <v>#VALUE!</v>
      </c>
      <c r="AD2587" s="1" t="str">
        <f>IFERROR(IF(Final_Sans_VGE[[#This Row],[ppn_z]]="","",IFERROR(
   IF(_xlfn.XLOOKUP(Final_Sans_VGE[[#This Row],[ppn_z]],tbl_Historique_Final[[#This Row],[ppn_z]],tbl_Historique_Final[[#This Row],[date_modif]])=Final_Sans_VGE[[#This Row],[date_modif]],
      "Ancien",
      "Modifié"),
   "Nouveau")),"")</f>
        <v/>
      </c>
    </row>
    <row r="2588" spans="24:30" x14ac:dyDescent="0.25">
      <c r="X2588" s="8" t="e">
        <f>IF(Final_Sans_VGE[[#This Row],[ppn_z]]="","",IFERROR(
   IF(_xlfn.XLOOKUP(Final_Sans_VGE[[#This Row],[ppn_z]],tbl_Historique_Final[ppn_z],tbl_Historique_Final[date_modif])=Final_Sans_VGE[[#This Row],[date_modif]],
      "Ancien",
      "Modifié"),
   "Nouveau"))</f>
        <v>#VALUE!</v>
      </c>
      <c r="AD2588" s="1" t="str">
        <f>IFERROR(IF(Final_Sans_VGE[[#This Row],[ppn_z]]="","",IFERROR(
   IF(_xlfn.XLOOKUP(Final_Sans_VGE[[#This Row],[ppn_z]],tbl_Historique_Final[[#This Row],[ppn_z]],tbl_Historique_Final[[#This Row],[date_modif]])=Final_Sans_VGE[[#This Row],[date_modif]],
      "Ancien",
      "Modifié"),
   "Nouveau")),"")</f>
        <v/>
      </c>
    </row>
    <row r="2589" spans="24:30" x14ac:dyDescent="0.25">
      <c r="X2589" s="8" t="e">
        <f>IF(Final_Sans_VGE[[#This Row],[ppn_z]]="","",IFERROR(
   IF(_xlfn.XLOOKUP(Final_Sans_VGE[[#This Row],[ppn_z]],tbl_Historique_Final[ppn_z],tbl_Historique_Final[date_modif])=Final_Sans_VGE[[#This Row],[date_modif]],
      "Ancien",
      "Modifié"),
   "Nouveau"))</f>
        <v>#VALUE!</v>
      </c>
      <c r="AD2589" s="1" t="str">
        <f>IFERROR(IF(Final_Sans_VGE[[#This Row],[ppn_z]]="","",IFERROR(
   IF(_xlfn.XLOOKUP(Final_Sans_VGE[[#This Row],[ppn_z]],tbl_Historique_Final[[#This Row],[ppn_z]],tbl_Historique_Final[[#This Row],[date_modif]])=Final_Sans_VGE[[#This Row],[date_modif]],
      "Ancien",
      "Modifié"),
   "Nouveau")),"")</f>
        <v/>
      </c>
    </row>
    <row r="2590" spans="24:30" x14ac:dyDescent="0.25">
      <c r="X2590" s="8" t="e">
        <f>IF(Final_Sans_VGE[[#This Row],[ppn_z]]="","",IFERROR(
   IF(_xlfn.XLOOKUP(Final_Sans_VGE[[#This Row],[ppn_z]],tbl_Historique_Final[ppn_z],tbl_Historique_Final[date_modif])=Final_Sans_VGE[[#This Row],[date_modif]],
      "Ancien",
      "Modifié"),
   "Nouveau"))</f>
        <v>#VALUE!</v>
      </c>
      <c r="AD2590" s="1" t="str">
        <f>IFERROR(IF(Final_Sans_VGE[[#This Row],[ppn_z]]="","",IFERROR(
   IF(_xlfn.XLOOKUP(Final_Sans_VGE[[#This Row],[ppn_z]],tbl_Historique_Final[[#This Row],[ppn_z]],tbl_Historique_Final[[#This Row],[date_modif]])=Final_Sans_VGE[[#This Row],[date_modif]],
      "Ancien",
      "Modifié"),
   "Nouveau")),"")</f>
        <v/>
      </c>
    </row>
    <row r="2591" spans="24:30" x14ac:dyDescent="0.25">
      <c r="X2591" s="8" t="e">
        <f>IF(Final_Sans_VGE[[#This Row],[ppn_z]]="","",IFERROR(
   IF(_xlfn.XLOOKUP(Final_Sans_VGE[[#This Row],[ppn_z]],tbl_Historique_Final[ppn_z],tbl_Historique_Final[date_modif])=Final_Sans_VGE[[#This Row],[date_modif]],
      "Ancien",
      "Modifié"),
   "Nouveau"))</f>
        <v>#VALUE!</v>
      </c>
      <c r="AD2591" s="1" t="str">
        <f>IFERROR(IF(Final_Sans_VGE[[#This Row],[ppn_z]]="","",IFERROR(
   IF(_xlfn.XLOOKUP(Final_Sans_VGE[[#This Row],[ppn_z]],tbl_Historique_Final[[#This Row],[ppn_z]],tbl_Historique_Final[[#This Row],[date_modif]])=Final_Sans_VGE[[#This Row],[date_modif]],
      "Ancien",
      "Modifié"),
   "Nouveau")),"")</f>
        <v/>
      </c>
    </row>
    <row r="2592" spans="24:30" x14ac:dyDescent="0.25">
      <c r="X2592" s="8" t="e">
        <f>IF(Final_Sans_VGE[[#This Row],[ppn_z]]="","",IFERROR(
   IF(_xlfn.XLOOKUP(Final_Sans_VGE[[#This Row],[ppn_z]],tbl_Historique_Final[ppn_z],tbl_Historique_Final[date_modif])=Final_Sans_VGE[[#This Row],[date_modif]],
      "Ancien",
      "Modifié"),
   "Nouveau"))</f>
        <v>#VALUE!</v>
      </c>
      <c r="AD2592" s="1" t="str">
        <f>IFERROR(IF(Final_Sans_VGE[[#This Row],[ppn_z]]="","",IFERROR(
   IF(_xlfn.XLOOKUP(Final_Sans_VGE[[#This Row],[ppn_z]],tbl_Historique_Final[[#This Row],[ppn_z]],tbl_Historique_Final[[#This Row],[date_modif]])=Final_Sans_VGE[[#This Row],[date_modif]],
      "Ancien",
      "Modifié"),
   "Nouveau")),"")</f>
        <v/>
      </c>
    </row>
    <row r="2593" spans="24:30" x14ac:dyDescent="0.25">
      <c r="X2593" s="8" t="e">
        <f>IF(Final_Sans_VGE[[#This Row],[ppn_z]]="","",IFERROR(
   IF(_xlfn.XLOOKUP(Final_Sans_VGE[[#This Row],[ppn_z]],tbl_Historique_Final[ppn_z],tbl_Historique_Final[date_modif])=Final_Sans_VGE[[#This Row],[date_modif]],
      "Ancien",
      "Modifié"),
   "Nouveau"))</f>
        <v>#VALUE!</v>
      </c>
      <c r="AD2593" s="1" t="str">
        <f>IFERROR(IF(Final_Sans_VGE[[#This Row],[ppn_z]]="","",IFERROR(
   IF(_xlfn.XLOOKUP(Final_Sans_VGE[[#This Row],[ppn_z]],tbl_Historique_Final[[#This Row],[ppn_z]],tbl_Historique_Final[[#This Row],[date_modif]])=Final_Sans_VGE[[#This Row],[date_modif]],
      "Ancien",
      "Modifié"),
   "Nouveau")),"")</f>
        <v/>
      </c>
    </row>
    <row r="2594" spans="24:30" x14ac:dyDescent="0.25">
      <c r="X2594" s="8" t="e">
        <f>IF(Final_Sans_VGE[[#This Row],[ppn_z]]="","",IFERROR(
   IF(_xlfn.XLOOKUP(Final_Sans_VGE[[#This Row],[ppn_z]],tbl_Historique_Final[ppn_z],tbl_Historique_Final[date_modif])=Final_Sans_VGE[[#This Row],[date_modif]],
      "Ancien",
      "Modifié"),
   "Nouveau"))</f>
        <v>#VALUE!</v>
      </c>
      <c r="AD2594" s="1" t="str">
        <f>IFERROR(IF(Final_Sans_VGE[[#This Row],[ppn_z]]="","",IFERROR(
   IF(_xlfn.XLOOKUP(Final_Sans_VGE[[#This Row],[ppn_z]],tbl_Historique_Final[[#This Row],[ppn_z]],tbl_Historique_Final[[#This Row],[date_modif]])=Final_Sans_VGE[[#This Row],[date_modif]],
      "Ancien",
      "Modifié"),
   "Nouveau")),"")</f>
        <v/>
      </c>
    </row>
    <row r="2595" spans="24:30" x14ac:dyDescent="0.25">
      <c r="X2595" s="8" t="e">
        <f>IF(Final_Sans_VGE[[#This Row],[ppn_z]]="","",IFERROR(
   IF(_xlfn.XLOOKUP(Final_Sans_VGE[[#This Row],[ppn_z]],tbl_Historique_Final[ppn_z],tbl_Historique_Final[date_modif])=Final_Sans_VGE[[#This Row],[date_modif]],
      "Ancien",
      "Modifié"),
   "Nouveau"))</f>
        <v>#VALUE!</v>
      </c>
      <c r="AD2595" s="1" t="str">
        <f>IFERROR(IF(Final_Sans_VGE[[#This Row],[ppn_z]]="","",IFERROR(
   IF(_xlfn.XLOOKUP(Final_Sans_VGE[[#This Row],[ppn_z]],tbl_Historique_Final[[#This Row],[ppn_z]],tbl_Historique_Final[[#This Row],[date_modif]])=Final_Sans_VGE[[#This Row],[date_modif]],
      "Ancien",
      "Modifié"),
   "Nouveau")),"")</f>
        <v/>
      </c>
    </row>
    <row r="2596" spans="24:30" x14ac:dyDescent="0.25">
      <c r="X2596" s="8" t="e">
        <f>IF(Final_Sans_VGE[[#This Row],[ppn_z]]="","",IFERROR(
   IF(_xlfn.XLOOKUP(Final_Sans_VGE[[#This Row],[ppn_z]],tbl_Historique_Final[ppn_z],tbl_Historique_Final[date_modif])=Final_Sans_VGE[[#This Row],[date_modif]],
      "Ancien",
      "Modifié"),
   "Nouveau"))</f>
        <v>#VALUE!</v>
      </c>
      <c r="AD2596" s="1" t="str">
        <f>IFERROR(IF(Final_Sans_VGE[[#This Row],[ppn_z]]="","",IFERROR(
   IF(_xlfn.XLOOKUP(Final_Sans_VGE[[#This Row],[ppn_z]],tbl_Historique_Final[[#This Row],[ppn_z]],tbl_Historique_Final[[#This Row],[date_modif]])=Final_Sans_VGE[[#This Row],[date_modif]],
      "Ancien",
      "Modifié"),
   "Nouveau")),"")</f>
        <v/>
      </c>
    </row>
    <row r="2597" spans="24:30" x14ac:dyDescent="0.25">
      <c r="X2597" s="8" t="e">
        <f>IF(Final_Sans_VGE[[#This Row],[ppn_z]]="","",IFERROR(
   IF(_xlfn.XLOOKUP(Final_Sans_VGE[[#This Row],[ppn_z]],tbl_Historique_Final[ppn_z],tbl_Historique_Final[date_modif])=Final_Sans_VGE[[#This Row],[date_modif]],
      "Ancien",
      "Modifié"),
   "Nouveau"))</f>
        <v>#VALUE!</v>
      </c>
      <c r="AD2597" s="1" t="str">
        <f>IFERROR(IF(Final_Sans_VGE[[#This Row],[ppn_z]]="","",IFERROR(
   IF(_xlfn.XLOOKUP(Final_Sans_VGE[[#This Row],[ppn_z]],tbl_Historique_Final[[#This Row],[ppn_z]],tbl_Historique_Final[[#This Row],[date_modif]])=Final_Sans_VGE[[#This Row],[date_modif]],
      "Ancien",
      "Modifié"),
   "Nouveau")),"")</f>
        <v/>
      </c>
    </row>
    <row r="2598" spans="24:30" x14ac:dyDescent="0.25">
      <c r="X2598" s="8" t="e">
        <f>IF(Final_Sans_VGE[[#This Row],[ppn_z]]="","",IFERROR(
   IF(_xlfn.XLOOKUP(Final_Sans_VGE[[#This Row],[ppn_z]],tbl_Historique_Final[ppn_z],tbl_Historique_Final[date_modif])=Final_Sans_VGE[[#This Row],[date_modif]],
      "Ancien",
      "Modifié"),
   "Nouveau"))</f>
        <v>#VALUE!</v>
      </c>
      <c r="AD2598" s="1" t="str">
        <f>IFERROR(IF(Final_Sans_VGE[[#This Row],[ppn_z]]="","",IFERROR(
   IF(_xlfn.XLOOKUP(Final_Sans_VGE[[#This Row],[ppn_z]],tbl_Historique_Final[[#This Row],[ppn_z]],tbl_Historique_Final[[#This Row],[date_modif]])=Final_Sans_VGE[[#This Row],[date_modif]],
      "Ancien",
      "Modifié"),
   "Nouveau")),"")</f>
        <v/>
      </c>
    </row>
    <row r="2599" spans="24:30" x14ac:dyDescent="0.25">
      <c r="X2599" s="8" t="e">
        <f>IF(Final_Sans_VGE[[#This Row],[ppn_z]]="","",IFERROR(
   IF(_xlfn.XLOOKUP(Final_Sans_VGE[[#This Row],[ppn_z]],tbl_Historique_Final[ppn_z],tbl_Historique_Final[date_modif])=Final_Sans_VGE[[#This Row],[date_modif]],
      "Ancien",
      "Modifié"),
   "Nouveau"))</f>
        <v>#VALUE!</v>
      </c>
      <c r="AD2599" s="1" t="str">
        <f>IFERROR(IF(Final_Sans_VGE[[#This Row],[ppn_z]]="","",IFERROR(
   IF(_xlfn.XLOOKUP(Final_Sans_VGE[[#This Row],[ppn_z]],tbl_Historique_Final[[#This Row],[ppn_z]],tbl_Historique_Final[[#This Row],[date_modif]])=Final_Sans_VGE[[#This Row],[date_modif]],
      "Ancien",
      "Modifié"),
   "Nouveau")),"")</f>
        <v/>
      </c>
    </row>
    <row r="2600" spans="24:30" x14ac:dyDescent="0.25">
      <c r="X2600" s="8" t="e">
        <f>IF(Final_Sans_VGE[[#This Row],[ppn_z]]="","",IFERROR(
   IF(_xlfn.XLOOKUP(Final_Sans_VGE[[#This Row],[ppn_z]],tbl_Historique_Final[ppn_z],tbl_Historique_Final[date_modif])=Final_Sans_VGE[[#This Row],[date_modif]],
      "Ancien",
      "Modifié"),
   "Nouveau"))</f>
        <v>#VALUE!</v>
      </c>
      <c r="AD2600" s="1" t="str">
        <f>IFERROR(IF(Final_Sans_VGE[[#This Row],[ppn_z]]="","",IFERROR(
   IF(_xlfn.XLOOKUP(Final_Sans_VGE[[#This Row],[ppn_z]],tbl_Historique_Final[[#This Row],[ppn_z]],tbl_Historique_Final[[#This Row],[date_modif]])=Final_Sans_VGE[[#This Row],[date_modif]],
      "Ancien",
      "Modifié"),
   "Nouveau")),"")</f>
        <v/>
      </c>
    </row>
    <row r="2601" spans="24:30" x14ac:dyDescent="0.25">
      <c r="X2601" s="8" t="e">
        <f>IF(Final_Sans_VGE[[#This Row],[ppn_z]]="","",IFERROR(
   IF(_xlfn.XLOOKUP(Final_Sans_VGE[[#This Row],[ppn_z]],tbl_Historique_Final[ppn_z],tbl_Historique_Final[date_modif])=Final_Sans_VGE[[#This Row],[date_modif]],
      "Ancien",
      "Modifié"),
   "Nouveau"))</f>
        <v>#VALUE!</v>
      </c>
      <c r="AD2601" s="1" t="str">
        <f>IFERROR(IF(Final_Sans_VGE[[#This Row],[ppn_z]]="","",IFERROR(
   IF(_xlfn.XLOOKUP(Final_Sans_VGE[[#This Row],[ppn_z]],tbl_Historique_Final[[#This Row],[ppn_z]],tbl_Historique_Final[[#This Row],[date_modif]])=Final_Sans_VGE[[#This Row],[date_modif]],
      "Ancien",
      "Modifié"),
   "Nouveau")),"")</f>
        <v/>
      </c>
    </row>
    <row r="2602" spans="24:30" x14ac:dyDescent="0.25">
      <c r="X2602" s="8" t="e">
        <f>IF(Final_Sans_VGE[[#This Row],[ppn_z]]="","",IFERROR(
   IF(_xlfn.XLOOKUP(Final_Sans_VGE[[#This Row],[ppn_z]],tbl_Historique_Final[ppn_z],tbl_Historique_Final[date_modif])=Final_Sans_VGE[[#This Row],[date_modif]],
      "Ancien",
      "Modifié"),
   "Nouveau"))</f>
        <v>#VALUE!</v>
      </c>
      <c r="AD2602" s="1" t="str">
        <f>IFERROR(IF(Final_Sans_VGE[[#This Row],[ppn_z]]="","",IFERROR(
   IF(_xlfn.XLOOKUP(Final_Sans_VGE[[#This Row],[ppn_z]],tbl_Historique_Final[[#This Row],[ppn_z]],tbl_Historique_Final[[#This Row],[date_modif]])=Final_Sans_VGE[[#This Row],[date_modif]],
      "Ancien",
      "Modifié"),
   "Nouveau")),"")</f>
        <v/>
      </c>
    </row>
    <row r="2603" spans="24:30" x14ac:dyDescent="0.25">
      <c r="X2603" s="8" t="e">
        <f>IF(Final_Sans_VGE[[#This Row],[ppn_z]]="","",IFERROR(
   IF(_xlfn.XLOOKUP(Final_Sans_VGE[[#This Row],[ppn_z]],tbl_Historique_Final[ppn_z],tbl_Historique_Final[date_modif])=Final_Sans_VGE[[#This Row],[date_modif]],
      "Ancien",
      "Modifié"),
   "Nouveau"))</f>
        <v>#VALUE!</v>
      </c>
      <c r="AD2603" s="1" t="str">
        <f>IFERROR(IF(Final_Sans_VGE[[#This Row],[ppn_z]]="","",IFERROR(
   IF(_xlfn.XLOOKUP(Final_Sans_VGE[[#This Row],[ppn_z]],tbl_Historique_Final[[#This Row],[ppn_z]],tbl_Historique_Final[[#This Row],[date_modif]])=Final_Sans_VGE[[#This Row],[date_modif]],
      "Ancien",
      "Modifié"),
   "Nouveau")),"")</f>
        <v/>
      </c>
    </row>
    <row r="2604" spans="24:30" x14ac:dyDescent="0.25">
      <c r="X2604" s="8" t="e">
        <f>IF(Final_Sans_VGE[[#This Row],[ppn_z]]="","",IFERROR(
   IF(_xlfn.XLOOKUP(Final_Sans_VGE[[#This Row],[ppn_z]],tbl_Historique_Final[ppn_z],tbl_Historique_Final[date_modif])=Final_Sans_VGE[[#This Row],[date_modif]],
      "Ancien",
      "Modifié"),
   "Nouveau"))</f>
        <v>#VALUE!</v>
      </c>
      <c r="AD2604" s="1" t="str">
        <f>IFERROR(IF(Final_Sans_VGE[[#This Row],[ppn_z]]="","",IFERROR(
   IF(_xlfn.XLOOKUP(Final_Sans_VGE[[#This Row],[ppn_z]],tbl_Historique_Final[[#This Row],[ppn_z]],tbl_Historique_Final[[#This Row],[date_modif]])=Final_Sans_VGE[[#This Row],[date_modif]],
      "Ancien",
      "Modifié"),
   "Nouveau")),"")</f>
        <v/>
      </c>
    </row>
    <row r="2605" spans="24:30" x14ac:dyDescent="0.25">
      <c r="X2605" s="8" t="e">
        <f>IF(Final_Sans_VGE[[#This Row],[ppn_z]]="","",IFERROR(
   IF(_xlfn.XLOOKUP(Final_Sans_VGE[[#This Row],[ppn_z]],tbl_Historique_Final[ppn_z],tbl_Historique_Final[date_modif])=Final_Sans_VGE[[#This Row],[date_modif]],
      "Ancien",
      "Modifié"),
   "Nouveau"))</f>
        <v>#VALUE!</v>
      </c>
      <c r="AD2605" s="1" t="str">
        <f>IFERROR(IF(Final_Sans_VGE[[#This Row],[ppn_z]]="","",IFERROR(
   IF(_xlfn.XLOOKUP(Final_Sans_VGE[[#This Row],[ppn_z]],tbl_Historique_Final[[#This Row],[ppn_z]],tbl_Historique_Final[[#This Row],[date_modif]])=Final_Sans_VGE[[#This Row],[date_modif]],
      "Ancien",
      "Modifié"),
   "Nouveau")),"")</f>
        <v/>
      </c>
    </row>
    <row r="2606" spans="24:30" x14ac:dyDescent="0.25">
      <c r="X2606" s="8" t="e">
        <f>IF(Final_Sans_VGE[[#This Row],[ppn_z]]="","",IFERROR(
   IF(_xlfn.XLOOKUP(Final_Sans_VGE[[#This Row],[ppn_z]],tbl_Historique_Final[ppn_z],tbl_Historique_Final[date_modif])=Final_Sans_VGE[[#This Row],[date_modif]],
      "Ancien",
      "Modifié"),
   "Nouveau"))</f>
        <v>#VALUE!</v>
      </c>
      <c r="AD2606" s="1" t="str">
        <f>IFERROR(IF(Final_Sans_VGE[[#This Row],[ppn_z]]="","",IFERROR(
   IF(_xlfn.XLOOKUP(Final_Sans_VGE[[#This Row],[ppn_z]],tbl_Historique_Final[[#This Row],[ppn_z]],tbl_Historique_Final[[#This Row],[date_modif]])=Final_Sans_VGE[[#This Row],[date_modif]],
      "Ancien",
      "Modifié"),
   "Nouveau")),"")</f>
        <v/>
      </c>
    </row>
    <row r="2607" spans="24:30" x14ac:dyDescent="0.25">
      <c r="X2607" s="8" t="e">
        <f>IF(Final_Sans_VGE[[#This Row],[ppn_z]]="","",IFERROR(
   IF(_xlfn.XLOOKUP(Final_Sans_VGE[[#This Row],[ppn_z]],tbl_Historique_Final[ppn_z],tbl_Historique_Final[date_modif])=Final_Sans_VGE[[#This Row],[date_modif]],
      "Ancien",
      "Modifié"),
   "Nouveau"))</f>
        <v>#VALUE!</v>
      </c>
      <c r="AD2607" s="1" t="str">
        <f>IFERROR(IF(Final_Sans_VGE[[#This Row],[ppn_z]]="","",IFERROR(
   IF(_xlfn.XLOOKUP(Final_Sans_VGE[[#This Row],[ppn_z]],tbl_Historique_Final[[#This Row],[ppn_z]],tbl_Historique_Final[[#This Row],[date_modif]])=Final_Sans_VGE[[#This Row],[date_modif]],
      "Ancien",
      "Modifié"),
   "Nouveau")),"")</f>
        <v/>
      </c>
    </row>
    <row r="2608" spans="24:30" x14ac:dyDescent="0.25">
      <c r="X2608" s="8" t="e">
        <f>IF(Final_Sans_VGE[[#This Row],[ppn_z]]="","",IFERROR(
   IF(_xlfn.XLOOKUP(Final_Sans_VGE[[#This Row],[ppn_z]],tbl_Historique_Final[ppn_z],tbl_Historique_Final[date_modif])=Final_Sans_VGE[[#This Row],[date_modif]],
      "Ancien",
      "Modifié"),
   "Nouveau"))</f>
        <v>#VALUE!</v>
      </c>
      <c r="AD2608" s="1" t="str">
        <f>IFERROR(IF(Final_Sans_VGE[[#This Row],[ppn_z]]="","",IFERROR(
   IF(_xlfn.XLOOKUP(Final_Sans_VGE[[#This Row],[ppn_z]],tbl_Historique_Final[[#This Row],[ppn_z]],tbl_Historique_Final[[#This Row],[date_modif]])=Final_Sans_VGE[[#This Row],[date_modif]],
      "Ancien",
      "Modifié"),
   "Nouveau")),"")</f>
        <v/>
      </c>
    </row>
    <row r="2609" spans="24:30" x14ac:dyDescent="0.25">
      <c r="X2609" s="8" t="e">
        <f>IF(Final_Sans_VGE[[#This Row],[ppn_z]]="","",IFERROR(
   IF(_xlfn.XLOOKUP(Final_Sans_VGE[[#This Row],[ppn_z]],tbl_Historique_Final[ppn_z],tbl_Historique_Final[date_modif])=Final_Sans_VGE[[#This Row],[date_modif]],
      "Ancien",
      "Modifié"),
   "Nouveau"))</f>
        <v>#VALUE!</v>
      </c>
      <c r="AD2609" s="1" t="str">
        <f>IFERROR(IF(Final_Sans_VGE[[#This Row],[ppn_z]]="","",IFERROR(
   IF(_xlfn.XLOOKUP(Final_Sans_VGE[[#This Row],[ppn_z]],tbl_Historique_Final[[#This Row],[ppn_z]],tbl_Historique_Final[[#This Row],[date_modif]])=Final_Sans_VGE[[#This Row],[date_modif]],
      "Ancien",
      "Modifié"),
   "Nouveau")),"")</f>
        <v/>
      </c>
    </row>
    <row r="2610" spans="24:30" x14ac:dyDescent="0.25">
      <c r="X2610" s="8" t="e">
        <f>IF(Final_Sans_VGE[[#This Row],[ppn_z]]="","",IFERROR(
   IF(_xlfn.XLOOKUP(Final_Sans_VGE[[#This Row],[ppn_z]],tbl_Historique_Final[ppn_z],tbl_Historique_Final[date_modif])=Final_Sans_VGE[[#This Row],[date_modif]],
      "Ancien",
      "Modifié"),
   "Nouveau"))</f>
        <v>#VALUE!</v>
      </c>
      <c r="AD2610" s="1" t="str">
        <f>IFERROR(IF(Final_Sans_VGE[[#This Row],[ppn_z]]="","",IFERROR(
   IF(_xlfn.XLOOKUP(Final_Sans_VGE[[#This Row],[ppn_z]],tbl_Historique_Final[[#This Row],[ppn_z]],tbl_Historique_Final[[#This Row],[date_modif]])=Final_Sans_VGE[[#This Row],[date_modif]],
      "Ancien",
      "Modifié"),
   "Nouveau")),"")</f>
        <v/>
      </c>
    </row>
    <row r="2611" spans="24:30" x14ac:dyDescent="0.25">
      <c r="X2611" s="8" t="e">
        <f>IF(Final_Sans_VGE[[#This Row],[ppn_z]]="","",IFERROR(
   IF(_xlfn.XLOOKUP(Final_Sans_VGE[[#This Row],[ppn_z]],tbl_Historique_Final[ppn_z],tbl_Historique_Final[date_modif])=Final_Sans_VGE[[#This Row],[date_modif]],
      "Ancien",
      "Modifié"),
   "Nouveau"))</f>
        <v>#VALUE!</v>
      </c>
      <c r="AD2611" s="1" t="str">
        <f>IFERROR(IF(Final_Sans_VGE[[#This Row],[ppn_z]]="","",IFERROR(
   IF(_xlfn.XLOOKUP(Final_Sans_VGE[[#This Row],[ppn_z]],tbl_Historique_Final[[#This Row],[ppn_z]],tbl_Historique_Final[[#This Row],[date_modif]])=Final_Sans_VGE[[#This Row],[date_modif]],
      "Ancien",
      "Modifié"),
   "Nouveau")),"")</f>
        <v/>
      </c>
    </row>
    <row r="2612" spans="24:30" x14ac:dyDescent="0.25">
      <c r="X2612" s="8" t="e">
        <f>IF(Final_Sans_VGE[[#This Row],[ppn_z]]="","",IFERROR(
   IF(_xlfn.XLOOKUP(Final_Sans_VGE[[#This Row],[ppn_z]],tbl_Historique_Final[ppn_z],tbl_Historique_Final[date_modif])=Final_Sans_VGE[[#This Row],[date_modif]],
      "Ancien",
      "Modifié"),
   "Nouveau"))</f>
        <v>#VALUE!</v>
      </c>
      <c r="AD2612" s="1" t="str">
        <f>IFERROR(IF(Final_Sans_VGE[[#This Row],[ppn_z]]="","",IFERROR(
   IF(_xlfn.XLOOKUP(Final_Sans_VGE[[#This Row],[ppn_z]],tbl_Historique_Final[[#This Row],[ppn_z]],tbl_Historique_Final[[#This Row],[date_modif]])=Final_Sans_VGE[[#This Row],[date_modif]],
      "Ancien",
      "Modifié"),
   "Nouveau")),"")</f>
        <v/>
      </c>
    </row>
    <row r="2613" spans="24:30" x14ac:dyDescent="0.25">
      <c r="X2613" s="8" t="e">
        <f>IF(Final_Sans_VGE[[#This Row],[ppn_z]]="","",IFERROR(
   IF(_xlfn.XLOOKUP(Final_Sans_VGE[[#This Row],[ppn_z]],tbl_Historique_Final[ppn_z],tbl_Historique_Final[date_modif])=Final_Sans_VGE[[#This Row],[date_modif]],
      "Ancien",
      "Modifié"),
   "Nouveau"))</f>
        <v>#VALUE!</v>
      </c>
      <c r="AD2613" s="1" t="str">
        <f>IFERROR(IF(Final_Sans_VGE[[#This Row],[ppn_z]]="","",IFERROR(
   IF(_xlfn.XLOOKUP(Final_Sans_VGE[[#This Row],[ppn_z]],tbl_Historique_Final[[#This Row],[ppn_z]],tbl_Historique_Final[[#This Row],[date_modif]])=Final_Sans_VGE[[#This Row],[date_modif]],
      "Ancien",
      "Modifié"),
   "Nouveau")),"")</f>
        <v/>
      </c>
    </row>
    <row r="2614" spans="24:30" x14ac:dyDescent="0.25">
      <c r="X2614" s="8" t="e">
        <f>IF(Final_Sans_VGE[[#This Row],[ppn_z]]="","",IFERROR(
   IF(_xlfn.XLOOKUP(Final_Sans_VGE[[#This Row],[ppn_z]],tbl_Historique_Final[ppn_z],tbl_Historique_Final[date_modif])=Final_Sans_VGE[[#This Row],[date_modif]],
      "Ancien",
      "Modifié"),
   "Nouveau"))</f>
        <v>#VALUE!</v>
      </c>
      <c r="AD2614" s="1" t="str">
        <f>IFERROR(IF(Final_Sans_VGE[[#This Row],[ppn_z]]="","",IFERROR(
   IF(_xlfn.XLOOKUP(Final_Sans_VGE[[#This Row],[ppn_z]],tbl_Historique_Final[[#This Row],[ppn_z]],tbl_Historique_Final[[#This Row],[date_modif]])=Final_Sans_VGE[[#This Row],[date_modif]],
      "Ancien",
      "Modifié"),
   "Nouveau")),"")</f>
        <v/>
      </c>
    </row>
    <row r="2615" spans="24:30" x14ac:dyDescent="0.25">
      <c r="X2615" s="8" t="e">
        <f>IF(Final_Sans_VGE[[#This Row],[ppn_z]]="","",IFERROR(
   IF(_xlfn.XLOOKUP(Final_Sans_VGE[[#This Row],[ppn_z]],tbl_Historique_Final[ppn_z],tbl_Historique_Final[date_modif])=Final_Sans_VGE[[#This Row],[date_modif]],
      "Ancien",
      "Modifié"),
   "Nouveau"))</f>
        <v>#VALUE!</v>
      </c>
      <c r="AD2615" s="1" t="str">
        <f>IFERROR(IF(Final_Sans_VGE[[#This Row],[ppn_z]]="","",IFERROR(
   IF(_xlfn.XLOOKUP(Final_Sans_VGE[[#This Row],[ppn_z]],tbl_Historique_Final[[#This Row],[ppn_z]],tbl_Historique_Final[[#This Row],[date_modif]])=Final_Sans_VGE[[#This Row],[date_modif]],
      "Ancien",
      "Modifié"),
   "Nouveau")),"")</f>
        <v/>
      </c>
    </row>
    <row r="2616" spans="24:30" x14ac:dyDescent="0.25">
      <c r="X2616" s="8" t="e">
        <f>IF(Final_Sans_VGE[[#This Row],[ppn_z]]="","",IFERROR(
   IF(_xlfn.XLOOKUP(Final_Sans_VGE[[#This Row],[ppn_z]],tbl_Historique_Final[ppn_z],tbl_Historique_Final[date_modif])=Final_Sans_VGE[[#This Row],[date_modif]],
      "Ancien",
      "Modifié"),
   "Nouveau"))</f>
        <v>#VALUE!</v>
      </c>
      <c r="AD2616" s="1" t="str">
        <f>IFERROR(IF(Final_Sans_VGE[[#This Row],[ppn_z]]="","",IFERROR(
   IF(_xlfn.XLOOKUP(Final_Sans_VGE[[#This Row],[ppn_z]],tbl_Historique_Final[[#This Row],[ppn_z]],tbl_Historique_Final[[#This Row],[date_modif]])=Final_Sans_VGE[[#This Row],[date_modif]],
      "Ancien",
      "Modifié"),
   "Nouveau")),"")</f>
        <v/>
      </c>
    </row>
    <row r="2617" spans="24:30" x14ac:dyDescent="0.25">
      <c r="X2617" s="8" t="e">
        <f>IF(Final_Sans_VGE[[#This Row],[ppn_z]]="","",IFERROR(
   IF(_xlfn.XLOOKUP(Final_Sans_VGE[[#This Row],[ppn_z]],tbl_Historique_Final[ppn_z],tbl_Historique_Final[date_modif])=Final_Sans_VGE[[#This Row],[date_modif]],
      "Ancien",
      "Modifié"),
   "Nouveau"))</f>
        <v>#VALUE!</v>
      </c>
      <c r="AD2617" s="1" t="str">
        <f>IFERROR(IF(Final_Sans_VGE[[#This Row],[ppn_z]]="","",IFERROR(
   IF(_xlfn.XLOOKUP(Final_Sans_VGE[[#This Row],[ppn_z]],tbl_Historique_Final[[#This Row],[ppn_z]],tbl_Historique_Final[[#This Row],[date_modif]])=Final_Sans_VGE[[#This Row],[date_modif]],
      "Ancien",
      "Modifié"),
   "Nouveau")),"")</f>
        <v/>
      </c>
    </row>
    <row r="2618" spans="24:30" x14ac:dyDescent="0.25">
      <c r="X2618" s="8" t="e">
        <f>IF(Final_Sans_VGE[[#This Row],[ppn_z]]="","",IFERROR(
   IF(_xlfn.XLOOKUP(Final_Sans_VGE[[#This Row],[ppn_z]],tbl_Historique_Final[ppn_z],tbl_Historique_Final[date_modif])=Final_Sans_VGE[[#This Row],[date_modif]],
      "Ancien",
      "Modifié"),
   "Nouveau"))</f>
        <v>#VALUE!</v>
      </c>
      <c r="AD2618" s="1" t="str">
        <f>IFERROR(IF(Final_Sans_VGE[[#This Row],[ppn_z]]="","",IFERROR(
   IF(_xlfn.XLOOKUP(Final_Sans_VGE[[#This Row],[ppn_z]],tbl_Historique_Final[[#This Row],[ppn_z]],tbl_Historique_Final[[#This Row],[date_modif]])=Final_Sans_VGE[[#This Row],[date_modif]],
      "Ancien",
      "Modifié"),
   "Nouveau")),"")</f>
        <v/>
      </c>
    </row>
    <row r="2619" spans="24:30" x14ac:dyDescent="0.25">
      <c r="X2619" s="8" t="e">
        <f>IF(Final_Sans_VGE[[#This Row],[ppn_z]]="","",IFERROR(
   IF(_xlfn.XLOOKUP(Final_Sans_VGE[[#This Row],[ppn_z]],tbl_Historique_Final[ppn_z],tbl_Historique_Final[date_modif])=Final_Sans_VGE[[#This Row],[date_modif]],
      "Ancien",
      "Modifié"),
   "Nouveau"))</f>
        <v>#VALUE!</v>
      </c>
      <c r="AD2619" s="1" t="str">
        <f>IFERROR(IF(Final_Sans_VGE[[#This Row],[ppn_z]]="","",IFERROR(
   IF(_xlfn.XLOOKUP(Final_Sans_VGE[[#This Row],[ppn_z]],tbl_Historique_Final[[#This Row],[ppn_z]],tbl_Historique_Final[[#This Row],[date_modif]])=Final_Sans_VGE[[#This Row],[date_modif]],
      "Ancien",
      "Modifié"),
   "Nouveau")),"")</f>
        <v/>
      </c>
    </row>
    <row r="2620" spans="24:30" x14ac:dyDescent="0.25">
      <c r="X2620" s="8" t="e">
        <f>IF(Final_Sans_VGE[[#This Row],[ppn_z]]="","",IFERROR(
   IF(_xlfn.XLOOKUP(Final_Sans_VGE[[#This Row],[ppn_z]],tbl_Historique_Final[ppn_z],tbl_Historique_Final[date_modif])=Final_Sans_VGE[[#This Row],[date_modif]],
      "Ancien",
      "Modifié"),
   "Nouveau"))</f>
        <v>#VALUE!</v>
      </c>
      <c r="AD2620" s="1" t="str">
        <f>IFERROR(IF(Final_Sans_VGE[[#This Row],[ppn_z]]="","",IFERROR(
   IF(_xlfn.XLOOKUP(Final_Sans_VGE[[#This Row],[ppn_z]],tbl_Historique_Final[[#This Row],[ppn_z]],tbl_Historique_Final[[#This Row],[date_modif]])=Final_Sans_VGE[[#This Row],[date_modif]],
      "Ancien",
      "Modifié"),
   "Nouveau")),"")</f>
        <v/>
      </c>
    </row>
    <row r="2621" spans="24:30" x14ac:dyDescent="0.25">
      <c r="X2621" s="8" t="e">
        <f>IF(Final_Sans_VGE[[#This Row],[ppn_z]]="","",IFERROR(
   IF(_xlfn.XLOOKUP(Final_Sans_VGE[[#This Row],[ppn_z]],tbl_Historique_Final[ppn_z],tbl_Historique_Final[date_modif])=Final_Sans_VGE[[#This Row],[date_modif]],
      "Ancien",
      "Modifié"),
   "Nouveau"))</f>
        <v>#VALUE!</v>
      </c>
      <c r="AD2621" s="1" t="str">
        <f>IFERROR(IF(Final_Sans_VGE[[#This Row],[ppn_z]]="","",IFERROR(
   IF(_xlfn.XLOOKUP(Final_Sans_VGE[[#This Row],[ppn_z]],tbl_Historique_Final[[#This Row],[ppn_z]],tbl_Historique_Final[[#This Row],[date_modif]])=Final_Sans_VGE[[#This Row],[date_modif]],
      "Ancien",
      "Modifié"),
   "Nouveau")),"")</f>
        <v/>
      </c>
    </row>
    <row r="2622" spans="24:30" x14ac:dyDescent="0.25">
      <c r="X2622" s="8" t="e">
        <f>IF(Final_Sans_VGE[[#This Row],[ppn_z]]="","",IFERROR(
   IF(_xlfn.XLOOKUP(Final_Sans_VGE[[#This Row],[ppn_z]],tbl_Historique_Final[ppn_z],tbl_Historique_Final[date_modif])=Final_Sans_VGE[[#This Row],[date_modif]],
      "Ancien",
      "Modifié"),
   "Nouveau"))</f>
        <v>#VALUE!</v>
      </c>
      <c r="AD2622" s="1" t="str">
        <f>IFERROR(IF(Final_Sans_VGE[[#This Row],[ppn_z]]="","",IFERROR(
   IF(_xlfn.XLOOKUP(Final_Sans_VGE[[#This Row],[ppn_z]],tbl_Historique_Final[[#This Row],[ppn_z]],tbl_Historique_Final[[#This Row],[date_modif]])=Final_Sans_VGE[[#This Row],[date_modif]],
      "Ancien",
      "Modifié"),
   "Nouveau")),"")</f>
        <v/>
      </c>
    </row>
    <row r="2623" spans="24:30" x14ac:dyDescent="0.25">
      <c r="X2623" s="8" t="e">
        <f>IF(Final_Sans_VGE[[#This Row],[ppn_z]]="","",IFERROR(
   IF(_xlfn.XLOOKUP(Final_Sans_VGE[[#This Row],[ppn_z]],tbl_Historique_Final[ppn_z],tbl_Historique_Final[date_modif])=Final_Sans_VGE[[#This Row],[date_modif]],
      "Ancien",
      "Modifié"),
   "Nouveau"))</f>
        <v>#VALUE!</v>
      </c>
      <c r="AD2623" s="1" t="str">
        <f>IFERROR(IF(Final_Sans_VGE[[#This Row],[ppn_z]]="","",IFERROR(
   IF(_xlfn.XLOOKUP(Final_Sans_VGE[[#This Row],[ppn_z]],tbl_Historique_Final[[#This Row],[ppn_z]],tbl_Historique_Final[[#This Row],[date_modif]])=Final_Sans_VGE[[#This Row],[date_modif]],
      "Ancien",
      "Modifié"),
   "Nouveau")),"")</f>
        <v/>
      </c>
    </row>
    <row r="2624" spans="24:30" x14ac:dyDescent="0.25">
      <c r="X2624" s="8" t="e">
        <f>IF(Final_Sans_VGE[[#This Row],[ppn_z]]="","",IFERROR(
   IF(_xlfn.XLOOKUP(Final_Sans_VGE[[#This Row],[ppn_z]],tbl_Historique_Final[ppn_z],tbl_Historique_Final[date_modif])=Final_Sans_VGE[[#This Row],[date_modif]],
      "Ancien",
      "Modifié"),
   "Nouveau"))</f>
        <v>#VALUE!</v>
      </c>
      <c r="AD2624" s="1" t="str">
        <f>IFERROR(IF(Final_Sans_VGE[[#This Row],[ppn_z]]="","",IFERROR(
   IF(_xlfn.XLOOKUP(Final_Sans_VGE[[#This Row],[ppn_z]],tbl_Historique_Final[[#This Row],[ppn_z]],tbl_Historique_Final[[#This Row],[date_modif]])=Final_Sans_VGE[[#This Row],[date_modif]],
      "Ancien",
      "Modifié"),
   "Nouveau")),"")</f>
        <v/>
      </c>
    </row>
    <row r="2625" spans="24:30" x14ac:dyDescent="0.25">
      <c r="X2625" s="8" t="e">
        <f>IF(Final_Sans_VGE[[#This Row],[ppn_z]]="","",IFERROR(
   IF(_xlfn.XLOOKUP(Final_Sans_VGE[[#This Row],[ppn_z]],tbl_Historique_Final[ppn_z],tbl_Historique_Final[date_modif])=Final_Sans_VGE[[#This Row],[date_modif]],
      "Ancien",
      "Modifié"),
   "Nouveau"))</f>
        <v>#VALUE!</v>
      </c>
      <c r="AD2625" s="1" t="str">
        <f>IFERROR(IF(Final_Sans_VGE[[#This Row],[ppn_z]]="","",IFERROR(
   IF(_xlfn.XLOOKUP(Final_Sans_VGE[[#This Row],[ppn_z]],tbl_Historique_Final[[#This Row],[ppn_z]],tbl_Historique_Final[[#This Row],[date_modif]])=Final_Sans_VGE[[#This Row],[date_modif]],
      "Ancien",
      "Modifié"),
   "Nouveau")),"")</f>
        <v/>
      </c>
    </row>
    <row r="2626" spans="24:30" x14ac:dyDescent="0.25">
      <c r="X2626" s="8" t="e">
        <f>IF(Final_Sans_VGE[[#This Row],[ppn_z]]="","",IFERROR(
   IF(_xlfn.XLOOKUP(Final_Sans_VGE[[#This Row],[ppn_z]],tbl_Historique_Final[ppn_z],tbl_Historique_Final[date_modif])=Final_Sans_VGE[[#This Row],[date_modif]],
      "Ancien",
      "Modifié"),
   "Nouveau"))</f>
        <v>#VALUE!</v>
      </c>
      <c r="AD2626" s="1" t="str">
        <f>IFERROR(IF(Final_Sans_VGE[[#This Row],[ppn_z]]="","",IFERROR(
   IF(_xlfn.XLOOKUP(Final_Sans_VGE[[#This Row],[ppn_z]],tbl_Historique_Final[[#This Row],[ppn_z]],tbl_Historique_Final[[#This Row],[date_modif]])=Final_Sans_VGE[[#This Row],[date_modif]],
      "Ancien",
      "Modifié"),
   "Nouveau")),"")</f>
        <v/>
      </c>
    </row>
    <row r="2627" spans="24:30" x14ac:dyDescent="0.25">
      <c r="X2627" s="8" t="e">
        <f>IF(Final_Sans_VGE[[#This Row],[ppn_z]]="","",IFERROR(
   IF(_xlfn.XLOOKUP(Final_Sans_VGE[[#This Row],[ppn_z]],tbl_Historique_Final[ppn_z],tbl_Historique_Final[date_modif])=Final_Sans_VGE[[#This Row],[date_modif]],
      "Ancien",
      "Modifié"),
   "Nouveau"))</f>
        <v>#VALUE!</v>
      </c>
      <c r="AD2627" s="1" t="str">
        <f>IFERROR(IF(Final_Sans_VGE[[#This Row],[ppn_z]]="","",IFERROR(
   IF(_xlfn.XLOOKUP(Final_Sans_VGE[[#This Row],[ppn_z]],tbl_Historique_Final[[#This Row],[ppn_z]],tbl_Historique_Final[[#This Row],[date_modif]])=Final_Sans_VGE[[#This Row],[date_modif]],
      "Ancien",
      "Modifié"),
   "Nouveau")),"")</f>
        <v/>
      </c>
    </row>
    <row r="2628" spans="24:30" x14ac:dyDescent="0.25">
      <c r="X2628" s="8" t="e">
        <f>IF(Final_Sans_VGE[[#This Row],[ppn_z]]="","",IFERROR(
   IF(_xlfn.XLOOKUP(Final_Sans_VGE[[#This Row],[ppn_z]],tbl_Historique_Final[ppn_z],tbl_Historique_Final[date_modif])=Final_Sans_VGE[[#This Row],[date_modif]],
      "Ancien",
      "Modifié"),
   "Nouveau"))</f>
        <v>#VALUE!</v>
      </c>
      <c r="AD2628" s="1" t="str">
        <f>IFERROR(IF(Final_Sans_VGE[[#This Row],[ppn_z]]="","",IFERROR(
   IF(_xlfn.XLOOKUP(Final_Sans_VGE[[#This Row],[ppn_z]],tbl_Historique_Final[[#This Row],[ppn_z]],tbl_Historique_Final[[#This Row],[date_modif]])=Final_Sans_VGE[[#This Row],[date_modif]],
      "Ancien",
      "Modifié"),
   "Nouveau")),"")</f>
        <v/>
      </c>
    </row>
    <row r="2629" spans="24:30" x14ac:dyDescent="0.25">
      <c r="X2629" s="8" t="e">
        <f>IF(Final_Sans_VGE[[#This Row],[ppn_z]]="","",IFERROR(
   IF(_xlfn.XLOOKUP(Final_Sans_VGE[[#This Row],[ppn_z]],tbl_Historique_Final[ppn_z],tbl_Historique_Final[date_modif])=Final_Sans_VGE[[#This Row],[date_modif]],
      "Ancien",
      "Modifié"),
   "Nouveau"))</f>
        <v>#VALUE!</v>
      </c>
      <c r="AD2629" s="1" t="str">
        <f>IFERROR(IF(Final_Sans_VGE[[#This Row],[ppn_z]]="","",IFERROR(
   IF(_xlfn.XLOOKUP(Final_Sans_VGE[[#This Row],[ppn_z]],tbl_Historique_Final[[#This Row],[ppn_z]],tbl_Historique_Final[[#This Row],[date_modif]])=Final_Sans_VGE[[#This Row],[date_modif]],
      "Ancien",
      "Modifié"),
   "Nouveau")),"")</f>
        <v/>
      </c>
    </row>
    <row r="2630" spans="24:30" x14ac:dyDescent="0.25">
      <c r="X2630" s="8" t="e">
        <f>IF(Final_Sans_VGE[[#This Row],[ppn_z]]="","",IFERROR(
   IF(_xlfn.XLOOKUP(Final_Sans_VGE[[#This Row],[ppn_z]],tbl_Historique_Final[ppn_z],tbl_Historique_Final[date_modif])=Final_Sans_VGE[[#This Row],[date_modif]],
      "Ancien",
      "Modifié"),
   "Nouveau"))</f>
        <v>#VALUE!</v>
      </c>
      <c r="AD2630" s="1" t="str">
        <f>IFERROR(IF(Final_Sans_VGE[[#This Row],[ppn_z]]="","",IFERROR(
   IF(_xlfn.XLOOKUP(Final_Sans_VGE[[#This Row],[ppn_z]],tbl_Historique_Final[[#This Row],[ppn_z]],tbl_Historique_Final[[#This Row],[date_modif]])=Final_Sans_VGE[[#This Row],[date_modif]],
      "Ancien",
      "Modifié"),
   "Nouveau")),"")</f>
        <v/>
      </c>
    </row>
    <row r="2631" spans="24:30" x14ac:dyDescent="0.25">
      <c r="X2631" s="8" t="e">
        <f>IF(Final_Sans_VGE[[#This Row],[ppn_z]]="","",IFERROR(
   IF(_xlfn.XLOOKUP(Final_Sans_VGE[[#This Row],[ppn_z]],tbl_Historique_Final[ppn_z],tbl_Historique_Final[date_modif])=Final_Sans_VGE[[#This Row],[date_modif]],
      "Ancien",
      "Modifié"),
   "Nouveau"))</f>
        <v>#VALUE!</v>
      </c>
      <c r="AD2631" s="1" t="str">
        <f>IFERROR(IF(Final_Sans_VGE[[#This Row],[ppn_z]]="","",IFERROR(
   IF(_xlfn.XLOOKUP(Final_Sans_VGE[[#This Row],[ppn_z]],tbl_Historique_Final[[#This Row],[ppn_z]],tbl_Historique_Final[[#This Row],[date_modif]])=Final_Sans_VGE[[#This Row],[date_modif]],
      "Ancien",
      "Modifié"),
   "Nouveau")),"")</f>
        <v/>
      </c>
    </row>
    <row r="2632" spans="24:30" x14ac:dyDescent="0.25">
      <c r="X2632" s="8" t="e">
        <f>IF(Final_Sans_VGE[[#This Row],[ppn_z]]="","",IFERROR(
   IF(_xlfn.XLOOKUP(Final_Sans_VGE[[#This Row],[ppn_z]],tbl_Historique_Final[ppn_z],tbl_Historique_Final[date_modif])=Final_Sans_VGE[[#This Row],[date_modif]],
      "Ancien",
      "Modifié"),
   "Nouveau"))</f>
        <v>#VALUE!</v>
      </c>
      <c r="AD2632" s="1" t="str">
        <f>IFERROR(IF(Final_Sans_VGE[[#This Row],[ppn_z]]="","",IFERROR(
   IF(_xlfn.XLOOKUP(Final_Sans_VGE[[#This Row],[ppn_z]],tbl_Historique_Final[[#This Row],[ppn_z]],tbl_Historique_Final[[#This Row],[date_modif]])=Final_Sans_VGE[[#This Row],[date_modif]],
      "Ancien",
      "Modifié"),
   "Nouveau")),"")</f>
        <v/>
      </c>
    </row>
    <row r="2633" spans="24:30" x14ac:dyDescent="0.25">
      <c r="X2633" s="8" t="e">
        <f>IF(Final_Sans_VGE[[#This Row],[ppn_z]]="","",IFERROR(
   IF(_xlfn.XLOOKUP(Final_Sans_VGE[[#This Row],[ppn_z]],tbl_Historique_Final[ppn_z],tbl_Historique_Final[date_modif])=Final_Sans_VGE[[#This Row],[date_modif]],
      "Ancien",
      "Modifié"),
   "Nouveau"))</f>
        <v>#VALUE!</v>
      </c>
      <c r="AD2633" s="1" t="str">
        <f>IFERROR(IF(Final_Sans_VGE[[#This Row],[ppn_z]]="","",IFERROR(
   IF(_xlfn.XLOOKUP(Final_Sans_VGE[[#This Row],[ppn_z]],tbl_Historique_Final[[#This Row],[ppn_z]],tbl_Historique_Final[[#This Row],[date_modif]])=Final_Sans_VGE[[#This Row],[date_modif]],
      "Ancien",
      "Modifié"),
   "Nouveau")),"")</f>
        <v/>
      </c>
    </row>
    <row r="2634" spans="24:30" x14ac:dyDescent="0.25">
      <c r="X2634" s="8" t="e">
        <f>IF(Final_Sans_VGE[[#This Row],[ppn_z]]="","",IFERROR(
   IF(_xlfn.XLOOKUP(Final_Sans_VGE[[#This Row],[ppn_z]],tbl_Historique_Final[ppn_z],tbl_Historique_Final[date_modif])=Final_Sans_VGE[[#This Row],[date_modif]],
      "Ancien",
      "Modifié"),
   "Nouveau"))</f>
        <v>#VALUE!</v>
      </c>
      <c r="AD2634" s="1" t="str">
        <f>IFERROR(IF(Final_Sans_VGE[[#This Row],[ppn_z]]="","",IFERROR(
   IF(_xlfn.XLOOKUP(Final_Sans_VGE[[#This Row],[ppn_z]],tbl_Historique_Final[[#This Row],[ppn_z]],tbl_Historique_Final[[#This Row],[date_modif]])=Final_Sans_VGE[[#This Row],[date_modif]],
      "Ancien",
      "Modifié"),
   "Nouveau")),"")</f>
        <v/>
      </c>
    </row>
    <row r="2635" spans="24:30" x14ac:dyDescent="0.25">
      <c r="X2635" s="8" t="e">
        <f>IF(Final_Sans_VGE[[#This Row],[ppn_z]]="","",IFERROR(
   IF(_xlfn.XLOOKUP(Final_Sans_VGE[[#This Row],[ppn_z]],tbl_Historique_Final[ppn_z],tbl_Historique_Final[date_modif])=Final_Sans_VGE[[#This Row],[date_modif]],
      "Ancien",
      "Modifié"),
   "Nouveau"))</f>
        <v>#VALUE!</v>
      </c>
      <c r="AD2635" s="1" t="str">
        <f>IFERROR(IF(Final_Sans_VGE[[#This Row],[ppn_z]]="","",IFERROR(
   IF(_xlfn.XLOOKUP(Final_Sans_VGE[[#This Row],[ppn_z]],tbl_Historique_Final[[#This Row],[ppn_z]],tbl_Historique_Final[[#This Row],[date_modif]])=Final_Sans_VGE[[#This Row],[date_modif]],
      "Ancien",
      "Modifié"),
   "Nouveau")),"")</f>
        <v/>
      </c>
    </row>
    <row r="2636" spans="24:30" x14ac:dyDescent="0.25">
      <c r="X2636" s="8" t="e">
        <f>IF(Final_Sans_VGE[[#This Row],[ppn_z]]="","",IFERROR(
   IF(_xlfn.XLOOKUP(Final_Sans_VGE[[#This Row],[ppn_z]],tbl_Historique_Final[ppn_z],tbl_Historique_Final[date_modif])=Final_Sans_VGE[[#This Row],[date_modif]],
      "Ancien",
      "Modifié"),
   "Nouveau"))</f>
        <v>#VALUE!</v>
      </c>
      <c r="AD2636" s="1" t="str">
        <f>IFERROR(IF(Final_Sans_VGE[[#This Row],[ppn_z]]="","",IFERROR(
   IF(_xlfn.XLOOKUP(Final_Sans_VGE[[#This Row],[ppn_z]],tbl_Historique_Final[[#This Row],[ppn_z]],tbl_Historique_Final[[#This Row],[date_modif]])=Final_Sans_VGE[[#This Row],[date_modif]],
      "Ancien",
      "Modifié"),
   "Nouveau")),"")</f>
        <v/>
      </c>
    </row>
    <row r="2637" spans="24:30" x14ac:dyDescent="0.25">
      <c r="X2637" s="8" t="e">
        <f>IF(Final_Sans_VGE[[#This Row],[ppn_z]]="","",IFERROR(
   IF(_xlfn.XLOOKUP(Final_Sans_VGE[[#This Row],[ppn_z]],tbl_Historique_Final[ppn_z],tbl_Historique_Final[date_modif])=Final_Sans_VGE[[#This Row],[date_modif]],
      "Ancien",
      "Modifié"),
   "Nouveau"))</f>
        <v>#VALUE!</v>
      </c>
      <c r="AD2637" s="1" t="str">
        <f>IFERROR(IF(Final_Sans_VGE[[#This Row],[ppn_z]]="","",IFERROR(
   IF(_xlfn.XLOOKUP(Final_Sans_VGE[[#This Row],[ppn_z]],tbl_Historique_Final[[#This Row],[ppn_z]],tbl_Historique_Final[[#This Row],[date_modif]])=Final_Sans_VGE[[#This Row],[date_modif]],
      "Ancien",
      "Modifié"),
   "Nouveau")),"")</f>
        <v/>
      </c>
    </row>
    <row r="2638" spans="24:30" x14ac:dyDescent="0.25">
      <c r="X2638" s="8" t="e">
        <f>IF(Final_Sans_VGE[[#This Row],[ppn_z]]="","",IFERROR(
   IF(_xlfn.XLOOKUP(Final_Sans_VGE[[#This Row],[ppn_z]],tbl_Historique_Final[ppn_z],tbl_Historique_Final[date_modif])=Final_Sans_VGE[[#This Row],[date_modif]],
      "Ancien",
      "Modifié"),
   "Nouveau"))</f>
        <v>#VALUE!</v>
      </c>
      <c r="AD2638" s="1" t="str">
        <f>IFERROR(IF(Final_Sans_VGE[[#This Row],[ppn_z]]="","",IFERROR(
   IF(_xlfn.XLOOKUP(Final_Sans_VGE[[#This Row],[ppn_z]],tbl_Historique_Final[[#This Row],[ppn_z]],tbl_Historique_Final[[#This Row],[date_modif]])=Final_Sans_VGE[[#This Row],[date_modif]],
      "Ancien",
      "Modifié"),
   "Nouveau")),"")</f>
        <v/>
      </c>
    </row>
    <row r="2639" spans="24:30" x14ac:dyDescent="0.25">
      <c r="X2639" s="8" t="e">
        <f>IF(Final_Sans_VGE[[#This Row],[ppn_z]]="","",IFERROR(
   IF(_xlfn.XLOOKUP(Final_Sans_VGE[[#This Row],[ppn_z]],tbl_Historique_Final[ppn_z],tbl_Historique_Final[date_modif])=Final_Sans_VGE[[#This Row],[date_modif]],
      "Ancien",
      "Modifié"),
   "Nouveau"))</f>
        <v>#VALUE!</v>
      </c>
      <c r="AD2639" s="1" t="str">
        <f>IFERROR(IF(Final_Sans_VGE[[#This Row],[ppn_z]]="","",IFERROR(
   IF(_xlfn.XLOOKUP(Final_Sans_VGE[[#This Row],[ppn_z]],tbl_Historique_Final[[#This Row],[ppn_z]],tbl_Historique_Final[[#This Row],[date_modif]])=Final_Sans_VGE[[#This Row],[date_modif]],
      "Ancien",
      "Modifié"),
   "Nouveau")),"")</f>
        <v/>
      </c>
    </row>
    <row r="2640" spans="24:30" x14ac:dyDescent="0.25">
      <c r="X2640" s="8" t="e">
        <f>IF(Final_Sans_VGE[[#This Row],[ppn_z]]="","",IFERROR(
   IF(_xlfn.XLOOKUP(Final_Sans_VGE[[#This Row],[ppn_z]],tbl_Historique_Final[ppn_z],tbl_Historique_Final[date_modif])=Final_Sans_VGE[[#This Row],[date_modif]],
      "Ancien",
      "Modifié"),
   "Nouveau"))</f>
        <v>#VALUE!</v>
      </c>
      <c r="AD2640" s="1" t="str">
        <f>IFERROR(IF(Final_Sans_VGE[[#This Row],[ppn_z]]="","",IFERROR(
   IF(_xlfn.XLOOKUP(Final_Sans_VGE[[#This Row],[ppn_z]],tbl_Historique_Final[[#This Row],[ppn_z]],tbl_Historique_Final[[#This Row],[date_modif]])=Final_Sans_VGE[[#This Row],[date_modif]],
      "Ancien",
      "Modifié"),
   "Nouveau")),"")</f>
        <v/>
      </c>
    </row>
    <row r="2641" spans="24:30" x14ac:dyDescent="0.25">
      <c r="X2641" s="8" t="e">
        <f>IF(Final_Sans_VGE[[#This Row],[ppn_z]]="","",IFERROR(
   IF(_xlfn.XLOOKUP(Final_Sans_VGE[[#This Row],[ppn_z]],tbl_Historique_Final[ppn_z],tbl_Historique_Final[date_modif])=Final_Sans_VGE[[#This Row],[date_modif]],
      "Ancien",
      "Modifié"),
   "Nouveau"))</f>
        <v>#VALUE!</v>
      </c>
      <c r="AD2641" s="1" t="str">
        <f>IFERROR(IF(Final_Sans_VGE[[#This Row],[ppn_z]]="","",IFERROR(
   IF(_xlfn.XLOOKUP(Final_Sans_VGE[[#This Row],[ppn_z]],tbl_Historique_Final[[#This Row],[ppn_z]],tbl_Historique_Final[[#This Row],[date_modif]])=Final_Sans_VGE[[#This Row],[date_modif]],
      "Ancien",
      "Modifié"),
   "Nouveau")),"")</f>
        <v/>
      </c>
    </row>
    <row r="2642" spans="24:30" x14ac:dyDescent="0.25">
      <c r="X2642" s="8" t="e">
        <f>IF(Final_Sans_VGE[[#This Row],[ppn_z]]="","",IFERROR(
   IF(_xlfn.XLOOKUP(Final_Sans_VGE[[#This Row],[ppn_z]],tbl_Historique_Final[ppn_z],tbl_Historique_Final[date_modif])=Final_Sans_VGE[[#This Row],[date_modif]],
      "Ancien",
      "Modifié"),
   "Nouveau"))</f>
        <v>#VALUE!</v>
      </c>
      <c r="AD2642" s="1" t="str">
        <f>IFERROR(IF(Final_Sans_VGE[[#This Row],[ppn_z]]="","",IFERROR(
   IF(_xlfn.XLOOKUP(Final_Sans_VGE[[#This Row],[ppn_z]],tbl_Historique_Final[[#This Row],[ppn_z]],tbl_Historique_Final[[#This Row],[date_modif]])=Final_Sans_VGE[[#This Row],[date_modif]],
      "Ancien",
      "Modifié"),
   "Nouveau")),"")</f>
        <v/>
      </c>
    </row>
    <row r="2643" spans="24:30" x14ac:dyDescent="0.25">
      <c r="X2643" s="8" t="e">
        <f>IF(Final_Sans_VGE[[#This Row],[ppn_z]]="","",IFERROR(
   IF(_xlfn.XLOOKUP(Final_Sans_VGE[[#This Row],[ppn_z]],tbl_Historique_Final[ppn_z],tbl_Historique_Final[date_modif])=Final_Sans_VGE[[#This Row],[date_modif]],
      "Ancien",
      "Modifié"),
   "Nouveau"))</f>
        <v>#VALUE!</v>
      </c>
      <c r="AD2643" s="1" t="str">
        <f>IFERROR(IF(Final_Sans_VGE[[#This Row],[ppn_z]]="","",IFERROR(
   IF(_xlfn.XLOOKUP(Final_Sans_VGE[[#This Row],[ppn_z]],tbl_Historique_Final[[#This Row],[ppn_z]],tbl_Historique_Final[[#This Row],[date_modif]])=Final_Sans_VGE[[#This Row],[date_modif]],
      "Ancien",
      "Modifié"),
   "Nouveau")),"")</f>
        <v/>
      </c>
    </row>
    <row r="2644" spans="24:30" x14ac:dyDescent="0.25">
      <c r="X2644" s="8" t="e">
        <f>IF(Final_Sans_VGE[[#This Row],[ppn_z]]="","",IFERROR(
   IF(_xlfn.XLOOKUP(Final_Sans_VGE[[#This Row],[ppn_z]],tbl_Historique_Final[ppn_z],tbl_Historique_Final[date_modif])=Final_Sans_VGE[[#This Row],[date_modif]],
      "Ancien",
      "Modifié"),
   "Nouveau"))</f>
        <v>#VALUE!</v>
      </c>
      <c r="AD2644" s="1" t="str">
        <f>IFERROR(IF(Final_Sans_VGE[[#This Row],[ppn_z]]="","",IFERROR(
   IF(_xlfn.XLOOKUP(Final_Sans_VGE[[#This Row],[ppn_z]],tbl_Historique_Final[[#This Row],[ppn_z]],tbl_Historique_Final[[#This Row],[date_modif]])=Final_Sans_VGE[[#This Row],[date_modif]],
      "Ancien",
      "Modifié"),
   "Nouveau")),"")</f>
        <v/>
      </c>
    </row>
    <row r="2645" spans="24:30" x14ac:dyDescent="0.25">
      <c r="X2645" s="8" t="e">
        <f>IF(Final_Sans_VGE[[#This Row],[ppn_z]]="","",IFERROR(
   IF(_xlfn.XLOOKUP(Final_Sans_VGE[[#This Row],[ppn_z]],tbl_Historique_Final[ppn_z],tbl_Historique_Final[date_modif])=Final_Sans_VGE[[#This Row],[date_modif]],
      "Ancien",
      "Modifié"),
   "Nouveau"))</f>
        <v>#VALUE!</v>
      </c>
      <c r="AD2645" s="1" t="str">
        <f>IFERROR(IF(Final_Sans_VGE[[#This Row],[ppn_z]]="","",IFERROR(
   IF(_xlfn.XLOOKUP(Final_Sans_VGE[[#This Row],[ppn_z]],tbl_Historique_Final[[#This Row],[ppn_z]],tbl_Historique_Final[[#This Row],[date_modif]])=Final_Sans_VGE[[#This Row],[date_modif]],
      "Ancien",
      "Modifié"),
   "Nouveau")),"")</f>
        <v/>
      </c>
    </row>
    <row r="2646" spans="24:30" x14ac:dyDescent="0.25">
      <c r="X2646" s="8" t="e">
        <f>IF(Final_Sans_VGE[[#This Row],[ppn_z]]="","",IFERROR(
   IF(_xlfn.XLOOKUP(Final_Sans_VGE[[#This Row],[ppn_z]],tbl_Historique_Final[ppn_z],tbl_Historique_Final[date_modif])=Final_Sans_VGE[[#This Row],[date_modif]],
      "Ancien",
      "Modifié"),
   "Nouveau"))</f>
        <v>#VALUE!</v>
      </c>
      <c r="AD2646" s="1" t="str">
        <f>IFERROR(IF(Final_Sans_VGE[[#This Row],[ppn_z]]="","",IFERROR(
   IF(_xlfn.XLOOKUP(Final_Sans_VGE[[#This Row],[ppn_z]],tbl_Historique_Final[[#This Row],[ppn_z]],tbl_Historique_Final[[#This Row],[date_modif]])=Final_Sans_VGE[[#This Row],[date_modif]],
      "Ancien",
      "Modifié"),
   "Nouveau")),"")</f>
        <v/>
      </c>
    </row>
    <row r="2647" spans="24:30" x14ac:dyDescent="0.25">
      <c r="X2647" s="8" t="e">
        <f>IF(Final_Sans_VGE[[#This Row],[ppn_z]]="","",IFERROR(
   IF(_xlfn.XLOOKUP(Final_Sans_VGE[[#This Row],[ppn_z]],tbl_Historique_Final[ppn_z],tbl_Historique_Final[date_modif])=Final_Sans_VGE[[#This Row],[date_modif]],
      "Ancien",
      "Modifié"),
   "Nouveau"))</f>
        <v>#VALUE!</v>
      </c>
      <c r="AD2647" s="1" t="str">
        <f>IFERROR(IF(Final_Sans_VGE[[#This Row],[ppn_z]]="","",IFERROR(
   IF(_xlfn.XLOOKUP(Final_Sans_VGE[[#This Row],[ppn_z]],tbl_Historique_Final[[#This Row],[ppn_z]],tbl_Historique_Final[[#This Row],[date_modif]])=Final_Sans_VGE[[#This Row],[date_modif]],
      "Ancien",
      "Modifié"),
   "Nouveau")),"")</f>
        <v/>
      </c>
    </row>
    <row r="2648" spans="24:30" x14ac:dyDescent="0.25">
      <c r="X2648" s="8" t="e">
        <f>IF(Final_Sans_VGE[[#This Row],[ppn_z]]="","",IFERROR(
   IF(_xlfn.XLOOKUP(Final_Sans_VGE[[#This Row],[ppn_z]],tbl_Historique_Final[ppn_z],tbl_Historique_Final[date_modif])=Final_Sans_VGE[[#This Row],[date_modif]],
      "Ancien",
      "Modifié"),
   "Nouveau"))</f>
        <v>#VALUE!</v>
      </c>
      <c r="AD2648" s="1" t="str">
        <f>IFERROR(IF(Final_Sans_VGE[[#This Row],[ppn_z]]="","",IFERROR(
   IF(_xlfn.XLOOKUP(Final_Sans_VGE[[#This Row],[ppn_z]],tbl_Historique_Final[[#This Row],[ppn_z]],tbl_Historique_Final[[#This Row],[date_modif]])=Final_Sans_VGE[[#This Row],[date_modif]],
      "Ancien",
      "Modifié"),
   "Nouveau")),"")</f>
        <v/>
      </c>
    </row>
    <row r="2649" spans="24:30" x14ac:dyDescent="0.25">
      <c r="X2649" s="8" t="e">
        <f>IF(Final_Sans_VGE[[#This Row],[ppn_z]]="","",IFERROR(
   IF(_xlfn.XLOOKUP(Final_Sans_VGE[[#This Row],[ppn_z]],tbl_Historique_Final[ppn_z],tbl_Historique_Final[date_modif])=Final_Sans_VGE[[#This Row],[date_modif]],
      "Ancien",
      "Modifié"),
   "Nouveau"))</f>
        <v>#VALUE!</v>
      </c>
      <c r="AD2649" s="1" t="str">
        <f>IFERROR(IF(Final_Sans_VGE[[#This Row],[ppn_z]]="","",IFERROR(
   IF(_xlfn.XLOOKUP(Final_Sans_VGE[[#This Row],[ppn_z]],tbl_Historique_Final[[#This Row],[ppn_z]],tbl_Historique_Final[[#This Row],[date_modif]])=Final_Sans_VGE[[#This Row],[date_modif]],
      "Ancien",
      "Modifié"),
   "Nouveau")),"")</f>
        <v/>
      </c>
    </row>
    <row r="2650" spans="24:30" x14ac:dyDescent="0.25">
      <c r="X2650" s="8" t="e">
        <f>IF(Final_Sans_VGE[[#This Row],[ppn_z]]="","",IFERROR(
   IF(_xlfn.XLOOKUP(Final_Sans_VGE[[#This Row],[ppn_z]],tbl_Historique_Final[ppn_z],tbl_Historique_Final[date_modif])=Final_Sans_VGE[[#This Row],[date_modif]],
      "Ancien",
      "Modifié"),
   "Nouveau"))</f>
        <v>#VALUE!</v>
      </c>
      <c r="AD2650" s="1" t="str">
        <f>IFERROR(IF(Final_Sans_VGE[[#This Row],[ppn_z]]="","",IFERROR(
   IF(_xlfn.XLOOKUP(Final_Sans_VGE[[#This Row],[ppn_z]],tbl_Historique_Final[[#This Row],[ppn_z]],tbl_Historique_Final[[#This Row],[date_modif]])=Final_Sans_VGE[[#This Row],[date_modif]],
      "Ancien",
      "Modifié"),
   "Nouveau")),"")</f>
        <v/>
      </c>
    </row>
    <row r="2651" spans="24:30" x14ac:dyDescent="0.25">
      <c r="X2651" s="8" t="e">
        <f>IF(Final_Sans_VGE[[#This Row],[ppn_z]]="","",IFERROR(
   IF(_xlfn.XLOOKUP(Final_Sans_VGE[[#This Row],[ppn_z]],tbl_Historique_Final[ppn_z],tbl_Historique_Final[date_modif])=Final_Sans_VGE[[#This Row],[date_modif]],
      "Ancien",
      "Modifié"),
   "Nouveau"))</f>
        <v>#VALUE!</v>
      </c>
      <c r="AD2651" s="1" t="str">
        <f>IFERROR(IF(Final_Sans_VGE[[#This Row],[ppn_z]]="","",IFERROR(
   IF(_xlfn.XLOOKUP(Final_Sans_VGE[[#This Row],[ppn_z]],tbl_Historique_Final[[#This Row],[ppn_z]],tbl_Historique_Final[[#This Row],[date_modif]])=Final_Sans_VGE[[#This Row],[date_modif]],
      "Ancien",
      "Modifié"),
   "Nouveau")),"")</f>
        <v/>
      </c>
    </row>
    <row r="2652" spans="24:30" x14ac:dyDescent="0.25">
      <c r="X2652" s="8" t="e">
        <f>IF(Final_Sans_VGE[[#This Row],[ppn_z]]="","",IFERROR(
   IF(_xlfn.XLOOKUP(Final_Sans_VGE[[#This Row],[ppn_z]],tbl_Historique_Final[ppn_z],tbl_Historique_Final[date_modif])=Final_Sans_VGE[[#This Row],[date_modif]],
      "Ancien",
      "Modifié"),
   "Nouveau"))</f>
        <v>#VALUE!</v>
      </c>
      <c r="AD2652" s="1" t="str">
        <f>IFERROR(IF(Final_Sans_VGE[[#This Row],[ppn_z]]="","",IFERROR(
   IF(_xlfn.XLOOKUP(Final_Sans_VGE[[#This Row],[ppn_z]],tbl_Historique_Final[[#This Row],[ppn_z]],tbl_Historique_Final[[#This Row],[date_modif]])=Final_Sans_VGE[[#This Row],[date_modif]],
      "Ancien",
      "Modifié"),
   "Nouveau")),"")</f>
        <v/>
      </c>
    </row>
    <row r="2653" spans="24:30" x14ac:dyDescent="0.25">
      <c r="X2653" s="8" t="e">
        <f>IF(Final_Sans_VGE[[#This Row],[ppn_z]]="","",IFERROR(
   IF(_xlfn.XLOOKUP(Final_Sans_VGE[[#This Row],[ppn_z]],tbl_Historique_Final[ppn_z],tbl_Historique_Final[date_modif])=Final_Sans_VGE[[#This Row],[date_modif]],
      "Ancien",
      "Modifié"),
   "Nouveau"))</f>
        <v>#VALUE!</v>
      </c>
      <c r="AD2653" s="1" t="str">
        <f>IFERROR(IF(Final_Sans_VGE[[#This Row],[ppn_z]]="","",IFERROR(
   IF(_xlfn.XLOOKUP(Final_Sans_VGE[[#This Row],[ppn_z]],tbl_Historique_Final[[#This Row],[ppn_z]],tbl_Historique_Final[[#This Row],[date_modif]])=Final_Sans_VGE[[#This Row],[date_modif]],
      "Ancien",
      "Modifié"),
   "Nouveau")),"")</f>
        <v/>
      </c>
    </row>
    <row r="2654" spans="24:30" x14ac:dyDescent="0.25">
      <c r="X2654" s="8" t="e">
        <f>IF(Final_Sans_VGE[[#This Row],[ppn_z]]="","",IFERROR(
   IF(_xlfn.XLOOKUP(Final_Sans_VGE[[#This Row],[ppn_z]],tbl_Historique_Final[ppn_z],tbl_Historique_Final[date_modif])=Final_Sans_VGE[[#This Row],[date_modif]],
      "Ancien",
      "Modifié"),
   "Nouveau"))</f>
        <v>#VALUE!</v>
      </c>
      <c r="AD2654" s="1" t="str">
        <f>IFERROR(IF(Final_Sans_VGE[[#This Row],[ppn_z]]="","",IFERROR(
   IF(_xlfn.XLOOKUP(Final_Sans_VGE[[#This Row],[ppn_z]],tbl_Historique_Final[[#This Row],[ppn_z]],tbl_Historique_Final[[#This Row],[date_modif]])=Final_Sans_VGE[[#This Row],[date_modif]],
      "Ancien",
      "Modifié"),
   "Nouveau")),"")</f>
        <v/>
      </c>
    </row>
    <row r="2655" spans="24:30" x14ac:dyDescent="0.25">
      <c r="X2655" s="8" t="e">
        <f>IF(Final_Sans_VGE[[#This Row],[ppn_z]]="","",IFERROR(
   IF(_xlfn.XLOOKUP(Final_Sans_VGE[[#This Row],[ppn_z]],tbl_Historique_Final[ppn_z],tbl_Historique_Final[date_modif])=Final_Sans_VGE[[#This Row],[date_modif]],
      "Ancien",
      "Modifié"),
   "Nouveau"))</f>
        <v>#VALUE!</v>
      </c>
      <c r="AD2655" s="1" t="str">
        <f>IFERROR(IF(Final_Sans_VGE[[#This Row],[ppn_z]]="","",IFERROR(
   IF(_xlfn.XLOOKUP(Final_Sans_VGE[[#This Row],[ppn_z]],tbl_Historique_Final[[#This Row],[ppn_z]],tbl_Historique_Final[[#This Row],[date_modif]])=Final_Sans_VGE[[#This Row],[date_modif]],
      "Ancien",
      "Modifié"),
   "Nouveau")),"")</f>
        <v/>
      </c>
    </row>
    <row r="2656" spans="24:30" x14ac:dyDescent="0.25">
      <c r="X2656" s="8" t="e">
        <f>IF(Final_Sans_VGE[[#This Row],[ppn_z]]="","",IFERROR(
   IF(_xlfn.XLOOKUP(Final_Sans_VGE[[#This Row],[ppn_z]],tbl_Historique_Final[ppn_z],tbl_Historique_Final[date_modif])=Final_Sans_VGE[[#This Row],[date_modif]],
      "Ancien",
      "Modifié"),
   "Nouveau"))</f>
        <v>#VALUE!</v>
      </c>
      <c r="AD2656" s="1" t="str">
        <f>IFERROR(IF(Final_Sans_VGE[[#This Row],[ppn_z]]="","",IFERROR(
   IF(_xlfn.XLOOKUP(Final_Sans_VGE[[#This Row],[ppn_z]],tbl_Historique_Final[[#This Row],[ppn_z]],tbl_Historique_Final[[#This Row],[date_modif]])=Final_Sans_VGE[[#This Row],[date_modif]],
      "Ancien",
      "Modifié"),
   "Nouveau")),"")</f>
        <v/>
      </c>
    </row>
    <row r="2657" spans="24:30" x14ac:dyDescent="0.25">
      <c r="X2657" s="8" t="e">
        <f>IF(Final_Sans_VGE[[#This Row],[ppn_z]]="","",IFERROR(
   IF(_xlfn.XLOOKUP(Final_Sans_VGE[[#This Row],[ppn_z]],tbl_Historique_Final[ppn_z],tbl_Historique_Final[date_modif])=Final_Sans_VGE[[#This Row],[date_modif]],
      "Ancien",
      "Modifié"),
   "Nouveau"))</f>
        <v>#VALUE!</v>
      </c>
      <c r="AD2657" s="1" t="str">
        <f>IFERROR(IF(Final_Sans_VGE[[#This Row],[ppn_z]]="","",IFERROR(
   IF(_xlfn.XLOOKUP(Final_Sans_VGE[[#This Row],[ppn_z]],tbl_Historique_Final[[#This Row],[ppn_z]],tbl_Historique_Final[[#This Row],[date_modif]])=Final_Sans_VGE[[#This Row],[date_modif]],
      "Ancien",
      "Modifié"),
   "Nouveau")),"")</f>
        <v/>
      </c>
    </row>
    <row r="2658" spans="24:30" x14ac:dyDescent="0.25">
      <c r="X2658" s="8" t="e">
        <f>IF(Final_Sans_VGE[[#This Row],[ppn_z]]="","",IFERROR(
   IF(_xlfn.XLOOKUP(Final_Sans_VGE[[#This Row],[ppn_z]],tbl_Historique_Final[ppn_z],tbl_Historique_Final[date_modif])=Final_Sans_VGE[[#This Row],[date_modif]],
      "Ancien",
      "Modifié"),
   "Nouveau"))</f>
        <v>#VALUE!</v>
      </c>
      <c r="AD2658" s="1" t="str">
        <f>IFERROR(IF(Final_Sans_VGE[[#This Row],[ppn_z]]="","",IFERROR(
   IF(_xlfn.XLOOKUP(Final_Sans_VGE[[#This Row],[ppn_z]],tbl_Historique_Final[[#This Row],[ppn_z]],tbl_Historique_Final[[#This Row],[date_modif]])=Final_Sans_VGE[[#This Row],[date_modif]],
      "Ancien",
      "Modifié"),
   "Nouveau")),"")</f>
        <v/>
      </c>
    </row>
    <row r="2659" spans="24:30" x14ac:dyDescent="0.25">
      <c r="X2659" s="8" t="e">
        <f>IF(Final_Sans_VGE[[#This Row],[ppn_z]]="","",IFERROR(
   IF(_xlfn.XLOOKUP(Final_Sans_VGE[[#This Row],[ppn_z]],tbl_Historique_Final[ppn_z],tbl_Historique_Final[date_modif])=Final_Sans_VGE[[#This Row],[date_modif]],
      "Ancien",
      "Modifié"),
   "Nouveau"))</f>
        <v>#VALUE!</v>
      </c>
      <c r="AD2659" s="1" t="str">
        <f>IFERROR(IF(Final_Sans_VGE[[#This Row],[ppn_z]]="","",IFERROR(
   IF(_xlfn.XLOOKUP(Final_Sans_VGE[[#This Row],[ppn_z]],tbl_Historique_Final[[#This Row],[ppn_z]],tbl_Historique_Final[[#This Row],[date_modif]])=Final_Sans_VGE[[#This Row],[date_modif]],
      "Ancien",
      "Modifié"),
   "Nouveau")),"")</f>
        <v/>
      </c>
    </row>
    <row r="2660" spans="24:30" x14ac:dyDescent="0.25">
      <c r="X2660" s="8" t="e">
        <f>IF(Final_Sans_VGE[[#This Row],[ppn_z]]="","",IFERROR(
   IF(_xlfn.XLOOKUP(Final_Sans_VGE[[#This Row],[ppn_z]],tbl_Historique_Final[ppn_z],tbl_Historique_Final[date_modif])=Final_Sans_VGE[[#This Row],[date_modif]],
      "Ancien",
      "Modifié"),
   "Nouveau"))</f>
        <v>#VALUE!</v>
      </c>
      <c r="AD2660" s="1" t="str">
        <f>IFERROR(IF(Final_Sans_VGE[[#This Row],[ppn_z]]="","",IFERROR(
   IF(_xlfn.XLOOKUP(Final_Sans_VGE[[#This Row],[ppn_z]],tbl_Historique_Final[[#This Row],[ppn_z]],tbl_Historique_Final[[#This Row],[date_modif]])=Final_Sans_VGE[[#This Row],[date_modif]],
      "Ancien",
      "Modifié"),
   "Nouveau")),"")</f>
        <v/>
      </c>
    </row>
    <row r="2661" spans="24:30" x14ac:dyDescent="0.25">
      <c r="X2661" s="8" t="e">
        <f>IF(Final_Sans_VGE[[#This Row],[ppn_z]]="","",IFERROR(
   IF(_xlfn.XLOOKUP(Final_Sans_VGE[[#This Row],[ppn_z]],tbl_Historique_Final[ppn_z],tbl_Historique_Final[date_modif])=Final_Sans_VGE[[#This Row],[date_modif]],
      "Ancien",
      "Modifié"),
   "Nouveau"))</f>
        <v>#VALUE!</v>
      </c>
      <c r="AD2661" s="1" t="str">
        <f>IFERROR(IF(Final_Sans_VGE[[#This Row],[ppn_z]]="","",IFERROR(
   IF(_xlfn.XLOOKUP(Final_Sans_VGE[[#This Row],[ppn_z]],tbl_Historique_Final[[#This Row],[ppn_z]],tbl_Historique_Final[[#This Row],[date_modif]])=Final_Sans_VGE[[#This Row],[date_modif]],
      "Ancien",
      "Modifié"),
   "Nouveau")),"")</f>
        <v/>
      </c>
    </row>
    <row r="2662" spans="24:30" x14ac:dyDescent="0.25">
      <c r="X2662" s="8" t="e">
        <f>IF(Final_Sans_VGE[[#This Row],[ppn_z]]="","",IFERROR(
   IF(_xlfn.XLOOKUP(Final_Sans_VGE[[#This Row],[ppn_z]],tbl_Historique_Final[ppn_z],tbl_Historique_Final[date_modif])=Final_Sans_VGE[[#This Row],[date_modif]],
      "Ancien",
      "Modifié"),
   "Nouveau"))</f>
        <v>#VALUE!</v>
      </c>
      <c r="AD2662" s="1" t="str">
        <f>IFERROR(IF(Final_Sans_VGE[[#This Row],[ppn_z]]="","",IFERROR(
   IF(_xlfn.XLOOKUP(Final_Sans_VGE[[#This Row],[ppn_z]],tbl_Historique_Final[[#This Row],[ppn_z]],tbl_Historique_Final[[#This Row],[date_modif]])=Final_Sans_VGE[[#This Row],[date_modif]],
      "Ancien",
      "Modifié"),
   "Nouveau")),"")</f>
        <v/>
      </c>
    </row>
    <row r="2663" spans="24:30" x14ac:dyDescent="0.25">
      <c r="X2663" s="8" t="e">
        <f>IF(Final_Sans_VGE[[#This Row],[ppn_z]]="","",IFERROR(
   IF(_xlfn.XLOOKUP(Final_Sans_VGE[[#This Row],[ppn_z]],tbl_Historique_Final[ppn_z],tbl_Historique_Final[date_modif])=Final_Sans_VGE[[#This Row],[date_modif]],
      "Ancien",
      "Modifié"),
   "Nouveau"))</f>
        <v>#VALUE!</v>
      </c>
      <c r="AD2663" s="1" t="str">
        <f>IFERROR(IF(Final_Sans_VGE[[#This Row],[ppn_z]]="","",IFERROR(
   IF(_xlfn.XLOOKUP(Final_Sans_VGE[[#This Row],[ppn_z]],tbl_Historique_Final[[#This Row],[ppn_z]],tbl_Historique_Final[[#This Row],[date_modif]])=Final_Sans_VGE[[#This Row],[date_modif]],
      "Ancien",
      "Modifié"),
   "Nouveau")),"")</f>
        <v/>
      </c>
    </row>
    <row r="2664" spans="24:30" x14ac:dyDescent="0.25">
      <c r="X2664" s="8" t="e">
        <f>IF(Final_Sans_VGE[[#This Row],[ppn_z]]="","",IFERROR(
   IF(_xlfn.XLOOKUP(Final_Sans_VGE[[#This Row],[ppn_z]],tbl_Historique_Final[ppn_z],tbl_Historique_Final[date_modif])=Final_Sans_VGE[[#This Row],[date_modif]],
      "Ancien",
      "Modifié"),
   "Nouveau"))</f>
        <v>#VALUE!</v>
      </c>
      <c r="AD2664" s="1" t="str">
        <f>IFERROR(IF(Final_Sans_VGE[[#This Row],[ppn_z]]="","",IFERROR(
   IF(_xlfn.XLOOKUP(Final_Sans_VGE[[#This Row],[ppn_z]],tbl_Historique_Final[[#This Row],[ppn_z]],tbl_Historique_Final[[#This Row],[date_modif]])=Final_Sans_VGE[[#This Row],[date_modif]],
      "Ancien",
      "Modifié"),
   "Nouveau")),"")</f>
        <v/>
      </c>
    </row>
    <row r="2665" spans="24:30" x14ac:dyDescent="0.25">
      <c r="X2665" s="8" t="e">
        <f>IF(Final_Sans_VGE[[#This Row],[ppn_z]]="","",IFERROR(
   IF(_xlfn.XLOOKUP(Final_Sans_VGE[[#This Row],[ppn_z]],tbl_Historique_Final[ppn_z],tbl_Historique_Final[date_modif])=Final_Sans_VGE[[#This Row],[date_modif]],
      "Ancien",
      "Modifié"),
   "Nouveau"))</f>
        <v>#VALUE!</v>
      </c>
      <c r="AD2665" s="1" t="str">
        <f>IFERROR(IF(Final_Sans_VGE[[#This Row],[ppn_z]]="","",IFERROR(
   IF(_xlfn.XLOOKUP(Final_Sans_VGE[[#This Row],[ppn_z]],tbl_Historique_Final[[#This Row],[ppn_z]],tbl_Historique_Final[[#This Row],[date_modif]])=Final_Sans_VGE[[#This Row],[date_modif]],
      "Ancien",
      "Modifié"),
   "Nouveau")),"")</f>
        <v/>
      </c>
    </row>
    <row r="2666" spans="24:30" x14ac:dyDescent="0.25">
      <c r="X2666" s="8" t="e">
        <f>IF(Final_Sans_VGE[[#This Row],[ppn_z]]="","",IFERROR(
   IF(_xlfn.XLOOKUP(Final_Sans_VGE[[#This Row],[ppn_z]],tbl_Historique_Final[ppn_z],tbl_Historique_Final[date_modif])=Final_Sans_VGE[[#This Row],[date_modif]],
      "Ancien",
      "Modifié"),
   "Nouveau"))</f>
        <v>#VALUE!</v>
      </c>
      <c r="AD2666" s="1" t="str">
        <f>IFERROR(IF(Final_Sans_VGE[[#This Row],[ppn_z]]="","",IFERROR(
   IF(_xlfn.XLOOKUP(Final_Sans_VGE[[#This Row],[ppn_z]],tbl_Historique_Final[[#This Row],[ppn_z]],tbl_Historique_Final[[#This Row],[date_modif]])=Final_Sans_VGE[[#This Row],[date_modif]],
      "Ancien",
      "Modifié"),
   "Nouveau")),"")</f>
        <v/>
      </c>
    </row>
    <row r="2667" spans="24:30" x14ac:dyDescent="0.25">
      <c r="X2667" s="8" t="e">
        <f>IF(Final_Sans_VGE[[#This Row],[ppn_z]]="","",IFERROR(
   IF(_xlfn.XLOOKUP(Final_Sans_VGE[[#This Row],[ppn_z]],tbl_Historique_Final[ppn_z],tbl_Historique_Final[date_modif])=Final_Sans_VGE[[#This Row],[date_modif]],
      "Ancien",
      "Modifié"),
   "Nouveau"))</f>
        <v>#VALUE!</v>
      </c>
      <c r="AD2667" s="1" t="str">
        <f>IFERROR(IF(Final_Sans_VGE[[#This Row],[ppn_z]]="","",IFERROR(
   IF(_xlfn.XLOOKUP(Final_Sans_VGE[[#This Row],[ppn_z]],tbl_Historique_Final[[#This Row],[ppn_z]],tbl_Historique_Final[[#This Row],[date_modif]])=Final_Sans_VGE[[#This Row],[date_modif]],
      "Ancien",
      "Modifié"),
   "Nouveau")),"")</f>
        <v/>
      </c>
    </row>
    <row r="2668" spans="24:30" x14ac:dyDescent="0.25">
      <c r="X2668" s="8" t="e">
        <f>IF(Final_Sans_VGE[[#This Row],[ppn_z]]="","",IFERROR(
   IF(_xlfn.XLOOKUP(Final_Sans_VGE[[#This Row],[ppn_z]],tbl_Historique_Final[ppn_z],tbl_Historique_Final[date_modif])=Final_Sans_VGE[[#This Row],[date_modif]],
      "Ancien",
      "Modifié"),
   "Nouveau"))</f>
        <v>#VALUE!</v>
      </c>
      <c r="AD2668" s="1" t="str">
        <f>IFERROR(IF(Final_Sans_VGE[[#This Row],[ppn_z]]="","",IFERROR(
   IF(_xlfn.XLOOKUP(Final_Sans_VGE[[#This Row],[ppn_z]],tbl_Historique_Final[[#This Row],[ppn_z]],tbl_Historique_Final[[#This Row],[date_modif]])=Final_Sans_VGE[[#This Row],[date_modif]],
      "Ancien",
      "Modifié"),
   "Nouveau")),"")</f>
        <v/>
      </c>
    </row>
    <row r="2669" spans="24:30" x14ac:dyDescent="0.25">
      <c r="X2669" s="8" t="e">
        <f>IF(Final_Sans_VGE[[#This Row],[ppn_z]]="","",IFERROR(
   IF(_xlfn.XLOOKUP(Final_Sans_VGE[[#This Row],[ppn_z]],tbl_Historique_Final[ppn_z],tbl_Historique_Final[date_modif])=Final_Sans_VGE[[#This Row],[date_modif]],
      "Ancien",
      "Modifié"),
   "Nouveau"))</f>
        <v>#VALUE!</v>
      </c>
      <c r="AD2669" s="1" t="str">
        <f>IFERROR(IF(Final_Sans_VGE[[#This Row],[ppn_z]]="","",IFERROR(
   IF(_xlfn.XLOOKUP(Final_Sans_VGE[[#This Row],[ppn_z]],tbl_Historique_Final[[#This Row],[ppn_z]],tbl_Historique_Final[[#This Row],[date_modif]])=Final_Sans_VGE[[#This Row],[date_modif]],
      "Ancien",
      "Modifié"),
   "Nouveau")),"")</f>
        <v/>
      </c>
    </row>
    <row r="2670" spans="24:30" x14ac:dyDescent="0.25">
      <c r="X2670" s="8" t="e">
        <f>IF(Final_Sans_VGE[[#This Row],[ppn_z]]="","",IFERROR(
   IF(_xlfn.XLOOKUP(Final_Sans_VGE[[#This Row],[ppn_z]],tbl_Historique_Final[ppn_z],tbl_Historique_Final[date_modif])=Final_Sans_VGE[[#This Row],[date_modif]],
      "Ancien",
      "Modifié"),
   "Nouveau"))</f>
        <v>#VALUE!</v>
      </c>
      <c r="AD2670" s="1" t="str">
        <f>IFERROR(IF(Final_Sans_VGE[[#This Row],[ppn_z]]="","",IFERROR(
   IF(_xlfn.XLOOKUP(Final_Sans_VGE[[#This Row],[ppn_z]],tbl_Historique_Final[[#This Row],[ppn_z]],tbl_Historique_Final[[#This Row],[date_modif]])=Final_Sans_VGE[[#This Row],[date_modif]],
      "Ancien",
      "Modifié"),
   "Nouveau")),"")</f>
        <v/>
      </c>
    </row>
    <row r="2671" spans="24:30" x14ac:dyDescent="0.25">
      <c r="X2671" s="8" t="e">
        <f>IF(Final_Sans_VGE[[#This Row],[ppn_z]]="","",IFERROR(
   IF(_xlfn.XLOOKUP(Final_Sans_VGE[[#This Row],[ppn_z]],tbl_Historique_Final[ppn_z],tbl_Historique_Final[date_modif])=Final_Sans_VGE[[#This Row],[date_modif]],
      "Ancien",
      "Modifié"),
   "Nouveau"))</f>
        <v>#VALUE!</v>
      </c>
      <c r="AD2671" s="1" t="str">
        <f>IFERROR(IF(Final_Sans_VGE[[#This Row],[ppn_z]]="","",IFERROR(
   IF(_xlfn.XLOOKUP(Final_Sans_VGE[[#This Row],[ppn_z]],tbl_Historique_Final[[#This Row],[ppn_z]],tbl_Historique_Final[[#This Row],[date_modif]])=Final_Sans_VGE[[#This Row],[date_modif]],
      "Ancien",
      "Modifié"),
   "Nouveau")),"")</f>
        <v/>
      </c>
    </row>
    <row r="2672" spans="24:30" x14ac:dyDescent="0.25">
      <c r="X2672" s="8" t="e">
        <f>IF(Final_Sans_VGE[[#This Row],[ppn_z]]="","",IFERROR(
   IF(_xlfn.XLOOKUP(Final_Sans_VGE[[#This Row],[ppn_z]],tbl_Historique_Final[ppn_z],tbl_Historique_Final[date_modif])=Final_Sans_VGE[[#This Row],[date_modif]],
      "Ancien",
      "Modifié"),
   "Nouveau"))</f>
        <v>#VALUE!</v>
      </c>
      <c r="AD2672" s="1" t="str">
        <f>IFERROR(IF(Final_Sans_VGE[[#This Row],[ppn_z]]="","",IFERROR(
   IF(_xlfn.XLOOKUP(Final_Sans_VGE[[#This Row],[ppn_z]],tbl_Historique_Final[[#This Row],[ppn_z]],tbl_Historique_Final[[#This Row],[date_modif]])=Final_Sans_VGE[[#This Row],[date_modif]],
      "Ancien",
      "Modifié"),
   "Nouveau")),"")</f>
        <v/>
      </c>
    </row>
    <row r="2673" spans="24:30" x14ac:dyDescent="0.25">
      <c r="X2673" s="8" t="e">
        <f>IF(Final_Sans_VGE[[#This Row],[ppn_z]]="","",IFERROR(
   IF(_xlfn.XLOOKUP(Final_Sans_VGE[[#This Row],[ppn_z]],tbl_Historique_Final[ppn_z],tbl_Historique_Final[date_modif])=Final_Sans_VGE[[#This Row],[date_modif]],
      "Ancien",
      "Modifié"),
   "Nouveau"))</f>
        <v>#VALUE!</v>
      </c>
      <c r="AD2673" s="1" t="str">
        <f>IFERROR(IF(Final_Sans_VGE[[#This Row],[ppn_z]]="","",IFERROR(
   IF(_xlfn.XLOOKUP(Final_Sans_VGE[[#This Row],[ppn_z]],tbl_Historique_Final[[#This Row],[ppn_z]],tbl_Historique_Final[[#This Row],[date_modif]])=Final_Sans_VGE[[#This Row],[date_modif]],
      "Ancien",
      "Modifié"),
   "Nouveau")),"")</f>
        <v/>
      </c>
    </row>
    <row r="2674" spans="24:30" x14ac:dyDescent="0.25">
      <c r="X2674" s="8" t="e">
        <f>IF(Final_Sans_VGE[[#This Row],[ppn_z]]="","",IFERROR(
   IF(_xlfn.XLOOKUP(Final_Sans_VGE[[#This Row],[ppn_z]],tbl_Historique_Final[ppn_z],tbl_Historique_Final[date_modif])=Final_Sans_VGE[[#This Row],[date_modif]],
      "Ancien",
      "Modifié"),
   "Nouveau"))</f>
        <v>#VALUE!</v>
      </c>
      <c r="AD2674" s="1" t="str">
        <f>IFERROR(IF(Final_Sans_VGE[[#This Row],[ppn_z]]="","",IFERROR(
   IF(_xlfn.XLOOKUP(Final_Sans_VGE[[#This Row],[ppn_z]],tbl_Historique_Final[[#This Row],[ppn_z]],tbl_Historique_Final[[#This Row],[date_modif]])=Final_Sans_VGE[[#This Row],[date_modif]],
      "Ancien",
      "Modifié"),
   "Nouveau")),"")</f>
        <v/>
      </c>
    </row>
    <row r="2675" spans="24:30" x14ac:dyDescent="0.25">
      <c r="X2675" s="8" t="e">
        <f>IF(Final_Sans_VGE[[#This Row],[ppn_z]]="","",IFERROR(
   IF(_xlfn.XLOOKUP(Final_Sans_VGE[[#This Row],[ppn_z]],tbl_Historique_Final[ppn_z],tbl_Historique_Final[date_modif])=Final_Sans_VGE[[#This Row],[date_modif]],
      "Ancien",
      "Modifié"),
   "Nouveau"))</f>
        <v>#VALUE!</v>
      </c>
      <c r="AD2675" s="1" t="str">
        <f>IFERROR(IF(Final_Sans_VGE[[#This Row],[ppn_z]]="","",IFERROR(
   IF(_xlfn.XLOOKUP(Final_Sans_VGE[[#This Row],[ppn_z]],tbl_Historique_Final[[#This Row],[ppn_z]],tbl_Historique_Final[[#This Row],[date_modif]])=Final_Sans_VGE[[#This Row],[date_modif]],
      "Ancien",
      "Modifié"),
   "Nouveau")),"")</f>
        <v/>
      </c>
    </row>
    <row r="2676" spans="24:30" x14ac:dyDescent="0.25">
      <c r="X2676" s="8" t="e">
        <f>IF(Final_Sans_VGE[[#This Row],[ppn_z]]="","",IFERROR(
   IF(_xlfn.XLOOKUP(Final_Sans_VGE[[#This Row],[ppn_z]],tbl_Historique_Final[ppn_z],tbl_Historique_Final[date_modif])=Final_Sans_VGE[[#This Row],[date_modif]],
      "Ancien",
      "Modifié"),
   "Nouveau"))</f>
        <v>#VALUE!</v>
      </c>
      <c r="AD2676" s="1" t="str">
        <f>IFERROR(IF(Final_Sans_VGE[[#This Row],[ppn_z]]="","",IFERROR(
   IF(_xlfn.XLOOKUP(Final_Sans_VGE[[#This Row],[ppn_z]],tbl_Historique_Final[[#This Row],[ppn_z]],tbl_Historique_Final[[#This Row],[date_modif]])=Final_Sans_VGE[[#This Row],[date_modif]],
      "Ancien",
      "Modifié"),
   "Nouveau")),"")</f>
        <v/>
      </c>
    </row>
    <row r="2677" spans="24:30" x14ac:dyDescent="0.25">
      <c r="X2677" s="8" t="e">
        <f>IF(Final_Sans_VGE[[#This Row],[ppn_z]]="","",IFERROR(
   IF(_xlfn.XLOOKUP(Final_Sans_VGE[[#This Row],[ppn_z]],tbl_Historique_Final[ppn_z],tbl_Historique_Final[date_modif])=Final_Sans_VGE[[#This Row],[date_modif]],
      "Ancien",
      "Modifié"),
   "Nouveau"))</f>
        <v>#VALUE!</v>
      </c>
      <c r="AD2677" s="1" t="str">
        <f>IFERROR(IF(Final_Sans_VGE[[#This Row],[ppn_z]]="","",IFERROR(
   IF(_xlfn.XLOOKUP(Final_Sans_VGE[[#This Row],[ppn_z]],tbl_Historique_Final[[#This Row],[ppn_z]],tbl_Historique_Final[[#This Row],[date_modif]])=Final_Sans_VGE[[#This Row],[date_modif]],
      "Ancien",
      "Modifié"),
   "Nouveau")),"")</f>
        <v/>
      </c>
    </row>
    <row r="2678" spans="24:30" x14ac:dyDescent="0.25">
      <c r="X2678" s="8" t="e">
        <f>IF(Final_Sans_VGE[[#This Row],[ppn_z]]="","",IFERROR(
   IF(_xlfn.XLOOKUP(Final_Sans_VGE[[#This Row],[ppn_z]],tbl_Historique_Final[ppn_z],tbl_Historique_Final[date_modif])=Final_Sans_VGE[[#This Row],[date_modif]],
      "Ancien",
      "Modifié"),
   "Nouveau"))</f>
        <v>#VALUE!</v>
      </c>
      <c r="AD2678" s="1" t="str">
        <f>IFERROR(IF(Final_Sans_VGE[[#This Row],[ppn_z]]="","",IFERROR(
   IF(_xlfn.XLOOKUP(Final_Sans_VGE[[#This Row],[ppn_z]],tbl_Historique_Final[[#This Row],[ppn_z]],tbl_Historique_Final[[#This Row],[date_modif]])=Final_Sans_VGE[[#This Row],[date_modif]],
      "Ancien",
      "Modifié"),
   "Nouveau")),"")</f>
        <v/>
      </c>
    </row>
    <row r="2679" spans="24:30" x14ac:dyDescent="0.25">
      <c r="X2679" s="8" t="e">
        <f>IF(Final_Sans_VGE[[#This Row],[ppn_z]]="","",IFERROR(
   IF(_xlfn.XLOOKUP(Final_Sans_VGE[[#This Row],[ppn_z]],tbl_Historique_Final[ppn_z],tbl_Historique_Final[date_modif])=Final_Sans_VGE[[#This Row],[date_modif]],
      "Ancien",
      "Modifié"),
   "Nouveau"))</f>
        <v>#VALUE!</v>
      </c>
      <c r="AD2679" s="1" t="str">
        <f>IFERROR(IF(Final_Sans_VGE[[#This Row],[ppn_z]]="","",IFERROR(
   IF(_xlfn.XLOOKUP(Final_Sans_VGE[[#This Row],[ppn_z]],tbl_Historique_Final[[#This Row],[ppn_z]],tbl_Historique_Final[[#This Row],[date_modif]])=Final_Sans_VGE[[#This Row],[date_modif]],
      "Ancien",
      "Modifié"),
   "Nouveau")),"")</f>
        <v/>
      </c>
    </row>
    <row r="2680" spans="24:30" x14ac:dyDescent="0.25">
      <c r="X2680" s="8" t="e">
        <f>IF(Final_Sans_VGE[[#This Row],[ppn_z]]="","",IFERROR(
   IF(_xlfn.XLOOKUP(Final_Sans_VGE[[#This Row],[ppn_z]],tbl_Historique_Final[ppn_z],tbl_Historique_Final[date_modif])=Final_Sans_VGE[[#This Row],[date_modif]],
      "Ancien",
      "Modifié"),
   "Nouveau"))</f>
        <v>#VALUE!</v>
      </c>
      <c r="AD2680" s="1" t="str">
        <f>IFERROR(IF(Final_Sans_VGE[[#This Row],[ppn_z]]="","",IFERROR(
   IF(_xlfn.XLOOKUP(Final_Sans_VGE[[#This Row],[ppn_z]],tbl_Historique_Final[[#This Row],[ppn_z]],tbl_Historique_Final[[#This Row],[date_modif]])=Final_Sans_VGE[[#This Row],[date_modif]],
      "Ancien",
      "Modifié"),
   "Nouveau")),"")</f>
        <v/>
      </c>
    </row>
    <row r="2681" spans="24:30" x14ac:dyDescent="0.25">
      <c r="X2681" s="8" t="e">
        <f>IF(Final_Sans_VGE[[#This Row],[ppn_z]]="","",IFERROR(
   IF(_xlfn.XLOOKUP(Final_Sans_VGE[[#This Row],[ppn_z]],tbl_Historique_Final[ppn_z],tbl_Historique_Final[date_modif])=Final_Sans_VGE[[#This Row],[date_modif]],
      "Ancien",
      "Modifié"),
   "Nouveau"))</f>
        <v>#VALUE!</v>
      </c>
      <c r="AD2681" s="1" t="str">
        <f>IFERROR(IF(Final_Sans_VGE[[#This Row],[ppn_z]]="","",IFERROR(
   IF(_xlfn.XLOOKUP(Final_Sans_VGE[[#This Row],[ppn_z]],tbl_Historique_Final[[#This Row],[ppn_z]],tbl_Historique_Final[[#This Row],[date_modif]])=Final_Sans_VGE[[#This Row],[date_modif]],
      "Ancien",
      "Modifié"),
   "Nouveau")),"")</f>
        <v/>
      </c>
    </row>
    <row r="2682" spans="24:30" x14ac:dyDescent="0.25">
      <c r="X2682" s="8" t="e">
        <f>IF(Final_Sans_VGE[[#This Row],[ppn_z]]="","",IFERROR(
   IF(_xlfn.XLOOKUP(Final_Sans_VGE[[#This Row],[ppn_z]],tbl_Historique_Final[ppn_z],tbl_Historique_Final[date_modif])=Final_Sans_VGE[[#This Row],[date_modif]],
      "Ancien",
      "Modifié"),
   "Nouveau"))</f>
        <v>#VALUE!</v>
      </c>
      <c r="AD2682" s="1" t="str">
        <f>IFERROR(IF(Final_Sans_VGE[[#This Row],[ppn_z]]="","",IFERROR(
   IF(_xlfn.XLOOKUP(Final_Sans_VGE[[#This Row],[ppn_z]],tbl_Historique_Final[[#This Row],[ppn_z]],tbl_Historique_Final[[#This Row],[date_modif]])=Final_Sans_VGE[[#This Row],[date_modif]],
      "Ancien",
      "Modifié"),
   "Nouveau")),"")</f>
        <v/>
      </c>
    </row>
    <row r="2683" spans="24:30" x14ac:dyDescent="0.25">
      <c r="X2683" s="8" t="e">
        <f>IF(Final_Sans_VGE[[#This Row],[ppn_z]]="","",IFERROR(
   IF(_xlfn.XLOOKUP(Final_Sans_VGE[[#This Row],[ppn_z]],tbl_Historique_Final[ppn_z],tbl_Historique_Final[date_modif])=Final_Sans_VGE[[#This Row],[date_modif]],
      "Ancien",
      "Modifié"),
   "Nouveau"))</f>
        <v>#VALUE!</v>
      </c>
      <c r="AD2683" s="1" t="str">
        <f>IFERROR(IF(Final_Sans_VGE[[#This Row],[ppn_z]]="","",IFERROR(
   IF(_xlfn.XLOOKUP(Final_Sans_VGE[[#This Row],[ppn_z]],tbl_Historique_Final[[#This Row],[ppn_z]],tbl_Historique_Final[[#This Row],[date_modif]])=Final_Sans_VGE[[#This Row],[date_modif]],
      "Ancien",
      "Modifié"),
   "Nouveau")),"")</f>
        <v/>
      </c>
    </row>
    <row r="2684" spans="24:30" x14ac:dyDescent="0.25">
      <c r="X2684" s="8" t="e">
        <f>IF(Final_Sans_VGE[[#This Row],[ppn_z]]="","",IFERROR(
   IF(_xlfn.XLOOKUP(Final_Sans_VGE[[#This Row],[ppn_z]],tbl_Historique_Final[ppn_z],tbl_Historique_Final[date_modif])=Final_Sans_VGE[[#This Row],[date_modif]],
      "Ancien",
      "Modifié"),
   "Nouveau"))</f>
        <v>#VALUE!</v>
      </c>
      <c r="AD2684" s="1" t="str">
        <f>IFERROR(IF(Final_Sans_VGE[[#This Row],[ppn_z]]="","",IFERROR(
   IF(_xlfn.XLOOKUP(Final_Sans_VGE[[#This Row],[ppn_z]],tbl_Historique_Final[[#This Row],[ppn_z]],tbl_Historique_Final[[#This Row],[date_modif]])=Final_Sans_VGE[[#This Row],[date_modif]],
      "Ancien",
      "Modifié"),
   "Nouveau")),"")</f>
        <v/>
      </c>
    </row>
    <row r="2685" spans="24:30" x14ac:dyDescent="0.25">
      <c r="X2685" s="8" t="e">
        <f>IF(Final_Sans_VGE[[#This Row],[ppn_z]]="","",IFERROR(
   IF(_xlfn.XLOOKUP(Final_Sans_VGE[[#This Row],[ppn_z]],tbl_Historique_Final[ppn_z],tbl_Historique_Final[date_modif])=Final_Sans_VGE[[#This Row],[date_modif]],
      "Ancien",
      "Modifié"),
   "Nouveau"))</f>
        <v>#VALUE!</v>
      </c>
      <c r="AD2685" s="1" t="str">
        <f>IFERROR(IF(Final_Sans_VGE[[#This Row],[ppn_z]]="","",IFERROR(
   IF(_xlfn.XLOOKUP(Final_Sans_VGE[[#This Row],[ppn_z]],tbl_Historique_Final[[#This Row],[ppn_z]],tbl_Historique_Final[[#This Row],[date_modif]])=Final_Sans_VGE[[#This Row],[date_modif]],
      "Ancien",
      "Modifié"),
   "Nouveau")),"")</f>
        <v/>
      </c>
    </row>
    <row r="2686" spans="24:30" x14ac:dyDescent="0.25">
      <c r="X2686" s="8" t="e">
        <f>IF(Final_Sans_VGE[[#This Row],[ppn_z]]="","",IFERROR(
   IF(_xlfn.XLOOKUP(Final_Sans_VGE[[#This Row],[ppn_z]],tbl_Historique_Final[ppn_z],tbl_Historique_Final[date_modif])=Final_Sans_VGE[[#This Row],[date_modif]],
      "Ancien",
      "Modifié"),
   "Nouveau"))</f>
        <v>#VALUE!</v>
      </c>
      <c r="AD2686" s="1" t="str">
        <f>IFERROR(IF(Final_Sans_VGE[[#This Row],[ppn_z]]="","",IFERROR(
   IF(_xlfn.XLOOKUP(Final_Sans_VGE[[#This Row],[ppn_z]],tbl_Historique_Final[[#This Row],[ppn_z]],tbl_Historique_Final[[#This Row],[date_modif]])=Final_Sans_VGE[[#This Row],[date_modif]],
      "Ancien",
      "Modifié"),
   "Nouveau")),"")</f>
        <v/>
      </c>
    </row>
    <row r="2687" spans="24:30" x14ac:dyDescent="0.25">
      <c r="X2687" s="8" t="e">
        <f>IF(Final_Sans_VGE[[#This Row],[ppn_z]]="","",IFERROR(
   IF(_xlfn.XLOOKUP(Final_Sans_VGE[[#This Row],[ppn_z]],tbl_Historique_Final[ppn_z],tbl_Historique_Final[date_modif])=Final_Sans_VGE[[#This Row],[date_modif]],
      "Ancien",
      "Modifié"),
   "Nouveau"))</f>
        <v>#VALUE!</v>
      </c>
      <c r="AD2687" s="1" t="str">
        <f>IFERROR(IF(Final_Sans_VGE[[#This Row],[ppn_z]]="","",IFERROR(
   IF(_xlfn.XLOOKUP(Final_Sans_VGE[[#This Row],[ppn_z]],tbl_Historique_Final[[#This Row],[ppn_z]],tbl_Historique_Final[[#This Row],[date_modif]])=Final_Sans_VGE[[#This Row],[date_modif]],
      "Ancien",
      "Modifié"),
   "Nouveau")),"")</f>
        <v/>
      </c>
    </row>
    <row r="2688" spans="24:30" x14ac:dyDescent="0.25">
      <c r="X2688" s="8" t="e">
        <f>IF(Final_Sans_VGE[[#This Row],[ppn_z]]="","",IFERROR(
   IF(_xlfn.XLOOKUP(Final_Sans_VGE[[#This Row],[ppn_z]],tbl_Historique_Final[ppn_z],tbl_Historique_Final[date_modif])=Final_Sans_VGE[[#This Row],[date_modif]],
      "Ancien",
      "Modifié"),
   "Nouveau"))</f>
        <v>#VALUE!</v>
      </c>
      <c r="AD2688" s="1" t="str">
        <f>IFERROR(IF(Final_Sans_VGE[[#This Row],[ppn_z]]="","",IFERROR(
   IF(_xlfn.XLOOKUP(Final_Sans_VGE[[#This Row],[ppn_z]],tbl_Historique_Final[[#This Row],[ppn_z]],tbl_Historique_Final[[#This Row],[date_modif]])=Final_Sans_VGE[[#This Row],[date_modif]],
      "Ancien",
      "Modifié"),
   "Nouveau")),"")</f>
        <v/>
      </c>
    </row>
    <row r="2689" spans="24:30" x14ac:dyDescent="0.25">
      <c r="X2689" s="8" t="e">
        <f>IF(Final_Sans_VGE[[#This Row],[ppn_z]]="","",IFERROR(
   IF(_xlfn.XLOOKUP(Final_Sans_VGE[[#This Row],[ppn_z]],tbl_Historique_Final[ppn_z],tbl_Historique_Final[date_modif])=Final_Sans_VGE[[#This Row],[date_modif]],
      "Ancien",
      "Modifié"),
   "Nouveau"))</f>
        <v>#VALUE!</v>
      </c>
      <c r="AD2689" s="1" t="str">
        <f>IFERROR(IF(Final_Sans_VGE[[#This Row],[ppn_z]]="","",IFERROR(
   IF(_xlfn.XLOOKUP(Final_Sans_VGE[[#This Row],[ppn_z]],tbl_Historique_Final[[#This Row],[ppn_z]],tbl_Historique_Final[[#This Row],[date_modif]])=Final_Sans_VGE[[#This Row],[date_modif]],
      "Ancien",
      "Modifié"),
   "Nouveau")),"")</f>
        <v/>
      </c>
    </row>
    <row r="2690" spans="24:30" x14ac:dyDescent="0.25">
      <c r="X2690" s="8" t="e">
        <f>IF(Final_Sans_VGE[[#This Row],[ppn_z]]="","",IFERROR(
   IF(_xlfn.XLOOKUP(Final_Sans_VGE[[#This Row],[ppn_z]],tbl_Historique_Final[ppn_z],tbl_Historique_Final[date_modif])=Final_Sans_VGE[[#This Row],[date_modif]],
      "Ancien",
      "Modifié"),
   "Nouveau"))</f>
        <v>#VALUE!</v>
      </c>
      <c r="AD2690" s="1" t="str">
        <f>IFERROR(IF(Final_Sans_VGE[[#This Row],[ppn_z]]="","",IFERROR(
   IF(_xlfn.XLOOKUP(Final_Sans_VGE[[#This Row],[ppn_z]],tbl_Historique_Final[[#This Row],[ppn_z]],tbl_Historique_Final[[#This Row],[date_modif]])=Final_Sans_VGE[[#This Row],[date_modif]],
      "Ancien",
      "Modifié"),
   "Nouveau")),"")</f>
        <v/>
      </c>
    </row>
    <row r="2691" spans="24:30" x14ac:dyDescent="0.25">
      <c r="X2691" s="8" t="e">
        <f>IF(Final_Sans_VGE[[#This Row],[ppn_z]]="","",IFERROR(
   IF(_xlfn.XLOOKUP(Final_Sans_VGE[[#This Row],[ppn_z]],tbl_Historique_Final[ppn_z],tbl_Historique_Final[date_modif])=Final_Sans_VGE[[#This Row],[date_modif]],
      "Ancien",
      "Modifié"),
   "Nouveau"))</f>
        <v>#VALUE!</v>
      </c>
      <c r="AD2691" s="1" t="str">
        <f>IFERROR(IF(Final_Sans_VGE[[#This Row],[ppn_z]]="","",IFERROR(
   IF(_xlfn.XLOOKUP(Final_Sans_VGE[[#This Row],[ppn_z]],tbl_Historique_Final[[#This Row],[ppn_z]],tbl_Historique_Final[[#This Row],[date_modif]])=Final_Sans_VGE[[#This Row],[date_modif]],
      "Ancien",
      "Modifié"),
   "Nouveau")),"")</f>
        <v/>
      </c>
    </row>
    <row r="2692" spans="24:30" x14ac:dyDescent="0.25">
      <c r="X2692" s="8" t="e">
        <f>IF(Final_Sans_VGE[[#This Row],[ppn_z]]="","",IFERROR(
   IF(_xlfn.XLOOKUP(Final_Sans_VGE[[#This Row],[ppn_z]],tbl_Historique_Final[ppn_z],tbl_Historique_Final[date_modif])=Final_Sans_VGE[[#This Row],[date_modif]],
      "Ancien",
      "Modifié"),
   "Nouveau"))</f>
        <v>#VALUE!</v>
      </c>
      <c r="AD2692" s="1" t="str">
        <f>IFERROR(IF(Final_Sans_VGE[[#This Row],[ppn_z]]="","",IFERROR(
   IF(_xlfn.XLOOKUP(Final_Sans_VGE[[#This Row],[ppn_z]],tbl_Historique_Final[[#This Row],[ppn_z]],tbl_Historique_Final[[#This Row],[date_modif]])=Final_Sans_VGE[[#This Row],[date_modif]],
      "Ancien",
      "Modifié"),
   "Nouveau")),"")</f>
        <v/>
      </c>
    </row>
    <row r="2693" spans="24:30" x14ac:dyDescent="0.25">
      <c r="X2693" s="8" t="e">
        <f>IF(Final_Sans_VGE[[#This Row],[ppn_z]]="","",IFERROR(
   IF(_xlfn.XLOOKUP(Final_Sans_VGE[[#This Row],[ppn_z]],tbl_Historique_Final[ppn_z],tbl_Historique_Final[date_modif])=Final_Sans_VGE[[#This Row],[date_modif]],
      "Ancien",
      "Modifié"),
   "Nouveau"))</f>
        <v>#VALUE!</v>
      </c>
      <c r="AD2693" s="1" t="str">
        <f>IFERROR(IF(Final_Sans_VGE[[#This Row],[ppn_z]]="","",IFERROR(
   IF(_xlfn.XLOOKUP(Final_Sans_VGE[[#This Row],[ppn_z]],tbl_Historique_Final[[#This Row],[ppn_z]],tbl_Historique_Final[[#This Row],[date_modif]])=Final_Sans_VGE[[#This Row],[date_modif]],
      "Ancien",
      "Modifié"),
   "Nouveau")),"")</f>
        <v/>
      </c>
    </row>
    <row r="2694" spans="24:30" x14ac:dyDescent="0.25">
      <c r="X2694" s="8" t="e">
        <f>IF(Final_Sans_VGE[[#This Row],[ppn_z]]="","",IFERROR(
   IF(_xlfn.XLOOKUP(Final_Sans_VGE[[#This Row],[ppn_z]],tbl_Historique_Final[ppn_z],tbl_Historique_Final[date_modif])=Final_Sans_VGE[[#This Row],[date_modif]],
      "Ancien",
      "Modifié"),
   "Nouveau"))</f>
        <v>#VALUE!</v>
      </c>
      <c r="AD2694" s="1" t="str">
        <f>IFERROR(IF(Final_Sans_VGE[[#This Row],[ppn_z]]="","",IFERROR(
   IF(_xlfn.XLOOKUP(Final_Sans_VGE[[#This Row],[ppn_z]],tbl_Historique_Final[[#This Row],[ppn_z]],tbl_Historique_Final[[#This Row],[date_modif]])=Final_Sans_VGE[[#This Row],[date_modif]],
      "Ancien",
      "Modifié"),
   "Nouveau")),"")</f>
        <v/>
      </c>
    </row>
    <row r="2695" spans="24:30" x14ac:dyDescent="0.25">
      <c r="X2695" s="8" t="e">
        <f>IF(Final_Sans_VGE[[#This Row],[ppn_z]]="","",IFERROR(
   IF(_xlfn.XLOOKUP(Final_Sans_VGE[[#This Row],[ppn_z]],tbl_Historique_Final[ppn_z],tbl_Historique_Final[date_modif])=Final_Sans_VGE[[#This Row],[date_modif]],
      "Ancien",
      "Modifié"),
   "Nouveau"))</f>
        <v>#VALUE!</v>
      </c>
      <c r="AD2695" s="1" t="str">
        <f>IFERROR(IF(Final_Sans_VGE[[#This Row],[ppn_z]]="","",IFERROR(
   IF(_xlfn.XLOOKUP(Final_Sans_VGE[[#This Row],[ppn_z]],tbl_Historique_Final[[#This Row],[ppn_z]],tbl_Historique_Final[[#This Row],[date_modif]])=Final_Sans_VGE[[#This Row],[date_modif]],
      "Ancien",
      "Modifié"),
   "Nouveau")),"")</f>
        <v/>
      </c>
    </row>
    <row r="2696" spans="24:30" x14ac:dyDescent="0.25">
      <c r="X2696" s="8" t="e">
        <f>IF(Final_Sans_VGE[[#This Row],[ppn_z]]="","",IFERROR(
   IF(_xlfn.XLOOKUP(Final_Sans_VGE[[#This Row],[ppn_z]],tbl_Historique_Final[ppn_z],tbl_Historique_Final[date_modif])=Final_Sans_VGE[[#This Row],[date_modif]],
      "Ancien",
      "Modifié"),
   "Nouveau"))</f>
        <v>#VALUE!</v>
      </c>
      <c r="AD2696" s="1" t="str">
        <f>IFERROR(IF(Final_Sans_VGE[[#This Row],[ppn_z]]="","",IFERROR(
   IF(_xlfn.XLOOKUP(Final_Sans_VGE[[#This Row],[ppn_z]],tbl_Historique_Final[[#This Row],[ppn_z]],tbl_Historique_Final[[#This Row],[date_modif]])=Final_Sans_VGE[[#This Row],[date_modif]],
      "Ancien",
      "Modifié"),
   "Nouveau")),"")</f>
        <v/>
      </c>
    </row>
    <row r="2697" spans="24:30" x14ac:dyDescent="0.25">
      <c r="X2697" s="8" t="e">
        <f>IF(Final_Sans_VGE[[#This Row],[ppn_z]]="","",IFERROR(
   IF(_xlfn.XLOOKUP(Final_Sans_VGE[[#This Row],[ppn_z]],tbl_Historique_Final[ppn_z],tbl_Historique_Final[date_modif])=Final_Sans_VGE[[#This Row],[date_modif]],
      "Ancien",
      "Modifié"),
   "Nouveau"))</f>
        <v>#VALUE!</v>
      </c>
      <c r="AD2697" s="1" t="str">
        <f>IFERROR(IF(Final_Sans_VGE[[#This Row],[ppn_z]]="","",IFERROR(
   IF(_xlfn.XLOOKUP(Final_Sans_VGE[[#This Row],[ppn_z]],tbl_Historique_Final[[#This Row],[ppn_z]],tbl_Historique_Final[[#This Row],[date_modif]])=Final_Sans_VGE[[#This Row],[date_modif]],
      "Ancien",
      "Modifié"),
   "Nouveau")),"")</f>
        <v/>
      </c>
    </row>
    <row r="2698" spans="24:30" x14ac:dyDescent="0.25">
      <c r="X2698" s="8" t="e">
        <f>IF(Final_Sans_VGE[[#This Row],[ppn_z]]="","",IFERROR(
   IF(_xlfn.XLOOKUP(Final_Sans_VGE[[#This Row],[ppn_z]],tbl_Historique_Final[ppn_z],tbl_Historique_Final[date_modif])=Final_Sans_VGE[[#This Row],[date_modif]],
      "Ancien",
      "Modifié"),
   "Nouveau"))</f>
        <v>#VALUE!</v>
      </c>
      <c r="AD2698" s="1" t="str">
        <f>IFERROR(IF(Final_Sans_VGE[[#This Row],[ppn_z]]="","",IFERROR(
   IF(_xlfn.XLOOKUP(Final_Sans_VGE[[#This Row],[ppn_z]],tbl_Historique_Final[[#This Row],[ppn_z]],tbl_Historique_Final[[#This Row],[date_modif]])=Final_Sans_VGE[[#This Row],[date_modif]],
      "Ancien",
      "Modifié"),
   "Nouveau")),"")</f>
        <v/>
      </c>
    </row>
    <row r="2699" spans="24:30" x14ac:dyDescent="0.25">
      <c r="X2699" s="8" t="e">
        <f>IF(Final_Sans_VGE[[#This Row],[ppn_z]]="","",IFERROR(
   IF(_xlfn.XLOOKUP(Final_Sans_VGE[[#This Row],[ppn_z]],tbl_Historique_Final[ppn_z],tbl_Historique_Final[date_modif])=Final_Sans_VGE[[#This Row],[date_modif]],
      "Ancien",
      "Modifié"),
   "Nouveau"))</f>
        <v>#VALUE!</v>
      </c>
      <c r="AD2699" s="1" t="str">
        <f>IFERROR(IF(Final_Sans_VGE[[#This Row],[ppn_z]]="","",IFERROR(
   IF(_xlfn.XLOOKUP(Final_Sans_VGE[[#This Row],[ppn_z]],tbl_Historique_Final[[#This Row],[ppn_z]],tbl_Historique_Final[[#This Row],[date_modif]])=Final_Sans_VGE[[#This Row],[date_modif]],
      "Ancien",
      "Modifié"),
   "Nouveau")),"")</f>
        <v/>
      </c>
    </row>
    <row r="2700" spans="24:30" x14ac:dyDescent="0.25">
      <c r="X2700" s="8" t="e">
        <f>IF(Final_Sans_VGE[[#This Row],[ppn_z]]="","",IFERROR(
   IF(_xlfn.XLOOKUP(Final_Sans_VGE[[#This Row],[ppn_z]],tbl_Historique_Final[ppn_z],tbl_Historique_Final[date_modif])=Final_Sans_VGE[[#This Row],[date_modif]],
      "Ancien",
      "Modifié"),
   "Nouveau"))</f>
        <v>#VALUE!</v>
      </c>
      <c r="AD2700" s="1" t="str">
        <f>IFERROR(IF(Final_Sans_VGE[[#This Row],[ppn_z]]="","",IFERROR(
   IF(_xlfn.XLOOKUP(Final_Sans_VGE[[#This Row],[ppn_z]],tbl_Historique_Final[[#This Row],[ppn_z]],tbl_Historique_Final[[#This Row],[date_modif]])=Final_Sans_VGE[[#This Row],[date_modif]],
      "Ancien",
      "Modifié"),
   "Nouveau")),"")</f>
        <v/>
      </c>
    </row>
    <row r="2701" spans="24:30" x14ac:dyDescent="0.25">
      <c r="X2701" s="8" t="e">
        <f>IF(Final_Sans_VGE[[#This Row],[ppn_z]]="","",IFERROR(
   IF(_xlfn.XLOOKUP(Final_Sans_VGE[[#This Row],[ppn_z]],tbl_Historique_Final[ppn_z],tbl_Historique_Final[date_modif])=Final_Sans_VGE[[#This Row],[date_modif]],
      "Ancien",
      "Modifié"),
   "Nouveau"))</f>
        <v>#VALUE!</v>
      </c>
      <c r="AD2701" s="1" t="str">
        <f>IFERROR(IF(Final_Sans_VGE[[#This Row],[ppn_z]]="","",IFERROR(
   IF(_xlfn.XLOOKUP(Final_Sans_VGE[[#This Row],[ppn_z]],tbl_Historique_Final[[#This Row],[ppn_z]],tbl_Historique_Final[[#This Row],[date_modif]])=Final_Sans_VGE[[#This Row],[date_modif]],
      "Ancien",
      "Modifié"),
   "Nouveau")),"")</f>
        <v/>
      </c>
    </row>
    <row r="2702" spans="24:30" x14ac:dyDescent="0.25">
      <c r="X2702" s="8" t="e">
        <f>IF(Final_Sans_VGE[[#This Row],[ppn_z]]="","",IFERROR(
   IF(_xlfn.XLOOKUP(Final_Sans_VGE[[#This Row],[ppn_z]],tbl_Historique_Final[ppn_z],tbl_Historique_Final[date_modif])=Final_Sans_VGE[[#This Row],[date_modif]],
      "Ancien",
      "Modifié"),
   "Nouveau"))</f>
        <v>#VALUE!</v>
      </c>
      <c r="AD2702" s="1" t="str">
        <f>IFERROR(IF(Final_Sans_VGE[[#This Row],[ppn_z]]="","",IFERROR(
   IF(_xlfn.XLOOKUP(Final_Sans_VGE[[#This Row],[ppn_z]],tbl_Historique_Final[[#This Row],[ppn_z]],tbl_Historique_Final[[#This Row],[date_modif]])=Final_Sans_VGE[[#This Row],[date_modif]],
      "Ancien",
      "Modifié"),
   "Nouveau")),"")</f>
        <v/>
      </c>
    </row>
    <row r="2703" spans="24:30" x14ac:dyDescent="0.25">
      <c r="X2703" s="8" t="e">
        <f>IF(Final_Sans_VGE[[#This Row],[ppn_z]]="","",IFERROR(
   IF(_xlfn.XLOOKUP(Final_Sans_VGE[[#This Row],[ppn_z]],tbl_Historique_Final[ppn_z],tbl_Historique_Final[date_modif])=Final_Sans_VGE[[#This Row],[date_modif]],
      "Ancien",
      "Modifié"),
   "Nouveau"))</f>
        <v>#VALUE!</v>
      </c>
      <c r="AD2703" s="1" t="str">
        <f>IFERROR(IF(Final_Sans_VGE[[#This Row],[ppn_z]]="","",IFERROR(
   IF(_xlfn.XLOOKUP(Final_Sans_VGE[[#This Row],[ppn_z]],tbl_Historique_Final[[#This Row],[ppn_z]],tbl_Historique_Final[[#This Row],[date_modif]])=Final_Sans_VGE[[#This Row],[date_modif]],
      "Ancien",
      "Modifié"),
   "Nouveau")),"")</f>
        <v/>
      </c>
    </row>
    <row r="2704" spans="24:30" x14ac:dyDescent="0.25">
      <c r="X2704" s="8" t="e">
        <f>IF(Final_Sans_VGE[[#This Row],[ppn_z]]="","",IFERROR(
   IF(_xlfn.XLOOKUP(Final_Sans_VGE[[#This Row],[ppn_z]],tbl_Historique_Final[ppn_z],tbl_Historique_Final[date_modif])=Final_Sans_VGE[[#This Row],[date_modif]],
      "Ancien",
      "Modifié"),
   "Nouveau"))</f>
        <v>#VALUE!</v>
      </c>
      <c r="AD2704" s="1" t="str">
        <f>IFERROR(IF(Final_Sans_VGE[[#This Row],[ppn_z]]="","",IFERROR(
   IF(_xlfn.XLOOKUP(Final_Sans_VGE[[#This Row],[ppn_z]],tbl_Historique_Final[[#This Row],[ppn_z]],tbl_Historique_Final[[#This Row],[date_modif]])=Final_Sans_VGE[[#This Row],[date_modif]],
      "Ancien",
      "Modifié"),
   "Nouveau")),"")</f>
        <v/>
      </c>
    </row>
    <row r="2705" spans="24:30" x14ac:dyDescent="0.25">
      <c r="X2705" s="8" t="e">
        <f>IF(Final_Sans_VGE[[#This Row],[ppn_z]]="","",IFERROR(
   IF(_xlfn.XLOOKUP(Final_Sans_VGE[[#This Row],[ppn_z]],tbl_Historique_Final[ppn_z],tbl_Historique_Final[date_modif])=Final_Sans_VGE[[#This Row],[date_modif]],
      "Ancien",
      "Modifié"),
   "Nouveau"))</f>
        <v>#VALUE!</v>
      </c>
      <c r="AD2705" s="1" t="str">
        <f>IFERROR(IF(Final_Sans_VGE[[#This Row],[ppn_z]]="","",IFERROR(
   IF(_xlfn.XLOOKUP(Final_Sans_VGE[[#This Row],[ppn_z]],tbl_Historique_Final[[#This Row],[ppn_z]],tbl_Historique_Final[[#This Row],[date_modif]])=Final_Sans_VGE[[#This Row],[date_modif]],
      "Ancien",
      "Modifié"),
   "Nouveau")),"")</f>
        <v/>
      </c>
    </row>
    <row r="2706" spans="24:30" x14ac:dyDescent="0.25">
      <c r="X2706" s="8" t="e">
        <f>IF(Final_Sans_VGE[[#This Row],[ppn_z]]="","",IFERROR(
   IF(_xlfn.XLOOKUP(Final_Sans_VGE[[#This Row],[ppn_z]],tbl_Historique_Final[ppn_z],tbl_Historique_Final[date_modif])=Final_Sans_VGE[[#This Row],[date_modif]],
      "Ancien",
      "Modifié"),
   "Nouveau"))</f>
        <v>#VALUE!</v>
      </c>
      <c r="AD2706" s="1" t="str">
        <f>IFERROR(IF(Final_Sans_VGE[[#This Row],[ppn_z]]="","",IFERROR(
   IF(_xlfn.XLOOKUP(Final_Sans_VGE[[#This Row],[ppn_z]],tbl_Historique_Final[[#This Row],[ppn_z]],tbl_Historique_Final[[#This Row],[date_modif]])=Final_Sans_VGE[[#This Row],[date_modif]],
      "Ancien",
      "Modifié"),
   "Nouveau")),"")</f>
        <v/>
      </c>
    </row>
    <row r="2707" spans="24:30" x14ac:dyDescent="0.25">
      <c r="X2707" s="8" t="e">
        <f>IF(Final_Sans_VGE[[#This Row],[ppn_z]]="","",IFERROR(
   IF(_xlfn.XLOOKUP(Final_Sans_VGE[[#This Row],[ppn_z]],tbl_Historique_Final[ppn_z],tbl_Historique_Final[date_modif])=Final_Sans_VGE[[#This Row],[date_modif]],
      "Ancien",
      "Modifié"),
   "Nouveau"))</f>
        <v>#VALUE!</v>
      </c>
      <c r="AD2707" s="1" t="str">
        <f>IFERROR(IF(Final_Sans_VGE[[#This Row],[ppn_z]]="","",IFERROR(
   IF(_xlfn.XLOOKUP(Final_Sans_VGE[[#This Row],[ppn_z]],tbl_Historique_Final[[#This Row],[ppn_z]],tbl_Historique_Final[[#This Row],[date_modif]])=Final_Sans_VGE[[#This Row],[date_modif]],
      "Ancien",
      "Modifié"),
   "Nouveau")),"")</f>
        <v/>
      </c>
    </row>
    <row r="2708" spans="24:30" x14ac:dyDescent="0.25">
      <c r="X2708" s="8" t="e">
        <f>IF(Final_Sans_VGE[[#This Row],[ppn_z]]="","",IFERROR(
   IF(_xlfn.XLOOKUP(Final_Sans_VGE[[#This Row],[ppn_z]],tbl_Historique_Final[ppn_z],tbl_Historique_Final[date_modif])=Final_Sans_VGE[[#This Row],[date_modif]],
      "Ancien",
      "Modifié"),
   "Nouveau"))</f>
        <v>#VALUE!</v>
      </c>
      <c r="AD2708" s="1" t="str">
        <f>IFERROR(IF(Final_Sans_VGE[[#This Row],[ppn_z]]="","",IFERROR(
   IF(_xlfn.XLOOKUP(Final_Sans_VGE[[#This Row],[ppn_z]],tbl_Historique_Final[[#This Row],[ppn_z]],tbl_Historique_Final[[#This Row],[date_modif]])=Final_Sans_VGE[[#This Row],[date_modif]],
      "Ancien",
      "Modifié"),
   "Nouveau")),"")</f>
        <v/>
      </c>
    </row>
    <row r="2709" spans="24:30" x14ac:dyDescent="0.25">
      <c r="X2709" s="8" t="e">
        <f>IF(Final_Sans_VGE[[#This Row],[ppn_z]]="","",IFERROR(
   IF(_xlfn.XLOOKUP(Final_Sans_VGE[[#This Row],[ppn_z]],tbl_Historique_Final[ppn_z],tbl_Historique_Final[date_modif])=Final_Sans_VGE[[#This Row],[date_modif]],
      "Ancien",
      "Modifié"),
   "Nouveau"))</f>
        <v>#VALUE!</v>
      </c>
      <c r="AD2709" s="1" t="str">
        <f>IFERROR(IF(Final_Sans_VGE[[#This Row],[ppn_z]]="","",IFERROR(
   IF(_xlfn.XLOOKUP(Final_Sans_VGE[[#This Row],[ppn_z]],tbl_Historique_Final[[#This Row],[ppn_z]],tbl_Historique_Final[[#This Row],[date_modif]])=Final_Sans_VGE[[#This Row],[date_modif]],
      "Ancien",
      "Modifié"),
   "Nouveau")),"")</f>
        <v/>
      </c>
    </row>
    <row r="2710" spans="24:30" x14ac:dyDescent="0.25">
      <c r="X2710" s="8" t="e">
        <f>IF(Final_Sans_VGE[[#This Row],[ppn_z]]="","",IFERROR(
   IF(_xlfn.XLOOKUP(Final_Sans_VGE[[#This Row],[ppn_z]],tbl_Historique_Final[ppn_z],tbl_Historique_Final[date_modif])=Final_Sans_VGE[[#This Row],[date_modif]],
      "Ancien",
      "Modifié"),
   "Nouveau"))</f>
        <v>#VALUE!</v>
      </c>
      <c r="AD2710" s="1" t="str">
        <f>IFERROR(IF(Final_Sans_VGE[[#This Row],[ppn_z]]="","",IFERROR(
   IF(_xlfn.XLOOKUP(Final_Sans_VGE[[#This Row],[ppn_z]],tbl_Historique_Final[[#This Row],[ppn_z]],tbl_Historique_Final[[#This Row],[date_modif]])=Final_Sans_VGE[[#This Row],[date_modif]],
      "Ancien",
      "Modifié"),
   "Nouveau")),"")</f>
        <v/>
      </c>
    </row>
    <row r="2711" spans="24:30" x14ac:dyDescent="0.25">
      <c r="X2711" s="8" t="e">
        <f>IF(Final_Sans_VGE[[#This Row],[ppn_z]]="","",IFERROR(
   IF(_xlfn.XLOOKUP(Final_Sans_VGE[[#This Row],[ppn_z]],tbl_Historique_Final[ppn_z],tbl_Historique_Final[date_modif])=Final_Sans_VGE[[#This Row],[date_modif]],
      "Ancien",
      "Modifié"),
   "Nouveau"))</f>
        <v>#VALUE!</v>
      </c>
      <c r="AD2711" s="1" t="str">
        <f>IFERROR(IF(Final_Sans_VGE[[#This Row],[ppn_z]]="","",IFERROR(
   IF(_xlfn.XLOOKUP(Final_Sans_VGE[[#This Row],[ppn_z]],tbl_Historique_Final[[#This Row],[ppn_z]],tbl_Historique_Final[[#This Row],[date_modif]])=Final_Sans_VGE[[#This Row],[date_modif]],
      "Ancien",
      "Modifié"),
   "Nouveau")),"")</f>
        <v/>
      </c>
    </row>
    <row r="2712" spans="24:30" x14ac:dyDescent="0.25">
      <c r="X2712" s="8" t="e">
        <f>IF(Final_Sans_VGE[[#This Row],[ppn_z]]="","",IFERROR(
   IF(_xlfn.XLOOKUP(Final_Sans_VGE[[#This Row],[ppn_z]],tbl_Historique_Final[ppn_z],tbl_Historique_Final[date_modif])=Final_Sans_VGE[[#This Row],[date_modif]],
      "Ancien",
      "Modifié"),
   "Nouveau"))</f>
        <v>#VALUE!</v>
      </c>
      <c r="AD2712" s="1" t="str">
        <f>IFERROR(IF(Final_Sans_VGE[[#This Row],[ppn_z]]="","",IFERROR(
   IF(_xlfn.XLOOKUP(Final_Sans_VGE[[#This Row],[ppn_z]],tbl_Historique_Final[[#This Row],[ppn_z]],tbl_Historique_Final[[#This Row],[date_modif]])=Final_Sans_VGE[[#This Row],[date_modif]],
      "Ancien",
      "Modifié"),
   "Nouveau")),"")</f>
        <v/>
      </c>
    </row>
    <row r="2713" spans="24:30" x14ac:dyDescent="0.25">
      <c r="X2713" s="8" t="e">
        <f>IF(Final_Sans_VGE[[#This Row],[ppn_z]]="","",IFERROR(
   IF(_xlfn.XLOOKUP(Final_Sans_VGE[[#This Row],[ppn_z]],tbl_Historique_Final[ppn_z],tbl_Historique_Final[date_modif])=Final_Sans_VGE[[#This Row],[date_modif]],
      "Ancien",
      "Modifié"),
   "Nouveau"))</f>
        <v>#VALUE!</v>
      </c>
      <c r="AD2713" s="1" t="str">
        <f>IFERROR(IF(Final_Sans_VGE[[#This Row],[ppn_z]]="","",IFERROR(
   IF(_xlfn.XLOOKUP(Final_Sans_VGE[[#This Row],[ppn_z]],tbl_Historique_Final[[#This Row],[ppn_z]],tbl_Historique_Final[[#This Row],[date_modif]])=Final_Sans_VGE[[#This Row],[date_modif]],
      "Ancien",
      "Modifié"),
   "Nouveau")),"")</f>
        <v/>
      </c>
    </row>
    <row r="2714" spans="24:30" x14ac:dyDescent="0.25">
      <c r="X2714" s="8" t="e">
        <f>IF(Final_Sans_VGE[[#This Row],[ppn_z]]="","",IFERROR(
   IF(_xlfn.XLOOKUP(Final_Sans_VGE[[#This Row],[ppn_z]],tbl_Historique_Final[ppn_z],tbl_Historique_Final[date_modif])=Final_Sans_VGE[[#This Row],[date_modif]],
      "Ancien",
      "Modifié"),
   "Nouveau"))</f>
        <v>#VALUE!</v>
      </c>
      <c r="AD2714" s="1" t="str">
        <f>IFERROR(IF(Final_Sans_VGE[[#This Row],[ppn_z]]="","",IFERROR(
   IF(_xlfn.XLOOKUP(Final_Sans_VGE[[#This Row],[ppn_z]],tbl_Historique_Final[[#This Row],[ppn_z]],tbl_Historique_Final[[#This Row],[date_modif]])=Final_Sans_VGE[[#This Row],[date_modif]],
      "Ancien",
      "Modifié"),
   "Nouveau")),"")</f>
        <v/>
      </c>
    </row>
    <row r="2715" spans="24:30" x14ac:dyDescent="0.25">
      <c r="X2715" s="8" t="e">
        <f>IF(Final_Sans_VGE[[#This Row],[ppn_z]]="","",IFERROR(
   IF(_xlfn.XLOOKUP(Final_Sans_VGE[[#This Row],[ppn_z]],tbl_Historique_Final[ppn_z],tbl_Historique_Final[date_modif])=Final_Sans_VGE[[#This Row],[date_modif]],
      "Ancien",
      "Modifié"),
   "Nouveau"))</f>
        <v>#VALUE!</v>
      </c>
      <c r="AD2715" s="1" t="str">
        <f>IFERROR(IF(Final_Sans_VGE[[#This Row],[ppn_z]]="","",IFERROR(
   IF(_xlfn.XLOOKUP(Final_Sans_VGE[[#This Row],[ppn_z]],tbl_Historique_Final[[#This Row],[ppn_z]],tbl_Historique_Final[[#This Row],[date_modif]])=Final_Sans_VGE[[#This Row],[date_modif]],
      "Ancien",
      "Modifié"),
   "Nouveau")),"")</f>
        <v/>
      </c>
    </row>
    <row r="2716" spans="24:30" x14ac:dyDescent="0.25">
      <c r="X2716" s="8" t="e">
        <f>IF(Final_Sans_VGE[[#This Row],[ppn_z]]="","",IFERROR(
   IF(_xlfn.XLOOKUP(Final_Sans_VGE[[#This Row],[ppn_z]],tbl_Historique_Final[ppn_z],tbl_Historique_Final[date_modif])=Final_Sans_VGE[[#This Row],[date_modif]],
      "Ancien",
      "Modifié"),
   "Nouveau"))</f>
        <v>#VALUE!</v>
      </c>
      <c r="AD2716" s="1" t="str">
        <f>IFERROR(IF(Final_Sans_VGE[[#This Row],[ppn_z]]="","",IFERROR(
   IF(_xlfn.XLOOKUP(Final_Sans_VGE[[#This Row],[ppn_z]],tbl_Historique_Final[[#This Row],[ppn_z]],tbl_Historique_Final[[#This Row],[date_modif]])=Final_Sans_VGE[[#This Row],[date_modif]],
      "Ancien",
      "Modifié"),
   "Nouveau")),"")</f>
        <v/>
      </c>
    </row>
    <row r="2717" spans="24:30" x14ac:dyDescent="0.25">
      <c r="X2717" s="8" t="e">
        <f>IF(Final_Sans_VGE[[#This Row],[ppn_z]]="","",IFERROR(
   IF(_xlfn.XLOOKUP(Final_Sans_VGE[[#This Row],[ppn_z]],tbl_Historique_Final[ppn_z],tbl_Historique_Final[date_modif])=Final_Sans_VGE[[#This Row],[date_modif]],
      "Ancien",
      "Modifié"),
   "Nouveau"))</f>
        <v>#VALUE!</v>
      </c>
      <c r="AD2717" s="1" t="str">
        <f>IFERROR(IF(Final_Sans_VGE[[#This Row],[ppn_z]]="","",IFERROR(
   IF(_xlfn.XLOOKUP(Final_Sans_VGE[[#This Row],[ppn_z]],tbl_Historique_Final[[#This Row],[ppn_z]],tbl_Historique_Final[[#This Row],[date_modif]])=Final_Sans_VGE[[#This Row],[date_modif]],
      "Ancien",
      "Modifié"),
   "Nouveau")),"")</f>
        <v/>
      </c>
    </row>
    <row r="2718" spans="24:30" x14ac:dyDescent="0.25">
      <c r="X2718" s="8" t="e">
        <f>IF(Final_Sans_VGE[[#This Row],[ppn_z]]="","",IFERROR(
   IF(_xlfn.XLOOKUP(Final_Sans_VGE[[#This Row],[ppn_z]],tbl_Historique_Final[ppn_z],tbl_Historique_Final[date_modif])=Final_Sans_VGE[[#This Row],[date_modif]],
      "Ancien",
      "Modifié"),
   "Nouveau"))</f>
        <v>#VALUE!</v>
      </c>
      <c r="AD2718" s="1" t="str">
        <f>IFERROR(IF(Final_Sans_VGE[[#This Row],[ppn_z]]="","",IFERROR(
   IF(_xlfn.XLOOKUP(Final_Sans_VGE[[#This Row],[ppn_z]],tbl_Historique_Final[[#This Row],[ppn_z]],tbl_Historique_Final[[#This Row],[date_modif]])=Final_Sans_VGE[[#This Row],[date_modif]],
      "Ancien",
      "Modifié"),
   "Nouveau")),"")</f>
        <v/>
      </c>
    </row>
    <row r="2719" spans="24:30" x14ac:dyDescent="0.25">
      <c r="X2719" s="8" t="e">
        <f>IF(Final_Sans_VGE[[#This Row],[ppn_z]]="","",IFERROR(
   IF(_xlfn.XLOOKUP(Final_Sans_VGE[[#This Row],[ppn_z]],tbl_Historique_Final[ppn_z],tbl_Historique_Final[date_modif])=Final_Sans_VGE[[#This Row],[date_modif]],
      "Ancien",
      "Modifié"),
   "Nouveau"))</f>
        <v>#VALUE!</v>
      </c>
      <c r="AD2719" s="1" t="str">
        <f>IFERROR(IF(Final_Sans_VGE[[#This Row],[ppn_z]]="","",IFERROR(
   IF(_xlfn.XLOOKUP(Final_Sans_VGE[[#This Row],[ppn_z]],tbl_Historique_Final[[#This Row],[ppn_z]],tbl_Historique_Final[[#This Row],[date_modif]])=Final_Sans_VGE[[#This Row],[date_modif]],
      "Ancien",
      "Modifié"),
   "Nouveau")),"")</f>
        <v/>
      </c>
    </row>
    <row r="2720" spans="24:30" x14ac:dyDescent="0.25">
      <c r="X2720" s="8" t="e">
        <f>IF(Final_Sans_VGE[[#This Row],[ppn_z]]="","",IFERROR(
   IF(_xlfn.XLOOKUP(Final_Sans_VGE[[#This Row],[ppn_z]],tbl_Historique_Final[ppn_z],tbl_Historique_Final[date_modif])=Final_Sans_VGE[[#This Row],[date_modif]],
      "Ancien",
      "Modifié"),
   "Nouveau"))</f>
        <v>#VALUE!</v>
      </c>
      <c r="AD2720" s="1" t="str">
        <f>IFERROR(IF(Final_Sans_VGE[[#This Row],[ppn_z]]="","",IFERROR(
   IF(_xlfn.XLOOKUP(Final_Sans_VGE[[#This Row],[ppn_z]],tbl_Historique_Final[[#This Row],[ppn_z]],tbl_Historique_Final[[#This Row],[date_modif]])=Final_Sans_VGE[[#This Row],[date_modif]],
      "Ancien",
      "Modifié"),
   "Nouveau")),"")</f>
        <v/>
      </c>
    </row>
    <row r="2721" spans="24:30" x14ac:dyDescent="0.25">
      <c r="X2721" s="8" t="e">
        <f>IF(Final_Sans_VGE[[#This Row],[ppn_z]]="","",IFERROR(
   IF(_xlfn.XLOOKUP(Final_Sans_VGE[[#This Row],[ppn_z]],tbl_Historique_Final[ppn_z],tbl_Historique_Final[date_modif])=Final_Sans_VGE[[#This Row],[date_modif]],
      "Ancien",
      "Modifié"),
   "Nouveau"))</f>
        <v>#VALUE!</v>
      </c>
      <c r="AD2721" s="1" t="str">
        <f>IFERROR(IF(Final_Sans_VGE[[#This Row],[ppn_z]]="","",IFERROR(
   IF(_xlfn.XLOOKUP(Final_Sans_VGE[[#This Row],[ppn_z]],tbl_Historique_Final[[#This Row],[ppn_z]],tbl_Historique_Final[[#This Row],[date_modif]])=Final_Sans_VGE[[#This Row],[date_modif]],
      "Ancien",
      "Modifié"),
   "Nouveau")),"")</f>
        <v/>
      </c>
    </row>
    <row r="2722" spans="24:30" x14ac:dyDescent="0.25">
      <c r="X2722" s="8" t="e">
        <f>IF(Final_Sans_VGE[[#This Row],[ppn_z]]="","",IFERROR(
   IF(_xlfn.XLOOKUP(Final_Sans_VGE[[#This Row],[ppn_z]],tbl_Historique_Final[ppn_z],tbl_Historique_Final[date_modif])=Final_Sans_VGE[[#This Row],[date_modif]],
      "Ancien",
      "Modifié"),
   "Nouveau"))</f>
        <v>#VALUE!</v>
      </c>
      <c r="AD2722" s="1" t="str">
        <f>IFERROR(IF(Final_Sans_VGE[[#This Row],[ppn_z]]="","",IFERROR(
   IF(_xlfn.XLOOKUP(Final_Sans_VGE[[#This Row],[ppn_z]],tbl_Historique_Final[[#This Row],[ppn_z]],tbl_Historique_Final[[#This Row],[date_modif]])=Final_Sans_VGE[[#This Row],[date_modif]],
      "Ancien",
      "Modifié"),
   "Nouveau")),"")</f>
        <v/>
      </c>
    </row>
    <row r="2723" spans="24:30" x14ac:dyDescent="0.25">
      <c r="X2723" s="8" t="e">
        <f>IF(Final_Sans_VGE[[#This Row],[ppn_z]]="","",IFERROR(
   IF(_xlfn.XLOOKUP(Final_Sans_VGE[[#This Row],[ppn_z]],tbl_Historique_Final[ppn_z],tbl_Historique_Final[date_modif])=Final_Sans_VGE[[#This Row],[date_modif]],
      "Ancien",
      "Modifié"),
   "Nouveau"))</f>
        <v>#VALUE!</v>
      </c>
      <c r="AD2723" s="1" t="str">
        <f>IFERROR(IF(Final_Sans_VGE[[#This Row],[ppn_z]]="","",IFERROR(
   IF(_xlfn.XLOOKUP(Final_Sans_VGE[[#This Row],[ppn_z]],tbl_Historique_Final[[#This Row],[ppn_z]],tbl_Historique_Final[[#This Row],[date_modif]])=Final_Sans_VGE[[#This Row],[date_modif]],
      "Ancien",
      "Modifié"),
   "Nouveau")),"")</f>
        <v/>
      </c>
    </row>
    <row r="2724" spans="24:30" x14ac:dyDescent="0.25">
      <c r="X2724" s="8" t="e">
        <f>IF(Final_Sans_VGE[[#This Row],[ppn_z]]="","",IFERROR(
   IF(_xlfn.XLOOKUP(Final_Sans_VGE[[#This Row],[ppn_z]],tbl_Historique_Final[ppn_z],tbl_Historique_Final[date_modif])=Final_Sans_VGE[[#This Row],[date_modif]],
      "Ancien",
      "Modifié"),
   "Nouveau"))</f>
        <v>#VALUE!</v>
      </c>
      <c r="AD2724" s="1" t="str">
        <f>IFERROR(IF(Final_Sans_VGE[[#This Row],[ppn_z]]="","",IFERROR(
   IF(_xlfn.XLOOKUP(Final_Sans_VGE[[#This Row],[ppn_z]],tbl_Historique_Final[[#This Row],[ppn_z]],tbl_Historique_Final[[#This Row],[date_modif]])=Final_Sans_VGE[[#This Row],[date_modif]],
      "Ancien",
      "Modifié"),
   "Nouveau")),"")</f>
        <v/>
      </c>
    </row>
    <row r="2725" spans="24:30" x14ac:dyDescent="0.25">
      <c r="X2725" s="8" t="e">
        <f>IF(Final_Sans_VGE[[#This Row],[ppn_z]]="","",IFERROR(
   IF(_xlfn.XLOOKUP(Final_Sans_VGE[[#This Row],[ppn_z]],tbl_Historique_Final[ppn_z],tbl_Historique_Final[date_modif])=Final_Sans_VGE[[#This Row],[date_modif]],
      "Ancien",
      "Modifié"),
   "Nouveau"))</f>
        <v>#VALUE!</v>
      </c>
      <c r="AD2725" s="1" t="str">
        <f>IFERROR(IF(Final_Sans_VGE[[#This Row],[ppn_z]]="","",IFERROR(
   IF(_xlfn.XLOOKUP(Final_Sans_VGE[[#This Row],[ppn_z]],tbl_Historique_Final[[#This Row],[ppn_z]],tbl_Historique_Final[[#This Row],[date_modif]])=Final_Sans_VGE[[#This Row],[date_modif]],
      "Ancien",
      "Modifié"),
   "Nouveau")),"")</f>
        <v/>
      </c>
    </row>
    <row r="2726" spans="24:30" x14ac:dyDescent="0.25">
      <c r="X2726" s="8" t="e">
        <f>IF(Final_Sans_VGE[[#This Row],[ppn_z]]="","",IFERROR(
   IF(_xlfn.XLOOKUP(Final_Sans_VGE[[#This Row],[ppn_z]],tbl_Historique_Final[ppn_z],tbl_Historique_Final[date_modif])=Final_Sans_VGE[[#This Row],[date_modif]],
      "Ancien",
      "Modifié"),
   "Nouveau"))</f>
        <v>#VALUE!</v>
      </c>
      <c r="AD2726" s="1" t="str">
        <f>IFERROR(IF(Final_Sans_VGE[[#This Row],[ppn_z]]="","",IFERROR(
   IF(_xlfn.XLOOKUP(Final_Sans_VGE[[#This Row],[ppn_z]],tbl_Historique_Final[[#This Row],[ppn_z]],tbl_Historique_Final[[#This Row],[date_modif]])=Final_Sans_VGE[[#This Row],[date_modif]],
      "Ancien",
      "Modifié"),
   "Nouveau")),"")</f>
        <v/>
      </c>
    </row>
    <row r="2727" spans="24:30" x14ac:dyDescent="0.25">
      <c r="X2727" s="8" t="e">
        <f>IF(Final_Sans_VGE[[#This Row],[ppn_z]]="","",IFERROR(
   IF(_xlfn.XLOOKUP(Final_Sans_VGE[[#This Row],[ppn_z]],tbl_Historique_Final[ppn_z],tbl_Historique_Final[date_modif])=Final_Sans_VGE[[#This Row],[date_modif]],
      "Ancien",
      "Modifié"),
   "Nouveau"))</f>
        <v>#VALUE!</v>
      </c>
      <c r="AD2727" s="1" t="str">
        <f>IFERROR(IF(Final_Sans_VGE[[#This Row],[ppn_z]]="","",IFERROR(
   IF(_xlfn.XLOOKUP(Final_Sans_VGE[[#This Row],[ppn_z]],tbl_Historique_Final[[#This Row],[ppn_z]],tbl_Historique_Final[[#This Row],[date_modif]])=Final_Sans_VGE[[#This Row],[date_modif]],
      "Ancien",
      "Modifié"),
   "Nouveau")),"")</f>
        <v/>
      </c>
    </row>
    <row r="2728" spans="24:30" x14ac:dyDescent="0.25">
      <c r="X2728" s="8" t="e">
        <f>IF(Final_Sans_VGE[[#This Row],[ppn_z]]="","",IFERROR(
   IF(_xlfn.XLOOKUP(Final_Sans_VGE[[#This Row],[ppn_z]],tbl_Historique_Final[ppn_z],tbl_Historique_Final[date_modif])=Final_Sans_VGE[[#This Row],[date_modif]],
      "Ancien",
      "Modifié"),
   "Nouveau"))</f>
        <v>#VALUE!</v>
      </c>
      <c r="AD2728" s="1" t="str">
        <f>IFERROR(IF(Final_Sans_VGE[[#This Row],[ppn_z]]="","",IFERROR(
   IF(_xlfn.XLOOKUP(Final_Sans_VGE[[#This Row],[ppn_z]],tbl_Historique_Final[[#This Row],[ppn_z]],tbl_Historique_Final[[#This Row],[date_modif]])=Final_Sans_VGE[[#This Row],[date_modif]],
      "Ancien",
      "Modifié"),
   "Nouveau")),"")</f>
        <v/>
      </c>
    </row>
    <row r="2729" spans="24:30" x14ac:dyDescent="0.25">
      <c r="X2729" s="8" t="e">
        <f>IF(Final_Sans_VGE[[#This Row],[ppn_z]]="","",IFERROR(
   IF(_xlfn.XLOOKUP(Final_Sans_VGE[[#This Row],[ppn_z]],tbl_Historique_Final[ppn_z],tbl_Historique_Final[date_modif])=Final_Sans_VGE[[#This Row],[date_modif]],
      "Ancien",
      "Modifié"),
   "Nouveau"))</f>
        <v>#VALUE!</v>
      </c>
      <c r="AD2729" s="1" t="str">
        <f>IFERROR(IF(Final_Sans_VGE[[#This Row],[ppn_z]]="","",IFERROR(
   IF(_xlfn.XLOOKUP(Final_Sans_VGE[[#This Row],[ppn_z]],tbl_Historique_Final[[#This Row],[ppn_z]],tbl_Historique_Final[[#This Row],[date_modif]])=Final_Sans_VGE[[#This Row],[date_modif]],
      "Ancien",
      "Modifié"),
   "Nouveau")),"")</f>
        <v/>
      </c>
    </row>
    <row r="2730" spans="24:30" x14ac:dyDescent="0.25">
      <c r="X2730" s="8" t="e">
        <f>IF(Final_Sans_VGE[[#This Row],[ppn_z]]="","",IFERROR(
   IF(_xlfn.XLOOKUP(Final_Sans_VGE[[#This Row],[ppn_z]],tbl_Historique_Final[ppn_z],tbl_Historique_Final[date_modif])=Final_Sans_VGE[[#This Row],[date_modif]],
      "Ancien",
      "Modifié"),
   "Nouveau"))</f>
        <v>#VALUE!</v>
      </c>
      <c r="AD2730" s="1" t="str">
        <f>IFERROR(IF(Final_Sans_VGE[[#This Row],[ppn_z]]="","",IFERROR(
   IF(_xlfn.XLOOKUP(Final_Sans_VGE[[#This Row],[ppn_z]],tbl_Historique_Final[[#This Row],[ppn_z]],tbl_Historique_Final[[#This Row],[date_modif]])=Final_Sans_VGE[[#This Row],[date_modif]],
      "Ancien",
      "Modifié"),
   "Nouveau")),"")</f>
        <v/>
      </c>
    </row>
    <row r="2731" spans="24:30" x14ac:dyDescent="0.25">
      <c r="X2731" s="8" t="e">
        <f>IF(Final_Sans_VGE[[#This Row],[ppn_z]]="","",IFERROR(
   IF(_xlfn.XLOOKUP(Final_Sans_VGE[[#This Row],[ppn_z]],tbl_Historique_Final[ppn_z],tbl_Historique_Final[date_modif])=Final_Sans_VGE[[#This Row],[date_modif]],
      "Ancien",
      "Modifié"),
   "Nouveau"))</f>
        <v>#VALUE!</v>
      </c>
      <c r="AD2731" s="1" t="str">
        <f>IFERROR(IF(Final_Sans_VGE[[#This Row],[ppn_z]]="","",IFERROR(
   IF(_xlfn.XLOOKUP(Final_Sans_VGE[[#This Row],[ppn_z]],tbl_Historique_Final[[#This Row],[ppn_z]],tbl_Historique_Final[[#This Row],[date_modif]])=Final_Sans_VGE[[#This Row],[date_modif]],
      "Ancien",
      "Modifié"),
   "Nouveau")),"")</f>
        <v/>
      </c>
    </row>
    <row r="2732" spans="24:30" x14ac:dyDescent="0.25">
      <c r="X2732" s="8" t="e">
        <f>IF(Final_Sans_VGE[[#This Row],[ppn_z]]="","",IFERROR(
   IF(_xlfn.XLOOKUP(Final_Sans_VGE[[#This Row],[ppn_z]],tbl_Historique_Final[ppn_z],tbl_Historique_Final[date_modif])=Final_Sans_VGE[[#This Row],[date_modif]],
      "Ancien",
      "Modifié"),
   "Nouveau"))</f>
        <v>#VALUE!</v>
      </c>
      <c r="AD2732" s="1" t="str">
        <f>IFERROR(IF(Final_Sans_VGE[[#This Row],[ppn_z]]="","",IFERROR(
   IF(_xlfn.XLOOKUP(Final_Sans_VGE[[#This Row],[ppn_z]],tbl_Historique_Final[[#This Row],[ppn_z]],tbl_Historique_Final[[#This Row],[date_modif]])=Final_Sans_VGE[[#This Row],[date_modif]],
      "Ancien",
      "Modifié"),
   "Nouveau")),"")</f>
        <v/>
      </c>
    </row>
    <row r="2733" spans="24:30" x14ac:dyDescent="0.25">
      <c r="X2733" s="8" t="e">
        <f>IF(Final_Sans_VGE[[#This Row],[ppn_z]]="","",IFERROR(
   IF(_xlfn.XLOOKUP(Final_Sans_VGE[[#This Row],[ppn_z]],tbl_Historique_Final[ppn_z],tbl_Historique_Final[date_modif])=Final_Sans_VGE[[#This Row],[date_modif]],
      "Ancien",
      "Modifié"),
   "Nouveau"))</f>
        <v>#VALUE!</v>
      </c>
      <c r="AD2733" s="1" t="str">
        <f>IFERROR(IF(Final_Sans_VGE[[#This Row],[ppn_z]]="","",IFERROR(
   IF(_xlfn.XLOOKUP(Final_Sans_VGE[[#This Row],[ppn_z]],tbl_Historique_Final[[#This Row],[ppn_z]],tbl_Historique_Final[[#This Row],[date_modif]])=Final_Sans_VGE[[#This Row],[date_modif]],
      "Ancien",
      "Modifié"),
   "Nouveau")),"")</f>
        <v/>
      </c>
    </row>
    <row r="2734" spans="24:30" x14ac:dyDescent="0.25">
      <c r="X2734" s="8" t="e">
        <f>IF(Final_Sans_VGE[[#This Row],[ppn_z]]="","",IFERROR(
   IF(_xlfn.XLOOKUP(Final_Sans_VGE[[#This Row],[ppn_z]],tbl_Historique_Final[ppn_z],tbl_Historique_Final[date_modif])=Final_Sans_VGE[[#This Row],[date_modif]],
      "Ancien",
      "Modifié"),
   "Nouveau"))</f>
        <v>#VALUE!</v>
      </c>
      <c r="AD2734" s="1" t="str">
        <f>IFERROR(IF(Final_Sans_VGE[[#This Row],[ppn_z]]="","",IFERROR(
   IF(_xlfn.XLOOKUP(Final_Sans_VGE[[#This Row],[ppn_z]],tbl_Historique_Final[[#This Row],[ppn_z]],tbl_Historique_Final[[#This Row],[date_modif]])=Final_Sans_VGE[[#This Row],[date_modif]],
      "Ancien",
      "Modifié"),
   "Nouveau")),"")</f>
        <v/>
      </c>
    </row>
    <row r="2735" spans="24:30" x14ac:dyDescent="0.25">
      <c r="X2735" s="8" t="e">
        <f>IF(Final_Sans_VGE[[#This Row],[ppn_z]]="","",IFERROR(
   IF(_xlfn.XLOOKUP(Final_Sans_VGE[[#This Row],[ppn_z]],tbl_Historique_Final[ppn_z],tbl_Historique_Final[date_modif])=Final_Sans_VGE[[#This Row],[date_modif]],
      "Ancien",
      "Modifié"),
   "Nouveau"))</f>
        <v>#VALUE!</v>
      </c>
      <c r="AD2735" s="1" t="str">
        <f>IFERROR(IF(Final_Sans_VGE[[#This Row],[ppn_z]]="","",IFERROR(
   IF(_xlfn.XLOOKUP(Final_Sans_VGE[[#This Row],[ppn_z]],tbl_Historique_Final[[#This Row],[ppn_z]],tbl_Historique_Final[[#This Row],[date_modif]])=Final_Sans_VGE[[#This Row],[date_modif]],
      "Ancien",
      "Modifié"),
   "Nouveau")),"")</f>
        <v/>
      </c>
    </row>
    <row r="2736" spans="24:30" x14ac:dyDescent="0.25">
      <c r="X2736" s="8" t="e">
        <f>IF(Final_Sans_VGE[[#This Row],[ppn_z]]="","",IFERROR(
   IF(_xlfn.XLOOKUP(Final_Sans_VGE[[#This Row],[ppn_z]],tbl_Historique_Final[ppn_z],tbl_Historique_Final[date_modif])=Final_Sans_VGE[[#This Row],[date_modif]],
      "Ancien",
      "Modifié"),
   "Nouveau"))</f>
        <v>#VALUE!</v>
      </c>
      <c r="AD2736" s="1" t="str">
        <f>IFERROR(IF(Final_Sans_VGE[[#This Row],[ppn_z]]="","",IFERROR(
   IF(_xlfn.XLOOKUP(Final_Sans_VGE[[#This Row],[ppn_z]],tbl_Historique_Final[[#This Row],[ppn_z]],tbl_Historique_Final[[#This Row],[date_modif]])=Final_Sans_VGE[[#This Row],[date_modif]],
      "Ancien",
      "Modifié"),
   "Nouveau")),"")</f>
        <v/>
      </c>
    </row>
    <row r="2737" spans="24:30" x14ac:dyDescent="0.25">
      <c r="X2737" s="8" t="e">
        <f>IF(Final_Sans_VGE[[#This Row],[ppn_z]]="","",IFERROR(
   IF(_xlfn.XLOOKUP(Final_Sans_VGE[[#This Row],[ppn_z]],tbl_Historique_Final[ppn_z],tbl_Historique_Final[date_modif])=Final_Sans_VGE[[#This Row],[date_modif]],
      "Ancien",
      "Modifié"),
   "Nouveau"))</f>
        <v>#VALUE!</v>
      </c>
      <c r="AD2737" s="1" t="str">
        <f>IFERROR(IF(Final_Sans_VGE[[#This Row],[ppn_z]]="","",IFERROR(
   IF(_xlfn.XLOOKUP(Final_Sans_VGE[[#This Row],[ppn_z]],tbl_Historique_Final[[#This Row],[ppn_z]],tbl_Historique_Final[[#This Row],[date_modif]])=Final_Sans_VGE[[#This Row],[date_modif]],
      "Ancien",
      "Modifié"),
   "Nouveau")),"")</f>
        <v/>
      </c>
    </row>
    <row r="2738" spans="24:30" x14ac:dyDescent="0.25">
      <c r="X2738" s="8" t="e">
        <f>IF(Final_Sans_VGE[[#This Row],[ppn_z]]="","",IFERROR(
   IF(_xlfn.XLOOKUP(Final_Sans_VGE[[#This Row],[ppn_z]],tbl_Historique_Final[ppn_z],tbl_Historique_Final[date_modif])=Final_Sans_VGE[[#This Row],[date_modif]],
      "Ancien",
      "Modifié"),
   "Nouveau"))</f>
        <v>#VALUE!</v>
      </c>
      <c r="AD2738" s="1" t="str">
        <f>IFERROR(IF(Final_Sans_VGE[[#This Row],[ppn_z]]="","",IFERROR(
   IF(_xlfn.XLOOKUP(Final_Sans_VGE[[#This Row],[ppn_z]],tbl_Historique_Final[[#This Row],[ppn_z]],tbl_Historique_Final[[#This Row],[date_modif]])=Final_Sans_VGE[[#This Row],[date_modif]],
      "Ancien",
      "Modifié"),
   "Nouveau")),"")</f>
        <v/>
      </c>
    </row>
    <row r="2739" spans="24:30" x14ac:dyDescent="0.25">
      <c r="X2739" s="8" t="e">
        <f>IF(Final_Sans_VGE[[#This Row],[ppn_z]]="","",IFERROR(
   IF(_xlfn.XLOOKUP(Final_Sans_VGE[[#This Row],[ppn_z]],tbl_Historique_Final[ppn_z],tbl_Historique_Final[date_modif])=Final_Sans_VGE[[#This Row],[date_modif]],
      "Ancien",
      "Modifié"),
   "Nouveau"))</f>
        <v>#VALUE!</v>
      </c>
      <c r="AD2739" s="1" t="str">
        <f>IFERROR(IF(Final_Sans_VGE[[#This Row],[ppn_z]]="","",IFERROR(
   IF(_xlfn.XLOOKUP(Final_Sans_VGE[[#This Row],[ppn_z]],tbl_Historique_Final[[#This Row],[ppn_z]],tbl_Historique_Final[[#This Row],[date_modif]])=Final_Sans_VGE[[#This Row],[date_modif]],
      "Ancien",
      "Modifié"),
   "Nouveau")),"")</f>
        <v/>
      </c>
    </row>
    <row r="2740" spans="24:30" x14ac:dyDescent="0.25">
      <c r="X2740" s="8" t="e">
        <f>IF(Final_Sans_VGE[[#This Row],[ppn_z]]="","",IFERROR(
   IF(_xlfn.XLOOKUP(Final_Sans_VGE[[#This Row],[ppn_z]],tbl_Historique_Final[ppn_z],tbl_Historique_Final[date_modif])=Final_Sans_VGE[[#This Row],[date_modif]],
      "Ancien",
      "Modifié"),
   "Nouveau"))</f>
        <v>#VALUE!</v>
      </c>
      <c r="AD2740" s="1" t="str">
        <f>IFERROR(IF(Final_Sans_VGE[[#This Row],[ppn_z]]="","",IFERROR(
   IF(_xlfn.XLOOKUP(Final_Sans_VGE[[#This Row],[ppn_z]],tbl_Historique_Final[[#This Row],[ppn_z]],tbl_Historique_Final[[#This Row],[date_modif]])=Final_Sans_VGE[[#This Row],[date_modif]],
      "Ancien",
      "Modifié"),
   "Nouveau")),"")</f>
        <v/>
      </c>
    </row>
    <row r="2741" spans="24:30" x14ac:dyDescent="0.25">
      <c r="X2741" s="8" t="e">
        <f>IF(Final_Sans_VGE[[#This Row],[ppn_z]]="","",IFERROR(
   IF(_xlfn.XLOOKUP(Final_Sans_VGE[[#This Row],[ppn_z]],tbl_Historique_Final[ppn_z],tbl_Historique_Final[date_modif])=Final_Sans_VGE[[#This Row],[date_modif]],
      "Ancien",
      "Modifié"),
   "Nouveau"))</f>
        <v>#VALUE!</v>
      </c>
      <c r="AD2741" s="1" t="str">
        <f>IFERROR(IF(Final_Sans_VGE[[#This Row],[ppn_z]]="","",IFERROR(
   IF(_xlfn.XLOOKUP(Final_Sans_VGE[[#This Row],[ppn_z]],tbl_Historique_Final[[#This Row],[ppn_z]],tbl_Historique_Final[[#This Row],[date_modif]])=Final_Sans_VGE[[#This Row],[date_modif]],
      "Ancien",
      "Modifié"),
   "Nouveau")),"")</f>
        <v/>
      </c>
    </row>
    <row r="2742" spans="24:30" x14ac:dyDescent="0.25">
      <c r="X2742" s="8" t="e">
        <f>IF(Final_Sans_VGE[[#This Row],[ppn_z]]="","",IFERROR(
   IF(_xlfn.XLOOKUP(Final_Sans_VGE[[#This Row],[ppn_z]],tbl_Historique_Final[ppn_z],tbl_Historique_Final[date_modif])=Final_Sans_VGE[[#This Row],[date_modif]],
      "Ancien",
      "Modifié"),
   "Nouveau"))</f>
        <v>#VALUE!</v>
      </c>
      <c r="AD2742" s="1" t="str">
        <f>IFERROR(IF(Final_Sans_VGE[[#This Row],[ppn_z]]="","",IFERROR(
   IF(_xlfn.XLOOKUP(Final_Sans_VGE[[#This Row],[ppn_z]],tbl_Historique_Final[[#This Row],[ppn_z]],tbl_Historique_Final[[#This Row],[date_modif]])=Final_Sans_VGE[[#This Row],[date_modif]],
      "Ancien",
      "Modifié"),
   "Nouveau")),"")</f>
        <v/>
      </c>
    </row>
    <row r="2743" spans="24:30" x14ac:dyDescent="0.25">
      <c r="X2743" s="8" t="e">
        <f>IF(Final_Sans_VGE[[#This Row],[ppn_z]]="","",IFERROR(
   IF(_xlfn.XLOOKUP(Final_Sans_VGE[[#This Row],[ppn_z]],tbl_Historique_Final[ppn_z],tbl_Historique_Final[date_modif])=Final_Sans_VGE[[#This Row],[date_modif]],
      "Ancien",
      "Modifié"),
   "Nouveau"))</f>
        <v>#VALUE!</v>
      </c>
      <c r="AD2743" s="1" t="str">
        <f>IFERROR(IF(Final_Sans_VGE[[#This Row],[ppn_z]]="","",IFERROR(
   IF(_xlfn.XLOOKUP(Final_Sans_VGE[[#This Row],[ppn_z]],tbl_Historique_Final[[#This Row],[ppn_z]],tbl_Historique_Final[[#This Row],[date_modif]])=Final_Sans_VGE[[#This Row],[date_modif]],
      "Ancien",
      "Modifié"),
   "Nouveau")),"")</f>
        <v/>
      </c>
    </row>
    <row r="2744" spans="24:30" x14ac:dyDescent="0.25">
      <c r="X2744" s="8" t="e">
        <f>IF(Final_Sans_VGE[[#This Row],[ppn_z]]="","",IFERROR(
   IF(_xlfn.XLOOKUP(Final_Sans_VGE[[#This Row],[ppn_z]],tbl_Historique_Final[ppn_z],tbl_Historique_Final[date_modif])=Final_Sans_VGE[[#This Row],[date_modif]],
      "Ancien",
      "Modifié"),
   "Nouveau"))</f>
        <v>#VALUE!</v>
      </c>
      <c r="AD2744" s="1" t="str">
        <f>IFERROR(IF(Final_Sans_VGE[[#This Row],[ppn_z]]="","",IFERROR(
   IF(_xlfn.XLOOKUP(Final_Sans_VGE[[#This Row],[ppn_z]],tbl_Historique_Final[[#This Row],[ppn_z]],tbl_Historique_Final[[#This Row],[date_modif]])=Final_Sans_VGE[[#This Row],[date_modif]],
      "Ancien",
      "Modifié"),
   "Nouveau")),"")</f>
        <v/>
      </c>
    </row>
    <row r="2745" spans="24:30" x14ac:dyDescent="0.25">
      <c r="X2745" s="8" t="e">
        <f>IF(Final_Sans_VGE[[#This Row],[ppn_z]]="","",IFERROR(
   IF(_xlfn.XLOOKUP(Final_Sans_VGE[[#This Row],[ppn_z]],tbl_Historique_Final[ppn_z],tbl_Historique_Final[date_modif])=Final_Sans_VGE[[#This Row],[date_modif]],
      "Ancien",
      "Modifié"),
   "Nouveau"))</f>
        <v>#VALUE!</v>
      </c>
      <c r="AD2745" s="1" t="str">
        <f>IFERROR(IF(Final_Sans_VGE[[#This Row],[ppn_z]]="","",IFERROR(
   IF(_xlfn.XLOOKUP(Final_Sans_VGE[[#This Row],[ppn_z]],tbl_Historique_Final[[#This Row],[ppn_z]],tbl_Historique_Final[[#This Row],[date_modif]])=Final_Sans_VGE[[#This Row],[date_modif]],
      "Ancien",
      "Modifié"),
   "Nouveau")),"")</f>
        <v/>
      </c>
    </row>
    <row r="2746" spans="24:30" x14ac:dyDescent="0.25">
      <c r="X2746" s="8" t="e">
        <f>IF(Final_Sans_VGE[[#This Row],[ppn_z]]="","",IFERROR(
   IF(_xlfn.XLOOKUP(Final_Sans_VGE[[#This Row],[ppn_z]],tbl_Historique_Final[ppn_z],tbl_Historique_Final[date_modif])=Final_Sans_VGE[[#This Row],[date_modif]],
      "Ancien",
      "Modifié"),
   "Nouveau"))</f>
        <v>#VALUE!</v>
      </c>
      <c r="AD2746" s="1" t="str">
        <f>IFERROR(IF(Final_Sans_VGE[[#This Row],[ppn_z]]="","",IFERROR(
   IF(_xlfn.XLOOKUP(Final_Sans_VGE[[#This Row],[ppn_z]],tbl_Historique_Final[[#This Row],[ppn_z]],tbl_Historique_Final[[#This Row],[date_modif]])=Final_Sans_VGE[[#This Row],[date_modif]],
      "Ancien",
      "Modifié"),
   "Nouveau")),"")</f>
        <v/>
      </c>
    </row>
    <row r="2747" spans="24:30" x14ac:dyDescent="0.25">
      <c r="X2747" s="8" t="e">
        <f>IF(Final_Sans_VGE[[#This Row],[ppn_z]]="","",IFERROR(
   IF(_xlfn.XLOOKUP(Final_Sans_VGE[[#This Row],[ppn_z]],tbl_Historique_Final[ppn_z],tbl_Historique_Final[date_modif])=Final_Sans_VGE[[#This Row],[date_modif]],
      "Ancien",
      "Modifié"),
   "Nouveau"))</f>
        <v>#VALUE!</v>
      </c>
      <c r="AD2747" s="1" t="str">
        <f>IFERROR(IF(Final_Sans_VGE[[#This Row],[ppn_z]]="","",IFERROR(
   IF(_xlfn.XLOOKUP(Final_Sans_VGE[[#This Row],[ppn_z]],tbl_Historique_Final[[#This Row],[ppn_z]],tbl_Historique_Final[[#This Row],[date_modif]])=Final_Sans_VGE[[#This Row],[date_modif]],
      "Ancien",
      "Modifié"),
   "Nouveau")),"")</f>
        <v/>
      </c>
    </row>
    <row r="2748" spans="24:30" x14ac:dyDescent="0.25">
      <c r="X2748" s="8" t="e">
        <f>IF(Final_Sans_VGE[[#This Row],[ppn_z]]="","",IFERROR(
   IF(_xlfn.XLOOKUP(Final_Sans_VGE[[#This Row],[ppn_z]],tbl_Historique_Final[ppn_z],tbl_Historique_Final[date_modif])=Final_Sans_VGE[[#This Row],[date_modif]],
      "Ancien",
      "Modifié"),
   "Nouveau"))</f>
        <v>#VALUE!</v>
      </c>
      <c r="AD2748" s="1" t="str">
        <f>IFERROR(IF(Final_Sans_VGE[[#This Row],[ppn_z]]="","",IFERROR(
   IF(_xlfn.XLOOKUP(Final_Sans_VGE[[#This Row],[ppn_z]],tbl_Historique_Final[[#This Row],[ppn_z]],tbl_Historique_Final[[#This Row],[date_modif]])=Final_Sans_VGE[[#This Row],[date_modif]],
      "Ancien",
      "Modifié"),
   "Nouveau")),"")</f>
        <v/>
      </c>
    </row>
    <row r="2749" spans="24:30" x14ac:dyDescent="0.25">
      <c r="X2749" s="8" t="e">
        <f>IF(Final_Sans_VGE[[#This Row],[ppn_z]]="","",IFERROR(
   IF(_xlfn.XLOOKUP(Final_Sans_VGE[[#This Row],[ppn_z]],tbl_Historique_Final[ppn_z],tbl_Historique_Final[date_modif])=Final_Sans_VGE[[#This Row],[date_modif]],
      "Ancien",
      "Modifié"),
   "Nouveau"))</f>
        <v>#VALUE!</v>
      </c>
      <c r="AD2749" s="1" t="str">
        <f>IFERROR(IF(Final_Sans_VGE[[#This Row],[ppn_z]]="","",IFERROR(
   IF(_xlfn.XLOOKUP(Final_Sans_VGE[[#This Row],[ppn_z]],tbl_Historique_Final[[#This Row],[ppn_z]],tbl_Historique_Final[[#This Row],[date_modif]])=Final_Sans_VGE[[#This Row],[date_modif]],
      "Ancien",
      "Modifié"),
   "Nouveau")),"")</f>
        <v/>
      </c>
    </row>
    <row r="2750" spans="24:30" x14ac:dyDescent="0.25">
      <c r="X2750" s="8" t="e">
        <f>IF(Final_Sans_VGE[[#This Row],[ppn_z]]="","",IFERROR(
   IF(_xlfn.XLOOKUP(Final_Sans_VGE[[#This Row],[ppn_z]],tbl_Historique_Final[ppn_z],tbl_Historique_Final[date_modif])=Final_Sans_VGE[[#This Row],[date_modif]],
      "Ancien",
      "Modifié"),
   "Nouveau"))</f>
        <v>#VALUE!</v>
      </c>
      <c r="AD2750" s="1" t="str">
        <f>IFERROR(IF(Final_Sans_VGE[[#This Row],[ppn_z]]="","",IFERROR(
   IF(_xlfn.XLOOKUP(Final_Sans_VGE[[#This Row],[ppn_z]],tbl_Historique_Final[[#This Row],[ppn_z]],tbl_Historique_Final[[#This Row],[date_modif]])=Final_Sans_VGE[[#This Row],[date_modif]],
      "Ancien",
      "Modifié"),
   "Nouveau")),"")</f>
        <v/>
      </c>
    </row>
    <row r="2751" spans="24:30" x14ac:dyDescent="0.25">
      <c r="X2751" s="8" t="e">
        <f>IF(Final_Sans_VGE[[#This Row],[ppn_z]]="","",IFERROR(
   IF(_xlfn.XLOOKUP(Final_Sans_VGE[[#This Row],[ppn_z]],tbl_Historique_Final[ppn_z],tbl_Historique_Final[date_modif])=Final_Sans_VGE[[#This Row],[date_modif]],
      "Ancien",
      "Modifié"),
   "Nouveau"))</f>
        <v>#VALUE!</v>
      </c>
      <c r="AD2751" s="1" t="str">
        <f>IFERROR(IF(Final_Sans_VGE[[#This Row],[ppn_z]]="","",IFERROR(
   IF(_xlfn.XLOOKUP(Final_Sans_VGE[[#This Row],[ppn_z]],tbl_Historique_Final[[#This Row],[ppn_z]],tbl_Historique_Final[[#This Row],[date_modif]])=Final_Sans_VGE[[#This Row],[date_modif]],
      "Ancien",
      "Modifié"),
   "Nouveau")),"")</f>
        <v/>
      </c>
    </row>
    <row r="2752" spans="24:30" x14ac:dyDescent="0.25">
      <c r="X2752" s="8" t="e">
        <f>IF(Final_Sans_VGE[[#This Row],[ppn_z]]="","",IFERROR(
   IF(_xlfn.XLOOKUP(Final_Sans_VGE[[#This Row],[ppn_z]],tbl_Historique_Final[ppn_z],tbl_Historique_Final[date_modif])=Final_Sans_VGE[[#This Row],[date_modif]],
      "Ancien",
      "Modifié"),
   "Nouveau"))</f>
        <v>#VALUE!</v>
      </c>
      <c r="AD2752" s="1" t="str">
        <f>IFERROR(IF(Final_Sans_VGE[[#This Row],[ppn_z]]="","",IFERROR(
   IF(_xlfn.XLOOKUP(Final_Sans_VGE[[#This Row],[ppn_z]],tbl_Historique_Final[[#This Row],[ppn_z]],tbl_Historique_Final[[#This Row],[date_modif]])=Final_Sans_VGE[[#This Row],[date_modif]],
      "Ancien",
      "Modifié"),
   "Nouveau")),"")</f>
        <v/>
      </c>
    </row>
    <row r="2753" spans="24:30" x14ac:dyDescent="0.25">
      <c r="X2753" s="8" t="e">
        <f>IF(Final_Sans_VGE[[#This Row],[ppn_z]]="","",IFERROR(
   IF(_xlfn.XLOOKUP(Final_Sans_VGE[[#This Row],[ppn_z]],tbl_Historique_Final[ppn_z],tbl_Historique_Final[date_modif])=Final_Sans_VGE[[#This Row],[date_modif]],
      "Ancien",
      "Modifié"),
   "Nouveau"))</f>
        <v>#VALUE!</v>
      </c>
      <c r="AD2753" s="1" t="str">
        <f>IFERROR(IF(Final_Sans_VGE[[#This Row],[ppn_z]]="","",IFERROR(
   IF(_xlfn.XLOOKUP(Final_Sans_VGE[[#This Row],[ppn_z]],tbl_Historique_Final[[#This Row],[ppn_z]],tbl_Historique_Final[[#This Row],[date_modif]])=Final_Sans_VGE[[#This Row],[date_modif]],
      "Ancien",
      "Modifié"),
   "Nouveau")),"")</f>
        <v/>
      </c>
    </row>
    <row r="2754" spans="24:30" x14ac:dyDescent="0.25">
      <c r="X2754" s="8" t="e">
        <f>IF(Final_Sans_VGE[[#This Row],[ppn_z]]="","",IFERROR(
   IF(_xlfn.XLOOKUP(Final_Sans_VGE[[#This Row],[ppn_z]],tbl_Historique_Final[ppn_z],tbl_Historique_Final[date_modif])=Final_Sans_VGE[[#This Row],[date_modif]],
      "Ancien",
      "Modifié"),
   "Nouveau"))</f>
        <v>#VALUE!</v>
      </c>
      <c r="AD2754" s="1" t="str">
        <f>IFERROR(IF(Final_Sans_VGE[[#This Row],[ppn_z]]="","",IFERROR(
   IF(_xlfn.XLOOKUP(Final_Sans_VGE[[#This Row],[ppn_z]],tbl_Historique_Final[[#This Row],[ppn_z]],tbl_Historique_Final[[#This Row],[date_modif]])=Final_Sans_VGE[[#This Row],[date_modif]],
      "Ancien",
      "Modifié"),
   "Nouveau")),"")</f>
        <v/>
      </c>
    </row>
    <row r="2755" spans="24:30" x14ac:dyDescent="0.25">
      <c r="X2755" s="8" t="e">
        <f>IF(Final_Sans_VGE[[#This Row],[ppn_z]]="","",IFERROR(
   IF(_xlfn.XLOOKUP(Final_Sans_VGE[[#This Row],[ppn_z]],tbl_Historique_Final[ppn_z],tbl_Historique_Final[date_modif])=Final_Sans_VGE[[#This Row],[date_modif]],
      "Ancien",
      "Modifié"),
   "Nouveau"))</f>
        <v>#VALUE!</v>
      </c>
      <c r="AD2755" s="1" t="str">
        <f>IFERROR(IF(Final_Sans_VGE[[#This Row],[ppn_z]]="","",IFERROR(
   IF(_xlfn.XLOOKUP(Final_Sans_VGE[[#This Row],[ppn_z]],tbl_Historique_Final[[#This Row],[ppn_z]],tbl_Historique_Final[[#This Row],[date_modif]])=Final_Sans_VGE[[#This Row],[date_modif]],
      "Ancien",
      "Modifié"),
   "Nouveau")),"")</f>
        <v/>
      </c>
    </row>
    <row r="2756" spans="24:30" x14ac:dyDescent="0.25">
      <c r="X2756" s="8" t="e">
        <f>IF(Final_Sans_VGE[[#This Row],[ppn_z]]="","",IFERROR(
   IF(_xlfn.XLOOKUP(Final_Sans_VGE[[#This Row],[ppn_z]],tbl_Historique_Final[ppn_z],tbl_Historique_Final[date_modif])=Final_Sans_VGE[[#This Row],[date_modif]],
      "Ancien",
      "Modifié"),
   "Nouveau"))</f>
        <v>#VALUE!</v>
      </c>
      <c r="AD2756" s="1" t="str">
        <f>IFERROR(IF(Final_Sans_VGE[[#This Row],[ppn_z]]="","",IFERROR(
   IF(_xlfn.XLOOKUP(Final_Sans_VGE[[#This Row],[ppn_z]],tbl_Historique_Final[[#This Row],[ppn_z]],tbl_Historique_Final[[#This Row],[date_modif]])=Final_Sans_VGE[[#This Row],[date_modif]],
      "Ancien",
      "Modifié"),
   "Nouveau")),"")</f>
        <v/>
      </c>
    </row>
    <row r="2757" spans="24:30" x14ac:dyDescent="0.25">
      <c r="X2757" s="8" t="e">
        <f>IF(Final_Sans_VGE[[#This Row],[ppn_z]]="","",IFERROR(
   IF(_xlfn.XLOOKUP(Final_Sans_VGE[[#This Row],[ppn_z]],tbl_Historique_Final[ppn_z],tbl_Historique_Final[date_modif])=Final_Sans_VGE[[#This Row],[date_modif]],
      "Ancien",
      "Modifié"),
   "Nouveau"))</f>
        <v>#VALUE!</v>
      </c>
      <c r="AD2757" s="1" t="str">
        <f>IFERROR(IF(Final_Sans_VGE[[#This Row],[ppn_z]]="","",IFERROR(
   IF(_xlfn.XLOOKUP(Final_Sans_VGE[[#This Row],[ppn_z]],tbl_Historique_Final[[#This Row],[ppn_z]],tbl_Historique_Final[[#This Row],[date_modif]])=Final_Sans_VGE[[#This Row],[date_modif]],
      "Ancien",
      "Modifié"),
   "Nouveau")),"")</f>
        <v/>
      </c>
    </row>
    <row r="2758" spans="24:30" x14ac:dyDescent="0.25">
      <c r="X2758" s="8" t="e">
        <f>IF(Final_Sans_VGE[[#This Row],[ppn_z]]="","",IFERROR(
   IF(_xlfn.XLOOKUP(Final_Sans_VGE[[#This Row],[ppn_z]],tbl_Historique_Final[ppn_z],tbl_Historique_Final[date_modif])=Final_Sans_VGE[[#This Row],[date_modif]],
      "Ancien",
      "Modifié"),
   "Nouveau"))</f>
        <v>#VALUE!</v>
      </c>
      <c r="AD2758" s="1" t="str">
        <f>IFERROR(IF(Final_Sans_VGE[[#This Row],[ppn_z]]="","",IFERROR(
   IF(_xlfn.XLOOKUP(Final_Sans_VGE[[#This Row],[ppn_z]],tbl_Historique_Final[[#This Row],[ppn_z]],tbl_Historique_Final[[#This Row],[date_modif]])=Final_Sans_VGE[[#This Row],[date_modif]],
      "Ancien",
      "Modifié"),
   "Nouveau")),"")</f>
        <v/>
      </c>
    </row>
    <row r="2759" spans="24:30" x14ac:dyDescent="0.25">
      <c r="X2759" s="8" t="e">
        <f>IF(Final_Sans_VGE[[#This Row],[ppn_z]]="","",IFERROR(
   IF(_xlfn.XLOOKUP(Final_Sans_VGE[[#This Row],[ppn_z]],tbl_Historique_Final[ppn_z],tbl_Historique_Final[date_modif])=Final_Sans_VGE[[#This Row],[date_modif]],
      "Ancien",
      "Modifié"),
   "Nouveau"))</f>
        <v>#VALUE!</v>
      </c>
      <c r="AD2759" s="1" t="str">
        <f>IFERROR(IF(Final_Sans_VGE[[#This Row],[ppn_z]]="","",IFERROR(
   IF(_xlfn.XLOOKUP(Final_Sans_VGE[[#This Row],[ppn_z]],tbl_Historique_Final[[#This Row],[ppn_z]],tbl_Historique_Final[[#This Row],[date_modif]])=Final_Sans_VGE[[#This Row],[date_modif]],
      "Ancien",
      "Modifié"),
   "Nouveau")),"")</f>
        <v/>
      </c>
    </row>
    <row r="2760" spans="24:30" x14ac:dyDescent="0.25">
      <c r="X2760" s="8" t="e">
        <f>IF(Final_Sans_VGE[[#This Row],[ppn_z]]="","",IFERROR(
   IF(_xlfn.XLOOKUP(Final_Sans_VGE[[#This Row],[ppn_z]],tbl_Historique_Final[ppn_z],tbl_Historique_Final[date_modif])=Final_Sans_VGE[[#This Row],[date_modif]],
      "Ancien",
      "Modifié"),
   "Nouveau"))</f>
        <v>#VALUE!</v>
      </c>
      <c r="AD2760" s="1" t="str">
        <f>IFERROR(IF(Final_Sans_VGE[[#This Row],[ppn_z]]="","",IFERROR(
   IF(_xlfn.XLOOKUP(Final_Sans_VGE[[#This Row],[ppn_z]],tbl_Historique_Final[[#This Row],[ppn_z]],tbl_Historique_Final[[#This Row],[date_modif]])=Final_Sans_VGE[[#This Row],[date_modif]],
      "Ancien",
      "Modifié"),
   "Nouveau")),"")</f>
        <v/>
      </c>
    </row>
    <row r="2761" spans="24:30" x14ac:dyDescent="0.25">
      <c r="X2761" s="8" t="e">
        <f>IF(Final_Sans_VGE[[#This Row],[ppn_z]]="","",IFERROR(
   IF(_xlfn.XLOOKUP(Final_Sans_VGE[[#This Row],[ppn_z]],tbl_Historique_Final[ppn_z],tbl_Historique_Final[date_modif])=Final_Sans_VGE[[#This Row],[date_modif]],
      "Ancien",
      "Modifié"),
   "Nouveau"))</f>
        <v>#VALUE!</v>
      </c>
      <c r="AD2761" s="1" t="str">
        <f>IFERROR(IF(Final_Sans_VGE[[#This Row],[ppn_z]]="","",IFERROR(
   IF(_xlfn.XLOOKUP(Final_Sans_VGE[[#This Row],[ppn_z]],tbl_Historique_Final[[#This Row],[ppn_z]],tbl_Historique_Final[[#This Row],[date_modif]])=Final_Sans_VGE[[#This Row],[date_modif]],
      "Ancien",
      "Modifié"),
   "Nouveau")),"")</f>
        <v/>
      </c>
    </row>
    <row r="2762" spans="24:30" x14ac:dyDescent="0.25">
      <c r="X2762" s="8" t="e">
        <f>IF(Final_Sans_VGE[[#This Row],[ppn_z]]="","",IFERROR(
   IF(_xlfn.XLOOKUP(Final_Sans_VGE[[#This Row],[ppn_z]],tbl_Historique_Final[ppn_z],tbl_Historique_Final[date_modif])=Final_Sans_VGE[[#This Row],[date_modif]],
      "Ancien",
      "Modifié"),
   "Nouveau"))</f>
        <v>#VALUE!</v>
      </c>
      <c r="AD2762" s="1" t="str">
        <f>IFERROR(IF(Final_Sans_VGE[[#This Row],[ppn_z]]="","",IFERROR(
   IF(_xlfn.XLOOKUP(Final_Sans_VGE[[#This Row],[ppn_z]],tbl_Historique_Final[[#This Row],[ppn_z]],tbl_Historique_Final[[#This Row],[date_modif]])=Final_Sans_VGE[[#This Row],[date_modif]],
      "Ancien",
      "Modifié"),
   "Nouveau")),"")</f>
        <v/>
      </c>
    </row>
    <row r="2763" spans="24:30" x14ac:dyDescent="0.25">
      <c r="X2763" s="8" t="e">
        <f>IF(Final_Sans_VGE[[#This Row],[ppn_z]]="","",IFERROR(
   IF(_xlfn.XLOOKUP(Final_Sans_VGE[[#This Row],[ppn_z]],tbl_Historique_Final[ppn_z],tbl_Historique_Final[date_modif])=Final_Sans_VGE[[#This Row],[date_modif]],
      "Ancien",
      "Modifié"),
   "Nouveau"))</f>
        <v>#VALUE!</v>
      </c>
      <c r="AD2763" s="1" t="str">
        <f>IFERROR(IF(Final_Sans_VGE[[#This Row],[ppn_z]]="","",IFERROR(
   IF(_xlfn.XLOOKUP(Final_Sans_VGE[[#This Row],[ppn_z]],tbl_Historique_Final[[#This Row],[ppn_z]],tbl_Historique_Final[[#This Row],[date_modif]])=Final_Sans_VGE[[#This Row],[date_modif]],
      "Ancien",
      "Modifié"),
   "Nouveau")),"")</f>
        <v/>
      </c>
    </row>
    <row r="2764" spans="24:30" x14ac:dyDescent="0.25">
      <c r="X2764" s="8" t="e">
        <f>IF(Final_Sans_VGE[[#This Row],[ppn_z]]="","",IFERROR(
   IF(_xlfn.XLOOKUP(Final_Sans_VGE[[#This Row],[ppn_z]],tbl_Historique_Final[ppn_z],tbl_Historique_Final[date_modif])=Final_Sans_VGE[[#This Row],[date_modif]],
      "Ancien",
      "Modifié"),
   "Nouveau"))</f>
        <v>#VALUE!</v>
      </c>
      <c r="AD2764" s="1" t="str">
        <f>IFERROR(IF(Final_Sans_VGE[[#This Row],[ppn_z]]="","",IFERROR(
   IF(_xlfn.XLOOKUP(Final_Sans_VGE[[#This Row],[ppn_z]],tbl_Historique_Final[[#This Row],[ppn_z]],tbl_Historique_Final[[#This Row],[date_modif]])=Final_Sans_VGE[[#This Row],[date_modif]],
      "Ancien",
      "Modifié"),
   "Nouveau")),"")</f>
        <v/>
      </c>
    </row>
    <row r="2765" spans="24:30" x14ac:dyDescent="0.25">
      <c r="X2765" s="8" t="e">
        <f>IF(Final_Sans_VGE[[#This Row],[ppn_z]]="","",IFERROR(
   IF(_xlfn.XLOOKUP(Final_Sans_VGE[[#This Row],[ppn_z]],tbl_Historique_Final[ppn_z],tbl_Historique_Final[date_modif])=Final_Sans_VGE[[#This Row],[date_modif]],
      "Ancien",
      "Modifié"),
   "Nouveau"))</f>
        <v>#VALUE!</v>
      </c>
      <c r="AD2765" s="1" t="str">
        <f>IFERROR(IF(Final_Sans_VGE[[#This Row],[ppn_z]]="","",IFERROR(
   IF(_xlfn.XLOOKUP(Final_Sans_VGE[[#This Row],[ppn_z]],tbl_Historique_Final[[#This Row],[ppn_z]],tbl_Historique_Final[[#This Row],[date_modif]])=Final_Sans_VGE[[#This Row],[date_modif]],
      "Ancien",
      "Modifié"),
   "Nouveau")),"")</f>
        <v/>
      </c>
    </row>
    <row r="2766" spans="24:30" x14ac:dyDescent="0.25">
      <c r="X2766" s="8" t="e">
        <f>IF(Final_Sans_VGE[[#This Row],[ppn_z]]="","",IFERROR(
   IF(_xlfn.XLOOKUP(Final_Sans_VGE[[#This Row],[ppn_z]],tbl_Historique_Final[ppn_z],tbl_Historique_Final[date_modif])=Final_Sans_VGE[[#This Row],[date_modif]],
      "Ancien",
      "Modifié"),
   "Nouveau"))</f>
        <v>#VALUE!</v>
      </c>
      <c r="AD2766" s="1" t="str">
        <f>IFERROR(IF(Final_Sans_VGE[[#This Row],[ppn_z]]="","",IFERROR(
   IF(_xlfn.XLOOKUP(Final_Sans_VGE[[#This Row],[ppn_z]],tbl_Historique_Final[[#This Row],[ppn_z]],tbl_Historique_Final[[#This Row],[date_modif]])=Final_Sans_VGE[[#This Row],[date_modif]],
      "Ancien",
      "Modifié"),
   "Nouveau")),"")</f>
        <v/>
      </c>
    </row>
    <row r="2767" spans="24:30" x14ac:dyDescent="0.25">
      <c r="X2767" s="8" t="e">
        <f>IF(Final_Sans_VGE[[#This Row],[ppn_z]]="","",IFERROR(
   IF(_xlfn.XLOOKUP(Final_Sans_VGE[[#This Row],[ppn_z]],tbl_Historique_Final[ppn_z],tbl_Historique_Final[date_modif])=Final_Sans_VGE[[#This Row],[date_modif]],
      "Ancien",
      "Modifié"),
   "Nouveau"))</f>
        <v>#VALUE!</v>
      </c>
      <c r="AD2767" s="1" t="str">
        <f>IFERROR(IF(Final_Sans_VGE[[#This Row],[ppn_z]]="","",IFERROR(
   IF(_xlfn.XLOOKUP(Final_Sans_VGE[[#This Row],[ppn_z]],tbl_Historique_Final[[#This Row],[ppn_z]],tbl_Historique_Final[[#This Row],[date_modif]])=Final_Sans_VGE[[#This Row],[date_modif]],
      "Ancien",
      "Modifié"),
   "Nouveau")),"")</f>
        <v/>
      </c>
    </row>
    <row r="2768" spans="24:30" x14ac:dyDescent="0.25">
      <c r="X2768" s="8" t="e">
        <f>IF(Final_Sans_VGE[[#This Row],[ppn_z]]="","",IFERROR(
   IF(_xlfn.XLOOKUP(Final_Sans_VGE[[#This Row],[ppn_z]],tbl_Historique_Final[ppn_z],tbl_Historique_Final[date_modif])=Final_Sans_VGE[[#This Row],[date_modif]],
      "Ancien",
      "Modifié"),
   "Nouveau"))</f>
        <v>#VALUE!</v>
      </c>
      <c r="AD2768" s="1" t="str">
        <f>IFERROR(IF(Final_Sans_VGE[[#This Row],[ppn_z]]="","",IFERROR(
   IF(_xlfn.XLOOKUP(Final_Sans_VGE[[#This Row],[ppn_z]],tbl_Historique_Final[[#This Row],[ppn_z]],tbl_Historique_Final[[#This Row],[date_modif]])=Final_Sans_VGE[[#This Row],[date_modif]],
      "Ancien",
      "Modifié"),
   "Nouveau")),"")</f>
        <v/>
      </c>
    </row>
    <row r="2769" spans="24:30" x14ac:dyDescent="0.25">
      <c r="X2769" s="8" t="e">
        <f>IF(Final_Sans_VGE[[#This Row],[ppn_z]]="","",IFERROR(
   IF(_xlfn.XLOOKUP(Final_Sans_VGE[[#This Row],[ppn_z]],tbl_Historique_Final[ppn_z],tbl_Historique_Final[date_modif])=Final_Sans_VGE[[#This Row],[date_modif]],
      "Ancien",
      "Modifié"),
   "Nouveau"))</f>
        <v>#VALUE!</v>
      </c>
      <c r="AD2769" s="1" t="str">
        <f>IFERROR(IF(Final_Sans_VGE[[#This Row],[ppn_z]]="","",IFERROR(
   IF(_xlfn.XLOOKUP(Final_Sans_VGE[[#This Row],[ppn_z]],tbl_Historique_Final[[#This Row],[ppn_z]],tbl_Historique_Final[[#This Row],[date_modif]])=Final_Sans_VGE[[#This Row],[date_modif]],
      "Ancien",
      "Modifié"),
   "Nouveau")),"")</f>
        <v/>
      </c>
    </row>
    <row r="2770" spans="24:30" x14ac:dyDescent="0.25">
      <c r="X2770" s="8" t="e">
        <f>IF(Final_Sans_VGE[[#This Row],[ppn_z]]="","",IFERROR(
   IF(_xlfn.XLOOKUP(Final_Sans_VGE[[#This Row],[ppn_z]],tbl_Historique_Final[ppn_z],tbl_Historique_Final[date_modif])=Final_Sans_VGE[[#This Row],[date_modif]],
      "Ancien",
      "Modifié"),
   "Nouveau"))</f>
        <v>#VALUE!</v>
      </c>
      <c r="AD2770" s="1" t="str">
        <f>IFERROR(IF(Final_Sans_VGE[[#This Row],[ppn_z]]="","",IFERROR(
   IF(_xlfn.XLOOKUP(Final_Sans_VGE[[#This Row],[ppn_z]],tbl_Historique_Final[[#This Row],[ppn_z]],tbl_Historique_Final[[#This Row],[date_modif]])=Final_Sans_VGE[[#This Row],[date_modif]],
      "Ancien",
      "Modifié"),
   "Nouveau")),"")</f>
        <v/>
      </c>
    </row>
    <row r="2771" spans="24:30" x14ac:dyDescent="0.25">
      <c r="X2771" s="8" t="e">
        <f>IF(Final_Sans_VGE[[#This Row],[ppn_z]]="","",IFERROR(
   IF(_xlfn.XLOOKUP(Final_Sans_VGE[[#This Row],[ppn_z]],tbl_Historique_Final[ppn_z],tbl_Historique_Final[date_modif])=Final_Sans_VGE[[#This Row],[date_modif]],
      "Ancien",
      "Modifié"),
   "Nouveau"))</f>
        <v>#VALUE!</v>
      </c>
      <c r="AD2771" s="1" t="str">
        <f>IFERROR(IF(Final_Sans_VGE[[#This Row],[ppn_z]]="","",IFERROR(
   IF(_xlfn.XLOOKUP(Final_Sans_VGE[[#This Row],[ppn_z]],tbl_Historique_Final[[#This Row],[ppn_z]],tbl_Historique_Final[[#This Row],[date_modif]])=Final_Sans_VGE[[#This Row],[date_modif]],
      "Ancien",
      "Modifié"),
   "Nouveau")),"")</f>
        <v/>
      </c>
    </row>
    <row r="2772" spans="24:30" x14ac:dyDescent="0.25">
      <c r="X2772" s="8" t="e">
        <f>IF(Final_Sans_VGE[[#This Row],[ppn_z]]="","",IFERROR(
   IF(_xlfn.XLOOKUP(Final_Sans_VGE[[#This Row],[ppn_z]],tbl_Historique_Final[ppn_z],tbl_Historique_Final[date_modif])=Final_Sans_VGE[[#This Row],[date_modif]],
      "Ancien",
      "Modifié"),
   "Nouveau"))</f>
        <v>#VALUE!</v>
      </c>
      <c r="AD2772" s="1" t="str">
        <f>IFERROR(IF(Final_Sans_VGE[[#This Row],[ppn_z]]="","",IFERROR(
   IF(_xlfn.XLOOKUP(Final_Sans_VGE[[#This Row],[ppn_z]],tbl_Historique_Final[[#This Row],[ppn_z]],tbl_Historique_Final[[#This Row],[date_modif]])=Final_Sans_VGE[[#This Row],[date_modif]],
      "Ancien",
      "Modifié"),
   "Nouveau")),"")</f>
        <v/>
      </c>
    </row>
    <row r="2773" spans="24:30" x14ac:dyDescent="0.25">
      <c r="X2773" s="8" t="e">
        <f>IF(Final_Sans_VGE[[#This Row],[ppn_z]]="","",IFERROR(
   IF(_xlfn.XLOOKUP(Final_Sans_VGE[[#This Row],[ppn_z]],tbl_Historique_Final[ppn_z],tbl_Historique_Final[date_modif])=Final_Sans_VGE[[#This Row],[date_modif]],
      "Ancien",
      "Modifié"),
   "Nouveau"))</f>
        <v>#VALUE!</v>
      </c>
      <c r="AD2773" s="1" t="str">
        <f>IFERROR(IF(Final_Sans_VGE[[#This Row],[ppn_z]]="","",IFERROR(
   IF(_xlfn.XLOOKUP(Final_Sans_VGE[[#This Row],[ppn_z]],tbl_Historique_Final[[#This Row],[ppn_z]],tbl_Historique_Final[[#This Row],[date_modif]])=Final_Sans_VGE[[#This Row],[date_modif]],
      "Ancien",
      "Modifié"),
   "Nouveau")),"")</f>
        <v/>
      </c>
    </row>
    <row r="2774" spans="24:30" x14ac:dyDescent="0.25">
      <c r="X2774" s="8" t="e">
        <f>IF(Final_Sans_VGE[[#This Row],[ppn_z]]="","",IFERROR(
   IF(_xlfn.XLOOKUP(Final_Sans_VGE[[#This Row],[ppn_z]],tbl_Historique_Final[ppn_z],tbl_Historique_Final[date_modif])=Final_Sans_VGE[[#This Row],[date_modif]],
      "Ancien",
      "Modifié"),
   "Nouveau"))</f>
        <v>#VALUE!</v>
      </c>
      <c r="AD2774" s="1" t="str">
        <f>IFERROR(IF(Final_Sans_VGE[[#This Row],[ppn_z]]="","",IFERROR(
   IF(_xlfn.XLOOKUP(Final_Sans_VGE[[#This Row],[ppn_z]],tbl_Historique_Final[[#This Row],[ppn_z]],tbl_Historique_Final[[#This Row],[date_modif]])=Final_Sans_VGE[[#This Row],[date_modif]],
      "Ancien",
      "Modifié"),
   "Nouveau")),"")</f>
        <v/>
      </c>
    </row>
    <row r="2775" spans="24:30" x14ac:dyDescent="0.25">
      <c r="X2775" s="8" t="e">
        <f>IF(Final_Sans_VGE[[#This Row],[ppn_z]]="","",IFERROR(
   IF(_xlfn.XLOOKUP(Final_Sans_VGE[[#This Row],[ppn_z]],tbl_Historique_Final[ppn_z],tbl_Historique_Final[date_modif])=Final_Sans_VGE[[#This Row],[date_modif]],
      "Ancien",
      "Modifié"),
   "Nouveau"))</f>
        <v>#VALUE!</v>
      </c>
      <c r="AD2775" s="1" t="str">
        <f>IFERROR(IF(Final_Sans_VGE[[#This Row],[ppn_z]]="","",IFERROR(
   IF(_xlfn.XLOOKUP(Final_Sans_VGE[[#This Row],[ppn_z]],tbl_Historique_Final[[#This Row],[ppn_z]],tbl_Historique_Final[[#This Row],[date_modif]])=Final_Sans_VGE[[#This Row],[date_modif]],
      "Ancien",
      "Modifié"),
   "Nouveau")),"")</f>
        <v/>
      </c>
    </row>
    <row r="2776" spans="24:30" x14ac:dyDescent="0.25">
      <c r="X2776" s="8" t="e">
        <f>IF(Final_Sans_VGE[[#This Row],[ppn_z]]="","",IFERROR(
   IF(_xlfn.XLOOKUP(Final_Sans_VGE[[#This Row],[ppn_z]],tbl_Historique_Final[ppn_z],tbl_Historique_Final[date_modif])=Final_Sans_VGE[[#This Row],[date_modif]],
      "Ancien",
      "Modifié"),
   "Nouveau"))</f>
        <v>#VALUE!</v>
      </c>
      <c r="AD2776" s="1" t="str">
        <f>IFERROR(IF(Final_Sans_VGE[[#This Row],[ppn_z]]="","",IFERROR(
   IF(_xlfn.XLOOKUP(Final_Sans_VGE[[#This Row],[ppn_z]],tbl_Historique_Final[[#This Row],[ppn_z]],tbl_Historique_Final[[#This Row],[date_modif]])=Final_Sans_VGE[[#This Row],[date_modif]],
      "Ancien",
      "Modifié"),
   "Nouveau")),"")</f>
        <v/>
      </c>
    </row>
    <row r="2777" spans="24:30" x14ac:dyDescent="0.25">
      <c r="X2777" s="8" t="e">
        <f>IF(Final_Sans_VGE[[#This Row],[ppn_z]]="","",IFERROR(
   IF(_xlfn.XLOOKUP(Final_Sans_VGE[[#This Row],[ppn_z]],tbl_Historique_Final[ppn_z],tbl_Historique_Final[date_modif])=Final_Sans_VGE[[#This Row],[date_modif]],
      "Ancien",
      "Modifié"),
   "Nouveau"))</f>
        <v>#VALUE!</v>
      </c>
      <c r="AD2777" s="1" t="str">
        <f>IFERROR(IF(Final_Sans_VGE[[#This Row],[ppn_z]]="","",IFERROR(
   IF(_xlfn.XLOOKUP(Final_Sans_VGE[[#This Row],[ppn_z]],tbl_Historique_Final[[#This Row],[ppn_z]],tbl_Historique_Final[[#This Row],[date_modif]])=Final_Sans_VGE[[#This Row],[date_modif]],
      "Ancien",
      "Modifié"),
   "Nouveau")),"")</f>
        <v/>
      </c>
    </row>
    <row r="2778" spans="24:30" x14ac:dyDescent="0.25">
      <c r="X2778" s="8" t="e">
        <f>IF(Final_Sans_VGE[[#This Row],[ppn_z]]="","",IFERROR(
   IF(_xlfn.XLOOKUP(Final_Sans_VGE[[#This Row],[ppn_z]],tbl_Historique_Final[ppn_z],tbl_Historique_Final[date_modif])=Final_Sans_VGE[[#This Row],[date_modif]],
      "Ancien",
      "Modifié"),
   "Nouveau"))</f>
        <v>#VALUE!</v>
      </c>
      <c r="AD2778" s="1" t="str">
        <f>IFERROR(IF(Final_Sans_VGE[[#This Row],[ppn_z]]="","",IFERROR(
   IF(_xlfn.XLOOKUP(Final_Sans_VGE[[#This Row],[ppn_z]],tbl_Historique_Final[[#This Row],[ppn_z]],tbl_Historique_Final[[#This Row],[date_modif]])=Final_Sans_VGE[[#This Row],[date_modif]],
      "Ancien",
      "Modifié"),
   "Nouveau")),"")</f>
        <v/>
      </c>
    </row>
    <row r="2779" spans="24:30" x14ac:dyDescent="0.25">
      <c r="X2779" s="8" t="e">
        <f>IF(Final_Sans_VGE[[#This Row],[ppn_z]]="","",IFERROR(
   IF(_xlfn.XLOOKUP(Final_Sans_VGE[[#This Row],[ppn_z]],tbl_Historique_Final[ppn_z],tbl_Historique_Final[date_modif])=Final_Sans_VGE[[#This Row],[date_modif]],
      "Ancien",
      "Modifié"),
   "Nouveau"))</f>
        <v>#VALUE!</v>
      </c>
      <c r="AD2779" s="1" t="str">
        <f>IFERROR(IF(Final_Sans_VGE[[#This Row],[ppn_z]]="","",IFERROR(
   IF(_xlfn.XLOOKUP(Final_Sans_VGE[[#This Row],[ppn_z]],tbl_Historique_Final[[#This Row],[ppn_z]],tbl_Historique_Final[[#This Row],[date_modif]])=Final_Sans_VGE[[#This Row],[date_modif]],
      "Ancien",
      "Modifié"),
   "Nouveau")),"")</f>
        <v/>
      </c>
    </row>
    <row r="2780" spans="24:30" x14ac:dyDescent="0.25">
      <c r="X2780" s="8" t="e">
        <f>IF(Final_Sans_VGE[[#This Row],[ppn_z]]="","",IFERROR(
   IF(_xlfn.XLOOKUP(Final_Sans_VGE[[#This Row],[ppn_z]],tbl_Historique_Final[ppn_z],tbl_Historique_Final[date_modif])=Final_Sans_VGE[[#This Row],[date_modif]],
      "Ancien",
      "Modifié"),
   "Nouveau"))</f>
        <v>#VALUE!</v>
      </c>
      <c r="AD2780" s="1" t="str">
        <f>IFERROR(IF(Final_Sans_VGE[[#This Row],[ppn_z]]="","",IFERROR(
   IF(_xlfn.XLOOKUP(Final_Sans_VGE[[#This Row],[ppn_z]],tbl_Historique_Final[[#This Row],[ppn_z]],tbl_Historique_Final[[#This Row],[date_modif]])=Final_Sans_VGE[[#This Row],[date_modif]],
      "Ancien",
      "Modifié"),
   "Nouveau")),"")</f>
        <v/>
      </c>
    </row>
    <row r="2781" spans="24:30" x14ac:dyDescent="0.25">
      <c r="X2781" s="8" t="e">
        <f>IF(Final_Sans_VGE[[#This Row],[ppn_z]]="","",IFERROR(
   IF(_xlfn.XLOOKUP(Final_Sans_VGE[[#This Row],[ppn_z]],tbl_Historique_Final[ppn_z],tbl_Historique_Final[date_modif])=Final_Sans_VGE[[#This Row],[date_modif]],
      "Ancien",
      "Modifié"),
   "Nouveau"))</f>
        <v>#VALUE!</v>
      </c>
      <c r="AD2781" s="1" t="str">
        <f>IFERROR(IF(Final_Sans_VGE[[#This Row],[ppn_z]]="","",IFERROR(
   IF(_xlfn.XLOOKUP(Final_Sans_VGE[[#This Row],[ppn_z]],tbl_Historique_Final[[#This Row],[ppn_z]],tbl_Historique_Final[[#This Row],[date_modif]])=Final_Sans_VGE[[#This Row],[date_modif]],
      "Ancien",
      "Modifié"),
   "Nouveau")),"")</f>
        <v/>
      </c>
    </row>
    <row r="2782" spans="24:30" x14ac:dyDescent="0.25">
      <c r="X2782" s="8" t="e">
        <f>IF(Final_Sans_VGE[[#This Row],[ppn_z]]="","",IFERROR(
   IF(_xlfn.XLOOKUP(Final_Sans_VGE[[#This Row],[ppn_z]],tbl_Historique_Final[ppn_z],tbl_Historique_Final[date_modif])=Final_Sans_VGE[[#This Row],[date_modif]],
      "Ancien",
      "Modifié"),
   "Nouveau"))</f>
        <v>#VALUE!</v>
      </c>
      <c r="AD2782" s="1" t="str">
        <f>IFERROR(IF(Final_Sans_VGE[[#This Row],[ppn_z]]="","",IFERROR(
   IF(_xlfn.XLOOKUP(Final_Sans_VGE[[#This Row],[ppn_z]],tbl_Historique_Final[[#This Row],[ppn_z]],tbl_Historique_Final[[#This Row],[date_modif]])=Final_Sans_VGE[[#This Row],[date_modif]],
      "Ancien",
      "Modifié"),
   "Nouveau")),"")</f>
        <v/>
      </c>
    </row>
    <row r="2783" spans="24:30" x14ac:dyDescent="0.25">
      <c r="X2783" s="8" t="e">
        <f>IF(Final_Sans_VGE[[#This Row],[ppn_z]]="","",IFERROR(
   IF(_xlfn.XLOOKUP(Final_Sans_VGE[[#This Row],[ppn_z]],tbl_Historique_Final[ppn_z],tbl_Historique_Final[date_modif])=Final_Sans_VGE[[#This Row],[date_modif]],
      "Ancien",
      "Modifié"),
   "Nouveau"))</f>
        <v>#VALUE!</v>
      </c>
      <c r="AD2783" s="1" t="str">
        <f>IFERROR(IF(Final_Sans_VGE[[#This Row],[ppn_z]]="","",IFERROR(
   IF(_xlfn.XLOOKUP(Final_Sans_VGE[[#This Row],[ppn_z]],tbl_Historique_Final[[#This Row],[ppn_z]],tbl_Historique_Final[[#This Row],[date_modif]])=Final_Sans_VGE[[#This Row],[date_modif]],
      "Ancien",
      "Modifié"),
   "Nouveau")),"")</f>
        <v/>
      </c>
    </row>
    <row r="2784" spans="24:30" x14ac:dyDescent="0.25">
      <c r="X2784" s="8" t="e">
        <f>IF(Final_Sans_VGE[[#This Row],[ppn_z]]="","",IFERROR(
   IF(_xlfn.XLOOKUP(Final_Sans_VGE[[#This Row],[ppn_z]],tbl_Historique_Final[ppn_z],tbl_Historique_Final[date_modif])=Final_Sans_VGE[[#This Row],[date_modif]],
      "Ancien",
      "Modifié"),
   "Nouveau"))</f>
        <v>#VALUE!</v>
      </c>
      <c r="AD2784" s="1" t="str">
        <f>IFERROR(IF(Final_Sans_VGE[[#This Row],[ppn_z]]="","",IFERROR(
   IF(_xlfn.XLOOKUP(Final_Sans_VGE[[#This Row],[ppn_z]],tbl_Historique_Final[[#This Row],[ppn_z]],tbl_Historique_Final[[#This Row],[date_modif]])=Final_Sans_VGE[[#This Row],[date_modif]],
      "Ancien",
      "Modifié"),
   "Nouveau")),"")</f>
        <v/>
      </c>
    </row>
    <row r="2785" spans="24:30" x14ac:dyDescent="0.25">
      <c r="X2785" s="8" t="e">
        <f>IF(Final_Sans_VGE[[#This Row],[ppn_z]]="","",IFERROR(
   IF(_xlfn.XLOOKUP(Final_Sans_VGE[[#This Row],[ppn_z]],tbl_Historique_Final[ppn_z],tbl_Historique_Final[date_modif])=Final_Sans_VGE[[#This Row],[date_modif]],
      "Ancien",
      "Modifié"),
   "Nouveau"))</f>
        <v>#VALUE!</v>
      </c>
      <c r="AD2785" s="1" t="str">
        <f>IFERROR(IF(Final_Sans_VGE[[#This Row],[ppn_z]]="","",IFERROR(
   IF(_xlfn.XLOOKUP(Final_Sans_VGE[[#This Row],[ppn_z]],tbl_Historique_Final[[#This Row],[ppn_z]],tbl_Historique_Final[[#This Row],[date_modif]])=Final_Sans_VGE[[#This Row],[date_modif]],
      "Ancien",
      "Modifié"),
   "Nouveau")),"")</f>
        <v/>
      </c>
    </row>
    <row r="2786" spans="24:30" x14ac:dyDescent="0.25">
      <c r="X2786" s="8" t="e">
        <f>IF(Final_Sans_VGE[[#This Row],[ppn_z]]="","",IFERROR(
   IF(_xlfn.XLOOKUP(Final_Sans_VGE[[#This Row],[ppn_z]],tbl_Historique_Final[ppn_z],tbl_Historique_Final[date_modif])=Final_Sans_VGE[[#This Row],[date_modif]],
      "Ancien",
      "Modifié"),
   "Nouveau"))</f>
        <v>#VALUE!</v>
      </c>
      <c r="AD2786" s="1" t="str">
        <f>IFERROR(IF(Final_Sans_VGE[[#This Row],[ppn_z]]="","",IFERROR(
   IF(_xlfn.XLOOKUP(Final_Sans_VGE[[#This Row],[ppn_z]],tbl_Historique_Final[[#This Row],[ppn_z]],tbl_Historique_Final[[#This Row],[date_modif]])=Final_Sans_VGE[[#This Row],[date_modif]],
      "Ancien",
      "Modifié"),
   "Nouveau")),"")</f>
        <v/>
      </c>
    </row>
    <row r="2787" spans="24:30" x14ac:dyDescent="0.25">
      <c r="X2787" s="8" t="e">
        <f>IF(Final_Sans_VGE[[#This Row],[ppn_z]]="","",IFERROR(
   IF(_xlfn.XLOOKUP(Final_Sans_VGE[[#This Row],[ppn_z]],tbl_Historique_Final[ppn_z],tbl_Historique_Final[date_modif])=Final_Sans_VGE[[#This Row],[date_modif]],
      "Ancien",
      "Modifié"),
   "Nouveau"))</f>
        <v>#VALUE!</v>
      </c>
      <c r="AD2787" s="1" t="str">
        <f>IFERROR(IF(Final_Sans_VGE[[#This Row],[ppn_z]]="","",IFERROR(
   IF(_xlfn.XLOOKUP(Final_Sans_VGE[[#This Row],[ppn_z]],tbl_Historique_Final[[#This Row],[ppn_z]],tbl_Historique_Final[[#This Row],[date_modif]])=Final_Sans_VGE[[#This Row],[date_modif]],
      "Ancien",
      "Modifié"),
   "Nouveau")),"")</f>
        <v/>
      </c>
    </row>
    <row r="2788" spans="24:30" x14ac:dyDescent="0.25">
      <c r="X2788" s="8" t="e">
        <f>IF(Final_Sans_VGE[[#This Row],[ppn_z]]="","",IFERROR(
   IF(_xlfn.XLOOKUP(Final_Sans_VGE[[#This Row],[ppn_z]],tbl_Historique_Final[ppn_z],tbl_Historique_Final[date_modif])=Final_Sans_VGE[[#This Row],[date_modif]],
      "Ancien",
      "Modifié"),
   "Nouveau"))</f>
        <v>#VALUE!</v>
      </c>
      <c r="AD2788" s="1" t="str">
        <f>IFERROR(IF(Final_Sans_VGE[[#This Row],[ppn_z]]="","",IFERROR(
   IF(_xlfn.XLOOKUP(Final_Sans_VGE[[#This Row],[ppn_z]],tbl_Historique_Final[[#This Row],[ppn_z]],tbl_Historique_Final[[#This Row],[date_modif]])=Final_Sans_VGE[[#This Row],[date_modif]],
      "Ancien",
      "Modifié"),
   "Nouveau")),"")</f>
        <v/>
      </c>
    </row>
    <row r="2789" spans="24:30" x14ac:dyDescent="0.25">
      <c r="X2789" s="8" t="e">
        <f>IF(Final_Sans_VGE[[#This Row],[ppn_z]]="","",IFERROR(
   IF(_xlfn.XLOOKUP(Final_Sans_VGE[[#This Row],[ppn_z]],tbl_Historique_Final[ppn_z],tbl_Historique_Final[date_modif])=Final_Sans_VGE[[#This Row],[date_modif]],
      "Ancien",
      "Modifié"),
   "Nouveau"))</f>
        <v>#VALUE!</v>
      </c>
      <c r="AD2789" s="1" t="str">
        <f>IFERROR(IF(Final_Sans_VGE[[#This Row],[ppn_z]]="","",IFERROR(
   IF(_xlfn.XLOOKUP(Final_Sans_VGE[[#This Row],[ppn_z]],tbl_Historique_Final[[#This Row],[ppn_z]],tbl_Historique_Final[[#This Row],[date_modif]])=Final_Sans_VGE[[#This Row],[date_modif]],
      "Ancien",
      "Modifié"),
   "Nouveau")),"")</f>
        <v/>
      </c>
    </row>
    <row r="2790" spans="24:30" x14ac:dyDescent="0.25">
      <c r="X2790" s="8" t="e">
        <f>IF(Final_Sans_VGE[[#This Row],[ppn_z]]="","",IFERROR(
   IF(_xlfn.XLOOKUP(Final_Sans_VGE[[#This Row],[ppn_z]],tbl_Historique_Final[ppn_z],tbl_Historique_Final[date_modif])=Final_Sans_VGE[[#This Row],[date_modif]],
      "Ancien",
      "Modifié"),
   "Nouveau"))</f>
        <v>#VALUE!</v>
      </c>
      <c r="AD2790" s="1" t="str">
        <f>IFERROR(IF(Final_Sans_VGE[[#This Row],[ppn_z]]="","",IFERROR(
   IF(_xlfn.XLOOKUP(Final_Sans_VGE[[#This Row],[ppn_z]],tbl_Historique_Final[[#This Row],[ppn_z]],tbl_Historique_Final[[#This Row],[date_modif]])=Final_Sans_VGE[[#This Row],[date_modif]],
      "Ancien",
      "Modifié"),
   "Nouveau")),"")</f>
        <v/>
      </c>
    </row>
    <row r="2791" spans="24:30" x14ac:dyDescent="0.25">
      <c r="X2791" s="8" t="e">
        <f>IF(Final_Sans_VGE[[#This Row],[ppn_z]]="","",IFERROR(
   IF(_xlfn.XLOOKUP(Final_Sans_VGE[[#This Row],[ppn_z]],tbl_Historique_Final[ppn_z],tbl_Historique_Final[date_modif])=Final_Sans_VGE[[#This Row],[date_modif]],
      "Ancien",
      "Modifié"),
   "Nouveau"))</f>
        <v>#VALUE!</v>
      </c>
      <c r="AD2791" s="1" t="str">
        <f>IFERROR(IF(Final_Sans_VGE[[#This Row],[ppn_z]]="","",IFERROR(
   IF(_xlfn.XLOOKUP(Final_Sans_VGE[[#This Row],[ppn_z]],tbl_Historique_Final[[#This Row],[ppn_z]],tbl_Historique_Final[[#This Row],[date_modif]])=Final_Sans_VGE[[#This Row],[date_modif]],
      "Ancien",
      "Modifié"),
   "Nouveau")),"")</f>
        <v/>
      </c>
    </row>
    <row r="2792" spans="24:30" x14ac:dyDescent="0.25">
      <c r="X2792" s="8" t="e">
        <f>IF(Final_Sans_VGE[[#This Row],[ppn_z]]="","",IFERROR(
   IF(_xlfn.XLOOKUP(Final_Sans_VGE[[#This Row],[ppn_z]],tbl_Historique_Final[ppn_z],tbl_Historique_Final[date_modif])=Final_Sans_VGE[[#This Row],[date_modif]],
      "Ancien",
      "Modifié"),
   "Nouveau"))</f>
        <v>#VALUE!</v>
      </c>
      <c r="AD2792" s="1" t="str">
        <f>IFERROR(IF(Final_Sans_VGE[[#This Row],[ppn_z]]="","",IFERROR(
   IF(_xlfn.XLOOKUP(Final_Sans_VGE[[#This Row],[ppn_z]],tbl_Historique_Final[[#This Row],[ppn_z]],tbl_Historique_Final[[#This Row],[date_modif]])=Final_Sans_VGE[[#This Row],[date_modif]],
      "Ancien",
      "Modifié"),
   "Nouveau")),"")</f>
        <v/>
      </c>
    </row>
    <row r="2793" spans="24:30" x14ac:dyDescent="0.25">
      <c r="X2793" s="8" t="e">
        <f>IF(Final_Sans_VGE[[#This Row],[ppn_z]]="","",IFERROR(
   IF(_xlfn.XLOOKUP(Final_Sans_VGE[[#This Row],[ppn_z]],tbl_Historique_Final[ppn_z],tbl_Historique_Final[date_modif])=Final_Sans_VGE[[#This Row],[date_modif]],
      "Ancien",
      "Modifié"),
   "Nouveau"))</f>
        <v>#VALUE!</v>
      </c>
      <c r="AD2793" s="1" t="str">
        <f>IFERROR(IF(Final_Sans_VGE[[#This Row],[ppn_z]]="","",IFERROR(
   IF(_xlfn.XLOOKUP(Final_Sans_VGE[[#This Row],[ppn_z]],tbl_Historique_Final[[#This Row],[ppn_z]],tbl_Historique_Final[[#This Row],[date_modif]])=Final_Sans_VGE[[#This Row],[date_modif]],
      "Ancien",
      "Modifié"),
   "Nouveau")),"")</f>
        <v/>
      </c>
    </row>
    <row r="2794" spans="24:30" x14ac:dyDescent="0.25">
      <c r="X2794" s="8" t="e">
        <f>IF(Final_Sans_VGE[[#This Row],[ppn_z]]="","",IFERROR(
   IF(_xlfn.XLOOKUP(Final_Sans_VGE[[#This Row],[ppn_z]],tbl_Historique_Final[ppn_z],tbl_Historique_Final[date_modif])=Final_Sans_VGE[[#This Row],[date_modif]],
      "Ancien",
      "Modifié"),
   "Nouveau"))</f>
        <v>#VALUE!</v>
      </c>
      <c r="AD2794" s="1" t="str">
        <f>IFERROR(IF(Final_Sans_VGE[[#This Row],[ppn_z]]="","",IFERROR(
   IF(_xlfn.XLOOKUP(Final_Sans_VGE[[#This Row],[ppn_z]],tbl_Historique_Final[[#This Row],[ppn_z]],tbl_Historique_Final[[#This Row],[date_modif]])=Final_Sans_VGE[[#This Row],[date_modif]],
      "Ancien",
      "Modifié"),
   "Nouveau")),"")</f>
        <v/>
      </c>
    </row>
    <row r="2795" spans="24:30" x14ac:dyDescent="0.25">
      <c r="X2795" s="8" t="e">
        <f>IF(Final_Sans_VGE[[#This Row],[ppn_z]]="","",IFERROR(
   IF(_xlfn.XLOOKUP(Final_Sans_VGE[[#This Row],[ppn_z]],tbl_Historique_Final[ppn_z],tbl_Historique_Final[date_modif])=Final_Sans_VGE[[#This Row],[date_modif]],
      "Ancien",
      "Modifié"),
   "Nouveau"))</f>
        <v>#VALUE!</v>
      </c>
      <c r="AD2795" s="1" t="str">
        <f>IFERROR(IF(Final_Sans_VGE[[#This Row],[ppn_z]]="","",IFERROR(
   IF(_xlfn.XLOOKUP(Final_Sans_VGE[[#This Row],[ppn_z]],tbl_Historique_Final[[#This Row],[ppn_z]],tbl_Historique_Final[[#This Row],[date_modif]])=Final_Sans_VGE[[#This Row],[date_modif]],
      "Ancien",
      "Modifié"),
   "Nouveau")),"")</f>
        <v/>
      </c>
    </row>
    <row r="2796" spans="24:30" x14ac:dyDescent="0.25">
      <c r="X2796" s="8" t="e">
        <f>IF(Final_Sans_VGE[[#This Row],[ppn_z]]="","",IFERROR(
   IF(_xlfn.XLOOKUP(Final_Sans_VGE[[#This Row],[ppn_z]],tbl_Historique_Final[ppn_z],tbl_Historique_Final[date_modif])=Final_Sans_VGE[[#This Row],[date_modif]],
      "Ancien",
      "Modifié"),
   "Nouveau"))</f>
        <v>#VALUE!</v>
      </c>
      <c r="AD2796" s="1" t="str">
        <f>IFERROR(IF(Final_Sans_VGE[[#This Row],[ppn_z]]="","",IFERROR(
   IF(_xlfn.XLOOKUP(Final_Sans_VGE[[#This Row],[ppn_z]],tbl_Historique_Final[[#This Row],[ppn_z]],tbl_Historique_Final[[#This Row],[date_modif]])=Final_Sans_VGE[[#This Row],[date_modif]],
      "Ancien",
      "Modifié"),
   "Nouveau")),"")</f>
        <v/>
      </c>
    </row>
    <row r="2797" spans="24:30" x14ac:dyDescent="0.25">
      <c r="X2797" s="8" t="e">
        <f>IF(Final_Sans_VGE[[#This Row],[ppn_z]]="","",IFERROR(
   IF(_xlfn.XLOOKUP(Final_Sans_VGE[[#This Row],[ppn_z]],tbl_Historique_Final[ppn_z],tbl_Historique_Final[date_modif])=Final_Sans_VGE[[#This Row],[date_modif]],
      "Ancien",
      "Modifié"),
   "Nouveau"))</f>
        <v>#VALUE!</v>
      </c>
      <c r="AD2797" s="1" t="str">
        <f>IFERROR(IF(Final_Sans_VGE[[#This Row],[ppn_z]]="","",IFERROR(
   IF(_xlfn.XLOOKUP(Final_Sans_VGE[[#This Row],[ppn_z]],tbl_Historique_Final[[#This Row],[ppn_z]],tbl_Historique_Final[[#This Row],[date_modif]])=Final_Sans_VGE[[#This Row],[date_modif]],
      "Ancien",
      "Modifié"),
   "Nouveau")),"")</f>
        <v/>
      </c>
    </row>
    <row r="2798" spans="24:30" x14ac:dyDescent="0.25">
      <c r="X2798" s="8" t="e">
        <f>IF(Final_Sans_VGE[[#This Row],[ppn_z]]="","",IFERROR(
   IF(_xlfn.XLOOKUP(Final_Sans_VGE[[#This Row],[ppn_z]],tbl_Historique_Final[ppn_z],tbl_Historique_Final[date_modif])=Final_Sans_VGE[[#This Row],[date_modif]],
      "Ancien",
      "Modifié"),
   "Nouveau"))</f>
        <v>#VALUE!</v>
      </c>
      <c r="AD2798" s="1" t="str">
        <f>IFERROR(IF(Final_Sans_VGE[[#This Row],[ppn_z]]="","",IFERROR(
   IF(_xlfn.XLOOKUP(Final_Sans_VGE[[#This Row],[ppn_z]],tbl_Historique_Final[[#This Row],[ppn_z]],tbl_Historique_Final[[#This Row],[date_modif]])=Final_Sans_VGE[[#This Row],[date_modif]],
      "Ancien",
      "Modifié"),
   "Nouveau")),"")</f>
        <v/>
      </c>
    </row>
    <row r="2799" spans="24:30" x14ac:dyDescent="0.25">
      <c r="X2799" s="8" t="e">
        <f>IF(Final_Sans_VGE[[#This Row],[ppn_z]]="","",IFERROR(
   IF(_xlfn.XLOOKUP(Final_Sans_VGE[[#This Row],[ppn_z]],tbl_Historique_Final[ppn_z],tbl_Historique_Final[date_modif])=Final_Sans_VGE[[#This Row],[date_modif]],
      "Ancien",
      "Modifié"),
   "Nouveau"))</f>
        <v>#VALUE!</v>
      </c>
      <c r="AD2799" s="1" t="str">
        <f>IFERROR(IF(Final_Sans_VGE[[#This Row],[ppn_z]]="","",IFERROR(
   IF(_xlfn.XLOOKUP(Final_Sans_VGE[[#This Row],[ppn_z]],tbl_Historique_Final[[#This Row],[ppn_z]],tbl_Historique_Final[[#This Row],[date_modif]])=Final_Sans_VGE[[#This Row],[date_modif]],
      "Ancien",
      "Modifié"),
   "Nouveau")),"")</f>
        <v/>
      </c>
    </row>
    <row r="2800" spans="24:30" x14ac:dyDescent="0.25">
      <c r="X2800" s="8" t="e">
        <f>IF(Final_Sans_VGE[[#This Row],[ppn_z]]="","",IFERROR(
   IF(_xlfn.XLOOKUP(Final_Sans_VGE[[#This Row],[ppn_z]],tbl_Historique_Final[ppn_z],tbl_Historique_Final[date_modif])=Final_Sans_VGE[[#This Row],[date_modif]],
      "Ancien",
      "Modifié"),
   "Nouveau"))</f>
        <v>#VALUE!</v>
      </c>
      <c r="AD2800" s="1" t="str">
        <f>IFERROR(IF(Final_Sans_VGE[[#This Row],[ppn_z]]="","",IFERROR(
   IF(_xlfn.XLOOKUP(Final_Sans_VGE[[#This Row],[ppn_z]],tbl_Historique_Final[[#This Row],[ppn_z]],tbl_Historique_Final[[#This Row],[date_modif]])=Final_Sans_VGE[[#This Row],[date_modif]],
      "Ancien",
      "Modifié"),
   "Nouveau")),"")</f>
        <v/>
      </c>
    </row>
    <row r="2801" spans="24:30" x14ac:dyDescent="0.25">
      <c r="X2801" s="8" t="e">
        <f>IF(Final_Sans_VGE[[#This Row],[ppn_z]]="","",IFERROR(
   IF(_xlfn.XLOOKUP(Final_Sans_VGE[[#This Row],[ppn_z]],tbl_Historique_Final[ppn_z],tbl_Historique_Final[date_modif])=Final_Sans_VGE[[#This Row],[date_modif]],
      "Ancien",
      "Modifié"),
   "Nouveau"))</f>
        <v>#VALUE!</v>
      </c>
      <c r="AD2801" s="1" t="str">
        <f>IFERROR(IF(Final_Sans_VGE[[#This Row],[ppn_z]]="","",IFERROR(
   IF(_xlfn.XLOOKUP(Final_Sans_VGE[[#This Row],[ppn_z]],tbl_Historique_Final[[#This Row],[ppn_z]],tbl_Historique_Final[[#This Row],[date_modif]])=Final_Sans_VGE[[#This Row],[date_modif]],
      "Ancien",
      "Modifié"),
   "Nouveau")),"")</f>
        <v/>
      </c>
    </row>
    <row r="2802" spans="24:30" x14ac:dyDescent="0.25">
      <c r="X2802" s="8" t="e">
        <f>IF(Final_Sans_VGE[[#This Row],[ppn_z]]="","",IFERROR(
   IF(_xlfn.XLOOKUP(Final_Sans_VGE[[#This Row],[ppn_z]],tbl_Historique_Final[ppn_z],tbl_Historique_Final[date_modif])=Final_Sans_VGE[[#This Row],[date_modif]],
      "Ancien",
      "Modifié"),
   "Nouveau"))</f>
        <v>#VALUE!</v>
      </c>
      <c r="AD2802" s="1" t="str">
        <f>IFERROR(IF(Final_Sans_VGE[[#This Row],[ppn_z]]="","",IFERROR(
   IF(_xlfn.XLOOKUP(Final_Sans_VGE[[#This Row],[ppn_z]],tbl_Historique_Final[[#This Row],[ppn_z]],tbl_Historique_Final[[#This Row],[date_modif]])=Final_Sans_VGE[[#This Row],[date_modif]],
      "Ancien",
      "Modifié"),
   "Nouveau")),"")</f>
        <v/>
      </c>
    </row>
    <row r="2803" spans="24:30" x14ac:dyDescent="0.25">
      <c r="X2803" s="8" t="e">
        <f>IF(Final_Sans_VGE[[#This Row],[ppn_z]]="","",IFERROR(
   IF(_xlfn.XLOOKUP(Final_Sans_VGE[[#This Row],[ppn_z]],tbl_Historique_Final[ppn_z],tbl_Historique_Final[date_modif])=Final_Sans_VGE[[#This Row],[date_modif]],
      "Ancien",
      "Modifié"),
   "Nouveau"))</f>
        <v>#VALUE!</v>
      </c>
      <c r="AD2803" s="1" t="str">
        <f>IFERROR(IF(Final_Sans_VGE[[#This Row],[ppn_z]]="","",IFERROR(
   IF(_xlfn.XLOOKUP(Final_Sans_VGE[[#This Row],[ppn_z]],tbl_Historique_Final[[#This Row],[ppn_z]],tbl_Historique_Final[[#This Row],[date_modif]])=Final_Sans_VGE[[#This Row],[date_modif]],
      "Ancien",
      "Modifié"),
   "Nouveau")),"")</f>
        <v/>
      </c>
    </row>
    <row r="2804" spans="24:30" x14ac:dyDescent="0.25">
      <c r="X2804" s="8" t="e">
        <f>IF(Final_Sans_VGE[[#This Row],[ppn_z]]="","",IFERROR(
   IF(_xlfn.XLOOKUP(Final_Sans_VGE[[#This Row],[ppn_z]],tbl_Historique_Final[ppn_z],tbl_Historique_Final[date_modif])=Final_Sans_VGE[[#This Row],[date_modif]],
      "Ancien",
      "Modifié"),
   "Nouveau"))</f>
        <v>#VALUE!</v>
      </c>
      <c r="AD2804" s="1" t="str">
        <f>IFERROR(IF(Final_Sans_VGE[[#This Row],[ppn_z]]="","",IFERROR(
   IF(_xlfn.XLOOKUP(Final_Sans_VGE[[#This Row],[ppn_z]],tbl_Historique_Final[[#This Row],[ppn_z]],tbl_Historique_Final[[#This Row],[date_modif]])=Final_Sans_VGE[[#This Row],[date_modif]],
      "Ancien",
      "Modifié"),
   "Nouveau")),"")</f>
        <v/>
      </c>
    </row>
    <row r="2805" spans="24:30" x14ac:dyDescent="0.25">
      <c r="X2805" s="8" t="e">
        <f>IF(Final_Sans_VGE[[#This Row],[ppn_z]]="","",IFERROR(
   IF(_xlfn.XLOOKUP(Final_Sans_VGE[[#This Row],[ppn_z]],tbl_Historique_Final[ppn_z],tbl_Historique_Final[date_modif])=Final_Sans_VGE[[#This Row],[date_modif]],
      "Ancien",
      "Modifié"),
   "Nouveau"))</f>
        <v>#VALUE!</v>
      </c>
      <c r="AD2805" s="1" t="str">
        <f>IFERROR(IF(Final_Sans_VGE[[#This Row],[ppn_z]]="","",IFERROR(
   IF(_xlfn.XLOOKUP(Final_Sans_VGE[[#This Row],[ppn_z]],tbl_Historique_Final[[#This Row],[ppn_z]],tbl_Historique_Final[[#This Row],[date_modif]])=Final_Sans_VGE[[#This Row],[date_modif]],
      "Ancien",
      "Modifié"),
   "Nouveau")),"")</f>
        <v/>
      </c>
    </row>
    <row r="2806" spans="24:30" x14ac:dyDescent="0.25">
      <c r="X2806" s="8" t="e">
        <f>IF(Final_Sans_VGE[[#This Row],[ppn_z]]="","",IFERROR(
   IF(_xlfn.XLOOKUP(Final_Sans_VGE[[#This Row],[ppn_z]],tbl_Historique_Final[ppn_z],tbl_Historique_Final[date_modif])=Final_Sans_VGE[[#This Row],[date_modif]],
      "Ancien",
      "Modifié"),
   "Nouveau"))</f>
        <v>#VALUE!</v>
      </c>
      <c r="AD2806" s="1" t="str">
        <f>IFERROR(IF(Final_Sans_VGE[[#This Row],[ppn_z]]="","",IFERROR(
   IF(_xlfn.XLOOKUP(Final_Sans_VGE[[#This Row],[ppn_z]],tbl_Historique_Final[[#This Row],[ppn_z]],tbl_Historique_Final[[#This Row],[date_modif]])=Final_Sans_VGE[[#This Row],[date_modif]],
      "Ancien",
      "Modifié"),
   "Nouveau")),"")</f>
        <v/>
      </c>
    </row>
    <row r="2807" spans="24:30" x14ac:dyDescent="0.25">
      <c r="X2807" s="8" t="e">
        <f>IF(Final_Sans_VGE[[#This Row],[ppn_z]]="","",IFERROR(
   IF(_xlfn.XLOOKUP(Final_Sans_VGE[[#This Row],[ppn_z]],tbl_Historique_Final[ppn_z],tbl_Historique_Final[date_modif])=Final_Sans_VGE[[#This Row],[date_modif]],
      "Ancien",
      "Modifié"),
   "Nouveau"))</f>
        <v>#VALUE!</v>
      </c>
      <c r="AD2807" s="1" t="str">
        <f>IFERROR(IF(Final_Sans_VGE[[#This Row],[ppn_z]]="","",IFERROR(
   IF(_xlfn.XLOOKUP(Final_Sans_VGE[[#This Row],[ppn_z]],tbl_Historique_Final[[#This Row],[ppn_z]],tbl_Historique_Final[[#This Row],[date_modif]])=Final_Sans_VGE[[#This Row],[date_modif]],
      "Ancien",
      "Modifié"),
   "Nouveau")),"")</f>
        <v/>
      </c>
    </row>
    <row r="2808" spans="24:30" x14ac:dyDescent="0.25">
      <c r="X2808" s="8" t="e">
        <f>IF(Final_Sans_VGE[[#This Row],[ppn_z]]="","",IFERROR(
   IF(_xlfn.XLOOKUP(Final_Sans_VGE[[#This Row],[ppn_z]],tbl_Historique_Final[ppn_z],tbl_Historique_Final[date_modif])=Final_Sans_VGE[[#This Row],[date_modif]],
      "Ancien",
      "Modifié"),
   "Nouveau"))</f>
        <v>#VALUE!</v>
      </c>
      <c r="AD2808" s="1" t="str">
        <f>IFERROR(IF(Final_Sans_VGE[[#This Row],[ppn_z]]="","",IFERROR(
   IF(_xlfn.XLOOKUP(Final_Sans_VGE[[#This Row],[ppn_z]],tbl_Historique_Final[[#This Row],[ppn_z]],tbl_Historique_Final[[#This Row],[date_modif]])=Final_Sans_VGE[[#This Row],[date_modif]],
      "Ancien",
      "Modifié"),
   "Nouveau")),"")</f>
        <v/>
      </c>
    </row>
    <row r="2809" spans="24:30" x14ac:dyDescent="0.25">
      <c r="X2809" s="8" t="e">
        <f>IF(Final_Sans_VGE[[#This Row],[ppn_z]]="","",IFERROR(
   IF(_xlfn.XLOOKUP(Final_Sans_VGE[[#This Row],[ppn_z]],tbl_Historique_Final[ppn_z],tbl_Historique_Final[date_modif])=Final_Sans_VGE[[#This Row],[date_modif]],
      "Ancien",
      "Modifié"),
   "Nouveau"))</f>
        <v>#VALUE!</v>
      </c>
      <c r="AD2809" s="1" t="str">
        <f>IFERROR(IF(Final_Sans_VGE[[#This Row],[ppn_z]]="","",IFERROR(
   IF(_xlfn.XLOOKUP(Final_Sans_VGE[[#This Row],[ppn_z]],tbl_Historique_Final[[#This Row],[ppn_z]],tbl_Historique_Final[[#This Row],[date_modif]])=Final_Sans_VGE[[#This Row],[date_modif]],
      "Ancien",
      "Modifié"),
   "Nouveau")),"")</f>
        <v/>
      </c>
    </row>
    <row r="2810" spans="24:30" x14ac:dyDescent="0.25">
      <c r="X2810" s="8" t="e">
        <f>IF(Final_Sans_VGE[[#This Row],[ppn_z]]="","",IFERROR(
   IF(_xlfn.XLOOKUP(Final_Sans_VGE[[#This Row],[ppn_z]],tbl_Historique_Final[ppn_z],tbl_Historique_Final[date_modif])=Final_Sans_VGE[[#This Row],[date_modif]],
      "Ancien",
      "Modifié"),
   "Nouveau"))</f>
        <v>#VALUE!</v>
      </c>
      <c r="AD2810" s="1" t="str">
        <f>IFERROR(IF(Final_Sans_VGE[[#This Row],[ppn_z]]="","",IFERROR(
   IF(_xlfn.XLOOKUP(Final_Sans_VGE[[#This Row],[ppn_z]],tbl_Historique_Final[[#This Row],[ppn_z]],tbl_Historique_Final[[#This Row],[date_modif]])=Final_Sans_VGE[[#This Row],[date_modif]],
      "Ancien",
      "Modifié"),
   "Nouveau")),"")</f>
        <v/>
      </c>
    </row>
    <row r="2811" spans="24:30" x14ac:dyDescent="0.25">
      <c r="X2811" s="8" t="e">
        <f>IF(Final_Sans_VGE[[#This Row],[ppn_z]]="","",IFERROR(
   IF(_xlfn.XLOOKUP(Final_Sans_VGE[[#This Row],[ppn_z]],tbl_Historique_Final[ppn_z],tbl_Historique_Final[date_modif])=Final_Sans_VGE[[#This Row],[date_modif]],
      "Ancien",
      "Modifié"),
   "Nouveau"))</f>
        <v>#VALUE!</v>
      </c>
      <c r="AD2811" s="1" t="str">
        <f>IFERROR(IF(Final_Sans_VGE[[#This Row],[ppn_z]]="","",IFERROR(
   IF(_xlfn.XLOOKUP(Final_Sans_VGE[[#This Row],[ppn_z]],tbl_Historique_Final[[#This Row],[ppn_z]],tbl_Historique_Final[[#This Row],[date_modif]])=Final_Sans_VGE[[#This Row],[date_modif]],
      "Ancien",
      "Modifié"),
   "Nouveau")),"")</f>
        <v/>
      </c>
    </row>
    <row r="2812" spans="24:30" x14ac:dyDescent="0.25">
      <c r="X2812" s="8" t="e">
        <f>IF(Final_Sans_VGE[[#This Row],[ppn_z]]="","",IFERROR(
   IF(_xlfn.XLOOKUP(Final_Sans_VGE[[#This Row],[ppn_z]],tbl_Historique_Final[ppn_z],tbl_Historique_Final[date_modif])=Final_Sans_VGE[[#This Row],[date_modif]],
      "Ancien",
      "Modifié"),
   "Nouveau"))</f>
        <v>#VALUE!</v>
      </c>
      <c r="AD2812" s="1" t="str">
        <f>IFERROR(IF(Final_Sans_VGE[[#This Row],[ppn_z]]="","",IFERROR(
   IF(_xlfn.XLOOKUP(Final_Sans_VGE[[#This Row],[ppn_z]],tbl_Historique_Final[[#This Row],[ppn_z]],tbl_Historique_Final[[#This Row],[date_modif]])=Final_Sans_VGE[[#This Row],[date_modif]],
      "Ancien",
      "Modifié"),
   "Nouveau")),"")</f>
        <v/>
      </c>
    </row>
    <row r="2813" spans="24:30" x14ac:dyDescent="0.25">
      <c r="X2813" s="8" t="e">
        <f>IF(Final_Sans_VGE[[#This Row],[ppn_z]]="","",IFERROR(
   IF(_xlfn.XLOOKUP(Final_Sans_VGE[[#This Row],[ppn_z]],tbl_Historique_Final[ppn_z],tbl_Historique_Final[date_modif])=Final_Sans_VGE[[#This Row],[date_modif]],
      "Ancien",
      "Modifié"),
   "Nouveau"))</f>
        <v>#VALUE!</v>
      </c>
      <c r="AD2813" s="1" t="str">
        <f>IFERROR(IF(Final_Sans_VGE[[#This Row],[ppn_z]]="","",IFERROR(
   IF(_xlfn.XLOOKUP(Final_Sans_VGE[[#This Row],[ppn_z]],tbl_Historique_Final[[#This Row],[ppn_z]],tbl_Historique_Final[[#This Row],[date_modif]])=Final_Sans_VGE[[#This Row],[date_modif]],
      "Ancien",
      "Modifié"),
   "Nouveau")),"")</f>
        <v/>
      </c>
    </row>
    <row r="2814" spans="24:30" x14ac:dyDescent="0.25">
      <c r="X2814" s="8" t="e">
        <f>IF(Final_Sans_VGE[[#This Row],[ppn_z]]="","",IFERROR(
   IF(_xlfn.XLOOKUP(Final_Sans_VGE[[#This Row],[ppn_z]],tbl_Historique_Final[ppn_z],tbl_Historique_Final[date_modif])=Final_Sans_VGE[[#This Row],[date_modif]],
      "Ancien",
      "Modifié"),
   "Nouveau"))</f>
        <v>#VALUE!</v>
      </c>
      <c r="AD2814" s="1" t="str">
        <f>IFERROR(IF(Final_Sans_VGE[[#This Row],[ppn_z]]="","",IFERROR(
   IF(_xlfn.XLOOKUP(Final_Sans_VGE[[#This Row],[ppn_z]],tbl_Historique_Final[[#This Row],[ppn_z]],tbl_Historique_Final[[#This Row],[date_modif]])=Final_Sans_VGE[[#This Row],[date_modif]],
      "Ancien",
      "Modifié"),
   "Nouveau")),"")</f>
        <v/>
      </c>
    </row>
    <row r="2815" spans="24:30" x14ac:dyDescent="0.25">
      <c r="X2815" s="8" t="e">
        <f>IF(Final_Sans_VGE[[#This Row],[ppn_z]]="","",IFERROR(
   IF(_xlfn.XLOOKUP(Final_Sans_VGE[[#This Row],[ppn_z]],tbl_Historique_Final[ppn_z],tbl_Historique_Final[date_modif])=Final_Sans_VGE[[#This Row],[date_modif]],
      "Ancien",
      "Modifié"),
   "Nouveau"))</f>
        <v>#VALUE!</v>
      </c>
      <c r="AD2815" s="1" t="str">
        <f>IFERROR(IF(Final_Sans_VGE[[#This Row],[ppn_z]]="","",IFERROR(
   IF(_xlfn.XLOOKUP(Final_Sans_VGE[[#This Row],[ppn_z]],tbl_Historique_Final[[#This Row],[ppn_z]],tbl_Historique_Final[[#This Row],[date_modif]])=Final_Sans_VGE[[#This Row],[date_modif]],
      "Ancien",
      "Modifié"),
   "Nouveau")),"")</f>
        <v/>
      </c>
    </row>
    <row r="2816" spans="24:30" x14ac:dyDescent="0.25">
      <c r="X2816" s="8" t="e">
        <f>IF(Final_Sans_VGE[[#This Row],[ppn_z]]="","",IFERROR(
   IF(_xlfn.XLOOKUP(Final_Sans_VGE[[#This Row],[ppn_z]],tbl_Historique_Final[ppn_z],tbl_Historique_Final[date_modif])=Final_Sans_VGE[[#This Row],[date_modif]],
      "Ancien",
      "Modifié"),
   "Nouveau"))</f>
        <v>#VALUE!</v>
      </c>
      <c r="AD2816" s="1" t="str">
        <f>IFERROR(IF(Final_Sans_VGE[[#This Row],[ppn_z]]="","",IFERROR(
   IF(_xlfn.XLOOKUP(Final_Sans_VGE[[#This Row],[ppn_z]],tbl_Historique_Final[[#This Row],[ppn_z]],tbl_Historique_Final[[#This Row],[date_modif]])=Final_Sans_VGE[[#This Row],[date_modif]],
      "Ancien",
      "Modifié"),
   "Nouveau")),"")</f>
        <v/>
      </c>
    </row>
    <row r="2817" spans="24:30" x14ac:dyDescent="0.25">
      <c r="X2817" s="8" t="e">
        <f>IF(Final_Sans_VGE[[#This Row],[ppn_z]]="","",IFERROR(
   IF(_xlfn.XLOOKUP(Final_Sans_VGE[[#This Row],[ppn_z]],tbl_Historique_Final[ppn_z],tbl_Historique_Final[date_modif])=Final_Sans_VGE[[#This Row],[date_modif]],
      "Ancien",
      "Modifié"),
   "Nouveau"))</f>
        <v>#VALUE!</v>
      </c>
      <c r="AD2817" s="1" t="str">
        <f>IFERROR(IF(Final_Sans_VGE[[#This Row],[ppn_z]]="","",IFERROR(
   IF(_xlfn.XLOOKUP(Final_Sans_VGE[[#This Row],[ppn_z]],tbl_Historique_Final[[#This Row],[ppn_z]],tbl_Historique_Final[[#This Row],[date_modif]])=Final_Sans_VGE[[#This Row],[date_modif]],
      "Ancien",
      "Modifié"),
   "Nouveau")),"")</f>
        <v/>
      </c>
    </row>
    <row r="2818" spans="24:30" x14ac:dyDescent="0.25">
      <c r="X2818" s="8" t="e">
        <f>IF(Final_Sans_VGE[[#This Row],[ppn_z]]="","",IFERROR(
   IF(_xlfn.XLOOKUP(Final_Sans_VGE[[#This Row],[ppn_z]],tbl_Historique_Final[ppn_z],tbl_Historique_Final[date_modif])=Final_Sans_VGE[[#This Row],[date_modif]],
      "Ancien",
      "Modifié"),
   "Nouveau"))</f>
        <v>#VALUE!</v>
      </c>
      <c r="AD2818" s="1" t="str">
        <f>IFERROR(IF(Final_Sans_VGE[[#This Row],[ppn_z]]="","",IFERROR(
   IF(_xlfn.XLOOKUP(Final_Sans_VGE[[#This Row],[ppn_z]],tbl_Historique_Final[[#This Row],[ppn_z]],tbl_Historique_Final[[#This Row],[date_modif]])=Final_Sans_VGE[[#This Row],[date_modif]],
      "Ancien",
      "Modifié"),
   "Nouveau")),"")</f>
        <v/>
      </c>
    </row>
    <row r="2819" spans="24:30" x14ac:dyDescent="0.25">
      <c r="X2819" s="8" t="e">
        <f>IF(Final_Sans_VGE[[#This Row],[ppn_z]]="","",IFERROR(
   IF(_xlfn.XLOOKUP(Final_Sans_VGE[[#This Row],[ppn_z]],tbl_Historique_Final[ppn_z],tbl_Historique_Final[date_modif])=Final_Sans_VGE[[#This Row],[date_modif]],
      "Ancien",
      "Modifié"),
   "Nouveau"))</f>
        <v>#VALUE!</v>
      </c>
      <c r="AD2819" s="1" t="str">
        <f>IFERROR(IF(Final_Sans_VGE[[#This Row],[ppn_z]]="","",IFERROR(
   IF(_xlfn.XLOOKUP(Final_Sans_VGE[[#This Row],[ppn_z]],tbl_Historique_Final[[#This Row],[ppn_z]],tbl_Historique_Final[[#This Row],[date_modif]])=Final_Sans_VGE[[#This Row],[date_modif]],
      "Ancien",
      "Modifié"),
   "Nouveau")),"")</f>
        <v/>
      </c>
    </row>
    <row r="2820" spans="24:30" x14ac:dyDescent="0.25">
      <c r="X2820" s="8" t="e">
        <f>IF(Final_Sans_VGE[[#This Row],[ppn_z]]="","",IFERROR(
   IF(_xlfn.XLOOKUP(Final_Sans_VGE[[#This Row],[ppn_z]],tbl_Historique_Final[ppn_z],tbl_Historique_Final[date_modif])=Final_Sans_VGE[[#This Row],[date_modif]],
      "Ancien",
      "Modifié"),
   "Nouveau"))</f>
        <v>#VALUE!</v>
      </c>
      <c r="AD2820" s="1" t="str">
        <f>IFERROR(IF(Final_Sans_VGE[[#This Row],[ppn_z]]="","",IFERROR(
   IF(_xlfn.XLOOKUP(Final_Sans_VGE[[#This Row],[ppn_z]],tbl_Historique_Final[[#This Row],[ppn_z]],tbl_Historique_Final[[#This Row],[date_modif]])=Final_Sans_VGE[[#This Row],[date_modif]],
      "Ancien",
      "Modifié"),
   "Nouveau")),"")</f>
        <v/>
      </c>
    </row>
    <row r="2821" spans="24:30" x14ac:dyDescent="0.25">
      <c r="X2821" s="8" t="e">
        <f>IF(Final_Sans_VGE[[#This Row],[ppn_z]]="","",IFERROR(
   IF(_xlfn.XLOOKUP(Final_Sans_VGE[[#This Row],[ppn_z]],tbl_Historique_Final[ppn_z],tbl_Historique_Final[date_modif])=Final_Sans_VGE[[#This Row],[date_modif]],
      "Ancien",
      "Modifié"),
   "Nouveau"))</f>
        <v>#VALUE!</v>
      </c>
      <c r="AD2821" s="1" t="str">
        <f>IFERROR(IF(Final_Sans_VGE[[#This Row],[ppn_z]]="","",IFERROR(
   IF(_xlfn.XLOOKUP(Final_Sans_VGE[[#This Row],[ppn_z]],tbl_Historique_Final[[#This Row],[ppn_z]],tbl_Historique_Final[[#This Row],[date_modif]])=Final_Sans_VGE[[#This Row],[date_modif]],
      "Ancien",
      "Modifié"),
   "Nouveau")),"")</f>
        <v/>
      </c>
    </row>
    <row r="2822" spans="24:30" x14ac:dyDescent="0.25">
      <c r="X2822" s="8" t="e">
        <f>IF(Final_Sans_VGE[[#This Row],[ppn_z]]="","",IFERROR(
   IF(_xlfn.XLOOKUP(Final_Sans_VGE[[#This Row],[ppn_z]],tbl_Historique_Final[ppn_z],tbl_Historique_Final[date_modif])=Final_Sans_VGE[[#This Row],[date_modif]],
      "Ancien",
      "Modifié"),
   "Nouveau"))</f>
        <v>#VALUE!</v>
      </c>
      <c r="AD2822" s="1" t="str">
        <f>IFERROR(IF(Final_Sans_VGE[[#This Row],[ppn_z]]="","",IFERROR(
   IF(_xlfn.XLOOKUP(Final_Sans_VGE[[#This Row],[ppn_z]],tbl_Historique_Final[[#This Row],[ppn_z]],tbl_Historique_Final[[#This Row],[date_modif]])=Final_Sans_VGE[[#This Row],[date_modif]],
      "Ancien",
      "Modifié"),
   "Nouveau")),"")</f>
        <v/>
      </c>
    </row>
    <row r="2823" spans="24:30" x14ac:dyDescent="0.25">
      <c r="X2823" s="8" t="e">
        <f>IF(Final_Sans_VGE[[#This Row],[ppn_z]]="","",IFERROR(
   IF(_xlfn.XLOOKUP(Final_Sans_VGE[[#This Row],[ppn_z]],tbl_Historique_Final[ppn_z],tbl_Historique_Final[date_modif])=Final_Sans_VGE[[#This Row],[date_modif]],
      "Ancien",
      "Modifié"),
   "Nouveau"))</f>
        <v>#VALUE!</v>
      </c>
      <c r="AD2823" s="1" t="str">
        <f>IFERROR(IF(Final_Sans_VGE[[#This Row],[ppn_z]]="","",IFERROR(
   IF(_xlfn.XLOOKUP(Final_Sans_VGE[[#This Row],[ppn_z]],tbl_Historique_Final[[#This Row],[ppn_z]],tbl_Historique_Final[[#This Row],[date_modif]])=Final_Sans_VGE[[#This Row],[date_modif]],
      "Ancien",
      "Modifié"),
   "Nouveau")),"")</f>
        <v/>
      </c>
    </row>
    <row r="2824" spans="24:30" x14ac:dyDescent="0.25">
      <c r="X2824" s="8" t="e">
        <f>IF(Final_Sans_VGE[[#This Row],[ppn_z]]="","",IFERROR(
   IF(_xlfn.XLOOKUP(Final_Sans_VGE[[#This Row],[ppn_z]],tbl_Historique_Final[ppn_z],tbl_Historique_Final[date_modif])=Final_Sans_VGE[[#This Row],[date_modif]],
      "Ancien",
      "Modifié"),
   "Nouveau"))</f>
        <v>#VALUE!</v>
      </c>
      <c r="AD2824" s="1" t="str">
        <f>IFERROR(IF(Final_Sans_VGE[[#This Row],[ppn_z]]="","",IFERROR(
   IF(_xlfn.XLOOKUP(Final_Sans_VGE[[#This Row],[ppn_z]],tbl_Historique_Final[[#This Row],[ppn_z]],tbl_Historique_Final[[#This Row],[date_modif]])=Final_Sans_VGE[[#This Row],[date_modif]],
      "Ancien",
      "Modifié"),
   "Nouveau")),"")</f>
        <v/>
      </c>
    </row>
    <row r="2825" spans="24:30" x14ac:dyDescent="0.25">
      <c r="X2825" s="8" t="e">
        <f>IF(Final_Sans_VGE[[#This Row],[ppn_z]]="","",IFERROR(
   IF(_xlfn.XLOOKUP(Final_Sans_VGE[[#This Row],[ppn_z]],tbl_Historique_Final[ppn_z],tbl_Historique_Final[date_modif])=Final_Sans_VGE[[#This Row],[date_modif]],
      "Ancien",
      "Modifié"),
   "Nouveau"))</f>
        <v>#VALUE!</v>
      </c>
      <c r="AD2825" s="1" t="str">
        <f>IFERROR(IF(Final_Sans_VGE[[#This Row],[ppn_z]]="","",IFERROR(
   IF(_xlfn.XLOOKUP(Final_Sans_VGE[[#This Row],[ppn_z]],tbl_Historique_Final[[#This Row],[ppn_z]],tbl_Historique_Final[[#This Row],[date_modif]])=Final_Sans_VGE[[#This Row],[date_modif]],
      "Ancien",
      "Modifié"),
   "Nouveau")),"")</f>
        <v/>
      </c>
    </row>
    <row r="2826" spans="24:30" x14ac:dyDescent="0.25">
      <c r="X2826" s="8" t="e">
        <f>IF(Final_Sans_VGE[[#This Row],[ppn_z]]="","",IFERROR(
   IF(_xlfn.XLOOKUP(Final_Sans_VGE[[#This Row],[ppn_z]],tbl_Historique_Final[ppn_z],tbl_Historique_Final[date_modif])=Final_Sans_VGE[[#This Row],[date_modif]],
      "Ancien",
      "Modifié"),
   "Nouveau"))</f>
        <v>#VALUE!</v>
      </c>
      <c r="AD2826" s="1" t="str">
        <f>IFERROR(IF(Final_Sans_VGE[[#This Row],[ppn_z]]="","",IFERROR(
   IF(_xlfn.XLOOKUP(Final_Sans_VGE[[#This Row],[ppn_z]],tbl_Historique_Final[[#This Row],[ppn_z]],tbl_Historique_Final[[#This Row],[date_modif]])=Final_Sans_VGE[[#This Row],[date_modif]],
      "Ancien",
      "Modifié"),
   "Nouveau")),"")</f>
        <v/>
      </c>
    </row>
    <row r="2827" spans="24:30" x14ac:dyDescent="0.25">
      <c r="X2827" s="8" t="e">
        <f>IF(Final_Sans_VGE[[#This Row],[ppn_z]]="","",IFERROR(
   IF(_xlfn.XLOOKUP(Final_Sans_VGE[[#This Row],[ppn_z]],tbl_Historique_Final[ppn_z],tbl_Historique_Final[date_modif])=Final_Sans_VGE[[#This Row],[date_modif]],
      "Ancien",
      "Modifié"),
   "Nouveau"))</f>
        <v>#VALUE!</v>
      </c>
      <c r="AD2827" s="1" t="str">
        <f>IFERROR(IF(Final_Sans_VGE[[#This Row],[ppn_z]]="","",IFERROR(
   IF(_xlfn.XLOOKUP(Final_Sans_VGE[[#This Row],[ppn_z]],tbl_Historique_Final[[#This Row],[ppn_z]],tbl_Historique_Final[[#This Row],[date_modif]])=Final_Sans_VGE[[#This Row],[date_modif]],
      "Ancien",
      "Modifié"),
   "Nouveau")),"")</f>
        <v/>
      </c>
    </row>
    <row r="2828" spans="24:30" x14ac:dyDescent="0.25">
      <c r="X2828" s="8" t="e">
        <f>IF(Final_Sans_VGE[[#This Row],[ppn_z]]="","",IFERROR(
   IF(_xlfn.XLOOKUP(Final_Sans_VGE[[#This Row],[ppn_z]],tbl_Historique_Final[ppn_z],tbl_Historique_Final[date_modif])=Final_Sans_VGE[[#This Row],[date_modif]],
      "Ancien",
      "Modifié"),
   "Nouveau"))</f>
        <v>#VALUE!</v>
      </c>
      <c r="AD2828" s="1" t="str">
        <f>IFERROR(IF(Final_Sans_VGE[[#This Row],[ppn_z]]="","",IFERROR(
   IF(_xlfn.XLOOKUP(Final_Sans_VGE[[#This Row],[ppn_z]],tbl_Historique_Final[[#This Row],[ppn_z]],tbl_Historique_Final[[#This Row],[date_modif]])=Final_Sans_VGE[[#This Row],[date_modif]],
      "Ancien",
      "Modifié"),
   "Nouveau")),"")</f>
        <v/>
      </c>
    </row>
    <row r="2829" spans="24:30" x14ac:dyDescent="0.25">
      <c r="X2829" s="8" t="e">
        <f>IF(Final_Sans_VGE[[#This Row],[ppn_z]]="","",IFERROR(
   IF(_xlfn.XLOOKUP(Final_Sans_VGE[[#This Row],[ppn_z]],tbl_Historique_Final[ppn_z],tbl_Historique_Final[date_modif])=Final_Sans_VGE[[#This Row],[date_modif]],
      "Ancien",
      "Modifié"),
   "Nouveau"))</f>
        <v>#VALUE!</v>
      </c>
      <c r="AD2829" s="1" t="str">
        <f>IFERROR(IF(Final_Sans_VGE[[#This Row],[ppn_z]]="","",IFERROR(
   IF(_xlfn.XLOOKUP(Final_Sans_VGE[[#This Row],[ppn_z]],tbl_Historique_Final[[#This Row],[ppn_z]],tbl_Historique_Final[[#This Row],[date_modif]])=Final_Sans_VGE[[#This Row],[date_modif]],
      "Ancien",
      "Modifié"),
   "Nouveau")),"")</f>
        <v/>
      </c>
    </row>
    <row r="2830" spans="24:30" x14ac:dyDescent="0.25">
      <c r="X2830" s="8" t="e">
        <f>IF(Final_Sans_VGE[[#This Row],[ppn_z]]="","",IFERROR(
   IF(_xlfn.XLOOKUP(Final_Sans_VGE[[#This Row],[ppn_z]],tbl_Historique_Final[ppn_z],tbl_Historique_Final[date_modif])=Final_Sans_VGE[[#This Row],[date_modif]],
      "Ancien",
      "Modifié"),
   "Nouveau"))</f>
        <v>#VALUE!</v>
      </c>
      <c r="AD2830" s="1" t="str">
        <f>IFERROR(IF(Final_Sans_VGE[[#This Row],[ppn_z]]="","",IFERROR(
   IF(_xlfn.XLOOKUP(Final_Sans_VGE[[#This Row],[ppn_z]],tbl_Historique_Final[[#This Row],[ppn_z]],tbl_Historique_Final[[#This Row],[date_modif]])=Final_Sans_VGE[[#This Row],[date_modif]],
      "Ancien",
      "Modifié"),
   "Nouveau")),"")</f>
        <v/>
      </c>
    </row>
    <row r="2831" spans="24:30" x14ac:dyDescent="0.25">
      <c r="X2831" s="8" t="e">
        <f>IF(Final_Sans_VGE[[#This Row],[ppn_z]]="","",IFERROR(
   IF(_xlfn.XLOOKUP(Final_Sans_VGE[[#This Row],[ppn_z]],tbl_Historique_Final[ppn_z],tbl_Historique_Final[date_modif])=Final_Sans_VGE[[#This Row],[date_modif]],
      "Ancien",
      "Modifié"),
   "Nouveau"))</f>
        <v>#VALUE!</v>
      </c>
      <c r="AD2831" s="1" t="str">
        <f>IFERROR(IF(Final_Sans_VGE[[#This Row],[ppn_z]]="","",IFERROR(
   IF(_xlfn.XLOOKUP(Final_Sans_VGE[[#This Row],[ppn_z]],tbl_Historique_Final[[#This Row],[ppn_z]],tbl_Historique_Final[[#This Row],[date_modif]])=Final_Sans_VGE[[#This Row],[date_modif]],
      "Ancien",
      "Modifié"),
   "Nouveau")),"")</f>
        <v/>
      </c>
    </row>
    <row r="2832" spans="24:30" x14ac:dyDescent="0.25">
      <c r="X2832" s="8" t="e">
        <f>IF(Final_Sans_VGE[[#This Row],[ppn_z]]="","",IFERROR(
   IF(_xlfn.XLOOKUP(Final_Sans_VGE[[#This Row],[ppn_z]],tbl_Historique_Final[ppn_z],tbl_Historique_Final[date_modif])=Final_Sans_VGE[[#This Row],[date_modif]],
      "Ancien",
      "Modifié"),
   "Nouveau"))</f>
        <v>#VALUE!</v>
      </c>
      <c r="AD2832" s="1" t="str">
        <f>IFERROR(IF(Final_Sans_VGE[[#This Row],[ppn_z]]="","",IFERROR(
   IF(_xlfn.XLOOKUP(Final_Sans_VGE[[#This Row],[ppn_z]],tbl_Historique_Final[[#This Row],[ppn_z]],tbl_Historique_Final[[#This Row],[date_modif]])=Final_Sans_VGE[[#This Row],[date_modif]],
      "Ancien",
      "Modifié"),
   "Nouveau")),"")</f>
        <v/>
      </c>
    </row>
    <row r="2833" spans="24:30" x14ac:dyDescent="0.25">
      <c r="X2833" s="8" t="e">
        <f>IF(Final_Sans_VGE[[#This Row],[ppn_z]]="","",IFERROR(
   IF(_xlfn.XLOOKUP(Final_Sans_VGE[[#This Row],[ppn_z]],tbl_Historique_Final[ppn_z],tbl_Historique_Final[date_modif])=Final_Sans_VGE[[#This Row],[date_modif]],
      "Ancien",
      "Modifié"),
   "Nouveau"))</f>
        <v>#VALUE!</v>
      </c>
      <c r="AD2833" s="1" t="str">
        <f>IFERROR(IF(Final_Sans_VGE[[#This Row],[ppn_z]]="","",IFERROR(
   IF(_xlfn.XLOOKUP(Final_Sans_VGE[[#This Row],[ppn_z]],tbl_Historique_Final[[#This Row],[ppn_z]],tbl_Historique_Final[[#This Row],[date_modif]])=Final_Sans_VGE[[#This Row],[date_modif]],
      "Ancien",
      "Modifié"),
   "Nouveau")),"")</f>
        <v/>
      </c>
    </row>
    <row r="2834" spans="24:30" x14ac:dyDescent="0.25">
      <c r="X2834" s="8" t="e">
        <f>IF(Final_Sans_VGE[[#This Row],[ppn_z]]="","",IFERROR(
   IF(_xlfn.XLOOKUP(Final_Sans_VGE[[#This Row],[ppn_z]],tbl_Historique_Final[ppn_z],tbl_Historique_Final[date_modif])=Final_Sans_VGE[[#This Row],[date_modif]],
      "Ancien",
      "Modifié"),
   "Nouveau"))</f>
        <v>#VALUE!</v>
      </c>
      <c r="AD2834" s="1" t="str">
        <f>IFERROR(IF(Final_Sans_VGE[[#This Row],[ppn_z]]="","",IFERROR(
   IF(_xlfn.XLOOKUP(Final_Sans_VGE[[#This Row],[ppn_z]],tbl_Historique_Final[[#This Row],[ppn_z]],tbl_Historique_Final[[#This Row],[date_modif]])=Final_Sans_VGE[[#This Row],[date_modif]],
      "Ancien",
      "Modifié"),
   "Nouveau")),"")</f>
        <v/>
      </c>
    </row>
    <row r="2835" spans="24:30" x14ac:dyDescent="0.25">
      <c r="X2835" s="8" t="e">
        <f>IF(Final_Sans_VGE[[#This Row],[ppn_z]]="","",IFERROR(
   IF(_xlfn.XLOOKUP(Final_Sans_VGE[[#This Row],[ppn_z]],tbl_Historique_Final[ppn_z],tbl_Historique_Final[date_modif])=Final_Sans_VGE[[#This Row],[date_modif]],
      "Ancien",
      "Modifié"),
   "Nouveau"))</f>
        <v>#VALUE!</v>
      </c>
      <c r="AD2835" s="1" t="str">
        <f>IFERROR(IF(Final_Sans_VGE[[#This Row],[ppn_z]]="","",IFERROR(
   IF(_xlfn.XLOOKUP(Final_Sans_VGE[[#This Row],[ppn_z]],tbl_Historique_Final[[#This Row],[ppn_z]],tbl_Historique_Final[[#This Row],[date_modif]])=Final_Sans_VGE[[#This Row],[date_modif]],
      "Ancien",
      "Modifié"),
   "Nouveau")),"")</f>
        <v/>
      </c>
    </row>
    <row r="2836" spans="24:30" x14ac:dyDescent="0.25">
      <c r="X2836" s="8" t="e">
        <f>IF(Final_Sans_VGE[[#This Row],[ppn_z]]="","",IFERROR(
   IF(_xlfn.XLOOKUP(Final_Sans_VGE[[#This Row],[ppn_z]],tbl_Historique_Final[ppn_z],tbl_Historique_Final[date_modif])=Final_Sans_VGE[[#This Row],[date_modif]],
      "Ancien",
      "Modifié"),
   "Nouveau"))</f>
        <v>#VALUE!</v>
      </c>
      <c r="AD2836" s="1" t="str">
        <f>IFERROR(IF(Final_Sans_VGE[[#This Row],[ppn_z]]="","",IFERROR(
   IF(_xlfn.XLOOKUP(Final_Sans_VGE[[#This Row],[ppn_z]],tbl_Historique_Final[[#This Row],[ppn_z]],tbl_Historique_Final[[#This Row],[date_modif]])=Final_Sans_VGE[[#This Row],[date_modif]],
      "Ancien",
      "Modifié"),
   "Nouveau")),"")</f>
        <v/>
      </c>
    </row>
    <row r="2837" spans="24:30" x14ac:dyDescent="0.25">
      <c r="X2837" s="8" t="e">
        <f>IF(Final_Sans_VGE[[#This Row],[ppn_z]]="","",IFERROR(
   IF(_xlfn.XLOOKUP(Final_Sans_VGE[[#This Row],[ppn_z]],tbl_Historique_Final[ppn_z],tbl_Historique_Final[date_modif])=Final_Sans_VGE[[#This Row],[date_modif]],
      "Ancien",
      "Modifié"),
   "Nouveau"))</f>
        <v>#VALUE!</v>
      </c>
      <c r="AD2837" s="1" t="str">
        <f>IFERROR(IF(Final_Sans_VGE[[#This Row],[ppn_z]]="","",IFERROR(
   IF(_xlfn.XLOOKUP(Final_Sans_VGE[[#This Row],[ppn_z]],tbl_Historique_Final[[#This Row],[ppn_z]],tbl_Historique_Final[[#This Row],[date_modif]])=Final_Sans_VGE[[#This Row],[date_modif]],
      "Ancien",
      "Modifié"),
   "Nouveau")),"")</f>
        <v/>
      </c>
    </row>
    <row r="2838" spans="24:30" x14ac:dyDescent="0.25">
      <c r="X2838" s="8" t="e">
        <f>IF(Final_Sans_VGE[[#This Row],[ppn_z]]="","",IFERROR(
   IF(_xlfn.XLOOKUP(Final_Sans_VGE[[#This Row],[ppn_z]],tbl_Historique_Final[ppn_z],tbl_Historique_Final[date_modif])=Final_Sans_VGE[[#This Row],[date_modif]],
      "Ancien",
      "Modifié"),
   "Nouveau"))</f>
        <v>#VALUE!</v>
      </c>
      <c r="AD2838" s="1" t="str">
        <f>IFERROR(IF(Final_Sans_VGE[[#This Row],[ppn_z]]="","",IFERROR(
   IF(_xlfn.XLOOKUP(Final_Sans_VGE[[#This Row],[ppn_z]],tbl_Historique_Final[[#This Row],[ppn_z]],tbl_Historique_Final[[#This Row],[date_modif]])=Final_Sans_VGE[[#This Row],[date_modif]],
      "Ancien",
      "Modifié"),
   "Nouveau")),"")</f>
        <v/>
      </c>
    </row>
    <row r="2839" spans="24:30" x14ac:dyDescent="0.25">
      <c r="X2839" s="8" t="e">
        <f>IF(Final_Sans_VGE[[#This Row],[ppn_z]]="","",IFERROR(
   IF(_xlfn.XLOOKUP(Final_Sans_VGE[[#This Row],[ppn_z]],tbl_Historique_Final[ppn_z],tbl_Historique_Final[date_modif])=Final_Sans_VGE[[#This Row],[date_modif]],
      "Ancien",
      "Modifié"),
   "Nouveau"))</f>
        <v>#VALUE!</v>
      </c>
      <c r="AD2839" s="1" t="str">
        <f>IFERROR(IF(Final_Sans_VGE[[#This Row],[ppn_z]]="","",IFERROR(
   IF(_xlfn.XLOOKUP(Final_Sans_VGE[[#This Row],[ppn_z]],tbl_Historique_Final[[#This Row],[ppn_z]],tbl_Historique_Final[[#This Row],[date_modif]])=Final_Sans_VGE[[#This Row],[date_modif]],
      "Ancien",
      "Modifié"),
   "Nouveau")),"")</f>
        <v/>
      </c>
    </row>
    <row r="2840" spans="24:30" x14ac:dyDescent="0.25">
      <c r="X2840" s="8" t="e">
        <f>IF(Final_Sans_VGE[[#This Row],[ppn_z]]="","",IFERROR(
   IF(_xlfn.XLOOKUP(Final_Sans_VGE[[#This Row],[ppn_z]],tbl_Historique_Final[ppn_z],tbl_Historique_Final[date_modif])=Final_Sans_VGE[[#This Row],[date_modif]],
      "Ancien",
      "Modifié"),
   "Nouveau"))</f>
        <v>#VALUE!</v>
      </c>
      <c r="AD2840" s="1" t="str">
        <f>IFERROR(IF(Final_Sans_VGE[[#This Row],[ppn_z]]="","",IFERROR(
   IF(_xlfn.XLOOKUP(Final_Sans_VGE[[#This Row],[ppn_z]],tbl_Historique_Final[[#This Row],[ppn_z]],tbl_Historique_Final[[#This Row],[date_modif]])=Final_Sans_VGE[[#This Row],[date_modif]],
      "Ancien",
      "Modifié"),
   "Nouveau")),"")</f>
        <v/>
      </c>
    </row>
    <row r="2841" spans="24:30" x14ac:dyDescent="0.25">
      <c r="X2841" s="8" t="e">
        <f>IF(Final_Sans_VGE[[#This Row],[ppn_z]]="","",IFERROR(
   IF(_xlfn.XLOOKUP(Final_Sans_VGE[[#This Row],[ppn_z]],tbl_Historique_Final[ppn_z],tbl_Historique_Final[date_modif])=Final_Sans_VGE[[#This Row],[date_modif]],
      "Ancien",
      "Modifié"),
   "Nouveau"))</f>
        <v>#VALUE!</v>
      </c>
      <c r="AD2841" s="1" t="str">
        <f>IFERROR(IF(Final_Sans_VGE[[#This Row],[ppn_z]]="","",IFERROR(
   IF(_xlfn.XLOOKUP(Final_Sans_VGE[[#This Row],[ppn_z]],tbl_Historique_Final[[#This Row],[ppn_z]],tbl_Historique_Final[[#This Row],[date_modif]])=Final_Sans_VGE[[#This Row],[date_modif]],
      "Ancien",
      "Modifié"),
   "Nouveau")),"")</f>
        <v/>
      </c>
    </row>
    <row r="2842" spans="24:30" x14ac:dyDescent="0.25">
      <c r="X2842" s="8" t="e">
        <f>IF(Final_Sans_VGE[[#This Row],[ppn_z]]="","",IFERROR(
   IF(_xlfn.XLOOKUP(Final_Sans_VGE[[#This Row],[ppn_z]],tbl_Historique_Final[ppn_z],tbl_Historique_Final[date_modif])=Final_Sans_VGE[[#This Row],[date_modif]],
      "Ancien",
      "Modifié"),
   "Nouveau"))</f>
        <v>#VALUE!</v>
      </c>
      <c r="AD2842" s="1" t="str">
        <f>IFERROR(IF(Final_Sans_VGE[[#This Row],[ppn_z]]="","",IFERROR(
   IF(_xlfn.XLOOKUP(Final_Sans_VGE[[#This Row],[ppn_z]],tbl_Historique_Final[[#This Row],[ppn_z]],tbl_Historique_Final[[#This Row],[date_modif]])=Final_Sans_VGE[[#This Row],[date_modif]],
      "Ancien",
      "Modifié"),
   "Nouveau")),"")</f>
        <v/>
      </c>
    </row>
    <row r="2843" spans="24:30" x14ac:dyDescent="0.25">
      <c r="X2843" s="8" t="e">
        <f>IF(Final_Sans_VGE[[#This Row],[ppn_z]]="","",IFERROR(
   IF(_xlfn.XLOOKUP(Final_Sans_VGE[[#This Row],[ppn_z]],tbl_Historique_Final[ppn_z],tbl_Historique_Final[date_modif])=Final_Sans_VGE[[#This Row],[date_modif]],
      "Ancien",
      "Modifié"),
   "Nouveau"))</f>
        <v>#VALUE!</v>
      </c>
      <c r="AD2843" s="1" t="str">
        <f>IFERROR(IF(Final_Sans_VGE[[#This Row],[ppn_z]]="","",IFERROR(
   IF(_xlfn.XLOOKUP(Final_Sans_VGE[[#This Row],[ppn_z]],tbl_Historique_Final[[#This Row],[ppn_z]],tbl_Historique_Final[[#This Row],[date_modif]])=Final_Sans_VGE[[#This Row],[date_modif]],
      "Ancien",
      "Modifié"),
   "Nouveau")),"")</f>
        <v/>
      </c>
    </row>
    <row r="2844" spans="24:30" x14ac:dyDescent="0.25">
      <c r="X2844" s="8" t="e">
        <f>IF(Final_Sans_VGE[[#This Row],[ppn_z]]="","",IFERROR(
   IF(_xlfn.XLOOKUP(Final_Sans_VGE[[#This Row],[ppn_z]],tbl_Historique_Final[ppn_z],tbl_Historique_Final[date_modif])=Final_Sans_VGE[[#This Row],[date_modif]],
      "Ancien",
      "Modifié"),
   "Nouveau"))</f>
        <v>#VALUE!</v>
      </c>
      <c r="AD2844" s="1" t="str">
        <f>IFERROR(IF(Final_Sans_VGE[[#This Row],[ppn_z]]="","",IFERROR(
   IF(_xlfn.XLOOKUP(Final_Sans_VGE[[#This Row],[ppn_z]],tbl_Historique_Final[[#This Row],[ppn_z]],tbl_Historique_Final[[#This Row],[date_modif]])=Final_Sans_VGE[[#This Row],[date_modif]],
      "Ancien",
      "Modifié"),
   "Nouveau")),"")</f>
        <v/>
      </c>
    </row>
    <row r="2845" spans="24:30" x14ac:dyDescent="0.25">
      <c r="X2845" s="8" t="e">
        <f>IF(Final_Sans_VGE[[#This Row],[ppn_z]]="","",IFERROR(
   IF(_xlfn.XLOOKUP(Final_Sans_VGE[[#This Row],[ppn_z]],tbl_Historique_Final[ppn_z],tbl_Historique_Final[date_modif])=Final_Sans_VGE[[#This Row],[date_modif]],
      "Ancien",
      "Modifié"),
   "Nouveau"))</f>
        <v>#VALUE!</v>
      </c>
      <c r="AD2845" s="1" t="str">
        <f>IFERROR(IF(Final_Sans_VGE[[#This Row],[ppn_z]]="","",IFERROR(
   IF(_xlfn.XLOOKUP(Final_Sans_VGE[[#This Row],[ppn_z]],tbl_Historique_Final[[#This Row],[ppn_z]],tbl_Historique_Final[[#This Row],[date_modif]])=Final_Sans_VGE[[#This Row],[date_modif]],
      "Ancien",
      "Modifié"),
   "Nouveau")),"")</f>
        <v/>
      </c>
    </row>
    <row r="2846" spans="24:30" x14ac:dyDescent="0.25">
      <c r="X2846" s="8" t="e">
        <f>IF(Final_Sans_VGE[[#This Row],[ppn_z]]="","",IFERROR(
   IF(_xlfn.XLOOKUP(Final_Sans_VGE[[#This Row],[ppn_z]],tbl_Historique_Final[ppn_z],tbl_Historique_Final[date_modif])=Final_Sans_VGE[[#This Row],[date_modif]],
      "Ancien",
      "Modifié"),
   "Nouveau"))</f>
        <v>#VALUE!</v>
      </c>
      <c r="AD2846" s="1" t="str">
        <f>IFERROR(IF(Final_Sans_VGE[[#This Row],[ppn_z]]="","",IFERROR(
   IF(_xlfn.XLOOKUP(Final_Sans_VGE[[#This Row],[ppn_z]],tbl_Historique_Final[[#This Row],[ppn_z]],tbl_Historique_Final[[#This Row],[date_modif]])=Final_Sans_VGE[[#This Row],[date_modif]],
      "Ancien",
      "Modifié"),
   "Nouveau")),"")</f>
        <v/>
      </c>
    </row>
    <row r="2847" spans="24:30" x14ac:dyDescent="0.25">
      <c r="X2847" s="8" t="e">
        <f>IF(Final_Sans_VGE[[#This Row],[ppn_z]]="","",IFERROR(
   IF(_xlfn.XLOOKUP(Final_Sans_VGE[[#This Row],[ppn_z]],tbl_Historique_Final[ppn_z],tbl_Historique_Final[date_modif])=Final_Sans_VGE[[#This Row],[date_modif]],
      "Ancien",
      "Modifié"),
   "Nouveau"))</f>
        <v>#VALUE!</v>
      </c>
      <c r="AD2847" s="1" t="str">
        <f>IFERROR(IF(Final_Sans_VGE[[#This Row],[ppn_z]]="","",IFERROR(
   IF(_xlfn.XLOOKUP(Final_Sans_VGE[[#This Row],[ppn_z]],tbl_Historique_Final[[#This Row],[ppn_z]],tbl_Historique_Final[[#This Row],[date_modif]])=Final_Sans_VGE[[#This Row],[date_modif]],
      "Ancien",
      "Modifié"),
   "Nouveau")),"")</f>
        <v/>
      </c>
    </row>
    <row r="2848" spans="24:30" x14ac:dyDescent="0.25">
      <c r="X2848" s="8" t="e">
        <f>IF(Final_Sans_VGE[[#This Row],[ppn_z]]="","",IFERROR(
   IF(_xlfn.XLOOKUP(Final_Sans_VGE[[#This Row],[ppn_z]],tbl_Historique_Final[ppn_z],tbl_Historique_Final[date_modif])=Final_Sans_VGE[[#This Row],[date_modif]],
      "Ancien",
      "Modifié"),
   "Nouveau"))</f>
        <v>#VALUE!</v>
      </c>
      <c r="AD2848" s="1" t="str">
        <f>IFERROR(IF(Final_Sans_VGE[[#This Row],[ppn_z]]="","",IFERROR(
   IF(_xlfn.XLOOKUP(Final_Sans_VGE[[#This Row],[ppn_z]],tbl_Historique_Final[[#This Row],[ppn_z]],tbl_Historique_Final[[#This Row],[date_modif]])=Final_Sans_VGE[[#This Row],[date_modif]],
      "Ancien",
      "Modifié"),
   "Nouveau")),"")</f>
        <v/>
      </c>
    </row>
    <row r="2849" spans="24:30" x14ac:dyDescent="0.25">
      <c r="X2849" s="8" t="e">
        <f>IF(Final_Sans_VGE[[#This Row],[ppn_z]]="","",IFERROR(
   IF(_xlfn.XLOOKUP(Final_Sans_VGE[[#This Row],[ppn_z]],tbl_Historique_Final[ppn_z],tbl_Historique_Final[date_modif])=Final_Sans_VGE[[#This Row],[date_modif]],
      "Ancien",
      "Modifié"),
   "Nouveau"))</f>
        <v>#VALUE!</v>
      </c>
      <c r="AD2849" s="1" t="str">
        <f>IFERROR(IF(Final_Sans_VGE[[#This Row],[ppn_z]]="","",IFERROR(
   IF(_xlfn.XLOOKUP(Final_Sans_VGE[[#This Row],[ppn_z]],tbl_Historique_Final[[#This Row],[ppn_z]],tbl_Historique_Final[[#This Row],[date_modif]])=Final_Sans_VGE[[#This Row],[date_modif]],
      "Ancien",
      "Modifié"),
   "Nouveau")),"")</f>
        <v/>
      </c>
    </row>
    <row r="2850" spans="24:30" x14ac:dyDescent="0.25">
      <c r="X2850" s="8" t="e">
        <f>IF(Final_Sans_VGE[[#This Row],[ppn_z]]="","",IFERROR(
   IF(_xlfn.XLOOKUP(Final_Sans_VGE[[#This Row],[ppn_z]],tbl_Historique_Final[ppn_z],tbl_Historique_Final[date_modif])=Final_Sans_VGE[[#This Row],[date_modif]],
      "Ancien",
      "Modifié"),
   "Nouveau"))</f>
        <v>#VALUE!</v>
      </c>
      <c r="AD2850" s="1" t="str">
        <f>IFERROR(IF(Final_Sans_VGE[[#This Row],[ppn_z]]="","",IFERROR(
   IF(_xlfn.XLOOKUP(Final_Sans_VGE[[#This Row],[ppn_z]],tbl_Historique_Final[[#This Row],[ppn_z]],tbl_Historique_Final[[#This Row],[date_modif]])=Final_Sans_VGE[[#This Row],[date_modif]],
      "Ancien",
      "Modifié"),
   "Nouveau")),"")</f>
        <v/>
      </c>
    </row>
    <row r="2851" spans="24:30" x14ac:dyDescent="0.25">
      <c r="X2851" s="8" t="e">
        <f>IF(Final_Sans_VGE[[#This Row],[ppn_z]]="","",IFERROR(
   IF(_xlfn.XLOOKUP(Final_Sans_VGE[[#This Row],[ppn_z]],tbl_Historique_Final[ppn_z],tbl_Historique_Final[date_modif])=Final_Sans_VGE[[#This Row],[date_modif]],
      "Ancien",
      "Modifié"),
   "Nouveau"))</f>
        <v>#VALUE!</v>
      </c>
      <c r="AD2851" s="1" t="str">
        <f>IFERROR(IF(Final_Sans_VGE[[#This Row],[ppn_z]]="","",IFERROR(
   IF(_xlfn.XLOOKUP(Final_Sans_VGE[[#This Row],[ppn_z]],tbl_Historique_Final[[#This Row],[ppn_z]],tbl_Historique_Final[[#This Row],[date_modif]])=Final_Sans_VGE[[#This Row],[date_modif]],
      "Ancien",
      "Modifié"),
   "Nouveau")),"")</f>
        <v/>
      </c>
    </row>
    <row r="2852" spans="24:30" x14ac:dyDescent="0.25">
      <c r="X2852" s="8" t="e">
        <f>IF(Final_Sans_VGE[[#This Row],[ppn_z]]="","",IFERROR(
   IF(_xlfn.XLOOKUP(Final_Sans_VGE[[#This Row],[ppn_z]],tbl_Historique_Final[ppn_z],tbl_Historique_Final[date_modif])=Final_Sans_VGE[[#This Row],[date_modif]],
      "Ancien",
      "Modifié"),
   "Nouveau"))</f>
        <v>#VALUE!</v>
      </c>
      <c r="AD2852" s="1" t="str">
        <f>IFERROR(IF(Final_Sans_VGE[[#This Row],[ppn_z]]="","",IFERROR(
   IF(_xlfn.XLOOKUP(Final_Sans_VGE[[#This Row],[ppn_z]],tbl_Historique_Final[[#This Row],[ppn_z]],tbl_Historique_Final[[#This Row],[date_modif]])=Final_Sans_VGE[[#This Row],[date_modif]],
      "Ancien",
      "Modifié"),
   "Nouveau")),"")</f>
        <v/>
      </c>
    </row>
    <row r="2853" spans="24:30" x14ac:dyDescent="0.25">
      <c r="X2853" s="8" t="e">
        <f>IF(Final_Sans_VGE[[#This Row],[ppn_z]]="","",IFERROR(
   IF(_xlfn.XLOOKUP(Final_Sans_VGE[[#This Row],[ppn_z]],tbl_Historique_Final[ppn_z],tbl_Historique_Final[date_modif])=Final_Sans_VGE[[#This Row],[date_modif]],
      "Ancien",
      "Modifié"),
   "Nouveau"))</f>
        <v>#VALUE!</v>
      </c>
      <c r="AD2853" s="1" t="str">
        <f>IFERROR(IF(Final_Sans_VGE[[#This Row],[ppn_z]]="","",IFERROR(
   IF(_xlfn.XLOOKUP(Final_Sans_VGE[[#This Row],[ppn_z]],tbl_Historique_Final[[#This Row],[ppn_z]],tbl_Historique_Final[[#This Row],[date_modif]])=Final_Sans_VGE[[#This Row],[date_modif]],
      "Ancien",
      "Modifié"),
   "Nouveau")),"")</f>
        <v/>
      </c>
    </row>
    <row r="2854" spans="24:30" x14ac:dyDescent="0.25">
      <c r="X2854" s="8" t="e">
        <f>IF(Final_Sans_VGE[[#This Row],[ppn_z]]="","",IFERROR(
   IF(_xlfn.XLOOKUP(Final_Sans_VGE[[#This Row],[ppn_z]],tbl_Historique_Final[ppn_z],tbl_Historique_Final[date_modif])=Final_Sans_VGE[[#This Row],[date_modif]],
      "Ancien",
      "Modifié"),
   "Nouveau"))</f>
        <v>#VALUE!</v>
      </c>
      <c r="AD2854" s="1" t="str">
        <f>IFERROR(IF(Final_Sans_VGE[[#This Row],[ppn_z]]="","",IFERROR(
   IF(_xlfn.XLOOKUP(Final_Sans_VGE[[#This Row],[ppn_z]],tbl_Historique_Final[[#This Row],[ppn_z]],tbl_Historique_Final[[#This Row],[date_modif]])=Final_Sans_VGE[[#This Row],[date_modif]],
      "Ancien",
      "Modifié"),
   "Nouveau")),"")</f>
        <v/>
      </c>
    </row>
    <row r="2855" spans="24:30" x14ac:dyDescent="0.25">
      <c r="X2855" s="8" t="e">
        <f>IF(Final_Sans_VGE[[#This Row],[ppn_z]]="","",IFERROR(
   IF(_xlfn.XLOOKUP(Final_Sans_VGE[[#This Row],[ppn_z]],tbl_Historique_Final[ppn_z],tbl_Historique_Final[date_modif])=Final_Sans_VGE[[#This Row],[date_modif]],
      "Ancien",
      "Modifié"),
   "Nouveau"))</f>
        <v>#VALUE!</v>
      </c>
      <c r="AD2855" s="1" t="str">
        <f>IFERROR(IF(Final_Sans_VGE[[#This Row],[ppn_z]]="","",IFERROR(
   IF(_xlfn.XLOOKUP(Final_Sans_VGE[[#This Row],[ppn_z]],tbl_Historique_Final[[#This Row],[ppn_z]],tbl_Historique_Final[[#This Row],[date_modif]])=Final_Sans_VGE[[#This Row],[date_modif]],
      "Ancien",
      "Modifié"),
   "Nouveau")),"")</f>
        <v/>
      </c>
    </row>
    <row r="2856" spans="24:30" x14ac:dyDescent="0.25">
      <c r="X2856" s="8" t="e">
        <f>IF(Final_Sans_VGE[[#This Row],[ppn_z]]="","",IFERROR(
   IF(_xlfn.XLOOKUP(Final_Sans_VGE[[#This Row],[ppn_z]],tbl_Historique_Final[ppn_z],tbl_Historique_Final[date_modif])=Final_Sans_VGE[[#This Row],[date_modif]],
      "Ancien",
      "Modifié"),
   "Nouveau"))</f>
        <v>#VALUE!</v>
      </c>
      <c r="AD2856" s="1" t="str">
        <f>IFERROR(IF(Final_Sans_VGE[[#This Row],[ppn_z]]="","",IFERROR(
   IF(_xlfn.XLOOKUP(Final_Sans_VGE[[#This Row],[ppn_z]],tbl_Historique_Final[[#This Row],[ppn_z]],tbl_Historique_Final[[#This Row],[date_modif]])=Final_Sans_VGE[[#This Row],[date_modif]],
      "Ancien",
      "Modifié"),
   "Nouveau")),"")</f>
        <v/>
      </c>
    </row>
    <row r="2857" spans="24:30" x14ac:dyDescent="0.25">
      <c r="X2857" s="8" t="e">
        <f>IF(Final_Sans_VGE[[#This Row],[ppn_z]]="","",IFERROR(
   IF(_xlfn.XLOOKUP(Final_Sans_VGE[[#This Row],[ppn_z]],tbl_Historique_Final[ppn_z],tbl_Historique_Final[date_modif])=Final_Sans_VGE[[#This Row],[date_modif]],
      "Ancien",
      "Modifié"),
   "Nouveau"))</f>
        <v>#VALUE!</v>
      </c>
      <c r="AD2857" s="1" t="str">
        <f>IFERROR(IF(Final_Sans_VGE[[#This Row],[ppn_z]]="","",IFERROR(
   IF(_xlfn.XLOOKUP(Final_Sans_VGE[[#This Row],[ppn_z]],tbl_Historique_Final[[#This Row],[ppn_z]],tbl_Historique_Final[[#This Row],[date_modif]])=Final_Sans_VGE[[#This Row],[date_modif]],
      "Ancien",
      "Modifié"),
   "Nouveau")),"")</f>
        <v/>
      </c>
    </row>
    <row r="2858" spans="24:30" x14ac:dyDescent="0.25">
      <c r="X2858" s="8" t="e">
        <f>IF(Final_Sans_VGE[[#This Row],[ppn_z]]="","",IFERROR(
   IF(_xlfn.XLOOKUP(Final_Sans_VGE[[#This Row],[ppn_z]],tbl_Historique_Final[ppn_z],tbl_Historique_Final[date_modif])=Final_Sans_VGE[[#This Row],[date_modif]],
      "Ancien",
      "Modifié"),
   "Nouveau"))</f>
        <v>#VALUE!</v>
      </c>
      <c r="AD2858" s="1" t="str">
        <f>IFERROR(IF(Final_Sans_VGE[[#This Row],[ppn_z]]="","",IFERROR(
   IF(_xlfn.XLOOKUP(Final_Sans_VGE[[#This Row],[ppn_z]],tbl_Historique_Final[[#This Row],[ppn_z]],tbl_Historique_Final[[#This Row],[date_modif]])=Final_Sans_VGE[[#This Row],[date_modif]],
      "Ancien",
      "Modifié"),
   "Nouveau")),"")</f>
        <v/>
      </c>
    </row>
    <row r="2859" spans="24:30" x14ac:dyDescent="0.25">
      <c r="X2859" s="8" t="e">
        <f>IF(Final_Sans_VGE[[#This Row],[ppn_z]]="","",IFERROR(
   IF(_xlfn.XLOOKUP(Final_Sans_VGE[[#This Row],[ppn_z]],tbl_Historique_Final[ppn_z],tbl_Historique_Final[date_modif])=Final_Sans_VGE[[#This Row],[date_modif]],
      "Ancien",
      "Modifié"),
   "Nouveau"))</f>
        <v>#VALUE!</v>
      </c>
      <c r="AD2859" s="1" t="str">
        <f>IFERROR(IF(Final_Sans_VGE[[#This Row],[ppn_z]]="","",IFERROR(
   IF(_xlfn.XLOOKUP(Final_Sans_VGE[[#This Row],[ppn_z]],tbl_Historique_Final[[#This Row],[ppn_z]],tbl_Historique_Final[[#This Row],[date_modif]])=Final_Sans_VGE[[#This Row],[date_modif]],
      "Ancien",
      "Modifié"),
   "Nouveau")),"")</f>
        <v/>
      </c>
    </row>
    <row r="2860" spans="24:30" x14ac:dyDescent="0.25">
      <c r="X2860" s="8" t="e">
        <f>IF(Final_Sans_VGE[[#This Row],[ppn_z]]="","",IFERROR(
   IF(_xlfn.XLOOKUP(Final_Sans_VGE[[#This Row],[ppn_z]],tbl_Historique_Final[ppn_z],tbl_Historique_Final[date_modif])=Final_Sans_VGE[[#This Row],[date_modif]],
      "Ancien",
      "Modifié"),
   "Nouveau"))</f>
        <v>#VALUE!</v>
      </c>
      <c r="AD2860" s="1" t="str">
        <f>IFERROR(IF(Final_Sans_VGE[[#This Row],[ppn_z]]="","",IFERROR(
   IF(_xlfn.XLOOKUP(Final_Sans_VGE[[#This Row],[ppn_z]],tbl_Historique_Final[[#This Row],[ppn_z]],tbl_Historique_Final[[#This Row],[date_modif]])=Final_Sans_VGE[[#This Row],[date_modif]],
      "Ancien",
      "Modifié"),
   "Nouveau")),"")</f>
        <v/>
      </c>
    </row>
    <row r="2861" spans="24:30" x14ac:dyDescent="0.25">
      <c r="X2861" s="8" t="e">
        <f>IF(Final_Sans_VGE[[#This Row],[ppn_z]]="","",IFERROR(
   IF(_xlfn.XLOOKUP(Final_Sans_VGE[[#This Row],[ppn_z]],tbl_Historique_Final[ppn_z],tbl_Historique_Final[date_modif])=Final_Sans_VGE[[#This Row],[date_modif]],
      "Ancien",
      "Modifié"),
   "Nouveau"))</f>
        <v>#VALUE!</v>
      </c>
      <c r="AD2861" s="1" t="str">
        <f>IFERROR(IF(Final_Sans_VGE[[#This Row],[ppn_z]]="","",IFERROR(
   IF(_xlfn.XLOOKUP(Final_Sans_VGE[[#This Row],[ppn_z]],tbl_Historique_Final[[#This Row],[ppn_z]],tbl_Historique_Final[[#This Row],[date_modif]])=Final_Sans_VGE[[#This Row],[date_modif]],
      "Ancien",
      "Modifié"),
   "Nouveau")),"")</f>
        <v/>
      </c>
    </row>
    <row r="2862" spans="24:30" x14ac:dyDescent="0.25">
      <c r="X2862" s="8" t="e">
        <f>IF(Final_Sans_VGE[[#This Row],[ppn_z]]="","",IFERROR(
   IF(_xlfn.XLOOKUP(Final_Sans_VGE[[#This Row],[ppn_z]],tbl_Historique_Final[ppn_z],tbl_Historique_Final[date_modif])=Final_Sans_VGE[[#This Row],[date_modif]],
      "Ancien",
      "Modifié"),
   "Nouveau"))</f>
        <v>#VALUE!</v>
      </c>
      <c r="AD2862" s="1" t="str">
        <f>IFERROR(IF(Final_Sans_VGE[[#This Row],[ppn_z]]="","",IFERROR(
   IF(_xlfn.XLOOKUP(Final_Sans_VGE[[#This Row],[ppn_z]],tbl_Historique_Final[[#This Row],[ppn_z]],tbl_Historique_Final[[#This Row],[date_modif]])=Final_Sans_VGE[[#This Row],[date_modif]],
      "Ancien",
      "Modifié"),
   "Nouveau")),"")</f>
        <v/>
      </c>
    </row>
    <row r="2863" spans="24:30" x14ac:dyDescent="0.25">
      <c r="X2863" s="8" t="e">
        <f>IF(Final_Sans_VGE[[#This Row],[ppn_z]]="","",IFERROR(
   IF(_xlfn.XLOOKUP(Final_Sans_VGE[[#This Row],[ppn_z]],tbl_Historique_Final[ppn_z],tbl_Historique_Final[date_modif])=Final_Sans_VGE[[#This Row],[date_modif]],
      "Ancien",
      "Modifié"),
   "Nouveau"))</f>
        <v>#VALUE!</v>
      </c>
      <c r="AD2863" s="1" t="str">
        <f>IFERROR(IF(Final_Sans_VGE[[#This Row],[ppn_z]]="","",IFERROR(
   IF(_xlfn.XLOOKUP(Final_Sans_VGE[[#This Row],[ppn_z]],tbl_Historique_Final[[#This Row],[ppn_z]],tbl_Historique_Final[[#This Row],[date_modif]])=Final_Sans_VGE[[#This Row],[date_modif]],
      "Ancien",
      "Modifié"),
   "Nouveau")),"")</f>
        <v/>
      </c>
    </row>
    <row r="2864" spans="24:30" x14ac:dyDescent="0.25">
      <c r="X2864" s="8" t="e">
        <f>IF(Final_Sans_VGE[[#This Row],[ppn_z]]="","",IFERROR(
   IF(_xlfn.XLOOKUP(Final_Sans_VGE[[#This Row],[ppn_z]],tbl_Historique_Final[ppn_z],tbl_Historique_Final[date_modif])=Final_Sans_VGE[[#This Row],[date_modif]],
      "Ancien",
      "Modifié"),
   "Nouveau"))</f>
        <v>#VALUE!</v>
      </c>
      <c r="AD2864" s="1" t="str">
        <f>IFERROR(IF(Final_Sans_VGE[[#This Row],[ppn_z]]="","",IFERROR(
   IF(_xlfn.XLOOKUP(Final_Sans_VGE[[#This Row],[ppn_z]],tbl_Historique_Final[[#This Row],[ppn_z]],tbl_Historique_Final[[#This Row],[date_modif]])=Final_Sans_VGE[[#This Row],[date_modif]],
      "Ancien",
      "Modifié"),
   "Nouveau")),"")</f>
        <v/>
      </c>
    </row>
    <row r="2865" spans="24:30" x14ac:dyDescent="0.25">
      <c r="X2865" s="8" t="e">
        <f>IF(Final_Sans_VGE[[#This Row],[ppn_z]]="","",IFERROR(
   IF(_xlfn.XLOOKUP(Final_Sans_VGE[[#This Row],[ppn_z]],tbl_Historique_Final[ppn_z],tbl_Historique_Final[date_modif])=Final_Sans_VGE[[#This Row],[date_modif]],
      "Ancien",
      "Modifié"),
   "Nouveau"))</f>
        <v>#VALUE!</v>
      </c>
      <c r="AD2865" s="1" t="str">
        <f>IFERROR(IF(Final_Sans_VGE[[#This Row],[ppn_z]]="","",IFERROR(
   IF(_xlfn.XLOOKUP(Final_Sans_VGE[[#This Row],[ppn_z]],tbl_Historique_Final[[#This Row],[ppn_z]],tbl_Historique_Final[[#This Row],[date_modif]])=Final_Sans_VGE[[#This Row],[date_modif]],
      "Ancien",
      "Modifié"),
   "Nouveau")),"")</f>
        <v/>
      </c>
    </row>
    <row r="2866" spans="24:30" x14ac:dyDescent="0.25">
      <c r="X2866" s="8" t="e">
        <f>IF(Final_Sans_VGE[[#This Row],[ppn_z]]="","",IFERROR(
   IF(_xlfn.XLOOKUP(Final_Sans_VGE[[#This Row],[ppn_z]],tbl_Historique_Final[ppn_z],tbl_Historique_Final[date_modif])=Final_Sans_VGE[[#This Row],[date_modif]],
      "Ancien",
      "Modifié"),
   "Nouveau"))</f>
        <v>#VALUE!</v>
      </c>
      <c r="AD2866" s="1" t="str">
        <f>IFERROR(IF(Final_Sans_VGE[[#This Row],[ppn_z]]="","",IFERROR(
   IF(_xlfn.XLOOKUP(Final_Sans_VGE[[#This Row],[ppn_z]],tbl_Historique_Final[[#This Row],[ppn_z]],tbl_Historique_Final[[#This Row],[date_modif]])=Final_Sans_VGE[[#This Row],[date_modif]],
      "Ancien",
      "Modifié"),
   "Nouveau")),"")</f>
        <v/>
      </c>
    </row>
    <row r="2867" spans="24:30" x14ac:dyDescent="0.25">
      <c r="X2867" s="8" t="e">
        <f>IF(Final_Sans_VGE[[#This Row],[ppn_z]]="","",IFERROR(
   IF(_xlfn.XLOOKUP(Final_Sans_VGE[[#This Row],[ppn_z]],tbl_Historique_Final[ppn_z],tbl_Historique_Final[date_modif])=Final_Sans_VGE[[#This Row],[date_modif]],
      "Ancien",
      "Modifié"),
   "Nouveau"))</f>
        <v>#VALUE!</v>
      </c>
      <c r="AD2867" s="1" t="str">
        <f>IFERROR(IF(Final_Sans_VGE[[#This Row],[ppn_z]]="","",IFERROR(
   IF(_xlfn.XLOOKUP(Final_Sans_VGE[[#This Row],[ppn_z]],tbl_Historique_Final[[#This Row],[ppn_z]],tbl_Historique_Final[[#This Row],[date_modif]])=Final_Sans_VGE[[#This Row],[date_modif]],
      "Ancien",
      "Modifié"),
   "Nouveau")),"")</f>
        <v/>
      </c>
    </row>
    <row r="2868" spans="24:30" x14ac:dyDescent="0.25">
      <c r="X2868" s="8" t="e">
        <f>IF(Final_Sans_VGE[[#This Row],[ppn_z]]="","",IFERROR(
   IF(_xlfn.XLOOKUP(Final_Sans_VGE[[#This Row],[ppn_z]],tbl_Historique_Final[ppn_z],tbl_Historique_Final[date_modif])=Final_Sans_VGE[[#This Row],[date_modif]],
      "Ancien",
      "Modifié"),
   "Nouveau"))</f>
        <v>#VALUE!</v>
      </c>
      <c r="AD2868" s="1" t="str">
        <f>IFERROR(IF(Final_Sans_VGE[[#This Row],[ppn_z]]="","",IFERROR(
   IF(_xlfn.XLOOKUP(Final_Sans_VGE[[#This Row],[ppn_z]],tbl_Historique_Final[[#This Row],[ppn_z]],tbl_Historique_Final[[#This Row],[date_modif]])=Final_Sans_VGE[[#This Row],[date_modif]],
      "Ancien",
      "Modifié"),
   "Nouveau")),"")</f>
        <v/>
      </c>
    </row>
    <row r="2869" spans="24:30" x14ac:dyDescent="0.25">
      <c r="X2869" s="8" t="e">
        <f>IF(Final_Sans_VGE[[#This Row],[ppn_z]]="","",IFERROR(
   IF(_xlfn.XLOOKUP(Final_Sans_VGE[[#This Row],[ppn_z]],tbl_Historique_Final[ppn_z],tbl_Historique_Final[date_modif])=Final_Sans_VGE[[#This Row],[date_modif]],
      "Ancien",
      "Modifié"),
   "Nouveau"))</f>
        <v>#VALUE!</v>
      </c>
      <c r="AD2869" s="1" t="str">
        <f>IFERROR(IF(Final_Sans_VGE[[#This Row],[ppn_z]]="","",IFERROR(
   IF(_xlfn.XLOOKUP(Final_Sans_VGE[[#This Row],[ppn_z]],tbl_Historique_Final[[#This Row],[ppn_z]],tbl_Historique_Final[[#This Row],[date_modif]])=Final_Sans_VGE[[#This Row],[date_modif]],
      "Ancien",
      "Modifié"),
   "Nouveau")),"")</f>
        <v/>
      </c>
    </row>
    <row r="2870" spans="24:30" x14ac:dyDescent="0.25">
      <c r="X2870" s="8" t="e">
        <f>IF(Final_Sans_VGE[[#This Row],[ppn_z]]="","",IFERROR(
   IF(_xlfn.XLOOKUP(Final_Sans_VGE[[#This Row],[ppn_z]],tbl_Historique_Final[ppn_z],tbl_Historique_Final[date_modif])=Final_Sans_VGE[[#This Row],[date_modif]],
      "Ancien",
      "Modifié"),
   "Nouveau"))</f>
        <v>#VALUE!</v>
      </c>
      <c r="AD2870" s="1" t="str">
        <f>IFERROR(IF(Final_Sans_VGE[[#This Row],[ppn_z]]="","",IFERROR(
   IF(_xlfn.XLOOKUP(Final_Sans_VGE[[#This Row],[ppn_z]],tbl_Historique_Final[[#This Row],[ppn_z]],tbl_Historique_Final[[#This Row],[date_modif]])=Final_Sans_VGE[[#This Row],[date_modif]],
      "Ancien",
      "Modifié"),
   "Nouveau")),"")</f>
        <v/>
      </c>
    </row>
    <row r="2871" spans="24:30" x14ac:dyDescent="0.25">
      <c r="X2871" s="8" t="e">
        <f>IF(Final_Sans_VGE[[#This Row],[ppn_z]]="","",IFERROR(
   IF(_xlfn.XLOOKUP(Final_Sans_VGE[[#This Row],[ppn_z]],tbl_Historique_Final[ppn_z],tbl_Historique_Final[date_modif])=Final_Sans_VGE[[#This Row],[date_modif]],
      "Ancien",
      "Modifié"),
   "Nouveau"))</f>
        <v>#VALUE!</v>
      </c>
      <c r="AD2871" s="1" t="str">
        <f>IFERROR(IF(Final_Sans_VGE[[#This Row],[ppn_z]]="","",IFERROR(
   IF(_xlfn.XLOOKUP(Final_Sans_VGE[[#This Row],[ppn_z]],tbl_Historique_Final[[#This Row],[ppn_z]],tbl_Historique_Final[[#This Row],[date_modif]])=Final_Sans_VGE[[#This Row],[date_modif]],
      "Ancien",
      "Modifié"),
   "Nouveau")),"")</f>
        <v/>
      </c>
    </row>
    <row r="2872" spans="24:30" x14ac:dyDescent="0.25">
      <c r="X2872" s="8" t="e">
        <f>IF(Final_Sans_VGE[[#This Row],[ppn_z]]="","",IFERROR(
   IF(_xlfn.XLOOKUP(Final_Sans_VGE[[#This Row],[ppn_z]],tbl_Historique_Final[ppn_z],tbl_Historique_Final[date_modif])=Final_Sans_VGE[[#This Row],[date_modif]],
      "Ancien",
      "Modifié"),
   "Nouveau"))</f>
        <v>#VALUE!</v>
      </c>
      <c r="AD2872" s="1" t="str">
        <f>IFERROR(IF(Final_Sans_VGE[[#This Row],[ppn_z]]="","",IFERROR(
   IF(_xlfn.XLOOKUP(Final_Sans_VGE[[#This Row],[ppn_z]],tbl_Historique_Final[[#This Row],[ppn_z]],tbl_Historique_Final[[#This Row],[date_modif]])=Final_Sans_VGE[[#This Row],[date_modif]],
      "Ancien",
      "Modifié"),
   "Nouveau")),"")</f>
        <v/>
      </c>
    </row>
    <row r="2873" spans="24:30" x14ac:dyDescent="0.25">
      <c r="X2873" s="8" t="e">
        <f>IF(Final_Sans_VGE[[#This Row],[ppn_z]]="","",IFERROR(
   IF(_xlfn.XLOOKUP(Final_Sans_VGE[[#This Row],[ppn_z]],tbl_Historique_Final[ppn_z],tbl_Historique_Final[date_modif])=Final_Sans_VGE[[#This Row],[date_modif]],
      "Ancien",
      "Modifié"),
   "Nouveau"))</f>
        <v>#VALUE!</v>
      </c>
      <c r="AD2873" s="1" t="str">
        <f>IFERROR(IF(Final_Sans_VGE[[#This Row],[ppn_z]]="","",IFERROR(
   IF(_xlfn.XLOOKUP(Final_Sans_VGE[[#This Row],[ppn_z]],tbl_Historique_Final[[#This Row],[ppn_z]],tbl_Historique_Final[[#This Row],[date_modif]])=Final_Sans_VGE[[#This Row],[date_modif]],
      "Ancien",
      "Modifié"),
   "Nouveau")),"")</f>
        <v/>
      </c>
    </row>
    <row r="2874" spans="24:30" x14ac:dyDescent="0.25">
      <c r="X2874" s="8" t="e">
        <f>IF(Final_Sans_VGE[[#This Row],[ppn_z]]="","",IFERROR(
   IF(_xlfn.XLOOKUP(Final_Sans_VGE[[#This Row],[ppn_z]],tbl_Historique_Final[ppn_z],tbl_Historique_Final[date_modif])=Final_Sans_VGE[[#This Row],[date_modif]],
      "Ancien",
      "Modifié"),
   "Nouveau"))</f>
        <v>#VALUE!</v>
      </c>
      <c r="AD2874" s="1" t="str">
        <f>IFERROR(IF(Final_Sans_VGE[[#This Row],[ppn_z]]="","",IFERROR(
   IF(_xlfn.XLOOKUP(Final_Sans_VGE[[#This Row],[ppn_z]],tbl_Historique_Final[[#This Row],[ppn_z]],tbl_Historique_Final[[#This Row],[date_modif]])=Final_Sans_VGE[[#This Row],[date_modif]],
      "Ancien",
      "Modifié"),
   "Nouveau")),"")</f>
        <v/>
      </c>
    </row>
    <row r="2875" spans="24:30" x14ac:dyDescent="0.25">
      <c r="X2875" s="8" t="e">
        <f>IF(Final_Sans_VGE[[#This Row],[ppn_z]]="","",IFERROR(
   IF(_xlfn.XLOOKUP(Final_Sans_VGE[[#This Row],[ppn_z]],tbl_Historique_Final[ppn_z],tbl_Historique_Final[date_modif])=Final_Sans_VGE[[#This Row],[date_modif]],
      "Ancien",
      "Modifié"),
   "Nouveau"))</f>
        <v>#VALUE!</v>
      </c>
      <c r="AD2875" s="1" t="str">
        <f>IFERROR(IF(Final_Sans_VGE[[#This Row],[ppn_z]]="","",IFERROR(
   IF(_xlfn.XLOOKUP(Final_Sans_VGE[[#This Row],[ppn_z]],tbl_Historique_Final[[#This Row],[ppn_z]],tbl_Historique_Final[[#This Row],[date_modif]])=Final_Sans_VGE[[#This Row],[date_modif]],
      "Ancien",
      "Modifié"),
   "Nouveau")),"")</f>
        <v/>
      </c>
    </row>
    <row r="2876" spans="24:30" x14ac:dyDescent="0.25">
      <c r="X2876" s="8" t="e">
        <f>IF(Final_Sans_VGE[[#This Row],[ppn_z]]="","",IFERROR(
   IF(_xlfn.XLOOKUP(Final_Sans_VGE[[#This Row],[ppn_z]],tbl_Historique_Final[ppn_z],tbl_Historique_Final[date_modif])=Final_Sans_VGE[[#This Row],[date_modif]],
      "Ancien",
      "Modifié"),
   "Nouveau"))</f>
        <v>#VALUE!</v>
      </c>
      <c r="AD2876" s="1" t="str">
        <f>IFERROR(IF(Final_Sans_VGE[[#This Row],[ppn_z]]="","",IFERROR(
   IF(_xlfn.XLOOKUP(Final_Sans_VGE[[#This Row],[ppn_z]],tbl_Historique_Final[[#This Row],[ppn_z]],tbl_Historique_Final[[#This Row],[date_modif]])=Final_Sans_VGE[[#This Row],[date_modif]],
      "Ancien",
      "Modifié"),
   "Nouveau")),"")</f>
        <v/>
      </c>
    </row>
    <row r="2877" spans="24:30" x14ac:dyDescent="0.25">
      <c r="X2877" s="8" t="e">
        <f>IF(Final_Sans_VGE[[#This Row],[ppn_z]]="","",IFERROR(
   IF(_xlfn.XLOOKUP(Final_Sans_VGE[[#This Row],[ppn_z]],tbl_Historique_Final[ppn_z],tbl_Historique_Final[date_modif])=Final_Sans_VGE[[#This Row],[date_modif]],
      "Ancien",
      "Modifié"),
   "Nouveau"))</f>
        <v>#VALUE!</v>
      </c>
      <c r="AD2877" s="1" t="str">
        <f>IFERROR(IF(Final_Sans_VGE[[#This Row],[ppn_z]]="","",IFERROR(
   IF(_xlfn.XLOOKUP(Final_Sans_VGE[[#This Row],[ppn_z]],tbl_Historique_Final[[#This Row],[ppn_z]],tbl_Historique_Final[[#This Row],[date_modif]])=Final_Sans_VGE[[#This Row],[date_modif]],
      "Ancien",
      "Modifié"),
   "Nouveau")),"")</f>
        <v/>
      </c>
    </row>
    <row r="2878" spans="24:30" x14ac:dyDescent="0.25">
      <c r="X2878" s="8" t="e">
        <f>IF(Final_Sans_VGE[[#This Row],[ppn_z]]="","",IFERROR(
   IF(_xlfn.XLOOKUP(Final_Sans_VGE[[#This Row],[ppn_z]],tbl_Historique_Final[ppn_z],tbl_Historique_Final[date_modif])=Final_Sans_VGE[[#This Row],[date_modif]],
      "Ancien",
      "Modifié"),
   "Nouveau"))</f>
        <v>#VALUE!</v>
      </c>
      <c r="AD2878" s="1" t="str">
        <f>IFERROR(IF(Final_Sans_VGE[[#This Row],[ppn_z]]="","",IFERROR(
   IF(_xlfn.XLOOKUP(Final_Sans_VGE[[#This Row],[ppn_z]],tbl_Historique_Final[[#This Row],[ppn_z]],tbl_Historique_Final[[#This Row],[date_modif]])=Final_Sans_VGE[[#This Row],[date_modif]],
      "Ancien",
      "Modifié"),
   "Nouveau")),"")</f>
        <v/>
      </c>
    </row>
    <row r="2879" spans="24:30" x14ac:dyDescent="0.25">
      <c r="X2879" s="8" t="e">
        <f>IF(Final_Sans_VGE[[#This Row],[ppn_z]]="","",IFERROR(
   IF(_xlfn.XLOOKUP(Final_Sans_VGE[[#This Row],[ppn_z]],tbl_Historique_Final[ppn_z],tbl_Historique_Final[date_modif])=Final_Sans_VGE[[#This Row],[date_modif]],
      "Ancien",
      "Modifié"),
   "Nouveau"))</f>
        <v>#VALUE!</v>
      </c>
      <c r="AD2879" s="1" t="str">
        <f>IFERROR(IF(Final_Sans_VGE[[#This Row],[ppn_z]]="","",IFERROR(
   IF(_xlfn.XLOOKUP(Final_Sans_VGE[[#This Row],[ppn_z]],tbl_Historique_Final[[#This Row],[ppn_z]],tbl_Historique_Final[[#This Row],[date_modif]])=Final_Sans_VGE[[#This Row],[date_modif]],
      "Ancien",
      "Modifié"),
   "Nouveau")),"")</f>
        <v/>
      </c>
    </row>
    <row r="2880" spans="24:30" x14ac:dyDescent="0.25">
      <c r="X2880" s="8" t="e">
        <f>IF(Final_Sans_VGE[[#This Row],[ppn_z]]="","",IFERROR(
   IF(_xlfn.XLOOKUP(Final_Sans_VGE[[#This Row],[ppn_z]],tbl_Historique_Final[ppn_z],tbl_Historique_Final[date_modif])=Final_Sans_VGE[[#This Row],[date_modif]],
      "Ancien",
      "Modifié"),
   "Nouveau"))</f>
        <v>#VALUE!</v>
      </c>
      <c r="AD2880" s="1" t="str">
        <f>IFERROR(IF(Final_Sans_VGE[[#This Row],[ppn_z]]="","",IFERROR(
   IF(_xlfn.XLOOKUP(Final_Sans_VGE[[#This Row],[ppn_z]],tbl_Historique_Final[[#This Row],[ppn_z]],tbl_Historique_Final[[#This Row],[date_modif]])=Final_Sans_VGE[[#This Row],[date_modif]],
      "Ancien",
      "Modifié"),
   "Nouveau")),"")</f>
        <v/>
      </c>
    </row>
    <row r="2881" spans="24:30" x14ac:dyDescent="0.25">
      <c r="X2881" s="8" t="e">
        <f>IF(Final_Sans_VGE[[#This Row],[ppn_z]]="","",IFERROR(
   IF(_xlfn.XLOOKUP(Final_Sans_VGE[[#This Row],[ppn_z]],tbl_Historique_Final[ppn_z],tbl_Historique_Final[date_modif])=Final_Sans_VGE[[#This Row],[date_modif]],
      "Ancien",
      "Modifié"),
   "Nouveau"))</f>
        <v>#VALUE!</v>
      </c>
      <c r="AD2881" s="1" t="str">
        <f>IFERROR(IF(Final_Sans_VGE[[#This Row],[ppn_z]]="","",IFERROR(
   IF(_xlfn.XLOOKUP(Final_Sans_VGE[[#This Row],[ppn_z]],tbl_Historique_Final[[#This Row],[ppn_z]],tbl_Historique_Final[[#This Row],[date_modif]])=Final_Sans_VGE[[#This Row],[date_modif]],
      "Ancien",
      "Modifié"),
   "Nouveau")),"")</f>
        <v/>
      </c>
    </row>
    <row r="2882" spans="24:30" x14ac:dyDescent="0.25">
      <c r="X2882" s="8" t="e">
        <f>IF(Final_Sans_VGE[[#This Row],[ppn_z]]="","",IFERROR(
   IF(_xlfn.XLOOKUP(Final_Sans_VGE[[#This Row],[ppn_z]],tbl_Historique_Final[ppn_z],tbl_Historique_Final[date_modif])=Final_Sans_VGE[[#This Row],[date_modif]],
      "Ancien",
      "Modifié"),
   "Nouveau"))</f>
        <v>#VALUE!</v>
      </c>
      <c r="AD2882" s="1" t="str">
        <f>IFERROR(IF(Final_Sans_VGE[[#This Row],[ppn_z]]="","",IFERROR(
   IF(_xlfn.XLOOKUP(Final_Sans_VGE[[#This Row],[ppn_z]],tbl_Historique_Final[[#This Row],[ppn_z]],tbl_Historique_Final[[#This Row],[date_modif]])=Final_Sans_VGE[[#This Row],[date_modif]],
      "Ancien",
      "Modifié"),
   "Nouveau")),"")</f>
        <v/>
      </c>
    </row>
    <row r="2883" spans="24:30" x14ac:dyDescent="0.25">
      <c r="X2883" s="8" t="e">
        <f>IF(Final_Sans_VGE[[#This Row],[ppn_z]]="","",IFERROR(
   IF(_xlfn.XLOOKUP(Final_Sans_VGE[[#This Row],[ppn_z]],tbl_Historique_Final[ppn_z],tbl_Historique_Final[date_modif])=Final_Sans_VGE[[#This Row],[date_modif]],
      "Ancien",
      "Modifié"),
   "Nouveau"))</f>
        <v>#VALUE!</v>
      </c>
      <c r="AD2883" s="1" t="str">
        <f>IFERROR(IF(Final_Sans_VGE[[#This Row],[ppn_z]]="","",IFERROR(
   IF(_xlfn.XLOOKUP(Final_Sans_VGE[[#This Row],[ppn_z]],tbl_Historique_Final[[#This Row],[ppn_z]],tbl_Historique_Final[[#This Row],[date_modif]])=Final_Sans_VGE[[#This Row],[date_modif]],
      "Ancien",
      "Modifié"),
   "Nouveau")),"")</f>
        <v/>
      </c>
    </row>
    <row r="2884" spans="24:30" x14ac:dyDescent="0.25">
      <c r="X2884" s="8" t="e">
        <f>IF(Final_Sans_VGE[[#This Row],[ppn_z]]="","",IFERROR(
   IF(_xlfn.XLOOKUP(Final_Sans_VGE[[#This Row],[ppn_z]],tbl_Historique_Final[ppn_z],tbl_Historique_Final[date_modif])=Final_Sans_VGE[[#This Row],[date_modif]],
      "Ancien",
      "Modifié"),
   "Nouveau"))</f>
        <v>#VALUE!</v>
      </c>
      <c r="AD2884" s="1" t="str">
        <f>IFERROR(IF(Final_Sans_VGE[[#This Row],[ppn_z]]="","",IFERROR(
   IF(_xlfn.XLOOKUP(Final_Sans_VGE[[#This Row],[ppn_z]],tbl_Historique_Final[[#This Row],[ppn_z]],tbl_Historique_Final[[#This Row],[date_modif]])=Final_Sans_VGE[[#This Row],[date_modif]],
      "Ancien",
      "Modifié"),
   "Nouveau")),"")</f>
        <v/>
      </c>
    </row>
    <row r="2885" spans="24:30" x14ac:dyDescent="0.25">
      <c r="X2885" s="8" t="e">
        <f>IF(Final_Sans_VGE[[#This Row],[ppn_z]]="","",IFERROR(
   IF(_xlfn.XLOOKUP(Final_Sans_VGE[[#This Row],[ppn_z]],tbl_Historique_Final[ppn_z],tbl_Historique_Final[date_modif])=Final_Sans_VGE[[#This Row],[date_modif]],
      "Ancien",
      "Modifié"),
   "Nouveau"))</f>
        <v>#VALUE!</v>
      </c>
      <c r="AD2885" s="1" t="str">
        <f>IFERROR(IF(Final_Sans_VGE[[#This Row],[ppn_z]]="","",IFERROR(
   IF(_xlfn.XLOOKUP(Final_Sans_VGE[[#This Row],[ppn_z]],tbl_Historique_Final[[#This Row],[ppn_z]],tbl_Historique_Final[[#This Row],[date_modif]])=Final_Sans_VGE[[#This Row],[date_modif]],
      "Ancien",
      "Modifié"),
   "Nouveau")),"")</f>
        <v/>
      </c>
    </row>
    <row r="2886" spans="24:30" x14ac:dyDescent="0.25">
      <c r="X2886" s="8" t="e">
        <f>IF(Final_Sans_VGE[[#This Row],[ppn_z]]="","",IFERROR(
   IF(_xlfn.XLOOKUP(Final_Sans_VGE[[#This Row],[ppn_z]],tbl_Historique_Final[ppn_z],tbl_Historique_Final[date_modif])=Final_Sans_VGE[[#This Row],[date_modif]],
      "Ancien",
      "Modifié"),
   "Nouveau"))</f>
        <v>#VALUE!</v>
      </c>
      <c r="AD2886" s="1" t="str">
        <f>IFERROR(IF(Final_Sans_VGE[[#This Row],[ppn_z]]="","",IFERROR(
   IF(_xlfn.XLOOKUP(Final_Sans_VGE[[#This Row],[ppn_z]],tbl_Historique_Final[[#This Row],[ppn_z]],tbl_Historique_Final[[#This Row],[date_modif]])=Final_Sans_VGE[[#This Row],[date_modif]],
      "Ancien",
      "Modifié"),
   "Nouveau")),"")</f>
        <v/>
      </c>
    </row>
    <row r="2887" spans="24:30" x14ac:dyDescent="0.25">
      <c r="X2887" s="8" t="e">
        <f>IF(Final_Sans_VGE[[#This Row],[ppn_z]]="","",IFERROR(
   IF(_xlfn.XLOOKUP(Final_Sans_VGE[[#This Row],[ppn_z]],tbl_Historique_Final[ppn_z],tbl_Historique_Final[date_modif])=Final_Sans_VGE[[#This Row],[date_modif]],
      "Ancien",
      "Modifié"),
   "Nouveau"))</f>
        <v>#VALUE!</v>
      </c>
      <c r="AD2887" s="1" t="str">
        <f>IFERROR(IF(Final_Sans_VGE[[#This Row],[ppn_z]]="","",IFERROR(
   IF(_xlfn.XLOOKUP(Final_Sans_VGE[[#This Row],[ppn_z]],tbl_Historique_Final[[#This Row],[ppn_z]],tbl_Historique_Final[[#This Row],[date_modif]])=Final_Sans_VGE[[#This Row],[date_modif]],
      "Ancien",
      "Modifié"),
   "Nouveau")),"")</f>
        <v/>
      </c>
    </row>
    <row r="2888" spans="24:30" x14ac:dyDescent="0.25">
      <c r="X2888" s="8" t="e">
        <f>IF(Final_Sans_VGE[[#This Row],[ppn_z]]="","",IFERROR(
   IF(_xlfn.XLOOKUP(Final_Sans_VGE[[#This Row],[ppn_z]],tbl_Historique_Final[ppn_z],tbl_Historique_Final[date_modif])=Final_Sans_VGE[[#This Row],[date_modif]],
      "Ancien",
      "Modifié"),
   "Nouveau"))</f>
        <v>#VALUE!</v>
      </c>
      <c r="AD2888" s="1" t="str">
        <f>IFERROR(IF(Final_Sans_VGE[[#This Row],[ppn_z]]="","",IFERROR(
   IF(_xlfn.XLOOKUP(Final_Sans_VGE[[#This Row],[ppn_z]],tbl_Historique_Final[[#This Row],[ppn_z]],tbl_Historique_Final[[#This Row],[date_modif]])=Final_Sans_VGE[[#This Row],[date_modif]],
      "Ancien",
      "Modifié"),
   "Nouveau")),"")</f>
        <v/>
      </c>
    </row>
    <row r="2889" spans="24:30" x14ac:dyDescent="0.25">
      <c r="X2889" s="8" t="e">
        <f>IF(Final_Sans_VGE[[#This Row],[ppn_z]]="","",IFERROR(
   IF(_xlfn.XLOOKUP(Final_Sans_VGE[[#This Row],[ppn_z]],tbl_Historique_Final[ppn_z],tbl_Historique_Final[date_modif])=Final_Sans_VGE[[#This Row],[date_modif]],
      "Ancien",
      "Modifié"),
   "Nouveau"))</f>
        <v>#VALUE!</v>
      </c>
      <c r="AD2889" s="1" t="str">
        <f>IFERROR(IF(Final_Sans_VGE[[#This Row],[ppn_z]]="","",IFERROR(
   IF(_xlfn.XLOOKUP(Final_Sans_VGE[[#This Row],[ppn_z]],tbl_Historique_Final[[#This Row],[ppn_z]],tbl_Historique_Final[[#This Row],[date_modif]])=Final_Sans_VGE[[#This Row],[date_modif]],
      "Ancien",
      "Modifié"),
   "Nouveau")),"")</f>
        <v/>
      </c>
    </row>
    <row r="2890" spans="24:30" x14ac:dyDescent="0.25">
      <c r="X2890" s="8" t="e">
        <f>IF(Final_Sans_VGE[[#This Row],[ppn_z]]="","",IFERROR(
   IF(_xlfn.XLOOKUP(Final_Sans_VGE[[#This Row],[ppn_z]],tbl_Historique_Final[ppn_z],tbl_Historique_Final[date_modif])=Final_Sans_VGE[[#This Row],[date_modif]],
      "Ancien",
      "Modifié"),
   "Nouveau"))</f>
        <v>#VALUE!</v>
      </c>
      <c r="AD2890" s="1" t="str">
        <f>IFERROR(IF(Final_Sans_VGE[[#This Row],[ppn_z]]="","",IFERROR(
   IF(_xlfn.XLOOKUP(Final_Sans_VGE[[#This Row],[ppn_z]],tbl_Historique_Final[[#This Row],[ppn_z]],tbl_Historique_Final[[#This Row],[date_modif]])=Final_Sans_VGE[[#This Row],[date_modif]],
      "Ancien",
      "Modifié"),
   "Nouveau")),"")</f>
        <v/>
      </c>
    </row>
    <row r="2891" spans="24:30" x14ac:dyDescent="0.25">
      <c r="X2891" s="8" t="e">
        <f>IF(Final_Sans_VGE[[#This Row],[ppn_z]]="","",IFERROR(
   IF(_xlfn.XLOOKUP(Final_Sans_VGE[[#This Row],[ppn_z]],tbl_Historique_Final[ppn_z],tbl_Historique_Final[date_modif])=Final_Sans_VGE[[#This Row],[date_modif]],
      "Ancien",
      "Modifié"),
   "Nouveau"))</f>
        <v>#VALUE!</v>
      </c>
      <c r="AD2891" s="1" t="str">
        <f>IFERROR(IF(Final_Sans_VGE[[#This Row],[ppn_z]]="","",IFERROR(
   IF(_xlfn.XLOOKUP(Final_Sans_VGE[[#This Row],[ppn_z]],tbl_Historique_Final[[#This Row],[ppn_z]],tbl_Historique_Final[[#This Row],[date_modif]])=Final_Sans_VGE[[#This Row],[date_modif]],
      "Ancien",
      "Modifié"),
   "Nouveau")),"")</f>
        <v/>
      </c>
    </row>
    <row r="2892" spans="24:30" x14ac:dyDescent="0.25">
      <c r="X2892" s="8" t="e">
        <f>IF(Final_Sans_VGE[[#This Row],[ppn_z]]="","",IFERROR(
   IF(_xlfn.XLOOKUP(Final_Sans_VGE[[#This Row],[ppn_z]],tbl_Historique_Final[ppn_z],tbl_Historique_Final[date_modif])=Final_Sans_VGE[[#This Row],[date_modif]],
      "Ancien",
      "Modifié"),
   "Nouveau"))</f>
        <v>#VALUE!</v>
      </c>
      <c r="AD2892" s="1" t="str">
        <f>IFERROR(IF(Final_Sans_VGE[[#This Row],[ppn_z]]="","",IFERROR(
   IF(_xlfn.XLOOKUP(Final_Sans_VGE[[#This Row],[ppn_z]],tbl_Historique_Final[[#This Row],[ppn_z]],tbl_Historique_Final[[#This Row],[date_modif]])=Final_Sans_VGE[[#This Row],[date_modif]],
      "Ancien",
      "Modifié"),
   "Nouveau")),"")</f>
        <v/>
      </c>
    </row>
    <row r="2893" spans="24:30" x14ac:dyDescent="0.25">
      <c r="X2893" s="8" t="e">
        <f>IF(Final_Sans_VGE[[#This Row],[ppn_z]]="","",IFERROR(
   IF(_xlfn.XLOOKUP(Final_Sans_VGE[[#This Row],[ppn_z]],tbl_Historique_Final[ppn_z],tbl_Historique_Final[date_modif])=Final_Sans_VGE[[#This Row],[date_modif]],
      "Ancien",
      "Modifié"),
   "Nouveau"))</f>
        <v>#VALUE!</v>
      </c>
      <c r="AD2893" s="1" t="str">
        <f>IFERROR(IF(Final_Sans_VGE[[#This Row],[ppn_z]]="","",IFERROR(
   IF(_xlfn.XLOOKUP(Final_Sans_VGE[[#This Row],[ppn_z]],tbl_Historique_Final[[#This Row],[ppn_z]],tbl_Historique_Final[[#This Row],[date_modif]])=Final_Sans_VGE[[#This Row],[date_modif]],
      "Ancien",
      "Modifié"),
   "Nouveau")),"")</f>
        <v/>
      </c>
    </row>
    <row r="2894" spans="24:30" x14ac:dyDescent="0.25">
      <c r="X2894" s="8" t="e">
        <f>IF(Final_Sans_VGE[[#This Row],[ppn_z]]="","",IFERROR(
   IF(_xlfn.XLOOKUP(Final_Sans_VGE[[#This Row],[ppn_z]],tbl_Historique_Final[ppn_z],tbl_Historique_Final[date_modif])=Final_Sans_VGE[[#This Row],[date_modif]],
      "Ancien",
      "Modifié"),
   "Nouveau"))</f>
        <v>#VALUE!</v>
      </c>
      <c r="AD2894" s="1" t="str">
        <f>IFERROR(IF(Final_Sans_VGE[[#This Row],[ppn_z]]="","",IFERROR(
   IF(_xlfn.XLOOKUP(Final_Sans_VGE[[#This Row],[ppn_z]],tbl_Historique_Final[[#This Row],[ppn_z]],tbl_Historique_Final[[#This Row],[date_modif]])=Final_Sans_VGE[[#This Row],[date_modif]],
      "Ancien",
      "Modifié"),
   "Nouveau")),"")</f>
        <v/>
      </c>
    </row>
    <row r="2895" spans="24:30" x14ac:dyDescent="0.25">
      <c r="X2895" s="8" t="e">
        <f>IF(Final_Sans_VGE[[#This Row],[ppn_z]]="","",IFERROR(
   IF(_xlfn.XLOOKUP(Final_Sans_VGE[[#This Row],[ppn_z]],tbl_Historique_Final[ppn_z],tbl_Historique_Final[date_modif])=Final_Sans_VGE[[#This Row],[date_modif]],
      "Ancien",
      "Modifié"),
   "Nouveau"))</f>
        <v>#VALUE!</v>
      </c>
      <c r="AD2895" s="1" t="str">
        <f>IFERROR(IF(Final_Sans_VGE[[#This Row],[ppn_z]]="","",IFERROR(
   IF(_xlfn.XLOOKUP(Final_Sans_VGE[[#This Row],[ppn_z]],tbl_Historique_Final[[#This Row],[ppn_z]],tbl_Historique_Final[[#This Row],[date_modif]])=Final_Sans_VGE[[#This Row],[date_modif]],
      "Ancien",
      "Modifié"),
   "Nouveau")),"")</f>
        <v/>
      </c>
    </row>
    <row r="2896" spans="24:30" x14ac:dyDescent="0.25">
      <c r="X2896" s="8" t="e">
        <f>IF(Final_Sans_VGE[[#This Row],[ppn_z]]="","",IFERROR(
   IF(_xlfn.XLOOKUP(Final_Sans_VGE[[#This Row],[ppn_z]],tbl_Historique_Final[ppn_z],tbl_Historique_Final[date_modif])=Final_Sans_VGE[[#This Row],[date_modif]],
      "Ancien",
      "Modifié"),
   "Nouveau"))</f>
        <v>#VALUE!</v>
      </c>
      <c r="AD2896" s="1" t="str">
        <f>IFERROR(IF(Final_Sans_VGE[[#This Row],[ppn_z]]="","",IFERROR(
   IF(_xlfn.XLOOKUP(Final_Sans_VGE[[#This Row],[ppn_z]],tbl_Historique_Final[[#This Row],[ppn_z]],tbl_Historique_Final[[#This Row],[date_modif]])=Final_Sans_VGE[[#This Row],[date_modif]],
      "Ancien",
      "Modifié"),
   "Nouveau")),"")</f>
        <v/>
      </c>
    </row>
    <row r="2897" spans="24:30" x14ac:dyDescent="0.25">
      <c r="X2897" s="8" t="e">
        <f>IF(Final_Sans_VGE[[#This Row],[ppn_z]]="","",IFERROR(
   IF(_xlfn.XLOOKUP(Final_Sans_VGE[[#This Row],[ppn_z]],tbl_Historique_Final[ppn_z],tbl_Historique_Final[date_modif])=Final_Sans_VGE[[#This Row],[date_modif]],
      "Ancien",
      "Modifié"),
   "Nouveau"))</f>
        <v>#VALUE!</v>
      </c>
      <c r="AD2897" s="1" t="str">
        <f>IFERROR(IF(Final_Sans_VGE[[#This Row],[ppn_z]]="","",IFERROR(
   IF(_xlfn.XLOOKUP(Final_Sans_VGE[[#This Row],[ppn_z]],tbl_Historique_Final[[#This Row],[ppn_z]],tbl_Historique_Final[[#This Row],[date_modif]])=Final_Sans_VGE[[#This Row],[date_modif]],
      "Ancien",
      "Modifié"),
   "Nouveau")),"")</f>
        <v/>
      </c>
    </row>
    <row r="2898" spans="24:30" x14ac:dyDescent="0.25">
      <c r="X2898" s="8" t="e">
        <f>IF(Final_Sans_VGE[[#This Row],[ppn_z]]="","",IFERROR(
   IF(_xlfn.XLOOKUP(Final_Sans_VGE[[#This Row],[ppn_z]],tbl_Historique_Final[ppn_z],tbl_Historique_Final[date_modif])=Final_Sans_VGE[[#This Row],[date_modif]],
      "Ancien",
      "Modifié"),
   "Nouveau"))</f>
        <v>#VALUE!</v>
      </c>
      <c r="AD2898" s="1" t="str">
        <f>IFERROR(IF(Final_Sans_VGE[[#This Row],[ppn_z]]="","",IFERROR(
   IF(_xlfn.XLOOKUP(Final_Sans_VGE[[#This Row],[ppn_z]],tbl_Historique_Final[[#This Row],[ppn_z]],tbl_Historique_Final[[#This Row],[date_modif]])=Final_Sans_VGE[[#This Row],[date_modif]],
      "Ancien",
      "Modifié"),
   "Nouveau")),"")</f>
        <v/>
      </c>
    </row>
    <row r="2899" spans="24:30" x14ac:dyDescent="0.25">
      <c r="X2899" s="8" t="e">
        <f>IF(Final_Sans_VGE[[#This Row],[ppn_z]]="","",IFERROR(
   IF(_xlfn.XLOOKUP(Final_Sans_VGE[[#This Row],[ppn_z]],tbl_Historique_Final[ppn_z],tbl_Historique_Final[date_modif])=Final_Sans_VGE[[#This Row],[date_modif]],
      "Ancien",
      "Modifié"),
   "Nouveau"))</f>
        <v>#VALUE!</v>
      </c>
      <c r="AD2899" s="1" t="str">
        <f>IFERROR(IF(Final_Sans_VGE[[#This Row],[ppn_z]]="","",IFERROR(
   IF(_xlfn.XLOOKUP(Final_Sans_VGE[[#This Row],[ppn_z]],tbl_Historique_Final[[#This Row],[ppn_z]],tbl_Historique_Final[[#This Row],[date_modif]])=Final_Sans_VGE[[#This Row],[date_modif]],
      "Ancien",
      "Modifié"),
   "Nouveau")),"")</f>
        <v/>
      </c>
    </row>
    <row r="2900" spans="24:30" x14ac:dyDescent="0.25">
      <c r="X2900" s="8" t="e">
        <f>IF(Final_Sans_VGE[[#This Row],[ppn_z]]="","",IFERROR(
   IF(_xlfn.XLOOKUP(Final_Sans_VGE[[#This Row],[ppn_z]],tbl_Historique_Final[ppn_z],tbl_Historique_Final[date_modif])=Final_Sans_VGE[[#This Row],[date_modif]],
      "Ancien",
      "Modifié"),
   "Nouveau"))</f>
        <v>#VALUE!</v>
      </c>
      <c r="AD2900" s="1" t="str">
        <f>IFERROR(IF(Final_Sans_VGE[[#This Row],[ppn_z]]="","",IFERROR(
   IF(_xlfn.XLOOKUP(Final_Sans_VGE[[#This Row],[ppn_z]],tbl_Historique_Final[[#This Row],[ppn_z]],tbl_Historique_Final[[#This Row],[date_modif]])=Final_Sans_VGE[[#This Row],[date_modif]],
      "Ancien",
      "Modifié"),
   "Nouveau")),"")</f>
        <v/>
      </c>
    </row>
    <row r="2901" spans="24:30" x14ac:dyDescent="0.25">
      <c r="X2901" s="8" t="e">
        <f>IF(Final_Sans_VGE[[#This Row],[ppn_z]]="","",IFERROR(
   IF(_xlfn.XLOOKUP(Final_Sans_VGE[[#This Row],[ppn_z]],tbl_Historique_Final[ppn_z],tbl_Historique_Final[date_modif])=Final_Sans_VGE[[#This Row],[date_modif]],
      "Ancien",
      "Modifié"),
   "Nouveau"))</f>
        <v>#VALUE!</v>
      </c>
      <c r="AD2901" s="1" t="str">
        <f>IFERROR(IF(Final_Sans_VGE[[#This Row],[ppn_z]]="","",IFERROR(
   IF(_xlfn.XLOOKUP(Final_Sans_VGE[[#This Row],[ppn_z]],tbl_Historique_Final[[#This Row],[ppn_z]],tbl_Historique_Final[[#This Row],[date_modif]])=Final_Sans_VGE[[#This Row],[date_modif]],
      "Ancien",
      "Modifié"),
   "Nouveau")),"")</f>
        <v/>
      </c>
    </row>
    <row r="2902" spans="24:30" x14ac:dyDescent="0.25">
      <c r="X2902" s="8" t="e">
        <f>IF(Final_Sans_VGE[[#This Row],[ppn_z]]="","",IFERROR(
   IF(_xlfn.XLOOKUP(Final_Sans_VGE[[#This Row],[ppn_z]],tbl_Historique_Final[ppn_z],tbl_Historique_Final[date_modif])=Final_Sans_VGE[[#This Row],[date_modif]],
      "Ancien",
      "Modifié"),
   "Nouveau"))</f>
        <v>#VALUE!</v>
      </c>
      <c r="AD2902" s="1" t="str">
        <f>IFERROR(IF(Final_Sans_VGE[[#This Row],[ppn_z]]="","",IFERROR(
   IF(_xlfn.XLOOKUP(Final_Sans_VGE[[#This Row],[ppn_z]],tbl_Historique_Final[[#This Row],[ppn_z]],tbl_Historique_Final[[#This Row],[date_modif]])=Final_Sans_VGE[[#This Row],[date_modif]],
      "Ancien",
      "Modifié"),
   "Nouveau")),"")</f>
        <v/>
      </c>
    </row>
    <row r="2903" spans="24:30" x14ac:dyDescent="0.25">
      <c r="X2903" s="8" t="e">
        <f>IF(Final_Sans_VGE[[#This Row],[ppn_z]]="","",IFERROR(
   IF(_xlfn.XLOOKUP(Final_Sans_VGE[[#This Row],[ppn_z]],tbl_Historique_Final[ppn_z],tbl_Historique_Final[date_modif])=Final_Sans_VGE[[#This Row],[date_modif]],
      "Ancien",
      "Modifié"),
   "Nouveau"))</f>
        <v>#VALUE!</v>
      </c>
      <c r="AD2903" s="1" t="str">
        <f>IFERROR(IF(Final_Sans_VGE[[#This Row],[ppn_z]]="","",IFERROR(
   IF(_xlfn.XLOOKUP(Final_Sans_VGE[[#This Row],[ppn_z]],tbl_Historique_Final[[#This Row],[ppn_z]],tbl_Historique_Final[[#This Row],[date_modif]])=Final_Sans_VGE[[#This Row],[date_modif]],
      "Ancien",
      "Modifié"),
   "Nouveau")),"")</f>
        <v/>
      </c>
    </row>
    <row r="2904" spans="24:30" x14ac:dyDescent="0.25">
      <c r="X2904" s="8" t="e">
        <f>IF(Final_Sans_VGE[[#This Row],[ppn_z]]="","",IFERROR(
   IF(_xlfn.XLOOKUP(Final_Sans_VGE[[#This Row],[ppn_z]],tbl_Historique_Final[ppn_z],tbl_Historique_Final[date_modif])=Final_Sans_VGE[[#This Row],[date_modif]],
      "Ancien",
      "Modifié"),
   "Nouveau"))</f>
        <v>#VALUE!</v>
      </c>
      <c r="AD2904" s="1" t="str">
        <f>IFERROR(IF(Final_Sans_VGE[[#This Row],[ppn_z]]="","",IFERROR(
   IF(_xlfn.XLOOKUP(Final_Sans_VGE[[#This Row],[ppn_z]],tbl_Historique_Final[[#This Row],[ppn_z]],tbl_Historique_Final[[#This Row],[date_modif]])=Final_Sans_VGE[[#This Row],[date_modif]],
      "Ancien",
      "Modifié"),
   "Nouveau")),"")</f>
        <v/>
      </c>
    </row>
    <row r="2905" spans="24:30" x14ac:dyDescent="0.25">
      <c r="X2905" s="8" t="e">
        <f>IF(Final_Sans_VGE[[#This Row],[ppn_z]]="","",IFERROR(
   IF(_xlfn.XLOOKUP(Final_Sans_VGE[[#This Row],[ppn_z]],tbl_Historique_Final[ppn_z],tbl_Historique_Final[date_modif])=Final_Sans_VGE[[#This Row],[date_modif]],
      "Ancien",
      "Modifié"),
   "Nouveau"))</f>
        <v>#VALUE!</v>
      </c>
      <c r="AD2905" s="1" t="str">
        <f>IFERROR(IF(Final_Sans_VGE[[#This Row],[ppn_z]]="","",IFERROR(
   IF(_xlfn.XLOOKUP(Final_Sans_VGE[[#This Row],[ppn_z]],tbl_Historique_Final[[#This Row],[ppn_z]],tbl_Historique_Final[[#This Row],[date_modif]])=Final_Sans_VGE[[#This Row],[date_modif]],
      "Ancien",
      "Modifié"),
   "Nouveau")),"")</f>
        <v/>
      </c>
    </row>
    <row r="2906" spans="24:30" x14ac:dyDescent="0.25">
      <c r="X2906" s="8" t="e">
        <f>IF(Final_Sans_VGE[[#This Row],[ppn_z]]="","",IFERROR(
   IF(_xlfn.XLOOKUP(Final_Sans_VGE[[#This Row],[ppn_z]],tbl_Historique_Final[ppn_z],tbl_Historique_Final[date_modif])=Final_Sans_VGE[[#This Row],[date_modif]],
      "Ancien",
      "Modifié"),
   "Nouveau"))</f>
        <v>#VALUE!</v>
      </c>
      <c r="AD2906" s="1" t="str">
        <f>IFERROR(IF(Final_Sans_VGE[[#This Row],[ppn_z]]="","",IFERROR(
   IF(_xlfn.XLOOKUP(Final_Sans_VGE[[#This Row],[ppn_z]],tbl_Historique_Final[[#This Row],[ppn_z]],tbl_Historique_Final[[#This Row],[date_modif]])=Final_Sans_VGE[[#This Row],[date_modif]],
      "Ancien",
      "Modifié"),
   "Nouveau")),"")</f>
        <v/>
      </c>
    </row>
    <row r="2907" spans="24:30" x14ac:dyDescent="0.25">
      <c r="X2907" s="8" t="e">
        <f>IF(Final_Sans_VGE[[#This Row],[ppn_z]]="","",IFERROR(
   IF(_xlfn.XLOOKUP(Final_Sans_VGE[[#This Row],[ppn_z]],tbl_Historique_Final[ppn_z],tbl_Historique_Final[date_modif])=Final_Sans_VGE[[#This Row],[date_modif]],
      "Ancien",
      "Modifié"),
   "Nouveau"))</f>
        <v>#VALUE!</v>
      </c>
      <c r="AD2907" s="1" t="str">
        <f>IFERROR(IF(Final_Sans_VGE[[#This Row],[ppn_z]]="","",IFERROR(
   IF(_xlfn.XLOOKUP(Final_Sans_VGE[[#This Row],[ppn_z]],tbl_Historique_Final[[#This Row],[ppn_z]],tbl_Historique_Final[[#This Row],[date_modif]])=Final_Sans_VGE[[#This Row],[date_modif]],
      "Ancien",
      "Modifié"),
   "Nouveau")),"")</f>
        <v/>
      </c>
    </row>
    <row r="2908" spans="24:30" x14ac:dyDescent="0.25">
      <c r="X2908" s="8" t="e">
        <f>IF(Final_Sans_VGE[[#This Row],[ppn_z]]="","",IFERROR(
   IF(_xlfn.XLOOKUP(Final_Sans_VGE[[#This Row],[ppn_z]],tbl_Historique_Final[ppn_z],tbl_Historique_Final[date_modif])=Final_Sans_VGE[[#This Row],[date_modif]],
      "Ancien",
      "Modifié"),
   "Nouveau"))</f>
        <v>#VALUE!</v>
      </c>
      <c r="AD2908" s="1" t="str">
        <f>IFERROR(IF(Final_Sans_VGE[[#This Row],[ppn_z]]="","",IFERROR(
   IF(_xlfn.XLOOKUP(Final_Sans_VGE[[#This Row],[ppn_z]],tbl_Historique_Final[[#This Row],[ppn_z]],tbl_Historique_Final[[#This Row],[date_modif]])=Final_Sans_VGE[[#This Row],[date_modif]],
      "Ancien",
      "Modifié"),
   "Nouveau")),"")</f>
        <v/>
      </c>
    </row>
    <row r="2909" spans="24:30" x14ac:dyDescent="0.25">
      <c r="X2909" s="8" t="e">
        <f>IF(Final_Sans_VGE[[#This Row],[ppn_z]]="","",IFERROR(
   IF(_xlfn.XLOOKUP(Final_Sans_VGE[[#This Row],[ppn_z]],tbl_Historique_Final[ppn_z],tbl_Historique_Final[date_modif])=Final_Sans_VGE[[#This Row],[date_modif]],
      "Ancien",
      "Modifié"),
   "Nouveau"))</f>
        <v>#VALUE!</v>
      </c>
      <c r="AD2909" s="1" t="str">
        <f>IFERROR(IF(Final_Sans_VGE[[#This Row],[ppn_z]]="","",IFERROR(
   IF(_xlfn.XLOOKUP(Final_Sans_VGE[[#This Row],[ppn_z]],tbl_Historique_Final[[#This Row],[ppn_z]],tbl_Historique_Final[[#This Row],[date_modif]])=Final_Sans_VGE[[#This Row],[date_modif]],
      "Ancien",
      "Modifié"),
   "Nouveau")),"")</f>
        <v/>
      </c>
    </row>
    <row r="2910" spans="24:30" x14ac:dyDescent="0.25">
      <c r="X2910" s="8" t="e">
        <f>IF(Final_Sans_VGE[[#This Row],[ppn_z]]="","",IFERROR(
   IF(_xlfn.XLOOKUP(Final_Sans_VGE[[#This Row],[ppn_z]],tbl_Historique_Final[ppn_z],tbl_Historique_Final[date_modif])=Final_Sans_VGE[[#This Row],[date_modif]],
      "Ancien",
      "Modifié"),
   "Nouveau"))</f>
        <v>#VALUE!</v>
      </c>
      <c r="AD2910" s="1" t="str">
        <f>IFERROR(IF(Final_Sans_VGE[[#This Row],[ppn_z]]="","",IFERROR(
   IF(_xlfn.XLOOKUP(Final_Sans_VGE[[#This Row],[ppn_z]],tbl_Historique_Final[[#This Row],[ppn_z]],tbl_Historique_Final[[#This Row],[date_modif]])=Final_Sans_VGE[[#This Row],[date_modif]],
      "Ancien",
      "Modifié"),
   "Nouveau")),"")</f>
        <v/>
      </c>
    </row>
    <row r="2911" spans="24:30" x14ac:dyDescent="0.25">
      <c r="X2911" s="8" t="e">
        <f>IF(Final_Sans_VGE[[#This Row],[ppn_z]]="","",IFERROR(
   IF(_xlfn.XLOOKUP(Final_Sans_VGE[[#This Row],[ppn_z]],tbl_Historique_Final[ppn_z],tbl_Historique_Final[date_modif])=Final_Sans_VGE[[#This Row],[date_modif]],
      "Ancien",
      "Modifié"),
   "Nouveau"))</f>
        <v>#VALUE!</v>
      </c>
      <c r="AD2911" s="1" t="str">
        <f>IFERROR(IF(Final_Sans_VGE[[#This Row],[ppn_z]]="","",IFERROR(
   IF(_xlfn.XLOOKUP(Final_Sans_VGE[[#This Row],[ppn_z]],tbl_Historique_Final[[#This Row],[ppn_z]],tbl_Historique_Final[[#This Row],[date_modif]])=Final_Sans_VGE[[#This Row],[date_modif]],
      "Ancien",
      "Modifié"),
   "Nouveau")),"")</f>
        <v/>
      </c>
    </row>
    <row r="2912" spans="24:30" x14ac:dyDescent="0.25">
      <c r="X2912" s="8" t="e">
        <f>IF(Final_Sans_VGE[[#This Row],[ppn_z]]="","",IFERROR(
   IF(_xlfn.XLOOKUP(Final_Sans_VGE[[#This Row],[ppn_z]],tbl_Historique_Final[ppn_z],tbl_Historique_Final[date_modif])=Final_Sans_VGE[[#This Row],[date_modif]],
      "Ancien",
      "Modifié"),
   "Nouveau"))</f>
        <v>#VALUE!</v>
      </c>
      <c r="AD2912" s="1" t="str">
        <f>IFERROR(IF(Final_Sans_VGE[[#This Row],[ppn_z]]="","",IFERROR(
   IF(_xlfn.XLOOKUP(Final_Sans_VGE[[#This Row],[ppn_z]],tbl_Historique_Final[[#This Row],[ppn_z]],tbl_Historique_Final[[#This Row],[date_modif]])=Final_Sans_VGE[[#This Row],[date_modif]],
      "Ancien",
      "Modifié"),
   "Nouveau")),"")</f>
        <v/>
      </c>
    </row>
    <row r="2913" spans="24:30" x14ac:dyDescent="0.25">
      <c r="X2913" s="8" t="e">
        <f>IF(Final_Sans_VGE[[#This Row],[ppn_z]]="","",IFERROR(
   IF(_xlfn.XLOOKUP(Final_Sans_VGE[[#This Row],[ppn_z]],tbl_Historique_Final[ppn_z],tbl_Historique_Final[date_modif])=Final_Sans_VGE[[#This Row],[date_modif]],
      "Ancien",
      "Modifié"),
   "Nouveau"))</f>
        <v>#VALUE!</v>
      </c>
      <c r="AD2913" s="1" t="str">
        <f>IFERROR(IF(Final_Sans_VGE[[#This Row],[ppn_z]]="","",IFERROR(
   IF(_xlfn.XLOOKUP(Final_Sans_VGE[[#This Row],[ppn_z]],tbl_Historique_Final[[#This Row],[ppn_z]],tbl_Historique_Final[[#This Row],[date_modif]])=Final_Sans_VGE[[#This Row],[date_modif]],
      "Ancien",
      "Modifié"),
   "Nouveau")),"")</f>
        <v/>
      </c>
    </row>
    <row r="2914" spans="24:30" x14ac:dyDescent="0.25">
      <c r="X2914" s="8" t="e">
        <f>IF(Final_Sans_VGE[[#This Row],[ppn_z]]="","",IFERROR(
   IF(_xlfn.XLOOKUP(Final_Sans_VGE[[#This Row],[ppn_z]],tbl_Historique_Final[ppn_z],tbl_Historique_Final[date_modif])=Final_Sans_VGE[[#This Row],[date_modif]],
      "Ancien",
      "Modifié"),
   "Nouveau"))</f>
        <v>#VALUE!</v>
      </c>
      <c r="AD2914" s="1" t="str">
        <f>IFERROR(IF(Final_Sans_VGE[[#This Row],[ppn_z]]="","",IFERROR(
   IF(_xlfn.XLOOKUP(Final_Sans_VGE[[#This Row],[ppn_z]],tbl_Historique_Final[[#This Row],[ppn_z]],tbl_Historique_Final[[#This Row],[date_modif]])=Final_Sans_VGE[[#This Row],[date_modif]],
      "Ancien",
      "Modifié"),
   "Nouveau")),"")</f>
        <v/>
      </c>
    </row>
    <row r="2915" spans="24:30" x14ac:dyDescent="0.25">
      <c r="X2915" s="8" t="e">
        <f>IF(Final_Sans_VGE[[#This Row],[ppn_z]]="","",IFERROR(
   IF(_xlfn.XLOOKUP(Final_Sans_VGE[[#This Row],[ppn_z]],tbl_Historique_Final[ppn_z],tbl_Historique_Final[date_modif])=Final_Sans_VGE[[#This Row],[date_modif]],
      "Ancien",
      "Modifié"),
   "Nouveau"))</f>
        <v>#VALUE!</v>
      </c>
      <c r="AD2915" s="1" t="str">
        <f>IFERROR(IF(Final_Sans_VGE[[#This Row],[ppn_z]]="","",IFERROR(
   IF(_xlfn.XLOOKUP(Final_Sans_VGE[[#This Row],[ppn_z]],tbl_Historique_Final[[#This Row],[ppn_z]],tbl_Historique_Final[[#This Row],[date_modif]])=Final_Sans_VGE[[#This Row],[date_modif]],
      "Ancien",
      "Modifié"),
   "Nouveau")),"")</f>
        <v/>
      </c>
    </row>
    <row r="2916" spans="24:30" x14ac:dyDescent="0.25">
      <c r="X2916" s="8" t="e">
        <f>IF(Final_Sans_VGE[[#This Row],[ppn_z]]="","",IFERROR(
   IF(_xlfn.XLOOKUP(Final_Sans_VGE[[#This Row],[ppn_z]],tbl_Historique_Final[ppn_z],tbl_Historique_Final[date_modif])=Final_Sans_VGE[[#This Row],[date_modif]],
      "Ancien",
      "Modifié"),
   "Nouveau"))</f>
        <v>#VALUE!</v>
      </c>
      <c r="AD2916" s="1" t="str">
        <f>IFERROR(IF(Final_Sans_VGE[[#This Row],[ppn_z]]="","",IFERROR(
   IF(_xlfn.XLOOKUP(Final_Sans_VGE[[#This Row],[ppn_z]],tbl_Historique_Final[[#This Row],[ppn_z]],tbl_Historique_Final[[#This Row],[date_modif]])=Final_Sans_VGE[[#This Row],[date_modif]],
      "Ancien",
      "Modifié"),
   "Nouveau")),"")</f>
        <v/>
      </c>
    </row>
    <row r="2917" spans="24:30" x14ac:dyDescent="0.25">
      <c r="X2917" s="8" t="e">
        <f>IF(Final_Sans_VGE[[#This Row],[ppn_z]]="","",IFERROR(
   IF(_xlfn.XLOOKUP(Final_Sans_VGE[[#This Row],[ppn_z]],tbl_Historique_Final[ppn_z],tbl_Historique_Final[date_modif])=Final_Sans_VGE[[#This Row],[date_modif]],
      "Ancien",
      "Modifié"),
   "Nouveau"))</f>
        <v>#VALUE!</v>
      </c>
      <c r="AD2917" s="1" t="str">
        <f>IFERROR(IF(Final_Sans_VGE[[#This Row],[ppn_z]]="","",IFERROR(
   IF(_xlfn.XLOOKUP(Final_Sans_VGE[[#This Row],[ppn_z]],tbl_Historique_Final[[#This Row],[ppn_z]],tbl_Historique_Final[[#This Row],[date_modif]])=Final_Sans_VGE[[#This Row],[date_modif]],
      "Ancien",
      "Modifié"),
   "Nouveau")),"")</f>
        <v/>
      </c>
    </row>
    <row r="2918" spans="24:30" x14ac:dyDescent="0.25">
      <c r="X2918" s="8" t="e">
        <f>IF(Final_Sans_VGE[[#This Row],[ppn_z]]="","",IFERROR(
   IF(_xlfn.XLOOKUP(Final_Sans_VGE[[#This Row],[ppn_z]],tbl_Historique_Final[ppn_z],tbl_Historique_Final[date_modif])=Final_Sans_VGE[[#This Row],[date_modif]],
      "Ancien",
      "Modifié"),
   "Nouveau"))</f>
        <v>#VALUE!</v>
      </c>
      <c r="AD2918" s="1" t="str">
        <f>IFERROR(IF(Final_Sans_VGE[[#This Row],[ppn_z]]="","",IFERROR(
   IF(_xlfn.XLOOKUP(Final_Sans_VGE[[#This Row],[ppn_z]],tbl_Historique_Final[[#This Row],[ppn_z]],tbl_Historique_Final[[#This Row],[date_modif]])=Final_Sans_VGE[[#This Row],[date_modif]],
      "Ancien",
      "Modifié"),
   "Nouveau")),"")</f>
        <v/>
      </c>
    </row>
    <row r="2919" spans="24:30" x14ac:dyDescent="0.25">
      <c r="X2919" s="8" t="e">
        <f>IF(Final_Sans_VGE[[#This Row],[ppn_z]]="","",IFERROR(
   IF(_xlfn.XLOOKUP(Final_Sans_VGE[[#This Row],[ppn_z]],tbl_Historique_Final[ppn_z],tbl_Historique_Final[date_modif])=Final_Sans_VGE[[#This Row],[date_modif]],
      "Ancien",
      "Modifié"),
   "Nouveau"))</f>
        <v>#VALUE!</v>
      </c>
      <c r="AD2919" s="1" t="str">
        <f>IFERROR(IF(Final_Sans_VGE[[#This Row],[ppn_z]]="","",IFERROR(
   IF(_xlfn.XLOOKUP(Final_Sans_VGE[[#This Row],[ppn_z]],tbl_Historique_Final[[#This Row],[ppn_z]],tbl_Historique_Final[[#This Row],[date_modif]])=Final_Sans_VGE[[#This Row],[date_modif]],
      "Ancien",
      "Modifié"),
   "Nouveau")),"")</f>
        <v/>
      </c>
    </row>
    <row r="2920" spans="24:30" x14ac:dyDescent="0.25">
      <c r="X2920" s="8" t="e">
        <f>IF(Final_Sans_VGE[[#This Row],[ppn_z]]="","",IFERROR(
   IF(_xlfn.XLOOKUP(Final_Sans_VGE[[#This Row],[ppn_z]],tbl_Historique_Final[ppn_z],tbl_Historique_Final[date_modif])=Final_Sans_VGE[[#This Row],[date_modif]],
      "Ancien",
      "Modifié"),
   "Nouveau"))</f>
        <v>#VALUE!</v>
      </c>
      <c r="AD2920" s="1" t="str">
        <f>IFERROR(IF(Final_Sans_VGE[[#This Row],[ppn_z]]="","",IFERROR(
   IF(_xlfn.XLOOKUP(Final_Sans_VGE[[#This Row],[ppn_z]],tbl_Historique_Final[[#This Row],[ppn_z]],tbl_Historique_Final[[#This Row],[date_modif]])=Final_Sans_VGE[[#This Row],[date_modif]],
      "Ancien",
      "Modifié"),
   "Nouveau")),"")</f>
        <v/>
      </c>
    </row>
    <row r="2921" spans="24:30" x14ac:dyDescent="0.25">
      <c r="X2921" s="8" t="e">
        <f>IF(Final_Sans_VGE[[#This Row],[ppn_z]]="","",IFERROR(
   IF(_xlfn.XLOOKUP(Final_Sans_VGE[[#This Row],[ppn_z]],tbl_Historique_Final[ppn_z],tbl_Historique_Final[date_modif])=Final_Sans_VGE[[#This Row],[date_modif]],
      "Ancien",
      "Modifié"),
   "Nouveau"))</f>
        <v>#VALUE!</v>
      </c>
      <c r="AD2921" s="1" t="str">
        <f>IFERROR(IF(Final_Sans_VGE[[#This Row],[ppn_z]]="","",IFERROR(
   IF(_xlfn.XLOOKUP(Final_Sans_VGE[[#This Row],[ppn_z]],tbl_Historique_Final[[#This Row],[ppn_z]],tbl_Historique_Final[[#This Row],[date_modif]])=Final_Sans_VGE[[#This Row],[date_modif]],
      "Ancien",
      "Modifié"),
   "Nouveau")),"")</f>
        <v/>
      </c>
    </row>
    <row r="2922" spans="24:30" x14ac:dyDescent="0.25">
      <c r="X2922" s="8" t="e">
        <f>IF(Final_Sans_VGE[[#This Row],[ppn_z]]="","",IFERROR(
   IF(_xlfn.XLOOKUP(Final_Sans_VGE[[#This Row],[ppn_z]],tbl_Historique_Final[ppn_z],tbl_Historique_Final[date_modif])=Final_Sans_VGE[[#This Row],[date_modif]],
      "Ancien",
      "Modifié"),
   "Nouveau"))</f>
        <v>#VALUE!</v>
      </c>
      <c r="AD2922" s="1" t="str">
        <f>IFERROR(IF(Final_Sans_VGE[[#This Row],[ppn_z]]="","",IFERROR(
   IF(_xlfn.XLOOKUP(Final_Sans_VGE[[#This Row],[ppn_z]],tbl_Historique_Final[[#This Row],[ppn_z]],tbl_Historique_Final[[#This Row],[date_modif]])=Final_Sans_VGE[[#This Row],[date_modif]],
      "Ancien",
      "Modifié"),
   "Nouveau")),"")</f>
        <v/>
      </c>
    </row>
    <row r="2923" spans="24:30" x14ac:dyDescent="0.25">
      <c r="X2923" s="8" t="e">
        <f>IF(Final_Sans_VGE[[#This Row],[ppn_z]]="","",IFERROR(
   IF(_xlfn.XLOOKUP(Final_Sans_VGE[[#This Row],[ppn_z]],tbl_Historique_Final[ppn_z],tbl_Historique_Final[date_modif])=Final_Sans_VGE[[#This Row],[date_modif]],
      "Ancien",
      "Modifié"),
   "Nouveau"))</f>
        <v>#VALUE!</v>
      </c>
      <c r="AD2923" s="1" t="str">
        <f>IFERROR(IF(Final_Sans_VGE[[#This Row],[ppn_z]]="","",IFERROR(
   IF(_xlfn.XLOOKUP(Final_Sans_VGE[[#This Row],[ppn_z]],tbl_Historique_Final[[#This Row],[ppn_z]],tbl_Historique_Final[[#This Row],[date_modif]])=Final_Sans_VGE[[#This Row],[date_modif]],
      "Ancien",
      "Modifié"),
   "Nouveau")),"")</f>
        <v/>
      </c>
    </row>
    <row r="2924" spans="24:30" x14ac:dyDescent="0.25">
      <c r="X2924" s="8" t="e">
        <f>IF(Final_Sans_VGE[[#This Row],[ppn_z]]="","",IFERROR(
   IF(_xlfn.XLOOKUP(Final_Sans_VGE[[#This Row],[ppn_z]],tbl_Historique_Final[ppn_z],tbl_Historique_Final[date_modif])=Final_Sans_VGE[[#This Row],[date_modif]],
      "Ancien",
      "Modifié"),
   "Nouveau"))</f>
        <v>#VALUE!</v>
      </c>
      <c r="AD2924" s="1" t="str">
        <f>IFERROR(IF(Final_Sans_VGE[[#This Row],[ppn_z]]="","",IFERROR(
   IF(_xlfn.XLOOKUP(Final_Sans_VGE[[#This Row],[ppn_z]],tbl_Historique_Final[[#This Row],[ppn_z]],tbl_Historique_Final[[#This Row],[date_modif]])=Final_Sans_VGE[[#This Row],[date_modif]],
      "Ancien",
      "Modifié"),
   "Nouveau")),"")</f>
        <v/>
      </c>
    </row>
    <row r="2925" spans="24:30" x14ac:dyDescent="0.25">
      <c r="X2925" s="8" t="e">
        <f>IF(Final_Sans_VGE[[#This Row],[ppn_z]]="","",IFERROR(
   IF(_xlfn.XLOOKUP(Final_Sans_VGE[[#This Row],[ppn_z]],tbl_Historique_Final[ppn_z],tbl_Historique_Final[date_modif])=Final_Sans_VGE[[#This Row],[date_modif]],
      "Ancien",
      "Modifié"),
   "Nouveau"))</f>
        <v>#VALUE!</v>
      </c>
      <c r="AD2925" s="1" t="str">
        <f>IFERROR(IF(Final_Sans_VGE[[#This Row],[ppn_z]]="","",IFERROR(
   IF(_xlfn.XLOOKUP(Final_Sans_VGE[[#This Row],[ppn_z]],tbl_Historique_Final[[#This Row],[ppn_z]],tbl_Historique_Final[[#This Row],[date_modif]])=Final_Sans_VGE[[#This Row],[date_modif]],
      "Ancien",
      "Modifié"),
   "Nouveau")),"")</f>
        <v/>
      </c>
    </row>
    <row r="2926" spans="24:30" x14ac:dyDescent="0.25">
      <c r="X2926" s="8" t="e">
        <f>IF(Final_Sans_VGE[[#This Row],[ppn_z]]="","",IFERROR(
   IF(_xlfn.XLOOKUP(Final_Sans_VGE[[#This Row],[ppn_z]],tbl_Historique_Final[ppn_z],tbl_Historique_Final[date_modif])=Final_Sans_VGE[[#This Row],[date_modif]],
      "Ancien",
      "Modifié"),
   "Nouveau"))</f>
        <v>#VALUE!</v>
      </c>
      <c r="AD2926" s="1" t="str">
        <f>IFERROR(IF(Final_Sans_VGE[[#This Row],[ppn_z]]="","",IFERROR(
   IF(_xlfn.XLOOKUP(Final_Sans_VGE[[#This Row],[ppn_z]],tbl_Historique_Final[[#This Row],[ppn_z]],tbl_Historique_Final[[#This Row],[date_modif]])=Final_Sans_VGE[[#This Row],[date_modif]],
      "Ancien",
      "Modifié"),
   "Nouveau")),"")</f>
        <v/>
      </c>
    </row>
    <row r="2927" spans="24:30" x14ac:dyDescent="0.25">
      <c r="X2927" s="8" t="e">
        <f>IF(Final_Sans_VGE[[#This Row],[ppn_z]]="","",IFERROR(
   IF(_xlfn.XLOOKUP(Final_Sans_VGE[[#This Row],[ppn_z]],tbl_Historique_Final[ppn_z],tbl_Historique_Final[date_modif])=Final_Sans_VGE[[#This Row],[date_modif]],
      "Ancien",
      "Modifié"),
   "Nouveau"))</f>
        <v>#VALUE!</v>
      </c>
      <c r="AD2927" s="1" t="str">
        <f>IFERROR(IF(Final_Sans_VGE[[#This Row],[ppn_z]]="","",IFERROR(
   IF(_xlfn.XLOOKUP(Final_Sans_VGE[[#This Row],[ppn_z]],tbl_Historique_Final[[#This Row],[ppn_z]],tbl_Historique_Final[[#This Row],[date_modif]])=Final_Sans_VGE[[#This Row],[date_modif]],
      "Ancien",
      "Modifié"),
   "Nouveau")),"")</f>
        <v/>
      </c>
    </row>
    <row r="2928" spans="24:30" x14ac:dyDescent="0.25">
      <c r="X2928" s="8" t="e">
        <f>IF(Final_Sans_VGE[[#This Row],[ppn_z]]="","",IFERROR(
   IF(_xlfn.XLOOKUP(Final_Sans_VGE[[#This Row],[ppn_z]],tbl_Historique_Final[ppn_z],tbl_Historique_Final[date_modif])=Final_Sans_VGE[[#This Row],[date_modif]],
      "Ancien",
      "Modifié"),
   "Nouveau"))</f>
        <v>#VALUE!</v>
      </c>
      <c r="AD2928" s="1" t="str">
        <f>IFERROR(IF(Final_Sans_VGE[[#This Row],[ppn_z]]="","",IFERROR(
   IF(_xlfn.XLOOKUP(Final_Sans_VGE[[#This Row],[ppn_z]],tbl_Historique_Final[[#This Row],[ppn_z]],tbl_Historique_Final[[#This Row],[date_modif]])=Final_Sans_VGE[[#This Row],[date_modif]],
      "Ancien",
      "Modifié"),
   "Nouveau")),"")</f>
        <v/>
      </c>
    </row>
    <row r="2929" spans="24:30" x14ac:dyDescent="0.25">
      <c r="X2929" s="8" t="e">
        <f>IF(Final_Sans_VGE[[#This Row],[ppn_z]]="","",IFERROR(
   IF(_xlfn.XLOOKUP(Final_Sans_VGE[[#This Row],[ppn_z]],tbl_Historique_Final[ppn_z],tbl_Historique_Final[date_modif])=Final_Sans_VGE[[#This Row],[date_modif]],
      "Ancien",
      "Modifié"),
   "Nouveau"))</f>
        <v>#VALUE!</v>
      </c>
      <c r="AD2929" s="1" t="str">
        <f>IFERROR(IF(Final_Sans_VGE[[#This Row],[ppn_z]]="","",IFERROR(
   IF(_xlfn.XLOOKUP(Final_Sans_VGE[[#This Row],[ppn_z]],tbl_Historique_Final[[#This Row],[ppn_z]],tbl_Historique_Final[[#This Row],[date_modif]])=Final_Sans_VGE[[#This Row],[date_modif]],
      "Ancien",
      "Modifié"),
   "Nouveau")),"")</f>
        <v/>
      </c>
    </row>
    <row r="2930" spans="24:30" x14ac:dyDescent="0.25">
      <c r="X2930" s="8" t="e">
        <f>IF(Final_Sans_VGE[[#This Row],[ppn_z]]="","",IFERROR(
   IF(_xlfn.XLOOKUP(Final_Sans_VGE[[#This Row],[ppn_z]],tbl_Historique_Final[ppn_z],tbl_Historique_Final[date_modif])=Final_Sans_VGE[[#This Row],[date_modif]],
      "Ancien",
      "Modifié"),
   "Nouveau"))</f>
        <v>#VALUE!</v>
      </c>
      <c r="AD2930" s="1" t="str">
        <f>IFERROR(IF(Final_Sans_VGE[[#This Row],[ppn_z]]="","",IFERROR(
   IF(_xlfn.XLOOKUP(Final_Sans_VGE[[#This Row],[ppn_z]],tbl_Historique_Final[[#This Row],[ppn_z]],tbl_Historique_Final[[#This Row],[date_modif]])=Final_Sans_VGE[[#This Row],[date_modif]],
      "Ancien",
      "Modifié"),
   "Nouveau")),"")</f>
        <v/>
      </c>
    </row>
    <row r="2931" spans="24:30" x14ac:dyDescent="0.25">
      <c r="X2931" s="8" t="e">
        <f>IF(Final_Sans_VGE[[#This Row],[ppn_z]]="","",IFERROR(
   IF(_xlfn.XLOOKUP(Final_Sans_VGE[[#This Row],[ppn_z]],tbl_Historique_Final[ppn_z],tbl_Historique_Final[date_modif])=Final_Sans_VGE[[#This Row],[date_modif]],
      "Ancien",
      "Modifié"),
   "Nouveau"))</f>
        <v>#VALUE!</v>
      </c>
      <c r="AD2931" s="1" t="str">
        <f>IFERROR(IF(Final_Sans_VGE[[#This Row],[ppn_z]]="","",IFERROR(
   IF(_xlfn.XLOOKUP(Final_Sans_VGE[[#This Row],[ppn_z]],tbl_Historique_Final[[#This Row],[ppn_z]],tbl_Historique_Final[[#This Row],[date_modif]])=Final_Sans_VGE[[#This Row],[date_modif]],
      "Ancien",
      "Modifié"),
   "Nouveau")),"")</f>
        <v/>
      </c>
    </row>
    <row r="2932" spans="24:30" x14ac:dyDescent="0.25">
      <c r="X2932" s="8" t="e">
        <f>IF(Final_Sans_VGE[[#This Row],[ppn_z]]="","",IFERROR(
   IF(_xlfn.XLOOKUP(Final_Sans_VGE[[#This Row],[ppn_z]],tbl_Historique_Final[ppn_z],tbl_Historique_Final[date_modif])=Final_Sans_VGE[[#This Row],[date_modif]],
      "Ancien",
      "Modifié"),
   "Nouveau"))</f>
        <v>#VALUE!</v>
      </c>
      <c r="AD2932" s="1" t="str">
        <f>IFERROR(IF(Final_Sans_VGE[[#This Row],[ppn_z]]="","",IFERROR(
   IF(_xlfn.XLOOKUP(Final_Sans_VGE[[#This Row],[ppn_z]],tbl_Historique_Final[[#This Row],[ppn_z]],tbl_Historique_Final[[#This Row],[date_modif]])=Final_Sans_VGE[[#This Row],[date_modif]],
      "Ancien",
      "Modifié"),
   "Nouveau")),"")</f>
        <v/>
      </c>
    </row>
    <row r="2933" spans="24:30" x14ac:dyDescent="0.25">
      <c r="X2933" s="8" t="e">
        <f>IF(Final_Sans_VGE[[#This Row],[ppn_z]]="","",IFERROR(
   IF(_xlfn.XLOOKUP(Final_Sans_VGE[[#This Row],[ppn_z]],tbl_Historique_Final[ppn_z],tbl_Historique_Final[date_modif])=Final_Sans_VGE[[#This Row],[date_modif]],
      "Ancien",
      "Modifié"),
   "Nouveau"))</f>
        <v>#VALUE!</v>
      </c>
      <c r="AD2933" s="1" t="str">
        <f>IFERROR(IF(Final_Sans_VGE[[#This Row],[ppn_z]]="","",IFERROR(
   IF(_xlfn.XLOOKUP(Final_Sans_VGE[[#This Row],[ppn_z]],tbl_Historique_Final[[#This Row],[ppn_z]],tbl_Historique_Final[[#This Row],[date_modif]])=Final_Sans_VGE[[#This Row],[date_modif]],
      "Ancien",
      "Modifié"),
   "Nouveau")),"")</f>
        <v/>
      </c>
    </row>
    <row r="2934" spans="24:30" x14ac:dyDescent="0.25">
      <c r="X2934" s="8" t="e">
        <f>IF(Final_Sans_VGE[[#This Row],[ppn_z]]="","",IFERROR(
   IF(_xlfn.XLOOKUP(Final_Sans_VGE[[#This Row],[ppn_z]],tbl_Historique_Final[ppn_z],tbl_Historique_Final[date_modif])=Final_Sans_VGE[[#This Row],[date_modif]],
      "Ancien",
      "Modifié"),
   "Nouveau"))</f>
        <v>#VALUE!</v>
      </c>
      <c r="AD2934" s="1" t="str">
        <f>IFERROR(IF(Final_Sans_VGE[[#This Row],[ppn_z]]="","",IFERROR(
   IF(_xlfn.XLOOKUP(Final_Sans_VGE[[#This Row],[ppn_z]],tbl_Historique_Final[[#This Row],[ppn_z]],tbl_Historique_Final[[#This Row],[date_modif]])=Final_Sans_VGE[[#This Row],[date_modif]],
      "Ancien",
      "Modifié"),
   "Nouveau")),"")</f>
        <v/>
      </c>
    </row>
    <row r="2935" spans="24:30" x14ac:dyDescent="0.25">
      <c r="X2935" s="8" t="e">
        <f>IF(Final_Sans_VGE[[#This Row],[ppn_z]]="","",IFERROR(
   IF(_xlfn.XLOOKUP(Final_Sans_VGE[[#This Row],[ppn_z]],tbl_Historique_Final[ppn_z],tbl_Historique_Final[date_modif])=Final_Sans_VGE[[#This Row],[date_modif]],
      "Ancien",
      "Modifié"),
   "Nouveau"))</f>
        <v>#VALUE!</v>
      </c>
      <c r="AD2935" s="1" t="str">
        <f>IFERROR(IF(Final_Sans_VGE[[#This Row],[ppn_z]]="","",IFERROR(
   IF(_xlfn.XLOOKUP(Final_Sans_VGE[[#This Row],[ppn_z]],tbl_Historique_Final[[#This Row],[ppn_z]],tbl_Historique_Final[[#This Row],[date_modif]])=Final_Sans_VGE[[#This Row],[date_modif]],
      "Ancien",
      "Modifié"),
   "Nouveau")),"")</f>
        <v/>
      </c>
    </row>
    <row r="2936" spans="24:30" x14ac:dyDescent="0.25">
      <c r="X2936" s="8" t="e">
        <f>IF(Final_Sans_VGE[[#This Row],[ppn_z]]="","",IFERROR(
   IF(_xlfn.XLOOKUP(Final_Sans_VGE[[#This Row],[ppn_z]],tbl_Historique_Final[ppn_z],tbl_Historique_Final[date_modif])=Final_Sans_VGE[[#This Row],[date_modif]],
      "Ancien",
      "Modifié"),
   "Nouveau"))</f>
        <v>#VALUE!</v>
      </c>
      <c r="AD2936" s="1" t="str">
        <f>IFERROR(IF(Final_Sans_VGE[[#This Row],[ppn_z]]="","",IFERROR(
   IF(_xlfn.XLOOKUP(Final_Sans_VGE[[#This Row],[ppn_z]],tbl_Historique_Final[[#This Row],[ppn_z]],tbl_Historique_Final[[#This Row],[date_modif]])=Final_Sans_VGE[[#This Row],[date_modif]],
      "Ancien",
      "Modifié"),
   "Nouveau")),"")</f>
        <v/>
      </c>
    </row>
    <row r="2937" spans="24:30" x14ac:dyDescent="0.25">
      <c r="X2937" s="8" t="e">
        <f>IF(Final_Sans_VGE[[#This Row],[ppn_z]]="","",IFERROR(
   IF(_xlfn.XLOOKUP(Final_Sans_VGE[[#This Row],[ppn_z]],tbl_Historique_Final[ppn_z],tbl_Historique_Final[date_modif])=Final_Sans_VGE[[#This Row],[date_modif]],
      "Ancien",
      "Modifié"),
   "Nouveau"))</f>
        <v>#VALUE!</v>
      </c>
      <c r="AD2937" s="1" t="str">
        <f>IFERROR(IF(Final_Sans_VGE[[#This Row],[ppn_z]]="","",IFERROR(
   IF(_xlfn.XLOOKUP(Final_Sans_VGE[[#This Row],[ppn_z]],tbl_Historique_Final[[#This Row],[ppn_z]],tbl_Historique_Final[[#This Row],[date_modif]])=Final_Sans_VGE[[#This Row],[date_modif]],
      "Ancien",
      "Modifié"),
   "Nouveau")),"")</f>
        <v/>
      </c>
    </row>
    <row r="2938" spans="24:30" x14ac:dyDescent="0.25">
      <c r="X2938" s="8" t="e">
        <f>IF(Final_Sans_VGE[[#This Row],[ppn_z]]="","",IFERROR(
   IF(_xlfn.XLOOKUP(Final_Sans_VGE[[#This Row],[ppn_z]],tbl_Historique_Final[ppn_z],tbl_Historique_Final[date_modif])=Final_Sans_VGE[[#This Row],[date_modif]],
      "Ancien",
      "Modifié"),
   "Nouveau"))</f>
        <v>#VALUE!</v>
      </c>
      <c r="AD2938" s="1" t="str">
        <f>IFERROR(IF(Final_Sans_VGE[[#This Row],[ppn_z]]="","",IFERROR(
   IF(_xlfn.XLOOKUP(Final_Sans_VGE[[#This Row],[ppn_z]],tbl_Historique_Final[[#This Row],[ppn_z]],tbl_Historique_Final[[#This Row],[date_modif]])=Final_Sans_VGE[[#This Row],[date_modif]],
      "Ancien",
      "Modifié"),
   "Nouveau")),"")</f>
        <v/>
      </c>
    </row>
    <row r="2939" spans="24:30" x14ac:dyDescent="0.25">
      <c r="X2939" s="8" t="e">
        <f>IF(Final_Sans_VGE[[#This Row],[ppn_z]]="","",IFERROR(
   IF(_xlfn.XLOOKUP(Final_Sans_VGE[[#This Row],[ppn_z]],tbl_Historique_Final[ppn_z],tbl_Historique_Final[date_modif])=Final_Sans_VGE[[#This Row],[date_modif]],
      "Ancien",
      "Modifié"),
   "Nouveau"))</f>
        <v>#VALUE!</v>
      </c>
      <c r="AD2939" s="1" t="str">
        <f>IFERROR(IF(Final_Sans_VGE[[#This Row],[ppn_z]]="","",IFERROR(
   IF(_xlfn.XLOOKUP(Final_Sans_VGE[[#This Row],[ppn_z]],tbl_Historique_Final[[#This Row],[ppn_z]],tbl_Historique_Final[[#This Row],[date_modif]])=Final_Sans_VGE[[#This Row],[date_modif]],
      "Ancien",
      "Modifié"),
   "Nouveau")),"")</f>
        <v/>
      </c>
    </row>
    <row r="2940" spans="24:30" x14ac:dyDescent="0.25">
      <c r="X2940" s="8" t="e">
        <f>IF(Final_Sans_VGE[[#This Row],[ppn_z]]="","",IFERROR(
   IF(_xlfn.XLOOKUP(Final_Sans_VGE[[#This Row],[ppn_z]],tbl_Historique_Final[ppn_z],tbl_Historique_Final[date_modif])=Final_Sans_VGE[[#This Row],[date_modif]],
      "Ancien",
      "Modifié"),
   "Nouveau"))</f>
        <v>#VALUE!</v>
      </c>
      <c r="AD2940" s="1" t="str">
        <f>IFERROR(IF(Final_Sans_VGE[[#This Row],[ppn_z]]="","",IFERROR(
   IF(_xlfn.XLOOKUP(Final_Sans_VGE[[#This Row],[ppn_z]],tbl_Historique_Final[[#This Row],[ppn_z]],tbl_Historique_Final[[#This Row],[date_modif]])=Final_Sans_VGE[[#This Row],[date_modif]],
      "Ancien",
      "Modifié"),
   "Nouveau")),"")</f>
        <v/>
      </c>
    </row>
    <row r="2941" spans="24:30" x14ac:dyDescent="0.25">
      <c r="X2941" s="8" t="e">
        <f>IF(Final_Sans_VGE[[#This Row],[ppn_z]]="","",IFERROR(
   IF(_xlfn.XLOOKUP(Final_Sans_VGE[[#This Row],[ppn_z]],tbl_Historique_Final[ppn_z],tbl_Historique_Final[date_modif])=Final_Sans_VGE[[#This Row],[date_modif]],
      "Ancien",
      "Modifié"),
   "Nouveau"))</f>
        <v>#VALUE!</v>
      </c>
      <c r="AD2941" s="1" t="str">
        <f>IFERROR(IF(Final_Sans_VGE[[#This Row],[ppn_z]]="","",IFERROR(
   IF(_xlfn.XLOOKUP(Final_Sans_VGE[[#This Row],[ppn_z]],tbl_Historique_Final[[#This Row],[ppn_z]],tbl_Historique_Final[[#This Row],[date_modif]])=Final_Sans_VGE[[#This Row],[date_modif]],
      "Ancien",
      "Modifié"),
   "Nouveau")),"")</f>
        <v/>
      </c>
    </row>
    <row r="2942" spans="24:30" x14ac:dyDescent="0.25">
      <c r="X2942" s="8" t="e">
        <f>IF(Final_Sans_VGE[[#This Row],[ppn_z]]="","",IFERROR(
   IF(_xlfn.XLOOKUP(Final_Sans_VGE[[#This Row],[ppn_z]],tbl_Historique_Final[ppn_z],tbl_Historique_Final[date_modif])=Final_Sans_VGE[[#This Row],[date_modif]],
      "Ancien",
      "Modifié"),
   "Nouveau"))</f>
        <v>#VALUE!</v>
      </c>
      <c r="AD2942" s="1" t="str">
        <f>IFERROR(IF(Final_Sans_VGE[[#This Row],[ppn_z]]="","",IFERROR(
   IF(_xlfn.XLOOKUP(Final_Sans_VGE[[#This Row],[ppn_z]],tbl_Historique_Final[[#This Row],[ppn_z]],tbl_Historique_Final[[#This Row],[date_modif]])=Final_Sans_VGE[[#This Row],[date_modif]],
      "Ancien",
      "Modifié"),
   "Nouveau")),"")</f>
        <v/>
      </c>
    </row>
    <row r="2943" spans="24:30" x14ac:dyDescent="0.25">
      <c r="X2943" s="8" t="e">
        <f>IF(Final_Sans_VGE[[#This Row],[ppn_z]]="","",IFERROR(
   IF(_xlfn.XLOOKUP(Final_Sans_VGE[[#This Row],[ppn_z]],tbl_Historique_Final[ppn_z],tbl_Historique_Final[date_modif])=Final_Sans_VGE[[#This Row],[date_modif]],
      "Ancien",
      "Modifié"),
   "Nouveau"))</f>
        <v>#VALUE!</v>
      </c>
      <c r="AD2943" s="1" t="str">
        <f>IFERROR(IF(Final_Sans_VGE[[#This Row],[ppn_z]]="","",IFERROR(
   IF(_xlfn.XLOOKUP(Final_Sans_VGE[[#This Row],[ppn_z]],tbl_Historique_Final[[#This Row],[ppn_z]],tbl_Historique_Final[[#This Row],[date_modif]])=Final_Sans_VGE[[#This Row],[date_modif]],
      "Ancien",
      "Modifié"),
   "Nouveau")),"")</f>
        <v/>
      </c>
    </row>
    <row r="2944" spans="24:30" x14ac:dyDescent="0.25">
      <c r="X2944" s="8" t="e">
        <f>IF(Final_Sans_VGE[[#This Row],[ppn_z]]="","",IFERROR(
   IF(_xlfn.XLOOKUP(Final_Sans_VGE[[#This Row],[ppn_z]],tbl_Historique_Final[ppn_z],tbl_Historique_Final[date_modif])=Final_Sans_VGE[[#This Row],[date_modif]],
      "Ancien",
      "Modifié"),
   "Nouveau"))</f>
        <v>#VALUE!</v>
      </c>
      <c r="AD2944" s="1" t="str">
        <f>IFERROR(IF(Final_Sans_VGE[[#This Row],[ppn_z]]="","",IFERROR(
   IF(_xlfn.XLOOKUP(Final_Sans_VGE[[#This Row],[ppn_z]],tbl_Historique_Final[[#This Row],[ppn_z]],tbl_Historique_Final[[#This Row],[date_modif]])=Final_Sans_VGE[[#This Row],[date_modif]],
      "Ancien",
      "Modifié"),
   "Nouveau")),"")</f>
        <v/>
      </c>
    </row>
    <row r="2945" spans="24:30" x14ac:dyDescent="0.25">
      <c r="X2945" s="8" t="e">
        <f>IF(Final_Sans_VGE[[#This Row],[ppn_z]]="","",IFERROR(
   IF(_xlfn.XLOOKUP(Final_Sans_VGE[[#This Row],[ppn_z]],tbl_Historique_Final[ppn_z],tbl_Historique_Final[date_modif])=Final_Sans_VGE[[#This Row],[date_modif]],
      "Ancien",
      "Modifié"),
   "Nouveau"))</f>
        <v>#VALUE!</v>
      </c>
      <c r="AD2945" s="1" t="str">
        <f>IFERROR(IF(Final_Sans_VGE[[#This Row],[ppn_z]]="","",IFERROR(
   IF(_xlfn.XLOOKUP(Final_Sans_VGE[[#This Row],[ppn_z]],tbl_Historique_Final[[#This Row],[ppn_z]],tbl_Historique_Final[[#This Row],[date_modif]])=Final_Sans_VGE[[#This Row],[date_modif]],
      "Ancien",
      "Modifié"),
   "Nouveau")),"")</f>
        <v/>
      </c>
    </row>
    <row r="2946" spans="24:30" x14ac:dyDescent="0.25">
      <c r="X2946" s="8" t="e">
        <f>IF(Final_Sans_VGE[[#This Row],[ppn_z]]="","",IFERROR(
   IF(_xlfn.XLOOKUP(Final_Sans_VGE[[#This Row],[ppn_z]],tbl_Historique_Final[ppn_z],tbl_Historique_Final[date_modif])=Final_Sans_VGE[[#This Row],[date_modif]],
      "Ancien",
      "Modifié"),
   "Nouveau"))</f>
        <v>#VALUE!</v>
      </c>
      <c r="AD2946" s="1" t="str">
        <f>IFERROR(IF(Final_Sans_VGE[[#This Row],[ppn_z]]="","",IFERROR(
   IF(_xlfn.XLOOKUP(Final_Sans_VGE[[#This Row],[ppn_z]],tbl_Historique_Final[[#This Row],[ppn_z]],tbl_Historique_Final[[#This Row],[date_modif]])=Final_Sans_VGE[[#This Row],[date_modif]],
      "Ancien",
      "Modifié"),
   "Nouveau")),"")</f>
        <v/>
      </c>
    </row>
    <row r="2947" spans="24:30" x14ac:dyDescent="0.25">
      <c r="X2947" s="8" t="e">
        <f>IF(Final_Sans_VGE[[#This Row],[ppn_z]]="","",IFERROR(
   IF(_xlfn.XLOOKUP(Final_Sans_VGE[[#This Row],[ppn_z]],tbl_Historique_Final[ppn_z],tbl_Historique_Final[date_modif])=Final_Sans_VGE[[#This Row],[date_modif]],
      "Ancien",
      "Modifié"),
   "Nouveau"))</f>
        <v>#VALUE!</v>
      </c>
      <c r="AD2947" s="1" t="str">
        <f>IFERROR(IF(Final_Sans_VGE[[#This Row],[ppn_z]]="","",IFERROR(
   IF(_xlfn.XLOOKUP(Final_Sans_VGE[[#This Row],[ppn_z]],tbl_Historique_Final[[#This Row],[ppn_z]],tbl_Historique_Final[[#This Row],[date_modif]])=Final_Sans_VGE[[#This Row],[date_modif]],
      "Ancien",
      "Modifié"),
   "Nouveau")),"")</f>
        <v/>
      </c>
    </row>
    <row r="2948" spans="24:30" x14ac:dyDescent="0.25">
      <c r="X2948" s="8" t="e">
        <f>IF(Final_Sans_VGE[[#This Row],[ppn_z]]="","",IFERROR(
   IF(_xlfn.XLOOKUP(Final_Sans_VGE[[#This Row],[ppn_z]],tbl_Historique_Final[ppn_z],tbl_Historique_Final[date_modif])=Final_Sans_VGE[[#This Row],[date_modif]],
      "Ancien",
      "Modifié"),
   "Nouveau"))</f>
        <v>#VALUE!</v>
      </c>
      <c r="AD2948" s="1" t="str">
        <f>IFERROR(IF(Final_Sans_VGE[[#This Row],[ppn_z]]="","",IFERROR(
   IF(_xlfn.XLOOKUP(Final_Sans_VGE[[#This Row],[ppn_z]],tbl_Historique_Final[[#This Row],[ppn_z]],tbl_Historique_Final[[#This Row],[date_modif]])=Final_Sans_VGE[[#This Row],[date_modif]],
      "Ancien",
      "Modifié"),
   "Nouveau")),"")</f>
        <v/>
      </c>
    </row>
    <row r="2949" spans="24:30" x14ac:dyDescent="0.25">
      <c r="X2949" s="8" t="e">
        <f>IF(Final_Sans_VGE[[#This Row],[ppn_z]]="","",IFERROR(
   IF(_xlfn.XLOOKUP(Final_Sans_VGE[[#This Row],[ppn_z]],tbl_Historique_Final[ppn_z],tbl_Historique_Final[date_modif])=Final_Sans_VGE[[#This Row],[date_modif]],
      "Ancien",
      "Modifié"),
   "Nouveau"))</f>
        <v>#VALUE!</v>
      </c>
      <c r="AD2949" s="1" t="str">
        <f>IFERROR(IF(Final_Sans_VGE[[#This Row],[ppn_z]]="","",IFERROR(
   IF(_xlfn.XLOOKUP(Final_Sans_VGE[[#This Row],[ppn_z]],tbl_Historique_Final[[#This Row],[ppn_z]],tbl_Historique_Final[[#This Row],[date_modif]])=Final_Sans_VGE[[#This Row],[date_modif]],
      "Ancien",
      "Modifié"),
   "Nouveau")),"")</f>
        <v/>
      </c>
    </row>
    <row r="2950" spans="24:30" x14ac:dyDescent="0.25">
      <c r="X2950" s="8" t="e">
        <f>IF(Final_Sans_VGE[[#This Row],[ppn_z]]="","",IFERROR(
   IF(_xlfn.XLOOKUP(Final_Sans_VGE[[#This Row],[ppn_z]],tbl_Historique_Final[ppn_z],tbl_Historique_Final[date_modif])=Final_Sans_VGE[[#This Row],[date_modif]],
      "Ancien",
      "Modifié"),
   "Nouveau"))</f>
        <v>#VALUE!</v>
      </c>
      <c r="AD2950" s="1" t="str">
        <f>IFERROR(IF(Final_Sans_VGE[[#This Row],[ppn_z]]="","",IFERROR(
   IF(_xlfn.XLOOKUP(Final_Sans_VGE[[#This Row],[ppn_z]],tbl_Historique_Final[[#This Row],[ppn_z]],tbl_Historique_Final[[#This Row],[date_modif]])=Final_Sans_VGE[[#This Row],[date_modif]],
      "Ancien",
      "Modifié"),
   "Nouveau")),"")</f>
        <v/>
      </c>
    </row>
    <row r="2951" spans="24:30" x14ac:dyDescent="0.25">
      <c r="X2951" s="8" t="e">
        <f>IF(Final_Sans_VGE[[#This Row],[ppn_z]]="","",IFERROR(
   IF(_xlfn.XLOOKUP(Final_Sans_VGE[[#This Row],[ppn_z]],tbl_Historique_Final[ppn_z],tbl_Historique_Final[date_modif])=Final_Sans_VGE[[#This Row],[date_modif]],
      "Ancien",
      "Modifié"),
   "Nouveau"))</f>
        <v>#VALUE!</v>
      </c>
      <c r="AD2951" s="1" t="str">
        <f>IFERROR(IF(Final_Sans_VGE[[#This Row],[ppn_z]]="","",IFERROR(
   IF(_xlfn.XLOOKUP(Final_Sans_VGE[[#This Row],[ppn_z]],tbl_Historique_Final[[#This Row],[ppn_z]],tbl_Historique_Final[[#This Row],[date_modif]])=Final_Sans_VGE[[#This Row],[date_modif]],
      "Ancien",
      "Modifié"),
   "Nouveau")),"")</f>
        <v/>
      </c>
    </row>
    <row r="2952" spans="24:30" x14ac:dyDescent="0.25">
      <c r="X2952" s="8" t="e">
        <f>IF(Final_Sans_VGE[[#This Row],[ppn_z]]="","",IFERROR(
   IF(_xlfn.XLOOKUP(Final_Sans_VGE[[#This Row],[ppn_z]],tbl_Historique_Final[ppn_z],tbl_Historique_Final[date_modif])=Final_Sans_VGE[[#This Row],[date_modif]],
      "Ancien",
      "Modifié"),
   "Nouveau"))</f>
        <v>#VALUE!</v>
      </c>
      <c r="AD2952" s="1" t="str">
        <f>IFERROR(IF(Final_Sans_VGE[[#This Row],[ppn_z]]="","",IFERROR(
   IF(_xlfn.XLOOKUP(Final_Sans_VGE[[#This Row],[ppn_z]],tbl_Historique_Final[[#This Row],[ppn_z]],tbl_Historique_Final[[#This Row],[date_modif]])=Final_Sans_VGE[[#This Row],[date_modif]],
      "Ancien",
      "Modifié"),
   "Nouveau")),"")</f>
        <v/>
      </c>
    </row>
    <row r="2953" spans="24:30" x14ac:dyDescent="0.25">
      <c r="X2953" s="8" t="e">
        <f>IF(Final_Sans_VGE[[#This Row],[ppn_z]]="","",IFERROR(
   IF(_xlfn.XLOOKUP(Final_Sans_VGE[[#This Row],[ppn_z]],tbl_Historique_Final[ppn_z],tbl_Historique_Final[date_modif])=Final_Sans_VGE[[#This Row],[date_modif]],
      "Ancien",
      "Modifié"),
   "Nouveau"))</f>
        <v>#VALUE!</v>
      </c>
      <c r="AD2953" s="1" t="str">
        <f>IFERROR(IF(Final_Sans_VGE[[#This Row],[ppn_z]]="","",IFERROR(
   IF(_xlfn.XLOOKUP(Final_Sans_VGE[[#This Row],[ppn_z]],tbl_Historique_Final[[#This Row],[ppn_z]],tbl_Historique_Final[[#This Row],[date_modif]])=Final_Sans_VGE[[#This Row],[date_modif]],
      "Ancien",
      "Modifié"),
   "Nouveau")),"")</f>
        <v/>
      </c>
    </row>
    <row r="2954" spans="24:30" x14ac:dyDescent="0.25">
      <c r="X2954" s="8" t="e">
        <f>IF(Final_Sans_VGE[[#This Row],[ppn_z]]="","",IFERROR(
   IF(_xlfn.XLOOKUP(Final_Sans_VGE[[#This Row],[ppn_z]],tbl_Historique_Final[ppn_z],tbl_Historique_Final[date_modif])=Final_Sans_VGE[[#This Row],[date_modif]],
      "Ancien",
      "Modifié"),
   "Nouveau"))</f>
        <v>#VALUE!</v>
      </c>
      <c r="AD2954" s="1" t="str">
        <f>IFERROR(IF(Final_Sans_VGE[[#This Row],[ppn_z]]="","",IFERROR(
   IF(_xlfn.XLOOKUP(Final_Sans_VGE[[#This Row],[ppn_z]],tbl_Historique_Final[[#This Row],[ppn_z]],tbl_Historique_Final[[#This Row],[date_modif]])=Final_Sans_VGE[[#This Row],[date_modif]],
      "Ancien",
      "Modifié"),
   "Nouveau")),"")</f>
        <v/>
      </c>
    </row>
    <row r="2955" spans="24:30" x14ac:dyDescent="0.25">
      <c r="X2955" s="8" t="e">
        <f>IF(Final_Sans_VGE[[#This Row],[ppn_z]]="","",IFERROR(
   IF(_xlfn.XLOOKUP(Final_Sans_VGE[[#This Row],[ppn_z]],tbl_Historique_Final[ppn_z],tbl_Historique_Final[date_modif])=Final_Sans_VGE[[#This Row],[date_modif]],
      "Ancien",
      "Modifié"),
   "Nouveau"))</f>
        <v>#VALUE!</v>
      </c>
      <c r="AD2955" s="1" t="str">
        <f>IFERROR(IF(Final_Sans_VGE[[#This Row],[ppn_z]]="","",IFERROR(
   IF(_xlfn.XLOOKUP(Final_Sans_VGE[[#This Row],[ppn_z]],tbl_Historique_Final[[#This Row],[ppn_z]],tbl_Historique_Final[[#This Row],[date_modif]])=Final_Sans_VGE[[#This Row],[date_modif]],
      "Ancien",
      "Modifié"),
   "Nouveau")),"")</f>
        <v/>
      </c>
    </row>
    <row r="2956" spans="24:30" x14ac:dyDescent="0.25">
      <c r="X2956" s="8" t="e">
        <f>IF(Final_Sans_VGE[[#This Row],[ppn_z]]="","",IFERROR(
   IF(_xlfn.XLOOKUP(Final_Sans_VGE[[#This Row],[ppn_z]],tbl_Historique_Final[ppn_z],tbl_Historique_Final[date_modif])=Final_Sans_VGE[[#This Row],[date_modif]],
      "Ancien",
      "Modifié"),
   "Nouveau"))</f>
        <v>#VALUE!</v>
      </c>
      <c r="AD2956" s="1" t="str">
        <f>IFERROR(IF(Final_Sans_VGE[[#This Row],[ppn_z]]="","",IFERROR(
   IF(_xlfn.XLOOKUP(Final_Sans_VGE[[#This Row],[ppn_z]],tbl_Historique_Final[[#This Row],[ppn_z]],tbl_Historique_Final[[#This Row],[date_modif]])=Final_Sans_VGE[[#This Row],[date_modif]],
      "Ancien",
      "Modifié"),
   "Nouveau")),"")</f>
        <v/>
      </c>
    </row>
    <row r="2957" spans="24:30" x14ac:dyDescent="0.25">
      <c r="X2957" s="8" t="e">
        <f>IF(Final_Sans_VGE[[#This Row],[ppn_z]]="","",IFERROR(
   IF(_xlfn.XLOOKUP(Final_Sans_VGE[[#This Row],[ppn_z]],tbl_Historique_Final[ppn_z],tbl_Historique_Final[date_modif])=Final_Sans_VGE[[#This Row],[date_modif]],
      "Ancien",
      "Modifié"),
   "Nouveau"))</f>
        <v>#VALUE!</v>
      </c>
      <c r="AD2957" s="1" t="str">
        <f>IFERROR(IF(Final_Sans_VGE[[#This Row],[ppn_z]]="","",IFERROR(
   IF(_xlfn.XLOOKUP(Final_Sans_VGE[[#This Row],[ppn_z]],tbl_Historique_Final[[#This Row],[ppn_z]],tbl_Historique_Final[[#This Row],[date_modif]])=Final_Sans_VGE[[#This Row],[date_modif]],
      "Ancien",
      "Modifié"),
   "Nouveau")),"")</f>
        <v/>
      </c>
    </row>
    <row r="2958" spans="24:30" x14ac:dyDescent="0.25">
      <c r="X2958" s="8" t="e">
        <f>IF(Final_Sans_VGE[[#This Row],[ppn_z]]="","",IFERROR(
   IF(_xlfn.XLOOKUP(Final_Sans_VGE[[#This Row],[ppn_z]],tbl_Historique_Final[ppn_z],tbl_Historique_Final[date_modif])=Final_Sans_VGE[[#This Row],[date_modif]],
      "Ancien",
      "Modifié"),
   "Nouveau"))</f>
        <v>#VALUE!</v>
      </c>
      <c r="AD2958" s="1" t="str">
        <f>IFERROR(IF(Final_Sans_VGE[[#This Row],[ppn_z]]="","",IFERROR(
   IF(_xlfn.XLOOKUP(Final_Sans_VGE[[#This Row],[ppn_z]],tbl_Historique_Final[[#This Row],[ppn_z]],tbl_Historique_Final[[#This Row],[date_modif]])=Final_Sans_VGE[[#This Row],[date_modif]],
      "Ancien",
      "Modifié"),
   "Nouveau")),"")</f>
        <v/>
      </c>
    </row>
    <row r="2959" spans="24:30" x14ac:dyDescent="0.25">
      <c r="X2959" s="8" t="e">
        <f>IF(Final_Sans_VGE[[#This Row],[ppn_z]]="","",IFERROR(
   IF(_xlfn.XLOOKUP(Final_Sans_VGE[[#This Row],[ppn_z]],tbl_Historique_Final[ppn_z],tbl_Historique_Final[date_modif])=Final_Sans_VGE[[#This Row],[date_modif]],
      "Ancien",
      "Modifié"),
   "Nouveau"))</f>
        <v>#VALUE!</v>
      </c>
      <c r="AD2959" s="1" t="str">
        <f>IFERROR(IF(Final_Sans_VGE[[#This Row],[ppn_z]]="","",IFERROR(
   IF(_xlfn.XLOOKUP(Final_Sans_VGE[[#This Row],[ppn_z]],tbl_Historique_Final[[#This Row],[ppn_z]],tbl_Historique_Final[[#This Row],[date_modif]])=Final_Sans_VGE[[#This Row],[date_modif]],
      "Ancien",
      "Modifié"),
   "Nouveau")),"")</f>
        <v/>
      </c>
    </row>
    <row r="2960" spans="24:30" x14ac:dyDescent="0.25">
      <c r="X2960" s="8" t="e">
        <f>IF(Final_Sans_VGE[[#This Row],[ppn_z]]="","",IFERROR(
   IF(_xlfn.XLOOKUP(Final_Sans_VGE[[#This Row],[ppn_z]],tbl_Historique_Final[ppn_z],tbl_Historique_Final[date_modif])=Final_Sans_VGE[[#This Row],[date_modif]],
      "Ancien",
      "Modifié"),
   "Nouveau"))</f>
        <v>#VALUE!</v>
      </c>
      <c r="AD2960" s="1" t="str">
        <f>IFERROR(IF(Final_Sans_VGE[[#This Row],[ppn_z]]="","",IFERROR(
   IF(_xlfn.XLOOKUP(Final_Sans_VGE[[#This Row],[ppn_z]],tbl_Historique_Final[[#This Row],[ppn_z]],tbl_Historique_Final[[#This Row],[date_modif]])=Final_Sans_VGE[[#This Row],[date_modif]],
      "Ancien",
      "Modifié"),
   "Nouveau")),"")</f>
        <v/>
      </c>
    </row>
    <row r="2961" spans="24:30" x14ac:dyDescent="0.25">
      <c r="X2961" s="8" t="e">
        <f>IF(Final_Sans_VGE[[#This Row],[ppn_z]]="","",IFERROR(
   IF(_xlfn.XLOOKUP(Final_Sans_VGE[[#This Row],[ppn_z]],tbl_Historique_Final[ppn_z],tbl_Historique_Final[date_modif])=Final_Sans_VGE[[#This Row],[date_modif]],
      "Ancien",
      "Modifié"),
   "Nouveau"))</f>
        <v>#VALUE!</v>
      </c>
      <c r="AD2961" s="1" t="str">
        <f>IFERROR(IF(Final_Sans_VGE[[#This Row],[ppn_z]]="","",IFERROR(
   IF(_xlfn.XLOOKUP(Final_Sans_VGE[[#This Row],[ppn_z]],tbl_Historique_Final[[#This Row],[ppn_z]],tbl_Historique_Final[[#This Row],[date_modif]])=Final_Sans_VGE[[#This Row],[date_modif]],
      "Ancien",
      "Modifié"),
   "Nouveau")),"")</f>
        <v/>
      </c>
    </row>
    <row r="2962" spans="24:30" x14ac:dyDescent="0.25">
      <c r="X2962" s="8" t="e">
        <f>IF(Final_Sans_VGE[[#This Row],[ppn_z]]="","",IFERROR(
   IF(_xlfn.XLOOKUP(Final_Sans_VGE[[#This Row],[ppn_z]],tbl_Historique_Final[ppn_z],tbl_Historique_Final[date_modif])=Final_Sans_VGE[[#This Row],[date_modif]],
      "Ancien",
      "Modifié"),
   "Nouveau"))</f>
        <v>#VALUE!</v>
      </c>
      <c r="AD2962" s="1" t="str">
        <f>IFERROR(IF(Final_Sans_VGE[[#This Row],[ppn_z]]="","",IFERROR(
   IF(_xlfn.XLOOKUP(Final_Sans_VGE[[#This Row],[ppn_z]],tbl_Historique_Final[[#This Row],[ppn_z]],tbl_Historique_Final[[#This Row],[date_modif]])=Final_Sans_VGE[[#This Row],[date_modif]],
      "Ancien",
      "Modifié"),
   "Nouveau")),"")</f>
        <v/>
      </c>
    </row>
    <row r="2963" spans="24:30" x14ac:dyDescent="0.25">
      <c r="X2963" s="8" t="e">
        <f>IF(Final_Sans_VGE[[#This Row],[ppn_z]]="","",IFERROR(
   IF(_xlfn.XLOOKUP(Final_Sans_VGE[[#This Row],[ppn_z]],tbl_Historique_Final[ppn_z],tbl_Historique_Final[date_modif])=Final_Sans_VGE[[#This Row],[date_modif]],
      "Ancien",
      "Modifié"),
   "Nouveau"))</f>
        <v>#VALUE!</v>
      </c>
      <c r="AD2963" s="1" t="str">
        <f>IFERROR(IF(Final_Sans_VGE[[#This Row],[ppn_z]]="","",IFERROR(
   IF(_xlfn.XLOOKUP(Final_Sans_VGE[[#This Row],[ppn_z]],tbl_Historique_Final[[#This Row],[ppn_z]],tbl_Historique_Final[[#This Row],[date_modif]])=Final_Sans_VGE[[#This Row],[date_modif]],
      "Ancien",
      "Modifié"),
   "Nouveau")),"")</f>
        <v/>
      </c>
    </row>
    <row r="2964" spans="24:30" x14ac:dyDescent="0.25">
      <c r="X2964" s="8" t="e">
        <f>IF(Final_Sans_VGE[[#This Row],[ppn_z]]="","",IFERROR(
   IF(_xlfn.XLOOKUP(Final_Sans_VGE[[#This Row],[ppn_z]],tbl_Historique_Final[ppn_z],tbl_Historique_Final[date_modif])=Final_Sans_VGE[[#This Row],[date_modif]],
      "Ancien",
      "Modifié"),
   "Nouveau"))</f>
        <v>#VALUE!</v>
      </c>
      <c r="AD2964" s="1" t="str">
        <f>IFERROR(IF(Final_Sans_VGE[[#This Row],[ppn_z]]="","",IFERROR(
   IF(_xlfn.XLOOKUP(Final_Sans_VGE[[#This Row],[ppn_z]],tbl_Historique_Final[[#This Row],[ppn_z]],tbl_Historique_Final[[#This Row],[date_modif]])=Final_Sans_VGE[[#This Row],[date_modif]],
      "Ancien",
      "Modifié"),
   "Nouveau")),"")</f>
        <v/>
      </c>
    </row>
    <row r="2965" spans="24:30" x14ac:dyDescent="0.25">
      <c r="X2965" s="8" t="e">
        <f>IF(Final_Sans_VGE[[#This Row],[ppn_z]]="","",IFERROR(
   IF(_xlfn.XLOOKUP(Final_Sans_VGE[[#This Row],[ppn_z]],tbl_Historique_Final[ppn_z],tbl_Historique_Final[date_modif])=Final_Sans_VGE[[#This Row],[date_modif]],
      "Ancien",
      "Modifié"),
   "Nouveau"))</f>
        <v>#VALUE!</v>
      </c>
      <c r="AD2965" s="1" t="str">
        <f>IFERROR(IF(Final_Sans_VGE[[#This Row],[ppn_z]]="","",IFERROR(
   IF(_xlfn.XLOOKUP(Final_Sans_VGE[[#This Row],[ppn_z]],tbl_Historique_Final[[#This Row],[ppn_z]],tbl_Historique_Final[[#This Row],[date_modif]])=Final_Sans_VGE[[#This Row],[date_modif]],
      "Ancien",
      "Modifié"),
   "Nouveau")),"")</f>
        <v/>
      </c>
    </row>
    <row r="2966" spans="24:30" x14ac:dyDescent="0.25">
      <c r="X2966" s="8" t="e">
        <f>IF(Final_Sans_VGE[[#This Row],[ppn_z]]="","",IFERROR(
   IF(_xlfn.XLOOKUP(Final_Sans_VGE[[#This Row],[ppn_z]],tbl_Historique_Final[ppn_z],tbl_Historique_Final[date_modif])=Final_Sans_VGE[[#This Row],[date_modif]],
      "Ancien",
      "Modifié"),
   "Nouveau"))</f>
        <v>#VALUE!</v>
      </c>
      <c r="AD2966" s="1" t="str">
        <f>IFERROR(IF(Final_Sans_VGE[[#This Row],[ppn_z]]="","",IFERROR(
   IF(_xlfn.XLOOKUP(Final_Sans_VGE[[#This Row],[ppn_z]],tbl_Historique_Final[[#This Row],[ppn_z]],tbl_Historique_Final[[#This Row],[date_modif]])=Final_Sans_VGE[[#This Row],[date_modif]],
      "Ancien",
      "Modifié"),
   "Nouveau")),"")</f>
        <v/>
      </c>
    </row>
    <row r="2967" spans="24:30" x14ac:dyDescent="0.25">
      <c r="X2967" s="8" t="e">
        <f>IF(Final_Sans_VGE[[#This Row],[ppn_z]]="","",IFERROR(
   IF(_xlfn.XLOOKUP(Final_Sans_VGE[[#This Row],[ppn_z]],tbl_Historique_Final[ppn_z],tbl_Historique_Final[date_modif])=Final_Sans_VGE[[#This Row],[date_modif]],
      "Ancien",
      "Modifié"),
   "Nouveau"))</f>
        <v>#VALUE!</v>
      </c>
      <c r="AD2967" s="1" t="str">
        <f>IFERROR(IF(Final_Sans_VGE[[#This Row],[ppn_z]]="","",IFERROR(
   IF(_xlfn.XLOOKUP(Final_Sans_VGE[[#This Row],[ppn_z]],tbl_Historique_Final[[#This Row],[ppn_z]],tbl_Historique_Final[[#This Row],[date_modif]])=Final_Sans_VGE[[#This Row],[date_modif]],
      "Ancien",
      "Modifié"),
   "Nouveau")),"")</f>
        <v/>
      </c>
    </row>
    <row r="2968" spans="24:30" x14ac:dyDescent="0.25">
      <c r="X2968" s="8" t="e">
        <f>IF(Final_Sans_VGE[[#This Row],[ppn_z]]="","",IFERROR(
   IF(_xlfn.XLOOKUP(Final_Sans_VGE[[#This Row],[ppn_z]],tbl_Historique_Final[ppn_z],tbl_Historique_Final[date_modif])=Final_Sans_VGE[[#This Row],[date_modif]],
      "Ancien",
      "Modifié"),
   "Nouveau"))</f>
        <v>#VALUE!</v>
      </c>
      <c r="AD2968" s="1" t="str">
        <f>IFERROR(IF(Final_Sans_VGE[[#This Row],[ppn_z]]="","",IFERROR(
   IF(_xlfn.XLOOKUP(Final_Sans_VGE[[#This Row],[ppn_z]],tbl_Historique_Final[[#This Row],[ppn_z]],tbl_Historique_Final[[#This Row],[date_modif]])=Final_Sans_VGE[[#This Row],[date_modif]],
      "Ancien",
      "Modifié"),
   "Nouveau")),"")</f>
        <v/>
      </c>
    </row>
    <row r="2969" spans="24:30" x14ac:dyDescent="0.25">
      <c r="X2969" s="8" t="e">
        <f>IF(Final_Sans_VGE[[#This Row],[ppn_z]]="","",IFERROR(
   IF(_xlfn.XLOOKUP(Final_Sans_VGE[[#This Row],[ppn_z]],tbl_Historique_Final[ppn_z],tbl_Historique_Final[date_modif])=Final_Sans_VGE[[#This Row],[date_modif]],
      "Ancien",
      "Modifié"),
   "Nouveau"))</f>
        <v>#VALUE!</v>
      </c>
      <c r="AD2969" s="1" t="str">
        <f>IFERROR(IF(Final_Sans_VGE[[#This Row],[ppn_z]]="","",IFERROR(
   IF(_xlfn.XLOOKUP(Final_Sans_VGE[[#This Row],[ppn_z]],tbl_Historique_Final[[#This Row],[ppn_z]],tbl_Historique_Final[[#This Row],[date_modif]])=Final_Sans_VGE[[#This Row],[date_modif]],
      "Ancien",
      "Modifié"),
   "Nouveau")),"")</f>
        <v/>
      </c>
    </row>
    <row r="2970" spans="24:30" x14ac:dyDescent="0.25">
      <c r="X2970" s="8" t="e">
        <f>IF(Final_Sans_VGE[[#This Row],[ppn_z]]="","",IFERROR(
   IF(_xlfn.XLOOKUP(Final_Sans_VGE[[#This Row],[ppn_z]],tbl_Historique_Final[ppn_z],tbl_Historique_Final[date_modif])=Final_Sans_VGE[[#This Row],[date_modif]],
      "Ancien",
      "Modifié"),
   "Nouveau"))</f>
        <v>#VALUE!</v>
      </c>
      <c r="AD2970" s="1" t="str">
        <f>IFERROR(IF(Final_Sans_VGE[[#This Row],[ppn_z]]="","",IFERROR(
   IF(_xlfn.XLOOKUP(Final_Sans_VGE[[#This Row],[ppn_z]],tbl_Historique_Final[[#This Row],[ppn_z]],tbl_Historique_Final[[#This Row],[date_modif]])=Final_Sans_VGE[[#This Row],[date_modif]],
      "Ancien",
      "Modifié"),
   "Nouveau")),"")</f>
        <v/>
      </c>
    </row>
    <row r="2971" spans="24:30" x14ac:dyDescent="0.25">
      <c r="X2971" s="8" t="e">
        <f>IF(Final_Sans_VGE[[#This Row],[ppn_z]]="","",IFERROR(
   IF(_xlfn.XLOOKUP(Final_Sans_VGE[[#This Row],[ppn_z]],tbl_Historique_Final[ppn_z],tbl_Historique_Final[date_modif])=Final_Sans_VGE[[#This Row],[date_modif]],
      "Ancien",
      "Modifié"),
   "Nouveau"))</f>
        <v>#VALUE!</v>
      </c>
      <c r="AD2971" s="1" t="str">
        <f>IFERROR(IF(Final_Sans_VGE[[#This Row],[ppn_z]]="","",IFERROR(
   IF(_xlfn.XLOOKUP(Final_Sans_VGE[[#This Row],[ppn_z]],tbl_Historique_Final[[#This Row],[ppn_z]],tbl_Historique_Final[[#This Row],[date_modif]])=Final_Sans_VGE[[#This Row],[date_modif]],
      "Ancien",
      "Modifié"),
   "Nouveau")),"")</f>
        <v/>
      </c>
    </row>
    <row r="2972" spans="24:30" x14ac:dyDescent="0.25">
      <c r="X2972" s="8" t="e">
        <f>IF(Final_Sans_VGE[[#This Row],[ppn_z]]="","",IFERROR(
   IF(_xlfn.XLOOKUP(Final_Sans_VGE[[#This Row],[ppn_z]],tbl_Historique_Final[ppn_z],tbl_Historique_Final[date_modif])=Final_Sans_VGE[[#This Row],[date_modif]],
      "Ancien",
      "Modifié"),
   "Nouveau"))</f>
        <v>#VALUE!</v>
      </c>
      <c r="AD2972" s="1" t="str">
        <f>IFERROR(IF(Final_Sans_VGE[[#This Row],[ppn_z]]="","",IFERROR(
   IF(_xlfn.XLOOKUP(Final_Sans_VGE[[#This Row],[ppn_z]],tbl_Historique_Final[[#This Row],[ppn_z]],tbl_Historique_Final[[#This Row],[date_modif]])=Final_Sans_VGE[[#This Row],[date_modif]],
      "Ancien",
      "Modifié"),
   "Nouveau")),"")</f>
        <v/>
      </c>
    </row>
    <row r="2973" spans="24:30" x14ac:dyDescent="0.25">
      <c r="X2973" s="8" t="e">
        <f>IF(Final_Sans_VGE[[#This Row],[ppn_z]]="","",IFERROR(
   IF(_xlfn.XLOOKUP(Final_Sans_VGE[[#This Row],[ppn_z]],tbl_Historique_Final[ppn_z],tbl_Historique_Final[date_modif])=Final_Sans_VGE[[#This Row],[date_modif]],
      "Ancien",
      "Modifié"),
   "Nouveau"))</f>
        <v>#VALUE!</v>
      </c>
      <c r="AD2973" s="1" t="str">
        <f>IFERROR(IF(Final_Sans_VGE[[#This Row],[ppn_z]]="","",IFERROR(
   IF(_xlfn.XLOOKUP(Final_Sans_VGE[[#This Row],[ppn_z]],tbl_Historique_Final[[#This Row],[ppn_z]],tbl_Historique_Final[[#This Row],[date_modif]])=Final_Sans_VGE[[#This Row],[date_modif]],
      "Ancien",
      "Modifié"),
   "Nouveau")),"")</f>
        <v/>
      </c>
    </row>
    <row r="2974" spans="24:30" x14ac:dyDescent="0.25">
      <c r="X2974" s="8" t="e">
        <f>IF(Final_Sans_VGE[[#This Row],[ppn_z]]="","",IFERROR(
   IF(_xlfn.XLOOKUP(Final_Sans_VGE[[#This Row],[ppn_z]],tbl_Historique_Final[ppn_z],tbl_Historique_Final[date_modif])=Final_Sans_VGE[[#This Row],[date_modif]],
      "Ancien",
      "Modifié"),
   "Nouveau"))</f>
        <v>#VALUE!</v>
      </c>
      <c r="AD2974" s="1" t="str">
        <f>IFERROR(IF(Final_Sans_VGE[[#This Row],[ppn_z]]="","",IFERROR(
   IF(_xlfn.XLOOKUP(Final_Sans_VGE[[#This Row],[ppn_z]],tbl_Historique_Final[[#This Row],[ppn_z]],tbl_Historique_Final[[#This Row],[date_modif]])=Final_Sans_VGE[[#This Row],[date_modif]],
      "Ancien",
      "Modifié"),
   "Nouveau")),"")</f>
        <v/>
      </c>
    </row>
    <row r="2975" spans="24:30" x14ac:dyDescent="0.25">
      <c r="X2975" s="8" t="e">
        <f>IF(Final_Sans_VGE[[#This Row],[ppn_z]]="","",IFERROR(
   IF(_xlfn.XLOOKUP(Final_Sans_VGE[[#This Row],[ppn_z]],tbl_Historique_Final[ppn_z],tbl_Historique_Final[date_modif])=Final_Sans_VGE[[#This Row],[date_modif]],
      "Ancien",
      "Modifié"),
   "Nouveau"))</f>
        <v>#VALUE!</v>
      </c>
      <c r="AD2975" s="1" t="str">
        <f>IFERROR(IF(Final_Sans_VGE[[#This Row],[ppn_z]]="","",IFERROR(
   IF(_xlfn.XLOOKUP(Final_Sans_VGE[[#This Row],[ppn_z]],tbl_Historique_Final[[#This Row],[ppn_z]],tbl_Historique_Final[[#This Row],[date_modif]])=Final_Sans_VGE[[#This Row],[date_modif]],
      "Ancien",
      "Modifié"),
   "Nouveau")),"")</f>
        <v/>
      </c>
    </row>
    <row r="2976" spans="24:30" x14ac:dyDescent="0.25">
      <c r="X2976" s="8" t="e">
        <f>IF(Final_Sans_VGE[[#This Row],[ppn_z]]="","",IFERROR(
   IF(_xlfn.XLOOKUP(Final_Sans_VGE[[#This Row],[ppn_z]],tbl_Historique_Final[ppn_z],tbl_Historique_Final[date_modif])=Final_Sans_VGE[[#This Row],[date_modif]],
      "Ancien",
      "Modifié"),
   "Nouveau"))</f>
        <v>#VALUE!</v>
      </c>
      <c r="AD2976" s="1" t="str">
        <f>IFERROR(IF(Final_Sans_VGE[[#This Row],[ppn_z]]="","",IFERROR(
   IF(_xlfn.XLOOKUP(Final_Sans_VGE[[#This Row],[ppn_z]],tbl_Historique_Final[[#This Row],[ppn_z]],tbl_Historique_Final[[#This Row],[date_modif]])=Final_Sans_VGE[[#This Row],[date_modif]],
      "Ancien",
      "Modifié"),
   "Nouveau")),"")</f>
        <v/>
      </c>
    </row>
    <row r="2977" spans="24:30" x14ac:dyDescent="0.25">
      <c r="X2977" s="8" t="e">
        <f>IF(Final_Sans_VGE[[#This Row],[ppn_z]]="","",IFERROR(
   IF(_xlfn.XLOOKUP(Final_Sans_VGE[[#This Row],[ppn_z]],tbl_Historique_Final[ppn_z],tbl_Historique_Final[date_modif])=Final_Sans_VGE[[#This Row],[date_modif]],
      "Ancien",
      "Modifié"),
   "Nouveau"))</f>
        <v>#VALUE!</v>
      </c>
      <c r="AD2977" s="1" t="str">
        <f>IFERROR(IF(Final_Sans_VGE[[#This Row],[ppn_z]]="","",IFERROR(
   IF(_xlfn.XLOOKUP(Final_Sans_VGE[[#This Row],[ppn_z]],tbl_Historique_Final[[#This Row],[ppn_z]],tbl_Historique_Final[[#This Row],[date_modif]])=Final_Sans_VGE[[#This Row],[date_modif]],
      "Ancien",
      "Modifié"),
   "Nouveau")),"")</f>
        <v/>
      </c>
    </row>
    <row r="2978" spans="24:30" x14ac:dyDescent="0.25">
      <c r="X2978" s="8" t="e">
        <f>IF(Final_Sans_VGE[[#This Row],[ppn_z]]="","",IFERROR(
   IF(_xlfn.XLOOKUP(Final_Sans_VGE[[#This Row],[ppn_z]],tbl_Historique_Final[ppn_z],tbl_Historique_Final[date_modif])=Final_Sans_VGE[[#This Row],[date_modif]],
      "Ancien",
      "Modifié"),
   "Nouveau"))</f>
        <v>#VALUE!</v>
      </c>
      <c r="AD2978" s="1" t="str">
        <f>IFERROR(IF(Final_Sans_VGE[[#This Row],[ppn_z]]="","",IFERROR(
   IF(_xlfn.XLOOKUP(Final_Sans_VGE[[#This Row],[ppn_z]],tbl_Historique_Final[[#This Row],[ppn_z]],tbl_Historique_Final[[#This Row],[date_modif]])=Final_Sans_VGE[[#This Row],[date_modif]],
      "Ancien",
      "Modifié"),
   "Nouveau")),"")</f>
        <v/>
      </c>
    </row>
    <row r="2979" spans="24:30" x14ac:dyDescent="0.25">
      <c r="X2979" s="8" t="e">
        <f>IF(Final_Sans_VGE[[#This Row],[ppn_z]]="","",IFERROR(
   IF(_xlfn.XLOOKUP(Final_Sans_VGE[[#This Row],[ppn_z]],tbl_Historique_Final[ppn_z],tbl_Historique_Final[date_modif])=Final_Sans_VGE[[#This Row],[date_modif]],
      "Ancien",
      "Modifié"),
   "Nouveau"))</f>
        <v>#VALUE!</v>
      </c>
      <c r="AD2979" s="1" t="str">
        <f>IFERROR(IF(Final_Sans_VGE[[#This Row],[ppn_z]]="","",IFERROR(
   IF(_xlfn.XLOOKUP(Final_Sans_VGE[[#This Row],[ppn_z]],tbl_Historique_Final[[#This Row],[ppn_z]],tbl_Historique_Final[[#This Row],[date_modif]])=Final_Sans_VGE[[#This Row],[date_modif]],
      "Ancien",
      "Modifié"),
   "Nouveau")),"")</f>
        <v/>
      </c>
    </row>
    <row r="2980" spans="24:30" x14ac:dyDescent="0.25">
      <c r="X2980" s="8" t="e">
        <f>IF(Final_Sans_VGE[[#This Row],[ppn_z]]="","",IFERROR(
   IF(_xlfn.XLOOKUP(Final_Sans_VGE[[#This Row],[ppn_z]],tbl_Historique_Final[ppn_z],tbl_Historique_Final[date_modif])=Final_Sans_VGE[[#This Row],[date_modif]],
      "Ancien",
      "Modifié"),
   "Nouveau"))</f>
        <v>#VALUE!</v>
      </c>
      <c r="AD2980" s="1" t="str">
        <f>IFERROR(IF(Final_Sans_VGE[[#This Row],[ppn_z]]="","",IFERROR(
   IF(_xlfn.XLOOKUP(Final_Sans_VGE[[#This Row],[ppn_z]],tbl_Historique_Final[[#This Row],[ppn_z]],tbl_Historique_Final[[#This Row],[date_modif]])=Final_Sans_VGE[[#This Row],[date_modif]],
      "Ancien",
      "Modifié"),
   "Nouveau")),"")</f>
        <v/>
      </c>
    </row>
    <row r="2981" spans="24:30" x14ac:dyDescent="0.25">
      <c r="X2981" s="8" t="e">
        <f>IF(Final_Sans_VGE[[#This Row],[ppn_z]]="","",IFERROR(
   IF(_xlfn.XLOOKUP(Final_Sans_VGE[[#This Row],[ppn_z]],tbl_Historique_Final[ppn_z],tbl_Historique_Final[date_modif])=Final_Sans_VGE[[#This Row],[date_modif]],
      "Ancien",
      "Modifié"),
   "Nouveau"))</f>
        <v>#VALUE!</v>
      </c>
      <c r="AD2981" s="1" t="str">
        <f>IFERROR(IF(Final_Sans_VGE[[#This Row],[ppn_z]]="","",IFERROR(
   IF(_xlfn.XLOOKUP(Final_Sans_VGE[[#This Row],[ppn_z]],tbl_Historique_Final[[#This Row],[ppn_z]],tbl_Historique_Final[[#This Row],[date_modif]])=Final_Sans_VGE[[#This Row],[date_modif]],
      "Ancien",
      "Modifié"),
   "Nouveau")),"")</f>
        <v/>
      </c>
    </row>
    <row r="2982" spans="24:30" x14ac:dyDescent="0.25">
      <c r="X2982" s="8" t="e">
        <f>IF(Final_Sans_VGE[[#This Row],[ppn_z]]="","",IFERROR(
   IF(_xlfn.XLOOKUP(Final_Sans_VGE[[#This Row],[ppn_z]],tbl_Historique_Final[ppn_z],tbl_Historique_Final[date_modif])=Final_Sans_VGE[[#This Row],[date_modif]],
      "Ancien",
      "Modifié"),
   "Nouveau"))</f>
        <v>#VALUE!</v>
      </c>
      <c r="AD2982" s="1" t="str">
        <f>IFERROR(IF(Final_Sans_VGE[[#This Row],[ppn_z]]="","",IFERROR(
   IF(_xlfn.XLOOKUP(Final_Sans_VGE[[#This Row],[ppn_z]],tbl_Historique_Final[[#This Row],[ppn_z]],tbl_Historique_Final[[#This Row],[date_modif]])=Final_Sans_VGE[[#This Row],[date_modif]],
      "Ancien",
      "Modifié"),
   "Nouveau")),"")</f>
        <v/>
      </c>
    </row>
    <row r="2983" spans="24:30" x14ac:dyDescent="0.25">
      <c r="X2983" s="8" t="e">
        <f>IF(Final_Sans_VGE[[#This Row],[ppn_z]]="","",IFERROR(
   IF(_xlfn.XLOOKUP(Final_Sans_VGE[[#This Row],[ppn_z]],tbl_Historique_Final[ppn_z],tbl_Historique_Final[date_modif])=Final_Sans_VGE[[#This Row],[date_modif]],
      "Ancien",
      "Modifié"),
   "Nouveau"))</f>
        <v>#VALUE!</v>
      </c>
      <c r="AD2983" s="1" t="str">
        <f>IFERROR(IF(Final_Sans_VGE[[#This Row],[ppn_z]]="","",IFERROR(
   IF(_xlfn.XLOOKUP(Final_Sans_VGE[[#This Row],[ppn_z]],tbl_Historique_Final[[#This Row],[ppn_z]],tbl_Historique_Final[[#This Row],[date_modif]])=Final_Sans_VGE[[#This Row],[date_modif]],
      "Ancien",
      "Modifié"),
   "Nouveau")),"")</f>
        <v/>
      </c>
    </row>
    <row r="2984" spans="24:30" x14ac:dyDescent="0.25">
      <c r="X2984" s="8" t="e">
        <f>IF(Final_Sans_VGE[[#This Row],[ppn_z]]="","",IFERROR(
   IF(_xlfn.XLOOKUP(Final_Sans_VGE[[#This Row],[ppn_z]],tbl_Historique_Final[ppn_z],tbl_Historique_Final[date_modif])=Final_Sans_VGE[[#This Row],[date_modif]],
      "Ancien",
      "Modifié"),
   "Nouveau"))</f>
        <v>#VALUE!</v>
      </c>
      <c r="AD2984" s="1" t="str">
        <f>IFERROR(IF(Final_Sans_VGE[[#This Row],[ppn_z]]="","",IFERROR(
   IF(_xlfn.XLOOKUP(Final_Sans_VGE[[#This Row],[ppn_z]],tbl_Historique_Final[[#This Row],[ppn_z]],tbl_Historique_Final[[#This Row],[date_modif]])=Final_Sans_VGE[[#This Row],[date_modif]],
      "Ancien",
      "Modifié"),
   "Nouveau")),"")</f>
        <v/>
      </c>
    </row>
    <row r="2985" spans="24:30" x14ac:dyDescent="0.25">
      <c r="X2985" s="8" t="e">
        <f>IF(Final_Sans_VGE[[#This Row],[ppn_z]]="","",IFERROR(
   IF(_xlfn.XLOOKUP(Final_Sans_VGE[[#This Row],[ppn_z]],tbl_Historique_Final[ppn_z],tbl_Historique_Final[date_modif])=Final_Sans_VGE[[#This Row],[date_modif]],
      "Ancien",
      "Modifié"),
   "Nouveau"))</f>
        <v>#VALUE!</v>
      </c>
      <c r="AD2985" s="1" t="str">
        <f>IFERROR(IF(Final_Sans_VGE[[#This Row],[ppn_z]]="","",IFERROR(
   IF(_xlfn.XLOOKUP(Final_Sans_VGE[[#This Row],[ppn_z]],tbl_Historique_Final[[#This Row],[ppn_z]],tbl_Historique_Final[[#This Row],[date_modif]])=Final_Sans_VGE[[#This Row],[date_modif]],
      "Ancien",
      "Modifié"),
   "Nouveau")),"")</f>
        <v/>
      </c>
    </row>
    <row r="2986" spans="24:30" x14ac:dyDescent="0.25">
      <c r="X2986" s="8" t="e">
        <f>IF(Final_Sans_VGE[[#This Row],[ppn_z]]="","",IFERROR(
   IF(_xlfn.XLOOKUP(Final_Sans_VGE[[#This Row],[ppn_z]],tbl_Historique_Final[ppn_z],tbl_Historique_Final[date_modif])=Final_Sans_VGE[[#This Row],[date_modif]],
      "Ancien",
      "Modifié"),
   "Nouveau"))</f>
        <v>#VALUE!</v>
      </c>
      <c r="AD2986" s="1" t="str">
        <f>IFERROR(IF(Final_Sans_VGE[[#This Row],[ppn_z]]="","",IFERROR(
   IF(_xlfn.XLOOKUP(Final_Sans_VGE[[#This Row],[ppn_z]],tbl_Historique_Final[[#This Row],[ppn_z]],tbl_Historique_Final[[#This Row],[date_modif]])=Final_Sans_VGE[[#This Row],[date_modif]],
      "Ancien",
      "Modifié"),
   "Nouveau")),"")</f>
        <v/>
      </c>
    </row>
    <row r="2987" spans="24:30" x14ac:dyDescent="0.25">
      <c r="X2987" s="8" t="e">
        <f>IF(Final_Sans_VGE[[#This Row],[ppn_z]]="","",IFERROR(
   IF(_xlfn.XLOOKUP(Final_Sans_VGE[[#This Row],[ppn_z]],tbl_Historique_Final[ppn_z],tbl_Historique_Final[date_modif])=Final_Sans_VGE[[#This Row],[date_modif]],
      "Ancien",
      "Modifié"),
   "Nouveau"))</f>
        <v>#VALUE!</v>
      </c>
      <c r="AD2987" s="1" t="str">
        <f>IFERROR(IF(Final_Sans_VGE[[#This Row],[ppn_z]]="","",IFERROR(
   IF(_xlfn.XLOOKUP(Final_Sans_VGE[[#This Row],[ppn_z]],tbl_Historique_Final[[#This Row],[ppn_z]],tbl_Historique_Final[[#This Row],[date_modif]])=Final_Sans_VGE[[#This Row],[date_modif]],
      "Ancien",
      "Modifié"),
   "Nouveau")),"")</f>
        <v/>
      </c>
    </row>
    <row r="2988" spans="24:30" x14ac:dyDescent="0.25">
      <c r="X2988" s="8" t="e">
        <f>IF(Final_Sans_VGE[[#This Row],[ppn_z]]="","",IFERROR(
   IF(_xlfn.XLOOKUP(Final_Sans_VGE[[#This Row],[ppn_z]],tbl_Historique_Final[ppn_z],tbl_Historique_Final[date_modif])=Final_Sans_VGE[[#This Row],[date_modif]],
      "Ancien",
      "Modifié"),
   "Nouveau"))</f>
        <v>#VALUE!</v>
      </c>
      <c r="AD2988" s="1" t="str">
        <f>IFERROR(IF(Final_Sans_VGE[[#This Row],[ppn_z]]="","",IFERROR(
   IF(_xlfn.XLOOKUP(Final_Sans_VGE[[#This Row],[ppn_z]],tbl_Historique_Final[[#This Row],[ppn_z]],tbl_Historique_Final[[#This Row],[date_modif]])=Final_Sans_VGE[[#This Row],[date_modif]],
      "Ancien",
      "Modifié"),
   "Nouveau")),"")</f>
        <v/>
      </c>
    </row>
    <row r="2989" spans="24:30" x14ac:dyDescent="0.25">
      <c r="X2989" s="8" t="e">
        <f>IF(Final_Sans_VGE[[#This Row],[ppn_z]]="","",IFERROR(
   IF(_xlfn.XLOOKUP(Final_Sans_VGE[[#This Row],[ppn_z]],tbl_Historique_Final[ppn_z],tbl_Historique_Final[date_modif])=Final_Sans_VGE[[#This Row],[date_modif]],
      "Ancien",
      "Modifié"),
   "Nouveau"))</f>
        <v>#VALUE!</v>
      </c>
      <c r="AD2989" s="1" t="str">
        <f>IFERROR(IF(Final_Sans_VGE[[#This Row],[ppn_z]]="","",IFERROR(
   IF(_xlfn.XLOOKUP(Final_Sans_VGE[[#This Row],[ppn_z]],tbl_Historique_Final[[#This Row],[ppn_z]],tbl_Historique_Final[[#This Row],[date_modif]])=Final_Sans_VGE[[#This Row],[date_modif]],
      "Ancien",
      "Modifié"),
   "Nouveau")),"")</f>
        <v/>
      </c>
    </row>
    <row r="2990" spans="24:30" x14ac:dyDescent="0.25">
      <c r="X2990" s="8" t="e">
        <f>IF(Final_Sans_VGE[[#This Row],[ppn_z]]="","",IFERROR(
   IF(_xlfn.XLOOKUP(Final_Sans_VGE[[#This Row],[ppn_z]],tbl_Historique_Final[ppn_z],tbl_Historique_Final[date_modif])=Final_Sans_VGE[[#This Row],[date_modif]],
      "Ancien",
      "Modifié"),
   "Nouveau"))</f>
        <v>#VALUE!</v>
      </c>
      <c r="AD2990" s="1" t="str">
        <f>IFERROR(IF(Final_Sans_VGE[[#This Row],[ppn_z]]="","",IFERROR(
   IF(_xlfn.XLOOKUP(Final_Sans_VGE[[#This Row],[ppn_z]],tbl_Historique_Final[[#This Row],[ppn_z]],tbl_Historique_Final[[#This Row],[date_modif]])=Final_Sans_VGE[[#This Row],[date_modif]],
      "Ancien",
      "Modifié"),
   "Nouveau")),"")</f>
        <v/>
      </c>
    </row>
    <row r="2991" spans="24:30" x14ac:dyDescent="0.25">
      <c r="X2991" s="8" t="e">
        <f>IF(Final_Sans_VGE[[#This Row],[ppn_z]]="","",IFERROR(
   IF(_xlfn.XLOOKUP(Final_Sans_VGE[[#This Row],[ppn_z]],tbl_Historique_Final[ppn_z],tbl_Historique_Final[date_modif])=Final_Sans_VGE[[#This Row],[date_modif]],
      "Ancien",
      "Modifié"),
   "Nouveau"))</f>
        <v>#VALUE!</v>
      </c>
      <c r="AD2991" s="1" t="str">
        <f>IFERROR(IF(Final_Sans_VGE[[#This Row],[ppn_z]]="","",IFERROR(
   IF(_xlfn.XLOOKUP(Final_Sans_VGE[[#This Row],[ppn_z]],tbl_Historique_Final[[#This Row],[ppn_z]],tbl_Historique_Final[[#This Row],[date_modif]])=Final_Sans_VGE[[#This Row],[date_modif]],
      "Ancien",
      "Modifié"),
   "Nouveau")),"")</f>
        <v/>
      </c>
    </row>
    <row r="2992" spans="24:30" x14ac:dyDescent="0.25">
      <c r="X2992" s="8" t="e">
        <f>IF(Final_Sans_VGE[[#This Row],[ppn_z]]="","",IFERROR(
   IF(_xlfn.XLOOKUP(Final_Sans_VGE[[#This Row],[ppn_z]],tbl_Historique_Final[ppn_z],tbl_Historique_Final[date_modif])=Final_Sans_VGE[[#This Row],[date_modif]],
      "Ancien",
      "Modifié"),
   "Nouveau"))</f>
        <v>#VALUE!</v>
      </c>
      <c r="AD2992" s="1" t="str">
        <f>IFERROR(IF(Final_Sans_VGE[[#This Row],[ppn_z]]="","",IFERROR(
   IF(_xlfn.XLOOKUP(Final_Sans_VGE[[#This Row],[ppn_z]],tbl_Historique_Final[[#This Row],[ppn_z]],tbl_Historique_Final[[#This Row],[date_modif]])=Final_Sans_VGE[[#This Row],[date_modif]],
      "Ancien",
      "Modifié"),
   "Nouveau")),"")</f>
        <v/>
      </c>
    </row>
    <row r="2993" spans="24:30" x14ac:dyDescent="0.25">
      <c r="X2993" s="8" t="e">
        <f>IF(Final_Sans_VGE[[#This Row],[ppn_z]]="","",IFERROR(
   IF(_xlfn.XLOOKUP(Final_Sans_VGE[[#This Row],[ppn_z]],tbl_Historique_Final[ppn_z],tbl_Historique_Final[date_modif])=Final_Sans_VGE[[#This Row],[date_modif]],
      "Ancien",
      "Modifié"),
   "Nouveau"))</f>
        <v>#VALUE!</v>
      </c>
      <c r="AD2993" s="1" t="str">
        <f>IFERROR(IF(Final_Sans_VGE[[#This Row],[ppn_z]]="","",IFERROR(
   IF(_xlfn.XLOOKUP(Final_Sans_VGE[[#This Row],[ppn_z]],tbl_Historique_Final[[#This Row],[ppn_z]],tbl_Historique_Final[[#This Row],[date_modif]])=Final_Sans_VGE[[#This Row],[date_modif]],
      "Ancien",
      "Modifié"),
   "Nouveau")),"")</f>
        <v/>
      </c>
    </row>
    <row r="2994" spans="24:30" x14ac:dyDescent="0.25">
      <c r="X2994" s="8" t="e">
        <f>IF(Final_Sans_VGE[[#This Row],[ppn_z]]="","",IFERROR(
   IF(_xlfn.XLOOKUP(Final_Sans_VGE[[#This Row],[ppn_z]],tbl_Historique_Final[ppn_z],tbl_Historique_Final[date_modif])=Final_Sans_VGE[[#This Row],[date_modif]],
      "Ancien",
      "Modifié"),
   "Nouveau"))</f>
        <v>#VALUE!</v>
      </c>
      <c r="AD2994" s="1" t="str">
        <f>IFERROR(IF(Final_Sans_VGE[[#This Row],[ppn_z]]="","",IFERROR(
   IF(_xlfn.XLOOKUP(Final_Sans_VGE[[#This Row],[ppn_z]],tbl_Historique_Final[[#This Row],[ppn_z]],tbl_Historique_Final[[#This Row],[date_modif]])=Final_Sans_VGE[[#This Row],[date_modif]],
      "Ancien",
      "Modifié"),
   "Nouveau")),"")</f>
        <v/>
      </c>
    </row>
    <row r="2995" spans="24:30" x14ac:dyDescent="0.25">
      <c r="X2995" s="8" t="e">
        <f>IF(Final_Sans_VGE[[#This Row],[ppn_z]]="","",IFERROR(
   IF(_xlfn.XLOOKUP(Final_Sans_VGE[[#This Row],[ppn_z]],tbl_Historique_Final[ppn_z],tbl_Historique_Final[date_modif])=Final_Sans_VGE[[#This Row],[date_modif]],
      "Ancien",
      "Modifié"),
   "Nouveau"))</f>
        <v>#VALUE!</v>
      </c>
      <c r="AD2995" s="1" t="str">
        <f>IFERROR(IF(Final_Sans_VGE[[#This Row],[ppn_z]]="","",IFERROR(
   IF(_xlfn.XLOOKUP(Final_Sans_VGE[[#This Row],[ppn_z]],tbl_Historique_Final[[#This Row],[ppn_z]],tbl_Historique_Final[[#This Row],[date_modif]])=Final_Sans_VGE[[#This Row],[date_modif]],
      "Ancien",
      "Modifié"),
   "Nouveau")),"")</f>
        <v/>
      </c>
    </row>
    <row r="2996" spans="24:30" x14ac:dyDescent="0.25">
      <c r="X2996" s="8" t="e">
        <f>IF(Final_Sans_VGE[[#This Row],[ppn_z]]="","",IFERROR(
   IF(_xlfn.XLOOKUP(Final_Sans_VGE[[#This Row],[ppn_z]],tbl_Historique_Final[ppn_z],tbl_Historique_Final[date_modif])=Final_Sans_VGE[[#This Row],[date_modif]],
      "Ancien",
      "Modifié"),
   "Nouveau"))</f>
        <v>#VALUE!</v>
      </c>
      <c r="AD2996" s="1" t="str">
        <f>IFERROR(IF(Final_Sans_VGE[[#This Row],[ppn_z]]="","",IFERROR(
   IF(_xlfn.XLOOKUP(Final_Sans_VGE[[#This Row],[ppn_z]],tbl_Historique_Final[[#This Row],[ppn_z]],tbl_Historique_Final[[#This Row],[date_modif]])=Final_Sans_VGE[[#This Row],[date_modif]],
      "Ancien",
      "Modifié"),
   "Nouveau")),"")</f>
        <v/>
      </c>
    </row>
    <row r="2997" spans="24:30" x14ac:dyDescent="0.25">
      <c r="X2997" s="8" t="e">
        <f>IF(Final_Sans_VGE[[#This Row],[ppn_z]]="","",IFERROR(
   IF(_xlfn.XLOOKUP(Final_Sans_VGE[[#This Row],[ppn_z]],tbl_Historique_Final[ppn_z],tbl_Historique_Final[date_modif])=Final_Sans_VGE[[#This Row],[date_modif]],
      "Ancien",
      "Modifié"),
   "Nouveau"))</f>
        <v>#VALUE!</v>
      </c>
      <c r="AD2997" s="1" t="str">
        <f>IFERROR(IF(Final_Sans_VGE[[#This Row],[ppn_z]]="","",IFERROR(
   IF(_xlfn.XLOOKUP(Final_Sans_VGE[[#This Row],[ppn_z]],tbl_Historique_Final[[#This Row],[ppn_z]],tbl_Historique_Final[[#This Row],[date_modif]])=Final_Sans_VGE[[#This Row],[date_modif]],
      "Ancien",
      "Modifié"),
   "Nouveau")),"")</f>
        <v/>
      </c>
    </row>
    <row r="2998" spans="24:30" x14ac:dyDescent="0.25">
      <c r="X2998" s="8" t="e">
        <f>IF(Final_Sans_VGE[[#This Row],[ppn_z]]="","",IFERROR(
   IF(_xlfn.XLOOKUP(Final_Sans_VGE[[#This Row],[ppn_z]],tbl_Historique_Final[ppn_z],tbl_Historique_Final[date_modif])=Final_Sans_VGE[[#This Row],[date_modif]],
      "Ancien",
      "Modifié"),
   "Nouveau"))</f>
        <v>#VALUE!</v>
      </c>
      <c r="AD2998" s="1" t="str">
        <f>IFERROR(IF(Final_Sans_VGE[[#This Row],[ppn_z]]="","",IFERROR(
   IF(_xlfn.XLOOKUP(Final_Sans_VGE[[#This Row],[ppn_z]],tbl_Historique_Final[[#This Row],[ppn_z]],tbl_Historique_Final[[#This Row],[date_modif]])=Final_Sans_VGE[[#This Row],[date_modif]],
      "Ancien",
      "Modifié"),
   "Nouveau")),"")</f>
        <v/>
      </c>
    </row>
    <row r="2999" spans="24:30" x14ac:dyDescent="0.25">
      <c r="X2999" s="8" t="e">
        <f>IF(Final_Sans_VGE[[#This Row],[ppn_z]]="","",IFERROR(
   IF(_xlfn.XLOOKUP(Final_Sans_VGE[[#This Row],[ppn_z]],tbl_Historique_Final[ppn_z],tbl_Historique_Final[date_modif])=Final_Sans_VGE[[#This Row],[date_modif]],
      "Ancien",
      "Modifié"),
   "Nouveau"))</f>
        <v>#VALUE!</v>
      </c>
      <c r="AD2999" s="1" t="str">
        <f>IFERROR(IF(Final_Sans_VGE[[#This Row],[ppn_z]]="","",IFERROR(
   IF(_xlfn.XLOOKUP(Final_Sans_VGE[[#This Row],[ppn_z]],tbl_Historique_Final[[#This Row],[ppn_z]],tbl_Historique_Final[[#This Row],[date_modif]])=Final_Sans_VGE[[#This Row],[date_modif]],
      "Ancien",
      "Modifié"),
   "Nouveau")),"")</f>
        <v/>
      </c>
    </row>
    <row r="3000" spans="24:30" x14ac:dyDescent="0.25">
      <c r="X3000" s="8" t="e">
        <f>IF(Final_Sans_VGE[[#This Row],[ppn_z]]="","",IFERROR(
   IF(_xlfn.XLOOKUP(Final_Sans_VGE[[#This Row],[ppn_z]],tbl_Historique_Final[ppn_z],tbl_Historique_Final[date_modif])=Final_Sans_VGE[[#This Row],[date_modif]],
      "Ancien",
      "Modifié"),
   "Nouveau"))</f>
        <v>#VALUE!</v>
      </c>
      <c r="AD3000" s="1" t="str">
        <f>IFERROR(IF(Final_Sans_VGE[[#This Row],[ppn_z]]="","",IFERROR(
   IF(_xlfn.XLOOKUP(Final_Sans_VGE[[#This Row],[ppn_z]],tbl_Historique_Final[[#This Row],[ppn_z]],tbl_Historique_Final[[#This Row],[date_modif]])=Final_Sans_VGE[[#This Row],[date_modif]],
      "Ancien",
      "Modifié"),
   "Nouveau")),"")</f>
        <v/>
      </c>
    </row>
    <row r="3001" spans="24:30" x14ac:dyDescent="0.25">
      <c r="X3001" s="8" t="e">
        <f>IF(Final_Sans_VGE[[#This Row],[ppn_z]]="","",IFERROR(
   IF(_xlfn.XLOOKUP(Final_Sans_VGE[[#This Row],[ppn_z]],tbl_Historique_Final[ppn_z],tbl_Historique_Final[date_modif])=Final_Sans_VGE[[#This Row],[date_modif]],
      "Ancien",
      "Modifié"),
   "Nouveau"))</f>
        <v>#VALUE!</v>
      </c>
      <c r="AD3001" s="1" t="str">
        <f>IFERROR(IF(Final_Sans_VGE[[#This Row],[ppn_z]]="","",IFERROR(
   IF(_xlfn.XLOOKUP(Final_Sans_VGE[[#This Row],[ppn_z]],tbl_Historique_Final[[#This Row],[ppn_z]],tbl_Historique_Final[[#This Row],[date_modif]])=Final_Sans_VGE[[#This Row],[date_modif]],
      "Ancien",
      "Modifié"),
   "Nouveau")),"")</f>
        <v/>
      </c>
    </row>
    <row r="3002" spans="24:30" x14ac:dyDescent="0.25">
      <c r="X3002" s="8" t="e">
        <f>IF(Final_Sans_VGE[[#This Row],[ppn_z]]="","",IFERROR(
   IF(_xlfn.XLOOKUP(Final_Sans_VGE[[#This Row],[ppn_z]],tbl_Historique_Final[ppn_z],tbl_Historique_Final[date_modif])=Final_Sans_VGE[[#This Row],[date_modif]],
      "Ancien",
      "Modifié"),
   "Nouveau"))</f>
        <v>#VALUE!</v>
      </c>
      <c r="AD3002" s="1" t="str">
        <f>IFERROR(IF(Final_Sans_VGE[[#This Row],[ppn_z]]="","",IFERROR(
   IF(_xlfn.XLOOKUP(Final_Sans_VGE[[#This Row],[ppn_z]],tbl_Historique_Final[[#This Row],[ppn_z]],tbl_Historique_Final[[#This Row],[date_modif]])=Final_Sans_VGE[[#This Row],[date_modif]],
      "Ancien",
      "Modifié"),
   "Nouveau")),"")</f>
        <v/>
      </c>
    </row>
    <row r="3003" spans="24:30" x14ac:dyDescent="0.25">
      <c r="X3003" s="8" t="e">
        <f>IF(Final_Sans_VGE[[#This Row],[ppn_z]]="","",IFERROR(
   IF(_xlfn.XLOOKUP(Final_Sans_VGE[[#This Row],[ppn_z]],tbl_Historique_Final[ppn_z],tbl_Historique_Final[date_modif])=Final_Sans_VGE[[#This Row],[date_modif]],
      "Ancien",
      "Modifié"),
   "Nouveau"))</f>
        <v>#VALUE!</v>
      </c>
      <c r="AD3003" s="1" t="str">
        <f>IFERROR(IF(Final_Sans_VGE[[#This Row],[ppn_z]]="","",IFERROR(
   IF(_xlfn.XLOOKUP(Final_Sans_VGE[[#This Row],[ppn_z]],tbl_Historique_Final[[#This Row],[ppn_z]],tbl_Historique_Final[[#This Row],[date_modif]])=Final_Sans_VGE[[#This Row],[date_modif]],
      "Ancien",
      "Modifié"),
   "Nouveau")),"")</f>
        <v/>
      </c>
    </row>
    <row r="3004" spans="24:30" x14ac:dyDescent="0.25">
      <c r="X3004" s="8" t="e">
        <f>IF(Final_Sans_VGE[[#This Row],[ppn_z]]="","",IFERROR(
   IF(_xlfn.XLOOKUP(Final_Sans_VGE[[#This Row],[ppn_z]],tbl_Historique_Final[ppn_z],tbl_Historique_Final[date_modif])=Final_Sans_VGE[[#This Row],[date_modif]],
      "Ancien",
      "Modifié"),
   "Nouveau"))</f>
        <v>#VALUE!</v>
      </c>
      <c r="AD3004" s="1" t="str">
        <f>IFERROR(IF(Final_Sans_VGE[[#This Row],[ppn_z]]="","",IFERROR(
   IF(_xlfn.XLOOKUP(Final_Sans_VGE[[#This Row],[ppn_z]],tbl_Historique_Final[[#This Row],[ppn_z]],tbl_Historique_Final[[#This Row],[date_modif]])=Final_Sans_VGE[[#This Row],[date_modif]],
      "Ancien",
      "Modifié"),
   "Nouveau")),"")</f>
        <v/>
      </c>
    </row>
    <row r="3005" spans="24:30" x14ac:dyDescent="0.25">
      <c r="X3005" s="8" t="e">
        <f>IF(Final_Sans_VGE[[#This Row],[ppn_z]]="","",IFERROR(
   IF(_xlfn.XLOOKUP(Final_Sans_VGE[[#This Row],[ppn_z]],tbl_Historique_Final[ppn_z],tbl_Historique_Final[date_modif])=Final_Sans_VGE[[#This Row],[date_modif]],
      "Ancien",
      "Modifié"),
   "Nouveau"))</f>
        <v>#VALUE!</v>
      </c>
      <c r="AD3005" s="1" t="str">
        <f>IFERROR(IF(Final_Sans_VGE[[#This Row],[ppn_z]]="","",IFERROR(
   IF(_xlfn.XLOOKUP(Final_Sans_VGE[[#This Row],[ppn_z]],tbl_Historique_Final[[#This Row],[ppn_z]],tbl_Historique_Final[[#This Row],[date_modif]])=Final_Sans_VGE[[#This Row],[date_modif]],
      "Ancien",
      "Modifié"),
   "Nouveau")),"")</f>
        <v/>
      </c>
    </row>
    <row r="3006" spans="24:30" x14ac:dyDescent="0.25">
      <c r="X3006" s="8" t="e">
        <f>IF(Final_Sans_VGE[[#This Row],[ppn_z]]="","",IFERROR(
   IF(_xlfn.XLOOKUP(Final_Sans_VGE[[#This Row],[ppn_z]],tbl_Historique_Final[ppn_z],tbl_Historique_Final[date_modif])=Final_Sans_VGE[[#This Row],[date_modif]],
      "Ancien",
      "Modifié"),
   "Nouveau"))</f>
        <v>#VALUE!</v>
      </c>
      <c r="AD3006" s="1" t="str">
        <f>IFERROR(IF(Final_Sans_VGE[[#This Row],[ppn_z]]="","",IFERROR(
   IF(_xlfn.XLOOKUP(Final_Sans_VGE[[#This Row],[ppn_z]],tbl_Historique_Final[[#This Row],[ppn_z]],tbl_Historique_Final[[#This Row],[date_modif]])=Final_Sans_VGE[[#This Row],[date_modif]],
      "Ancien",
      "Modifié"),
   "Nouveau")),"")</f>
        <v/>
      </c>
    </row>
    <row r="3007" spans="24:30" x14ac:dyDescent="0.25">
      <c r="X3007" s="8" t="e">
        <f>IF(Final_Sans_VGE[[#This Row],[ppn_z]]="","",IFERROR(
   IF(_xlfn.XLOOKUP(Final_Sans_VGE[[#This Row],[ppn_z]],tbl_Historique_Final[ppn_z],tbl_Historique_Final[date_modif])=Final_Sans_VGE[[#This Row],[date_modif]],
      "Ancien",
      "Modifié"),
   "Nouveau"))</f>
        <v>#VALUE!</v>
      </c>
      <c r="AD3007" s="1" t="str">
        <f>IFERROR(IF(Final_Sans_VGE[[#This Row],[ppn_z]]="","",IFERROR(
   IF(_xlfn.XLOOKUP(Final_Sans_VGE[[#This Row],[ppn_z]],tbl_Historique_Final[[#This Row],[ppn_z]],tbl_Historique_Final[[#This Row],[date_modif]])=Final_Sans_VGE[[#This Row],[date_modif]],
      "Ancien",
      "Modifié"),
   "Nouveau")),"")</f>
        <v/>
      </c>
    </row>
    <row r="3008" spans="24:30" x14ac:dyDescent="0.25">
      <c r="X3008" s="8" t="e">
        <f>IF(Final_Sans_VGE[[#This Row],[ppn_z]]="","",IFERROR(
   IF(_xlfn.XLOOKUP(Final_Sans_VGE[[#This Row],[ppn_z]],tbl_Historique_Final[ppn_z],tbl_Historique_Final[date_modif])=Final_Sans_VGE[[#This Row],[date_modif]],
      "Ancien",
      "Modifié"),
   "Nouveau"))</f>
        <v>#VALUE!</v>
      </c>
      <c r="AD3008" s="1" t="str">
        <f>IFERROR(IF(Final_Sans_VGE[[#This Row],[ppn_z]]="","",IFERROR(
   IF(_xlfn.XLOOKUP(Final_Sans_VGE[[#This Row],[ppn_z]],tbl_Historique_Final[[#This Row],[ppn_z]],tbl_Historique_Final[[#This Row],[date_modif]])=Final_Sans_VGE[[#This Row],[date_modif]],
      "Ancien",
      "Modifié"),
   "Nouveau")),"")</f>
        <v/>
      </c>
    </row>
    <row r="3009" spans="24:30" x14ac:dyDescent="0.25">
      <c r="X3009" s="8" t="e">
        <f>IF(Final_Sans_VGE[[#This Row],[ppn_z]]="","",IFERROR(
   IF(_xlfn.XLOOKUP(Final_Sans_VGE[[#This Row],[ppn_z]],tbl_Historique_Final[ppn_z],tbl_Historique_Final[date_modif])=Final_Sans_VGE[[#This Row],[date_modif]],
      "Ancien",
      "Modifié"),
   "Nouveau"))</f>
        <v>#VALUE!</v>
      </c>
      <c r="AD3009" s="1" t="str">
        <f>IFERROR(IF(Final_Sans_VGE[[#This Row],[ppn_z]]="","",IFERROR(
   IF(_xlfn.XLOOKUP(Final_Sans_VGE[[#This Row],[ppn_z]],tbl_Historique_Final[[#This Row],[ppn_z]],tbl_Historique_Final[[#This Row],[date_modif]])=Final_Sans_VGE[[#This Row],[date_modif]],
      "Ancien",
      "Modifié"),
   "Nouveau")),"")</f>
        <v/>
      </c>
    </row>
    <row r="3010" spans="24:30" x14ac:dyDescent="0.25">
      <c r="X3010" s="8" t="e">
        <f>IF(Final_Sans_VGE[[#This Row],[ppn_z]]="","",IFERROR(
   IF(_xlfn.XLOOKUP(Final_Sans_VGE[[#This Row],[ppn_z]],tbl_Historique_Final[ppn_z],tbl_Historique_Final[date_modif])=Final_Sans_VGE[[#This Row],[date_modif]],
      "Ancien",
      "Modifié"),
   "Nouveau"))</f>
        <v>#VALUE!</v>
      </c>
      <c r="AD3010" s="1" t="str">
        <f>IFERROR(IF(Final_Sans_VGE[[#This Row],[ppn_z]]="","",IFERROR(
   IF(_xlfn.XLOOKUP(Final_Sans_VGE[[#This Row],[ppn_z]],tbl_Historique_Final[[#This Row],[ppn_z]],tbl_Historique_Final[[#This Row],[date_modif]])=Final_Sans_VGE[[#This Row],[date_modif]],
      "Ancien",
      "Modifié"),
   "Nouveau")),"")</f>
        <v/>
      </c>
    </row>
    <row r="3011" spans="24:30" x14ac:dyDescent="0.25">
      <c r="X3011" s="8" t="e">
        <f>IF(Final_Sans_VGE[[#This Row],[ppn_z]]="","",IFERROR(
   IF(_xlfn.XLOOKUP(Final_Sans_VGE[[#This Row],[ppn_z]],tbl_Historique_Final[ppn_z],tbl_Historique_Final[date_modif])=Final_Sans_VGE[[#This Row],[date_modif]],
      "Ancien",
      "Modifié"),
   "Nouveau"))</f>
        <v>#VALUE!</v>
      </c>
      <c r="AD3011" s="1" t="str">
        <f>IFERROR(IF(Final_Sans_VGE[[#This Row],[ppn_z]]="","",IFERROR(
   IF(_xlfn.XLOOKUP(Final_Sans_VGE[[#This Row],[ppn_z]],tbl_Historique_Final[[#This Row],[ppn_z]],tbl_Historique_Final[[#This Row],[date_modif]])=Final_Sans_VGE[[#This Row],[date_modif]],
      "Ancien",
      "Modifié"),
   "Nouveau")),"")</f>
        <v/>
      </c>
    </row>
    <row r="3012" spans="24:30" x14ac:dyDescent="0.25">
      <c r="X3012" s="8" t="e">
        <f>IF(Final_Sans_VGE[[#This Row],[ppn_z]]="","",IFERROR(
   IF(_xlfn.XLOOKUP(Final_Sans_VGE[[#This Row],[ppn_z]],tbl_Historique_Final[ppn_z],tbl_Historique_Final[date_modif])=Final_Sans_VGE[[#This Row],[date_modif]],
      "Ancien",
      "Modifié"),
   "Nouveau"))</f>
        <v>#VALUE!</v>
      </c>
      <c r="AD3012" s="1" t="str">
        <f>IFERROR(IF(Final_Sans_VGE[[#This Row],[ppn_z]]="","",IFERROR(
   IF(_xlfn.XLOOKUP(Final_Sans_VGE[[#This Row],[ppn_z]],tbl_Historique_Final[[#This Row],[ppn_z]],tbl_Historique_Final[[#This Row],[date_modif]])=Final_Sans_VGE[[#This Row],[date_modif]],
      "Ancien",
      "Modifié"),
   "Nouveau")),"")</f>
        <v/>
      </c>
    </row>
    <row r="3013" spans="24:30" x14ac:dyDescent="0.25">
      <c r="X3013" s="8" t="e">
        <f>IF(Final_Sans_VGE[[#This Row],[ppn_z]]="","",IFERROR(
   IF(_xlfn.XLOOKUP(Final_Sans_VGE[[#This Row],[ppn_z]],tbl_Historique_Final[ppn_z],tbl_Historique_Final[date_modif])=Final_Sans_VGE[[#This Row],[date_modif]],
      "Ancien",
      "Modifié"),
   "Nouveau"))</f>
        <v>#VALUE!</v>
      </c>
      <c r="AD3013" s="1" t="str">
        <f>IFERROR(IF(Final_Sans_VGE[[#This Row],[ppn_z]]="","",IFERROR(
   IF(_xlfn.XLOOKUP(Final_Sans_VGE[[#This Row],[ppn_z]],tbl_Historique_Final[[#This Row],[ppn_z]],tbl_Historique_Final[[#This Row],[date_modif]])=Final_Sans_VGE[[#This Row],[date_modif]],
      "Ancien",
      "Modifié"),
   "Nouveau")),"")</f>
        <v/>
      </c>
    </row>
    <row r="3014" spans="24:30" x14ac:dyDescent="0.25">
      <c r="X3014" s="8" t="e">
        <f>IF(Final_Sans_VGE[[#This Row],[ppn_z]]="","",IFERROR(
   IF(_xlfn.XLOOKUP(Final_Sans_VGE[[#This Row],[ppn_z]],tbl_Historique_Final[ppn_z],tbl_Historique_Final[date_modif])=Final_Sans_VGE[[#This Row],[date_modif]],
      "Ancien",
      "Modifié"),
   "Nouveau"))</f>
        <v>#VALUE!</v>
      </c>
      <c r="AD3014" s="1" t="str">
        <f>IFERROR(IF(Final_Sans_VGE[[#This Row],[ppn_z]]="","",IFERROR(
   IF(_xlfn.XLOOKUP(Final_Sans_VGE[[#This Row],[ppn_z]],tbl_Historique_Final[[#This Row],[ppn_z]],tbl_Historique_Final[[#This Row],[date_modif]])=Final_Sans_VGE[[#This Row],[date_modif]],
      "Ancien",
      "Modifié"),
   "Nouveau")),"")</f>
        <v/>
      </c>
    </row>
    <row r="3015" spans="24:30" x14ac:dyDescent="0.25">
      <c r="X3015" s="8" t="e">
        <f>IF(Final_Sans_VGE[[#This Row],[ppn_z]]="","",IFERROR(
   IF(_xlfn.XLOOKUP(Final_Sans_VGE[[#This Row],[ppn_z]],tbl_Historique_Final[ppn_z],tbl_Historique_Final[date_modif])=Final_Sans_VGE[[#This Row],[date_modif]],
      "Ancien",
      "Modifié"),
   "Nouveau"))</f>
        <v>#VALUE!</v>
      </c>
      <c r="AD3015" s="1" t="str">
        <f>IFERROR(IF(Final_Sans_VGE[[#This Row],[ppn_z]]="","",IFERROR(
   IF(_xlfn.XLOOKUP(Final_Sans_VGE[[#This Row],[ppn_z]],tbl_Historique_Final[[#This Row],[ppn_z]],tbl_Historique_Final[[#This Row],[date_modif]])=Final_Sans_VGE[[#This Row],[date_modif]],
      "Ancien",
      "Modifié"),
   "Nouveau")),"")</f>
        <v/>
      </c>
    </row>
    <row r="3016" spans="24:30" x14ac:dyDescent="0.25">
      <c r="X3016" s="8" t="e">
        <f>IF(Final_Sans_VGE[[#This Row],[ppn_z]]="","",IFERROR(
   IF(_xlfn.XLOOKUP(Final_Sans_VGE[[#This Row],[ppn_z]],tbl_Historique_Final[ppn_z],tbl_Historique_Final[date_modif])=Final_Sans_VGE[[#This Row],[date_modif]],
      "Ancien",
      "Modifié"),
   "Nouveau"))</f>
        <v>#VALUE!</v>
      </c>
      <c r="AD3016" s="1" t="str">
        <f>IFERROR(IF(Final_Sans_VGE[[#This Row],[ppn_z]]="","",IFERROR(
   IF(_xlfn.XLOOKUP(Final_Sans_VGE[[#This Row],[ppn_z]],tbl_Historique_Final[[#This Row],[ppn_z]],tbl_Historique_Final[[#This Row],[date_modif]])=Final_Sans_VGE[[#This Row],[date_modif]],
      "Ancien",
      "Modifié"),
   "Nouveau")),"")</f>
        <v/>
      </c>
    </row>
    <row r="3017" spans="24:30" x14ac:dyDescent="0.25">
      <c r="X3017" s="8" t="e">
        <f>IF(Final_Sans_VGE[[#This Row],[ppn_z]]="","",IFERROR(
   IF(_xlfn.XLOOKUP(Final_Sans_VGE[[#This Row],[ppn_z]],tbl_Historique_Final[ppn_z],tbl_Historique_Final[date_modif])=Final_Sans_VGE[[#This Row],[date_modif]],
      "Ancien",
      "Modifié"),
   "Nouveau"))</f>
        <v>#VALUE!</v>
      </c>
      <c r="AD3017" s="1" t="str">
        <f>IFERROR(IF(Final_Sans_VGE[[#This Row],[ppn_z]]="","",IFERROR(
   IF(_xlfn.XLOOKUP(Final_Sans_VGE[[#This Row],[ppn_z]],tbl_Historique_Final[[#This Row],[ppn_z]],tbl_Historique_Final[[#This Row],[date_modif]])=Final_Sans_VGE[[#This Row],[date_modif]],
      "Ancien",
      "Modifié"),
   "Nouveau")),"")</f>
        <v/>
      </c>
    </row>
    <row r="3018" spans="24:30" x14ac:dyDescent="0.25">
      <c r="X3018" s="8" t="e">
        <f>IF(Final_Sans_VGE[[#This Row],[ppn_z]]="","",IFERROR(
   IF(_xlfn.XLOOKUP(Final_Sans_VGE[[#This Row],[ppn_z]],tbl_Historique_Final[ppn_z],tbl_Historique_Final[date_modif])=Final_Sans_VGE[[#This Row],[date_modif]],
      "Ancien",
      "Modifié"),
   "Nouveau"))</f>
        <v>#VALUE!</v>
      </c>
      <c r="AD3018" s="1" t="str">
        <f>IFERROR(IF(Final_Sans_VGE[[#This Row],[ppn_z]]="","",IFERROR(
   IF(_xlfn.XLOOKUP(Final_Sans_VGE[[#This Row],[ppn_z]],tbl_Historique_Final[[#This Row],[ppn_z]],tbl_Historique_Final[[#This Row],[date_modif]])=Final_Sans_VGE[[#This Row],[date_modif]],
      "Ancien",
      "Modifié"),
   "Nouveau")),"")</f>
        <v/>
      </c>
    </row>
    <row r="3019" spans="24:30" x14ac:dyDescent="0.25">
      <c r="X3019" s="8" t="e">
        <f>IF(Final_Sans_VGE[[#This Row],[ppn_z]]="","",IFERROR(
   IF(_xlfn.XLOOKUP(Final_Sans_VGE[[#This Row],[ppn_z]],tbl_Historique_Final[ppn_z],tbl_Historique_Final[date_modif])=Final_Sans_VGE[[#This Row],[date_modif]],
      "Ancien",
      "Modifié"),
   "Nouveau"))</f>
        <v>#VALUE!</v>
      </c>
      <c r="AD3019" s="1" t="str">
        <f>IFERROR(IF(Final_Sans_VGE[[#This Row],[ppn_z]]="","",IFERROR(
   IF(_xlfn.XLOOKUP(Final_Sans_VGE[[#This Row],[ppn_z]],tbl_Historique_Final[[#This Row],[ppn_z]],tbl_Historique_Final[[#This Row],[date_modif]])=Final_Sans_VGE[[#This Row],[date_modif]],
      "Ancien",
      "Modifié"),
   "Nouveau")),"")</f>
        <v/>
      </c>
    </row>
    <row r="3020" spans="24:30" x14ac:dyDescent="0.25">
      <c r="X3020" s="8" t="e">
        <f>IF(Final_Sans_VGE[[#This Row],[ppn_z]]="","",IFERROR(
   IF(_xlfn.XLOOKUP(Final_Sans_VGE[[#This Row],[ppn_z]],tbl_Historique_Final[ppn_z],tbl_Historique_Final[date_modif])=Final_Sans_VGE[[#This Row],[date_modif]],
      "Ancien",
      "Modifié"),
   "Nouveau"))</f>
        <v>#VALUE!</v>
      </c>
      <c r="AD3020" s="1" t="str">
        <f>IFERROR(IF(Final_Sans_VGE[[#This Row],[ppn_z]]="","",IFERROR(
   IF(_xlfn.XLOOKUP(Final_Sans_VGE[[#This Row],[ppn_z]],tbl_Historique_Final[[#This Row],[ppn_z]],tbl_Historique_Final[[#This Row],[date_modif]])=Final_Sans_VGE[[#This Row],[date_modif]],
      "Ancien",
      "Modifié"),
   "Nouveau")),"")</f>
        <v/>
      </c>
    </row>
    <row r="3021" spans="24:30" x14ac:dyDescent="0.25">
      <c r="X3021" s="8" t="e">
        <f>IF(Final_Sans_VGE[[#This Row],[ppn_z]]="","",IFERROR(
   IF(_xlfn.XLOOKUP(Final_Sans_VGE[[#This Row],[ppn_z]],tbl_Historique_Final[ppn_z],tbl_Historique_Final[date_modif])=Final_Sans_VGE[[#This Row],[date_modif]],
      "Ancien",
      "Modifié"),
   "Nouveau"))</f>
        <v>#VALUE!</v>
      </c>
      <c r="AD3021" s="1" t="str">
        <f>IFERROR(IF(Final_Sans_VGE[[#This Row],[ppn_z]]="","",IFERROR(
   IF(_xlfn.XLOOKUP(Final_Sans_VGE[[#This Row],[ppn_z]],tbl_Historique_Final[[#This Row],[ppn_z]],tbl_Historique_Final[[#This Row],[date_modif]])=Final_Sans_VGE[[#This Row],[date_modif]],
      "Ancien",
      "Modifié"),
   "Nouveau")),"")</f>
        <v/>
      </c>
    </row>
    <row r="3022" spans="24:30" x14ac:dyDescent="0.25">
      <c r="X3022" s="8" t="e">
        <f>IF(Final_Sans_VGE[[#This Row],[ppn_z]]="","",IFERROR(
   IF(_xlfn.XLOOKUP(Final_Sans_VGE[[#This Row],[ppn_z]],tbl_Historique_Final[ppn_z],tbl_Historique_Final[date_modif])=Final_Sans_VGE[[#This Row],[date_modif]],
      "Ancien",
      "Modifié"),
   "Nouveau"))</f>
        <v>#VALUE!</v>
      </c>
      <c r="AD3022" s="1" t="str">
        <f>IFERROR(IF(Final_Sans_VGE[[#This Row],[ppn_z]]="","",IFERROR(
   IF(_xlfn.XLOOKUP(Final_Sans_VGE[[#This Row],[ppn_z]],tbl_Historique_Final[[#This Row],[ppn_z]],tbl_Historique_Final[[#This Row],[date_modif]])=Final_Sans_VGE[[#This Row],[date_modif]],
      "Ancien",
      "Modifié"),
   "Nouveau")),"")</f>
        <v/>
      </c>
    </row>
    <row r="3023" spans="24:30" x14ac:dyDescent="0.25">
      <c r="X3023" s="8" t="e">
        <f>IF(Final_Sans_VGE[[#This Row],[ppn_z]]="","",IFERROR(
   IF(_xlfn.XLOOKUP(Final_Sans_VGE[[#This Row],[ppn_z]],tbl_Historique_Final[ppn_z],tbl_Historique_Final[date_modif])=Final_Sans_VGE[[#This Row],[date_modif]],
      "Ancien",
      "Modifié"),
   "Nouveau"))</f>
        <v>#VALUE!</v>
      </c>
      <c r="AD3023" s="1" t="str">
        <f>IFERROR(IF(Final_Sans_VGE[[#This Row],[ppn_z]]="","",IFERROR(
   IF(_xlfn.XLOOKUP(Final_Sans_VGE[[#This Row],[ppn_z]],tbl_Historique_Final[[#This Row],[ppn_z]],tbl_Historique_Final[[#This Row],[date_modif]])=Final_Sans_VGE[[#This Row],[date_modif]],
      "Ancien",
      "Modifié"),
   "Nouveau")),"")</f>
        <v/>
      </c>
    </row>
    <row r="3024" spans="24:30" x14ac:dyDescent="0.25">
      <c r="X3024" s="8" t="e">
        <f>IF(Final_Sans_VGE[[#This Row],[ppn_z]]="","",IFERROR(
   IF(_xlfn.XLOOKUP(Final_Sans_VGE[[#This Row],[ppn_z]],tbl_Historique_Final[ppn_z],tbl_Historique_Final[date_modif])=Final_Sans_VGE[[#This Row],[date_modif]],
      "Ancien",
      "Modifié"),
   "Nouveau"))</f>
        <v>#VALUE!</v>
      </c>
      <c r="AD3024" s="1" t="str">
        <f>IFERROR(IF(Final_Sans_VGE[[#This Row],[ppn_z]]="","",IFERROR(
   IF(_xlfn.XLOOKUP(Final_Sans_VGE[[#This Row],[ppn_z]],tbl_Historique_Final[[#This Row],[ppn_z]],tbl_Historique_Final[[#This Row],[date_modif]])=Final_Sans_VGE[[#This Row],[date_modif]],
      "Ancien",
      "Modifié"),
   "Nouveau")),"")</f>
        <v/>
      </c>
    </row>
    <row r="3025" spans="24:30" x14ac:dyDescent="0.25">
      <c r="X3025" s="8" t="e">
        <f>IF(Final_Sans_VGE[[#This Row],[ppn_z]]="","",IFERROR(
   IF(_xlfn.XLOOKUP(Final_Sans_VGE[[#This Row],[ppn_z]],tbl_Historique_Final[ppn_z],tbl_Historique_Final[date_modif])=Final_Sans_VGE[[#This Row],[date_modif]],
      "Ancien",
      "Modifié"),
   "Nouveau"))</f>
        <v>#VALUE!</v>
      </c>
      <c r="AD3025" s="1" t="str">
        <f>IFERROR(IF(Final_Sans_VGE[[#This Row],[ppn_z]]="","",IFERROR(
   IF(_xlfn.XLOOKUP(Final_Sans_VGE[[#This Row],[ppn_z]],tbl_Historique_Final[[#This Row],[ppn_z]],tbl_Historique_Final[[#This Row],[date_modif]])=Final_Sans_VGE[[#This Row],[date_modif]],
      "Ancien",
      "Modifié"),
   "Nouveau")),"")</f>
        <v/>
      </c>
    </row>
    <row r="3026" spans="24:30" x14ac:dyDescent="0.25">
      <c r="X3026" s="8" t="e">
        <f>IF(Final_Sans_VGE[[#This Row],[ppn_z]]="","",IFERROR(
   IF(_xlfn.XLOOKUP(Final_Sans_VGE[[#This Row],[ppn_z]],tbl_Historique_Final[ppn_z],tbl_Historique_Final[date_modif])=Final_Sans_VGE[[#This Row],[date_modif]],
      "Ancien",
      "Modifié"),
   "Nouveau"))</f>
        <v>#VALUE!</v>
      </c>
      <c r="AD3026" s="1" t="str">
        <f>IFERROR(IF(Final_Sans_VGE[[#This Row],[ppn_z]]="","",IFERROR(
   IF(_xlfn.XLOOKUP(Final_Sans_VGE[[#This Row],[ppn_z]],tbl_Historique_Final[[#This Row],[ppn_z]],tbl_Historique_Final[[#This Row],[date_modif]])=Final_Sans_VGE[[#This Row],[date_modif]],
      "Ancien",
      "Modifié"),
   "Nouveau")),"")</f>
        <v/>
      </c>
    </row>
    <row r="3027" spans="24:30" x14ac:dyDescent="0.25">
      <c r="X3027" s="8" t="e">
        <f>IF(Final_Sans_VGE[[#This Row],[ppn_z]]="","",IFERROR(
   IF(_xlfn.XLOOKUP(Final_Sans_VGE[[#This Row],[ppn_z]],tbl_Historique_Final[ppn_z],tbl_Historique_Final[date_modif])=Final_Sans_VGE[[#This Row],[date_modif]],
      "Ancien",
      "Modifié"),
   "Nouveau"))</f>
        <v>#VALUE!</v>
      </c>
      <c r="AD3027" s="1" t="str">
        <f>IFERROR(IF(Final_Sans_VGE[[#This Row],[ppn_z]]="","",IFERROR(
   IF(_xlfn.XLOOKUP(Final_Sans_VGE[[#This Row],[ppn_z]],tbl_Historique_Final[[#This Row],[ppn_z]],tbl_Historique_Final[[#This Row],[date_modif]])=Final_Sans_VGE[[#This Row],[date_modif]],
      "Ancien",
      "Modifié"),
   "Nouveau")),"")</f>
        <v/>
      </c>
    </row>
    <row r="3028" spans="24:30" x14ac:dyDescent="0.25">
      <c r="X3028" s="8" t="e">
        <f>IF(Final_Sans_VGE[[#This Row],[ppn_z]]="","",IFERROR(
   IF(_xlfn.XLOOKUP(Final_Sans_VGE[[#This Row],[ppn_z]],tbl_Historique_Final[ppn_z],tbl_Historique_Final[date_modif])=Final_Sans_VGE[[#This Row],[date_modif]],
      "Ancien",
      "Modifié"),
   "Nouveau"))</f>
        <v>#VALUE!</v>
      </c>
      <c r="AD3028" s="1" t="str">
        <f>IFERROR(IF(Final_Sans_VGE[[#This Row],[ppn_z]]="","",IFERROR(
   IF(_xlfn.XLOOKUP(Final_Sans_VGE[[#This Row],[ppn_z]],tbl_Historique_Final[[#This Row],[ppn_z]],tbl_Historique_Final[[#This Row],[date_modif]])=Final_Sans_VGE[[#This Row],[date_modif]],
      "Ancien",
      "Modifié"),
   "Nouveau")),"")</f>
        <v/>
      </c>
    </row>
    <row r="3029" spans="24:30" x14ac:dyDescent="0.25">
      <c r="X3029" s="8" t="e">
        <f>IF(Final_Sans_VGE[[#This Row],[ppn_z]]="","",IFERROR(
   IF(_xlfn.XLOOKUP(Final_Sans_VGE[[#This Row],[ppn_z]],tbl_Historique_Final[ppn_z],tbl_Historique_Final[date_modif])=Final_Sans_VGE[[#This Row],[date_modif]],
      "Ancien",
      "Modifié"),
   "Nouveau"))</f>
        <v>#VALUE!</v>
      </c>
      <c r="AD3029" s="1" t="str">
        <f>IFERROR(IF(Final_Sans_VGE[[#This Row],[ppn_z]]="","",IFERROR(
   IF(_xlfn.XLOOKUP(Final_Sans_VGE[[#This Row],[ppn_z]],tbl_Historique_Final[[#This Row],[ppn_z]],tbl_Historique_Final[[#This Row],[date_modif]])=Final_Sans_VGE[[#This Row],[date_modif]],
      "Ancien",
      "Modifié"),
   "Nouveau")),"")</f>
        <v/>
      </c>
    </row>
    <row r="3030" spans="24:30" x14ac:dyDescent="0.25">
      <c r="X3030" s="8" t="e">
        <f>IF(Final_Sans_VGE[[#This Row],[ppn_z]]="","",IFERROR(
   IF(_xlfn.XLOOKUP(Final_Sans_VGE[[#This Row],[ppn_z]],tbl_Historique_Final[ppn_z],tbl_Historique_Final[date_modif])=Final_Sans_VGE[[#This Row],[date_modif]],
      "Ancien",
      "Modifié"),
   "Nouveau"))</f>
        <v>#VALUE!</v>
      </c>
      <c r="AD3030" s="1" t="str">
        <f>IFERROR(IF(Final_Sans_VGE[[#This Row],[ppn_z]]="","",IFERROR(
   IF(_xlfn.XLOOKUP(Final_Sans_VGE[[#This Row],[ppn_z]],tbl_Historique_Final[[#This Row],[ppn_z]],tbl_Historique_Final[[#This Row],[date_modif]])=Final_Sans_VGE[[#This Row],[date_modif]],
      "Ancien",
      "Modifié"),
   "Nouveau")),"")</f>
        <v/>
      </c>
    </row>
    <row r="3031" spans="24:30" x14ac:dyDescent="0.25">
      <c r="X3031" s="8" t="e">
        <f>IF(Final_Sans_VGE[[#This Row],[ppn_z]]="","",IFERROR(
   IF(_xlfn.XLOOKUP(Final_Sans_VGE[[#This Row],[ppn_z]],tbl_Historique_Final[ppn_z],tbl_Historique_Final[date_modif])=Final_Sans_VGE[[#This Row],[date_modif]],
      "Ancien",
      "Modifié"),
   "Nouveau"))</f>
        <v>#VALUE!</v>
      </c>
      <c r="AD3031" s="1" t="str">
        <f>IFERROR(IF(Final_Sans_VGE[[#This Row],[ppn_z]]="","",IFERROR(
   IF(_xlfn.XLOOKUP(Final_Sans_VGE[[#This Row],[ppn_z]],tbl_Historique_Final[[#This Row],[ppn_z]],tbl_Historique_Final[[#This Row],[date_modif]])=Final_Sans_VGE[[#This Row],[date_modif]],
      "Ancien",
      "Modifié"),
   "Nouveau")),"")</f>
        <v/>
      </c>
    </row>
    <row r="3032" spans="24:30" x14ac:dyDescent="0.25">
      <c r="X3032" s="8" t="e">
        <f>IF(Final_Sans_VGE[[#This Row],[ppn_z]]="","",IFERROR(
   IF(_xlfn.XLOOKUP(Final_Sans_VGE[[#This Row],[ppn_z]],tbl_Historique_Final[ppn_z],tbl_Historique_Final[date_modif])=Final_Sans_VGE[[#This Row],[date_modif]],
      "Ancien",
      "Modifié"),
   "Nouveau"))</f>
        <v>#VALUE!</v>
      </c>
      <c r="AD3032" s="1" t="str">
        <f>IFERROR(IF(Final_Sans_VGE[[#This Row],[ppn_z]]="","",IFERROR(
   IF(_xlfn.XLOOKUP(Final_Sans_VGE[[#This Row],[ppn_z]],tbl_Historique_Final[[#This Row],[ppn_z]],tbl_Historique_Final[[#This Row],[date_modif]])=Final_Sans_VGE[[#This Row],[date_modif]],
      "Ancien",
      "Modifié"),
   "Nouveau")),"")</f>
        <v/>
      </c>
    </row>
    <row r="3033" spans="24:30" x14ac:dyDescent="0.25">
      <c r="X3033" s="8" t="e">
        <f>IF(Final_Sans_VGE[[#This Row],[ppn_z]]="","",IFERROR(
   IF(_xlfn.XLOOKUP(Final_Sans_VGE[[#This Row],[ppn_z]],tbl_Historique_Final[ppn_z],tbl_Historique_Final[date_modif])=Final_Sans_VGE[[#This Row],[date_modif]],
      "Ancien",
      "Modifié"),
   "Nouveau"))</f>
        <v>#VALUE!</v>
      </c>
      <c r="AD3033" s="1" t="str">
        <f>IFERROR(IF(Final_Sans_VGE[[#This Row],[ppn_z]]="","",IFERROR(
   IF(_xlfn.XLOOKUP(Final_Sans_VGE[[#This Row],[ppn_z]],tbl_Historique_Final[[#This Row],[ppn_z]],tbl_Historique_Final[[#This Row],[date_modif]])=Final_Sans_VGE[[#This Row],[date_modif]],
      "Ancien",
      "Modifié"),
   "Nouveau")),"")</f>
        <v/>
      </c>
    </row>
    <row r="3034" spans="24:30" x14ac:dyDescent="0.25">
      <c r="X3034" s="8" t="e">
        <f>IF(Final_Sans_VGE[[#This Row],[ppn_z]]="","",IFERROR(
   IF(_xlfn.XLOOKUP(Final_Sans_VGE[[#This Row],[ppn_z]],tbl_Historique_Final[ppn_z],tbl_Historique_Final[date_modif])=Final_Sans_VGE[[#This Row],[date_modif]],
      "Ancien",
      "Modifié"),
   "Nouveau"))</f>
        <v>#VALUE!</v>
      </c>
      <c r="AD3034" s="1" t="str">
        <f>IFERROR(IF(Final_Sans_VGE[[#This Row],[ppn_z]]="","",IFERROR(
   IF(_xlfn.XLOOKUP(Final_Sans_VGE[[#This Row],[ppn_z]],tbl_Historique_Final[[#This Row],[ppn_z]],tbl_Historique_Final[[#This Row],[date_modif]])=Final_Sans_VGE[[#This Row],[date_modif]],
      "Ancien",
      "Modifié"),
   "Nouveau")),"")</f>
        <v/>
      </c>
    </row>
    <row r="3035" spans="24:30" x14ac:dyDescent="0.25">
      <c r="X3035" s="8" t="e">
        <f>IF(Final_Sans_VGE[[#This Row],[ppn_z]]="","",IFERROR(
   IF(_xlfn.XLOOKUP(Final_Sans_VGE[[#This Row],[ppn_z]],tbl_Historique_Final[ppn_z],tbl_Historique_Final[date_modif])=Final_Sans_VGE[[#This Row],[date_modif]],
      "Ancien",
      "Modifié"),
   "Nouveau"))</f>
        <v>#VALUE!</v>
      </c>
      <c r="AD3035" s="1" t="str">
        <f>IFERROR(IF(Final_Sans_VGE[[#This Row],[ppn_z]]="","",IFERROR(
   IF(_xlfn.XLOOKUP(Final_Sans_VGE[[#This Row],[ppn_z]],tbl_Historique_Final[[#This Row],[ppn_z]],tbl_Historique_Final[[#This Row],[date_modif]])=Final_Sans_VGE[[#This Row],[date_modif]],
      "Ancien",
      "Modifié"),
   "Nouveau")),"")</f>
        <v/>
      </c>
    </row>
    <row r="3036" spans="24:30" x14ac:dyDescent="0.25">
      <c r="X3036" s="8" t="e">
        <f>IF(Final_Sans_VGE[[#This Row],[ppn_z]]="","",IFERROR(
   IF(_xlfn.XLOOKUP(Final_Sans_VGE[[#This Row],[ppn_z]],tbl_Historique_Final[ppn_z],tbl_Historique_Final[date_modif])=Final_Sans_VGE[[#This Row],[date_modif]],
      "Ancien",
      "Modifié"),
   "Nouveau"))</f>
        <v>#VALUE!</v>
      </c>
      <c r="AD3036" s="1" t="str">
        <f>IFERROR(IF(Final_Sans_VGE[[#This Row],[ppn_z]]="","",IFERROR(
   IF(_xlfn.XLOOKUP(Final_Sans_VGE[[#This Row],[ppn_z]],tbl_Historique_Final[[#This Row],[ppn_z]],tbl_Historique_Final[[#This Row],[date_modif]])=Final_Sans_VGE[[#This Row],[date_modif]],
      "Ancien",
      "Modifié"),
   "Nouveau")),"")</f>
        <v/>
      </c>
    </row>
    <row r="3037" spans="24:30" x14ac:dyDescent="0.25">
      <c r="X3037" s="8" t="e">
        <f>IF(Final_Sans_VGE[[#This Row],[ppn_z]]="","",IFERROR(
   IF(_xlfn.XLOOKUP(Final_Sans_VGE[[#This Row],[ppn_z]],tbl_Historique_Final[ppn_z],tbl_Historique_Final[date_modif])=Final_Sans_VGE[[#This Row],[date_modif]],
      "Ancien",
      "Modifié"),
   "Nouveau"))</f>
        <v>#VALUE!</v>
      </c>
      <c r="AD3037" s="1" t="str">
        <f>IFERROR(IF(Final_Sans_VGE[[#This Row],[ppn_z]]="","",IFERROR(
   IF(_xlfn.XLOOKUP(Final_Sans_VGE[[#This Row],[ppn_z]],tbl_Historique_Final[[#This Row],[ppn_z]],tbl_Historique_Final[[#This Row],[date_modif]])=Final_Sans_VGE[[#This Row],[date_modif]],
      "Ancien",
      "Modifié"),
   "Nouveau")),"")</f>
        <v/>
      </c>
    </row>
    <row r="3038" spans="24:30" x14ac:dyDescent="0.25">
      <c r="X3038" s="8" t="e">
        <f>IF(Final_Sans_VGE[[#This Row],[ppn_z]]="","",IFERROR(
   IF(_xlfn.XLOOKUP(Final_Sans_VGE[[#This Row],[ppn_z]],tbl_Historique_Final[ppn_z],tbl_Historique_Final[date_modif])=Final_Sans_VGE[[#This Row],[date_modif]],
      "Ancien",
      "Modifié"),
   "Nouveau"))</f>
        <v>#VALUE!</v>
      </c>
      <c r="AD3038" s="1" t="str">
        <f>IFERROR(IF(Final_Sans_VGE[[#This Row],[ppn_z]]="","",IFERROR(
   IF(_xlfn.XLOOKUP(Final_Sans_VGE[[#This Row],[ppn_z]],tbl_Historique_Final[[#This Row],[ppn_z]],tbl_Historique_Final[[#This Row],[date_modif]])=Final_Sans_VGE[[#This Row],[date_modif]],
      "Ancien",
      "Modifié"),
   "Nouveau")),"")</f>
        <v/>
      </c>
    </row>
    <row r="3039" spans="24:30" x14ac:dyDescent="0.25">
      <c r="X3039" s="8" t="e">
        <f>IF(Final_Sans_VGE[[#This Row],[ppn_z]]="","",IFERROR(
   IF(_xlfn.XLOOKUP(Final_Sans_VGE[[#This Row],[ppn_z]],tbl_Historique_Final[ppn_z],tbl_Historique_Final[date_modif])=Final_Sans_VGE[[#This Row],[date_modif]],
      "Ancien",
      "Modifié"),
   "Nouveau"))</f>
        <v>#VALUE!</v>
      </c>
      <c r="AD3039" s="1" t="str">
        <f>IFERROR(IF(Final_Sans_VGE[[#This Row],[ppn_z]]="","",IFERROR(
   IF(_xlfn.XLOOKUP(Final_Sans_VGE[[#This Row],[ppn_z]],tbl_Historique_Final[[#This Row],[ppn_z]],tbl_Historique_Final[[#This Row],[date_modif]])=Final_Sans_VGE[[#This Row],[date_modif]],
      "Ancien",
      "Modifié"),
   "Nouveau")),"")</f>
        <v/>
      </c>
    </row>
    <row r="3040" spans="24:30" x14ac:dyDescent="0.25">
      <c r="X3040" s="8" t="e">
        <f>IF(Final_Sans_VGE[[#This Row],[ppn_z]]="","",IFERROR(
   IF(_xlfn.XLOOKUP(Final_Sans_VGE[[#This Row],[ppn_z]],tbl_Historique_Final[ppn_z],tbl_Historique_Final[date_modif])=Final_Sans_VGE[[#This Row],[date_modif]],
      "Ancien",
      "Modifié"),
   "Nouveau"))</f>
        <v>#VALUE!</v>
      </c>
      <c r="AD3040" s="1" t="str">
        <f>IFERROR(IF(Final_Sans_VGE[[#This Row],[ppn_z]]="","",IFERROR(
   IF(_xlfn.XLOOKUP(Final_Sans_VGE[[#This Row],[ppn_z]],tbl_Historique_Final[[#This Row],[ppn_z]],tbl_Historique_Final[[#This Row],[date_modif]])=Final_Sans_VGE[[#This Row],[date_modif]],
      "Ancien",
      "Modifié"),
   "Nouveau")),"")</f>
        <v/>
      </c>
    </row>
    <row r="3041" spans="24:30" x14ac:dyDescent="0.25">
      <c r="X3041" s="8" t="e">
        <f>IF(Final_Sans_VGE[[#This Row],[ppn_z]]="","",IFERROR(
   IF(_xlfn.XLOOKUP(Final_Sans_VGE[[#This Row],[ppn_z]],tbl_Historique_Final[ppn_z],tbl_Historique_Final[date_modif])=Final_Sans_VGE[[#This Row],[date_modif]],
      "Ancien",
      "Modifié"),
   "Nouveau"))</f>
        <v>#VALUE!</v>
      </c>
      <c r="AD3041" s="1" t="str">
        <f>IFERROR(IF(Final_Sans_VGE[[#This Row],[ppn_z]]="","",IFERROR(
   IF(_xlfn.XLOOKUP(Final_Sans_VGE[[#This Row],[ppn_z]],tbl_Historique_Final[[#This Row],[ppn_z]],tbl_Historique_Final[[#This Row],[date_modif]])=Final_Sans_VGE[[#This Row],[date_modif]],
      "Ancien",
      "Modifié"),
   "Nouveau")),"")</f>
        <v/>
      </c>
    </row>
    <row r="3042" spans="24:30" x14ac:dyDescent="0.25">
      <c r="X3042" s="8" t="e">
        <f>IF(Final_Sans_VGE[[#This Row],[ppn_z]]="","",IFERROR(
   IF(_xlfn.XLOOKUP(Final_Sans_VGE[[#This Row],[ppn_z]],tbl_Historique_Final[ppn_z],tbl_Historique_Final[date_modif])=Final_Sans_VGE[[#This Row],[date_modif]],
      "Ancien",
      "Modifié"),
   "Nouveau"))</f>
        <v>#VALUE!</v>
      </c>
      <c r="AD3042" s="1" t="str">
        <f>IFERROR(IF(Final_Sans_VGE[[#This Row],[ppn_z]]="","",IFERROR(
   IF(_xlfn.XLOOKUP(Final_Sans_VGE[[#This Row],[ppn_z]],tbl_Historique_Final[[#This Row],[ppn_z]],tbl_Historique_Final[[#This Row],[date_modif]])=Final_Sans_VGE[[#This Row],[date_modif]],
      "Ancien",
      "Modifié"),
   "Nouveau")),"")</f>
        <v/>
      </c>
    </row>
    <row r="3043" spans="24:30" x14ac:dyDescent="0.25">
      <c r="X3043" s="8" t="e">
        <f>IF(Final_Sans_VGE[[#This Row],[ppn_z]]="","",IFERROR(
   IF(_xlfn.XLOOKUP(Final_Sans_VGE[[#This Row],[ppn_z]],tbl_Historique_Final[ppn_z],tbl_Historique_Final[date_modif])=Final_Sans_VGE[[#This Row],[date_modif]],
      "Ancien",
      "Modifié"),
   "Nouveau"))</f>
        <v>#VALUE!</v>
      </c>
      <c r="AD3043" s="1" t="str">
        <f>IFERROR(IF(Final_Sans_VGE[[#This Row],[ppn_z]]="","",IFERROR(
   IF(_xlfn.XLOOKUP(Final_Sans_VGE[[#This Row],[ppn_z]],tbl_Historique_Final[[#This Row],[ppn_z]],tbl_Historique_Final[[#This Row],[date_modif]])=Final_Sans_VGE[[#This Row],[date_modif]],
      "Ancien",
      "Modifié"),
   "Nouveau")),"")</f>
        <v/>
      </c>
    </row>
    <row r="3044" spans="24:30" x14ac:dyDescent="0.25">
      <c r="X3044" s="8" t="e">
        <f>IF(Final_Sans_VGE[[#This Row],[ppn_z]]="","",IFERROR(
   IF(_xlfn.XLOOKUP(Final_Sans_VGE[[#This Row],[ppn_z]],tbl_Historique_Final[ppn_z],tbl_Historique_Final[date_modif])=Final_Sans_VGE[[#This Row],[date_modif]],
      "Ancien",
      "Modifié"),
   "Nouveau"))</f>
        <v>#VALUE!</v>
      </c>
      <c r="AD3044" s="1" t="str">
        <f>IFERROR(IF(Final_Sans_VGE[[#This Row],[ppn_z]]="","",IFERROR(
   IF(_xlfn.XLOOKUP(Final_Sans_VGE[[#This Row],[ppn_z]],tbl_Historique_Final[[#This Row],[ppn_z]],tbl_Historique_Final[[#This Row],[date_modif]])=Final_Sans_VGE[[#This Row],[date_modif]],
      "Ancien",
      "Modifié"),
   "Nouveau")),"")</f>
        <v/>
      </c>
    </row>
    <row r="3045" spans="24:30" x14ac:dyDescent="0.25">
      <c r="X3045" s="8" t="e">
        <f>IF(Final_Sans_VGE[[#This Row],[ppn_z]]="","",IFERROR(
   IF(_xlfn.XLOOKUP(Final_Sans_VGE[[#This Row],[ppn_z]],tbl_Historique_Final[ppn_z],tbl_Historique_Final[date_modif])=Final_Sans_VGE[[#This Row],[date_modif]],
      "Ancien",
      "Modifié"),
   "Nouveau"))</f>
        <v>#VALUE!</v>
      </c>
      <c r="AD3045" s="1" t="str">
        <f>IFERROR(IF(Final_Sans_VGE[[#This Row],[ppn_z]]="","",IFERROR(
   IF(_xlfn.XLOOKUP(Final_Sans_VGE[[#This Row],[ppn_z]],tbl_Historique_Final[[#This Row],[ppn_z]],tbl_Historique_Final[[#This Row],[date_modif]])=Final_Sans_VGE[[#This Row],[date_modif]],
      "Ancien",
      "Modifié"),
   "Nouveau")),"")</f>
        <v/>
      </c>
    </row>
    <row r="3046" spans="24:30" x14ac:dyDescent="0.25">
      <c r="X3046" s="8" t="e">
        <f>IF(Final_Sans_VGE[[#This Row],[ppn_z]]="","",IFERROR(
   IF(_xlfn.XLOOKUP(Final_Sans_VGE[[#This Row],[ppn_z]],tbl_Historique_Final[ppn_z],tbl_Historique_Final[date_modif])=Final_Sans_VGE[[#This Row],[date_modif]],
      "Ancien",
      "Modifié"),
   "Nouveau"))</f>
        <v>#VALUE!</v>
      </c>
      <c r="AD3046" s="1" t="str">
        <f>IFERROR(IF(Final_Sans_VGE[[#This Row],[ppn_z]]="","",IFERROR(
   IF(_xlfn.XLOOKUP(Final_Sans_VGE[[#This Row],[ppn_z]],tbl_Historique_Final[[#This Row],[ppn_z]],tbl_Historique_Final[[#This Row],[date_modif]])=Final_Sans_VGE[[#This Row],[date_modif]],
      "Ancien",
      "Modifié"),
   "Nouveau")),"")</f>
        <v/>
      </c>
    </row>
    <row r="3047" spans="24:30" x14ac:dyDescent="0.25">
      <c r="X3047" s="8" t="e">
        <f>IF(Final_Sans_VGE[[#This Row],[ppn_z]]="","",IFERROR(
   IF(_xlfn.XLOOKUP(Final_Sans_VGE[[#This Row],[ppn_z]],tbl_Historique_Final[ppn_z],tbl_Historique_Final[date_modif])=Final_Sans_VGE[[#This Row],[date_modif]],
      "Ancien",
      "Modifié"),
   "Nouveau"))</f>
        <v>#VALUE!</v>
      </c>
      <c r="AD3047" s="1" t="str">
        <f>IFERROR(IF(Final_Sans_VGE[[#This Row],[ppn_z]]="","",IFERROR(
   IF(_xlfn.XLOOKUP(Final_Sans_VGE[[#This Row],[ppn_z]],tbl_Historique_Final[[#This Row],[ppn_z]],tbl_Historique_Final[[#This Row],[date_modif]])=Final_Sans_VGE[[#This Row],[date_modif]],
      "Ancien",
      "Modifié"),
   "Nouveau")),"")</f>
        <v/>
      </c>
    </row>
    <row r="3048" spans="24:30" x14ac:dyDescent="0.25">
      <c r="X3048" s="8" t="e">
        <f>IF(Final_Sans_VGE[[#This Row],[ppn_z]]="","",IFERROR(
   IF(_xlfn.XLOOKUP(Final_Sans_VGE[[#This Row],[ppn_z]],tbl_Historique_Final[ppn_z],tbl_Historique_Final[date_modif])=Final_Sans_VGE[[#This Row],[date_modif]],
      "Ancien",
      "Modifié"),
   "Nouveau"))</f>
        <v>#VALUE!</v>
      </c>
      <c r="AD3048" s="1" t="str">
        <f>IFERROR(IF(Final_Sans_VGE[[#This Row],[ppn_z]]="","",IFERROR(
   IF(_xlfn.XLOOKUP(Final_Sans_VGE[[#This Row],[ppn_z]],tbl_Historique_Final[[#This Row],[ppn_z]],tbl_Historique_Final[[#This Row],[date_modif]])=Final_Sans_VGE[[#This Row],[date_modif]],
      "Ancien",
      "Modifié"),
   "Nouveau")),"")</f>
        <v/>
      </c>
    </row>
    <row r="3049" spans="24:30" x14ac:dyDescent="0.25">
      <c r="X3049" s="8" t="e">
        <f>IF(Final_Sans_VGE[[#This Row],[ppn_z]]="","",IFERROR(
   IF(_xlfn.XLOOKUP(Final_Sans_VGE[[#This Row],[ppn_z]],tbl_Historique_Final[ppn_z],tbl_Historique_Final[date_modif])=Final_Sans_VGE[[#This Row],[date_modif]],
      "Ancien",
      "Modifié"),
   "Nouveau"))</f>
        <v>#VALUE!</v>
      </c>
      <c r="AD3049" s="1" t="str">
        <f>IFERROR(IF(Final_Sans_VGE[[#This Row],[ppn_z]]="","",IFERROR(
   IF(_xlfn.XLOOKUP(Final_Sans_VGE[[#This Row],[ppn_z]],tbl_Historique_Final[[#This Row],[ppn_z]],tbl_Historique_Final[[#This Row],[date_modif]])=Final_Sans_VGE[[#This Row],[date_modif]],
      "Ancien",
      "Modifié"),
   "Nouveau")),"")</f>
        <v/>
      </c>
    </row>
    <row r="3050" spans="24:30" x14ac:dyDescent="0.25">
      <c r="X3050" s="8" t="e">
        <f>IF(Final_Sans_VGE[[#This Row],[ppn_z]]="","",IFERROR(
   IF(_xlfn.XLOOKUP(Final_Sans_VGE[[#This Row],[ppn_z]],tbl_Historique_Final[ppn_z],tbl_Historique_Final[date_modif])=Final_Sans_VGE[[#This Row],[date_modif]],
      "Ancien",
      "Modifié"),
   "Nouveau"))</f>
        <v>#VALUE!</v>
      </c>
      <c r="AD3050" s="1" t="str">
        <f>IFERROR(IF(Final_Sans_VGE[[#This Row],[ppn_z]]="","",IFERROR(
   IF(_xlfn.XLOOKUP(Final_Sans_VGE[[#This Row],[ppn_z]],tbl_Historique_Final[[#This Row],[ppn_z]],tbl_Historique_Final[[#This Row],[date_modif]])=Final_Sans_VGE[[#This Row],[date_modif]],
      "Ancien",
      "Modifié"),
   "Nouveau")),"")</f>
        <v/>
      </c>
    </row>
    <row r="3051" spans="24:30" x14ac:dyDescent="0.25">
      <c r="X3051" s="8" t="e">
        <f>IF(Final_Sans_VGE[[#This Row],[ppn_z]]="","",IFERROR(
   IF(_xlfn.XLOOKUP(Final_Sans_VGE[[#This Row],[ppn_z]],tbl_Historique_Final[ppn_z],tbl_Historique_Final[date_modif])=Final_Sans_VGE[[#This Row],[date_modif]],
      "Ancien",
      "Modifié"),
   "Nouveau"))</f>
        <v>#VALUE!</v>
      </c>
      <c r="AD3051" s="1" t="str">
        <f>IFERROR(IF(Final_Sans_VGE[[#This Row],[ppn_z]]="","",IFERROR(
   IF(_xlfn.XLOOKUP(Final_Sans_VGE[[#This Row],[ppn_z]],tbl_Historique_Final[[#This Row],[ppn_z]],tbl_Historique_Final[[#This Row],[date_modif]])=Final_Sans_VGE[[#This Row],[date_modif]],
      "Ancien",
      "Modifié"),
   "Nouveau")),"")</f>
        <v/>
      </c>
    </row>
    <row r="3052" spans="24:30" x14ac:dyDescent="0.25">
      <c r="X3052" s="8" t="e">
        <f>IF(Final_Sans_VGE[[#This Row],[ppn_z]]="","",IFERROR(
   IF(_xlfn.XLOOKUP(Final_Sans_VGE[[#This Row],[ppn_z]],tbl_Historique_Final[ppn_z],tbl_Historique_Final[date_modif])=Final_Sans_VGE[[#This Row],[date_modif]],
      "Ancien",
      "Modifié"),
   "Nouveau"))</f>
        <v>#VALUE!</v>
      </c>
      <c r="AD3052" s="1" t="str">
        <f>IFERROR(IF(Final_Sans_VGE[[#This Row],[ppn_z]]="","",IFERROR(
   IF(_xlfn.XLOOKUP(Final_Sans_VGE[[#This Row],[ppn_z]],tbl_Historique_Final[[#This Row],[ppn_z]],tbl_Historique_Final[[#This Row],[date_modif]])=Final_Sans_VGE[[#This Row],[date_modif]],
      "Ancien",
      "Modifié"),
   "Nouveau")),"")</f>
        <v/>
      </c>
    </row>
    <row r="3053" spans="24:30" x14ac:dyDescent="0.25">
      <c r="X3053" s="8" t="e">
        <f>IF(Final_Sans_VGE[[#This Row],[ppn_z]]="","",IFERROR(
   IF(_xlfn.XLOOKUP(Final_Sans_VGE[[#This Row],[ppn_z]],tbl_Historique_Final[ppn_z],tbl_Historique_Final[date_modif])=Final_Sans_VGE[[#This Row],[date_modif]],
      "Ancien",
      "Modifié"),
   "Nouveau"))</f>
        <v>#VALUE!</v>
      </c>
      <c r="AD3053" s="1" t="str">
        <f>IFERROR(IF(Final_Sans_VGE[[#This Row],[ppn_z]]="","",IFERROR(
   IF(_xlfn.XLOOKUP(Final_Sans_VGE[[#This Row],[ppn_z]],tbl_Historique_Final[[#This Row],[ppn_z]],tbl_Historique_Final[[#This Row],[date_modif]])=Final_Sans_VGE[[#This Row],[date_modif]],
      "Ancien",
      "Modifié"),
   "Nouveau")),"")</f>
        <v/>
      </c>
    </row>
    <row r="3054" spans="24:30" x14ac:dyDescent="0.25">
      <c r="X3054" s="8" t="e">
        <f>IF(Final_Sans_VGE[[#This Row],[ppn_z]]="","",IFERROR(
   IF(_xlfn.XLOOKUP(Final_Sans_VGE[[#This Row],[ppn_z]],tbl_Historique_Final[ppn_z],tbl_Historique_Final[date_modif])=Final_Sans_VGE[[#This Row],[date_modif]],
      "Ancien",
      "Modifié"),
   "Nouveau"))</f>
        <v>#VALUE!</v>
      </c>
      <c r="AD3054" s="1" t="str">
        <f>IFERROR(IF(Final_Sans_VGE[[#This Row],[ppn_z]]="","",IFERROR(
   IF(_xlfn.XLOOKUP(Final_Sans_VGE[[#This Row],[ppn_z]],tbl_Historique_Final[[#This Row],[ppn_z]],tbl_Historique_Final[[#This Row],[date_modif]])=Final_Sans_VGE[[#This Row],[date_modif]],
      "Ancien",
      "Modifié"),
   "Nouveau")),"")</f>
        <v/>
      </c>
    </row>
    <row r="3055" spans="24:30" x14ac:dyDescent="0.25">
      <c r="X3055" s="8" t="e">
        <f>IF(Final_Sans_VGE[[#This Row],[ppn_z]]="","",IFERROR(
   IF(_xlfn.XLOOKUP(Final_Sans_VGE[[#This Row],[ppn_z]],tbl_Historique_Final[ppn_z],tbl_Historique_Final[date_modif])=Final_Sans_VGE[[#This Row],[date_modif]],
      "Ancien",
      "Modifié"),
   "Nouveau"))</f>
        <v>#VALUE!</v>
      </c>
      <c r="AD3055" s="1" t="str">
        <f>IFERROR(IF(Final_Sans_VGE[[#This Row],[ppn_z]]="","",IFERROR(
   IF(_xlfn.XLOOKUP(Final_Sans_VGE[[#This Row],[ppn_z]],tbl_Historique_Final[[#This Row],[ppn_z]],tbl_Historique_Final[[#This Row],[date_modif]])=Final_Sans_VGE[[#This Row],[date_modif]],
      "Ancien",
      "Modifié"),
   "Nouveau")),"")</f>
        <v/>
      </c>
    </row>
    <row r="3056" spans="24:30" x14ac:dyDescent="0.25">
      <c r="X3056" s="8" t="e">
        <f>IF(Final_Sans_VGE[[#This Row],[ppn_z]]="","",IFERROR(
   IF(_xlfn.XLOOKUP(Final_Sans_VGE[[#This Row],[ppn_z]],tbl_Historique_Final[ppn_z],tbl_Historique_Final[date_modif])=Final_Sans_VGE[[#This Row],[date_modif]],
      "Ancien",
      "Modifié"),
   "Nouveau"))</f>
        <v>#VALUE!</v>
      </c>
      <c r="AD3056" s="1" t="str">
        <f>IFERROR(IF(Final_Sans_VGE[[#This Row],[ppn_z]]="","",IFERROR(
   IF(_xlfn.XLOOKUP(Final_Sans_VGE[[#This Row],[ppn_z]],tbl_Historique_Final[[#This Row],[ppn_z]],tbl_Historique_Final[[#This Row],[date_modif]])=Final_Sans_VGE[[#This Row],[date_modif]],
      "Ancien",
      "Modifié"),
   "Nouveau")),"")</f>
        <v/>
      </c>
    </row>
    <row r="3057" spans="24:30" x14ac:dyDescent="0.25">
      <c r="X3057" s="8" t="e">
        <f>IF(Final_Sans_VGE[[#This Row],[ppn_z]]="","",IFERROR(
   IF(_xlfn.XLOOKUP(Final_Sans_VGE[[#This Row],[ppn_z]],tbl_Historique_Final[ppn_z],tbl_Historique_Final[date_modif])=Final_Sans_VGE[[#This Row],[date_modif]],
      "Ancien",
      "Modifié"),
   "Nouveau"))</f>
        <v>#VALUE!</v>
      </c>
      <c r="AD3057" s="1" t="str">
        <f>IFERROR(IF(Final_Sans_VGE[[#This Row],[ppn_z]]="","",IFERROR(
   IF(_xlfn.XLOOKUP(Final_Sans_VGE[[#This Row],[ppn_z]],tbl_Historique_Final[[#This Row],[ppn_z]],tbl_Historique_Final[[#This Row],[date_modif]])=Final_Sans_VGE[[#This Row],[date_modif]],
      "Ancien",
      "Modifié"),
   "Nouveau")),"")</f>
        <v/>
      </c>
    </row>
    <row r="3058" spans="24:30" x14ac:dyDescent="0.25">
      <c r="X3058" s="8" t="e">
        <f>IF(Final_Sans_VGE[[#This Row],[ppn_z]]="","",IFERROR(
   IF(_xlfn.XLOOKUP(Final_Sans_VGE[[#This Row],[ppn_z]],tbl_Historique_Final[ppn_z],tbl_Historique_Final[date_modif])=Final_Sans_VGE[[#This Row],[date_modif]],
      "Ancien",
      "Modifié"),
   "Nouveau"))</f>
        <v>#VALUE!</v>
      </c>
      <c r="AD3058" s="1" t="str">
        <f>IFERROR(IF(Final_Sans_VGE[[#This Row],[ppn_z]]="","",IFERROR(
   IF(_xlfn.XLOOKUP(Final_Sans_VGE[[#This Row],[ppn_z]],tbl_Historique_Final[[#This Row],[ppn_z]],tbl_Historique_Final[[#This Row],[date_modif]])=Final_Sans_VGE[[#This Row],[date_modif]],
      "Ancien",
      "Modifié"),
   "Nouveau")),"")</f>
        <v/>
      </c>
    </row>
    <row r="3059" spans="24:30" x14ac:dyDescent="0.25">
      <c r="X3059" s="8" t="e">
        <f>IF(Final_Sans_VGE[[#This Row],[ppn_z]]="","",IFERROR(
   IF(_xlfn.XLOOKUP(Final_Sans_VGE[[#This Row],[ppn_z]],tbl_Historique_Final[ppn_z],tbl_Historique_Final[date_modif])=Final_Sans_VGE[[#This Row],[date_modif]],
      "Ancien",
      "Modifié"),
   "Nouveau"))</f>
        <v>#VALUE!</v>
      </c>
      <c r="AD3059" s="1" t="str">
        <f>IFERROR(IF(Final_Sans_VGE[[#This Row],[ppn_z]]="","",IFERROR(
   IF(_xlfn.XLOOKUP(Final_Sans_VGE[[#This Row],[ppn_z]],tbl_Historique_Final[[#This Row],[ppn_z]],tbl_Historique_Final[[#This Row],[date_modif]])=Final_Sans_VGE[[#This Row],[date_modif]],
      "Ancien",
      "Modifié"),
   "Nouveau")),"")</f>
        <v/>
      </c>
    </row>
    <row r="3060" spans="24:30" x14ac:dyDescent="0.25">
      <c r="X3060" s="8" t="e">
        <f>IF(Final_Sans_VGE[[#This Row],[ppn_z]]="","",IFERROR(
   IF(_xlfn.XLOOKUP(Final_Sans_VGE[[#This Row],[ppn_z]],tbl_Historique_Final[ppn_z],tbl_Historique_Final[date_modif])=Final_Sans_VGE[[#This Row],[date_modif]],
      "Ancien",
      "Modifié"),
   "Nouveau"))</f>
        <v>#VALUE!</v>
      </c>
      <c r="AD3060" s="1" t="str">
        <f>IFERROR(IF(Final_Sans_VGE[[#This Row],[ppn_z]]="","",IFERROR(
   IF(_xlfn.XLOOKUP(Final_Sans_VGE[[#This Row],[ppn_z]],tbl_Historique_Final[[#This Row],[ppn_z]],tbl_Historique_Final[[#This Row],[date_modif]])=Final_Sans_VGE[[#This Row],[date_modif]],
      "Ancien",
      "Modifié"),
   "Nouveau")),"")</f>
        <v/>
      </c>
    </row>
    <row r="3061" spans="24:30" x14ac:dyDescent="0.25">
      <c r="X3061" s="8" t="e">
        <f>IF(Final_Sans_VGE[[#This Row],[ppn_z]]="","",IFERROR(
   IF(_xlfn.XLOOKUP(Final_Sans_VGE[[#This Row],[ppn_z]],tbl_Historique_Final[ppn_z],tbl_Historique_Final[date_modif])=Final_Sans_VGE[[#This Row],[date_modif]],
      "Ancien",
      "Modifié"),
   "Nouveau"))</f>
        <v>#VALUE!</v>
      </c>
      <c r="AD3061" s="1" t="str">
        <f>IFERROR(IF(Final_Sans_VGE[[#This Row],[ppn_z]]="","",IFERROR(
   IF(_xlfn.XLOOKUP(Final_Sans_VGE[[#This Row],[ppn_z]],tbl_Historique_Final[[#This Row],[ppn_z]],tbl_Historique_Final[[#This Row],[date_modif]])=Final_Sans_VGE[[#This Row],[date_modif]],
      "Ancien",
      "Modifié"),
   "Nouveau")),"")</f>
        <v/>
      </c>
    </row>
    <row r="3062" spans="24:30" x14ac:dyDescent="0.25">
      <c r="X3062" s="8" t="e">
        <f>IF(Final_Sans_VGE[[#This Row],[ppn_z]]="","",IFERROR(
   IF(_xlfn.XLOOKUP(Final_Sans_VGE[[#This Row],[ppn_z]],tbl_Historique_Final[ppn_z],tbl_Historique_Final[date_modif])=Final_Sans_VGE[[#This Row],[date_modif]],
      "Ancien",
      "Modifié"),
   "Nouveau"))</f>
        <v>#VALUE!</v>
      </c>
      <c r="AD3062" s="1" t="str">
        <f>IFERROR(IF(Final_Sans_VGE[[#This Row],[ppn_z]]="","",IFERROR(
   IF(_xlfn.XLOOKUP(Final_Sans_VGE[[#This Row],[ppn_z]],tbl_Historique_Final[[#This Row],[ppn_z]],tbl_Historique_Final[[#This Row],[date_modif]])=Final_Sans_VGE[[#This Row],[date_modif]],
      "Ancien",
      "Modifié"),
   "Nouveau")),"")</f>
        <v/>
      </c>
    </row>
    <row r="3063" spans="24:30" x14ac:dyDescent="0.25">
      <c r="X3063" s="8" t="e">
        <f>IF(Final_Sans_VGE[[#This Row],[ppn_z]]="","",IFERROR(
   IF(_xlfn.XLOOKUP(Final_Sans_VGE[[#This Row],[ppn_z]],tbl_Historique_Final[ppn_z],tbl_Historique_Final[date_modif])=Final_Sans_VGE[[#This Row],[date_modif]],
      "Ancien",
      "Modifié"),
   "Nouveau"))</f>
        <v>#VALUE!</v>
      </c>
      <c r="AD3063" s="1" t="str">
        <f>IFERROR(IF(Final_Sans_VGE[[#This Row],[ppn_z]]="","",IFERROR(
   IF(_xlfn.XLOOKUP(Final_Sans_VGE[[#This Row],[ppn_z]],tbl_Historique_Final[[#This Row],[ppn_z]],tbl_Historique_Final[[#This Row],[date_modif]])=Final_Sans_VGE[[#This Row],[date_modif]],
      "Ancien",
      "Modifié"),
   "Nouveau")),"")</f>
        <v/>
      </c>
    </row>
    <row r="3064" spans="24:30" x14ac:dyDescent="0.25">
      <c r="X3064" s="8" t="e">
        <f>IF(Final_Sans_VGE[[#This Row],[ppn_z]]="","",IFERROR(
   IF(_xlfn.XLOOKUP(Final_Sans_VGE[[#This Row],[ppn_z]],tbl_Historique_Final[ppn_z],tbl_Historique_Final[date_modif])=Final_Sans_VGE[[#This Row],[date_modif]],
      "Ancien",
      "Modifié"),
   "Nouveau"))</f>
        <v>#VALUE!</v>
      </c>
      <c r="AD3064" s="1" t="str">
        <f>IFERROR(IF(Final_Sans_VGE[[#This Row],[ppn_z]]="","",IFERROR(
   IF(_xlfn.XLOOKUP(Final_Sans_VGE[[#This Row],[ppn_z]],tbl_Historique_Final[[#This Row],[ppn_z]],tbl_Historique_Final[[#This Row],[date_modif]])=Final_Sans_VGE[[#This Row],[date_modif]],
      "Ancien",
      "Modifié"),
   "Nouveau")),"")</f>
        <v/>
      </c>
    </row>
    <row r="3065" spans="24:30" x14ac:dyDescent="0.25">
      <c r="X3065" s="8" t="e">
        <f>IF(Final_Sans_VGE[[#This Row],[ppn_z]]="","",IFERROR(
   IF(_xlfn.XLOOKUP(Final_Sans_VGE[[#This Row],[ppn_z]],tbl_Historique_Final[ppn_z],tbl_Historique_Final[date_modif])=Final_Sans_VGE[[#This Row],[date_modif]],
      "Ancien",
      "Modifié"),
   "Nouveau"))</f>
        <v>#VALUE!</v>
      </c>
      <c r="AD3065" s="1" t="str">
        <f>IFERROR(IF(Final_Sans_VGE[[#This Row],[ppn_z]]="","",IFERROR(
   IF(_xlfn.XLOOKUP(Final_Sans_VGE[[#This Row],[ppn_z]],tbl_Historique_Final[[#This Row],[ppn_z]],tbl_Historique_Final[[#This Row],[date_modif]])=Final_Sans_VGE[[#This Row],[date_modif]],
      "Ancien",
      "Modifié"),
   "Nouveau")),"")</f>
        <v/>
      </c>
    </row>
    <row r="3066" spans="24:30" x14ac:dyDescent="0.25">
      <c r="X3066" s="8" t="e">
        <f>IF(Final_Sans_VGE[[#This Row],[ppn_z]]="","",IFERROR(
   IF(_xlfn.XLOOKUP(Final_Sans_VGE[[#This Row],[ppn_z]],tbl_Historique_Final[ppn_z],tbl_Historique_Final[date_modif])=Final_Sans_VGE[[#This Row],[date_modif]],
      "Ancien",
      "Modifié"),
   "Nouveau"))</f>
        <v>#VALUE!</v>
      </c>
      <c r="AD3066" s="1" t="str">
        <f>IFERROR(IF(Final_Sans_VGE[[#This Row],[ppn_z]]="","",IFERROR(
   IF(_xlfn.XLOOKUP(Final_Sans_VGE[[#This Row],[ppn_z]],tbl_Historique_Final[[#This Row],[ppn_z]],tbl_Historique_Final[[#This Row],[date_modif]])=Final_Sans_VGE[[#This Row],[date_modif]],
      "Ancien",
      "Modifié"),
   "Nouveau")),"")</f>
        <v/>
      </c>
    </row>
    <row r="3067" spans="24:30" x14ac:dyDescent="0.25">
      <c r="X3067" s="8" t="e">
        <f>IF(Final_Sans_VGE[[#This Row],[ppn_z]]="","",IFERROR(
   IF(_xlfn.XLOOKUP(Final_Sans_VGE[[#This Row],[ppn_z]],tbl_Historique_Final[ppn_z],tbl_Historique_Final[date_modif])=Final_Sans_VGE[[#This Row],[date_modif]],
      "Ancien",
      "Modifié"),
   "Nouveau"))</f>
        <v>#VALUE!</v>
      </c>
      <c r="AD3067" s="1" t="str">
        <f>IFERROR(IF(Final_Sans_VGE[[#This Row],[ppn_z]]="","",IFERROR(
   IF(_xlfn.XLOOKUP(Final_Sans_VGE[[#This Row],[ppn_z]],tbl_Historique_Final[[#This Row],[ppn_z]],tbl_Historique_Final[[#This Row],[date_modif]])=Final_Sans_VGE[[#This Row],[date_modif]],
      "Ancien",
      "Modifié"),
   "Nouveau")),"")</f>
        <v/>
      </c>
    </row>
    <row r="3068" spans="24:30" x14ac:dyDescent="0.25">
      <c r="X3068" s="8" t="e">
        <f>IF(Final_Sans_VGE[[#This Row],[ppn_z]]="","",IFERROR(
   IF(_xlfn.XLOOKUP(Final_Sans_VGE[[#This Row],[ppn_z]],tbl_Historique_Final[ppn_z],tbl_Historique_Final[date_modif])=Final_Sans_VGE[[#This Row],[date_modif]],
      "Ancien",
      "Modifié"),
   "Nouveau"))</f>
        <v>#VALUE!</v>
      </c>
      <c r="AD3068" s="1" t="str">
        <f>IFERROR(IF(Final_Sans_VGE[[#This Row],[ppn_z]]="","",IFERROR(
   IF(_xlfn.XLOOKUP(Final_Sans_VGE[[#This Row],[ppn_z]],tbl_Historique_Final[[#This Row],[ppn_z]],tbl_Historique_Final[[#This Row],[date_modif]])=Final_Sans_VGE[[#This Row],[date_modif]],
      "Ancien",
      "Modifié"),
   "Nouveau")),"")</f>
        <v/>
      </c>
    </row>
    <row r="3069" spans="24:30" x14ac:dyDescent="0.25">
      <c r="X3069" s="8" t="e">
        <f>IF(Final_Sans_VGE[[#This Row],[ppn_z]]="","",IFERROR(
   IF(_xlfn.XLOOKUP(Final_Sans_VGE[[#This Row],[ppn_z]],tbl_Historique_Final[ppn_z],tbl_Historique_Final[date_modif])=Final_Sans_VGE[[#This Row],[date_modif]],
      "Ancien",
      "Modifié"),
   "Nouveau"))</f>
        <v>#VALUE!</v>
      </c>
      <c r="AD3069" s="1" t="str">
        <f>IFERROR(IF(Final_Sans_VGE[[#This Row],[ppn_z]]="","",IFERROR(
   IF(_xlfn.XLOOKUP(Final_Sans_VGE[[#This Row],[ppn_z]],tbl_Historique_Final[[#This Row],[ppn_z]],tbl_Historique_Final[[#This Row],[date_modif]])=Final_Sans_VGE[[#This Row],[date_modif]],
      "Ancien",
      "Modifié"),
   "Nouveau")),"")</f>
        <v/>
      </c>
    </row>
    <row r="3070" spans="24:30" x14ac:dyDescent="0.25">
      <c r="X3070" s="8" t="e">
        <f>IF(Final_Sans_VGE[[#This Row],[ppn_z]]="","",IFERROR(
   IF(_xlfn.XLOOKUP(Final_Sans_VGE[[#This Row],[ppn_z]],tbl_Historique_Final[ppn_z],tbl_Historique_Final[date_modif])=Final_Sans_VGE[[#This Row],[date_modif]],
      "Ancien",
      "Modifié"),
   "Nouveau"))</f>
        <v>#VALUE!</v>
      </c>
      <c r="AD3070" s="1" t="str">
        <f>IFERROR(IF(Final_Sans_VGE[[#This Row],[ppn_z]]="","",IFERROR(
   IF(_xlfn.XLOOKUP(Final_Sans_VGE[[#This Row],[ppn_z]],tbl_Historique_Final[[#This Row],[ppn_z]],tbl_Historique_Final[[#This Row],[date_modif]])=Final_Sans_VGE[[#This Row],[date_modif]],
      "Ancien",
      "Modifié"),
   "Nouveau")),"")</f>
        <v/>
      </c>
    </row>
    <row r="3071" spans="24:30" x14ac:dyDescent="0.25">
      <c r="X3071" s="8" t="e">
        <f>IF(Final_Sans_VGE[[#This Row],[ppn_z]]="","",IFERROR(
   IF(_xlfn.XLOOKUP(Final_Sans_VGE[[#This Row],[ppn_z]],tbl_Historique_Final[ppn_z],tbl_Historique_Final[date_modif])=Final_Sans_VGE[[#This Row],[date_modif]],
      "Ancien",
      "Modifié"),
   "Nouveau"))</f>
        <v>#VALUE!</v>
      </c>
      <c r="AD3071" s="1" t="str">
        <f>IFERROR(IF(Final_Sans_VGE[[#This Row],[ppn_z]]="","",IFERROR(
   IF(_xlfn.XLOOKUP(Final_Sans_VGE[[#This Row],[ppn_z]],tbl_Historique_Final[[#This Row],[ppn_z]],tbl_Historique_Final[[#This Row],[date_modif]])=Final_Sans_VGE[[#This Row],[date_modif]],
      "Ancien",
      "Modifié"),
   "Nouveau")),"")</f>
        <v/>
      </c>
    </row>
    <row r="3072" spans="24:30" x14ac:dyDescent="0.25">
      <c r="X3072" s="8" t="e">
        <f>IF(Final_Sans_VGE[[#This Row],[ppn_z]]="","",IFERROR(
   IF(_xlfn.XLOOKUP(Final_Sans_VGE[[#This Row],[ppn_z]],tbl_Historique_Final[ppn_z],tbl_Historique_Final[date_modif])=Final_Sans_VGE[[#This Row],[date_modif]],
      "Ancien",
      "Modifié"),
   "Nouveau"))</f>
        <v>#VALUE!</v>
      </c>
      <c r="AD3072" s="1" t="str">
        <f>IFERROR(IF(Final_Sans_VGE[[#This Row],[ppn_z]]="","",IFERROR(
   IF(_xlfn.XLOOKUP(Final_Sans_VGE[[#This Row],[ppn_z]],tbl_Historique_Final[[#This Row],[ppn_z]],tbl_Historique_Final[[#This Row],[date_modif]])=Final_Sans_VGE[[#This Row],[date_modif]],
      "Ancien",
      "Modifié"),
   "Nouveau")),"")</f>
        <v/>
      </c>
    </row>
    <row r="3073" spans="24:30" x14ac:dyDescent="0.25">
      <c r="X3073" s="8" t="e">
        <f>IF(Final_Sans_VGE[[#This Row],[ppn_z]]="","",IFERROR(
   IF(_xlfn.XLOOKUP(Final_Sans_VGE[[#This Row],[ppn_z]],tbl_Historique_Final[ppn_z],tbl_Historique_Final[date_modif])=Final_Sans_VGE[[#This Row],[date_modif]],
      "Ancien",
      "Modifié"),
   "Nouveau"))</f>
        <v>#VALUE!</v>
      </c>
      <c r="AD3073" s="1" t="str">
        <f>IFERROR(IF(Final_Sans_VGE[[#This Row],[ppn_z]]="","",IFERROR(
   IF(_xlfn.XLOOKUP(Final_Sans_VGE[[#This Row],[ppn_z]],tbl_Historique_Final[[#This Row],[ppn_z]],tbl_Historique_Final[[#This Row],[date_modif]])=Final_Sans_VGE[[#This Row],[date_modif]],
      "Ancien",
      "Modifié"),
   "Nouveau")),"")</f>
        <v/>
      </c>
    </row>
    <row r="3074" spans="24:30" x14ac:dyDescent="0.25">
      <c r="X3074" s="8" t="e">
        <f>IF(Final_Sans_VGE[[#This Row],[ppn_z]]="","",IFERROR(
   IF(_xlfn.XLOOKUP(Final_Sans_VGE[[#This Row],[ppn_z]],tbl_Historique_Final[ppn_z],tbl_Historique_Final[date_modif])=Final_Sans_VGE[[#This Row],[date_modif]],
      "Ancien",
      "Modifié"),
   "Nouveau"))</f>
        <v>#VALUE!</v>
      </c>
      <c r="AD3074" s="1" t="str">
        <f>IFERROR(IF(Final_Sans_VGE[[#This Row],[ppn_z]]="","",IFERROR(
   IF(_xlfn.XLOOKUP(Final_Sans_VGE[[#This Row],[ppn_z]],tbl_Historique_Final[[#This Row],[ppn_z]],tbl_Historique_Final[[#This Row],[date_modif]])=Final_Sans_VGE[[#This Row],[date_modif]],
      "Ancien",
      "Modifié"),
   "Nouveau")),"")</f>
        <v/>
      </c>
    </row>
    <row r="3075" spans="24:30" x14ac:dyDescent="0.25">
      <c r="X3075" s="8" t="e">
        <f>IF(Final_Sans_VGE[[#This Row],[ppn_z]]="","",IFERROR(
   IF(_xlfn.XLOOKUP(Final_Sans_VGE[[#This Row],[ppn_z]],tbl_Historique_Final[ppn_z],tbl_Historique_Final[date_modif])=Final_Sans_VGE[[#This Row],[date_modif]],
      "Ancien",
      "Modifié"),
   "Nouveau"))</f>
        <v>#VALUE!</v>
      </c>
      <c r="AD3075" s="1" t="str">
        <f>IFERROR(IF(Final_Sans_VGE[[#This Row],[ppn_z]]="","",IFERROR(
   IF(_xlfn.XLOOKUP(Final_Sans_VGE[[#This Row],[ppn_z]],tbl_Historique_Final[[#This Row],[ppn_z]],tbl_Historique_Final[[#This Row],[date_modif]])=Final_Sans_VGE[[#This Row],[date_modif]],
      "Ancien",
      "Modifié"),
   "Nouveau")),"")</f>
        <v/>
      </c>
    </row>
    <row r="3076" spans="24:30" x14ac:dyDescent="0.25">
      <c r="X3076" s="8" t="e">
        <f>IF(Final_Sans_VGE[[#This Row],[ppn_z]]="","",IFERROR(
   IF(_xlfn.XLOOKUP(Final_Sans_VGE[[#This Row],[ppn_z]],tbl_Historique_Final[ppn_z],tbl_Historique_Final[date_modif])=Final_Sans_VGE[[#This Row],[date_modif]],
      "Ancien",
      "Modifié"),
   "Nouveau"))</f>
        <v>#VALUE!</v>
      </c>
      <c r="AD3076" s="1" t="str">
        <f>IFERROR(IF(Final_Sans_VGE[[#This Row],[ppn_z]]="","",IFERROR(
   IF(_xlfn.XLOOKUP(Final_Sans_VGE[[#This Row],[ppn_z]],tbl_Historique_Final[[#This Row],[ppn_z]],tbl_Historique_Final[[#This Row],[date_modif]])=Final_Sans_VGE[[#This Row],[date_modif]],
      "Ancien",
      "Modifié"),
   "Nouveau")),"")</f>
        <v/>
      </c>
    </row>
    <row r="3077" spans="24:30" x14ac:dyDescent="0.25">
      <c r="X3077" s="8" t="e">
        <f>IF(Final_Sans_VGE[[#This Row],[ppn_z]]="","",IFERROR(
   IF(_xlfn.XLOOKUP(Final_Sans_VGE[[#This Row],[ppn_z]],tbl_Historique_Final[ppn_z],tbl_Historique_Final[date_modif])=Final_Sans_VGE[[#This Row],[date_modif]],
      "Ancien",
      "Modifié"),
   "Nouveau"))</f>
        <v>#VALUE!</v>
      </c>
      <c r="AD3077" s="1" t="str">
        <f>IFERROR(IF(Final_Sans_VGE[[#This Row],[ppn_z]]="","",IFERROR(
   IF(_xlfn.XLOOKUP(Final_Sans_VGE[[#This Row],[ppn_z]],tbl_Historique_Final[[#This Row],[ppn_z]],tbl_Historique_Final[[#This Row],[date_modif]])=Final_Sans_VGE[[#This Row],[date_modif]],
      "Ancien",
      "Modifié"),
   "Nouveau")),"")</f>
        <v/>
      </c>
    </row>
    <row r="3078" spans="24:30" x14ac:dyDescent="0.25">
      <c r="X3078" s="8" t="e">
        <f>IF(Final_Sans_VGE[[#This Row],[ppn_z]]="","",IFERROR(
   IF(_xlfn.XLOOKUP(Final_Sans_VGE[[#This Row],[ppn_z]],tbl_Historique_Final[ppn_z],tbl_Historique_Final[date_modif])=Final_Sans_VGE[[#This Row],[date_modif]],
      "Ancien",
      "Modifié"),
   "Nouveau"))</f>
        <v>#VALUE!</v>
      </c>
      <c r="AD3078" s="1" t="str">
        <f>IFERROR(IF(Final_Sans_VGE[[#This Row],[ppn_z]]="","",IFERROR(
   IF(_xlfn.XLOOKUP(Final_Sans_VGE[[#This Row],[ppn_z]],tbl_Historique_Final[[#This Row],[ppn_z]],tbl_Historique_Final[[#This Row],[date_modif]])=Final_Sans_VGE[[#This Row],[date_modif]],
      "Ancien",
      "Modifié"),
   "Nouveau")),"")</f>
        <v/>
      </c>
    </row>
    <row r="3079" spans="24:30" x14ac:dyDescent="0.25">
      <c r="X3079" s="8" t="e">
        <f>IF(Final_Sans_VGE[[#This Row],[ppn_z]]="","",IFERROR(
   IF(_xlfn.XLOOKUP(Final_Sans_VGE[[#This Row],[ppn_z]],tbl_Historique_Final[ppn_z],tbl_Historique_Final[date_modif])=Final_Sans_VGE[[#This Row],[date_modif]],
      "Ancien",
      "Modifié"),
   "Nouveau"))</f>
        <v>#VALUE!</v>
      </c>
      <c r="AD3079" s="1" t="str">
        <f>IFERROR(IF(Final_Sans_VGE[[#This Row],[ppn_z]]="","",IFERROR(
   IF(_xlfn.XLOOKUP(Final_Sans_VGE[[#This Row],[ppn_z]],tbl_Historique_Final[[#This Row],[ppn_z]],tbl_Historique_Final[[#This Row],[date_modif]])=Final_Sans_VGE[[#This Row],[date_modif]],
      "Ancien",
      "Modifié"),
   "Nouveau")),"")</f>
        <v/>
      </c>
    </row>
    <row r="3080" spans="24:30" x14ac:dyDescent="0.25">
      <c r="X3080" s="8" t="e">
        <f>IF(Final_Sans_VGE[[#This Row],[ppn_z]]="","",IFERROR(
   IF(_xlfn.XLOOKUP(Final_Sans_VGE[[#This Row],[ppn_z]],tbl_Historique_Final[ppn_z],tbl_Historique_Final[date_modif])=Final_Sans_VGE[[#This Row],[date_modif]],
      "Ancien",
      "Modifié"),
   "Nouveau"))</f>
        <v>#VALUE!</v>
      </c>
      <c r="AD3080" s="1" t="str">
        <f>IFERROR(IF(Final_Sans_VGE[[#This Row],[ppn_z]]="","",IFERROR(
   IF(_xlfn.XLOOKUP(Final_Sans_VGE[[#This Row],[ppn_z]],tbl_Historique_Final[[#This Row],[ppn_z]],tbl_Historique_Final[[#This Row],[date_modif]])=Final_Sans_VGE[[#This Row],[date_modif]],
      "Ancien",
      "Modifié"),
   "Nouveau")),"")</f>
        <v/>
      </c>
    </row>
    <row r="3081" spans="24:30" x14ac:dyDescent="0.25">
      <c r="X3081" s="8" t="e">
        <f>IF(Final_Sans_VGE[[#This Row],[ppn_z]]="","",IFERROR(
   IF(_xlfn.XLOOKUP(Final_Sans_VGE[[#This Row],[ppn_z]],tbl_Historique_Final[ppn_z],tbl_Historique_Final[date_modif])=Final_Sans_VGE[[#This Row],[date_modif]],
      "Ancien",
      "Modifié"),
   "Nouveau"))</f>
        <v>#VALUE!</v>
      </c>
      <c r="AD3081" s="1" t="str">
        <f>IFERROR(IF(Final_Sans_VGE[[#This Row],[ppn_z]]="","",IFERROR(
   IF(_xlfn.XLOOKUP(Final_Sans_VGE[[#This Row],[ppn_z]],tbl_Historique_Final[[#This Row],[ppn_z]],tbl_Historique_Final[[#This Row],[date_modif]])=Final_Sans_VGE[[#This Row],[date_modif]],
      "Ancien",
      "Modifié"),
   "Nouveau")),"")</f>
        <v/>
      </c>
    </row>
    <row r="3082" spans="24:30" x14ac:dyDescent="0.25">
      <c r="X3082" s="8" t="e">
        <f>IF(Final_Sans_VGE[[#This Row],[ppn_z]]="","",IFERROR(
   IF(_xlfn.XLOOKUP(Final_Sans_VGE[[#This Row],[ppn_z]],tbl_Historique_Final[ppn_z],tbl_Historique_Final[date_modif])=Final_Sans_VGE[[#This Row],[date_modif]],
      "Ancien",
      "Modifié"),
   "Nouveau"))</f>
        <v>#VALUE!</v>
      </c>
      <c r="AD3082" s="1" t="str">
        <f>IFERROR(IF(Final_Sans_VGE[[#This Row],[ppn_z]]="","",IFERROR(
   IF(_xlfn.XLOOKUP(Final_Sans_VGE[[#This Row],[ppn_z]],tbl_Historique_Final[[#This Row],[ppn_z]],tbl_Historique_Final[[#This Row],[date_modif]])=Final_Sans_VGE[[#This Row],[date_modif]],
      "Ancien",
      "Modifié"),
   "Nouveau")),"")</f>
        <v/>
      </c>
    </row>
    <row r="3083" spans="24:30" x14ac:dyDescent="0.25">
      <c r="X3083" s="8" t="e">
        <f>IF(Final_Sans_VGE[[#This Row],[ppn_z]]="","",IFERROR(
   IF(_xlfn.XLOOKUP(Final_Sans_VGE[[#This Row],[ppn_z]],tbl_Historique_Final[ppn_z],tbl_Historique_Final[date_modif])=Final_Sans_VGE[[#This Row],[date_modif]],
      "Ancien",
      "Modifié"),
   "Nouveau"))</f>
        <v>#VALUE!</v>
      </c>
      <c r="AD3083" s="1" t="str">
        <f>IFERROR(IF(Final_Sans_VGE[[#This Row],[ppn_z]]="","",IFERROR(
   IF(_xlfn.XLOOKUP(Final_Sans_VGE[[#This Row],[ppn_z]],tbl_Historique_Final[[#This Row],[ppn_z]],tbl_Historique_Final[[#This Row],[date_modif]])=Final_Sans_VGE[[#This Row],[date_modif]],
      "Ancien",
      "Modifié"),
   "Nouveau")),"")</f>
        <v/>
      </c>
    </row>
    <row r="3084" spans="24:30" x14ac:dyDescent="0.25">
      <c r="X3084" s="8" t="e">
        <f>IF(Final_Sans_VGE[[#This Row],[ppn_z]]="","",IFERROR(
   IF(_xlfn.XLOOKUP(Final_Sans_VGE[[#This Row],[ppn_z]],tbl_Historique_Final[ppn_z],tbl_Historique_Final[date_modif])=Final_Sans_VGE[[#This Row],[date_modif]],
      "Ancien",
      "Modifié"),
   "Nouveau"))</f>
        <v>#VALUE!</v>
      </c>
      <c r="AD3084" s="1" t="str">
        <f>IFERROR(IF(Final_Sans_VGE[[#This Row],[ppn_z]]="","",IFERROR(
   IF(_xlfn.XLOOKUP(Final_Sans_VGE[[#This Row],[ppn_z]],tbl_Historique_Final[[#This Row],[ppn_z]],tbl_Historique_Final[[#This Row],[date_modif]])=Final_Sans_VGE[[#This Row],[date_modif]],
      "Ancien",
      "Modifié"),
   "Nouveau")),"")</f>
        <v/>
      </c>
    </row>
    <row r="3085" spans="24:30" x14ac:dyDescent="0.25">
      <c r="X3085" s="8" t="e">
        <f>IF(Final_Sans_VGE[[#This Row],[ppn_z]]="","",IFERROR(
   IF(_xlfn.XLOOKUP(Final_Sans_VGE[[#This Row],[ppn_z]],tbl_Historique_Final[ppn_z],tbl_Historique_Final[date_modif])=Final_Sans_VGE[[#This Row],[date_modif]],
      "Ancien",
      "Modifié"),
   "Nouveau"))</f>
        <v>#VALUE!</v>
      </c>
      <c r="AD3085" s="1" t="str">
        <f>IFERROR(IF(Final_Sans_VGE[[#This Row],[ppn_z]]="","",IFERROR(
   IF(_xlfn.XLOOKUP(Final_Sans_VGE[[#This Row],[ppn_z]],tbl_Historique_Final[[#This Row],[ppn_z]],tbl_Historique_Final[[#This Row],[date_modif]])=Final_Sans_VGE[[#This Row],[date_modif]],
      "Ancien",
      "Modifié"),
   "Nouveau")),"")</f>
        <v/>
      </c>
    </row>
    <row r="3086" spans="24:30" x14ac:dyDescent="0.25">
      <c r="X3086" s="8" t="e">
        <f>IF(Final_Sans_VGE[[#This Row],[ppn_z]]="","",IFERROR(
   IF(_xlfn.XLOOKUP(Final_Sans_VGE[[#This Row],[ppn_z]],tbl_Historique_Final[ppn_z],tbl_Historique_Final[date_modif])=Final_Sans_VGE[[#This Row],[date_modif]],
      "Ancien",
      "Modifié"),
   "Nouveau"))</f>
        <v>#VALUE!</v>
      </c>
      <c r="AD3086" s="1" t="str">
        <f>IFERROR(IF(Final_Sans_VGE[[#This Row],[ppn_z]]="","",IFERROR(
   IF(_xlfn.XLOOKUP(Final_Sans_VGE[[#This Row],[ppn_z]],tbl_Historique_Final[[#This Row],[ppn_z]],tbl_Historique_Final[[#This Row],[date_modif]])=Final_Sans_VGE[[#This Row],[date_modif]],
      "Ancien",
      "Modifié"),
   "Nouveau")),"")</f>
        <v/>
      </c>
    </row>
    <row r="3087" spans="24:30" x14ac:dyDescent="0.25">
      <c r="X3087" s="8" t="e">
        <f>IF(Final_Sans_VGE[[#This Row],[ppn_z]]="","",IFERROR(
   IF(_xlfn.XLOOKUP(Final_Sans_VGE[[#This Row],[ppn_z]],tbl_Historique_Final[ppn_z],tbl_Historique_Final[date_modif])=Final_Sans_VGE[[#This Row],[date_modif]],
      "Ancien",
      "Modifié"),
   "Nouveau"))</f>
        <v>#VALUE!</v>
      </c>
      <c r="AD3087" s="1" t="str">
        <f>IFERROR(IF(Final_Sans_VGE[[#This Row],[ppn_z]]="","",IFERROR(
   IF(_xlfn.XLOOKUP(Final_Sans_VGE[[#This Row],[ppn_z]],tbl_Historique_Final[[#This Row],[ppn_z]],tbl_Historique_Final[[#This Row],[date_modif]])=Final_Sans_VGE[[#This Row],[date_modif]],
      "Ancien",
      "Modifié"),
   "Nouveau")),"")</f>
        <v/>
      </c>
    </row>
    <row r="3088" spans="24:30" x14ac:dyDescent="0.25">
      <c r="X3088" s="8" t="e">
        <f>IF(Final_Sans_VGE[[#This Row],[ppn_z]]="","",IFERROR(
   IF(_xlfn.XLOOKUP(Final_Sans_VGE[[#This Row],[ppn_z]],tbl_Historique_Final[ppn_z],tbl_Historique_Final[date_modif])=Final_Sans_VGE[[#This Row],[date_modif]],
      "Ancien",
      "Modifié"),
   "Nouveau"))</f>
        <v>#VALUE!</v>
      </c>
      <c r="AD3088" s="1" t="str">
        <f>IFERROR(IF(Final_Sans_VGE[[#This Row],[ppn_z]]="","",IFERROR(
   IF(_xlfn.XLOOKUP(Final_Sans_VGE[[#This Row],[ppn_z]],tbl_Historique_Final[[#This Row],[ppn_z]],tbl_Historique_Final[[#This Row],[date_modif]])=Final_Sans_VGE[[#This Row],[date_modif]],
      "Ancien",
      "Modifié"),
   "Nouveau")),"")</f>
        <v/>
      </c>
    </row>
    <row r="3089" spans="24:30" x14ac:dyDescent="0.25">
      <c r="X3089" s="8" t="e">
        <f>IF(Final_Sans_VGE[[#This Row],[ppn_z]]="","",IFERROR(
   IF(_xlfn.XLOOKUP(Final_Sans_VGE[[#This Row],[ppn_z]],tbl_Historique_Final[ppn_z],tbl_Historique_Final[date_modif])=Final_Sans_VGE[[#This Row],[date_modif]],
      "Ancien",
      "Modifié"),
   "Nouveau"))</f>
        <v>#VALUE!</v>
      </c>
      <c r="AD3089" s="1" t="str">
        <f>IFERROR(IF(Final_Sans_VGE[[#This Row],[ppn_z]]="","",IFERROR(
   IF(_xlfn.XLOOKUP(Final_Sans_VGE[[#This Row],[ppn_z]],tbl_Historique_Final[[#This Row],[ppn_z]],tbl_Historique_Final[[#This Row],[date_modif]])=Final_Sans_VGE[[#This Row],[date_modif]],
      "Ancien",
      "Modifié"),
   "Nouveau")),"")</f>
        <v/>
      </c>
    </row>
    <row r="3090" spans="24:30" x14ac:dyDescent="0.25">
      <c r="X3090" s="8" t="e">
        <f>IF(Final_Sans_VGE[[#This Row],[ppn_z]]="","",IFERROR(
   IF(_xlfn.XLOOKUP(Final_Sans_VGE[[#This Row],[ppn_z]],tbl_Historique_Final[ppn_z],tbl_Historique_Final[date_modif])=Final_Sans_VGE[[#This Row],[date_modif]],
      "Ancien",
      "Modifié"),
   "Nouveau"))</f>
        <v>#VALUE!</v>
      </c>
      <c r="AD3090" s="1" t="str">
        <f>IFERROR(IF(Final_Sans_VGE[[#This Row],[ppn_z]]="","",IFERROR(
   IF(_xlfn.XLOOKUP(Final_Sans_VGE[[#This Row],[ppn_z]],tbl_Historique_Final[[#This Row],[ppn_z]],tbl_Historique_Final[[#This Row],[date_modif]])=Final_Sans_VGE[[#This Row],[date_modif]],
      "Ancien",
      "Modifié"),
   "Nouveau")),"")</f>
        <v/>
      </c>
    </row>
    <row r="3091" spans="24:30" x14ac:dyDescent="0.25">
      <c r="X3091" s="8" t="e">
        <f>IF(Final_Sans_VGE[[#This Row],[ppn_z]]="","",IFERROR(
   IF(_xlfn.XLOOKUP(Final_Sans_VGE[[#This Row],[ppn_z]],tbl_Historique_Final[ppn_z],tbl_Historique_Final[date_modif])=Final_Sans_VGE[[#This Row],[date_modif]],
      "Ancien",
      "Modifié"),
   "Nouveau"))</f>
        <v>#VALUE!</v>
      </c>
      <c r="AD3091" s="1" t="str">
        <f>IFERROR(IF(Final_Sans_VGE[[#This Row],[ppn_z]]="","",IFERROR(
   IF(_xlfn.XLOOKUP(Final_Sans_VGE[[#This Row],[ppn_z]],tbl_Historique_Final[[#This Row],[ppn_z]],tbl_Historique_Final[[#This Row],[date_modif]])=Final_Sans_VGE[[#This Row],[date_modif]],
      "Ancien",
      "Modifié"),
   "Nouveau")),"")</f>
        <v/>
      </c>
    </row>
    <row r="3092" spans="24:30" x14ac:dyDescent="0.25">
      <c r="X3092" s="8" t="e">
        <f>IF(Final_Sans_VGE[[#This Row],[ppn_z]]="","",IFERROR(
   IF(_xlfn.XLOOKUP(Final_Sans_VGE[[#This Row],[ppn_z]],tbl_Historique_Final[ppn_z],tbl_Historique_Final[date_modif])=Final_Sans_VGE[[#This Row],[date_modif]],
      "Ancien",
      "Modifié"),
   "Nouveau"))</f>
        <v>#VALUE!</v>
      </c>
      <c r="AD3092" s="1" t="str">
        <f>IFERROR(IF(Final_Sans_VGE[[#This Row],[ppn_z]]="","",IFERROR(
   IF(_xlfn.XLOOKUP(Final_Sans_VGE[[#This Row],[ppn_z]],tbl_Historique_Final[[#This Row],[ppn_z]],tbl_Historique_Final[[#This Row],[date_modif]])=Final_Sans_VGE[[#This Row],[date_modif]],
      "Ancien",
      "Modifié"),
   "Nouveau")),"")</f>
        <v/>
      </c>
    </row>
    <row r="3093" spans="24:30" x14ac:dyDescent="0.25">
      <c r="X3093" s="8" t="e">
        <f>IF(Final_Sans_VGE[[#This Row],[ppn_z]]="","",IFERROR(
   IF(_xlfn.XLOOKUP(Final_Sans_VGE[[#This Row],[ppn_z]],tbl_Historique_Final[ppn_z],tbl_Historique_Final[date_modif])=Final_Sans_VGE[[#This Row],[date_modif]],
      "Ancien",
      "Modifié"),
   "Nouveau"))</f>
        <v>#VALUE!</v>
      </c>
      <c r="AD3093" s="1" t="str">
        <f>IFERROR(IF(Final_Sans_VGE[[#This Row],[ppn_z]]="","",IFERROR(
   IF(_xlfn.XLOOKUP(Final_Sans_VGE[[#This Row],[ppn_z]],tbl_Historique_Final[[#This Row],[ppn_z]],tbl_Historique_Final[[#This Row],[date_modif]])=Final_Sans_VGE[[#This Row],[date_modif]],
      "Ancien",
      "Modifié"),
   "Nouveau")),"")</f>
        <v/>
      </c>
    </row>
    <row r="3094" spans="24:30" x14ac:dyDescent="0.25">
      <c r="X3094" s="8" t="e">
        <f>IF(Final_Sans_VGE[[#This Row],[ppn_z]]="","",IFERROR(
   IF(_xlfn.XLOOKUP(Final_Sans_VGE[[#This Row],[ppn_z]],tbl_Historique_Final[ppn_z],tbl_Historique_Final[date_modif])=Final_Sans_VGE[[#This Row],[date_modif]],
      "Ancien",
      "Modifié"),
   "Nouveau"))</f>
        <v>#VALUE!</v>
      </c>
      <c r="AD3094" s="1" t="str">
        <f>IFERROR(IF(Final_Sans_VGE[[#This Row],[ppn_z]]="","",IFERROR(
   IF(_xlfn.XLOOKUP(Final_Sans_VGE[[#This Row],[ppn_z]],tbl_Historique_Final[[#This Row],[ppn_z]],tbl_Historique_Final[[#This Row],[date_modif]])=Final_Sans_VGE[[#This Row],[date_modif]],
      "Ancien",
      "Modifié"),
   "Nouveau")),"")</f>
        <v/>
      </c>
    </row>
    <row r="3095" spans="24:30" x14ac:dyDescent="0.25">
      <c r="X3095" s="8" t="e">
        <f>IF(Final_Sans_VGE[[#This Row],[ppn_z]]="","",IFERROR(
   IF(_xlfn.XLOOKUP(Final_Sans_VGE[[#This Row],[ppn_z]],tbl_Historique_Final[ppn_z],tbl_Historique_Final[date_modif])=Final_Sans_VGE[[#This Row],[date_modif]],
      "Ancien",
      "Modifié"),
   "Nouveau"))</f>
        <v>#VALUE!</v>
      </c>
      <c r="AD3095" s="1" t="str">
        <f>IFERROR(IF(Final_Sans_VGE[[#This Row],[ppn_z]]="","",IFERROR(
   IF(_xlfn.XLOOKUP(Final_Sans_VGE[[#This Row],[ppn_z]],tbl_Historique_Final[[#This Row],[ppn_z]],tbl_Historique_Final[[#This Row],[date_modif]])=Final_Sans_VGE[[#This Row],[date_modif]],
      "Ancien",
      "Modifié"),
   "Nouveau")),"")</f>
        <v/>
      </c>
    </row>
    <row r="3096" spans="24:30" x14ac:dyDescent="0.25">
      <c r="X3096" s="8" t="e">
        <f>IF(Final_Sans_VGE[[#This Row],[ppn_z]]="","",IFERROR(
   IF(_xlfn.XLOOKUP(Final_Sans_VGE[[#This Row],[ppn_z]],tbl_Historique_Final[ppn_z],tbl_Historique_Final[date_modif])=Final_Sans_VGE[[#This Row],[date_modif]],
      "Ancien",
      "Modifié"),
   "Nouveau"))</f>
        <v>#VALUE!</v>
      </c>
      <c r="AD3096" s="1" t="str">
        <f>IFERROR(IF(Final_Sans_VGE[[#This Row],[ppn_z]]="","",IFERROR(
   IF(_xlfn.XLOOKUP(Final_Sans_VGE[[#This Row],[ppn_z]],tbl_Historique_Final[[#This Row],[ppn_z]],tbl_Historique_Final[[#This Row],[date_modif]])=Final_Sans_VGE[[#This Row],[date_modif]],
      "Ancien",
      "Modifié"),
   "Nouveau")),"")</f>
        <v/>
      </c>
    </row>
    <row r="3097" spans="24:30" x14ac:dyDescent="0.25">
      <c r="X3097" s="8" t="e">
        <f>IF(Final_Sans_VGE[[#This Row],[ppn_z]]="","",IFERROR(
   IF(_xlfn.XLOOKUP(Final_Sans_VGE[[#This Row],[ppn_z]],tbl_Historique_Final[ppn_z],tbl_Historique_Final[date_modif])=Final_Sans_VGE[[#This Row],[date_modif]],
      "Ancien",
      "Modifié"),
   "Nouveau"))</f>
        <v>#VALUE!</v>
      </c>
      <c r="AD3097" s="1" t="str">
        <f>IFERROR(IF(Final_Sans_VGE[[#This Row],[ppn_z]]="","",IFERROR(
   IF(_xlfn.XLOOKUP(Final_Sans_VGE[[#This Row],[ppn_z]],tbl_Historique_Final[[#This Row],[ppn_z]],tbl_Historique_Final[[#This Row],[date_modif]])=Final_Sans_VGE[[#This Row],[date_modif]],
      "Ancien",
      "Modifié"),
   "Nouveau")),"")</f>
        <v/>
      </c>
    </row>
    <row r="3098" spans="24:30" x14ac:dyDescent="0.25">
      <c r="X3098" s="8" t="e">
        <f>IF(Final_Sans_VGE[[#This Row],[ppn_z]]="","",IFERROR(
   IF(_xlfn.XLOOKUP(Final_Sans_VGE[[#This Row],[ppn_z]],tbl_Historique_Final[ppn_z],tbl_Historique_Final[date_modif])=Final_Sans_VGE[[#This Row],[date_modif]],
      "Ancien",
      "Modifié"),
   "Nouveau"))</f>
        <v>#VALUE!</v>
      </c>
      <c r="AD3098" s="1" t="str">
        <f>IFERROR(IF(Final_Sans_VGE[[#This Row],[ppn_z]]="","",IFERROR(
   IF(_xlfn.XLOOKUP(Final_Sans_VGE[[#This Row],[ppn_z]],tbl_Historique_Final[[#This Row],[ppn_z]],tbl_Historique_Final[[#This Row],[date_modif]])=Final_Sans_VGE[[#This Row],[date_modif]],
      "Ancien",
      "Modifié"),
   "Nouveau")),"")</f>
        <v/>
      </c>
    </row>
    <row r="3099" spans="24:30" x14ac:dyDescent="0.25">
      <c r="X3099" s="8" t="e">
        <f>IF(Final_Sans_VGE[[#This Row],[ppn_z]]="","",IFERROR(
   IF(_xlfn.XLOOKUP(Final_Sans_VGE[[#This Row],[ppn_z]],tbl_Historique_Final[ppn_z],tbl_Historique_Final[date_modif])=Final_Sans_VGE[[#This Row],[date_modif]],
      "Ancien",
      "Modifié"),
   "Nouveau"))</f>
        <v>#VALUE!</v>
      </c>
      <c r="AD3099" s="1" t="str">
        <f>IFERROR(IF(Final_Sans_VGE[[#This Row],[ppn_z]]="","",IFERROR(
   IF(_xlfn.XLOOKUP(Final_Sans_VGE[[#This Row],[ppn_z]],tbl_Historique_Final[[#This Row],[ppn_z]],tbl_Historique_Final[[#This Row],[date_modif]])=Final_Sans_VGE[[#This Row],[date_modif]],
      "Ancien",
      "Modifié"),
   "Nouveau")),"")</f>
        <v/>
      </c>
    </row>
    <row r="3100" spans="24:30" x14ac:dyDescent="0.25">
      <c r="X3100" s="8" t="e">
        <f>IF(Final_Sans_VGE[[#This Row],[ppn_z]]="","",IFERROR(
   IF(_xlfn.XLOOKUP(Final_Sans_VGE[[#This Row],[ppn_z]],tbl_Historique_Final[ppn_z],tbl_Historique_Final[date_modif])=Final_Sans_VGE[[#This Row],[date_modif]],
      "Ancien",
      "Modifié"),
   "Nouveau"))</f>
        <v>#VALUE!</v>
      </c>
      <c r="AD3100" s="1" t="str">
        <f>IFERROR(IF(Final_Sans_VGE[[#This Row],[ppn_z]]="","",IFERROR(
   IF(_xlfn.XLOOKUP(Final_Sans_VGE[[#This Row],[ppn_z]],tbl_Historique_Final[[#This Row],[ppn_z]],tbl_Historique_Final[[#This Row],[date_modif]])=Final_Sans_VGE[[#This Row],[date_modif]],
      "Ancien",
      "Modifié"),
   "Nouveau")),"")</f>
        <v/>
      </c>
    </row>
    <row r="3101" spans="24:30" x14ac:dyDescent="0.25">
      <c r="X3101" s="8" t="e">
        <f>IF(Final_Sans_VGE[[#This Row],[ppn_z]]="","",IFERROR(
   IF(_xlfn.XLOOKUP(Final_Sans_VGE[[#This Row],[ppn_z]],tbl_Historique_Final[ppn_z],tbl_Historique_Final[date_modif])=Final_Sans_VGE[[#This Row],[date_modif]],
      "Ancien",
      "Modifié"),
   "Nouveau"))</f>
        <v>#VALUE!</v>
      </c>
      <c r="AD3101" s="1" t="str">
        <f>IFERROR(IF(Final_Sans_VGE[[#This Row],[ppn_z]]="","",IFERROR(
   IF(_xlfn.XLOOKUP(Final_Sans_VGE[[#This Row],[ppn_z]],tbl_Historique_Final[[#This Row],[ppn_z]],tbl_Historique_Final[[#This Row],[date_modif]])=Final_Sans_VGE[[#This Row],[date_modif]],
      "Ancien",
      "Modifié"),
   "Nouveau")),"")</f>
        <v/>
      </c>
    </row>
    <row r="3102" spans="24:30" x14ac:dyDescent="0.25">
      <c r="X3102" s="8" t="e">
        <f>IF(Final_Sans_VGE[[#This Row],[ppn_z]]="","",IFERROR(
   IF(_xlfn.XLOOKUP(Final_Sans_VGE[[#This Row],[ppn_z]],tbl_Historique_Final[ppn_z],tbl_Historique_Final[date_modif])=Final_Sans_VGE[[#This Row],[date_modif]],
      "Ancien",
      "Modifié"),
   "Nouveau"))</f>
        <v>#VALUE!</v>
      </c>
      <c r="AD3102" s="1" t="str">
        <f>IFERROR(IF(Final_Sans_VGE[[#This Row],[ppn_z]]="","",IFERROR(
   IF(_xlfn.XLOOKUP(Final_Sans_VGE[[#This Row],[ppn_z]],tbl_Historique_Final[[#This Row],[ppn_z]],tbl_Historique_Final[[#This Row],[date_modif]])=Final_Sans_VGE[[#This Row],[date_modif]],
      "Ancien",
      "Modifié"),
   "Nouveau")),"")</f>
        <v/>
      </c>
    </row>
    <row r="3103" spans="24:30" x14ac:dyDescent="0.25">
      <c r="X3103" s="8" t="e">
        <f>IF(Final_Sans_VGE[[#This Row],[ppn_z]]="","",IFERROR(
   IF(_xlfn.XLOOKUP(Final_Sans_VGE[[#This Row],[ppn_z]],tbl_Historique_Final[ppn_z],tbl_Historique_Final[date_modif])=Final_Sans_VGE[[#This Row],[date_modif]],
      "Ancien",
      "Modifié"),
   "Nouveau"))</f>
        <v>#VALUE!</v>
      </c>
      <c r="AD3103" s="1" t="str">
        <f>IFERROR(IF(Final_Sans_VGE[[#This Row],[ppn_z]]="","",IFERROR(
   IF(_xlfn.XLOOKUP(Final_Sans_VGE[[#This Row],[ppn_z]],tbl_Historique_Final[[#This Row],[ppn_z]],tbl_Historique_Final[[#This Row],[date_modif]])=Final_Sans_VGE[[#This Row],[date_modif]],
      "Ancien",
      "Modifié"),
   "Nouveau")),"")</f>
        <v/>
      </c>
    </row>
    <row r="3104" spans="24:30" x14ac:dyDescent="0.25">
      <c r="X3104" s="8" t="e">
        <f>IF(Final_Sans_VGE[[#This Row],[ppn_z]]="","",IFERROR(
   IF(_xlfn.XLOOKUP(Final_Sans_VGE[[#This Row],[ppn_z]],tbl_Historique_Final[ppn_z],tbl_Historique_Final[date_modif])=Final_Sans_VGE[[#This Row],[date_modif]],
      "Ancien",
      "Modifié"),
   "Nouveau"))</f>
        <v>#VALUE!</v>
      </c>
      <c r="AD3104" s="1" t="str">
        <f>IFERROR(IF(Final_Sans_VGE[[#This Row],[ppn_z]]="","",IFERROR(
   IF(_xlfn.XLOOKUP(Final_Sans_VGE[[#This Row],[ppn_z]],tbl_Historique_Final[[#This Row],[ppn_z]],tbl_Historique_Final[[#This Row],[date_modif]])=Final_Sans_VGE[[#This Row],[date_modif]],
      "Ancien",
      "Modifié"),
   "Nouveau")),"")</f>
        <v/>
      </c>
    </row>
    <row r="3105" spans="24:30" x14ac:dyDescent="0.25">
      <c r="X3105" s="8" t="e">
        <f>IF(Final_Sans_VGE[[#This Row],[ppn_z]]="","",IFERROR(
   IF(_xlfn.XLOOKUP(Final_Sans_VGE[[#This Row],[ppn_z]],tbl_Historique_Final[ppn_z],tbl_Historique_Final[date_modif])=Final_Sans_VGE[[#This Row],[date_modif]],
      "Ancien",
      "Modifié"),
   "Nouveau"))</f>
        <v>#VALUE!</v>
      </c>
      <c r="AD3105" s="1" t="str">
        <f>IFERROR(IF(Final_Sans_VGE[[#This Row],[ppn_z]]="","",IFERROR(
   IF(_xlfn.XLOOKUP(Final_Sans_VGE[[#This Row],[ppn_z]],tbl_Historique_Final[[#This Row],[ppn_z]],tbl_Historique_Final[[#This Row],[date_modif]])=Final_Sans_VGE[[#This Row],[date_modif]],
      "Ancien",
      "Modifié"),
   "Nouveau")),"")</f>
        <v/>
      </c>
    </row>
    <row r="3106" spans="24:30" x14ac:dyDescent="0.25">
      <c r="X3106" s="8" t="e">
        <f>IF(Final_Sans_VGE[[#This Row],[ppn_z]]="","",IFERROR(
   IF(_xlfn.XLOOKUP(Final_Sans_VGE[[#This Row],[ppn_z]],tbl_Historique_Final[ppn_z],tbl_Historique_Final[date_modif])=Final_Sans_VGE[[#This Row],[date_modif]],
      "Ancien",
      "Modifié"),
   "Nouveau"))</f>
        <v>#VALUE!</v>
      </c>
      <c r="AD3106" s="1" t="str">
        <f>IFERROR(IF(Final_Sans_VGE[[#This Row],[ppn_z]]="","",IFERROR(
   IF(_xlfn.XLOOKUP(Final_Sans_VGE[[#This Row],[ppn_z]],tbl_Historique_Final[[#This Row],[ppn_z]],tbl_Historique_Final[[#This Row],[date_modif]])=Final_Sans_VGE[[#This Row],[date_modif]],
      "Ancien",
      "Modifié"),
   "Nouveau")),"")</f>
        <v/>
      </c>
    </row>
    <row r="3107" spans="24:30" x14ac:dyDescent="0.25">
      <c r="X3107" s="8" t="e">
        <f>IF(Final_Sans_VGE[[#This Row],[ppn_z]]="","",IFERROR(
   IF(_xlfn.XLOOKUP(Final_Sans_VGE[[#This Row],[ppn_z]],tbl_Historique_Final[ppn_z],tbl_Historique_Final[date_modif])=Final_Sans_VGE[[#This Row],[date_modif]],
      "Ancien",
      "Modifié"),
   "Nouveau"))</f>
        <v>#VALUE!</v>
      </c>
      <c r="AD3107" s="1" t="str">
        <f>IFERROR(IF(Final_Sans_VGE[[#This Row],[ppn_z]]="","",IFERROR(
   IF(_xlfn.XLOOKUP(Final_Sans_VGE[[#This Row],[ppn_z]],tbl_Historique_Final[[#This Row],[ppn_z]],tbl_Historique_Final[[#This Row],[date_modif]])=Final_Sans_VGE[[#This Row],[date_modif]],
      "Ancien",
      "Modifié"),
   "Nouveau")),"")</f>
        <v/>
      </c>
    </row>
    <row r="3108" spans="24:30" x14ac:dyDescent="0.25">
      <c r="X3108" s="8" t="e">
        <f>IF(Final_Sans_VGE[[#This Row],[ppn_z]]="","",IFERROR(
   IF(_xlfn.XLOOKUP(Final_Sans_VGE[[#This Row],[ppn_z]],tbl_Historique_Final[ppn_z],tbl_Historique_Final[date_modif])=Final_Sans_VGE[[#This Row],[date_modif]],
      "Ancien",
      "Modifié"),
   "Nouveau"))</f>
        <v>#VALUE!</v>
      </c>
      <c r="AD3108" s="1" t="str">
        <f>IFERROR(IF(Final_Sans_VGE[[#This Row],[ppn_z]]="","",IFERROR(
   IF(_xlfn.XLOOKUP(Final_Sans_VGE[[#This Row],[ppn_z]],tbl_Historique_Final[[#This Row],[ppn_z]],tbl_Historique_Final[[#This Row],[date_modif]])=Final_Sans_VGE[[#This Row],[date_modif]],
      "Ancien",
      "Modifié"),
   "Nouveau")),"")</f>
        <v/>
      </c>
    </row>
    <row r="3109" spans="24:30" x14ac:dyDescent="0.25">
      <c r="X3109" s="8" t="e">
        <f>IF(Final_Sans_VGE[[#This Row],[ppn_z]]="","",IFERROR(
   IF(_xlfn.XLOOKUP(Final_Sans_VGE[[#This Row],[ppn_z]],tbl_Historique_Final[ppn_z],tbl_Historique_Final[date_modif])=Final_Sans_VGE[[#This Row],[date_modif]],
      "Ancien",
      "Modifié"),
   "Nouveau"))</f>
        <v>#VALUE!</v>
      </c>
      <c r="AD3109" s="1" t="str">
        <f>IFERROR(IF(Final_Sans_VGE[[#This Row],[ppn_z]]="","",IFERROR(
   IF(_xlfn.XLOOKUP(Final_Sans_VGE[[#This Row],[ppn_z]],tbl_Historique_Final[[#This Row],[ppn_z]],tbl_Historique_Final[[#This Row],[date_modif]])=Final_Sans_VGE[[#This Row],[date_modif]],
      "Ancien",
      "Modifié"),
   "Nouveau")),"")</f>
        <v/>
      </c>
    </row>
    <row r="3110" spans="24:30" x14ac:dyDescent="0.25">
      <c r="X3110" s="8" t="e">
        <f>IF(Final_Sans_VGE[[#This Row],[ppn_z]]="","",IFERROR(
   IF(_xlfn.XLOOKUP(Final_Sans_VGE[[#This Row],[ppn_z]],tbl_Historique_Final[ppn_z],tbl_Historique_Final[date_modif])=Final_Sans_VGE[[#This Row],[date_modif]],
      "Ancien",
      "Modifié"),
   "Nouveau"))</f>
        <v>#VALUE!</v>
      </c>
      <c r="AD3110" s="1" t="str">
        <f>IFERROR(IF(Final_Sans_VGE[[#This Row],[ppn_z]]="","",IFERROR(
   IF(_xlfn.XLOOKUP(Final_Sans_VGE[[#This Row],[ppn_z]],tbl_Historique_Final[[#This Row],[ppn_z]],tbl_Historique_Final[[#This Row],[date_modif]])=Final_Sans_VGE[[#This Row],[date_modif]],
      "Ancien",
      "Modifié"),
   "Nouveau")),"")</f>
        <v/>
      </c>
    </row>
    <row r="3111" spans="24:30" x14ac:dyDescent="0.25">
      <c r="X3111" s="8" t="e">
        <f>IF(Final_Sans_VGE[[#This Row],[ppn_z]]="","",IFERROR(
   IF(_xlfn.XLOOKUP(Final_Sans_VGE[[#This Row],[ppn_z]],tbl_Historique_Final[ppn_z],tbl_Historique_Final[date_modif])=Final_Sans_VGE[[#This Row],[date_modif]],
      "Ancien",
      "Modifié"),
   "Nouveau"))</f>
        <v>#VALUE!</v>
      </c>
      <c r="AD3111" s="1" t="str">
        <f>IFERROR(IF(Final_Sans_VGE[[#This Row],[ppn_z]]="","",IFERROR(
   IF(_xlfn.XLOOKUP(Final_Sans_VGE[[#This Row],[ppn_z]],tbl_Historique_Final[[#This Row],[ppn_z]],tbl_Historique_Final[[#This Row],[date_modif]])=Final_Sans_VGE[[#This Row],[date_modif]],
      "Ancien",
      "Modifié"),
   "Nouveau")),"")</f>
        <v/>
      </c>
    </row>
    <row r="3112" spans="24:30" x14ac:dyDescent="0.25">
      <c r="X3112" s="8" t="e">
        <f>IF(Final_Sans_VGE[[#This Row],[ppn_z]]="","",IFERROR(
   IF(_xlfn.XLOOKUP(Final_Sans_VGE[[#This Row],[ppn_z]],tbl_Historique_Final[ppn_z],tbl_Historique_Final[date_modif])=Final_Sans_VGE[[#This Row],[date_modif]],
      "Ancien",
      "Modifié"),
   "Nouveau"))</f>
        <v>#VALUE!</v>
      </c>
      <c r="AD3112" s="1" t="str">
        <f>IFERROR(IF(Final_Sans_VGE[[#This Row],[ppn_z]]="","",IFERROR(
   IF(_xlfn.XLOOKUP(Final_Sans_VGE[[#This Row],[ppn_z]],tbl_Historique_Final[[#This Row],[ppn_z]],tbl_Historique_Final[[#This Row],[date_modif]])=Final_Sans_VGE[[#This Row],[date_modif]],
      "Ancien",
      "Modifié"),
   "Nouveau")),"")</f>
        <v/>
      </c>
    </row>
    <row r="3113" spans="24:30" x14ac:dyDescent="0.25">
      <c r="X3113" s="8" t="e">
        <f>IF(Final_Sans_VGE[[#This Row],[ppn_z]]="","",IFERROR(
   IF(_xlfn.XLOOKUP(Final_Sans_VGE[[#This Row],[ppn_z]],tbl_Historique_Final[ppn_z],tbl_Historique_Final[date_modif])=Final_Sans_VGE[[#This Row],[date_modif]],
      "Ancien",
      "Modifié"),
   "Nouveau"))</f>
        <v>#VALUE!</v>
      </c>
      <c r="AD3113" s="1" t="str">
        <f>IFERROR(IF(Final_Sans_VGE[[#This Row],[ppn_z]]="","",IFERROR(
   IF(_xlfn.XLOOKUP(Final_Sans_VGE[[#This Row],[ppn_z]],tbl_Historique_Final[[#This Row],[ppn_z]],tbl_Historique_Final[[#This Row],[date_modif]])=Final_Sans_VGE[[#This Row],[date_modif]],
      "Ancien",
      "Modifié"),
   "Nouveau")),"")</f>
        <v/>
      </c>
    </row>
    <row r="3114" spans="24:30" x14ac:dyDescent="0.25">
      <c r="X3114" s="8" t="e">
        <f>IF(Final_Sans_VGE[[#This Row],[ppn_z]]="","",IFERROR(
   IF(_xlfn.XLOOKUP(Final_Sans_VGE[[#This Row],[ppn_z]],tbl_Historique_Final[ppn_z],tbl_Historique_Final[date_modif])=Final_Sans_VGE[[#This Row],[date_modif]],
      "Ancien",
      "Modifié"),
   "Nouveau"))</f>
        <v>#VALUE!</v>
      </c>
      <c r="AD3114" s="1" t="str">
        <f>IFERROR(IF(Final_Sans_VGE[[#This Row],[ppn_z]]="","",IFERROR(
   IF(_xlfn.XLOOKUP(Final_Sans_VGE[[#This Row],[ppn_z]],tbl_Historique_Final[[#This Row],[ppn_z]],tbl_Historique_Final[[#This Row],[date_modif]])=Final_Sans_VGE[[#This Row],[date_modif]],
      "Ancien",
      "Modifié"),
   "Nouveau")),"")</f>
        <v/>
      </c>
    </row>
    <row r="3115" spans="24:30" x14ac:dyDescent="0.25">
      <c r="X3115" s="8" t="e">
        <f>IF(Final_Sans_VGE[[#This Row],[ppn_z]]="","",IFERROR(
   IF(_xlfn.XLOOKUP(Final_Sans_VGE[[#This Row],[ppn_z]],tbl_Historique_Final[ppn_z],tbl_Historique_Final[date_modif])=Final_Sans_VGE[[#This Row],[date_modif]],
      "Ancien",
      "Modifié"),
   "Nouveau"))</f>
        <v>#VALUE!</v>
      </c>
      <c r="AD3115" s="1" t="str">
        <f>IFERROR(IF(Final_Sans_VGE[[#This Row],[ppn_z]]="","",IFERROR(
   IF(_xlfn.XLOOKUP(Final_Sans_VGE[[#This Row],[ppn_z]],tbl_Historique_Final[[#This Row],[ppn_z]],tbl_Historique_Final[[#This Row],[date_modif]])=Final_Sans_VGE[[#This Row],[date_modif]],
      "Ancien",
      "Modifié"),
   "Nouveau")),"")</f>
        <v/>
      </c>
    </row>
    <row r="3116" spans="24:30" x14ac:dyDescent="0.25">
      <c r="X3116" s="8" t="e">
        <f>IF(Final_Sans_VGE[[#This Row],[ppn_z]]="","",IFERROR(
   IF(_xlfn.XLOOKUP(Final_Sans_VGE[[#This Row],[ppn_z]],tbl_Historique_Final[ppn_z],tbl_Historique_Final[date_modif])=Final_Sans_VGE[[#This Row],[date_modif]],
      "Ancien",
      "Modifié"),
   "Nouveau"))</f>
        <v>#VALUE!</v>
      </c>
      <c r="AD3116" s="1" t="str">
        <f>IFERROR(IF(Final_Sans_VGE[[#This Row],[ppn_z]]="","",IFERROR(
   IF(_xlfn.XLOOKUP(Final_Sans_VGE[[#This Row],[ppn_z]],tbl_Historique_Final[[#This Row],[ppn_z]],tbl_Historique_Final[[#This Row],[date_modif]])=Final_Sans_VGE[[#This Row],[date_modif]],
      "Ancien",
      "Modifié"),
   "Nouveau")),"")</f>
        <v/>
      </c>
    </row>
    <row r="3117" spans="24:30" x14ac:dyDescent="0.25">
      <c r="X3117" s="8" t="e">
        <f>IF(Final_Sans_VGE[[#This Row],[ppn_z]]="","",IFERROR(
   IF(_xlfn.XLOOKUP(Final_Sans_VGE[[#This Row],[ppn_z]],tbl_Historique_Final[ppn_z],tbl_Historique_Final[date_modif])=Final_Sans_VGE[[#This Row],[date_modif]],
      "Ancien",
      "Modifié"),
   "Nouveau"))</f>
        <v>#VALUE!</v>
      </c>
      <c r="AD3117" s="1" t="str">
        <f>IFERROR(IF(Final_Sans_VGE[[#This Row],[ppn_z]]="","",IFERROR(
   IF(_xlfn.XLOOKUP(Final_Sans_VGE[[#This Row],[ppn_z]],tbl_Historique_Final[[#This Row],[ppn_z]],tbl_Historique_Final[[#This Row],[date_modif]])=Final_Sans_VGE[[#This Row],[date_modif]],
      "Ancien",
      "Modifié"),
   "Nouveau")),"")</f>
        <v/>
      </c>
    </row>
    <row r="3118" spans="24:30" x14ac:dyDescent="0.25">
      <c r="X3118" s="8" t="e">
        <f>IF(Final_Sans_VGE[[#This Row],[ppn_z]]="","",IFERROR(
   IF(_xlfn.XLOOKUP(Final_Sans_VGE[[#This Row],[ppn_z]],tbl_Historique_Final[ppn_z],tbl_Historique_Final[date_modif])=Final_Sans_VGE[[#This Row],[date_modif]],
      "Ancien",
      "Modifié"),
   "Nouveau"))</f>
        <v>#VALUE!</v>
      </c>
      <c r="AD3118" s="1" t="str">
        <f>IFERROR(IF(Final_Sans_VGE[[#This Row],[ppn_z]]="","",IFERROR(
   IF(_xlfn.XLOOKUP(Final_Sans_VGE[[#This Row],[ppn_z]],tbl_Historique_Final[[#This Row],[ppn_z]],tbl_Historique_Final[[#This Row],[date_modif]])=Final_Sans_VGE[[#This Row],[date_modif]],
      "Ancien",
      "Modifié"),
   "Nouveau")),"")</f>
        <v/>
      </c>
    </row>
    <row r="3119" spans="24:30" x14ac:dyDescent="0.25">
      <c r="X3119" s="8" t="e">
        <f>IF(Final_Sans_VGE[[#This Row],[ppn_z]]="","",IFERROR(
   IF(_xlfn.XLOOKUP(Final_Sans_VGE[[#This Row],[ppn_z]],tbl_Historique_Final[ppn_z],tbl_Historique_Final[date_modif])=Final_Sans_VGE[[#This Row],[date_modif]],
      "Ancien",
      "Modifié"),
   "Nouveau"))</f>
        <v>#VALUE!</v>
      </c>
      <c r="AD3119" s="1" t="str">
        <f>IFERROR(IF(Final_Sans_VGE[[#This Row],[ppn_z]]="","",IFERROR(
   IF(_xlfn.XLOOKUP(Final_Sans_VGE[[#This Row],[ppn_z]],tbl_Historique_Final[[#This Row],[ppn_z]],tbl_Historique_Final[[#This Row],[date_modif]])=Final_Sans_VGE[[#This Row],[date_modif]],
      "Ancien",
      "Modifié"),
   "Nouveau")),"")</f>
        <v/>
      </c>
    </row>
    <row r="3120" spans="24:30" x14ac:dyDescent="0.25">
      <c r="X3120" s="8" t="e">
        <f>IF(Final_Sans_VGE[[#This Row],[ppn_z]]="","",IFERROR(
   IF(_xlfn.XLOOKUP(Final_Sans_VGE[[#This Row],[ppn_z]],tbl_Historique_Final[ppn_z],tbl_Historique_Final[date_modif])=Final_Sans_VGE[[#This Row],[date_modif]],
      "Ancien",
      "Modifié"),
   "Nouveau"))</f>
        <v>#VALUE!</v>
      </c>
      <c r="AD3120" s="1" t="str">
        <f>IFERROR(IF(Final_Sans_VGE[[#This Row],[ppn_z]]="","",IFERROR(
   IF(_xlfn.XLOOKUP(Final_Sans_VGE[[#This Row],[ppn_z]],tbl_Historique_Final[[#This Row],[ppn_z]],tbl_Historique_Final[[#This Row],[date_modif]])=Final_Sans_VGE[[#This Row],[date_modif]],
      "Ancien",
      "Modifié"),
   "Nouveau")),"")</f>
        <v/>
      </c>
    </row>
    <row r="3121" spans="24:30" x14ac:dyDescent="0.25">
      <c r="X3121" s="8" t="e">
        <f>IF(Final_Sans_VGE[[#This Row],[ppn_z]]="","",IFERROR(
   IF(_xlfn.XLOOKUP(Final_Sans_VGE[[#This Row],[ppn_z]],tbl_Historique_Final[ppn_z],tbl_Historique_Final[date_modif])=Final_Sans_VGE[[#This Row],[date_modif]],
      "Ancien",
      "Modifié"),
   "Nouveau"))</f>
        <v>#VALUE!</v>
      </c>
      <c r="AD3121" s="1" t="str">
        <f>IFERROR(IF(Final_Sans_VGE[[#This Row],[ppn_z]]="","",IFERROR(
   IF(_xlfn.XLOOKUP(Final_Sans_VGE[[#This Row],[ppn_z]],tbl_Historique_Final[[#This Row],[ppn_z]],tbl_Historique_Final[[#This Row],[date_modif]])=Final_Sans_VGE[[#This Row],[date_modif]],
      "Ancien",
      "Modifié"),
   "Nouveau")),"")</f>
        <v/>
      </c>
    </row>
    <row r="3122" spans="24:30" x14ac:dyDescent="0.25">
      <c r="X3122" s="8" t="e">
        <f>IF(Final_Sans_VGE[[#This Row],[ppn_z]]="","",IFERROR(
   IF(_xlfn.XLOOKUP(Final_Sans_VGE[[#This Row],[ppn_z]],tbl_Historique_Final[ppn_z],tbl_Historique_Final[date_modif])=Final_Sans_VGE[[#This Row],[date_modif]],
      "Ancien",
      "Modifié"),
   "Nouveau"))</f>
        <v>#VALUE!</v>
      </c>
      <c r="AD3122" s="1" t="str">
        <f>IFERROR(IF(Final_Sans_VGE[[#This Row],[ppn_z]]="","",IFERROR(
   IF(_xlfn.XLOOKUP(Final_Sans_VGE[[#This Row],[ppn_z]],tbl_Historique_Final[[#This Row],[ppn_z]],tbl_Historique_Final[[#This Row],[date_modif]])=Final_Sans_VGE[[#This Row],[date_modif]],
      "Ancien",
      "Modifié"),
   "Nouveau")),"")</f>
        <v/>
      </c>
    </row>
    <row r="3123" spans="24:30" x14ac:dyDescent="0.25">
      <c r="X3123" s="8" t="e">
        <f>IF(Final_Sans_VGE[[#This Row],[ppn_z]]="","",IFERROR(
   IF(_xlfn.XLOOKUP(Final_Sans_VGE[[#This Row],[ppn_z]],tbl_Historique_Final[ppn_z],tbl_Historique_Final[date_modif])=Final_Sans_VGE[[#This Row],[date_modif]],
      "Ancien",
      "Modifié"),
   "Nouveau"))</f>
        <v>#VALUE!</v>
      </c>
      <c r="AD3123" s="1" t="str">
        <f>IFERROR(IF(Final_Sans_VGE[[#This Row],[ppn_z]]="","",IFERROR(
   IF(_xlfn.XLOOKUP(Final_Sans_VGE[[#This Row],[ppn_z]],tbl_Historique_Final[[#This Row],[ppn_z]],tbl_Historique_Final[[#This Row],[date_modif]])=Final_Sans_VGE[[#This Row],[date_modif]],
      "Ancien",
      "Modifié"),
   "Nouveau")),"")</f>
        <v/>
      </c>
    </row>
    <row r="3124" spans="24:30" x14ac:dyDescent="0.25">
      <c r="X3124" s="8" t="e">
        <f>IF(Final_Sans_VGE[[#This Row],[ppn_z]]="","",IFERROR(
   IF(_xlfn.XLOOKUP(Final_Sans_VGE[[#This Row],[ppn_z]],tbl_Historique_Final[ppn_z],tbl_Historique_Final[date_modif])=Final_Sans_VGE[[#This Row],[date_modif]],
      "Ancien",
      "Modifié"),
   "Nouveau"))</f>
        <v>#VALUE!</v>
      </c>
      <c r="AD3124" s="1" t="str">
        <f>IFERROR(IF(Final_Sans_VGE[[#This Row],[ppn_z]]="","",IFERROR(
   IF(_xlfn.XLOOKUP(Final_Sans_VGE[[#This Row],[ppn_z]],tbl_Historique_Final[[#This Row],[ppn_z]],tbl_Historique_Final[[#This Row],[date_modif]])=Final_Sans_VGE[[#This Row],[date_modif]],
      "Ancien",
      "Modifié"),
   "Nouveau")),"")</f>
        <v/>
      </c>
    </row>
    <row r="3125" spans="24:30" x14ac:dyDescent="0.25">
      <c r="X3125" s="8" t="e">
        <f>IF(Final_Sans_VGE[[#This Row],[ppn_z]]="","",IFERROR(
   IF(_xlfn.XLOOKUP(Final_Sans_VGE[[#This Row],[ppn_z]],tbl_Historique_Final[ppn_z],tbl_Historique_Final[date_modif])=Final_Sans_VGE[[#This Row],[date_modif]],
      "Ancien",
      "Modifié"),
   "Nouveau"))</f>
        <v>#VALUE!</v>
      </c>
      <c r="AD3125" s="1" t="str">
        <f>IFERROR(IF(Final_Sans_VGE[[#This Row],[ppn_z]]="","",IFERROR(
   IF(_xlfn.XLOOKUP(Final_Sans_VGE[[#This Row],[ppn_z]],tbl_Historique_Final[[#This Row],[ppn_z]],tbl_Historique_Final[[#This Row],[date_modif]])=Final_Sans_VGE[[#This Row],[date_modif]],
      "Ancien",
      "Modifié"),
   "Nouveau")),"")</f>
        <v/>
      </c>
    </row>
    <row r="3126" spans="24:30" x14ac:dyDescent="0.25">
      <c r="X3126" s="8" t="e">
        <f>IF(Final_Sans_VGE[[#This Row],[ppn_z]]="","",IFERROR(
   IF(_xlfn.XLOOKUP(Final_Sans_VGE[[#This Row],[ppn_z]],tbl_Historique_Final[ppn_z],tbl_Historique_Final[date_modif])=Final_Sans_VGE[[#This Row],[date_modif]],
      "Ancien",
      "Modifié"),
   "Nouveau"))</f>
        <v>#VALUE!</v>
      </c>
      <c r="AD3126" s="1" t="str">
        <f>IFERROR(IF(Final_Sans_VGE[[#This Row],[ppn_z]]="","",IFERROR(
   IF(_xlfn.XLOOKUP(Final_Sans_VGE[[#This Row],[ppn_z]],tbl_Historique_Final[[#This Row],[ppn_z]],tbl_Historique_Final[[#This Row],[date_modif]])=Final_Sans_VGE[[#This Row],[date_modif]],
      "Ancien",
      "Modifié"),
   "Nouveau")),"")</f>
        <v/>
      </c>
    </row>
    <row r="3127" spans="24:30" x14ac:dyDescent="0.25">
      <c r="X3127" s="8" t="e">
        <f>IF(Final_Sans_VGE[[#This Row],[ppn_z]]="","",IFERROR(
   IF(_xlfn.XLOOKUP(Final_Sans_VGE[[#This Row],[ppn_z]],tbl_Historique_Final[ppn_z],tbl_Historique_Final[date_modif])=Final_Sans_VGE[[#This Row],[date_modif]],
      "Ancien",
      "Modifié"),
   "Nouveau"))</f>
        <v>#VALUE!</v>
      </c>
      <c r="AD3127" s="1" t="str">
        <f>IFERROR(IF(Final_Sans_VGE[[#This Row],[ppn_z]]="","",IFERROR(
   IF(_xlfn.XLOOKUP(Final_Sans_VGE[[#This Row],[ppn_z]],tbl_Historique_Final[[#This Row],[ppn_z]],tbl_Historique_Final[[#This Row],[date_modif]])=Final_Sans_VGE[[#This Row],[date_modif]],
      "Ancien",
      "Modifié"),
   "Nouveau")),"")</f>
        <v/>
      </c>
    </row>
    <row r="3128" spans="24:30" x14ac:dyDescent="0.25">
      <c r="X3128" s="8" t="e">
        <f>IF(Final_Sans_VGE[[#This Row],[ppn_z]]="","",IFERROR(
   IF(_xlfn.XLOOKUP(Final_Sans_VGE[[#This Row],[ppn_z]],tbl_Historique_Final[ppn_z],tbl_Historique_Final[date_modif])=Final_Sans_VGE[[#This Row],[date_modif]],
      "Ancien",
      "Modifié"),
   "Nouveau"))</f>
        <v>#VALUE!</v>
      </c>
      <c r="AD3128" s="1" t="str">
        <f>IFERROR(IF(Final_Sans_VGE[[#This Row],[ppn_z]]="","",IFERROR(
   IF(_xlfn.XLOOKUP(Final_Sans_VGE[[#This Row],[ppn_z]],tbl_Historique_Final[[#This Row],[ppn_z]],tbl_Historique_Final[[#This Row],[date_modif]])=Final_Sans_VGE[[#This Row],[date_modif]],
      "Ancien",
      "Modifié"),
   "Nouveau")),"")</f>
        <v/>
      </c>
    </row>
    <row r="3129" spans="24:30" x14ac:dyDescent="0.25">
      <c r="X3129" s="8" t="e">
        <f>IF(Final_Sans_VGE[[#This Row],[ppn_z]]="","",IFERROR(
   IF(_xlfn.XLOOKUP(Final_Sans_VGE[[#This Row],[ppn_z]],tbl_Historique_Final[ppn_z],tbl_Historique_Final[date_modif])=Final_Sans_VGE[[#This Row],[date_modif]],
      "Ancien",
      "Modifié"),
   "Nouveau"))</f>
        <v>#VALUE!</v>
      </c>
      <c r="AD3129" s="1" t="str">
        <f>IFERROR(IF(Final_Sans_VGE[[#This Row],[ppn_z]]="","",IFERROR(
   IF(_xlfn.XLOOKUP(Final_Sans_VGE[[#This Row],[ppn_z]],tbl_Historique_Final[[#This Row],[ppn_z]],tbl_Historique_Final[[#This Row],[date_modif]])=Final_Sans_VGE[[#This Row],[date_modif]],
      "Ancien",
      "Modifié"),
   "Nouveau")),"")</f>
        <v/>
      </c>
    </row>
    <row r="3130" spans="24:30" x14ac:dyDescent="0.25">
      <c r="X3130" s="8" t="e">
        <f>IF(Final_Sans_VGE[[#This Row],[ppn_z]]="","",IFERROR(
   IF(_xlfn.XLOOKUP(Final_Sans_VGE[[#This Row],[ppn_z]],tbl_Historique_Final[ppn_z],tbl_Historique_Final[date_modif])=Final_Sans_VGE[[#This Row],[date_modif]],
      "Ancien",
      "Modifié"),
   "Nouveau"))</f>
        <v>#VALUE!</v>
      </c>
      <c r="AD3130" s="1" t="str">
        <f>IFERROR(IF(Final_Sans_VGE[[#This Row],[ppn_z]]="","",IFERROR(
   IF(_xlfn.XLOOKUP(Final_Sans_VGE[[#This Row],[ppn_z]],tbl_Historique_Final[[#This Row],[ppn_z]],tbl_Historique_Final[[#This Row],[date_modif]])=Final_Sans_VGE[[#This Row],[date_modif]],
      "Ancien",
      "Modifié"),
   "Nouveau")),"")</f>
        <v/>
      </c>
    </row>
    <row r="3131" spans="24:30" x14ac:dyDescent="0.25">
      <c r="X3131" s="8" t="e">
        <f>IF(Final_Sans_VGE[[#This Row],[ppn_z]]="","",IFERROR(
   IF(_xlfn.XLOOKUP(Final_Sans_VGE[[#This Row],[ppn_z]],tbl_Historique_Final[ppn_z],tbl_Historique_Final[date_modif])=Final_Sans_VGE[[#This Row],[date_modif]],
      "Ancien",
      "Modifié"),
   "Nouveau"))</f>
        <v>#VALUE!</v>
      </c>
      <c r="AD3131" s="1" t="str">
        <f>IFERROR(IF(Final_Sans_VGE[[#This Row],[ppn_z]]="","",IFERROR(
   IF(_xlfn.XLOOKUP(Final_Sans_VGE[[#This Row],[ppn_z]],tbl_Historique_Final[[#This Row],[ppn_z]],tbl_Historique_Final[[#This Row],[date_modif]])=Final_Sans_VGE[[#This Row],[date_modif]],
      "Ancien",
      "Modifié"),
   "Nouveau")),"")</f>
        <v/>
      </c>
    </row>
    <row r="3132" spans="24:30" x14ac:dyDescent="0.25">
      <c r="X3132" s="8" t="e">
        <f>IF(Final_Sans_VGE[[#This Row],[ppn_z]]="","",IFERROR(
   IF(_xlfn.XLOOKUP(Final_Sans_VGE[[#This Row],[ppn_z]],tbl_Historique_Final[ppn_z],tbl_Historique_Final[date_modif])=Final_Sans_VGE[[#This Row],[date_modif]],
      "Ancien",
      "Modifié"),
   "Nouveau"))</f>
        <v>#VALUE!</v>
      </c>
      <c r="AD3132" s="1" t="str">
        <f>IFERROR(IF(Final_Sans_VGE[[#This Row],[ppn_z]]="","",IFERROR(
   IF(_xlfn.XLOOKUP(Final_Sans_VGE[[#This Row],[ppn_z]],tbl_Historique_Final[[#This Row],[ppn_z]],tbl_Historique_Final[[#This Row],[date_modif]])=Final_Sans_VGE[[#This Row],[date_modif]],
      "Ancien",
      "Modifié"),
   "Nouveau")),"")</f>
        <v/>
      </c>
    </row>
    <row r="3133" spans="24:30" x14ac:dyDescent="0.25">
      <c r="X3133" s="8" t="e">
        <f>IF(Final_Sans_VGE[[#This Row],[ppn_z]]="","",IFERROR(
   IF(_xlfn.XLOOKUP(Final_Sans_VGE[[#This Row],[ppn_z]],tbl_Historique_Final[ppn_z],tbl_Historique_Final[date_modif])=Final_Sans_VGE[[#This Row],[date_modif]],
      "Ancien",
      "Modifié"),
   "Nouveau"))</f>
        <v>#VALUE!</v>
      </c>
      <c r="AD3133" s="1" t="str">
        <f>IFERROR(IF(Final_Sans_VGE[[#This Row],[ppn_z]]="","",IFERROR(
   IF(_xlfn.XLOOKUP(Final_Sans_VGE[[#This Row],[ppn_z]],tbl_Historique_Final[[#This Row],[ppn_z]],tbl_Historique_Final[[#This Row],[date_modif]])=Final_Sans_VGE[[#This Row],[date_modif]],
      "Ancien",
      "Modifié"),
   "Nouveau")),"")</f>
        <v/>
      </c>
    </row>
    <row r="3134" spans="24:30" x14ac:dyDescent="0.25">
      <c r="X3134" s="8" t="e">
        <f>IF(Final_Sans_VGE[[#This Row],[ppn_z]]="","",IFERROR(
   IF(_xlfn.XLOOKUP(Final_Sans_VGE[[#This Row],[ppn_z]],tbl_Historique_Final[ppn_z],tbl_Historique_Final[date_modif])=Final_Sans_VGE[[#This Row],[date_modif]],
      "Ancien",
      "Modifié"),
   "Nouveau"))</f>
        <v>#VALUE!</v>
      </c>
      <c r="AD3134" s="1" t="str">
        <f>IFERROR(IF(Final_Sans_VGE[[#This Row],[ppn_z]]="","",IFERROR(
   IF(_xlfn.XLOOKUP(Final_Sans_VGE[[#This Row],[ppn_z]],tbl_Historique_Final[[#This Row],[ppn_z]],tbl_Historique_Final[[#This Row],[date_modif]])=Final_Sans_VGE[[#This Row],[date_modif]],
      "Ancien",
      "Modifié"),
   "Nouveau")),"")</f>
        <v/>
      </c>
    </row>
    <row r="3135" spans="24:30" x14ac:dyDescent="0.25">
      <c r="X3135" s="8" t="e">
        <f>IF(Final_Sans_VGE[[#This Row],[ppn_z]]="","",IFERROR(
   IF(_xlfn.XLOOKUP(Final_Sans_VGE[[#This Row],[ppn_z]],tbl_Historique_Final[ppn_z],tbl_Historique_Final[date_modif])=Final_Sans_VGE[[#This Row],[date_modif]],
      "Ancien",
      "Modifié"),
   "Nouveau"))</f>
        <v>#VALUE!</v>
      </c>
      <c r="AD3135" s="1" t="str">
        <f>IFERROR(IF(Final_Sans_VGE[[#This Row],[ppn_z]]="","",IFERROR(
   IF(_xlfn.XLOOKUP(Final_Sans_VGE[[#This Row],[ppn_z]],tbl_Historique_Final[[#This Row],[ppn_z]],tbl_Historique_Final[[#This Row],[date_modif]])=Final_Sans_VGE[[#This Row],[date_modif]],
      "Ancien",
      "Modifié"),
   "Nouveau")),"")</f>
        <v/>
      </c>
    </row>
    <row r="3136" spans="24:30" x14ac:dyDescent="0.25">
      <c r="X3136" s="8" t="e">
        <f>IF(Final_Sans_VGE[[#This Row],[ppn_z]]="","",IFERROR(
   IF(_xlfn.XLOOKUP(Final_Sans_VGE[[#This Row],[ppn_z]],tbl_Historique_Final[ppn_z],tbl_Historique_Final[date_modif])=Final_Sans_VGE[[#This Row],[date_modif]],
      "Ancien",
      "Modifié"),
   "Nouveau"))</f>
        <v>#VALUE!</v>
      </c>
      <c r="AD3136" s="1" t="str">
        <f>IFERROR(IF(Final_Sans_VGE[[#This Row],[ppn_z]]="","",IFERROR(
   IF(_xlfn.XLOOKUP(Final_Sans_VGE[[#This Row],[ppn_z]],tbl_Historique_Final[[#This Row],[ppn_z]],tbl_Historique_Final[[#This Row],[date_modif]])=Final_Sans_VGE[[#This Row],[date_modif]],
      "Ancien",
      "Modifié"),
   "Nouveau")),"")</f>
        <v/>
      </c>
    </row>
    <row r="3137" spans="24:30" x14ac:dyDescent="0.25">
      <c r="X3137" s="8" t="e">
        <f>IF(Final_Sans_VGE[[#This Row],[ppn_z]]="","",IFERROR(
   IF(_xlfn.XLOOKUP(Final_Sans_VGE[[#This Row],[ppn_z]],tbl_Historique_Final[ppn_z],tbl_Historique_Final[date_modif])=Final_Sans_VGE[[#This Row],[date_modif]],
      "Ancien",
      "Modifié"),
   "Nouveau"))</f>
        <v>#VALUE!</v>
      </c>
      <c r="AD3137" s="1" t="str">
        <f>IFERROR(IF(Final_Sans_VGE[[#This Row],[ppn_z]]="","",IFERROR(
   IF(_xlfn.XLOOKUP(Final_Sans_VGE[[#This Row],[ppn_z]],tbl_Historique_Final[[#This Row],[ppn_z]],tbl_Historique_Final[[#This Row],[date_modif]])=Final_Sans_VGE[[#This Row],[date_modif]],
      "Ancien",
      "Modifié"),
   "Nouveau")),"")</f>
        <v/>
      </c>
    </row>
    <row r="3138" spans="24:30" x14ac:dyDescent="0.25">
      <c r="X3138" s="8" t="e">
        <f>IF(Final_Sans_VGE[[#This Row],[ppn_z]]="","",IFERROR(
   IF(_xlfn.XLOOKUP(Final_Sans_VGE[[#This Row],[ppn_z]],tbl_Historique_Final[ppn_z],tbl_Historique_Final[date_modif])=Final_Sans_VGE[[#This Row],[date_modif]],
      "Ancien",
      "Modifié"),
   "Nouveau"))</f>
        <v>#VALUE!</v>
      </c>
      <c r="AD3138" s="1" t="str">
        <f>IFERROR(IF(Final_Sans_VGE[[#This Row],[ppn_z]]="","",IFERROR(
   IF(_xlfn.XLOOKUP(Final_Sans_VGE[[#This Row],[ppn_z]],tbl_Historique_Final[[#This Row],[ppn_z]],tbl_Historique_Final[[#This Row],[date_modif]])=Final_Sans_VGE[[#This Row],[date_modif]],
      "Ancien",
      "Modifié"),
   "Nouveau")),"")</f>
        <v/>
      </c>
    </row>
    <row r="3139" spans="24:30" x14ac:dyDescent="0.25">
      <c r="X3139" s="8" t="e">
        <f>IF(Final_Sans_VGE[[#This Row],[ppn_z]]="","",IFERROR(
   IF(_xlfn.XLOOKUP(Final_Sans_VGE[[#This Row],[ppn_z]],tbl_Historique_Final[ppn_z],tbl_Historique_Final[date_modif])=Final_Sans_VGE[[#This Row],[date_modif]],
      "Ancien",
      "Modifié"),
   "Nouveau"))</f>
        <v>#VALUE!</v>
      </c>
      <c r="AD3139" s="1" t="str">
        <f>IFERROR(IF(Final_Sans_VGE[[#This Row],[ppn_z]]="","",IFERROR(
   IF(_xlfn.XLOOKUP(Final_Sans_VGE[[#This Row],[ppn_z]],tbl_Historique_Final[[#This Row],[ppn_z]],tbl_Historique_Final[[#This Row],[date_modif]])=Final_Sans_VGE[[#This Row],[date_modif]],
      "Ancien",
      "Modifié"),
   "Nouveau")),"")</f>
        <v/>
      </c>
    </row>
    <row r="3140" spans="24:30" x14ac:dyDescent="0.25">
      <c r="X3140" s="8" t="e">
        <f>IF(Final_Sans_VGE[[#This Row],[ppn_z]]="","",IFERROR(
   IF(_xlfn.XLOOKUP(Final_Sans_VGE[[#This Row],[ppn_z]],tbl_Historique_Final[ppn_z],tbl_Historique_Final[date_modif])=Final_Sans_VGE[[#This Row],[date_modif]],
      "Ancien",
      "Modifié"),
   "Nouveau"))</f>
        <v>#VALUE!</v>
      </c>
      <c r="AD3140" s="1" t="str">
        <f>IFERROR(IF(Final_Sans_VGE[[#This Row],[ppn_z]]="","",IFERROR(
   IF(_xlfn.XLOOKUP(Final_Sans_VGE[[#This Row],[ppn_z]],tbl_Historique_Final[[#This Row],[ppn_z]],tbl_Historique_Final[[#This Row],[date_modif]])=Final_Sans_VGE[[#This Row],[date_modif]],
      "Ancien",
      "Modifié"),
   "Nouveau")),"")</f>
        <v/>
      </c>
    </row>
    <row r="3141" spans="24:30" x14ac:dyDescent="0.25">
      <c r="X3141" s="8" t="e">
        <f>IF(Final_Sans_VGE[[#This Row],[ppn_z]]="","",IFERROR(
   IF(_xlfn.XLOOKUP(Final_Sans_VGE[[#This Row],[ppn_z]],tbl_Historique_Final[ppn_z],tbl_Historique_Final[date_modif])=Final_Sans_VGE[[#This Row],[date_modif]],
      "Ancien",
      "Modifié"),
   "Nouveau"))</f>
        <v>#VALUE!</v>
      </c>
      <c r="AD3141" s="1" t="str">
        <f>IFERROR(IF(Final_Sans_VGE[[#This Row],[ppn_z]]="","",IFERROR(
   IF(_xlfn.XLOOKUP(Final_Sans_VGE[[#This Row],[ppn_z]],tbl_Historique_Final[[#This Row],[ppn_z]],tbl_Historique_Final[[#This Row],[date_modif]])=Final_Sans_VGE[[#This Row],[date_modif]],
      "Ancien",
      "Modifié"),
   "Nouveau")),"")</f>
        <v/>
      </c>
    </row>
    <row r="3142" spans="24:30" x14ac:dyDescent="0.25">
      <c r="X3142" s="8" t="e">
        <f>IF(Final_Sans_VGE[[#This Row],[ppn_z]]="","",IFERROR(
   IF(_xlfn.XLOOKUP(Final_Sans_VGE[[#This Row],[ppn_z]],tbl_Historique_Final[ppn_z],tbl_Historique_Final[date_modif])=Final_Sans_VGE[[#This Row],[date_modif]],
      "Ancien",
      "Modifié"),
   "Nouveau"))</f>
        <v>#VALUE!</v>
      </c>
      <c r="AD3142" s="1" t="str">
        <f>IFERROR(IF(Final_Sans_VGE[[#This Row],[ppn_z]]="","",IFERROR(
   IF(_xlfn.XLOOKUP(Final_Sans_VGE[[#This Row],[ppn_z]],tbl_Historique_Final[[#This Row],[ppn_z]],tbl_Historique_Final[[#This Row],[date_modif]])=Final_Sans_VGE[[#This Row],[date_modif]],
      "Ancien",
      "Modifié"),
   "Nouveau")),"")</f>
        <v/>
      </c>
    </row>
    <row r="3143" spans="24:30" x14ac:dyDescent="0.25">
      <c r="X3143" s="8" t="e">
        <f>IF(Final_Sans_VGE[[#This Row],[ppn_z]]="","",IFERROR(
   IF(_xlfn.XLOOKUP(Final_Sans_VGE[[#This Row],[ppn_z]],tbl_Historique_Final[ppn_z],tbl_Historique_Final[date_modif])=Final_Sans_VGE[[#This Row],[date_modif]],
      "Ancien",
      "Modifié"),
   "Nouveau"))</f>
        <v>#VALUE!</v>
      </c>
      <c r="AD3143" s="1" t="str">
        <f>IFERROR(IF(Final_Sans_VGE[[#This Row],[ppn_z]]="","",IFERROR(
   IF(_xlfn.XLOOKUP(Final_Sans_VGE[[#This Row],[ppn_z]],tbl_Historique_Final[[#This Row],[ppn_z]],tbl_Historique_Final[[#This Row],[date_modif]])=Final_Sans_VGE[[#This Row],[date_modif]],
      "Ancien",
      "Modifié"),
   "Nouveau")),"")</f>
        <v/>
      </c>
    </row>
    <row r="3144" spans="24:30" x14ac:dyDescent="0.25">
      <c r="X3144" s="8" t="e">
        <f>IF(Final_Sans_VGE[[#This Row],[ppn_z]]="","",IFERROR(
   IF(_xlfn.XLOOKUP(Final_Sans_VGE[[#This Row],[ppn_z]],tbl_Historique_Final[ppn_z],tbl_Historique_Final[date_modif])=Final_Sans_VGE[[#This Row],[date_modif]],
      "Ancien",
      "Modifié"),
   "Nouveau"))</f>
        <v>#VALUE!</v>
      </c>
      <c r="AD3144" s="1" t="str">
        <f>IFERROR(IF(Final_Sans_VGE[[#This Row],[ppn_z]]="","",IFERROR(
   IF(_xlfn.XLOOKUP(Final_Sans_VGE[[#This Row],[ppn_z]],tbl_Historique_Final[[#This Row],[ppn_z]],tbl_Historique_Final[[#This Row],[date_modif]])=Final_Sans_VGE[[#This Row],[date_modif]],
      "Ancien",
      "Modifié"),
   "Nouveau")),"")</f>
        <v/>
      </c>
    </row>
    <row r="3145" spans="24:30" x14ac:dyDescent="0.25">
      <c r="X3145" s="8" t="e">
        <f>IF(Final_Sans_VGE[[#This Row],[ppn_z]]="","",IFERROR(
   IF(_xlfn.XLOOKUP(Final_Sans_VGE[[#This Row],[ppn_z]],tbl_Historique_Final[ppn_z],tbl_Historique_Final[date_modif])=Final_Sans_VGE[[#This Row],[date_modif]],
      "Ancien",
      "Modifié"),
   "Nouveau"))</f>
        <v>#VALUE!</v>
      </c>
      <c r="AD3145" s="1" t="str">
        <f>IFERROR(IF(Final_Sans_VGE[[#This Row],[ppn_z]]="","",IFERROR(
   IF(_xlfn.XLOOKUP(Final_Sans_VGE[[#This Row],[ppn_z]],tbl_Historique_Final[[#This Row],[ppn_z]],tbl_Historique_Final[[#This Row],[date_modif]])=Final_Sans_VGE[[#This Row],[date_modif]],
      "Ancien",
      "Modifié"),
   "Nouveau")),"")</f>
        <v/>
      </c>
    </row>
    <row r="3146" spans="24:30" x14ac:dyDescent="0.25">
      <c r="X3146" s="8" t="e">
        <f>IF(Final_Sans_VGE[[#This Row],[ppn_z]]="","",IFERROR(
   IF(_xlfn.XLOOKUP(Final_Sans_VGE[[#This Row],[ppn_z]],tbl_Historique_Final[ppn_z],tbl_Historique_Final[date_modif])=Final_Sans_VGE[[#This Row],[date_modif]],
      "Ancien",
      "Modifié"),
   "Nouveau"))</f>
        <v>#VALUE!</v>
      </c>
      <c r="AD3146" s="1" t="str">
        <f>IFERROR(IF(Final_Sans_VGE[[#This Row],[ppn_z]]="","",IFERROR(
   IF(_xlfn.XLOOKUP(Final_Sans_VGE[[#This Row],[ppn_z]],tbl_Historique_Final[[#This Row],[ppn_z]],tbl_Historique_Final[[#This Row],[date_modif]])=Final_Sans_VGE[[#This Row],[date_modif]],
      "Ancien",
      "Modifié"),
   "Nouveau")),"")</f>
        <v/>
      </c>
    </row>
    <row r="3147" spans="24:30" x14ac:dyDescent="0.25">
      <c r="X3147" s="8" t="e">
        <f>IF(Final_Sans_VGE[[#This Row],[ppn_z]]="","",IFERROR(
   IF(_xlfn.XLOOKUP(Final_Sans_VGE[[#This Row],[ppn_z]],tbl_Historique_Final[ppn_z],tbl_Historique_Final[date_modif])=Final_Sans_VGE[[#This Row],[date_modif]],
      "Ancien",
      "Modifié"),
   "Nouveau"))</f>
        <v>#VALUE!</v>
      </c>
      <c r="AD3147" s="1" t="str">
        <f>IFERROR(IF(Final_Sans_VGE[[#This Row],[ppn_z]]="","",IFERROR(
   IF(_xlfn.XLOOKUP(Final_Sans_VGE[[#This Row],[ppn_z]],tbl_Historique_Final[[#This Row],[ppn_z]],tbl_Historique_Final[[#This Row],[date_modif]])=Final_Sans_VGE[[#This Row],[date_modif]],
      "Ancien",
      "Modifié"),
   "Nouveau")),"")</f>
        <v/>
      </c>
    </row>
    <row r="3148" spans="24:30" x14ac:dyDescent="0.25">
      <c r="X3148" s="8" t="e">
        <f>IF(Final_Sans_VGE[[#This Row],[ppn_z]]="","",IFERROR(
   IF(_xlfn.XLOOKUP(Final_Sans_VGE[[#This Row],[ppn_z]],tbl_Historique_Final[ppn_z],tbl_Historique_Final[date_modif])=Final_Sans_VGE[[#This Row],[date_modif]],
      "Ancien",
      "Modifié"),
   "Nouveau"))</f>
        <v>#VALUE!</v>
      </c>
      <c r="AD3148" s="1" t="str">
        <f>IFERROR(IF(Final_Sans_VGE[[#This Row],[ppn_z]]="","",IFERROR(
   IF(_xlfn.XLOOKUP(Final_Sans_VGE[[#This Row],[ppn_z]],tbl_Historique_Final[[#This Row],[ppn_z]],tbl_Historique_Final[[#This Row],[date_modif]])=Final_Sans_VGE[[#This Row],[date_modif]],
      "Ancien",
      "Modifié"),
   "Nouveau")),"")</f>
        <v/>
      </c>
    </row>
    <row r="3149" spans="24:30" x14ac:dyDescent="0.25">
      <c r="X3149" s="8" t="e">
        <f>IF(Final_Sans_VGE[[#This Row],[ppn_z]]="","",IFERROR(
   IF(_xlfn.XLOOKUP(Final_Sans_VGE[[#This Row],[ppn_z]],tbl_Historique_Final[ppn_z],tbl_Historique_Final[date_modif])=Final_Sans_VGE[[#This Row],[date_modif]],
      "Ancien",
      "Modifié"),
   "Nouveau"))</f>
        <v>#VALUE!</v>
      </c>
      <c r="AD3149" s="1" t="str">
        <f>IFERROR(IF(Final_Sans_VGE[[#This Row],[ppn_z]]="","",IFERROR(
   IF(_xlfn.XLOOKUP(Final_Sans_VGE[[#This Row],[ppn_z]],tbl_Historique_Final[[#This Row],[ppn_z]],tbl_Historique_Final[[#This Row],[date_modif]])=Final_Sans_VGE[[#This Row],[date_modif]],
      "Ancien",
      "Modifié"),
   "Nouveau")),"")</f>
        <v/>
      </c>
    </row>
    <row r="3150" spans="24:30" x14ac:dyDescent="0.25">
      <c r="X3150" s="8" t="e">
        <f>IF(Final_Sans_VGE[[#This Row],[ppn_z]]="","",IFERROR(
   IF(_xlfn.XLOOKUP(Final_Sans_VGE[[#This Row],[ppn_z]],tbl_Historique_Final[ppn_z],tbl_Historique_Final[date_modif])=Final_Sans_VGE[[#This Row],[date_modif]],
      "Ancien",
      "Modifié"),
   "Nouveau"))</f>
        <v>#VALUE!</v>
      </c>
      <c r="AD3150" s="1" t="str">
        <f>IFERROR(IF(Final_Sans_VGE[[#This Row],[ppn_z]]="","",IFERROR(
   IF(_xlfn.XLOOKUP(Final_Sans_VGE[[#This Row],[ppn_z]],tbl_Historique_Final[[#This Row],[ppn_z]],tbl_Historique_Final[[#This Row],[date_modif]])=Final_Sans_VGE[[#This Row],[date_modif]],
      "Ancien",
      "Modifié"),
   "Nouveau")),"")</f>
        <v/>
      </c>
    </row>
    <row r="3151" spans="24:30" x14ac:dyDescent="0.25">
      <c r="X3151" s="8" t="e">
        <f>IF(Final_Sans_VGE[[#This Row],[ppn_z]]="","",IFERROR(
   IF(_xlfn.XLOOKUP(Final_Sans_VGE[[#This Row],[ppn_z]],tbl_Historique_Final[ppn_z],tbl_Historique_Final[date_modif])=Final_Sans_VGE[[#This Row],[date_modif]],
      "Ancien",
      "Modifié"),
   "Nouveau"))</f>
        <v>#VALUE!</v>
      </c>
      <c r="AD3151" s="1" t="str">
        <f>IFERROR(IF(Final_Sans_VGE[[#This Row],[ppn_z]]="","",IFERROR(
   IF(_xlfn.XLOOKUP(Final_Sans_VGE[[#This Row],[ppn_z]],tbl_Historique_Final[[#This Row],[ppn_z]],tbl_Historique_Final[[#This Row],[date_modif]])=Final_Sans_VGE[[#This Row],[date_modif]],
      "Ancien",
      "Modifié"),
   "Nouveau")),"")</f>
        <v/>
      </c>
    </row>
    <row r="3152" spans="24:30" x14ac:dyDescent="0.25">
      <c r="X3152" s="8" t="e">
        <f>IF(Final_Sans_VGE[[#This Row],[ppn_z]]="","",IFERROR(
   IF(_xlfn.XLOOKUP(Final_Sans_VGE[[#This Row],[ppn_z]],tbl_Historique_Final[ppn_z],tbl_Historique_Final[date_modif])=Final_Sans_VGE[[#This Row],[date_modif]],
      "Ancien",
      "Modifié"),
   "Nouveau"))</f>
        <v>#VALUE!</v>
      </c>
      <c r="AD3152" s="1" t="str">
        <f>IFERROR(IF(Final_Sans_VGE[[#This Row],[ppn_z]]="","",IFERROR(
   IF(_xlfn.XLOOKUP(Final_Sans_VGE[[#This Row],[ppn_z]],tbl_Historique_Final[[#This Row],[ppn_z]],tbl_Historique_Final[[#This Row],[date_modif]])=Final_Sans_VGE[[#This Row],[date_modif]],
      "Ancien",
      "Modifié"),
   "Nouveau")),"")</f>
        <v/>
      </c>
    </row>
    <row r="3153" spans="24:30" x14ac:dyDescent="0.25">
      <c r="X3153" s="8" t="e">
        <f>IF(Final_Sans_VGE[[#This Row],[ppn_z]]="","",IFERROR(
   IF(_xlfn.XLOOKUP(Final_Sans_VGE[[#This Row],[ppn_z]],tbl_Historique_Final[ppn_z],tbl_Historique_Final[date_modif])=Final_Sans_VGE[[#This Row],[date_modif]],
      "Ancien",
      "Modifié"),
   "Nouveau"))</f>
        <v>#VALUE!</v>
      </c>
      <c r="AD3153" s="1" t="str">
        <f>IFERROR(IF(Final_Sans_VGE[[#This Row],[ppn_z]]="","",IFERROR(
   IF(_xlfn.XLOOKUP(Final_Sans_VGE[[#This Row],[ppn_z]],tbl_Historique_Final[[#This Row],[ppn_z]],tbl_Historique_Final[[#This Row],[date_modif]])=Final_Sans_VGE[[#This Row],[date_modif]],
      "Ancien",
      "Modifié"),
   "Nouveau")),"")</f>
        <v/>
      </c>
    </row>
    <row r="3154" spans="24:30" x14ac:dyDescent="0.25">
      <c r="X3154" s="8" t="e">
        <f>IF(Final_Sans_VGE[[#This Row],[ppn_z]]="","",IFERROR(
   IF(_xlfn.XLOOKUP(Final_Sans_VGE[[#This Row],[ppn_z]],tbl_Historique_Final[ppn_z],tbl_Historique_Final[date_modif])=Final_Sans_VGE[[#This Row],[date_modif]],
      "Ancien",
      "Modifié"),
   "Nouveau"))</f>
        <v>#VALUE!</v>
      </c>
      <c r="AD3154" s="1" t="str">
        <f>IFERROR(IF(Final_Sans_VGE[[#This Row],[ppn_z]]="","",IFERROR(
   IF(_xlfn.XLOOKUP(Final_Sans_VGE[[#This Row],[ppn_z]],tbl_Historique_Final[[#This Row],[ppn_z]],tbl_Historique_Final[[#This Row],[date_modif]])=Final_Sans_VGE[[#This Row],[date_modif]],
      "Ancien",
      "Modifié"),
   "Nouveau")),"")</f>
        <v/>
      </c>
    </row>
    <row r="3155" spans="24:30" x14ac:dyDescent="0.25">
      <c r="X3155" s="8" t="e">
        <f>IF(Final_Sans_VGE[[#This Row],[ppn_z]]="","",IFERROR(
   IF(_xlfn.XLOOKUP(Final_Sans_VGE[[#This Row],[ppn_z]],tbl_Historique_Final[ppn_z],tbl_Historique_Final[date_modif])=Final_Sans_VGE[[#This Row],[date_modif]],
      "Ancien",
      "Modifié"),
   "Nouveau"))</f>
        <v>#VALUE!</v>
      </c>
      <c r="AD3155" s="1" t="str">
        <f>IFERROR(IF(Final_Sans_VGE[[#This Row],[ppn_z]]="","",IFERROR(
   IF(_xlfn.XLOOKUP(Final_Sans_VGE[[#This Row],[ppn_z]],tbl_Historique_Final[[#This Row],[ppn_z]],tbl_Historique_Final[[#This Row],[date_modif]])=Final_Sans_VGE[[#This Row],[date_modif]],
      "Ancien",
      "Modifié"),
   "Nouveau")),"")</f>
        <v/>
      </c>
    </row>
    <row r="3156" spans="24:30" x14ac:dyDescent="0.25">
      <c r="X3156" s="8" t="e">
        <f>IF(Final_Sans_VGE[[#This Row],[ppn_z]]="","",IFERROR(
   IF(_xlfn.XLOOKUP(Final_Sans_VGE[[#This Row],[ppn_z]],tbl_Historique_Final[ppn_z],tbl_Historique_Final[date_modif])=Final_Sans_VGE[[#This Row],[date_modif]],
      "Ancien",
      "Modifié"),
   "Nouveau"))</f>
        <v>#VALUE!</v>
      </c>
      <c r="AD3156" s="1" t="str">
        <f>IFERROR(IF(Final_Sans_VGE[[#This Row],[ppn_z]]="","",IFERROR(
   IF(_xlfn.XLOOKUP(Final_Sans_VGE[[#This Row],[ppn_z]],tbl_Historique_Final[[#This Row],[ppn_z]],tbl_Historique_Final[[#This Row],[date_modif]])=Final_Sans_VGE[[#This Row],[date_modif]],
      "Ancien",
      "Modifié"),
   "Nouveau")),"")</f>
        <v/>
      </c>
    </row>
    <row r="3157" spans="24:30" x14ac:dyDescent="0.25">
      <c r="X3157" s="8" t="e">
        <f>IF(Final_Sans_VGE[[#This Row],[ppn_z]]="","",IFERROR(
   IF(_xlfn.XLOOKUP(Final_Sans_VGE[[#This Row],[ppn_z]],tbl_Historique_Final[ppn_z],tbl_Historique_Final[date_modif])=Final_Sans_VGE[[#This Row],[date_modif]],
      "Ancien",
      "Modifié"),
   "Nouveau"))</f>
        <v>#VALUE!</v>
      </c>
      <c r="AD3157" s="1" t="str">
        <f>IFERROR(IF(Final_Sans_VGE[[#This Row],[ppn_z]]="","",IFERROR(
   IF(_xlfn.XLOOKUP(Final_Sans_VGE[[#This Row],[ppn_z]],tbl_Historique_Final[[#This Row],[ppn_z]],tbl_Historique_Final[[#This Row],[date_modif]])=Final_Sans_VGE[[#This Row],[date_modif]],
      "Ancien",
      "Modifié"),
   "Nouveau")),"")</f>
        <v/>
      </c>
    </row>
    <row r="3158" spans="24:30" x14ac:dyDescent="0.25">
      <c r="X3158" s="8" t="e">
        <f>IF(Final_Sans_VGE[[#This Row],[ppn_z]]="","",IFERROR(
   IF(_xlfn.XLOOKUP(Final_Sans_VGE[[#This Row],[ppn_z]],tbl_Historique_Final[ppn_z],tbl_Historique_Final[date_modif])=Final_Sans_VGE[[#This Row],[date_modif]],
      "Ancien",
      "Modifié"),
   "Nouveau"))</f>
        <v>#VALUE!</v>
      </c>
      <c r="AD3158" s="1" t="str">
        <f>IFERROR(IF(Final_Sans_VGE[[#This Row],[ppn_z]]="","",IFERROR(
   IF(_xlfn.XLOOKUP(Final_Sans_VGE[[#This Row],[ppn_z]],tbl_Historique_Final[[#This Row],[ppn_z]],tbl_Historique_Final[[#This Row],[date_modif]])=Final_Sans_VGE[[#This Row],[date_modif]],
      "Ancien",
      "Modifié"),
   "Nouveau")),"")</f>
        <v/>
      </c>
    </row>
    <row r="3159" spans="24:30" x14ac:dyDescent="0.25">
      <c r="X3159" s="8" t="e">
        <f>IF(Final_Sans_VGE[[#This Row],[ppn_z]]="","",IFERROR(
   IF(_xlfn.XLOOKUP(Final_Sans_VGE[[#This Row],[ppn_z]],tbl_Historique_Final[ppn_z],tbl_Historique_Final[date_modif])=Final_Sans_VGE[[#This Row],[date_modif]],
      "Ancien",
      "Modifié"),
   "Nouveau"))</f>
        <v>#VALUE!</v>
      </c>
      <c r="AD3159" s="1" t="str">
        <f>IFERROR(IF(Final_Sans_VGE[[#This Row],[ppn_z]]="","",IFERROR(
   IF(_xlfn.XLOOKUP(Final_Sans_VGE[[#This Row],[ppn_z]],tbl_Historique_Final[[#This Row],[ppn_z]],tbl_Historique_Final[[#This Row],[date_modif]])=Final_Sans_VGE[[#This Row],[date_modif]],
      "Ancien",
      "Modifié"),
   "Nouveau")),"")</f>
        <v/>
      </c>
    </row>
    <row r="3160" spans="24:30" x14ac:dyDescent="0.25">
      <c r="X3160" s="8" t="e">
        <f>IF(Final_Sans_VGE[[#This Row],[ppn_z]]="","",IFERROR(
   IF(_xlfn.XLOOKUP(Final_Sans_VGE[[#This Row],[ppn_z]],tbl_Historique_Final[ppn_z],tbl_Historique_Final[date_modif])=Final_Sans_VGE[[#This Row],[date_modif]],
      "Ancien",
      "Modifié"),
   "Nouveau"))</f>
        <v>#VALUE!</v>
      </c>
      <c r="AD3160" s="1" t="str">
        <f>IFERROR(IF(Final_Sans_VGE[[#This Row],[ppn_z]]="","",IFERROR(
   IF(_xlfn.XLOOKUP(Final_Sans_VGE[[#This Row],[ppn_z]],tbl_Historique_Final[[#This Row],[ppn_z]],tbl_Historique_Final[[#This Row],[date_modif]])=Final_Sans_VGE[[#This Row],[date_modif]],
      "Ancien",
      "Modifié"),
   "Nouveau")),"")</f>
        <v/>
      </c>
    </row>
    <row r="3161" spans="24:30" x14ac:dyDescent="0.25">
      <c r="X3161" s="8" t="e">
        <f>IF(Final_Sans_VGE[[#This Row],[ppn_z]]="","",IFERROR(
   IF(_xlfn.XLOOKUP(Final_Sans_VGE[[#This Row],[ppn_z]],tbl_Historique_Final[ppn_z],tbl_Historique_Final[date_modif])=Final_Sans_VGE[[#This Row],[date_modif]],
      "Ancien",
      "Modifié"),
   "Nouveau"))</f>
        <v>#VALUE!</v>
      </c>
      <c r="AD3161" s="1" t="str">
        <f>IFERROR(IF(Final_Sans_VGE[[#This Row],[ppn_z]]="","",IFERROR(
   IF(_xlfn.XLOOKUP(Final_Sans_VGE[[#This Row],[ppn_z]],tbl_Historique_Final[[#This Row],[ppn_z]],tbl_Historique_Final[[#This Row],[date_modif]])=Final_Sans_VGE[[#This Row],[date_modif]],
      "Ancien",
      "Modifié"),
   "Nouveau")),"")</f>
        <v/>
      </c>
    </row>
    <row r="3162" spans="24:30" x14ac:dyDescent="0.25">
      <c r="X3162" s="8" t="e">
        <f>IF(Final_Sans_VGE[[#This Row],[ppn_z]]="","",IFERROR(
   IF(_xlfn.XLOOKUP(Final_Sans_VGE[[#This Row],[ppn_z]],tbl_Historique_Final[ppn_z],tbl_Historique_Final[date_modif])=Final_Sans_VGE[[#This Row],[date_modif]],
      "Ancien",
      "Modifié"),
   "Nouveau"))</f>
        <v>#VALUE!</v>
      </c>
      <c r="AD3162" s="1" t="str">
        <f>IFERROR(IF(Final_Sans_VGE[[#This Row],[ppn_z]]="","",IFERROR(
   IF(_xlfn.XLOOKUP(Final_Sans_VGE[[#This Row],[ppn_z]],tbl_Historique_Final[[#This Row],[ppn_z]],tbl_Historique_Final[[#This Row],[date_modif]])=Final_Sans_VGE[[#This Row],[date_modif]],
      "Ancien",
      "Modifié"),
   "Nouveau")),"")</f>
        <v/>
      </c>
    </row>
    <row r="3163" spans="24:30" x14ac:dyDescent="0.25">
      <c r="X3163" s="8" t="e">
        <f>IF(Final_Sans_VGE[[#This Row],[ppn_z]]="","",IFERROR(
   IF(_xlfn.XLOOKUP(Final_Sans_VGE[[#This Row],[ppn_z]],tbl_Historique_Final[ppn_z],tbl_Historique_Final[date_modif])=Final_Sans_VGE[[#This Row],[date_modif]],
      "Ancien",
      "Modifié"),
   "Nouveau"))</f>
        <v>#VALUE!</v>
      </c>
      <c r="AD3163" s="1" t="str">
        <f>IFERROR(IF(Final_Sans_VGE[[#This Row],[ppn_z]]="","",IFERROR(
   IF(_xlfn.XLOOKUP(Final_Sans_VGE[[#This Row],[ppn_z]],tbl_Historique_Final[[#This Row],[ppn_z]],tbl_Historique_Final[[#This Row],[date_modif]])=Final_Sans_VGE[[#This Row],[date_modif]],
      "Ancien",
      "Modifié"),
   "Nouveau")),"")</f>
        <v/>
      </c>
    </row>
    <row r="3164" spans="24:30" x14ac:dyDescent="0.25">
      <c r="X3164" s="8" t="e">
        <f>IF(Final_Sans_VGE[[#This Row],[ppn_z]]="","",IFERROR(
   IF(_xlfn.XLOOKUP(Final_Sans_VGE[[#This Row],[ppn_z]],tbl_Historique_Final[ppn_z],tbl_Historique_Final[date_modif])=Final_Sans_VGE[[#This Row],[date_modif]],
      "Ancien",
      "Modifié"),
   "Nouveau"))</f>
        <v>#VALUE!</v>
      </c>
      <c r="AD3164" s="1" t="str">
        <f>IFERROR(IF(Final_Sans_VGE[[#This Row],[ppn_z]]="","",IFERROR(
   IF(_xlfn.XLOOKUP(Final_Sans_VGE[[#This Row],[ppn_z]],tbl_Historique_Final[[#This Row],[ppn_z]],tbl_Historique_Final[[#This Row],[date_modif]])=Final_Sans_VGE[[#This Row],[date_modif]],
      "Ancien",
      "Modifié"),
   "Nouveau")),"")</f>
        <v/>
      </c>
    </row>
    <row r="3165" spans="24:30" x14ac:dyDescent="0.25">
      <c r="X3165" s="8" t="e">
        <f>IF(Final_Sans_VGE[[#This Row],[ppn_z]]="","",IFERROR(
   IF(_xlfn.XLOOKUP(Final_Sans_VGE[[#This Row],[ppn_z]],tbl_Historique_Final[ppn_z],tbl_Historique_Final[date_modif])=Final_Sans_VGE[[#This Row],[date_modif]],
      "Ancien",
      "Modifié"),
   "Nouveau"))</f>
        <v>#VALUE!</v>
      </c>
      <c r="AD3165" s="1" t="str">
        <f>IFERROR(IF(Final_Sans_VGE[[#This Row],[ppn_z]]="","",IFERROR(
   IF(_xlfn.XLOOKUP(Final_Sans_VGE[[#This Row],[ppn_z]],tbl_Historique_Final[[#This Row],[ppn_z]],tbl_Historique_Final[[#This Row],[date_modif]])=Final_Sans_VGE[[#This Row],[date_modif]],
      "Ancien",
      "Modifié"),
   "Nouveau")),"")</f>
        <v/>
      </c>
    </row>
    <row r="3166" spans="24:30" x14ac:dyDescent="0.25">
      <c r="X3166" s="8" t="e">
        <f>IF(Final_Sans_VGE[[#This Row],[ppn_z]]="","",IFERROR(
   IF(_xlfn.XLOOKUP(Final_Sans_VGE[[#This Row],[ppn_z]],tbl_Historique_Final[ppn_z],tbl_Historique_Final[date_modif])=Final_Sans_VGE[[#This Row],[date_modif]],
      "Ancien",
      "Modifié"),
   "Nouveau"))</f>
        <v>#VALUE!</v>
      </c>
      <c r="AD3166" s="1" t="str">
        <f>IFERROR(IF(Final_Sans_VGE[[#This Row],[ppn_z]]="","",IFERROR(
   IF(_xlfn.XLOOKUP(Final_Sans_VGE[[#This Row],[ppn_z]],tbl_Historique_Final[[#This Row],[ppn_z]],tbl_Historique_Final[[#This Row],[date_modif]])=Final_Sans_VGE[[#This Row],[date_modif]],
      "Ancien",
      "Modifié"),
   "Nouveau")),"")</f>
        <v/>
      </c>
    </row>
    <row r="3167" spans="24:30" x14ac:dyDescent="0.25">
      <c r="X3167" s="8" t="e">
        <f>IF(Final_Sans_VGE[[#This Row],[ppn_z]]="","",IFERROR(
   IF(_xlfn.XLOOKUP(Final_Sans_VGE[[#This Row],[ppn_z]],tbl_Historique_Final[ppn_z],tbl_Historique_Final[date_modif])=Final_Sans_VGE[[#This Row],[date_modif]],
      "Ancien",
      "Modifié"),
   "Nouveau"))</f>
        <v>#VALUE!</v>
      </c>
      <c r="AD3167" s="1" t="str">
        <f>IFERROR(IF(Final_Sans_VGE[[#This Row],[ppn_z]]="","",IFERROR(
   IF(_xlfn.XLOOKUP(Final_Sans_VGE[[#This Row],[ppn_z]],tbl_Historique_Final[[#This Row],[ppn_z]],tbl_Historique_Final[[#This Row],[date_modif]])=Final_Sans_VGE[[#This Row],[date_modif]],
      "Ancien",
      "Modifié"),
   "Nouveau")),"")</f>
        <v/>
      </c>
    </row>
    <row r="3168" spans="24:30" x14ac:dyDescent="0.25">
      <c r="X3168" s="8" t="e">
        <f>IF(Final_Sans_VGE[[#This Row],[ppn_z]]="","",IFERROR(
   IF(_xlfn.XLOOKUP(Final_Sans_VGE[[#This Row],[ppn_z]],tbl_Historique_Final[ppn_z],tbl_Historique_Final[date_modif])=Final_Sans_VGE[[#This Row],[date_modif]],
      "Ancien",
      "Modifié"),
   "Nouveau"))</f>
        <v>#VALUE!</v>
      </c>
      <c r="AD3168" s="1" t="str">
        <f>IFERROR(IF(Final_Sans_VGE[[#This Row],[ppn_z]]="","",IFERROR(
   IF(_xlfn.XLOOKUP(Final_Sans_VGE[[#This Row],[ppn_z]],tbl_Historique_Final[[#This Row],[ppn_z]],tbl_Historique_Final[[#This Row],[date_modif]])=Final_Sans_VGE[[#This Row],[date_modif]],
      "Ancien",
      "Modifié"),
   "Nouveau")),"")</f>
        <v/>
      </c>
    </row>
    <row r="3169" spans="24:30" x14ac:dyDescent="0.25">
      <c r="X3169" s="8" t="e">
        <f>IF(Final_Sans_VGE[[#This Row],[ppn_z]]="","",IFERROR(
   IF(_xlfn.XLOOKUP(Final_Sans_VGE[[#This Row],[ppn_z]],tbl_Historique_Final[ppn_z],tbl_Historique_Final[date_modif])=Final_Sans_VGE[[#This Row],[date_modif]],
      "Ancien",
      "Modifié"),
   "Nouveau"))</f>
        <v>#VALUE!</v>
      </c>
      <c r="AD3169" s="1" t="str">
        <f>IFERROR(IF(Final_Sans_VGE[[#This Row],[ppn_z]]="","",IFERROR(
   IF(_xlfn.XLOOKUP(Final_Sans_VGE[[#This Row],[ppn_z]],tbl_Historique_Final[[#This Row],[ppn_z]],tbl_Historique_Final[[#This Row],[date_modif]])=Final_Sans_VGE[[#This Row],[date_modif]],
      "Ancien",
      "Modifié"),
   "Nouveau")),"")</f>
        <v/>
      </c>
    </row>
    <row r="3170" spans="24:30" x14ac:dyDescent="0.25">
      <c r="X3170" s="8" t="e">
        <f>IF(Final_Sans_VGE[[#This Row],[ppn_z]]="","",IFERROR(
   IF(_xlfn.XLOOKUP(Final_Sans_VGE[[#This Row],[ppn_z]],tbl_Historique_Final[ppn_z],tbl_Historique_Final[date_modif])=Final_Sans_VGE[[#This Row],[date_modif]],
      "Ancien",
      "Modifié"),
   "Nouveau"))</f>
        <v>#VALUE!</v>
      </c>
      <c r="AD3170" s="1" t="str">
        <f>IFERROR(IF(Final_Sans_VGE[[#This Row],[ppn_z]]="","",IFERROR(
   IF(_xlfn.XLOOKUP(Final_Sans_VGE[[#This Row],[ppn_z]],tbl_Historique_Final[[#This Row],[ppn_z]],tbl_Historique_Final[[#This Row],[date_modif]])=Final_Sans_VGE[[#This Row],[date_modif]],
      "Ancien",
      "Modifié"),
   "Nouveau")),"")</f>
        <v/>
      </c>
    </row>
    <row r="3171" spans="24:30" x14ac:dyDescent="0.25">
      <c r="X3171" s="8" t="e">
        <f>IF(Final_Sans_VGE[[#This Row],[ppn_z]]="","",IFERROR(
   IF(_xlfn.XLOOKUP(Final_Sans_VGE[[#This Row],[ppn_z]],tbl_Historique_Final[ppn_z],tbl_Historique_Final[date_modif])=Final_Sans_VGE[[#This Row],[date_modif]],
      "Ancien",
      "Modifié"),
   "Nouveau"))</f>
        <v>#VALUE!</v>
      </c>
      <c r="AD3171" s="1" t="str">
        <f>IFERROR(IF(Final_Sans_VGE[[#This Row],[ppn_z]]="","",IFERROR(
   IF(_xlfn.XLOOKUP(Final_Sans_VGE[[#This Row],[ppn_z]],tbl_Historique_Final[[#This Row],[ppn_z]],tbl_Historique_Final[[#This Row],[date_modif]])=Final_Sans_VGE[[#This Row],[date_modif]],
      "Ancien",
      "Modifié"),
   "Nouveau")),"")</f>
        <v/>
      </c>
    </row>
    <row r="3172" spans="24:30" x14ac:dyDescent="0.25">
      <c r="X3172" s="8" t="e">
        <f>IF(Final_Sans_VGE[[#This Row],[ppn_z]]="","",IFERROR(
   IF(_xlfn.XLOOKUP(Final_Sans_VGE[[#This Row],[ppn_z]],tbl_Historique_Final[ppn_z],tbl_Historique_Final[date_modif])=Final_Sans_VGE[[#This Row],[date_modif]],
      "Ancien",
      "Modifié"),
   "Nouveau"))</f>
        <v>#VALUE!</v>
      </c>
      <c r="AD3172" s="1" t="str">
        <f>IFERROR(IF(Final_Sans_VGE[[#This Row],[ppn_z]]="","",IFERROR(
   IF(_xlfn.XLOOKUP(Final_Sans_VGE[[#This Row],[ppn_z]],tbl_Historique_Final[[#This Row],[ppn_z]],tbl_Historique_Final[[#This Row],[date_modif]])=Final_Sans_VGE[[#This Row],[date_modif]],
      "Ancien",
      "Modifié"),
   "Nouveau")),"")</f>
        <v/>
      </c>
    </row>
    <row r="3173" spans="24:30" x14ac:dyDescent="0.25">
      <c r="X3173" s="8" t="e">
        <f>IF(Final_Sans_VGE[[#This Row],[ppn_z]]="","",IFERROR(
   IF(_xlfn.XLOOKUP(Final_Sans_VGE[[#This Row],[ppn_z]],tbl_Historique_Final[ppn_z],tbl_Historique_Final[date_modif])=Final_Sans_VGE[[#This Row],[date_modif]],
      "Ancien",
      "Modifié"),
   "Nouveau"))</f>
        <v>#VALUE!</v>
      </c>
      <c r="AD3173" s="1" t="str">
        <f>IFERROR(IF(Final_Sans_VGE[[#This Row],[ppn_z]]="","",IFERROR(
   IF(_xlfn.XLOOKUP(Final_Sans_VGE[[#This Row],[ppn_z]],tbl_Historique_Final[[#This Row],[ppn_z]],tbl_Historique_Final[[#This Row],[date_modif]])=Final_Sans_VGE[[#This Row],[date_modif]],
      "Ancien",
      "Modifié"),
   "Nouveau")),"")</f>
        <v/>
      </c>
    </row>
    <row r="3174" spans="24:30" x14ac:dyDescent="0.25">
      <c r="X3174" s="8" t="e">
        <f>IF(Final_Sans_VGE[[#This Row],[ppn_z]]="","",IFERROR(
   IF(_xlfn.XLOOKUP(Final_Sans_VGE[[#This Row],[ppn_z]],tbl_Historique_Final[ppn_z],tbl_Historique_Final[date_modif])=Final_Sans_VGE[[#This Row],[date_modif]],
      "Ancien",
      "Modifié"),
   "Nouveau"))</f>
        <v>#VALUE!</v>
      </c>
      <c r="AD3174" s="1" t="str">
        <f>IFERROR(IF(Final_Sans_VGE[[#This Row],[ppn_z]]="","",IFERROR(
   IF(_xlfn.XLOOKUP(Final_Sans_VGE[[#This Row],[ppn_z]],tbl_Historique_Final[[#This Row],[ppn_z]],tbl_Historique_Final[[#This Row],[date_modif]])=Final_Sans_VGE[[#This Row],[date_modif]],
      "Ancien",
      "Modifié"),
   "Nouveau")),"")</f>
        <v/>
      </c>
    </row>
    <row r="3175" spans="24:30" x14ac:dyDescent="0.25">
      <c r="X3175" s="8" t="e">
        <f>IF(Final_Sans_VGE[[#This Row],[ppn_z]]="","",IFERROR(
   IF(_xlfn.XLOOKUP(Final_Sans_VGE[[#This Row],[ppn_z]],tbl_Historique_Final[ppn_z],tbl_Historique_Final[date_modif])=Final_Sans_VGE[[#This Row],[date_modif]],
      "Ancien",
      "Modifié"),
   "Nouveau"))</f>
        <v>#VALUE!</v>
      </c>
      <c r="AD3175" s="1" t="str">
        <f>IFERROR(IF(Final_Sans_VGE[[#This Row],[ppn_z]]="","",IFERROR(
   IF(_xlfn.XLOOKUP(Final_Sans_VGE[[#This Row],[ppn_z]],tbl_Historique_Final[[#This Row],[ppn_z]],tbl_Historique_Final[[#This Row],[date_modif]])=Final_Sans_VGE[[#This Row],[date_modif]],
      "Ancien",
      "Modifié"),
   "Nouveau")),"")</f>
        <v/>
      </c>
    </row>
    <row r="3176" spans="24:30" x14ac:dyDescent="0.25">
      <c r="X3176" s="8" t="e">
        <f>IF(Final_Sans_VGE[[#This Row],[ppn_z]]="","",IFERROR(
   IF(_xlfn.XLOOKUP(Final_Sans_VGE[[#This Row],[ppn_z]],tbl_Historique_Final[ppn_z],tbl_Historique_Final[date_modif])=Final_Sans_VGE[[#This Row],[date_modif]],
      "Ancien",
      "Modifié"),
   "Nouveau"))</f>
        <v>#VALUE!</v>
      </c>
      <c r="AD3176" s="1" t="str">
        <f>IFERROR(IF(Final_Sans_VGE[[#This Row],[ppn_z]]="","",IFERROR(
   IF(_xlfn.XLOOKUP(Final_Sans_VGE[[#This Row],[ppn_z]],tbl_Historique_Final[[#This Row],[ppn_z]],tbl_Historique_Final[[#This Row],[date_modif]])=Final_Sans_VGE[[#This Row],[date_modif]],
      "Ancien",
      "Modifié"),
   "Nouveau")),"")</f>
        <v/>
      </c>
    </row>
    <row r="3177" spans="24:30" x14ac:dyDescent="0.25">
      <c r="X3177" s="8" t="e">
        <f>IF(Final_Sans_VGE[[#This Row],[ppn_z]]="","",IFERROR(
   IF(_xlfn.XLOOKUP(Final_Sans_VGE[[#This Row],[ppn_z]],tbl_Historique_Final[ppn_z],tbl_Historique_Final[date_modif])=Final_Sans_VGE[[#This Row],[date_modif]],
      "Ancien",
      "Modifié"),
   "Nouveau"))</f>
        <v>#VALUE!</v>
      </c>
      <c r="AD3177" s="1" t="str">
        <f>IFERROR(IF(Final_Sans_VGE[[#This Row],[ppn_z]]="","",IFERROR(
   IF(_xlfn.XLOOKUP(Final_Sans_VGE[[#This Row],[ppn_z]],tbl_Historique_Final[[#This Row],[ppn_z]],tbl_Historique_Final[[#This Row],[date_modif]])=Final_Sans_VGE[[#This Row],[date_modif]],
      "Ancien",
      "Modifié"),
   "Nouveau")),"")</f>
        <v/>
      </c>
    </row>
    <row r="3178" spans="24:30" x14ac:dyDescent="0.25">
      <c r="X3178" s="8" t="e">
        <f>IF(Final_Sans_VGE[[#This Row],[ppn_z]]="","",IFERROR(
   IF(_xlfn.XLOOKUP(Final_Sans_VGE[[#This Row],[ppn_z]],tbl_Historique_Final[ppn_z],tbl_Historique_Final[date_modif])=Final_Sans_VGE[[#This Row],[date_modif]],
      "Ancien",
      "Modifié"),
   "Nouveau"))</f>
        <v>#VALUE!</v>
      </c>
      <c r="AD3178" s="1" t="str">
        <f>IFERROR(IF(Final_Sans_VGE[[#This Row],[ppn_z]]="","",IFERROR(
   IF(_xlfn.XLOOKUP(Final_Sans_VGE[[#This Row],[ppn_z]],tbl_Historique_Final[[#This Row],[ppn_z]],tbl_Historique_Final[[#This Row],[date_modif]])=Final_Sans_VGE[[#This Row],[date_modif]],
      "Ancien",
      "Modifié"),
   "Nouveau")),"")</f>
        <v/>
      </c>
    </row>
    <row r="3179" spans="24:30" x14ac:dyDescent="0.25">
      <c r="X3179" s="8" t="e">
        <f>IF(Final_Sans_VGE[[#This Row],[ppn_z]]="","",IFERROR(
   IF(_xlfn.XLOOKUP(Final_Sans_VGE[[#This Row],[ppn_z]],tbl_Historique_Final[ppn_z],tbl_Historique_Final[date_modif])=Final_Sans_VGE[[#This Row],[date_modif]],
      "Ancien",
      "Modifié"),
   "Nouveau"))</f>
        <v>#VALUE!</v>
      </c>
      <c r="AD3179" s="1" t="str">
        <f>IFERROR(IF(Final_Sans_VGE[[#This Row],[ppn_z]]="","",IFERROR(
   IF(_xlfn.XLOOKUP(Final_Sans_VGE[[#This Row],[ppn_z]],tbl_Historique_Final[[#This Row],[ppn_z]],tbl_Historique_Final[[#This Row],[date_modif]])=Final_Sans_VGE[[#This Row],[date_modif]],
      "Ancien",
      "Modifié"),
   "Nouveau")),"")</f>
        <v/>
      </c>
    </row>
    <row r="3180" spans="24:30" x14ac:dyDescent="0.25">
      <c r="X3180" s="8" t="e">
        <f>IF(Final_Sans_VGE[[#This Row],[ppn_z]]="","",IFERROR(
   IF(_xlfn.XLOOKUP(Final_Sans_VGE[[#This Row],[ppn_z]],tbl_Historique_Final[ppn_z],tbl_Historique_Final[date_modif])=Final_Sans_VGE[[#This Row],[date_modif]],
      "Ancien",
      "Modifié"),
   "Nouveau"))</f>
        <v>#VALUE!</v>
      </c>
      <c r="AD3180" s="1" t="str">
        <f>IFERROR(IF(Final_Sans_VGE[[#This Row],[ppn_z]]="","",IFERROR(
   IF(_xlfn.XLOOKUP(Final_Sans_VGE[[#This Row],[ppn_z]],tbl_Historique_Final[[#This Row],[ppn_z]],tbl_Historique_Final[[#This Row],[date_modif]])=Final_Sans_VGE[[#This Row],[date_modif]],
      "Ancien",
      "Modifié"),
   "Nouveau")),"")</f>
        <v/>
      </c>
    </row>
    <row r="3181" spans="24:30" x14ac:dyDescent="0.25">
      <c r="X3181" s="8" t="e">
        <f>IF(Final_Sans_VGE[[#This Row],[ppn_z]]="","",IFERROR(
   IF(_xlfn.XLOOKUP(Final_Sans_VGE[[#This Row],[ppn_z]],tbl_Historique_Final[ppn_z],tbl_Historique_Final[date_modif])=Final_Sans_VGE[[#This Row],[date_modif]],
      "Ancien",
      "Modifié"),
   "Nouveau"))</f>
        <v>#VALUE!</v>
      </c>
      <c r="AD3181" s="1" t="str">
        <f>IFERROR(IF(Final_Sans_VGE[[#This Row],[ppn_z]]="","",IFERROR(
   IF(_xlfn.XLOOKUP(Final_Sans_VGE[[#This Row],[ppn_z]],tbl_Historique_Final[[#This Row],[ppn_z]],tbl_Historique_Final[[#This Row],[date_modif]])=Final_Sans_VGE[[#This Row],[date_modif]],
      "Ancien",
      "Modifié"),
   "Nouveau")),"")</f>
        <v/>
      </c>
    </row>
    <row r="3182" spans="24:30" x14ac:dyDescent="0.25">
      <c r="X3182" s="8" t="e">
        <f>IF(Final_Sans_VGE[[#This Row],[ppn_z]]="","",IFERROR(
   IF(_xlfn.XLOOKUP(Final_Sans_VGE[[#This Row],[ppn_z]],tbl_Historique_Final[ppn_z],tbl_Historique_Final[date_modif])=Final_Sans_VGE[[#This Row],[date_modif]],
      "Ancien",
      "Modifié"),
   "Nouveau"))</f>
        <v>#VALUE!</v>
      </c>
      <c r="AD3182" s="1" t="str">
        <f>IFERROR(IF(Final_Sans_VGE[[#This Row],[ppn_z]]="","",IFERROR(
   IF(_xlfn.XLOOKUP(Final_Sans_VGE[[#This Row],[ppn_z]],tbl_Historique_Final[[#This Row],[ppn_z]],tbl_Historique_Final[[#This Row],[date_modif]])=Final_Sans_VGE[[#This Row],[date_modif]],
      "Ancien",
      "Modifié"),
   "Nouveau")),"")</f>
        <v/>
      </c>
    </row>
    <row r="3183" spans="24:30" x14ac:dyDescent="0.25">
      <c r="X3183" s="8" t="e">
        <f>IF(Final_Sans_VGE[[#This Row],[ppn_z]]="","",IFERROR(
   IF(_xlfn.XLOOKUP(Final_Sans_VGE[[#This Row],[ppn_z]],tbl_Historique_Final[ppn_z],tbl_Historique_Final[date_modif])=Final_Sans_VGE[[#This Row],[date_modif]],
      "Ancien",
      "Modifié"),
   "Nouveau"))</f>
        <v>#VALUE!</v>
      </c>
      <c r="AD3183" s="1" t="str">
        <f>IFERROR(IF(Final_Sans_VGE[[#This Row],[ppn_z]]="","",IFERROR(
   IF(_xlfn.XLOOKUP(Final_Sans_VGE[[#This Row],[ppn_z]],tbl_Historique_Final[[#This Row],[ppn_z]],tbl_Historique_Final[[#This Row],[date_modif]])=Final_Sans_VGE[[#This Row],[date_modif]],
      "Ancien",
      "Modifié"),
   "Nouveau")),"")</f>
        <v/>
      </c>
    </row>
    <row r="3184" spans="24:30" x14ac:dyDescent="0.25">
      <c r="X3184" s="8" t="e">
        <f>IF(Final_Sans_VGE[[#This Row],[ppn_z]]="","",IFERROR(
   IF(_xlfn.XLOOKUP(Final_Sans_VGE[[#This Row],[ppn_z]],tbl_Historique_Final[ppn_z],tbl_Historique_Final[date_modif])=Final_Sans_VGE[[#This Row],[date_modif]],
      "Ancien",
      "Modifié"),
   "Nouveau"))</f>
        <v>#VALUE!</v>
      </c>
      <c r="AD3184" s="1" t="str">
        <f>IFERROR(IF(Final_Sans_VGE[[#This Row],[ppn_z]]="","",IFERROR(
   IF(_xlfn.XLOOKUP(Final_Sans_VGE[[#This Row],[ppn_z]],tbl_Historique_Final[[#This Row],[ppn_z]],tbl_Historique_Final[[#This Row],[date_modif]])=Final_Sans_VGE[[#This Row],[date_modif]],
      "Ancien",
      "Modifié"),
   "Nouveau")),"")</f>
        <v/>
      </c>
    </row>
    <row r="3185" spans="24:30" x14ac:dyDescent="0.25">
      <c r="X3185" s="8" t="e">
        <f>IF(Final_Sans_VGE[[#This Row],[ppn_z]]="","",IFERROR(
   IF(_xlfn.XLOOKUP(Final_Sans_VGE[[#This Row],[ppn_z]],tbl_Historique_Final[ppn_z],tbl_Historique_Final[date_modif])=Final_Sans_VGE[[#This Row],[date_modif]],
      "Ancien",
      "Modifié"),
   "Nouveau"))</f>
        <v>#VALUE!</v>
      </c>
      <c r="AD3185" s="1" t="str">
        <f>IFERROR(IF(Final_Sans_VGE[[#This Row],[ppn_z]]="","",IFERROR(
   IF(_xlfn.XLOOKUP(Final_Sans_VGE[[#This Row],[ppn_z]],tbl_Historique_Final[[#This Row],[ppn_z]],tbl_Historique_Final[[#This Row],[date_modif]])=Final_Sans_VGE[[#This Row],[date_modif]],
      "Ancien",
      "Modifié"),
   "Nouveau")),"")</f>
        <v/>
      </c>
    </row>
    <row r="3186" spans="24:30" x14ac:dyDescent="0.25">
      <c r="X3186" s="8" t="e">
        <f>IF(Final_Sans_VGE[[#This Row],[ppn_z]]="","",IFERROR(
   IF(_xlfn.XLOOKUP(Final_Sans_VGE[[#This Row],[ppn_z]],tbl_Historique_Final[ppn_z],tbl_Historique_Final[date_modif])=Final_Sans_VGE[[#This Row],[date_modif]],
      "Ancien",
      "Modifié"),
   "Nouveau"))</f>
        <v>#VALUE!</v>
      </c>
      <c r="AD3186" s="1" t="str">
        <f>IFERROR(IF(Final_Sans_VGE[[#This Row],[ppn_z]]="","",IFERROR(
   IF(_xlfn.XLOOKUP(Final_Sans_VGE[[#This Row],[ppn_z]],tbl_Historique_Final[[#This Row],[ppn_z]],tbl_Historique_Final[[#This Row],[date_modif]])=Final_Sans_VGE[[#This Row],[date_modif]],
      "Ancien",
      "Modifié"),
   "Nouveau")),"")</f>
        <v/>
      </c>
    </row>
    <row r="3187" spans="24:30" x14ac:dyDescent="0.25">
      <c r="X3187" s="8" t="e">
        <f>IF(Final_Sans_VGE[[#This Row],[ppn_z]]="","",IFERROR(
   IF(_xlfn.XLOOKUP(Final_Sans_VGE[[#This Row],[ppn_z]],tbl_Historique_Final[ppn_z],tbl_Historique_Final[date_modif])=Final_Sans_VGE[[#This Row],[date_modif]],
      "Ancien",
      "Modifié"),
   "Nouveau"))</f>
        <v>#VALUE!</v>
      </c>
      <c r="AD3187" s="1" t="str">
        <f>IFERROR(IF(Final_Sans_VGE[[#This Row],[ppn_z]]="","",IFERROR(
   IF(_xlfn.XLOOKUP(Final_Sans_VGE[[#This Row],[ppn_z]],tbl_Historique_Final[[#This Row],[ppn_z]],tbl_Historique_Final[[#This Row],[date_modif]])=Final_Sans_VGE[[#This Row],[date_modif]],
      "Ancien",
      "Modifié"),
   "Nouveau")),"")</f>
        <v/>
      </c>
    </row>
    <row r="3188" spans="24:30" x14ac:dyDescent="0.25">
      <c r="X3188" s="8" t="e">
        <f>IF(Final_Sans_VGE[[#This Row],[ppn_z]]="","",IFERROR(
   IF(_xlfn.XLOOKUP(Final_Sans_VGE[[#This Row],[ppn_z]],tbl_Historique_Final[ppn_z],tbl_Historique_Final[date_modif])=Final_Sans_VGE[[#This Row],[date_modif]],
      "Ancien",
      "Modifié"),
   "Nouveau"))</f>
        <v>#VALUE!</v>
      </c>
      <c r="AD3188" s="1" t="str">
        <f>IFERROR(IF(Final_Sans_VGE[[#This Row],[ppn_z]]="","",IFERROR(
   IF(_xlfn.XLOOKUP(Final_Sans_VGE[[#This Row],[ppn_z]],tbl_Historique_Final[[#This Row],[ppn_z]],tbl_Historique_Final[[#This Row],[date_modif]])=Final_Sans_VGE[[#This Row],[date_modif]],
      "Ancien",
      "Modifié"),
   "Nouveau")),"")</f>
        <v/>
      </c>
    </row>
    <row r="3189" spans="24:30" x14ac:dyDescent="0.25">
      <c r="X3189" s="8" t="e">
        <f>IF(Final_Sans_VGE[[#This Row],[ppn_z]]="","",IFERROR(
   IF(_xlfn.XLOOKUP(Final_Sans_VGE[[#This Row],[ppn_z]],tbl_Historique_Final[ppn_z],tbl_Historique_Final[date_modif])=Final_Sans_VGE[[#This Row],[date_modif]],
      "Ancien",
      "Modifié"),
   "Nouveau"))</f>
        <v>#VALUE!</v>
      </c>
      <c r="AD3189" s="1" t="str">
        <f>IFERROR(IF(Final_Sans_VGE[[#This Row],[ppn_z]]="","",IFERROR(
   IF(_xlfn.XLOOKUP(Final_Sans_VGE[[#This Row],[ppn_z]],tbl_Historique_Final[[#This Row],[ppn_z]],tbl_Historique_Final[[#This Row],[date_modif]])=Final_Sans_VGE[[#This Row],[date_modif]],
      "Ancien",
      "Modifié"),
   "Nouveau")),"")</f>
        <v/>
      </c>
    </row>
    <row r="3190" spans="24:30" x14ac:dyDescent="0.25">
      <c r="X3190" s="8" t="e">
        <f>IF(Final_Sans_VGE[[#This Row],[ppn_z]]="","",IFERROR(
   IF(_xlfn.XLOOKUP(Final_Sans_VGE[[#This Row],[ppn_z]],tbl_Historique_Final[ppn_z],tbl_Historique_Final[date_modif])=Final_Sans_VGE[[#This Row],[date_modif]],
      "Ancien",
      "Modifié"),
   "Nouveau"))</f>
        <v>#VALUE!</v>
      </c>
      <c r="AD3190" s="1" t="str">
        <f>IFERROR(IF(Final_Sans_VGE[[#This Row],[ppn_z]]="","",IFERROR(
   IF(_xlfn.XLOOKUP(Final_Sans_VGE[[#This Row],[ppn_z]],tbl_Historique_Final[[#This Row],[ppn_z]],tbl_Historique_Final[[#This Row],[date_modif]])=Final_Sans_VGE[[#This Row],[date_modif]],
      "Ancien",
      "Modifié"),
   "Nouveau")),"")</f>
        <v/>
      </c>
    </row>
    <row r="3191" spans="24:30" x14ac:dyDescent="0.25">
      <c r="X3191" s="8" t="e">
        <f>IF(Final_Sans_VGE[[#This Row],[ppn_z]]="","",IFERROR(
   IF(_xlfn.XLOOKUP(Final_Sans_VGE[[#This Row],[ppn_z]],tbl_Historique_Final[ppn_z],tbl_Historique_Final[date_modif])=Final_Sans_VGE[[#This Row],[date_modif]],
      "Ancien",
      "Modifié"),
   "Nouveau"))</f>
        <v>#VALUE!</v>
      </c>
      <c r="AD3191" s="1" t="str">
        <f>IFERROR(IF(Final_Sans_VGE[[#This Row],[ppn_z]]="","",IFERROR(
   IF(_xlfn.XLOOKUP(Final_Sans_VGE[[#This Row],[ppn_z]],tbl_Historique_Final[[#This Row],[ppn_z]],tbl_Historique_Final[[#This Row],[date_modif]])=Final_Sans_VGE[[#This Row],[date_modif]],
      "Ancien",
      "Modifié"),
   "Nouveau")),"")</f>
        <v/>
      </c>
    </row>
    <row r="3192" spans="24:30" x14ac:dyDescent="0.25">
      <c r="X3192" s="8" t="e">
        <f>IF(Final_Sans_VGE[[#This Row],[ppn_z]]="","",IFERROR(
   IF(_xlfn.XLOOKUP(Final_Sans_VGE[[#This Row],[ppn_z]],tbl_Historique_Final[ppn_z],tbl_Historique_Final[date_modif])=Final_Sans_VGE[[#This Row],[date_modif]],
      "Ancien",
      "Modifié"),
   "Nouveau"))</f>
        <v>#VALUE!</v>
      </c>
      <c r="AD3192" s="1" t="str">
        <f>IFERROR(IF(Final_Sans_VGE[[#This Row],[ppn_z]]="","",IFERROR(
   IF(_xlfn.XLOOKUP(Final_Sans_VGE[[#This Row],[ppn_z]],tbl_Historique_Final[[#This Row],[ppn_z]],tbl_Historique_Final[[#This Row],[date_modif]])=Final_Sans_VGE[[#This Row],[date_modif]],
      "Ancien",
      "Modifié"),
   "Nouveau")),"")</f>
        <v/>
      </c>
    </row>
    <row r="3193" spans="24:30" x14ac:dyDescent="0.25">
      <c r="X3193" s="8" t="e">
        <f>IF(Final_Sans_VGE[[#This Row],[ppn_z]]="","",IFERROR(
   IF(_xlfn.XLOOKUP(Final_Sans_VGE[[#This Row],[ppn_z]],tbl_Historique_Final[ppn_z],tbl_Historique_Final[date_modif])=Final_Sans_VGE[[#This Row],[date_modif]],
      "Ancien",
      "Modifié"),
   "Nouveau"))</f>
        <v>#VALUE!</v>
      </c>
      <c r="AD3193" s="1" t="str">
        <f>IFERROR(IF(Final_Sans_VGE[[#This Row],[ppn_z]]="","",IFERROR(
   IF(_xlfn.XLOOKUP(Final_Sans_VGE[[#This Row],[ppn_z]],tbl_Historique_Final[[#This Row],[ppn_z]],tbl_Historique_Final[[#This Row],[date_modif]])=Final_Sans_VGE[[#This Row],[date_modif]],
      "Ancien",
      "Modifié"),
   "Nouveau")),"")</f>
        <v/>
      </c>
    </row>
    <row r="3194" spans="24:30" x14ac:dyDescent="0.25">
      <c r="X3194" s="8" t="e">
        <f>IF(Final_Sans_VGE[[#This Row],[ppn_z]]="","",IFERROR(
   IF(_xlfn.XLOOKUP(Final_Sans_VGE[[#This Row],[ppn_z]],tbl_Historique_Final[ppn_z],tbl_Historique_Final[date_modif])=Final_Sans_VGE[[#This Row],[date_modif]],
      "Ancien",
      "Modifié"),
   "Nouveau"))</f>
        <v>#VALUE!</v>
      </c>
      <c r="AD3194" s="1" t="str">
        <f>IFERROR(IF(Final_Sans_VGE[[#This Row],[ppn_z]]="","",IFERROR(
   IF(_xlfn.XLOOKUP(Final_Sans_VGE[[#This Row],[ppn_z]],tbl_Historique_Final[[#This Row],[ppn_z]],tbl_Historique_Final[[#This Row],[date_modif]])=Final_Sans_VGE[[#This Row],[date_modif]],
      "Ancien",
      "Modifié"),
   "Nouveau")),"")</f>
        <v/>
      </c>
    </row>
    <row r="3195" spans="24:30" x14ac:dyDescent="0.25">
      <c r="X3195" s="8" t="e">
        <f>IF(Final_Sans_VGE[[#This Row],[ppn_z]]="","",IFERROR(
   IF(_xlfn.XLOOKUP(Final_Sans_VGE[[#This Row],[ppn_z]],tbl_Historique_Final[ppn_z],tbl_Historique_Final[date_modif])=Final_Sans_VGE[[#This Row],[date_modif]],
      "Ancien",
      "Modifié"),
   "Nouveau"))</f>
        <v>#VALUE!</v>
      </c>
      <c r="AD3195" s="1" t="str">
        <f>IFERROR(IF(Final_Sans_VGE[[#This Row],[ppn_z]]="","",IFERROR(
   IF(_xlfn.XLOOKUP(Final_Sans_VGE[[#This Row],[ppn_z]],tbl_Historique_Final[[#This Row],[ppn_z]],tbl_Historique_Final[[#This Row],[date_modif]])=Final_Sans_VGE[[#This Row],[date_modif]],
      "Ancien",
      "Modifié"),
   "Nouveau")),"")</f>
        <v/>
      </c>
    </row>
    <row r="3196" spans="24:30" x14ac:dyDescent="0.25">
      <c r="X3196" s="8" t="e">
        <f>IF(Final_Sans_VGE[[#This Row],[ppn_z]]="","",IFERROR(
   IF(_xlfn.XLOOKUP(Final_Sans_VGE[[#This Row],[ppn_z]],tbl_Historique_Final[ppn_z],tbl_Historique_Final[date_modif])=Final_Sans_VGE[[#This Row],[date_modif]],
      "Ancien",
      "Modifié"),
   "Nouveau"))</f>
        <v>#VALUE!</v>
      </c>
      <c r="AD3196" s="1" t="str">
        <f>IFERROR(IF(Final_Sans_VGE[[#This Row],[ppn_z]]="","",IFERROR(
   IF(_xlfn.XLOOKUP(Final_Sans_VGE[[#This Row],[ppn_z]],tbl_Historique_Final[[#This Row],[ppn_z]],tbl_Historique_Final[[#This Row],[date_modif]])=Final_Sans_VGE[[#This Row],[date_modif]],
      "Ancien",
      "Modifié"),
   "Nouveau")),"")</f>
        <v/>
      </c>
    </row>
    <row r="3197" spans="24:30" x14ac:dyDescent="0.25">
      <c r="X3197" s="8" t="e">
        <f>IF(Final_Sans_VGE[[#This Row],[ppn_z]]="","",IFERROR(
   IF(_xlfn.XLOOKUP(Final_Sans_VGE[[#This Row],[ppn_z]],tbl_Historique_Final[ppn_z],tbl_Historique_Final[date_modif])=Final_Sans_VGE[[#This Row],[date_modif]],
      "Ancien",
      "Modifié"),
   "Nouveau"))</f>
        <v>#VALUE!</v>
      </c>
      <c r="AD3197" s="1" t="str">
        <f>IFERROR(IF(Final_Sans_VGE[[#This Row],[ppn_z]]="","",IFERROR(
   IF(_xlfn.XLOOKUP(Final_Sans_VGE[[#This Row],[ppn_z]],tbl_Historique_Final[[#This Row],[ppn_z]],tbl_Historique_Final[[#This Row],[date_modif]])=Final_Sans_VGE[[#This Row],[date_modif]],
      "Ancien",
      "Modifié"),
   "Nouveau")),"")</f>
        <v/>
      </c>
    </row>
    <row r="3198" spans="24:30" x14ac:dyDescent="0.25">
      <c r="X3198" s="8" t="e">
        <f>IF(Final_Sans_VGE[[#This Row],[ppn_z]]="","",IFERROR(
   IF(_xlfn.XLOOKUP(Final_Sans_VGE[[#This Row],[ppn_z]],tbl_Historique_Final[ppn_z],tbl_Historique_Final[date_modif])=Final_Sans_VGE[[#This Row],[date_modif]],
      "Ancien",
      "Modifié"),
   "Nouveau"))</f>
        <v>#VALUE!</v>
      </c>
      <c r="AD3198" s="1" t="str">
        <f>IFERROR(IF(Final_Sans_VGE[[#This Row],[ppn_z]]="","",IFERROR(
   IF(_xlfn.XLOOKUP(Final_Sans_VGE[[#This Row],[ppn_z]],tbl_Historique_Final[[#This Row],[ppn_z]],tbl_Historique_Final[[#This Row],[date_modif]])=Final_Sans_VGE[[#This Row],[date_modif]],
      "Ancien",
      "Modifié"),
   "Nouveau")),"")</f>
        <v/>
      </c>
    </row>
    <row r="3199" spans="24:30" x14ac:dyDescent="0.25">
      <c r="X3199" s="8" t="e">
        <f>IF(Final_Sans_VGE[[#This Row],[ppn_z]]="","",IFERROR(
   IF(_xlfn.XLOOKUP(Final_Sans_VGE[[#This Row],[ppn_z]],tbl_Historique_Final[ppn_z],tbl_Historique_Final[date_modif])=Final_Sans_VGE[[#This Row],[date_modif]],
      "Ancien",
      "Modifié"),
   "Nouveau"))</f>
        <v>#VALUE!</v>
      </c>
      <c r="AD3199" s="1" t="str">
        <f>IFERROR(IF(Final_Sans_VGE[[#This Row],[ppn_z]]="","",IFERROR(
   IF(_xlfn.XLOOKUP(Final_Sans_VGE[[#This Row],[ppn_z]],tbl_Historique_Final[[#This Row],[ppn_z]],tbl_Historique_Final[[#This Row],[date_modif]])=Final_Sans_VGE[[#This Row],[date_modif]],
      "Ancien",
      "Modifié"),
   "Nouveau")),"")</f>
        <v/>
      </c>
    </row>
    <row r="3200" spans="24:30" x14ac:dyDescent="0.25">
      <c r="X3200" s="8" t="e">
        <f>IF(Final_Sans_VGE[[#This Row],[ppn_z]]="","",IFERROR(
   IF(_xlfn.XLOOKUP(Final_Sans_VGE[[#This Row],[ppn_z]],tbl_Historique_Final[ppn_z],tbl_Historique_Final[date_modif])=Final_Sans_VGE[[#This Row],[date_modif]],
      "Ancien",
      "Modifié"),
   "Nouveau"))</f>
        <v>#VALUE!</v>
      </c>
      <c r="AD3200" s="1" t="str">
        <f>IFERROR(IF(Final_Sans_VGE[[#This Row],[ppn_z]]="","",IFERROR(
   IF(_xlfn.XLOOKUP(Final_Sans_VGE[[#This Row],[ppn_z]],tbl_Historique_Final[[#This Row],[ppn_z]],tbl_Historique_Final[[#This Row],[date_modif]])=Final_Sans_VGE[[#This Row],[date_modif]],
      "Ancien",
      "Modifié"),
   "Nouveau")),"")</f>
        <v/>
      </c>
    </row>
    <row r="3201" spans="24:30" x14ac:dyDescent="0.25">
      <c r="X3201" s="8" t="e">
        <f>IF(Final_Sans_VGE[[#This Row],[ppn_z]]="","",IFERROR(
   IF(_xlfn.XLOOKUP(Final_Sans_VGE[[#This Row],[ppn_z]],tbl_Historique_Final[ppn_z],tbl_Historique_Final[date_modif])=Final_Sans_VGE[[#This Row],[date_modif]],
      "Ancien",
      "Modifié"),
   "Nouveau"))</f>
        <v>#VALUE!</v>
      </c>
      <c r="AD3201" s="1" t="str">
        <f>IFERROR(IF(Final_Sans_VGE[[#This Row],[ppn_z]]="","",IFERROR(
   IF(_xlfn.XLOOKUP(Final_Sans_VGE[[#This Row],[ppn_z]],tbl_Historique_Final[[#This Row],[ppn_z]],tbl_Historique_Final[[#This Row],[date_modif]])=Final_Sans_VGE[[#This Row],[date_modif]],
      "Ancien",
      "Modifié"),
   "Nouveau")),"")</f>
        <v/>
      </c>
    </row>
    <row r="3202" spans="24:30" x14ac:dyDescent="0.25">
      <c r="X3202" s="8" t="e">
        <f>IF(Final_Sans_VGE[[#This Row],[ppn_z]]="","",IFERROR(
   IF(_xlfn.XLOOKUP(Final_Sans_VGE[[#This Row],[ppn_z]],tbl_Historique_Final[ppn_z],tbl_Historique_Final[date_modif])=Final_Sans_VGE[[#This Row],[date_modif]],
      "Ancien",
      "Modifié"),
   "Nouveau"))</f>
        <v>#VALUE!</v>
      </c>
      <c r="AD3202" s="1" t="str">
        <f>IFERROR(IF(Final_Sans_VGE[[#This Row],[ppn_z]]="","",IFERROR(
   IF(_xlfn.XLOOKUP(Final_Sans_VGE[[#This Row],[ppn_z]],tbl_Historique_Final[[#This Row],[ppn_z]],tbl_Historique_Final[[#This Row],[date_modif]])=Final_Sans_VGE[[#This Row],[date_modif]],
      "Ancien",
      "Modifié"),
   "Nouveau")),"")</f>
        <v/>
      </c>
    </row>
    <row r="3203" spans="24:30" x14ac:dyDescent="0.25">
      <c r="X3203" s="8" t="e">
        <f>IF(Final_Sans_VGE[[#This Row],[ppn_z]]="","",IFERROR(
   IF(_xlfn.XLOOKUP(Final_Sans_VGE[[#This Row],[ppn_z]],tbl_Historique_Final[ppn_z],tbl_Historique_Final[date_modif])=Final_Sans_VGE[[#This Row],[date_modif]],
      "Ancien",
      "Modifié"),
   "Nouveau"))</f>
        <v>#VALUE!</v>
      </c>
      <c r="AD3203" s="1" t="str">
        <f>IFERROR(IF(Final_Sans_VGE[[#This Row],[ppn_z]]="","",IFERROR(
   IF(_xlfn.XLOOKUP(Final_Sans_VGE[[#This Row],[ppn_z]],tbl_Historique_Final[[#This Row],[ppn_z]],tbl_Historique_Final[[#This Row],[date_modif]])=Final_Sans_VGE[[#This Row],[date_modif]],
      "Ancien",
      "Modifié"),
   "Nouveau")),"")</f>
        <v/>
      </c>
    </row>
    <row r="3204" spans="24:30" x14ac:dyDescent="0.25">
      <c r="X3204" s="8" t="e">
        <f>IF(Final_Sans_VGE[[#This Row],[ppn_z]]="","",IFERROR(
   IF(_xlfn.XLOOKUP(Final_Sans_VGE[[#This Row],[ppn_z]],tbl_Historique_Final[ppn_z],tbl_Historique_Final[date_modif])=Final_Sans_VGE[[#This Row],[date_modif]],
      "Ancien",
      "Modifié"),
   "Nouveau"))</f>
        <v>#VALUE!</v>
      </c>
      <c r="AD3204" s="1" t="str">
        <f>IFERROR(IF(Final_Sans_VGE[[#This Row],[ppn_z]]="","",IFERROR(
   IF(_xlfn.XLOOKUP(Final_Sans_VGE[[#This Row],[ppn_z]],tbl_Historique_Final[[#This Row],[ppn_z]],tbl_Historique_Final[[#This Row],[date_modif]])=Final_Sans_VGE[[#This Row],[date_modif]],
      "Ancien",
      "Modifié"),
   "Nouveau")),"")</f>
        <v/>
      </c>
    </row>
    <row r="3205" spans="24:30" x14ac:dyDescent="0.25">
      <c r="X3205" s="8" t="e">
        <f>IF(Final_Sans_VGE[[#This Row],[ppn_z]]="","",IFERROR(
   IF(_xlfn.XLOOKUP(Final_Sans_VGE[[#This Row],[ppn_z]],tbl_Historique_Final[ppn_z],tbl_Historique_Final[date_modif])=Final_Sans_VGE[[#This Row],[date_modif]],
      "Ancien",
      "Modifié"),
   "Nouveau"))</f>
        <v>#VALUE!</v>
      </c>
      <c r="AD3205" s="1" t="str">
        <f>IFERROR(IF(Final_Sans_VGE[[#This Row],[ppn_z]]="","",IFERROR(
   IF(_xlfn.XLOOKUP(Final_Sans_VGE[[#This Row],[ppn_z]],tbl_Historique_Final[[#This Row],[ppn_z]],tbl_Historique_Final[[#This Row],[date_modif]])=Final_Sans_VGE[[#This Row],[date_modif]],
      "Ancien",
      "Modifié"),
   "Nouveau")),"")</f>
        <v/>
      </c>
    </row>
    <row r="3206" spans="24:30" x14ac:dyDescent="0.25">
      <c r="X3206" s="8" t="e">
        <f>IF(Final_Sans_VGE[[#This Row],[ppn_z]]="","",IFERROR(
   IF(_xlfn.XLOOKUP(Final_Sans_VGE[[#This Row],[ppn_z]],tbl_Historique_Final[ppn_z],tbl_Historique_Final[date_modif])=Final_Sans_VGE[[#This Row],[date_modif]],
      "Ancien",
      "Modifié"),
   "Nouveau"))</f>
        <v>#VALUE!</v>
      </c>
      <c r="AD3206" s="1" t="str">
        <f>IFERROR(IF(Final_Sans_VGE[[#This Row],[ppn_z]]="","",IFERROR(
   IF(_xlfn.XLOOKUP(Final_Sans_VGE[[#This Row],[ppn_z]],tbl_Historique_Final[[#This Row],[ppn_z]],tbl_Historique_Final[[#This Row],[date_modif]])=Final_Sans_VGE[[#This Row],[date_modif]],
      "Ancien",
      "Modifié"),
   "Nouveau")),"")</f>
        <v/>
      </c>
    </row>
    <row r="3207" spans="24:30" x14ac:dyDescent="0.25">
      <c r="X3207" s="8" t="e">
        <f>IF(Final_Sans_VGE[[#This Row],[ppn_z]]="","",IFERROR(
   IF(_xlfn.XLOOKUP(Final_Sans_VGE[[#This Row],[ppn_z]],tbl_Historique_Final[ppn_z],tbl_Historique_Final[date_modif])=Final_Sans_VGE[[#This Row],[date_modif]],
      "Ancien",
      "Modifié"),
   "Nouveau"))</f>
        <v>#VALUE!</v>
      </c>
      <c r="AD3207" s="1" t="str">
        <f>IFERROR(IF(Final_Sans_VGE[[#This Row],[ppn_z]]="","",IFERROR(
   IF(_xlfn.XLOOKUP(Final_Sans_VGE[[#This Row],[ppn_z]],tbl_Historique_Final[[#This Row],[ppn_z]],tbl_Historique_Final[[#This Row],[date_modif]])=Final_Sans_VGE[[#This Row],[date_modif]],
      "Ancien",
      "Modifié"),
   "Nouveau")),"")</f>
        <v/>
      </c>
    </row>
    <row r="3208" spans="24:30" x14ac:dyDescent="0.25">
      <c r="X3208" s="8" t="e">
        <f>IF(Final_Sans_VGE[[#This Row],[ppn_z]]="","",IFERROR(
   IF(_xlfn.XLOOKUP(Final_Sans_VGE[[#This Row],[ppn_z]],tbl_Historique_Final[ppn_z],tbl_Historique_Final[date_modif])=Final_Sans_VGE[[#This Row],[date_modif]],
      "Ancien",
      "Modifié"),
   "Nouveau"))</f>
        <v>#VALUE!</v>
      </c>
      <c r="AD3208" s="1" t="str">
        <f>IFERROR(IF(Final_Sans_VGE[[#This Row],[ppn_z]]="","",IFERROR(
   IF(_xlfn.XLOOKUP(Final_Sans_VGE[[#This Row],[ppn_z]],tbl_Historique_Final[[#This Row],[ppn_z]],tbl_Historique_Final[[#This Row],[date_modif]])=Final_Sans_VGE[[#This Row],[date_modif]],
      "Ancien",
      "Modifié"),
   "Nouveau")),"")</f>
        <v/>
      </c>
    </row>
    <row r="3209" spans="24:30" x14ac:dyDescent="0.25">
      <c r="X3209" s="8" t="e">
        <f>IF(Final_Sans_VGE[[#This Row],[ppn_z]]="","",IFERROR(
   IF(_xlfn.XLOOKUP(Final_Sans_VGE[[#This Row],[ppn_z]],tbl_Historique_Final[ppn_z],tbl_Historique_Final[date_modif])=Final_Sans_VGE[[#This Row],[date_modif]],
      "Ancien",
      "Modifié"),
   "Nouveau"))</f>
        <v>#VALUE!</v>
      </c>
      <c r="AD3209" s="1" t="str">
        <f>IFERROR(IF(Final_Sans_VGE[[#This Row],[ppn_z]]="","",IFERROR(
   IF(_xlfn.XLOOKUP(Final_Sans_VGE[[#This Row],[ppn_z]],tbl_Historique_Final[[#This Row],[ppn_z]],tbl_Historique_Final[[#This Row],[date_modif]])=Final_Sans_VGE[[#This Row],[date_modif]],
      "Ancien",
      "Modifié"),
   "Nouveau")),"")</f>
        <v/>
      </c>
    </row>
    <row r="3210" spans="24:30" x14ac:dyDescent="0.25">
      <c r="X3210" s="8" t="e">
        <f>IF(Final_Sans_VGE[[#This Row],[ppn_z]]="","",IFERROR(
   IF(_xlfn.XLOOKUP(Final_Sans_VGE[[#This Row],[ppn_z]],tbl_Historique_Final[ppn_z],tbl_Historique_Final[date_modif])=Final_Sans_VGE[[#This Row],[date_modif]],
      "Ancien",
      "Modifié"),
   "Nouveau"))</f>
        <v>#VALUE!</v>
      </c>
      <c r="AD3210" s="1" t="str">
        <f>IFERROR(IF(Final_Sans_VGE[[#This Row],[ppn_z]]="","",IFERROR(
   IF(_xlfn.XLOOKUP(Final_Sans_VGE[[#This Row],[ppn_z]],tbl_Historique_Final[[#This Row],[ppn_z]],tbl_Historique_Final[[#This Row],[date_modif]])=Final_Sans_VGE[[#This Row],[date_modif]],
      "Ancien",
      "Modifié"),
   "Nouveau")),"")</f>
        <v/>
      </c>
    </row>
    <row r="3211" spans="24:30" x14ac:dyDescent="0.25">
      <c r="X3211" s="8" t="e">
        <f>IF(Final_Sans_VGE[[#This Row],[ppn_z]]="","",IFERROR(
   IF(_xlfn.XLOOKUP(Final_Sans_VGE[[#This Row],[ppn_z]],tbl_Historique_Final[ppn_z],tbl_Historique_Final[date_modif])=Final_Sans_VGE[[#This Row],[date_modif]],
      "Ancien",
      "Modifié"),
   "Nouveau"))</f>
        <v>#VALUE!</v>
      </c>
      <c r="AD3211" s="1" t="str">
        <f>IFERROR(IF(Final_Sans_VGE[[#This Row],[ppn_z]]="","",IFERROR(
   IF(_xlfn.XLOOKUP(Final_Sans_VGE[[#This Row],[ppn_z]],tbl_Historique_Final[[#This Row],[ppn_z]],tbl_Historique_Final[[#This Row],[date_modif]])=Final_Sans_VGE[[#This Row],[date_modif]],
      "Ancien",
      "Modifié"),
   "Nouveau")),"")</f>
        <v/>
      </c>
    </row>
    <row r="3212" spans="24:30" x14ac:dyDescent="0.25">
      <c r="X3212" s="8" t="e">
        <f>IF(Final_Sans_VGE[[#This Row],[ppn_z]]="","",IFERROR(
   IF(_xlfn.XLOOKUP(Final_Sans_VGE[[#This Row],[ppn_z]],tbl_Historique_Final[ppn_z],tbl_Historique_Final[date_modif])=Final_Sans_VGE[[#This Row],[date_modif]],
      "Ancien",
      "Modifié"),
   "Nouveau"))</f>
        <v>#VALUE!</v>
      </c>
      <c r="AD3212" s="1" t="str">
        <f>IFERROR(IF(Final_Sans_VGE[[#This Row],[ppn_z]]="","",IFERROR(
   IF(_xlfn.XLOOKUP(Final_Sans_VGE[[#This Row],[ppn_z]],tbl_Historique_Final[[#This Row],[ppn_z]],tbl_Historique_Final[[#This Row],[date_modif]])=Final_Sans_VGE[[#This Row],[date_modif]],
      "Ancien",
      "Modifié"),
   "Nouveau")),"")</f>
        <v/>
      </c>
    </row>
    <row r="3213" spans="24:30" x14ac:dyDescent="0.25">
      <c r="X3213" s="8" t="e">
        <f>IF(Final_Sans_VGE[[#This Row],[ppn_z]]="","",IFERROR(
   IF(_xlfn.XLOOKUP(Final_Sans_VGE[[#This Row],[ppn_z]],tbl_Historique_Final[ppn_z],tbl_Historique_Final[date_modif])=Final_Sans_VGE[[#This Row],[date_modif]],
      "Ancien",
      "Modifié"),
   "Nouveau"))</f>
        <v>#VALUE!</v>
      </c>
      <c r="AD3213" s="1" t="str">
        <f>IFERROR(IF(Final_Sans_VGE[[#This Row],[ppn_z]]="","",IFERROR(
   IF(_xlfn.XLOOKUP(Final_Sans_VGE[[#This Row],[ppn_z]],tbl_Historique_Final[[#This Row],[ppn_z]],tbl_Historique_Final[[#This Row],[date_modif]])=Final_Sans_VGE[[#This Row],[date_modif]],
      "Ancien",
      "Modifié"),
   "Nouveau")),"")</f>
        <v/>
      </c>
    </row>
    <row r="3214" spans="24:30" x14ac:dyDescent="0.25">
      <c r="X3214" s="8" t="e">
        <f>IF(Final_Sans_VGE[[#This Row],[ppn_z]]="","",IFERROR(
   IF(_xlfn.XLOOKUP(Final_Sans_VGE[[#This Row],[ppn_z]],tbl_Historique_Final[ppn_z],tbl_Historique_Final[date_modif])=Final_Sans_VGE[[#This Row],[date_modif]],
      "Ancien",
      "Modifié"),
   "Nouveau"))</f>
        <v>#VALUE!</v>
      </c>
      <c r="AD3214" s="1" t="str">
        <f>IFERROR(IF(Final_Sans_VGE[[#This Row],[ppn_z]]="","",IFERROR(
   IF(_xlfn.XLOOKUP(Final_Sans_VGE[[#This Row],[ppn_z]],tbl_Historique_Final[[#This Row],[ppn_z]],tbl_Historique_Final[[#This Row],[date_modif]])=Final_Sans_VGE[[#This Row],[date_modif]],
      "Ancien",
      "Modifié"),
   "Nouveau")),"")</f>
        <v/>
      </c>
    </row>
    <row r="3215" spans="24:30" x14ac:dyDescent="0.25">
      <c r="X3215" s="8" t="e">
        <f>IF(Final_Sans_VGE[[#This Row],[ppn_z]]="","",IFERROR(
   IF(_xlfn.XLOOKUP(Final_Sans_VGE[[#This Row],[ppn_z]],tbl_Historique_Final[ppn_z],tbl_Historique_Final[date_modif])=Final_Sans_VGE[[#This Row],[date_modif]],
      "Ancien",
      "Modifié"),
   "Nouveau"))</f>
        <v>#VALUE!</v>
      </c>
      <c r="AD3215" s="1" t="str">
        <f>IFERROR(IF(Final_Sans_VGE[[#This Row],[ppn_z]]="","",IFERROR(
   IF(_xlfn.XLOOKUP(Final_Sans_VGE[[#This Row],[ppn_z]],tbl_Historique_Final[[#This Row],[ppn_z]],tbl_Historique_Final[[#This Row],[date_modif]])=Final_Sans_VGE[[#This Row],[date_modif]],
      "Ancien",
      "Modifié"),
   "Nouveau")),"")</f>
        <v/>
      </c>
    </row>
    <row r="3216" spans="24:30" x14ac:dyDescent="0.25">
      <c r="X3216" s="8" t="e">
        <f>IF(Final_Sans_VGE[[#This Row],[ppn_z]]="","",IFERROR(
   IF(_xlfn.XLOOKUP(Final_Sans_VGE[[#This Row],[ppn_z]],tbl_Historique_Final[ppn_z],tbl_Historique_Final[date_modif])=Final_Sans_VGE[[#This Row],[date_modif]],
      "Ancien",
      "Modifié"),
   "Nouveau"))</f>
        <v>#VALUE!</v>
      </c>
      <c r="AD3216" s="1" t="str">
        <f>IFERROR(IF(Final_Sans_VGE[[#This Row],[ppn_z]]="","",IFERROR(
   IF(_xlfn.XLOOKUP(Final_Sans_VGE[[#This Row],[ppn_z]],tbl_Historique_Final[[#This Row],[ppn_z]],tbl_Historique_Final[[#This Row],[date_modif]])=Final_Sans_VGE[[#This Row],[date_modif]],
      "Ancien",
      "Modifié"),
   "Nouveau")),"")</f>
        <v/>
      </c>
    </row>
    <row r="3217" spans="24:30" x14ac:dyDescent="0.25">
      <c r="X3217" s="8" t="e">
        <f>IF(Final_Sans_VGE[[#This Row],[ppn_z]]="","",IFERROR(
   IF(_xlfn.XLOOKUP(Final_Sans_VGE[[#This Row],[ppn_z]],tbl_Historique_Final[ppn_z],tbl_Historique_Final[date_modif])=Final_Sans_VGE[[#This Row],[date_modif]],
      "Ancien",
      "Modifié"),
   "Nouveau"))</f>
        <v>#VALUE!</v>
      </c>
      <c r="AD3217" s="1" t="str">
        <f>IFERROR(IF(Final_Sans_VGE[[#This Row],[ppn_z]]="","",IFERROR(
   IF(_xlfn.XLOOKUP(Final_Sans_VGE[[#This Row],[ppn_z]],tbl_Historique_Final[[#This Row],[ppn_z]],tbl_Historique_Final[[#This Row],[date_modif]])=Final_Sans_VGE[[#This Row],[date_modif]],
      "Ancien",
      "Modifié"),
   "Nouveau")),"")</f>
        <v/>
      </c>
    </row>
    <row r="3218" spans="24:30" x14ac:dyDescent="0.25">
      <c r="X3218" s="8" t="e">
        <f>IF(Final_Sans_VGE[[#This Row],[ppn_z]]="","",IFERROR(
   IF(_xlfn.XLOOKUP(Final_Sans_VGE[[#This Row],[ppn_z]],tbl_Historique_Final[ppn_z],tbl_Historique_Final[date_modif])=Final_Sans_VGE[[#This Row],[date_modif]],
      "Ancien",
      "Modifié"),
   "Nouveau"))</f>
        <v>#VALUE!</v>
      </c>
      <c r="AD3218" s="1" t="str">
        <f>IFERROR(IF(Final_Sans_VGE[[#This Row],[ppn_z]]="","",IFERROR(
   IF(_xlfn.XLOOKUP(Final_Sans_VGE[[#This Row],[ppn_z]],tbl_Historique_Final[[#This Row],[ppn_z]],tbl_Historique_Final[[#This Row],[date_modif]])=Final_Sans_VGE[[#This Row],[date_modif]],
      "Ancien",
      "Modifié"),
   "Nouveau")),"")</f>
        <v/>
      </c>
    </row>
    <row r="3219" spans="24:30" x14ac:dyDescent="0.25">
      <c r="X3219" s="8" t="e">
        <f>IF(Final_Sans_VGE[[#This Row],[ppn_z]]="","",IFERROR(
   IF(_xlfn.XLOOKUP(Final_Sans_VGE[[#This Row],[ppn_z]],tbl_Historique_Final[ppn_z],tbl_Historique_Final[date_modif])=Final_Sans_VGE[[#This Row],[date_modif]],
      "Ancien",
      "Modifié"),
   "Nouveau"))</f>
        <v>#VALUE!</v>
      </c>
      <c r="AD3219" s="1" t="str">
        <f>IFERROR(IF(Final_Sans_VGE[[#This Row],[ppn_z]]="","",IFERROR(
   IF(_xlfn.XLOOKUP(Final_Sans_VGE[[#This Row],[ppn_z]],tbl_Historique_Final[[#This Row],[ppn_z]],tbl_Historique_Final[[#This Row],[date_modif]])=Final_Sans_VGE[[#This Row],[date_modif]],
      "Ancien",
      "Modifié"),
   "Nouveau")),"")</f>
        <v/>
      </c>
    </row>
    <row r="3220" spans="24:30" x14ac:dyDescent="0.25">
      <c r="X3220" s="8" t="e">
        <f>IF(Final_Sans_VGE[[#This Row],[ppn_z]]="","",IFERROR(
   IF(_xlfn.XLOOKUP(Final_Sans_VGE[[#This Row],[ppn_z]],tbl_Historique_Final[ppn_z],tbl_Historique_Final[date_modif])=Final_Sans_VGE[[#This Row],[date_modif]],
      "Ancien",
      "Modifié"),
   "Nouveau"))</f>
        <v>#VALUE!</v>
      </c>
      <c r="AD3220" s="1" t="str">
        <f>IFERROR(IF(Final_Sans_VGE[[#This Row],[ppn_z]]="","",IFERROR(
   IF(_xlfn.XLOOKUP(Final_Sans_VGE[[#This Row],[ppn_z]],tbl_Historique_Final[[#This Row],[ppn_z]],tbl_Historique_Final[[#This Row],[date_modif]])=Final_Sans_VGE[[#This Row],[date_modif]],
      "Ancien",
      "Modifié"),
   "Nouveau")),"")</f>
        <v/>
      </c>
    </row>
    <row r="3221" spans="24:30" x14ac:dyDescent="0.25">
      <c r="X3221" s="8" t="e">
        <f>IF(Final_Sans_VGE[[#This Row],[ppn_z]]="","",IFERROR(
   IF(_xlfn.XLOOKUP(Final_Sans_VGE[[#This Row],[ppn_z]],tbl_Historique_Final[ppn_z],tbl_Historique_Final[date_modif])=Final_Sans_VGE[[#This Row],[date_modif]],
      "Ancien",
      "Modifié"),
   "Nouveau"))</f>
        <v>#VALUE!</v>
      </c>
      <c r="AD3221" s="1" t="str">
        <f>IFERROR(IF(Final_Sans_VGE[[#This Row],[ppn_z]]="","",IFERROR(
   IF(_xlfn.XLOOKUP(Final_Sans_VGE[[#This Row],[ppn_z]],tbl_Historique_Final[[#This Row],[ppn_z]],tbl_Historique_Final[[#This Row],[date_modif]])=Final_Sans_VGE[[#This Row],[date_modif]],
      "Ancien",
      "Modifié"),
   "Nouveau")),"")</f>
        <v/>
      </c>
    </row>
    <row r="3222" spans="24:30" x14ac:dyDescent="0.25">
      <c r="X3222" s="8" t="e">
        <f>IF(Final_Sans_VGE[[#This Row],[ppn_z]]="","",IFERROR(
   IF(_xlfn.XLOOKUP(Final_Sans_VGE[[#This Row],[ppn_z]],tbl_Historique_Final[ppn_z],tbl_Historique_Final[date_modif])=Final_Sans_VGE[[#This Row],[date_modif]],
      "Ancien",
      "Modifié"),
   "Nouveau"))</f>
        <v>#VALUE!</v>
      </c>
      <c r="AD3222" s="1" t="str">
        <f>IFERROR(IF(Final_Sans_VGE[[#This Row],[ppn_z]]="","",IFERROR(
   IF(_xlfn.XLOOKUP(Final_Sans_VGE[[#This Row],[ppn_z]],tbl_Historique_Final[[#This Row],[ppn_z]],tbl_Historique_Final[[#This Row],[date_modif]])=Final_Sans_VGE[[#This Row],[date_modif]],
      "Ancien",
      "Modifié"),
   "Nouveau")),"")</f>
        <v/>
      </c>
    </row>
    <row r="3223" spans="24:30" x14ac:dyDescent="0.25">
      <c r="X3223" s="8" t="e">
        <f>IF(Final_Sans_VGE[[#This Row],[ppn_z]]="","",IFERROR(
   IF(_xlfn.XLOOKUP(Final_Sans_VGE[[#This Row],[ppn_z]],tbl_Historique_Final[ppn_z],tbl_Historique_Final[date_modif])=Final_Sans_VGE[[#This Row],[date_modif]],
      "Ancien",
      "Modifié"),
   "Nouveau"))</f>
        <v>#VALUE!</v>
      </c>
      <c r="AD3223" s="1" t="str">
        <f>IFERROR(IF(Final_Sans_VGE[[#This Row],[ppn_z]]="","",IFERROR(
   IF(_xlfn.XLOOKUP(Final_Sans_VGE[[#This Row],[ppn_z]],tbl_Historique_Final[[#This Row],[ppn_z]],tbl_Historique_Final[[#This Row],[date_modif]])=Final_Sans_VGE[[#This Row],[date_modif]],
      "Ancien",
      "Modifié"),
   "Nouveau")),"")</f>
        <v/>
      </c>
    </row>
    <row r="3224" spans="24:30" x14ac:dyDescent="0.25">
      <c r="X3224" s="8" t="e">
        <f>IF(Final_Sans_VGE[[#This Row],[ppn_z]]="","",IFERROR(
   IF(_xlfn.XLOOKUP(Final_Sans_VGE[[#This Row],[ppn_z]],tbl_Historique_Final[ppn_z],tbl_Historique_Final[date_modif])=Final_Sans_VGE[[#This Row],[date_modif]],
      "Ancien",
      "Modifié"),
   "Nouveau"))</f>
        <v>#VALUE!</v>
      </c>
      <c r="AD3224" s="1" t="str">
        <f>IFERROR(IF(Final_Sans_VGE[[#This Row],[ppn_z]]="","",IFERROR(
   IF(_xlfn.XLOOKUP(Final_Sans_VGE[[#This Row],[ppn_z]],tbl_Historique_Final[[#This Row],[ppn_z]],tbl_Historique_Final[[#This Row],[date_modif]])=Final_Sans_VGE[[#This Row],[date_modif]],
      "Ancien",
      "Modifié"),
   "Nouveau")),"")</f>
        <v/>
      </c>
    </row>
    <row r="3225" spans="24:30" x14ac:dyDescent="0.25">
      <c r="X3225" s="8" t="e">
        <f>IF(Final_Sans_VGE[[#This Row],[ppn_z]]="","",IFERROR(
   IF(_xlfn.XLOOKUP(Final_Sans_VGE[[#This Row],[ppn_z]],tbl_Historique_Final[ppn_z],tbl_Historique_Final[date_modif])=Final_Sans_VGE[[#This Row],[date_modif]],
      "Ancien",
      "Modifié"),
   "Nouveau"))</f>
        <v>#VALUE!</v>
      </c>
      <c r="AD3225" s="1" t="str">
        <f>IFERROR(IF(Final_Sans_VGE[[#This Row],[ppn_z]]="","",IFERROR(
   IF(_xlfn.XLOOKUP(Final_Sans_VGE[[#This Row],[ppn_z]],tbl_Historique_Final[[#This Row],[ppn_z]],tbl_Historique_Final[[#This Row],[date_modif]])=Final_Sans_VGE[[#This Row],[date_modif]],
      "Ancien",
      "Modifié"),
   "Nouveau")),"")</f>
        <v/>
      </c>
    </row>
    <row r="3226" spans="24:30" x14ac:dyDescent="0.25">
      <c r="X3226" s="8" t="e">
        <f>IF(Final_Sans_VGE[[#This Row],[ppn_z]]="","",IFERROR(
   IF(_xlfn.XLOOKUP(Final_Sans_VGE[[#This Row],[ppn_z]],tbl_Historique_Final[ppn_z],tbl_Historique_Final[date_modif])=Final_Sans_VGE[[#This Row],[date_modif]],
      "Ancien",
      "Modifié"),
   "Nouveau"))</f>
        <v>#VALUE!</v>
      </c>
      <c r="AD3226" s="1" t="str">
        <f>IFERROR(IF(Final_Sans_VGE[[#This Row],[ppn_z]]="","",IFERROR(
   IF(_xlfn.XLOOKUP(Final_Sans_VGE[[#This Row],[ppn_z]],tbl_Historique_Final[[#This Row],[ppn_z]],tbl_Historique_Final[[#This Row],[date_modif]])=Final_Sans_VGE[[#This Row],[date_modif]],
      "Ancien",
      "Modifié"),
   "Nouveau")),"")</f>
        <v/>
      </c>
    </row>
    <row r="3227" spans="24:30" x14ac:dyDescent="0.25">
      <c r="X3227" s="8" t="e">
        <f>IF(Final_Sans_VGE[[#This Row],[ppn_z]]="","",IFERROR(
   IF(_xlfn.XLOOKUP(Final_Sans_VGE[[#This Row],[ppn_z]],tbl_Historique_Final[ppn_z],tbl_Historique_Final[date_modif])=Final_Sans_VGE[[#This Row],[date_modif]],
      "Ancien",
      "Modifié"),
   "Nouveau"))</f>
        <v>#VALUE!</v>
      </c>
      <c r="AD3227" s="1" t="str">
        <f>IFERROR(IF(Final_Sans_VGE[[#This Row],[ppn_z]]="","",IFERROR(
   IF(_xlfn.XLOOKUP(Final_Sans_VGE[[#This Row],[ppn_z]],tbl_Historique_Final[[#This Row],[ppn_z]],tbl_Historique_Final[[#This Row],[date_modif]])=Final_Sans_VGE[[#This Row],[date_modif]],
      "Ancien",
      "Modifié"),
   "Nouveau")),"")</f>
        <v/>
      </c>
    </row>
    <row r="3228" spans="24:30" x14ac:dyDescent="0.25">
      <c r="X3228" s="8" t="e">
        <f>IF(Final_Sans_VGE[[#This Row],[ppn_z]]="","",IFERROR(
   IF(_xlfn.XLOOKUP(Final_Sans_VGE[[#This Row],[ppn_z]],tbl_Historique_Final[ppn_z],tbl_Historique_Final[date_modif])=Final_Sans_VGE[[#This Row],[date_modif]],
      "Ancien",
      "Modifié"),
   "Nouveau"))</f>
        <v>#VALUE!</v>
      </c>
      <c r="AD3228" s="1" t="str">
        <f>IFERROR(IF(Final_Sans_VGE[[#This Row],[ppn_z]]="","",IFERROR(
   IF(_xlfn.XLOOKUP(Final_Sans_VGE[[#This Row],[ppn_z]],tbl_Historique_Final[[#This Row],[ppn_z]],tbl_Historique_Final[[#This Row],[date_modif]])=Final_Sans_VGE[[#This Row],[date_modif]],
      "Ancien",
      "Modifié"),
   "Nouveau")),"")</f>
        <v/>
      </c>
    </row>
    <row r="3229" spans="24:30" x14ac:dyDescent="0.25">
      <c r="X3229" s="8" t="e">
        <f>IF(Final_Sans_VGE[[#This Row],[ppn_z]]="","",IFERROR(
   IF(_xlfn.XLOOKUP(Final_Sans_VGE[[#This Row],[ppn_z]],tbl_Historique_Final[ppn_z],tbl_Historique_Final[date_modif])=Final_Sans_VGE[[#This Row],[date_modif]],
      "Ancien",
      "Modifié"),
   "Nouveau"))</f>
        <v>#VALUE!</v>
      </c>
      <c r="AD3229" s="1" t="str">
        <f>IFERROR(IF(Final_Sans_VGE[[#This Row],[ppn_z]]="","",IFERROR(
   IF(_xlfn.XLOOKUP(Final_Sans_VGE[[#This Row],[ppn_z]],tbl_Historique_Final[[#This Row],[ppn_z]],tbl_Historique_Final[[#This Row],[date_modif]])=Final_Sans_VGE[[#This Row],[date_modif]],
      "Ancien",
      "Modifié"),
   "Nouveau")),"")</f>
        <v/>
      </c>
    </row>
    <row r="3230" spans="24:30" x14ac:dyDescent="0.25">
      <c r="X3230" s="8" t="e">
        <f>IF(Final_Sans_VGE[[#This Row],[ppn_z]]="","",IFERROR(
   IF(_xlfn.XLOOKUP(Final_Sans_VGE[[#This Row],[ppn_z]],tbl_Historique_Final[ppn_z],tbl_Historique_Final[date_modif])=Final_Sans_VGE[[#This Row],[date_modif]],
      "Ancien",
      "Modifié"),
   "Nouveau"))</f>
        <v>#VALUE!</v>
      </c>
      <c r="AD3230" s="1" t="str">
        <f>IFERROR(IF(Final_Sans_VGE[[#This Row],[ppn_z]]="","",IFERROR(
   IF(_xlfn.XLOOKUP(Final_Sans_VGE[[#This Row],[ppn_z]],tbl_Historique_Final[[#This Row],[ppn_z]],tbl_Historique_Final[[#This Row],[date_modif]])=Final_Sans_VGE[[#This Row],[date_modif]],
      "Ancien",
      "Modifié"),
   "Nouveau")),"")</f>
        <v/>
      </c>
    </row>
    <row r="3231" spans="24:30" x14ac:dyDescent="0.25">
      <c r="X3231" s="8" t="e">
        <f>IF(Final_Sans_VGE[[#This Row],[ppn_z]]="","",IFERROR(
   IF(_xlfn.XLOOKUP(Final_Sans_VGE[[#This Row],[ppn_z]],tbl_Historique_Final[ppn_z],tbl_Historique_Final[date_modif])=Final_Sans_VGE[[#This Row],[date_modif]],
      "Ancien",
      "Modifié"),
   "Nouveau"))</f>
        <v>#VALUE!</v>
      </c>
      <c r="AD3231" s="1" t="str">
        <f>IFERROR(IF(Final_Sans_VGE[[#This Row],[ppn_z]]="","",IFERROR(
   IF(_xlfn.XLOOKUP(Final_Sans_VGE[[#This Row],[ppn_z]],tbl_Historique_Final[[#This Row],[ppn_z]],tbl_Historique_Final[[#This Row],[date_modif]])=Final_Sans_VGE[[#This Row],[date_modif]],
      "Ancien",
      "Modifié"),
   "Nouveau")),"")</f>
        <v/>
      </c>
    </row>
    <row r="3232" spans="24:30" x14ac:dyDescent="0.25">
      <c r="X3232" s="8" t="e">
        <f>IF(Final_Sans_VGE[[#This Row],[ppn_z]]="","",IFERROR(
   IF(_xlfn.XLOOKUP(Final_Sans_VGE[[#This Row],[ppn_z]],tbl_Historique_Final[ppn_z],tbl_Historique_Final[date_modif])=Final_Sans_VGE[[#This Row],[date_modif]],
      "Ancien",
      "Modifié"),
   "Nouveau"))</f>
        <v>#VALUE!</v>
      </c>
      <c r="AD3232" s="1" t="str">
        <f>IFERROR(IF(Final_Sans_VGE[[#This Row],[ppn_z]]="","",IFERROR(
   IF(_xlfn.XLOOKUP(Final_Sans_VGE[[#This Row],[ppn_z]],tbl_Historique_Final[[#This Row],[ppn_z]],tbl_Historique_Final[[#This Row],[date_modif]])=Final_Sans_VGE[[#This Row],[date_modif]],
      "Ancien",
      "Modifié"),
   "Nouveau")),"")</f>
        <v/>
      </c>
    </row>
    <row r="3233" spans="24:30" x14ac:dyDescent="0.25">
      <c r="X3233" s="8" t="e">
        <f>IF(Final_Sans_VGE[[#This Row],[ppn_z]]="","",IFERROR(
   IF(_xlfn.XLOOKUP(Final_Sans_VGE[[#This Row],[ppn_z]],tbl_Historique_Final[ppn_z],tbl_Historique_Final[date_modif])=Final_Sans_VGE[[#This Row],[date_modif]],
      "Ancien",
      "Modifié"),
   "Nouveau"))</f>
        <v>#VALUE!</v>
      </c>
      <c r="AD3233" s="1" t="str">
        <f>IFERROR(IF(Final_Sans_VGE[[#This Row],[ppn_z]]="","",IFERROR(
   IF(_xlfn.XLOOKUP(Final_Sans_VGE[[#This Row],[ppn_z]],tbl_Historique_Final[[#This Row],[ppn_z]],tbl_Historique_Final[[#This Row],[date_modif]])=Final_Sans_VGE[[#This Row],[date_modif]],
      "Ancien",
      "Modifié"),
   "Nouveau")),"")</f>
        <v/>
      </c>
    </row>
    <row r="3234" spans="24:30" x14ac:dyDescent="0.25">
      <c r="X3234" s="8" t="e">
        <f>IF(Final_Sans_VGE[[#This Row],[ppn_z]]="","",IFERROR(
   IF(_xlfn.XLOOKUP(Final_Sans_VGE[[#This Row],[ppn_z]],tbl_Historique_Final[ppn_z],tbl_Historique_Final[date_modif])=Final_Sans_VGE[[#This Row],[date_modif]],
      "Ancien",
      "Modifié"),
   "Nouveau"))</f>
        <v>#VALUE!</v>
      </c>
      <c r="AD3234" s="1" t="str">
        <f>IFERROR(IF(Final_Sans_VGE[[#This Row],[ppn_z]]="","",IFERROR(
   IF(_xlfn.XLOOKUP(Final_Sans_VGE[[#This Row],[ppn_z]],tbl_Historique_Final[[#This Row],[ppn_z]],tbl_Historique_Final[[#This Row],[date_modif]])=Final_Sans_VGE[[#This Row],[date_modif]],
      "Ancien",
      "Modifié"),
   "Nouveau")),"")</f>
        <v/>
      </c>
    </row>
    <row r="3235" spans="24:30" x14ac:dyDescent="0.25">
      <c r="X3235" s="8" t="e">
        <f>IF(Final_Sans_VGE[[#This Row],[ppn_z]]="","",IFERROR(
   IF(_xlfn.XLOOKUP(Final_Sans_VGE[[#This Row],[ppn_z]],tbl_Historique_Final[ppn_z],tbl_Historique_Final[date_modif])=Final_Sans_VGE[[#This Row],[date_modif]],
      "Ancien",
      "Modifié"),
   "Nouveau"))</f>
        <v>#VALUE!</v>
      </c>
      <c r="AD3235" s="1" t="str">
        <f>IFERROR(IF(Final_Sans_VGE[[#This Row],[ppn_z]]="","",IFERROR(
   IF(_xlfn.XLOOKUP(Final_Sans_VGE[[#This Row],[ppn_z]],tbl_Historique_Final[[#This Row],[ppn_z]],tbl_Historique_Final[[#This Row],[date_modif]])=Final_Sans_VGE[[#This Row],[date_modif]],
      "Ancien",
      "Modifié"),
   "Nouveau")),"")</f>
        <v/>
      </c>
    </row>
    <row r="3236" spans="24:30" x14ac:dyDescent="0.25">
      <c r="X3236" s="8" t="e">
        <f>IF(Final_Sans_VGE[[#This Row],[ppn_z]]="","",IFERROR(
   IF(_xlfn.XLOOKUP(Final_Sans_VGE[[#This Row],[ppn_z]],tbl_Historique_Final[ppn_z],tbl_Historique_Final[date_modif])=Final_Sans_VGE[[#This Row],[date_modif]],
      "Ancien",
      "Modifié"),
   "Nouveau"))</f>
        <v>#VALUE!</v>
      </c>
      <c r="AD3236" s="1" t="str">
        <f>IFERROR(IF(Final_Sans_VGE[[#This Row],[ppn_z]]="","",IFERROR(
   IF(_xlfn.XLOOKUP(Final_Sans_VGE[[#This Row],[ppn_z]],tbl_Historique_Final[[#This Row],[ppn_z]],tbl_Historique_Final[[#This Row],[date_modif]])=Final_Sans_VGE[[#This Row],[date_modif]],
      "Ancien",
      "Modifié"),
   "Nouveau")),"")</f>
        <v/>
      </c>
    </row>
    <row r="3237" spans="24:30" x14ac:dyDescent="0.25">
      <c r="X3237" s="8" t="e">
        <f>IF(Final_Sans_VGE[[#This Row],[ppn_z]]="","",IFERROR(
   IF(_xlfn.XLOOKUP(Final_Sans_VGE[[#This Row],[ppn_z]],tbl_Historique_Final[ppn_z],tbl_Historique_Final[date_modif])=Final_Sans_VGE[[#This Row],[date_modif]],
      "Ancien",
      "Modifié"),
   "Nouveau"))</f>
        <v>#VALUE!</v>
      </c>
      <c r="AD3237" s="1" t="str">
        <f>IFERROR(IF(Final_Sans_VGE[[#This Row],[ppn_z]]="","",IFERROR(
   IF(_xlfn.XLOOKUP(Final_Sans_VGE[[#This Row],[ppn_z]],tbl_Historique_Final[[#This Row],[ppn_z]],tbl_Historique_Final[[#This Row],[date_modif]])=Final_Sans_VGE[[#This Row],[date_modif]],
      "Ancien",
      "Modifié"),
   "Nouveau")),"")</f>
        <v/>
      </c>
    </row>
    <row r="3238" spans="24:30" x14ac:dyDescent="0.25">
      <c r="X3238" s="8" t="e">
        <f>IF(Final_Sans_VGE[[#This Row],[ppn_z]]="","",IFERROR(
   IF(_xlfn.XLOOKUP(Final_Sans_VGE[[#This Row],[ppn_z]],tbl_Historique_Final[ppn_z],tbl_Historique_Final[date_modif])=Final_Sans_VGE[[#This Row],[date_modif]],
      "Ancien",
      "Modifié"),
   "Nouveau"))</f>
        <v>#VALUE!</v>
      </c>
      <c r="AD3238" s="1" t="str">
        <f>IFERROR(IF(Final_Sans_VGE[[#This Row],[ppn_z]]="","",IFERROR(
   IF(_xlfn.XLOOKUP(Final_Sans_VGE[[#This Row],[ppn_z]],tbl_Historique_Final[[#This Row],[ppn_z]],tbl_Historique_Final[[#This Row],[date_modif]])=Final_Sans_VGE[[#This Row],[date_modif]],
      "Ancien",
      "Modifié"),
   "Nouveau")),"")</f>
        <v/>
      </c>
    </row>
    <row r="3239" spans="24:30" x14ac:dyDescent="0.25">
      <c r="X3239" s="8" t="e">
        <f>IF(Final_Sans_VGE[[#This Row],[ppn_z]]="","",IFERROR(
   IF(_xlfn.XLOOKUP(Final_Sans_VGE[[#This Row],[ppn_z]],tbl_Historique_Final[ppn_z],tbl_Historique_Final[date_modif])=Final_Sans_VGE[[#This Row],[date_modif]],
      "Ancien",
      "Modifié"),
   "Nouveau"))</f>
        <v>#VALUE!</v>
      </c>
      <c r="AD3239" s="1" t="str">
        <f>IFERROR(IF(Final_Sans_VGE[[#This Row],[ppn_z]]="","",IFERROR(
   IF(_xlfn.XLOOKUP(Final_Sans_VGE[[#This Row],[ppn_z]],tbl_Historique_Final[[#This Row],[ppn_z]],tbl_Historique_Final[[#This Row],[date_modif]])=Final_Sans_VGE[[#This Row],[date_modif]],
      "Ancien",
      "Modifié"),
   "Nouveau")),"")</f>
        <v/>
      </c>
    </row>
    <row r="3240" spans="24:30" x14ac:dyDescent="0.25">
      <c r="X3240" s="8" t="e">
        <f>IF(Final_Sans_VGE[[#This Row],[ppn_z]]="","",IFERROR(
   IF(_xlfn.XLOOKUP(Final_Sans_VGE[[#This Row],[ppn_z]],tbl_Historique_Final[ppn_z],tbl_Historique_Final[date_modif])=Final_Sans_VGE[[#This Row],[date_modif]],
      "Ancien",
      "Modifié"),
   "Nouveau"))</f>
        <v>#VALUE!</v>
      </c>
      <c r="AD3240" s="1" t="str">
        <f>IFERROR(IF(Final_Sans_VGE[[#This Row],[ppn_z]]="","",IFERROR(
   IF(_xlfn.XLOOKUP(Final_Sans_VGE[[#This Row],[ppn_z]],tbl_Historique_Final[[#This Row],[ppn_z]],tbl_Historique_Final[[#This Row],[date_modif]])=Final_Sans_VGE[[#This Row],[date_modif]],
      "Ancien",
      "Modifié"),
   "Nouveau")),"")</f>
        <v/>
      </c>
    </row>
    <row r="3241" spans="24:30" x14ac:dyDescent="0.25">
      <c r="X3241" s="8" t="e">
        <f>IF(Final_Sans_VGE[[#This Row],[ppn_z]]="","",IFERROR(
   IF(_xlfn.XLOOKUP(Final_Sans_VGE[[#This Row],[ppn_z]],tbl_Historique_Final[ppn_z],tbl_Historique_Final[date_modif])=Final_Sans_VGE[[#This Row],[date_modif]],
      "Ancien",
      "Modifié"),
   "Nouveau"))</f>
        <v>#VALUE!</v>
      </c>
      <c r="AD3241" s="1" t="str">
        <f>IFERROR(IF(Final_Sans_VGE[[#This Row],[ppn_z]]="","",IFERROR(
   IF(_xlfn.XLOOKUP(Final_Sans_VGE[[#This Row],[ppn_z]],tbl_Historique_Final[[#This Row],[ppn_z]],tbl_Historique_Final[[#This Row],[date_modif]])=Final_Sans_VGE[[#This Row],[date_modif]],
      "Ancien",
      "Modifié"),
   "Nouveau")),"")</f>
        <v/>
      </c>
    </row>
    <row r="3242" spans="24:30" x14ac:dyDescent="0.25">
      <c r="X3242" s="8" t="e">
        <f>IF(Final_Sans_VGE[[#This Row],[ppn_z]]="","",IFERROR(
   IF(_xlfn.XLOOKUP(Final_Sans_VGE[[#This Row],[ppn_z]],tbl_Historique_Final[ppn_z],tbl_Historique_Final[date_modif])=Final_Sans_VGE[[#This Row],[date_modif]],
      "Ancien",
      "Modifié"),
   "Nouveau"))</f>
        <v>#VALUE!</v>
      </c>
      <c r="AD3242" s="1" t="str">
        <f>IFERROR(IF(Final_Sans_VGE[[#This Row],[ppn_z]]="","",IFERROR(
   IF(_xlfn.XLOOKUP(Final_Sans_VGE[[#This Row],[ppn_z]],tbl_Historique_Final[[#This Row],[ppn_z]],tbl_Historique_Final[[#This Row],[date_modif]])=Final_Sans_VGE[[#This Row],[date_modif]],
      "Ancien",
      "Modifié"),
   "Nouveau")),"")</f>
        <v/>
      </c>
    </row>
    <row r="3243" spans="24:30" x14ac:dyDescent="0.25">
      <c r="X3243" s="8" t="e">
        <f>IF(Final_Sans_VGE[[#This Row],[ppn_z]]="","",IFERROR(
   IF(_xlfn.XLOOKUP(Final_Sans_VGE[[#This Row],[ppn_z]],tbl_Historique_Final[ppn_z],tbl_Historique_Final[date_modif])=Final_Sans_VGE[[#This Row],[date_modif]],
      "Ancien",
      "Modifié"),
   "Nouveau"))</f>
        <v>#VALUE!</v>
      </c>
      <c r="AD3243" s="1" t="str">
        <f>IFERROR(IF(Final_Sans_VGE[[#This Row],[ppn_z]]="","",IFERROR(
   IF(_xlfn.XLOOKUP(Final_Sans_VGE[[#This Row],[ppn_z]],tbl_Historique_Final[[#This Row],[ppn_z]],tbl_Historique_Final[[#This Row],[date_modif]])=Final_Sans_VGE[[#This Row],[date_modif]],
      "Ancien",
      "Modifié"),
   "Nouveau")),"")</f>
        <v/>
      </c>
    </row>
    <row r="3244" spans="24:30" x14ac:dyDescent="0.25">
      <c r="X3244" s="8" t="e">
        <f>IF(Final_Sans_VGE[[#This Row],[ppn_z]]="","",IFERROR(
   IF(_xlfn.XLOOKUP(Final_Sans_VGE[[#This Row],[ppn_z]],tbl_Historique_Final[ppn_z],tbl_Historique_Final[date_modif])=Final_Sans_VGE[[#This Row],[date_modif]],
      "Ancien",
      "Modifié"),
   "Nouveau"))</f>
        <v>#VALUE!</v>
      </c>
      <c r="AD3244" s="1" t="str">
        <f>IFERROR(IF(Final_Sans_VGE[[#This Row],[ppn_z]]="","",IFERROR(
   IF(_xlfn.XLOOKUP(Final_Sans_VGE[[#This Row],[ppn_z]],tbl_Historique_Final[[#This Row],[ppn_z]],tbl_Historique_Final[[#This Row],[date_modif]])=Final_Sans_VGE[[#This Row],[date_modif]],
      "Ancien",
      "Modifié"),
   "Nouveau")),"")</f>
        <v/>
      </c>
    </row>
    <row r="3245" spans="24:30" x14ac:dyDescent="0.25">
      <c r="X3245" s="8" t="e">
        <f>IF(Final_Sans_VGE[[#This Row],[ppn_z]]="","",IFERROR(
   IF(_xlfn.XLOOKUP(Final_Sans_VGE[[#This Row],[ppn_z]],tbl_Historique_Final[ppn_z],tbl_Historique_Final[date_modif])=Final_Sans_VGE[[#This Row],[date_modif]],
      "Ancien",
      "Modifié"),
   "Nouveau"))</f>
        <v>#VALUE!</v>
      </c>
      <c r="AD3245" s="1" t="str">
        <f>IFERROR(IF(Final_Sans_VGE[[#This Row],[ppn_z]]="","",IFERROR(
   IF(_xlfn.XLOOKUP(Final_Sans_VGE[[#This Row],[ppn_z]],tbl_Historique_Final[[#This Row],[ppn_z]],tbl_Historique_Final[[#This Row],[date_modif]])=Final_Sans_VGE[[#This Row],[date_modif]],
      "Ancien",
      "Modifié"),
   "Nouveau")),"")</f>
        <v/>
      </c>
    </row>
    <row r="3246" spans="24:30" x14ac:dyDescent="0.25">
      <c r="X3246" s="8" t="e">
        <f>IF(Final_Sans_VGE[[#This Row],[ppn_z]]="","",IFERROR(
   IF(_xlfn.XLOOKUP(Final_Sans_VGE[[#This Row],[ppn_z]],tbl_Historique_Final[ppn_z],tbl_Historique_Final[date_modif])=Final_Sans_VGE[[#This Row],[date_modif]],
      "Ancien",
      "Modifié"),
   "Nouveau"))</f>
        <v>#VALUE!</v>
      </c>
      <c r="AD3246" s="1" t="str">
        <f>IFERROR(IF(Final_Sans_VGE[[#This Row],[ppn_z]]="","",IFERROR(
   IF(_xlfn.XLOOKUP(Final_Sans_VGE[[#This Row],[ppn_z]],tbl_Historique_Final[[#This Row],[ppn_z]],tbl_Historique_Final[[#This Row],[date_modif]])=Final_Sans_VGE[[#This Row],[date_modif]],
      "Ancien",
      "Modifié"),
   "Nouveau")),"")</f>
        <v/>
      </c>
    </row>
    <row r="3247" spans="24:30" x14ac:dyDescent="0.25">
      <c r="X3247" s="8" t="e">
        <f>IF(Final_Sans_VGE[[#This Row],[ppn_z]]="","",IFERROR(
   IF(_xlfn.XLOOKUP(Final_Sans_VGE[[#This Row],[ppn_z]],tbl_Historique_Final[ppn_z],tbl_Historique_Final[date_modif])=Final_Sans_VGE[[#This Row],[date_modif]],
      "Ancien",
      "Modifié"),
   "Nouveau"))</f>
        <v>#VALUE!</v>
      </c>
      <c r="AD3247" s="1" t="str">
        <f>IFERROR(IF(Final_Sans_VGE[[#This Row],[ppn_z]]="","",IFERROR(
   IF(_xlfn.XLOOKUP(Final_Sans_VGE[[#This Row],[ppn_z]],tbl_Historique_Final[[#This Row],[ppn_z]],tbl_Historique_Final[[#This Row],[date_modif]])=Final_Sans_VGE[[#This Row],[date_modif]],
      "Ancien",
      "Modifié"),
   "Nouveau")),"")</f>
        <v/>
      </c>
    </row>
    <row r="3248" spans="24:30" x14ac:dyDescent="0.25">
      <c r="X3248" s="8" t="e">
        <f>IF(Final_Sans_VGE[[#This Row],[ppn_z]]="","",IFERROR(
   IF(_xlfn.XLOOKUP(Final_Sans_VGE[[#This Row],[ppn_z]],tbl_Historique_Final[ppn_z],tbl_Historique_Final[date_modif])=Final_Sans_VGE[[#This Row],[date_modif]],
      "Ancien",
      "Modifié"),
   "Nouveau"))</f>
        <v>#VALUE!</v>
      </c>
      <c r="AD3248" s="1" t="str">
        <f>IFERROR(IF(Final_Sans_VGE[[#This Row],[ppn_z]]="","",IFERROR(
   IF(_xlfn.XLOOKUP(Final_Sans_VGE[[#This Row],[ppn_z]],tbl_Historique_Final[[#This Row],[ppn_z]],tbl_Historique_Final[[#This Row],[date_modif]])=Final_Sans_VGE[[#This Row],[date_modif]],
      "Ancien",
      "Modifié"),
   "Nouveau")),"")</f>
        <v/>
      </c>
    </row>
    <row r="3249" spans="24:30" x14ac:dyDescent="0.25">
      <c r="X3249" s="8" t="e">
        <f>IF(Final_Sans_VGE[[#This Row],[ppn_z]]="","",IFERROR(
   IF(_xlfn.XLOOKUP(Final_Sans_VGE[[#This Row],[ppn_z]],tbl_Historique_Final[ppn_z],tbl_Historique_Final[date_modif])=Final_Sans_VGE[[#This Row],[date_modif]],
      "Ancien",
      "Modifié"),
   "Nouveau"))</f>
        <v>#VALUE!</v>
      </c>
      <c r="AD3249" s="1" t="str">
        <f>IFERROR(IF(Final_Sans_VGE[[#This Row],[ppn_z]]="","",IFERROR(
   IF(_xlfn.XLOOKUP(Final_Sans_VGE[[#This Row],[ppn_z]],tbl_Historique_Final[[#This Row],[ppn_z]],tbl_Historique_Final[[#This Row],[date_modif]])=Final_Sans_VGE[[#This Row],[date_modif]],
      "Ancien",
      "Modifié"),
   "Nouveau")),"")</f>
        <v/>
      </c>
    </row>
    <row r="3250" spans="24:30" x14ac:dyDescent="0.25">
      <c r="X3250" s="8" t="e">
        <f>IF(Final_Sans_VGE[[#This Row],[ppn_z]]="","",IFERROR(
   IF(_xlfn.XLOOKUP(Final_Sans_VGE[[#This Row],[ppn_z]],tbl_Historique_Final[ppn_z],tbl_Historique_Final[date_modif])=Final_Sans_VGE[[#This Row],[date_modif]],
      "Ancien",
      "Modifié"),
   "Nouveau"))</f>
        <v>#VALUE!</v>
      </c>
      <c r="AD3250" s="1" t="str">
        <f>IFERROR(IF(Final_Sans_VGE[[#This Row],[ppn_z]]="","",IFERROR(
   IF(_xlfn.XLOOKUP(Final_Sans_VGE[[#This Row],[ppn_z]],tbl_Historique_Final[[#This Row],[ppn_z]],tbl_Historique_Final[[#This Row],[date_modif]])=Final_Sans_VGE[[#This Row],[date_modif]],
      "Ancien",
      "Modifié"),
   "Nouveau")),"")</f>
        <v/>
      </c>
    </row>
    <row r="3251" spans="24:30" x14ac:dyDescent="0.25">
      <c r="X3251" s="8" t="e">
        <f>IF(Final_Sans_VGE[[#This Row],[ppn_z]]="","",IFERROR(
   IF(_xlfn.XLOOKUP(Final_Sans_VGE[[#This Row],[ppn_z]],tbl_Historique_Final[ppn_z],tbl_Historique_Final[date_modif])=Final_Sans_VGE[[#This Row],[date_modif]],
      "Ancien",
      "Modifié"),
   "Nouveau"))</f>
        <v>#VALUE!</v>
      </c>
      <c r="AD3251" s="1" t="str">
        <f>IFERROR(IF(Final_Sans_VGE[[#This Row],[ppn_z]]="","",IFERROR(
   IF(_xlfn.XLOOKUP(Final_Sans_VGE[[#This Row],[ppn_z]],tbl_Historique_Final[[#This Row],[ppn_z]],tbl_Historique_Final[[#This Row],[date_modif]])=Final_Sans_VGE[[#This Row],[date_modif]],
      "Ancien",
      "Modifié"),
   "Nouveau")),"")</f>
        <v/>
      </c>
    </row>
    <row r="3252" spans="24:30" x14ac:dyDescent="0.25">
      <c r="X3252" s="8" t="e">
        <f>IF(Final_Sans_VGE[[#This Row],[ppn_z]]="","",IFERROR(
   IF(_xlfn.XLOOKUP(Final_Sans_VGE[[#This Row],[ppn_z]],tbl_Historique_Final[ppn_z],tbl_Historique_Final[date_modif])=Final_Sans_VGE[[#This Row],[date_modif]],
      "Ancien",
      "Modifié"),
   "Nouveau"))</f>
        <v>#VALUE!</v>
      </c>
      <c r="AD3252" s="1" t="str">
        <f>IFERROR(IF(Final_Sans_VGE[[#This Row],[ppn_z]]="","",IFERROR(
   IF(_xlfn.XLOOKUP(Final_Sans_VGE[[#This Row],[ppn_z]],tbl_Historique_Final[[#This Row],[ppn_z]],tbl_Historique_Final[[#This Row],[date_modif]])=Final_Sans_VGE[[#This Row],[date_modif]],
      "Ancien",
      "Modifié"),
   "Nouveau")),"")</f>
        <v/>
      </c>
    </row>
    <row r="3253" spans="24:30" x14ac:dyDescent="0.25">
      <c r="X3253" s="8" t="e">
        <f>IF(Final_Sans_VGE[[#This Row],[ppn_z]]="","",IFERROR(
   IF(_xlfn.XLOOKUP(Final_Sans_VGE[[#This Row],[ppn_z]],tbl_Historique_Final[ppn_z],tbl_Historique_Final[date_modif])=Final_Sans_VGE[[#This Row],[date_modif]],
      "Ancien",
      "Modifié"),
   "Nouveau"))</f>
        <v>#VALUE!</v>
      </c>
      <c r="AD3253" s="1" t="str">
        <f>IFERROR(IF(Final_Sans_VGE[[#This Row],[ppn_z]]="","",IFERROR(
   IF(_xlfn.XLOOKUP(Final_Sans_VGE[[#This Row],[ppn_z]],tbl_Historique_Final[[#This Row],[ppn_z]],tbl_Historique_Final[[#This Row],[date_modif]])=Final_Sans_VGE[[#This Row],[date_modif]],
      "Ancien",
      "Modifié"),
   "Nouveau")),"")</f>
        <v/>
      </c>
    </row>
    <row r="3254" spans="24:30" x14ac:dyDescent="0.25">
      <c r="X3254" s="8" t="e">
        <f>IF(Final_Sans_VGE[[#This Row],[ppn_z]]="","",IFERROR(
   IF(_xlfn.XLOOKUP(Final_Sans_VGE[[#This Row],[ppn_z]],tbl_Historique_Final[ppn_z],tbl_Historique_Final[date_modif])=Final_Sans_VGE[[#This Row],[date_modif]],
      "Ancien",
      "Modifié"),
   "Nouveau"))</f>
        <v>#VALUE!</v>
      </c>
      <c r="AD3254" s="1" t="str">
        <f>IFERROR(IF(Final_Sans_VGE[[#This Row],[ppn_z]]="","",IFERROR(
   IF(_xlfn.XLOOKUP(Final_Sans_VGE[[#This Row],[ppn_z]],tbl_Historique_Final[[#This Row],[ppn_z]],tbl_Historique_Final[[#This Row],[date_modif]])=Final_Sans_VGE[[#This Row],[date_modif]],
      "Ancien",
      "Modifié"),
   "Nouveau")),"")</f>
        <v/>
      </c>
    </row>
    <row r="3255" spans="24:30" x14ac:dyDescent="0.25">
      <c r="X3255" s="8" t="e">
        <f>IF(Final_Sans_VGE[[#This Row],[ppn_z]]="","",IFERROR(
   IF(_xlfn.XLOOKUP(Final_Sans_VGE[[#This Row],[ppn_z]],tbl_Historique_Final[ppn_z],tbl_Historique_Final[date_modif])=Final_Sans_VGE[[#This Row],[date_modif]],
      "Ancien",
      "Modifié"),
   "Nouveau"))</f>
        <v>#VALUE!</v>
      </c>
      <c r="AD3255" s="1" t="str">
        <f>IFERROR(IF(Final_Sans_VGE[[#This Row],[ppn_z]]="","",IFERROR(
   IF(_xlfn.XLOOKUP(Final_Sans_VGE[[#This Row],[ppn_z]],tbl_Historique_Final[[#This Row],[ppn_z]],tbl_Historique_Final[[#This Row],[date_modif]])=Final_Sans_VGE[[#This Row],[date_modif]],
      "Ancien",
      "Modifié"),
   "Nouveau")),"")</f>
        <v/>
      </c>
    </row>
    <row r="3256" spans="24:30" x14ac:dyDescent="0.25">
      <c r="X3256" s="8" t="e">
        <f>IF(Final_Sans_VGE[[#This Row],[ppn_z]]="","",IFERROR(
   IF(_xlfn.XLOOKUP(Final_Sans_VGE[[#This Row],[ppn_z]],tbl_Historique_Final[ppn_z],tbl_Historique_Final[date_modif])=Final_Sans_VGE[[#This Row],[date_modif]],
      "Ancien",
      "Modifié"),
   "Nouveau"))</f>
        <v>#VALUE!</v>
      </c>
      <c r="AD3256" s="1" t="str">
        <f>IFERROR(IF(Final_Sans_VGE[[#This Row],[ppn_z]]="","",IFERROR(
   IF(_xlfn.XLOOKUP(Final_Sans_VGE[[#This Row],[ppn_z]],tbl_Historique_Final[[#This Row],[ppn_z]],tbl_Historique_Final[[#This Row],[date_modif]])=Final_Sans_VGE[[#This Row],[date_modif]],
      "Ancien",
      "Modifié"),
   "Nouveau")),"")</f>
        <v/>
      </c>
    </row>
    <row r="3257" spans="24:30" x14ac:dyDescent="0.25">
      <c r="X3257" s="8" t="e">
        <f>IF(Final_Sans_VGE[[#This Row],[ppn_z]]="","",IFERROR(
   IF(_xlfn.XLOOKUP(Final_Sans_VGE[[#This Row],[ppn_z]],tbl_Historique_Final[ppn_z],tbl_Historique_Final[date_modif])=Final_Sans_VGE[[#This Row],[date_modif]],
      "Ancien",
      "Modifié"),
   "Nouveau"))</f>
        <v>#VALUE!</v>
      </c>
      <c r="AD3257" s="1" t="str">
        <f>IFERROR(IF(Final_Sans_VGE[[#This Row],[ppn_z]]="","",IFERROR(
   IF(_xlfn.XLOOKUP(Final_Sans_VGE[[#This Row],[ppn_z]],tbl_Historique_Final[[#This Row],[ppn_z]],tbl_Historique_Final[[#This Row],[date_modif]])=Final_Sans_VGE[[#This Row],[date_modif]],
      "Ancien",
      "Modifié"),
   "Nouveau")),"")</f>
        <v/>
      </c>
    </row>
    <row r="3258" spans="24:30" x14ac:dyDescent="0.25">
      <c r="X3258" s="8" t="e">
        <f>IF(Final_Sans_VGE[[#This Row],[ppn_z]]="","",IFERROR(
   IF(_xlfn.XLOOKUP(Final_Sans_VGE[[#This Row],[ppn_z]],tbl_Historique_Final[ppn_z],tbl_Historique_Final[date_modif])=Final_Sans_VGE[[#This Row],[date_modif]],
      "Ancien",
      "Modifié"),
   "Nouveau"))</f>
        <v>#VALUE!</v>
      </c>
      <c r="AD3258" s="1" t="str">
        <f>IFERROR(IF(Final_Sans_VGE[[#This Row],[ppn_z]]="","",IFERROR(
   IF(_xlfn.XLOOKUP(Final_Sans_VGE[[#This Row],[ppn_z]],tbl_Historique_Final[[#This Row],[ppn_z]],tbl_Historique_Final[[#This Row],[date_modif]])=Final_Sans_VGE[[#This Row],[date_modif]],
      "Ancien",
      "Modifié"),
   "Nouveau")),"")</f>
        <v/>
      </c>
    </row>
    <row r="3259" spans="24:30" x14ac:dyDescent="0.25">
      <c r="X3259" s="8" t="e">
        <f>IF(Final_Sans_VGE[[#This Row],[ppn_z]]="","",IFERROR(
   IF(_xlfn.XLOOKUP(Final_Sans_VGE[[#This Row],[ppn_z]],tbl_Historique_Final[ppn_z],tbl_Historique_Final[date_modif])=Final_Sans_VGE[[#This Row],[date_modif]],
      "Ancien",
      "Modifié"),
   "Nouveau"))</f>
        <v>#VALUE!</v>
      </c>
      <c r="AD3259" s="1" t="str">
        <f>IFERROR(IF(Final_Sans_VGE[[#This Row],[ppn_z]]="","",IFERROR(
   IF(_xlfn.XLOOKUP(Final_Sans_VGE[[#This Row],[ppn_z]],tbl_Historique_Final[[#This Row],[ppn_z]],tbl_Historique_Final[[#This Row],[date_modif]])=Final_Sans_VGE[[#This Row],[date_modif]],
      "Ancien",
      "Modifié"),
   "Nouveau")),"")</f>
        <v/>
      </c>
    </row>
    <row r="3260" spans="24:30" x14ac:dyDescent="0.25">
      <c r="X3260" s="8" t="e">
        <f>IF(Final_Sans_VGE[[#This Row],[ppn_z]]="","",IFERROR(
   IF(_xlfn.XLOOKUP(Final_Sans_VGE[[#This Row],[ppn_z]],tbl_Historique_Final[ppn_z],tbl_Historique_Final[date_modif])=Final_Sans_VGE[[#This Row],[date_modif]],
      "Ancien",
      "Modifié"),
   "Nouveau"))</f>
        <v>#VALUE!</v>
      </c>
      <c r="AD3260" s="1" t="str">
        <f>IFERROR(IF(Final_Sans_VGE[[#This Row],[ppn_z]]="","",IFERROR(
   IF(_xlfn.XLOOKUP(Final_Sans_VGE[[#This Row],[ppn_z]],tbl_Historique_Final[[#This Row],[ppn_z]],tbl_Historique_Final[[#This Row],[date_modif]])=Final_Sans_VGE[[#This Row],[date_modif]],
      "Ancien",
      "Modifié"),
   "Nouveau")),"")</f>
        <v/>
      </c>
    </row>
    <row r="3261" spans="24:30" x14ac:dyDescent="0.25">
      <c r="X3261" s="8" t="e">
        <f>IF(Final_Sans_VGE[[#This Row],[ppn_z]]="","",IFERROR(
   IF(_xlfn.XLOOKUP(Final_Sans_VGE[[#This Row],[ppn_z]],tbl_Historique_Final[ppn_z],tbl_Historique_Final[date_modif])=Final_Sans_VGE[[#This Row],[date_modif]],
      "Ancien",
      "Modifié"),
   "Nouveau"))</f>
        <v>#VALUE!</v>
      </c>
      <c r="AD3261" s="1" t="str">
        <f>IFERROR(IF(Final_Sans_VGE[[#This Row],[ppn_z]]="","",IFERROR(
   IF(_xlfn.XLOOKUP(Final_Sans_VGE[[#This Row],[ppn_z]],tbl_Historique_Final[[#This Row],[ppn_z]],tbl_Historique_Final[[#This Row],[date_modif]])=Final_Sans_VGE[[#This Row],[date_modif]],
      "Ancien",
      "Modifié"),
   "Nouveau")),"")</f>
        <v/>
      </c>
    </row>
    <row r="3262" spans="24:30" x14ac:dyDescent="0.25">
      <c r="X3262" s="8" t="e">
        <f>IF(Final_Sans_VGE[[#This Row],[ppn_z]]="","",IFERROR(
   IF(_xlfn.XLOOKUP(Final_Sans_VGE[[#This Row],[ppn_z]],tbl_Historique_Final[ppn_z],tbl_Historique_Final[date_modif])=Final_Sans_VGE[[#This Row],[date_modif]],
      "Ancien",
      "Modifié"),
   "Nouveau"))</f>
        <v>#VALUE!</v>
      </c>
      <c r="AD3262" s="1" t="str">
        <f>IFERROR(IF(Final_Sans_VGE[[#This Row],[ppn_z]]="","",IFERROR(
   IF(_xlfn.XLOOKUP(Final_Sans_VGE[[#This Row],[ppn_z]],tbl_Historique_Final[[#This Row],[ppn_z]],tbl_Historique_Final[[#This Row],[date_modif]])=Final_Sans_VGE[[#This Row],[date_modif]],
      "Ancien",
      "Modifié"),
   "Nouveau")),"")</f>
        <v/>
      </c>
    </row>
    <row r="3263" spans="24:30" x14ac:dyDescent="0.25">
      <c r="X3263" s="8" t="e">
        <f>IF(Final_Sans_VGE[[#This Row],[ppn_z]]="","",IFERROR(
   IF(_xlfn.XLOOKUP(Final_Sans_VGE[[#This Row],[ppn_z]],tbl_Historique_Final[ppn_z],tbl_Historique_Final[date_modif])=Final_Sans_VGE[[#This Row],[date_modif]],
      "Ancien",
      "Modifié"),
   "Nouveau"))</f>
        <v>#VALUE!</v>
      </c>
      <c r="AD3263" s="1" t="str">
        <f>IFERROR(IF(Final_Sans_VGE[[#This Row],[ppn_z]]="","",IFERROR(
   IF(_xlfn.XLOOKUP(Final_Sans_VGE[[#This Row],[ppn_z]],tbl_Historique_Final[[#This Row],[ppn_z]],tbl_Historique_Final[[#This Row],[date_modif]])=Final_Sans_VGE[[#This Row],[date_modif]],
      "Ancien",
      "Modifié"),
   "Nouveau")),"")</f>
        <v/>
      </c>
    </row>
    <row r="3264" spans="24:30" x14ac:dyDescent="0.25">
      <c r="X3264" s="8" t="e">
        <f>IF(Final_Sans_VGE[[#This Row],[ppn_z]]="","",IFERROR(
   IF(_xlfn.XLOOKUP(Final_Sans_VGE[[#This Row],[ppn_z]],tbl_Historique_Final[ppn_z],tbl_Historique_Final[date_modif])=Final_Sans_VGE[[#This Row],[date_modif]],
      "Ancien",
      "Modifié"),
   "Nouveau"))</f>
        <v>#VALUE!</v>
      </c>
      <c r="AD3264" s="1" t="str">
        <f>IFERROR(IF(Final_Sans_VGE[[#This Row],[ppn_z]]="","",IFERROR(
   IF(_xlfn.XLOOKUP(Final_Sans_VGE[[#This Row],[ppn_z]],tbl_Historique_Final[[#This Row],[ppn_z]],tbl_Historique_Final[[#This Row],[date_modif]])=Final_Sans_VGE[[#This Row],[date_modif]],
      "Ancien",
      "Modifié"),
   "Nouveau")),"")</f>
        <v/>
      </c>
    </row>
    <row r="3265" spans="24:30" x14ac:dyDescent="0.25">
      <c r="X3265" s="8" t="e">
        <f>IF(Final_Sans_VGE[[#This Row],[ppn_z]]="","",IFERROR(
   IF(_xlfn.XLOOKUP(Final_Sans_VGE[[#This Row],[ppn_z]],tbl_Historique_Final[ppn_z],tbl_Historique_Final[date_modif])=Final_Sans_VGE[[#This Row],[date_modif]],
      "Ancien",
      "Modifié"),
   "Nouveau"))</f>
        <v>#VALUE!</v>
      </c>
      <c r="AD3265" s="1" t="str">
        <f>IFERROR(IF(Final_Sans_VGE[[#This Row],[ppn_z]]="","",IFERROR(
   IF(_xlfn.XLOOKUP(Final_Sans_VGE[[#This Row],[ppn_z]],tbl_Historique_Final[[#This Row],[ppn_z]],tbl_Historique_Final[[#This Row],[date_modif]])=Final_Sans_VGE[[#This Row],[date_modif]],
      "Ancien",
      "Modifié"),
   "Nouveau")),"")</f>
        <v/>
      </c>
    </row>
    <row r="3266" spans="24:30" x14ac:dyDescent="0.25">
      <c r="X3266" s="8" t="e">
        <f>IF(Final_Sans_VGE[[#This Row],[ppn_z]]="","",IFERROR(
   IF(_xlfn.XLOOKUP(Final_Sans_VGE[[#This Row],[ppn_z]],tbl_Historique_Final[ppn_z],tbl_Historique_Final[date_modif])=Final_Sans_VGE[[#This Row],[date_modif]],
      "Ancien",
      "Modifié"),
   "Nouveau"))</f>
        <v>#VALUE!</v>
      </c>
      <c r="AD3266" s="1" t="str">
        <f>IFERROR(IF(Final_Sans_VGE[[#This Row],[ppn_z]]="","",IFERROR(
   IF(_xlfn.XLOOKUP(Final_Sans_VGE[[#This Row],[ppn_z]],tbl_Historique_Final[[#This Row],[ppn_z]],tbl_Historique_Final[[#This Row],[date_modif]])=Final_Sans_VGE[[#This Row],[date_modif]],
      "Ancien",
      "Modifié"),
   "Nouveau")),"")</f>
        <v/>
      </c>
    </row>
    <row r="3267" spans="24:30" x14ac:dyDescent="0.25">
      <c r="X3267" s="8" t="e">
        <f>IF(Final_Sans_VGE[[#This Row],[ppn_z]]="","",IFERROR(
   IF(_xlfn.XLOOKUP(Final_Sans_VGE[[#This Row],[ppn_z]],tbl_Historique_Final[ppn_z],tbl_Historique_Final[date_modif])=Final_Sans_VGE[[#This Row],[date_modif]],
      "Ancien",
      "Modifié"),
   "Nouveau"))</f>
        <v>#VALUE!</v>
      </c>
      <c r="AD3267" s="1" t="str">
        <f>IFERROR(IF(Final_Sans_VGE[[#This Row],[ppn_z]]="","",IFERROR(
   IF(_xlfn.XLOOKUP(Final_Sans_VGE[[#This Row],[ppn_z]],tbl_Historique_Final[[#This Row],[ppn_z]],tbl_Historique_Final[[#This Row],[date_modif]])=Final_Sans_VGE[[#This Row],[date_modif]],
      "Ancien",
      "Modifié"),
   "Nouveau")),"")</f>
        <v/>
      </c>
    </row>
    <row r="3268" spans="24:30" x14ac:dyDescent="0.25">
      <c r="X3268" s="8" t="e">
        <f>IF(Final_Sans_VGE[[#This Row],[ppn_z]]="","",IFERROR(
   IF(_xlfn.XLOOKUP(Final_Sans_VGE[[#This Row],[ppn_z]],tbl_Historique_Final[ppn_z],tbl_Historique_Final[date_modif])=Final_Sans_VGE[[#This Row],[date_modif]],
      "Ancien",
      "Modifié"),
   "Nouveau"))</f>
        <v>#VALUE!</v>
      </c>
      <c r="AD3268" s="1" t="str">
        <f>IFERROR(IF(Final_Sans_VGE[[#This Row],[ppn_z]]="","",IFERROR(
   IF(_xlfn.XLOOKUP(Final_Sans_VGE[[#This Row],[ppn_z]],tbl_Historique_Final[[#This Row],[ppn_z]],tbl_Historique_Final[[#This Row],[date_modif]])=Final_Sans_VGE[[#This Row],[date_modif]],
      "Ancien",
      "Modifié"),
   "Nouveau")),"")</f>
        <v/>
      </c>
    </row>
    <row r="3269" spans="24:30" x14ac:dyDescent="0.25">
      <c r="X3269" s="8" t="e">
        <f>IF(Final_Sans_VGE[[#This Row],[ppn_z]]="","",IFERROR(
   IF(_xlfn.XLOOKUP(Final_Sans_VGE[[#This Row],[ppn_z]],tbl_Historique_Final[ppn_z],tbl_Historique_Final[date_modif])=Final_Sans_VGE[[#This Row],[date_modif]],
      "Ancien",
      "Modifié"),
   "Nouveau"))</f>
        <v>#VALUE!</v>
      </c>
      <c r="AD3269" s="1" t="str">
        <f>IFERROR(IF(Final_Sans_VGE[[#This Row],[ppn_z]]="","",IFERROR(
   IF(_xlfn.XLOOKUP(Final_Sans_VGE[[#This Row],[ppn_z]],tbl_Historique_Final[[#This Row],[ppn_z]],tbl_Historique_Final[[#This Row],[date_modif]])=Final_Sans_VGE[[#This Row],[date_modif]],
      "Ancien",
      "Modifié"),
   "Nouveau")),"")</f>
        <v/>
      </c>
    </row>
    <row r="3270" spans="24:30" x14ac:dyDescent="0.25">
      <c r="X3270" s="8" t="e">
        <f>IF(Final_Sans_VGE[[#This Row],[ppn_z]]="","",IFERROR(
   IF(_xlfn.XLOOKUP(Final_Sans_VGE[[#This Row],[ppn_z]],tbl_Historique_Final[ppn_z],tbl_Historique_Final[date_modif])=Final_Sans_VGE[[#This Row],[date_modif]],
      "Ancien",
      "Modifié"),
   "Nouveau"))</f>
        <v>#VALUE!</v>
      </c>
      <c r="AD3270" s="1" t="str">
        <f>IFERROR(IF(Final_Sans_VGE[[#This Row],[ppn_z]]="","",IFERROR(
   IF(_xlfn.XLOOKUP(Final_Sans_VGE[[#This Row],[ppn_z]],tbl_Historique_Final[[#This Row],[ppn_z]],tbl_Historique_Final[[#This Row],[date_modif]])=Final_Sans_VGE[[#This Row],[date_modif]],
      "Ancien",
      "Modifié"),
   "Nouveau")),"")</f>
        <v/>
      </c>
    </row>
    <row r="3271" spans="24:30" x14ac:dyDescent="0.25">
      <c r="X3271" s="8" t="e">
        <f>IF(Final_Sans_VGE[[#This Row],[ppn_z]]="","",IFERROR(
   IF(_xlfn.XLOOKUP(Final_Sans_VGE[[#This Row],[ppn_z]],tbl_Historique_Final[ppn_z],tbl_Historique_Final[date_modif])=Final_Sans_VGE[[#This Row],[date_modif]],
      "Ancien",
      "Modifié"),
   "Nouveau"))</f>
        <v>#VALUE!</v>
      </c>
      <c r="AD3271" s="1" t="str">
        <f>IFERROR(IF(Final_Sans_VGE[[#This Row],[ppn_z]]="","",IFERROR(
   IF(_xlfn.XLOOKUP(Final_Sans_VGE[[#This Row],[ppn_z]],tbl_Historique_Final[[#This Row],[ppn_z]],tbl_Historique_Final[[#This Row],[date_modif]])=Final_Sans_VGE[[#This Row],[date_modif]],
      "Ancien",
      "Modifié"),
   "Nouveau")),"")</f>
        <v/>
      </c>
    </row>
    <row r="3272" spans="24:30" x14ac:dyDescent="0.25">
      <c r="X3272" s="8" t="e">
        <f>IF(Final_Sans_VGE[[#This Row],[ppn_z]]="","",IFERROR(
   IF(_xlfn.XLOOKUP(Final_Sans_VGE[[#This Row],[ppn_z]],tbl_Historique_Final[ppn_z],tbl_Historique_Final[date_modif])=Final_Sans_VGE[[#This Row],[date_modif]],
      "Ancien",
      "Modifié"),
   "Nouveau"))</f>
        <v>#VALUE!</v>
      </c>
      <c r="AD3272" s="1" t="str">
        <f>IFERROR(IF(Final_Sans_VGE[[#This Row],[ppn_z]]="","",IFERROR(
   IF(_xlfn.XLOOKUP(Final_Sans_VGE[[#This Row],[ppn_z]],tbl_Historique_Final[[#This Row],[ppn_z]],tbl_Historique_Final[[#This Row],[date_modif]])=Final_Sans_VGE[[#This Row],[date_modif]],
      "Ancien",
      "Modifié"),
   "Nouveau")),"")</f>
        <v/>
      </c>
    </row>
    <row r="3273" spans="24:30" x14ac:dyDescent="0.25">
      <c r="X3273" s="8" t="e">
        <f>IF(Final_Sans_VGE[[#This Row],[ppn_z]]="","",IFERROR(
   IF(_xlfn.XLOOKUP(Final_Sans_VGE[[#This Row],[ppn_z]],tbl_Historique_Final[ppn_z],tbl_Historique_Final[date_modif])=Final_Sans_VGE[[#This Row],[date_modif]],
      "Ancien",
      "Modifié"),
   "Nouveau"))</f>
        <v>#VALUE!</v>
      </c>
      <c r="AD3273" s="1" t="str">
        <f>IFERROR(IF(Final_Sans_VGE[[#This Row],[ppn_z]]="","",IFERROR(
   IF(_xlfn.XLOOKUP(Final_Sans_VGE[[#This Row],[ppn_z]],tbl_Historique_Final[[#This Row],[ppn_z]],tbl_Historique_Final[[#This Row],[date_modif]])=Final_Sans_VGE[[#This Row],[date_modif]],
      "Ancien",
      "Modifié"),
   "Nouveau")),"")</f>
        <v/>
      </c>
    </row>
    <row r="3274" spans="24:30" x14ac:dyDescent="0.25">
      <c r="X3274" s="8" t="e">
        <f>IF(Final_Sans_VGE[[#This Row],[ppn_z]]="","",IFERROR(
   IF(_xlfn.XLOOKUP(Final_Sans_VGE[[#This Row],[ppn_z]],tbl_Historique_Final[ppn_z],tbl_Historique_Final[date_modif])=Final_Sans_VGE[[#This Row],[date_modif]],
      "Ancien",
      "Modifié"),
   "Nouveau"))</f>
        <v>#VALUE!</v>
      </c>
      <c r="AD3274" s="1" t="str">
        <f>IFERROR(IF(Final_Sans_VGE[[#This Row],[ppn_z]]="","",IFERROR(
   IF(_xlfn.XLOOKUP(Final_Sans_VGE[[#This Row],[ppn_z]],tbl_Historique_Final[[#This Row],[ppn_z]],tbl_Historique_Final[[#This Row],[date_modif]])=Final_Sans_VGE[[#This Row],[date_modif]],
      "Ancien",
      "Modifié"),
   "Nouveau")),"")</f>
        <v/>
      </c>
    </row>
    <row r="3275" spans="24:30" x14ac:dyDescent="0.25">
      <c r="X3275" s="8" t="e">
        <f>IF(Final_Sans_VGE[[#This Row],[ppn_z]]="","",IFERROR(
   IF(_xlfn.XLOOKUP(Final_Sans_VGE[[#This Row],[ppn_z]],tbl_Historique_Final[ppn_z],tbl_Historique_Final[date_modif])=Final_Sans_VGE[[#This Row],[date_modif]],
      "Ancien",
      "Modifié"),
   "Nouveau"))</f>
        <v>#VALUE!</v>
      </c>
      <c r="AD3275" s="1" t="str">
        <f>IFERROR(IF(Final_Sans_VGE[[#This Row],[ppn_z]]="","",IFERROR(
   IF(_xlfn.XLOOKUP(Final_Sans_VGE[[#This Row],[ppn_z]],tbl_Historique_Final[[#This Row],[ppn_z]],tbl_Historique_Final[[#This Row],[date_modif]])=Final_Sans_VGE[[#This Row],[date_modif]],
      "Ancien",
      "Modifié"),
   "Nouveau")),"")</f>
        <v/>
      </c>
    </row>
    <row r="3276" spans="24:30" x14ac:dyDescent="0.25">
      <c r="X3276" s="8" t="e">
        <f>IF(Final_Sans_VGE[[#This Row],[ppn_z]]="","",IFERROR(
   IF(_xlfn.XLOOKUP(Final_Sans_VGE[[#This Row],[ppn_z]],tbl_Historique_Final[ppn_z],tbl_Historique_Final[date_modif])=Final_Sans_VGE[[#This Row],[date_modif]],
      "Ancien",
      "Modifié"),
   "Nouveau"))</f>
        <v>#VALUE!</v>
      </c>
      <c r="AD3276" s="1" t="str">
        <f>IFERROR(IF(Final_Sans_VGE[[#This Row],[ppn_z]]="","",IFERROR(
   IF(_xlfn.XLOOKUP(Final_Sans_VGE[[#This Row],[ppn_z]],tbl_Historique_Final[[#This Row],[ppn_z]],tbl_Historique_Final[[#This Row],[date_modif]])=Final_Sans_VGE[[#This Row],[date_modif]],
      "Ancien",
      "Modifié"),
   "Nouveau")),"")</f>
        <v/>
      </c>
    </row>
    <row r="3277" spans="24:30" x14ac:dyDescent="0.25">
      <c r="X3277" s="8" t="e">
        <f>IF(Final_Sans_VGE[[#This Row],[ppn_z]]="","",IFERROR(
   IF(_xlfn.XLOOKUP(Final_Sans_VGE[[#This Row],[ppn_z]],tbl_Historique_Final[ppn_z],tbl_Historique_Final[date_modif])=Final_Sans_VGE[[#This Row],[date_modif]],
      "Ancien",
      "Modifié"),
   "Nouveau"))</f>
        <v>#VALUE!</v>
      </c>
      <c r="AD3277" s="1" t="str">
        <f>IFERROR(IF(Final_Sans_VGE[[#This Row],[ppn_z]]="","",IFERROR(
   IF(_xlfn.XLOOKUP(Final_Sans_VGE[[#This Row],[ppn_z]],tbl_Historique_Final[[#This Row],[ppn_z]],tbl_Historique_Final[[#This Row],[date_modif]])=Final_Sans_VGE[[#This Row],[date_modif]],
      "Ancien",
      "Modifié"),
   "Nouveau")),"")</f>
        <v/>
      </c>
    </row>
    <row r="3278" spans="24:30" x14ac:dyDescent="0.25">
      <c r="X3278" s="8" t="e">
        <f>IF(Final_Sans_VGE[[#This Row],[ppn_z]]="","",IFERROR(
   IF(_xlfn.XLOOKUP(Final_Sans_VGE[[#This Row],[ppn_z]],tbl_Historique_Final[ppn_z],tbl_Historique_Final[date_modif])=Final_Sans_VGE[[#This Row],[date_modif]],
      "Ancien",
      "Modifié"),
   "Nouveau"))</f>
        <v>#VALUE!</v>
      </c>
      <c r="AD3278" s="1" t="str">
        <f>IFERROR(IF(Final_Sans_VGE[[#This Row],[ppn_z]]="","",IFERROR(
   IF(_xlfn.XLOOKUP(Final_Sans_VGE[[#This Row],[ppn_z]],tbl_Historique_Final[[#This Row],[ppn_z]],tbl_Historique_Final[[#This Row],[date_modif]])=Final_Sans_VGE[[#This Row],[date_modif]],
      "Ancien",
      "Modifié"),
   "Nouveau")),"")</f>
        <v/>
      </c>
    </row>
    <row r="3279" spans="24:30" x14ac:dyDescent="0.25">
      <c r="X3279" s="8" t="e">
        <f>IF(Final_Sans_VGE[[#This Row],[ppn_z]]="","",IFERROR(
   IF(_xlfn.XLOOKUP(Final_Sans_VGE[[#This Row],[ppn_z]],tbl_Historique_Final[ppn_z],tbl_Historique_Final[date_modif])=Final_Sans_VGE[[#This Row],[date_modif]],
      "Ancien",
      "Modifié"),
   "Nouveau"))</f>
        <v>#VALUE!</v>
      </c>
      <c r="AD3279" s="1" t="str">
        <f>IFERROR(IF(Final_Sans_VGE[[#This Row],[ppn_z]]="","",IFERROR(
   IF(_xlfn.XLOOKUP(Final_Sans_VGE[[#This Row],[ppn_z]],tbl_Historique_Final[[#This Row],[ppn_z]],tbl_Historique_Final[[#This Row],[date_modif]])=Final_Sans_VGE[[#This Row],[date_modif]],
      "Ancien",
      "Modifié"),
   "Nouveau")),"")</f>
        <v/>
      </c>
    </row>
    <row r="3280" spans="24:30" x14ac:dyDescent="0.25">
      <c r="X3280" s="8" t="e">
        <f>IF(Final_Sans_VGE[[#This Row],[ppn_z]]="","",IFERROR(
   IF(_xlfn.XLOOKUP(Final_Sans_VGE[[#This Row],[ppn_z]],tbl_Historique_Final[ppn_z],tbl_Historique_Final[date_modif])=Final_Sans_VGE[[#This Row],[date_modif]],
      "Ancien",
      "Modifié"),
   "Nouveau"))</f>
        <v>#VALUE!</v>
      </c>
      <c r="AD3280" s="1" t="str">
        <f>IFERROR(IF(Final_Sans_VGE[[#This Row],[ppn_z]]="","",IFERROR(
   IF(_xlfn.XLOOKUP(Final_Sans_VGE[[#This Row],[ppn_z]],tbl_Historique_Final[[#This Row],[ppn_z]],tbl_Historique_Final[[#This Row],[date_modif]])=Final_Sans_VGE[[#This Row],[date_modif]],
      "Ancien",
      "Modifié"),
   "Nouveau")),"")</f>
        <v/>
      </c>
    </row>
    <row r="3281" spans="24:30" x14ac:dyDescent="0.25">
      <c r="X3281" s="8" t="e">
        <f>IF(Final_Sans_VGE[[#This Row],[ppn_z]]="","",IFERROR(
   IF(_xlfn.XLOOKUP(Final_Sans_VGE[[#This Row],[ppn_z]],tbl_Historique_Final[ppn_z],tbl_Historique_Final[date_modif])=Final_Sans_VGE[[#This Row],[date_modif]],
      "Ancien",
      "Modifié"),
   "Nouveau"))</f>
        <v>#VALUE!</v>
      </c>
      <c r="AD3281" s="1" t="str">
        <f>IFERROR(IF(Final_Sans_VGE[[#This Row],[ppn_z]]="","",IFERROR(
   IF(_xlfn.XLOOKUP(Final_Sans_VGE[[#This Row],[ppn_z]],tbl_Historique_Final[[#This Row],[ppn_z]],tbl_Historique_Final[[#This Row],[date_modif]])=Final_Sans_VGE[[#This Row],[date_modif]],
      "Ancien",
      "Modifié"),
   "Nouveau")),"")</f>
        <v/>
      </c>
    </row>
    <row r="3282" spans="24:30" x14ac:dyDescent="0.25">
      <c r="X3282" s="8" t="e">
        <f>IF(Final_Sans_VGE[[#This Row],[ppn_z]]="","",IFERROR(
   IF(_xlfn.XLOOKUP(Final_Sans_VGE[[#This Row],[ppn_z]],tbl_Historique_Final[ppn_z],tbl_Historique_Final[date_modif])=Final_Sans_VGE[[#This Row],[date_modif]],
      "Ancien",
      "Modifié"),
   "Nouveau"))</f>
        <v>#VALUE!</v>
      </c>
      <c r="AD3282" s="1" t="str">
        <f>IFERROR(IF(Final_Sans_VGE[[#This Row],[ppn_z]]="","",IFERROR(
   IF(_xlfn.XLOOKUP(Final_Sans_VGE[[#This Row],[ppn_z]],tbl_Historique_Final[[#This Row],[ppn_z]],tbl_Historique_Final[[#This Row],[date_modif]])=Final_Sans_VGE[[#This Row],[date_modif]],
      "Ancien",
      "Modifié"),
   "Nouveau")),"")</f>
        <v/>
      </c>
    </row>
    <row r="3283" spans="24:30" x14ac:dyDescent="0.25">
      <c r="X3283" s="8" t="e">
        <f>IF(Final_Sans_VGE[[#This Row],[ppn_z]]="","",IFERROR(
   IF(_xlfn.XLOOKUP(Final_Sans_VGE[[#This Row],[ppn_z]],tbl_Historique_Final[ppn_z],tbl_Historique_Final[date_modif])=Final_Sans_VGE[[#This Row],[date_modif]],
      "Ancien",
      "Modifié"),
   "Nouveau"))</f>
        <v>#VALUE!</v>
      </c>
      <c r="AD3283" s="1" t="str">
        <f>IFERROR(IF(Final_Sans_VGE[[#This Row],[ppn_z]]="","",IFERROR(
   IF(_xlfn.XLOOKUP(Final_Sans_VGE[[#This Row],[ppn_z]],tbl_Historique_Final[[#This Row],[ppn_z]],tbl_Historique_Final[[#This Row],[date_modif]])=Final_Sans_VGE[[#This Row],[date_modif]],
      "Ancien",
      "Modifié"),
   "Nouveau")),"")</f>
        <v/>
      </c>
    </row>
    <row r="3284" spans="24:30" x14ac:dyDescent="0.25">
      <c r="X3284" s="8" t="e">
        <f>IF(Final_Sans_VGE[[#This Row],[ppn_z]]="","",IFERROR(
   IF(_xlfn.XLOOKUP(Final_Sans_VGE[[#This Row],[ppn_z]],tbl_Historique_Final[ppn_z],tbl_Historique_Final[date_modif])=Final_Sans_VGE[[#This Row],[date_modif]],
      "Ancien",
      "Modifié"),
   "Nouveau"))</f>
        <v>#VALUE!</v>
      </c>
      <c r="AD3284" s="1" t="str">
        <f>IFERROR(IF(Final_Sans_VGE[[#This Row],[ppn_z]]="","",IFERROR(
   IF(_xlfn.XLOOKUP(Final_Sans_VGE[[#This Row],[ppn_z]],tbl_Historique_Final[[#This Row],[ppn_z]],tbl_Historique_Final[[#This Row],[date_modif]])=Final_Sans_VGE[[#This Row],[date_modif]],
      "Ancien",
      "Modifié"),
   "Nouveau")),"")</f>
        <v/>
      </c>
    </row>
    <row r="3285" spans="24:30" x14ac:dyDescent="0.25">
      <c r="X3285" s="8" t="e">
        <f>IF(Final_Sans_VGE[[#This Row],[ppn_z]]="","",IFERROR(
   IF(_xlfn.XLOOKUP(Final_Sans_VGE[[#This Row],[ppn_z]],tbl_Historique_Final[ppn_z],tbl_Historique_Final[date_modif])=Final_Sans_VGE[[#This Row],[date_modif]],
      "Ancien",
      "Modifié"),
   "Nouveau"))</f>
        <v>#VALUE!</v>
      </c>
      <c r="AD3285" s="1" t="str">
        <f>IFERROR(IF(Final_Sans_VGE[[#This Row],[ppn_z]]="","",IFERROR(
   IF(_xlfn.XLOOKUP(Final_Sans_VGE[[#This Row],[ppn_z]],tbl_Historique_Final[[#This Row],[ppn_z]],tbl_Historique_Final[[#This Row],[date_modif]])=Final_Sans_VGE[[#This Row],[date_modif]],
      "Ancien",
      "Modifié"),
   "Nouveau")),"")</f>
        <v/>
      </c>
    </row>
    <row r="3286" spans="24:30" x14ac:dyDescent="0.25">
      <c r="X3286" s="8" t="e">
        <f>IF(Final_Sans_VGE[[#This Row],[ppn_z]]="","",IFERROR(
   IF(_xlfn.XLOOKUP(Final_Sans_VGE[[#This Row],[ppn_z]],tbl_Historique_Final[ppn_z],tbl_Historique_Final[date_modif])=Final_Sans_VGE[[#This Row],[date_modif]],
      "Ancien",
      "Modifié"),
   "Nouveau"))</f>
        <v>#VALUE!</v>
      </c>
      <c r="AD3286" s="1" t="str">
        <f>IFERROR(IF(Final_Sans_VGE[[#This Row],[ppn_z]]="","",IFERROR(
   IF(_xlfn.XLOOKUP(Final_Sans_VGE[[#This Row],[ppn_z]],tbl_Historique_Final[[#This Row],[ppn_z]],tbl_Historique_Final[[#This Row],[date_modif]])=Final_Sans_VGE[[#This Row],[date_modif]],
      "Ancien",
      "Modifié"),
   "Nouveau")),"")</f>
        <v/>
      </c>
    </row>
    <row r="3287" spans="24:30" x14ac:dyDescent="0.25">
      <c r="X3287" s="8" t="e">
        <f>IF(Final_Sans_VGE[[#This Row],[ppn_z]]="","",IFERROR(
   IF(_xlfn.XLOOKUP(Final_Sans_VGE[[#This Row],[ppn_z]],tbl_Historique_Final[ppn_z],tbl_Historique_Final[date_modif])=Final_Sans_VGE[[#This Row],[date_modif]],
      "Ancien",
      "Modifié"),
   "Nouveau"))</f>
        <v>#VALUE!</v>
      </c>
      <c r="AD3287" s="1" t="str">
        <f>IFERROR(IF(Final_Sans_VGE[[#This Row],[ppn_z]]="","",IFERROR(
   IF(_xlfn.XLOOKUP(Final_Sans_VGE[[#This Row],[ppn_z]],tbl_Historique_Final[[#This Row],[ppn_z]],tbl_Historique_Final[[#This Row],[date_modif]])=Final_Sans_VGE[[#This Row],[date_modif]],
      "Ancien",
      "Modifié"),
   "Nouveau")),"")</f>
        <v/>
      </c>
    </row>
    <row r="3288" spans="24:30" x14ac:dyDescent="0.25">
      <c r="X3288" s="8" t="e">
        <f>IF(Final_Sans_VGE[[#This Row],[ppn_z]]="","",IFERROR(
   IF(_xlfn.XLOOKUP(Final_Sans_VGE[[#This Row],[ppn_z]],tbl_Historique_Final[ppn_z],tbl_Historique_Final[date_modif])=Final_Sans_VGE[[#This Row],[date_modif]],
      "Ancien",
      "Modifié"),
   "Nouveau"))</f>
        <v>#VALUE!</v>
      </c>
      <c r="AD3288" s="1" t="str">
        <f>IFERROR(IF(Final_Sans_VGE[[#This Row],[ppn_z]]="","",IFERROR(
   IF(_xlfn.XLOOKUP(Final_Sans_VGE[[#This Row],[ppn_z]],tbl_Historique_Final[[#This Row],[ppn_z]],tbl_Historique_Final[[#This Row],[date_modif]])=Final_Sans_VGE[[#This Row],[date_modif]],
      "Ancien",
      "Modifié"),
   "Nouveau")),"")</f>
        <v/>
      </c>
    </row>
    <row r="3289" spans="24:30" x14ac:dyDescent="0.25">
      <c r="X3289" s="8" t="e">
        <f>IF(Final_Sans_VGE[[#This Row],[ppn_z]]="","",IFERROR(
   IF(_xlfn.XLOOKUP(Final_Sans_VGE[[#This Row],[ppn_z]],tbl_Historique_Final[ppn_z],tbl_Historique_Final[date_modif])=Final_Sans_VGE[[#This Row],[date_modif]],
      "Ancien",
      "Modifié"),
   "Nouveau"))</f>
        <v>#VALUE!</v>
      </c>
      <c r="AD3289" s="1" t="str">
        <f>IFERROR(IF(Final_Sans_VGE[[#This Row],[ppn_z]]="","",IFERROR(
   IF(_xlfn.XLOOKUP(Final_Sans_VGE[[#This Row],[ppn_z]],tbl_Historique_Final[[#This Row],[ppn_z]],tbl_Historique_Final[[#This Row],[date_modif]])=Final_Sans_VGE[[#This Row],[date_modif]],
      "Ancien",
      "Modifié"),
   "Nouveau")),"")</f>
        <v/>
      </c>
    </row>
    <row r="3290" spans="24:30" x14ac:dyDescent="0.25">
      <c r="X3290" s="8" t="e">
        <f>IF(Final_Sans_VGE[[#This Row],[ppn_z]]="","",IFERROR(
   IF(_xlfn.XLOOKUP(Final_Sans_VGE[[#This Row],[ppn_z]],tbl_Historique_Final[ppn_z],tbl_Historique_Final[date_modif])=Final_Sans_VGE[[#This Row],[date_modif]],
      "Ancien",
      "Modifié"),
   "Nouveau"))</f>
        <v>#VALUE!</v>
      </c>
      <c r="AD3290" s="1" t="str">
        <f>IFERROR(IF(Final_Sans_VGE[[#This Row],[ppn_z]]="","",IFERROR(
   IF(_xlfn.XLOOKUP(Final_Sans_VGE[[#This Row],[ppn_z]],tbl_Historique_Final[[#This Row],[ppn_z]],tbl_Historique_Final[[#This Row],[date_modif]])=Final_Sans_VGE[[#This Row],[date_modif]],
      "Ancien",
      "Modifié"),
   "Nouveau")),"")</f>
        <v/>
      </c>
    </row>
    <row r="3291" spans="24:30" x14ac:dyDescent="0.25">
      <c r="X3291" s="8" t="e">
        <f>IF(Final_Sans_VGE[[#This Row],[ppn_z]]="","",IFERROR(
   IF(_xlfn.XLOOKUP(Final_Sans_VGE[[#This Row],[ppn_z]],tbl_Historique_Final[ppn_z],tbl_Historique_Final[date_modif])=Final_Sans_VGE[[#This Row],[date_modif]],
      "Ancien",
      "Modifié"),
   "Nouveau"))</f>
        <v>#VALUE!</v>
      </c>
      <c r="AD3291" s="1" t="str">
        <f>IFERROR(IF(Final_Sans_VGE[[#This Row],[ppn_z]]="","",IFERROR(
   IF(_xlfn.XLOOKUP(Final_Sans_VGE[[#This Row],[ppn_z]],tbl_Historique_Final[[#This Row],[ppn_z]],tbl_Historique_Final[[#This Row],[date_modif]])=Final_Sans_VGE[[#This Row],[date_modif]],
      "Ancien",
      "Modifié"),
   "Nouveau")),"")</f>
        <v/>
      </c>
    </row>
    <row r="3292" spans="24:30" x14ac:dyDescent="0.25">
      <c r="X3292" s="8" t="e">
        <f>IF(Final_Sans_VGE[[#This Row],[ppn_z]]="","",IFERROR(
   IF(_xlfn.XLOOKUP(Final_Sans_VGE[[#This Row],[ppn_z]],tbl_Historique_Final[ppn_z],tbl_Historique_Final[date_modif])=Final_Sans_VGE[[#This Row],[date_modif]],
      "Ancien",
      "Modifié"),
   "Nouveau"))</f>
        <v>#VALUE!</v>
      </c>
      <c r="AD3292" s="1" t="str">
        <f>IFERROR(IF(Final_Sans_VGE[[#This Row],[ppn_z]]="","",IFERROR(
   IF(_xlfn.XLOOKUP(Final_Sans_VGE[[#This Row],[ppn_z]],tbl_Historique_Final[[#This Row],[ppn_z]],tbl_Historique_Final[[#This Row],[date_modif]])=Final_Sans_VGE[[#This Row],[date_modif]],
      "Ancien",
      "Modifié"),
   "Nouveau")),"")</f>
        <v/>
      </c>
    </row>
    <row r="3293" spans="24:30" x14ac:dyDescent="0.25">
      <c r="X3293" s="8" t="e">
        <f>IF(Final_Sans_VGE[[#This Row],[ppn_z]]="","",IFERROR(
   IF(_xlfn.XLOOKUP(Final_Sans_VGE[[#This Row],[ppn_z]],tbl_Historique_Final[ppn_z],tbl_Historique_Final[date_modif])=Final_Sans_VGE[[#This Row],[date_modif]],
      "Ancien",
      "Modifié"),
   "Nouveau"))</f>
        <v>#VALUE!</v>
      </c>
      <c r="AD3293" s="1" t="str">
        <f>IFERROR(IF(Final_Sans_VGE[[#This Row],[ppn_z]]="","",IFERROR(
   IF(_xlfn.XLOOKUP(Final_Sans_VGE[[#This Row],[ppn_z]],tbl_Historique_Final[[#This Row],[ppn_z]],tbl_Historique_Final[[#This Row],[date_modif]])=Final_Sans_VGE[[#This Row],[date_modif]],
      "Ancien",
      "Modifié"),
   "Nouveau")),"")</f>
        <v/>
      </c>
    </row>
    <row r="3294" spans="24:30" x14ac:dyDescent="0.25">
      <c r="X3294" s="8" t="e">
        <f>IF(Final_Sans_VGE[[#This Row],[ppn_z]]="","",IFERROR(
   IF(_xlfn.XLOOKUP(Final_Sans_VGE[[#This Row],[ppn_z]],tbl_Historique_Final[ppn_z],tbl_Historique_Final[date_modif])=Final_Sans_VGE[[#This Row],[date_modif]],
      "Ancien",
      "Modifié"),
   "Nouveau"))</f>
        <v>#VALUE!</v>
      </c>
      <c r="AD3294" s="1" t="str">
        <f>IFERROR(IF(Final_Sans_VGE[[#This Row],[ppn_z]]="","",IFERROR(
   IF(_xlfn.XLOOKUP(Final_Sans_VGE[[#This Row],[ppn_z]],tbl_Historique_Final[[#This Row],[ppn_z]],tbl_Historique_Final[[#This Row],[date_modif]])=Final_Sans_VGE[[#This Row],[date_modif]],
      "Ancien",
      "Modifié"),
   "Nouveau")),"")</f>
        <v/>
      </c>
    </row>
    <row r="3295" spans="24:30" x14ac:dyDescent="0.25">
      <c r="X3295" s="8" t="e">
        <f>IF(Final_Sans_VGE[[#This Row],[ppn_z]]="","",IFERROR(
   IF(_xlfn.XLOOKUP(Final_Sans_VGE[[#This Row],[ppn_z]],tbl_Historique_Final[ppn_z],tbl_Historique_Final[date_modif])=Final_Sans_VGE[[#This Row],[date_modif]],
      "Ancien",
      "Modifié"),
   "Nouveau"))</f>
        <v>#VALUE!</v>
      </c>
      <c r="AD3295" s="1" t="str">
        <f>IFERROR(IF(Final_Sans_VGE[[#This Row],[ppn_z]]="","",IFERROR(
   IF(_xlfn.XLOOKUP(Final_Sans_VGE[[#This Row],[ppn_z]],tbl_Historique_Final[[#This Row],[ppn_z]],tbl_Historique_Final[[#This Row],[date_modif]])=Final_Sans_VGE[[#This Row],[date_modif]],
      "Ancien",
      "Modifié"),
   "Nouveau")),"")</f>
        <v/>
      </c>
    </row>
    <row r="3296" spans="24:30" x14ac:dyDescent="0.25">
      <c r="X3296" s="8" t="e">
        <f>IF(Final_Sans_VGE[[#This Row],[ppn_z]]="","",IFERROR(
   IF(_xlfn.XLOOKUP(Final_Sans_VGE[[#This Row],[ppn_z]],tbl_Historique_Final[ppn_z],tbl_Historique_Final[date_modif])=Final_Sans_VGE[[#This Row],[date_modif]],
      "Ancien",
      "Modifié"),
   "Nouveau"))</f>
        <v>#VALUE!</v>
      </c>
      <c r="AD3296" s="1" t="str">
        <f>IFERROR(IF(Final_Sans_VGE[[#This Row],[ppn_z]]="","",IFERROR(
   IF(_xlfn.XLOOKUP(Final_Sans_VGE[[#This Row],[ppn_z]],tbl_Historique_Final[[#This Row],[ppn_z]],tbl_Historique_Final[[#This Row],[date_modif]])=Final_Sans_VGE[[#This Row],[date_modif]],
      "Ancien",
      "Modifié"),
   "Nouveau")),"")</f>
        <v/>
      </c>
    </row>
    <row r="3297" spans="24:30" x14ac:dyDescent="0.25">
      <c r="X3297" s="8" t="e">
        <f>IF(Final_Sans_VGE[[#This Row],[ppn_z]]="","",IFERROR(
   IF(_xlfn.XLOOKUP(Final_Sans_VGE[[#This Row],[ppn_z]],tbl_Historique_Final[ppn_z],tbl_Historique_Final[date_modif])=Final_Sans_VGE[[#This Row],[date_modif]],
      "Ancien",
      "Modifié"),
   "Nouveau"))</f>
        <v>#VALUE!</v>
      </c>
      <c r="AD3297" s="1" t="str">
        <f>IFERROR(IF(Final_Sans_VGE[[#This Row],[ppn_z]]="","",IFERROR(
   IF(_xlfn.XLOOKUP(Final_Sans_VGE[[#This Row],[ppn_z]],tbl_Historique_Final[[#This Row],[ppn_z]],tbl_Historique_Final[[#This Row],[date_modif]])=Final_Sans_VGE[[#This Row],[date_modif]],
      "Ancien",
      "Modifié"),
   "Nouveau")),"")</f>
        <v/>
      </c>
    </row>
    <row r="3298" spans="24:30" x14ac:dyDescent="0.25">
      <c r="X3298" s="8" t="e">
        <f>IF(Final_Sans_VGE[[#This Row],[ppn_z]]="","",IFERROR(
   IF(_xlfn.XLOOKUP(Final_Sans_VGE[[#This Row],[ppn_z]],tbl_Historique_Final[ppn_z],tbl_Historique_Final[date_modif])=Final_Sans_VGE[[#This Row],[date_modif]],
      "Ancien",
      "Modifié"),
   "Nouveau"))</f>
        <v>#VALUE!</v>
      </c>
      <c r="AD3298" s="1" t="str">
        <f>IFERROR(IF(Final_Sans_VGE[[#This Row],[ppn_z]]="","",IFERROR(
   IF(_xlfn.XLOOKUP(Final_Sans_VGE[[#This Row],[ppn_z]],tbl_Historique_Final[[#This Row],[ppn_z]],tbl_Historique_Final[[#This Row],[date_modif]])=Final_Sans_VGE[[#This Row],[date_modif]],
      "Ancien",
      "Modifié"),
   "Nouveau")),"")</f>
        <v/>
      </c>
    </row>
    <row r="3299" spans="24:30" x14ac:dyDescent="0.25">
      <c r="X3299" s="8" t="e">
        <f>IF(Final_Sans_VGE[[#This Row],[ppn_z]]="","",IFERROR(
   IF(_xlfn.XLOOKUP(Final_Sans_VGE[[#This Row],[ppn_z]],tbl_Historique_Final[ppn_z],tbl_Historique_Final[date_modif])=Final_Sans_VGE[[#This Row],[date_modif]],
      "Ancien",
      "Modifié"),
   "Nouveau"))</f>
        <v>#VALUE!</v>
      </c>
      <c r="AD3299" s="1" t="str">
        <f>IFERROR(IF(Final_Sans_VGE[[#This Row],[ppn_z]]="","",IFERROR(
   IF(_xlfn.XLOOKUP(Final_Sans_VGE[[#This Row],[ppn_z]],tbl_Historique_Final[[#This Row],[ppn_z]],tbl_Historique_Final[[#This Row],[date_modif]])=Final_Sans_VGE[[#This Row],[date_modif]],
      "Ancien",
      "Modifié"),
   "Nouveau")),"")</f>
        <v/>
      </c>
    </row>
    <row r="3300" spans="24:30" x14ac:dyDescent="0.25">
      <c r="X3300" s="8" t="e">
        <f>IF(Final_Sans_VGE[[#This Row],[ppn_z]]="","",IFERROR(
   IF(_xlfn.XLOOKUP(Final_Sans_VGE[[#This Row],[ppn_z]],tbl_Historique_Final[ppn_z],tbl_Historique_Final[date_modif])=Final_Sans_VGE[[#This Row],[date_modif]],
      "Ancien",
      "Modifié"),
   "Nouveau"))</f>
        <v>#VALUE!</v>
      </c>
      <c r="AD3300" s="1" t="str">
        <f>IFERROR(IF(Final_Sans_VGE[[#This Row],[ppn_z]]="","",IFERROR(
   IF(_xlfn.XLOOKUP(Final_Sans_VGE[[#This Row],[ppn_z]],tbl_Historique_Final[[#This Row],[ppn_z]],tbl_Historique_Final[[#This Row],[date_modif]])=Final_Sans_VGE[[#This Row],[date_modif]],
      "Ancien",
      "Modifié"),
   "Nouveau")),"")</f>
        <v/>
      </c>
    </row>
    <row r="3301" spans="24:30" x14ac:dyDescent="0.25">
      <c r="X3301" s="8" t="e">
        <f>IF(Final_Sans_VGE[[#This Row],[ppn_z]]="","",IFERROR(
   IF(_xlfn.XLOOKUP(Final_Sans_VGE[[#This Row],[ppn_z]],tbl_Historique_Final[ppn_z],tbl_Historique_Final[date_modif])=Final_Sans_VGE[[#This Row],[date_modif]],
      "Ancien",
      "Modifié"),
   "Nouveau"))</f>
        <v>#VALUE!</v>
      </c>
      <c r="AD3301" s="1" t="str">
        <f>IFERROR(IF(Final_Sans_VGE[[#This Row],[ppn_z]]="","",IFERROR(
   IF(_xlfn.XLOOKUP(Final_Sans_VGE[[#This Row],[ppn_z]],tbl_Historique_Final[[#This Row],[ppn_z]],tbl_Historique_Final[[#This Row],[date_modif]])=Final_Sans_VGE[[#This Row],[date_modif]],
      "Ancien",
      "Modifié"),
   "Nouveau")),"")</f>
        <v/>
      </c>
    </row>
    <row r="3302" spans="24:30" x14ac:dyDescent="0.25">
      <c r="X3302" s="8" t="e">
        <f>IF(Final_Sans_VGE[[#This Row],[ppn_z]]="","",IFERROR(
   IF(_xlfn.XLOOKUP(Final_Sans_VGE[[#This Row],[ppn_z]],tbl_Historique_Final[ppn_z],tbl_Historique_Final[date_modif])=Final_Sans_VGE[[#This Row],[date_modif]],
      "Ancien",
      "Modifié"),
   "Nouveau"))</f>
        <v>#VALUE!</v>
      </c>
      <c r="AD3302" s="1" t="str">
        <f>IFERROR(IF(Final_Sans_VGE[[#This Row],[ppn_z]]="","",IFERROR(
   IF(_xlfn.XLOOKUP(Final_Sans_VGE[[#This Row],[ppn_z]],tbl_Historique_Final[[#This Row],[ppn_z]],tbl_Historique_Final[[#This Row],[date_modif]])=Final_Sans_VGE[[#This Row],[date_modif]],
      "Ancien",
      "Modifié"),
   "Nouveau")),"")</f>
        <v/>
      </c>
    </row>
    <row r="3303" spans="24:30" x14ac:dyDescent="0.25">
      <c r="X3303" s="8" t="e">
        <f>IF(Final_Sans_VGE[[#This Row],[ppn_z]]="","",IFERROR(
   IF(_xlfn.XLOOKUP(Final_Sans_VGE[[#This Row],[ppn_z]],tbl_Historique_Final[ppn_z],tbl_Historique_Final[date_modif])=Final_Sans_VGE[[#This Row],[date_modif]],
      "Ancien",
      "Modifié"),
   "Nouveau"))</f>
        <v>#VALUE!</v>
      </c>
      <c r="AD3303" s="1" t="str">
        <f>IFERROR(IF(Final_Sans_VGE[[#This Row],[ppn_z]]="","",IFERROR(
   IF(_xlfn.XLOOKUP(Final_Sans_VGE[[#This Row],[ppn_z]],tbl_Historique_Final[[#This Row],[ppn_z]],tbl_Historique_Final[[#This Row],[date_modif]])=Final_Sans_VGE[[#This Row],[date_modif]],
      "Ancien",
      "Modifié"),
   "Nouveau")),"")</f>
        <v/>
      </c>
    </row>
    <row r="3304" spans="24:30" x14ac:dyDescent="0.25">
      <c r="X3304" s="8" t="e">
        <f>IF(Final_Sans_VGE[[#This Row],[ppn_z]]="","",IFERROR(
   IF(_xlfn.XLOOKUP(Final_Sans_VGE[[#This Row],[ppn_z]],tbl_Historique_Final[ppn_z],tbl_Historique_Final[date_modif])=Final_Sans_VGE[[#This Row],[date_modif]],
      "Ancien",
      "Modifié"),
   "Nouveau"))</f>
        <v>#VALUE!</v>
      </c>
      <c r="AD3304" s="1" t="str">
        <f>IFERROR(IF(Final_Sans_VGE[[#This Row],[ppn_z]]="","",IFERROR(
   IF(_xlfn.XLOOKUP(Final_Sans_VGE[[#This Row],[ppn_z]],tbl_Historique_Final[[#This Row],[ppn_z]],tbl_Historique_Final[[#This Row],[date_modif]])=Final_Sans_VGE[[#This Row],[date_modif]],
      "Ancien",
      "Modifié"),
   "Nouveau")),"")</f>
        <v/>
      </c>
    </row>
    <row r="3305" spans="24:30" x14ac:dyDescent="0.25">
      <c r="X3305" s="8" t="e">
        <f>IF(Final_Sans_VGE[[#This Row],[ppn_z]]="","",IFERROR(
   IF(_xlfn.XLOOKUP(Final_Sans_VGE[[#This Row],[ppn_z]],tbl_Historique_Final[ppn_z],tbl_Historique_Final[date_modif])=Final_Sans_VGE[[#This Row],[date_modif]],
      "Ancien",
      "Modifié"),
   "Nouveau"))</f>
        <v>#VALUE!</v>
      </c>
      <c r="AD3305" s="1" t="str">
        <f>IFERROR(IF(Final_Sans_VGE[[#This Row],[ppn_z]]="","",IFERROR(
   IF(_xlfn.XLOOKUP(Final_Sans_VGE[[#This Row],[ppn_z]],tbl_Historique_Final[[#This Row],[ppn_z]],tbl_Historique_Final[[#This Row],[date_modif]])=Final_Sans_VGE[[#This Row],[date_modif]],
      "Ancien",
      "Modifié"),
   "Nouveau")),"")</f>
        <v/>
      </c>
    </row>
    <row r="3306" spans="24:30" x14ac:dyDescent="0.25">
      <c r="X3306" s="8" t="e">
        <f>IF(Final_Sans_VGE[[#This Row],[ppn_z]]="","",IFERROR(
   IF(_xlfn.XLOOKUP(Final_Sans_VGE[[#This Row],[ppn_z]],tbl_Historique_Final[ppn_z],tbl_Historique_Final[date_modif])=Final_Sans_VGE[[#This Row],[date_modif]],
      "Ancien",
      "Modifié"),
   "Nouveau"))</f>
        <v>#VALUE!</v>
      </c>
      <c r="AD3306" s="1" t="str">
        <f>IFERROR(IF(Final_Sans_VGE[[#This Row],[ppn_z]]="","",IFERROR(
   IF(_xlfn.XLOOKUP(Final_Sans_VGE[[#This Row],[ppn_z]],tbl_Historique_Final[[#This Row],[ppn_z]],tbl_Historique_Final[[#This Row],[date_modif]])=Final_Sans_VGE[[#This Row],[date_modif]],
      "Ancien",
      "Modifié"),
   "Nouveau")),"")</f>
        <v/>
      </c>
    </row>
    <row r="3307" spans="24:30" x14ac:dyDescent="0.25">
      <c r="X3307" s="8" t="e">
        <f>IF(Final_Sans_VGE[[#This Row],[ppn_z]]="","",IFERROR(
   IF(_xlfn.XLOOKUP(Final_Sans_VGE[[#This Row],[ppn_z]],tbl_Historique_Final[ppn_z],tbl_Historique_Final[date_modif])=Final_Sans_VGE[[#This Row],[date_modif]],
      "Ancien",
      "Modifié"),
   "Nouveau"))</f>
        <v>#VALUE!</v>
      </c>
      <c r="AD3307" s="1" t="str">
        <f>IFERROR(IF(Final_Sans_VGE[[#This Row],[ppn_z]]="","",IFERROR(
   IF(_xlfn.XLOOKUP(Final_Sans_VGE[[#This Row],[ppn_z]],tbl_Historique_Final[[#This Row],[ppn_z]],tbl_Historique_Final[[#This Row],[date_modif]])=Final_Sans_VGE[[#This Row],[date_modif]],
      "Ancien",
      "Modifié"),
   "Nouveau")),"")</f>
        <v/>
      </c>
    </row>
    <row r="3308" spans="24:30" x14ac:dyDescent="0.25">
      <c r="X3308" s="8" t="e">
        <f>IF(Final_Sans_VGE[[#This Row],[ppn_z]]="","",IFERROR(
   IF(_xlfn.XLOOKUP(Final_Sans_VGE[[#This Row],[ppn_z]],tbl_Historique_Final[ppn_z],tbl_Historique_Final[date_modif])=Final_Sans_VGE[[#This Row],[date_modif]],
      "Ancien",
      "Modifié"),
   "Nouveau"))</f>
        <v>#VALUE!</v>
      </c>
      <c r="AD3308" s="1" t="str">
        <f>IFERROR(IF(Final_Sans_VGE[[#This Row],[ppn_z]]="","",IFERROR(
   IF(_xlfn.XLOOKUP(Final_Sans_VGE[[#This Row],[ppn_z]],tbl_Historique_Final[[#This Row],[ppn_z]],tbl_Historique_Final[[#This Row],[date_modif]])=Final_Sans_VGE[[#This Row],[date_modif]],
      "Ancien",
      "Modifié"),
   "Nouveau")),"")</f>
        <v/>
      </c>
    </row>
    <row r="3309" spans="24:30" x14ac:dyDescent="0.25">
      <c r="X3309" s="8" t="e">
        <f>IF(Final_Sans_VGE[[#This Row],[ppn_z]]="","",IFERROR(
   IF(_xlfn.XLOOKUP(Final_Sans_VGE[[#This Row],[ppn_z]],tbl_Historique_Final[ppn_z],tbl_Historique_Final[date_modif])=Final_Sans_VGE[[#This Row],[date_modif]],
      "Ancien",
      "Modifié"),
   "Nouveau"))</f>
        <v>#VALUE!</v>
      </c>
      <c r="AD3309" s="1" t="str">
        <f>IFERROR(IF(Final_Sans_VGE[[#This Row],[ppn_z]]="","",IFERROR(
   IF(_xlfn.XLOOKUP(Final_Sans_VGE[[#This Row],[ppn_z]],tbl_Historique_Final[[#This Row],[ppn_z]],tbl_Historique_Final[[#This Row],[date_modif]])=Final_Sans_VGE[[#This Row],[date_modif]],
      "Ancien",
      "Modifié"),
   "Nouveau")),"")</f>
        <v/>
      </c>
    </row>
    <row r="3310" spans="24:30" x14ac:dyDescent="0.25">
      <c r="X3310" s="8" t="e">
        <f>IF(Final_Sans_VGE[[#This Row],[ppn_z]]="","",IFERROR(
   IF(_xlfn.XLOOKUP(Final_Sans_VGE[[#This Row],[ppn_z]],tbl_Historique_Final[ppn_z],tbl_Historique_Final[date_modif])=Final_Sans_VGE[[#This Row],[date_modif]],
      "Ancien",
      "Modifié"),
   "Nouveau"))</f>
        <v>#VALUE!</v>
      </c>
      <c r="AD3310" s="1" t="str">
        <f>IFERROR(IF(Final_Sans_VGE[[#This Row],[ppn_z]]="","",IFERROR(
   IF(_xlfn.XLOOKUP(Final_Sans_VGE[[#This Row],[ppn_z]],tbl_Historique_Final[[#This Row],[ppn_z]],tbl_Historique_Final[[#This Row],[date_modif]])=Final_Sans_VGE[[#This Row],[date_modif]],
      "Ancien",
      "Modifié"),
   "Nouveau")),"")</f>
        <v/>
      </c>
    </row>
    <row r="3311" spans="24:30" x14ac:dyDescent="0.25">
      <c r="X3311" s="8" t="e">
        <f>IF(Final_Sans_VGE[[#This Row],[ppn_z]]="","",IFERROR(
   IF(_xlfn.XLOOKUP(Final_Sans_VGE[[#This Row],[ppn_z]],tbl_Historique_Final[ppn_z],tbl_Historique_Final[date_modif])=Final_Sans_VGE[[#This Row],[date_modif]],
      "Ancien",
      "Modifié"),
   "Nouveau"))</f>
        <v>#VALUE!</v>
      </c>
      <c r="AD3311" s="1" t="str">
        <f>IFERROR(IF(Final_Sans_VGE[[#This Row],[ppn_z]]="","",IFERROR(
   IF(_xlfn.XLOOKUP(Final_Sans_VGE[[#This Row],[ppn_z]],tbl_Historique_Final[[#This Row],[ppn_z]],tbl_Historique_Final[[#This Row],[date_modif]])=Final_Sans_VGE[[#This Row],[date_modif]],
      "Ancien",
      "Modifié"),
   "Nouveau")),"")</f>
        <v/>
      </c>
    </row>
    <row r="3312" spans="24:30" x14ac:dyDescent="0.25">
      <c r="X3312" s="8" t="e">
        <f>IF(Final_Sans_VGE[[#This Row],[ppn_z]]="","",IFERROR(
   IF(_xlfn.XLOOKUP(Final_Sans_VGE[[#This Row],[ppn_z]],tbl_Historique_Final[ppn_z],tbl_Historique_Final[date_modif])=Final_Sans_VGE[[#This Row],[date_modif]],
      "Ancien",
      "Modifié"),
   "Nouveau"))</f>
        <v>#VALUE!</v>
      </c>
      <c r="AD3312" s="1" t="str">
        <f>IFERROR(IF(Final_Sans_VGE[[#This Row],[ppn_z]]="","",IFERROR(
   IF(_xlfn.XLOOKUP(Final_Sans_VGE[[#This Row],[ppn_z]],tbl_Historique_Final[[#This Row],[ppn_z]],tbl_Historique_Final[[#This Row],[date_modif]])=Final_Sans_VGE[[#This Row],[date_modif]],
      "Ancien",
      "Modifié"),
   "Nouveau")),"")</f>
        <v/>
      </c>
    </row>
    <row r="3313" spans="24:30" x14ac:dyDescent="0.25">
      <c r="X3313" s="8" t="e">
        <f>IF(Final_Sans_VGE[[#This Row],[ppn_z]]="","",IFERROR(
   IF(_xlfn.XLOOKUP(Final_Sans_VGE[[#This Row],[ppn_z]],tbl_Historique_Final[ppn_z],tbl_Historique_Final[date_modif])=Final_Sans_VGE[[#This Row],[date_modif]],
      "Ancien",
      "Modifié"),
   "Nouveau"))</f>
        <v>#VALUE!</v>
      </c>
      <c r="AD3313" s="1" t="str">
        <f>IFERROR(IF(Final_Sans_VGE[[#This Row],[ppn_z]]="","",IFERROR(
   IF(_xlfn.XLOOKUP(Final_Sans_VGE[[#This Row],[ppn_z]],tbl_Historique_Final[[#This Row],[ppn_z]],tbl_Historique_Final[[#This Row],[date_modif]])=Final_Sans_VGE[[#This Row],[date_modif]],
      "Ancien",
      "Modifié"),
   "Nouveau")),"")</f>
        <v/>
      </c>
    </row>
    <row r="3314" spans="24:30" x14ac:dyDescent="0.25">
      <c r="X3314" s="8" t="e">
        <f>IF(Final_Sans_VGE[[#This Row],[ppn_z]]="","",IFERROR(
   IF(_xlfn.XLOOKUP(Final_Sans_VGE[[#This Row],[ppn_z]],tbl_Historique_Final[ppn_z],tbl_Historique_Final[date_modif])=Final_Sans_VGE[[#This Row],[date_modif]],
      "Ancien",
      "Modifié"),
   "Nouveau"))</f>
        <v>#VALUE!</v>
      </c>
      <c r="AD3314" s="1" t="str">
        <f>IFERROR(IF(Final_Sans_VGE[[#This Row],[ppn_z]]="","",IFERROR(
   IF(_xlfn.XLOOKUP(Final_Sans_VGE[[#This Row],[ppn_z]],tbl_Historique_Final[[#This Row],[ppn_z]],tbl_Historique_Final[[#This Row],[date_modif]])=Final_Sans_VGE[[#This Row],[date_modif]],
      "Ancien",
      "Modifié"),
   "Nouveau")),"")</f>
        <v/>
      </c>
    </row>
    <row r="3315" spans="24:30" x14ac:dyDescent="0.25">
      <c r="X3315" s="8" t="e">
        <f>IF(Final_Sans_VGE[[#This Row],[ppn_z]]="","",IFERROR(
   IF(_xlfn.XLOOKUP(Final_Sans_VGE[[#This Row],[ppn_z]],tbl_Historique_Final[ppn_z],tbl_Historique_Final[date_modif])=Final_Sans_VGE[[#This Row],[date_modif]],
      "Ancien",
      "Modifié"),
   "Nouveau"))</f>
        <v>#VALUE!</v>
      </c>
      <c r="AD3315" s="1" t="str">
        <f>IFERROR(IF(Final_Sans_VGE[[#This Row],[ppn_z]]="","",IFERROR(
   IF(_xlfn.XLOOKUP(Final_Sans_VGE[[#This Row],[ppn_z]],tbl_Historique_Final[[#This Row],[ppn_z]],tbl_Historique_Final[[#This Row],[date_modif]])=Final_Sans_VGE[[#This Row],[date_modif]],
      "Ancien",
      "Modifié"),
   "Nouveau")),"")</f>
        <v/>
      </c>
    </row>
    <row r="3316" spans="24:30" x14ac:dyDescent="0.25">
      <c r="X3316" s="8" t="e">
        <f>IF(Final_Sans_VGE[[#This Row],[ppn_z]]="","",IFERROR(
   IF(_xlfn.XLOOKUP(Final_Sans_VGE[[#This Row],[ppn_z]],tbl_Historique_Final[ppn_z],tbl_Historique_Final[date_modif])=Final_Sans_VGE[[#This Row],[date_modif]],
      "Ancien",
      "Modifié"),
   "Nouveau"))</f>
        <v>#VALUE!</v>
      </c>
      <c r="AD3316" s="1" t="str">
        <f>IFERROR(IF(Final_Sans_VGE[[#This Row],[ppn_z]]="","",IFERROR(
   IF(_xlfn.XLOOKUP(Final_Sans_VGE[[#This Row],[ppn_z]],tbl_Historique_Final[[#This Row],[ppn_z]],tbl_Historique_Final[[#This Row],[date_modif]])=Final_Sans_VGE[[#This Row],[date_modif]],
      "Ancien",
      "Modifié"),
   "Nouveau")),"")</f>
        <v/>
      </c>
    </row>
    <row r="3317" spans="24:30" x14ac:dyDescent="0.25">
      <c r="X3317" s="8" t="e">
        <f>IF(Final_Sans_VGE[[#This Row],[ppn_z]]="","",IFERROR(
   IF(_xlfn.XLOOKUP(Final_Sans_VGE[[#This Row],[ppn_z]],tbl_Historique_Final[ppn_z],tbl_Historique_Final[date_modif])=Final_Sans_VGE[[#This Row],[date_modif]],
      "Ancien",
      "Modifié"),
   "Nouveau"))</f>
        <v>#VALUE!</v>
      </c>
      <c r="AD3317" s="1" t="str">
        <f>IFERROR(IF(Final_Sans_VGE[[#This Row],[ppn_z]]="","",IFERROR(
   IF(_xlfn.XLOOKUP(Final_Sans_VGE[[#This Row],[ppn_z]],tbl_Historique_Final[[#This Row],[ppn_z]],tbl_Historique_Final[[#This Row],[date_modif]])=Final_Sans_VGE[[#This Row],[date_modif]],
      "Ancien",
      "Modifié"),
   "Nouveau")),"")</f>
        <v/>
      </c>
    </row>
    <row r="3318" spans="24:30" x14ac:dyDescent="0.25">
      <c r="X3318" s="8" t="e">
        <f>IF(Final_Sans_VGE[[#This Row],[ppn_z]]="","",IFERROR(
   IF(_xlfn.XLOOKUP(Final_Sans_VGE[[#This Row],[ppn_z]],tbl_Historique_Final[ppn_z],tbl_Historique_Final[date_modif])=Final_Sans_VGE[[#This Row],[date_modif]],
      "Ancien",
      "Modifié"),
   "Nouveau"))</f>
        <v>#VALUE!</v>
      </c>
      <c r="AD3318" s="1" t="str">
        <f>IFERROR(IF(Final_Sans_VGE[[#This Row],[ppn_z]]="","",IFERROR(
   IF(_xlfn.XLOOKUP(Final_Sans_VGE[[#This Row],[ppn_z]],tbl_Historique_Final[[#This Row],[ppn_z]],tbl_Historique_Final[[#This Row],[date_modif]])=Final_Sans_VGE[[#This Row],[date_modif]],
      "Ancien",
      "Modifié"),
   "Nouveau")),"")</f>
        <v/>
      </c>
    </row>
    <row r="3319" spans="24:30" x14ac:dyDescent="0.25">
      <c r="X3319" s="8" t="e">
        <f>IF(Final_Sans_VGE[[#This Row],[ppn_z]]="","",IFERROR(
   IF(_xlfn.XLOOKUP(Final_Sans_VGE[[#This Row],[ppn_z]],tbl_Historique_Final[ppn_z],tbl_Historique_Final[date_modif])=Final_Sans_VGE[[#This Row],[date_modif]],
      "Ancien",
      "Modifié"),
   "Nouveau"))</f>
        <v>#VALUE!</v>
      </c>
      <c r="AD3319" s="1" t="str">
        <f>IFERROR(IF(Final_Sans_VGE[[#This Row],[ppn_z]]="","",IFERROR(
   IF(_xlfn.XLOOKUP(Final_Sans_VGE[[#This Row],[ppn_z]],tbl_Historique_Final[[#This Row],[ppn_z]],tbl_Historique_Final[[#This Row],[date_modif]])=Final_Sans_VGE[[#This Row],[date_modif]],
      "Ancien",
      "Modifié"),
   "Nouveau")),"")</f>
        <v/>
      </c>
    </row>
    <row r="3320" spans="24:30" x14ac:dyDescent="0.25">
      <c r="X3320" s="8" t="e">
        <f>IF(Final_Sans_VGE[[#This Row],[ppn_z]]="","",IFERROR(
   IF(_xlfn.XLOOKUP(Final_Sans_VGE[[#This Row],[ppn_z]],tbl_Historique_Final[ppn_z],tbl_Historique_Final[date_modif])=Final_Sans_VGE[[#This Row],[date_modif]],
      "Ancien",
      "Modifié"),
   "Nouveau"))</f>
        <v>#VALUE!</v>
      </c>
      <c r="AD3320" s="1" t="str">
        <f>IFERROR(IF(Final_Sans_VGE[[#This Row],[ppn_z]]="","",IFERROR(
   IF(_xlfn.XLOOKUP(Final_Sans_VGE[[#This Row],[ppn_z]],tbl_Historique_Final[[#This Row],[ppn_z]],tbl_Historique_Final[[#This Row],[date_modif]])=Final_Sans_VGE[[#This Row],[date_modif]],
      "Ancien",
      "Modifié"),
   "Nouveau")),"")</f>
        <v/>
      </c>
    </row>
    <row r="3321" spans="24:30" x14ac:dyDescent="0.25">
      <c r="X3321" s="8" t="e">
        <f>IF(Final_Sans_VGE[[#This Row],[ppn_z]]="","",IFERROR(
   IF(_xlfn.XLOOKUP(Final_Sans_VGE[[#This Row],[ppn_z]],tbl_Historique_Final[ppn_z],tbl_Historique_Final[date_modif])=Final_Sans_VGE[[#This Row],[date_modif]],
      "Ancien",
      "Modifié"),
   "Nouveau"))</f>
        <v>#VALUE!</v>
      </c>
      <c r="AD3321" s="1" t="str">
        <f>IFERROR(IF(Final_Sans_VGE[[#This Row],[ppn_z]]="","",IFERROR(
   IF(_xlfn.XLOOKUP(Final_Sans_VGE[[#This Row],[ppn_z]],tbl_Historique_Final[[#This Row],[ppn_z]],tbl_Historique_Final[[#This Row],[date_modif]])=Final_Sans_VGE[[#This Row],[date_modif]],
      "Ancien",
      "Modifié"),
   "Nouveau")),"")</f>
        <v/>
      </c>
    </row>
    <row r="3322" spans="24:30" x14ac:dyDescent="0.25">
      <c r="X3322" s="8" t="e">
        <f>IF(Final_Sans_VGE[[#This Row],[ppn_z]]="","",IFERROR(
   IF(_xlfn.XLOOKUP(Final_Sans_VGE[[#This Row],[ppn_z]],tbl_Historique_Final[ppn_z],tbl_Historique_Final[date_modif])=Final_Sans_VGE[[#This Row],[date_modif]],
      "Ancien",
      "Modifié"),
   "Nouveau"))</f>
        <v>#VALUE!</v>
      </c>
      <c r="AD3322" s="1" t="str">
        <f>IFERROR(IF(Final_Sans_VGE[[#This Row],[ppn_z]]="","",IFERROR(
   IF(_xlfn.XLOOKUP(Final_Sans_VGE[[#This Row],[ppn_z]],tbl_Historique_Final[[#This Row],[ppn_z]],tbl_Historique_Final[[#This Row],[date_modif]])=Final_Sans_VGE[[#This Row],[date_modif]],
      "Ancien",
      "Modifié"),
   "Nouveau")),"")</f>
        <v/>
      </c>
    </row>
    <row r="3323" spans="24:30" x14ac:dyDescent="0.25">
      <c r="X3323" s="8" t="e">
        <f>IF(Final_Sans_VGE[[#This Row],[ppn_z]]="","",IFERROR(
   IF(_xlfn.XLOOKUP(Final_Sans_VGE[[#This Row],[ppn_z]],tbl_Historique_Final[ppn_z],tbl_Historique_Final[date_modif])=Final_Sans_VGE[[#This Row],[date_modif]],
      "Ancien",
      "Modifié"),
   "Nouveau"))</f>
        <v>#VALUE!</v>
      </c>
      <c r="AD3323" s="1" t="str">
        <f>IFERROR(IF(Final_Sans_VGE[[#This Row],[ppn_z]]="","",IFERROR(
   IF(_xlfn.XLOOKUP(Final_Sans_VGE[[#This Row],[ppn_z]],tbl_Historique_Final[[#This Row],[ppn_z]],tbl_Historique_Final[[#This Row],[date_modif]])=Final_Sans_VGE[[#This Row],[date_modif]],
      "Ancien",
      "Modifié"),
   "Nouveau")),"")</f>
        <v/>
      </c>
    </row>
    <row r="3324" spans="24:30" x14ac:dyDescent="0.25">
      <c r="X3324" s="8" t="e">
        <f>IF(Final_Sans_VGE[[#This Row],[ppn_z]]="","",IFERROR(
   IF(_xlfn.XLOOKUP(Final_Sans_VGE[[#This Row],[ppn_z]],tbl_Historique_Final[ppn_z],tbl_Historique_Final[date_modif])=Final_Sans_VGE[[#This Row],[date_modif]],
      "Ancien",
      "Modifié"),
   "Nouveau"))</f>
        <v>#VALUE!</v>
      </c>
      <c r="AD3324" s="1" t="str">
        <f>IFERROR(IF(Final_Sans_VGE[[#This Row],[ppn_z]]="","",IFERROR(
   IF(_xlfn.XLOOKUP(Final_Sans_VGE[[#This Row],[ppn_z]],tbl_Historique_Final[[#This Row],[ppn_z]],tbl_Historique_Final[[#This Row],[date_modif]])=Final_Sans_VGE[[#This Row],[date_modif]],
      "Ancien",
      "Modifié"),
   "Nouveau")),"")</f>
        <v/>
      </c>
    </row>
    <row r="3325" spans="24:30" x14ac:dyDescent="0.25">
      <c r="X3325" s="8" t="e">
        <f>IF(Final_Sans_VGE[[#This Row],[ppn_z]]="","",IFERROR(
   IF(_xlfn.XLOOKUP(Final_Sans_VGE[[#This Row],[ppn_z]],tbl_Historique_Final[ppn_z],tbl_Historique_Final[date_modif])=Final_Sans_VGE[[#This Row],[date_modif]],
      "Ancien",
      "Modifié"),
   "Nouveau"))</f>
        <v>#VALUE!</v>
      </c>
      <c r="AD3325" s="1" t="str">
        <f>IFERROR(IF(Final_Sans_VGE[[#This Row],[ppn_z]]="","",IFERROR(
   IF(_xlfn.XLOOKUP(Final_Sans_VGE[[#This Row],[ppn_z]],tbl_Historique_Final[[#This Row],[ppn_z]],tbl_Historique_Final[[#This Row],[date_modif]])=Final_Sans_VGE[[#This Row],[date_modif]],
      "Ancien",
      "Modifié"),
   "Nouveau")),"")</f>
        <v/>
      </c>
    </row>
    <row r="3326" spans="24:30" x14ac:dyDescent="0.25">
      <c r="X3326" s="8" t="e">
        <f>IF(Final_Sans_VGE[[#This Row],[ppn_z]]="","",IFERROR(
   IF(_xlfn.XLOOKUP(Final_Sans_VGE[[#This Row],[ppn_z]],tbl_Historique_Final[ppn_z],tbl_Historique_Final[date_modif])=Final_Sans_VGE[[#This Row],[date_modif]],
      "Ancien",
      "Modifié"),
   "Nouveau"))</f>
        <v>#VALUE!</v>
      </c>
      <c r="AD3326" s="1" t="str">
        <f>IFERROR(IF(Final_Sans_VGE[[#This Row],[ppn_z]]="","",IFERROR(
   IF(_xlfn.XLOOKUP(Final_Sans_VGE[[#This Row],[ppn_z]],tbl_Historique_Final[[#This Row],[ppn_z]],tbl_Historique_Final[[#This Row],[date_modif]])=Final_Sans_VGE[[#This Row],[date_modif]],
      "Ancien",
      "Modifié"),
   "Nouveau")),"")</f>
        <v/>
      </c>
    </row>
    <row r="3327" spans="24:30" x14ac:dyDescent="0.25">
      <c r="X3327" s="8" t="e">
        <f>IF(Final_Sans_VGE[[#This Row],[ppn_z]]="","",IFERROR(
   IF(_xlfn.XLOOKUP(Final_Sans_VGE[[#This Row],[ppn_z]],tbl_Historique_Final[ppn_z],tbl_Historique_Final[date_modif])=Final_Sans_VGE[[#This Row],[date_modif]],
      "Ancien",
      "Modifié"),
   "Nouveau"))</f>
        <v>#VALUE!</v>
      </c>
      <c r="AD3327" s="1" t="str">
        <f>IFERROR(IF(Final_Sans_VGE[[#This Row],[ppn_z]]="","",IFERROR(
   IF(_xlfn.XLOOKUP(Final_Sans_VGE[[#This Row],[ppn_z]],tbl_Historique_Final[[#This Row],[ppn_z]],tbl_Historique_Final[[#This Row],[date_modif]])=Final_Sans_VGE[[#This Row],[date_modif]],
      "Ancien",
      "Modifié"),
   "Nouveau")),"")</f>
        <v/>
      </c>
    </row>
    <row r="3328" spans="24:30" x14ac:dyDescent="0.25">
      <c r="X3328" s="8" t="e">
        <f>IF(Final_Sans_VGE[[#This Row],[ppn_z]]="","",IFERROR(
   IF(_xlfn.XLOOKUP(Final_Sans_VGE[[#This Row],[ppn_z]],tbl_Historique_Final[ppn_z],tbl_Historique_Final[date_modif])=Final_Sans_VGE[[#This Row],[date_modif]],
      "Ancien",
      "Modifié"),
   "Nouveau"))</f>
        <v>#VALUE!</v>
      </c>
      <c r="AD3328" s="1" t="str">
        <f>IFERROR(IF(Final_Sans_VGE[[#This Row],[ppn_z]]="","",IFERROR(
   IF(_xlfn.XLOOKUP(Final_Sans_VGE[[#This Row],[ppn_z]],tbl_Historique_Final[[#This Row],[ppn_z]],tbl_Historique_Final[[#This Row],[date_modif]])=Final_Sans_VGE[[#This Row],[date_modif]],
      "Ancien",
      "Modifié"),
   "Nouveau")),"")</f>
        <v/>
      </c>
    </row>
    <row r="3329" spans="24:30" x14ac:dyDescent="0.25">
      <c r="X3329" s="8" t="e">
        <f>IF(Final_Sans_VGE[[#This Row],[ppn_z]]="","",IFERROR(
   IF(_xlfn.XLOOKUP(Final_Sans_VGE[[#This Row],[ppn_z]],tbl_Historique_Final[ppn_z],tbl_Historique_Final[date_modif])=Final_Sans_VGE[[#This Row],[date_modif]],
      "Ancien",
      "Modifié"),
   "Nouveau"))</f>
        <v>#VALUE!</v>
      </c>
      <c r="AD3329" s="1" t="str">
        <f>IFERROR(IF(Final_Sans_VGE[[#This Row],[ppn_z]]="","",IFERROR(
   IF(_xlfn.XLOOKUP(Final_Sans_VGE[[#This Row],[ppn_z]],tbl_Historique_Final[[#This Row],[ppn_z]],tbl_Historique_Final[[#This Row],[date_modif]])=Final_Sans_VGE[[#This Row],[date_modif]],
      "Ancien",
      "Modifié"),
   "Nouveau")),"")</f>
        <v/>
      </c>
    </row>
    <row r="3330" spans="24:30" x14ac:dyDescent="0.25">
      <c r="X3330" s="8" t="e">
        <f>IF(Final_Sans_VGE[[#This Row],[ppn_z]]="","",IFERROR(
   IF(_xlfn.XLOOKUP(Final_Sans_VGE[[#This Row],[ppn_z]],tbl_Historique_Final[ppn_z],tbl_Historique_Final[date_modif])=Final_Sans_VGE[[#This Row],[date_modif]],
      "Ancien",
      "Modifié"),
   "Nouveau"))</f>
        <v>#VALUE!</v>
      </c>
      <c r="AD3330" s="1" t="str">
        <f>IFERROR(IF(Final_Sans_VGE[[#This Row],[ppn_z]]="","",IFERROR(
   IF(_xlfn.XLOOKUP(Final_Sans_VGE[[#This Row],[ppn_z]],tbl_Historique_Final[[#This Row],[ppn_z]],tbl_Historique_Final[[#This Row],[date_modif]])=Final_Sans_VGE[[#This Row],[date_modif]],
      "Ancien",
      "Modifié"),
   "Nouveau")),"")</f>
        <v/>
      </c>
    </row>
    <row r="3331" spans="24:30" x14ac:dyDescent="0.25">
      <c r="X3331" s="8" t="e">
        <f>IF(Final_Sans_VGE[[#This Row],[ppn_z]]="","",IFERROR(
   IF(_xlfn.XLOOKUP(Final_Sans_VGE[[#This Row],[ppn_z]],tbl_Historique_Final[ppn_z],tbl_Historique_Final[date_modif])=Final_Sans_VGE[[#This Row],[date_modif]],
      "Ancien",
      "Modifié"),
   "Nouveau"))</f>
        <v>#VALUE!</v>
      </c>
      <c r="AD3331" s="1" t="str">
        <f>IFERROR(IF(Final_Sans_VGE[[#This Row],[ppn_z]]="","",IFERROR(
   IF(_xlfn.XLOOKUP(Final_Sans_VGE[[#This Row],[ppn_z]],tbl_Historique_Final[[#This Row],[ppn_z]],tbl_Historique_Final[[#This Row],[date_modif]])=Final_Sans_VGE[[#This Row],[date_modif]],
      "Ancien",
      "Modifié"),
   "Nouveau")),"")</f>
        <v/>
      </c>
    </row>
    <row r="3332" spans="24:30" x14ac:dyDescent="0.25">
      <c r="X3332" s="8" t="e">
        <f>IF(Final_Sans_VGE[[#This Row],[ppn_z]]="","",IFERROR(
   IF(_xlfn.XLOOKUP(Final_Sans_VGE[[#This Row],[ppn_z]],tbl_Historique_Final[ppn_z],tbl_Historique_Final[date_modif])=Final_Sans_VGE[[#This Row],[date_modif]],
      "Ancien",
      "Modifié"),
   "Nouveau"))</f>
        <v>#VALUE!</v>
      </c>
      <c r="AD3332" s="1" t="str">
        <f>IFERROR(IF(Final_Sans_VGE[[#This Row],[ppn_z]]="","",IFERROR(
   IF(_xlfn.XLOOKUP(Final_Sans_VGE[[#This Row],[ppn_z]],tbl_Historique_Final[[#This Row],[ppn_z]],tbl_Historique_Final[[#This Row],[date_modif]])=Final_Sans_VGE[[#This Row],[date_modif]],
      "Ancien",
      "Modifié"),
   "Nouveau")),"")</f>
        <v/>
      </c>
    </row>
    <row r="3333" spans="24:30" x14ac:dyDescent="0.25">
      <c r="X3333" s="8" t="e">
        <f>IF(Final_Sans_VGE[[#This Row],[ppn_z]]="","",IFERROR(
   IF(_xlfn.XLOOKUP(Final_Sans_VGE[[#This Row],[ppn_z]],tbl_Historique_Final[ppn_z],tbl_Historique_Final[date_modif])=Final_Sans_VGE[[#This Row],[date_modif]],
      "Ancien",
      "Modifié"),
   "Nouveau"))</f>
        <v>#VALUE!</v>
      </c>
      <c r="AD3333" s="1" t="str">
        <f>IFERROR(IF(Final_Sans_VGE[[#This Row],[ppn_z]]="","",IFERROR(
   IF(_xlfn.XLOOKUP(Final_Sans_VGE[[#This Row],[ppn_z]],tbl_Historique_Final[[#This Row],[ppn_z]],tbl_Historique_Final[[#This Row],[date_modif]])=Final_Sans_VGE[[#This Row],[date_modif]],
      "Ancien",
      "Modifié"),
   "Nouveau")),"")</f>
        <v/>
      </c>
    </row>
    <row r="3334" spans="24:30" x14ac:dyDescent="0.25">
      <c r="X3334" s="8" t="e">
        <f>IF(Final_Sans_VGE[[#This Row],[ppn_z]]="","",IFERROR(
   IF(_xlfn.XLOOKUP(Final_Sans_VGE[[#This Row],[ppn_z]],tbl_Historique_Final[ppn_z],tbl_Historique_Final[date_modif])=Final_Sans_VGE[[#This Row],[date_modif]],
      "Ancien",
      "Modifié"),
   "Nouveau"))</f>
        <v>#VALUE!</v>
      </c>
      <c r="AD3334" s="1" t="str">
        <f>IFERROR(IF(Final_Sans_VGE[[#This Row],[ppn_z]]="","",IFERROR(
   IF(_xlfn.XLOOKUP(Final_Sans_VGE[[#This Row],[ppn_z]],tbl_Historique_Final[[#This Row],[ppn_z]],tbl_Historique_Final[[#This Row],[date_modif]])=Final_Sans_VGE[[#This Row],[date_modif]],
      "Ancien",
      "Modifié"),
   "Nouveau")),"")</f>
        <v/>
      </c>
    </row>
    <row r="3335" spans="24:30" x14ac:dyDescent="0.25">
      <c r="X3335" s="8" t="e">
        <f>IF(Final_Sans_VGE[[#This Row],[ppn_z]]="","",IFERROR(
   IF(_xlfn.XLOOKUP(Final_Sans_VGE[[#This Row],[ppn_z]],tbl_Historique_Final[ppn_z],tbl_Historique_Final[date_modif])=Final_Sans_VGE[[#This Row],[date_modif]],
      "Ancien",
      "Modifié"),
   "Nouveau"))</f>
        <v>#VALUE!</v>
      </c>
      <c r="AD3335" s="1" t="str">
        <f>IFERROR(IF(Final_Sans_VGE[[#This Row],[ppn_z]]="","",IFERROR(
   IF(_xlfn.XLOOKUP(Final_Sans_VGE[[#This Row],[ppn_z]],tbl_Historique_Final[[#This Row],[ppn_z]],tbl_Historique_Final[[#This Row],[date_modif]])=Final_Sans_VGE[[#This Row],[date_modif]],
      "Ancien",
      "Modifié"),
   "Nouveau")),"")</f>
        <v/>
      </c>
    </row>
    <row r="3336" spans="24:30" x14ac:dyDescent="0.25">
      <c r="X3336" s="8" t="e">
        <f>IF(Final_Sans_VGE[[#This Row],[ppn_z]]="","",IFERROR(
   IF(_xlfn.XLOOKUP(Final_Sans_VGE[[#This Row],[ppn_z]],tbl_Historique_Final[ppn_z],tbl_Historique_Final[date_modif])=Final_Sans_VGE[[#This Row],[date_modif]],
      "Ancien",
      "Modifié"),
   "Nouveau"))</f>
        <v>#VALUE!</v>
      </c>
      <c r="AD3336" s="1" t="str">
        <f>IFERROR(IF(Final_Sans_VGE[[#This Row],[ppn_z]]="","",IFERROR(
   IF(_xlfn.XLOOKUP(Final_Sans_VGE[[#This Row],[ppn_z]],tbl_Historique_Final[[#This Row],[ppn_z]],tbl_Historique_Final[[#This Row],[date_modif]])=Final_Sans_VGE[[#This Row],[date_modif]],
      "Ancien",
      "Modifié"),
   "Nouveau")),"")</f>
        <v/>
      </c>
    </row>
    <row r="3337" spans="24:30" x14ac:dyDescent="0.25">
      <c r="X3337" s="8" t="e">
        <f>IF(Final_Sans_VGE[[#This Row],[ppn_z]]="","",IFERROR(
   IF(_xlfn.XLOOKUP(Final_Sans_VGE[[#This Row],[ppn_z]],tbl_Historique_Final[ppn_z],tbl_Historique_Final[date_modif])=Final_Sans_VGE[[#This Row],[date_modif]],
      "Ancien",
      "Modifié"),
   "Nouveau"))</f>
        <v>#VALUE!</v>
      </c>
      <c r="AD3337" s="1" t="str">
        <f>IFERROR(IF(Final_Sans_VGE[[#This Row],[ppn_z]]="","",IFERROR(
   IF(_xlfn.XLOOKUP(Final_Sans_VGE[[#This Row],[ppn_z]],tbl_Historique_Final[[#This Row],[ppn_z]],tbl_Historique_Final[[#This Row],[date_modif]])=Final_Sans_VGE[[#This Row],[date_modif]],
      "Ancien",
      "Modifié"),
   "Nouveau")),"")</f>
        <v/>
      </c>
    </row>
    <row r="3338" spans="24:30" x14ac:dyDescent="0.25">
      <c r="X3338" s="8" t="e">
        <f>IF(Final_Sans_VGE[[#This Row],[ppn_z]]="","",IFERROR(
   IF(_xlfn.XLOOKUP(Final_Sans_VGE[[#This Row],[ppn_z]],tbl_Historique_Final[ppn_z],tbl_Historique_Final[date_modif])=Final_Sans_VGE[[#This Row],[date_modif]],
      "Ancien",
      "Modifié"),
   "Nouveau"))</f>
        <v>#VALUE!</v>
      </c>
      <c r="AD3338" s="1" t="str">
        <f>IFERROR(IF(Final_Sans_VGE[[#This Row],[ppn_z]]="","",IFERROR(
   IF(_xlfn.XLOOKUP(Final_Sans_VGE[[#This Row],[ppn_z]],tbl_Historique_Final[[#This Row],[ppn_z]],tbl_Historique_Final[[#This Row],[date_modif]])=Final_Sans_VGE[[#This Row],[date_modif]],
      "Ancien",
      "Modifié"),
   "Nouveau")),"")</f>
        <v/>
      </c>
    </row>
    <row r="3339" spans="24:30" x14ac:dyDescent="0.25">
      <c r="X3339" s="8" t="e">
        <f>IF(Final_Sans_VGE[[#This Row],[ppn_z]]="","",IFERROR(
   IF(_xlfn.XLOOKUP(Final_Sans_VGE[[#This Row],[ppn_z]],tbl_Historique_Final[ppn_z],tbl_Historique_Final[date_modif])=Final_Sans_VGE[[#This Row],[date_modif]],
      "Ancien",
      "Modifié"),
   "Nouveau"))</f>
        <v>#VALUE!</v>
      </c>
      <c r="AD3339" s="1" t="str">
        <f>IFERROR(IF(Final_Sans_VGE[[#This Row],[ppn_z]]="","",IFERROR(
   IF(_xlfn.XLOOKUP(Final_Sans_VGE[[#This Row],[ppn_z]],tbl_Historique_Final[[#This Row],[ppn_z]],tbl_Historique_Final[[#This Row],[date_modif]])=Final_Sans_VGE[[#This Row],[date_modif]],
      "Ancien",
      "Modifié"),
   "Nouveau")),"")</f>
        <v/>
      </c>
    </row>
    <row r="3340" spans="24:30" x14ac:dyDescent="0.25">
      <c r="X3340" s="8" t="e">
        <f>IF(Final_Sans_VGE[[#This Row],[ppn_z]]="","",IFERROR(
   IF(_xlfn.XLOOKUP(Final_Sans_VGE[[#This Row],[ppn_z]],tbl_Historique_Final[ppn_z],tbl_Historique_Final[date_modif])=Final_Sans_VGE[[#This Row],[date_modif]],
      "Ancien",
      "Modifié"),
   "Nouveau"))</f>
        <v>#VALUE!</v>
      </c>
      <c r="AD3340" s="1" t="str">
        <f>IFERROR(IF(Final_Sans_VGE[[#This Row],[ppn_z]]="","",IFERROR(
   IF(_xlfn.XLOOKUP(Final_Sans_VGE[[#This Row],[ppn_z]],tbl_Historique_Final[[#This Row],[ppn_z]],tbl_Historique_Final[[#This Row],[date_modif]])=Final_Sans_VGE[[#This Row],[date_modif]],
      "Ancien",
      "Modifié"),
   "Nouveau")),"")</f>
        <v/>
      </c>
    </row>
    <row r="3341" spans="24:30" x14ac:dyDescent="0.25">
      <c r="X3341" s="8" t="e">
        <f>IF(Final_Sans_VGE[[#This Row],[ppn_z]]="","",IFERROR(
   IF(_xlfn.XLOOKUP(Final_Sans_VGE[[#This Row],[ppn_z]],tbl_Historique_Final[ppn_z],tbl_Historique_Final[date_modif])=Final_Sans_VGE[[#This Row],[date_modif]],
      "Ancien",
      "Modifié"),
   "Nouveau"))</f>
        <v>#VALUE!</v>
      </c>
      <c r="AD3341" s="1" t="str">
        <f>IFERROR(IF(Final_Sans_VGE[[#This Row],[ppn_z]]="","",IFERROR(
   IF(_xlfn.XLOOKUP(Final_Sans_VGE[[#This Row],[ppn_z]],tbl_Historique_Final[[#This Row],[ppn_z]],tbl_Historique_Final[[#This Row],[date_modif]])=Final_Sans_VGE[[#This Row],[date_modif]],
      "Ancien",
      "Modifié"),
   "Nouveau")),"")</f>
        <v/>
      </c>
    </row>
    <row r="3342" spans="24:30" x14ac:dyDescent="0.25">
      <c r="X3342" s="8" t="e">
        <f>IF(Final_Sans_VGE[[#This Row],[ppn_z]]="","",IFERROR(
   IF(_xlfn.XLOOKUP(Final_Sans_VGE[[#This Row],[ppn_z]],tbl_Historique_Final[ppn_z],tbl_Historique_Final[date_modif])=Final_Sans_VGE[[#This Row],[date_modif]],
      "Ancien",
      "Modifié"),
   "Nouveau"))</f>
        <v>#VALUE!</v>
      </c>
      <c r="AD3342" s="1" t="str">
        <f>IFERROR(IF(Final_Sans_VGE[[#This Row],[ppn_z]]="","",IFERROR(
   IF(_xlfn.XLOOKUP(Final_Sans_VGE[[#This Row],[ppn_z]],tbl_Historique_Final[[#This Row],[ppn_z]],tbl_Historique_Final[[#This Row],[date_modif]])=Final_Sans_VGE[[#This Row],[date_modif]],
      "Ancien",
      "Modifié"),
   "Nouveau")),"")</f>
        <v/>
      </c>
    </row>
    <row r="3343" spans="24:30" x14ac:dyDescent="0.25">
      <c r="X3343" s="8" t="e">
        <f>IF(Final_Sans_VGE[[#This Row],[ppn_z]]="","",IFERROR(
   IF(_xlfn.XLOOKUP(Final_Sans_VGE[[#This Row],[ppn_z]],tbl_Historique_Final[ppn_z],tbl_Historique_Final[date_modif])=Final_Sans_VGE[[#This Row],[date_modif]],
      "Ancien",
      "Modifié"),
   "Nouveau"))</f>
        <v>#VALUE!</v>
      </c>
      <c r="AD3343" s="1" t="str">
        <f>IFERROR(IF(Final_Sans_VGE[[#This Row],[ppn_z]]="","",IFERROR(
   IF(_xlfn.XLOOKUP(Final_Sans_VGE[[#This Row],[ppn_z]],tbl_Historique_Final[[#This Row],[ppn_z]],tbl_Historique_Final[[#This Row],[date_modif]])=Final_Sans_VGE[[#This Row],[date_modif]],
      "Ancien",
      "Modifié"),
   "Nouveau")),"")</f>
        <v/>
      </c>
    </row>
    <row r="3344" spans="24:30" x14ac:dyDescent="0.25">
      <c r="X3344" s="8" t="e">
        <f>IF(Final_Sans_VGE[[#This Row],[ppn_z]]="","",IFERROR(
   IF(_xlfn.XLOOKUP(Final_Sans_VGE[[#This Row],[ppn_z]],tbl_Historique_Final[ppn_z],tbl_Historique_Final[date_modif])=Final_Sans_VGE[[#This Row],[date_modif]],
      "Ancien",
      "Modifié"),
   "Nouveau"))</f>
        <v>#VALUE!</v>
      </c>
      <c r="AD3344" s="1" t="str">
        <f>IFERROR(IF(Final_Sans_VGE[[#This Row],[ppn_z]]="","",IFERROR(
   IF(_xlfn.XLOOKUP(Final_Sans_VGE[[#This Row],[ppn_z]],tbl_Historique_Final[[#This Row],[ppn_z]],tbl_Historique_Final[[#This Row],[date_modif]])=Final_Sans_VGE[[#This Row],[date_modif]],
      "Ancien",
      "Modifié"),
   "Nouveau")),"")</f>
        <v/>
      </c>
    </row>
    <row r="3345" spans="24:30" x14ac:dyDescent="0.25">
      <c r="X3345" s="8" t="e">
        <f>IF(Final_Sans_VGE[[#This Row],[ppn_z]]="","",IFERROR(
   IF(_xlfn.XLOOKUP(Final_Sans_VGE[[#This Row],[ppn_z]],tbl_Historique_Final[ppn_z],tbl_Historique_Final[date_modif])=Final_Sans_VGE[[#This Row],[date_modif]],
      "Ancien",
      "Modifié"),
   "Nouveau"))</f>
        <v>#VALUE!</v>
      </c>
      <c r="AD3345" s="1" t="str">
        <f>IFERROR(IF(Final_Sans_VGE[[#This Row],[ppn_z]]="","",IFERROR(
   IF(_xlfn.XLOOKUP(Final_Sans_VGE[[#This Row],[ppn_z]],tbl_Historique_Final[[#This Row],[ppn_z]],tbl_Historique_Final[[#This Row],[date_modif]])=Final_Sans_VGE[[#This Row],[date_modif]],
      "Ancien",
      "Modifié"),
   "Nouveau")),"")</f>
        <v/>
      </c>
    </row>
    <row r="3346" spans="24:30" x14ac:dyDescent="0.25">
      <c r="X3346" s="8" t="e">
        <f>IF(Final_Sans_VGE[[#This Row],[ppn_z]]="","",IFERROR(
   IF(_xlfn.XLOOKUP(Final_Sans_VGE[[#This Row],[ppn_z]],tbl_Historique_Final[ppn_z],tbl_Historique_Final[date_modif])=Final_Sans_VGE[[#This Row],[date_modif]],
      "Ancien",
      "Modifié"),
   "Nouveau"))</f>
        <v>#VALUE!</v>
      </c>
      <c r="AD3346" s="1" t="str">
        <f>IFERROR(IF(Final_Sans_VGE[[#This Row],[ppn_z]]="","",IFERROR(
   IF(_xlfn.XLOOKUP(Final_Sans_VGE[[#This Row],[ppn_z]],tbl_Historique_Final[[#This Row],[ppn_z]],tbl_Historique_Final[[#This Row],[date_modif]])=Final_Sans_VGE[[#This Row],[date_modif]],
      "Ancien",
      "Modifié"),
   "Nouveau")),"")</f>
        <v/>
      </c>
    </row>
    <row r="3347" spans="24:30" x14ac:dyDescent="0.25">
      <c r="X3347" s="8" t="e">
        <f>IF(Final_Sans_VGE[[#This Row],[ppn_z]]="","",IFERROR(
   IF(_xlfn.XLOOKUP(Final_Sans_VGE[[#This Row],[ppn_z]],tbl_Historique_Final[ppn_z],tbl_Historique_Final[date_modif])=Final_Sans_VGE[[#This Row],[date_modif]],
      "Ancien",
      "Modifié"),
   "Nouveau"))</f>
        <v>#VALUE!</v>
      </c>
      <c r="AD3347" s="1" t="str">
        <f>IFERROR(IF(Final_Sans_VGE[[#This Row],[ppn_z]]="","",IFERROR(
   IF(_xlfn.XLOOKUP(Final_Sans_VGE[[#This Row],[ppn_z]],tbl_Historique_Final[[#This Row],[ppn_z]],tbl_Historique_Final[[#This Row],[date_modif]])=Final_Sans_VGE[[#This Row],[date_modif]],
      "Ancien",
      "Modifié"),
   "Nouveau")),"")</f>
        <v/>
      </c>
    </row>
    <row r="3348" spans="24:30" x14ac:dyDescent="0.25">
      <c r="X3348" s="8" t="e">
        <f>IF(Final_Sans_VGE[[#This Row],[ppn_z]]="","",IFERROR(
   IF(_xlfn.XLOOKUP(Final_Sans_VGE[[#This Row],[ppn_z]],tbl_Historique_Final[ppn_z],tbl_Historique_Final[date_modif])=Final_Sans_VGE[[#This Row],[date_modif]],
      "Ancien",
      "Modifié"),
   "Nouveau"))</f>
        <v>#VALUE!</v>
      </c>
      <c r="AD3348" s="1" t="str">
        <f>IFERROR(IF(Final_Sans_VGE[[#This Row],[ppn_z]]="","",IFERROR(
   IF(_xlfn.XLOOKUP(Final_Sans_VGE[[#This Row],[ppn_z]],tbl_Historique_Final[[#This Row],[ppn_z]],tbl_Historique_Final[[#This Row],[date_modif]])=Final_Sans_VGE[[#This Row],[date_modif]],
      "Ancien",
      "Modifié"),
   "Nouveau")),"")</f>
        <v/>
      </c>
    </row>
    <row r="3349" spans="24:30" x14ac:dyDescent="0.25">
      <c r="X3349" s="8" t="e">
        <f>IF(Final_Sans_VGE[[#This Row],[ppn_z]]="","",IFERROR(
   IF(_xlfn.XLOOKUP(Final_Sans_VGE[[#This Row],[ppn_z]],tbl_Historique_Final[ppn_z],tbl_Historique_Final[date_modif])=Final_Sans_VGE[[#This Row],[date_modif]],
      "Ancien",
      "Modifié"),
   "Nouveau"))</f>
        <v>#VALUE!</v>
      </c>
      <c r="AD3349" s="1" t="str">
        <f>IFERROR(IF(Final_Sans_VGE[[#This Row],[ppn_z]]="","",IFERROR(
   IF(_xlfn.XLOOKUP(Final_Sans_VGE[[#This Row],[ppn_z]],tbl_Historique_Final[[#This Row],[ppn_z]],tbl_Historique_Final[[#This Row],[date_modif]])=Final_Sans_VGE[[#This Row],[date_modif]],
      "Ancien",
      "Modifié"),
   "Nouveau")),"")</f>
        <v/>
      </c>
    </row>
    <row r="3350" spans="24:30" x14ac:dyDescent="0.25">
      <c r="X3350" s="8" t="e">
        <f>IF(Final_Sans_VGE[[#This Row],[ppn_z]]="","",IFERROR(
   IF(_xlfn.XLOOKUP(Final_Sans_VGE[[#This Row],[ppn_z]],tbl_Historique_Final[ppn_z],tbl_Historique_Final[date_modif])=Final_Sans_VGE[[#This Row],[date_modif]],
      "Ancien",
      "Modifié"),
   "Nouveau"))</f>
        <v>#VALUE!</v>
      </c>
      <c r="AD3350" s="1" t="str">
        <f>IFERROR(IF(Final_Sans_VGE[[#This Row],[ppn_z]]="","",IFERROR(
   IF(_xlfn.XLOOKUP(Final_Sans_VGE[[#This Row],[ppn_z]],tbl_Historique_Final[[#This Row],[ppn_z]],tbl_Historique_Final[[#This Row],[date_modif]])=Final_Sans_VGE[[#This Row],[date_modif]],
      "Ancien",
      "Modifié"),
   "Nouveau")),"")</f>
        <v/>
      </c>
    </row>
    <row r="3351" spans="24:30" x14ac:dyDescent="0.25">
      <c r="X3351" s="8" t="e">
        <f>IF(Final_Sans_VGE[[#This Row],[ppn_z]]="","",IFERROR(
   IF(_xlfn.XLOOKUP(Final_Sans_VGE[[#This Row],[ppn_z]],tbl_Historique_Final[ppn_z],tbl_Historique_Final[date_modif])=Final_Sans_VGE[[#This Row],[date_modif]],
      "Ancien",
      "Modifié"),
   "Nouveau"))</f>
        <v>#VALUE!</v>
      </c>
      <c r="AD3351" s="1" t="str">
        <f>IFERROR(IF(Final_Sans_VGE[[#This Row],[ppn_z]]="","",IFERROR(
   IF(_xlfn.XLOOKUP(Final_Sans_VGE[[#This Row],[ppn_z]],tbl_Historique_Final[[#This Row],[ppn_z]],tbl_Historique_Final[[#This Row],[date_modif]])=Final_Sans_VGE[[#This Row],[date_modif]],
      "Ancien",
      "Modifié"),
   "Nouveau")),"")</f>
        <v/>
      </c>
    </row>
    <row r="3352" spans="24:30" x14ac:dyDescent="0.25">
      <c r="X3352" s="8" t="e">
        <f>IF(Final_Sans_VGE[[#This Row],[ppn_z]]="","",IFERROR(
   IF(_xlfn.XLOOKUP(Final_Sans_VGE[[#This Row],[ppn_z]],tbl_Historique_Final[ppn_z],tbl_Historique_Final[date_modif])=Final_Sans_VGE[[#This Row],[date_modif]],
      "Ancien",
      "Modifié"),
   "Nouveau"))</f>
        <v>#VALUE!</v>
      </c>
      <c r="AD3352" s="1" t="str">
        <f>IFERROR(IF(Final_Sans_VGE[[#This Row],[ppn_z]]="","",IFERROR(
   IF(_xlfn.XLOOKUP(Final_Sans_VGE[[#This Row],[ppn_z]],tbl_Historique_Final[[#This Row],[ppn_z]],tbl_Historique_Final[[#This Row],[date_modif]])=Final_Sans_VGE[[#This Row],[date_modif]],
      "Ancien",
      "Modifié"),
   "Nouveau")),"")</f>
        <v/>
      </c>
    </row>
    <row r="3353" spans="24:30" x14ac:dyDescent="0.25">
      <c r="X3353" s="8" t="e">
        <f>IF(Final_Sans_VGE[[#This Row],[ppn_z]]="","",IFERROR(
   IF(_xlfn.XLOOKUP(Final_Sans_VGE[[#This Row],[ppn_z]],tbl_Historique_Final[ppn_z],tbl_Historique_Final[date_modif])=Final_Sans_VGE[[#This Row],[date_modif]],
      "Ancien",
      "Modifié"),
   "Nouveau"))</f>
        <v>#VALUE!</v>
      </c>
      <c r="AD3353" s="1" t="str">
        <f>IFERROR(IF(Final_Sans_VGE[[#This Row],[ppn_z]]="","",IFERROR(
   IF(_xlfn.XLOOKUP(Final_Sans_VGE[[#This Row],[ppn_z]],tbl_Historique_Final[[#This Row],[ppn_z]],tbl_Historique_Final[[#This Row],[date_modif]])=Final_Sans_VGE[[#This Row],[date_modif]],
      "Ancien",
      "Modifié"),
   "Nouveau")),"")</f>
        <v/>
      </c>
    </row>
    <row r="3354" spans="24:30" x14ac:dyDescent="0.25">
      <c r="X3354" s="8" t="e">
        <f>IF(Final_Sans_VGE[[#This Row],[ppn_z]]="","",IFERROR(
   IF(_xlfn.XLOOKUP(Final_Sans_VGE[[#This Row],[ppn_z]],tbl_Historique_Final[ppn_z],tbl_Historique_Final[date_modif])=Final_Sans_VGE[[#This Row],[date_modif]],
      "Ancien",
      "Modifié"),
   "Nouveau"))</f>
        <v>#VALUE!</v>
      </c>
      <c r="AD3354" s="1" t="str">
        <f>IFERROR(IF(Final_Sans_VGE[[#This Row],[ppn_z]]="","",IFERROR(
   IF(_xlfn.XLOOKUP(Final_Sans_VGE[[#This Row],[ppn_z]],tbl_Historique_Final[[#This Row],[ppn_z]],tbl_Historique_Final[[#This Row],[date_modif]])=Final_Sans_VGE[[#This Row],[date_modif]],
      "Ancien",
      "Modifié"),
   "Nouveau")),"")</f>
        <v/>
      </c>
    </row>
    <row r="3355" spans="24:30" x14ac:dyDescent="0.25">
      <c r="X3355" s="8" t="e">
        <f>IF(Final_Sans_VGE[[#This Row],[ppn_z]]="","",IFERROR(
   IF(_xlfn.XLOOKUP(Final_Sans_VGE[[#This Row],[ppn_z]],tbl_Historique_Final[ppn_z],tbl_Historique_Final[date_modif])=Final_Sans_VGE[[#This Row],[date_modif]],
      "Ancien",
      "Modifié"),
   "Nouveau"))</f>
        <v>#VALUE!</v>
      </c>
      <c r="AD3355" s="1" t="str">
        <f>IFERROR(IF(Final_Sans_VGE[[#This Row],[ppn_z]]="","",IFERROR(
   IF(_xlfn.XLOOKUP(Final_Sans_VGE[[#This Row],[ppn_z]],tbl_Historique_Final[[#This Row],[ppn_z]],tbl_Historique_Final[[#This Row],[date_modif]])=Final_Sans_VGE[[#This Row],[date_modif]],
      "Ancien",
      "Modifié"),
   "Nouveau")),"")</f>
        <v/>
      </c>
    </row>
    <row r="3356" spans="24:30" x14ac:dyDescent="0.25">
      <c r="X3356" s="8" t="e">
        <f>IF(Final_Sans_VGE[[#This Row],[ppn_z]]="","",IFERROR(
   IF(_xlfn.XLOOKUP(Final_Sans_VGE[[#This Row],[ppn_z]],tbl_Historique_Final[ppn_z],tbl_Historique_Final[date_modif])=Final_Sans_VGE[[#This Row],[date_modif]],
      "Ancien",
      "Modifié"),
   "Nouveau"))</f>
        <v>#VALUE!</v>
      </c>
      <c r="AD3356" s="1" t="str">
        <f>IFERROR(IF(Final_Sans_VGE[[#This Row],[ppn_z]]="","",IFERROR(
   IF(_xlfn.XLOOKUP(Final_Sans_VGE[[#This Row],[ppn_z]],tbl_Historique_Final[[#This Row],[ppn_z]],tbl_Historique_Final[[#This Row],[date_modif]])=Final_Sans_VGE[[#This Row],[date_modif]],
      "Ancien",
      "Modifié"),
   "Nouveau")),"")</f>
        <v/>
      </c>
    </row>
    <row r="3357" spans="24:30" x14ac:dyDescent="0.25">
      <c r="X3357" s="8" t="e">
        <f>IF(Final_Sans_VGE[[#This Row],[ppn_z]]="","",IFERROR(
   IF(_xlfn.XLOOKUP(Final_Sans_VGE[[#This Row],[ppn_z]],tbl_Historique_Final[ppn_z],tbl_Historique_Final[date_modif])=Final_Sans_VGE[[#This Row],[date_modif]],
      "Ancien",
      "Modifié"),
   "Nouveau"))</f>
        <v>#VALUE!</v>
      </c>
      <c r="AD3357" s="1" t="str">
        <f>IFERROR(IF(Final_Sans_VGE[[#This Row],[ppn_z]]="","",IFERROR(
   IF(_xlfn.XLOOKUP(Final_Sans_VGE[[#This Row],[ppn_z]],tbl_Historique_Final[[#This Row],[ppn_z]],tbl_Historique_Final[[#This Row],[date_modif]])=Final_Sans_VGE[[#This Row],[date_modif]],
      "Ancien",
      "Modifié"),
   "Nouveau")),"")</f>
        <v/>
      </c>
    </row>
    <row r="3358" spans="24:30" x14ac:dyDescent="0.25">
      <c r="X3358" s="8" t="e">
        <f>IF(Final_Sans_VGE[[#This Row],[ppn_z]]="","",IFERROR(
   IF(_xlfn.XLOOKUP(Final_Sans_VGE[[#This Row],[ppn_z]],tbl_Historique_Final[ppn_z],tbl_Historique_Final[date_modif])=Final_Sans_VGE[[#This Row],[date_modif]],
      "Ancien",
      "Modifié"),
   "Nouveau"))</f>
        <v>#VALUE!</v>
      </c>
      <c r="AD3358" s="1" t="str">
        <f>IFERROR(IF(Final_Sans_VGE[[#This Row],[ppn_z]]="","",IFERROR(
   IF(_xlfn.XLOOKUP(Final_Sans_VGE[[#This Row],[ppn_z]],tbl_Historique_Final[[#This Row],[ppn_z]],tbl_Historique_Final[[#This Row],[date_modif]])=Final_Sans_VGE[[#This Row],[date_modif]],
      "Ancien",
      "Modifié"),
   "Nouveau")),"")</f>
        <v/>
      </c>
    </row>
    <row r="3359" spans="24:30" x14ac:dyDescent="0.25">
      <c r="X3359" s="8" t="e">
        <f>IF(Final_Sans_VGE[[#This Row],[ppn_z]]="","",IFERROR(
   IF(_xlfn.XLOOKUP(Final_Sans_VGE[[#This Row],[ppn_z]],tbl_Historique_Final[ppn_z],tbl_Historique_Final[date_modif])=Final_Sans_VGE[[#This Row],[date_modif]],
      "Ancien",
      "Modifié"),
   "Nouveau"))</f>
        <v>#VALUE!</v>
      </c>
      <c r="AD3359" s="1" t="str">
        <f>IFERROR(IF(Final_Sans_VGE[[#This Row],[ppn_z]]="","",IFERROR(
   IF(_xlfn.XLOOKUP(Final_Sans_VGE[[#This Row],[ppn_z]],tbl_Historique_Final[[#This Row],[ppn_z]],tbl_Historique_Final[[#This Row],[date_modif]])=Final_Sans_VGE[[#This Row],[date_modif]],
      "Ancien",
      "Modifié"),
   "Nouveau")),"")</f>
        <v/>
      </c>
    </row>
    <row r="3360" spans="24:30" x14ac:dyDescent="0.25">
      <c r="X3360" s="8" t="e">
        <f>IF(Final_Sans_VGE[[#This Row],[ppn_z]]="","",IFERROR(
   IF(_xlfn.XLOOKUP(Final_Sans_VGE[[#This Row],[ppn_z]],tbl_Historique_Final[ppn_z],tbl_Historique_Final[date_modif])=Final_Sans_VGE[[#This Row],[date_modif]],
      "Ancien",
      "Modifié"),
   "Nouveau"))</f>
        <v>#VALUE!</v>
      </c>
      <c r="AD3360" s="1" t="str">
        <f>IFERROR(IF(Final_Sans_VGE[[#This Row],[ppn_z]]="","",IFERROR(
   IF(_xlfn.XLOOKUP(Final_Sans_VGE[[#This Row],[ppn_z]],tbl_Historique_Final[[#This Row],[ppn_z]],tbl_Historique_Final[[#This Row],[date_modif]])=Final_Sans_VGE[[#This Row],[date_modif]],
      "Ancien",
      "Modifié"),
   "Nouveau")),"")</f>
        <v/>
      </c>
    </row>
    <row r="3361" spans="24:30" x14ac:dyDescent="0.25">
      <c r="X3361" s="8" t="e">
        <f>IF(Final_Sans_VGE[[#This Row],[ppn_z]]="","",IFERROR(
   IF(_xlfn.XLOOKUP(Final_Sans_VGE[[#This Row],[ppn_z]],tbl_Historique_Final[ppn_z],tbl_Historique_Final[date_modif])=Final_Sans_VGE[[#This Row],[date_modif]],
      "Ancien",
      "Modifié"),
   "Nouveau"))</f>
        <v>#VALUE!</v>
      </c>
      <c r="AD3361" s="1" t="str">
        <f>IFERROR(IF(Final_Sans_VGE[[#This Row],[ppn_z]]="","",IFERROR(
   IF(_xlfn.XLOOKUP(Final_Sans_VGE[[#This Row],[ppn_z]],tbl_Historique_Final[[#This Row],[ppn_z]],tbl_Historique_Final[[#This Row],[date_modif]])=Final_Sans_VGE[[#This Row],[date_modif]],
      "Ancien",
      "Modifié"),
   "Nouveau")),"")</f>
        <v/>
      </c>
    </row>
    <row r="3362" spans="24:30" x14ac:dyDescent="0.25">
      <c r="X3362" s="8" t="e">
        <f>IF(Final_Sans_VGE[[#This Row],[ppn_z]]="","",IFERROR(
   IF(_xlfn.XLOOKUP(Final_Sans_VGE[[#This Row],[ppn_z]],tbl_Historique_Final[ppn_z],tbl_Historique_Final[date_modif])=Final_Sans_VGE[[#This Row],[date_modif]],
      "Ancien",
      "Modifié"),
   "Nouveau"))</f>
        <v>#VALUE!</v>
      </c>
      <c r="AD3362" s="1" t="str">
        <f>IFERROR(IF(Final_Sans_VGE[[#This Row],[ppn_z]]="","",IFERROR(
   IF(_xlfn.XLOOKUP(Final_Sans_VGE[[#This Row],[ppn_z]],tbl_Historique_Final[[#This Row],[ppn_z]],tbl_Historique_Final[[#This Row],[date_modif]])=Final_Sans_VGE[[#This Row],[date_modif]],
      "Ancien",
      "Modifié"),
   "Nouveau")),"")</f>
        <v/>
      </c>
    </row>
    <row r="3363" spans="24:30" x14ac:dyDescent="0.25">
      <c r="X3363" s="8" t="e">
        <f>IF(Final_Sans_VGE[[#This Row],[ppn_z]]="","",IFERROR(
   IF(_xlfn.XLOOKUP(Final_Sans_VGE[[#This Row],[ppn_z]],tbl_Historique_Final[ppn_z],tbl_Historique_Final[date_modif])=Final_Sans_VGE[[#This Row],[date_modif]],
      "Ancien",
      "Modifié"),
   "Nouveau"))</f>
        <v>#VALUE!</v>
      </c>
      <c r="AD3363" s="1" t="str">
        <f>IFERROR(IF(Final_Sans_VGE[[#This Row],[ppn_z]]="","",IFERROR(
   IF(_xlfn.XLOOKUP(Final_Sans_VGE[[#This Row],[ppn_z]],tbl_Historique_Final[[#This Row],[ppn_z]],tbl_Historique_Final[[#This Row],[date_modif]])=Final_Sans_VGE[[#This Row],[date_modif]],
      "Ancien",
      "Modifié"),
   "Nouveau")),"")</f>
        <v/>
      </c>
    </row>
    <row r="3364" spans="24:30" x14ac:dyDescent="0.25">
      <c r="X3364" s="8" t="e">
        <f>IF(Final_Sans_VGE[[#This Row],[ppn_z]]="","",IFERROR(
   IF(_xlfn.XLOOKUP(Final_Sans_VGE[[#This Row],[ppn_z]],tbl_Historique_Final[ppn_z],tbl_Historique_Final[date_modif])=Final_Sans_VGE[[#This Row],[date_modif]],
      "Ancien",
      "Modifié"),
   "Nouveau"))</f>
        <v>#VALUE!</v>
      </c>
      <c r="AD3364" s="1" t="str">
        <f>IFERROR(IF(Final_Sans_VGE[[#This Row],[ppn_z]]="","",IFERROR(
   IF(_xlfn.XLOOKUP(Final_Sans_VGE[[#This Row],[ppn_z]],tbl_Historique_Final[[#This Row],[ppn_z]],tbl_Historique_Final[[#This Row],[date_modif]])=Final_Sans_VGE[[#This Row],[date_modif]],
      "Ancien",
      "Modifié"),
   "Nouveau")),"")</f>
        <v/>
      </c>
    </row>
    <row r="3365" spans="24:30" x14ac:dyDescent="0.25">
      <c r="X3365" s="8" t="e">
        <f>IF(Final_Sans_VGE[[#This Row],[ppn_z]]="","",IFERROR(
   IF(_xlfn.XLOOKUP(Final_Sans_VGE[[#This Row],[ppn_z]],tbl_Historique_Final[ppn_z],tbl_Historique_Final[date_modif])=Final_Sans_VGE[[#This Row],[date_modif]],
      "Ancien",
      "Modifié"),
   "Nouveau"))</f>
        <v>#VALUE!</v>
      </c>
      <c r="AD3365" s="1" t="str">
        <f>IFERROR(IF(Final_Sans_VGE[[#This Row],[ppn_z]]="","",IFERROR(
   IF(_xlfn.XLOOKUP(Final_Sans_VGE[[#This Row],[ppn_z]],tbl_Historique_Final[[#This Row],[ppn_z]],tbl_Historique_Final[[#This Row],[date_modif]])=Final_Sans_VGE[[#This Row],[date_modif]],
      "Ancien",
      "Modifié"),
   "Nouveau")),"")</f>
        <v/>
      </c>
    </row>
    <row r="3366" spans="24:30" x14ac:dyDescent="0.25">
      <c r="X3366" s="8" t="e">
        <f>IF(Final_Sans_VGE[[#This Row],[ppn_z]]="","",IFERROR(
   IF(_xlfn.XLOOKUP(Final_Sans_VGE[[#This Row],[ppn_z]],tbl_Historique_Final[ppn_z],tbl_Historique_Final[date_modif])=Final_Sans_VGE[[#This Row],[date_modif]],
      "Ancien",
      "Modifié"),
   "Nouveau"))</f>
        <v>#VALUE!</v>
      </c>
      <c r="AD3366" s="1" t="str">
        <f>IFERROR(IF(Final_Sans_VGE[[#This Row],[ppn_z]]="","",IFERROR(
   IF(_xlfn.XLOOKUP(Final_Sans_VGE[[#This Row],[ppn_z]],tbl_Historique_Final[[#This Row],[ppn_z]],tbl_Historique_Final[[#This Row],[date_modif]])=Final_Sans_VGE[[#This Row],[date_modif]],
      "Ancien",
      "Modifié"),
   "Nouveau")),"")</f>
        <v/>
      </c>
    </row>
    <row r="3367" spans="24:30" x14ac:dyDescent="0.25">
      <c r="X3367" s="8" t="e">
        <f>IF(Final_Sans_VGE[[#This Row],[ppn_z]]="","",IFERROR(
   IF(_xlfn.XLOOKUP(Final_Sans_VGE[[#This Row],[ppn_z]],tbl_Historique_Final[ppn_z],tbl_Historique_Final[date_modif])=Final_Sans_VGE[[#This Row],[date_modif]],
      "Ancien",
      "Modifié"),
   "Nouveau"))</f>
        <v>#VALUE!</v>
      </c>
      <c r="AD3367" s="1" t="str">
        <f>IFERROR(IF(Final_Sans_VGE[[#This Row],[ppn_z]]="","",IFERROR(
   IF(_xlfn.XLOOKUP(Final_Sans_VGE[[#This Row],[ppn_z]],tbl_Historique_Final[[#This Row],[ppn_z]],tbl_Historique_Final[[#This Row],[date_modif]])=Final_Sans_VGE[[#This Row],[date_modif]],
      "Ancien",
      "Modifié"),
   "Nouveau")),"")</f>
        <v/>
      </c>
    </row>
    <row r="3368" spans="24:30" x14ac:dyDescent="0.25">
      <c r="X3368" s="8" t="e">
        <f>IF(Final_Sans_VGE[[#This Row],[ppn_z]]="","",IFERROR(
   IF(_xlfn.XLOOKUP(Final_Sans_VGE[[#This Row],[ppn_z]],tbl_Historique_Final[ppn_z],tbl_Historique_Final[date_modif])=Final_Sans_VGE[[#This Row],[date_modif]],
      "Ancien",
      "Modifié"),
   "Nouveau"))</f>
        <v>#VALUE!</v>
      </c>
      <c r="AD3368" s="1" t="str">
        <f>IFERROR(IF(Final_Sans_VGE[[#This Row],[ppn_z]]="","",IFERROR(
   IF(_xlfn.XLOOKUP(Final_Sans_VGE[[#This Row],[ppn_z]],tbl_Historique_Final[[#This Row],[ppn_z]],tbl_Historique_Final[[#This Row],[date_modif]])=Final_Sans_VGE[[#This Row],[date_modif]],
      "Ancien",
      "Modifié"),
   "Nouveau")),"")</f>
        <v/>
      </c>
    </row>
    <row r="3369" spans="24:30" x14ac:dyDescent="0.25">
      <c r="X3369" s="8" t="e">
        <f>IF(Final_Sans_VGE[[#This Row],[ppn_z]]="","",IFERROR(
   IF(_xlfn.XLOOKUP(Final_Sans_VGE[[#This Row],[ppn_z]],tbl_Historique_Final[ppn_z],tbl_Historique_Final[date_modif])=Final_Sans_VGE[[#This Row],[date_modif]],
      "Ancien",
      "Modifié"),
   "Nouveau"))</f>
        <v>#VALUE!</v>
      </c>
      <c r="AD3369" s="1" t="str">
        <f>IFERROR(IF(Final_Sans_VGE[[#This Row],[ppn_z]]="","",IFERROR(
   IF(_xlfn.XLOOKUP(Final_Sans_VGE[[#This Row],[ppn_z]],tbl_Historique_Final[[#This Row],[ppn_z]],tbl_Historique_Final[[#This Row],[date_modif]])=Final_Sans_VGE[[#This Row],[date_modif]],
      "Ancien",
      "Modifié"),
   "Nouveau")),"")</f>
        <v/>
      </c>
    </row>
    <row r="3370" spans="24:30" x14ac:dyDescent="0.25">
      <c r="X3370" s="8" t="e">
        <f>IF(Final_Sans_VGE[[#This Row],[ppn_z]]="","",IFERROR(
   IF(_xlfn.XLOOKUP(Final_Sans_VGE[[#This Row],[ppn_z]],tbl_Historique_Final[ppn_z],tbl_Historique_Final[date_modif])=Final_Sans_VGE[[#This Row],[date_modif]],
      "Ancien",
      "Modifié"),
   "Nouveau"))</f>
        <v>#VALUE!</v>
      </c>
      <c r="AD3370" s="1" t="str">
        <f>IFERROR(IF(Final_Sans_VGE[[#This Row],[ppn_z]]="","",IFERROR(
   IF(_xlfn.XLOOKUP(Final_Sans_VGE[[#This Row],[ppn_z]],tbl_Historique_Final[[#This Row],[ppn_z]],tbl_Historique_Final[[#This Row],[date_modif]])=Final_Sans_VGE[[#This Row],[date_modif]],
      "Ancien",
      "Modifié"),
   "Nouveau")),"")</f>
        <v/>
      </c>
    </row>
    <row r="3371" spans="24:30" x14ac:dyDescent="0.25">
      <c r="X3371" s="8" t="e">
        <f>IF(Final_Sans_VGE[[#This Row],[ppn_z]]="","",IFERROR(
   IF(_xlfn.XLOOKUP(Final_Sans_VGE[[#This Row],[ppn_z]],tbl_Historique_Final[ppn_z],tbl_Historique_Final[date_modif])=Final_Sans_VGE[[#This Row],[date_modif]],
      "Ancien",
      "Modifié"),
   "Nouveau"))</f>
        <v>#VALUE!</v>
      </c>
      <c r="AD3371" s="1" t="str">
        <f>IFERROR(IF(Final_Sans_VGE[[#This Row],[ppn_z]]="","",IFERROR(
   IF(_xlfn.XLOOKUP(Final_Sans_VGE[[#This Row],[ppn_z]],tbl_Historique_Final[[#This Row],[ppn_z]],tbl_Historique_Final[[#This Row],[date_modif]])=Final_Sans_VGE[[#This Row],[date_modif]],
      "Ancien",
      "Modifié"),
   "Nouveau")),"")</f>
        <v/>
      </c>
    </row>
    <row r="3372" spans="24:30" x14ac:dyDescent="0.25">
      <c r="X3372" s="8" t="e">
        <f>IF(Final_Sans_VGE[[#This Row],[ppn_z]]="","",IFERROR(
   IF(_xlfn.XLOOKUP(Final_Sans_VGE[[#This Row],[ppn_z]],tbl_Historique_Final[ppn_z],tbl_Historique_Final[date_modif])=Final_Sans_VGE[[#This Row],[date_modif]],
      "Ancien",
      "Modifié"),
   "Nouveau"))</f>
        <v>#VALUE!</v>
      </c>
      <c r="AD3372" s="1" t="str">
        <f>IFERROR(IF(Final_Sans_VGE[[#This Row],[ppn_z]]="","",IFERROR(
   IF(_xlfn.XLOOKUP(Final_Sans_VGE[[#This Row],[ppn_z]],tbl_Historique_Final[[#This Row],[ppn_z]],tbl_Historique_Final[[#This Row],[date_modif]])=Final_Sans_VGE[[#This Row],[date_modif]],
      "Ancien",
      "Modifié"),
   "Nouveau")),"")</f>
        <v/>
      </c>
    </row>
    <row r="3373" spans="24:30" x14ac:dyDescent="0.25">
      <c r="X3373" s="8" t="e">
        <f>IF(Final_Sans_VGE[[#This Row],[ppn_z]]="","",IFERROR(
   IF(_xlfn.XLOOKUP(Final_Sans_VGE[[#This Row],[ppn_z]],tbl_Historique_Final[ppn_z],tbl_Historique_Final[date_modif])=Final_Sans_VGE[[#This Row],[date_modif]],
      "Ancien",
      "Modifié"),
   "Nouveau"))</f>
        <v>#VALUE!</v>
      </c>
      <c r="AD3373" s="1" t="str">
        <f>IFERROR(IF(Final_Sans_VGE[[#This Row],[ppn_z]]="","",IFERROR(
   IF(_xlfn.XLOOKUP(Final_Sans_VGE[[#This Row],[ppn_z]],tbl_Historique_Final[[#This Row],[ppn_z]],tbl_Historique_Final[[#This Row],[date_modif]])=Final_Sans_VGE[[#This Row],[date_modif]],
      "Ancien",
      "Modifié"),
   "Nouveau")),"")</f>
        <v/>
      </c>
    </row>
    <row r="3374" spans="24:30" x14ac:dyDescent="0.25">
      <c r="X3374" s="8" t="e">
        <f>IF(Final_Sans_VGE[[#This Row],[ppn_z]]="","",IFERROR(
   IF(_xlfn.XLOOKUP(Final_Sans_VGE[[#This Row],[ppn_z]],tbl_Historique_Final[ppn_z],tbl_Historique_Final[date_modif])=Final_Sans_VGE[[#This Row],[date_modif]],
      "Ancien",
      "Modifié"),
   "Nouveau"))</f>
        <v>#VALUE!</v>
      </c>
      <c r="AD3374" s="1" t="str">
        <f>IFERROR(IF(Final_Sans_VGE[[#This Row],[ppn_z]]="","",IFERROR(
   IF(_xlfn.XLOOKUP(Final_Sans_VGE[[#This Row],[ppn_z]],tbl_Historique_Final[[#This Row],[ppn_z]],tbl_Historique_Final[[#This Row],[date_modif]])=Final_Sans_VGE[[#This Row],[date_modif]],
      "Ancien",
      "Modifié"),
   "Nouveau")),"")</f>
        <v/>
      </c>
    </row>
    <row r="3375" spans="24:30" x14ac:dyDescent="0.25">
      <c r="X3375" s="8" t="e">
        <f>IF(Final_Sans_VGE[[#This Row],[ppn_z]]="","",IFERROR(
   IF(_xlfn.XLOOKUP(Final_Sans_VGE[[#This Row],[ppn_z]],tbl_Historique_Final[ppn_z],tbl_Historique_Final[date_modif])=Final_Sans_VGE[[#This Row],[date_modif]],
      "Ancien",
      "Modifié"),
   "Nouveau"))</f>
        <v>#VALUE!</v>
      </c>
      <c r="AD3375" s="1" t="str">
        <f>IFERROR(IF(Final_Sans_VGE[[#This Row],[ppn_z]]="","",IFERROR(
   IF(_xlfn.XLOOKUP(Final_Sans_VGE[[#This Row],[ppn_z]],tbl_Historique_Final[[#This Row],[ppn_z]],tbl_Historique_Final[[#This Row],[date_modif]])=Final_Sans_VGE[[#This Row],[date_modif]],
      "Ancien",
      "Modifié"),
   "Nouveau")),"")</f>
        <v/>
      </c>
    </row>
    <row r="3376" spans="24:30" x14ac:dyDescent="0.25">
      <c r="X3376" s="8" t="e">
        <f>IF(Final_Sans_VGE[[#This Row],[ppn_z]]="","",IFERROR(
   IF(_xlfn.XLOOKUP(Final_Sans_VGE[[#This Row],[ppn_z]],tbl_Historique_Final[ppn_z],tbl_Historique_Final[date_modif])=Final_Sans_VGE[[#This Row],[date_modif]],
      "Ancien",
      "Modifié"),
   "Nouveau"))</f>
        <v>#VALUE!</v>
      </c>
      <c r="AD3376" s="1" t="str">
        <f>IFERROR(IF(Final_Sans_VGE[[#This Row],[ppn_z]]="","",IFERROR(
   IF(_xlfn.XLOOKUP(Final_Sans_VGE[[#This Row],[ppn_z]],tbl_Historique_Final[[#This Row],[ppn_z]],tbl_Historique_Final[[#This Row],[date_modif]])=Final_Sans_VGE[[#This Row],[date_modif]],
      "Ancien",
      "Modifié"),
   "Nouveau")),"")</f>
        <v/>
      </c>
    </row>
    <row r="3377" spans="24:30" x14ac:dyDescent="0.25">
      <c r="X3377" s="8" t="e">
        <f>IF(Final_Sans_VGE[[#This Row],[ppn_z]]="","",IFERROR(
   IF(_xlfn.XLOOKUP(Final_Sans_VGE[[#This Row],[ppn_z]],tbl_Historique_Final[ppn_z],tbl_Historique_Final[date_modif])=Final_Sans_VGE[[#This Row],[date_modif]],
      "Ancien",
      "Modifié"),
   "Nouveau"))</f>
        <v>#VALUE!</v>
      </c>
      <c r="AD3377" s="1" t="str">
        <f>IFERROR(IF(Final_Sans_VGE[[#This Row],[ppn_z]]="","",IFERROR(
   IF(_xlfn.XLOOKUP(Final_Sans_VGE[[#This Row],[ppn_z]],tbl_Historique_Final[[#This Row],[ppn_z]],tbl_Historique_Final[[#This Row],[date_modif]])=Final_Sans_VGE[[#This Row],[date_modif]],
      "Ancien",
      "Modifié"),
   "Nouveau")),"")</f>
        <v/>
      </c>
    </row>
    <row r="3378" spans="24:30" x14ac:dyDescent="0.25">
      <c r="X3378" s="8" t="e">
        <f>IF(Final_Sans_VGE[[#This Row],[ppn_z]]="","",IFERROR(
   IF(_xlfn.XLOOKUP(Final_Sans_VGE[[#This Row],[ppn_z]],tbl_Historique_Final[ppn_z],tbl_Historique_Final[date_modif])=Final_Sans_VGE[[#This Row],[date_modif]],
      "Ancien",
      "Modifié"),
   "Nouveau"))</f>
        <v>#VALUE!</v>
      </c>
      <c r="AD3378" s="1" t="str">
        <f>IFERROR(IF(Final_Sans_VGE[[#This Row],[ppn_z]]="","",IFERROR(
   IF(_xlfn.XLOOKUP(Final_Sans_VGE[[#This Row],[ppn_z]],tbl_Historique_Final[[#This Row],[ppn_z]],tbl_Historique_Final[[#This Row],[date_modif]])=Final_Sans_VGE[[#This Row],[date_modif]],
      "Ancien",
      "Modifié"),
   "Nouveau")),"")</f>
        <v/>
      </c>
    </row>
    <row r="3379" spans="24:30" x14ac:dyDescent="0.25">
      <c r="X3379" s="8" t="e">
        <f>IF(Final_Sans_VGE[[#This Row],[ppn_z]]="","",IFERROR(
   IF(_xlfn.XLOOKUP(Final_Sans_VGE[[#This Row],[ppn_z]],tbl_Historique_Final[ppn_z],tbl_Historique_Final[date_modif])=Final_Sans_VGE[[#This Row],[date_modif]],
      "Ancien",
      "Modifié"),
   "Nouveau"))</f>
        <v>#VALUE!</v>
      </c>
      <c r="AD3379" s="1" t="str">
        <f>IFERROR(IF(Final_Sans_VGE[[#This Row],[ppn_z]]="","",IFERROR(
   IF(_xlfn.XLOOKUP(Final_Sans_VGE[[#This Row],[ppn_z]],tbl_Historique_Final[[#This Row],[ppn_z]],tbl_Historique_Final[[#This Row],[date_modif]])=Final_Sans_VGE[[#This Row],[date_modif]],
      "Ancien",
      "Modifié"),
   "Nouveau")),"")</f>
        <v/>
      </c>
    </row>
    <row r="3380" spans="24:30" x14ac:dyDescent="0.25">
      <c r="X3380" s="8" t="e">
        <f>IF(Final_Sans_VGE[[#This Row],[ppn_z]]="","",IFERROR(
   IF(_xlfn.XLOOKUP(Final_Sans_VGE[[#This Row],[ppn_z]],tbl_Historique_Final[ppn_z],tbl_Historique_Final[date_modif])=Final_Sans_VGE[[#This Row],[date_modif]],
      "Ancien",
      "Modifié"),
   "Nouveau"))</f>
        <v>#VALUE!</v>
      </c>
      <c r="AD3380" s="1" t="str">
        <f>IFERROR(IF(Final_Sans_VGE[[#This Row],[ppn_z]]="","",IFERROR(
   IF(_xlfn.XLOOKUP(Final_Sans_VGE[[#This Row],[ppn_z]],tbl_Historique_Final[[#This Row],[ppn_z]],tbl_Historique_Final[[#This Row],[date_modif]])=Final_Sans_VGE[[#This Row],[date_modif]],
      "Ancien",
      "Modifié"),
   "Nouveau")),"")</f>
        <v/>
      </c>
    </row>
    <row r="3381" spans="24:30" x14ac:dyDescent="0.25">
      <c r="X3381" s="8" t="e">
        <f>IF(Final_Sans_VGE[[#This Row],[ppn_z]]="","",IFERROR(
   IF(_xlfn.XLOOKUP(Final_Sans_VGE[[#This Row],[ppn_z]],tbl_Historique_Final[ppn_z],tbl_Historique_Final[date_modif])=Final_Sans_VGE[[#This Row],[date_modif]],
      "Ancien",
      "Modifié"),
   "Nouveau"))</f>
        <v>#VALUE!</v>
      </c>
      <c r="AD3381" s="1" t="str">
        <f>IFERROR(IF(Final_Sans_VGE[[#This Row],[ppn_z]]="","",IFERROR(
   IF(_xlfn.XLOOKUP(Final_Sans_VGE[[#This Row],[ppn_z]],tbl_Historique_Final[[#This Row],[ppn_z]],tbl_Historique_Final[[#This Row],[date_modif]])=Final_Sans_VGE[[#This Row],[date_modif]],
      "Ancien",
      "Modifié"),
   "Nouveau")),"")</f>
        <v/>
      </c>
    </row>
    <row r="3382" spans="24:30" x14ac:dyDescent="0.25">
      <c r="X3382" s="8" t="e">
        <f>IF(Final_Sans_VGE[[#This Row],[ppn_z]]="","",IFERROR(
   IF(_xlfn.XLOOKUP(Final_Sans_VGE[[#This Row],[ppn_z]],tbl_Historique_Final[ppn_z],tbl_Historique_Final[date_modif])=Final_Sans_VGE[[#This Row],[date_modif]],
      "Ancien",
      "Modifié"),
   "Nouveau"))</f>
        <v>#VALUE!</v>
      </c>
      <c r="AD3382" s="1" t="str">
        <f>IFERROR(IF(Final_Sans_VGE[[#This Row],[ppn_z]]="","",IFERROR(
   IF(_xlfn.XLOOKUP(Final_Sans_VGE[[#This Row],[ppn_z]],tbl_Historique_Final[[#This Row],[ppn_z]],tbl_Historique_Final[[#This Row],[date_modif]])=Final_Sans_VGE[[#This Row],[date_modif]],
      "Ancien",
      "Modifié"),
   "Nouveau")),"")</f>
        <v/>
      </c>
    </row>
    <row r="3383" spans="24:30" x14ac:dyDescent="0.25">
      <c r="X3383" s="8" t="e">
        <f>IF(Final_Sans_VGE[[#This Row],[ppn_z]]="","",IFERROR(
   IF(_xlfn.XLOOKUP(Final_Sans_VGE[[#This Row],[ppn_z]],tbl_Historique_Final[ppn_z],tbl_Historique_Final[date_modif])=Final_Sans_VGE[[#This Row],[date_modif]],
      "Ancien",
      "Modifié"),
   "Nouveau"))</f>
        <v>#VALUE!</v>
      </c>
      <c r="AD3383" s="1" t="str">
        <f>IFERROR(IF(Final_Sans_VGE[[#This Row],[ppn_z]]="","",IFERROR(
   IF(_xlfn.XLOOKUP(Final_Sans_VGE[[#This Row],[ppn_z]],tbl_Historique_Final[[#This Row],[ppn_z]],tbl_Historique_Final[[#This Row],[date_modif]])=Final_Sans_VGE[[#This Row],[date_modif]],
      "Ancien",
      "Modifié"),
   "Nouveau")),"")</f>
        <v/>
      </c>
    </row>
    <row r="3384" spans="24:30" x14ac:dyDescent="0.25">
      <c r="X3384" s="8" t="e">
        <f>IF(Final_Sans_VGE[[#This Row],[ppn_z]]="","",IFERROR(
   IF(_xlfn.XLOOKUP(Final_Sans_VGE[[#This Row],[ppn_z]],tbl_Historique_Final[ppn_z],tbl_Historique_Final[date_modif])=Final_Sans_VGE[[#This Row],[date_modif]],
      "Ancien",
      "Modifié"),
   "Nouveau"))</f>
        <v>#VALUE!</v>
      </c>
      <c r="AD3384" s="1" t="str">
        <f>IFERROR(IF(Final_Sans_VGE[[#This Row],[ppn_z]]="","",IFERROR(
   IF(_xlfn.XLOOKUP(Final_Sans_VGE[[#This Row],[ppn_z]],tbl_Historique_Final[[#This Row],[ppn_z]],tbl_Historique_Final[[#This Row],[date_modif]])=Final_Sans_VGE[[#This Row],[date_modif]],
      "Ancien",
      "Modifié"),
   "Nouveau")),"")</f>
        <v/>
      </c>
    </row>
    <row r="3385" spans="24:30" x14ac:dyDescent="0.25">
      <c r="X3385" s="8" t="e">
        <f>IF(Final_Sans_VGE[[#This Row],[ppn_z]]="","",IFERROR(
   IF(_xlfn.XLOOKUP(Final_Sans_VGE[[#This Row],[ppn_z]],tbl_Historique_Final[ppn_z],tbl_Historique_Final[date_modif])=Final_Sans_VGE[[#This Row],[date_modif]],
      "Ancien",
      "Modifié"),
   "Nouveau"))</f>
        <v>#VALUE!</v>
      </c>
      <c r="AD3385" s="1" t="str">
        <f>IFERROR(IF(Final_Sans_VGE[[#This Row],[ppn_z]]="","",IFERROR(
   IF(_xlfn.XLOOKUP(Final_Sans_VGE[[#This Row],[ppn_z]],tbl_Historique_Final[[#This Row],[ppn_z]],tbl_Historique_Final[[#This Row],[date_modif]])=Final_Sans_VGE[[#This Row],[date_modif]],
      "Ancien",
      "Modifié"),
   "Nouveau")),"")</f>
        <v/>
      </c>
    </row>
    <row r="3386" spans="24:30" x14ac:dyDescent="0.25">
      <c r="X3386" s="8" t="e">
        <f>IF(Final_Sans_VGE[[#This Row],[ppn_z]]="","",IFERROR(
   IF(_xlfn.XLOOKUP(Final_Sans_VGE[[#This Row],[ppn_z]],tbl_Historique_Final[ppn_z],tbl_Historique_Final[date_modif])=Final_Sans_VGE[[#This Row],[date_modif]],
      "Ancien",
      "Modifié"),
   "Nouveau"))</f>
        <v>#VALUE!</v>
      </c>
      <c r="AD3386" s="1" t="str">
        <f>IFERROR(IF(Final_Sans_VGE[[#This Row],[ppn_z]]="","",IFERROR(
   IF(_xlfn.XLOOKUP(Final_Sans_VGE[[#This Row],[ppn_z]],tbl_Historique_Final[[#This Row],[ppn_z]],tbl_Historique_Final[[#This Row],[date_modif]])=Final_Sans_VGE[[#This Row],[date_modif]],
      "Ancien",
      "Modifié"),
   "Nouveau")),"")</f>
        <v/>
      </c>
    </row>
    <row r="3387" spans="24:30" x14ac:dyDescent="0.25">
      <c r="X3387" s="8" t="e">
        <f>IF(Final_Sans_VGE[[#This Row],[ppn_z]]="","",IFERROR(
   IF(_xlfn.XLOOKUP(Final_Sans_VGE[[#This Row],[ppn_z]],tbl_Historique_Final[ppn_z],tbl_Historique_Final[date_modif])=Final_Sans_VGE[[#This Row],[date_modif]],
      "Ancien",
      "Modifié"),
   "Nouveau"))</f>
        <v>#VALUE!</v>
      </c>
      <c r="AD3387" s="1" t="str">
        <f>IFERROR(IF(Final_Sans_VGE[[#This Row],[ppn_z]]="","",IFERROR(
   IF(_xlfn.XLOOKUP(Final_Sans_VGE[[#This Row],[ppn_z]],tbl_Historique_Final[[#This Row],[ppn_z]],tbl_Historique_Final[[#This Row],[date_modif]])=Final_Sans_VGE[[#This Row],[date_modif]],
      "Ancien",
      "Modifié"),
   "Nouveau")),"")</f>
        <v/>
      </c>
    </row>
    <row r="3388" spans="24:30" x14ac:dyDescent="0.25">
      <c r="X3388" s="8" t="e">
        <f>IF(Final_Sans_VGE[[#This Row],[ppn_z]]="","",IFERROR(
   IF(_xlfn.XLOOKUP(Final_Sans_VGE[[#This Row],[ppn_z]],tbl_Historique_Final[ppn_z],tbl_Historique_Final[date_modif])=Final_Sans_VGE[[#This Row],[date_modif]],
      "Ancien",
      "Modifié"),
   "Nouveau"))</f>
        <v>#VALUE!</v>
      </c>
      <c r="AD3388" s="1" t="str">
        <f>IFERROR(IF(Final_Sans_VGE[[#This Row],[ppn_z]]="","",IFERROR(
   IF(_xlfn.XLOOKUP(Final_Sans_VGE[[#This Row],[ppn_z]],tbl_Historique_Final[[#This Row],[ppn_z]],tbl_Historique_Final[[#This Row],[date_modif]])=Final_Sans_VGE[[#This Row],[date_modif]],
      "Ancien",
      "Modifié"),
   "Nouveau")),"")</f>
        <v/>
      </c>
    </row>
    <row r="3389" spans="24:30" x14ac:dyDescent="0.25">
      <c r="X3389" s="8" t="e">
        <f>IF(Final_Sans_VGE[[#This Row],[ppn_z]]="","",IFERROR(
   IF(_xlfn.XLOOKUP(Final_Sans_VGE[[#This Row],[ppn_z]],tbl_Historique_Final[ppn_z],tbl_Historique_Final[date_modif])=Final_Sans_VGE[[#This Row],[date_modif]],
      "Ancien",
      "Modifié"),
   "Nouveau"))</f>
        <v>#VALUE!</v>
      </c>
      <c r="AD3389" s="1" t="str">
        <f>IFERROR(IF(Final_Sans_VGE[[#This Row],[ppn_z]]="","",IFERROR(
   IF(_xlfn.XLOOKUP(Final_Sans_VGE[[#This Row],[ppn_z]],tbl_Historique_Final[[#This Row],[ppn_z]],tbl_Historique_Final[[#This Row],[date_modif]])=Final_Sans_VGE[[#This Row],[date_modif]],
      "Ancien",
      "Modifié"),
   "Nouveau")),"")</f>
        <v/>
      </c>
    </row>
    <row r="3390" spans="24:30" x14ac:dyDescent="0.25">
      <c r="X3390" s="8" t="e">
        <f>IF(Final_Sans_VGE[[#This Row],[ppn_z]]="","",IFERROR(
   IF(_xlfn.XLOOKUP(Final_Sans_VGE[[#This Row],[ppn_z]],tbl_Historique_Final[ppn_z],tbl_Historique_Final[date_modif])=Final_Sans_VGE[[#This Row],[date_modif]],
      "Ancien",
      "Modifié"),
   "Nouveau"))</f>
        <v>#VALUE!</v>
      </c>
      <c r="AD3390" s="1" t="str">
        <f>IFERROR(IF(Final_Sans_VGE[[#This Row],[ppn_z]]="","",IFERROR(
   IF(_xlfn.XLOOKUP(Final_Sans_VGE[[#This Row],[ppn_z]],tbl_Historique_Final[[#This Row],[ppn_z]],tbl_Historique_Final[[#This Row],[date_modif]])=Final_Sans_VGE[[#This Row],[date_modif]],
      "Ancien",
      "Modifié"),
   "Nouveau")),"")</f>
        <v/>
      </c>
    </row>
    <row r="3391" spans="24:30" x14ac:dyDescent="0.25">
      <c r="X3391" s="8" t="e">
        <f>IF(Final_Sans_VGE[[#This Row],[ppn_z]]="","",IFERROR(
   IF(_xlfn.XLOOKUP(Final_Sans_VGE[[#This Row],[ppn_z]],tbl_Historique_Final[ppn_z],tbl_Historique_Final[date_modif])=Final_Sans_VGE[[#This Row],[date_modif]],
      "Ancien",
      "Modifié"),
   "Nouveau"))</f>
        <v>#VALUE!</v>
      </c>
      <c r="AD3391" s="1" t="str">
        <f>IFERROR(IF(Final_Sans_VGE[[#This Row],[ppn_z]]="","",IFERROR(
   IF(_xlfn.XLOOKUP(Final_Sans_VGE[[#This Row],[ppn_z]],tbl_Historique_Final[[#This Row],[ppn_z]],tbl_Historique_Final[[#This Row],[date_modif]])=Final_Sans_VGE[[#This Row],[date_modif]],
      "Ancien",
      "Modifié"),
   "Nouveau")),"")</f>
        <v/>
      </c>
    </row>
    <row r="3392" spans="24:30" x14ac:dyDescent="0.25">
      <c r="X3392" s="8" t="e">
        <f>IF(Final_Sans_VGE[[#This Row],[ppn_z]]="","",IFERROR(
   IF(_xlfn.XLOOKUP(Final_Sans_VGE[[#This Row],[ppn_z]],tbl_Historique_Final[ppn_z],tbl_Historique_Final[date_modif])=Final_Sans_VGE[[#This Row],[date_modif]],
      "Ancien",
      "Modifié"),
   "Nouveau"))</f>
        <v>#VALUE!</v>
      </c>
      <c r="AD3392" s="1" t="str">
        <f>IFERROR(IF(Final_Sans_VGE[[#This Row],[ppn_z]]="","",IFERROR(
   IF(_xlfn.XLOOKUP(Final_Sans_VGE[[#This Row],[ppn_z]],tbl_Historique_Final[[#This Row],[ppn_z]],tbl_Historique_Final[[#This Row],[date_modif]])=Final_Sans_VGE[[#This Row],[date_modif]],
      "Ancien",
      "Modifié"),
   "Nouveau")),"")</f>
        <v/>
      </c>
    </row>
    <row r="3393" spans="24:30" x14ac:dyDescent="0.25">
      <c r="X3393" s="8" t="e">
        <f>IF(Final_Sans_VGE[[#This Row],[ppn_z]]="","",IFERROR(
   IF(_xlfn.XLOOKUP(Final_Sans_VGE[[#This Row],[ppn_z]],tbl_Historique_Final[ppn_z],tbl_Historique_Final[date_modif])=Final_Sans_VGE[[#This Row],[date_modif]],
      "Ancien",
      "Modifié"),
   "Nouveau"))</f>
        <v>#VALUE!</v>
      </c>
      <c r="AD3393" s="1" t="str">
        <f>IFERROR(IF(Final_Sans_VGE[[#This Row],[ppn_z]]="","",IFERROR(
   IF(_xlfn.XLOOKUP(Final_Sans_VGE[[#This Row],[ppn_z]],tbl_Historique_Final[[#This Row],[ppn_z]],tbl_Historique_Final[[#This Row],[date_modif]])=Final_Sans_VGE[[#This Row],[date_modif]],
      "Ancien",
      "Modifié"),
   "Nouveau")),"")</f>
        <v/>
      </c>
    </row>
    <row r="3394" spans="24:30" x14ac:dyDescent="0.25">
      <c r="X3394" s="8" t="e">
        <f>IF(Final_Sans_VGE[[#This Row],[ppn_z]]="","",IFERROR(
   IF(_xlfn.XLOOKUP(Final_Sans_VGE[[#This Row],[ppn_z]],tbl_Historique_Final[ppn_z],tbl_Historique_Final[date_modif])=Final_Sans_VGE[[#This Row],[date_modif]],
      "Ancien",
      "Modifié"),
   "Nouveau"))</f>
        <v>#VALUE!</v>
      </c>
      <c r="AD3394" s="1" t="str">
        <f>IFERROR(IF(Final_Sans_VGE[[#This Row],[ppn_z]]="","",IFERROR(
   IF(_xlfn.XLOOKUP(Final_Sans_VGE[[#This Row],[ppn_z]],tbl_Historique_Final[[#This Row],[ppn_z]],tbl_Historique_Final[[#This Row],[date_modif]])=Final_Sans_VGE[[#This Row],[date_modif]],
      "Ancien",
      "Modifié"),
   "Nouveau")),"")</f>
        <v/>
      </c>
    </row>
    <row r="3395" spans="24:30" x14ac:dyDescent="0.25">
      <c r="X3395" s="8" t="e">
        <f>IF(Final_Sans_VGE[[#This Row],[ppn_z]]="","",IFERROR(
   IF(_xlfn.XLOOKUP(Final_Sans_VGE[[#This Row],[ppn_z]],tbl_Historique_Final[ppn_z],tbl_Historique_Final[date_modif])=Final_Sans_VGE[[#This Row],[date_modif]],
      "Ancien",
      "Modifié"),
   "Nouveau"))</f>
        <v>#VALUE!</v>
      </c>
      <c r="AD3395" s="1" t="str">
        <f>IFERROR(IF(Final_Sans_VGE[[#This Row],[ppn_z]]="","",IFERROR(
   IF(_xlfn.XLOOKUP(Final_Sans_VGE[[#This Row],[ppn_z]],tbl_Historique_Final[[#This Row],[ppn_z]],tbl_Historique_Final[[#This Row],[date_modif]])=Final_Sans_VGE[[#This Row],[date_modif]],
      "Ancien",
      "Modifié"),
   "Nouveau")),"")</f>
        <v/>
      </c>
    </row>
    <row r="3396" spans="24:30" x14ac:dyDescent="0.25">
      <c r="X3396" s="8" t="e">
        <f>IF(Final_Sans_VGE[[#This Row],[ppn_z]]="","",IFERROR(
   IF(_xlfn.XLOOKUP(Final_Sans_VGE[[#This Row],[ppn_z]],tbl_Historique_Final[ppn_z],tbl_Historique_Final[date_modif])=Final_Sans_VGE[[#This Row],[date_modif]],
      "Ancien",
      "Modifié"),
   "Nouveau"))</f>
        <v>#VALUE!</v>
      </c>
      <c r="AD3396" s="1" t="str">
        <f>IFERROR(IF(Final_Sans_VGE[[#This Row],[ppn_z]]="","",IFERROR(
   IF(_xlfn.XLOOKUP(Final_Sans_VGE[[#This Row],[ppn_z]],tbl_Historique_Final[[#This Row],[ppn_z]],tbl_Historique_Final[[#This Row],[date_modif]])=Final_Sans_VGE[[#This Row],[date_modif]],
      "Ancien",
      "Modifié"),
   "Nouveau")),"")</f>
        <v/>
      </c>
    </row>
    <row r="3397" spans="24:30" x14ac:dyDescent="0.25">
      <c r="X3397" s="8" t="e">
        <f>IF(Final_Sans_VGE[[#This Row],[ppn_z]]="","",IFERROR(
   IF(_xlfn.XLOOKUP(Final_Sans_VGE[[#This Row],[ppn_z]],tbl_Historique_Final[ppn_z],tbl_Historique_Final[date_modif])=Final_Sans_VGE[[#This Row],[date_modif]],
      "Ancien",
      "Modifié"),
   "Nouveau"))</f>
        <v>#VALUE!</v>
      </c>
      <c r="AD3397" s="1" t="str">
        <f>IFERROR(IF(Final_Sans_VGE[[#This Row],[ppn_z]]="","",IFERROR(
   IF(_xlfn.XLOOKUP(Final_Sans_VGE[[#This Row],[ppn_z]],tbl_Historique_Final[[#This Row],[ppn_z]],tbl_Historique_Final[[#This Row],[date_modif]])=Final_Sans_VGE[[#This Row],[date_modif]],
      "Ancien",
      "Modifié"),
   "Nouveau")),"")</f>
        <v/>
      </c>
    </row>
    <row r="3398" spans="24:30" x14ac:dyDescent="0.25">
      <c r="X3398" s="8" t="e">
        <f>IF(Final_Sans_VGE[[#This Row],[ppn_z]]="","",IFERROR(
   IF(_xlfn.XLOOKUP(Final_Sans_VGE[[#This Row],[ppn_z]],tbl_Historique_Final[ppn_z],tbl_Historique_Final[date_modif])=Final_Sans_VGE[[#This Row],[date_modif]],
      "Ancien",
      "Modifié"),
   "Nouveau"))</f>
        <v>#VALUE!</v>
      </c>
      <c r="AD3398" s="1" t="str">
        <f>IFERROR(IF(Final_Sans_VGE[[#This Row],[ppn_z]]="","",IFERROR(
   IF(_xlfn.XLOOKUP(Final_Sans_VGE[[#This Row],[ppn_z]],tbl_Historique_Final[[#This Row],[ppn_z]],tbl_Historique_Final[[#This Row],[date_modif]])=Final_Sans_VGE[[#This Row],[date_modif]],
      "Ancien",
      "Modifié"),
   "Nouveau")),"")</f>
        <v/>
      </c>
    </row>
    <row r="3399" spans="24:30" x14ac:dyDescent="0.25">
      <c r="X3399" s="8" t="e">
        <f>IF(Final_Sans_VGE[[#This Row],[ppn_z]]="","",IFERROR(
   IF(_xlfn.XLOOKUP(Final_Sans_VGE[[#This Row],[ppn_z]],tbl_Historique_Final[ppn_z],tbl_Historique_Final[date_modif])=Final_Sans_VGE[[#This Row],[date_modif]],
      "Ancien",
      "Modifié"),
   "Nouveau"))</f>
        <v>#VALUE!</v>
      </c>
      <c r="AD3399" s="1" t="str">
        <f>IFERROR(IF(Final_Sans_VGE[[#This Row],[ppn_z]]="","",IFERROR(
   IF(_xlfn.XLOOKUP(Final_Sans_VGE[[#This Row],[ppn_z]],tbl_Historique_Final[[#This Row],[ppn_z]],tbl_Historique_Final[[#This Row],[date_modif]])=Final_Sans_VGE[[#This Row],[date_modif]],
      "Ancien",
      "Modifié"),
   "Nouveau")),"")</f>
        <v/>
      </c>
    </row>
    <row r="3400" spans="24:30" x14ac:dyDescent="0.25">
      <c r="X3400" s="8" t="e">
        <f>IF(Final_Sans_VGE[[#This Row],[ppn_z]]="","",IFERROR(
   IF(_xlfn.XLOOKUP(Final_Sans_VGE[[#This Row],[ppn_z]],tbl_Historique_Final[ppn_z],tbl_Historique_Final[date_modif])=Final_Sans_VGE[[#This Row],[date_modif]],
      "Ancien",
      "Modifié"),
   "Nouveau"))</f>
        <v>#VALUE!</v>
      </c>
      <c r="AD3400" s="1" t="str">
        <f>IFERROR(IF(Final_Sans_VGE[[#This Row],[ppn_z]]="","",IFERROR(
   IF(_xlfn.XLOOKUP(Final_Sans_VGE[[#This Row],[ppn_z]],tbl_Historique_Final[[#This Row],[ppn_z]],tbl_Historique_Final[[#This Row],[date_modif]])=Final_Sans_VGE[[#This Row],[date_modif]],
      "Ancien",
      "Modifié"),
   "Nouveau")),"")</f>
        <v/>
      </c>
    </row>
    <row r="3401" spans="24:30" x14ac:dyDescent="0.25">
      <c r="X3401" s="8" t="e">
        <f>IF(Final_Sans_VGE[[#This Row],[ppn_z]]="","",IFERROR(
   IF(_xlfn.XLOOKUP(Final_Sans_VGE[[#This Row],[ppn_z]],tbl_Historique_Final[ppn_z],tbl_Historique_Final[date_modif])=Final_Sans_VGE[[#This Row],[date_modif]],
      "Ancien",
      "Modifié"),
   "Nouveau"))</f>
        <v>#VALUE!</v>
      </c>
      <c r="AD3401" s="1" t="str">
        <f>IFERROR(IF(Final_Sans_VGE[[#This Row],[ppn_z]]="","",IFERROR(
   IF(_xlfn.XLOOKUP(Final_Sans_VGE[[#This Row],[ppn_z]],tbl_Historique_Final[[#This Row],[ppn_z]],tbl_Historique_Final[[#This Row],[date_modif]])=Final_Sans_VGE[[#This Row],[date_modif]],
      "Ancien",
      "Modifié"),
   "Nouveau")),"")</f>
        <v/>
      </c>
    </row>
    <row r="3402" spans="24:30" x14ac:dyDescent="0.25">
      <c r="X3402" s="8" t="e">
        <f>IF(Final_Sans_VGE[[#This Row],[ppn_z]]="","",IFERROR(
   IF(_xlfn.XLOOKUP(Final_Sans_VGE[[#This Row],[ppn_z]],tbl_Historique_Final[ppn_z],tbl_Historique_Final[date_modif])=Final_Sans_VGE[[#This Row],[date_modif]],
      "Ancien",
      "Modifié"),
   "Nouveau"))</f>
        <v>#VALUE!</v>
      </c>
      <c r="AD3402" s="1" t="str">
        <f>IFERROR(IF(Final_Sans_VGE[[#This Row],[ppn_z]]="","",IFERROR(
   IF(_xlfn.XLOOKUP(Final_Sans_VGE[[#This Row],[ppn_z]],tbl_Historique_Final[[#This Row],[ppn_z]],tbl_Historique_Final[[#This Row],[date_modif]])=Final_Sans_VGE[[#This Row],[date_modif]],
      "Ancien",
      "Modifié"),
   "Nouveau")),"")</f>
        <v/>
      </c>
    </row>
    <row r="3403" spans="24:30" x14ac:dyDescent="0.25">
      <c r="X3403" s="8" t="e">
        <f>IF(Final_Sans_VGE[[#This Row],[ppn_z]]="","",IFERROR(
   IF(_xlfn.XLOOKUP(Final_Sans_VGE[[#This Row],[ppn_z]],tbl_Historique_Final[ppn_z],tbl_Historique_Final[date_modif])=Final_Sans_VGE[[#This Row],[date_modif]],
      "Ancien",
      "Modifié"),
   "Nouveau"))</f>
        <v>#VALUE!</v>
      </c>
      <c r="AD3403" s="1" t="str">
        <f>IFERROR(IF(Final_Sans_VGE[[#This Row],[ppn_z]]="","",IFERROR(
   IF(_xlfn.XLOOKUP(Final_Sans_VGE[[#This Row],[ppn_z]],tbl_Historique_Final[[#This Row],[ppn_z]],tbl_Historique_Final[[#This Row],[date_modif]])=Final_Sans_VGE[[#This Row],[date_modif]],
      "Ancien",
      "Modifié"),
   "Nouveau")),"")</f>
        <v/>
      </c>
    </row>
    <row r="3404" spans="24:30" x14ac:dyDescent="0.25">
      <c r="X3404" s="8" t="e">
        <f>IF(Final_Sans_VGE[[#This Row],[ppn_z]]="","",IFERROR(
   IF(_xlfn.XLOOKUP(Final_Sans_VGE[[#This Row],[ppn_z]],tbl_Historique_Final[ppn_z],tbl_Historique_Final[date_modif])=Final_Sans_VGE[[#This Row],[date_modif]],
      "Ancien",
      "Modifié"),
   "Nouveau"))</f>
        <v>#VALUE!</v>
      </c>
      <c r="AD3404" s="1" t="str">
        <f>IFERROR(IF(Final_Sans_VGE[[#This Row],[ppn_z]]="","",IFERROR(
   IF(_xlfn.XLOOKUP(Final_Sans_VGE[[#This Row],[ppn_z]],tbl_Historique_Final[[#This Row],[ppn_z]],tbl_Historique_Final[[#This Row],[date_modif]])=Final_Sans_VGE[[#This Row],[date_modif]],
      "Ancien",
      "Modifié"),
   "Nouveau")),"")</f>
        <v/>
      </c>
    </row>
    <row r="3405" spans="24:30" x14ac:dyDescent="0.25">
      <c r="X3405" s="8" t="e">
        <f>IF(Final_Sans_VGE[[#This Row],[ppn_z]]="","",IFERROR(
   IF(_xlfn.XLOOKUP(Final_Sans_VGE[[#This Row],[ppn_z]],tbl_Historique_Final[ppn_z],tbl_Historique_Final[date_modif])=Final_Sans_VGE[[#This Row],[date_modif]],
      "Ancien",
      "Modifié"),
   "Nouveau"))</f>
        <v>#VALUE!</v>
      </c>
      <c r="AD3405" s="1" t="str">
        <f>IFERROR(IF(Final_Sans_VGE[[#This Row],[ppn_z]]="","",IFERROR(
   IF(_xlfn.XLOOKUP(Final_Sans_VGE[[#This Row],[ppn_z]],tbl_Historique_Final[[#This Row],[ppn_z]],tbl_Historique_Final[[#This Row],[date_modif]])=Final_Sans_VGE[[#This Row],[date_modif]],
      "Ancien",
      "Modifié"),
   "Nouveau")),"")</f>
        <v/>
      </c>
    </row>
    <row r="3406" spans="24:30" x14ac:dyDescent="0.25">
      <c r="X3406" s="8" t="e">
        <f>IF(Final_Sans_VGE[[#This Row],[ppn_z]]="","",IFERROR(
   IF(_xlfn.XLOOKUP(Final_Sans_VGE[[#This Row],[ppn_z]],tbl_Historique_Final[ppn_z],tbl_Historique_Final[date_modif])=Final_Sans_VGE[[#This Row],[date_modif]],
      "Ancien",
      "Modifié"),
   "Nouveau"))</f>
        <v>#VALUE!</v>
      </c>
      <c r="AD3406" s="1" t="str">
        <f>IFERROR(IF(Final_Sans_VGE[[#This Row],[ppn_z]]="","",IFERROR(
   IF(_xlfn.XLOOKUP(Final_Sans_VGE[[#This Row],[ppn_z]],tbl_Historique_Final[[#This Row],[ppn_z]],tbl_Historique_Final[[#This Row],[date_modif]])=Final_Sans_VGE[[#This Row],[date_modif]],
      "Ancien",
      "Modifié"),
   "Nouveau")),"")</f>
        <v/>
      </c>
    </row>
    <row r="3407" spans="24:30" x14ac:dyDescent="0.25">
      <c r="X3407" s="8" t="e">
        <f>IF(Final_Sans_VGE[[#This Row],[ppn_z]]="","",IFERROR(
   IF(_xlfn.XLOOKUP(Final_Sans_VGE[[#This Row],[ppn_z]],tbl_Historique_Final[ppn_z],tbl_Historique_Final[date_modif])=Final_Sans_VGE[[#This Row],[date_modif]],
      "Ancien",
      "Modifié"),
   "Nouveau"))</f>
        <v>#VALUE!</v>
      </c>
      <c r="AD3407" s="1" t="str">
        <f>IFERROR(IF(Final_Sans_VGE[[#This Row],[ppn_z]]="","",IFERROR(
   IF(_xlfn.XLOOKUP(Final_Sans_VGE[[#This Row],[ppn_z]],tbl_Historique_Final[[#This Row],[ppn_z]],tbl_Historique_Final[[#This Row],[date_modif]])=Final_Sans_VGE[[#This Row],[date_modif]],
      "Ancien",
      "Modifié"),
   "Nouveau")),"")</f>
        <v/>
      </c>
    </row>
    <row r="3408" spans="24:30" x14ac:dyDescent="0.25">
      <c r="X3408" s="8" t="e">
        <f>IF(Final_Sans_VGE[[#This Row],[ppn_z]]="","",IFERROR(
   IF(_xlfn.XLOOKUP(Final_Sans_VGE[[#This Row],[ppn_z]],tbl_Historique_Final[ppn_z],tbl_Historique_Final[date_modif])=Final_Sans_VGE[[#This Row],[date_modif]],
      "Ancien",
      "Modifié"),
   "Nouveau"))</f>
        <v>#VALUE!</v>
      </c>
      <c r="AD3408" s="1" t="str">
        <f>IFERROR(IF(Final_Sans_VGE[[#This Row],[ppn_z]]="","",IFERROR(
   IF(_xlfn.XLOOKUP(Final_Sans_VGE[[#This Row],[ppn_z]],tbl_Historique_Final[[#This Row],[ppn_z]],tbl_Historique_Final[[#This Row],[date_modif]])=Final_Sans_VGE[[#This Row],[date_modif]],
      "Ancien",
      "Modifié"),
   "Nouveau")),"")</f>
        <v/>
      </c>
    </row>
    <row r="3409" spans="24:30" x14ac:dyDescent="0.25">
      <c r="X3409" s="8" t="e">
        <f>IF(Final_Sans_VGE[[#This Row],[ppn_z]]="","",IFERROR(
   IF(_xlfn.XLOOKUP(Final_Sans_VGE[[#This Row],[ppn_z]],tbl_Historique_Final[ppn_z],tbl_Historique_Final[date_modif])=Final_Sans_VGE[[#This Row],[date_modif]],
      "Ancien",
      "Modifié"),
   "Nouveau"))</f>
        <v>#VALUE!</v>
      </c>
      <c r="AD3409" s="1" t="str">
        <f>IFERROR(IF(Final_Sans_VGE[[#This Row],[ppn_z]]="","",IFERROR(
   IF(_xlfn.XLOOKUP(Final_Sans_VGE[[#This Row],[ppn_z]],tbl_Historique_Final[[#This Row],[ppn_z]],tbl_Historique_Final[[#This Row],[date_modif]])=Final_Sans_VGE[[#This Row],[date_modif]],
      "Ancien",
      "Modifié"),
   "Nouveau")),"")</f>
        <v/>
      </c>
    </row>
    <row r="3410" spans="24:30" x14ac:dyDescent="0.25">
      <c r="X3410" s="8" t="e">
        <f>IF(Final_Sans_VGE[[#This Row],[ppn_z]]="","",IFERROR(
   IF(_xlfn.XLOOKUP(Final_Sans_VGE[[#This Row],[ppn_z]],tbl_Historique_Final[ppn_z],tbl_Historique_Final[date_modif])=Final_Sans_VGE[[#This Row],[date_modif]],
      "Ancien",
      "Modifié"),
   "Nouveau"))</f>
        <v>#VALUE!</v>
      </c>
      <c r="AD3410" s="1" t="str">
        <f>IFERROR(IF(Final_Sans_VGE[[#This Row],[ppn_z]]="","",IFERROR(
   IF(_xlfn.XLOOKUP(Final_Sans_VGE[[#This Row],[ppn_z]],tbl_Historique_Final[[#This Row],[ppn_z]],tbl_Historique_Final[[#This Row],[date_modif]])=Final_Sans_VGE[[#This Row],[date_modif]],
      "Ancien",
      "Modifié"),
   "Nouveau")),"")</f>
        <v/>
      </c>
    </row>
    <row r="3411" spans="24:30" x14ac:dyDescent="0.25">
      <c r="X3411" s="8" t="e">
        <f>IF(Final_Sans_VGE[[#This Row],[ppn_z]]="","",IFERROR(
   IF(_xlfn.XLOOKUP(Final_Sans_VGE[[#This Row],[ppn_z]],tbl_Historique_Final[ppn_z],tbl_Historique_Final[date_modif])=Final_Sans_VGE[[#This Row],[date_modif]],
      "Ancien",
      "Modifié"),
   "Nouveau"))</f>
        <v>#VALUE!</v>
      </c>
      <c r="AD3411" s="1" t="str">
        <f>IFERROR(IF(Final_Sans_VGE[[#This Row],[ppn_z]]="","",IFERROR(
   IF(_xlfn.XLOOKUP(Final_Sans_VGE[[#This Row],[ppn_z]],tbl_Historique_Final[[#This Row],[ppn_z]],tbl_Historique_Final[[#This Row],[date_modif]])=Final_Sans_VGE[[#This Row],[date_modif]],
      "Ancien",
      "Modifié"),
   "Nouveau")),"")</f>
        <v/>
      </c>
    </row>
    <row r="3412" spans="24:30" x14ac:dyDescent="0.25">
      <c r="X3412" s="8" t="e">
        <f>IF(Final_Sans_VGE[[#This Row],[ppn_z]]="","",IFERROR(
   IF(_xlfn.XLOOKUP(Final_Sans_VGE[[#This Row],[ppn_z]],tbl_Historique_Final[ppn_z],tbl_Historique_Final[date_modif])=Final_Sans_VGE[[#This Row],[date_modif]],
      "Ancien",
      "Modifié"),
   "Nouveau"))</f>
        <v>#VALUE!</v>
      </c>
      <c r="AD3412" s="1" t="str">
        <f>IFERROR(IF(Final_Sans_VGE[[#This Row],[ppn_z]]="","",IFERROR(
   IF(_xlfn.XLOOKUP(Final_Sans_VGE[[#This Row],[ppn_z]],tbl_Historique_Final[[#This Row],[ppn_z]],tbl_Historique_Final[[#This Row],[date_modif]])=Final_Sans_VGE[[#This Row],[date_modif]],
      "Ancien",
      "Modifié"),
   "Nouveau")),"")</f>
        <v/>
      </c>
    </row>
    <row r="3413" spans="24:30" x14ac:dyDescent="0.25">
      <c r="X3413" s="8" t="e">
        <f>IF(Final_Sans_VGE[[#This Row],[ppn_z]]="","",IFERROR(
   IF(_xlfn.XLOOKUP(Final_Sans_VGE[[#This Row],[ppn_z]],tbl_Historique_Final[ppn_z],tbl_Historique_Final[date_modif])=Final_Sans_VGE[[#This Row],[date_modif]],
      "Ancien",
      "Modifié"),
   "Nouveau"))</f>
        <v>#VALUE!</v>
      </c>
      <c r="AD3413" s="1" t="str">
        <f>IFERROR(IF(Final_Sans_VGE[[#This Row],[ppn_z]]="","",IFERROR(
   IF(_xlfn.XLOOKUP(Final_Sans_VGE[[#This Row],[ppn_z]],tbl_Historique_Final[[#This Row],[ppn_z]],tbl_Historique_Final[[#This Row],[date_modif]])=Final_Sans_VGE[[#This Row],[date_modif]],
      "Ancien",
      "Modifié"),
   "Nouveau")),"")</f>
        <v/>
      </c>
    </row>
    <row r="3414" spans="24:30" x14ac:dyDescent="0.25">
      <c r="X3414" s="8" t="e">
        <f>IF(Final_Sans_VGE[[#This Row],[ppn_z]]="","",IFERROR(
   IF(_xlfn.XLOOKUP(Final_Sans_VGE[[#This Row],[ppn_z]],tbl_Historique_Final[ppn_z],tbl_Historique_Final[date_modif])=Final_Sans_VGE[[#This Row],[date_modif]],
      "Ancien",
      "Modifié"),
   "Nouveau"))</f>
        <v>#VALUE!</v>
      </c>
      <c r="AD3414" s="1" t="str">
        <f>IFERROR(IF(Final_Sans_VGE[[#This Row],[ppn_z]]="","",IFERROR(
   IF(_xlfn.XLOOKUP(Final_Sans_VGE[[#This Row],[ppn_z]],tbl_Historique_Final[[#This Row],[ppn_z]],tbl_Historique_Final[[#This Row],[date_modif]])=Final_Sans_VGE[[#This Row],[date_modif]],
      "Ancien",
      "Modifié"),
   "Nouveau")),"")</f>
        <v/>
      </c>
    </row>
    <row r="3415" spans="24:30" x14ac:dyDescent="0.25">
      <c r="X3415" s="8" t="e">
        <f>IF(Final_Sans_VGE[[#This Row],[ppn_z]]="","",IFERROR(
   IF(_xlfn.XLOOKUP(Final_Sans_VGE[[#This Row],[ppn_z]],tbl_Historique_Final[ppn_z],tbl_Historique_Final[date_modif])=Final_Sans_VGE[[#This Row],[date_modif]],
      "Ancien",
      "Modifié"),
   "Nouveau"))</f>
        <v>#VALUE!</v>
      </c>
      <c r="AD3415" s="1" t="str">
        <f>IFERROR(IF(Final_Sans_VGE[[#This Row],[ppn_z]]="","",IFERROR(
   IF(_xlfn.XLOOKUP(Final_Sans_VGE[[#This Row],[ppn_z]],tbl_Historique_Final[[#This Row],[ppn_z]],tbl_Historique_Final[[#This Row],[date_modif]])=Final_Sans_VGE[[#This Row],[date_modif]],
      "Ancien",
      "Modifié"),
   "Nouveau")),"")</f>
        <v/>
      </c>
    </row>
    <row r="3416" spans="24:30" x14ac:dyDescent="0.25">
      <c r="X3416" s="8" t="e">
        <f>IF(Final_Sans_VGE[[#This Row],[ppn_z]]="","",IFERROR(
   IF(_xlfn.XLOOKUP(Final_Sans_VGE[[#This Row],[ppn_z]],tbl_Historique_Final[ppn_z],tbl_Historique_Final[date_modif])=Final_Sans_VGE[[#This Row],[date_modif]],
      "Ancien",
      "Modifié"),
   "Nouveau"))</f>
        <v>#VALUE!</v>
      </c>
      <c r="AD3416" s="1" t="str">
        <f>IFERROR(IF(Final_Sans_VGE[[#This Row],[ppn_z]]="","",IFERROR(
   IF(_xlfn.XLOOKUP(Final_Sans_VGE[[#This Row],[ppn_z]],tbl_Historique_Final[[#This Row],[ppn_z]],tbl_Historique_Final[[#This Row],[date_modif]])=Final_Sans_VGE[[#This Row],[date_modif]],
      "Ancien",
      "Modifié"),
   "Nouveau")),"")</f>
        <v/>
      </c>
    </row>
    <row r="3417" spans="24:30" x14ac:dyDescent="0.25">
      <c r="X3417" s="8" t="e">
        <f>IF(Final_Sans_VGE[[#This Row],[ppn_z]]="","",IFERROR(
   IF(_xlfn.XLOOKUP(Final_Sans_VGE[[#This Row],[ppn_z]],tbl_Historique_Final[ppn_z],tbl_Historique_Final[date_modif])=Final_Sans_VGE[[#This Row],[date_modif]],
      "Ancien",
      "Modifié"),
   "Nouveau"))</f>
        <v>#VALUE!</v>
      </c>
      <c r="AD3417" s="1" t="str">
        <f>IFERROR(IF(Final_Sans_VGE[[#This Row],[ppn_z]]="","",IFERROR(
   IF(_xlfn.XLOOKUP(Final_Sans_VGE[[#This Row],[ppn_z]],tbl_Historique_Final[[#This Row],[ppn_z]],tbl_Historique_Final[[#This Row],[date_modif]])=Final_Sans_VGE[[#This Row],[date_modif]],
      "Ancien",
      "Modifié"),
   "Nouveau")),"")</f>
        <v/>
      </c>
    </row>
    <row r="3418" spans="24:30" x14ac:dyDescent="0.25">
      <c r="X3418" s="8" t="e">
        <f>IF(Final_Sans_VGE[[#This Row],[ppn_z]]="","",IFERROR(
   IF(_xlfn.XLOOKUP(Final_Sans_VGE[[#This Row],[ppn_z]],tbl_Historique_Final[ppn_z],tbl_Historique_Final[date_modif])=Final_Sans_VGE[[#This Row],[date_modif]],
      "Ancien",
      "Modifié"),
   "Nouveau"))</f>
        <v>#VALUE!</v>
      </c>
      <c r="AD3418" s="1" t="str">
        <f>IFERROR(IF(Final_Sans_VGE[[#This Row],[ppn_z]]="","",IFERROR(
   IF(_xlfn.XLOOKUP(Final_Sans_VGE[[#This Row],[ppn_z]],tbl_Historique_Final[[#This Row],[ppn_z]],tbl_Historique_Final[[#This Row],[date_modif]])=Final_Sans_VGE[[#This Row],[date_modif]],
      "Ancien",
      "Modifié"),
   "Nouveau")),"")</f>
        <v/>
      </c>
    </row>
    <row r="3419" spans="24:30" x14ac:dyDescent="0.25">
      <c r="X3419" s="8" t="e">
        <f>IF(Final_Sans_VGE[[#This Row],[ppn_z]]="","",IFERROR(
   IF(_xlfn.XLOOKUP(Final_Sans_VGE[[#This Row],[ppn_z]],tbl_Historique_Final[ppn_z],tbl_Historique_Final[date_modif])=Final_Sans_VGE[[#This Row],[date_modif]],
      "Ancien",
      "Modifié"),
   "Nouveau"))</f>
        <v>#VALUE!</v>
      </c>
      <c r="AD3419" s="1" t="str">
        <f>IFERROR(IF(Final_Sans_VGE[[#This Row],[ppn_z]]="","",IFERROR(
   IF(_xlfn.XLOOKUP(Final_Sans_VGE[[#This Row],[ppn_z]],tbl_Historique_Final[[#This Row],[ppn_z]],tbl_Historique_Final[[#This Row],[date_modif]])=Final_Sans_VGE[[#This Row],[date_modif]],
      "Ancien",
      "Modifié"),
   "Nouveau")),"")</f>
        <v/>
      </c>
    </row>
    <row r="3420" spans="24:30" x14ac:dyDescent="0.25">
      <c r="X3420" s="8" t="e">
        <f>IF(Final_Sans_VGE[[#This Row],[ppn_z]]="","",IFERROR(
   IF(_xlfn.XLOOKUP(Final_Sans_VGE[[#This Row],[ppn_z]],tbl_Historique_Final[ppn_z],tbl_Historique_Final[date_modif])=Final_Sans_VGE[[#This Row],[date_modif]],
      "Ancien",
      "Modifié"),
   "Nouveau"))</f>
        <v>#VALUE!</v>
      </c>
      <c r="AD3420" s="1" t="str">
        <f>IFERROR(IF(Final_Sans_VGE[[#This Row],[ppn_z]]="","",IFERROR(
   IF(_xlfn.XLOOKUP(Final_Sans_VGE[[#This Row],[ppn_z]],tbl_Historique_Final[[#This Row],[ppn_z]],tbl_Historique_Final[[#This Row],[date_modif]])=Final_Sans_VGE[[#This Row],[date_modif]],
      "Ancien",
      "Modifié"),
   "Nouveau")),"")</f>
        <v/>
      </c>
    </row>
    <row r="3421" spans="24:30" x14ac:dyDescent="0.25">
      <c r="X3421" s="8" t="e">
        <f>IF(Final_Sans_VGE[[#This Row],[ppn_z]]="","",IFERROR(
   IF(_xlfn.XLOOKUP(Final_Sans_VGE[[#This Row],[ppn_z]],tbl_Historique_Final[ppn_z],tbl_Historique_Final[date_modif])=Final_Sans_VGE[[#This Row],[date_modif]],
      "Ancien",
      "Modifié"),
   "Nouveau"))</f>
        <v>#VALUE!</v>
      </c>
      <c r="AD3421" s="1" t="str">
        <f>IFERROR(IF(Final_Sans_VGE[[#This Row],[ppn_z]]="","",IFERROR(
   IF(_xlfn.XLOOKUP(Final_Sans_VGE[[#This Row],[ppn_z]],tbl_Historique_Final[[#This Row],[ppn_z]],tbl_Historique_Final[[#This Row],[date_modif]])=Final_Sans_VGE[[#This Row],[date_modif]],
      "Ancien",
      "Modifié"),
   "Nouveau")),"")</f>
        <v/>
      </c>
    </row>
    <row r="3422" spans="24:30" x14ac:dyDescent="0.25">
      <c r="X3422" s="8" t="e">
        <f>IF(Final_Sans_VGE[[#This Row],[ppn_z]]="","",IFERROR(
   IF(_xlfn.XLOOKUP(Final_Sans_VGE[[#This Row],[ppn_z]],tbl_Historique_Final[ppn_z],tbl_Historique_Final[date_modif])=Final_Sans_VGE[[#This Row],[date_modif]],
      "Ancien",
      "Modifié"),
   "Nouveau"))</f>
        <v>#VALUE!</v>
      </c>
      <c r="AD3422" s="1" t="str">
        <f>IFERROR(IF(Final_Sans_VGE[[#This Row],[ppn_z]]="","",IFERROR(
   IF(_xlfn.XLOOKUP(Final_Sans_VGE[[#This Row],[ppn_z]],tbl_Historique_Final[[#This Row],[ppn_z]],tbl_Historique_Final[[#This Row],[date_modif]])=Final_Sans_VGE[[#This Row],[date_modif]],
      "Ancien",
      "Modifié"),
   "Nouveau")),"")</f>
        <v/>
      </c>
    </row>
    <row r="3423" spans="24:30" x14ac:dyDescent="0.25">
      <c r="X3423" s="8" t="e">
        <f>IF(Final_Sans_VGE[[#This Row],[ppn_z]]="","",IFERROR(
   IF(_xlfn.XLOOKUP(Final_Sans_VGE[[#This Row],[ppn_z]],tbl_Historique_Final[ppn_z],tbl_Historique_Final[date_modif])=Final_Sans_VGE[[#This Row],[date_modif]],
      "Ancien",
      "Modifié"),
   "Nouveau"))</f>
        <v>#VALUE!</v>
      </c>
      <c r="AD3423" s="1" t="str">
        <f>IFERROR(IF(Final_Sans_VGE[[#This Row],[ppn_z]]="","",IFERROR(
   IF(_xlfn.XLOOKUP(Final_Sans_VGE[[#This Row],[ppn_z]],tbl_Historique_Final[[#This Row],[ppn_z]],tbl_Historique_Final[[#This Row],[date_modif]])=Final_Sans_VGE[[#This Row],[date_modif]],
      "Ancien",
      "Modifié"),
   "Nouveau")),"")</f>
        <v/>
      </c>
    </row>
    <row r="3424" spans="24:30" x14ac:dyDescent="0.25">
      <c r="X3424" s="8" t="e">
        <f>IF(Final_Sans_VGE[[#This Row],[ppn_z]]="","",IFERROR(
   IF(_xlfn.XLOOKUP(Final_Sans_VGE[[#This Row],[ppn_z]],tbl_Historique_Final[ppn_z],tbl_Historique_Final[date_modif])=Final_Sans_VGE[[#This Row],[date_modif]],
      "Ancien",
      "Modifié"),
   "Nouveau"))</f>
        <v>#VALUE!</v>
      </c>
      <c r="AD3424" s="1" t="str">
        <f>IFERROR(IF(Final_Sans_VGE[[#This Row],[ppn_z]]="","",IFERROR(
   IF(_xlfn.XLOOKUP(Final_Sans_VGE[[#This Row],[ppn_z]],tbl_Historique_Final[[#This Row],[ppn_z]],tbl_Historique_Final[[#This Row],[date_modif]])=Final_Sans_VGE[[#This Row],[date_modif]],
      "Ancien",
      "Modifié"),
   "Nouveau")),"")</f>
        <v/>
      </c>
    </row>
    <row r="3425" spans="24:30" x14ac:dyDescent="0.25">
      <c r="X3425" s="8" t="e">
        <f>IF(Final_Sans_VGE[[#This Row],[ppn_z]]="","",IFERROR(
   IF(_xlfn.XLOOKUP(Final_Sans_VGE[[#This Row],[ppn_z]],tbl_Historique_Final[ppn_z],tbl_Historique_Final[date_modif])=Final_Sans_VGE[[#This Row],[date_modif]],
      "Ancien",
      "Modifié"),
   "Nouveau"))</f>
        <v>#VALUE!</v>
      </c>
      <c r="AD3425" s="1" t="str">
        <f>IFERROR(IF(Final_Sans_VGE[[#This Row],[ppn_z]]="","",IFERROR(
   IF(_xlfn.XLOOKUP(Final_Sans_VGE[[#This Row],[ppn_z]],tbl_Historique_Final[[#This Row],[ppn_z]],tbl_Historique_Final[[#This Row],[date_modif]])=Final_Sans_VGE[[#This Row],[date_modif]],
      "Ancien",
      "Modifié"),
   "Nouveau")),"")</f>
        <v/>
      </c>
    </row>
    <row r="3426" spans="24:30" x14ac:dyDescent="0.25">
      <c r="X3426" s="8" t="e">
        <f>IF(Final_Sans_VGE[[#This Row],[ppn_z]]="","",IFERROR(
   IF(_xlfn.XLOOKUP(Final_Sans_VGE[[#This Row],[ppn_z]],tbl_Historique_Final[ppn_z],tbl_Historique_Final[date_modif])=Final_Sans_VGE[[#This Row],[date_modif]],
      "Ancien",
      "Modifié"),
   "Nouveau"))</f>
        <v>#VALUE!</v>
      </c>
      <c r="AD3426" s="1" t="str">
        <f>IFERROR(IF(Final_Sans_VGE[[#This Row],[ppn_z]]="","",IFERROR(
   IF(_xlfn.XLOOKUP(Final_Sans_VGE[[#This Row],[ppn_z]],tbl_Historique_Final[[#This Row],[ppn_z]],tbl_Historique_Final[[#This Row],[date_modif]])=Final_Sans_VGE[[#This Row],[date_modif]],
      "Ancien",
      "Modifié"),
   "Nouveau")),"")</f>
        <v/>
      </c>
    </row>
    <row r="3427" spans="24:30" x14ac:dyDescent="0.25">
      <c r="X3427" s="8" t="e">
        <f>IF(Final_Sans_VGE[[#This Row],[ppn_z]]="","",IFERROR(
   IF(_xlfn.XLOOKUP(Final_Sans_VGE[[#This Row],[ppn_z]],tbl_Historique_Final[ppn_z],tbl_Historique_Final[date_modif])=Final_Sans_VGE[[#This Row],[date_modif]],
      "Ancien",
      "Modifié"),
   "Nouveau"))</f>
        <v>#VALUE!</v>
      </c>
      <c r="AD3427" s="1" t="str">
        <f>IFERROR(IF(Final_Sans_VGE[[#This Row],[ppn_z]]="","",IFERROR(
   IF(_xlfn.XLOOKUP(Final_Sans_VGE[[#This Row],[ppn_z]],tbl_Historique_Final[[#This Row],[ppn_z]],tbl_Historique_Final[[#This Row],[date_modif]])=Final_Sans_VGE[[#This Row],[date_modif]],
      "Ancien",
      "Modifié"),
   "Nouveau")),"")</f>
        <v/>
      </c>
    </row>
    <row r="3428" spans="24:30" x14ac:dyDescent="0.25">
      <c r="X3428" s="8" t="e">
        <f>IF(Final_Sans_VGE[[#This Row],[ppn_z]]="","",IFERROR(
   IF(_xlfn.XLOOKUP(Final_Sans_VGE[[#This Row],[ppn_z]],tbl_Historique_Final[ppn_z],tbl_Historique_Final[date_modif])=Final_Sans_VGE[[#This Row],[date_modif]],
      "Ancien",
      "Modifié"),
   "Nouveau"))</f>
        <v>#VALUE!</v>
      </c>
      <c r="AD3428" s="1" t="str">
        <f>IFERROR(IF(Final_Sans_VGE[[#This Row],[ppn_z]]="","",IFERROR(
   IF(_xlfn.XLOOKUP(Final_Sans_VGE[[#This Row],[ppn_z]],tbl_Historique_Final[[#This Row],[ppn_z]],tbl_Historique_Final[[#This Row],[date_modif]])=Final_Sans_VGE[[#This Row],[date_modif]],
      "Ancien",
      "Modifié"),
   "Nouveau")),"")</f>
        <v/>
      </c>
    </row>
    <row r="3429" spans="24:30" x14ac:dyDescent="0.25">
      <c r="X3429" s="8" t="e">
        <f>IF(Final_Sans_VGE[[#This Row],[ppn_z]]="","",IFERROR(
   IF(_xlfn.XLOOKUP(Final_Sans_VGE[[#This Row],[ppn_z]],tbl_Historique_Final[ppn_z],tbl_Historique_Final[date_modif])=Final_Sans_VGE[[#This Row],[date_modif]],
      "Ancien",
      "Modifié"),
   "Nouveau"))</f>
        <v>#VALUE!</v>
      </c>
      <c r="AD3429" s="1" t="str">
        <f>IFERROR(IF(Final_Sans_VGE[[#This Row],[ppn_z]]="","",IFERROR(
   IF(_xlfn.XLOOKUP(Final_Sans_VGE[[#This Row],[ppn_z]],tbl_Historique_Final[[#This Row],[ppn_z]],tbl_Historique_Final[[#This Row],[date_modif]])=Final_Sans_VGE[[#This Row],[date_modif]],
      "Ancien",
      "Modifié"),
   "Nouveau")),"")</f>
        <v/>
      </c>
    </row>
    <row r="3430" spans="24:30" x14ac:dyDescent="0.25">
      <c r="X3430" s="8" t="e">
        <f>IF(Final_Sans_VGE[[#This Row],[ppn_z]]="","",IFERROR(
   IF(_xlfn.XLOOKUP(Final_Sans_VGE[[#This Row],[ppn_z]],tbl_Historique_Final[ppn_z],tbl_Historique_Final[date_modif])=Final_Sans_VGE[[#This Row],[date_modif]],
      "Ancien",
      "Modifié"),
   "Nouveau"))</f>
        <v>#VALUE!</v>
      </c>
      <c r="AD3430" s="1" t="str">
        <f>IFERROR(IF(Final_Sans_VGE[[#This Row],[ppn_z]]="","",IFERROR(
   IF(_xlfn.XLOOKUP(Final_Sans_VGE[[#This Row],[ppn_z]],tbl_Historique_Final[[#This Row],[ppn_z]],tbl_Historique_Final[[#This Row],[date_modif]])=Final_Sans_VGE[[#This Row],[date_modif]],
      "Ancien",
      "Modifié"),
   "Nouveau")),"")</f>
        <v/>
      </c>
    </row>
    <row r="3431" spans="24:30" x14ac:dyDescent="0.25">
      <c r="X3431" s="8" t="e">
        <f>IF(Final_Sans_VGE[[#This Row],[ppn_z]]="","",IFERROR(
   IF(_xlfn.XLOOKUP(Final_Sans_VGE[[#This Row],[ppn_z]],tbl_Historique_Final[ppn_z],tbl_Historique_Final[date_modif])=Final_Sans_VGE[[#This Row],[date_modif]],
      "Ancien",
      "Modifié"),
   "Nouveau"))</f>
        <v>#VALUE!</v>
      </c>
      <c r="AD3431" s="1" t="str">
        <f>IFERROR(IF(Final_Sans_VGE[[#This Row],[ppn_z]]="","",IFERROR(
   IF(_xlfn.XLOOKUP(Final_Sans_VGE[[#This Row],[ppn_z]],tbl_Historique_Final[[#This Row],[ppn_z]],tbl_Historique_Final[[#This Row],[date_modif]])=Final_Sans_VGE[[#This Row],[date_modif]],
      "Ancien",
      "Modifié"),
   "Nouveau")),"")</f>
        <v/>
      </c>
    </row>
    <row r="3432" spans="24:30" x14ac:dyDescent="0.25">
      <c r="X3432" s="8" t="e">
        <f>IF(Final_Sans_VGE[[#This Row],[ppn_z]]="","",IFERROR(
   IF(_xlfn.XLOOKUP(Final_Sans_VGE[[#This Row],[ppn_z]],tbl_Historique_Final[ppn_z],tbl_Historique_Final[date_modif])=Final_Sans_VGE[[#This Row],[date_modif]],
      "Ancien",
      "Modifié"),
   "Nouveau"))</f>
        <v>#VALUE!</v>
      </c>
      <c r="AD3432" s="1" t="str">
        <f>IFERROR(IF(Final_Sans_VGE[[#This Row],[ppn_z]]="","",IFERROR(
   IF(_xlfn.XLOOKUP(Final_Sans_VGE[[#This Row],[ppn_z]],tbl_Historique_Final[[#This Row],[ppn_z]],tbl_Historique_Final[[#This Row],[date_modif]])=Final_Sans_VGE[[#This Row],[date_modif]],
      "Ancien",
      "Modifié"),
   "Nouveau")),"")</f>
        <v/>
      </c>
    </row>
    <row r="3433" spans="24:30" x14ac:dyDescent="0.25">
      <c r="X3433" s="8" t="e">
        <f>IF(Final_Sans_VGE[[#This Row],[ppn_z]]="","",IFERROR(
   IF(_xlfn.XLOOKUP(Final_Sans_VGE[[#This Row],[ppn_z]],tbl_Historique_Final[ppn_z],tbl_Historique_Final[date_modif])=Final_Sans_VGE[[#This Row],[date_modif]],
      "Ancien",
      "Modifié"),
   "Nouveau"))</f>
        <v>#VALUE!</v>
      </c>
      <c r="AD3433" s="1" t="str">
        <f>IFERROR(IF(Final_Sans_VGE[[#This Row],[ppn_z]]="","",IFERROR(
   IF(_xlfn.XLOOKUP(Final_Sans_VGE[[#This Row],[ppn_z]],tbl_Historique_Final[[#This Row],[ppn_z]],tbl_Historique_Final[[#This Row],[date_modif]])=Final_Sans_VGE[[#This Row],[date_modif]],
      "Ancien",
      "Modifié"),
   "Nouveau")),"")</f>
        <v/>
      </c>
    </row>
    <row r="3434" spans="24:30" x14ac:dyDescent="0.25">
      <c r="X3434" s="8" t="e">
        <f>IF(Final_Sans_VGE[[#This Row],[ppn_z]]="","",IFERROR(
   IF(_xlfn.XLOOKUP(Final_Sans_VGE[[#This Row],[ppn_z]],tbl_Historique_Final[ppn_z],tbl_Historique_Final[date_modif])=Final_Sans_VGE[[#This Row],[date_modif]],
      "Ancien",
      "Modifié"),
   "Nouveau"))</f>
        <v>#VALUE!</v>
      </c>
      <c r="AD3434" s="1" t="str">
        <f>IFERROR(IF(Final_Sans_VGE[[#This Row],[ppn_z]]="","",IFERROR(
   IF(_xlfn.XLOOKUP(Final_Sans_VGE[[#This Row],[ppn_z]],tbl_Historique_Final[[#This Row],[ppn_z]],tbl_Historique_Final[[#This Row],[date_modif]])=Final_Sans_VGE[[#This Row],[date_modif]],
      "Ancien",
      "Modifié"),
   "Nouveau")),"")</f>
        <v/>
      </c>
    </row>
    <row r="3435" spans="24:30" x14ac:dyDescent="0.25">
      <c r="X3435" s="8" t="e">
        <f>IF(Final_Sans_VGE[[#This Row],[ppn_z]]="","",IFERROR(
   IF(_xlfn.XLOOKUP(Final_Sans_VGE[[#This Row],[ppn_z]],tbl_Historique_Final[ppn_z],tbl_Historique_Final[date_modif])=Final_Sans_VGE[[#This Row],[date_modif]],
      "Ancien",
      "Modifié"),
   "Nouveau"))</f>
        <v>#VALUE!</v>
      </c>
      <c r="AD3435" s="1" t="str">
        <f>IFERROR(IF(Final_Sans_VGE[[#This Row],[ppn_z]]="","",IFERROR(
   IF(_xlfn.XLOOKUP(Final_Sans_VGE[[#This Row],[ppn_z]],tbl_Historique_Final[[#This Row],[ppn_z]],tbl_Historique_Final[[#This Row],[date_modif]])=Final_Sans_VGE[[#This Row],[date_modif]],
      "Ancien",
      "Modifié"),
   "Nouveau")),"")</f>
        <v/>
      </c>
    </row>
    <row r="3436" spans="24:30" x14ac:dyDescent="0.25">
      <c r="X3436" s="8" t="e">
        <f>IF(Final_Sans_VGE[[#This Row],[ppn_z]]="","",IFERROR(
   IF(_xlfn.XLOOKUP(Final_Sans_VGE[[#This Row],[ppn_z]],tbl_Historique_Final[ppn_z],tbl_Historique_Final[date_modif])=Final_Sans_VGE[[#This Row],[date_modif]],
      "Ancien",
      "Modifié"),
   "Nouveau"))</f>
        <v>#VALUE!</v>
      </c>
      <c r="AD3436" s="1" t="str">
        <f>IFERROR(IF(Final_Sans_VGE[[#This Row],[ppn_z]]="","",IFERROR(
   IF(_xlfn.XLOOKUP(Final_Sans_VGE[[#This Row],[ppn_z]],tbl_Historique_Final[[#This Row],[ppn_z]],tbl_Historique_Final[[#This Row],[date_modif]])=Final_Sans_VGE[[#This Row],[date_modif]],
      "Ancien",
      "Modifié"),
   "Nouveau")),"")</f>
        <v/>
      </c>
    </row>
    <row r="3437" spans="24:30" x14ac:dyDescent="0.25">
      <c r="X3437" s="8" t="e">
        <f>IF(Final_Sans_VGE[[#This Row],[ppn_z]]="","",IFERROR(
   IF(_xlfn.XLOOKUP(Final_Sans_VGE[[#This Row],[ppn_z]],tbl_Historique_Final[ppn_z],tbl_Historique_Final[date_modif])=Final_Sans_VGE[[#This Row],[date_modif]],
      "Ancien",
      "Modifié"),
   "Nouveau"))</f>
        <v>#VALUE!</v>
      </c>
      <c r="AD3437" s="1" t="str">
        <f>IFERROR(IF(Final_Sans_VGE[[#This Row],[ppn_z]]="","",IFERROR(
   IF(_xlfn.XLOOKUP(Final_Sans_VGE[[#This Row],[ppn_z]],tbl_Historique_Final[[#This Row],[ppn_z]],tbl_Historique_Final[[#This Row],[date_modif]])=Final_Sans_VGE[[#This Row],[date_modif]],
      "Ancien",
      "Modifié"),
   "Nouveau")),"")</f>
        <v/>
      </c>
    </row>
    <row r="3438" spans="24:30" x14ac:dyDescent="0.25">
      <c r="X3438" s="8" t="e">
        <f>IF(Final_Sans_VGE[[#This Row],[ppn_z]]="","",IFERROR(
   IF(_xlfn.XLOOKUP(Final_Sans_VGE[[#This Row],[ppn_z]],tbl_Historique_Final[ppn_z],tbl_Historique_Final[date_modif])=Final_Sans_VGE[[#This Row],[date_modif]],
      "Ancien",
      "Modifié"),
   "Nouveau"))</f>
        <v>#VALUE!</v>
      </c>
      <c r="AD3438" s="1" t="str">
        <f>IFERROR(IF(Final_Sans_VGE[[#This Row],[ppn_z]]="","",IFERROR(
   IF(_xlfn.XLOOKUP(Final_Sans_VGE[[#This Row],[ppn_z]],tbl_Historique_Final[[#This Row],[ppn_z]],tbl_Historique_Final[[#This Row],[date_modif]])=Final_Sans_VGE[[#This Row],[date_modif]],
      "Ancien",
      "Modifié"),
   "Nouveau")),"")</f>
        <v/>
      </c>
    </row>
    <row r="3439" spans="24:30" x14ac:dyDescent="0.25">
      <c r="X3439" s="8" t="e">
        <f>IF(Final_Sans_VGE[[#This Row],[ppn_z]]="","",IFERROR(
   IF(_xlfn.XLOOKUP(Final_Sans_VGE[[#This Row],[ppn_z]],tbl_Historique_Final[ppn_z],tbl_Historique_Final[date_modif])=Final_Sans_VGE[[#This Row],[date_modif]],
      "Ancien",
      "Modifié"),
   "Nouveau"))</f>
        <v>#VALUE!</v>
      </c>
      <c r="AD3439" s="1" t="str">
        <f>IFERROR(IF(Final_Sans_VGE[[#This Row],[ppn_z]]="","",IFERROR(
   IF(_xlfn.XLOOKUP(Final_Sans_VGE[[#This Row],[ppn_z]],tbl_Historique_Final[[#This Row],[ppn_z]],tbl_Historique_Final[[#This Row],[date_modif]])=Final_Sans_VGE[[#This Row],[date_modif]],
      "Ancien",
      "Modifié"),
   "Nouveau")),"")</f>
        <v/>
      </c>
    </row>
    <row r="3440" spans="24:30" x14ac:dyDescent="0.25">
      <c r="X3440" s="8" t="e">
        <f>IF(Final_Sans_VGE[[#This Row],[ppn_z]]="","",IFERROR(
   IF(_xlfn.XLOOKUP(Final_Sans_VGE[[#This Row],[ppn_z]],tbl_Historique_Final[ppn_z],tbl_Historique_Final[date_modif])=Final_Sans_VGE[[#This Row],[date_modif]],
      "Ancien",
      "Modifié"),
   "Nouveau"))</f>
        <v>#VALUE!</v>
      </c>
      <c r="AD3440" s="1" t="str">
        <f>IFERROR(IF(Final_Sans_VGE[[#This Row],[ppn_z]]="","",IFERROR(
   IF(_xlfn.XLOOKUP(Final_Sans_VGE[[#This Row],[ppn_z]],tbl_Historique_Final[[#This Row],[ppn_z]],tbl_Historique_Final[[#This Row],[date_modif]])=Final_Sans_VGE[[#This Row],[date_modif]],
      "Ancien",
      "Modifié"),
   "Nouveau")),"")</f>
        <v/>
      </c>
    </row>
    <row r="3441" spans="24:30" x14ac:dyDescent="0.25">
      <c r="X3441" s="8" t="e">
        <f>IF(Final_Sans_VGE[[#This Row],[ppn_z]]="","",IFERROR(
   IF(_xlfn.XLOOKUP(Final_Sans_VGE[[#This Row],[ppn_z]],tbl_Historique_Final[ppn_z],tbl_Historique_Final[date_modif])=Final_Sans_VGE[[#This Row],[date_modif]],
      "Ancien",
      "Modifié"),
   "Nouveau"))</f>
        <v>#VALUE!</v>
      </c>
      <c r="AD3441" s="1" t="str">
        <f>IFERROR(IF(Final_Sans_VGE[[#This Row],[ppn_z]]="","",IFERROR(
   IF(_xlfn.XLOOKUP(Final_Sans_VGE[[#This Row],[ppn_z]],tbl_Historique_Final[[#This Row],[ppn_z]],tbl_Historique_Final[[#This Row],[date_modif]])=Final_Sans_VGE[[#This Row],[date_modif]],
      "Ancien",
      "Modifié"),
   "Nouveau")),"")</f>
        <v/>
      </c>
    </row>
    <row r="3442" spans="24:30" x14ac:dyDescent="0.25">
      <c r="X3442" s="8" t="e">
        <f>IF(Final_Sans_VGE[[#This Row],[ppn_z]]="","",IFERROR(
   IF(_xlfn.XLOOKUP(Final_Sans_VGE[[#This Row],[ppn_z]],tbl_Historique_Final[ppn_z],tbl_Historique_Final[date_modif])=Final_Sans_VGE[[#This Row],[date_modif]],
      "Ancien",
      "Modifié"),
   "Nouveau"))</f>
        <v>#VALUE!</v>
      </c>
      <c r="AD3442" s="1" t="str">
        <f>IFERROR(IF(Final_Sans_VGE[[#This Row],[ppn_z]]="","",IFERROR(
   IF(_xlfn.XLOOKUP(Final_Sans_VGE[[#This Row],[ppn_z]],tbl_Historique_Final[[#This Row],[ppn_z]],tbl_Historique_Final[[#This Row],[date_modif]])=Final_Sans_VGE[[#This Row],[date_modif]],
      "Ancien",
      "Modifié"),
   "Nouveau")),"")</f>
        <v/>
      </c>
    </row>
    <row r="3443" spans="24:30" x14ac:dyDescent="0.25">
      <c r="X3443" s="8" t="e">
        <f>IF(Final_Sans_VGE[[#This Row],[ppn_z]]="","",IFERROR(
   IF(_xlfn.XLOOKUP(Final_Sans_VGE[[#This Row],[ppn_z]],tbl_Historique_Final[ppn_z],tbl_Historique_Final[date_modif])=Final_Sans_VGE[[#This Row],[date_modif]],
      "Ancien",
      "Modifié"),
   "Nouveau"))</f>
        <v>#VALUE!</v>
      </c>
      <c r="AD3443" s="1" t="str">
        <f>IFERROR(IF(Final_Sans_VGE[[#This Row],[ppn_z]]="","",IFERROR(
   IF(_xlfn.XLOOKUP(Final_Sans_VGE[[#This Row],[ppn_z]],tbl_Historique_Final[[#This Row],[ppn_z]],tbl_Historique_Final[[#This Row],[date_modif]])=Final_Sans_VGE[[#This Row],[date_modif]],
      "Ancien",
      "Modifié"),
   "Nouveau")),"")</f>
        <v/>
      </c>
    </row>
    <row r="3444" spans="24:30" x14ac:dyDescent="0.25">
      <c r="X3444" s="8" t="e">
        <f>IF(Final_Sans_VGE[[#This Row],[ppn_z]]="","",IFERROR(
   IF(_xlfn.XLOOKUP(Final_Sans_VGE[[#This Row],[ppn_z]],tbl_Historique_Final[ppn_z],tbl_Historique_Final[date_modif])=Final_Sans_VGE[[#This Row],[date_modif]],
      "Ancien",
      "Modifié"),
   "Nouveau"))</f>
        <v>#VALUE!</v>
      </c>
      <c r="AD3444" s="1" t="str">
        <f>IFERROR(IF(Final_Sans_VGE[[#This Row],[ppn_z]]="","",IFERROR(
   IF(_xlfn.XLOOKUP(Final_Sans_VGE[[#This Row],[ppn_z]],tbl_Historique_Final[[#This Row],[ppn_z]],tbl_Historique_Final[[#This Row],[date_modif]])=Final_Sans_VGE[[#This Row],[date_modif]],
      "Ancien",
      "Modifié"),
   "Nouveau")),"")</f>
        <v/>
      </c>
    </row>
    <row r="3445" spans="24:30" x14ac:dyDescent="0.25">
      <c r="X3445" s="8" t="e">
        <f>IF(Final_Sans_VGE[[#This Row],[ppn_z]]="","",IFERROR(
   IF(_xlfn.XLOOKUP(Final_Sans_VGE[[#This Row],[ppn_z]],tbl_Historique_Final[ppn_z],tbl_Historique_Final[date_modif])=Final_Sans_VGE[[#This Row],[date_modif]],
      "Ancien",
      "Modifié"),
   "Nouveau"))</f>
        <v>#VALUE!</v>
      </c>
      <c r="AD3445" s="1" t="str">
        <f>IFERROR(IF(Final_Sans_VGE[[#This Row],[ppn_z]]="","",IFERROR(
   IF(_xlfn.XLOOKUP(Final_Sans_VGE[[#This Row],[ppn_z]],tbl_Historique_Final[[#This Row],[ppn_z]],tbl_Historique_Final[[#This Row],[date_modif]])=Final_Sans_VGE[[#This Row],[date_modif]],
      "Ancien",
      "Modifié"),
   "Nouveau")),"")</f>
        <v/>
      </c>
    </row>
    <row r="3446" spans="24:30" x14ac:dyDescent="0.25">
      <c r="X3446" s="8" t="e">
        <f>IF(Final_Sans_VGE[[#This Row],[ppn_z]]="","",IFERROR(
   IF(_xlfn.XLOOKUP(Final_Sans_VGE[[#This Row],[ppn_z]],tbl_Historique_Final[ppn_z],tbl_Historique_Final[date_modif])=Final_Sans_VGE[[#This Row],[date_modif]],
      "Ancien",
      "Modifié"),
   "Nouveau"))</f>
        <v>#VALUE!</v>
      </c>
      <c r="AD3446" s="1" t="str">
        <f>IFERROR(IF(Final_Sans_VGE[[#This Row],[ppn_z]]="","",IFERROR(
   IF(_xlfn.XLOOKUP(Final_Sans_VGE[[#This Row],[ppn_z]],tbl_Historique_Final[[#This Row],[ppn_z]],tbl_Historique_Final[[#This Row],[date_modif]])=Final_Sans_VGE[[#This Row],[date_modif]],
      "Ancien",
      "Modifié"),
   "Nouveau")),"")</f>
        <v/>
      </c>
    </row>
    <row r="3447" spans="24:30" x14ac:dyDescent="0.25">
      <c r="X3447" s="8" t="e">
        <f>IF(Final_Sans_VGE[[#This Row],[ppn_z]]="","",IFERROR(
   IF(_xlfn.XLOOKUP(Final_Sans_VGE[[#This Row],[ppn_z]],tbl_Historique_Final[ppn_z],tbl_Historique_Final[date_modif])=Final_Sans_VGE[[#This Row],[date_modif]],
      "Ancien",
      "Modifié"),
   "Nouveau"))</f>
        <v>#VALUE!</v>
      </c>
      <c r="AD3447" s="1" t="str">
        <f>IFERROR(IF(Final_Sans_VGE[[#This Row],[ppn_z]]="","",IFERROR(
   IF(_xlfn.XLOOKUP(Final_Sans_VGE[[#This Row],[ppn_z]],tbl_Historique_Final[[#This Row],[ppn_z]],tbl_Historique_Final[[#This Row],[date_modif]])=Final_Sans_VGE[[#This Row],[date_modif]],
      "Ancien",
      "Modifié"),
   "Nouveau")),"")</f>
        <v/>
      </c>
    </row>
    <row r="3448" spans="24:30" x14ac:dyDescent="0.25">
      <c r="X3448" s="8" t="e">
        <f>IF(Final_Sans_VGE[[#This Row],[ppn_z]]="","",IFERROR(
   IF(_xlfn.XLOOKUP(Final_Sans_VGE[[#This Row],[ppn_z]],tbl_Historique_Final[ppn_z],tbl_Historique_Final[date_modif])=Final_Sans_VGE[[#This Row],[date_modif]],
      "Ancien",
      "Modifié"),
   "Nouveau"))</f>
        <v>#VALUE!</v>
      </c>
      <c r="AD3448" s="1" t="str">
        <f>IFERROR(IF(Final_Sans_VGE[[#This Row],[ppn_z]]="","",IFERROR(
   IF(_xlfn.XLOOKUP(Final_Sans_VGE[[#This Row],[ppn_z]],tbl_Historique_Final[[#This Row],[ppn_z]],tbl_Historique_Final[[#This Row],[date_modif]])=Final_Sans_VGE[[#This Row],[date_modif]],
      "Ancien",
      "Modifié"),
   "Nouveau")),"")</f>
        <v/>
      </c>
    </row>
    <row r="3449" spans="24:30" x14ac:dyDescent="0.25">
      <c r="X3449" s="8" t="e">
        <f>IF(Final_Sans_VGE[[#This Row],[ppn_z]]="","",IFERROR(
   IF(_xlfn.XLOOKUP(Final_Sans_VGE[[#This Row],[ppn_z]],tbl_Historique_Final[ppn_z],tbl_Historique_Final[date_modif])=Final_Sans_VGE[[#This Row],[date_modif]],
      "Ancien",
      "Modifié"),
   "Nouveau"))</f>
        <v>#VALUE!</v>
      </c>
      <c r="AD3449" s="1" t="str">
        <f>IFERROR(IF(Final_Sans_VGE[[#This Row],[ppn_z]]="","",IFERROR(
   IF(_xlfn.XLOOKUP(Final_Sans_VGE[[#This Row],[ppn_z]],tbl_Historique_Final[[#This Row],[ppn_z]],tbl_Historique_Final[[#This Row],[date_modif]])=Final_Sans_VGE[[#This Row],[date_modif]],
      "Ancien",
      "Modifié"),
   "Nouveau")),"")</f>
        <v/>
      </c>
    </row>
    <row r="3450" spans="24:30" x14ac:dyDescent="0.25">
      <c r="X3450" s="8" t="e">
        <f>IF(Final_Sans_VGE[[#This Row],[ppn_z]]="","",IFERROR(
   IF(_xlfn.XLOOKUP(Final_Sans_VGE[[#This Row],[ppn_z]],tbl_Historique_Final[ppn_z],tbl_Historique_Final[date_modif])=Final_Sans_VGE[[#This Row],[date_modif]],
      "Ancien",
      "Modifié"),
   "Nouveau"))</f>
        <v>#VALUE!</v>
      </c>
      <c r="AD3450" s="1" t="str">
        <f>IFERROR(IF(Final_Sans_VGE[[#This Row],[ppn_z]]="","",IFERROR(
   IF(_xlfn.XLOOKUP(Final_Sans_VGE[[#This Row],[ppn_z]],tbl_Historique_Final[[#This Row],[ppn_z]],tbl_Historique_Final[[#This Row],[date_modif]])=Final_Sans_VGE[[#This Row],[date_modif]],
      "Ancien",
      "Modifié"),
   "Nouveau")),"")</f>
        <v/>
      </c>
    </row>
    <row r="3451" spans="24:30" x14ac:dyDescent="0.25">
      <c r="X3451" s="8" t="e">
        <f>IF(Final_Sans_VGE[[#This Row],[ppn_z]]="","",IFERROR(
   IF(_xlfn.XLOOKUP(Final_Sans_VGE[[#This Row],[ppn_z]],tbl_Historique_Final[ppn_z],tbl_Historique_Final[date_modif])=Final_Sans_VGE[[#This Row],[date_modif]],
      "Ancien",
      "Modifié"),
   "Nouveau"))</f>
        <v>#VALUE!</v>
      </c>
      <c r="AD3451" s="1" t="str">
        <f>IFERROR(IF(Final_Sans_VGE[[#This Row],[ppn_z]]="","",IFERROR(
   IF(_xlfn.XLOOKUP(Final_Sans_VGE[[#This Row],[ppn_z]],tbl_Historique_Final[[#This Row],[ppn_z]],tbl_Historique_Final[[#This Row],[date_modif]])=Final_Sans_VGE[[#This Row],[date_modif]],
      "Ancien",
      "Modifié"),
   "Nouveau")),"")</f>
        <v/>
      </c>
    </row>
    <row r="3452" spans="24:30" x14ac:dyDescent="0.25">
      <c r="X3452" s="8" t="e">
        <f>IF(Final_Sans_VGE[[#This Row],[ppn_z]]="","",IFERROR(
   IF(_xlfn.XLOOKUP(Final_Sans_VGE[[#This Row],[ppn_z]],tbl_Historique_Final[ppn_z],tbl_Historique_Final[date_modif])=Final_Sans_VGE[[#This Row],[date_modif]],
      "Ancien",
      "Modifié"),
   "Nouveau"))</f>
        <v>#VALUE!</v>
      </c>
      <c r="AD3452" s="1" t="str">
        <f>IFERROR(IF(Final_Sans_VGE[[#This Row],[ppn_z]]="","",IFERROR(
   IF(_xlfn.XLOOKUP(Final_Sans_VGE[[#This Row],[ppn_z]],tbl_Historique_Final[[#This Row],[ppn_z]],tbl_Historique_Final[[#This Row],[date_modif]])=Final_Sans_VGE[[#This Row],[date_modif]],
      "Ancien",
      "Modifié"),
   "Nouveau")),"")</f>
        <v/>
      </c>
    </row>
    <row r="3453" spans="24:30" x14ac:dyDescent="0.25">
      <c r="X3453" s="8" t="e">
        <f>IF(Final_Sans_VGE[[#This Row],[ppn_z]]="","",IFERROR(
   IF(_xlfn.XLOOKUP(Final_Sans_VGE[[#This Row],[ppn_z]],tbl_Historique_Final[ppn_z],tbl_Historique_Final[date_modif])=Final_Sans_VGE[[#This Row],[date_modif]],
      "Ancien",
      "Modifié"),
   "Nouveau"))</f>
        <v>#VALUE!</v>
      </c>
      <c r="AD3453" s="1" t="str">
        <f>IFERROR(IF(Final_Sans_VGE[[#This Row],[ppn_z]]="","",IFERROR(
   IF(_xlfn.XLOOKUP(Final_Sans_VGE[[#This Row],[ppn_z]],tbl_Historique_Final[[#This Row],[ppn_z]],tbl_Historique_Final[[#This Row],[date_modif]])=Final_Sans_VGE[[#This Row],[date_modif]],
      "Ancien",
      "Modifié"),
   "Nouveau")),"")</f>
        <v/>
      </c>
    </row>
    <row r="3454" spans="24:30" x14ac:dyDescent="0.25">
      <c r="X3454" s="8" t="e">
        <f>IF(Final_Sans_VGE[[#This Row],[ppn_z]]="","",IFERROR(
   IF(_xlfn.XLOOKUP(Final_Sans_VGE[[#This Row],[ppn_z]],tbl_Historique_Final[ppn_z],tbl_Historique_Final[date_modif])=Final_Sans_VGE[[#This Row],[date_modif]],
      "Ancien",
      "Modifié"),
   "Nouveau"))</f>
        <v>#VALUE!</v>
      </c>
      <c r="AD3454" s="1" t="str">
        <f>IFERROR(IF(Final_Sans_VGE[[#This Row],[ppn_z]]="","",IFERROR(
   IF(_xlfn.XLOOKUP(Final_Sans_VGE[[#This Row],[ppn_z]],tbl_Historique_Final[[#This Row],[ppn_z]],tbl_Historique_Final[[#This Row],[date_modif]])=Final_Sans_VGE[[#This Row],[date_modif]],
      "Ancien",
      "Modifié"),
   "Nouveau")),"")</f>
        <v/>
      </c>
    </row>
    <row r="3455" spans="24:30" x14ac:dyDescent="0.25">
      <c r="X3455" s="8" t="e">
        <f>IF(Final_Sans_VGE[[#This Row],[ppn_z]]="","",IFERROR(
   IF(_xlfn.XLOOKUP(Final_Sans_VGE[[#This Row],[ppn_z]],tbl_Historique_Final[ppn_z],tbl_Historique_Final[date_modif])=Final_Sans_VGE[[#This Row],[date_modif]],
      "Ancien",
      "Modifié"),
   "Nouveau"))</f>
        <v>#VALUE!</v>
      </c>
      <c r="AD3455" s="1" t="str">
        <f>IFERROR(IF(Final_Sans_VGE[[#This Row],[ppn_z]]="","",IFERROR(
   IF(_xlfn.XLOOKUP(Final_Sans_VGE[[#This Row],[ppn_z]],tbl_Historique_Final[[#This Row],[ppn_z]],tbl_Historique_Final[[#This Row],[date_modif]])=Final_Sans_VGE[[#This Row],[date_modif]],
      "Ancien",
      "Modifié"),
   "Nouveau")),"")</f>
        <v/>
      </c>
    </row>
    <row r="3456" spans="24:30" x14ac:dyDescent="0.25">
      <c r="X3456" s="8" t="e">
        <f>IF(Final_Sans_VGE[[#This Row],[ppn_z]]="","",IFERROR(
   IF(_xlfn.XLOOKUP(Final_Sans_VGE[[#This Row],[ppn_z]],tbl_Historique_Final[ppn_z],tbl_Historique_Final[date_modif])=Final_Sans_VGE[[#This Row],[date_modif]],
      "Ancien",
      "Modifié"),
   "Nouveau"))</f>
        <v>#VALUE!</v>
      </c>
      <c r="AD3456" s="1" t="str">
        <f>IFERROR(IF(Final_Sans_VGE[[#This Row],[ppn_z]]="","",IFERROR(
   IF(_xlfn.XLOOKUP(Final_Sans_VGE[[#This Row],[ppn_z]],tbl_Historique_Final[[#This Row],[ppn_z]],tbl_Historique_Final[[#This Row],[date_modif]])=Final_Sans_VGE[[#This Row],[date_modif]],
      "Ancien",
      "Modifié"),
   "Nouveau")),"")</f>
        <v/>
      </c>
    </row>
    <row r="3457" spans="24:30" x14ac:dyDescent="0.25">
      <c r="X3457" s="8" t="e">
        <f>IF(Final_Sans_VGE[[#This Row],[ppn_z]]="","",IFERROR(
   IF(_xlfn.XLOOKUP(Final_Sans_VGE[[#This Row],[ppn_z]],tbl_Historique_Final[ppn_z],tbl_Historique_Final[date_modif])=Final_Sans_VGE[[#This Row],[date_modif]],
      "Ancien",
      "Modifié"),
   "Nouveau"))</f>
        <v>#VALUE!</v>
      </c>
      <c r="AD3457" s="1" t="str">
        <f>IFERROR(IF(Final_Sans_VGE[[#This Row],[ppn_z]]="","",IFERROR(
   IF(_xlfn.XLOOKUP(Final_Sans_VGE[[#This Row],[ppn_z]],tbl_Historique_Final[[#This Row],[ppn_z]],tbl_Historique_Final[[#This Row],[date_modif]])=Final_Sans_VGE[[#This Row],[date_modif]],
      "Ancien",
      "Modifié"),
   "Nouveau")),"")</f>
        <v/>
      </c>
    </row>
    <row r="3458" spans="24:30" x14ac:dyDescent="0.25">
      <c r="X3458" s="8" t="e">
        <f>IF(Final_Sans_VGE[[#This Row],[ppn_z]]="","",IFERROR(
   IF(_xlfn.XLOOKUP(Final_Sans_VGE[[#This Row],[ppn_z]],tbl_Historique_Final[ppn_z],tbl_Historique_Final[date_modif])=Final_Sans_VGE[[#This Row],[date_modif]],
      "Ancien",
      "Modifié"),
   "Nouveau"))</f>
        <v>#VALUE!</v>
      </c>
      <c r="AD3458" s="1" t="str">
        <f>IFERROR(IF(Final_Sans_VGE[[#This Row],[ppn_z]]="","",IFERROR(
   IF(_xlfn.XLOOKUP(Final_Sans_VGE[[#This Row],[ppn_z]],tbl_Historique_Final[[#This Row],[ppn_z]],tbl_Historique_Final[[#This Row],[date_modif]])=Final_Sans_VGE[[#This Row],[date_modif]],
      "Ancien",
      "Modifié"),
   "Nouveau")),"")</f>
        <v/>
      </c>
    </row>
    <row r="3459" spans="24:30" x14ac:dyDescent="0.25">
      <c r="X3459" s="8" t="e">
        <f>IF(Final_Sans_VGE[[#This Row],[ppn_z]]="","",IFERROR(
   IF(_xlfn.XLOOKUP(Final_Sans_VGE[[#This Row],[ppn_z]],tbl_Historique_Final[ppn_z],tbl_Historique_Final[date_modif])=Final_Sans_VGE[[#This Row],[date_modif]],
      "Ancien",
      "Modifié"),
   "Nouveau"))</f>
        <v>#VALUE!</v>
      </c>
      <c r="AD3459" s="1" t="str">
        <f>IFERROR(IF(Final_Sans_VGE[[#This Row],[ppn_z]]="","",IFERROR(
   IF(_xlfn.XLOOKUP(Final_Sans_VGE[[#This Row],[ppn_z]],tbl_Historique_Final[[#This Row],[ppn_z]],tbl_Historique_Final[[#This Row],[date_modif]])=Final_Sans_VGE[[#This Row],[date_modif]],
      "Ancien",
      "Modifié"),
   "Nouveau")),"")</f>
        <v/>
      </c>
    </row>
    <row r="3460" spans="24:30" x14ac:dyDescent="0.25">
      <c r="X3460" s="8" t="e">
        <f>IF(Final_Sans_VGE[[#This Row],[ppn_z]]="","",IFERROR(
   IF(_xlfn.XLOOKUP(Final_Sans_VGE[[#This Row],[ppn_z]],tbl_Historique_Final[ppn_z],tbl_Historique_Final[date_modif])=Final_Sans_VGE[[#This Row],[date_modif]],
      "Ancien",
      "Modifié"),
   "Nouveau"))</f>
        <v>#VALUE!</v>
      </c>
      <c r="AD3460" s="1" t="str">
        <f>IFERROR(IF(Final_Sans_VGE[[#This Row],[ppn_z]]="","",IFERROR(
   IF(_xlfn.XLOOKUP(Final_Sans_VGE[[#This Row],[ppn_z]],tbl_Historique_Final[[#This Row],[ppn_z]],tbl_Historique_Final[[#This Row],[date_modif]])=Final_Sans_VGE[[#This Row],[date_modif]],
      "Ancien",
      "Modifié"),
   "Nouveau")),"")</f>
        <v/>
      </c>
    </row>
    <row r="3461" spans="24:30" x14ac:dyDescent="0.25">
      <c r="X3461" s="8" t="e">
        <f>IF(Final_Sans_VGE[[#This Row],[ppn_z]]="","",IFERROR(
   IF(_xlfn.XLOOKUP(Final_Sans_VGE[[#This Row],[ppn_z]],tbl_Historique_Final[ppn_z],tbl_Historique_Final[date_modif])=Final_Sans_VGE[[#This Row],[date_modif]],
      "Ancien",
      "Modifié"),
   "Nouveau"))</f>
        <v>#VALUE!</v>
      </c>
      <c r="AD3461" s="1" t="str">
        <f>IFERROR(IF(Final_Sans_VGE[[#This Row],[ppn_z]]="","",IFERROR(
   IF(_xlfn.XLOOKUP(Final_Sans_VGE[[#This Row],[ppn_z]],tbl_Historique_Final[[#This Row],[ppn_z]],tbl_Historique_Final[[#This Row],[date_modif]])=Final_Sans_VGE[[#This Row],[date_modif]],
      "Ancien",
      "Modifié"),
   "Nouveau")),"")</f>
        <v/>
      </c>
    </row>
    <row r="3462" spans="24:30" x14ac:dyDescent="0.25">
      <c r="X3462" s="8" t="e">
        <f>IF(Final_Sans_VGE[[#This Row],[ppn_z]]="","",IFERROR(
   IF(_xlfn.XLOOKUP(Final_Sans_VGE[[#This Row],[ppn_z]],tbl_Historique_Final[ppn_z],tbl_Historique_Final[date_modif])=Final_Sans_VGE[[#This Row],[date_modif]],
      "Ancien",
      "Modifié"),
   "Nouveau"))</f>
        <v>#VALUE!</v>
      </c>
      <c r="AD3462" s="1" t="str">
        <f>IFERROR(IF(Final_Sans_VGE[[#This Row],[ppn_z]]="","",IFERROR(
   IF(_xlfn.XLOOKUP(Final_Sans_VGE[[#This Row],[ppn_z]],tbl_Historique_Final[[#This Row],[ppn_z]],tbl_Historique_Final[[#This Row],[date_modif]])=Final_Sans_VGE[[#This Row],[date_modif]],
      "Ancien",
      "Modifié"),
   "Nouveau")),"")</f>
        <v/>
      </c>
    </row>
    <row r="3463" spans="24:30" x14ac:dyDescent="0.25">
      <c r="X3463" s="8" t="e">
        <f>IF(Final_Sans_VGE[[#This Row],[ppn_z]]="","",IFERROR(
   IF(_xlfn.XLOOKUP(Final_Sans_VGE[[#This Row],[ppn_z]],tbl_Historique_Final[ppn_z],tbl_Historique_Final[date_modif])=Final_Sans_VGE[[#This Row],[date_modif]],
      "Ancien",
      "Modifié"),
   "Nouveau"))</f>
        <v>#VALUE!</v>
      </c>
      <c r="AD3463" s="1" t="str">
        <f>IFERROR(IF(Final_Sans_VGE[[#This Row],[ppn_z]]="","",IFERROR(
   IF(_xlfn.XLOOKUP(Final_Sans_VGE[[#This Row],[ppn_z]],tbl_Historique_Final[[#This Row],[ppn_z]],tbl_Historique_Final[[#This Row],[date_modif]])=Final_Sans_VGE[[#This Row],[date_modif]],
      "Ancien",
      "Modifié"),
   "Nouveau")),"")</f>
        <v/>
      </c>
    </row>
    <row r="3464" spans="24:30" x14ac:dyDescent="0.25">
      <c r="X3464" s="8" t="e">
        <f>IF(Final_Sans_VGE[[#This Row],[ppn_z]]="","",IFERROR(
   IF(_xlfn.XLOOKUP(Final_Sans_VGE[[#This Row],[ppn_z]],tbl_Historique_Final[ppn_z],tbl_Historique_Final[date_modif])=Final_Sans_VGE[[#This Row],[date_modif]],
      "Ancien",
      "Modifié"),
   "Nouveau"))</f>
        <v>#VALUE!</v>
      </c>
      <c r="AD3464" s="1" t="str">
        <f>IFERROR(IF(Final_Sans_VGE[[#This Row],[ppn_z]]="","",IFERROR(
   IF(_xlfn.XLOOKUP(Final_Sans_VGE[[#This Row],[ppn_z]],tbl_Historique_Final[[#This Row],[ppn_z]],tbl_Historique_Final[[#This Row],[date_modif]])=Final_Sans_VGE[[#This Row],[date_modif]],
      "Ancien",
      "Modifié"),
   "Nouveau")),"")</f>
        <v/>
      </c>
    </row>
    <row r="3465" spans="24:30" x14ac:dyDescent="0.25">
      <c r="X3465" s="8" t="e">
        <f>IF(Final_Sans_VGE[[#This Row],[ppn_z]]="","",IFERROR(
   IF(_xlfn.XLOOKUP(Final_Sans_VGE[[#This Row],[ppn_z]],tbl_Historique_Final[ppn_z],tbl_Historique_Final[date_modif])=Final_Sans_VGE[[#This Row],[date_modif]],
      "Ancien",
      "Modifié"),
   "Nouveau"))</f>
        <v>#VALUE!</v>
      </c>
      <c r="AD3465" s="1" t="str">
        <f>IFERROR(IF(Final_Sans_VGE[[#This Row],[ppn_z]]="","",IFERROR(
   IF(_xlfn.XLOOKUP(Final_Sans_VGE[[#This Row],[ppn_z]],tbl_Historique_Final[[#This Row],[ppn_z]],tbl_Historique_Final[[#This Row],[date_modif]])=Final_Sans_VGE[[#This Row],[date_modif]],
      "Ancien",
      "Modifié"),
   "Nouveau")),"")</f>
        <v/>
      </c>
    </row>
    <row r="3466" spans="24:30" x14ac:dyDescent="0.25">
      <c r="X3466" s="8" t="e">
        <f>IF(Final_Sans_VGE[[#This Row],[ppn_z]]="","",IFERROR(
   IF(_xlfn.XLOOKUP(Final_Sans_VGE[[#This Row],[ppn_z]],tbl_Historique_Final[ppn_z],tbl_Historique_Final[date_modif])=Final_Sans_VGE[[#This Row],[date_modif]],
      "Ancien",
      "Modifié"),
   "Nouveau"))</f>
        <v>#VALUE!</v>
      </c>
      <c r="AD3466" s="1" t="str">
        <f>IFERROR(IF(Final_Sans_VGE[[#This Row],[ppn_z]]="","",IFERROR(
   IF(_xlfn.XLOOKUP(Final_Sans_VGE[[#This Row],[ppn_z]],tbl_Historique_Final[[#This Row],[ppn_z]],tbl_Historique_Final[[#This Row],[date_modif]])=Final_Sans_VGE[[#This Row],[date_modif]],
      "Ancien",
      "Modifié"),
   "Nouveau")),"")</f>
        <v/>
      </c>
    </row>
    <row r="3467" spans="24:30" x14ac:dyDescent="0.25">
      <c r="X3467" s="8" t="e">
        <f>IF(Final_Sans_VGE[[#This Row],[ppn_z]]="","",IFERROR(
   IF(_xlfn.XLOOKUP(Final_Sans_VGE[[#This Row],[ppn_z]],tbl_Historique_Final[ppn_z],tbl_Historique_Final[date_modif])=Final_Sans_VGE[[#This Row],[date_modif]],
      "Ancien",
      "Modifié"),
   "Nouveau"))</f>
        <v>#VALUE!</v>
      </c>
      <c r="AD3467" s="1" t="str">
        <f>IFERROR(IF(Final_Sans_VGE[[#This Row],[ppn_z]]="","",IFERROR(
   IF(_xlfn.XLOOKUP(Final_Sans_VGE[[#This Row],[ppn_z]],tbl_Historique_Final[[#This Row],[ppn_z]],tbl_Historique_Final[[#This Row],[date_modif]])=Final_Sans_VGE[[#This Row],[date_modif]],
      "Ancien",
      "Modifié"),
   "Nouveau")),"")</f>
        <v/>
      </c>
    </row>
    <row r="3468" spans="24:30" x14ac:dyDescent="0.25">
      <c r="X3468" s="8" t="e">
        <f>IF(Final_Sans_VGE[[#This Row],[ppn_z]]="","",IFERROR(
   IF(_xlfn.XLOOKUP(Final_Sans_VGE[[#This Row],[ppn_z]],tbl_Historique_Final[ppn_z],tbl_Historique_Final[date_modif])=Final_Sans_VGE[[#This Row],[date_modif]],
      "Ancien",
      "Modifié"),
   "Nouveau"))</f>
        <v>#VALUE!</v>
      </c>
      <c r="AD3468" s="1" t="str">
        <f>IFERROR(IF(Final_Sans_VGE[[#This Row],[ppn_z]]="","",IFERROR(
   IF(_xlfn.XLOOKUP(Final_Sans_VGE[[#This Row],[ppn_z]],tbl_Historique_Final[[#This Row],[ppn_z]],tbl_Historique_Final[[#This Row],[date_modif]])=Final_Sans_VGE[[#This Row],[date_modif]],
      "Ancien",
      "Modifié"),
   "Nouveau")),"")</f>
        <v/>
      </c>
    </row>
    <row r="3469" spans="24:30" x14ac:dyDescent="0.25">
      <c r="X3469" s="8" t="e">
        <f>IF(Final_Sans_VGE[[#This Row],[ppn_z]]="","",IFERROR(
   IF(_xlfn.XLOOKUP(Final_Sans_VGE[[#This Row],[ppn_z]],tbl_Historique_Final[ppn_z],tbl_Historique_Final[date_modif])=Final_Sans_VGE[[#This Row],[date_modif]],
      "Ancien",
      "Modifié"),
   "Nouveau"))</f>
        <v>#VALUE!</v>
      </c>
      <c r="AD3469" s="1" t="str">
        <f>IFERROR(IF(Final_Sans_VGE[[#This Row],[ppn_z]]="","",IFERROR(
   IF(_xlfn.XLOOKUP(Final_Sans_VGE[[#This Row],[ppn_z]],tbl_Historique_Final[[#This Row],[ppn_z]],tbl_Historique_Final[[#This Row],[date_modif]])=Final_Sans_VGE[[#This Row],[date_modif]],
      "Ancien",
      "Modifié"),
   "Nouveau")),"")</f>
        <v/>
      </c>
    </row>
    <row r="3470" spans="24:30" x14ac:dyDescent="0.25">
      <c r="X3470" s="8" t="e">
        <f>IF(Final_Sans_VGE[[#This Row],[ppn_z]]="","",IFERROR(
   IF(_xlfn.XLOOKUP(Final_Sans_VGE[[#This Row],[ppn_z]],tbl_Historique_Final[ppn_z],tbl_Historique_Final[date_modif])=Final_Sans_VGE[[#This Row],[date_modif]],
      "Ancien",
      "Modifié"),
   "Nouveau"))</f>
        <v>#VALUE!</v>
      </c>
      <c r="AD3470" s="1" t="str">
        <f>IFERROR(IF(Final_Sans_VGE[[#This Row],[ppn_z]]="","",IFERROR(
   IF(_xlfn.XLOOKUP(Final_Sans_VGE[[#This Row],[ppn_z]],tbl_Historique_Final[[#This Row],[ppn_z]],tbl_Historique_Final[[#This Row],[date_modif]])=Final_Sans_VGE[[#This Row],[date_modif]],
      "Ancien",
      "Modifié"),
   "Nouveau")),"")</f>
        <v/>
      </c>
    </row>
    <row r="3471" spans="24:30" x14ac:dyDescent="0.25">
      <c r="X3471" s="8" t="e">
        <f>IF(Final_Sans_VGE[[#This Row],[ppn_z]]="","",IFERROR(
   IF(_xlfn.XLOOKUP(Final_Sans_VGE[[#This Row],[ppn_z]],tbl_Historique_Final[ppn_z],tbl_Historique_Final[date_modif])=Final_Sans_VGE[[#This Row],[date_modif]],
      "Ancien",
      "Modifié"),
   "Nouveau"))</f>
        <v>#VALUE!</v>
      </c>
      <c r="AD3471" s="1" t="str">
        <f>IFERROR(IF(Final_Sans_VGE[[#This Row],[ppn_z]]="","",IFERROR(
   IF(_xlfn.XLOOKUP(Final_Sans_VGE[[#This Row],[ppn_z]],tbl_Historique_Final[[#This Row],[ppn_z]],tbl_Historique_Final[[#This Row],[date_modif]])=Final_Sans_VGE[[#This Row],[date_modif]],
      "Ancien",
      "Modifié"),
   "Nouveau")),"")</f>
        <v/>
      </c>
    </row>
    <row r="3472" spans="24:30" x14ac:dyDescent="0.25">
      <c r="X3472" s="8" t="e">
        <f>IF(Final_Sans_VGE[[#This Row],[ppn_z]]="","",IFERROR(
   IF(_xlfn.XLOOKUP(Final_Sans_VGE[[#This Row],[ppn_z]],tbl_Historique_Final[ppn_z],tbl_Historique_Final[date_modif])=Final_Sans_VGE[[#This Row],[date_modif]],
      "Ancien",
      "Modifié"),
   "Nouveau"))</f>
        <v>#VALUE!</v>
      </c>
      <c r="AD3472" s="1" t="str">
        <f>IFERROR(IF(Final_Sans_VGE[[#This Row],[ppn_z]]="","",IFERROR(
   IF(_xlfn.XLOOKUP(Final_Sans_VGE[[#This Row],[ppn_z]],tbl_Historique_Final[[#This Row],[ppn_z]],tbl_Historique_Final[[#This Row],[date_modif]])=Final_Sans_VGE[[#This Row],[date_modif]],
      "Ancien",
      "Modifié"),
   "Nouveau")),"")</f>
        <v/>
      </c>
    </row>
    <row r="3473" spans="24:30" x14ac:dyDescent="0.25">
      <c r="X3473" s="8" t="e">
        <f>IF(Final_Sans_VGE[[#This Row],[ppn_z]]="","",IFERROR(
   IF(_xlfn.XLOOKUP(Final_Sans_VGE[[#This Row],[ppn_z]],tbl_Historique_Final[ppn_z],tbl_Historique_Final[date_modif])=Final_Sans_VGE[[#This Row],[date_modif]],
      "Ancien",
      "Modifié"),
   "Nouveau"))</f>
        <v>#VALUE!</v>
      </c>
      <c r="AD3473" s="1" t="str">
        <f>IFERROR(IF(Final_Sans_VGE[[#This Row],[ppn_z]]="","",IFERROR(
   IF(_xlfn.XLOOKUP(Final_Sans_VGE[[#This Row],[ppn_z]],tbl_Historique_Final[[#This Row],[ppn_z]],tbl_Historique_Final[[#This Row],[date_modif]])=Final_Sans_VGE[[#This Row],[date_modif]],
      "Ancien",
      "Modifié"),
   "Nouveau")),"")</f>
        <v/>
      </c>
    </row>
    <row r="3474" spans="24:30" x14ac:dyDescent="0.25">
      <c r="X3474" s="8" t="e">
        <f>IF(Final_Sans_VGE[[#This Row],[ppn_z]]="","",IFERROR(
   IF(_xlfn.XLOOKUP(Final_Sans_VGE[[#This Row],[ppn_z]],tbl_Historique_Final[ppn_z],tbl_Historique_Final[date_modif])=Final_Sans_VGE[[#This Row],[date_modif]],
      "Ancien",
      "Modifié"),
   "Nouveau"))</f>
        <v>#VALUE!</v>
      </c>
      <c r="AD3474" s="1" t="str">
        <f>IFERROR(IF(Final_Sans_VGE[[#This Row],[ppn_z]]="","",IFERROR(
   IF(_xlfn.XLOOKUP(Final_Sans_VGE[[#This Row],[ppn_z]],tbl_Historique_Final[[#This Row],[ppn_z]],tbl_Historique_Final[[#This Row],[date_modif]])=Final_Sans_VGE[[#This Row],[date_modif]],
      "Ancien",
      "Modifié"),
   "Nouveau")),"")</f>
        <v/>
      </c>
    </row>
    <row r="3475" spans="24:30" x14ac:dyDescent="0.25">
      <c r="X3475" s="8" t="e">
        <f>IF(Final_Sans_VGE[[#This Row],[ppn_z]]="","",IFERROR(
   IF(_xlfn.XLOOKUP(Final_Sans_VGE[[#This Row],[ppn_z]],tbl_Historique_Final[ppn_z],tbl_Historique_Final[date_modif])=Final_Sans_VGE[[#This Row],[date_modif]],
      "Ancien",
      "Modifié"),
   "Nouveau"))</f>
        <v>#VALUE!</v>
      </c>
      <c r="AD3475" s="1" t="str">
        <f>IFERROR(IF(Final_Sans_VGE[[#This Row],[ppn_z]]="","",IFERROR(
   IF(_xlfn.XLOOKUP(Final_Sans_VGE[[#This Row],[ppn_z]],tbl_Historique_Final[[#This Row],[ppn_z]],tbl_Historique_Final[[#This Row],[date_modif]])=Final_Sans_VGE[[#This Row],[date_modif]],
      "Ancien",
      "Modifié"),
   "Nouveau")),"")</f>
        <v/>
      </c>
    </row>
    <row r="3476" spans="24:30" x14ac:dyDescent="0.25">
      <c r="X3476" s="8" t="e">
        <f>IF(Final_Sans_VGE[[#This Row],[ppn_z]]="","",IFERROR(
   IF(_xlfn.XLOOKUP(Final_Sans_VGE[[#This Row],[ppn_z]],tbl_Historique_Final[ppn_z],tbl_Historique_Final[date_modif])=Final_Sans_VGE[[#This Row],[date_modif]],
      "Ancien",
      "Modifié"),
   "Nouveau"))</f>
        <v>#VALUE!</v>
      </c>
      <c r="AD3476" s="1" t="str">
        <f>IFERROR(IF(Final_Sans_VGE[[#This Row],[ppn_z]]="","",IFERROR(
   IF(_xlfn.XLOOKUP(Final_Sans_VGE[[#This Row],[ppn_z]],tbl_Historique_Final[[#This Row],[ppn_z]],tbl_Historique_Final[[#This Row],[date_modif]])=Final_Sans_VGE[[#This Row],[date_modif]],
      "Ancien",
      "Modifié"),
   "Nouveau")),"")</f>
        <v/>
      </c>
    </row>
    <row r="3477" spans="24:30" x14ac:dyDescent="0.25">
      <c r="X3477" s="8" t="e">
        <f>IF(Final_Sans_VGE[[#This Row],[ppn_z]]="","",IFERROR(
   IF(_xlfn.XLOOKUP(Final_Sans_VGE[[#This Row],[ppn_z]],tbl_Historique_Final[ppn_z],tbl_Historique_Final[date_modif])=Final_Sans_VGE[[#This Row],[date_modif]],
      "Ancien",
      "Modifié"),
   "Nouveau"))</f>
        <v>#VALUE!</v>
      </c>
      <c r="AD3477" s="1" t="str">
        <f>IFERROR(IF(Final_Sans_VGE[[#This Row],[ppn_z]]="","",IFERROR(
   IF(_xlfn.XLOOKUP(Final_Sans_VGE[[#This Row],[ppn_z]],tbl_Historique_Final[[#This Row],[ppn_z]],tbl_Historique_Final[[#This Row],[date_modif]])=Final_Sans_VGE[[#This Row],[date_modif]],
      "Ancien",
      "Modifié"),
   "Nouveau")),"")</f>
        <v/>
      </c>
    </row>
    <row r="3478" spans="24:30" x14ac:dyDescent="0.25">
      <c r="X3478" s="8" t="e">
        <f>IF(Final_Sans_VGE[[#This Row],[ppn_z]]="","",IFERROR(
   IF(_xlfn.XLOOKUP(Final_Sans_VGE[[#This Row],[ppn_z]],tbl_Historique_Final[ppn_z],tbl_Historique_Final[date_modif])=Final_Sans_VGE[[#This Row],[date_modif]],
      "Ancien",
      "Modifié"),
   "Nouveau"))</f>
        <v>#VALUE!</v>
      </c>
      <c r="AD3478" s="1" t="str">
        <f>IFERROR(IF(Final_Sans_VGE[[#This Row],[ppn_z]]="","",IFERROR(
   IF(_xlfn.XLOOKUP(Final_Sans_VGE[[#This Row],[ppn_z]],tbl_Historique_Final[[#This Row],[ppn_z]],tbl_Historique_Final[[#This Row],[date_modif]])=Final_Sans_VGE[[#This Row],[date_modif]],
      "Ancien",
      "Modifié"),
   "Nouveau")),"")</f>
        <v/>
      </c>
    </row>
    <row r="3479" spans="24:30" x14ac:dyDescent="0.25">
      <c r="X3479" s="8" t="e">
        <f>IF(Final_Sans_VGE[[#This Row],[ppn_z]]="","",IFERROR(
   IF(_xlfn.XLOOKUP(Final_Sans_VGE[[#This Row],[ppn_z]],tbl_Historique_Final[ppn_z],tbl_Historique_Final[date_modif])=Final_Sans_VGE[[#This Row],[date_modif]],
      "Ancien",
      "Modifié"),
   "Nouveau"))</f>
        <v>#VALUE!</v>
      </c>
      <c r="AD3479" s="1" t="str">
        <f>IFERROR(IF(Final_Sans_VGE[[#This Row],[ppn_z]]="","",IFERROR(
   IF(_xlfn.XLOOKUP(Final_Sans_VGE[[#This Row],[ppn_z]],tbl_Historique_Final[[#This Row],[ppn_z]],tbl_Historique_Final[[#This Row],[date_modif]])=Final_Sans_VGE[[#This Row],[date_modif]],
      "Ancien",
      "Modifié"),
   "Nouveau")),"")</f>
        <v/>
      </c>
    </row>
    <row r="3480" spans="24:30" x14ac:dyDescent="0.25">
      <c r="X3480" s="8" t="e">
        <f>IF(Final_Sans_VGE[[#This Row],[ppn_z]]="","",IFERROR(
   IF(_xlfn.XLOOKUP(Final_Sans_VGE[[#This Row],[ppn_z]],tbl_Historique_Final[ppn_z],tbl_Historique_Final[date_modif])=Final_Sans_VGE[[#This Row],[date_modif]],
      "Ancien",
      "Modifié"),
   "Nouveau"))</f>
        <v>#VALUE!</v>
      </c>
      <c r="AD3480" s="1" t="str">
        <f>IFERROR(IF(Final_Sans_VGE[[#This Row],[ppn_z]]="","",IFERROR(
   IF(_xlfn.XLOOKUP(Final_Sans_VGE[[#This Row],[ppn_z]],tbl_Historique_Final[[#This Row],[ppn_z]],tbl_Historique_Final[[#This Row],[date_modif]])=Final_Sans_VGE[[#This Row],[date_modif]],
      "Ancien",
      "Modifié"),
   "Nouveau")),"")</f>
        <v/>
      </c>
    </row>
    <row r="3481" spans="24:30" x14ac:dyDescent="0.25">
      <c r="X3481" s="8" t="e">
        <f>IF(Final_Sans_VGE[[#This Row],[ppn_z]]="","",IFERROR(
   IF(_xlfn.XLOOKUP(Final_Sans_VGE[[#This Row],[ppn_z]],tbl_Historique_Final[ppn_z],tbl_Historique_Final[date_modif])=Final_Sans_VGE[[#This Row],[date_modif]],
      "Ancien",
      "Modifié"),
   "Nouveau"))</f>
        <v>#VALUE!</v>
      </c>
      <c r="AD3481" s="1" t="str">
        <f>IFERROR(IF(Final_Sans_VGE[[#This Row],[ppn_z]]="","",IFERROR(
   IF(_xlfn.XLOOKUP(Final_Sans_VGE[[#This Row],[ppn_z]],tbl_Historique_Final[[#This Row],[ppn_z]],tbl_Historique_Final[[#This Row],[date_modif]])=Final_Sans_VGE[[#This Row],[date_modif]],
      "Ancien",
      "Modifié"),
   "Nouveau")),"")</f>
        <v/>
      </c>
    </row>
    <row r="3482" spans="24:30" x14ac:dyDescent="0.25">
      <c r="X3482" s="8" t="e">
        <f>IF(Final_Sans_VGE[[#This Row],[ppn_z]]="","",IFERROR(
   IF(_xlfn.XLOOKUP(Final_Sans_VGE[[#This Row],[ppn_z]],tbl_Historique_Final[ppn_z],tbl_Historique_Final[date_modif])=Final_Sans_VGE[[#This Row],[date_modif]],
      "Ancien",
      "Modifié"),
   "Nouveau"))</f>
        <v>#VALUE!</v>
      </c>
      <c r="AD3482" s="1" t="str">
        <f>IFERROR(IF(Final_Sans_VGE[[#This Row],[ppn_z]]="","",IFERROR(
   IF(_xlfn.XLOOKUP(Final_Sans_VGE[[#This Row],[ppn_z]],tbl_Historique_Final[[#This Row],[ppn_z]],tbl_Historique_Final[[#This Row],[date_modif]])=Final_Sans_VGE[[#This Row],[date_modif]],
      "Ancien",
      "Modifié"),
   "Nouveau")),"")</f>
        <v/>
      </c>
    </row>
    <row r="3483" spans="24:30" x14ac:dyDescent="0.25">
      <c r="X3483" s="8" t="e">
        <f>IF(Final_Sans_VGE[[#This Row],[ppn_z]]="","",IFERROR(
   IF(_xlfn.XLOOKUP(Final_Sans_VGE[[#This Row],[ppn_z]],tbl_Historique_Final[ppn_z],tbl_Historique_Final[date_modif])=Final_Sans_VGE[[#This Row],[date_modif]],
      "Ancien",
      "Modifié"),
   "Nouveau"))</f>
        <v>#VALUE!</v>
      </c>
      <c r="AD3483" s="1" t="str">
        <f>IFERROR(IF(Final_Sans_VGE[[#This Row],[ppn_z]]="","",IFERROR(
   IF(_xlfn.XLOOKUP(Final_Sans_VGE[[#This Row],[ppn_z]],tbl_Historique_Final[[#This Row],[ppn_z]],tbl_Historique_Final[[#This Row],[date_modif]])=Final_Sans_VGE[[#This Row],[date_modif]],
      "Ancien",
      "Modifié"),
   "Nouveau")),"")</f>
        <v/>
      </c>
    </row>
    <row r="3484" spans="24:30" x14ac:dyDescent="0.25">
      <c r="X3484" s="8" t="e">
        <f>IF(Final_Sans_VGE[[#This Row],[ppn_z]]="","",IFERROR(
   IF(_xlfn.XLOOKUP(Final_Sans_VGE[[#This Row],[ppn_z]],tbl_Historique_Final[ppn_z],tbl_Historique_Final[date_modif])=Final_Sans_VGE[[#This Row],[date_modif]],
      "Ancien",
      "Modifié"),
   "Nouveau"))</f>
        <v>#VALUE!</v>
      </c>
      <c r="AD3484" s="1" t="str">
        <f>IFERROR(IF(Final_Sans_VGE[[#This Row],[ppn_z]]="","",IFERROR(
   IF(_xlfn.XLOOKUP(Final_Sans_VGE[[#This Row],[ppn_z]],tbl_Historique_Final[[#This Row],[ppn_z]],tbl_Historique_Final[[#This Row],[date_modif]])=Final_Sans_VGE[[#This Row],[date_modif]],
      "Ancien",
      "Modifié"),
   "Nouveau")),"")</f>
        <v/>
      </c>
    </row>
    <row r="3485" spans="24:30" x14ac:dyDescent="0.25">
      <c r="X3485" s="8" t="e">
        <f>IF(Final_Sans_VGE[[#This Row],[ppn_z]]="","",IFERROR(
   IF(_xlfn.XLOOKUP(Final_Sans_VGE[[#This Row],[ppn_z]],tbl_Historique_Final[ppn_z],tbl_Historique_Final[date_modif])=Final_Sans_VGE[[#This Row],[date_modif]],
      "Ancien",
      "Modifié"),
   "Nouveau"))</f>
        <v>#VALUE!</v>
      </c>
      <c r="AD3485" s="1" t="str">
        <f>IFERROR(IF(Final_Sans_VGE[[#This Row],[ppn_z]]="","",IFERROR(
   IF(_xlfn.XLOOKUP(Final_Sans_VGE[[#This Row],[ppn_z]],tbl_Historique_Final[[#This Row],[ppn_z]],tbl_Historique_Final[[#This Row],[date_modif]])=Final_Sans_VGE[[#This Row],[date_modif]],
      "Ancien",
      "Modifié"),
   "Nouveau")),"")</f>
        <v/>
      </c>
    </row>
    <row r="3486" spans="24:30" x14ac:dyDescent="0.25">
      <c r="X3486" s="8" t="e">
        <f>IF(Final_Sans_VGE[[#This Row],[ppn_z]]="","",IFERROR(
   IF(_xlfn.XLOOKUP(Final_Sans_VGE[[#This Row],[ppn_z]],tbl_Historique_Final[ppn_z],tbl_Historique_Final[date_modif])=Final_Sans_VGE[[#This Row],[date_modif]],
      "Ancien",
      "Modifié"),
   "Nouveau"))</f>
        <v>#VALUE!</v>
      </c>
      <c r="AD3486" s="1" t="str">
        <f>IFERROR(IF(Final_Sans_VGE[[#This Row],[ppn_z]]="","",IFERROR(
   IF(_xlfn.XLOOKUP(Final_Sans_VGE[[#This Row],[ppn_z]],tbl_Historique_Final[[#This Row],[ppn_z]],tbl_Historique_Final[[#This Row],[date_modif]])=Final_Sans_VGE[[#This Row],[date_modif]],
      "Ancien",
      "Modifié"),
   "Nouveau")),"")</f>
        <v/>
      </c>
    </row>
    <row r="3487" spans="24:30" x14ac:dyDescent="0.25">
      <c r="X3487" s="8" t="e">
        <f>IF(Final_Sans_VGE[[#This Row],[ppn_z]]="","",IFERROR(
   IF(_xlfn.XLOOKUP(Final_Sans_VGE[[#This Row],[ppn_z]],tbl_Historique_Final[ppn_z],tbl_Historique_Final[date_modif])=Final_Sans_VGE[[#This Row],[date_modif]],
      "Ancien",
      "Modifié"),
   "Nouveau"))</f>
        <v>#VALUE!</v>
      </c>
      <c r="AD3487" s="1" t="str">
        <f>IFERROR(IF(Final_Sans_VGE[[#This Row],[ppn_z]]="","",IFERROR(
   IF(_xlfn.XLOOKUP(Final_Sans_VGE[[#This Row],[ppn_z]],tbl_Historique_Final[[#This Row],[ppn_z]],tbl_Historique_Final[[#This Row],[date_modif]])=Final_Sans_VGE[[#This Row],[date_modif]],
      "Ancien",
      "Modifié"),
   "Nouveau")),"")</f>
        <v/>
      </c>
    </row>
    <row r="3488" spans="24:30" x14ac:dyDescent="0.25">
      <c r="X3488" s="8" t="e">
        <f>IF(Final_Sans_VGE[[#This Row],[ppn_z]]="","",IFERROR(
   IF(_xlfn.XLOOKUP(Final_Sans_VGE[[#This Row],[ppn_z]],tbl_Historique_Final[ppn_z],tbl_Historique_Final[date_modif])=Final_Sans_VGE[[#This Row],[date_modif]],
      "Ancien",
      "Modifié"),
   "Nouveau"))</f>
        <v>#VALUE!</v>
      </c>
      <c r="AD3488" s="1" t="str">
        <f>IFERROR(IF(Final_Sans_VGE[[#This Row],[ppn_z]]="","",IFERROR(
   IF(_xlfn.XLOOKUP(Final_Sans_VGE[[#This Row],[ppn_z]],tbl_Historique_Final[[#This Row],[ppn_z]],tbl_Historique_Final[[#This Row],[date_modif]])=Final_Sans_VGE[[#This Row],[date_modif]],
      "Ancien",
      "Modifié"),
   "Nouveau")),"")</f>
        <v/>
      </c>
    </row>
    <row r="3489" spans="24:30" x14ac:dyDescent="0.25">
      <c r="X3489" s="8" t="e">
        <f>IF(Final_Sans_VGE[[#This Row],[ppn_z]]="","",IFERROR(
   IF(_xlfn.XLOOKUP(Final_Sans_VGE[[#This Row],[ppn_z]],tbl_Historique_Final[ppn_z],tbl_Historique_Final[date_modif])=Final_Sans_VGE[[#This Row],[date_modif]],
      "Ancien",
      "Modifié"),
   "Nouveau"))</f>
        <v>#VALUE!</v>
      </c>
      <c r="AD3489" s="1" t="str">
        <f>IFERROR(IF(Final_Sans_VGE[[#This Row],[ppn_z]]="","",IFERROR(
   IF(_xlfn.XLOOKUP(Final_Sans_VGE[[#This Row],[ppn_z]],tbl_Historique_Final[[#This Row],[ppn_z]],tbl_Historique_Final[[#This Row],[date_modif]])=Final_Sans_VGE[[#This Row],[date_modif]],
      "Ancien",
      "Modifié"),
   "Nouveau")),"")</f>
        <v/>
      </c>
    </row>
    <row r="3490" spans="24:30" x14ac:dyDescent="0.25">
      <c r="X3490" s="8" t="e">
        <f>IF(Final_Sans_VGE[[#This Row],[ppn_z]]="","",IFERROR(
   IF(_xlfn.XLOOKUP(Final_Sans_VGE[[#This Row],[ppn_z]],tbl_Historique_Final[ppn_z],tbl_Historique_Final[date_modif])=Final_Sans_VGE[[#This Row],[date_modif]],
      "Ancien",
      "Modifié"),
   "Nouveau"))</f>
        <v>#VALUE!</v>
      </c>
      <c r="AD3490" s="1" t="str">
        <f>IFERROR(IF(Final_Sans_VGE[[#This Row],[ppn_z]]="","",IFERROR(
   IF(_xlfn.XLOOKUP(Final_Sans_VGE[[#This Row],[ppn_z]],tbl_Historique_Final[[#This Row],[ppn_z]],tbl_Historique_Final[[#This Row],[date_modif]])=Final_Sans_VGE[[#This Row],[date_modif]],
      "Ancien",
      "Modifié"),
   "Nouveau")),"")</f>
        <v/>
      </c>
    </row>
    <row r="3491" spans="24:30" x14ac:dyDescent="0.25">
      <c r="X3491" s="8" t="e">
        <f>IF(Final_Sans_VGE[[#This Row],[ppn_z]]="","",IFERROR(
   IF(_xlfn.XLOOKUP(Final_Sans_VGE[[#This Row],[ppn_z]],tbl_Historique_Final[ppn_z],tbl_Historique_Final[date_modif])=Final_Sans_VGE[[#This Row],[date_modif]],
      "Ancien",
      "Modifié"),
   "Nouveau"))</f>
        <v>#VALUE!</v>
      </c>
      <c r="AD3491" s="1" t="str">
        <f>IFERROR(IF(Final_Sans_VGE[[#This Row],[ppn_z]]="","",IFERROR(
   IF(_xlfn.XLOOKUP(Final_Sans_VGE[[#This Row],[ppn_z]],tbl_Historique_Final[[#This Row],[ppn_z]],tbl_Historique_Final[[#This Row],[date_modif]])=Final_Sans_VGE[[#This Row],[date_modif]],
      "Ancien",
      "Modifié"),
   "Nouveau")),"")</f>
        <v/>
      </c>
    </row>
    <row r="3492" spans="24:30" x14ac:dyDescent="0.25">
      <c r="X3492" s="8" t="e">
        <f>IF(Final_Sans_VGE[[#This Row],[ppn_z]]="","",IFERROR(
   IF(_xlfn.XLOOKUP(Final_Sans_VGE[[#This Row],[ppn_z]],tbl_Historique_Final[ppn_z],tbl_Historique_Final[date_modif])=Final_Sans_VGE[[#This Row],[date_modif]],
      "Ancien",
      "Modifié"),
   "Nouveau"))</f>
        <v>#VALUE!</v>
      </c>
      <c r="AD3492" s="1" t="str">
        <f>IFERROR(IF(Final_Sans_VGE[[#This Row],[ppn_z]]="","",IFERROR(
   IF(_xlfn.XLOOKUP(Final_Sans_VGE[[#This Row],[ppn_z]],tbl_Historique_Final[[#This Row],[ppn_z]],tbl_Historique_Final[[#This Row],[date_modif]])=Final_Sans_VGE[[#This Row],[date_modif]],
      "Ancien",
      "Modifié"),
   "Nouveau")),"")</f>
        <v/>
      </c>
    </row>
    <row r="3493" spans="24:30" x14ac:dyDescent="0.25">
      <c r="X3493" s="8" t="e">
        <f>IF(Final_Sans_VGE[[#This Row],[ppn_z]]="","",IFERROR(
   IF(_xlfn.XLOOKUP(Final_Sans_VGE[[#This Row],[ppn_z]],tbl_Historique_Final[ppn_z],tbl_Historique_Final[date_modif])=Final_Sans_VGE[[#This Row],[date_modif]],
      "Ancien",
      "Modifié"),
   "Nouveau"))</f>
        <v>#VALUE!</v>
      </c>
      <c r="AD3493" s="1" t="str">
        <f>IFERROR(IF(Final_Sans_VGE[[#This Row],[ppn_z]]="","",IFERROR(
   IF(_xlfn.XLOOKUP(Final_Sans_VGE[[#This Row],[ppn_z]],tbl_Historique_Final[[#This Row],[ppn_z]],tbl_Historique_Final[[#This Row],[date_modif]])=Final_Sans_VGE[[#This Row],[date_modif]],
      "Ancien",
      "Modifié"),
   "Nouveau")),"")</f>
        <v/>
      </c>
    </row>
    <row r="3494" spans="24:30" x14ac:dyDescent="0.25">
      <c r="X3494" s="8" t="e">
        <f>IF(Final_Sans_VGE[[#This Row],[ppn_z]]="","",IFERROR(
   IF(_xlfn.XLOOKUP(Final_Sans_VGE[[#This Row],[ppn_z]],tbl_Historique_Final[ppn_z],tbl_Historique_Final[date_modif])=Final_Sans_VGE[[#This Row],[date_modif]],
      "Ancien",
      "Modifié"),
   "Nouveau"))</f>
        <v>#VALUE!</v>
      </c>
      <c r="AD3494" s="1" t="str">
        <f>IFERROR(IF(Final_Sans_VGE[[#This Row],[ppn_z]]="","",IFERROR(
   IF(_xlfn.XLOOKUP(Final_Sans_VGE[[#This Row],[ppn_z]],tbl_Historique_Final[[#This Row],[ppn_z]],tbl_Historique_Final[[#This Row],[date_modif]])=Final_Sans_VGE[[#This Row],[date_modif]],
      "Ancien",
      "Modifié"),
   "Nouveau")),"")</f>
        <v/>
      </c>
    </row>
    <row r="3495" spans="24:30" x14ac:dyDescent="0.25">
      <c r="X3495" s="8" t="e">
        <f>IF(Final_Sans_VGE[[#This Row],[ppn_z]]="","",IFERROR(
   IF(_xlfn.XLOOKUP(Final_Sans_VGE[[#This Row],[ppn_z]],tbl_Historique_Final[ppn_z],tbl_Historique_Final[date_modif])=Final_Sans_VGE[[#This Row],[date_modif]],
      "Ancien",
      "Modifié"),
   "Nouveau"))</f>
        <v>#VALUE!</v>
      </c>
      <c r="AD3495" s="1" t="str">
        <f>IFERROR(IF(Final_Sans_VGE[[#This Row],[ppn_z]]="","",IFERROR(
   IF(_xlfn.XLOOKUP(Final_Sans_VGE[[#This Row],[ppn_z]],tbl_Historique_Final[[#This Row],[ppn_z]],tbl_Historique_Final[[#This Row],[date_modif]])=Final_Sans_VGE[[#This Row],[date_modif]],
      "Ancien",
      "Modifié"),
   "Nouveau")),"")</f>
        <v/>
      </c>
    </row>
    <row r="3496" spans="24:30" x14ac:dyDescent="0.25">
      <c r="X3496" s="8" t="e">
        <f>IF(Final_Sans_VGE[[#This Row],[ppn_z]]="","",IFERROR(
   IF(_xlfn.XLOOKUP(Final_Sans_VGE[[#This Row],[ppn_z]],tbl_Historique_Final[ppn_z],tbl_Historique_Final[date_modif])=Final_Sans_VGE[[#This Row],[date_modif]],
      "Ancien",
      "Modifié"),
   "Nouveau"))</f>
        <v>#VALUE!</v>
      </c>
      <c r="AD3496" s="1" t="str">
        <f>IFERROR(IF(Final_Sans_VGE[[#This Row],[ppn_z]]="","",IFERROR(
   IF(_xlfn.XLOOKUP(Final_Sans_VGE[[#This Row],[ppn_z]],tbl_Historique_Final[[#This Row],[ppn_z]],tbl_Historique_Final[[#This Row],[date_modif]])=Final_Sans_VGE[[#This Row],[date_modif]],
      "Ancien",
      "Modifié"),
   "Nouveau")),"")</f>
        <v/>
      </c>
    </row>
    <row r="3497" spans="24:30" x14ac:dyDescent="0.25">
      <c r="X3497" s="8" t="e">
        <f>IF(Final_Sans_VGE[[#This Row],[ppn_z]]="","",IFERROR(
   IF(_xlfn.XLOOKUP(Final_Sans_VGE[[#This Row],[ppn_z]],tbl_Historique_Final[ppn_z],tbl_Historique_Final[date_modif])=Final_Sans_VGE[[#This Row],[date_modif]],
      "Ancien",
      "Modifié"),
   "Nouveau"))</f>
        <v>#VALUE!</v>
      </c>
      <c r="AD3497" s="1" t="str">
        <f>IFERROR(IF(Final_Sans_VGE[[#This Row],[ppn_z]]="","",IFERROR(
   IF(_xlfn.XLOOKUP(Final_Sans_VGE[[#This Row],[ppn_z]],tbl_Historique_Final[[#This Row],[ppn_z]],tbl_Historique_Final[[#This Row],[date_modif]])=Final_Sans_VGE[[#This Row],[date_modif]],
      "Ancien",
      "Modifié"),
   "Nouveau")),"")</f>
        <v/>
      </c>
    </row>
    <row r="3498" spans="24:30" x14ac:dyDescent="0.25">
      <c r="X3498" s="8" t="e">
        <f>IF(Final_Sans_VGE[[#This Row],[ppn_z]]="","",IFERROR(
   IF(_xlfn.XLOOKUP(Final_Sans_VGE[[#This Row],[ppn_z]],tbl_Historique_Final[ppn_z],tbl_Historique_Final[date_modif])=Final_Sans_VGE[[#This Row],[date_modif]],
      "Ancien",
      "Modifié"),
   "Nouveau"))</f>
        <v>#VALUE!</v>
      </c>
      <c r="AD3498" s="1" t="str">
        <f>IFERROR(IF(Final_Sans_VGE[[#This Row],[ppn_z]]="","",IFERROR(
   IF(_xlfn.XLOOKUP(Final_Sans_VGE[[#This Row],[ppn_z]],tbl_Historique_Final[[#This Row],[ppn_z]],tbl_Historique_Final[[#This Row],[date_modif]])=Final_Sans_VGE[[#This Row],[date_modif]],
      "Ancien",
      "Modifié"),
   "Nouveau")),"")</f>
        <v/>
      </c>
    </row>
    <row r="3499" spans="24:30" x14ac:dyDescent="0.25">
      <c r="X3499" s="8" t="e">
        <f>IF(Final_Sans_VGE[[#This Row],[ppn_z]]="","",IFERROR(
   IF(_xlfn.XLOOKUP(Final_Sans_VGE[[#This Row],[ppn_z]],tbl_Historique_Final[ppn_z],tbl_Historique_Final[date_modif])=Final_Sans_VGE[[#This Row],[date_modif]],
      "Ancien",
      "Modifié"),
   "Nouveau"))</f>
        <v>#VALUE!</v>
      </c>
      <c r="AD3499" s="1" t="str">
        <f>IFERROR(IF(Final_Sans_VGE[[#This Row],[ppn_z]]="","",IFERROR(
   IF(_xlfn.XLOOKUP(Final_Sans_VGE[[#This Row],[ppn_z]],tbl_Historique_Final[[#This Row],[ppn_z]],tbl_Historique_Final[[#This Row],[date_modif]])=Final_Sans_VGE[[#This Row],[date_modif]],
      "Ancien",
      "Modifié"),
   "Nouveau")),"")</f>
        <v/>
      </c>
    </row>
    <row r="3500" spans="24:30" x14ac:dyDescent="0.25">
      <c r="X3500" s="8" t="e">
        <f>IF(Final_Sans_VGE[[#This Row],[ppn_z]]="","",IFERROR(
   IF(_xlfn.XLOOKUP(Final_Sans_VGE[[#This Row],[ppn_z]],tbl_Historique_Final[ppn_z],tbl_Historique_Final[date_modif])=Final_Sans_VGE[[#This Row],[date_modif]],
      "Ancien",
      "Modifié"),
   "Nouveau"))</f>
        <v>#VALUE!</v>
      </c>
      <c r="AD3500" s="1" t="str">
        <f>IFERROR(IF(Final_Sans_VGE[[#This Row],[ppn_z]]="","",IFERROR(
   IF(_xlfn.XLOOKUP(Final_Sans_VGE[[#This Row],[ppn_z]],tbl_Historique_Final[[#This Row],[ppn_z]],tbl_Historique_Final[[#This Row],[date_modif]])=Final_Sans_VGE[[#This Row],[date_modif]],
      "Ancien",
      "Modifié"),
   "Nouveau")),"")</f>
        <v/>
      </c>
    </row>
    <row r="3501" spans="24:30" x14ac:dyDescent="0.25">
      <c r="X3501" s="8" t="e">
        <f>IF(Final_Sans_VGE[[#This Row],[ppn_z]]="","",IFERROR(
   IF(_xlfn.XLOOKUP(Final_Sans_VGE[[#This Row],[ppn_z]],tbl_Historique_Final[ppn_z],tbl_Historique_Final[date_modif])=Final_Sans_VGE[[#This Row],[date_modif]],
      "Ancien",
      "Modifié"),
   "Nouveau"))</f>
        <v>#VALUE!</v>
      </c>
      <c r="AD3501" s="1" t="str">
        <f>IFERROR(IF(Final_Sans_VGE[[#This Row],[ppn_z]]="","",IFERROR(
   IF(_xlfn.XLOOKUP(Final_Sans_VGE[[#This Row],[ppn_z]],tbl_Historique_Final[[#This Row],[ppn_z]],tbl_Historique_Final[[#This Row],[date_modif]])=Final_Sans_VGE[[#This Row],[date_modif]],
      "Ancien",
      "Modifié"),
   "Nouveau")),"")</f>
        <v/>
      </c>
    </row>
    <row r="3502" spans="24:30" x14ac:dyDescent="0.25">
      <c r="X3502" s="8" t="e">
        <f>IF(Final_Sans_VGE[[#This Row],[ppn_z]]="","",IFERROR(
   IF(_xlfn.XLOOKUP(Final_Sans_VGE[[#This Row],[ppn_z]],tbl_Historique_Final[ppn_z],tbl_Historique_Final[date_modif])=Final_Sans_VGE[[#This Row],[date_modif]],
      "Ancien",
      "Modifié"),
   "Nouveau"))</f>
        <v>#VALUE!</v>
      </c>
      <c r="AD3502" s="1" t="str">
        <f>IFERROR(IF(Final_Sans_VGE[[#This Row],[ppn_z]]="","",IFERROR(
   IF(_xlfn.XLOOKUP(Final_Sans_VGE[[#This Row],[ppn_z]],tbl_Historique_Final[[#This Row],[ppn_z]],tbl_Historique_Final[[#This Row],[date_modif]])=Final_Sans_VGE[[#This Row],[date_modif]],
      "Ancien",
      "Modifié"),
   "Nouveau")),"")</f>
        <v/>
      </c>
    </row>
    <row r="3503" spans="24:30" x14ac:dyDescent="0.25">
      <c r="X3503" s="8" t="e">
        <f>IF(Final_Sans_VGE[[#This Row],[ppn_z]]="","",IFERROR(
   IF(_xlfn.XLOOKUP(Final_Sans_VGE[[#This Row],[ppn_z]],tbl_Historique_Final[ppn_z],tbl_Historique_Final[date_modif])=Final_Sans_VGE[[#This Row],[date_modif]],
      "Ancien",
      "Modifié"),
   "Nouveau"))</f>
        <v>#VALUE!</v>
      </c>
      <c r="AD3503" s="1" t="str">
        <f>IFERROR(IF(Final_Sans_VGE[[#This Row],[ppn_z]]="","",IFERROR(
   IF(_xlfn.XLOOKUP(Final_Sans_VGE[[#This Row],[ppn_z]],tbl_Historique_Final[[#This Row],[ppn_z]],tbl_Historique_Final[[#This Row],[date_modif]])=Final_Sans_VGE[[#This Row],[date_modif]],
      "Ancien",
      "Modifié"),
   "Nouveau")),"")</f>
        <v/>
      </c>
    </row>
    <row r="3504" spans="24:30" x14ac:dyDescent="0.25">
      <c r="X3504" s="8" t="e">
        <f>IF(Final_Sans_VGE[[#This Row],[ppn_z]]="","",IFERROR(
   IF(_xlfn.XLOOKUP(Final_Sans_VGE[[#This Row],[ppn_z]],tbl_Historique_Final[ppn_z],tbl_Historique_Final[date_modif])=Final_Sans_VGE[[#This Row],[date_modif]],
      "Ancien",
      "Modifié"),
   "Nouveau"))</f>
        <v>#VALUE!</v>
      </c>
      <c r="AD3504" s="1" t="str">
        <f>IFERROR(IF(Final_Sans_VGE[[#This Row],[ppn_z]]="","",IFERROR(
   IF(_xlfn.XLOOKUP(Final_Sans_VGE[[#This Row],[ppn_z]],tbl_Historique_Final[[#This Row],[ppn_z]],tbl_Historique_Final[[#This Row],[date_modif]])=Final_Sans_VGE[[#This Row],[date_modif]],
      "Ancien",
      "Modifié"),
   "Nouveau")),"")</f>
        <v/>
      </c>
    </row>
    <row r="3505" spans="24:30" x14ac:dyDescent="0.25">
      <c r="X3505" s="8" t="e">
        <f>IF(Final_Sans_VGE[[#This Row],[ppn_z]]="","",IFERROR(
   IF(_xlfn.XLOOKUP(Final_Sans_VGE[[#This Row],[ppn_z]],tbl_Historique_Final[ppn_z],tbl_Historique_Final[date_modif])=Final_Sans_VGE[[#This Row],[date_modif]],
      "Ancien",
      "Modifié"),
   "Nouveau"))</f>
        <v>#VALUE!</v>
      </c>
      <c r="AD3505" s="1" t="str">
        <f>IFERROR(IF(Final_Sans_VGE[[#This Row],[ppn_z]]="","",IFERROR(
   IF(_xlfn.XLOOKUP(Final_Sans_VGE[[#This Row],[ppn_z]],tbl_Historique_Final[[#This Row],[ppn_z]],tbl_Historique_Final[[#This Row],[date_modif]])=Final_Sans_VGE[[#This Row],[date_modif]],
      "Ancien",
      "Modifié"),
   "Nouveau")),"")</f>
        <v/>
      </c>
    </row>
    <row r="3506" spans="24:30" x14ac:dyDescent="0.25">
      <c r="X3506" s="8" t="e">
        <f>IF(Final_Sans_VGE[[#This Row],[ppn_z]]="","",IFERROR(
   IF(_xlfn.XLOOKUP(Final_Sans_VGE[[#This Row],[ppn_z]],tbl_Historique_Final[ppn_z],tbl_Historique_Final[date_modif])=Final_Sans_VGE[[#This Row],[date_modif]],
      "Ancien",
      "Modifié"),
   "Nouveau"))</f>
        <v>#VALUE!</v>
      </c>
      <c r="AD3506" s="1" t="str">
        <f>IFERROR(IF(Final_Sans_VGE[[#This Row],[ppn_z]]="","",IFERROR(
   IF(_xlfn.XLOOKUP(Final_Sans_VGE[[#This Row],[ppn_z]],tbl_Historique_Final[[#This Row],[ppn_z]],tbl_Historique_Final[[#This Row],[date_modif]])=Final_Sans_VGE[[#This Row],[date_modif]],
      "Ancien",
      "Modifié"),
   "Nouveau")),"")</f>
        <v/>
      </c>
    </row>
    <row r="3507" spans="24:30" x14ac:dyDescent="0.25">
      <c r="X3507" s="8" t="e">
        <f>IF(Final_Sans_VGE[[#This Row],[ppn_z]]="","",IFERROR(
   IF(_xlfn.XLOOKUP(Final_Sans_VGE[[#This Row],[ppn_z]],tbl_Historique_Final[ppn_z],tbl_Historique_Final[date_modif])=Final_Sans_VGE[[#This Row],[date_modif]],
      "Ancien",
      "Modifié"),
   "Nouveau"))</f>
        <v>#VALUE!</v>
      </c>
      <c r="AD3507" s="1" t="str">
        <f>IFERROR(IF(Final_Sans_VGE[[#This Row],[ppn_z]]="","",IFERROR(
   IF(_xlfn.XLOOKUP(Final_Sans_VGE[[#This Row],[ppn_z]],tbl_Historique_Final[[#This Row],[ppn_z]],tbl_Historique_Final[[#This Row],[date_modif]])=Final_Sans_VGE[[#This Row],[date_modif]],
      "Ancien",
      "Modifié"),
   "Nouveau")),"")</f>
        <v/>
      </c>
    </row>
    <row r="3508" spans="24:30" x14ac:dyDescent="0.25">
      <c r="X3508" s="8" t="e">
        <f>IF(Final_Sans_VGE[[#This Row],[ppn_z]]="","",IFERROR(
   IF(_xlfn.XLOOKUP(Final_Sans_VGE[[#This Row],[ppn_z]],tbl_Historique_Final[ppn_z],tbl_Historique_Final[date_modif])=Final_Sans_VGE[[#This Row],[date_modif]],
      "Ancien",
      "Modifié"),
   "Nouveau"))</f>
        <v>#VALUE!</v>
      </c>
      <c r="AD3508" s="1" t="str">
        <f>IFERROR(IF(Final_Sans_VGE[[#This Row],[ppn_z]]="","",IFERROR(
   IF(_xlfn.XLOOKUP(Final_Sans_VGE[[#This Row],[ppn_z]],tbl_Historique_Final[[#This Row],[ppn_z]],tbl_Historique_Final[[#This Row],[date_modif]])=Final_Sans_VGE[[#This Row],[date_modif]],
      "Ancien",
      "Modifié"),
   "Nouveau")),"")</f>
        <v/>
      </c>
    </row>
    <row r="3509" spans="24:30" x14ac:dyDescent="0.25">
      <c r="X3509" s="8" t="e">
        <f>IF(Final_Sans_VGE[[#This Row],[ppn_z]]="","",IFERROR(
   IF(_xlfn.XLOOKUP(Final_Sans_VGE[[#This Row],[ppn_z]],tbl_Historique_Final[ppn_z],tbl_Historique_Final[date_modif])=Final_Sans_VGE[[#This Row],[date_modif]],
      "Ancien",
      "Modifié"),
   "Nouveau"))</f>
        <v>#VALUE!</v>
      </c>
      <c r="AD3509" s="1" t="str">
        <f>IFERROR(IF(Final_Sans_VGE[[#This Row],[ppn_z]]="","",IFERROR(
   IF(_xlfn.XLOOKUP(Final_Sans_VGE[[#This Row],[ppn_z]],tbl_Historique_Final[[#This Row],[ppn_z]],tbl_Historique_Final[[#This Row],[date_modif]])=Final_Sans_VGE[[#This Row],[date_modif]],
      "Ancien",
      "Modifié"),
   "Nouveau")),"")</f>
        <v/>
      </c>
    </row>
    <row r="3510" spans="24:30" x14ac:dyDescent="0.25">
      <c r="X3510" s="8" t="e">
        <f>IF(Final_Sans_VGE[[#This Row],[ppn_z]]="","",IFERROR(
   IF(_xlfn.XLOOKUP(Final_Sans_VGE[[#This Row],[ppn_z]],tbl_Historique_Final[ppn_z],tbl_Historique_Final[date_modif])=Final_Sans_VGE[[#This Row],[date_modif]],
      "Ancien",
      "Modifié"),
   "Nouveau"))</f>
        <v>#VALUE!</v>
      </c>
      <c r="AD3510" s="1" t="str">
        <f>IFERROR(IF(Final_Sans_VGE[[#This Row],[ppn_z]]="","",IFERROR(
   IF(_xlfn.XLOOKUP(Final_Sans_VGE[[#This Row],[ppn_z]],tbl_Historique_Final[[#This Row],[ppn_z]],tbl_Historique_Final[[#This Row],[date_modif]])=Final_Sans_VGE[[#This Row],[date_modif]],
      "Ancien",
      "Modifié"),
   "Nouveau")),"")</f>
        <v/>
      </c>
    </row>
    <row r="3511" spans="24:30" x14ac:dyDescent="0.25">
      <c r="X3511" s="8" t="e">
        <f>IF(Final_Sans_VGE[[#This Row],[ppn_z]]="","",IFERROR(
   IF(_xlfn.XLOOKUP(Final_Sans_VGE[[#This Row],[ppn_z]],tbl_Historique_Final[ppn_z],tbl_Historique_Final[date_modif])=Final_Sans_VGE[[#This Row],[date_modif]],
      "Ancien",
      "Modifié"),
   "Nouveau"))</f>
        <v>#VALUE!</v>
      </c>
      <c r="AD3511" s="1" t="str">
        <f>IFERROR(IF(Final_Sans_VGE[[#This Row],[ppn_z]]="","",IFERROR(
   IF(_xlfn.XLOOKUP(Final_Sans_VGE[[#This Row],[ppn_z]],tbl_Historique_Final[[#This Row],[ppn_z]],tbl_Historique_Final[[#This Row],[date_modif]])=Final_Sans_VGE[[#This Row],[date_modif]],
      "Ancien",
      "Modifié"),
   "Nouveau")),"")</f>
        <v/>
      </c>
    </row>
    <row r="3512" spans="24:30" x14ac:dyDescent="0.25">
      <c r="X3512" s="8" t="e">
        <f>IF(Final_Sans_VGE[[#This Row],[ppn_z]]="","",IFERROR(
   IF(_xlfn.XLOOKUP(Final_Sans_VGE[[#This Row],[ppn_z]],tbl_Historique_Final[ppn_z],tbl_Historique_Final[date_modif])=Final_Sans_VGE[[#This Row],[date_modif]],
      "Ancien",
      "Modifié"),
   "Nouveau"))</f>
        <v>#VALUE!</v>
      </c>
      <c r="AD3512" s="1" t="str">
        <f>IFERROR(IF(Final_Sans_VGE[[#This Row],[ppn_z]]="","",IFERROR(
   IF(_xlfn.XLOOKUP(Final_Sans_VGE[[#This Row],[ppn_z]],tbl_Historique_Final[[#This Row],[ppn_z]],tbl_Historique_Final[[#This Row],[date_modif]])=Final_Sans_VGE[[#This Row],[date_modif]],
      "Ancien",
      "Modifié"),
   "Nouveau")),"")</f>
        <v/>
      </c>
    </row>
    <row r="3513" spans="24:30" x14ac:dyDescent="0.25">
      <c r="X3513" s="8" t="e">
        <f>IF(Final_Sans_VGE[[#This Row],[ppn_z]]="","",IFERROR(
   IF(_xlfn.XLOOKUP(Final_Sans_VGE[[#This Row],[ppn_z]],tbl_Historique_Final[ppn_z],tbl_Historique_Final[date_modif])=Final_Sans_VGE[[#This Row],[date_modif]],
      "Ancien",
      "Modifié"),
   "Nouveau"))</f>
        <v>#VALUE!</v>
      </c>
      <c r="AD3513" s="1" t="str">
        <f>IFERROR(IF(Final_Sans_VGE[[#This Row],[ppn_z]]="","",IFERROR(
   IF(_xlfn.XLOOKUP(Final_Sans_VGE[[#This Row],[ppn_z]],tbl_Historique_Final[[#This Row],[ppn_z]],tbl_Historique_Final[[#This Row],[date_modif]])=Final_Sans_VGE[[#This Row],[date_modif]],
      "Ancien",
      "Modifié"),
   "Nouveau")),"")</f>
        <v/>
      </c>
    </row>
    <row r="3514" spans="24:30" x14ac:dyDescent="0.25">
      <c r="X3514" s="8" t="e">
        <f>IF(Final_Sans_VGE[[#This Row],[ppn_z]]="","",IFERROR(
   IF(_xlfn.XLOOKUP(Final_Sans_VGE[[#This Row],[ppn_z]],tbl_Historique_Final[ppn_z],tbl_Historique_Final[date_modif])=Final_Sans_VGE[[#This Row],[date_modif]],
      "Ancien",
      "Modifié"),
   "Nouveau"))</f>
        <v>#VALUE!</v>
      </c>
      <c r="AD3514" s="1" t="str">
        <f>IFERROR(IF(Final_Sans_VGE[[#This Row],[ppn_z]]="","",IFERROR(
   IF(_xlfn.XLOOKUP(Final_Sans_VGE[[#This Row],[ppn_z]],tbl_Historique_Final[[#This Row],[ppn_z]],tbl_Historique_Final[[#This Row],[date_modif]])=Final_Sans_VGE[[#This Row],[date_modif]],
      "Ancien",
      "Modifié"),
   "Nouveau")),"")</f>
        <v/>
      </c>
    </row>
    <row r="3515" spans="24:30" x14ac:dyDescent="0.25">
      <c r="X3515" s="8" t="e">
        <f>IF(Final_Sans_VGE[[#This Row],[ppn_z]]="","",IFERROR(
   IF(_xlfn.XLOOKUP(Final_Sans_VGE[[#This Row],[ppn_z]],tbl_Historique_Final[ppn_z],tbl_Historique_Final[date_modif])=Final_Sans_VGE[[#This Row],[date_modif]],
      "Ancien",
      "Modifié"),
   "Nouveau"))</f>
        <v>#VALUE!</v>
      </c>
      <c r="AD3515" s="1" t="str">
        <f>IFERROR(IF(Final_Sans_VGE[[#This Row],[ppn_z]]="","",IFERROR(
   IF(_xlfn.XLOOKUP(Final_Sans_VGE[[#This Row],[ppn_z]],tbl_Historique_Final[[#This Row],[ppn_z]],tbl_Historique_Final[[#This Row],[date_modif]])=Final_Sans_VGE[[#This Row],[date_modif]],
      "Ancien",
      "Modifié"),
   "Nouveau")),"")</f>
        <v/>
      </c>
    </row>
    <row r="3516" spans="24:30" x14ac:dyDescent="0.25">
      <c r="X3516" s="8" t="e">
        <f>IF(Final_Sans_VGE[[#This Row],[ppn_z]]="","",IFERROR(
   IF(_xlfn.XLOOKUP(Final_Sans_VGE[[#This Row],[ppn_z]],tbl_Historique_Final[ppn_z],tbl_Historique_Final[date_modif])=Final_Sans_VGE[[#This Row],[date_modif]],
      "Ancien",
      "Modifié"),
   "Nouveau"))</f>
        <v>#VALUE!</v>
      </c>
      <c r="AD3516" s="1" t="str">
        <f>IFERROR(IF(Final_Sans_VGE[[#This Row],[ppn_z]]="","",IFERROR(
   IF(_xlfn.XLOOKUP(Final_Sans_VGE[[#This Row],[ppn_z]],tbl_Historique_Final[[#This Row],[ppn_z]],tbl_Historique_Final[[#This Row],[date_modif]])=Final_Sans_VGE[[#This Row],[date_modif]],
      "Ancien",
      "Modifié"),
   "Nouveau")),"")</f>
        <v/>
      </c>
    </row>
    <row r="3517" spans="24:30" x14ac:dyDescent="0.25">
      <c r="X3517" s="8" t="e">
        <f>IF(Final_Sans_VGE[[#This Row],[ppn_z]]="","",IFERROR(
   IF(_xlfn.XLOOKUP(Final_Sans_VGE[[#This Row],[ppn_z]],tbl_Historique_Final[ppn_z],tbl_Historique_Final[date_modif])=Final_Sans_VGE[[#This Row],[date_modif]],
      "Ancien",
      "Modifié"),
   "Nouveau"))</f>
        <v>#VALUE!</v>
      </c>
      <c r="AD3517" s="1" t="str">
        <f>IFERROR(IF(Final_Sans_VGE[[#This Row],[ppn_z]]="","",IFERROR(
   IF(_xlfn.XLOOKUP(Final_Sans_VGE[[#This Row],[ppn_z]],tbl_Historique_Final[[#This Row],[ppn_z]],tbl_Historique_Final[[#This Row],[date_modif]])=Final_Sans_VGE[[#This Row],[date_modif]],
      "Ancien",
      "Modifié"),
   "Nouveau")),"")</f>
        <v/>
      </c>
    </row>
    <row r="3518" spans="24:30" x14ac:dyDescent="0.25">
      <c r="X3518" s="8" t="e">
        <f>IF(Final_Sans_VGE[[#This Row],[ppn_z]]="","",IFERROR(
   IF(_xlfn.XLOOKUP(Final_Sans_VGE[[#This Row],[ppn_z]],tbl_Historique_Final[ppn_z],tbl_Historique_Final[date_modif])=Final_Sans_VGE[[#This Row],[date_modif]],
      "Ancien",
      "Modifié"),
   "Nouveau"))</f>
        <v>#VALUE!</v>
      </c>
      <c r="AD3518" s="1" t="str">
        <f>IFERROR(IF(Final_Sans_VGE[[#This Row],[ppn_z]]="","",IFERROR(
   IF(_xlfn.XLOOKUP(Final_Sans_VGE[[#This Row],[ppn_z]],tbl_Historique_Final[[#This Row],[ppn_z]],tbl_Historique_Final[[#This Row],[date_modif]])=Final_Sans_VGE[[#This Row],[date_modif]],
      "Ancien",
      "Modifié"),
   "Nouveau")),"")</f>
        <v/>
      </c>
    </row>
    <row r="3519" spans="24:30" x14ac:dyDescent="0.25">
      <c r="X3519" s="8" t="e">
        <f>IF(Final_Sans_VGE[[#This Row],[ppn_z]]="","",IFERROR(
   IF(_xlfn.XLOOKUP(Final_Sans_VGE[[#This Row],[ppn_z]],tbl_Historique_Final[ppn_z],tbl_Historique_Final[date_modif])=Final_Sans_VGE[[#This Row],[date_modif]],
      "Ancien",
      "Modifié"),
   "Nouveau"))</f>
        <v>#VALUE!</v>
      </c>
      <c r="AD3519" s="1" t="str">
        <f>IFERROR(IF(Final_Sans_VGE[[#This Row],[ppn_z]]="","",IFERROR(
   IF(_xlfn.XLOOKUP(Final_Sans_VGE[[#This Row],[ppn_z]],tbl_Historique_Final[[#This Row],[ppn_z]],tbl_Historique_Final[[#This Row],[date_modif]])=Final_Sans_VGE[[#This Row],[date_modif]],
      "Ancien",
      "Modifié"),
   "Nouveau")),"")</f>
        <v/>
      </c>
    </row>
    <row r="3520" spans="24:30" x14ac:dyDescent="0.25">
      <c r="X3520" s="8" t="e">
        <f>IF(Final_Sans_VGE[[#This Row],[ppn_z]]="","",IFERROR(
   IF(_xlfn.XLOOKUP(Final_Sans_VGE[[#This Row],[ppn_z]],tbl_Historique_Final[ppn_z],tbl_Historique_Final[date_modif])=Final_Sans_VGE[[#This Row],[date_modif]],
      "Ancien",
      "Modifié"),
   "Nouveau"))</f>
        <v>#VALUE!</v>
      </c>
      <c r="AD3520" s="1" t="str">
        <f>IFERROR(IF(Final_Sans_VGE[[#This Row],[ppn_z]]="","",IFERROR(
   IF(_xlfn.XLOOKUP(Final_Sans_VGE[[#This Row],[ppn_z]],tbl_Historique_Final[[#This Row],[ppn_z]],tbl_Historique_Final[[#This Row],[date_modif]])=Final_Sans_VGE[[#This Row],[date_modif]],
      "Ancien",
      "Modifié"),
   "Nouveau")),"")</f>
        <v/>
      </c>
    </row>
    <row r="3521" spans="24:30" x14ac:dyDescent="0.25">
      <c r="X3521" s="8" t="e">
        <f>IF(Final_Sans_VGE[[#This Row],[ppn_z]]="","",IFERROR(
   IF(_xlfn.XLOOKUP(Final_Sans_VGE[[#This Row],[ppn_z]],tbl_Historique_Final[ppn_z],tbl_Historique_Final[date_modif])=Final_Sans_VGE[[#This Row],[date_modif]],
      "Ancien",
      "Modifié"),
   "Nouveau"))</f>
        <v>#VALUE!</v>
      </c>
      <c r="AD3521" s="1" t="str">
        <f>IFERROR(IF(Final_Sans_VGE[[#This Row],[ppn_z]]="","",IFERROR(
   IF(_xlfn.XLOOKUP(Final_Sans_VGE[[#This Row],[ppn_z]],tbl_Historique_Final[[#This Row],[ppn_z]],tbl_Historique_Final[[#This Row],[date_modif]])=Final_Sans_VGE[[#This Row],[date_modif]],
      "Ancien",
      "Modifié"),
   "Nouveau")),"")</f>
        <v/>
      </c>
    </row>
    <row r="3522" spans="24:30" x14ac:dyDescent="0.25">
      <c r="X3522" s="8" t="e">
        <f>IF(Final_Sans_VGE[[#This Row],[ppn_z]]="","",IFERROR(
   IF(_xlfn.XLOOKUP(Final_Sans_VGE[[#This Row],[ppn_z]],tbl_Historique_Final[ppn_z],tbl_Historique_Final[date_modif])=Final_Sans_VGE[[#This Row],[date_modif]],
      "Ancien",
      "Modifié"),
   "Nouveau"))</f>
        <v>#VALUE!</v>
      </c>
      <c r="AD3522" s="1" t="str">
        <f>IFERROR(IF(Final_Sans_VGE[[#This Row],[ppn_z]]="","",IFERROR(
   IF(_xlfn.XLOOKUP(Final_Sans_VGE[[#This Row],[ppn_z]],tbl_Historique_Final[[#This Row],[ppn_z]],tbl_Historique_Final[[#This Row],[date_modif]])=Final_Sans_VGE[[#This Row],[date_modif]],
      "Ancien",
      "Modifié"),
   "Nouveau")),"")</f>
        <v/>
      </c>
    </row>
    <row r="3523" spans="24:30" x14ac:dyDescent="0.25">
      <c r="X3523" s="8" t="e">
        <f>IF(Final_Sans_VGE[[#This Row],[ppn_z]]="","",IFERROR(
   IF(_xlfn.XLOOKUP(Final_Sans_VGE[[#This Row],[ppn_z]],tbl_Historique_Final[ppn_z],tbl_Historique_Final[date_modif])=Final_Sans_VGE[[#This Row],[date_modif]],
      "Ancien",
      "Modifié"),
   "Nouveau"))</f>
        <v>#VALUE!</v>
      </c>
      <c r="AD3523" s="1" t="str">
        <f>IFERROR(IF(Final_Sans_VGE[[#This Row],[ppn_z]]="","",IFERROR(
   IF(_xlfn.XLOOKUP(Final_Sans_VGE[[#This Row],[ppn_z]],tbl_Historique_Final[[#This Row],[ppn_z]],tbl_Historique_Final[[#This Row],[date_modif]])=Final_Sans_VGE[[#This Row],[date_modif]],
      "Ancien",
      "Modifié"),
   "Nouveau")),"")</f>
        <v/>
      </c>
    </row>
    <row r="3524" spans="24:30" x14ac:dyDescent="0.25">
      <c r="X3524" s="8" t="e">
        <f>IF(Final_Sans_VGE[[#This Row],[ppn_z]]="","",IFERROR(
   IF(_xlfn.XLOOKUP(Final_Sans_VGE[[#This Row],[ppn_z]],tbl_Historique_Final[ppn_z],tbl_Historique_Final[date_modif])=Final_Sans_VGE[[#This Row],[date_modif]],
      "Ancien",
      "Modifié"),
   "Nouveau"))</f>
        <v>#VALUE!</v>
      </c>
      <c r="AD3524" s="1" t="str">
        <f>IFERROR(IF(Final_Sans_VGE[[#This Row],[ppn_z]]="","",IFERROR(
   IF(_xlfn.XLOOKUP(Final_Sans_VGE[[#This Row],[ppn_z]],tbl_Historique_Final[[#This Row],[ppn_z]],tbl_Historique_Final[[#This Row],[date_modif]])=Final_Sans_VGE[[#This Row],[date_modif]],
      "Ancien",
      "Modifié"),
   "Nouveau")),"")</f>
        <v/>
      </c>
    </row>
    <row r="3525" spans="24:30" x14ac:dyDescent="0.25">
      <c r="X3525" s="8" t="e">
        <f>IF(Final_Sans_VGE[[#This Row],[ppn_z]]="","",IFERROR(
   IF(_xlfn.XLOOKUP(Final_Sans_VGE[[#This Row],[ppn_z]],tbl_Historique_Final[ppn_z],tbl_Historique_Final[date_modif])=Final_Sans_VGE[[#This Row],[date_modif]],
      "Ancien",
      "Modifié"),
   "Nouveau"))</f>
        <v>#VALUE!</v>
      </c>
      <c r="AD3525" s="1" t="str">
        <f>IFERROR(IF(Final_Sans_VGE[[#This Row],[ppn_z]]="","",IFERROR(
   IF(_xlfn.XLOOKUP(Final_Sans_VGE[[#This Row],[ppn_z]],tbl_Historique_Final[[#This Row],[ppn_z]],tbl_Historique_Final[[#This Row],[date_modif]])=Final_Sans_VGE[[#This Row],[date_modif]],
      "Ancien",
      "Modifié"),
   "Nouveau")),"")</f>
        <v/>
      </c>
    </row>
    <row r="3526" spans="24:30" x14ac:dyDescent="0.25">
      <c r="X3526" s="8" t="e">
        <f>IF(Final_Sans_VGE[[#This Row],[ppn_z]]="","",IFERROR(
   IF(_xlfn.XLOOKUP(Final_Sans_VGE[[#This Row],[ppn_z]],tbl_Historique_Final[ppn_z],tbl_Historique_Final[date_modif])=Final_Sans_VGE[[#This Row],[date_modif]],
      "Ancien",
      "Modifié"),
   "Nouveau"))</f>
        <v>#VALUE!</v>
      </c>
      <c r="AD3526" s="1" t="str">
        <f>IFERROR(IF(Final_Sans_VGE[[#This Row],[ppn_z]]="","",IFERROR(
   IF(_xlfn.XLOOKUP(Final_Sans_VGE[[#This Row],[ppn_z]],tbl_Historique_Final[[#This Row],[ppn_z]],tbl_Historique_Final[[#This Row],[date_modif]])=Final_Sans_VGE[[#This Row],[date_modif]],
      "Ancien",
      "Modifié"),
   "Nouveau")),"")</f>
        <v/>
      </c>
    </row>
    <row r="3527" spans="24:30" x14ac:dyDescent="0.25">
      <c r="X3527" s="8" t="e">
        <f>IF(Final_Sans_VGE[[#This Row],[ppn_z]]="","",IFERROR(
   IF(_xlfn.XLOOKUP(Final_Sans_VGE[[#This Row],[ppn_z]],tbl_Historique_Final[ppn_z],tbl_Historique_Final[date_modif])=Final_Sans_VGE[[#This Row],[date_modif]],
      "Ancien",
      "Modifié"),
   "Nouveau"))</f>
        <v>#VALUE!</v>
      </c>
      <c r="AD3527" s="1" t="str">
        <f>IFERROR(IF(Final_Sans_VGE[[#This Row],[ppn_z]]="","",IFERROR(
   IF(_xlfn.XLOOKUP(Final_Sans_VGE[[#This Row],[ppn_z]],tbl_Historique_Final[[#This Row],[ppn_z]],tbl_Historique_Final[[#This Row],[date_modif]])=Final_Sans_VGE[[#This Row],[date_modif]],
      "Ancien",
      "Modifié"),
   "Nouveau")),"")</f>
        <v/>
      </c>
    </row>
    <row r="3528" spans="24:30" x14ac:dyDescent="0.25">
      <c r="X3528" s="8" t="e">
        <f>IF(Final_Sans_VGE[[#This Row],[ppn_z]]="","",IFERROR(
   IF(_xlfn.XLOOKUP(Final_Sans_VGE[[#This Row],[ppn_z]],tbl_Historique_Final[ppn_z],tbl_Historique_Final[date_modif])=Final_Sans_VGE[[#This Row],[date_modif]],
      "Ancien",
      "Modifié"),
   "Nouveau"))</f>
        <v>#VALUE!</v>
      </c>
      <c r="AD3528" s="1" t="str">
        <f>IFERROR(IF(Final_Sans_VGE[[#This Row],[ppn_z]]="","",IFERROR(
   IF(_xlfn.XLOOKUP(Final_Sans_VGE[[#This Row],[ppn_z]],tbl_Historique_Final[[#This Row],[ppn_z]],tbl_Historique_Final[[#This Row],[date_modif]])=Final_Sans_VGE[[#This Row],[date_modif]],
      "Ancien",
      "Modifié"),
   "Nouveau")),"")</f>
        <v/>
      </c>
    </row>
    <row r="3529" spans="24:30" x14ac:dyDescent="0.25">
      <c r="X3529" s="8" t="e">
        <f>IF(Final_Sans_VGE[[#This Row],[ppn_z]]="","",IFERROR(
   IF(_xlfn.XLOOKUP(Final_Sans_VGE[[#This Row],[ppn_z]],tbl_Historique_Final[ppn_z],tbl_Historique_Final[date_modif])=Final_Sans_VGE[[#This Row],[date_modif]],
      "Ancien",
      "Modifié"),
   "Nouveau"))</f>
        <v>#VALUE!</v>
      </c>
      <c r="AD3529" s="1" t="str">
        <f>IFERROR(IF(Final_Sans_VGE[[#This Row],[ppn_z]]="","",IFERROR(
   IF(_xlfn.XLOOKUP(Final_Sans_VGE[[#This Row],[ppn_z]],tbl_Historique_Final[[#This Row],[ppn_z]],tbl_Historique_Final[[#This Row],[date_modif]])=Final_Sans_VGE[[#This Row],[date_modif]],
      "Ancien",
      "Modifié"),
   "Nouveau")),"")</f>
        <v/>
      </c>
    </row>
    <row r="3530" spans="24:30" x14ac:dyDescent="0.25">
      <c r="X3530" s="8" t="e">
        <f>IF(Final_Sans_VGE[[#This Row],[ppn_z]]="","",IFERROR(
   IF(_xlfn.XLOOKUP(Final_Sans_VGE[[#This Row],[ppn_z]],tbl_Historique_Final[ppn_z],tbl_Historique_Final[date_modif])=Final_Sans_VGE[[#This Row],[date_modif]],
      "Ancien",
      "Modifié"),
   "Nouveau"))</f>
        <v>#VALUE!</v>
      </c>
      <c r="AD3530" s="1" t="str">
        <f>IFERROR(IF(Final_Sans_VGE[[#This Row],[ppn_z]]="","",IFERROR(
   IF(_xlfn.XLOOKUP(Final_Sans_VGE[[#This Row],[ppn_z]],tbl_Historique_Final[[#This Row],[ppn_z]],tbl_Historique_Final[[#This Row],[date_modif]])=Final_Sans_VGE[[#This Row],[date_modif]],
      "Ancien",
      "Modifié"),
   "Nouveau")),"")</f>
        <v/>
      </c>
    </row>
    <row r="3531" spans="24:30" x14ac:dyDescent="0.25">
      <c r="X3531" s="8" t="e">
        <f>IF(Final_Sans_VGE[[#This Row],[ppn_z]]="","",IFERROR(
   IF(_xlfn.XLOOKUP(Final_Sans_VGE[[#This Row],[ppn_z]],tbl_Historique_Final[ppn_z],tbl_Historique_Final[date_modif])=Final_Sans_VGE[[#This Row],[date_modif]],
      "Ancien",
      "Modifié"),
   "Nouveau"))</f>
        <v>#VALUE!</v>
      </c>
      <c r="AD3531" s="1" t="str">
        <f>IFERROR(IF(Final_Sans_VGE[[#This Row],[ppn_z]]="","",IFERROR(
   IF(_xlfn.XLOOKUP(Final_Sans_VGE[[#This Row],[ppn_z]],tbl_Historique_Final[[#This Row],[ppn_z]],tbl_Historique_Final[[#This Row],[date_modif]])=Final_Sans_VGE[[#This Row],[date_modif]],
      "Ancien",
      "Modifié"),
   "Nouveau")),"")</f>
        <v/>
      </c>
    </row>
    <row r="3532" spans="24:30" x14ac:dyDescent="0.25">
      <c r="X3532" s="8" t="e">
        <f>IF(Final_Sans_VGE[[#This Row],[ppn_z]]="","",IFERROR(
   IF(_xlfn.XLOOKUP(Final_Sans_VGE[[#This Row],[ppn_z]],tbl_Historique_Final[ppn_z],tbl_Historique_Final[date_modif])=Final_Sans_VGE[[#This Row],[date_modif]],
      "Ancien",
      "Modifié"),
   "Nouveau"))</f>
        <v>#VALUE!</v>
      </c>
      <c r="AD3532" s="1" t="str">
        <f>IFERROR(IF(Final_Sans_VGE[[#This Row],[ppn_z]]="","",IFERROR(
   IF(_xlfn.XLOOKUP(Final_Sans_VGE[[#This Row],[ppn_z]],tbl_Historique_Final[[#This Row],[ppn_z]],tbl_Historique_Final[[#This Row],[date_modif]])=Final_Sans_VGE[[#This Row],[date_modif]],
      "Ancien",
      "Modifié"),
   "Nouveau")),"")</f>
        <v/>
      </c>
    </row>
    <row r="3533" spans="24:30" x14ac:dyDescent="0.25">
      <c r="X3533" s="8" t="e">
        <f>IF(Final_Sans_VGE[[#This Row],[ppn_z]]="","",IFERROR(
   IF(_xlfn.XLOOKUP(Final_Sans_VGE[[#This Row],[ppn_z]],tbl_Historique_Final[ppn_z],tbl_Historique_Final[date_modif])=Final_Sans_VGE[[#This Row],[date_modif]],
      "Ancien",
      "Modifié"),
   "Nouveau"))</f>
        <v>#VALUE!</v>
      </c>
      <c r="AD3533" s="1" t="str">
        <f>IFERROR(IF(Final_Sans_VGE[[#This Row],[ppn_z]]="","",IFERROR(
   IF(_xlfn.XLOOKUP(Final_Sans_VGE[[#This Row],[ppn_z]],tbl_Historique_Final[[#This Row],[ppn_z]],tbl_Historique_Final[[#This Row],[date_modif]])=Final_Sans_VGE[[#This Row],[date_modif]],
      "Ancien",
      "Modifié"),
   "Nouveau")),"")</f>
        <v/>
      </c>
    </row>
    <row r="3534" spans="24:30" x14ac:dyDescent="0.25">
      <c r="X3534" s="8" t="e">
        <f>IF(Final_Sans_VGE[[#This Row],[ppn_z]]="","",IFERROR(
   IF(_xlfn.XLOOKUP(Final_Sans_VGE[[#This Row],[ppn_z]],tbl_Historique_Final[ppn_z],tbl_Historique_Final[date_modif])=Final_Sans_VGE[[#This Row],[date_modif]],
      "Ancien",
      "Modifié"),
   "Nouveau"))</f>
        <v>#VALUE!</v>
      </c>
      <c r="AD3534" s="1" t="str">
        <f>IFERROR(IF(Final_Sans_VGE[[#This Row],[ppn_z]]="","",IFERROR(
   IF(_xlfn.XLOOKUP(Final_Sans_VGE[[#This Row],[ppn_z]],tbl_Historique_Final[[#This Row],[ppn_z]],tbl_Historique_Final[[#This Row],[date_modif]])=Final_Sans_VGE[[#This Row],[date_modif]],
      "Ancien",
      "Modifié"),
   "Nouveau")),"")</f>
        <v/>
      </c>
    </row>
    <row r="3535" spans="24:30" x14ac:dyDescent="0.25">
      <c r="X3535" s="8" t="e">
        <f>IF(Final_Sans_VGE[[#This Row],[ppn_z]]="","",IFERROR(
   IF(_xlfn.XLOOKUP(Final_Sans_VGE[[#This Row],[ppn_z]],tbl_Historique_Final[ppn_z],tbl_Historique_Final[date_modif])=Final_Sans_VGE[[#This Row],[date_modif]],
      "Ancien",
      "Modifié"),
   "Nouveau"))</f>
        <v>#VALUE!</v>
      </c>
      <c r="AD3535" s="1" t="str">
        <f>IFERROR(IF(Final_Sans_VGE[[#This Row],[ppn_z]]="","",IFERROR(
   IF(_xlfn.XLOOKUP(Final_Sans_VGE[[#This Row],[ppn_z]],tbl_Historique_Final[[#This Row],[ppn_z]],tbl_Historique_Final[[#This Row],[date_modif]])=Final_Sans_VGE[[#This Row],[date_modif]],
      "Ancien",
      "Modifié"),
   "Nouveau")),"")</f>
        <v/>
      </c>
    </row>
    <row r="3536" spans="24:30" x14ac:dyDescent="0.25">
      <c r="X3536" s="8" t="e">
        <f>IF(Final_Sans_VGE[[#This Row],[ppn_z]]="","",IFERROR(
   IF(_xlfn.XLOOKUP(Final_Sans_VGE[[#This Row],[ppn_z]],tbl_Historique_Final[ppn_z],tbl_Historique_Final[date_modif])=Final_Sans_VGE[[#This Row],[date_modif]],
      "Ancien",
      "Modifié"),
   "Nouveau"))</f>
        <v>#VALUE!</v>
      </c>
      <c r="AD3536" s="1" t="str">
        <f>IFERROR(IF(Final_Sans_VGE[[#This Row],[ppn_z]]="","",IFERROR(
   IF(_xlfn.XLOOKUP(Final_Sans_VGE[[#This Row],[ppn_z]],tbl_Historique_Final[[#This Row],[ppn_z]],tbl_Historique_Final[[#This Row],[date_modif]])=Final_Sans_VGE[[#This Row],[date_modif]],
      "Ancien",
      "Modifié"),
   "Nouveau")),"")</f>
        <v/>
      </c>
    </row>
    <row r="3537" spans="24:30" x14ac:dyDescent="0.25">
      <c r="X3537" s="8" t="e">
        <f>IF(Final_Sans_VGE[[#This Row],[ppn_z]]="","",IFERROR(
   IF(_xlfn.XLOOKUP(Final_Sans_VGE[[#This Row],[ppn_z]],tbl_Historique_Final[ppn_z],tbl_Historique_Final[date_modif])=Final_Sans_VGE[[#This Row],[date_modif]],
      "Ancien",
      "Modifié"),
   "Nouveau"))</f>
        <v>#VALUE!</v>
      </c>
      <c r="AD3537" s="1" t="str">
        <f>IFERROR(IF(Final_Sans_VGE[[#This Row],[ppn_z]]="","",IFERROR(
   IF(_xlfn.XLOOKUP(Final_Sans_VGE[[#This Row],[ppn_z]],tbl_Historique_Final[[#This Row],[ppn_z]],tbl_Historique_Final[[#This Row],[date_modif]])=Final_Sans_VGE[[#This Row],[date_modif]],
      "Ancien",
      "Modifié"),
   "Nouveau")),"")</f>
        <v/>
      </c>
    </row>
    <row r="3538" spans="24:30" x14ac:dyDescent="0.25">
      <c r="X3538" s="8" t="e">
        <f>IF(Final_Sans_VGE[[#This Row],[ppn_z]]="","",IFERROR(
   IF(_xlfn.XLOOKUP(Final_Sans_VGE[[#This Row],[ppn_z]],tbl_Historique_Final[ppn_z],tbl_Historique_Final[date_modif])=Final_Sans_VGE[[#This Row],[date_modif]],
      "Ancien",
      "Modifié"),
   "Nouveau"))</f>
        <v>#VALUE!</v>
      </c>
      <c r="AD3538" s="1" t="str">
        <f>IFERROR(IF(Final_Sans_VGE[[#This Row],[ppn_z]]="","",IFERROR(
   IF(_xlfn.XLOOKUP(Final_Sans_VGE[[#This Row],[ppn_z]],tbl_Historique_Final[[#This Row],[ppn_z]],tbl_Historique_Final[[#This Row],[date_modif]])=Final_Sans_VGE[[#This Row],[date_modif]],
      "Ancien",
      "Modifié"),
   "Nouveau")),"")</f>
        <v/>
      </c>
    </row>
    <row r="3539" spans="24:30" x14ac:dyDescent="0.25">
      <c r="X3539" s="8" t="e">
        <f>IF(Final_Sans_VGE[[#This Row],[ppn_z]]="","",IFERROR(
   IF(_xlfn.XLOOKUP(Final_Sans_VGE[[#This Row],[ppn_z]],tbl_Historique_Final[ppn_z],tbl_Historique_Final[date_modif])=Final_Sans_VGE[[#This Row],[date_modif]],
      "Ancien",
      "Modifié"),
   "Nouveau"))</f>
        <v>#VALUE!</v>
      </c>
      <c r="AD3539" s="1" t="str">
        <f>IFERROR(IF(Final_Sans_VGE[[#This Row],[ppn_z]]="","",IFERROR(
   IF(_xlfn.XLOOKUP(Final_Sans_VGE[[#This Row],[ppn_z]],tbl_Historique_Final[[#This Row],[ppn_z]],tbl_Historique_Final[[#This Row],[date_modif]])=Final_Sans_VGE[[#This Row],[date_modif]],
      "Ancien",
      "Modifié"),
   "Nouveau")),"")</f>
        <v/>
      </c>
    </row>
    <row r="3540" spans="24:30" x14ac:dyDescent="0.25">
      <c r="X3540" s="8" t="e">
        <f>IF(Final_Sans_VGE[[#This Row],[ppn_z]]="","",IFERROR(
   IF(_xlfn.XLOOKUP(Final_Sans_VGE[[#This Row],[ppn_z]],tbl_Historique_Final[ppn_z],tbl_Historique_Final[date_modif])=Final_Sans_VGE[[#This Row],[date_modif]],
      "Ancien",
      "Modifié"),
   "Nouveau"))</f>
        <v>#VALUE!</v>
      </c>
      <c r="AD3540" s="1" t="str">
        <f>IFERROR(IF(Final_Sans_VGE[[#This Row],[ppn_z]]="","",IFERROR(
   IF(_xlfn.XLOOKUP(Final_Sans_VGE[[#This Row],[ppn_z]],tbl_Historique_Final[[#This Row],[ppn_z]],tbl_Historique_Final[[#This Row],[date_modif]])=Final_Sans_VGE[[#This Row],[date_modif]],
      "Ancien",
      "Modifié"),
   "Nouveau")),"")</f>
        <v/>
      </c>
    </row>
    <row r="3541" spans="24:30" x14ac:dyDescent="0.25">
      <c r="X3541" s="8" t="e">
        <f>IF(Final_Sans_VGE[[#This Row],[ppn_z]]="","",IFERROR(
   IF(_xlfn.XLOOKUP(Final_Sans_VGE[[#This Row],[ppn_z]],tbl_Historique_Final[ppn_z],tbl_Historique_Final[date_modif])=Final_Sans_VGE[[#This Row],[date_modif]],
      "Ancien",
      "Modifié"),
   "Nouveau"))</f>
        <v>#VALUE!</v>
      </c>
      <c r="AD3541" s="1" t="str">
        <f>IFERROR(IF(Final_Sans_VGE[[#This Row],[ppn_z]]="","",IFERROR(
   IF(_xlfn.XLOOKUP(Final_Sans_VGE[[#This Row],[ppn_z]],tbl_Historique_Final[[#This Row],[ppn_z]],tbl_Historique_Final[[#This Row],[date_modif]])=Final_Sans_VGE[[#This Row],[date_modif]],
      "Ancien",
      "Modifié"),
   "Nouveau")),"")</f>
        <v/>
      </c>
    </row>
    <row r="3542" spans="24:30" x14ac:dyDescent="0.25">
      <c r="X3542" s="8" t="e">
        <f>IF(Final_Sans_VGE[[#This Row],[ppn_z]]="","",IFERROR(
   IF(_xlfn.XLOOKUP(Final_Sans_VGE[[#This Row],[ppn_z]],tbl_Historique_Final[ppn_z],tbl_Historique_Final[date_modif])=Final_Sans_VGE[[#This Row],[date_modif]],
      "Ancien",
      "Modifié"),
   "Nouveau"))</f>
        <v>#VALUE!</v>
      </c>
      <c r="AD3542" s="1" t="str">
        <f>IFERROR(IF(Final_Sans_VGE[[#This Row],[ppn_z]]="","",IFERROR(
   IF(_xlfn.XLOOKUP(Final_Sans_VGE[[#This Row],[ppn_z]],tbl_Historique_Final[[#This Row],[ppn_z]],tbl_Historique_Final[[#This Row],[date_modif]])=Final_Sans_VGE[[#This Row],[date_modif]],
      "Ancien",
      "Modifié"),
   "Nouveau")),"")</f>
        <v/>
      </c>
    </row>
    <row r="3543" spans="24:30" x14ac:dyDescent="0.25">
      <c r="X3543" s="8" t="e">
        <f>IF(Final_Sans_VGE[[#This Row],[ppn_z]]="","",IFERROR(
   IF(_xlfn.XLOOKUP(Final_Sans_VGE[[#This Row],[ppn_z]],tbl_Historique_Final[ppn_z],tbl_Historique_Final[date_modif])=Final_Sans_VGE[[#This Row],[date_modif]],
      "Ancien",
      "Modifié"),
   "Nouveau"))</f>
        <v>#VALUE!</v>
      </c>
      <c r="AD3543" s="1" t="str">
        <f>IFERROR(IF(Final_Sans_VGE[[#This Row],[ppn_z]]="","",IFERROR(
   IF(_xlfn.XLOOKUP(Final_Sans_VGE[[#This Row],[ppn_z]],tbl_Historique_Final[[#This Row],[ppn_z]],tbl_Historique_Final[[#This Row],[date_modif]])=Final_Sans_VGE[[#This Row],[date_modif]],
      "Ancien",
      "Modifié"),
   "Nouveau")),"")</f>
        <v/>
      </c>
    </row>
    <row r="3544" spans="24:30" x14ac:dyDescent="0.25">
      <c r="X3544" s="8" t="e">
        <f>IF(Final_Sans_VGE[[#This Row],[ppn_z]]="","",IFERROR(
   IF(_xlfn.XLOOKUP(Final_Sans_VGE[[#This Row],[ppn_z]],tbl_Historique_Final[ppn_z],tbl_Historique_Final[date_modif])=Final_Sans_VGE[[#This Row],[date_modif]],
      "Ancien",
      "Modifié"),
   "Nouveau"))</f>
        <v>#VALUE!</v>
      </c>
      <c r="AD3544" s="1" t="str">
        <f>IFERROR(IF(Final_Sans_VGE[[#This Row],[ppn_z]]="","",IFERROR(
   IF(_xlfn.XLOOKUP(Final_Sans_VGE[[#This Row],[ppn_z]],tbl_Historique_Final[[#This Row],[ppn_z]],tbl_Historique_Final[[#This Row],[date_modif]])=Final_Sans_VGE[[#This Row],[date_modif]],
      "Ancien",
      "Modifié"),
   "Nouveau")),"")</f>
        <v/>
      </c>
    </row>
    <row r="3545" spans="24:30" x14ac:dyDescent="0.25">
      <c r="X3545" s="8" t="e">
        <f>IF(Final_Sans_VGE[[#This Row],[ppn_z]]="","",IFERROR(
   IF(_xlfn.XLOOKUP(Final_Sans_VGE[[#This Row],[ppn_z]],tbl_Historique_Final[ppn_z],tbl_Historique_Final[date_modif])=Final_Sans_VGE[[#This Row],[date_modif]],
      "Ancien",
      "Modifié"),
   "Nouveau"))</f>
        <v>#VALUE!</v>
      </c>
      <c r="AD3545" s="1" t="str">
        <f>IFERROR(IF(Final_Sans_VGE[[#This Row],[ppn_z]]="","",IFERROR(
   IF(_xlfn.XLOOKUP(Final_Sans_VGE[[#This Row],[ppn_z]],tbl_Historique_Final[[#This Row],[ppn_z]],tbl_Historique_Final[[#This Row],[date_modif]])=Final_Sans_VGE[[#This Row],[date_modif]],
      "Ancien",
      "Modifié"),
   "Nouveau")),"")</f>
        <v/>
      </c>
    </row>
    <row r="3546" spans="24:30" x14ac:dyDescent="0.25">
      <c r="X3546" s="8" t="e">
        <f>IF(Final_Sans_VGE[[#This Row],[ppn_z]]="","",IFERROR(
   IF(_xlfn.XLOOKUP(Final_Sans_VGE[[#This Row],[ppn_z]],tbl_Historique_Final[ppn_z],tbl_Historique_Final[date_modif])=Final_Sans_VGE[[#This Row],[date_modif]],
      "Ancien",
      "Modifié"),
   "Nouveau"))</f>
        <v>#VALUE!</v>
      </c>
      <c r="AD3546" s="1" t="str">
        <f>IFERROR(IF(Final_Sans_VGE[[#This Row],[ppn_z]]="","",IFERROR(
   IF(_xlfn.XLOOKUP(Final_Sans_VGE[[#This Row],[ppn_z]],tbl_Historique_Final[[#This Row],[ppn_z]],tbl_Historique_Final[[#This Row],[date_modif]])=Final_Sans_VGE[[#This Row],[date_modif]],
      "Ancien",
      "Modifié"),
   "Nouveau")),"")</f>
        <v/>
      </c>
    </row>
    <row r="3547" spans="24:30" x14ac:dyDescent="0.25">
      <c r="X3547" s="8" t="e">
        <f>IF(Final_Sans_VGE[[#This Row],[ppn_z]]="","",IFERROR(
   IF(_xlfn.XLOOKUP(Final_Sans_VGE[[#This Row],[ppn_z]],tbl_Historique_Final[ppn_z],tbl_Historique_Final[date_modif])=Final_Sans_VGE[[#This Row],[date_modif]],
      "Ancien",
      "Modifié"),
   "Nouveau"))</f>
        <v>#VALUE!</v>
      </c>
      <c r="AD3547" s="1" t="str">
        <f>IFERROR(IF(Final_Sans_VGE[[#This Row],[ppn_z]]="","",IFERROR(
   IF(_xlfn.XLOOKUP(Final_Sans_VGE[[#This Row],[ppn_z]],tbl_Historique_Final[[#This Row],[ppn_z]],tbl_Historique_Final[[#This Row],[date_modif]])=Final_Sans_VGE[[#This Row],[date_modif]],
      "Ancien",
      "Modifié"),
   "Nouveau")),"")</f>
        <v/>
      </c>
    </row>
    <row r="3548" spans="24:30" x14ac:dyDescent="0.25">
      <c r="X3548" s="8" t="e">
        <f>IF(Final_Sans_VGE[[#This Row],[ppn_z]]="","",IFERROR(
   IF(_xlfn.XLOOKUP(Final_Sans_VGE[[#This Row],[ppn_z]],tbl_Historique_Final[ppn_z],tbl_Historique_Final[date_modif])=Final_Sans_VGE[[#This Row],[date_modif]],
      "Ancien",
      "Modifié"),
   "Nouveau"))</f>
        <v>#VALUE!</v>
      </c>
      <c r="AD3548" s="1" t="str">
        <f>IFERROR(IF(Final_Sans_VGE[[#This Row],[ppn_z]]="","",IFERROR(
   IF(_xlfn.XLOOKUP(Final_Sans_VGE[[#This Row],[ppn_z]],tbl_Historique_Final[[#This Row],[ppn_z]],tbl_Historique_Final[[#This Row],[date_modif]])=Final_Sans_VGE[[#This Row],[date_modif]],
      "Ancien",
      "Modifié"),
   "Nouveau")),"")</f>
        <v/>
      </c>
    </row>
    <row r="3549" spans="24:30" x14ac:dyDescent="0.25">
      <c r="X3549" s="8" t="e">
        <f>IF(Final_Sans_VGE[[#This Row],[ppn_z]]="","",IFERROR(
   IF(_xlfn.XLOOKUP(Final_Sans_VGE[[#This Row],[ppn_z]],tbl_Historique_Final[ppn_z],tbl_Historique_Final[date_modif])=Final_Sans_VGE[[#This Row],[date_modif]],
      "Ancien",
      "Modifié"),
   "Nouveau"))</f>
        <v>#VALUE!</v>
      </c>
      <c r="AD3549" s="1" t="str">
        <f>IFERROR(IF(Final_Sans_VGE[[#This Row],[ppn_z]]="","",IFERROR(
   IF(_xlfn.XLOOKUP(Final_Sans_VGE[[#This Row],[ppn_z]],tbl_Historique_Final[[#This Row],[ppn_z]],tbl_Historique_Final[[#This Row],[date_modif]])=Final_Sans_VGE[[#This Row],[date_modif]],
      "Ancien",
      "Modifié"),
   "Nouveau")),"")</f>
        <v/>
      </c>
    </row>
    <row r="3550" spans="24:30" x14ac:dyDescent="0.25">
      <c r="X3550" s="8" t="e">
        <f>IF(Final_Sans_VGE[[#This Row],[ppn_z]]="","",IFERROR(
   IF(_xlfn.XLOOKUP(Final_Sans_VGE[[#This Row],[ppn_z]],tbl_Historique_Final[ppn_z],tbl_Historique_Final[date_modif])=Final_Sans_VGE[[#This Row],[date_modif]],
      "Ancien",
      "Modifié"),
   "Nouveau"))</f>
        <v>#VALUE!</v>
      </c>
      <c r="AD3550" s="1" t="str">
        <f>IFERROR(IF(Final_Sans_VGE[[#This Row],[ppn_z]]="","",IFERROR(
   IF(_xlfn.XLOOKUP(Final_Sans_VGE[[#This Row],[ppn_z]],tbl_Historique_Final[[#This Row],[ppn_z]],tbl_Historique_Final[[#This Row],[date_modif]])=Final_Sans_VGE[[#This Row],[date_modif]],
      "Ancien",
      "Modifié"),
   "Nouveau")),"")</f>
        <v/>
      </c>
    </row>
    <row r="3551" spans="24:30" x14ac:dyDescent="0.25">
      <c r="X3551" s="8" t="e">
        <f>IF(Final_Sans_VGE[[#This Row],[ppn_z]]="","",IFERROR(
   IF(_xlfn.XLOOKUP(Final_Sans_VGE[[#This Row],[ppn_z]],tbl_Historique_Final[ppn_z],tbl_Historique_Final[date_modif])=Final_Sans_VGE[[#This Row],[date_modif]],
      "Ancien",
      "Modifié"),
   "Nouveau"))</f>
        <v>#VALUE!</v>
      </c>
      <c r="AD3551" s="1" t="str">
        <f>IFERROR(IF(Final_Sans_VGE[[#This Row],[ppn_z]]="","",IFERROR(
   IF(_xlfn.XLOOKUP(Final_Sans_VGE[[#This Row],[ppn_z]],tbl_Historique_Final[[#This Row],[ppn_z]],tbl_Historique_Final[[#This Row],[date_modif]])=Final_Sans_VGE[[#This Row],[date_modif]],
      "Ancien",
      "Modifié"),
   "Nouveau")),"")</f>
        <v/>
      </c>
    </row>
    <row r="3552" spans="24:30" x14ac:dyDescent="0.25">
      <c r="X3552" s="8" t="e">
        <f>IF(Final_Sans_VGE[[#This Row],[ppn_z]]="","",IFERROR(
   IF(_xlfn.XLOOKUP(Final_Sans_VGE[[#This Row],[ppn_z]],tbl_Historique_Final[ppn_z],tbl_Historique_Final[date_modif])=Final_Sans_VGE[[#This Row],[date_modif]],
      "Ancien",
      "Modifié"),
   "Nouveau"))</f>
        <v>#VALUE!</v>
      </c>
      <c r="AD3552" s="1" t="str">
        <f>IFERROR(IF(Final_Sans_VGE[[#This Row],[ppn_z]]="","",IFERROR(
   IF(_xlfn.XLOOKUP(Final_Sans_VGE[[#This Row],[ppn_z]],tbl_Historique_Final[[#This Row],[ppn_z]],tbl_Historique_Final[[#This Row],[date_modif]])=Final_Sans_VGE[[#This Row],[date_modif]],
      "Ancien",
      "Modifié"),
   "Nouveau")),"")</f>
        <v/>
      </c>
    </row>
    <row r="3553" spans="24:30" x14ac:dyDescent="0.25">
      <c r="X3553" s="8" t="e">
        <f>IF(Final_Sans_VGE[[#This Row],[ppn_z]]="","",IFERROR(
   IF(_xlfn.XLOOKUP(Final_Sans_VGE[[#This Row],[ppn_z]],tbl_Historique_Final[ppn_z],tbl_Historique_Final[date_modif])=Final_Sans_VGE[[#This Row],[date_modif]],
      "Ancien",
      "Modifié"),
   "Nouveau"))</f>
        <v>#VALUE!</v>
      </c>
      <c r="AD3553" s="1" t="str">
        <f>IFERROR(IF(Final_Sans_VGE[[#This Row],[ppn_z]]="","",IFERROR(
   IF(_xlfn.XLOOKUP(Final_Sans_VGE[[#This Row],[ppn_z]],tbl_Historique_Final[[#This Row],[ppn_z]],tbl_Historique_Final[[#This Row],[date_modif]])=Final_Sans_VGE[[#This Row],[date_modif]],
      "Ancien",
      "Modifié"),
   "Nouveau")),"")</f>
        <v/>
      </c>
    </row>
    <row r="3554" spans="24:30" x14ac:dyDescent="0.25">
      <c r="X3554" s="8" t="e">
        <f>IF(Final_Sans_VGE[[#This Row],[ppn_z]]="","",IFERROR(
   IF(_xlfn.XLOOKUP(Final_Sans_VGE[[#This Row],[ppn_z]],tbl_Historique_Final[ppn_z],tbl_Historique_Final[date_modif])=Final_Sans_VGE[[#This Row],[date_modif]],
      "Ancien",
      "Modifié"),
   "Nouveau"))</f>
        <v>#VALUE!</v>
      </c>
      <c r="AD3554" s="1" t="str">
        <f>IFERROR(IF(Final_Sans_VGE[[#This Row],[ppn_z]]="","",IFERROR(
   IF(_xlfn.XLOOKUP(Final_Sans_VGE[[#This Row],[ppn_z]],tbl_Historique_Final[[#This Row],[ppn_z]],tbl_Historique_Final[[#This Row],[date_modif]])=Final_Sans_VGE[[#This Row],[date_modif]],
      "Ancien",
      "Modifié"),
   "Nouveau")),"")</f>
        <v/>
      </c>
    </row>
    <row r="3555" spans="24:30" x14ac:dyDescent="0.25">
      <c r="X3555" s="8" t="e">
        <f>IF(Final_Sans_VGE[[#This Row],[ppn_z]]="","",IFERROR(
   IF(_xlfn.XLOOKUP(Final_Sans_VGE[[#This Row],[ppn_z]],tbl_Historique_Final[ppn_z],tbl_Historique_Final[date_modif])=Final_Sans_VGE[[#This Row],[date_modif]],
      "Ancien",
      "Modifié"),
   "Nouveau"))</f>
        <v>#VALUE!</v>
      </c>
      <c r="AD3555" s="1" t="str">
        <f>IFERROR(IF(Final_Sans_VGE[[#This Row],[ppn_z]]="","",IFERROR(
   IF(_xlfn.XLOOKUP(Final_Sans_VGE[[#This Row],[ppn_z]],tbl_Historique_Final[[#This Row],[ppn_z]],tbl_Historique_Final[[#This Row],[date_modif]])=Final_Sans_VGE[[#This Row],[date_modif]],
      "Ancien",
      "Modifié"),
   "Nouveau")),"")</f>
        <v/>
      </c>
    </row>
    <row r="3556" spans="24:30" x14ac:dyDescent="0.25">
      <c r="X3556" s="8" t="e">
        <f>IF(Final_Sans_VGE[[#This Row],[ppn_z]]="","",IFERROR(
   IF(_xlfn.XLOOKUP(Final_Sans_VGE[[#This Row],[ppn_z]],tbl_Historique_Final[ppn_z],tbl_Historique_Final[date_modif])=Final_Sans_VGE[[#This Row],[date_modif]],
      "Ancien",
      "Modifié"),
   "Nouveau"))</f>
        <v>#VALUE!</v>
      </c>
      <c r="AD3556" s="1" t="str">
        <f>IFERROR(IF(Final_Sans_VGE[[#This Row],[ppn_z]]="","",IFERROR(
   IF(_xlfn.XLOOKUP(Final_Sans_VGE[[#This Row],[ppn_z]],tbl_Historique_Final[[#This Row],[ppn_z]],tbl_Historique_Final[[#This Row],[date_modif]])=Final_Sans_VGE[[#This Row],[date_modif]],
      "Ancien",
      "Modifié"),
   "Nouveau")),"")</f>
        <v/>
      </c>
    </row>
    <row r="3557" spans="24:30" x14ac:dyDescent="0.25">
      <c r="X3557" s="8" t="e">
        <f>IF(Final_Sans_VGE[[#This Row],[ppn_z]]="","",IFERROR(
   IF(_xlfn.XLOOKUP(Final_Sans_VGE[[#This Row],[ppn_z]],tbl_Historique_Final[ppn_z],tbl_Historique_Final[date_modif])=Final_Sans_VGE[[#This Row],[date_modif]],
      "Ancien",
      "Modifié"),
   "Nouveau"))</f>
        <v>#VALUE!</v>
      </c>
      <c r="AD3557" s="1" t="str">
        <f>IFERROR(IF(Final_Sans_VGE[[#This Row],[ppn_z]]="","",IFERROR(
   IF(_xlfn.XLOOKUP(Final_Sans_VGE[[#This Row],[ppn_z]],tbl_Historique_Final[[#This Row],[ppn_z]],tbl_Historique_Final[[#This Row],[date_modif]])=Final_Sans_VGE[[#This Row],[date_modif]],
      "Ancien",
      "Modifié"),
   "Nouveau")),"")</f>
        <v/>
      </c>
    </row>
    <row r="3558" spans="24:30" x14ac:dyDescent="0.25">
      <c r="X3558" s="8" t="e">
        <f>IF(Final_Sans_VGE[[#This Row],[ppn_z]]="","",IFERROR(
   IF(_xlfn.XLOOKUP(Final_Sans_VGE[[#This Row],[ppn_z]],tbl_Historique_Final[ppn_z],tbl_Historique_Final[date_modif])=Final_Sans_VGE[[#This Row],[date_modif]],
      "Ancien",
      "Modifié"),
   "Nouveau"))</f>
        <v>#VALUE!</v>
      </c>
      <c r="AD3558" s="1" t="str">
        <f>IFERROR(IF(Final_Sans_VGE[[#This Row],[ppn_z]]="","",IFERROR(
   IF(_xlfn.XLOOKUP(Final_Sans_VGE[[#This Row],[ppn_z]],tbl_Historique_Final[[#This Row],[ppn_z]],tbl_Historique_Final[[#This Row],[date_modif]])=Final_Sans_VGE[[#This Row],[date_modif]],
      "Ancien",
      "Modifié"),
   "Nouveau")),"")</f>
        <v/>
      </c>
    </row>
    <row r="3559" spans="24:30" x14ac:dyDescent="0.25">
      <c r="X3559" s="8" t="e">
        <f>IF(Final_Sans_VGE[[#This Row],[ppn_z]]="","",IFERROR(
   IF(_xlfn.XLOOKUP(Final_Sans_VGE[[#This Row],[ppn_z]],tbl_Historique_Final[ppn_z],tbl_Historique_Final[date_modif])=Final_Sans_VGE[[#This Row],[date_modif]],
      "Ancien",
      "Modifié"),
   "Nouveau"))</f>
        <v>#VALUE!</v>
      </c>
      <c r="AD3559" s="1" t="str">
        <f>IFERROR(IF(Final_Sans_VGE[[#This Row],[ppn_z]]="","",IFERROR(
   IF(_xlfn.XLOOKUP(Final_Sans_VGE[[#This Row],[ppn_z]],tbl_Historique_Final[[#This Row],[ppn_z]],tbl_Historique_Final[[#This Row],[date_modif]])=Final_Sans_VGE[[#This Row],[date_modif]],
      "Ancien",
      "Modifié"),
   "Nouveau")),"")</f>
        <v/>
      </c>
    </row>
    <row r="3560" spans="24:30" x14ac:dyDescent="0.25">
      <c r="X3560" s="8" t="e">
        <f>IF(Final_Sans_VGE[[#This Row],[ppn_z]]="","",IFERROR(
   IF(_xlfn.XLOOKUP(Final_Sans_VGE[[#This Row],[ppn_z]],tbl_Historique_Final[ppn_z],tbl_Historique_Final[date_modif])=Final_Sans_VGE[[#This Row],[date_modif]],
      "Ancien",
      "Modifié"),
   "Nouveau"))</f>
        <v>#VALUE!</v>
      </c>
      <c r="AD3560" s="1" t="str">
        <f>IFERROR(IF(Final_Sans_VGE[[#This Row],[ppn_z]]="","",IFERROR(
   IF(_xlfn.XLOOKUP(Final_Sans_VGE[[#This Row],[ppn_z]],tbl_Historique_Final[[#This Row],[ppn_z]],tbl_Historique_Final[[#This Row],[date_modif]])=Final_Sans_VGE[[#This Row],[date_modif]],
      "Ancien",
      "Modifié"),
   "Nouveau")),"")</f>
        <v/>
      </c>
    </row>
    <row r="3561" spans="24:30" x14ac:dyDescent="0.25">
      <c r="X3561" s="8" t="e">
        <f>IF(Final_Sans_VGE[[#This Row],[ppn_z]]="","",IFERROR(
   IF(_xlfn.XLOOKUP(Final_Sans_VGE[[#This Row],[ppn_z]],tbl_Historique_Final[ppn_z],tbl_Historique_Final[date_modif])=Final_Sans_VGE[[#This Row],[date_modif]],
      "Ancien",
      "Modifié"),
   "Nouveau"))</f>
        <v>#VALUE!</v>
      </c>
      <c r="AD3561" s="1" t="str">
        <f>IFERROR(IF(Final_Sans_VGE[[#This Row],[ppn_z]]="","",IFERROR(
   IF(_xlfn.XLOOKUP(Final_Sans_VGE[[#This Row],[ppn_z]],tbl_Historique_Final[[#This Row],[ppn_z]],tbl_Historique_Final[[#This Row],[date_modif]])=Final_Sans_VGE[[#This Row],[date_modif]],
      "Ancien",
      "Modifié"),
   "Nouveau")),"")</f>
        <v/>
      </c>
    </row>
    <row r="3562" spans="24:30" x14ac:dyDescent="0.25">
      <c r="X3562" s="8" t="e">
        <f>IF(Final_Sans_VGE[[#This Row],[ppn_z]]="","",IFERROR(
   IF(_xlfn.XLOOKUP(Final_Sans_VGE[[#This Row],[ppn_z]],tbl_Historique_Final[ppn_z],tbl_Historique_Final[date_modif])=Final_Sans_VGE[[#This Row],[date_modif]],
      "Ancien",
      "Modifié"),
   "Nouveau"))</f>
        <v>#VALUE!</v>
      </c>
      <c r="AD3562" s="1" t="str">
        <f>IFERROR(IF(Final_Sans_VGE[[#This Row],[ppn_z]]="","",IFERROR(
   IF(_xlfn.XLOOKUP(Final_Sans_VGE[[#This Row],[ppn_z]],tbl_Historique_Final[[#This Row],[ppn_z]],tbl_Historique_Final[[#This Row],[date_modif]])=Final_Sans_VGE[[#This Row],[date_modif]],
      "Ancien",
      "Modifié"),
   "Nouveau")),"")</f>
        <v/>
      </c>
    </row>
    <row r="3563" spans="24:30" x14ac:dyDescent="0.25">
      <c r="X3563" s="8" t="e">
        <f>IF(Final_Sans_VGE[[#This Row],[ppn_z]]="","",IFERROR(
   IF(_xlfn.XLOOKUP(Final_Sans_VGE[[#This Row],[ppn_z]],tbl_Historique_Final[ppn_z],tbl_Historique_Final[date_modif])=Final_Sans_VGE[[#This Row],[date_modif]],
      "Ancien",
      "Modifié"),
   "Nouveau"))</f>
        <v>#VALUE!</v>
      </c>
      <c r="AD3563" s="1" t="str">
        <f>IFERROR(IF(Final_Sans_VGE[[#This Row],[ppn_z]]="","",IFERROR(
   IF(_xlfn.XLOOKUP(Final_Sans_VGE[[#This Row],[ppn_z]],tbl_Historique_Final[[#This Row],[ppn_z]],tbl_Historique_Final[[#This Row],[date_modif]])=Final_Sans_VGE[[#This Row],[date_modif]],
      "Ancien",
      "Modifié"),
   "Nouveau")),"")</f>
        <v/>
      </c>
    </row>
    <row r="3564" spans="24:30" x14ac:dyDescent="0.25">
      <c r="X3564" s="8" t="e">
        <f>IF(Final_Sans_VGE[[#This Row],[ppn_z]]="","",IFERROR(
   IF(_xlfn.XLOOKUP(Final_Sans_VGE[[#This Row],[ppn_z]],tbl_Historique_Final[ppn_z],tbl_Historique_Final[date_modif])=Final_Sans_VGE[[#This Row],[date_modif]],
      "Ancien",
      "Modifié"),
   "Nouveau"))</f>
        <v>#VALUE!</v>
      </c>
      <c r="AD3564" s="1" t="str">
        <f>IFERROR(IF(Final_Sans_VGE[[#This Row],[ppn_z]]="","",IFERROR(
   IF(_xlfn.XLOOKUP(Final_Sans_VGE[[#This Row],[ppn_z]],tbl_Historique_Final[[#This Row],[ppn_z]],tbl_Historique_Final[[#This Row],[date_modif]])=Final_Sans_VGE[[#This Row],[date_modif]],
      "Ancien",
      "Modifié"),
   "Nouveau")),"")</f>
        <v/>
      </c>
    </row>
    <row r="3565" spans="24:30" x14ac:dyDescent="0.25">
      <c r="X3565" s="8" t="e">
        <f>IF(Final_Sans_VGE[[#This Row],[ppn_z]]="","",IFERROR(
   IF(_xlfn.XLOOKUP(Final_Sans_VGE[[#This Row],[ppn_z]],tbl_Historique_Final[ppn_z],tbl_Historique_Final[date_modif])=Final_Sans_VGE[[#This Row],[date_modif]],
      "Ancien",
      "Modifié"),
   "Nouveau"))</f>
        <v>#VALUE!</v>
      </c>
      <c r="AD3565" s="1" t="str">
        <f>IFERROR(IF(Final_Sans_VGE[[#This Row],[ppn_z]]="","",IFERROR(
   IF(_xlfn.XLOOKUP(Final_Sans_VGE[[#This Row],[ppn_z]],tbl_Historique_Final[[#This Row],[ppn_z]],tbl_Historique_Final[[#This Row],[date_modif]])=Final_Sans_VGE[[#This Row],[date_modif]],
      "Ancien",
      "Modifié"),
   "Nouveau")),"")</f>
        <v/>
      </c>
    </row>
    <row r="3566" spans="24:30" x14ac:dyDescent="0.25">
      <c r="X3566" s="8" t="e">
        <f>IF(Final_Sans_VGE[[#This Row],[ppn_z]]="","",IFERROR(
   IF(_xlfn.XLOOKUP(Final_Sans_VGE[[#This Row],[ppn_z]],tbl_Historique_Final[ppn_z],tbl_Historique_Final[date_modif])=Final_Sans_VGE[[#This Row],[date_modif]],
      "Ancien",
      "Modifié"),
   "Nouveau"))</f>
        <v>#VALUE!</v>
      </c>
      <c r="AD3566" s="1" t="str">
        <f>IFERROR(IF(Final_Sans_VGE[[#This Row],[ppn_z]]="","",IFERROR(
   IF(_xlfn.XLOOKUP(Final_Sans_VGE[[#This Row],[ppn_z]],tbl_Historique_Final[[#This Row],[ppn_z]],tbl_Historique_Final[[#This Row],[date_modif]])=Final_Sans_VGE[[#This Row],[date_modif]],
      "Ancien",
      "Modifié"),
   "Nouveau")),"")</f>
        <v/>
      </c>
    </row>
    <row r="3567" spans="24:30" x14ac:dyDescent="0.25">
      <c r="X3567" s="8" t="e">
        <f>IF(Final_Sans_VGE[[#This Row],[ppn_z]]="","",IFERROR(
   IF(_xlfn.XLOOKUP(Final_Sans_VGE[[#This Row],[ppn_z]],tbl_Historique_Final[ppn_z],tbl_Historique_Final[date_modif])=Final_Sans_VGE[[#This Row],[date_modif]],
      "Ancien",
      "Modifié"),
   "Nouveau"))</f>
        <v>#VALUE!</v>
      </c>
      <c r="AD3567" s="1" t="str">
        <f>IFERROR(IF(Final_Sans_VGE[[#This Row],[ppn_z]]="","",IFERROR(
   IF(_xlfn.XLOOKUP(Final_Sans_VGE[[#This Row],[ppn_z]],tbl_Historique_Final[[#This Row],[ppn_z]],tbl_Historique_Final[[#This Row],[date_modif]])=Final_Sans_VGE[[#This Row],[date_modif]],
      "Ancien",
      "Modifié"),
   "Nouveau")),"")</f>
        <v/>
      </c>
    </row>
    <row r="3568" spans="24:30" x14ac:dyDescent="0.25">
      <c r="X3568" s="8" t="e">
        <f>IF(Final_Sans_VGE[[#This Row],[ppn_z]]="","",IFERROR(
   IF(_xlfn.XLOOKUP(Final_Sans_VGE[[#This Row],[ppn_z]],tbl_Historique_Final[ppn_z],tbl_Historique_Final[date_modif])=Final_Sans_VGE[[#This Row],[date_modif]],
      "Ancien",
      "Modifié"),
   "Nouveau"))</f>
        <v>#VALUE!</v>
      </c>
      <c r="AD3568" s="1" t="str">
        <f>IFERROR(IF(Final_Sans_VGE[[#This Row],[ppn_z]]="","",IFERROR(
   IF(_xlfn.XLOOKUP(Final_Sans_VGE[[#This Row],[ppn_z]],tbl_Historique_Final[[#This Row],[ppn_z]],tbl_Historique_Final[[#This Row],[date_modif]])=Final_Sans_VGE[[#This Row],[date_modif]],
      "Ancien",
      "Modifié"),
   "Nouveau")),"")</f>
        <v/>
      </c>
    </row>
    <row r="3569" spans="24:30" x14ac:dyDescent="0.25">
      <c r="X3569" s="8" t="e">
        <f>IF(Final_Sans_VGE[[#This Row],[ppn_z]]="","",IFERROR(
   IF(_xlfn.XLOOKUP(Final_Sans_VGE[[#This Row],[ppn_z]],tbl_Historique_Final[ppn_z],tbl_Historique_Final[date_modif])=Final_Sans_VGE[[#This Row],[date_modif]],
      "Ancien",
      "Modifié"),
   "Nouveau"))</f>
        <v>#VALUE!</v>
      </c>
      <c r="AD3569" s="1" t="str">
        <f>IFERROR(IF(Final_Sans_VGE[[#This Row],[ppn_z]]="","",IFERROR(
   IF(_xlfn.XLOOKUP(Final_Sans_VGE[[#This Row],[ppn_z]],tbl_Historique_Final[[#This Row],[ppn_z]],tbl_Historique_Final[[#This Row],[date_modif]])=Final_Sans_VGE[[#This Row],[date_modif]],
      "Ancien",
      "Modifié"),
   "Nouveau")),"")</f>
        <v/>
      </c>
    </row>
    <row r="3570" spans="24:30" x14ac:dyDescent="0.25">
      <c r="X3570" s="8" t="e">
        <f>IF(Final_Sans_VGE[[#This Row],[ppn_z]]="","",IFERROR(
   IF(_xlfn.XLOOKUP(Final_Sans_VGE[[#This Row],[ppn_z]],tbl_Historique_Final[ppn_z],tbl_Historique_Final[date_modif])=Final_Sans_VGE[[#This Row],[date_modif]],
      "Ancien",
      "Modifié"),
   "Nouveau"))</f>
        <v>#VALUE!</v>
      </c>
      <c r="AD3570" s="1" t="str">
        <f>IFERROR(IF(Final_Sans_VGE[[#This Row],[ppn_z]]="","",IFERROR(
   IF(_xlfn.XLOOKUP(Final_Sans_VGE[[#This Row],[ppn_z]],tbl_Historique_Final[[#This Row],[ppn_z]],tbl_Historique_Final[[#This Row],[date_modif]])=Final_Sans_VGE[[#This Row],[date_modif]],
      "Ancien",
      "Modifié"),
   "Nouveau")),"")</f>
        <v/>
      </c>
    </row>
    <row r="3571" spans="24:30" x14ac:dyDescent="0.25">
      <c r="X3571" s="8" t="e">
        <f>IF(Final_Sans_VGE[[#This Row],[ppn_z]]="","",IFERROR(
   IF(_xlfn.XLOOKUP(Final_Sans_VGE[[#This Row],[ppn_z]],tbl_Historique_Final[ppn_z],tbl_Historique_Final[date_modif])=Final_Sans_VGE[[#This Row],[date_modif]],
      "Ancien",
      "Modifié"),
   "Nouveau"))</f>
        <v>#VALUE!</v>
      </c>
      <c r="AD3571" s="1" t="str">
        <f>IFERROR(IF(Final_Sans_VGE[[#This Row],[ppn_z]]="","",IFERROR(
   IF(_xlfn.XLOOKUP(Final_Sans_VGE[[#This Row],[ppn_z]],tbl_Historique_Final[[#This Row],[ppn_z]],tbl_Historique_Final[[#This Row],[date_modif]])=Final_Sans_VGE[[#This Row],[date_modif]],
      "Ancien",
      "Modifié"),
   "Nouveau")),"")</f>
        <v/>
      </c>
    </row>
    <row r="3572" spans="24:30" x14ac:dyDescent="0.25">
      <c r="X3572" s="8" t="e">
        <f>IF(Final_Sans_VGE[[#This Row],[ppn_z]]="","",IFERROR(
   IF(_xlfn.XLOOKUP(Final_Sans_VGE[[#This Row],[ppn_z]],tbl_Historique_Final[ppn_z],tbl_Historique_Final[date_modif])=Final_Sans_VGE[[#This Row],[date_modif]],
      "Ancien",
      "Modifié"),
   "Nouveau"))</f>
        <v>#VALUE!</v>
      </c>
      <c r="AD3572" s="1" t="str">
        <f>IFERROR(IF(Final_Sans_VGE[[#This Row],[ppn_z]]="","",IFERROR(
   IF(_xlfn.XLOOKUP(Final_Sans_VGE[[#This Row],[ppn_z]],tbl_Historique_Final[[#This Row],[ppn_z]],tbl_Historique_Final[[#This Row],[date_modif]])=Final_Sans_VGE[[#This Row],[date_modif]],
      "Ancien",
      "Modifié"),
   "Nouveau")),"")</f>
        <v/>
      </c>
    </row>
    <row r="3573" spans="24:30" x14ac:dyDescent="0.25">
      <c r="X3573" s="8" t="e">
        <f>IF(Final_Sans_VGE[[#This Row],[ppn_z]]="","",IFERROR(
   IF(_xlfn.XLOOKUP(Final_Sans_VGE[[#This Row],[ppn_z]],tbl_Historique_Final[ppn_z],tbl_Historique_Final[date_modif])=Final_Sans_VGE[[#This Row],[date_modif]],
      "Ancien",
      "Modifié"),
   "Nouveau"))</f>
        <v>#VALUE!</v>
      </c>
      <c r="AD3573" s="1" t="str">
        <f>IFERROR(IF(Final_Sans_VGE[[#This Row],[ppn_z]]="","",IFERROR(
   IF(_xlfn.XLOOKUP(Final_Sans_VGE[[#This Row],[ppn_z]],tbl_Historique_Final[[#This Row],[ppn_z]],tbl_Historique_Final[[#This Row],[date_modif]])=Final_Sans_VGE[[#This Row],[date_modif]],
      "Ancien",
      "Modifié"),
   "Nouveau")),"")</f>
        <v/>
      </c>
    </row>
    <row r="3574" spans="24:30" x14ac:dyDescent="0.25">
      <c r="X3574" s="8" t="e">
        <f>IF(Final_Sans_VGE[[#This Row],[ppn_z]]="","",IFERROR(
   IF(_xlfn.XLOOKUP(Final_Sans_VGE[[#This Row],[ppn_z]],tbl_Historique_Final[ppn_z],tbl_Historique_Final[date_modif])=Final_Sans_VGE[[#This Row],[date_modif]],
      "Ancien",
      "Modifié"),
   "Nouveau"))</f>
        <v>#VALUE!</v>
      </c>
      <c r="AD3574" s="1" t="str">
        <f>IFERROR(IF(Final_Sans_VGE[[#This Row],[ppn_z]]="","",IFERROR(
   IF(_xlfn.XLOOKUP(Final_Sans_VGE[[#This Row],[ppn_z]],tbl_Historique_Final[[#This Row],[ppn_z]],tbl_Historique_Final[[#This Row],[date_modif]])=Final_Sans_VGE[[#This Row],[date_modif]],
      "Ancien",
      "Modifié"),
   "Nouveau")),"")</f>
        <v/>
      </c>
    </row>
    <row r="3575" spans="24:30" x14ac:dyDescent="0.25">
      <c r="X3575" s="8" t="e">
        <f>IF(Final_Sans_VGE[[#This Row],[ppn_z]]="","",IFERROR(
   IF(_xlfn.XLOOKUP(Final_Sans_VGE[[#This Row],[ppn_z]],tbl_Historique_Final[ppn_z],tbl_Historique_Final[date_modif])=Final_Sans_VGE[[#This Row],[date_modif]],
      "Ancien",
      "Modifié"),
   "Nouveau"))</f>
        <v>#VALUE!</v>
      </c>
      <c r="AD3575" s="1" t="str">
        <f>IFERROR(IF(Final_Sans_VGE[[#This Row],[ppn_z]]="","",IFERROR(
   IF(_xlfn.XLOOKUP(Final_Sans_VGE[[#This Row],[ppn_z]],tbl_Historique_Final[[#This Row],[ppn_z]],tbl_Historique_Final[[#This Row],[date_modif]])=Final_Sans_VGE[[#This Row],[date_modif]],
      "Ancien",
      "Modifié"),
   "Nouveau")),"")</f>
        <v/>
      </c>
    </row>
    <row r="3576" spans="24:30" x14ac:dyDescent="0.25">
      <c r="X3576" s="8" t="e">
        <f>IF(Final_Sans_VGE[[#This Row],[ppn_z]]="","",IFERROR(
   IF(_xlfn.XLOOKUP(Final_Sans_VGE[[#This Row],[ppn_z]],tbl_Historique_Final[ppn_z],tbl_Historique_Final[date_modif])=Final_Sans_VGE[[#This Row],[date_modif]],
      "Ancien",
      "Modifié"),
   "Nouveau"))</f>
        <v>#VALUE!</v>
      </c>
      <c r="AD3576" s="1" t="str">
        <f>IFERROR(IF(Final_Sans_VGE[[#This Row],[ppn_z]]="","",IFERROR(
   IF(_xlfn.XLOOKUP(Final_Sans_VGE[[#This Row],[ppn_z]],tbl_Historique_Final[[#This Row],[ppn_z]],tbl_Historique_Final[[#This Row],[date_modif]])=Final_Sans_VGE[[#This Row],[date_modif]],
      "Ancien",
      "Modifié"),
   "Nouveau")),"")</f>
        <v/>
      </c>
    </row>
    <row r="3577" spans="24:30" x14ac:dyDescent="0.25">
      <c r="X3577" s="8" t="e">
        <f>IF(Final_Sans_VGE[[#This Row],[ppn_z]]="","",IFERROR(
   IF(_xlfn.XLOOKUP(Final_Sans_VGE[[#This Row],[ppn_z]],tbl_Historique_Final[ppn_z],tbl_Historique_Final[date_modif])=Final_Sans_VGE[[#This Row],[date_modif]],
      "Ancien",
      "Modifié"),
   "Nouveau"))</f>
        <v>#VALUE!</v>
      </c>
      <c r="AD3577" s="1" t="str">
        <f>IFERROR(IF(Final_Sans_VGE[[#This Row],[ppn_z]]="","",IFERROR(
   IF(_xlfn.XLOOKUP(Final_Sans_VGE[[#This Row],[ppn_z]],tbl_Historique_Final[[#This Row],[ppn_z]],tbl_Historique_Final[[#This Row],[date_modif]])=Final_Sans_VGE[[#This Row],[date_modif]],
      "Ancien",
      "Modifié"),
   "Nouveau")),"")</f>
        <v/>
      </c>
    </row>
    <row r="3578" spans="24:30" x14ac:dyDescent="0.25">
      <c r="X3578" s="8" t="e">
        <f>IF(Final_Sans_VGE[[#This Row],[ppn_z]]="","",IFERROR(
   IF(_xlfn.XLOOKUP(Final_Sans_VGE[[#This Row],[ppn_z]],tbl_Historique_Final[ppn_z],tbl_Historique_Final[date_modif])=Final_Sans_VGE[[#This Row],[date_modif]],
      "Ancien",
      "Modifié"),
   "Nouveau"))</f>
        <v>#VALUE!</v>
      </c>
      <c r="AD3578" s="1" t="str">
        <f>IFERROR(IF(Final_Sans_VGE[[#This Row],[ppn_z]]="","",IFERROR(
   IF(_xlfn.XLOOKUP(Final_Sans_VGE[[#This Row],[ppn_z]],tbl_Historique_Final[[#This Row],[ppn_z]],tbl_Historique_Final[[#This Row],[date_modif]])=Final_Sans_VGE[[#This Row],[date_modif]],
      "Ancien",
      "Modifié"),
   "Nouveau")),"")</f>
        <v/>
      </c>
    </row>
    <row r="3579" spans="24:30" x14ac:dyDescent="0.25">
      <c r="X3579" s="8" t="e">
        <f>IF(Final_Sans_VGE[[#This Row],[ppn_z]]="","",IFERROR(
   IF(_xlfn.XLOOKUP(Final_Sans_VGE[[#This Row],[ppn_z]],tbl_Historique_Final[ppn_z],tbl_Historique_Final[date_modif])=Final_Sans_VGE[[#This Row],[date_modif]],
      "Ancien",
      "Modifié"),
   "Nouveau"))</f>
        <v>#VALUE!</v>
      </c>
      <c r="AD3579" s="1" t="str">
        <f>IFERROR(IF(Final_Sans_VGE[[#This Row],[ppn_z]]="","",IFERROR(
   IF(_xlfn.XLOOKUP(Final_Sans_VGE[[#This Row],[ppn_z]],tbl_Historique_Final[[#This Row],[ppn_z]],tbl_Historique_Final[[#This Row],[date_modif]])=Final_Sans_VGE[[#This Row],[date_modif]],
      "Ancien",
      "Modifié"),
   "Nouveau")),"")</f>
        <v/>
      </c>
    </row>
    <row r="3580" spans="24:30" x14ac:dyDescent="0.25">
      <c r="X3580" s="8" t="e">
        <f>IF(Final_Sans_VGE[[#This Row],[ppn_z]]="","",IFERROR(
   IF(_xlfn.XLOOKUP(Final_Sans_VGE[[#This Row],[ppn_z]],tbl_Historique_Final[ppn_z],tbl_Historique_Final[date_modif])=Final_Sans_VGE[[#This Row],[date_modif]],
      "Ancien",
      "Modifié"),
   "Nouveau"))</f>
        <v>#VALUE!</v>
      </c>
      <c r="AD3580" s="1" t="str">
        <f>IFERROR(IF(Final_Sans_VGE[[#This Row],[ppn_z]]="","",IFERROR(
   IF(_xlfn.XLOOKUP(Final_Sans_VGE[[#This Row],[ppn_z]],tbl_Historique_Final[[#This Row],[ppn_z]],tbl_Historique_Final[[#This Row],[date_modif]])=Final_Sans_VGE[[#This Row],[date_modif]],
      "Ancien",
      "Modifié"),
   "Nouveau")),"")</f>
        <v/>
      </c>
    </row>
    <row r="3581" spans="24:30" x14ac:dyDescent="0.25">
      <c r="X3581" s="8" t="e">
        <f>IF(Final_Sans_VGE[[#This Row],[ppn_z]]="","",IFERROR(
   IF(_xlfn.XLOOKUP(Final_Sans_VGE[[#This Row],[ppn_z]],tbl_Historique_Final[ppn_z],tbl_Historique_Final[date_modif])=Final_Sans_VGE[[#This Row],[date_modif]],
      "Ancien",
      "Modifié"),
   "Nouveau"))</f>
        <v>#VALUE!</v>
      </c>
      <c r="AD3581" s="1" t="str">
        <f>IFERROR(IF(Final_Sans_VGE[[#This Row],[ppn_z]]="","",IFERROR(
   IF(_xlfn.XLOOKUP(Final_Sans_VGE[[#This Row],[ppn_z]],tbl_Historique_Final[[#This Row],[ppn_z]],tbl_Historique_Final[[#This Row],[date_modif]])=Final_Sans_VGE[[#This Row],[date_modif]],
      "Ancien",
      "Modifié"),
   "Nouveau")),"")</f>
        <v/>
      </c>
    </row>
    <row r="3582" spans="24:30" x14ac:dyDescent="0.25">
      <c r="X3582" s="8" t="e">
        <f>IF(Final_Sans_VGE[[#This Row],[ppn_z]]="","",IFERROR(
   IF(_xlfn.XLOOKUP(Final_Sans_VGE[[#This Row],[ppn_z]],tbl_Historique_Final[ppn_z],tbl_Historique_Final[date_modif])=Final_Sans_VGE[[#This Row],[date_modif]],
      "Ancien",
      "Modifié"),
   "Nouveau"))</f>
        <v>#VALUE!</v>
      </c>
      <c r="AD3582" s="1" t="str">
        <f>IFERROR(IF(Final_Sans_VGE[[#This Row],[ppn_z]]="","",IFERROR(
   IF(_xlfn.XLOOKUP(Final_Sans_VGE[[#This Row],[ppn_z]],tbl_Historique_Final[[#This Row],[ppn_z]],tbl_Historique_Final[[#This Row],[date_modif]])=Final_Sans_VGE[[#This Row],[date_modif]],
      "Ancien",
      "Modifié"),
   "Nouveau")),"")</f>
        <v/>
      </c>
    </row>
    <row r="3583" spans="24:30" x14ac:dyDescent="0.25">
      <c r="X3583" s="8" t="e">
        <f>IF(Final_Sans_VGE[[#This Row],[ppn_z]]="","",IFERROR(
   IF(_xlfn.XLOOKUP(Final_Sans_VGE[[#This Row],[ppn_z]],tbl_Historique_Final[ppn_z],tbl_Historique_Final[date_modif])=Final_Sans_VGE[[#This Row],[date_modif]],
      "Ancien",
      "Modifié"),
   "Nouveau"))</f>
        <v>#VALUE!</v>
      </c>
      <c r="AD3583" s="1" t="str">
        <f>IFERROR(IF(Final_Sans_VGE[[#This Row],[ppn_z]]="","",IFERROR(
   IF(_xlfn.XLOOKUP(Final_Sans_VGE[[#This Row],[ppn_z]],tbl_Historique_Final[[#This Row],[ppn_z]],tbl_Historique_Final[[#This Row],[date_modif]])=Final_Sans_VGE[[#This Row],[date_modif]],
      "Ancien",
      "Modifié"),
   "Nouveau")),"")</f>
        <v/>
      </c>
    </row>
    <row r="3584" spans="24:30" x14ac:dyDescent="0.25">
      <c r="X3584" s="8" t="e">
        <f>IF(Final_Sans_VGE[[#This Row],[ppn_z]]="","",IFERROR(
   IF(_xlfn.XLOOKUP(Final_Sans_VGE[[#This Row],[ppn_z]],tbl_Historique_Final[ppn_z],tbl_Historique_Final[date_modif])=Final_Sans_VGE[[#This Row],[date_modif]],
      "Ancien",
      "Modifié"),
   "Nouveau"))</f>
        <v>#VALUE!</v>
      </c>
      <c r="AD3584" s="1" t="str">
        <f>IFERROR(IF(Final_Sans_VGE[[#This Row],[ppn_z]]="","",IFERROR(
   IF(_xlfn.XLOOKUP(Final_Sans_VGE[[#This Row],[ppn_z]],tbl_Historique_Final[[#This Row],[ppn_z]],tbl_Historique_Final[[#This Row],[date_modif]])=Final_Sans_VGE[[#This Row],[date_modif]],
      "Ancien",
      "Modifié"),
   "Nouveau")),"")</f>
        <v/>
      </c>
    </row>
    <row r="3585" spans="24:30" x14ac:dyDescent="0.25">
      <c r="X3585" s="8" t="e">
        <f>IF(Final_Sans_VGE[[#This Row],[ppn_z]]="","",IFERROR(
   IF(_xlfn.XLOOKUP(Final_Sans_VGE[[#This Row],[ppn_z]],tbl_Historique_Final[ppn_z],tbl_Historique_Final[date_modif])=Final_Sans_VGE[[#This Row],[date_modif]],
      "Ancien",
      "Modifié"),
   "Nouveau"))</f>
        <v>#VALUE!</v>
      </c>
      <c r="AD3585" s="1" t="str">
        <f>IFERROR(IF(Final_Sans_VGE[[#This Row],[ppn_z]]="","",IFERROR(
   IF(_xlfn.XLOOKUP(Final_Sans_VGE[[#This Row],[ppn_z]],tbl_Historique_Final[[#This Row],[ppn_z]],tbl_Historique_Final[[#This Row],[date_modif]])=Final_Sans_VGE[[#This Row],[date_modif]],
      "Ancien",
      "Modifié"),
   "Nouveau")),"")</f>
        <v/>
      </c>
    </row>
    <row r="3586" spans="24:30" x14ac:dyDescent="0.25">
      <c r="X3586" s="8" t="e">
        <f>IF(Final_Sans_VGE[[#This Row],[ppn_z]]="","",IFERROR(
   IF(_xlfn.XLOOKUP(Final_Sans_VGE[[#This Row],[ppn_z]],tbl_Historique_Final[ppn_z],tbl_Historique_Final[date_modif])=Final_Sans_VGE[[#This Row],[date_modif]],
      "Ancien",
      "Modifié"),
   "Nouveau"))</f>
        <v>#VALUE!</v>
      </c>
      <c r="AD3586" s="1" t="str">
        <f>IFERROR(IF(Final_Sans_VGE[[#This Row],[ppn_z]]="","",IFERROR(
   IF(_xlfn.XLOOKUP(Final_Sans_VGE[[#This Row],[ppn_z]],tbl_Historique_Final[[#This Row],[ppn_z]],tbl_Historique_Final[[#This Row],[date_modif]])=Final_Sans_VGE[[#This Row],[date_modif]],
      "Ancien",
      "Modifié"),
   "Nouveau")),"")</f>
        <v/>
      </c>
    </row>
    <row r="3587" spans="24:30" x14ac:dyDescent="0.25">
      <c r="X3587" s="8" t="e">
        <f>IF(Final_Sans_VGE[[#This Row],[ppn_z]]="","",IFERROR(
   IF(_xlfn.XLOOKUP(Final_Sans_VGE[[#This Row],[ppn_z]],tbl_Historique_Final[ppn_z],tbl_Historique_Final[date_modif])=Final_Sans_VGE[[#This Row],[date_modif]],
      "Ancien",
      "Modifié"),
   "Nouveau"))</f>
        <v>#VALUE!</v>
      </c>
      <c r="AD3587" s="1" t="str">
        <f>IFERROR(IF(Final_Sans_VGE[[#This Row],[ppn_z]]="","",IFERROR(
   IF(_xlfn.XLOOKUP(Final_Sans_VGE[[#This Row],[ppn_z]],tbl_Historique_Final[[#This Row],[ppn_z]],tbl_Historique_Final[[#This Row],[date_modif]])=Final_Sans_VGE[[#This Row],[date_modif]],
      "Ancien",
      "Modifié"),
   "Nouveau")),"")</f>
        <v/>
      </c>
    </row>
    <row r="3588" spans="24:30" x14ac:dyDescent="0.25">
      <c r="X3588" s="8" t="e">
        <f>IF(Final_Sans_VGE[[#This Row],[ppn_z]]="","",IFERROR(
   IF(_xlfn.XLOOKUP(Final_Sans_VGE[[#This Row],[ppn_z]],tbl_Historique_Final[ppn_z],tbl_Historique_Final[date_modif])=Final_Sans_VGE[[#This Row],[date_modif]],
      "Ancien",
      "Modifié"),
   "Nouveau"))</f>
        <v>#VALUE!</v>
      </c>
      <c r="AD3588" s="1" t="str">
        <f>IFERROR(IF(Final_Sans_VGE[[#This Row],[ppn_z]]="","",IFERROR(
   IF(_xlfn.XLOOKUP(Final_Sans_VGE[[#This Row],[ppn_z]],tbl_Historique_Final[[#This Row],[ppn_z]],tbl_Historique_Final[[#This Row],[date_modif]])=Final_Sans_VGE[[#This Row],[date_modif]],
      "Ancien",
      "Modifié"),
   "Nouveau")),"")</f>
        <v/>
      </c>
    </row>
    <row r="3589" spans="24:30" x14ac:dyDescent="0.25">
      <c r="X3589" s="8" t="e">
        <f>IF(Final_Sans_VGE[[#This Row],[ppn_z]]="","",IFERROR(
   IF(_xlfn.XLOOKUP(Final_Sans_VGE[[#This Row],[ppn_z]],tbl_Historique_Final[ppn_z],tbl_Historique_Final[date_modif])=Final_Sans_VGE[[#This Row],[date_modif]],
      "Ancien",
      "Modifié"),
   "Nouveau"))</f>
        <v>#VALUE!</v>
      </c>
      <c r="AD3589" s="1" t="str">
        <f>IFERROR(IF(Final_Sans_VGE[[#This Row],[ppn_z]]="","",IFERROR(
   IF(_xlfn.XLOOKUP(Final_Sans_VGE[[#This Row],[ppn_z]],tbl_Historique_Final[[#This Row],[ppn_z]],tbl_Historique_Final[[#This Row],[date_modif]])=Final_Sans_VGE[[#This Row],[date_modif]],
      "Ancien",
      "Modifié"),
   "Nouveau")),"")</f>
        <v/>
      </c>
    </row>
    <row r="3590" spans="24:30" x14ac:dyDescent="0.25">
      <c r="X3590" s="8" t="e">
        <f>IF(Final_Sans_VGE[[#This Row],[ppn_z]]="","",IFERROR(
   IF(_xlfn.XLOOKUP(Final_Sans_VGE[[#This Row],[ppn_z]],tbl_Historique_Final[ppn_z],tbl_Historique_Final[date_modif])=Final_Sans_VGE[[#This Row],[date_modif]],
      "Ancien",
      "Modifié"),
   "Nouveau"))</f>
        <v>#VALUE!</v>
      </c>
      <c r="AD3590" s="1" t="str">
        <f>IFERROR(IF(Final_Sans_VGE[[#This Row],[ppn_z]]="","",IFERROR(
   IF(_xlfn.XLOOKUP(Final_Sans_VGE[[#This Row],[ppn_z]],tbl_Historique_Final[[#This Row],[ppn_z]],tbl_Historique_Final[[#This Row],[date_modif]])=Final_Sans_VGE[[#This Row],[date_modif]],
      "Ancien",
      "Modifié"),
   "Nouveau")),"")</f>
        <v/>
      </c>
    </row>
    <row r="3591" spans="24:30" x14ac:dyDescent="0.25">
      <c r="X3591" s="8" t="e">
        <f>IF(Final_Sans_VGE[[#This Row],[ppn_z]]="","",IFERROR(
   IF(_xlfn.XLOOKUP(Final_Sans_VGE[[#This Row],[ppn_z]],tbl_Historique_Final[ppn_z],tbl_Historique_Final[date_modif])=Final_Sans_VGE[[#This Row],[date_modif]],
      "Ancien",
      "Modifié"),
   "Nouveau"))</f>
        <v>#VALUE!</v>
      </c>
      <c r="AD3591" s="1" t="str">
        <f>IFERROR(IF(Final_Sans_VGE[[#This Row],[ppn_z]]="","",IFERROR(
   IF(_xlfn.XLOOKUP(Final_Sans_VGE[[#This Row],[ppn_z]],tbl_Historique_Final[[#This Row],[ppn_z]],tbl_Historique_Final[[#This Row],[date_modif]])=Final_Sans_VGE[[#This Row],[date_modif]],
      "Ancien",
      "Modifié"),
   "Nouveau")),"")</f>
        <v/>
      </c>
    </row>
    <row r="3592" spans="24:30" x14ac:dyDescent="0.25">
      <c r="X3592" s="8" t="e">
        <f>IF(Final_Sans_VGE[[#This Row],[ppn_z]]="","",IFERROR(
   IF(_xlfn.XLOOKUP(Final_Sans_VGE[[#This Row],[ppn_z]],tbl_Historique_Final[ppn_z],tbl_Historique_Final[date_modif])=Final_Sans_VGE[[#This Row],[date_modif]],
      "Ancien",
      "Modifié"),
   "Nouveau"))</f>
        <v>#VALUE!</v>
      </c>
      <c r="AD3592" s="1" t="str">
        <f>IFERROR(IF(Final_Sans_VGE[[#This Row],[ppn_z]]="","",IFERROR(
   IF(_xlfn.XLOOKUP(Final_Sans_VGE[[#This Row],[ppn_z]],tbl_Historique_Final[[#This Row],[ppn_z]],tbl_Historique_Final[[#This Row],[date_modif]])=Final_Sans_VGE[[#This Row],[date_modif]],
      "Ancien",
      "Modifié"),
   "Nouveau")),"")</f>
        <v/>
      </c>
    </row>
    <row r="3593" spans="24:30" x14ac:dyDescent="0.25">
      <c r="X3593" s="8" t="e">
        <f>IF(Final_Sans_VGE[[#This Row],[ppn_z]]="","",IFERROR(
   IF(_xlfn.XLOOKUP(Final_Sans_VGE[[#This Row],[ppn_z]],tbl_Historique_Final[ppn_z],tbl_Historique_Final[date_modif])=Final_Sans_VGE[[#This Row],[date_modif]],
      "Ancien",
      "Modifié"),
   "Nouveau"))</f>
        <v>#VALUE!</v>
      </c>
      <c r="AD3593" s="1" t="str">
        <f>IFERROR(IF(Final_Sans_VGE[[#This Row],[ppn_z]]="","",IFERROR(
   IF(_xlfn.XLOOKUP(Final_Sans_VGE[[#This Row],[ppn_z]],tbl_Historique_Final[[#This Row],[ppn_z]],tbl_Historique_Final[[#This Row],[date_modif]])=Final_Sans_VGE[[#This Row],[date_modif]],
      "Ancien",
      "Modifié"),
   "Nouveau")),"")</f>
        <v/>
      </c>
    </row>
    <row r="3594" spans="24:30" x14ac:dyDescent="0.25">
      <c r="X3594" s="8" t="e">
        <f>IF(Final_Sans_VGE[[#This Row],[ppn_z]]="","",IFERROR(
   IF(_xlfn.XLOOKUP(Final_Sans_VGE[[#This Row],[ppn_z]],tbl_Historique_Final[ppn_z],tbl_Historique_Final[date_modif])=Final_Sans_VGE[[#This Row],[date_modif]],
      "Ancien",
      "Modifié"),
   "Nouveau"))</f>
        <v>#VALUE!</v>
      </c>
      <c r="AD3594" s="1" t="str">
        <f>IFERROR(IF(Final_Sans_VGE[[#This Row],[ppn_z]]="","",IFERROR(
   IF(_xlfn.XLOOKUP(Final_Sans_VGE[[#This Row],[ppn_z]],tbl_Historique_Final[[#This Row],[ppn_z]],tbl_Historique_Final[[#This Row],[date_modif]])=Final_Sans_VGE[[#This Row],[date_modif]],
      "Ancien",
      "Modifié"),
   "Nouveau")),"")</f>
        <v/>
      </c>
    </row>
    <row r="3595" spans="24:30" x14ac:dyDescent="0.25">
      <c r="X3595" s="8" t="e">
        <f>IF(Final_Sans_VGE[[#This Row],[ppn_z]]="","",IFERROR(
   IF(_xlfn.XLOOKUP(Final_Sans_VGE[[#This Row],[ppn_z]],tbl_Historique_Final[ppn_z],tbl_Historique_Final[date_modif])=Final_Sans_VGE[[#This Row],[date_modif]],
      "Ancien",
      "Modifié"),
   "Nouveau"))</f>
        <v>#VALUE!</v>
      </c>
      <c r="AD3595" s="1" t="str">
        <f>IFERROR(IF(Final_Sans_VGE[[#This Row],[ppn_z]]="","",IFERROR(
   IF(_xlfn.XLOOKUP(Final_Sans_VGE[[#This Row],[ppn_z]],tbl_Historique_Final[[#This Row],[ppn_z]],tbl_Historique_Final[[#This Row],[date_modif]])=Final_Sans_VGE[[#This Row],[date_modif]],
      "Ancien",
      "Modifié"),
   "Nouveau")),"")</f>
        <v/>
      </c>
    </row>
    <row r="3596" spans="24:30" x14ac:dyDescent="0.25">
      <c r="X3596" s="8" t="e">
        <f>IF(Final_Sans_VGE[[#This Row],[ppn_z]]="","",IFERROR(
   IF(_xlfn.XLOOKUP(Final_Sans_VGE[[#This Row],[ppn_z]],tbl_Historique_Final[ppn_z],tbl_Historique_Final[date_modif])=Final_Sans_VGE[[#This Row],[date_modif]],
      "Ancien",
      "Modifié"),
   "Nouveau"))</f>
        <v>#VALUE!</v>
      </c>
      <c r="AD3596" s="1" t="str">
        <f>IFERROR(IF(Final_Sans_VGE[[#This Row],[ppn_z]]="","",IFERROR(
   IF(_xlfn.XLOOKUP(Final_Sans_VGE[[#This Row],[ppn_z]],tbl_Historique_Final[[#This Row],[ppn_z]],tbl_Historique_Final[[#This Row],[date_modif]])=Final_Sans_VGE[[#This Row],[date_modif]],
      "Ancien",
      "Modifié"),
   "Nouveau")),"")</f>
        <v/>
      </c>
    </row>
    <row r="3597" spans="24:30" x14ac:dyDescent="0.25">
      <c r="X3597" s="8" t="e">
        <f>IF(Final_Sans_VGE[[#This Row],[ppn_z]]="","",IFERROR(
   IF(_xlfn.XLOOKUP(Final_Sans_VGE[[#This Row],[ppn_z]],tbl_Historique_Final[ppn_z],tbl_Historique_Final[date_modif])=Final_Sans_VGE[[#This Row],[date_modif]],
      "Ancien",
      "Modifié"),
   "Nouveau"))</f>
        <v>#VALUE!</v>
      </c>
      <c r="AD3597" s="1" t="str">
        <f>IFERROR(IF(Final_Sans_VGE[[#This Row],[ppn_z]]="","",IFERROR(
   IF(_xlfn.XLOOKUP(Final_Sans_VGE[[#This Row],[ppn_z]],tbl_Historique_Final[[#This Row],[ppn_z]],tbl_Historique_Final[[#This Row],[date_modif]])=Final_Sans_VGE[[#This Row],[date_modif]],
      "Ancien",
      "Modifié"),
   "Nouveau")),"")</f>
        <v/>
      </c>
    </row>
    <row r="3598" spans="24:30" x14ac:dyDescent="0.25">
      <c r="X3598" s="8" t="e">
        <f>IF(Final_Sans_VGE[[#This Row],[ppn_z]]="","",IFERROR(
   IF(_xlfn.XLOOKUP(Final_Sans_VGE[[#This Row],[ppn_z]],tbl_Historique_Final[ppn_z],tbl_Historique_Final[date_modif])=Final_Sans_VGE[[#This Row],[date_modif]],
      "Ancien",
      "Modifié"),
   "Nouveau"))</f>
        <v>#VALUE!</v>
      </c>
      <c r="AD3598" s="1" t="str">
        <f>IFERROR(IF(Final_Sans_VGE[[#This Row],[ppn_z]]="","",IFERROR(
   IF(_xlfn.XLOOKUP(Final_Sans_VGE[[#This Row],[ppn_z]],tbl_Historique_Final[[#This Row],[ppn_z]],tbl_Historique_Final[[#This Row],[date_modif]])=Final_Sans_VGE[[#This Row],[date_modif]],
      "Ancien",
      "Modifié"),
   "Nouveau")),"")</f>
        <v/>
      </c>
    </row>
    <row r="3599" spans="24:30" x14ac:dyDescent="0.25">
      <c r="X3599" s="8" t="e">
        <f>IF(Final_Sans_VGE[[#This Row],[ppn_z]]="","",IFERROR(
   IF(_xlfn.XLOOKUP(Final_Sans_VGE[[#This Row],[ppn_z]],tbl_Historique_Final[ppn_z],tbl_Historique_Final[date_modif])=Final_Sans_VGE[[#This Row],[date_modif]],
      "Ancien",
      "Modifié"),
   "Nouveau"))</f>
        <v>#VALUE!</v>
      </c>
      <c r="AD3599" s="1" t="str">
        <f>IFERROR(IF(Final_Sans_VGE[[#This Row],[ppn_z]]="","",IFERROR(
   IF(_xlfn.XLOOKUP(Final_Sans_VGE[[#This Row],[ppn_z]],tbl_Historique_Final[[#This Row],[ppn_z]],tbl_Historique_Final[[#This Row],[date_modif]])=Final_Sans_VGE[[#This Row],[date_modif]],
      "Ancien",
      "Modifié"),
   "Nouveau")),"")</f>
        <v/>
      </c>
    </row>
    <row r="3600" spans="24:30" x14ac:dyDescent="0.25">
      <c r="X3600" s="8" t="e">
        <f>IF(Final_Sans_VGE[[#This Row],[ppn_z]]="","",IFERROR(
   IF(_xlfn.XLOOKUP(Final_Sans_VGE[[#This Row],[ppn_z]],tbl_Historique_Final[ppn_z],tbl_Historique_Final[date_modif])=Final_Sans_VGE[[#This Row],[date_modif]],
      "Ancien",
      "Modifié"),
   "Nouveau"))</f>
        <v>#VALUE!</v>
      </c>
      <c r="AD3600" s="1" t="str">
        <f>IFERROR(IF(Final_Sans_VGE[[#This Row],[ppn_z]]="","",IFERROR(
   IF(_xlfn.XLOOKUP(Final_Sans_VGE[[#This Row],[ppn_z]],tbl_Historique_Final[[#This Row],[ppn_z]],tbl_Historique_Final[[#This Row],[date_modif]])=Final_Sans_VGE[[#This Row],[date_modif]],
      "Ancien",
      "Modifié"),
   "Nouveau")),"")</f>
        <v/>
      </c>
    </row>
    <row r="3601" spans="24:30" x14ac:dyDescent="0.25">
      <c r="X3601" s="8" t="e">
        <f>IF(Final_Sans_VGE[[#This Row],[ppn_z]]="","",IFERROR(
   IF(_xlfn.XLOOKUP(Final_Sans_VGE[[#This Row],[ppn_z]],tbl_Historique_Final[ppn_z],tbl_Historique_Final[date_modif])=Final_Sans_VGE[[#This Row],[date_modif]],
      "Ancien",
      "Modifié"),
   "Nouveau"))</f>
        <v>#VALUE!</v>
      </c>
      <c r="AD3601" s="1" t="str">
        <f>IFERROR(IF(Final_Sans_VGE[[#This Row],[ppn_z]]="","",IFERROR(
   IF(_xlfn.XLOOKUP(Final_Sans_VGE[[#This Row],[ppn_z]],tbl_Historique_Final[[#This Row],[ppn_z]],tbl_Historique_Final[[#This Row],[date_modif]])=Final_Sans_VGE[[#This Row],[date_modif]],
      "Ancien",
      "Modifié"),
   "Nouveau")),"")</f>
        <v/>
      </c>
    </row>
    <row r="3602" spans="24:30" x14ac:dyDescent="0.25">
      <c r="X3602" s="8" t="e">
        <f>IF(Final_Sans_VGE[[#This Row],[ppn_z]]="","",IFERROR(
   IF(_xlfn.XLOOKUP(Final_Sans_VGE[[#This Row],[ppn_z]],tbl_Historique_Final[ppn_z],tbl_Historique_Final[date_modif])=Final_Sans_VGE[[#This Row],[date_modif]],
      "Ancien",
      "Modifié"),
   "Nouveau"))</f>
        <v>#VALUE!</v>
      </c>
      <c r="AD3602" s="1" t="str">
        <f>IFERROR(IF(Final_Sans_VGE[[#This Row],[ppn_z]]="","",IFERROR(
   IF(_xlfn.XLOOKUP(Final_Sans_VGE[[#This Row],[ppn_z]],tbl_Historique_Final[[#This Row],[ppn_z]],tbl_Historique_Final[[#This Row],[date_modif]])=Final_Sans_VGE[[#This Row],[date_modif]],
      "Ancien",
      "Modifié"),
   "Nouveau")),"")</f>
        <v/>
      </c>
    </row>
    <row r="3603" spans="24:30" x14ac:dyDescent="0.25">
      <c r="X3603" s="8" t="e">
        <f>IF(Final_Sans_VGE[[#This Row],[ppn_z]]="","",IFERROR(
   IF(_xlfn.XLOOKUP(Final_Sans_VGE[[#This Row],[ppn_z]],tbl_Historique_Final[ppn_z],tbl_Historique_Final[date_modif])=Final_Sans_VGE[[#This Row],[date_modif]],
      "Ancien",
      "Modifié"),
   "Nouveau"))</f>
        <v>#VALUE!</v>
      </c>
      <c r="AD3603" s="1" t="str">
        <f>IFERROR(IF(Final_Sans_VGE[[#This Row],[ppn_z]]="","",IFERROR(
   IF(_xlfn.XLOOKUP(Final_Sans_VGE[[#This Row],[ppn_z]],tbl_Historique_Final[[#This Row],[ppn_z]],tbl_Historique_Final[[#This Row],[date_modif]])=Final_Sans_VGE[[#This Row],[date_modif]],
      "Ancien",
      "Modifié"),
   "Nouveau")),"")</f>
        <v/>
      </c>
    </row>
    <row r="3604" spans="24:30" x14ac:dyDescent="0.25">
      <c r="X3604" s="8" t="e">
        <f>IF(Final_Sans_VGE[[#This Row],[ppn_z]]="","",IFERROR(
   IF(_xlfn.XLOOKUP(Final_Sans_VGE[[#This Row],[ppn_z]],tbl_Historique_Final[ppn_z],tbl_Historique_Final[date_modif])=Final_Sans_VGE[[#This Row],[date_modif]],
      "Ancien",
      "Modifié"),
   "Nouveau"))</f>
        <v>#VALUE!</v>
      </c>
      <c r="AD3604" s="1" t="str">
        <f>IFERROR(IF(Final_Sans_VGE[[#This Row],[ppn_z]]="","",IFERROR(
   IF(_xlfn.XLOOKUP(Final_Sans_VGE[[#This Row],[ppn_z]],tbl_Historique_Final[[#This Row],[ppn_z]],tbl_Historique_Final[[#This Row],[date_modif]])=Final_Sans_VGE[[#This Row],[date_modif]],
      "Ancien",
      "Modifié"),
   "Nouveau")),"")</f>
        <v/>
      </c>
    </row>
    <row r="3605" spans="24:30" x14ac:dyDescent="0.25">
      <c r="X3605" s="8" t="e">
        <f>IF(Final_Sans_VGE[[#This Row],[ppn_z]]="","",IFERROR(
   IF(_xlfn.XLOOKUP(Final_Sans_VGE[[#This Row],[ppn_z]],tbl_Historique_Final[ppn_z],tbl_Historique_Final[date_modif])=Final_Sans_VGE[[#This Row],[date_modif]],
      "Ancien",
      "Modifié"),
   "Nouveau"))</f>
        <v>#VALUE!</v>
      </c>
      <c r="AD3605" s="1" t="str">
        <f>IFERROR(IF(Final_Sans_VGE[[#This Row],[ppn_z]]="","",IFERROR(
   IF(_xlfn.XLOOKUP(Final_Sans_VGE[[#This Row],[ppn_z]],tbl_Historique_Final[[#This Row],[ppn_z]],tbl_Historique_Final[[#This Row],[date_modif]])=Final_Sans_VGE[[#This Row],[date_modif]],
      "Ancien",
      "Modifié"),
   "Nouveau")),"")</f>
        <v/>
      </c>
    </row>
    <row r="3606" spans="24:30" x14ac:dyDescent="0.25">
      <c r="X3606" s="8" t="e">
        <f>IF(Final_Sans_VGE[[#This Row],[ppn_z]]="","",IFERROR(
   IF(_xlfn.XLOOKUP(Final_Sans_VGE[[#This Row],[ppn_z]],tbl_Historique_Final[ppn_z],tbl_Historique_Final[date_modif])=Final_Sans_VGE[[#This Row],[date_modif]],
      "Ancien",
      "Modifié"),
   "Nouveau"))</f>
        <v>#VALUE!</v>
      </c>
      <c r="AD3606" s="1" t="str">
        <f>IFERROR(IF(Final_Sans_VGE[[#This Row],[ppn_z]]="","",IFERROR(
   IF(_xlfn.XLOOKUP(Final_Sans_VGE[[#This Row],[ppn_z]],tbl_Historique_Final[[#This Row],[ppn_z]],tbl_Historique_Final[[#This Row],[date_modif]])=Final_Sans_VGE[[#This Row],[date_modif]],
      "Ancien",
      "Modifié"),
   "Nouveau")),"")</f>
        <v/>
      </c>
    </row>
    <row r="3607" spans="24:30" x14ac:dyDescent="0.25">
      <c r="X3607" s="8" t="e">
        <f>IF(Final_Sans_VGE[[#This Row],[ppn_z]]="","",IFERROR(
   IF(_xlfn.XLOOKUP(Final_Sans_VGE[[#This Row],[ppn_z]],tbl_Historique_Final[ppn_z],tbl_Historique_Final[date_modif])=Final_Sans_VGE[[#This Row],[date_modif]],
      "Ancien",
      "Modifié"),
   "Nouveau"))</f>
        <v>#VALUE!</v>
      </c>
      <c r="AD3607" s="1" t="str">
        <f>IFERROR(IF(Final_Sans_VGE[[#This Row],[ppn_z]]="","",IFERROR(
   IF(_xlfn.XLOOKUP(Final_Sans_VGE[[#This Row],[ppn_z]],tbl_Historique_Final[[#This Row],[ppn_z]],tbl_Historique_Final[[#This Row],[date_modif]])=Final_Sans_VGE[[#This Row],[date_modif]],
      "Ancien",
      "Modifié"),
   "Nouveau")),"")</f>
        <v/>
      </c>
    </row>
    <row r="3608" spans="24:30" x14ac:dyDescent="0.25">
      <c r="X3608" s="8" t="e">
        <f>IF(Final_Sans_VGE[[#This Row],[ppn_z]]="","",IFERROR(
   IF(_xlfn.XLOOKUP(Final_Sans_VGE[[#This Row],[ppn_z]],tbl_Historique_Final[ppn_z],tbl_Historique_Final[date_modif])=Final_Sans_VGE[[#This Row],[date_modif]],
      "Ancien",
      "Modifié"),
   "Nouveau"))</f>
        <v>#VALUE!</v>
      </c>
      <c r="AD3608" s="1" t="str">
        <f>IFERROR(IF(Final_Sans_VGE[[#This Row],[ppn_z]]="","",IFERROR(
   IF(_xlfn.XLOOKUP(Final_Sans_VGE[[#This Row],[ppn_z]],tbl_Historique_Final[[#This Row],[ppn_z]],tbl_Historique_Final[[#This Row],[date_modif]])=Final_Sans_VGE[[#This Row],[date_modif]],
      "Ancien",
      "Modifié"),
   "Nouveau")),"")</f>
        <v/>
      </c>
    </row>
    <row r="3609" spans="24:30" x14ac:dyDescent="0.25">
      <c r="X3609" s="8" t="e">
        <f>IF(Final_Sans_VGE[[#This Row],[ppn_z]]="","",IFERROR(
   IF(_xlfn.XLOOKUP(Final_Sans_VGE[[#This Row],[ppn_z]],tbl_Historique_Final[ppn_z],tbl_Historique_Final[date_modif])=Final_Sans_VGE[[#This Row],[date_modif]],
      "Ancien",
      "Modifié"),
   "Nouveau"))</f>
        <v>#VALUE!</v>
      </c>
      <c r="AD3609" s="1" t="str">
        <f>IFERROR(IF(Final_Sans_VGE[[#This Row],[ppn_z]]="","",IFERROR(
   IF(_xlfn.XLOOKUP(Final_Sans_VGE[[#This Row],[ppn_z]],tbl_Historique_Final[[#This Row],[ppn_z]],tbl_Historique_Final[[#This Row],[date_modif]])=Final_Sans_VGE[[#This Row],[date_modif]],
      "Ancien",
      "Modifié"),
   "Nouveau")),"")</f>
        <v/>
      </c>
    </row>
    <row r="3610" spans="24:30" x14ac:dyDescent="0.25">
      <c r="X3610" s="8" t="e">
        <f>IF(Final_Sans_VGE[[#This Row],[ppn_z]]="","",IFERROR(
   IF(_xlfn.XLOOKUP(Final_Sans_VGE[[#This Row],[ppn_z]],tbl_Historique_Final[ppn_z],tbl_Historique_Final[date_modif])=Final_Sans_VGE[[#This Row],[date_modif]],
      "Ancien",
      "Modifié"),
   "Nouveau"))</f>
        <v>#VALUE!</v>
      </c>
      <c r="AD3610" s="1" t="str">
        <f>IFERROR(IF(Final_Sans_VGE[[#This Row],[ppn_z]]="","",IFERROR(
   IF(_xlfn.XLOOKUP(Final_Sans_VGE[[#This Row],[ppn_z]],tbl_Historique_Final[[#This Row],[ppn_z]],tbl_Historique_Final[[#This Row],[date_modif]])=Final_Sans_VGE[[#This Row],[date_modif]],
      "Ancien",
      "Modifié"),
   "Nouveau")),"")</f>
        <v/>
      </c>
    </row>
    <row r="3611" spans="24:30" x14ac:dyDescent="0.25">
      <c r="X3611" s="8" t="e">
        <f>IF(Final_Sans_VGE[[#This Row],[ppn_z]]="","",IFERROR(
   IF(_xlfn.XLOOKUP(Final_Sans_VGE[[#This Row],[ppn_z]],tbl_Historique_Final[ppn_z],tbl_Historique_Final[date_modif])=Final_Sans_VGE[[#This Row],[date_modif]],
      "Ancien",
      "Modifié"),
   "Nouveau"))</f>
        <v>#VALUE!</v>
      </c>
      <c r="AD3611" s="1" t="str">
        <f>IFERROR(IF(Final_Sans_VGE[[#This Row],[ppn_z]]="","",IFERROR(
   IF(_xlfn.XLOOKUP(Final_Sans_VGE[[#This Row],[ppn_z]],tbl_Historique_Final[[#This Row],[ppn_z]],tbl_Historique_Final[[#This Row],[date_modif]])=Final_Sans_VGE[[#This Row],[date_modif]],
      "Ancien",
      "Modifié"),
   "Nouveau")),"")</f>
        <v/>
      </c>
    </row>
    <row r="3612" spans="24:30" x14ac:dyDescent="0.25">
      <c r="X3612" s="8" t="e">
        <f>IF(Final_Sans_VGE[[#This Row],[ppn_z]]="","",IFERROR(
   IF(_xlfn.XLOOKUP(Final_Sans_VGE[[#This Row],[ppn_z]],tbl_Historique_Final[ppn_z],tbl_Historique_Final[date_modif])=Final_Sans_VGE[[#This Row],[date_modif]],
      "Ancien",
      "Modifié"),
   "Nouveau"))</f>
        <v>#VALUE!</v>
      </c>
      <c r="AD3612" s="1" t="str">
        <f>IFERROR(IF(Final_Sans_VGE[[#This Row],[ppn_z]]="","",IFERROR(
   IF(_xlfn.XLOOKUP(Final_Sans_VGE[[#This Row],[ppn_z]],tbl_Historique_Final[[#This Row],[ppn_z]],tbl_Historique_Final[[#This Row],[date_modif]])=Final_Sans_VGE[[#This Row],[date_modif]],
      "Ancien",
      "Modifié"),
   "Nouveau")),"")</f>
        <v/>
      </c>
    </row>
    <row r="3613" spans="24:30" x14ac:dyDescent="0.25">
      <c r="X3613" s="8" t="e">
        <f>IF(Final_Sans_VGE[[#This Row],[ppn_z]]="","",IFERROR(
   IF(_xlfn.XLOOKUP(Final_Sans_VGE[[#This Row],[ppn_z]],tbl_Historique_Final[ppn_z],tbl_Historique_Final[date_modif])=Final_Sans_VGE[[#This Row],[date_modif]],
      "Ancien",
      "Modifié"),
   "Nouveau"))</f>
        <v>#VALUE!</v>
      </c>
      <c r="AD3613" s="1" t="str">
        <f>IFERROR(IF(Final_Sans_VGE[[#This Row],[ppn_z]]="","",IFERROR(
   IF(_xlfn.XLOOKUP(Final_Sans_VGE[[#This Row],[ppn_z]],tbl_Historique_Final[[#This Row],[ppn_z]],tbl_Historique_Final[[#This Row],[date_modif]])=Final_Sans_VGE[[#This Row],[date_modif]],
      "Ancien",
      "Modifié"),
   "Nouveau")),"")</f>
        <v/>
      </c>
    </row>
    <row r="3614" spans="24:30" x14ac:dyDescent="0.25">
      <c r="X3614" s="8" t="e">
        <f>IF(Final_Sans_VGE[[#This Row],[ppn_z]]="","",IFERROR(
   IF(_xlfn.XLOOKUP(Final_Sans_VGE[[#This Row],[ppn_z]],tbl_Historique_Final[ppn_z],tbl_Historique_Final[date_modif])=Final_Sans_VGE[[#This Row],[date_modif]],
      "Ancien",
      "Modifié"),
   "Nouveau"))</f>
        <v>#VALUE!</v>
      </c>
      <c r="AD3614" s="1" t="str">
        <f>IFERROR(IF(Final_Sans_VGE[[#This Row],[ppn_z]]="","",IFERROR(
   IF(_xlfn.XLOOKUP(Final_Sans_VGE[[#This Row],[ppn_z]],tbl_Historique_Final[[#This Row],[ppn_z]],tbl_Historique_Final[[#This Row],[date_modif]])=Final_Sans_VGE[[#This Row],[date_modif]],
      "Ancien",
      "Modifié"),
   "Nouveau")),"")</f>
        <v/>
      </c>
    </row>
    <row r="3615" spans="24:30" x14ac:dyDescent="0.25">
      <c r="X3615" s="8" t="e">
        <f>IF(Final_Sans_VGE[[#This Row],[ppn_z]]="","",IFERROR(
   IF(_xlfn.XLOOKUP(Final_Sans_VGE[[#This Row],[ppn_z]],tbl_Historique_Final[ppn_z],tbl_Historique_Final[date_modif])=Final_Sans_VGE[[#This Row],[date_modif]],
      "Ancien",
      "Modifié"),
   "Nouveau"))</f>
        <v>#VALUE!</v>
      </c>
      <c r="AD3615" s="1" t="str">
        <f>IFERROR(IF(Final_Sans_VGE[[#This Row],[ppn_z]]="","",IFERROR(
   IF(_xlfn.XLOOKUP(Final_Sans_VGE[[#This Row],[ppn_z]],tbl_Historique_Final[[#This Row],[ppn_z]],tbl_Historique_Final[[#This Row],[date_modif]])=Final_Sans_VGE[[#This Row],[date_modif]],
      "Ancien",
      "Modifié"),
   "Nouveau")),"")</f>
        <v/>
      </c>
    </row>
    <row r="3616" spans="24:30" x14ac:dyDescent="0.25">
      <c r="X3616" s="8" t="e">
        <f>IF(Final_Sans_VGE[[#This Row],[ppn_z]]="","",IFERROR(
   IF(_xlfn.XLOOKUP(Final_Sans_VGE[[#This Row],[ppn_z]],tbl_Historique_Final[ppn_z],tbl_Historique_Final[date_modif])=Final_Sans_VGE[[#This Row],[date_modif]],
      "Ancien",
      "Modifié"),
   "Nouveau"))</f>
        <v>#VALUE!</v>
      </c>
      <c r="AD3616" s="1" t="str">
        <f>IFERROR(IF(Final_Sans_VGE[[#This Row],[ppn_z]]="","",IFERROR(
   IF(_xlfn.XLOOKUP(Final_Sans_VGE[[#This Row],[ppn_z]],tbl_Historique_Final[[#This Row],[ppn_z]],tbl_Historique_Final[[#This Row],[date_modif]])=Final_Sans_VGE[[#This Row],[date_modif]],
      "Ancien",
      "Modifié"),
   "Nouveau")),"")</f>
        <v/>
      </c>
    </row>
    <row r="3617" spans="24:30" x14ac:dyDescent="0.25">
      <c r="X3617" s="8" t="e">
        <f>IF(Final_Sans_VGE[[#This Row],[ppn_z]]="","",IFERROR(
   IF(_xlfn.XLOOKUP(Final_Sans_VGE[[#This Row],[ppn_z]],tbl_Historique_Final[ppn_z],tbl_Historique_Final[date_modif])=Final_Sans_VGE[[#This Row],[date_modif]],
      "Ancien",
      "Modifié"),
   "Nouveau"))</f>
        <v>#VALUE!</v>
      </c>
      <c r="AD3617" s="1" t="str">
        <f>IFERROR(IF(Final_Sans_VGE[[#This Row],[ppn_z]]="","",IFERROR(
   IF(_xlfn.XLOOKUP(Final_Sans_VGE[[#This Row],[ppn_z]],tbl_Historique_Final[[#This Row],[ppn_z]],tbl_Historique_Final[[#This Row],[date_modif]])=Final_Sans_VGE[[#This Row],[date_modif]],
      "Ancien",
      "Modifié"),
   "Nouveau")),"")</f>
        <v/>
      </c>
    </row>
    <row r="3618" spans="24:30" x14ac:dyDescent="0.25">
      <c r="X3618" s="8" t="e">
        <f>IF(Final_Sans_VGE[[#This Row],[ppn_z]]="","",IFERROR(
   IF(_xlfn.XLOOKUP(Final_Sans_VGE[[#This Row],[ppn_z]],tbl_Historique_Final[ppn_z],tbl_Historique_Final[date_modif])=Final_Sans_VGE[[#This Row],[date_modif]],
      "Ancien",
      "Modifié"),
   "Nouveau"))</f>
        <v>#VALUE!</v>
      </c>
      <c r="AD3618" s="1" t="str">
        <f>IFERROR(IF(Final_Sans_VGE[[#This Row],[ppn_z]]="","",IFERROR(
   IF(_xlfn.XLOOKUP(Final_Sans_VGE[[#This Row],[ppn_z]],tbl_Historique_Final[[#This Row],[ppn_z]],tbl_Historique_Final[[#This Row],[date_modif]])=Final_Sans_VGE[[#This Row],[date_modif]],
      "Ancien",
      "Modifié"),
   "Nouveau")),"")</f>
        <v/>
      </c>
    </row>
    <row r="3619" spans="24:30" x14ac:dyDescent="0.25">
      <c r="X3619" s="8" t="e">
        <f>IF(Final_Sans_VGE[[#This Row],[ppn_z]]="","",IFERROR(
   IF(_xlfn.XLOOKUP(Final_Sans_VGE[[#This Row],[ppn_z]],tbl_Historique_Final[ppn_z],tbl_Historique_Final[date_modif])=Final_Sans_VGE[[#This Row],[date_modif]],
      "Ancien",
      "Modifié"),
   "Nouveau"))</f>
        <v>#VALUE!</v>
      </c>
      <c r="AD3619" s="1" t="str">
        <f>IFERROR(IF(Final_Sans_VGE[[#This Row],[ppn_z]]="","",IFERROR(
   IF(_xlfn.XLOOKUP(Final_Sans_VGE[[#This Row],[ppn_z]],tbl_Historique_Final[[#This Row],[ppn_z]],tbl_Historique_Final[[#This Row],[date_modif]])=Final_Sans_VGE[[#This Row],[date_modif]],
      "Ancien",
      "Modifié"),
   "Nouveau")),"")</f>
        <v/>
      </c>
    </row>
    <row r="3620" spans="24:30" x14ac:dyDescent="0.25">
      <c r="X3620" s="8" t="e">
        <f>IF(Final_Sans_VGE[[#This Row],[ppn_z]]="","",IFERROR(
   IF(_xlfn.XLOOKUP(Final_Sans_VGE[[#This Row],[ppn_z]],tbl_Historique_Final[ppn_z],tbl_Historique_Final[date_modif])=Final_Sans_VGE[[#This Row],[date_modif]],
      "Ancien",
      "Modifié"),
   "Nouveau"))</f>
        <v>#VALUE!</v>
      </c>
      <c r="AD3620" s="1" t="str">
        <f>IFERROR(IF(Final_Sans_VGE[[#This Row],[ppn_z]]="","",IFERROR(
   IF(_xlfn.XLOOKUP(Final_Sans_VGE[[#This Row],[ppn_z]],tbl_Historique_Final[[#This Row],[ppn_z]],tbl_Historique_Final[[#This Row],[date_modif]])=Final_Sans_VGE[[#This Row],[date_modif]],
      "Ancien",
      "Modifié"),
   "Nouveau")),"")</f>
        <v/>
      </c>
    </row>
    <row r="3621" spans="24:30" x14ac:dyDescent="0.25">
      <c r="X3621" s="8" t="e">
        <f>IF(Final_Sans_VGE[[#This Row],[ppn_z]]="","",IFERROR(
   IF(_xlfn.XLOOKUP(Final_Sans_VGE[[#This Row],[ppn_z]],tbl_Historique_Final[ppn_z],tbl_Historique_Final[date_modif])=Final_Sans_VGE[[#This Row],[date_modif]],
      "Ancien",
      "Modifié"),
   "Nouveau"))</f>
        <v>#VALUE!</v>
      </c>
      <c r="AD3621" s="1" t="str">
        <f>IFERROR(IF(Final_Sans_VGE[[#This Row],[ppn_z]]="","",IFERROR(
   IF(_xlfn.XLOOKUP(Final_Sans_VGE[[#This Row],[ppn_z]],tbl_Historique_Final[[#This Row],[ppn_z]],tbl_Historique_Final[[#This Row],[date_modif]])=Final_Sans_VGE[[#This Row],[date_modif]],
      "Ancien",
      "Modifié"),
   "Nouveau")),"")</f>
        <v/>
      </c>
    </row>
    <row r="3622" spans="24:30" x14ac:dyDescent="0.25">
      <c r="X3622" s="8" t="e">
        <f>IF(Final_Sans_VGE[[#This Row],[ppn_z]]="","",IFERROR(
   IF(_xlfn.XLOOKUP(Final_Sans_VGE[[#This Row],[ppn_z]],tbl_Historique_Final[ppn_z],tbl_Historique_Final[date_modif])=Final_Sans_VGE[[#This Row],[date_modif]],
      "Ancien",
      "Modifié"),
   "Nouveau"))</f>
        <v>#VALUE!</v>
      </c>
      <c r="AD3622" s="1" t="str">
        <f>IFERROR(IF(Final_Sans_VGE[[#This Row],[ppn_z]]="","",IFERROR(
   IF(_xlfn.XLOOKUP(Final_Sans_VGE[[#This Row],[ppn_z]],tbl_Historique_Final[[#This Row],[ppn_z]],tbl_Historique_Final[[#This Row],[date_modif]])=Final_Sans_VGE[[#This Row],[date_modif]],
      "Ancien",
      "Modifié"),
   "Nouveau")),"")</f>
        <v/>
      </c>
    </row>
    <row r="3623" spans="24:30" x14ac:dyDescent="0.25">
      <c r="X3623" s="8" t="e">
        <f>IF(Final_Sans_VGE[[#This Row],[ppn_z]]="","",IFERROR(
   IF(_xlfn.XLOOKUP(Final_Sans_VGE[[#This Row],[ppn_z]],tbl_Historique_Final[ppn_z],tbl_Historique_Final[date_modif])=Final_Sans_VGE[[#This Row],[date_modif]],
      "Ancien",
      "Modifié"),
   "Nouveau"))</f>
        <v>#VALUE!</v>
      </c>
      <c r="AD3623" s="1" t="str">
        <f>IFERROR(IF(Final_Sans_VGE[[#This Row],[ppn_z]]="","",IFERROR(
   IF(_xlfn.XLOOKUP(Final_Sans_VGE[[#This Row],[ppn_z]],tbl_Historique_Final[[#This Row],[ppn_z]],tbl_Historique_Final[[#This Row],[date_modif]])=Final_Sans_VGE[[#This Row],[date_modif]],
      "Ancien",
      "Modifié"),
   "Nouveau")),"")</f>
        <v/>
      </c>
    </row>
    <row r="3624" spans="24:30" x14ac:dyDescent="0.25">
      <c r="X3624" s="8" t="e">
        <f>IF(Final_Sans_VGE[[#This Row],[ppn_z]]="","",IFERROR(
   IF(_xlfn.XLOOKUP(Final_Sans_VGE[[#This Row],[ppn_z]],tbl_Historique_Final[ppn_z],tbl_Historique_Final[date_modif])=Final_Sans_VGE[[#This Row],[date_modif]],
      "Ancien",
      "Modifié"),
   "Nouveau"))</f>
        <v>#VALUE!</v>
      </c>
      <c r="AD3624" s="1" t="str">
        <f>IFERROR(IF(Final_Sans_VGE[[#This Row],[ppn_z]]="","",IFERROR(
   IF(_xlfn.XLOOKUP(Final_Sans_VGE[[#This Row],[ppn_z]],tbl_Historique_Final[[#This Row],[ppn_z]],tbl_Historique_Final[[#This Row],[date_modif]])=Final_Sans_VGE[[#This Row],[date_modif]],
      "Ancien",
      "Modifié"),
   "Nouveau")),"")</f>
        <v/>
      </c>
    </row>
    <row r="3625" spans="24:30" x14ac:dyDescent="0.25">
      <c r="X3625" s="8" t="e">
        <f>IF(Final_Sans_VGE[[#This Row],[ppn_z]]="","",IFERROR(
   IF(_xlfn.XLOOKUP(Final_Sans_VGE[[#This Row],[ppn_z]],tbl_Historique_Final[ppn_z],tbl_Historique_Final[date_modif])=Final_Sans_VGE[[#This Row],[date_modif]],
      "Ancien",
      "Modifié"),
   "Nouveau"))</f>
        <v>#VALUE!</v>
      </c>
      <c r="AD3625" s="1" t="str">
        <f>IFERROR(IF(Final_Sans_VGE[[#This Row],[ppn_z]]="","",IFERROR(
   IF(_xlfn.XLOOKUP(Final_Sans_VGE[[#This Row],[ppn_z]],tbl_Historique_Final[[#This Row],[ppn_z]],tbl_Historique_Final[[#This Row],[date_modif]])=Final_Sans_VGE[[#This Row],[date_modif]],
      "Ancien",
      "Modifié"),
   "Nouveau")),"")</f>
        <v/>
      </c>
    </row>
    <row r="3626" spans="24:30" x14ac:dyDescent="0.25">
      <c r="X3626" s="8" t="e">
        <f>IF(Final_Sans_VGE[[#This Row],[ppn_z]]="","",IFERROR(
   IF(_xlfn.XLOOKUP(Final_Sans_VGE[[#This Row],[ppn_z]],tbl_Historique_Final[ppn_z],tbl_Historique_Final[date_modif])=Final_Sans_VGE[[#This Row],[date_modif]],
      "Ancien",
      "Modifié"),
   "Nouveau"))</f>
        <v>#VALUE!</v>
      </c>
      <c r="AD3626" s="1" t="str">
        <f>IFERROR(IF(Final_Sans_VGE[[#This Row],[ppn_z]]="","",IFERROR(
   IF(_xlfn.XLOOKUP(Final_Sans_VGE[[#This Row],[ppn_z]],tbl_Historique_Final[[#This Row],[ppn_z]],tbl_Historique_Final[[#This Row],[date_modif]])=Final_Sans_VGE[[#This Row],[date_modif]],
      "Ancien",
      "Modifié"),
   "Nouveau")),"")</f>
        <v/>
      </c>
    </row>
    <row r="3627" spans="24:30" x14ac:dyDescent="0.25">
      <c r="X3627" s="8" t="e">
        <f>IF(Final_Sans_VGE[[#This Row],[ppn_z]]="","",IFERROR(
   IF(_xlfn.XLOOKUP(Final_Sans_VGE[[#This Row],[ppn_z]],tbl_Historique_Final[ppn_z],tbl_Historique_Final[date_modif])=Final_Sans_VGE[[#This Row],[date_modif]],
      "Ancien",
      "Modifié"),
   "Nouveau"))</f>
        <v>#VALUE!</v>
      </c>
      <c r="AD3627" s="1" t="str">
        <f>IFERROR(IF(Final_Sans_VGE[[#This Row],[ppn_z]]="","",IFERROR(
   IF(_xlfn.XLOOKUP(Final_Sans_VGE[[#This Row],[ppn_z]],tbl_Historique_Final[[#This Row],[ppn_z]],tbl_Historique_Final[[#This Row],[date_modif]])=Final_Sans_VGE[[#This Row],[date_modif]],
      "Ancien",
      "Modifié"),
   "Nouveau")),"")</f>
        <v/>
      </c>
    </row>
    <row r="3628" spans="24:30" x14ac:dyDescent="0.25">
      <c r="X3628" s="8" t="e">
        <f>IF(Final_Sans_VGE[[#This Row],[ppn_z]]="","",IFERROR(
   IF(_xlfn.XLOOKUP(Final_Sans_VGE[[#This Row],[ppn_z]],tbl_Historique_Final[ppn_z],tbl_Historique_Final[date_modif])=Final_Sans_VGE[[#This Row],[date_modif]],
      "Ancien",
      "Modifié"),
   "Nouveau"))</f>
        <v>#VALUE!</v>
      </c>
      <c r="AD3628" s="1" t="str">
        <f>IFERROR(IF(Final_Sans_VGE[[#This Row],[ppn_z]]="","",IFERROR(
   IF(_xlfn.XLOOKUP(Final_Sans_VGE[[#This Row],[ppn_z]],tbl_Historique_Final[[#This Row],[ppn_z]],tbl_Historique_Final[[#This Row],[date_modif]])=Final_Sans_VGE[[#This Row],[date_modif]],
      "Ancien",
      "Modifié"),
   "Nouveau")),"")</f>
        <v/>
      </c>
    </row>
    <row r="3629" spans="24:30" x14ac:dyDescent="0.25">
      <c r="X3629" s="8" t="e">
        <f>IF(Final_Sans_VGE[[#This Row],[ppn_z]]="","",IFERROR(
   IF(_xlfn.XLOOKUP(Final_Sans_VGE[[#This Row],[ppn_z]],tbl_Historique_Final[ppn_z],tbl_Historique_Final[date_modif])=Final_Sans_VGE[[#This Row],[date_modif]],
      "Ancien",
      "Modifié"),
   "Nouveau"))</f>
        <v>#VALUE!</v>
      </c>
      <c r="AD3629" s="1" t="str">
        <f>IFERROR(IF(Final_Sans_VGE[[#This Row],[ppn_z]]="","",IFERROR(
   IF(_xlfn.XLOOKUP(Final_Sans_VGE[[#This Row],[ppn_z]],tbl_Historique_Final[[#This Row],[ppn_z]],tbl_Historique_Final[[#This Row],[date_modif]])=Final_Sans_VGE[[#This Row],[date_modif]],
      "Ancien",
      "Modifié"),
   "Nouveau")),"")</f>
        <v/>
      </c>
    </row>
    <row r="3630" spans="24:30" x14ac:dyDescent="0.25">
      <c r="X3630" s="8" t="e">
        <f>IF(Final_Sans_VGE[[#This Row],[ppn_z]]="","",IFERROR(
   IF(_xlfn.XLOOKUP(Final_Sans_VGE[[#This Row],[ppn_z]],tbl_Historique_Final[ppn_z],tbl_Historique_Final[date_modif])=Final_Sans_VGE[[#This Row],[date_modif]],
      "Ancien",
      "Modifié"),
   "Nouveau"))</f>
        <v>#VALUE!</v>
      </c>
      <c r="AD3630" s="1" t="str">
        <f>IFERROR(IF(Final_Sans_VGE[[#This Row],[ppn_z]]="","",IFERROR(
   IF(_xlfn.XLOOKUP(Final_Sans_VGE[[#This Row],[ppn_z]],tbl_Historique_Final[[#This Row],[ppn_z]],tbl_Historique_Final[[#This Row],[date_modif]])=Final_Sans_VGE[[#This Row],[date_modif]],
      "Ancien",
      "Modifié"),
   "Nouveau")),"")</f>
        <v/>
      </c>
    </row>
    <row r="3631" spans="24:30" x14ac:dyDescent="0.25">
      <c r="X3631" s="8" t="e">
        <f>IF(Final_Sans_VGE[[#This Row],[ppn_z]]="","",IFERROR(
   IF(_xlfn.XLOOKUP(Final_Sans_VGE[[#This Row],[ppn_z]],tbl_Historique_Final[ppn_z],tbl_Historique_Final[date_modif])=Final_Sans_VGE[[#This Row],[date_modif]],
      "Ancien",
      "Modifié"),
   "Nouveau"))</f>
        <v>#VALUE!</v>
      </c>
      <c r="AD3631" s="1" t="str">
        <f>IFERROR(IF(Final_Sans_VGE[[#This Row],[ppn_z]]="","",IFERROR(
   IF(_xlfn.XLOOKUP(Final_Sans_VGE[[#This Row],[ppn_z]],tbl_Historique_Final[[#This Row],[ppn_z]],tbl_Historique_Final[[#This Row],[date_modif]])=Final_Sans_VGE[[#This Row],[date_modif]],
      "Ancien",
      "Modifié"),
   "Nouveau")),"")</f>
        <v/>
      </c>
    </row>
    <row r="3632" spans="24:30" x14ac:dyDescent="0.25">
      <c r="X3632" s="8" t="e">
        <f>IF(Final_Sans_VGE[[#This Row],[ppn_z]]="","",IFERROR(
   IF(_xlfn.XLOOKUP(Final_Sans_VGE[[#This Row],[ppn_z]],tbl_Historique_Final[ppn_z],tbl_Historique_Final[date_modif])=Final_Sans_VGE[[#This Row],[date_modif]],
      "Ancien",
      "Modifié"),
   "Nouveau"))</f>
        <v>#VALUE!</v>
      </c>
      <c r="AD3632" s="1" t="str">
        <f>IFERROR(IF(Final_Sans_VGE[[#This Row],[ppn_z]]="","",IFERROR(
   IF(_xlfn.XLOOKUP(Final_Sans_VGE[[#This Row],[ppn_z]],tbl_Historique_Final[[#This Row],[ppn_z]],tbl_Historique_Final[[#This Row],[date_modif]])=Final_Sans_VGE[[#This Row],[date_modif]],
      "Ancien",
      "Modifié"),
   "Nouveau")),"")</f>
        <v/>
      </c>
    </row>
    <row r="3633" spans="24:30" x14ac:dyDescent="0.25">
      <c r="X3633" s="8" t="e">
        <f>IF(Final_Sans_VGE[[#This Row],[ppn_z]]="","",IFERROR(
   IF(_xlfn.XLOOKUP(Final_Sans_VGE[[#This Row],[ppn_z]],tbl_Historique_Final[ppn_z],tbl_Historique_Final[date_modif])=Final_Sans_VGE[[#This Row],[date_modif]],
      "Ancien",
      "Modifié"),
   "Nouveau"))</f>
        <v>#VALUE!</v>
      </c>
      <c r="AD3633" s="1" t="str">
        <f>IFERROR(IF(Final_Sans_VGE[[#This Row],[ppn_z]]="","",IFERROR(
   IF(_xlfn.XLOOKUP(Final_Sans_VGE[[#This Row],[ppn_z]],tbl_Historique_Final[[#This Row],[ppn_z]],tbl_Historique_Final[[#This Row],[date_modif]])=Final_Sans_VGE[[#This Row],[date_modif]],
      "Ancien",
      "Modifié"),
   "Nouveau")),"")</f>
        <v/>
      </c>
    </row>
    <row r="3634" spans="24:30" x14ac:dyDescent="0.25">
      <c r="X3634" s="8" t="e">
        <f>IF(Final_Sans_VGE[[#This Row],[ppn_z]]="","",IFERROR(
   IF(_xlfn.XLOOKUP(Final_Sans_VGE[[#This Row],[ppn_z]],tbl_Historique_Final[ppn_z],tbl_Historique_Final[date_modif])=Final_Sans_VGE[[#This Row],[date_modif]],
      "Ancien",
      "Modifié"),
   "Nouveau"))</f>
        <v>#VALUE!</v>
      </c>
      <c r="AD3634" s="1" t="str">
        <f>IFERROR(IF(Final_Sans_VGE[[#This Row],[ppn_z]]="","",IFERROR(
   IF(_xlfn.XLOOKUP(Final_Sans_VGE[[#This Row],[ppn_z]],tbl_Historique_Final[[#This Row],[ppn_z]],tbl_Historique_Final[[#This Row],[date_modif]])=Final_Sans_VGE[[#This Row],[date_modif]],
      "Ancien",
      "Modifié"),
   "Nouveau")),"")</f>
        <v/>
      </c>
    </row>
    <row r="3635" spans="24:30" x14ac:dyDescent="0.25">
      <c r="X3635" s="8" t="e">
        <f>IF(Final_Sans_VGE[[#This Row],[ppn_z]]="","",IFERROR(
   IF(_xlfn.XLOOKUP(Final_Sans_VGE[[#This Row],[ppn_z]],tbl_Historique_Final[ppn_z],tbl_Historique_Final[date_modif])=Final_Sans_VGE[[#This Row],[date_modif]],
      "Ancien",
      "Modifié"),
   "Nouveau"))</f>
        <v>#VALUE!</v>
      </c>
      <c r="AD3635" s="1" t="str">
        <f>IFERROR(IF(Final_Sans_VGE[[#This Row],[ppn_z]]="","",IFERROR(
   IF(_xlfn.XLOOKUP(Final_Sans_VGE[[#This Row],[ppn_z]],tbl_Historique_Final[[#This Row],[ppn_z]],tbl_Historique_Final[[#This Row],[date_modif]])=Final_Sans_VGE[[#This Row],[date_modif]],
      "Ancien",
      "Modifié"),
   "Nouveau")),"")</f>
        <v/>
      </c>
    </row>
    <row r="3636" spans="24:30" x14ac:dyDescent="0.25">
      <c r="X3636" s="8" t="e">
        <f>IF(Final_Sans_VGE[[#This Row],[ppn_z]]="","",IFERROR(
   IF(_xlfn.XLOOKUP(Final_Sans_VGE[[#This Row],[ppn_z]],tbl_Historique_Final[ppn_z],tbl_Historique_Final[date_modif])=Final_Sans_VGE[[#This Row],[date_modif]],
      "Ancien",
      "Modifié"),
   "Nouveau"))</f>
        <v>#VALUE!</v>
      </c>
      <c r="AD3636" s="1" t="str">
        <f>IFERROR(IF(Final_Sans_VGE[[#This Row],[ppn_z]]="","",IFERROR(
   IF(_xlfn.XLOOKUP(Final_Sans_VGE[[#This Row],[ppn_z]],tbl_Historique_Final[[#This Row],[ppn_z]],tbl_Historique_Final[[#This Row],[date_modif]])=Final_Sans_VGE[[#This Row],[date_modif]],
      "Ancien",
      "Modifié"),
   "Nouveau")),"")</f>
        <v/>
      </c>
    </row>
    <row r="3637" spans="24:30" x14ac:dyDescent="0.25">
      <c r="X3637" s="8" t="e">
        <f>IF(Final_Sans_VGE[[#This Row],[ppn_z]]="","",IFERROR(
   IF(_xlfn.XLOOKUP(Final_Sans_VGE[[#This Row],[ppn_z]],tbl_Historique_Final[ppn_z],tbl_Historique_Final[date_modif])=Final_Sans_VGE[[#This Row],[date_modif]],
      "Ancien",
      "Modifié"),
   "Nouveau"))</f>
        <v>#VALUE!</v>
      </c>
      <c r="AD3637" s="1" t="str">
        <f>IFERROR(IF(Final_Sans_VGE[[#This Row],[ppn_z]]="","",IFERROR(
   IF(_xlfn.XLOOKUP(Final_Sans_VGE[[#This Row],[ppn_z]],tbl_Historique_Final[[#This Row],[ppn_z]],tbl_Historique_Final[[#This Row],[date_modif]])=Final_Sans_VGE[[#This Row],[date_modif]],
      "Ancien",
      "Modifié"),
   "Nouveau")),"")</f>
        <v/>
      </c>
    </row>
    <row r="3638" spans="24:30" x14ac:dyDescent="0.25">
      <c r="X3638" s="8" t="e">
        <f>IF(Final_Sans_VGE[[#This Row],[ppn_z]]="","",IFERROR(
   IF(_xlfn.XLOOKUP(Final_Sans_VGE[[#This Row],[ppn_z]],tbl_Historique_Final[ppn_z],tbl_Historique_Final[date_modif])=Final_Sans_VGE[[#This Row],[date_modif]],
      "Ancien",
      "Modifié"),
   "Nouveau"))</f>
        <v>#VALUE!</v>
      </c>
      <c r="AD3638" s="1" t="str">
        <f>IFERROR(IF(Final_Sans_VGE[[#This Row],[ppn_z]]="","",IFERROR(
   IF(_xlfn.XLOOKUP(Final_Sans_VGE[[#This Row],[ppn_z]],tbl_Historique_Final[[#This Row],[ppn_z]],tbl_Historique_Final[[#This Row],[date_modif]])=Final_Sans_VGE[[#This Row],[date_modif]],
      "Ancien",
      "Modifié"),
   "Nouveau")),"")</f>
        <v/>
      </c>
    </row>
    <row r="3639" spans="24:30" x14ac:dyDescent="0.25">
      <c r="X3639" s="8" t="e">
        <f>IF(Final_Sans_VGE[[#This Row],[ppn_z]]="","",IFERROR(
   IF(_xlfn.XLOOKUP(Final_Sans_VGE[[#This Row],[ppn_z]],tbl_Historique_Final[ppn_z],tbl_Historique_Final[date_modif])=Final_Sans_VGE[[#This Row],[date_modif]],
      "Ancien",
      "Modifié"),
   "Nouveau"))</f>
        <v>#VALUE!</v>
      </c>
      <c r="AD3639" s="1" t="str">
        <f>IFERROR(IF(Final_Sans_VGE[[#This Row],[ppn_z]]="","",IFERROR(
   IF(_xlfn.XLOOKUP(Final_Sans_VGE[[#This Row],[ppn_z]],tbl_Historique_Final[[#This Row],[ppn_z]],tbl_Historique_Final[[#This Row],[date_modif]])=Final_Sans_VGE[[#This Row],[date_modif]],
      "Ancien",
      "Modifié"),
   "Nouveau")),"")</f>
        <v/>
      </c>
    </row>
    <row r="3640" spans="24:30" x14ac:dyDescent="0.25">
      <c r="X3640" s="8" t="e">
        <f>IF(Final_Sans_VGE[[#This Row],[ppn_z]]="","",IFERROR(
   IF(_xlfn.XLOOKUP(Final_Sans_VGE[[#This Row],[ppn_z]],tbl_Historique_Final[ppn_z],tbl_Historique_Final[date_modif])=Final_Sans_VGE[[#This Row],[date_modif]],
      "Ancien",
      "Modifié"),
   "Nouveau"))</f>
        <v>#VALUE!</v>
      </c>
      <c r="AD3640" s="1" t="str">
        <f>IFERROR(IF(Final_Sans_VGE[[#This Row],[ppn_z]]="","",IFERROR(
   IF(_xlfn.XLOOKUP(Final_Sans_VGE[[#This Row],[ppn_z]],tbl_Historique_Final[[#This Row],[ppn_z]],tbl_Historique_Final[[#This Row],[date_modif]])=Final_Sans_VGE[[#This Row],[date_modif]],
      "Ancien",
      "Modifié"),
   "Nouveau")),"")</f>
        <v/>
      </c>
    </row>
    <row r="3641" spans="24:30" x14ac:dyDescent="0.25">
      <c r="X3641" s="8" t="e">
        <f>IF(Final_Sans_VGE[[#This Row],[ppn_z]]="","",IFERROR(
   IF(_xlfn.XLOOKUP(Final_Sans_VGE[[#This Row],[ppn_z]],tbl_Historique_Final[ppn_z],tbl_Historique_Final[date_modif])=Final_Sans_VGE[[#This Row],[date_modif]],
      "Ancien",
      "Modifié"),
   "Nouveau"))</f>
        <v>#VALUE!</v>
      </c>
      <c r="AD3641" s="1" t="str">
        <f>IFERROR(IF(Final_Sans_VGE[[#This Row],[ppn_z]]="","",IFERROR(
   IF(_xlfn.XLOOKUP(Final_Sans_VGE[[#This Row],[ppn_z]],tbl_Historique_Final[[#This Row],[ppn_z]],tbl_Historique_Final[[#This Row],[date_modif]])=Final_Sans_VGE[[#This Row],[date_modif]],
      "Ancien",
      "Modifié"),
   "Nouveau")),"")</f>
        <v/>
      </c>
    </row>
    <row r="3642" spans="24:30" x14ac:dyDescent="0.25">
      <c r="X3642" s="8" t="e">
        <f>IF(Final_Sans_VGE[[#This Row],[ppn_z]]="","",IFERROR(
   IF(_xlfn.XLOOKUP(Final_Sans_VGE[[#This Row],[ppn_z]],tbl_Historique_Final[ppn_z],tbl_Historique_Final[date_modif])=Final_Sans_VGE[[#This Row],[date_modif]],
      "Ancien",
      "Modifié"),
   "Nouveau"))</f>
        <v>#VALUE!</v>
      </c>
      <c r="AD3642" s="1" t="str">
        <f>IFERROR(IF(Final_Sans_VGE[[#This Row],[ppn_z]]="","",IFERROR(
   IF(_xlfn.XLOOKUP(Final_Sans_VGE[[#This Row],[ppn_z]],tbl_Historique_Final[[#This Row],[ppn_z]],tbl_Historique_Final[[#This Row],[date_modif]])=Final_Sans_VGE[[#This Row],[date_modif]],
      "Ancien",
      "Modifié"),
   "Nouveau")),"")</f>
        <v/>
      </c>
    </row>
    <row r="3643" spans="24:30" x14ac:dyDescent="0.25">
      <c r="X3643" s="8" t="e">
        <f>IF(Final_Sans_VGE[[#This Row],[ppn_z]]="","",IFERROR(
   IF(_xlfn.XLOOKUP(Final_Sans_VGE[[#This Row],[ppn_z]],tbl_Historique_Final[ppn_z],tbl_Historique_Final[date_modif])=Final_Sans_VGE[[#This Row],[date_modif]],
      "Ancien",
      "Modifié"),
   "Nouveau"))</f>
        <v>#VALUE!</v>
      </c>
      <c r="AD3643" s="1" t="str">
        <f>IFERROR(IF(Final_Sans_VGE[[#This Row],[ppn_z]]="","",IFERROR(
   IF(_xlfn.XLOOKUP(Final_Sans_VGE[[#This Row],[ppn_z]],tbl_Historique_Final[[#This Row],[ppn_z]],tbl_Historique_Final[[#This Row],[date_modif]])=Final_Sans_VGE[[#This Row],[date_modif]],
      "Ancien",
      "Modifié"),
   "Nouveau")),"")</f>
        <v/>
      </c>
    </row>
    <row r="3644" spans="24:30" x14ac:dyDescent="0.25">
      <c r="X3644" s="8" t="e">
        <f>IF(Final_Sans_VGE[[#This Row],[ppn_z]]="","",IFERROR(
   IF(_xlfn.XLOOKUP(Final_Sans_VGE[[#This Row],[ppn_z]],tbl_Historique_Final[ppn_z],tbl_Historique_Final[date_modif])=Final_Sans_VGE[[#This Row],[date_modif]],
      "Ancien",
      "Modifié"),
   "Nouveau"))</f>
        <v>#VALUE!</v>
      </c>
      <c r="AD3644" s="1" t="str">
        <f>IFERROR(IF(Final_Sans_VGE[[#This Row],[ppn_z]]="","",IFERROR(
   IF(_xlfn.XLOOKUP(Final_Sans_VGE[[#This Row],[ppn_z]],tbl_Historique_Final[[#This Row],[ppn_z]],tbl_Historique_Final[[#This Row],[date_modif]])=Final_Sans_VGE[[#This Row],[date_modif]],
      "Ancien",
      "Modifié"),
   "Nouveau")),"")</f>
        <v/>
      </c>
    </row>
    <row r="3645" spans="24:30" x14ac:dyDescent="0.25">
      <c r="X3645" s="8" t="e">
        <f>IF(Final_Sans_VGE[[#This Row],[ppn_z]]="","",IFERROR(
   IF(_xlfn.XLOOKUP(Final_Sans_VGE[[#This Row],[ppn_z]],tbl_Historique_Final[ppn_z],tbl_Historique_Final[date_modif])=Final_Sans_VGE[[#This Row],[date_modif]],
      "Ancien",
      "Modifié"),
   "Nouveau"))</f>
        <v>#VALUE!</v>
      </c>
      <c r="AD3645" s="1" t="str">
        <f>IFERROR(IF(Final_Sans_VGE[[#This Row],[ppn_z]]="","",IFERROR(
   IF(_xlfn.XLOOKUP(Final_Sans_VGE[[#This Row],[ppn_z]],tbl_Historique_Final[[#This Row],[ppn_z]],tbl_Historique_Final[[#This Row],[date_modif]])=Final_Sans_VGE[[#This Row],[date_modif]],
      "Ancien",
      "Modifié"),
   "Nouveau")),"")</f>
        <v/>
      </c>
    </row>
    <row r="3646" spans="24:30" x14ac:dyDescent="0.25">
      <c r="X3646" s="8" t="e">
        <f>IF(Final_Sans_VGE[[#This Row],[ppn_z]]="","",IFERROR(
   IF(_xlfn.XLOOKUP(Final_Sans_VGE[[#This Row],[ppn_z]],tbl_Historique_Final[ppn_z],tbl_Historique_Final[date_modif])=Final_Sans_VGE[[#This Row],[date_modif]],
      "Ancien",
      "Modifié"),
   "Nouveau"))</f>
        <v>#VALUE!</v>
      </c>
      <c r="AD3646" s="1" t="str">
        <f>IFERROR(IF(Final_Sans_VGE[[#This Row],[ppn_z]]="","",IFERROR(
   IF(_xlfn.XLOOKUP(Final_Sans_VGE[[#This Row],[ppn_z]],tbl_Historique_Final[[#This Row],[ppn_z]],tbl_Historique_Final[[#This Row],[date_modif]])=Final_Sans_VGE[[#This Row],[date_modif]],
      "Ancien",
      "Modifié"),
   "Nouveau")),"")</f>
        <v/>
      </c>
    </row>
    <row r="3647" spans="24:30" x14ac:dyDescent="0.25">
      <c r="X3647" s="8" t="e">
        <f>IF(Final_Sans_VGE[[#This Row],[ppn_z]]="","",IFERROR(
   IF(_xlfn.XLOOKUP(Final_Sans_VGE[[#This Row],[ppn_z]],tbl_Historique_Final[ppn_z],tbl_Historique_Final[date_modif])=Final_Sans_VGE[[#This Row],[date_modif]],
      "Ancien",
      "Modifié"),
   "Nouveau"))</f>
        <v>#VALUE!</v>
      </c>
      <c r="AD3647" s="1" t="str">
        <f>IFERROR(IF(Final_Sans_VGE[[#This Row],[ppn_z]]="","",IFERROR(
   IF(_xlfn.XLOOKUP(Final_Sans_VGE[[#This Row],[ppn_z]],tbl_Historique_Final[[#This Row],[ppn_z]],tbl_Historique_Final[[#This Row],[date_modif]])=Final_Sans_VGE[[#This Row],[date_modif]],
      "Ancien",
      "Modifié"),
   "Nouveau")),"")</f>
        <v/>
      </c>
    </row>
    <row r="3648" spans="24:30" x14ac:dyDescent="0.25">
      <c r="X3648" s="8" t="e">
        <f>IF(Final_Sans_VGE[[#This Row],[ppn_z]]="","",IFERROR(
   IF(_xlfn.XLOOKUP(Final_Sans_VGE[[#This Row],[ppn_z]],tbl_Historique_Final[ppn_z],tbl_Historique_Final[date_modif])=Final_Sans_VGE[[#This Row],[date_modif]],
      "Ancien",
      "Modifié"),
   "Nouveau"))</f>
        <v>#VALUE!</v>
      </c>
      <c r="AD3648" s="1" t="str">
        <f>IFERROR(IF(Final_Sans_VGE[[#This Row],[ppn_z]]="","",IFERROR(
   IF(_xlfn.XLOOKUP(Final_Sans_VGE[[#This Row],[ppn_z]],tbl_Historique_Final[[#This Row],[ppn_z]],tbl_Historique_Final[[#This Row],[date_modif]])=Final_Sans_VGE[[#This Row],[date_modif]],
      "Ancien",
      "Modifié"),
   "Nouveau")),"")</f>
        <v/>
      </c>
    </row>
    <row r="3649" spans="24:30" x14ac:dyDescent="0.25">
      <c r="X3649" s="8" t="e">
        <f>IF(Final_Sans_VGE[[#This Row],[ppn_z]]="","",IFERROR(
   IF(_xlfn.XLOOKUP(Final_Sans_VGE[[#This Row],[ppn_z]],tbl_Historique_Final[ppn_z],tbl_Historique_Final[date_modif])=Final_Sans_VGE[[#This Row],[date_modif]],
      "Ancien",
      "Modifié"),
   "Nouveau"))</f>
        <v>#VALUE!</v>
      </c>
      <c r="AD3649" s="1" t="str">
        <f>IFERROR(IF(Final_Sans_VGE[[#This Row],[ppn_z]]="","",IFERROR(
   IF(_xlfn.XLOOKUP(Final_Sans_VGE[[#This Row],[ppn_z]],tbl_Historique_Final[[#This Row],[ppn_z]],tbl_Historique_Final[[#This Row],[date_modif]])=Final_Sans_VGE[[#This Row],[date_modif]],
      "Ancien",
      "Modifié"),
   "Nouveau")),"")</f>
        <v/>
      </c>
    </row>
    <row r="3650" spans="24:30" x14ac:dyDescent="0.25">
      <c r="X3650" s="8" t="e">
        <f>IF(Final_Sans_VGE[[#This Row],[ppn_z]]="","",IFERROR(
   IF(_xlfn.XLOOKUP(Final_Sans_VGE[[#This Row],[ppn_z]],tbl_Historique_Final[ppn_z],tbl_Historique_Final[date_modif])=Final_Sans_VGE[[#This Row],[date_modif]],
      "Ancien",
      "Modifié"),
   "Nouveau"))</f>
        <v>#VALUE!</v>
      </c>
      <c r="AD3650" s="1" t="str">
        <f>IFERROR(IF(Final_Sans_VGE[[#This Row],[ppn_z]]="","",IFERROR(
   IF(_xlfn.XLOOKUP(Final_Sans_VGE[[#This Row],[ppn_z]],tbl_Historique_Final[[#This Row],[ppn_z]],tbl_Historique_Final[[#This Row],[date_modif]])=Final_Sans_VGE[[#This Row],[date_modif]],
      "Ancien",
      "Modifié"),
   "Nouveau")),"")</f>
        <v/>
      </c>
    </row>
    <row r="3651" spans="24:30" x14ac:dyDescent="0.25">
      <c r="X3651" s="8" t="e">
        <f>IF(Final_Sans_VGE[[#This Row],[ppn_z]]="","",IFERROR(
   IF(_xlfn.XLOOKUP(Final_Sans_VGE[[#This Row],[ppn_z]],tbl_Historique_Final[ppn_z],tbl_Historique_Final[date_modif])=Final_Sans_VGE[[#This Row],[date_modif]],
      "Ancien",
      "Modifié"),
   "Nouveau"))</f>
        <v>#VALUE!</v>
      </c>
      <c r="AD3651" s="1" t="str">
        <f>IFERROR(IF(Final_Sans_VGE[[#This Row],[ppn_z]]="","",IFERROR(
   IF(_xlfn.XLOOKUP(Final_Sans_VGE[[#This Row],[ppn_z]],tbl_Historique_Final[[#This Row],[ppn_z]],tbl_Historique_Final[[#This Row],[date_modif]])=Final_Sans_VGE[[#This Row],[date_modif]],
      "Ancien",
      "Modifié"),
   "Nouveau")),"")</f>
        <v/>
      </c>
    </row>
    <row r="3652" spans="24:30" x14ac:dyDescent="0.25">
      <c r="X3652" s="8" t="e">
        <f>IF(Final_Sans_VGE[[#This Row],[ppn_z]]="","",IFERROR(
   IF(_xlfn.XLOOKUP(Final_Sans_VGE[[#This Row],[ppn_z]],tbl_Historique_Final[ppn_z],tbl_Historique_Final[date_modif])=Final_Sans_VGE[[#This Row],[date_modif]],
      "Ancien",
      "Modifié"),
   "Nouveau"))</f>
        <v>#VALUE!</v>
      </c>
      <c r="AD3652" s="1" t="str">
        <f>IFERROR(IF(Final_Sans_VGE[[#This Row],[ppn_z]]="","",IFERROR(
   IF(_xlfn.XLOOKUP(Final_Sans_VGE[[#This Row],[ppn_z]],tbl_Historique_Final[[#This Row],[ppn_z]],tbl_Historique_Final[[#This Row],[date_modif]])=Final_Sans_VGE[[#This Row],[date_modif]],
      "Ancien",
      "Modifié"),
   "Nouveau")),"")</f>
        <v/>
      </c>
    </row>
    <row r="3653" spans="24:30" x14ac:dyDescent="0.25">
      <c r="X3653" s="8" t="e">
        <f>IF(Final_Sans_VGE[[#This Row],[ppn_z]]="","",IFERROR(
   IF(_xlfn.XLOOKUP(Final_Sans_VGE[[#This Row],[ppn_z]],tbl_Historique_Final[ppn_z],tbl_Historique_Final[date_modif])=Final_Sans_VGE[[#This Row],[date_modif]],
      "Ancien",
      "Modifié"),
   "Nouveau"))</f>
        <v>#VALUE!</v>
      </c>
      <c r="AD3653" s="1" t="str">
        <f>IFERROR(IF(Final_Sans_VGE[[#This Row],[ppn_z]]="","",IFERROR(
   IF(_xlfn.XLOOKUP(Final_Sans_VGE[[#This Row],[ppn_z]],tbl_Historique_Final[[#This Row],[ppn_z]],tbl_Historique_Final[[#This Row],[date_modif]])=Final_Sans_VGE[[#This Row],[date_modif]],
      "Ancien",
      "Modifié"),
   "Nouveau")),"")</f>
        <v/>
      </c>
    </row>
    <row r="3654" spans="24:30" x14ac:dyDescent="0.25">
      <c r="X3654" s="8" t="e">
        <f>IF(Final_Sans_VGE[[#This Row],[ppn_z]]="","",IFERROR(
   IF(_xlfn.XLOOKUP(Final_Sans_VGE[[#This Row],[ppn_z]],tbl_Historique_Final[ppn_z],tbl_Historique_Final[date_modif])=Final_Sans_VGE[[#This Row],[date_modif]],
      "Ancien",
      "Modifié"),
   "Nouveau"))</f>
        <v>#VALUE!</v>
      </c>
      <c r="AD3654" s="1" t="str">
        <f>IFERROR(IF(Final_Sans_VGE[[#This Row],[ppn_z]]="","",IFERROR(
   IF(_xlfn.XLOOKUP(Final_Sans_VGE[[#This Row],[ppn_z]],tbl_Historique_Final[[#This Row],[ppn_z]],tbl_Historique_Final[[#This Row],[date_modif]])=Final_Sans_VGE[[#This Row],[date_modif]],
      "Ancien",
      "Modifié"),
   "Nouveau")),"")</f>
        <v/>
      </c>
    </row>
    <row r="3655" spans="24:30" x14ac:dyDescent="0.25">
      <c r="X3655" s="8" t="e">
        <f>IF(Final_Sans_VGE[[#This Row],[ppn_z]]="","",IFERROR(
   IF(_xlfn.XLOOKUP(Final_Sans_VGE[[#This Row],[ppn_z]],tbl_Historique_Final[ppn_z],tbl_Historique_Final[date_modif])=Final_Sans_VGE[[#This Row],[date_modif]],
      "Ancien",
      "Modifié"),
   "Nouveau"))</f>
        <v>#VALUE!</v>
      </c>
      <c r="AD3655" s="1" t="str">
        <f>IFERROR(IF(Final_Sans_VGE[[#This Row],[ppn_z]]="","",IFERROR(
   IF(_xlfn.XLOOKUP(Final_Sans_VGE[[#This Row],[ppn_z]],tbl_Historique_Final[[#This Row],[ppn_z]],tbl_Historique_Final[[#This Row],[date_modif]])=Final_Sans_VGE[[#This Row],[date_modif]],
      "Ancien",
      "Modifié"),
   "Nouveau")),"")</f>
        <v/>
      </c>
    </row>
    <row r="3656" spans="24:30" x14ac:dyDescent="0.25">
      <c r="X3656" s="8" t="e">
        <f>IF(Final_Sans_VGE[[#This Row],[ppn_z]]="","",IFERROR(
   IF(_xlfn.XLOOKUP(Final_Sans_VGE[[#This Row],[ppn_z]],tbl_Historique_Final[ppn_z],tbl_Historique_Final[date_modif])=Final_Sans_VGE[[#This Row],[date_modif]],
      "Ancien",
      "Modifié"),
   "Nouveau"))</f>
        <v>#VALUE!</v>
      </c>
      <c r="AD3656" s="1" t="str">
        <f>IFERROR(IF(Final_Sans_VGE[[#This Row],[ppn_z]]="","",IFERROR(
   IF(_xlfn.XLOOKUP(Final_Sans_VGE[[#This Row],[ppn_z]],tbl_Historique_Final[[#This Row],[ppn_z]],tbl_Historique_Final[[#This Row],[date_modif]])=Final_Sans_VGE[[#This Row],[date_modif]],
      "Ancien",
      "Modifié"),
   "Nouveau")),"")</f>
        <v/>
      </c>
    </row>
    <row r="3657" spans="24:30" x14ac:dyDescent="0.25">
      <c r="X3657" s="8" t="e">
        <f>IF(Final_Sans_VGE[[#This Row],[ppn_z]]="","",IFERROR(
   IF(_xlfn.XLOOKUP(Final_Sans_VGE[[#This Row],[ppn_z]],tbl_Historique_Final[ppn_z],tbl_Historique_Final[date_modif])=Final_Sans_VGE[[#This Row],[date_modif]],
      "Ancien",
      "Modifié"),
   "Nouveau"))</f>
        <v>#VALUE!</v>
      </c>
      <c r="AD3657" s="1" t="str">
        <f>IFERROR(IF(Final_Sans_VGE[[#This Row],[ppn_z]]="","",IFERROR(
   IF(_xlfn.XLOOKUP(Final_Sans_VGE[[#This Row],[ppn_z]],tbl_Historique_Final[[#This Row],[ppn_z]],tbl_Historique_Final[[#This Row],[date_modif]])=Final_Sans_VGE[[#This Row],[date_modif]],
      "Ancien",
      "Modifié"),
   "Nouveau")),"")</f>
        <v/>
      </c>
    </row>
    <row r="3658" spans="24:30" x14ac:dyDescent="0.25">
      <c r="X3658" s="8" t="e">
        <f>IF(Final_Sans_VGE[[#This Row],[ppn_z]]="","",IFERROR(
   IF(_xlfn.XLOOKUP(Final_Sans_VGE[[#This Row],[ppn_z]],tbl_Historique_Final[ppn_z],tbl_Historique_Final[date_modif])=Final_Sans_VGE[[#This Row],[date_modif]],
      "Ancien",
      "Modifié"),
   "Nouveau"))</f>
        <v>#VALUE!</v>
      </c>
      <c r="AD3658" s="1" t="str">
        <f>IFERROR(IF(Final_Sans_VGE[[#This Row],[ppn_z]]="","",IFERROR(
   IF(_xlfn.XLOOKUP(Final_Sans_VGE[[#This Row],[ppn_z]],tbl_Historique_Final[[#This Row],[ppn_z]],tbl_Historique_Final[[#This Row],[date_modif]])=Final_Sans_VGE[[#This Row],[date_modif]],
      "Ancien",
      "Modifié"),
   "Nouveau")),"")</f>
        <v/>
      </c>
    </row>
    <row r="3659" spans="24:30" x14ac:dyDescent="0.25">
      <c r="X3659" s="8" t="e">
        <f>IF(Final_Sans_VGE[[#This Row],[ppn_z]]="","",IFERROR(
   IF(_xlfn.XLOOKUP(Final_Sans_VGE[[#This Row],[ppn_z]],tbl_Historique_Final[ppn_z],tbl_Historique_Final[date_modif])=Final_Sans_VGE[[#This Row],[date_modif]],
      "Ancien",
      "Modifié"),
   "Nouveau"))</f>
        <v>#VALUE!</v>
      </c>
      <c r="AD3659" s="1" t="str">
        <f>IFERROR(IF(Final_Sans_VGE[[#This Row],[ppn_z]]="","",IFERROR(
   IF(_xlfn.XLOOKUP(Final_Sans_VGE[[#This Row],[ppn_z]],tbl_Historique_Final[[#This Row],[ppn_z]],tbl_Historique_Final[[#This Row],[date_modif]])=Final_Sans_VGE[[#This Row],[date_modif]],
      "Ancien",
      "Modifié"),
   "Nouveau")),"")</f>
        <v/>
      </c>
    </row>
    <row r="3660" spans="24:30" x14ac:dyDescent="0.25">
      <c r="X3660" s="8" t="e">
        <f>IF(Final_Sans_VGE[[#This Row],[ppn_z]]="","",IFERROR(
   IF(_xlfn.XLOOKUP(Final_Sans_VGE[[#This Row],[ppn_z]],tbl_Historique_Final[ppn_z],tbl_Historique_Final[date_modif])=Final_Sans_VGE[[#This Row],[date_modif]],
      "Ancien",
      "Modifié"),
   "Nouveau"))</f>
        <v>#VALUE!</v>
      </c>
      <c r="AD3660" s="1" t="str">
        <f>IFERROR(IF(Final_Sans_VGE[[#This Row],[ppn_z]]="","",IFERROR(
   IF(_xlfn.XLOOKUP(Final_Sans_VGE[[#This Row],[ppn_z]],tbl_Historique_Final[[#This Row],[ppn_z]],tbl_Historique_Final[[#This Row],[date_modif]])=Final_Sans_VGE[[#This Row],[date_modif]],
      "Ancien",
      "Modifié"),
   "Nouveau")),"")</f>
        <v/>
      </c>
    </row>
    <row r="3661" spans="24:30" x14ac:dyDescent="0.25">
      <c r="X3661" s="8" t="e">
        <f>IF(Final_Sans_VGE[[#This Row],[ppn_z]]="","",IFERROR(
   IF(_xlfn.XLOOKUP(Final_Sans_VGE[[#This Row],[ppn_z]],tbl_Historique_Final[ppn_z],tbl_Historique_Final[date_modif])=Final_Sans_VGE[[#This Row],[date_modif]],
      "Ancien",
      "Modifié"),
   "Nouveau"))</f>
        <v>#VALUE!</v>
      </c>
      <c r="AD3661" s="1" t="str">
        <f>IFERROR(IF(Final_Sans_VGE[[#This Row],[ppn_z]]="","",IFERROR(
   IF(_xlfn.XLOOKUP(Final_Sans_VGE[[#This Row],[ppn_z]],tbl_Historique_Final[[#This Row],[ppn_z]],tbl_Historique_Final[[#This Row],[date_modif]])=Final_Sans_VGE[[#This Row],[date_modif]],
      "Ancien",
      "Modifié"),
   "Nouveau")),"")</f>
        <v/>
      </c>
    </row>
    <row r="3662" spans="24:30" x14ac:dyDescent="0.25">
      <c r="X3662" s="8" t="e">
        <f>IF(Final_Sans_VGE[[#This Row],[ppn_z]]="","",IFERROR(
   IF(_xlfn.XLOOKUP(Final_Sans_VGE[[#This Row],[ppn_z]],tbl_Historique_Final[ppn_z],tbl_Historique_Final[date_modif])=Final_Sans_VGE[[#This Row],[date_modif]],
      "Ancien",
      "Modifié"),
   "Nouveau"))</f>
        <v>#VALUE!</v>
      </c>
      <c r="AD3662" s="1" t="str">
        <f>IFERROR(IF(Final_Sans_VGE[[#This Row],[ppn_z]]="","",IFERROR(
   IF(_xlfn.XLOOKUP(Final_Sans_VGE[[#This Row],[ppn_z]],tbl_Historique_Final[[#This Row],[ppn_z]],tbl_Historique_Final[[#This Row],[date_modif]])=Final_Sans_VGE[[#This Row],[date_modif]],
      "Ancien",
      "Modifié"),
   "Nouveau")),"")</f>
        <v/>
      </c>
    </row>
    <row r="3663" spans="24:30" x14ac:dyDescent="0.25">
      <c r="X3663" s="8" t="e">
        <f>IF(Final_Sans_VGE[[#This Row],[ppn_z]]="","",IFERROR(
   IF(_xlfn.XLOOKUP(Final_Sans_VGE[[#This Row],[ppn_z]],tbl_Historique_Final[ppn_z],tbl_Historique_Final[date_modif])=Final_Sans_VGE[[#This Row],[date_modif]],
      "Ancien",
      "Modifié"),
   "Nouveau"))</f>
        <v>#VALUE!</v>
      </c>
      <c r="AD3663" s="1" t="str">
        <f>IFERROR(IF(Final_Sans_VGE[[#This Row],[ppn_z]]="","",IFERROR(
   IF(_xlfn.XLOOKUP(Final_Sans_VGE[[#This Row],[ppn_z]],tbl_Historique_Final[[#This Row],[ppn_z]],tbl_Historique_Final[[#This Row],[date_modif]])=Final_Sans_VGE[[#This Row],[date_modif]],
      "Ancien",
      "Modifié"),
   "Nouveau")),"")</f>
        <v/>
      </c>
    </row>
    <row r="3664" spans="24:30" x14ac:dyDescent="0.25">
      <c r="X3664" s="8" t="e">
        <f>IF(Final_Sans_VGE[[#This Row],[ppn_z]]="","",IFERROR(
   IF(_xlfn.XLOOKUP(Final_Sans_VGE[[#This Row],[ppn_z]],tbl_Historique_Final[ppn_z],tbl_Historique_Final[date_modif])=Final_Sans_VGE[[#This Row],[date_modif]],
      "Ancien",
      "Modifié"),
   "Nouveau"))</f>
        <v>#VALUE!</v>
      </c>
      <c r="AD3664" s="1" t="str">
        <f>IFERROR(IF(Final_Sans_VGE[[#This Row],[ppn_z]]="","",IFERROR(
   IF(_xlfn.XLOOKUP(Final_Sans_VGE[[#This Row],[ppn_z]],tbl_Historique_Final[[#This Row],[ppn_z]],tbl_Historique_Final[[#This Row],[date_modif]])=Final_Sans_VGE[[#This Row],[date_modif]],
      "Ancien",
      "Modifié"),
   "Nouveau")),"")</f>
        <v/>
      </c>
    </row>
    <row r="3665" spans="24:30" x14ac:dyDescent="0.25">
      <c r="X3665" s="8" t="e">
        <f>IF(Final_Sans_VGE[[#This Row],[ppn_z]]="","",IFERROR(
   IF(_xlfn.XLOOKUP(Final_Sans_VGE[[#This Row],[ppn_z]],tbl_Historique_Final[ppn_z],tbl_Historique_Final[date_modif])=Final_Sans_VGE[[#This Row],[date_modif]],
      "Ancien",
      "Modifié"),
   "Nouveau"))</f>
        <v>#VALUE!</v>
      </c>
      <c r="AD3665" s="1" t="str">
        <f>IFERROR(IF(Final_Sans_VGE[[#This Row],[ppn_z]]="","",IFERROR(
   IF(_xlfn.XLOOKUP(Final_Sans_VGE[[#This Row],[ppn_z]],tbl_Historique_Final[[#This Row],[ppn_z]],tbl_Historique_Final[[#This Row],[date_modif]])=Final_Sans_VGE[[#This Row],[date_modif]],
      "Ancien",
      "Modifié"),
   "Nouveau")),"")</f>
        <v/>
      </c>
    </row>
    <row r="3666" spans="24:30" x14ac:dyDescent="0.25">
      <c r="X3666" s="8" t="e">
        <f>IF(Final_Sans_VGE[[#This Row],[ppn_z]]="","",IFERROR(
   IF(_xlfn.XLOOKUP(Final_Sans_VGE[[#This Row],[ppn_z]],tbl_Historique_Final[ppn_z],tbl_Historique_Final[date_modif])=Final_Sans_VGE[[#This Row],[date_modif]],
      "Ancien",
      "Modifié"),
   "Nouveau"))</f>
        <v>#VALUE!</v>
      </c>
      <c r="AD3666" s="1" t="str">
        <f>IFERROR(IF(Final_Sans_VGE[[#This Row],[ppn_z]]="","",IFERROR(
   IF(_xlfn.XLOOKUP(Final_Sans_VGE[[#This Row],[ppn_z]],tbl_Historique_Final[[#This Row],[ppn_z]],tbl_Historique_Final[[#This Row],[date_modif]])=Final_Sans_VGE[[#This Row],[date_modif]],
      "Ancien",
      "Modifié"),
   "Nouveau")),"")</f>
        <v/>
      </c>
    </row>
    <row r="3667" spans="24:30" x14ac:dyDescent="0.25">
      <c r="X3667" s="8" t="e">
        <f>IF(Final_Sans_VGE[[#This Row],[ppn_z]]="","",IFERROR(
   IF(_xlfn.XLOOKUP(Final_Sans_VGE[[#This Row],[ppn_z]],tbl_Historique_Final[ppn_z],tbl_Historique_Final[date_modif])=Final_Sans_VGE[[#This Row],[date_modif]],
      "Ancien",
      "Modifié"),
   "Nouveau"))</f>
        <v>#VALUE!</v>
      </c>
      <c r="AD3667" s="1" t="str">
        <f>IFERROR(IF(Final_Sans_VGE[[#This Row],[ppn_z]]="","",IFERROR(
   IF(_xlfn.XLOOKUP(Final_Sans_VGE[[#This Row],[ppn_z]],tbl_Historique_Final[[#This Row],[ppn_z]],tbl_Historique_Final[[#This Row],[date_modif]])=Final_Sans_VGE[[#This Row],[date_modif]],
      "Ancien",
      "Modifié"),
   "Nouveau")),"")</f>
        <v/>
      </c>
    </row>
    <row r="3668" spans="24:30" x14ac:dyDescent="0.25">
      <c r="X3668" s="8" t="e">
        <f>IF(Final_Sans_VGE[[#This Row],[ppn_z]]="","",IFERROR(
   IF(_xlfn.XLOOKUP(Final_Sans_VGE[[#This Row],[ppn_z]],tbl_Historique_Final[ppn_z],tbl_Historique_Final[date_modif])=Final_Sans_VGE[[#This Row],[date_modif]],
      "Ancien",
      "Modifié"),
   "Nouveau"))</f>
        <v>#VALUE!</v>
      </c>
      <c r="AD3668" s="1" t="str">
        <f>IFERROR(IF(Final_Sans_VGE[[#This Row],[ppn_z]]="","",IFERROR(
   IF(_xlfn.XLOOKUP(Final_Sans_VGE[[#This Row],[ppn_z]],tbl_Historique_Final[[#This Row],[ppn_z]],tbl_Historique_Final[[#This Row],[date_modif]])=Final_Sans_VGE[[#This Row],[date_modif]],
      "Ancien",
      "Modifié"),
   "Nouveau")),"")</f>
        <v/>
      </c>
    </row>
    <row r="3669" spans="24:30" x14ac:dyDescent="0.25">
      <c r="X3669" s="8" t="e">
        <f>IF(Final_Sans_VGE[[#This Row],[ppn_z]]="","",IFERROR(
   IF(_xlfn.XLOOKUP(Final_Sans_VGE[[#This Row],[ppn_z]],tbl_Historique_Final[ppn_z],tbl_Historique_Final[date_modif])=Final_Sans_VGE[[#This Row],[date_modif]],
      "Ancien",
      "Modifié"),
   "Nouveau"))</f>
        <v>#VALUE!</v>
      </c>
      <c r="AD3669" s="1" t="str">
        <f>IFERROR(IF(Final_Sans_VGE[[#This Row],[ppn_z]]="","",IFERROR(
   IF(_xlfn.XLOOKUP(Final_Sans_VGE[[#This Row],[ppn_z]],tbl_Historique_Final[[#This Row],[ppn_z]],tbl_Historique_Final[[#This Row],[date_modif]])=Final_Sans_VGE[[#This Row],[date_modif]],
      "Ancien",
      "Modifié"),
   "Nouveau")),"")</f>
        <v/>
      </c>
    </row>
    <row r="3670" spans="24:30" x14ac:dyDescent="0.25">
      <c r="X3670" s="8" t="e">
        <f>IF(Final_Sans_VGE[[#This Row],[ppn_z]]="","",IFERROR(
   IF(_xlfn.XLOOKUP(Final_Sans_VGE[[#This Row],[ppn_z]],tbl_Historique_Final[ppn_z],tbl_Historique_Final[date_modif])=Final_Sans_VGE[[#This Row],[date_modif]],
      "Ancien",
      "Modifié"),
   "Nouveau"))</f>
        <v>#VALUE!</v>
      </c>
      <c r="AD3670" s="1" t="str">
        <f>IFERROR(IF(Final_Sans_VGE[[#This Row],[ppn_z]]="","",IFERROR(
   IF(_xlfn.XLOOKUP(Final_Sans_VGE[[#This Row],[ppn_z]],tbl_Historique_Final[[#This Row],[ppn_z]],tbl_Historique_Final[[#This Row],[date_modif]])=Final_Sans_VGE[[#This Row],[date_modif]],
      "Ancien",
      "Modifié"),
   "Nouveau")),"")</f>
        <v/>
      </c>
    </row>
    <row r="3671" spans="24:30" x14ac:dyDescent="0.25">
      <c r="X3671" s="8" t="e">
        <f>IF(Final_Sans_VGE[[#This Row],[ppn_z]]="","",IFERROR(
   IF(_xlfn.XLOOKUP(Final_Sans_VGE[[#This Row],[ppn_z]],tbl_Historique_Final[ppn_z],tbl_Historique_Final[date_modif])=Final_Sans_VGE[[#This Row],[date_modif]],
      "Ancien",
      "Modifié"),
   "Nouveau"))</f>
        <v>#VALUE!</v>
      </c>
      <c r="AD3671" s="1" t="str">
        <f>IFERROR(IF(Final_Sans_VGE[[#This Row],[ppn_z]]="","",IFERROR(
   IF(_xlfn.XLOOKUP(Final_Sans_VGE[[#This Row],[ppn_z]],tbl_Historique_Final[[#This Row],[ppn_z]],tbl_Historique_Final[[#This Row],[date_modif]])=Final_Sans_VGE[[#This Row],[date_modif]],
      "Ancien",
      "Modifié"),
   "Nouveau")),"")</f>
        <v/>
      </c>
    </row>
    <row r="3672" spans="24:30" x14ac:dyDescent="0.25">
      <c r="X3672" s="8" t="e">
        <f>IF(Final_Sans_VGE[[#This Row],[ppn_z]]="","",IFERROR(
   IF(_xlfn.XLOOKUP(Final_Sans_VGE[[#This Row],[ppn_z]],tbl_Historique_Final[ppn_z],tbl_Historique_Final[date_modif])=Final_Sans_VGE[[#This Row],[date_modif]],
      "Ancien",
      "Modifié"),
   "Nouveau"))</f>
        <v>#VALUE!</v>
      </c>
      <c r="AD3672" s="1" t="str">
        <f>IFERROR(IF(Final_Sans_VGE[[#This Row],[ppn_z]]="","",IFERROR(
   IF(_xlfn.XLOOKUP(Final_Sans_VGE[[#This Row],[ppn_z]],tbl_Historique_Final[[#This Row],[ppn_z]],tbl_Historique_Final[[#This Row],[date_modif]])=Final_Sans_VGE[[#This Row],[date_modif]],
      "Ancien",
      "Modifié"),
   "Nouveau")),"")</f>
        <v/>
      </c>
    </row>
    <row r="3673" spans="24:30" x14ac:dyDescent="0.25">
      <c r="X3673" s="8" t="e">
        <f>IF(Final_Sans_VGE[[#This Row],[ppn_z]]="","",IFERROR(
   IF(_xlfn.XLOOKUP(Final_Sans_VGE[[#This Row],[ppn_z]],tbl_Historique_Final[ppn_z],tbl_Historique_Final[date_modif])=Final_Sans_VGE[[#This Row],[date_modif]],
      "Ancien",
      "Modifié"),
   "Nouveau"))</f>
        <v>#VALUE!</v>
      </c>
      <c r="AD3673" s="1" t="str">
        <f>IFERROR(IF(Final_Sans_VGE[[#This Row],[ppn_z]]="","",IFERROR(
   IF(_xlfn.XLOOKUP(Final_Sans_VGE[[#This Row],[ppn_z]],tbl_Historique_Final[[#This Row],[ppn_z]],tbl_Historique_Final[[#This Row],[date_modif]])=Final_Sans_VGE[[#This Row],[date_modif]],
      "Ancien",
      "Modifié"),
   "Nouveau")),"")</f>
        <v/>
      </c>
    </row>
    <row r="3674" spans="24:30" x14ac:dyDescent="0.25">
      <c r="X3674" s="8" t="e">
        <f>IF(Final_Sans_VGE[[#This Row],[ppn_z]]="","",IFERROR(
   IF(_xlfn.XLOOKUP(Final_Sans_VGE[[#This Row],[ppn_z]],tbl_Historique_Final[ppn_z],tbl_Historique_Final[date_modif])=Final_Sans_VGE[[#This Row],[date_modif]],
      "Ancien",
      "Modifié"),
   "Nouveau"))</f>
        <v>#VALUE!</v>
      </c>
      <c r="AD3674" s="1" t="str">
        <f>IFERROR(IF(Final_Sans_VGE[[#This Row],[ppn_z]]="","",IFERROR(
   IF(_xlfn.XLOOKUP(Final_Sans_VGE[[#This Row],[ppn_z]],tbl_Historique_Final[[#This Row],[ppn_z]],tbl_Historique_Final[[#This Row],[date_modif]])=Final_Sans_VGE[[#This Row],[date_modif]],
      "Ancien",
      "Modifié"),
   "Nouveau")),"")</f>
        <v/>
      </c>
    </row>
    <row r="3675" spans="24:30" x14ac:dyDescent="0.25">
      <c r="X3675" s="8" t="e">
        <f>IF(Final_Sans_VGE[[#This Row],[ppn_z]]="","",IFERROR(
   IF(_xlfn.XLOOKUP(Final_Sans_VGE[[#This Row],[ppn_z]],tbl_Historique_Final[ppn_z],tbl_Historique_Final[date_modif])=Final_Sans_VGE[[#This Row],[date_modif]],
      "Ancien",
      "Modifié"),
   "Nouveau"))</f>
        <v>#VALUE!</v>
      </c>
      <c r="AD3675" s="1" t="str">
        <f>IFERROR(IF(Final_Sans_VGE[[#This Row],[ppn_z]]="","",IFERROR(
   IF(_xlfn.XLOOKUP(Final_Sans_VGE[[#This Row],[ppn_z]],tbl_Historique_Final[[#This Row],[ppn_z]],tbl_Historique_Final[[#This Row],[date_modif]])=Final_Sans_VGE[[#This Row],[date_modif]],
      "Ancien",
      "Modifié"),
   "Nouveau")),"")</f>
        <v/>
      </c>
    </row>
    <row r="3676" spans="24:30" x14ac:dyDescent="0.25">
      <c r="X3676" s="8" t="e">
        <f>IF(Final_Sans_VGE[[#This Row],[ppn_z]]="","",IFERROR(
   IF(_xlfn.XLOOKUP(Final_Sans_VGE[[#This Row],[ppn_z]],tbl_Historique_Final[ppn_z],tbl_Historique_Final[date_modif])=Final_Sans_VGE[[#This Row],[date_modif]],
      "Ancien",
      "Modifié"),
   "Nouveau"))</f>
        <v>#VALUE!</v>
      </c>
      <c r="AD3676" s="1" t="str">
        <f>IFERROR(IF(Final_Sans_VGE[[#This Row],[ppn_z]]="","",IFERROR(
   IF(_xlfn.XLOOKUP(Final_Sans_VGE[[#This Row],[ppn_z]],tbl_Historique_Final[[#This Row],[ppn_z]],tbl_Historique_Final[[#This Row],[date_modif]])=Final_Sans_VGE[[#This Row],[date_modif]],
      "Ancien",
      "Modifié"),
   "Nouveau")),"")</f>
        <v/>
      </c>
    </row>
    <row r="3677" spans="24:30" x14ac:dyDescent="0.25">
      <c r="X3677" s="8" t="e">
        <f>IF(Final_Sans_VGE[[#This Row],[ppn_z]]="","",IFERROR(
   IF(_xlfn.XLOOKUP(Final_Sans_VGE[[#This Row],[ppn_z]],tbl_Historique_Final[ppn_z],tbl_Historique_Final[date_modif])=Final_Sans_VGE[[#This Row],[date_modif]],
      "Ancien",
      "Modifié"),
   "Nouveau"))</f>
        <v>#VALUE!</v>
      </c>
      <c r="AD3677" s="1" t="str">
        <f>IFERROR(IF(Final_Sans_VGE[[#This Row],[ppn_z]]="","",IFERROR(
   IF(_xlfn.XLOOKUP(Final_Sans_VGE[[#This Row],[ppn_z]],tbl_Historique_Final[[#This Row],[ppn_z]],tbl_Historique_Final[[#This Row],[date_modif]])=Final_Sans_VGE[[#This Row],[date_modif]],
      "Ancien",
      "Modifié"),
   "Nouveau")),"")</f>
        <v/>
      </c>
    </row>
    <row r="3678" spans="24:30" x14ac:dyDescent="0.25">
      <c r="X3678" s="8" t="e">
        <f>IF(Final_Sans_VGE[[#This Row],[ppn_z]]="","",IFERROR(
   IF(_xlfn.XLOOKUP(Final_Sans_VGE[[#This Row],[ppn_z]],tbl_Historique_Final[ppn_z],tbl_Historique_Final[date_modif])=Final_Sans_VGE[[#This Row],[date_modif]],
      "Ancien",
      "Modifié"),
   "Nouveau"))</f>
        <v>#VALUE!</v>
      </c>
      <c r="AD3678" s="1" t="str">
        <f>IFERROR(IF(Final_Sans_VGE[[#This Row],[ppn_z]]="","",IFERROR(
   IF(_xlfn.XLOOKUP(Final_Sans_VGE[[#This Row],[ppn_z]],tbl_Historique_Final[[#This Row],[ppn_z]],tbl_Historique_Final[[#This Row],[date_modif]])=Final_Sans_VGE[[#This Row],[date_modif]],
      "Ancien",
      "Modifié"),
   "Nouveau")),"")</f>
        <v/>
      </c>
    </row>
    <row r="3679" spans="24:30" x14ac:dyDescent="0.25">
      <c r="X3679" s="8" t="e">
        <f>IF(Final_Sans_VGE[[#This Row],[ppn_z]]="","",IFERROR(
   IF(_xlfn.XLOOKUP(Final_Sans_VGE[[#This Row],[ppn_z]],tbl_Historique_Final[ppn_z],tbl_Historique_Final[date_modif])=Final_Sans_VGE[[#This Row],[date_modif]],
      "Ancien",
      "Modifié"),
   "Nouveau"))</f>
        <v>#VALUE!</v>
      </c>
      <c r="AD3679" s="1" t="str">
        <f>IFERROR(IF(Final_Sans_VGE[[#This Row],[ppn_z]]="","",IFERROR(
   IF(_xlfn.XLOOKUP(Final_Sans_VGE[[#This Row],[ppn_z]],tbl_Historique_Final[[#This Row],[ppn_z]],tbl_Historique_Final[[#This Row],[date_modif]])=Final_Sans_VGE[[#This Row],[date_modif]],
      "Ancien",
      "Modifié"),
   "Nouveau")),"")</f>
        <v/>
      </c>
    </row>
    <row r="3680" spans="24:30" x14ac:dyDescent="0.25">
      <c r="X3680" s="8" t="e">
        <f>IF(Final_Sans_VGE[[#This Row],[ppn_z]]="","",IFERROR(
   IF(_xlfn.XLOOKUP(Final_Sans_VGE[[#This Row],[ppn_z]],tbl_Historique_Final[ppn_z],tbl_Historique_Final[date_modif])=Final_Sans_VGE[[#This Row],[date_modif]],
      "Ancien",
      "Modifié"),
   "Nouveau"))</f>
        <v>#VALUE!</v>
      </c>
      <c r="AD3680" s="1" t="str">
        <f>IFERROR(IF(Final_Sans_VGE[[#This Row],[ppn_z]]="","",IFERROR(
   IF(_xlfn.XLOOKUP(Final_Sans_VGE[[#This Row],[ppn_z]],tbl_Historique_Final[[#This Row],[ppn_z]],tbl_Historique_Final[[#This Row],[date_modif]])=Final_Sans_VGE[[#This Row],[date_modif]],
      "Ancien",
      "Modifié"),
   "Nouveau")),"")</f>
        <v/>
      </c>
    </row>
    <row r="3681" spans="24:30" x14ac:dyDescent="0.25">
      <c r="X3681" s="8" t="e">
        <f>IF(Final_Sans_VGE[[#This Row],[ppn_z]]="","",IFERROR(
   IF(_xlfn.XLOOKUP(Final_Sans_VGE[[#This Row],[ppn_z]],tbl_Historique_Final[ppn_z],tbl_Historique_Final[date_modif])=Final_Sans_VGE[[#This Row],[date_modif]],
      "Ancien",
      "Modifié"),
   "Nouveau"))</f>
        <v>#VALUE!</v>
      </c>
      <c r="AD3681" s="1" t="str">
        <f>IFERROR(IF(Final_Sans_VGE[[#This Row],[ppn_z]]="","",IFERROR(
   IF(_xlfn.XLOOKUP(Final_Sans_VGE[[#This Row],[ppn_z]],tbl_Historique_Final[[#This Row],[ppn_z]],tbl_Historique_Final[[#This Row],[date_modif]])=Final_Sans_VGE[[#This Row],[date_modif]],
      "Ancien",
      "Modifié"),
   "Nouveau")),"")</f>
        <v/>
      </c>
    </row>
    <row r="3682" spans="24:30" x14ac:dyDescent="0.25">
      <c r="X3682" s="8" t="e">
        <f>IF(Final_Sans_VGE[[#This Row],[ppn_z]]="","",IFERROR(
   IF(_xlfn.XLOOKUP(Final_Sans_VGE[[#This Row],[ppn_z]],tbl_Historique_Final[ppn_z],tbl_Historique_Final[date_modif])=Final_Sans_VGE[[#This Row],[date_modif]],
      "Ancien",
      "Modifié"),
   "Nouveau"))</f>
        <v>#VALUE!</v>
      </c>
      <c r="AD3682" s="1" t="str">
        <f>IFERROR(IF(Final_Sans_VGE[[#This Row],[ppn_z]]="","",IFERROR(
   IF(_xlfn.XLOOKUP(Final_Sans_VGE[[#This Row],[ppn_z]],tbl_Historique_Final[[#This Row],[ppn_z]],tbl_Historique_Final[[#This Row],[date_modif]])=Final_Sans_VGE[[#This Row],[date_modif]],
      "Ancien",
      "Modifié"),
   "Nouveau")),"")</f>
        <v/>
      </c>
    </row>
    <row r="3683" spans="24:30" x14ac:dyDescent="0.25">
      <c r="X3683" s="8" t="e">
        <f>IF(Final_Sans_VGE[[#This Row],[ppn_z]]="","",IFERROR(
   IF(_xlfn.XLOOKUP(Final_Sans_VGE[[#This Row],[ppn_z]],tbl_Historique_Final[ppn_z],tbl_Historique_Final[date_modif])=Final_Sans_VGE[[#This Row],[date_modif]],
      "Ancien",
      "Modifié"),
   "Nouveau"))</f>
        <v>#VALUE!</v>
      </c>
      <c r="AD3683" s="1" t="str">
        <f>IFERROR(IF(Final_Sans_VGE[[#This Row],[ppn_z]]="","",IFERROR(
   IF(_xlfn.XLOOKUP(Final_Sans_VGE[[#This Row],[ppn_z]],tbl_Historique_Final[[#This Row],[ppn_z]],tbl_Historique_Final[[#This Row],[date_modif]])=Final_Sans_VGE[[#This Row],[date_modif]],
      "Ancien",
      "Modifié"),
   "Nouveau")),"")</f>
        <v/>
      </c>
    </row>
    <row r="3684" spans="24:30" x14ac:dyDescent="0.25">
      <c r="X3684" s="8" t="e">
        <f>IF(Final_Sans_VGE[[#This Row],[ppn_z]]="","",IFERROR(
   IF(_xlfn.XLOOKUP(Final_Sans_VGE[[#This Row],[ppn_z]],tbl_Historique_Final[ppn_z],tbl_Historique_Final[date_modif])=Final_Sans_VGE[[#This Row],[date_modif]],
      "Ancien",
      "Modifié"),
   "Nouveau"))</f>
        <v>#VALUE!</v>
      </c>
      <c r="AD3684" s="1" t="str">
        <f>IFERROR(IF(Final_Sans_VGE[[#This Row],[ppn_z]]="","",IFERROR(
   IF(_xlfn.XLOOKUP(Final_Sans_VGE[[#This Row],[ppn_z]],tbl_Historique_Final[[#This Row],[ppn_z]],tbl_Historique_Final[[#This Row],[date_modif]])=Final_Sans_VGE[[#This Row],[date_modif]],
      "Ancien",
      "Modifié"),
   "Nouveau")),"")</f>
        <v/>
      </c>
    </row>
    <row r="3685" spans="24:30" x14ac:dyDescent="0.25">
      <c r="X3685" s="8" t="e">
        <f>IF(Final_Sans_VGE[[#This Row],[ppn_z]]="","",IFERROR(
   IF(_xlfn.XLOOKUP(Final_Sans_VGE[[#This Row],[ppn_z]],tbl_Historique_Final[ppn_z],tbl_Historique_Final[date_modif])=Final_Sans_VGE[[#This Row],[date_modif]],
      "Ancien",
      "Modifié"),
   "Nouveau"))</f>
        <v>#VALUE!</v>
      </c>
      <c r="AD3685" s="1" t="str">
        <f>IFERROR(IF(Final_Sans_VGE[[#This Row],[ppn_z]]="","",IFERROR(
   IF(_xlfn.XLOOKUP(Final_Sans_VGE[[#This Row],[ppn_z]],tbl_Historique_Final[[#This Row],[ppn_z]],tbl_Historique_Final[[#This Row],[date_modif]])=Final_Sans_VGE[[#This Row],[date_modif]],
      "Ancien",
      "Modifié"),
   "Nouveau")),"")</f>
        <v/>
      </c>
    </row>
    <row r="3686" spans="24:30" x14ac:dyDescent="0.25">
      <c r="X3686" s="8" t="e">
        <f>IF(Final_Sans_VGE[[#This Row],[ppn_z]]="","",IFERROR(
   IF(_xlfn.XLOOKUP(Final_Sans_VGE[[#This Row],[ppn_z]],tbl_Historique_Final[ppn_z],tbl_Historique_Final[date_modif])=Final_Sans_VGE[[#This Row],[date_modif]],
      "Ancien",
      "Modifié"),
   "Nouveau"))</f>
        <v>#VALUE!</v>
      </c>
      <c r="AD3686" s="1" t="str">
        <f>IFERROR(IF(Final_Sans_VGE[[#This Row],[ppn_z]]="","",IFERROR(
   IF(_xlfn.XLOOKUP(Final_Sans_VGE[[#This Row],[ppn_z]],tbl_Historique_Final[[#This Row],[ppn_z]],tbl_Historique_Final[[#This Row],[date_modif]])=Final_Sans_VGE[[#This Row],[date_modif]],
      "Ancien",
      "Modifié"),
   "Nouveau")),"")</f>
        <v/>
      </c>
    </row>
    <row r="3687" spans="24:30" x14ac:dyDescent="0.25">
      <c r="X3687" s="8" t="e">
        <f>IF(Final_Sans_VGE[[#This Row],[ppn_z]]="","",IFERROR(
   IF(_xlfn.XLOOKUP(Final_Sans_VGE[[#This Row],[ppn_z]],tbl_Historique_Final[ppn_z],tbl_Historique_Final[date_modif])=Final_Sans_VGE[[#This Row],[date_modif]],
      "Ancien",
      "Modifié"),
   "Nouveau"))</f>
        <v>#VALUE!</v>
      </c>
      <c r="AD3687" s="1" t="str">
        <f>IFERROR(IF(Final_Sans_VGE[[#This Row],[ppn_z]]="","",IFERROR(
   IF(_xlfn.XLOOKUP(Final_Sans_VGE[[#This Row],[ppn_z]],tbl_Historique_Final[[#This Row],[ppn_z]],tbl_Historique_Final[[#This Row],[date_modif]])=Final_Sans_VGE[[#This Row],[date_modif]],
      "Ancien",
      "Modifié"),
   "Nouveau")),"")</f>
        <v/>
      </c>
    </row>
    <row r="3688" spans="24:30" x14ac:dyDescent="0.25">
      <c r="X3688" s="8" t="e">
        <f>IF(Final_Sans_VGE[[#This Row],[ppn_z]]="","",IFERROR(
   IF(_xlfn.XLOOKUP(Final_Sans_VGE[[#This Row],[ppn_z]],tbl_Historique_Final[ppn_z],tbl_Historique_Final[date_modif])=Final_Sans_VGE[[#This Row],[date_modif]],
      "Ancien",
      "Modifié"),
   "Nouveau"))</f>
        <v>#VALUE!</v>
      </c>
      <c r="AD3688" s="1" t="str">
        <f>IFERROR(IF(Final_Sans_VGE[[#This Row],[ppn_z]]="","",IFERROR(
   IF(_xlfn.XLOOKUP(Final_Sans_VGE[[#This Row],[ppn_z]],tbl_Historique_Final[[#This Row],[ppn_z]],tbl_Historique_Final[[#This Row],[date_modif]])=Final_Sans_VGE[[#This Row],[date_modif]],
      "Ancien",
      "Modifié"),
   "Nouveau")),"")</f>
        <v/>
      </c>
    </row>
    <row r="3689" spans="24:30" x14ac:dyDescent="0.25">
      <c r="X3689" s="8" t="e">
        <f>IF(Final_Sans_VGE[[#This Row],[ppn_z]]="","",IFERROR(
   IF(_xlfn.XLOOKUP(Final_Sans_VGE[[#This Row],[ppn_z]],tbl_Historique_Final[ppn_z],tbl_Historique_Final[date_modif])=Final_Sans_VGE[[#This Row],[date_modif]],
      "Ancien",
      "Modifié"),
   "Nouveau"))</f>
        <v>#VALUE!</v>
      </c>
      <c r="AD3689" s="1" t="str">
        <f>IFERROR(IF(Final_Sans_VGE[[#This Row],[ppn_z]]="","",IFERROR(
   IF(_xlfn.XLOOKUP(Final_Sans_VGE[[#This Row],[ppn_z]],tbl_Historique_Final[[#This Row],[ppn_z]],tbl_Historique_Final[[#This Row],[date_modif]])=Final_Sans_VGE[[#This Row],[date_modif]],
      "Ancien",
      "Modifié"),
   "Nouveau")),"")</f>
        <v/>
      </c>
    </row>
    <row r="3690" spans="24:30" x14ac:dyDescent="0.25">
      <c r="X3690" s="8" t="e">
        <f>IF(Final_Sans_VGE[[#This Row],[ppn_z]]="","",IFERROR(
   IF(_xlfn.XLOOKUP(Final_Sans_VGE[[#This Row],[ppn_z]],tbl_Historique_Final[ppn_z],tbl_Historique_Final[date_modif])=Final_Sans_VGE[[#This Row],[date_modif]],
      "Ancien",
      "Modifié"),
   "Nouveau"))</f>
        <v>#VALUE!</v>
      </c>
      <c r="AD3690" s="1" t="str">
        <f>IFERROR(IF(Final_Sans_VGE[[#This Row],[ppn_z]]="","",IFERROR(
   IF(_xlfn.XLOOKUP(Final_Sans_VGE[[#This Row],[ppn_z]],tbl_Historique_Final[[#This Row],[ppn_z]],tbl_Historique_Final[[#This Row],[date_modif]])=Final_Sans_VGE[[#This Row],[date_modif]],
      "Ancien",
      "Modifié"),
   "Nouveau")),"")</f>
        <v/>
      </c>
    </row>
    <row r="3691" spans="24:30" x14ac:dyDescent="0.25">
      <c r="X3691" s="8" t="e">
        <f>IF(Final_Sans_VGE[[#This Row],[ppn_z]]="","",IFERROR(
   IF(_xlfn.XLOOKUP(Final_Sans_VGE[[#This Row],[ppn_z]],tbl_Historique_Final[ppn_z],tbl_Historique_Final[date_modif])=Final_Sans_VGE[[#This Row],[date_modif]],
      "Ancien",
      "Modifié"),
   "Nouveau"))</f>
        <v>#VALUE!</v>
      </c>
      <c r="AD3691" s="1" t="str">
        <f>IFERROR(IF(Final_Sans_VGE[[#This Row],[ppn_z]]="","",IFERROR(
   IF(_xlfn.XLOOKUP(Final_Sans_VGE[[#This Row],[ppn_z]],tbl_Historique_Final[[#This Row],[ppn_z]],tbl_Historique_Final[[#This Row],[date_modif]])=Final_Sans_VGE[[#This Row],[date_modif]],
      "Ancien",
      "Modifié"),
   "Nouveau")),"")</f>
        <v/>
      </c>
    </row>
    <row r="3692" spans="24:30" x14ac:dyDescent="0.25">
      <c r="X3692" s="8" t="e">
        <f>IF(Final_Sans_VGE[[#This Row],[ppn_z]]="","",IFERROR(
   IF(_xlfn.XLOOKUP(Final_Sans_VGE[[#This Row],[ppn_z]],tbl_Historique_Final[ppn_z],tbl_Historique_Final[date_modif])=Final_Sans_VGE[[#This Row],[date_modif]],
      "Ancien",
      "Modifié"),
   "Nouveau"))</f>
        <v>#VALUE!</v>
      </c>
      <c r="AD3692" s="1" t="str">
        <f>IFERROR(IF(Final_Sans_VGE[[#This Row],[ppn_z]]="","",IFERROR(
   IF(_xlfn.XLOOKUP(Final_Sans_VGE[[#This Row],[ppn_z]],tbl_Historique_Final[[#This Row],[ppn_z]],tbl_Historique_Final[[#This Row],[date_modif]])=Final_Sans_VGE[[#This Row],[date_modif]],
      "Ancien",
      "Modifié"),
   "Nouveau")),"")</f>
        <v/>
      </c>
    </row>
    <row r="3693" spans="24:30" x14ac:dyDescent="0.25">
      <c r="X3693" s="8" t="e">
        <f>IF(Final_Sans_VGE[[#This Row],[ppn_z]]="","",IFERROR(
   IF(_xlfn.XLOOKUP(Final_Sans_VGE[[#This Row],[ppn_z]],tbl_Historique_Final[ppn_z],tbl_Historique_Final[date_modif])=Final_Sans_VGE[[#This Row],[date_modif]],
      "Ancien",
      "Modifié"),
   "Nouveau"))</f>
        <v>#VALUE!</v>
      </c>
      <c r="AD3693" s="1" t="str">
        <f>IFERROR(IF(Final_Sans_VGE[[#This Row],[ppn_z]]="","",IFERROR(
   IF(_xlfn.XLOOKUP(Final_Sans_VGE[[#This Row],[ppn_z]],tbl_Historique_Final[[#This Row],[ppn_z]],tbl_Historique_Final[[#This Row],[date_modif]])=Final_Sans_VGE[[#This Row],[date_modif]],
      "Ancien",
      "Modifié"),
   "Nouveau")),"")</f>
        <v/>
      </c>
    </row>
    <row r="3694" spans="24:30" x14ac:dyDescent="0.25">
      <c r="X3694" s="8" t="e">
        <f>IF(Final_Sans_VGE[[#This Row],[ppn_z]]="","",IFERROR(
   IF(_xlfn.XLOOKUP(Final_Sans_VGE[[#This Row],[ppn_z]],tbl_Historique_Final[ppn_z],tbl_Historique_Final[date_modif])=Final_Sans_VGE[[#This Row],[date_modif]],
      "Ancien",
      "Modifié"),
   "Nouveau"))</f>
        <v>#VALUE!</v>
      </c>
      <c r="AD3694" s="1" t="str">
        <f>IFERROR(IF(Final_Sans_VGE[[#This Row],[ppn_z]]="","",IFERROR(
   IF(_xlfn.XLOOKUP(Final_Sans_VGE[[#This Row],[ppn_z]],tbl_Historique_Final[[#This Row],[ppn_z]],tbl_Historique_Final[[#This Row],[date_modif]])=Final_Sans_VGE[[#This Row],[date_modif]],
      "Ancien",
      "Modifié"),
   "Nouveau")),"")</f>
        <v/>
      </c>
    </row>
    <row r="3695" spans="24:30" x14ac:dyDescent="0.25">
      <c r="X3695" s="8" t="e">
        <f>IF(Final_Sans_VGE[[#This Row],[ppn_z]]="","",IFERROR(
   IF(_xlfn.XLOOKUP(Final_Sans_VGE[[#This Row],[ppn_z]],tbl_Historique_Final[ppn_z],tbl_Historique_Final[date_modif])=Final_Sans_VGE[[#This Row],[date_modif]],
      "Ancien",
      "Modifié"),
   "Nouveau"))</f>
        <v>#VALUE!</v>
      </c>
      <c r="AD3695" s="1" t="str">
        <f>IFERROR(IF(Final_Sans_VGE[[#This Row],[ppn_z]]="","",IFERROR(
   IF(_xlfn.XLOOKUP(Final_Sans_VGE[[#This Row],[ppn_z]],tbl_Historique_Final[[#This Row],[ppn_z]],tbl_Historique_Final[[#This Row],[date_modif]])=Final_Sans_VGE[[#This Row],[date_modif]],
      "Ancien",
      "Modifié"),
   "Nouveau")),"")</f>
        <v/>
      </c>
    </row>
    <row r="3696" spans="24:30" x14ac:dyDescent="0.25">
      <c r="X3696" s="8" t="e">
        <f>IF(Final_Sans_VGE[[#This Row],[ppn_z]]="","",IFERROR(
   IF(_xlfn.XLOOKUP(Final_Sans_VGE[[#This Row],[ppn_z]],tbl_Historique_Final[ppn_z],tbl_Historique_Final[date_modif])=Final_Sans_VGE[[#This Row],[date_modif]],
      "Ancien",
      "Modifié"),
   "Nouveau"))</f>
        <v>#VALUE!</v>
      </c>
      <c r="AD3696" s="1" t="str">
        <f>IFERROR(IF(Final_Sans_VGE[[#This Row],[ppn_z]]="","",IFERROR(
   IF(_xlfn.XLOOKUP(Final_Sans_VGE[[#This Row],[ppn_z]],tbl_Historique_Final[[#This Row],[ppn_z]],tbl_Historique_Final[[#This Row],[date_modif]])=Final_Sans_VGE[[#This Row],[date_modif]],
      "Ancien",
      "Modifié"),
   "Nouveau")),"")</f>
        <v/>
      </c>
    </row>
    <row r="3697" spans="24:30" x14ac:dyDescent="0.25">
      <c r="X3697" s="8" t="e">
        <f>IF(Final_Sans_VGE[[#This Row],[ppn_z]]="","",IFERROR(
   IF(_xlfn.XLOOKUP(Final_Sans_VGE[[#This Row],[ppn_z]],tbl_Historique_Final[ppn_z],tbl_Historique_Final[date_modif])=Final_Sans_VGE[[#This Row],[date_modif]],
      "Ancien",
      "Modifié"),
   "Nouveau"))</f>
        <v>#VALUE!</v>
      </c>
      <c r="AD3697" s="1" t="str">
        <f>IFERROR(IF(Final_Sans_VGE[[#This Row],[ppn_z]]="","",IFERROR(
   IF(_xlfn.XLOOKUP(Final_Sans_VGE[[#This Row],[ppn_z]],tbl_Historique_Final[[#This Row],[ppn_z]],tbl_Historique_Final[[#This Row],[date_modif]])=Final_Sans_VGE[[#This Row],[date_modif]],
      "Ancien",
      "Modifié"),
   "Nouveau")),"")</f>
        <v/>
      </c>
    </row>
    <row r="3698" spans="24:30" x14ac:dyDescent="0.25">
      <c r="X3698" s="8" t="e">
        <f>IF(Final_Sans_VGE[[#This Row],[ppn_z]]="","",IFERROR(
   IF(_xlfn.XLOOKUP(Final_Sans_VGE[[#This Row],[ppn_z]],tbl_Historique_Final[ppn_z],tbl_Historique_Final[date_modif])=Final_Sans_VGE[[#This Row],[date_modif]],
      "Ancien",
      "Modifié"),
   "Nouveau"))</f>
        <v>#VALUE!</v>
      </c>
      <c r="AD3698" s="1" t="str">
        <f>IFERROR(IF(Final_Sans_VGE[[#This Row],[ppn_z]]="","",IFERROR(
   IF(_xlfn.XLOOKUP(Final_Sans_VGE[[#This Row],[ppn_z]],tbl_Historique_Final[[#This Row],[ppn_z]],tbl_Historique_Final[[#This Row],[date_modif]])=Final_Sans_VGE[[#This Row],[date_modif]],
      "Ancien",
      "Modifié"),
   "Nouveau")),"")</f>
        <v/>
      </c>
    </row>
    <row r="3699" spans="24:30" x14ac:dyDescent="0.25">
      <c r="X3699" s="8" t="e">
        <f>IF(Final_Sans_VGE[[#This Row],[ppn_z]]="","",IFERROR(
   IF(_xlfn.XLOOKUP(Final_Sans_VGE[[#This Row],[ppn_z]],tbl_Historique_Final[ppn_z],tbl_Historique_Final[date_modif])=Final_Sans_VGE[[#This Row],[date_modif]],
      "Ancien",
      "Modifié"),
   "Nouveau"))</f>
        <v>#VALUE!</v>
      </c>
      <c r="AD3699" s="1" t="str">
        <f>IFERROR(IF(Final_Sans_VGE[[#This Row],[ppn_z]]="","",IFERROR(
   IF(_xlfn.XLOOKUP(Final_Sans_VGE[[#This Row],[ppn_z]],tbl_Historique_Final[[#This Row],[ppn_z]],tbl_Historique_Final[[#This Row],[date_modif]])=Final_Sans_VGE[[#This Row],[date_modif]],
      "Ancien",
      "Modifié"),
   "Nouveau")),"")</f>
        <v/>
      </c>
    </row>
    <row r="3700" spans="24:30" x14ac:dyDescent="0.25">
      <c r="X3700" s="8" t="e">
        <f>IF(Final_Sans_VGE[[#This Row],[ppn_z]]="","",IFERROR(
   IF(_xlfn.XLOOKUP(Final_Sans_VGE[[#This Row],[ppn_z]],tbl_Historique_Final[ppn_z],tbl_Historique_Final[date_modif])=Final_Sans_VGE[[#This Row],[date_modif]],
      "Ancien",
      "Modifié"),
   "Nouveau"))</f>
        <v>#VALUE!</v>
      </c>
      <c r="AD3700" s="1" t="str">
        <f>IFERROR(IF(Final_Sans_VGE[[#This Row],[ppn_z]]="","",IFERROR(
   IF(_xlfn.XLOOKUP(Final_Sans_VGE[[#This Row],[ppn_z]],tbl_Historique_Final[[#This Row],[ppn_z]],tbl_Historique_Final[[#This Row],[date_modif]])=Final_Sans_VGE[[#This Row],[date_modif]],
      "Ancien",
      "Modifié"),
   "Nouveau")),"")</f>
        <v/>
      </c>
    </row>
    <row r="3701" spans="24:30" x14ac:dyDescent="0.25">
      <c r="X3701" s="8" t="e">
        <f>IF(Final_Sans_VGE[[#This Row],[ppn_z]]="","",IFERROR(
   IF(_xlfn.XLOOKUP(Final_Sans_VGE[[#This Row],[ppn_z]],tbl_Historique_Final[ppn_z],tbl_Historique_Final[date_modif])=Final_Sans_VGE[[#This Row],[date_modif]],
      "Ancien",
      "Modifié"),
   "Nouveau"))</f>
        <v>#VALUE!</v>
      </c>
      <c r="AD3701" s="1" t="str">
        <f>IFERROR(IF(Final_Sans_VGE[[#This Row],[ppn_z]]="","",IFERROR(
   IF(_xlfn.XLOOKUP(Final_Sans_VGE[[#This Row],[ppn_z]],tbl_Historique_Final[[#This Row],[ppn_z]],tbl_Historique_Final[[#This Row],[date_modif]])=Final_Sans_VGE[[#This Row],[date_modif]],
      "Ancien",
      "Modifié"),
   "Nouveau")),"")</f>
        <v/>
      </c>
    </row>
    <row r="3702" spans="24:30" x14ac:dyDescent="0.25">
      <c r="X3702" s="8" t="e">
        <f>IF(Final_Sans_VGE[[#This Row],[ppn_z]]="","",IFERROR(
   IF(_xlfn.XLOOKUP(Final_Sans_VGE[[#This Row],[ppn_z]],tbl_Historique_Final[ppn_z],tbl_Historique_Final[date_modif])=Final_Sans_VGE[[#This Row],[date_modif]],
      "Ancien",
      "Modifié"),
   "Nouveau"))</f>
        <v>#VALUE!</v>
      </c>
      <c r="AD3702" s="1" t="str">
        <f>IFERROR(IF(Final_Sans_VGE[[#This Row],[ppn_z]]="","",IFERROR(
   IF(_xlfn.XLOOKUP(Final_Sans_VGE[[#This Row],[ppn_z]],tbl_Historique_Final[[#This Row],[ppn_z]],tbl_Historique_Final[[#This Row],[date_modif]])=Final_Sans_VGE[[#This Row],[date_modif]],
      "Ancien",
      "Modifié"),
   "Nouveau")),"")</f>
        <v/>
      </c>
    </row>
    <row r="3703" spans="24:30" x14ac:dyDescent="0.25">
      <c r="X3703" s="8" t="e">
        <f>IF(Final_Sans_VGE[[#This Row],[ppn_z]]="","",IFERROR(
   IF(_xlfn.XLOOKUP(Final_Sans_VGE[[#This Row],[ppn_z]],tbl_Historique_Final[ppn_z],tbl_Historique_Final[date_modif])=Final_Sans_VGE[[#This Row],[date_modif]],
      "Ancien",
      "Modifié"),
   "Nouveau"))</f>
        <v>#VALUE!</v>
      </c>
      <c r="AD3703" s="1" t="str">
        <f>IFERROR(IF(Final_Sans_VGE[[#This Row],[ppn_z]]="","",IFERROR(
   IF(_xlfn.XLOOKUP(Final_Sans_VGE[[#This Row],[ppn_z]],tbl_Historique_Final[[#This Row],[ppn_z]],tbl_Historique_Final[[#This Row],[date_modif]])=Final_Sans_VGE[[#This Row],[date_modif]],
      "Ancien",
      "Modifié"),
   "Nouveau")),"")</f>
        <v/>
      </c>
    </row>
    <row r="3704" spans="24:30" x14ac:dyDescent="0.25">
      <c r="X3704" s="8" t="e">
        <f>IF(Final_Sans_VGE[[#This Row],[ppn_z]]="","",IFERROR(
   IF(_xlfn.XLOOKUP(Final_Sans_VGE[[#This Row],[ppn_z]],tbl_Historique_Final[ppn_z],tbl_Historique_Final[date_modif])=Final_Sans_VGE[[#This Row],[date_modif]],
      "Ancien",
      "Modifié"),
   "Nouveau"))</f>
        <v>#VALUE!</v>
      </c>
      <c r="AD3704" s="1" t="str">
        <f>IFERROR(IF(Final_Sans_VGE[[#This Row],[ppn_z]]="","",IFERROR(
   IF(_xlfn.XLOOKUP(Final_Sans_VGE[[#This Row],[ppn_z]],tbl_Historique_Final[[#This Row],[ppn_z]],tbl_Historique_Final[[#This Row],[date_modif]])=Final_Sans_VGE[[#This Row],[date_modif]],
      "Ancien",
      "Modifié"),
   "Nouveau")),"")</f>
        <v/>
      </c>
    </row>
    <row r="3705" spans="24:30" x14ac:dyDescent="0.25">
      <c r="X3705" s="8" t="e">
        <f>IF(Final_Sans_VGE[[#This Row],[ppn_z]]="","",IFERROR(
   IF(_xlfn.XLOOKUP(Final_Sans_VGE[[#This Row],[ppn_z]],tbl_Historique_Final[ppn_z],tbl_Historique_Final[date_modif])=Final_Sans_VGE[[#This Row],[date_modif]],
      "Ancien",
      "Modifié"),
   "Nouveau"))</f>
        <v>#VALUE!</v>
      </c>
      <c r="AD3705" s="1" t="str">
        <f>IFERROR(IF(Final_Sans_VGE[[#This Row],[ppn_z]]="","",IFERROR(
   IF(_xlfn.XLOOKUP(Final_Sans_VGE[[#This Row],[ppn_z]],tbl_Historique_Final[[#This Row],[ppn_z]],tbl_Historique_Final[[#This Row],[date_modif]])=Final_Sans_VGE[[#This Row],[date_modif]],
      "Ancien",
      "Modifié"),
   "Nouveau")),"")</f>
        <v/>
      </c>
    </row>
    <row r="3706" spans="24:30" x14ac:dyDescent="0.25">
      <c r="X3706" s="8" t="e">
        <f>IF(Final_Sans_VGE[[#This Row],[ppn_z]]="","",IFERROR(
   IF(_xlfn.XLOOKUP(Final_Sans_VGE[[#This Row],[ppn_z]],tbl_Historique_Final[ppn_z],tbl_Historique_Final[date_modif])=Final_Sans_VGE[[#This Row],[date_modif]],
      "Ancien",
      "Modifié"),
   "Nouveau"))</f>
        <v>#VALUE!</v>
      </c>
      <c r="AD3706" s="1" t="str">
        <f>IFERROR(IF(Final_Sans_VGE[[#This Row],[ppn_z]]="","",IFERROR(
   IF(_xlfn.XLOOKUP(Final_Sans_VGE[[#This Row],[ppn_z]],tbl_Historique_Final[[#This Row],[ppn_z]],tbl_Historique_Final[[#This Row],[date_modif]])=Final_Sans_VGE[[#This Row],[date_modif]],
      "Ancien",
      "Modifié"),
   "Nouveau")),"")</f>
        <v/>
      </c>
    </row>
    <row r="3707" spans="24:30" x14ac:dyDescent="0.25">
      <c r="X3707" s="8" t="e">
        <f>IF(Final_Sans_VGE[[#This Row],[ppn_z]]="","",IFERROR(
   IF(_xlfn.XLOOKUP(Final_Sans_VGE[[#This Row],[ppn_z]],tbl_Historique_Final[ppn_z],tbl_Historique_Final[date_modif])=Final_Sans_VGE[[#This Row],[date_modif]],
      "Ancien",
      "Modifié"),
   "Nouveau"))</f>
        <v>#VALUE!</v>
      </c>
      <c r="AD3707" s="1" t="str">
        <f>IFERROR(IF(Final_Sans_VGE[[#This Row],[ppn_z]]="","",IFERROR(
   IF(_xlfn.XLOOKUP(Final_Sans_VGE[[#This Row],[ppn_z]],tbl_Historique_Final[[#This Row],[ppn_z]],tbl_Historique_Final[[#This Row],[date_modif]])=Final_Sans_VGE[[#This Row],[date_modif]],
      "Ancien",
      "Modifié"),
   "Nouveau")),"")</f>
        <v/>
      </c>
    </row>
    <row r="3708" spans="24:30" x14ac:dyDescent="0.25">
      <c r="X3708" s="8" t="e">
        <f>IF(Final_Sans_VGE[[#This Row],[ppn_z]]="","",IFERROR(
   IF(_xlfn.XLOOKUP(Final_Sans_VGE[[#This Row],[ppn_z]],tbl_Historique_Final[ppn_z],tbl_Historique_Final[date_modif])=Final_Sans_VGE[[#This Row],[date_modif]],
      "Ancien",
      "Modifié"),
   "Nouveau"))</f>
        <v>#VALUE!</v>
      </c>
      <c r="AD3708" s="1" t="str">
        <f>IFERROR(IF(Final_Sans_VGE[[#This Row],[ppn_z]]="","",IFERROR(
   IF(_xlfn.XLOOKUP(Final_Sans_VGE[[#This Row],[ppn_z]],tbl_Historique_Final[[#This Row],[ppn_z]],tbl_Historique_Final[[#This Row],[date_modif]])=Final_Sans_VGE[[#This Row],[date_modif]],
      "Ancien",
      "Modifié"),
   "Nouveau")),"")</f>
        <v/>
      </c>
    </row>
    <row r="3709" spans="24:30" x14ac:dyDescent="0.25">
      <c r="X3709" s="8" t="e">
        <f>IF(Final_Sans_VGE[[#This Row],[ppn_z]]="","",IFERROR(
   IF(_xlfn.XLOOKUP(Final_Sans_VGE[[#This Row],[ppn_z]],tbl_Historique_Final[ppn_z],tbl_Historique_Final[date_modif])=Final_Sans_VGE[[#This Row],[date_modif]],
      "Ancien",
      "Modifié"),
   "Nouveau"))</f>
        <v>#VALUE!</v>
      </c>
      <c r="AD3709" s="1" t="str">
        <f>IFERROR(IF(Final_Sans_VGE[[#This Row],[ppn_z]]="","",IFERROR(
   IF(_xlfn.XLOOKUP(Final_Sans_VGE[[#This Row],[ppn_z]],tbl_Historique_Final[[#This Row],[ppn_z]],tbl_Historique_Final[[#This Row],[date_modif]])=Final_Sans_VGE[[#This Row],[date_modif]],
      "Ancien",
      "Modifié"),
   "Nouveau")),"")</f>
        <v/>
      </c>
    </row>
    <row r="3710" spans="24:30" x14ac:dyDescent="0.25">
      <c r="X3710" s="8" t="e">
        <f>IF(Final_Sans_VGE[[#This Row],[ppn_z]]="","",IFERROR(
   IF(_xlfn.XLOOKUP(Final_Sans_VGE[[#This Row],[ppn_z]],tbl_Historique_Final[ppn_z],tbl_Historique_Final[date_modif])=Final_Sans_VGE[[#This Row],[date_modif]],
      "Ancien",
      "Modifié"),
   "Nouveau"))</f>
        <v>#VALUE!</v>
      </c>
      <c r="AD3710" s="1" t="str">
        <f>IFERROR(IF(Final_Sans_VGE[[#This Row],[ppn_z]]="","",IFERROR(
   IF(_xlfn.XLOOKUP(Final_Sans_VGE[[#This Row],[ppn_z]],tbl_Historique_Final[[#This Row],[ppn_z]],tbl_Historique_Final[[#This Row],[date_modif]])=Final_Sans_VGE[[#This Row],[date_modif]],
      "Ancien",
      "Modifié"),
   "Nouveau")),"")</f>
        <v/>
      </c>
    </row>
    <row r="3711" spans="24:30" x14ac:dyDescent="0.25">
      <c r="X3711" s="8" t="e">
        <f>IF(Final_Sans_VGE[[#This Row],[ppn_z]]="","",IFERROR(
   IF(_xlfn.XLOOKUP(Final_Sans_VGE[[#This Row],[ppn_z]],tbl_Historique_Final[ppn_z],tbl_Historique_Final[date_modif])=Final_Sans_VGE[[#This Row],[date_modif]],
      "Ancien",
      "Modifié"),
   "Nouveau"))</f>
        <v>#VALUE!</v>
      </c>
      <c r="AD3711" s="1" t="str">
        <f>IFERROR(IF(Final_Sans_VGE[[#This Row],[ppn_z]]="","",IFERROR(
   IF(_xlfn.XLOOKUP(Final_Sans_VGE[[#This Row],[ppn_z]],tbl_Historique_Final[[#This Row],[ppn_z]],tbl_Historique_Final[[#This Row],[date_modif]])=Final_Sans_VGE[[#This Row],[date_modif]],
      "Ancien",
      "Modifié"),
   "Nouveau")),"")</f>
        <v/>
      </c>
    </row>
    <row r="3712" spans="24:30" x14ac:dyDescent="0.25">
      <c r="X3712" s="8" t="e">
        <f>IF(Final_Sans_VGE[[#This Row],[ppn_z]]="","",IFERROR(
   IF(_xlfn.XLOOKUP(Final_Sans_VGE[[#This Row],[ppn_z]],tbl_Historique_Final[ppn_z],tbl_Historique_Final[date_modif])=Final_Sans_VGE[[#This Row],[date_modif]],
      "Ancien",
      "Modifié"),
   "Nouveau"))</f>
        <v>#VALUE!</v>
      </c>
      <c r="AD3712" s="1" t="str">
        <f>IFERROR(IF(Final_Sans_VGE[[#This Row],[ppn_z]]="","",IFERROR(
   IF(_xlfn.XLOOKUP(Final_Sans_VGE[[#This Row],[ppn_z]],tbl_Historique_Final[[#This Row],[ppn_z]],tbl_Historique_Final[[#This Row],[date_modif]])=Final_Sans_VGE[[#This Row],[date_modif]],
      "Ancien",
      "Modifié"),
   "Nouveau")),"")</f>
        <v/>
      </c>
    </row>
    <row r="3713" spans="24:30" x14ac:dyDescent="0.25">
      <c r="X3713" s="8" t="e">
        <f>IF(Final_Sans_VGE[[#This Row],[ppn_z]]="","",IFERROR(
   IF(_xlfn.XLOOKUP(Final_Sans_VGE[[#This Row],[ppn_z]],tbl_Historique_Final[ppn_z],tbl_Historique_Final[date_modif])=Final_Sans_VGE[[#This Row],[date_modif]],
      "Ancien",
      "Modifié"),
   "Nouveau"))</f>
        <v>#VALUE!</v>
      </c>
      <c r="AD3713" s="1" t="str">
        <f>IFERROR(IF(Final_Sans_VGE[[#This Row],[ppn_z]]="","",IFERROR(
   IF(_xlfn.XLOOKUP(Final_Sans_VGE[[#This Row],[ppn_z]],tbl_Historique_Final[[#This Row],[ppn_z]],tbl_Historique_Final[[#This Row],[date_modif]])=Final_Sans_VGE[[#This Row],[date_modif]],
      "Ancien",
      "Modifié"),
   "Nouveau")),"")</f>
        <v/>
      </c>
    </row>
    <row r="3714" spans="24:30" x14ac:dyDescent="0.25">
      <c r="X3714" s="8" t="e">
        <f>IF(Final_Sans_VGE[[#This Row],[ppn_z]]="","",IFERROR(
   IF(_xlfn.XLOOKUP(Final_Sans_VGE[[#This Row],[ppn_z]],tbl_Historique_Final[ppn_z],tbl_Historique_Final[date_modif])=Final_Sans_VGE[[#This Row],[date_modif]],
      "Ancien",
      "Modifié"),
   "Nouveau"))</f>
        <v>#VALUE!</v>
      </c>
      <c r="AD3714" s="1" t="str">
        <f>IFERROR(IF(Final_Sans_VGE[[#This Row],[ppn_z]]="","",IFERROR(
   IF(_xlfn.XLOOKUP(Final_Sans_VGE[[#This Row],[ppn_z]],tbl_Historique_Final[[#This Row],[ppn_z]],tbl_Historique_Final[[#This Row],[date_modif]])=Final_Sans_VGE[[#This Row],[date_modif]],
      "Ancien",
      "Modifié"),
   "Nouveau")),"")</f>
        <v/>
      </c>
    </row>
    <row r="3715" spans="24:30" x14ac:dyDescent="0.25">
      <c r="X3715" s="8" t="e">
        <f>IF(Final_Sans_VGE[[#This Row],[ppn_z]]="","",IFERROR(
   IF(_xlfn.XLOOKUP(Final_Sans_VGE[[#This Row],[ppn_z]],tbl_Historique_Final[ppn_z],tbl_Historique_Final[date_modif])=Final_Sans_VGE[[#This Row],[date_modif]],
      "Ancien",
      "Modifié"),
   "Nouveau"))</f>
        <v>#VALUE!</v>
      </c>
      <c r="AD3715" s="1" t="str">
        <f>IFERROR(IF(Final_Sans_VGE[[#This Row],[ppn_z]]="","",IFERROR(
   IF(_xlfn.XLOOKUP(Final_Sans_VGE[[#This Row],[ppn_z]],tbl_Historique_Final[[#This Row],[ppn_z]],tbl_Historique_Final[[#This Row],[date_modif]])=Final_Sans_VGE[[#This Row],[date_modif]],
      "Ancien",
      "Modifié"),
   "Nouveau")),"")</f>
        <v/>
      </c>
    </row>
    <row r="3716" spans="24:30" x14ac:dyDescent="0.25">
      <c r="X3716" s="8" t="e">
        <f>IF(Final_Sans_VGE[[#This Row],[ppn_z]]="","",IFERROR(
   IF(_xlfn.XLOOKUP(Final_Sans_VGE[[#This Row],[ppn_z]],tbl_Historique_Final[ppn_z],tbl_Historique_Final[date_modif])=Final_Sans_VGE[[#This Row],[date_modif]],
      "Ancien",
      "Modifié"),
   "Nouveau"))</f>
        <v>#VALUE!</v>
      </c>
      <c r="AD3716" s="1" t="str">
        <f>IFERROR(IF(Final_Sans_VGE[[#This Row],[ppn_z]]="","",IFERROR(
   IF(_xlfn.XLOOKUP(Final_Sans_VGE[[#This Row],[ppn_z]],tbl_Historique_Final[[#This Row],[ppn_z]],tbl_Historique_Final[[#This Row],[date_modif]])=Final_Sans_VGE[[#This Row],[date_modif]],
      "Ancien",
      "Modifié"),
   "Nouveau")),"")</f>
        <v/>
      </c>
    </row>
    <row r="3717" spans="24:30" x14ac:dyDescent="0.25">
      <c r="X3717" s="8" t="e">
        <f>IF(Final_Sans_VGE[[#This Row],[ppn_z]]="","",IFERROR(
   IF(_xlfn.XLOOKUP(Final_Sans_VGE[[#This Row],[ppn_z]],tbl_Historique_Final[ppn_z],tbl_Historique_Final[date_modif])=Final_Sans_VGE[[#This Row],[date_modif]],
      "Ancien",
      "Modifié"),
   "Nouveau"))</f>
        <v>#VALUE!</v>
      </c>
      <c r="AD3717" s="1" t="str">
        <f>IFERROR(IF(Final_Sans_VGE[[#This Row],[ppn_z]]="","",IFERROR(
   IF(_xlfn.XLOOKUP(Final_Sans_VGE[[#This Row],[ppn_z]],tbl_Historique_Final[[#This Row],[ppn_z]],tbl_Historique_Final[[#This Row],[date_modif]])=Final_Sans_VGE[[#This Row],[date_modif]],
      "Ancien",
      "Modifié"),
   "Nouveau")),"")</f>
        <v/>
      </c>
    </row>
    <row r="3718" spans="24:30" x14ac:dyDescent="0.25">
      <c r="X3718" s="8" t="e">
        <f>IF(Final_Sans_VGE[[#This Row],[ppn_z]]="","",IFERROR(
   IF(_xlfn.XLOOKUP(Final_Sans_VGE[[#This Row],[ppn_z]],tbl_Historique_Final[ppn_z],tbl_Historique_Final[date_modif])=Final_Sans_VGE[[#This Row],[date_modif]],
      "Ancien",
      "Modifié"),
   "Nouveau"))</f>
        <v>#VALUE!</v>
      </c>
      <c r="AD3718" s="1" t="str">
        <f>IFERROR(IF(Final_Sans_VGE[[#This Row],[ppn_z]]="","",IFERROR(
   IF(_xlfn.XLOOKUP(Final_Sans_VGE[[#This Row],[ppn_z]],tbl_Historique_Final[[#This Row],[ppn_z]],tbl_Historique_Final[[#This Row],[date_modif]])=Final_Sans_VGE[[#This Row],[date_modif]],
      "Ancien",
      "Modifié"),
   "Nouveau")),"")</f>
        <v/>
      </c>
    </row>
    <row r="3719" spans="24:30" x14ac:dyDescent="0.25">
      <c r="X3719" s="8" t="e">
        <f>IF(Final_Sans_VGE[[#This Row],[ppn_z]]="","",IFERROR(
   IF(_xlfn.XLOOKUP(Final_Sans_VGE[[#This Row],[ppn_z]],tbl_Historique_Final[ppn_z],tbl_Historique_Final[date_modif])=Final_Sans_VGE[[#This Row],[date_modif]],
      "Ancien",
      "Modifié"),
   "Nouveau"))</f>
        <v>#VALUE!</v>
      </c>
      <c r="AD3719" s="1" t="str">
        <f>IFERROR(IF(Final_Sans_VGE[[#This Row],[ppn_z]]="","",IFERROR(
   IF(_xlfn.XLOOKUP(Final_Sans_VGE[[#This Row],[ppn_z]],tbl_Historique_Final[[#This Row],[ppn_z]],tbl_Historique_Final[[#This Row],[date_modif]])=Final_Sans_VGE[[#This Row],[date_modif]],
      "Ancien",
      "Modifié"),
   "Nouveau")),"")</f>
        <v/>
      </c>
    </row>
    <row r="3720" spans="24:30" x14ac:dyDescent="0.25">
      <c r="X3720" s="8" t="e">
        <f>IF(Final_Sans_VGE[[#This Row],[ppn_z]]="","",IFERROR(
   IF(_xlfn.XLOOKUP(Final_Sans_VGE[[#This Row],[ppn_z]],tbl_Historique_Final[ppn_z],tbl_Historique_Final[date_modif])=Final_Sans_VGE[[#This Row],[date_modif]],
      "Ancien",
      "Modifié"),
   "Nouveau"))</f>
        <v>#VALUE!</v>
      </c>
      <c r="AD3720" s="1" t="str">
        <f>IFERROR(IF(Final_Sans_VGE[[#This Row],[ppn_z]]="","",IFERROR(
   IF(_xlfn.XLOOKUP(Final_Sans_VGE[[#This Row],[ppn_z]],tbl_Historique_Final[[#This Row],[ppn_z]],tbl_Historique_Final[[#This Row],[date_modif]])=Final_Sans_VGE[[#This Row],[date_modif]],
      "Ancien",
      "Modifié"),
   "Nouveau")),"")</f>
        <v/>
      </c>
    </row>
    <row r="3721" spans="24:30" x14ac:dyDescent="0.25">
      <c r="X3721" s="8" t="e">
        <f>IF(Final_Sans_VGE[[#This Row],[ppn_z]]="","",IFERROR(
   IF(_xlfn.XLOOKUP(Final_Sans_VGE[[#This Row],[ppn_z]],tbl_Historique_Final[ppn_z],tbl_Historique_Final[date_modif])=Final_Sans_VGE[[#This Row],[date_modif]],
      "Ancien",
      "Modifié"),
   "Nouveau"))</f>
        <v>#VALUE!</v>
      </c>
      <c r="AD3721" s="1" t="str">
        <f>IFERROR(IF(Final_Sans_VGE[[#This Row],[ppn_z]]="","",IFERROR(
   IF(_xlfn.XLOOKUP(Final_Sans_VGE[[#This Row],[ppn_z]],tbl_Historique_Final[[#This Row],[ppn_z]],tbl_Historique_Final[[#This Row],[date_modif]])=Final_Sans_VGE[[#This Row],[date_modif]],
      "Ancien",
      "Modifié"),
   "Nouveau")),"")</f>
        <v/>
      </c>
    </row>
    <row r="3722" spans="24:30" x14ac:dyDescent="0.25">
      <c r="X3722" s="8" t="e">
        <f>IF(Final_Sans_VGE[[#This Row],[ppn_z]]="","",IFERROR(
   IF(_xlfn.XLOOKUP(Final_Sans_VGE[[#This Row],[ppn_z]],tbl_Historique_Final[ppn_z],tbl_Historique_Final[date_modif])=Final_Sans_VGE[[#This Row],[date_modif]],
      "Ancien",
      "Modifié"),
   "Nouveau"))</f>
        <v>#VALUE!</v>
      </c>
      <c r="AD3722" s="1" t="str">
        <f>IFERROR(IF(Final_Sans_VGE[[#This Row],[ppn_z]]="","",IFERROR(
   IF(_xlfn.XLOOKUP(Final_Sans_VGE[[#This Row],[ppn_z]],tbl_Historique_Final[[#This Row],[ppn_z]],tbl_Historique_Final[[#This Row],[date_modif]])=Final_Sans_VGE[[#This Row],[date_modif]],
      "Ancien",
      "Modifié"),
   "Nouveau")),"")</f>
        <v/>
      </c>
    </row>
    <row r="3723" spans="24:30" x14ac:dyDescent="0.25">
      <c r="X3723" s="8" t="e">
        <f>IF(Final_Sans_VGE[[#This Row],[ppn_z]]="","",IFERROR(
   IF(_xlfn.XLOOKUP(Final_Sans_VGE[[#This Row],[ppn_z]],tbl_Historique_Final[ppn_z],tbl_Historique_Final[date_modif])=Final_Sans_VGE[[#This Row],[date_modif]],
      "Ancien",
      "Modifié"),
   "Nouveau"))</f>
        <v>#VALUE!</v>
      </c>
      <c r="AD3723" s="1" t="str">
        <f>IFERROR(IF(Final_Sans_VGE[[#This Row],[ppn_z]]="","",IFERROR(
   IF(_xlfn.XLOOKUP(Final_Sans_VGE[[#This Row],[ppn_z]],tbl_Historique_Final[[#This Row],[ppn_z]],tbl_Historique_Final[[#This Row],[date_modif]])=Final_Sans_VGE[[#This Row],[date_modif]],
      "Ancien",
      "Modifié"),
   "Nouveau")),"")</f>
        <v/>
      </c>
    </row>
    <row r="3724" spans="24:30" x14ac:dyDescent="0.25">
      <c r="X3724" s="8" t="e">
        <f>IF(Final_Sans_VGE[[#This Row],[ppn_z]]="","",IFERROR(
   IF(_xlfn.XLOOKUP(Final_Sans_VGE[[#This Row],[ppn_z]],tbl_Historique_Final[ppn_z],tbl_Historique_Final[date_modif])=Final_Sans_VGE[[#This Row],[date_modif]],
      "Ancien",
      "Modifié"),
   "Nouveau"))</f>
        <v>#VALUE!</v>
      </c>
      <c r="AD3724" s="1" t="str">
        <f>IFERROR(IF(Final_Sans_VGE[[#This Row],[ppn_z]]="","",IFERROR(
   IF(_xlfn.XLOOKUP(Final_Sans_VGE[[#This Row],[ppn_z]],tbl_Historique_Final[[#This Row],[ppn_z]],tbl_Historique_Final[[#This Row],[date_modif]])=Final_Sans_VGE[[#This Row],[date_modif]],
      "Ancien",
      "Modifié"),
   "Nouveau")),"")</f>
        <v/>
      </c>
    </row>
    <row r="3725" spans="24:30" x14ac:dyDescent="0.25">
      <c r="X3725" s="8" t="e">
        <f>IF(Final_Sans_VGE[[#This Row],[ppn_z]]="","",IFERROR(
   IF(_xlfn.XLOOKUP(Final_Sans_VGE[[#This Row],[ppn_z]],tbl_Historique_Final[ppn_z],tbl_Historique_Final[date_modif])=Final_Sans_VGE[[#This Row],[date_modif]],
      "Ancien",
      "Modifié"),
   "Nouveau"))</f>
        <v>#VALUE!</v>
      </c>
      <c r="AD3725" s="1" t="str">
        <f>IFERROR(IF(Final_Sans_VGE[[#This Row],[ppn_z]]="","",IFERROR(
   IF(_xlfn.XLOOKUP(Final_Sans_VGE[[#This Row],[ppn_z]],tbl_Historique_Final[[#This Row],[ppn_z]],tbl_Historique_Final[[#This Row],[date_modif]])=Final_Sans_VGE[[#This Row],[date_modif]],
      "Ancien",
      "Modifié"),
   "Nouveau")),"")</f>
        <v/>
      </c>
    </row>
    <row r="3726" spans="24:30" x14ac:dyDescent="0.25">
      <c r="X3726" s="8" t="e">
        <f>IF(Final_Sans_VGE[[#This Row],[ppn_z]]="","",IFERROR(
   IF(_xlfn.XLOOKUP(Final_Sans_VGE[[#This Row],[ppn_z]],tbl_Historique_Final[ppn_z],tbl_Historique_Final[date_modif])=Final_Sans_VGE[[#This Row],[date_modif]],
      "Ancien",
      "Modifié"),
   "Nouveau"))</f>
        <v>#VALUE!</v>
      </c>
      <c r="AD3726" s="1" t="str">
        <f>IFERROR(IF(Final_Sans_VGE[[#This Row],[ppn_z]]="","",IFERROR(
   IF(_xlfn.XLOOKUP(Final_Sans_VGE[[#This Row],[ppn_z]],tbl_Historique_Final[[#This Row],[ppn_z]],tbl_Historique_Final[[#This Row],[date_modif]])=Final_Sans_VGE[[#This Row],[date_modif]],
      "Ancien",
      "Modifié"),
   "Nouveau")),"")</f>
        <v/>
      </c>
    </row>
    <row r="3727" spans="24:30" x14ac:dyDescent="0.25">
      <c r="X3727" s="8" t="e">
        <f>IF(Final_Sans_VGE[[#This Row],[ppn_z]]="","",IFERROR(
   IF(_xlfn.XLOOKUP(Final_Sans_VGE[[#This Row],[ppn_z]],tbl_Historique_Final[ppn_z],tbl_Historique_Final[date_modif])=Final_Sans_VGE[[#This Row],[date_modif]],
      "Ancien",
      "Modifié"),
   "Nouveau"))</f>
        <v>#VALUE!</v>
      </c>
      <c r="AD3727" s="1" t="str">
        <f>IFERROR(IF(Final_Sans_VGE[[#This Row],[ppn_z]]="","",IFERROR(
   IF(_xlfn.XLOOKUP(Final_Sans_VGE[[#This Row],[ppn_z]],tbl_Historique_Final[[#This Row],[ppn_z]],tbl_Historique_Final[[#This Row],[date_modif]])=Final_Sans_VGE[[#This Row],[date_modif]],
      "Ancien",
      "Modifié"),
   "Nouveau")),"")</f>
        <v/>
      </c>
    </row>
    <row r="3728" spans="24:30" x14ac:dyDescent="0.25">
      <c r="X3728" s="8" t="e">
        <f>IF(Final_Sans_VGE[[#This Row],[ppn_z]]="","",IFERROR(
   IF(_xlfn.XLOOKUP(Final_Sans_VGE[[#This Row],[ppn_z]],tbl_Historique_Final[ppn_z],tbl_Historique_Final[date_modif])=Final_Sans_VGE[[#This Row],[date_modif]],
      "Ancien",
      "Modifié"),
   "Nouveau"))</f>
        <v>#VALUE!</v>
      </c>
      <c r="AD3728" s="1" t="str">
        <f>IFERROR(IF(Final_Sans_VGE[[#This Row],[ppn_z]]="","",IFERROR(
   IF(_xlfn.XLOOKUP(Final_Sans_VGE[[#This Row],[ppn_z]],tbl_Historique_Final[[#This Row],[ppn_z]],tbl_Historique_Final[[#This Row],[date_modif]])=Final_Sans_VGE[[#This Row],[date_modif]],
      "Ancien",
      "Modifié"),
   "Nouveau")),"")</f>
        <v/>
      </c>
    </row>
    <row r="3729" spans="24:30" x14ac:dyDescent="0.25">
      <c r="X3729" s="8" t="e">
        <f>IF(Final_Sans_VGE[[#This Row],[ppn_z]]="","",IFERROR(
   IF(_xlfn.XLOOKUP(Final_Sans_VGE[[#This Row],[ppn_z]],tbl_Historique_Final[ppn_z],tbl_Historique_Final[date_modif])=Final_Sans_VGE[[#This Row],[date_modif]],
      "Ancien",
      "Modifié"),
   "Nouveau"))</f>
        <v>#VALUE!</v>
      </c>
      <c r="AD3729" s="1" t="str">
        <f>IFERROR(IF(Final_Sans_VGE[[#This Row],[ppn_z]]="","",IFERROR(
   IF(_xlfn.XLOOKUP(Final_Sans_VGE[[#This Row],[ppn_z]],tbl_Historique_Final[[#This Row],[ppn_z]],tbl_Historique_Final[[#This Row],[date_modif]])=Final_Sans_VGE[[#This Row],[date_modif]],
      "Ancien",
      "Modifié"),
   "Nouveau")),"")</f>
        <v/>
      </c>
    </row>
    <row r="3730" spans="24:30" x14ac:dyDescent="0.25">
      <c r="X3730" s="8" t="e">
        <f>IF(Final_Sans_VGE[[#This Row],[ppn_z]]="","",IFERROR(
   IF(_xlfn.XLOOKUP(Final_Sans_VGE[[#This Row],[ppn_z]],tbl_Historique_Final[ppn_z],tbl_Historique_Final[date_modif])=Final_Sans_VGE[[#This Row],[date_modif]],
      "Ancien",
      "Modifié"),
   "Nouveau"))</f>
        <v>#VALUE!</v>
      </c>
      <c r="AD3730" s="1" t="str">
        <f>IFERROR(IF(Final_Sans_VGE[[#This Row],[ppn_z]]="","",IFERROR(
   IF(_xlfn.XLOOKUP(Final_Sans_VGE[[#This Row],[ppn_z]],tbl_Historique_Final[[#This Row],[ppn_z]],tbl_Historique_Final[[#This Row],[date_modif]])=Final_Sans_VGE[[#This Row],[date_modif]],
      "Ancien",
      "Modifié"),
   "Nouveau")),"")</f>
        <v/>
      </c>
    </row>
    <row r="3731" spans="24:30" x14ac:dyDescent="0.25">
      <c r="X3731" s="8" t="e">
        <f>IF(Final_Sans_VGE[[#This Row],[ppn_z]]="","",IFERROR(
   IF(_xlfn.XLOOKUP(Final_Sans_VGE[[#This Row],[ppn_z]],tbl_Historique_Final[ppn_z],tbl_Historique_Final[date_modif])=Final_Sans_VGE[[#This Row],[date_modif]],
      "Ancien",
      "Modifié"),
   "Nouveau"))</f>
        <v>#VALUE!</v>
      </c>
      <c r="AD3731" s="1" t="str">
        <f>IFERROR(IF(Final_Sans_VGE[[#This Row],[ppn_z]]="","",IFERROR(
   IF(_xlfn.XLOOKUP(Final_Sans_VGE[[#This Row],[ppn_z]],tbl_Historique_Final[[#This Row],[ppn_z]],tbl_Historique_Final[[#This Row],[date_modif]])=Final_Sans_VGE[[#This Row],[date_modif]],
      "Ancien",
      "Modifié"),
   "Nouveau")),"")</f>
        <v/>
      </c>
    </row>
    <row r="3732" spans="24:30" x14ac:dyDescent="0.25">
      <c r="X3732" s="8" t="e">
        <f>IF(Final_Sans_VGE[[#This Row],[ppn_z]]="","",IFERROR(
   IF(_xlfn.XLOOKUP(Final_Sans_VGE[[#This Row],[ppn_z]],tbl_Historique_Final[ppn_z],tbl_Historique_Final[date_modif])=Final_Sans_VGE[[#This Row],[date_modif]],
      "Ancien",
      "Modifié"),
   "Nouveau"))</f>
        <v>#VALUE!</v>
      </c>
      <c r="AD3732" s="1" t="str">
        <f>IFERROR(IF(Final_Sans_VGE[[#This Row],[ppn_z]]="","",IFERROR(
   IF(_xlfn.XLOOKUP(Final_Sans_VGE[[#This Row],[ppn_z]],tbl_Historique_Final[[#This Row],[ppn_z]],tbl_Historique_Final[[#This Row],[date_modif]])=Final_Sans_VGE[[#This Row],[date_modif]],
      "Ancien",
      "Modifié"),
   "Nouveau")),"")</f>
        <v/>
      </c>
    </row>
    <row r="3733" spans="24:30" x14ac:dyDescent="0.25">
      <c r="X3733" s="8" t="e">
        <f>IF(Final_Sans_VGE[[#This Row],[ppn_z]]="","",IFERROR(
   IF(_xlfn.XLOOKUP(Final_Sans_VGE[[#This Row],[ppn_z]],tbl_Historique_Final[ppn_z],tbl_Historique_Final[date_modif])=Final_Sans_VGE[[#This Row],[date_modif]],
      "Ancien",
      "Modifié"),
   "Nouveau"))</f>
        <v>#VALUE!</v>
      </c>
      <c r="AD3733" s="1" t="str">
        <f>IFERROR(IF(Final_Sans_VGE[[#This Row],[ppn_z]]="","",IFERROR(
   IF(_xlfn.XLOOKUP(Final_Sans_VGE[[#This Row],[ppn_z]],tbl_Historique_Final[[#This Row],[ppn_z]],tbl_Historique_Final[[#This Row],[date_modif]])=Final_Sans_VGE[[#This Row],[date_modif]],
      "Ancien",
      "Modifié"),
   "Nouveau")),"")</f>
        <v/>
      </c>
    </row>
    <row r="3734" spans="24:30" x14ac:dyDescent="0.25">
      <c r="X3734" s="8" t="e">
        <f>IF(Final_Sans_VGE[[#This Row],[ppn_z]]="","",IFERROR(
   IF(_xlfn.XLOOKUP(Final_Sans_VGE[[#This Row],[ppn_z]],tbl_Historique_Final[ppn_z],tbl_Historique_Final[date_modif])=Final_Sans_VGE[[#This Row],[date_modif]],
      "Ancien",
      "Modifié"),
   "Nouveau"))</f>
        <v>#VALUE!</v>
      </c>
      <c r="AD3734" s="1" t="str">
        <f>IFERROR(IF(Final_Sans_VGE[[#This Row],[ppn_z]]="","",IFERROR(
   IF(_xlfn.XLOOKUP(Final_Sans_VGE[[#This Row],[ppn_z]],tbl_Historique_Final[[#This Row],[ppn_z]],tbl_Historique_Final[[#This Row],[date_modif]])=Final_Sans_VGE[[#This Row],[date_modif]],
      "Ancien",
      "Modifié"),
   "Nouveau")),"")</f>
        <v/>
      </c>
    </row>
    <row r="3735" spans="24:30" x14ac:dyDescent="0.25">
      <c r="X3735" s="8" t="e">
        <f>IF(Final_Sans_VGE[[#This Row],[ppn_z]]="","",IFERROR(
   IF(_xlfn.XLOOKUP(Final_Sans_VGE[[#This Row],[ppn_z]],tbl_Historique_Final[ppn_z],tbl_Historique_Final[date_modif])=Final_Sans_VGE[[#This Row],[date_modif]],
      "Ancien",
      "Modifié"),
   "Nouveau"))</f>
        <v>#VALUE!</v>
      </c>
      <c r="AD3735" s="1" t="str">
        <f>IFERROR(IF(Final_Sans_VGE[[#This Row],[ppn_z]]="","",IFERROR(
   IF(_xlfn.XLOOKUP(Final_Sans_VGE[[#This Row],[ppn_z]],tbl_Historique_Final[[#This Row],[ppn_z]],tbl_Historique_Final[[#This Row],[date_modif]])=Final_Sans_VGE[[#This Row],[date_modif]],
      "Ancien",
      "Modifié"),
   "Nouveau")),"")</f>
        <v/>
      </c>
    </row>
    <row r="3736" spans="24:30" x14ac:dyDescent="0.25">
      <c r="X3736" s="8" t="e">
        <f>IF(Final_Sans_VGE[[#This Row],[ppn_z]]="","",IFERROR(
   IF(_xlfn.XLOOKUP(Final_Sans_VGE[[#This Row],[ppn_z]],tbl_Historique_Final[ppn_z],tbl_Historique_Final[date_modif])=Final_Sans_VGE[[#This Row],[date_modif]],
      "Ancien",
      "Modifié"),
   "Nouveau"))</f>
        <v>#VALUE!</v>
      </c>
      <c r="AD3736" s="1" t="str">
        <f>IFERROR(IF(Final_Sans_VGE[[#This Row],[ppn_z]]="","",IFERROR(
   IF(_xlfn.XLOOKUP(Final_Sans_VGE[[#This Row],[ppn_z]],tbl_Historique_Final[[#This Row],[ppn_z]],tbl_Historique_Final[[#This Row],[date_modif]])=Final_Sans_VGE[[#This Row],[date_modif]],
      "Ancien",
      "Modifié"),
   "Nouveau")),"")</f>
        <v/>
      </c>
    </row>
    <row r="3737" spans="24:30" x14ac:dyDescent="0.25">
      <c r="X3737" s="8" t="e">
        <f>IF(Final_Sans_VGE[[#This Row],[ppn_z]]="","",IFERROR(
   IF(_xlfn.XLOOKUP(Final_Sans_VGE[[#This Row],[ppn_z]],tbl_Historique_Final[ppn_z],tbl_Historique_Final[date_modif])=Final_Sans_VGE[[#This Row],[date_modif]],
      "Ancien",
      "Modifié"),
   "Nouveau"))</f>
        <v>#VALUE!</v>
      </c>
      <c r="AD3737" s="1" t="str">
        <f>IFERROR(IF(Final_Sans_VGE[[#This Row],[ppn_z]]="","",IFERROR(
   IF(_xlfn.XLOOKUP(Final_Sans_VGE[[#This Row],[ppn_z]],tbl_Historique_Final[[#This Row],[ppn_z]],tbl_Historique_Final[[#This Row],[date_modif]])=Final_Sans_VGE[[#This Row],[date_modif]],
      "Ancien",
      "Modifié"),
   "Nouveau")),"")</f>
        <v/>
      </c>
    </row>
    <row r="3738" spans="24:30" x14ac:dyDescent="0.25">
      <c r="X3738" s="8" t="e">
        <f>IF(Final_Sans_VGE[[#This Row],[ppn_z]]="","",IFERROR(
   IF(_xlfn.XLOOKUP(Final_Sans_VGE[[#This Row],[ppn_z]],tbl_Historique_Final[ppn_z],tbl_Historique_Final[date_modif])=Final_Sans_VGE[[#This Row],[date_modif]],
      "Ancien",
      "Modifié"),
   "Nouveau"))</f>
        <v>#VALUE!</v>
      </c>
      <c r="AD3738" s="1" t="str">
        <f>IFERROR(IF(Final_Sans_VGE[[#This Row],[ppn_z]]="","",IFERROR(
   IF(_xlfn.XLOOKUP(Final_Sans_VGE[[#This Row],[ppn_z]],tbl_Historique_Final[[#This Row],[ppn_z]],tbl_Historique_Final[[#This Row],[date_modif]])=Final_Sans_VGE[[#This Row],[date_modif]],
      "Ancien",
      "Modifié"),
   "Nouveau")),"")</f>
        <v/>
      </c>
    </row>
    <row r="3739" spans="24:30" x14ac:dyDescent="0.25">
      <c r="X3739" s="8" t="e">
        <f>IF(Final_Sans_VGE[[#This Row],[ppn_z]]="","",IFERROR(
   IF(_xlfn.XLOOKUP(Final_Sans_VGE[[#This Row],[ppn_z]],tbl_Historique_Final[ppn_z],tbl_Historique_Final[date_modif])=Final_Sans_VGE[[#This Row],[date_modif]],
      "Ancien",
      "Modifié"),
   "Nouveau"))</f>
        <v>#VALUE!</v>
      </c>
      <c r="AD3739" s="1" t="str">
        <f>IFERROR(IF(Final_Sans_VGE[[#This Row],[ppn_z]]="","",IFERROR(
   IF(_xlfn.XLOOKUP(Final_Sans_VGE[[#This Row],[ppn_z]],tbl_Historique_Final[[#This Row],[ppn_z]],tbl_Historique_Final[[#This Row],[date_modif]])=Final_Sans_VGE[[#This Row],[date_modif]],
      "Ancien",
      "Modifié"),
   "Nouveau")),"")</f>
        <v/>
      </c>
    </row>
    <row r="3740" spans="24:30" x14ac:dyDescent="0.25">
      <c r="X3740" s="8" t="e">
        <f>IF(Final_Sans_VGE[[#This Row],[ppn_z]]="","",IFERROR(
   IF(_xlfn.XLOOKUP(Final_Sans_VGE[[#This Row],[ppn_z]],tbl_Historique_Final[ppn_z],tbl_Historique_Final[date_modif])=Final_Sans_VGE[[#This Row],[date_modif]],
      "Ancien",
      "Modifié"),
   "Nouveau"))</f>
        <v>#VALUE!</v>
      </c>
      <c r="AD3740" s="1" t="str">
        <f>IFERROR(IF(Final_Sans_VGE[[#This Row],[ppn_z]]="","",IFERROR(
   IF(_xlfn.XLOOKUP(Final_Sans_VGE[[#This Row],[ppn_z]],tbl_Historique_Final[[#This Row],[ppn_z]],tbl_Historique_Final[[#This Row],[date_modif]])=Final_Sans_VGE[[#This Row],[date_modif]],
      "Ancien",
      "Modifié"),
   "Nouveau")),"")</f>
        <v/>
      </c>
    </row>
    <row r="3741" spans="24:30" x14ac:dyDescent="0.25">
      <c r="X3741" s="8" t="e">
        <f>IF(Final_Sans_VGE[[#This Row],[ppn_z]]="","",IFERROR(
   IF(_xlfn.XLOOKUP(Final_Sans_VGE[[#This Row],[ppn_z]],tbl_Historique_Final[ppn_z],tbl_Historique_Final[date_modif])=Final_Sans_VGE[[#This Row],[date_modif]],
      "Ancien",
      "Modifié"),
   "Nouveau"))</f>
        <v>#VALUE!</v>
      </c>
      <c r="AD3741" s="1" t="str">
        <f>IFERROR(IF(Final_Sans_VGE[[#This Row],[ppn_z]]="","",IFERROR(
   IF(_xlfn.XLOOKUP(Final_Sans_VGE[[#This Row],[ppn_z]],tbl_Historique_Final[[#This Row],[ppn_z]],tbl_Historique_Final[[#This Row],[date_modif]])=Final_Sans_VGE[[#This Row],[date_modif]],
      "Ancien",
      "Modifié"),
   "Nouveau")),"")</f>
        <v/>
      </c>
    </row>
    <row r="3742" spans="24:30" x14ac:dyDescent="0.25">
      <c r="X3742" s="8" t="e">
        <f>IF(Final_Sans_VGE[[#This Row],[ppn_z]]="","",IFERROR(
   IF(_xlfn.XLOOKUP(Final_Sans_VGE[[#This Row],[ppn_z]],tbl_Historique_Final[ppn_z],tbl_Historique_Final[date_modif])=Final_Sans_VGE[[#This Row],[date_modif]],
      "Ancien",
      "Modifié"),
   "Nouveau"))</f>
        <v>#VALUE!</v>
      </c>
      <c r="AD3742" s="1" t="str">
        <f>IFERROR(IF(Final_Sans_VGE[[#This Row],[ppn_z]]="","",IFERROR(
   IF(_xlfn.XLOOKUP(Final_Sans_VGE[[#This Row],[ppn_z]],tbl_Historique_Final[[#This Row],[ppn_z]],tbl_Historique_Final[[#This Row],[date_modif]])=Final_Sans_VGE[[#This Row],[date_modif]],
      "Ancien",
      "Modifié"),
   "Nouveau")),"")</f>
        <v/>
      </c>
    </row>
    <row r="3743" spans="24:30" x14ac:dyDescent="0.25">
      <c r="X3743" s="8" t="e">
        <f>IF(Final_Sans_VGE[[#This Row],[ppn_z]]="","",IFERROR(
   IF(_xlfn.XLOOKUP(Final_Sans_VGE[[#This Row],[ppn_z]],tbl_Historique_Final[ppn_z],tbl_Historique_Final[date_modif])=Final_Sans_VGE[[#This Row],[date_modif]],
      "Ancien",
      "Modifié"),
   "Nouveau"))</f>
        <v>#VALUE!</v>
      </c>
      <c r="AD3743" s="1" t="str">
        <f>IFERROR(IF(Final_Sans_VGE[[#This Row],[ppn_z]]="","",IFERROR(
   IF(_xlfn.XLOOKUP(Final_Sans_VGE[[#This Row],[ppn_z]],tbl_Historique_Final[[#This Row],[ppn_z]],tbl_Historique_Final[[#This Row],[date_modif]])=Final_Sans_VGE[[#This Row],[date_modif]],
      "Ancien",
      "Modifié"),
   "Nouveau")),"")</f>
        <v/>
      </c>
    </row>
    <row r="3744" spans="24:30" x14ac:dyDescent="0.25">
      <c r="X3744" s="8" t="e">
        <f>IF(Final_Sans_VGE[[#This Row],[ppn_z]]="","",IFERROR(
   IF(_xlfn.XLOOKUP(Final_Sans_VGE[[#This Row],[ppn_z]],tbl_Historique_Final[ppn_z],tbl_Historique_Final[date_modif])=Final_Sans_VGE[[#This Row],[date_modif]],
      "Ancien",
      "Modifié"),
   "Nouveau"))</f>
        <v>#VALUE!</v>
      </c>
      <c r="AD3744" s="1" t="str">
        <f>IFERROR(IF(Final_Sans_VGE[[#This Row],[ppn_z]]="","",IFERROR(
   IF(_xlfn.XLOOKUP(Final_Sans_VGE[[#This Row],[ppn_z]],tbl_Historique_Final[[#This Row],[ppn_z]],tbl_Historique_Final[[#This Row],[date_modif]])=Final_Sans_VGE[[#This Row],[date_modif]],
      "Ancien",
      "Modifié"),
   "Nouveau")),"")</f>
        <v/>
      </c>
    </row>
    <row r="3745" spans="24:30" x14ac:dyDescent="0.25">
      <c r="X3745" s="8" t="e">
        <f>IF(Final_Sans_VGE[[#This Row],[ppn_z]]="","",IFERROR(
   IF(_xlfn.XLOOKUP(Final_Sans_VGE[[#This Row],[ppn_z]],tbl_Historique_Final[ppn_z],tbl_Historique_Final[date_modif])=Final_Sans_VGE[[#This Row],[date_modif]],
      "Ancien",
      "Modifié"),
   "Nouveau"))</f>
        <v>#VALUE!</v>
      </c>
      <c r="AD3745" s="1" t="str">
        <f>IFERROR(IF(Final_Sans_VGE[[#This Row],[ppn_z]]="","",IFERROR(
   IF(_xlfn.XLOOKUP(Final_Sans_VGE[[#This Row],[ppn_z]],tbl_Historique_Final[[#This Row],[ppn_z]],tbl_Historique_Final[[#This Row],[date_modif]])=Final_Sans_VGE[[#This Row],[date_modif]],
      "Ancien",
      "Modifié"),
   "Nouveau")),"")</f>
        <v/>
      </c>
    </row>
    <row r="3746" spans="24:30" x14ac:dyDescent="0.25">
      <c r="X3746" s="8" t="e">
        <f>IF(Final_Sans_VGE[[#This Row],[ppn_z]]="","",IFERROR(
   IF(_xlfn.XLOOKUP(Final_Sans_VGE[[#This Row],[ppn_z]],tbl_Historique_Final[ppn_z],tbl_Historique_Final[date_modif])=Final_Sans_VGE[[#This Row],[date_modif]],
      "Ancien",
      "Modifié"),
   "Nouveau"))</f>
        <v>#VALUE!</v>
      </c>
      <c r="AD3746" s="1" t="str">
        <f>IFERROR(IF(Final_Sans_VGE[[#This Row],[ppn_z]]="","",IFERROR(
   IF(_xlfn.XLOOKUP(Final_Sans_VGE[[#This Row],[ppn_z]],tbl_Historique_Final[[#This Row],[ppn_z]],tbl_Historique_Final[[#This Row],[date_modif]])=Final_Sans_VGE[[#This Row],[date_modif]],
      "Ancien",
      "Modifié"),
   "Nouveau")),"")</f>
        <v/>
      </c>
    </row>
    <row r="3747" spans="24:30" x14ac:dyDescent="0.25">
      <c r="X3747" s="8" t="e">
        <f>IF(Final_Sans_VGE[[#This Row],[ppn_z]]="","",IFERROR(
   IF(_xlfn.XLOOKUP(Final_Sans_VGE[[#This Row],[ppn_z]],tbl_Historique_Final[ppn_z],tbl_Historique_Final[date_modif])=Final_Sans_VGE[[#This Row],[date_modif]],
      "Ancien",
      "Modifié"),
   "Nouveau"))</f>
        <v>#VALUE!</v>
      </c>
      <c r="AD3747" s="1" t="str">
        <f>IFERROR(IF(Final_Sans_VGE[[#This Row],[ppn_z]]="","",IFERROR(
   IF(_xlfn.XLOOKUP(Final_Sans_VGE[[#This Row],[ppn_z]],tbl_Historique_Final[[#This Row],[ppn_z]],tbl_Historique_Final[[#This Row],[date_modif]])=Final_Sans_VGE[[#This Row],[date_modif]],
      "Ancien",
      "Modifié"),
   "Nouveau")),"")</f>
        <v/>
      </c>
    </row>
    <row r="3748" spans="24:30" x14ac:dyDescent="0.25">
      <c r="X3748" s="8" t="e">
        <f>IF(Final_Sans_VGE[[#This Row],[ppn_z]]="","",IFERROR(
   IF(_xlfn.XLOOKUP(Final_Sans_VGE[[#This Row],[ppn_z]],tbl_Historique_Final[ppn_z],tbl_Historique_Final[date_modif])=Final_Sans_VGE[[#This Row],[date_modif]],
      "Ancien",
      "Modifié"),
   "Nouveau"))</f>
        <v>#VALUE!</v>
      </c>
      <c r="AD3748" s="1" t="str">
        <f>IFERROR(IF(Final_Sans_VGE[[#This Row],[ppn_z]]="","",IFERROR(
   IF(_xlfn.XLOOKUP(Final_Sans_VGE[[#This Row],[ppn_z]],tbl_Historique_Final[[#This Row],[ppn_z]],tbl_Historique_Final[[#This Row],[date_modif]])=Final_Sans_VGE[[#This Row],[date_modif]],
      "Ancien",
      "Modifié"),
   "Nouveau")),"")</f>
        <v/>
      </c>
    </row>
    <row r="3749" spans="24:30" x14ac:dyDescent="0.25">
      <c r="X3749" s="8" t="e">
        <f>IF(Final_Sans_VGE[[#This Row],[ppn_z]]="","",IFERROR(
   IF(_xlfn.XLOOKUP(Final_Sans_VGE[[#This Row],[ppn_z]],tbl_Historique_Final[ppn_z],tbl_Historique_Final[date_modif])=Final_Sans_VGE[[#This Row],[date_modif]],
      "Ancien",
      "Modifié"),
   "Nouveau"))</f>
        <v>#VALUE!</v>
      </c>
      <c r="AD3749" s="1" t="str">
        <f>IFERROR(IF(Final_Sans_VGE[[#This Row],[ppn_z]]="","",IFERROR(
   IF(_xlfn.XLOOKUP(Final_Sans_VGE[[#This Row],[ppn_z]],tbl_Historique_Final[[#This Row],[ppn_z]],tbl_Historique_Final[[#This Row],[date_modif]])=Final_Sans_VGE[[#This Row],[date_modif]],
      "Ancien",
      "Modifié"),
   "Nouveau")),"")</f>
        <v/>
      </c>
    </row>
    <row r="3750" spans="24:30" x14ac:dyDescent="0.25">
      <c r="X3750" s="8" t="e">
        <f>IF(Final_Sans_VGE[[#This Row],[ppn_z]]="","",IFERROR(
   IF(_xlfn.XLOOKUP(Final_Sans_VGE[[#This Row],[ppn_z]],tbl_Historique_Final[ppn_z],tbl_Historique_Final[date_modif])=Final_Sans_VGE[[#This Row],[date_modif]],
      "Ancien",
      "Modifié"),
   "Nouveau"))</f>
        <v>#VALUE!</v>
      </c>
      <c r="AD3750" s="1" t="str">
        <f>IFERROR(IF(Final_Sans_VGE[[#This Row],[ppn_z]]="","",IFERROR(
   IF(_xlfn.XLOOKUP(Final_Sans_VGE[[#This Row],[ppn_z]],tbl_Historique_Final[[#This Row],[ppn_z]],tbl_Historique_Final[[#This Row],[date_modif]])=Final_Sans_VGE[[#This Row],[date_modif]],
      "Ancien",
      "Modifié"),
   "Nouveau")),"")</f>
        <v/>
      </c>
    </row>
    <row r="3751" spans="24:30" x14ac:dyDescent="0.25">
      <c r="X3751" s="8" t="e">
        <f>IF(Final_Sans_VGE[[#This Row],[ppn_z]]="","",IFERROR(
   IF(_xlfn.XLOOKUP(Final_Sans_VGE[[#This Row],[ppn_z]],tbl_Historique_Final[ppn_z],tbl_Historique_Final[date_modif])=Final_Sans_VGE[[#This Row],[date_modif]],
      "Ancien",
      "Modifié"),
   "Nouveau"))</f>
        <v>#VALUE!</v>
      </c>
      <c r="AD3751" s="1" t="str">
        <f>IFERROR(IF(Final_Sans_VGE[[#This Row],[ppn_z]]="","",IFERROR(
   IF(_xlfn.XLOOKUP(Final_Sans_VGE[[#This Row],[ppn_z]],tbl_Historique_Final[[#This Row],[ppn_z]],tbl_Historique_Final[[#This Row],[date_modif]])=Final_Sans_VGE[[#This Row],[date_modif]],
      "Ancien",
      "Modifié"),
   "Nouveau")),"")</f>
        <v/>
      </c>
    </row>
    <row r="3752" spans="24:30" x14ac:dyDescent="0.25">
      <c r="X3752" s="8" t="e">
        <f>IF(Final_Sans_VGE[[#This Row],[ppn_z]]="","",IFERROR(
   IF(_xlfn.XLOOKUP(Final_Sans_VGE[[#This Row],[ppn_z]],tbl_Historique_Final[ppn_z],tbl_Historique_Final[date_modif])=Final_Sans_VGE[[#This Row],[date_modif]],
      "Ancien",
      "Modifié"),
   "Nouveau"))</f>
        <v>#VALUE!</v>
      </c>
      <c r="AD3752" s="1" t="str">
        <f>IFERROR(IF(Final_Sans_VGE[[#This Row],[ppn_z]]="","",IFERROR(
   IF(_xlfn.XLOOKUP(Final_Sans_VGE[[#This Row],[ppn_z]],tbl_Historique_Final[[#This Row],[ppn_z]],tbl_Historique_Final[[#This Row],[date_modif]])=Final_Sans_VGE[[#This Row],[date_modif]],
      "Ancien",
      "Modifié"),
   "Nouveau")),"")</f>
        <v/>
      </c>
    </row>
    <row r="3753" spans="24:30" x14ac:dyDescent="0.25">
      <c r="X3753" s="8" t="e">
        <f>IF(Final_Sans_VGE[[#This Row],[ppn_z]]="","",IFERROR(
   IF(_xlfn.XLOOKUP(Final_Sans_VGE[[#This Row],[ppn_z]],tbl_Historique_Final[ppn_z],tbl_Historique_Final[date_modif])=Final_Sans_VGE[[#This Row],[date_modif]],
      "Ancien",
      "Modifié"),
   "Nouveau"))</f>
        <v>#VALUE!</v>
      </c>
      <c r="AD3753" s="1" t="str">
        <f>IFERROR(IF(Final_Sans_VGE[[#This Row],[ppn_z]]="","",IFERROR(
   IF(_xlfn.XLOOKUP(Final_Sans_VGE[[#This Row],[ppn_z]],tbl_Historique_Final[[#This Row],[ppn_z]],tbl_Historique_Final[[#This Row],[date_modif]])=Final_Sans_VGE[[#This Row],[date_modif]],
      "Ancien",
      "Modifié"),
   "Nouveau")),"")</f>
        <v/>
      </c>
    </row>
    <row r="3754" spans="24:30" x14ac:dyDescent="0.25">
      <c r="X3754" s="8" t="e">
        <f>IF(Final_Sans_VGE[[#This Row],[ppn_z]]="","",IFERROR(
   IF(_xlfn.XLOOKUP(Final_Sans_VGE[[#This Row],[ppn_z]],tbl_Historique_Final[ppn_z],tbl_Historique_Final[date_modif])=Final_Sans_VGE[[#This Row],[date_modif]],
      "Ancien",
      "Modifié"),
   "Nouveau"))</f>
        <v>#VALUE!</v>
      </c>
      <c r="AD3754" s="1" t="str">
        <f>IFERROR(IF(Final_Sans_VGE[[#This Row],[ppn_z]]="","",IFERROR(
   IF(_xlfn.XLOOKUP(Final_Sans_VGE[[#This Row],[ppn_z]],tbl_Historique_Final[[#This Row],[ppn_z]],tbl_Historique_Final[[#This Row],[date_modif]])=Final_Sans_VGE[[#This Row],[date_modif]],
      "Ancien",
      "Modifié"),
   "Nouveau")),"")</f>
        <v/>
      </c>
    </row>
    <row r="3755" spans="24:30" x14ac:dyDescent="0.25">
      <c r="X3755" s="8" t="e">
        <f>IF(Final_Sans_VGE[[#This Row],[ppn_z]]="","",IFERROR(
   IF(_xlfn.XLOOKUP(Final_Sans_VGE[[#This Row],[ppn_z]],tbl_Historique_Final[ppn_z],tbl_Historique_Final[date_modif])=Final_Sans_VGE[[#This Row],[date_modif]],
      "Ancien",
      "Modifié"),
   "Nouveau"))</f>
        <v>#VALUE!</v>
      </c>
      <c r="AD3755" s="1" t="str">
        <f>IFERROR(IF(Final_Sans_VGE[[#This Row],[ppn_z]]="","",IFERROR(
   IF(_xlfn.XLOOKUP(Final_Sans_VGE[[#This Row],[ppn_z]],tbl_Historique_Final[[#This Row],[ppn_z]],tbl_Historique_Final[[#This Row],[date_modif]])=Final_Sans_VGE[[#This Row],[date_modif]],
      "Ancien",
      "Modifié"),
   "Nouveau")),"")</f>
        <v/>
      </c>
    </row>
    <row r="3756" spans="24:30" x14ac:dyDescent="0.25">
      <c r="X3756" s="8" t="e">
        <f>IF(Final_Sans_VGE[[#This Row],[ppn_z]]="","",IFERROR(
   IF(_xlfn.XLOOKUP(Final_Sans_VGE[[#This Row],[ppn_z]],tbl_Historique_Final[ppn_z],tbl_Historique_Final[date_modif])=Final_Sans_VGE[[#This Row],[date_modif]],
      "Ancien",
      "Modifié"),
   "Nouveau"))</f>
        <v>#VALUE!</v>
      </c>
      <c r="AD3756" s="1" t="str">
        <f>IFERROR(IF(Final_Sans_VGE[[#This Row],[ppn_z]]="","",IFERROR(
   IF(_xlfn.XLOOKUP(Final_Sans_VGE[[#This Row],[ppn_z]],tbl_Historique_Final[[#This Row],[ppn_z]],tbl_Historique_Final[[#This Row],[date_modif]])=Final_Sans_VGE[[#This Row],[date_modif]],
      "Ancien",
      "Modifié"),
   "Nouveau")),"")</f>
        <v/>
      </c>
    </row>
    <row r="3757" spans="24:30" x14ac:dyDescent="0.25">
      <c r="X3757" s="8" t="e">
        <f>IF(Final_Sans_VGE[[#This Row],[ppn_z]]="","",IFERROR(
   IF(_xlfn.XLOOKUP(Final_Sans_VGE[[#This Row],[ppn_z]],tbl_Historique_Final[ppn_z],tbl_Historique_Final[date_modif])=Final_Sans_VGE[[#This Row],[date_modif]],
      "Ancien",
      "Modifié"),
   "Nouveau"))</f>
        <v>#VALUE!</v>
      </c>
      <c r="AD3757" s="1" t="str">
        <f>IFERROR(IF(Final_Sans_VGE[[#This Row],[ppn_z]]="","",IFERROR(
   IF(_xlfn.XLOOKUP(Final_Sans_VGE[[#This Row],[ppn_z]],tbl_Historique_Final[[#This Row],[ppn_z]],tbl_Historique_Final[[#This Row],[date_modif]])=Final_Sans_VGE[[#This Row],[date_modif]],
      "Ancien",
      "Modifié"),
   "Nouveau")),"")</f>
        <v/>
      </c>
    </row>
    <row r="3758" spans="24:30" x14ac:dyDescent="0.25">
      <c r="X3758" s="8" t="e">
        <f>IF(Final_Sans_VGE[[#This Row],[ppn_z]]="","",IFERROR(
   IF(_xlfn.XLOOKUP(Final_Sans_VGE[[#This Row],[ppn_z]],tbl_Historique_Final[ppn_z],tbl_Historique_Final[date_modif])=Final_Sans_VGE[[#This Row],[date_modif]],
      "Ancien",
      "Modifié"),
   "Nouveau"))</f>
        <v>#VALUE!</v>
      </c>
      <c r="AD3758" s="1" t="str">
        <f>IFERROR(IF(Final_Sans_VGE[[#This Row],[ppn_z]]="","",IFERROR(
   IF(_xlfn.XLOOKUP(Final_Sans_VGE[[#This Row],[ppn_z]],tbl_Historique_Final[[#This Row],[ppn_z]],tbl_Historique_Final[[#This Row],[date_modif]])=Final_Sans_VGE[[#This Row],[date_modif]],
      "Ancien",
      "Modifié"),
   "Nouveau")),"")</f>
        <v/>
      </c>
    </row>
    <row r="3759" spans="24:30" x14ac:dyDescent="0.25">
      <c r="X3759" s="8" t="e">
        <f>IF(Final_Sans_VGE[[#This Row],[ppn_z]]="","",IFERROR(
   IF(_xlfn.XLOOKUP(Final_Sans_VGE[[#This Row],[ppn_z]],tbl_Historique_Final[ppn_z],tbl_Historique_Final[date_modif])=Final_Sans_VGE[[#This Row],[date_modif]],
      "Ancien",
      "Modifié"),
   "Nouveau"))</f>
        <v>#VALUE!</v>
      </c>
      <c r="AD3759" s="1" t="str">
        <f>IFERROR(IF(Final_Sans_VGE[[#This Row],[ppn_z]]="","",IFERROR(
   IF(_xlfn.XLOOKUP(Final_Sans_VGE[[#This Row],[ppn_z]],tbl_Historique_Final[[#This Row],[ppn_z]],tbl_Historique_Final[[#This Row],[date_modif]])=Final_Sans_VGE[[#This Row],[date_modif]],
      "Ancien",
      "Modifié"),
   "Nouveau")),"")</f>
        <v/>
      </c>
    </row>
    <row r="3760" spans="24:30" x14ac:dyDescent="0.25">
      <c r="X3760" s="8" t="e">
        <f>IF(Final_Sans_VGE[[#This Row],[ppn_z]]="","",IFERROR(
   IF(_xlfn.XLOOKUP(Final_Sans_VGE[[#This Row],[ppn_z]],tbl_Historique_Final[ppn_z],tbl_Historique_Final[date_modif])=Final_Sans_VGE[[#This Row],[date_modif]],
      "Ancien",
      "Modifié"),
   "Nouveau"))</f>
        <v>#VALUE!</v>
      </c>
      <c r="AD3760" s="1" t="str">
        <f>IFERROR(IF(Final_Sans_VGE[[#This Row],[ppn_z]]="","",IFERROR(
   IF(_xlfn.XLOOKUP(Final_Sans_VGE[[#This Row],[ppn_z]],tbl_Historique_Final[[#This Row],[ppn_z]],tbl_Historique_Final[[#This Row],[date_modif]])=Final_Sans_VGE[[#This Row],[date_modif]],
      "Ancien",
      "Modifié"),
   "Nouveau")),"")</f>
        <v/>
      </c>
    </row>
    <row r="3761" spans="24:30" x14ac:dyDescent="0.25">
      <c r="X3761" s="8" t="e">
        <f>IF(Final_Sans_VGE[[#This Row],[ppn_z]]="","",IFERROR(
   IF(_xlfn.XLOOKUP(Final_Sans_VGE[[#This Row],[ppn_z]],tbl_Historique_Final[ppn_z],tbl_Historique_Final[date_modif])=Final_Sans_VGE[[#This Row],[date_modif]],
      "Ancien",
      "Modifié"),
   "Nouveau"))</f>
        <v>#VALUE!</v>
      </c>
      <c r="AD3761" s="1" t="str">
        <f>IFERROR(IF(Final_Sans_VGE[[#This Row],[ppn_z]]="","",IFERROR(
   IF(_xlfn.XLOOKUP(Final_Sans_VGE[[#This Row],[ppn_z]],tbl_Historique_Final[[#This Row],[ppn_z]],tbl_Historique_Final[[#This Row],[date_modif]])=Final_Sans_VGE[[#This Row],[date_modif]],
      "Ancien",
      "Modifié"),
   "Nouveau")),"")</f>
        <v/>
      </c>
    </row>
    <row r="3762" spans="24:30" x14ac:dyDescent="0.25">
      <c r="X3762" s="8" t="e">
        <f>IF(Final_Sans_VGE[[#This Row],[ppn_z]]="","",IFERROR(
   IF(_xlfn.XLOOKUP(Final_Sans_VGE[[#This Row],[ppn_z]],tbl_Historique_Final[ppn_z],tbl_Historique_Final[date_modif])=Final_Sans_VGE[[#This Row],[date_modif]],
      "Ancien",
      "Modifié"),
   "Nouveau"))</f>
        <v>#VALUE!</v>
      </c>
      <c r="AD3762" s="1" t="str">
        <f>IFERROR(IF(Final_Sans_VGE[[#This Row],[ppn_z]]="","",IFERROR(
   IF(_xlfn.XLOOKUP(Final_Sans_VGE[[#This Row],[ppn_z]],tbl_Historique_Final[[#This Row],[ppn_z]],tbl_Historique_Final[[#This Row],[date_modif]])=Final_Sans_VGE[[#This Row],[date_modif]],
      "Ancien",
      "Modifié"),
   "Nouveau")),"")</f>
        <v/>
      </c>
    </row>
    <row r="3763" spans="24:30" x14ac:dyDescent="0.25">
      <c r="X3763" s="8" t="e">
        <f>IF(Final_Sans_VGE[[#This Row],[ppn_z]]="","",IFERROR(
   IF(_xlfn.XLOOKUP(Final_Sans_VGE[[#This Row],[ppn_z]],tbl_Historique_Final[ppn_z],tbl_Historique_Final[date_modif])=Final_Sans_VGE[[#This Row],[date_modif]],
      "Ancien",
      "Modifié"),
   "Nouveau"))</f>
        <v>#VALUE!</v>
      </c>
      <c r="AD3763" s="1" t="str">
        <f>IFERROR(IF(Final_Sans_VGE[[#This Row],[ppn_z]]="","",IFERROR(
   IF(_xlfn.XLOOKUP(Final_Sans_VGE[[#This Row],[ppn_z]],tbl_Historique_Final[[#This Row],[ppn_z]],tbl_Historique_Final[[#This Row],[date_modif]])=Final_Sans_VGE[[#This Row],[date_modif]],
      "Ancien",
      "Modifié"),
   "Nouveau")),"")</f>
        <v/>
      </c>
    </row>
    <row r="3764" spans="24:30" x14ac:dyDescent="0.25">
      <c r="X3764" s="8" t="e">
        <f>IF(Final_Sans_VGE[[#This Row],[ppn_z]]="","",IFERROR(
   IF(_xlfn.XLOOKUP(Final_Sans_VGE[[#This Row],[ppn_z]],tbl_Historique_Final[ppn_z],tbl_Historique_Final[date_modif])=Final_Sans_VGE[[#This Row],[date_modif]],
      "Ancien",
      "Modifié"),
   "Nouveau"))</f>
        <v>#VALUE!</v>
      </c>
      <c r="AD3764" s="1" t="str">
        <f>IFERROR(IF(Final_Sans_VGE[[#This Row],[ppn_z]]="","",IFERROR(
   IF(_xlfn.XLOOKUP(Final_Sans_VGE[[#This Row],[ppn_z]],tbl_Historique_Final[[#This Row],[ppn_z]],tbl_Historique_Final[[#This Row],[date_modif]])=Final_Sans_VGE[[#This Row],[date_modif]],
      "Ancien",
      "Modifié"),
   "Nouveau")),"")</f>
        <v/>
      </c>
    </row>
    <row r="3765" spans="24:30" x14ac:dyDescent="0.25">
      <c r="X3765" s="8" t="e">
        <f>IF(Final_Sans_VGE[[#This Row],[ppn_z]]="","",IFERROR(
   IF(_xlfn.XLOOKUP(Final_Sans_VGE[[#This Row],[ppn_z]],tbl_Historique_Final[ppn_z],tbl_Historique_Final[date_modif])=Final_Sans_VGE[[#This Row],[date_modif]],
      "Ancien",
      "Modifié"),
   "Nouveau"))</f>
        <v>#VALUE!</v>
      </c>
      <c r="AD3765" s="1" t="str">
        <f>IFERROR(IF(Final_Sans_VGE[[#This Row],[ppn_z]]="","",IFERROR(
   IF(_xlfn.XLOOKUP(Final_Sans_VGE[[#This Row],[ppn_z]],tbl_Historique_Final[[#This Row],[ppn_z]],tbl_Historique_Final[[#This Row],[date_modif]])=Final_Sans_VGE[[#This Row],[date_modif]],
      "Ancien",
      "Modifié"),
   "Nouveau")),"")</f>
        <v/>
      </c>
    </row>
    <row r="3766" spans="24:30" x14ac:dyDescent="0.25">
      <c r="X3766" s="8" t="e">
        <f>IF(Final_Sans_VGE[[#This Row],[ppn_z]]="","",IFERROR(
   IF(_xlfn.XLOOKUP(Final_Sans_VGE[[#This Row],[ppn_z]],tbl_Historique_Final[ppn_z],tbl_Historique_Final[date_modif])=Final_Sans_VGE[[#This Row],[date_modif]],
      "Ancien",
      "Modifié"),
   "Nouveau"))</f>
        <v>#VALUE!</v>
      </c>
      <c r="AD3766" s="1" t="str">
        <f>IFERROR(IF(Final_Sans_VGE[[#This Row],[ppn_z]]="","",IFERROR(
   IF(_xlfn.XLOOKUP(Final_Sans_VGE[[#This Row],[ppn_z]],tbl_Historique_Final[[#This Row],[ppn_z]],tbl_Historique_Final[[#This Row],[date_modif]])=Final_Sans_VGE[[#This Row],[date_modif]],
      "Ancien",
      "Modifié"),
   "Nouveau")),"")</f>
        <v/>
      </c>
    </row>
    <row r="3767" spans="24:30" x14ac:dyDescent="0.25">
      <c r="X3767" s="8" t="e">
        <f>IF(Final_Sans_VGE[[#This Row],[ppn_z]]="","",IFERROR(
   IF(_xlfn.XLOOKUP(Final_Sans_VGE[[#This Row],[ppn_z]],tbl_Historique_Final[ppn_z],tbl_Historique_Final[date_modif])=Final_Sans_VGE[[#This Row],[date_modif]],
      "Ancien",
      "Modifié"),
   "Nouveau"))</f>
        <v>#VALUE!</v>
      </c>
      <c r="AD3767" s="1" t="str">
        <f>IFERROR(IF(Final_Sans_VGE[[#This Row],[ppn_z]]="","",IFERROR(
   IF(_xlfn.XLOOKUP(Final_Sans_VGE[[#This Row],[ppn_z]],tbl_Historique_Final[[#This Row],[ppn_z]],tbl_Historique_Final[[#This Row],[date_modif]])=Final_Sans_VGE[[#This Row],[date_modif]],
      "Ancien",
      "Modifié"),
   "Nouveau")),"")</f>
        <v/>
      </c>
    </row>
    <row r="3768" spans="24:30" x14ac:dyDescent="0.25">
      <c r="X3768" s="8" t="e">
        <f>IF(Final_Sans_VGE[[#This Row],[ppn_z]]="","",IFERROR(
   IF(_xlfn.XLOOKUP(Final_Sans_VGE[[#This Row],[ppn_z]],tbl_Historique_Final[ppn_z],tbl_Historique_Final[date_modif])=Final_Sans_VGE[[#This Row],[date_modif]],
      "Ancien",
      "Modifié"),
   "Nouveau"))</f>
        <v>#VALUE!</v>
      </c>
      <c r="AD3768" s="1" t="str">
        <f>IFERROR(IF(Final_Sans_VGE[[#This Row],[ppn_z]]="","",IFERROR(
   IF(_xlfn.XLOOKUP(Final_Sans_VGE[[#This Row],[ppn_z]],tbl_Historique_Final[[#This Row],[ppn_z]],tbl_Historique_Final[[#This Row],[date_modif]])=Final_Sans_VGE[[#This Row],[date_modif]],
      "Ancien",
      "Modifié"),
   "Nouveau")),"")</f>
        <v/>
      </c>
    </row>
    <row r="3769" spans="24:30" x14ac:dyDescent="0.25">
      <c r="X3769" s="8" t="e">
        <f>IF(Final_Sans_VGE[[#This Row],[ppn_z]]="","",IFERROR(
   IF(_xlfn.XLOOKUP(Final_Sans_VGE[[#This Row],[ppn_z]],tbl_Historique_Final[ppn_z],tbl_Historique_Final[date_modif])=Final_Sans_VGE[[#This Row],[date_modif]],
      "Ancien",
      "Modifié"),
   "Nouveau"))</f>
        <v>#VALUE!</v>
      </c>
      <c r="AD3769" s="1" t="str">
        <f>IFERROR(IF(Final_Sans_VGE[[#This Row],[ppn_z]]="","",IFERROR(
   IF(_xlfn.XLOOKUP(Final_Sans_VGE[[#This Row],[ppn_z]],tbl_Historique_Final[[#This Row],[ppn_z]],tbl_Historique_Final[[#This Row],[date_modif]])=Final_Sans_VGE[[#This Row],[date_modif]],
      "Ancien",
      "Modifié"),
   "Nouveau")),"")</f>
        <v/>
      </c>
    </row>
    <row r="3770" spans="24:30" x14ac:dyDescent="0.25">
      <c r="X3770" s="8" t="e">
        <f>IF(Final_Sans_VGE[[#This Row],[ppn_z]]="","",IFERROR(
   IF(_xlfn.XLOOKUP(Final_Sans_VGE[[#This Row],[ppn_z]],tbl_Historique_Final[ppn_z],tbl_Historique_Final[date_modif])=Final_Sans_VGE[[#This Row],[date_modif]],
      "Ancien",
      "Modifié"),
   "Nouveau"))</f>
        <v>#VALUE!</v>
      </c>
      <c r="AD3770" s="1" t="str">
        <f>IFERROR(IF(Final_Sans_VGE[[#This Row],[ppn_z]]="","",IFERROR(
   IF(_xlfn.XLOOKUP(Final_Sans_VGE[[#This Row],[ppn_z]],tbl_Historique_Final[[#This Row],[ppn_z]],tbl_Historique_Final[[#This Row],[date_modif]])=Final_Sans_VGE[[#This Row],[date_modif]],
      "Ancien",
      "Modifié"),
   "Nouveau")),"")</f>
        <v/>
      </c>
    </row>
    <row r="3771" spans="24:30" x14ac:dyDescent="0.25">
      <c r="X3771" s="8" t="e">
        <f>IF(Final_Sans_VGE[[#This Row],[ppn_z]]="","",IFERROR(
   IF(_xlfn.XLOOKUP(Final_Sans_VGE[[#This Row],[ppn_z]],tbl_Historique_Final[ppn_z],tbl_Historique_Final[date_modif])=Final_Sans_VGE[[#This Row],[date_modif]],
      "Ancien",
      "Modifié"),
   "Nouveau"))</f>
        <v>#VALUE!</v>
      </c>
      <c r="AD3771" s="1" t="str">
        <f>IFERROR(IF(Final_Sans_VGE[[#This Row],[ppn_z]]="","",IFERROR(
   IF(_xlfn.XLOOKUP(Final_Sans_VGE[[#This Row],[ppn_z]],tbl_Historique_Final[[#This Row],[ppn_z]],tbl_Historique_Final[[#This Row],[date_modif]])=Final_Sans_VGE[[#This Row],[date_modif]],
      "Ancien",
      "Modifié"),
   "Nouveau")),"")</f>
        <v/>
      </c>
    </row>
    <row r="3772" spans="24:30" x14ac:dyDescent="0.25">
      <c r="X3772" s="8" t="e">
        <f>IF(Final_Sans_VGE[[#This Row],[ppn_z]]="","",IFERROR(
   IF(_xlfn.XLOOKUP(Final_Sans_VGE[[#This Row],[ppn_z]],tbl_Historique_Final[ppn_z],tbl_Historique_Final[date_modif])=Final_Sans_VGE[[#This Row],[date_modif]],
      "Ancien",
      "Modifié"),
   "Nouveau"))</f>
        <v>#VALUE!</v>
      </c>
      <c r="AD3772" s="1" t="str">
        <f>IFERROR(IF(Final_Sans_VGE[[#This Row],[ppn_z]]="","",IFERROR(
   IF(_xlfn.XLOOKUP(Final_Sans_VGE[[#This Row],[ppn_z]],tbl_Historique_Final[[#This Row],[ppn_z]],tbl_Historique_Final[[#This Row],[date_modif]])=Final_Sans_VGE[[#This Row],[date_modif]],
      "Ancien",
      "Modifié"),
   "Nouveau")),"")</f>
        <v/>
      </c>
    </row>
    <row r="3773" spans="24:30" x14ac:dyDescent="0.25">
      <c r="X3773" s="8" t="e">
        <f>IF(Final_Sans_VGE[[#This Row],[ppn_z]]="","",IFERROR(
   IF(_xlfn.XLOOKUP(Final_Sans_VGE[[#This Row],[ppn_z]],tbl_Historique_Final[ppn_z],tbl_Historique_Final[date_modif])=Final_Sans_VGE[[#This Row],[date_modif]],
      "Ancien",
      "Modifié"),
   "Nouveau"))</f>
        <v>#VALUE!</v>
      </c>
      <c r="AD3773" s="1" t="str">
        <f>IFERROR(IF(Final_Sans_VGE[[#This Row],[ppn_z]]="","",IFERROR(
   IF(_xlfn.XLOOKUP(Final_Sans_VGE[[#This Row],[ppn_z]],tbl_Historique_Final[[#This Row],[ppn_z]],tbl_Historique_Final[[#This Row],[date_modif]])=Final_Sans_VGE[[#This Row],[date_modif]],
      "Ancien",
      "Modifié"),
   "Nouveau")),"")</f>
        <v/>
      </c>
    </row>
    <row r="3774" spans="24:30" x14ac:dyDescent="0.25">
      <c r="X3774" s="8" t="e">
        <f>IF(Final_Sans_VGE[[#This Row],[ppn_z]]="","",IFERROR(
   IF(_xlfn.XLOOKUP(Final_Sans_VGE[[#This Row],[ppn_z]],tbl_Historique_Final[ppn_z],tbl_Historique_Final[date_modif])=Final_Sans_VGE[[#This Row],[date_modif]],
      "Ancien",
      "Modifié"),
   "Nouveau"))</f>
        <v>#VALUE!</v>
      </c>
      <c r="AD3774" s="1" t="str">
        <f>IFERROR(IF(Final_Sans_VGE[[#This Row],[ppn_z]]="","",IFERROR(
   IF(_xlfn.XLOOKUP(Final_Sans_VGE[[#This Row],[ppn_z]],tbl_Historique_Final[[#This Row],[ppn_z]],tbl_Historique_Final[[#This Row],[date_modif]])=Final_Sans_VGE[[#This Row],[date_modif]],
      "Ancien",
      "Modifié"),
   "Nouveau")),"")</f>
        <v/>
      </c>
    </row>
    <row r="3775" spans="24:30" x14ac:dyDescent="0.25">
      <c r="X3775" s="8" t="e">
        <f>IF(Final_Sans_VGE[[#This Row],[ppn_z]]="","",IFERROR(
   IF(_xlfn.XLOOKUP(Final_Sans_VGE[[#This Row],[ppn_z]],tbl_Historique_Final[ppn_z],tbl_Historique_Final[date_modif])=Final_Sans_VGE[[#This Row],[date_modif]],
      "Ancien",
      "Modifié"),
   "Nouveau"))</f>
        <v>#VALUE!</v>
      </c>
      <c r="AD3775" s="1" t="str">
        <f>IFERROR(IF(Final_Sans_VGE[[#This Row],[ppn_z]]="","",IFERROR(
   IF(_xlfn.XLOOKUP(Final_Sans_VGE[[#This Row],[ppn_z]],tbl_Historique_Final[[#This Row],[ppn_z]],tbl_Historique_Final[[#This Row],[date_modif]])=Final_Sans_VGE[[#This Row],[date_modif]],
      "Ancien",
      "Modifié"),
   "Nouveau")),"")</f>
        <v/>
      </c>
    </row>
    <row r="3776" spans="24:30" x14ac:dyDescent="0.25">
      <c r="X3776" s="8" t="e">
        <f>IF(Final_Sans_VGE[[#This Row],[ppn_z]]="","",IFERROR(
   IF(_xlfn.XLOOKUP(Final_Sans_VGE[[#This Row],[ppn_z]],tbl_Historique_Final[ppn_z],tbl_Historique_Final[date_modif])=Final_Sans_VGE[[#This Row],[date_modif]],
      "Ancien",
      "Modifié"),
   "Nouveau"))</f>
        <v>#VALUE!</v>
      </c>
      <c r="AD3776" s="1" t="str">
        <f>IFERROR(IF(Final_Sans_VGE[[#This Row],[ppn_z]]="","",IFERROR(
   IF(_xlfn.XLOOKUP(Final_Sans_VGE[[#This Row],[ppn_z]],tbl_Historique_Final[[#This Row],[ppn_z]],tbl_Historique_Final[[#This Row],[date_modif]])=Final_Sans_VGE[[#This Row],[date_modif]],
      "Ancien",
      "Modifié"),
   "Nouveau")),"")</f>
        <v/>
      </c>
    </row>
    <row r="3777" spans="24:30" x14ac:dyDescent="0.25">
      <c r="X3777" s="8" t="e">
        <f>IF(Final_Sans_VGE[[#This Row],[ppn_z]]="","",IFERROR(
   IF(_xlfn.XLOOKUP(Final_Sans_VGE[[#This Row],[ppn_z]],tbl_Historique_Final[ppn_z],tbl_Historique_Final[date_modif])=Final_Sans_VGE[[#This Row],[date_modif]],
      "Ancien",
      "Modifié"),
   "Nouveau"))</f>
        <v>#VALUE!</v>
      </c>
      <c r="AD3777" s="1" t="str">
        <f>IFERROR(IF(Final_Sans_VGE[[#This Row],[ppn_z]]="","",IFERROR(
   IF(_xlfn.XLOOKUP(Final_Sans_VGE[[#This Row],[ppn_z]],tbl_Historique_Final[[#This Row],[ppn_z]],tbl_Historique_Final[[#This Row],[date_modif]])=Final_Sans_VGE[[#This Row],[date_modif]],
      "Ancien",
      "Modifié"),
   "Nouveau")),"")</f>
        <v/>
      </c>
    </row>
    <row r="3778" spans="24:30" x14ac:dyDescent="0.25">
      <c r="X3778" s="8" t="e">
        <f>IF(Final_Sans_VGE[[#This Row],[ppn_z]]="","",IFERROR(
   IF(_xlfn.XLOOKUP(Final_Sans_VGE[[#This Row],[ppn_z]],tbl_Historique_Final[ppn_z],tbl_Historique_Final[date_modif])=Final_Sans_VGE[[#This Row],[date_modif]],
      "Ancien",
      "Modifié"),
   "Nouveau"))</f>
        <v>#VALUE!</v>
      </c>
      <c r="AD3778" s="1" t="str">
        <f>IFERROR(IF(Final_Sans_VGE[[#This Row],[ppn_z]]="","",IFERROR(
   IF(_xlfn.XLOOKUP(Final_Sans_VGE[[#This Row],[ppn_z]],tbl_Historique_Final[[#This Row],[ppn_z]],tbl_Historique_Final[[#This Row],[date_modif]])=Final_Sans_VGE[[#This Row],[date_modif]],
      "Ancien",
      "Modifié"),
   "Nouveau")),"")</f>
        <v/>
      </c>
    </row>
    <row r="3779" spans="24:30" x14ac:dyDescent="0.25">
      <c r="X3779" s="8" t="e">
        <f>IF(Final_Sans_VGE[[#This Row],[ppn_z]]="","",IFERROR(
   IF(_xlfn.XLOOKUP(Final_Sans_VGE[[#This Row],[ppn_z]],tbl_Historique_Final[ppn_z],tbl_Historique_Final[date_modif])=Final_Sans_VGE[[#This Row],[date_modif]],
      "Ancien",
      "Modifié"),
   "Nouveau"))</f>
        <v>#VALUE!</v>
      </c>
      <c r="AD3779" s="1" t="str">
        <f>IFERROR(IF(Final_Sans_VGE[[#This Row],[ppn_z]]="","",IFERROR(
   IF(_xlfn.XLOOKUP(Final_Sans_VGE[[#This Row],[ppn_z]],tbl_Historique_Final[[#This Row],[ppn_z]],tbl_Historique_Final[[#This Row],[date_modif]])=Final_Sans_VGE[[#This Row],[date_modif]],
      "Ancien",
      "Modifié"),
   "Nouveau")),"")</f>
        <v/>
      </c>
    </row>
    <row r="3780" spans="24:30" x14ac:dyDescent="0.25">
      <c r="X3780" s="8" t="e">
        <f>IF(Final_Sans_VGE[[#This Row],[ppn_z]]="","",IFERROR(
   IF(_xlfn.XLOOKUP(Final_Sans_VGE[[#This Row],[ppn_z]],tbl_Historique_Final[ppn_z],tbl_Historique_Final[date_modif])=Final_Sans_VGE[[#This Row],[date_modif]],
      "Ancien",
      "Modifié"),
   "Nouveau"))</f>
        <v>#VALUE!</v>
      </c>
      <c r="AD3780" s="1" t="str">
        <f>IFERROR(IF(Final_Sans_VGE[[#This Row],[ppn_z]]="","",IFERROR(
   IF(_xlfn.XLOOKUP(Final_Sans_VGE[[#This Row],[ppn_z]],tbl_Historique_Final[[#This Row],[ppn_z]],tbl_Historique_Final[[#This Row],[date_modif]])=Final_Sans_VGE[[#This Row],[date_modif]],
      "Ancien",
      "Modifié"),
   "Nouveau")),"")</f>
        <v/>
      </c>
    </row>
    <row r="3781" spans="24:30" x14ac:dyDescent="0.25">
      <c r="X3781" s="8" t="e">
        <f>IF(Final_Sans_VGE[[#This Row],[ppn_z]]="","",IFERROR(
   IF(_xlfn.XLOOKUP(Final_Sans_VGE[[#This Row],[ppn_z]],tbl_Historique_Final[ppn_z],tbl_Historique_Final[date_modif])=Final_Sans_VGE[[#This Row],[date_modif]],
      "Ancien",
      "Modifié"),
   "Nouveau"))</f>
        <v>#VALUE!</v>
      </c>
      <c r="AD3781" s="1" t="str">
        <f>IFERROR(IF(Final_Sans_VGE[[#This Row],[ppn_z]]="","",IFERROR(
   IF(_xlfn.XLOOKUP(Final_Sans_VGE[[#This Row],[ppn_z]],tbl_Historique_Final[[#This Row],[ppn_z]],tbl_Historique_Final[[#This Row],[date_modif]])=Final_Sans_VGE[[#This Row],[date_modif]],
      "Ancien",
      "Modifié"),
   "Nouveau")),"")</f>
        <v/>
      </c>
    </row>
    <row r="3782" spans="24:30" x14ac:dyDescent="0.25">
      <c r="X3782" s="8" t="e">
        <f>IF(Final_Sans_VGE[[#This Row],[ppn_z]]="","",IFERROR(
   IF(_xlfn.XLOOKUP(Final_Sans_VGE[[#This Row],[ppn_z]],tbl_Historique_Final[ppn_z],tbl_Historique_Final[date_modif])=Final_Sans_VGE[[#This Row],[date_modif]],
      "Ancien",
      "Modifié"),
   "Nouveau"))</f>
        <v>#VALUE!</v>
      </c>
      <c r="AD3782" s="1" t="str">
        <f>IFERROR(IF(Final_Sans_VGE[[#This Row],[ppn_z]]="","",IFERROR(
   IF(_xlfn.XLOOKUP(Final_Sans_VGE[[#This Row],[ppn_z]],tbl_Historique_Final[[#This Row],[ppn_z]],tbl_Historique_Final[[#This Row],[date_modif]])=Final_Sans_VGE[[#This Row],[date_modif]],
      "Ancien",
      "Modifié"),
   "Nouveau")),"")</f>
        <v/>
      </c>
    </row>
    <row r="3783" spans="24:30" x14ac:dyDescent="0.25">
      <c r="X3783" s="8" t="e">
        <f>IF(Final_Sans_VGE[[#This Row],[ppn_z]]="","",IFERROR(
   IF(_xlfn.XLOOKUP(Final_Sans_VGE[[#This Row],[ppn_z]],tbl_Historique_Final[ppn_z],tbl_Historique_Final[date_modif])=Final_Sans_VGE[[#This Row],[date_modif]],
      "Ancien",
      "Modifié"),
   "Nouveau"))</f>
        <v>#VALUE!</v>
      </c>
      <c r="AD3783" s="1" t="str">
        <f>IFERROR(IF(Final_Sans_VGE[[#This Row],[ppn_z]]="","",IFERROR(
   IF(_xlfn.XLOOKUP(Final_Sans_VGE[[#This Row],[ppn_z]],tbl_Historique_Final[[#This Row],[ppn_z]],tbl_Historique_Final[[#This Row],[date_modif]])=Final_Sans_VGE[[#This Row],[date_modif]],
      "Ancien",
      "Modifié"),
   "Nouveau")),"")</f>
        <v/>
      </c>
    </row>
    <row r="3784" spans="24:30" x14ac:dyDescent="0.25">
      <c r="X3784" s="8" t="e">
        <f>IF(Final_Sans_VGE[[#This Row],[ppn_z]]="","",IFERROR(
   IF(_xlfn.XLOOKUP(Final_Sans_VGE[[#This Row],[ppn_z]],tbl_Historique_Final[ppn_z],tbl_Historique_Final[date_modif])=Final_Sans_VGE[[#This Row],[date_modif]],
      "Ancien",
      "Modifié"),
   "Nouveau"))</f>
        <v>#VALUE!</v>
      </c>
      <c r="AD3784" s="1" t="str">
        <f>IFERROR(IF(Final_Sans_VGE[[#This Row],[ppn_z]]="","",IFERROR(
   IF(_xlfn.XLOOKUP(Final_Sans_VGE[[#This Row],[ppn_z]],tbl_Historique_Final[[#This Row],[ppn_z]],tbl_Historique_Final[[#This Row],[date_modif]])=Final_Sans_VGE[[#This Row],[date_modif]],
      "Ancien",
      "Modifié"),
   "Nouveau")),"")</f>
        <v/>
      </c>
    </row>
    <row r="3785" spans="24:30" x14ac:dyDescent="0.25">
      <c r="X3785" s="8" t="e">
        <f>IF(Final_Sans_VGE[[#This Row],[ppn_z]]="","",IFERROR(
   IF(_xlfn.XLOOKUP(Final_Sans_VGE[[#This Row],[ppn_z]],tbl_Historique_Final[ppn_z],tbl_Historique_Final[date_modif])=Final_Sans_VGE[[#This Row],[date_modif]],
      "Ancien",
      "Modifié"),
   "Nouveau"))</f>
        <v>#VALUE!</v>
      </c>
      <c r="AD3785" s="1" t="str">
        <f>IFERROR(IF(Final_Sans_VGE[[#This Row],[ppn_z]]="","",IFERROR(
   IF(_xlfn.XLOOKUP(Final_Sans_VGE[[#This Row],[ppn_z]],tbl_Historique_Final[[#This Row],[ppn_z]],tbl_Historique_Final[[#This Row],[date_modif]])=Final_Sans_VGE[[#This Row],[date_modif]],
      "Ancien",
      "Modifié"),
   "Nouveau")),"")</f>
        <v/>
      </c>
    </row>
    <row r="3786" spans="24:30" x14ac:dyDescent="0.25">
      <c r="X3786" s="8" t="e">
        <f>IF(Final_Sans_VGE[[#This Row],[ppn_z]]="","",IFERROR(
   IF(_xlfn.XLOOKUP(Final_Sans_VGE[[#This Row],[ppn_z]],tbl_Historique_Final[ppn_z],tbl_Historique_Final[date_modif])=Final_Sans_VGE[[#This Row],[date_modif]],
      "Ancien",
      "Modifié"),
   "Nouveau"))</f>
        <v>#VALUE!</v>
      </c>
      <c r="AD3786" s="1" t="str">
        <f>IFERROR(IF(Final_Sans_VGE[[#This Row],[ppn_z]]="","",IFERROR(
   IF(_xlfn.XLOOKUP(Final_Sans_VGE[[#This Row],[ppn_z]],tbl_Historique_Final[[#This Row],[ppn_z]],tbl_Historique_Final[[#This Row],[date_modif]])=Final_Sans_VGE[[#This Row],[date_modif]],
      "Ancien",
      "Modifié"),
   "Nouveau")),"")</f>
        <v/>
      </c>
    </row>
    <row r="3787" spans="24:30" x14ac:dyDescent="0.25">
      <c r="X3787" s="8" t="e">
        <f>IF(Final_Sans_VGE[[#This Row],[ppn_z]]="","",IFERROR(
   IF(_xlfn.XLOOKUP(Final_Sans_VGE[[#This Row],[ppn_z]],tbl_Historique_Final[ppn_z],tbl_Historique_Final[date_modif])=Final_Sans_VGE[[#This Row],[date_modif]],
      "Ancien",
      "Modifié"),
   "Nouveau"))</f>
        <v>#VALUE!</v>
      </c>
      <c r="AD3787" s="1" t="str">
        <f>IFERROR(IF(Final_Sans_VGE[[#This Row],[ppn_z]]="","",IFERROR(
   IF(_xlfn.XLOOKUP(Final_Sans_VGE[[#This Row],[ppn_z]],tbl_Historique_Final[[#This Row],[ppn_z]],tbl_Historique_Final[[#This Row],[date_modif]])=Final_Sans_VGE[[#This Row],[date_modif]],
      "Ancien",
      "Modifié"),
   "Nouveau")),"")</f>
        <v/>
      </c>
    </row>
    <row r="3788" spans="24:30" x14ac:dyDescent="0.25">
      <c r="X3788" s="8" t="e">
        <f>IF(Final_Sans_VGE[[#This Row],[ppn_z]]="","",IFERROR(
   IF(_xlfn.XLOOKUP(Final_Sans_VGE[[#This Row],[ppn_z]],tbl_Historique_Final[ppn_z],tbl_Historique_Final[date_modif])=Final_Sans_VGE[[#This Row],[date_modif]],
      "Ancien",
      "Modifié"),
   "Nouveau"))</f>
        <v>#VALUE!</v>
      </c>
      <c r="AD3788" s="1" t="str">
        <f>IFERROR(IF(Final_Sans_VGE[[#This Row],[ppn_z]]="","",IFERROR(
   IF(_xlfn.XLOOKUP(Final_Sans_VGE[[#This Row],[ppn_z]],tbl_Historique_Final[[#This Row],[ppn_z]],tbl_Historique_Final[[#This Row],[date_modif]])=Final_Sans_VGE[[#This Row],[date_modif]],
      "Ancien",
      "Modifié"),
   "Nouveau")),"")</f>
        <v/>
      </c>
    </row>
    <row r="3789" spans="24:30" x14ac:dyDescent="0.25">
      <c r="X3789" s="8" t="e">
        <f>IF(Final_Sans_VGE[[#This Row],[ppn_z]]="","",IFERROR(
   IF(_xlfn.XLOOKUP(Final_Sans_VGE[[#This Row],[ppn_z]],tbl_Historique_Final[ppn_z],tbl_Historique_Final[date_modif])=Final_Sans_VGE[[#This Row],[date_modif]],
      "Ancien",
      "Modifié"),
   "Nouveau"))</f>
        <v>#VALUE!</v>
      </c>
      <c r="AD3789" s="1" t="str">
        <f>IFERROR(IF(Final_Sans_VGE[[#This Row],[ppn_z]]="","",IFERROR(
   IF(_xlfn.XLOOKUP(Final_Sans_VGE[[#This Row],[ppn_z]],tbl_Historique_Final[[#This Row],[ppn_z]],tbl_Historique_Final[[#This Row],[date_modif]])=Final_Sans_VGE[[#This Row],[date_modif]],
      "Ancien",
      "Modifié"),
   "Nouveau")),"")</f>
        <v/>
      </c>
    </row>
    <row r="3790" spans="24:30" x14ac:dyDescent="0.25">
      <c r="X3790" s="8" t="e">
        <f>IF(Final_Sans_VGE[[#This Row],[ppn_z]]="","",IFERROR(
   IF(_xlfn.XLOOKUP(Final_Sans_VGE[[#This Row],[ppn_z]],tbl_Historique_Final[ppn_z],tbl_Historique_Final[date_modif])=Final_Sans_VGE[[#This Row],[date_modif]],
      "Ancien",
      "Modifié"),
   "Nouveau"))</f>
        <v>#VALUE!</v>
      </c>
      <c r="AD3790" s="1" t="str">
        <f>IFERROR(IF(Final_Sans_VGE[[#This Row],[ppn_z]]="","",IFERROR(
   IF(_xlfn.XLOOKUP(Final_Sans_VGE[[#This Row],[ppn_z]],tbl_Historique_Final[[#This Row],[ppn_z]],tbl_Historique_Final[[#This Row],[date_modif]])=Final_Sans_VGE[[#This Row],[date_modif]],
      "Ancien",
      "Modifié"),
   "Nouveau")),"")</f>
        <v/>
      </c>
    </row>
    <row r="3791" spans="24:30" x14ac:dyDescent="0.25">
      <c r="X3791" s="8" t="e">
        <f>IF(Final_Sans_VGE[[#This Row],[ppn_z]]="","",IFERROR(
   IF(_xlfn.XLOOKUP(Final_Sans_VGE[[#This Row],[ppn_z]],tbl_Historique_Final[ppn_z],tbl_Historique_Final[date_modif])=Final_Sans_VGE[[#This Row],[date_modif]],
      "Ancien",
      "Modifié"),
   "Nouveau"))</f>
        <v>#VALUE!</v>
      </c>
      <c r="AD3791" s="1" t="str">
        <f>IFERROR(IF(Final_Sans_VGE[[#This Row],[ppn_z]]="","",IFERROR(
   IF(_xlfn.XLOOKUP(Final_Sans_VGE[[#This Row],[ppn_z]],tbl_Historique_Final[[#This Row],[ppn_z]],tbl_Historique_Final[[#This Row],[date_modif]])=Final_Sans_VGE[[#This Row],[date_modif]],
      "Ancien",
      "Modifié"),
   "Nouveau")),"")</f>
        <v/>
      </c>
    </row>
    <row r="3792" spans="24:30" x14ac:dyDescent="0.25">
      <c r="X3792" s="8" t="e">
        <f>IF(Final_Sans_VGE[[#This Row],[ppn_z]]="","",IFERROR(
   IF(_xlfn.XLOOKUP(Final_Sans_VGE[[#This Row],[ppn_z]],tbl_Historique_Final[ppn_z],tbl_Historique_Final[date_modif])=Final_Sans_VGE[[#This Row],[date_modif]],
      "Ancien",
      "Modifié"),
   "Nouveau"))</f>
        <v>#VALUE!</v>
      </c>
      <c r="AD3792" s="1" t="str">
        <f>IFERROR(IF(Final_Sans_VGE[[#This Row],[ppn_z]]="","",IFERROR(
   IF(_xlfn.XLOOKUP(Final_Sans_VGE[[#This Row],[ppn_z]],tbl_Historique_Final[[#This Row],[ppn_z]],tbl_Historique_Final[[#This Row],[date_modif]])=Final_Sans_VGE[[#This Row],[date_modif]],
      "Ancien",
      "Modifié"),
   "Nouveau")),"")</f>
        <v/>
      </c>
    </row>
    <row r="3793" spans="24:30" x14ac:dyDescent="0.25">
      <c r="X3793" s="8" t="e">
        <f>IF(Final_Sans_VGE[[#This Row],[ppn_z]]="","",IFERROR(
   IF(_xlfn.XLOOKUP(Final_Sans_VGE[[#This Row],[ppn_z]],tbl_Historique_Final[ppn_z],tbl_Historique_Final[date_modif])=Final_Sans_VGE[[#This Row],[date_modif]],
      "Ancien",
      "Modifié"),
   "Nouveau"))</f>
        <v>#VALUE!</v>
      </c>
      <c r="AD3793" s="1" t="str">
        <f>IFERROR(IF(Final_Sans_VGE[[#This Row],[ppn_z]]="","",IFERROR(
   IF(_xlfn.XLOOKUP(Final_Sans_VGE[[#This Row],[ppn_z]],tbl_Historique_Final[[#This Row],[ppn_z]],tbl_Historique_Final[[#This Row],[date_modif]])=Final_Sans_VGE[[#This Row],[date_modif]],
      "Ancien",
      "Modifié"),
   "Nouveau")),"")</f>
        <v/>
      </c>
    </row>
    <row r="3794" spans="24:30" x14ac:dyDescent="0.25">
      <c r="X3794" s="8" t="e">
        <f>IF(Final_Sans_VGE[[#This Row],[ppn_z]]="","",IFERROR(
   IF(_xlfn.XLOOKUP(Final_Sans_VGE[[#This Row],[ppn_z]],tbl_Historique_Final[ppn_z],tbl_Historique_Final[date_modif])=Final_Sans_VGE[[#This Row],[date_modif]],
      "Ancien",
      "Modifié"),
   "Nouveau"))</f>
        <v>#VALUE!</v>
      </c>
      <c r="AD3794" s="1" t="str">
        <f>IFERROR(IF(Final_Sans_VGE[[#This Row],[ppn_z]]="","",IFERROR(
   IF(_xlfn.XLOOKUP(Final_Sans_VGE[[#This Row],[ppn_z]],tbl_Historique_Final[[#This Row],[ppn_z]],tbl_Historique_Final[[#This Row],[date_modif]])=Final_Sans_VGE[[#This Row],[date_modif]],
      "Ancien",
      "Modifié"),
   "Nouveau")),"")</f>
        <v/>
      </c>
    </row>
    <row r="3795" spans="24:30" x14ac:dyDescent="0.25">
      <c r="X3795" s="8" t="e">
        <f>IF(Final_Sans_VGE[[#This Row],[ppn_z]]="","",IFERROR(
   IF(_xlfn.XLOOKUP(Final_Sans_VGE[[#This Row],[ppn_z]],tbl_Historique_Final[ppn_z],tbl_Historique_Final[date_modif])=Final_Sans_VGE[[#This Row],[date_modif]],
      "Ancien",
      "Modifié"),
   "Nouveau"))</f>
        <v>#VALUE!</v>
      </c>
      <c r="AD3795" s="1" t="str">
        <f>IFERROR(IF(Final_Sans_VGE[[#This Row],[ppn_z]]="","",IFERROR(
   IF(_xlfn.XLOOKUP(Final_Sans_VGE[[#This Row],[ppn_z]],tbl_Historique_Final[[#This Row],[ppn_z]],tbl_Historique_Final[[#This Row],[date_modif]])=Final_Sans_VGE[[#This Row],[date_modif]],
      "Ancien",
      "Modifié"),
   "Nouveau")),"")</f>
        <v/>
      </c>
    </row>
    <row r="3796" spans="24:30" x14ac:dyDescent="0.25">
      <c r="X3796" s="8" t="e">
        <f>IF(Final_Sans_VGE[[#This Row],[ppn_z]]="","",IFERROR(
   IF(_xlfn.XLOOKUP(Final_Sans_VGE[[#This Row],[ppn_z]],tbl_Historique_Final[ppn_z],tbl_Historique_Final[date_modif])=Final_Sans_VGE[[#This Row],[date_modif]],
      "Ancien",
      "Modifié"),
   "Nouveau"))</f>
        <v>#VALUE!</v>
      </c>
      <c r="AD3796" s="1" t="str">
        <f>IFERROR(IF(Final_Sans_VGE[[#This Row],[ppn_z]]="","",IFERROR(
   IF(_xlfn.XLOOKUP(Final_Sans_VGE[[#This Row],[ppn_z]],tbl_Historique_Final[[#This Row],[ppn_z]],tbl_Historique_Final[[#This Row],[date_modif]])=Final_Sans_VGE[[#This Row],[date_modif]],
      "Ancien",
      "Modifié"),
   "Nouveau")),"")</f>
        <v/>
      </c>
    </row>
    <row r="3797" spans="24:30" x14ac:dyDescent="0.25">
      <c r="X3797" s="8" t="e">
        <f>IF(Final_Sans_VGE[[#This Row],[ppn_z]]="","",IFERROR(
   IF(_xlfn.XLOOKUP(Final_Sans_VGE[[#This Row],[ppn_z]],tbl_Historique_Final[ppn_z],tbl_Historique_Final[date_modif])=Final_Sans_VGE[[#This Row],[date_modif]],
      "Ancien",
      "Modifié"),
   "Nouveau"))</f>
        <v>#VALUE!</v>
      </c>
      <c r="AD3797" s="1" t="str">
        <f>IFERROR(IF(Final_Sans_VGE[[#This Row],[ppn_z]]="","",IFERROR(
   IF(_xlfn.XLOOKUP(Final_Sans_VGE[[#This Row],[ppn_z]],tbl_Historique_Final[[#This Row],[ppn_z]],tbl_Historique_Final[[#This Row],[date_modif]])=Final_Sans_VGE[[#This Row],[date_modif]],
      "Ancien",
      "Modifié"),
   "Nouveau")),"")</f>
        <v/>
      </c>
    </row>
    <row r="3798" spans="24:30" x14ac:dyDescent="0.25">
      <c r="X3798" s="8" t="e">
        <f>IF(Final_Sans_VGE[[#This Row],[ppn_z]]="","",IFERROR(
   IF(_xlfn.XLOOKUP(Final_Sans_VGE[[#This Row],[ppn_z]],tbl_Historique_Final[ppn_z],tbl_Historique_Final[date_modif])=Final_Sans_VGE[[#This Row],[date_modif]],
      "Ancien",
      "Modifié"),
   "Nouveau"))</f>
        <v>#VALUE!</v>
      </c>
      <c r="AD3798" s="1" t="str">
        <f>IFERROR(IF(Final_Sans_VGE[[#This Row],[ppn_z]]="","",IFERROR(
   IF(_xlfn.XLOOKUP(Final_Sans_VGE[[#This Row],[ppn_z]],tbl_Historique_Final[[#This Row],[ppn_z]],tbl_Historique_Final[[#This Row],[date_modif]])=Final_Sans_VGE[[#This Row],[date_modif]],
      "Ancien",
      "Modifié"),
   "Nouveau")),"")</f>
        <v/>
      </c>
    </row>
    <row r="3799" spans="24:30" x14ac:dyDescent="0.25">
      <c r="X3799" s="8" t="e">
        <f>IF(Final_Sans_VGE[[#This Row],[ppn_z]]="","",IFERROR(
   IF(_xlfn.XLOOKUP(Final_Sans_VGE[[#This Row],[ppn_z]],tbl_Historique_Final[ppn_z],tbl_Historique_Final[date_modif])=Final_Sans_VGE[[#This Row],[date_modif]],
      "Ancien",
      "Modifié"),
   "Nouveau"))</f>
        <v>#VALUE!</v>
      </c>
      <c r="AD3799" s="1" t="str">
        <f>IFERROR(IF(Final_Sans_VGE[[#This Row],[ppn_z]]="","",IFERROR(
   IF(_xlfn.XLOOKUP(Final_Sans_VGE[[#This Row],[ppn_z]],tbl_Historique_Final[[#This Row],[ppn_z]],tbl_Historique_Final[[#This Row],[date_modif]])=Final_Sans_VGE[[#This Row],[date_modif]],
      "Ancien",
      "Modifié"),
   "Nouveau")),"")</f>
        <v/>
      </c>
    </row>
    <row r="3800" spans="24:30" x14ac:dyDescent="0.25">
      <c r="X3800" s="8" t="e">
        <f>IF(Final_Sans_VGE[[#This Row],[ppn_z]]="","",IFERROR(
   IF(_xlfn.XLOOKUP(Final_Sans_VGE[[#This Row],[ppn_z]],tbl_Historique_Final[ppn_z],tbl_Historique_Final[date_modif])=Final_Sans_VGE[[#This Row],[date_modif]],
      "Ancien",
      "Modifié"),
   "Nouveau"))</f>
        <v>#VALUE!</v>
      </c>
      <c r="AD3800" s="1" t="str">
        <f>IFERROR(IF(Final_Sans_VGE[[#This Row],[ppn_z]]="","",IFERROR(
   IF(_xlfn.XLOOKUP(Final_Sans_VGE[[#This Row],[ppn_z]],tbl_Historique_Final[[#This Row],[ppn_z]],tbl_Historique_Final[[#This Row],[date_modif]])=Final_Sans_VGE[[#This Row],[date_modif]],
      "Ancien",
      "Modifié"),
   "Nouveau")),"")</f>
        <v/>
      </c>
    </row>
    <row r="3801" spans="24:30" x14ac:dyDescent="0.25">
      <c r="X3801" s="8" t="e">
        <f>IF(Final_Sans_VGE[[#This Row],[ppn_z]]="","",IFERROR(
   IF(_xlfn.XLOOKUP(Final_Sans_VGE[[#This Row],[ppn_z]],tbl_Historique_Final[ppn_z],tbl_Historique_Final[date_modif])=Final_Sans_VGE[[#This Row],[date_modif]],
      "Ancien",
      "Modifié"),
   "Nouveau"))</f>
        <v>#VALUE!</v>
      </c>
      <c r="AD3801" s="1" t="str">
        <f>IFERROR(IF(Final_Sans_VGE[[#This Row],[ppn_z]]="","",IFERROR(
   IF(_xlfn.XLOOKUP(Final_Sans_VGE[[#This Row],[ppn_z]],tbl_Historique_Final[[#This Row],[ppn_z]],tbl_Historique_Final[[#This Row],[date_modif]])=Final_Sans_VGE[[#This Row],[date_modif]],
      "Ancien",
      "Modifié"),
   "Nouveau")),"")</f>
        <v/>
      </c>
    </row>
    <row r="3802" spans="24:30" x14ac:dyDescent="0.25">
      <c r="X3802" s="8" t="e">
        <f>IF(Final_Sans_VGE[[#This Row],[ppn_z]]="","",IFERROR(
   IF(_xlfn.XLOOKUP(Final_Sans_VGE[[#This Row],[ppn_z]],tbl_Historique_Final[ppn_z],tbl_Historique_Final[date_modif])=Final_Sans_VGE[[#This Row],[date_modif]],
      "Ancien",
      "Modifié"),
   "Nouveau"))</f>
        <v>#VALUE!</v>
      </c>
      <c r="AD3802" s="1" t="str">
        <f>IFERROR(IF(Final_Sans_VGE[[#This Row],[ppn_z]]="","",IFERROR(
   IF(_xlfn.XLOOKUP(Final_Sans_VGE[[#This Row],[ppn_z]],tbl_Historique_Final[[#This Row],[ppn_z]],tbl_Historique_Final[[#This Row],[date_modif]])=Final_Sans_VGE[[#This Row],[date_modif]],
      "Ancien",
      "Modifié"),
   "Nouveau")),"")</f>
        <v/>
      </c>
    </row>
    <row r="3803" spans="24:30" x14ac:dyDescent="0.25">
      <c r="X3803" s="8" t="e">
        <f>IF(Final_Sans_VGE[[#This Row],[ppn_z]]="","",IFERROR(
   IF(_xlfn.XLOOKUP(Final_Sans_VGE[[#This Row],[ppn_z]],tbl_Historique_Final[ppn_z],tbl_Historique_Final[date_modif])=Final_Sans_VGE[[#This Row],[date_modif]],
      "Ancien",
      "Modifié"),
   "Nouveau"))</f>
        <v>#VALUE!</v>
      </c>
      <c r="AD3803" s="1" t="str">
        <f>IFERROR(IF(Final_Sans_VGE[[#This Row],[ppn_z]]="","",IFERROR(
   IF(_xlfn.XLOOKUP(Final_Sans_VGE[[#This Row],[ppn_z]],tbl_Historique_Final[[#This Row],[ppn_z]],tbl_Historique_Final[[#This Row],[date_modif]])=Final_Sans_VGE[[#This Row],[date_modif]],
      "Ancien",
      "Modifié"),
   "Nouveau")),"")</f>
        <v/>
      </c>
    </row>
    <row r="3804" spans="24:30" x14ac:dyDescent="0.25">
      <c r="X3804" s="8" t="e">
        <f>IF(Final_Sans_VGE[[#This Row],[ppn_z]]="","",IFERROR(
   IF(_xlfn.XLOOKUP(Final_Sans_VGE[[#This Row],[ppn_z]],tbl_Historique_Final[ppn_z],tbl_Historique_Final[date_modif])=Final_Sans_VGE[[#This Row],[date_modif]],
      "Ancien",
      "Modifié"),
   "Nouveau"))</f>
        <v>#VALUE!</v>
      </c>
      <c r="AD3804" s="1" t="str">
        <f>IFERROR(IF(Final_Sans_VGE[[#This Row],[ppn_z]]="","",IFERROR(
   IF(_xlfn.XLOOKUP(Final_Sans_VGE[[#This Row],[ppn_z]],tbl_Historique_Final[[#This Row],[ppn_z]],tbl_Historique_Final[[#This Row],[date_modif]])=Final_Sans_VGE[[#This Row],[date_modif]],
      "Ancien",
      "Modifié"),
   "Nouveau")),"")</f>
        <v/>
      </c>
    </row>
    <row r="3805" spans="24:30" x14ac:dyDescent="0.25">
      <c r="X3805" s="8" t="e">
        <f>IF(Final_Sans_VGE[[#This Row],[ppn_z]]="","",IFERROR(
   IF(_xlfn.XLOOKUP(Final_Sans_VGE[[#This Row],[ppn_z]],tbl_Historique_Final[ppn_z],tbl_Historique_Final[date_modif])=Final_Sans_VGE[[#This Row],[date_modif]],
      "Ancien",
      "Modifié"),
   "Nouveau"))</f>
        <v>#VALUE!</v>
      </c>
      <c r="AD3805" s="1" t="str">
        <f>IFERROR(IF(Final_Sans_VGE[[#This Row],[ppn_z]]="","",IFERROR(
   IF(_xlfn.XLOOKUP(Final_Sans_VGE[[#This Row],[ppn_z]],tbl_Historique_Final[[#This Row],[ppn_z]],tbl_Historique_Final[[#This Row],[date_modif]])=Final_Sans_VGE[[#This Row],[date_modif]],
      "Ancien",
      "Modifié"),
   "Nouveau")),"")</f>
        <v/>
      </c>
    </row>
    <row r="3806" spans="24:30" x14ac:dyDescent="0.25">
      <c r="X3806" s="8" t="e">
        <f>IF(Final_Sans_VGE[[#This Row],[ppn_z]]="","",IFERROR(
   IF(_xlfn.XLOOKUP(Final_Sans_VGE[[#This Row],[ppn_z]],tbl_Historique_Final[ppn_z],tbl_Historique_Final[date_modif])=Final_Sans_VGE[[#This Row],[date_modif]],
      "Ancien",
      "Modifié"),
   "Nouveau"))</f>
        <v>#VALUE!</v>
      </c>
      <c r="AD3806" s="1" t="str">
        <f>IFERROR(IF(Final_Sans_VGE[[#This Row],[ppn_z]]="","",IFERROR(
   IF(_xlfn.XLOOKUP(Final_Sans_VGE[[#This Row],[ppn_z]],tbl_Historique_Final[[#This Row],[ppn_z]],tbl_Historique_Final[[#This Row],[date_modif]])=Final_Sans_VGE[[#This Row],[date_modif]],
      "Ancien",
      "Modifié"),
   "Nouveau")),"")</f>
        <v/>
      </c>
    </row>
    <row r="3807" spans="24:30" x14ac:dyDescent="0.25">
      <c r="X3807" s="8" t="e">
        <f>IF(Final_Sans_VGE[[#This Row],[ppn_z]]="","",IFERROR(
   IF(_xlfn.XLOOKUP(Final_Sans_VGE[[#This Row],[ppn_z]],tbl_Historique_Final[ppn_z],tbl_Historique_Final[date_modif])=Final_Sans_VGE[[#This Row],[date_modif]],
      "Ancien",
      "Modifié"),
   "Nouveau"))</f>
        <v>#VALUE!</v>
      </c>
      <c r="AD3807" s="1" t="str">
        <f>IFERROR(IF(Final_Sans_VGE[[#This Row],[ppn_z]]="","",IFERROR(
   IF(_xlfn.XLOOKUP(Final_Sans_VGE[[#This Row],[ppn_z]],tbl_Historique_Final[[#This Row],[ppn_z]],tbl_Historique_Final[[#This Row],[date_modif]])=Final_Sans_VGE[[#This Row],[date_modif]],
      "Ancien",
      "Modifié"),
   "Nouveau")),"")</f>
        <v/>
      </c>
    </row>
    <row r="3808" spans="24:30" x14ac:dyDescent="0.25">
      <c r="X3808" s="8" t="e">
        <f>IF(Final_Sans_VGE[[#This Row],[ppn_z]]="","",IFERROR(
   IF(_xlfn.XLOOKUP(Final_Sans_VGE[[#This Row],[ppn_z]],tbl_Historique_Final[ppn_z],tbl_Historique_Final[date_modif])=Final_Sans_VGE[[#This Row],[date_modif]],
      "Ancien",
      "Modifié"),
   "Nouveau"))</f>
        <v>#VALUE!</v>
      </c>
      <c r="AD3808" s="1" t="str">
        <f>IFERROR(IF(Final_Sans_VGE[[#This Row],[ppn_z]]="","",IFERROR(
   IF(_xlfn.XLOOKUP(Final_Sans_VGE[[#This Row],[ppn_z]],tbl_Historique_Final[[#This Row],[ppn_z]],tbl_Historique_Final[[#This Row],[date_modif]])=Final_Sans_VGE[[#This Row],[date_modif]],
      "Ancien",
      "Modifié"),
   "Nouveau")),"")</f>
        <v/>
      </c>
    </row>
    <row r="3809" spans="24:30" x14ac:dyDescent="0.25">
      <c r="X3809" s="8" t="e">
        <f>IF(Final_Sans_VGE[[#This Row],[ppn_z]]="","",IFERROR(
   IF(_xlfn.XLOOKUP(Final_Sans_VGE[[#This Row],[ppn_z]],tbl_Historique_Final[ppn_z],tbl_Historique_Final[date_modif])=Final_Sans_VGE[[#This Row],[date_modif]],
      "Ancien",
      "Modifié"),
   "Nouveau"))</f>
        <v>#VALUE!</v>
      </c>
      <c r="AD3809" s="1" t="str">
        <f>IFERROR(IF(Final_Sans_VGE[[#This Row],[ppn_z]]="","",IFERROR(
   IF(_xlfn.XLOOKUP(Final_Sans_VGE[[#This Row],[ppn_z]],tbl_Historique_Final[[#This Row],[ppn_z]],tbl_Historique_Final[[#This Row],[date_modif]])=Final_Sans_VGE[[#This Row],[date_modif]],
      "Ancien",
      "Modifié"),
   "Nouveau")),"")</f>
        <v/>
      </c>
    </row>
    <row r="3810" spans="24:30" x14ac:dyDescent="0.25">
      <c r="X3810" s="8" t="e">
        <f>IF(Final_Sans_VGE[[#This Row],[ppn_z]]="","",IFERROR(
   IF(_xlfn.XLOOKUP(Final_Sans_VGE[[#This Row],[ppn_z]],tbl_Historique_Final[ppn_z],tbl_Historique_Final[date_modif])=Final_Sans_VGE[[#This Row],[date_modif]],
      "Ancien",
      "Modifié"),
   "Nouveau"))</f>
        <v>#VALUE!</v>
      </c>
      <c r="AD3810" s="1" t="str">
        <f>IFERROR(IF(Final_Sans_VGE[[#This Row],[ppn_z]]="","",IFERROR(
   IF(_xlfn.XLOOKUP(Final_Sans_VGE[[#This Row],[ppn_z]],tbl_Historique_Final[[#This Row],[ppn_z]],tbl_Historique_Final[[#This Row],[date_modif]])=Final_Sans_VGE[[#This Row],[date_modif]],
      "Ancien",
      "Modifié"),
   "Nouveau")),"")</f>
        <v/>
      </c>
    </row>
    <row r="3811" spans="24:30" x14ac:dyDescent="0.25">
      <c r="X3811" s="8" t="e">
        <f>IF(Final_Sans_VGE[[#This Row],[ppn_z]]="","",IFERROR(
   IF(_xlfn.XLOOKUP(Final_Sans_VGE[[#This Row],[ppn_z]],tbl_Historique_Final[ppn_z],tbl_Historique_Final[date_modif])=Final_Sans_VGE[[#This Row],[date_modif]],
      "Ancien",
      "Modifié"),
   "Nouveau"))</f>
        <v>#VALUE!</v>
      </c>
      <c r="AD3811" s="1" t="str">
        <f>IFERROR(IF(Final_Sans_VGE[[#This Row],[ppn_z]]="","",IFERROR(
   IF(_xlfn.XLOOKUP(Final_Sans_VGE[[#This Row],[ppn_z]],tbl_Historique_Final[[#This Row],[ppn_z]],tbl_Historique_Final[[#This Row],[date_modif]])=Final_Sans_VGE[[#This Row],[date_modif]],
      "Ancien",
      "Modifié"),
   "Nouveau")),"")</f>
        <v/>
      </c>
    </row>
    <row r="3812" spans="24:30" x14ac:dyDescent="0.25">
      <c r="X3812" s="8" t="e">
        <f>IF(Final_Sans_VGE[[#This Row],[ppn_z]]="","",IFERROR(
   IF(_xlfn.XLOOKUP(Final_Sans_VGE[[#This Row],[ppn_z]],tbl_Historique_Final[ppn_z],tbl_Historique_Final[date_modif])=Final_Sans_VGE[[#This Row],[date_modif]],
      "Ancien",
      "Modifié"),
   "Nouveau"))</f>
        <v>#VALUE!</v>
      </c>
      <c r="AD3812" s="1" t="str">
        <f>IFERROR(IF(Final_Sans_VGE[[#This Row],[ppn_z]]="","",IFERROR(
   IF(_xlfn.XLOOKUP(Final_Sans_VGE[[#This Row],[ppn_z]],tbl_Historique_Final[[#This Row],[ppn_z]],tbl_Historique_Final[[#This Row],[date_modif]])=Final_Sans_VGE[[#This Row],[date_modif]],
      "Ancien",
      "Modifié"),
   "Nouveau")),"")</f>
        <v/>
      </c>
    </row>
    <row r="3813" spans="24:30" x14ac:dyDescent="0.25">
      <c r="X3813" s="8" t="e">
        <f>IF(Final_Sans_VGE[[#This Row],[ppn_z]]="","",IFERROR(
   IF(_xlfn.XLOOKUP(Final_Sans_VGE[[#This Row],[ppn_z]],tbl_Historique_Final[ppn_z],tbl_Historique_Final[date_modif])=Final_Sans_VGE[[#This Row],[date_modif]],
      "Ancien",
      "Modifié"),
   "Nouveau"))</f>
        <v>#VALUE!</v>
      </c>
      <c r="AD3813" s="1" t="str">
        <f>IFERROR(IF(Final_Sans_VGE[[#This Row],[ppn_z]]="","",IFERROR(
   IF(_xlfn.XLOOKUP(Final_Sans_VGE[[#This Row],[ppn_z]],tbl_Historique_Final[[#This Row],[ppn_z]],tbl_Historique_Final[[#This Row],[date_modif]])=Final_Sans_VGE[[#This Row],[date_modif]],
      "Ancien",
      "Modifié"),
   "Nouveau")),"")</f>
        <v/>
      </c>
    </row>
    <row r="3814" spans="24:30" x14ac:dyDescent="0.25">
      <c r="X3814" s="8" t="e">
        <f>IF(Final_Sans_VGE[[#This Row],[ppn_z]]="","",IFERROR(
   IF(_xlfn.XLOOKUP(Final_Sans_VGE[[#This Row],[ppn_z]],tbl_Historique_Final[ppn_z],tbl_Historique_Final[date_modif])=Final_Sans_VGE[[#This Row],[date_modif]],
      "Ancien",
      "Modifié"),
   "Nouveau"))</f>
        <v>#VALUE!</v>
      </c>
      <c r="AD3814" s="1" t="str">
        <f>IFERROR(IF(Final_Sans_VGE[[#This Row],[ppn_z]]="","",IFERROR(
   IF(_xlfn.XLOOKUP(Final_Sans_VGE[[#This Row],[ppn_z]],tbl_Historique_Final[[#This Row],[ppn_z]],tbl_Historique_Final[[#This Row],[date_modif]])=Final_Sans_VGE[[#This Row],[date_modif]],
      "Ancien",
      "Modifié"),
   "Nouveau")),"")</f>
        <v/>
      </c>
    </row>
    <row r="3815" spans="24:30" x14ac:dyDescent="0.25">
      <c r="X3815" s="8" t="e">
        <f>IF(Final_Sans_VGE[[#This Row],[ppn_z]]="","",IFERROR(
   IF(_xlfn.XLOOKUP(Final_Sans_VGE[[#This Row],[ppn_z]],tbl_Historique_Final[ppn_z],tbl_Historique_Final[date_modif])=Final_Sans_VGE[[#This Row],[date_modif]],
      "Ancien",
      "Modifié"),
   "Nouveau"))</f>
        <v>#VALUE!</v>
      </c>
      <c r="AD3815" s="1" t="str">
        <f>IFERROR(IF(Final_Sans_VGE[[#This Row],[ppn_z]]="","",IFERROR(
   IF(_xlfn.XLOOKUP(Final_Sans_VGE[[#This Row],[ppn_z]],tbl_Historique_Final[[#This Row],[ppn_z]],tbl_Historique_Final[[#This Row],[date_modif]])=Final_Sans_VGE[[#This Row],[date_modif]],
      "Ancien",
      "Modifié"),
   "Nouveau")),"")</f>
        <v/>
      </c>
    </row>
    <row r="3816" spans="24:30" x14ac:dyDescent="0.25">
      <c r="X3816" s="8" t="e">
        <f>IF(Final_Sans_VGE[[#This Row],[ppn_z]]="","",IFERROR(
   IF(_xlfn.XLOOKUP(Final_Sans_VGE[[#This Row],[ppn_z]],tbl_Historique_Final[ppn_z],tbl_Historique_Final[date_modif])=Final_Sans_VGE[[#This Row],[date_modif]],
      "Ancien",
      "Modifié"),
   "Nouveau"))</f>
        <v>#VALUE!</v>
      </c>
      <c r="AD3816" s="1" t="str">
        <f>IFERROR(IF(Final_Sans_VGE[[#This Row],[ppn_z]]="","",IFERROR(
   IF(_xlfn.XLOOKUP(Final_Sans_VGE[[#This Row],[ppn_z]],tbl_Historique_Final[[#This Row],[ppn_z]],tbl_Historique_Final[[#This Row],[date_modif]])=Final_Sans_VGE[[#This Row],[date_modif]],
      "Ancien",
      "Modifié"),
   "Nouveau")),"")</f>
        <v/>
      </c>
    </row>
    <row r="3817" spans="24:30" x14ac:dyDescent="0.25">
      <c r="X3817" s="8" t="e">
        <f>IF(Final_Sans_VGE[[#This Row],[ppn_z]]="","",IFERROR(
   IF(_xlfn.XLOOKUP(Final_Sans_VGE[[#This Row],[ppn_z]],tbl_Historique_Final[ppn_z],tbl_Historique_Final[date_modif])=Final_Sans_VGE[[#This Row],[date_modif]],
      "Ancien",
      "Modifié"),
   "Nouveau"))</f>
        <v>#VALUE!</v>
      </c>
      <c r="AD3817" s="1" t="str">
        <f>IFERROR(IF(Final_Sans_VGE[[#This Row],[ppn_z]]="","",IFERROR(
   IF(_xlfn.XLOOKUP(Final_Sans_VGE[[#This Row],[ppn_z]],tbl_Historique_Final[[#This Row],[ppn_z]],tbl_Historique_Final[[#This Row],[date_modif]])=Final_Sans_VGE[[#This Row],[date_modif]],
      "Ancien",
      "Modifié"),
   "Nouveau")),"")</f>
        <v/>
      </c>
    </row>
    <row r="3818" spans="24:30" x14ac:dyDescent="0.25">
      <c r="X3818" s="8" t="e">
        <f>IF(Final_Sans_VGE[[#This Row],[ppn_z]]="","",IFERROR(
   IF(_xlfn.XLOOKUP(Final_Sans_VGE[[#This Row],[ppn_z]],tbl_Historique_Final[ppn_z],tbl_Historique_Final[date_modif])=Final_Sans_VGE[[#This Row],[date_modif]],
      "Ancien",
      "Modifié"),
   "Nouveau"))</f>
        <v>#VALUE!</v>
      </c>
      <c r="AD3818" s="1" t="str">
        <f>IFERROR(IF(Final_Sans_VGE[[#This Row],[ppn_z]]="","",IFERROR(
   IF(_xlfn.XLOOKUP(Final_Sans_VGE[[#This Row],[ppn_z]],tbl_Historique_Final[[#This Row],[ppn_z]],tbl_Historique_Final[[#This Row],[date_modif]])=Final_Sans_VGE[[#This Row],[date_modif]],
      "Ancien",
      "Modifié"),
   "Nouveau")),"")</f>
        <v/>
      </c>
    </row>
    <row r="3819" spans="24:30" x14ac:dyDescent="0.25">
      <c r="X3819" s="8" t="e">
        <f>IF(Final_Sans_VGE[[#This Row],[ppn_z]]="","",IFERROR(
   IF(_xlfn.XLOOKUP(Final_Sans_VGE[[#This Row],[ppn_z]],tbl_Historique_Final[ppn_z],tbl_Historique_Final[date_modif])=Final_Sans_VGE[[#This Row],[date_modif]],
      "Ancien",
      "Modifié"),
   "Nouveau"))</f>
        <v>#VALUE!</v>
      </c>
      <c r="AD3819" s="1" t="str">
        <f>IFERROR(IF(Final_Sans_VGE[[#This Row],[ppn_z]]="","",IFERROR(
   IF(_xlfn.XLOOKUP(Final_Sans_VGE[[#This Row],[ppn_z]],tbl_Historique_Final[[#This Row],[ppn_z]],tbl_Historique_Final[[#This Row],[date_modif]])=Final_Sans_VGE[[#This Row],[date_modif]],
      "Ancien",
      "Modifié"),
   "Nouveau")),"")</f>
        <v/>
      </c>
    </row>
    <row r="3820" spans="24:30" x14ac:dyDescent="0.25">
      <c r="X3820" s="8" t="e">
        <f>IF(Final_Sans_VGE[[#This Row],[ppn_z]]="","",IFERROR(
   IF(_xlfn.XLOOKUP(Final_Sans_VGE[[#This Row],[ppn_z]],tbl_Historique_Final[ppn_z],tbl_Historique_Final[date_modif])=Final_Sans_VGE[[#This Row],[date_modif]],
      "Ancien",
      "Modifié"),
   "Nouveau"))</f>
        <v>#VALUE!</v>
      </c>
      <c r="AD3820" s="1" t="str">
        <f>IFERROR(IF(Final_Sans_VGE[[#This Row],[ppn_z]]="","",IFERROR(
   IF(_xlfn.XLOOKUP(Final_Sans_VGE[[#This Row],[ppn_z]],tbl_Historique_Final[[#This Row],[ppn_z]],tbl_Historique_Final[[#This Row],[date_modif]])=Final_Sans_VGE[[#This Row],[date_modif]],
      "Ancien",
      "Modifié"),
   "Nouveau")),"")</f>
        <v/>
      </c>
    </row>
    <row r="3821" spans="24:30" x14ac:dyDescent="0.25">
      <c r="X3821" s="8" t="e">
        <f>IF(Final_Sans_VGE[[#This Row],[ppn_z]]="","",IFERROR(
   IF(_xlfn.XLOOKUP(Final_Sans_VGE[[#This Row],[ppn_z]],tbl_Historique_Final[ppn_z],tbl_Historique_Final[date_modif])=Final_Sans_VGE[[#This Row],[date_modif]],
      "Ancien",
      "Modifié"),
   "Nouveau"))</f>
        <v>#VALUE!</v>
      </c>
      <c r="AD3821" s="1" t="str">
        <f>IFERROR(IF(Final_Sans_VGE[[#This Row],[ppn_z]]="","",IFERROR(
   IF(_xlfn.XLOOKUP(Final_Sans_VGE[[#This Row],[ppn_z]],tbl_Historique_Final[[#This Row],[ppn_z]],tbl_Historique_Final[[#This Row],[date_modif]])=Final_Sans_VGE[[#This Row],[date_modif]],
      "Ancien",
      "Modifié"),
   "Nouveau")),"")</f>
        <v/>
      </c>
    </row>
    <row r="3822" spans="24:30" x14ac:dyDescent="0.25">
      <c r="X3822" s="8" t="e">
        <f>IF(Final_Sans_VGE[[#This Row],[ppn_z]]="","",IFERROR(
   IF(_xlfn.XLOOKUP(Final_Sans_VGE[[#This Row],[ppn_z]],tbl_Historique_Final[ppn_z],tbl_Historique_Final[date_modif])=Final_Sans_VGE[[#This Row],[date_modif]],
      "Ancien",
      "Modifié"),
   "Nouveau"))</f>
        <v>#VALUE!</v>
      </c>
      <c r="AD3822" s="1" t="str">
        <f>IFERROR(IF(Final_Sans_VGE[[#This Row],[ppn_z]]="","",IFERROR(
   IF(_xlfn.XLOOKUP(Final_Sans_VGE[[#This Row],[ppn_z]],tbl_Historique_Final[[#This Row],[ppn_z]],tbl_Historique_Final[[#This Row],[date_modif]])=Final_Sans_VGE[[#This Row],[date_modif]],
      "Ancien",
      "Modifié"),
   "Nouveau")),"")</f>
        <v/>
      </c>
    </row>
    <row r="3823" spans="24:30" x14ac:dyDescent="0.25">
      <c r="X3823" s="8" t="e">
        <f>IF(Final_Sans_VGE[[#This Row],[ppn_z]]="","",IFERROR(
   IF(_xlfn.XLOOKUP(Final_Sans_VGE[[#This Row],[ppn_z]],tbl_Historique_Final[ppn_z],tbl_Historique_Final[date_modif])=Final_Sans_VGE[[#This Row],[date_modif]],
      "Ancien",
      "Modifié"),
   "Nouveau"))</f>
        <v>#VALUE!</v>
      </c>
      <c r="AD3823" s="1" t="str">
        <f>IFERROR(IF(Final_Sans_VGE[[#This Row],[ppn_z]]="","",IFERROR(
   IF(_xlfn.XLOOKUP(Final_Sans_VGE[[#This Row],[ppn_z]],tbl_Historique_Final[[#This Row],[ppn_z]],tbl_Historique_Final[[#This Row],[date_modif]])=Final_Sans_VGE[[#This Row],[date_modif]],
      "Ancien",
      "Modifié"),
   "Nouveau")),"")</f>
        <v/>
      </c>
    </row>
    <row r="3824" spans="24:30" x14ac:dyDescent="0.25">
      <c r="X3824" s="8" t="e">
        <f>IF(Final_Sans_VGE[[#This Row],[ppn_z]]="","",IFERROR(
   IF(_xlfn.XLOOKUP(Final_Sans_VGE[[#This Row],[ppn_z]],tbl_Historique_Final[ppn_z],tbl_Historique_Final[date_modif])=Final_Sans_VGE[[#This Row],[date_modif]],
      "Ancien",
      "Modifié"),
   "Nouveau"))</f>
        <v>#VALUE!</v>
      </c>
      <c r="AD3824" s="1" t="str">
        <f>IFERROR(IF(Final_Sans_VGE[[#This Row],[ppn_z]]="","",IFERROR(
   IF(_xlfn.XLOOKUP(Final_Sans_VGE[[#This Row],[ppn_z]],tbl_Historique_Final[[#This Row],[ppn_z]],tbl_Historique_Final[[#This Row],[date_modif]])=Final_Sans_VGE[[#This Row],[date_modif]],
      "Ancien",
      "Modifié"),
   "Nouveau")),"")</f>
        <v/>
      </c>
    </row>
    <row r="3825" spans="24:30" x14ac:dyDescent="0.25">
      <c r="X3825" s="8" t="e">
        <f>IF(Final_Sans_VGE[[#This Row],[ppn_z]]="","",IFERROR(
   IF(_xlfn.XLOOKUP(Final_Sans_VGE[[#This Row],[ppn_z]],tbl_Historique_Final[ppn_z],tbl_Historique_Final[date_modif])=Final_Sans_VGE[[#This Row],[date_modif]],
      "Ancien",
      "Modifié"),
   "Nouveau"))</f>
        <v>#VALUE!</v>
      </c>
      <c r="AD3825" s="1" t="str">
        <f>IFERROR(IF(Final_Sans_VGE[[#This Row],[ppn_z]]="","",IFERROR(
   IF(_xlfn.XLOOKUP(Final_Sans_VGE[[#This Row],[ppn_z]],tbl_Historique_Final[[#This Row],[ppn_z]],tbl_Historique_Final[[#This Row],[date_modif]])=Final_Sans_VGE[[#This Row],[date_modif]],
      "Ancien",
      "Modifié"),
   "Nouveau")),"")</f>
        <v/>
      </c>
    </row>
    <row r="3826" spans="24:30" x14ac:dyDescent="0.25">
      <c r="X3826" s="8" t="e">
        <f>IF(Final_Sans_VGE[[#This Row],[ppn_z]]="","",IFERROR(
   IF(_xlfn.XLOOKUP(Final_Sans_VGE[[#This Row],[ppn_z]],tbl_Historique_Final[ppn_z],tbl_Historique_Final[date_modif])=Final_Sans_VGE[[#This Row],[date_modif]],
      "Ancien",
      "Modifié"),
   "Nouveau"))</f>
        <v>#VALUE!</v>
      </c>
      <c r="AD3826" s="1" t="str">
        <f>IFERROR(IF(Final_Sans_VGE[[#This Row],[ppn_z]]="","",IFERROR(
   IF(_xlfn.XLOOKUP(Final_Sans_VGE[[#This Row],[ppn_z]],tbl_Historique_Final[[#This Row],[ppn_z]],tbl_Historique_Final[[#This Row],[date_modif]])=Final_Sans_VGE[[#This Row],[date_modif]],
      "Ancien",
      "Modifié"),
   "Nouveau")),"")</f>
        <v/>
      </c>
    </row>
    <row r="3827" spans="24:30" x14ac:dyDescent="0.25">
      <c r="X3827" s="8" t="e">
        <f>IF(Final_Sans_VGE[[#This Row],[ppn_z]]="","",IFERROR(
   IF(_xlfn.XLOOKUP(Final_Sans_VGE[[#This Row],[ppn_z]],tbl_Historique_Final[ppn_z],tbl_Historique_Final[date_modif])=Final_Sans_VGE[[#This Row],[date_modif]],
      "Ancien",
      "Modifié"),
   "Nouveau"))</f>
        <v>#VALUE!</v>
      </c>
      <c r="AD3827" s="1" t="str">
        <f>IFERROR(IF(Final_Sans_VGE[[#This Row],[ppn_z]]="","",IFERROR(
   IF(_xlfn.XLOOKUP(Final_Sans_VGE[[#This Row],[ppn_z]],tbl_Historique_Final[[#This Row],[ppn_z]],tbl_Historique_Final[[#This Row],[date_modif]])=Final_Sans_VGE[[#This Row],[date_modif]],
      "Ancien",
      "Modifié"),
   "Nouveau")),"")</f>
        <v/>
      </c>
    </row>
    <row r="3828" spans="24:30" x14ac:dyDescent="0.25">
      <c r="X3828" s="8" t="e">
        <f>IF(Final_Sans_VGE[[#This Row],[ppn_z]]="","",IFERROR(
   IF(_xlfn.XLOOKUP(Final_Sans_VGE[[#This Row],[ppn_z]],tbl_Historique_Final[ppn_z],tbl_Historique_Final[date_modif])=Final_Sans_VGE[[#This Row],[date_modif]],
      "Ancien",
      "Modifié"),
   "Nouveau"))</f>
        <v>#VALUE!</v>
      </c>
      <c r="AD3828" s="1" t="str">
        <f>IFERROR(IF(Final_Sans_VGE[[#This Row],[ppn_z]]="","",IFERROR(
   IF(_xlfn.XLOOKUP(Final_Sans_VGE[[#This Row],[ppn_z]],tbl_Historique_Final[[#This Row],[ppn_z]],tbl_Historique_Final[[#This Row],[date_modif]])=Final_Sans_VGE[[#This Row],[date_modif]],
      "Ancien",
      "Modifié"),
   "Nouveau")),"")</f>
        <v/>
      </c>
    </row>
    <row r="3829" spans="24:30" x14ac:dyDescent="0.25">
      <c r="X3829" s="8" t="e">
        <f>IF(Final_Sans_VGE[[#This Row],[ppn_z]]="","",IFERROR(
   IF(_xlfn.XLOOKUP(Final_Sans_VGE[[#This Row],[ppn_z]],tbl_Historique_Final[ppn_z],tbl_Historique_Final[date_modif])=Final_Sans_VGE[[#This Row],[date_modif]],
      "Ancien",
      "Modifié"),
   "Nouveau"))</f>
        <v>#VALUE!</v>
      </c>
      <c r="AD3829" s="1" t="str">
        <f>IFERROR(IF(Final_Sans_VGE[[#This Row],[ppn_z]]="","",IFERROR(
   IF(_xlfn.XLOOKUP(Final_Sans_VGE[[#This Row],[ppn_z]],tbl_Historique_Final[[#This Row],[ppn_z]],tbl_Historique_Final[[#This Row],[date_modif]])=Final_Sans_VGE[[#This Row],[date_modif]],
      "Ancien",
      "Modifié"),
   "Nouveau")),"")</f>
        <v/>
      </c>
    </row>
    <row r="3830" spans="24:30" x14ac:dyDescent="0.25">
      <c r="X3830" s="8" t="e">
        <f>IF(Final_Sans_VGE[[#This Row],[ppn_z]]="","",IFERROR(
   IF(_xlfn.XLOOKUP(Final_Sans_VGE[[#This Row],[ppn_z]],tbl_Historique_Final[ppn_z],tbl_Historique_Final[date_modif])=Final_Sans_VGE[[#This Row],[date_modif]],
      "Ancien",
      "Modifié"),
   "Nouveau"))</f>
        <v>#VALUE!</v>
      </c>
      <c r="AD3830" s="1" t="str">
        <f>IFERROR(IF(Final_Sans_VGE[[#This Row],[ppn_z]]="","",IFERROR(
   IF(_xlfn.XLOOKUP(Final_Sans_VGE[[#This Row],[ppn_z]],tbl_Historique_Final[[#This Row],[ppn_z]],tbl_Historique_Final[[#This Row],[date_modif]])=Final_Sans_VGE[[#This Row],[date_modif]],
      "Ancien",
      "Modifié"),
   "Nouveau")),"")</f>
        <v/>
      </c>
    </row>
    <row r="3831" spans="24:30" x14ac:dyDescent="0.25">
      <c r="X3831" s="8" t="e">
        <f>IF(Final_Sans_VGE[[#This Row],[ppn_z]]="","",IFERROR(
   IF(_xlfn.XLOOKUP(Final_Sans_VGE[[#This Row],[ppn_z]],tbl_Historique_Final[ppn_z],tbl_Historique_Final[date_modif])=Final_Sans_VGE[[#This Row],[date_modif]],
      "Ancien",
      "Modifié"),
   "Nouveau"))</f>
        <v>#VALUE!</v>
      </c>
      <c r="AD3831" s="1" t="str">
        <f>IFERROR(IF(Final_Sans_VGE[[#This Row],[ppn_z]]="","",IFERROR(
   IF(_xlfn.XLOOKUP(Final_Sans_VGE[[#This Row],[ppn_z]],tbl_Historique_Final[[#This Row],[ppn_z]],tbl_Historique_Final[[#This Row],[date_modif]])=Final_Sans_VGE[[#This Row],[date_modif]],
      "Ancien",
      "Modifié"),
   "Nouveau")),"")</f>
        <v/>
      </c>
    </row>
    <row r="3832" spans="24:30" x14ac:dyDescent="0.25">
      <c r="X3832" s="8" t="e">
        <f>IF(Final_Sans_VGE[[#This Row],[ppn_z]]="","",IFERROR(
   IF(_xlfn.XLOOKUP(Final_Sans_VGE[[#This Row],[ppn_z]],tbl_Historique_Final[ppn_z],tbl_Historique_Final[date_modif])=Final_Sans_VGE[[#This Row],[date_modif]],
      "Ancien",
      "Modifié"),
   "Nouveau"))</f>
        <v>#VALUE!</v>
      </c>
      <c r="AD3832" s="1" t="str">
        <f>IFERROR(IF(Final_Sans_VGE[[#This Row],[ppn_z]]="","",IFERROR(
   IF(_xlfn.XLOOKUP(Final_Sans_VGE[[#This Row],[ppn_z]],tbl_Historique_Final[[#This Row],[ppn_z]],tbl_Historique_Final[[#This Row],[date_modif]])=Final_Sans_VGE[[#This Row],[date_modif]],
      "Ancien",
      "Modifié"),
   "Nouveau")),"")</f>
        <v/>
      </c>
    </row>
    <row r="3833" spans="24:30" x14ac:dyDescent="0.25">
      <c r="X3833" s="8" t="e">
        <f>IF(Final_Sans_VGE[[#This Row],[ppn_z]]="","",IFERROR(
   IF(_xlfn.XLOOKUP(Final_Sans_VGE[[#This Row],[ppn_z]],tbl_Historique_Final[ppn_z],tbl_Historique_Final[date_modif])=Final_Sans_VGE[[#This Row],[date_modif]],
      "Ancien",
      "Modifié"),
   "Nouveau"))</f>
        <v>#VALUE!</v>
      </c>
      <c r="AD3833" s="1" t="str">
        <f>IFERROR(IF(Final_Sans_VGE[[#This Row],[ppn_z]]="","",IFERROR(
   IF(_xlfn.XLOOKUP(Final_Sans_VGE[[#This Row],[ppn_z]],tbl_Historique_Final[[#This Row],[ppn_z]],tbl_Historique_Final[[#This Row],[date_modif]])=Final_Sans_VGE[[#This Row],[date_modif]],
      "Ancien",
      "Modifié"),
   "Nouveau")),"")</f>
        <v/>
      </c>
    </row>
    <row r="3834" spans="24:30" x14ac:dyDescent="0.25">
      <c r="X3834" s="8" t="e">
        <f>IF(Final_Sans_VGE[[#This Row],[ppn_z]]="","",IFERROR(
   IF(_xlfn.XLOOKUP(Final_Sans_VGE[[#This Row],[ppn_z]],tbl_Historique_Final[ppn_z],tbl_Historique_Final[date_modif])=Final_Sans_VGE[[#This Row],[date_modif]],
      "Ancien",
      "Modifié"),
   "Nouveau"))</f>
        <v>#VALUE!</v>
      </c>
      <c r="AD3834" s="1" t="str">
        <f>IFERROR(IF(Final_Sans_VGE[[#This Row],[ppn_z]]="","",IFERROR(
   IF(_xlfn.XLOOKUP(Final_Sans_VGE[[#This Row],[ppn_z]],tbl_Historique_Final[[#This Row],[ppn_z]],tbl_Historique_Final[[#This Row],[date_modif]])=Final_Sans_VGE[[#This Row],[date_modif]],
      "Ancien",
      "Modifié"),
   "Nouveau")),"")</f>
        <v/>
      </c>
    </row>
    <row r="3835" spans="24:30" x14ac:dyDescent="0.25">
      <c r="X3835" s="8" t="e">
        <f>IF(Final_Sans_VGE[[#This Row],[ppn_z]]="","",IFERROR(
   IF(_xlfn.XLOOKUP(Final_Sans_VGE[[#This Row],[ppn_z]],tbl_Historique_Final[ppn_z],tbl_Historique_Final[date_modif])=Final_Sans_VGE[[#This Row],[date_modif]],
      "Ancien",
      "Modifié"),
   "Nouveau"))</f>
        <v>#VALUE!</v>
      </c>
      <c r="AD3835" s="1" t="str">
        <f>IFERROR(IF(Final_Sans_VGE[[#This Row],[ppn_z]]="","",IFERROR(
   IF(_xlfn.XLOOKUP(Final_Sans_VGE[[#This Row],[ppn_z]],tbl_Historique_Final[[#This Row],[ppn_z]],tbl_Historique_Final[[#This Row],[date_modif]])=Final_Sans_VGE[[#This Row],[date_modif]],
      "Ancien",
      "Modifié"),
   "Nouveau")),"")</f>
        <v/>
      </c>
    </row>
    <row r="3836" spans="24:30" x14ac:dyDescent="0.25">
      <c r="X3836" s="8" t="e">
        <f>IF(Final_Sans_VGE[[#This Row],[ppn_z]]="","",IFERROR(
   IF(_xlfn.XLOOKUP(Final_Sans_VGE[[#This Row],[ppn_z]],tbl_Historique_Final[ppn_z],tbl_Historique_Final[date_modif])=Final_Sans_VGE[[#This Row],[date_modif]],
      "Ancien",
      "Modifié"),
   "Nouveau"))</f>
        <v>#VALUE!</v>
      </c>
      <c r="AD3836" s="1" t="str">
        <f>IFERROR(IF(Final_Sans_VGE[[#This Row],[ppn_z]]="","",IFERROR(
   IF(_xlfn.XLOOKUP(Final_Sans_VGE[[#This Row],[ppn_z]],tbl_Historique_Final[[#This Row],[ppn_z]],tbl_Historique_Final[[#This Row],[date_modif]])=Final_Sans_VGE[[#This Row],[date_modif]],
      "Ancien",
      "Modifié"),
   "Nouveau")),"")</f>
        <v/>
      </c>
    </row>
    <row r="3837" spans="24:30" x14ac:dyDescent="0.25">
      <c r="X3837" s="8" t="e">
        <f>IF(Final_Sans_VGE[[#This Row],[ppn_z]]="","",IFERROR(
   IF(_xlfn.XLOOKUP(Final_Sans_VGE[[#This Row],[ppn_z]],tbl_Historique_Final[ppn_z],tbl_Historique_Final[date_modif])=Final_Sans_VGE[[#This Row],[date_modif]],
      "Ancien",
      "Modifié"),
   "Nouveau"))</f>
        <v>#VALUE!</v>
      </c>
      <c r="AD3837" s="1" t="str">
        <f>IFERROR(IF(Final_Sans_VGE[[#This Row],[ppn_z]]="","",IFERROR(
   IF(_xlfn.XLOOKUP(Final_Sans_VGE[[#This Row],[ppn_z]],tbl_Historique_Final[[#This Row],[ppn_z]],tbl_Historique_Final[[#This Row],[date_modif]])=Final_Sans_VGE[[#This Row],[date_modif]],
      "Ancien",
      "Modifié"),
   "Nouveau")),"")</f>
        <v/>
      </c>
    </row>
    <row r="3838" spans="24:30" x14ac:dyDescent="0.25">
      <c r="X3838" s="8" t="e">
        <f>IF(Final_Sans_VGE[[#This Row],[ppn_z]]="","",IFERROR(
   IF(_xlfn.XLOOKUP(Final_Sans_VGE[[#This Row],[ppn_z]],tbl_Historique_Final[ppn_z],tbl_Historique_Final[date_modif])=Final_Sans_VGE[[#This Row],[date_modif]],
      "Ancien",
      "Modifié"),
   "Nouveau"))</f>
        <v>#VALUE!</v>
      </c>
      <c r="AD3838" s="1" t="str">
        <f>IFERROR(IF(Final_Sans_VGE[[#This Row],[ppn_z]]="","",IFERROR(
   IF(_xlfn.XLOOKUP(Final_Sans_VGE[[#This Row],[ppn_z]],tbl_Historique_Final[[#This Row],[ppn_z]],tbl_Historique_Final[[#This Row],[date_modif]])=Final_Sans_VGE[[#This Row],[date_modif]],
      "Ancien",
      "Modifié"),
   "Nouveau")),"")</f>
        <v/>
      </c>
    </row>
    <row r="3839" spans="24:30" x14ac:dyDescent="0.25">
      <c r="X3839" s="8" t="e">
        <f>IF(Final_Sans_VGE[[#This Row],[ppn_z]]="","",IFERROR(
   IF(_xlfn.XLOOKUP(Final_Sans_VGE[[#This Row],[ppn_z]],tbl_Historique_Final[ppn_z],tbl_Historique_Final[date_modif])=Final_Sans_VGE[[#This Row],[date_modif]],
      "Ancien",
      "Modifié"),
   "Nouveau"))</f>
        <v>#VALUE!</v>
      </c>
      <c r="AD3839" s="1" t="str">
        <f>IFERROR(IF(Final_Sans_VGE[[#This Row],[ppn_z]]="","",IFERROR(
   IF(_xlfn.XLOOKUP(Final_Sans_VGE[[#This Row],[ppn_z]],tbl_Historique_Final[[#This Row],[ppn_z]],tbl_Historique_Final[[#This Row],[date_modif]])=Final_Sans_VGE[[#This Row],[date_modif]],
      "Ancien",
      "Modifié"),
   "Nouveau")),"")</f>
        <v/>
      </c>
    </row>
    <row r="3840" spans="24:30" x14ac:dyDescent="0.25">
      <c r="X3840" s="8" t="e">
        <f>IF(Final_Sans_VGE[[#This Row],[ppn_z]]="","",IFERROR(
   IF(_xlfn.XLOOKUP(Final_Sans_VGE[[#This Row],[ppn_z]],tbl_Historique_Final[ppn_z],tbl_Historique_Final[date_modif])=Final_Sans_VGE[[#This Row],[date_modif]],
      "Ancien",
      "Modifié"),
   "Nouveau"))</f>
        <v>#VALUE!</v>
      </c>
      <c r="AD3840" s="1" t="str">
        <f>IFERROR(IF(Final_Sans_VGE[[#This Row],[ppn_z]]="","",IFERROR(
   IF(_xlfn.XLOOKUP(Final_Sans_VGE[[#This Row],[ppn_z]],tbl_Historique_Final[[#This Row],[ppn_z]],tbl_Historique_Final[[#This Row],[date_modif]])=Final_Sans_VGE[[#This Row],[date_modif]],
      "Ancien",
      "Modifié"),
   "Nouveau")),"")</f>
        <v/>
      </c>
    </row>
    <row r="3841" spans="24:30" x14ac:dyDescent="0.25">
      <c r="X3841" s="8" t="e">
        <f>IF(Final_Sans_VGE[[#This Row],[ppn_z]]="","",IFERROR(
   IF(_xlfn.XLOOKUP(Final_Sans_VGE[[#This Row],[ppn_z]],tbl_Historique_Final[ppn_z],tbl_Historique_Final[date_modif])=Final_Sans_VGE[[#This Row],[date_modif]],
      "Ancien",
      "Modifié"),
   "Nouveau"))</f>
        <v>#VALUE!</v>
      </c>
      <c r="AD3841" s="1" t="str">
        <f>IFERROR(IF(Final_Sans_VGE[[#This Row],[ppn_z]]="","",IFERROR(
   IF(_xlfn.XLOOKUP(Final_Sans_VGE[[#This Row],[ppn_z]],tbl_Historique_Final[[#This Row],[ppn_z]],tbl_Historique_Final[[#This Row],[date_modif]])=Final_Sans_VGE[[#This Row],[date_modif]],
      "Ancien",
      "Modifié"),
   "Nouveau")),"")</f>
        <v/>
      </c>
    </row>
    <row r="3842" spans="24:30" x14ac:dyDescent="0.25">
      <c r="X3842" s="8" t="e">
        <f>IF(Final_Sans_VGE[[#This Row],[ppn_z]]="","",IFERROR(
   IF(_xlfn.XLOOKUP(Final_Sans_VGE[[#This Row],[ppn_z]],tbl_Historique_Final[ppn_z],tbl_Historique_Final[date_modif])=Final_Sans_VGE[[#This Row],[date_modif]],
      "Ancien",
      "Modifié"),
   "Nouveau"))</f>
        <v>#VALUE!</v>
      </c>
      <c r="AD3842" s="1" t="str">
        <f>IFERROR(IF(Final_Sans_VGE[[#This Row],[ppn_z]]="","",IFERROR(
   IF(_xlfn.XLOOKUP(Final_Sans_VGE[[#This Row],[ppn_z]],tbl_Historique_Final[[#This Row],[ppn_z]],tbl_Historique_Final[[#This Row],[date_modif]])=Final_Sans_VGE[[#This Row],[date_modif]],
      "Ancien",
      "Modifié"),
   "Nouveau")),"")</f>
        <v/>
      </c>
    </row>
    <row r="3843" spans="24:30" x14ac:dyDescent="0.25">
      <c r="X3843" s="8" t="e">
        <f>IF(Final_Sans_VGE[[#This Row],[ppn_z]]="","",IFERROR(
   IF(_xlfn.XLOOKUP(Final_Sans_VGE[[#This Row],[ppn_z]],tbl_Historique_Final[ppn_z],tbl_Historique_Final[date_modif])=Final_Sans_VGE[[#This Row],[date_modif]],
      "Ancien",
      "Modifié"),
   "Nouveau"))</f>
        <v>#VALUE!</v>
      </c>
      <c r="AD3843" s="1" t="str">
        <f>IFERROR(IF(Final_Sans_VGE[[#This Row],[ppn_z]]="","",IFERROR(
   IF(_xlfn.XLOOKUP(Final_Sans_VGE[[#This Row],[ppn_z]],tbl_Historique_Final[[#This Row],[ppn_z]],tbl_Historique_Final[[#This Row],[date_modif]])=Final_Sans_VGE[[#This Row],[date_modif]],
      "Ancien",
      "Modifié"),
   "Nouveau")),"")</f>
        <v/>
      </c>
    </row>
    <row r="3844" spans="24:30" x14ac:dyDescent="0.25">
      <c r="X3844" s="8" t="e">
        <f>IF(Final_Sans_VGE[[#This Row],[ppn_z]]="","",IFERROR(
   IF(_xlfn.XLOOKUP(Final_Sans_VGE[[#This Row],[ppn_z]],tbl_Historique_Final[ppn_z],tbl_Historique_Final[date_modif])=Final_Sans_VGE[[#This Row],[date_modif]],
      "Ancien",
      "Modifié"),
   "Nouveau"))</f>
        <v>#VALUE!</v>
      </c>
      <c r="AD3844" s="1" t="str">
        <f>IFERROR(IF(Final_Sans_VGE[[#This Row],[ppn_z]]="","",IFERROR(
   IF(_xlfn.XLOOKUP(Final_Sans_VGE[[#This Row],[ppn_z]],tbl_Historique_Final[[#This Row],[ppn_z]],tbl_Historique_Final[[#This Row],[date_modif]])=Final_Sans_VGE[[#This Row],[date_modif]],
      "Ancien",
      "Modifié"),
   "Nouveau")),"")</f>
        <v/>
      </c>
    </row>
    <row r="3845" spans="24:30" x14ac:dyDescent="0.25">
      <c r="X3845" s="8" t="e">
        <f>IF(Final_Sans_VGE[[#This Row],[ppn_z]]="","",IFERROR(
   IF(_xlfn.XLOOKUP(Final_Sans_VGE[[#This Row],[ppn_z]],tbl_Historique_Final[ppn_z],tbl_Historique_Final[date_modif])=Final_Sans_VGE[[#This Row],[date_modif]],
      "Ancien",
      "Modifié"),
   "Nouveau"))</f>
        <v>#VALUE!</v>
      </c>
      <c r="AD3845" s="1" t="str">
        <f>IFERROR(IF(Final_Sans_VGE[[#This Row],[ppn_z]]="","",IFERROR(
   IF(_xlfn.XLOOKUP(Final_Sans_VGE[[#This Row],[ppn_z]],tbl_Historique_Final[[#This Row],[ppn_z]],tbl_Historique_Final[[#This Row],[date_modif]])=Final_Sans_VGE[[#This Row],[date_modif]],
      "Ancien",
      "Modifié"),
   "Nouveau")),"")</f>
        <v/>
      </c>
    </row>
    <row r="3846" spans="24:30" x14ac:dyDescent="0.25">
      <c r="X3846" s="8" t="e">
        <f>IF(Final_Sans_VGE[[#This Row],[ppn_z]]="","",IFERROR(
   IF(_xlfn.XLOOKUP(Final_Sans_VGE[[#This Row],[ppn_z]],tbl_Historique_Final[ppn_z],tbl_Historique_Final[date_modif])=Final_Sans_VGE[[#This Row],[date_modif]],
      "Ancien",
      "Modifié"),
   "Nouveau"))</f>
        <v>#VALUE!</v>
      </c>
      <c r="AD3846" s="1" t="str">
        <f>IFERROR(IF(Final_Sans_VGE[[#This Row],[ppn_z]]="","",IFERROR(
   IF(_xlfn.XLOOKUP(Final_Sans_VGE[[#This Row],[ppn_z]],tbl_Historique_Final[[#This Row],[ppn_z]],tbl_Historique_Final[[#This Row],[date_modif]])=Final_Sans_VGE[[#This Row],[date_modif]],
      "Ancien",
      "Modifié"),
   "Nouveau")),"")</f>
        <v/>
      </c>
    </row>
    <row r="3847" spans="24:30" x14ac:dyDescent="0.25">
      <c r="X3847" s="8" t="e">
        <f>IF(Final_Sans_VGE[[#This Row],[ppn_z]]="","",IFERROR(
   IF(_xlfn.XLOOKUP(Final_Sans_VGE[[#This Row],[ppn_z]],tbl_Historique_Final[ppn_z],tbl_Historique_Final[date_modif])=Final_Sans_VGE[[#This Row],[date_modif]],
      "Ancien",
      "Modifié"),
   "Nouveau"))</f>
        <v>#VALUE!</v>
      </c>
      <c r="AD3847" s="1" t="str">
        <f>IFERROR(IF(Final_Sans_VGE[[#This Row],[ppn_z]]="","",IFERROR(
   IF(_xlfn.XLOOKUP(Final_Sans_VGE[[#This Row],[ppn_z]],tbl_Historique_Final[[#This Row],[ppn_z]],tbl_Historique_Final[[#This Row],[date_modif]])=Final_Sans_VGE[[#This Row],[date_modif]],
      "Ancien",
      "Modifié"),
   "Nouveau")),"")</f>
        <v/>
      </c>
    </row>
    <row r="3848" spans="24:30" x14ac:dyDescent="0.25">
      <c r="X3848" s="8" t="e">
        <f>IF(Final_Sans_VGE[[#This Row],[ppn_z]]="","",IFERROR(
   IF(_xlfn.XLOOKUP(Final_Sans_VGE[[#This Row],[ppn_z]],tbl_Historique_Final[ppn_z],tbl_Historique_Final[date_modif])=Final_Sans_VGE[[#This Row],[date_modif]],
      "Ancien",
      "Modifié"),
   "Nouveau"))</f>
        <v>#VALUE!</v>
      </c>
      <c r="AD3848" s="1" t="str">
        <f>IFERROR(IF(Final_Sans_VGE[[#This Row],[ppn_z]]="","",IFERROR(
   IF(_xlfn.XLOOKUP(Final_Sans_VGE[[#This Row],[ppn_z]],tbl_Historique_Final[[#This Row],[ppn_z]],tbl_Historique_Final[[#This Row],[date_modif]])=Final_Sans_VGE[[#This Row],[date_modif]],
      "Ancien",
      "Modifié"),
   "Nouveau")),"")</f>
        <v/>
      </c>
    </row>
    <row r="3849" spans="24:30" x14ac:dyDescent="0.25">
      <c r="X3849" s="8" t="e">
        <f>IF(Final_Sans_VGE[[#This Row],[ppn_z]]="","",IFERROR(
   IF(_xlfn.XLOOKUP(Final_Sans_VGE[[#This Row],[ppn_z]],tbl_Historique_Final[ppn_z],tbl_Historique_Final[date_modif])=Final_Sans_VGE[[#This Row],[date_modif]],
      "Ancien",
      "Modifié"),
   "Nouveau"))</f>
        <v>#VALUE!</v>
      </c>
      <c r="AD3849" s="1" t="str">
        <f>IFERROR(IF(Final_Sans_VGE[[#This Row],[ppn_z]]="","",IFERROR(
   IF(_xlfn.XLOOKUP(Final_Sans_VGE[[#This Row],[ppn_z]],tbl_Historique_Final[[#This Row],[ppn_z]],tbl_Historique_Final[[#This Row],[date_modif]])=Final_Sans_VGE[[#This Row],[date_modif]],
      "Ancien",
      "Modifié"),
   "Nouveau")),"")</f>
        <v/>
      </c>
    </row>
    <row r="3850" spans="24:30" x14ac:dyDescent="0.25">
      <c r="X3850" s="8" t="e">
        <f>IF(Final_Sans_VGE[[#This Row],[ppn_z]]="","",IFERROR(
   IF(_xlfn.XLOOKUP(Final_Sans_VGE[[#This Row],[ppn_z]],tbl_Historique_Final[ppn_z],tbl_Historique_Final[date_modif])=Final_Sans_VGE[[#This Row],[date_modif]],
      "Ancien",
      "Modifié"),
   "Nouveau"))</f>
        <v>#VALUE!</v>
      </c>
      <c r="AD3850" s="1" t="str">
        <f>IFERROR(IF(Final_Sans_VGE[[#This Row],[ppn_z]]="","",IFERROR(
   IF(_xlfn.XLOOKUP(Final_Sans_VGE[[#This Row],[ppn_z]],tbl_Historique_Final[[#This Row],[ppn_z]],tbl_Historique_Final[[#This Row],[date_modif]])=Final_Sans_VGE[[#This Row],[date_modif]],
      "Ancien",
      "Modifié"),
   "Nouveau")),"")</f>
        <v/>
      </c>
    </row>
    <row r="3851" spans="24:30" x14ac:dyDescent="0.25">
      <c r="X3851" s="8" t="e">
        <f>IF(Final_Sans_VGE[[#This Row],[ppn_z]]="","",IFERROR(
   IF(_xlfn.XLOOKUP(Final_Sans_VGE[[#This Row],[ppn_z]],tbl_Historique_Final[ppn_z],tbl_Historique_Final[date_modif])=Final_Sans_VGE[[#This Row],[date_modif]],
      "Ancien",
      "Modifié"),
   "Nouveau"))</f>
        <v>#VALUE!</v>
      </c>
      <c r="AD3851" s="1" t="str">
        <f>IFERROR(IF(Final_Sans_VGE[[#This Row],[ppn_z]]="","",IFERROR(
   IF(_xlfn.XLOOKUP(Final_Sans_VGE[[#This Row],[ppn_z]],tbl_Historique_Final[[#This Row],[ppn_z]],tbl_Historique_Final[[#This Row],[date_modif]])=Final_Sans_VGE[[#This Row],[date_modif]],
      "Ancien",
      "Modifié"),
   "Nouveau")),"")</f>
        <v/>
      </c>
    </row>
    <row r="3852" spans="24:30" x14ac:dyDescent="0.25">
      <c r="X3852" s="8" t="e">
        <f>IF(Final_Sans_VGE[[#This Row],[ppn_z]]="","",IFERROR(
   IF(_xlfn.XLOOKUP(Final_Sans_VGE[[#This Row],[ppn_z]],tbl_Historique_Final[ppn_z],tbl_Historique_Final[date_modif])=Final_Sans_VGE[[#This Row],[date_modif]],
      "Ancien",
      "Modifié"),
   "Nouveau"))</f>
        <v>#VALUE!</v>
      </c>
      <c r="AD3852" s="1" t="str">
        <f>IFERROR(IF(Final_Sans_VGE[[#This Row],[ppn_z]]="","",IFERROR(
   IF(_xlfn.XLOOKUP(Final_Sans_VGE[[#This Row],[ppn_z]],tbl_Historique_Final[[#This Row],[ppn_z]],tbl_Historique_Final[[#This Row],[date_modif]])=Final_Sans_VGE[[#This Row],[date_modif]],
      "Ancien",
      "Modifié"),
   "Nouveau")),"")</f>
        <v/>
      </c>
    </row>
    <row r="3853" spans="24:30" x14ac:dyDescent="0.25">
      <c r="X3853" s="8" t="e">
        <f>IF(Final_Sans_VGE[[#This Row],[ppn_z]]="","",IFERROR(
   IF(_xlfn.XLOOKUP(Final_Sans_VGE[[#This Row],[ppn_z]],tbl_Historique_Final[ppn_z],tbl_Historique_Final[date_modif])=Final_Sans_VGE[[#This Row],[date_modif]],
      "Ancien",
      "Modifié"),
   "Nouveau"))</f>
        <v>#VALUE!</v>
      </c>
      <c r="AD3853" s="1" t="str">
        <f>IFERROR(IF(Final_Sans_VGE[[#This Row],[ppn_z]]="","",IFERROR(
   IF(_xlfn.XLOOKUP(Final_Sans_VGE[[#This Row],[ppn_z]],tbl_Historique_Final[[#This Row],[ppn_z]],tbl_Historique_Final[[#This Row],[date_modif]])=Final_Sans_VGE[[#This Row],[date_modif]],
      "Ancien",
      "Modifié"),
   "Nouveau")),"")</f>
        <v/>
      </c>
    </row>
    <row r="3854" spans="24:30" x14ac:dyDescent="0.25">
      <c r="X3854" s="8" t="e">
        <f>IF(Final_Sans_VGE[[#This Row],[ppn_z]]="","",IFERROR(
   IF(_xlfn.XLOOKUP(Final_Sans_VGE[[#This Row],[ppn_z]],tbl_Historique_Final[ppn_z],tbl_Historique_Final[date_modif])=Final_Sans_VGE[[#This Row],[date_modif]],
      "Ancien",
      "Modifié"),
   "Nouveau"))</f>
        <v>#VALUE!</v>
      </c>
      <c r="AD3854" s="1" t="str">
        <f>IFERROR(IF(Final_Sans_VGE[[#This Row],[ppn_z]]="","",IFERROR(
   IF(_xlfn.XLOOKUP(Final_Sans_VGE[[#This Row],[ppn_z]],tbl_Historique_Final[[#This Row],[ppn_z]],tbl_Historique_Final[[#This Row],[date_modif]])=Final_Sans_VGE[[#This Row],[date_modif]],
      "Ancien",
      "Modifié"),
   "Nouveau")),"")</f>
        <v/>
      </c>
    </row>
    <row r="3855" spans="24:30" x14ac:dyDescent="0.25">
      <c r="X3855" s="8" t="e">
        <f>IF(Final_Sans_VGE[[#This Row],[ppn_z]]="","",IFERROR(
   IF(_xlfn.XLOOKUP(Final_Sans_VGE[[#This Row],[ppn_z]],tbl_Historique_Final[ppn_z],tbl_Historique_Final[date_modif])=Final_Sans_VGE[[#This Row],[date_modif]],
      "Ancien",
      "Modifié"),
   "Nouveau"))</f>
        <v>#VALUE!</v>
      </c>
      <c r="AD3855" s="1" t="str">
        <f>IFERROR(IF(Final_Sans_VGE[[#This Row],[ppn_z]]="","",IFERROR(
   IF(_xlfn.XLOOKUP(Final_Sans_VGE[[#This Row],[ppn_z]],tbl_Historique_Final[[#This Row],[ppn_z]],tbl_Historique_Final[[#This Row],[date_modif]])=Final_Sans_VGE[[#This Row],[date_modif]],
      "Ancien",
      "Modifié"),
   "Nouveau")),"")</f>
        <v/>
      </c>
    </row>
    <row r="3856" spans="24:30" x14ac:dyDescent="0.25">
      <c r="X3856" s="8" t="e">
        <f>IF(Final_Sans_VGE[[#This Row],[ppn_z]]="","",IFERROR(
   IF(_xlfn.XLOOKUP(Final_Sans_VGE[[#This Row],[ppn_z]],tbl_Historique_Final[ppn_z],tbl_Historique_Final[date_modif])=Final_Sans_VGE[[#This Row],[date_modif]],
      "Ancien",
      "Modifié"),
   "Nouveau"))</f>
        <v>#VALUE!</v>
      </c>
      <c r="AD3856" s="1" t="str">
        <f>IFERROR(IF(Final_Sans_VGE[[#This Row],[ppn_z]]="","",IFERROR(
   IF(_xlfn.XLOOKUP(Final_Sans_VGE[[#This Row],[ppn_z]],tbl_Historique_Final[[#This Row],[ppn_z]],tbl_Historique_Final[[#This Row],[date_modif]])=Final_Sans_VGE[[#This Row],[date_modif]],
      "Ancien",
      "Modifié"),
   "Nouveau")),"")</f>
        <v/>
      </c>
    </row>
    <row r="3857" spans="24:30" x14ac:dyDescent="0.25">
      <c r="X3857" s="8" t="e">
        <f>IF(Final_Sans_VGE[[#This Row],[ppn_z]]="","",IFERROR(
   IF(_xlfn.XLOOKUP(Final_Sans_VGE[[#This Row],[ppn_z]],tbl_Historique_Final[ppn_z],tbl_Historique_Final[date_modif])=Final_Sans_VGE[[#This Row],[date_modif]],
      "Ancien",
      "Modifié"),
   "Nouveau"))</f>
        <v>#VALUE!</v>
      </c>
      <c r="AD3857" s="1" t="str">
        <f>IFERROR(IF(Final_Sans_VGE[[#This Row],[ppn_z]]="","",IFERROR(
   IF(_xlfn.XLOOKUP(Final_Sans_VGE[[#This Row],[ppn_z]],tbl_Historique_Final[[#This Row],[ppn_z]],tbl_Historique_Final[[#This Row],[date_modif]])=Final_Sans_VGE[[#This Row],[date_modif]],
      "Ancien",
      "Modifié"),
   "Nouveau")),"")</f>
        <v/>
      </c>
    </row>
    <row r="3858" spans="24:30" x14ac:dyDescent="0.25">
      <c r="X3858" s="8" t="e">
        <f>IF(Final_Sans_VGE[[#This Row],[ppn_z]]="","",IFERROR(
   IF(_xlfn.XLOOKUP(Final_Sans_VGE[[#This Row],[ppn_z]],tbl_Historique_Final[ppn_z],tbl_Historique_Final[date_modif])=Final_Sans_VGE[[#This Row],[date_modif]],
      "Ancien",
      "Modifié"),
   "Nouveau"))</f>
        <v>#VALUE!</v>
      </c>
      <c r="AD3858" s="1" t="str">
        <f>IFERROR(IF(Final_Sans_VGE[[#This Row],[ppn_z]]="","",IFERROR(
   IF(_xlfn.XLOOKUP(Final_Sans_VGE[[#This Row],[ppn_z]],tbl_Historique_Final[[#This Row],[ppn_z]],tbl_Historique_Final[[#This Row],[date_modif]])=Final_Sans_VGE[[#This Row],[date_modif]],
      "Ancien",
      "Modifié"),
   "Nouveau")),"")</f>
        <v/>
      </c>
    </row>
    <row r="3859" spans="24:30" x14ac:dyDescent="0.25">
      <c r="X3859" s="8" t="e">
        <f>IF(Final_Sans_VGE[[#This Row],[ppn_z]]="","",IFERROR(
   IF(_xlfn.XLOOKUP(Final_Sans_VGE[[#This Row],[ppn_z]],tbl_Historique_Final[ppn_z],tbl_Historique_Final[date_modif])=Final_Sans_VGE[[#This Row],[date_modif]],
      "Ancien",
      "Modifié"),
   "Nouveau"))</f>
        <v>#VALUE!</v>
      </c>
      <c r="AD3859" s="1" t="str">
        <f>IFERROR(IF(Final_Sans_VGE[[#This Row],[ppn_z]]="","",IFERROR(
   IF(_xlfn.XLOOKUP(Final_Sans_VGE[[#This Row],[ppn_z]],tbl_Historique_Final[[#This Row],[ppn_z]],tbl_Historique_Final[[#This Row],[date_modif]])=Final_Sans_VGE[[#This Row],[date_modif]],
      "Ancien",
      "Modifié"),
   "Nouveau")),"")</f>
        <v/>
      </c>
    </row>
    <row r="3860" spans="24:30" x14ac:dyDescent="0.25">
      <c r="X3860" s="8" t="e">
        <f>IF(Final_Sans_VGE[[#This Row],[ppn_z]]="","",IFERROR(
   IF(_xlfn.XLOOKUP(Final_Sans_VGE[[#This Row],[ppn_z]],tbl_Historique_Final[ppn_z],tbl_Historique_Final[date_modif])=Final_Sans_VGE[[#This Row],[date_modif]],
      "Ancien",
      "Modifié"),
   "Nouveau"))</f>
        <v>#VALUE!</v>
      </c>
      <c r="AD3860" s="1" t="str">
        <f>IFERROR(IF(Final_Sans_VGE[[#This Row],[ppn_z]]="","",IFERROR(
   IF(_xlfn.XLOOKUP(Final_Sans_VGE[[#This Row],[ppn_z]],tbl_Historique_Final[[#This Row],[ppn_z]],tbl_Historique_Final[[#This Row],[date_modif]])=Final_Sans_VGE[[#This Row],[date_modif]],
      "Ancien",
      "Modifié"),
   "Nouveau")),"")</f>
        <v/>
      </c>
    </row>
    <row r="3861" spans="24:30" x14ac:dyDescent="0.25">
      <c r="X3861" s="8" t="e">
        <f>IF(Final_Sans_VGE[[#This Row],[ppn_z]]="","",IFERROR(
   IF(_xlfn.XLOOKUP(Final_Sans_VGE[[#This Row],[ppn_z]],tbl_Historique_Final[ppn_z],tbl_Historique_Final[date_modif])=Final_Sans_VGE[[#This Row],[date_modif]],
      "Ancien",
      "Modifié"),
   "Nouveau"))</f>
        <v>#VALUE!</v>
      </c>
      <c r="AD3861" s="1" t="str">
        <f>IFERROR(IF(Final_Sans_VGE[[#This Row],[ppn_z]]="","",IFERROR(
   IF(_xlfn.XLOOKUP(Final_Sans_VGE[[#This Row],[ppn_z]],tbl_Historique_Final[[#This Row],[ppn_z]],tbl_Historique_Final[[#This Row],[date_modif]])=Final_Sans_VGE[[#This Row],[date_modif]],
      "Ancien",
      "Modifié"),
   "Nouveau")),"")</f>
        <v/>
      </c>
    </row>
    <row r="3862" spans="24:30" x14ac:dyDescent="0.25">
      <c r="X3862" s="8" t="e">
        <f>IF(Final_Sans_VGE[[#This Row],[ppn_z]]="","",IFERROR(
   IF(_xlfn.XLOOKUP(Final_Sans_VGE[[#This Row],[ppn_z]],tbl_Historique_Final[ppn_z],tbl_Historique_Final[date_modif])=Final_Sans_VGE[[#This Row],[date_modif]],
      "Ancien",
      "Modifié"),
   "Nouveau"))</f>
        <v>#VALUE!</v>
      </c>
      <c r="AD3862" s="1" t="str">
        <f>IFERROR(IF(Final_Sans_VGE[[#This Row],[ppn_z]]="","",IFERROR(
   IF(_xlfn.XLOOKUP(Final_Sans_VGE[[#This Row],[ppn_z]],tbl_Historique_Final[[#This Row],[ppn_z]],tbl_Historique_Final[[#This Row],[date_modif]])=Final_Sans_VGE[[#This Row],[date_modif]],
      "Ancien",
      "Modifié"),
   "Nouveau")),"")</f>
        <v/>
      </c>
    </row>
    <row r="3863" spans="24:30" x14ac:dyDescent="0.25">
      <c r="X3863" s="8" t="e">
        <f>IF(Final_Sans_VGE[[#This Row],[ppn_z]]="","",IFERROR(
   IF(_xlfn.XLOOKUP(Final_Sans_VGE[[#This Row],[ppn_z]],tbl_Historique_Final[ppn_z],tbl_Historique_Final[date_modif])=Final_Sans_VGE[[#This Row],[date_modif]],
      "Ancien",
      "Modifié"),
   "Nouveau"))</f>
        <v>#VALUE!</v>
      </c>
      <c r="AD3863" s="1" t="str">
        <f>IFERROR(IF(Final_Sans_VGE[[#This Row],[ppn_z]]="","",IFERROR(
   IF(_xlfn.XLOOKUP(Final_Sans_VGE[[#This Row],[ppn_z]],tbl_Historique_Final[[#This Row],[ppn_z]],tbl_Historique_Final[[#This Row],[date_modif]])=Final_Sans_VGE[[#This Row],[date_modif]],
      "Ancien",
      "Modifié"),
   "Nouveau")),"")</f>
        <v/>
      </c>
    </row>
    <row r="3864" spans="24:30" x14ac:dyDescent="0.25">
      <c r="X3864" s="8" t="e">
        <f>IF(Final_Sans_VGE[[#This Row],[ppn_z]]="","",IFERROR(
   IF(_xlfn.XLOOKUP(Final_Sans_VGE[[#This Row],[ppn_z]],tbl_Historique_Final[ppn_z],tbl_Historique_Final[date_modif])=Final_Sans_VGE[[#This Row],[date_modif]],
      "Ancien",
      "Modifié"),
   "Nouveau"))</f>
        <v>#VALUE!</v>
      </c>
      <c r="AD3864" s="1" t="str">
        <f>IFERROR(IF(Final_Sans_VGE[[#This Row],[ppn_z]]="","",IFERROR(
   IF(_xlfn.XLOOKUP(Final_Sans_VGE[[#This Row],[ppn_z]],tbl_Historique_Final[[#This Row],[ppn_z]],tbl_Historique_Final[[#This Row],[date_modif]])=Final_Sans_VGE[[#This Row],[date_modif]],
      "Ancien",
      "Modifié"),
   "Nouveau")),"")</f>
        <v/>
      </c>
    </row>
    <row r="3865" spans="24:30" x14ac:dyDescent="0.25">
      <c r="X3865" s="8" t="e">
        <f>IF(Final_Sans_VGE[[#This Row],[ppn_z]]="","",IFERROR(
   IF(_xlfn.XLOOKUP(Final_Sans_VGE[[#This Row],[ppn_z]],tbl_Historique_Final[ppn_z],tbl_Historique_Final[date_modif])=Final_Sans_VGE[[#This Row],[date_modif]],
      "Ancien",
      "Modifié"),
   "Nouveau"))</f>
        <v>#VALUE!</v>
      </c>
      <c r="AD3865" s="1" t="str">
        <f>IFERROR(IF(Final_Sans_VGE[[#This Row],[ppn_z]]="","",IFERROR(
   IF(_xlfn.XLOOKUP(Final_Sans_VGE[[#This Row],[ppn_z]],tbl_Historique_Final[[#This Row],[ppn_z]],tbl_Historique_Final[[#This Row],[date_modif]])=Final_Sans_VGE[[#This Row],[date_modif]],
      "Ancien",
      "Modifié"),
   "Nouveau")),"")</f>
        <v/>
      </c>
    </row>
    <row r="3866" spans="24:30" x14ac:dyDescent="0.25">
      <c r="X3866" s="8" t="e">
        <f>IF(Final_Sans_VGE[[#This Row],[ppn_z]]="","",IFERROR(
   IF(_xlfn.XLOOKUP(Final_Sans_VGE[[#This Row],[ppn_z]],tbl_Historique_Final[ppn_z],tbl_Historique_Final[date_modif])=Final_Sans_VGE[[#This Row],[date_modif]],
      "Ancien",
      "Modifié"),
   "Nouveau"))</f>
        <v>#VALUE!</v>
      </c>
      <c r="AD3866" s="1" t="str">
        <f>IFERROR(IF(Final_Sans_VGE[[#This Row],[ppn_z]]="","",IFERROR(
   IF(_xlfn.XLOOKUP(Final_Sans_VGE[[#This Row],[ppn_z]],tbl_Historique_Final[[#This Row],[ppn_z]],tbl_Historique_Final[[#This Row],[date_modif]])=Final_Sans_VGE[[#This Row],[date_modif]],
      "Ancien",
      "Modifié"),
   "Nouveau")),"")</f>
        <v/>
      </c>
    </row>
    <row r="3867" spans="24:30" x14ac:dyDescent="0.25">
      <c r="X3867" s="8" t="e">
        <f>IF(Final_Sans_VGE[[#This Row],[ppn_z]]="","",IFERROR(
   IF(_xlfn.XLOOKUP(Final_Sans_VGE[[#This Row],[ppn_z]],tbl_Historique_Final[ppn_z],tbl_Historique_Final[date_modif])=Final_Sans_VGE[[#This Row],[date_modif]],
      "Ancien",
      "Modifié"),
   "Nouveau"))</f>
        <v>#VALUE!</v>
      </c>
      <c r="AD3867" s="1" t="str">
        <f>IFERROR(IF(Final_Sans_VGE[[#This Row],[ppn_z]]="","",IFERROR(
   IF(_xlfn.XLOOKUP(Final_Sans_VGE[[#This Row],[ppn_z]],tbl_Historique_Final[[#This Row],[ppn_z]],tbl_Historique_Final[[#This Row],[date_modif]])=Final_Sans_VGE[[#This Row],[date_modif]],
      "Ancien",
      "Modifié"),
   "Nouveau")),"")</f>
        <v/>
      </c>
    </row>
    <row r="3868" spans="24:30" x14ac:dyDescent="0.25">
      <c r="X3868" s="8" t="e">
        <f>IF(Final_Sans_VGE[[#This Row],[ppn_z]]="","",IFERROR(
   IF(_xlfn.XLOOKUP(Final_Sans_VGE[[#This Row],[ppn_z]],tbl_Historique_Final[ppn_z],tbl_Historique_Final[date_modif])=Final_Sans_VGE[[#This Row],[date_modif]],
      "Ancien",
      "Modifié"),
   "Nouveau"))</f>
        <v>#VALUE!</v>
      </c>
      <c r="AD3868" s="1" t="str">
        <f>IFERROR(IF(Final_Sans_VGE[[#This Row],[ppn_z]]="","",IFERROR(
   IF(_xlfn.XLOOKUP(Final_Sans_VGE[[#This Row],[ppn_z]],tbl_Historique_Final[[#This Row],[ppn_z]],tbl_Historique_Final[[#This Row],[date_modif]])=Final_Sans_VGE[[#This Row],[date_modif]],
      "Ancien",
      "Modifié"),
   "Nouveau")),"")</f>
        <v/>
      </c>
    </row>
    <row r="3869" spans="24:30" x14ac:dyDescent="0.25">
      <c r="X3869" s="8" t="e">
        <f>IF(Final_Sans_VGE[[#This Row],[ppn_z]]="","",IFERROR(
   IF(_xlfn.XLOOKUP(Final_Sans_VGE[[#This Row],[ppn_z]],tbl_Historique_Final[ppn_z],tbl_Historique_Final[date_modif])=Final_Sans_VGE[[#This Row],[date_modif]],
      "Ancien",
      "Modifié"),
   "Nouveau"))</f>
        <v>#VALUE!</v>
      </c>
      <c r="AD3869" s="1" t="str">
        <f>IFERROR(IF(Final_Sans_VGE[[#This Row],[ppn_z]]="","",IFERROR(
   IF(_xlfn.XLOOKUP(Final_Sans_VGE[[#This Row],[ppn_z]],tbl_Historique_Final[[#This Row],[ppn_z]],tbl_Historique_Final[[#This Row],[date_modif]])=Final_Sans_VGE[[#This Row],[date_modif]],
      "Ancien",
      "Modifié"),
   "Nouveau")),"")</f>
        <v/>
      </c>
    </row>
    <row r="3870" spans="24:30" x14ac:dyDescent="0.25">
      <c r="X3870" s="8" t="e">
        <f>IF(Final_Sans_VGE[[#This Row],[ppn_z]]="","",IFERROR(
   IF(_xlfn.XLOOKUP(Final_Sans_VGE[[#This Row],[ppn_z]],tbl_Historique_Final[ppn_z],tbl_Historique_Final[date_modif])=Final_Sans_VGE[[#This Row],[date_modif]],
      "Ancien",
      "Modifié"),
   "Nouveau"))</f>
        <v>#VALUE!</v>
      </c>
      <c r="AD3870" s="1" t="str">
        <f>IFERROR(IF(Final_Sans_VGE[[#This Row],[ppn_z]]="","",IFERROR(
   IF(_xlfn.XLOOKUP(Final_Sans_VGE[[#This Row],[ppn_z]],tbl_Historique_Final[[#This Row],[ppn_z]],tbl_Historique_Final[[#This Row],[date_modif]])=Final_Sans_VGE[[#This Row],[date_modif]],
      "Ancien",
      "Modifié"),
   "Nouveau")),"")</f>
        <v/>
      </c>
    </row>
    <row r="3871" spans="24:30" x14ac:dyDescent="0.25">
      <c r="X3871" s="8" t="e">
        <f>IF(Final_Sans_VGE[[#This Row],[ppn_z]]="","",IFERROR(
   IF(_xlfn.XLOOKUP(Final_Sans_VGE[[#This Row],[ppn_z]],tbl_Historique_Final[ppn_z],tbl_Historique_Final[date_modif])=Final_Sans_VGE[[#This Row],[date_modif]],
      "Ancien",
      "Modifié"),
   "Nouveau"))</f>
        <v>#VALUE!</v>
      </c>
      <c r="AD3871" s="1" t="str">
        <f>IFERROR(IF(Final_Sans_VGE[[#This Row],[ppn_z]]="","",IFERROR(
   IF(_xlfn.XLOOKUP(Final_Sans_VGE[[#This Row],[ppn_z]],tbl_Historique_Final[[#This Row],[ppn_z]],tbl_Historique_Final[[#This Row],[date_modif]])=Final_Sans_VGE[[#This Row],[date_modif]],
      "Ancien",
      "Modifié"),
   "Nouveau")),"")</f>
        <v/>
      </c>
    </row>
    <row r="3872" spans="24:30" x14ac:dyDescent="0.25">
      <c r="X3872" s="8" t="e">
        <f>IF(Final_Sans_VGE[[#This Row],[ppn_z]]="","",IFERROR(
   IF(_xlfn.XLOOKUP(Final_Sans_VGE[[#This Row],[ppn_z]],tbl_Historique_Final[ppn_z],tbl_Historique_Final[date_modif])=Final_Sans_VGE[[#This Row],[date_modif]],
      "Ancien",
      "Modifié"),
   "Nouveau"))</f>
        <v>#VALUE!</v>
      </c>
      <c r="AD3872" s="1" t="str">
        <f>IFERROR(IF(Final_Sans_VGE[[#This Row],[ppn_z]]="","",IFERROR(
   IF(_xlfn.XLOOKUP(Final_Sans_VGE[[#This Row],[ppn_z]],tbl_Historique_Final[[#This Row],[ppn_z]],tbl_Historique_Final[[#This Row],[date_modif]])=Final_Sans_VGE[[#This Row],[date_modif]],
      "Ancien",
      "Modifié"),
   "Nouveau")),"")</f>
        <v/>
      </c>
    </row>
    <row r="3873" spans="24:30" x14ac:dyDescent="0.25">
      <c r="X3873" s="8" t="e">
        <f>IF(Final_Sans_VGE[[#This Row],[ppn_z]]="","",IFERROR(
   IF(_xlfn.XLOOKUP(Final_Sans_VGE[[#This Row],[ppn_z]],tbl_Historique_Final[ppn_z],tbl_Historique_Final[date_modif])=Final_Sans_VGE[[#This Row],[date_modif]],
      "Ancien",
      "Modifié"),
   "Nouveau"))</f>
        <v>#VALUE!</v>
      </c>
      <c r="AD3873" s="1" t="str">
        <f>IFERROR(IF(Final_Sans_VGE[[#This Row],[ppn_z]]="","",IFERROR(
   IF(_xlfn.XLOOKUP(Final_Sans_VGE[[#This Row],[ppn_z]],tbl_Historique_Final[[#This Row],[ppn_z]],tbl_Historique_Final[[#This Row],[date_modif]])=Final_Sans_VGE[[#This Row],[date_modif]],
      "Ancien",
      "Modifié"),
   "Nouveau")),"")</f>
        <v/>
      </c>
    </row>
    <row r="3874" spans="24:30" x14ac:dyDescent="0.25">
      <c r="X3874" s="8" t="e">
        <f>IF(Final_Sans_VGE[[#This Row],[ppn_z]]="","",IFERROR(
   IF(_xlfn.XLOOKUP(Final_Sans_VGE[[#This Row],[ppn_z]],tbl_Historique_Final[ppn_z],tbl_Historique_Final[date_modif])=Final_Sans_VGE[[#This Row],[date_modif]],
      "Ancien",
      "Modifié"),
   "Nouveau"))</f>
        <v>#VALUE!</v>
      </c>
      <c r="AD3874" s="1" t="str">
        <f>IFERROR(IF(Final_Sans_VGE[[#This Row],[ppn_z]]="","",IFERROR(
   IF(_xlfn.XLOOKUP(Final_Sans_VGE[[#This Row],[ppn_z]],tbl_Historique_Final[[#This Row],[ppn_z]],tbl_Historique_Final[[#This Row],[date_modif]])=Final_Sans_VGE[[#This Row],[date_modif]],
      "Ancien",
      "Modifié"),
   "Nouveau")),"")</f>
        <v/>
      </c>
    </row>
    <row r="3875" spans="24:30" x14ac:dyDescent="0.25">
      <c r="X3875" s="8" t="e">
        <f>IF(Final_Sans_VGE[[#This Row],[ppn_z]]="","",IFERROR(
   IF(_xlfn.XLOOKUP(Final_Sans_VGE[[#This Row],[ppn_z]],tbl_Historique_Final[ppn_z],tbl_Historique_Final[date_modif])=Final_Sans_VGE[[#This Row],[date_modif]],
      "Ancien",
      "Modifié"),
   "Nouveau"))</f>
        <v>#VALUE!</v>
      </c>
      <c r="AD3875" s="1" t="str">
        <f>IFERROR(IF(Final_Sans_VGE[[#This Row],[ppn_z]]="","",IFERROR(
   IF(_xlfn.XLOOKUP(Final_Sans_VGE[[#This Row],[ppn_z]],tbl_Historique_Final[[#This Row],[ppn_z]],tbl_Historique_Final[[#This Row],[date_modif]])=Final_Sans_VGE[[#This Row],[date_modif]],
      "Ancien",
      "Modifié"),
   "Nouveau")),"")</f>
        <v/>
      </c>
    </row>
    <row r="3876" spans="24:30" x14ac:dyDescent="0.25">
      <c r="X3876" s="8" t="e">
        <f>IF(Final_Sans_VGE[[#This Row],[ppn_z]]="","",IFERROR(
   IF(_xlfn.XLOOKUP(Final_Sans_VGE[[#This Row],[ppn_z]],tbl_Historique_Final[ppn_z],tbl_Historique_Final[date_modif])=Final_Sans_VGE[[#This Row],[date_modif]],
      "Ancien",
      "Modifié"),
   "Nouveau"))</f>
        <v>#VALUE!</v>
      </c>
      <c r="AD3876" s="1" t="str">
        <f>IFERROR(IF(Final_Sans_VGE[[#This Row],[ppn_z]]="","",IFERROR(
   IF(_xlfn.XLOOKUP(Final_Sans_VGE[[#This Row],[ppn_z]],tbl_Historique_Final[[#This Row],[ppn_z]],tbl_Historique_Final[[#This Row],[date_modif]])=Final_Sans_VGE[[#This Row],[date_modif]],
      "Ancien",
      "Modifié"),
   "Nouveau")),"")</f>
        <v/>
      </c>
    </row>
    <row r="3877" spans="24:30" x14ac:dyDescent="0.25">
      <c r="X3877" s="8" t="e">
        <f>IF(Final_Sans_VGE[[#This Row],[ppn_z]]="","",IFERROR(
   IF(_xlfn.XLOOKUP(Final_Sans_VGE[[#This Row],[ppn_z]],tbl_Historique_Final[ppn_z],tbl_Historique_Final[date_modif])=Final_Sans_VGE[[#This Row],[date_modif]],
      "Ancien",
      "Modifié"),
   "Nouveau"))</f>
        <v>#VALUE!</v>
      </c>
      <c r="AD3877" s="1" t="str">
        <f>IFERROR(IF(Final_Sans_VGE[[#This Row],[ppn_z]]="","",IFERROR(
   IF(_xlfn.XLOOKUP(Final_Sans_VGE[[#This Row],[ppn_z]],tbl_Historique_Final[[#This Row],[ppn_z]],tbl_Historique_Final[[#This Row],[date_modif]])=Final_Sans_VGE[[#This Row],[date_modif]],
      "Ancien",
      "Modifié"),
   "Nouveau")),"")</f>
        <v/>
      </c>
    </row>
    <row r="3878" spans="24:30" x14ac:dyDescent="0.25">
      <c r="X3878" s="8" t="e">
        <f>IF(Final_Sans_VGE[[#This Row],[ppn_z]]="","",IFERROR(
   IF(_xlfn.XLOOKUP(Final_Sans_VGE[[#This Row],[ppn_z]],tbl_Historique_Final[ppn_z],tbl_Historique_Final[date_modif])=Final_Sans_VGE[[#This Row],[date_modif]],
      "Ancien",
      "Modifié"),
   "Nouveau"))</f>
        <v>#VALUE!</v>
      </c>
      <c r="AD3878" s="1" t="str">
        <f>IFERROR(IF(Final_Sans_VGE[[#This Row],[ppn_z]]="","",IFERROR(
   IF(_xlfn.XLOOKUP(Final_Sans_VGE[[#This Row],[ppn_z]],tbl_Historique_Final[[#This Row],[ppn_z]],tbl_Historique_Final[[#This Row],[date_modif]])=Final_Sans_VGE[[#This Row],[date_modif]],
      "Ancien",
      "Modifié"),
   "Nouveau")),"")</f>
        <v/>
      </c>
    </row>
    <row r="3879" spans="24:30" x14ac:dyDescent="0.25">
      <c r="X3879" s="8" t="e">
        <f>IF(Final_Sans_VGE[[#This Row],[ppn_z]]="","",IFERROR(
   IF(_xlfn.XLOOKUP(Final_Sans_VGE[[#This Row],[ppn_z]],tbl_Historique_Final[ppn_z],tbl_Historique_Final[date_modif])=Final_Sans_VGE[[#This Row],[date_modif]],
      "Ancien",
      "Modifié"),
   "Nouveau"))</f>
        <v>#VALUE!</v>
      </c>
      <c r="AD3879" s="1" t="str">
        <f>IFERROR(IF(Final_Sans_VGE[[#This Row],[ppn_z]]="","",IFERROR(
   IF(_xlfn.XLOOKUP(Final_Sans_VGE[[#This Row],[ppn_z]],tbl_Historique_Final[[#This Row],[ppn_z]],tbl_Historique_Final[[#This Row],[date_modif]])=Final_Sans_VGE[[#This Row],[date_modif]],
      "Ancien",
      "Modifié"),
   "Nouveau")),"")</f>
        <v/>
      </c>
    </row>
    <row r="3880" spans="24:30" x14ac:dyDescent="0.25">
      <c r="X3880" s="8" t="e">
        <f>IF(Final_Sans_VGE[[#This Row],[ppn_z]]="","",IFERROR(
   IF(_xlfn.XLOOKUP(Final_Sans_VGE[[#This Row],[ppn_z]],tbl_Historique_Final[ppn_z],tbl_Historique_Final[date_modif])=Final_Sans_VGE[[#This Row],[date_modif]],
      "Ancien",
      "Modifié"),
   "Nouveau"))</f>
        <v>#VALUE!</v>
      </c>
      <c r="AD3880" s="1" t="str">
        <f>IFERROR(IF(Final_Sans_VGE[[#This Row],[ppn_z]]="","",IFERROR(
   IF(_xlfn.XLOOKUP(Final_Sans_VGE[[#This Row],[ppn_z]],tbl_Historique_Final[[#This Row],[ppn_z]],tbl_Historique_Final[[#This Row],[date_modif]])=Final_Sans_VGE[[#This Row],[date_modif]],
      "Ancien",
      "Modifié"),
   "Nouveau")),"")</f>
        <v/>
      </c>
    </row>
    <row r="3881" spans="24:30" x14ac:dyDescent="0.25">
      <c r="X3881" s="8" t="e">
        <f>IF(Final_Sans_VGE[[#This Row],[ppn_z]]="","",IFERROR(
   IF(_xlfn.XLOOKUP(Final_Sans_VGE[[#This Row],[ppn_z]],tbl_Historique_Final[ppn_z],tbl_Historique_Final[date_modif])=Final_Sans_VGE[[#This Row],[date_modif]],
      "Ancien",
      "Modifié"),
   "Nouveau"))</f>
        <v>#VALUE!</v>
      </c>
      <c r="AD3881" s="1" t="str">
        <f>IFERROR(IF(Final_Sans_VGE[[#This Row],[ppn_z]]="","",IFERROR(
   IF(_xlfn.XLOOKUP(Final_Sans_VGE[[#This Row],[ppn_z]],tbl_Historique_Final[[#This Row],[ppn_z]],tbl_Historique_Final[[#This Row],[date_modif]])=Final_Sans_VGE[[#This Row],[date_modif]],
      "Ancien",
      "Modifié"),
   "Nouveau")),"")</f>
        <v/>
      </c>
    </row>
    <row r="3882" spans="24:30" x14ac:dyDescent="0.25">
      <c r="X3882" s="8" t="e">
        <f>IF(Final_Sans_VGE[[#This Row],[ppn_z]]="","",IFERROR(
   IF(_xlfn.XLOOKUP(Final_Sans_VGE[[#This Row],[ppn_z]],tbl_Historique_Final[ppn_z],tbl_Historique_Final[date_modif])=Final_Sans_VGE[[#This Row],[date_modif]],
      "Ancien",
      "Modifié"),
   "Nouveau"))</f>
        <v>#VALUE!</v>
      </c>
      <c r="AD3882" s="1" t="str">
        <f>IFERROR(IF(Final_Sans_VGE[[#This Row],[ppn_z]]="","",IFERROR(
   IF(_xlfn.XLOOKUP(Final_Sans_VGE[[#This Row],[ppn_z]],tbl_Historique_Final[[#This Row],[ppn_z]],tbl_Historique_Final[[#This Row],[date_modif]])=Final_Sans_VGE[[#This Row],[date_modif]],
      "Ancien",
      "Modifié"),
   "Nouveau")),"")</f>
        <v/>
      </c>
    </row>
    <row r="3883" spans="24:30" x14ac:dyDescent="0.25">
      <c r="X3883" s="8" t="e">
        <f>IF(Final_Sans_VGE[[#This Row],[ppn_z]]="","",IFERROR(
   IF(_xlfn.XLOOKUP(Final_Sans_VGE[[#This Row],[ppn_z]],tbl_Historique_Final[ppn_z],tbl_Historique_Final[date_modif])=Final_Sans_VGE[[#This Row],[date_modif]],
      "Ancien",
      "Modifié"),
   "Nouveau"))</f>
        <v>#VALUE!</v>
      </c>
      <c r="AD3883" s="1" t="str">
        <f>IFERROR(IF(Final_Sans_VGE[[#This Row],[ppn_z]]="","",IFERROR(
   IF(_xlfn.XLOOKUP(Final_Sans_VGE[[#This Row],[ppn_z]],tbl_Historique_Final[[#This Row],[ppn_z]],tbl_Historique_Final[[#This Row],[date_modif]])=Final_Sans_VGE[[#This Row],[date_modif]],
      "Ancien",
      "Modifié"),
   "Nouveau")),"")</f>
        <v/>
      </c>
    </row>
    <row r="3884" spans="24:30" x14ac:dyDescent="0.25">
      <c r="X3884" s="8" t="e">
        <f>IF(Final_Sans_VGE[[#This Row],[ppn_z]]="","",IFERROR(
   IF(_xlfn.XLOOKUP(Final_Sans_VGE[[#This Row],[ppn_z]],tbl_Historique_Final[ppn_z],tbl_Historique_Final[date_modif])=Final_Sans_VGE[[#This Row],[date_modif]],
      "Ancien",
      "Modifié"),
   "Nouveau"))</f>
        <v>#VALUE!</v>
      </c>
      <c r="AD3884" s="1" t="str">
        <f>IFERROR(IF(Final_Sans_VGE[[#This Row],[ppn_z]]="","",IFERROR(
   IF(_xlfn.XLOOKUP(Final_Sans_VGE[[#This Row],[ppn_z]],tbl_Historique_Final[[#This Row],[ppn_z]],tbl_Historique_Final[[#This Row],[date_modif]])=Final_Sans_VGE[[#This Row],[date_modif]],
      "Ancien",
      "Modifié"),
   "Nouveau")),"")</f>
        <v/>
      </c>
    </row>
    <row r="3885" spans="24:30" x14ac:dyDescent="0.25">
      <c r="X3885" s="8" t="e">
        <f>IF(Final_Sans_VGE[[#This Row],[ppn_z]]="","",IFERROR(
   IF(_xlfn.XLOOKUP(Final_Sans_VGE[[#This Row],[ppn_z]],tbl_Historique_Final[ppn_z],tbl_Historique_Final[date_modif])=Final_Sans_VGE[[#This Row],[date_modif]],
      "Ancien",
      "Modifié"),
   "Nouveau"))</f>
        <v>#VALUE!</v>
      </c>
      <c r="AD3885" s="1" t="str">
        <f>IFERROR(IF(Final_Sans_VGE[[#This Row],[ppn_z]]="","",IFERROR(
   IF(_xlfn.XLOOKUP(Final_Sans_VGE[[#This Row],[ppn_z]],tbl_Historique_Final[[#This Row],[ppn_z]],tbl_Historique_Final[[#This Row],[date_modif]])=Final_Sans_VGE[[#This Row],[date_modif]],
      "Ancien",
      "Modifié"),
   "Nouveau")),"")</f>
        <v/>
      </c>
    </row>
    <row r="3886" spans="24:30" x14ac:dyDescent="0.25">
      <c r="X3886" s="8" t="e">
        <f>IF(Final_Sans_VGE[[#This Row],[ppn_z]]="","",IFERROR(
   IF(_xlfn.XLOOKUP(Final_Sans_VGE[[#This Row],[ppn_z]],tbl_Historique_Final[ppn_z],tbl_Historique_Final[date_modif])=Final_Sans_VGE[[#This Row],[date_modif]],
      "Ancien",
      "Modifié"),
   "Nouveau"))</f>
        <v>#VALUE!</v>
      </c>
      <c r="AD3886" s="1" t="str">
        <f>IFERROR(IF(Final_Sans_VGE[[#This Row],[ppn_z]]="","",IFERROR(
   IF(_xlfn.XLOOKUP(Final_Sans_VGE[[#This Row],[ppn_z]],tbl_Historique_Final[[#This Row],[ppn_z]],tbl_Historique_Final[[#This Row],[date_modif]])=Final_Sans_VGE[[#This Row],[date_modif]],
      "Ancien",
      "Modifié"),
   "Nouveau")),"")</f>
        <v/>
      </c>
    </row>
    <row r="3887" spans="24:30" x14ac:dyDescent="0.25">
      <c r="X3887" s="8" t="e">
        <f>IF(Final_Sans_VGE[[#This Row],[ppn_z]]="","",IFERROR(
   IF(_xlfn.XLOOKUP(Final_Sans_VGE[[#This Row],[ppn_z]],tbl_Historique_Final[ppn_z],tbl_Historique_Final[date_modif])=Final_Sans_VGE[[#This Row],[date_modif]],
      "Ancien",
      "Modifié"),
   "Nouveau"))</f>
        <v>#VALUE!</v>
      </c>
      <c r="AD3887" s="1" t="str">
        <f>IFERROR(IF(Final_Sans_VGE[[#This Row],[ppn_z]]="","",IFERROR(
   IF(_xlfn.XLOOKUP(Final_Sans_VGE[[#This Row],[ppn_z]],tbl_Historique_Final[[#This Row],[ppn_z]],tbl_Historique_Final[[#This Row],[date_modif]])=Final_Sans_VGE[[#This Row],[date_modif]],
      "Ancien",
      "Modifié"),
   "Nouveau")),"")</f>
        <v/>
      </c>
    </row>
    <row r="3888" spans="24:30" x14ac:dyDescent="0.25">
      <c r="X3888" s="8" t="e">
        <f>IF(Final_Sans_VGE[[#This Row],[ppn_z]]="","",IFERROR(
   IF(_xlfn.XLOOKUP(Final_Sans_VGE[[#This Row],[ppn_z]],tbl_Historique_Final[ppn_z],tbl_Historique_Final[date_modif])=Final_Sans_VGE[[#This Row],[date_modif]],
      "Ancien",
      "Modifié"),
   "Nouveau"))</f>
        <v>#VALUE!</v>
      </c>
      <c r="AD3888" s="1" t="str">
        <f>IFERROR(IF(Final_Sans_VGE[[#This Row],[ppn_z]]="","",IFERROR(
   IF(_xlfn.XLOOKUP(Final_Sans_VGE[[#This Row],[ppn_z]],tbl_Historique_Final[[#This Row],[ppn_z]],tbl_Historique_Final[[#This Row],[date_modif]])=Final_Sans_VGE[[#This Row],[date_modif]],
      "Ancien",
      "Modifié"),
   "Nouveau")),"")</f>
        <v/>
      </c>
    </row>
    <row r="3889" spans="24:30" x14ac:dyDescent="0.25">
      <c r="X3889" s="8" t="e">
        <f>IF(Final_Sans_VGE[[#This Row],[ppn_z]]="","",IFERROR(
   IF(_xlfn.XLOOKUP(Final_Sans_VGE[[#This Row],[ppn_z]],tbl_Historique_Final[ppn_z],tbl_Historique_Final[date_modif])=Final_Sans_VGE[[#This Row],[date_modif]],
      "Ancien",
      "Modifié"),
   "Nouveau"))</f>
        <v>#VALUE!</v>
      </c>
      <c r="AD3889" s="1" t="str">
        <f>IFERROR(IF(Final_Sans_VGE[[#This Row],[ppn_z]]="","",IFERROR(
   IF(_xlfn.XLOOKUP(Final_Sans_VGE[[#This Row],[ppn_z]],tbl_Historique_Final[[#This Row],[ppn_z]],tbl_Historique_Final[[#This Row],[date_modif]])=Final_Sans_VGE[[#This Row],[date_modif]],
      "Ancien",
      "Modifié"),
   "Nouveau")),"")</f>
        <v/>
      </c>
    </row>
    <row r="3890" spans="24:30" x14ac:dyDescent="0.25">
      <c r="X3890" s="8" t="e">
        <f>IF(Final_Sans_VGE[[#This Row],[ppn_z]]="","",IFERROR(
   IF(_xlfn.XLOOKUP(Final_Sans_VGE[[#This Row],[ppn_z]],tbl_Historique_Final[ppn_z],tbl_Historique_Final[date_modif])=Final_Sans_VGE[[#This Row],[date_modif]],
      "Ancien",
      "Modifié"),
   "Nouveau"))</f>
        <v>#VALUE!</v>
      </c>
      <c r="AD3890" s="1" t="str">
        <f>IFERROR(IF(Final_Sans_VGE[[#This Row],[ppn_z]]="","",IFERROR(
   IF(_xlfn.XLOOKUP(Final_Sans_VGE[[#This Row],[ppn_z]],tbl_Historique_Final[[#This Row],[ppn_z]],tbl_Historique_Final[[#This Row],[date_modif]])=Final_Sans_VGE[[#This Row],[date_modif]],
      "Ancien",
      "Modifié"),
   "Nouveau")),"")</f>
        <v/>
      </c>
    </row>
    <row r="3891" spans="24:30" x14ac:dyDescent="0.25">
      <c r="X3891" s="8" t="e">
        <f>IF(Final_Sans_VGE[[#This Row],[ppn_z]]="","",IFERROR(
   IF(_xlfn.XLOOKUP(Final_Sans_VGE[[#This Row],[ppn_z]],tbl_Historique_Final[ppn_z],tbl_Historique_Final[date_modif])=Final_Sans_VGE[[#This Row],[date_modif]],
      "Ancien",
      "Modifié"),
   "Nouveau"))</f>
        <v>#VALUE!</v>
      </c>
      <c r="AD3891" s="1" t="str">
        <f>IFERROR(IF(Final_Sans_VGE[[#This Row],[ppn_z]]="","",IFERROR(
   IF(_xlfn.XLOOKUP(Final_Sans_VGE[[#This Row],[ppn_z]],tbl_Historique_Final[[#This Row],[ppn_z]],tbl_Historique_Final[[#This Row],[date_modif]])=Final_Sans_VGE[[#This Row],[date_modif]],
      "Ancien",
      "Modifié"),
   "Nouveau")),"")</f>
        <v/>
      </c>
    </row>
    <row r="3892" spans="24:30" x14ac:dyDescent="0.25">
      <c r="X3892" s="8" t="e">
        <f>IF(Final_Sans_VGE[[#This Row],[ppn_z]]="","",IFERROR(
   IF(_xlfn.XLOOKUP(Final_Sans_VGE[[#This Row],[ppn_z]],tbl_Historique_Final[ppn_z],tbl_Historique_Final[date_modif])=Final_Sans_VGE[[#This Row],[date_modif]],
      "Ancien",
      "Modifié"),
   "Nouveau"))</f>
        <v>#VALUE!</v>
      </c>
      <c r="AD3892" s="1" t="str">
        <f>IFERROR(IF(Final_Sans_VGE[[#This Row],[ppn_z]]="","",IFERROR(
   IF(_xlfn.XLOOKUP(Final_Sans_VGE[[#This Row],[ppn_z]],tbl_Historique_Final[[#This Row],[ppn_z]],tbl_Historique_Final[[#This Row],[date_modif]])=Final_Sans_VGE[[#This Row],[date_modif]],
      "Ancien",
      "Modifié"),
   "Nouveau")),"")</f>
        <v/>
      </c>
    </row>
    <row r="3893" spans="24:30" x14ac:dyDescent="0.25">
      <c r="X3893" s="8" t="e">
        <f>IF(Final_Sans_VGE[[#This Row],[ppn_z]]="","",IFERROR(
   IF(_xlfn.XLOOKUP(Final_Sans_VGE[[#This Row],[ppn_z]],tbl_Historique_Final[ppn_z],tbl_Historique_Final[date_modif])=Final_Sans_VGE[[#This Row],[date_modif]],
      "Ancien",
      "Modifié"),
   "Nouveau"))</f>
        <v>#VALUE!</v>
      </c>
      <c r="AD3893" s="1" t="str">
        <f>IFERROR(IF(Final_Sans_VGE[[#This Row],[ppn_z]]="","",IFERROR(
   IF(_xlfn.XLOOKUP(Final_Sans_VGE[[#This Row],[ppn_z]],tbl_Historique_Final[[#This Row],[ppn_z]],tbl_Historique_Final[[#This Row],[date_modif]])=Final_Sans_VGE[[#This Row],[date_modif]],
      "Ancien",
      "Modifié"),
   "Nouveau")),"")</f>
        <v/>
      </c>
    </row>
    <row r="3894" spans="24:30" x14ac:dyDescent="0.25">
      <c r="X3894" s="8" t="e">
        <f>IF(Final_Sans_VGE[[#This Row],[ppn_z]]="","",IFERROR(
   IF(_xlfn.XLOOKUP(Final_Sans_VGE[[#This Row],[ppn_z]],tbl_Historique_Final[ppn_z],tbl_Historique_Final[date_modif])=Final_Sans_VGE[[#This Row],[date_modif]],
      "Ancien",
      "Modifié"),
   "Nouveau"))</f>
        <v>#VALUE!</v>
      </c>
      <c r="AD3894" s="1" t="str">
        <f>IFERROR(IF(Final_Sans_VGE[[#This Row],[ppn_z]]="","",IFERROR(
   IF(_xlfn.XLOOKUP(Final_Sans_VGE[[#This Row],[ppn_z]],tbl_Historique_Final[[#This Row],[ppn_z]],tbl_Historique_Final[[#This Row],[date_modif]])=Final_Sans_VGE[[#This Row],[date_modif]],
      "Ancien",
      "Modifié"),
   "Nouveau")),"")</f>
        <v/>
      </c>
    </row>
    <row r="3895" spans="24:30" x14ac:dyDescent="0.25">
      <c r="X3895" s="8" t="e">
        <f>IF(Final_Sans_VGE[[#This Row],[ppn_z]]="","",IFERROR(
   IF(_xlfn.XLOOKUP(Final_Sans_VGE[[#This Row],[ppn_z]],tbl_Historique_Final[ppn_z],tbl_Historique_Final[date_modif])=Final_Sans_VGE[[#This Row],[date_modif]],
      "Ancien",
      "Modifié"),
   "Nouveau"))</f>
        <v>#VALUE!</v>
      </c>
      <c r="AD3895" s="1" t="str">
        <f>IFERROR(IF(Final_Sans_VGE[[#This Row],[ppn_z]]="","",IFERROR(
   IF(_xlfn.XLOOKUP(Final_Sans_VGE[[#This Row],[ppn_z]],tbl_Historique_Final[[#This Row],[ppn_z]],tbl_Historique_Final[[#This Row],[date_modif]])=Final_Sans_VGE[[#This Row],[date_modif]],
      "Ancien",
      "Modifié"),
   "Nouveau")),"")</f>
        <v/>
      </c>
    </row>
    <row r="3896" spans="24:30" x14ac:dyDescent="0.25">
      <c r="X3896" s="8" t="e">
        <f>IF(Final_Sans_VGE[[#This Row],[ppn_z]]="","",IFERROR(
   IF(_xlfn.XLOOKUP(Final_Sans_VGE[[#This Row],[ppn_z]],tbl_Historique_Final[ppn_z],tbl_Historique_Final[date_modif])=Final_Sans_VGE[[#This Row],[date_modif]],
      "Ancien",
      "Modifié"),
   "Nouveau"))</f>
        <v>#VALUE!</v>
      </c>
      <c r="AD3896" s="1" t="str">
        <f>IFERROR(IF(Final_Sans_VGE[[#This Row],[ppn_z]]="","",IFERROR(
   IF(_xlfn.XLOOKUP(Final_Sans_VGE[[#This Row],[ppn_z]],tbl_Historique_Final[[#This Row],[ppn_z]],tbl_Historique_Final[[#This Row],[date_modif]])=Final_Sans_VGE[[#This Row],[date_modif]],
      "Ancien",
      "Modifié"),
   "Nouveau")),"")</f>
        <v/>
      </c>
    </row>
    <row r="3897" spans="24:30" x14ac:dyDescent="0.25">
      <c r="X3897" s="8" t="e">
        <f>IF(Final_Sans_VGE[[#This Row],[ppn_z]]="","",IFERROR(
   IF(_xlfn.XLOOKUP(Final_Sans_VGE[[#This Row],[ppn_z]],tbl_Historique_Final[ppn_z],tbl_Historique_Final[date_modif])=Final_Sans_VGE[[#This Row],[date_modif]],
      "Ancien",
      "Modifié"),
   "Nouveau"))</f>
        <v>#VALUE!</v>
      </c>
      <c r="AD3897" s="1" t="str">
        <f>IFERROR(IF(Final_Sans_VGE[[#This Row],[ppn_z]]="","",IFERROR(
   IF(_xlfn.XLOOKUP(Final_Sans_VGE[[#This Row],[ppn_z]],tbl_Historique_Final[[#This Row],[ppn_z]],tbl_Historique_Final[[#This Row],[date_modif]])=Final_Sans_VGE[[#This Row],[date_modif]],
      "Ancien",
      "Modifié"),
   "Nouveau")),"")</f>
        <v/>
      </c>
    </row>
    <row r="3898" spans="24:30" x14ac:dyDescent="0.25">
      <c r="X3898" s="8" t="e">
        <f>IF(Final_Sans_VGE[[#This Row],[ppn_z]]="","",IFERROR(
   IF(_xlfn.XLOOKUP(Final_Sans_VGE[[#This Row],[ppn_z]],tbl_Historique_Final[ppn_z],tbl_Historique_Final[date_modif])=Final_Sans_VGE[[#This Row],[date_modif]],
      "Ancien",
      "Modifié"),
   "Nouveau"))</f>
        <v>#VALUE!</v>
      </c>
      <c r="AD3898" s="1" t="str">
        <f>IFERROR(IF(Final_Sans_VGE[[#This Row],[ppn_z]]="","",IFERROR(
   IF(_xlfn.XLOOKUP(Final_Sans_VGE[[#This Row],[ppn_z]],tbl_Historique_Final[[#This Row],[ppn_z]],tbl_Historique_Final[[#This Row],[date_modif]])=Final_Sans_VGE[[#This Row],[date_modif]],
      "Ancien",
      "Modifié"),
   "Nouveau")),"")</f>
        <v/>
      </c>
    </row>
    <row r="3899" spans="24:30" x14ac:dyDescent="0.25">
      <c r="X3899" s="8" t="e">
        <f>IF(Final_Sans_VGE[[#This Row],[ppn_z]]="","",IFERROR(
   IF(_xlfn.XLOOKUP(Final_Sans_VGE[[#This Row],[ppn_z]],tbl_Historique_Final[ppn_z],tbl_Historique_Final[date_modif])=Final_Sans_VGE[[#This Row],[date_modif]],
      "Ancien",
      "Modifié"),
   "Nouveau"))</f>
        <v>#VALUE!</v>
      </c>
      <c r="AD3899" s="1" t="str">
        <f>IFERROR(IF(Final_Sans_VGE[[#This Row],[ppn_z]]="","",IFERROR(
   IF(_xlfn.XLOOKUP(Final_Sans_VGE[[#This Row],[ppn_z]],tbl_Historique_Final[[#This Row],[ppn_z]],tbl_Historique_Final[[#This Row],[date_modif]])=Final_Sans_VGE[[#This Row],[date_modif]],
      "Ancien",
      "Modifié"),
   "Nouveau")),"")</f>
        <v/>
      </c>
    </row>
    <row r="3900" spans="24:30" x14ac:dyDescent="0.25">
      <c r="X3900" s="8" t="e">
        <f>IF(Final_Sans_VGE[[#This Row],[ppn_z]]="","",IFERROR(
   IF(_xlfn.XLOOKUP(Final_Sans_VGE[[#This Row],[ppn_z]],tbl_Historique_Final[ppn_z],tbl_Historique_Final[date_modif])=Final_Sans_VGE[[#This Row],[date_modif]],
      "Ancien",
      "Modifié"),
   "Nouveau"))</f>
        <v>#VALUE!</v>
      </c>
      <c r="AD3900" s="1" t="str">
        <f>IFERROR(IF(Final_Sans_VGE[[#This Row],[ppn_z]]="","",IFERROR(
   IF(_xlfn.XLOOKUP(Final_Sans_VGE[[#This Row],[ppn_z]],tbl_Historique_Final[[#This Row],[ppn_z]],tbl_Historique_Final[[#This Row],[date_modif]])=Final_Sans_VGE[[#This Row],[date_modif]],
      "Ancien",
      "Modifié"),
   "Nouveau")),"")</f>
        <v/>
      </c>
    </row>
    <row r="3901" spans="24:30" x14ac:dyDescent="0.25">
      <c r="X3901" s="8" t="e">
        <f>IF(Final_Sans_VGE[[#This Row],[ppn_z]]="","",IFERROR(
   IF(_xlfn.XLOOKUP(Final_Sans_VGE[[#This Row],[ppn_z]],tbl_Historique_Final[ppn_z],tbl_Historique_Final[date_modif])=Final_Sans_VGE[[#This Row],[date_modif]],
      "Ancien",
      "Modifié"),
   "Nouveau"))</f>
        <v>#VALUE!</v>
      </c>
      <c r="AD3901" s="1" t="str">
        <f>IFERROR(IF(Final_Sans_VGE[[#This Row],[ppn_z]]="","",IFERROR(
   IF(_xlfn.XLOOKUP(Final_Sans_VGE[[#This Row],[ppn_z]],tbl_Historique_Final[[#This Row],[ppn_z]],tbl_Historique_Final[[#This Row],[date_modif]])=Final_Sans_VGE[[#This Row],[date_modif]],
      "Ancien",
      "Modifié"),
   "Nouveau")),"")</f>
        <v/>
      </c>
    </row>
    <row r="3902" spans="24:30" x14ac:dyDescent="0.25">
      <c r="X3902" s="8" t="e">
        <f>IF(Final_Sans_VGE[[#This Row],[ppn_z]]="","",IFERROR(
   IF(_xlfn.XLOOKUP(Final_Sans_VGE[[#This Row],[ppn_z]],tbl_Historique_Final[ppn_z],tbl_Historique_Final[date_modif])=Final_Sans_VGE[[#This Row],[date_modif]],
      "Ancien",
      "Modifié"),
   "Nouveau"))</f>
        <v>#VALUE!</v>
      </c>
      <c r="AD3902" s="1" t="str">
        <f>IFERROR(IF(Final_Sans_VGE[[#This Row],[ppn_z]]="","",IFERROR(
   IF(_xlfn.XLOOKUP(Final_Sans_VGE[[#This Row],[ppn_z]],tbl_Historique_Final[[#This Row],[ppn_z]],tbl_Historique_Final[[#This Row],[date_modif]])=Final_Sans_VGE[[#This Row],[date_modif]],
      "Ancien",
      "Modifié"),
   "Nouveau")),"")</f>
        <v/>
      </c>
    </row>
    <row r="3903" spans="24:30" x14ac:dyDescent="0.25">
      <c r="X3903" s="8" t="e">
        <f>IF(Final_Sans_VGE[[#This Row],[ppn_z]]="","",IFERROR(
   IF(_xlfn.XLOOKUP(Final_Sans_VGE[[#This Row],[ppn_z]],tbl_Historique_Final[ppn_z],tbl_Historique_Final[date_modif])=Final_Sans_VGE[[#This Row],[date_modif]],
      "Ancien",
      "Modifié"),
   "Nouveau"))</f>
        <v>#VALUE!</v>
      </c>
      <c r="AD3903" s="1" t="str">
        <f>IFERROR(IF(Final_Sans_VGE[[#This Row],[ppn_z]]="","",IFERROR(
   IF(_xlfn.XLOOKUP(Final_Sans_VGE[[#This Row],[ppn_z]],tbl_Historique_Final[[#This Row],[ppn_z]],tbl_Historique_Final[[#This Row],[date_modif]])=Final_Sans_VGE[[#This Row],[date_modif]],
      "Ancien",
      "Modifié"),
   "Nouveau")),"")</f>
        <v/>
      </c>
    </row>
    <row r="3904" spans="24:30" x14ac:dyDescent="0.25">
      <c r="X3904" s="8" t="e">
        <f>IF(Final_Sans_VGE[[#This Row],[ppn_z]]="","",IFERROR(
   IF(_xlfn.XLOOKUP(Final_Sans_VGE[[#This Row],[ppn_z]],tbl_Historique_Final[ppn_z],tbl_Historique_Final[date_modif])=Final_Sans_VGE[[#This Row],[date_modif]],
      "Ancien",
      "Modifié"),
   "Nouveau"))</f>
        <v>#VALUE!</v>
      </c>
      <c r="AD3904" s="1" t="str">
        <f>IFERROR(IF(Final_Sans_VGE[[#This Row],[ppn_z]]="","",IFERROR(
   IF(_xlfn.XLOOKUP(Final_Sans_VGE[[#This Row],[ppn_z]],tbl_Historique_Final[[#This Row],[ppn_z]],tbl_Historique_Final[[#This Row],[date_modif]])=Final_Sans_VGE[[#This Row],[date_modif]],
      "Ancien",
      "Modifié"),
   "Nouveau")),"")</f>
        <v/>
      </c>
    </row>
    <row r="3905" spans="24:30" x14ac:dyDescent="0.25">
      <c r="X3905" s="8" t="e">
        <f>IF(Final_Sans_VGE[[#This Row],[ppn_z]]="","",IFERROR(
   IF(_xlfn.XLOOKUP(Final_Sans_VGE[[#This Row],[ppn_z]],tbl_Historique_Final[ppn_z],tbl_Historique_Final[date_modif])=Final_Sans_VGE[[#This Row],[date_modif]],
      "Ancien",
      "Modifié"),
   "Nouveau"))</f>
        <v>#VALUE!</v>
      </c>
      <c r="AD3905" s="1" t="str">
        <f>IFERROR(IF(Final_Sans_VGE[[#This Row],[ppn_z]]="","",IFERROR(
   IF(_xlfn.XLOOKUP(Final_Sans_VGE[[#This Row],[ppn_z]],tbl_Historique_Final[[#This Row],[ppn_z]],tbl_Historique_Final[[#This Row],[date_modif]])=Final_Sans_VGE[[#This Row],[date_modif]],
      "Ancien",
      "Modifié"),
   "Nouveau")),"")</f>
        <v/>
      </c>
    </row>
    <row r="3906" spans="24:30" x14ac:dyDescent="0.25">
      <c r="X3906" s="8" t="e">
        <f>IF(Final_Sans_VGE[[#This Row],[ppn_z]]="","",IFERROR(
   IF(_xlfn.XLOOKUP(Final_Sans_VGE[[#This Row],[ppn_z]],tbl_Historique_Final[ppn_z],tbl_Historique_Final[date_modif])=Final_Sans_VGE[[#This Row],[date_modif]],
      "Ancien",
      "Modifié"),
   "Nouveau"))</f>
        <v>#VALUE!</v>
      </c>
      <c r="AD3906" s="1" t="str">
        <f>IFERROR(IF(Final_Sans_VGE[[#This Row],[ppn_z]]="","",IFERROR(
   IF(_xlfn.XLOOKUP(Final_Sans_VGE[[#This Row],[ppn_z]],tbl_Historique_Final[[#This Row],[ppn_z]],tbl_Historique_Final[[#This Row],[date_modif]])=Final_Sans_VGE[[#This Row],[date_modif]],
      "Ancien",
      "Modifié"),
   "Nouveau")),"")</f>
        <v/>
      </c>
    </row>
    <row r="3907" spans="24:30" x14ac:dyDescent="0.25">
      <c r="X3907" s="8" t="e">
        <f>IF(Final_Sans_VGE[[#This Row],[ppn_z]]="","",IFERROR(
   IF(_xlfn.XLOOKUP(Final_Sans_VGE[[#This Row],[ppn_z]],tbl_Historique_Final[ppn_z],tbl_Historique_Final[date_modif])=Final_Sans_VGE[[#This Row],[date_modif]],
      "Ancien",
      "Modifié"),
   "Nouveau"))</f>
        <v>#VALUE!</v>
      </c>
      <c r="AD3907" s="1" t="str">
        <f>IFERROR(IF(Final_Sans_VGE[[#This Row],[ppn_z]]="","",IFERROR(
   IF(_xlfn.XLOOKUP(Final_Sans_VGE[[#This Row],[ppn_z]],tbl_Historique_Final[[#This Row],[ppn_z]],tbl_Historique_Final[[#This Row],[date_modif]])=Final_Sans_VGE[[#This Row],[date_modif]],
      "Ancien",
      "Modifié"),
   "Nouveau")),"")</f>
        <v/>
      </c>
    </row>
    <row r="3908" spans="24:30" x14ac:dyDescent="0.25">
      <c r="X3908" s="8" t="e">
        <f>IF(Final_Sans_VGE[[#This Row],[ppn_z]]="","",IFERROR(
   IF(_xlfn.XLOOKUP(Final_Sans_VGE[[#This Row],[ppn_z]],tbl_Historique_Final[ppn_z],tbl_Historique_Final[date_modif])=Final_Sans_VGE[[#This Row],[date_modif]],
      "Ancien",
      "Modifié"),
   "Nouveau"))</f>
        <v>#VALUE!</v>
      </c>
      <c r="AD3908" s="1" t="str">
        <f>IFERROR(IF(Final_Sans_VGE[[#This Row],[ppn_z]]="","",IFERROR(
   IF(_xlfn.XLOOKUP(Final_Sans_VGE[[#This Row],[ppn_z]],tbl_Historique_Final[[#This Row],[ppn_z]],tbl_Historique_Final[[#This Row],[date_modif]])=Final_Sans_VGE[[#This Row],[date_modif]],
      "Ancien",
      "Modifié"),
   "Nouveau")),"")</f>
        <v/>
      </c>
    </row>
    <row r="3909" spans="24:30" x14ac:dyDescent="0.25">
      <c r="X3909" s="8" t="e">
        <f>IF(Final_Sans_VGE[[#This Row],[ppn_z]]="","",IFERROR(
   IF(_xlfn.XLOOKUP(Final_Sans_VGE[[#This Row],[ppn_z]],tbl_Historique_Final[ppn_z],tbl_Historique_Final[date_modif])=Final_Sans_VGE[[#This Row],[date_modif]],
      "Ancien",
      "Modifié"),
   "Nouveau"))</f>
        <v>#VALUE!</v>
      </c>
      <c r="AD3909" s="1" t="str">
        <f>IFERROR(IF(Final_Sans_VGE[[#This Row],[ppn_z]]="","",IFERROR(
   IF(_xlfn.XLOOKUP(Final_Sans_VGE[[#This Row],[ppn_z]],tbl_Historique_Final[[#This Row],[ppn_z]],tbl_Historique_Final[[#This Row],[date_modif]])=Final_Sans_VGE[[#This Row],[date_modif]],
      "Ancien",
      "Modifié"),
   "Nouveau")),"")</f>
        <v/>
      </c>
    </row>
    <row r="3910" spans="24:30" x14ac:dyDescent="0.25">
      <c r="X3910" s="8" t="e">
        <f>IF(Final_Sans_VGE[[#This Row],[ppn_z]]="","",IFERROR(
   IF(_xlfn.XLOOKUP(Final_Sans_VGE[[#This Row],[ppn_z]],tbl_Historique_Final[ppn_z],tbl_Historique_Final[date_modif])=Final_Sans_VGE[[#This Row],[date_modif]],
      "Ancien",
      "Modifié"),
   "Nouveau"))</f>
        <v>#VALUE!</v>
      </c>
      <c r="AD3910" s="1" t="str">
        <f>IFERROR(IF(Final_Sans_VGE[[#This Row],[ppn_z]]="","",IFERROR(
   IF(_xlfn.XLOOKUP(Final_Sans_VGE[[#This Row],[ppn_z]],tbl_Historique_Final[[#This Row],[ppn_z]],tbl_Historique_Final[[#This Row],[date_modif]])=Final_Sans_VGE[[#This Row],[date_modif]],
      "Ancien",
      "Modifié"),
   "Nouveau")),"")</f>
        <v/>
      </c>
    </row>
    <row r="3911" spans="24:30" x14ac:dyDescent="0.25">
      <c r="X3911" s="8" t="e">
        <f>IF(Final_Sans_VGE[[#This Row],[ppn_z]]="","",IFERROR(
   IF(_xlfn.XLOOKUP(Final_Sans_VGE[[#This Row],[ppn_z]],tbl_Historique_Final[ppn_z],tbl_Historique_Final[date_modif])=Final_Sans_VGE[[#This Row],[date_modif]],
      "Ancien",
      "Modifié"),
   "Nouveau"))</f>
        <v>#VALUE!</v>
      </c>
      <c r="AD3911" s="1" t="str">
        <f>IFERROR(IF(Final_Sans_VGE[[#This Row],[ppn_z]]="","",IFERROR(
   IF(_xlfn.XLOOKUP(Final_Sans_VGE[[#This Row],[ppn_z]],tbl_Historique_Final[[#This Row],[ppn_z]],tbl_Historique_Final[[#This Row],[date_modif]])=Final_Sans_VGE[[#This Row],[date_modif]],
      "Ancien",
      "Modifié"),
   "Nouveau")),"")</f>
        <v/>
      </c>
    </row>
    <row r="3912" spans="24:30" x14ac:dyDescent="0.25">
      <c r="X3912" s="8" t="e">
        <f>IF(Final_Sans_VGE[[#This Row],[ppn_z]]="","",IFERROR(
   IF(_xlfn.XLOOKUP(Final_Sans_VGE[[#This Row],[ppn_z]],tbl_Historique_Final[ppn_z],tbl_Historique_Final[date_modif])=Final_Sans_VGE[[#This Row],[date_modif]],
      "Ancien",
      "Modifié"),
   "Nouveau"))</f>
        <v>#VALUE!</v>
      </c>
      <c r="AD3912" s="1" t="str">
        <f>IFERROR(IF(Final_Sans_VGE[[#This Row],[ppn_z]]="","",IFERROR(
   IF(_xlfn.XLOOKUP(Final_Sans_VGE[[#This Row],[ppn_z]],tbl_Historique_Final[[#This Row],[ppn_z]],tbl_Historique_Final[[#This Row],[date_modif]])=Final_Sans_VGE[[#This Row],[date_modif]],
      "Ancien",
      "Modifié"),
   "Nouveau")),"")</f>
        <v/>
      </c>
    </row>
    <row r="3913" spans="24:30" x14ac:dyDescent="0.25">
      <c r="X3913" s="8" t="e">
        <f>IF(Final_Sans_VGE[[#This Row],[ppn_z]]="","",IFERROR(
   IF(_xlfn.XLOOKUP(Final_Sans_VGE[[#This Row],[ppn_z]],tbl_Historique_Final[ppn_z],tbl_Historique_Final[date_modif])=Final_Sans_VGE[[#This Row],[date_modif]],
      "Ancien",
      "Modifié"),
   "Nouveau"))</f>
        <v>#VALUE!</v>
      </c>
      <c r="AD3913" s="1" t="str">
        <f>IFERROR(IF(Final_Sans_VGE[[#This Row],[ppn_z]]="","",IFERROR(
   IF(_xlfn.XLOOKUP(Final_Sans_VGE[[#This Row],[ppn_z]],tbl_Historique_Final[[#This Row],[ppn_z]],tbl_Historique_Final[[#This Row],[date_modif]])=Final_Sans_VGE[[#This Row],[date_modif]],
      "Ancien",
      "Modifié"),
   "Nouveau")),"")</f>
        <v/>
      </c>
    </row>
    <row r="3914" spans="24:30" x14ac:dyDescent="0.25">
      <c r="X3914" s="8" t="e">
        <f>IF(Final_Sans_VGE[[#This Row],[ppn_z]]="","",IFERROR(
   IF(_xlfn.XLOOKUP(Final_Sans_VGE[[#This Row],[ppn_z]],tbl_Historique_Final[ppn_z],tbl_Historique_Final[date_modif])=Final_Sans_VGE[[#This Row],[date_modif]],
      "Ancien",
      "Modifié"),
   "Nouveau"))</f>
        <v>#VALUE!</v>
      </c>
      <c r="AD3914" s="1" t="str">
        <f>IFERROR(IF(Final_Sans_VGE[[#This Row],[ppn_z]]="","",IFERROR(
   IF(_xlfn.XLOOKUP(Final_Sans_VGE[[#This Row],[ppn_z]],tbl_Historique_Final[[#This Row],[ppn_z]],tbl_Historique_Final[[#This Row],[date_modif]])=Final_Sans_VGE[[#This Row],[date_modif]],
      "Ancien",
      "Modifié"),
   "Nouveau")),"")</f>
        <v/>
      </c>
    </row>
    <row r="3915" spans="24:30" x14ac:dyDescent="0.25">
      <c r="X3915" s="8" t="e">
        <f>IF(Final_Sans_VGE[[#This Row],[ppn_z]]="","",IFERROR(
   IF(_xlfn.XLOOKUP(Final_Sans_VGE[[#This Row],[ppn_z]],tbl_Historique_Final[ppn_z],tbl_Historique_Final[date_modif])=Final_Sans_VGE[[#This Row],[date_modif]],
      "Ancien",
      "Modifié"),
   "Nouveau"))</f>
        <v>#VALUE!</v>
      </c>
      <c r="AD3915" s="1" t="str">
        <f>IFERROR(IF(Final_Sans_VGE[[#This Row],[ppn_z]]="","",IFERROR(
   IF(_xlfn.XLOOKUP(Final_Sans_VGE[[#This Row],[ppn_z]],tbl_Historique_Final[[#This Row],[ppn_z]],tbl_Historique_Final[[#This Row],[date_modif]])=Final_Sans_VGE[[#This Row],[date_modif]],
      "Ancien",
      "Modifié"),
   "Nouveau")),"")</f>
        <v/>
      </c>
    </row>
    <row r="3916" spans="24:30" x14ac:dyDescent="0.25">
      <c r="X3916" s="8" t="e">
        <f>IF(Final_Sans_VGE[[#This Row],[ppn_z]]="","",IFERROR(
   IF(_xlfn.XLOOKUP(Final_Sans_VGE[[#This Row],[ppn_z]],tbl_Historique_Final[ppn_z],tbl_Historique_Final[date_modif])=Final_Sans_VGE[[#This Row],[date_modif]],
      "Ancien",
      "Modifié"),
   "Nouveau"))</f>
        <v>#VALUE!</v>
      </c>
      <c r="AD3916" s="1" t="str">
        <f>IFERROR(IF(Final_Sans_VGE[[#This Row],[ppn_z]]="","",IFERROR(
   IF(_xlfn.XLOOKUP(Final_Sans_VGE[[#This Row],[ppn_z]],tbl_Historique_Final[[#This Row],[ppn_z]],tbl_Historique_Final[[#This Row],[date_modif]])=Final_Sans_VGE[[#This Row],[date_modif]],
      "Ancien",
      "Modifié"),
   "Nouveau")),"")</f>
        <v/>
      </c>
    </row>
    <row r="3917" spans="24:30" x14ac:dyDescent="0.25">
      <c r="X3917" s="8" t="e">
        <f>IF(Final_Sans_VGE[[#This Row],[ppn_z]]="","",IFERROR(
   IF(_xlfn.XLOOKUP(Final_Sans_VGE[[#This Row],[ppn_z]],tbl_Historique_Final[ppn_z],tbl_Historique_Final[date_modif])=Final_Sans_VGE[[#This Row],[date_modif]],
      "Ancien",
      "Modifié"),
   "Nouveau"))</f>
        <v>#VALUE!</v>
      </c>
      <c r="AD3917" s="1" t="str">
        <f>IFERROR(IF(Final_Sans_VGE[[#This Row],[ppn_z]]="","",IFERROR(
   IF(_xlfn.XLOOKUP(Final_Sans_VGE[[#This Row],[ppn_z]],tbl_Historique_Final[[#This Row],[ppn_z]],tbl_Historique_Final[[#This Row],[date_modif]])=Final_Sans_VGE[[#This Row],[date_modif]],
      "Ancien",
      "Modifié"),
   "Nouveau")),"")</f>
        <v/>
      </c>
    </row>
    <row r="3918" spans="24:30" x14ac:dyDescent="0.25">
      <c r="X3918" s="8" t="e">
        <f>IF(Final_Sans_VGE[[#This Row],[ppn_z]]="","",IFERROR(
   IF(_xlfn.XLOOKUP(Final_Sans_VGE[[#This Row],[ppn_z]],tbl_Historique_Final[ppn_z],tbl_Historique_Final[date_modif])=Final_Sans_VGE[[#This Row],[date_modif]],
      "Ancien",
      "Modifié"),
   "Nouveau"))</f>
        <v>#VALUE!</v>
      </c>
      <c r="AD3918" s="1" t="str">
        <f>IFERROR(IF(Final_Sans_VGE[[#This Row],[ppn_z]]="","",IFERROR(
   IF(_xlfn.XLOOKUP(Final_Sans_VGE[[#This Row],[ppn_z]],tbl_Historique_Final[[#This Row],[ppn_z]],tbl_Historique_Final[[#This Row],[date_modif]])=Final_Sans_VGE[[#This Row],[date_modif]],
      "Ancien",
      "Modifié"),
   "Nouveau")),"")</f>
        <v/>
      </c>
    </row>
    <row r="3919" spans="24:30" x14ac:dyDescent="0.25">
      <c r="X3919" s="8" t="e">
        <f>IF(Final_Sans_VGE[[#This Row],[ppn_z]]="","",IFERROR(
   IF(_xlfn.XLOOKUP(Final_Sans_VGE[[#This Row],[ppn_z]],tbl_Historique_Final[ppn_z],tbl_Historique_Final[date_modif])=Final_Sans_VGE[[#This Row],[date_modif]],
      "Ancien",
      "Modifié"),
   "Nouveau"))</f>
        <v>#VALUE!</v>
      </c>
      <c r="AD3919" s="1" t="str">
        <f>IFERROR(IF(Final_Sans_VGE[[#This Row],[ppn_z]]="","",IFERROR(
   IF(_xlfn.XLOOKUP(Final_Sans_VGE[[#This Row],[ppn_z]],tbl_Historique_Final[[#This Row],[ppn_z]],tbl_Historique_Final[[#This Row],[date_modif]])=Final_Sans_VGE[[#This Row],[date_modif]],
      "Ancien",
      "Modifié"),
   "Nouveau")),"")</f>
        <v/>
      </c>
    </row>
    <row r="3920" spans="24:30" x14ac:dyDescent="0.25">
      <c r="X3920" s="8" t="e">
        <f>IF(Final_Sans_VGE[[#This Row],[ppn_z]]="","",IFERROR(
   IF(_xlfn.XLOOKUP(Final_Sans_VGE[[#This Row],[ppn_z]],tbl_Historique_Final[ppn_z],tbl_Historique_Final[date_modif])=Final_Sans_VGE[[#This Row],[date_modif]],
      "Ancien",
      "Modifié"),
   "Nouveau"))</f>
        <v>#VALUE!</v>
      </c>
      <c r="AD3920" s="1" t="str">
        <f>IFERROR(IF(Final_Sans_VGE[[#This Row],[ppn_z]]="","",IFERROR(
   IF(_xlfn.XLOOKUP(Final_Sans_VGE[[#This Row],[ppn_z]],tbl_Historique_Final[[#This Row],[ppn_z]],tbl_Historique_Final[[#This Row],[date_modif]])=Final_Sans_VGE[[#This Row],[date_modif]],
      "Ancien",
      "Modifié"),
   "Nouveau")),"")</f>
        <v/>
      </c>
    </row>
    <row r="3921" spans="24:30" x14ac:dyDescent="0.25">
      <c r="X3921" s="8" t="e">
        <f>IF(Final_Sans_VGE[[#This Row],[ppn_z]]="","",IFERROR(
   IF(_xlfn.XLOOKUP(Final_Sans_VGE[[#This Row],[ppn_z]],tbl_Historique_Final[ppn_z],tbl_Historique_Final[date_modif])=Final_Sans_VGE[[#This Row],[date_modif]],
      "Ancien",
      "Modifié"),
   "Nouveau"))</f>
        <v>#VALUE!</v>
      </c>
      <c r="AD3921" s="1" t="str">
        <f>IFERROR(IF(Final_Sans_VGE[[#This Row],[ppn_z]]="","",IFERROR(
   IF(_xlfn.XLOOKUP(Final_Sans_VGE[[#This Row],[ppn_z]],tbl_Historique_Final[[#This Row],[ppn_z]],tbl_Historique_Final[[#This Row],[date_modif]])=Final_Sans_VGE[[#This Row],[date_modif]],
      "Ancien",
      "Modifié"),
   "Nouveau")),"")</f>
        <v/>
      </c>
    </row>
    <row r="3922" spans="24:30" x14ac:dyDescent="0.25">
      <c r="X3922" s="8" t="e">
        <f>IF(Final_Sans_VGE[[#This Row],[ppn_z]]="","",IFERROR(
   IF(_xlfn.XLOOKUP(Final_Sans_VGE[[#This Row],[ppn_z]],tbl_Historique_Final[ppn_z],tbl_Historique_Final[date_modif])=Final_Sans_VGE[[#This Row],[date_modif]],
      "Ancien",
      "Modifié"),
   "Nouveau"))</f>
        <v>#VALUE!</v>
      </c>
      <c r="AD3922" s="1" t="str">
        <f>IFERROR(IF(Final_Sans_VGE[[#This Row],[ppn_z]]="","",IFERROR(
   IF(_xlfn.XLOOKUP(Final_Sans_VGE[[#This Row],[ppn_z]],tbl_Historique_Final[[#This Row],[ppn_z]],tbl_Historique_Final[[#This Row],[date_modif]])=Final_Sans_VGE[[#This Row],[date_modif]],
      "Ancien",
      "Modifié"),
   "Nouveau")),"")</f>
        <v/>
      </c>
    </row>
    <row r="3923" spans="24:30" x14ac:dyDescent="0.25">
      <c r="X3923" s="8" t="e">
        <f>IF(Final_Sans_VGE[[#This Row],[ppn_z]]="","",IFERROR(
   IF(_xlfn.XLOOKUP(Final_Sans_VGE[[#This Row],[ppn_z]],tbl_Historique_Final[ppn_z],tbl_Historique_Final[date_modif])=Final_Sans_VGE[[#This Row],[date_modif]],
      "Ancien",
      "Modifié"),
   "Nouveau"))</f>
        <v>#VALUE!</v>
      </c>
      <c r="AD3923" s="1" t="str">
        <f>IFERROR(IF(Final_Sans_VGE[[#This Row],[ppn_z]]="","",IFERROR(
   IF(_xlfn.XLOOKUP(Final_Sans_VGE[[#This Row],[ppn_z]],tbl_Historique_Final[[#This Row],[ppn_z]],tbl_Historique_Final[[#This Row],[date_modif]])=Final_Sans_VGE[[#This Row],[date_modif]],
      "Ancien",
      "Modifié"),
   "Nouveau")),"")</f>
        <v/>
      </c>
    </row>
    <row r="3924" spans="24:30" x14ac:dyDescent="0.25">
      <c r="X3924" s="8" t="e">
        <f>IF(Final_Sans_VGE[[#This Row],[ppn_z]]="","",IFERROR(
   IF(_xlfn.XLOOKUP(Final_Sans_VGE[[#This Row],[ppn_z]],tbl_Historique_Final[ppn_z],tbl_Historique_Final[date_modif])=Final_Sans_VGE[[#This Row],[date_modif]],
      "Ancien",
      "Modifié"),
   "Nouveau"))</f>
        <v>#VALUE!</v>
      </c>
      <c r="AD3924" s="1" t="str">
        <f>IFERROR(IF(Final_Sans_VGE[[#This Row],[ppn_z]]="","",IFERROR(
   IF(_xlfn.XLOOKUP(Final_Sans_VGE[[#This Row],[ppn_z]],tbl_Historique_Final[[#This Row],[ppn_z]],tbl_Historique_Final[[#This Row],[date_modif]])=Final_Sans_VGE[[#This Row],[date_modif]],
      "Ancien",
      "Modifié"),
   "Nouveau")),"")</f>
        <v/>
      </c>
    </row>
    <row r="3925" spans="24:30" x14ac:dyDescent="0.25">
      <c r="X3925" s="8" t="e">
        <f>IF(Final_Sans_VGE[[#This Row],[ppn_z]]="","",IFERROR(
   IF(_xlfn.XLOOKUP(Final_Sans_VGE[[#This Row],[ppn_z]],tbl_Historique_Final[ppn_z],tbl_Historique_Final[date_modif])=Final_Sans_VGE[[#This Row],[date_modif]],
      "Ancien",
      "Modifié"),
   "Nouveau"))</f>
        <v>#VALUE!</v>
      </c>
      <c r="AD3925" s="1" t="str">
        <f>IFERROR(IF(Final_Sans_VGE[[#This Row],[ppn_z]]="","",IFERROR(
   IF(_xlfn.XLOOKUP(Final_Sans_VGE[[#This Row],[ppn_z]],tbl_Historique_Final[[#This Row],[ppn_z]],tbl_Historique_Final[[#This Row],[date_modif]])=Final_Sans_VGE[[#This Row],[date_modif]],
      "Ancien",
      "Modifié"),
   "Nouveau")),"")</f>
        <v/>
      </c>
    </row>
    <row r="3926" spans="24:30" x14ac:dyDescent="0.25">
      <c r="X3926" s="8" t="e">
        <f>IF(Final_Sans_VGE[[#This Row],[ppn_z]]="","",IFERROR(
   IF(_xlfn.XLOOKUP(Final_Sans_VGE[[#This Row],[ppn_z]],tbl_Historique_Final[ppn_z],tbl_Historique_Final[date_modif])=Final_Sans_VGE[[#This Row],[date_modif]],
      "Ancien",
      "Modifié"),
   "Nouveau"))</f>
        <v>#VALUE!</v>
      </c>
      <c r="AD3926" s="1" t="str">
        <f>IFERROR(IF(Final_Sans_VGE[[#This Row],[ppn_z]]="","",IFERROR(
   IF(_xlfn.XLOOKUP(Final_Sans_VGE[[#This Row],[ppn_z]],tbl_Historique_Final[[#This Row],[ppn_z]],tbl_Historique_Final[[#This Row],[date_modif]])=Final_Sans_VGE[[#This Row],[date_modif]],
      "Ancien",
      "Modifié"),
   "Nouveau")),"")</f>
        <v/>
      </c>
    </row>
    <row r="3927" spans="24:30" x14ac:dyDescent="0.25">
      <c r="X3927" s="8" t="e">
        <f>IF(Final_Sans_VGE[[#This Row],[ppn_z]]="","",IFERROR(
   IF(_xlfn.XLOOKUP(Final_Sans_VGE[[#This Row],[ppn_z]],tbl_Historique_Final[ppn_z],tbl_Historique_Final[date_modif])=Final_Sans_VGE[[#This Row],[date_modif]],
      "Ancien",
      "Modifié"),
   "Nouveau"))</f>
        <v>#VALUE!</v>
      </c>
      <c r="AD3927" s="1" t="str">
        <f>IFERROR(IF(Final_Sans_VGE[[#This Row],[ppn_z]]="","",IFERROR(
   IF(_xlfn.XLOOKUP(Final_Sans_VGE[[#This Row],[ppn_z]],tbl_Historique_Final[[#This Row],[ppn_z]],tbl_Historique_Final[[#This Row],[date_modif]])=Final_Sans_VGE[[#This Row],[date_modif]],
      "Ancien",
      "Modifié"),
   "Nouveau")),"")</f>
        <v/>
      </c>
    </row>
    <row r="3928" spans="24:30" x14ac:dyDescent="0.25">
      <c r="X3928" s="8" t="e">
        <f>IF(Final_Sans_VGE[[#This Row],[ppn_z]]="","",IFERROR(
   IF(_xlfn.XLOOKUP(Final_Sans_VGE[[#This Row],[ppn_z]],tbl_Historique_Final[ppn_z],tbl_Historique_Final[date_modif])=Final_Sans_VGE[[#This Row],[date_modif]],
      "Ancien",
      "Modifié"),
   "Nouveau"))</f>
        <v>#VALUE!</v>
      </c>
      <c r="AD3928" s="1" t="str">
        <f>IFERROR(IF(Final_Sans_VGE[[#This Row],[ppn_z]]="","",IFERROR(
   IF(_xlfn.XLOOKUP(Final_Sans_VGE[[#This Row],[ppn_z]],tbl_Historique_Final[[#This Row],[ppn_z]],tbl_Historique_Final[[#This Row],[date_modif]])=Final_Sans_VGE[[#This Row],[date_modif]],
      "Ancien",
      "Modifié"),
   "Nouveau")),"")</f>
        <v/>
      </c>
    </row>
    <row r="3929" spans="24:30" x14ac:dyDescent="0.25">
      <c r="X3929" s="8" t="e">
        <f>IF(Final_Sans_VGE[[#This Row],[ppn_z]]="","",IFERROR(
   IF(_xlfn.XLOOKUP(Final_Sans_VGE[[#This Row],[ppn_z]],tbl_Historique_Final[ppn_z],tbl_Historique_Final[date_modif])=Final_Sans_VGE[[#This Row],[date_modif]],
      "Ancien",
      "Modifié"),
   "Nouveau"))</f>
        <v>#VALUE!</v>
      </c>
      <c r="AD3929" s="1" t="str">
        <f>IFERROR(IF(Final_Sans_VGE[[#This Row],[ppn_z]]="","",IFERROR(
   IF(_xlfn.XLOOKUP(Final_Sans_VGE[[#This Row],[ppn_z]],tbl_Historique_Final[[#This Row],[ppn_z]],tbl_Historique_Final[[#This Row],[date_modif]])=Final_Sans_VGE[[#This Row],[date_modif]],
      "Ancien",
      "Modifié"),
   "Nouveau")),"")</f>
        <v/>
      </c>
    </row>
    <row r="3930" spans="24:30" x14ac:dyDescent="0.25">
      <c r="X3930" s="8" t="e">
        <f>IF(Final_Sans_VGE[[#This Row],[ppn_z]]="","",IFERROR(
   IF(_xlfn.XLOOKUP(Final_Sans_VGE[[#This Row],[ppn_z]],tbl_Historique_Final[ppn_z],tbl_Historique_Final[date_modif])=Final_Sans_VGE[[#This Row],[date_modif]],
      "Ancien",
      "Modifié"),
   "Nouveau"))</f>
        <v>#VALUE!</v>
      </c>
      <c r="AD3930" s="1" t="str">
        <f>IFERROR(IF(Final_Sans_VGE[[#This Row],[ppn_z]]="","",IFERROR(
   IF(_xlfn.XLOOKUP(Final_Sans_VGE[[#This Row],[ppn_z]],tbl_Historique_Final[[#This Row],[ppn_z]],tbl_Historique_Final[[#This Row],[date_modif]])=Final_Sans_VGE[[#This Row],[date_modif]],
      "Ancien",
      "Modifié"),
   "Nouveau")),"")</f>
        <v/>
      </c>
    </row>
    <row r="3931" spans="24:30" x14ac:dyDescent="0.25">
      <c r="X3931" s="8" t="e">
        <f>IF(Final_Sans_VGE[[#This Row],[ppn_z]]="","",IFERROR(
   IF(_xlfn.XLOOKUP(Final_Sans_VGE[[#This Row],[ppn_z]],tbl_Historique_Final[ppn_z],tbl_Historique_Final[date_modif])=Final_Sans_VGE[[#This Row],[date_modif]],
      "Ancien",
      "Modifié"),
   "Nouveau"))</f>
        <v>#VALUE!</v>
      </c>
      <c r="AD3931" s="1" t="str">
        <f>IFERROR(IF(Final_Sans_VGE[[#This Row],[ppn_z]]="","",IFERROR(
   IF(_xlfn.XLOOKUP(Final_Sans_VGE[[#This Row],[ppn_z]],tbl_Historique_Final[[#This Row],[ppn_z]],tbl_Historique_Final[[#This Row],[date_modif]])=Final_Sans_VGE[[#This Row],[date_modif]],
      "Ancien",
      "Modifié"),
   "Nouveau")),"")</f>
        <v/>
      </c>
    </row>
    <row r="3932" spans="24:30" x14ac:dyDescent="0.25">
      <c r="X3932" s="8" t="e">
        <f>IF(Final_Sans_VGE[[#This Row],[ppn_z]]="","",IFERROR(
   IF(_xlfn.XLOOKUP(Final_Sans_VGE[[#This Row],[ppn_z]],tbl_Historique_Final[ppn_z],tbl_Historique_Final[date_modif])=Final_Sans_VGE[[#This Row],[date_modif]],
      "Ancien",
      "Modifié"),
   "Nouveau"))</f>
        <v>#VALUE!</v>
      </c>
      <c r="AD3932" s="1" t="str">
        <f>IFERROR(IF(Final_Sans_VGE[[#This Row],[ppn_z]]="","",IFERROR(
   IF(_xlfn.XLOOKUP(Final_Sans_VGE[[#This Row],[ppn_z]],tbl_Historique_Final[[#This Row],[ppn_z]],tbl_Historique_Final[[#This Row],[date_modif]])=Final_Sans_VGE[[#This Row],[date_modif]],
      "Ancien",
      "Modifié"),
   "Nouveau")),"")</f>
        <v/>
      </c>
    </row>
    <row r="3933" spans="24:30" x14ac:dyDescent="0.25">
      <c r="X3933" s="8" t="e">
        <f>IF(Final_Sans_VGE[[#This Row],[ppn_z]]="","",IFERROR(
   IF(_xlfn.XLOOKUP(Final_Sans_VGE[[#This Row],[ppn_z]],tbl_Historique_Final[ppn_z],tbl_Historique_Final[date_modif])=Final_Sans_VGE[[#This Row],[date_modif]],
      "Ancien",
      "Modifié"),
   "Nouveau"))</f>
        <v>#VALUE!</v>
      </c>
      <c r="AD3933" s="1" t="str">
        <f>IFERROR(IF(Final_Sans_VGE[[#This Row],[ppn_z]]="","",IFERROR(
   IF(_xlfn.XLOOKUP(Final_Sans_VGE[[#This Row],[ppn_z]],tbl_Historique_Final[[#This Row],[ppn_z]],tbl_Historique_Final[[#This Row],[date_modif]])=Final_Sans_VGE[[#This Row],[date_modif]],
      "Ancien",
      "Modifié"),
   "Nouveau")),"")</f>
        <v/>
      </c>
    </row>
    <row r="3934" spans="24:30" x14ac:dyDescent="0.25">
      <c r="X3934" s="8" t="e">
        <f>IF(Final_Sans_VGE[[#This Row],[ppn_z]]="","",IFERROR(
   IF(_xlfn.XLOOKUP(Final_Sans_VGE[[#This Row],[ppn_z]],tbl_Historique_Final[ppn_z],tbl_Historique_Final[date_modif])=Final_Sans_VGE[[#This Row],[date_modif]],
      "Ancien",
      "Modifié"),
   "Nouveau"))</f>
        <v>#VALUE!</v>
      </c>
      <c r="AD3934" s="1" t="str">
        <f>IFERROR(IF(Final_Sans_VGE[[#This Row],[ppn_z]]="","",IFERROR(
   IF(_xlfn.XLOOKUP(Final_Sans_VGE[[#This Row],[ppn_z]],tbl_Historique_Final[[#This Row],[ppn_z]],tbl_Historique_Final[[#This Row],[date_modif]])=Final_Sans_VGE[[#This Row],[date_modif]],
      "Ancien",
      "Modifié"),
   "Nouveau")),"")</f>
        <v/>
      </c>
    </row>
    <row r="3935" spans="24:30" x14ac:dyDescent="0.25">
      <c r="X3935" s="8" t="e">
        <f>IF(Final_Sans_VGE[[#This Row],[ppn_z]]="","",IFERROR(
   IF(_xlfn.XLOOKUP(Final_Sans_VGE[[#This Row],[ppn_z]],tbl_Historique_Final[ppn_z],tbl_Historique_Final[date_modif])=Final_Sans_VGE[[#This Row],[date_modif]],
      "Ancien",
      "Modifié"),
   "Nouveau"))</f>
        <v>#VALUE!</v>
      </c>
      <c r="AD3935" s="1" t="str">
        <f>IFERROR(IF(Final_Sans_VGE[[#This Row],[ppn_z]]="","",IFERROR(
   IF(_xlfn.XLOOKUP(Final_Sans_VGE[[#This Row],[ppn_z]],tbl_Historique_Final[[#This Row],[ppn_z]],tbl_Historique_Final[[#This Row],[date_modif]])=Final_Sans_VGE[[#This Row],[date_modif]],
      "Ancien",
      "Modifié"),
   "Nouveau")),"")</f>
        <v/>
      </c>
    </row>
    <row r="3936" spans="24:30" x14ac:dyDescent="0.25">
      <c r="X3936" s="8" t="e">
        <f>IF(Final_Sans_VGE[[#This Row],[ppn_z]]="","",IFERROR(
   IF(_xlfn.XLOOKUP(Final_Sans_VGE[[#This Row],[ppn_z]],tbl_Historique_Final[ppn_z],tbl_Historique_Final[date_modif])=Final_Sans_VGE[[#This Row],[date_modif]],
      "Ancien",
      "Modifié"),
   "Nouveau"))</f>
        <v>#VALUE!</v>
      </c>
      <c r="AD3936" s="1" t="str">
        <f>IFERROR(IF(Final_Sans_VGE[[#This Row],[ppn_z]]="","",IFERROR(
   IF(_xlfn.XLOOKUP(Final_Sans_VGE[[#This Row],[ppn_z]],tbl_Historique_Final[[#This Row],[ppn_z]],tbl_Historique_Final[[#This Row],[date_modif]])=Final_Sans_VGE[[#This Row],[date_modif]],
      "Ancien",
      "Modifié"),
   "Nouveau")),"")</f>
        <v/>
      </c>
    </row>
    <row r="3937" spans="24:30" x14ac:dyDescent="0.25">
      <c r="X3937" s="8" t="e">
        <f>IF(Final_Sans_VGE[[#This Row],[ppn_z]]="","",IFERROR(
   IF(_xlfn.XLOOKUP(Final_Sans_VGE[[#This Row],[ppn_z]],tbl_Historique_Final[ppn_z],tbl_Historique_Final[date_modif])=Final_Sans_VGE[[#This Row],[date_modif]],
      "Ancien",
      "Modifié"),
   "Nouveau"))</f>
        <v>#VALUE!</v>
      </c>
      <c r="AD3937" s="1" t="str">
        <f>IFERROR(IF(Final_Sans_VGE[[#This Row],[ppn_z]]="","",IFERROR(
   IF(_xlfn.XLOOKUP(Final_Sans_VGE[[#This Row],[ppn_z]],tbl_Historique_Final[[#This Row],[ppn_z]],tbl_Historique_Final[[#This Row],[date_modif]])=Final_Sans_VGE[[#This Row],[date_modif]],
      "Ancien",
      "Modifié"),
   "Nouveau")),"")</f>
        <v/>
      </c>
    </row>
    <row r="3938" spans="24:30" x14ac:dyDescent="0.25">
      <c r="X3938" s="8" t="e">
        <f>IF(Final_Sans_VGE[[#This Row],[ppn_z]]="","",IFERROR(
   IF(_xlfn.XLOOKUP(Final_Sans_VGE[[#This Row],[ppn_z]],tbl_Historique_Final[ppn_z],tbl_Historique_Final[date_modif])=Final_Sans_VGE[[#This Row],[date_modif]],
      "Ancien",
      "Modifié"),
   "Nouveau"))</f>
        <v>#VALUE!</v>
      </c>
      <c r="AD3938" s="1" t="str">
        <f>IFERROR(IF(Final_Sans_VGE[[#This Row],[ppn_z]]="","",IFERROR(
   IF(_xlfn.XLOOKUP(Final_Sans_VGE[[#This Row],[ppn_z]],tbl_Historique_Final[[#This Row],[ppn_z]],tbl_Historique_Final[[#This Row],[date_modif]])=Final_Sans_VGE[[#This Row],[date_modif]],
      "Ancien",
      "Modifié"),
   "Nouveau")),"")</f>
        <v/>
      </c>
    </row>
    <row r="3939" spans="24:30" x14ac:dyDescent="0.25">
      <c r="X3939" s="8" t="e">
        <f>IF(Final_Sans_VGE[[#This Row],[ppn_z]]="","",IFERROR(
   IF(_xlfn.XLOOKUP(Final_Sans_VGE[[#This Row],[ppn_z]],tbl_Historique_Final[ppn_z],tbl_Historique_Final[date_modif])=Final_Sans_VGE[[#This Row],[date_modif]],
      "Ancien",
      "Modifié"),
   "Nouveau"))</f>
        <v>#VALUE!</v>
      </c>
      <c r="AD3939" s="1" t="str">
        <f>IFERROR(IF(Final_Sans_VGE[[#This Row],[ppn_z]]="","",IFERROR(
   IF(_xlfn.XLOOKUP(Final_Sans_VGE[[#This Row],[ppn_z]],tbl_Historique_Final[[#This Row],[ppn_z]],tbl_Historique_Final[[#This Row],[date_modif]])=Final_Sans_VGE[[#This Row],[date_modif]],
      "Ancien",
      "Modifié"),
   "Nouveau")),"")</f>
        <v/>
      </c>
    </row>
    <row r="3940" spans="24:30" x14ac:dyDescent="0.25">
      <c r="X3940" s="8" t="e">
        <f>IF(Final_Sans_VGE[[#This Row],[ppn_z]]="","",IFERROR(
   IF(_xlfn.XLOOKUP(Final_Sans_VGE[[#This Row],[ppn_z]],tbl_Historique_Final[ppn_z],tbl_Historique_Final[date_modif])=Final_Sans_VGE[[#This Row],[date_modif]],
      "Ancien",
      "Modifié"),
   "Nouveau"))</f>
        <v>#VALUE!</v>
      </c>
      <c r="AD3940" s="1" t="str">
        <f>IFERROR(IF(Final_Sans_VGE[[#This Row],[ppn_z]]="","",IFERROR(
   IF(_xlfn.XLOOKUP(Final_Sans_VGE[[#This Row],[ppn_z]],tbl_Historique_Final[[#This Row],[ppn_z]],tbl_Historique_Final[[#This Row],[date_modif]])=Final_Sans_VGE[[#This Row],[date_modif]],
      "Ancien",
      "Modifié"),
   "Nouveau")),"")</f>
        <v/>
      </c>
    </row>
    <row r="3941" spans="24:30" x14ac:dyDescent="0.25">
      <c r="X3941" s="8" t="e">
        <f>IF(Final_Sans_VGE[[#This Row],[ppn_z]]="","",IFERROR(
   IF(_xlfn.XLOOKUP(Final_Sans_VGE[[#This Row],[ppn_z]],tbl_Historique_Final[ppn_z],tbl_Historique_Final[date_modif])=Final_Sans_VGE[[#This Row],[date_modif]],
      "Ancien",
      "Modifié"),
   "Nouveau"))</f>
        <v>#VALUE!</v>
      </c>
      <c r="AD3941" s="1" t="str">
        <f>IFERROR(IF(Final_Sans_VGE[[#This Row],[ppn_z]]="","",IFERROR(
   IF(_xlfn.XLOOKUP(Final_Sans_VGE[[#This Row],[ppn_z]],tbl_Historique_Final[[#This Row],[ppn_z]],tbl_Historique_Final[[#This Row],[date_modif]])=Final_Sans_VGE[[#This Row],[date_modif]],
      "Ancien",
      "Modifié"),
   "Nouveau")),"")</f>
        <v/>
      </c>
    </row>
    <row r="3942" spans="24:30" x14ac:dyDescent="0.25">
      <c r="X3942" s="8" t="e">
        <f>IF(Final_Sans_VGE[[#This Row],[ppn_z]]="","",IFERROR(
   IF(_xlfn.XLOOKUP(Final_Sans_VGE[[#This Row],[ppn_z]],tbl_Historique_Final[ppn_z],tbl_Historique_Final[date_modif])=Final_Sans_VGE[[#This Row],[date_modif]],
      "Ancien",
      "Modifié"),
   "Nouveau"))</f>
        <v>#VALUE!</v>
      </c>
      <c r="AD3942" s="1" t="str">
        <f>IFERROR(IF(Final_Sans_VGE[[#This Row],[ppn_z]]="","",IFERROR(
   IF(_xlfn.XLOOKUP(Final_Sans_VGE[[#This Row],[ppn_z]],tbl_Historique_Final[[#This Row],[ppn_z]],tbl_Historique_Final[[#This Row],[date_modif]])=Final_Sans_VGE[[#This Row],[date_modif]],
      "Ancien",
      "Modifié"),
   "Nouveau")),"")</f>
        <v/>
      </c>
    </row>
    <row r="3943" spans="24:30" x14ac:dyDescent="0.25">
      <c r="X3943" s="8" t="e">
        <f>IF(Final_Sans_VGE[[#This Row],[ppn_z]]="","",IFERROR(
   IF(_xlfn.XLOOKUP(Final_Sans_VGE[[#This Row],[ppn_z]],tbl_Historique_Final[ppn_z],tbl_Historique_Final[date_modif])=Final_Sans_VGE[[#This Row],[date_modif]],
      "Ancien",
      "Modifié"),
   "Nouveau"))</f>
        <v>#VALUE!</v>
      </c>
      <c r="AD3943" s="1" t="str">
        <f>IFERROR(IF(Final_Sans_VGE[[#This Row],[ppn_z]]="","",IFERROR(
   IF(_xlfn.XLOOKUP(Final_Sans_VGE[[#This Row],[ppn_z]],tbl_Historique_Final[[#This Row],[ppn_z]],tbl_Historique_Final[[#This Row],[date_modif]])=Final_Sans_VGE[[#This Row],[date_modif]],
      "Ancien",
      "Modifié"),
   "Nouveau")),"")</f>
        <v/>
      </c>
    </row>
    <row r="3944" spans="24:30" x14ac:dyDescent="0.25">
      <c r="X3944" s="8" t="e">
        <f>IF(Final_Sans_VGE[[#This Row],[ppn_z]]="","",IFERROR(
   IF(_xlfn.XLOOKUP(Final_Sans_VGE[[#This Row],[ppn_z]],tbl_Historique_Final[ppn_z],tbl_Historique_Final[date_modif])=Final_Sans_VGE[[#This Row],[date_modif]],
      "Ancien",
      "Modifié"),
   "Nouveau"))</f>
        <v>#VALUE!</v>
      </c>
      <c r="AD3944" s="1" t="str">
        <f>IFERROR(IF(Final_Sans_VGE[[#This Row],[ppn_z]]="","",IFERROR(
   IF(_xlfn.XLOOKUP(Final_Sans_VGE[[#This Row],[ppn_z]],tbl_Historique_Final[[#This Row],[ppn_z]],tbl_Historique_Final[[#This Row],[date_modif]])=Final_Sans_VGE[[#This Row],[date_modif]],
      "Ancien",
      "Modifié"),
   "Nouveau")),"")</f>
        <v/>
      </c>
    </row>
    <row r="3945" spans="24:30" x14ac:dyDescent="0.25">
      <c r="X3945" s="8" t="e">
        <f>IF(Final_Sans_VGE[[#This Row],[ppn_z]]="","",IFERROR(
   IF(_xlfn.XLOOKUP(Final_Sans_VGE[[#This Row],[ppn_z]],tbl_Historique_Final[ppn_z],tbl_Historique_Final[date_modif])=Final_Sans_VGE[[#This Row],[date_modif]],
      "Ancien",
      "Modifié"),
   "Nouveau"))</f>
        <v>#VALUE!</v>
      </c>
      <c r="AD3945" s="1" t="str">
        <f>IFERROR(IF(Final_Sans_VGE[[#This Row],[ppn_z]]="","",IFERROR(
   IF(_xlfn.XLOOKUP(Final_Sans_VGE[[#This Row],[ppn_z]],tbl_Historique_Final[[#This Row],[ppn_z]],tbl_Historique_Final[[#This Row],[date_modif]])=Final_Sans_VGE[[#This Row],[date_modif]],
      "Ancien",
      "Modifié"),
   "Nouveau")),"")</f>
        <v/>
      </c>
    </row>
    <row r="3946" spans="24:30" x14ac:dyDescent="0.25">
      <c r="X3946" s="8" t="e">
        <f>IF(Final_Sans_VGE[[#This Row],[ppn_z]]="","",IFERROR(
   IF(_xlfn.XLOOKUP(Final_Sans_VGE[[#This Row],[ppn_z]],tbl_Historique_Final[ppn_z],tbl_Historique_Final[date_modif])=Final_Sans_VGE[[#This Row],[date_modif]],
      "Ancien",
      "Modifié"),
   "Nouveau"))</f>
        <v>#VALUE!</v>
      </c>
      <c r="AD3946" s="1" t="str">
        <f>IFERROR(IF(Final_Sans_VGE[[#This Row],[ppn_z]]="","",IFERROR(
   IF(_xlfn.XLOOKUP(Final_Sans_VGE[[#This Row],[ppn_z]],tbl_Historique_Final[[#This Row],[ppn_z]],tbl_Historique_Final[[#This Row],[date_modif]])=Final_Sans_VGE[[#This Row],[date_modif]],
      "Ancien",
      "Modifié"),
   "Nouveau")),"")</f>
        <v/>
      </c>
    </row>
    <row r="3947" spans="24:30" x14ac:dyDescent="0.25">
      <c r="X3947" s="8" t="e">
        <f>IF(Final_Sans_VGE[[#This Row],[ppn_z]]="","",IFERROR(
   IF(_xlfn.XLOOKUP(Final_Sans_VGE[[#This Row],[ppn_z]],tbl_Historique_Final[ppn_z],tbl_Historique_Final[date_modif])=Final_Sans_VGE[[#This Row],[date_modif]],
      "Ancien",
      "Modifié"),
   "Nouveau"))</f>
        <v>#VALUE!</v>
      </c>
      <c r="AD3947" s="1" t="str">
        <f>IFERROR(IF(Final_Sans_VGE[[#This Row],[ppn_z]]="","",IFERROR(
   IF(_xlfn.XLOOKUP(Final_Sans_VGE[[#This Row],[ppn_z]],tbl_Historique_Final[[#This Row],[ppn_z]],tbl_Historique_Final[[#This Row],[date_modif]])=Final_Sans_VGE[[#This Row],[date_modif]],
      "Ancien",
      "Modifié"),
   "Nouveau")),"")</f>
        <v/>
      </c>
    </row>
    <row r="3948" spans="24:30" x14ac:dyDescent="0.25">
      <c r="X3948" s="8" t="e">
        <f>IF(Final_Sans_VGE[[#This Row],[ppn_z]]="","",IFERROR(
   IF(_xlfn.XLOOKUP(Final_Sans_VGE[[#This Row],[ppn_z]],tbl_Historique_Final[ppn_z],tbl_Historique_Final[date_modif])=Final_Sans_VGE[[#This Row],[date_modif]],
      "Ancien",
      "Modifié"),
   "Nouveau"))</f>
        <v>#VALUE!</v>
      </c>
      <c r="AD3948" s="1" t="str">
        <f>IFERROR(IF(Final_Sans_VGE[[#This Row],[ppn_z]]="","",IFERROR(
   IF(_xlfn.XLOOKUP(Final_Sans_VGE[[#This Row],[ppn_z]],tbl_Historique_Final[[#This Row],[ppn_z]],tbl_Historique_Final[[#This Row],[date_modif]])=Final_Sans_VGE[[#This Row],[date_modif]],
      "Ancien",
      "Modifié"),
   "Nouveau")),"")</f>
        <v/>
      </c>
    </row>
    <row r="3949" spans="24:30" x14ac:dyDescent="0.25">
      <c r="X3949" s="8" t="e">
        <f>IF(Final_Sans_VGE[[#This Row],[ppn_z]]="","",IFERROR(
   IF(_xlfn.XLOOKUP(Final_Sans_VGE[[#This Row],[ppn_z]],tbl_Historique_Final[ppn_z],tbl_Historique_Final[date_modif])=Final_Sans_VGE[[#This Row],[date_modif]],
      "Ancien",
      "Modifié"),
   "Nouveau"))</f>
        <v>#VALUE!</v>
      </c>
      <c r="AD3949" s="1" t="str">
        <f>IFERROR(IF(Final_Sans_VGE[[#This Row],[ppn_z]]="","",IFERROR(
   IF(_xlfn.XLOOKUP(Final_Sans_VGE[[#This Row],[ppn_z]],tbl_Historique_Final[[#This Row],[ppn_z]],tbl_Historique_Final[[#This Row],[date_modif]])=Final_Sans_VGE[[#This Row],[date_modif]],
      "Ancien",
      "Modifié"),
   "Nouveau")),"")</f>
        <v/>
      </c>
    </row>
    <row r="3950" spans="24:30" x14ac:dyDescent="0.25">
      <c r="X3950" s="8" t="e">
        <f>IF(Final_Sans_VGE[[#This Row],[ppn_z]]="","",IFERROR(
   IF(_xlfn.XLOOKUP(Final_Sans_VGE[[#This Row],[ppn_z]],tbl_Historique_Final[ppn_z],tbl_Historique_Final[date_modif])=Final_Sans_VGE[[#This Row],[date_modif]],
      "Ancien",
      "Modifié"),
   "Nouveau"))</f>
        <v>#VALUE!</v>
      </c>
      <c r="AD3950" s="1" t="str">
        <f>IFERROR(IF(Final_Sans_VGE[[#This Row],[ppn_z]]="","",IFERROR(
   IF(_xlfn.XLOOKUP(Final_Sans_VGE[[#This Row],[ppn_z]],tbl_Historique_Final[[#This Row],[ppn_z]],tbl_Historique_Final[[#This Row],[date_modif]])=Final_Sans_VGE[[#This Row],[date_modif]],
      "Ancien",
      "Modifié"),
   "Nouveau")),"")</f>
        <v/>
      </c>
    </row>
    <row r="3951" spans="24:30" x14ac:dyDescent="0.25">
      <c r="X3951" s="8" t="e">
        <f>IF(Final_Sans_VGE[[#This Row],[ppn_z]]="","",IFERROR(
   IF(_xlfn.XLOOKUP(Final_Sans_VGE[[#This Row],[ppn_z]],tbl_Historique_Final[ppn_z],tbl_Historique_Final[date_modif])=Final_Sans_VGE[[#This Row],[date_modif]],
      "Ancien",
      "Modifié"),
   "Nouveau"))</f>
        <v>#VALUE!</v>
      </c>
      <c r="AD3951" s="1" t="str">
        <f>IFERROR(IF(Final_Sans_VGE[[#This Row],[ppn_z]]="","",IFERROR(
   IF(_xlfn.XLOOKUP(Final_Sans_VGE[[#This Row],[ppn_z]],tbl_Historique_Final[[#This Row],[ppn_z]],tbl_Historique_Final[[#This Row],[date_modif]])=Final_Sans_VGE[[#This Row],[date_modif]],
      "Ancien",
      "Modifié"),
   "Nouveau")),"")</f>
        <v/>
      </c>
    </row>
    <row r="3952" spans="24:30" x14ac:dyDescent="0.25">
      <c r="X3952" s="8" t="e">
        <f>IF(Final_Sans_VGE[[#This Row],[ppn_z]]="","",IFERROR(
   IF(_xlfn.XLOOKUP(Final_Sans_VGE[[#This Row],[ppn_z]],tbl_Historique_Final[ppn_z],tbl_Historique_Final[date_modif])=Final_Sans_VGE[[#This Row],[date_modif]],
      "Ancien",
      "Modifié"),
   "Nouveau"))</f>
        <v>#VALUE!</v>
      </c>
      <c r="AD3952" s="1" t="str">
        <f>IFERROR(IF(Final_Sans_VGE[[#This Row],[ppn_z]]="","",IFERROR(
   IF(_xlfn.XLOOKUP(Final_Sans_VGE[[#This Row],[ppn_z]],tbl_Historique_Final[[#This Row],[ppn_z]],tbl_Historique_Final[[#This Row],[date_modif]])=Final_Sans_VGE[[#This Row],[date_modif]],
      "Ancien",
      "Modifié"),
   "Nouveau")),"")</f>
        <v/>
      </c>
    </row>
    <row r="3953" spans="24:30" x14ac:dyDescent="0.25">
      <c r="X3953" s="8" t="e">
        <f>IF(Final_Sans_VGE[[#This Row],[ppn_z]]="","",IFERROR(
   IF(_xlfn.XLOOKUP(Final_Sans_VGE[[#This Row],[ppn_z]],tbl_Historique_Final[ppn_z],tbl_Historique_Final[date_modif])=Final_Sans_VGE[[#This Row],[date_modif]],
      "Ancien",
      "Modifié"),
   "Nouveau"))</f>
        <v>#VALUE!</v>
      </c>
      <c r="AD3953" s="1" t="str">
        <f>IFERROR(IF(Final_Sans_VGE[[#This Row],[ppn_z]]="","",IFERROR(
   IF(_xlfn.XLOOKUP(Final_Sans_VGE[[#This Row],[ppn_z]],tbl_Historique_Final[[#This Row],[ppn_z]],tbl_Historique_Final[[#This Row],[date_modif]])=Final_Sans_VGE[[#This Row],[date_modif]],
      "Ancien",
      "Modifié"),
   "Nouveau")),"")</f>
        <v/>
      </c>
    </row>
    <row r="3954" spans="24:30" x14ac:dyDescent="0.25">
      <c r="X3954" s="8" t="e">
        <f>IF(Final_Sans_VGE[[#This Row],[ppn_z]]="","",IFERROR(
   IF(_xlfn.XLOOKUP(Final_Sans_VGE[[#This Row],[ppn_z]],tbl_Historique_Final[ppn_z],tbl_Historique_Final[date_modif])=Final_Sans_VGE[[#This Row],[date_modif]],
      "Ancien",
      "Modifié"),
   "Nouveau"))</f>
        <v>#VALUE!</v>
      </c>
      <c r="AD3954" s="1" t="str">
        <f>IFERROR(IF(Final_Sans_VGE[[#This Row],[ppn_z]]="","",IFERROR(
   IF(_xlfn.XLOOKUP(Final_Sans_VGE[[#This Row],[ppn_z]],tbl_Historique_Final[[#This Row],[ppn_z]],tbl_Historique_Final[[#This Row],[date_modif]])=Final_Sans_VGE[[#This Row],[date_modif]],
      "Ancien",
      "Modifié"),
   "Nouveau")),"")</f>
        <v/>
      </c>
    </row>
    <row r="3955" spans="24:30" x14ac:dyDescent="0.25">
      <c r="X3955" s="8" t="e">
        <f>IF(Final_Sans_VGE[[#This Row],[ppn_z]]="","",IFERROR(
   IF(_xlfn.XLOOKUP(Final_Sans_VGE[[#This Row],[ppn_z]],tbl_Historique_Final[ppn_z],tbl_Historique_Final[date_modif])=Final_Sans_VGE[[#This Row],[date_modif]],
      "Ancien",
      "Modifié"),
   "Nouveau"))</f>
        <v>#VALUE!</v>
      </c>
      <c r="AD3955" s="1" t="str">
        <f>IFERROR(IF(Final_Sans_VGE[[#This Row],[ppn_z]]="","",IFERROR(
   IF(_xlfn.XLOOKUP(Final_Sans_VGE[[#This Row],[ppn_z]],tbl_Historique_Final[[#This Row],[ppn_z]],tbl_Historique_Final[[#This Row],[date_modif]])=Final_Sans_VGE[[#This Row],[date_modif]],
      "Ancien",
      "Modifié"),
   "Nouveau")),"")</f>
        <v/>
      </c>
    </row>
    <row r="3956" spans="24:30" x14ac:dyDescent="0.25">
      <c r="X3956" s="8" t="e">
        <f>IF(Final_Sans_VGE[[#This Row],[ppn_z]]="","",IFERROR(
   IF(_xlfn.XLOOKUP(Final_Sans_VGE[[#This Row],[ppn_z]],tbl_Historique_Final[ppn_z],tbl_Historique_Final[date_modif])=Final_Sans_VGE[[#This Row],[date_modif]],
      "Ancien",
      "Modifié"),
   "Nouveau"))</f>
        <v>#VALUE!</v>
      </c>
      <c r="AD3956" s="1" t="str">
        <f>IFERROR(IF(Final_Sans_VGE[[#This Row],[ppn_z]]="","",IFERROR(
   IF(_xlfn.XLOOKUP(Final_Sans_VGE[[#This Row],[ppn_z]],tbl_Historique_Final[[#This Row],[ppn_z]],tbl_Historique_Final[[#This Row],[date_modif]])=Final_Sans_VGE[[#This Row],[date_modif]],
      "Ancien",
      "Modifié"),
   "Nouveau")),"")</f>
        <v/>
      </c>
    </row>
    <row r="3957" spans="24:30" x14ac:dyDescent="0.25">
      <c r="X3957" s="8" t="e">
        <f>IF(Final_Sans_VGE[[#This Row],[ppn_z]]="","",IFERROR(
   IF(_xlfn.XLOOKUP(Final_Sans_VGE[[#This Row],[ppn_z]],tbl_Historique_Final[ppn_z],tbl_Historique_Final[date_modif])=Final_Sans_VGE[[#This Row],[date_modif]],
      "Ancien",
      "Modifié"),
   "Nouveau"))</f>
        <v>#VALUE!</v>
      </c>
      <c r="AD3957" s="1" t="str">
        <f>IFERROR(IF(Final_Sans_VGE[[#This Row],[ppn_z]]="","",IFERROR(
   IF(_xlfn.XLOOKUP(Final_Sans_VGE[[#This Row],[ppn_z]],tbl_Historique_Final[[#This Row],[ppn_z]],tbl_Historique_Final[[#This Row],[date_modif]])=Final_Sans_VGE[[#This Row],[date_modif]],
      "Ancien",
      "Modifié"),
   "Nouveau")),"")</f>
        <v/>
      </c>
    </row>
    <row r="3958" spans="24:30" x14ac:dyDescent="0.25">
      <c r="X3958" s="8" t="e">
        <f>IF(Final_Sans_VGE[[#This Row],[ppn_z]]="","",IFERROR(
   IF(_xlfn.XLOOKUP(Final_Sans_VGE[[#This Row],[ppn_z]],tbl_Historique_Final[ppn_z],tbl_Historique_Final[date_modif])=Final_Sans_VGE[[#This Row],[date_modif]],
      "Ancien",
      "Modifié"),
   "Nouveau"))</f>
        <v>#VALUE!</v>
      </c>
      <c r="AD3958" s="1" t="str">
        <f>IFERROR(IF(Final_Sans_VGE[[#This Row],[ppn_z]]="","",IFERROR(
   IF(_xlfn.XLOOKUP(Final_Sans_VGE[[#This Row],[ppn_z]],tbl_Historique_Final[[#This Row],[ppn_z]],tbl_Historique_Final[[#This Row],[date_modif]])=Final_Sans_VGE[[#This Row],[date_modif]],
      "Ancien",
      "Modifié"),
   "Nouveau")),"")</f>
        <v/>
      </c>
    </row>
    <row r="3959" spans="24:30" x14ac:dyDescent="0.25">
      <c r="X3959" s="8" t="e">
        <f>IF(Final_Sans_VGE[[#This Row],[ppn_z]]="","",IFERROR(
   IF(_xlfn.XLOOKUP(Final_Sans_VGE[[#This Row],[ppn_z]],tbl_Historique_Final[ppn_z],tbl_Historique_Final[date_modif])=Final_Sans_VGE[[#This Row],[date_modif]],
      "Ancien",
      "Modifié"),
   "Nouveau"))</f>
        <v>#VALUE!</v>
      </c>
      <c r="AD3959" s="1" t="str">
        <f>IFERROR(IF(Final_Sans_VGE[[#This Row],[ppn_z]]="","",IFERROR(
   IF(_xlfn.XLOOKUP(Final_Sans_VGE[[#This Row],[ppn_z]],tbl_Historique_Final[[#This Row],[ppn_z]],tbl_Historique_Final[[#This Row],[date_modif]])=Final_Sans_VGE[[#This Row],[date_modif]],
      "Ancien",
      "Modifié"),
   "Nouveau")),"")</f>
        <v/>
      </c>
    </row>
    <row r="3960" spans="24:30" x14ac:dyDescent="0.25">
      <c r="X3960" s="8" t="e">
        <f>IF(Final_Sans_VGE[[#This Row],[ppn_z]]="","",IFERROR(
   IF(_xlfn.XLOOKUP(Final_Sans_VGE[[#This Row],[ppn_z]],tbl_Historique_Final[ppn_z],tbl_Historique_Final[date_modif])=Final_Sans_VGE[[#This Row],[date_modif]],
      "Ancien",
      "Modifié"),
   "Nouveau"))</f>
        <v>#VALUE!</v>
      </c>
      <c r="AD3960" s="1" t="str">
        <f>IFERROR(IF(Final_Sans_VGE[[#This Row],[ppn_z]]="","",IFERROR(
   IF(_xlfn.XLOOKUP(Final_Sans_VGE[[#This Row],[ppn_z]],tbl_Historique_Final[[#This Row],[ppn_z]],tbl_Historique_Final[[#This Row],[date_modif]])=Final_Sans_VGE[[#This Row],[date_modif]],
      "Ancien",
      "Modifié"),
   "Nouveau")),"")</f>
        <v/>
      </c>
    </row>
    <row r="3961" spans="24:30" x14ac:dyDescent="0.25">
      <c r="X3961" s="8" t="e">
        <f>IF(Final_Sans_VGE[[#This Row],[ppn_z]]="","",IFERROR(
   IF(_xlfn.XLOOKUP(Final_Sans_VGE[[#This Row],[ppn_z]],tbl_Historique_Final[ppn_z],tbl_Historique_Final[date_modif])=Final_Sans_VGE[[#This Row],[date_modif]],
      "Ancien",
      "Modifié"),
   "Nouveau"))</f>
        <v>#VALUE!</v>
      </c>
      <c r="AD3961" s="1" t="str">
        <f>IFERROR(IF(Final_Sans_VGE[[#This Row],[ppn_z]]="","",IFERROR(
   IF(_xlfn.XLOOKUP(Final_Sans_VGE[[#This Row],[ppn_z]],tbl_Historique_Final[[#This Row],[ppn_z]],tbl_Historique_Final[[#This Row],[date_modif]])=Final_Sans_VGE[[#This Row],[date_modif]],
      "Ancien",
      "Modifié"),
   "Nouveau")),"")</f>
        <v/>
      </c>
    </row>
    <row r="3962" spans="24:30" x14ac:dyDescent="0.25">
      <c r="X3962" s="8" t="e">
        <f>IF(Final_Sans_VGE[[#This Row],[ppn_z]]="","",IFERROR(
   IF(_xlfn.XLOOKUP(Final_Sans_VGE[[#This Row],[ppn_z]],tbl_Historique_Final[ppn_z],tbl_Historique_Final[date_modif])=Final_Sans_VGE[[#This Row],[date_modif]],
      "Ancien",
      "Modifié"),
   "Nouveau"))</f>
        <v>#VALUE!</v>
      </c>
      <c r="AD3962" s="1" t="str">
        <f>IFERROR(IF(Final_Sans_VGE[[#This Row],[ppn_z]]="","",IFERROR(
   IF(_xlfn.XLOOKUP(Final_Sans_VGE[[#This Row],[ppn_z]],tbl_Historique_Final[[#This Row],[ppn_z]],tbl_Historique_Final[[#This Row],[date_modif]])=Final_Sans_VGE[[#This Row],[date_modif]],
      "Ancien",
      "Modifié"),
   "Nouveau")),"")</f>
        <v/>
      </c>
    </row>
    <row r="3963" spans="24:30" x14ac:dyDescent="0.25">
      <c r="X3963" s="8" t="e">
        <f>IF(Final_Sans_VGE[[#This Row],[ppn_z]]="","",IFERROR(
   IF(_xlfn.XLOOKUP(Final_Sans_VGE[[#This Row],[ppn_z]],tbl_Historique_Final[ppn_z],tbl_Historique_Final[date_modif])=Final_Sans_VGE[[#This Row],[date_modif]],
      "Ancien",
      "Modifié"),
   "Nouveau"))</f>
        <v>#VALUE!</v>
      </c>
      <c r="AD3963" s="1" t="str">
        <f>IFERROR(IF(Final_Sans_VGE[[#This Row],[ppn_z]]="","",IFERROR(
   IF(_xlfn.XLOOKUP(Final_Sans_VGE[[#This Row],[ppn_z]],tbl_Historique_Final[[#This Row],[ppn_z]],tbl_Historique_Final[[#This Row],[date_modif]])=Final_Sans_VGE[[#This Row],[date_modif]],
      "Ancien",
      "Modifié"),
   "Nouveau")),"")</f>
        <v/>
      </c>
    </row>
    <row r="3964" spans="24:30" x14ac:dyDescent="0.25">
      <c r="X3964" s="8" t="e">
        <f>IF(Final_Sans_VGE[[#This Row],[ppn_z]]="","",IFERROR(
   IF(_xlfn.XLOOKUP(Final_Sans_VGE[[#This Row],[ppn_z]],tbl_Historique_Final[ppn_z],tbl_Historique_Final[date_modif])=Final_Sans_VGE[[#This Row],[date_modif]],
      "Ancien",
      "Modifié"),
   "Nouveau"))</f>
        <v>#VALUE!</v>
      </c>
      <c r="AD3964" s="1" t="str">
        <f>IFERROR(IF(Final_Sans_VGE[[#This Row],[ppn_z]]="","",IFERROR(
   IF(_xlfn.XLOOKUP(Final_Sans_VGE[[#This Row],[ppn_z]],tbl_Historique_Final[[#This Row],[ppn_z]],tbl_Historique_Final[[#This Row],[date_modif]])=Final_Sans_VGE[[#This Row],[date_modif]],
      "Ancien",
      "Modifié"),
   "Nouveau")),"")</f>
        <v/>
      </c>
    </row>
    <row r="3965" spans="24:30" x14ac:dyDescent="0.25">
      <c r="X3965" s="8" t="e">
        <f>IF(Final_Sans_VGE[[#This Row],[ppn_z]]="","",IFERROR(
   IF(_xlfn.XLOOKUP(Final_Sans_VGE[[#This Row],[ppn_z]],tbl_Historique_Final[ppn_z],tbl_Historique_Final[date_modif])=Final_Sans_VGE[[#This Row],[date_modif]],
      "Ancien",
      "Modifié"),
   "Nouveau"))</f>
        <v>#VALUE!</v>
      </c>
      <c r="AD3965" s="1" t="str">
        <f>IFERROR(IF(Final_Sans_VGE[[#This Row],[ppn_z]]="","",IFERROR(
   IF(_xlfn.XLOOKUP(Final_Sans_VGE[[#This Row],[ppn_z]],tbl_Historique_Final[[#This Row],[ppn_z]],tbl_Historique_Final[[#This Row],[date_modif]])=Final_Sans_VGE[[#This Row],[date_modif]],
      "Ancien",
      "Modifié"),
   "Nouveau")),"")</f>
        <v/>
      </c>
    </row>
    <row r="3966" spans="24:30" x14ac:dyDescent="0.25">
      <c r="X3966" s="8" t="e">
        <f>IF(Final_Sans_VGE[[#This Row],[ppn_z]]="","",IFERROR(
   IF(_xlfn.XLOOKUP(Final_Sans_VGE[[#This Row],[ppn_z]],tbl_Historique_Final[ppn_z],tbl_Historique_Final[date_modif])=Final_Sans_VGE[[#This Row],[date_modif]],
      "Ancien",
      "Modifié"),
   "Nouveau"))</f>
        <v>#VALUE!</v>
      </c>
      <c r="AD3966" s="1" t="str">
        <f>IFERROR(IF(Final_Sans_VGE[[#This Row],[ppn_z]]="","",IFERROR(
   IF(_xlfn.XLOOKUP(Final_Sans_VGE[[#This Row],[ppn_z]],tbl_Historique_Final[[#This Row],[ppn_z]],tbl_Historique_Final[[#This Row],[date_modif]])=Final_Sans_VGE[[#This Row],[date_modif]],
      "Ancien",
      "Modifié"),
   "Nouveau")),"")</f>
        <v/>
      </c>
    </row>
    <row r="3967" spans="24:30" x14ac:dyDescent="0.25">
      <c r="X3967" s="8" t="e">
        <f>IF(Final_Sans_VGE[[#This Row],[ppn_z]]="","",IFERROR(
   IF(_xlfn.XLOOKUP(Final_Sans_VGE[[#This Row],[ppn_z]],tbl_Historique_Final[ppn_z],tbl_Historique_Final[date_modif])=Final_Sans_VGE[[#This Row],[date_modif]],
      "Ancien",
      "Modifié"),
   "Nouveau"))</f>
        <v>#VALUE!</v>
      </c>
      <c r="AD3967" s="1" t="str">
        <f>IFERROR(IF(Final_Sans_VGE[[#This Row],[ppn_z]]="","",IFERROR(
   IF(_xlfn.XLOOKUP(Final_Sans_VGE[[#This Row],[ppn_z]],tbl_Historique_Final[[#This Row],[ppn_z]],tbl_Historique_Final[[#This Row],[date_modif]])=Final_Sans_VGE[[#This Row],[date_modif]],
      "Ancien",
      "Modifié"),
   "Nouveau")),"")</f>
        <v/>
      </c>
    </row>
    <row r="3968" spans="24:30" x14ac:dyDescent="0.25">
      <c r="X3968" s="8" t="e">
        <f>IF(Final_Sans_VGE[[#This Row],[ppn_z]]="","",IFERROR(
   IF(_xlfn.XLOOKUP(Final_Sans_VGE[[#This Row],[ppn_z]],tbl_Historique_Final[ppn_z],tbl_Historique_Final[date_modif])=Final_Sans_VGE[[#This Row],[date_modif]],
      "Ancien",
      "Modifié"),
   "Nouveau"))</f>
        <v>#VALUE!</v>
      </c>
      <c r="AD3968" s="1" t="str">
        <f>IFERROR(IF(Final_Sans_VGE[[#This Row],[ppn_z]]="","",IFERROR(
   IF(_xlfn.XLOOKUP(Final_Sans_VGE[[#This Row],[ppn_z]],tbl_Historique_Final[[#This Row],[ppn_z]],tbl_Historique_Final[[#This Row],[date_modif]])=Final_Sans_VGE[[#This Row],[date_modif]],
      "Ancien",
      "Modifié"),
   "Nouveau")),"")</f>
        <v/>
      </c>
    </row>
    <row r="3969" spans="24:30" x14ac:dyDescent="0.25">
      <c r="X3969" s="8" t="e">
        <f>IF(Final_Sans_VGE[[#This Row],[ppn_z]]="","",IFERROR(
   IF(_xlfn.XLOOKUP(Final_Sans_VGE[[#This Row],[ppn_z]],tbl_Historique_Final[ppn_z],tbl_Historique_Final[date_modif])=Final_Sans_VGE[[#This Row],[date_modif]],
      "Ancien",
      "Modifié"),
   "Nouveau"))</f>
        <v>#VALUE!</v>
      </c>
      <c r="AD3969" s="1" t="str">
        <f>IFERROR(IF(Final_Sans_VGE[[#This Row],[ppn_z]]="","",IFERROR(
   IF(_xlfn.XLOOKUP(Final_Sans_VGE[[#This Row],[ppn_z]],tbl_Historique_Final[[#This Row],[ppn_z]],tbl_Historique_Final[[#This Row],[date_modif]])=Final_Sans_VGE[[#This Row],[date_modif]],
      "Ancien",
      "Modifié"),
   "Nouveau")),"")</f>
        <v/>
      </c>
    </row>
    <row r="3970" spans="24:30" x14ac:dyDescent="0.25">
      <c r="X3970" s="8" t="e">
        <f>IF(Final_Sans_VGE[[#This Row],[ppn_z]]="","",IFERROR(
   IF(_xlfn.XLOOKUP(Final_Sans_VGE[[#This Row],[ppn_z]],tbl_Historique_Final[ppn_z],tbl_Historique_Final[date_modif])=Final_Sans_VGE[[#This Row],[date_modif]],
      "Ancien",
      "Modifié"),
   "Nouveau"))</f>
        <v>#VALUE!</v>
      </c>
      <c r="AD3970" s="1" t="str">
        <f>IFERROR(IF(Final_Sans_VGE[[#This Row],[ppn_z]]="","",IFERROR(
   IF(_xlfn.XLOOKUP(Final_Sans_VGE[[#This Row],[ppn_z]],tbl_Historique_Final[[#This Row],[ppn_z]],tbl_Historique_Final[[#This Row],[date_modif]])=Final_Sans_VGE[[#This Row],[date_modif]],
      "Ancien",
      "Modifié"),
   "Nouveau")),"")</f>
        <v/>
      </c>
    </row>
    <row r="3971" spans="24:30" x14ac:dyDescent="0.25">
      <c r="X3971" s="8" t="e">
        <f>IF(Final_Sans_VGE[[#This Row],[ppn_z]]="","",IFERROR(
   IF(_xlfn.XLOOKUP(Final_Sans_VGE[[#This Row],[ppn_z]],tbl_Historique_Final[ppn_z],tbl_Historique_Final[date_modif])=Final_Sans_VGE[[#This Row],[date_modif]],
      "Ancien",
      "Modifié"),
   "Nouveau"))</f>
        <v>#VALUE!</v>
      </c>
      <c r="AD3971" s="1" t="str">
        <f>IFERROR(IF(Final_Sans_VGE[[#This Row],[ppn_z]]="","",IFERROR(
   IF(_xlfn.XLOOKUP(Final_Sans_VGE[[#This Row],[ppn_z]],tbl_Historique_Final[[#This Row],[ppn_z]],tbl_Historique_Final[[#This Row],[date_modif]])=Final_Sans_VGE[[#This Row],[date_modif]],
      "Ancien",
      "Modifié"),
   "Nouveau")),"")</f>
        <v/>
      </c>
    </row>
    <row r="3972" spans="24:30" x14ac:dyDescent="0.25">
      <c r="X3972" s="8" t="e">
        <f>IF(Final_Sans_VGE[[#This Row],[ppn_z]]="","",IFERROR(
   IF(_xlfn.XLOOKUP(Final_Sans_VGE[[#This Row],[ppn_z]],tbl_Historique_Final[ppn_z],tbl_Historique_Final[date_modif])=Final_Sans_VGE[[#This Row],[date_modif]],
      "Ancien",
      "Modifié"),
   "Nouveau"))</f>
        <v>#VALUE!</v>
      </c>
      <c r="AD3972" s="1" t="str">
        <f>IFERROR(IF(Final_Sans_VGE[[#This Row],[ppn_z]]="","",IFERROR(
   IF(_xlfn.XLOOKUP(Final_Sans_VGE[[#This Row],[ppn_z]],tbl_Historique_Final[[#This Row],[ppn_z]],tbl_Historique_Final[[#This Row],[date_modif]])=Final_Sans_VGE[[#This Row],[date_modif]],
      "Ancien",
      "Modifié"),
   "Nouveau")),"")</f>
        <v/>
      </c>
    </row>
    <row r="3973" spans="24:30" x14ac:dyDescent="0.25">
      <c r="X3973" s="8" t="e">
        <f>IF(Final_Sans_VGE[[#This Row],[ppn_z]]="","",IFERROR(
   IF(_xlfn.XLOOKUP(Final_Sans_VGE[[#This Row],[ppn_z]],tbl_Historique_Final[ppn_z],tbl_Historique_Final[date_modif])=Final_Sans_VGE[[#This Row],[date_modif]],
      "Ancien",
      "Modifié"),
   "Nouveau"))</f>
        <v>#VALUE!</v>
      </c>
      <c r="AD3973" s="1" t="str">
        <f>IFERROR(IF(Final_Sans_VGE[[#This Row],[ppn_z]]="","",IFERROR(
   IF(_xlfn.XLOOKUP(Final_Sans_VGE[[#This Row],[ppn_z]],tbl_Historique_Final[[#This Row],[ppn_z]],tbl_Historique_Final[[#This Row],[date_modif]])=Final_Sans_VGE[[#This Row],[date_modif]],
      "Ancien",
      "Modifié"),
   "Nouveau")),"")</f>
        <v/>
      </c>
    </row>
    <row r="3974" spans="24:30" x14ac:dyDescent="0.25">
      <c r="X3974" s="8" t="e">
        <f>IF(Final_Sans_VGE[[#This Row],[ppn_z]]="","",IFERROR(
   IF(_xlfn.XLOOKUP(Final_Sans_VGE[[#This Row],[ppn_z]],tbl_Historique_Final[ppn_z],tbl_Historique_Final[date_modif])=Final_Sans_VGE[[#This Row],[date_modif]],
      "Ancien",
      "Modifié"),
   "Nouveau"))</f>
        <v>#VALUE!</v>
      </c>
      <c r="AD3974" s="1" t="str">
        <f>IFERROR(IF(Final_Sans_VGE[[#This Row],[ppn_z]]="","",IFERROR(
   IF(_xlfn.XLOOKUP(Final_Sans_VGE[[#This Row],[ppn_z]],tbl_Historique_Final[[#This Row],[ppn_z]],tbl_Historique_Final[[#This Row],[date_modif]])=Final_Sans_VGE[[#This Row],[date_modif]],
      "Ancien",
      "Modifié"),
   "Nouveau")),"")</f>
        <v/>
      </c>
    </row>
    <row r="3975" spans="24:30" x14ac:dyDescent="0.25">
      <c r="X3975" s="8" t="e">
        <f>IF(Final_Sans_VGE[[#This Row],[ppn_z]]="","",IFERROR(
   IF(_xlfn.XLOOKUP(Final_Sans_VGE[[#This Row],[ppn_z]],tbl_Historique_Final[ppn_z],tbl_Historique_Final[date_modif])=Final_Sans_VGE[[#This Row],[date_modif]],
      "Ancien",
      "Modifié"),
   "Nouveau"))</f>
        <v>#VALUE!</v>
      </c>
      <c r="AD3975" s="1" t="str">
        <f>IFERROR(IF(Final_Sans_VGE[[#This Row],[ppn_z]]="","",IFERROR(
   IF(_xlfn.XLOOKUP(Final_Sans_VGE[[#This Row],[ppn_z]],tbl_Historique_Final[[#This Row],[ppn_z]],tbl_Historique_Final[[#This Row],[date_modif]])=Final_Sans_VGE[[#This Row],[date_modif]],
      "Ancien",
      "Modifié"),
   "Nouveau")),"")</f>
        <v/>
      </c>
    </row>
    <row r="3976" spans="24:30" x14ac:dyDescent="0.25">
      <c r="X3976" s="8" t="e">
        <f>IF(Final_Sans_VGE[[#This Row],[ppn_z]]="","",IFERROR(
   IF(_xlfn.XLOOKUP(Final_Sans_VGE[[#This Row],[ppn_z]],tbl_Historique_Final[ppn_z],tbl_Historique_Final[date_modif])=Final_Sans_VGE[[#This Row],[date_modif]],
      "Ancien",
      "Modifié"),
   "Nouveau"))</f>
        <v>#VALUE!</v>
      </c>
      <c r="AD3976" s="1" t="str">
        <f>IFERROR(IF(Final_Sans_VGE[[#This Row],[ppn_z]]="","",IFERROR(
   IF(_xlfn.XLOOKUP(Final_Sans_VGE[[#This Row],[ppn_z]],tbl_Historique_Final[[#This Row],[ppn_z]],tbl_Historique_Final[[#This Row],[date_modif]])=Final_Sans_VGE[[#This Row],[date_modif]],
      "Ancien",
      "Modifié"),
   "Nouveau")),"")</f>
        <v/>
      </c>
    </row>
    <row r="3977" spans="24:30" x14ac:dyDescent="0.25">
      <c r="X3977" s="8" t="e">
        <f>IF(Final_Sans_VGE[[#This Row],[ppn_z]]="","",IFERROR(
   IF(_xlfn.XLOOKUP(Final_Sans_VGE[[#This Row],[ppn_z]],tbl_Historique_Final[ppn_z],tbl_Historique_Final[date_modif])=Final_Sans_VGE[[#This Row],[date_modif]],
      "Ancien",
      "Modifié"),
   "Nouveau"))</f>
        <v>#VALUE!</v>
      </c>
      <c r="AD3977" s="1" t="str">
        <f>IFERROR(IF(Final_Sans_VGE[[#This Row],[ppn_z]]="","",IFERROR(
   IF(_xlfn.XLOOKUP(Final_Sans_VGE[[#This Row],[ppn_z]],tbl_Historique_Final[[#This Row],[ppn_z]],tbl_Historique_Final[[#This Row],[date_modif]])=Final_Sans_VGE[[#This Row],[date_modif]],
      "Ancien",
      "Modifié"),
   "Nouveau")),"")</f>
        <v/>
      </c>
    </row>
    <row r="3978" spans="24:30" x14ac:dyDescent="0.25">
      <c r="X3978" s="8" t="e">
        <f>IF(Final_Sans_VGE[[#This Row],[ppn_z]]="","",IFERROR(
   IF(_xlfn.XLOOKUP(Final_Sans_VGE[[#This Row],[ppn_z]],tbl_Historique_Final[ppn_z],tbl_Historique_Final[date_modif])=Final_Sans_VGE[[#This Row],[date_modif]],
      "Ancien",
      "Modifié"),
   "Nouveau"))</f>
        <v>#VALUE!</v>
      </c>
      <c r="AD3978" s="1" t="str">
        <f>IFERROR(IF(Final_Sans_VGE[[#This Row],[ppn_z]]="","",IFERROR(
   IF(_xlfn.XLOOKUP(Final_Sans_VGE[[#This Row],[ppn_z]],tbl_Historique_Final[[#This Row],[ppn_z]],tbl_Historique_Final[[#This Row],[date_modif]])=Final_Sans_VGE[[#This Row],[date_modif]],
      "Ancien",
      "Modifié"),
   "Nouveau")),"")</f>
        <v/>
      </c>
    </row>
    <row r="3979" spans="24:30" x14ac:dyDescent="0.25">
      <c r="X3979" s="8" t="e">
        <f>IF(Final_Sans_VGE[[#This Row],[ppn_z]]="","",IFERROR(
   IF(_xlfn.XLOOKUP(Final_Sans_VGE[[#This Row],[ppn_z]],tbl_Historique_Final[ppn_z],tbl_Historique_Final[date_modif])=Final_Sans_VGE[[#This Row],[date_modif]],
      "Ancien",
      "Modifié"),
   "Nouveau"))</f>
        <v>#VALUE!</v>
      </c>
      <c r="AD3979" s="1" t="str">
        <f>IFERROR(IF(Final_Sans_VGE[[#This Row],[ppn_z]]="","",IFERROR(
   IF(_xlfn.XLOOKUP(Final_Sans_VGE[[#This Row],[ppn_z]],tbl_Historique_Final[[#This Row],[ppn_z]],tbl_Historique_Final[[#This Row],[date_modif]])=Final_Sans_VGE[[#This Row],[date_modif]],
      "Ancien",
      "Modifié"),
   "Nouveau")),"")</f>
        <v/>
      </c>
    </row>
    <row r="3980" spans="24:30" x14ac:dyDescent="0.25">
      <c r="X3980" s="8" t="e">
        <f>IF(Final_Sans_VGE[[#This Row],[ppn_z]]="","",IFERROR(
   IF(_xlfn.XLOOKUP(Final_Sans_VGE[[#This Row],[ppn_z]],tbl_Historique_Final[ppn_z],tbl_Historique_Final[date_modif])=Final_Sans_VGE[[#This Row],[date_modif]],
      "Ancien",
      "Modifié"),
   "Nouveau"))</f>
        <v>#VALUE!</v>
      </c>
      <c r="AD3980" s="1" t="str">
        <f>IFERROR(IF(Final_Sans_VGE[[#This Row],[ppn_z]]="","",IFERROR(
   IF(_xlfn.XLOOKUP(Final_Sans_VGE[[#This Row],[ppn_z]],tbl_Historique_Final[[#This Row],[ppn_z]],tbl_Historique_Final[[#This Row],[date_modif]])=Final_Sans_VGE[[#This Row],[date_modif]],
      "Ancien",
      "Modifié"),
   "Nouveau")),"")</f>
        <v/>
      </c>
    </row>
    <row r="3981" spans="24:30" x14ac:dyDescent="0.25">
      <c r="X3981" s="8" t="e">
        <f>IF(Final_Sans_VGE[[#This Row],[ppn_z]]="","",IFERROR(
   IF(_xlfn.XLOOKUP(Final_Sans_VGE[[#This Row],[ppn_z]],tbl_Historique_Final[ppn_z],tbl_Historique_Final[date_modif])=Final_Sans_VGE[[#This Row],[date_modif]],
      "Ancien",
      "Modifié"),
   "Nouveau"))</f>
        <v>#VALUE!</v>
      </c>
      <c r="AD3981" s="1" t="str">
        <f>IFERROR(IF(Final_Sans_VGE[[#This Row],[ppn_z]]="","",IFERROR(
   IF(_xlfn.XLOOKUP(Final_Sans_VGE[[#This Row],[ppn_z]],tbl_Historique_Final[[#This Row],[ppn_z]],tbl_Historique_Final[[#This Row],[date_modif]])=Final_Sans_VGE[[#This Row],[date_modif]],
      "Ancien",
      "Modifié"),
   "Nouveau")),"")</f>
        <v/>
      </c>
    </row>
    <row r="3982" spans="24:30" x14ac:dyDescent="0.25">
      <c r="X3982" s="8" t="e">
        <f>IF(Final_Sans_VGE[[#This Row],[ppn_z]]="","",IFERROR(
   IF(_xlfn.XLOOKUP(Final_Sans_VGE[[#This Row],[ppn_z]],tbl_Historique_Final[ppn_z],tbl_Historique_Final[date_modif])=Final_Sans_VGE[[#This Row],[date_modif]],
      "Ancien",
      "Modifié"),
   "Nouveau"))</f>
        <v>#VALUE!</v>
      </c>
      <c r="AD3982" s="1" t="str">
        <f>IFERROR(IF(Final_Sans_VGE[[#This Row],[ppn_z]]="","",IFERROR(
   IF(_xlfn.XLOOKUP(Final_Sans_VGE[[#This Row],[ppn_z]],tbl_Historique_Final[[#This Row],[ppn_z]],tbl_Historique_Final[[#This Row],[date_modif]])=Final_Sans_VGE[[#This Row],[date_modif]],
      "Ancien",
      "Modifié"),
   "Nouveau")),"")</f>
        <v/>
      </c>
    </row>
    <row r="3983" spans="24:30" x14ac:dyDescent="0.25">
      <c r="X3983" s="8" t="e">
        <f>IF(Final_Sans_VGE[[#This Row],[ppn_z]]="","",IFERROR(
   IF(_xlfn.XLOOKUP(Final_Sans_VGE[[#This Row],[ppn_z]],tbl_Historique_Final[ppn_z],tbl_Historique_Final[date_modif])=Final_Sans_VGE[[#This Row],[date_modif]],
      "Ancien",
      "Modifié"),
   "Nouveau"))</f>
        <v>#VALUE!</v>
      </c>
      <c r="AD3983" s="1" t="str">
        <f>IFERROR(IF(Final_Sans_VGE[[#This Row],[ppn_z]]="","",IFERROR(
   IF(_xlfn.XLOOKUP(Final_Sans_VGE[[#This Row],[ppn_z]],tbl_Historique_Final[[#This Row],[ppn_z]],tbl_Historique_Final[[#This Row],[date_modif]])=Final_Sans_VGE[[#This Row],[date_modif]],
      "Ancien",
      "Modifié"),
   "Nouveau")),"")</f>
        <v/>
      </c>
    </row>
    <row r="3984" spans="24:30" x14ac:dyDescent="0.25">
      <c r="X3984" s="8" t="e">
        <f>IF(Final_Sans_VGE[[#This Row],[ppn_z]]="","",IFERROR(
   IF(_xlfn.XLOOKUP(Final_Sans_VGE[[#This Row],[ppn_z]],tbl_Historique_Final[ppn_z],tbl_Historique_Final[date_modif])=Final_Sans_VGE[[#This Row],[date_modif]],
      "Ancien",
      "Modifié"),
   "Nouveau"))</f>
        <v>#VALUE!</v>
      </c>
      <c r="AD3984" s="1" t="str">
        <f>IFERROR(IF(Final_Sans_VGE[[#This Row],[ppn_z]]="","",IFERROR(
   IF(_xlfn.XLOOKUP(Final_Sans_VGE[[#This Row],[ppn_z]],tbl_Historique_Final[[#This Row],[ppn_z]],tbl_Historique_Final[[#This Row],[date_modif]])=Final_Sans_VGE[[#This Row],[date_modif]],
      "Ancien",
      "Modifié"),
   "Nouveau")),"")</f>
        <v/>
      </c>
    </row>
    <row r="3985" spans="24:30" x14ac:dyDescent="0.25">
      <c r="X3985" s="8" t="e">
        <f>IF(Final_Sans_VGE[[#This Row],[ppn_z]]="","",IFERROR(
   IF(_xlfn.XLOOKUP(Final_Sans_VGE[[#This Row],[ppn_z]],tbl_Historique_Final[ppn_z],tbl_Historique_Final[date_modif])=Final_Sans_VGE[[#This Row],[date_modif]],
      "Ancien",
      "Modifié"),
   "Nouveau"))</f>
        <v>#VALUE!</v>
      </c>
      <c r="AD3985" s="1" t="str">
        <f>IFERROR(IF(Final_Sans_VGE[[#This Row],[ppn_z]]="","",IFERROR(
   IF(_xlfn.XLOOKUP(Final_Sans_VGE[[#This Row],[ppn_z]],tbl_Historique_Final[[#This Row],[ppn_z]],tbl_Historique_Final[[#This Row],[date_modif]])=Final_Sans_VGE[[#This Row],[date_modif]],
      "Ancien",
      "Modifié"),
   "Nouveau")),"")</f>
        <v/>
      </c>
    </row>
    <row r="3986" spans="24:30" x14ac:dyDescent="0.25">
      <c r="X3986" s="8" t="e">
        <f>IF(Final_Sans_VGE[[#This Row],[ppn_z]]="","",IFERROR(
   IF(_xlfn.XLOOKUP(Final_Sans_VGE[[#This Row],[ppn_z]],tbl_Historique_Final[ppn_z],tbl_Historique_Final[date_modif])=Final_Sans_VGE[[#This Row],[date_modif]],
      "Ancien",
      "Modifié"),
   "Nouveau"))</f>
        <v>#VALUE!</v>
      </c>
      <c r="AD3986" s="1" t="str">
        <f>IFERROR(IF(Final_Sans_VGE[[#This Row],[ppn_z]]="","",IFERROR(
   IF(_xlfn.XLOOKUP(Final_Sans_VGE[[#This Row],[ppn_z]],tbl_Historique_Final[[#This Row],[ppn_z]],tbl_Historique_Final[[#This Row],[date_modif]])=Final_Sans_VGE[[#This Row],[date_modif]],
      "Ancien",
      "Modifié"),
   "Nouveau")),"")</f>
        <v/>
      </c>
    </row>
    <row r="3987" spans="24:30" x14ac:dyDescent="0.25">
      <c r="X3987" s="8" t="e">
        <f>IF(Final_Sans_VGE[[#This Row],[ppn_z]]="","",IFERROR(
   IF(_xlfn.XLOOKUP(Final_Sans_VGE[[#This Row],[ppn_z]],tbl_Historique_Final[ppn_z],tbl_Historique_Final[date_modif])=Final_Sans_VGE[[#This Row],[date_modif]],
      "Ancien",
      "Modifié"),
   "Nouveau"))</f>
        <v>#VALUE!</v>
      </c>
      <c r="AD3987" s="1" t="str">
        <f>IFERROR(IF(Final_Sans_VGE[[#This Row],[ppn_z]]="","",IFERROR(
   IF(_xlfn.XLOOKUP(Final_Sans_VGE[[#This Row],[ppn_z]],tbl_Historique_Final[[#This Row],[ppn_z]],tbl_Historique_Final[[#This Row],[date_modif]])=Final_Sans_VGE[[#This Row],[date_modif]],
      "Ancien",
      "Modifié"),
   "Nouveau")),"")</f>
        <v/>
      </c>
    </row>
    <row r="3988" spans="24:30" x14ac:dyDescent="0.25">
      <c r="X3988" s="8" t="e">
        <f>IF(Final_Sans_VGE[[#This Row],[ppn_z]]="","",IFERROR(
   IF(_xlfn.XLOOKUP(Final_Sans_VGE[[#This Row],[ppn_z]],tbl_Historique_Final[ppn_z],tbl_Historique_Final[date_modif])=Final_Sans_VGE[[#This Row],[date_modif]],
      "Ancien",
      "Modifié"),
   "Nouveau"))</f>
        <v>#VALUE!</v>
      </c>
      <c r="AD3988" s="1" t="str">
        <f>IFERROR(IF(Final_Sans_VGE[[#This Row],[ppn_z]]="","",IFERROR(
   IF(_xlfn.XLOOKUP(Final_Sans_VGE[[#This Row],[ppn_z]],tbl_Historique_Final[[#This Row],[ppn_z]],tbl_Historique_Final[[#This Row],[date_modif]])=Final_Sans_VGE[[#This Row],[date_modif]],
      "Ancien",
      "Modifié"),
   "Nouveau")),"")</f>
        <v/>
      </c>
    </row>
    <row r="3989" spans="24:30" x14ac:dyDescent="0.25">
      <c r="X3989" s="8" t="e">
        <f>IF(Final_Sans_VGE[[#This Row],[ppn_z]]="","",IFERROR(
   IF(_xlfn.XLOOKUP(Final_Sans_VGE[[#This Row],[ppn_z]],tbl_Historique_Final[ppn_z],tbl_Historique_Final[date_modif])=Final_Sans_VGE[[#This Row],[date_modif]],
      "Ancien",
      "Modifié"),
   "Nouveau"))</f>
        <v>#VALUE!</v>
      </c>
      <c r="AD3989" s="1" t="str">
        <f>IFERROR(IF(Final_Sans_VGE[[#This Row],[ppn_z]]="","",IFERROR(
   IF(_xlfn.XLOOKUP(Final_Sans_VGE[[#This Row],[ppn_z]],tbl_Historique_Final[[#This Row],[ppn_z]],tbl_Historique_Final[[#This Row],[date_modif]])=Final_Sans_VGE[[#This Row],[date_modif]],
      "Ancien",
      "Modifié"),
   "Nouveau")),"")</f>
        <v/>
      </c>
    </row>
    <row r="3990" spans="24:30" x14ac:dyDescent="0.25">
      <c r="X3990" s="8" t="e">
        <f>IF(Final_Sans_VGE[[#This Row],[ppn_z]]="","",IFERROR(
   IF(_xlfn.XLOOKUP(Final_Sans_VGE[[#This Row],[ppn_z]],tbl_Historique_Final[ppn_z],tbl_Historique_Final[date_modif])=Final_Sans_VGE[[#This Row],[date_modif]],
      "Ancien",
      "Modifié"),
   "Nouveau"))</f>
        <v>#VALUE!</v>
      </c>
      <c r="AD3990" s="1" t="str">
        <f>IFERROR(IF(Final_Sans_VGE[[#This Row],[ppn_z]]="","",IFERROR(
   IF(_xlfn.XLOOKUP(Final_Sans_VGE[[#This Row],[ppn_z]],tbl_Historique_Final[[#This Row],[ppn_z]],tbl_Historique_Final[[#This Row],[date_modif]])=Final_Sans_VGE[[#This Row],[date_modif]],
      "Ancien",
      "Modifié"),
   "Nouveau")),"")</f>
        <v/>
      </c>
    </row>
    <row r="3991" spans="24:30" x14ac:dyDescent="0.25">
      <c r="X3991" s="8" t="e">
        <f>IF(Final_Sans_VGE[[#This Row],[ppn_z]]="","",IFERROR(
   IF(_xlfn.XLOOKUP(Final_Sans_VGE[[#This Row],[ppn_z]],tbl_Historique_Final[ppn_z],tbl_Historique_Final[date_modif])=Final_Sans_VGE[[#This Row],[date_modif]],
      "Ancien",
      "Modifié"),
   "Nouveau"))</f>
        <v>#VALUE!</v>
      </c>
      <c r="AD3991" s="1" t="str">
        <f>IFERROR(IF(Final_Sans_VGE[[#This Row],[ppn_z]]="","",IFERROR(
   IF(_xlfn.XLOOKUP(Final_Sans_VGE[[#This Row],[ppn_z]],tbl_Historique_Final[[#This Row],[ppn_z]],tbl_Historique_Final[[#This Row],[date_modif]])=Final_Sans_VGE[[#This Row],[date_modif]],
      "Ancien",
      "Modifié"),
   "Nouveau")),"")</f>
        <v/>
      </c>
    </row>
    <row r="3992" spans="24:30" x14ac:dyDescent="0.25">
      <c r="X3992" s="8" t="e">
        <f>IF(Final_Sans_VGE[[#This Row],[ppn_z]]="","",IFERROR(
   IF(_xlfn.XLOOKUP(Final_Sans_VGE[[#This Row],[ppn_z]],tbl_Historique_Final[ppn_z],tbl_Historique_Final[date_modif])=Final_Sans_VGE[[#This Row],[date_modif]],
      "Ancien",
      "Modifié"),
   "Nouveau"))</f>
        <v>#VALUE!</v>
      </c>
      <c r="AD3992" s="1" t="str">
        <f>IFERROR(IF(Final_Sans_VGE[[#This Row],[ppn_z]]="","",IFERROR(
   IF(_xlfn.XLOOKUP(Final_Sans_VGE[[#This Row],[ppn_z]],tbl_Historique_Final[[#This Row],[ppn_z]],tbl_Historique_Final[[#This Row],[date_modif]])=Final_Sans_VGE[[#This Row],[date_modif]],
      "Ancien",
      "Modifié"),
   "Nouveau")),"")</f>
        <v/>
      </c>
    </row>
    <row r="3993" spans="24:30" x14ac:dyDescent="0.25">
      <c r="X3993" s="8" t="e">
        <f>IF(Final_Sans_VGE[[#This Row],[ppn_z]]="","",IFERROR(
   IF(_xlfn.XLOOKUP(Final_Sans_VGE[[#This Row],[ppn_z]],tbl_Historique_Final[ppn_z],tbl_Historique_Final[date_modif])=Final_Sans_VGE[[#This Row],[date_modif]],
      "Ancien",
      "Modifié"),
   "Nouveau"))</f>
        <v>#VALUE!</v>
      </c>
      <c r="AD3993" s="1" t="str">
        <f>IFERROR(IF(Final_Sans_VGE[[#This Row],[ppn_z]]="","",IFERROR(
   IF(_xlfn.XLOOKUP(Final_Sans_VGE[[#This Row],[ppn_z]],tbl_Historique_Final[[#This Row],[ppn_z]],tbl_Historique_Final[[#This Row],[date_modif]])=Final_Sans_VGE[[#This Row],[date_modif]],
      "Ancien",
      "Modifié"),
   "Nouveau")),"")</f>
        <v/>
      </c>
    </row>
    <row r="3994" spans="24:30" x14ac:dyDescent="0.25">
      <c r="X3994" s="8" t="e">
        <f>IF(Final_Sans_VGE[[#This Row],[ppn_z]]="","",IFERROR(
   IF(_xlfn.XLOOKUP(Final_Sans_VGE[[#This Row],[ppn_z]],tbl_Historique_Final[ppn_z],tbl_Historique_Final[date_modif])=Final_Sans_VGE[[#This Row],[date_modif]],
      "Ancien",
      "Modifié"),
   "Nouveau"))</f>
        <v>#VALUE!</v>
      </c>
      <c r="AD3994" s="1" t="str">
        <f>IFERROR(IF(Final_Sans_VGE[[#This Row],[ppn_z]]="","",IFERROR(
   IF(_xlfn.XLOOKUP(Final_Sans_VGE[[#This Row],[ppn_z]],tbl_Historique_Final[[#This Row],[ppn_z]],tbl_Historique_Final[[#This Row],[date_modif]])=Final_Sans_VGE[[#This Row],[date_modif]],
      "Ancien",
      "Modifié"),
   "Nouveau")),"")</f>
        <v/>
      </c>
    </row>
    <row r="3995" spans="24:30" x14ac:dyDescent="0.25">
      <c r="X3995" s="8" t="e">
        <f>IF(Final_Sans_VGE[[#This Row],[ppn_z]]="","",IFERROR(
   IF(_xlfn.XLOOKUP(Final_Sans_VGE[[#This Row],[ppn_z]],tbl_Historique_Final[ppn_z],tbl_Historique_Final[date_modif])=Final_Sans_VGE[[#This Row],[date_modif]],
      "Ancien",
      "Modifié"),
   "Nouveau"))</f>
        <v>#VALUE!</v>
      </c>
      <c r="AD3995" s="1" t="str">
        <f>IFERROR(IF(Final_Sans_VGE[[#This Row],[ppn_z]]="","",IFERROR(
   IF(_xlfn.XLOOKUP(Final_Sans_VGE[[#This Row],[ppn_z]],tbl_Historique_Final[[#This Row],[ppn_z]],tbl_Historique_Final[[#This Row],[date_modif]])=Final_Sans_VGE[[#This Row],[date_modif]],
      "Ancien",
      "Modifié"),
   "Nouveau")),"")</f>
        <v/>
      </c>
    </row>
    <row r="3996" spans="24:30" x14ac:dyDescent="0.25">
      <c r="X3996" s="8" t="e">
        <f>IF(Final_Sans_VGE[[#This Row],[ppn_z]]="","",IFERROR(
   IF(_xlfn.XLOOKUP(Final_Sans_VGE[[#This Row],[ppn_z]],tbl_Historique_Final[ppn_z],tbl_Historique_Final[date_modif])=Final_Sans_VGE[[#This Row],[date_modif]],
      "Ancien",
      "Modifié"),
   "Nouveau"))</f>
        <v>#VALUE!</v>
      </c>
      <c r="AD3996" s="1" t="str">
        <f>IFERROR(IF(Final_Sans_VGE[[#This Row],[ppn_z]]="","",IFERROR(
   IF(_xlfn.XLOOKUP(Final_Sans_VGE[[#This Row],[ppn_z]],tbl_Historique_Final[[#This Row],[ppn_z]],tbl_Historique_Final[[#This Row],[date_modif]])=Final_Sans_VGE[[#This Row],[date_modif]],
      "Ancien",
      "Modifié"),
   "Nouveau")),"")</f>
        <v/>
      </c>
    </row>
    <row r="3997" spans="24:30" x14ac:dyDescent="0.25">
      <c r="X3997" s="8" t="e">
        <f>IF(Final_Sans_VGE[[#This Row],[ppn_z]]="","",IFERROR(
   IF(_xlfn.XLOOKUP(Final_Sans_VGE[[#This Row],[ppn_z]],tbl_Historique_Final[ppn_z],tbl_Historique_Final[date_modif])=Final_Sans_VGE[[#This Row],[date_modif]],
      "Ancien",
      "Modifié"),
   "Nouveau"))</f>
        <v>#VALUE!</v>
      </c>
      <c r="AD3997" s="1" t="str">
        <f>IFERROR(IF(Final_Sans_VGE[[#This Row],[ppn_z]]="","",IFERROR(
   IF(_xlfn.XLOOKUP(Final_Sans_VGE[[#This Row],[ppn_z]],tbl_Historique_Final[[#This Row],[ppn_z]],tbl_Historique_Final[[#This Row],[date_modif]])=Final_Sans_VGE[[#This Row],[date_modif]],
      "Ancien",
      "Modifié"),
   "Nouveau")),"")</f>
        <v/>
      </c>
    </row>
    <row r="3998" spans="24:30" x14ac:dyDescent="0.25">
      <c r="X3998" s="8" t="e">
        <f>IF(Final_Sans_VGE[[#This Row],[ppn_z]]="","",IFERROR(
   IF(_xlfn.XLOOKUP(Final_Sans_VGE[[#This Row],[ppn_z]],tbl_Historique_Final[ppn_z],tbl_Historique_Final[date_modif])=Final_Sans_VGE[[#This Row],[date_modif]],
      "Ancien",
      "Modifié"),
   "Nouveau"))</f>
        <v>#VALUE!</v>
      </c>
      <c r="AD3998" s="1" t="str">
        <f>IFERROR(IF(Final_Sans_VGE[[#This Row],[ppn_z]]="","",IFERROR(
   IF(_xlfn.XLOOKUP(Final_Sans_VGE[[#This Row],[ppn_z]],tbl_Historique_Final[[#This Row],[ppn_z]],tbl_Historique_Final[[#This Row],[date_modif]])=Final_Sans_VGE[[#This Row],[date_modif]],
      "Ancien",
      "Modifié"),
   "Nouveau")),"")</f>
        <v/>
      </c>
    </row>
    <row r="3999" spans="24:30" x14ac:dyDescent="0.25">
      <c r="X3999" s="8" t="e">
        <f>IF(Final_Sans_VGE[[#This Row],[ppn_z]]="","",IFERROR(
   IF(_xlfn.XLOOKUP(Final_Sans_VGE[[#This Row],[ppn_z]],tbl_Historique_Final[ppn_z],tbl_Historique_Final[date_modif])=Final_Sans_VGE[[#This Row],[date_modif]],
      "Ancien",
      "Modifié"),
   "Nouveau"))</f>
        <v>#VALUE!</v>
      </c>
      <c r="AD3999" s="1" t="str">
        <f>IFERROR(IF(Final_Sans_VGE[[#This Row],[ppn_z]]="","",IFERROR(
   IF(_xlfn.XLOOKUP(Final_Sans_VGE[[#This Row],[ppn_z]],tbl_Historique_Final[[#This Row],[ppn_z]],tbl_Historique_Final[[#This Row],[date_modif]])=Final_Sans_VGE[[#This Row],[date_modif]],
      "Ancien",
      "Modifié"),
   "Nouveau")),"")</f>
        <v/>
      </c>
    </row>
    <row r="4000" spans="24:30" x14ac:dyDescent="0.25">
      <c r="X4000" s="8" t="e">
        <f>IF(Final_Sans_VGE[[#This Row],[ppn_z]]="","",IFERROR(
   IF(_xlfn.XLOOKUP(Final_Sans_VGE[[#This Row],[ppn_z]],tbl_Historique_Final[ppn_z],tbl_Historique_Final[date_modif])=Final_Sans_VGE[[#This Row],[date_modif]],
      "Ancien",
      "Modifié"),
   "Nouveau"))</f>
        <v>#VALUE!</v>
      </c>
      <c r="AD4000" s="1" t="str">
        <f>IFERROR(IF(Final_Sans_VGE[[#This Row],[ppn_z]]="","",IFERROR(
   IF(_xlfn.XLOOKUP(Final_Sans_VGE[[#This Row],[ppn_z]],tbl_Historique_Final[[#This Row],[ppn_z]],tbl_Historique_Final[[#This Row],[date_modif]])=Final_Sans_VGE[[#This Row],[date_modif]],
      "Ancien",
      "Modifié"),
   "Nouveau")),"")</f>
        <v/>
      </c>
    </row>
    <row r="4001" spans="24:30" x14ac:dyDescent="0.25">
      <c r="X4001" s="8" t="e">
        <f>IF(Final_Sans_VGE[[#This Row],[ppn_z]]="","",IFERROR(
   IF(_xlfn.XLOOKUP(Final_Sans_VGE[[#This Row],[ppn_z]],tbl_Historique_Final[ppn_z],tbl_Historique_Final[date_modif])=Final_Sans_VGE[[#This Row],[date_modif]],
      "Ancien",
      "Modifié"),
   "Nouveau"))</f>
        <v>#VALUE!</v>
      </c>
      <c r="AD4001" s="1" t="str">
        <f>IFERROR(IF(Final_Sans_VGE[[#This Row],[ppn_z]]="","",IFERROR(
   IF(_xlfn.XLOOKUP(Final_Sans_VGE[[#This Row],[ppn_z]],tbl_Historique_Final[[#This Row],[ppn_z]],tbl_Historique_Final[[#This Row],[date_modif]])=Final_Sans_VGE[[#This Row],[date_modif]],
      "Ancien",
      "Modifié"),
   "Nouveau")),"")</f>
        <v/>
      </c>
    </row>
    <row r="4002" spans="24:30" x14ac:dyDescent="0.25">
      <c r="X4002" s="8" t="e">
        <f>IF(Final_Sans_VGE[[#This Row],[ppn_z]]="","",IFERROR(
   IF(_xlfn.XLOOKUP(Final_Sans_VGE[[#This Row],[ppn_z]],tbl_Historique_Final[ppn_z],tbl_Historique_Final[date_modif])=Final_Sans_VGE[[#This Row],[date_modif]],
      "Ancien",
      "Modifié"),
   "Nouveau"))</f>
        <v>#VALUE!</v>
      </c>
      <c r="AD4002" s="1" t="str">
        <f>IFERROR(IF(Final_Sans_VGE[[#This Row],[ppn_z]]="","",IFERROR(
   IF(_xlfn.XLOOKUP(Final_Sans_VGE[[#This Row],[ppn_z]],tbl_Historique_Final[[#This Row],[ppn_z]],tbl_Historique_Final[[#This Row],[date_modif]])=Final_Sans_VGE[[#This Row],[date_modif]],
      "Ancien",
      "Modifié"),
   "Nouveau")),"")</f>
        <v/>
      </c>
    </row>
    <row r="4003" spans="24:30" x14ac:dyDescent="0.25">
      <c r="X4003" s="8" t="e">
        <f>IF(Final_Sans_VGE[[#This Row],[ppn_z]]="","",IFERROR(
   IF(_xlfn.XLOOKUP(Final_Sans_VGE[[#This Row],[ppn_z]],tbl_Historique_Final[ppn_z],tbl_Historique_Final[date_modif])=Final_Sans_VGE[[#This Row],[date_modif]],
      "Ancien",
      "Modifié"),
   "Nouveau"))</f>
        <v>#VALUE!</v>
      </c>
      <c r="AD4003" s="1" t="str">
        <f>IFERROR(IF(Final_Sans_VGE[[#This Row],[ppn_z]]="","",IFERROR(
   IF(_xlfn.XLOOKUP(Final_Sans_VGE[[#This Row],[ppn_z]],tbl_Historique_Final[[#This Row],[ppn_z]],tbl_Historique_Final[[#This Row],[date_modif]])=Final_Sans_VGE[[#This Row],[date_modif]],
      "Ancien",
      "Modifié"),
   "Nouveau")),"")</f>
        <v/>
      </c>
    </row>
    <row r="4004" spans="24:30" x14ac:dyDescent="0.25">
      <c r="X4004" s="8" t="e">
        <f>IF(Final_Sans_VGE[[#This Row],[ppn_z]]="","",IFERROR(
   IF(_xlfn.XLOOKUP(Final_Sans_VGE[[#This Row],[ppn_z]],tbl_Historique_Final[ppn_z],tbl_Historique_Final[date_modif])=Final_Sans_VGE[[#This Row],[date_modif]],
      "Ancien",
      "Modifié"),
   "Nouveau"))</f>
        <v>#VALUE!</v>
      </c>
      <c r="AD4004" s="1" t="str">
        <f>IFERROR(IF(Final_Sans_VGE[[#This Row],[ppn_z]]="","",IFERROR(
   IF(_xlfn.XLOOKUP(Final_Sans_VGE[[#This Row],[ppn_z]],tbl_Historique_Final[[#This Row],[ppn_z]],tbl_Historique_Final[[#This Row],[date_modif]])=Final_Sans_VGE[[#This Row],[date_modif]],
      "Ancien",
      "Modifié"),
   "Nouveau")),"")</f>
        <v/>
      </c>
    </row>
    <row r="4005" spans="24:30" x14ac:dyDescent="0.25">
      <c r="X4005" s="8" t="e">
        <f>IF(Final_Sans_VGE[[#This Row],[ppn_z]]="","",IFERROR(
   IF(_xlfn.XLOOKUP(Final_Sans_VGE[[#This Row],[ppn_z]],tbl_Historique_Final[ppn_z],tbl_Historique_Final[date_modif])=Final_Sans_VGE[[#This Row],[date_modif]],
      "Ancien",
      "Modifié"),
   "Nouveau"))</f>
        <v>#VALUE!</v>
      </c>
      <c r="AD4005" s="1" t="str">
        <f>IFERROR(IF(Final_Sans_VGE[[#This Row],[ppn_z]]="","",IFERROR(
   IF(_xlfn.XLOOKUP(Final_Sans_VGE[[#This Row],[ppn_z]],tbl_Historique_Final[[#This Row],[ppn_z]],tbl_Historique_Final[[#This Row],[date_modif]])=Final_Sans_VGE[[#This Row],[date_modif]],
      "Ancien",
      "Modifié"),
   "Nouveau")),"")</f>
        <v/>
      </c>
    </row>
    <row r="4006" spans="24:30" x14ac:dyDescent="0.25">
      <c r="X4006" s="8" t="e">
        <f>IF(Final_Sans_VGE[[#This Row],[ppn_z]]="","",IFERROR(
   IF(_xlfn.XLOOKUP(Final_Sans_VGE[[#This Row],[ppn_z]],tbl_Historique_Final[ppn_z],tbl_Historique_Final[date_modif])=Final_Sans_VGE[[#This Row],[date_modif]],
      "Ancien",
      "Modifié"),
   "Nouveau"))</f>
        <v>#VALUE!</v>
      </c>
      <c r="AD4006" s="1" t="str">
        <f>IFERROR(IF(Final_Sans_VGE[[#This Row],[ppn_z]]="","",IFERROR(
   IF(_xlfn.XLOOKUP(Final_Sans_VGE[[#This Row],[ppn_z]],tbl_Historique_Final[[#This Row],[ppn_z]],tbl_Historique_Final[[#This Row],[date_modif]])=Final_Sans_VGE[[#This Row],[date_modif]],
      "Ancien",
      "Modifié"),
   "Nouveau")),"")</f>
        <v/>
      </c>
    </row>
    <row r="4007" spans="24:30" x14ac:dyDescent="0.25">
      <c r="X4007" s="8" t="e">
        <f>IF(Final_Sans_VGE[[#This Row],[ppn_z]]="","",IFERROR(
   IF(_xlfn.XLOOKUP(Final_Sans_VGE[[#This Row],[ppn_z]],tbl_Historique_Final[ppn_z],tbl_Historique_Final[date_modif])=Final_Sans_VGE[[#This Row],[date_modif]],
      "Ancien",
      "Modifié"),
   "Nouveau"))</f>
        <v>#VALUE!</v>
      </c>
      <c r="AD4007" s="1" t="str">
        <f>IFERROR(IF(Final_Sans_VGE[[#This Row],[ppn_z]]="","",IFERROR(
   IF(_xlfn.XLOOKUP(Final_Sans_VGE[[#This Row],[ppn_z]],tbl_Historique_Final[[#This Row],[ppn_z]],tbl_Historique_Final[[#This Row],[date_modif]])=Final_Sans_VGE[[#This Row],[date_modif]],
      "Ancien",
      "Modifié"),
   "Nouveau")),"")</f>
        <v/>
      </c>
    </row>
    <row r="4008" spans="24:30" x14ac:dyDescent="0.25">
      <c r="X4008" s="8" t="e">
        <f>IF(Final_Sans_VGE[[#This Row],[ppn_z]]="","",IFERROR(
   IF(_xlfn.XLOOKUP(Final_Sans_VGE[[#This Row],[ppn_z]],tbl_Historique_Final[ppn_z],tbl_Historique_Final[date_modif])=Final_Sans_VGE[[#This Row],[date_modif]],
      "Ancien",
      "Modifié"),
   "Nouveau"))</f>
        <v>#VALUE!</v>
      </c>
      <c r="AD4008" s="1" t="str">
        <f>IFERROR(IF(Final_Sans_VGE[[#This Row],[ppn_z]]="","",IFERROR(
   IF(_xlfn.XLOOKUP(Final_Sans_VGE[[#This Row],[ppn_z]],tbl_Historique_Final[[#This Row],[ppn_z]],tbl_Historique_Final[[#This Row],[date_modif]])=Final_Sans_VGE[[#This Row],[date_modif]],
      "Ancien",
      "Modifié"),
   "Nouveau")),"")</f>
        <v/>
      </c>
    </row>
    <row r="4009" spans="24:30" x14ac:dyDescent="0.25">
      <c r="X4009" s="8" t="e">
        <f>IF(Final_Sans_VGE[[#This Row],[ppn_z]]="","",IFERROR(
   IF(_xlfn.XLOOKUP(Final_Sans_VGE[[#This Row],[ppn_z]],tbl_Historique_Final[ppn_z],tbl_Historique_Final[date_modif])=Final_Sans_VGE[[#This Row],[date_modif]],
      "Ancien",
      "Modifié"),
   "Nouveau"))</f>
        <v>#VALUE!</v>
      </c>
      <c r="AD4009" s="1" t="str">
        <f>IFERROR(IF(Final_Sans_VGE[[#This Row],[ppn_z]]="","",IFERROR(
   IF(_xlfn.XLOOKUP(Final_Sans_VGE[[#This Row],[ppn_z]],tbl_Historique_Final[[#This Row],[ppn_z]],tbl_Historique_Final[[#This Row],[date_modif]])=Final_Sans_VGE[[#This Row],[date_modif]],
      "Ancien",
      "Modifié"),
   "Nouveau")),"")</f>
        <v/>
      </c>
    </row>
    <row r="4010" spans="24:30" x14ac:dyDescent="0.25">
      <c r="X4010" s="8" t="e">
        <f>IF(Final_Sans_VGE[[#This Row],[ppn_z]]="","",IFERROR(
   IF(_xlfn.XLOOKUP(Final_Sans_VGE[[#This Row],[ppn_z]],tbl_Historique_Final[ppn_z],tbl_Historique_Final[date_modif])=Final_Sans_VGE[[#This Row],[date_modif]],
      "Ancien",
      "Modifié"),
   "Nouveau"))</f>
        <v>#VALUE!</v>
      </c>
      <c r="AD4010" s="1" t="str">
        <f>IFERROR(IF(Final_Sans_VGE[[#This Row],[ppn_z]]="","",IFERROR(
   IF(_xlfn.XLOOKUP(Final_Sans_VGE[[#This Row],[ppn_z]],tbl_Historique_Final[[#This Row],[ppn_z]],tbl_Historique_Final[[#This Row],[date_modif]])=Final_Sans_VGE[[#This Row],[date_modif]],
      "Ancien",
      "Modifié"),
   "Nouveau")),"")</f>
        <v/>
      </c>
    </row>
    <row r="4011" spans="24:30" x14ac:dyDescent="0.25">
      <c r="X4011" s="8" t="e">
        <f>IF(Final_Sans_VGE[[#This Row],[ppn_z]]="","",IFERROR(
   IF(_xlfn.XLOOKUP(Final_Sans_VGE[[#This Row],[ppn_z]],tbl_Historique_Final[ppn_z],tbl_Historique_Final[date_modif])=Final_Sans_VGE[[#This Row],[date_modif]],
      "Ancien",
      "Modifié"),
   "Nouveau"))</f>
        <v>#VALUE!</v>
      </c>
      <c r="AD4011" s="1" t="str">
        <f>IFERROR(IF(Final_Sans_VGE[[#This Row],[ppn_z]]="","",IFERROR(
   IF(_xlfn.XLOOKUP(Final_Sans_VGE[[#This Row],[ppn_z]],tbl_Historique_Final[[#This Row],[ppn_z]],tbl_Historique_Final[[#This Row],[date_modif]])=Final_Sans_VGE[[#This Row],[date_modif]],
      "Ancien",
      "Modifié"),
   "Nouveau")),"")</f>
        <v/>
      </c>
    </row>
    <row r="4012" spans="24:30" x14ac:dyDescent="0.25">
      <c r="X4012" s="8" t="e">
        <f>IF(Final_Sans_VGE[[#This Row],[ppn_z]]="","",IFERROR(
   IF(_xlfn.XLOOKUP(Final_Sans_VGE[[#This Row],[ppn_z]],tbl_Historique_Final[ppn_z],tbl_Historique_Final[date_modif])=Final_Sans_VGE[[#This Row],[date_modif]],
      "Ancien",
      "Modifié"),
   "Nouveau"))</f>
        <v>#VALUE!</v>
      </c>
      <c r="AD4012" s="1" t="str">
        <f>IFERROR(IF(Final_Sans_VGE[[#This Row],[ppn_z]]="","",IFERROR(
   IF(_xlfn.XLOOKUP(Final_Sans_VGE[[#This Row],[ppn_z]],tbl_Historique_Final[[#This Row],[ppn_z]],tbl_Historique_Final[[#This Row],[date_modif]])=Final_Sans_VGE[[#This Row],[date_modif]],
      "Ancien",
      "Modifié"),
   "Nouveau")),"")</f>
        <v/>
      </c>
    </row>
    <row r="4013" spans="24:30" x14ac:dyDescent="0.25">
      <c r="X4013" s="8" t="e">
        <f>IF(Final_Sans_VGE[[#This Row],[ppn_z]]="","",IFERROR(
   IF(_xlfn.XLOOKUP(Final_Sans_VGE[[#This Row],[ppn_z]],tbl_Historique_Final[ppn_z],tbl_Historique_Final[date_modif])=Final_Sans_VGE[[#This Row],[date_modif]],
      "Ancien",
      "Modifié"),
   "Nouveau"))</f>
        <v>#VALUE!</v>
      </c>
      <c r="AD4013" s="1" t="str">
        <f>IFERROR(IF(Final_Sans_VGE[[#This Row],[ppn_z]]="","",IFERROR(
   IF(_xlfn.XLOOKUP(Final_Sans_VGE[[#This Row],[ppn_z]],tbl_Historique_Final[[#This Row],[ppn_z]],tbl_Historique_Final[[#This Row],[date_modif]])=Final_Sans_VGE[[#This Row],[date_modif]],
      "Ancien",
      "Modifié"),
   "Nouveau")),"")</f>
        <v/>
      </c>
    </row>
    <row r="4014" spans="24:30" x14ac:dyDescent="0.25">
      <c r="X4014" s="8" t="e">
        <f>IF(Final_Sans_VGE[[#This Row],[ppn_z]]="","",IFERROR(
   IF(_xlfn.XLOOKUP(Final_Sans_VGE[[#This Row],[ppn_z]],tbl_Historique_Final[ppn_z],tbl_Historique_Final[date_modif])=Final_Sans_VGE[[#This Row],[date_modif]],
      "Ancien",
      "Modifié"),
   "Nouveau"))</f>
        <v>#VALUE!</v>
      </c>
      <c r="AD4014" s="1" t="str">
        <f>IFERROR(IF(Final_Sans_VGE[[#This Row],[ppn_z]]="","",IFERROR(
   IF(_xlfn.XLOOKUP(Final_Sans_VGE[[#This Row],[ppn_z]],tbl_Historique_Final[[#This Row],[ppn_z]],tbl_Historique_Final[[#This Row],[date_modif]])=Final_Sans_VGE[[#This Row],[date_modif]],
      "Ancien",
      "Modifié"),
   "Nouveau")),"")</f>
        <v/>
      </c>
    </row>
    <row r="4015" spans="24:30" x14ac:dyDescent="0.25">
      <c r="X4015" s="8" t="e">
        <f>IF(Final_Sans_VGE[[#This Row],[ppn_z]]="","",IFERROR(
   IF(_xlfn.XLOOKUP(Final_Sans_VGE[[#This Row],[ppn_z]],tbl_Historique_Final[ppn_z],tbl_Historique_Final[date_modif])=Final_Sans_VGE[[#This Row],[date_modif]],
      "Ancien",
      "Modifié"),
   "Nouveau"))</f>
        <v>#VALUE!</v>
      </c>
      <c r="AD4015" s="1" t="str">
        <f>IFERROR(IF(Final_Sans_VGE[[#This Row],[ppn_z]]="","",IFERROR(
   IF(_xlfn.XLOOKUP(Final_Sans_VGE[[#This Row],[ppn_z]],tbl_Historique_Final[[#This Row],[ppn_z]],tbl_Historique_Final[[#This Row],[date_modif]])=Final_Sans_VGE[[#This Row],[date_modif]],
      "Ancien",
      "Modifié"),
   "Nouveau")),"")</f>
        <v/>
      </c>
    </row>
    <row r="4016" spans="24:30" x14ac:dyDescent="0.25">
      <c r="X4016" s="8" t="e">
        <f>IF(Final_Sans_VGE[[#This Row],[ppn_z]]="","",IFERROR(
   IF(_xlfn.XLOOKUP(Final_Sans_VGE[[#This Row],[ppn_z]],tbl_Historique_Final[ppn_z],tbl_Historique_Final[date_modif])=Final_Sans_VGE[[#This Row],[date_modif]],
      "Ancien",
      "Modifié"),
   "Nouveau"))</f>
        <v>#VALUE!</v>
      </c>
      <c r="AD4016" s="1" t="str">
        <f>IFERROR(IF(Final_Sans_VGE[[#This Row],[ppn_z]]="","",IFERROR(
   IF(_xlfn.XLOOKUP(Final_Sans_VGE[[#This Row],[ppn_z]],tbl_Historique_Final[[#This Row],[ppn_z]],tbl_Historique_Final[[#This Row],[date_modif]])=Final_Sans_VGE[[#This Row],[date_modif]],
      "Ancien",
      "Modifié"),
   "Nouveau")),"")</f>
        <v/>
      </c>
    </row>
    <row r="4017" spans="24:30" x14ac:dyDescent="0.25">
      <c r="X4017" s="8" t="e">
        <f>IF(Final_Sans_VGE[[#This Row],[ppn_z]]="","",IFERROR(
   IF(_xlfn.XLOOKUP(Final_Sans_VGE[[#This Row],[ppn_z]],tbl_Historique_Final[ppn_z],tbl_Historique_Final[date_modif])=Final_Sans_VGE[[#This Row],[date_modif]],
      "Ancien",
      "Modifié"),
   "Nouveau"))</f>
        <v>#VALUE!</v>
      </c>
      <c r="AD4017" s="1" t="str">
        <f>IFERROR(IF(Final_Sans_VGE[[#This Row],[ppn_z]]="","",IFERROR(
   IF(_xlfn.XLOOKUP(Final_Sans_VGE[[#This Row],[ppn_z]],tbl_Historique_Final[[#This Row],[ppn_z]],tbl_Historique_Final[[#This Row],[date_modif]])=Final_Sans_VGE[[#This Row],[date_modif]],
      "Ancien",
      "Modifié"),
   "Nouveau")),"")</f>
        <v/>
      </c>
    </row>
    <row r="4018" spans="24:30" x14ac:dyDescent="0.25">
      <c r="X4018" s="8" t="e">
        <f>IF(Final_Sans_VGE[[#This Row],[ppn_z]]="","",IFERROR(
   IF(_xlfn.XLOOKUP(Final_Sans_VGE[[#This Row],[ppn_z]],tbl_Historique_Final[ppn_z],tbl_Historique_Final[date_modif])=Final_Sans_VGE[[#This Row],[date_modif]],
      "Ancien",
      "Modifié"),
   "Nouveau"))</f>
        <v>#VALUE!</v>
      </c>
      <c r="AD4018" s="1" t="str">
        <f>IFERROR(IF(Final_Sans_VGE[[#This Row],[ppn_z]]="","",IFERROR(
   IF(_xlfn.XLOOKUP(Final_Sans_VGE[[#This Row],[ppn_z]],tbl_Historique_Final[[#This Row],[ppn_z]],tbl_Historique_Final[[#This Row],[date_modif]])=Final_Sans_VGE[[#This Row],[date_modif]],
      "Ancien",
      "Modifié"),
   "Nouveau")),"")</f>
        <v/>
      </c>
    </row>
    <row r="4019" spans="24:30" x14ac:dyDescent="0.25">
      <c r="X4019" s="8" t="e">
        <f>IF(Final_Sans_VGE[[#This Row],[ppn_z]]="","",IFERROR(
   IF(_xlfn.XLOOKUP(Final_Sans_VGE[[#This Row],[ppn_z]],tbl_Historique_Final[ppn_z],tbl_Historique_Final[date_modif])=Final_Sans_VGE[[#This Row],[date_modif]],
      "Ancien",
      "Modifié"),
   "Nouveau"))</f>
        <v>#VALUE!</v>
      </c>
      <c r="AD4019" s="1" t="str">
        <f>IFERROR(IF(Final_Sans_VGE[[#This Row],[ppn_z]]="","",IFERROR(
   IF(_xlfn.XLOOKUP(Final_Sans_VGE[[#This Row],[ppn_z]],tbl_Historique_Final[[#This Row],[ppn_z]],tbl_Historique_Final[[#This Row],[date_modif]])=Final_Sans_VGE[[#This Row],[date_modif]],
      "Ancien",
      "Modifié"),
   "Nouveau")),"")</f>
        <v/>
      </c>
    </row>
    <row r="4020" spans="24:30" x14ac:dyDescent="0.25">
      <c r="X4020" s="8" t="e">
        <f>IF(Final_Sans_VGE[[#This Row],[ppn_z]]="","",IFERROR(
   IF(_xlfn.XLOOKUP(Final_Sans_VGE[[#This Row],[ppn_z]],tbl_Historique_Final[ppn_z],tbl_Historique_Final[date_modif])=Final_Sans_VGE[[#This Row],[date_modif]],
      "Ancien",
      "Modifié"),
   "Nouveau"))</f>
        <v>#VALUE!</v>
      </c>
      <c r="AD4020" s="1" t="str">
        <f>IFERROR(IF(Final_Sans_VGE[[#This Row],[ppn_z]]="","",IFERROR(
   IF(_xlfn.XLOOKUP(Final_Sans_VGE[[#This Row],[ppn_z]],tbl_Historique_Final[[#This Row],[ppn_z]],tbl_Historique_Final[[#This Row],[date_modif]])=Final_Sans_VGE[[#This Row],[date_modif]],
      "Ancien",
      "Modifié"),
   "Nouveau")),"")</f>
        <v/>
      </c>
    </row>
    <row r="4021" spans="24:30" x14ac:dyDescent="0.25">
      <c r="X4021" s="8" t="e">
        <f>IF(Final_Sans_VGE[[#This Row],[ppn_z]]="","",IFERROR(
   IF(_xlfn.XLOOKUP(Final_Sans_VGE[[#This Row],[ppn_z]],tbl_Historique_Final[ppn_z],tbl_Historique_Final[date_modif])=Final_Sans_VGE[[#This Row],[date_modif]],
      "Ancien",
      "Modifié"),
   "Nouveau"))</f>
        <v>#VALUE!</v>
      </c>
      <c r="AD4021" s="1" t="str">
        <f>IFERROR(IF(Final_Sans_VGE[[#This Row],[ppn_z]]="","",IFERROR(
   IF(_xlfn.XLOOKUP(Final_Sans_VGE[[#This Row],[ppn_z]],tbl_Historique_Final[[#This Row],[ppn_z]],tbl_Historique_Final[[#This Row],[date_modif]])=Final_Sans_VGE[[#This Row],[date_modif]],
      "Ancien",
      "Modifié"),
   "Nouveau")),"")</f>
        <v/>
      </c>
    </row>
    <row r="4022" spans="24:30" x14ac:dyDescent="0.25">
      <c r="X4022" s="8" t="e">
        <f>IF(Final_Sans_VGE[[#This Row],[ppn_z]]="","",IFERROR(
   IF(_xlfn.XLOOKUP(Final_Sans_VGE[[#This Row],[ppn_z]],tbl_Historique_Final[ppn_z],tbl_Historique_Final[date_modif])=Final_Sans_VGE[[#This Row],[date_modif]],
      "Ancien",
      "Modifié"),
   "Nouveau"))</f>
        <v>#VALUE!</v>
      </c>
      <c r="AD4022" s="1" t="str">
        <f>IFERROR(IF(Final_Sans_VGE[[#This Row],[ppn_z]]="","",IFERROR(
   IF(_xlfn.XLOOKUP(Final_Sans_VGE[[#This Row],[ppn_z]],tbl_Historique_Final[[#This Row],[ppn_z]],tbl_Historique_Final[[#This Row],[date_modif]])=Final_Sans_VGE[[#This Row],[date_modif]],
      "Ancien",
      "Modifié"),
   "Nouveau")),"")</f>
        <v/>
      </c>
    </row>
    <row r="4023" spans="24:30" x14ac:dyDescent="0.25">
      <c r="X4023" s="8" t="e">
        <f>IF(Final_Sans_VGE[[#This Row],[ppn_z]]="","",IFERROR(
   IF(_xlfn.XLOOKUP(Final_Sans_VGE[[#This Row],[ppn_z]],tbl_Historique_Final[ppn_z],tbl_Historique_Final[date_modif])=Final_Sans_VGE[[#This Row],[date_modif]],
      "Ancien",
      "Modifié"),
   "Nouveau"))</f>
        <v>#VALUE!</v>
      </c>
      <c r="AD4023" s="1" t="str">
        <f>IFERROR(IF(Final_Sans_VGE[[#This Row],[ppn_z]]="","",IFERROR(
   IF(_xlfn.XLOOKUP(Final_Sans_VGE[[#This Row],[ppn_z]],tbl_Historique_Final[[#This Row],[ppn_z]],tbl_Historique_Final[[#This Row],[date_modif]])=Final_Sans_VGE[[#This Row],[date_modif]],
      "Ancien",
      "Modifié"),
   "Nouveau")),"")</f>
        <v/>
      </c>
    </row>
    <row r="4024" spans="24:30" x14ac:dyDescent="0.25">
      <c r="X4024" s="8" t="e">
        <f>IF(Final_Sans_VGE[[#This Row],[ppn_z]]="","",IFERROR(
   IF(_xlfn.XLOOKUP(Final_Sans_VGE[[#This Row],[ppn_z]],tbl_Historique_Final[ppn_z],tbl_Historique_Final[date_modif])=Final_Sans_VGE[[#This Row],[date_modif]],
      "Ancien",
      "Modifié"),
   "Nouveau"))</f>
        <v>#VALUE!</v>
      </c>
      <c r="AD4024" s="1" t="str">
        <f>IFERROR(IF(Final_Sans_VGE[[#This Row],[ppn_z]]="","",IFERROR(
   IF(_xlfn.XLOOKUP(Final_Sans_VGE[[#This Row],[ppn_z]],tbl_Historique_Final[[#This Row],[ppn_z]],tbl_Historique_Final[[#This Row],[date_modif]])=Final_Sans_VGE[[#This Row],[date_modif]],
      "Ancien",
      "Modifié"),
   "Nouveau")),"")</f>
        <v/>
      </c>
    </row>
    <row r="4025" spans="24:30" x14ac:dyDescent="0.25">
      <c r="X4025" s="8" t="e">
        <f>IF(Final_Sans_VGE[[#This Row],[ppn_z]]="","",IFERROR(
   IF(_xlfn.XLOOKUP(Final_Sans_VGE[[#This Row],[ppn_z]],tbl_Historique_Final[ppn_z],tbl_Historique_Final[date_modif])=Final_Sans_VGE[[#This Row],[date_modif]],
      "Ancien",
      "Modifié"),
   "Nouveau"))</f>
        <v>#VALUE!</v>
      </c>
      <c r="AD4025" s="1" t="str">
        <f>IFERROR(IF(Final_Sans_VGE[[#This Row],[ppn_z]]="","",IFERROR(
   IF(_xlfn.XLOOKUP(Final_Sans_VGE[[#This Row],[ppn_z]],tbl_Historique_Final[[#This Row],[ppn_z]],tbl_Historique_Final[[#This Row],[date_modif]])=Final_Sans_VGE[[#This Row],[date_modif]],
      "Ancien",
      "Modifié"),
   "Nouveau")),"")</f>
        <v/>
      </c>
    </row>
    <row r="4026" spans="24:30" x14ac:dyDescent="0.25">
      <c r="X4026" s="8" t="e">
        <f>IF(Final_Sans_VGE[[#This Row],[ppn_z]]="","",IFERROR(
   IF(_xlfn.XLOOKUP(Final_Sans_VGE[[#This Row],[ppn_z]],tbl_Historique_Final[ppn_z],tbl_Historique_Final[date_modif])=Final_Sans_VGE[[#This Row],[date_modif]],
      "Ancien",
      "Modifié"),
   "Nouveau"))</f>
        <v>#VALUE!</v>
      </c>
      <c r="AD4026" s="1" t="str">
        <f>IFERROR(IF(Final_Sans_VGE[[#This Row],[ppn_z]]="","",IFERROR(
   IF(_xlfn.XLOOKUP(Final_Sans_VGE[[#This Row],[ppn_z]],tbl_Historique_Final[[#This Row],[ppn_z]],tbl_Historique_Final[[#This Row],[date_modif]])=Final_Sans_VGE[[#This Row],[date_modif]],
      "Ancien",
      "Modifié"),
   "Nouveau")),"")</f>
        <v/>
      </c>
    </row>
    <row r="4027" spans="24:30" x14ac:dyDescent="0.25">
      <c r="X4027" s="8" t="e">
        <f>IF(Final_Sans_VGE[[#This Row],[ppn_z]]="","",IFERROR(
   IF(_xlfn.XLOOKUP(Final_Sans_VGE[[#This Row],[ppn_z]],tbl_Historique_Final[ppn_z],tbl_Historique_Final[date_modif])=Final_Sans_VGE[[#This Row],[date_modif]],
      "Ancien",
      "Modifié"),
   "Nouveau"))</f>
        <v>#VALUE!</v>
      </c>
      <c r="AD4027" s="1" t="str">
        <f>IFERROR(IF(Final_Sans_VGE[[#This Row],[ppn_z]]="","",IFERROR(
   IF(_xlfn.XLOOKUP(Final_Sans_VGE[[#This Row],[ppn_z]],tbl_Historique_Final[[#This Row],[ppn_z]],tbl_Historique_Final[[#This Row],[date_modif]])=Final_Sans_VGE[[#This Row],[date_modif]],
      "Ancien",
      "Modifié"),
   "Nouveau")),"")</f>
        <v/>
      </c>
    </row>
    <row r="4028" spans="24:30" x14ac:dyDescent="0.25">
      <c r="X4028" s="8" t="e">
        <f>IF(Final_Sans_VGE[[#This Row],[ppn_z]]="","",IFERROR(
   IF(_xlfn.XLOOKUP(Final_Sans_VGE[[#This Row],[ppn_z]],tbl_Historique_Final[ppn_z],tbl_Historique_Final[date_modif])=Final_Sans_VGE[[#This Row],[date_modif]],
      "Ancien",
      "Modifié"),
   "Nouveau"))</f>
        <v>#VALUE!</v>
      </c>
      <c r="AD4028" s="1" t="str">
        <f>IFERROR(IF(Final_Sans_VGE[[#This Row],[ppn_z]]="","",IFERROR(
   IF(_xlfn.XLOOKUP(Final_Sans_VGE[[#This Row],[ppn_z]],tbl_Historique_Final[[#This Row],[ppn_z]],tbl_Historique_Final[[#This Row],[date_modif]])=Final_Sans_VGE[[#This Row],[date_modif]],
      "Ancien",
      "Modifié"),
   "Nouveau")),"")</f>
        <v/>
      </c>
    </row>
    <row r="4029" spans="24:30" x14ac:dyDescent="0.25">
      <c r="X4029" s="8" t="e">
        <f>IF(Final_Sans_VGE[[#This Row],[ppn_z]]="","",IFERROR(
   IF(_xlfn.XLOOKUP(Final_Sans_VGE[[#This Row],[ppn_z]],tbl_Historique_Final[ppn_z],tbl_Historique_Final[date_modif])=Final_Sans_VGE[[#This Row],[date_modif]],
      "Ancien",
      "Modifié"),
   "Nouveau"))</f>
        <v>#VALUE!</v>
      </c>
      <c r="AD4029" s="1" t="str">
        <f>IFERROR(IF(Final_Sans_VGE[[#This Row],[ppn_z]]="","",IFERROR(
   IF(_xlfn.XLOOKUP(Final_Sans_VGE[[#This Row],[ppn_z]],tbl_Historique_Final[[#This Row],[ppn_z]],tbl_Historique_Final[[#This Row],[date_modif]])=Final_Sans_VGE[[#This Row],[date_modif]],
      "Ancien",
      "Modifié"),
   "Nouveau")),"")</f>
        <v/>
      </c>
    </row>
    <row r="4030" spans="24:30" x14ac:dyDescent="0.25">
      <c r="X4030" s="8" t="e">
        <f>IF(Final_Sans_VGE[[#This Row],[ppn_z]]="","",IFERROR(
   IF(_xlfn.XLOOKUP(Final_Sans_VGE[[#This Row],[ppn_z]],tbl_Historique_Final[ppn_z],tbl_Historique_Final[date_modif])=Final_Sans_VGE[[#This Row],[date_modif]],
      "Ancien",
      "Modifié"),
   "Nouveau"))</f>
        <v>#VALUE!</v>
      </c>
      <c r="AD4030" s="1" t="str">
        <f>IFERROR(IF(Final_Sans_VGE[[#This Row],[ppn_z]]="","",IFERROR(
   IF(_xlfn.XLOOKUP(Final_Sans_VGE[[#This Row],[ppn_z]],tbl_Historique_Final[[#This Row],[ppn_z]],tbl_Historique_Final[[#This Row],[date_modif]])=Final_Sans_VGE[[#This Row],[date_modif]],
      "Ancien",
      "Modifié"),
   "Nouveau")),"")</f>
        <v/>
      </c>
    </row>
    <row r="4031" spans="24:30" x14ac:dyDescent="0.25">
      <c r="X4031" s="8" t="e">
        <f>IF(Final_Sans_VGE[[#This Row],[ppn_z]]="","",IFERROR(
   IF(_xlfn.XLOOKUP(Final_Sans_VGE[[#This Row],[ppn_z]],tbl_Historique_Final[ppn_z],tbl_Historique_Final[date_modif])=Final_Sans_VGE[[#This Row],[date_modif]],
      "Ancien",
      "Modifié"),
   "Nouveau"))</f>
        <v>#VALUE!</v>
      </c>
      <c r="AD4031" s="1" t="str">
        <f>IFERROR(IF(Final_Sans_VGE[[#This Row],[ppn_z]]="","",IFERROR(
   IF(_xlfn.XLOOKUP(Final_Sans_VGE[[#This Row],[ppn_z]],tbl_Historique_Final[[#This Row],[ppn_z]],tbl_Historique_Final[[#This Row],[date_modif]])=Final_Sans_VGE[[#This Row],[date_modif]],
      "Ancien",
      "Modifié"),
   "Nouveau")),"")</f>
        <v/>
      </c>
    </row>
    <row r="4032" spans="24:30" x14ac:dyDescent="0.25">
      <c r="X4032" s="8" t="e">
        <f>IF(Final_Sans_VGE[[#This Row],[ppn_z]]="","",IFERROR(
   IF(_xlfn.XLOOKUP(Final_Sans_VGE[[#This Row],[ppn_z]],tbl_Historique_Final[ppn_z],tbl_Historique_Final[date_modif])=Final_Sans_VGE[[#This Row],[date_modif]],
      "Ancien",
      "Modifié"),
   "Nouveau"))</f>
        <v>#VALUE!</v>
      </c>
      <c r="AD4032" s="1" t="str">
        <f>IFERROR(IF(Final_Sans_VGE[[#This Row],[ppn_z]]="","",IFERROR(
   IF(_xlfn.XLOOKUP(Final_Sans_VGE[[#This Row],[ppn_z]],tbl_Historique_Final[[#This Row],[ppn_z]],tbl_Historique_Final[[#This Row],[date_modif]])=Final_Sans_VGE[[#This Row],[date_modif]],
      "Ancien",
      "Modifié"),
   "Nouveau")),"")</f>
        <v/>
      </c>
    </row>
    <row r="4033" spans="24:30" x14ac:dyDescent="0.25">
      <c r="X4033" s="8" t="e">
        <f>IF(Final_Sans_VGE[[#This Row],[ppn_z]]="","",IFERROR(
   IF(_xlfn.XLOOKUP(Final_Sans_VGE[[#This Row],[ppn_z]],tbl_Historique_Final[ppn_z],tbl_Historique_Final[date_modif])=Final_Sans_VGE[[#This Row],[date_modif]],
      "Ancien",
      "Modifié"),
   "Nouveau"))</f>
        <v>#VALUE!</v>
      </c>
      <c r="AD4033" s="1" t="str">
        <f>IFERROR(IF(Final_Sans_VGE[[#This Row],[ppn_z]]="","",IFERROR(
   IF(_xlfn.XLOOKUP(Final_Sans_VGE[[#This Row],[ppn_z]],tbl_Historique_Final[[#This Row],[ppn_z]],tbl_Historique_Final[[#This Row],[date_modif]])=Final_Sans_VGE[[#This Row],[date_modif]],
      "Ancien",
      "Modifié"),
   "Nouveau")),"")</f>
        <v/>
      </c>
    </row>
    <row r="4034" spans="24:30" x14ac:dyDescent="0.25">
      <c r="X4034" s="8" t="e">
        <f>IF(Final_Sans_VGE[[#This Row],[ppn_z]]="","",IFERROR(
   IF(_xlfn.XLOOKUP(Final_Sans_VGE[[#This Row],[ppn_z]],tbl_Historique_Final[ppn_z],tbl_Historique_Final[date_modif])=Final_Sans_VGE[[#This Row],[date_modif]],
      "Ancien",
      "Modifié"),
   "Nouveau"))</f>
        <v>#VALUE!</v>
      </c>
      <c r="AD4034" s="1" t="str">
        <f>IFERROR(IF(Final_Sans_VGE[[#This Row],[ppn_z]]="","",IFERROR(
   IF(_xlfn.XLOOKUP(Final_Sans_VGE[[#This Row],[ppn_z]],tbl_Historique_Final[[#This Row],[ppn_z]],tbl_Historique_Final[[#This Row],[date_modif]])=Final_Sans_VGE[[#This Row],[date_modif]],
      "Ancien",
      "Modifié"),
   "Nouveau")),"")</f>
        <v/>
      </c>
    </row>
    <row r="4035" spans="24:30" x14ac:dyDescent="0.25">
      <c r="X4035" s="8" t="e">
        <f>IF(Final_Sans_VGE[[#This Row],[ppn_z]]="","",IFERROR(
   IF(_xlfn.XLOOKUP(Final_Sans_VGE[[#This Row],[ppn_z]],tbl_Historique_Final[ppn_z],tbl_Historique_Final[date_modif])=Final_Sans_VGE[[#This Row],[date_modif]],
      "Ancien",
      "Modifié"),
   "Nouveau"))</f>
        <v>#VALUE!</v>
      </c>
      <c r="AD4035" s="1" t="str">
        <f>IFERROR(IF(Final_Sans_VGE[[#This Row],[ppn_z]]="","",IFERROR(
   IF(_xlfn.XLOOKUP(Final_Sans_VGE[[#This Row],[ppn_z]],tbl_Historique_Final[[#This Row],[ppn_z]],tbl_Historique_Final[[#This Row],[date_modif]])=Final_Sans_VGE[[#This Row],[date_modif]],
      "Ancien",
      "Modifié"),
   "Nouveau")),"")</f>
        <v/>
      </c>
    </row>
    <row r="4036" spans="24:30" x14ac:dyDescent="0.25">
      <c r="X4036" s="8" t="e">
        <f>IF(Final_Sans_VGE[[#This Row],[ppn_z]]="","",IFERROR(
   IF(_xlfn.XLOOKUP(Final_Sans_VGE[[#This Row],[ppn_z]],tbl_Historique_Final[ppn_z],tbl_Historique_Final[date_modif])=Final_Sans_VGE[[#This Row],[date_modif]],
      "Ancien",
      "Modifié"),
   "Nouveau"))</f>
        <v>#VALUE!</v>
      </c>
      <c r="AD4036" s="1" t="str">
        <f>IFERROR(IF(Final_Sans_VGE[[#This Row],[ppn_z]]="","",IFERROR(
   IF(_xlfn.XLOOKUP(Final_Sans_VGE[[#This Row],[ppn_z]],tbl_Historique_Final[[#This Row],[ppn_z]],tbl_Historique_Final[[#This Row],[date_modif]])=Final_Sans_VGE[[#This Row],[date_modif]],
      "Ancien",
      "Modifié"),
   "Nouveau")),"")</f>
        <v/>
      </c>
    </row>
    <row r="4037" spans="24:30" x14ac:dyDescent="0.25">
      <c r="X4037" s="8" t="e">
        <f>IF(Final_Sans_VGE[[#This Row],[ppn_z]]="","",IFERROR(
   IF(_xlfn.XLOOKUP(Final_Sans_VGE[[#This Row],[ppn_z]],tbl_Historique_Final[ppn_z],tbl_Historique_Final[date_modif])=Final_Sans_VGE[[#This Row],[date_modif]],
      "Ancien",
      "Modifié"),
   "Nouveau"))</f>
        <v>#VALUE!</v>
      </c>
      <c r="AD4037" s="1" t="str">
        <f>IFERROR(IF(Final_Sans_VGE[[#This Row],[ppn_z]]="","",IFERROR(
   IF(_xlfn.XLOOKUP(Final_Sans_VGE[[#This Row],[ppn_z]],tbl_Historique_Final[[#This Row],[ppn_z]],tbl_Historique_Final[[#This Row],[date_modif]])=Final_Sans_VGE[[#This Row],[date_modif]],
      "Ancien",
      "Modifié"),
   "Nouveau")),"")</f>
        <v/>
      </c>
    </row>
    <row r="4038" spans="24:30" x14ac:dyDescent="0.25">
      <c r="X4038" s="8" t="e">
        <f>IF(Final_Sans_VGE[[#This Row],[ppn_z]]="","",IFERROR(
   IF(_xlfn.XLOOKUP(Final_Sans_VGE[[#This Row],[ppn_z]],tbl_Historique_Final[ppn_z],tbl_Historique_Final[date_modif])=Final_Sans_VGE[[#This Row],[date_modif]],
      "Ancien",
      "Modifié"),
   "Nouveau"))</f>
        <v>#VALUE!</v>
      </c>
      <c r="AD4038" s="1" t="str">
        <f>IFERROR(IF(Final_Sans_VGE[[#This Row],[ppn_z]]="","",IFERROR(
   IF(_xlfn.XLOOKUP(Final_Sans_VGE[[#This Row],[ppn_z]],tbl_Historique_Final[[#This Row],[ppn_z]],tbl_Historique_Final[[#This Row],[date_modif]])=Final_Sans_VGE[[#This Row],[date_modif]],
      "Ancien",
      "Modifié"),
   "Nouveau")),"")</f>
        <v/>
      </c>
    </row>
    <row r="4039" spans="24:30" x14ac:dyDescent="0.25">
      <c r="X4039" s="8" t="e">
        <f>IF(Final_Sans_VGE[[#This Row],[ppn_z]]="","",IFERROR(
   IF(_xlfn.XLOOKUP(Final_Sans_VGE[[#This Row],[ppn_z]],tbl_Historique_Final[ppn_z],tbl_Historique_Final[date_modif])=Final_Sans_VGE[[#This Row],[date_modif]],
      "Ancien",
      "Modifié"),
   "Nouveau"))</f>
        <v>#VALUE!</v>
      </c>
      <c r="AD4039" s="1" t="str">
        <f>IFERROR(IF(Final_Sans_VGE[[#This Row],[ppn_z]]="","",IFERROR(
   IF(_xlfn.XLOOKUP(Final_Sans_VGE[[#This Row],[ppn_z]],tbl_Historique_Final[[#This Row],[ppn_z]],tbl_Historique_Final[[#This Row],[date_modif]])=Final_Sans_VGE[[#This Row],[date_modif]],
      "Ancien",
      "Modifié"),
   "Nouveau")),"")</f>
        <v/>
      </c>
    </row>
    <row r="4040" spans="24:30" x14ac:dyDescent="0.25">
      <c r="X4040" s="8" t="e">
        <f>IF(Final_Sans_VGE[[#This Row],[ppn_z]]="","",IFERROR(
   IF(_xlfn.XLOOKUP(Final_Sans_VGE[[#This Row],[ppn_z]],tbl_Historique_Final[ppn_z],tbl_Historique_Final[date_modif])=Final_Sans_VGE[[#This Row],[date_modif]],
      "Ancien",
      "Modifié"),
   "Nouveau"))</f>
        <v>#VALUE!</v>
      </c>
      <c r="AD4040" s="1" t="str">
        <f>IFERROR(IF(Final_Sans_VGE[[#This Row],[ppn_z]]="","",IFERROR(
   IF(_xlfn.XLOOKUP(Final_Sans_VGE[[#This Row],[ppn_z]],tbl_Historique_Final[[#This Row],[ppn_z]],tbl_Historique_Final[[#This Row],[date_modif]])=Final_Sans_VGE[[#This Row],[date_modif]],
      "Ancien",
      "Modifié"),
   "Nouveau")),"")</f>
        <v/>
      </c>
    </row>
    <row r="4041" spans="24:30" x14ac:dyDescent="0.25">
      <c r="X4041" s="8" t="e">
        <f>IF(Final_Sans_VGE[[#This Row],[ppn_z]]="","",IFERROR(
   IF(_xlfn.XLOOKUP(Final_Sans_VGE[[#This Row],[ppn_z]],tbl_Historique_Final[ppn_z],tbl_Historique_Final[date_modif])=Final_Sans_VGE[[#This Row],[date_modif]],
      "Ancien",
      "Modifié"),
   "Nouveau"))</f>
        <v>#VALUE!</v>
      </c>
      <c r="AD4041" s="1" t="str">
        <f>IFERROR(IF(Final_Sans_VGE[[#This Row],[ppn_z]]="","",IFERROR(
   IF(_xlfn.XLOOKUP(Final_Sans_VGE[[#This Row],[ppn_z]],tbl_Historique_Final[[#This Row],[ppn_z]],tbl_Historique_Final[[#This Row],[date_modif]])=Final_Sans_VGE[[#This Row],[date_modif]],
      "Ancien",
      "Modifié"),
   "Nouveau")),"")</f>
        <v/>
      </c>
    </row>
    <row r="4042" spans="24:30" x14ac:dyDescent="0.25">
      <c r="X4042" s="8" t="e">
        <f>IF(Final_Sans_VGE[[#This Row],[ppn_z]]="","",IFERROR(
   IF(_xlfn.XLOOKUP(Final_Sans_VGE[[#This Row],[ppn_z]],tbl_Historique_Final[ppn_z],tbl_Historique_Final[date_modif])=Final_Sans_VGE[[#This Row],[date_modif]],
      "Ancien",
      "Modifié"),
   "Nouveau"))</f>
        <v>#VALUE!</v>
      </c>
      <c r="AD4042" s="1" t="str">
        <f>IFERROR(IF(Final_Sans_VGE[[#This Row],[ppn_z]]="","",IFERROR(
   IF(_xlfn.XLOOKUP(Final_Sans_VGE[[#This Row],[ppn_z]],tbl_Historique_Final[[#This Row],[ppn_z]],tbl_Historique_Final[[#This Row],[date_modif]])=Final_Sans_VGE[[#This Row],[date_modif]],
      "Ancien",
      "Modifié"),
   "Nouveau")),"")</f>
        <v/>
      </c>
    </row>
    <row r="4043" spans="24:30" x14ac:dyDescent="0.25">
      <c r="X4043" s="8" t="e">
        <f>IF(Final_Sans_VGE[[#This Row],[ppn_z]]="","",IFERROR(
   IF(_xlfn.XLOOKUP(Final_Sans_VGE[[#This Row],[ppn_z]],tbl_Historique_Final[ppn_z],tbl_Historique_Final[date_modif])=Final_Sans_VGE[[#This Row],[date_modif]],
      "Ancien",
      "Modifié"),
   "Nouveau"))</f>
        <v>#VALUE!</v>
      </c>
      <c r="AD4043" s="1" t="str">
        <f>IFERROR(IF(Final_Sans_VGE[[#This Row],[ppn_z]]="","",IFERROR(
   IF(_xlfn.XLOOKUP(Final_Sans_VGE[[#This Row],[ppn_z]],tbl_Historique_Final[[#This Row],[ppn_z]],tbl_Historique_Final[[#This Row],[date_modif]])=Final_Sans_VGE[[#This Row],[date_modif]],
      "Ancien",
      "Modifié"),
   "Nouveau")),"")</f>
        <v/>
      </c>
    </row>
    <row r="4044" spans="24:30" x14ac:dyDescent="0.25">
      <c r="X4044" s="8" t="e">
        <f>IF(Final_Sans_VGE[[#This Row],[ppn_z]]="","",IFERROR(
   IF(_xlfn.XLOOKUP(Final_Sans_VGE[[#This Row],[ppn_z]],tbl_Historique_Final[ppn_z],tbl_Historique_Final[date_modif])=Final_Sans_VGE[[#This Row],[date_modif]],
      "Ancien",
      "Modifié"),
   "Nouveau"))</f>
        <v>#VALUE!</v>
      </c>
      <c r="AD4044" s="1" t="str">
        <f>IFERROR(IF(Final_Sans_VGE[[#This Row],[ppn_z]]="","",IFERROR(
   IF(_xlfn.XLOOKUP(Final_Sans_VGE[[#This Row],[ppn_z]],tbl_Historique_Final[[#This Row],[ppn_z]],tbl_Historique_Final[[#This Row],[date_modif]])=Final_Sans_VGE[[#This Row],[date_modif]],
      "Ancien",
      "Modifié"),
   "Nouveau")),"")</f>
        <v/>
      </c>
    </row>
    <row r="4045" spans="24:30" x14ac:dyDescent="0.25">
      <c r="X4045" s="8" t="e">
        <f>IF(Final_Sans_VGE[[#This Row],[ppn_z]]="","",IFERROR(
   IF(_xlfn.XLOOKUP(Final_Sans_VGE[[#This Row],[ppn_z]],tbl_Historique_Final[ppn_z],tbl_Historique_Final[date_modif])=Final_Sans_VGE[[#This Row],[date_modif]],
      "Ancien",
      "Modifié"),
   "Nouveau"))</f>
        <v>#VALUE!</v>
      </c>
      <c r="AD4045" s="1" t="str">
        <f>IFERROR(IF(Final_Sans_VGE[[#This Row],[ppn_z]]="","",IFERROR(
   IF(_xlfn.XLOOKUP(Final_Sans_VGE[[#This Row],[ppn_z]],tbl_Historique_Final[[#This Row],[ppn_z]],tbl_Historique_Final[[#This Row],[date_modif]])=Final_Sans_VGE[[#This Row],[date_modif]],
      "Ancien",
      "Modifié"),
   "Nouveau")),"")</f>
        <v/>
      </c>
    </row>
    <row r="4046" spans="24:30" x14ac:dyDescent="0.25">
      <c r="X4046" s="8" t="e">
        <f>IF(Final_Sans_VGE[[#This Row],[ppn_z]]="","",IFERROR(
   IF(_xlfn.XLOOKUP(Final_Sans_VGE[[#This Row],[ppn_z]],tbl_Historique_Final[ppn_z],tbl_Historique_Final[date_modif])=Final_Sans_VGE[[#This Row],[date_modif]],
      "Ancien",
      "Modifié"),
   "Nouveau"))</f>
        <v>#VALUE!</v>
      </c>
      <c r="AD4046" s="1" t="str">
        <f>IFERROR(IF(Final_Sans_VGE[[#This Row],[ppn_z]]="","",IFERROR(
   IF(_xlfn.XLOOKUP(Final_Sans_VGE[[#This Row],[ppn_z]],tbl_Historique_Final[[#This Row],[ppn_z]],tbl_Historique_Final[[#This Row],[date_modif]])=Final_Sans_VGE[[#This Row],[date_modif]],
      "Ancien",
      "Modifié"),
   "Nouveau")),"")</f>
        <v/>
      </c>
    </row>
    <row r="4047" spans="24:30" x14ac:dyDescent="0.25">
      <c r="X4047" s="8" t="e">
        <f>IF(Final_Sans_VGE[[#This Row],[ppn_z]]="","",IFERROR(
   IF(_xlfn.XLOOKUP(Final_Sans_VGE[[#This Row],[ppn_z]],tbl_Historique_Final[ppn_z],tbl_Historique_Final[date_modif])=Final_Sans_VGE[[#This Row],[date_modif]],
      "Ancien",
      "Modifié"),
   "Nouveau"))</f>
        <v>#VALUE!</v>
      </c>
      <c r="AD4047" s="1" t="str">
        <f>IFERROR(IF(Final_Sans_VGE[[#This Row],[ppn_z]]="","",IFERROR(
   IF(_xlfn.XLOOKUP(Final_Sans_VGE[[#This Row],[ppn_z]],tbl_Historique_Final[[#This Row],[ppn_z]],tbl_Historique_Final[[#This Row],[date_modif]])=Final_Sans_VGE[[#This Row],[date_modif]],
      "Ancien",
      "Modifié"),
   "Nouveau")),"")</f>
        <v/>
      </c>
    </row>
    <row r="4048" spans="24:30" x14ac:dyDescent="0.25">
      <c r="X4048" s="8" t="e">
        <f>IF(Final_Sans_VGE[[#This Row],[ppn_z]]="","",IFERROR(
   IF(_xlfn.XLOOKUP(Final_Sans_VGE[[#This Row],[ppn_z]],tbl_Historique_Final[ppn_z],tbl_Historique_Final[date_modif])=Final_Sans_VGE[[#This Row],[date_modif]],
      "Ancien",
      "Modifié"),
   "Nouveau"))</f>
        <v>#VALUE!</v>
      </c>
      <c r="AD4048" s="1" t="str">
        <f>IFERROR(IF(Final_Sans_VGE[[#This Row],[ppn_z]]="","",IFERROR(
   IF(_xlfn.XLOOKUP(Final_Sans_VGE[[#This Row],[ppn_z]],tbl_Historique_Final[[#This Row],[ppn_z]],tbl_Historique_Final[[#This Row],[date_modif]])=Final_Sans_VGE[[#This Row],[date_modif]],
      "Ancien",
      "Modifié"),
   "Nouveau")),"")</f>
        <v/>
      </c>
    </row>
    <row r="4049" spans="24:30" x14ac:dyDescent="0.25">
      <c r="X4049" s="8" t="e">
        <f>IF(Final_Sans_VGE[[#This Row],[ppn_z]]="","",IFERROR(
   IF(_xlfn.XLOOKUP(Final_Sans_VGE[[#This Row],[ppn_z]],tbl_Historique_Final[ppn_z],tbl_Historique_Final[date_modif])=Final_Sans_VGE[[#This Row],[date_modif]],
      "Ancien",
      "Modifié"),
   "Nouveau"))</f>
        <v>#VALUE!</v>
      </c>
      <c r="AD4049" s="1" t="str">
        <f>IFERROR(IF(Final_Sans_VGE[[#This Row],[ppn_z]]="","",IFERROR(
   IF(_xlfn.XLOOKUP(Final_Sans_VGE[[#This Row],[ppn_z]],tbl_Historique_Final[[#This Row],[ppn_z]],tbl_Historique_Final[[#This Row],[date_modif]])=Final_Sans_VGE[[#This Row],[date_modif]],
      "Ancien",
      "Modifié"),
   "Nouveau")),"")</f>
        <v/>
      </c>
    </row>
    <row r="4050" spans="24:30" x14ac:dyDescent="0.25">
      <c r="X4050" s="8" t="e">
        <f>IF(Final_Sans_VGE[[#This Row],[ppn_z]]="","",IFERROR(
   IF(_xlfn.XLOOKUP(Final_Sans_VGE[[#This Row],[ppn_z]],tbl_Historique_Final[ppn_z],tbl_Historique_Final[date_modif])=Final_Sans_VGE[[#This Row],[date_modif]],
      "Ancien",
      "Modifié"),
   "Nouveau"))</f>
        <v>#VALUE!</v>
      </c>
      <c r="AD4050" s="1" t="str">
        <f>IFERROR(IF(Final_Sans_VGE[[#This Row],[ppn_z]]="","",IFERROR(
   IF(_xlfn.XLOOKUP(Final_Sans_VGE[[#This Row],[ppn_z]],tbl_Historique_Final[[#This Row],[ppn_z]],tbl_Historique_Final[[#This Row],[date_modif]])=Final_Sans_VGE[[#This Row],[date_modif]],
      "Ancien",
      "Modifié"),
   "Nouveau")),"")</f>
        <v/>
      </c>
    </row>
    <row r="4051" spans="24:30" x14ac:dyDescent="0.25">
      <c r="X4051" s="8" t="e">
        <f>IF(Final_Sans_VGE[[#This Row],[ppn_z]]="","",IFERROR(
   IF(_xlfn.XLOOKUP(Final_Sans_VGE[[#This Row],[ppn_z]],tbl_Historique_Final[ppn_z],tbl_Historique_Final[date_modif])=Final_Sans_VGE[[#This Row],[date_modif]],
      "Ancien",
      "Modifié"),
   "Nouveau"))</f>
        <v>#VALUE!</v>
      </c>
      <c r="AD4051" s="1" t="str">
        <f>IFERROR(IF(Final_Sans_VGE[[#This Row],[ppn_z]]="","",IFERROR(
   IF(_xlfn.XLOOKUP(Final_Sans_VGE[[#This Row],[ppn_z]],tbl_Historique_Final[[#This Row],[ppn_z]],tbl_Historique_Final[[#This Row],[date_modif]])=Final_Sans_VGE[[#This Row],[date_modif]],
      "Ancien",
      "Modifié"),
   "Nouveau")),"")</f>
        <v/>
      </c>
    </row>
    <row r="4052" spans="24:30" x14ac:dyDescent="0.25">
      <c r="X4052" s="8" t="e">
        <f>IF(Final_Sans_VGE[[#This Row],[ppn_z]]="","",IFERROR(
   IF(_xlfn.XLOOKUP(Final_Sans_VGE[[#This Row],[ppn_z]],tbl_Historique_Final[ppn_z],tbl_Historique_Final[date_modif])=Final_Sans_VGE[[#This Row],[date_modif]],
      "Ancien",
      "Modifié"),
   "Nouveau"))</f>
        <v>#VALUE!</v>
      </c>
      <c r="AD4052" s="1" t="str">
        <f>IFERROR(IF(Final_Sans_VGE[[#This Row],[ppn_z]]="","",IFERROR(
   IF(_xlfn.XLOOKUP(Final_Sans_VGE[[#This Row],[ppn_z]],tbl_Historique_Final[[#This Row],[ppn_z]],tbl_Historique_Final[[#This Row],[date_modif]])=Final_Sans_VGE[[#This Row],[date_modif]],
      "Ancien",
      "Modifié"),
   "Nouveau")),"")</f>
        <v/>
      </c>
    </row>
    <row r="4053" spans="24:30" x14ac:dyDescent="0.25">
      <c r="X4053" s="8" t="e">
        <f>IF(Final_Sans_VGE[[#This Row],[ppn_z]]="","",IFERROR(
   IF(_xlfn.XLOOKUP(Final_Sans_VGE[[#This Row],[ppn_z]],tbl_Historique_Final[ppn_z],tbl_Historique_Final[date_modif])=Final_Sans_VGE[[#This Row],[date_modif]],
      "Ancien",
      "Modifié"),
   "Nouveau"))</f>
        <v>#VALUE!</v>
      </c>
      <c r="AD4053" s="1" t="str">
        <f>IFERROR(IF(Final_Sans_VGE[[#This Row],[ppn_z]]="","",IFERROR(
   IF(_xlfn.XLOOKUP(Final_Sans_VGE[[#This Row],[ppn_z]],tbl_Historique_Final[[#This Row],[ppn_z]],tbl_Historique_Final[[#This Row],[date_modif]])=Final_Sans_VGE[[#This Row],[date_modif]],
      "Ancien",
      "Modifié"),
   "Nouveau")),"")</f>
        <v/>
      </c>
    </row>
    <row r="4054" spans="24:30" x14ac:dyDescent="0.25">
      <c r="X4054" s="8" t="e">
        <f>IF(Final_Sans_VGE[[#This Row],[ppn_z]]="","",IFERROR(
   IF(_xlfn.XLOOKUP(Final_Sans_VGE[[#This Row],[ppn_z]],tbl_Historique_Final[ppn_z],tbl_Historique_Final[date_modif])=Final_Sans_VGE[[#This Row],[date_modif]],
      "Ancien",
      "Modifié"),
   "Nouveau"))</f>
        <v>#VALUE!</v>
      </c>
      <c r="AD4054" s="1" t="str">
        <f>IFERROR(IF(Final_Sans_VGE[[#This Row],[ppn_z]]="","",IFERROR(
   IF(_xlfn.XLOOKUP(Final_Sans_VGE[[#This Row],[ppn_z]],tbl_Historique_Final[[#This Row],[ppn_z]],tbl_Historique_Final[[#This Row],[date_modif]])=Final_Sans_VGE[[#This Row],[date_modif]],
      "Ancien",
      "Modifié"),
   "Nouveau")),"")</f>
        <v/>
      </c>
    </row>
    <row r="4055" spans="24:30" x14ac:dyDescent="0.25">
      <c r="X4055" s="8" t="e">
        <f>IF(Final_Sans_VGE[[#This Row],[ppn_z]]="","",IFERROR(
   IF(_xlfn.XLOOKUP(Final_Sans_VGE[[#This Row],[ppn_z]],tbl_Historique_Final[ppn_z],tbl_Historique_Final[date_modif])=Final_Sans_VGE[[#This Row],[date_modif]],
      "Ancien",
      "Modifié"),
   "Nouveau"))</f>
        <v>#VALUE!</v>
      </c>
      <c r="AD4055" s="1" t="str">
        <f>IFERROR(IF(Final_Sans_VGE[[#This Row],[ppn_z]]="","",IFERROR(
   IF(_xlfn.XLOOKUP(Final_Sans_VGE[[#This Row],[ppn_z]],tbl_Historique_Final[[#This Row],[ppn_z]],tbl_Historique_Final[[#This Row],[date_modif]])=Final_Sans_VGE[[#This Row],[date_modif]],
      "Ancien",
      "Modifié"),
   "Nouveau")),"")</f>
        <v/>
      </c>
    </row>
    <row r="4056" spans="24:30" x14ac:dyDescent="0.25">
      <c r="X4056" s="8" t="e">
        <f>IF(Final_Sans_VGE[[#This Row],[ppn_z]]="","",IFERROR(
   IF(_xlfn.XLOOKUP(Final_Sans_VGE[[#This Row],[ppn_z]],tbl_Historique_Final[ppn_z],tbl_Historique_Final[date_modif])=Final_Sans_VGE[[#This Row],[date_modif]],
      "Ancien",
      "Modifié"),
   "Nouveau"))</f>
        <v>#VALUE!</v>
      </c>
      <c r="AD4056" s="1" t="str">
        <f>IFERROR(IF(Final_Sans_VGE[[#This Row],[ppn_z]]="","",IFERROR(
   IF(_xlfn.XLOOKUP(Final_Sans_VGE[[#This Row],[ppn_z]],tbl_Historique_Final[[#This Row],[ppn_z]],tbl_Historique_Final[[#This Row],[date_modif]])=Final_Sans_VGE[[#This Row],[date_modif]],
      "Ancien",
      "Modifié"),
   "Nouveau")),"")</f>
        <v/>
      </c>
    </row>
    <row r="4057" spans="24:30" x14ac:dyDescent="0.25">
      <c r="X4057" s="8" t="e">
        <f>IF(Final_Sans_VGE[[#This Row],[ppn_z]]="","",IFERROR(
   IF(_xlfn.XLOOKUP(Final_Sans_VGE[[#This Row],[ppn_z]],tbl_Historique_Final[ppn_z],tbl_Historique_Final[date_modif])=Final_Sans_VGE[[#This Row],[date_modif]],
      "Ancien",
      "Modifié"),
   "Nouveau"))</f>
        <v>#VALUE!</v>
      </c>
      <c r="AD4057" s="1" t="str">
        <f>IFERROR(IF(Final_Sans_VGE[[#This Row],[ppn_z]]="","",IFERROR(
   IF(_xlfn.XLOOKUP(Final_Sans_VGE[[#This Row],[ppn_z]],tbl_Historique_Final[[#This Row],[ppn_z]],tbl_Historique_Final[[#This Row],[date_modif]])=Final_Sans_VGE[[#This Row],[date_modif]],
      "Ancien",
      "Modifié"),
   "Nouveau")),"")</f>
        <v/>
      </c>
    </row>
    <row r="4058" spans="24:30" x14ac:dyDescent="0.25">
      <c r="X4058" s="8" t="e">
        <f>IF(Final_Sans_VGE[[#This Row],[ppn_z]]="","",IFERROR(
   IF(_xlfn.XLOOKUP(Final_Sans_VGE[[#This Row],[ppn_z]],tbl_Historique_Final[ppn_z],tbl_Historique_Final[date_modif])=Final_Sans_VGE[[#This Row],[date_modif]],
      "Ancien",
      "Modifié"),
   "Nouveau"))</f>
        <v>#VALUE!</v>
      </c>
      <c r="AD4058" s="1" t="str">
        <f>IFERROR(IF(Final_Sans_VGE[[#This Row],[ppn_z]]="","",IFERROR(
   IF(_xlfn.XLOOKUP(Final_Sans_VGE[[#This Row],[ppn_z]],tbl_Historique_Final[[#This Row],[ppn_z]],tbl_Historique_Final[[#This Row],[date_modif]])=Final_Sans_VGE[[#This Row],[date_modif]],
      "Ancien",
      "Modifié"),
   "Nouveau")),"")</f>
        <v/>
      </c>
    </row>
    <row r="4059" spans="24:30" x14ac:dyDescent="0.25">
      <c r="X4059" s="8" t="e">
        <f>IF(Final_Sans_VGE[[#This Row],[ppn_z]]="","",IFERROR(
   IF(_xlfn.XLOOKUP(Final_Sans_VGE[[#This Row],[ppn_z]],tbl_Historique_Final[ppn_z],tbl_Historique_Final[date_modif])=Final_Sans_VGE[[#This Row],[date_modif]],
      "Ancien",
      "Modifié"),
   "Nouveau"))</f>
        <v>#VALUE!</v>
      </c>
      <c r="AD4059" s="1" t="str">
        <f>IFERROR(IF(Final_Sans_VGE[[#This Row],[ppn_z]]="","",IFERROR(
   IF(_xlfn.XLOOKUP(Final_Sans_VGE[[#This Row],[ppn_z]],tbl_Historique_Final[[#This Row],[ppn_z]],tbl_Historique_Final[[#This Row],[date_modif]])=Final_Sans_VGE[[#This Row],[date_modif]],
      "Ancien",
      "Modifié"),
   "Nouveau")),"")</f>
        <v/>
      </c>
    </row>
    <row r="4060" spans="24:30" x14ac:dyDescent="0.25">
      <c r="X4060" s="8" t="e">
        <f>IF(Final_Sans_VGE[[#This Row],[ppn_z]]="","",IFERROR(
   IF(_xlfn.XLOOKUP(Final_Sans_VGE[[#This Row],[ppn_z]],tbl_Historique_Final[ppn_z],tbl_Historique_Final[date_modif])=Final_Sans_VGE[[#This Row],[date_modif]],
      "Ancien",
      "Modifié"),
   "Nouveau"))</f>
        <v>#VALUE!</v>
      </c>
      <c r="AD4060" s="1" t="str">
        <f>IFERROR(IF(Final_Sans_VGE[[#This Row],[ppn_z]]="","",IFERROR(
   IF(_xlfn.XLOOKUP(Final_Sans_VGE[[#This Row],[ppn_z]],tbl_Historique_Final[[#This Row],[ppn_z]],tbl_Historique_Final[[#This Row],[date_modif]])=Final_Sans_VGE[[#This Row],[date_modif]],
      "Ancien",
      "Modifié"),
   "Nouveau")),"")</f>
        <v/>
      </c>
    </row>
    <row r="4061" spans="24:30" x14ac:dyDescent="0.25">
      <c r="X4061" s="8" t="e">
        <f>IF(Final_Sans_VGE[[#This Row],[ppn_z]]="","",IFERROR(
   IF(_xlfn.XLOOKUP(Final_Sans_VGE[[#This Row],[ppn_z]],tbl_Historique_Final[ppn_z],tbl_Historique_Final[date_modif])=Final_Sans_VGE[[#This Row],[date_modif]],
      "Ancien",
      "Modifié"),
   "Nouveau"))</f>
        <v>#VALUE!</v>
      </c>
      <c r="AD4061" s="1" t="str">
        <f>IFERROR(IF(Final_Sans_VGE[[#This Row],[ppn_z]]="","",IFERROR(
   IF(_xlfn.XLOOKUP(Final_Sans_VGE[[#This Row],[ppn_z]],tbl_Historique_Final[[#This Row],[ppn_z]],tbl_Historique_Final[[#This Row],[date_modif]])=Final_Sans_VGE[[#This Row],[date_modif]],
      "Ancien",
      "Modifié"),
   "Nouveau")),"")</f>
        <v/>
      </c>
    </row>
    <row r="4062" spans="24:30" x14ac:dyDescent="0.25">
      <c r="X4062" s="8" t="e">
        <f>IF(Final_Sans_VGE[[#This Row],[ppn_z]]="","",IFERROR(
   IF(_xlfn.XLOOKUP(Final_Sans_VGE[[#This Row],[ppn_z]],tbl_Historique_Final[ppn_z],tbl_Historique_Final[date_modif])=Final_Sans_VGE[[#This Row],[date_modif]],
      "Ancien",
      "Modifié"),
   "Nouveau"))</f>
        <v>#VALUE!</v>
      </c>
      <c r="AD4062" s="1" t="str">
        <f>IFERROR(IF(Final_Sans_VGE[[#This Row],[ppn_z]]="","",IFERROR(
   IF(_xlfn.XLOOKUP(Final_Sans_VGE[[#This Row],[ppn_z]],tbl_Historique_Final[[#This Row],[ppn_z]],tbl_Historique_Final[[#This Row],[date_modif]])=Final_Sans_VGE[[#This Row],[date_modif]],
      "Ancien",
      "Modifié"),
   "Nouveau")),"")</f>
        <v/>
      </c>
    </row>
    <row r="4063" spans="24:30" x14ac:dyDescent="0.25">
      <c r="X4063" s="8" t="e">
        <f>IF(Final_Sans_VGE[[#This Row],[ppn_z]]="","",IFERROR(
   IF(_xlfn.XLOOKUP(Final_Sans_VGE[[#This Row],[ppn_z]],tbl_Historique_Final[ppn_z],tbl_Historique_Final[date_modif])=Final_Sans_VGE[[#This Row],[date_modif]],
      "Ancien",
      "Modifié"),
   "Nouveau"))</f>
        <v>#VALUE!</v>
      </c>
      <c r="AD4063" s="1" t="str">
        <f>IFERROR(IF(Final_Sans_VGE[[#This Row],[ppn_z]]="","",IFERROR(
   IF(_xlfn.XLOOKUP(Final_Sans_VGE[[#This Row],[ppn_z]],tbl_Historique_Final[[#This Row],[ppn_z]],tbl_Historique_Final[[#This Row],[date_modif]])=Final_Sans_VGE[[#This Row],[date_modif]],
      "Ancien",
      "Modifié"),
   "Nouveau")),"")</f>
        <v/>
      </c>
    </row>
    <row r="4064" spans="24:30" x14ac:dyDescent="0.25">
      <c r="X4064" s="8" t="e">
        <f>IF(Final_Sans_VGE[[#This Row],[ppn_z]]="","",IFERROR(
   IF(_xlfn.XLOOKUP(Final_Sans_VGE[[#This Row],[ppn_z]],tbl_Historique_Final[ppn_z],tbl_Historique_Final[date_modif])=Final_Sans_VGE[[#This Row],[date_modif]],
      "Ancien",
      "Modifié"),
   "Nouveau"))</f>
        <v>#VALUE!</v>
      </c>
      <c r="AD4064" s="1" t="str">
        <f>IFERROR(IF(Final_Sans_VGE[[#This Row],[ppn_z]]="","",IFERROR(
   IF(_xlfn.XLOOKUP(Final_Sans_VGE[[#This Row],[ppn_z]],tbl_Historique_Final[[#This Row],[ppn_z]],tbl_Historique_Final[[#This Row],[date_modif]])=Final_Sans_VGE[[#This Row],[date_modif]],
      "Ancien",
      "Modifié"),
   "Nouveau")),"")</f>
        <v/>
      </c>
    </row>
    <row r="4065" spans="24:30" x14ac:dyDescent="0.25">
      <c r="X4065" s="8" t="e">
        <f>IF(Final_Sans_VGE[[#This Row],[ppn_z]]="","",IFERROR(
   IF(_xlfn.XLOOKUP(Final_Sans_VGE[[#This Row],[ppn_z]],tbl_Historique_Final[ppn_z],tbl_Historique_Final[date_modif])=Final_Sans_VGE[[#This Row],[date_modif]],
      "Ancien",
      "Modifié"),
   "Nouveau"))</f>
        <v>#VALUE!</v>
      </c>
      <c r="AD4065" s="1" t="str">
        <f>IFERROR(IF(Final_Sans_VGE[[#This Row],[ppn_z]]="","",IFERROR(
   IF(_xlfn.XLOOKUP(Final_Sans_VGE[[#This Row],[ppn_z]],tbl_Historique_Final[[#This Row],[ppn_z]],tbl_Historique_Final[[#This Row],[date_modif]])=Final_Sans_VGE[[#This Row],[date_modif]],
      "Ancien",
      "Modifié"),
   "Nouveau")),"")</f>
        <v/>
      </c>
    </row>
    <row r="4066" spans="24:30" x14ac:dyDescent="0.25">
      <c r="X4066" s="8" t="e">
        <f>IF(Final_Sans_VGE[[#This Row],[ppn_z]]="","",IFERROR(
   IF(_xlfn.XLOOKUP(Final_Sans_VGE[[#This Row],[ppn_z]],tbl_Historique_Final[ppn_z],tbl_Historique_Final[date_modif])=Final_Sans_VGE[[#This Row],[date_modif]],
      "Ancien",
      "Modifié"),
   "Nouveau"))</f>
        <v>#VALUE!</v>
      </c>
      <c r="AD4066" s="1" t="str">
        <f>IFERROR(IF(Final_Sans_VGE[[#This Row],[ppn_z]]="","",IFERROR(
   IF(_xlfn.XLOOKUP(Final_Sans_VGE[[#This Row],[ppn_z]],tbl_Historique_Final[[#This Row],[ppn_z]],tbl_Historique_Final[[#This Row],[date_modif]])=Final_Sans_VGE[[#This Row],[date_modif]],
      "Ancien",
      "Modifié"),
   "Nouveau")),"")</f>
        <v/>
      </c>
    </row>
    <row r="4067" spans="24:30" x14ac:dyDescent="0.25">
      <c r="X4067" s="8" t="e">
        <f>IF(Final_Sans_VGE[[#This Row],[ppn_z]]="","",IFERROR(
   IF(_xlfn.XLOOKUP(Final_Sans_VGE[[#This Row],[ppn_z]],tbl_Historique_Final[ppn_z],tbl_Historique_Final[date_modif])=Final_Sans_VGE[[#This Row],[date_modif]],
      "Ancien",
      "Modifié"),
   "Nouveau"))</f>
        <v>#VALUE!</v>
      </c>
      <c r="AD4067" s="1" t="str">
        <f>IFERROR(IF(Final_Sans_VGE[[#This Row],[ppn_z]]="","",IFERROR(
   IF(_xlfn.XLOOKUP(Final_Sans_VGE[[#This Row],[ppn_z]],tbl_Historique_Final[[#This Row],[ppn_z]],tbl_Historique_Final[[#This Row],[date_modif]])=Final_Sans_VGE[[#This Row],[date_modif]],
      "Ancien",
      "Modifié"),
   "Nouveau")),"")</f>
        <v/>
      </c>
    </row>
    <row r="4068" spans="24:30" x14ac:dyDescent="0.25">
      <c r="X4068" s="8" t="e">
        <f>IF(Final_Sans_VGE[[#This Row],[ppn_z]]="","",IFERROR(
   IF(_xlfn.XLOOKUP(Final_Sans_VGE[[#This Row],[ppn_z]],tbl_Historique_Final[ppn_z],tbl_Historique_Final[date_modif])=Final_Sans_VGE[[#This Row],[date_modif]],
      "Ancien",
      "Modifié"),
   "Nouveau"))</f>
        <v>#VALUE!</v>
      </c>
      <c r="AD4068" s="1" t="str">
        <f>IFERROR(IF(Final_Sans_VGE[[#This Row],[ppn_z]]="","",IFERROR(
   IF(_xlfn.XLOOKUP(Final_Sans_VGE[[#This Row],[ppn_z]],tbl_Historique_Final[[#This Row],[ppn_z]],tbl_Historique_Final[[#This Row],[date_modif]])=Final_Sans_VGE[[#This Row],[date_modif]],
      "Ancien",
      "Modifié"),
   "Nouveau")),"")</f>
        <v/>
      </c>
    </row>
    <row r="4069" spans="24:30" x14ac:dyDescent="0.25">
      <c r="X4069" s="8" t="e">
        <f>IF(Final_Sans_VGE[[#This Row],[ppn_z]]="","",IFERROR(
   IF(_xlfn.XLOOKUP(Final_Sans_VGE[[#This Row],[ppn_z]],tbl_Historique_Final[ppn_z],tbl_Historique_Final[date_modif])=Final_Sans_VGE[[#This Row],[date_modif]],
      "Ancien",
      "Modifié"),
   "Nouveau"))</f>
        <v>#VALUE!</v>
      </c>
      <c r="AD4069" s="1" t="str">
        <f>IFERROR(IF(Final_Sans_VGE[[#This Row],[ppn_z]]="","",IFERROR(
   IF(_xlfn.XLOOKUP(Final_Sans_VGE[[#This Row],[ppn_z]],tbl_Historique_Final[[#This Row],[ppn_z]],tbl_Historique_Final[[#This Row],[date_modif]])=Final_Sans_VGE[[#This Row],[date_modif]],
      "Ancien",
      "Modifié"),
   "Nouveau")),"")</f>
        <v/>
      </c>
    </row>
    <row r="4070" spans="24:30" x14ac:dyDescent="0.25">
      <c r="X4070" s="8" t="e">
        <f>IF(Final_Sans_VGE[[#This Row],[ppn_z]]="","",IFERROR(
   IF(_xlfn.XLOOKUP(Final_Sans_VGE[[#This Row],[ppn_z]],tbl_Historique_Final[ppn_z],tbl_Historique_Final[date_modif])=Final_Sans_VGE[[#This Row],[date_modif]],
      "Ancien",
      "Modifié"),
   "Nouveau"))</f>
        <v>#VALUE!</v>
      </c>
      <c r="AD4070" s="1" t="str">
        <f>IFERROR(IF(Final_Sans_VGE[[#This Row],[ppn_z]]="","",IFERROR(
   IF(_xlfn.XLOOKUP(Final_Sans_VGE[[#This Row],[ppn_z]],tbl_Historique_Final[[#This Row],[ppn_z]],tbl_Historique_Final[[#This Row],[date_modif]])=Final_Sans_VGE[[#This Row],[date_modif]],
      "Ancien",
      "Modifié"),
   "Nouveau")),"")</f>
        <v/>
      </c>
    </row>
    <row r="4071" spans="24:30" x14ac:dyDescent="0.25">
      <c r="X4071" s="8" t="e">
        <f>IF(Final_Sans_VGE[[#This Row],[ppn_z]]="","",IFERROR(
   IF(_xlfn.XLOOKUP(Final_Sans_VGE[[#This Row],[ppn_z]],tbl_Historique_Final[ppn_z],tbl_Historique_Final[date_modif])=Final_Sans_VGE[[#This Row],[date_modif]],
      "Ancien",
      "Modifié"),
   "Nouveau"))</f>
        <v>#VALUE!</v>
      </c>
      <c r="AD4071" s="1" t="str">
        <f>IFERROR(IF(Final_Sans_VGE[[#This Row],[ppn_z]]="","",IFERROR(
   IF(_xlfn.XLOOKUP(Final_Sans_VGE[[#This Row],[ppn_z]],tbl_Historique_Final[[#This Row],[ppn_z]],tbl_Historique_Final[[#This Row],[date_modif]])=Final_Sans_VGE[[#This Row],[date_modif]],
      "Ancien",
      "Modifié"),
   "Nouveau")),"")</f>
        <v/>
      </c>
    </row>
    <row r="4072" spans="24:30" x14ac:dyDescent="0.25">
      <c r="X4072" s="8" t="e">
        <f>IF(Final_Sans_VGE[[#This Row],[ppn_z]]="","",IFERROR(
   IF(_xlfn.XLOOKUP(Final_Sans_VGE[[#This Row],[ppn_z]],tbl_Historique_Final[ppn_z],tbl_Historique_Final[date_modif])=Final_Sans_VGE[[#This Row],[date_modif]],
      "Ancien",
      "Modifié"),
   "Nouveau"))</f>
        <v>#VALUE!</v>
      </c>
      <c r="AD4072" s="1" t="str">
        <f>IFERROR(IF(Final_Sans_VGE[[#This Row],[ppn_z]]="","",IFERROR(
   IF(_xlfn.XLOOKUP(Final_Sans_VGE[[#This Row],[ppn_z]],tbl_Historique_Final[[#This Row],[ppn_z]],tbl_Historique_Final[[#This Row],[date_modif]])=Final_Sans_VGE[[#This Row],[date_modif]],
      "Ancien",
      "Modifié"),
   "Nouveau")),"")</f>
        <v/>
      </c>
    </row>
    <row r="4073" spans="24:30" x14ac:dyDescent="0.25">
      <c r="X4073" s="8" t="e">
        <f>IF(Final_Sans_VGE[[#This Row],[ppn_z]]="","",IFERROR(
   IF(_xlfn.XLOOKUP(Final_Sans_VGE[[#This Row],[ppn_z]],tbl_Historique_Final[ppn_z],tbl_Historique_Final[date_modif])=Final_Sans_VGE[[#This Row],[date_modif]],
      "Ancien",
      "Modifié"),
   "Nouveau"))</f>
        <v>#VALUE!</v>
      </c>
      <c r="AD4073" s="1" t="str">
        <f>IFERROR(IF(Final_Sans_VGE[[#This Row],[ppn_z]]="","",IFERROR(
   IF(_xlfn.XLOOKUP(Final_Sans_VGE[[#This Row],[ppn_z]],tbl_Historique_Final[[#This Row],[ppn_z]],tbl_Historique_Final[[#This Row],[date_modif]])=Final_Sans_VGE[[#This Row],[date_modif]],
      "Ancien",
      "Modifié"),
   "Nouveau")),"")</f>
        <v/>
      </c>
    </row>
    <row r="4074" spans="24:30" x14ac:dyDescent="0.25">
      <c r="X4074" s="8" t="e">
        <f>IF(Final_Sans_VGE[[#This Row],[ppn_z]]="","",IFERROR(
   IF(_xlfn.XLOOKUP(Final_Sans_VGE[[#This Row],[ppn_z]],tbl_Historique_Final[ppn_z],tbl_Historique_Final[date_modif])=Final_Sans_VGE[[#This Row],[date_modif]],
      "Ancien",
      "Modifié"),
   "Nouveau"))</f>
        <v>#VALUE!</v>
      </c>
      <c r="AD4074" s="1" t="str">
        <f>IFERROR(IF(Final_Sans_VGE[[#This Row],[ppn_z]]="","",IFERROR(
   IF(_xlfn.XLOOKUP(Final_Sans_VGE[[#This Row],[ppn_z]],tbl_Historique_Final[[#This Row],[ppn_z]],tbl_Historique_Final[[#This Row],[date_modif]])=Final_Sans_VGE[[#This Row],[date_modif]],
      "Ancien",
      "Modifié"),
   "Nouveau")),"")</f>
        <v/>
      </c>
    </row>
    <row r="4075" spans="24:30" x14ac:dyDescent="0.25">
      <c r="X4075" s="8" t="e">
        <f>IF(Final_Sans_VGE[[#This Row],[ppn_z]]="","",IFERROR(
   IF(_xlfn.XLOOKUP(Final_Sans_VGE[[#This Row],[ppn_z]],tbl_Historique_Final[ppn_z],tbl_Historique_Final[date_modif])=Final_Sans_VGE[[#This Row],[date_modif]],
      "Ancien",
      "Modifié"),
   "Nouveau"))</f>
        <v>#VALUE!</v>
      </c>
      <c r="AD4075" s="1" t="str">
        <f>IFERROR(IF(Final_Sans_VGE[[#This Row],[ppn_z]]="","",IFERROR(
   IF(_xlfn.XLOOKUP(Final_Sans_VGE[[#This Row],[ppn_z]],tbl_Historique_Final[[#This Row],[ppn_z]],tbl_Historique_Final[[#This Row],[date_modif]])=Final_Sans_VGE[[#This Row],[date_modif]],
      "Ancien",
      "Modifié"),
   "Nouveau")),"")</f>
        <v/>
      </c>
    </row>
    <row r="4076" spans="24:30" x14ac:dyDescent="0.25">
      <c r="X4076" s="8" t="e">
        <f>IF(Final_Sans_VGE[[#This Row],[ppn_z]]="","",IFERROR(
   IF(_xlfn.XLOOKUP(Final_Sans_VGE[[#This Row],[ppn_z]],tbl_Historique_Final[ppn_z],tbl_Historique_Final[date_modif])=Final_Sans_VGE[[#This Row],[date_modif]],
      "Ancien",
      "Modifié"),
   "Nouveau"))</f>
        <v>#VALUE!</v>
      </c>
      <c r="AD4076" s="1" t="str">
        <f>IFERROR(IF(Final_Sans_VGE[[#This Row],[ppn_z]]="","",IFERROR(
   IF(_xlfn.XLOOKUP(Final_Sans_VGE[[#This Row],[ppn_z]],tbl_Historique_Final[[#This Row],[ppn_z]],tbl_Historique_Final[[#This Row],[date_modif]])=Final_Sans_VGE[[#This Row],[date_modif]],
      "Ancien",
      "Modifié"),
   "Nouveau")),"")</f>
        <v/>
      </c>
    </row>
    <row r="4077" spans="24:30" x14ac:dyDescent="0.25">
      <c r="X4077" s="8" t="e">
        <f>IF(Final_Sans_VGE[[#This Row],[ppn_z]]="","",IFERROR(
   IF(_xlfn.XLOOKUP(Final_Sans_VGE[[#This Row],[ppn_z]],tbl_Historique_Final[ppn_z],tbl_Historique_Final[date_modif])=Final_Sans_VGE[[#This Row],[date_modif]],
      "Ancien",
      "Modifié"),
   "Nouveau"))</f>
        <v>#VALUE!</v>
      </c>
      <c r="AD4077" s="1" t="str">
        <f>IFERROR(IF(Final_Sans_VGE[[#This Row],[ppn_z]]="","",IFERROR(
   IF(_xlfn.XLOOKUP(Final_Sans_VGE[[#This Row],[ppn_z]],tbl_Historique_Final[[#This Row],[ppn_z]],tbl_Historique_Final[[#This Row],[date_modif]])=Final_Sans_VGE[[#This Row],[date_modif]],
      "Ancien",
      "Modifié"),
   "Nouveau")),"")</f>
        <v/>
      </c>
    </row>
    <row r="4078" spans="24:30" x14ac:dyDescent="0.25">
      <c r="X4078" s="8" t="e">
        <f>IF(Final_Sans_VGE[[#This Row],[ppn_z]]="","",IFERROR(
   IF(_xlfn.XLOOKUP(Final_Sans_VGE[[#This Row],[ppn_z]],tbl_Historique_Final[ppn_z],tbl_Historique_Final[date_modif])=Final_Sans_VGE[[#This Row],[date_modif]],
      "Ancien",
      "Modifié"),
   "Nouveau"))</f>
        <v>#VALUE!</v>
      </c>
      <c r="AD4078" s="1" t="str">
        <f>IFERROR(IF(Final_Sans_VGE[[#This Row],[ppn_z]]="","",IFERROR(
   IF(_xlfn.XLOOKUP(Final_Sans_VGE[[#This Row],[ppn_z]],tbl_Historique_Final[[#This Row],[ppn_z]],tbl_Historique_Final[[#This Row],[date_modif]])=Final_Sans_VGE[[#This Row],[date_modif]],
      "Ancien",
      "Modifié"),
   "Nouveau")),"")</f>
        <v/>
      </c>
    </row>
    <row r="4079" spans="24:30" x14ac:dyDescent="0.25">
      <c r="X4079" s="8" t="e">
        <f>IF(Final_Sans_VGE[[#This Row],[ppn_z]]="","",IFERROR(
   IF(_xlfn.XLOOKUP(Final_Sans_VGE[[#This Row],[ppn_z]],tbl_Historique_Final[ppn_z],tbl_Historique_Final[date_modif])=Final_Sans_VGE[[#This Row],[date_modif]],
      "Ancien",
      "Modifié"),
   "Nouveau"))</f>
        <v>#VALUE!</v>
      </c>
      <c r="AD4079" s="1" t="str">
        <f>IFERROR(IF(Final_Sans_VGE[[#This Row],[ppn_z]]="","",IFERROR(
   IF(_xlfn.XLOOKUP(Final_Sans_VGE[[#This Row],[ppn_z]],tbl_Historique_Final[[#This Row],[ppn_z]],tbl_Historique_Final[[#This Row],[date_modif]])=Final_Sans_VGE[[#This Row],[date_modif]],
      "Ancien",
      "Modifié"),
   "Nouveau")),"")</f>
        <v/>
      </c>
    </row>
    <row r="4080" spans="24:30" x14ac:dyDescent="0.25">
      <c r="X4080" s="8" t="e">
        <f>IF(Final_Sans_VGE[[#This Row],[ppn_z]]="","",IFERROR(
   IF(_xlfn.XLOOKUP(Final_Sans_VGE[[#This Row],[ppn_z]],tbl_Historique_Final[ppn_z],tbl_Historique_Final[date_modif])=Final_Sans_VGE[[#This Row],[date_modif]],
      "Ancien",
      "Modifié"),
   "Nouveau"))</f>
        <v>#VALUE!</v>
      </c>
      <c r="AD4080" s="1" t="str">
        <f>IFERROR(IF(Final_Sans_VGE[[#This Row],[ppn_z]]="","",IFERROR(
   IF(_xlfn.XLOOKUP(Final_Sans_VGE[[#This Row],[ppn_z]],tbl_Historique_Final[[#This Row],[ppn_z]],tbl_Historique_Final[[#This Row],[date_modif]])=Final_Sans_VGE[[#This Row],[date_modif]],
      "Ancien",
      "Modifié"),
   "Nouveau")),"")</f>
        <v/>
      </c>
    </row>
    <row r="4081" spans="24:30" x14ac:dyDescent="0.25">
      <c r="X4081" s="8" t="e">
        <f>IF(Final_Sans_VGE[[#This Row],[ppn_z]]="","",IFERROR(
   IF(_xlfn.XLOOKUP(Final_Sans_VGE[[#This Row],[ppn_z]],tbl_Historique_Final[ppn_z],tbl_Historique_Final[date_modif])=Final_Sans_VGE[[#This Row],[date_modif]],
      "Ancien",
      "Modifié"),
   "Nouveau"))</f>
        <v>#VALUE!</v>
      </c>
      <c r="AD4081" s="1" t="str">
        <f>IFERROR(IF(Final_Sans_VGE[[#This Row],[ppn_z]]="","",IFERROR(
   IF(_xlfn.XLOOKUP(Final_Sans_VGE[[#This Row],[ppn_z]],tbl_Historique_Final[[#This Row],[ppn_z]],tbl_Historique_Final[[#This Row],[date_modif]])=Final_Sans_VGE[[#This Row],[date_modif]],
      "Ancien",
      "Modifié"),
   "Nouveau")),"")</f>
        <v/>
      </c>
    </row>
    <row r="4082" spans="24:30" x14ac:dyDescent="0.25">
      <c r="X4082" s="8" t="e">
        <f>IF(Final_Sans_VGE[[#This Row],[ppn_z]]="","",IFERROR(
   IF(_xlfn.XLOOKUP(Final_Sans_VGE[[#This Row],[ppn_z]],tbl_Historique_Final[ppn_z],tbl_Historique_Final[date_modif])=Final_Sans_VGE[[#This Row],[date_modif]],
      "Ancien",
      "Modifié"),
   "Nouveau"))</f>
        <v>#VALUE!</v>
      </c>
      <c r="AD4082" s="1" t="str">
        <f>IFERROR(IF(Final_Sans_VGE[[#This Row],[ppn_z]]="","",IFERROR(
   IF(_xlfn.XLOOKUP(Final_Sans_VGE[[#This Row],[ppn_z]],tbl_Historique_Final[[#This Row],[ppn_z]],tbl_Historique_Final[[#This Row],[date_modif]])=Final_Sans_VGE[[#This Row],[date_modif]],
      "Ancien",
      "Modifié"),
   "Nouveau")),"")</f>
        <v/>
      </c>
    </row>
    <row r="4083" spans="24:30" x14ac:dyDescent="0.25">
      <c r="X4083" s="8" t="e">
        <f>IF(Final_Sans_VGE[[#This Row],[ppn_z]]="","",IFERROR(
   IF(_xlfn.XLOOKUP(Final_Sans_VGE[[#This Row],[ppn_z]],tbl_Historique_Final[ppn_z],tbl_Historique_Final[date_modif])=Final_Sans_VGE[[#This Row],[date_modif]],
      "Ancien",
      "Modifié"),
   "Nouveau"))</f>
        <v>#VALUE!</v>
      </c>
      <c r="AD4083" s="1" t="str">
        <f>IFERROR(IF(Final_Sans_VGE[[#This Row],[ppn_z]]="","",IFERROR(
   IF(_xlfn.XLOOKUP(Final_Sans_VGE[[#This Row],[ppn_z]],tbl_Historique_Final[[#This Row],[ppn_z]],tbl_Historique_Final[[#This Row],[date_modif]])=Final_Sans_VGE[[#This Row],[date_modif]],
      "Ancien",
      "Modifié"),
   "Nouveau")),"")</f>
        <v/>
      </c>
    </row>
    <row r="4084" spans="24:30" x14ac:dyDescent="0.25">
      <c r="X4084" s="8" t="e">
        <f>IF(Final_Sans_VGE[[#This Row],[ppn_z]]="","",IFERROR(
   IF(_xlfn.XLOOKUP(Final_Sans_VGE[[#This Row],[ppn_z]],tbl_Historique_Final[ppn_z],tbl_Historique_Final[date_modif])=Final_Sans_VGE[[#This Row],[date_modif]],
      "Ancien",
      "Modifié"),
   "Nouveau"))</f>
        <v>#VALUE!</v>
      </c>
      <c r="AD4084" s="1" t="str">
        <f>IFERROR(IF(Final_Sans_VGE[[#This Row],[ppn_z]]="","",IFERROR(
   IF(_xlfn.XLOOKUP(Final_Sans_VGE[[#This Row],[ppn_z]],tbl_Historique_Final[[#This Row],[ppn_z]],tbl_Historique_Final[[#This Row],[date_modif]])=Final_Sans_VGE[[#This Row],[date_modif]],
      "Ancien",
      "Modifié"),
   "Nouveau")),"")</f>
        <v/>
      </c>
    </row>
    <row r="4085" spans="24:30" x14ac:dyDescent="0.25">
      <c r="X4085" s="8" t="e">
        <f>IF(Final_Sans_VGE[[#This Row],[ppn_z]]="","",IFERROR(
   IF(_xlfn.XLOOKUP(Final_Sans_VGE[[#This Row],[ppn_z]],tbl_Historique_Final[ppn_z],tbl_Historique_Final[date_modif])=Final_Sans_VGE[[#This Row],[date_modif]],
      "Ancien",
      "Modifié"),
   "Nouveau"))</f>
        <v>#VALUE!</v>
      </c>
      <c r="AD4085" s="1" t="str">
        <f>IFERROR(IF(Final_Sans_VGE[[#This Row],[ppn_z]]="","",IFERROR(
   IF(_xlfn.XLOOKUP(Final_Sans_VGE[[#This Row],[ppn_z]],tbl_Historique_Final[[#This Row],[ppn_z]],tbl_Historique_Final[[#This Row],[date_modif]])=Final_Sans_VGE[[#This Row],[date_modif]],
      "Ancien",
      "Modifié"),
   "Nouveau")),"")</f>
        <v/>
      </c>
    </row>
    <row r="4086" spans="24:30" x14ac:dyDescent="0.25">
      <c r="X4086" s="8" t="e">
        <f>IF(Final_Sans_VGE[[#This Row],[ppn_z]]="","",IFERROR(
   IF(_xlfn.XLOOKUP(Final_Sans_VGE[[#This Row],[ppn_z]],tbl_Historique_Final[ppn_z],tbl_Historique_Final[date_modif])=Final_Sans_VGE[[#This Row],[date_modif]],
      "Ancien",
      "Modifié"),
   "Nouveau"))</f>
        <v>#VALUE!</v>
      </c>
      <c r="AD4086" s="1" t="str">
        <f>IFERROR(IF(Final_Sans_VGE[[#This Row],[ppn_z]]="","",IFERROR(
   IF(_xlfn.XLOOKUP(Final_Sans_VGE[[#This Row],[ppn_z]],tbl_Historique_Final[[#This Row],[ppn_z]],tbl_Historique_Final[[#This Row],[date_modif]])=Final_Sans_VGE[[#This Row],[date_modif]],
      "Ancien",
      "Modifié"),
   "Nouveau")),"")</f>
        <v/>
      </c>
    </row>
    <row r="4087" spans="24:30" x14ac:dyDescent="0.25">
      <c r="X4087" s="8" t="e">
        <f>IF(Final_Sans_VGE[[#This Row],[ppn_z]]="","",IFERROR(
   IF(_xlfn.XLOOKUP(Final_Sans_VGE[[#This Row],[ppn_z]],tbl_Historique_Final[ppn_z],tbl_Historique_Final[date_modif])=Final_Sans_VGE[[#This Row],[date_modif]],
      "Ancien",
      "Modifié"),
   "Nouveau"))</f>
        <v>#VALUE!</v>
      </c>
      <c r="AD4087" s="1" t="str">
        <f>IFERROR(IF(Final_Sans_VGE[[#This Row],[ppn_z]]="","",IFERROR(
   IF(_xlfn.XLOOKUP(Final_Sans_VGE[[#This Row],[ppn_z]],tbl_Historique_Final[[#This Row],[ppn_z]],tbl_Historique_Final[[#This Row],[date_modif]])=Final_Sans_VGE[[#This Row],[date_modif]],
      "Ancien",
      "Modifié"),
   "Nouveau")),"")</f>
        <v/>
      </c>
    </row>
    <row r="4088" spans="24:30" x14ac:dyDescent="0.25">
      <c r="X4088" s="8" t="e">
        <f>IF(Final_Sans_VGE[[#This Row],[ppn_z]]="","",IFERROR(
   IF(_xlfn.XLOOKUP(Final_Sans_VGE[[#This Row],[ppn_z]],tbl_Historique_Final[ppn_z],tbl_Historique_Final[date_modif])=Final_Sans_VGE[[#This Row],[date_modif]],
      "Ancien",
      "Modifié"),
   "Nouveau"))</f>
        <v>#VALUE!</v>
      </c>
      <c r="AD4088" s="1" t="str">
        <f>IFERROR(IF(Final_Sans_VGE[[#This Row],[ppn_z]]="","",IFERROR(
   IF(_xlfn.XLOOKUP(Final_Sans_VGE[[#This Row],[ppn_z]],tbl_Historique_Final[[#This Row],[ppn_z]],tbl_Historique_Final[[#This Row],[date_modif]])=Final_Sans_VGE[[#This Row],[date_modif]],
      "Ancien",
      "Modifié"),
   "Nouveau")),"")</f>
        <v/>
      </c>
    </row>
    <row r="4089" spans="24:30" x14ac:dyDescent="0.25">
      <c r="X4089" s="8" t="e">
        <f>IF(Final_Sans_VGE[[#This Row],[ppn_z]]="","",IFERROR(
   IF(_xlfn.XLOOKUP(Final_Sans_VGE[[#This Row],[ppn_z]],tbl_Historique_Final[ppn_z],tbl_Historique_Final[date_modif])=Final_Sans_VGE[[#This Row],[date_modif]],
      "Ancien",
      "Modifié"),
   "Nouveau"))</f>
        <v>#VALUE!</v>
      </c>
      <c r="AD4089" s="1" t="str">
        <f>IFERROR(IF(Final_Sans_VGE[[#This Row],[ppn_z]]="","",IFERROR(
   IF(_xlfn.XLOOKUP(Final_Sans_VGE[[#This Row],[ppn_z]],tbl_Historique_Final[[#This Row],[ppn_z]],tbl_Historique_Final[[#This Row],[date_modif]])=Final_Sans_VGE[[#This Row],[date_modif]],
      "Ancien",
      "Modifié"),
   "Nouveau")),"")</f>
        <v/>
      </c>
    </row>
    <row r="4090" spans="24:30" x14ac:dyDescent="0.25">
      <c r="X4090" s="8" t="e">
        <f>IF(Final_Sans_VGE[[#This Row],[ppn_z]]="","",IFERROR(
   IF(_xlfn.XLOOKUP(Final_Sans_VGE[[#This Row],[ppn_z]],tbl_Historique_Final[ppn_z],tbl_Historique_Final[date_modif])=Final_Sans_VGE[[#This Row],[date_modif]],
      "Ancien",
      "Modifié"),
   "Nouveau"))</f>
        <v>#VALUE!</v>
      </c>
      <c r="AD4090" s="1" t="str">
        <f>IFERROR(IF(Final_Sans_VGE[[#This Row],[ppn_z]]="","",IFERROR(
   IF(_xlfn.XLOOKUP(Final_Sans_VGE[[#This Row],[ppn_z]],tbl_Historique_Final[[#This Row],[ppn_z]],tbl_Historique_Final[[#This Row],[date_modif]])=Final_Sans_VGE[[#This Row],[date_modif]],
      "Ancien",
      "Modifié"),
   "Nouveau")),"")</f>
        <v/>
      </c>
    </row>
    <row r="4091" spans="24:30" x14ac:dyDescent="0.25">
      <c r="X4091" s="8" t="e">
        <f>IF(Final_Sans_VGE[[#This Row],[ppn_z]]="","",IFERROR(
   IF(_xlfn.XLOOKUP(Final_Sans_VGE[[#This Row],[ppn_z]],tbl_Historique_Final[ppn_z],tbl_Historique_Final[date_modif])=Final_Sans_VGE[[#This Row],[date_modif]],
      "Ancien",
      "Modifié"),
   "Nouveau"))</f>
        <v>#VALUE!</v>
      </c>
      <c r="AD4091" s="1" t="str">
        <f>IFERROR(IF(Final_Sans_VGE[[#This Row],[ppn_z]]="","",IFERROR(
   IF(_xlfn.XLOOKUP(Final_Sans_VGE[[#This Row],[ppn_z]],tbl_Historique_Final[[#This Row],[ppn_z]],tbl_Historique_Final[[#This Row],[date_modif]])=Final_Sans_VGE[[#This Row],[date_modif]],
      "Ancien",
      "Modifié"),
   "Nouveau")),"")</f>
        <v/>
      </c>
    </row>
    <row r="4092" spans="24:30" x14ac:dyDescent="0.25">
      <c r="X4092" s="8" t="e">
        <f>IF(Final_Sans_VGE[[#This Row],[ppn_z]]="","",IFERROR(
   IF(_xlfn.XLOOKUP(Final_Sans_VGE[[#This Row],[ppn_z]],tbl_Historique_Final[ppn_z],tbl_Historique_Final[date_modif])=Final_Sans_VGE[[#This Row],[date_modif]],
      "Ancien",
      "Modifié"),
   "Nouveau"))</f>
        <v>#VALUE!</v>
      </c>
      <c r="AD4092" s="1" t="str">
        <f>IFERROR(IF(Final_Sans_VGE[[#This Row],[ppn_z]]="","",IFERROR(
   IF(_xlfn.XLOOKUP(Final_Sans_VGE[[#This Row],[ppn_z]],tbl_Historique_Final[[#This Row],[ppn_z]],tbl_Historique_Final[[#This Row],[date_modif]])=Final_Sans_VGE[[#This Row],[date_modif]],
      "Ancien",
      "Modifié"),
   "Nouveau")),"")</f>
        <v/>
      </c>
    </row>
    <row r="4093" spans="24:30" x14ac:dyDescent="0.25">
      <c r="X4093" s="8" t="e">
        <f>IF(Final_Sans_VGE[[#This Row],[ppn_z]]="","",IFERROR(
   IF(_xlfn.XLOOKUP(Final_Sans_VGE[[#This Row],[ppn_z]],tbl_Historique_Final[ppn_z],tbl_Historique_Final[date_modif])=Final_Sans_VGE[[#This Row],[date_modif]],
      "Ancien",
      "Modifié"),
   "Nouveau"))</f>
        <v>#VALUE!</v>
      </c>
      <c r="AD4093" s="1" t="str">
        <f>IFERROR(IF(Final_Sans_VGE[[#This Row],[ppn_z]]="","",IFERROR(
   IF(_xlfn.XLOOKUP(Final_Sans_VGE[[#This Row],[ppn_z]],tbl_Historique_Final[[#This Row],[ppn_z]],tbl_Historique_Final[[#This Row],[date_modif]])=Final_Sans_VGE[[#This Row],[date_modif]],
      "Ancien",
      "Modifié"),
   "Nouveau")),"")</f>
        <v/>
      </c>
    </row>
    <row r="4094" spans="24:30" x14ac:dyDescent="0.25">
      <c r="X4094" s="8" t="e">
        <f>IF(Final_Sans_VGE[[#This Row],[ppn_z]]="","",IFERROR(
   IF(_xlfn.XLOOKUP(Final_Sans_VGE[[#This Row],[ppn_z]],tbl_Historique_Final[ppn_z],tbl_Historique_Final[date_modif])=Final_Sans_VGE[[#This Row],[date_modif]],
      "Ancien",
      "Modifié"),
   "Nouveau"))</f>
        <v>#VALUE!</v>
      </c>
      <c r="AD4094" s="1" t="str">
        <f>IFERROR(IF(Final_Sans_VGE[[#This Row],[ppn_z]]="","",IFERROR(
   IF(_xlfn.XLOOKUP(Final_Sans_VGE[[#This Row],[ppn_z]],tbl_Historique_Final[[#This Row],[ppn_z]],tbl_Historique_Final[[#This Row],[date_modif]])=Final_Sans_VGE[[#This Row],[date_modif]],
      "Ancien",
      "Modifié"),
   "Nouveau")),"")</f>
        <v/>
      </c>
    </row>
    <row r="4095" spans="24:30" x14ac:dyDescent="0.25">
      <c r="X4095" s="8" t="e">
        <f>IF(Final_Sans_VGE[[#This Row],[ppn_z]]="","",IFERROR(
   IF(_xlfn.XLOOKUP(Final_Sans_VGE[[#This Row],[ppn_z]],tbl_Historique_Final[ppn_z],tbl_Historique_Final[date_modif])=Final_Sans_VGE[[#This Row],[date_modif]],
      "Ancien",
      "Modifié"),
   "Nouveau"))</f>
        <v>#VALUE!</v>
      </c>
      <c r="AD4095" s="1" t="str">
        <f>IFERROR(IF(Final_Sans_VGE[[#This Row],[ppn_z]]="","",IFERROR(
   IF(_xlfn.XLOOKUP(Final_Sans_VGE[[#This Row],[ppn_z]],tbl_Historique_Final[[#This Row],[ppn_z]],tbl_Historique_Final[[#This Row],[date_modif]])=Final_Sans_VGE[[#This Row],[date_modif]],
      "Ancien",
      "Modifié"),
   "Nouveau")),"")</f>
        <v/>
      </c>
    </row>
    <row r="4096" spans="24:30" x14ac:dyDescent="0.25">
      <c r="X4096" s="8" t="e">
        <f>IF(Final_Sans_VGE[[#This Row],[ppn_z]]="","",IFERROR(
   IF(_xlfn.XLOOKUP(Final_Sans_VGE[[#This Row],[ppn_z]],tbl_Historique_Final[ppn_z],tbl_Historique_Final[date_modif])=Final_Sans_VGE[[#This Row],[date_modif]],
      "Ancien",
      "Modifié"),
   "Nouveau"))</f>
        <v>#VALUE!</v>
      </c>
      <c r="AD4096" s="1" t="str">
        <f>IFERROR(IF(Final_Sans_VGE[[#This Row],[ppn_z]]="","",IFERROR(
   IF(_xlfn.XLOOKUP(Final_Sans_VGE[[#This Row],[ppn_z]],tbl_Historique_Final[[#This Row],[ppn_z]],tbl_Historique_Final[[#This Row],[date_modif]])=Final_Sans_VGE[[#This Row],[date_modif]],
      "Ancien",
      "Modifié"),
   "Nouveau")),"")</f>
        <v/>
      </c>
    </row>
    <row r="4097" spans="24:30" x14ac:dyDescent="0.25">
      <c r="X4097" s="8" t="e">
        <f>IF(Final_Sans_VGE[[#This Row],[ppn_z]]="","",IFERROR(
   IF(_xlfn.XLOOKUP(Final_Sans_VGE[[#This Row],[ppn_z]],tbl_Historique_Final[ppn_z],tbl_Historique_Final[date_modif])=Final_Sans_VGE[[#This Row],[date_modif]],
      "Ancien",
      "Modifié"),
   "Nouveau"))</f>
        <v>#VALUE!</v>
      </c>
      <c r="AD4097" s="1" t="str">
        <f>IFERROR(IF(Final_Sans_VGE[[#This Row],[ppn_z]]="","",IFERROR(
   IF(_xlfn.XLOOKUP(Final_Sans_VGE[[#This Row],[ppn_z]],tbl_Historique_Final[[#This Row],[ppn_z]],tbl_Historique_Final[[#This Row],[date_modif]])=Final_Sans_VGE[[#This Row],[date_modif]],
      "Ancien",
      "Modifié"),
   "Nouveau")),"")</f>
        <v/>
      </c>
    </row>
    <row r="4098" spans="24:30" x14ac:dyDescent="0.25">
      <c r="X4098" s="8" t="e">
        <f>IF(Final_Sans_VGE[[#This Row],[ppn_z]]="","",IFERROR(
   IF(_xlfn.XLOOKUP(Final_Sans_VGE[[#This Row],[ppn_z]],tbl_Historique_Final[ppn_z],tbl_Historique_Final[date_modif])=Final_Sans_VGE[[#This Row],[date_modif]],
      "Ancien",
      "Modifié"),
   "Nouveau"))</f>
        <v>#VALUE!</v>
      </c>
      <c r="AD4098" s="1" t="str">
        <f>IFERROR(IF(Final_Sans_VGE[[#This Row],[ppn_z]]="","",IFERROR(
   IF(_xlfn.XLOOKUP(Final_Sans_VGE[[#This Row],[ppn_z]],tbl_Historique_Final[[#This Row],[ppn_z]],tbl_Historique_Final[[#This Row],[date_modif]])=Final_Sans_VGE[[#This Row],[date_modif]],
      "Ancien",
      "Modifié"),
   "Nouveau")),"")</f>
        <v/>
      </c>
    </row>
    <row r="4099" spans="24:30" x14ac:dyDescent="0.25">
      <c r="X4099" s="8" t="e">
        <f>IF(Final_Sans_VGE[[#This Row],[ppn_z]]="","",IFERROR(
   IF(_xlfn.XLOOKUP(Final_Sans_VGE[[#This Row],[ppn_z]],tbl_Historique_Final[ppn_z],tbl_Historique_Final[date_modif])=Final_Sans_VGE[[#This Row],[date_modif]],
      "Ancien",
      "Modifié"),
   "Nouveau"))</f>
        <v>#VALUE!</v>
      </c>
      <c r="AD4099" s="1" t="str">
        <f>IFERROR(IF(Final_Sans_VGE[[#This Row],[ppn_z]]="","",IFERROR(
   IF(_xlfn.XLOOKUP(Final_Sans_VGE[[#This Row],[ppn_z]],tbl_Historique_Final[[#This Row],[ppn_z]],tbl_Historique_Final[[#This Row],[date_modif]])=Final_Sans_VGE[[#This Row],[date_modif]],
      "Ancien",
      "Modifié"),
   "Nouveau")),"")</f>
        <v/>
      </c>
    </row>
    <row r="4100" spans="24:30" x14ac:dyDescent="0.25">
      <c r="X4100" s="8" t="e">
        <f>IF(Final_Sans_VGE[[#This Row],[ppn_z]]="","",IFERROR(
   IF(_xlfn.XLOOKUP(Final_Sans_VGE[[#This Row],[ppn_z]],tbl_Historique_Final[ppn_z],tbl_Historique_Final[date_modif])=Final_Sans_VGE[[#This Row],[date_modif]],
      "Ancien",
      "Modifié"),
   "Nouveau"))</f>
        <v>#VALUE!</v>
      </c>
      <c r="AD4100" s="1" t="str">
        <f>IFERROR(IF(Final_Sans_VGE[[#This Row],[ppn_z]]="","",IFERROR(
   IF(_xlfn.XLOOKUP(Final_Sans_VGE[[#This Row],[ppn_z]],tbl_Historique_Final[[#This Row],[ppn_z]],tbl_Historique_Final[[#This Row],[date_modif]])=Final_Sans_VGE[[#This Row],[date_modif]],
      "Ancien",
      "Modifié"),
   "Nouveau")),"")</f>
        <v/>
      </c>
    </row>
    <row r="4101" spans="24:30" x14ac:dyDescent="0.25">
      <c r="X4101" s="8" t="e">
        <f>IF(Final_Sans_VGE[[#This Row],[ppn_z]]="","",IFERROR(
   IF(_xlfn.XLOOKUP(Final_Sans_VGE[[#This Row],[ppn_z]],tbl_Historique_Final[ppn_z],tbl_Historique_Final[date_modif])=Final_Sans_VGE[[#This Row],[date_modif]],
      "Ancien",
      "Modifié"),
   "Nouveau"))</f>
        <v>#VALUE!</v>
      </c>
      <c r="AD4101" s="1" t="str">
        <f>IFERROR(IF(Final_Sans_VGE[[#This Row],[ppn_z]]="","",IFERROR(
   IF(_xlfn.XLOOKUP(Final_Sans_VGE[[#This Row],[ppn_z]],tbl_Historique_Final[[#This Row],[ppn_z]],tbl_Historique_Final[[#This Row],[date_modif]])=Final_Sans_VGE[[#This Row],[date_modif]],
      "Ancien",
      "Modifié"),
   "Nouveau")),"")</f>
        <v/>
      </c>
    </row>
    <row r="4102" spans="24:30" x14ac:dyDescent="0.25">
      <c r="X4102" s="8" t="e">
        <f>IF(Final_Sans_VGE[[#This Row],[ppn_z]]="","",IFERROR(
   IF(_xlfn.XLOOKUP(Final_Sans_VGE[[#This Row],[ppn_z]],tbl_Historique_Final[ppn_z],tbl_Historique_Final[date_modif])=Final_Sans_VGE[[#This Row],[date_modif]],
      "Ancien",
      "Modifié"),
   "Nouveau"))</f>
        <v>#VALUE!</v>
      </c>
      <c r="AD4102" s="1" t="str">
        <f>IFERROR(IF(Final_Sans_VGE[[#This Row],[ppn_z]]="","",IFERROR(
   IF(_xlfn.XLOOKUP(Final_Sans_VGE[[#This Row],[ppn_z]],tbl_Historique_Final[[#This Row],[ppn_z]],tbl_Historique_Final[[#This Row],[date_modif]])=Final_Sans_VGE[[#This Row],[date_modif]],
      "Ancien",
      "Modifié"),
   "Nouveau")),"")</f>
        <v/>
      </c>
    </row>
    <row r="4103" spans="24:30" x14ac:dyDescent="0.25">
      <c r="X4103" s="8" t="e">
        <f>IF(Final_Sans_VGE[[#This Row],[ppn_z]]="","",IFERROR(
   IF(_xlfn.XLOOKUP(Final_Sans_VGE[[#This Row],[ppn_z]],tbl_Historique_Final[ppn_z],tbl_Historique_Final[date_modif])=Final_Sans_VGE[[#This Row],[date_modif]],
      "Ancien",
      "Modifié"),
   "Nouveau"))</f>
        <v>#VALUE!</v>
      </c>
      <c r="AD4103" s="1" t="str">
        <f>IFERROR(IF(Final_Sans_VGE[[#This Row],[ppn_z]]="","",IFERROR(
   IF(_xlfn.XLOOKUP(Final_Sans_VGE[[#This Row],[ppn_z]],tbl_Historique_Final[[#This Row],[ppn_z]],tbl_Historique_Final[[#This Row],[date_modif]])=Final_Sans_VGE[[#This Row],[date_modif]],
      "Ancien",
      "Modifié"),
   "Nouveau")),"")</f>
        <v/>
      </c>
    </row>
    <row r="4104" spans="24:30" x14ac:dyDescent="0.25">
      <c r="X4104" s="8" t="e">
        <f>IF(Final_Sans_VGE[[#This Row],[ppn_z]]="","",IFERROR(
   IF(_xlfn.XLOOKUP(Final_Sans_VGE[[#This Row],[ppn_z]],tbl_Historique_Final[ppn_z],tbl_Historique_Final[date_modif])=Final_Sans_VGE[[#This Row],[date_modif]],
      "Ancien",
      "Modifié"),
   "Nouveau"))</f>
        <v>#VALUE!</v>
      </c>
      <c r="AD4104" s="1" t="str">
        <f>IFERROR(IF(Final_Sans_VGE[[#This Row],[ppn_z]]="","",IFERROR(
   IF(_xlfn.XLOOKUP(Final_Sans_VGE[[#This Row],[ppn_z]],tbl_Historique_Final[[#This Row],[ppn_z]],tbl_Historique_Final[[#This Row],[date_modif]])=Final_Sans_VGE[[#This Row],[date_modif]],
      "Ancien",
      "Modifié"),
   "Nouveau")),"")</f>
        <v/>
      </c>
    </row>
    <row r="4105" spans="24:30" x14ac:dyDescent="0.25">
      <c r="X4105" s="8" t="e">
        <f>IF(Final_Sans_VGE[[#This Row],[ppn_z]]="","",IFERROR(
   IF(_xlfn.XLOOKUP(Final_Sans_VGE[[#This Row],[ppn_z]],tbl_Historique_Final[ppn_z],tbl_Historique_Final[date_modif])=Final_Sans_VGE[[#This Row],[date_modif]],
      "Ancien",
      "Modifié"),
   "Nouveau"))</f>
        <v>#VALUE!</v>
      </c>
      <c r="AD4105" s="1" t="str">
        <f>IFERROR(IF(Final_Sans_VGE[[#This Row],[ppn_z]]="","",IFERROR(
   IF(_xlfn.XLOOKUP(Final_Sans_VGE[[#This Row],[ppn_z]],tbl_Historique_Final[[#This Row],[ppn_z]],tbl_Historique_Final[[#This Row],[date_modif]])=Final_Sans_VGE[[#This Row],[date_modif]],
      "Ancien",
      "Modifié"),
   "Nouveau")),"")</f>
        <v/>
      </c>
    </row>
    <row r="4106" spans="24:30" x14ac:dyDescent="0.25">
      <c r="X4106" s="8" t="e">
        <f>IF(Final_Sans_VGE[[#This Row],[ppn_z]]="","",IFERROR(
   IF(_xlfn.XLOOKUP(Final_Sans_VGE[[#This Row],[ppn_z]],tbl_Historique_Final[ppn_z],tbl_Historique_Final[date_modif])=Final_Sans_VGE[[#This Row],[date_modif]],
      "Ancien",
      "Modifié"),
   "Nouveau"))</f>
        <v>#VALUE!</v>
      </c>
      <c r="AD4106" s="1" t="str">
        <f>IFERROR(IF(Final_Sans_VGE[[#This Row],[ppn_z]]="","",IFERROR(
   IF(_xlfn.XLOOKUP(Final_Sans_VGE[[#This Row],[ppn_z]],tbl_Historique_Final[[#This Row],[ppn_z]],tbl_Historique_Final[[#This Row],[date_modif]])=Final_Sans_VGE[[#This Row],[date_modif]],
      "Ancien",
      "Modifié"),
   "Nouveau")),"")</f>
        <v/>
      </c>
    </row>
    <row r="4107" spans="24:30" x14ac:dyDescent="0.25">
      <c r="X4107" s="8" t="e">
        <f>IF(Final_Sans_VGE[[#This Row],[ppn_z]]="","",IFERROR(
   IF(_xlfn.XLOOKUP(Final_Sans_VGE[[#This Row],[ppn_z]],tbl_Historique_Final[ppn_z],tbl_Historique_Final[date_modif])=Final_Sans_VGE[[#This Row],[date_modif]],
      "Ancien",
      "Modifié"),
   "Nouveau"))</f>
        <v>#VALUE!</v>
      </c>
      <c r="AD4107" s="1" t="str">
        <f>IFERROR(IF(Final_Sans_VGE[[#This Row],[ppn_z]]="","",IFERROR(
   IF(_xlfn.XLOOKUP(Final_Sans_VGE[[#This Row],[ppn_z]],tbl_Historique_Final[[#This Row],[ppn_z]],tbl_Historique_Final[[#This Row],[date_modif]])=Final_Sans_VGE[[#This Row],[date_modif]],
      "Ancien",
      "Modifié"),
   "Nouveau")),"")</f>
        <v/>
      </c>
    </row>
    <row r="4108" spans="24:30" x14ac:dyDescent="0.25">
      <c r="X4108" s="8" t="e">
        <f>IF(Final_Sans_VGE[[#This Row],[ppn_z]]="","",IFERROR(
   IF(_xlfn.XLOOKUP(Final_Sans_VGE[[#This Row],[ppn_z]],tbl_Historique_Final[ppn_z],tbl_Historique_Final[date_modif])=Final_Sans_VGE[[#This Row],[date_modif]],
      "Ancien",
      "Modifié"),
   "Nouveau"))</f>
        <v>#VALUE!</v>
      </c>
      <c r="AD4108" s="1" t="str">
        <f>IFERROR(IF(Final_Sans_VGE[[#This Row],[ppn_z]]="","",IFERROR(
   IF(_xlfn.XLOOKUP(Final_Sans_VGE[[#This Row],[ppn_z]],tbl_Historique_Final[[#This Row],[ppn_z]],tbl_Historique_Final[[#This Row],[date_modif]])=Final_Sans_VGE[[#This Row],[date_modif]],
      "Ancien",
      "Modifié"),
   "Nouveau")),"")</f>
        <v/>
      </c>
    </row>
    <row r="4109" spans="24:30" x14ac:dyDescent="0.25">
      <c r="X4109" s="8" t="e">
        <f>IF(Final_Sans_VGE[[#This Row],[ppn_z]]="","",IFERROR(
   IF(_xlfn.XLOOKUP(Final_Sans_VGE[[#This Row],[ppn_z]],tbl_Historique_Final[ppn_z],tbl_Historique_Final[date_modif])=Final_Sans_VGE[[#This Row],[date_modif]],
      "Ancien",
      "Modifié"),
   "Nouveau"))</f>
        <v>#VALUE!</v>
      </c>
      <c r="AD4109" s="1" t="str">
        <f>IFERROR(IF(Final_Sans_VGE[[#This Row],[ppn_z]]="","",IFERROR(
   IF(_xlfn.XLOOKUP(Final_Sans_VGE[[#This Row],[ppn_z]],tbl_Historique_Final[[#This Row],[ppn_z]],tbl_Historique_Final[[#This Row],[date_modif]])=Final_Sans_VGE[[#This Row],[date_modif]],
      "Ancien",
      "Modifié"),
   "Nouveau")),"")</f>
        <v/>
      </c>
    </row>
    <row r="4110" spans="24:30" x14ac:dyDescent="0.25">
      <c r="X4110" s="8" t="e">
        <f>IF(Final_Sans_VGE[[#This Row],[ppn_z]]="","",IFERROR(
   IF(_xlfn.XLOOKUP(Final_Sans_VGE[[#This Row],[ppn_z]],tbl_Historique_Final[ppn_z],tbl_Historique_Final[date_modif])=Final_Sans_VGE[[#This Row],[date_modif]],
      "Ancien",
      "Modifié"),
   "Nouveau"))</f>
        <v>#VALUE!</v>
      </c>
      <c r="AD4110" s="1" t="str">
        <f>IFERROR(IF(Final_Sans_VGE[[#This Row],[ppn_z]]="","",IFERROR(
   IF(_xlfn.XLOOKUP(Final_Sans_VGE[[#This Row],[ppn_z]],tbl_Historique_Final[[#This Row],[ppn_z]],tbl_Historique_Final[[#This Row],[date_modif]])=Final_Sans_VGE[[#This Row],[date_modif]],
      "Ancien",
      "Modifié"),
   "Nouveau")),"")</f>
        <v/>
      </c>
    </row>
    <row r="4111" spans="24:30" x14ac:dyDescent="0.25">
      <c r="X4111" s="8" t="e">
        <f>IF(Final_Sans_VGE[[#This Row],[ppn_z]]="","",IFERROR(
   IF(_xlfn.XLOOKUP(Final_Sans_VGE[[#This Row],[ppn_z]],tbl_Historique_Final[ppn_z],tbl_Historique_Final[date_modif])=Final_Sans_VGE[[#This Row],[date_modif]],
      "Ancien",
      "Modifié"),
   "Nouveau"))</f>
        <v>#VALUE!</v>
      </c>
      <c r="AD4111" s="1" t="str">
        <f>IFERROR(IF(Final_Sans_VGE[[#This Row],[ppn_z]]="","",IFERROR(
   IF(_xlfn.XLOOKUP(Final_Sans_VGE[[#This Row],[ppn_z]],tbl_Historique_Final[[#This Row],[ppn_z]],tbl_Historique_Final[[#This Row],[date_modif]])=Final_Sans_VGE[[#This Row],[date_modif]],
      "Ancien",
      "Modifié"),
   "Nouveau")),"")</f>
        <v/>
      </c>
    </row>
    <row r="4112" spans="24:30" x14ac:dyDescent="0.25">
      <c r="X4112" s="8" t="e">
        <f>IF(Final_Sans_VGE[[#This Row],[ppn_z]]="","",IFERROR(
   IF(_xlfn.XLOOKUP(Final_Sans_VGE[[#This Row],[ppn_z]],tbl_Historique_Final[ppn_z],tbl_Historique_Final[date_modif])=Final_Sans_VGE[[#This Row],[date_modif]],
      "Ancien",
      "Modifié"),
   "Nouveau"))</f>
        <v>#VALUE!</v>
      </c>
      <c r="AD4112" s="1" t="str">
        <f>IFERROR(IF(Final_Sans_VGE[[#This Row],[ppn_z]]="","",IFERROR(
   IF(_xlfn.XLOOKUP(Final_Sans_VGE[[#This Row],[ppn_z]],tbl_Historique_Final[[#This Row],[ppn_z]],tbl_Historique_Final[[#This Row],[date_modif]])=Final_Sans_VGE[[#This Row],[date_modif]],
      "Ancien",
      "Modifié"),
   "Nouveau")),"")</f>
        <v/>
      </c>
    </row>
    <row r="4113" spans="24:30" x14ac:dyDescent="0.25">
      <c r="X4113" s="8" t="e">
        <f>IF(Final_Sans_VGE[[#This Row],[ppn_z]]="","",IFERROR(
   IF(_xlfn.XLOOKUP(Final_Sans_VGE[[#This Row],[ppn_z]],tbl_Historique_Final[ppn_z],tbl_Historique_Final[date_modif])=Final_Sans_VGE[[#This Row],[date_modif]],
      "Ancien",
      "Modifié"),
   "Nouveau"))</f>
        <v>#VALUE!</v>
      </c>
      <c r="AD4113" s="1" t="str">
        <f>IFERROR(IF(Final_Sans_VGE[[#This Row],[ppn_z]]="","",IFERROR(
   IF(_xlfn.XLOOKUP(Final_Sans_VGE[[#This Row],[ppn_z]],tbl_Historique_Final[[#This Row],[ppn_z]],tbl_Historique_Final[[#This Row],[date_modif]])=Final_Sans_VGE[[#This Row],[date_modif]],
      "Ancien",
      "Modifié"),
   "Nouveau")),"")</f>
        <v/>
      </c>
    </row>
    <row r="4114" spans="24:30" x14ac:dyDescent="0.25">
      <c r="X4114" s="8" t="e">
        <f>IF(Final_Sans_VGE[[#This Row],[ppn_z]]="","",IFERROR(
   IF(_xlfn.XLOOKUP(Final_Sans_VGE[[#This Row],[ppn_z]],tbl_Historique_Final[ppn_z],tbl_Historique_Final[date_modif])=Final_Sans_VGE[[#This Row],[date_modif]],
      "Ancien",
      "Modifié"),
   "Nouveau"))</f>
        <v>#VALUE!</v>
      </c>
      <c r="AD4114" s="1" t="str">
        <f>IFERROR(IF(Final_Sans_VGE[[#This Row],[ppn_z]]="","",IFERROR(
   IF(_xlfn.XLOOKUP(Final_Sans_VGE[[#This Row],[ppn_z]],tbl_Historique_Final[[#This Row],[ppn_z]],tbl_Historique_Final[[#This Row],[date_modif]])=Final_Sans_VGE[[#This Row],[date_modif]],
      "Ancien",
      "Modifié"),
   "Nouveau")),"")</f>
        <v/>
      </c>
    </row>
    <row r="4115" spans="24:30" x14ac:dyDescent="0.25">
      <c r="X4115" s="8" t="e">
        <f>IF(Final_Sans_VGE[[#This Row],[ppn_z]]="","",IFERROR(
   IF(_xlfn.XLOOKUP(Final_Sans_VGE[[#This Row],[ppn_z]],tbl_Historique_Final[ppn_z],tbl_Historique_Final[date_modif])=Final_Sans_VGE[[#This Row],[date_modif]],
      "Ancien",
      "Modifié"),
   "Nouveau"))</f>
        <v>#VALUE!</v>
      </c>
      <c r="AD4115" s="1" t="str">
        <f>IFERROR(IF(Final_Sans_VGE[[#This Row],[ppn_z]]="","",IFERROR(
   IF(_xlfn.XLOOKUP(Final_Sans_VGE[[#This Row],[ppn_z]],tbl_Historique_Final[[#This Row],[ppn_z]],tbl_Historique_Final[[#This Row],[date_modif]])=Final_Sans_VGE[[#This Row],[date_modif]],
      "Ancien",
      "Modifié"),
   "Nouveau")),"")</f>
        <v/>
      </c>
    </row>
    <row r="4116" spans="24:30" x14ac:dyDescent="0.25">
      <c r="X4116" s="8" t="e">
        <f>IF(Final_Sans_VGE[[#This Row],[ppn_z]]="","",IFERROR(
   IF(_xlfn.XLOOKUP(Final_Sans_VGE[[#This Row],[ppn_z]],tbl_Historique_Final[ppn_z],tbl_Historique_Final[date_modif])=Final_Sans_VGE[[#This Row],[date_modif]],
      "Ancien",
      "Modifié"),
   "Nouveau"))</f>
        <v>#VALUE!</v>
      </c>
      <c r="AD4116" s="1" t="str">
        <f>IFERROR(IF(Final_Sans_VGE[[#This Row],[ppn_z]]="","",IFERROR(
   IF(_xlfn.XLOOKUP(Final_Sans_VGE[[#This Row],[ppn_z]],tbl_Historique_Final[[#This Row],[ppn_z]],tbl_Historique_Final[[#This Row],[date_modif]])=Final_Sans_VGE[[#This Row],[date_modif]],
      "Ancien",
      "Modifié"),
   "Nouveau")),"")</f>
        <v/>
      </c>
    </row>
    <row r="4117" spans="24:30" x14ac:dyDescent="0.25">
      <c r="X4117" s="8" t="e">
        <f>IF(Final_Sans_VGE[[#This Row],[ppn_z]]="","",IFERROR(
   IF(_xlfn.XLOOKUP(Final_Sans_VGE[[#This Row],[ppn_z]],tbl_Historique_Final[ppn_z],tbl_Historique_Final[date_modif])=Final_Sans_VGE[[#This Row],[date_modif]],
      "Ancien",
      "Modifié"),
   "Nouveau"))</f>
        <v>#VALUE!</v>
      </c>
      <c r="AD4117" s="1" t="str">
        <f>IFERROR(IF(Final_Sans_VGE[[#This Row],[ppn_z]]="","",IFERROR(
   IF(_xlfn.XLOOKUP(Final_Sans_VGE[[#This Row],[ppn_z]],tbl_Historique_Final[[#This Row],[ppn_z]],tbl_Historique_Final[[#This Row],[date_modif]])=Final_Sans_VGE[[#This Row],[date_modif]],
      "Ancien",
      "Modifié"),
   "Nouveau")),"")</f>
        <v/>
      </c>
    </row>
    <row r="4118" spans="24:30" x14ac:dyDescent="0.25">
      <c r="X4118" s="8" t="e">
        <f>IF(Final_Sans_VGE[[#This Row],[ppn_z]]="","",IFERROR(
   IF(_xlfn.XLOOKUP(Final_Sans_VGE[[#This Row],[ppn_z]],tbl_Historique_Final[ppn_z],tbl_Historique_Final[date_modif])=Final_Sans_VGE[[#This Row],[date_modif]],
      "Ancien",
      "Modifié"),
   "Nouveau"))</f>
        <v>#VALUE!</v>
      </c>
      <c r="AD4118" s="1" t="str">
        <f>IFERROR(IF(Final_Sans_VGE[[#This Row],[ppn_z]]="","",IFERROR(
   IF(_xlfn.XLOOKUP(Final_Sans_VGE[[#This Row],[ppn_z]],tbl_Historique_Final[[#This Row],[ppn_z]],tbl_Historique_Final[[#This Row],[date_modif]])=Final_Sans_VGE[[#This Row],[date_modif]],
      "Ancien",
      "Modifié"),
   "Nouveau")),"")</f>
        <v/>
      </c>
    </row>
    <row r="4119" spans="24:30" x14ac:dyDescent="0.25">
      <c r="X4119" s="8" t="e">
        <f>IF(Final_Sans_VGE[[#This Row],[ppn_z]]="","",IFERROR(
   IF(_xlfn.XLOOKUP(Final_Sans_VGE[[#This Row],[ppn_z]],tbl_Historique_Final[ppn_z],tbl_Historique_Final[date_modif])=Final_Sans_VGE[[#This Row],[date_modif]],
      "Ancien",
      "Modifié"),
   "Nouveau"))</f>
        <v>#VALUE!</v>
      </c>
      <c r="AD4119" s="1" t="str">
        <f>IFERROR(IF(Final_Sans_VGE[[#This Row],[ppn_z]]="","",IFERROR(
   IF(_xlfn.XLOOKUP(Final_Sans_VGE[[#This Row],[ppn_z]],tbl_Historique_Final[[#This Row],[ppn_z]],tbl_Historique_Final[[#This Row],[date_modif]])=Final_Sans_VGE[[#This Row],[date_modif]],
      "Ancien",
      "Modifié"),
   "Nouveau")),"")</f>
        <v/>
      </c>
    </row>
    <row r="4120" spans="24:30" x14ac:dyDescent="0.25">
      <c r="X4120" s="8" t="e">
        <f>IF(Final_Sans_VGE[[#This Row],[ppn_z]]="","",IFERROR(
   IF(_xlfn.XLOOKUP(Final_Sans_VGE[[#This Row],[ppn_z]],tbl_Historique_Final[ppn_z],tbl_Historique_Final[date_modif])=Final_Sans_VGE[[#This Row],[date_modif]],
      "Ancien",
      "Modifié"),
   "Nouveau"))</f>
        <v>#VALUE!</v>
      </c>
      <c r="AD4120" s="1" t="str">
        <f>IFERROR(IF(Final_Sans_VGE[[#This Row],[ppn_z]]="","",IFERROR(
   IF(_xlfn.XLOOKUP(Final_Sans_VGE[[#This Row],[ppn_z]],tbl_Historique_Final[[#This Row],[ppn_z]],tbl_Historique_Final[[#This Row],[date_modif]])=Final_Sans_VGE[[#This Row],[date_modif]],
      "Ancien",
      "Modifié"),
   "Nouveau")),"")</f>
        <v/>
      </c>
    </row>
    <row r="4121" spans="24:30" x14ac:dyDescent="0.25">
      <c r="X4121" s="8" t="e">
        <f>IF(Final_Sans_VGE[[#This Row],[ppn_z]]="","",IFERROR(
   IF(_xlfn.XLOOKUP(Final_Sans_VGE[[#This Row],[ppn_z]],tbl_Historique_Final[ppn_z],tbl_Historique_Final[date_modif])=Final_Sans_VGE[[#This Row],[date_modif]],
      "Ancien",
      "Modifié"),
   "Nouveau"))</f>
        <v>#VALUE!</v>
      </c>
      <c r="AD4121" s="1" t="str">
        <f>IFERROR(IF(Final_Sans_VGE[[#This Row],[ppn_z]]="","",IFERROR(
   IF(_xlfn.XLOOKUP(Final_Sans_VGE[[#This Row],[ppn_z]],tbl_Historique_Final[[#This Row],[ppn_z]],tbl_Historique_Final[[#This Row],[date_modif]])=Final_Sans_VGE[[#This Row],[date_modif]],
      "Ancien",
      "Modifié"),
   "Nouveau")),"")</f>
        <v/>
      </c>
    </row>
    <row r="4122" spans="24:30" x14ac:dyDescent="0.25">
      <c r="X4122" s="8" t="e">
        <f>IF(Final_Sans_VGE[[#This Row],[ppn_z]]="","",IFERROR(
   IF(_xlfn.XLOOKUP(Final_Sans_VGE[[#This Row],[ppn_z]],tbl_Historique_Final[ppn_z],tbl_Historique_Final[date_modif])=Final_Sans_VGE[[#This Row],[date_modif]],
      "Ancien",
      "Modifié"),
   "Nouveau"))</f>
        <v>#VALUE!</v>
      </c>
      <c r="AD4122" s="1" t="str">
        <f>IFERROR(IF(Final_Sans_VGE[[#This Row],[ppn_z]]="","",IFERROR(
   IF(_xlfn.XLOOKUP(Final_Sans_VGE[[#This Row],[ppn_z]],tbl_Historique_Final[[#This Row],[ppn_z]],tbl_Historique_Final[[#This Row],[date_modif]])=Final_Sans_VGE[[#This Row],[date_modif]],
      "Ancien",
      "Modifié"),
   "Nouveau")),"")</f>
        <v/>
      </c>
    </row>
    <row r="4123" spans="24:30" x14ac:dyDescent="0.25">
      <c r="X4123" s="8" t="e">
        <f>IF(Final_Sans_VGE[[#This Row],[ppn_z]]="","",IFERROR(
   IF(_xlfn.XLOOKUP(Final_Sans_VGE[[#This Row],[ppn_z]],tbl_Historique_Final[ppn_z],tbl_Historique_Final[date_modif])=Final_Sans_VGE[[#This Row],[date_modif]],
      "Ancien",
      "Modifié"),
   "Nouveau"))</f>
        <v>#VALUE!</v>
      </c>
      <c r="AD4123" s="1" t="str">
        <f>IFERROR(IF(Final_Sans_VGE[[#This Row],[ppn_z]]="","",IFERROR(
   IF(_xlfn.XLOOKUP(Final_Sans_VGE[[#This Row],[ppn_z]],tbl_Historique_Final[[#This Row],[ppn_z]],tbl_Historique_Final[[#This Row],[date_modif]])=Final_Sans_VGE[[#This Row],[date_modif]],
      "Ancien",
      "Modifié"),
   "Nouveau")),"")</f>
        <v/>
      </c>
    </row>
    <row r="4124" spans="24:30" x14ac:dyDescent="0.25">
      <c r="X4124" s="8" t="e">
        <f>IF(Final_Sans_VGE[[#This Row],[ppn_z]]="","",IFERROR(
   IF(_xlfn.XLOOKUP(Final_Sans_VGE[[#This Row],[ppn_z]],tbl_Historique_Final[ppn_z],tbl_Historique_Final[date_modif])=Final_Sans_VGE[[#This Row],[date_modif]],
      "Ancien",
      "Modifié"),
   "Nouveau"))</f>
        <v>#VALUE!</v>
      </c>
      <c r="AD4124" s="1" t="str">
        <f>IFERROR(IF(Final_Sans_VGE[[#This Row],[ppn_z]]="","",IFERROR(
   IF(_xlfn.XLOOKUP(Final_Sans_VGE[[#This Row],[ppn_z]],tbl_Historique_Final[[#This Row],[ppn_z]],tbl_Historique_Final[[#This Row],[date_modif]])=Final_Sans_VGE[[#This Row],[date_modif]],
      "Ancien",
      "Modifié"),
   "Nouveau")),"")</f>
        <v/>
      </c>
    </row>
    <row r="4125" spans="24:30" x14ac:dyDescent="0.25">
      <c r="X4125" s="8" t="e">
        <f>IF(Final_Sans_VGE[[#This Row],[ppn_z]]="","",IFERROR(
   IF(_xlfn.XLOOKUP(Final_Sans_VGE[[#This Row],[ppn_z]],tbl_Historique_Final[ppn_z],tbl_Historique_Final[date_modif])=Final_Sans_VGE[[#This Row],[date_modif]],
      "Ancien",
      "Modifié"),
   "Nouveau"))</f>
        <v>#VALUE!</v>
      </c>
      <c r="AD4125" s="1" t="str">
        <f>IFERROR(IF(Final_Sans_VGE[[#This Row],[ppn_z]]="","",IFERROR(
   IF(_xlfn.XLOOKUP(Final_Sans_VGE[[#This Row],[ppn_z]],tbl_Historique_Final[[#This Row],[ppn_z]],tbl_Historique_Final[[#This Row],[date_modif]])=Final_Sans_VGE[[#This Row],[date_modif]],
      "Ancien",
      "Modifié"),
   "Nouveau")),"")</f>
        <v/>
      </c>
    </row>
    <row r="4126" spans="24:30" x14ac:dyDescent="0.25">
      <c r="X4126" s="8" t="e">
        <f>IF(Final_Sans_VGE[[#This Row],[ppn_z]]="","",IFERROR(
   IF(_xlfn.XLOOKUP(Final_Sans_VGE[[#This Row],[ppn_z]],tbl_Historique_Final[ppn_z],tbl_Historique_Final[date_modif])=Final_Sans_VGE[[#This Row],[date_modif]],
      "Ancien",
      "Modifié"),
   "Nouveau"))</f>
        <v>#VALUE!</v>
      </c>
      <c r="AD4126" s="1" t="str">
        <f>IFERROR(IF(Final_Sans_VGE[[#This Row],[ppn_z]]="","",IFERROR(
   IF(_xlfn.XLOOKUP(Final_Sans_VGE[[#This Row],[ppn_z]],tbl_Historique_Final[[#This Row],[ppn_z]],tbl_Historique_Final[[#This Row],[date_modif]])=Final_Sans_VGE[[#This Row],[date_modif]],
      "Ancien",
      "Modifié"),
   "Nouveau")),"")</f>
        <v/>
      </c>
    </row>
    <row r="4127" spans="24:30" x14ac:dyDescent="0.25">
      <c r="X4127" s="8" t="e">
        <f>IF(Final_Sans_VGE[[#This Row],[ppn_z]]="","",IFERROR(
   IF(_xlfn.XLOOKUP(Final_Sans_VGE[[#This Row],[ppn_z]],tbl_Historique_Final[ppn_z],tbl_Historique_Final[date_modif])=Final_Sans_VGE[[#This Row],[date_modif]],
      "Ancien",
      "Modifié"),
   "Nouveau"))</f>
        <v>#VALUE!</v>
      </c>
      <c r="AD4127" s="1" t="str">
        <f>IFERROR(IF(Final_Sans_VGE[[#This Row],[ppn_z]]="","",IFERROR(
   IF(_xlfn.XLOOKUP(Final_Sans_VGE[[#This Row],[ppn_z]],tbl_Historique_Final[[#This Row],[ppn_z]],tbl_Historique_Final[[#This Row],[date_modif]])=Final_Sans_VGE[[#This Row],[date_modif]],
      "Ancien",
      "Modifié"),
   "Nouveau")),"")</f>
        <v/>
      </c>
    </row>
    <row r="4128" spans="24:30" x14ac:dyDescent="0.25">
      <c r="X4128" s="8" t="e">
        <f>IF(Final_Sans_VGE[[#This Row],[ppn_z]]="","",IFERROR(
   IF(_xlfn.XLOOKUP(Final_Sans_VGE[[#This Row],[ppn_z]],tbl_Historique_Final[ppn_z],tbl_Historique_Final[date_modif])=Final_Sans_VGE[[#This Row],[date_modif]],
      "Ancien",
      "Modifié"),
   "Nouveau"))</f>
        <v>#VALUE!</v>
      </c>
      <c r="AD4128" s="1" t="str">
        <f>IFERROR(IF(Final_Sans_VGE[[#This Row],[ppn_z]]="","",IFERROR(
   IF(_xlfn.XLOOKUP(Final_Sans_VGE[[#This Row],[ppn_z]],tbl_Historique_Final[[#This Row],[ppn_z]],tbl_Historique_Final[[#This Row],[date_modif]])=Final_Sans_VGE[[#This Row],[date_modif]],
      "Ancien",
      "Modifié"),
   "Nouveau")),"")</f>
        <v/>
      </c>
    </row>
    <row r="4129" spans="24:30" x14ac:dyDescent="0.25">
      <c r="X4129" s="8" t="e">
        <f>IF(Final_Sans_VGE[[#This Row],[ppn_z]]="","",IFERROR(
   IF(_xlfn.XLOOKUP(Final_Sans_VGE[[#This Row],[ppn_z]],tbl_Historique_Final[ppn_z],tbl_Historique_Final[date_modif])=Final_Sans_VGE[[#This Row],[date_modif]],
      "Ancien",
      "Modifié"),
   "Nouveau"))</f>
        <v>#VALUE!</v>
      </c>
      <c r="AD4129" s="1" t="str">
        <f>IFERROR(IF(Final_Sans_VGE[[#This Row],[ppn_z]]="","",IFERROR(
   IF(_xlfn.XLOOKUP(Final_Sans_VGE[[#This Row],[ppn_z]],tbl_Historique_Final[[#This Row],[ppn_z]],tbl_Historique_Final[[#This Row],[date_modif]])=Final_Sans_VGE[[#This Row],[date_modif]],
      "Ancien",
      "Modifié"),
   "Nouveau")),"")</f>
        <v/>
      </c>
    </row>
    <row r="4130" spans="24:30" x14ac:dyDescent="0.25">
      <c r="X4130" s="8" t="e">
        <f>IF(Final_Sans_VGE[[#This Row],[ppn_z]]="","",IFERROR(
   IF(_xlfn.XLOOKUP(Final_Sans_VGE[[#This Row],[ppn_z]],tbl_Historique_Final[ppn_z],tbl_Historique_Final[date_modif])=Final_Sans_VGE[[#This Row],[date_modif]],
      "Ancien",
      "Modifié"),
   "Nouveau"))</f>
        <v>#VALUE!</v>
      </c>
      <c r="AD4130" s="1" t="str">
        <f>IFERROR(IF(Final_Sans_VGE[[#This Row],[ppn_z]]="","",IFERROR(
   IF(_xlfn.XLOOKUP(Final_Sans_VGE[[#This Row],[ppn_z]],tbl_Historique_Final[[#This Row],[ppn_z]],tbl_Historique_Final[[#This Row],[date_modif]])=Final_Sans_VGE[[#This Row],[date_modif]],
      "Ancien",
      "Modifié"),
   "Nouveau")),"")</f>
        <v/>
      </c>
    </row>
    <row r="4131" spans="24:30" x14ac:dyDescent="0.25">
      <c r="X4131" s="8" t="e">
        <f>IF(Final_Sans_VGE[[#This Row],[ppn_z]]="","",IFERROR(
   IF(_xlfn.XLOOKUP(Final_Sans_VGE[[#This Row],[ppn_z]],tbl_Historique_Final[ppn_z],tbl_Historique_Final[date_modif])=Final_Sans_VGE[[#This Row],[date_modif]],
      "Ancien",
      "Modifié"),
   "Nouveau"))</f>
        <v>#VALUE!</v>
      </c>
      <c r="AD4131" s="1" t="str">
        <f>IFERROR(IF(Final_Sans_VGE[[#This Row],[ppn_z]]="","",IFERROR(
   IF(_xlfn.XLOOKUP(Final_Sans_VGE[[#This Row],[ppn_z]],tbl_Historique_Final[[#This Row],[ppn_z]],tbl_Historique_Final[[#This Row],[date_modif]])=Final_Sans_VGE[[#This Row],[date_modif]],
      "Ancien",
      "Modifié"),
   "Nouveau")),"")</f>
        <v/>
      </c>
    </row>
    <row r="4132" spans="24:30" x14ac:dyDescent="0.25">
      <c r="X4132" s="8" t="e">
        <f>IF(Final_Sans_VGE[[#This Row],[ppn_z]]="","",IFERROR(
   IF(_xlfn.XLOOKUP(Final_Sans_VGE[[#This Row],[ppn_z]],tbl_Historique_Final[ppn_z],tbl_Historique_Final[date_modif])=Final_Sans_VGE[[#This Row],[date_modif]],
      "Ancien",
      "Modifié"),
   "Nouveau"))</f>
        <v>#VALUE!</v>
      </c>
      <c r="AD4132" s="1" t="str">
        <f>IFERROR(IF(Final_Sans_VGE[[#This Row],[ppn_z]]="","",IFERROR(
   IF(_xlfn.XLOOKUP(Final_Sans_VGE[[#This Row],[ppn_z]],tbl_Historique_Final[[#This Row],[ppn_z]],tbl_Historique_Final[[#This Row],[date_modif]])=Final_Sans_VGE[[#This Row],[date_modif]],
      "Ancien",
      "Modifié"),
   "Nouveau")),"")</f>
        <v/>
      </c>
    </row>
    <row r="4133" spans="24:30" x14ac:dyDescent="0.25">
      <c r="X4133" s="8" t="e">
        <f>IF(Final_Sans_VGE[[#This Row],[ppn_z]]="","",IFERROR(
   IF(_xlfn.XLOOKUP(Final_Sans_VGE[[#This Row],[ppn_z]],tbl_Historique_Final[ppn_z],tbl_Historique_Final[date_modif])=Final_Sans_VGE[[#This Row],[date_modif]],
      "Ancien",
      "Modifié"),
   "Nouveau"))</f>
        <v>#VALUE!</v>
      </c>
      <c r="AD4133" s="1" t="str">
        <f>IFERROR(IF(Final_Sans_VGE[[#This Row],[ppn_z]]="","",IFERROR(
   IF(_xlfn.XLOOKUP(Final_Sans_VGE[[#This Row],[ppn_z]],tbl_Historique_Final[[#This Row],[ppn_z]],tbl_Historique_Final[[#This Row],[date_modif]])=Final_Sans_VGE[[#This Row],[date_modif]],
      "Ancien",
      "Modifié"),
   "Nouveau")),"")</f>
        <v/>
      </c>
    </row>
    <row r="4134" spans="24:30" x14ac:dyDescent="0.25">
      <c r="X4134" s="8" t="e">
        <f>IF(Final_Sans_VGE[[#This Row],[ppn_z]]="","",IFERROR(
   IF(_xlfn.XLOOKUP(Final_Sans_VGE[[#This Row],[ppn_z]],tbl_Historique_Final[ppn_z],tbl_Historique_Final[date_modif])=Final_Sans_VGE[[#This Row],[date_modif]],
      "Ancien",
      "Modifié"),
   "Nouveau"))</f>
        <v>#VALUE!</v>
      </c>
      <c r="AD4134" s="1" t="str">
        <f>IFERROR(IF(Final_Sans_VGE[[#This Row],[ppn_z]]="","",IFERROR(
   IF(_xlfn.XLOOKUP(Final_Sans_VGE[[#This Row],[ppn_z]],tbl_Historique_Final[[#This Row],[ppn_z]],tbl_Historique_Final[[#This Row],[date_modif]])=Final_Sans_VGE[[#This Row],[date_modif]],
      "Ancien",
      "Modifié"),
   "Nouveau")),"")</f>
        <v/>
      </c>
    </row>
    <row r="4135" spans="24:30" x14ac:dyDescent="0.25">
      <c r="X4135" s="8" t="e">
        <f>IF(Final_Sans_VGE[[#This Row],[ppn_z]]="","",IFERROR(
   IF(_xlfn.XLOOKUP(Final_Sans_VGE[[#This Row],[ppn_z]],tbl_Historique_Final[ppn_z],tbl_Historique_Final[date_modif])=Final_Sans_VGE[[#This Row],[date_modif]],
      "Ancien",
      "Modifié"),
   "Nouveau"))</f>
        <v>#VALUE!</v>
      </c>
      <c r="AD4135" s="1" t="str">
        <f>IFERROR(IF(Final_Sans_VGE[[#This Row],[ppn_z]]="","",IFERROR(
   IF(_xlfn.XLOOKUP(Final_Sans_VGE[[#This Row],[ppn_z]],tbl_Historique_Final[[#This Row],[ppn_z]],tbl_Historique_Final[[#This Row],[date_modif]])=Final_Sans_VGE[[#This Row],[date_modif]],
      "Ancien",
      "Modifié"),
   "Nouveau")),"")</f>
        <v/>
      </c>
    </row>
    <row r="4136" spans="24:30" x14ac:dyDescent="0.25">
      <c r="X4136" s="8" t="e">
        <f>IF(Final_Sans_VGE[[#This Row],[ppn_z]]="","",IFERROR(
   IF(_xlfn.XLOOKUP(Final_Sans_VGE[[#This Row],[ppn_z]],tbl_Historique_Final[ppn_z],tbl_Historique_Final[date_modif])=Final_Sans_VGE[[#This Row],[date_modif]],
      "Ancien",
      "Modifié"),
   "Nouveau"))</f>
        <v>#VALUE!</v>
      </c>
      <c r="AD4136" s="1" t="str">
        <f>IFERROR(IF(Final_Sans_VGE[[#This Row],[ppn_z]]="","",IFERROR(
   IF(_xlfn.XLOOKUP(Final_Sans_VGE[[#This Row],[ppn_z]],tbl_Historique_Final[[#This Row],[ppn_z]],tbl_Historique_Final[[#This Row],[date_modif]])=Final_Sans_VGE[[#This Row],[date_modif]],
      "Ancien",
      "Modifié"),
   "Nouveau")),"")</f>
        <v/>
      </c>
    </row>
    <row r="4137" spans="24:30" x14ac:dyDescent="0.25">
      <c r="X4137" s="8" t="e">
        <f>IF(Final_Sans_VGE[[#This Row],[ppn_z]]="","",IFERROR(
   IF(_xlfn.XLOOKUP(Final_Sans_VGE[[#This Row],[ppn_z]],tbl_Historique_Final[ppn_z],tbl_Historique_Final[date_modif])=Final_Sans_VGE[[#This Row],[date_modif]],
      "Ancien",
      "Modifié"),
   "Nouveau"))</f>
        <v>#VALUE!</v>
      </c>
      <c r="AD4137" s="1" t="str">
        <f>IFERROR(IF(Final_Sans_VGE[[#This Row],[ppn_z]]="","",IFERROR(
   IF(_xlfn.XLOOKUP(Final_Sans_VGE[[#This Row],[ppn_z]],tbl_Historique_Final[[#This Row],[ppn_z]],tbl_Historique_Final[[#This Row],[date_modif]])=Final_Sans_VGE[[#This Row],[date_modif]],
      "Ancien",
      "Modifié"),
   "Nouveau")),"")</f>
        <v/>
      </c>
    </row>
    <row r="4138" spans="24:30" x14ac:dyDescent="0.25">
      <c r="X4138" s="8" t="e">
        <f>IF(Final_Sans_VGE[[#This Row],[ppn_z]]="","",IFERROR(
   IF(_xlfn.XLOOKUP(Final_Sans_VGE[[#This Row],[ppn_z]],tbl_Historique_Final[ppn_z],tbl_Historique_Final[date_modif])=Final_Sans_VGE[[#This Row],[date_modif]],
      "Ancien",
      "Modifié"),
   "Nouveau"))</f>
        <v>#VALUE!</v>
      </c>
      <c r="AD4138" s="1" t="str">
        <f>IFERROR(IF(Final_Sans_VGE[[#This Row],[ppn_z]]="","",IFERROR(
   IF(_xlfn.XLOOKUP(Final_Sans_VGE[[#This Row],[ppn_z]],tbl_Historique_Final[[#This Row],[ppn_z]],tbl_Historique_Final[[#This Row],[date_modif]])=Final_Sans_VGE[[#This Row],[date_modif]],
      "Ancien",
      "Modifié"),
   "Nouveau")),"")</f>
        <v/>
      </c>
    </row>
    <row r="4139" spans="24:30" x14ac:dyDescent="0.25">
      <c r="X4139" s="8" t="e">
        <f>IF(Final_Sans_VGE[[#This Row],[ppn_z]]="","",IFERROR(
   IF(_xlfn.XLOOKUP(Final_Sans_VGE[[#This Row],[ppn_z]],tbl_Historique_Final[ppn_z],tbl_Historique_Final[date_modif])=Final_Sans_VGE[[#This Row],[date_modif]],
      "Ancien",
      "Modifié"),
   "Nouveau"))</f>
        <v>#VALUE!</v>
      </c>
      <c r="AD4139" s="1" t="str">
        <f>IFERROR(IF(Final_Sans_VGE[[#This Row],[ppn_z]]="","",IFERROR(
   IF(_xlfn.XLOOKUP(Final_Sans_VGE[[#This Row],[ppn_z]],tbl_Historique_Final[[#This Row],[ppn_z]],tbl_Historique_Final[[#This Row],[date_modif]])=Final_Sans_VGE[[#This Row],[date_modif]],
      "Ancien",
      "Modifié"),
   "Nouveau")),"")</f>
        <v/>
      </c>
    </row>
    <row r="4140" spans="24:30" x14ac:dyDescent="0.25">
      <c r="X4140" s="8" t="e">
        <f>IF(Final_Sans_VGE[[#This Row],[ppn_z]]="","",IFERROR(
   IF(_xlfn.XLOOKUP(Final_Sans_VGE[[#This Row],[ppn_z]],tbl_Historique_Final[ppn_z],tbl_Historique_Final[date_modif])=Final_Sans_VGE[[#This Row],[date_modif]],
      "Ancien",
      "Modifié"),
   "Nouveau"))</f>
        <v>#VALUE!</v>
      </c>
      <c r="AD4140" s="1" t="str">
        <f>IFERROR(IF(Final_Sans_VGE[[#This Row],[ppn_z]]="","",IFERROR(
   IF(_xlfn.XLOOKUP(Final_Sans_VGE[[#This Row],[ppn_z]],tbl_Historique_Final[[#This Row],[ppn_z]],tbl_Historique_Final[[#This Row],[date_modif]])=Final_Sans_VGE[[#This Row],[date_modif]],
      "Ancien",
      "Modifié"),
   "Nouveau")),"")</f>
        <v/>
      </c>
    </row>
    <row r="4141" spans="24:30" x14ac:dyDescent="0.25">
      <c r="X4141" s="8" t="e">
        <f>IF(Final_Sans_VGE[[#This Row],[ppn_z]]="","",IFERROR(
   IF(_xlfn.XLOOKUP(Final_Sans_VGE[[#This Row],[ppn_z]],tbl_Historique_Final[ppn_z],tbl_Historique_Final[date_modif])=Final_Sans_VGE[[#This Row],[date_modif]],
      "Ancien",
      "Modifié"),
   "Nouveau"))</f>
        <v>#VALUE!</v>
      </c>
      <c r="AD4141" s="1" t="str">
        <f>IFERROR(IF(Final_Sans_VGE[[#This Row],[ppn_z]]="","",IFERROR(
   IF(_xlfn.XLOOKUP(Final_Sans_VGE[[#This Row],[ppn_z]],tbl_Historique_Final[[#This Row],[ppn_z]],tbl_Historique_Final[[#This Row],[date_modif]])=Final_Sans_VGE[[#This Row],[date_modif]],
      "Ancien",
      "Modifié"),
   "Nouveau")),"")</f>
        <v/>
      </c>
    </row>
    <row r="4142" spans="24:30" x14ac:dyDescent="0.25">
      <c r="X4142" s="8" t="e">
        <f>IF(Final_Sans_VGE[[#This Row],[ppn_z]]="","",IFERROR(
   IF(_xlfn.XLOOKUP(Final_Sans_VGE[[#This Row],[ppn_z]],tbl_Historique_Final[ppn_z],tbl_Historique_Final[date_modif])=Final_Sans_VGE[[#This Row],[date_modif]],
      "Ancien",
      "Modifié"),
   "Nouveau"))</f>
        <v>#VALUE!</v>
      </c>
      <c r="AD4142" s="1" t="str">
        <f>IFERROR(IF(Final_Sans_VGE[[#This Row],[ppn_z]]="","",IFERROR(
   IF(_xlfn.XLOOKUP(Final_Sans_VGE[[#This Row],[ppn_z]],tbl_Historique_Final[[#This Row],[ppn_z]],tbl_Historique_Final[[#This Row],[date_modif]])=Final_Sans_VGE[[#This Row],[date_modif]],
      "Ancien",
      "Modifié"),
   "Nouveau")),"")</f>
        <v/>
      </c>
    </row>
    <row r="4143" spans="24:30" x14ac:dyDescent="0.25">
      <c r="X4143" s="8" t="e">
        <f>IF(Final_Sans_VGE[[#This Row],[ppn_z]]="","",IFERROR(
   IF(_xlfn.XLOOKUP(Final_Sans_VGE[[#This Row],[ppn_z]],tbl_Historique_Final[ppn_z],tbl_Historique_Final[date_modif])=Final_Sans_VGE[[#This Row],[date_modif]],
      "Ancien",
      "Modifié"),
   "Nouveau"))</f>
        <v>#VALUE!</v>
      </c>
      <c r="AD4143" s="1" t="str">
        <f>IFERROR(IF(Final_Sans_VGE[[#This Row],[ppn_z]]="","",IFERROR(
   IF(_xlfn.XLOOKUP(Final_Sans_VGE[[#This Row],[ppn_z]],tbl_Historique_Final[[#This Row],[ppn_z]],tbl_Historique_Final[[#This Row],[date_modif]])=Final_Sans_VGE[[#This Row],[date_modif]],
      "Ancien",
      "Modifié"),
   "Nouveau")),"")</f>
        <v/>
      </c>
    </row>
    <row r="4144" spans="24:30" x14ac:dyDescent="0.25">
      <c r="X4144" s="8" t="e">
        <f>IF(Final_Sans_VGE[[#This Row],[ppn_z]]="","",IFERROR(
   IF(_xlfn.XLOOKUP(Final_Sans_VGE[[#This Row],[ppn_z]],tbl_Historique_Final[ppn_z],tbl_Historique_Final[date_modif])=Final_Sans_VGE[[#This Row],[date_modif]],
      "Ancien",
      "Modifié"),
   "Nouveau"))</f>
        <v>#VALUE!</v>
      </c>
      <c r="AD4144" s="1" t="str">
        <f>IFERROR(IF(Final_Sans_VGE[[#This Row],[ppn_z]]="","",IFERROR(
   IF(_xlfn.XLOOKUP(Final_Sans_VGE[[#This Row],[ppn_z]],tbl_Historique_Final[[#This Row],[ppn_z]],tbl_Historique_Final[[#This Row],[date_modif]])=Final_Sans_VGE[[#This Row],[date_modif]],
      "Ancien",
      "Modifié"),
   "Nouveau")),"")</f>
        <v/>
      </c>
    </row>
    <row r="4145" spans="24:30" x14ac:dyDescent="0.25">
      <c r="X4145" s="8" t="e">
        <f>IF(Final_Sans_VGE[[#This Row],[ppn_z]]="","",IFERROR(
   IF(_xlfn.XLOOKUP(Final_Sans_VGE[[#This Row],[ppn_z]],tbl_Historique_Final[ppn_z],tbl_Historique_Final[date_modif])=Final_Sans_VGE[[#This Row],[date_modif]],
      "Ancien",
      "Modifié"),
   "Nouveau"))</f>
        <v>#VALUE!</v>
      </c>
      <c r="AD4145" s="1" t="str">
        <f>IFERROR(IF(Final_Sans_VGE[[#This Row],[ppn_z]]="","",IFERROR(
   IF(_xlfn.XLOOKUP(Final_Sans_VGE[[#This Row],[ppn_z]],tbl_Historique_Final[[#This Row],[ppn_z]],tbl_Historique_Final[[#This Row],[date_modif]])=Final_Sans_VGE[[#This Row],[date_modif]],
      "Ancien",
      "Modifié"),
   "Nouveau")),"")</f>
        <v/>
      </c>
    </row>
    <row r="4146" spans="24:30" x14ac:dyDescent="0.25">
      <c r="X4146" s="8" t="e">
        <f>IF(Final_Sans_VGE[[#This Row],[ppn_z]]="","",IFERROR(
   IF(_xlfn.XLOOKUP(Final_Sans_VGE[[#This Row],[ppn_z]],tbl_Historique_Final[ppn_z],tbl_Historique_Final[date_modif])=Final_Sans_VGE[[#This Row],[date_modif]],
      "Ancien",
      "Modifié"),
   "Nouveau"))</f>
        <v>#VALUE!</v>
      </c>
      <c r="AD4146" s="1" t="str">
        <f>IFERROR(IF(Final_Sans_VGE[[#This Row],[ppn_z]]="","",IFERROR(
   IF(_xlfn.XLOOKUP(Final_Sans_VGE[[#This Row],[ppn_z]],tbl_Historique_Final[[#This Row],[ppn_z]],tbl_Historique_Final[[#This Row],[date_modif]])=Final_Sans_VGE[[#This Row],[date_modif]],
      "Ancien",
      "Modifié"),
   "Nouveau")),"")</f>
        <v/>
      </c>
    </row>
    <row r="4147" spans="24:30" x14ac:dyDescent="0.25">
      <c r="X4147" s="8" t="e">
        <f>IF(Final_Sans_VGE[[#This Row],[ppn_z]]="","",IFERROR(
   IF(_xlfn.XLOOKUP(Final_Sans_VGE[[#This Row],[ppn_z]],tbl_Historique_Final[ppn_z],tbl_Historique_Final[date_modif])=Final_Sans_VGE[[#This Row],[date_modif]],
      "Ancien",
      "Modifié"),
   "Nouveau"))</f>
        <v>#VALUE!</v>
      </c>
      <c r="AD4147" s="1" t="str">
        <f>IFERROR(IF(Final_Sans_VGE[[#This Row],[ppn_z]]="","",IFERROR(
   IF(_xlfn.XLOOKUP(Final_Sans_VGE[[#This Row],[ppn_z]],tbl_Historique_Final[[#This Row],[ppn_z]],tbl_Historique_Final[[#This Row],[date_modif]])=Final_Sans_VGE[[#This Row],[date_modif]],
      "Ancien",
      "Modifié"),
   "Nouveau")),"")</f>
        <v/>
      </c>
    </row>
    <row r="4148" spans="24:30" x14ac:dyDescent="0.25">
      <c r="X4148" s="8" t="e">
        <f>IF(Final_Sans_VGE[[#This Row],[ppn_z]]="","",IFERROR(
   IF(_xlfn.XLOOKUP(Final_Sans_VGE[[#This Row],[ppn_z]],tbl_Historique_Final[ppn_z],tbl_Historique_Final[date_modif])=Final_Sans_VGE[[#This Row],[date_modif]],
      "Ancien",
      "Modifié"),
   "Nouveau"))</f>
        <v>#VALUE!</v>
      </c>
      <c r="AD4148" s="1" t="str">
        <f>IFERROR(IF(Final_Sans_VGE[[#This Row],[ppn_z]]="","",IFERROR(
   IF(_xlfn.XLOOKUP(Final_Sans_VGE[[#This Row],[ppn_z]],tbl_Historique_Final[[#This Row],[ppn_z]],tbl_Historique_Final[[#This Row],[date_modif]])=Final_Sans_VGE[[#This Row],[date_modif]],
      "Ancien",
      "Modifié"),
   "Nouveau")),"")</f>
        <v/>
      </c>
    </row>
    <row r="4149" spans="24:30" x14ac:dyDescent="0.25">
      <c r="X4149" s="8" t="e">
        <f>IF(Final_Sans_VGE[[#This Row],[ppn_z]]="","",IFERROR(
   IF(_xlfn.XLOOKUP(Final_Sans_VGE[[#This Row],[ppn_z]],tbl_Historique_Final[ppn_z],tbl_Historique_Final[date_modif])=Final_Sans_VGE[[#This Row],[date_modif]],
      "Ancien",
      "Modifié"),
   "Nouveau"))</f>
        <v>#VALUE!</v>
      </c>
      <c r="AD4149" s="1" t="str">
        <f>IFERROR(IF(Final_Sans_VGE[[#This Row],[ppn_z]]="","",IFERROR(
   IF(_xlfn.XLOOKUP(Final_Sans_VGE[[#This Row],[ppn_z]],tbl_Historique_Final[[#This Row],[ppn_z]],tbl_Historique_Final[[#This Row],[date_modif]])=Final_Sans_VGE[[#This Row],[date_modif]],
      "Ancien",
      "Modifié"),
   "Nouveau")),"")</f>
        <v/>
      </c>
    </row>
    <row r="4150" spans="24:30" x14ac:dyDescent="0.25">
      <c r="X4150" s="8" t="e">
        <f>IF(Final_Sans_VGE[[#This Row],[ppn_z]]="","",IFERROR(
   IF(_xlfn.XLOOKUP(Final_Sans_VGE[[#This Row],[ppn_z]],tbl_Historique_Final[ppn_z],tbl_Historique_Final[date_modif])=Final_Sans_VGE[[#This Row],[date_modif]],
      "Ancien",
      "Modifié"),
   "Nouveau"))</f>
        <v>#VALUE!</v>
      </c>
      <c r="AD4150" s="1" t="str">
        <f>IFERROR(IF(Final_Sans_VGE[[#This Row],[ppn_z]]="","",IFERROR(
   IF(_xlfn.XLOOKUP(Final_Sans_VGE[[#This Row],[ppn_z]],tbl_Historique_Final[[#This Row],[ppn_z]],tbl_Historique_Final[[#This Row],[date_modif]])=Final_Sans_VGE[[#This Row],[date_modif]],
      "Ancien",
      "Modifié"),
   "Nouveau")),"")</f>
        <v/>
      </c>
    </row>
    <row r="4151" spans="24:30" x14ac:dyDescent="0.25">
      <c r="X4151" s="8" t="e">
        <f>IF(Final_Sans_VGE[[#This Row],[ppn_z]]="","",IFERROR(
   IF(_xlfn.XLOOKUP(Final_Sans_VGE[[#This Row],[ppn_z]],tbl_Historique_Final[ppn_z],tbl_Historique_Final[date_modif])=Final_Sans_VGE[[#This Row],[date_modif]],
      "Ancien",
      "Modifié"),
   "Nouveau"))</f>
        <v>#VALUE!</v>
      </c>
      <c r="AD4151" s="1" t="str">
        <f>IFERROR(IF(Final_Sans_VGE[[#This Row],[ppn_z]]="","",IFERROR(
   IF(_xlfn.XLOOKUP(Final_Sans_VGE[[#This Row],[ppn_z]],tbl_Historique_Final[[#This Row],[ppn_z]],tbl_Historique_Final[[#This Row],[date_modif]])=Final_Sans_VGE[[#This Row],[date_modif]],
      "Ancien",
      "Modifié"),
   "Nouveau")),"")</f>
        <v/>
      </c>
    </row>
    <row r="4152" spans="24:30" x14ac:dyDescent="0.25">
      <c r="X4152" s="8" t="e">
        <f>IF(Final_Sans_VGE[[#This Row],[ppn_z]]="","",IFERROR(
   IF(_xlfn.XLOOKUP(Final_Sans_VGE[[#This Row],[ppn_z]],tbl_Historique_Final[ppn_z],tbl_Historique_Final[date_modif])=Final_Sans_VGE[[#This Row],[date_modif]],
      "Ancien",
      "Modifié"),
   "Nouveau"))</f>
        <v>#VALUE!</v>
      </c>
      <c r="AD4152" s="1" t="str">
        <f>IFERROR(IF(Final_Sans_VGE[[#This Row],[ppn_z]]="","",IFERROR(
   IF(_xlfn.XLOOKUP(Final_Sans_VGE[[#This Row],[ppn_z]],tbl_Historique_Final[[#This Row],[ppn_z]],tbl_Historique_Final[[#This Row],[date_modif]])=Final_Sans_VGE[[#This Row],[date_modif]],
      "Ancien",
      "Modifié"),
   "Nouveau")),"")</f>
        <v/>
      </c>
    </row>
    <row r="4153" spans="24:30" x14ac:dyDescent="0.25">
      <c r="X4153" s="8" t="e">
        <f>IF(Final_Sans_VGE[[#This Row],[ppn_z]]="","",IFERROR(
   IF(_xlfn.XLOOKUP(Final_Sans_VGE[[#This Row],[ppn_z]],tbl_Historique_Final[ppn_z],tbl_Historique_Final[date_modif])=Final_Sans_VGE[[#This Row],[date_modif]],
      "Ancien",
      "Modifié"),
   "Nouveau"))</f>
        <v>#VALUE!</v>
      </c>
      <c r="AD4153" s="1" t="str">
        <f>IFERROR(IF(Final_Sans_VGE[[#This Row],[ppn_z]]="","",IFERROR(
   IF(_xlfn.XLOOKUP(Final_Sans_VGE[[#This Row],[ppn_z]],tbl_Historique_Final[[#This Row],[ppn_z]],tbl_Historique_Final[[#This Row],[date_modif]])=Final_Sans_VGE[[#This Row],[date_modif]],
      "Ancien",
      "Modifié"),
   "Nouveau")),"")</f>
        <v/>
      </c>
    </row>
    <row r="4154" spans="24:30" x14ac:dyDescent="0.25">
      <c r="X4154" s="8" t="e">
        <f>IF(Final_Sans_VGE[[#This Row],[ppn_z]]="","",IFERROR(
   IF(_xlfn.XLOOKUP(Final_Sans_VGE[[#This Row],[ppn_z]],tbl_Historique_Final[ppn_z],tbl_Historique_Final[date_modif])=Final_Sans_VGE[[#This Row],[date_modif]],
      "Ancien",
      "Modifié"),
   "Nouveau"))</f>
        <v>#VALUE!</v>
      </c>
      <c r="AD4154" s="1" t="str">
        <f>IFERROR(IF(Final_Sans_VGE[[#This Row],[ppn_z]]="","",IFERROR(
   IF(_xlfn.XLOOKUP(Final_Sans_VGE[[#This Row],[ppn_z]],tbl_Historique_Final[[#This Row],[ppn_z]],tbl_Historique_Final[[#This Row],[date_modif]])=Final_Sans_VGE[[#This Row],[date_modif]],
      "Ancien",
      "Modifié"),
   "Nouveau")),"")</f>
        <v/>
      </c>
    </row>
    <row r="4155" spans="24:30" x14ac:dyDescent="0.25">
      <c r="X4155" s="8" t="e">
        <f>IF(Final_Sans_VGE[[#This Row],[ppn_z]]="","",IFERROR(
   IF(_xlfn.XLOOKUP(Final_Sans_VGE[[#This Row],[ppn_z]],tbl_Historique_Final[ppn_z],tbl_Historique_Final[date_modif])=Final_Sans_VGE[[#This Row],[date_modif]],
      "Ancien",
      "Modifié"),
   "Nouveau"))</f>
        <v>#VALUE!</v>
      </c>
      <c r="AD4155" s="1" t="str">
        <f>IFERROR(IF(Final_Sans_VGE[[#This Row],[ppn_z]]="","",IFERROR(
   IF(_xlfn.XLOOKUP(Final_Sans_VGE[[#This Row],[ppn_z]],tbl_Historique_Final[[#This Row],[ppn_z]],tbl_Historique_Final[[#This Row],[date_modif]])=Final_Sans_VGE[[#This Row],[date_modif]],
      "Ancien",
      "Modifié"),
   "Nouveau")),"")</f>
        <v/>
      </c>
    </row>
    <row r="4156" spans="24:30" x14ac:dyDescent="0.25">
      <c r="X4156" s="8" t="e">
        <f>IF(Final_Sans_VGE[[#This Row],[ppn_z]]="","",IFERROR(
   IF(_xlfn.XLOOKUP(Final_Sans_VGE[[#This Row],[ppn_z]],tbl_Historique_Final[ppn_z],tbl_Historique_Final[date_modif])=Final_Sans_VGE[[#This Row],[date_modif]],
      "Ancien",
      "Modifié"),
   "Nouveau"))</f>
        <v>#VALUE!</v>
      </c>
      <c r="AD4156" s="1" t="str">
        <f>IFERROR(IF(Final_Sans_VGE[[#This Row],[ppn_z]]="","",IFERROR(
   IF(_xlfn.XLOOKUP(Final_Sans_VGE[[#This Row],[ppn_z]],tbl_Historique_Final[[#This Row],[ppn_z]],tbl_Historique_Final[[#This Row],[date_modif]])=Final_Sans_VGE[[#This Row],[date_modif]],
      "Ancien",
      "Modifié"),
   "Nouveau")),"")</f>
        <v/>
      </c>
    </row>
    <row r="4157" spans="24:30" x14ac:dyDescent="0.25">
      <c r="X4157" s="8" t="e">
        <f>IF(Final_Sans_VGE[[#This Row],[ppn_z]]="","",IFERROR(
   IF(_xlfn.XLOOKUP(Final_Sans_VGE[[#This Row],[ppn_z]],tbl_Historique_Final[ppn_z],tbl_Historique_Final[date_modif])=Final_Sans_VGE[[#This Row],[date_modif]],
      "Ancien",
      "Modifié"),
   "Nouveau"))</f>
        <v>#VALUE!</v>
      </c>
      <c r="AD4157" s="1" t="str">
        <f>IFERROR(IF(Final_Sans_VGE[[#This Row],[ppn_z]]="","",IFERROR(
   IF(_xlfn.XLOOKUP(Final_Sans_VGE[[#This Row],[ppn_z]],tbl_Historique_Final[[#This Row],[ppn_z]],tbl_Historique_Final[[#This Row],[date_modif]])=Final_Sans_VGE[[#This Row],[date_modif]],
      "Ancien",
      "Modifié"),
   "Nouveau")),"")</f>
        <v/>
      </c>
    </row>
    <row r="4158" spans="24:30" x14ac:dyDescent="0.25">
      <c r="X4158" s="8" t="e">
        <f>IF(Final_Sans_VGE[[#This Row],[ppn_z]]="","",IFERROR(
   IF(_xlfn.XLOOKUP(Final_Sans_VGE[[#This Row],[ppn_z]],tbl_Historique_Final[ppn_z],tbl_Historique_Final[date_modif])=Final_Sans_VGE[[#This Row],[date_modif]],
      "Ancien",
      "Modifié"),
   "Nouveau"))</f>
        <v>#VALUE!</v>
      </c>
      <c r="AD4158" s="1" t="str">
        <f>IFERROR(IF(Final_Sans_VGE[[#This Row],[ppn_z]]="","",IFERROR(
   IF(_xlfn.XLOOKUP(Final_Sans_VGE[[#This Row],[ppn_z]],tbl_Historique_Final[[#This Row],[ppn_z]],tbl_Historique_Final[[#This Row],[date_modif]])=Final_Sans_VGE[[#This Row],[date_modif]],
      "Ancien",
      "Modifié"),
   "Nouveau")),"")</f>
        <v/>
      </c>
    </row>
    <row r="4159" spans="24:30" x14ac:dyDescent="0.25">
      <c r="X4159" s="8" t="e">
        <f>IF(Final_Sans_VGE[[#This Row],[ppn_z]]="","",IFERROR(
   IF(_xlfn.XLOOKUP(Final_Sans_VGE[[#This Row],[ppn_z]],tbl_Historique_Final[ppn_z],tbl_Historique_Final[date_modif])=Final_Sans_VGE[[#This Row],[date_modif]],
      "Ancien",
      "Modifié"),
   "Nouveau"))</f>
        <v>#VALUE!</v>
      </c>
      <c r="AD4159" s="1" t="str">
        <f>IFERROR(IF(Final_Sans_VGE[[#This Row],[ppn_z]]="","",IFERROR(
   IF(_xlfn.XLOOKUP(Final_Sans_VGE[[#This Row],[ppn_z]],tbl_Historique_Final[[#This Row],[ppn_z]],tbl_Historique_Final[[#This Row],[date_modif]])=Final_Sans_VGE[[#This Row],[date_modif]],
      "Ancien",
      "Modifié"),
   "Nouveau")),"")</f>
        <v/>
      </c>
    </row>
    <row r="4160" spans="24:30" x14ac:dyDescent="0.25">
      <c r="X4160" s="8" t="e">
        <f>IF(Final_Sans_VGE[[#This Row],[ppn_z]]="","",IFERROR(
   IF(_xlfn.XLOOKUP(Final_Sans_VGE[[#This Row],[ppn_z]],tbl_Historique_Final[ppn_z],tbl_Historique_Final[date_modif])=Final_Sans_VGE[[#This Row],[date_modif]],
      "Ancien",
      "Modifié"),
   "Nouveau"))</f>
        <v>#VALUE!</v>
      </c>
      <c r="AD4160" s="1" t="str">
        <f>IFERROR(IF(Final_Sans_VGE[[#This Row],[ppn_z]]="","",IFERROR(
   IF(_xlfn.XLOOKUP(Final_Sans_VGE[[#This Row],[ppn_z]],tbl_Historique_Final[[#This Row],[ppn_z]],tbl_Historique_Final[[#This Row],[date_modif]])=Final_Sans_VGE[[#This Row],[date_modif]],
      "Ancien",
      "Modifié"),
   "Nouveau")),"")</f>
        <v/>
      </c>
    </row>
    <row r="4161" spans="24:30" x14ac:dyDescent="0.25">
      <c r="X4161" s="8" t="e">
        <f>IF(Final_Sans_VGE[[#This Row],[ppn_z]]="","",IFERROR(
   IF(_xlfn.XLOOKUP(Final_Sans_VGE[[#This Row],[ppn_z]],tbl_Historique_Final[ppn_z],tbl_Historique_Final[date_modif])=Final_Sans_VGE[[#This Row],[date_modif]],
      "Ancien",
      "Modifié"),
   "Nouveau"))</f>
        <v>#VALUE!</v>
      </c>
      <c r="AD4161" s="1" t="str">
        <f>IFERROR(IF(Final_Sans_VGE[[#This Row],[ppn_z]]="","",IFERROR(
   IF(_xlfn.XLOOKUP(Final_Sans_VGE[[#This Row],[ppn_z]],tbl_Historique_Final[[#This Row],[ppn_z]],tbl_Historique_Final[[#This Row],[date_modif]])=Final_Sans_VGE[[#This Row],[date_modif]],
      "Ancien",
      "Modifié"),
   "Nouveau")),"")</f>
        <v/>
      </c>
    </row>
    <row r="4162" spans="24:30" x14ac:dyDescent="0.25">
      <c r="X4162" s="8" t="e">
        <f>IF(Final_Sans_VGE[[#This Row],[ppn_z]]="","",IFERROR(
   IF(_xlfn.XLOOKUP(Final_Sans_VGE[[#This Row],[ppn_z]],tbl_Historique_Final[ppn_z],tbl_Historique_Final[date_modif])=Final_Sans_VGE[[#This Row],[date_modif]],
      "Ancien",
      "Modifié"),
   "Nouveau"))</f>
        <v>#VALUE!</v>
      </c>
      <c r="AD4162" s="1" t="str">
        <f>IFERROR(IF(Final_Sans_VGE[[#This Row],[ppn_z]]="","",IFERROR(
   IF(_xlfn.XLOOKUP(Final_Sans_VGE[[#This Row],[ppn_z]],tbl_Historique_Final[[#This Row],[ppn_z]],tbl_Historique_Final[[#This Row],[date_modif]])=Final_Sans_VGE[[#This Row],[date_modif]],
      "Ancien",
      "Modifié"),
   "Nouveau")),"")</f>
        <v/>
      </c>
    </row>
    <row r="4163" spans="24:30" x14ac:dyDescent="0.25">
      <c r="X4163" s="8" t="e">
        <f>IF(Final_Sans_VGE[[#This Row],[ppn_z]]="","",IFERROR(
   IF(_xlfn.XLOOKUP(Final_Sans_VGE[[#This Row],[ppn_z]],tbl_Historique_Final[ppn_z],tbl_Historique_Final[date_modif])=Final_Sans_VGE[[#This Row],[date_modif]],
      "Ancien",
      "Modifié"),
   "Nouveau"))</f>
        <v>#VALUE!</v>
      </c>
      <c r="AD4163" s="1" t="str">
        <f>IFERROR(IF(Final_Sans_VGE[[#This Row],[ppn_z]]="","",IFERROR(
   IF(_xlfn.XLOOKUP(Final_Sans_VGE[[#This Row],[ppn_z]],tbl_Historique_Final[[#This Row],[ppn_z]],tbl_Historique_Final[[#This Row],[date_modif]])=Final_Sans_VGE[[#This Row],[date_modif]],
      "Ancien",
      "Modifié"),
   "Nouveau")),"")</f>
        <v/>
      </c>
    </row>
    <row r="4164" spans="24:30" x14ac:dyDescent="0.25">
      <c r="X4164" s="8" t="e">
        <f>IF(Final_Sans_VGE[[#This Row],[ppn_z]]="","",IFERROR(
   IF(_xlfn.XLOOKUP(Final_Sans_VGE[[#This Row],[ppn_z]],tbl_Historique_Final[ppn_z],tbl_Historique_Final[date_modif])=Final_Sans_VGE[[#This Row],[date_modif]],
      "Ancien",
      "Modifié"),
   "Nouveau"))</f>
        <v>#VALUE!</v>
      </c>
      <c r="AD4164" s="1" t="str">
        <f>IFERROR(IF(Final_Sans_VGE[[#This Row],[ppn_z]]="","",IFERROR(
   IF(_xlfn.XLOOKUP(Final_Sans_VGE[[#This Row],[ppn_z]],tbl_Historique_Final[[#This Row],[ppn_z]],tbl_Historique_Final[[#This Row],[date_modif]])=Final_Sans_VGE[[#This Row],[date_modif]],
      "Ancien",
      "Modifié"),
   "Nouveau")),"")</f>
        <v/>
      </c>
    </row>
    <row r="4165" spans="24:30" x14ac:dyDescent="0.25">
      <c r="X4165" s="8" t="e">
        <f>IF(Final_Sans_VGE[[#This Row],[ppn_z]]="","",IFERROR(
   IF(_xlfn.XLOOKUP(Final_Sans_VGE[[#This Row],[ppn_z]],tbl_Historique_Final[ppn_z],tbl_Historique_Final[date_modif])=Final_Sans_VGE[[#This Row],[date_modif]],
      "Ancien",
      "Modifié"),
   "Nouveau"))</f>
        <v>#VALUE!</v>
      </c>
      <c r="AD4165" s="1" t="str">
        <f>IFERROR(IF(Final_Sans_VGE[[#This Row],[ppn_z]]="","",IFERROR(
   IF(_xlfn.XLOOKUP(Final_Sans_VGE[[#This Row],[ppn_z]],tbl_Historique_Final[[#This Row],[ppn_z]],tbl_Historique_Final[[#This Row],[date_modif]])=Final_Sans_VGE[[#This Row],[date_modif]],
      "Ancien",
      "Modifié"),
   "Nouveau")),"")</f>
        <v/>
      </c>
    </row>
    <row r="4166" spans="24:30" x14ac:dyDescent="0.25">
      <c r="X4166" s="8" t="e">
        <f>IF(Final_Sans_VGE[[#This Row],[ppn_z]]="","",IFERROR(
   IF(_xlfn.XLOOKUP(Final_Sans_VGE[[#This Row],[ppn_z]],tbl_Historique_Final[ppn_z],tbl_Historique_Final[date_modif])=Final_Sans_VGE[[#This Row],[date_modif]],
      "Ancien",
      "Modifié"),
   "Nouveau"))</f>
        <v>#VALUE!</v>
      </c>
      <c r="AD4166" s="1" t="str">
        <f>IFERROR(IF(Final_Sans_VGE[[#This Row],[ppn_z]]="","",IFERROR(
   IF(_xlfn.XLOOKUP(Final_Sans_VGE[[#This Row],[ppn_z]],tbl_Historique_Final[[#This Row],[ppn_z]],tbl_Historique_Final[[#This Row],[date_modif]])=Final_Sans_VGE[[#This Row],[date_modif]],
      "Ancien",
      "Modifié"),
   "Nouveau")),"")</f>
        <v/>
      </c>
    </row>
    <row r="4167" spans="24:30" x14ac:dyDescent="0.25">
      <c r="X4167" s="8" t="e">
        <f>IF(Final_Sans_VGE[[#This Row],[ppn_z]]="","",IFERROR(
   IF(_xlfn.XLOOKUP(Final_Sans_VGE[[#This Row],[ppn_z]],tbl_Historique_Final[ppn_z],tbl_Historique_Final[date_modif])=Final_Sans_VGE[[#This Row],[date_modif]],
      "Ancien",
      "Modifié"),
   "Nouveau"))</f>
        <v>#VALUE!</v>
      </c>
      <c r="AD4167" s="1" t="str">
        <f>IFERROR(IF(Final_Sans_VGE[[#This Row],[ppn_z]]="","",IFERROR(
   IF(_xlfn.XLOOKUP(Final_Sans_VGE[[#This Row],[ppn_z]],tbl_Historique_Final[[#This Row],[ppn_z]],tbl_Historique_Final[[#This Row],[date_modif]])=Final_Sans_VGE[[#This Row],[date_modif]],
      "Ancien",
      "Modifié"),
   "Nouveau")),"")</f>
        <v/>
      </c>
    </row>
    <row r="4168" spans="24:30" x14ac:dyDescent="0.25">
      <c r="X4168" s="8" t="e">
        <f>IF(Final_Sans_VGE[[#This Row],[ppn_z]]="","",IFERROR(
   IF(_xlfn.XLOOKUP(Final_Sans_VGE[[#This Row],[ppn_z]],tbl_Historique_Final[ppn_z],tbl_Historique_Final[date_modif])=Final_Sans_VGE[[#This Row],[date_modif]],
      "Ancien",
      "Modifié"),
   "Nouveau"))</f>
        <v>#VALUE!</v>
      </c>
      <c r="AD4168" s="1" t="str">
        <f>IFERROR(IF(Final_Sans_VGE[[#This Row],[ppn_z]]="","",IFERROR(
   IF(_xlfn.XLOOKUP(Final_Sans_VGE[[#This Row],[ppn_z]],tbl_Historique_Final[[#This Row],[ppn_z]],tbl_Historique_Final[[#This Row],[date_modif]])=Final_Sans_VGE[[#This Row],[date_modif]],
      "Ancien",
      "Modifié"),
   "Nouveau")),"")</f>
        <v/>
      </c>
    </row>
    <row r="4169" spans="24:30" x14ac:dyDescent="0.25">
      <c r="X4169" s="8" t="e">
        <f>IF(Final_Sans_VGE[[#This Row],[ppn_z]]="","",IFERROR(
   IF(_xlfn.XLOOKUP(Final_Sans_VGE[[#This Row],[ppn_z]],tbl_Historique_Final[ppn_z],tbl_Historique_Final[date_modif])=Final_Sans_VGE[[#This Row],[date_modif]],
      "Ancien",
      "Modifié"),
   "Nouveau"))</f>
        <v>#VALUE!</v>
      </c>
      <c r="AD4169" s="1" t="str">
        <f>IFERROR(IF(Final_Sans_VGE[[#This Row],[ppn_z]]="","",IFERROR(
   IF(_xlfn.XLOOKUP(Final_Sans_VGE[[#This Row],[ppn_z]],tbl_Historique_Final[[#This Row],[ppn_z]],tbl_Historique_Final[[#This Row],[date_modif]])=Final_Sans_VGE[[#This Row],[date_modif]],
      "Ancien",
      "Modifié"),
   "Nouveau")),"")</f>
        <v/>
      </c>
    </row>
    <row r="4170" spans="24:30" x14ac:dyDescent="0.25">
      <c r="X4170" s="8" t="e">
        <f>IF(Final_Sans_VGE[[#This Row],[ppn_z]]="","",IFERROR(
   IF(_xlfn.XLOOKUP(Final_Sans_VGE[[#This Row],[ppn_z]],tbl_Historique_Final[ppn_z],tbl_Historique_Final[date_modif])=Final_Sans_VGE[[#This Row],[date_modif]],
      "Ancien",
      "Modifié"),
   "Nouveau"))</f>
        <v>#VALUE!</v>
      </c>
      <c r="AD4170" s="1" t="str">
        <f>IFERROR(IF(Final_Sans_VGE[[#This Row],[ppn_z]]="","",IFERROR(
   IF(_xlfn.XLOOKUP(Final_Sans_VGE[[#This Row],[ppn_z]],tbl_Historique_Final[[#This Row],[ppn_z]],tbl_Historique_Final[[#This Row],[date_modif]])=Final_Sans_VGE[[#This Row],[date_modif]],
      "Ancien",
      "Modifié"),
   "Nouveau")),"")</f>
        <v/>
      </c>
    </row>
    <row r="4171" spans="24:30" x14ac:dyDescent="0.25">
      <c r="X4171" s="8" t="e">
        <f>IF(Final_Sans_VGE[[#This Row],[ppn_z]]="","",IFERROR(
   IF(_xlfn.XLOOKUP(Final_Sans_VGE[[#This Row],[ppn_z]],tbl_Historique_Final[ppn_z],tbl_Historique_Final[date_modif])=Final_Sans_VGE[[#This Row],[date_modif]],
      "Ancien",
      "Modifié"),
   "Nouveau"))</f>
        <v>#VALUE!</v>
      </c>
      <c r="AD4171" s="1" t="str">
        <f>IFERROR(IF(Final_Sans_VGE[[#This Row],[ppn_z]]="","",IFERROR(
   IF(_xlfn.XLOOKUP(Final_Sans_VGE[[#This Row],[ppn_z]],tbl_Historique_Final[[#This Row],[ppn_z]],tbl_Historique_Final[[#This Row],[date_modif]])=Final_Sans_VGE[[#This Row],[date_modif]],
      "Ancien",
      "Modifié"),
   "Nouveau")),"")</f>
        <v/>
      </c>
    </row>
    <row r="4172" spans="24:30" x14ac:dyDescent="0.25">
      <c r="X4172" s="8" t="e">
        <f>IF(Final_Sans_VGE[[#This Row],[ppn_z]]="","",IFERROR(
   IF(_xlfn.XLOOKUP(Final_Sans_VGE[[#This Row],[ppn_z]],tbl_Historique_Final[ppn_z],tbl_Historique_Final[date_modif])=Final_Sans_VGE[[#This Row],[date_modif]],
      "Ancien",
      "Modifié"),
   "Nouveau"))</f>
        <v>#VALUE!</v>
      </c>
      <c r="AD4172" s="1" t="str">
        <f>IFERROR(IF(Final_Sans_VGE[[#This Row],[ppn_z]]="","",IFERROR(
   IF(_xlfn.XLOOKUP(Final_Sans_VGE[[#This Row],[ppn_z]],tbl_Historique_Final[[#This Row],[ppn_z]],tbl_Historique_Final[[#This Row],[date_modif]])=Final_Sans_VGE[[#This Row],[date_modif]],
      "Ancien",
      "Modifié"),
   "Nouveau")),"")</f>
        <v/>
      </c>
    </row>
    <row r="4173" spans="24:30" x14ac:dyDescent="0.25">
      <c r="X4173" s="8" t="e">
        <f>IF(Final_Sans_VGE[[#This Row],[ppn_z]]="","",IFERROR(
   IF(_xlfn.XLOOKUP(Final_Sans_VGE[[#This Row],[ppn_z]],tbl_Historique_Final[ppn_z],tbl_Historique_Final[date_modif])=Final_Sans_VGE[[#This Row],[date_modif]],
      "Ancien",
      "Modifié"),
   "Nouveau"))</f>
        <v>#VALUE!</v>
      </c>
      <c r="AD4173" s="1" t="str">
        <f>IFERROR(IF(Final_Sans_VGE[[#This Row],[ppn_z]]="","",IFERROR(
   IF(_xlfn.XLOOKUP(Final_Sans_VGE[[#This Row],[ppn_z]],tbl_Historique_Final[[#This Row],[ppn_z]],tbl_Historique_Final[[#This Row],[date_modif]])=Final_Sans_VGE[[#This Row],[date_modif]],
      "Ancien",
      "Modifié"),
   "Nouveau")),"")</f>
        <v/>
      </c>
    </row>
    <row r="4174" spans="24:30" x14ac:dyDescent="0.25">
      <c r="X4174" s="8" t="e">
        <f>IF(Final_Sans_VGE[[#This Row],[ppn_z]]="","",IFERROR(
   IF(_xlfn.XLOOKUP(Final_Sans_VGE[[#This Row],[ppn_z]],tbl_Historique_Final[ppn_z],tbl_Historique_Final[date_modif])=Final_Sans_VGE[[#This Row],[date_modif]],
      "Ancien",
      "Modifié"),
   "Nouveau"))</f>
        <v>#VALUE!</v>
      </c>
      <c r="AD4174" s="1" t="str">
        <f>IFERROR(IF(Final_Sans_VGE[[#This Row],[ppn_z]]="","",IFERROR(
   IF(_xlfn.XLOOKUP(Final_Sans_VGE[[#This Row],[ppn_z]],tbl_Historique_Final[[#This Row],[ppn_z]],tbl_Historique_Final[[#This Row],[date_modif]])=Final_Sans_VGE[[#This Row],[date_modif]],
      "Ancien",
      "Modifié"),
   "Nouveau")),"")</f>
        <v/>
      </c>
    </row>
    <row r="4175" spans="24:30" x14ac:dyDescent="0.25">
      <c r="X4175" s="8" t="e">
        <f>IF(Final_Sans_VGE[[#This Row],[ppn_z]]="","",IFERROR(
   IF(_xlfn.XLOOKUP(Final_Sans_VGE[[#This Row],[ppn_z]],tbl_Historique_Final[ppn_z],tbl_Historique_Final[date_modif])=Final_Sans_VGE[[#This Row],[date_modif]],
      "Ancien",
      "Modifié"),
   "Nouveau"))</f>
        <v>#VALUE!</v>
      </c>
      <c r="AD4175" s="1" t="str">
        <f>IFERROR(IF(Final_Sans_VGE[[#This Row],[ppn_z]]="","",IFERROR(
   IF(_xlfn.XLOOKUP(Final_Sans_VGE[[#This Row],[ppn_z]],tbl_Historique_Final[[#This Row],[ppn_z]],tbl_Historique_Final[[#This Row],[date_modif]])=Final_Sans_VGE[[#This Row],[date_modif]],
      "Ancien",
      "Modifié"),
   "Nouveau")),"")</f>
        <v/>
      </c>
    </row>
    <row r="4176" spans="24:30" x14ac:dyDescent="0.25">
      <c r="X4176" s="8" t="e">
        <f>IF(Final_Sans_VGE[[#This Row],[ppn_z]]="","",IFERROR(
   IF(_xlfn.XLOOKUP(Final_Sans_VGE[[#This Row],[ppn_z]],tbl_Historique_Final[ppn_z],tbl_Historique_Final[date_modif])=Final_Sans_VGE[[#This Row],[date_modif]],
      "Ancien",
      "Modifié"),
   "Nouveau"))</f>
        <v>#VALUE!</v>
      </c>
      <c r="AD4176" s="1" t="str">
        <f>IFERROR(IF(Final_Sans_VGE[[#This Row],[ppn_z]]="","",IFERROR(
   IF(_xlfn.XLOOKUP(Final_Sans_VGE[[#This Row],[ppn_z]],tbl_Historique_Final[[#This Row],[ppn_z]],tbl_Historique_Final[[#This Row],[date_modif]])=Final_Sans_VGE[[#This Row],[date_modif]],
      "Ancien",
      "Modifié"),
   "Nouveau")),"")</f>
        <v/>
      </c>
    </row>
    <row r="4177" spans="24:30" x14ac:dyDescent="0.25">
      <c r="X4177" s="8" t="e">
        <f>IF(Final_Sans_VGE[[#This Row],[ppn_z]]="","",IFERROR(
   IF(_xlfn.XLOOKUP(Final_Sans_VGE[[#This Row],[ppn_z]],tbl_Historique_Final[ppn_z],tbl_Historique_Final[date_modif])=Final_Sans_VGE[[#This Row],[date_modif]],
      "Ancien",
      "Modifié"),
   "Nouveau"))</f>
        <v>#VALUE!</v>
      </c>
      <c r="AD4177" s="1" t="str">
        <f>IFERROR(IF(Final_Sans_VGE[[#This Row],[ppn_z]]="","",IFERROR(
   IF(_xlfn.XLOOKUP(Final_Sans_VGE[[#This Row],[ppn_z]],tbl_Historique_Final[[#This Row],[ppn_z]],tbl_Historique_Final[[#This Row],[date_modif]])=Final_Sans_VGE[[#This Row],[date_modif]],
      "Ancien",
      "Modifié"),
   "Nouveau")),"")</f>
        <v/>
      </c>
    </row>
    <row r="4178" spans="24:30" x14ac:dyDescent="0.25">
      <c r="X4178" s="8" t="e">
        <f>IF(Final_Sans_VGE[[#This Row],[ppn_z]]="","",IFERROR(
   IF(_xlfn.XLOOKUP(Final_Sans_VGE[[#This Row],[ppn_z]],tbl_Historique_Final[ppn_z],tbl_Historique_Final[date_modif])=Final_Sans_VGE[[#This Row],[date_modif]],
      "Ancien",
      "Modifié"),
   "Nouveau"))</f>
        <v>#VALUE!</v>
      </c>
      <c r="AD4178" s="1" t="str">
        <f>IFERROR(IF(Final_Sans_VGE[[#This Row],[ppn_z]]="","",IFERROR(
   IF(_xlfn.XLOOKUP(Final_Sans_VGE[[#This Row],[ppn_z]],tbl_Historique_Final[[#This Row],[ppn_z]],tbl_Historique_Final[[#This Row],[date_modif]])=Final_Sans_VGE[[#This Row],[date_modif]],
      "Ancien",
      "Modifié"),
   "Nouveau")),"")</f>
        <v/>
      </c>
    </row>
    <row r="4179" spans="24:30" x14ac:dyDescent="0.25">
      <c r="X4179" s="8" t="e">
        <f>IF(Final_Sans_VGE[[#This Row],[ppn_z]]="","",IFERROR(
   IF(_xlfn.XLOOKUP(Final_Sans_VGE[[#This Row],[ppn_z]],tbl_Historique_Final[ppn_z],tbl_Historique_Final[date_modif])=Final_Sans_VGE[[#This Row],[date_modif]],
      "Ancien",
      "Modifié"),
   "Nouveau"))</f>
        <v>#VALUE!</v>
      </c>
      <c r="AD4179" s="1" t="str">
        <f>IFERROR(IF(Final_Sans_VGE[[#This Row],[ppn_z]]="","",IFERROR(
   IF(_xlfn.XLOOKUP(Final_Sans_VGE[[#This Row],[ppn_z]],tbl_Historique_Final[[#This Row],[ppn_z]],tbl_Historique_Final[[#This Row],[date_modif]])=Final_Sans_VGE[[#This Row],[date_modif]],
      "Ancien",
      "Modifié"),
   "Nouveau")),"")</f>
        <v/>
      </c>
    </row>
    <row r="4180" spans="24:30" x14ac:dyDescent="0.25">
      <c r="X4180" s="8" t="e">
        <f>IF(Final_Sans_VGE[[#This Row],[ppn_z]]="","",IFERROR(
   IF(_xlfn.XLOOKUP(Final_Sans_VGE[[#This Row],[ppn_z]],tbl_Historique_Final[ppn_z],tbl_Historique_Final[date_modif])=Final_Sans_VGE[[#This Row],[date_modif]],
      "Ancien",
      "Modifié"),
   "Nouveau"))</f>
        <v>#VALUE!</v>
      </c>
      <c r="AD4180" s="1" t="str">
        <f>IFERROR(IF(Final_Sans_VGE[[#This Row],[ppn_z]]="","",IFERROR(
   IF(_xlfn.XLOOKUP(Final_Sans_VGE[[#This Row],[ppn_z]],tbl_Historique_Final[[#This Row],[ppn_z]],tbl_Historique_Final[[#This Row],[date_modif]])=Final_Sans_VGE[[#This Row],[date_modif]],
      "Ancien",
      "Modifié"),
   "Nouveau")),"")</f>
        <v/>
      </c>
    </row>
    <row r="4181" spans="24:30" x14ac:dyDescent="0.25">
      <c r="X4181" s="8" t="e">
        <f>IF(Final_Sans_VGE[[#This Row],[ppn_z]]="","",IFERROR(
   IF(_xlfn.XLOOKUP(Final_Sans_VGE[[#This Row],[ppn_z]],tbl_Historique_Final[ppn_z],tbl_Historique_Final[date_modif])=Final_Sans_VGE[[#This Row],[date_modif]],
      "Ancien",
      "Modifié"),
   "Nouveau"))</f>
        <v>#VALUE!</v>
      </c>
      <c r="AD4181" s="1" t="str">
        <f>IFERROR(IF(Final_Sans_VGE[[#This Row],[ppn_z]]="","",IFERROR(
   IF(_xlfn.XLOOKUP(Final_Sans_VGE[[#This Row],[ppn_z]],tbl_Historique_Final[[#This Row],[ppn_z]],tbl_Historique_Final[[#This Row],[date_modif]])=Final_Sans_VGE[[#This Row],[date_modif]],
      "Ancien",
      "Modifié"),
   "Nouveau")),"")</f>
        <v/>
      </c>
    </row>
    <row r="4182" spans="24:30" x14ac:dyDescent="0.25">
      <c r="X4182" s="8" t="e">
        <f>IF(Final_Sans_VGE[[#This Row],[ppn_z]]="","",IFERROR(
   IF(_xlfn.XLOOKUP(Final_Sans_VGE[[#This Row],[ppn_z]],tbl_Historique_Final[ppn_z],tbl_Historique_Final[date_modif])=Final_Sans_VGE[[#This Row],[date_modif]],
      "Ancien",
      "Modifié"),
   "Nouveau"))</f>
        <v>#VALUE!</v>
      </c>
      <c r="AD4182" s="1" t="str">
        <f>IFERROR(IF(Final_Sans_VGE[[#This Row],[ppn_z]]="","",IFERROR(
   IF(_xlfn.XLOOKUP(Final_Sans_VGE[[#This Row],[ppn_z]],tbl_Historique_Final[[#This Row],[ppn_z]],tbl_Historique_Final[[#This Row],[date_modif]])=Final_Sans_VGE[[#This Row],[date_modif]],
      "Ancien",
      "Modifié"),
   "Nouveau")),"")</f>
        <v/>
      </c>
    </row>
    <row r="4183" spans="24:30" x14ac:dyDescent="0.25">
      <c r="X4183" s="8" t="e">
        <f>IF(Final_Sans_VGE[[#This Row],[ppn_z]]="","",IFERROR(
   IF(_xlfn.XLOOKUP(Final_Sans_VGE[[#This Row],[ppn_z]],tbl_Historique_Final[ppn_z],tbl_Historique_Final[date_modif])=Final_Sans_VGE[[#This Row],[date_modif]],
      "Ancien",
      "Modifié"),
   "Nouveau"))</f>
        <v>#VALUE!</v>
      </c>
      <c r="AD4183" s="1" t="str">
        <f>IFERROR(IF(Final_Sans_VGE[[#This Row],[ppn_z]]="","",IFERROR(
   IF(_xlfn.XLOOKUP(Final_Sans_VGE[[#This Row],[ppn_z]],tbl_Historique_Final[[#This Row],[ppn_z]],tbl_Historique_Final[[#This Row],[date_modif]])=Final_Sans_VGE[[#This Row],[date_modif]],
      "Ancien",
      "Modifié"),
   "Nouveau")),"")</f>
        <v/>
      </c>
    </row>
    <row r="4184" spans="24:30" x14ac:dyDescent="0.25">
      <c r="X4184" s="8" t="e">
        <f>IF(Final_Sans_VGE[[#This Row],[ppn_z]]="","",IFERROR(
   IF(_xlfn.XLOOKUP(Final_Sans_VGE[[#This Row],[ppn_z]],tbl_Historique_Final[ppn_z],tbl_Historique_Final[date_modif])=Final_Sans_VGE[[#This Row],[date_modif]],
      "Ancien",
      "Modifié"),
   "Nouveau"))</f>
        <v>#VALUE!</v>
      </c>
      <c r="AD4184" s="1" t="str">
        <f>IFERROR(IF(Final_Sans_VGE[[#This Row],[ppn_z]]="","",IFERROR(
   IF(_xlfn.XLOOKUP(Final_Sans_VGE[[#This Row],[ppn_z]],tbl_Historique_Final[[#This Row],[ppn_z]],tbl_Historique_Final[[#This Row],[date_modif]])=Final_Sans_VGE[[#This Row],[date_modif]],
      "Ancien",
      "Modifié"),
   "Nouveau")),"")</f>
        <v/>
      </c>
    </row>
    <row r="4185" spans="24:30" x14ac:dyDescent="0.25">
      <c r="X4185" s="8" t="e">
        <f>IF(Final_Sans_VGE[[#This Row],[ppn_z]]="","",IFERROR(
   IF(_xlfn.XLOOKUP(Final_Sans_VGE[[#This Row],[ppn_z]],tbl_Historique_Final[ppn_z],tbl_Historique_Final[date_modif])=Final_Sans_VGE[[#This Row],[date_modif]],
      "Ancien",
      "Modifié"),
   "Nouveau"))</f>
        <v>#VALUE!</v>
      </c>
      <c r="AD4185" s="1" t="str">
        <f>IFERROR(IF(Final_Sans_VGE[[#This Row],[ppn_z]]="","",IFERROR(
   IF(_xlfn.XLOOKUP(Final_Sans_VGE[[#This Row],[ppn_z]],tbl_Historique_Final[[#This Row],[ppn_z]],tbl_Historique_Final[[#This Row],[date_modif]])=Final_Sans_VGE[[#This Row],[date_modif]],
      "Ancien",
      "Modifié"),
   "Nouveau")),"")</f>
        <v/>
      </c>
    </row>
    <row r="4186" spans="24:30" x14ac:dyDescent="0.25">
      <c r="X4186" s="8" t="e">
        <f>IF(Final_Sans_VGE[[#This Row],[ppn_z]]="","",IFERROR(
   IF(_xlfn.XLOOKUP(Final_Sans_VGE[[#This Row],[ppn_z]],tbl_Historique_Final[ppn_z],tbl_Historique_Final[date_modif])=Final_Sans_VGE[[#This Row],[date_modif]],
      "Ancien",
      "Modifié"),
   "Nouveau"))</f>
        <v>#VALUE!</v>
      </c>
      <c r="AD4186" s="1" t="str">
        <f>IFERROR(IF(Final_Sans_VGE[[#This Row],[ppn_z]]="","",IFERROR(
   IF(_xlfn.XLOOKUP(Final_Sans_VGE[[#This Row],[ppn_z]],tbl_Historique_Final[[#This Row],[ppn_z]],tbl_Historique_Final[[#This Row],[date_modif]])=Final_Sans_VGE[[#This Row],[date_modif]],
      "Ancien",
      "Modifié"),
   "Nouveau")),"")</f>
        <v/>
      </c>
    </row>
    <row r="4187" spans="24:30" x14ac:dyDescent="0.25">
      <c r="X4187" s="8" t="e">
        <f>IF(Final_Sans_VGE[[#This Row],[ppn_z]]="","",IFERROR(
   IF(_xlfn.XLOOKUP(Final_Sans_VGE[[#This Row],[ppn_z]],tbl_Historique_Final[ppn_z],tbl_Historique_Final[date_modif])=Final_Sans_VGE[[#This Row],[date_modif]],
      "Ancien",
      "Modifié"),
   "Nouveau"))</f>
        <v>#VALUE!</v>
      </c>
      <c r="AD4187" s="1" t="str">
        <f>IFERROR(IF(Final_Sans_VGE[[#This Row],[ppn_z]]="","",IFERROR(
   IF(_xlfn.XLOOKUP(Final_Sans_VGE[[#This Row],[ppn_z]],tbl_Historique_Final[[#This Row],[ppn_z]],tbl_Historique_Final[[#This Row],[date_modif]])=Final_Sans_VGE[[#This Row],[date_modif]],
      "Ancien",
      "Modifié"),
   "Nouveau")),"")</f>
        <v/>
      </c>
    </row>
    <row r="4188" spans="24:30" x14ac:dyDescent="0.25">
      <c r="X4188" s="8" t="e">
        <f>IF(Final_Sans_VGE[[#This Row],[ppn_z]]="","",IFERROR(
   IF(_xlfn.XLOOKUP(Final_Sans_VGE[[#This Row],[ppn_z]],tbl_Historique_Final[ppn_z],tbl_Historique_Final[date_modif])=Final_Sans_VGE[[#This Row],[date_modif]],
      "Ancien",
      "Modifié"),
   "Nouveau"))</f>
        <v>#VALUE!</v>
      </c>
      <c r="AD4188" s="1" t="str">
        <f>IFERROR(IF(Final_Sans_VGE[[#This Row],[ppn_z]]="","",IFERROR(
   IF(_xlfn.XLOOKUP(Final_Sans_VGE[[#This Row],[ppn_z]],tbl_Historique_Final[[#This Row],[ppn_z]],tbl_Historique_Final[[#This Row],[date_modif]])=Final_Sans_VGE[[#This Row],[date_modif]],
      "Ancien",
      "Modifié"),
   "Nouveau")),"")</f>
        <v/>
      </c>
    </row>
    <row r="4189" spans="24:30" x14ac:dyDescent="0.25">
      <c r="X4189" s="8" t="e">
        <f>IF(Final_Sans_VGE[[#This Row],[ppn_z]]="","",IFERROR(
   IF(_xlfn.XLOOKUP(Final_Sans_VGE[[#This Row],[ppn_z]],tbl_Historique_Final[ppn_z],tbl_Historique_Final[date_modif])=Final_Sans_VGE[[#This Row],[date_modif]],
      "Ancien",
      "Modifié"),
   "Nouveau"))</f>
        <v>#VALUE!</v>
      </c>
      <c r="AD4189" s="1" t="str">
        <f>IFERROR(IF(Final_Sans_VGE[[#This Row],[ppn_z]]="","",IFERROR(
   IF(_xlfn.XLOOKUP(Final_Sans_VGE[[#This Row],[ppn_z]],tbl_Historique_Final[[#This Row],[ppn_z]],tbl_Historique_Final[[#This Row],[date_modif]])=Final_Sans_VGE[[#This Row],[date_modif]],
      "Ancien",
      "Modifié"),
   "Nouveau")),"")</f>
        <v/>
      </c>
    </row>
    <row r="4190" spans="24:30" x14ac:dyDescent="0.25">
      <c r="X4190" s="8" t="e">
        <f>IF(Final_Sans_VGE[[#This Row],[ppn_z]]="","",IFERROR(
   IF(_xlfn.XLOOKUP(Final_Sans_VGE[[#This Row],[ppn_z]],tbl_Historique_Final[ppn_z],tbl_Historique_Final[date_modif])=Final_Sans_VGE[[#This Row],[date_modif]],
      "Ancien",
      "Modifié"),
   "Nouveau"))</f>
        <v>#VALUE!</v>
      </c>
      <c r="AD4190" s="1" t="str">
        <f>IFERROR(IF(Final_Sans_VGE[[#This Row],[ppn_z]]="","",IFERROR(
   IF(_xlfn.XLOOKUP(Final_Sans_VGE[[#This Row],[ppn_z]],tbl_Historique_Final[[#This Row],[ppn_z]],tbl_Historique_Final[[#This Row],[date_modif]])=Final_Sans_VGE[[#This Row],[date_modif]],
      "Ancien",
      "Modifié"),
   "Nouveau")),"")</f>
        <v/>
      </c>
    </row>
    <row r="4191" spans="24:30" x14ac:dyDescent="0.25">
      <c r="X4191" s="8" t="e">
        <f>IF(Final_Sans_VGE[[#This Row],[ppn_z]]="","",IFERROR(
   IF(_xlfn.XLOOKUP(Final_Sans_VGE[[#This Row],[ppn_z]],tbl_Historique_Final[ppn_z],tbl_Historique_Final[date_modif])=Final_Sans_VGE[[#This Row],[date_modif]],
      "Ancien",
      "Modifié"),
   "Nouveau"))</f>
        <v>#VALUE!</v>
      </c>
      <c r="AD4191" s="1" t="str">
        <f>IFERROR(IF(Final_Sans_VGE[[#This Row],[ppn_z]]="","",IFERROR(
   IF(_xlfn.XLOOKUP(Final_Sans_VGE[[#This Row],[ppn_z]],tbl_Historique_Final[[#This Row],[ppn_z]],tbl_Historique_Final[[#This Row],[date_modif]])=Final_Sans_VGE[[#This Row],[date_modif]],
      "Ancien",
      "Modifié"),
   "Nouveau")),"")</f>
        <v/>
      </c>
    </row>
    <row r="4192" spans="24:30" x14ac:dyDescent="0.25">
      <c r="X4192" s="8" t="e">
        <f>IF(Final_Sans_VGE[[#This Row],[ppn_z]]="","",IFERROR(
   IF(_xlfn.XLOOKUP(Final_Sans_VGE[[#This Row],[ppn_z]],tbl_Historique_Final[ppn_z],tbl_Historique_Final[date_modif])=Final_Sans_VGE[[#This Row],[date_modif]],
      "Ancien",
      "Modifié"),
   "Nouveau"))</f>
        <v>#VALUE!</v>
      </c>
      <c r="AD4192" s="1" t="str">
        <f>IFERROR(IF(Final_Sans_VGE[[#This Row],[ppn_z]]="","",IFERROR(
   IF(_xlfn.XLOOKUP(Final_Sans_VGE[[#This Row],[ppn_z]],tbl_Historique_Final[[#This Row],[ppn_z]],tbl_Historique_Final[[#This Row],[date_modif]])=Final_Sans_VGE[[#This Row],[date_modif]],
      "Ancien",
      "Modifié"),
   "Nouveau")),"")</f>
        <v/>
      </c>
    </row>
    <row r="4193" spans="24:30" x14ac:dyDescent="0.25">
      <c r="X4193" s="8" t="e">
        <f>IF(Final_Sans_VGE[[#This Row],[ppn_z]]="","",IFERROR(
   IF(_xlfn.XLOOKUP(Final_Sans_VGE[[#This Row],[ppn_z]],tbl_Historique_Final[ppn_z],tbl_Historique_Final[date_modif])=Final_Sans_VGE[[#This Row],[date_modif]],
      "Ancien",
      "Modifié"),
   "Nouveau"))</f>
        <v>#VALUE!</v>
      </c>
      <c r="AD4193" s="1" t="str">
        <f>IFERROR(IF(Final_Sans_VGE[[#This Row],[ppn_z]]="","",IFERROR(
   IF(_xlfn.XLOOKUP(Final_Sans_VGE[[#This Row],[ppn_z]],tbl_Historique_Final[[#This Row],[ppn_z]],tbl_Historique_Final[[#This Row],[date_modif]])=Final_Sans_VGE[[#This Row],[date_modif]],
      "Ancien",
      "Modifié"),
   "Nouveau")),"")</f>
        <v/>
      </c>
    </row>
    <row r="4194" spans="24:30" x14ac:dyDescent="0.25">
      <c r="X4194" s="8" t="e">
        <f>IF(Final_Sans_VGE[[#This Row],[ppn_z]]="","",IFERROR(
   IF(_xlfn.XLOOKUP(Final_Sans_VGE[[#This Row],[ppn_z]],tbl_Historique_Final[ppn_z],tbl_Historique_Final[date_modif])=Final_Sans_VGE[[#This Row],[date_modif]],
      "Ancien",
      "Modifié"),
   "Nouveau"))</f>
        <v>#VALUE!</v>
      </c>
      <c r="AD4194" s="1" t="str">
        <f>IFERROR(IF(Final_Sans_VGE[[#This Row],[ppn_z]]="","",IFERROR(
   IF(_xlfn.XLOOKUP(Final_Sans_VGE[[#This Row],[ppn_z]],tbl_Historique_Final[[#This Row],[ppn_z]],tbl_Historique_Final[[#This Row],[date_modif]])=Final_Sans_VGE[[#This Row],[date_modif]],
      "Ancien",
      "Modifié"),
   "Nouveau")),"")</f>
        <v/>
      </c>
    </row>
    <row r="4195" spans="24:30" x14ac:dyDescent="0.25">
      <c r="X4195" s="8" t="e">
        <f>IF(Final_Sans_VGE[[#This Row],[ppn_z]]="","",IFERROR(
   IF(_xlfn.XLOOKUP(Final_Sans_VGE[[#This Row],[ppn_z]],tbl_Historique_Final[ppn_z],tbl_Historique_Final[date_modif])=Final_Sans_VGE[[#This Row],[date_modif]],
      "Ancien",
      "Modifié"),
   "Nouveau"))</f>
        <v>#VALUE!</v>
      </c>
      <c r="AD4195" s="1" t="str">
        <f>IFERROR(IF(Final_Sans_VGE[[#This Row],[ppn_z]]="","",IFERROR(
   IF(_xlfn.XLOOKUP(Final_Sans_VGE[[#This Row],[ppn_z]],tbl_Historique_Final[[#This Row],[ppn_z]],tbl_Historique_Final[[#This Row],[date_modif]])=Final_Sans_VGE[[#This Row],[date_modif]],
      "Ancien",
      "Modifié"),
   "Nouveau")),"")</f>
        <v/>
      </c>
    </row>
    <row r="4196" spans="24:30" x14ac:dyDescent="0.25">
      <c r="X4196" s="8" t="e">
        <f>IF(Final_Sans_VGE[[#This Row],[ppn_z]]="","",IFERROR(
   IF(_xlfn.XLOOKUP(Final_Sans_VGE[[#This Row],[ppn_z]],tbl_Historique_Final[ppn_z],tbl_Historique_Final[date_modif])=Final_Sans_VGE[[#This Row],[date_modif]],
      "Ancien",
      "Modifié"),
   "Nouveau"))</f>
        <v>#VALUE!</v>
      </c>
      <c r="AD4196" s="1" t="str">
        <f>IFERROR(IF(Final_Sans_VGE[[#This Row],[ppn_z]]="","",IFERROR(
   IF(_xlfn.XLOOKUP(Final_Sans_VGE[[#This Row],[ppn_z]],tbl_Historique_Final[[#This Row],[ppn_z]],tbl_Historique_Final[[#This Row],[date_modif]])=Final_Sans_VGE[[#This Row],[date_modif]],
      "Ancien",
      "Modifié"),
   "Nouveau")),"")</f>
        <v/>
      </c>
    </row>
    <row r="4197" spans="24:30" x14ac:dyDescent="0.25">
      <c r="X4197" s="8" t="e">
        <f>IF(Final_Sans_VGE[[#This Row],[ppn_z]]="","",IFERROR(
   IF(_xlfn.XLOOKUP(Final_Sans_VGE[[#This Row],[ppn_z]],tbl_Historique_Final[ppn_z],tbl_Historique_Final[date_modif])=Final_Sans_VGE[[#This Row],[date_modif]],
      "Ancien",
      "Modifié"),
   "Nouveau"))</f>
        <v>#VALUE!</v>
      </c>
      <c r="AD4197" s="1" t="str">
        <f>IFERROR(IF(Final_Sans_VGE[[#This Row],[ppn_z]]="","",IFERROR(
   IF(_xlfn.XLOOKUP(Final_Sans_VGE[[#This Row],[ppn_z]],tbl_Historique_Final[[#This Row],[ppn_z]],tbl_Historique_Final[[#This Row],[date_modif]])=Final_Sans_VGE[[#This Row],[date_modif]],
      "Ancien",
      "Modifié"),
   "Nouveau")),"")</f>
        <v/>
      </c>
    </row>
    <row r="4198" spans="24:30" x14ac:dyDescent="0.25">
      <c r="X4198" s="8" t="e">
        <f>IF(Final_Sans_VGE[[#This Row],[ppn_z]]="","",IFERROR(
   IF(_xlfn.XLOOKUP(Final_Sans_VGE[[#This Row],[ppn_z]],tbl_Historique_Final[ppn_z],tbl_Historique_Final[date_modif])=Final_Sans_VGE[[#This Row],[date_modif]],
      "Ancien",
      "Modifié"),
   "Nouveau"))</f>
        <v>#VALUE!</v>
      </c>
      <c r="AD4198" s="1" t="str">
        <f>IFERROR(IF(Final_Sans_VGE[[#This Row],[ppn_z]]="","",IFERROR(
   IF(_xlfn.XLOOKUP(Final_Sans_VGE[[#This Row],[ppn_z]],tbl_Historique_Final[[#This Row],[ppn_z]],tbl_Historique_Final[[#This Row],[date_modif]])=Final_Sans_VGE[[#This Row],[date_modif]],
      "Ancien",
      "Modifié"),
   "Nouveau")),"")</f>
        <v/>
      </c>
    </row>
    <row r="4199" spans="24:30" x14ac:dyDescent="0.25">
      <c r="X4199" s="8" t="e">
        <f>IF(Final_Sans_VGE[[#This Row],[ppn_z]]="","",IFERROR(
   IF(_xlfn.XLOOKUP(Final_Sans_VGE[[#This Row],[ppn_z]],tbl_Historique_Final[ppn_z],tbl_Historique_Final[date_modif])=Final_Sans_VGE[[#This Row],[date_modif]],
      "Ancien",
      "Modifié"),
   "Nouveau"))</f>
        <v>#VALUE!</v>
      </c>
      <c r="AD4199" s="1" t="str">
        <f>IFERROR(IF(Final_Sans_VGE[[#This Row],[ppn_z]]="","",IFERROR(
   IF(_xlfn.XLOOKUP(Final_Sans_VGE[[#This Row],[ppn_z]],tbl_Historique_Final[[#This Row],[ppn_z]],tbl_Historique_Final[[#This Row],[date_modif]])=Final_Sans_VGE[[#This Row],[date_modif]],
      "Ancien",
      "Modifié"),
   "Nouveau")),"")</f>
        <v/>
      </c>
    </row>
    <row r="4200" spans="24:30" x14ac:dyDescent="0.25">
      <c r="X4200" s="8" t="e">
        <f>IF(Final_Sans_VGE[[#This Row],[ppn_z]]="","",IFERROR(
   IF(_xlfn.XLOOKUP(Final_Sans_VGE[[#This Row],[ppn_z]],tbl_Historique_Final[ppn_z],tbl_Historique_Final[date_modif])=Final_Sans_VGE[[#This Row],[date_modif]],
      "Ancien",
      "Modifié"),
   "Nouveau"))</f>
        <v>#VALUE!</v>
      </c>
      <c r="AD4200" s="1" t="str">
        <f>IFERROR(IF(Final_Sans_VGE[[#This Row],[ppn_z]]="","",IFERROR(
   IF(_xlfn.XLOOKUP(Final_Sans_VGE[[#This Row],[ppn_z]],tbl_Historique_Final[[#This Row],[ppn_z]],tbl_Historique_Final[[#This Row],[date_modif]])=Final_Sans_VGE[[#This Row],[date_modif]],
      "Ancien",
      "Modifié"),
   "Nouveau")),"")</f>
        <v/>
      </c>
    </row>
    <row r="4201" spans="24:30" x14ac:dyDescent="0.25">
      <c r="X4201" s="8" t="e">
        <f>IF(Final_Sans_VGE[[#This Row],[ppn_z]]="","",IFERROR(
   IF(_xlfn.XLOOKUP(Final_Sans_VGE[[#This Row],[ppn_z]],tbl_Historique_Final[ppn_z],tbl_Historique_Final[date_modif])=Final_Sans_VGE[[#This Row],[date_modif]],
      "Ancien",
      "Modifié"),
   "Nouveau"))</f>
        <v>#VALUE!</v>
      </c>
      <c r="AD4201" s="1" t="str">
        <f>IFERROR(IF(Final_Sans_VGE[[#This Row],[ppn_z]]="","",IFERROR(
   IF(_xlfn.XLOOKUP(Final_Sans_VGE[[#This Row],[ppn_z]],tbl_Historique_Final[[#This Row],[ppn_z]],tbl_Historique_Final[[#This Row],[date_modif]])=Final_Sans_VGE[[#This Row],[date_modif]],
      "Ancien",
      "Modifié"),
   "Nouveau")),"")</f>
        <v/>
      </c>
    </row>
    <row r="4202" spans="24:30" x14ac:dyDescent="0.25">
      <c r="X4202" s="8" t="e">
        <f>IF(Final_Sans_VGE[[#This Row],[ppn_z]]="","",IFERROR(
   IF(_xlfn.XLOOKUP(Final_Sans_VGE[[#This Row],[ppn_z]],tbl_Historique_Final[ppn_z],tbl_Historique_Final[date_modif])=Final_Sans_VGE[[#This Row],[date_modif]],
      "Ancien",
      "Modifié"),
   "Nouveau"))</f>
        <v>#VALUE!</v>
      </c>
      <c r="AD4202" s="1" t="str">
        <f>IFERROR(IF(Final_Sans_VGE[[#This Row],[ppn_z]]="","",IFERROR(
   IF(_xlfn.XLOOKUP(Final_Sans_VGE[[#This Row],[ppn_z]],tbl_Historique_Final[[#This Row],[ppn_z]],tbl_Historique_Final[[#This Row],[date_modif]])=Final_Sans_VGE[[#This Row],[date_modif]],
      "Ancien",
      "Modifié"),
   "Nouveau")),"")</f>
        <v/>
      </c>
    </row>
    <row r="4203" spans="24:30" x14ac:dyDescent="0.25">
      <c r="X4203" s="8" t="e">
        <f>IF(Final_Sans_VGE[[#This Row],[ppn_z]]="","",IFERROR(
   IF(_xlfn.XLOOKUP(Final_Sans_VGE[[#This Row],[ppn_z]],tbl_Historique_Final[ppn_z],tbl_Historique_Final[date_modif])=Final_Sans_VGE[[#This Row],[date_modif]],
      "Ancien",
      "Modifié"),
   "Nouveau"))</f>
        <v>#VALUE!</v>
      </c>
      <c r="AD4203" s="1" t="str">
        <f>IFERROR(IF(Final_Sans_VGE[[#This Row],[ppn_z]]="","",IFERROR(
   IF(_xlfn.XLOOKUP(Final_Sans_VGE[[#This Row],[ppn_z]],tbl_Historique_Final[[#This Row],[ppn_z]],tbl_Historique_Final[[#This Row],[date_modif]])=Final_Sans_VGE[[#This Row],[date_modif]],
      "Ancien",
      "Modifié"),
   "Nouveau")),"")</f>
        <v/>
      </c>
    </row>
    <row r="4204" spans="24:30" x14ac:dyDescent="0.25">
      <c r="X4204" s="8" t="e">
        <f>IF(Final_Sans_VGE[[#This Row],[ppn_z]]="","",IFERROR(
   IF(_xlfn.XLOOKUP(Final_Sans_VGE[[#This Row],[ppn_z]],tbl_Historique_Final[ppn_z],tbl_Historique_Final[date_modif])=Final_Sans_VGE[[#This Row],[date_modif]],
      "Ancien",
      "Modifié"),
   "Nouveau"))</f>
        <v>#VALUE!</v>
      </c>
      <c r="AD4204" s="1" t="str">
        <f>IFERROR(IF(Final_Sans_VGE[[#This Row],[ppn_z]]="","",IFERROR(
   IF(_xlfn.XLOOKUP(Final_Sans_VGE[[#This Row],[ppn_z]],tbl_Historique_Final[[#This Row],[ppn_z]],tbl_Historique_Final[[#This Row],[date_modif]])=Final_Sans_VGE[[#This Row],[date_modif]],
      "Ancien",
      "Modifié"),
   "Nouveau")),"")</f>
        <v/>
      </c>
    </row>
    <row r="4205" spans="24:30" x14ac:dyDescent="0.25">
      <c r="X4205" s="8" t="e">
        <f>IF(Final_Sans_VGE[[#This Row],[ppn_z]]="","",IFERROR(
   IF(_xlfn.XLOOKUP(Final_Sans_VGE[[#This Row],[ppn_z]],tbl_Historique_Final[ppn_z],tbl_Historique_Final[date_modif])=Final_Sans_VGE[[#This Row],[date_modif]],
      "Ancien",
      "Modifié"),
   "Nouveau"))</f>
        <v>#VALUE!</v>
      </c>
      <c r="AD4205" s="1" t="str">
        <f>IFERROR(IF(Final_Sans_VGE[[#This Row],[ppn_z]]="","",IFERROR(
   IF(_xlfn.XLOOKUP(Final_Sans_VGE[[#This Row],[ppn_z]],tbl_Historique_Final[[#This Row],[ppn_z]],tbl_Historique_Final[[#This Row],[date_modif]])=Final_Sans_VGE[[#This Row],[date_modif]],
      "Ancien",
      "Modifié"),
   "Nouveau")),"")</f>
        <v/>
      </c>
    </row>
    <row r="4206" spans="24:30" x14ac:dyDescent="0.25">
      <c r="X4206" s="8" t="e">
        <f>IF(Final_Sans_VGE[[#This Row],[ppn_z]]="","",IFERROR(
   IF(_xlfn.XLOOKUP(Final_Sans_VGE[[#This Row],[ppn_z]],tbl_Historique_Final[ppn_z],tbl_Historique_Final[date_modif])=Final_Sans_VGE[[#This Row],[date_modif]],
      "Ancien",
      "Modifié"),
   "Nouveau"))</f>
        <v>#VALUE!</v>
      </c>
      <c r="AD4206" s="1" t="str">
        <f>IFERROR(IF(Final_Sans_VGE[[#This Row],[ppn_z]]="","",IFERROR(
   IF(_xlfn.XLOOKUP(Final_Sans_VGE[[#This Row],[ppn_z]],tbl_Historique_Final[[#This Row],[ppn_z]],tbl_Historique_Final[[#This Row],[date_modif]])=Final_Sans_VGE[[#This Row],[date_modif]],
      "Ancien",
      "Modifié"),
   "Nouveau")),"")</f>
        <v/>
      </c>
    </row>
    <row r="4207" spans="24:30" x14ac:dyDescent="0.25">
      <c r="X4207" s="8" t="e">
        <f>IF(Final_Sans_VGE[[#This Row],[ppn_z]]="","",IFERROR(
   IF(_xlfn.XLOOKUP(Final_Sans_VGE[[#This Row],[ppn_z]],tbl_Historique_Final[ppn_z],tbl_Historique_Final[date_modif])=Final_Sans_VGE[[#This Row],[date_modif]],
      "Ancien",
      "Modifié"),
   "Nouveau"))</f>
        <v>#VALUE!</v>
      </c>
      <c r="AD4207" s="1" t="str">
        <f>IFERROR(IF(Final_Sans_VGE[[#This Row],[ppn_z]]="","",IFERROR(
   IF(_xlfn.XLOOKUP(Final_Sans_VGE[[#This Row],[ppn_z]],tbl_Historique_Final[[#This Row],[ppn_z]],tbl_Historique_Final[[#This Row],[date_modif]])=Final_Sans_VGE[[#This Row],[date_modif]],
      "Ancien",
      "Modifié"),
   "Nouveau")),"")</f>
        <v/>
      </c>
    </row>
    <row r="4208" spans="24:30" x14ac:dyDescent="0.25">
      <c r="X4208" s="8" t="e">
        <f>IF(Final_Sans_VGE[[#This Row],[ppn_z]]="","",IFERROR(
   IF(_xlfn.XLOOKUP(Final_Sans_VGE[[#This Row],[ppn_z]],tbl_Historique_Final[ppn_z],tbl_Historique_Final[date_modif])=Final_Sans_VGE[[#This Row],[date_modif]],
      "Ancien",
      "Modifié"),
   "Nouveau"))</f>
        <v>#VALUE!</v>
      </c>
      <c r="AD4208" s="1" t="str">
        <f>IFERROR(IF(Final_Sans_VGE[[#This Row],[ppn_z]]="","",IFERROR(
   IF(_xlfn.XLOOKUP(Final_Sans_VGE[[#This Row],[ppn_z]],tbl_Historique_Final[[#This Row],[ppn_z]],tbl_Historique_Final[[#This Row],[date_modif]])=Final_Sans_VGE[[#This Row],[date_modif]],
      "Ancien",
      "Modifié"),
   "Nouveau")),"")</f>
        <v/>
      </c>
    </row>
    <row r="4209" spans="24:30" x14ac:dyDescent="0.25">
      <c r="X4209" s="8" t="e">
        <f>IF(Final_Sans_VGE[[#This Row],[ppn_z]]="","",IFERROR(
   IF(_xlfn.XLOOKUP(Final_Sans_VGE[[#This Row],[ppn_z]],tbl_Historique_Final[ppn_z],tbl_Historique_Final[date_modif])=Final_Sans_VGE[[#This Row],[date_modif]],
      "Ancien",
      "Modifié"),
   "Nouveau"))</f>
        <v>#VALUE!</v>
      </c>
      <c r="AD4209" s="1" t="str">
        <f>IFERROR(IF(Final_Sans_VGE[[#This Row],[ppn_z]]="","",IFERROR(
   IF(_xlfn.XLOOKUP(Final_Sans_VGE[[#This Row],[ppn_z]],tbl_Historique_Final[[#This Row],[ppn_z]],tbl_Historique_Final[[#This Row],[date_modif]])=Final_Sans_VGE[[#This Row],[date_modif]],
      "Ancien",
      "Modifié"),
   "Nouveau")),"")</f>
        <v/>
      </c>
    </row>
    <row r="4210" spans="24:30" x14ac:dyDescent="0.25">
      <c r="X4210" s="8" t="e">
        <f>IF(Final_Sans_VGE[[#This Row],[ppn_z]]="","",IFERROR(
   IF(_xlfn.XLOOKUP(Final_Sans_VGE[[#This Row],[ppn_z]],tbl_Historique_Final[ppn_z],tbl_Historique_Final[date_modif])=Final_Sans_VGE[[#This Row],[date_modif]],
      "Ancien",
      "Modifié"),
   "Nouveau"))</f>
        <v>#VALUE!</v>
      </c>
      <c r="AD4210" s="1" t="str">
        <f>IFERROR(IF(Final_Sans_VGE[[#This Row],[ppn_z]]="","",IFERROR(
   IF(_xlfn.XLOOKUP(Final_Sans_VGE[[#This Row],[ppn_z]],tbl_Historique_Final[[#This Row],[ppn_z]],tbl_Historique_Final[[#This Row],[date_modif]])=Final_Sans_VGE[[#This Row],[date_modif]],
      "Ancien",
      "Modifié"),
   "Nouveau")),"")</f>
        <v/>
      </c>
    </row>
    <row r="4211" spans="24:30" x14ac:dyDescent="0.25">
      <c r="X4211" s="8" t="e">
        <f>IF(Final_Sans_VGE[[#This Row],[ppn_z]]="","",IFERROR(
   IF(_xlfn.XLOOKUP(Final_Sans_VGE[[#This Row],[ppn_z]],tbl_Historique_Final[ppn_z],tbl_Historique_Final[date_modif])=Final_Sans_VGE[[#This Row],[date_modif]],
      "Ancien",
      "Modifié"),
   "Nouveau"))</f>
        <v>#VALUE!</v>
      </c>
      <c r="AD4211" s="1" t="str">
        <f>IFERROR(IF(Final_Sans_VGE[[#This Row],[ppn_z]]="","",IFERROR(
   IF(_xlfn.XLOOKUP(Final_Sans_VGE[[#This Row],[ppn_z]],tbl_Historique_Final[[#This Row],[ppn_z]],tbl_Historique_Final[[#This Row],[date_modif]])=Final_Sans_VGE[[#This Row],[date_modif]],
      "Ancien",
      "Modifié"),
   "Nouveau")),"")</f>
        <v/>
      </c>
    </row>
    <row r="4212" spans="24:30" x14ac:dyDescent="0.25">
      <c r="X4212" s="8" t="e">
        <f>IF(Final_Sans_VGE[[#This Row],[ppn_z]]="","",IFERROR(
   IF(_xlfn.XLOOKUP(Final_Sans_VGE[[#This Row],[ppn_z]],tbl_Historique_Final[ppn_z],tbl_Historique_Final[date_modif])=Final_Sans_VGE[[#This Row],[date_modif]],
      "Ancien",
      "Modifié"),
   "Nouveau"))</f>
        <v>#VALUE!</v>
      </c>
      <c r="AD4212" s="1" t="str">
        <f>IFERROR(IF(Final_Sans_VGE[[#This Row],[ppn_z]]="","",IFERROR(
   IF(_xlfn.XLOOKUP(Final_Sans_VGE[[#This Row],[ppn_z]],tbl_Historique_Final[[#This Row],[ppn_z]],tbl_Historique_Final[[#This Row],[date_modif]])=Final_Sans_VGE[[#This Row],[date_modif]],
      "Ancien",
      "Modifié"),
   "Nouveau")),"")</f>
        <v/>
      </c>
    </row>
    <row r="4213" spans="24:30" x14ac:dyDescent="0.25">
      <c r="X4213" s="8" t="e">
        <f>IF(Final_Sans_VGE[[#This Row],[ppn_z]]="","",IFERROR(
   IF(_xlfn.XLOOKUP(Final_Sans_VGE[[#This Row],[ppn_z]],tbl_Historique_Final[ppn_z],tbl_Historique_Final[date_modif])=Final_Sans_VGE[[#This Row],[date_modif]],
      "Ancien",
      "Modifié"),
   "Nouveau"))</f>
        <v>#VALUE!</v>
      </c>
      <c r="AD4213" s="1" t="str">
        <f>IFERROR(IF(Final_Sans_VGE[[#This Row],[ppn_z]]="","",IFERROR(
   IF(_xlfn.XLOOKUP(Final_Sans_VGE[[#This Row],[ppn_z]],tbl_Historique_Final[[#This Row],[ppn_z]],tbl_Historique_Final[[#This Row],[date_modif]])=Final_Sans_VGE[[#This Row],[date_modif]],
      "Ancien",
      "Modifié"),
   "Nouveau")),"")</f>
        <v/>
      </c>
    </row>
    <row r="4214" spans="24:30" x14ac:dyDescent="0.25">
      <c r="X4214" s="8" t="e">
        <f>IF(Final_Sans_VGE[[#This Row],[ppn_z]]="","",IFERROR(
   IF(_xlfn.XLOOKUP(Final_Sans_VGE[[#This Row],[ppn_z]],tbl_Historique_Final[ppn_z],tbl_Historique_Final[date_modif])=Final_Sans_VGE[[#This Row],[date_modif]],
      "Ancien",
      "Modifié"),
   "Nouveau"))</f>
        <v>#VALUE!</v>
      </c>
      <c r="AD4214" s="1" t="str">
        <f>IFERROR(IF(Final_Sans_VGE[[#This Row],[ppn_z]]="","",IFERROR(
   IF(_xlfn.XLOOKUP(Final_Sans_VGE[[#This Row],[ppn_z]],tbl_Historique_Final[[#This Row],[ppn_z]],tbl_Historique_Final[[#This Row],[date_modif]])=Final_Sans_VGE[[#This Row],[date_modif]],
      "Ancien",
      "Modifié"),
   "Nouveau")),"")</f>
        <v/>
      </c>
    </row>
    <row r="4215" spans="24:30" x14ac:dyDescent="0.25">
      <c r="X4215" s="8" t="e">
        <f>IF(Final_Sans_VGE[[#This Row],[ppn_z]]="","",IFERROR(
   IF(_xlfn.XLOOKUP(Final_Sans_VGE[[#This Row],[ppn_z]],tbl_Historique_Final[ppn_z],tbl_Historique_Final[date_modif])=Final_Sans_VGE[[#This Row],[date_modif]],
      "Ancien",
      "Modifié"),
   "Nouveau"))</f>
        <v>#VALUE!</v>
      </c>
      <c r="AD4215" s="1" t="str">
        <f>IFERROR(IF(Final_Sans_VGE[[#This Row],[ppn_z]]="","",IFERROR(
   IF(_xlfn.XLOOKUP(Final_Sans_VGE[[#This Row],[ppn_z]],tbl_Historique_Final[[#This Row],[ppn_z]],tbl_Historique_Final[[#This Row],[date_modif]])=Final_Sans_VGE[[#This Row],[date_modif]],
      "Ancien",
      "Modifié"),
   "Nouveau")),"")</f>
        <v/>
      </c>
    </row>
    <row r="4216" spans="24:30" x14ac:dyDescent="0.25">
      <c r="X4216" s="8" t="e">
        <f>IF(Final_Sans_VGE[[#This Row],[ppn_z]]="","",IFERROR(
   IF(_xlfn.XLOOKUP(Final_Sans_VGE[[#This Row],[ppn_z]],tbl_Historique_Final[ppn_z],tbl_Historique_Final[date_modif])=Final_Sans_VGE[[#This Row],[date_modif]],
      "Ancien",
      "Modifié"),
   "Nouveau"))</f>
        <v>#VALUE!</v>
      </c>
      <c r="AD4216" s="1" t="str">
        <f>IFERROR(IF(Final_Sans_VGE[[#This Row],[ppn_z]]="","",IFERROR(
   IF(_xlfn.XLOOKUP(Final_Sans_VGE[[#This Row],[ppn_z]],tbl_Historique_Final[[#This Row],[ppn_z]],tbl_Historique_Final[[#This Row],[date_modif]])=Final_Sans_VGE[[#This Row],[date_modif]],
      "Ancien",
      "Modifié"),
   "Nouveau")),"")</f>
        <v/>
      </c>
    </row>
    <row r="4217" spans="24:30" x14ac:dyDescent="0.25">
      <c r="X4217" s="8" t="e">
        <f>IF(Final_Sans_VGE[[#This Row],[ppn_z]]="","",IFERROR(
   IF(_xlfn.XLOOKUP(Final_Sans_VGE[[#This Row],[ppn_z]],tbl_Historique_Final[ppn_z],tbl_Historique_Final[date_modif])=Final_Sans_VGE[[#This Row],[date_modif]],
      "Ancien",
      "Modifié"),
   "Nouveau"))</f>
        <v>#VALUE!</v>
      </c>
      <c r="AD4217" s="1" t="str">
        <f>IFERROR(IF(Final_Sans_VGE[[#This Row],[ppn_z]]="","",IFERROR(
   IF(_xlfn.XLOOKUP(Final_Sans_VGE[[#This Row],[ppn_z]],tbl_Historique_Final[[#This Row],[ppn_z]],tbl_Historique_Final[[#This Row],[date_modif]])=Final_Sans_VGE[[#This Row],[date_modif]],
      "Ancien",
      "Modifié"),
   "Nouveau")),"")</f>
        <v/>
      </c>
    </row>
    <row r="4218" spans="24:30" x14ac:dyDescent="0.25">
      <c r="X4218" s="8" t="e">
        <f>IF(Final_Sans_VGE[[#This Row],[ppn_z]]="","",IFERROR(
   IF(_xlfn.XLOOKUP(Final_Sans_VGE[[#This Row],[ppn_z]],tbl_Historique_Final[ppn_z],tbl_Historique_Final[date_modif])=Final_Sans_VGE[[#This Row],[date_modif]],
      "Ancien",
      "Modifié"),
   "Nouveau"))</f>
        <v>#VALUE!</v>
      </c>
      <c r="AD4218" s="1" t="str">
        <f>IFERROR(IF(Final_Sans_VGE[[#This Row],[ppn_z]]="","",IFERROR(
   IF(_xlfn.XLOOKUP(Final_Sans_VGE[[#This Row],[ppn_z]],tbl_Historique_Final[[#This Row],[ppn_z]],tbl_Historique_Final[[#This Row],[date_modif]])=Final_Sans_VGE[[#This Row],[date_modif]],
      "Ancien",
      "Modifié"),
   "Nouveau")),"")</f>
        <v/>
      </c>
    </row>
    <row r="4219" spans="24:30" x14ac:dyDescent="0.25">
      <c r="X4219" s="8" t="e">
        <f>IF(Final_Sans_VGE[[#This Row],[ppn_z]]="","",IFERROR(
   IF(_xlfn.XLOOKUP(Final_Sans_VGE[[#This Row],[ppn_z]],tbl_Historique_Final[ppn_z],tbl_Historique_Final[date_modif])=Final_Sans_VGE[[#This Row],[date_modif]],
      "Ancien",
      "Modifié"),
   "Nouveau"))</f>
        <v>#VALUE!</v>
      </c>
      <c r="AD4219" s="1" t="str">
        <f>IFERROR(IF(Final_Sans_VGE[[#This Row],[ppn_z]]="","",IFERROR(
   IF(_xlfn.XLOOKUP(Final_Sans_VGE[[#This Row],[ppn_z]],tbl_Historique_Final[[#This Row],[ppn_z]],tbl_Historique_Final[[#This Row],[date_modif]])=Final_Sans_VGE[[#This Row],[date_modif]],
      "Ancien",
      "Modifié"),
   "Nouveau")),"")</f>
        <v/>
      </c>
    </row>
    <row r="4220" spans="24:30" x14ac:dyDescent="0.25">
      <c r="X4220" s="8" t="e">
        <f>IF(Final_Sans_VGE[[#This Row],[ppn_z]]="","",IFERROR(
   IF(_xlfn.XLOOKUP(Final_Sans_VGE[[#This Row],[ppn_z]],tbl_Historique_Final[ppn_z],tbl_Historique_Final[date_modif])=Final_Sans_VGE[[#This Row],[date_modif]],
      "Ancien",
      "Modifié"),
   "Nouveau"))</f>
        <v>#VALUE!</v>
      </c>
      <c r="AD4220" s="1" t="str">
        <f>IFERROR(IF(Final_Sans_VGE[[#This Row],[ppn_z]]="","",IFERROR(
   IF(_xlfn.XLOOKUP(Final_Sans_VGE[[#This Row],[ppn_z]],tbl_Historique_Final[[#This Row],[ppn_z]],tbl_Historique_Final[[#This Row],[date_modif]])=Final_Sans_VGE[[#This Row],[date_modif]],
      "Ancien",
      "Modifié"),
   "Nouveau")),"")</f>
        <v/>
      </c>
    </row>
    <row r="4221" spans="24:30" x14ac:dyDescent="0.25">
      <c r="X4221" s="8" t="e">
        <f>IF(Final_Sans_VGE[[#This Row],[ppn_z]]="","",IFERROR(
   IF(_xlfn.XLOOKUP(Final_Sans_VGE[[#This Row],[ppn_z]],tbl_Historique_Final[ppn_z],tbl_Historique_Final[date_modif])=Final_Sans_VGE[[#This Row],[date_modif]],
      "Ancien",
      "Modifié"),
   "Nouveau"))</f>
        <v>#VALUE!</v>
      </c>
      <c r="AD4221" s="1" t="str">
        <f>IFERROR(IF(Final_Sans_VGE[[#This Row],[ppn_z]]="","",IFERROR(
   IF(_xlfn.XLOOKUP(Final_Sans_VGE[[#This Row],[ppn_z]],tbl_Historique_Final[[#This Row],[ppn_z]],tbl_Historique_Final[[#This Row],[date_modif]])=Final_Sans_VGE[[#This Row],[date_modif]],
      "Ancien",
      "Modifié"),
   "Nouveau")),"")</f>
        <v/>
      </c>
    </row>
    <row r="4222" spans="24:30" x14ac:dyDescent="0.25">
      <c r="X4222" s="8" t="e">
        <f>IF(Final_Sans_VGE[[#This Row],[ppn_z]]="","",IFERROR(
   IF(_xlfn.XLOOKUP(Final_Sans_VGE[[#This Row],[ppn_z]],tbl_Historique_Final[ppn_z],tbl_Historique_Final[date_modif])=Final_Sans_VGE[[#This Row],[date_modif]],
      "Ancien",
      "Modifié"),
   "Nouveau"))</f>
        <v>#VALUE!</v>
      </c>
      <c r="AD4222" s="1" t="str">
        <f>IFERROR(IF(Final_Sans_VGE[[#This Row],[ppn_z]]="","",IFERROR(
   IF(_xlfn.XLOOKUP(Final_Sans_VGE[[#This Row],[ppn_z]],tbl_Historique_Final[[#This Row],[ppn_z]],tbl_Historique_Final[[#This Row],[date_modif]])=Final_Sans_VGE[[#This Row],[date_modif]],
      "Ancien",
      "Modifié"),
   "Nouveau")),"")</f>
        <v/>
      </c>
    </row>
    <row r="4223" spans="24:30" x14ac:dyDescent="0.25">
      <c r="X4223" s="8" t="e">
        <f>IF(Final_Sans_VGE[[#This Row],[ppn_z]]="","",IFERROR(
   IF(_xlfn.XLOOKUP(Final_Sans_VGE[[#This Row],[ppn_z]],tbl_Historique_Final[ppn_z],tbl_Historique_Final[date_modif])=Final_Sans_VGE[[#This Row],[date_modif]],
      "Ancien",
      "Modifié"),
   "Nouveau"))</f>
        <v>#VALUE!</v>
      </c>
      <c r="AD4223" s="1" t="str">
        <f>IFERROR(IF(Final_Sans_VGE[[#This Row],[ppn_z]]="","",IFERROR(
   IF(_xlfn.XLOOKUP(Final_Sans_VGE[[#This Row],[ppn_z]],tbl_Historique_Final[[#This Row],[ppn_z]],tbl_Historique_Final[[#This Row],[date_modif]])=Final_Sans_VGE[[#This Row],[date_modif]],
      "Ancien",
      "Modifié"),
   "Nouveau")),"")</f>
        <v/>
      </c>
    </row>
    <row r="4224" spans="24:30" x14ac:dyDescent="0.25">
      <c r="X4224" s="8" t="e">
        <f>IF(Final_Sans_VGE[[#This Row],[ppn_z]]="","",IFERROR(
   IF(_xlfn.XLOOKUP(Final_Sans_VGE[[#This Row],[ppn_z]],tbl_Historique_Final[ppn_z],tbl_Historique_Final[date_modif])=Final_Sans_VGE[[#This Row],[date_modif]],
      "Ancien",
      "Modifié"),
   "Nouveau"))</f>
        <v>#VALUE!</v>
      </c>
      <c r="AD4224" s="1" t="str">
        <f>IFERROR(IF(Final_Sans_VGE[[#This Row],[ppn_z]]="","",IFERROR(
   IF(_xlfn.XLOOKUP(Final_Sans_VGE[[#This Row],[ppn_z]],tbl_Historique_Final[[#This Row],[ppn_z]],tbl_Historique_Final[[#This Row],[date_modif]])=Final_Sans_VGE[[#This Row],[date_modif]],
      "Ancien",
      "Modifié"),
   "Nouveau")),"")</f>
        <v/>
      </c>
    </row>
    <row r="4225" spans="24:30" x14ac:dyDescent="0.25">
      <c r="X4225" s="8" t="e">
        <f>IF(Final_Sans_VGE[[#This Row],[ppn_z]]="","",IFERROR(
   IF(_xlfn.XLOOKUP(Final_Sans_VGE[[#This Row],[ppn_z]],tbl_Historique_Final[ppn_z],tbl_Historique_Final[date_modif])=Final_Sans_VGE[[#This Row],[date_modif]],
      "Ancien",
      "Modifié"),
   "Nouveau"))</f>
        <v>#VALUE!</v>
      </c>
      <c r="AD4225" s="1" t="str">
        <f>IFERROR(IF(Final_Sans_VGE[[#This Row],[ppn_z]]="","",IFERROR(
   IF(_xlfn.XLOOKUP(Final_Sans_VGE[[#This Row],[ppn_z]],tbl_Historique_Final[[#This Row],[ppn_z]],tbl_Historique_Final[[#This Row],[date_modif]])=Final_Sans_VGE[[#This Row],[date_modif]],
      "Ancien",
      "Modifié"),
   "Nouveau")),"")</f>
        <v/>
      </c>
    </row>
    <row r="4226" spans="24:30" x14ac:dyDescent="0.25">
      <c r="X4226" s="8" t="e">
        <f>IF(Final_Sans_VGE[[#This Row],[ppn_z]]="","",IFERROR(
   IF(_xlfn.XLOOKUP(Final_Sans_VGE[[#This Row],[ppn_z]],tbl_Historique_Final[ppn_z],tbl_Historique_Final[date_modif])=Final_Sans_VGE[[#This Row],[date_modif]],
      "Ancien",
      "Modifié"),
   "Nouveau"))</f>
        <v>#VALUE!</v>
      </c>
      <c r="AD4226" s="1" t="str">
        <f>IFERROR(IF(Final_Sans_VGE[[#This Row],[ppn_z]]="","",IFERROR(
   IF(_xlfn.XLOOKUP(Final_Sans_VGE[[#This Row],[ppn_z]],tbl_Historique_Final[[#This Row],[ppn_z]],tbl_Historique_Final[[#This Row],[date_modif]])=Final_Sans_VGE[[#This Row],[date_modif]],
      "Ancien",
      "Modifié"),
   "Nouveau")),"")</f>
        <v/>
      </c>
    </row>
    <row r="4227" spans="24:30" x14ac:dyDescent="0.25">
      <c r="X4227" s="8" t="e">
        <f>IF(Final_Sans_VGE[[#This Row],[ppn_z]]="","",IFERROR(
   IF(_xlfn.XLOOKUP(Final_Sans_VGE[[#This Row],[ppn_z]],tbl_Historique_Final[ppn_z],tbl_Historique_Final[date_modif])=Final_Sans_VGE[[#This Row],[date_modif]],
      "Ancien",
      "Modifié"),
   "Nouveau"))</f>
        <v>#VALUE!</v>
      </c>
      <c r="AD4227" s="1" t="str">
        <f>IFERROR(IF(Final_Sans_VGE[[#This Row],[ppn_z]]="","",IFERROR(
   IF(_xlfn.XLOOKUP(Final_Sans_VGE[[#This Row],[ppn_z]],tbl_Historique_Final[[#This Row],[ppn_z]],tbl_Historique_Final[[#This Row],[date_modif]])=Final_Sans_VGE[[#This Row],[date_modif]],
      "Ancien",
      "Modifié"),
   "Nouveau")),"")</f>
        <v/>
      </c>
    </row>
    <row r="4228" spans="24:30" x14ac:dyDescent="0.25">
      <c r="X4228" s="8" t="e">
        <f>IF(Final_Sans_VGE[[#This Row],[ppn_z]]="","",IFERROR(
   IF(_xlfn.XLOOKUP(Final_Sans_VGE[[#This Row],[ppn_z]],tbl_Historique_Final[ppn_z],tbl_Historique_Final[date_modif])=Final_Sans_VGE[[#This Row],[date_modif]],
      "Ancien",
      "Modifié"),
   "Nouveau"))</f>
        <v>#VALUE!</v>
      </c>
      <c r="AD4228" s="1" t="str">
        <f>IFERROR(IF(Final_Sans_VGE[[#This Row],[ppn_z]]="","",IFERROR(
   IF(_xlfn.XLOOKUP(Final_Sans_VGE[[#This Row],[ppn_z]],tbl_Historique_Final[[#This Row],[ppn_z]],tbl_Historique_Final[[#This Row],[date_modif]])=Final_Sans_VGE[[#This Row],[date_modif]],
      "Ancien",
      "Modifié"),
   "Nouveau")),"")</f>
        <v/>
      </c>
    </row>
    <row r="4229" spans="24:30" x14ac:dyDescent="0.25">
      <c r="X4229" s="8" t="e">
        <f>IF(Final_Sans_VGE[[#This Row],[ppn_z]]="","",IFERROR(
   IF(_xlfn.XLOOKUP(Final_Sans_VGE[[#This Row],[ppn_z]],tbl_Historique_Final[ppn_z],tbl_Historique_Final[date_modif])=Final_Sans_VGE[[#This Row],[date_modif]],
      "Ancien",
      "Modifié"),
   "Nouveau"))</f>
        <v>#VALUE!</v>
      </c>
      <c r="AD4229" s="1" t="str">
        <f>IFERROR(IF(Final_Sans_VGE[[#This Row],[ppn_z]]="","",IFERROR(
   IF(_xlfn.XLOOKUP(Final_Sans_VGE[[#This Row],[ppn_z]],tbl_Historique_Final[[#This Row],[ppn_z]],tbl_Historique_Final[[#This Row],[date_modif]])=Final_Sans_VGE[[#This Row],[date_modif]],
      "Ancien",
      "Modifié"),
   "Nouveau")),"")</f>
        <v/>
      </c>
    </row>
    <row r="4230" spans="24:30" x14ac:dyDescent="0.25">
      <c r="X4230" s="8" t="e">
        <f>IF(Final_Sans_VGE[[#This Row],[ppn_z]]="","",IFERROR(
   IF(_xlfn.XLOOKUP(Final_Sans_VGE[[#This Row],[ppn_z]],tbl_Historique_Final[ppn_z],tbl_Historique_Final[date_modif])=Final_Sans_VGE[[#This Row],[date_modif]],
      "Ancien",
      "Modifié"),
   "Nouveau"))</f>
        <v>#VALUE!</v>
      </c>
      <c r="AD4230" s="1" t="str">
        <f>IFERROR(IF(Final_Sans_VGE[[#This Row],[ppn_z]]="","",IFERROR(
   IF(_xlfn.XLOOKUP(Final_Sans_VGE[[#This Row],[ppn_z]],tbl_Historique_Final[[#This Row],[ppn_z]],tbl_Historique_Final[[#This Row],[date_modif]])=Final_Sans_VGE[[#This Row],[date_modif]],
      "Ancien",
      "Modifié"),
   "Nouveau")),"")</f>
        <v/>
      </c>
    </row>
    <row r="4231" spans="24:30" x14ac:dyDescent="0.25">
      <c r="X4231" s="8" t="e">
        <f>IF(Final_Sans_VGE[[#This Row],[ppn_z]]="","",IFERROR(
   IF(_xlfn.XLOOKUP(Final_Sans_VGE[[#This Row],[ppn_z]],tbl_Historique_Final[ppn_z],tbl_Historique_Final[date_modif])=Final_Sans_VGE[[#This Row],[date_modif]],
      "Ancien",
      "Modifié"),
   "Nouveau"))</f>
        <v>#VALUE!</v>
      </c>
      <c r="AD4231" s="1" t="str">
        <f>IFERROR(IF(Final_Sans_VGE[[#This Row],[ppn_z]]="","",IFERROR(
   IF(_xlfn.XLOOKUP(Final_Sans_VGE[[#This Row],[ppn_z]],tbl_Historique_Final[[#This Row],[ppn_z]],tbl_Historique_Final[[#This Row],[date_modif]])=Final_Sans_VGE[[#This Row],[date_modif]],
      "Ancien",
      "Modifié"),
   "Nouveau")),"")</f>
        <v/>
      </c>
    </row>
    <row r="4232" spans="24:30" x14ac:dyDescent="0.25">
      <c r="X4232" s="8" t="e">
        <f>IF(Final_Sans_VGE[[#This Row],[ppn_z]]="","",IFERROR(
   IF(_xlfn.XLOOKUP(Final_Sans_VGE[[#This Row],[ppn_z]],tbl_Historique_Final[ppn_z],tbl_Historique_Final[date_modif])=Final_Sans_VGE[[#This Row],[date_modif]],
      "Ancien",
      "Modifié"),
   "Nouveau"))</f>
        <v>#VALUE!</v>
      </c>
      <c r="AD4232" s="1" t="str">
        <f>IFERROR(IF(Final_Sans_VGE[[#This Row],[ppn_z]]="","",IFERROR(
   IF(_xlfn.XLOOKUP(Final_Sans_VGE[[#This Row],[ppn_z]],tbl_Historique_Final[[#This Row],[ppn_z]],tbl_Historique_Final[[#This Row],[date_modif]])=Final_Sans_VGE[[#This Row],[date_modif]],
      "Ancien",
      "Modifié"),
   "Nouveau")),"")</f>
        <v/>
      </c>
    </row>
    <row r="4233" spans="24:30" x14ac:dyDescent="0.25">
      <c r="X4233" s="8" t="e">
        <f>IF(Final_Sans_VGE[[#This Row],[ppn_z]]="","",IFERROR(
   IF(_xlfn.XLOOKUP(Final_Sans_VGE[[#This Row],[ppn_z]],tbl_Historique_Final[ppn_z],tbl_Historique_Final[date_modif])=Final_Sans_VGE[[#This Row],[date_modif]],
      "Ancien",
      "Modifié"),
   "Nouveau"))</f>
        <v>#VALUE!</v>
      </c>
      <c r="AD4233" s="1" t="str">
        <f>IFERROR(IF(Final_Sans_VGE[[#This Row],[ppn_z]]="","",IFERROR(
   IF(_xlfn.XLOOKUP(Final_Sans_VGE[[#This Row],[ppn_z]],tbl_Historique_Final[[#This Row],[ppn_z]],tbl_Historique_Final[[#This Row],[date_modif]])=Final_Sans_VGE[[#This Row],[date_modif]],
      "Ancien",
      "Modifié"),
   "Nouveau")),"")</f>
        <v/>
      </c>
    </row>
    <row r="4234" spans="24:30" x14ac:dyDescent="0.25">
      <c r="X4234" s="8" t="e">
        <f>IF(Final_Sans_VGE[[#This Row],[ppn_z]]="","",IFERROR(
   IF(_xlfn.XLOOKUP(Final_Sans_VGE[[#This Row],[ppn_z]],tbl_Historique_Final[ppn_z],tbl_Historique_Final[date_modif])=Final_Sans_VGE[[#This Row],[date_modif]],
      "Ancien",
      "Modifié"),
   "Nouveau"))</f>
        <v>#VALUE!</v>
      </c>
      <c r="AD4234" s="1" t="str">
        <f>IFERROR(IF(Final_Sans_VGE[[#This Row],[ppn_z]]="","",IFERROR(
   IF(_xlfn.XLOOKUP(Final_Sans_VGE[[#This Row],[ppn_z]],tbl_Historique_Final[[#This Row],[ppn_z]],tbl_Historique_Final[[#This Row],[date_modif]])=Final_Sans_VGE[[#This Row],[date_modif]],
      "Ancien",
      "Modifié"),
   "Nouveau")),"")</f>
        <v/>
      </c>
    </row>
    <row r="4235" spans="24:30" x14ac:dyDescent="0.25">
      <c r="X4235" s="8" t="e">
        <f>IF(Final_Sans_VGE[[#This Row],[ppn_z]]="","",IFERROR(
   IF(_xlfn.XLOOKUP(Final_Sans_VGE[[#This Row],[ppn_z]],tbl_Historique_Final[ppn_z],tbl_Historique_Final[date_modif])=Final_Sans_VGE[[#This Row],[date_modif]],
      "Ancien",
      "Modifié"),
   "Nouveau"))</f>
        <v>#VALUE!</v>
      </c>
      <c r="AD4235" s="1" t="str">
        <f>IFERROR(IF(Final_Sans_VGE[[#This Row],[ppn_z]]="","",IFERROR(
   IF(_xlfn.XLOOKUP(Final_Sans_VGE[[#This Row],[ppn_z]],tbl_Historique_Final[[#This Row],[ppn_z]],tbl_Historique_Final[[#This Row],[date_modif]])=Final_Sans_VGE[[#This Row],[date_modif]],
      "Ancien",
      "Modifié"),
   "Nouveau")),"")</f>
        <v/>
      </c>
    </row>
    <row r="4236" spans="24:30" x14ac:dyDescent="0.25">
      <c r="X4236" s="8" t="e">
        <f>IF(Final_Sans_VGE[[#This Row],[ppn_z]]="","",IFERROR(
   IF(_xlfn.XLOOKUP(Final_Sans_VGE[[#This Row],[ppn_z]],tbl_Historique_Final[ppn_z],tbl_Historique_Final[date_modif])=Final_Sans_VGE[[#This Row],[date_modif]],
      "Ancien",
      "Modifié"),
   "Nouveau"))</f>
        <v>#VALUE!</v>
      </c>
      <c r="AD4236" s="1" t="str">
        <f>IFERROR(IF(Final_Sans_VGE[[#This Row],[ppn_z]]="","",IFERROR(
   IF(_xlfn.XLOOKUP(Final_Sans_VGE[[#This Row],[ppn_z]],tbl_Historique_Final[[#This Row],[ppn_z]],tbl_Historique_Final[[#This Row],[date_modif]])=Final_Sans_VGE[[#This Row],[date_modif]],
      "Ancien",
      "Modifié"),
   "Nouveau")),"")</f>
        <v/>
      </c>
    </row>
    <row r="4237" spans="24:30" x14ac:dyDescent="0.25">
      <c r="X4237" s="8" t="e">
        <f>IF(Final_Sans_VGE[[#This Row],[ppn_z]]="","",IFERROR(
   IF(_xlfn.XLOOKUP(Final_Sans_VGE[[#This Row],[ppn_z]],tbl_Historique_Final[ppn_z],tbl_Historique_Final[date_modif])=Final_Sans_VGE[[#This Row],[date_modif]],
      "Ancien",
      "Modifié"),
   "Nouveau"))</f>
        <v>#VALUE!</v>
      </c>
      <c r="AD4237" s="1" t="str">
        <f>IFERROR(IF(Final_Sans_VGE[[#This Row],[ppn_z]]="","",IFERROR(
   IF(_xlfn.XLOOKUP(Final_Sans_VGE[[#This Row],[ppn_z]],tbl_Historique_Final[[#This Row],[ppn_z]],tbl_Historique_Final[[#This Row],[date_modif]])=Final_Sans_VGE[[#This Row],[date_modif]],
      "Ancien",
      "Modifié"),
   "Nouveau")),"")</f>
        <v/>
      </c>
    </row>
    <row r="4238" spans="24:30" x14ac:dyDescent="0.25">
      <c r="X4238" s="8" t="e">
        <f>IF(Final_Sans_VGE[[#This Row],[ppn_z]]="","",IFERROR(
   IF(_xlfn.XLOOKUP(Final_Sans_VGE[[#This Row],[ppn_z]],tbl_Historique_Final[ppn_z],tbl_Historique_Final[date_modif])=Final_Sans_VGE[[#This Row],[date_modif]],
      "Ancien",
      "Modifié"),
   "Nouveau"))</f>
        <v>#VALUE!</v>
      </c>
      <c r="AD4238" s="1" t="str">
        <f>IFERROR(IF(Final_Sans_VGE[[#This Row],[ppn_z]]="","",IFERROR(
   IF(_xlfn.XLOOKUP(Final_Sans_VGE[[#This Row],[ppn_z]],tbl_Historique_Final[[#This Row],[ppn_z]],tbl_Historique_Final[[#This Row],[date_modif]])=Final_Sans_VGE[[#This Row],[date_modif]],
      "Ancien",
      "Modifié"),
   "Nouveau")),"")</f>
        <v/>
      </c>
    </row>
    <row r="4239" spans="24:30" x14ac:dyDescent="0.25">
      <c r="X4239" s="8" t="e">
        <f>IF(Final_Sans_VGE[[#This Row],[ppn_z]]="","",IFERROR(
   IF(_xlfn.XLOOKUP(Final_Sans_VGE[[#This Row],[ppn_z]],tbl_Historique_Final[ppn_z],tbl_Historique_Final[date_modif])=Final_Sans_VGE[[#This Row],[date_modif]],
      "Ancien",
      "Modifié"),
   "Nouveau"))</f>
        <v>#VALUE!</v>
      </c>
      <c r="AD4239" s="1" t="str">
        <f>IFERROR(IF(Final_Sans_VGE[[#This Row],[ppn_z]]="","",IFERROR(
   IF(_xlfn.XLOOKUP(Final_Sans_VGE[[#This Row],[ppn_z]],tbl_Historique_Final[[#This Row],[ppn_z]],tbl_Historique_Final[[#This Row],[date_modif]])=Final_Sans_VGE[[#This Row],[date_modif]],
      "Ancien",
      "Modifié"),
   "Nouveau")),"")</f>
        <v/>
      </c>
    </row>
    <row r="4240" spans="24:30" x14ac:dyDescent="0.25">
      <c r="X4240" s="8" t="e">
        <f>IF(Final_Sans_VGE[[#This Row],[ppn_z]]="","",IFERROR(
   IF(_xlfn.XLOOKUP(Final_Sans_VGE[[#This Row],[ppn_z]],tbl_Historique_Final[ppn_z],tbl_Historique_Final[date_modif])=Final_Sans_VGE[[#This Row],[date_modif]],
      "Ancien",
      "Modifié"),
   "Nouveau"))</f>
        <v>#VALUE!</v>
      </c>
      <c r="AD4240" s="1" t="str">
        <f>IFERROR(IF(Final_Sans_VGE[[#This Row],[ppn_z]]="","",IFERROR(
   IF(_xlfn.XLOOKUP(Final_Sans_VGE[[#This Row],[ppn_z]],tbl_Historique_Final[[#This Row],[ppn_z]],tbl_Historique_Final[[#This Row],[date_modif]])=Final_Sans_VGE[[#This Row],[date_modif]],
      "Ancien",
      "Modifié"),
   "Nouveau")),"")</f>
        <v/>
      </c>
    </row>
    <row r="4241" spans="24:30" x14ac:dyDescent="0.25">
      <c r="X4241" s="8" t="e">
        <f>IF(Final_Sans_VGE[[#This Row],[ppn_z]]="","",IFERROR(
   IF(_xlfn.XLOOKUP(Final_Sans_VGE[[#This Row],[ppn_z]],tbl_Historique_Final[ppn_z],tbl_Historique_Final[date_modif])=Final_Sans_VGE[[#This Row],[date_modif]],
      "Ancien",
      "Modifié"),
   "Nouveau"))</f>
        <v>#VALUE!</v>
      </c>
      <c r="AD4241" s="1" t="str">
        <f>IFERROR(IF(Final_Sans_VGE[[#This Row],[ppn_z]]="","",IFERROR(
   IF(_xlfn.XLOOKUP(Final_Sans_VGE[[#This Row],[ppn_z]],tbl_Historique_Final[[#This Row],[ppn_z]],tbl_Historique_Final[[#This Row],[date_modif]])=Final_Sans_VGE[[#This Row],[date_modif]],
      "Ancien",
      "Modifié"),
   "Nouveau")),"")</f>
        <v/>
      </c>
    </row>
    <row r="4242" spans="24:30" x14ac:dyDescent="0.25">
      <c r="X4242" s="8" t="e">
        <f>IF(Final_Sans_VGE[[#This Row],[ppn_z]]="","",IFERROR(
   IF(_xlfn.XLOOKUP(Final_Sans_VGE[[#This Row],[ppn_z]],tbl_Historique_Final[ppn_z],tbl_Historique_Final[date_modif])=Final_Sans_VGE[[#This Row],[date_modif]],
      "Ancien",
      "Modifié"),
   "Nouveau"))</f>
        <v>#VALUE!</v>
      </c>
      <c r="AD4242" s="1" t="str">
        <f>IFERROR(IF(Final_Sans_VGE[[#This Row],[ppn_z]]="","",IFERROR(
   IF(_xlfn.XLOOKUP(Final_Sans_VGE[[#This Row],[ppn_z]],tbl_Historique_Final[[#This Row],[ppn_z]],tbl_Historique_Final[[#This Row],[date_modif]])=Final_Sans_VGE[[#This Row],[date_modif]],
      "Ancien",
      "Modifié"),
   "Nouveau")),"")</f>
        <v/>
      </c>
    </row>
    <row r="4243" spans="24:30" x14ac:dyDescent="0.25">
      <c r="X4243" s="8" t="e">
        <f>IF(Final_Sans_VGE[[#This Row],[ppn_z]]="","",IFERROR(
   IF(_xlfn.XLOOKUP(Final_Sans_VGE[[#This Row],[ppn_z]],tbl_Historique_Final[ppn_z],tbl_Historique_Final[date_modif])=Final_Sans_VGE[[#This Row],[date_modif]],
      "Ancien",
      "Modifié"),
   "Nouveau"))</f>
        <v>#VALUE!</v>
      </c>
      <c r="AD4243" s="1" t="str">
        <f>IFERROR(IF(Final_Sans_VGE[[#This Row],[ppn_z]]="","",IFERROR(
   IF(_xlfn.XLOOKUP(Final_Sans_VGE[[#This Row],[ppn_z]],tbl_Historique_Final[[#This Row],[ppn_z]],tbl_Historique_Final[[#This Row],[date_modif]])=Final_Sans_VGE[[#This Row],[date_modif]],
      "Ancien",
      "Modifié"),
   "Nouveau")),"")</f>
        <v/>
      </c>
    </row>
    <row r="4244" spans="24:30" x14ac:dyDescent="0.25">
      <c r="X4244" s="8" t="e">
        <f>IF(Final_Sans_VGE[[#This Row],[ppn_z]]="","",IFERROR(
   IF(_xlfn.XLOOKUP(Final_Sans_VGE[[#This Row],[ppn_z]],tbl_Historique_Final[ppn_z],tbl_Historique_Final[date_modif])=Final_Sans_VGE[[#This Row],[date_modif]],
      "Ancien",
      "Modifié"),
   "Nouveau"))</f>
        <v>#VALUE!</v>
      </c>
      <c r="AD4244" s="1" t="str">
        <f>IFERROR(IF(Final_Sans_VGE[[#This Row],[ppn_z]]="","",IFERROR(
   IF(_xlfn.XLOOKUP(Final_Sans_VGE[[#This Row],[ppn_z]],tbl_Historique_Final[[#This Row],[ppn_z]],tbl_Historique_Final[[#This Row],[date_modif]])=Final_Sans_VGE[[#This Row],[date_modif]],
      "Ancien",
      "Modifié"),
   "Nouveau")),"")</f>
        <v/>
      </c>
    </row>
    <row r="4245" spans="24:30" x14ac:dyDescent="0.25">
      <c r="X4245" s="8" t="e">
        <f>IF(Final_Sans_VGE[[#This Row],[ppn_z]]="","",IFERROR(
   IF(_xlfn.XLOOKUP(Final_Sans_VGE[[#This Row],[ppn_z]],tbl_Historique_Final[ppn_z],tbl_Historique_Final[date_modif])=Final_Sans_VGE[[#This Row],[date_modif]],
      "Ancien",
      "Modifié"),
   "Nouveau"))</f>
        <v>#VALUE!</v>
      </c>
      <c r="AD4245" s="1" t="str">
        <f>IFERROR(IF(Final_Sans_VGE[[#This Row],[ppn_z]]="","",IFERROR(
   IF(_xlfn.XLOOKUP(Final_Sans_VGE[[#This Row],[ppn_z]],tbl_Historique_Final[[#This Row],[ppn_z]],tbl_Historique_Final[[#This Row],[date_modif]])=Final_Sans_VGE[[#This Row],[date_modif]],
      "Ancien",
      "Modifié"),
   "Nouveau")),"")</f>
        <v/>
      </c>
    </row>
    <row r="4246" spans="24:30" x14ac:dyDescent="0.25">
      <c r="X4246" s="8" t="e">
        <f>IF(Final_Sans_VGE[[#This Row],[ppn_z]]="","",IFERROR(
   IF(_xlfn.XLOOKUP(Final_Sans_VGE[[#This Row],[ppn_z]],tbl_Historique_Final[ppn_z],tbl_Historique_Final[date_modif])=Final_Sans_VGE[[#This Row],[date_modif]],
      "Ancien",
      "Modifié"),
   "Nouveau"))</f>
        <v>#VALUE!</v>
      </c>
      <c r="AD4246" s="1" t="str">
        <f>IFERROR(IF(Final_Sans_VGE[[#This Row],[ppn_z]]="","",IFERROR(
   IF(_xlfn.XLOOKUP(Final_Sans_VGE[[#This Row],[ppn_z]],tbl_Historique_Final[[#This Row],[ppn_z]],tbl_Historique_Final[[#This Row],[date_modif]])=Final_Sans_VGE[[#This Row],[date_modif]],
      "Ancien",
      "Modifié"),
   "Nouveau")),"")</f>
        <v/>
      </c>
    </row>
    <row r="4247" spans="24:30" x14ac:dyDescent="0.25">
      <c r="X4247" s="8" t="e">
        <f>IF(Final_Sans_VGE[[#This Row],[ppn_z]]="","",IFERROR(
   IF(_xlfn.XLOOKUP(Final_Sans_VGE[[#This Row],[ppn_z]],tbl_Historique_Final[ppn_z],tbl_Historique_Final[date_modif])=Final_Sans_VGE[[#This Row],[date_modif]],
      "Ancien",
      "Modifié"),
   "Nouveau"))</f>
        <v>#VALUE!</v>
      </c>
      <c r="AD4247" s="1" t="str">
        <f>IFERROR(IF(Final_Sans_VGE[[#This Row],[ppn_z]]="","",IFERROR(
   IF(_xlfn.XLOOKUP(Final_Sans_VGE[[#This Row],[ppn_z]],tbl_Historique_Final[[#This Row],[ppn_z]],tbl_Historique_Final[[#This Row],[date_modif]])=Final_Sans_VGE[[#This Row],[date_modif]],
      "Ancien",
      "Modifié"),
   "Nouveau")),"")</f>
        <v/>
      </c>
    </row>
    <row r="4248" spans="24:30" x14ac:dyDescent="0.25">
      <c r="X4248" s="8" t="e">
        <f>IF(Final_Sans_VGE[[#This Row],[ppn_z]]="","",IFERROR(
   IF(_xlfn.XLOOKUP(Final_Sans_VGE[[#This Row],[ppn_z]],tbl_Historique_Final[ppn_z],tbl_Historique_Final[date_modif])=Final_Sans_VGE[[#This Row],[date_modif]],
      "Ancien",
      "Modifié"),
   "Nouveau"))</f>
        <v>#VALUE!</v>
      </c>
      <c r="AD4248" s="1" t="str">
        <f>IFERROR(IF(Final_Sans_VGE[[#This Row],[ppn_z]]="","",IFERROR(
   IF(_xlfn.XLOOKUP(Final_Sans_VGE[[#This Row],[ppn_z]],tbl_Historique_Final[[#This Row],[ppn_z]],tbl_Historique_Final[[#This Row],[date_modif]])=Final_Sans_VGE[[#This Row],[date_modif]],
      "Ancien",
      "Modifié"),
   "Nouveau")),"")</f>
        <v/>
      </c>
    </row>
    <row r="4249" spans="24:30" x14ac:dyDescent="0.25">
      <c r="X4249" s="8" t="e">
        <f>IF(Final_Sans_VGE[[#This Row],[ppn_z]]="","",IFERROR(
   IF(_xlfn.XLOOKUP(Final_Sans_VGE[[#This Row],[ppn_z]],tbl_Historique_Final[ppn_z],tbl_Historique_Final[date_modif])=Final_Sans_VGE[[#This Row],[date_modif]],
      "Ancien",
      "Modifié"),
   "Nouveau"))</f>
        <v>#VALUE!</v>
      </c>
      <c r="AD4249" s="1" t="str">
        <f>IFERROR(IF(Final_Sans_VGE[[#This Row],[ppn_z]]="","",IFERROR(
   IF(_xlfn.XLOOKUP(Final_Sans_VGE[[#This Row],[ppn_z]],tbl_Historique_Final[[#This Row],[ppn_z]],tbl_Historique_Final[[#This Row],[date_modif]])=Final_Sans_VGE[[#This Row],[date_modif]],
      "Ancien",
      "Modifié"),
   "Nouveau")),"")</f>
        <v/>
      </c>
    </row>
    <row r="4250" spans="24:30" x14ac:dyDescent="0.25">
      <c r="X4250" s="8" t="e">
        <f>IF(Final_Sans_VGE[[#This Row],[ppn_z]]="","",IFERROR(
   IF(_xlfn.XLOOKUP(Final_Sans_VGE[[#This Row],[ppn_z]],tbl_Historique_Final[ppn_z],tbl_Historique_Final[date_modif])=Final_Sans_VGE[[#This Row],[date_modif]],
      "Ancien",
      "Modifié"),
   "Nouveau"))</f>
        <v>#VALUE!</v>
      </c>
      <c r="AD4250" s="1" t="str">
        <f>IFERROR(IF(Final_Sans_VGE[[#This Row],[ppn_z]]="","",IFERROR(
   IF(_xlfn.XLOOKUP(Final_Sans_VGE[[#This Row],[ppn_z]],tbl_Historique_Final[[#This Row],[ppn_z]],tbl_Historique_Final[[#This Row],[date_modif]])=Final_Sans_VGE[[#This Row],[date_modif]],
      "Ancien",
      "Modifié"),
   "Nouveau")),"")</f>
        <v/>
      </c>
    </row>
    <row r="4251" spans="24:30" x14ac:dyDescent="0.25">
      <c r="X4251" s="8" t="e">
        <f>IF(Final_Sans_VGE[[#This Row],[ppn_z]]="","",IFERROR(
   IF(_xlfn.XLOOKUP(Final_Sans_VGE[[#This Row],[ppn_z]],tbl_Historique_Final[ppn_z],tbl_Historique_Final[date_modif])=Final_Sans_VGE[[#This Row],[date_modif]],
      "Ancien",
      "Modifié"),
   "Nouveau"))</f>
        <v>#VALUE!</v>
      </c>
      <c r="AD4251" s="1" t="str">
        <f>IFERROR(IF(Final_Sans_VGE[[#This Row],[ppn_z]]="","",IFERROR(
   IF(_xlfn.XLOOKUP(Final_Sans_VGE[[#This Row],[ppn_z]],tbl_Historique_Final[[#This Row],[ppn_z]],tbl_Historique_Final[[#This Row],[date_modif]])=Final_Sans_VGE[[#This Row],[date_modif]],
      "Ancien",
      "Modifié"),
   "Nouveau")),"")</f>
        <v/>
      </c>
    </row>
    <row r="4252" spans="24:30" x14ac:dyDescent="0.25">
      <c r="X4252" s="8" t="e">
        <f>IF(Final_Sans_VGE[[#This Row],[ppn_z]]="","",IFERROR(
   IF(_xlfn.XLOOKUP(Final_Sans_VGE[[#This Row],[ppn_z]],tbl_Historique_Final[ppn_z],tbl_Historique_Final[date_modif])=Final_Sans_VGE[[#This Row],[date_modif]],
      "Ancien",
      "Modifié"),
   "Nouveau"))</f>
        <v>#VALUE!</v>
      </c>
      <c r="AD4252" s="1" t="str">
        <f>IFERROR(IF(Final_Sans_VGE[[#This Row],[ppn_z]]="","",IFERROR(
   IF(_xlfn.XLOOKUP(Final_Sans_VGE[[#This Row],[ppn_z]],tbl_Historique_Final[[#This Row],[ppn_z]],tbl_Historique_Final[[#This Row],[date_modif]])=Final_Sans_VGE[[#This Row],[date_modif]],
      "Ancien",
      "Modifié"),
   "Nouveau")),"")</f>
        <v/>
      </c>
    </row>
    <row r="4253" spans="24:30" x14ac:dyDescent="0.25">
      <c r="X4253" s="8" t="e">
        <f>IF(Final_Sans_VGE[[#This Row],[ppn_z]]="","",IFERROR(
   IF(_xlfn.XLOOKUP(Final_Sans_VGE[[#This Row],[ppn_z]],tbl_Historique_Final[ppn_z],tbl_Historique_Final[date_modif])=Final_Sans_VGE[[#This Row],[date_modif]],
      "Ancien",
      "Modifié"),
   "Nouveau"))</f>
        <v>#VALUE!</v>
      </c>
      <c r="AD4253" s="1" t="str">
        <f>IFERROR(IF(Final_Sans_VGE[[#This Row],[ppn_z]]="","",IFERROR(
   IF(_xlfn.XLOOKUP(Final_Sans_VGE[[#This Row],[ppn_z]],tbl_Historique_Final[[#This Row],[ppn_z]],tbl_Historique_Final[[#This Row],[date_modif]])=Final_Sans_VGE[[#This Row],[date_modif]],
      "Ancien",
      "Modifié"),
   "Nouveau")),"")</f>
        <v/>
      </c>
    </row>
    <row r="4254" spans="24:30" x14ac:dyDescent="0.25">
      <c r="X4254" s="8" t="e">
        <f>IF(Final_Sans_VGE[[#This Row],[ppn_z]]="","",IFERROR(
   IF(_xlfn.XLOOKUP(Final_Sans_VGE[[#This Row],[ppn_z]],tbl_Historique_Final[ppn_z],tbl_Historique_Final[date_modif])=Final_Sans_VGE[[#This Row],[date_modif]],
      "Ancien",
      "Modifié"),
   "Nouveau"))</f>
        <v>#VALUE!</v>
      </c>
      <c r="AD4254" s="1" t="str">
        <f>IFERROR(IF(Final_Sans_VGE[[#This Row],[ppn_z]]="","",IFERROR(
   IF(_xlfn.XLOOKUP(Final_Sans_VGE[[#This Row],[ppn_z]],tbl_Historique_Final[[#This Row],[ppn_z]],tbl_Historique_Final[[#This Row],[date_modif]])=Final_Sans_VGE[[#This Row],[date_modif]],
      "Ancien",
      "Modifié"),
   "Nouveau")),"")</f>
        <v/>
      </c>
    </row>
    <row r="4255" spans="24:30" x14ac:dyDescent="0.25">
      <c r="X4255" s="8" t="e">
        <f>IF(Final_Sans_VGE[[#This Row],[ppn_z]]="","",IFERROR(
   IF(_xlfn.XLOOKUP(Final_Sans_VGE[[#This Row],[ppn_z]],tbl_Historique_Final[ppn_z],tbl_Historique_Final[date_modif])=Final_Sans_VGE[[#This Row],[date_modif]],
      "Ancien",
      "Modifié"),
   "Nouveau"))</f>
        <v>#VALUE!</v>
      </c>
      <c r="AD4255" s="1" t="str">
        <f>IFERROR(IF(Final_Sans_VGE[[#This Row],[ppn_z]]="","",IFERROR(
   IF(_xlfn.XLOOKUP(Final_Sans_VGE[[#This Row],[ppn_z]],tbl_Historique_Final[[#This Row],[ppn_z]],tbl_Historique_Final[[#This Row],[date_modif]])=Final_Sans_VGE[[#This Row],[date_modif]],
      "Ancien",
      "Modifié"),
   "Nouveau")),"")</f>
        <v/>
      </c>
    </row>
    <row r="4256" spans="24:30" x14ac:dyDescent="0.25">
      <c r="X4256" s="8" t="e">
        <f>IF(Final_Sans_VGE[[#This Row],[ppn_z]]="","",IFERROR(
   IF(_xlfn.XLOOKUP(Final_Sans_VGE[[#This Row],[ppn_z]],tbl_Historique_Final[ppn_z],tbl_Historique_Final[date_modif])=Final_Sans_VGE[[#This Row],[date_modif]],
      "Ancien",
      "Modifié"),
   "Nouveau"))</f>
        <v>#VALUE!</v>
      </c>
      <c r="AD4256" s="1" t="str">
        <f>IFERROR(IF(Final_Sans_VGE[[#This Row],[ppn_z]]="","",IFERROR(
   IF(_xlfn.XLOOKUP(Final_Sans_VGE[[#This Row],[ppn_z]],tbl_Historique_Final[[#This Row],[ppn_z]],tbl_Historique_Final[[#This Row],[date_modif]])=Final_Sans_VGE[[#This Row],[date_modif]],
      "Ancien",
      "Modifié"),
   "Nouveau")),"")</f>
        <v/>
      </c>
    </row>
    <row r="4257" spans="24:30" x14ac:dyDescent="0.25">
      <c r="X4257" s="8" t="e">
        <f>IF(Final_Sans_VGE[[#This Row],[ppn_z]]="","",IFERROR(
   IF(_xlfn.XLOOKUP(Final_Sans_VGE[[#This Row],[ppn_z]],tbl_Historique_Final[ppn_z],tbl_Historique_Final[date_modif])=Final_Sans_VGE[[#This Row],[date_modif]],
      "Ancien",
      "Modifié"),
   "Nouveau"))</f>
        <v>#VALUE!</v>
      </c>
      <c r="AD4257" s="1" t="str">
        <f>IFERROR(IF(Final_Sans_VGE[[#This Row],[ppn_z]]="","",IFERROR(
   IF(_xlfn.XLOOKUP(Final_Sans_VGE[[#This Row],[ppn_z]],tbl_Historique_Final[[#This Row],[ppn_z]],tbl_Historique_Final[[#This Row],[date_modif]])=Final_Sans_VGE[[#This Row],[date_modif]],
      "Ancien",
      "Modifié"),
   "Nouveau")),"")</f>
        <v/>
      </c>
    </row>
    <row r="4258" spans="24:30" x14ac:dyDescent="0.25">
      <c r="X4258" s="8" t="e">
        <f>IF(Final_Sans_VGE[[#This Row],[ppn_z]]="","",IFERROR(
   IF(_xlfn.XLOOKUP(Final_Sans_VGE[[#This Row],[ppn_z]],tbl_Historique_Final[ppn_z],tbl_Historique_Final[date_modif])=Final_Sans_VGE[[#This Row],[date_modif]],
      "Ancien",
      "Modifié"),
   "Nouveau"))</f>
        <v>#VALUE!</v>
      </c>
      <c r="AD4258" s="1" t="str">
        <f>IFERROR(IF(Final_Sans_VGE[[#This Row],[ppn_z]]="","",IFERROR(
   IF(_xlfn.XLOOKUP(Final_Sans_VGE[[#This Row],[ppn_z]],tbl_Historique_Final[[#This Row],[ppn_z]],tbl_Historique_Final[[#This Row],[date_modif]])=Final_Sans_VGE[[#This Row],[date_modif]],
      "Ancien",
      "Modifié"),
   "Nouveau")),"")</f>
        <v/>
      </c>
    </row>
    <row r="4259" spans="24:30" x14ac:dyDescent="0.25">
      <c r="X4259" s="8" t="e">
        <f>IF(Final_Sans_VGE[[#This Row],[ppn_z]]="","",IFERROR(
   IF(_xlfn.XLOOKUP(Final_Sans_VGE[[#This Row],[ppn_z]],tbl_Historique_Final[ppn_z],tbl_Historique_Final[date_modif])=Final_Sans_VGE[[#This Row],[date_modif]],
      "Ancien",
      "Modifié"),
   "Nouveau"))</f>
        <v>#VALUE!</v>
      </c>
      <c r="AD4259" s="1" t="str">
        <f>IFERROR(IF(Final_Sans_VGE[[#This Row],[ppn_z]]="","",IFERROR(
   IF(_xlfn.XLOOKUP(Final_Sans_VGE[[#This Row],[ppn_z]],tbl_Historique_Final[[#This Row],[ppn_z]],tbl_Historique_Final[[#This Row],[date_modif]])=Final_Sans_VGE[[#This Row],[date_modif]],
      "Ancien",
      "Modifié"),
   "Nouveau")),"")</f>
        <v/>
      </c>
    </row>
    <row r="4260" spans="24:30" x14ac:dyDescent="0.25">
      <c r="X4260" s="8" t="e">
        <f>IF(Final_Sans_VGE[[#This Row],[ppn_z]]="","",IFERROR(
   IF(_xlfn.XLOOKUP(Final_Sans_VGE[[#This Row],[ppn_z]],tbl_Historique_Final[ppn_z],tbl_Historique_Final[date_modif])=Final_Sans_VGE[[#This Row],[date_modif]],
      "Ancien",
      "Modifié"),
   "Nouveau"))</f>
        <v>#VALUE!</v>
      </c>
      <c r="AD4260" s="1" t="str">
        <f>IFERROR(IF(Final_Sans_VGE[[#This Row],[ppn_z]]="","",IFERROR(
   IF(_xlfn.XLOOKUP(Final_Sans_VGE[[#This Row],[ppn_z]],tbl_Historique_Final[[#This Row],[ppn_z]],tbl_Historique_Final[[#This Row],[date_modif]])=Final_Sans_VGE[[#This Row],[date_modif]],
      "Ancien",
      "Modifié"),
   "Nouveau")),"")</f>
        <v/>
      </c>
    </row>
    <row r="4261" spans="24:30" x14ac:dyDescent="0.25">
      <c r="X4261" s="8" t="e">
        <f>IF(Final_Sans_VGE[[#This Row],[ppn_z]]="","",IFERROR(
   IF(_xlfn.XLOOKUP(Final_Sans_VGE[[#This Row],[ppn_z]],tbl_Historique_Final[ppn_z],tbl_Historique_Final[date_modif])=Final_Sans_VGE[[#This Row],[date_modif]],
      "Ancien",
      "Modifié"),
   "Nouveau"))</f>
        <v>#VALUE!</v>
      </c>
      <c r="AD4261" s="1" t="str">
        <f>IFERROR(IF(Final_Sans_VGE[[#This Row],[ppn_z]]="","",IFERROR(
   IF(_xlfn.XLOOKUP(Final_Sans_VGE[[#This Row],[ppn_z]],tbl_Historique_Final[[#This Row],[ppn_z]],tbl_Historique_Final[[#This Row],[date_modif]])=Final_Sans_VGE[[#This Row],[date_modif]],
      "Ancien",
      "Modifié"),
   "Nouveau")),"")</f>
        <v/>
      </c>
    </row>
    <row r="4262" spans="24:30" x14ac:dyDescent="0.25">
      <c r="X4262" s="8" t="e">
        <f>IF(Final_Sans_VGE[[#This Row],[ppn_z]]="","",IFERROR(
   IF(_xlfn.XLOOKUP(Final_Sans_VGE[[#This Row],[ppn_z]],tbl_Historique_Final[ppn_z],tbl_Historique_Final[date_modif])=Final_Sans_VGE[[#This Row],[date_modif]],
      "Ancien",
      "Modifié"),
   "Nouveau"))</f>
        <v>#VALUE!</v>
      </c>
      <c r="AD4262" s="1" t="str">
        <f>IFERROR(IF(Final_Sans_VGE[[#This Row],[ppn_z]]="","",IFERROR(
   IF(_xlfn.XLOOKUP(Final_Sans_VGE[[#This Row],[ppn_z]],tbl_Historique_Final[[#This Row],[ppn_z]],tbl_Historique_Final[[#This Row],[date_modif]])=Final_Sans_VGE[[#This Row],[date_modif]],
      "Ancien",
      "Modifié"),
   "Nouveau")),"")</f>
        <v/>
      </c>
    </row>
    <row r="4263" spans="24:30" x14ac:dyDescent="0.25">
      <c r="X4263" s="8" t="e">
        <f>IF(Final_Sans_VGE[[#This Row],[ppn_z]]="","",IFERROR(
   IF(_xlfn.XLOOKUP(Final_Sans_VGE[[#This Row],[ppn_z]],tbl_Historique_Final[ppn_z],tbl_Historique_Final[date_modif])=Final_Sans_VGE[[#This Row],[date_modif]],
      "Ancien",
      "Modifié"),
   "Nouveau"))</f>
        <v>#VALUE!</v>
      </c>
      <c r="AD4263" s="1" t="str">
        <f>IFERROR(IF(Final_Sans_VGE[[#This Row],[ppn_z]]="","",IFERROR(
   IF(_xlfn.XLOOKUP(Final_Sans_VGE[[#This Row],[ppn_z]],tbl_Historique_Final[[#This Row],[ppn_z]],tbl_Historique_Final[[#This Row],[date_modif]])=Final_Sans_VGE[[#This Row],[date_modif]],
      "Ancien",
      "Modifié"),
   "Nouveau")),"")</f>
        <v/>
      </c>
    </row>
    <row r="4264" spans="24:30" x14ac:dyDescent="0.25">
      <c r="X4264" s="8" t="e">
        <f>IF(Final_Sans_VGE[[#This Row],[ppn_z]]="","",IFERROR(
   IF(_xlfn.XLOOKUP(Final_Sans_VGE[[#This Row],[ppn_z]],tbl_Historique_Final[ppn_z],tbl_Historique_Final[date_modif])=Final_Sans_VGE[[#This Row],[date_modif]],
      "Ancien",
      "Modifié"),
   "Nouveau"))</f>
        <v>#VALUE!</v>
      </c>
      <c r="AD4264" s="1" t="str">
        <f>IFERROR(IF(Final_Sans_VGE[[#This Row],[ppn_z]]="","",IFERROR(
   IF(_xlfn.XLOOKUP(Final_Sans_VGE[[#This Row],[ppn_z]],tbl_Historique_Final[[#This Row],[ppn_z]],tbl_Historique_Final[[#This Row],[date_modif]])=Final_Sans_VGE[[#This Row],[date_modif]],
      "Ancien",
      "Modifié"),
   "Nouveau")),"")</f>
        <v/>
      </c>
    </row>
    <row r="4265" spans="24:30" x14ac:dyDescent="0.25">
      <c r="X4265" s="8" t="e">
        <f>IF(Final_Sans_VGE[[#This Row],[ppn_z]]="","",IFERROR(
   IF(_xlfn.XLOOKUP(Final_Sans_VGE[[#This Row],[ppn_z]],tbl_Historique_Final[ppn_z],tbl_Historique_Final[date_modif])=Final_Sans_VGE[[#This Row],[date_modif]],
      "Ancien",
      "Modifié"),
   "Nouveau"))</f>
        <v>#VALUE!</v>
      </c>
      <c r="AD4265" s="1" t="str">
        <f>IFERROR(IF(Final_Sans_VGE[[#This Row],[ppn_z]]="","",IFERROR(
   IF(_xlfn.XLOOKUP(Final_Sans_VGE[[#This Row],[ppn_z]],tbl_Historique_Final[[#This Row],[ppn_z]],tbl_Historique_Final[[#This Row],[date_modif]])=Final_Sans_VGE[[#This Row],[date_modif]],
      "Ancien",
      "Modifié"),
   "Nouveau")),"")</f>
        <v/>
      </c>
    </row>
    <row r="4266" spans="24:30" x14ac:dyDescent="0.25">
      <c r="X4266" s="8" t="e">
        <f>IF(Final_Sans_VGE[[#This Row],[ppn_z]]="","",IFERROR(
   IF(_xlfn.XLOOKUP(Final_Sans_VGE[[#This Row],[ppn_z]],tbl_Historique_Final[ppn_z],tbl_Historique_Final[date_modif])=Final_Sans_VGE[[#This Row],[date_modif]],
      "Ancien",
      "Modifié"),
   "Nouveau"))</f>
        <v>#VALUE!</v>
      </c>
      <c r="AD4266" s="1" t="str">
        <f>IFERROR(IF(Final_Sans_VGE[[#This Row],[ppn_z]]="","",IFERROR(
   IF(_xlfn.XLOOKUP(Final_Sans_VGE[[#This Row],[ppn_z]],tbl_Historique_Final[[#This Row],[ppn_z]],tbl_Historique_Final[[#This Row],[date_modif]])=Final_Sans_VGE[[#This Row],[date_modif]],
      "Ancien",
      "Modifié"),
   "Nouveau")),"")</f>
        <v/>
      </c>
    </row>
    <row r="4267" spans="24:30" x14ac:dyDescent="0.25">
      <c r="X4267" s="8" t="e">
        <f>IF(Final_Sans_VGE[[#This Row],[ppn_z]]="","",IFERROR(
   IF(_xlfn.XLOOKUP(Final_Sans_VGE[[#This Row],[ppn_z]],tbl_Historique_Final[ppn_z],tbl_Historique_Final[date_modif])=Final_Sans_VGE[[#This Row],[date_modif]],
      "Ancien",
      "Modifié"),
   "Nouveau"))</f>
        <v>#VALUE!</v>
      </c>
      <c r="AD4267" s="1" t="str">
        <f>IFERROR(IF(Final_Sans_VGE[[#This Row],[ppn_z]]="","",IFERROR(
   IF(_xlfn.XLOOKUP(Final_Sans_VGE[[#This Row],[ppn_z]],tbl_Historique_Final[[#This Row],[ppn_z]],tbl_Historique_Final[[#This Row],[date_modif]])=Final_Sans_VGE[[#This Row],[date_modif]],
      "Ancien",
      "Modifié"),
   "Nouveau")),"")</f>
        <v/>
      </c>
    </row>
    <row r="4268" spans="24:30" x14ac:dyDescent="0.25">
      <c r="X4268" s="8" t="e">
        <f>IF(Final_Sans_VGE[[#This Row],[ppn_z]]="","",IFERROR(
   IF(_xlfn.XLOOKUP(Final_Sans_VGE[[#This Row],[ppn_z]],tbl_Historique_Final[ppn_z],tbl_Historique_Final[date_modif])=Final_Sans_VGE[[#This Row],[date_modif]],
      "Ancien",
      "Modifié"),
   "Nouveau"))</f>
        <v>#VALUE!</v>
      </c>
      <c r="AD4268" s="1" t="str">
        <f>IFERROR(IF(Final_Sans_VGE[[#This Row],[ppn_z]]="","",IFERROR(
   IF(_xlfn.XLOOKUP(Final_Sans_VGE[[#This Row],[ppn_z]],tbl_Historique_Final[[#This Row],[ppn_z]],tbl_Historique_Final[[#This Row],[date_modif]])=Final_Sans_VGE[[#This Row],[date_modif]],
      "Ancien",
      "Modifié"),
   "Nouveau")),"")</f>
        <v/>
      </c>
    </row>
    <row r="4269" spans="24:30" x14ac:dyDescent="0.25">
      <c r="X4269" s="8" t="e">
        <f>IF(Final_Sans_VGE[[#This Row],[ppn_z]]="","",IFERROR(
   IF(_xlfn.XLOOKUP(Final_Sans_VGE[[#This Row],[ppn_z]],tbl_Historique_Final[ppn_z],tbl_Historique_Final[date_modif])=Final_Sans_VGE[[#This Row],[date_modif]],
      "Ancien",
      "Modifié"),
   "Nouveau"))</f>
        <v>#VALUE!</v>
      </c>
      <c r="AD4269" s="1" t="str">
        <f>IFERROR(IF(Final_Sans_VGE[[#This Row],[ppn_z]]="","",IFERROR(
   IF(_xlfn.XLOOKUP(Final_Sans_VGE[[#This Row],[ppn_z]],tbl_Historique_Final[[#This Row],[ppn_z]],tbl_Historique_Final[[#This Row],[date_modif]])=Final_Sans_VGE[[#This Row],[date_modif]],
      "Ancien",
      "Modifié"),
   "Nouveau")),"")</f>
        <v/>
      </c>
    </row>
    <row r="4270" spans="24:30" x14ac:dyDescent="0.25">
      <c r="X4270" s="8" t="e">
        <f>IF(Final_Sans_VGE[[#This Row],[ppn_z]]="","",IFERROR(
   IF(_xlfn.XLOOKUP(Final_Sans_VGE[[#This Row],[ppn_z]],tbl_Historique_Final[ppn_z],tbl_Historique_Final[date_modif])=Final_Sans_VGE[[#This Row],[date_modif]],
      "Ancien",
      "Modifié"),
   "Nouveau"))</f>
        <v>#VALUE!</v>
      </c>
      <c r="AD4270" s="1" t="str">
        <f>IFERROR(IF(Final_Sans_VGE[[#This Row],[ppn_z]]="","",IFERROR(
   IF(_xlfn.XLOOKUP(Final_Sans_VGE[[#This Row],[ppn_z]],tbl_Historique_Final[[#This Row],[ppn_z]],tbl_Historique_Final[[#This Row],[date_modif]])=Final_Sans_VGE[[#This Row],[date_modif]],
      "Ancien",
      "Modifié"),
   "Nouveau")),"")</f>
        <v/>
      </c>
    </row>
    <row r="4271" spans="24:30" x14ac:dyDescent="0.25">
      <c r="X4271" s="8" t="e">
        <f>IF(Final_Sans_VGE[[#This Row],[ppn_z]]="","",IFERROR(
   IF(_xlfn.XLOOKUP(Final_Sans_VGE[[#This Row],[ppn_z]],tbl_Historique_Final[ppn_z],tbl_Historique_Final[date_modif])=Final_Sans_VGE[[#This Row],[date_modif]],
      "Ancien",
      "Modifié"),
   "Nouveau"))</f>
        <v>#VALUE!</v>
      </c>
      <c r="AD4271" s="1" t="str">
        <f>IFERROR(IF(Final_Sans_VGE[[#This Row],[ppn_z]]="","",IFERROR(
   IF(_xlfn.XLOOKUP(Final_Sans_VGE[[#This Row],[ppn_z]],tbl_Historique_Final[[#This Row],[ppn_z]],tbl_Historique_Final[[#This Row],[date_modif]])=Final_Sans_VGE[[#This Row],[date_modif]],
      "Ancien",
      "Modifié"),
   "Nouveau")),"")</f>
        <v/>
      </c>
    </row>
    <row r="4272" spans="24:30" x14ac:dyDescent="0.25">
      <c r="X4272" s="8" t="e">
        <f>IF(Final_Sans_VGE[[#This Row],[ppn_z]]="","",IFERROR(
   IF(_xlfn.XLOOKUP(Final_Sans_VGE[[#This Row],[ppn_z]],tbl_Historique_Final[ppn_z],tbl_Historique_Final[date_modif])=Final_Sans_VGE[[#This Row],[date_modif]],
      "Ancien",
      "Modifié"),
   "Nouveau"))</f>
        <v>#VALUE!</v>
      </c>
      <c r="AD4272" s="1" t="str">
        <f>IFERROR(IF(Final_Sans_VGE[[#This Row],[ppn_z]]="","",IFERROR(
   IF(_xlfn.XLOOKUP(Final_Sans_VGE[[#This Row],[ppn_z]],tbl_Historique_Final[[#This Row],[ppn_z]],tbl_Historique_Final[[#This Row],[date_modif]])=Final_Sans_VGE[[#This Row],[date_modif]],
      "Ancien",
      "Modifié"),
   "Nouveau")),"")</f>
        <v/>
      </c>
    </row>
    <row r="4273" spans="24:30" x14ac:dyDescent="0.25">
      <c r="X4273" s="8" t="e">
        <f>IF(Final_Sans_VGE[[#This Row],[ppn_z]]="","",IFERROR(
   IF(_xlfn.XLOOKUP(Final_Sans_VGE[[#This Row],[ppn_z]],tbl_Historique_Final[ppn_z],tbl_Historique_Final[date_modif])=Final_Sans_VGE[[#This Row],[date_modif]],
      "Ancien",
      "Modifié"),
   "Nouveau"))</f>
        <v>#VALUE!</v>
      </c>
      <c r="AD4273" s="1" t="str">
        <f>IFERROR(IF(Final_Sans_VGE[[#This Row],[ppn_z]]="","",IFERROR(
   IF(_xlfn.XLOOKUP(Final_Sans_VGE[[#This Row],[ppn_z]],tbl_Historique_Final[[#This Row],[ppn_z]],tbl_Historique_Final[[#This Row],[date_modif]])=Final_Sans_VGE[[#This Row],[date_modif]],
      "Ancien",
      "Modifié"),
   "Nouveau")),"")</f>
        <v/>
      </c>
    </row>
    <row r="4274" spans="24:30" x14ac:dyDescent="0.25">
      <c r="X4274" s="8" t="e">
        <f>IF(Final_Sans_VGE[[#This Row],[ppn_z]]="","",IFERROR(
   IF(_xlfn.XLOOKUP(Final_Sans_VGE[[#This Row],[ppn_z]],tbl_Historique_Final[ppn_z],tbl_Historique_Final[date_modif])=Final_Sans_VGE[[#This Row],[date_modif]],
      "Ancien",
      "Modifié"),
   "Nouveau"))</f>
        <v>#VALUE!</v>
      </c>
      <c r="AD4274" s="1" t="str">
        <f>IFERROR(IF(Final_Sans_VGE[[#This Row],[ppn_z]]="","",IFERROR(
   IF(_xlfn.XLOOKUP(Final_Sans_VGE[[#This Row],[ppn_z]],tbl_Historique_Final[[#This Row],[ppn_z]],tbl_Historique_Final[[#This Row],[date_modif]])=Final_Sans_VGE[[#This Row],[date_modif]],
      "Ancien",
      "Modifié"),
   "Nouveau")),"")</f>
        <v/>
      </c>
    </row>
    <row r="4275" spans="24:30" x14ac:dyDescent="0.25">
      <c r="X4275" s="8" t="e">
        <f>IF(Final_Sans_VGE[[#This Row],[ppn_z]]="","",IFERROR(
   IF(_xlfn.XLOOKUP(Final_Sans_VGE[[#This Row],[ppn_z]],tbl_Historique_Final[ppn_z],tbl_Historique_Final[date_modif])=Final_Sans_VGE[[#This Row],[date_modif]],
      "Ancien",
      "Modifié"),
   "Nouveau"))</f>
        <v>#VALUE!</v>
      </c>
      <c r="AD4275" s="1" t="str">
        <f>IFERROR(IF(Final_Sans_VGE[[#This Row],[ppn_z]]="","",IFERROR(
   IF(_xlfn.XLOOKUP(Final_Sans_VGE[[#This Row],[ppn_z]],tbl_Historique_Final[[#This Row],[ppn_z]],tbl_Historique_Final[[#This Row],[date_modif]])=Final_Sans_VGE[[#This Row],[date_modif]],
      "Ancien",
      "Modifié"),
   "Nouveau")),"")</f>
        <v/>
      </c>
    </row>
    <row r="4276" spans="24:30" x14ac:dyDescent="0.25">
      <c r="X4276" s="8" t="e">
        <f>IF(Final_Sans_VGE[[#This Row],[ppn_z]]="","",IFERROR(
   IF(_xlfn.XLOOKUP(Final_Sans_VGE[[#This Row],[ppn_z]],tbl_Historique_Final[ppn_z],tbl_Historique_Final[date_modif])=Final_Sans_VGE[[#This Row],[date_modif]],
      "Ancien",
      "Modifié"),
   "Nouveau"))</f>
        <v>#VALUE!</v>
      </c>
      <c r="AD4276" s="1" t="str">
        <f>IFERROR(IF(Final_Sans_VGE[[#This Row],[ppn_z]]="","",IFERROR(
   IF(_xlfn.XLOOKUP(Final_Sans_VGE[[#This Row],[ppn_z]],tbl_Historique_Final[[#This Row],[ppn_z]],tbl_Historique_Final[[#This Row],[date_modif]])=Final_Sans_VGE[[#This Row],[date_modif]],
      "Ancien",
      "Modifié"),
   "Nouveau")),"")</f>
        <v/>
      </c>
    </row>
    <row r="4277" spans="24:30" x14ac:dyDescent="0.25">
      <c r="X4277" s="8" t="e">
        <f>IF(Final_Sans_VGE[[#This Row],[ppn_z]]="","",IFERROR(
   IF(_xlfn.XLOOKUP(Final_Sans_VGE[[#This Row],[ppn_z]],tbl_Historique_Final[ppn_z],tbl_Historique_Final[date_modif])=Final_Sans_VGE[[#This Row],[date_modif]],
      "Ancien",
      "Modifié"),
   "Nouveau"))</f>
        <v>#VALUE!</v>
      </c>
      <c r="AD4277" s="1" t="str">
        <f>IFERROR(IF(Final_Sans_VGE[[#This Row],[ppn_z]]="","",IFERROR(
   IF(_xlfn.XLOOKUP(Final_Sans_VGE[[#This Row],[ppn_z]],tbl_Historique_Final[[#This Row],[ppn_z]],tbl_Historique_Final[[#This Row],[date_modif]])=Final_Sans_VGE[[#This Row],[date_modif]],
      "Ancien",
      "Modifié"),
   "Nouveau")),"")</f>
        <v/>
      </c>
    </row>
    <row r="4278" spans="24:30" x14ac:dyDescent="0.25">
      <c r="X4278" s="8" t="e">
        <f>IF(Final_Sans_VGE[[#This Row],[ppn_z]]="","",IFERROR(
   IF(_xlfn.XLOOKUP(Final_Sans_VGE[[#This Row],[ppn_z]],tbl_Historique_Final[ppn_z],tbl_Historique_Final[date_modif])=Final_Sans_VGE[[#This Row],[date_modif]],
      "Ancien",
      "Modifié"),
   "Nouveau"))</f>
        <v>#VALUE!</v>
      </c>
      <c r="AD4278" s="1" t="str">
        <f>IFERROR(IF(Final_Sans_VGE[[#This Row],[ppn_z]]="","",IFERROR(
   IF(_xlfn.XLOOKUP(Final_Sans_VGE[[#This Row],[ppn_z]],tbl_Historique_Final[[#This Row],[ppn_z]],tbl_Historique_Final[[#This Row],[date_modif]])=Final_Sans_VGE[[#This Row],[date_modif]],
      "Ancien",
      "Modifié"),
   "Nouveau")),"")</f>
        <v/>
      </c>
    </row>
    <row r="4279" spans="24:30" x14ac:dyDescent="0.25">
      <c r="X4279" s="8" t="e">
        <f>IF(Final_Sans_VGE[[#This Row],[ppn_z]]="","",IFERROR(
   IF(_xlfn.XLOOKUP(Final_Sans_VGE[[#This Row],[ppn_z]],tbl_Historique_Final[ppn_z],tbl_Historique_Final[date_modif])=Final_Sans_VGE[[#This Row],[date_modif]],
      "Ancien",
      "Modifié"),
   "Nouveau"))</f>
        <v>#VALUE!</v>
      </c>
      <c r="AD4279" s="1" t="str">
        <f>IFERROR(IF(Final_Sans_VGE[[#This Row],[ppn_z]]="","",IFERROR(
   IF(_xlfn.XLOOKUP(Final_Sans_VGE[[#This Row],[ppn_z]],tbl_Historique_Final[[#This Row],[ppn_z]],tbl_Historique_Final[[#This Row],[date_modif]])=Final_Sans_VGE[[#This Row],[date_modif]],
      "Ancien",
      "Modifié"),
   "Nouveau")),"")</f>
        <v/>
      </c>
    </row>
    <row r="4280" spans="24:30" x14ac:dyDescent="0.25">
      <c r="X4280" s="8" t="e">
        <f>IF(Final_Sans_VGE[[#This Row],[ppn_z]]="","",IFERROR(
   IF(_xlfn.XLOOKUP(Final_Sans_VGE[[#This Row],[ppn_z]],tbl_Historique_Final[ppn_z],tbl_Historique_Final[date_modif])=Final_Sans_VGE[[#This Row],[date_modif]],
      "Ancien",
      "Modifié"),
   "Nouveau"))</f>
        <v>#VALUE!</v>
      </c>
      <c r="AD4280" s="1" t="str">
        <f>IFERROR(IF(Final_Sans_VGE[[#This Row],[ppn_z]]="","",IFERROR(
   IF(_xlfn.XLOOKUP(Final_Sans_VGE[[#This Row],[ppn_z]],tbl_Historique_Final[[#This Row],[ppn_z]],tbl_Historique_Final[[#This Row],[date_modif]])=Final_Sans_VGE[[#This Row],[date_modif]],
      "Ancien",
      "Modifié"),
   "Nouveau")),"")</f>
        <v/>
      </c>
    </row>
    <row r="4281" spans="24:30" x14ac:dyDescent="0.25">
      <c r="X4281" s="8" t="e">
        <f>IF(Final_Sans_VGE[[#This Row],[ppn_z]]="","",IFERROR(
   IF(_xlfn.XLOOKUP(Final_Sans_VGE[[#This Row],[ppn_z]],tbl_Historique_Final[ppn_z],tbl_Historique_Final[date_modif])=Final_Sans_VGE[[#This Row],[date_modif]],
      "Ancien",
      "Modifié"),
   "Nouveau"))</f>
        <v>#VALUE!</v>
      </c>
      <c r="AD4281" s="1" t="str">
        <f>IFERROR(IF(Final_Sans_VGE[[#This Row],[ppn_z]]="","",IFERROR(
   IF(_xlfn.XLOOKUP(Final_Sans_VGE[[#This Row],[ppn_z]],tbl_Historique_Final[[#This Row],[ppn_z]],tbl_Historique_Final[[#This Row],[date_modif]])=Final_Sans_VGE[[#This Row],[date_modif]],
      "Ancien",
      "Modifié"),
   "Nouveau")),"")</f>
        <v/>
      </c>
    </row>
    <row r="4282" spans="24:30" x14ac:dyDescent="0.25">
      <c r="X4282" s="8" t="e">
        <f>IF(Final_Sans_VGE[[#This Row],[ppn_z]]="","",IFERROR(
   IF(_xlfn.XLOOKUP(Final_Sans_VGE[[#This Row],[ppn_z]],tbl_Historique_Final[ppn_z],tbl_Historique_Final[date_modif])=Final_Sans_VGE[[#This Row],[date_modif]],
      "Ancien",
      "Modifié"),
   "Nouveau"))</f>
        <v>#VALUE!</v>
      </c>
      <c r="AD4282" s="1" t="str">
        <f>IFERROR(IF(Final_Sans_VGE[[#This Row],[ppn_z]]="","",IFERROR(
   IF(_xlfn.XLOOKUP(Final_Sans_VGE[[#This Row],[ppn_z]],tbl_Historique_Final[[#This Row],[ppn_z]],tbl_Historique_Final[[#This Row],[date_modif]])=Final_Sans_VGE[[#This Row],[date_modif]],
      "Ancien",
      "Modifié"),
   "Nouveau")),"")</f>
        <v/>
      </c>
    </row>
    <row r="4283" spans="24:30" x14ac:dyDescent="0.25">
      <c r="X4283" s="8" t="e">
        <f>IF(Final_Sans_VGE[[#This Row],[ppn_z]]="","",IFERROR(
   IF(_xlfn.XLOOKUP(Final_Sans_VGE[[#This Row],[ppn_z]],tbl_Historique_Final[ppn_z],tbl_Historique_Final[date_modif])=Final_Sans_VGE[[#This Row],[date_modif]],
      "Ancien",
      "Modifié"),
   "Nouveau"))</f>
        <v>#VALUE!</v>
      </c>
      <c r="AD4283" s="1" t="str">
        <f>IFERROR(IF(Final_Sans_VGE[[#This Row],[ppn_z]]="","",IFERROR(
   IF(_xlfn.XLOOKUP(Final_Sans_VGE[[#This Row],[ppn_z]],tbl_Historique_Final[[#This Row],[ppn_z]],tbl_Historique_Final[[#This Row],[date_modif]])=Final_Sans_VGE[[#This Row],[date_modif]],
      "Ancien",
      "Modifié"),
   "Nouveau")),"")</f>
        <v/>
      </c>
    </row>
    <row r="4284" spans="24:30" x14ac:dyDescent="0.25">
      <c r="X4284" s="8" t="e">
        <f>IF(Final_Sans_VGE[[#This Row],[ppn_z]]="","",IFERROR(
   IF(_xlfn.XLOOKUP(Final_Sans_VGE[[#This Row],[ppn_z]],tbl_Historique_Final[ppn_z],tbl_Historique_Final[date_modif])=Final_Sans_VGE[[#This Row],[date_modif]],
      "Ancien",
      "Modifié"),
   "Nouveau"))</f>
        <v>#VALUE!</v>
      </c>
      <c r="AD4284" s="1" t="str">
        <f>IFERROR(IF(Final_Sans_VGE[[#This Row],[ppn_z]]="","",IFERROR(
   IF(_xlfn.XLOOKUP(Final_Sans_VGE[[#This Row],[ppn_z]],tbl_Historique_Final[[#This Row],[ppn_z]],tbl_Historique_Final[[#This Row],[date_modif]])=Final_Sans_VGE[[#This Row],[date_modif]],
      "Ancien",
      "Modifié"),
   "Nouveau")),"")</f>
        <v/>
      </c>
    </row>
    <row r="4285" spans="24:30" x14ac:dyDescent="0.25">
      <c r="X4285" s="8" t="e">
        <f>IF(Final_Sans_VGE[[#This Row],[ppn_z]]="","",IFERROR(
   IF(_xlfn.XLOOKUP(Final_Sans_VGE[[#This Row],[ppn_z]],tbl_Historique_Final[ppn_z],tbl_Historique_Final[date_modif])=Final_Sans_VGE[[#This Row],[date_modif]],
      "Ancien",
      "Modifié"),
   "Nouveau"))</f>
        <v>#VALUE!</v>
      </c>
      <c r="AD4285" s="1" t="str">
        <f>IFERROR(IF(Final_Sans_VGE[[#This Row],[ppn_z]]="","",IFERROR(
   IF(_xlfn.XLOOKUP(Final_Sans_VGE[[#This Row],[ppn_z]],tbl_Historique_Final[[#This Row],[ppn_z]],tbl_Historique_Final[[#This Row],[date_modif]])=Final_Sans_VGE[[#This Row],[date_modif]],
      "Ancien",
      "Modifié"),
   "Nouveau")),"")</f>
        <v/>
      </c>
    </row>
    <row r="4286" spans="24:30" x14ac:dyDescent="0.25">
      <c r="X4286" s="8" t="e">
        <f>IF(Final_Sans_VGE[[#This Row],[ppn_z]]="","",IFERROR(
   IF(_xlfn.XLOOKUP(Final_Sans_VGE[[#This Row],[ppn_z]],tbl_Historique_Final[ppn_z],tbl_Historique_Final[date_modif])=Final_Sans_VGE[[#This Row],[date_modif]],
      "Ancien",
      "Modifié"),
   "Nouveau"))</f>
        <v>#VALUE!</v>
      </c>
      <c r="AD4286" s="1" t="str">
        <f>IFERROR(IF(Final_Sans_VGE[[#This Row],[ppn_z]]="","",IFERROR(
   IF(_xlfn.XLOOKUP(Final_Sans_VGE[[#This Row],[ppn_z]],tbl_Historique_Final[[#This Row],[ppn_z]],tbl_Historique_Final[[#This Row],[date_modif]])=Final_Sans_VGE[[#This Row],[date_modif]],
      "Ancien",
      "Modifié"),
   "Nouveau")),"")</f>
        <v/>
      </c>
    </row>
    <row r="4287" spans="24:30" x14ac:dyDescent="0.25">
      <c r="X4287" s="8" t="e">
        <f>IF(Final_Sans_VGE[[#This Row],[ppn_z]]="","",IFERROR(
   IF(_xlfn.XLOOKUP(Final_Sans_VGE[[#This Row],[ppn_z]],tbl_Historique_Final[ppn_z],tbl_Historique_Final[date_modif])=Final_Sans_VGE[[#This Row],[date_modif]],
      "Ancien",
      "Modifié"),
   "Nouveau"))</f>
        <v>#VALUE!</v>
      </c>
      <c r="AD4287" s="1" t="str">
        <f>IFERROR(IF(Final_Sans_VGE[[#This Row],[ppn_z]]="","",IFERROR(
   IF(_xlfn.XLOOKUP(Final_Sans_VGE[[#This Row],[ppn_z]],tbl_Historique_Final[[#This Row],[ppn_z]],tbl_Historique_Final[[#This Row],[date_modif]])=Final_Sans_VGE[[#This Row],[date_modif]],
      "Ancien",
      "Modifié"),
   "Nouveau")),"")</f>
        <v/>
      </c>
    </row>
    <row r="4288" spans="24:30" x14ac:dyDescent="0.25">
      <c r="X4288" s="8" t="e">
        <f>IF(Final_Sans_VGE[[#This Row],[ppn_z]]="","",IFERROR(
   IF(_xlfn.XLOOKUP(Final_Sans_VGE[[#This Row],[ppn_z]],tbl_Historique_Final[ppn_z],tbl_Historique_Final[date_modif])=Final_Sans_VGE[[#This Row],[date_modif]],
      "Ancien",
      "Modifié"),
   "Nouveau"))</f>
        <v>#VALUE!</v>
      </c>
      <c r="AD4288" s="1" t="str">
        <f>IFERROR(IF(Final_Sans_VGE[[#This Row],[ppn_z]]="","",IFERROR(
   IF(_xlfn.XLOOKUP(Final_Sans_VGE[[#This Row],[ppn_z]],tbl_Historique_Final[[#This Row],[ppn_z]],tbl_Historique_Final[[#This Row],[date_modif]])=Final_Sans_VGE[[#This Row],[date_modif]],
      "Ancien",
      "Modifié"),
   "Nouveau")),"")</f>
        <v/>
      </c>
    </row>
    <row r="4289" spans="24:30" x14ac:dyDescent="0.25">
      <c r="X4289" s="8" t="e">
        <f>IF(Final_Sans_VGE[[#This Row],[ppn_z]]="","",IFERROR(
   IF(_xlfn.XLOOKUP(Final_Sans_VGE[[#This Row],[ppn_z]],tbl_Historique_Final[ppn_z],tbl_Historique_Final[date_modif])=Final_Sans_VGE[[#This Row],[date_modif]],
      "Ancien",
      "Modifié"),
   "Nouveau"))</f>
        <v>#VALUE!</v>
      </c>
      <c r="AD4289" s="1" t="str">
        <f>IFERROR(IF(Final_Sans_VGE[[#This Row],[ppn_z]]="","",IFERROR(
   IF(_xlfn.XLOOKUP(Final_Sans_VGE[[#This Row],[ppn_z]],tbl_Historique_Final[[#This Row],[ppn_z]],tbl_Historique_Final[[#This Row],[date_modif]])=Final_Sans_VGE[[#This Row],[date_modif]],
      "Ancien",
      "Modifié"),
   "Nouveau")),"")</f>
        <v/>
      </c>
    </row>
    <row r="4290" spans="24:30" x14ac:dyDescent="0.25">
      <c r="X4290" s="8" t="e">
        <f>IF(Final_Sans_VGE[[#This Row],[ppn_z]]="","",IFERROR(
   IF(_xlfn.XLOOKUP(Final_Sans_VGE[[#This Row],[ppn_z]],tbl_Historique_Final[ppn_z],tbl_Historique_Final[date_modif])=Final_Sans_VGE[[#This Row],[date_modif]],
      "Ancien",
      "Modifié"),
   "Nouveau"))</f>
        <v>#VALUE!</v>
      </c>
      <c r="AD4290" s="1" t="str">
        <f>IFERROR(IF(Final_Sans_VGE[[#This Row],[ppn_z]]="","",IFERROR(
   IF(_xlfn.XLOOKUP(Final_Sans_VGE[[#This Row],[ppn_z]],tbl_Historique_Final[[#This Row],[ppn_z]],tbl_Historique_Final[[#This Row],[date_modif]])=Final_Sans_VGE[[#This Row],[date_modif]],
      "Ancien",
      "Modifié"),
   "Nouveau")),"")</f>
        <v/>
      </c>
    </row>
    <row r="4291" spans="24:30" x14ac:dyDescent="0.25">
      <c r="X4291" s="8" t="e">
        <f>IF(Final_Sans_VGE[[#This Row],[ppn_z]]="","",IFERROR(
   IF(_xlfn.XLOOKUP(Final_Sans_VGE[[#This Row],[ppn_z]],tbl_Historique_Final[ppn_z],tbl_Historique_Final[date_modif])=Final_Sans_VGE[[#This Row],[date_modif]],
      "Ancien",
      "Modifié"),
   "Nouveau"))</f>
        <v>#VALUE!</v>
      </c>
      <c r="AD4291" s="1" t="str">
        <f>IFERROR(IF(Final_Sans_VGE[[#This Row],[ppn_z]]="","",IFERROR(
   IF(_xlfn.XLOOKUP(Final_Sans_VGE[[#This Row],[ppn_z]],tbl_Historique_Final[[#This Row],[ppn_z]],tbl_Historique_Final[[#This Row],[date_modif]])=Final_Sans_VGE[[#This Row],[date_modif]],
      "Ancien",
      "Modifié"),
   "Nouveau")),"")</f>
        <v/>
      </c>
    </row>
    <row r="4292" spans="24:30" x14ac:dyDescent="0.25">
      <c r="X4292" s="8" t="e">
        <f>IF(Final_Sans_VGE[[#This Row],[ppn_z]]="","",IFERROR(
   IF(_xlfn.XLOOKUP(Final_Sans_VGE[[#This Row],[ppn_z]],tbl_Historique_Final[ppn_z],tbl_Historique_Final[date_modif])=Final_Sans_VGE[[#This Row],[date_modif]],
      "Ancien",
      "Modifié"),
   "Nouveau"))</f>
        <v>#VALUE!</v>
      </c>
      <c r="AD4292" s="1" t="str">
        <f>IFERROR(IF(Final_Sans_VGE[[#This Row],[ppn_z]]="","",IFERROR(
   IF(_xlfn.XLOOKUP(Final_Sans_VGE[[#This Row],[ppn_z]],tbl_Historique_Final[[#This Row],[ppn_z]],tbl_Historique_Final[[#This Row],[date_modif]])=Final_Sans_VGE[[#This Row],[date_modif]],
      "Ancien",
      "Modifié"),
   "Nouveau")),"")</f>
        <v/>
      </c>
    </row>
    <row r="4293" spans="24:30" x14ac:dyDescent="0.25">
      <c r="X4293" s="8" t="e">
        <f>IF(Final_Sans_VGE[[#This Row],[ppn_z]]="","",IFERROR(
   IF(_xlfn.XLOOKUP(Final_Sans_VGE[[#This Row],[ppn_z]],tbl_Historique_Final[ppn_z],tbl_Historique_Final[date_modif])=Final_Sans_VGE[[#This Row],[date_modif]],
      "Ancien",
      "Modifié"),
   "Nouveau"))</f>
        <v>#VALUE!</v>
      </c>
      <c r="AD4293" s="1" t="str">
        <f>IFERROR(IF(Final_Sans_VGE[[#This Row],[ppn_z]]="","",IFERROR(
   IF(_xlfn.XLOOKUP(Final_Sans_VGE[[#This Row],[ppn_z]],tbl_Historique_Final[[#This Row],[ppn_z]],tbl_Historique_Final[[#This Row],[date_modif]])=Final_Sans_VGE[[#This Row],[date_modif]],
      "Ancien",
      "Modifié"),
   "Nouveau")),"")</f>
        <v/>
      </c>
    </row>
    <row r="4294" spans="24:30" x14ac:dyDescent="0.25">
      <c r="X4294" s="8" t="e">
        <f>IF(Final_Sans_VGE[[#This Row],[ppn_z]]="","",IFERROR(
   IF(_xlfn.XLOOKUP(Final_Sans_VGE[[#This Row],[ppn_z]],tbl_Historique_Final[ppn_z],tbl_Historique_Final[date_modif])=Final_Sans_VGE[[#This Row],[date_modif]],
      "Ancien",
      "Modifié"),
   "Nouveau"))</f>
        <v>#VALUE!</v>
      </c>
      <c r="AD4294" s="1" t="str">
        <f>IFERROR(IF(Final_Sans_VGE[[#This Row],[ppn_z]]="","",IFERROR(
   IF(_xlfn.XLOOKUP(Final_Sans_VGE[[#This Row],[ppn_z]],tbl_Historique_Final[[#This Row],[ppn_z]],tbl_Historique_Final[[#This Row],[date_modif]])=Final_Sans_VGE[[#This Row],[date_modif]],
      "Ancien",
      "Modifié"),
   "Nouveau")),"")</f>
        <v/>
      </c>
    </row>
    <row r="4295" spans="24:30" x14ac:dyDescent="0.25">
      <c r="X4295" s="8" t="e">
        <f>IF(Final_Sans_VGE[[#This Row],[ppn_z]]="","",IFERROR(
   IF(_xlfn.XLOOKUP(Final_Sans_VGE[[#This Row],[ppn_z]],tbl_Historique_Final[ppn_z],tbl_Historique_Final[date_modif])=Final_Sans_VGE[[#This Row],[date_modif]],
      "Ancien",
      "Modifié"),
   "Nouveau"))</f>
        <v>#VALUE!</v>
      </c>
      <c r="AD4295" s="1" t="str">
        <f>IFERROR(IF(Final_Sans_VGE[[#This Row],[ppn_z]]="","",IFERROR(
   IF(_xlfn.XLOOKUP(Final_Sans_VGE[[#This Row],[ppn_z]],tbl_Historique_Final[[#This Row],[ppn_z]],tbl_Historique_Final[[#This Row],[date_modif]])=Final_Sans_VGE[[#This Row],[date_modif]],
      "Ancien",
      "Modifié"),
   "Nouveau")),"")</f>
        <v/>
      </c>
    </row>
    <row r="4296" spans="24:30" x14ac:dyDescent="0.25">
      <c r="X4296" s="8" t="e">
        <f>IF(Final_Sans_VGE[[#This Row],[ppn_z]]="","",IFERROR(
   IF(_xlfn.XLOOKUP(Final_Sans_VGE[[#This Row],[ppn_z]],tbl_Historique_Final[ppn_z],tbl_Historique_Final[date_modif])=Final_Sans_VGE[[#This Row],[date_modif]],
      "Ancien",
      "Modifié"),
   "Nouveau"))</f>
        <v>#VALUE!</v>
      </c>
      <c r="AD4296" s="1" t="str">
        <f>IFERROR(IF(Final_Sans_VGE[[#This Row],[ppn_z]]="","",IFERROR(
   IF(_xlfn.XLOOKUP(Final_Sans_VGE[[#This Row],[ppn_z]],tbl_Historique_Final[[#This Row],[ppn_z]],tbl_Historique_Final[[#This Row],[date_modif]])=Final_Sans_VGE[[#This Row],[date_modif]],
      "Ancien",
      "Modifié"),
   "Nouveau")),"")</f>
        <v/>
      </c>
    </row>
    <row r="4297" spans="24:30" x14ac:dyDescent="0.25">
      <c r="X4297" s="8" t="e">
        <f>IF(Final_Sans_VGE[[#This Row],[ppn_z]]="","",IFERROR(
   IF(_xlfn.XLOOKUP(Final_Sans_VGE[[#This Row],[ppn_z]],tbl_Historique_Final[ppn_z],tbl_Historique_Final[date_modif])=Final_Sans_VGE[[#This Row],[date_modif]],
      "Ancien",
      "Modifié"),
   "Nouveau"))</f>
        <v>#VALUE!</v>
      </c>
      <c r="AD4297" s="1" t="str">
        <f>IFERROR(IF(Final_Sans_VGE[[#This Row],[ppn_z]]="","",IFERROR(
   IF(_xlfn.XLOOKUP(Final_Sans_VGE[[#This Row],[ppn_z]],tbl_Historique_Final[[#This Row],[ppn_z]],tbl_Historique_Final[[#This Row],[date_modif]])=Final_Sans_VGE[[#This Row],[date_modif]],
      "Ancien",
      "Modifié"),
   "Nouveau")),"")</f>
        <v/>
      </c>
    </row>
    <row r="4298" spans="24:30" x14ac:dyDescent="0.25">
      <c r="X4298" s="8" t="e">
        <f>IF(Final_Sans_VGE[[#This Row],[ppn_z]]="","",IFERROR(
   IF(_xlfn.XLOOKUP(Final_Sans_VGE[[#This Row],[ppn_z]],tbl_Historique_Final[ppn_z],tbl_Historique_Final[date_modif])=Final_Sans_VGE[[#This Row],[date_modif]],
      "Ancien",
      "Modifié"),
   "Nouveau"))</f>
        <v>#VALUE!</v>
      </c>
      <c r="AD4298" s="1" t="str">
        <f>IFERROR(IF(Final_Sans_VGE[[#This Row],[ppn_z]]="","",IFERROR(
   IF(_xlfn.XLOOKUP(Final_Sans_VGE[[#This Row],[ppn_z]],tbl_Historique_Final[[#This Row],[ppn_z]],tbl_Historique_Final[[#This Row],[date_modif]])=Final_Sans_VGE[[#This Row],[date_modif]],
      "Ancien",
      "Modifié"),
   "Nouveau")),"")</f>
        <v/>
      </c>
    </row>
    <row r="4299" spans="24:30" x14ac:dyDescent="0.25">
      <c r="X4299" s="8" t="e">
        <f>IF(Final_Sans_VGE[[#This Row],[ppn_z]]="","",IFERROR(
   IF(_xlfn.XLOOKUP(Final_Sans_VGE[[#This Row],[ppn_z]],tbl_Historique_Final[ppn_z],tbl_Historique_Final[date_modif])=Final_Sans_VGE[[#This Row],[date_modif]],
      "Ancien",
      "Modifié"),
   "Nouveau"))</f>
        <v>#VALUE!</v>
      </c>
      <c r="AD4299" s="1" t="str">
        <f>IFERROR(IF(Final_Sans_VGE[[#This Row],[ppn_z]]="","",IFERROR(
   IF(_xlfn.XLOOKUP(Final_Sans_VGE[[#This Row],[ppn_z]],tbl_Historique_Final[[#This Row],[ppn_z]],tbl_Historique_Final[[#This Row],[date_modif]])=Final_Sans_VGE[[#This Row],[date_modif]],
      "Ancien",
      "Modifié"),
   "Nouveau")),"")</f>
        <v/>
      </c>
    </row>
    <row r="4300" spans="24:30" x14ac:dyDescent="0.25">
      <c r="X4300" s="8" t="e">
        <f>IF(Final_Sans_VGE[[#This Row],[ppn_z]]="","",IFERROR(
   IF(_xlfn.XLOOKUP(Final_Sans_VGE[[#This Row],[ppn_z]],tbl_Historique_Final[ppn_z],tbl_Historique_Final[date_modif])=Final_Sans_VGE[[#This Row],[date_modif]],
      "Ancien",
      "Modifié"),
   "Nouveau"))</f>
        <v>#VALUE!</v>
      </c>
      <c r="AD4300" s="1" t="str">
        <f>IFERROR(IF(Final_Sans_VGE[[#This Row],[ppn_z]]="","",IFERROR(
   IF(_xlfn.XLOOKUP(Final_Sans_VGE[[#This Row],[ppn_z]],tbl_Historique_Final[[#This Row],[ppn_z]],tbl_Historique_Final[[#This Row],[date_modif]])=Final_Sans_VGE[[#This Row],[date_modif]],
      "Ancien",
      "Modifié"),
   "Nouveau")),"")</f>
        <v/>
      </c>
    </row>
    <row r="4301" spans="24:30" x14ac:dyDescent="0.25">
      <c r="X4301" s="8" t="e">
        <f>IF(Final_Sans_VGE[[#This Row],[ppn_z]]="","",IFERROR(
   IF(_xlfn.XLOOKUP(Final_Sans_VGE[[#This Row],[ppn_z]],tbl_Historique_Final[ppn_z],tbl_Historique_Final[date_modif])=Final_Sans_VGE[[#This Row],[date_modif]],
      "Ancien",
      "Modifié"),
   "Nouveau"))</f>
        <v>#VALUE!</v>
      </c>
      <c r="AD4301" s="1" t="str">
        <f>IFERROR(IF(Final_Sans_VGE[[#This Row],[ppn_z]]="","",IFERROR(
   IF(_xlfn.XLOOKUP(Final_Sans_VGE[[#This Row],[ppn_z]],tbl_Historique_Final[[#This Row],[ppn_z]],tbl_Historique_Final[[#This Row],[date_modif]])=Final_Sans_VGE[[#This Row],[date_modif]],
      "Ancien",
      "Modifié"),
   "Nouveau")),"")</f>
        <v/>
      </c>
    </row>
    <row r="4302" spans="24:30" x14ac:dyDescent="0.25">
      <c r="X4302" s="8" t="e">
        <f>IF(Final_Sans_VGE[[#This Row],[ppn_z]]="","",IFERROR(
   IF(_xlfn.XLOOKUP(Final_Sans_VGE[[#This Row],[ppn_z]],tbl_Historique_Final[ppn_z],tbl_Historique_Final[date_modif])=Final_Sans_VGE[[#This Row],[date_modif]],
      "Ancien",
      "Modifié"),
   "Nouveau"))</f>
        <v>#VALUE!</v>
      </c>
      <c r="AD4302" s="1" t="str">
        <f>IFERROR(IF(Final_Sans_VGE[[#This Row],[ppn_z]]="","",IFERROR(
   IF(_xlfn.XLOOKUP(Final_Sans_VGE[[#This Row],[ppn_z]],tbl_Historique_Final[[#This Row],[ppn_z]],tbl_Historique_Final[[#This Row],[date_modif]])=Final_Sans_VGE[[#This Row],[date_modif]],
      "Ancien",
      "Modifié"),
   "Nouveau")),"")</f>
        <v/>
      </c>
    </row>
    <row r="4303" spans="24:30" x14ac:dyDescent="0.25">
      <c r="X4303" s="8" t="e">
        <f>IF(Final_Sans_VGE[[#This Row],[ppn_z]]="","",IFERROR(
   IF(_xlfn.XLOOKUP(Final_Sans_VGE[[#This Row],[ppn_z]],tbl_Historique_Final[ppn_z],tbl_Historique_Final[date_modif])=Final_Sans_VGE[[#This Row],[date_modif]],
      "Ancien",
      "Modifié"),
   "Nouveau"))</f>
        <v>#VALUE!</v>
      </c>
      <c r="AD4303" s="1" t="str">
        <f>IFERROR(IF(Final_Sans_VGE[[#This Row],[ppn_z]]="","",IFERROR(
   IF(_xlfn.XLOOKUP(Final_Sans_VGE[[#This Row],[ppn_z]],tbl_Historique_Final[[#This Row],[ppn_z]],tbl_Historique_Final[[#This Row],[date_modif]])=Final_Sans_VGE[[#This Row],[date_modif]],
      "Ancien",
      "Modifié"),
   "Nouveau")),"")</f>
        <v/>
      </c>
    </row>
    <row r="4304" spans="24:30" x14ac:dyDescent="0.25">
      <c r="X4304" s="8" t="e">
        <f>IF(Final_Sans_VGE[[#This Row],[ppn_z]]="","",IFERROR(
   IF(_xlfn.XLOOKUP(Final_Sans_VGE[[#This Row],[ppn_z]],tbl_Historique_Final[ppn_z],tbl_Historique_Final[date_modif])=Final_Sans_VGE[[#This Row],[date_modif]],
      "Ancien",
      "Modifié"),
   "Nouveau"))</f>
        <v>#VALUE!</v>
      </c>
      <c r="AD4304" s="1" t="str">
        <f>IFERROR(IF(Final_Sans_VGE[[#This Row],[ppn_z]]="","",IFERROR(
   IF(_xlfn.XLOOKUP(Final_Sans_VGE[[#This Row],[ppn_z]],tbl_Historique_Final[[#This Row],[ppn_z]],tbl_Historique_Final[[#This Row],[date_modif]])=Final_Sans_VGE[[#This Row],[date_modif]],
      "Ancien",
      "Modifié"),
   "Nouveau")),"")</f>
        <v/>
      </c>
    </row>
    <row r="4305" spans="24:30" x14ac:dyDescent="0.25">
      <c r="X4305" s="8" t="e">
        <f>IF(Final_Sans_VGE[[#This Row],[ppn_z]]="","",IFERROR(
   IF(_xlfn.XLOOKUP(Final_Sans_VGE[[#This Row],[ppn_z]],tbl_Historique_Final[ppn_z],tbl_Historique_Final[date_modif])=Final_Sans_VGE[[#This Row],[date_modif]],
      "Ancien",
      "Modifié"),
   "Nouveau"))</f>
        <v>#VALUE!</v>
      </c>
      <c r="AD4305" s="1" t="str">
        <f>IFERROR(IF(Final_Sans_VGE[[#This Row],[ppn_z]]="","",IFERROR(
   IF(_xlfn.XLOOKUP(Final_Sans_VGE[[#This Row],[ppn_z]],tbl_Historique_Final[[#This Row],[ppn_z]],tbl_Historique_Final[[#This Row],[date_modif]])=Final_Sans_VGE[[#This Row],[date_modif]],
      "Ancien",
      "Modifié"),
   "Nouveau")),"")</f>
        <v/>
      </c>
    </row>
    <row r="4306" spans="24:30" x14ac:dyDescent="0.25">
      <c r="X4306" s="8" t="e">
        <f>IF(Final_Sans_VGE[[#This Row],[ppn_z]]="","",IFERROR(
   IF(_xlfn.XLOOKUP(Final_Sans_VGE[[#This Row],[ppn_z]],tbl_Historique_Final[ppn_z],tbl_Historique_Final[date_modif])=Final_Sans_VGE[[#This Row],[date_modif]],
      "Ancien",
      "Modifié"),
   "Nouveau"))</f>
        <v>#VALUE!</v>
      </c>
      <c r="AD4306" s="1" t="str">
        <f>IFERROR(IF(Final_Sans_VGE[[#This Row],[ppn_z]]="","",IFERROR(
   IF(_xlfn.XLOOKUP(Final_Sans_VGE[[#This Row],[ppn_z]],tbl_Historique_Final[[#This Row],[ppn_z]],tbl_Historique_Final[[#This Row],[date_modif]])=Final_Sans_VGE[[#This Row],[date_modif]],
      "Ancien",
      "Modifié"),
   "Nouveau")),"")</f>
        <v/>
      </c>
    </row>
    <row r="4307" spans="24:30" x14ac:dyDescent="0.25">
      <c r="X4307" s="8" t="e">
        <f>IF(Final_Sans_VGE[[#This Row],[ppn_z]]="","",IFERROR(
   IF(_xlfn.XLOOKUP(Final_Sans_VGE[[#This Row],[ppn_z]],tbl_Historique_Final[ppn_z],tbl_Historique_Final[date_modif])=Final_Sans_VGE[[#This Row],[date_modif]],
      "Ancien",
      "Modifié"),
   "Nouveau"))</f>
        <v>#VALUE!</v>
      </c>
      <c r="AD4307" s="1" t="str">
        <f>IFERROR(IF(Final_Sans_VGE[[#This Row],[ppn_z]]="","",IFERROR(
   IF(_xlfn.XLOOKUP(Final_Sans_VGE[[#This Row],[ppn_z]],tbl_Historique_Final[[#This Row],[ppn_z]],tbl_Historique_Final[[#This Row],[date_modif]])=Final_Sans_VGE[[#This Row],[date_modif]],
      "Ancien",
      "Modifié"),
   "Nouveau")),"")</f>
        <v/>
      </c>
    </row>
    <row r="4308" spans="24:30" x14ac:dyDescent="0.25">
      <c r="X4308" s="8" t="e">
        <f>IF(Final_Sans_VGE[[#This Row],[ppn_z]]="","",IFERROR(
   IF(_xlfn.XLOOKUP(Final_Sans_VGE[[#This Row],[ppn_z]],tbl_Historique_Final[ppn_z],tbl_Historique_Final[date_modif])=Final_Sans_VGE[[#This Row],[date_modif]],
      "Ancien",
      "Modifié"),
   "Nouveau"))</f>
        <v>#VALUE!</v>
      </c>
      <c r="AD4308" s="1" t="str">
        <f>IFERROR(IF(Final_Sans_VGE[[#This Row],[ppn_z]]="","",IFERROR(
   IF(_xlfn.XLOOKUP(Final_Sans_VGE[[#This Row],[ppn_z]],tbl_Historique_Final[[#This Row],[ppn_z]],tbl_Historique_Final[[#This Row],[date_modif]])=Final_Sans_VGE[[#This Row],[date_modif]],
      "Ancien",
      "Modifié"),
   "Nouveau")),"")</f>
        <v/>
      </c>
    </row>
    <row r="4309" spans="24:30" x14ac:dyDescent="0.25">
      <c r="X4309" s="8" t="e">
        <f>IF(Final_Sans_VGE[[#This Row],[ppn_z]]="","",IFERROR(
   IF(_xlfn.XLOOKUP(Final_Sans_VGE[[#This Row],[ppn_z]],tbl_Historique_Final[ppn_z],tbl_Historique_Final[date_modif])=Final_Sans_VGE[[#This Row],[date_modif]],
      "Ancien",
      "Modifié"),
   "Nouveau"))</f>
        <v>#VALUE!</v>
      </c>
      <c r="AD4309" s="1" t="str">
        <f>IFERROR(IF(Final_Sans_VGE[[#This Row],[ppn_z]]="","",IFERROR(
   IF(_xlfn.XLOOKUP(Final_Sans_VGE[[#This Row],[ppn_z]],tbl_Historique_Final[[#This Row],[ppn_z]],tbl_Historique_Final[[#This Row],[date_modif]])=Final_Sans_VGE[[#This Row],[date_modif]],
      "Ancien",
      "Modifié"),
   "Nouveau")),"")</f>
        <v/>
      </c>
    </row>
    <row r="4310" spans="24:30" x14ac:dyDescent="0.25">
      <c r="X4310" s="8" t="e">
        <f>IF(Final_Sans_VGE[[#This Row],[ppn_z]]="","",IFERROR(
   IF(_xlfn.XLOOKUP(Final_Sans_VGE[[#This Row],[ppn_z]],tbl_Historique_Final[ppn_z],tbl_Historique_Final[date_modif])=Final_Sans_VGE[[#This Row],[date_modif]],
      "Ancien",
      "Modifié"),
   "Nouveau"))</f>
        <v>#VALUE!</v>
      </c>
      <c r="AD4310" s="1" t="str">
        <f>IFERROR(IF(Final_Sans_VGE[[#This Row],[ppn_z]]="","",IFERROR(
   IF(_xlfn.XLOOKUP(Final_Sans_VGE[[#This Row],[ppn_z]],tbl_Historique_Final[[#This Row],[ppn_z]],tbl_Historique_Final[[#This Row],[date_modif]])=Final_Sans_VGE[[#This Row],[date_modif]],
      "Ancien",
      "Modifié"),
   "Nouveau")),"")</f>
        <v/>
      </c>
    </row>
    <row r="4311" spans="24:30" x14ac:dyDescent="0.25">
      <c r="X4311" s="8" t="e">
        <f>IF(Final_Sans_VGE[[#This Row],[ppn_z]]="","",IFERROR(
   IF(_xlfn.XLOOKUP(Final_Sans_VGE[[#This Row],[ppn_z]],tbl_Historique_Final[ppn_z],tbl_Historique_Final[date_modif])=Final_Sans_VGE[[#This Row],[date_modif]],
      "Ancien",
      "Modifié"),
   "Nouveau"))</f>
        <v>#VALUE!</v>
      </c>
      <c r="AD4311" s="1" t="str">
        <f>IFERROR(IF(Final_Sans_VGE[[#This Row],[ppn_z]]="","",IFERROR(
   IF(_xlfn.XLOOKUP(Final_Sans_VGE[[#This Row],[ppn_z]],tbl_Historique_Final[[#This Row],[ppn_z]],tbl_Historique_Final[[#This Row],[date_modif]])=Final_Sans_VGE[[#This Row],[date_modif]],
      "Ancien",
      "Modifié"),
   "Nouveau")),"")</f>
        <v/>
      </c>
    </row>
    <row r="4312" spans="24:30" x14ac:dyDescent="0.25">
      <c r="X4312" s="8" t="e">
        <f>IF(Final_Sans_VGE[[#This Row],[ppn_z]]="","",IFERROR(
   IF(_xlfn.XLOOKUP(Final_Sans_VGE[[#This Row],[ppn_z]],tbl_Historique_Final[ppn_z],tbl_Historique_Final[date_modif])=Final_Sans_VGE[[#This Row],[date_modif]],
      "Ancien",
      "Modifié"),
   "Nouveau"))</f>
        <v>#VALUE!</v>
      </c>
      <c r="AD4312" s="1" t="str">
        <f>IFERROR(IF(Final_Sans_VGE[[#This Row],[ppn_z]]="","",IFERROR(
   IF(_xlfn.XLOOKUP(Final_Sans_VGE[[#This Row],[ppn_z]],tbl_Historique_Final[[#This Row],[ppn_z]],tbl_Historique_Final[[#This Row],[date_modif]])=Final_Sans_VGE[[#This Row],[date_modif]],
      "Ancien",
      "Modifié"),
   "Nouveau")),"")</f>
        <v/>
      </c>
    </row>
    <row r="4313" spans="24:30" x14ac:dyDescent="0.25">
      <c r="X4313" s="8" t="e">
        <f>IF(Final_Sans_VGE[[#This Row],[ppn_z]]="","",IFERROR(
   IF(_xlfn.XLOOKUP(Final_Sans_VGE[[#This Row],[ppn_z]],tbl_Historique_Final[ppn_z],tbl_Historique_Final[date_modif])=Final_Sans_VGE[[#This Row],[date_modif]],
      "Ancien",
      "Modifié"),
   "Nouveau"))</f>
        <v>#VALUE!</v>
      </c>
      <c r="AD4313" s="1" t="str">
        <f>IFERROR(IF(Final_Sans_VGE[[#This Row],[ppn_z]]="","",IFERROR(
   IF(_xlfn.XLOOKUP(Final_Sans_VGE[[#This Row],[ppn_z]],tbl_Historique_Final[[#This Row],[ppn_z]],tbl_Historique_Final[[#This Row],[date_modif]])=Final_Sans_VGE[[#This Row],[date_modif]],
      "Ancien",
      "Modifié"),
   "Nouveau")),"")</f>
        <v/>
      </c>
    </row>
    <row r="4314" spans="24:30" x14ac:dyDescent="0.25">
      <c r="X4314" s="8" t="e">
        <f>IF(Final_Sans_VGE[[#This Row],[ppn_z]]="","",IFERROR(
   IF(_xlfn.XLOOKUP(Final_Sans_VGE[[#This Row],[ppn_z]],tbl_Historique_Final[ppn_z],tbl_Historique_Final[date_modif])=Final_Sans_VGE[[#This Row],[date_modif]],
      "Ancien",
      "Modifié"),
   "Nouveau"))</f>
        <v>#VALUE!</v>
      </c>
      <c r="AD4314" s="1" t="str">
        <f>IFERROR(IF(Final_Sans_VGE[[#This Row],[ppn_z]]="","",IFERROR(
   IF(_xlfn.XLOOKUP(Final_Sans_VGE[[#This Row],[ppn_z]],tbl_Historique_Final[[#This Row],[ppn_z]],tbl_Historique_Final[[#This Row],[date_modif]])=Final_Sans_VGE[[#This Row],[date_modif]],
      "Ancien",
      "Modifié"),
   "Nouveau")),"")</f>
        <v/>
      </c>
    </row>
    <row r="4315" spans="24:30" x14ac:dyDescent="0.25">
      <c r="X4315" s="8" t="e">
        <f>IF(Final_Sans_VGE[[#This Row],[ppn_z]]="","",IFERROR(
   IF(_xlfn.XLOOKUP(Final_Sans_VGE[[#This Row],[ppn_z]],tbl_Historique_Final[ppn_z],tbl_Historique_Final[date_modif])=Final_Sans_VGE[[#This Row],[date_modif]],
      "Ancien",
      "Modifié"),
   "Nouveau"))</f>
        <v>#VALUE!</v>
      </c>
      <c r="AD4315" s="1" t="str">
        <f>IFERROR(IF(Final_Sans_VGE[[#This Row],[ppn_z]]="","",IFERROR(
   IF(_xlfn.XLOOKUP(Final_Sans_VGE[[#This Row],[ppn_z]],tbl_Historique_Final[[#This Row],[ppn_z]],tbl_Historique_Final[[#This Row],[date_modif]])=Final_Sans_VGE[[#This Row],[date_modif]],
      "Ancien",
      "Modifié"),
   "Nouveau")),"")</f>
        <v/>
      </c>
    </row>
    <row r="4316" spans="24:30" x14ac:dyDescent="0.25">
      <c r="X4316" s="8" t="e">
        <f>IF(Final_Sans_VGE[[#This Row],[ppn_z]]="","",IFERROR(
   IF(_xlfn.XLOOKUP(Final_Sans_VGE[[#This Row],[ppn_z]],tbl_Historique_Final[ppn_z],tbl_Historique_Final[date_modif])=Final_Sans_VGE[[#This Row],[date_modif]],
      "Ancien",
      "Modifié"),
   "Nouveau"))</f>
        <v>#VALUE!</v>
      </c>
      <c r="AD4316" s="1" t="str">
        <f>IFERROR(IF(Final_Sans_VGE[[#This Row],[ppn_z]]="","",IFERROR(
   IF(_xlfn.XLOOKUP(Final_Sans_VGE[[#This Row],[ppn_z]],tbl_Historique_Final[[#This Row],[ppn_z]],tbl_Historique_Final[[#This Row],[date_modif]])=Final_Sans_VGE[[#This Row],[date_modif]],
      "Ancien",
      "Modifié"),
   "Nouveau")),"")</f>
        <v/>
      </c>
    </row>
    <row r="4317" spans="24:30" x14ac:dyDescent="0.25">
      <c r="X4317" s="8" t="e">
        <f>IF(Final_Sans_VGE[[#This Row],[ppn_z]]="","",IFERROR(
   IF(_xlfn.XLOOKUP(Final_Sans_VGE[[#This Row],[ppn_z]],tbl_Historique_Final[ppn_z],tbl_Historique_Final[date_modif])=Final_Sans_VGE[[#This Row],[date_modif]],
      "Ancien",
      "Modifié"),
   "Nouveau"))</f>
        <v>#VALUE!</v>
      </c>
      <c r="AD4317" s="1" t="str">
        <f>IFERROR(IF(Final_Sans_VGE[[#This Row],[ppn_z]]="","",IFERROR(
   IF(_xlfn.XLOOKUP(Final_Sans_VGE[[#This Row],[ppn_z]],tbl_Historique_Final[[#This Row],[ppn_z]],tbl_Historique_Final[[#This Row],[date_modif]])=Final_Sans_VGE[[#This Row],[date_modif]],
      "Ancien",
      "Modifié"),
   "Nouveau")),"")</f>
        <v/>
      </c>
    </row>
    <row r="4318" spans="24:30" x14ac:dyDescent="0.25">
      <c r="X4318" s="8" t="e">
        <f>IF(Final_Sans_VGE[[#This Row],[ppn_z]]="","",IFERROR(
   IF(_xlfn.XLOOKUP(Final_Sans_VGE[[#This Row],[ppn_z]],tbl_Historique_Final[ppn_z],tbl_Historique_Final[date_modif])=Final_Sans_VGE[[#This Row],[date_modif]],
      "Ancien",
      "Modifié"),
   "Nouveau"))</f>
        <v>#VALUE!</v>
      </c>
      <c r="AD4318" s="1" t="str">
        <f>IFERROR(IF(Final_Sans_VGE[[#This Row],[ppn_z]]="","",IFERROR(
   IF(_xlfn.XLOOKUP(Final_Sans_VGE[[#This Row],[ppn_z]],tbl_Historique_Final[[#This Row],[ppn_z]],tbl_Historique_Final[[#This Row],[date_modif]])=Final_Sans_VGE[[#This Row],[date_modif]],
      "Ancien",
      "Modifié"),
   "Nouveau")),"")</f>
        <v/>
      </c>
    </row>
    <row r="4319" spans="24:30" x14ac:dyDescent="0.25">
      <c r="X4319" s="8" t="e">
        <f>IF(Final_Sans_VGE[[#This Row],[ppn_z]]="","",IFERROR(
   IF(_xlfn.XLOOKUP(Final_Sans_VGE[[#This Row],[ppn_z]],tbl_Historique_Final[ppn_z],tbl_Historique_Final[date_modif])=Final_Sans_VGE[[#This Row],[date_modif]],
      "Ancien",
      "Modifié"),
   "Nouveau"))</f>
        <v>#VALUE!</v>
      </c>
      <c r="AD4319" s="1" t="str">
        <f>IFERROR(IF(Final_Sans_VGE[[#This Row],[ppn_z]]="","",IFERROR(
   IF(_xlfn.XLOOKUP(Final_Sans_VGE[[#This Row],[ppn_z]],tbl_Historique_Final[[#This Row],[ppn_z]],tbl_Historique_Final[[#This Row],[date_modif]])=Final_Sans_VGE[[#This Row],[date_modif]],
      "Ancien",
      "Modifié"),
   "Nouveau")),"")</f>
        <v/>
      </c>
    </row>
    <row r="4320" spans="24:30" x14ac:dyDescent="0.25">
      <c r="X4320" s="8" t="e">
        <f>IF(Final_Sans_VGE[[#This Row],[ppn_z]]="","",IFERROR(
   IF(_xlfn.XLOOKUP(Final_Sans_VGE[[#This Row],[ppn_z]],tbl_Historique_Final[ppn_z],tbl_Historique_Final[date_modif])=Final_Sans_VGE[[#This Row],[date_modif]],
      "Ancien",
      "Modifié"),
   "Nouveau"))</f>
        <v>#VALUE!</v>
      </c>
      <c r="AD4320" s="1" t="str">
        <f>IFERROR(IF(Final_Sans_VGE[[#This Row],[ppn_z]]="","",IFERROR(
   IF(_xlfn.XLOOKUP(Final_Sans_VGE[[#This Row],[ppn_z]],tbl_Historique_Final[[#This Row],[ppn_z]],tbl_Historique_Final[[#This Row],[date_modif]])=Final_Sans_VGE[[#This Row],[date_modif]],
      "Ancien",
      "Modifié"),
   "Nouveau")),"")</f>
        <v/>
      </c>
    </row>
    <row r="4321" spans="24:30" x14ac:dyDescent="0.25">
      <c r="X4321" s="8" t="e">
        <f>IF(Final_Sans_VGE[[#This Row],[ppn_z]]="","",IFERROR(
   IF(_xlfn.XLOOKUP(Final_Sans_VGE[[#This Row],[ppn_z]],tbl_Historique_Final[ppn_z],tbl_Historique_Final[date_modif])=Final_Sans_VGE[[#This Row],[date_modif]],
      "Ancien",
      "Modifié"),
   "Nouveau"))</f>
        <v>#VALUE!</v>
      </c>
      <c r="AD4321" s="1" t="str">
        <f>IFERROR(IF(Final_Sans_VGE[[#This Row],[ppn_z]]="","",IFERROR(
   IF(_xlfn.XLOOKUP(Final_Sans_VGE[[#This Row],[ppn_z]],tbl_Historique_Final[[#This Row],[ppn_z]],tbl_Historique_Final[[#This Row],[date_modif]])=Final_Sans_VGE[[#This Row],[date_modif]],
      "Ancien",
      "Modifié"),
   "Nouveau")),"")</f>
        <v/>
      </c>
    </row>
    <row r="4322" spans="24:30" x14ac:dyDescent="0.25">
      <c r="X4322" s="8" t="e">
        <f>IF(Final_Sans_VGE[[#This Row],[ppn_z]]="","",IFERROR(
   IF(_xlfn.XLOOKUP(Final_Sans_VGE[[#This Row],[ppn_z]],tbl_Historique_Final[ppn_z],tbl_Historique_Final[date_modif])=Final_Sans_VGE[[#This Row],[date_modif]],
      "Ancien",
      "Modifié"),
   "Nouveau"))</f>
        <v>#VALUE!</v>
      </c>
      <c r="AD4322" s="1" t="str">
        <f>IFERROR(IF(Final_Sans_VGE[[#This Row],[ppn_z]]="","",IFERROR(
   IF(_xlfn.XLOOKUP(Final_Sans_VGE[[#This Row],[ppn_z]],tbl_Historique_Final[[#This Row],[ppn_z]],tbl_Historique_Final[[#This Row],[date_modif]])=Final_Sans_VGE[[#This Row],[date_modif]],
      "Ancien",
      "Modifié"),
   "Nouveau")),"")</f>
        <v/>
      </c>
    </row>
    <row r="4323" spans="24:30" x14ac:dyDescent="0.25">
      <c r="X4323" s="8" t="e">
        <f>IF(Final_Sans_VGE[[#This Row],[ppn_z]]="","",IFERROR(
   IF(_xlfn.XLOOKUP(Final_Sans_VGE[[#This Row],[ppn_z]],tbl_Historique_Final[ppn_z],tbl_Historique_Final[date_modif])=Final_Sans_VGE[[#This Row],[date_modif]],
      "Ancien",
      "Modifié"),
   "Nouveau"))</f>
        <v>#VALUE!</v>
      </c>
      <c r="AD4323" s="1" t="str">
        <f>IFERROR(IF(Final_Sans_VGE[[#This Row],[ppn_z]]="","",IFERROR(
   IF(_xlfn.XLOOKUP(Final_Sans_VGE[[#This Row],[ppn_z]],tbl_Historique_Final[[#This Row],[ppn_z]],tbl_Historique_Final[[#This Row],[date_modif]])=Final_Sans_VGE[[#This Row],[date_modif]],
      "Ancien",
      "Modifié"),
   "Nouveau")),"")</f>
        <v/>
      </c>
    </row>
    <row r="4324" spans="24:30" x14ac:dyDescent="0.25">
      <c r="X4324" s="8" t="e">
        <f>IF(Final_Sans_VGE[[#This Row],[ppn_z]]="","",IFERROR(
   IF(_xlfn.XLOOKUP(Final_Sans_VGE[[#This Row],[ppn_z]],tbl_Historique_Final[ppn_z],tbl_Historique_Final[date_modif])=Final_Sans_VGE[[#This Row],[date_modif]],
      "Ancien",
      "Modifié"),
   "Nouveau"))</f>
        <v>#VALUE!</v>
      </c>
      <c r="AD4324" s="1" t="str">
        <f>IFERROR(IF(Final_Sans_VGE[[#This Row],[ppn_z]]="","",IFERROR(
   IF(_xlfn.XLOOKUP(Final_Sans_VGE[[#This Row],[ppn_z]],tbl_Historique_Final[[#This Row],[ppn_z]],tbl_Historique_Final[[#This Row],[date_modif]])=Final_Sans_VGE[[#This Row],[date_modif]],
      "Ancien",
      "Modifié"),
   "Nouveau")),"")</f>
        <v/>
      </c>
    </row>
    <row r="4325" spans="24:30" x14ac:dyDescent="0.25">
      <c r="X4325" s="8" t="e">
        <f>IF(Final_Sans_VGE[[#This Row],[ppn_z]]="","",IFERROR(
   IF(_xlfn.XLOOKUP(Final_Sans_VGE[[#This Row],[ppn_z]],tbl_Historique_Final[ppn_z],tbl_Historique_Final[date_modif])=Final_Sans_VGE[[#This Row],[date_modif]],
      "Ancien",
      "Modifié"),
   "Nouveau"))</f>
        <v>#VALUE!</v>
      </c>
      <c r="AD4325" s="1" t="str">
        <f>IFERROR(IF(Final_Sans_VGE[[#This Row],[ppn_z]]="","",IFERROR(
   IF(_xlfn.XLOOKUP(Final_Sans_VGE[[#This Row],[ppn_z]],tbl_Historique_Final[[#This Row],[ppn_z]],tbl_Historique_Final[[#This Row],[date_modif]])=Final_Sans_VGE[[#This Row],[date_modif]],
      "Ancien",
      "Modifié"),
   "Nouveau")),"")</f>
        <v/>
      </c>
    </row>
    <row r="4326" spans="24:30" x14ac:dyDescent="0.25">
      <c r="X4326" s="8" t="e">
        <f>IF(Final_Sans_VGE[[#This Row],[ppn_z]]="","",IFERROR(
   IF(_xlfn.XLOOKUP(Final_Sans_VGE[[#This Row],[ppn_z]],tbl_Historique_Final[ppn_z],tbl_Historique_Final[date_modif])=Final_Sans_VGE[[#This Row],[date_modif]],
      "Ancien",
      "Modifié"),
   "Nouveau"))</f>
        <v>#VALUE!</v>
      </c>
      <c r="AD4326" s="1" t="str">
        <f>IFERROR(IF(Final_Sans_VGE[[#This Row],[ppn_z]]="","",IFERROR(
   IF(_xlfn.XLOOKUP(Final_Sans_VGE[[#This Row],[ppn_z]],tbl_Historique_Final[[#This Row],[ppn_z]],tbl_Historique_Final[[#This Row],[date_modif]])=Final_Sans_VGE[[#This Row],[date_modif]],
      "Ancien",
      "Modifié"),
   "Nouveau")),"")</f>
        <v/>
      </c>
    </row>
    <row r="4327" spans="24:30" x14ac:dyDescent="0.25">
      <c r="X4327" s="8" t="e">
        <f>IF(Final_Sans_VGE[[#This Row],[ppn_z]]="","",IFERROR(
   IF(_xlfn.XLOOKUP(Final_Sans_VGE[[#This Row],[ppn_z]],tbl_Historique_Final[ppn_z],tbl_Historique_Final[date_modif])=Final_Sans_VGE[[#This Row],[date_modif]],
      "Ancien",
      "Modifié"),
   "Nouveau"))</f>
        <v>#VALUE!</v>
      </c>
      <c r="AD4327" s="1" t="str">
        <f>IFERROR(IF(Final_Sans_VGE[[#This Row],[ppn_z]]="","",IFERROR(
   IF(_xlfn.XLOOKUP(Final_Sans_VGE[[#This Row],[ppn_z]],tbl_Historique_Final[[#This Row],[ppn_z]],tbl_Historique_Final[[#This Row],[date_modif]])=Final_Sans_VGE[[#This Row],[date_modif]],
      "Ancien",
      "Modifié"),
   "Nouveau")),"")</f>
        <v/>
      </c>
    </row>
    <row r="4328" spans="24:30" x14ac:dyDescent="0.25">
      <c r="X4328" s="8" t="e">
        <f>IF(Final_Sans_VGE[[#This Row],[ppn_z]]="","",IFERROR(
   IF(_xlfn.XLOOKUP(Final_Sans_VGE[[#This Row],[ppn_z]],tbl_Historique_Final[ppn_z],tbl_Historique_Final[date_modif])=Final_Sans_VGE[[#This Row],[date_modif]],
      "Ancien",
      "Modifié"),
   "Nouveau"))</f>
        <v>#VALUE!</v>
      </c>
      <c r="AD4328" s="1" t="str">
        <f>IFERROR(IF(Final_Sans_VGE[[#This Row],[ppn_z]]="","",IFERROR(
   IF(_xlfn.XLOOKUP(Final_Sans_VGE[[#This Row],[ppn_z]],tbl_Historique_Final[[#This Row],[ppn_z]],tbl_Historique_Final[[#This Row],[date_modif]])=Final_Sans_VGE[[#This Row],[date_modif]],
      "Ancien",
      "Modifié"),
   "Nouveau")),"")</f>
        <v/>
      </c>
    </row>
    <row r="4329" spans="24:30" x14ac:dyDescent="0.25">
      <c r="X4329" s="8" t="e">
        <f>IF(Final_Sans_VGE[[#This Row],[ppn_z]]="","",IFERROR(
   IF(_xlfn.XLOOKUP(Final_Sans_VGE[[#This Row],[ppn_z]],tbl_Historique_Final[ppn_z],tbl_Historique_Final[date_modif])=Final_Sans_VGE[[#This Row],[date_modif]],
      "Ancien",
      "Modifié"),
   "Nouveau"))</f>
        <v>#VALUE!</v>
      </c>
      <c r="AD4329" s="1" t="str">
        <f>IFERROR(IF(Final_Sans_VGE[[#This Row],[ppn_z]]="","",IFERROR(
   IF(_xlfn.XLOOKUP(Final_Sans_VGE[[#This Row],[ppn_z]],tbl_Historique_Final[[#This Row],[ppn_z]],tbl_Historique_Final[[#This Row],[date_modif]])=Final_Sans_VGE[[#This Row],[date_modif]],
      "Ancien",
      "Modifié"),
   "Nouveau")),"")</f>
        <v/>
      </c>
    </row>
    <row r="4330" spans="24:30" x14ac:dyDescent="0.25">
      <c r="X4330" s="8" t="e">
        <f>IF(Final_Sans_VGE[[#This Row],[ppn_z]]="","",IFERROR(
   IF(_xlfn.XLOOKUP(Final_Sans_VGE[[#This Row],[ppn_z]],tbl_Historique_Final[ppn_z],tbl_Historique_Final[date_modif])=Final_Sans_VGE[[#This Row],[date_modif]],
      "Ancien",
      "Modifié"),
   "Nouveau"))</f>
        <v>#VALUE!</v>
      </c>
      <c r="AD4330" s="1" t="str">
        <f>IFERROR(IF(Final_Sans_VGE[[#This Row],[ppn_z]]="","",IFERROR(
   IF(_xlfn.XLOOKUP(Final_Sans_VGE[[#This Row],[ppn_z]],tbl_Historique_Final[[#This Row],[ppn_z]],tbl_Historique_Final[[#This Row],[date_modif]])=Final_Sans_VGE[[#This Row],[date_modif]],
      "Ancien",
      "Modifié"),
   "Nouveau")),"")</f>
        <v/>
      </c>
    </row>
    <row r="4331" spans="24:30" x14ac:dyDescent="0.25">
      <c r="X4331" s="8" t="e">
        <f>IF(Final_Sans_VGE[[#This Row],[ppn_z]]="","",IFERROR(
   IF(_xlfn.XLOOKUP(Final_Sans_VGE[[#This Row],[ppn_z]],tbl_Historique_Final[ppn_z],tbl_Historique_Final[date_modif])=Final_Sans_VGE[[#This Row],[date_modif]],
      "Ancien",
      "Modifié"),
   "Nouveau"))</f>
        <v>#VALUE!</v>
      </c>
      <c r="AD4331" s="1" t="str">
        <f>IFERROR(IF(Final_Sans_VGE[[#This Row],[ppn_z]]="","",IFERROR(
   IF(_xlfn.XLOOKUP(Final_Sans_VGE[[#This Row],[ppn_z]],tbl_Historique_Final[[#This Row],[ppn_z]],tbl_Historique_Final[[#This Row],[date_modif]])=Final_Sans_VGE[[#This Row],[date_modif]],
      "Ancien",
      "Modifié"),
   "Nouveau")),"")</f>
        <v/>
      </c>
    </row>
    <row r="4332" spans="24:30" x14ac:dyDescent="0.25">
      <c r="X4332" s="8" t="e">
        <f>IF(Final_Sans_VGE[[#This Row],[ppn_z]]="","",IFERROR(
   IF(_xlfn.XLOOKUP(Final_Sans_VGE[[#This Row],[ppn_z]],tbl_Historique_Final[ppn_z],tbl_Historique_Final[date_modif])=Final_Sans_VGE[[#This Row],[date_modif]],
      "Ancien",
      "Modifié"),
   "Nouveau"))</f>
        <v>#VALUE!</v>
      </c>
      <c r="AD4332" s="1" t="str">
        <f>IFERROR(IF(Final_Sans_VGE[[#This Row],[ppn_z]]="","",IFERROR(
   IF(_xlfn.XLOOKUP(Final_Sans_VGE[[#This Row],[ppn_z]],tbl_Historique_Final[[#This Row],[ppn_z]],tbl_Historique_Final[[#This Row],[date_modif]])=Final_Sans_VGE[[#This Row],[date_modif]],
      "Ancien",
      "Modifié"),
   "Nouveau")),"")</f>
        <v/>
      </c>
    </row>
    <row r="4333" spans="24:30" x14ac:dyDescent="0.25">
      <c r="X4333" s="8" t="e">
        <f>IF(Final_Sans_VGE[[#This Row],[ppn_z]]="","",IFERROR(
   IF(_xlfn.XLOOKUP(Final_Sans_VGE[[#This Row],[ppn_z]],tbl_Historique_Final[ppn_z],tbl_Historique_Final[date_modif])=Final_Sans_VGE[[#This Row],[date_modif]],
      "Ancien",
      "Modifié"),
   "Nouveau"))</f>
        <v>#VALUE!</v>
      </c>
      <c r="AD4333" s="1" t="str">
        <f>IFERROR(IF(Final_Sans_VGE[[#This Row],[ppn_z]]="","",IFERROR(
   IF(_xlfn.XLOOKUP(Final_Sans_VGE[[#This Row],[ppn_z]],tbl_Historique_Final[[#This Row],[ppn_z]],tbl_Historique_Final[[#This Row],[date_modif]])=Final_Sans_VGE[[#This Row],[date_modif]],
      "Ancien",
      "Modifié"),
   "Nouveau")),"")</f>
        <v/>
      </c>
    </row>
    <row r="4334" spans="24:30" x14ac:dyDescent="0.25">
      <c r="X4334" s="8" t="e">
        <f>IF(Final_Sans_VGE[[#This Row],[ppn_z]]="","",IFERROR(
   IF(_xlfn.XLOOKUP(Final_Sans_VGE[[#This Row],[ppn_z]],tbl_Historique_Final[ppn_z],tbl_Historique_Final[date_modif])=Final_Sans_VGE[[#This Row],[date_modif]],
      "Ancien",
      "Modifié"),
   "Nouveau"))</f>
        <v>#VALUE!</v>
      </c>
      <c r="AD4334" s="1" t="str">
        <f>IFERROR(IF(Final_Sans_VGE[[#This Row],[ppn_z]]="","",IFERROR(
   IF(_xlfn.XLOOKUP(Final_Sans_VGE[[#This Row],[ppn_z]],tbl_Historique_Final[[#This Row],[ppn_z]],tbl_Historique_Final[[#This Row],[date_modif]])=Final_Sans_VGE[[#This Row],[date_modif]],
      "Ancien",
      "Modifié"),
   "Nouveau")),"")</f>
        <v/>
      </c>
    </row>
    <row r="4335" spans="24:30" x14ac:dyDescent="0.25">
      <c r="X4335" s="8" t="e">
        <f>IF(Final_Sans_VGE[[#This Row],[ppn_z]]="","",IFERROR(
   IF(_xlfn.XLOOKUP(Final_Sans_VGE[[#This Row],[ppn_z]],tbl_Historique_Final[ppn_z],tbl_Historique_Final[date_modif])=Final_Sans_VGE[[#This Row],[date_modif]],
      "Ancien",
      "Modifié"),
   "Nouveau"))</f>
        <v>#VALUE!</v>
      </c>
      <c r="AD4335" s="1" t="str">
        <f>IFERROR(IF(Final_Sans_VGE[[#This Row],[ppn_z]]="","",IFERROR(
   IF(_xlfn.XLOOKUP(Final_Sans_VGE[[#This Row],[ppn_z]],tbl_Historique_Final[[#This Row],[ppn_z]],tbl_Historique_Final[[#This Row],[date_modif]])=Final_Sans_VGE[[#This Row],[date_modif]],
      "Ancien",
      "Modifié"),
   "Nouveau")),"")</f>
        <v/>
      </c>
    </row>
    <row r="4336" spans="24:30" x14ac:dyDescent="0.25">
      <c r="X4336" s="8" t="e">
        <f>IF(Final_Sans_VGE[[#This Row],[ppn_z]]="","",IFERROR(
   IF(_xlfn.XLOOKUP(Final_Sans_VGE[[#This Row],[ppn_z]],tbl_Historique_Final[ppn_z],tbl_Historique_Final[date_modif])=Final_Sans_VGE[[#This Row],[date_modif]],
      "Ancien",
      "Modifié"),
   "Nouveau"))</f>
        <v>#VALUE!</v>
      </c>
      <c r="AD4336" s="1" t="str">
        <f>IFERROR(IF(Final_Sans_VGE[[#This Row],[ppn_z]]="","",IFERROR(
   IF(_xlfn.XLOOKUP(Final_Sans_VGE[[#This Row],[ppn_z]],tbl_Historique_Final[[#This Row],[ppn_z]],tbl_Historique_Final[[#This Row],[date_modif]])=Final_Sans_VGE[[#This Row],[date_modif]],
      "Ancien",
      "Modifié"),
   "Nouveau")),"")</f>
        <v/>
      </c>
    </row>
    <row r="4337" spans="24:30" x14ac:dyDescent="0.25">
      <c r="X4337" s="8" t="e">
        <f>IF(Final_Sans_VGE[[#This Row],[ppn_z]]="","",IFERROR(
   IF(_xlfn.XLOOKUP(Final_Sans_VGE[[#This Row],[ppn_z]],tbl_Historique_Final[ppn_z],tbl_Historique_Final[date_modif])=Final_Sans_VGE[[#This Row],[date_modif]],
      "Ancien",
      "Modifié"),
   "Nouveau"))</f>
        <v>#VALUE!</v>
      </c>
      <c r="AD4337" s="1" t="str">
        <f>IFERROR(IF(Final_Sans_VGE[[#This Row],[ppn_z]]="","",IFERROR(
   IF(_xlfn.XLOOKUP(Final_Sans_VGE[[#This Row],[ppn_z]],tbl_Historique_Final[[#This Row],[ppn_z]],tbl_Historique_Final[[#This Row],[date_modif]])=Final_Sans_VGE[[#This Row],[date_modif]],
      "Ancien",
      "Modifié"),
   "Nouveau")),"")</f>
        <v/>
      </c>
    </row>
    <row r="4338" spans="24:30" x14ac:dyDescent="0.25">
      <c r="X4338" s="8" t="e">
        <f>IF(Final_Sans_VGE[[#This Row],[ppn_z]]="","",IFERROR(
   IF(_xlfn.XLOOKUP(Final_Sans_VGE[[#This Row],[ppn_z]],tbl_Historique_Final[ppn_z],tbl_Historique_Final[date_modif])=Final_Sans_VGE[[#This Row],[date_modif]],
      "Ancien",
      "Modifié"),
   "Nouveau"))</f>
        <v>#VALUE!</v>
      </c>
      <c r="AD4338" s="1" t="str">
        <f>IFERROR(IF(Final_Sans_VGE[[#This Row],[ppn_z]]="","",IFERROR(
   IF(_xlfn.XLOOKUP(Final_Sans_VGE[[#This Row],[ppn_z]],tbl_Historique_Final[[#This Row],[ppn_z]],tbl_Historique_Final[[#This Row],[date_modif]])=Final_Sans_VGE[[#This Row],[date_modif]],
      "Ancien",
      "Modifié"),
   "Nouveau")),"")</f>
        <v/>
      </c>
    </row>
    <row r="4339" spans="24:30" x14ac:dyDescent="0.25">
      <c r="X4339" s="8" t="e">
        <f>IF(Final_Sans_VGE[[#This Row],[ppn_z]]="","",IFERROR(
   IF(_xlfn.XLOOKUP(Final_Sans_VGE[[#This Row],[ppn_z]],tbl_Historique_Final[ppn_z],tbl_Historique_Final[date_modif])=Final_Sans_VGE[[#This Row],[date_modif]],
      "Ancien",
      "Modifié"),
   "Nouveau"))</f>
        <v>#VALUE!</v>
      </c>
      <c r="AD4339" s="1" t="str">
        <f>IFERROR(IF(Final_Sans_VGE[[#This Row],[ppn_z]]="","",IFERROR(
   IF(_xlfn.XLOOKUP(Final_Sans_VGE[[#This Row],[ppn_z]],tbl_Historique_Final[[#This Row],[ppn_z]],tbl_Historique_Final[[#This Row],[date_modif]])=Final_Sans_VGE[[#This Row],[date_modif]],
      "Ancien",
      "Modifié"),
   "Nouveau")),"")</f>
        <v/>
      </c>
    </row>
    <row r="4340" spans="24:30" x14ac:dyDescent="0.25">
      <c r="X4340" s="8" t="e">
        <f>IF(Final_Sans_VGE[[#This Row],[ppn_z]]="","",IFERROR(
   IF(_xlfn.XLOOKUP(Final_Sans_VGE[[#This Row],[ppn_z]],tbl_Historique_Final[ppn_z],tbl_Historique_Final[date_modif])=Final_Sans_VGE[[#This Row],[date_modif]],
      "Ancien",
      "Modifié"),
   "Nouveau"))</f>
        <v>#VALUE!</v>
      </c>
      <c r="AD4340" s="1" t="str">
        <f>IFERROR(IF(Final_Sans_VGE[[#This Row],[ppn_z]]="","",IFERROR(
   IF(_xlfn.XLOOKUP(Final_Sans_VGE[[#This Row],[ppn_z]],tbl_Historique_Final[[#This Row],[ppn_z]],tbl_Historique_Final[[#This Row],[date_modif]])=Final_Sans_VGE[[#This Row],[date_modif]],
      "Ancien",
      "Modifié"),
   "Nouveau")),"")</f>
        <v/>
      </c>
    </row>
    <row r="4341" spans="24:30" x14ac:dyDescent="0.25">
      <c r="X4341" s="8" t="e">
        <f>IF(Final_Sans_VGE[[#This Row],[ppn_z]]="","",IFERROR(
   IF(_xlfn.XLOOKUP(Final_Sans_VGE[[#This Row],[ppn_z]],tbl_Historique_Final[ppn_z],tbl_Historique_Final[date_modif])=Final_Sans_VGE[[#This Row],[date_modif]],
      "Ancien",
      "Modifié"),
   "Nouveau"))</f>
        <v>#VALUE!</v>
      </c>
      <c r="AD4341" s="1" t="str">
        <f>IFERROR(IF(Final_Sans_VGE[[#This Row],[ppn_z]]="","",IFERROR(
   IF(_xlfn.XLOOKUP(Final_Sans_VGE[[#This Row],[ppn_z]],tbl_Historique_Final[[#This Row],[ppn_z]],tbl_Historique_Final[[#This Row],[date_modif]])=Final_Sans_VGE[[#This Row],[date_modif]],
      "Ancien",
      "Modifié"),
   "Nouveau")),"")</f>
        <v/>
      </c>
    </row>
    <row r="4342" spans="24:30" x14ac:dyDescent="0.25">
      <c r="X4342" s="8" t="e">
        <f>IF(Final_Sans_VGE[[#This Row],[ppn_z]]="","",IFERROR(
   IF(_xlfn.XLOOKUP(Final_Sans_VGE[[#This Row],[ppn_z]],tbl_Historique_Final[ppn_z],tbl_Historique_Final[date_modif])=Final_Sans_VGE[[#This Row],[date_modif]],
      "Ancien",
      "Modifié"),
   "Nouveau"))</f>
        <v>#VALUE!</v>
      </c>
      <c r="AD4342" s="1" t="str">
        <f>IFERROR(IF(Final_Sans_VGE[[#This Row],[ppn_z]]="","",IFERROR(
   IF(_xlfn.XLOOKUP(Final_Sans_VGE[[#This Row],[ppn_z]],tbl_Historique_Final[[#This Row],[ppn_z]],tbl_Historique_Final[[#This Row],[date_modif]])=Final_Sans_VGE[[#This Row],[date_modif]],
      "Ancien",
      "Modifié"),
   "Nouveau")),"")</f>
        <v/>
      </c>
    </row>
    <row r="4343" spans="24:30" x14ac:dyDescent="0.25">
      <c r="X4343" s="8" t="e">
        <f>IF(Final_Sans_VGE[[#This Row],[ppn_z]]="","",IFERROR(
   IF(_xlfn.XLOOKUP(Final_Sans_VGE[[#This Row],[ppn_z]],tbl_Historique_Final[ppn_z],tbl_Historique_Final[date_modif])=Final_Sans_VGE[[#This Row],[date_modif]],
      "Ancien",
      "Modifié"),
   "Nouveau"))</f>
        <v>#VALUE!</v>
      </c>
      <c r="AD4343" s="1" t="str">
        <f>IFERROR(IF(Final_Sans_VGE[[#This Row],[ppn_z]]="","",IFERROR(
   IF(_xlfn.XLOOKUP(Final_Sans_VGE[[#This Row],[ppn_z]],tbl_Historique_Final[[#This Row],[ppn_z]],tbl_Historique_Final[[#This Row],[date_modif]])=Final_Sans_VGE[[#This Row],[date_modif]],
      "Ancien",
      "Modifié"),
   "Nouveau")),"")</f>
        <v/>
      </c>
    </row>
    <row r="4344" spans="24:30" x14ac:dyDescent="0.25">
      <c r="X4344" s="8" t="e">
        <f>IF(Final_Sans_VGE[[#This Row],[ppn_z]]="","",IFERROR(
   IF(_xlfn.XLOOKUP(Final_Sans_VGE[[#This Row],[ppn_z]],tbl_Historique_Final[ppn_z],tbl_Historique_Final[date_modif])=Final_Sans_VGE[[#This Row],[date_modif]],
      "Ancien",
      "Modifié"),
   "Nouveau"))</f>
        <v>#VALUE!</v>
      </c>
      <c r="AD4344" s="1" t="str">
        <f>IFERROR(IF(Final_Sans_VGE[[#This Row],[ppn_z]]="","",IFERROR(
   IF(_xlfn.XLOOKUP(Final_Sans_VGE[[#This Row],[ppn_z]],tbl_Historique_Final[[#This Row],[ppn_z]],tbl_Historique_Final[[#This Row],[date_modif]])=Final_Sans_VGE[[#This Row],[date_modif]],
      "Ancien",
      "Modifié"),
   "Nouveau")),"")</f>
        <v/>
      </c>
    </row>
    <row r="4345" spans="24:30" x14ac:dyDescent="0.25">
      <c r="X4345" s="8" t="e">
        <f>IF(Final_Sans_VGE[[#This Row],[ppn_z]]="","",IFERROR(
   IF(_xlfn.XLOOKUP(Final_Sans_VGE[[#This Row],[ppn_z]],tbl_Historique_Final[ppn_z],tbl_Historique_Final[date_modif])=Final_Sans_VGE[[#This Row],[date_modif]],
      "Ancien",
      "Modifié"),
   "Nouveau"))</f>
        <v>#VALUE!</v>
      </c>
      <c r="AD4345" s="1" t="str">
        <f>IFERROR(IF(Final_Sans_VGE[[#This Row],[ppn_z]]="","",IFERROR(
   IF(_xlfn.XLOOKUP(Final_Sans_VGE[[#This Row],[ppn_z]],tbl_Historique_Final[[#This Row],[ppn_z]],tbl_Historique_Final[[#This Row],[date_modif]])=Final_Sans_VGE[[#This Row],[date_modif]],
      "Ancien",
      "Modifié"),
   "Nouveau")),"")</f>
        <v/>
      </c>
    </row>
    <row r="4346" spans="24:30" x14ac:dyDescent="0.25">
      <c r="X4346" s="8" t="e">
        <f>IF(Final_Sans_VGE[[#This Row],[ppn_z]]="","",IFERROR(
   IF(_xlfn.XLOOKUP(Final_Sans_VGE[[#This Row],[ppn_z]],tbl_Historique_Final[ppn_z],tbl_Historique_Final[date_modif])=Final_Sans_VGE[[#This Row],[date_modif]],
      "Ancien",
      "Modifié"),
   "Nouveau"))</f>
        <v>#VALUE!</v>
      </c>
      <c r="AD4346" s="1" t="str">
        <f>IFERROR(IF(Final_Sans_VGE[[#This Row],[ppn_z]]="","",IFERROR(
   IF(_xlfn.XLOOKUP(Final_Sans_VGE[[#This Row],[ppn_z]],tbl_Historique_Final[[#This Row],[ppn_z]],tbl_Historique_Final[[#This Row],[date_modif]])=Final_Sans_VGE[[#This Row],[date_modif]],
      "Ancien",
      "Modifié"),
   "Nouveau")),"")</f>
        <v/>
      </c>
    </row>
    <row r="4347" spans="24:30" x14ac:dyDescent="0.25">
      <c r="X4347" s="8" t="e">
        <f>IF(Final_Sans_VGE[[#This Row],[ppn_z]]="","",IFERROR(
   IF(_xlfn.XLOOKUP(Final_Sans_VGE[[#This Row],[ppn_z]],tbl_Historique_Final[ppn_z],tbl_Historique_Final[date_modif])=Final_Sans_VGE[[#This Row],[date_modif]],
      "Ancien",
      "Modifié"),
   "Nouveau"))</f>
        <v>#VALUE!</v>
      </c>
      <c r="AD4347" s="1" t="str">
        <f>IFERROR(IF(Final_Sans_VGE[[#This Row],[ppn_z]]="","",IFERROR(
   IF(_xlfn.XLOOKUP(Final_Sans_VGE[[#This Row],[ppn_z]],tbl_Historique_Final[[#This Row],[ppn_z]],tbl_Historique_Final[[#This Row],[date_modif]])=Final_Sans_VGE[[#This Row],[date_modif]],
      "Ancien",
      "Modifié"),
   "Nouveau")),"")</f>
        <v/>
      </c>
    </row>
    <row r="4348" spans="24:30" x14ac:dyDescent="0.25">
      <c r="X4348" s="8" t="e">
        <f>IF(Final_Sans_VGE[[#This Row],[ppn_z]]="","",IFERROR(
   IF(_xlfn.XLOOKUP(Final_Sans_VGE[[#This Row],[ppn_z]],tbl_Historique_Final[ppn_z],tbl_Historique_Final[date_modif])=Final_Sans_VGE[[#This Row],[date_modif]],
      "Ancien",
      "Modifié"),
   "Nouveau"))</f>
        <v>#VALUE!</v>
      </c>
      <c r="AD4348" s="1" t="str">
        <f>IFERROR(IF(Final_Sans_VGE[[#This Row],[ppn_z]]="","",IFERROR(
   IF(_xlfn.XLOOKUP(Final_Sans_VGE[[#This Row],[ppn_z]],tbl_Historique_Final[[#This Row],[ppn_z]],tbl_Historique_Final[[#This Row],[date_modif]])=Final_Sans_VGE[[#This Row],[date_modif]],
      "Ancien",
      "Modifié"),
   "Nouveau")),"")</f>
        <v/>
      </c>
    </row>
    <row r="4349" spans="24:30" x14ac:dyDescent="0.25">
      <c r="X4349" s="8" t="e">
        <f>IF(Final_Sans_VGE[[#This Row],[ppn_z]]="","",IFERROR(
   IF(_xlfn.XLOOKUP(Final_Sans_VGE[[#This Row],[ppn_z]],tbl_Historique_Final[ppn_z],tbl_Historique_Final[date_modif])=Final_Sans_VGE[[#This Row],[date_modif]],
      "Ancien",
      "Modifié"),
   "Nouveau"))</f>
        <v>#VALUE!</v>
      </c>
      <c r="AD4349" s="1" t="str">
        <f>IFERROR(IF(Final_Sans_VGE[[#This Row],[ppn_z]]="","",IFERROR(
   IF(_xlfn.XLOOKUP(Final_Sans_VGE[[#This Row],[ppn_z]],tbl_Historique_Final[[#This Row],[ppn_z]],tbl_Historique_Final[[#This Row],[date_modif]])=Final_Sans_VGE[[#This Row],[date_modif]],
      "Ancien",
      "Modifié"),
   "Nouveau")),"")</f>
        <v/>
      </c>
    </row>
    <row r="4350" spans="24:30" x14ac:dyDescent="0.25">
      <c r="X4350" s="8" t="e">
        <f>IF(Final_Sans_VGE[[#This Row],[ppn_z]]="","",IFERROR(
   IF(_xlfn.XLOOKUP(Final_Sans_VGE[[#This Row],[ppn_z]],tbl_Historique_Final[ppn_z],tbl_Historique_Final[date_modif])=Final_Sans_VGE[[#This Row],[date_modif]],
      "Ancien",
      "Modifié"),
   "Nouveau"))</f>
        <v>#VALUE!</v>
      </c>
      <c r="AD4350" s="1" t="str">
        <f>IFERROR(IF(Final_Sans_VGE[[#This Row],[ppn_z]]="","",IFERROR(
   IF(_xlfn.XLOOKUP(Final_Sans_VGE[[#This Row],[ppn_z]],tbl_Historique_Final[[#This Row],[ppn_z]],tbl_Historique_Final[[#This Row],[date_modif]])=Final_Sans_VGE[[#This Row],[date_modif]],
      "Ancien",
      "Modifié"),
   "Nouveau")),"")</f>
        <v/>
      </c>
    </row>
    <row r="4351" spans="24:30" x14ac:dyDescent="0.25">
      <c r="X4351" s="8" t="e">
        <f>IF(Final_Sans_VGE[[#This Row],[ppn_z]]="","",IFERROR(
   IF(_xlfn.XLOOKUP(Final_Sans_VGE[[#This Row],[ppn_z]],tbl_Historique_Final[ppn_z],tbl_Historique_Final[date_modif])=Final_Sans_VGE[[#This Row],[date_modif]],
      "Ancien",
      "Modifié"),
   "Nouveau"))</f>
        <v>#VALUE!</v>
      </c>
      <c r="AD4351" s="1" t="str">
        <f>IFERROR(IF(Final_Sans_VGE[[#This Row],[ppn_z]]="","",IFERROR(
   IF(_xlfn.XLOOKUP(Final_Sans_VGE[[#This Row],[ppn_z]],tbl_Historique_Final[[#This Row],[ppn_z]],tbl_Historique_Final[[#This Row],[date_modif]])=Final_Sans_VGE[[#This Row],[date_modif]],
      "Ancien",
      "Modifié"),
   "Nouveau")),"")</f>
        <v/>
      </c>
    </row>
    <row r="4352" spans="24:30" x14ac:dyDescent="0.25">
      <c r="X4352" s="8" t="e">
        <f>IF(Final_Sans_VGE[[#This Row],[ppn_z]]="","",IFERROR(
   IF(_xlfn.XLOOKUP(Final_Sans_VGE[[#This Row],[ppn_z]],tbl_Historique_Final[ppn_z],tbl_Historique_Final[date_modif])=Final_Sans_VGE[[#This Row],[date_modif]],
      "Ancien",
      "Modifié"),
   "Nouveau"))</f>
        <v>#VALUE!</v>
      </c>
      <c r="AD4352" s="1" t="str">
        <f>IFERROR(IF(Final_Sans_VGE[[#This Row],[ppn_z]]="","",IFERROR(
   IF(_xlfn.XLOOKUP(Final_Sans_VGE[[#This Row],[ppn_z]],tbl_Historique_Final[[#This Row],[ppn_z]],tbl_Historique_Final[[#This Row],[date_modif]])=Final_Sans_VGE[[#This Row],[date_modif]],
      "Ancien",
      "Modifié"),
   "Nouveau")),"")</f>
        <v/>
      </c>
    </row>
    <row r="4353" spans="24:30" x14ac:dyDescent="0.25">
      <c r="X4353" s="8" t="e">
        <f>IF(Final_Sans_VGE[[#This Row],[ppn_z]]="","",IFERROR(
   IF(_xlfn.XLOOKUP(Final_Sans_VGE[[#This Row],[ppn_z]],tbl_Historique_Final[ppn_z],tbl_Historique_Final[date_modif])=Final_Sans_VGE[[#This Row],[date_modif]],
      "Ancien",
      "Modifié"),
   "Nouveau"))</f>
        <v>#VALUE!</v>
      </c>
      <c r="AD4353" s="1" t="str">
        <f>IFERROR(IF(Final_Sans_VGE[[#This Row],[ppn_z]]="","",IFERROR(
   IF(_xlfn.XLOOKUP(Final_Sans_VGE[[#This Row],[ppn_z]],tbl_Historique_Final[[#This Row],[ppn_z]],tbl_Historique_Final[[#This Row],[date_modif]])=Final_Sans_VGE[[#This Row],[date_modif]],
      "Ancien",
      "Modifié"),
   "Nouveau")),"")</f>
        <v/>
      </c>
    </row>
    <row r="4354" spans="24:30" x14ac:dyDescent="0.25">
      <c r="X4354" s="8" t="e">
        <f>IF(Final_Sans_VGE[[#This Row],[ppn_z]]="","",IFERROR(
   IF(_xlfn.XLOOKUP(Final_Sans_VGE[[#This Row],[ppn_z]],tbl_Historique_Final[ppn_z],tbl_Historique_Final[date_modif])=Final_Sans_VGE[[#This Row],[date_modif]],
      "Ancien",
      "Modifié"),
   "Nouveau"))</f>
        <v>#VALUE!</v>
      </c>
      <c r="AD4354" s="1" t="str">
        <f>IFERROR(IF(Final_Sans_VGE[[#This Row],[ppn_z]]="","",IFERROR(
   IF(_xlfn.XLOOKUP(Final_Sans_VGE[[#This Row],[ppn_z]],tbl_Historique_Final[[#This Row],[ppn_z]],tbl_Historique_Final[[#This Row],[date_modif]])=Final_Sans_VGE[[#This Row],[date_modif]],
      "Ancien",
      "Modifié"),
   "Nouveau")),"")</f>
        <v/>
      </c>
    </row>
    <row r="4355" spans="24:30" x14ac:dyDescent="0.25">
      <c r="X4355" s="8" t="e">
        <f>IF(Final_Sans_VGE[[#This Row],[ppn_z]]="","",IFERROR(
   IF(_xlfn.XLOOKUP(Final_Sans_VGE[[#This Row],[ppn_z]],tbl_Historique_Final[ppn_z],tbl_Historique_Final[date_modif])=Final_Sans_VGE[[#This Row],[date_modif]],
      "Ancien",
      "Modifié"),
   "Nouveau"))</f>
        <v>#VALUE!</v>
      </c>
      <c r="AD4355" s="1" t="str">
        <f>IFERROR(IF(Final_Sans_VGE[[#This Row],[ppn_z]]="","",IFERROR(
   IF(_xlfn.XLOOKUP(Final_Sans_VGE[[#This Row],[ppn_z]],tbl_Historique_Final[[#This Row],[ppn_z]],tbl_Historique_Final[[#This Row],[date_modif]])=Final_Sans_VGE[[#This Row],[date_modif]],
      "Ancien",
      "Modifié"),
   "Nouveau")),"")</f>
        <v/>
      </c>
    </row>
    <row r="4356" spans="24:30" x14ac:dyDescent="0.25">
      <c r="X4356" s="8" t="e">
        <f>IF(Final_Sans_VGE[[#This Row],[ppn_z]]="","",IFERROR(
   IF(_xlfn.XLOOKUP(Final_Sans_VGE[[#This Row],[ppn_z]],tbl_Historique_Final[ppn_z],tbl_Historique_Final[date_modif])=Final_Sans_VGE[[#This Row],[date_modif]],
      "Ancien",
      "Modifié"),
   "Nouveau"))</f>
        <v>#VALUE!</v>
      </c>
      <c r="AD4356" s="1" t="str">
        <f>IFERROR(IF(Final_Sans_VGE[[#This Row],[ppn_z]]="","",IFERROR(
   IF(_xlfn.XLOOKUP(Final_Sans_VGE[[#This Row],[ppn_z]],tbl_Historique_Final[[#This Row],[ppn_z]],tbl_Historique_Final[[#This Row],[date_modif]])=Final_Sans_VGE[[#This Row],[date_modif]],
      "Ancien",
      "Modifié"),
   "Nouveau")),"")</f>
        <v/>
      </c>
    </row>
    <row r="4357" spans="24:30" x14ac:dyDescent="0.25">
      <c r="X4357" s="8" t="e">
        <f>IF(Final_Sans_VGE[[#This Row],[ppn_z]]="","",IFERROR(
   IF(_xlfn.XLOOKUP(Final_Sans_VGE[[#This Row],[ppn_z]],tbl_Historique_Final[ppn_z],tbl_Historique_Final[date_modif])=Final_Sans_VGE[[#This Row],[date_modif]],
      "Ancien",
      "Modifié"),
   "Nouveau"))</f>
        <v>#VALUE!</v>
      </c>
      <c r="AD4357" s="1" t="str">
        <f>IFERROR(IF(Final_Sans_VGE[[#This Row],[ppn_z]]="","",IFERROR(
   IF(_xlfn.XLOOKUP(Final_Sans_VGE[[#This Row],[ppn_z]],tbl_Historique_Final[[#This Row],[ppn_z]],tbl_Historique_Final[[#This Row],[date_modif]])=Final_Sans_VGE[[#This Row],[date_modif]],
      "Ancien",
      "Modifié"),
   "Nouveau")),"")</f>
        <v/>
      </c>
    </row>
    <row r="4358" spans="24:30" x14ac:dyDescent="0.25">
      <c r="X4358" s="8" t="e">
        <f>IF(Final_Sans_VGE[[#This Row],[ppn_z]]="","",IFERROR(
   IF(_xlfn.XLOOKUP(Final_Sans_VGE[[#This Row],[ppn_z]],tbl_Historique_Final[ppn_z],tbl_Historique_Final[date_modif])=Final_Sans_VGE[[#This Row],[date_modif]],
      "Ancien",
      "Modifié"),
   "Nouveau"))</f>
        <v>#VALUE!</v>
      </c>
      <c r="AD4358" s="1" t="str">
        <f>IFERROR(IF(Final_Sans_VGE[[#This Row],[ppn_z]]="","",IFERROR(
   IF(_xlfn.XLOOKUP(Final_Sans_VGE[[#This Row],[ppn_z]],tbl_Historique_Final[[#This Row],[ppn_z]],tbl_Historique_Final[[#This Row],[date_modif]])=Final_Sans_VGE[[#This Row],[date_modif]],
      "Ancien",
      "Modifié"),
   "Nouveau")),"")</f>
        <v/>
      </c>
    </row>
    <row r="4359" spans="24:30" x14ac:dyDescent="0.25">
      <c r="X4359" s="8" t="e">
        <f>IF(Final_Sans_VGE[[#This Row],[ppn_z]]="","",IFERROR(
   IF(_xlfn.XLOOKUP(Final_Sans_VGE[[#This Row],[ppn_z]],tbl_Historique_Final[ppn_z],tbl_Historique_Final[date_modif])=Final_Sans_VGE[[#This Row],[date_modif]],
      "Ancien",
      "Modifié"),
   "Nouveau"))</f>
        <v>#VALUE!</v>
      </c>
      <c r="AD4359" s="1" t="str">
        <f>IFERROR(IF(Final_Sans_VGE[[#This Row],[ppn_z]]="","",IFERROR(
   IF(_xlfn.XLOOKUP(Final_Sans_VGE[[#This Row],[ppn_z]],tbl_Historique_Final[[#This Row],[ppn_z]],tbl_Historique_Final[[#This Row],[date_modif]])=Final_Sans_VGE[[#This Row],[date_modif]],
      "Ancien",
      "Modifié"),
   "Nouveau")),"")</f>
        <v/>
      </c>
    </row>
    <row r="4360" spans="24:30" x14ac:dyDescent="0.25">
      <c r="X4360" s="8" t="e">
        <f>IF(Final_Sans_VGE[[#This Row],[ppn_z]]="","",IFERROR(
   IF(_xlfn.XLOOKUP(Final_Sans_VGE[[#This Row],[ppn_z]],tbl_Historique_Final[ppn_z],tbl_Historique_Final[date_modif])=Final_Sans_VGE[[#This Row],[date_modif]],
      "Ancien",
      "Modifié"),
   "Nouveau"))</f>
        <v>#VALUE!</v>
      </c>
      <c r="AD4360" s="1" t="str">
        <f>IFERROR(IF(Final_Sans_VGE[[#This Row],[ppn_z]]="","",IFERROR(
   IF(_xlfn.XLOOKUP(Final_Sans_VGE[[#This Row],[ppn_z]],tbl_Historique_Final[[#This Row],[ppn_z]],tbl_Historique_Final[[#This Row],[date_modif]])=Final_Sans_VGE[[#This Row],[date_modif]],
      "Ancien",
      "Modifié"),
   "Nouveau")),"")</f>
        <v/>
      </c>
    </row>
    <row r="4361" spans="24:30" x14ac:dyDescent="0.25">
      <c r="X4361" s="8" t="e">
        <f>IF(Final_Sans_VGE[[#This Row],[ppn_z]]="","",IFERROR(
   IF(_xlfn.XLOOKUP(Final_Sans_VGE[[#This Row],[ppn_z]],tbl_Historique_Final[ppn_z],tbl_Historique_Final[date_modif])=Final_Sans_VGE[[#This Row],[date_modif]],
      "Ancien",
      "Modifié"),
   "Nouveau"))</f>
        <v>#VALUE!</v>
      </c>
      <c r="AD4361" s="1" t="str">
        <f>IFERROR(IF(Final_Sans_VGE[[#This Row],[ppn_z]]="","",IFERROR(
   IF(_xlfn.XLOOKUP(Final_Sans_VGE[[#This Row],[ppn_z]],tbl_Historique_Final[[#This Row],[ppn_z]],tbl_Historique_Final[[#This Row],[date_modif]])=Final_Sans_VGE[[#This Row],[date_modif]],
      "Ancien",
      "Modifié"),
   "Nouveau")),"")</f>
        <v/>
      </c>
    </row>
    <row r="4362" spans="24:30" x14ac:dyDescent="0.25">
      <c r="X4362" s="8" t="e">
        <f>IF(Final_Sans_VGE[[#This Row],[ppn_z]]="","",IFERROR(
   IF(_xlfn.XLOOKUP(Final_Sans_VGE[[#This Row],[ppn_z]],tbl_Historique_Final[ppn_z],tbl_Historique_Final[date_modif])=Final_Sans_VGE[[#This Row],[date_modif]],
      "Ancien",
      "Modifié"),
   "Nouveau"))</f>
        <v>#VALUE!</v>
      </c>
      <c r="AD4362" s="1" t="str">
        <f>IFERROR(IF(Final_Sans_VGE[[#This Row],[ppn_z]]="","",IFERROR(
   IF(_xlfn.XLOOKUP(Final_Sans_VGE[[#This Row],[ppn_z]],tbl_Historique_Final[[#This Row],[ppn_z]],tbl_Historique_Final[[#This Row],[date_modif]])=Final_Sans_VGE[[#This Row],[date_modif]],
      "Ancien",
      "Modifié"),
   "Nouveau")),"")</f>
        <v/>
      </c>
    </row>
    <row r="4363" spans="24:30" x14ac:dyDescent="0.25">
      <c r="X4363" s="8" t="e">
        <f>IF(Final_Sans_VGE[[#This Row],[ppn_z]]="","",IFERROR(
   IF(_xlfn.XLOOKUP(Final_Sans_VGE[[#This Row],[ppn_z]],tbl_Historique_Final[ppn_z],tbl_Historique_Final[date_modif])=Final_Sans_VGE[[#This Row],[date_modif]],
      "Ancien",
      "Modifié"),
   "Nouveau"))</f>
        <v>#VALUE!</v>
      </c>
      <c r="AD4363" s="1" t="str">
        <f>IFERROR(IF(Final_Sans_VGE[[#This Row],[ppn_z]]="","",IFERROR(
   IF(_xlfn.XLOOKUP(Final_Sans_VGE[[#This Row],[ppn_z]],tbl_Historique_Final[[#This Row],[ppn_z]],tbl_Historique_Final[[#This Row],[date_modif]])=Final_Sans_VGE[[#This Row],[date_modif]],
      "Ancien",
      "Modifié"),
   "Nouveau")),"")</f>
        <v/>
      </c>
    </row>
    <row r="4364" spans="24:30" x14ac:dyDescent="0.25">
      <c r="X4364" s="8" t="e">
        <f>IF(Final_Sans_VGE[[#This Row],[ppn_z]]="","",IFERROR(
   IF(_xlfn.XLOOKUP(Final_Sans_VGE[[#This Row],[ppn_z]],tbl_Historique_Final[ppn_z],tbl_Historique_Final[date_modif])=Final_Sans_VGE[[#This Row],[date_modif]],
      "Ancien",
      "Modifié"),
   "Nouveau"))</f>
        <v>#VALUE!</v>
      </c>
      <c r="AD4364" s="1" t="str">
        <f>IFERROR(IF(Final_Sans_VGE[[#This Row],[ppn_z]]="","",IFERROR(
   IF(_xlfn.XLOOKUP(Final_Sans_VGE[[#This Row],[ppn_z]],tbl_Historique_Final[[#This Row],[ppn_z]],tbl_Historique_Final[[#This Row],[date_modif]])=Final_Sans_VGE[[#This Row],[date_modif]],
      "Ancien",
      "Modifié"),
   "Nouveau")),"")</f>
        <v/>
      </c>
    </row>
    <row r="4365" spans="24:30" x14ac:dyDescent="0.25">
      <c r="X4365" s="8" t="e">
        <f>IF(Final_Sans_VGE[[#This Row],[ppn_z]]="","",IFERROR(
   IF(_xlfn.XLOOKUP(Final_Sans_VGE[[#This Row],[ppn_z]],tbl_Historique_Final[ppn_z],tbl_Historique_Final[date_modif])=Final_Sans_VGE[[#This Row],[date_modif]],
      "Ancien",
      "Modifié"),
   "Nouveau"))</f>
        <v>#VALUE!</v>
      </c>
      <c r="AD4365" s="1" t="str">
        <f>IFERROR(IF(Final_Sans_VGE[[#This Row],[ppn_z]]="","",IFERROR(
   IF(_xlfn.XLOOKUP(Final_Sans_VGE[[#This Row],[ppn_z]],tbl_Historique_Final[[#This Row],[ppn_z]],tbl_Historique_Final[[#This Row],[date_modif]])=Final_Sans_VGE[[#This Row],[date_modif]],
      "Ancien",
      "Modifié"),
   "Nouveau")),"")</f>
        <v/>
      </c>
    </row>
    <row r="4366" spans="24:30" x14ac:dyDescent="0.25">
      <c r="X4366" s="8" t="e">
        <f>IF(Final_Sans_VGE[[#This Row],[ppn_z]]="","",IFERROR(
   IF(_xlfn.XLOOKUP(Final_Sans_VGE[[#This Row],[ppn_z]],tbl_Historique_Final[ppn_z],tbl_Historique_Final[date_modif])=Final_Sans_VGE[[#This Row],[date_modif]],
      "Ancien",
      "Modifié"),
   "Nouveau"))</f>
        <v>#VALUE!</v>
      </c>
      <c r="AD4366" s="1" t="str">
        <f>IFERROR(IF(Final_Sans_VGE[[#This Row],[ppn_z]]="","",IFERROR(
   IF(_xlfn.XLOOKUP(Final_Sans_VGE[[#This Row],[ppn_z]],tbl_Historique_Final[[#This Row],[ppn_z]],tbl_Historique_Final[[#This Row],[date_modif]])=Final_Sans_VGE[[#This Row],[date_modif]],
      "Ancien",
      "Modifié"),
   "Nouveau")),"")</f>
        <v/>
      </c>
    </row>
    <row r="4367" spans="24:30" x14ac:dyDescent="0.25">
      <c r="X4367" s="8" t="e">
        <f>IF(Final_Sans_VGE[[#This Row],[ppn_z]]="","",IFERROR(
   IF(_xlfn.XLOOKUP(Final_Sans_VGE[[#This Row],[ppn_z]],tbl_Historique_Final[ppn_z],tbl_Historique_Final[date_modif])=Final_Sans_VGE[[#This Row],[date_modif]],
      "Ancien",
      "Modifié"),
   "Nouveau"))</f>
        <v>#VALUE!</v>
      </c>
      <c r="AD4367" s="1" t="str">
        <f>IFERROR(IF(Final_Sans_VGE[[#This Row],[ppn_z]]="","",IFERROR(
   IF(_xlfn.XLOOKUP(Final_Sans_VGE[[#This Row],[ppn_z]],tbl_Historique_Final[[#This Row],[ppn_z]],tbl_Historique_Final[[#This Row],[date_modif]])=Final_Sans_VGE[[#This Row],[date_modif]],
      "Ancien",
      "Modifié"),
   "Nouveau")),"")</f>
        <v/>
      </c>
    </row>
    <row r="4368" spans="24:30" x14ac:dyDescent="0.25">
      <c r="X4368" s="8" t="e">
        <f>IF(Final_Sans_VGE[[#This Row],[ppn_z]]="","",IFERROR(
   IF(_xlfn.XLOOKUP(Final_Sans_VGE[[#This Row],[ppn_z]],tbl_Historique_Final[ppn_z],tbl_Historique_Final[date_modif])=Final_Sans_VGE[[#This Row],[date_modif]],
      "Ancien",
      "Modifié"),
   "Nouveau"))</f>
        <v>#VALUE!</v>
      </c>
      <c r="AD4368" s="1" t="str">
        <f>IFERROR(IF(Final_Sans_VGE[[#This Row],[ppn_z]]="","",IFERROR(
   IF(_xlfn.XLOOKUP(Final_Sans_VGE[[#This Row],[ppn_z]],tbl_Historique_Final[[#This Row],[ppn_z]],tbl_Historique_Final[[#This Row],[date_modif]])=Final_Sans_VGE[[#This Row],[date_modif]],
      "Ancien",
      "Modifié"),
   "Nouveau")),"")</f>
        <v/>
      </c>
    </row>
    <row r="4369" spans="24:30" x14ac:dyDescent="0.25">
      <c r="X4369" s="8" t="e">
        <f>IF(Final_Sans_VGE[[#This Row],[ppn_z]]="","",IFERROR(
   IF(_xlfn.XLOOKUP(Final_Sans_VGE[[#This Row],[ppn_z]],tbl_Historique_Final[ppn_z],tbl_Historique_Final[date_modif])=Final_Sans_VGE[[#This Row],[date_modif]],
      "Ancien",
      "Modifié"),
   "Nouveau"))</f>
        <v>#VALUE!</v>
      </c>
      <c r="AD4369" s="1" t="str">
        <f>IFERROR(IF(Final_Sans_VGE[[#This Row],[ppn_z]]="","",IFERROR(
   IF(_xlfn.XLOOKUP(Final_Sans_VGE[[#This Row],[ppn_z]],tbl_Historique_Final[[#This Row],[ppn_z]],tbl_Historique_Final[[#This Row],[date_modif]])=Final_Sans_VGE[[#This Row],[date_modif]],
      "Ancien",
      "Modifié"),
   "Nouveau")),"")</f>
        <v/>
      </c>
    </row>
    <row r="4370" spans="24:30" x14ac:dyDescent="0.25">
      <c r="X4370" s="8" t="e">
        <f>IF(Final_Sans_VGE[[#This Row],[ppn_z]]="","",IFERROR(
   IF(_xlfn.XLOOKUP(Final_Sans_VGE[[#This Row],[ppn_z]],tbl_Historique_Final[ppn_z],tbl_Historique_Final[date_modif])=Final_Sans_VGE[[#This Row],[date_modif]],
      "Ancien",
      "Modifié"),
   "Nouveau"))</f>
        <v>#VALUE!</v>
      </c>
      <c r="AD4370" s="1" t="str">
        <f>IFERROR(IF(Final_Sans_VGE[[#This Row],[ppn_z]]="","",IFERROR(
   IF(_xlfn.XLOOKUP(Final_Sans_VGE[[#This Row],[ppn_z]],tbl_Historique_Final[[#This Row],[ppn_z]],tbl_Historique_Final[[#This Row],[date_modif]])=Final_Sans_VGE[[#This Row],[date_modif]],
      "Ancien",
      "Modifié"),
   "Nouveau")),"")</f>
        <v/>
      </c>
    </row>
    <row r="4371" spans="24:30" x14ac:dyDescent="0.25">
      <c r="X4371" s="8" t="e">
        <f>IF(Final_Sans_VGE[[#This Row],[ppn_z]]="","",IFERROR(
   IF(_xlfn.XLOOKUP(Final_Sans_VGE[[#This Row],[ppn_z]],tbl_Historique_Final[ppn_z],tbl_Historique_Final[date_modif])=Final_Sans_VGE[[#This Row],[date_modif]],
      "Ancien",
      "Modifié"),
   "Nouveau"))</f>
        <v>#VALUE!</v>
      </c>
      <c r="AD4371" s="1" t="str">
        <f>IFERROR(IF(Final_Sans_VGE[[#This Row],[ppn_z]]="","",IFERROR(
   IF(_xlfn.XLOOKUP(Final_Sans_VGE[[#This Row],[ppn_z]],tbl_Historique_Final[[#This Row],[ppn_z]],tbl_Historique_Final[[#This Row],[date_modif]])=Final_Sans_VGE[[#This Row],[date_modif]],
      "Ancien",
      "Modifié"),
   "Nouveau")),"")</f>
        <v/>
      </c>
    </row>
    <row r="4372" spans="24:30" x14ac:dyDescent="0.25">
      <c r="X4372" s="8" t="e">
        <f>IF(Final_Sans_VGE[[#This Row],[ppn_z]]="","",IFERROR(
   IF(_xlfn.XLOOKUP(Final_Sans_VGE[[#This Row],[ppn_z]],tbl_Historique_Final[ppn_z],tbl_Historique_Final[date_modif])=Final_Sans_VGE[[#This Row],[date_modif]],
      "Ancien",
      "Modifié"),
   "Nouveau"))</f>
        <v>#VALUE!</v>
      </c>
      <c r="AD4372" s="1" t="str">
        <f>IFERROR(IF(Final_Sans_VGE[[#This Row],[ppn_z]]="","",IFERROR(
   IF(_xlfn.XLOOKUP(Final_Sans_VGE[[#This Row],[ppn_z]],tbl_Historique_Final[[#This Row],[ppn_z]],tbl_Historique_Final[[#This Row],[date_modif]])=Final_Sans_VGE[[#This Row],[date_modif]],
      "Ancien",
      "Modifié"),
   "Nouveau")),"")</f>
        <v/>
      </c>
    </row>
    <row r="4373" spans="24:30" x14ac:dyDescent="0.25">
      <c r="X4373" s="8" t="e">
        <f>IF(Final_Sans_VGE[[#This Row],[ppn_z]]="","",IFERROR(
   IF(_xlfn.XLOOKUP(Final_Sans_VGE[[#This Row],[ppn_z]],tbl_Historique_Final[ppn_z],tbl_Historique_Final[date_modif])=Final_Sans_VGE[[#This Row],[date_modif]],
      "Ancien",
      "Modifié"),
   "Nouveau"))</f>
        <v>#VALUE!</v>
      </c>
      <c r="AD4373" s="1" t="str">
        <f>IFERROR(IF(Final_Sans_VGE[[#This Row],[ppn_z]]="","",IFERROR(
   IF(_xlfn.XLOOKUP(Final_Sans_VGE[[#This Row],[ppn_z]],tbl_Historique_Final[[#This Row],[ppn_z]],tbl_Historique_Final[[#This Row],[date_modif]])=Final_Sans_VGE[[#This Row],[date_modif]],
      "Ancien",
      "Modifié"),
   "Nouveau")),"")</f>
        <v/>
      </c>
    </row>
    <row r="4374" spans="24:30" x14ac:dyDescent="0.25">
      <c r="X4374" s="8" t="e">
        <f>IF(Final_Sans_VGE[[#This Row],[ppn_z]]="","",IFERROR(
   IF(_xlfn.XLOOKUP(Final_Sans_VGE[[#This Row],[ppn_z]],tbl_Historique_Final[ppn_z],tbl_Historique_Final[date_modif])=Final_Sans_VGE[[#This Row],[date_modif]],
      "Ancien",
      "Modifié"),
   "Nouveau"))</f>
        <v>#VALUE!</v>
      </c>
      <c r="AD4374" s="1" t="str">
        <f>IFERROR(IF(Final_Sans_VGE[[#This Row],[ppn_z]]="","",IFERROR(
   IF(_xlfn.XLOOKUP(Final_Sans_VGE[[#This Row],[ppn_z]],tbl_Historique_Final[[#This Row],[ppn_z]],tbl_Historique_Final[[#This Row],[date_modif]])=Final_Sans_VGE[[#This Row],[date_modif]],
      "Ancien",
      "Modifié"),
   "Nouveau")),"")</f>
        <v/>
      </c>
    </row>
    <row r="4375" spans="24:30" x14ac:dyDescent="0.25">
      <c r="X4375" s="8" t="e">
        <f>IF(Final_Sans_VGE[[#This Row],[ppn_z]]="","",IFERROR(
   IF(_xlfn.XLOOKUP(Final_Sans_VGE[[#This Row],[ppn_z]],tbl_Historique_Final[ppn_z],tbl_Historique_Final[date_modif])=Final_Sans_VGE[[#This Row],[date_modif]],
      "Ancien",
      "Modifié"),
   "Nouveau"))</f>
        <v>#VALUE!</v>
      </c>
      <c r="AD4375" s="1" t="str">
        <f>IFERROR(IF(Final_Sans_VGE[[#This Row],[ppn_z]]="","",IFERROR(
   IF(_xlfn.XLOOKUP(Final_Sans_VGE[[#This Row],[ppn_z]],tbl_Historique_Final[[#This Row],[ppn_z]],tbl_Historique_Final[[#This Row],[date_modif]])=Final_Sans_VGE[[#This Row],[date_modif]],
      "Ancien",
      "Modifié"),
   "Nouveau")),"")</f>
        <v/>
      </c>
    </row>
    <row r="4376" spans="24:30" x14ac:dyDescent="0.25">
      <c r="X4376" s="8" t="e">
        <f>IF(Final_Sans_VGE[[#This Row],[ppn_z]]="","",IFERROR(
   IF(_xlfn.XLOOKUP(Final_Sans_VGE[[#This Row],[ppn_z]],tbl_Historique_Final[ppn_z],tbl_Historique_Final[date_modif])=Final_Sans_VGE[[#This Row],[date_modif]],
      "Ancien",
      "Modifié"),
   "Nouveau"))</f>
        <v>#VALUE!</v>
      </c>
      <c r="AD4376" s="1" t="str">
        <f>IFERROR(IF(Final_Sans_VGE[[#This Row],[ppn_z]]="","",IFERROR(
   IF(_xlfn.XLOOKUP(Final_Sans_VGE[[#This Row],[ppn_z]],tbl_Historique_Final[[#This Row],[ppn_z]],tbl_Historique_Final[[#This Row],[date_modif]])=Final_Sans_VGE[[#This Row],[date_modif]],
      "Ancien",
      "Modifié"),
   "Nouveau")),"")</f>
        <v/>
      </c>
    </row>
    <row r="4377" spans="24:30" x14ac:dyDescent="0.25">
      <c r="X4377" s="8" t="e">
        <f>IF(Final_Sans_VGE[[#This Row],[ppn_z]]="","",IFERROR(
   IF(_xlfn.XLOOKUP(Final_Sans_VGE[[#This Row],[ppn_z]],tbl_Historique_Final[ppn_z],tbl_Historique_Final[date_modif])=Final_Sans_VGE[[#This Row],[date_modif]],
      "Ancien",
      "Modifié"),
   "Nouveau"))</f>
        <v>#VALUE!</v>
      </c>
      <c r="AD4377" s="1" t="str">
        <f>IFERROR(IF(Final_Sans_VGE[[#This Row],[ppn_z]]="","",IFERROR(
   IF(_xlfn.XLOOKUP(Final_Sans_VGE[[#This Row],[ppn_z]],tbl_Historique_Final[[#This Row],[ppn_z]],tbl_Historique_Final[[#This Row],[date_modif]])=Final_Sans_VGE[[#This Row],[date_modif]],
      "Ancien",
      "Modifié"),
   "Nouveau")),"")</f>
        <v/>
      </c>
    </row>
    <row r="4378" spans="24:30" x14ac:dyDescent="0.25">
      <c r="X4378" s="8" t="e">
        <f>IF(Final_Sans_VGE[[#This Row],[ppn_z]]="","",IFERROR(
   IF(_xlfn.XLOOKUP(Final_Sans_VGE[[#This Row],[ppn_z]],tbl_Historique_Final[ppn_z],tbl_Historique_Final[date_modif])=Final_Sans_VGE[[#This Row],[date_modif]],
      "Ancien",
      "Modifié"),
   "Nouveau"))</f>
        <v>#VALUE!</v>
      </c>
      <c r="AD4378" s="1" t="str">
        <f>IFERROR(IF(Final_Sans_VGE[[#This Row],[ppn_z]]="","",IFERROR(
   IF(_xlfn.XLOOKUP(Final_Sans_VGE[[#This Row],[ppn_z]],tbl_Historique_Final[[#This Row],[ppn_z]],tbl_Historique_Final[[#This Row],[date_modif]])=Final_Sans_VGE[[#This Row],[date_modif]],
      "Ancien",
      "Modifié"),
   "Nouveau")),"")</f>
        <v/>
      </c>
    </row>
    <row r="4379" spans="24:30" x14ac:dyDescent="0.25">
      <c r="X4379" s="8" t="e">
        <f>IF(Final_Sans_VGE[[#This Row],[ppn_z]]="","",IFERROR(
   IF(_xlfn.XLOOKUP(Final_Sans_VGE[[#This Row],[ppn_z]],tbl_Historique_Final[ppn_z],tbl_Historique_Final[date_modif])=Final_Sans_VGE[[#This Row],[date_modif]],
      "Ancien",
      "Modifié"),
   "Nouveau"))</f>
        <v>#VALUE!</v>
      </c>
      <c r="AD4379" s="1" t="str">
        <f>IFERROR(IF(Final_Sans_VGE[[#This Row],[ppn_z]]="","",IFERROR(
   IF(_xlfn.XLOOKUP(Final_Sans_VGE[[#This Row],[ppn_z]],tbl_Historique_Final[[#This Row],[ppn_z]],tbl_Historique_Final[[#This Row],[date_modif]])=Final_Sans_VGE[[#This Row],[date_modif]],
      "Ancien",
      "Modifié"),
   "Nouveau")),"")</f>
        <v/>
      </c>
    </row>
    <row r="4380" spans="24:30" x14ac:dyDescent="0.25">
      <c r="X4380" s="8" t="e">
        <f>IF(Final_Sans_VGE[[#This Row],[ppn_z]]="","",IFERROR(
   IF(_xlfn.XLOOKUP(Final_Sans_VGE[[#This Row],[ppn_z]],tbl_Historique_Final[ppn_z],tbl_Historique_Final[date_modif])=Final_Sans_VGE[[#This Row],[date_modif]],
      "Ancien",
      "Modifié"),
   "Nouveau"))</f>
        <v>#VALUE!</v>
      </c>
      <c r="AD4380" s="1" t="str">
        <f>IFERROR(IF(Final_Sans_VGE[[#This Row],[ppn_z]]="","",IFERROR(
   IF(_xlfn.XLOOKUP(Final_Sans_VGE[[#This Row],[ppn_z]],tbl_Historique_Final[[#This Row],[ppn_z]],tbl_Historique_Final[[#This Row],[date_modif]])=Final_Sans_VGE[[#This Row],[date_modif]],
      "Ancien",
      "Modifié"),
   "Nouveau")),"")</f>
        <v/>
      </c>
    </row>
    <row r="4381" spans="24:30" x14ac:dyDescent="0.25">
      <c r="X4381" s="8" t="e">
        <f>IF(Final_Sans_VGE[[#This Row],[ppn_z]]="","",IFERROR(
   IF(_xlfn.XLOOKUP(Final_Sans_VGE[[#This Row],[ppn_z]],tbl_Historique_Final[ppn_z],tbl_Historique_Final[date_modif])=Final_Sans_VGE[[#This Row],[date_modif]],
      "Ancien",
      "Modifié"),
   "Nouveau"))</f>
        <v>#VALUE!</v>
      </c>
      <c r="AD4381" s="1" t="str">
        <f>IFERROR(IF(Final_Sans_VGE[[#This Row],[ppn_z]]="","",IFERROR(
   IF(_xlfn.XLOOKUP(Final_Sans_VGE[[#This Row],[ppn_z]],tbl_Historique_Final[[#This Row],[ppn_z]],tbl_Historique_Final[[#This Row],[date_modif]])=Final_Sans_VGE[[#This Row],[date_modif]],
      "Ancien",
      "Modifié"),
   "Nouveau")),"")</f>
        <v/>
      </c>
    </row>
    <row r="4382" spans="24:30" x14ac:dyDescent="0.25">
      <c r="X4382" s="8" t="e">
        <f>IF(Final_Sans_VGE[[#This Row],[ppn_z]]="","",IFERROR(
   IF(_xlfn.XLOOKUP(Final_Sans_VGE[[#This Row],[ppn_z]],tbl_Historique_Final[ppn_z],tbl_Historique_Final[date_modif])=Final_Sans_VGE[[#This Row],[date_modif]],
      "Ancien",
      "Modifié"),
   "Nouveau"))</f>
        <v>#VALUE!</v>
      </c>
      <c r="AD4382" s="1" t="str">
        <f>IFERROR(IF(Final_Sans_VGE[[#This Row],[ppn_z]]="","",IFERROR(
   IF(_xlfn.XLOOKUP(Final_Sans_VGE[[#This Row],[ppn_z]],tbl_Historique_Final[[#This Row],[ppn_z]],tbl_Historique_Final[[#This Row],[date_modif]])=Final_Sans_VGE[[#This Row],[date_modif]],
      "Ancien",
      "Modifié"),
   "Nouveau")),"")</f>
        <v/>
      </c>
    </row>
    <row r="4383" spans="24:30" x14ac:dyDescent="0.25">
      <c r="X4383" s="8" t="e">
        <f>IF(Final_Sans_VGE[[#This Row],[ppn_z]]="","",IFERROR(
   IF(_xlfn.XLOOKUP(Final_Sans_VGE[[#This Row],[ppn_z]],tbl_Historique_Final[ppn_z],tbl_Historique_Final[date_modif])=Final_Sans_VGE[[#This Row],[date_modif]],
      "Ancien",
      "Modifié"),
   "Nouveau"))</f>
        <v>#VALUE!</v>
      </c>
      <c r="AD4383" s="1" t="str">
        <f>IFERROR(IF(Final_Sans_VGE[[#This Row],[ppn_z]]="","",IFERROR(
   IF(_xlfn.XLOOKUP(Final_Sans_VGE[[#This Row],[ppn_z]],tbl_Historique_Final[[#This Row],[ppn_z]],tbl_Historique_Final[[#This Row],[date_modif]])=Final_Sans_VGE[[#This Row],[date_modif]],
      "Ancien",
      "Modifié"),
   "Nouveau")),"")</f>
        <v/>
      </c>
    </row>
    <row r="4384" spans="24:30" x14ac:dyDescent="0.25">
      <c r="X4384" s="8" t="e">
        <f>IF(Final_Sans_VGE[[#This Row],[ppn_z]]="","",IFERROR(
   IF(_xlfn.XLOOKUP(Final_Sans_VGE[[#This Row],[ppn_z]],tbl_Historique_Final[ppn_z],tbl_Historique_Final[date_modif])=Final_Sans_VGE[[#This Row],[date_modif]],
      "Ancien",
      "Modifié"),
   "Nouveau"))</f>
        <v>#VALUE!</v>
      </c>
      <c r="AD4384" s="1" t="str">
        <f>IFERROR(IF(Final_Sans_VGE[[#This Row],[ppn_z]]="","",IFERROR(
   IF(_xlfn.XLOOKUP(Final_Sans_VGE[[#This Row],[ppn_z]],tbl_Historique_Final[[#This Row],[ppn_z]],tbl_Historique_Final[[#This Row],[date_modif]])=Final_Sans_VGE[[#This Row],[date_modif]],
      "Ancien",
      "Modifié"),
   "Nouveau")),"")</f>
        <v/>
      </c>
    </row>
    <row r="4385" spans="24:30" x14ac:dyDescent="0.25">
      <c r="X4385" s="8" t="e">
        <f>IF(Final_Sans_VGE[[#This Row],[ppn_z]]="","",IFERROR(
   IF(_xlfn.XLOOKUP(Final_Sans_VGE[[#This Row],[ppn_z]],tbl_Historique_Final[ppn_z],tbl_Historique_Final[date_modif])=Final_Sans_VGE[[#This Row],[date_modif]],
      "Ancien",
      "Modifié"),
   "Nouveau"))</f>
        <v>#VALUE!</v>
      </c>
      <c r="AD4385" s="1" t="str">
        <f>IFERROR(IF(Final_Sans_VGE[[#This Row],[ppn_z]]="","",IFERROR(
   IF(_xlfn.XLOOKUP(Final_Sans_VGE[[#This Row],[ppn_z]],tbl_Historique_Final[[#This Row],[ppn_z]],tbl_Historique_Final[[#This Row],[date_modif]])=Final_Sans_VGE[[#This Row],[date_modif]],
      "Ancien",
      "Modifié"),
   "Nouveau")),"")</f>
        <v/>
      </c>
    </row>
    <row r="4386" spans="24:30" x14ac:dyDescent="0.25">
      <c r="X4386" s="8" t="e">
        <f>IF(Final_Sans_VGE[[#This Row],[ppn_z]]="","",IFERROR(
   IF(_xlfn.XLOOKUP(Final_Sans_VGE[[#This Row],[ppn_z]],tbl_Historique_Final[ppn_z],tbl_Historique_Final[date_modif])=Final_Sans_VGE[[#This Row],[date_modif]],
      "Ancien",
      "Modifié"),
   "Nouveau"))</f>
        <v>#VALUE!</v>
      </c>
      <c r="AD4386" s="1" t="str">
        <f>IFERROR(IF(Final_Sans_VGE[[#This Row],[ppn_z]]="","",IFERROR(
   IF(_xlfn.XLOOKUP(Final_Sans_VGE[[#This Row],[ppn_z]],tbl_Historique_Final[[#This Row],[ppn_z]],tbl_Historique_Final[[#This Row],[date_modif]])=Final_Sans_VGE[[#This Row],[date_modif]],
      "Ancien",
      "Modifié"),
   "Nouveau")),"")</f>
        <v/>
      </c>
    </row>
    <row r="4387" spans="24:30" x14ac:dyDescent="0.25">
      <c r="X4387" s="8" t="e">
        <f>IF(Final_Sans_VGE[[#This Row],[ppn_z]]="","",IFERROR(
   IF(_xlfn.XLOOKUP(Final_Sans_VGE[[#This Row],[ppn_z]],tbl_Historique_Final[ppn_z],tbl_Historique_Final[date_modif])=Final_Sans_VGE[[#This Row],[date_modif]],
      "Ancien",
      "Modifié"),
   "Nouveau"))</f>
        <v>#VALUE!</v>
      </c>
      <c r="AD4387" s="1" t="str">
        <f>IFERROR(IF(Final_Sans_VGE[[#This Row],[ppn_z]]="","",IFERROR(
   IF(_xlfn.XLOOKUP(Final_Sans_VGE[[#This Row],[ppn_z]],tbl_Historique_Final[[#This Row],[ppn_z]],tbl_Historique_Final[[#This Row],[date_modif]])=Final_Sans_VGE[[#This Row],[date_modif]],
      "Ancien",
      "Modifié"),
   "Nouveau")),"")</f>
        <v/>
      </c>
    </row>
    <row r="4388" spans="24:30" x14ac:dyDescent="0.25">
      <c r="X4388" s="8" t="e">
        <f>IF(Final_Sans_VGE[[#This Row],[ppn_z]]="","",IFERROR(
   IF(_xlfn.XLOOKUP(Final_Sans_VGE[[#This Row],[ppn_z]],tbl_Historique_Final[ppn_z],tbl_Historique_Final[date_modif])=Final_Sans_VGE[[#This Row],[date_modif]],
      "Ancien",
      "Modifié"),
   "Nouveau"))</f>
        <v>#VALUE!</v>
      </c>
      <c r="AD4388" s="1" t="str">
        <f>IFERROR(IF(Final_Sans_VGE[[#This Row],[ppn_z]]="","",IFERROR(
   IF(_xlfn.XLOOKUP(Final_Sans_VGE[[#This Row],[ppn_z]],tbl_Historique_Final[[#This Row],[ppn_z]],tbl_Historique_Final[[#This Row],[date_modif]])=Final_Sans_VGE[[#This Row],[date_modif]],
      "Ancien",
      "Modifié"),
   "Nouveau")),"")</f>
        <v/>
      </c>
    </row>
    <row r="4389" spans="24:30" x14ac:dyDescent="0.25">
      <c r="X4389" s="8" t="e">
        <f>IF(Final_Sans_VGE[[#This Row],[ppn_z]]="","",IFERROR(
   IF(_xlfn.XLOOKUP(Final_Sans_VGE[[#This Row],[ppn_z]],tbl_Historique_Final[ppn_z],tbl_Historique_Final[date_modif])=Final_Sans_VGE[[#This Row],[date_modif]],
      "Ancien",
      "Modifié"),
   "Nouveau"))</f>
        <v>#VALUE!</v>
      </c>
      <c r="AD4389" s="1" t="str">
        <f>IFERROR(IF(Final_Sans_VGE[[#This Row],[ppn_z]]="","",IFERROR(
   IF(_xlfn.XLOOKUP(Final_Sans_VGE[[#This Row],[ppn_z]],tbl_Historique_Final[[#This Row],[ppn_z]],tbl_Historique_Final[[#This Row],[date_modif]])=Final_Sans_VGE[[#This Row],[date_modif]],
      "Ancien",
      "Modifié"),
   "Nouveau")),"")</f>
        <v/>
      </c>
    </row>
    <row r="4390" spans="24:30" x14ac:dyDescent="0.25">
      <c r="X4390" s="8" t="e">
        <f>IF(Final_Sans_VGE[[#This Row],[ppn_z]]="","",IFERROR(
   IF(_xlfn.XLOOKUP(Final_Sans_VGE[[#This Row],[ppn_z]],tbl_Historique_Final[ppn_z],tbl_Historique_Final[date_modif])=Final_Sans_VGE[[#This Row],[date_modif]],
      "Ancien",
      "Modifié"),
   "Nouveau"))</f>
        <v>#VALUE!</v>
      </c>
      <c r="AD4390" s="1" t="str">
        <f>IFERROR(IF(Final_Sans_VGE[[#This Row],[ppn_z]]="","",IFERROR(
   IF(_xlfn.XLOOKUP(Final_Sans_VGE[[#This Row],[ppn_z]],tbl_Historique_Final[[#This Row],[ppn_z]],tbl_Historique_Final[[#This Row],[date_modif]])=Final_Sans_VGE[[#This Row],[date_modif]],
      "Ancien",
      "Modifié"),
   "Nouveau")),"")</f>
        <v/>
      </c>
    </row>
    <row r="4391" spans="24:30" x14ac:dyDescent="0.25">
      <c r="X4391" s="8" t="e">
        <f>IF(Final_Sans_VGE[[#This Row],[ppn_z]]="","",IFERROR(
   IF(_xlfn.XLOOKUP(Final_Sans_VGE[[#This Row],[ppn_z]],tbl_Historique_Final[ppn_z],tbl_Historique_Final[date_modif])=Final_Sans_VGE[[#This Row],[date_modif]],
      "Ancien",
      "Modifié"),
   "Nouveau"))</f>
        <v>#VALUE!</v>
      </c>
      <c r="AD4391" s="1" t="str">
        <f>IFERROR(IF(Final_Sans_VGE[[#This Row],[ppn_z]]="","",IFERROR(
   IF(_xlfn.XLOOKUP(Final_Sans_VGE[[#This Row],[ppn_z]],tbl_Historique_Final[[#This Row],[ppn_z]],tbl_Historique_Final[[#This Row],[date_modif]])=Final_Sans_VGE[[#This Row],[date_modif]],
      "Ancien",
      "Modifié"),
   "Nouveau")),"")</f>
        <v/>
      </c>
    </row>
    <row r="4392" spans="24:30" x14ac:dyDescent="0.25">
      <c r="X4392" s="8" t="e">
        <f>IF(Final_Sans_VGE[[#This Row],[ppn_z]]="","",IFERROR(
   IF(_xlfn.XLOOKUP(Final_Sans_VGE[[#This Row],[ppn_z]],tbl_Historique_Final[ppn_z],tbl_Historique_Final[date_modif])=Final_Sans_VGE[[#This Row],[date_modif]],
      "Ancien",
      "Modifié"),
   "Nouveau"))</f>
        <v>#VALUE!</v>
      </c>
      <c r="AD4392" s="1" t="str">
        <f>IFERROR(IF(Final_Sans_VGE[[#This Row],[ppn_z]]="","",IFERROR(
   IF(_xlfn.XLOOKUP(Final_Sans_VGE[[#This Row],[ppn_z]],tbl_Historique_Final[[#This Row],[ppn_z]],tbl_Historique_Final[[#This Row],[date_modif]])=Final_Sans_VGE[[#This Row],[date_modif]],
      "Ancien",
      "Modifié"),
   "Nouveau")),"")</f>
        <v/>
      </c>
    </row>
    <row r="4393" spans="24:30" x14ac:dyDescent="0.25">
      <c r="X4393" s="8" t="e">
        <f>IF(Final_Sans_VGE[[#This Row],[ppn_z]]="","",IFERROR(
   IF(_xlfn.XLOOKUP(Final_Sans_VGE[[#This Row],[ppn_z]],tbl_Historique_Final[ppn_z],tbl_Historique_Final[date_modif])=Final_Sans_VGE[[#This Row],[date_modif]],
      "Ancien",
      "Modifié"),
   "Nouveau"))</f>
        <v>#VALUE!</v>
      </c>
      <c r="AD4393" s="1" t="str">
        <f>IFERROR(IF(Final_Sans_VGE[[#This Row],[ppn_z]]="","",IFERROR(
   IF(_xlfn.XLOOKUP(Final_Sans_VGE[[#This Row],[ppn_z]],tbl_Historique_Final[[#This Row],[ppn_z]],tbl_Historique_Final[[#This Row],[date_modif]])=Final_Sans_VGE[[#This Row],[date_modif]],
      "Ancien",
      "Modifié"),
   "Nouveau")),"")</f>
        <v/>
      </c>
    </row>
    <row r="4394" spans="24:30" x14ac:dyDescent="0.25">
      <c r="X4394" s="8" t="e">
        <f>IF(Final_Sans_VGE[[#This Row],[ppn_z]]="","",IFERROR(
   IF(_xlfn.XLOOKUP(Final_Sans_VGE[[#This Row],[ppn_z]],tbl_Historique_Final[ppn_z],tbl_Historique_Final[date_modif])=Final_Sans_VGE[[#This Row],[date_modif]],
      "Ancien",
      "Modifié"),
   "Nouveau"))</f>
        <v>#VALUE!</v>
      </c>
      <c r="AD4394" s="1" t="str">
        <f>IFERROR(IF(Final_Sans_VGE[[#This Row],[ppn_z]]="","",IFERROR(
   IF(_xlfn.XLOOKUP(Final_Sans_VGE[[#This Row],[ppn_z]],tbl_Historique_Final[[#This Row],[ppn_z]],tbl_Historique_Final[[#This Row],[date_modif]])=Final_Sans_VGE[[#This Row],[date_modif]],
      "Ancien",
      "Modifié"),
   "Nouveau")),"")</f>
        <v/>
      </c>
    </row>
    <row r="4395" spans="24:30" x14ac:dyDescent="0.25">
      <c r="X4395" s="8" t="e">
        <f>IF(Final_Sans_VGE[[#This Row],[ppn_z]]="","",IFERROR(
   IF(_xlfn.XLOOKUP(Final_Sans_VGE[[#This Row],[ppn_z]],tbl_Historique_Final[ppn_z],tbl_Historique_Final[date_modif])=Final_Sans_VGE[[#This Row],[date_modif]],
      "Ancien",
      "Modifié"),
   "Nouveau"))</f>
        <v>#VALUE!</v>
      </c>
      <c r="AD4395" s="1" t="str">
        <f>IFERROR(IF(Final_Sans_VGE[[#This Row],[ppn_z]]="","",IFERROR(
   IF(_xlfn.XLOOKUP(Final_Sans_VGE[[#This Row],[ppn_z]],tbl_Historique_Final[[#This Row],[ppn_z]],tbl_Historique_Final[[#This Row],[date_modif]])=Final_Sans_VGE[[#This Row],[date_modif]],
      "Ancien",
      "Modifié"),
   "Nouveau")),"")</f>
        <v/>
      </c>
    </row>
    <row r="4396" spans="24:30" x14ac:dyDescent="0.25">
      <c r="X4396" s="8" t="e">
        <f>IF(Final_Sans_VGE[[#This Row],[ppn_z]]="","",IFERROR(
   IF(_xlfn.XLOOKUP(Final_Sans_VGE[[#This Row],[ppn_z]],tbl_Historique_Final[ppn_z],tbl_Historique_Final[date_modif])=Final_Sans_VGE[[#This Row],[date_modif]],
      "Ancien",
      "Modifié"),
   "Nouveau"))</f>
        <v>#VALUE!</v>
      </c>
      <c r="AD4396" s="1" t="str">
        <f>IFERROR(IF(Final_Sans_VGE[[#This Row],[ppn_z]]="","",IFERROR(
   IF(_xlfn.XLOOKUP(Final_Sans_VGE[[#This Row],[ppn_z]],tbl_Historique_Final[[#This Row],[ppn_z]],tbl_Historique_Final[[#This Row],[date_modif]])=Final_Sans_VGE[[#This Row],[date_modif]],
      "Ancien",
      "Modifié"),
   "Nouveau")),"")</f>
        <v/>
      </c>
    </row>
    <row r="4397" spans="24:30" x14ac:dyDescent="0.25">
      <c r="X4397" s="8" t="e">
        <f>IF(Final_Sans_VGE[[#This Row],[ppn_z]]="","",IFERROR(
   IF(_xlfn.XLOOKUP(Final_Sans_VGE[[#This Row],[ppn_z]],tbl_Historique_Final[ppn_z],tbl_Historique_Final[date_modif])=Final_Sans_VGE[[#This Row],[date_modif]],
      "Ancien",
      "Modifié"),
   "Nouveau"))</f>
        <v>#VALUE!</v>
      </c>
      <c r="AD4397" s="1" t="str">
        <f>IFERROR(IF(Final_Sans_VGE[[#This Row],[ppn_z]]="","",IFERROR(
   IF(_xlfn.XLOOKUP(Final_Sans_VGE[[#This Row],[ppn_z]],tbl_Historique_Final[[#This Row],[ppn_z]],tbl_Historique_Final[[#This Row],[date_modif]])=Final_Sans_VGE[[#This Row],[date_modif]],
      "Ancien",
      "Modifié"),
   "Nouveau")),"")</f>
        <v/>
      </c>
    </row>
    <row r="4398" spans="24:30" x14ac:dyDescent="0.25">
      <c r="X4398" s="8" t="e">
        <f>IF(Final_Sans_VGE[[#This Row],[ppn_z]]="","",IFERROR(
   IF(_xlfn.XLOOKUP(Final_Sans_VGE[[#This Row],[ppn_z]],tbl_Historique_Final[ppn_z],tbl_Historique_Final[date_modif])=Final_Sans_VGE[[#This Row],[date_modif]],
      "Ancien",
      "Modifié"),
   "Nouveau"))</f>
        <v>#VALUE!</v>
      </c>
      <c r="AD4398" s="1" t="str">
        <f>IFERROR(IF(Final_Sans_VGE[[#This Row],[ppn_z]]="","",IFERROR(
   IF(_xlfn.XLOOKUP(Final_Sans_VGE[[#This Row],[ppn_z]],tbl_Historique_Final[[#This Row],[ppn_z]],tbl_Historique_Final[[#This Row],[date_modif]])=Final_Sans_VGE[[#This Row],[date_modif]],
      "Ancien",
      "Modifié"),
   "Nouveau")),"")</f>
        <v/>
      </c>
    </row>
    <row r="4399" spans="24:30" x14ac:dyDescent="0.25">
      <c r="X4399" s="8" t="e">
        <f>IF(Final_Sans_VGE[[#This Row],[ppn_z]]="","",IFERROR(
   IF(_xlfn.XLOOKUP(Final_Sans_VGE[[#This Row],[ppn_z]],tbl_Historique_Final[ppn_z],tbl_Historique_Final[date_modif])=Final_Sans_VGE[[#This Row],[date_modif]],
      "Ancien",
      "Modifié"),
   "Nouveau"))</f>
        <v>#VALUE!</v>
      </c>
      <c r="AD4399" s="1" t="str">
        <f>IFERROR(IF(Final_Sans_VGE[[#This Row],[ppn_z]]="","",IFERROR(
   IF(_xlfn.XLOOKUP(Final_Sans_VGE[[#This Row],[ppn_z]],tbl_Historique_Final[[#This Row],[ppn_z]],tbl_Historique_Final[[#This Row],[date_modif]])=Final_Sans_VGE[[#This Row],[date_modif]],
      "Ancien",
      "Modifié"),
   "Nouveau")),"")</f>
        <v/>
      </c>
    </row>
    <row r="4400" spans="24:30" x14ac:dyDescent="0.25">
      <c r="X4400" s="8" t="e">
        <f>IF(Final_Sans_VGE[[#This Row],[ppn_z]]="","",IFERROR(
   IF(_xlfn.XLOOKUP(Final_Sans_VGE[[#This Row],[ppn_z]],tbl_Historique_Final[ppn_z],tbl_Historique_Final[date_modif])=Final_Sans_VGE[[#This Row],[date_modif]],
      "Ancien",
      "Modifié"),
   "Nouveau"))</f>
        <v>#VALUE!</v>
      </c>
      <c r="AD4400" s="1" t="str">
        <f>IFERROR(IF(Final_Sans_VGE[[#This Row],[ppn_z]]="","",IFERROR(
   IF(_xlfn.XLOOKUP(Final_Sans_VGE[[#This Row],[ppn_z]],tbl_Historique_Final[[#This Row],[ppn_z]],tbl_Historique_Final[[#This Row],[date_modif]])=Final_Sans_VGE[[#This Row],[date_modif]],
      "Ancien",
      "Modifié"),
   "Nouveau")),"")</f>
        <v/>
      </c>
    </row>
    <row r="4401" spans="24:30" x14ac:dyDescent="0.25">
      <c r="X4401" s="8" t="e">
        <f>IF(Final_Sans_VGE[[#This Row],[ppn_z]]="","",IFERROR(
   IF(_xlfn.XLOOKUP(Final_Sans_VGE[[#This Row],[ppn_z]],tbl_Historique_Final[ppn_z],tbl_Historique_Final[date_modif])=Final_Sans_VGE[[#This Row],[date_modif]],
      "Ancien",
      "Modifié"),
   "Nouveau"))</f>
        <v>#VALUE!</v>
      </c>
      <c r="AD4401" s="1" t="str">
        <f>IFERROR(IF(Final_Sans_VGE[[#This Row],[ppn_z]]="","",IFERROR(
   IF(_xlfn.XLOOKUP(Final_Sans_VGE[[#This Row],[ppn_z]],tbl_Historique_Final[[#This Row],[ppn_z]],tbl_Historique_Final[[#This Row],[date_modif]])=Final_Sans_VGE[[#This Row],[date_modif]],
      "Ancien",
      "Modifié"),
   "Nouveau")),"")</f>
        <v/>
      </c>
    </row>
    <row r="4402" spans="24:30" x14ac:dyDescent="0.25">
      <c r="X4402" s="8" t="e">
        <f>IF(Final_Sans_VGE[[#This Row],[ppn_z]]="","",IFERROR(
   IF(_xlfn.XLOOKUP(Final_Sans_VGE[[#This Row],[ppn_z]],tbl_Historique_Final[ppn_z],tbl_Historique_Final[date_modif])=Final_Sans_VGE[[#This Row],[date_modif]],
      "Ancien",
      "Modifié"),
   "Nouveau"))</f>
        <v>#VALUE!</v>
      </c>
      <c r="AD4402" s="1" t="str">
        <f>IFERROR(IF(Final_Sans_VGE[[#This Row],[ppn_z]]="","",IFERROR(
   IF(_xlfn.XLOOKUP(Final_Sans_VGE[[#This Row],[ppn_z]],tbl_Historique_Final[[#This Row],[ppn_z]],tbl_Historique_Final[[#This Row],[date_modif]])=Final_Sans_VGE[[#This Row],[date_modif]],
      "Ancien",
      "Modifié"),
   "Nouveau")),"")</f>
        <v/>
      </c>
    </row>
    <row r="4403" spans="24:30" x14ac:dyDescent="0.25">
      <c r="X4403" s="8" t="e">
        <f>IF(Final_Sans_VGE[[#This Row],[ppn_z]]="","",IFERROR(
   IF(_xlfn.XLOOKUP(Final_Sans_VGE[[#This Row],[ppn_z]],tbl_Historique_Final[ppn_z],tbl_Historique_Final[date_modif])=Final_Sans_VGE[[#This Row],[date_modif]],
      "Ancien",
      "Modifié"),
   "Nouveau"))</f>
        <v>#VALUE!</v>
      </c>
      <c r="AD4403" s="1" t="str">
        <f>IFERROR(IF(Final_Sans_VGE[[#This Row],[ppn_z]]="","",IFERROR(
   IF(_xlfn.XLOOKUP(Final_Sans_VGE[[#This Row],[ppn_z]],tbl_Historique_Final[[#This Row],[ppn_z]],tbl_Historique_Final[[#This Row],[date_modif]])=Final_Sans_VGE[[#This Row],[date_modif]],
      "Ancien",
      "Modifié"),
   "Nouveau")),"")</f>
        <v/>
      </c>
    </row>
    <row r="4404" spans="24:30" x14ac:dyDescent="0.25">
      <c r="X4404" s="8" t="e">
        <f>IF(Final_Sans_VGE[[#This Row],[ppn_z]]="","",IFERROR(
   IF(_xlfn.XLOOKUP(Final_Sans_VGE[[#This Row],[ppn_z]],tbl_Historique_Final[ppn_z],tbl_Historique_Final[date_modif])=Final_Sans_VGE[[#This Row],[date_modif]],
      "Ancien",
      "Modifié"),
   "Nouveau"))</f>
        <v>#VALUE!</v>
      </c>
      <c r="AD4404" s="1" t="str">
        <f>IFERROR(IF(Final_Sans_VGE[[#This Row],[ppn_z]]="","",IFERROR(
   IF(_xlfn.XLOOKUP(Final_Sans_VGE[[#This Row],[ppn_z]],tbl_Historique_Final[[#This Row],[ppn_z]],tbl_Historique_Final[[#This Row],[date_modif]])=Final_Sans_VGE[[#This Row],[date_modif]],
      "Ancien",
      "Modifié"),
   "Nouveau")),"")</f>
        <v/>
      </c>
    </row>
    <row r="4405" spans="24:30" x14ac:dyDescent="0.25">
      <c r="X4405" s="8" t="e">
        <f>IF(Final_Sans_VGE[[#This Row],[ppn_z]]="","",IFERROR(
   IF(_xlfn.XLOOKUP(Final_Sans_VGE[[#This Row],[ppn_z]],tbl_Historique_Final[ppn_z],tbl_Historique_Final[date_modif])=Final_Sans_VGE[[#This Row],[date_modif]],
      "Ancien",
      "Modifié"),
   "Nouveau"))</f>
        <v>#VALUE!</v>
      </c>
      <c r="AD4405" s="1" t="str">
        <f>IFERROR(IF(Final_Sans_VGE[[#This Row],[ppn_z]]="","",IFERROR(
   IF(_xlfn.XLOOKUP(Final_Sans_VGE[[#This Row],[ppn_z]],tbl_Historique_Final[[#This Row],[ppn_z]],tbl_Historique_Final[[#This Row],[date_modif]])=Final_Sans_VGE[[#This Row],[date_modif]],
      "Ancien",
      "Modifié"),
   "Nouveau")),"")</f>
        <v/>
      </c>
    </row>
    <row r="4406" spans="24:30" x14ac:dyDescent="0.25">
      <c r="X4406" s="8" t="e">
        <f>IF(Final_Sans_VGE[[#This Row],[ppn_z]]="","",IFERROR(
   IF(_xlfn.XLOOKUP(Final_Sans_VGE[[#This Row],[ppn_z]],tbl_Historique_Final[ppn_z],tbl_Historique_Final[date_modif])=Final_Sans_VGE[[#This Row],[date_modif]],
      "Ancien",
      "Modifié"),
   "Nouveau"))</f>
        <v>#VALUE!</v>
      </c>
      <c r="AD4406" s="1" t="str">
        <f>IFERROR(IF(Final_Sans_VGE[[#This Row],[ppn_z]]="","",IFERROR(
   IF(_xlfn.XLOOKUP(Final_Sans_VGE[[#This Row],[ppn_z]],tbl_Historique_Final[[#This Row],[ppn_z]],tbl_Historique_Final[[#This Row],[date_modif]])=Final_Sans_VGE[[#This Row],[date_modif]],
      "Ancien",
      "Modifié"),
   "Nouveau")),"")</f>
        <v/>
      </c>
    </row>
    <row r="4407" spans="24:30" x14ac:dyDescent="0.25">
      <c r="X4407" s="8" t="e">
        <f>IF(Final_Sans_VGE[[#This Row],[ppn_z]]="","",IFERROR(
   IF(_xlfn.XLOOKUP(Final_Sans_VGE[[#This Row],[ppn_z]],tbl_Historique_Final[ppn_z],tbl_Historique_Final[date_modif])=Final_Sans_VGE[[#This Row],[date_modif]],
      "Ancien",
      "Modifié"),
   "Nouveau"))</f>
        <v>#VALUE!</v>
      </c>
      <c r="AD4407" s="1" t="str">
        <f>IFERROR(IF(Final_Sans_VGE[[#This Row],[ppn_z]]="","",IFERROR(
   IF(_xlfn.XLOOKUP(Final_Sans_VGE[[#This Row],[ppn_z]],tbl_Historique_Final[[#This Row],[ppn_z]],tbl_Historique_Final[[#This Row],[date_modif]])=Final_Sans_VGE[[#This Row],[date_modif]],
      "Ancien",
      "Modifié"),
   "Nouveau")),"")</f>
        <v/>
      </c>
    </row>
    <row r="4408" spans="24:30" x14ac:dyDescent="0.25">
      <c r="X4408" s="8" t="e">
        <f>IF(Final_Sans_VGE[[#This Row],[ppn_z]]="","",IFERROR(
   IF(_xlfn.XLOOKUP(Final_Sans_VGE[[#This Row],[ppn_z]],tbl_Historique_Final[ppn_z],tbl_Historique_Final[date_modif])=Final_Sans_VGE[[#This Row],[date_modif]],
      "Ancien",
      "Modifié"),
   "Nouveau"))</f>
        <v>#VALUE!</v>
      </c>
      <c r="AD4408" s="1" t="str">
        <f>IFERROR(IF(Final_Sans_VGE[[#This Row],[ppn_z]]="","",IFERROR(
   IF(_xlfn.XLOOKUP(Final_Sans_VGE[[#This Row],[ppn_z]],tbl_Historique_Final[[#This Row],[ppn_z]],tbl_Historique_Final[[#This Row],[date_modif]])=Final_Sans_VGE[[#This Row],[date_modif]],
      "Ancien",
      "Modifié"),
   "Nouveau")),"")</f>
        <v/>
      </c>
    </row>
    <row r="4409" spans="24:30" x14ac:dyDescent="0.25">
      <c r="X4409" s="8" t="e">
        <f>IF(Final_Sans_VGE[[#This Row],[ppn_z]]="","",IFERROR(
   IF(_xlfn.XLOOKUP(Final_Sans_VGE[[#This Row],[ppn_z]],tbl_Historique_Final[ppn_z],tbl_Historique_Final[date_modif])=Final_Sans_VGE[[#This Row],[date_modif]],
      "Ancien",
      "Modifié"),
   "Nouveau"))</f>
        <v>#VALUE!</v>
      </c>
      <c r="AD4409" s="1" t="str">
        <f>IFERROR(IF(Final_Sans_VGE[[#This Row],[ppn_z]]="","",IFERROR(
   IF(_xlfn.XLOOKUP(Final_Sans_VGE[[#This Row],[ppn_z]],tbl_Historique_Final[[#This Row],[ppn_z]],tbl_Historique_Final[[#This Row],[date_modif]])=Final_Sans_VGE[[#This Row],[date_modif]],
      "Ancien",
      "Modifié"),
   "Nouveau")),"")</f>
        <v/>
      </c>
    </row>
    <row r="4410" spans="24:30" x14ac:dyDescent="0.25">
      <c r="X4410" s="8" t="e">
        <f>IF(Final_Sans_VGE[[#This Row],[ppn_z]]="","",IFERROR(
   IF(_xlfn.XLOOKUP(Final_Sans_VGE[[#This Row],[ppn_z]],tbl_Historique_Final[ppn_z],tbl_Historique_Final[date_modif])=Final_Sans_VGE[[#This Row],[date_modif]],
      "Ancien",
      "Modifié"),
   "Nouveau"))</f>
        <v>#VALUE!</v>
      </c>
      <c r="AD4410" s="1" t="str">
        <f>IFERROR(IF(Final_Sans_VGE[[#This Row],[ppn_z]]="","",IFERROR(
   IF(_xlfn.XLOOKUP(Final_Sans_VGE[[#This Row],[ppn_z]],tbl_Historique_Final[[#This Row],[ppn_z]],tbl_Historique_Final[[#This Row],[date_modif]])=Final_Sans_VGE[[#This Row],[date_modif]],
      "Ancien",
      "Modifié"),
   "Nouveau")),"")</f>
        <v/>
      </c>
    </row>
    <row r="4411" spans="24:30" x14ac:dyDescent="0.25">
      <c r="X4411" s="8" t="e">
        <f>IF(Final_Sans_VGE[[#This Row],[ppn_z]]="","",IFERROR(
   IF(_xlfn.XLOOKUP(Final_Sans_VGE[[#This Row],[ppn_z]],tbl_Historique_Final[ppn_z],tbl_Historique_Final[date_modif])=Final_Sans_VGE[[#This Row],[date_modif]],
      "Ancien",
      "Modifié"),
   "Nouveau"))</f>
        <v>#VALUE!</v>
      </c>
      <c r="AD4411" s="1" t="str">
        <f>IFERROR(IF(Final_Sans_VGE[[#This Row],[ppn_z]]="","",IFERROR(
   IF(_xlfn.XLOOKUP(Final_Sans_VGE[[#This Row],[ppn_z]],tbl_Historique_Final[[#This Row],[ppn_z]],tbl_Historique_Final[[#This Row],[date_modif]])=Final_Sans_VGE[[#This Row],[date_modif]],
      "Ancien",
      "Modifié"),
   "Nouveau")),"")</f>
        <v/>
      </c>
    </row>
    <row r="4412" spans="24:30" x14ac:dyDescent="0.25">
      <c r="X4412" s="8" t="e">
        <f>IF(Final_Sans_VGE[[#This Row],[ppn_z]]="","",IFERROR(
   IF(_xlfn.XLOOKUP(Final_Sans_VGE[[#This Row],[ppn_z]],tbl_Historique_Final[ppn_z],tbl_Historique_Final[date_modif])=Final_Sans_VGE[[#This Row],[date_modif]],
      "Ancien",
      "Modifié"),
   "Nouveau"))</f>
        <v>#VALUE!</v>
      </c>
      <c r="AD4412" s="1" t="str">
        <f>IFERROR(IF(Final_Sans_VGE[[#This Row],[ppn_z]]="","",IFERROR(
   IF(_xlfn.XLOOKUP(Final_Sans_VGE[[#This Row],[ppn_z]],tbl_Historique_Final[[#This Row],[ppn_z]],tbl_Historique_Final[[#This Row],[date_modif]])=Final_Sans_VGE[[#This Row],[date_modif]],
      "Ancien",
      "Modifié"),
   "Nouveau")),"")</f>
        <v/>
      </c>
    </row>
    <row r="4413" spans="24:30" x14ac:dyDescent="0.25">
      <c r="X4413" s="8" t="e">
        <f>IF(Final_Sans_VGE[[#This Row],[ppn_z]]="","",IFERROR(
   IF(_xlfn.XLOOKUP(Final_Sans_VGE[[#This Row],[ppn_z]],tbl_Historique_Final[ppn_z],tbl_Historique_Final[date_modif])=Final_Sans_VGE[[#This Row],[date_modif]],
      "Ancien",
      "Modifié"),
   "Nouveau"))</f>
        <v>#VALUE!</v>
      </c>
      <c r="AD4413" s="1" t="str">
        <f>IFERROR(IF(Final_Sans_VGE[[#This Row],[ppn_z]]="","",IFERROR(
   IF(_xlfn.XLOOKUP(Final_Sans_VGE[[#This Row],[ppn_z]],tbl_Historique_Final[[#This Row],[ppn_z]],tbl_Historique_Final[[#This Row],[date_modif]])=Final_Sans_VGE[[#This Row],[date_modif]],
      "Ancien",
      "Modifié"),
   "Nouveau")),"")</f>
        <v/>
      </c>
    </row>
    <row r="4414" spans="24:30" x14ac:dyDescent="0.25">
      <c r="X4414" s="8" t="e">
        <f>IF(Final_Sans_VGE[[#This Row],[ppn_z]]="","",IFERROR(
   IF(_xlfn.XLOOKUP(Final_Sans_VGE[[#This Row],[ppn_z]],tbl_Historique_Final[ppn_z],tbl_Historique_Final[date_modif])=Final_Sans_VGE[[#This Row],[date_modif]],
      "Ancien",
      "Modifié"),
   "Nouveau"))</f>
        <v>#VALUE!</v>
      </c>
      <c r="AD4414" s="1" t="str">
        <f>IFERROR(IF(Final_Sans_VGE[[#This Row],[ppn_z]]="","",IFERROR(
   IF(_xlfn.XLOOKUP(Final_Sans_VGE[[#This Row],[ppn_z]],tbl_Historique_Final[[#This Row],[ppn_z]],tbl_Historique_Final[[#This Row],[date_modif]])=Final_Sans_VGE[[#This Row],[date_modif]],
      "Ancien",
      "Modifié"),
   "Nouveau")),"")</f>
        <v/>
      </c>
    </row>
    <row r="4415" spans="24:30" x14ac:dyDescent="0.25">
      <c r="X4415" s="8" t="e">
        <f>IF(Final_Sans_VGE[[#This Row],[ppn_z]]="","",IFERROR(
   IF(_xlfn.XLOOKUP(Final_Sans_VGE[[#This Row],[ppn_z]],tbl_Historique_Final[ppn_z],tbl_Historique_Final[date_modif])=Final_Sans_VGE[[#This Row],[date_modif]],
      "Ancien",
      "Modifié"),
   "Nouveau"))</f>
        <v>#VALUE!</v>
      </c>
      <c r="AD4415" s="1" t="str">
        <f>IFERROR(IF(Final_Sans_VGE[[#This Row],[ppn_z]]="","",IFERROR(
   IF(_xlfn.XLOOKUP(Final_Sans_VGE[[#This Row],[ppn_z]],tbl_Historique_Final[[#This Row],[ppn_z]],tbl_Historique_Final[[#This Row],[date_modif]])=Final_Sans_VGE[[#This Row],[date_modif]],
      "Ancien",
      "Modifié"),
   "Nouveau")),"")</f>
        <v/>
      </c>
    </row>
    <row r="4416" spans="24:30" x14ac:dyDescent="0.25">
      <c r="X4416" s="8" t="e">
        <f>IF(Final_Sans_VGE[[#This Row],[ppn_z]]="","",IFERROR(
   IF(_xlfn.XLOOKUP(Final_Sans_VGE[[#This Row],[ppn_z]],tbl_Historique_Final[ppn_z],tbl_Historique_Final[date_modif])=Final_Sans_VGE[[#This Row],[date_modif]],
      "Ancien",
      "Modifié"),
   "Nouveau"))</f>
        <v>#VALUE!</v>
      </c>
      <c r="AD4416" s="1" t="str">
        <f>IFERROR(IF(Final_Sans_VGE[[#This Row],[ppn_z]]="","",IFERROR(
   IF(_xlfn.XLOOKUP(Final_Sans_VGE[[#This Row],[ppn_z]],tbl_Historique_Final[[#This Row],[ppn_z]],tbl_Historique_Final[[#This Row],[date_modif]])=Final_Sans_VGE[[#This Row],[date_modif]],
      "Ancien",
      "Modifié"),
   "Nouveau")),"")</f>
        <v/>
      </c>
    </row>
    <row r="4417" spans="24:30" x14ac:dyDescent="0.25">
      <c r="X4417" s="8" t="e">
        <f>IF(Final_Sans_VGE[[#This Row],[ppn_z]]="","",IFERROR(
   IF(_xlfn.XLOOKUP(Final_Sans_VGE[[#This Row],[ppn_z]],tbl_Historique_Final[ppn_z],tbl_Historique_Final[date_modif])=Final_Sans_VGE[[#This Row],[date_modif]],
      "Ancien",
      "Modifié"),
   "Nouveau"))</f>
        <v>#VALUE!</v>
      </c>
      <c r="AD4417" s="1" t="str">
        <f>IFERROR(IF(Final_Sans_VGE[[#This Row],[ppn_z]]="","",IFERROR(
   IF(_xlfn.XLOOKUP(Final_Sans_VGE[[#This Row],[ppn_z]],tbl_Historique_Final[[#This Row],[ppn_z]],tbl_Historique_Final[[#This Row],[date_modif]])=Final_Sans_VGE[[#This Row],[date_modif]],
      "Ancien",
      "Modifié"),
   "Nouveau")),"")</f>
        <v/>
      </c>
    </row>
    <row r="4418" spans="24:30" x14ac:dyDescent="0.25">
      <c r="X4418" s="8" t="e">
        <f>IF(Final_Sans_VGE[[#This Row],[ppn_z]]="","",IFERROR(
   IF(_xlfn.XLOOKUP(Final_Sans_VGE[[#This Row],[ppn_z]],tbl_Historique_Final[ppn_z],tbl_Historique_Final[date_modif])=Final_Sans_VGE[[#This Row],[date_modif]],
      "Ancien",
      "Modifié"),
   "Nouveau"))</f>
        <v>#VALUE!</v>
      </c>
      <c r="AD4418" s="1" t="str">
        <f>IFERROR(IF(Final_Sans_VGE[[#This Row],[ppn_z]]="","",IFERROR(
   IF(_xlfn.XLOOKUP(Final_Sans_VGE[[#This Row],[ppn_z]],tbl_Historique_Final[[#This Row],[ppn_z]],tbl_Historique_Final[[#This Row],[date_modif]])=Final_Sans_VGE[[#This Row],[date_modif]],
      "Ancien",
      "Modifié"),
   "Nouveau")),"")</f>
        <v/>
      </c>
    </row>
    <row r="4419" spans="24:30" x14ac:dyDescent="0.25">
      <c r="X4419" s="8" t="e">
        <f>IF(Final_Sans_VGE[[#This Row],[ppn_z]]="","",IFERROR(
   IF(_xlfn.XLOOKUP(Final_Sans_VGE[[#This Row],[ppn_z]],tbl_Historique_Final[ppn_z],tbl_Historique_Final[date_modif])=Final_Sans_VGE[[#This Row],[date_modif]],
      "Ancien",
      "Modifié"),
   "Nouveau"))</f>
        <v>#VALUE!</v>
      </c>
      <c r="AD4419" s="1" t="str">
        <f>IFERROR(IF(Final_Sans_VGE[[#This Row],[ppn_z]]="","",IFERROR(
   IF(_xlfn.XLOOKUP(Final_Sans_VGE[[#This Row],[ppn_z]],tbl_Historique_Final[[#This Row],[ppn_z]],tbl_Historique_Final[[#This Row],[date_modif]])=Final_Sans_VGE[[#This Row],[date_modif]],
      "Ancien",
      "Modifié"),
   "Nouveau")),"")</f>
        <v/>
      </c>
    </row>
    <row r="4420" spans="24:30" x14ac:dyDescent="0.25">
      <c r="X4420" s="8" t="e">
        <f>IF(Final_Sans_VGE[[#This Row],[ppn_z]]="","",IFERROR(
   IF(_xlfn.XLOOKUP(Final_Sans_VGE[[#This Row],[ppn_z]],tbl_Historique_Final[ppn_z],tbl_Historique_Final[date_modif])=Final_Sans_VGE[[#This Row],[date_modif]],
      "Ancien",
      "Modifié"),
   "Nouveau"))</f>
        <v>#VALUE!</v>
      </c>
      <c r="AD4420" s="1" t="str">
        <f>IFERROR(IF(Final_Sans_VGE[[#This Row],[ppn_z]]="","",IFERROR(
   IF(_xlfn.XLOOKUP(Final_Sans_VGE[[#This Row],[ppn_z]],tbl_Historique_Final[[#This Row],[ppn_z]],tbl_Historique_Final[[#This Row],[date_modif]])=Final_Sans_VGE[[#This Row],[date_modif]],
      "Ancien",
      "Modifié"),
   "Nouveau")),"")</f>
        <v/>
      </c>
    </row>
    <row r="4421" spans="24:30" x14ac:dyDescent="0.25">
      <c r="X4421" s="8" t="e">
        <f>IF(Final_Sans_VGE[[#This Row],[ppn_z]]="","",IFERROR(
   IF(_xlfn.XLOOKUP(Final_Sans_VGE[[#This Row],[ppn_z]],tbl_Historique_Final[ppn_z],tbl_Historique_Final[date_modif])=Final_Sans_VGE[[#This Row],[date_modif]],
      "Ancien",
      "Modifié"),
   "Nouveau"))</f>
        <v>#VALUE!</v>
      </c>
      <c r="AD4421" s="1" t="str">
        <f>IFERROR(IF(Final_Sans_VGE[[#This Row],[ppn_z]]="","",IFERROR(
   IF(_xlfn.XLOOKUP(Final_Sans_VGE[[#This Row],[ppn_z]],tbl_Historique_Final[[#This Row],[ppn_z]],tbl_Historique_Final[[#This Row],[date_modif]])=Final_Sans_VGE[[#This Row],[date_modif]],
      "Ancien",
      "Modifié"),
   "Nouveau")),"")</f>
        <v/>
      </c>
    </row>
    <row r="4422" spans="24:30" x14ac:dyDescent="0.25">
      <c r="X4422" s="8" t="e">
        <f>IF(Final_Sans_VGE[[#This Row],[ppn_z]]="","",IFERROR(
   IF(_xlfn.XLOOKUP(Final_Sans_VGE[[#This Row],[ppn_z]],tbl_Historique_Final[ppn_z],tbl_Historique_Final[date_modif])=Final_Sans_VGE[[#This Row],[date_modif]],
      "Ancien",
      "Modifié"),
   "Nouveau"))</f>
        <v>#VALUE!</v>
      </c>
      <c r="AD4422" s="1" t="str">
        <f>IFERROR(IF(Final_Sans_VGE[[#This Row],[ppn_z]]="","",IFERROR(
   IF(_xlfn.XLOOKUP(Final_Sans_VGE[[#This Row],[ppn_z]],tbl_Historique_Final[[#This Row],[ppn_z]],tbl_Historique_Final[[#This Row],[date_modif]])=Final_Sans_VGE[[#This Row],[date_modif]],
      "Ancien",
      "Modifié"),
   "Nouveau")),"")</f>
        <v/>
      </c>
    </row>
    <row r="4423" spans="24:30" x14ac:dyDescent="0.25">
      <c r="X4423" s="8" t="e">
        <f>IF(Final_Sans_VGE[[#This Row],[ppn_z]]="","",IFERROR(
   IF(_xlfn.XLOOKUP(Final_Sans_VGE[[#This Row],[ppn_z]],tbl_Historique_Final[ppn_z],tbl_Historique_Final[date_modif])=Final_Sans_VGE[[#This Row],[date_modif]],
      "Ancien",
      "Modifié"),
   "Nouveau"))</f>
        <v>#VALUE!</v>
      </c>
      <c r="AD4423" s="1" t="str">
        <f>IFERROR(IF(Final_Sans_VGE[[#This Row],[ppn_z]]="","",IFERROR(
   IF(_xlfn.XLOOKUP(Final_Sans_VGE[[#This Row],[ppn_z]],tbl_Historique_Final[[#This Row],[ppn_z]],tbl_Historique_Final[[#This Row],[date_modif]])=Final_Sans_VGE[[#This Row],[date_modif]],
      "Ancien",
      "Modifié"),
   "Nouveau")),"")</f>
        <v/>
      </c>
    </row>
    <row r="4424" spans="24:30" x14ac:dyDescent="0.25">
      <c r="X4424" s="8" t="e">
        <f>IF(Final_Sans_VGE[[#This Row],[ppn_z]]="","",IFERROR(
   IF(_xlfn.XLOOKUP(Final_Sans_VGE[[#This Row],[ppn_z]],tbl_Historique_Final[ppn_z],tbl_Historique_Final[date_modif])=Final_Sans_VGE[[#This Row],[date_modif]],
      "Ancien",
      "Modifié"),
   "Nouveau"))</f>
        <v>#VALUE!</v>
      </c>
      <c r="AD4424" s="1" t="str">
        <f>IFERROR(IF(Final_Sans_VGE[[#This Row],[ppn_z]]="","",IFERROR(
   IF(_xlfn.XLOOKUP(Final_Sans_VGE[[#This Row],[ppn_z]],tbl_Historique_Final[[#This Row],[ppn_z]],tbl_Historique_Final[[#This Row],[date_modif]])=Final_Sans_VGE[[#This Row],[date_modif]],
      "Ancien",
      "Modifié"),
   "Nouveau")),"")</f>
        <v/>
      </c>
    </row>
    <row r="4425" spans="24:30" x14ac:dyDescent="0.25">
      <c r="X4425" s="8" t="e">
        <f>IF(Final_Sans_VGE[[#This Row],[ppn_z]]="","",IFERROR(
   IF(_xlfn.XLOOKUP(Final_Sans_VGE[[#This Row],[ppn_z]],tbl_Historique_Final[ppn_z],tbl_Historique_Final[date_modif])=Final_Sans_VGE[[#This Row],[date_modif]],
      "Ancien",
      "Modifié"),
   "Nouveau"))</f>
        <v>#VALUE!</v>
      </c>
      <c r="AD4425" s="1" t="str">
        <f>IFERROR(IF(Final_Sans_VGE[[#This Row],[ppn_z]]="","",IFERROR(
   IF(_xlfn.XLOOKUP(Final_Sans_VGE[[#This Row],[ppn_z]],tbl_Historique_Final[[#This Row],[ppn_z]],tbl_Historique_Final[[#This Row],[date_modif]])=Final_Sans_VGE[[#This Row],[date_modif]],
      "Ancien",
      "Modifié"),
   "Nouveau")),"")</f>
        <v/>
      </c>
    </row>
    <row r="4426" spans="24:30" x14ac:dyDescent="0.25">
      <c r="X4426" s="8" t="e">
        <f>IF(Final_Sans_VGE[[#This Row],[ppn_z]]="","",IFERROR(
   IF(_xlfn.XLOOKUP(Final_Sans_VGE[[#This Row],[ppn_z]],tbl_Historique_Final[ppn_z],tbl_Historique_Final[date_modif])=Final_Sans_VGE[[#This Row],[date_modif]],
      "Ancien",
      "Modifié"),
   "Nouveau"))</f>
        <v>#VALUE!</v>
      </c>
      <c r="AD4426" s="1" t="str">
        <f>IFERROR(IF(Final_Sans_VGE[[#This Row],[ppn_z]]="","",IFERROR(
   IF(_xlfn.XLOOKUP(Final_Sans_VGE[[#This Row],[ppn_z]],tbl_Historique_Final[[#This Row],[ppn_z]],tbl_Historique_Final[[#This Row],[date_modif]])=Final_Sans_VGE[[#This Row],[date_modif]],
      "Ancien",
      "Modifié"),
   "Nouveau")),"")</f>
        <v/>
      </c>
    </row>
    <row r="4427" spans="24:30" x14ac:dyDescent="0.25">
      <c r="X4427" s="8" t="e">
        <f>IF(Final_Sans_VGE[[#This Row],[ppn_z]]="","",IFERROR(
   IF(_xlfn.XLOOKUP(Final_Sans_VGE[[#This Row],[ppn_z]],tbl_Historique_Final[ppn_z],tbl_Historique_Final[date_modif])=Final_Sans_VGE[[#This Row],[date_modif]],
      "Ancien",
      "Modifié"),
   "Nouveau"))</f>
        <v>#VALUE!</v>
      </c>
      <c r="AD4427" s="1" t="str">
        <f>IFERROR(IF(Final_Sans_VGE[[#This Row],[ppn_z]]="","",IFERROR(
   IF(_xlfn.XLOOKUP(Final_Sans_VGE[[#This Row],[ppn_z]],tbl_Historique_Final[[#This Row],[ppn_z]],tbl_Historique_Final[[#This Row],[date_modif]])=Final_Sans_VGE[[#This Row],[date_modif]],
      "Ancien",
      "Modifié"),
   "Nouveau")),"")</f>
        <v/>
      </c>
    </row>
    <row r="4428" spans="24:30" x14ac:dyDescent="0.25">
      <c r="X4428" s="8" t="e">
        <f>IF(Final_Sans_VGE[[#This Row],[ppn_z]]="","",IFERROR(
   IF(_xlfn.XLOOKUP(Final_Sans_VGE[[#This Row],[ppn_z]],tbl_Historique_Final[ppn_z],tbl_Historique_Final[date_modif])=Final_Sans_VGE[[#This Row],[date_modif]],
      "Ancien",
      "Modifié"),
   "Nouveau"))</f>
        <v>#VALUE!</v>
      </c>
      <c r="AD4428" s="1" t="str">
        <f>IFERROR(IF(Final_Sans_VGE[[#This Row],[ppn_z]]="","",IFERROR(
   IF(_xlfn.XLOOKUP(Final_Sans_VGE[[#This Row],[ppn_z]],tbl_Historique_Final[[#This Row],[ppn_z]],tbl_Historique_Final[[#This Row],[date_modif]])=Final_Sans_VGE[[#This Row],[date_modif]],
      "Ancien",
      "Modifié"),
   "Nouveau")),"")</f>
        <v/>
      </c>
    </row>
    <row r="4429" spans="24:30" x14ac:dyDescent="0.25">
      <c r="X4429" s="8" t="e">
        <f>IF(Final_Sans_VGE[[#This Row],[ppn_z]]="","",IFERROR(
   IF(_xlfn.XLOOKUP(Final_Sans_VGE[[#This Row],[ppn_z]],tbl_Historique_Final[ppn_z],tbl_Historique_Final[date_modif])=Final_Sans_VGE[[#This Row],[date_modif]],
      "Ancien",
      "Modifié"),
   "Nouveau"))</f>
        <v>#VALUE!</v>
      </c>
      <c r="AD4429" s="1" t="str">
        <f>IFERROR(IF(Final_Sans_VGE[[#This Row],[ppn_z]]="","",IFERROR(
   IF(_xlfn.XLOOKUP(Final_Sans_VGE[[#This Row],[ppn_z]],tbl_Historique_Final[[#This Row],[ppn_z]],tbl_Historique_Final[[#This Row],[date_modif]])=Final_Sans_VGE[[#This Row],[date_modif]],
      "Ancien",
      "Modifié"),
   "Nouveau")),"")</f>
        <v/>
      </c>
    </row>
    <row r="4430" spans="24:30" x14ac:dyDescent="0.25">
      <c r="X4430" s="8" t="e">
        <f>IF(Final_Sans_VGE[[#This Row],[ppn_z]]="","",IFERROR(
   IF(_xlfn.XLOOKUP(Final_Sans_VGE[[#This Row],[ppn_z]],tbl_Historique_Final[ppn_z],tbl_Historique_Final[date_modif])=Final_Sans_VGE[[#This Row],[date_modif]],
      "Ancien",
      "Modifié"),
   "Nouveau"))</f>
        <v>#VALUE!</v>
      </c>
      <c r="AD4430" s="1" t="str">
        <f>IFERROR(IF(Final_Sans_VGE[[#This Row],[ppn_z]]="","",IFERROR(
   IF(_xlfn.XLOOKUP(Final_Sans_VGE[[#This Row],[ppn_z]],tbl_Historique_Final[[#This Row],[ppn_z]],tbl_Historique_Final[[#This Row],[date_modif]])=Final_Sans_VGE[[#This Row],[date_modif]],
      "Ancien",
      "Modifié"),
   "Nouveau")),"")</f>
        <v/>
      </c>
    </row>
    <row r="4431" spans="24:30" x14ac:dyDescent="0.25">
      <c r="X4431" s="8" t="e">
        <f>IF(Final_Sans_VGE[[#This Row],[ppn_z]]="","",IFERROR(
   IF(_xlfn.XLOOKUP(Final_Sans_VGE[[#This Row],[ppn_z]],tbl_Historique_Final[ppn_z],tbl_Historique_Final[date_modif])=Final_Sans_VGE[[#This Row],[date_modif]],
      "Ancien",
      "Modifié"),
   "Nouveau"))</f>
        <v>#VALUE!</v>
      </c>
      <c r="AD4431" s="1" t="str">
        <f>IFERROR(IF(Final_Sans_VGE[[#This Row],[ppn_z]]="","",IFERROR(
   IF(_xlfn.XLOOKUP(Final_Sans_VGE[[#This Row],[ppn_z]],tbl_Historique_Final[[#This Row],[ppn_z]],tbl_Historique_Final[[#This Row],[date_modif]])=Final_Sans_VGE[[#This Row],[date_modif]],
      "Ancien",
      "Modifié"),
   "Nouveau")),"")</f>
        <v/>
      </c>
    </row>
    <row r="4432" spans="24:30" x14ac:dyDescent="0.25">
      <c r="X4432" s="8" t="e">
        <f>IF(Final_Sans_VGE[[#This Row],[ppn_z]]="","",IFERROR(
   IF(_xlfn.XLOOKUP(Final_Sans_VGE[[#This Row],[ppn_z]],tbl_Historique_Final[ppn_z],tbl_Historique_Final[date_modif])=Final_Sans_VGE[[#This Row],[date_modif]],
      "Ancien",
      "Modifié"),
   "Nouveau"))</f>
        <v>#VALUE!</v>
      </c>
      <c r="AD4432" s="1" t="str">
        <f>IFERROR(IF(Final_Sans_VGE[[#This Row],[ppn_z]]="","",IFERROR(
   IF(_xlfn.XLOOKUP(Final_Sans_VGE[[#This Row],[ppn_z]],tbl_Historique_Final[[#This Row],[ppn_z]],tbl_Historique_Final[[#This Row],[date_modif]])=Final_Sans_VGE[[#This Row],[date_modif]],
      "Ancien",
      "Modifié"),
   "Nouveau")),"")</f>
        <v/>
      </c>
    </row>
    <row r="4433" spans="24:30" x14ac:dyDescent="0.25">
      <c r="X4433" s="8" t="e">
        <f>IF(Final_Sans_VGE[[#This Row],[ppn_z]]="","",IFERROR(
   IF(_xlfn.XLOOKUP(Final_Sans_VGE[[#This Row],[ppn_z]],tbl_Historique_Final[ppn_z],tbl_Historique_Final[date_modif])=Final_Sans_VGE[[#This Row],[date_modif]],
      "Ancien",
      "Modifié"),
   "Nouveau"))</f>
        <v>#VALUE!</v>
      </c>
      <c r="AD4433" s="1" t="str">
        <f>IFERROR(IF(Final_Sans_VGE[[#This Row],[ppn_z]]="","",IFERROR(
   IF(_xlfn.XLOOKUP(Final_Sans_VGE[[#This Row],[ppn_z]],tbl_Historique_Final[[#This Row],[ppn_z]],tbl_Historique_Final[[#This Row],[date_modif]])=Final_Sans_VGE[[#This Row],[date_modif]],
      "Ancien",
      "Modifié"),
   "Nouveau")),"")</f>
        <v/>
      </c>
    </row>
    <row r="4434" spans="24:30" x14ac:dyDescent="0.25">
      <c r="X4434" s="8" t="e">
        <f>IF(Final_Sans_VGE[[#This Row],[ppn_z]]="","",IFERROR(
   IF(_xlfn.XLOOKUP(Final_Sans_VGE[[#This Row],[ppn_z]],tbl_Historique_Final[ppn_z],tbl_Historique_Final[date_modif])=Final_Sans_VGE[[#This Row],[date_modif]],
      "Ancien",
      "Modifié"),
   "Nouveau"))</f>
        <v>#VALUE!</v>
      </c>
      <c r="AD4434" s="1" t="str">
        <f>IFERROR(IF(Final_Sans_VGE[[#This Row],[ppn_z]]="","",IFERROR(
   IF(_xlfn.XLOOKUP(Final_Sans_VGE[[#This Row],[ppn_z]],tbl_Historique_Final[[#This Row],[ppn_z]],tbl_Historique_Final[[#This Row],[date_modif]])=Final_Sans_VGE[[#This Row],[date_modif]],
      "Ancien",
      "Modifié"),
   "Nouveau")),"")</f>
        <v/>
      </c>
    </row>
    <row r="4435" spans="24:30" x14ac:dyDescent="0.25">
      <c r="X4435" s="8" t="e">
        <f>IF(Final_Sans_VGE[[#This Row],[ppn_z]]="","",IFERROR(
   IF(_xlfn.XLOOKUP(Final_Sans_VGE[[#This Row],[ppn_z]],tbl_Historique_Final[ppn_z],tbl_Historique_Final[date_modif])=Final_Sans_VGE[[#This Row],[date_modif]],
      "Ancien",
      "Modifié"),
   "Nouveau"))</f>
        <v>#VALUE!</v>
      </c>
      <c r="AD4435" s="1" t="str">
        <f>IFERROR(IF(Final_Sans_VGE[[#This Row],[ppn_z]]="","",IFERROR(
   IF(_xlfn.XLOOKUP(Final_Sans_VGE[[#This Row],[ppn_z]],tbl_Historique_Final[[#This Row],[ppn_z]],tbl_Historique_Final[[#This Row],[date_modif]])=Final_Sans_VGE[[#This Row],[date_modif]],
      "Ancien",
      "Modifié"),
   "Nouveau")),"")</f>
        <v/>
      </c>
    </row>
    <row r="4436" spans="24:30" x14ac:dyDescent="0.25">
      <c r="X4436" s="8" t="e">
        <f>IF(Final_Sans_VGE[[#This Row],[ppn_z]]="","",IFERROR(
   IF(_xlfn.XLOOKUP(Final_Sans_VGE[[#This Row],[ppn_z]],tbl_Historique_Final[ppn_z],tbl_Historique_Final[date_modif])=Final_Sans_VGE[[#This Row],[date_modif]],
      "Ancien",
      "Modifié"),
   "Nouveau"))</f>
        <v>#VALUE!</v>
      </c>
      <c r="AD4436" s="1" t="str">
        <f>IFERROR(IF(Final_Sans_VGE[[#This Row],[ppn_z]]="","",IFERROR(
   IF(_xlfn.XLOOKUP(Final_Sans_VGE[[#This Row],[ppn_z]],tbl_Historique_Final[[#This Row],[ppn_z]],tbl_Historique_Final[[#This Row],[date_modif]])=Final_Sans_VGE[[#This Row],[date_modif]],
      "Ancien",
      "Modifié"),
   "Nouveau")),"")</f>
        <v/>
      </c>
    </row>
    <row r="4437" spans="24:30" x14ac:dyDescent="0.25">
      <c r="X4437" s="8" t="e">
        <f>IF(Final_Sans_VGE[[#This Row],[ppn_z]]="","",IFERROR(
   IF(_xlfn.XLOOKUP(Final_Sans_VGE[[#This Row],[ppn_z]],tbl_Historique_Final[ppn_z],tbl_Historique_Final[date_modif])=Final_Sans_VGE[[#This Row],[date_modif]],
      "Ancien",
      "Modifié"),
   "Nouveau"))</f>
        <v>#VALUE!</v>
      </c>
      <c r="AD4437" s="1" t="str">
        <f>IFERROR(IF(Final_Sans_VGE[[#This Row],[ppn_z]]="","",IFERROR(
   IF(_xlfn.XLOOKUP(Final_Sans_VGE[[#This Row],[ppn_z]],tbl_Historique_Final[[#This Row],[ppn_z]],tbl_Historique_Final[[#This Row],[date_modif]])=Final_Sans_VGE[[#This Row],[date_modif]],
      "Ancien",
      "Modifié"),
   "Nouveau")),"")</f>
        <v/>
      </c>
    </row>
    <row r="4438" spans="24:30" x14ac:dyDescent="0.25">
      <c r="X4438" s="8" t="e">
        <f>IF(Final_Sans_VGE[[#This Row],[ppn_z]]="","",IFERROR(
   IF(_xlfn.XLOOKUP(Final_Sans_VGE[[#This Row],[ppn_z]],tbl_Historique_Final[ppn_z],tbl_Historique_Final[date_modif])=Final_Sans_VGE[[#This Row],[date_modif]],
      "Ancien",
      "Modifié"),
   "Nouveau"))</f>
        <v>#VALUE!</v>
      </c>
      <c r="AD4438" s="1" t="str">
        <f>IFERROR(IF(Final_Sans_VGE[[#This Row],[ppn_z]]="","",IFERROR(
   IF(_xlfn.XLOOKUP(Final_Sans_VGE[[#This Row],[ppn_z]],tbl_Historique_Final[[#This Row],[ppn_z]],tbl_Historique_Final[[#This Row],[date_modif]])=Final_Sans_VGE[[#This Row],[date_modif]],
      "Ancien",
      "Modifié"),
   "Nouveau")),"")</f>
        <v/>
      </c>
    </row>
    <row r="4439" spans="24:30" x14ac:dyDescent="0.25">
      <c r="X4439" s="8" t="e">
        <f>IF(Final_Sans_VGE[[#This Row],[ppn_z]]="","",IFERROR(
   IF(_xlfn.XLOOKUP(Final_Sans_VGE[[#This Row],[ppn_z]],tbl_Historique_Final[ppn_z],tbl_Historique_Final[date_modif])=Final_Sans_VGE[[#This Row],[date_modif]],
      "Ancien",
      "Modifié"),
   "Nouveau"))</f>
        <v>#VALUE!</v>
      </c>
      <c r="AD4439" s="1" t="str">
        <f>IFERROR(IF(Final_Sans_VGE[[#This Row],[ppn_z]]="","",IFERROR(
   IF(_xlfn.XLOOKUP(Final_Sans_VGE[[#This Row],[ppn_z]],tbl_Historique_Final[[#This Row],[ppn_z]],tbl_Historique_Final[[#This Row],[date_modif]])=Final_Sans_VGE[[#This Row],[date_modif]],
      "Ancien",
      "Modifié"),
   "Nouveau")),"")</f>
        <v/>
      </c>
    </row>
    <row r="4440" spans="24:30" x14ac:dyDescent="0.25">
      <c r="X4440" s="8" t="e">
        <f>IF(Final_Sans_VGE[[#This Row],[ppn_z]]="","",IFERROR(
   IF(_xlfn.XLOOKUP(Final_Sans_VGE[[#This Row],[ppn_z]],tbl_Historique_Final[ppn_z],tbl_Historique_Final[date_modif])=Final_Sans_VGE[[#This Row],[date_modif]],
      "Ancien",
      "Modifié"),
   "Nouveau"))</f>
        <v>#VALUE!</v>
      </c>
      <c r="AD4440" s="1" t="str">
        <f>IFERROR(IF(Final_Sans_VGE[[#This Row],[ppn_z]]="","",IFERROR(
   IF(_xlfn.XLOOKUP(Final_Sans_VGE[[#This Row],[ppn_z]],tbl_Historique_Final[[#This Row],[ppn_z]],tbl_Historique_Final[[#This Row],[date_modif]])=Final_Sans_VGE[[#This Row],[date_modif]],
      "Ancien",
      "Modifié"),
   "Nouveau")),"")</f>
        <v/>
      </c>
    </row>
    <row r="4441" spans="24:30" x14ac:dyDescent="0.25">
      <c r="X4441" s="8" t="e">
        <f>IF(Final_Sans_VGE[[#This Row],[ppn_z]]="","",IFERROR(
   IF(_xlfn.XLOOKUP(Final_Sans_VGE[[#This Row],[ppn_z]],tbl_Historique_Final[ppn_z],tbl_Historique_Final[date_modif])=Final_Sans_VGE[[#This Row],[date_modif]],
      "Ancien",
      "Modifié"),
   "Nouveau"))</f>
        <v>#VALUE!</v>
      </c>
      <c r="AD4441" s="1" t="str">
        <f>IFERROR(IF(Final_Sans_VGE[[#This Row],[ppn_z]]="","",IFERROR(
   IF(_xlfn.XLOOKUP(Final_Sans_VGE[[#This Row],[ppn_z]],tbl_Historique_Final[[#This Row],[ppn_z]],tbl_Historique_Final[[#This Row],[date_modif]])=Final_Sans_VGE[[#This Row],[date_modif]],
      "Ancien",
      "Modifié"),
   "Nouveau")),"")</f>
        <v/>
      </c>
    </row>
    <row r="4442" spans="24:30" x14ac:dyDescent="0.25">
      <c r="X4442" s="8" t="e">
        <f>IF(Final_Sans_VGE[[#This Row],[ppn_z]]="","",IFERROR(
   IF(_xlfn.XLOOKUP(Final_Sans_VGE[[#This Row],[ppn_z]],tbl_Historique_Final[ppn_z],tbl_Historique_Final[date_modif])=Final_Sans_VGE[[#This Row],[date_modif]],
      "Ancien",
      "Modifié"),
   "Nouveau"))</f>
        <v>#VALUE!</v>
      </c>
      <c r="AD4442" s="1" t="str">
        <f>IFERROR(IF(Final_Sans_VGE[[#This Row],[ppn_z]]="","",IFERROR(
   IF(_xlfn.XLOOKUP(Final_Sans_VGE[[#This Row],[ppn_z]],tbl_Historique_Final[[#This Row],[ppn_z]],tbl_Historique_Final[[#This Row],[date_modif]])=Final_Sans_VGE[[#This Row],[date_modif]],
      "Ancien",
      "Modifié"),
   "Nouveau")),"")</f>
        <v/>
      </c>
    </row>
    <row r="4443" spans="24:30" x14ac:dyDescent="0.25">
      <c r="X4443" s="8" t="e">
        <f>IF(Final_Sans_VGE[[#This Row],[ppn_z]]="","",IFERROR(
   IF(_xlfn.XLOOKUP(Final_Sans_VGE[[#This Row],[ppn_z]],tbl_Historique_Final[ppn_z],tbl_Historique_Final[date_modif])=Final_Sans_VGE[[#This Row],[date_modif]],
      "Ancien",
      "Modifié"),
   "Nouveau"))</f>
        <v>#VALUE!</v>
      </c>
      <c r="AD4443" s="1" t="str">
        <f>IFERROR(IF(Final_Sans_VGE[[#This Row],[ppn_z]]="","",IFERROR(
   IF(_xlfn.XLOOKUP(Final_Sans_VGE[[#This Row],[ppn_z]],tbl_Historique_Final[[#This Row],[ppn_z]],tbl_Historique_Final[[#This Row],[date_modif]])=Final_Sans_VGE[[#This Row],[date_modif]],
      "Ancien",
      "Modifié"),
   "Nouveau")),"")</f>
        <v/>
      </c>
    </row>
    <row r="4444" spans="24:30" x14ac:dyDescent="0.25">
      <c r="X4444" s="8" t="e">
        <f>IF(Final_Sans_VGE[[#This Row],[ppn_z]]="","",IFERROR(
   IF(_xlfn.XLOOKUP(Final_Sans_VGE[[#This Row],[ppn_z]],tbl_Historique_Final[ppn_z],tbl_Historique_Final[date_modif])=Final_Sans_VGE[[#This Row],[date_modif]],
      "Ancien",
      "Modifié"),
   "Nouveau"))</f>
        <v>#VALUE!</v>
      </c>
      <c r="AD4444" s="1" t="str">
        <f>IFERROR(IF(Final_Sans_VGE[[#This Row],[ppn_z]]="","",IFERROR(
   IF(_xlfn.XLOOKUP(Final_Sans_VGE[[#This Row],[ppn_z]],tbl_Historique_Final[[#This Row],[ppn_z]],tbl_Historique_Final[[#This Row],[date_modif]])=Final_Sans_VGE[[#This Row],[date_modif]],
      "Ancien",
      "Modifié"),
   "Nouveau")),"")</f>
        <v/>
      </c>
    </row>
    <row r="4445" spans="24:30" x14ac:dyDescent="0.25">
      <c r="X4445" s="8" t="e">
        <f>IF(Final_Sans_VGE[[#This Row],[ppn_z]]="","",IFERROR(
   IF(_xlfn.XLOOKUP(Final_Sans_VGE[[#This Row],[ppn_z]],tbl_Historique_Final[ppn_z],tbl_Historique_Final[date_modif])=Final_Sans_VGE[[#This Row],[date_modif]],
      "Ancien",
      "Modifié"),
   "Nouveau"))</f>
        <v>#VALUE!</v>
      </c>
      <c r="AD4445" s="1" t="str">
        <f>IFERROR(IF(Final_Sans_VGE[[#This Row],[ppn_z]]="","",IFERROR(
   IF(_xlfn.XLOOKUP(Final_Sans_VGE[[#This Row],[ppn_z]],tbl_Historique_Final[[#This Row],[ppn_z]],tbl_Historique_Final[[#This Row],[date_modif]])=Final_Sans_VGE[[#This Row],[date_modif]],
      "Ancien",
      "Modifié"),
   "Nouveau")),"")</f>
        <v/>
      </c>
    </row>
    <row r="4446" spans="24:30" x14ac:dyDescent="0.25">
      <c r="X4446" s="8" t="e">
        <f>IF(Final_Sans_VGE[[#This Row],[ppn_z]]="","",IFERROR(
   IF(_xlfn.XLOOKUP(Final_Sans_VGE[[#This Row],[ppn_z]],tbl_Historique_Final[ppn_z],tbl_Historique_Final[date_modif])=Final_Sans_VGE[[#This Row],[date_modif]],
      "Ancien",
      "Modifié"),
   "Nouveau"))</f>
        <v>#VALUE!</v>
      </c>
      <c r="AD4446" s="1" t="str">
        <f>IFERROR(IF(Final_Sans_VGE[[#This Row],[ppn_z]]="","",IFERROR(
   IF(_xlfn.XLOOKUP(Final_Sans_VGE[[#This Row],[ppn_z]],tbl_Historique_Final[[#This Row],[ppn_z]],tbl_Historique_Final[[#This Row],[date_modif]])=Final_Sans_VGE[[#This Row],[date_modif]],
      "Ancien",
      "Modifié"),
   "Nouveau")),"")</f>
        <v/>
      </c>
    </row>
    <row r="4447" spans="24:30" x14ac:dyDescent="0.25">
      <c r="X4447" s="8" t="e">
        <f>IF(Final_Sans_VGE[[#This Row],[ppn_z]]="","",IFERROR(
   IF(_xlfn.XLOOKUP(Final_Sans_VGE[[#This Row],[ppn_z]],tbl_Historique_Final[ppn_z],tbl_Historique_Final[date_modif])=Final_Sans_VGE[[#This Row],[date_modif]],
      "Ancien",
      "Modifié"),
   "Nouveau"))</f>
        <v>#VALUE!</v>
      </c>
      <c r="AD4447" s="1" t="str">
        <f>IFERROR(IF(Final_Sans_VGE[[#This Row],[ppn_z]]="","",IFERROR(
   IF(_xlfn.XLOOKUP(Final_Sans_VGE[[#This Row],[ppn_z]],tbl_Historique_Final[[#This Row],[ppn_z]],tbl_Historique_Final[[#This Row],[date_modif]])=Final_Sans_VGE[[#This Row],[date_modif]],
      "Ancien",
      "Modifié"),
   "Nouveau")),"")</f>
        <v/>
      </c>
    </row>
    <row r="4448" spans="24:30" x14ac:dyDescent="0.25">
      <c r="X4448" s="8" t="e">
        <f>IF(Final_Sans_VGE[[#This Row],[ppn_z]]="","",IFERROR(
   IF(_xlfn.XLOOKUP(Final_Sans_VGE[[#This Row],[ppn_z]],tbl_Historique_Final[ppn_z],tbl_Historique_Final[date_modif])=Final_Sans_VGE[[#This Row],[date_modif]],
      "Ancien",
      "Modifié"),
   "Nouveau"))</f>
        <v>#VALUE!</v>
      </c>
      <c r="AD4448" s="1" t="str">
        <f>IFERROR(IF(Final_Sans_VGE[[#This Row],[ppn_z]]="","",IFERROR(
   IF(_xlfn.XLOOKUP(Final_Sans_VGE[[#This Row],[ppn_z]],tbl_Historique_Final[[#This Row],[ppn_z]],tbl_Historique_Final[[#This Row],[date_modif]])=Final_Sans_VGE[[#This Row],[date_modif]],
      "Ancien",
      "Modifié"),
   "Nouveau")),"")</f>
        <v/>
      </c>
    </row>
    <row r="4449" spans="24:30" x14ac:dyDescent="0.25">
      <c r="X4449" s="8" t="e">
        <f>IF(Final_Sans_VGE[[#This Row],[ppn_z]]="","",IFERROR(
   IF(_xlfn.XLOOKUP(Final_Sans_VGE[[#This Row],[ppn_z]],tbl_Historique_Final[ppn_z],tbl_Historique_Final[date_modif])=Final_Sans_VGE[[#This Row],[date_modif]],
      "Ancien",
      "Modifié"),
   "Nouveau"))</f>
        <v>#VALUE!</v>
      </c>
      <c r="AD4449" s="1" t="str">
        <f>IFERROR(IF(Final_Sans_VGE[[#This Row],[ppn_z]]="","",IFERROR(
   IF(_xlfn.XLOOKUP(Final_Sans_VGE[[#This Row],[ppn_z]],tbl_Historique_Final[[#This Row],[ppn_z]],tbl_Historique_Final[[#This Row],[date_modif]])=Final_Sans_VGE[[#This Row],[date_modif]],
      "Ancien",
      "Modifié"),
   "Nouveau")),"")</f>
        <v/>
      </c>
    </row>
    <row r="4450" spans="24:30" x14ac:dyDescent="0.25">
      <c r="X4450" s="8" t="e">
        <f>IF(Final_Sans_VGE[[#This Row],[ppn_z]]="","",IFERROR(
   IF(_xlfn.XLOOKUP(Final_Sans_VGE[[#This Row],[ppn_z]],tbl_Historique_Final[ppn_z],tbl_Historique_Final[date_modif])=Final_Sans_VGE[[#This Row],[date_modif]],
      "Ancien",
      "Modifié"),
   "Nouveau"))</f>
        <v>#VALUE!</v>
      </c>
      <c r="AD4450" s="1" t="str">
        <f>IFERROR(IF(Final_Sans_VGE[[#This Row],[ppn_z]]="","",IFERROR(
   IF(_xlfn.XLOOKUP(Final_Sans_VGE[[#This Row],[ppn_z]],tbl_Historique_Final[[#This Row],[ppn_z]],tbl_Historique_Final[[#This Row],[date_modif]])=Final_Sans_VGE[[#This Row],[date_modif]],
      "Ancien",
      "Modifié"),
   "Nouveau")),"")</f>
        <v/>
      </c>
    </row>
    <row r="4451" spans="24:30" x14ac:dyDescent="0.25">
      <c r="X4451" s="8" t="e">
        <f>IF(Final_Sans_VGE[[#This Row],[ppn_z]]="","",IFERROR(
   IF(_xlfn.XLOOKUP(Final_Sans_VGE[[#This Row],[ppn_z]],tbl_Historique_Final[ppn_z],tbl_Historique_Final[date_modif])=Final_Sans_VGE[[#This Row],[date_modif]],
      "Ancien",
      "Modifié"),
   "Nouveau"))</f>
        <v>#VALUE!</v>
      </c>
      <c r="AD4451" s="1" t="str">
        <f>IFERROR(IF(Final_Sans_VGE[[#This Row],[ppn_z]]="","",IFERROR(
   IF(_xlfn.XLOOKUP(Final_Sans_VGE[[#This Row],[ppn_z]],tbl_Historique_Final[[#This Row],[ppn_z]],tbl_Historique_Final[[#This Row],[date_modif]])=Final_Sans_VGE[[#This Row],[date_modif]],
      "Ancien",
      "Modifié"),
   "Nouveau")),"")</f>
        <v/>
      </c>
    </row>
    <row r="4452" spans="24:30" x14ac:dyDescent="0.25">
      <c r="X4452" s="8" t="e">
        <f>IF(Final_Sans_VGE[[#This Row],[ppn_z]]="","",IFERROR(
   IF(_xlfn.XLOOKUP(Final_Sans_VGE[[#This Row],[ppn_z]],tbl_Historique_Final[ppn_z],tbl_Historique_Final[date_modif])=Final_Sans_VGE[[#This Row],[date_modif]],
      "Ancien",
      "Modifié"),
   "Nouveau"))</f>
        <v>#VALUE!</v>
      </c>
      <c r="AD4452" s="1" t="str">
        <f>IFERROR(IF(Final_Sans_VGE[[#This Row],[ppn_z]]="","",IFERROR(
   IF(_xlfn.XLOOKUP(Final_Sans_VGE[[#This Row],[ppn_z]],tbl_Historique_Final[[#This Row],[ppn_z]],tbl_Historique_Final[[#This Row],[date_modif]])=Final_Sans_VGE[[#This Row],[date_modif]],
      "Ancien",
      "Modifié"),
   "Nouveau")),"")</f>
        <v/>
      </c>
    </row>
    <row r="4453" spans="24:30" x14ac:dyDescent="0.25">
      <c r="X4453" s="8" t="e">
        <f>IF(Final_Sans_VGE[[#This Row],[ppn_z]]="","",IFERROR(
   IF(_xlfn.XLOOKUP(Final_Sans_VGE[[#This Row],[ppn_z]],tbl_Historique_Final[ppn_z],tbl_Historique_Final[date_modif])=Final_Sans_VGE[[#This Row],[date_modif]],
      "Ancien",
      "Modifié"),
   "Nouveau"))</f>
        <v>#VALUE!</v>
      </c>
      <c r="AD4453" s="1" t="str">
        <f>IFERROR(IF(Final_Sans_VGE[[#This Row],[ppn_z]]="","",IFERROR(
   IF(_xlfn.XLOOKUP(Final_Sans_VGE[[#This Row],[ppn_z]],tbl_Historique_Final[[#This Row],[ppn_z]],tbl_Historique_Final[[#This Row],[date_modif]])=Final_Sans_VGE[[#This Row],[date_modif]],
      "Ancien",
      "Modifié"),
   "Nouveau")),"")</f>
        <v/>
      </c>
    </row>
    <row r="4454" spans="24:30" x14ac:dyDescent="0.25">
      <c r="X4454" s="8" t="e">
        <f>IF(Final_Sans_VGE[[#This Row],[ppn_z]]="","",IFERROR(
   IF(_xlfn.XLOOKUP(Final_Sans_VGE[[#This Row],[ppn_z]],tbl_Historique_Final[ppn_z],tbl_Historique_Final[date_modif])=Final_Sans_VGE[[#This Row],[date_modif]],
      "Ancien",
      "Modifié"),
   "Nouveau"))</f>
        <v>#VALUE!</v>
      </c>
      <c r="AD4454" s="1" t="str">
        <f>IFERROR(IF(Final_Sans_VGE[[#This Row],[ppn_z]]="","",IFERROR(
   IF(_xlfn.XLOOKUP(Final_Sans_VGE[[#This Row],[ppn_z]],tbl_Historique_Final[[#This Row],[ppn_z]],tbl_Historique_Final[[#This Row],[date_modif]])=Final_Sans_VGE[[#This Row],[date_modif]],
      "Ancien",
      "Modifié"),
   "Nouveau")),"")</f>
        <v/>
      </c>
    </row>
    <row r="4455" spans="24:30" x14ac:dyDescent="0.25">
      <c r="X4455" s="8" t="e">
        <f>IF(Final_Sans_VGE[[#This Row],[ppn_z]]="","",IFERROR(
   IF(_xlfn.XLOOKUP(Final_Sans_VGE[[#This Row],[ppn_z]],tbl_Historique_Final[ppn_z],tbl_Historique_Final[date_modif])=Final_Sans_VGE[[#This Row],[date_modif]],
      "Ancien",
      "Modifié"),
   "Nouveau"))</f>
        <v>#VALUE!</v>
      </c>
      <c r="AD4455" s="1" t="str">
        <f>IFERROR(IF(Final_Sans_VGE[[#This Row],[ppn_z]]="","",IFERROR(
   IF(_xlfn.XLOOKUP(Final_Sans_VGE[[#This Row],[ppn_z]],tbl_Historique_Final[[#This Row],[ppn_z]],tbl_Historique_Final[[#This Row],[date_modif]])=Final_Sans_VGE[[#This Row],[date_modif]],
      "Ancien",
      "Modifié"),
   "Nouveau")),"")</f>
        <v/>
      </c>
    </row>
    <row r="4456" spans="24:30" x14ac:dyDescent="0.25">
      <c r="X4456" s="8" t="e">
        <f>IF(Final_Sans_VGE[[#This Row],[ppn_z]]="","",IFERROR(
   IF(_xlfn.XLOOKUP(Final_Sans_VGE[[#This Row],[ppn_z]],tbl_Historique_Final[ppn_z],tbl_Historique_Final[date_modif])=Final_Sans_VGE[[#This Row],[date_modif]],
      "Ancien",
      "Modifié"),
   "Nouveau"))</f>
        <v>#VALUE!</v>
      </c>
      <c r="AD4456" s="1" t="str">
        <f>IFERROR(IF(Final_Sans_VGE[[#This Row],[ppn_z]]="","",IFERROR(
   IF(_xlfn.XLOOKUP(Final_Sans_VGE[[#This Row],[ppn_z]],tbl_Historique_Final[[#This Row],[ppn_z]],tbl_Historique_Final[[#This Row],[date_modif]])=Final_Sans_VGE[[#This Row],[date_modif]],
      "Ancien",
      "Modifié"),
   "Nouveau")),"")</f>
        <v/>
      </c>
    </row>
    <row r="4457" spans="24:30" x14ac:dyDescent="0.25">
      <c r="X4457" s="8" t="e">
        <f>IF(Final_Sans_VGE[[#This Row],[ppn_z]]="","",IFERROR(
   IF(_xlfn.XLOOKUP(Final_Sans_VGE[[#This Row],[ppn_z]],tbl_Historique_Final[ppn_z],tbl_Historique_Final[date_modif])=Final_Sans_VGE[[#This Row],[date_modif]],
      "Ancien",
      "Modifié"),
   "Nouveau"))</f>
        <v>#VALUE!</v>
      </c>
      <c r="AD4457" s="1" t="str">
        <f>IFERROR(IF(Final_Sans_VGE[[#This Row],[ppn_z]]="","",IFERROR(
   IF(_xlfn.XLOOKUP(Final_Sans_VGE[[#This Row],[ppn_z]],tbl_Historique_Final[[#This Row],[ppn_z]],tbl_Historique_Final[[#This Row],[date_modif]])=Final_Sans_VGE[[#This Row],[date_modif]],
      "Ancien",
      "Modifié"),
   "Nouveau")),"")</f>
        <v/>
      </c>
    </row>
    <row r="4458" spans="24:30" x14ac:dyDescent="0.25">
      <c r="X4458" s="8" t="e">
        <f>IF(Final_Sans_VGE[[#This Row],[ppn_z]]="","",IFERROR(
   IF(_xlfn.XLOOKUP(Final_Sans_VGE[[#This Row],[ppn_z]],tbl_Historique_Final[ppn_z],tbl_Historique_Final[date_modif])=Final_Sans_VGE[[#This Row],[date_modif]],
      "Ancien",
      "Modifié"),
   "Nouveau"))</f>
        <v>#VALUE!</v>
      </c>
      <c r="AD4458" s="1" t="str">
        <f>IFERROR(IF(Final_Sans_VGE[[#This Row],[ppn_z]]="","",IFERROR(
   IF(_xlfn.XLOOKUP(Final_Sans_VGE[[#This Row],[ppn_z]],tbl_Historique_Final[[#This Row],[ppn_z]],tbl_Historique_Final[[#This Row],[date_modif]])=Final_Sans_VGE[[#This Row],[date_modif]],
      "Ancien",
      "Modifié"),
   "Nouveau")),"")</f>
        <v/>
      </c>
    </row>
    <row r="4459" spans="24:30" x14ac:dyDescent="0.25">
      <c r="X4459" s="8" t="e">
        <f>IF(Final_Sans_VGE[[#This Row],[ppn_z]]="","",IFERROR(
   IF(_xlfn.XLOOKUP(Final_Sans_VGE[[#This Row],[ppn_z]],tbl_Historique_Final[ppn_z],tbl_Historique_Final[date_modif])=Final_Sans_VGE[[#This Row],[date_modif]],
      "Ancien",
      "Modifié"),
   "Nouveau"))</f>
        <v>#VALUE!</v>
      </c>
      <c r="AD4459" s="1" t="str">
        <f>IFERROR(IF(Final_Sans_VGE[[#This Row],[ppn_z]]="","",IFERROR(
   IF(_xlfn.XLOOKUP(Final_Sans_VGE[[#This Row],[ppn_z]],tbl_Historique_Final[[#This Row],[ppn_z]],tbl_Historique_Final[[#This Row],[date_modif]])=Final_Sans_VGE[[#This Row],[date_modif]],
      "Ancien",
      "Modifié"),
   "Nouveau")),"")</f>
        <v/>
      </c>
    </row>
    <row r="4460" spans="24:30" x14ac:dyDescent="0.25">
      <c r="X4460" s="8" t="e">
        <f>IF(Final_Sans_VGE[[#This Row],[ppn_z]]="","",IFERROR(
   IF(_xlfn.XLOOKUP(Final_Sans_VGE[[#This Row],[ppn_z]],tbl_Historique_Final[ppn_z],tbl_Historique_Final[date_modif])=Final_Sans_VGE[[#This Row],[date_modif]],
      "Ancien",
      "Modifié"),
   "Nouveau"))</f>
        <v>#VALUE!</v>
      </c>
      <c r="AD4460" s="1" t="str">
        <f>IFERROR(IF(Final_Sans_VGE[[#This Row],[ppn_z]]="","",IFERROR(
   IF(_xlfn.XLOOKUP(Final_Sans_VGE[[#This Row],[ppn_z]],tbl_Historique_Final[[#This Row],[ppn_z]],tbl_Historique_Final[[#This Row],[date_modif]])=Final_Sans_VGE[[#This Row],[date_modif]],
      "Ancien",
      "Modifié"),
   "Nouveau")),"")</f>
        <v/>
      </c>
    </row>
    <row r="4461" spans="24:30" x14ac:dyDescent="0.25">
      <c r="X4461" s="8" t="e">
        <f>IF(Final_Sans_VGE[[#This Row],[ppn_z]]="","",IFERROR(
   IF(_xlfn.XLOOKUP(Final_Sans_VGE[[#This Row],[ppn_z]],tbl_Historique_Final[ppn_z],tbl_Historique_Final[date_modif])=Final_Sans_VGE[[#This Row],[date_modif]],
      "Ancien",
      "Modifié"),
   "Nouveau"))</f>
        <v>#VALUE!</v>
      </c>
      <c r="AD4461" s="1" t="str">
        <f>IFERROR(IF(Final_Sans_VGE[[#This Row],[ppn_z]]="","",IFERROR(
   IF(_xlfn.XLOOKUP(Final_Sans_VGE[[#This Row],[ppn_z]],tbl_Historique_Final[[#This Row],[ppn_z]],tbl_Historique_Final[[#This Row],[date_modif]])=Final_Sans_VGE[[#This Row],[date_modif]],
      "Ancien",
      "Modifié"),
   "Nouveau")),"")</f>
        <v/>
      </c>
    </row>
    <row r="4462" spans="24:30" x14ac:dyDescent="0.25">
      <c r="X4462" s="8" t="e">
        <f>IF(Final_Sans_VGE[[#This Row],[ppn_z]]="","",IFERROR(
   IF(_xlfn.XLOOKUP(Final_Sans_VGE[[#This Row],[ppn_z]],tbl_Historique_Final[ppn_z],tbl_Historique_Final[date_modif])=Final_Sans_VGE[[#This Row],[date_modif]],
      "Ancien",
      "Modifié"),
   "Nouveau"))</f>
        <v>#VALUE!</v>
      </c>
      <c r="AD4462" s="1" t="str">
        <f>IFERROR(IF(Final_Sans_VGE[[#This Row],[ppn_z]]="","",IFERROR(
   IF(_xlfn.XLOOKUP(Final_Sans_VGE[[#This Row],[ppn_z]],tbl_Historique_Final[[#This Row],[ppn_z]],tbl_Historique_Final[[#This Row],[date_modif]])=Final_Sans_VGE[[#This Row],[date_modif]],
      "Ancien",
      "Modifié"),
   "Nouveau")),"")</f>
        <v/>
      </c>
    </row>
    <row r="4463" spans="24:30" x14ac:dyDescent="0.25">
      <c r="X4463" s="8" t="e">
        <f>IF(Final_Sans_VGE[[#This Row],[ppn_z]]="","",IFERROR(
   IF(_xlfn.XLOOKUP(Final_Sans_VGE[[#This Row],[ppn_z]],tbl_Historique_Final[ppn_z],tbl_Historique_Final[date_modif])=Final_Sans_VGE[[#This Row],[date_modif]],
      "Ancien",
      "Modifié"),
   "Nouveau"))</f>
        <v>#VALUE!</v>
      </c>
      <c r="AD4463" s="1" t="str">
        <f>IFERROR(IF(Final_Sans_VGE[[#This Row],[ppn_z]]="","",IFERROR(
   IF(_xlfn.XLOOKUP(Final_Sans_VGE[[#This Row],[ppn_z]],tbl_Historique_Final[[#This Row],[ppn_z]],tbl_Historique_Final[[#This Row],[date_modif]])=Final_Sans_VGE[[#This Row],[date_modif]],
      "Ancien",
      "Modifié"),
   "Nouveau")),"")</f>
        <v/>
      </c>
    </row>
    <row r="4464" spans="24:30" x14ac:dyDescent="0.25">
      <c r="X4464" s="8" t="e">
        <f>IF(Final_Sans_VGE[[#This Row],[ppn_z]]="","",IFERROR(
   IF(_xlfn.XLOOKUP(Final_Sans_VGE[[#This Row],[ppn_z]],tbl_Historique_Final[ppn_z],tbl_Historique_Final[date_modif])=Final_Sans_VGE[[#This Row],[date_modif]],
      "Ancien",
      "Modifié"),
   "Nouveau"))</f>
        <v>#VALUE!</v>
      </c>
      <c r="AD4464" s="1" t="str">
        <f>IFERROR(IF(Final_Sans_VGE[[#This Row],[ppn_z]]="","",IFERROR(
   IF(_xlfn.XLOOKUP(Final_Sans_VGE[[#This Row],[ppn_z]],tbl_Historique_Final[[#This Row],[ppn_z]],tbl_Historique_Final[[#This Row],[date_modif]])=Final_Sans_VGE[[#This Row],[date_modif]],
      "Ancien",
      "Modifié"),
   "Nouveau")),"")</f>
        <v/>
      </c>
    </row>
    <row r="4465" spans="24:30" x14ac:dyDescent="0.25">
      <c r="X4465" s="8" t="e">
        <f>IF(Final_Sans_VGE[[#This Row],[ppn_z]]="","",IFERROR(
   IF(_xlfn.XLOOKUP(Final_Sans_VGE[[#This Row],[ppn_z]],tbl_Historique_Final[ppn_z],tbl_Historique_Final[date_modif])=Final_Sans_VGE[[#This Row],[date_modif]],
      "Ancien",
      "Modifié"),
   "Nouveau"))</f>
        <v>#VALUE!</v>
      </c>
      <c r="AD4465" s="1" t="str">
        <f>IFERROR(IF(Final_Sans_VGE[[#This Row],[ppn_z]]="","",IFERROR(
   IF(_xlfn.XLOOKUP(Final_Sans_VGE[[#This Row],[ppn_z]],tbl_Historique_Final[[#This Row],[ppn_z]],tbl_Historique_Final[[#This Row],[date_modif]])=Final_Sans_VGE[[#This Row],[date_modif]],
      "Ancien",
      "Modifié"),
   "Nouveau")),"")</f>
        <v/>
      </c>
    </row>
    <row r="4466" spans="24:30" x14ac:dyDescent="0.25">
      <c r="X4466" s="8" t="e">
        <f>IF(Final_Sans_VGE[[#This Row],[ppn_z]]="","",IFERROR(
   IF(_xlfn.XLOOKUP(Final_Sans_VGE[[#This Row],[ppn_z]],tbl_Historique_Final[ppn_z],tbl_Historique_Final[date_modif])=Final_Sans_VGE[[#This Row],[date_modif]],
      "Ancien",
      "Modifié"),
   "Nouveau"))</f>
        <v>#VALUE!</v>
      </c>
      <c r="AD4466" s="1" t="str">
        <f>IFERROR(IF(Final_Sans_VGE[[#This Row],[ppn_z]]="","",IFERROR(
   IF(_xlfn.XLOOKUP(Final_Sans_VGE[[#This Row],[ppn_z]],tbl_Historique_Final[[#This Row],[ppn_z]],tbl_Historique_Final[[#This Row],[date_modif]])=Final_Sans_VGE[[#This Row],[date_modif]],
      "Ancien",
      "Modifié"),
   "Nouveau")),"")</f>
        <v/>
      </c>
    </row>
    <row r="4467" spans="24:30" x14ac:dyDescent="0.25">
      <c r="X4467" s="8" t="e">
        <f>IF(Final_Sans_VGE[[#This Row],[ppn_z]]="","",IFERROR(
   IF(_xlfn.XLOOKUP(Final_Sans_VGE[[#This Row],[ppn_z]],tbl_Historique_Final[ppn_z],tbl_Historique_Final[date_modif])=Final_Sans_VGE[[#This Row],[date_modif]],
      "Ancien",
      "Modifié"),
   "Nouveau"))</f>
        <v>#VALUE!</v>
      </c>
      <c r="AD4467" s="1" t="str">
        <f>IFERROR(IF(Final_Sans_VGE[[#This Row],[ppn_z]]="","",IFERROR(
   IF(_xlfn.XLOOKUP(Final_Sans_VGE[[#This Row],[ppn_z]],tbl_Historique_Final[[#This Row],[ppn_z]],tbl_Historique_Final[[#This Row],[date_modif]])=Final_Sans_VGE[[#This Row],[date_modif]],
      "Ancien",
      "Modifié"),
   "Nouveau")),"")</f>
        <v/>
      </c>
    </row>
    <row r="4468" spans="24:30" x14ac:dyDescent="0.25">
      <c r="X4468" s="8" t="e">
        <f>IF(Final_Sans_VGE[[#This Row],[ppn_z]]="","",IFERROR(
   IF(_xlfn.XLOOKUP(Final_Sans_VGE[[#This Row],[ppn_z]],tbl_Historique_Final[ppn_z],tbl_Historique_Final[date_modif])=Final_Sans_VGE[[#This Row],[date_modif]],
      "Ancien",
      "Modifié"),
   "Nouveau"))</f>
        <v>#VALUE!</v>
      </c>
      <c r="AD4468" s="1" t="str">
        <f>IFERROR(IF(Final_Sans_VGE[[#This Row],[ppn_z]]="","",IFERROR(
   IF(_xlfn.XLOOKUP(Final_Sans_VGE[[#This Row],[ppn_z]],tbl_Historique_Final[[#This Row],[ppn_z]],tbl_Historique_Final[[#This Row],[date_modif]])=Final_Sans_VGE[[#This Row],[date_modif]],
      "Ancien",
      "Modifié"),
   "Nouveau")),"")</f>
        <v/>
      </c>
    </row>
    <row r="4469" spans="24:30" x14ac:dyDescent="0.25">
      <c r="X4469" s="8" t="e">
        <f>IF(Final_Sans_VGE[[#This Row],[ppn_z]]="","",IFERROR(
   IF(_xlfn.XLOOKUP(Final_Sans_VGE[[#This Row],[ppn_z]],tbl_Historique_Final[ppn_z],tbl_Historique_Final[date_modif])=Final_Sans_VGE[[#This Row],[date_modif]],
      "Ancien",
      "Modifié"),
   "Nouveau"))</f>
        <v>#VALUE!</v>
      </c>
      <c r="AD4469" s="1" t="str">
        <f>IFERROR(IF(Final_Sans_VGE[[#This Row],[ppn_z]]="","",IFERROR(
   IF(_xlfn.XLOOKUP(Final_Sans_VGE[[#This Row],[ppn_z]],tbl_Historique_Final[[#This Row],[ppn_z]],tbl_Historique_Final[[#This Row],[date_modif]])=Final_Sans_VGE[[#This Row],[date_modif]],
      "Ancien",
      "Modifié"),
   "Nouveau")),"")</f>
        <v/>
      </c>
    </row>
    <row r="4470" spans="24:30" x14ac:dyDescent="0.25">
      <c r="X4470" s="8" t="e">
        <f>IF(Final_Sans_VGE[[#This Row],[ppn_z]]="","",IFERROR(
   IF(_xlfn.XLOOKUP(Final_Sans_VGE[[#This Row],[ppn_z]],tbl_Historique_Final[ppn_z],tbl_Historique_Final[date_modif])=Final_Sans_VGE[[#This Row],[date_modif]],
      "Ancien",
      "Modifié"),
   "Nouveau"))</f>
        <v>#VALUE!</v>
      </c>
      <c r="AD4470" s="1" t="str">
        <f>IFERROR(IF(Final_Sans_VGE[[#This Row],[ppn_z]]="","",IFERROR(
   IF(_xlfn.XLOOKUP(Final_Sans_VGE[[#This Row],[ppn_z]],tbl_Historique_Final[[#This Row],[ppn_z]],tbl_Historique_Final[[#This Row],[date_modif]])=Final_Sans_VGE[[#This Row],[date_modif]],
      "Ancien",
      "Modifié"),
   "Nouveau")),"")</f>
        <v/>
      </c>
    </row>
    <row r="4471" spans="24:30" x14ac:dyDescent="0.25">
      <c r="X4471" s="8" t="e">
        <f>IF(Final_Sans_VGE[[#This Row],[ppn_z]]="","",IFERROR(
   IF(_xlfn.XLOOKUP(Final_Sans_VGE[[#This Row],[ppn_z]],tbl_Historique_Final[ppn_z],tbl_Historique_Final[date_modif])=Final_Sans_VGE[[#This Row],[date_modif]],
      "Ancien",
      "Modifié"),
   "Nouveau"))</f>
        <v>#VALUE!</v>
      </c>
      <c r="AD4471" s="1" t="str">
        <f>IFERROR(IF(Final_Sans_VGE[[#This Row],[ppn_z]]="","",IFERROR(
   IF(_xlfn.XLOOKUP(Final_Sans_VGE[[#This Row],[ppn_z]],tbl_Historique_Final[[#This Row],[ppn_z]],tbl_Historique_Final[[#This Row],[date_modif]])=Final_Sans_VGE[[#This Row],[date_modif]],
      "Ancien",
      "Modifié"),
   "Nouveau")),"")</f>
        <v/>
      </c>
    </row>
    <row r="4472" spans="24:30" x14ac:dyDescent="0.25">
      <c r="X4472" s="8" t="e">
        <f>IF(Final_Sans_VGE[[#This Row],[ppn_z]]="","",IFERROR(
   IF(_xlfn.XLOOKUP(Final_Sans_VGE[[#This Row],[ppn_z]],tbl_Historique_Final[ppn_z],tbl_Historique_Final[date_modif])=Final_Sans_VGE[[#This Row],[date_modif]],
      "Ancien",
      "Modifié"),
   "Nouveau"))</f>
        <v>#VALUE!</v>
      </c>
      <c r="AD4472" s="1" t="str">
        <f>IFERROR(IF(Final_Sans_VGE[[#This Row],[ppn_z]]="","",IFERROR(
   IF(_xlfn.XLOOKUP(Final_Sans_VGE[[#This Row],[ppn_z]],tbl_Historique_Final[[#This Row],[ppn_z]],tbl_Historique_Final[[#This Row],[date_modif]])=Final_Sans_VGE[[#This Row],[date_modif]],
      "Ancien",
      "Modifié"),
   "Nouveau")),"")</f>
        <v/>
      </c>
    </row>
    <row r="4473" spans="24:30" x14ac:dyDescent="0.25">
      <c r="X4473" s="8" t="e">
        <f>IF(Final_Sans_VGE[[#This Row],[ppn_z]]="","",IFERROR(
   IF(_xlfn.XLOOKUP(Final_Sans_VGE[[#This Row],[ppn_z]],tbl_Historique_Final[ppn_z],tbl_Historique_Final[date_modif])=Final_Sans_VGE[[#This Row],[date_modif]],
      "Ancien",
      "Modifié"),
   "Nouveau"))</f>
        <v>#VALUE!</v>
      </c>
      <c r="AD4473" s="1" t="str">
        <f>IFERROR(IF(Final_Sans_VGE[[#This Row],[ppn_z]]="","",IFERROR(
   IF(_xlfn.XLOOKUP(Final_Sans_VGE[[#This Row],[ppn_z]],tbl_Historique_Final[[#This Row],[ppn_z]],tbl_Historique_Final[[#This Row],[date_modif]])=Final_Sans_VGE[[#This Row],[date_modif]],
      "Ancien",
      "Modifié"),
   "Nouveau")),"")</f>
        <v/>
      </c>
    </row>
    <row r="4474" spans="24:30" x14ac:dyDescent="0.25">
      <c r="X4474" s="8" t="e">
        <f>IF(Final_Sans_VGE[[#This Row],[ppn_z]]="","",IFERROR(
   IF(_xlfn.XLOOKUP(Final_Sans_VGE[[#This Row],[ppn_z]],tbl_Historique_Final[ppn_z],tbl_Historique_Final[date_modif])=Final_Sans_VGE[[#This Row],[date_modif]],
      "Ancien",
      "Modifié"),
   "Nouveau"))</f>
        <v>#VALUE!</v>
      </c>
      <c r="AD4474" s="1" t="str">
        <f>IFERROR(IF(Final_Sans_VGE[[#This Row],[ppn_z]]="","",IFERROR(
   IF(_xlfn.XLOOKUP(Final_Sans_VGE[[#This Row],[ppn_z]],tbl_Historique_Final[[#This Row],[ppn_z]],tbl_Historique_Final[[#This Row],[date_modif]])=Final_Sans_VGE[[#This Row],[date_modif]],
      "Ancien",
      "Modifié"),
   "Nouveau")),"")</f>
        <v/>
      </c>
    </row>
    <row r="4475" spans="24:30" x14ac:dyDescent="0.25">
      <c r="X4475" s="8" t="e">
        <f>IF(Final_Sans_VGE[[#This Row],[ppn_z]]="","",IFERROR(
   IF(_xlfn.XLOOKUP(Final_Sans_VGE[[#This Row],[ppn_z]],tbl_Historique_Final[ppn_z],tbl_Historique_Final[date_modif])=Final_Sans_VGE[[#This Row],[date_modif]],
      "Ancien",
      "Modifié"),
   "Nouveau"))</f>
        <v>#VALUE!</v>
      </c>
      <c r="AD4475" s="1" t="str">
        <f>IFERROR(IF(Final_Sans_VGE[[#This Row],[ppn_z]]="","",IFERROR(
   IF(_xlfn.XLOOKUP(Final_Sans_VGE[[#This Row],[ppn_z]],tbl_Historique_Final[[#This Row],[ppn_z]],tbl_Historique_Final[[#This Row],[date_modif]])=Final_Sans_VGE[[#This Row],[date_modif]],
      "Ancien",
      "Modifié"),
   "Nouveau")),"")</f>
        <v/>
      </c>
    </row>
    <row r="4476" spans="24:30" x14ac:dyDescent="0.25">
      <c r="X4476" s="8" t="e">
        <f>IF(Final_Sans_VGE[[#This Row],[ppn_z]]="","",IFERROR(
   IF(_xlfn.XLOOKUP(Final_Sans_VGE[[#This Row],[ppn_z]],tbl_Historique_Final[ppn_z],tbl_Historique_Final[date_modif])=Final_Sans_VGE[[#This Row],[date_modif]],
      "Ancien",
      "Modifié"),
   "Nouveau"))</f>
        <v>#VALUE!</v>
      </c>
      <c r="AD4476" s="1" t="str">
        <f>IFERROR(IF(Final_Sans_VGE[[#This Row],[ppn_z]]="","",IFERROR(
   IF(_xlfn.XLOOKUP(Final_Sans_VGE[[#This Row],[ppn_z]],tbl_Historique_Final[[#This Row],[ppn_z]],tbl_Historique_Final[[#This Row],[date_modif]])=Final_Sans_VGE[[#This Row],[date_modif]],
      "Ancien",
      "Modifié"),
   "Nouveau")),"")</f>
        <v/>
      </c>
    </row>
    <row r="4477" spans="24:30" x14ac:dyDescent="0.25">
      <c r="X4477" s="8" t="e">
        <f>IF(Final_Sans_VGE[[#This Row],[ppn_z]]="","",IFERROR(
   IF(_xlfn.XLOOKUP(Final_Sans_VGE[[#This Row],[ppn_z]],tbl_Historique_Final[ppn_z],tbl_Historique_Final[date_modif])=Final_Sans_VGE[[#This Row],[date_modif]],
      "Ancien",
      "Modifié"),
   "Nouveau"))</f>
        <v>#VALUE!</v>
      </c>
      <c r="AD4477" s="1" t="str">
        <f>IFERROR(IF(Final_Sans_VGE[[#This Row],[ppn_z]]="","",IFERROR(
   IF(_xlfn.XLOOKUP(Final_Sans_VGE[[#This Row],[ppn_z]],tbl_Historique_Final[[#This Row],[ppn_z]],tbl_Historique_Final[[#This Row],[date_modif]])=Final_Sans_VGE[[#This Row],[date_modif]],
      "Ancien",
      "Modifié"),
   "Nouveau")),"")</f>
        <v/>
      </c>
    </row>
    <row r="4478" spans="24:30" x14ac:dyDescent="0.25">
      <c r="X4478" s="8" t="e">
        <f>IF(Final_Sans_VGE[[#This Row],[ppn_z]]="","",IFERROR(
   IF(_xlfn.XLOOKUP(Final_Sans_VGE[[#This Row],[ppn_z]],tbl_Historique_Final[ppn_z],tbl_Historique_Final[date_modif])=Final_Sans_VGE[[#This Row],[date_modif]],
      "Ancien",
      "Modifié"),
   "Nouveau"))</f>
        <v>#VALUE!</v>
      </c>
      <c r="AD4478" s="1" t="str">
        <f>IFERROR(IF(Final_Sans_VGE[[#This Row],[ppn_z]]="","",IFERROR(
   IF(_xlfn.XLOOKUP(Final_Sans_VGE[[#This Row],[ppn_z]],tbl_Historique_Final[[#This Row],[ppn_z]],tbl_Historique_Final[[#This Row],[date_modif]])=Final_Sans_VGE[[#This Row],[date_modif]],
      "Ancien",
      "Modifié"),
   "Nouveau")),"")</f>
        <v/>
      </c>
    </row>
    <row r="4479" spans="24:30" x14ac:dyDescent="0.25">
      <c r="X4479" s="8" t="e">
        <f>IF(Final_Sans_VGE[[#This Row],[ppn_z]]="","",IFERROR(
   IF(_xlfn.XLOOKUP(Final_Sans_VGE[[#This Row],[ppn_z]],tbl_Historique_Final[ppn_z],tbl_Historique_Final[date_modif])=Final_Sans_VGE[[#This Row],[date_modif]],
      "Ancien",
      "Modifié"),
   "Nouveau"))</f>
        <v>#VALUE!</v>
      </c>
      <c r="AD4479" s="1" t="str">
        <f>IFERROR(IF(Final_Sans_VGE[[#This Row],[ppn_z]]="","",IFERROR(
   IF(_xlfn.XLOOKUP(Final_Sans_VGE[[#This Row],[ppn_z]],tbl_Historique_Final[[#This Row],[ppn_z]],tbl_Historique_Final[[#This Row],[date_modif]])=Final_Sans_VGE[[#This Row],[date_modif]],
      "Ancien",
      "Modifié"),
   "Nouveau")),"")</f>
        <v/>
      </c>
    </row>
    <row r="4480" spans="24:30" x14ac:dyDescent="0.25">
      <c r="X4480" s="8" t="e">
        <f>IF(Final_Sans_VGE[[#This Row],[ppn_z]]="","",IFERROR(
   IF(_xlfn.XLOOKUP(Final_Sans_VGE[[#This Row],[ppn_z]],tbl_Historique_Final[ppn_z],tbl_Historique_Final[date_modif])=Final_Sans_VGE[[#This Row],[date_modif]],
      "Ancien",
      "Modifié"),
   "Nouveau"))</f>
        <v>#VALUE!</v>
      </c>
      <c r="AD4480" s="1" t="str">
        <f>IFERROR(IF(Final_Sans_VGE[[#This Row],[ppn_z]]="","",IFERROR(
   IF(_xlfn.XLOOKUP(Final_Sans_VGE[[#This Row],[ppn_z]],tbl_Historique_Final[[#This Row],[ppn_z]],tbl_Historique_Final[[#This Row],[date_modif]])=Final_Sans_VGE[[#This Row],[date_modif]],
      "Ancien",
      "Modifié"),
   "Nouveau")),"")</f>
        <v/>
      </c>
    </row>
    <row r="4481" spans="24:30" x14ac:dyDescent="0.25">
      <c r="X4481" s="8" t="e">
        <f>IF(Final_Sans_VGE[[#This Row],[ppn_z]]="","",IFERROR(
   IF(_xlfn.XLOOKUP(Final_Sans_VGE[[#This Row],[ppn_z]],tbl_Historique_Final[ppn_z],tbl_Historique_Final[date_modif])=Final_Sans_VGE[[#This Row],[date_modif]],
      "Ancien",
      "Modifié"),
   "Nouveau"))</f>
        <v>#VALUE!</v>
      </c>
      <c r="AD4481" s="1" t="str">
        <f>IFERROR(IF(Final_Sans_VGE[[#This Row],[ppn_z]]="","",IFERROR(
   IF(_xlfn.XLOOKUP(Final_Sans_VGE[[#This Row],[ppn_z]],tbl_Historique_Final[[#This Row],[ppn_z]],tbl_Historique_Final[[#This Row],[date_modif]])=Final_Sans_VGE[[#This Row],[date_modif]],
      "Ancien",
      "Modifié"),
   "Nouveau")),"")</f>
        <v/>
      </c>
    </row>
    <row r="4482" spans="24:30" x14ac:dyDescent="0.25">
      <c r="X4482" s="8" t="e">
        <f>IF(Final_Sans_VGE[[#This Row],[ppn_z]]="","",IFERROR(
   IF(_xlfn.XLOOKUP(Final_Sans_VGE[[#This Row],[ppn_z]],tbl_Historique_Final[ppn_z],tbl_Historique_Final[date_modif])=Final_Sans_VGE[[#This Row],[date_modif]],
      "Ancien",
      "Modifié"),
   "Nouveau"))</f>
        <v>#VALUE!</v>
      </c>
      <c r="AD4482" s="1" t="str">
        <f>IFERROR(IF(Final_Sans_VGE[[#This Row],[ppn_z]]="","",IFERROR(
   IF(_xlfn.XLOOKUP(Final_Sans_VGE[[#This Row],[ppn_z]],tbl_Historique_Final[[#This Row],[ppn_z]],tbl_Historique_Final[[#This Row],[date_modif]])=Final_Sans_VGE[[#This Row],[date_modif]],
      "Ancien",
      "Modifié"),
   "Nouveau")),"")</f>
        <v/>
      </c>
    </row>
    <row r="4483" spans="24:30" x14ac:dyDescent="0.25">
      <c r="X4483" s="8" t="e">
        <f>IF(Final_Sans_VGE[[#This Row],[ppn_z]]="","",IFERROR(
   IF(_xlfn.XLOOKUP(Final_Sans_VGE[[#This Row],[ppn_z]],tbl_Historique_Final[ppn_z],tbl_Historique_Final[date_modif])=Final_Sans_VGE[[#This Row],[date_modif]],
      "Ancien",
      "Modifié"),
   "Nouveau"))</f>
        <v>#VALUE!</v>
      </c>
      <c r="AD4483" s="1" t="str">
        <f>IFERROR(IF(Final_Sans_VGE[[#This Row],[ppn_z]]="","",IFERROR(
   IF(_xlfn.XLOOKUP(Final_Sans_VGE[[#This Row],[ppn_z]],tbl_Historique_Final[[#This Row],[ppn_z]],tbl_Historique_Final[[#This Row],[date_modif]])=Final_Sans_VGE[[#This Row],[date_modif]],
      "Ancien",
      "Modifié"),
   "Nouveau")),"")</f>
        <v/>
      </c>
    </row>
    <row r="4484" spans="24:30" x14ac:dyDescent="0.25">
      <c r="X4484" s="8" t="e">
        <f>IF(Final_Sans_VGE[[#This Row],[ppn_z]]="","",IFERROR(
   IF(_xlfn.XLOOKUP(Final_Sans_VGE[[#This Row],[ppn_z]],tbl_Historique_Final[ppn_z],tbl_Historique_Final[date_modif])=Final_Sans_VGE[[#This Row],[date_modif]],
      "Ancien",
      "Modifié"),
   "Nouveau"))</f>
        <v>#VALUE!</v>
      </c>
      <c r="AD4484" s="1" t="str">
        <f>IFERROR(IF(Final_Sans_VGE[[#This Row],[ppn_z]]="","",IFERROR(
   IF(_xlfn.XLOOKUP(Final_Sans_VGE[[#This Row],[ppn_z]],tbl_Historique_Final[[#This Row],[ppn_z]],tbl_Historique_Final[[#This Row],[date_modif]])=Final_Sans_VGE[[#This Row],[date_modif]],
      "Ancien",
      "Modifié"),
   "Nouveau")),"")</f>
        <v/>
      </c>
    </row>
    <row r="4485" spans="24:30" x14ac:dyDescent="0.25">
      <c r="X4485" s="8" t="e">
        <f>IF(Final_Sans_VGE[[#This Row],[ppn_z]]="","",IFERROR(
   IF(_xlfn.XLOOKUP(Final_Sans_VGE[[#This Row],[ppn_z]],tbl_Historique_Final[ppn_z],tbl_Historique_Final[date_modif])=Final_Sans_VGE[[#This Row],[date_modif]],
      "Ancien",
      "Modifié"),
   "Nouveau"))</f>
        <v>#VALUE!</v>
      </c>
      <c r="AD4485" s="1" t="str">
        <f>IFERROR(IF(Final_Sans_VGE[[#This Row],[ppn_z]]="","",IFERROR(
   IF(_xlfn.XLOOKUP(Final_Sans_VGE[[#This Row],[ppn_z]],tbl_Historique_Final[[#This Row],[ppn_z]],tbl_Historique_Final[[#This Row],[date_modif]])=Final_Sans_VGE[[#This Row],[date_modif]],
      "Ancien",
      "Modifié"),
   "Nouveau")),"")</f>
        <v/>
      </c>
    </row>
    <row r="4486" spans="24:30" x14ac:dyDescent="0.25">
      <c r="X4486" s="8" t="e">
        <f>IF(Final_Sans_VGE[[#This Row],[ppn_z]]="","",IFERROR(
   IF(_xlfn.XLOOKUP(Final_Sans_VGE[[#This Row],[ppn_z]],tbl_Historique_Final[ppn_z],tbl_Historique_Final[date_modif])=Final_Sans_VGE[[#This Row],[date_modif]],
      "Ancien",
      "Modifié"),
   "Nouveau"))</f>
        <v>#VALUE!</v>
      </c>
      <c r="AD4486" s="1" t="str">
        <f>IFERROR(IF(Final_Sans_VGE[[#This Row],[ppn_z]]="","",IFERROR(
   IF(_xlfn.XLOOKUP(Final_Sans_VGE[[#This Row],[ppn_z]],tbl_Historique_Final[[#This Row],[ppn_z]],tbl_Historique_Final[[#This Row],[date_modif]])=Final_Sans_VGE[[#This Row],[date_modif]],
      "Ancien",
      "Modifié"),
   "Nouveau")),"")</f>
        <v/>
      </c>
    </row>
    <row r="4487" spans="24:30" x14ac:dyDescent="0.25">
      <c r="X4487" s="8" t="e">
        <f>IF(Final_Sans_VGE[[#This Row],[ppn_z]]="","",IFERROR(
   IF(_xlfn.XLOOKUP(Final_Sans_VGE[[#This Row],[ppn_z]],tbl_Historique_Final[ppn_z],tbl_Historique_Final[date_modif])=Final_Sans_VGE[[#This Row],[date_modif]],
      "Ancien",
      "Modifié"),
   "Nouveau"))</f>
        <v>#VALUE!</v>
      </c>
      <c r="AD4487" s="1" t="str">
        <f>IFERROR(IF(Final_Sans_VGE[[#This Row],[ppn_z]]="","",IFERROR(
   IF(_xlfn.XLOOKUP(Final_Sans_VGE[[#This Row],[ppn_z]],tbl_Historique_Final[[#This Row],[ppn_z]],tbl_Historique_Final[[#This Row],[date_modif]])=Final_Sans_VGE[[#This Row],[date_modif]],
      "Ancien",
      "Modifié"),
   "Nouveau")),"")</f>
        <v/>
      </c>
    </row>
    <row r="4488" spans="24:30" x14ac:dyDescent="0.25">
      <c r="X4488" s="8" t="e">
        <f>IF(Final_Sans_VGE[[#This Row],[ppn_z]]="","",IFERROR(
   IF(_xlfn.XLOOKUP(Final_Sans_VGE[[#This Row],[ppn_z]],tbl_Historique_Final[ppn_z],tbl_Historique_Final[date_modif])=Final_Sans_VGE[[#This Row],[date_modif]],
      "Ancien",
      "Modifié"),
   "Nouveau"))</f>
        <v>#VALUE!</v>
      </c>
      <c r="AD4488" s="1" t="str">
        <f>IFERROR(IF(Final_Sans_VGE[[#This Row],[ppn_z]]="","",IFERROR(
   IF(_xlfn.XLOOKUP(Final_Sans_VGE[[#This Row],[ppn_z]],tbl_Historique_Final[[#This Row],[ppn_z]],tbl_Historique_Final[[#This Row],[date_modif]])=Final_Sans_VGE[[#This Row],[date_modif]],
      "Ancien",
      "Modifié"),
   "Nouveau")),"")</f>
        <v/>
      </c>
    </row>
    <row r="4489" spans="24:30" x14ac:dyDescent="0.25">
      <c r="X4489" s="8" t="e">
        <f>IF(Final_Sans_VGE[[#This Row],[ppn_z]]="","",IFERROR(
   IF(_xlfn.XLOOKUP(Final_Sans_VGE[[#This Row],[ppn_z]],tbl_Historique_Final[ppn_z],tbl_Historique_Final[date_modif])=Final_Sans_VGE[[#This Row],[date_modif]],
      "Ancien",
      "Modifié"),
   "Nouveau"))</f>
        <v>#VALUE!</v>
      </c>
      <c r="AD4489" s="1" t="str">
        <f>IFERROR(IF(Final_Sans_VGE[[#This Row],[ppn_z]]="","",IFERROR(
   IF(_xlfn.XLOOKUP(Final_Sans_VGE[[#This Row],[ppn_z]],tbl_Historique_Final[[#This Row],[ppn_z]],tbl_Historique_Final[[#This Row],[date_modif]])=Final_Sans_VGE[[#This Row],[date_modif]],
      "Ancien",
      "Modifié"),
   "Nouveau")),"")</f>
        <v/>
      </c>
    </row>
    <row r="4490" spans="24:30" x14ac:dyDescent="0.25">
      <c r="X4490" s="8" t="e">
        <f>IF(Final_Sans_VGE[[#This Row],[ppn_z]]="","",IFERROR(
   IF(_xlfn.XLOOKUP(Final_Sans_VGE[[#This Row],[ppn_z]],tbl_Historique_Final[ppn_z],tbl_Historique_Final[date_modif])=Final_Sans_VGE[[#This Row],[date_modif]],
      "Ancien",
      "Modifié"),
   "Nouveau"))</f>
        <v>#VALUE!</v>
      </c>
      <c r="AD4490" s="1" t="str">
        <f>IFERROR(IF(Final_Sans_VGE[[#This Row],[ppn_z]]="","",IFERROR(
   IF(_xlfn.XLOOKUP(Final_Sans_VGE[[#This Row],[ppn_z]],tbl_Historique_Final[[#This Row],[ppn_z]],tbl_Historique_Final[[#This Row],[date_modif]])=Final_Sans_VGE[[#This Row],[date_modif]],
      "Ancien",
      "Modifié"),
   "Nouveau")),"")</f>
        <v/>
      </c>
    </row>
    <row r="4491" spans="24:30" x14ac:dyDescent="0.25">
      <c r="X4491" s="8" t="e">
        <f>IF(Final_Sans_VGE[[#This Row],[ppn_z]]="","",IFERROR(
   IF(_xlfn.XLOOKUP(Final_Sans_VGE[[#This Row],[ppn_z]],tbl_Historique_Final[ppn_z],tbl_Historique_Final[date_modif])=Final_Sans_VGE[[#This Row],[date_modif]],
      "Ancien",
      "Modifié"),
   "Nouveau"))</f>
        <v>#VALUE!</v>
      </c>
      <c r="AD4491" s="1" t="str">
        <f>IFERROR(IF(Final_Sans_VGE[[#This Row],[ppn_z]]="","",IFERROR(
   IF(_xlfn.XLOOKUP(Final_Sans_VGE[[#This Row],[ppn_z]],tbl_Historique_Final[[#This Row],[ppn_z]],tbl_Historique_Final[[#This Row],[date_modif]])=Final_Sans_VGE[[#This Row],[date_modif]],
      "Ancien",
      "Modifié"),
   "Nouveau")),"")</f>
        <v/>
      </c>
    </row>
    <row r="4492" spans="24:30" x14ac:dyDescent="0.25">
      <c r="X4492" s="8" t="e">
        <f>IF(Final_Sans_VGE[[#This Row],[ppn_z]]="","",IFERROR(
   IF(_xlfn.XLOOKUP(Final_Sans_VGE[[#This Row],[ppn_z]],tbl_Historique_Final[ppn_z],tbl_Historique_Final[date_modif])=Final_Sans_VGE[[#This Row],[date_modif]],
      "Ancien",
      "Modifié"),
   "Nouveau"))</f>
        <v>#VALUE!</v>
      </c>
      <c r="AD4492" s="1" t="str">
        <f>IFERROR(IF(Final_Sans_VGE[[#This Row],[ppn_z]]="","",IFERROR(
   IF(_xlfn.XLOOKUP(Final_Sans_VGE[[#This Row],[ppn_z]],tbl_Historique_Final[[#This Row],[ppn_z]],tbl_Historique_Final[[#This Row],[date_modif]])=Final_Sans_VGE[[#This Row],[date_modif]],
      "Ancien",
      "Modifié"),
   "Nouveau")),"")</f>
        <v/>
      </c>
    </row>
    <row r="4493" spans="24:30" x14ac:dyDescent="0.25">
      <c r="X4493" s="8" t="e">
        <f>IF(Final_Sans_VGE[[#This Row],[ppn_z]]="","",IFERROR(
   IF(_xlfn.XLOOKUP(Final_Sans_VGE[[#This Row],[ppn_z]],tbl_Historique_Final[ppn_z],tbl_Historique_Final[date_modif])=Final_Sans_VGE[[#This Row],[date_modif]],
      "Ancien",
      "Modifié"),
   "Nouveau"))</f>
        <v>#VALUE!</v>
      </c>
      <c r="AD4493" s="1" t="str">
        <f>IFERROR(IF(Final_Sans_VGE[[#This Row],[ppn_z]]="","",IFERROR(
   IF(_xlfn.XLOOKUP(Final_Sans_VGE[[#This Row],[ppn_z]],tbl_Historique_Final[[#This Row],[ppn_z]],tbl_Historique_Final[[#This Row],[date_modif]])=Final_Sans_VGE[[#This Row],[date_modif]],
      "Ancien",
      "Modifié"),
   "Nouveau")),"")</f>
        <v/>
      </c>
    </row>
    <row r="4494" spans="24:30" x14ac:dyDescent="0.25">
      <c r="X4494" s="8" t="e">
        <f>IF(Final_Sans_VGE[[#This Row],[ppn_z]]="","",IFERROR(
   IF(_xlfn.XLOOKUP(Final_Sans_VGE[[#This Row],[ppn_z]],tbl_Historique_Final[ppn_z],tbl_Historique_Final[date_modif])=Final_Sans_VGE[[#This Row],[date_modif]],
      "Ancien",
      "Modifié"),
   "Nouveau"))</f>
        <v>#VALUE!</v>
      </c>
      <c r="AD4494" s="1" t="str">
        <f>IFERROR(IF(Final_Sans_VGE[[#This Row],[ppn_z]]="","",IFERROR(
   IF(_xlfn.XLOOKUP(Final_Sans_VGE[[#This Row],[ppn_z]],tbl_Historique_Final[[#This Row],[ppn_z]],tbl_Historique_Final[[#This Row],[date_modif]])=Final_Sans_VGE[[#This Row],[date_modif]],
      "Ancien",
      "Modifié"),
   "Nouveau")),"")</f>
        <v/>
      </c>
    </row>
    <row r="4495" spans="24:30" x14ac:dyDescent="0.25">
      <c r="X4495" s="8" t="e">
        <f>IF(Final_Sans_VGE[[#This Row],[ppn_z]]="","",IFERROR(
   IF(_xlfn.XLOOKUP(Final_Sans_VGE[[#This Row],[ppn_z]],tbl_Historique_Final[ppn_z],tbl_Historique_Final[date_modif])=Final_Sans_VGE[[#This Row],[date_modif]],
      "Ancien",
      "Modifié"),
   "Nouveau"))</f>
        <v>#VALUE!</v>
      </c>
      <c r="AD4495" s="1" t="str">
        <f>IFERROR(IF(Final_Sans_VGE[[#This Row],[ppn_z]]="","",IFERROR(
   IF(_xlfn.XLOOKUP(Final_Sans_VGE[[#This Row],[ppn_z]],tbl_Historique_Final[[#This Row],[ppn_z]],tbl_Historique_Final[[#This Row],[date_modif]])=Final_Sans_VGE[[#This Row],[date_modif]],
      "Ancien",
      "Modifié"),
   "Nouveau")),"")</f>
        <v/>
      </c>
    </row>
    <row r="4496" spans="24:30" x14ac:dyDescent="0.25">
      <c r="X4496" s="8" t="e">
        <f>IF(Final_Sans_VGE[[#This Row],[ppn_z]]="","",IFERROR(
   IF(_xlfn.XLOOKUP(Final_Sans_VGE[[#This Row],[ppn_z]],tbl_Historique_Final[ppn_z],tbl_Historique_Final[date_modif])=Final_Sans_VGE[[#This Row],[date_modif]],
      "Ancien",
      "Modifié"),
   "Nouveau"))</f>
        <v>#VALUE!</v>
      </c>
      <c r="AD4496" s="1" t="str">
        <f>IFERROR(IF(Final_Sans_VGE[[#This Row],[ppn_z]]="","",IFERROR(
   IF(_xlfn.XLOOKUP(Final_Sans_VGE[[#This Row],[ppn_z]],tbl_Historique_Final[[#This Row],[ppn_z]],tbl_Historique_Final[[#This Row],[date_modif]])=Final_Sans_VGE[[#This Row],[date_modif]],
      "Ancien",
      "Modifié"),
   "Nouveau")),"")</f>
        <v/>
      </c>
    </row>
    <row r="4497" spans="24:30" x14ac:dyDescent="0.25">
      <c r="X4497" s="8" t="e">
        <f>IF(Final_Sans_VGE[[#This Row],[ppn_z]]="","",IFERROR(
   IF(_xlfn.XLOOKUP(Final_Sans_VGE[[#This Row],[ppn_z]],tbl_Historique_Final[ppn_z],tbl_Historique_Final[date_modif])=Final_Sans_VGE[[#This Row],[date_modif]],
      "Ancien",
      "Modifié"),
   "Nouveau"))</f>
        <v>#VALUE!</v>
      </c>
      <c r="AD4497" s="1" t="str">
        <f>IFERROR(IF(Final_Sans_VGE[[#This Row],[ppn_z]]="","",IFERROR(
   IF(_xlfn.XLOOKUP(Final_Sans_VGE[[#This Row],[ppn_z]],tbl_Historique_Final[[#This Row],[ppn_z]],tbl_Historique_Final[[#This Row],[date_modif]])=Final_Sans_VGE[[#This Row],[date_modif]],
      "Ancien",
      "Modifié"),
   "Nouveau")),"")</f>
        <v/>
      </c>
    </row>
    <row r="4498" spans="24:30" x14ac:dyDescent="0.25">
      <c r="X4498" s="8" t="e">
        <f>IF(Final_Sans_VGE[[#This Row],[ppn_z]]="","",IFERROR(
   IF(_xlfn.XLOOKUP(Final_Sans_VGE[[#This Row],[ppn_z]],tbl_Historique_Final[ppn_z],tbl_Historique_Final[date_modif])=Final_Sans_VGE[[#This Row],[date_modif]],
      "Ancien",
      "Modifié"),
   "Nouveau"))</f>
        <v>#VALUE!</v>
      </c>
      <c r="AD4498" s="1" t="str">
        <f>IFERROR(IF(Final_Sans_VGE[[#This Row],[ppn_z]]="","",IFERROR(
   IF(_xlfn.XLOOKUP(Final_Sans_VGE[[#This Row],[ppn_z]],tbl_Historique_Final[[#This Row],[ppn_z]],tbl_Historique_Final[[#This Row],[date_modif]])=Final_Sans_VGE[[#This Row],[date_modif]],
      "Ancien",
      "Modifié"),
   "Nouveau")),"")</f>
        <v/>
      </c>
    </row>
    <row r="4499" spans="24:30" x14ac:dyDescent="0.25">
      <c r="X4499" s="8" t="e">
        <f>IF(Final_Sans_VGE[[#This Row],[ppn_z]]="","",IFERROR(
   IF(_xlfn.XLOOKUP(Final_Sans_VGE[[#This Row],[ppn_z]],tbl_Historique_Final[ppn_z],tbl_Historique_Final[date_modif])=Final_Sans_VGE[[#This Row],[date_modif]],
      "Ancien",
      "Modifié"),
   "Nouveau"))</f>
        <v>#VALUE!</v>
      </c>
      <c r="AD4499" s="1" t="str">
        <f>IFERROR(IF(Final_Sans_VGE[[#This Row],[ppn_z]]="","",IFERROR(
   IF(_xlfn.XLOOKUP(Final_Sans_VGE[[#This Row],[ppn_z]],tbl_Historique_Final[[#This Row],[ppn_z]],tbl_Historique_Final[[#This Row],[date_modif]])=Final_Sans_VGE[[#This Row],[date_modif]],
      "Ancien",
      "Modifié"),
   "Nouveau")),"")</f>
        <v/>
      </c>
    </row>
    <row r="4500" spans="24:30" x14ac:dyDescent="0.25">
      <c r="X4500" s="8" t="e">
        <f>IF(Final_Sans_VGE[[#This Row],[ppn_z]]="","",IFERROR(
   IF(_xlfn.XLOOKUP(Final_Sans_VGE[[#This Row],[ppn_z]],tbl_Historique_Final[ppn_z],tbl_Historique_Final[date_modif])=Final_Sans_VGE[[#This Row],[date_modif]],
      "Ancien",
      "Modifié"),
   "Nouveau"))</f>
        <v>#VALUE!</v>
      </c>
      <c r="AD4500" s="1" t="str">
        <f>IFERROR(IF(Final_Sans_VGE[[#This Row],[ppn_z]]="","",IFERROR(
   IF(_xlfn.XLOOKUP(Final_Sans_VGE[[#This Row],[ppn_z]],tbl_Historique_Final[[#This Row],[ppn_z]],tbl_Historique_Final[[#This Row],[date_modif]])=Final_Sans_VGE[[#This Row],[date_modif]],
      "Ancien",
      "Modifié"),
   "Nouveau")),"")</f>
        <v/>
      </c>
    </row>
    <row r="4501" spans="24:30" x14ac:dyDescent="0.25">
      <c r="X4501" s="8" t="e">
        <f>IF(Final_Sans_VGE[[#This Row],[ppn_z]]="","",IFERROR(
   IF(_xlfn.XLOOKUP(Final_Sans_VGE[[#This Row],[ppn_z]],tbl_Historique_Final[ppn_z],tbl_Historique_Final[date_modif])=Final_Sans_VGE[[#This Row],[date_modif]],
      "Ancien",
      "Modifié"),
   "Nouveau"))</f>
        <v>#VALUE!</v>
      </c>
      <c r="AD4501" s="1" t="str">
        <f>IFERROR(IF(Final_Sans_VGE[[#This Row],[ppn_z]]="","",IFERROR(
   IF(_xlfn.XLOOKUP(Final_Sans_VGE[[#This Row],[ppn_z]],tbl_Historique_Final[[#This Row],[ppn_z]],tbl_Historique_Final[[#This Row],[date_modif]])=Final_Sans_VGE[[#This Row],[date_modif]],
      "Ancien",
      "Modifié"),
   "Nouveau")),"")</f>
        <v/>
      </c>
    </row>
    <row r="4502" spans="24:30" x14ac:dyDescent="0.25">
      <c r="X4502" s="8" t="e">
        <f>IF(Final_Sans_VGE[[#This Row],[ppn_z]]="","",IFERROR(
   IF(_xlfn.XLOOKUP(Final_Sans_VGE[[#This Row],[ppn_z]],tbl_Historique_Final[ppn_z],tbl_Historique_Final[date_modif])=Final_Sans_VGE[[#This Row],[date_modif]],
      "Ancien",
      "Modifié"),
   "Nouveau"))</f>
        <v>#VALUE!</v>
      </c>
      <c r="AD4502" s="1" t="str">
        <f>IFERROR(IF(Final_Sans_VGE[[#This Row],[ppn_z]]="","",IFERROR(
   IF(_xlfn.XLOOKUP(Final_Sans_VGE[[#This Row],[ppn_z]],tbl_Historique_Final[[#This Row],[ppn_z]],tbl_Historique_Final[[#This Row],[date_modif]])=Final_Sans_VGE[[#This Row],[date_modif]],
      "Ancien",
      "Modifié"),
   "Nouveau")),"")</f>
        <v/>
      </c>
    </row>
    <row r="4503" spans="24:30" x14ac:dyDescent="0.25">
      <c r="X4503" s="8" t="e">
        <f>IF(Final_Sans_VGE[[#This Row],[ppn_z]]="","",IFERROR(
   IF(_xlfn.XLOOKUP(Final_Sans_VGE[[#This Row],[ppn_z]],tbl_Historique_Final[ppn_z],tbl_Historique_Final[date_modif])=Final_Sans_VGE[[#This Row],[date_modif]],
      "Ancien",
      "Modifié"),
   "Nouveau"))</f>
        <v>#VALUE!</v>
      </c>
      <c r="AD4503" s="1" t="str">
        <f>IFERROR(IF(Final_Sans_VGE[[#This Row],[ppn_z]]="","",IFERROR(
   IF(_xlfn.XLOOKUP(Final_Sans_VGE[[#This Row],[ppn_z]],tbl_Historique_Final[[#This Row],[ppn_z]],tbl_Historique_Final[[#This Row],[date_modif]])=Final_Sans_VGE[[#This Row],[date_modif]],
      "Ancien",
      "Modifié"),
   "Nouveau")),"")</f>
        <v/>
      </c>
    </row>
    <row r="4504" spans="24:30" x14ac:dyDescent="0.25">
      <c r="X4504" s="8" t="e">
        <f>IF(Final_Sans_VGE[[#This Row],[ppn_z]]="","",IFERROR(
   IF(_xlfn.XLOOKUP(Final_Sans_VGE[[#This Row],[ppn_z]],tbl_Historique_Final[ppn_z],tbl_Historique_Final[date_modif])=Final_Sans_VGE[[#This Row],[date_modif]],
      "Ancien",
      "Modifié"),
   "Nouveau"))</f>
        <v>#VALUE!</v>
      </c>
      <c r="AD4504" s="1" t="str">
        <f>IFERROR(IF(Final_Sans_VGE[[#This Row],[ppn_z]]="","",IFERROR(
   IF(_xlfn.XLOOKUP(Final_Sans_VGE[[#This Row],[ppn_z]],tbl_Historique_Final[[#This Row],[ppn_z]],tbl_Historique_Final[[#This Row],[date_modif]])=Final_Sans_VGE[[#This Row],[date_modif]],
      "Ancien",
      "Modifié"),
   "Nouveau")),"")</f>
        <v/>
      </c>
    </row>
    <row r="4505" spans="24:30" x14ac:dyDescent="0.25">
      <c r="X4505" s="8" t="e">
        <f>IF(Final_Sans_VGE[[#This Row],[ppn_z]]="","",IFERROR(
   IF(_xlfn.XLOOKUP(Final_Sans_VGE[[#This Row],[ppn_z]],tbl_Historique_Final[ppn_z],tbl_Historique_Final[date_modif])=Final_Sans_VGE[[#This Row],[date_modif]],
      "Ancien",
      "Modifié"),
   "Nouveau"))</f>
        <v>#VALUE!</v>
      </c>
      <c r="AD4505" s="1" t="str">
        <f>IFERROR(IF(Final_Sans_VGE[[#This Row],[ppn_z]]="","",IFERROR(
   IF(_xlfn.XLOOKUP(Final_Sans_VGE[[#This Row],[ppn_z]],tbl_Historique_Final[[#This Row],[ppn_z]],tbl_Historique_Final[[#This Row],[date_modif]])=Final_Sans_VGE[[#This Row],[date_modif]],
      "Ancien",
      "Modifié"),
   "Nouveau")),"")</f>
        <v/>
      </c>
    </row>
    <row r="4506" spans="24:30" x14ac:dyDescent="0.25">
      <c r="X4506" s="8" t="e">
        <f>IF(Final_Sans_VGE[[#This Row],[ppn_z]]="","",IFERROR(
   IF(_xlfn.XLOOKUP(Final_Sans_VGE[[#This Row],[ppn_z]],tbl_Historique_Final[ppn_z],tbl_Historique_Final[date_modif])=Final_Sans_VGE[[#This Row],[date_modif]],
      "Ancien",
      "Modifié"),
   "Nouveau"))</f>
        <v>#VALUE!</v>
      </c>
      <c r="AD4506" s="1" t="str">
        <f>IFERROR(IF(Final_Sans_VGE[[#This Row],[ppn_z]]="","",IFERROR(
   IF(_xlfn.XLOOKUP(Final_Sans_VGE[[#This Row],[ppn_z]],tbl_Historique_Final[[#This Row],[ppn_z]],tbl_Historique_Final[[#This Row],[date_modif]])=Final_Sans_VGE[[#This Row],[date_modif]],
      "Ancien",
      "Modifié"),
   "Nouveau")),"")</f>
        <v/>
      </c>
    </row>
    <row r="4507" spans="24:30" x14ac:dyDescent="0.25">
      <c r="X4507" s="8" t="e">
        <f>IF(Final_Sans_VGE[[#This Row],[ppn_z]]="","",IFERROR(
   IF(_xlfn.XLOOKUP(Final_Sans_VGE[[#This Row],[ppn_z]],tbl_Historique_Final[ppn_z],tbl_Historique_Final[date_modif])=Final_Sans_VGE[[#This Row],[date_modif]],
      "Ancien",
      "Modifié"),
   "Nouveau"))</f>
        <v>#VALUE!</v>
      </c>
      <c r="AD4507" s="1" t="str">
        <f>IFERROR(IF(Final_Sans_VGE[[#This Row],[ppn_z]]="","",IFERROR(
   IF(_xlfn.XLOOKUP(Final_Sans_VGE[[#This Row],[ppn_z]],tbl_Historique_Final[[#This Row],[ppn_z]],tbl_Historique_Final[[#This Row],[date_modif]])=Final_Sans_VGE[[#This Row],[date_modif]],
      "Ancien",
      "Modifié"),
   "Nouveau")),"")</f>
        <v/>
      </c>
    </row>
    <row r="4508" spans="24:30" x14ac:dyDescent="0.25">
      <c r="X4508" s="8" t="e">
        <f>IF(Final_Sans_VGE[[#This Row],[ppn_z]]="","",IFERROR(
   IF(_xlfn.XLOOKUP(Final_Sans_VGE[[#This Row],[ppn_z]],tbl_Historique_Final[ppn_z],tbl_Historique_Final[date_modif])=Final_Sans_VGE[[#This Row],[date_modif]],
      "Ancien",
      "Modifié"),
   "Nouveau"))</f>
        <v>#VALUE!</v>
      </c>
      <c r="AD4508" s="1" t="str">
        <f>IFERROR(IF(Final_Sans_VGE[[#This Row],[ppn_z]]="","",IFERROR(
   IF(_xlfn.XLOOKUP(Final_Sans_VGE[[#This Row],[ppn_z]],tbl_Historique_Final[[#This Row],[ppn_z]],tbl_Historique_Final[[#This Row],[date_modif]])=Final_Sans_VGE[[#This Row],[date_modif]],
      "Ancien",
      "Modifié"),
   "Nouveau")),"")</f>
        <v/>
      </c>
    </row>
    <row r="4509" spans="24:30" x14ac:dyDescent="0.25">
      <c r="X4509" s="8" t="e">
        <f>IF(Final_Sans_VGE[[#This Row],[ppn_z]]="","",IFERROR(
   IF(_xlfn.XLOOKUP(Final_Sans_VGE[[#This Row],[ppn_z]],tbl_Historique_Final[ppn_z],tbl_Historique_Final[date_modif])=Final_Sans_VGE[[#This Row],[date_modif]],
      "Ancien",
      "Modifié"),
   "Nouveau"))</f>
        <v>#VALUE!</v>
      </c>
      <c r="AD4509" s="1" t="str">
        <f>IFERROR(IF(Final_Sans_VGE[[#This Row],[ppn_z]]="","",IFERROR(
   IF(_xlfn.XLOOKUP(Final_Sans_VGE[[#This Row],[ppn_z]],tbl_Historique_Final[[#This Row],[ppn_z]],tbl_Historique_Final[[#This Row],[date_modif]])=Final_Sans_VGE[[#This Row],[date_modif]],
      "Ancien",
      "Modifié"),
   "Nouveau")),"")</f>
        <v/>
      </c>
    </row>
    <row r="4510" spans="24:30" x14ac:dyDescent="0.25">
      <c r="X4510" s="8" t="e">
        <f>IF(Final_Sans_VGE[[#This Row],[ppn_z]]="","",IFERROR(
   IF(_xlfn.XLOOKUP(Final_Sans_VGE[[#This Row],[ppn_z]],tbl_Historique_Final[ppn_z],tbl_Historique_Final[date_modif])=Final_Sans_VGE[[#This Row],[date_modif]],
      "Ancien",
      "Modifié"),
   "Nouveau"))</f>
        <v>#VALUE!</v>
      </c>
      <c r="AD4510" s="1" t="str">
        <f>IFERROR(IF(Final_Sans_VGE[[#This Row],[ppn_z]]="","",IFERROR(
   IF(_xlfn.XLOOKUP(Final_Sans_VGE[[#This Row],[ppn_z]],tbl_Historique_Final[[#This Row],[ppn_z]],tbl_Historique_Final[[#This Row],[date_modif]])=Final_Sans_VGE[[#This Row],[date_modif]],
      "Ancien",
      "Modifié"),
   "Nouveau")),"")</f>
        <v/>
      </c>
    </row>
    <row r="4511" spans="24:30" x14ac:dyDescent="0.25">
      <c r="X4511" s="8" t="e">
        <f>IF(Final_Sans_VGE[[#This Row],[ppn_z]]="","",IFERROR(
   IF(_xlfn.XLOOKUP(Final_Sans_VGE[[#This Row],[ppn_z]],tbl_Historique_Final[ppn_z],tbl_Historique_Final[date_modif])=Final_Sans_VGE[[#This Row],[date_modif]],
      "Ancien",
      "Modifié"),
   "Nouveau"))</f>
        <v>#VALUE!</v>
      </c>
      <c r="AD4511" s="1" t="str">
        <f>IFERROR(IF(Final_Sans_VGE[[#This Row],[ppn_z]]="","",IFERROR(
   IF(_xlfn.XLOOKUP(Final_Sans_VGE[[#This Row],[ppn_z]],tbl_Historique_Final[[#This Row],[ppn_z]],tbl_Historique_Final[[#This Row],[date_modif]])=Final_Sans_VGE[[#This Row],[date_modif]],
      "Ancien",
      "Modifié"),
   "Nouveau")),"")</f>
        <v/>
      </c>
    </row>
    <row r="4512" spans="24:30" x14ac:dyDescent="0.25">
      <c r="X4512" s="8" t="e">
        <f>IF(Final_Sans_VGE[[#This Row],[ppn_z]]="","",IFERROR(
   IF(_xlfn.XLOOKUP(Final_Sans_VGE[[#This Row],[ppn_z]],tbl_Historique_Final[ppn_z],tbl_Historique_Final[date_modif])=Final_Sans_VGE[[#This Row],[date_modif]],
      "Ancien",
      "Modifié"),
   "Nouveau"))</f>
        <v>#VALUE!</v>
      </c>
      <c r="AD4512" s="1" t="str">
        <f>IFERROR(IF(Final_Sans_VGE[[#This Row],[ppn_z]]="","",IFERROR(
   IF(_xlfn.XLOOKUP(Final_Sans_VGE[[#This Row],[ppn_z]],tbl_Historique_Final[[#This Row],[ppn_z]],tbl_Historique_Final[[#This Row],[date_modif]])=Final_Sans_VGE[[#This Row],[date_modif]],
      "Ancien",
      "Modifié"),
   "Nouveau")),"")</f>
        <v/>
      </c>
    </row>
    <row r="4513" spans="24:30" x14ac:dyDescent="0.25">
      <c r="X4513" s="8" t="e">
        <f>IF(Final_Sans_VGE[[#This Row],[ppn_z]]="","",IFERROR(
   IF(_xlfn.XLOOKUP(Final_Sans_VGE[[#This Row],[ppn_z]],tbl_Historique_Final[ppn_z],tbl_Historique_Final[date_modif])=Final_Sans_VGE[[#This Row],[date_modif]],
      "Ancien",
      "Modifié"),
   "Nouveau"))</f>
        <v>#VALUE!</v>
      </c>
      <c r="AD4513" s="1" t="str">
        <f>IFERROR(IF(Final_Sans_VGE[[#This Row],[ppn_z]]="","",IFERROR(
   IF(_xlfn.XLOOKUP(Final_Sans_VGE[[#This Row],[ppn_z]],tbl_Historique_Final[[#This Row],[ppn_z]],tbl_Historique_Final[[#This Row],[date_modif]])=Final_Sans_VGE[[#This Row],[date_modif]],
      "Ancien",
      "Modifié"),
   "Nouveau")),"")</f>
        <v/>
      </c>
    </row>
    <row r="4514" spans="24:30" x14ac:dyDescent="0.25">
      <c r="X4514" s="8" t="e">
        <f>IF(Final_Sans_VGE[[#This Row],[ppn_z]]="","",IFERROR(
   IF(_xlfn.XLOOKUP(Final_Sans_VGE[[#This Row],[ppn_z]],tbl_Historique_Final[ppn_z],tbl_Historique_Final[date_modif])=Final_Sans_VGE[[#This Row],[date_modif]],
      "Ancien",
      "Modifié"),
   "Nouveau"))</f>
        <v>#VALUE!</v>
      </c>
      <c r="AD4514" s="1" t="str">
        <f>IFERROR(IF(Final_Sans_VGE[[#This Row],[ppn_z]]="","",IFERROR(
   IF(_xlfn.XLOOKUP(Final_Sans_VGE[[#This Row],[ppn_z]],tbl_Historique_Final[[#This Row],[ppn_z]],tbl_Historique_Final[[#This Row],[date_modif]])=Final_Sans_VGE[[#This Row],[date_modif]],
      "Ancien",
      "Modifié"),
   "Nouveau")),"")</f>
        <v/>
      </c>
    </row>
    <row r="4515" spans="24:30" x14ac:dyDescent="0.25">
      <c r="X4515" s="8" t="e">
        <f>IF(Final_Sans_VGE[[#This Row],[ppn_z]]="","",IFERROR(
   IF(_xlfn.XLOOKUP(Final_Sans_VGE[[#This Row],[ppn_z]],tbl_Historique_Final[ppn_z],tbl_Historique_Final[date_modif])=Final_Sans_VGE[[#This Row],[date_modif]],
      "Ancien",
      "Modifié"),
   "Nouveau"))</f>
        <v>#VALUE!</v>
      </c>
      <c r="AD4515" s="1" t="str">
        <f>IFERROR(IF(Final_Sans_VGE[[#This Row],[ppn_z]]="","",IFERROR(
   IF(_xlfn.XLOOKUP(Final_Sans_VGE[[#This Row],[ppn_z]],tbl_Historique_Final[[#This Row],[ppn_z]],tbl_Historique_Final[[#This Row],[date_modif]])=Final_Sans_VGE[[#This Row],[date_modif]],
      "Ancien",
      "Modifié"),
   "Nouveau")),"")</f>
        <v/>
      </c>
    </row>
    <row r="4516" spans="24:30" x14ac:dyDescent="0.25">
      <c r="X4516" s="8" t="e">
        <f>IF(Final_Sans_VGE[[#This Row],[ppn_z]]="","",IFERROR(
   IF(_xlfn.XLOOKUP(Final_Sans_VGE[[#This Row],[ppn_z]],tbl_Historique_Final[ppn_z],tbl_Historique_Final[date_modif])=Final_Sans_VGE[[#This Row],[date_modif]],
      "Ancien",
      "Modifié"),
   "Nouveau"))</f>
        <v>#VALUE!</v>
      </c>
      <c r="AD4516" s="1" t="str">
        <f>IFERROR(IF(Final_Sans_VGE[[#This Row],[ppn_z]]="","",IFERROR(
   IF(_xlfn.XLOOKUP(Final_Sans_VGE[[#This Row],[ppn_z]],tbl_Historique_Final[[#This Row],[ppn_z]],tbl_Historique_Final[[#This Row],[date_modif]])=Final_Sans_VGE[[#This Row],[date_modif]],
      "Ancien",
      "Modifié"),
   "Nouveau")),"")</f>
        <v/>
      </c>
    </row>
    <row r="4517" spans="24:30" x14ac:dyDescent="0.25">
      <c r="X4517" s="8" t="e">
        <f>IF(Final_Sans_VGE[[#This Row],[ppn_z]]="","",IFERROR(
   IF(_xlfn.XLOOKUP(Final_Sans_VGE[[#This Row],[ppn_z]],tbl_Historique_Final[ppn_z],tbl_Historique_Final[date_modif])=Final_Sans_VGE[[#This Row],[date_modif]],
      "Ancien",
      "Modifié"),
   "Nouveau"))</f>
        <v>#VALUE!</v>
      </c>
      <c r="AD4517" s="1" t="str">
        <f>IFERROR(IF(Final_Sans_VGE[[#This Row],[ppn_z]]="","",IFERROR(
   IF(_xlfn.XLOOKUP(Final_Sans_VGE[[#This Row],[ppn_z]],tbl_Historique_Final[[#This Row],[ppn_z]],tbl_Historique_Final[[#This Row],[date_modif]])=Final_Sans_VGE[[#This Row],[date_modif]],
      "Ancien",
      "Modifié"),
   "Nouveau")),"")</f>
        <v/>
      </c>
    </row>
    <row r="4518" spans="24:30" x14ac:dyDescent="0.25">
      <c r="X4518" s="8" t="e">
        <f>IF(Final_Sans_VGE[[#This Row],[ppn_z]]="","",IFERROR(
   IF(_xlfn.XLOOKUP(Final_Sans_VGE[[#This Row],[ppn_z]],tbl_Historique_Final[ppn_z],tbl_Historique_Final[date_modif])=Final_Sans_VGE[[#This Row],[date_modif]],
      "Ancien",
      "Modifié"),
   "Nouveau"))</f>
        <v>#VALUE!</v>
      </c>
      <c r="AD4518" s="1" t="str">
        <f>IFERROR(IF(Final_Sans_VGE[[#This Row],[ppn_z]]="","",IFERROR(
   IF(_xlfn.XLOOKUP(Final_Sans_VGE[[#This Row],[ppn_z]],tbl_Historique_Final[[#This Row],[ppn_z]],tbl_Historique_Final[[#This Row],[date_modif]])=Final_Sans_VGE[[#This Row],[date_modif]],
      "Ancien",
      "Modifié"),
   "Nouveau")),"")</f>
        <v/>
      </c>
    </row>
    <row r="4519" spans="24:30" x14ac:dyDescent="0.25">
      <c r="X4519" s="8" t="e">
        <f>IF(Final_Sans_VGE[[#This Row],[ppn_z]]="","",IFERROR(
   IF(_xlfn.XLOOKUP(Final_Sans_VGE[[#This Row],[ppn_z]],tbl_Historique_Final[ppn_z],tbl_Historique_Final[date_modif])=Final_Sans_VGE[[#This Row],[date_modif]],
      "Ancien",
      "Modifié"),
   "Nouveau"))</f>
        <v>#VALUE!</v>
      </c>
      <c r="AD4519" s="1" t="str">
        <f>IFERROR(IF(Final_Sans_VGE[[#This Row],[ppn_z]]="","",IFERROR(
   IF(_xlfn.XLOOKUP(Final_Sans_VGE[[#This Row],[ppn_z]],tbl_Historique_Final[[#This Row],[ppn_z]],tbl_Historique_Final[[#This Row],[date_modif]])=Final_Sans_VGE[[#This Row],[date_modif]],
      "Ancien",
      "Modifié"),
   "Nouveau")),"")</f>
        <v/>
      </c>
    </row>
    <row r="4520" spans="24:30" x14ac:dyDescent="0.25">
      <c r="X4520" s="8" t="e">
        <f>IF(Final_Sans_VGE[[#This Row],[ppn_z]]="","",IFERROR(
   IF(_xlfn.XLOOKUP(Final_Sans_VGE[[#This Row],[ppn_z]],tbl_Historique_Final[ppn_z],tbl_Historique_Final[date_modif])=Final_Sans_VGE[[#This Row],[date_modif]],
      "Ancien",
      "Modifié"),
   "Nouveau"))</f>
        <v>#VALUE!</v>
      </c>
      <c r="AD4520" s="1" t="str">
        <f>IFERROR(IF(Final_Sans_VGE[[#This Row],[ppn_z]]="","",IFERROR(
   IF(_xlfn.XLOOKUP(Final_Sans_VGE[[#This Row],[ppn_z]],tbl_Historique_Final[[#This Row],[ppn_z]],tbl_Historique_Final[[#This Row],[date_modif]])=Final_Sans_VGE[[#This Row],[date_modif]],
      "Ancien",
      "Modifié"),
   "Nouveau")),"")</f>
        <v/>
      </c>
    </row>
    <row r="4521" spans="24:30" x14ac:dyDescent="0.25">
      <c r="X4521" s="8" t="e">
        <f>IF(Final_Sans_VGE[[#This Row],[ppn_z]]="","",IFERROR(
   IF(_xlfn.XLOOKUP(Final_Sans_VGE[[#This Row],[ppn_z]],tbl_Historique_Final[ppn_z],tbl_Historique_Final[date_modif])=Final_Sans_VGE[[#This Row],[date_modif]],
      "Ancien",
      "Modifié"),
   "Nouveau"))</f>
        <v>#VALUE!</v>
      </c>
      <c r="AD4521" s="1" t="str">
        <f>IFERROR(IF(Final_Sans_VGE[[#This Row],[ppn_z]]="","",IFERROR(
   IF(_xlfn.XLOOKUP(Final_Sans_VGE[[#This Row],[ppn_z]],tbl_Historique_Final[[#This Row],[ppn_z]],tbl_Historique_Final[[#This Row],[date_modif]])=Final_Sans_VGE[[#This Row],[date_modif]],
      "Ancien",
      "Modifié"),
   "Nouveau")),"")</f>
        <v/>
      </c>
    </row>
    <row r="4522" spans="24:30" x14ac:dyDescent="0.25">
      <c r="X4522" s="8" t="e">
        <f>IF(Final_Sans_VGE[[#This Row],[ppn_z]]="","",IFERROR(
   IF(_xlfn.XLOOKUP(Final_Sans_VGE[[#This Row],[ppn_z]],tbl_Historique_Final[ppn_z],tbl_Historique_Final[date_modif])=Final_Sans_VGE[[#This Row],[date_modif]],
      "Ancien",
      "Modifié"),
   "Nouveau"))</f>
        <v>#VALUE!</v>
      </c>
      <c r="AD4522" s="1" t="str">
        <f>IFERROR(IF(Final_Sans_VGE[[#This Row],[ppn_z]]="","",IFERROR(
   IF(_xlfn.XLOOKUP(Final_Sans_VGE[[#This Row],[ppn_z]],tbl_Historique_Final[[#This Row],[ppn_z]],tbl_Historique_Final[[#This Row],[date_modif]])=Final_Sans_VGE[[#This Row],[date_modif]],
      "Ancien",
      "Modifié"),
   "Nouveau")),"")</f>
        <v/>
      </c>
    </row>
    <row r="4523" spans="24:30" x14ac:dyDescent="0.25">
      <c r="X4523" s="8" t="e">
        <f>IF(Final_Sans_VGE[[#This Row],[ppn_z]]="","",IFERROR(
   IF(_xlfn.XLOOKUP(Final_Sans_VGE[[#This Row],[ppn_z]],tbl_Historique_Final[ppn_z],tbl_Historique_Final[date_modif])=Final_Sans_VGE[[#This Row],[date_modif]],
      "Ancien",
      "Modifié"),
   "Nouveau"))</f>
        <v>#VALUE!</v>
      </c>
      <c r="AD4523" s="1" t="str">
        <f>IFERROR(IF(Final_Sans_VGE[[#This Row],[ppn_z]]="","",IFERROR(
   IF(_xlfn.XLOOKUP(Final_Sans_VGE[[#This Row],[ppn_z]],tbl_Historique_Final[[#This Row],[ppn_z]],tbl_Historique_Final[[#This Row],[date_modif]])=Final_Sans_VGE[[#This Row],[date_modif]],
      "Ancien",
      "Modifié"),
   "Nouveau")),"")</f>
        <v/>
      </c>
    </row>
    <row r="4524" spans="24:30" x14ac:dyDescent="0.25">
      <c r="X4524" s="8" t="e">
        <f>IF(Final_Sans_VGE[[#This Row],[ppn_z]]="","",IFERROR(
   IF(_xlfn.XLOOKUP(Final_Sans_VGE[[#This Row],[ppn_z]],tbl_Historique_Final[ppn_z],tbl_Historique_Final[date_modif])=Final_Sans_VGE[[#This Row],[date_modif]],
      "Ancien",
      "Modifié"),
   "Nouveau"))</f>
        <v>#VALUE!</v>
      </c>
      <c r="AD4524" s="1" t="str">
        <f>IFERROR(IF(Final_Sans_VGE[[#This Row],[ppn_z]]="","",IFERROR(
   IF(_xlfn.XLOOKUP(Final_Sans_VGE[[#This Row],[ppn_z]],tbl_Historique_Final[[#This Row],[ppn_z]],tbl_Historique_Final[[#This Row],[date_modif]])=Final_Sans_VGE[[#This Row],[date_modif]],
      "Ancien",
      "Modifié"),
   "Nouveau")),"")</f>
        <v/>
      </c>
    </row>
    <row r="4525" spans="24:30" x14ac:dyDescent="0.25">
      <c r="X4525" s="8" t="e">
        <f>IF(Final_Sans_VGE[[#This Row],[ppn_z]]="","",IFERROR(
   IF(_xlfn.XLOOKUP(Final_Sans_VGE[[#This Row],[ppn_z]],tbl_Historique_Final[ppn_z],tbl_Historique_Final[date_modif])=Final_Sans_VGE[[#This Row],[date_modif]],
      "Ancien",
      "Modifié"),
   "Nouveau"))</f>
        <v>#VALUE!</v>
      </c>
      <c r="AD4525" s="1" t="str">
        <f>IFERROR(IF(Final_Sans_VGE[[#This Row],[ppn_z]]="","",IFERROR(
   IF(_xlfn.XLOOKUP(Final_Sans_VGE[[#This Row],[ppn_z]],tbl_Historique_Final[[#This Row],[ppn_z]],tbl_Historique_Final[[#This Row],[date_modif]])=Final_Sans_VGE[[#This Row],[date_modif]],
      "Ancien",
      "Modifié"),
   "Nouveau")),"")</f>
        <v/>
      </c>
    </row>
    <row r="4526" spans="24:30" x14ac:dyDescent="0.25">
      <c r="X4526" s="8" t="e">
        <f>IF(Final_Sans_VGE[[#This Row],[ppn_z]]="","",IFERROR(
   IF(_xlfn.XLOOKUP(Final_Sans_VGE[[#This Row],[ppn_z]],tbl_Historique_Final[ppn_z],tbl_Historique_Final[date_modif])=Final_Sans_VGE[[#This Row],[date_modif]],
      "Ancien",
      "Modifié"),
   "Nouveau"))</f>
        <v>#VALUE!</v>
      </c>
      <c r="AD4526" s="1" t="str">
        <f>IFERROR(IF(Final_Sans_VGE[[#This Row],[ppn_z]]="","",IFERROR(
   IF(_xlfn.XLOOKUP(Final_Sans_VGE[[#This Row],[ppn_z]],tbl_Historique_Final[[#This Row],[ppn_z]],tbl_Historique_Final[[#This Row],[date_modif]])=Final_Sans_VGE[[#This Row],[date_modif]],
      "Ancien",
      "Modifié"),
   "Nouveau")),"")</f>
        <v/>
      </c>
    </row>
    <row r="4527" spans="24:30" x14ac:dyDescent="0.25">
      <c r="X4527" s="8" t="e">
        <f>IF(Final_Sans_VGE[[#This Row],[ppn_z]]="","",IFERROR(
   IF(_xlfn.XLOOKUP(Final_Sans_VGE[[#This Row],[ppn_z]],tbl_Historique_Final[ppn_z],tbl_Historique_Final[date_modif])=Final_Sans_VGE[[#This Row],[date_modif]],
      "Ancien",
      "Modifié"),
   "Nouveau"))</f>
        <v>#VALUE!</v>
      </c>
      <c r="AD4527" s="1" t="str">
        <f>IFERROR(IF(Final_Sans_VGE[[#This Row],[ppn_z]]="","",IFERROR(
   IF(_xlfn.XLOOKUP(Final_Sans_VGE[[#This Row],[ppn_z]],tbl_Historique_Final[[#This Row],[ppn_z]],tbl_Historique_Final[[#This Row],[date_modif]])=Final_Sans_VGE[[#This Row],[date_modif]],
      "Ancien",
      "Modifié"),
   "Nouveau")),"")</f>
        <v/>
      </c>
    </row>
    <row r="4528" spans="24:30" x14ac:dyDescent="0.25">
      <c r="X4528" s="8" t="e">
        <f>IF(Final_Sans_VGE[[#This Row],[ppn_z]]="","",IFERROR(
   IF(_xlfn.XLOOKUP(Final_Sans_VGE[[#This Row],[ppn_z]],tbl_Historique_Final[ppn_z],tbl_Historique_Final[date_modif])=Final_Sans_VGE[[#This Row],[date_modif]],
      "Ancien",
      "Modifié"),
   "Nouveau"))</f>
        <v>#VALUE!</v>
      </c>
      <c r="AD4528" s="1" t="str">
        <f>IFERROR(IF(Final_Sans_VGE[[#This Row],[ppn_z]]="","",IFERROR(
   IF(_xlfn.XLOOKUP(Final_Sans_VGE[[#This Row],[ppn_z]],tbl_Historique_Final[[#This Row],[ppn_z]],tbl_Historique_Final[[#This Row],[date_modif]])=Final_Sans_VGE[[#This Row],[date_modif]],
      "Ancien",
      "Modifié"),
   "Nouveau")),"")</f>
        <v/>
      </c>
    </row>
    <row r="4529" spans="24:30" x14ac:dyDescent="0.25">
      <c r="X4529" s="8" t="e">
        <f>IF(Final_Sans_VGE[[#This Row],[ppn_z]]="","",IFERROR(
   IF(_xlfn.XLOOKUP(Final_Sans_VGE[[#This Row],[ppn_z]],tbl_Historique_Final[ppn_z],tbl_Historique_Final[date_modif])=Final_Sans_VGE[[#This Row],[date_modif]],
      "Ancien",
      "Modifié"),
   "Nouveau"))</f>
        <v>#VALUE!</v>
      </c>
      <c r="AD4529" s="1" t="str">
        <f>IFERROR(IF(Final_Sans_VGE[[#This Row],[ppn_z]]="","",IFERROR(
   IF(_xlfn.XLOOKUP(Final_Sans_VGE[[#This Row],[ppn_z]],tbl_Historique_Final[[#This Row],[ppn_z]],tbl_Historique_Final[[#This Row],[date_modif]])=Final_Sans_VGE[[#This Row],[date_modif]],
      "Ancien",
      "Modifié"),
   "Nouveau")),"")</f>
        <v/>
      </c>
    </row>
    <row r="4530" spans="24:30" x14ac:dyDescent="0.25">
      <c r="X4530" s="8" t="e">
        <f>IF(Final_Sans_VGE[[#This Row],[ppn_z]]="","",IFERROR(
   IF(_xlfn.XLOOKUP(Final_Sans_VGE[[#This Row],[ppn_z]],tbl_Historique_Final[ppn_z],tbl_Historique_Final[date_modif])=Final_Sans_VGE[[#This Row],[date_modif]],
      "Ancien",
      "Modifié"),
   "Nouveau"))</f>
        <v>#VALUE!</v>
      </c>
      <c r="AD4530" s="1" t="str">
        <f>IFERROR(IF(Final_Sans_VGE[[#This Row],[ppn_z]]="","",IFERROR(
   IF(_xlfn.XLOOKUP(Final_Sans_VGE[[#This Row],[ppn_z]],tbl_Historique_Final[[#This Row],[ppn_z]],tbl_Historique_Final[[#This Row],[date_modif]])=Final_Sans_VGE[[#This Row],[date_modif]],
      "Ancien",
      "Modifié"),
   "Nouveau")),"")</f>
        <v/>
      </c>
    </row>
    <row r="4531" spans="24:30" x14ac:dyDescent="0.25">
      <c r="X4531" s="8" t="e">
        <f>IF(Final_Sans_VGE[[#This Row],[ppn_z]]="","",IFERROR(
   IF(_xlfn.XLOOKUP(Final_Sans_VGE[[#This Row],[ppn_z]],tbl_Historique_Final[ppn_z],tbl_Historique_Final[date_modif])=Final_Sans_VGE[[#This Row],[date_modif]],
      "Ancien",
      "Modifié"),
   "Nouveau"))</f>
        <v>#VALUE!</v>
      </c>
      <c r="AD4531" s="1" t="str">
        <f>IFERROR(IF(Final_Sans_VGE[[#This Row],[ppn_z]]="","",IFERROR(
   IF(_xlfn.XLOOKUP(Final_Sans_VGE[[#This Row],[ppn_z]],tbl_Historique_Final[[#This Row],[ppn_z]],tbl_Historique_Final[[#This Row],[date_modif]])=Final_Sans_VGE[[#This Row],[date_modif]],
      "Ancien",
      "Modifié"),
   "Nouveau")),"")</f>
        <v/>
      </c>
    </row>
    <row r="4532" spans="24:30" x14ac:dyDescent="0.25">
      <c r="X4532" s="8" t="e">
        <f>IF(Final_Sans_VGE[[#This Row],[ppn_z]]="","",IFERROR(
   IF(_xlfn.XLOOKUP(Final_Sans_VGE[[#This Row],[ppn_z]],tbl_Historique_Final[ppn_z],tbl_Historique_Final[date_modif])=Final_Sans_VGE[[#This Row],[date_modif]],
      "Ancien",
      "Modifié"),
   "Nouveau"))</f>
        <v>#VALUE!</v>
      </c>
      <c r="AD4532" s="1" t="str">
        <f>IFERROR(IF(Final_Sans_VGE[[#This Row],[ppn_z]]="","",IFERROR(
   IF(_xlfn.XLOOKUP(Final_Sans_VGE[[#This Row],[ppn_z]],tbl_Historique_Final[[#This Row],[ppn_z]],tbl_Historique_Final[[#This Row],[date_modif]])=Final_Sans_VGE[[#This Row],[date_modif]],
      "Ancien",
      "Modifié"),
   "Nouveau")),"")</f>
        <v/>
      </c>
    </row>
    <row r="4533" spans="24:30" x14ac:dyDescent="0.25">
      <c r="X4533" s="8" t="e">
        <f>IF(Final_Sans_VGE[[#This Row],[ppn_z]]="","",IFERROR(
   IF(_xlfn.XLOOKUP(Final_Sans_VGE[[#This Row],[ppn_z]],tbl_Historique_Final[ppn_z],tbl_Historique_Final[date_modif])=Final_Sans_VGE[[#This Row],[date_modif]],
      "Ancien",
      "Modifié"),
   "Nouveau"))</f>
        <v>#VALUE!</v>
      </c>
      <c r="AD4533" s="1" t="str">
        <f>IFERROR(IF(Final_Sans_VGE[[#This Row],[ppn_z]]="","",IFERROR(
   IF(_xlfn.XLOOKUP(Final_Sans_VGE[[#This Row],[ppn_z]],tbl_Historique_Final[[#This Row],[ppn_z]],tbl_Historique_Final[[#This Row],[date_modif]])=Final_Sans_VGE[[#This Row],[date_modif]],
      "Ancien",
      "Modifié"),
   "Nouveau")),"")</f>
        <v/>
      </c>
    </row>
    <row r="4534" spans="24:30" x14ac:dyDescent="0.25">
      <c r="X4534" s="8" t="e">
        <f>IF(Final_Sans_VGE[[#This Row],[ppn_z]]="","",IFERROR(
   IF(_xlfn.XLOOKUP(Final_Sans_VGE[[#This Row],[ppn_z]],tbl_Historique_Final[ppn_z],tbl_Historique_Final[date_modif])=Final_Sans_VGE[[#This Row],[date_modif]],
      "Ancien",
      "Modifié"),
   "Nouveau"))</f>
        <v>#VALUE!</v>
      </c>
      <c r="AD4534" s="1" t="str">
        <f>IFERROR(IF(Final_Sans_VGE[[#This Row],[ppn_z]]="","",IFERROR(
   IF(_xlfn.XLOOKUP(Final_Sans_VGE[[#This Row],[ppn_z]],tbl_Historique_Final[[#This Row],[ppn_z]],tbl_Historique_Final[[#This Row],[date_modif]])=Final_Sans_VGE[[#This Row],[date_modif]],
      "Ancien",
      "Modifié"),
   "Nouveau")),"")</f>
        <v/>
      </c>
    </row>
    <row r="4535" spans="24:30" x14ac:dyDescent="0.25">
      <c r="X4535" s="8" t="e">
        <f>IF(Final_Sans_VGE[[#This Row],[ppn_z]]="","",IFERROR(
   IF(_xlfn.XLOOKUP(Final_Sans_VGE[[#This Row],[ppn_z]],tbl_Historique_Final[ppn_z],tbl_Historique_Final[date_modif])=Final_Sans_VGE[[#This Row],[date_modif]],
      "Ancien",
      "Modifié"),
   "Nouveau"))</f>
        <v>#VALUE!</v>
      </c>
      <c r="AD4535" s="1" t="str">
        <f>IFERROR(IF(Final_Sans_VGE[[#This Row],[ppn_z]]="","",IFERROR(
   IF(_xlfn.XLOOKUP(Final_Sans_VGE[[#This Row],[ppn_z]],tbl_Historique_Final[[#This Row],[ppn_z]],tbl_Historique_Final[[#This Row],[date_modif]])=Final_Sans_VGE[[#This Row],[date_modif]],
      "Ancien",
      "Modifié"),
   "Nouveau")),"")</f>
        <v/>
      </c>
    </row>
    <row r="4536" spans="24:30" x14ac:dyDescent="0.25">
      <c r="X4536" s="8" t="e">
        <f>IF(Final_Sans_VGE[[#This Row],[ppn_z]]="","",IFERROR(
   IF(_xlfn.XLOOKUP(Final_Sans_VGE[[#This Row],[ppn_z]],tbl_Historique_Final[ppn_z],tbl_Historique_Final[date_modif])=Final_Sans_VGE[[#This Row],[date_modif]],
      "Ancien",
      "Modifié"),
   "Nouveau"))</f>
        <v>#VALUE!</v>
      </c>
      <c r="AD4536" s="1" t="str">
        <f>IFERROR(IF(Final_Sans_VGE[[#This Row],[ppn_z]]="","",IFERROR(
   IF(_xlfn.XLOOKUP(Final_Sans_VGE[[#This Row],[ppn_z]],tbl_Historique_Final[[#This Row],[ppn_z]],tbl_Historique_Final[[#This Row],[date_modif]])=Final_Sans_VGE[[#This Row],[date_modif]],
      "Ancien",
      "Modifié"),
   "Nouveau")),"")</f>
        <v/>
      </c>
    </row>
    <row r="4537" spans="24:30" x14ac:dyDescent="0.25">
      <c r="X4537" s="8" t="e">
        <f>IF(Final_Sans_VGE[[#This Row],[ppn_z]]="","",IFERROR(
   IF(_xlfn.XLOOKUP(Final_Sans_VGE[[#This Row],[ppn_z]],tbl_Historique_Final[ppn_z],tbl_Historique_Final[date_modif])=Final_Sans_VGE[[#This Row],[date_modif]],
      "Ancien",
      "Modifié"),
   "Nouveau"))</f>
        <v>#VALUE!</v>
      </c>
      <c r="AD4537" s="1" t="str">
        <f>IFERROR(IF(Final_Sans_VGE[[#This Row],[ppn_z]]="","",IFERROR(
   IF(_xlfn.XLOOKUP(Final_Sans_VGE[[#This Row],[ppn_z]],tbl_Historique_Final[[#This Row],[ppn_z]],tbl_Historique_Final[[#This Row],[date_modif]])=Final_Sans_VGE[[#This Row],[date_modif]],
      "Ancien",
      "Modifié"),
   "Nouveau")),"")</f>
        <v/>
      </c>
    </row>
    <row r="4538" spans="24:30" x14ac:dyDescent="0.25">
      <c r="X4538" s="8" t="e">
        <f>IF(Final_Sans_VGE[[#This Row],[ppn_z]]="","",IFERROR(
   IF(_xlfn.XLOOKUP(Final_Sans_VGE[[#This Row],[ppn_z]],tbl_Historique_Final[ppn_z],tbl_Historique_Final[date_modif])=Final_Sans_VGE[[#This Row],[date_modif]],
      "Ancien",
      "Modifié"),
   "Nouveau"))</f>
        <v>#VALUE!</v>
      </c>
      <c r="AD4538" s="1" t="str">
        <f>IFERROR(IF(Final_Sans_VGE[[#This Row],[ppn_z]]="","",IFERROR(
   IF(_xlfn.XLOOKUP(Final_Sans_VGE[[#This Row],[ppn_z]],tbl_Historique_Final[[#This Row],[ppn_z]],tbl_Historique_Final[[#This Row],[date_modif]])=Final_Sans_VGE[[#This Row],[date_modif]],
      "Ancien",
      "Modifié"),
   "Nouveau")),"")</f>
        <v/>
      </c>
    </row>
    <row r="4539" spans="24:30" x14ac:dyDescent="0.25">
      <c r="X4539" s="8" t="e">
        <f>IF(Final_Sans_VGE[[#This Row],[ppn_z]]="","",IFERROR(
   IF(_xlfn.XLOOKUP(Final_Sans_VGE[[#This Row],[ppn_z]],tbl_Historique_Final[ppn_z],tbl_Historique_Final[date_modif])=Final_Sans_VGE[[#This Row],[date_modif]],
      "Ancien",
      "Modifié"),
   "Nouveau"))</f>
        <v>#VALUE!</v>
      </c>
      <c r="AD4539" s="1" t="str">
        <f>IFERROR(IF(Final_Sans_VGE[[#This Row],[ppn_z]]="","",IFERROR(
   IF(_xlfn.XLOOKUP(Final_Sans_VGE[[#This Row],[ppn_z]],tbl_Historique_Final[[#This Row],[ppn_z]],tbl_Historique_Final[[#This Row],[date_modif]])=Final_Sans_VGE[[#This Row],[date_modif]],
      "Ancien",
      "Modifié"),
   "Nouveau")),"")</f>
        <v/>
      </c>
    </row>
    <row r="4540" spans="24:30" x14ac:dyDescent="0.25">
      <c r="X4540" s="8" t="e">
        <f>IF(Final_Sans_VGE[[#This Row],[ppn_z]]="","",IFERROR(
   IF(_xlfn.XLOOKUP(Final_Sans_VGE[[#This Row],[ppn_z]],tbl_Historique_Final[ppn_z],tbl_Historique_Final[date_modif])=Final_Sans_VGE[[#This Row],[date_modif]],
      "Ancien",
      "Modifié"),
   "Nouveau"))</f>
        <v>#VALUE!</v>
      </c>
      <c r="AD4540" s="1" t="str">
        <f>IFERROR(IF(Final_Sans_VGE[[#This Row],[ppn_z]]="","",IFERROR(
   IF(_xlfn.XLOOKUP(Final_Sans_VGE[[#This Row],[ppn_z]],tbl_Historique_Final[[#This Row],[ppn_z]],tbl_Historique_Final[[#This Row],[date_modif]])=Final_Sans_VGE[[#This Row],[date_modif]],
      "Ancien",
      "Modifié"),
   "Nouveau")),"")</f>
        <v/>
      </c>
    </row>
    <row r="4541" spans="24:30" x14ac:dyDescent="0.25">
      <c r="X4541" s="8" t="e">
        <f>IF(Final_Sans_VGE[[#This Row],[ppn_z]]="","",IFERROR(
   IF(_xlfn.XLOOKUP(Final_Sans_VGE[[#This Row],[ppn_z]],tbl_Historique_Final[ppn_z],tbl_Historique_Final[date_modif])=Final_Sans_VGE[[#This Row],[date_modif]],
      "Ancien",
      "Modifié"),
   "Nouveau"))</f>
        <v>#VALUE!</v>
      </c>
      <c r="AD4541" s="1" t="str">
        <f>IFERROR(IF(Final_Sans_VGE[[#This Row],[ppn_z]]="","",IFERROR(
   IF(_xlfn.XLOOKUP(Final_Sans_VGE[[#This Row],[ppn_z]],tbl_Historique_Final[[#This Row],[ppn_z]],tbl_Historique_Final[[#This Row],[date_modif]])=Final_Sans_VGE[[#This Row],[date_modif]],
      "Ancien",
      "Modifié"),
   "Nouveau")),"")</f>
        <v/>
      </c>
    </row>
    <row r="4542" spans="24:30" x14ac:dyDescent="0.25">
      <c r="X4542" s="8" t="e">
        <f>IF(Final_Sans_VGE[[#This Row],[ppn_z]]="","",IFERROR(
   IF(_xlfn.XLOOKUP(Final_Sans_VGE[[#This Row],[ppn_z]],tbl_Historique_Final[ppn_z],tbl_Historique_Final[date_modif])=Final_Sans_VGE[[#This Row],[date_modif]],
      "Ancien",
      "Modifié"),
   "Nouveau"))</f>
        <v>#VALUE!</v>
      </c>
      <c r="AD4542" s="1" t="str">
        <f>IFERROR(IF(Final_Sans_VGE[[#This Row],[ppn_z]]="","",IFERROR(
   IF(_xlfn.XLOOKUP(Final_Sans_VGE[[#This Row],[ppn_z]],tbl_Historique_Final[[#This Row],[ppn_z]],tbl_Historique_Final[[#This Row],[date_modif]])=Final_Sans_VGE[[#This Row],[date_modif]],
      "Ancien",
      "Modifié"),
   "Nouveau")),"")</f>
        <v/>
      </c>
    </row>
    <row r="4543" spans="24:30" x14ac:dyDescent="0.25">
      <c r="X4543" s="8" t="e">
        <f>IF(Final_Sans_VGE[[#This Row],[ppn_z]]="","",IFERROR(
   IF(_xlfn.XLOOKUP(Final_Sans_VGE[[#This Row],[ppn_z]],tbl_Historique_Final[ppn_z],tbl_Historique_Final[date_modif])=Final_Sans_VGE[[#This Row],[date_modif]],
      "Ancien",
      "Modifié"),
   "Nouveau"))</f>
        <v>#VALUE!</v>
      </c>
      <c r="AD4543" s="1" t="str">
        <f>IFERROR(IF(Final_Sans_VGE[[#This Row],[ppn_z]]="","",IFERROR(
   IF(_xlfn.XLOOKUP(Final_Sans_VGE[[#This Row],[ppn_z]],tbl_Historique_Final[[#This Row],[ppn_z]],tbl_Historique_Final[[#This Row],[date_modif]])=Final_Sans_VGE[[#This Row],[date_modif]],
      "Ancien",
      "Modifié"),
   "Nouveau")),"")</f>
        <v/>
      </c>
    </row>
    <row r="4544" spans="24:30" x14ac:dyDescent="0.25">
      <c r="X4544" s="8" t="e">
        <f>IF(Final_Sans_VGE[[#This Row],[ppn_z]]="","",IFERROR(
   IF(_xlfn.XLOOKUP(Final_Sans_VGE[[#This Row],[ppn_z]],tbl_Historique_Final[ppn_z],tbl_Historique_Final[date_modif])=Final_Sans_VGE[[#This Row],[date_modif]],
      "Ancien",
      "Modifié"),
   "Nouveau"))</f>
        <v>#VALUE!</v>
      </c>
      <c r="AD4544" s="1" t="str">
        <f>IFERROR(IF(Final_Sans_VGE[[#This Row],[ppn_z]]="","",IFERROR(
   IF(_xlfn.XLOOKUP(Final_Sans_VGE[[#This Row],[ppn_z]],tbl_Historique_Final[[#This Row],[ppn_z]],tbl_Historique_Final[[#This Row],[date_modif]])=Final_Sans_VGE[[#This Row],[date_modif]],
      "Ancien",
      "Modifié"),
   "Nouveau")),"")</f>
        <v/>
      </c>
    </row>
    <row r="4545" spans="24:30" x14ac:dyDescent="0.25">
      <c r="X4545" s="8" t="e">
        <f>IF(Final_Sans_VGE[[#This Row],[ppn_z]]="","",IFERROR(
   IF(_xlfn.XLOOKUP(Final_Sans_VGE[[#This Row],[ppn_z]],tbl_Historique_Final[ppn_z],tbl_Historique_Final[date_modif])=Final_Sans_VGE[[#This Row],[date_modif]],
      "Ancien",
      "Modifié"),
   "Nouveau"))</f>
        <v>#VALUE!</v>
      </c>
      <c r="AD4545" s="1" t="str">
        <f>IFERROR(IF(Final_Sans_VGE[[#This Row],[ppn_z]]="","",IFERROR(
   IF(_xlfn.XLOOKUP(Final_Sans_VGE[[#This Row],[ppn_z]],tbl_Historique_Final[[#This Row],[ppn_z]],tbl_Historique_Final[[#This Row],[date_modif]])=Final_Sans_VGE[[#This Row],[date_modif]],
      "Ancien",
      "Modifié"),
   "Nouveau")),"")</f>
        <v/>
      </c>
    </row>
    <row r="4546" spans="24:30" x14ac:dyDescent="0.25">
      <c r="X4546" s="8" t="e">
        <f>IF(Final_Sans_VGE[[#This Row],[ppn_z]]="","",IFERROR(
   IF(_xlfn.XLOOKUP(Final_Sans_VGE[[#This Row],[ppn_z]],tbl_Historique_Final[ppn_z],tbl_Historique_Final[date_modif])=Final_Sans_VGE[[#This Row],[date_modif]],
      "Ancien",
      "Modifié"),
   "Nouveau"))</f>
        <v>#VALUE!</v>
      </c>
      <c r="AD4546" s="1" t="str">
        <f>IFERROR(IF(Final_Sans_VGE[[#This Row],[ppn_z]]="","",IFERROR(
   IF(_xlfn.XLOOKUP(Final_Sans_VGE[[#This Row],[ppn_z]],tbl_Historique_Final[[#This Row],[ppn_z]],tbl_Historique_Final[[#This Row],[date_modif]])=Final_Sans_VGE[[#This Row],[date_modif]],
      "Ancien",
      "Modifié"),
   "Nouveau")),"")</f>
        <v/>
      </c>
    </row>
    <row r="4547" spans="24:30" x14ac:dyDescent="0.25">
      <c r="X4547" s="8" t="e">
        <f>IF(Final_Sans_VGE[[#This Row],[ppn_z]]="","",IFERROR(
   IF(_xlfn.XLOOKUP(Final_Sans_VGE[[#This Row],[ppn_z]],tbl_Historique_Final[ppn_z],tbl_Historique_Final[date_modif])=Final_Sans_VGE[[#This Row],[date_modif]],
      "Ancien",
      "Modifié"),
   "Nouveau"))</f>
        <v>#VALUE!</v>
      </c>
      <c r="AD4547" s="1" t="str">
        <f>IFERROR(IF(Final_Sans_VGE[[#This Row],[ppn_z]]="","",IFERROR(
   IF(_xlfn.XLOOKUP(Final_Sans_VGE[[#This Row],[ppn_z]],tbl_Historique_Final[[#This Row],[ppn_z]],tbl_Historique_Final[[#This Row],[date_modif]])=Final_Sans_VGE[[#This Row],[date_modif]],
      "Ancien",
      "Modifié"),
   "Nouveau")),"")</f>
        <v/>
      </c>
    </row>
    <row r="4548" spans="24:30" x14ac:dyDescent="0.25">
      <c r="X4548" s="8" t="e">
        <f>IF(Final_Sans_VGE[[#This Row],[ppn_z]]="","",IFERROR(
   IF(_xlfn.XLOOKUP(Final_Sans_VGE[[#This Row],[ppn_z]],tbl_Historique_Final[ppn_z],tbl_Historique_Final[date_modif])=Final_Sans_VGE[[#This Row],[date_modif]],
      "Ancien",
      "Modifié"),
   "Nouveau"))</f>
        <v>#VALUE!</v>
      </c>
      <c r="AD4548" s="1" t="str">
        <f>IFERROR(IF(Final_Sans_VGE[[#This Row],[ppn_z]]="","",IFERROR(
   IF(_xlfn.XLOOKUP(Final_Sans_VGE[[#This Row],[ppn_z]],tbl_Historique_Final[[#This Row],[ppn_z]],tbl_Historique_Final[[#This Row],[date_modif]])=Final_Sans_VGE[[#This Row],[date_modif]],
      "Ancien",
      "Modifié"),
   "Nouveau")),"")</f>
        <v/>
      </c>
    </row>
    <row r="4549" spans="24:30" x14ac:dyDescent="0.25">
      <c r="X4549" s="8" t="e">
        <f>IF(Final_Sans_VGE[[#This Row],[ppn_z]]="","",IFERROR(
   IF(_xlfn.XLOOKUP(Final_Sans_VGE[[#This Row],[ppn_z]],tbl_Historique_Final[ppn_z],tbl_Historique_Final[date_modif])=Final_Sans_VGE[[#This Row],[date_modif]],
      "Ancien",
      "Modifié"),
   "Nouveau"))</f>
        <v>#VALUE!</v>
      </c>
      <c r="AD4549" s="1" t="str">
        <f>IFERROR(IF(Final_Sans_VGE[[#This Row],[ppn_z]]="","",IFERROR(
   IF(_xlfn.XLOOKUP(Final_Sans_VGE[[#This Row],[ppn_z]],tbl_Historique_Final[[#This Row],[ppn_z]],tbl_Historique_Final[[#This Row],[date_modif]])=Final_Sans_VGE[[#This Row],[date_modif]],
      "Ancien",
      "Modifié"),
   "Nouveau")),"")</f>
        <v/>
      </c>
    </row>
    <row r="4550" spans="24:30" x14ac:dyDescent="0.25">
      <c r="X4550" s="8" t="e">
        <f>IF(Final_Sans_VGE[[#This Row],[ppn_z]]="","",IFERROR(
   IF(_xlfn.XLOOKUP(Final_Sans_VGE[[#This Row],[ppn_z]],tbl_Historique_Final[ppn_z],tbl_Historique_Final[date_modif])=Final_Sans_VGE[[#This Row],[date_modif]],
      "Ancien",
      "Modifié"),
   "Nouveau"))</f>
        <v>#VALUE!</v>
      </c>
      <c r="AD4550" s="1" t="str">
        <f>IFERROR(IF(Final_Sans_VGE[[#This Row],[ppn_z]]="","",IFERROR(
   IF(_xlfn.XLOOKUP(Final_Sans_VGE[[#This Row],[ppn_z]],tbl_Historique_Final[[#This Row],[ppn_z]],tbl_Historique_Final[[#This Row],[date_modif]])=Final_Sans_VGE[[#This Row],[date_modif]],
      "Ancien",
      "Modifié"),
   "Nouveau")),"")</f>
        <v/>
      </c>
    </row>
    <row r="4551" spans="24:30" x14ac:dyDescent="0.25">
      <c r="X4551" s="8" t="e">
        <f>IF(Final_Sans_VGE[[#This Row],[ppn_z]]="","",IFERROR(
   IF(_xlfn.XLOOKUP(Final_Sans_VGE[[#This Row],[ppn_z]],tbl_Historique_Final[ppn_z],tbl_Historique_Final[date_modif])=Final_Sans_VGE[[#This Row],[date_modif]],
      "Ancien",
      "Modifié"),
   "Nouveau"))</f>
        <v>#VALUE!</v>
      </c>
      <c r="AD4551" s="1" t="str">
        <f>IFERROR(IF(Final_Sans_VGE[[#This Row],[ppn_z]]="","",IFERROR(
   IF(_xlfn.XLOOKUP(Final_Sans_VGE[[#This Row],[ppn_z]],tbl_Historique_Final[[#This Row],[ppn_z]],tbl_Historique_Final[[#This Row],[date_modif]])=Final_Sans_VGE[[#This Row],[date_modif]],
      "Ancien",
      "Modifié"),
   "Nouveau")),"")</f>
        <v/>
      </c>
    </row>
    <row r="4552" spans="24:30" x14ac:dyDescent="0.25">
      <c r="X4552" s="8" t="e">
        <f>IF(Final_Sans_VGE[[#This Row],[ppn_z]]="","",IFERROR(
   IF(_xlfn.XLOOKUP(Final_Sans_VGE[[#This Row],[ppn_z]],tbl_Historique_Final[ppn_z],tbl_Historique_Final[date_modif])=Final_Sans_VGE[[#This Row],[date_modif]],
      "Ancien",
      "Modifié"),
   "Nouveau"))</f>
        <v>#VALUE!</v>
      </c>
      <c r="AD4552" s="1" t="str">
        <f>IFERROR(IF(Final_Sans_VGE[[#This Row],[ppn_z]]="","",IFERROR(
   IF(_xlfn.XLOOKUP(Final_Sans_VGE[[#This Row],[ppn_z]],tbl_Historique_Final[[#This Row],[ppn_z]],tbl_Historique_Final[[#This Row],[date_modif]])=Final_Sans_VGE[[#This Row],[date_modif]],
      "Ancien",
      "Modifié"),
   "Nouveau")),"")</f>
        <v/>
      </c>
    </row>
    <row r="4553" spans="24:30" x14ac:dyDescent="0.25">
      <c r="X4553" s="8" t="e">
        <f>IF(Final_Sans_VGE[[#This Row],[ppn_z]]="","",IFERROR(
   IF(_xlfn.XLOOKUP(Final_Sans_VGE[[#This Row],[ppn_z]],tbl_Historique_Final[ppn_z],tbl_Historique_Final[date_modif])=Final_Sans_VGE[[#This Row],[date_modif]],
      "Ancien",
      "Modifié"),
   "Nouveau"))</f>
        <v>#VALUE!</v>
      </c>
      <c r="AD4553" s="1" t="str">
        <f>IFERROR(IF(Final_Sans_VGE[[#This Row],[ppn_z]]="","",IFERROR(
   IF(_xlfn.XLOOKUP(Final_Sans_VGE[[#This Row],[ppn_z]],tbl_Historique_Final[[#This Row],[ppn_z]],tbl_Historique_Final[[#This Row],[date_modif]])=Final_Sans_VGE[[#This Row],[date_modif]],
      "Ancien",
      "Modifié"),
   "Nouveau")),"")</f>
        <v/>
      </c>
    </row>
    <row r="4554" spans="24:30" x14ac:dyDescent="0.25">
      <c r="X4554" s="8" t="e">
        <f>IF(Final_Sans_VGE[[#This Row],[ppn_z]]="","",IFERROR(
   IF(_xlfn.XLOOKUP(Final_Sans_VGE[[#This Row],[ppn_z]],tbl_Historique_Final[ppn_z],tbl_Historique_Final[date_modif])=Final_Sans_VGE[[#This Row],[date_modif]],
      "Ancien",
      "Modifié"),
   "Nouveau"))</f>
        <v>#VALUE!</v>
      </c>
      <c r="AD4554" s="1" t="str">
        <f>IFERROR(IF(Final_Sans_VGE[[#This Row],[ppn_z]]="","",IFERROR(
   IF(_xlfn.XLOOKUP(Final_Sans_VGE[[#This Row],[ppn_z]],tbl_Historique_Final[[#This Row],[ppn_z]],tbl_Historique_Final[[#This Row],[date_modif]])=Final_Sans_VGE[[#This Row],[date_modif]],
      "Ancien",
      "Modifié"),
   "Nouveau")),"")</f>
        <v/>
      </c>
    </row>
    <row r="4555" spans="24:30" x14ac:dyDescent="0.25">
      <c r="X4555" s="8" t="e">
        <f>IF(Final_Sans_VGE[[#This Row],[ppn_z]]="","",IFERROR(
   IF(_xlfn.XLOOKUP(Final_Sans_VGE[[#This Row],[ppn_z]],tbl_Historique_Final[ppn_z],tbl_Historique_Final[date_modif])=Final_Sans_VGE[[#This Row],[date_modif]],
      "Ancien",
      "Modifié"),
   "Nouveau"))</f>
        <v>#VALUE!</v>
      </c>
      <c r="AD4555" s="1" t="str">
        <f>IFERROR(IF(Final_Sans_VGE[[#This Row],[ppn_z]]="","",IFERROR(
   IF(_xlfn.XLOOKUP(Final_Sans_VGE[[#This Row],[ppn_z]],tbl_Historique_Final[[#This Row],[ppn_z]],tbl_Historique_Final[[#This Row],[date_modif]])=Final_Sans_VGE[[#This Row],[date_modif]],
      "Ancien",
      "Modifié"),
   "Nouveau")),"")</f>
        <v/>
      </c>
    </row>
    <row r="4556" spans="24:30" x14ac:dyDescent="0.25">
      <c r="X4556" s="8" t="e">
        <f>IF(Final_Sans_VGE[[#This Row],[ppn_z]]="","",IFERROR(
   IF(_xlfn.XLOOKUP(Final_Sans_VGE[[#This Row],[ppn_z]],tbl_Historique_Final[ppn_z],tbl_Historique_Final[date_modif])=Final_Sans_VGE[[#This Row],[date_modif]],
      "Ancien",
      "Modifié"),
   "Nouveau"))</f>
        <v>#VALUE!</v>
      </c>
      <c r="AD4556" s="1" t="str">
        <f>IFERROR(IF(Final_Sans_VGE[[#This Row],[ppn_z]]="","",IFERROR(
   IF(_xlfn.XLOOKUP(Final_Sans_VGE[[#This Row],[ppn_z]],tbl_Historique_Final[[#This Row],[ppn_z]],tbl_Historique_Final[[#This Row],[date_modif]])=Final_Sans_VGE[[#This Row],[date_modif]],
      "Ancien",
      "Modifié"),
   "Nouveau")),"")</f>
        <v/>
      </c>
    </row>
    <row r="4557" spans="24:30" x14ac:dyDescent="0.25">
      <c r="X4557" s="8" t="e">
        <f>IF(Final_Sans_VGE[[#This Row],[ppn_z]]="","",IFERROR(
   IF(_xlfn.XLOOKUP(Final_Sans_VGE[[#This Row],[ppn_z]],tbl_Historique_Final[ppn_z],tbl_Historique_Final[date_modif])=Final_Sans_VGE[[#This Row],[date_modif]],
      "Ancien",
      "Modifié"),
   "Nouveau"))</f>
        <v>#VALUE!</v>
      </c>
      <c r="AD4557" s="1" t="str">
        <f>IFERROR(IF(Final_Sans_VGE[[#This Row],[ppn_z]]="","",IFERROR(
   IF(_xlfn.XLOOKUP(Final_Sans_VGE[[#This Row],[ppn_z]],tbl_Historique_Final[[#This Row],[ppn_z]],tbl_Historique_Final[[#This Row],[date_modif]])=Final_Sans_VGE[[#This Row],[date_modif]],
      "Ancien",
      "Modifié"),
   "Nouveau")),"")</f>
        <v/>
      </c>
    </row>
    <row r="4558" spans="24:30" x14ac:dyDescent="0.25">
      <c r="X4558" s="8" t="e">
        <f>IF(Final_Sans_VGE[[#This Row],[ppn_z]]="","",IFERROR(
   IF(_xlfn.XLOOKUP(Final_Sans_VGE[[#This Row],[ppn_z]],tbl_Historique_Final[ppn_z],tbl_Historique_Final[date_modif])=Final_Sans_VGE[[#This Row],[date_modif]],
      "Ancien",
      "Modifié"),
   "Nouveau"))</f>
        <v>#VALUE!</v>
      </c>
      <c r="AD4558" s="1" t="str">
        <f>IFERROR(IF(Final_Sans_VGE[[#This Row],[ppn_z]]="","",IFERROR(
   IF(_xlfn.XLOOKUP(Final_Sans_VGE[[#This Row],[ppn_z]],tbl_Historique_Final[[#This Row],[ppn_z]],tbl_Historique_Final[[#This Row],[date_modif]])=Final_Sans_VGE[[#This Row],[date_modif]],
      "Ancien",
      "Modifié"),
   "Nouveau")),"")</f>
        <v/>
      </c>
    </row>
    <row r="4559" spans="24:30" x14ac:dyDescent="0.25">
      <c r="X4559" s="8" t="e">
        <f>IF(Final_Sans_VGE[[#This Row],[ppn_z]]="","",IFERROR(
   IF(_xlfn.XLOOKUP(Final_Sans_VGE[[#This Row],[ppn_z]],tbl_Historique_Final[ppn_z],tbl_Historique_Final[date_modif])=Final_Sans_VGE[[#This Row],[date_modif]],
      "Ancien",
      "Modifié"),
   "Nouveau"))</f>
        <v>#VALUE!</v>
      </c>
      <c r="AD4559" s="1" t="str">
        <f>IFERROR(IF(Final_Sans_VGE[[#This Row],[ppn_z]]="","",IFERROR(
   IF(_xlfn.XLOOKUP(Final_Sans_VGE[[#This Row],[ppn_z]],tbl_Historique_Final[[#This Row],[ppn_z]],tbl_Historique_Final[[#This Row],[date_modif]])=Final_Sans_VGE[[#This Row],[date_modif]],
      "Ancien",
      "Modifié"),
   "Nouveau")),"")</f>
        <v/>
      </c>
    </row>
    <row r="4560" spans="24:30" x14ac:dyDescent="0.25">
      <c r="X4560" s="8" t="e">
        <f>IF(Final_Sans_VGE[[#This Row],[ppn_z]]="","",IFERROR(
   IF(_xlfn.XLOOKUP(Final_Sans_VGE[[#This Row],[ppn_z]],tbl_Historique_Final[ppn_z],tbl_Historique_Final[date_modif])=Final_Sans_VGE[[#This Row],[date_modif]],
      "Ancien",
      "Modifié"),
   "Nouveau"))</f>
        <v>#VALUE!</v>
      </c>
      <c r="AD4560" s="1" t="str">
        <f>IFERROR(IF(Final_Sans_VGE[[#This Row],[ppn_z]]="","",IFERROR(
   IF(_xlfn.XLOOKUP(Final_Sans_VGE[[#This Row],[ppn_z]],tbl_Historique_Final[[#This Row],[ppn_z]],tbl_Historique_Final[[#This Row],[date_modif]])=Final_Sans_VGE[[#This Row],[date_modif]],
      "Ancien",
      "Modifié"),
   "Nouveau")),"")</f>
        <v/>
      </c>
    </row>
    <row r="4561" spans="24:30" x14ac:dyDescent="0.25">
      <c r="X4561" s="8" t="e">
        <f>IF(Final_Sans_VGE[[#This Row],[ppn_z]]="","",IFERROR(
   IF(_xlfn.XLOOKUP(Final_Sans_VGE[[#This Row],[ppn_z]],tbl_Historique_Final[ppn_z],tbl_Historique_Final[date_modif])=Final_Sans_VGE[[#This Row],[date_modif]],
      "Ancien",
      "Modifié"),
   "Nouveau"))</f>
        <v>#VALUE!</v>
      </c>
      <c r="AD4561" s="1" t="str">
        <f>IFERROR(IF(Final_Sans_VGE[[#This Row],[ppn_z]]="","",IFERROR(
   IF(_xlfn.XLOOKUP(Final_Sans_VGE[[#This Row],[ppn_z]],tbl_Historique_Final[[#This Row],[ppn_z]],tbl_Historique_Final[[#This Row],[date_modif]])=Final_Sans_VGE[[#This Row],[date_modif]],
      "Ancien",
      "Modifié"),
   "Nouveau")),"")</f>
        <v/>
      </c>
    </row>
    <row r="4562" spans="24:30" x14ac:dyDescent="0.25">
      <c r="X4562" s="8" t="e">
        <f>IF(Final_Sans_VGE[[#This Row],[ppn_z]]="","",IFERROR(
   IF(_xlfn.XLOOKUP(Final_Sans_VGE[[#This Row],[ppn_z]],tbl_Historique_Final[ppn_z],tbl_Historique_Final[date_modif])=Final_Sans_VGE[[#This Row],[date_modif]],
      "Ancien",
      "Modifié"),
   "Nouveau"))</f>
        <v>#VALUE!</v>
      </c>
      <c r="AD4562" s="1" t="str">
        <f>IFERROR(IF(Final_Sans_VGE[[#This Row],[ppn_z]]="","",IFERROR(
   IF(_xlfn.XLOOKUP(Final_Sans_VGE[[#This Row],[ppn_z]],tbl_Historique_Final[[#This Row],[ppn_z]],tbl_Historique_Final[[#This Row],[date_modif]])=Final_Sans_VGE[[#This Row],[date_modif]],
      "Ancien",
      "Modifié"),
   "Nouveau")),"")</f>
        <v/>
      </c>
    </row>
    <row r="4563" spans="24:30" x14ac:dyDescent="0.25">
      <c r="X4563" s="8" t="e">
        <f>IF(Final_Sans_VGE[[#This Row],[ppn_z]]="","",IFERROR(
   IF(_xlfn.XLOOKUP(Final_Sans_VGE[[#This Row],[ppn_z]],tbl_Historique_Final[ppn_z],tbl_Historique_Final[date_modif])=Final_Sans_VGE[[#This Row],[date_modif]],
      "Ancien",
      "Modifié"),
   "Nouveau"))</f>
        <v>#VALUE!</v>
      </c>
      <c r="AD4563" s="1" t="str">
        <f>IFERROR(IF(Final_Sans_VGE[[#This Row],[ppn_z]]="","",IFERROR(
   IF(_xlfn.XLOOKUP(Final_Sans_VGE[[#This Row],[ppn_z]],tbl_Historique_Final[[#This Row],[ppn_z]],tbl_Historique_Final[[#This Row],[date_modif]])=Final_Sans_VGE[[#This Row],[date_modif]],
      "Ancien",
      "Modifié"),
   "Nouveau")),"")</f>
        <v/>
      </c>
    </row>
    <row r="4564" spans="24:30" x14ac:dyDescent="0.25">
      <c r="X4564" s="8" t="e">
        <f>IF(Final_Sans_VGE[[#This Row],[ppn_z]]="","",IFERROR(
   IF(_xlfn.XLOOKUP(Final_Sans_VGE[[#This Row],[ppn_z]],tbl_Historique_Final[ppn_z],tbl_Historique_Final[date_modif])=Final_Sans_VGE[[#This Row],[date_modif]],
      "Ancien",
      "Modifié"),
   "Nouveau"))</f>
        <v>#VALUE!</v>
      </c>
      <c r="AD4564" s="1" t="str">
        <f>IFERROR(IF(Final_Sans_VGE[[#This Row],[ppn_z]]="","",IFERROR(
   IF(_xlfn.XLOOKUP(Final_Sans_VGE[[#This Row],[ppn_z]],tbl_Historique_Final[[#This Row],[ppn_z]],tbl_Historique_Final[[#This Row],[date_modif]])=Final_Sans_VGE[[#This Row],[date_modif]],
      "Ancien",
      "Modifié"),
   "Nouveau")),"")</f>
        <v/>
      </c>
    </row>
    <row r="4565" spans="24:30" x14ac:dyDescent="0.25">
      <c r="X4565" s="8" t="e">
        <f>IF(Final_Sans_VGE[[#This Row],[ppn_z]]="","",IFERROR(
   IF(_xlfn.XLOOKUP(Final_Sans_VGE[[#This Row],[ppn_z]],tbl_Historique_Final[ppn_z],tbl_Historique_Final[date_modif])=Final_Sans_VGE[[#This Row],[date_modif]],
      "Ancien",
      "Modifié"),
   "Nouveau"))</f>
        <v>#VALUE!</v>
      </c>
      <c r="AD4565" s="1" t="str">
        <f>IFERROR(IF(Final_Sans_VGE[[#This Row],[ppn_z]]="","",IFERROR(
   IF(_xlfn.XLOOKUP(Final_Sans_VGE[[#This Row],[ppn_z]],tbl_Historique_Final[[#This Row],[ppn_z]],tbl_Historique_Final[[#This Row],[date_modif]])=Final_Sans_VGE[[#This Row],[date_modif]],
      "Ancien",
      "Modifié"),
   "Nouveau")),"")</f>
        <v/>
      </c>
    </row>
    <row r="4566" spans="24:30" x14ac:dyDescent="0.25">
      <c r="X4566" s="8" t="e">
        <f>IF(Final_Sans_VGE[[#This Row],[ppn_z]]="","",IFERROR(
   IF(_xlfn.XLOOKUP(Final_Sans_VGE[[#This Row],[ppn_z]],tbl_Historique_Final[ppn_z],tbl_Historique_Final[date_modif])=Final_Sans_VGE[[#This Row],[date_modif]],
      "Ancien",
      "Modifié"),
   "Nouveau"))</f>
        <v>#VALUE!</v>
      </c>
      <c r="AD4566" s="1" t="str">
        <f>IFERROR(IF(Final_Sans_VGE[[#This Row],[ppn_z]]="","",IFERROR(
   IF(_xlfn.XLOOKUP(Final_Sans_VGE[[#This Row],[ppn_z]],tbl_Historique_Final[[#This Row],[ppn_z]],tbl_Historique_Final[[#This Row],[date_modif]])=Final_Sans_VGE[[#This Row],[date_modif]],
      "Ancien",
      "Modifié"),
   "Nouveau")),"")</f>
        <v/>
      </c>
    </row>
    <row r="4567" spans="24:30" x14ac:dyDescent="0.25">
      <c r="X4567" s="8" t="e">
        <f>IF(Final_Sans_VGE[[#This Row],[ppn_z]]="","",IFERROR(
   IF(_xlfn.XLOOKUP(Final_Sans_VGE[[#This Row],[ppn_z]],tbl_Historique_Final[ppn_z],tbl_Historique_Final[date_modif])=Final_Sans_VGE[[#This Row],[date_modif]],
      "Ancien",
      "Modifié"),
   "Nouveau"))</f>
        <v>#VALUE!</v>
      </c>
      <c r="AD4567" s="1" t="str">
        <f>IFERROR(IF(Final_Sans_VGE[[#This Row],[ppn_z]]="","",IFERROR(
   IF(_xlfn.XLOOKUP(Final_Sans_VGE[[#This Row],[ppn_z]],tbl_Historique_Final[[#This Row],[ppn_z]],tbl_Historique_Final[[#This Row],[date_modif]])=Final_Sans_VGE[[#This Row],[date_modif]],
      "Ancien",
      "Modifié"),
   "Nouveau")),"")</f>
        <v/>
      </c>
    </row>
    <row r="4568" spans="24:30" x14ac:dyDescent="0.25">
      <c r="X4568" s="8" t="e">
        <f>IF(Final_Sans_VGE[[#This Row],[ppn_z]]="","",IFERROR(
   IF(_xlfn.XLOOKUP(Final_Sans_VGE[[#This Row],[ppn_z]],tbl_Historique_Final[ppn_z],tbl_Historique_Final[date_modif])=Final_Sans_VGE[[#This Row],[date_modif]],
      "Ancien",
      "Modifié"),
   "Nouveau"))</f>
        <v>#VALUE!</v>
      </c>
      <c r="AD4568" s="1" t="str">
        <f>IFERROR(IF(Final_Sans_VGE[[#This Row],[ppn_z]]="","",IFERROR(
   IF(_xlfn.XLOOKUP(Final_Sans_VGE[[#This Row],[ppn_z]],tbl_Historique_Final[[#This Row],[ppn_z]],tbl_Historique_Final[[#This Row],[date_modif]])=Final_Sans_VGE[[#This Row],[date_modif]],
      "Ancien",
      "Modifié"),
   "Nouveau")),"")</f>
        <v/>
      </c>
    </row>
    <row r="4569" spans="24:30" x14ac:dyDescent="0.25">
      <c r="X4569" s="8" t="e">
        <f>IF(Final_Sans_VGE[[#This Row],[ppn_z]]="","",IFERROR(
   IF(_xlfn.XLOOKUP(Final_Sans_VGE[[#This Row],[ppn_z]],tbl_Historique_Final[ppn_z],tbl_Historique_Final[date_modif])=Final_Sans_VGE[[#This Row],[date_modif]],
      "Ancien",
      "Modifié"),
   "Nouveau"))</f>
        <v>#VALUE!</v>
      </c>
      <c r="AD4569" s="1" t="str">
        <f>IFERROR(IF(Final_Sans_VGE[[#This Row],[ppn_z]]="","",IFERROR(
   IF(_xlfn.XLOOKUP(Final_Sans_VGE[[#This Row],[ppn_z]],tbl_Historique_Final[[#This Row],[ppn_z]],tbl_Historique_Final[[#This Row],[date_modif]])=Final_Sans_VGE[[#This Row],[date_modif]],
      "Ancien",
      "Modifié"),
   "Nouveau")),"")</f>
        <v/>
      </c>
    </row>
    <row r="4570" spans="24:30" x14ac:dyDescent="0.25">
      <c r="X4570" s="8" t="e">
        <f>IF(Final_Sans_VGE[[#This Row],[ppn_z]]="","",IFERROR(
   IF(_xlfn.XLOOKUP(Final_Sans_VGE[[#This Row],[ppn_z]],tbl_Historique_Final[ppn_z],tbl_Historique_Final[date_modif])=Final_Sans_VGE[[#This Row],[date_modif]],
      "Ancien",
      "Modifié"),
   "Nouveau"))</f>
        <v>#VALUE!</v>
      </c>
      <c r="AD4570" s="1" t="str">
        <f>IFERROR(IF(Final_Sans_VGE[[#This Row],[ppn_z]]="","",IFERROR(
   IF(_xlfn.XLOOKUP(Final_Sans_VGE[[#This Row],[ppn_z]],tbl_Historique_Final[[#This Row],[ppn_z]],tbl_Historique_Final[[#This Row],[date_modif]])=Final_Sans_VGE[[#This Row],[date_modif]],
      "Ancien",
      "Modifié"),
   "Nouveau")),"")</f>
        <v/>
      </c>
    </row>
    <row r="4571" spans="24:30" x14ac:dyDescent="0.25">
      <c r="X4571" s="8" t="e">
        <f>IF(Final_Sans_VGE[[#This Row],[ppn_z]]="","",IFERROR(
   IF(_xlfn.XLOOKUP(Final_Sans_VGE[[#This Row],[ppn_z]],tbl_Historique_Final[ppn_z],tbl_Historique_Final[date_modif])=Final_Sans_VGE[[#This Row],[date_modif]],
      "Ancien",
      "Modifié"),
   "Nouveau"))</f>
        <v>#VALUE!</v>
      </c>
      <c r="AD4571" s="1" t="str">
        <f>IFERROR(IF(Final_Sans_VGE[[#This Row],[ppn_z]]="","",IFERROR(
   IF(_xlfn.XLOOKUP(Final_Sans_VGE[[#This Row],[ppn_z]],tbl_Historique_Final[[#This Row],[ppn_z]],tbl_Historique_Final[[#This Row],[date_modif]])=Final_Sans_VGE[[#This Row],[date_modif]],
      "Ancien",
      "Modifié"),
   "Nouveau")),"")</f>
        <v/>
      </c>
    </row>
    <row r="4572" spans="24:30" x14ac:dyDescent="0.25">
      <c r="X4572" s="8" t="e">
        <f>IF(Final_Sans_VGE[[#This Row],[ppn_z]]="","",IFERROR(
   IF(_xlfn.XLOOKUP(Final_Sans_VGE[[#This Row],[ppn_z]],tbl_Historique_Final[ppn_z],tbl_Historique_Final[date_modif])=Final_Sans_VGE[[#This Row],[date_modif]],
      "Ancien",
      "Modifié"),
   "Nouveau"))</f>
        <v>#VALUE!</v>
      </c>
      <c r="AD4572" s="1" t="str">
        <f>IFERROR(IF(Final_Sans_VGE[[#This Row],[ppn_z]]="","",IFERROR(
   IF(_xlfn.XLOOKUP(Final_Sans_VGE[[#This Row],[ppn_z]],tbl_Historique_Final[[#This Row],[ppn_z]],tbl_Historique_Final[[#This Row],[date_modif]])=Final_Sans_VGE[[#This Row],[date_modif]],
      "Ancien",
      "Modifié"),
   "Nouveau")),"")</f>
        <v/>
      </c>
    </row>
    <row r="4573" spans="24:30" x14ac:dyDescent="0.25">
      <c r="X4573" s="8" t="e">
        <f>IF(Final_Sans_VGE[[#This Row],[ppn_z]]="","",IFERROR(
   IF(_xlfn.XLOOKUP(Final_Sans_VGE[[#This Row],[ppn_z]],tbl_Historique_Final[ppn_z],tbl_Historique_Final[date_modif])=Final_Sans_VGE[[#This Row],[date_modif]],
      "Ancien",
      "Modifié"),
   "Nouveau"))</f>
        <v>#VALUE!</v>
      </c>
      <c r="AD4573" s="1" t="str">
        <f>IFERROR(IF(Final_Sans_VGE[[#This Row],[ppn_z]]="","",IFERROR(
   IF(_xlfn.XLOOKUP(Final_Sans_VGE[[#This Row],[ppn_z]],tbl_Historique_Final[[#This Row],[ppn_z]],tbl_Historique_Final[[#This Row],[date_modif]])=Final_Sans_VGE[[#This Row],[date_modif]],
      "Ancien",
      "Modifié"),
   "Nouveau")),"")</f>
        <v/>
      </c>
    </row>
    <row r="4574" spans="24:30" x14ac:dyDescent="0.25">
      <c r="X4574" s="8" t="e">
        <f>IF(Final_Sans_VGE[[#This Row],[ppn_z]]="","",IFERROR(
   IF(_xlfn.XLOOKUP(Final_Sans_VGE[[#This Row],[ppn_z]],tbl_Historique_Final[ppn_z],tbl_Historique_Final[date_modif])=Final_Sans_VGE[[#This Row],[date_modif]],
      "Ancien",
      "Modifié"),
   "Nouveau"))</f>
        <v>#VALUE!</v>
      </c>
      <c r="AD4574" s="1" t="str">
        <f>IFERROR(IF(Final_Sans_VGE[[#This Row],[ppn_z]]="","",IFERROR(
   IF(_xlfn.XLOOKUP(Final_Sans_VGE[[#This Row],[ppn_z]],tbl_Historique_Final[[#This Row],[ppn_z]],tbl_Historique_Final[[#This Row],[date_modif]])=Final_Sans_VGE[[#This Row],[date_modif]],
      "Ancien",
      "Modifié"),
   "Nouveau")),"")</f>
        <v/>
      </c>
    </row>
    <row r="4575" spans="24:30" x14ac:dyDescent="0.25">
      <c r="X4575" s="8" t="e">
        <f>IF(Final_Sans_VGE[[#This Row],[ppn_z]]="","",IFERROR(
   IF(_xlfn.XLOOKUP(Final_Sans_VGE[[#This Row],[ppn_z]],tbl_Historique_Final[ppn_z],tbl_Historique_Final[date_modif])=Final_Sans_VGE[[#This Row],[date_modif]],
      "Ancien",
      "Modifié"),
   "Nouveau"))</f>
        <v>#VALUE!</v>
      </c>
      <c r="AD4575" s="1" t="str">
        <f>IFERROR(IF(Final_Sans_VGE[[#This Row],[ppn_z]]="","",IFERROR(
   IF(_xlfn.XLOOKUP(Final_Sans_VGE[[#This Row],[ppn_z]],tbl_Historique_Final[[#This Row],[ppn_z]],tbl_Historique_Final[[#This Row],[date_modif]])=Final_Sans_VGE[[#This Row],[date_modif]],
      "Ancien",
      "Modifié"),
   "Nouveau")),"")</f>
        <v/>
      </c>
    </row>
    <row r="4576" spans="24:30" x14ac:dyDescent="0.25">
      <c r="X4576" s="8" t="e">
        <f>IF(Final_Sans_VGE[[#This Row],[ppn_z]]="","",IFERROR(
   IF(_xlfn.XLOOKUP(Final_Sans_VGE[[#This Row],[ppn_z]],tbl_Historique_Final[ppn_z],tbl_Historique_Final[date_modif])=Final_Sans_VGE[[#This Row],[date_modif]],
      "Ancien",
      "Modifié"),
   "Nouveau"))</f>
        <v>#VALUE!</v>
      </c>
      <c r="AD4576" s="1" t="str">
        <f>IFERROR(IF(Final_Sans_VGE[[#This Row],[ppn_z]]="","",IFERROR(
   IF(_xlfn.XLOOKUP(Final_Sans_VGE[[#This Row],[ppn_z]],tbl_Historique_Final[[#This Row],[ppn_z]],tbl_Historique_Final[[#This Row],[date_modif]])=Final_Sans_VGE[[#This Row],[date_modif]],
      "Ancien",
      "Modifié"),
   "Nouveau")),"")</f>
        <v/>
      </c>
    </row>
    <row r="4577" spans="24:30" x14ac:dyDescent="0.25">
      <c r="X4577" s="8" t="e">
        <f>IF(Final_Sans_VGE[[#This Row],[ppn_z]]="","",IFERROR(
   IF(_xlfn.XLOOKUP(Final_Sans_VGE[[#This Row],[ppn_z]],tbl_Historique_Final[ppn_z],tbl_Historique_Final[date_modif])=Final_Sans_VGE[[#This Row],[date_modif]],
      "Ancien",
      "Modifié"),
   "Nouveau"))</f>
        <v>#VALUE!</v>
      </c>
      <c r="AD4577" s="1" t="str">
        <f>IFERROR(IF(Final_Sans_VGE[[#This Row],[ppn_z]]="","",IFERROR(
   IF(_xlfn.XLOOKUP(Final_Sans_VGE[[#This Row],[ppn_z]],tbl_Historique_Final[[#This Row],[ppn_z]],tbl_Historique_Final[[#This Row],[date_modif]])=Final_Sans_VGE[[#This Row],[date_modif]],
      "Ancien",
      "Modifié"),
   "Nouveau")),"")</f>
        <v/>
      </c>
    </row>
    <row r="4578" spans="24:30" x14ac:dyDescent="0.25">
      <c r="X4578" s="8" t="e">
        <f>IF(Final_Sans_VGE[[#This Row],[ppn_z]]="","",IFERROR(
   IF(_xlfn.XLOOKUP(Final_Sans_VGE[[#This Row],[ppn_z]],tbl_Historique_Final[ppn_z],tbl_Historique_Final[date_modif])=Final_Sans_VGE[[#This Row],[date_modif]],
      "Ancien",
      "Modifié"),
   "Nouveau"))</f>
        <v>#VALUE!</v>
      </c>
      <c r="AD4578" s="1" t="str">
        <f>IFERROR(IF(Final_Sans_VGE[[#This Row],[ppn_z]]="","",IFERROR(
   IF(_xlfn.XLOOKUP(Final_Sans_VGE[[#This Row],[ppn_z]],tbl_Historique_Final[[#This Row],[ppn_z]],tbl_Historique_Final[[#This Row],[date_modif]])=Final_Sans_VGE[[#This Row],[date_modif]],
      "Ancien",
      "Modifié"),
   "Nouveau")),"")</f>
        <v/>
      </c>
    </row>
    <row r="4579" spans="24:30" x14ac:dyDescent="0.25">
      <c r="X4579" s="8" t="e">
        <f>IF(Final_Sans_VGE[[#This Row],[ppn_z]]="","",IFERROR(
   IF(_xlfn.XLOOKUP(Final_Sans_VGE[[#This Row],[ppn_z]],tbl_Historique_Final[ppn_z],tbl_Historique_Final[date_modif])=Final_Sans_VGE[[#This Row],[date_modif]],
      "Ancien",
      "Modifié"),
   "Nouveau"))</f>
        <v>#VALUE!</v>
      </c>
      <c r="AD4579" s="1" t="str">
        <f>IFERROR(IF(Final_Sans_VGE[[#This Row],[ppn_z]]="","",IFERROR(
   IF(_xlfn.XLOOKUP(Final_Sans_VGE[[#This Row],[ppn_z]],tbl_Historique_Final[[#This Row],[ppn_z]],tbl_Historique_Final[[#This Row],[date_modif]])=Final_Sans_VGE[[#This Row],[date_modif]],
      "Ancien",
      "Modifié"),
   "Nouveau")),"")</f>
        <v/>
      </c>
    </row>
    <row r="4580" spans="24:30" x14ac:dyDescent="0.25">
      <c r="X4580" s="8" t="e">
        <f>IF(Final_Sans_VGE[[#This Row],[ppn_z]]="","",IFERROR(
   IF(_xlfn.XLOOKUP(Final_Sans_VGE[[#This Row],[ppn_z]],tbl_Historique_Final[ppn_z],tbl_Historique_Final[date_modif])=Final_Sans_VGE[[#This Row],[date_modif]],
      "Ancien",
      "Modifié"),
   "Nouveau"))</f>
        <v>#VALUE!</v>
      </c>
      <c r="AD4580" s="1" t="str">
        <f>IFERROR(IF(Final_Sans_VGE[[#This Row],[ppn_z]]="","",IFERROR(
   IF(_xlfn.XLOOKUP(Final_Sans_VGE[[#This Row],[ppn_z]],tbl_Historique_Final[[#This Row],[ppn_z]],tbl_Historique_Final[[#This Row],[date_modif]])=Final_Sans_VGE[[#This Row],[date_modif]],
      "Ancien",
      "Modifié"),
   "Nouveau")),"")</f>
        <v/>
      </c>
    </row>
    <row r="4581" spans="24:30" x14ac:dyDescent="0.25">
      <c r="X4581" s="8" t="e">
        <f>IF(Final_Sans_VGE[[#This Row],[ppn_z]]="","",IFERROR(
   IF(_xlfn.XLOOKUP(Final_Sans_VGE[[#This Row],[ppn_z]],tbl_Historique_Final[ppn_z],tbl_Historique_Final[date_modif])=Final_Sans_VGE[[#This Row],[date_modif]],
      "Ancien",
      "Modifié"),
   "Nouveau"))</f>
        <v>#VALUE!</v>
      </c>
      <c r="AD4581" s="1" t="str">
        <f>IFERROR(IF(Final_Sans_VGE[[#This Row],[ppn_z]]="","",IFERROR(
   IF(_xlfn.XLOOKUP(Final_Sans_VGE[[#This Row],[ppn_z]],tbl_Historique_Final[[#This Row],[ppn_z]],tbl_Historique_Final[[#This Row],[date_modif]])=Final_Sans_VGE[[#This Row],[date_modif]],
      "Ancien",
      "Modifié"),
   "Nouveau")),"")</f>
        <v/>
      </c>
    </row>
    <row r="4582" spans="24:30" x14ac:dyDescent="0.25">
      <c r="X4582" s="8" t="e">
        <f>IF(Final_Sans_VGE[[#This Row],[ppn_z]]="","",IFERROR(
   IF(_xlfn.XLOOKUP(Final_Sans_VGE[[#This Row],[ppn_z]],tbl_Historique_Final[ppn_z],tbl_Historique_Final[date_modif])=Final_Sans_VGE[[#This Row],[date_modif]],
      "Ancien",
      "Modifié"),
   "Nouveau"))</f>
        <v>#VALUE!</v>
      </c>
      <c r="AD4582" s="1" t="str">
        <f>IFERROR(IF(Final_Sans_VGE[[#This Row],[ppn_z]]="","",IFERROR(
   IF(_xlfn.XLOOKUP(Final_Sans_VGE[[#This Row],[ppn_z]],tbl_Historique_Final[[#This Row],[ppn_z]],tbl_Historique_Final[[#This Row],[date_modif]])=Final_Sans_VGE[[#This Row],[date_modif]],
      "Ancien",
      "Modifié"),
   "Nouveau")),"")</f>
        <v/>
      </c>
    </row>
    <row r="4583" spans="24:30" x14ac:dyDescent="0.25">
      <c r="X4583" s="8" t="e">
        <f>IF(Final_Sans_VGE[[#This Row],[ppn_z]]="","",IFERROR(
   IF(_xlfn.XLOOKUP(Final_Sans_VGE[[#This Row],[ppn_z]],tbl_Historique_Final[ppn_z],tbl_Historique_Final[date_modif])=Final_Sans_VGE[[#This Row],[date_modif]],
      "Ancien",
      "Modifié"),
   "Nouveau"))</f>
        <v>#VALUE!</v>
      </c>
      <c r="AD4583" s="1" t="str">
        <f>IFERROR(IF(Final_Sans_VGE[[#This Row],[ppn_z]]="","",IFERROR(
   IF(_xlfn.XLOOKUP(Final_Sans_VGE[[#This Row],[ppn_z]],tbl_Historique_Final[[#This Row],[ppn_z]],tbl_Historique_Final[[#This Row],[date_modif]])=Final_Sans_VGE[[#This Row],[date_modif]],
      "Ancien",
      "Modifié"),
   "Nouveau")),"")</f>
        <v/>
      </c>
    </row>
    <row r="4584" spans="24:30" x14ac:dyDescent="0.25">
      <c r="X4584" s="8" t="e">
        <f>IF(Final_Sans_VGE[[#This Row],[ppn_z]]="","",IFERROR(
   IF(_xlfn.XLOOKUP(Final_Sans_VGE[[#This Row],[ppn_z]],tbl_Historique_Final[ppn_z],tbl_Historique_Final[date_modif])=Final_Sans_VGE[[#This Row],[date_modif]],
      "Ancien",
      "Modifié"),
   "Nouveau"))</f>
        <v>#VALUE!</v>
      </c>
      <c r="AD4584" s="1" t="str">
        <f>IFERROR(IF(Final_Sans_VGE[[#This Row],[ppn_z]]="","",IFERROR(
   IF(_xlfn.XLOOKUP(Final_Sans_VGE[[#This Row],[ppn_z]],tbl_Historique_Final[[#This Row],[ppn_z]],tbl_Historique_Final[[#This Row],[date_modif]])=Final_Sans_VGE[[#This Row],[date_modif]],
      "Ancien",
      "Modifié"),
   "Nouveau")),"")</f>
        <v/>
      </c>
    </row>
    <row r="4585" spans="24:30" x14ac:dyDescent="0.25">
      <c r="X4585" s="8" t="e">
        <f>IF(Final_Sans_VGE[[#This Row],[ppn_z]]="","",IFERROR(
   IF(_xlfn.XLOOKUP(Final_Sans_VGE[[#This Row],[ppn_z]],tbl_Historique_Final[ppn_z],tbl_Historique_Final[date_modif])=Final_Sans_VGE[[#This Row],[date_modif]],
      "Ancien",
      "Modifié"),
   "Nouveau"))</f>
        <v>#VALUE!</v>
      </c>
      <c r="AD4585" s="1" t="str">
        <f>IFERROR(IF(Final_Sans_VGE[[#This Row],[ppn_z]]="","",IFERROR(
   IF(_xlfn.XLOOKUP(Final_Sans_VGE[[#This Row],[ppn_z]],tbl_Historique_Final[[#This Row],[ppn_z]],tbl_Historique_Final[[#This Row],[date_modif]])=Final_Sans_VGE[[#This Row],[date_modif]],
      "Ancien",
      "Modifié"),
   "Nouveau")),"")</f>
        <v/>
      </c>
    </row>
    <row r="4586" spans="24:30" x14ac:dyDescent="0.25">
      <c r="X4586" s="8" t="e">
        <f>IF(Final_Sans_VGE[[#This Row],[ppn_z]]="","",IFERROR(
   IF(_xlfn.XLOOKUP(Final_Sans_VGE[[#This Row],[ppn_z]],tbl_Historique_Final[ppn_z],tbl_Historique_Final[date_modif])=Final_Sans_VGE[[#This Row],[date_modif]],
      "Ancien",
      "Modifié"),
   "Nouveau"))</f>
        <v>#VALUE!</v>
      </c>
      <c r="AD4586" s="1" t="str">
        <f>IFERROR(IF(Final_Sans_VGE[[#This Row],[ppn_z]]="","",IFERROR(
   IF(_xlfn.XLOOKUP(Final_Sans_VGE[[#This Row],[ppn_z]],tbl_Historique_Final[[#This Row],[ppn_z]],tbl_Historique_Final[[#This Row],[date_modif]])=Final_Sans_VGE[[#This Row],[date_modif]],
      "Ancien",
      "Modifié"),
   "Nouveau")),"")</f>
        <v/>
      </c>
    </row>
    <row r="4587" spans="24:30" x14ac:dyDescent="0.25">
      <c r="X4587" s="8" t="e">
        <f>IF(Final_Sans_VGE[[#This Row],[ppn_z]]="","",IFERROR(
   IF(_xlfn.XLOOKUP(Final_Sans_VGE[[#This Row],[ppn_z]],tbl_Historique_Final[ppn_z],tbl_Historique_Final[date_modif])=Final_Sans_VGE[[#This Row],[date_modif]],
      "Ancien",
      "Modifié"),
   "Nouveau"))</f>
        <v>#VALUE!</v>
      </c>
      <c r="AD4587" s="1" t="str">
        <f>IFERROR(IF(Final_Sans_VGE[[#This Row],[ppn_z]]="","",IFERROR(
   IF(_xlfn.XLOOKUP(Final_Sans_VGE[[#This Row],[ppn_z]],tbl_Historique_Final[[#This Row],[ppn_z]],tbl_Historique_Final[[#This Row],[date_modif]])=Final_Sans_VGE[[#This Row],[date_modif]],
      "Ancien",
      "Modifié"),
   "Nouveau")),"")</f>
        <v/>
      </c>
    </row>
    <row r="4588" spans="24:30" x14ac:dyDescent="0.25">
      <c r="X4588" s="8" t="e">
        <f>IF(Final_Sans_VGE[[#This Row],[ppn_z]]="","",IFERROR(
   IF(_xlfn.XLOOKUP(Final_Sans_VGE[[#This Row],[ppn_z]],tbl_Historique_Final[ppn_z],tbl_Historique_Final[date_modif])=Final_Sans_VGE[[#This Row],[date_modif]],
      "Ancien",
      "Modifié"),
   "Nouveau"))</f>
        <v>#VALUE!</v>
      </c>
      <c r="AD4588" s="1" t="str">
        <f>IFERROR(IF(Final_Sans_VGE[[#This Row],[ppn_z]]="","",IFERROR(
   IF(_xlfn.XLOOKUP(Final_Sans_VGE[[#This Row],[ppn_z]],tbl_Historique_Final[[#This Row],[ppn_z]],tbl_Historique_Final[[#This Row],[date_modif]])=Final_Sans_VGE[[#This Row],[date_modif]],
      "Ancien",
      "Modifié"),
   "Nouveau")),"")</f>
        <v/>
      </c>
    </row>
    <row r="4589" spans="24:30" x14ac:dyDescent="0.25">
      <c r="X4589" s="8" t="e">
        <f>IF(Final_Sans_VGE[[#This Row],[ppn_z]]="","",IFERROR(
   IF(_xlfn.XLOOKUP(Final_Sans_VGE[[#This Row],[ppn_z]],tbl_Historique_Final[ppn_z],tbl_Historique_Final[date_modif])=Final_Sans_VGE[[#This Row],[date_modif]],
      "Ancien",
      "Modifié"),
   "Nouveau"))</f>
        <v>#VALUE!</v>
      </c>
      <c r="AD4589" s="1" t="str">
        <f>IFERROR(IF(Final_Sans_VGE[[#This Row],[ppn_z]]="","",IFERROR(
   IF(_xlfn.XLOOKUP(Final_Sans_VGE[[#This Row],[ppn_z]],tbl_Historique_Final[[#This Row],[ppn_z]],tbl_Historique_Final[[#This Row],[date_modif]])=Final_Sans_VGE[[#This Row],[date_modif]],
      "Ancien",
      "Modifié"),
   "Nouveau")),"")</f>
        <v/>
      </c>
    </row>
    <row r="4590" spans="24:30" x14ac:dyDescent="0.25">
      <c r="X4590" s="8" t="e">
        <f>IF(Final_Sans_VGE[[#This Row],[ppn_z]]="","",IFERROR(
   IF(_xlfn.XLOOKUP(Final_Sans_VGE[[#This Row],[ppn_z]],tbl_Historique_Final[ppn_z],tbl_Historique_Final[date_modif])=Final_Sans_VGE[[#This Row],[date_modif]],
      "Ancien",
      "Modifié"),
   "Nouveau"))</f>
        <v>#VALUE!</v>
      </c>
      <c r="AD4590" s="1" t="str">
        <f>IFERROR(IF(Final_Sans_VGE[[#This Row],[ppn_z]]="","",IFERROR(
   IF(_xlfn.XLOOKUP(Final_Sans_VGE[[#This Row],[ppn_z]],tbl_Historique_Final[[#This Row],[ppn_z]],tbl_Historique_Final[[#This Row],[date_modif]])=Final_Sans_VGE[[#This Row],[date_modif]],
      "Ancien",
      "Modifié"),
   "Nouveau")),"")</f>
        <v/>
      </c>
    </row>
    <row r="4591" spans="24:30" x14ac:dyDescent="0.25">
      <c r="X4591" s="8" t="e">
        <f>IF(Final_Sans_VGE[[#This Row],[ppn_z]]="","",IFERROR(
   IF(_xlfn.XLOOKUP(Final_Sans_VGE[[#This Row],[ppn_z]],tbl_Historique_Final[ppn_z],tbl_Historique_Final[date_modif])=Final_Sans_VGE[[#This Row],[date_modif]],
      "Ancien",
      "Modifié"),
   "Nouveau"))</f>
        <v>#VALUE!</v>
      </c>
      <c r="AD4591" s="1" t="str">
        <f>IFERROR(IF(Final_Sans_VGE[[#This Row],[ppn_z]]="","",IFERROR(
   IF(_xlfn.XLOOKUP(Final_Sans_VGE[[#This Row],[ppn_z]],tbl_Historique_Final[[#This Row],[ppn_z]],tbl_Historique_Final[[#This Row],[date_modif]])=Final_Sans_VGE[[#This Row],[date_modif]],
      "Ancien",
      "Modifié"),
   "Nouveau")),"")</f>
        <v/>
      </c>
    </row>
    <row r="4592" spans="24:30" x14ac:dyDescent="0.25">
      <c r="X4592" s="8" t="e">
        <f>IF(Final_Sans_VGE[[#This Row],[ppn_z]]="","",IFERROR(
   IF(_xlfn.XLOOKUP(Final_Sans_VGE[[#This Row],[ppn_z]],tbl_Historique_Final[ppn_z],tbl_Historique_Final[date_modif])=Final_Sans_VGE[[#This Row],[date_modif]],
      "Ancien",
      "Modifié"),
   "Nouveau"))</f>
        <v>#VALUE!</v>
      </c>
      <c r="AD4592" s="1" t="str">
        <f>IFERROR(IF(Final_Sans_VGE[[#This Row],[ppn_z]]="","",IFERROR(
   IF(_xlfn.XLOOKUP(Final_Sans_VGE[[#This Row],[ppn_z]],tbl_Historique_Final[[#This Row],[ppn_z]],tbl_Historique_Final[[#This Row],[date_modif]])=Final_Sans_VGE[[#This Row],[date_modif]],
      "Ancien",
      "Modifié"),
   "Nouveau")),"")</f>
        <v/>
      </c>
    </row>
    <row r="4593" spans="24:30" x14ac:dyDescent="0.25">
      <c r="X4593" s="8" t="e">
        <f>IF(Final_Sans_VGE[[#This Row],[ppn_z]]="","",IFERROR(
   IF(_xlfn.XLOOKUP(Final_Sans_VGE[[#This Row],[ppn_z]],tbl_Historique_Final[ppn_z],tbl_Historique_Final[date_modif])=Final_Sans_VGE[[#This Row],[date_modif]],
      "Ancien",
      "Modifié"),
   "Nouveau"))</f>
        <v>#VALUE!</v>
      </c>
      <c r="AD4593" s="1" t="str">
        <f>IFERROR(IF(Final_Sans_VGE[[#This Row],[ppn_z]]="","",IFERROR(
   IF(_xlfn.XLOOKUP(Final_Sans_VGE[[#This Row],[ppn_z]],tbl_Historique_Final[[#This Row],[ppn_z]],tbl_Historique_Final[[#This Row],[date_modif]])=Final_Sans_VGE[[#This Row],[date_modif]],
      "Ancien",
      "Modifié"),
   "Nouveau")),"")</f>
        <v/>
      </c>
    </row>
    <row r="4594" spans="24:30" x14ac:dyDescent="0.25">
      <c r="X4594" s="8" t="e">
        <f>IF(Final_Sans_VGE[[#This Row],[ppn_z]]="","",IFERROR(
   IF(_xlfn.XLOOKUP(Final_Sans_VGE[[#This Row],[ppn_z]],tbl_Historique_Final[ppn_z],tbl_Historique_Final[date_modif])=Final_Sans_VGE[[#This Row],[date_modif]],
      "Ancien",
      "Modifié"),
   "Nouveau"))</f>
        <v>#VALUE!</v>
      </c>
      <c r="AD4594" s="1" t="str">
        <f>IFERROR(IF(Final_Sans_VGE[[#This Row],[ppn_z]]="","",IFERROR(
   IF(_xlfn.XLOOKUP(Final_Sans_VGE[[#This Row],[ppn_z]],tbl_Historique_Final[[#This Row],[ppn_z]],tbl_Historique_Final[[#This Row],[date_modif]])=Final_Sans_VGE[[#This Row],[date_modif]],
      "Ancien",
      "Modifié"),
   "Nouveau")),"")</f>
        <v/>
      </c>
    </row>
    <row r="4595" spans="24:30" x14ac:dyDescent="0.25">
      <c r="X4595" s="8" t="e">
        <f>IF(Final_Sans_VGE[[#This Row],[ppn_z]]="","",IFERROR(
   IF(_xlfn.XLOOKUP(Final_Sans_VGE[[#This Row],[ppn_z]],tbl_Historique_Final[ppn_z],tbl_Historique_Final[date_modif])=Final_Sans_VGE[[#This Row],[date_modif]],
      "Ancien",
      "Modifié"),
   "Nouveau"))</f>
        <v>#VALUE!</v>
      </c>
      <c r="AD4595" s="1" t="str">
        <f>IFERROR(IF(Final_Sans_VGE[[#This Row],[ppn_z]]="","",IFERROR(
   IF(_xlfn.XLOOKUP(Final_Sans_VGE[[#This Row],[ppn_z]],tbl_Historique_Final[[#This Row],[ppn_z]],tbl_Historique_Final[[#This Row],[date_modif]])=Final_Sans_VGE[[#This Row],[date_modif]],
      "Ancien",
      "Modifié"),
   "Nouveau")),"")</f>
        <v/>
      </c>
    </row>
    <row r="4596" spans="24:30" x14ac:dyDescent="0.25">
      <c r="X4596" s="8" t="e">
        <f>IF(Final_Sans_VGE[[#This Row],[ppn_z]]="","",IFERROR(
   IF(_xlfn.XLOOKUP(Final_Sans_VGE[[#This Row],[ppn_z]],tbl_Historique_Final[ppn_z],tbl_Historique_Final[date_modif])=Final_Sans_VGE[[#This Row],[date_modif]],
      "Ancien",
      "Modifié"),
   "Nouveau"))</f>
        <v>#VALUE!</v>
      </c>
      <c r="AD4596" s="1" t="str">
        <f>IFERROR(IF(Final_Sans_VGE[[#This Row],[ppn_z]]="","",IFERROR(
   IF(_xlfn.XLOOKUP(Final_Sans_VGE[[#This Row],[ppn_z]],tbl_Historique_Final[[#This Row],[ppn_z]],tbl_Historique_Final[[#This Row],[date_modif]])=Final_Sans_VGE[[#This Row],[date_modif]],
      "Ancien",
      "Modifié"),
   "Nouveau")),"")</f>
        <v/>
      </c>
    </row>
    <row r="4597" spans="24:30" x14ac:dyDescent="0.25">
      <c r="X4597" s="8" t="e">
        <f>IF(Final_Sans_VGE[[#This Row],[ppn_z]]="","",IFERROR(
   IF(_xlfn.XLOOKUP(Final_Sans_VGE[[#This Row],[ppn_z]],tbl_Historique_Final[ppn_z],tbl_Historique_Final[date_modif])=Final_Sans_VGE[[#This Row],[date_modif]],
      "Ancien",
      "Modifié"),
   "Nouveau"))</f>
        <v>#VALUE!</v>
      </c>
      <c r="AD4597" s="1" t="str">
        <f>IFERROR(IF(Final_Sans_VGE[[#This Row],[ppn_z]]="","",IFERROR(
   IF(_xlfn.XLOOKUP(Final_Sans_VGE[[#This Row],[ppn_z]],tbl_Historique_Final[[#This Row],[ppn_z]],tbl_Historique_Final[[#This Row],[date_modif]])=Final_Sans_VGE[[#This Row],[date_modif]],
      "Ancien",
      "Modifié"),
   "Nouveau")),"")</f>
        <v/>
      </c>
    </row>
    <row r="4598" spans="24:30" x14ac:dyDescent="0.25">
      <c r="X4598" s="8" t="e">
        <f>IF(Final_Sans_VGE[[#This Row],[ppn_z]]="","",IFERROR(
   IF(_xlfn.XLOOKUP(Final_Sans_VGE[[#This Row],[ppn_z]],tbl_Historique_Final[ppn_z],tbl_Historique_Final[date_modif])=Final_Sans_VGE[[#This Row],[date_modif]],
      "Ancien",
      "Modifié"),
   "Nouveau"))</f>
        <v>#VALUE!</v>
      </c>
      <c r="AD4598" s="1" t="str">
        <f>IFERROR(IF(Final_Sans_VGE[[#This Row],[ppn_z]]="","",IFERROR(
   IF(_xlfn.XLOOKUP(Final_Sans_VGE[[#This Row],[ppn_z]],tbl_Historique_Final[[#This Row],[ppn_z]],tbl_Historique_Final[[#This Row],[date_modif]])=Final_Sans_VGE[[#This Row],[date_modif]],
      "Ancien",
      "Modifié"),
   "Nouveau")),"")</f>
        <v/>
      </c>
    </row>
    <row r="4599" spans="24:30" x14ac:dyDescent="0.25">
      <c r="X4599" s="8" t="e">
        <f>IF(Final_Sans_VGE[[#This Row],[ppn_z]]="","",IFERROR(
   IF(_xlfn.XLOOKUP(Final_Sans_VGE[[#This Row],[ppn_z]],tbl_Historique_Final[ppn_z],tbl_Historique_Final[date_modif])=Final_Sans_VGE[[#This Row],[date_modif]],
      "Ancien",
      "Modifié"),
   "Nouveau"))</f>
        <v>#VALUE!</v>
      </c>
      <c r="AD4599" s="1" t="str">
        <f>IFERROR(IF(Final_Sans_VGE[[#This Row],[ppn_z]]="","",IFERROR(
   IF(_xlfn.XLOOKUP(Final_Sans_VGE[[#This Row],[ppn_z]],tbl_Historique_Final[[#This Row],[ppn_z]],tbl_Historique_Final[[#This Row],[date_modif]])=Final_Sans_VGE[[#This Row],[date_modif]],
      "Ancien",
      "Modifié"),
   "Nouveau")),"")</f>
        <v/>
      </c>
    </row>
    <row r="4600" spans="24:30" x14ac:dyDescent="0.25">
      <c r="X4600" s="8" t="e">
        <f>IF(Final_Sans_VGE[[#This Row],[ppn_z]]="","",IFERROR(
   IF(_xlfn.XLOOKUP(Final_Sans_VGE[[#This Row],[ppn_z]],tbl_Historique_Final[ppn_z],tbl_Historique_Final[date_modif])=Final_Sans_VGE[[#This Row],[date_modif]],
      "Ancien",
      "Modifié"),
   "Nouveau"))</f>
        <v>#VALUE!</v>
      </c>
      <c r="AD4600" s="1" t="str">
        <f>IFERROR(IF(Final_Sans_VGE[[#This Row],[ppn_z]]="","",IFERROR(
   IF(_xlfn.XLOOKUP(Final_Sans_VGE[[#This Row],[ppn_z]],tbl_Historique_Final[[#This Row],[ppn_z]],tbl_Historique_Final[[#This Row],[date_modif]])=Final_Sans_VGE[[#This Row],[date_modif]],
      "Ancien",
      "Modifié"),
   "Nouveau")),"")</f>
        <v/>
      </c>
    </row>
    <row r="4601" spans="24:30" x14ac:dyDescent="0.25">
      <c r="X4601" s="8" t="e">
        <f>IF(Final_Sans_VGE[[#This Row],[ppn_z]]="","",IFERROR(
   IF(_xlfn.XLOOKUP(Final_Sans_VGE[[#This Row],[ppn_z]],tbl_Historique_Final[ppn_z],tbl_Historique_Final[date_modif])=Final_Sans_VGE[[#This Row],[date_modif]],
      "Ancien",
      "Modifié"),
   "Nouveau"))</f>
        <v>#VALUE!</v>
      </c>
      <c r="AD4601" s="1" t="str">
        <f>IFERROR(IF(Final_Sans_VGE[[#This Row],[ppn_z]]="","",IFERROR(
   IF(_xlfn.XLOOKUP(Final_Sans_VGE[[#This Row],[ppn_z]],tbl_Historique_Final[[#This Row],[ppn_z]],tbl_Historique_Final[[#This Row],[date_modif]])=Final_Sans_VGE[[#This Row],[date_modif]],
      "Ancien",
      "Modifié"),
   "Nouveau")),"")</f>
        <v/>
      </c>
    </row>
    <row r="4602" spans="24:30" x14ac:dyDescent="0.25">
      <c r="X4602" s="8" t="e">
        <f>IF(Final_Sans_VGE[[#This Row],[ppn_z]]="","",IFERROR(
   IF(_xlfn.XLOOKUP(Final_Sans_VGE[[#This Row],[ppn_z]],tbl_Historique_Final[ppn_z],tbl_Historique_Final[date_modif])=Final_Sans_VGE[[#This Row],[date_modif]],
      "Ancien",
      "Modifié"),
   "Nouveau"))</f>
        <v>#VALUE!</v>
      </c>
      <c r="AD4602" s="1" t="str">
        <f>IFERROR(IF(Final_Sans_VGE[[#This Row],[ppn_z]]="","",IFERROR(
   IF(_xlfn.XLOOKUP(Final_Sans_VGE[[#This Row],[ppn_z]],tbl_Historique_Final[[#This Row],[ppn_z]],tbl_Historique_Final[[#This Row],[date_modif]])=Final_Sans_VGE[[#This Row],[date_modif]],
      "Ancien",
      "Modifié"),
   "Nouveau")),"")</f>
        <v/>
      </c>
    </row>
    <row r="4603" spans="24:30" x14ac:dyDescent="0.25">
      <c r="X4603" s="8" t="e">
        <f>IF(Final_Sans_VGE[[#This Row],[ppn_z]]="","",IFERROR(
   IF(_xlfn.XLOOKUP(Final_Sans_VGE[[#This Row],[ppn_z]],tbl_Historique_Final[ppn_z],tbl_Historique_Final[date_modif])=Final_Sans_VGE[[#This Row],[date_modif]],
      "Ancien",
      "Modifié"),
   "Nouveau"))</f>
        <v>#VALUE!</v>
      </c>
      <c r="AD4603" s="1" t="str">
        <f>IFERROR(IF(Final_Sans_VGE[[#This Row],[ppn_z]]="","",IFERROR(
   IF(_xlfn.XLOOKUP(Final_Sans_VGE[[#This Row],[ppn_z]],tbl_Historique_Final[[#This Row],[ppn_z]],tbl_Historique_Final[[#This Row],[date_modif]])=Final_Sans_VGE[[#This Row],[date_modif]],
      "Ancien",
      "Modifié"),
   "Nouveau")),"")</f>
        <v/>
      </c>
    </row>
    <row r="4604" spans="24:30" x14ac:dyDescent="0.25">
      <c r="X4604" s="8" t="e">
        <f>IF(Final_Sans_VGE[[#This Row],[ppn_z]]="","",IFERROR(
   IF(_xlfn.XLOOKUP(Final_Sans_VGE[[#This Row],[ppn_z]],tbl_Historique_Final[ppn_z],tbl_Historique_Final[date_modif])=Final_Sans_VGE[[#This Row],[date_modif]],
      "Ancien",
      "Modifié"),
   "Nouveau"))</f>
        <v>#VALUE!</v>
      </c>
      <c r="AD4604" s="1" t="str">
        <f>IFERROR(IF(Final_Sans_VGE[[#This Row],[ppn_z]]="","",IFERROR(
   IF(_xlfn.XLOOKUP(Final_Sans_VGE[[#This Row],[ppn_z]],tbl_Historique_Final[[#This Row],[ppn_z]],tbl_Historique_Final[[#This Row],[date_modif]])=Final_Sans_VGE[[#This Row],[date_modif]],
      "Ancien",
      "Modifié"),
   "Nouveau")),"")</f>
        <v/>
      </c>
    </row>
    <row r="4605" spans="24:30" x14ac:dyDescent="0.25">
      <c r="X4605" s="8" t="e">
        <f>IF(Final_Sans_VGE[[#This Row],[ppn_z]]="","",IFERROR(
   IF(_xlfn.XLOOKUP(Final_Sans_VGE[[#This Row],[ppn_z]],tbl_Historique_Final[ppn_z],tbl_Historique_Final[date_modif])=Final_Sans_VGE[[#This Row],[date_modif]],
      "Ancien",
      "Modifié"),
   "Nouveau"))</f>
        <v>#VALUE!</v>
      </c>
      <c r="AD4605" s="1" t="str">
        <f>IFERROR(IF(Final_Sans_VGE[[#This Row],[ppn_z]]="","",IFERROR(
   IF(_xlfn.XLOOKUP(Final_Sans_VGE[[#This Row],[ppn_z]],tbl_Historique_Final[[#This Row],[ppn_z]],tbl_Historique_Final[[#This Row],[date_modif]])=Final_Sans_VGE[[#This Row],[date_modif]],
      "Ancien",
      "Modifié"),
   "Nouveau")),"")</f>
        <v/>
      </c>
    </row>
    <row r="4606" spans="24:30" x14ac:dyDescent="0.25">
      <c r="X4606" s="8" t="e">
        <f>IF(Final_Sans_VGE[[#This Row],[ppn_z]]="","",IFERROR(
   IF(_xlfn.XLOOKUP(Final_Sans_VGE[[#This Row],[ppn_z]],tbl_Historique_Final[ppn_z],tbl_Historique_Final[date_modif])=Final_Sans_VGE[[#This Row],[date_modif]],
      "Ancien",
      "Modifié"),
   "Nouveau"))</f>
        <v>#VALUE!</v>
      </c>
      <c r="AD4606" s="1" t="str">
        <f>IFERROR(IF(Final_Sans_VGE[[#This Row],[ppn_z]]="","",IFERROR(
   IF(_xlfn.XLOOKUP(Final_Sans_VGE[[#This Row],[ppn_z]],tbl_Historique_Final[[#This Row],[ppn_z]],tbl_Historique_Final[[#This Row],[date_modif]])=Final_Sans_VGE[[#This Row],[date_modif]],
      "Ancien",
      "Modifié"),
   "Nouveau")),"")</f>
        <v/>
      </c>
    </row>
    <row r="4607" spans="24:30" x14ac:dyDescent="0.25">
      <c r="X4607" s="8" t="e">
        <f>IF(Final_Sans_VGE[[#This Row],[ppn_z]]="","",IFERROR(
   IF(_xlfn.XLOOKUP(Final_Sans_VGE[[#This Row],[ppn_z]],tbl_Historique_Final[ppn_z],tbl_Historique_Final[date_modif])=Final_Sans_VGE[[#This Row],[date_modif]],
      "Ancien",
      "Modifié"),
   "Nouveau"))</f>
        <v>#VALUE!</v>
      </c>
      <c r="AD4607" s="1" t="str">
        <f>IFERROR(IF(Final_Sans_VGE[[#This Row],[ppn_z]]="","",IFERROR(
   IF(_xlfn.XLOOKUP(Final_Sans_VGE[[#This Row],[ppn_z]],tbl_Historique_Final[[#This Row],[ppn_z]],tbl_Historique_Final[[#This Row],[date_modif]])=Final_Sans_VGE[[#This Row],[date_modif]],
      "Ancien",
      "Modifié"),
   "Nouveau")),"")</f>
        <v/>
      </c>
    </row>
    <row r="4608" spans="24:30" x14ac:dyDescent="0.25">
      <c r="X4608" s="8" t="e">
        <f>IF(Final_Sans_VGE[[#This Row],[ppn_z]]="","",IFERROR(
   IF(_xlfn.XLOOKUP(Final_Sans_VGE[[#This Row],[ppn_z]],tbl_Historique_Final[ppn_z],tbl_Historique_Final[date_modif])=Final_Sans_VGE[[#This Row],[date_modif]],
      "Ancien",
      "Modifié"),
   "Nouveau"))</f>
        <v>#VALUE!</v>
      </c>
      <c r="AD4608" s="1" t="str">
        <f>IFERROR(IF(Final_Sans_VGE[[#This Row],[ppn_z]]="","",IFERROR(
   IF(_xlfn.XLOOKUP(Final_Sans_VGE[[#This Row],[ppn_z]],tbl_Historique_Final[[#This Row],[ppn_z]],tbl_Historique_Final[[#This Row],[date_modif]])=Final_Sans_VGE[[#This Row],[date_modif]],
      "Ancien",
      "Modifié"),
   "Nouveau")),"")</f>
        <v/>
      </c>
    </row>
    <row r="4609" spans="24:30" x14ac:dyDescent="0.25">
      <c r="X4609" s="8" t="e">
        <f>IF(Final_Sans_VGE[[#This Row],[ppn_z]]="","",IFERROR(
   IF(_xlfn.XLOOKUP(Final_Sans_VGE[[#This Row],[ppn_z]],tbl_Historique_Final[ppn_z],tbl_Historique_Final[date_modif])=Final_Sans_VGE[[#This Row],[date_modif]],
      "Ancien",
      "Modifié"),
   "Nouveau"))</f>
        <v>#VALUE!</v>
      </c>
      <c r="AD4609" s="1" t="str">
        <f>IFERROR(IF(Final_Sans_VGE[[#This Row],[ppn_z]]="","",IFERROR(
   IF(_xlfn.XLOOKUP(Final_Sans_VGE[[#This Row],[ppn_z]],tbl_Historique_Final[[#This Row],[ppn_z]],tbl_Historique_Final[[#This Row],[date_modif]])=Final_Sans_VGE[[#This Row],[date_modif]],
      "Ancien",
      "Modifié"),
   "Nouveau")),"")</f>
        <v/>
      </c>
    </row>
    <row r="4610" spans="24:30" x14ac:dyDescent="0.25">
      <c r="X4610" s="8" t="e">
        <f>IF(Final_Sans_VGE[[#This Row],[ppn_z]]="","",IFERROR(
   IF(_xlfn.XLOOKUP(Final_Sans_VGE[[#This Row],[ppn_z]],tbl_Historique_Final[ppn_z],tbl_Historique_Final[date_modif])=Final_Sans_VGE[[#This Row],[date_modif]],
      "Ancien",
      "Modifié"),
   "Nouveau"))</f>
        <v>#VALUE!</v>
      </c>
      <c r="AD4610" s="1" t="str">
        <f>IFERROR(IF(Final_Sans_VGE[[#This Row],[ppn_z]]="","",IFERROR(
   IF(_xlfn.XLOOKUP(Final_Sans_VGE[[#This Row],[ppn_z]],tbl_Historique_Final[[#This Row],[ppn_z]],tbl_Historique_Final[[#This Row],[date_modif]])=Final_Sans_VGE[[#This Row],[date_modif]],
      "Ancien",
      "Modifié"),
   "Nouveau")),"")</f>
        <v/>
      </c>
    </row>
    <row r="4611" spans="24:30" x14ac:dyDescent="0.25">
      <c r="X4611" s="8" t="e">
        <f>IF(Final_Sans_VGE[[#This Row],[ppn_z]]="","",IFERROR(
   IF(_xlfn.XLOOKUP(Final_Sans_VGE[[#This Row],[ppn_z]],tbl_Historique_Final[ppn_z],tbl_Historique_Final[date_modif])=Final_Sans_VGE[[#This Row],[date_modif]],
      "Ancien",
      "Modifié"),
   "Nouveau"))</f>
        <v>#VALUE!</v>
      </c>
      <c r="AD4611" s="1" t="str">
        <f>IFERROR(IF(Final_Sans_VGE[[#This Row],[ppn_z]]="","",IFERROR(
   IF(_xlfn.XLOOKUP(Final_Sans_VGE[[#This Row],[ppn_z]],tbl_Historique_Final[[#This Row],[ppn_z]],tbl_Historique_Final[[#This Row],[date_modif]])=Final_Sans_VGE[[#This Row],[date_modif]],
      "Ancien",
      "Modifié"),
   "Nouveau")),"")</f>
        <v/>
      </c>
    </row>
    <row r="4612" spans="24:30" x14ac:dyDescent="0.25">
      <c r="X4612" s="8" t="e">
        <f>IF(Final_Sans_VGE[[#This Row],[ppn_z]]="","",IFERROR(
   IF(_xlfn.XLOOKUP(Final_Sans_VGE[[#This Row],[ppn_z]],tbl_Historique_Final[ppn_z],tbl_Historique_Final[date_modif])=Final_Sans_VGE[[#This Row],[date_modif]],
      "Ancien",
      "Modifié"),
   "Nouveau"))</f>
        <v>#VALUE!</v>
      </c>
      <c r="AD4612" s="1" t="str">
        <f>IFERROR(IF(Final_Sans_VGE[[#This Row],[ppn_z]]="","",IFERROR(
   IF(_xlfn.XLOOKUP(Final_Sans_VGE[[#This Row],[ppn_z]],tbl_Historique_Final[[#This Row],[ppn_z]],tbl_Historique_Final[[#This Row],[date_modif]])=Final_Sans_VGE[[#This Row],[date_modif]],
      "Ancien",
      "Modifié"),
   "Nouveau")),"")</f>
        <v/>
      </c>
    </row>
    <row r="4613" spans="24:30" x14ac:dyDescent="0.25">
      <c r="X4613" s="8" t="e">
        <f>IF(Final_Sans_VGE[[#This Row],[ppn_z]]="","",IFERROR(
   IF(_xlfn.XLOOKUP(Final_Sans_VGE[[#This Row],[ppn_z]],tbl_Historique_Final[ppn_z],tbl_Historique_Final[date_modif])=Final_Sans_VGE[[#This Row],[date_modif]],
      "Ancien",
      "Modifié"),
   "Nouveau"))</f>
        <v>#VALUE!</v>
      </c>
      <c r="AD4613" s="1" t="str">
        <f>IFERROR(IF(Final_Sans_VGE[[#This Row],[ppn_z]]="","",IFERROR(
   IF(_xlfn.XLOOKUP(Final_Sans_VGE[[#This Row],[ppn_z]],tbl_Historique_Final[[#This Row],[ppn_z]],tbl_Historique_Final[[#This Row],[date_modif]])=Final_Sans_VGE[[#This Row],[date_modif]],
      "Ancien",
      "Modifié"),
   "Nouveau")),"")</f>
        <v/>
      </c>
    </row>
    <row r="4614" spans="24:30" x14ac:dyDescent="0.25">
      <c r="X4614" s="8" t="e">
        <f>IF(Final_Sans_VGE[[#This Row],[ppn_z]]="","",IFERROR(
   IF(_xlfn.XLOOKUP(Final_Sans_VGE[[#This Row],[ppn_z]],tbl_Historique_Final[ppn_z],tbl_Historique_Final[date_modif])=Final_Sans_VGE[[#This Row],[date_modif]],
      "Ancien",
      "Modifié"),
   "Nouveau"))</f>
        <v>#VALUE!</v>
      </c>
      <c r="AD4614" s="1" t="str">
        <f>IFERROR(IF(Final_Sans_VGE[[#This Row],[ppn_z]]="","",IFERROR(
   IF(_xlfn.XLOOKUP(Final_Sans_VGE[[#This Row],[ppn_z]],tbl_Historique_Final[[#This Row],[ppn_z]],tbl_Historique_Final[[#This Row],[date_modif]])=Final_Sans_VGE[[#This Row],[date_modif]],
      "Ancien",
      "Modifié"),
   "Nouveau")),"")</f>
        <v/>
      </c>
    </row>
    <row r="4615" spans="24:30" x14ac:dyDescent="0.25">
      <c r="X4615" s="8" t="e">
        <f>IF(Final_Sans_VGE[[#This Row],[ppn_z]]="","",IFERROR(
   IF(_xlfn.XLOOKUP(Final_Sans_VGE[[#This Row],[ppn_z]],tbl_Historique_Final[ppn_z],tbl_Historique_Final[date_modif])=Final_Sans_VGE[[#This Row],[date_modif]],
      "Ancien",
      "Modifié"),
   "Nouveau"))</f>
        <v>#VALUE!</v>
      </c>
      <c r="AD4615" s="1" t="str">
        <f>IFERROR(IF(Final_Sans_VGE[[#This Row],[ppn_z]]="","",IFERROR(
   IF(_xlfn.XLOOKUP(Final_Sans_VGE[[#This Row],[ppn_z]],tbl_Historique_Final[[#This Row],[ppn_z]],tbl_Historique_Final[[#This Row],[date_modif]])=Final_Sans_VGE[[#This Row],[date_modif]],
      "Ancien",
      "Modifié"),
   "Nouveau")),"")</f>
        <v/>
      </c>
    </row>
    <row r="4616" spans="24:30" x14ac:dyDescent="0.25">
      <c r="X4616" s="8" t="e">
        <f>IF(Final_Sans_VGE[[#This Row],[ppn_z]]="","",IFERROR(
   IF(_xlfn.XLOOKUP(Final_Sans_VGE[[#This Row],[ppn_z]],tbl_Historique_Final[ppn_z],tbl_Historique_Final[date_modif])=Final_Sans_VGE[[#This Row],[date_modif]],
      "Ancien",
      "Modifié"),
   "Nouveau"))</f>
        <v>#VALUE!</v>
      </c>
      <c r="AD4616" s="1" t="str">
        <f>IFERROR(IF(Final_Sans_VGE[[#This Row],[ppn_z]]="","",IFERROR(
   IF(_xlfn.XLOOKUP(Final_Sans_VGE[[#This Row],[ppn_z]],tbl_Historique_Final[[#This Row],[ppn_z]],tbl_Historique_Final[[#This Row],[date_modif]])=Final_Sans_VGE[[#This Row],[date_modif]],
      "Ancien",
      "Modifié"),
   "Nouveau")),"")</f>
        <v/>
      </c>
    </row>
    <row r="4617" spans="24:30" x14ac:dyDescent="0.25">
      <c r="X4617" s="8" t="e">
        <f>IF(Final_Sans_VGE[[#This Row],[ppn_z]]="","",IFERROR(
   IF(_xlfn.XLOOKUP(Final_Sans_VGE[[#This Row],[ppn_z]],tbl_Historique_Final[ppn_z],tbl_Historique_Final[date_modif])=Final_Sans_VGE[[#This Row],[date_modif]],
      "Ancien",
      "Modifié"),
   "Nouveau"))</f>
        <v>#VALUE!</v>
      </c>
      <c r="AD4617" s="1" t="str">
        <f>IFERROR(IF(Final_Sans_VGE[[#This Row],[ppn_z]]="","",IFERROR(
   IF(_xlfn.XLOOKUP(Final_Sans_VGE[[#This Row],[ppn_z]],tbl_Historique_Final[[#This Row],[ppn_z]],tbl_Historique_Final[[#This Row],[date_modif]])=Final_Sans_VGE[[#This Row],[date_modif]],
      "Ancien",
      "Modifié"),
   "Nouveau")),"")</f>
        <v/>
      </c>
    </row>
    <row r="4618" spans="24:30" x14ac:dyDescent="0.25">
      <c r="X4618" s="8" t="e">
        <f>IF(Final_Sans_VGE[[#This Row],[ppn_z]]="","",IFERROR(
   IF(_xlfn.XLOOKUP(Final_Sans_VGE[[#This Row],[ppn_z]],tbl_Historique_Final[ppn_z],tbl_Historique_Final[date_modif])=Final_Sans_VGE[[#This Row],[date_modif]],
      "Ancien",
      "Modifié"),
   "Nouveau"))</f>
        <v>#VALUE!</v>
      </c>
      <c r="AD4618" s="1" t="str">
        <f>IFERROR(IF(Final_Sans_VGE[[#This Row],[ppn_z]]="","",IFERROR(
   IF(_xlfn.XLOOKUP(Final_Sans_VGE[[#This Row],[ppn_z]],tbl_Historique_Final[[#This Row],[ppn_z]],tbl_Historique_Final[[#This Row],[date_modif]])=Final_Sans_VGE[[#This Row],[date_modif]],
      "Ancien",
      "Modifié"),
   "Nouveau")),"")</f>
        <v/>
      </c>
    </row>
    <row r="4619" spans="24:30" x14ac:dyDescent="0.25">
      <c r="X4619" s="8" t="e">
        <f>IF(Final_Sans_VGE[[#This Row],[ppn_z]]="","",IFERROR(
   IF(_xlfn.XLOOKUP(Final_Sans_VGE[[#This Row],[ppn_z]],tbl_Historique_Final[ppn_z],tbl_Historique_Final[date_modif])=Final_Sans_VGE[[#This Row],[date_modif]],
      "Ancien",
      "Modifié"),
   "Nouveau"))</f>
        <v>#VALUE!</v>
      </c>
      <c r="AD4619" s="1" t="str">
        <f>IFERROR(IF(Final_Sans_VGE[[#This Row],[ppn_z]]="","",IFERROR(
   IF(_xlfn.XLOOKUP(Final_Sans_VGE[[#This Row],[ppn_z]],tbl_Historique_Final[[#This Row],[ppn_z]],tbl_Historique_Final[[#This Row],[date_modif]])=Final_Sans_VGE[[#This Row],[date_modif]],
      "Ancien",
      "Modifié"),
   "Nouveau")),"")</f>
        <v/>
      </c>
    </row>
    <row r="4620" spans="24:30" x14ac:dyDescent="0.25">
      <c r="X4620" s="8" t="e">
        <f>IF(Final_Sans_VGE[[#This Row],[ppn_z]]="","",IFERROR(
   IF(_xlfn.XLOOKUP(Final_Sans_VGE[[#This Row],[ppn_z]],tbl_Historique_Final[ppn_z],tbl_Historique_Final[date_modif])=Final_Sans_VGE[[#This Row],[date_modif]],
      "Ancien",
      "Modifié"),
   "Nouveau"))</f>
        <v>#VALUE!</v>
      </c>
      <c r="AD4620" s="1" t="str">
        <f>IFERROR(IF(Final_Sans_VGE[[#This Row],[ppn_z]]="","",IFERROR(
   IF(_xlfn.XLOOKUP(Final_Sans_VGE[[#This Row],[ppn_z]],tbl_Historique_Final[[#This Row],[ppn_z]],tbl_Historique_Final[[#This Row],[date_modif]])=Final_Sans_VGE[[#This Row],[date_modif]],
      "Ancien",
      "Modifié"),
   "Nouveau")),"")</f>
        <v/>
      </c>
    </row>
    <row r="4621" spans="24:30" x14ac:dyDescent="0.25">
      <c r="X4621" s="8" t="e">
        <f>IF(Final_Sans_VGE[[#This Row],[ppn_z]]="","",IFERROR(
   IF(_xlfn.XLOOKUP(Final_Sans_VGE[[#This Row],[ppn_z]],tbl_Historique_Final[ppn_z],tbl_Historique_Final[date_modif])=Final_Sans_VGE[[#This Row],[date_modif]],
      "Ancien",
      "Modifié"),
   "Nouveau"))</f>
        <v>#VALUE!</v>
      </c>
      <c r="AD4621" s="1" t="str">
        <f>IFERROR(IF(Final_Sans_VGE[[#This Row],[ppn_z]]="","",IFERROR(
   IF(_xlfn.XLOOKUP(Final_Sans_VGE[[#This Row],[ppn_z]],tbl_Historique_Final[[#This Row],[ppn_z]],tbl_Historique_Final[[#This Row],[date_modif]])=Final_Sans_VGE[[#This Row],[date_modif]],
      "Ancien",
      "Modifié"),
   "Nouveau")),"")</f>
        <v/>
      </c>
    </row>
    <row r="4622" spans="24:30" x14ac:dyDescent="0.25">
      <c r="X4622" s="8" t="e">
        <f>IF(Final_Sans_VGE[[#This Row],[ppn_z]]="","",IFERROR(
   IF(_xlfn.XLOOKUP(Final_Sans_VGE[[#This Row],[ppn_z]],tbl_Historique_Final[ppn_z],tbl_Historique_Final[date_modif])=Final_Sans_VGE[[#This Row],[date_modif]],
      "Ancien",
      "Modifié"),
   "Nouveau"))</f>
        <v>#VALUE!</v>
      </c>
      <c r="AD4622" s="1" t="str">
        <f>IFERROR(IF(Final_Sans_VGE[[#This Row],[ppn_z]]="","",IFERROR(
   IF(_xlfn.XLOOKUP(Final_Sans_VGE[[#This Row],[ppn_z]],tbl_Historique_Final[[#This Row],[ppn_z]],tbl_Historique_Final[[#This Row],[date_modif]])=Final_Sans_VGE[[#This Row],[date_modif]],
      "Ancien",
      "Modifié"),
   "Nouveau")),"")</f>
        <v/>
      </c>
    </row>
    <row r="4623" spans="24:30" x14ac:dyDescent="0.25">
      <c r="X4623" s="8" t="e">
        <f>IF(Final_Sans_VGE[[#This Row],[ppn_z]]="","",IFERROR(
   IF(_xlfn.XLOOKUP(Final_Sans_VGE[[#This Row],[ppn_z]],tbl_Historique_Final[ppn_z],tbl_Historique_Final[date_modif])=Final_Sans_VGE[[#This Row],[date_modif]],
      "Ancien",
      "Modifié"),
   "Nouveau"))</f>
        <v>#VALUE!</v>
      </c>
      <c r="AD4623" s="1" t="str">
        <f>IFERROR(IF(Final_Sans_VGE[[#This Row],[ppn_z]]="","",IFERROR(
   IF(_xlfn.XLOOKUP(Final_Sans_VGE[[#This Row],[ppn_z]],tbl_Historique_Final[[#This Row],[ppn_z]],tbl_Historique_Final[[#This Row],[date_modif]])=Final_Sans_VGE[[#This Row],[date_modif]],
      "Ancien",
      "Modifié"),
   "Nouveau")),"")</f>
        <v/>
      </c>
    </row>
    <row r="4624" spans="24:30" x14ac:dyDescent="0.25">
      <c r="X4624" s="8" t="e">
        <f>IF(Final_Sans_VGE[[#This Row],[ppn_z]]="","",IFERROR(
   IF(_xlfn.XLOOKUP(Final_Sans_VGE[[#This Row],[ppn_z]],tbl_Historique_Final[ppn_z],tbl_Historique_Final[date_modif])=Final_Sans_VGE[[#This Row],[date_modif]],
      "Ancien",
      "Modifié"),
   "Nouveau"))</f>
        <v>#VALUE!</v>
      </c>
      <c r="AD4624" s="1" t="str">
        <f>IFERROR(IF(Final_Sans_VGE[[#This Row],[ppn_z]]="","",IFERROR(
   IF(_xlfn.XLOOKUP(Final_Sans_VGE[[#This Row],[ppn_z]],tbl_Historique_Final[[#This Row],[ppn_z]],tbl_Historique_Final[[#This Row],[date_modif]])=Final_Sans_VGE[[#This Row],[date_modif]],
      "Ancien",
      "Modifié"),
   "Nouveau")),"")</f>
        <v/>
      </c>
    </row>
    <row r="4625" spans="24:30" x14ac:dyDescent="0.25">
      <c r="X4625" s="8" t="e">
        <f>IF(Final_Sans_VGE[[#This Row],[ppn_z]]="","",IFERROR(
   IF(_xlfn.XLOOKUP(Final_Sans_VGE[[#This Row],[ppn_z]],tbl_Historique_Final[ppn_z],tbl_Historique_Final[date_modif])=Final_Sans_VGE[[#This Row],[date_modif]],
      "Ancien",
      "Modifié"),
   "Nouveau"))</f>
        <v>#VALUE!</v>
      </c>
      <c r="AD4625" s="1" t="str">
        <f>IFERROR(IF(Final_Sans_VGE[[#This Row],[ppn_z]]="","",IFERROR(
   IF(_xlfn.XLOOKUP(Final_Sans_VGE[[#This Row],[ppn_z]],tbl_Historique_Final[[#This Row],[ppn_z]],tbl_Historique_Final[[#This Row],[date_modif]])=Final_Sans_VGE[[#This Row],[date_modif]],
      "Ancien",
      "Modifié"),
   "Nouveau")),"")</f>
        <v/>
      </c>
    </row>
    <row r="4626" spans="24:30" x14ac:dyDescent="0.25">
      <c r="X4626" s="8" t="e">
        <f>IF(Final_Sans_VGE[[#This Row],[ppn_z]]="","",IFERROR(
   IF(_xlfn.XLOOKUP(Final_Sans_VGE[[#This Row],[ppn_z]],tbl_Historique_Final[ppn_z],tbl_Historique_Final[date_modif])=Final_Sans_VGE[[#This Row],[date_modif]],
      "Ancien",
      "Modifié"),
   "Nouveau"))</f>
        <v>#VALUE!</v>
      </c>
      <c r="AD4626" s="1" t="str">
        <f>IFERROR(IF(Final_Sans_VGE[[#This Row],[ppn_z]]="","",IFERROR(
   IF(_xlfn.XLOOKUP(Final_Sans_VGE[[#This Row],[ppn_z]],tbl_Historique_Final[[#This Row],[ppn_z]],tbl_Historique_Final[[#This Row],[date_modif]])=Final_Sans_VGE[[#This Row],[date_modif]],
      "Ancien",
      "Modifié"),
   "Nouveau")),"")</f>
        <v/>
      </c>
    </row>
    <row r="4627" spans="24:30" x14ac:dyDescent="0.25">
      <c r="X4627" s="8" t="e">
        <f>IF(Final_Sans_VGE[[#This Row],[ppn_z]]="","",IFERROR(
   IF(_xlfn.XLOOKUP(Final_Sans_VGE[[#This Row],[ppn_z]],tbl_Historique_Final[ppn_z],tbl_Historique_Final[date_modif])=Final_Sans_VGE[[#This Row],[date_modif]],
      "Ancien",
      "Modifié"),
   "Nouveau"))</f>
        <v>#VALUE!</v>
      </c>
      <c r="AD4627" s="1" t="str">
        <f>IFERROR(IF(Final_Sans_VGE[[#This Row],[ppn_z]]="","",IFERROR(
   IF(_xlfn.XLOOKUP(Final_Sans_VGE[[#This Row],[ppn_z]],tbl_Historique_Final[[#This Row],[ppn_z]],tbl_Historique_Final[[#This Row],[date_modif]])=Final_Sans_VGE[[#This Row],[date_modif]],
      "Ancien",
      "Modifié"),
   "Nouveau")),"")</f>
        <v/>
      </c>
    </row>
    <row r="4628" spans="24:30" x14ac:dyDescent="0.25">
      <c r="X4628" s="8" t="e">
        <f>IF(Final_Sans_VGE[[#This Row],[ppn_z]]="","",IFERROR(
   IF(_xlfn.XLOOKUP(Final_Sans_VGE[[#This Row],[ppn_z]],tbl_Historique_Final[ppn_z],tbl_Historique_Final[date_modif])=Final_Sans_VGE[[#This Row],[date_modif]],
      "Ancien",
      "Modifié"),
   "Nouveau"))</f>
        <v>#VALUE!</v>
      </c>
      <c r="AD4628" s="1" t="str">
        <f>IFERROR(IF(Final_Sans_VGE[[#This Row],[ppn_z]]="","",IFERROR(
   IF(_xlfn.XLOOKUP(Final_Sans_VGE[[#This Row],[ppn_z]],tbl_Historique_Final[[#This Row],[ppn_z]],tbl_Historique_Final[[#This Row],[date_modif]])=Final_Sans_VGE[[#This Row],[date_modif]],
      "Ancien",
      "Modifié"),
   "Nouveau")),"")</f>
        <v/>
      </c>
    </row>
    <row r="4629" spans="24:30" x14ac:dyDescent="0.25">
      <c r="X4629" s="8" t="e">
        <f>IF(Final_Sans_VGE[[#This Row],[ppn_z]]="","",IFERROR(
   IF(_xlfn.XLOOKUP(Final_Sans_VGE[[#This Row],[ppn_z]],tbl_Historique_Final[ppn_z],tbl_Historique_Final[date_modif])=Final_Sans_VGE[[#This Row],[date_modif]],
      "Ancien",
      "Modifié"),
   "Nouveau"))</f>
        <v>#VALUE!</v>
      </c>
      <c r="AD4629" s="1" t="str">
        <f>IFERROR(IF(Final_Sans_VGE[[#This Row],[ppn_z]]="","",IFERROR(
   IF(_xlfn.XLOOKUP(Final_Sans_VGE[[#This Row],[ppn_z]],tbl_Historique_Final[[#This Row],[ppn_z]],tbl_Historique_Final[[#This Row],[date_modif]])=Final_Sans_VGE[[#This Row],[date_modif]],
      "Ancien",
      "Modifié"),
   "Nouveau")),"")</f>
        <v/>
      </c>
    </row>
    <row r="4630" spans="24:30" x14ac:dyDescent="0.25">
      <c r="X4630" s="8" t="e">
        <f>IF(Final_Sans_VGE[[#This Row],[ppn_z]]="","",IFERROR(
   IF(_xlfn.XLOOKUP(Final_Sans_VGE[[#This Row],[ppn_z]],tbl_Historique_Final[ppn_z],tbl_Historique_Final[date_modif])=Final_Sans_VGE[[#This Row],[date_modif]],
      "Ancien",
      "Modifié"),
   "Nouveau"))</f>
        <v>#VALUE!</v>
      </c>
      <c r="AD4630" s="1" t="str">
        <f>IFERROR(IF(Final_Sans_VGE[[#This Row],[ppn_z]]="","",IFERROR(
   IF(_xlfn.XLOOKUP(Final_Sans_VGE[[#This Row],[ppn_z]],tbl_Historique_Final[[#This Row],[ppn_z]],tbl_Historique_Final[[#This Row],[date_modif]])=Final_Sans_VGE[[#This Row],[date_modif]],
      "Ancien",
      "Modifié"),
   "Nouveau")),"")</f>
        <v/>
      </c>
    </row>
    <row r="4631" spans="24:30" x14ac:dyDescent="0.25">
      <c r="X4631" s="8" t="e">
        <f>IF(Final_Sans_VGE[[#This Row],[ppn_z]]="","",IFERROR(
   IF(_xlfn.XLOOKUP(Final_Sans_VGE[[#This Row],[ppn_z]],tbl_Historique_Final[ppn_z],tbl_Historique_Final[date_modif])=Final_Sans_VGE[[#This Row],[date_modif]],
      "Ancien",
      "Modifié"),
   "Nouveau"))</f>
        <v>#VALUE!</v>
      </c>
      <c r="AD4631" s="1" t="str">
        <f>IFERROR(IF(Final_Sans_VGE[[#This Row],[ppn_z]]="","",IFERROR(
   IF(_xlfn.XLOOKUP(Final_Sans_VGE[[#This Row],[ppn_z]],tbl_Historique_Final[[#This Row],[ppn_z]],tbl_Historique_Final[[#This Row],[date_modif]])=Final_Sans_VGE[[#This Row],[date_modif]],
      "Ancien",
      "Modifié"),
   "Nouveau")),"")</f>
        <v/>
      </c>
    </row>
    <row r="4632" spans="24:30" x14ac:dyDescent="0.25">
      <c r="X4632" s="8" t="e">
        <f>IF(Final_Sans_VGE[[#This Row],[ppn_z]]="","",IFERROR(
   IF(_xlfn.XLOOKUP(Final_Sans_VGE[[#This Row],[ppn_z]],tbl_Historique_Final[ppn_z],tbl_Historique_Final[date_modif])=Final_Sans_VGE[[#This Row],[date_modif]],
      "Ancien",
      "Modifié"),
   "Nouveau"))</f>
        <v>#VALUE!</v>
      </c>
      <c r="AD4632" s="1" t="str">
        <f>IFERROR(IF(Final_Sans_VGE[[#This Row],[ppn_z]]="","",IFERROR(
   IF(_xlfn.XLOOKUP(Final_Sans_VGE[[#This Row],[ppn_z]],tbl_Historique_Final[[#This Row],[ppn_z]],tbl_Historique_Final[[#This Row],[date_modif]])=Final_Sans_VGE[[#This Row],[date_modif]],
      "Ancien",
      "Modifié"),
   "Nouveau")),"")</f>
        <v/>
      </c>
    </row>
    <row r="4633" spans="24:30" x14ac:dyDescent="0.25">
      <c r="X4633" s="8" t="e">
        <f>IF(Final_Sans_VGE[[#This Row],[ppn_z]]="","",IFERROR(
   IF(_xlfn.XLOOKUP(Final_Sans_VGE[[#This Row],[ppn_z]],tbl_Historique_Final[ppn_z],tbl_Historique_Final[date_modif])=Final_Sans_VGE[[#This Row],[date_modif]],
      "Ancien",
      "Modifié"),
   "Nouveau"))</f>
        <v>#VALUE!</v>
      </c>
      <c r="AD4633" s="1" t="str">
        <f>IFERROR(IF(Final_Sans_VGE[[#This Row],[ppn_z]]="","",IFERROR(
   IF(_xlfn.XLOOKUP(Final_Sans_VGE[[#This Row],[ppn_z]],tbl_Historique_Final[[#This Row],[ppn_z]],tbl_Historique_Final[[#This Row],[date_modif]])=Final_Sans_VGE[[#This Row],[date_modif]],
      "Ancien",
      "Modifié"),
   "Nouveau")),"")</f>
        <v/>
      </c>
    </row>
    <row r="4634" spans="24:30" x14ac:dyDescent="0.25">
      <c r="X4634" s="8" t="e">
        <f>IF(Final_Sans_VGE[[#This Row],[ppn_z]]="","",IFERROR(
   IF(_xlfn.XLOOKUP(Final_Sans_VGE[[#This Row],[ppn_z]],tbl_Historique_Final[ppn_z],tbl_Historique_Final[date_modif])=Final_Sans_VGE[[#This Row],[date_modif]],
      "Ancien",
      "Modifié"),
   "Nouveau"))</f>
        <v>#VALUE!</v>
      </c>
      <c r="AD4634" s="1" t="str">
        <f>IFERROR(IF(Final_Sans_VGE[[#This Row],[ppn_z]]="","",IFERROR(
   IF(_xlfn.XLOOKUP(Final_Sans_VGE[[#This Row],[ppn_z]],tbl_Historique_Final[[#This Row],[ppn_z]],tbl_Historique_Final[[#This Row],[date_modif]])=Final_Sans_VGE[[#This Row],[date_modif]],
      "Ancien",
      "Modifié"),
   "Nouveau")),"")</f>
        <v/>
      </c>
    </row>
    <row r="4635" spans="24:30" x14ac:dyDescent="0.25">
      <c r="X4635" s="8" t="e">
        <f>IF(Final_Sans_VGE[[#This Row],[ppn_z]]="","",IFERROR(
   IF(_xlfn.XLOOKUP(Final_Sans_VGE[[#This Row],[ppn_z]],tbl_Historique_Final[ppn_z],tbl_Historique_Final[date_modif])=Final_Sans_VGE[[#This Row],[date_modif]],
      "Ancien",
      "Modifié"),
   "Nouveau"))</f>
        <v>#VALUE!</v>
      </c>
      <c r="AD4635" s="1" t="str">
        <f>IFERROR(IF(Final_Sans_VGE[[#This Row],[ppn_z]]="","",IFERROR(
   IF(_xlfn.XLOOKUP(Final_Sans_VGE[[#This Row],[ppn_z]],tbl_Historique_Final[[#This Row],[ppn_z]],tbl_Historique_Final[[#This Row],[date_modif]])=Final_Sans_VGE[[#This Row],[date_modif]],
      "Ancien",
      "Modifié"),
   "Nouveau")),"")</f>
        <v/>
      </c>
    </row>
    <row r="4636" spans="24:30" x14ac:dyDescent="0.25">
      <c r="X4636" s="8" t="e">
        <f>IF(Final_Sans_VGE[[#This Row],[ppn_z]]="","",IFERROR(
   IF(_xlfn.XLOOKUP(Final_Sans_VGE[[#This Row],[ppn_z]],tbl_Historique_Final[ppn_z],tbl_Historique_Final[date_modif])=Final_Sans_VGE[[#This Row],[date_modif]],
      "Ancien",
      "Modifié"),
   "Nouveau"))</f>
        <v>#VALUE!</v>
      </c>
      <c r="AD4636" s="1" t="str">
        <f>IFERROR(IF(Final_Sans_VGE[[#This Row],[ppn_z]]="","",IFERROR(
   IF(_xlfn.XLOOKUP(Final_Sans_VGE[[#This Row],[ppn_z]],tbl_Historique_Final[[#This Row],[ppn_z]],tbl_Historique_Final[[#This Row],[date_modif]])=Final_Sans_VGE[[#This Row],[date_modif]],
      "Ancien",
      "Modifié"),
   "Nouveau")),"")</f>
        <v/>
      </c>
    </row>
    <row r="4637" spans="24:30" x14ac:dyDescent="0.25">
      <c r="X4637" s="8" t="e">
        <f>IF(Final_Sans_VGE[[#This Row],[ppn_z]]="","",IFERROR(
   IF(_xlfn.XLOOKUP(Final_Sans_VGE[[#This Row],[ppn_z]],tbl_Historique_Final[ppn_z],tbl_Historique_Final[date_modif])=Final_Sans_VGE[[#This Row],[date_modif]],
      "Ancien",
      "Modifié"),
   "Nouveau"))</f>
        <v>#VALUE!</v>
      </c>
      <c r="AD4637" s="1" t="str">
        <f>IFERROR(IF(Final_Sans_VGE[[#This Row],[ppn_z]]="","",IFERROR(
   IF(_xlfn.XLOOKUP(Final_Sans_VGE[[#This Row],[ppn_z]],tbl_Historique_Final[[#This Row],[ppn_z]],tbl_Historique_Final[[#This Row],[date_modif]])=Final_Sans_VGE[[#This Row],[date_modif]],
      "Ancien",
      "Modifié"),
   "Nouveau")),"")</f>
        <v/>
      </c>
    </row>
    <row r="4638" spans="24:30" x14ac:dyDescent="0.25">
      <c r="X4638" s="8" t="e">
        <f>IF(Final_Sans_VGE[[#This Row],[ppn_z]]="","",IFERROR(
   IF(_xlfn.XLOOKUP(Final_Sans_VGE[[#This Row],[ppn_z]],tbl_Historique_Final[ppn_z],tbl_Historique_Final[date_modif])=Final_Sans_VGE[[#This Row],[date_modif]],
      "Ancien",
      "Modifié"),
   "Nouveau"))</f>
        <v>#VALUE!</v>
      </c>
      <c r="AD4638" s="1" t="str">
        <f>IFERROR(IF(Final_Sans_VGE[[#This Row],[ppn_z]]="","",IFERROR(
   IF(_xlfn.XLOOKUP(Final_Sans_VGE[[#This Row],[ppn_z]],tbl_Historique_Final[[#This Row],[ppn_z]],tbl_Historique_Final[[#This Row],[date_modif]])=Final_Sans_VGE[[#This Row],[date_modif]],
      "Ancien",
      "Modifié"),
   "Nouveau")),"")</f>
        <v/>
      </c>
    </row>
    <row r="4639" spans="24:30" x14ac:dyDescent="0.25">
      <c r="X4639" s="8" t="e">
        <f>IF(Final_Sans_VGE[[#This Row],[ppn_z]]="","",IFERROR(
   IF(_xlfn.XLOOKUP(Final_Sans_VGE[[#This Row],[ppn_z]],tbl_Historique_Final[ppn_z],tbl_Historique_Final[date_modif])=Final_Sans_VGE[[#This Row],[date_modif]],
      "Ancien",
      "Modifié"),
   "Nouveau"))</f>
        <v>#VALUE!</v>
      </c>
      <c r="AD4639" s="1" t="str">
        <f>IFERROR(IF(Final_Sans_VGE[[#This Row],[ppn_z]]="","",IFERROR(
   IF(_xlfn.XLOOKUP(Final_Sans_VGE[[#This Row],[ppn_z]],tbl_Historique_Final[[#This Row],[ppn_z]],tbl_Historique_Final[[#This Row],[date_modif]])=Final_Sans_VGE[[#This Row],[date_modif]],
      "Ancien",
      "Modifié"),
   "Nouveau")),"")</f>
        <v/>
      </c>
    </row>
    <row r="4640" spans="24:30" x14ac:dyDescent="0.25">
      <c r="X4640" s="8" t="e">
        <f>IF(Final_Sans_VGE[[#This Row],[ppn_z]]="","",IFERROR(
   IF(_xlfn.XLOOKUP(Final_Sans_VGE[[#This Row],[ppn_z]],tbl_Historique_Final[ppn_z],tbl_Historique_Final[date_modif])=Final_Sans_VGE[[#This Row],[date_modif]],
      "Ancien",
      "Modifié"),
   "Nouveau"))</f>
        <v>#VALUE!</v>
      </c>
      <c r="AD4640" s="1" t="str">
        <f>IFERROR(IF(Final_Sans_VGE[[#This Row],[ppn_z]]="","",IFERROR(
   IF(_xlfn.XLOOKUP(Final_Sans_VGE[[#This Row],[ppn_z]],tbl_Historique_Final[[#This Row],[ppn_z]],tbl_Historique_Final[[#This Row],[date_modif]])=Final_Sans_VGE[[#This Row],[date_modif]],
      "Ancien",
      "Modifié"),
   "Nouveau")),"")</f>
        <v/>
      </c>
    </row>
    <row r="4641" spans="24:30" x14ac:dyDescent="0.25">
      <c r="X4641" s="8" t="e">
        <f>IF(Final_Sans_VGE[[#This Row],[ppn_z]]="","",IFERROR(
   IF(_xlfn.XLOOKUP(Final_Sans_VGE[[#This Row],[ppn_z]],tbl_Historique_Final[ppn_z],tbl_Historique_Final[date_modif])=Final_Sans_VGE[[#This Row],[date_modif]],
      "Ancien",
      "Modifié"),
   "Nouveau"))</f>
        <v>#VALUE!</v>
      </c>
      <c r="AD4641" s="1" t="str">
        <f>IFERROR(IF(Final_Sans_VGE[[#This Row],[ppn_z]]="","",IFERROR(
   IF(_xlfn.XLOOKUP(Final_Sans_VGE[[#This Row],[ppn_z]],tbl_Historique_Final[[#This Row],[ppn_z]],tbl_Historique_Final[[#This Row],[date_modif]])=Final_Sans_VGE[[#This Row],[date_modif]],
      "Ancien",
      "Modifié"),
   "Nouveau")),"")</f>
        <v/>
      </c>
    </row>
    <row r="4642" spans="24:30" x14ac:dyDescent="0.25">
      <c r="X4642" s="8" t="e">
        <f>IF(Final_Sans_VGE[[#This Row],[ppn_z]]="","",IFERROR(
   IF(_xlfn.XLOOKUP(Final_Sans_VGE[[#This Row],[ppn_z]],tbl_Historique_Final[ppn_z],tbl_Historique_Final[date_modif])=Final_Sans_VGE[[#This Row],[date_modif]],
      "Ancien",
      "Modifié"),
   "Nouveau"))</f>
        <v>#VALUE!</v>
      </c>
      <c r="AD4642" s="1" t="str">
        <f>IFERROR(IF(Final_Sans_VGE[[#This Row],[ppn_z]]="","",IFERROR(
   IF(_xlfn.XLOOKUP(Final_Sans_VGE[[#This Row],[ppn_z]],tbl_Historique_Final[[#This Row],[ppn_z]],tbl_Historique_Final[[#This Row],[date_modif]])=Final_Sans_VGE[[#This Row],[date_modif]],
      "Ancien",
      "Modifié"),
   "Nouveau")),"")</f>
        <v/>
      </c>
    </row>
    <row r="4643" spans="24:30" x14ac:dyDescent="0.25">
      <c r="X4643" s="8" t="e">
        <f>IF(Final_Sans_VGE[[#This Row],[ppn_z]]="","",IFERROR(
   IF(_xlfn.XLOOKUP(Final_Sans_VGE[[#This Row],[ppn_z]],tbl_Historique_Final[ppn_z],tbl_Historique_Final[date_modif])=Final_Sans_VGE[[#This Row],[date_modif]],
      "Ancien",
      "Modifié"),
   "Nouveau"))</f>
        <v>#VALUE!</v>
      </c>
      <c r="AD4643" s="1" t="str">
        <f>IFERROR(IF(Final_Sans_VGE[[#This Row],[ppn_z]]="","",IFERROR(
   IF(_xlfn.XLOOKUP(Final_Sans_VGE[[#This Row],[ppn_z]],tbl_Historique_Final[[#This Row],[ppn_z]],tbl_Historique_Final[[#This Row],[date_modif]])=Final_Sans_VGE[[#This Row],[date_modif]],
      "Ancien",
      "Modifié"),
   "Nouveau")),"")</f>
        <v/>
      </c>
    </row>
    <row r="4644" spans="24:30" x14ac:dyDescent="0.25">
      <c r="X4644" s="8" t="e">
        <f>IF(Final_Sans_VGE[[#This Row],[ppn_z]]="","",IFERROR(
   IF(_xlfn.XLOOKUP(Final_Sans_VGE[[#This Row],[ppn_z]],tbl_Historique_Final[ppn_z],tbl_Historique_Final[date_modif])=Final_Sans_VGE[[#This Row],[date_modif]],
      "Ancien",
      "Modifié"),
   "Nouveau"))</f>
        <v>#VALUE!</v>
      </c>
      <c r="AD4644" s="1" t="str">
        <f>IFERROR(IF(Final_Sans_VGE[[#This Row],[ppn_z]]="","",IFERROR(
   IF(_xlfn.XLOOKUP(Final_Sans_VGE[[#This Row],[ppn_z]],tbl_Historique_Final[[#This Row],[ppn_z]],tbl_Historique_Final[[#This Row],[date_modif]])=Final_Sans_VGE[[#This Row],[date_modif]],
      "Ancien",
      "Modifié"),
   "Nouveau")),"")</f>
        <v/>
      </c>
    </row>
    <row r="4645" spans="24:30" x14ac:dyDescent="0.25">
      <c r="X4645" s="8" t="e">
        <f>IF(Final_Sans_VGE[[#This Row],[ppn_z]]="","",IFERROR(
   IF(_xlfn.XLOOKUP(Final_Sans_VGE[[#This Row],[ppn_z]],tbl_Historique_Final[ppn_z],tbl_Historique_Final[date_modif])=Final_Sans_VGE[[#This Row],[date_modif]],
      "Ancien",
      "Modifié"),
   "Nouveau"))</f>
        <v>#VALUE!</v>
      </c>
      <c r="AD4645" s="1" t="str">
        <f>IFERROR(IF(Final_Sans_VGE[[#This Row],[ppn_z]]="","",IFERROR(
   IF(_xlfn.XLOOKUP(Final_Sans_VGE[[#This Row],[ppn_z]],tbl_Historique_Final[[#This Row],[ppn_z]],tbl_Historique_Final[[#This Row],[date_modif]])=Final_Sans_VGE[[#This Row],[date_modif]],
      "Ancien",
      "Modifié"),
   "Nouveau")),"")</f>
        <v/>
      </c>
    </row>
    <row r="4646" spans="24:30" x14ac:dyDescent="0.25">
      <c r="X4646" s="8" t="e">
        <f>IF(Final_Sans_VGE[[#This Row],[ppn_z]]="","",IFERROR(
   IF(_xlfn.XLOOKUP(Final_Sans_VGE[[#This Row],[ppn_z]],tbl_Historique_Final[ppn_z],tbl_Historique_Final[date_modif])=Final_Sans_VGE[[#This Row],[date_modif]],
      "Ancien",
      "Modifié"),
   "Nouveau"))</f>
        <v>#VALUE!</v>
      </c>
      <c r="AD4646" s="1" t="str">
        <f>IFERROR(IF(Final_Sans_VGE[[#This Row],[ppn_z]]="","",IFERROR(
   IF(_xlfn.XLOOKUP(Final_Sans_VGE[[#This Row],[ppn_z]],tbl_Historique_Final[[#This Row],[ppn_z]],tbl_Historique_Final[[#This Row],[date_modif]])=Final_Sans_VGE[[#This Row],[date_modif]],
      "Ancien",
      "Modifié"),
   "Nouveau")),"")</f>
        <v/>
      </c>
    </row>
    <row r="4647" spans="24:30" x14ac:dyDescent="0.25">
      <c r="X4647" s="8" t="e">
        <f>IF(Final_Sans_VGE[[#This Row],[ppn_z]]="","",IFERROR(
   IF(_xlfn.XLOOKUP(Final_Sans_VGE[[#This Row],[ppn_z]],tbl_Historique_Final[ppn_z],tbl_Historique_Final[date_modif])=Final_Sans_VGE[[#This Row],[date_modif]],
      "Ancien",
      "Modifié"),
   "Nouveau"))</f>
        <v>#VALUE!</v>
      </c>
      <c r="AD4647" s="1" t="str">
        <f>IFERROR(IF(Final_Sans_VGE[[#This Row],[ppn_z]]="","",IFERROR(
   IF(_xlfn.XLOOKUP(Final_Sans_VGE[[#This Row],[ppn_z]],tbl_Historique_Final[[#This Row],[ppn_z]],tbl_Historique_Final[[#This Row],[date_modif]])=Final_Sans_VGE[[#This Row],[date_modif]],
      "Ancien",
      "Modifié"),
   "Nouveau")),"")</f>
        <v/>
      </c>
    </row>
    <row r="4648" spans="24:30" x14ac:dyDescent="0.25">
      <c r="X4648" s="8" t="e">
        <f>IF(Final_Sans_VGE[[#This Row],[ppn_z]]="","",IFERROR(
   IF(_xlfn.XLOOKUP(Final_Sans_VGE[[#This Row],[ppn_z]],tbl_Historique_Final[ppn_z],tbl_Historique_Final[date_modif])=Final_Sans_VGE[[#This Row],[date_modif]],
      "Ancien",
      "Modifié"),
   "Nouveau"))</f>
        <v>#VALUE!</v>
      </c>
      <c r="AD4648" s="1" t="str">
        <f>IFERROR(IF(Final_Sans_VGE[[#This Row],[ppn_z]]="","",IFERROR(
   IF(_xlfn.XLOOKUP(Final_Sans_VGE[[#This Row],[ppn_z]],tbl_Historique_Final[[#This Row],[ppn_z]],tbl_Historique_Final[[#This Row],[date_modif]])=Final_Sans_VGE[[#This Row],[date_modif]],
      "Ancien",
      "Modifié"),
   "Nouveau")),"")</f>
        <v/>
      </c>
    </row>
    <row r="4649" spans="24:30" x14ac:dyDescent="0.25">
      <c r="X4649" s="8" t="e">
        <f>IF(Final_Sans_VGE[[#This Row],[ppn_z]]="","",IFERROR(
   IF(_xlfn.XLOOKUP(Final_Sans_VGE[[#This Row],[ppn_z]],tbl_Historique_Final[ppn_z],tbl_Historique_Final[date_modif])=Final_Sans_VGE[[#This Row],[date_modif]],
      "Ancien",
      "Modifié"),
   "Nouveau"))</f>
        <v>#VALUE!</v>
      </c>
      <c r="AD4649" s="1" t="str">
        <f>IFERROR(IF(Final_Sans_VGE[[#This Row],[ppn_z]]="","",IFERROR(
   IF(_xlfn.XLOOKUP(Final_Sans_VGE[[#This Row],[ppn_z]],tbl_Historique_Final[[#This Row],[ppn_z]],tbl_Historique_Final[[#This Row],[date_modif]])=Final_Sans_VGE[[#This Row],[date_modif]],
      "Ancien",
      "Modifié"),
   "Nouveau")),"")</f>
        <v/>
      </c>
    </row>
    <row r="4650" spans="24:30" x14ac:dyDescent="0.25">
      <c r="X4650" s="8" t="e">
        <f>IF(Final_Sans_VGE[[#This Row],[ppn_z]]="","",IFERROR(
   IF(_xlfn.XLOOKUP(Final_Sans_VGE[[#This Row],[ppn_z]],tbl_Historique_Final[ppn_z],tbl_Historique_Final[date_modif])=Final_Sans_VGE[[#This Row],[date_modif]],
      "Ancien",
      "Modifié"),
   "Nouveau"))</f>
        <v>#VALUE!</v>
      </c>
      <c r="AD4650" s="1" t="str">
        <f>IFERROR(IF(Final_Sans_VGE[[#This Row],[ppn_z]]="","",IFERROR(
   IF(_xlfn.XLOOKUP(Final_Sans_VGE[[#This Row],[ppn_z]],tbl_Historique_Final[[#This Row],[ppn_z]],tbl_Historique_Final[[#This Row],[date_modif]])=Final_Sans_VGE[[#This Row],[date_modif]],
      "Ancien",
      "Modifié"),
   "Nouveau")),"")</f>
        <v/>
      </c>
    </row>
    <row r="4651" spans="24:30" x14ac:dyDescent="0.25">
      <c r="X4651" s="8" t="e">
        <f>IF(Final_Sans_VGE[[#This Row],[ppn_z]]="","",IFERROR(
   IF(_xlfn.XLOOKUP(Final_Sans_VGE[[#This Row],[ppn_z]],tbl_Historique_Final[ppn_z],tbl_Historique_Final[date_modif])=Final_Sans_VGE[[#This Row],[date_modif]],
      "Ancien",
      "Modifié"),
   "Nouveau"))</f>
        <v>#VALUE!</v>
      </c>
      <c r="AD4651" s="1" t="str">
        <f>IFERROR(IF(Final_Sans_VGE[[#This Row],[ppn_z]]="","",IFERROR(
   IF(_xlfn.XLOOKUP(Final_Sans_VGE[[#This Row],[ppn_z]],tbl_Historique_Final[[#This Row],[ppn_z]],tbl_Historique_Final[[#This Row],[date_modif]])=Final_Sans_VGE[[#This Row],[date_modif]],
      "Ancien",
      "Modifié"),
   "Nouveau")),"")</f>
        <v/>
      </c>
    </row>
    <row r="4652" spans="24:30" x14ac:dyDescent="0.25">
      <c r="X4652" s="8" t="e">
        <f>IF(Final_Sans_VGE[[#This Row],[ppn_z]]="","",IFERROR(
   IF(_xlfn.XLOOKUP(Final_Sans_VGE[[#This Row],[ppn_z]],tbl_Historique_Final[ppn_z],tbl_Historique_Final[date_modif])=Final_Sans_VGE[[#This Row],[date_modif]],
      "Ancien",
      "Modifié"),
   "Nouveau"))</f>
        <v>#VALUE!</v>
      </c>
      <c r="AD4652" s="1" t="str">
        <f>IFERROR(IF(Final_Sans_VGE[[#This Row],[ppn_z]]="","",IFERROR(
   IF(_xlfn.XLOOKUP(Final_Sans_VGE[[#This Row],[ppn_z]],tbl_Historique_Final[[#This Row],[ppn_z]],tbl_Historique_Final[[#This Row],[date_modif]])=Final_Sans_VGE[[#This Row],[date_modif]],
      "Ancien",
      "Modifié"),
   "Nouveau")),"")</f>
        <v/>
      </c>
    </row>
    <row r="4653" spans="24:30" x14ac:dyDescent="0.25">
      <c r="X4653" s="8" t="e">
        <f>IF(Final_Sans_VGE[[#This Row],[ppn_z]]="","",IFERROR(
   IF(_xlfn.XLOOKUP(Final_Sans_VGE[[#This Row],[ppn_z]],tbl_Historique_Final[ppn_z],tbl_Historique_Final[date_modif])=Final_Sans_VGE[[#This Row],[date_modif]],
      "Ancien",
      "Modifié"),
   "Nouveau"))</f>
        <v>#VALUE!</v>
      </c>
      <c r="AD4653" s="1" t="str">
        <f>IFERROR(IF(Final_Sans_VGE[[#This Row],[ppn_z]]="","",IFERROR(
   IF(_xlfn.XLOOKUP(Final_Sans_VGE[[#This Row],[ppn_z]],tbl_Historique_Final[[#This Row],[ppn_z]],tbl_Historique_Final[[#This Row],[date_modif]])=Final_Sans_VGE[[#This Row],[date_modif]],
      "Ancien",
      "Modifié"),
   "Nouveau")),"")</f>
        <v/>
      </c>
    </row>
    <row r="4654" spans="24:30" x14ac:dyDescent="0.25">
      <c r="X4654" s="8" t="e">
        <f>IF(Final_Sans_VGE[[#This Row],[ppn_z]]="","",IFERROR(
   IF(_xlfn.XLOOKUP(Final_Sans_VGE[[#This Row],[ppn_z]],tbl_Historique_Final[ppn_z],tbl_Historique_Final[date_modif])=Final_Sans_VGE[[#This Row],[date_modif]],
      "Ancien",
      "Modifié"),
   "Nouveau"))</f>
        <v>#VALUE!</v>
      </c>
      <c r="AD4654" s="1" t="str">
        <f>IFERROR(IF(Final_Sans_VGE[[#This Row],[ppn_z]]="","",IFERROR(
   IF(_xlfn.XLOOKUP(Final_Sans_VGE[[#This Row],[ppn_z]],tbl_Historique_Final[[#This Row],[ppn_z]],tbl_Historique_Final[[#This Row],[date_modif]])=Final_Sans_VGE[[#This Row],[date_modif]],
      "Ancien",
      "Modifié"),
   "Nouveau")),"")</f>
        <v/>
      </c>
    </row>
    <row r="4655" spans="24:30" x14ac:dyDescent="0.25">
      <c r="X4655" s="8" t="e">
        <f>IF(Final_Sans_VGE[[#This Row],[ppn_z]]="","",IFERROR(
   IF(_xlfn.XLOOKUP(Final_Sans_VGE[[#This Row],[ppn_z]],tbl_Historique_Final[ppn_z],tbl_Historique_Final[date_modif])=Final_Sans_VGE[[#This Row],[date_modif]],
      "Ancien",
      "Modifié"),
   "Nouveau"))</f>
        <v>#VALUE!</v>
      </c>
      <c r="AD4655" s="1" t="str">
        <f>IFERROR(IF(Final_Sans_VGE[[#This Row],[ppn_z]]="","",IFERROR(
   IF(_xlfn.XLOOKUP(Final_Sans_VGE[[#This Row],[ppn_z]],tbl_Historique_Final[[#This Row],[ppn_z]],tbl_Historique_Final[[#This Row],[date_modif]])=Final_Sans_VGE[[#This Row],[date_modif]],
      "Ancien",
      "Modifié"),
   "Nouveau")),"")</f>
        <v/>
      </c>
    </row>
    <row r="4656" spans="24:30" x14ac:dyDescent="0.25">
      <c r="X4656" s="8" t="e">
        <f>IF(Final_Sans_VGE[[#This Row],[ppn_z]]="","",IFERROR(
   IF(_xlfn.XLOOKUP(Final_Sans_VGE[[#This Row],[ppn_z]],tbl_Historique_Final[ppn_z],tbl_Historique_Final[date_modif])=Final_Sans_VGE[[#This Row],[date_modif]],
      "Ancien",
      "Modifié"),
   "Nouveau"))</f>
        <v>#VALUE!</v>
      </c>
      <c r="AD4656" s="1" t="str">
        <f>IFERROR(IF(Final_Sans_VGE[[#This Row],[ppn_z]]="","",IFERROR(
   IF(_xlfn.XLOOKUP(Final_Sans_VGE[[#This Row],[ppn_z]],tbl_Historique_Final[[#This Row],[ppn_z]],tbl_Historique_Final[[#This Row],[date_modif]])=Final_Sans_VGE[[#This Row],[date_modif]],
      "Ancien",
      "Modifié"),
   "Nouveau")),"")</f>
        <v/>
      </c>
    </row>
    <row r="4657" spans="24:30" x14ac:dyDescent="0.25">
      <c r="X4657" s="8" t="e">
        <f>IF(Final_Sans_VGE[[#This Row],[ppn_z]]="","",IFERROR(
   IF(_xlfn.XLOOKUP(Final_Sans_VGE[[#This Row],[ppn_z]],tbl_Historique_Final[ppn_z],tbl_Historique_Final[date_modif])=Final_Sans_VGE[[#This Row],[date_modif]],
      "Ancien",
      "Modifié"),
   "Nouveau"))</f>
        <v>#VALUE!</v>
      </c>
      <c r="AD4657" s="1" t="str">
        <f>IFERROR(IF(Final_Sans_VGE[[#This Row],[ppn_z]]="","",IFERROR(
   IF(_xlfn.XLOOKUP(Final_Sans_VGE[[#This Row],[ppn_z]],tbl_Historique_Final[[#This Row],[ppn_z]],tbl_Historique_Final[[#This Row],[date_modif]])=Final_Sans_VGE[[#This Row],[date_modif]],
      "Ancien",
      "Modifié"),
   "Nouveau")),"")</f>
        <v/>
      </c>
    </row>
    <row r="4658" spans="24:30" x14ac:dyDescent="0.25">
      <c r="X4658" s="8" t="e">
        <f>IF(Final_Sans_VGE[[#This Row],[ppn_z]]="","",IFERROR(
   IF(_xlfn.XLOOKUP(Final_Sans_VGE[[#This Row],[ppn_z]],tbl_Historique_Final[ppn_z],tbl_Historique_Final[date_modif])=Final_Sans_VGE[[#This Row],[date_modif]],
      "Ancien",
      "Modifié"),
   "Nouveau"))</f>
        <v>#VALUE!</v>
      </c>
      <c r="AD4658" s="1" t="str">
        <f>IFERROR(IF(Final_Sans_VGE[[#This Row],[ppn_z]]="","",IFERROR(
   IF(_xlfn.XLOOKUP(Final_Sans_VGE[[#This Row],[ppn_z]],tbl_Historique_Final[[#This Row],[ppn_z]],tbl_Historique_Final[[#This Row],[date_modif]])=Final_Sans_VGE[[#This Row],[date_modif]],
      "Ancien",
      "Modifié"),
   "Nouveau")),"")</f>
        <v/>
      </c>
    </row>
    <row r="4659" spans="24:30" x14ac:dyDescent="0.25">
      <c r="X4659" s="8" t="e">
        <f>IF(Final_Sans_VGE[[#This Row],[ppn_z]]="","",IFERROR(
   IF(_xlfn.XLOOKUP(Final_Sans_VGE[[#This Row],[ppn_z]],tbl_Historique_Final[ppn_z],tbl_Historique_Final[date_modif])=Final_Sans_VGE[[#This Row],[date_modif]],
      "Ancien",
      "Modifié"),
   "Nouveau"))</f>
        <v>#VALUE!</v>
      </c>
      <c r="AD4659" s="1" t="str">
        <f>IFERROR(IF(Final_Sans_VGE[[#This Row],[ppn_z]]="","",IFERROR(
   IF(_xlfn.XLOOKUP(Final_Sans_VGE[[#This Row],[ppn_z]],tbl_Historique_Final[[#This Row],[ppn_z]],tbl_Historique_Final[[#This Row],[date_modif]])=Final_Sans_VGE[[#This Row],[date_modif]],
      "Ancien",
      "Modifié"),
   "Nouveau")),"")</f>
        <v/>
      </c>
    </row>
    <row r="4660" spans="24:30" x14ac:dyDescent="0.25">
      <c r="X4660" s="8" t="e">
        <f>IF(Final_Sans_VGE[[#This Row],[ppn_z]]="","",IFERROR(
   IF(_xlfn.XLOOKUP(Final_Sans_VGE[[#This Row],[ppn_z]],tbl_Historique_Final[ppn_z],tbl_Historique_Final[date_modif])=Final_Sans_VGE[[#This Row],[date_modif]],
      "Ancien",
      "Modifié"),
   "Nouveau"))</f>
        <v>#VALUE!</v>
      </c>
      <c r="AD4660" s="1" t="str">
        <f>IFERROR(IF(Final_Sans_VGE[[#This Row],[ppn_z]]="","",IFERROR(
   IF(_xlfn.XLOOKUP(Final_Sans_VGE[[#This Row],[ppn_z]],tbl_Historique_Final[[#This Row],[ppn_z]],tbl_Historique_Final[[#This Row],[date_modif]])=Final_Sans_VGE[[#This Row],[date_modif]],
      "Ancien",
      "Modifié"),
   "Nouveau")),"")</f>
        <v/>
      </c>
    </row>
    <row r="4661" spans="24:30" x14ac:dyDescent="0.25">
      <c r="X4661" s="8" t="e">
        <f>IF(Final_Sans_VGE[[#This Row],[ppn_z]]="","",IFERROR(
   IF(_xlfn.XLOOKUP(Final_Sans_VGE[[#This Row],[ppn_z]],tbl_Historique_Final[ppn_z],tbl_Historique_Final[date_modif])=Final_Sans_VGE[[#This Row],[date_modif]],
      "Ancien",
      "Modifié"),
   "Nouveau"))</f>
        <v>#VALUE!</v>
      </c>
      <c r="AD4661" s="1" t="str">
        <f>IFERROR(IF(Final_Sans_VGE[[#This Row],[ppn_z]]="","",IFERROR(
   IF(_xlfn.XLOOKUP(Final_Sans_VGE[[#This Row],[ppn_z]],tbl_Historique_Final[[#This Row],[ppn_z]],tbl_Historique_Final[[#This Row],[date_modif]])=Final_Sans_VGE[[#This Row],[date_modif]],
      "Ancien",
      "Modifié"),
   "Nouveau")),"")</f>
        <v/>
      </c>
    </row>
    <row r="4662" spans="24:30" x14ac:dyDescent="0.25">
      <c r="X4662" s="8" t="e">
        <f>IF(Final_Sans_VGE[[#This Row],[ppn_z]]="","",IFERROR(
   IF(_xlfn.XLOOKUP(Final_Sans_VGE[[#This Row],[ppn_z]],tbl_Historique_Final[ppn_z],tbl_Historique_Final[date_modif])=Final_Sans_VGE[[#This Row],[date_modif]],
      "Ancien",
      "Modifié"),
   "Nouveau"))</f>
        <v>#VALUE!</v>
      </c>
      <c r="AD4662" s="1" t="str">
        <f>IFERROR(IF(Final_Sans_VGE[[#This Row],[ppn_z]]="","",IFERROR(
   IF(_xlfn.XLOOKUP(Final_Sans_VGE[[#This Row],[ppn_z]],tbl_Historique_Final[[#This Row],[ppn_z]],tbl_Historique_Final[[#This Row],[date_modif]])=Final_Sans_VGE[[#This Row],[date_modif]],
      "Ancien",
      "Modifié"),
   "Nouveau")),"")</f>
        <v/>
      </c>
    </row>
    <row r="4663" spans="24:30" x14ac:dyDescent="0.25">
      <c r="X4663" s="8" t="e">
        <f>IF(Final_Sans_VGE[[#This Row],[ppn_z]]="","",IFERROR(
   IF(_xlfn.XLOOKUP(Final_Sans_VGE[[#This Row],[ppn_z]],tbl_Historique_Final[ppn_z],tbl_Historique_Final[date_modif])=Final_Sans_VGE[[#This Row],[date_modif]],
      "Ancien",
      "Modifié"),
   "Nouveau"))</f>
        <v>#VALUE!</v>
      </c>
      <c r="AD4663" s="1" t="str">
        <f>IFERROR(IF(Final_Sans_VGE[[#This Row],[ppn_z]]="","",IFERROR(
   IF(_xlfn.XLOOKUP(Final_Sans_VGE[[#This Row],[ppn_z]],tbl_Historique_Final[[#This Row],[ppn_z]],tbl_Historique_Final[[#This Row],[date_modif]])=Final_Sans_VGE[[#This Row],[date_modif]],
      "Ancien",
      "Modifié"),
   "Nouveau")),"")</f>
        <v/>
      </c>
    </row>
    <row r="4664" spans="24:30" x14ac:dyDescent="0.25">
      <c r="X4664" s="8" t="e">
        <f>IF(Final_Sans_VGE[[#This Row],[ppn_z]]="","",IFERROR(
   IF(_xlfn.XLOOKUP(Final_Sans_VGE[[#This Row],[ppn_z]],tbl_Historique_Final[ppn_z],tbl_Historique_Final[date_modif])=Final_Sans_VGE[[#This Row],[date_modif]],
      "Ancien",
      "Modifié"),
   "Nouveau"))</f>
        <v>#VALUE!</v>
      </c>
      <c r="AD4664" s="1" t="str">
        <f>IFERROR(IF(Final_Sans_VGE[[#This Row],[ppn_z]]="","",IFERROR(
   IF(_xlfn.XLOOKUP(Final_Sans_VGE[[#This Row],[ppn_z]],tbl_Historique_Final[[#This Row],[ppn_z]],tbl_Historique_Final[[#This Row],[date_modif]])=Final_Sans_VGE[[#This Row],[date_modif]],
      "Ancien",
      "Modifié"),
   "Nouveau")),"")</f>
        <v/>
      </c>
    </row>
    <row r="4665" spans="24:30" x14ac:dyDescent="0.25">
      <c r="X4665" s="8" t="e">
        <f>IF(Final_Sans_VGE[[#This Row],[ppn_z]]="","",IFERROR(
   IF(_xlfn.XLOOKUP(Final_Sans_VGE[[#This Row],[ppn_z]],tbl_Historique_Final[ppn_z],tbl_Historique_Final[date_modif])=Final_Sans_VGE[[#This Row],[date_modif]],
      "Ancien",
      "Modifié"),
   "Nouveau"))</f>
        <v>#VALUE!</v>
      </c>
      <c r="AD4665" s="1" t="str">
        <f>IFERROR(IF(Final_Sans_VGE[[#This Row],[ppn_z]]="","",IFERROR(
   IF(_xlfn.XLOOKUP(Final_Sans_VGE[[#This Row],[ppn_z]],tbl_Historique_Final[[#This Row],[ppn_z]],tbl_Historique_Final[[#This Row],[date_modif]])=Final_Sans_VGE[[#This Row],[date_modif]],
      "Ancien",
      "Modifié"),
   "Nouveau")),"")</f>
        <v/>
      </c>
    </row>
    <row r="4666" spans="24:30" x14ac:dyDescent="0.25">
      <c r="X4666" s="8" t="e">
        <f>IF(Final_Sans_VGE[[#This Row],[ppn_z]]="","",IFERROR(
   IF(_xlfn.XLOOKUP(Final_Sans_VGE[[#This Row],[ppn_z]],tbl_Historique_Final[ppn_z],tbl_Historique_Final[date_modif])=Final_Sans_VGE[[#This Row],[date_modif]],
      "Ancien",
      "Modifié"),
   "Nouveau"))</f>
        <v>#VALUE!</v>
      </c>
      <c r="AD4666" s="1" t="str">
        <f>IFERROR(IF(Final_Sans_VGE[[#This Row],[ppn_z]]="","",IFERROR(
   IF(_xlfn.XLOOKUP(Final_Sans_VGE[[#This Row],[ppn_z]],tbl_Historique_Final[[#This Row],[ppn_z]],tbl_Historique_Final[[#This Row],[date_modif]])=Final_Sans_VGE[[#This Row],[date_modif]],
      "Ancien",
      "Modifié"),
   "Nouveau")),"")</f>
        <v/>
      </c>
    </row>
    <row r="4667" spans="24:30" x14ac:dyDescent="0.25">
      <c r="X4667" s="8" t="e">
        <f>IF(Final_Sans_VGE[[#This Row],[ppn_z]]="","",IFERROR(
   IF(_xlfn.XLOOKUP(Final_Sans_VGE[[#This Row],[ppn_z]],tbl_Historique_Final[ppn_z],tbl_Historique_Final[date_modif])=Final_Sans_VGE[[#This Row],[date_modif]],
      "Ancien",
      "Modifié"),
   "Nouveau"))</f>
        <v>#VALUE!</v>
      </c>
      <c r="AD4667" s="1" t="str">
        <f>IFERROR(IF(Final_Sans_VGE[[#This Row],[ppn_z]]="","",IFERROR(
   IF(_xlfn.XLOOKUP(Final_Sans_VGE[[#This Row],[ppn_z]],tbl_Historique_Final[[#This Row],[ppn_z]],tbl_Historique_Final[[#This Row],[date_modif]])=Final_Sans_VGE[[#This Row],[date_modif]],
      "Ancien",
      "Modifié"),
   "Nouveau")),"")</f>
        <v/>
      </c>
    </row>
    <row r="4668" spans="24:30" x14ac:dyDescent="0.25">
      <c r="X4668" s="8" t="e">
        <f>IF(Final_Sans_VGE[[#This Row],[ppn_z]]="","",IFERROR(
   IF(_xlfn.XLOOKUP(Final_Sans_VGE[[#This Row],[ppn_z]],tbl_Historique_Final[ppn_z],tbl_Historique_Final[date_modif])=Final_Sans_VGE[[#This Row],[date_modif]],
      "Ancien",
      "Modifié"),
   "Nouveau"))</f>
        <v>#VALUE!</v>
      </c>
      <c r="AD4668" s="1" t="str">
        <f>IFERROR(IF(Final_Sans_VGE[[#This Row],[ppn_z]]="","",IFERROR(
   IF(_xlfn.XLOOKUP(Final_Sans_VGE[[#This Row],[ppn_z]],tbl_Historique_Final[[#This Row],[ppn_z]],tbl_Historique_Final[[#This Row],[date_modif]])=Final_Sans_VGE[[#This Row],[date_modif]],
      "Ancien",
      "Modifié"),
   "Nouveau")),"")</f>
        <v/>
      </c>
    </row>
    <row r="4669" spans="24:30" x14ac:dyDescent="0.25">
      <c r="X4669" s="8" t="e">
        <f>IF(Final_Sans_VGE[[#This Row],[ppn_z]]="","",IFERROR(
   IF(_xlfn.XLOOKUP(Final_Sans_VGE[[#This Row],[ppn_z]],tbl_Historique_Final[ppn_z],tbl_Historique_Final[date_modif])=Final_Sans_VGE[[#This Row],[date_modif]],
      "Ancien",
      "Modifié"),
   "Nouveau"))</f>
        <v>#VALUE!</v>
      </c>
      <c r="AD4669" s="1" t="str">
        <f>IFERROR(IF(Final_Sans_VGE[[#This Row],[ppn_z]]="","",IFERROR(
   IF(_xlfn.XLOOKUP(Final_Sans_VGE[[#This Row],[ppn_z]],tbl_Historique_Final[[#This Row],[ppn_z]],tbl_Historique_Final[[#This Row],[date_modif]])=Final_Sans_VGE[[#This Row],[date_modif]],
      "Ancien",
      "Modifié"),
   "Nouveau")),"")</f>
        <v/>
      </c>
    </row>
    <row r="4670" spans="24:30" x14ac:dyDescent="0.25">
      <c r="X4670" s="8" t="e">
        <f>IF(Final_Sans_VGE[[#This Row],[ppn_z]]="","",IFERROR(
   IF(_xlfn.XLOOKUP(Final_Sans_VGE[[#This Row],[ppn_z]],tbl_Historique_Final[ppn_z],tbl_Historique_Final[date_modif])=Final_Sans_VGE[[#This Row],[date_modif]],
      "Ancien",
      "Modifié"),
   "Nouveau"))</f>
        <v>#VALUE!</v>
      </c>
      <c r="AD4670" s="1" t="str">
        <f>IFERROR(IF(Final_Sans_VGE[[#This Row],[ppn_z]]="","",IFERROR(
   IF(_xlfn.XLOOKUP(Final_Sans_VGE[[#This Row],[ppn_z]],tbl_Historique_Final[[#This Row],[ppn_z]],tbl_Historique_Final[[#This Row],[date_modif]])=Final_Sans_VGE[[#This Row],[date_modif]],
      "Ancien",
      "Modifié"),
   "Nouveau")),"")</f>
        <v/>
      </c>
    </row>
    <row r="4671" spans="24:30" x14ac:dyDescent="0.25">
      <c r="X4671" s="8" t="e">
        <f>IF(Final_Sans_VGE[[#This Row],[ppn_z]]="","",IFERROR(
   IF(_xlfn.XLOOKUP(Final_Sans_VGE[[#This Row],[ppn_z]],tbl_Historique_Final[ppn_z],tbl_Historique_Final[date_modif])=Final_Sans_VGE[[#This Row],[date_modif]],
      "Ancien",
      "Modifié"),
   "Nouveau"))</f>
        <v>#VALUE!</v>
      </c>
      <c r="AD4671" s="1" t="str">
        <f>IFERROR(IF(Final_Sans_VGE[[#This Row],[ppn_z]]="","",IFERROR(
   IF(_xlfn.XLOOKUP(Final_Sans_VGE[[#This Row],[ppn_z]],tbl_Historique_Final[[#This Row],[ppn_z]],tbl_Historique_Final[[#This Row],[date_modif]])=Final_Sans_VGE[[#This Row],[date_modif]],
      "Ancien",
      "Modifié"),
   "Nouveau")),"")</f>
        <v/>
      </c>
    </row>
    <row r="4672" spans="24:30" x14ac:dyDescent="0.25">
      <c r="X4672" s="8" t="e">
        <f>IF(Final_Sans_VGE[[#This Row],[ppn_z]]="","",IFERROR(
   IF(_xlfn.XLOOKUP(Final_Sans_VGE[[#This Row],[ppn_z]],tbl_Historique_Final[ppn_z],tbl_Historique_Final[date_modif])=Final_Sans_VGE[[#This Row],[date_modif]],
      "Ancien",
      "Modifié"),
   "Nouveau"))</f>
        <v>#VALUE!</v>
      </c>
      <c r="AD4672" s="1" t="str">
        <f>IFERROR(IF(Final_Sans_VGE[[#This Row],[ppn_z]]="","",IFERROR(
   IF(_xlfn.XLOOKUP(Final_Sans_VGE[[#This Row],[ppn_z]],tbl_Historique_Final[[#This Row],[ppn_z]],tbl_Historique_Final[[#This Row],[date_modif]])=Final_Sans_VGE[[#This Row],[date_modif]],
      "Ancien",
      "Modifié"),
   "Nouveau")),"")</f>
        <v/>
      </c>
    </row>
    <row r="4673" spans="24:30" x14ac:dyDescent="0.25">
      <c r="X4673" s="8" t="e">
        <f>IF(Final_Sans_VGE[[#This Row],[ppn_z]]="","",IFERROR(
   IF(_xlfn.XLOOKUP(Final_Sans_VGE[[#This Row],[ppn_z]],tbl_Historique_Final[ppn_z],tbl_Historique_Final[date_modif])=Final_Sans_VGE[[#This Row],[date_modif]],
      "Ancien",
      "Modifié"),
   "Nouveau"))</f>
        <v>#VALUE!</v>
      </c>
      <c r="AD4673" s="1" t="str">
        <f>IFERROR(IF(Final_Sans_VGE[[#This Row],[ppn_z]]="","",IFERROR(
   IF(_xlfn.XLOOKUP(Final_Sans_VGE[[#This Row],[ppn_z]],tbl_Historique_Final[[#This Row],[ppn_z]],tbl_Historique_Final[[#This Row],[date_modif]])=Final_Sans_VGE[[#This Row],[date_modif]],
      "Ancien",
      "Modifié"),
   "Nouveau")),"")</f>
        <v/>
      </c>
    </row>
    <row r="4674" spans="24:30" x14ac:dyDescent="0.25">
      <c r="X4674" s="8" t="e">
        <f>IF(Final_Sans_VGE[[#This Row],[ppn_z]]="","",IFERROR(
   IF(_xlfn.XLOOKUP(Final_Sans_VGE[[#This Row],[ppn_z]],tbl_Historique_Final[ppn_z],tbl_Historique_Final[date_modif])=Final_Sans_VGE[[#This Row],[date_modif]],
      "Ancien",
      "Modifié"),
   "Nouveau"))</f>
        <v>#VALUE!</v>
      </c>
      <c r="AD4674" s="1" t="str">
        <f>IFERROR(IF(Final_Sans_VGE[[#This Row],[ppn_z]]="","",IFERROR(
   IF(_xlfn.XLOOKUP(Final_Sans_VGE[[#This Row],[ppn_z]],tbl_Historique_Final[[#This Row],[ppn_z]],tbl_Historique_Final[[#This Row],[date_modif]])=Final_Sans_VGE[[#This Row],[date_modif]],
      "Ancien",
      "Modifié"),
   "Nouveau")),"")</f>
        <v/>
      </c>
    </row>
    <row r="4675" spans="24:30" x14ac:dyDescent="0.25">
      <c r="X4675" s="8" t="e">
        <f>IF(Final_Sans_VGE[[#This Row],[ppn_z]]="","",IFERROR(
   IF(_xlfn.XLOOKUP(Final_Sans_VGE[[#This Row],[ppn_z]],tbl_Historique_Final[ppn_z],tbl_Historique_Final[date_modif])=Final_Sans_VGE[[#This Row],[date_modif]],
      "Ancien",
      "Modifié"),
   "Nouveau"))</f>
        <v>#VALUE!</v>
      </c>
      <c r="AD4675" s="1" t="str">
        <f>IFERROR(IF(Final_Sans_VGE[[#This Row],[ppn_z]]="","",IFERROR(
   IF(_xlfn.XLOOKUP(Final_Sans_VGE[[#This Row],[ppn_z]],tbl_Historique_Final[[#This Row],[ppn_z]],tbl_Historique_Final[[#This Row],[date_modif]])=Final_Sans_VGE[[#This Row],[date_modif]],
      "Ancien",
      "Modifié"),
   "Nouveau")),"")</f>
        <v/>
      </c>
    </row>
    <row r="4676" spans="24:30" x14ac:dyDescent="0.25">
      <c r="X4676" s="8" t="e">
        <f>IF(Final_Sans_VGE[[#This Row],[ppn_z]]="","",IFERROR(
   IF(_xlfn.XLOOKUP(Final_Sans_VGE[[#This Row],[ppn_z]],tbl_Historique_Final[ppn_z],tbl_Historique_Final[date_modif])=Final_Sans_VGE[[#This Row],[date_modif]],
      "Ancien",
      "Modifié"),
   "Nouveau"))</f>
        <v>#VALUE!</v>
      </c>
      <c r="AD4676" s="1" t="str">
        <f>IFERROR(IF(Final_Sans_VGE[[#This Row],[ppn_z]]="","",IFERROR(
   IF(_xlfn.XLOOKUP(Final_Sans_VGE[[#This Row],[ppn_z]],tbl_Historique_Final[[#This Row],[ppn_z]],tbl_Historique_Final[[#This Row],[date_modif]])=Final_Sans_VGE[[#This Row],[date_modif]],
      "Ancien",
      "Modifié"),
   "Nouveau")),"")</f>
        <v/>
      </c>
    </row>
    <row r="4677" spans="24:30" x14ac:dyDescent="0.25">
      <c r="X4677" s="8" t="e">
        <f>IF(Final_Sans_VGE[[#This Row],[ppn_z]]="","",IFERROR(
   IF(_xlfn.XLOOKUP(Final_Sans_VGE[[#This Row],[ppn_z]],tbl_Historique_Final[ppn_z],tbl_Historique_Final[date_modif])=Final_Sans_VGE[[#This Row],[date_modif]],
      "Ancien",
      "Modifié"),
   "Nouveau"))</f>
        <v>#VALUE!</v>
      </c>
      <c r="AD4677" s="1" t="str">
        <f>IFERROR(IF(Final_Sans_VGE[[#This Row],[ppn_z]]="","",IFERROR(
   IF(_xlfn.XLOOKUP(Final_Sans_VGE[[#This Row],[ppn_z]],tbl_Historique_Final[[#This Row],[ppn_z]],tbl_Historique_Final[[#This Row],[date_modif]])=Final_Sans_VGE[[#This Row],[date_modif]],
      "Ancien",
      "Modifié"),
   "Nouveau")),"")</f>
        <v/>
      </c>
    </row>
    <row r="4678" spans="24:30" x14ac:dyDescent="0.25">
      <c r="X4678" s="8" t="e">
        <f>IF(Final_Sans_VGE[[#This Row],[ppn_z]]="","",IFERROR(
   IF(_xlfn.XLOOKUP(Final_Sans_VGE[[#This Row],[ppn_z]],tbl_Historique_Final[ppn_z],tbl_Historique_Final[date_modif])=Final_Sans_VGE[[#This Row],[date_modif]],
      "Ancien",
      "Modifié"),
   "Nouveau"))</f>
        <v>#VALUE!</v>
      </c>
      <c r="AD4678" s="1" t="str">
        <f>IFERROR(IF(Final_Sans_VGE[[#This Row],[ppn_z]]="","",IFERROR(
   IF(_xlfn.XLOOKUP(Final_Sans_VGE[[#This Row],[ppn_z]],tbl_Historique_Final[[#This Row],[ppn_z]],tbl_Historique_Final[[#This Row],[date_modif]])=Final_Sans_VGE[[#This Row],[date_modif]],
      "Ancien",
      "Modifié"),
   "Nouveau")),"")</f>
        <v/>
      </c>
    </row>
    <row r="4679" spans="24:30" x14ac:dyDescent="0.25">
      <c r="X4679" s="8" t="e">
        <f>IF(Final_Sans_VGE[[#This Row],[ppn_z]]="","",IFERROR(
   IF(_xlfn.XLOOKUP(Final_Sans_VGE[[#This Row],[ppn_z]],tbl_Historique_Final[ppn_z],tbl_Historique_Final[date_modif])=Final_Sans_VGE[[#This Row],[date_modif]],
      "Ancien",
      "Modifié"),
   "Nouveau"))</f>
        <v>#VALUE!</v>
      </c>
      <c r="AD4679" s="1" t="str">
        <f>IFERROR(IF(Final_Sans_VGE[[#This Row],[ppn_z]]="","",IFERROR(
   IF(_xlfn.XLOOKUP(Final_Sans_VGE[[#This Row],[ppn_z]],tbl_Historique_Final[[#This Row],[ppn_z]],tbl_Historique_Final[[#This Row],[date_modif]])=Final_Sans_VGE[[#This Row],[date_modif]],
      "Ancien",
      "Modifié"),
   "Nouveau")),"")</f>
        <v/>
      </c>
    </row>
    <row r="4680" spans="24:30" x14ac:dyDescent="0.25">
      <c r="X4680" s="8" t="e">
        <f>IF(Final_Sans_VGE[[#This Row],[ppn_z]]="","",IFERROR(
   IF(_xlfn.XLOOKUP(Final_Sans_VGE[[#This Row],[ppn_z]],tbl_Historique_Final[ppn_z],tbl_Historique_Final[date_modif])=Final_Sans_VGE[[#This Row],[date_modif]],
      "Ancien",
      "Modifié"),
   "Nouveau"))</f>
        <v>#VALUE!</v>
      </c>
      <c r="AD4680" s="1" t="str">
        <f>IFERROR(IF(Final_Sans_VGE[[#This Row],[ppn_z]]="","",IFERROR(
   IF(_xlfn.XLOOKUP(Final_Sans_VGE[[#This Row],[ppn_z]],tbl_Historique_Final[[#This Row],[ppn_z]],tbl_Historique_Final[[#This Row],[date_modif]])=Final_Sans_VGE[[#This Row],[date_modif]],
      "Ancien",
      "Modifié"),
   "Nouveau")),"")</f>
        <v/>
      </c>
    </row>
    <row r="4681" spans="24:30" x14ac:dyDescent="0.25">
      <c r="X4681" s="8" t="e">
        <f>IF(Final_Sans_VGE[[#This Row],[ppn_z]]="","",IFERROR(
   IF(_xlfn.XLOOKUP(Final_Sans_VGE[[#This Row],[ppn_z]],tbl_Historique_Final[ppn_z],tbl_Historique_Final[date_modif])=Final_Sans_VGE[[#This Row],[date_modif]],
      "Ancien",
      "Modifié"),
   "Nouveau"))</f>
        <v>#VALUE!</v>
      </c>
      <c r="AD4681" s="1" t="str">
        <f>IFERROR(IF(Final_Sans_VGE[[#This Row],[ppn_z]]="","",IFERROR(
   IF(_xlfn.XLOOKUP(Final_Sans_VGE[[#This Row],[ppn_z]],tbl_Historique_Final[[#This Row],[ppn_z]],tbl_Historique_Final[[#This Row],[date_modif]])=Final_Sans_VGE[[#This Row],[date_modif]],
      "Ancien",
      "Modifié"),
   "Nouveau")),"")</f>
        <v/>
      </c>
    </row>
    <row r="4682" spans="24:30" x14ac:dyDescent="0.25">
      <c r="X4682" s="8" t="e">
        <f>IF(Final_Sans_VGE[[#This Row],[ppn_z]]="","",IFERROR(
   IF(_xlfn.XLOOKUP(Final_Sans_VGE[[#This Row],[ppn_z]],tbl_Historique_Final[ppn_z],tbl_Historique_Final[date_modif])=Final_Sans_VGE[[#This Row],[date_modif]],
      "Ancien",
      "Modifié"),
   "Nouveau"))</f>
        <v>#VALUE!</v>
      </c>
      <c r="AD4682" s="1" t="str">
        <f>IFERROR(IF(Final_Sans_VGE[[#This Row],[ppn_z]]="","",IFERROR(
   IF(_xlfn.XLOOKUP(Final_Sans_VGE[[#This Row],[ppn_z]],tbl_Historique_Final[[#This Row],[ppn_z]],tbl_Historique_Final[[#This Row],[date_modif]])=Final_Sans_VGE[[#This Row],[date_modif]],
      "Ancien",
      "Modifié"),
   "Nouveau")),"")</f>
        <v/>
      </c>
    </row>
    <row r="4683" spans="24:30" x14ac:dyDescent="0.25">
      <c r="X4683" s="8" t="e">
        <f>IF(Final_Sans_VGE[[#This Row],[ppn_z]]="","",IFERROR(
   IF(_xlfn.XLOOKUP(Final_Sans_VGE[[#This Row],[ppn_z]],tbl_Historique_Final[ppn_z],tbl_Historique_Final[date_modif])=Final_Sans_VGE[[#This Row],[date_modif]],
      "Ancien",
      "Modifié"),
   "Nouveau"))</f>
        <v>#VALUE!</v>
      </c>
      <c r="AD4683" s="1" t="str">
        <f>IFERROR(IF(Final_Sans_VGE[[#This Row],[ppn_z]]="","",IFERROR(
   IF(_xlfn.XLOOKUP(Final_Sans_VGE[[#This Row],[ppn_z]],tbl_Historique_Final[[#This Row],[ppn_z]],tbl_Historique_Final[[#This Row],[date_modif]])=Final_Sans_VGE[[#This Row],[date_modif]],
      "Ancien",
      "Modifié"),
   "Nouveau")),"")</f>
        <v/>
      </c>
    </row>
    <row r="4684" spans="24:30" x14ac:dyDescent="0.25">
      <c r="X4684" s="8" t="e">
        <f>IF(Final_Sans_VGE[[#This Row],[ppn_z]]="","",IFERROR(
   IF(_xlfn.XLOOKUP(Final_Sans_VGE[[#This Row],[ppn_z]],tbl_Historique_Final[ppn_z],tbl_Historique_Final[date_modif])=Final_Sans_VGE[[#This Row],[date_modif]],
      "Ancien",
      "Modifié"),
   "Nouveau"))</f>
        <v>#VALUE!</v>
      </c>
      <c r="AD4684" s="1" t="str">
        <f>IFERROR(IF(Final_Sans_VGE[[#This Row],[ppn_z]]="","",IFERROR(
   IF(_xlfn.XLOOKUP(Final_Sans_VGE[[#This Row],[ppn_z]],tbl_Historique_Final[[#This Row],[ppn_z]],tbl_Historique_Final[[#This Row],[date_modif]])=Final_Sans_VGE[[#This Row],[date_modif]],
      "Ancien",
      "Modifié"),
   "Nouveau")),"")</f>
        <v/>
      </c>
    </row>
    <row r="4685" spans="24:30" x14ac:dyDescent="0.25">
      <c r="X4685" s="8" t="e">
        <f>IF(Final_Sans_VGE[[#This Row],[ppn_z]]="","",IFERROR(
   IF(_xlfn.XLOOKUP(Final_Sans_VGE[[#This Row],[ppn_z]],tbl_Historique_Final[ppn_z],tbl_Historique_Final[date_modif])=Final_Sans_VGE[[#This Row],[date_modif]],
      "Ancien",
      "Modifié"),
   "Nouveau"))</f>
        <v>#VALUE!</v>
      </c>
      <c r="AD4685" s="1" t="str">
        <f>IFERROR(IF(Final_Sans_VGE[[#This Row],[ppn_z]]="","",IFERROR(
   IF(_xlfn.XLOOKUP(Final_Sans_VGE[[#This Row],[ppn_z]],tbl_Historique_Final[[#This Row],[ppn_z]],tbl_Historique_Final[[#This Row],[date_modif]])=Final_Sans_VGE[[#This Row],[date_modif]],
      "Ancien",
      "Modifié"),
   "Nouveau")),"")</f>
        <v/>
      </c>
    </row>
    <row r="4686" spans="24:30" x14ac:dyDescent="0.25">
      <c r="X4686" s="8" t="e">
        <f>IF(Final_Sans_VGE[[#This Row],[ppn_z]]="","",IFERROR(
   IF(_xlfn.XLOOKUP(Final_Sans_VGE[[#This Row],[ppn_z]],tbl_Historique_Final[ppn_z],tbl_Historique_Final[date_modif])=Final_Sans_VGE[[#This Row],[date_modif]],
      "Ancien",
      "Modifié"),
   "Nouveau"))</f>
        <v>#VALUE!</v>
      </c>
      <c r="AD4686" s="1" t="str">
        <f>IFERROR(IF(Final_Sans_VGE[[#This Row],[ppn_z]]="","",IFERROR(
   IF(_xlfn.XLOOKUP(Final_Sans_VGE[[#This Row],[ppn_z]],tbl_Historique_Final[[#This Row],[ppn_z]],tbl_Historique_Final[[#This Row],[date_modif]])=Final_Sans_VGE[[#This Row],[date_modif]],
      "Ancien",
      "Modifié"),
   "Nouveau")),"")</f>
        <v/>
      </c>
    </row>
    <row r="4687" spans="24:30" x14ac:dyDescent="0.25">
      <c r="X4687" s="8" t="e">
        <f>IF(Final_Sans_VGE[[#This Row],[ppn_z]]="","",IFERROR(
   IF(_xlfn.XLOOKUP(Final_Sans_VGE[[#This Row],[ppn_z]],tbl_Historique_Final[ppn_z],tbl_Historique_Final[date_modif])=Final_Sans_VGE[[#This Row],[date_modif]],
      "Ancien",
      "Modifié"),
   "Nouveau"))</f>
        <v>#VALUE!</v>
      </c>
      <c r="AD4687" s="1" t="str">
        <f>IFERROR(IF(Final_Sans_VGE[[#This Row],[ppn_z]]="","",IFERROR(
   IF(_xlfn.XLOOKUP(Final_Sans_VGE[[#This Row],[ppn_z]],tbl_Historique_Final[[#This Row],[ppn_z]],tbl_Historique_Final[[#This Row],[date_modif]])=Final_Sans_VGE[[#This Row],[date_modif]],
      "Ancien",
      "Modifié"),
   "Nouveau")),"")</f>
        <v/>
      </c>
    </row>
    <row r="4688" spans="24:30" x14ac:dyDescent="0.25">
      <c r="X4688" s="8" t="e">
        <f>IF(Final_Sans_VGE[[#This Row],[ppn_z]]="","",IFERROR(
   IF(_xlfn.XLOOKUP(Final_Sans_VGE[[#This Row],[ppn_z]],tbl_Historique_Final[ppn_z],tbl_Historique_Final[date_modif])=Final_Sans_VGE[[#This Row],[date_modif]],
      "Ancien",
      "Modifié"),
   "Nouveau"))</f>
        <v>#VALUE!</v>
      </c>
      <c r="AD4688" s="1" t="str">
        <f>IFERROR(IF(Final_Sans_VGE[[#This Row],[ppn_z]]="","",IFERROR(
   IF(_xlfn.XLOOKUP(Final_Sans_VGE[[#This Row],[ppn_z]],tbl_Historique_Final[[#This Row],[ppn_z]],tbl_Historique_Final[[#This Row],[date_modif]])=Final_Sans_VGE[[#This Row],[date_modif]],
      "Ancien",
      "Modifié"),
   "Nouveau")),"")</f>
        <v/>
      </c>
    </row>
    <row r="4689" spans="24:30" x14ac:dyDescent="0.25">
      <c r="X4689" s="8" t="e">
        <f>IF(Final_Sans_VGE[[#This Row],[ppn_z]]="","",IFERROR(
   IF(_xlfn.XLOOKUP(Final_Sans_VGE[[#This Row],[ppn_z]],tbl_Historique_Final[ppn_z],tbl_Historique_Final[date_modif])=Final_Sans_VGE[[#This Row],[date_modif]],
      "Ancien",
      "Modifié"),
   "Nouveau"))</f>
        <v>#VALUE!</v>
      </c>
      <c r="AD4689" s="1" t="str">
        <f>IFERROR(IF(Final_Sans_VGE[[#This Row],[ppn_z]]="","",IFERROR(
   IF(_xlfn.XLOOKUP(Final_Sans_VGE[[#This Row],[ppn_z]],tbl_Historique_Final[[#This Row],[ppn_z]],tbl_Historique_Final[[#This Row],[date_modif]])=Final_Sans_VGE[[#This Row],[date_modif]],
      "Ancien",
      "Modifié"),
   "Nouveau")),"")</f>
        <v/>
      </c>
    </row>
    <row r="4690" spans="24:30" x14ac:dyDescent="0.25">
      <c r="X4690" s="8" t="e">
        <f>IF(Final_Sans_VGE[[#This Row],[ppn_z]]="","",IFERROR(
   IF(_xlfn.XLOOKUP(Final_Sans_VGE[[#This Row],[ppn_z]],tbl_Historique_Final[ppn_z],tbl_Historique_Final[date_modif])=Final_Sans_VGE[[#This Row],[date_modif]],
      "Ancien",
      "Modifié"),
   "Nouveau"))</f>
        <v>#VALUE!</v>
      </c>
      <c r="AD4690" s="1" t="str">
        <f>IFERROR(IF(Final_Sans_VGE[[#This Row],[ppn_z]]="","",IFERROR(
   IF(_xlfn.XLOOKUP(Final_Sans_VGE[[#This Row],[ppn_z]],tbl_Historique_Final[[#This Row],[ppn_z]],tbl_Historique_Final[[#This Row],[date_modif]])=Final_Sans_VGE[[#This Row],[date_modif]],
      "Ancien",
      "Modifié"),
   "Nouveau")),"")</f>
        <v/>
      </c>
    </row>
    <row r="4691" spans="24:30" x14ac:dyDescent="0.25">
      <c r="X4691" s="8" t="e">
        <f>IF(Final_Sans_VGE[[#This Row],[ppn_z]]="","",IFERROR(
   IF(_xlfn.XLOOKUP(Final_Sans_VGE[[#This Row],[ppn_z]],tbl_Historique_Final[ppn_z],tbl_Historique_Final[date_modif])=Final_Sans_VGE[[#This Row],[date_modif]],
      "Ancien",
      "Modifié"),
   "Nouveau"))</f>
        <v>#VALUE!</v>
      </c>
      <c r="AD4691" s="1" t="str">
        <f>IFERROR(IF(Final_Sans_VGE[[#This Row],[ppn_z]]="","",IFERROR(
   IF(_xlfn.XLOOKUP(Final_Sans_VGE[[#This Row],[ppn_z]],tbl_Historique_Final[[#This Row],[ppn_z]],tbl_Historique_Final[[#This Row],[date_modif]])=Final_Sans_VGE[[#This Row],[date_modif]],
      "Ancien",
      "Modifié"),
   "Nouveau")),"")</f>
        <v/>
      </c>
    </row>
    <row r="4692" spans="24:30" x14ac:dyDescent="0.25">
      <c r="X4692" s="8" t="e">
        <f>IF(Final_Sans_VGE[[#This Row],[ppn_z]]="","",IFERROR(
   IF(_xlfn.XLOOKUP(Final_Sans_VGE[[#This Row],[ppn_z]],tbl_Historique_Final[ppn_z],tbl_Historique_Final[date_modif])=Final_Sans_VGE[[#This Row],[date_modif]],
      "Ancien",
      "Modifié"),
   "Nouveau"))</f>
        <v>#VALUE!</v>
      </c>
      <c r="AD4692" s="1" t="str">
        <f>IFERROR(IF(Final_Sans_VGE[[#This Row],[ppn_z]]="","",IFERROR(
   IF(_xlfn.XLOOKUP(Final_Sans_VGE[[#This Row],[ppn_z]],tbl_Historique_Final[[#This Row],[ppn_z]],tbl_Historique_Final[[#This Row],[date_modif]])=Final_Sans_VGE[[#This Row],[date_modif]],
      "Ancien",
      "Modifié"),
   "Nouveau")),"")</f>
        <v/>
      </c>
    </row>
    <row r="4693" spans="24:30" x14ac:dyDescent="0.25">
      <c r="X4693" s="8" t="e">
        <f>IF(Final_Sans_VGE[[#This Row],[ppn_z]]="","",IFERROR(
   IF(_xlfn.XLOOKUP(Final_Sans_VGE[[#This Row],[ppn_z]],tbl_Historique_Final[ppn_z],tbl_Historique_Final[date_modif])=Final_Sans_VGE[[#This Row],[date_modif]],
      "Ancien",
      "Modifié"),
   "Nouveau"))</f>
        <v>#VALUE!</v>
      </c>
      <c r="AD4693" s="1" t="str">
        <f>IFERROR(IF(Final_Sans_VGE[[#This Row],[ppn_z]]="","",IFERROR(
   IF(_xlfn.XLOOKUP(Final_Sans_VGE[[#This Row],[ppn_z]],tbl_Historique_Final[[#This Row],[ppn_z]],tbl_Historique_Final[[#This Row],[date_modif]])=Final_Sans_VGE[[#This Row],[date_modif]],
      "Ancien",
      "Modifié"),
   "Nouveau")),"")</f>
        <v/>
      </c>
    </row>
    <row r="4694" spans="24:30" x14ac:dyDescent="0.25">
      <c r="X4694" s="8" t="e">
        <f>IF(Final_Sans_VGE[[#This Row],[ppn_z]]="","",IFERROR(
   IF(_xlfn.XLOOKUP(Final_Sans_VGE[[#This Row],[ppn_z]],tbl_Historique_Final[ppn_z],tbl_Historique_Final[date_modif])=Final_Sans_VGE[[#This Row],[date_modif]],
      "Ancien",
      "Modifié"),
   "Nouveau"))</f>
        <v>#VALUE!</v>
      </c>
      <c r="AD4694" s="1" t="str">
        <f>IFERROR(IF(Final_Sans_VGE[[#This Row],[ppn_z]]="","",IFERROR(
   IF(_xlfn.XLOOKUP(Final_Sans_VGE[[#This Row],[ppn_z]],tbl_Historique_Final[[#This Row],[ppn_z]],tbl_Historique_Final[[#This Row],[date_modif]])=Final_Sans_VGE[[#This Row],[date_modif]],
      "Ancien",
      "Modifié"),
   "Nouveau")),"")</f>
        <v/>
      </c>
    </row>
    <row r="4695" spans="24:30" x14ac:dyDescent="0.25">
      <c r="X4695" s="8" t="e">
        <f>IF(Final_Sans_VGE[[#This Row],[ppn_z]]="","",IFERROR(
   IF(_xlfn.XLOOKUP(Final_Sans_VGE[[#This Row],[ppn_z]],tbl_Historique_Final[ppn_z],tbl_Historique_Final[date_modif])=Final_Sans_VGE[[#This Row],[date_modif]],
      "Ancien",
      "Modifié"),
   "Nouveau"))</f>
        <v>#VALUE!</v>
      </c>
      <c r="AD4695" s="1" t="str">
        <f>IFERROR(IF(Final_Sans_VGE[[#This Row],[ppn_z]]="","",IFERROR(
   IF(_xlfn.XLOOKUP(Final_Sans_VGE[[#This Row],[ppn_z]],tbl_Historique_Final[[#This Row],[ppn_z]],tbl_Historique_Final[[#This Row],[date_modif]])=Final_Sans_VGE[[#This Row],[date_modif]],
      "Ancien",
      "Modifié"),
   "Nouveau")),"")</f>
        <v/>
      </c>
    </row>
    <row r="4696" spans="24:30" x14ac:dyDescent="0.25">
      <c r="X4696" s="8" t="e">
        <f>IF(Final_Sans_VGE[[#This Row],[ppn_z]]="","",IFERROR(
   IF(_xlfn.XLOOKUP(Final_Sans_VGE[[#This Row],[ppn_z]],tbl_Historique_Final[ppn_z],tbl_Historique_Final[date_modif])=Final_Sans_VGE[[#This Row],[date_modif]],
      "Ancien",
      "Modifié"),
   "Nouveau"))</f>
        <v>#VALUE!</v>
      </c>
      <c r="AD4696" s="1" t="str">
        <f>IFERROR(IF(Final_Sans_VGE[[#This Row],[ppn_z]]="","",IFERROR(
   IF(_xlfn.XLOOKUP(Final_Sans_VGE[[#This Row],[ppn_z]],tbl_Historique_Final[[#This Row],[ppn_z]],tbl_Historique_Final[[#This Row],[date_modif]])=Final_Sans_VGE[[#This Row],[date_modif]],
      "Ancien",
      "Modifié"),
   "Nouveau")),"")</f>
        <v/>
      </c>
    </row>
    <row r="4697" spans="24:30" x14ac:dyDescent="0.25">
      <c r="X4697" s="8" t="e">
        <f>IF(Final_Sans_VGE[[#This Row],[ppn_z]]="","",IFERROR(
   IF(_xlfn.XLOOKUP(Final_Sans_VGE[[#This Row],[ppn_z]],tbl_Historique_Final[ppn_z],tbl_Historique_Final[date_modif])=Final_Sans_VGE[[#This Row],[date_modif]],
      "Ancien",
      "Modifié"),
   "Nouveau"))</f>
        <v>#VALUE!</v>
      </c>
      <c r="AD4697" s="1" t="str">
        <f>IFERROR(IF(Final_Sans_VGE[[#This Row],[ppn_z]]="","",IFERROR(
   IF(_xlfn.XLOOKUP(Final_Sans_VGE[[#This Row],[ppn_z]],tbl_Historique_Final[[#This Row],[ppn_z]],tbl_Historique_Final[[#This Row],[date_modif]])=Final_Sans_VGE[[#This Row],[date_modif]],
      "Ancien",
      "Modifié"),
   "Nouveau")),"")</f>
        <v/>
      </c>
    </row>
    <row r="4698" spans="24:30" x14ac:dyDescent="0.25">
      <c r="X4698" s="8" t="e">
        <f>IF(Final_Sans_VGE[[#This Row],[ppn_z]]="","",IFERROR(
   IF(_xlfn.XLOOKUP(Final_Sans_VGE[[#This Row],[ppn_z]],tbl_Historique_Final[ppn_z],tbl_Historique_Final[date_modif])=Final_Sans_VGE[[#This Row],[date_modif]],
      "Ancien",
      "Modifié"),
   "Nouveau"))</f>
        <v>#VALUE!</v>
      </c>
      <c r="AD4698" s="1" t="str">
        <f>IFERROR(IF(Final_Sans_VGE[[#This Row],[ppn_z]]="","",IFERROR(
   IF(_xlfn.XLOOKUP(Final_Sans_VGE[[#This Row],[ppn_z]],tbl_Historique_Final[[#This Row],[ppn_z]],tbl_Historique_Final[[#This Row],[date_modif]])=Final_Sans_VGE[[#This Row],[date_modif]],
      "Ancien",
      "Modifié"),
   "Nouveau")),"")</f>
        <v/>
      </c>
    </row>
    <row r="4699" spans="24:30" x14ac:dyDescent="0.25">
      <c r="X4699" s="8" t="e">
        <f>IF(Final_Sans_VGE[[#This Row],[ppn_z]]="","",IFERROR(
   IF(_xlfn.XLOOKUP(Final_Sans_VGE[[#This Row],[ppn_z]],tbl_Historique_Final[ppn_z],tbl_Historique_Final[date_modif])=Final_Sans_VGE[[#This Row],[date_modif]],
      "Ancien",
      "Modifié"),
   "Nouveau"))</f>
        <v>#VALUE!</v>
      </c>
      <c r="AD4699" s="1" t="str">
        <f>IFERROR(IF(Final_Sans_VGE[[#This Row],[ppn_z]]="","",IFERROR(
   IF(_xlfn.XLOOKUP(Final_Sans_VGE[[#This Row],[ppn_z]],tbl_Historique_Final[[#This Row],[ppn_z]],tbl_Historique_Final[[#This Row],[date_modif]])=Final_Sans_VGE[[#This Row],[date_modif]],
      "Ancien",
      "Modifié"),
   "Nouveau")),"")</f>
        <v/>
      </c>
    </row>
    <row r="4700" spans="24:30" x14ac:dyDescent="0.25">
      <c r="X4700" s="8" t="e">
        <f>IF(Final_Sans_VGE[[#This Row],[ppn_z]]="","",IFERROR(
   IF(_xlfn.XLOOKUP(Final_Sans_VGE[[#This Row],[ppn_z]],tbl_Historique_Final[ppn_z],tbl_Historique_Final[date_modif])=Final_Sans_VGE[[#This Row],[date_modif]],
      "Ancien",
      "Modifié"),
   "Nouveau"))</f>
        <v>#VALUE!</v>
      </c>
      <c r="AD4700" s="1" t="str">
        <f>IFERROR(IF(Final_Sans_VGE[[#This Row],[ppn_z]]="","",IFERROR(
   IF(_xlfn.XLOOKUP(Final_Sans_VGE[[#This Row],[ppn_z]],tbl_Historique_Final[[#This Row],[ppn_z]],tbl_Historique_Final[[#This Row],[date_modif]])=Final_Sans_VGE[[#This Row],[date_modif]],
      "Ancien",
      "Modifié"),
   "Nouveau")),"")</f>
        <v/>
      </c>
    </row>
    <row r="4701" spans="24:30" x14ac:dyDescent="0.25">
      <c r="X4701" s="8" t="e">
        <f>IF(Final_Sans_VGE[[#This Row],[ppn_z]]="","",IFERROR(
   IF(_xlfn.XLOOKUP(Final_Sans_VGE[[#This Row],[ppn_z]],tbl_Historique_Final[ppn_z],tbl_Historique_Final[date_modif])=Final_Sans_VGE[[#This Row],[date_modif]],
      "Ancien",
      "Modifié"),
   "Nouveau"))</f>
        <v>#VALUE!</v>
      </c>
      <c r="AD4701" s="1" t="str">
        <f>IFERROR(IF(Final_Sans_VGE[[#This Row],[ppn_z]]="","",IFERROR(
   IF(_xlfn.XLOOKUP(Final_Sans_VGE[[#This Row],[ppn_z]],tbl_Historique_Final[[#This Row],[ppn_z]],tbl_Historique_Final[[#This Row],[date_modif]])=Final_Sans_VGE[[#This Row],[date_modif]],
      "Ancien",
      "Modifié"),
   "Nouveau")),"")</f>
        <v/>
      </c>
    </row>
    <row r="4702" spans="24:30" x14ac:dyDescent="0.25">
      <c r="X4702" s="8" t="e">
        <f>IF(Final_Sans_VGE[[#This Row],[ppn_z]]="","",IFERROR(
   IF(_xlfn.XLOOKUP(Final_Sans_VGE[[#This Row],[ppn_z]],tbl_Historique_Final[ppn_z],tbl_Historique_Final[date_modif])=Final_Sans_VGE[[#This Row],[date_modif]],
      "Ancien",
      "Modifié"),
   "Nouveau"))</f>
        <v>#VALUE!</v>
      </c>
      <c r="AD4702" s="1" t="str">
        <f>IFERROR(IF(Final_Sans_VGE[[#This Row],[ppn_z]]="","",IFERROR(
   IF(_xlfn.XLOOKUP(Final_Sans_VGE[[#This Row],[ppn_z]],tbl_Historique_Final[[#This Row],[ppn_z]],tbl_Historique_Final[[#This Row],[date_modif]])=Final_Sans_VGE[[#This Row],[date_modif]],
      "Ancien",
      "Modifié"),
   "Nouveau")),"")</f>
        <v/>
      </c>
    </row>
    <row r="4703" spans="24:30" x14ac:dyDescent="0.25">
      <c r="X4703" s="8" t="e">
        <f>IF(Final_Sans_VGE[[#This Row],[ppn_z]]="","",IFERROR(
   IF(_xlfn.XLOOKUP(Final_Sans_VGE[[#This Row],[ppn_z]],tbl_Historique_Final[ppn_z],tbl_Historique_Final[date_modif])=Final_Sans_VGE[[#This Row],[date_modif]],
      "Ancien",
      "Modifié"),
   "Nouveau"))</f>
        <v>#VALUE!</v>
      </c>
      <c r="AD4703" s="1" t="str">
        <f>IFERROR(IF(Final_Sans_VGE[[#This Row],[ppn_z]]="","",IFERROR(
   IF(_xlfn.XLOOKUP(Final_Sans_VGE[[#This Row],[ppn_z]],tbl_Historique_Final[[#This Row],[ppn_z]],tbl_Historique_Final[[#This Row],[date_modif]])=Final_Sans_VGE[[#This Row],[date_modif]],
      "Ancien",
      "Modifié"),
   "Nouveau")),"")</f>
        <v/>
      </c>
    </row>
    <row r="4704" spans="24:30" x14ac:dyDescent="0.25">
      <c r="X4704" s="8" t="e">
        <f>IF(Final_Sans_VGE[[#This Row],[ppn_z]]="","",IFERROR(
   IF(_xlfn.XLOOKUP(Final_Sans_VGE[[#This Row],[ppn_z]],tbl_Historique_Final[ppn_z],tbl_Historique_Final[date_modif])=Final_Sans_VGE[[#This Row],[date_modif]],
      "Ancien",
      "Modifié"),
   "Nouveau"))</f>
        <v>#VALUE!</v>
      </c>
      <c r="AD4704" s="1" t="str">
        <f>IFERROR(IF(Final_Sans_VGE[[#This Row],[ppn_z]]="","",IFERROR(
   IF(_xlfn.XLOOKUP(Final_Sans_VGE[[#This Row],[ppn_z]],tbl_Historique_Final[[#This Row],[ppn_z]],tbl_Historique_Final[[#This Row],[date_modif]])=Final_Sans_VGE[[#This Row],[date_modif]],
      "Ancien",
      "Modifié"),
   "Nouveau")),"")</f>
        <v/>
      </c>
    </row>
    <row r="4705" spans="24:30" x14ac:dyDescent="0.25">
      <c r="X4705" s="8" t="e">
        <f>IF(Final_Sans_VGE[[#This Row],[ppn_z]]="","",IFERROR(
   IF(_xlfn.XLOOKUP(Final_Sans_VGE[[#This Row],[ppn_z]],tbl_Historique_Final[ppn_z],tbl_Historique_Final[date_modif])=Final_Sans_VGE[[#This Row],[date_modif]],
      "Ancien",
      "Modifié"),
   "Nouveau"))</f>
        <v>#VALUE!</v>
      </c>
      <c r="AD4705" s="1" t="str">
        <f>IFERROR(IF(Final_Sans_VGE[[#This Row],[ppn_z]]="","",IFERROR(
   IF(_xlfn.XLOOKUP(Final_Sans_VGE[[#This Row],[ppn_z]],tbl_Historique_Final[[#This Row],[ppn_z]],tbl_Historique_Final[[#This Row],[date_modif]])=Final_Sans_VGE[[#This Row],[date_modif]],
      "Ancien",
      "Modifié"),
   "Nouveau")),"")</f>
        <v/>
      </c>
    </row>
    <row r="4706" spans="24:30" x14ac:dyDescent="0.25">
      <c r="X4706" s="8" t="e">
        <f>IF(Final_Sans_VGE[[#This Row],[ppn_z]]="","",IFERROR(
   IF(_xlfn.XLOOKUP(Final_Sans_VGE[[#This Row],[ppn_z]],tbl_Historique_Final[ppn_z],tbl_Historique_Final[date_modif])=Final_Sans_VGE[[#This Row],[date_modif]],
      "Ancien",
      "Modifié"),
   "Nouveau"))</f>
        <v>#VALUE!</v>
      </c>
      <c r="AD4706" s="1" t="str">
        <f>IFERROR(IF(Final_Sans_VGE[[#This Row],[ppn_z]]="","",IFERROR(
   IF(_xlfn.XLOOKUP(Final_Sans_VGE[[#This Row],[ppn_z]],tbl_Historique_Final[[#This Row],[ppn_z]],tbl_Historique_Final[[#This Row],[date_modif]])=Final_Sans_VGE[[#This Row],[date_modif]],
      "Ancien",
      "Modifié"),
   "Nouveau")),"")</f>
        <v/>
      </c>
    </row>
    <row r="4707" spans="24:30" x14ac:dyDescent="0.25">
      <c r="X4707" s="8" t="e">
        <f>IF(Final_Sans_VGE[[#This Row],[ppn_z]]="","",IFERROR(
   IF(_xlfn.XLOOKUP(Final_Sans_VGE[[#This Row],[ppn_z]],tbl_Historique_Final[ppn_z],tbl_Historique_Final[date_modif])=Final_Sans_VGE[[#This Row],[date_modif]],
      "Ancien",
      "Modifié"),
   "Nouveau"))</f>
        <v>#VALUE!</v>
      </c>
      <c r="AD4707" s="1" t="str">
        <f>IFERROR(IF(Final_Sans_VGE[[#This Row],[ppn_z]]="","",IFERROR(
   IF(_xlfn.XLOOKUP(Final_Sans_VGE[[#This Row],[ppn_z]],tbl_Historique_Final[[#This Row],[ppn_z]],tbl_Historique_Final[[#This Row],[date_modif]])=Final_Sans_VGE[[#This Row],[date_modif]],
      "Ancien",
      "Modifié"),
   "Nouveau")),"")</f>
        <v/>
      </c>
    </row>
    <row r="4708" spans="24:30" x14ac:dyDescent="0.25">
      <c r="X4708" s="8" t="e">
        <f>IF(Final_Sans_VGE[[#This Row],[ppn_z]]="","",IFERROR(
   IF(_xlfn.XLOOKUP(Final_Sans_VGE[[#This Row],[ppn_z]],tbl_Historique_Final[ppn_z],tbl_Historique_Final[date_modif])=Final_Sans_VGE[[#This Row],[date_modif]],
      "Ancien",
      "Modifié"),
   "Nouveau"))</f>
        <v>#VALUE!</v>
      </c>
      <c r="AD4708" s="1" t="str">
        <f>IFERROR(IF(Final_Sans_VGE[[#This Row],[ppn_z]]="","",IFERROR(
   IF(_xlfn.XLOOKUP(Final_Sans_VGE[[#This Row],[ppn_z]],tbl_Historique_Final[[#This Row],[ppn_z]],tbl_Historique_Final[[#This Row],[date_modif]])=Final_Sans_VGE[[#This Row],[date_modif]],
      "Ancien",
      "Modifié"),
   "Nouveau")),"")</f>
        <v/>
      </c>
    </row>
    <row r="4709" spans="24:30" x14ac:dyDescent="0.25">
      <c r="X4709" s="8" t="e">
        <f>IF(Final_Sans_VGE[[#This Row],[ppn_z]]="","",IFERROR(
   IF(_xlfn.XLOOKUP(Final_Sans_VGE[[#This Row],[ppn_z]],tbl_Historique_Final[ppn_z],tbl_Historique_Final[date_modif])=Final_Sans_VGE[[#This Row],[date_modif]],
      "Ancien",
      "Modifié"),
   "Nouveau"))</f>
        <v>#VALUE!</v>
      </c>
      <c r="AD4709" s="1" t="str">
        <f>IFERROR(IF(Final_Sans_VGE[[#This Row],[ppn_z]]="","",IFERROR(
   IF(_xlfn.XLOOKUP(Final_Sans_VGE[[#This Row],[ppn_z]],tbl_Historique_Final[[#This Row],[ppn_z]],tbl_Historique_Final[[#This Row],[date_modif]])=Final_Sans_VGE[[#This Row],[date_modif]],
      "Ancien",
      "Modifié"),
   "Nouveau")),"")</f>
        <v/>
      </c>
    </row>
    <row r="4710" spans="24:30" x14ac:dyDescent="0.25">
      <c r="X4710" s="8" t="e">
        <f>IF(Final_Sans_VGE[[#This Row],[ppn_z]]="","",IFERROR(
   IF(_xlfn.XLOOKUP(Final_Sans_VGE[[#This Row],[ppn_z]],tbl_Historique_Final[ppn_z],tbl_Historique_Final[date_modif])=Final_Sans_VGE[[#This Row],[date_modif]],
      "Ancien",
      "Modifié"),
   "Nouveau"))</f>
        <v>#VALUE!</v>
      </c>
      <c r="AD4710" s="1" t="str">
        <f>IFERROR(IF(Final_Sans_VGE[[#This Row],[ppn_z]]="","",IFERROR(
   IF(_xlfn.XLOOKUP(Final_Sans_VGE[[#This Row],[ppn_z]],tbl_Historique_Final[[#This Row],[ppn_z]],tbl_Historique_Final[[#This Row],[date_modif]])=Final_Sans_VGE[[#This Row],[date_modif]],
      "Ancien",
      "Modifié"),
   "Nouveau")),"")</f>
        <v/>
      </c>
    </row>
    <row r="4711" spans="24:30" x14ac:dyDescent="0.25">
      <c r="X4711" s="8" t="e">
        <f>IF(Final_Sans_VGE[[#This Row],[ppn_z]]="","",IFERROR(
   IF(_xlfn.XLOOKUP(Final_Sans_VGE[[#This Row],[ppn_z]],tbl_Historique_Final[ppn_z],tbl_Historique_Final[date_modif])=Final_Sans_VGE[[#This Row],[date_modif]],
      "Ancien",
      "Modifié"),
   "Nouveau"))</f>
        <v>#VALUE!</v>
      </c>
      <c r="AD4711" s="1" t="str">
        <f>IFERROR(IF(Final_Sans_VGE[[#This Row],[ppn_z]]="","",IFERROR(
   IF(_xlfn.XLOOKUP(Final_Sans_VGE[[#This Row],[ppn_z]],tbl_Historique_Final[[#This Row],[ppn_z]],tbl_Historique_Final[[#This Row],[date_modif]])=Final_Sans_VGE[[#This Row],[date_modif]],
      "Ancien",
      "Modifié"),
   "Nouveau")),"")</f>
        <v/>
      </c>
    </row>
    <row r="4712" spans="24:30" x14ac:dyDescent="0.25">
      <c r="X4712" s="8" t="e">
        <f>IF(Final_Sans_VGE[[#This Row],[ppn_z]]="","",IFERROR(
   IF(_xlfn.XLOOKUP(Final_Sans_VGE[[#This Row],[ppn_z]],tbl_Historique_Final[ppn_z],tbl_Historique_Final[date_modif])=Final_Sans_VGE[[#This Row],[date_modif]],
      "Ancien",
      "Modifié"),
   "Nouveau"))</f>
        <v>#VALUE!</v>
      </c>
      <c r="AD4712" s="1" t="str">
        <f>IFERROR(IF(Final_Sans_VGE[[#This Row],[ppn_z]]="","",IFERROR(
   IF(_xlfn.XLOOKUP(Final_Sans_VGE[[#This Row],[ppn_z]],tbl_Historique_Final[[#This Row],[ppn_z]],tbl_Historique_Final[[#This Row],[date_modif]])=Final_Sans_VGE[[#This Row],[date_modif]],
      "Ancien",
      "Modifié"),
   "Nouveau")),"")</f>
        <v/>
      </c>
    </row>
    <row r="4713" spans="24:30" x14ac:dyDescent="0.25">
      <c r="X4713" s="8" t="e">
        <f>IF(Final_Sans_VGE[[#This Row],[ppn_z]]="","",IFERROR(
   IF(_xlfn.XLOOKUP(Final_Sans_VGE[[#This Row],[ppn_z]],tbl_Historique_Final[ppn_z],tbl_Historique_Final[date_modif])=Final_Sans_VGE[[#This Row],[date_modif]],
      "Ancien",
      "Modifié"),
   "Nouveau"))</f>
        <v>#VALUE!</v>
      </c>
      <c r="AD4713" s="1" t="str">
        <f>IFERROR(IF(Final_Sans_VGE[[#This Row],[ppn_z]]="","",IFERROR(
   IF(_xlfn.XLOOKUP(Final_Sans_VGE[[#This Row],[ppn_z]],tbl_Historique_Final[[#This Row],[ppn_z]],tbl_Historique_Final[[#This Row],[date_modif]])=Final_Sans_VGE[[#This Row],[date_modif]],
      "Ancien",
      "Modifié"),
   "Nouveau")),"")</f>
        <v/>
      </c>
    </row>
    <row r="4714" spans="24:30" x14ac:dyDescent="0.25">
      <c r="X4714" s="8" t="e">
        <f>IF(Final_Sans_VGE[[#This Row],[ppn_z]]="","",IFERROR(
   IF(_xlfn.XLOOKUP(Final_Sans_VGE[[#This Row],[ppn_z]],tbl_Historique_Final[ppn_z],tbl_Historique_Final[date_modif])=Final_Sans_VGE[[#This Row],[date_modif]],
      "Ancien",
      "Modifié"),
   "Nouveau"))</f>
        <v>#VALUE!</v>
      </c>
      <c r="AD4714" s="1" t="str">
        <f>IFERROR(IF(Final_Sans_VGE[[#This Row],[ppn_z]]="","",IFERROR(
   IF(_xlfn.XLOOKUP(Final_Sans_VGE[[#This Row],[ppn_z]],tbl_Historique_Final[[#This Row],[ppn_z]],tbl_Historique_Final[[#This Row],[date_modif]])=Final_Sans_VGE[[#This Row],[date_modif]],
      "Ancien",
      "Modifié"),
   "Nouveau")),"")</f>
        <v/>
      </c>
    </row>
    <row r="4715" spans="24:30" x14ac:dyDescent="0.25">
      <c r="X4715" s="8" t="e">
        <f>IF(Final_Sans_VGE[[#This Row],[ppn_z]]="","",IFERROR(
   IF(_xlfn.XLOOKUP(Final_Sans_VGE[[#This Row],[ppn_z]],tbl_Historique_Final[ppn_z],tbl_Historique_Final[date_modif])=Final_Sans_VGE[[#This Row],[date_modif]],
      "Ancien",
      "Modifié"),
   "Nouveau"))</f>
        <v>#VALUE!</v>
      </c>
      <c r="AD4715" s="1" t="str">
        <f>IFERROR(IF(Final_Sans_VGE[[#This Row],[ppn_z]]="","",IFERROR(
   IF(_xlfn.XLOOKUP(Final_Sans_VGE[[#This Row],[ppn_z]],tbl_Historique_Final[[#This Row],[ppn_z]],tbl_Historique_Final[[#This Row],[date_modif]])=Final_Sans_VGE[[#This Row],[date_modif]],
      "Ancien",
      "Modifié"),
   "Nouveau")),"")</f>
        <v/>
      </c>
    </row>
    <row r="4716" spans="24:30" x14ac:dyDescent="0.25">
      <c r="X4716" s="8" t="e">
        <f>IF(Final_Sans_VGE[[#This Row],[ppn_z]]="","",IFERROR(
   IF(_xlfn.XLOOKUP(Final_Sans_VGE[[#This Row],[ppn_z]],tbl_Historique_Final[ppn_z],tbl_Historique_Final[date_modif])=Final_Sans_VGE[[#This Row],[date_modif]],
      "Ancien",
      "Modifié"),
   "Nouveau"))</f>
        <v>#VALUE!</v>
      </c>
      <c r="AD4716" s="1" t="str">
        <f>IFERROR(IF(Final_Sans_VGE[[#This Row],[ppn_z]]="","",IFERROR(
   IF(_xlfn.XLOOKUP(Final_Sans_VGE[[#This Row],[ppn_z]],tbl_Historique_Final[[#This Row],[ppn_z]],tbl_Historique_Final[[#This Row],[date_modif]])=Final_Sans_VGE[[#This Row],[date_modif]],
      "Ancien",
      "Modifié"),
   "Nouveau")),"")</f>
        <v/>
      </c>
    </row>
    <row r="4717" spans="24:30" x14ac:dyDescent="0.25">
      <c r="X4717" s="8" t="e">
        <f>IF(Final_Sans_VGE[[#This Row],[ppn_z]]="","",IFERROR(
   IF(_xlfn.XLOOKUP(Final_Sans_VGE[[#This Row],[ppn_z]],tbl_Historique_Final[ppn_z],tbl_Historique_Final[date_modif])=Final_Sans_VGE[[#This Row],[date_modif]],
      "Ancien",
      "Modifié"),
   "Nouveau"))</f>
        <v>#VALUE!</v>
      </c>
      <c r="AD4717" s="1" t="str">
        <f>IFERROR(IF(Final_Sans_VGE[[#This Row],[ppn_z]]="","",IFERROR(
   IF(_xlfn.XLOOKUP(Final_Sans_VGE[[#This Row],[ppn_z]],tbl_Historique_Final[[#This Row],[ppn_z]],tbl_Historique_Final[[#This Row],[date_modif]])=Final_Sans_VGE[[#This Row],[date_modif]],
      "Ancien",
      "Modifié"),
   "Nouveau")),"")</f>
        <v/>
      </c>
    </row>
    <row r="4718" spans="24:30" x14ac:dyDescent="0.25">
      <c r="X4718" s="8" t="e">
        <f>IF(Final_Sans_VGE[[#This Row],[ppn_z]]="","",IFERROR(
   IF(_xlfn.XLOOKUP(Final_Sans_VGE[[#This Row],[ppn_z]],tbl_Historique_Final[ppn_z],tbl_Historique_Final[date_modif])=Final_Sans_VGE[[#This Row],[date_modif]],
      "Ancien",
      "Modifié"),
   "Nouveau"))</f>
        <v>#VALUE!</v>
      </c>
      <c r="AD4718" s="1" t="str">
        <f>IFERROR(IF(Final_Sans_VGE[[#This Row],[ppn_z]]="","",IFERROR(
   IF(_xlfn.XLOOKUP(Final_Sans_VGE[[#This Row],[ppn_z]],tbl_Historique_Final[[#This Row],[ppn_z]],tbl_Historique_Final[[#This Row],[date_modif]])=Final_Sans_VGE[[#This Row],[date_modif]],
      "Ancien",
      "Modifié"),
   "Nouveau")),"")</f>
        <v/>
      </c>
    </row>
    <row r="4719" spans="24:30" x14ac:dyDescent="0.25">
      <c r="X4719" s="8" t="e">
        <f>IF(Final_Sans_VGE[[#This Row],[ppn_z]]="","",IFERROR(
   IF(_xlfn.XLOOKUP(Final_Sans_VGE[[#This Row],[ppn_z]],tbl_Historique_Final[ppn_z],tbl_Historique_Final[date_modif])=Final_Sans_VGE[[#This Row],[date_modif]],
      "Ancien",
      "Modifié"),
   "Nouveau"))</f>
        <v>#VALUE!</v>
      </c>
      <c r="AD4719" s="1" t="str">
        <f>IFERROR(IF(Final_Sans_VGE[[#This Row],[ppn_z]]="","",IFERROR(
   IF(_xlfn.XLOOKUP(Final_Sans_VGE[[#This Row],[ppn_z]],tbl_Historique_Final[[#This Row],[ppn_z]],tbl_Historique_Final[[#This Row],[date_modif]])=Final_Sans_VGE[[#This Row],[date_modif]],
      "Ancien",
      "Modifié"),
   "Nouveau")),"")</f>
        <v/>
      </c>
    </row>
    <row r="4720" spans="24:30" x14ac:dyDescent="0.25">
      <c r="X4720" s="8" t="e">
        <f>IF(Final_Sans_VGE[[#This Row],[ppn_z]]="","",IFERROR(
   IF(_xlfn.XLOOKUP(Final_Sans_VGE[[#This Row],[ppn_z]],tbl_Historique_Final[ppn_z],tbl_Historique_Final[date_modif])=Final_Sans_VGE[[#This Row],[date_modif]],
      "Ancien",
      "Modifié"),
   "Nouveau"))</f>
        <v>#VALUE!</v>
      </c>
      <c r="AD4720" s="1" t="str">
        <f>IFERROR(IF(Final_Sans_VGE[[#This Row],[ppn_z]]="","",IFERROR(
   IF(_xlfn.XLOOKUP(Final_Sans_VGE[[#This Row],[ppn_z]],tbl_Historique_Final[[#This Row],[ppn_z]],tbl_Historique_Final[[#This Row],[date_modif]])=Final_Sans_VGE[[#This Row],[date_modif]],
      "Ancien",
      "Modifié"),
   "Nouveau")),"")</f>
        <v/>
      </c>
    </row>
    <row r="4721" spans="24:30" x14ac:dyDescent="0.25">
      <c r="X4721" s="8" t="e">
        <f>IF(Final_Sans_VGE[[#This Row],[ppn_z]]="","",IFERROR(
   IF(_xlfn.XLOOKUP(Final_Sans_VGE[[#This Row],[ppn_z]],tbl_Historique_Final[ppn_z],tbl_Historique_Final[date_modif])=Final_Sans_VGE[[#This Row],[date_modif]],
      "Ancien",
      "Modifié"),
   "Nouveau"))</f>
        <v>#VALUE!</v>
      </c>
      <c r="AD4721" s="1" t="str">
        <f>IFERROR(IF(Final_Sans_VGE[[#This Row],[ppn_z]]="","",IFERROR(
   IF(_xlfn.XLOOKUP(Final_Sans_VGE[[#This Row],[ppn_z]],tbl_Historique_Final[[#This Row],[ppn_z]],tbl_Historique_Final[[#This Row],[date_modif]])=Final_Sans_VGE[[#This Row],[date_modif]],
      "Ancien",
      "Modifié"),
   "Nouveau")),"")</f>
        <v/>
      </c>
    </row>
    <row r="4722" spans="24:30" x14ac:dyDescent="0.25">
      <c r="X4722" s="8" t="e">
        <f>IF(Final_Sans_VGE[[#This Row],[ppn_z]]="","",IFERROR(
   IF(_xlfn.XLOOKUP(Final_Sans_VGE[[#This Row],[ppn_z]],tbl_Historique_Final[ppn_z],tbl_Historique_Final[date_modif])=Final_Sans_VGE[[#This Row],[date_modif]],
      "Ancien",
      "Modifié"),
   "Nouveau"))</f>
        <v>#VALUE!</v>
      </c>
      <c r="AD4722" s="1" t="str">
        <f>IFERROR(IF(Final_Sans_VGE[[#This Row],[ppn_z]]="","",IFERROR(
   IF(_xlfn.XLOOKUP(Final_Sans_VGE[[#This Row],[ppn_z]],tbl_Historique_Final[[#This Row],[ppn_z]],tbl_Historique_Final[[#This Row],[date_modif]])=Final_Sans_VGE[[#This Row],[date_modif]],
      "Ancien",
      "Modifié"),
   "Nouveau")),"")</f>
        <v/>
      </c>
    </row>
    <row r="4723" spans="24:30" x14ac:dyDescent="0.25">
      <c r="X4723" s="8" t="e">
        <f>IF(Final_Sans_VGE[[#This Row],[ppn_z]]="","",IFERROR(
   IF(_xlfn.XLOOKUP(Final_Sans_VGE[[#This Row],[ppn_z]],tbl_Historique_Final[ppn_z],tbl_Historique_Final[date_modif])=Final_Sans_VGE[[#This Row],[date_modif]],
      "Ancien",
      "Modifié"),
   "Nouveau"))</f>
        <v>#VALUE!</v>
      </c>
      <c r="AD4723" s="1" t="str">
        <f>IFERROR(IF(Final_Sans_VGE[[#This Row],[ppn_z]]="","",IFERROR(
   IF(_xlfn.XLOOKUP(Final_Sans_VGE[[#This Row],[ppn_z]],tbl_Historique_Final[[#This Row],[ppn_z]],tbl_Historique_Final[[#This Row],[date_modif]])=Final_Sans_VGE[[#This Row],[date_modif]],
      "Ancien",
      "Modifié"),
   "Nouveau")),"")</f>
        <v/>
      </c>
    </row>
    <row r="4724" spans="24:30" x14ac:dyDescent="0.25">
      <c r="X4724" s="8" t="e">
        <f>IF(Final_Sans_VGE[[#This Row],[ppn_z]]="","",IFERROR(
   IF(_xlfn.XLOOKUP(Final_Sans_VGE[[#This Row],[ppn_z]],tbl_Historique_Final[ppn_z],tbl_Historique_Final[date_modif])=Final_Sans_VGE[[#This Row],[date_modif]],
      "Ancien",
      "Modifié"),
   "Nouveau"))</f>
        <v>#VALUE!</v>
      </c>
      <c r="AD4724" s="1" t="str">
        <f>IFERROR(IF(Final_Sans_VGE[[#This Row],[ppn_z]]="","",IFERROR(
   IF(_xlfn.XLOOKUP(Final_Sans_VGE[[#This Row],[ppn_z]],tbl_Historique_Final[[#This Row],[ppn_z]],tbl_Historique_Final[[#This Row],[date_modif]])=Final_Sans_VGE[[#This Row],[date_modif]],
      "Ancien",
      "Modifié"),
   "Nouveau")),"")</f>
        <v/>
      </c>
    </row>
    <row r="4725" spans="24:30" x14ac:dyDescent="0.25">
      <c r="X4725" s="8" t="e">
        <f>IF(Final_Sans_VGE[[#This Row],[ppn_z]]="","",IFERROR(
   IF(_xlfn.XLOOKUP(Final_Sans_VGE[[#This Row],[ppn_z]],tbl_Historique_Final[ppn_z],tbl_Historique_Final[date_modif])=Final_Sans_VGE[[#This Row],[date_modif]],
      "Ancien",
      "Modifié"),
   "Nouveau"))</f>
        <v>#VALUE!</v>
      </c>
      <c r="AD4725" s="1" t="str">
        <f>IFERROR(IF(Final_Sans_VGE[[#This Row],[ppn_z]]="","",IFERROR(
   IF(_xlfn.XLOOKUP(Final_Sans_VGE[[#This Row],[ppn_z]],tbl_Historique_Final[[#This Row],[ppn_z]],tbl_Historique_Final[[#This Row],[date_modif]])=Final_Sans_VGE[[#This Row],[date_modif]],
      "Ancien",
      "Modifié"),
   "Nouveau")),"")</f>
        <v/>
      </c>
    </row>
    <row r="4726" spans="24:30" x14ac:dyDescent="0.25">
      <c r="X4726" s="8" t="e">
        <f>IF(Final_Sans_VGE[[#This Row],[ppn_z]]="","",IFERROR(
   IF(_xlfn.XLOOKUP(Final_Sans_VGE[[#This Row],[ppn_z]],tbl_Historique_Final[ppn_z],tbl_Historique_Final[date_modif])=Final_Sans_VGE[[#This Row],[date_modif]],
      "Ancien",
      "Modifié"),
   "Nouveau"))</f>
        <v>#VALUE!</v>
      </c>
      <c r="AD4726" s="1" t="str">
        <f>IFERROR(IF(Final_Sans_VGE[[#This Row],[ppn_z]]="","",IFERROR(
   IF(_xlfn.XLOOKUP(Final_Sans_VGE[[#This Row],[ppn_z]],tbl_Historique_Final[[#This Row],[ppn_z]],tbl_Historique_Final[[#This Row],[date_modif]])=Final_Sans_VGE[[#This Row],[date_modif]],
      "Ancien",
      "Modifié"),
   "Nouveau")),"")</f>
        <v/>
      </c>
    </row>
    <row r="4727" spans="24:30" x14ac:dyDescent="0.25">
      <c r="X4727" s="8" t="e">
        <f>IF(Final_Sans_VGE[[#This Row],[ppn_z]]="","",IFERROR(
   IF(_xlfn.XLOOKUP(Final_Sans_VGE[[#This Row],[ppn_z]],tbl_Historique_Final[ppn_z],tbl_Historique_Final[date_modif])=Final_Sans_VGE[[#This Row],[date_modif]],
      "Ancien",
      "Modifié"),
   "Nouveau"))</f>
        <v>#VALUE!</v>
      </c>
      <c r="AD4727" s="1" t="str">
        <f>IFERROR(IF(Final_Sans_VGE[[#This Row],[ppn_z]]="","",IFERROR(
   IF(_xlfn.XLOOKUP(Final_Sans_VGE[[#This Row],[ppn_z]],tbl_Historique_Final[[#This Row],[ppn_z]],tbl_Historique_Final[[#This Row],[date_modif]])=Final_Sans_VGE[[#This Row],[date_modif]],
      "Ancien",
      "Modifié"),
   "Nouveau")),"")</f>
        <v/>
      </c>
    </row>
    <row r="4728" spans="24:30" x14ac:dyDescent="0.25">
      <c r="X4728" s="8" t="e">
        <f>IF(Final_Sans_VGE[[#This Row],[ppn_z]]="","",IFERROR(
   IF(_xlfn.XLOOKUP(Final_Sans_VGE[[#This Row],[ppn_z]],tbl_Historique_Final[ppn_z],tbl_Historique_Final[date_modif])=Final_Sans_VGE[[#This Row],[date_modif]],
      "Ancien",
      "Modifié"),
   "Nouveau"))</f>
        <v>#VALUE!</v>
      </c>
      <c r="AD4728" s="1" t="str">
        <f>IFERROR(IF(Final_Sans_VGE[[#This Row],[ppn_z]]="","",IFERROR(
   IF(_xlfn.XLOOKUP(Final_Sans_VGE[[#This Row],[ppn_z]],tbl_Historique_Final[[#This Row],[ppn_z]],tbl_Historique_Final[[#This Row],[date_modif]])=Final_Sans_VGE[[#This Row],[date_modif]],
      "Ancien",
      "Modifié"),
   "Nouveau")),"")</f>
        <v/>
      </c>
    </row>
    <row r="4729" spans="24:30" x14ac:dyDescent="0.25">
      <c r="X4729" s="8" t="e">
        <f>IF(Final_Sans_VGE[[#This Row],[ppn_z]]="","",IFERROR(
   IF(_xlfn.XLOOKUP(Final_Sans_VGE[[#This Row],[ppn_z]],tbl_Historique_Final[ppn_z],tbl_Historique_Final[date_modif])=Final_Sans_VGE[[#This Row],[date_modif]],
      "Ancien",
      "Modifié"),
   "Nouveau"))</f>
        <v>#VALUE!</v>
      </c>
      <c r="AD4729" s="1" t="str">
        <f>IFERROR(IF(Final_Sans_VGE[[#This Row],[ppn_z]]="","",IFERROR(
   IF(_xlfn.XLOOKUP(Final_Sans_VGE[[#This Row],[ppn_z]],tbl_Historique_Final[[#This Row],[ppn_z]],tbl_Historique_Final[[#This Row],[date_modif]])=Final_Sans_VGE[[#This Row],[date_modif]],
      "Ancien",
      "Modifié"),
   "Nouveau")),"")</f>
        <v/>
      </c>
    </row>
    <row r="4730" spans="24:30" x14ac:dyDescent="0.25">
      <c r="X4730" s="8" t="e">
        <f>IF(Final_Sans_VGE[[#This Row],[ppn_z]]="","",IFERROR(
   IF(_xlfn.XLOOKUP(Final_Sans_VGE[[#This Row],[ppn_z]],tbl_Historique_Final[ppn_z],tbl_Historique_Final[date_modif])=Final_Sans_VGE[[#This Row],[date_modif]],
      "Ancien",
      "Modifié"),
   "Nouveau"))</f>
        <v>#VALUE!</v>
      </c>
      <c r="AD4730" s="1" t="str">
        <f>IFERROR(IF(Final_Sans_VGE[[#This Row],[ppn_z]]="","",IFERROR(
   IF(_xlfn.XLOOKUP(Final_Sans_VGE[[#This Row],[ppn_z]],tbl_Historique_Final[[#This Row],[ppn_z]],tbl_Historique_Final[[#This Row],[date_modif]])=Final_Sans_VGE[[#This Row],[date_modif]],
      "Ancien",
      "Modifié"),
   "Nouveau")),"")</f>
        <v/>
      </c>
    </row>
    <row r="4731" spans="24:30" x14ac:dyDescent="0.25">
      <c r="X4731" s="8" t="e">
        <f>IF(Final_Sans_VGE[[#This Row],[ppn_z]]="","",IFERROR(
   IF(_xlfn.XLOOKUP(Final_Sans_VGE[[#This Row],[ppn_z]],tbl_Historique_Final[ppn_z],tbl_Historique_Final[date_modif])=Final_Sans_VGE[[#This Row],[date_modif]],
      "Ancien",
      "Modifié"),
   "Nouveau"))</f>
        <v>#VALUE!</v>
      </c>
      <c r="AD4731" s="1" t="str">
        <f>IFERROR(IF(Final_Sans_VGE[[#This Row],[ppn_z]]="","",IFERROR(
   IF(_xlfn.XLOOKUP(Final_Sans_VGE[[#This Row],[ppn_z]],tbl_Historique_Final[[#This Row],[ppn_z]],tbl_Historique_Final[[#This Row],[date_modif]])=Final_Sans_VGE[[#This Row],[date_modif]],
      "Ancien",
      "Modifié"),
   "Nouveau")),"")</f>
        <v/>
      </c>
    </row>
    <row r="4732" spans="24:30" x14ac:dyDescent="0.25">
      <c r="X4732" s="8" t="e">
        <f>IF(Final_Sans_VGE[[#This Row],[ppn_z]]="","",IFERROR(
   IF(_xlfn.XLOOKUP(Final_Sans_VGE[[#This Row],[ppn_z]],tbl_Historique_Final[ppn_z],tbl_Historique_Final[date_modif])=Final_Sans_VGE[[#This Row],[date_modif]],
      "Ancien",
      "Modifié"),
   "Nouveau"))</f>
        <v>#VALUE!</v>
      </c>
      <c r="AD4732" s="1" t="str">
        <f>IFERROR(IF(Final_Sans_VGE[[#This Row],[ppn_z]]="","",IFERROR(
   IF(_xlfn.XLOOKUP(Final_Sans_VGE[[#This Row],[ppn_z]],tbl_Historique_Final[[#This Row],[ppn_z]],tbl_Historique_Final[[#This Row],[date_modif]])=Final_Sans_VGE[[#This Row],[date_modif]],
      "Ancien",
      "Modifié"),
   "Nouveau")),"")</f>
        <v/>
      </c>
    </row>
    <row r="4733" spans="24:30" x14ac:dyDescent="0.25">
      <c r="X4733" s="8" t="e">
        <f>IF(Final_Sans_VGE[[#This Row],[ppn_z]]="","",IFERROR(
   IF(_xlfn.XLOOKUP(Final_Sans_VGE[[#This Row],[ppn_z]],tbl_Historique_Final[ppn_z],tbl_Historique_Final[date_modif])=Final_Sans_VGE[[#This Row],[date_modif]],
      "Ancien",
      "Modifié"),
   "Nouveau"))</f>
        <v>#VALUE!</v>
      </c>
      <c r="AD4733" s="1" t="str">
        <f>IFERROR(IF(Final_Sans_VGE[[#This Row],[ppn_z]]="","",IFERROR(
   IF(_xlfn.XLOOKUP(Final_Sans_VGE[[#This Row],[ppn_z]],tbl_Historique_Final[[#This Row],[ppn_z]],tbl_Historique_Final[[#This Row],[date_modif]])=Final_Sans_VGE[[#This Row],[date_modif]],
      "Ancien",
      "Modifié"),
   "Nouveau")),"")</f>
        <v/>
      </c>
    </row>
    <row r="4734" spans="24:30" x14ac:dyDescent="0.25">
      <c r="X4734" s="8" t="e">
        <f>IF(Final_Sans_VGE[[#This Row],[ppn_z]]="","",IFERROR(
   IF(_xlfn.XLOOKUP(Final_Sans_VGE[[#This Row],[ppn_z]],tbl_Historique_Final[ppn_z],tbl_Historique_Final[date_modif])=Final_Sans_VGE[[#This Row],[date_modif]],
      "Ancien",
      "Modifié"),
   "Nouveau"))</f>
        <v>#VALUE!</v>
      </c>
      <c r="AD4734" s="1" t="str">
        <f>IFERROR(IF(Final_Sans_VGE[[#This Row],[ppn_z]]="","",IFERROR(
   IF(_xlfn.XLOOKUP(Final_Sans_VGE[[#This Row],[ppn_z]],tbl_Historique_Final[[#This Row],[ppn_z]],tbl_Historique_Final[[#This Row],[date_modif]])=Final_Sans_VGE[[#This Row],[date_modif]],
      "Ancien",
      "Modifié"),
   "Nouveau")),"")</f>
        <v/>
      </c>
    </row>
    <row r="4735" spans="24:30" x14ac:dyDescent="0.25">
      <c r="X4735" s="8" t="e">
        <f>IF(Final_Sans_VGE[[#This Row],[ppn_z]]="","",IFERROR(
   IF(_xlfn.XLOOKUP(Final_Sans_VGE[[#This Row],[ppn_z]],tbl_Historique_Final[ppn_z],tbl_Historique_Final[date_modif])=Final_Sans_VGE[[#This Row],[date_modif]],
      "Ancien",
      "Modifié"),
   "Nouveau"))</f>
        <v>#VALUE!</v>
      </c>
      <c r="AD4735" s="1" t="str">
        <f>IFERROR(IF(Final_Sans_VGE[[#This Row],[ppn_z]]="","",IFERROR(
   IF(_xlfn.XLOOKUP(Final_Sans_VGE[[#This Row],[ppn_z]],tbl_Historique_Final[[#This Row],[ppn_z]],tbl_Historique_Final[[#This Row],[date_modif]])=Final_Sans_VGE[[#This Row],[date_modif]],
      "Ancien",
      "Modifié"),
   "Nouveau")),"")</f>
        <v/>
      </c>
    </row>
    <row r="4736" spans="24:30" x14ac:dyDescent="0.25">
      <c r="X4736" s="8" t="e">
        <f>IF(Final_Sans_VGE[[#This Row],[ppn_z]]="","",IFERROR(
   IF(_xlfn.XLOOKUP(Final_Sans_VGE[[#This Row],[ppn_z]],tbl_Historique_Final[ppn_z],tbl_Historique_Final[date_modif])=Final_Sans_VGE[[#This Row],[date_modif]],
      "Ancien",
      "Modifié"),
   "Nouveau"))</f>
        <v>#VALUE!</v>
      </c>
      <c r="AD4736" s="1" t="str">
        <f>IFERROR(IF(Final_Sans_VGE[[#This Row],[ppn_z]]="","",IFERROR(
   IF(_xlfn.XLOOKUP(Final_Sans_VGE[[#This Row],[ppn_z]],tbl_Historique_Final[[#This Row],[ppn_z]],tbl_Historique_Final[[#This Row],[date_modif]])=Final_Sans_VGE[[#This Row],[date_modif]],
      "Ancien",
      "Modifié"),
   "Nouveau")),"")</f>
        <v/>
      </c>
    </row>
    <row r="4737" spans="24:30" x14ac:dyDescent="0.25">
      <c r="X4737" s="8" t="e">
        <f>IF(Final_Sans_VGE[[#This Row],[ppn_z]]="","",IFERROR(
   IF(_xlfn.XLOOKUP(Final_Sans_VGE[[#This Row],[ppn_z]],tbl_Historique_Final[ppn_z],tbl_Historique_Final[date_modif])=Final_Sans_VGE[[#This Row],[date_modif]],
      "Ancien",
      "Modifié"),
   "Nouveau"))</f>
        <v>#VALUE!</v>
      </c>
      <c r="AD4737" s="1" t="str">
        <f>IFERROR(IF(Final_Sans_VGE[[#This Row],[ppn_z]]="","",IFERROR(
   IF(_xlfn.XLOOKUP(Final_Sans_VGE[[#This Row],[ppn_z]],tbl_Historique_Final[[#This Row],[ppn_z]],tbl_Historique_Final[[#This Row],[date_modif]])=Final_Sans_VGE[[#This Row],[date_modif]],
      "Ancien",
      "Modifié"),
   "Nouveau")),"")</f>
        <v/>
      </c>
    </row>
    <row r="4738" spans="24:30" x14ac:dyDescent="0.25">
      <c r="X4738" s="8" t="e">
        <f>IF(Final_Sans_VGE[[#This Row],[ppn_z]]="","",IFERROR(
   IF(_xlfn.XLOOKUP(Final_Sans_VGE[[#This Row],[ppn_z]],tbl_Historique_Final[ppn_z],tbl_Historique_Final[date_modif])=Final_Sans_VGE[[#This Row],[date_modif]],
      "Ancien",
      "Modifié"),
   "Nouveau"))</f>
        <v>#VALUE!</v>
      </c>
      <c r="AD4738" s="1" t="str">
        <f>IFERROR(IF(Final_Sans_VGE[[#This Row],[ppn_z]]="","",IFERROR(
   IF(_xlfn.XLOOKUP(Final_Sans_VGE[[#This Row],[ppn_z]],tbl_Historique_Final[[#This Row],[ppn_z]],tbl_Historique_Final[[#This Row],[date_modif]])=Final_Sans_VGE[[#This Row],[date_modif]],
      "Ancien",
      "Modifié"),
   "Nouveau")),"")</f>
        <v/>
      </c>
    </row>
    <row r="4739" spans="24:30" x14ac:dyDescent="0.25">
      <c r="X4739" s="8" t="e">
        <f>IF(Final_Sans_VGE[[#This Row],[ppn_z]]="","",IFERROR(
   IF(_xlfn.XLOOKUP(Final_Sans_VGE[[#This Row],[ppn_z]],tbl_Historique_Final[ppn_z],tbl_Historique_Final[date_modif])=Final_Sans_VGE[[#This Row],[date_modif]],
      "Ancien",
      "Modifié"),
   "Nouveau"))</f>
        <v>#VALUE!</v>
      </c>
      <c r="AD4739" s="1" t="str">
        <f>IFERROR(IF(Final_Sans_VGE[[#This Row],[ppn_z]]="","",IFERROR(
   IF(_xlfn.XLOOKUP(Final_Sans_VGE[[#This Row],[ppn_z]],tbl_Historique_Final[[#This Row],[ppn_z]],tbl_Historique_Final[[#This Row],[date_modif]])=Final_Sans_VGE[[#This Row],[date_modif]],
      "Ancien",
      "Modifié"),
   "Nouveau")),"")</f>
        <v/>
      </c>
    </row>
    <row r="4740" spans="24:30" x14ac:dyDescent="0.25">
      <c r="X4740" s="8" t="e">
        <f>IF(Final_Sans_VGE[[#This Row],[ppn_z]]="","",IFERROR(
   IF(_xlfn.XLOOKUP(Final_Sans_VGE[[#This Row],[ppn_z]],tbl_Historique_Final[ppn_z],tbl_Historique_Final[date_modif])=Final_Sans_VGE[[#This Row],[date_modif]],
      "Ancien",
      "Modifié"),
   "Nouveau"))</f>
        <v>#VALUE!</v>
      </c>
      <c r="AD4740" s="1" t="str">
        <f>IFERROR(IF(Final_Sans_VGE[[#This Row],[ppn_z]]="","",IFERROR(
   IF(_xlfn.XLOOKUP(Final_Sans_VGE[[#This Row],[ppn_z]],tbl_Historique_Final[[#This Row],[ppn_z]],tbl_Historique_Final[[#This Row],[date_modif]])=Final_Sans_VGE[[#This Row],[date_modif]],
      "Ancien",
      "Modifié"),
   "Nouveau")),"")</f>
        <v/>
      </c>
    </row>
    <row r="4741" spans="24:30" x14ac:dyDescent="0.25">
      <c r="X4741" s="8" t="e">
        <f>IF(Final_Sans_VGE[[#This Row],[ppn_z]]="","",IFERROR(
   IF(_xlfn.XLOOKUP(Final_Sans_VGE[[#This Row],[ppn_z]],tbl_Historique_Final[ppn_z],tbl_Historique_Final[date_modif])=Final_Sans_VGE[[#This Row],[date_modif]],
      "Ancien",
      "Modifié"),
   "Nouveau"))</f>
        <v>#VALUE!</v>
      </c>
      <c r="AD4741" s="1" t="str">
        <f>IFERROR(IF(Final_Sans_VGE[[#This Row],[ppn_z]]="","",IFERROR(
   IF(_xlfn.XLOOKUP(Final_Sans_VGE[[#This Row],[ppn_z]],tbl_Historique_Final[[#This Row],[ppn_z]],tbl_Historique_Final[[#This Row],[date_modif]])=Final_Sans_VGE[[#This Row],[date_modif]],
      "Ancien",
      "Modifié"),
   "Nouveau")),"")</f>
        <v/>
      </c>
    </row>
    <row r="4742" spans="24:30" x14ac:dyDescent="0.25">
      <c r="X4742" s="8" t="e">
        <f>IF(Final_Sans_VGE[[#This Row],[ppn_z]]="","",IFERROR(
   IF(_xlfn.XLOOKUP(Final_Sans_VGE[[#This Row],[ppn_z]],tbl_Historique_Final[ppn_z],tbl_Historique_Final[date_modif])=Final_Sans_VGE[[#This Row],[date_modif]],
      "Ancien",
      "Modifié"),
   "Nouveau"))</f>
        <v>#VALUE!</v>
      </c>
      <c r="AD4742" s="1" t="str">
        <f>IFERROR(IF(Final_Sans_VGE[[#This Row],[ppn_z]]="","",IFERROR(
   IF(_xlfn.XLOOKUP(Final_Sans_VGE[[#This Row],[ppn_z]],tbl_Historique_Final[[#This Row],[ppn_z]],tbl_Historique_Final[[#This Row],[date_modif]])=Final_Sans_VGE[[#This Row],[date_modif]],
      "Ancien",
      "Modifié"),
   "Nouveau")),"")</f>
        <v/>
      </c>
    </row>
    <row r="4743" spans="24:30" x14ac:dyDescent="0.25">
      <c r="X4743" s="8" t="e">
        <f>IF(Final_Sans_VGE[[#This Row],[ppn_z]]="","",IFERROR(
   IF(_xlfn.XLOOKUP(Final_Sans_VGE[[#This Row],[ppn_z]],tbl_Historique_Final[ppn_z],tbl_Historique_Final[date_modif])=Final_Sans_VGE[[#This Row],[date_modif]],
      "Ancien",
      "Modifié"),
   "Nouveau"))</f>
        <v>#VALUE!</v>
      </c>
      <c r="AD4743" s="1" t="str">
        <f>IFERROR(IF(Final_Sans_VGE[[#This Row],[ppn_z]]="","",IFERROR(
   IF(_xlfn.XLOOKUP(Final_Sans_VGE[[#This Row],[ppn_z]],tbl_Historique_Final[[#This Row],[ppn_z]],tbl_Historique_Final[[#This Row],[date_modif]])=Final_Sans_VGE[[#This Row],[date_modif]],
      "Ancien",
      "Modifié"),
   "Nouveau")),"")</f>
        <v/>
      </c>
    </row>
    <row r="4744" spans="24:30" x14ac:dyDescent="0.25">
      <c r="X4744" s="8" t="e">
        <f>IF(Final_Sans_VGE[[#This Row],[ppn_z]]="","",IFERROR(
   IF(_xlfn.XLOOKUP(Final_Sans_VGE[[#This Row],[ppn_z]],tbl_Historique_Final[ppn_z],tbl_Historique_Final[date_modif])=Final_Sans_VGE[[#This Row],[date_modif]],
      "Ancien",
      "Modifié"),
   "Nouveau"))</f>
        <v>#VALUE!</v>
      </c>
      <c r="AD4744" s="1" t="str">
        <f>IFERROR(IF(Final_Sans_VGE[[#This Row],[ppn_z]]="","",IFERROR(
   IF(_xlfn.XLOOKUP(Final_Sans_VGE[[#This Row],[ppn_z]],tbl_Historique_Final[[#This Row],[ppn_z]],tbl_Historique_Final[[#This Row],[date_modif]])=Final_Sans_VGE[[#This Row],[date_modif]],
      "Ancien",
      "Modifié"),
   "Nouveau")),"")</f>
        <v/>
      </c>
    </row>
    <row r="4745" spans="24:30" x14ac:dyDescent="0.25">
      <c r="X4745" s="8" t="e">
        <f>IF(Final_Sans_VGE[[#This Row],[ppn_z]]="","",IFERROR(
   IF(_xlfn.XLOOKUP(Final_Sans_VGE[[#This Row],[ppn_z]],tbl_Historique_Final[ppn_z],tbl_Historique_Final[date_modif])=Final_Sans_VGE[[#This Row],[date_modif]],
      "Ancien",
      "Modifié"),
   "Nouveau"))</f>
        <v>#VALUE!</v>
      </c>
      <c r="AD4745" s="1" t="str">
        <f>IFERROR(IF(Final_Sans_VGE[[#This Row],[ppn_z]]="","",IFERROR(
   IF(_xlfn.XLOOKUP(Final_Sans_VGE[[#This Row],[ppn_z]],tbl_Historique_Final[[#This Row],[ppn_z]],tbl_Historique_Final[[#This Row],[date_modif]])=Final_Sans_VGE[[#This Row],[date_modif]],
      "Ancien",
      "Modifié"),
   "Nouveau")),"")</f>
        <v/>
      </c>
    </row>
    <row r="4746" spans="24:30" x14ac:dyDescent="0.25">
      <c r="X4746" s="8" t="e">
        <f>IF(Final_Sans_VGE[[#This Row],[ppn_z]]="","",IFERROR(
   IF(_xlfn.XLOOKUP(Final_Sans_VGE[[#This Row],[ppn_z]],tbl_Historique_Final[ppn_z],tbl_Historique_Final[date_modif])=Final_Sans_VGE[[#This Row],[date_modif]],
      "Ancien",
      "Modifié"),
   "Nouveau"))</f>
        <v>#VALUE!</v>
      </c>
      <c r="AD4746" s="1" t="str">
        <f>IFERROR(IF(Final_Sans_VGE[[#This Row],[ppn_z]]="","",IFERROR(
   IF(_xlfn.XLOOKUP(Final_Sans_VGE[[#This Row],[ppn_z]],tbl_Historique_Final[[#This Row],[ppn_z]],tbl_Historique_Final[[#This Row],[date_modif]])=Final_Sans_VGE[[#This Row],[date_modif]],
      "Ancien",
      "Modifié"),
   "Nouveau")),"")</f>
        <v/>
      </c>
    </row>
    <row r="4747" spans="24:30" x14ac:dyDescent="0.25">
      <c r="X4747" s="8" t="e">
        <f>IF(Final_Sans_VGE[[#This Row],[ppn_z]]="","",IFERROR(
   IF(_xlfn.XLOOKUP(Final_Sans_VGE[[#This Row],[ppn_z]],tbl_Historique_Final[ppn_z],tbl_Historique_Final[date_modif])=Final_Sans_VGE[[#This Row],[date_modif]],
      "Ancien",
      "Modifié"),
   "Nouveau"))</f>
        <v>#VALUE!</v>
      </c>
      <c r="AD4747" s="1" t="str">
        <f>IFERROR(IF(Final_Sans_VGE[[#This Row],[ppn_z]]="","",IFERROR(
   IF(_xlfn.XLOOKUP(Final_Sans_VGE[[#This Row],[ppn_z]],tbl_Historique_Final[[#This Row],[ppn_z]],tbl_Historique_Final[[#This Row],[date_modif]])=Final_Sans_VGE[[#This Row],[date_modif]],
      "Ancien",
      "Modifié"),
   "Nouveau")),"")</f>
        <v/>
      </c>
    </row>
    <row r="4748" spans="24:30" x14ac:dyDescent="0.25">
      <c r="X4748" s="8" t="e">
        <f>IF(Final_Sans_VGE[[#This Row],[ppn_z]]="","",IFERROR(
   IF(_xlfn.XLOOKUP(Final_Sans_VGE[[#This Row],[ppn_z]],tbl_Historique_Final[ppn_z],tbl_Historique_Final[date_modif])=Final_Sans_VGE[[#This Row],[date_modif]],
      "Ancien",
      "Modifié"),
   "Nouveau"))</f>
        <v>#VALUE!</v>
      </c>
      <c r="AD4748" s="1" t="str">
        <f>IFERROR(IF(Final_Sans_VGE[[#This Row],[ppn_z]]="","",IFERROR(
   IF(_xlfn.XLOOKUP(Final_Sans_VGE[[#This Row],[ppn_z]],tbl_Historique_Final[[#This Row],[ppn_z]],tbl_Historique_Final[[#This Row],[date_modif]])=Final_Sans_VGE[[#This Row],[date_modif]],
      "Ancien",
      "Modifié"),
   "Nouveau")),"")</f>
        <v/>
      </c>
    </row>
    <row r="4749" spans="24:30" x14ac:dyDescent="0.25">
      <c r="X4749" s="8" t="e">
        <f>IF(Final_Sans_VGE[[#This Row],[ppn_z]]="","",IFERROR(
   IF(_xlfn.XLOOKUP(Final_Sans_VGE[[#This Row],[ppn_z]],tbl_Historique_Final[ppn_z],tbl_Historique_Final[date_modif])=Final_Sans_VGE[[#This Row],[date_modif]],
      "Ancien",
      "Modifié"),
   "Nouveau"))</f>
        <v>#VALUE!</v>
      </c>
      <c r="AD4749" s="1" t="str">
        <f>IFERROR(IF(Final_Sans_VGE[[#This Row],[ppn_z]]="","",IFERROR(
   IF(_xlfn.XLOOKUP(Final_Sans_VGE[[#This Row],[ppn_z]],tbl_Historique_Final[[#This Row],[ppn_z]],tbl_Historique_Final[[#This Row],[date_modif]])=Final_Sans_VGE[[#This Row],[date_modif]],
      "Ancien",
      "Modifié"),
   "Nouveau")),"")</f>
        <v/>
      </c>
    </row>
    <row r="4750" spans="24:30" x14ac:dyDescent="0.25">
      <c r="X4750" s="8" t="e">
        <f>IF(Final_Sans_VGE[[#This Row],[ppn_z]]="","",IFERROR(
   IF(_xlfn.XLOOKUP(Final_Sans_VGE[[#This Row],[ppn_z]],tbl_Historique_Final[ppn_z],tbl_Historique_Final[date_modif])=Final_Sans_VGE[[#This Row],[date_modif]],
      "Ancien",
      "Modifié"),
   "Nouveau"))</f>
        <v>#VALUE!</v>
      </c>
      <c r="AD4750" s="1" t="str">
        <f>IFERROR(IF(Final_Sans_VGE[[#This Row],[ppn_z]]="","",IFERROR(
   IF(_xlfn.XLOOKUP(Final_Sans_VGE[[#This Row],[ppn_z]],tbl_Historique_Final[[#This Row],[ppn_z]],tbl_Historique_Final[[#This Row],[date_modif]])=Final_Sans_VGE[[#This Row],[date_modif]],
      "Ancien",
      "Modifié"),
   "Nouveau")),"")</f>
        <v/>
      </c>
    </row>
    <row r="4751" spans="24:30" x14ac:dyDescent="0.25">
      <c r="X4751" s="8" t="e">
        <f>IF(Final_Sans_VGE[[#This Row],[ppn_z]]="","",IFERROR(
   IF(_xlfn.XLOOKUP(Final_Sans_VGE[[#This Row],[ppn_z]],tbl_Historique_Final[ppn_z],tbl_Historique_Final[date_modif])=Final_Sans_VGE[[#This Row],[date_modif]],
      "Ancien",
      "Modifié"),
   "Nouveau"))</f>
        <v>#VALUE!</v>
      </c>
      <c r="AD4751" s="1" t="str">
        <f>IFERROR(IF(Final_Sans_VGE[[#This Row],[ppn_z]]="","",IFERROR(
   IF(_xlfn.XLOOKUP(Final_Sans_VGE[[#This Row],[ppn_z]],tbl_Historique_Final[[#This Row],[ppn_z]],tbl_Historique_Final[[#This Row],[date_modif]])=Final_Sans_VGE[[#This Row],[date_modif]],
      "Ancien",
      "Modifié"),
   "Nouveau")),"")</f>
        <v/>
      </c>
    </row>
    <row r="4752" spans="24:30" x14ac:dyDescent="0.25">
      <c r="X4752" s="8" t="e">
        <f>IF(Final_Sans_VGE[[#This Row],[ppn_z]]="","",IFERROR(
   IF(_xlfn.XLOOKUP(Final_Sans_VGE[[#This Row],[ppn_z]],tbl_Historique_Final[ppn_z],tbl_Historique_Final[date_modif])=Final_Sans_VGE[[#This Row],[date_modif]],
      "Ancien",
      "Modifié"),
   "Nouveau"))</f>
        <v>#VALUE!</v>
      </c>
      <c r="AD4752" s="1" t="str">
        <f>IFERROR(IF(Final_Sans_VGE[[#This Row],[ppn_z]]="","",IFERROR(
   IF(_xlfn.XLOOKUP(Final_Sans_VGE[[#This Row],[ppn_z]],tbl_Historique_Final[[#This Row],[ppn_z]],tbl_Historique_Final[[#This Row],[date_modif]])=Final_Sans_VGE[[#This Row],[date_modif]],
      "Ancien",
      "Modifié"),
   "Nouveau")),"")</f>
        <v/>
      </c>
    </row>
    <row r="4753" spans="24:30" x14ac:dyDescent="0.25">
      <c r="X4753" s="8" t="e">
        <f>IF(Final_Sans_VGE[[#This Row],[ppn_z]]="","",IFERROR(
   IF(_xlfn.XLOOKUP(Final_Sans_VGE[[#This Row],[ppn_z]],tbl_Historique_Final[ppn_z],tbl_Historique_Final[date_modif])=Final_Sans_VGE[[#This Row],[date_modif]],
      "Ancien",
      "Modifié"),
   "Nouveau"))</f>
        <v>#VALUE!</v>
      </c>
      <c r="AD4753" s="1" t="str">
        <f>IFERROR(IF(Final_Sans_VGE[[#This Row],[ppn_z]]="","",IFERROR(
   IF(_xlfn.XLOOKUP(Final_Sans_VGE[[#This Row],[ppn_z]],tbl_Historique_Final[[#This Row],[ppn_z]],tbl_Historique_Final[[#This Row],[date_modif]])=Final_Sans_VGE[[#This Row],[date_modif]],
      "Ancien",
      "Modifié"),
   "Nouveau")),"")</f>
        <v/>
      </c>
    </row>
    <row r="4754" spans="24:30" x14ac:dyDescent="0.25">
      <c r="X4754" s="8" t="e">
        <f>IF(Final_Sans_VGE[[#This Row],[ppn_z]]="","",IFERROR(
   IF(_xlfn.XLOOKUP(Final_Sans_VGE[[#This Row],[ppn_z]],tbl_Historique_Final[ppn_z],tbl_Historique_Final[date_modif])=Final_Sans_VGE[[#This Row],[date_modif]],
      "Ancien",
      "Modifié"),
   "Nouveau"))</f>
        <v>#VALUE!</v>
      </c>
      <c r="AD4754" s="1" t="str">
        <f>IFERROR(IF(Final_Sans_VGE[[#This Row],[ppn_z]]="","",IFERROR(
   IF(_xlfn.XLOOKUP(Final_Sans_VGE[[#This Row],[ppn_z]],tbl_Historique_Final[[#This Row],[ppn_z]],tbl_Historique_Final[[#This Row],[date_modif]])=Final_Sans_VGE[[#This Row],[date_modif]],
      "Ancien",
      "Modifié"),
   "Nouveau")),"")</f>
        <v/>
      </c>
    </row>
    <row r="4755" spans="24:30" x14ac:dyDescent="0.25">
      <c r="X4755" s="8" t="e">
        <f>IF(Final_Sans_VGE[[#This Row],[ppn_z]]="","",IFERROR(
   IF(_xlfn.XLOOKUP(Final_Sans_VGE[[#This Row],[ppn_z]],tbl_Historique_Final[ppn_z],tbl_Historique_Final[date_modif])=Final_Sans_VGE[[#This Row],[date_modif]],
      "Ancien",
      "Modifié"),
   "Nouveau"))</f>
        <v>#VALUE!</v>
      </c>
      <c r="AD4755" s="1" t="str">
        <f>IFERROR(IF(Final_Sans_VGE[[#This Row],[ppn_z]]="","",IFERROR(
   IF(_xlfn.XLOOKUP(Final_Sans_VGE[[#This Row],[ppn_z]],tbl_Historique_Final[[#This Row],[ppn_z]],tbl_Historique_Final[[#This Row],[date_modif]])=Final_Sans_VGE[[#This Row],[date_modif]],
      "Ancien",
      "Modifié"),
   "Nouveau")),"")</f>
        <v/>
      </c>
    </row>
    <row r="4756" spans="24:30" x14ac:dyDescent="0.25">
      <c r="X4756" s="8" t="e">
        <f>IF(Final_Sans_VGE[[#This Row],[ppn_z]]="","",IFERROR(
   IF(_xlfn.XLOOKUP(Final_Sans_VGE[[#This Row],[ppn_z]],tbl_Historique_Final[ppn_z],tbl_Historique_Final[date_modif])=Final_Sans_VGE[[#This Row],[date_modif]],
      "Ancien",
      "Modifié"),
   "Nouveau"))</f>
        <v>#VALUE!</v>
      </c>
      <c r="AD4756" s="1" t="str">
        <f>IFERROR(IF(Final_Sans_VGE[[#This Row],[ppn_z]]="","",IFERROR(
   IF(_xlfn.XLOOKUP(Final_Sans_VGE[[#This Row],[ppn_z]],tbl_Historique_Final[[#This Row],[ppn_z]],tbl_Historique_Final[[#This Row],[date_modif]])=Final_Sans_VGE[[#This Row],[date_modif]],
      "Ancien",
      "Modifié"),
   "Nouveau")),"")</f>
        <v/>
      </c>
    </row>
    <row r="4757" spans="24:30" x14ac:dyDescent="0.25">
      <c r="X4757" s="8" t="e">
        <f>IF(Final_Sans_VGE[[#This Row],[ppn_z]]="","",IFERROR(
   IF(_xlfn.XLOOKUP(Final_Sans_VGE[[#This Row],[ppn_z]],tbl_Historique_Final[ppn_z],tbl_Historique_Final[date_modif])=Final_Sans_VGE[[#This Row],[date_modif]],
      "Ancien",
      "Modifié"),
   "Nouveau"))</f>
        <v>#VALUE!</v>
      </c>
      <c r="AD4757" s="1" t="str">
        <f>IFERROR(IF(Final_Sans_VGE[[#This Row],[ppn_z]]="","",IFERROR(
   IF(_xlfn.XLOOKUP(Final_Sans_VGE[[#This Row],[ppn_z]],tbl_Historique_Final[[#This Row],[ppn_z]],tbl_Historique_Final[[#This Row],[date_modif]])=Final_Sans_VGE[[#This Row],[date_modif]],
      "Ancien",
      "Modifié"),
   "Nouveau")),"")</f>
        <v/>
      </c>
    </row>
    <row r="4758" spans="24:30" x14ac:dyDescent="0.25">
      <c r="X4758" s="8" t="e">
        <f>IF(Final_Sans_VGE[[#This Row],[ppn_z]]="","",IFERROR(
   IF(_xlfn.XLOOKUP(Final_Sans_VGE[[#This Row],[ppn_z]],tbl_Historique_Final[ppn_z],tbl_Historique_Final[date_modif])=Final_Sans_VGE[[#This Row],[date_modif]],
      "Ancien",
      "Modifié"),
   "Nouveau"))</f>
        <v>#VALUE!</v>
      </c>
      <c r="AD4758" s="1" t="str">
        <f>IFERROR(IF(Final_Sans_VGE[[#This Row],[ppn_z]]="","",IFERROR(
   IF(_xlfn.XLOOKUP(Final_Sans_VGE[[#This Row],[ppn_z]],tbl_Historique_Final[[#This Row],[ppn_z]],tbl_Historique_Final[[#This Row],[date_modif]])=Final_Sans_VGE[[#This Row],[date_modif]],
      "Ancien",
      "Modifié"),
   "Nouveau")),"")</f>
        <v/>
      </c>
    </row>
    <row r="4759" spans="24:30" x14ac:dyDescent="0.25">
      <c r="X4759" s="8" t="e">
        <f>IF(Final_Sans_VGE[[#This Row],[ppn_z]]="","",IFERROR(
   IF(_xlfn.XLOOKUP(Final_Sans_VGE[[#This Row],[ppn_z]],tbl_Historique_Final[ppn_z],tbl_Historique_Final[date_modif])=Final_Sans_VGE[[#This Row],[date_modif]],
      "Ancien",
      "Modifié"),
   "Nouveau"))</f>
        <v>#VALUE!</v>
      </c>
      <c r="AD4759" s="1" t="str">
        <f>IFERROR(IF(Final_Sans_VGE[[#This Row],[ppn_z]]="","",IFERROR(
   IF(_xlfn.XLOOKUP(Final_Sans_VGE[[#This Row],[ppn_z]],tbl_Historique_Final[[#This Row],[ppn_z]],tbl_Historique_Final[[#This Row],[date_modif]])=Final_Sans_VGE[[#This Row],[date_modif]],
      "Ancien",
      "Modifié"),
   "Nouveau")),"")</f>
        <v/>
      </c>
    </row>
    <row r="4760" spans="24:30" x14ac:dyDescent="0.25">
      <c r="X4760" s="8" t="e">
        <f>IF(Final_Sans_VGE[[#This Row],[ppn_z]]="","",IFERROR(
   IF(_xlfn.XLOOKUP(Final_Sans_VGE[[#This Row],[ppn_z]],tbl_Historique_Final[ppn_z],tbl_Historique_Final[date_modif])=Final_Sans_VGE[[#This Row],[date_modif]],
      "Ancien",
      "Modifié"),
   "Nouveau"))</f>
        <v>#VALUE!</v>
      </c>
      <c r="AD4760" s="1" t="str">
        <f>IFERROR(IF(Final_Sans_VGE[[#This Row],[ppn_z]]="","",IFERROR(
   IF(_xlfn.XLOOKUP(Final_Sans_VGE[[#This Row],[ppn_z]],tbl_Historique_Final[[#This Row],[ppn_z]],tbl_Historique_Final[[#This Row],[date_modif]])=Final_Sans_VGE[[#This Row],[date_modif]],
      "Ancien",
      "Modifié"),
   "Nouveau")),"")</f>
        <v/>
      </c>
    </row>
    <row r="4761" spans="24:30" x14ac:dyDescent="0.25">
      <c r="X4761" s="8" t="e">
        <f>IF(Final_Sans_VGE[[#This Row],[ppn_z]]="","",IFERROR(
   IF(_xlfn.XLOOKUP(Final_Sans_VGE[[#This Row],[ppn_z]],tbl_Historique_Final[ppn_z],tbl_Historique_Final[date_modif])=Final_Sans_VGE[[#This Row],[date_modif]],
      "Ancien",
      "Modifié"),
   "Nouveau"))</f>
        <v>#VALUE!</v>
      </c>
      <c r="AD4761" s="1" t="str">
        <f>IFERROR(IF(Final_Sans_VGE[[#This Row],[ppn_z]]="","",IFERROR(
   IF(_xlfn.XLOOKUP(Final_Sans_VGE[[#This Row],[ppn_z]],tbl_Historique_Final[[#This Row],[ppn_z]],tbl_Historique_Final[[#This Row],[date_modif]])=Final_Sans_VGE[[#This Row],[date_modif]],
      "Ancien",
      "Modifié"),
   "Nouveau")),"")</f>
        <v/>
      </c>
    </row>
    <row r="4762" spans="24:30" x14ac:dyDescent="0.25">
      <c r="X4762" s="8" t="e">
        <f>IF(Final_Sans_VGE[[#This Row],[ppn_z]]="","",IFERROR(
   IF(_xlfn.XLOOKUP(Final_Sans_VGE[[#This Row],[ppn_z]],tbl_Historique_Final[ppn_z],tbl_Historique_Final[date_modif])=Final_Sans_VGE[[#This Row],[date_modif]],
      "Ancien",
      "Modifié"),
   "Nouveau"))</f>
        <v>#VALUE!</v>
      </c>
      <c r="AD4762" s="1" t="str">
        <f>IFERROR(IF(Final_Sans_VGE[[#This Row],[ppn_z]]="","",IFERROR(
   IF(_xlfn.XLOOKUP(Final_Sans_VGE[[#This Row],[ppn_z]],tbl_Historique_Final[[#This Row],[ppn_z]],tbl_Historique_Final[[#This Row],[date_modif]])=Final_Sans_VGE[[#This Row],[date_modif]],
      "Ancien",
      "Modifié"),
   "Nouveau")),"")</f>
        <v/>
      </c>
    </row>
    <row r="4763" spans="24:30" x14ac:dyDescent="0.25">
      <c r="X4763" s="8" t="e">
        <f>IF(Final_Sans_VGE[[#This Row],[ppn_z]]="","",IFERROR(
   IF(_xlfn.XLOOKUP(Final_Sans_VGE[[#This Row],[ppn_z]],tbl_Historique_Final[ppn_z],tbl_Historique_Final[date_modif])=Final_Sans_VGE[[#This Row],[date_modif]],
      "Ancien",
      "Modifié"),
   "Nouveau"))</f>
        <v>#VALUE!</v>
      </c>
      <c r="AD4763" s="1" t="str">
        <f>IFERROR(IF(Final_Sans_VGE[[#This Row],[ppn_z]]="","",IFERROR(
   IF(_xlfn.XLOOKUP(Final_Sans_VGE[[#This Row],[ppn_z]],tbl_Historique_Final[[#This Row],[ppn_z]],tbl_Historique_Final[[#This Row],[date_modif]])=Final_Sans_VGE[[#This Row],[date_modif]],
      "Ancien",
      "Modifié"),
   "Nouveau")),"")</f>
        <v/>
      </c>
    </row>
    <row r="4764" spans="24:30" x14ac:dyDescent="0.25">
      <c r="X4764" s="8" t="e">
        <f>IF(Final_Sans_VGE[[#This Row],[ppn_z]]="","",IFERROR(
   IF(_xlfn.XLOOKUP(Final_Sans_VGE[[#This Row],[ppn_z]],tbl_Historique_Final[ppn_z],tbl_Historique_Final[date_modif])=Final_Sans_VGE[[#This Row],[date_modif]],
      "Ancien",
      "Modifié"),
   "Nouveau"))</f>
        <v>#VALUE!</v>
      </c>
      <c r="AD4764" s="1" t="str">
        <f>IFERROR(IF(Final_Sans_VGE[[#This Row],[ppn_z]]="","",IFERROR(
   IF(_xlfn.XLOOKUP(Final_Sans_VGE[[#This Row],[ppn_z]],tbl_Historique_Final[[#This Row],[ppn_z]],tbl_Historique_Final[[#This Row],[date_modif]])=Final_Sans_VGE[[#This Row],[date_modif]],
      "Ancien",
      "Modifié"),
   "Nouveau")),"")</f>
        <v/>
      </c>
    </row>
    <row r="4765" spans="24:30" x14ac:dyDescent="0.25">
      <c r="X4765" s="8" t="e">
        <f>IF(Final_Sans_VGE[[#This Row],[ppn_z]]="","",IFERROR(
   IF(_xlfn.XLOOKUP(Final_Sans_VGE[[#This Row],[ppn_z]],tbl_Historique_Final[ppn_z],tbl_Historique_Final[date_modif])=Final_Sans_VGE[[#This Row],[date_modif]],
      "Ancien",
      "Modifié"),
   "Nouveau"))</f>
        <v>#VALUE!</v>
      </c>
      <c r="AD4765" s="1" t="str">
        <f>IFERROR(IF(Final_Sans_VGE[[#This Row],[ppn_z]]="","",IFERROR(
   IF(_xlfn.XLOOKUP(Final_Sans_VGE[[#This Row],[ppn_z]],tbl_Historique_Final[[#This Row],[ppn_z]],tbl_Historique_Final[[#This Row],[date_modif]])=Final_Sans_VGE[[#This Row],[date_modif]],
      "Ancien",
      "Modifié"),
   "Nouveau")),"")</f>
        <v/>
      </c>
    </row>
    <row r="4766" spans="24:30" x14ac:dyDescent="0.25">
      <c r="X4766" s="8" t="e">
        <f>IF(Final_Sans_VGE[[#This Row],[ppn_z]]="","",IFERROR(
   IF(_xlfn.XLOOKUP(Final_Sans_VGE[[#This Row],[ppn_z]],tbl_Historique_Final[ppn_z],tbl_Historique_Final[date_modif])=Final_Sans_VGE[[#This Row],[date_modif]],
      "Ancien",
      "Modifié"),
   "Nouveau"))</f>
        <v>#VALUE!</v>
      </c>
      <c r="AD4766" s="1" t="str">
        <f>IFERROR(IF(Final_Sans_VGE[[#This Row],[ppn_z]]="","",IFERROR(
   IF(_xlfn.XLOOKUP(Final_Sans_VGE[[#This Row],[ppn_z]],tbl_Historique_Final[[#This Row],[ppn_z]],tbl_Historique_Final[[#This Row],[date_modif]])=Final_Sans_VGE[[#This Row],[date_modif]],
      "Ancien",
      "Modifié"),
   "Nouveau")),"")</f>
        <v/>
      </c>
    </row>
    <row r="4767" spans="24:30" x14ac:dyDescent="0.25">
      <c r="X4767" s="8" t="e">
        <f>IF(Final_Sans_VGE[[#This Row],[ppn_z]]="","",IFERROR(
   IF(_xlfn.XLOOKUP(Final_Sans_VGE[[#This Row],[ppn_z]],tbl_Historique_Final[ppn_z],tbl_Historique_Final[date_modif])=Final_Sans_VGE[[#This Row],[date_modif]],
      "Ancien",
      "Modifié"),
   "Nouveau"))</f>
        <v>#VALUE!</v>
      </c>
      <c r="AD4767" s="1" t="str">
        <f>IFERROR(IF(Final_Sans_VGE[[#This Row],[ppn_z]]="","",IFERROR(
   IF(_xlfn.XLOOKUP(Final_Sans_VGE[[#This Row],[ppn_z]],tbl_Historique_Final[[#This Row],[ppn_z]],tbl_Historique_Final[[#This Row],[date_modif]])=Final_Sans_VGE[[#This Row],[date_modif]],
      "Ancien",
      "Modifié"),
   "Nouveau")),"")</f>
        <v/>
      </c>
    </row>
    <row r="4768" spans="24:30" x14ac:dyDescent="0.25">
      <c r="X4768" s="8" t="e">
        <f>IF(Final_Sans_VGE[[#This Row],[ppn_z]]="","",IFERROR(
   IF(_xlfn.XLOOKUP(Final_Sans_VGE[[#This Row],[ppn_z]],tbl_Historique_Final[ppn_z],tbl_Historique_Final[date_modif])=Final_Sans_VGE[[#This Row],[date_modif]],
      "Ancien",
      "Modifié"),
   "Nouveau"))</f>
        <v>#VALUE!</v>
      </c>
      <c r="AD4768" s="1" t="str">
        <f>IFERROR(IF(Final_Sans_VGE[[#This Row],[ppn_z]]="","",IFERROR(
   IF(_xlfn.XLOOKUP(Final_Sans_VGE[[#This Row],[ppn_z]],tbl_Historique_Final[[#This Row],[ppn_z]],tbl_Historique_Final[[#This Row],[date_modif]])=Final_Sans_VGE[[#This Row],[date_modif]],
      "Ancien",
      "Modifié"),
   "Nouveau")),"")</f>
        <v/>
      </c>
    </row>
    <row r="4769" spans="24:30" x14ac:dyDescent="0.25">
      <c r="X4769" s="8" t="e">
        <f>IF(Final_Sans_VGE[[#This Row],[ppn_z]]="","",IFERROR(
   IF(_xlfn.XLOOKUP(Final_Sans_VGE[[#This Row],[ppn_z]],tbl_Historique_Final[ppn_z],tbl_Historique_Final[date_modif])=Final_Sans_VGE[[#This Row],[date_modif]],
      "Ancien",
      "Modifié"),
   "Nouveau"))</f>
        <v>#VALUE!</v>
      </c>
      <c r="AD4769" s="1" t="str">
        <f>IFERROR(IF(Final_Sans_VGE[[#This Row],[ppn_z]]="","",IFERROR(
   IF(_xlfn.XLOOKUP(Final_Sans_VGE[[#This Row],[ppn_z]],tbl_Historique_Final[[#This Row],[ppn_z]],tbl_Historique_Final[[#This Row],[date_modif]])=Final_Sans_VGE[[#This Row],[date_modif]],
      "Ancien",
      "Modifié"),
   "Nouveau")),"")</f>
        <v/>
      </c>
    </row>
    <row r="4770" spans="24:30" x14ac:dyDescent="0.25">
      <c r="X4770" s="8" t="e">
        <f>IF(Final_Sans_VGE[[#This Row],[ppn_z]]="","",IFERROR(
   IF(_xlfn.XLOOKUP(Final_Sans_VGE[[#This Row],[ppn_z]],tbl_Historique_Final[ppn_z],tbl_Historique_Final[date_modif])=Final_Sans_VGE[[#This Row],[date_modif]],
      "Ancien",
      "Modifié"),
   "Nouveau"))</f>
        <v>#VALUE!</v>
      </c>
      <c r="AD4770" s="1" t="str">
        <f>IFERROR(IF(Final_Sans_VGE[[#This Row],[ppn_z]]="","",IFERROR(
   IF(_xlfn.XLOOKUP(Final_Sans_VGE[[#This Row],[ppn_z]],tbl_Historique_Final[[#This Row],[ppn_z]],tbl_Historique_Final[[#This Row],[date_modif]])=Final_Sans_VGE[[#This Row],[date_modif]],
      "Ancien",
      "Modifié"),
   "Nouveau")),"")</f>
        <v/>
      </c>
    </row>
    <row r="4771" spans="24:30" x14ac:dyDescent="0.25">
      <c r="X4771" s="8" t="e">
        <f>IF(Final_Sans_VGE[[#This Row],[ppn_z]]="","",IFERROR(
   IF(_xlfn.XLOOKUP(Final_Sans_VGE[[#This Row],[ppn_z]],tbl_Historique_Final[ppn_z],tbl_Historique_Final[date_modif])=Final_Sans_VGE[[#This Row],[date_modif]],
      "Ancien",
      "Modifié"),
   "Nouveau"))</f>
        <v>#VALUE!</v>
      </c>
      <c r="AD4771" s="1" t="str">
        <f>IFERROR(IF(Final_Sans_VGE[[#This Row],[ppn_z]]="","",IFERROR(
   IF(_xlfn.XLOOKUP(Final_Sans_VGE[[#This Row],[ppn_z]],tbl_Historique_Final[[#This Row],[ppn_z]],tbl_Historique_Final[[#This Row],[date_modif]])=Final_Sans_VGE[[#This Row],[date_modif]],
      "Ancien",
      "Modifié"),
   "Nouveau")),"")</f>
        <v/>
      </c>
    </row>
    <row r="4772" spans="24:30" x14ac:dyDescent="0.25">
      <c r="X4772" s="8" t="e">
        <f>IF(Final_Sans_VGE[[#This Row],[ppn_z]]="","",IFERROR(
   IF(_xlfn.XLOOKUP(Final_Sans_VGE[[#This Row],[ppn_z]],tbl_Historique_Final[ppn_z],tbl_Historique_Final[date_modif])=Final_Sans_VGE[[#This Row],[date_modif]],
      "Ancien",
      "Modifié"),
   "Nouveau"))</f>
        <v>#VALUE!</v>
      </c>
      <c r="AD4772" s="1" t="str">
        <f>IFERROR(IF(Final_Sans_VGE[[#This Row],[ppn_z]]="","",IFERROR(
   IF(_xlfn.XLOOKUP(Final_Sans_VGE[[#This Row],[ppn_z]],tbl_Historique_Final[[#This Row],[ppn_z]],tbl_Historique_Final[[#This Row],[date_modif]])=Final_Sans_VGE[[#This Row],[date_modif]],
      "Ancien",
      "Modifié"),
   "Nouveau")),"")</f>
        <v/>
      </c>
    </row>
    <row r="4773" spans="24:30" x14ac:dyDescent="0.25">
      <c r="X4773" s="8" t="e">
        <f>IF(Final_Sans_VGE[[#This Row],[ppn_z]]="","",IFERROR(
   IF(_xlfn.XLOOKUP(Final_Sans_VGE[[#This Row],[ppn_z]],tbl_Historique_Final[ppn_z],tbl_Historique_Final[date_modif])=Final_Sans_VGE[[#This Row],[date_modif]],
      "Ancien",
      "Modifié"),
   "Nouveau"))</f>
        <v>#VALUE!</v>
      </c>
      <c r="AD4773" s="1" t="str">
        <f>IFERROR(IF(Final_Sans_VGE[[#This Row],[ppn_z]]="","",IFERROR(
   IF(_xlfn.XLOOKUP(Final_Sans_VGE[[#This Row],[ppn_z]],tbl_Historique_Final[[#This Row],[ppn_z]],tbl_Historique_Final[[#This Row],[date_modif]])=Final_Sans_VGE[[#This Row],[date_modif]],
      "Ancien",
      "Modifié"),
   "Nouveau")),"")</f>
        <v/>
      </c>
    </row>
    <row r="4774" spans="24:30" x14ac:dyDescent="0.25">
      <c r="X4774" s="8" t="e">
        <f>IF(Final_Sans_VGE[[#This Row],[ppn_z]]="","",IFERROR(
   IF(_xlfn.XLOOKUP(Final_Sans_VGE[[#This Row],[ppn_z]],tbl_Historique_Final[ppn_z],tbl_Historique_Final[date_modif])=Final_Sans_VGE[[#This Row],[date_modif]],
      "Ancien",
      "Modifié"),
   "Nouveau"))</f>
        <v>#VALUE!</v>
      </c>
      <c r="AD4774" s="1" t="str">
        <f>IFERROR(IF(Final_Sans_VGE[[#This Row],[ppn_z]]="","",IFERROR(
   IF(_xlfn.XLOOKUP(Final_Sans_VGE[[#This Row],[ppn_z]],tbl_Historique_Final[[#This Row],[ppn_z]],tbl_Historique_Final[[#This Row],[date_modif]])=Final_Sans_VGE[[#This Row],[date_modif]],
      "Ancien",
      "Modifié"),
   "Nouveau")),"")</f>
        <v/>
      </c>
    </row>
    <row r="4775" spans="24:30" x14ac:dyDescent="0.25">
      <c r="X4775" s="8" t="e">
        <f>IF(Final_Sans_VGE[[#This Row],[ppn_z]]="","",IFERROR(
   IF(_xlfn.XLOOKUP(Final_Sans_VGE[[#This Row],[ppn_z]],tbl_Historique_Final[ppn_z],tbl_Historique_Final[date_modif])=Final_Sans_VGE[[#This Row],[date_modif]],
      "Ancien",
      "Modifié"),
   "Nouveau"))</f>
        <v>#VALUE!</v>
      </c>
      <c r="AD4775" s="1" t="str">
        <f>IFERROR(IF(Final_Sans_VGE[[#This Row],[ppn_z]]="","",IFERROR(
   IF(_xlfn.XLOOKUP(Final_Sans_VGE[[#This Row],[ppn_z]],tbl_Historique_Final[[#This Row],[ppn_z]],tbl_Historique_Final[[#This Row],[date_modif]])=Final_Sans_VGE[[#This Row],[date_modif]],
      "Ancien",
      "Modifié"),
   "Nouveau")),"")</f>
        <v/>
      </c>
    </row>
    <row r="4776" spans="24:30" x14ac:dyDescent="0.25">
      <c r="X4776" s="8" t="e">
        <f>IF(Final_Sans_VGE[[#This Row],[ppn_z]]="","",IFERROR(
   IF(_xlfn.XLOOKUP(Final_Sans_VGE[[#This Row],[ppn_z]],tbl_Historique_Final[ppn_z],tbl_Historique_Final[date_modif])=Final_Sans_VGE[[#This Row],[date_modif]],
      "Ancien",
      "Modifié"),
   "Nouveau"))</f>
        <v>#VALUE!</v>
      </c>
      <c r="AD4776" s="1" t="str">
        <f>IFERROR(IF(Final_Sans_VGE[[#This Row],[ppn_z]]="","",IFERROR(
   IF(_xlfn.XLOOKUP(Final_Sans_VGE[[#This Row],[ppn_z]],tbl_Historique_Final[[#This Row],[ppn_z]],tbl_Historique_Final[[#This Row],[date_modif]])=Final_Sans_VGE[[#This Row],[date_modif]],
      "Ancien",
      "Modifié"),
   "Nouveau")),"")</f>
        <v/>
      </c>
    </row>
    <row r="4777" spans="24:30" x14ac:dyDescent="0.25">
      <c r="X4777" s="8" t="e">
        <f>IF(Final_Sans_VGE[[#This Row],[ppn_z]]="","",IFERROR(
   IF(_xlfn.XLOOKUP(Final_Sans_VGE[[#This Row],[ppn_z]],tbl_Historique_Final[ppn_z],tbl_Historique_Final[date_modif])=Final_Sans_VGE[[#This Row],[date_modif]],
      "Ancien",
      "Modifié"),
   "Nouveau"))</f>
        <v>#VALUE!</v>
      </c>
      <c r="AD4777" s="1" t="str">
        <f>IFERROR(IF(Final_Sans_VGE[[#This Row],[ppn_z]]="","",IFERROR(
   IF(_xlfn.XLOOKUP(Final_Sans_VGE[[#This Row],[ppn_z]],tbl_Historique_Final[[#This Row],[ppn_z]],tbl_Historique_Final[[#This Row],[date_modif]])=Final_Sans_VGE[[#This Row],[date_modif]],
      "Ancien",
      "Modifié"),
   "Nouveau")),"")</f>
        <v/>
      </c>
    </row>
    <row r="4778" spans="24:30" x14ac:dyDescent="0.25">
      <c r="X4778" s="8" t="e">
        <f>IF(Final_Sans_VGE[[#This Row],[ppn_z]]="","",IFERROR(
   IF(_xlfn.XLOOKUP(Final_Sans_VGE[[#This Row],[ppn_z]],tbl_Historique_Final[ppn_z],tbl_Historique_Final[date_modif])=Final_Sans_VGE[[#This Row],[date_modif]],
      "Ancien",
      "Modifié"),
   "Nouveau"))</f>
        <v>#VALUE!</v>
      </c>
      <c r="AD4778" s="1" t="str">
        <f>IFERROR(IF(Final_Sans_VGE[[#This Row],[ppn_z]]="","",IFERROR(
   IF(_xlfn.XLOOKUP(Final_Sans_VGE[[#This Row],[ppn_z]],tbl_Historique_Final[[#This Row],[ppn_z]],tbl_Historique_Final[[#This Row],[date_modif]])=Final_Sans_VGE[[#This Row],[date_modif]],
      "Ancien",
      "Modifié"),
   "Nouveau")),"")</f>
        <v/>
      </c>
    </row>
    <row r="4779" spans="24:30" x14ac:dyDescent="0.25">
      <c r="X4779" s="8" t="e">
        <f>IF(Final_Sans_VGE[[#This Row],[ppn_z]]="","",IFERROR(
   IF(_xlfn.XLOOKUP(Final_Sans_VGE[[#This Row],[ppn_z]],tbl_Historique_Final[ppn_z],tbl_Historique_Final[date_modif])=Final_Sans_VGE[[#This Row],[date_modif]],
      "Ancien",
      "Modifié"),
   "Nouveau"))</f>
        <v>#VALUE!</v>
      </c>
      <c r="AD4779" s="1" t="str">
        <f>IFERROR(IF(Final_Sans_VGE[[#This Row],[ppn_z]]="","",IFERROR(
   IF(_xlfn.XLOOKUP(Final_Sans_VGE[[#This Row],[ppn_z]],tbl_Historique_Final[[#This Row],[ppn_z]],tbl_Historique_Final[[#This Row],[date_modif]])=Final_Sans_VGE[[#This Row],[date_modif]],
      "Ancien",
      "Modifié"),
   "Nouveau")),"")</f>
        <v/>
      </c>
    </row>
    <row r="4780" spans="24:30" x14ac:dyDescent="0.25">
      <c r="X4780" s="8" t="e">
        <f>IF(Final_Sans_VGE[[#This Row],[ppn_z]]="","",IFERROR(
   IF(_xlfn.XLOOKUP(Final_Sans_VGE[[#This Row],[ppn_z]],tbl_Historique_Final[ppn_z],tbl_Historique_Final[date_modif])=Final_Sans_VGE[[#This Row],[date_modif]],
      "Ancien",
      "Modifié"),
   "Nouveau"))</f>
        <v>#VALUE!</v>
      </c>
      <c r="AD4780" s="1" t="str">
        <f>IFERROR(IF(Final_Sans_VGE[[#This Row],[ppn_z]]="","",IFERROR(
   IF(_xlfn.XLOOKUP(Final_Sans_VGE[[#This Row],[ppn_z]],tbl_Historique_Final[[#This Row],[ppn_z]],tbl_Historique_Final[[#This Row],[date_modif]])=Final_Sans_VGE[[#This Row],[date_modif]],
      "Ancien",
      "Modifié"),
   "Nouveau")),"")</f>
        <v/>
      </c>
    </row>
    <row r="4781" spans="24:30" x14ac:dyDescent="0.25">
      <c r="X4781" s="8" t="e">
        <f>IF(Final_Sans_VGE[[#This Row],[ppn_z]]="","",IFERROR(
   IF(_xlfn.XLOOKUP(Final_Sans_VGE[[#This Row],[ppn_z]],tbl_Historique_Final[ppn_z],tbl_Historique_Final[date_modif])=Final_Sans_VGE[[#This Row],[date_modif]],
      "Ancien",
      "Modifié"),
   "Nouveau"))</f>
        <v>#VALUE!</v>
      </c>
      <c r="AD4781" s="1" t="str">
        <f>IFERROR(IF(Final_Sans_VGE[[#This Row],[ppn_z]]="","",IFERROR(
   IF(_xlfn.XLOOKUP(Final_Sans_VGE[[#This Row],[ppn_z]],tbl_Historique_Final[[#This Row],[ppn_z]],tbl_Historique_Final[[#This Row],[date_modif]])=Final_Sans_VGE[[#This Row],[date_modif]],
      "Ancien",
      "Modifié"),
   "Nouveau")),"")</f>
        <v/>
      </c>
    </row>
    <row r="4782" spans="24:30" x14ac:dyDescent="0.25">
      <c r="X4782" s="8" t="e">
        <f>IF(Final_Sans_VGE[[#This Row],[ppn_z]]="","",IFERROR(
   IF(_xlfn.XLOOKUP(Final_Sans_VGE[[#This Row],[ppn_z]],tbl_Historique_Final[ppn_z],tbl_Historique_Final[date_modif])=Final_Sans_VGE[[#This Row],[date_modif]],
      "Ancien",
      "Modifié"),
   "Nouveau"))</f>
        <v>#VALUE!</v>
      </c>
      <c r="AD4782" s="1" t="str">
        <f>IFERROR(IF(Final_Sans_VGE[[#This Row],[ppn_z]]="","",IFERROR(
   IF(_xlfn.XLOOKUP(Final_Sans_VGE[[#This Row],[ppn_z]],tbl_Historique_Final[[#This Row],[ppn_z]],tbl_Historique_Final[[#This Row],[date_modif]])=Final_Sans_VGE[[#This Row],[date_modif]],
      "Ancien",
      "Modifié"),
   "Nouveau")),"")</f>
        <v/>
      </c>
    </row>
    <row r="4783" spans="24:30" x14ac:dyDescent="0.25">
      <c r="X4783" s="8" t="e">
        <f>IF(Final_Sans_VGE[[#This Row],[ppn_z]]="","",IFERROR(
   IF(_xlfn.XLOOKUP(Final_Sans_VGE[[#This Row],[ppn_z]],tbl_Historique_Final[ppn_z],tbl_Historique_Final[date_modif])=Final_Sans_VGE[[#This Row],[date_modif]],
      "Ancien",
      "Modifié"),
   "Nouveau"))</f>
        <v>#VALUE!</v>
      </c>
      <c r="AD4783" s="1" t="str">
        <f>IFERROR(IF(Final_Sans_VGE[[#This Row],[ppn_z]]="","",IFERROR(
   IF(_xlfn.XLOOKUP(Final_Sans_VGE[[#This Row],[ppn_z]],tbl_Historique_Final[[#This Row],[ppn_z]],tbl_Historique_Final[[#This Row],[date_modif]])=Final_Sans_VGE[[#This Row],[date_modif]],
      "Ancien",
      "Modifié"),
   "Nouveau")),"")</f>
        <v/>
      </c>
    </row>
    <row r="4784" spans="24:30" x14ac:dyDescent="0.25">
      <c r="X4784" s="8" t="e">
        <f>IF(Final_Sans_VGE[[#This Row],[ppn_z]]="","",IFERROR(
   IF(_xlfn.XLOOKUP(Final_Sans_VGE[[#This Row],[ppn_z]],tbl_Historique_Final[ppn_z],tbl_Historique_Final[date_modif])=Final_Sans_VGE[[#This Row],[date_modif]],
      "Ancien",
      "Modifié"),
   "Nouveau"))</f>
        <v>#VALUE!</v>
      </c>
      <c r="AD4784" s="1" t="str">
        <f>IFERROR(IF(Final_Sans_VGE[[#This Row],[ppn_z]]="","",IFERROR(
   IF(_xlfn.XLOOKUP(Final_Sans_VGE[[#This Row],[ppn_z]],tbl_Historique_Final[[#This Row],[ppn_z]],tbl_Historique_Final[[#This Row],[date_modif]])=Final_Sans_VGE[[#This Row],[date_modif]],
      "Ancien",
      "Modifié"),
   "Nouveau")),"")</f>
        <v/>
      </c>
    </row>
    <row r="4785" spans="24:30" x14ac:dyDescent="0.25">
      <c r="X4785" s="8" t="e">
        <f>IF(Final_Sans_VGE[[#This Row],[ppn_z]]="","",IFERROR(
   IF(_xlfn.XLOOKUP(Final_Sans_VGE[[#This Row],[ppn_z]],tbl_Historique_Final[ppn_z],tbl_Historique_Final[date_modif])=Final_Sans_VGE[[#This Row],[date_modif]],
      "Ancien",
      "Modifié"),
   "Nouveau"))</f>
        <v>#VALUE!</v>
      </c>
      <c r="AD4785" s="1" t="str">
        <f>IFERROR(IF(Final_Sans_VGE[[#This Row],[ppn_z]]="","",IFERROR(
   IF(_xlfn.XLOOKUP(Final_Sans_VGE[[#This Row],[ppn_z]],tbl_Historique_Final[[#This Row],[ppn_z]],tbl_Historique_Final[[#This Row],[date_modif]])=Final_Sans_VGE[[#This Row],[date_modif]],
      "Ancien",
      "Modifié"),
   "Nouveau")),"")</f>
        <v/>
      </c>
    </row>
    <row r="4786" spans="24:30" x14ac:dyDescent="0.25">
      <c r="X4786" s="8" t="e">
        <f>IF(Final_Sans_VGE[[#This Row],[ppn_z]]="","",IFERROR(
   IF(_xlfn.XLOOKUP(Final_Sans_VGE[[#This Row],[ppn_z]],tbl_Historique_Final[ppn_z],tbl_Historique_Final[date_modif])=Final_Sans_VGE[[#This Row],[date_modif]],
      "Ancien",
      "Modifié"),
   "Nouveau"))</f>
        <v>#VALUE!</v>
      </c>
      <c r="AD4786" s="1" t="str">
        <f>IFERROR(IF(Final_Sans_VGE[[#This Row],[ppn_z]]="","",IFERROR(
   IF(_xlfn.XLOOKUP(Final_Sans_VGE[[#This Row],[ppn_z]],tbl_Historique_Final[[#This Row],[ppn_z]],tbl_Historique_Final[[#This Row],[date_modif]])=Final_Sans_VGE[[#This Row],[date_modif]],
      "Ancien",
      "Modifié"),
   "Nouveau")),"")</f>
        <v/>
      </c>
    </row>
    <row r="4787" spans="24:30" x14ac:dyDescent="0.25">
      <c r="X4787" s="8" t="e">
        <f>IF(Final_Sans_VGE[[#This Row],[ppn_z]]="","",IFERROR(
   IF(_xlfn.XLOOKUP(Final_Sans_VGE[[#This Row],[ppn_z]],tbl_Historique_Final[ppn_z],tbl_Historique_Final[date_modif])=Final_Sans_VGE[[#This Row],[date_modif]],
      "Ancien",
      "Modifié"),
   "Nouveau"))</f>
        <v>#VALUE!</v>
      </c>
      <c r="AD4787" s="1" t="str">
        <f>IFERROR(IF(Final_Sans_VGE[[#This Row],[ppn_z]]="","",IFERROR(
   IF(_xlfn.XLOOKUP(Final_Sans_VGE[[#This Row],[ppn_z]],tbl_Historique_Final[[#This Row],[ppn_z]],tbl_Historique_Final[[#This Row],[date_modif]])=Final_Sans_VGE[[#This Row],[date_modif]],
      "Ancien",
      "Modifié"),
   "Nouveau")),"")</f>
        <v/>
      </c>
    </row>
    <row r="4788" spans="24:30" x14ac:dyDescent="0.25">
      <c r="X4788" s="8" t="e">
        <f>IF(Final_Sans_VGE[[#This Row],[ppn_z]]="","",IFERROR(
   IF(_xlfn.XLOOKUP(Final_Sans_VGE[[#This Row],[ppn_z]],tbl_Historique_Final[ppn_z],tbl_Historique_Final[date_modif])=Final_Sans_VGE[[#This Row],[date_modif]],
      "Ancien",
      "Modifié"),
   "Nouveau"))</f>
        <v>#VALUE!</v>
      </c>
      <c r="AD4788" s="1" t="str">
        <f>IFERROR(IF(Final_Sans_VGE[[#This Row],[ppn_z]]="","",IFERROR(
   IF(_xlfn.XLOOKUP(Final_Sans_VGE[[#This Row],[ppn_z]],tbl_Historique_Final[[#This Row],[ppn_z]],tbl_Historique_Final[[#This Row],[date_modif]])=Final_Sans_VGE[[#This Row],[date_modif]],
      "Ancien",
      "Modifié"),
   "Nouveau")),"")</f>
        <v/>
      </c>
    </row>
    <row r="4789" spans="24:30" x14ac:dyDescent="0.25">
      <c r="X4789" s="8" t="e">
        <f>IF(Final_Sans_VGE[[#This Row],[ppn_z]]="","",IFERROR(
   IF(_xlfn.XLOOKUP(Final_Sans_VGE[[#This Row],[ppn_z]],tbl_Historique_Final[ppn_z],tbl_Historique_Final[date_modif])=Final_Sans_VGE[[#This Row],[date_modif]],
      "Ancien",
      "Modifié"),
   "Nouveau"))</f>
        <v>#VALUE!</v>
      </c>
      <c r="AD4789" s="1" t="str">
        <f>IFERROR(IF(Final_Sans_VGE[[#This Row],[ppn_z]]="","",IFERROR(
   IF(_xlfn.XLOOKUP(Final_Sans_VGE[[#This Row],[ppn_z]],tbl_Historique_Final[[#This Row],[ppn_z]],tbl_Historique_Final[[#This Row],[date_modif]])=Final_Sans_VGE[[#This Row],[date_modif]],
      "Ancien",
      "Modifié"),
   "Nouveau")),"")</f>
        <v/>
      </c>
    </row>
    <row r="4790" spans="24:30" x14ac:dyDescent="0.25">
      <c r="X4790" s="8" t="e">
        <f>IF(Final_Sans_VGE[[#This Row],[ppn_z]]="","",IFERROR(
   IF(_xlfn.XLOOKUP(Final_Sans_VGE[[#This Row],[ppn_z]],tbl_Historique_Final[ppn_z],tbl_Historique_Final[date_modif])=Final_Sans_VGE[[#This Row],[date_modif]],
      "Ancien",
      "Modifié"),
   "Nouveau"))</f>
        <v>#VALUE!</v>
      </c>
      <c r="AD4790" s="1" t="str">
        <f>IFERROR(IF(Final_Sans_VGE[[#This Row],[ppn_z]]="","",IFERROR(
   IF(_xlfn.XLOOKUP(Final_Sans_VGE[[#This Row],[ppn_z]],tbl_Historique_Final[[#This Row],[ppn_z]],tbl_Historique_Final[[#This Row],[date_modif]])=Final_Sans_VGE[[#This Row],[date_modif]],
      "Ancien",
      "Modifié"),
   "Nouveau")),"")</f>
        <v/>
      </c>
    </row>
    <row r="4791" spans="24:30" x14ac:dyDescent="0.25">
      <c r="X4791" s="8" t="e">
        <f>IF(Final_Sans_VGE[[#This Row],[ppn_z]]="","",IFERROR(
   IF(_xlfn.XLOOKUP(Final_Sans_VGE[[#This Row],[ppn_z]],tbl_Historique_Final[ppn_z],tbl_Historique_Final[date_modif])=Final_Sans_VGE[[#This Row],[date_modif]],
      "Ancien",
      "Modifié"),
   "Nouveau"))</f>
        <v>#VALUE!</v>
      </c>
      <c r="AD4791" s="1" t="str">
        <f>IFERROR(IF(Final_Sans_VGE[[#This Row],[ppn_z]]="","",IFERROR(
   IF(_xlfn.XLOOKUP(Final_Sans_VGE[[#This Row],[ppn_z]],tbl_Historique_Final[[#This Row],[ppn_z]],tbl_Historique_Final[[#This Row],[date_modif]])=Final_Sans_VGE[[#This Row],[date_modif]],
      "Ancien",
      "Modifié"),
   "Nouveau")),"")</f>
        <v/>
      </c>
    </row>
    <row r="4792" spans="24:30" x14ac:dyDescent="0.25">
      <c r="X4792" s="8" t="e">
        <f>IF(Final_Sans_VGE[[#This Row],[ppn_z]]="","",IFERROR(
   IF(_xlfn.XLOOKUP(Final_Sans_VGE[[#This Row],[ppn_z]],tbl_Historique_Final[ppn_z],tbl_Historique_Final[date_modif])=Final_Sans_VGE[[#This Row],[date_modif]],
      "Ancien",
      "Modifié"),
   "Nouveau"))</f>
        <v>#VALUE!</v>
      </c>
      <c r="AD4792" s="1" t="str">
        <f>IFERROR(IF(Final_Sans_VGE[[#This Row],[ppn_z]]="","",IFERROR(
   IF(_xlfn.XLOOKUP(Final_Sans_VGE[[#This Row],[ppn_z]],tbl_Historique_Final[[#This Row],[ppn_z]],tbl_Historique_Final[[#This Row],[date_modif]])=Final_Sans_VGE[[#This Row],[date_modif]],
      "Ancien",
      "Modifié"),
   "Nouveau")),"")</f>
        <v/>
      </c>
    </row>
    <row r="4793" spans="24:30" x14ac:dyDescent="0.25">
      <c r="X4793" s="8" t="e">
        <f>IF(Final_Sans_VGE[[#This Row],[ppn_z]]="","",IFERROR(
   IF(_xlfn.XLOOKUP(Final_Sans_VGE[[#This Row],[ppn_z]],tbl_Historique_Final[ppn_z],tbl_Historique_Final[date_modif])=Final_Sans_VGE[[#This Row],[date_modif]],
      "Ancien",
      "Modifié"),
   "Nouveau"))</f>
        <v>#VALUE!</v>
      </c>
      <c r="AD4793" s="1" t="str">
        <f>IFERROR(IF(Final_Sans_VGE[[#This Row],[ppn_z]]="","",IFERROR(
   IF(_xlfn.XLOOKUP(Final_Sans_VGE[[#This Row],[ppn_z]],tbl_Historique_Final[[#This Row],[ppn_z]],tbl_Historique_Final[[#This Row],[date_modif]])=Final_Sans_VGE[[#This Row],[date_modif]],
      "Ancien",
      "Modifié"),
   "Nouveau")),"")</f>
        <v/>
      </c>
    </row>
    <row r="4794" spans="24:30" x14ac:dyDescent="0.25">
      <c r="X4794" s="8" t="e">
        <f>IF(Final_Sans_VGE[[#This Row],[ppn_z]]="","",IFERROR(
   IF(_xlfn.XLOOKUP(Final_Sans_VGE[[#This Row],[ppn_z]],tbl_Historique_Final[ppn_z],tbl_Historique_Final[date_modif])=Final_Sans_VGE[[#This Row],[date_modif]],
      "Ancien",
      "Modifié"),
   "Nouveau"))</f>
        <v>#VALUE!</v>
      </c>
      <c r="AD4794" s="1" t="str">
        <f>IFERROR(IF(Final_Sans_VGE[[#This Row],[ppn_z]]="","",IFERROR(
   IF(_xlfn.XLOOKUP(Final_Sans_VGE[[#This Row],[ppn_z]],tbl_Historique_Final[[#This Row],[ppn_z]],tbl_Historique_Final[[#This Row],[date_modif]])=Final_Sans_VGE[[#This Row],[date_modif]],
      "Ancien",
      "Modifié"),
   "Nouveau")),"")</f>
        <v/>
      </c>
    </row>
    <row r="4795" spans="24:30" x14ac:dyDescent="0.25">
      <c r="X4795" s="8" t="e">
        <f>IF(Final_Sans_VGE[[#This Row],[ppn_z]]="","",IFERROR(
   IF(_xlfn.XLOOKUP(Final_Sans_VGE[[#This Row],[ppn_z]],tbl_Historique_Final[ppn_z],tbl_Historique_Final[date_modif])=Final_Sans_VGE[[#This Row],[date_modif]],
      "Ancien",
      "Modifié"),
   "Nouveau"))</f>
        <v>#VALUE!</v>
      </c>
      <c r="AD4795" s="1" t="str">
        <f>IFERROR(IF(Final_Sans_VGE[[#This Row],[ppn_z]]="","",IFERROR(
   IF(_xlfn.XLOOKUP(Final_Sans_VGE[[#This Row],[ppn_z]],tbl_Historique_Final[[#This Row],[ppn_z]],tbl_Historique_Final[[#This Row],[date_modif]])=Final_Sans_VGE[[#This Row],[date_modif]],
      "Ancien",
      "Modifié"),
   "Nouveau")),"")</f>
        <v/>
      </c>
    </row>
    <row r="4796" spans="24:30" x14ac:dyDescent="0.25">
      <c r="X4796" s="8" t="e">
        <f>IF(Final_Sans_VGE[[#This Row],[ppn_z]]="","",IFERROR(
   IF(_xlfn.XLOOKUP(Final_Sans_VGE[[#This Row],[ppn_z]],tbl_Historique_Final[ppn_z],tbl_Historique_Final[date_modif])=Final_Sans_VGE[[#This Row],[date_modif]],
      "Ancien",
      "Modifié"),
   "Nouveau"))</f>
        <v>#VALUE!</v>
      </c>
      <c r="AD4796" s="1" t="str">
        <f>IFERROR(IF(Final_Sans_VGE[[#This Row],[ppn_z]]="","",IFERROR(
   IF(_xlfn.XLOOKUP(Final_Sans_VGE[[#This Row],[ppn_z]],tbl_Historique_Final[[#This Row],[ppn_z]],tbl_Historique_Final[[#This Row],[date_modif]])=Final_Sans_VGE[[#This Row],[date_modif]],
      "Ancien",
      "Modifié"),
   "Nouveau")),"")</f>
        <v/>
      </c>
    </row>
    <row r="4797" spans="24:30" x14ac:dyDescent="0.25">
      <c r="X4797" s="8" t="e">
        <f>IF(Final_Sans_VGE[[#This Row],[ppn_z]]="","",IFERROR(
   IF(_xlfn.XLOOKUP(Final_Sans_VGE[[#This Row],[ppn_z]],tbl_Historique_Final[ppn_z],tbl_Historique_Final[date_modif])=Final_Sans_VGE[[#This Row],[date_modif]],
      "Ancien",
      "Modifié"),
   "Nouveau"))</f>
        <v>#VALUE!</v>
      </c>
      <c r="AD4797" s="1" t="str">
        <f>IFERROR(IF(Final_Sans_VGE[[#This Row],[ppn_z]]="","",IFERROR(
   IF(_xlfn.XLOOKUP(Final_Sans_VGE[[#This Row],[ppn_z]],tbl_Historique_Final[[#This Row],[ppn_z]],tbl_Historique_Final[[#This Row],[date_modif]])=Final_Sans_VGE[[#This Row],[date_modif]],
      "Ancien",
      "Modifié"),
   "Nouveau")),"")</f>
        <v/>
      </c>
    </row>
    <row r="4798" spans="24:30" x14ac:dyDescent="0.25">
      <c r="X4798" s="8" t="e">
        <f>IF(Final_Sans_VGE[[#This Row],[ppn_z]]="","",IFERROR(
   IF(_xlfn.XLOOKUP(Final_Sans_VGE[[#This Row],[ppn_z]],tbl_Historique_Final[ppn_z],tbl_Historique_Final[date_modif])=Final_Sans_VGE[[#This Row],[date_modif]],
      "Ancien",
      "Modifié"),
   "Nouveau"))</f>
        <v>#VALUE!</v>
      </c>
      <c r="AD4798" s="1" t="str">
        <f>IFERROR(IF(Final_Sans_VGE[[#This Row],[ppn_z]]="","",IFERROR(
   IF(_xlfn.XLOOKUP(Final_Sans_VGE[[#This Row],[ppn_z]],tbl_Historique_Final[[#This Row],[ppn_z]],tbl_Historique_Final[[#This Row],[date_modif]])=Final_Sans_VGE[[#This Row],[date_modif]],
      "Ancien",
      "Modifié"),
   "Nouveau")),"")</f>
        <v/>
      </c>
    </row>
    <row r="4799" spans="24:30" x14ac:dyDescent="0.25">
      <c r="X4799" s="8" t="e">
        <f>IF(Final_Sans_VGE[[#This Row],[ppn_z]]="","",IFERROR(
   IF(_xlfn.XLOOKUP(Final_Sans_VGE[[#This Row],[ppn_z]],tbl_Historique_Final[ppn_z],tbl_Historique_Final[date_modif])=Final_Sans_VGE[[#This Row],[date_modif]],
      "Ancien",
      "Modifié"),
   "Nouveau"))</f>
        <v>#VALUE!</v>
      </c>
      <c r="AD4799" s="1" t="str">
        <f>IFERROR(IF(Final_Sans_VGE[[#This Row],[ppn_z]]="","",IFERROR(
   IF(_xlfn.XLOOKUP(Final_Sans_VGE[[#This Row],[ppn_z]],tbl_Historique_Final[[#This Row],[ppn_z]],tbl_Historique_Final[[#This Row],[date_modif]])=Final_Sans_VGE[[#This Row],[date_modif]],
      "Ancien",
      "Modifié"),
   "Nouveau")),"")</f>
        <v/>
      </c>
    </row>
    <row r="4800" spans="24:30" x14ac:dyDescent="0.25">
      <c r="X4800" s="8" t="e">
        <f>IF(Final_Sans_VGE[[#This Row],[ppn_z]]="","",IFERROR(
   IF(_xlfn.XLOOKUP(Final_Sans_VGE[[#This Row],[ppn_z]],tbl_Historique_Final[ppn_z],tbl_Historique_Final[date_modif])=Final_Sans_VGE[[#This Row],[date_modif]],
      "Ancien",
      "Modifié"),
   "Nouveau"))</f>
        <v>#VALUE!</v>
      </c>
      <c r="AD4800" s="1" t="str">
        <f>IFERROR(IF(Final_Sans_VGE[[#This Row],[ppn_z]]="","",IFERROR(
   IF(_xlfn.XLOOKUP(Final_Sans_VGE[[#This Row],[ppn_z]],tbl_Historique_Final[[#This Row],[ppn_z]],tbl_Historique_Final[[#This Row],[date_modif]])=Final_Sans_VGE[[#This Row],[date_modif]],
      "Ancien",
      "Modifié"),
   "Nouveau")),"")</f>
        <v/>
      </c>
    </row>
    <row r="4801" spans="24:30" x14ac:dyDescent="0.25">
      <c r="X4801" s="8" t="e">
        <f>IF(Final_Sans_VGE[[#This Row],[ppn_z]]="","",IFERROR(
   IF(_xlfn.XLOOKUP(Final_Sans_VGE[[#This Row],[ppn_z]],tbl_Historique_Final[ppn_z],tbl_Historique_Final[date_modif])=Final_Sans_VGE[[#This Row],[date_modif]],
      "Ancien",
      "Modifié"),
   "Nouveau"))</f>
        <v>#VALUE!</v>
      </c>
      <c r="AD4801" s="1" t="str">
        <f>IFERROR(IF(Final_Sans_VGE[[#This Row],[ppn_z]]="","",IFERROR(
   IF(_xlfn.XLOOKUP(Final_Sans_VGE[[#This Row],[ppn_z]],tbl_Historique_Final[[#This Row],[ppn_z]],tbl_Historique_Final[[#This Row],[date_modif]])=Final_Sans_VGE[[#This Row],[date_modif]],
      "Ancien",
      "Modifié"),
   "Nouveau")),"")</f>
        <v/>
      </c>
    </row>
    <row r="4802" spans="24:30" x14ac:dyDescent="0.25">
      <c r="X4802" s="8" t="e">
        <f>IF(Final_Sans_VGE[[#This Row],[ppn_z]]="","",IFERROR(
   IF(_xlfn.XLOOKUP(Final_Sans_VGE[[#This Row],[ppn_z]],tbl_Historique_Final[ppn_z],tbl_Historique_Final[date_modif])=Final_Sans_VGE[[#This Row],[date_modif]],
      "Ancien",
      "Modifié"),
   "Nouveau"))</f>
        <v>#VALUE!</v>
      </c>
      <c r="AD4802" s="1" t="str">
        <f>IFERROR(IF(Final_Sans_VGE[[#This Row],[ppn_z]]="","",IFERROR(
   IF(_xlfn.XLOOKUP(Final_Sans_VGE[[#This Row],[ppn_z]],tbl_Historique_Final[[#This Row],[ppn_z]],tbl_Historique_Final[[#This Row],[date_modif]])=Final_Sans_VGE[[#This Row],[date_modif]],
      "Ancien",
      "Modifié"),
   "Nouveau")),"")</f>
        <v/>
      </c>
    </row>
    <row r="4803" spans="24:30" x14ac:dyDescent="0.25">
      <c r="X4803" s="8" t="e">
        <f>IF(Final_Sans_VGE[[#This Row],[ppn_z]]="","",IFERROR(
   IF(_xlfn.XLOOKUP(Final_Sans_VGE[[#This Row],[ppn_z]],tbl_Historique_Final[ppn_z],tbl_Historique_Final[date_modif])=Final_Sans_VGE[[#This Row],[date_modif]],
      "Ancien",
      "Modifié"),
   "Nouveau"))</f>
        <v>#VALUE!</v>
      </c>
      <c r="AD4803" s="1" t="str">
        <f>IFERROR(IF(Final_Sans_VGE[[#This Row],[ppn_z]]="","",IFERROR(
   IF(_xlfn.XLOOKUP(Final_Sans_VGE[[#This Row],[ppn_z]],tbl_Historique_Final[[#This Row],[ppn_z]],tbl_Historique_Final[[#This Row],[date_modif]])=Final_Sans_VGE[[#This Row],[date_modif]],
      "Ancien",
      "Modifié"),
   "Nouveau")),"")</f>
        <v/>
      </c>
    </row>
    <row r="4804" spans="24:30" x14ac:dyDescent="0.25">
      <c r="X4804" s="8" t="e">
        <f>IF(Final_Sans_VGE[[#This Row],[ppn_z]]="","",IFERROR(
   IF(_xlfn.XLOOKUP(Final_Sans_VGE[[#This Row],[ppn_z]],tbl_Historique_Final[ppn_z],tbl_Historique_Final[date_modif])=Final_Sans_VGE[[#This Row],[date_modif]],
      "Ancien",
      "Modifié"),
   "Nouveau"))</f>
        <v>#VALUE!</v>
      </c>
      <c r="AD4804" s="1" t="str">
        <f>IFERROR(IF(Final_Sans_VGE[[#This Row],[ppn_z]]="","",IFERROR(
   IF(_xlfn.XLOOKUP(Final_Sans_VGE[[#This Row],[ppn_z]],tbl_Historique_Final[[#This Row],[ppn_z]],tbl_Historique_Final[[#This Row],[date_modif]])=Final_Sans_VGE[[#This Row],[date_modif]],
      "Ancien",
      "Modifié"),
   "Nouveau")),"")</f>
        <v/>
      </c>
    </row>
    <row r="4805" spans="24:30" x14ac:dyDescent="0.25">
      <c r="X4805" s="8" t="e">
        <f>IF(Final_Sans_VGE[[#This Row],[ppn_z]]="","",IFERROR(
   IF(_xlfn.XLOOKUP(Final_Sans_VGE[[#This Row],[ppn_z]],tbl_Historique_Final[ppn_z],tbl_Historique_Final[date_modif])=Final_Sans_VGE[[#This Row],[date_modif]],
      "Ancien",
      "Modifié"),
   "Nouveau"))</f>
        <v>#VALUE!</v>
      </c>
      <c r="AD4805" s="1" t="str">
        <f>IFERROR(IF(Final_Sans_VGE[[#This Row],[ppn_z]]="","",IFERROR(
   IF(_xlfn.XLOOKUP(Final_Sans_VGE[[#This Row],[ppn_z]],tbl_Historique_Final[[#This Row],[ppn_z]],tbl_Historique_Final[[#This Row],[date_modif]])=Final_Sans_VGE[[#This Row],[date_modif]],
      "Ancien",
      "Modifié"),
   "Nouveau")),"")</f>
        <v/>
      </c>
    </row>
    <row r="4806" spans="24:30" x14ac:dyDescent="0.25">
      <c r="X4806" s="8" t="e">
        <f>IF(Final_Sans_VGE[[#This Row],[ppn_z]]="","",IFERROR(
   IF(_xlfn.XLOOKUP(Final_Sans_VGE[[#This Row],[ppn_z]],tbl_Historique_Final[ppn_z],tbl_Historique_Final[date_modif])=Final_Sans_VGE[[#This Row],[date_modif]],
      "Ancien",
      "Modifié"),
   "Nouveau"))</f>
        <v>#VALUE!</v>
      </c>
      <c r="AD4806" s="1" t="str">
        <f>IFERROR(IF(Final_Sans_VGE[[#This Row],[ppn_z]]="","",IFERROR(
   IF(_xlfn.XLOOKUP(Final_Sans_VGE[[#This Row],[ppn_z]],tbl_Historique_Final[[#This Row],[ppn_z]],tbl_Historique_Final[[#This Row],[date_modif]])=Final_Sans_VGE[[#This Row],[date_modif]],
      "Ancien",
      "Modifié"),
   "Nouveau")),"")</f>
        <v/>
      </c>
    </row>
    <row r="4807" spans="24:30" x14ac:dyDescent="0.25">
      <c r="X4807" s="8" t="e">
        <f>IF(Final_Sans_VGE[[#This Row],[ppn_z]]="","",IFERROR(
   IF(_xlfn.XLOOKUP(Final_Sans_VGE[[#This Row],[ppn_z]],tbl_Historique_Final[ppn_z],tbl_Historique_Final[date_modif])=Final_Sans_VGE[[#This Row],[date_modif]],
      "Ancien",
      "Modifié"),
   "Nouveau"))</f>
        <v>#VALUE!</v>
      </c>
      <c r="AD4807" s="1" t="str">
        <f>IFERROR(IF(Final_Sans_VGE[[#This Row],[ppn_z]]="","",IFERROR(
   IF(_xlfn.XLOOKUP(Final_Sans_VGE[[#This Row],[ppn_z]],tbl_Historique_Final[[#This Row],[ppn_z]],tbl_Historique_Final[[#This Row],[date_modif]])=Final_Sans_VGE[[#This Row],[date_modif]],
      "Ancien",
      "Modifié"),
   "Nouveau")),"")</f>
        <v/>
      </c>
    </row>
    <row r="4808" spans="24:30" x14ac:dyDescent="0.25">
      <c r="X4808" s="8" t="e">
        <f>IF(Final_Sans_VGE[[#This Row],[ppn_z]]="","",IFERROR(
   IF(_xlfn.XLOOKUP(Final_Sans_VGE[[#This Row],[ppn_z]],tbl_Historique_Final[ppn_z],tbl_Historique_Final[date_modif])=Final_Sans_VGE[[#This Row],[date_modif]],
      "Ancien",
      "Modifié"),
   "Nouveau"))</f>
        <v>#VALUE!</v>
      </c>
      <c r="AD4808" s="1" t="str">
        <f>IFERROR(IF(Final_Sans_VGE[[#This Row],[ppn_z]]="","",IFERROR(
   IF(_xlfn.XLOOKUP(Final_Sans_VGE[[#This Row],[ppn_z]],tbl_Historique_Final[[#This Row],[ppn_z]],tbl_Historique_Final[[#This Row],[date_modif]])=Final_Sans_VGE[[#This Row],[date_modif]],
      "Ancien",
      "Modifié"),
   "Nouveau")),"")</f>
        <v/>
      </c>
    </row>
    <row r="4809" spans="24:30" x14ac:dyDescent="0.25">
      <c r="X4809" s="8" t="e">
        <f>IF(Final_Sans_VGE[[#This Row],[ppn_z]]="","",IFERROR(
   IF(_xlfn.XLOOKUP(Final_Sans_VGE[[#This Row],[ppn_z]],tbl_Historique_Final[ppn_z],tbl_Historique_Final[date_modif])=Final_Sans_VGE[[#This Row],[date_modif]],
      "Ancien",
      "Modifié"),
   "Nouveau"))</f>
        <v>#VALUE!</v>
      </c>
      <c r="AD4809" s="1" t="str">
        <f>IFERROR(IF(Final_Sans_VGE[[#This Row],[ppn_z]]="","",IFERROR(
   IF(_xlfn.XLOOKUP(Final_Sans_VGE[[#This Row],[ppn_z]],tbl_Historique_Final[[#This Row],[ppn_z]],tbl_Historique_Final[[#This Row],[date_modif]])=Final_Sans_VGE[[#This Row],[date_modif]],
      "Ancien",
      "Modifié"),
   "Nouveau")),"")</f>
        <v/>
      </c>
    </row>
    <row r="4810" spans="24:30" x14ac:dyDescent="0.25">
      <c r="X4810" s="8" t="e">
        <f>IF(Final_Sans_VGE[[#This Row],[ppn_z]]="","",IFERROR(
   IF(_xlfn.XLOOKUP(Final_Sans_VGE[[#This Row],[ppn_z]],tbl_Historique_Final[ppn_z],tbl_Historique_Final[date_modif])=Final_Sans_VGE[[#This Row],[date_modif]],
      "Ancien",
      "Modifié"),
   "Nouveau"))</f>
        <v>#VALUE!</v>
      </c>
      <c r="AD4810" s="1" t="str">
        <f>IFERROR(IF(Final_Sans_VGE[[#This Row],[ppn_z]]="","",IFERROR(
   IF(_xlfn.XLOOKUP(Final_Sans_VGE[[#This Row],[ppn_z]],tbl_Historique_Final[[#This Row],[ppn_z]],tbl_Historique_Final[[#This Row],[date_modif]])=Final_Sans_VGE[[#This Row],[date_modif]],
      "Ancien",
      "Modifié"),
   "Nouveau")),"")</f>
        <v/>
      </c>
    </row>
    <row r="4811" spans="24:30" x14ac:dyDescent="0.25">
      <c r="X4811" s="8" t="e">
        <f>IF(Final_Sans_VGE[[#This Row],[ppn_z]]="","",IFERROR(
   IF(_xlfn.XLOOKUP(Final_Sans_VGE[[#This Row],[ppn_z]],tbl_Historique_Final[ppn_z],tbl_Historique_Final[date_modif])=Final_Sans_VGE[[#This Row],[date_modif]],
      "Ancien",
      "Modifié"),
   "Nouveau"))</f>
        <v>#VALUE!</v>
      </c>
      <c r="AD4811" s="1" t="str">
        <f>IFERROR(IF(Final_Sans_VGE[[#This Row],[ppn_z]]="","",IFERROR(
   IF(_xlfn.XLOOKUP(Final_Sans_VGE[[#This Row],[ppn_z]],tbl_Historique_Final[[#This Row],[ppn_z]],tbl_Historique_Final[[#This Row],[date_modif]])=Final_Sans_VGE[[#This Row],[date_modif]],
      "Ancien",
      "Modifié"),
   "Nouveau")),"")</f>
        <v/>
      </c>
    </row>
    <row r="4812" spans="24:30" x14ac:dyDescent="0.25">
      <c r="X4812" s="8" t="e">
        <f>IF(Final_Sans_VGE[[#This Row],[ppn_z]]="","",IFERROR(
   IF(_xlfn.XLOOKUP(Final_Sans_VGE[[#This Row],[ppn_z]],tbl_Historique_Final[ppn_z],tbl_Historique_Final[date_modif])=Final_Sans_VGE[[#This Row],[date_modif]],
      "Ancien",
      "Modifié"),
   "Nouveau"))</f>
        <v>#VALUE!</v>
      </c>
      <c r="AD4812" s="1" t="str">
        <f>IFERROR(IF(Final_Sans_VGE[[#This Row],[ppn_z]]="","",IFERROR(
   IF(_xlfn.XLOOKUP(Final_Sans_VGE[[#This Row],[ppn_z]],tbl_Historique_Final[[#This Row],[ppn_z]],tbl_Historique_Final[[#This Row],[date_modif]])=Final_Sans_VGE[[#This Row],[date_modif]],
      "Ancien",
      "Modifié"),
   "Nouveau")),"")</f>
        <v/>
      </c>
    </row>
    <row r="4813" spans="24:30" x14ac:dyDescent="0.25">
      <c r="X4813" s="8" t="e">
        <f>IF(Final_Sans_VGE[[#This Row],[ppn_z]]="","",IFERROR(
   IF(_xlfn.XLOOKUP(Final_Sans_VGE[[#This Row],[ppn_z]],tbl_Historique_Final[ppn_z],tbl_Historique_Final[date_modif])=Final_Sans_VGE[[#This Row],[date_modif]],
      "Ancien",
      "Modifié"),
   "Nouveau"))</f>
        <v>#VALUE!</v>
      </c>
      <c r="AD4813" s="1" t="str">
        <f>IFERROR(IF(Final_Sans_VGE[[#This Row],[ppn_z]]="","",IFERROR(
   IF(_xlfn.XLOOKUP(Final_Sans_VGE[[#This Row],[ppn_z]],tbl_Historique_Final[[#This Row],[ppn_z]],tbl_Historique_Final[[#This Row],[date_modif]])=Final_Sans_VGE[[#This Row],[date_modif]],
      "Ancien",
      "Modifié"),
   "Nouveau")),"")</f>
        <v/>
      </c>
    </row>
    <row r="4814" spans="24:30" x14ac:dyDescent="0.25">
      <c r="X4814" s="8" t="e">
        <f>IF(Final_Sans_VGE[[#This Row],[ppn_z]]="","",IFERROR(
   IF(_xlfn.XLOOKUP(Final_Sans_VGE[[#This Row],[ppn_z]],tbl_Historique_Final[ppn_z],tbl_Historique_Final[date_modif])=Final_Sans_VGE[[#This Row],[date_modif]],
      "Ancien",
      "Modifié"),
   "Nouveau"))</f>
        <v>#VALUE!</v>
      </c>
      <c r="AD4814" s="1" t="str">
        <f>IFERROR(IF(Final_Sans_VGE[[#This Row],[ppn_z]]="","",IFERROR(
   IF(_xlfn.XLOOKUP(Final_Sans_VGE[[#This Row],[ppn_z]],tbl_Historique_Final[[#This Row],[ppn_z]],tbl_Historique_Final[[#This Row],[date_modif]])=Final_Sans_VGE[[#This Row],[date_modif]],
      "Ancien",
      "Modifié"),
   "Nouveau")),"")</f>
        <v/>
      </c>
    </row>
    <row r="4815" spans="24:30" x14ac:dyDescent="0.25">
      <c r="X4815" s="8" t="e">
        <f>IF(Final_Sans_VGE[[#This Row],[ppn_z]]="","",IFERROR(
   IF(_xlfn.XLOOKUP(Final_Sans_VGE[[#This Row],[ppn_z]],tbl_Historique_Final[ppn_z],tbl_Historique_Final[date_modif])=Final_Sans_VGE[[#This Row],[date_modif]],
      "Ancien",
      "Modifié"),
   "Nouveau"))</f>
        <v>#VALUE!</v>
      </c>
      <c r="AD4815" s="1" t="str">
        <f>IFERROR(IF(Final_Sans_VGE[[#This Row],[ppn_z]]="","",IFERROR(
   IF(_xlfn.XLOOKUP(Final_Sans_VGE[[#This Row],[ppn_z]],tbl_Historique_Final[[#This Row],[ppn_z]],tbl_Historique_Final[[#This Row],[date_modif]])=Final_Sans_VGE[[#This Row],[date_modif]],
      "Ancien",
      "Modifié"),
   "Nouveau")),"")</f>
        <v/>
      </c>
    </row>
    <row r="4816" spans="24:30" x14ac:dyDescent="0.25">
      <c r="X4816" s="8" t="e">
        <f>IF(Final_Sans_VGE[[#This Row],[ppn_z]]="","",IFERROR(
   IF(_xlfn.XLOOKUP(Final_Sans_VGE[[#This Row],[ppn_z]],tbl_Historique_Final[ppn_z],tbl_Historique_Final[date_modif])=Final_Sans_VGE[[#This Row],[date_modif]],
      "Ancien",
      "Modifié"),
   "Nouveau"))</f>
        <v>#VALUE!</v>
      </c>
      <c r="AD4816" s="1" t="str">
        <f>IFERROR(IF(Final_Sans_VGE[[#This Row],[ppn_z]]="","",IFERROR(
   IF(_xlfn.XLOOKUP(Final_Sans_VGE[[#This Row],[ppn_z]],tbl_Historique_Final[[#This Row],[ppn_z]],tbl_Historique_Final[[#This Row],[date_modif]])=Final_Sans_VGE[[#This Row],[date_modif]],
      "Ancien",
      "Modifié"),
   "Nouveau")),"")</f>
        <v/>
      </c>
    </row>
    <row r="4817" spans="24:30" x14ac:dyDescent="0.25">
      <c r="X4817" s="8" t="e">
        <f>IF(Final_Sans_VGE[[#This Row],[ppn_z]]="","",IFERROR(
   IF(_xlfn.XLOOKUP(Final_Sans_VGE[[#This Row],[ppn_z]],tbl_Historique_Final[ppn_z],tbl_Historique_Final[date_modif])=Final_Sans_VGE[[#This Row],[date_modif]],
      "Ancien",
      "Modifié"),
   "Nouveau"))</f>
        <v>#VALUE!</v>
      </c>
      <c r="AD4817" s="1" t="str">
        <f>IFERROR(IF(Final_Sans_VGE[[#This Row],[ppn_z]]="","",IFERROR(
   IF(_xlfn.XLOOKUP(Final_Sans_VGE[[#This Row],[ppn_z]],tbl_Historique_Final[[#This Row],[ppn_z]],tbl_Historique_Final[[#This Row],[date_modif]])=Final_Sans_VGE[[#This Row],[date_modif]],
      "Ancien",
      "Modifié"),
   "Nouveau")),"")</f>
        <v/>
      </c>
    </row>
    <row r="4818" spans="24:30" x14ac:dyDescent="0.25">
      <c r="X4818" s="8" t="e">
        <f>IF(Final_Sans_VGE[[#This Row],[ppn_z]]="","",IFERROR(
   IF(_xlfn.XLOOKUP(Final_Sans_VGE[[#This Row],[ppn_z]],tbl_Historique_Final[ppn_z],tbl_Historique_Final[date_modif])=Final_Sans_VGE[[#This Row],[date_modif]],
      "Ancien",
      "Modifié"),
   "Nouveau"))</f>
        <v>#VALUE!</v>
      </c>
      <c r="AD4818" s="1" t="str">
        <f>IFERROR(IF(Final_Sans_VGE[[#This Row],[ppn_z]]="","",IFERROR(
   IF(_xlfn.XLOOKUP(Final_Sans_VGE[[#This Row],[ppn_z]],tbl_Historique_Final[[#This Row],[ppn_z]],tbl_Historique_Final[[#This Row],[date_modif]])=Final_Sans_VGE[[#This Row],[date_modif]],
      "Ancien",
      "Modifié"),
   "Nouveau")),"")</f>
        <v/>
      </c>
    </row>
    <row r="4819" spans="24:30" x14ac:dyDescent="0.25">
      <c r="X4819" s="8" t="e">
        <f>IF(Final_Sans_VGE[[#This Row],[ppn_z]]="","",IFERROR(
   IF(_xlfn.XLOOKUP(Final_Sans_VGE[[#This Row],[ppn_z]],tbl_Historique_Final[ppn_z],tbl_Historique_Final[date_modif])=Final_Sans_VGE[[#This Row],[date_modif]],
      "Ancien",
      "Modifié"),
   "Nouveau"))</f>
        <v>#VALUE!</v>
      </c>
      <c r="AD4819" s="1" t="str">
        <f>IFERROR(IF(Final_Sans_VGE[[#This Row],[ppn_z]]="","",IFERROR(
   IF(_xlfn.XLOOKUP(Final_Sans_VGE[[#This Row],[ppn_z]],tbl_Historique_Final[[#This Row],[ppn_z]],tbl_Historique_Final[[#This Row],[date_modif]])=Final_Sans_VGE[[#This Row],[date_modif]],
      "Ancien",
      "Modifié"),
   "Nouveau")),"")</f>
        <v/>
      </c>
    </row>
    <row r="4820" spans="24:30" x14ac:dyDescent="0.25">
      <c r="X4820" s="8" t="e">
        <f>IF(Final_Sans_VGE[[#This Row],[ppn_z]]="","",IFERROR(
   IF(_xlfn.XLOOKUP(Final_Sans_VGE[[#This Row],[ppn_z]],tbl_Historique_Final[ppn_z],tbl_Historique_Final[date_modif])=Final_Sans_VGE[[#This Row],[date_modif]],
      "Ancien",
      "Modifié"),
   "Nouveau"))</f>
        <v>#VALUE!</v>
      </c>
      <c r="AD4820" s="1" t="str">
        <f>IFERROR(IF(Final_Sans_VGE[[#This Row],[ppn_z]]="","",IFERROR(
   IF(_xlfn.XLOOKUP(Final_Sans_VGE[[#This Row],[ppn_z]],tbl_Historique_Final[[#This Row],[ppn_z]],tbl_Historique_Final[[#This Row],[date_modif]])=Final_Sans_VGE[[#This Row],[date_modif]],
      "Ancien",
      "Modifié"),
   "Nouveau")),"")</f>
        <v/>
      </c>
    </row>
    <row r="4821" spans="24:30" x14ac:dyDescent="0.25">
      <c r="X4821" s="8" t="e">
        <f>IF(Final_Sans_VGE[[#This Row],[ppn_z]]="","",IFERROR(
   IF(_xlfn.XLOOKUP(Final_Sans_VGE[[#This Row],[ppn_z]],tbl_Historique_Final[ppn_z],tbl_Historique_Final[date_modif])=Final_Sans_VGE[[#This Row],[date_modif]],
      "Ancien",
      "Modifié"),
   "Nouveau"))</f>
        <v>#VALUE!</v>
      </c>
      <c r="AD4821" s="1" t="str">
        <f>IFERROR(IF(Final_Sans_VGE[[#This Row],[ppn_z]]="","",IFERROR(
   IF(_xlfn.XLOOKUP(Final_Sans_VGE[[#This Row],[ppn_z]],tbl_Historique_Final[[#This Row],[ppn_z]],tbl_Historique_Final[[#This Row],[date_modif]])=Final_Sans_VGE[[#This Row],[date_modif]],
      "Ancien",
      "Modifié"),
   "Nouveau")),"")</f>
        <v/>
      </c>
    </row>
    <row r="4822" spans="24:30" x14ac:dyDescent="0.25">
      <c r="X4822" s="8" t="e">
        <f>IF(Final_Sans_VGE[[#This Row],[ppn_z]]="","",IFERROR(
   IF(_xlfn.XLOOKUP(Final_Sans_VGE[[#This Row],[ppn_z]],tbl_Historique_Final[ppn_z],tbl_Historique_Final[date_modif])=Final_Sans_VGE[[#This Row],[date_modif]],
      "Ancien",
      "Modifié"),
   "Nouveau"))</f>
        <v>#VALUE!</v>
      </c>
      <c r="AD4822" s="1" t="str">
        <f>IFERROR(IF(Final_Sans_VGE[[#This Row],[ppn_z]]="","",IFERROR(
   IF(_xlfn.XLOOKUP(Final_Sans_VGE[[#This Row],[ppn_z]],tbl_Historique_Final[[#This Row],[ppn_z]],tbl_Historique_Final[[#This Row],[date_modif]])=Final_Sans_VGE[[#This Row],[date_modif]],
      "Ancien",
      "Modifié"),
   "Nouveau")),"")</f>
        <v/>
      </c>
    </row>
    <row r="4823" spans="24:30" x14ac:dyDescent="0.25">
      <c r="X4823" s="8" t="e">
        <f>IF(Final_Sans_VGE[[#This Row],[ppn_z]]="","",IFERROR(
   IF(_xlfn.XLOOKUP(Final_Sans_VGE[[#This Row],[ppn_z]],tbl_Historique_Final[ppn_z],tbl_Historique_Final[date_modif])=Final_Sans_VGE[[#This Row],[date_modif]],
      "Ancien",
      "Modifié"),
   "Nouveau"))</f>
        <v>#VALUE!</v>
      </c>
      <c r="AD4823" s="1" t="str">
        <f>IFERROR(IF(Final_Sans_VGE[[#This Row],[ppn_z]]="","",IFERROR(
   IF(_xlfn.XLOOKUP(Final_Sans_VGE[[#This Row],[ppn_z]],tbl_Historique_Final[[#This Row],[ppn_z]],tbl_Historique_Final[[#This Row],[date_modif]])=Final_Sans_VGE[[#This Row],[date_modif]],
      "Ancien",
      "Modifié"),
   "Nouveau")),"")</f>
        <v/>
      </c>
    </row>
    <row r="4824" spans="24:30" x14ac:dyDescent="0.25">
      <c r="X4824" s="8" t="e">
        <f>IF(Final_Sans_VGE[[#This Row],[ppn_z]]="","",IFERROR(
   IF(_xlfn.XLOOKUP(Final_Sans_VGE[[#This Row],[ppn_z]],tbl_Historique_Final[ppn_z],tbl_Historique_Final[date_modif])=Final_Sans_VGE[[#This Row],[date_modif]],
      "Ancien",
      "Modifié"),
   "Nouveau"))</f>
        <v>#VALUE!</v>
      </c>
      <c r="AD4824" s="1" t="str">
        <f>IFERROR(IF(Final_Sans_VGE[[#This Row],[ppn_z]]="","",IFERROR(
   IF(_xlfn.XLOOKUP(Final_Sans_VGE[[#This Row],[ppn_z]],tbl_Historique_Final[[#This Row],[ppn_z]],tbl_Historique_Final[[#This Row],[date_modif]])=Final_Sans_VGE[[#This Row],[date_modif]],
      "Ancien",
      "Modifié"),
   "Nouveau")),"")</f>
        <v/>
      </c>
    </row>
    <row r="4825" spans="24:30" x14ac:dyDescent="0.25">
      <c r="X4825" s="8" t="e">
        <f>IF(Final_Sans_VGE[[#This Row],[ppn_z]]="","",IFERROR(
   IF(_xlfn.XLOOKUP(Final_Sans_VGE[[#This Row],[ppn_z]],tbl_Historique_Final[ppn_z],tbl_Historique_Final[date_modif])=Final_Sans_VGE[[#This Row],[date_modif]],
      "Ancien",
      "Modifié"),
   "Nouveau"))</f>
        <v>#VALUE!</v>
      </c>
      <c r="AD4825" s="1" t="str">
        <f>IFERROR(IF(Final_Sans_VGE[[#This Row],[ppn_z]]="","",IFERROR(
   IF(_xlfn.XLOOKUP(Final_Sans_VGE[[#This Row],[ppn_z]],tbl_Historique_Final[[#This Row],[ppn_z]],tbl_Historique_Final[[#This Row],[date_modif]])=Final_Sans_VGE[[#This Row],[date_modif]],
      "Ancien",
      "Modifié"),
   "Nouveau")),"")</f>
        <v/>
      </c>
    </row>
    <row r="4826" spans="24:30" x14ac:dyDescent="0.25">
      <c r="X4826" s="8" t="e">
        <f>IF(Final_Sans_VGE[[#This Row],[ppn_z]]="","",IFERROR(
   IF(_xlfn.XLOOKUP(Final_Sans_VGE[[#This Row],[ppn_z]],tbl_Historique_Final[ppn_z],tbl_Historique_Final[date_modif])=Final_Sans_VGE[[#This Row],[date_modif]],
      "Ancien",
      "Modifié"),
   "Nouveau"))</f>
        <v>#VALUE!</v>
      </c>
      <c r="AD4826" s="1" t="str">
        <f>IFERROR(IF(Final_Sans_VGE[[#This Row],[ppn_z]]="","",IFERROR(
   IF(_xlfn.XLOOKUP(Final_Sans_VGE[[#This Row],[ppn_z]],tbl_Historique_Final[[#This Row],[ppn_z]],tbl_Historique_Final[[#This Row],[date_modif]])=Final_Sans_VGE[[#This Row],[date_modif]],
      "Ancien",
      "Modifié"),
   "Nouveau")),"")</f>
        <v/>
      </c>
    </row>
    <row r="4827" spans="24:30" x14ac:dyDescent="0.25">
      <c r="X4827" s="8" t="e">
        <f>IF(Final_Sans_VGE[[#This Row],[ppn_z]]="","",IFERROR(
   IF(_xlfn.XLOOKUP(Final_Sans_VGE[[#This Row],[ppn_z]],tbl_Historique_Final[ppn_z],tbl_Historique_Final[date_modif])=Final_Sans_VGE[[#This Row],[date_modif]],
      "Ancien",
      "Modifié"),
   "Nouveau"))</f>
        <v>#VALUE!</v>
      </c>
      <c r="AD4827" s="1" t="str">
        <f>IFERROR(IF(Final_Sans_VGE[[#This Row],[ppn_z]]="","",IFERROR(
   IF(_xlfn.XLOOKUP(Final_Sans_VGE[[#This Row],[ppn_z]],tbl_Historique_Final[[#This Row],[ppn_z]],tbl_Historique_Final[[#This Row],[date_modif]])=Final_Sans_VGE[[#This Row],[date_modif]],
      "Ancien",
      "Modifié"),
   "Nouveau")),"")</f>
        <v/>
      </c>
    </row>
    <row r="4828" spans="24:30" x14ac:dyDescent="0.25">
      <c r="X4828" s="8" t="e">
        <f>IF(Final_Sans_VGE[[#This Row],[ppn_z]]="","",IFERROR(
   IF(_xlfn.XLOOKUP(Final_Sans_VGE[[#This Row],[ppn_z]],tbl_Historique_Final[ppn_z],tbl_Historique_Final[date_modif])=Final_Sans_VGE[[#This Row],[date_modif]],
      "Ancien",
      "Modifié"),
   "Nouveau"))</f>
        <v>#VALUE!</v>
      </c>
      <c r="AD4828" s="1" t="str">
        <f>IFERROR(IF(Final_Sans_VGE[[#This Row],[ppn_z]]="","",IFERROR(
   IF(_xlfn.XLOOKUP(Final_Sans_VGE[[#This Row],[ppn_z]],tbl_Historique_Final[[#This Row],[ppn_z]],tbl_Historique_Final[[#This Row],[date_modif]])=Final_Sans_VGE[[#This Row],[date_modif]],
      "Ancien",
      "Modifié"),
   "Nouveau")),"")</f>
        <v/>
      </c>
    </row>
    <row r="4829" spans="24:30" x14ac:dyDescent="0.25">
      <c r="X4829" s="8" t="e">
        <f>IF(Final_Sans_VGE[[#This Row],[ppn_z]]="","",IFERROR(
   IF(_xlfn.XLOOKUP(Final_Sans_VGE[[#This Row],[ppn_z]],tbl_Historique_Final[ppn_z],tbl_Historique_Final[date_modif])=Final_Sans_VGE[[#This Row],[date_modif]],
      "Ancien",
      "Modifié"),
   "Nouveau"))</f>
        <v>#VALUE!</v>
      </c>
      <c r="AD4829" s="1" t="str">
        <f>IFERROR(IF(Final_Sans_VGE[[#This Row],[ppn_z]]="","",IFERROR(
   IF(_xlfn.XLOOKUP(Final_Sans_VGE[[#This Row],[ppn_z]],tbl_Historique_Final[[#This Row],[ppn_z]],tbl_Historique_Final[[#This Row],[date_modif]])=Final_Sans_VGE[[#This Row],[date_modif]],
      "Ancien",
      "Modifié"),
   "Nouveau")),"")</f>
        <v/>
      </c>
    </row>
    <row r="4830" spans="24:30" x14ac:dyDescent="0.25">
      <c r="X4830" s="8" t="e">
        <f>IF(Final_Sans_VGE[[#This Row],[ppn_z]]="","",IFERROR(
   IF(_xlfn.XLOOKUP(Final_Sans_VGE[[#This Row],[ppn_z]],tbl_Historique_Final[ppn_z],tbl_Historique_Final[date_modif])=Final_Sans_VGE[[#This Row],[date_modif]],
      "Ancien",
      "Modifié"),
   "Nouveau"))</f>
        <v>#VALUE!</v>
      </c>
      <c r="AD4830" s="1" t="str">
        <f>IFERROR(IF(Final_Sans_VGE[[#This Row],[ppn_z]]="","",IFERROR(
   IF(_xlfn.XLOOKUP(Final_Sans_VGE[[#This Row],[ppn_z]],tbl_Historique_Final[[#This Row],[ppn_z]],tbl_Historique_Final[[#This Row],[date_modif]])=Final_Sans_VGE[[#This Row],[date_modif]],
      "Ancien",
      "Modifié"),
   "Nouveau")),"")</f>
        <v/>
      </c>
    </row>
    <row r="4831" spans="24:30" x14ac:dyDescent="0.25">
      <c r="X4831" s="8" t="e">
        <f>IF(Final_Sans_VGE[[#This Row],[ppn_z]]="","",IFERROR(
   IF(_xlfn.XLOOKUP(Final_Sans_VGE[[#This Row],[ppn_z]],tbl_Historique_Final[ppn_z],tbl_Historique_Final[date_modif])=Final_Sans_VGE[[#This Row],[date_modif]],
      "Ancien",
      "Modifié"),
   "Nouveau"))</f>
        <v>#VALUE!</v>
      </c>
      <c r="AD4831" s="1" t="str">
        <f>IFERROR(IF(Final_Sans_VGE[[#This Row],[ppn_z]]="","",IFERROR(
   IF(_xlfn.XLOOKUP(Final_Sans_VGE[[#This Row],[ppn_z]],tbl_Historique_Final[[#This Row],[ppn_z]],tbl_Historique_Final[[#This Row],[date_modif]])=Final_Sans_VGE[[#This Row],[date_modif]],
      "Ancien",
      "Modifié"),
   "Nouveau")),"")</f>
        <v/>
      </c>
    </row>
    <row r="4832" spans="24:30" x14ac:dyDescent="0.25">
      <c r="X4832" s="8" t="e">
        <f>IF(Final_Sans_VGE[[#This Row],[ppn_z]]="","",IFERROR(
   IF(_xlfn.XLOOKUP(Final_Sans_VGE[[#This Row],[ppn_z]],tbl_Historique_Final[ppn_z],tbl_Historique_Final[date_modif])=Final_Sans_VGE[[#This Row],[date_modif]],
      "Ancien",
      "Modifié"),
   "Nouveau"))</f>
        <v>#VALUE!</v>
      </c>
      <c r="AD4832" s="1" t="str">
        <f>IFERROR(IF(Final_Sans_VGE[[#This Row],[ppn_z]]="","",IFERROR(
   IF(_xlfn.XLOOKUP(Final_Sans_VGE[[#This Row],[ppn_z]],tbl_Historique_Final[[#This Row],[ppn_z]],tbl_Historique_Final[[#This Row],[date_modif]])=Final_Sans_VGE[[#This Row],[date_modif]],
      "Ancien",
      "Modifié"),
   "Nouveau")),"")</f>
        <v/>
      </c>
    </row>
    <row r="4833" spans="24:30" x14ac:dyDescent="0.25">
      <c r="X4833" s="8" t="e">
        <f>IF(Final_Sans_VGE[[#This Row],[ppn_z]]="","",IFERROR(
   IF(_xlfn.XLOOKUP(Final_Sans_VGE[[#This Row],[ppn_z]],tbl_Historique_Final[ppn_z],tbl_Historique_Final[date_modif])=Final_Sans_VGE[[#This Row],[date_modif]],
      "Ancien",
      "Modifié"),
   "Nouveau"))</f>
        <v>#VALUE!</v>
      </c>
      <c r="AD4833" s="1" t="str">
        <f>IFERROR(IF(Final_Sans_VGE[[#This Row],[ppn_z]]="","",IFERROR(
   IF(_xlfn.XLOOKUP(Final_Sans_VGE[[#This Row],[ppn_z]],tbl_Historique_Final[[#This Row],[ppn_z]],tbl_Historique_Final[[#This Row],[date_modif]])=Final_Sans_VGE[[#This Row],[date_modif]],
      "Ancien",
      "Modifié"),
   "Nouveau")),"")</f>
        <v/>
      </c>
    </row>
    <row r="4834" spans="24:30" x14ac:dyDescent="0.25">
      <c r="X4834" s="8" t="e">
        <f>IF(Final_Sans_VGE[[#This Row],[ppn_z]]="","",IFERROR(
   IF(_xlfn.XLOOKUP(Final_Sans_VGE[[#This Row],[ppn_z]],tbl_Historique_Final[ppn_z],tbl_Historique_Final[date_modif])=Final_Sans_VGE[[#This Row],[date_modif]],
      "Ancien",
      "Modifié"),
   "Nouveau"))</f>
        <v>#VALUE!</v>
      </c>
      <c r="AD4834" s="1" t="str">
        <f>IFERROR(IF(Final_Sans_VGE[[#This Row],[ppn_z]]="","",IFERROR(
   IF(_xlfn.XLOOKUP(Final_Sans_VGE[[#This Row],[ppn_z]],tbl_Historique_Final[[#This Row],[ppn_z]],tbl_Historique_Final[[#This Row],[date_modif]])=Final_Sans_VGE[[#This Row],[date_modif]],
      "Ancien",
      "Modifié"),
   "Nouveau")),"")</f>
        <v/>
      </c>
    </row>
    <row r="4835" spans="24:30" x14ac:dyDescent="0.25">
      <c r="X4835" s="8" t="e">
        <f>IF(Final_Sans_VGE[[#This Row],[ppn_z]]="","",IFERROR(
   IF(_xlfn.XLOOKUP(Final_Sans_VGE[[#This Row],[ppn_z]],tbl_Historique_Final[ppn_z],tbl_Historique_Final[date_modif])=Final_Sans_VGE[[#This Row],[date_modif]],
      "Ancien",
      "Modifié"),
   "Nouveau"))</f>
        <v>#VALUE!</v>
      </c>
      <c r="AD4835" s="1" t="str">
        <f>IFERROR(IF(Final_Sans_VGE[[#This Row],[ppn_z]]="","",IFERROR(
   IF(_xlfn.XLOOKUP(Final_Sans_VGE[[#This Row],[ppn_z]],tbl_Historique_Final[[#This Row],[ppn_z]],tbl_Historique_Final[[#This Row],[date_modif]])=Final_Sans_VGE[[#This Row],[date_modif]],
      "Ancien",
      "Modifié"),
   "Nouveau")),"")</f>
        <v/>
      </c>
    </row>
    <row r="4836" spans="24:30" x14ac:dyDescent="0.25">
      <c r="X4836" s="8" t="e">
        <f>IF(Final_Sans_VGE[[#This Row],[ppn_z]]="","",IFERROR(
   IF(_xlfn.XLOOKUP(Final_Sans_VGE[[#This Row],[ppn_z]],tbl_Historique_Final[ppn_z],tbl_Historique_Final[date_modif])=Final_Sans_VGE[[#This Row],[date_modif]],
      "Ancien",
      "Modifié"),
   "Nouveau"))</f>
        <v>#VALUE!</v>
      </c>
      <c r="AD4836" s="1" t="str">
        <f>IFERROR(IF(Final_Sans_VGE[[#This Row],[ppn_z]]="","",IFERROR(
   IF(_xlfn.XLOOKUP(Final_Sans_VGE[[#This Row],[ppn_z]],tbl_Historique_Final[[#This Row],[ppn_z]],tbl_Historique_Final[[#This Row],[date_modif]])=Final_Sans_VGE[[#This Row],[date_modif]],
      "Ancien",
      "Modifié"),
   "Nouveau")),"")</f>
        <v/>
      </c>
    </row>
    <row r="4837" spans="24:30" x14ac:dyDescent="0.25">
      <c r="X4837" s="8" t="e">
        <f>IF(Final_Sans_VGE[[#This Row],[ppn_z]]="","",IFERROR(
   IF(_xlfn.XLOOKUP(Final_Sans_VGE[[#This Row],[ppn_z]],tbl_Historique_Final[ppn_z],tbl_Historique_Final[date_modif])=Final_Sans_VGE[[#This Row],[date_modif]],
      "Ancien",
      "Modifié"),
   "Nouveau"))</f>
        <v>#VALUE!</v>
      </c>
      <c r="AD4837" s="1" t="str">
        <f>IFERROR(IF(Final_Sans_VGE[[#This Row],[ppn_z]]="","",IFERROR(
   IF(_xlfn.XLOOKUP(Final_Sans_VGE[[#This Row],[ppn_z]],tbl_Historique_Final[[#This Row],[ppn_z]],tbl_Historique_Final[[#This Row],[date_modif]])=Final_Sans_VGE[[#This Row],[date_modif]],
      "Ancien",
      "Modifié"),
   "Nouveau")),"")</f>
        <v/>
      </c>
    </row>
    <row r="4838" spans="24:30" x14ac:dyDescent="0.25">
      <c r="X4838" s="8" t="e">
        <f>IF(Final_Sans_VGE[[#This Row],[ppn_z]]="","",IFERROR(
   IF(_xlfn.XLOOKUP(Final_Sans_VGE[[#This Row],[ppn_z]],tbl_Historique_Final[ppn_z],tbl_Historique_Final[date_modif])=Final_Sans_VGE[[#This Row],[date_modif]],
      "Ancien",
      "Modifié"),
   "Nouveau"))</f>
        <v>#VALUE!</v>
      </c>
      <c r="AD4838" s="1" t="str">
        <f>IFERROR(IF(Final_Sans_VGE[[#This Row],[ppn_z]]="","",IFERROR(
   IF(_xlfn.XLOOKUP(Final_Sans_VGE[[#This Row],[ppn_z]],tbl_Historique_Final[[#This Row],[ppn_z]],tbl_Historique_Final[[#This Row],[date_modif]])=Final_Sans_VGE[[#This Row],[date_modif]],
      "Ancien",
      "Modifié"),
   "Nouveau")),"")</f>
        <v/>
      </c>
    </row>
    <row r="4839" spans="24:30" x14ac:dyDescent="0.25">
      <c r="X4839" s="8" t="e">
        <f>IF(Final_Sans_VGE[[#This Row],[ppn_z]]="","",IFERROR(
   IF(_xlfn.XLOOKUP(Final_Sans_VGE[[#This Row],[ppn_z]],tbl_Historique_Final[ppn_z],tbl_Historique_Final[date_modif])=Final_Sans_VGE[[#This Row],[date_modif]],
      "Ancien",
      "Modifié"),
   "Nouveau"))</f>
        <v>#VALUE!</v>
      </c>
      <c r="AD4839" s="1" t="str">
        <f>IFERROR(IF(Final_Sans_VGE[[#This Row],[ppn_z]]="","",IFERROR(
   IF(_xlfn.XLOOKUP(Final_Sans_VGE[[#This Row],[ppn_z]],tbl_Historique_Final[[#This Row],[ppn_z]],tbl_Historique_Final[[#This Row],[date_modif]])=Final_Sans_VGE[[#This Row],[date_modif]],
      "Ancien",
      "Modifié"),
   "Nouveau")),"")</f>
        <v/>
      </c>
    </row>
    <row r="4840" spans="24:30" x14ac:dyDescent="0.25">
      <c r="X4840" s="8" t="e">
        <f>IF(Final_Sans_VGE[[#This Row],[ppn_z]]="","",IFERROR(
   IF(_xlfn.XLOOKUP(Final_Sans_VGE[[#This Row],[ppn_z]],tbl_Historique_Final[ppn_z],tbl_Historique_Final[date_modif])=Final_Sans_VGE[[#This Row],[date_modif]],
      "Ancien",
      "Modifié"),
   "Nouveau"))</f>
        <v>#VALUE!</v>
      </c>
      <c r="AD4840" s="1" t="str">
        <f>IFERROR(IF(Final_Sans_VGE[[#This Row],[ppn_z]]="","",IFERROR(
   IF(_xlfn.XLOOKUP(Final_Sans_VGE[[#This Row],[ppn_z]],tbl_Historique_Final[[#This Row],[ppn_z]],tbl_Historique_Final[[#This Row],[date_modif]])=Final_Sans_VGE[[#This Row],[date_modif]],
      "Ancien",
      "Modifié"),
   "Nouveau")),"")</f>
        <v/>
      </c>
    </row>
    <row r="4841" spans="24:30" x14ac:dyDescent="0.25">
      <c r="X4841" s="8" t="e">
        <f>IF(Final_Sans_VGE[[#This Row],[ppn_z]]="","",IFERROR(
   IF(_xlfn.XLOOKUP(Final_Sans_VGE[[#This Row],[ppn_z]],tbl_Historique_Final[ppn_z],tbl_Historique_Final[date_modif])=Final_Sans_VGE[[#This Row],[date_modif]],
      "Ancien",
      "Modifié"),
   "Nouveau"))</f>
        <v>#VALUE!</v>
      </c>
      <c r="AD4841" s="1" t="str">
        <f>IFERROR(IF(Final_Sans_VGE[[#This Row],[ppn_z]]="","",IFERROR(
   IF(_xlfn.XLOOKUP(Final_Sans_VGE[[#This Row],[ppn_z]],tbl_Historique_Final[[#This Row],[ppn_z]],tbl_Historique_Final[[#This Row],[date_modif]])=Final_Sans_VGE[[#This Row],[date_modif]],
      "Ancien",
      "Modifié"),
   "Nouveau")),"")</f>
        <v/>
      </c>
    </row>
    <row r="4842" spans="24:30" x14ac:dyDescent="0.25">
      <c r="X4842" s="8" t="e">
        <f>IF(Final_Sans_VGE[[#This Row],[ppn_z]]="","",IFERROR(
   IF(_xlfn.XLOOKUP(Final_Sans_VGE[[#This Row],[ppn_z]],tbl_Historique_Final[ppn_z],tbl_Historique_Final[date_modif])=Final_Sans_VGE[[#This Row],[date_modif]],
      "Ancien",
      "Modifié"),
   "Nouveau"))</f>
        <v>#VALUE!</v>
      </c>
      <c r="AD4842" s="1" t="str">
        <f>IFERROR(IF(Final_Sans_VGE[[#This Row],[ppn_z]]="","",IFERROR(
   IF(_xlfn.XLOOKUP(Final_Sans_VGE[[#This Row],[ppn_z]],tbl_Historique_Final[[#This Row],[ppn_z]],tbl_Historique_Final[[#This Row],[date_modif]])=Final_Sans_VGE[[#This Row],[date_modif]],
      "Ancien",
      "Modifié"),
   "Nouveau")),"")</f>
        <v/>
      </c>
    </row>
    <row r="4843" spans="24:30" x14ac:dyDescent="0.25">
      <c r="X4843" s="8" t="e">
        <f>IF(Final_Sans_VGE[[#This Row],[ppn_z]]="","",IFERROR(
   IF(_xlfn.XLOOKUP(Final_Sans_VGE[[#This Row],[ppn_z]],tbl_Historique_Final[ppn_z],tbl_Historique_Final[date_modif])=Final_Sans_VGE[[#This Row],[date_modif]],
      "Ancien",
      "Modifié"),
   "Nouveau"))</f>
        <v>#VALUE!</v>
      </c>
      <c r="AD4843" s="1" t="str">
        <f>IFERROR(IF(Final_Sans_VGE[[#This Row],[ppn_z]]="","",IFERROR(
   IF(_xlfn.XLOOKUP(Final_Sans_VGE[[#This Row],[ppn_z]],tbl_Historique_Final[[#This Row],[ppn_z]],tbl_Historique_Final[[#This Row],[date_modif]])=Final_Sans_VGE[[#This Row],[date_modif]],
      "Ancien",
      "Modifié"),
   "Nouveau")),"")</f>
        <v/>
      </c>
    </row>
    <row r="4844" spans="24:30" x14ac:dyDescent="0.25">
      <c r="X4844" s="8" t="e">
        <f>IF(Final_Sans_VGE[[#This Row],[ppn_z]]="","",IFERROR(
   IF(_xlfn.XLOOKUP(Final_Sans_VGE[[#This Row],[ppn_z]],tbl_Historique_Final[ppn_z],tbl_Historique_Final[date_modif])=Final_Sans_VGE[[#This Row],[date_modif]],
      "Ancien",
      "Modifié"),
   "Nouveau"))</f>
        <v>#VALUE!</v>
      </c>
      <c r="AD4844" s="1" t="str">
        <f>IFERROR(IF(Final_Sans_VGE[[#This Row],[ppn_z]]="","",IFERROR(
   IF(_xlfn.XLOOKUP(Final_Sans_VGE[[#This Row],[ppn_z]],tbl_Historique_Final[[#This Row],[ppn_z]],tbl_Historique_Final[[#This Row],[date_modif]])=Final_Sans_VGE[[#This Row],[date_modif]],
      "Ancien",
      "Modifié"),
   "Nouveau")),"")</f>
        <v/>
      </c>
    </row>
    <row r="4845" spans="24:30" x14ac:dyDescent="0.25">
      <c r="X4845" s="8" t="e">
        <f>IF(Final_Sans_VGE[[#This Row],[ppn_z]]="","",IFERROR(
   IF(_xlfn.XLOOKUP(Final_Sans_VGE[[#This Row],[ppn_z]],tbl_Historique_Final[ppn_z],tbl_Historique_Final[date_modif])=Final_Sans_VGE[[#This Row],[date_modif]],
      "Ancien",
      "Modifié"),
   "Nouveau"))</f>
        <v>#VALUE!</v>
      </c>
      <c r="AD4845" s="1" t="str">
        <f>IFERROR(IF(Final_Sans_VGE[[#This Row],[ppn_z]]="","",IFERROR(
   IF(_xlfn.XLOOKUP(Final_Sans_VGE[[#This Row],[ppn_z]],tbl_Historique_Final[[#This Row],[ppn_z]],tbl_Historique_Final[[#This Row],[date_modif]])=Final_Sans_VGE[[#This Row],[date_modif]],
      "Ancien",
      "Modifié"),
   "Nouveau")),"")</f>
        <v/>
      </c>
    </row>
    <row r="4846" spans="24:30" x14ac:dyDescent="0.25">
      <c r="X4846" s="8" t="e">
        <f>IF(Final_Sans_VGE[[#This Row],[ppn_z]]="","",IFERROR(
   IF(_xlfn.XLOOKUP(Final_Sans_VGE[[#This Row],[ppn_z]],tbl_Historique_Final[ppn_z],tbl_Historique_Final[date_modif])=Final_Sans_VGE[[#This Row],[date_modif]],
      "Ancien",
      "Modifié"),
   "Nouveau"))</f>
        <v>#VALUE!</v>
      </c>
      <c r="AD4846" s="1" t="str">
        <f>IFERROR(IF(Final_Sans_VGE[[#This Row],[ppn_z]]="","",IFERROR(
   IF(_xlfn.XLOOKUP(Final_Sans_VGE[[#This Row],[ppn_z]],tbl_Historique_Final[[#This Row],[ppn_z]],tbl_Historique_Final[[#This Row],[date_modif]])=Final_Sans_VGE[[#This Row],[date_modif]],
      "Ancien",
      "Modifié"),
   "Nouveau")),"")</f>
        <v/>
      </c>
    </row>
    <row r="4847" spans="24:30" x14ac:dyDescent="0.25">
      <c r="X4847" s="8" t="e">
        <f>IF(Final_Sans_VGE[[#This Row],[ppn_z]]="","",IFERROR(
   IF(_xlfn.XLOOKUP(Final_Sans_VGE[[#This Row],[ppn_z]],tbl_Historique_Final[ppn_z],tbl_Historique_Final[date_modif])=Final_Sans_VGE[[#This Row],[date_modif]],
      "Ancien",
      "Modifié"),
   "Nouveau"))</f>
        <v>#VALUE!</v>
      </c>
      <c r="AD4847" s="1" t="str">
        <f>IFERROR(IF(Final_Sans_VGE[[#This Row],[ppn_z]]="","",IFERROR(
   IF(_xlfn.XLOOKUP(Final_Sans_VGE[[#This Row],[ppn_z]],tbl_Historique_Final[[#This Row],[ppn_z]],tbl_Historique_Final[[#This Row],[date_modif]])=Final_Sans_VGE[[#This Row],[date_modif]],
      "Ancien",
      "Modifié"),
   "Nouveau")),"")</f>
        <v/>
      </c>
    </row>
    <row r="4848" spans="24:30" x14ac:dyDescent="0.25">
      <c r="X4848" s="8" t="e">
        <f>IF(Final_Sans_VGE[[#This Row],[ppn_z]]="","",IFERROR(
   IF(_xlfn.XLOOKUP(Final_Sans_VGE[[#This Row],[ppn_z]],tbl_Historique_Final[ppn_z],tbl_Historique_Final[date_modif])=Final_Sans_VGE[[#This Row],[date_modif]],
      "Ancien",
      "Modifié"),
   "Nouveau"))</f>
        <v>#VALUE!</v>
      </c>
      <c r="AD4848" s="1" t="str">
        <f>IFERROR(IF(Final_Sans_VGE[[#This Row],[ppn_z]]="","",IFERROR(
   IF(_xlfn.XLOOKUP(Final_Sans_VGE[[#This Row],[ppn_z]],tbl_Historique_Final[[#This Row],[ppn_z]],tbl_Historique_Final[[#This Row],[date_modif]])=Final_Sans_VGE[[#This Row],[date_modif]],
      "Ancien",
      "Modifié"),
   "Nouveau")),"")</f>
        <v/>
      </c>
    </row>
    <row r="4849" spans="24:30" x14ac:dyDescent="0.25">
      <c r="X4849" s="8" t="e">
        <f>IF(Final_Sans_VGE[[#This Row],[ppn_z]]="","",IFERROR(
   IF(_xlfn.XLOOKUP(Final_Sans_VGE[[#This Row],[ppn_z]],tbl_Historique_Final[ppn_z],tbl_Historique_Final[date_modif])=Final_Sans_VGE[[#This Row],[date_modif]],
      "Ancien",
      "Modifié"),
   "Nouveau"))</f>
        <v>#VALUE!</v>
      </c>
      <c r="AD4849" s="1" t="str">
        <f>IFERROR(IF(Final_Sans_VGE[[#This Row],[ppn_z]]="","",IFERROR(
   IF(_xlfn.XLOOKUP(Final_Sans_VGE[[#This Row],[ppn_z]],tbl_Historique_Final[[#This Row],[ppn_z]],tbl_Historique_Final[[#This Row],[date_modif]])=Final_Sans_VGE[[#This Row],[date_modif]],
      "Ancien",
      "Modifié"),
   "Nouveau")),"")</f>
        <v/>
      </c>
    </row>
    <row r="4850" spans="24:30" x14ac:dyDescent="0.25">
      <c r="X4850" s="8" t="e">
        <f>IF(Final_Sans_VGE[[#This Row],[ppn_z]]="","",IFERROR(
   IF(_xlfn.XLOOKUP(Final_Sans_VGE[[#This Row],[ppn_z]],tbl_Historique_Final[ppn_z],tbl_Historique_Final[date_modif])=Final_Sans_VGE[[#This Row],[date_modif]],
      "Ancien",
      "Modifié"),
   "Nouveau"))</f>
        <v>#VALUE!</v>
      </c>
      <c r="AD4850" s="1" t="str">
        <f>IFERROR(IF(Final_Sans_VGE[[#This Row],[ppn_z]]="","",IFERROR(
   IF(_xlfn.XLOOKUP(Final_Sans_VGE[[#This Row],[ppn_z]],tbl_Historique_Final[[#This Row],[ppn_z]],tbl_Historique_Final[[#This Row],[date_modif]])=Final_Sans_VGE[[#This Row],[date_modif]],
      "Ancien",
      "Modifié"),
   "Nouveau")),"")</f>
        <v/>
      </c>
    </row>
    <row r="4851" spans="24:30" x14ac:dyDescent="0.25">
      <c r="X4851" s="8" t="e">
        <f>IF(Final_Sans_VGE[[#This Row],[ppn_z]]="","",IFERROR(
   IF(_xlfn.XLOOKUP(Final_Sans_VGE[[#This Row],[ppn_z]],tbl_Historique_Final[ppn_z],tbl_Historique_Final[date_modif])=Final_Sans_VGE[[#This Row],[date_modif]],
      "Ancien",
      "Modifié"),
   "Nouveau"))</f>
        <v>#VALUE!</v>
      </c>
      <c r="AD4851" s="1" t="str">
        <f>IFERROR(IF(Final_Sans_VGE[[#This Row],[ppn_z]]="","",IFERROR(
   IF(_xlfn.XLOOKUP(Final_Sans_VGE[[#This Row],[ppn_z]],tbl_Historique_Final[[#This Row],[ppn_z]],tbl_Historique_Final[[#This Row],[date_modif]])=Final_Sans_VGE[[#This Row],[date_modif]],
      "Ancien",
      "Modifié"),
   "Nouveau")),"")</f>
        <v/>
      </c>
    </row>
    <row r="4852" spans="24:30" x14ac:dyDescent="0.25">
      <c r="X4852" s="8" t="e">
        <f>IF(Final_Sans_VGE[[#This Row],[ppn_z]]="","",IFERROR(
   IF(_xlfn.XLOOKUP(Final_Sans_VGE[[#This Row],[ppn_z]],tbl_Historique_Final[ppn_z],tbl_Historique_Final[date_modif])=Final_Sans_VGE[[#This Row],[date_modif]],
      "Ancien",
      "Modifié"),
   "Nouveau"))</f>
        <v>#VALUE!</v>
      </c>
      <c r="AD4852" s="1" t="str">
        <f>IFERROR(IF(Final_Sans_VGE[[#This Row],[ppn_z]]="","",IFERROR(
   IF(_xlfn.XLOOKUP(Final_Sans_VGE[[#This Row],[ppn_z]],tbl_Historique_Final[[#This Row],[ppn_z]],tbl_Historique_Final[[#This Row],[date_modif]])=Final_Sans_VGE[[#This Row],[date_modif]],
      "Ancien",
      "Modifié"),
   "Nouveau")),"")</f>
        <v/>
      </c>
    </row>
    <row r="4853" spans="24:30" x14ac:dyDescent="0.25">
      <c r="X4853" s="8" t="e">
        <f>IF(Final_Sans_VGE[[#This Row],[ppn_z]]="","",IFERROR(
   IF(_xlfn.XLOOKUP(Final_Sans_VGE[[#This Row],[ppn_z]],tbl_Historique_Final[ppn_z],tbl_Historique_Final[date_modif])=Final_Sans_VGE[[#This Row],[date_modif]],
      "Ancien",
      "Modifié"),
   "Nouveau"))</f>
        <v>#VALUE!</v>
      </c>
      <c r="AD4853" s="1" t="str">
        <f>IFERROR(IF(Final_Sans_VGE[[#This Row],[ppn_z]]="","",IFERROR(
   IF(_xlfn.XLOOKUP(Final_Sans_VGE[[#This Row],[ppn_z]],tbl_Historique_Final[[#This Row],[ppn_z]],tbl_Historique_Final[[#This Row],[date_modif]])=Final_Sans_VGE[[#This Row],[date_modif]],
      "Ancien",
      "Modifié"),
   "Nouveau")),"")</f>
        <v/>
      </c>
    </row>
    <row r="4854" spans="24:30" x14ac:dyDescent="0.25">
      <c r="X4854" s="8" t="e">
        <f>IF(Final_Sans_VGE[[#This Row],[ppn_z]]="","",IFERROR(
   IF(_xlfn.XLOOKUP(Final_Sans_VGE[[#This Row],[ppn_z]],tbl_Historique_Final[ppn_z],tbl_Historique_Final[date_modif])=Final_Sans_VGE[[#This Row],[date_modif]],
      "Ancien",
      "Modifié"),
   "Nouveau"))</f>
        <v>#VALUE!</v>
      </c>
      <c r="AD4854" s="1" t="str">
        <f>IFERROR(IF(Final_Sans_VGE[[#This Row],[ppn_z]]="","",IFERROR(
   IF(_xlfn.XLOOKUP(Final_Sans_VGE[[#This Row],[ppn_z]],tbl_Historique_Final[[#This Row],[ppn_z]],tbl_Historique_Final[[#This Row],[date_modif]])=Final_Sans_VGE[[#This Row],[date_modif]],
      "Ancien",
      "Modifié"),
   "Nouveau")),"")</f>
        <v/>
      </c>
    </row>
    <row r="4855" spans="24:30" x14ac:dyDescent="0.25">
      <c r="X4855" s="8" t="e">
        <f>IF(Final_Sans_VGE[[#This Row],[ppn_z]]="","",IFERROR(
   IF(_xlfn.XLOOKUP(Final_Sans_VGE[[#This Row],[ppn_z]],tbl_Historique_Final[ppn_z],tbl_Historique_Final[date_modif])=Final_Sans_VGE[[#This Row],[date_modif]],
      "Ancien",
      "Modifié"),
   "Nouveau"))</f>
        <v>#VALUE!</v>
      </c>
      <c r="AD4855" s="1" t="str">
        <f>IFERROR(IF(Final_Sans_VGE[[#This Row],[ppn_z]]="","",IFERROR(
   IF(_xlfn.XLOOKUP(Final_Sans_VGE[[#This Row],[ppn_z]],tbl_Historique_Final[[#This Row],[ppn_z]],tbl_Historique_Final[[#This Row],[date_modif]])=Final_Sans_VGE[[#This Row],[date_modif]],
      "Ancien",
      "Modifié"),
   "Nouveau")),"")</f>
        <v/>
      </c>
    </row>
    <row r="4856" spans="24:30" x14ac:dyDescent="0.25">
      <c r="X4856" s="8" t="e">
        <f>IF(Final_Sans_VGE[[#This Row],[ppn_z]]="","",IFERROR(
   IF(_xlfn.XLOOKUP(Final_Sans_VGE[[#This Row],[ppn_z]],tbl_Historique_Final[ppn_z],tbl_Historique_Final[date_modif])=Final_Sans_VGE[[#This Row],[date_modif]],
      "Ancien",
      "Modifié"),
   "Nouveau"))</f>
        <v>#VALUE!</v>
      </c>
      <c r="AD4856" s="1" t="str">
        <f>IFERROR(IF(Final_Sans_VGE[[#This Row],[ppn_z]]="","",IFERROR(
   IF(_xlfn.XLOOKUP(Final_Sans_VGE[[#This Row],[ppn_z]],tbl_Historique_Final[[#This Row],[ppn_z]],tbl_Historique_Final[[#This Row],[date_modif]])=Final_Sans_VGE[[#This Row],[date_modif]],
      "Ancien",
      "Modifié"),
   "Nouveau")),"")</f>
        <v/>
      </c>
    </row>
    <row r="4857" spans="24:30" x14ac:dyDescent="0.25">
      <c r="X4857" s="8" t="e">
        <f>IF(Final_Sans_VGE[[#This Row],[ppn_z]]="","",IFERROR(
   IF(_xlfn.XLOOKUP(Final_Sans_VGE[[#This Row],[ppn_z]],tbl_Historique_Final[ppn_z],tbl_Historique_Final[date_modif])=Final_Sans_VGE[[#This Row],[date_modif]],
      "Ancien",
      "Modifié"),
   "Nouveau"))</f>
        <v>#VALUE!</v>
      </c>
      <c r="AD4857" s="1" t="str">
        <f>IFERROR(IF(Final_Sans_VGE[[#This Row],[ppn_z]]="","",IFERROR(
   IF(_xlfn.XLOOKUP(Final_Sans_VGE[[#This Row],[ppn_z]],tbl_Historique_Final[[#This Row],[ppn_z]],tbl_Historique_Final[[#This Row],[date_modif]])=Final_Sans_VGE[[#This Row],[date_modif]],
      "Ancien",
      "Modifié"),
   "Nouveau")),"")</f>
        <v/>
      </c>
    </row>
    <row r="4858" spans="24:30" x14ac:dyDescent="0.25">
      <c r="X4858" s="8" t="e">
        <f>IF(Final_Sans_VGE[[#This Row],[ppn_z]]="","",IFERROR(
   IF(_xlfn.XLOOKUP(Final_Sans_VGE[[#This Row],[ppn_z]],tbl_Historique_Final[ppn_z],tbl_Historique_Final[date_modif])=Final_Sans_VGE[[#This Row],[date_modif]],
      "Ancien",
      "Modifié"),
   "Nouveau"))</f>
        <v>#VALUE!</v>
      </c>
      <c r="AD4858" s="1" t="str">
        <f>IFERROR(IF(Final_Sans_VGE[[#This Row],[ppn_z]]="","",IFERROR(
   IF(_xlfn.XLOOKUP(Final_Sans_VGE[[#This Row],[ppn_z]],tbl_Historique_Final[[#This Row],[ppn_z]],tbl_Historique_Final[[#This Row],[date_modif]])=Final_Sans_VGE[[#This Row],[date_modif]],
      "Ancien",
      "Modifié"),
   "Nouveau")),"")</f>
        <v/>
      </c>
    </row>
    <row r="4859" spans="24:30" x14ac:dyDescent="0.25">
      <c r="X4859" s="8" t="e">
        <f>IF(Final_Sans_VGE[[#This Row],[ppn_z]]="","",IFERROR(
   IF(_xlfn.XLOOKUP(Final_Sans_VGE[[#This Row],[ppn_z]],tbl_Historique_Final[ppn_z],tbl_Historique_Final[date_modif])=Final_Sans_VGE[[#This Row],[date_modif]],
      "Ancien",
      "Modifié"),
   "Nouveau"))</f>
        <v>#VALUE!</v>
      </c>
      <c r="AD4859" s="1" t="str">
        <f>IFERROR(IF(Final_Sans_VGE[[#This Row],[ppn_z]]="","",IFERROR(
   IF(_xlfn.XLOOKUP(Final_Sans_VGE[[#This Row],[ppn_z]],tbl_Historique_Final[[#This Row],[ppn_z]],tbl_Historique_Final[[#This Row],[date_modif]])=Final_Sans_VGE[[#This Row],[date_modif]],
      "Ancien",
      "Modifié"),
   "Nouveau")),"")</f>
        <v/>
      </c>
    </row>
    <row r="4860" spans="24:30" x14ac:dyDescent="0.25">
      <c r="X4860" s="8" t="e">
        <f>IF(Final_Sans_VGE[[#This Row],[ppn_z]]="","",IFERROR(
   IF(_xlfn.XLOOKUP(Final_Sans_VGE[[#This Row],[ppn_z]],tbl_Historique_Final[ppn_z],tbl_Historique_Final[date_modif])=Final_Sans_VGE[[#This Row],[date_modif]],
      "Ancien",
      "Modifié"),
   "Nouveau"))</f>
        <v>#VALUE!</v>
      </c>
      <c r="AD4860" s="1" t="str">
        <f>IFERROR(IF(Final_Sans_VGE[[#This Row],[ppn_z]]="","",IFERROR(
   IF(_xlfn.XLOOKUP(Final_Sans_VGE[[#This Row],[ppn_z]],tbl_Historique_Final[[#This Row],[ppn_z]],tbl_Historique_Final[[#This Row],[date_modif]])=Final_Sans_VGE[[#This Row],[date_modif]],
      "Ancien",
      "Modifié"),
   "Nouveau")),"")</f>
        <v/>
      </c>
    </row>
    <row r="4861" spans="24:30" x14ac:dyDescent="0.25">
      <c r="X4861" s="8" t="e">
        <f>IF(Final_Sans_VGE[[#This Row],[ppn_z]]="","",IFERROR(
   IF(_xlfn.XLOOKUP(Final_Sans_VGE[[#This Row],[ppn_z]],tbl_Historique_Final[ppn_z],tbl_Historique_Final[date_modif])=Final_Sans_VGE[[#This Row],[date_modif]],
      "Ancien",
      "Modifié"),
   "Nouveau"))</f>
        <v>#VALUE!</v>
      </c>
      <c r="AD4861" s="1" t="str">
        <f>IFERROR(IF(Final_Sans_VGE[[#This Row],[ppn_z]]="","",IFERROR(
   IF(_xlfn.XLOOKUP(Final_Sans_VGE[[#This Row],[ppn_z]],tbl_Historique_Final[[#This Row],[ppn_z]],tbl_Historique_Final[[#This Row],[date_modif]])=Final_Sans_VGE[[#This Row],[date_modif]],
      "Ancien",
      "Modifié"),
   "Nouveau")),"")</f>
        <v/>
      </c>
    </row>
    <row r="4862" spans="24:30" x14ac:dyDescent="0.25">
      <c r="X4862" s="8" t="e">
        <f>IF(Final_Sans_VGE[[#This Row],[ppn_z]]="","",IFERROR(
   IF(_xlfn.XLOOKUP(Final_Sans_VGE[[#This Row],[ppn_z]],tbl_Historique_Final[ppn_z],tbl_Historique_Final[date_modif])=Final_Sans_VGE[[#This Row],[date_modif]],
      "Ancien",
      "Modifié"),
   "Nouveau"))</f>
        <v>#VALUE!</v>
      </c>
      <c r="AD4862" s="1" t="str">
        <f>IFERROR(IF(Final_Sans_VGE[[#This Row],[ppn_z]]="","",IFERROR(
   IF(_xlfn.XLOOKUP(Final_Sans_VGE[[#This Row],[ppn_z]],tbl_Historique_Final[[#This Row],[ppn_z]],tbl_Historique_Final[[#This Row],[date_modif]])=Final_Sans_VGE[[#This Row],[date_modif]],
      "Ancien",
      "Modifié"),
   "Nouveau")),"")</f>
        <v/>
      </c>
    </row>
    <row r="4863" spans="24:30" x14ac:dyDescent="0.25">
      <c r="X4863" s="8" t="e">
        <f>IF(Final_Sans_VGE[[#This Row],[ppn_z]]="","",IFERROR(
   IF(_xlfn.XLOOKUP(Final_Sans_VGE[[#This Row],[ppn_z]],tbl_Historique_Final[ppn_z],tbl_Historique_Final[date_modif])=Final_Sans_VGE[[#This Row],[date_modif]],
      "Ancien",
      "Modifié"),
   "Nouveau"))</f>
        <v>#VALUE!</v>
      </c>
      <c r="AD4863" s="1" t="str">
        <f>IFERROR(IF(Final_Sans_VGE[[#This Row],[ppn_z]]="","",IFERROR(
   IF(_xlfn.XLOOKUP(Final_Sans_VGE[[#This Row],[ppn_z]],tbl_Historique_Final[[#This Row],[ppn_z]],tbl_Historique_Final[[#This Row],[date_modif]])=Final_Sans_VGE[[#This Row],[date_modif]],
      "Ancien",
      "Modifié"),
   "Nouveau")),"")</f>
        <v/>
      </c>
    </row>
    <row r="4864" spans="24:30" x14ac:dyDescent="0.25">
      <c r="X4864" s="8" t="e">
        <f>IF(Final_Sans_VGE[[#This Row],[ppn_z]]="","",IFERROR(
   IF(_xlfn.XLOOKUP(Final_Sans_VGE[[#This Row],[ppn_z]],tbl_Historique_Final[ppn_z],tbl_Historique_Final[date_modif])=Final_Sans_VGE[[#This Row],[date_modif]],
      "Ancien",
      "Modifié"),
   "Nouveau"))</f>
        <v>#VALUE!</v>
      </c>
      <c r="AD4864" s="1" t="str">
        <f>IFERROR(IF(Final_Sans_VGE[[#This Row],[ppn_z]]="","",IFERROR(
   IF(_xlfn.XLOOKUP(Final_Sans_VGE[[#This Row],[ppn_z]],tbl_Historique_Final[[#This Row],[ppn_z]],tbl_Historique_Final[[#This Row],[date_modif]])=Final_Sans_VGE[[#This Row],[date_modif]],
      "Ancien",
      "Modifié"),
   "Nouveau")),"")</f>
        <v/>
      </c>
    </row>
    <row r="4865" spans="24:30" x14ac:dyDescent="0.25">
      <c r="X4865" s="8" t="e">
        <f>IF(Final_Sans_VGE[[#This Row],[ppn_z]]="","",IFERROR(
   IF(_xlfn.XLOOKUP(Final_Sans_VGE[[#This Row],[ppn_z]],tbl_Historique_Final[ppn_z],tbl_Historique_Final[date_modif])=Final_Sans_VGE[[#This Row],[date_modif]],
      "Ancien",
      "Modifié"),
   "Nouveau"))</f>
        <v>#VALUE!</v>
      </c>
      <c r="AD4865" s="1" t="str">
        <f>IFERROR(IF(Final_Sans_VGE[[#This Row],[ppn_z]]="","",IFERROR(
   IF(_xlfn.XLOOKUP(Final_Sans_VGE[[#This Row],[ppn_z]],tbl_Historique_Final[[#This Row],[ppn_z]],tbl_Historique_Final[[#This Row],[date_modif]])=Final_Sans_VGE[[#This Row],[date_modif]],
      "Ancien",
      "Modifié"),
   "Nouveau")),"")</f>
        <v/>
      </c>
    </row>
    <row r="4866" spans="24:30" x14ac:dyDescent="0.25">
      <c r="X4866" s="8" t="e">
        <f>IF(Final_Sans_VGE[[#This Row],[ppn_z]]="","",IFERROR(
   IF(_xlfn.XLOOKUP(Final_Sans_VGE[[#This Row],[ppn_z]],tbl_Historique_Final[ppn_z],tbl_Historique_Final[date_modif])=Final_Sans_VGE[[#This Row],[date_modif]],
      "Ancien",
      "Modifié"),
   "Nouveau"))</f>
        <v>#VALUE!</v>
      </c>
      <c r="AD4866" s="1" t="str">
        <f>IFERROR(IF(Final_Sans_VGE[[#This Row],[ppn_z]]="","",IFERROR(
   IF(_xlfn.XLOOKUP(Final_Sans_VGE[[#This Row],[ppn_z]],tbl_Historique_Final[[#This Row],[ppn_z]],tbl_Historique_Final[[#This Row],[date_modif]])=Final_Sans_VGE[[#This Row],[date_modif]],
      "Ancien",
      "Modifié"),
   "Nouveau")),"")</f>
        <v/>
      </c>
    </row>
    <row r="4867" spans="24:30" x14ac:dyDescent="0.25">
      <c r="X4867" s="8" t="e">
        <f>IF(Final_Sans_VGE[[#This Row],[ppn_z]]="","",IFERROR(
   IF(_xlfn.XLOOKUP(Final_Sans_VGE[[#This Row],[ppn_z]],tbl_Historique_Final[ppn_z],tbl_Historique_Final[date_modif])=Final_Sans_VGE[[#This Row],[date_modif]],
      "Ancien",
      "Modifié"),
   "Nouveau"))</f>
        <v>#VALUE!</v>
      </c>
      <c r="AD4867" s="1" t="str">
        <f>IFERROR(IF(Final_Sans_VGE[[#This Row],[ppn_z]]="","",IFERROR(
   IF(_xlfn.XLOOKUP(Final_Sans_VGE[[#This Row],[ppn_z]],tbl_Historique_Final[[#This Row],[ppn_z]],tbl_Historique_Final[[#This Row],[date_modif]])=Final_Sans_VGE[[#This Row],[date_modif]],
      "Ancien",
      "Modifié"),
   "Nouveau")),"")</f>
        <v/>
      </c>
    </row>
    <row r="4868" spans="24:30" x14ac:dyDescent="0.25">
      <c r="X4868" s="8" t="e">
        <f>IF(Final_Sans_VGE[[#This Row],[ppn_z]]="","",IFERROR(
   IF(_xlfn.XLOOKUP(Final_Sans_VGE[[#This Row],[ppn_z]],tbl_Historique_Final[ppn_z],tbl_Historique_Final[date_modif])=Final_Sans_VGE[[#This Row],[date_modif]],
      "Ancien",
      "Modifié"),
   "Nouveau"))</f>
        <v>#VALUE!</v>
      </c>
      <c r="AD4868" s="1" t="str">
        <f>IFERROR(IF(Final_Sans_VGE[[#This Row],[ppn_z]]="","",IFERROR(
   IF(_xlfn.XLOOKUP(Final_Sans_VGE[[#This Row],[ppn_z]],tbl_Historique_Final[[#This Row],[ppn_z]],tbl_Historique_Final[[#This Row],[date_modif]])=Final_Sans_VGE[[#This Row],[date_modif]],
      "Ancien",
      "Modifié"),
   "Nouveau")),"")</f>
        <v/>
      </c>
    </row>
    <row r="4869" spans="24:30" x14ac:dyDescent="0.25">
      <c r="X4869" s="8" t="e">
        <f>IF(Final_Sans_VGE[[#This Row],[ppn_z]]="","",IFERROR(
   IF(_xlfn.XLOOKUP(Final_Sans_VGE[[#This Row],[ppn_z]],tbl_Historique_Final[ppn_z],tbl_Historique_Final[date_modif])=Final_Sans_VGE[[#This Row],[date_modif]],
      "Ancien",
      "Modifié"),
   "Nouveau"))</f>
        <v>#VALUE!</v>
      </c>
      <c r="AD4869" s="1" t="str">
        <f>IFERROR(IF(Final_Sans_VGE[[#This Row],[ppn_z]]="","",IFERROR(
   IF(_xlfn.XLOOKUP(Final_Sans_VGE[[#This Row],[ppn_z]],tbl_Historique_Final[[#This Row],[ppn_z]],tbl_Historique_Final[[#This Row],[date_modif]])=Final_Sans_VGE[[#This Row],[date_modif]],
      "Ancien",
      "Modifié"),
   "Nouveau")),"")</f>
        <v/>
      </c>
    </row>
    <row r="4870" spans="24:30" x14ac:dyDescent="0.25">
      <c r="X4870" s="8" t="e">
        <f>IF(Final_Sans_VGE[[#This Row],[ppn_z]]="","",IFERROR(
   IF(_xlfn.XLOOKUP(Final_Sans_VGE[[#This Row],[ppn_z]],tbl_Historique_Final[ppn_z],tbl_Historique_Final[date_modif])=Final_Sans_VGE[[#This Row],[date_modif]],
      "Ancien",
      "Modifié"),
   "Nouveau"))</f>
        <v>#VALUE!</v>
      </c>
      <c r="AD4870" s="1" t="str">
        <f>IFERROR(IF(Final_Sans_VGE[[#This Row],[ppn_z]]="","",IFERROR(
   IF(_xlfn.XLOOKUP(Final_Sans_VGE[[#This Row],[ppn_z]],tbl_Historique_Final[[#This Row],[ppn_z]],tbl_Historique_Final[[#This Row],[date_modif]])=Final_Sans_VGE[[#This Row],[date_modif]],
      "Ancien",
      "Modifié"),
   "Nouveau")),"")</f>
        <v/>
      </c>
    </row>
    <row r="4871" spans="24:30" x14ac:dyDescent="0.25">
      <c r="X4871" s="8" t="e">
        <f>IF(Final_Sans_VGE[[#This Row],[ppn_z]]="","",IFERROR(
   IF(_xlfn.XLOOKUP(Final_Sans_VGE[[#This Row],[ppn_z]],tbl_Historique_Final[ppn_z],tbl_Historique_Final[date_modif])=Final_Sans_VGE[[#This Row],[date_modif]],
      "Ancien",
      "Modifié"),
   "Nouveau"))</f>
        <v>#VALUE!</v>
      </c>
      <c r="AD4871" s="1" t="str">
        <f>IFERROR(IF(Final_Sans_VGE[[#This Row],[ppn_z]]="","",IFERROR(
   IF(_xlfn.XLOOKUP(Final_Sans_VGE[[#This Row],[ppn_z]],tbl_Historique_Final[[#This Row],[ppn_z]],tbl_Historique_Final[[#This Row],[date_modif]])=Final_Sans_VGE[[#This Row],[date_modif]],
      "Ancien",
      "Modifié"),
   "Nouveau")),"")</f>
        <v/>
      </c>
    </row>
    <row r="4872" spans="24:30" x14ac:dyDescent="0.25">
      <c r="X4872" s="8" t="e">
        <f>IF(Final_Sans_VGE[[#This Row],[ppn_z]]="","",IFERROR(
   IF(_xlfn.XLOOKUP(Final_Sans_VGE[[#This Row],[ppn_z]],tbl_Historique_Final[ppn_z],tbl_Historique_Final[date_modif])=Final_Sans_VGE[[#This Row],[date_modif]],
      "Ancien",
      "Modifié"),
   "Nouveau"))</f>
        <v>#VALUE!</v>
      </c>
      <c r="AD4872" s="1" t="str">
        <f>IFERROR(IF(Final_Sans_VGE[[#This Row],[ppn_z]]="","",IFERROR(
   IF(_xlfn.XLOOKUP(Final_Sans_VGE[[#This Row],[ppn_z]],tbl_Historique_Final[[#This Row],[ppn_z]],tbl_Historique_Final[[#This Row],[date_modif]])=Final_Sans_VGE[[#This Row],[date_modif]],
      "Ancien",
      "Modifié"),
   "Nouveau")),"")</f>
        <v/>
      </c>
    </row>
    <row r="4873" spans="24:30" x14ac:dyDescent="0.25">
      <c r="X4873" s="8" t="e">
        <f>IF(Final_Sans_VGE[[#This Row],[ppn_z]]="","",IFERROR(
   IF(_xlfn.XLOOKUP(Final_Sans_VGE[[#This Row],[ppn_z]],tbl_Historique_Final[ppn_z],tbl_Historique_Final[date_modif])=Final_Sans_VGE[[#This Row],[date_modif]],
      "Ancien",
      "Modifié"),
   "Nouveau"))</f>
        <v>#VALUE!</v>
      </c>
      <c r="AD4873" s="1" t="str">
        <f>IFERROR(IF(Final_Sans_VGE[[#This Row],[ppn_z]]="","",IFERROR(
   IF(_xlfn.XLOOKUP(Final_Sans_VGE[[#This Row],[ppn_z]],tbl_Historique_Final[[#This Row],[ppn_z]],tbl_Historique_Final[[#This Row],[date_modif]])=Final_Sans_VGE[[#This Row],[date_modif]],
      "Ancien",
      "Modifié"),
   "Nouveau")),"")</f>
        <v/>
      </c>
    </row>
    <row r="4874" spans="24:30" x14ac:dyDescent="0.25">
      <c r="X4874" s="8" t="e">
        <f>IF(Final_Sans_VGE[[#This Row],[ppn_z]]="","",IFERROR(
   IF(_xlfn.XLOOKUP(Final_Sans_VGE[[#This Row],[ppn_z]],tbl_Historique_Final[ppn_z],tbl_Historique_Final[date_modif])=Final_Sans_VGE[[#This Row],[date_modif]],
      "Ancien",
      "Modifié"),
   "Nouveau"))</f>
        <v>#VALUE!</v>
      </c>
      <c r="AD4874" s="1" t="str">
        <f>IFERROR(IF(Final_Sans_VGE[[#This Row],[ppn_z]]="","",IFERROR(
   IF(_xlfn.XLOOKUP(Final_Sans_VGE[[#This Row],[ppn_z]],tbl_Historique_Final[[#This Row],[ppn_z]],tbl_Historique_Final[[#This Row],[date_modif]])=Final_Sans_VGE[[#This Row],[date_modif]],
      "Ancien",
      "Modifié"),
   "Nouveau")),"")</f>
        <v/>
      </c>
    </row>
    <row r="4875" spans="24:30" x14ac:dyDescent="0.25">
      <c r="X4875" s="8" t="e">
        <f>IF(Final_Sans_VGE[[#This Row],[ppn_z]]="","",IFERROR(
   IF(_xlfn.XLOOKUP(Final_Sans_VGE[[#This Row],[ppn_z]],tbl_Historique_Final[ppn_z],tbl_Historique_Final[date_modif])=Final_Sans_VGE[[#This Row],[date_modif]],
      "Ancien",
      "Modifié"),
   "Nouveau"))</f>
        <v>#VALUE!</v>
      </c>
      <c r="AD4875" s="1" t="str">
        <f>IFERROR(IF(Final_Sans_VGE[[#This Row],[ppn_z]]="","",IFERROR(
   IF(_xlfn.XLOOKUP(Final_Sans_VGE[[#This Row],[ppn_z]],tbl_Historique_Final[[#This Row],[ppn_z]],tbl_Historique_Final[[#This Row],[date_modif]])=Final_Sans_VGE[[#This Row],[date_modif]],
      "Ancien",
      "Modifié"),
   "Nouveau")),"")</f>
        <v/>
      </c>
    </row>
    <row r="4876" spans="24:30" x14ac:dyDescent="0.25">
      <c r="X4876" s="8" t="e">
        <f>IF(Final_Sans_VGE[[#This Row],[ppn_z]]="","",IFERROR(
   IF(_xlfn.XLOOKUP(Final_Sans_VGE[[#This Row],[ppn_z]],tbl_Historique_Final[ppn_z],tbl_Historique_Final[date_modif])=Final_Sans_VGE[[#This Row],[date_modif]],
      "Ancien",
      "Modifié"),
   "Nouveau"))</f>
        <v>#VALUE!</v>
      </c>
      <c r="AD4876" s="1" t="str">
        <f>IFERROR(IF(Final_Sans_VGE[[#This Row],[ppn_z]]="","",IFERROR(
   IF(_xlfn.XLOOKUP(Final_Sans_VGE[[#This Row],[ppn_z]],tbl_Historique_Final[[#This Row],[ppn_z]],tbl_Historique_Final[[#This Row],[date_modif]])=Final_Sans_VGE[[#This Row],[date_modif]],
      "Ancien",
      "Modifié"),
   "Nouveau")),"")</f>
        <v/>
      </c>
    </row>
    <row r="4877" spans="24:30" x14ac:dyDescent="0.25">
      <c r="X4877" s="8" t="e">
        <f>IF(Final_Sans_VGE[[#This Row],[ppn_z]]="","",IFERROR(
   IF(_xlfn.XLOOKUP(Final_Sans_VGE[[#This Row],[ppn_z]],tbl_Historique_Final[ppn_z],tbl_Historique_Final[date_modif])=Final_Sans_VGE[[#This Row],[date_modif]],
      "Ancien",
      "Modifié"),
   "Nouveau"))</f>
        <v>#VALUE!</v>
      </c>
      <c r="AD4877" s="1" t="str">
        <f>IFERROR(IF(Final_Sans_VGE[[#This Row],[ppn_z]]="","",IFERROR(
   IF(_xlfn.XLOOKUP(Final_Sans_VGE[[#This Row],[ppn_z]],tbl_Historique_Final[[#This Row],[ppn_z]],tbl_Historique_Final[[#This Row],[date_modif]])=Final_Sans_VGE[[#This Row],[date_modif]],
      "Ancien",
      "Modifié"),
   "Nouveau")),"")</f>
        <v/>
      </c>
    </row>
    <row r="4878" spans="24:30" x14ac:dyDescent="0.25">
      <c r="X4878" s="8" t="e">
        <f>IF(Final_Sans_VGE[[#This Row],[ppn_z]]="","",IFERROR(
   IF(_xlfn.XLOOKUP(Final_Sans_VGE[[#This Row],[ppn_z]],tbl_Historique_Final[ppn_z],tbl_Historique_Final[date_modif])=Final_Sans_VGE[[#This Row],[date_modif]],
      "Ancien",
      "Modifié"),
   "Nouveau"))</f>
        <v>#VALUE!</v>
      </c>
      <c r="AD4878" s="1" t="str">
        <f>IFERROR(IF(Final_Sans_VGE[[#This Row],[ppn_z]]="","",IFERROR(
   IF(_xlfn.XLOOKUP(Final_Sans_VGE[[#This Row],[ppn_z]],tbl_Historique_Final[[#This Row],[ppn_z]],tbl_Historique_Final[[#This Row],[date_modif]])=Final_Sans_VGE[[#This Row],[date_modif]],
      "Ancien",
      "Modifié"),
   "Nouveau")),"")</f>
        <v/>
      </c>
    </row>
    <row r="4879" spans="24:30" x14ac:dyDescent="0.25">
      <c r="X4879" s="8" t="e">
        <f>IF(Final_Sans_VGE[[#This Row],[ppn_z]]="","",IFERROR(
   IF(_xlfn.XLOOKUP(Final_Sans_VGE[[#This Row],[ppn_z]],tbl_Historique_Final[ppn_z],tbl_Historique_Final[date_modif])=Final_Sans_VGE[[#This Row],[date_modif]],
      "Ancien",
      "Modifié"),
   "Nouveau"))</f>
        <v>#VALUE!</v>
      </c>
      <c r="AD4879" s="1" t="str">
        <f>IFERROR(IF(Final_Sans_VGE[[#This Row],[ppn_z]]="","",IFERROR(
   IF(_xlfn.XLOOKUP(Final_Sans_VGE[[#This Row],[ppn_z]],tbl_Historique_Final[[#This Row],[ppn_z]],tbl_Historique_Final[[#This Row],[date_modif]])=Final_Sans_VGE[[#This Row],[date_modif]],
      "Ancien",
      "Modifié"),
   "Nouveau")),"")</f>
        <v/>
      </c>
    </row>
    <row r="4880" spans="24:30" x14ac:dyDescent="0.25">
      <c r="X4880" s="8" t="e">
        <f>IF(Final_Sans_VGE[[#This Row],[ppn_z]]="","",IFERROR(
   IF(_xlfn.XLOOKUP(Final_Sans_VGE[[#This Row],[ppn_z]],tbl_Historique_Final[ppn_z],tbl_Historique_Final[date_modif])=Final_Sans_VGE[[#This Row],[date_modif]],
      "Ancien",
      "Modifié"),
   "Nouveau"))</f>
        <v>#VALUE!</v>
      </c>
      <c r="AD4880" s="1" t="str">
        <f>IFERROR(IF(Final_Sans_VGE[[#This Row],[ppn_z]]="","",IFERROR(
   IF(_xlfn.XLOOKUP(Final_Sans_VGE[[#This Row],[ppn_z]],tbl_Historique_Final[[#This Row],[ppn_z]],tbl_Historique_Final[[#This Row],[date_modif]])=Final_Sans_VGE[[#This Row],[date_modif]],
      "Ancien",
      "Modifié"),
   "Nouveau")),"")</f>
        <v/>
      </c>
    </row>
    <row r="4881" spans="24:30" x14ac:dyDescent="0.25">
      <c r="X4881" s="8" t="e">
        <f>IF(Final_Sans_VGE[[#This Row],[ppn_z]]="","",IFERROR(
   IF(_xlfn.XLOOKUP(Final_Sans_VGE[[#This Row],[ppn_z]],tbl_Historique_Final[ppn_z],tbl_Historique_Final[date_modif])=Final_Sans_VGE[[#This Row],[date_modif]],
      "Ancien",
      "Modifié"),
   "Nouveau"))</f>
        <v>#VALUE!</v>
      </c>
      <c r="AD4881" s="1" t="str">
        <f>IFERROR(IF(Final_Sans_VGE[[#This Row],[ppn_z]]="","",IFERROR(
   IF(_xlfn.XLOOKUP(Final_Sans_VGE[[#This Row],[ppn_z]],tbl_Historique_Final[[#This Row],[ppn_z]],tbl_Historique_Final[[#This Row],[date_modif]])=Final_Sans_VGE[[#This Row],[date_modif]],
      "Ancien",
      "Modifié"),
   "Nouveau")),"")</f>
        <v/>
      </c>
    </row>
    <row r="4882" spans="24:30" x14ac:dyDescent="0.25">
      <c r="X4882" s="8" t="e">
        <f>IF(Final_Sans_VGE[[#This Row],[ppn_z]]="","",IFERROR(
   IF(_xlfn.XLOOKUP(Final_Sans_VGE[[#This Row],[ppn_z]],tbl_Historique_Final[ppn_z],tbl_Historique_Final[date_modif])=Final_Sans_VGE[[#This Row],[date_modif]],
      "Ancien",
      "Modifié"),
   "Nouveau"))</f>
        <v>#VALUE!</v>
      </c>
      <c r="AD4882" s="1" t="str">
        <f>IFERROR(IF(Final_Sans_VGE[[#This Row],[ppn_z]]="","",IFERROR(
   IF(_xlfn.XLOOKUP(Final_Sans_VGE[[#This Row],[ppn_z]],tbl_Historique_Final[[#This Row],[ppn_z]],tbl_Historique_Final[[#This Row],[date_modif]])=Final_Sans_VGE[[#This Row],[date_modif]],
      "Ancien",
      "Modifié"),
   "Nouveau")),"")</f>
        <v/>
      </c>
    </row>
    <row r="4883" spans="24:30" x14ac:dyDescent="0.25">
      <c r="X4883" s="8" t="e">
        <f>IF(Final_Sans_VGE[[#This Row],[ppn_z]]="","",IFERROR(
   IF(_xlfn.XLOOKUP(Final_Sans_VGE[[#This Row],[ppn_z]],tbl_Historique_Final[ppn_z],tbl_Historique_Final[date_modif])=Final_Sans_VGE[[#This Row],[date_modif]],
      "Ancien",
      "Modifié"),
   "Nouveau"))</f>
        <v>#VALUE!</v>
      </c>
      <c r="AD4883" s="1" t="str">
        <f>IFERROR(IF(Final_Sans_VGE[[#This Row],[ppn_z]]="","",IFERROR(
   IF(_xlfn.XLOOKUP(Final_Sans_VGE[[#This Row],[ppn_z]],tbl_Historique_Final[[#This Row],[ppn_z]],tbl_Historique_Final[[#This Row],[date_modif]])=Final_Sans_VGE[[#This Row],[date_modif]],
      "Ancien",
      "Modifié"),
   "Nouveau")),"")</f>
        <v/>
      </c>
    </row>
    <row r="4884" spans="24:30" x14ac:dyDescent="0.25">
      <c r="X4884" s="8" t="e">
        <f>IF(Final_Sans_VGE[[#This Row],[ppn_z]]="","",IFERROR(
   IF(_xlfn.XLOOKUP(Final_Sans_VGE[[#This Row],[ppn_z]],tbl_Historique_Final[ppn_z],tbl_Historique_Final[date_modif])=Final_Sans_VGE[[#This Row],[date_modif]],
      "Ancien",
      "Modifié"),
   "Nouveau"))</f>
        <v>#VALUE!</v>
      </c>
      <c r="AD4884" s="1" t="str">
        <f>IFERROR(IF(Final_Sans_VGE[[#This Row],[ppn_z]]="","",IFERROR(
   IF(_xlfn.XLOOKUP(Final_Sans_VGE[[#This Row],[ppn_z]],tbl_Historique_Final[[#This Row],[ppn_z]],tbl_Historique_Final[[#This Row],[date_modif]])=Final_Sans_VGE[[#This Row],[date_modif]],
      "Ancien",
      "Modifié"),
   "Nouveau")),"")</f>
        <v/>
      </c>
    </row>
    <row r="4885" spans="24:30" x14ac:dyDescent="0.25">
      <c r="X4885" s="8" t="e">
        <f>IF(Final_Sans_VGE[[#This Row],[ppn_z]]="","",IFERROR(
   IF(_xlfn.XLOOKUP(Final_Sans_VGE[[#This Row],[ppn_z]],tbl_Historique_Final[ppn_z],tbl_Historique_Final[date_modif])=Final_Sans_VGE[[#This Row],[date_modif]],
      "Ancien",
      "Modifié"),
   "Nouveau"))</f>
        <v>#VALUE!</v>
      </c>
      <c r="AD4885" s="1" t="str">
        <f>IFERROR(IF(Final_Sans_VGE[[#This Row],[ppn_z]]="","",IFERROR(
   IF(_xlfn.XLOOKUP(Final_Sans_VGE[[#This Row],[ppn_z]],tbl_Historique_Final[[#This Row],[ppn_z]],tbl_Historique_Final[[#This Row],[date_modif]])=Final_Sans_VGE[[#This Row],[date_modif]],
      "Ancien",
      "Modifié"),
   "Nouveau")),"")</f>
        <v/>
      </c>
    </row>
    <row r="4886" spans="24:30" x14ac:dyDescent="0.25">
      <c r="X4886" s="8" t="e">
        <f>IF(Final_Sans_VGE[[#This Row],[ppn_z]]="","",IFERROR(
   IF(_xlfn.XLOOKUP(Final_Sans_VGE[[#This Row],[ppn_z]],tbl_Historique_Final[ppn_z],tbl_Historique_Final[date_modif])=Final_Sans_VGE[[#This Row],[date_modif]],
      "Ancien",
      "Modifié"),
   "Nouveau"))</f>
        <v>#VALUE!</v>
      </c>
      <c r="AD4886" s="1" t="str">
        <f>IFERROR(IF(Final_Sans_VGE[[#This Row],[ppn_z]]="","",IFERROR(
   IF(_xlfn.XLOOKUP(Final_Sans_VGE[[#This Row],[ppn_z]],tbl_Historique_Final[[#This Row],[ppn_z]],tbl_Historique_Final[[#This Row],[date_modif]])=Final_Sans_VGE[[#This Row],[date_modif]],
      "Ancien",
      "Modifié"),
   "Nouveau")),"")</f>
        <v/>
      </c>
    </row>
    <row r="4887" spans="24:30" x14ac:dyDescent="0.25">
      <c r="X4887" s="8" t="e">
        <f>IF(Final_Sans_VGE[[#This Row],[ppn_z]]="","",IFERROR(
   IF(_xlfn.XLOOKUP(Final_Sans_VGE[[#This Row],[ppn_z]],tbl_Historique_Final[ppn_z],tbl_Historique_Final[date_modif])=Final_Sans_VGE[[#This Row],[date_modif]],
      "Ancien",
      "Modifié"),
   "Nouveau"))</f>
        <v>#VALUE!</v>
      </c>
      <c r="AD4887" s="1" t="str">
        <f>IFERROR(IF(Final_Sans_VGE[[#This Row],[ppn_z]]="","",IFERROR(
   IF(_xlfn.XLOOKUP(Final_Sans_VGE[[#This Row],[ppn_z]],tbl_Historique_Final[[#This Row],[ppn_z]],tbl_Historique_Final[[#This Row],[date_modif]])=Final_Sans_VGE[[#This Row],[date_modif]],
      "Ancien",
      "Modifié"),
   "Nouveau")),"")</f>
        <v/>
      </c>
    </row>
    <row r="4888" spans="24:30" x14ac:dyDescent="0.25">
      <c r="X4888" s="8" t="e">
        <f>IF(Final_Sans_VGE[[#This Row],[ppn_z]]="","",IFERROR(
   IF(_xlfn.XLOOKUP(Final_Sans_VGE[[#This Row],[ppn_z]],tbl_Historique_Final[ppn_z],tbl_Historique_Final[date_modif])=Final_Sans_VGE[[#This Row],[date_modif]],
      "Ancien",
      "Modifié"),
   "Nouveau"))</f>
        <v>#VALUE!</v>
      </c>
      <c r="AD4888" s="1" t="str">
        <f>IFERROR(IF(Final_Sans_VGE[[#This Row],[ppn_z]]="","",IFERROR(
   IF(_xlfn.XLOOKUP(Final_Sans_VGE[[#This Row],[ppn_z]],tbl_Historique_Final[[#This Row],[ppn_z]],tbl_Historique_Final[[#This Row],[date_modif]])=Final_Sans_VGE[[#This Row],[date_modif]],
      "Ancien",
      "Modifié"),
   "Nouveau")),"")</f>
        <v/>
      </c>
    </row>
    <row r="4889" spans="24:30" x14ac:dyDescent="0.25">
      <c r="X4889" s="8" t="e">
        <f>IF(Final_Sans_VGE[[#This Row],[ppn_z]]="","",IFERROR(
   IF(_xlfn.XLOOKUP(Final_Sans_VGE[[#This Row],[ppn_z]],tbl_Historique_Final[ppn_z],tbl_Historique_Final[date_modif])=Final_Sans_VGE[[#This Row],[date_modif]],
      "Ancien",
      "Modifié"),
   "Nouveau"))</f>
        <v>#VALUE!</v>
      </c>
      <c r="AD4889" s="1" t="str">
        <f>IFERROR(IF(Final_Sans_VGE[[#This Row],[ppn_z]]="","",IFERROR(
   IF(_xlfn.XLOOKUP(Final_Sans_VGE[[#This Row],[ppn_z]],tbl_Historique_Final[[#This Row],[ppn_z]],tbl_Historique_Final[[#This Row],[date_modif]])=Final_Sans_VGE[[#This Row],[date_modif]],
      "Ancien",
      "Modifié"),
   "Nouveau")),"")</f>
        <v/>
      </c>
    </row>
    <row r="4890" spans="24:30" x14ac:dyDescent="0.25">
      <c r="X4890" s="8" t="e">
        <f>IF(Final_Sans_VGE[[#This Row],[ppn_z]]="","",IFERROR(
   IF(_xlfn.XLOOKUP(Final_Sans_VGE[[#This Row],[ppn_z]],tbl_Historique_Final[ppn_z],tbl_Historique_Final[date_modif])=Final_Sans_VGE[[#This Row],[date_modif]],
      "Ancien",
      "Modifié"),
   "Nouveau"))</f>
        <v>#VALUE!</v>
      </c>
      <c r="AD4890" s="1" t="str">
        <f>IFERROR(IF(Final_Sans_VGE[[#This Row],[ppn_z]]="","",IFERROR(
   IF(_xlfn.XLOOKUP(Final_Sans_VGE[[#This Row],[ppn_z]],tbl_Historique_Final[[#This Row],[ppn_z]],tbl_Historique_Final[[#This Row],[date_modif]])=Final_Sans_VGE[[#This Row],[date_modif]],
      "Ancien",
      "Modifié"),
   "Nouveau")),"")</f>
        <v/>
      </c>
    </row>
    <row r="4891" spans="24:30" x14ac:dyDescent="0.25">
      <c r="X4891" s="8" t="e">
        <f>IF(Final_Sans_VGE[[#This Row],[ppn_z]]="","",IFERROR(
   IF(_xlfn.XLOOKUP(Final_Sans_VGE[[#This Row],[ppn_z]],tbl_Historique_Final[ppn_z],tbl_Historique_Final[date_modif])=Final_Sans_VGE[[#This Row],[date_modif]],
      "Ancien",
      "Modifié"),
   "Nouveau"))</f>
        <v>#VALUE!</v>
      </c>
      <c r="AD4891" s="1" t="str">
        <f>IFERROR(IF(Final_Sans_VGE[[#This Row],[ppn_z]]="","",IFERROR(
   IF(_xlfn.XLOOKUP(Final_Sans_VGE[[#This Row],[ppn_z]],tbl_Historique_Final[[#This Row],[ppn_z]],tbl_Historique_Final[[#This Row],[date_modif]])=Final_Sans_VGE[[#This Row],[date_modif]],
      "Ancien",
      "Modifié"),
   "Nouveau")),"")</f>
        <v/>
      </c>
    </row>
    <row r="4892" spans="24:30" x14ac:dyDescent="0.25">
      <c r="X4892" s="8" t="e">
        <f>IF(Final_Sans_VGE[[#This Row],[ppn_z]]="","",IFERROR(
   IF(_xlfn.XLOOKUP(Final_Sans_VGE[[#This Row],[ppn_z]],tbl_Historique_Final[ppn_z],tbl_Historique_Final[date_modif])=Final_Sans_VGE[[#This Row],[date_modif]],
      "Ancien",
      "Modifié"),
   "Nouveau"))</f>
        <v>#VALUE!</v>
      </c>
      <c r="AD4892" s="1" t="str">
        <f>IFERROR(IF(Final_Sans_VGE[[#This Row],[ppn_z]]="","",IFERROR(
   IF(_xlfn.XLOOKUP(Final_Sans_VGE[[#This Row],[ppn_z]],tbl_Historique_Final[[#This Row],[ppn_z]],tbl_Historique_Final[[#This Row],[date_modif]])=Final_Sans_VGE[[#This Row],[date_modif]],
      "Ancien",
      "Modifié"),
   "Nouveau")),"")</f>
        <v/>
      </c>
    </row>
    <row r="4893" spans="24:30" x14ac:dyDescent="0.25">
      <c r="X4893" s="8" t="e">
        <f>IF(Final_Sans_VGE[[#This Row],[ppn_z]]="","",IFERROR(
   IF(_xlfn.XLOOKUP(Final_Sans_VGE[[#This Row],[ppn_z]],tbl_Historique_Final[ppn_z],tbl_Historique_Final[date_modif])=Final_Sans_VGE[[#This Row],[date_modif]],
      "Ancien",
      "Modifié"),
   "Nouveau"))</f>
        <v>#VALUE!</v>
      </c>
      <c r="AD4893" s="1" t="str">
        <f>IFERROR(IF(Final_Sans_VGE[[#This Row],[ppn_z]]="","",IFERROR(
   IF(_xlfn.XLOOKUP(Final_Sans_VGE[[#This Row],[ppn_z]],tbl_Historique_Final[[#This Row],[ppn_z]],tbl_Historique_Final[[#This Row],[date_modif]])=Final_Sans_VGE[[#This Row],[date_modif]],
      "Ancien",
      "Modifié"),
   "Nouveau")),"")</f>
        <v/>
      </c>
    </row>
    <row r="4894" spans="24:30" x14ac:dyDescent="0.25">
      <c r="X4894" s="8" t="e">
        <f>IF(Final_Sans_VGE[[#This Row],[ppn_z]]="","",IFERROR(
   IF(_xlfn.XLOOKUP(Final_Sans_VGE[[#This Row],[ppn_z]],tbl_Historique_Final[ppn_z],tbl_Historique_Final[date_modif])=Final_Sans_VGE[[#This Row],[date_modif]],
      "Ancien",
      "Modifié"),
   "Nouveau"))</f>
        <v>#VALUE!</v>
      </c>
      <c r="AD4894" s="1" t="str">
        <f>IFERROR(IF(Final_Sans_VGE[[#This Row],[ppn_z]]="","",IFERROR(
   IF(_xlfn.XLOOKUP(Final_Sans_VGE[[#This Row],[ppn_z]],tbl_Historique_Final[[#This Row],[ppn_z]],tbl_Historique_Final[[#This Row],[date_modif]])=Final_Sans_VGE[[#This Row],[date_modif]],
      "Ancien",
      "Modifié"),
   "Nouveau")),"")</f>
        <v/>
      </c>
    </row>
    <row r="4895" spans="24:30" x14ac:dyDescent="0.25">
      <c r="X4895" s="8" t="e">
        <f>IF(Final_Sans_VGE[[#This Row],[ppn_z]]="","",IFERROR(
   IF(_xlfn.XLOOKUP(Final_Sans_VGE[[#This Row],[ppn_z]],tbl_Historique_Final[ppn_z],tbl_Historique_Final[date_modif])=Final_Sans_VGE[[#This Row],[date_modif]],
      "Ancien",
      "Modifié"),
   "Nouveau"))</f>
        <v>#VALUE!</v>
      </c>
      <c r="AD4895" s="1" t="str">
        <f>IFERROR(IF(Final_Sans_VGE[[#This Row],[ppn_z]]="","",IFERROR(
   IF(_xlfn.XLOOKUP(Final_Sans_VGE[[#This Row],[ppn_z]],tbl_Historique_Final[[#This Row],[ppn_z]],tbl_Historique_Final[[#This Row],[date_modif]])=Final_Sans_VGE[[#This Row],[date_modif]],
      "Ancien",
      "Modifié"),
   "Nouveau")),"")</f>
        <v/>
      </c>
    </row>
    <row r="4896" spans="24:30" x14ac:dyDescent="0.25">
      <c r="X4896" s="8" t="e">
        <f>IF(Final_Sans_VGE[[#This Row],[ppn_z]]="","",IFERROR(
   IF(_xlfn.XLOOKUP(Final_Sans_VGE[[#This Row],[ppn_z]],tbl_Historique_Final[ppn_z],tbl_Historique_Final[date_modif])=Final_Sans_VGE[[#This Row],[date_modif]],
      "Ancien",
      "Modifié"),
   "Nouveau"))</f>
        <v>#VALUE!</v>
      </c>
      <c r="AD4896" s="1" t="str">
        <f>IFERROR(IF(Final_Sans_VGE[[#This Row],[ppn_z]]="","",IFERROR(
   IF(_xlfn.XLOOKUP(Final_Sans_VGE[[#This Row],[ppn_z]],tbl_Historique_Final[[#This Row],[ppn_z]],tbl_Historique_Final[[#This Row],[date_modif]])=Final_Sans_VGE[[#This Row],[date_modif]],
      "Ancien",
      "Modifié"),
   "Nouveau")),"")</f>
        <v/>
      </c>
    </row>
    <row r="4897" spans="24:30" x14ac:dyDescent="0.25">
      <c r="X4897" s="8" t="e">
        <f>IF(Final_Sans_VGE[[#This Row],[ppn_z]]="","",IFERROR(
   IF(_xlfn.XLOOKUP(Final_Sans_VGE[[#This Row],[ppn_z]],tbl_Historique_Final[ppn_z],tbl_Historique_Final[date_modif])=Final_Sans_VGE[[#This Row],[date_modif]],
      "Ancien",
      "Modifié"),
   "Nouveau"))</f>
        <v>#VALUE!</v>
      </c>
      <c r="AD4897" s="1" t="str">
        <f>IFERROR(IF(Final_Sans_VGE[[#This Row],[ppn_z]]="","",IFERROR(
   IF(_xlfn.XLOOKUP(Final_Sans_VGE[[#This Row],[ppn_z]],tbl_Historique_Final[[#This Row],[ppn_z]],tbl_Historique_Final[[#This Row],[date_modif]])=Final_Sans_VGE[[#This Row],[date_modif]],
      "Ancien",
      "Modifié"),
   "Nouveau")),"")</f>
        <v/>
      </c>
    </row>
    <row r="4898" spans="24:30" x14ac:dyDescent="0.25">
      <c r="X4898" s="8" t="e">
        <f>IF(Final_Sans_VGE[[#This Row],[ppn_z]]="","",IFERROR(
   IF(_xlfn.XLOOKUP(Final_Sans_VGE[[#This Row],[ppn_z]],tbl_Historique_Final[ppn_z],tbl_Historique_Final[date_modif])=Final_Sans_VGE[[#This Row],[date_modif]],
      "Ancien",
      "Modifié"),
   "Nouveau"))</f>
        <v>#VALUE!</v>
      </c>
      <c r="AD4898" s="1" t="str">
        <f>IFERROR(IF(Final_Sans_VGE[[#This Row],[ppn_z]]="","",IFERROR(
   IF(_xlfn.XLOOKUP(Final_Sans_VGE[[#This Row],[ppn_z]],tbl_Historique_Final[[#This Row],[ppn_z]],tbl_Historique_Final[[#This Row],[date_modif]])=Final_Sans_VGE[[#This Row],[date_modif]],
      "Ancien",
      "Modifié"),
   "Nouveau")),"")</f>
        <v/>
      </c>
    </row>
    <row r="4899" spans="24:30" x14ac:dyDescent="0.25">
      <c r="X4899" s="8" t="e">
        <f>IF(Final_Sans_VGE[[#This Row],[ppn_z]]="","",IFERROR(
   IF(_xlfn.XLOOKUP(Final_Sans_VGE[[#This Row],[ppn_z]],tbl_Historique_Final[ppn_z],tbl_Historique_Final[date_modif])=Final_Sans_VGE[[#This Row],[date_modif]],
      "Ancien",
      "Modifié"),
   "Nouveau"))</f>
        <v>#VALUE!</v>
      </c>
      <c r="AD4899" s="1" t="str">
        <f>IFERROR(IF(Final_Sans_VGE[[#This Row],[ppn_z]]="","",IFERROR(
   IF(_xlfn.XLOOKUP(Final_Sans_VGE[[#This Row],[ppn_z]],tbl_Historique_Final[[#This Row],[ppn_z]],tbl_Historique_Final[[#This Row],[date_modif]])=Final_Sans_VGE[[#This Row],[date_modif]],
      "Ancien",
      "Modifié"),
   "Nouveau")),"")</f>
        <v/>
      </c>
    </row>
    <row r="4900" spans="24:30" x14ac:dyDescent="0.25">
      <c r="X4900" s="8" t="e">
        <f>IF(Final_Sans_VGE[[#This Row],[ppn_z]]="","",IFERROR(
   IF(_xlfn.XLOOKUP(Final_Sans_VGE[[#This Row],[ppn_z]],tbl_Historique_Final[ppn_z],tbl_Historique_Final[date_modif])=Final_Sans_VGE[[#This Row],[date_modif]],
      "Ancien",
      "Modifié"),
   "Nouveau"))</f>
        <v>#VALUE!</v>
      </c>
      <c r="AD4900" s="1" t="str">
        <f>IFERROR(IF(Final_Sans_VGE[[#This Row],[ppn_z]]="","",IFERROR(
   IF(_xlfn.XLOOKUP(Final_Sans_VGE[[#This Row],[ppn_z]],tbl_Historique_Final[[#This Row],[ppn_z]],tbl_Historique_Final[[#This Row],[date_modif]])=Final_Sans_VGE[[#This Row],[date_modif]],
      "Ancien",
      "Modifié"),
   "Nouveau")),"")</f>
        <v/>
      </c>
    </row>
    <row r="4901" spans="24:30" x14ac:dyDescent="0.25">
      <c r="X4901" s="8" t="e">
        <f>IF(Final_Sans_VGE[[#This Row],[ppn_z]]="","",IFERROR(
   IF(_xlfn.XLOOKUP(Final_Sans_VGE[[#This Row],[ppn_z]],tbl_Historique_Final[ppn_z],tbl_Historique_Final[date_modif])=Final_Sans_VGE[[#This Row],[date_modif]],
      "Ancien",
      "Modifié"),
   "Nouveau"))</f>
        <v>#VALUE!</v>
      </c>
      <c r="AD4901" s="1" t="str">
        <f>IFERROR(IF(Final_Sans_VGE[[#This Row],[ppn_z]]="","",IFERROR(
   IF(_xlfn.XLOOKUP(Final_Sans_VGE[[#This Row],[ppn_z]],tbl_Historique_Final[[#This Row],[ppn_z]],tbl_Historique_Final[[#This Row],[date_modif]])=Final_Sans_VGE[[#This Row],[date_modif]],
      "Ancien",
      "Modifié"),
   "Nouveau")),"")</f>
        <v/>
      </c>
    </row>
    <row r="4902" spans="24:30" x14ac:dyDescent="0.25">
      <c r="X4902" s="8" t="e">
        <f>IF(Final_Sans_VGE[[#This Row],[ppn_z]]="","",IFERROR(
   IF(_xlfn.XLOOKUP(Final_Sans_VGE[[#This Row],[ppn_z]],tbl_Historique_Final[ppn_z],tbl_Historique_Final[date_modif])=Final_Sans_VGE[[#This Row],[date_modif]],
      "Ancien",
      "Modifié"),
   "Nouveau"))</f>
        <v>#VALUE!</v>
      </c>
      <c r="AD4902" s="1" t="str">
        <f>IFERROR(IF(Final_Sans_VGE[[#This Row],[ppn_z]]="","",IFERROR(
   IF(_xlfn.XLOOKUP(Final_Sans_VGE[[#This Row],[ppn_z]],tbl_Historique_Final[[#This Row],[ppn_z]],tbl_Historique_Final[[#This Row],[date_modif]])=Final_Sans_VGE[[#This Row],[date_modif]],
      "Ancien",
      "Modifié"),
   "Nouveau")),"")</f>
        <v/>
      </c>
    </row>
    <row r="4903" spans="24:30" x14ac:dyDescent="0.25">
      <c r="X4903" s="8" t="e">
        <f>IF(Final_Sans_VGE[[#This Row],[ppn_z]]="","",IFERROR(
   IF(_xlfn.XLOOKUP(Final_Sans_VGE[[#This Row],[ppn_z]],tbl_Historique_Final[ppn_z],tbl_Historique_Final[date_modif])=Final_Sans_VGE[[#This Row],[date_modif]],
      "Ancien",
      "Modifié"),
   "Nouveau"))</f>
        <v>#VALUE!</v>
      </c>
      <c r="AD4903" s="1" t="str">
        <f>IFERROR(IF(Final_Sans_VGE[[#This Row],[ppn_z]]="","",IFERROR(
   IF(_xlfn.XLOOKUP(Final_Sans_VGE[[#This Row],[ppn_z]],tbl_Historique_Final[[#This Row],[ppn_z]],tbl_Historique_Final[[#This Row],[date_modif]])=Final_Sans_VGE[[#This Row],[date_modif]],
      "Ancien",
      "Modifié"),
   "Nouveau")),"")</f>
        <v/>
      </c>
    </row>
    <row r="4904" spans="24:30" x14ac:dyDescent="0.25">
      <c r="X4904" s="8" t="e">
        <f>IF(Final_Sans_VGE[[#This Row],[ppn_z]]="","",IFERROR(
   IF(_xlfn.XLOOKUP(Final_Sans_VGE[[#This Row],[ppn_z]],tbl_Historique_Final[ppn_z],tbl_Historique_Final[date_modif])=Final_Sans_VGE[[#This Row],[date_modif]],
      "Ancien",
      "Modifié"),
   "Nouveau"))</f>
        <v>#VALUE!</v>
      </c>
      <c r="AD4904" s="1" t="str">
        <f>IFERROR(IF(Final_Sans_VGE[[#This Row],[ppn_z]]="","",IFERROR(
   IF(_xlfn.XLOOKUP(Final_Sans_VGE[[#This Row],[ppn_z]],tbl_Historique_Final[[#This Row],[ppn_z]],tbl_Historique_Final[[#This Row],[date_modif]])=Final_Sans_VGE[[#This Row],[date_modif]],
      "Ancien",
      "Modifié"),
   "Nouveau")),"")</f>
        <v/>
      </c>
    </row>
    <row r="4905" spans="24:30" x14ac:dyDescent="0.25">
      <c r="X4905" s="8" t="e">
        <f>IF(Final_Sans_VGE[[#This Row],[ppn_z]]="","",IFERROR(
   IF(_xlfn.XLOOKUP(Final_Sans_VGE[[#This Row],[ppn_z]],tbl_Historique_Final[ppn_z],tbl_Historique_Final[date_modif])=Final_Sans_VGE[[#This Row],[date_modif]],
      "Ancien",
      "Modifié"),
   "Nouveau"))</f>
        <v>#VALUE!</v>
      </c>
      <c r="AD4905" s="1" t="str">
        <f>IFERROR(IF(Final_Sans_VGE[[#This Row],[ppn_z]]="","",IFERROR(
   IF(_xlfn.XLOOKUP(Final_Sans_VGE[[#This Row],[ppn_z]],tbl_Historique_Final[[#This Row],[ppn_z]],tbl_Historique_Final[[#This Row],[date_modif]])=Final_Sans_VGE[[#This Row],[date_modif]],
      "Ancien",
      "Modifié"),
   "Nouveau")),"")</f>
        <v/>
      </c>
    </row>
    <row r="4906" spans="24:30" x14ac:dyDescent="0.25">
      <c r="X4906" s="8" t="e">
        <f>IF(Final_Sans_VGE[[#This Row],[ppn_z]]="","",IFERROR(
   IF(_xlfn.XLOOKUP(Final_Sans_VGE[[#This Row],[ppn_z]],tbl_Historique_Final[ppn_z],tbl_Historique_Final[date_modif])=Final_Sans_VGE[[#This Row],[date_modif]],
      "Ancien",
      "Modifié"),
   "Nouveau"))</f>
        <v>#VALUE!</v>
      </c>
      <c r="AD4906" s="1" t="str">
        <f>IFERROR(IF(Final_Sans_VGE[[#This Row],[ppn_z]]="","",IFERROR(
   IF(_xlfn.XLOOKUP(Final_Sans_VGE[[#This Row],[ppn_z]],tbl_Historique_Final[[#This Row],[ppn_z]],tbl_Historique_Final[[#This Row],[date_modif]])=Final_Sans_VGE[[#This Row],[date_modif]],
      "Ancien",
      "Modifié"),
   "Nouveau")),"")</f>
        <v/>
      </c>
    </row>
    <row r="4907" spans="24:30" x14ac:dyDescent="0.25">
      <c r="X4907" s="8" t="e">
        <f>IF(Final_Sans_VGE[[#This Row],[ppn_z]]="","",IFERROR(
   IF(_xlfn.XLOOKUP(Final_Sans_VGE[[#This Row],[ppn_z]],tbl_Historique_Final[ppn_z],tbl_Historique_Final[date_modif])=Final_Sans_VGE[[#This Row],[date_modif]],
      "Ancien",
      "Modifié"),
   "Nouveau"))</f>
        <v>#VALUE!</v>
      </c>
      <c r="AD4907" s="1" t="str">
        <f>IFERROR(IF(Final_Sans_VGE[[#This Row],[ppn_z]]="","",IFERROR(
   IF(_xlfn.XLOOKUP(Final_Sans_VGE[[#This Row],[ppn_z]],tbl_Historique_Final[[#This Row],[ppn_z]],tbl_Historique_Final[[#This Row],[date_modif]])=Final_Sans_VGE[[#This Row],[date_modif]],
      "Ancien",
      "Modifié"),
   "Nouveau")),"")</f>
        <v/>
      </c>
    </row>
    <row r="4908" spans="24:30" x14ac:dyDescent="0.25">
      <c r="X4908" s="8" t="e">
        <f>IF(Final_Sans_VGE[[#This Row],[ppn_z]]="","",IFERROR(
   IF(_xlfn.XLOOKUP(Final_Sans_VGE[[#This Row],[ppn_z]],tbl_Historique_Final[ppn_z],tbl_Historique_Final[date_modif])=Final_Sans_VGE[[#This Row],[date_modif]],
      "Ancien",
      "Modifié"),
   "Nouveau"))</f>
        <v>#VALUE!</v>
      </c>
      <c r="AD4908" s="1" t="str">
        <f>IFERROR(IF(Final_Sans_VGE[[#This Row],[ppn_z]]="","",IFERROR(
   IF(_xlfn.XLOOKUP(Final_Sans_VGE[[#This Row],[ppn_z]],tbl_Historique_Final[[#This Row],[ppn_z]],tbl_Historique_Final[[#This Row],[date_modif]])=Final_Sans_VGE[[#This Row],[date_modif]],
      "Ancien",
      "Modifié"),
   "Nouveau")),"")</f>
        <v/>
      </c>
    </row>
    <row r="4909" spans="24:30" x14ac:dyDescent="0.25">
      <c r="X4909" s="8" t="e">
        <f>IF(Final_Sans_VGE[[#This Row],[ppn_z]]="","",IFERROR(
   IF(_xlfn.XLOOKUP(Final_Sans_VGE[[#This Row],[ppn_z]],tbl_Historique_Final[ppn_z],tbl_Historique_Final[date_modif])=Final_Sans_VGE[[#This Row],[date_modif]],
      "Ancien",
      "Modifié"),
   "Nouveau"))</f>
        <v>#VALUE!</v>
      </c>
      <c r="AD4909" s="1" t="str">
        <f>IFERROR(IF(Final_Sans_VGE[[#This Row],[ppn_z]]="","",IFERROR(
   IF(_xlfn.XLOOKUP(Final_Sans_VGE[[#This Row],[ppn_z]],tbl_Historique_Final[[#This Row],[ppn_z]],tbl_Historique_Final[[#This Row],[date_modif]])=Final_Sans_VGE[[#This Row],[date_modif]],
      "Ancien",
      "Modifié"),
   "Nouveau")),"")</f>
        <v/>
      </c>
    </row>
    <row r="4910" spans="24:30" x14ac:dyDescent="0.25">
      <c r="X4910" s="8" t="e">
        <f>IF(Final_Sans_VGE[[#This Row],[ppn_z]]="","",IFERROR(
   IF(_xlfn.XLOOKUP(Final_Sans_VGE[[#This Row],[ppn_z]],tbl_Historique_Final[ppn_z],tbl_Historique_Final[date_modif])=Final_Sans_VGE[[#This Row],[date_modif]],
      "Ancien",
      "Modifié"),
   "Nouveau"))</f>
        <v>#VALUE!</v>
      </c>
      <c r="AD4910" s="1" t="str">
        <f>IFERROR(IF(Final_Sans_VGE[[#This Row],[ppn_z]]="","",IFERROR(
   IF(_xlfn.XLOOKUP(Final_Sans_VGE[[#This Row],[ppn_z]],tbl_Historique_Final[[#This Row],[ppn_z]],tbl_Historique_Final[[#This Row],[date_modif]])=Final_Sans_VGE[[#This Row],[date_modif]],
      "Ancien",
      "Modifié"),
   "Nouveau")),"")</f>
        <v/>
      </c>
    </row>
    <row r="4911" spans="24:30" x14ac:dyDescent="0.25">
      <c r="X4911" s="8" t="e">
        <f>IF(Final_Sans_VGE[[#This Row],[ppn_z]]="","",IFERROR(
   IF(_xlfn.XLOOKUP(Final_Sans_VGE[[#This Row],[ppn_z]],tbl_Historique_Final[ppn_z],tbl_Historique_Final[date_modif])=Final_Sans_VGE[[#This Row],[date_modif]],
      "Ancien",
      "Modifié"),
   "Nouveau"))</f>
        <v>#VALUE!</v>
      </c>
      <c r="AD4911" s="1" t="str">
        <f>IFERROR(IF(Final_Sans_VGE[[#This Row],[ppn_z]]="","",IFERROR(
   IF(_xlfn.XLOOKUP(Final_Sans_VGE[[#This Row],[ppn_z]],tbl_Historique_Final[[#This Row],[ppn_z]],tbl_Historique_Final[[#This Row],[date_modif]])=Final_Sans_VGE[[#This Row],[date_modif]],
      "Ancien",
      "Modifié"),
   "Nouveau")),"")</f>
        <v/>
      </c>
    </row>
    <row r="4912" spans="24:30" x14ac:dyDescent="0.25">
      <c r="X4912" s="8" t="e">
        <f>IF(Final_Sans_VGE[[#This Row],[ppn_z]]="","",IFERROR(
   IF(_xlfn.XLOOKUP(Final_Sans_VGE[[#This Row],[ppn_z]],tbl_Historique_Final[ppn_z],tbl_Historique_Final[date_modif])=Final_Sans_VGE[[#This Row],[date_modif]],
      "Ancien",
      "Modifié"),
   "Nouveau"))</f>
        <v>#VALUE!</v>
      </c>
      <c r="AD4912" s="1" t="str">
        <f>IFERROR(IF(Final_Sans_VGE[[#This Row],[ppn_z]]="","",IFERROR(
   IF(_xlfn.XLOOKUP(Final_Sans_VGE[[#This Row],[ppn_z]],tbl_Historique_Final[[#This Row],[ppn_z]],tbl_Historique_Final[[#This Row],[date_modif]])=Final_Sans_VGE[[#This Row],[date_modif]],
      "Ancien",
      "Modifié"),
   "Nouveau")),"")</f>
        <v/>
      </c>
    </row>
    <row r="4913" spans="24:30" x14ac:dyDescent="0.25">
      <c r="X4913" s="8" t="e">
        <f>IF(Final_Sans_VGE[[#This Row],[ppn_z]]="","",IFERROR(
   IF(_xlfn.XLOOKUP(Final_Sans_VGE[[#This Row],[ppn_z]],tbl_Historique_Final[ppn_z],tbl_Historique_Final[date_modif])=Final_Sans_VGE[[#This Row],[date_modif]],
      "Ancien",
      "Modifié"),
   "Nouveau"))</f>
        <v>#VALUE!</v>
      </c>
      <c r="AD4913" s="1" t="str">
        <f>IFERROR(IF(Final_Sans_VGE[[#This Row],[ppn_z]]="","",IFERROR(
   IF(_xlfn.XLOOKUP(Final_Sans_VGE[[#This Row],[ppn_z]],tbl_Historique_Final[[#This Row],[ppn_z]],tbl_Historique_Final[[#This Row],[date_modif]])=Final_Sans_VGE[[#This Row],[date_modif]],
      "Ancien",
      "Modifié"),
   "Nouveau")),"")</f>
        <v/>
      </c>
    </row>
    <row r="4914" spans="24:30" x14ac:dyDescent="0.25">
      <c r="X4914" s="8" t="e">
        <f>IF(Final_Sans_VGE[[#This Row],[ppn_z]]="","",IFERROR(
   IF(_xlfn.XLOOKUP(Final_Sans_VGE[[#This Row],[ppn_z]],tbl_Historique_Final[ppn_z],tbl_Historique_Final[date_modif])=Final_Sans_VGE[[#This Row],[date_modif]],
      "Ancien",
      "Modifié"),
   "Nouveau"))</f>
        <v>#VALUE!</v>
      </c>
      <c r="AD4914" s="1" t="str">
        <f>IFERROR(IF(Final_Sans_VGE[[#This Row],[ppn_z]]="","",IFERROR(
   IF(_xlfn.XLOOKUP(Final_Sans_VGE[[#This Row],[ppn_z]],tbl_Historique_Final[[#This Row],[ppn_z]],tbl_Historique_Final[[#This Row],[date_modif]])=Final_Sans_VGE[[#This Row],[date_modif]],
      "Ancien",
      "Modifié"),
   "Nouveau")),"")</f>
        <v/>
      </c>
    </row>
    <row r="4915" spans="24:30" x14ac:dyDescent="0.25">
      <c r="X4915" s="8" t="e">
        <f>IF(Final_Sans_VGE[[#This Row],[ppn_z]]="","",IFERROR(
   IF(_xlfn.XLOOKUP(Final_Sans_VGE[[#This Row],[ppn_z]],tbl_Historique_Final[ppn_z],tbl_Historique_Final[date_modif])=Final_Sans_VGE[[#This Row],[date_modif]],
      "Ancien",
      "Modifié"),
   "Nouveau"))</f>
        <v>#VALUE!</v>
      </c>
      <c r="AD4915" s="1" t="str">
        <f>IFERROR(IF(Final_Sans_VGE[[#This Row],[ppn_z]]="","",IFERROR(
   IF(_xlfn.XLOOKUP(Final_Sans_VGE[[#This Row],[ppn_z]],tbl_Historique_Final[[#This Row],[ppn_z]],tbl_Historique_Final[[#This Row],[date_modif]])=Final_Sans_VGE[[#This Row],[date_modif]],
      "Ancien",
      "Modifié"),
   "Nouveau")),"")</f>
        <v/>
      </c>
    </row>
    <row r="4916" spans="24:30" x14ac:dyDescent="0.25">
      <c r="X4916" s="8" t="e">
        <f>IF(Final_Sans_VGE[[#This Row],[ppn_z]]="","",IFERROR(
   IF(_xlfn.XLOOKUP(Final_Sans_VGE[[#This Row],[ppn_z]],tbl_Historique_Final[ppn_z],tbl_Historique_Final[date_modif])=Final_Sans_VGE[[#This Row],[date_modif]],
      "Ancien",
      "Modifié"),
   "Nouveau"))</f>
        <v>#VALUE!</v>
      </c>
      <c r="AD4916" s="1" t="str">
        <f>IFERROR(IF(Final_Sans_VGE[[#This Row],[ppn_z]]="","",IFERROR(
   IF(_xlfn.XLOOKUP(Final_Sans_VGE[[#This Row],[ppn_z]],tbl_Historique_Final[[#This Row],[ppn_z]],tbl_Historique_Final[[#This Row],[date_modif]])=Final_Sans_VGE[[#This Row],[date_modif]],
      "Ancien",
      "Modifié"),
   "Nouveau")),"")</f>
        <v/>
      </c>
    </row>
    <row r="4917" spans="24:30" x14ac:dyDescent="0.25">
      <c r="X4917" s="8" t="e">
        <f>IF(Final_Sans_VGE[[#This Row],[ppn_z]]="","",IFERROR(
   IF(_xlfn.XLOOKUP(Final_Sans_VGE[[#This Row],[ppn_z]],tbl_Historique_Final[ppn_z],tbl_Historique_Final[date_modif])=Final_Sans_VGE[[#This Row],[date_modif]],
      "Ancien",
      "Modifié"),
   "Nouveau"))</f>
        <v>#VALUE!</v>
      </c>
      <c r="AD4917" s="1" t="str">
        <f>IFERROR(IF(Final_Sans_VGE[[#This Row],[ppn_z]]="","",IFERROR(
   IF(_xlfn.XLOOKUP(Final_Sans_VGE[[#This Row],[ppn_z]],tbl_Historique_Final[[#This Row],[ppn_z]],tbl_Historique_Final[[#This Row],[date_modif]])=Final_Sans_VGE[[#This Row],[date_modif]],
      "Ancien",
      "Modifié"),
   "Nouveau")),"")</f>
        <v/>
      </c>
    </row>
    <row r="4918" spans="24:30" x14ac:dyDescent="0.25">
      <c r="X4918" s="8" t="e">
        <f>IF(Final_Sans_VGE[[#This Row],[ppn_z]]="","",IFERROR(
   IF(_xlfn.XLOOKUP(Final_Sans_VGE[[#This Row],[ppn_z]],tbl_Historique_Final[ppn_z],tbl_Historique_Final[date_modif])=Final_Sans_VGE[[#This Row],[date_modif]],
      "Ancien",
      "Modifié"),
   "Nouveau"))</f>
        <v>#VALUE!</v>
      </c>
      <c r="AD4918" s="1" t="str">
        <f>IFERROR(IF(Final_Sans_VGE[[#This Row],[ppn_z]]="","",IFERROR(
   IF(_xlfn.XLOOKUP(Final_Sans_VGE[[#This Row],[ppn_z]],tbl_Historique_Final[[#This Row],[ppn_z]],tbl_Historique_Final[[#This Row],[date_modif]])=Final_Sans_VGE[[#This Row],[date_modif]],
      "Ancien",
      "Modifié"),
   "Nouveau")),"")</f>
        <v/>
      </c>
    </row>
    <row r="4919" spans="24:30" x14ac:dyDescent="0.25">
      <c r="X4919" s="8" t="e">
        <f>IF(Final_Sans_VGE[[#This Row],[ppn_z]]="","",IFERROR(
   IF(_xlfn.XLOOKUP(Final_Sans_VGE[[#This Row],[ppn_z]],tbl_Historique_Final[ppn_z],tbl_Historique_Final[date_modif])=Final_Sans_VGE[[#This Row],[date_modif]],
      "Ancien",
      "Modifié"),
   "Nouveau"))</f>
        <v>#VALUE!</v>
      </c>
      <c r="AD4919" s="1" t="str">
        <f>IFERROR(IF(Final_Sans_VGE[[#This Row],[ppn_z]]="","",IFERROR(
   IF(_xlfn.XLOOKUP(Final_Sans_VGE[[#This Row],[ppn_z]],tbl_Historique_Final[[#This Row],[ppn_z]],tbl_Historique_Final[[#This Row],[date_modif]])=Final_Sans_VGE[[#This Row],[date_modif]],
      "Ancien",
      "Modifié"),
   "Nouveau")),"")</f>
        <v/>
      </c>
    </row>
    <row r="4920" spans="24:30" x14ac:dyDescent="0.25">
      <c r="X4920" s="8" t="e">
        <f>IF(Final_Sans_VGE[[#This Row],[ppn_z]]="","",IFERROR(
   IF(_xlfn.XLOOKUP(Final_Sans_VGE[[#This Row],[ppn_z]],tbl_Historique_Final[ppn_z],tbl_Historique_Final[date_modif])=Final_Sans_VGE[[#This Row],[date_modif]],
      "Ancien",
      "Modifié"),
   "Nouveau"))</f>
        <v>#VALUE!</v>
      </c>
      <c r="AD4920" s="1" t="str">
        <f>IFERROR(IF(Final_Sans_VGE[[#This Row],[ppn_z]]="","",IFERROR(
   IF(_xlfn.XLOOKUP(Final_Sans_VGE[[#This Row],[ppn_z]],tbl_Historique_Final[[#This Row],[ppn_z]],tbl_Historique_Final[[#This Row],[date_modif]])=Final_Sans_VGE[[#This Row],[date_modif]],
      "Ancien",
      "Modifié"),
   "Nouveau")),"")</f>
        <v/>
      </c>
    </row>
    <row r="4921" spans="24:30" x14ac:dyDescent="0.25">
      <c r="X4921" s="8" t="e">
        <f>IF(Final_Sans_VGE[[#This Row],[ppn_z]]="","",IFERROR(
   IF(_xlfn.XLOOKUP(Final_Sans_VGE[[#This Row],[ppn_z]],tbl_Historique_Final[ppn_z],tbl_Historique_Final[date_modif])=Final_Sans_VGE[[#This Row],[date_modif]],
      "Ancien",
      "Modifié"),
   "Nouveau"))</f>
        <v>#VALUE!</v>
      </c>
      <c r="AD4921" s="1" t="str">
        <f>IFERROR(IF(Final_Sans_VGE[[#This Row],[ppn_z]]="","",IFERROR(
   IF(_xlfn.XLOOKUP(Final_Sans_VGE[[#This Row],[ppn_z]],tbl_Historique_Final[[#This Row],[ppn_z]],tbl_Historique_Final[[#This Row],[date_modif]])=Final_Sans_VGE[[#This Row],[date_modif]],
      "Ancien",
      "Modifié"),
   "Nouveau")),"")</f>
        <v/>
      </c>
    </row>
    <row r="4922" spans="24:30" x14ac:dyDescent="0.25">
      <c r="X4922" s="8" t="e">
        <f>IF(Final_Sans_VGE[[#This Row],[ppn_z]]="","",IFERROR(
   IF(_xlfn.XLOOKUP(Final_Sans_VGE[[#This Row],[ppn_z]],tbl_Historique_Final[ppn_z],tbl_Historique_Final[date_modif])=Final_Sans_VGE[[#This Row],[date_modif]],
      "Ancien",
      "Modifié"),
   "Nouveau"))</f>
        <v>#VALUE!</v>
      </c>
      <c r="AD4922" s="1" t="str">
        <f>IFERROR(IF(Final_Sans_VGE[[#This Row],[ppn_z]]="","",IFERROR(
   IF(_xlfn.XLOOKUP(Final_Sans_VGE[[#This Row],[ppn_z]],tbl_Historique_Final[[#This Row],[ppn_z]],tbl_Historique_Final[[#This Row],[date_modif]])=Final_Sans_VGE[[#This Row],[date_modif]],
      "Ancien",
      "Modifié"),
   "Nouveau")),"")</f>
        <v/>
      </c>
    </row>
    <row r="4923" spans="24:30" x14ac:dyDescent="0.25">
      <c r="X4923" s="8" t="e">
        <f>IF(Final_Sans_VGE[[#This Row],[ppn_z]]="","",IFERROR(
   IF(_xlfn.XLOOKUP(Final_Sans_VGE[[#This Row],[ppn_z]],tbl_Historique_Final[ppn_z],tbl_Historique_Final[date_modif])=Final_Sans_VGE[[#This Row],[date_modif]],
      "Ancien",
      "Modifié"),
   "Nouveau"))</f>
        <v>#VALUE!</v>
      </c>
      <c r="AD4923" s="1" t="str">
        <f>IFERROR(IF(Final_Sans_VGE[[#This Row],[ppn_z]]="","",IFERROR(
   IF(_xlfn.XLOOKUP(Final_Sans_VGE[[#This Row],[ppn_z]],tbl_Historique_Final[[#This Row],[ppn_z]],tbl_Historique_Final[[#This Row],[date_modif]])=Final_Sans_VGE[[#This Row],[date_modif]],
      "Ancien",
      "Modifié"),
   "Nouveau")),"")</f>
        <v/>
      </c>
    </row>
    <row r="4924" spans="24:30" x14ac:dyDescent="0.25">
      <c r="X4924" s="8" t="e">
        <f>IF(Final_Sans_VGE[[#This Row],[ppn_z]]="","",IFERROR(
   IF(_xlfn.XLOOKUP(Final_Sans_VGE[[#This Row],[ppn_z]],tbl_Historique_Final[ppn_z],tbl_Historique_Final[date_modif])=Final_Sans_VGE[[#This Row],[date_modif]],
      "Ancien",
      "Modifié"),
   "Nouveau"))</f>
        <v>#VALUE!</v>
      </c>
      <c r="AD4924" s="1" t="str">
        <f>IFERROR(IF(Final_Sans_VGE[[#This Row],[ppn_z]]="","",IFERROR(
   IF(_xlfn.XLOOKUP(Final_Sans_VGE[[#This Row],[ppn_z]],tbl_Historique_Final[[#This Row],[ppn_z]],tbl_Historique_Final[[#This Row],[date_modif]])=Final_Sans_VGE[[#This Row],[date_modif]],
      "Ancien",
      "Modifié"),
   "Nouveau")),"")</f>
        <v/>
      </c>
    </row>
    <row r="4925" spans="24:30" x14ac:dyDescent="0.25">
      <c r="X4925" s="8" t="e">
        <f>IF(Final_Sans_VGE[[#This Row],[ppn_z]]="","",IFERROR(
   IF(_xlfn.XLOOKUP(Final_Sans_VGE[[#This Row],[ppn_z]],tbl_Historique_Final[ppn_z],tbl_Historique_Final[date_modif])=Final_Sans_VGE[[#This Row],[date_modif]],
      "Ancien",
      "Modifié"),
   "Nouveau"))</f>
        <v>#VALUE!</v>
      </c>
      <c r="AD4925" s="1" t="str">
        <f>IFERROR(IF(Final_Sans_VGE[[#This Row],[ppn_z]]="","",IFERROR(
   IF(_xlfn.XLOOKUP(Final_Sans_VGE[[#This Row],[ppn_z]],tbl_Historique_Final[[#This Row],[ppn_z]],tbl_Historique_Final[[#This Row],[date_modif]])=Final_Sans_VGE[[#This Row],[date_modif]],
      "Ancien",
      "Modifié"),
   "Nouveau")),"")</f>
        <v/>
      </c>
    </row>
    <row r="4926" spans="24:30" x14ac:dyDescent="0.25">
      <c r="X4926" s="8" t="e">
        <f>IF(Final_Sans_VGE[[#This Row],[ppn_z]]="","",IFERROR(
   IF(_xlfn.XLOOKUP(Final_Sans_VGE[[#This Row],[ppn_z]],tbl_Historique_Final[ppn_z],tbl_Historique_Final[date_modif])=Final_Sans_VGE[[#This Row],[date_modif]],
      "Ancien",
      "Modifié"),
   "Nouveau"))</f>
        <v>#VALUE!</v>
      </c>
      <c r="AD4926" s="1" t="str">
        <f>IFERROR(IF(Final_Sans_VGE[[#This Row],[ppn_z]]="","",IFERROR(
   IF(_xlfn.XLOOKUP(Final_Sans_VGE[[#This Row],[ppn_z]],tbl_Historique_Final[[#This Row],[ppn_z]],tbl_Historique_Final[[#This Row],[date_modif]])=Final_Sans_VGE[[#This Row],[date_modif]],
      "Ancien",
      "Modifié"),
   "Nouveau")),"")</f>
        <v/>
      </c>
    </row>
    <row r="4927" spans="24:30" x14ac:dyDescent="0.25">
      <c r="X4927" s="8" t="e">
        <f>IF(Final_Sans_VGE[[#This Row],[ppn_z]]="","",IFERROR(
   IF(_xlfn.XLOOKUP(Final_Sans_VGE[[#This Row],[ppn_z]],tbl_Historique_Final[ppn_z],tbl_Historique_Final[date_modif])=Final_Sans_VGE[[#This Row],[date_modif]],
      "Ancien",
      "Modifié"),
   "Nouveau"))</f>
        <v>#VALUE!</v>
      </c>
      <c r="AD4927" s="1" t="str">
        <f>IFERROR(IF(Final_Sans_VGE[[#This Row],[ppn_z]]="","",IFERROR(
   IF(_xlfn.XLOOKUP(Final_Sans_VGE[[#This Row],[ppn_z]],tbl_Historique_Final[[#This Row],[ppn_z]],tbl_Historique_Final[[#This Row],[date_modif]])=Final_Sans_VGE[[#This Row],[date_modif]],
      "Ancien",
      "Modifié"),
   "Nouveau")),"")</f>
        <v/>
      </c>
    </row>
    <row r="4928" spans="24:30" x14ac:dyDescent="0.25">
      <c r="X4928" s="8" t="e">
        <f>IF(Final_Sans_VGE[[#This Row],[ppn_z]]="","",IFERROR(
   IF(_xlfn.XLOOKUP(Final_Sans_VGE[[#This Row],[ppn_z]],tbl_Historique_Final[ppn_z],tbl_Historique_Final[date_modif])=Final_Sans_VGE[[#This Row],[date_modif]],
      "Ancien",
      "Modifié"),
   "Nouveau"))</f>
        <v>#VALUE!</v>
      </c>
      <c r="AD4928" s="1" t="str">
        <f>IFERROR(IF(Final_Sans_VGE[[#This Row],[ppn_z]]="","",IFERROR(
   IF(_xlfn.XLOOKUP(Final_Sans_VGE[[#This Row],[ppn_z]],tbl_Historique_Final[[#This Row],[ppn_z]],tbl_Historique_Final[[#This Row],[date_modif]])=Final_Sans_VGE[[#This Row],[date_modif]],
      "Ancien",
      "Modifié"),
   "Nouveau")),"")</f>
        <v/>
      </c>
    </row>
    <row r="4929" spans="24:30" x14ac:dyDescent="0.25">
      <c r="X4929" s="8" t="e">
        <f>IF(Final_Sans_VGE[[#This Row],[ppn_z]]="","",IFERROR(
   IF(_xlfn.XLOOKUP(Final_Sans_VGE[[#This Row],[ppn_z]],tbl_Historique_Final[ppn_z],tbl_Historique_Final[date_modif])=Final_Sans_VGE[[#This Row],[date_modif]],
      "Ancien",
      "Modifié"),
   "Nouveau"))</f>
        <v>#VALUE!</v>
      </c>
      <c r="AD4929" s="1" t="str">
        <f>IFERROR(IF(Final_Sans_VGE[[#This Row],[ppn_z]]="","",IFERROR(
   IF(_xlfn.XLOOKUP(Final_Sans_VGE[[#This Row],[ppn_z]],tbl_Historique_Final[[#This Row],[ppn_z]],tbl_Historique_Final[[#This Row],[date_modif]])=Final_Sans_VGE[[#This Row],[date_modif]],
      "Ancien",
      "Modifié"),
   "Nouveau")),"")</f>
        <v/>
      </c>
    </row>
    <row r="4930" spans="24:30" x14ac:dyDescent="0.25">
      <c r="X4930" s="8" t="e">
        <f>IF(Final_Sans_VGE[[#This Row],[ppn_z]]="","",IFERROR(
   IF(_xlfn.XLOOKUP(Final_Sans_VGE[[#This Row],[ppn_z]],tbl_Historique_Final[ppn_z],tbl_Historique_Final[date_modif])=Final_Sans_VGE[[#This Row],[date_modif]],
      "Ancien",
      "Modifié"),
   "Nouveau"))</f>
        <v>#VALUE!</v>
      </c>
      <c r="AD4930" s="1" t="str">
        <f>IFERROR(IF(Final_Sans_VGE[[#This Row],[ppn_z]]="","",IFERROR(
   IF(_xlfn.XLOOKUP(Final_Sans_VGE[[#This Row],[ppn_z]],tbl_Historique_Final[[#This Row],[ppn_z]],tbl_Historique_Final[[#This Row],[date_modif]])=Final_Sans_VGE[[#This Row],[date_modif]],
      "Ancien",
      "Modifié"),
   "Nouveau")),"")</f>
        <v/>
      </c>
    </row>
    <row r="4931" spans="24:30" x14ac:dyDescent="0.25">
      <c r="X4931" s="8" t="e">
        <f>IF(Final_Sans_VGE[[#This Row],[ppn_z]]="","",IFERROR(
   IF(_xlfn.XLOOKUP(Final_Sans_VGE[[#This Row],[ppn_z]],tbl_Historique_Final[ppn_z],tbl_Historique_Final[date_modif])=Final_Sans_VGE[[#This Row],[date_modif]],
      "Ancien",
      "Modifié"),
   "Nouveau"))</f>
        <v>#VALUE!</v>
      </c>
      <c r="AD4931" s="1" t="str">
        <f>IFERROR(IF(Final_Sans_VGE[[#This Row],[ppn_z]]="","",IFERROR(
   IF(_xlfn.XLOOKUP(Final_Sans_VGE[[#This Row],[ppn_z]],tbl_Historique_Final[[#This Row],[ppn_z]],tbl_Historique_Final[[#This Row],[date_modif]])=Final_Sans_VGE[[#This Row],[date_modif]],
      "Ancien",
      "Modifié"),
   "Nouveau")),"")</f>
        <v/>
      </c>
    </row>
    <row r="4932" spans="24:30" x14ac:dyDescent="0.25">
      <c r="X4932" s="8" t="e">
        <f>IF(Final_Sans_VGE[[#This Row],[ppn_z]]="","",IFERROR(
   IF(_xlfn.XLOOKUP(Final_Sans_VGE[[#This Row],[ppn_z]],tbl_Historique_Final[ppn_z],tbl_Historique_Final[date_modif])=Final_Sans_VGE[[#This Row],[date_modif]],
      "Ancien",
      "Modifié"),
   "Nouveau"))</f>
        <v>#VALUE!</v>
      </c>
      <c r="AD4932" s="1" t="str">
        <f>IFERROR(IF(Final_Sans_VGE[[#This Row],[ppn_z]]="","",IFERROR(
   IF(_xlfn.XLOOKUP(Final_Sans_VGE[[#This Row],[ppn_z]],tbl_Historique_Final[[#This Row],[ppn_z]],tbl_Historique_Final[[#This Row],[date_modif]])=Final_Sans_VGE[[#This Row],[date_modif]],
      "Ancien",
      "Modifié"),
   "Nouveau")),"")</f>
        <v/>
      </c>
    </row>
    <row r="4933" spans="24:30" x14ac:dyDescent="0.25">
      <c r="X4933" s="8" t="e">
        <f>IF(Final_Sans_VGE[[#This Row],[ppn_z]]="","",IFERROR(
   IF(_xlfn.XLOOKUP(Final_Sans_VGE[[#This Row],[ppn_z]],tbl_Historique_Final[ppn_z],tbl_Historique_Final[date_modif])=Final_Sans_VGE[[#This Row],[date_modif]],
      "Ancien",
      "Modifié"),
   "Nouveau"))</f>
        <v>#VALUE!</v>
      </c>
      <c r="AD4933" s="1" t="str">
        <f>IFERROR(IF(Final_Sans_VGE[[#This Row],[ppn_z]]="","",IFERROR(
   IF(_xlfn.XLOOKUP(Final_Sans_VGE[[#This Row],[ppn_z]],tbl_Historique_Final[[#This Row],[ppn_z]],tbl_Historique_Final[[#This Row],[date_modif]])=Final_Sans_VGE[[#This Row],[date_modif]],
      "Ancien",
      "Modifié"),
   "Nouveau")),"")</f>
        <v/>
      </c>
    </row>
    <row r="4934" spans="24:30" x14ac:dyDescent="0.25">
      <c r="X4934" s="8" t="e">
        <f>IF(Final_Sans_VGE[[#This Row],[ppn_z]]="","",IFERROR(
   IF(_xlfn.XLOOKUP(Final_Sans_VGE[[#This Row],[ppn_z]],tbl_Historique_Final[ppn_z],tbl_Historique_Final[date_modif])=Final_Sans_VGE[[#This Row],[date_modif]],
      "Ancien",
      "Modifié"),
   "Nouveau"))</f>
        <v>#VALUE!</v>
      </c>
      <c r="AD4934" s="1" t="str">
        <f>IFERROR(IF(Final_Sans_VGE[[#This Row],[ppn_z]]="","",IFERROR(
   IF(_xlfn.XLOOKUP(Final_Sans_VGE[[#This Row],[ppn_z]],tbl_Historique_Final[[#This Row],[ppn_z]],tbl_Historique_Final[[#This Row],[date_modif]])=Final_Sans_VGE[[#This Row],[date_modif]],
      "Ancien",
      "Modifié"),
   "Nouveau")),"")</f>
        <v/>
      </c>
    </row>
    <row r="4935" spans="24:30" x14ac:dyDescent="0.25">
      <c r="X4935" s="8" t="e">
        <f>IF(Final_Sans_VGE[[#This Row],[ppn_z]]="","",IFERROR(
   IF(_xlfn.XLOOKUP(Final_Sans_VGE[[#This Row],[ppn_z]],tbl_Historique_Final[ppn_z],tbl_Historique_Final[date_modif])=Final_Sans_VGE[[#This Row],[date_modif]],
      "Ancien",
      "Modifié"),
   "Nouveau"))</f>
        <v>#VALUE!</v>
      </c>
      <c r="AD4935" s="1" t="str">
        <f>IFERROR(IF(Final_Sans_VGE[[#This Row],[ppn_z]]="","",IFERROR(
   IF(_xlfn.XLOOKUP(Final_Sans_VGE[[#This Row],[ppn_z]],tbl_Historique_Final[[#This Row],[ppn_z]],tbl_Historique_Final[[#This Row],[date_modif]])=Final_Sans_VGE[[#This Row],[date_modif]],
      "Ancien",
      "Modifié"),
   "Nouveau")),"")</f>
        <v/>
      </c>
    </row>
    <row r="4936" spans="24:30" x14ac:dyDescent="0.25">
      <c r="X4936" s="8" t="e">
        <f>IF(Final_Sans_VGE[[#This Row],[ppn_z]]="","",IFERROR(
   IF(_xlfn.XLOOKUP(Final_Sans_VGE[[#This Row],[ppn_z]],tbl_Historique_Final[ppn_z],tbl_Historique_Final[date_modif])=Final_Sans_VGE[[#This Row],[date_modif]],
      "Ancien",
      "Modifié"),
   "Nouveau"))</f>
        <v>#VALUE!</v>
      </c>
      <c r="AD4936" s="1" t="str">
        <f>IFERROR(IF(Final_Sans_VGE[[#This Row],[ppn_z]]="","",IFERROR(
   IF(_xlfn.XLOOKUP(Final_Sans_VGE[[#This Row],[ppn_z]],tbl_Historique_Final[[#This Row],[ppn_z]],tbl_Historique_Final[[#This Row],[date_modif]])=Final_Sans_VGE[[#This Row],[date_modif]],
      "Ancien",
      "Modifié"),
   "Nouveau")),"")</f>
        <v/>
      </c>
    </row>
    <row r="4937" spans="24:30" x14ac:dyDescent="0.25">
      <c r="X4937" s="8" t="e">
        <f>IF(Final_Sans_VGE[[#This Row],[ppn_z]]="","",IFERROR(
   IF(_xlfn.XLOOKUP(Final_Sans_VGE[[#This Row],[ppn_z]],tbl_Historique_Final[ppn_z],tbl_Historique_Final[date_modif])=Final_Sans_VGE[[#This Row],[date_modif]],
      "Ancien",
      "Modifié"),
   "Nouveau"))</f>
        <v>#VALUE!</v>
      </c>
      <c r="AD4937" s="1" t="str">
        <f>IFERROR(IF(Final_Sans_VGE[[#This Row],[ppn_z]]="","",IFERROR(
   IF(_xlfn.XLOOKUP(Final_Sans_VGE[[#This Row],[ppn_z]],tbl_Historique_Final[[#This Row],[ppn_z]],tbl_Historique_Final[[#This Row],[date_modif]])=Final_Sans_VGE[[#This Row],[date_modif]],
      "Ancien",
      "Modifié"),
   "Nouveau")),"")</f>
        <v/>
      </c>
    </row>
    <row r="4938" spans="24:30" x14ac:dyDescent="0.25">
      <c r="X4938" s="8" t="e">
        <f>IF(Final_Sans_VGE[[#This Row],[ppn_z]]="","",IFERROR(
   IF(_xlfn.XLOOKUP(Final_Sans_VGE[[#This Row],[ppn_z]],tbl_Historique_Final[ppn_z],tbl_Historique_Final[date_modif])=Final_Sans_VGE[[#This Row],[date_modif]],
      "Ancien",
      "Modifié"),
   "Nouveau"))</f>
        <v>#VALUE!</v>
      </c>
      <c r="AD4938" s="1" t="str">
        <f>IFERROR(IF(Final_Sans_VGE[[#This Row],[ppn_z]]="","",IFERROR(
   IF(_xlfn.XLOOKUP(Final_Sans_VGE[[#This Row],[ppn_z]],tbl_Historique_Final[[#This Row],[ppn_z]],tbl_Historique_Final[[#This Row],[date_modif]])=Final_Sans_VGE[[#This Row],[date_modif]],
      "Ancien",
      "Modifié"),
   "Nouveau")),"")</f>
        <v/>
      </c>
    </row>
    <row r="4939" spans="24:30" x14ac:dyDescent="0.25">
      <c r="X4939" s="8" t="e">
        <f>IF(Final_Sans_VGE[[#This Row],[ppn_z]]="","",IFERROR(
   IF(_xlfn.XLOOKUP(Final_Sans_VGE[[#This Row],[ppn_z]],tbl_Historique_Final[ppn_z],tbl_Historique_Final[date_modif])=Final_Sans_VGE[[#This Row],[date_modif]],
      "Ancien",
      "Modifié"),
   "Nouveau"))</f>
        <v>#VALUE!</v>
      </c>
      <c r="AD4939" s="1" t="str">
        <f>IFERROR(IF(Final_Sans_VGE[[#This Row],[ppn_z]]="","",IFERROR(
   IF(_xlfn.XLOOKUP(Final_Sans_VGE[[#This Row],[ppn_z]],tbl_Historique_Final[[#This Row],[ppn_z]],tbl_Historique_Final[[#This Row],[date_modif]])=Final_Sans_VGE[[#This Row],[date_modif]],
      "Ancien",
      "Modifié"),
   "Nouveau")),"")</f>
        <v/>
      </c>
    </row>
    <row r="4940" spans="24:30" x14ac:dyDescent="0.25">
      <c r="X4940" s="8" t="e">
        <f>IF(Final_Sans_VGE[[#This Row],[ppn_z]]="","",IFERROR(
   IF(_xlfn.XLOOKUP(Final_Sans_VGE[[#This Row],[ppn_z]],tbl_Historique_Final[ppn_z],tbl_Historique_Final[date_modif])=Final_Sans_VGE[[#This Row],[date_modif]],
      "Ancien",
      "Modifié"),
   "Nouveau"))</f>
        <v>#VALUE!</v>
      </c>
      <c r="AD4940" s="1" t="str">
        <f>IFERROR(IF(Final_Sans_VGE[[#This Row],[ppn_z]]="","",IFERROR(
   IF(_xlfn.XLOOKUP(Final_Sans_VGE[[#This Row],[ppn_z]],tbl_Historique_Final[[#This Row],[ppn_z]],tbl_Historique_Final[[#This Row],[date_modif]])=Final_Sans_VGE[[#This Row],[date_modif]],
      "Ancien",
      "Modifié"),
   "Nouveau")),"")</f>
        <v/>
      </c>
    </row>
    <row r="4941" spans="24:30" x14ac:dyDescent="0.25">
      <c r="X4941" s="8" t="e">
        <f>IF(Final_Sans_VGE[[#This Row],[ppn_z]]="","",IFERROR(
   IF(_xlfn.XLOOKUP(Final_Sans_VGE[[#This Row],[ppn_z]],tbl_Historique_Final[ppn_z],tbl_Historique_Final[date_modif])=Final_Sans_VGE[[#This Row],[date_modif]],
      "Ancien",
      "Modifié"),
   "Nouveau"))</f>
        <v>#VALUE!</v>
      </c>
      <c r="AD4941" s="1" t="str">
        <f>IFERROR(IF(Final_Sans_VGE[[#This Row],[ppn_z]]="","",IFERROR(
   IF(_xlfn.XLOOKUP(Final_Sans_VGE[[#This Row],[ppn_z]],tbl_Historique_Final[[#This Row],[ppn_z]],tbl_Historique_Final[[#This Row],[date_modif]])=Final_Sans_VGE[[#This Row],[date_modif]],
      "Ancien",
      "Modifié"),
   "Nouveau")),"")</f>
        <v/>
      </c>
    </row>
    <row r="4942" spans="24:30" x14ac:dyDescent="0.25">
      <c r="X4942" s="8" t="e">
        <f>IF(Final_Sans_VGE[[#This Row],[ppn_z]]="","",IFERROR(
   IF(_xlfn.XLOOKUP(Final_Sans_VGE[[#This Row],[ppn_z]],tbl_Historique_Final[ppn_z],tbl_Historique_Final[date_modif])=Final_Sans_VGE[[#This Row],[date_modif]],
      "Ancien",
      "Modifié"),
   "Nouveau"))</f>
        <v>#VALUE!</v>
      </c>
      <c r="AD4942" s="1" t="str">
        <f>IFERROR(IF(Final_Sans_VGE[[#This Row],[ppn_z]]="","",IFERROR(
   IF(_xlfn.XLOOKUP(Final_Sans_VGE[[#This Row],[ppn_z]],tbl_Historique_Final[[#This Row],[ppn_z]],tbl_Historique_Final[[#This Row],[date_modif]])=Final_Sans_VGE[[#This Row],[date_modif]],
      "Ancien",
      "Modifié"),
   "Nouveau")),"")</f>
        <v/>
      </c>
    </row>
    <row r="4943" spans="24:30" x14ac:dyDescent="0.25">
      <c r="X4943" s="8" t="e">
        <f>IF(Final_Sans_VGE[[#This Row],[ppn_z]]="","",IFERROR(
   IF(_xlfn.XLOOKUP(Final_Sans_VGE[[#This Row],[ppn_z]],tbl_Historique_Final[ppn_z],tbl_Historique_Final[date_modif])=Final_Sans_VGE[[#This Row],[date_modif]],
      "Ancien",
      "Modifié"),
   "Nouveau"))</f>
        <v>#VALUE!</v>
      </c>
      <c r="AD4943" s="1" t="str">
        <f>IFERROR(IF(Final_Sans_VGE[[#This Row],[ppn_z]]="","",IFERROR(
   IF(_xlfn.XLOOKUP(Final_Sans_VGE[[#This Row],[ppn_z]],tbl_Historique_Final[[#This Row],[ppn_z]],tbl_Historique_Final[[#This Row],[date_modif]])=Final_Sans_VGE[[#This Row],[date_modif]],
      "Ancien",
      "Modifié"),
   "Nouveau")),"")</f>
        <v/>
      </c>
    </row>
    <row r="4944" spans="24:30" x14ac:dyDescent="0.25">
      <c r="X4944" s="8" t="e">
        <f>IF(Final_Sans_VGE[[#This Row],[ppn_z]]="","",IFERROR(
   IF(_xlfn.XLOOKUP(Final_Sans_VGE[[#This Row],[ppn_z]],tbl_Historique_Final[ppn_z],tbl_Historique_Final[date_modif])=Final_Sans_VGE[[#This Row],[date_modif]],
      "Ancien",
      "Modifié"),
   "Nouveau"))</f>
        <v>#VALUE!</v>
      </c>
      <c r="AD4944" s="1" t="str">
        <f>IFERROR(IF(Final_Sans_VGE[[#This Row],[ppn_z]]="","",IFERROR(
   IF(_xlfn.XLOOKUP(Final_Sans_VGE[[#This Row],[ppn_z]],tbl_Historique_Final[[#This Row],[ppn_z]],tbl_Historique_Final[[#This Row],[date_modif]])=Final_Sans_VGE[[#This Row],[date_modif]],
      "Ancien",
      "Modifié"),
   "Nouveau")),"")</f>
        <v/>
      </c>
    </row>
    <row r="4945" spans="24:30" x14ac:dyDescent="0.25">
      <c r="X4945" s="8" t="e">
        <f>IF(Final_Sans_VGE[[#This Row],[ppn_z]]="","",IFERROR(
   IF(_xlfn.XLOOKUP(Final_Sans_VGE[[#This Row],[ppn_z]],tbl_Historique_Final[ppn_z],tbl_Historique_Final[date_modif])=Final_Sans_VGE[[#This Row],[date_modif]],
      "Ancien",
      "Modifié"),
   "Nouveau"))</f>
        <v>#VALUE!</v>
      </c>
      <c r="AD4945" s="1" t="str">
        <f>IFERROR(IF(Final_Sans_VGE[[#This Row],[ppn_z]]="","",IFERROR(
   IF(_xlfn.XLOOKUP(Final_Sans_VGE[[#This Row],[ppn_z]],tbl_Historique_Final[[#This Row],[ppn_z]],tbl_Historique_Final[[#This Row],[date_modif]])=Final_Sans_VGE[[#This Row],[date_modif]],
      "Ancien",
      "Modifié"),
   "Nouveau")),"")</f>
        <v/>
      </c>
    </row>
    <row r="4946" spans="24:30" x14ac:dyDescent="0.25">
      <c r="X4946" s="8" t="e">
        <f>IF(Final_Sans_VGE[[#This Row],[ppn_z]]="","",IFERROR(
   IF(_xlfn.XLOOKUP(Final_Sans_VGE[[#This Row],[ppn_z]],tbl_Historique_Final[ppn_z],tbl_Historique_Final[date_modif])=Final_Sans_VGE[[#This Row],[date_modif]],
      "Ancien",
      "Modifié"),
   "Nouveau"))</f>
        <v>#VALUE!</v>
      </c>
      <c r="AD4946" s="1" t="str">
        <f>IFERROR(IF(Final_Sans_VGE[[#This Row],[ppn_z]]="","",IFERROR(
   IF(_xlfn.XLOOKUP(Final_Sans_VGE[[#This Row],[ppn_z]],tbl_Historique_Final[[#This Row],[ppn_z]],tbl_Historique_Final[[#This Row],[date_modif]])=Final_Sans_VGE[[#This Row],[date_modif]],
      "Ancien",
      "Modifié"),
   "Nouveau")),"")</f>
        <v/>
      </c>
    </row>
    <row r="4947" spans="24:30" x14ac:dyDescent="0.25">
      <c r="X4947" s="8" t="e">
        <f>IF(Final_Sans_VGE[[#This Row],[ppn_z]]="","",IFERROR(
   IF(_xlfn.XLOOKUP(Final_Sans_VGE[[#This Row],[ppn_z]],tbl_Historique_Final[ppn_z],tbl_Historique_Final[date_modif])=Final_Sans_VGE[[#This Row],[date_modif]],
      "Ancien",
      "Modifié"),
   "Nouveau"))</f>
        <v>#VALUE!</v>
      </c>
      <c r="AD4947" s="1" t="str">
        <f>IFERROR(IF(Final_Sans_VGE[[#This Row],[ppn_z]]="","",IFERROR(
   IF(_xlfn.XLOOKUP(Final_Sans_VGE[[#This Row],[ppn_z]],tbl_Historique_Final[[#This Row],[ppn_z]],tbl_Historique_Final[[#This Row],[date_modif]])=Final_Sans_VGE[[#This Row],[date_modif]],
      "Ancien",
      "Modifié"),
   "Nouveau")),"")</f>
        <v/>
      </c>
    </row>
    <row r="4948" spans="24:30" x14ac:dyDescent="0.25">
      <c r="X4948" s="8" t="e">
        <f>IF(Final_Sans_VGE[[#This Row],[ppn_z]]="","",IFERROR(
   IF(_xlfn.XLOOKUP(Final_Sans_VGE[[#This Row],[ppn_z]],tbl_Historique_Final[ppn_z],tbl_Historique_Final[date_modif])=Final_Sans_VGE[[#This Row],[date_modif]],
      "Ancien",
      "Modifié"),
   "Nouveau"))</f>
        <v>#VALUE!</v>
      </c>
      <c r="AD4948" s="1" t="str">
        <f>IFERROR(IF(Final_Sans_VGE[[#This Row],[ppn_z]]="","",IFERROR(
   IF(_xlfn.XLOOKUP(Final_Sans_VGE[[#This Row],[ppn_z]],tbl_Historique_Final[[#This Row],[ppn_z]],tbl_Historique_Final[[#This Row],[date_modif]])=Final_Sans_VGE[[#This Row],[date_modif]],
      "Ancien",
      "Modifié"),
   "Nouveau")),"")</f>
        <v/>
      </c>
    </row>
    <row r="4949" spans="24:30" x14ac:dyDescent="0.25">
      <c r="X4949" s="8" t="e">
        <f>IF(Final_Sans_VGE[[#This Row],[ppn_z]]="","",IFERROR(
   IF(_xlfn.XLOOKUP(Final_Sans_VGE[[#This Row],[ppn_z]],tbl_Historique_Final[ppn_z],tbl_Historique_Final[date_modif])=Final_Sans_VGE[[#This Row],[date_modif]],
      "Ancien",
      "Modifié"),
   "Nouveau"))</f>
        <v>#VALUE!</v>
      </c>
      <c r="AD4949" s="1" t="str">
        <f>IFERROR(IF(Final_Sans_VGE[[#This Row],[ppn_z]]="","",IFERROR(
   IF(_xlfn.XLOOKUP(Final_Sans_VGE[[#This Row],[ppn_z]],tbl_Historique_Final[[#This Row],[ppn_z]],tbl_Historique_Final[[#This Row],[date_modif]])=Final_Sans_VGE[[#This Row],[date_modif]],
      "Ancien",
      "Modifié"),
   "Nouveau")),"")</f>
        <v/>
      </c>
    </row>
    <row r="4950" spans="24:30" x14ac:dyDescent="0.25">
      <c r="X4950" s="8" t="e">
        <f>IF(Final_Sans_VGE[[#This Row],[ppn_z]]="","",IFERROR(
   IF(_xlfn.XLOOKUP(Final_Sans_VGE[[#This Row],[ppn_z]],tbl_Historique_Final[ppn_z],tbl_Historique_Final[date_modif])=Final_Sans_VGE[[#This Row],[date_modif]],
      "Ancien",
      "Modifié"),
   "Nouveau"))</f>
        <v>#VALUE!</v>
      </c>
      <c r="AD4950" s="1" t="str">
        <f>IFERROR(IF(Final_Sans_VGE[[#This Row],[ppn_z]]="","",IFERROR(
   IF(_xlfn.XLOOKUP(Final_Sans_VGE[[#This Row],[ppn_z]],tbl_Historique_Final[[#This Row],[ppn_z]],tbl_Historique_Final[[#This Row],[date_modif]])=Final_Sans_VGE[[#This Row],[date_modif]],
      "Ancien",
      "Modifié"),
   "Nouveau")),"")</f>
        <v/>
      </c>
    </row>
    <row r="4951" spans="24:30" x14ac:dyDescent="0.25">
      <c r="X4951" s="8" t="e">
        <f>IF(Final_Sans_VGE[[#This Row],[ppn_z]]="","",IFERROR(
   IF(_xlfn.XLOOKUP(Final_Sans_VGE[[#This Row],[ppn_z]],tbl_Historique_Final[ppn_z],tbl_Historique_Final[date_modif])=Final_Sans_VGE[[#This Row],[date_modif]],
      "Ancien",
      "Modifié"),
   "Nouveau"))</f>
        <v>#VALUE!</v>
      </c>
      <c r="AD4951" s="1" t="str">
        <f>IFERROR(IF(Final_Sans_VGE[[#This Row],[ppn_z]]="","",IFERROR(
   IF(_xlfn.XLOOKUP(Final_Sans_VGE[[#This Row],[ppn_z]],tbl_Historique_Final[[#This Row],[ppn_z]],tbl_Historique_Final[[#This Row],[date_modif]])=Final_Sans_VGE[[#This Row],[date_modif]],
      "Ancien",
      "Modifié"),
   "Nouveau")),"")</f>
        <v/>
      </c>
    </row>
    <row r="4952" spans="24:30" x14ac:dyDescent="0.25">
      <c r="X4952" s="8" t="e">
        <f>IF(Final_Sans_VGE[[#This Row],[ppn_z]]="","",IFERROR(
   IF(_xlfn.XLOOKUP(Final_Sans_VGE[[#This Row],[ppn_z]],tbl_Historique_Final[ppn_z],tbl_Historique_Final[date_modif])=Final_Sans_VGE[[#This Row],[date_modif]],
      "Ancien",
      "Modifié"),
   "Nouveau"))</f>
        <v>#VALUE!</v>
      </c>
      <c r="AD4952" s="1" t="str">
        <f>IFERROR(IF(Final_Sans_VGE[[#This Row],[ppn_z]]="","",IFERROR(
   IF(_xlfn.XLOOKUP(Final_Sans_VGE[[#This Row],[ppn_z]],tbl_Historique_Final[[#This Row],[ppn_z]],tbl_Historique_Final[[#This Row],[date_modif]])=Final_Sans_VGE[[#This Row],[date_modif]],
      "Ancien",
      "Modifié"),
   "Nouveau")),"")</f>
        <v/>
      </c>
    </row>
    <row r="4953" spans="24:30" x14ac:dyDescent="0.25">
      <c r="X4953" s="8" t="e">
        <f>IF(Final_Sans_VGE[[#This Row],[ppn_z]]="","",IFERROR(
   IF(_xlfn.XLOOKUP(Final_Sans_VGE[[#This Row],[ppn_z]],tbl_Historique_Final[ppn_z],tbl_Historique_Final[date_modif])=Final_Sans_VGE[[#This Row],[date_modif]],
      "Ancien",
      "Modifié"),
   "Nouveau"))</f>
        <v>#VALUE!</v>
      </c>
      <c r="AD4953" s="1" t="str">
        <f>IFERROR(IF(Final_Sans_VGE[[#This Row],[ppn_z]]="","",IFERROR(
   IF(_xlfn.XLOOKUP(Final_Sans_VGE[[#This Row],[ppn_z]],tbl_Historique_Final[[#This Row],[ppn_z]],tbl_Historique_Final[[#This Row],[date_modif]])=Final_Sans_VGE[[#This Row],[date_modif]],
      "Ancien",
      "Modifié"),
   "Nouveau")),"")</f>
        <v/>
      </c>
    </row>
    <row r="4954" spans="24:30" x14ac:dyDescent="0.25">
      <c r="X4954" s="8" t="e">
        <f>IF(Final_Sans_VGE[[#This Row],[ppn_z]]="","",IFERROR(
   IF(_xlfn.XLOOKUP(Final_Sans_VGE[[#This Row],[ppn_z]],tbl_Historique_Final[ppn_z],tbl_Historique_Final[date_modif])=Final_Sans_VGE[[#This Row],[date_modif]],
      "Ancien",
      "Modifié"),
   "Nouveau"))</f>
        <v>#VALUE!</v>
      </c>
      <c r="AD4954" s="1" t="str">
        <f>IFERROR(IF(Final_Sans_VGE[[#This Row],[ppn_z]]="","",IFERROR(
   IF(_xlfn.XLOOKUP(Final_Sans_VGE[[#This Row],[ppn_z]],tbl_Historique_Final[[#This Row],[ppn_z]],tbl_Historique_Final[[#This Row],[date_modif]])=Final_Sans_VGE[[#This Row],[date_modif]],
      "Ancien",
      "Modifié"),
   "Nouveau")),"")</f>
        <v/>
      </c>
    </row>
    <row r="4955" spans="24:30" x14ac:dyDescent="0.25">
      <c r="X4955" s="8" t="e">
        <f>IF(Final_Sans_VGE[[#This Row],[ppn_z]]="","",IFERROR(
   IF(_xlfn.XLOOKUP(Final_Sans_VGE[[#This Row],[ppn_z]],tbl_Historique_Final[ppn_z],tbl_Historique_Final[date_modif])=Final_Sans_VGE[[#This Row],[date_modif]],
      "Ancien",
      "Modifié"),
   "Nouveau"))</f>
        <v>#VALUE!</v>
      </c>
      <c r="AD4955" s="1" t="str">
        <f>IFERROR(IF(Final_Sans_VGE[[#This Row],[ppn_z]]="","",IFERROR(
   IF(_xlfn.XLOOKUP(Final_Sans_VGE[[#This Row],[ppn_z]],tbl_Historique_Final[[#This Row],[ppn_z]],tbl_Historique_Final[[#This Row],[date_modif]])=Final_Sans_VGE[[#This Row],[date_modif]],
      "Ancien",
      "Modifié"),
   "Nouveau")),"")</f>
        <v/>
      </c>
    </row>
    <row r="4956" spans="24:30" x14ac:dyDescent="0.25">
      <c r="X4956" s="8" t="e">
        <f>IF(Final_Sans_VGE[[#This Row],[ppn_z]]="","",IFERROR(
   IF(_xlfn.XLOOKUP(Final_Sans_VGE[[#This Row],[ppn_z]],tbl_Historique_Final[ppn_z],tbl_Historique_Final[date_modif])=Final_Sans_VGE[[#This Row],[date_modif]],
      "Ancien",
      "Modifié"),
   "Nouveau"))</f>
        <v>#VALUE!</v>
      </c>
      <c r="AD4956" s="1" t="str">
        <f>IFERROR(IF(Final_Sans_VGE[[#This Row],[ppn_z]]="","",IFERROR(
   IF(_xlfn.XLOOKUP(Final_Sans_VGE[[#This Row],[ppn_z]],tbl_Historique_Final[[#This Row],[ppn_z]],tbl_Historique_Final[[#This Row],[date_modif]])=Final_Sans_VGE[[#This Row],[date_modif]],
      "Ancien",
      "Modifié"),
   "Nouveau")),"")</f>
        <v/>
      </c>
    </row>
    <row r="4957" spans="24:30" x14ac:dyDescent="0.25">
      <c r="X4957" s="8" t="e">
        <f>IF(Final_Sans_VGE[[#This Row],[ppn_z]]="","",IFERROR(
   IF(_xlfn.XLOOKUP(Final_Sans_VGE[[#This Row],[ppn_z]],tbl_Historique_Final[ppn_z],tbl_Historique_Final[date_modif])=Final_Sans_VGE[[#This Row],[date_modif]],
      "Ancien",
      "Modifié"),
   "Nouveau"))</f>
        <v>#VALUE!</v>
      </c>
      <c r="AD4957" s="1" t="str">
        <f>IFERROR(IF(Final_Sans_VGE[[#This Row],[ppn_z]]="","",IFERROR(
   IF(_xlfn.XLOOKUP(Final_Sans_VGE[[#This Row],[ppn_z]],tbl_Historique_Final[[#This Row],[ppn_z]],tbl_Historique_Final[[#This Row],[date_modif]])=Final_Sans_VGE[[#This Row],[date_modif]],
      "Ancien",
      "Modifié"),
   "Nouveau")),"")</f>
        <v/>
      </c>
    </row>
    <row r="4958" spans="24:30" x14ac:dyDescent="0.25">
      <c r="X4958" s="8" t="e">
        <f>IF(Final_Sans_VGE[[#This Row],[ppn_z]]="","",IFERROR(
   IF(_xlfn.XLOOKUP(Final_Sans_VGE[[#This Row],[ppn_z]],tbl_Historique_Final[ppn_z],tbl_Historique_Final[date_modif])=Final_Sans_VGE[[#This Row],[date_modif]],
      "Ancien",
      "Modifié"),
   "Nouveau"))</f>
        <v>#VALUE!</v>
      </c>
      <c r="AD4958" s="1" t="str">
        <f>IFERROR(IF(Final_Sans_VGE[[#This Row],[ppn_z]]="","",IFERROR(
   IF(_xlfn.XLOOKUP(Final_Sans_VGE[[#This Row],[ppn_z]],tbl_Historique_Final[[#This Row],[ppn_z]],tbl_Historique_Final[[#This Row],[date_modif]])=Final_Sans_VGE[[#This Row],[date_modif]],
      "Ancien",
      "Modifié"),
   "Nouveau")),"")</f>
        <v/>
      </c>
    </row>
    <row r="4959" spans="24:30" x14ac:dyDescent="0.25">
      <c r="X4959" s="8" t="e">
        <f>IF(Final_Sans_VGE[[#This Row],[ppn_z]]="","",IFERROR(
   IF(_xlfn.XLOOKUP(Final_Sans_VGE[[#This Row],[ppn_z]],tbl_Historique_Final[ppn_z],tbl_Historique_Final[date_modif])=Final_Sans_VGE[[#This Row],[date_modif]],
      "Ancien",
      "Modifié"),
   "Nouveau"))</f>
        <v>#VALUE!</v>
      </c>
      <c r="AD4959" s="1" t="str">
        <f>IFERROR(IF(Final_Sans_VGE[[#This Row],[ppn_z]]="","",IFERROR(
   IF(_xlfn.XLOOKUP(Final_Sans_VGE[[#This Row],[ppn_z]],tbl_Historique_Final[[#This Row],[ppn_z]],tbl_Historique_Final[[#This Row],[date_modif]])=Final_Sans_VGE[[#This Row],[date_modif]],
      "Ancien",
      "Modifié"),
   "Nouveau")),"")</f>
        <v/>
      </c>
    </row>
    <row r="4960" spans="24:30" x14ac:dyDescent="0.25">
      <c r="X4960" s="8" t="e">
        <f>IF(Final_Sans_VGE[[#This Row],[ppn_z]]="","",IFERROR(
   IF(_xlfn.XLOOKUP(Final_Sans_VGE[[#This Row],[ppn_z]],tbl_Historique_Final[ppn_z],tbl_Historique_Final[date_modif])=Final_Sans_VGE[[#This Row],[date_modif]],
      "Ancien",
      "Modifié"),
   "Nouveau"))</f>
        <v>#VALUE!</v>
      </c>
      <c r="AD4960" s="1" t="str">
        <f>IFERROR(IF(Final_Sans_VGE[[#This Row],[ppn_z]]="","",IFERROR(
   IF(_xlfn.XLOOKUP(Final_Sans_VGE[[#This Row],[ppn_z]],tbl_Historique_Final[[#This Row],[ppn_z]],tbl_Historique_Final[[#This Row],[date_modif]])=Final_Sans_VGE[[#This Row],[date_modif]],
      "Ancien",
      "Modifié"),
   "Nouveau")),"")</f>
        <v/>
      </c>
    </row>
    <row r="4961" spans="24:30" x14ac:dyDescent="0.25">
      <c r="X4961" s="8" t="e">
        <f>IF(Final_Sans_VGE[[#This Row],[ppn_z]]="","",IFERROR(
   IF(_xlfn.XLOOKUP(Final_Sans_VGE[[#This Row],[ppn_z]],tbl_Historique_Final[ppn_z],tbl_Historique_Final[date_modif])=Final_Sans_VGE[[#This Row],[date_modif]],
      "Ancien",
      "Modifié"),
   "Nouveau"))</f>
        <v>#VALUE!</v>
      </c>
      <c r="AD4961" s="1" t="str">
        <f>IFERROR(IF(Final_Sans_VGE[[#This Row],[ppn_z]]="","",IFERROR(
   IF(_xlfn.XLOOKUP(Final_Sans_VGE[[#This Row],[ppn_z]],tbl_Historique_Final[[#This Row],[ppn_z]],tbl_Historique_Final[[#This Row],[date_modif]])=Final_Sans_VGE[[#This Row],[date_modif]],
      "Ancien",
      "Modifié"),
   "Nouveau")),"")</f>
        <v/>
      </c>
    </row>
    <row r="4962" spans="24:30" x14ac:dyDescent="0.25">
      <c r="X4962" s="8" t="e">
        <f>IF(Final_Sans_VGE[[#This Row],[ppn_z]]="","",IFERROR(
   IF(_xlfn.XLOOKUP(Final_Sans_VGE[[#This Row],[ppn_z]],tbl_Historique_Final[ppn_z],tbl_Historique_Final[date_modif])=Final_Sans_VGE[[#This Row],[date_modif]],
      "Ancien",
      "Modifié"),
   "Nouveau"))</f>
        <v>#VALUE!</v>
      </c>
      <c r="AD4962" s="1" t="str">
        <f>IFERROR(IF(Final_Sans_VGE[[#This Row],[ppn_z]]="","",IFERROR(
   IF(_xlfn.XLOOKUP(Final_Sans_VGE[[#This Row],[ppn_z]],tbl_Historique_Final[[#This Row],[ppn_z]],tbl_Historique_Final[[#This Row],[date_modif]])=Final_Sans_VGE[[#This Row],[date_modif]],
      "Ancien",
      "Modifié"),
   "Nouveau")),"")</f>
        <v/>
      </c>
    </row>
    <row r="4963" spans="24:30" x14ac:dyDescent="0.25">
      <c r="X4963" s="8" t="e">
        <f>IF(Final_Sans_VGE[[#This Row],[ppn_z]]="","",IFERROR(
   IF(_xlfn.XLOOKUP(Final_Sans_VGE[[#This Row],[ppn_z]],tbl_Historique_Final[ppn_z],tbl_Historique_Final[date_modif])=Final_Sans_VGE[[#This Row],[date_modif]],
      "Ancien",
      "Modifié"),
   "Nouveau"))</f>
        <v>#VALUE!</v>
      </c>
      <c r="AD4963" s="1" t="str">
        <f>IFERROR(IF(Final_Sans_VGE[[#This Row],[ppn_z]]="","",IFERROR(
   IF(_xlfn.XLOOKUP(Final_Sans_VGE[[#This Row],[ppn_z]],tbl_Historique_Final[[#This Row],[ppn_z]],tbl_Historique_Final[[#This Row],[date_modif]])=Final_Sans_VGE[[#This Row],[date_modif]],
      "Ancien",
      "Modifié"),
   "Nouveau")),"")</f>
        <v/>
      </c>
    </row>
    <row r="4964" spans="24:30" x14ac:dyDescent="0.25">
      <c r="X4964" s="8" t="e">
        <f>IF(Final_Sans_VGE[[#This Row],[ppn_z]]="","",IFERROR(
   IF(_xlfn.XLOOKUP(Final_Sans_VGE[[#This Row],[ppn_z]],tbl_Historique_Final[ppn_z],tbl_Historique_Final[date_modif])=Final_Sans_VGE[[#This Row],[date_modif]],
      "Ancien",
      "Modifié"),
   "Nouveau"))</f>
        <v>#VALUE!</v>
      </c>
      <c r="AD4964" s="1" t="str">
        <f>IFERROR(IF(Final_Sans_VGE[[#This Row],[ppn_z]]="","",IFERROR(
   IF(_xlfn.XLOOKUP(Final_Sans_VGE[[#This Row],[ppn_z]],tbl_Historique_Final[[#This Row],[ppn_z]],tbl_Historique_Final[[#This Row],[date_modif]])=Final_Sans_VGE[[#This Row],[date_modif]],
      "Ancien",
      "Modifié"),
   "Nouveau")),"")</f>
        <v/>
      </c>
    </row>
    <row r="4965" spans="24:30" x14ac:dyDescent="0.25">
      <c r="X4965" s="8" t="e">
        <f>IF(Final_Sans_VGE[[#This Row],[ppn_z]]="","",IFERROR(
   IF(_xlfn.XLOOKUP(Final_Sans_VGE[[#This Row],[ppn_z]],tbl_Historique_Final[ppn_z],tbl_Historique_Final[date_modif])=Final_Sans_VGE[[#This Row],[date_modif]],
      "Ancien",
      "Modifié"),
   "Nouveau"))</f>
        <v>#VALUE!</v>
      </c>
      <c r="AD4965" s="1" t="str">
        <f>IFERROR(IF(Final_Sans_VGE[[#This Row],[ppn_z]]="","",IFERROR(
   IF(_xlfn.XLOOKUP(Final_Sans_VGE[[#This Row],[ppn_z]],tbl_Historique_Final[[#This Row],[ppn_z]],tbl_Historique_Final[[#This Row],[date_modif]])=Final_Sans_VGE[[#This Row],[date_modif]],
      "Ancien",
      "Modifié"),
   "Nouveau")),"")</f>
        <v/>
      </c>
    </row>
    <row r="4966" spans="24:30" x14ac:dyDescent="0.25">
      <c r="X4966" s="8" t="e">
        <f>IF(Final_Sans_VGE[[#This Row],[ppn_z]]="","",IFERROR(
   IF(_xlfn.XLOOKUP(Final_Sans_VGE[[#This Row],[ppn_z]],tbl_Historique_Final[ppn_z],tbl_Historique_Final[date_modif])=Final_Sans_VGE[[#This Row],[date_modif]],
      "Ancien",
      "Modifié"),
   "Nouveau"))</f>
        <v>#VALUE!</v>
      </c>
      <c r="AD4966" s="1" t="str">
        <f>IFERROR(IF(Final_Sans_VGE[[#This Row],[ppn_z]]="","",IFERROR(
   IF(_xlfn.XLOOKUP(Final_Sans_VGE[[#This Row],[ppn_z]],tbl_Historique_Final[[#This Row],[ppn_z]],tbl_Historique_Final[[#This Row],[date_modif]])=Final_Sans_VGE[[#This Row],[date_modif]],
      "Ancien",
      "Modifié"),
   "Nouveau")),"")</f>
        <v/>
      </c>
    </row>
    <row r="4967" spans="24:30" x14ac:dyDescent="0.25">
      <c r="X4967" s="8" t="e">
        <f>IF(Final_Sans_VGE[[#This Row],[ppn_z]]="","",IFERROR(
   IF(_xlfn.XLOOKUP(Final_Sans_VGE[[#This Row],[ppn_z]],tbl_Historique_Final[ppn_z],tbl_Historique_Final[date_modif])=Final_Sans_VGE[[#This Row],[date_modif]],
      "Ancien",
      "Modifié"),
   "Nouveau"))</f>
        <v>#VALUE!</v>
      </c>
      <c r="AD4967" s="1" t="str">
        <f>IFERROR(IF(Final_Sans_VGE[[#This Row],[ppn_z]]="","",IFERROR(
   IF(_xlfn.XLOOKUP(Final_Sans_VGE[[#This Row],[ppn_z]],tbl_Historique_Final[[#This Row],[ppn_z]],tbl_Historique_Final[[#This Row],[date_modif]])=Final_Sans_VGE[[#This Row],[date_modif]],
      "Ancien",
      "Modifié"),
   "Nouveau")),"")</f>
        <v/>
      </c>
    </row>
    <row r="4968" spans="24:30" x14ac:dyDescent="0.25">
      <c r="X4968" s="8" t="e">
        <f>IF(Final_Sans_VGE[[#This Row],[ppn_z]]="","",IFERROR(
   IF(_xlfn.XLOOKUP(Final_Sans_VGE[[#This Row],[ppn_z]],tbl_Historique_Final[ppn_z],tbl_Historique_Final[date_modif])=Final_Sans_VGE[[#This Row],[date_modif]],
      "Ancien",
      "Modifié"),
   "Nouveau"))</f>
        <v>#VALUE!</v>
      </c>
      <c r="AD4968" s="1" t="str">
        <f>IFERROR(IF(Final_Sans_VGE[[#This Row],[ppn_z]]="","",IFERROR(
   IF(_xlfn.XLOOKUP(Final_Sans_VGE[[#This Row],[ppn_z]],tbl_Historique_Final[[#This Row],[ppn_z]],tbl_Historique_Final[[#This Row],[date_modif]])=Final_Sans_VGE[[#This Row],[date_modif]],
      "Ancien",
      "Modifié"),
   "Nouveau")),"")</f>
        <v/>
      </c>
    </row>
    <row r="4969" spans="24:30" x14ac:dyDescent="0.25">
      <c r="X4969" s="8" t="e">
        <f>IF(Final_Sans_VGE[[#This Row],[ppn_z]]="","",IFERROR(
   IF(_xlfn.XLOOKUP(Final_Sans_VGE[[#This Row],[ppn_z]],tbl_Historique_Final[ppn_z],tbl_Historique_Final[date_modif])=Final_Sans_VGE[[#This Row],[date_modif]],
      "Ancien",
      "Modifié"),
   "Nouveau"))</f>
        <v>#VALUE!</v>
      </c>
      <c r="AD4969" s="1" t="str">
        <f>IFERROR(IF(Final_Sans_VGE[[#This Row],[ppn_z]]="","",IFERROR(
   IF(_xlfn.XLOOKUP(Final_Sans_VGE[[#This Row],[ppn_z]],tbl_Historique_Final[[#This Row],[ppn_z]],tbl_Historique_Final[[#This Row],[date_modif]])=Final_Sans_VGE[[#This Row],[date_modif]],
      "Ancien",
      "Modifié"),
   "Nouveau")),"")</f>
        <v/>
      </c>
    </row>
    <row r="4970" spans="24:30" x14ac:dyDescent="0.25">
      <c r="X4970" s="8" t="e">
        <f>IF(Final_Sans_VGE[[#This Row],[ppn_z]]="","",IFERROR(
   IF(_xlfn.XLOOKUP(Final_Sans_VGE[[#This Row],[ppn_z]],tbl_Historique_Final[ppn_z],tbl_Historique_Final[date_modif])=Final_Sans_VGE[[#This Row],[date_modif]],
      "Ancien",
      "Modifié"),
   "Nouveau"))</f>
        <v>#VALUE!</v>
      </c>
      <c r="AD4970" s="1" t="str">
        <f>IFERROR(IF(Final_Sans_VGE[[#This Row],[ppn_z]]="","",IFERROR(
   IF(_xlfn.XLOOKUP(Final_Sans_VGE[[#This Row],[ppn_z]],tbl_Historique_Final[[#This Row],[ppn_z]],tbl_Historique_Final[[#This Row],[date_modif]])=Final_Sans_VGE[[#This Row],[date_modif]],
      "Ancien",
      "Modifié"),
   "Nouveau")),"")</f>
        <v/>
      </c>
    </row>
    <row r="4971" spans="24:30" x14ac:dyDescent="0.25">
      <c r="X4971" s="8" t="e">
        <f>IF(Final_Sans_VGE[[#This Row],[ppn_z]]="","",IFERROR(
   IF(_xlfn.XLOOKUP(Final_Sans_VGE[[#This Row],[ppn_z]],tbl_Historique_Final[ppn_z],tbl_Historique_Final[date_modif])=Final_Sans_VGE[[#This Row],[date_modif]],
      "Ancien",
      "Modifié"),
   "Nouveau"))</f>
        <v>#VALUE!</v>
      </c>
      <c r="AD4971" s="1" t="str">
        <f>IFERROR(IF(Final_Sans_VGE[[#This Row],[ppn_z]]="","",IFERROR(
   IF(_xlfn.XLOOKUP(Final_Sans_VGE[[#This Row],[ppn_z]],tbl_Historique_Final[[#This Row],[ppn_z]],tbl_Historique_Final[[#This Row],[date_modif]])=Final_Sans_VGE[[#This Row],[date_modif]],
      "Ancien",
      "Modifié"),
   "Nouveau")),"")</f>
        <v/>
      </c>
    </row>
    <row r="4972" spans="24:30" x14ac:dyDescent="0.25">
      <c r="X4972" s="8" t="e">
        <f>IF(Final_Sans_VGE[[#This Row],[ppn_z]]="","",IFERROR(
   IF(_xlfn.XLOOKUP(Final_Sans_VGE[[#This Row],[ppn_z]],tbl_Historique_Final[ppn_z],tbl_Historique_Final[date_modif])=Final_Sans_VGE[[#This Row],[date_modif]],
      "Ancien",
      "Modifié"),
   "Nouveau"))</f>
        <v>#VALUE!</v>
      </c>
      <c r="AD4972" s="1" t="str">
        <f>IFERROR(IF(Final_Sans_VGE[[#This Row],[ppn_z]]="","",IFERROR(
   IF(_xlfn.XLOOKUP(Final_Sans_VGE[[#This Row],[ppn_z]],tbl_Historique_Final[[#This Row],[ppn_z]],tbl_Historique_Final[[#This Row],[date_modif]])=Final_Sans_VGE[[#This Row],[date_modif]],
      "Ancien",
      "Modifié"),
   "Nouveau")),"")</f>
        <v/>
      </c>
    </row>
    <row r="4973" spans="24:30" x14ac:dyDescent="0.25">
      <c r="X4973" s="8" t="e">
        <f>IF(Final_Sans_VGE[[#This Row],[ppn_z]]="","",IFERROR(
   IF(_xlfn.XLOOKUP(Final_Sans_VGE[[#This Row],[ppn_z]],tbl_Historique_Final[ppn_z],tbl_Historique_Final[date_modif])=Final_Sans_VGE[[#This Row],[date_modif]],
      "Ancien",
      "Modifié"),
   "Nouveau"))</f>
        <v>#VALUE!</v>
      </c>
      <c r="AD4973" s="1" t="str">
        <f>IFERROR(IF(Final_Sans_VGE[[#This Row],[ppn_z]]="","",IFERROR(
   IF(_xlfn.XLOOKUP(Final_Sans_VGE[[#This Row],[ppn_z]],tbl_Historique_Final[[#This Row],[ppn_z]],tbl_Historique_Final[[#This Row],[date_modif]])=Final_Sans_VGE[[#This Row],[date_modif]],
      "Ancien",
      "Modifié"),
   "Nouveau")),"")</f>
        <v/>
      </c>
    </row>
    <row r="4974" spans="24:30" x14ac:dyDescent="0.25">
      <c r="X4974" s="8" t="e">
        <f>IF(Final_Sans_VGE[[#This Row],[ppn_z]]="","",IFERROR(
   IF(_xlfn.XLOOKUP(Final_Sans_VGE[[#This Row],[ppn_z]],tbl_Historique_Final[ppn_z],tbl_Historique_Final[date_modif])=Final_Sans_VGE[[#This Row],[date_modif]],
      "Ancien",
      "Modifié"),
   "Nouveau"))</f>
        <v>#VALUE!</v>
      </c>
      <c r="AD4974" s="1" t="str">
        <f>IFERROR(IF(Final_Sans_VGE[[#This Row],[ppn_z]]="","",IFERROR(
   IF(_xlfn.XLOOKUP(Final_Sans_VGE[[#This Row],[ppn_z]],tbl_Historique_Final[[#This Row],[ppn_z]],tbl_Historique_Final[[#This Row],[date_modif]])=Final_Sans_VGE[[#This Row],[date_modif]],
      "Ancien",
      "Modifié"),
   "Nouveau")),"")</f>
        <v/>
      </c>
    </row>
    <row r="4975" spans="24:30" x14ac:dyDescent="0.25">
      <c r="X4975" s="8" t="e">
        <f>IF(Final_Sans_VGE[[#This Row],[ppn_z]]="","",IFERROR(
   IF(_xlfn.XLOOKUP(Final_Sans_VGE[[#This Row],[ppn_z]],tbl_Historique_Final[ppn_z],tbl_Historique_Final[date_modif])=Final_Sans_VGE[[#This Row],[date_modif]],
      "Ancien",
      "Modifié"),
   "Nouveau"))</f>
        <v>#VALUE!</v>
      </c>
      <c r="AD4975" s="1" t="str">
        <f>IFERROR(IF(Final_Sans_VGE[[#This Row],[ppn_z]]="","",IFERROR(
   IF(_xlfn.XLOOKUP(Final_Sans_VGE[[#This Row],[ppn_z]],tbl_Historique_Final[[#This Row],[ppn_z]],tbl_Historique_Final[[#This Row],[date_modif]])=Final_Sans_VGE[[#This Row],[date_modif]],
      "Ancien",
      "Modifié"),
   "Nouveau")),"")</f>
        <v/>
      </c>
    </row>
    <row r="4976" spans="24:30" x14ac:dyDescent="0.25">
      <c r="X4976" s="8" t="e">
        <f>IF(Final_Sans_VGE[[#This Row],[ppn_z]]="","",IFERROR(
   IF(_xlfn.XLOOKUP(Final_Sans_VGE[[#This Row],[ppn_z]],tbl_Historique_Final[ppn_z],tbl_Historique_Final[date_modif])=Final_Sans_VGE[[#This Row],[date_modif]],
      "Ancien",
      "Modifié"),
   "Nouveau"))</f>
        <v>#VALUE!</v>
      </c>
      <c r="AD4976" s="1" t="str">
        <f>IFERROR(IF(Final_Sans_VGE[[#This Row],[ppn_z]]="","",IFERROR(
   IF(_xlfn.XLOOKUP(Final_Sans_VGE[[#This Row],[ppn_z]],tbl_Historique_Final[[#This Row],[ppn_z]],tbl_Historique_Final[[#This Row],[date_modif]])=Final_Sans_VGE[[#This Row],[date_modif]],
      "Ancien",
      "Modifié"),
   "Nouveau")),"")</f>
        <v/>
      </c>
    </row>
    <row r="4977" spans="24:30" x14ac:dyDescent="0.25">
      <c r="X4977" s="8" t="e">
        <f>IF(Final_Sans_VGE[[#This Row],[ppn_z]]="","",IFERROR(
   IF(_xlfn.XLOOKUP(Final_Sans_VGE[[#This Row],[ppn_z]],tbl_Historique_Final[ppn_z],tbl_Historique_Final[date_modif])=Final_Sans_VGE[[#This Row],[date_modif]],
      "Ancien",
      "Modifié"),
   "Nouveau"))</f>
        <v>#VALUE!</v>
      </c>
      <c r="AD4977" s="1" t="str">
        <f>IFERROR(IF(Final_Sans_VGE[[#This Row],[ppn_z]]="","",IFERROR(
   IF(_xlfn.XLOOKUP(Final_Sans_VGE[[#This Row],[ppn_z]],tbl_Historique_Final[[#This Row],[ppn_z]],tbl_Historique_Final[[#This Row],[date_modif]])=Final_Sans_VGE[[#This Row],[date_modif]],
      "Ancien",
      "Modifié"),
   "Nouveau")),"")</f>
        <v/>
      </c>
    </row>
    <row r="4978" spans="24:30" x14ac:dyDescent="0.25">
      <c r="X4978" s="8" t="e">
        <f>IF(Final_Sans_VGE[[#This Row],[ppn_z]]="","",IFERROR(
   IF(_xlfn.XLOOKUP(Final_Sans_VGE[[#This Row],[ppn_z]],tbl_Historique_Final[ppn_z],tbl_Historique_Final[date_modif])=Final_Sans_VGE[[#This Row],[date_modif]],
      "Ancien",
      "Modifié"),
   "Nouveau"))</f>
        <v>#VALUE!</v>
      </c>
      <c r="AD4978" s="1" t="str">
        <f>IFERROR(IF(Final_Sans_VGE[[#This Row],[ppn_z]]="","",IFERROR(
   IF(_xlfn.XLOOKUP(Final_Sans_VGE[[#This Row],[ppn_z]],tbl_Historique_Final[[#This Row],[ppn_z]],tbl_Historique_Final[[#This Row],[date_modif]])=Final_Sans_VGE[[#This Row],[date_modif]],
      "Ancien",
      "Modifié"),
   "Nouveau")),"")</f>
        <v/>
      </c>
    </row>
    <row r="4979" spans="24:30" x14ac:dyDescent="0.25">
      <c r="X4979" s="8" t="e">
        <f>IF(Final_Sans_VGE[[#This Row],[ppn_z]]="","",IFERROR(
   IF(_xlfn.XLOOKUP(Final_Sans_VGE[[#This Row],[ppn_z]],tbl_Historique_Final[ppn_z],tbl_Historique_Final[date_modif])=Final_Sans_VGE[[#This Row],[date_modif]],
      "Ancien",
      "Modifié"),
   "Nouveau"))</f>
        <v>#VALUE!</v>
      </c>
      <c r="AD4979" s="1" t="str">
        <f>IFERROR(IF(Final_Sans_VGE[[#This Row],[ppn_z]]="","",IFERROR(
   IF(_xlfn.XLOOKUP(Final_Sans_VGE[[#This Row],[ppn_z]],tbl_Historique_Final[[#This Row],[ppn_z]],tbl_Historique_Final[[#This Row],[date_modif]])=Final_Sans_VGE[[#This Row],[date_modif]],
      "Ancien",
      "Modifié"),
   "Nouveau")),"")</f>
        <v/>
      </c>
    </row>
    <row r="4980" spans="24:30" x14ac:dyDescent="0.25">
      <c r="X4980" s="8" t="e">
        <f>IF(Final_Sans_VGE[[#This Row],[ppn_z]]="","",IFERROR(
   IF(_xlfn.XLOOKUP(Final_Sans_VGE[[#This Row],[ppn_z]],tbl_Historique_Final[ppn_z],tbl_Historique_Final[date_modif])=Final_Sans_VGE[[#This Row],[date_modif]],
      "Ancien",
      "Modifié"),
   "Nouveau"))</f>
        <v>#VALUE!</v>
      </c>
      <c r="AD4980" s="1" t="str">
        <f>IFERROR(IF(Final_Sans_VGE[[#This Row],[ppn_z]]="","",IFERROR(
   IF(_xlfn.XLOOKUP(Final_Sans_VGE[[#This Row],[ppn_z]],tbl_Historique_Final[[#This Row],[ppn_z]],tbl_Historique_Final[[#This Row],[date_modif]])=Final_Sans_VGE[[#This Row],[date_modif]],
      "Ancien",
      "Modifié"),
   "Nouveau")),"")</f>
        <v/>
      </c>
    </row>
    <row r="4981" spans="24:30" x14ac:dyDescent="0.25">
      <c r="X4981" s="8" t="e">
        <f>IF(Final_Sans_VGE[[#This Row],[ppn_z]]="","",IFERROR(
   IF(_xlfn.XLOOKUP(Final_Sans_VGE[[#This Row],[ppn_z]],tbl_Historique_Final[ppn_z],tbl_Historique_Final[date_modif])=Final_Sans_VGE[[#This Row],[date_modif]],
      "Ancien",
      "Modifié"),
   "Nouveau"))</f>
        <v>#VALUE!</v>
      </c>
      <c r="AD4981" s="1" t="str">
        <f>IFERROR(IF(Final_Sans_VGE[[#This Row],[ppn_z]]="","",IFERROR(
   IF(_xlfn.XLOOKUP(Final_Sans_VGE[[#This Row],[ppn_z]],tbl_Historique_Final[[#This Row],[ppn_z]],tbl_Historique_Final[[#This Row],[date_modif]])=Final_Sans_VGE[[#This Row],[date_modif]],
      "Ancien",
      "Modifié"),
   "Nouveau")),"")</f>
        <v/>
      </c>
    </row>
    <row r="4982" spans="24:30" x14ac:dyDescent="0.25">
      <c r="X4982" s="8" t="e">
        <f>IF(Final_Sans_VGE[[#This Row],[ppn_z]]="","",IFERROR(
   IF(_xlfn.XLOOKUP(Final_Sans_VGE[[#This Row],[ppn_z]],tbl_Historique_Final[ppn_z],tbl_Historique_Final[date_modif])=Final_Sans_VGE[[#This Row],[date_modif]],
      "Ancien",
      "Modifié"),
   "Nouveau"))</f>
        <v>#VALUE!</v>
      </c>
      <c r="AD4982" s="1" t="str">
        <f>IFERROR(IF(Final_Sans_VGE[[#This Row],[ppn_z]]="","",IFERROR(
   IF(_xlfn.XLOOKUP(Final_Sans_VGE[[#This Row],[ppn_z]],tbl_Historique_Final[[#This Row],[ppn_z]],tbl_Historique_Final[[#This Row],[date_modif]])=Final_Sans_VGE[[#This Row],[date_modif]],
      "Ancien",
      "Modifié"),
   "Nouveau")),"")</f>
        <v/>
      </c>
    </row>
    <row r="4983" spans="24:30" x14ac:dyDescent="0.25">
      <c r="X4983" s="8" t="e">
        <f>IF(Final_Sans_VGE[[#This Row],[ppn_z]]="","",IFERROR(
   IF(_xlfn.XLOOKUP(Final_Sans_VGE[[#This Row],[ppn_z]],tbl_Historique_Final[ppn_z],tbl_Historique_Final[date_modif])=Final_Sans_VGE[[#This Row],[date_modif]],
      "Ancien",
      "Modifié"),
   "Nouveau"))</f>
        <v>#VALUE!</v>
      </c>
      <c r="AD4983" s="1" t="str">
        <f>IFERROR(IF(Final_Sans_VGE[[#This Row],[ppn_z]]="","",IFERROR(
   IF(_xlfn.XLOOKUP(Final_Sans_VGE[[#This Row],[ppn_z]],tbl_Historique_Final[[#This Row],[ppn_z]],tbl_Historique_Final[[#This Row],[date_modif]])=Final_Sans_VGE[[#This Row],[date_modif]],
      "Ancien",
      "Modifié"),
   "Nouveau")),"")</f>
        <v/>
      </c>
    </row>
    <row r="4984" spans="24:30" x14ac:dyDescent="0.25">
      <c r="X4984" s="8" t="e">
        <f>IF(Final_Sans_VGE[[#This Row],[ppn_z]]="","",IFERROR(
   IF(_xlfn.XLOOKUP(Final_Sans_VGE[[#This Row],[ppn_z]],tbl_Historique_Final[ppn_z],tbl_Historique_Final[date_modif])=Final_Sans_VGE[[#This Row],[date_modif]],
      "Ancien",
      "Modifié"),
   "Nouveau"))</f>
        <v>#VALUE!</v>
      </c>
      <c r="AD4984" s="1" t="str">
        <f>IFERROR(IF(Final_Sans_VGE[[#This Row],[ppn_z]]="","",IFERROR(
   IF(_xlfn.XLOOKUP(Final_Sans_VGE[[#This Row],[ppn_z]],tbl_Historique_Final[[#This Row],[ppn_z]],tbl_Historique_Final[[#This Row],[date_modif]])=Final_Sans_VGE[[#This Row],[date_modif]],
      "Ancien",
      "Modifié"),
   "Nouveau")),"")</f>
        <v/>
      </c>
    </row>
    <row r="4985" spans="24:30" x14ac:dyDescent="0.25">
      <c r="X4985" s="8" t="e">
        <f>IF(Final_Sans_VGE[[#This Row],[ppn_z]]="","",IFERROR(
   IF(_xlfn.XLOOKUP(Final_Sans_VGE[[#This Row],[ppn_z]],tbl_Historique_Final[ppn_z],tbl_Historique_Final[date_modif])=Final_Sans_VGE[[#This Row],[date_modif]],
      "Ancien",
      "Modifié"),
   "Nouveau"))</f>
        <v>#VALUE!</v>
      </c>
      <c r="AD4985" s="1" t="str">
        <f>IFERROR(IF(Final_Sans_VGE[[#This Row],[ppn_z]]="","",IFERROR(
   IF(_xlfn.XLOOKUP(Final_Sans_VGE[[#This Row],[ppn_z]],tbl_Historique_Final[[#This Row],[ppn_z]],tbl_Historique_Final[[#This Row],[date_modif]])=Final_Sans_VGE[[#This Row],[date_modif]],
      "Ancien",
      "Modifié"),
   "Nouveau")),"")</f>
        <v/>
      </c>
    </row>
    <row r="4986" spans="24:30" x14ac:dyDescent="0.25">
      <c r="X4986" s="8" t="e">
        <f>IF(Final_Sans_VGE[[#This Row],[ppn_z]]="","",IFERROR(
   IF(_xlfn.XLOOKUP(Final_Sans_VGE[[#This Row],[ppn_z]],tbl_Historique_Final[ppn_z],tbl_Historique_Final[date_modif])=Final_Sans_VGE[[#This Row],[date_modif]],
      "Ancien",
      "Modifié"),
   "Nouveau"))</f>
        <v>#VALUE!</v>
      </c>
      <c r="AD4986" s="1" t="str">
        <f>IFERROR(IF(Final_Sans_VGE[[#This Row],[ppn_z]]="","",IFERROR(
   IF(_xlfn.XLOOKUP(Final_Sans_VGE[[#This Row],[ppn_z]],tbl_Historique_Final[[#This Row],[ppn_z]],tbl_Historique_Final[[#This Row],[date_modif]])=Final_Sans_VGE[[#This Row],[date_modif]],
      "Ancien",
      "Modifié"),
   "Nouveau")),"")</f>
        <v/>
      </c>
    </row>
    <row r="4987" spans="24:30" x14ac:dyDescent="0.25">
      <c r="X4987" s="8" t="e">
        <f>IF(Final_Sans_VGE[[#This Row],[ppn_z]]="","",IFERROR(
   IF(_xlfn.XLOOKUP(Final_Sans_VGE[[#This Row],[ppn_z]],tbl_Historique_Final[ppn_z],tbl_Historique_Final[date_modif])=Final_Sans_VGE[[#This Row],[date_modif]],
      "Ancien",
      "Modifié"),
   "Nouveau"))</f>
        <v>#VALUE!</v>
      </c>
      <c r="AD4987" s="1" t="str">
        <f>IFERROR(IF(Final_Sans_VGE[[#This Row],[ppn_z]]="","",IFERROR(
   IF(_xlfn.XLOOKUP(Final_Sans_VGE[[#This Row],[ppn_z]],tbl_Historique_Final[[#This Row],[ppn_z]],tbl_Historique_Final[[#This Row],[date_modif]])=Final_Sans_VGE[[#This Row],[date_modif]],
      "Ancien",
      "Modifié"),
   "Nouveau")),"")</f>
        <v/>
      </c>
    </row>
    <row r="4988" spans="24:30" x14ac:dyDescent="0.25">
      <c r="X4988" s="8" t="e">
        <f>IF(Final_Sans_VGE[[#This Row],[ppn_z]]="","",IFERROR(
   IF(_xlfn.XLOOKUP(Final_Sans_VGE[[#This Row],[ppn_z]],tbl_Historique_Final[ppn_z],tbl_Historique_Final[date_modif])=Final_Sans_VGE[[#This Row],[date_modif]],
      "Ancien",
      "Modifié"),
   "Nouveau"))</f>
        <v>#VALUE!</v>
      </c>
      <c r="AD4988" s="1" t="str">
        <f>IFERROR(IF(Final_Sans_VGE[[#This Row],[ppn_z]]="","",IFERROR(
   IF(_xlfn.XLOOKUP(Final_Sans_VGE[[#This Row],[ppn_z]],tbl_Historique_Final[[#This Row],[ppn_z]],tbl_Historique_Final[[#This Row],[date_modif]])=Final_Sans_VGE[[#This Row],[date_modif]],
      "Ancien",
      "Modifié"),
   "Nouveau")),"")</f>
        <v/>
      </c>
    </row>
    <row r="4989" spans="24:30" x14ac:dyDescent="0.25">
      <c r="X4989" s="8" t="e">
        <f>IF(Final_Sans_VGE[[#This Row],[ppn_z]]="","",IFERROR(
   IF(_xlfn.XLOOKUP(Final_Sans_VGE[[#This Row],[ppn_z]],tbl_Historique_Final[ppn_z],tbl_Historique_Final[date_modif])=Final_Sans_VGE[[#This Row],[date_modif]],
      "Ancien",
      "Modifié"),
   "Nouveau"))</f>
        <v>#VALUE!</v>
      </c>
      <c r="AD4989" s="1" t="str">
        <f>IFERROR(IF(Final_Sans_VGE[[#This Row],[ppn_z]]="","",IFERROR(
   IF(_xlfn.XLOOKUP(Final_Sans_VGE[[#This Row],[ppn_z]],tbl_Historique_Final[[#This Row],[ppn_z]],tbl_Historique_Final[[#This Row],[date_modif]])=Final_Sans_VGE[[#This Row],[date_modif]],
      "Ancien",
      "Modifié"),
   "Nouveau")),"")</f>
        <v/>
      </c>
    </row>
    <row r="4990" spans="24:30" x14ac:dyDescent="0.25">
      <c r="X4990" s="8" t="e">
        <f>IF(Final_Sans_VGE[[#This Row],[ppn_z]]="","",IFERROR(
   IF(_xlfn.XLOOKUP(Final_Sans_VGE[[#This Row],[ppn_z]],tbl_Historique_Final[ppn_z],tbl_Historique_Final[date_modif])=Final_Sans_VGE[[#This Row],[date_modif]],
      "Ancien",
      "Modifié"),
   "Nouveau"))</f>
        <v>#VALUE!</v>
      </c>
      <c r="AD4990" s="1" t="str">
        <f>IFERROR(IF(Final_Sans_VGE[[#This Row],[ppn_z]]="","",IFERROR(
   IF(_xlfn.XLOOKUP(Final_Sans_VGE[[#This Row],[ppn_z]],tbl_Historique_Final[[#This Row],[ppn_z]],tbl_Historique_Final[[#This Row],[date_modif]])=Final_Sans_VGE[[#This Row],[date_modif]],
      "Ancien",
      "Modifié"),
   "Nouveau")),"")</f>
        <v/>
      </c>
    </row>
    <row r="4991" spans="24:30" x14ac:dyDescent="0.25">
      <c r="X4991" s="8" t="e">
        <f>IF(Final_Sans_VGE[[#This Row],[ppn_z]]="","",IFERROR(
   IF(_xlfn.XLOOKUP(Final_Sans_VGE[[#This Row],[ppn_z]],tbl_Historique_Final[ppn_z],tbl_Historique_Final[date_modif])=Final_Sans_VGE[[#This Row],[date_modif]],
      "Ancien",
      "Modifié"),
   "Nouveau"))</f>
        <v>#VALUE!</v>
      </c>
      <c r="AD4991" s="1" t="str">
        <f>IFERROR(IF(Final_Sans_VGE[[#This Row],[ppn_z]]="","",IFERROR(
   IF(_xlfn.XLOOKUP(Final_Sans_VGE[[#This Row],[ppn_z]],tbl_Historique_Final[[#This Row],[ppn_z]],tbl_Historique_Final[[#This Row],[date_modif]])=Final_Sans_VGE[[#This Row],[date_modif]],
      "Ancien",
      "Modifié"),
   "Nouveau")),"")</f>
        <v/>
      </c>
    </row>
    <row r="4992" spans="24:30" x14ac:dyDescent="0.25">
      <c r="X4992" s="8" t="e">
        <f>IF(Final_Sans_VGE[[#This Row],[ppn_z]]="","",IFERROR(
   IF(_xlfn.XLOOKUP(Final_Sans_VGE[[#This Row],[ppn_z]],tbl_Historique_Final[ppn_z],tbl_Historique_Final[date_modif])=Final_Sans_VGE[[#This Row],[date_modif]],
      "Ancien",
      "Modifié"),
   "Nouveau"))</f>
        <v>#VALUE!</v>
      </c>
      <c r="AD4992" s="1" t="str">
        <f>IFERROR(IF(Final_Sans_VGE[[#This Row],[ppn_z]]="","",IFERROR(
   IF(_xlfn.XLOOKUP(Final_Sans_VGE[[#This Row],[ppn_z]],tbl_Historique_Final[[#This Row],[ppn_z]],tbl_Historique_Final[[#This Row],[date_modif]])=Final_Sans_VGE[[#This Row],[date_modif]],
      "Ancien",
      "Modifié"),
   "Nouveau")),"")</f>
        <v/>
      </c>
    </row>
    <row r="4993" spans="24:30" x14ac:dyDescent="0.25">
      <c r="X4993" s="8" t="e">
        <f>IF(Final_Sans_VGE[[#This Row],[ppn_z]]="","",IFERROR(
   IF(_xlfn.XLOOKUP(Final_Sans_VGE[[#This Row],[ppn_z]],tbl_Historique_Final[ppn_z],tbl_Historique_Final[date_modif])=Final_Sans_VGE[[#This Row],[date_modif]],
      "Ancien",
      "Modifié"),
   "Nouveau"))</f>
        <v>#VALUE!</v>
      </c>
      <c r="AD4993" s="1" t="str">
        <f>IFERROR(IF(Final_Sans_VGE[[#This Row],[ppn_z]]="","",IFERROR(
   IF(_xlfn.XLOOKUP(Final_Sans_VGE[[#This Row],[ppn_z]],tbl_Historique_Final[[#This Row],[ppn_z]],tbl_Historique_Final[[#This Row],[date_modif]])=Final_Sans_VGE[[#This Row],[date_modif]],
      "Ancien",
      "Modifié"),
   "Nouveau")),"")</f>
        <v/>
      </c>
    </row>
    <row r="4994" spans="24:30" x14ac:dyDescent="0.25">
      <c r="X4994" s="8" t="e">
        <f>IF(Final_Sans_VGE[[#This Row],[ppn_z]]="","",IFERROR(
   IF(_xlfn.XLOOKUP(Final_Sans_VGE[[#This Row],[ppn_z]],tbl_Historique_Final[ppn_z],tbl_Historique_Final[date_modif])=Final_Sans_VGE[[#This Row],[date_modif]],
      "Ancien",
      "Modifié"),
   "Nouveau"))</f>
        <v>#VALUE!</v>
      </c>
      <c r="AD4994" s="1" t="str">
        <f>IFERROR(IF(Final_Sans_VGE[[#This Row],[ppn_z]]="","",IFERROR(
   IF(_xlfn.XLOOKUP(Final_Sans_VGE[[#This Row],[ppn_z]],tbl_Historique_Final[[#This Row],[ppn_z]],tbl_Historique_Final[[#This Row],[date_modif]])=Final_Sans_VGE[[#This Row],[date_modif]],
      "Ancien",
      "Modifié"),
   "Nouveau")),"")</f>
        <v/>
      </c>
    </row>
    <row r="4995" spans="24:30" x14ac:dyDescent="0.25">
      <c r="X4995" s="8" t="e">
        <f>IF(Final_Sans_VGE[[#This Row],[ppn_z]]="","",IFERROR(
   IF(_xlfn.XLOOKUP(Final_Sans_VGE[[#This Row],[ppn_z]],tbl_Historique_Final[ppn_z],tbl_Historique_Final[date_modif])=Final_Sans_VGE[[#This Row],[date_modif]],
      "Ancien",
      "Modifié"),
   "Nouveau"))</f>
        <v>#VALUE!</v>
      </c>
      <c r="AD4995" s="1" t="str">
        <f>IFERROR(IF(Final_Sans_VGE[[#This Row],[ppn_z]]="","",IFERROR(
   IF(_xlfn.XLOOKUP(Final_Sans_VGE[[#This Row],[ppn_z]],tbl_Historique_Final[[#This Row],[ppn_z]],tbl_Historique_Final[[#This Row],[date_modif]])=Final_Sans_VGE[[#This Row],[date_modif]],
      "Ancien",
      "Modifié"),
   "Nouveau")),"")</f>
        <v/>
      </c>
    </row>
    <row r="4996" spans="24:30" x14ac:dyDescent="0.25">
      <c r="X4996" s="8" t="e">
        <f>IF(Final_Sans_VGE[[#This Row],[ppn_z]]="","",IFERROR(
   IF(_xlfn.XLOOKUP(Final_Sans_VGE[[#This Row],[ppn_z]],tbl_Historique_Final[ppn_z],tbl_Historique_Final[date_modif])=Final_Sans_VGE[[#This Row],[date_modif]],
      "Ancien",
      "Modifié"),
   "Nouveau"))</f>
        <v>#VALUE!</v>
      </c>
      <c r="AD4996" s="1" t="str">
        <f>IFERROR(IF(Final_Sans_VGE[[#This Row],[ppn_z]]="","",IFERROR(
   IF(_xlfn.XLOOKUP(Final_Sans_VGE[[#This Row],[ppn_z]],tbl_Historique_Final[[#This Row],[ppn_z]],tbl_Historique_Final[[#This Row],[date_modif]])=Final_Sans_VGE[[#This Row],[date_modif]],
      "Ancien",
      "Modifié"),
   "Nouveau")),"")</f>
        <v/>
      </c>
    </row>
    <row r="4997" spans="24:30" x14ac:dyDescent="0.25">
      <c r="X4997" s="8" t="e">
        <f>IF(Final_Sans_VGE[[#This Row],[ppn_z]]="","",IFERROR(
   IF(_xlfn.XLOOKUP(Final_Sans_VGE[[#This Row],[ppn_z]],tbl_Historique_Final[ppn_z],tbl_Historique_Final[date_modif])=Final_Sans_VGE[[#This Row],[date_modif]],
      "Ancien",
      "Modifié"),
   "Nouveau"))</f>
        <v>#VALUE!</v>
      </c>
      <c r="AD4997" s="1" t="str">
        <f>IFERROR(IF(Final_Sans_VGE[[#This Row],[ppn_z]]="","",IFERROR(
   IF(_xlfn.XLOOKUP(Final_Sans_VGE[[#This Row],[ppn_z]],tbl_Historique_Final[[#This Row],[ppn_z]],tbl_Historique_Final[[#This Row],[date_modif]])=Final_Sans_VGE[[#This Row],[date_modif]],
      "Ancien",
      "Modifié"),
   "Nouveau")),"")</f>
        <v/>
      </c>
    </row>
    <row r="4998" spans="24:30" x14ac:dyDescent="0.25">
      <c r="X4998" s="8" t="e">
        <f>IF(Final_Sans_VGE[[#This Row],[ppn_z]]="","",IFERROR(
   IF(_xlfn.XLOOKUP(Final_Sans_VGE[[#This Row],[ppn_z]],tbl_Historique_Final[ppn_z],tbl_Historique_Final[date_modif])=Final_Sans_VGE[[#This Row],[date_modif]],
      "Ancien",
      "Modifié"),
   "Nouveau"))</f>
        <v>#VALUE!</v>
      </c>
      <c r="AD4998" s="1" t="str">
        <f>IFERROR(IF(Final_Sans_VGE[[#This Row],[ppn_z]]="","",IFERROR(
   IF(_xlfn.XLOOKUP(Final_Sans_VGE[[#This Row],[ppn_z]],tbl_Historique_Final[[#This Row],[ppn_z]],tbl_Historique_Final[[#This Row],[date_modif]])=Final_Sans_VGE[[#This Row],[date_modif]],
      "Ancien",
      "Modifié"),
   "Nouveau")),"")</f>
        <v/>
      </c>
    </row>
    <row r="4999" spans="24:30" x14ac:dyDescent="0.25">
      <c r="X4999" s="8" t="e">
        <f>IF(Final_Sans_VGE[[#This Row],[ppn_z]]="","",IFERROR(
   IF(_xlfn.XLOOKUP(Final_Sans_VGE[[#This Row],[ppn_z]],tbl_Historique_Final[ppn_z],tbl_Historique_Final[date_modif])=Final_Sans_VGE[[#This Row],[date_modif]],
      "Ancien",
      "Modifié"),
   "Nouveau"))</f>
        <v>#VALUE!</v>
      </c>
      <c r="AD4999" s="1" t="str">
        <f>IFERROR(IF(Final_Sans_VGE[[#This Row],[ppn_z]]="","",IFERROR(
   IF(_xlfn.XLOOKUP(Final_Sans_VGE[[#This Row],[ppn_z]],tbl_Historique_Final[[#This Row],[ppn_z]],tbl_Historique_Final[[#This Row],[date_modif]])=Final_Sans_VGE[[#This Row],[date_modif]],
      "Ancien",
      "Modifié"),
   "Nouveau")),"")</f>
        <v/>
      </c>
    </row>
    <row r="5000" spans="24:30" x14ac:dyDescent="0.25">
      <c r="X5000" s="8" t="e">
        <f>IF(Final_Sans_VGE[[#This Row],[ppn_z]]="","",IFERROR(
   IF(_xlfn.XLOOKUP(Final_Sans_VGE[[#This Row],[ppn_z]],tbl_Historique_Final[ppn_z],tbl_Historique_Final[date_modif])=Final_Sans_VGE[[#This Row],[date_modif]],
      "Ancien",
      "Modifié"),
   "Nouveau"))</f>
        <v>#VALUE!</v>
      </c>
      <c r="AD5000" s="1" t="str">
        <f>IFERROR(IF(Final_Sans_VGE[[#This Row],[ppn_z]]="","",IFERROR(
   IF(_xlfn.XLOOKUP(Final_Sans_VGE[[#This Row],[ppn_z]],tbl_Historique_Final[[#This Row],[ppn_z]],tbl_Historique_Final[[#This Row],[date_modif]])=Final_Sans_VGE[[#This Row],[date_modif]],
      "Ancien",
      "Modifié"),
   "Nouveau")),"")</f>
        <v/>
      </c>
    </row>
    <row r="5001" spans="24:30" x14ac:dyDescent="0.25">
      <c r="X5001" s="8" t="e">
        <f>IF(Final_Sans_VGE[[#This Row],[ppn_z]]="","",IFERROR(
   IF(_xlfn.XLOOKUP(Final_Sans_VGE[[#This Row],[ppn_z]],tbl_Historique_Final[ppn_z],tbl_Historique_Final[date_modif])=Final_Sans_VGE[[#This Row],[date_modif]],
      "Ancien",
      "Modifié"),
   "Nouveau"))</f>
        <v>#VALUE!</v>
      </c>
      <c r="AD5001" s="1" t="str">
        <f>IFERROR(IF(Final_Sans_VGE[[#This Row],[ppn_z]]="","",IFERROR(
   IF(_xlfn.XLOOKUP(Final_Sans_VGE[[#This Row],[ppn_z]],tbl_Historique_Final[[#This Row],[ppn_z]],tbl_Historique_Final[[#This Row],[date_modif]])=Final_Sans_VGE[[#This Row],[date_modif]],
      "Ancien",
      "Modifié"),
   "Nouveau")),"")</f>
        <v/>
      </c>
    </row>
    <row r="5002" spans="24:30" x14ac:dyDescent="0.25">
      <c r="X5002" s="8" t="e">
        <f>IF(Final_Sans_VGE[[#This Row],[ppn_z]]="","",IFERROR(
   IF(_xlfn.XLOOKUP(Final_Sans_VGE[[#This Row],[ppn_z]],tbl_Historique_Final[ppn_z],tbl_Historique_Final[date_modif])=Final_Sans_VGE[[#This Row],[date_modif]],
      "Ancien",
      "Modifié"),
   "Nouveau"))</f>
        <v>#VALUE!</v>
      </c>
      <c r="AD5002" s="1" t="str">
        <f>IFERROR(IF(Final_Sans_VGE[[#This Row],[ppn_z]]="","",IFERROR(
   IF(_xlfn.XLOOKUP(Final_Sans_VGE[[#This Row],[ppn_z]],tbl_Historique_Final[[#This Row],[ppn_z]],tbl_Historique_Final[[#This Row],[date_modif]])=Final_Sans_VGE[[#This Row],[date_modif]],
      "Ancien",
      "Modifié"),
   "Nouveau")),"")</f>
        <v/>
      </c>
    </row>
    <row r="5003" spans="24:30" x14ac:dyDescent="0.25">
      <c r="X5003" s="8" t="e">
        <f>IF(Final_Sans_VGE[[#This Row],[ppn_z]]="","",IFERROR(
   IF(_xlfn.XLOOKUP(Final_Sans_VGE[[#This Row],[ppn_z]],tbl_Historique_Final[ppn_z],tbl_Historique_Final[date_modif])=Final_Sans_VGE[[#This Row],[date_modif]],
      "Ancien",
      "Modifié"),
   "Nouveau"))</f>
        <v>#VALUE!</v>
      </c>
      <c r="AD5003" s="1" t="str">
        <f>IFERROR(IF(Final_Sans_VGE[[#This Row],[ppn_z]]="","",IFERROR(
   IF(_xlfn.XLOOKUP(Final_Sans_VGE[[#This Row],[ppn_z]],tbl_Historique_Final[[#This Row],[ppn_z]],tbl_Historique_Final[[#This Row],[date_modif]])=Final_Sans_VGE[[#This Row],[date_modif]],
      "Ancien",
      "Modifié"),
   "Nouveau")),"")</f>
        <v/>
      </c>
    </row>
    <row r="5004" spans="24:30" x14ac:dyDescent="0.25">
      <c r="X5004" s="8" t="e">
        <f>IF(Final_Sans_VGE[[#This Row],[ppn_z]]="","",IFERROR(
   IF(_xlfn.XLOOKUP(Final_Sans_VGE[[#This Row],[ppn_z]],tbl_Historique_Final[ppn_z],tbl_Historique_Final[date_modif])=Final_Sans_VGE[[#This Row],[date_modif]],
      "Ancien",
      "Modifié"),
   "Nouveau"))</f>
        <v>#VALUE!</v>
      </c>
      <c r="AD5004" s="1" t="str">
        <f>IFERROR(IF(Final_Sans_VGE[[#This Row],[ppn_z]]="","",IFERROR(
   IF(_xlfn.XLOOKUP(Final_Sans_VGE[[#This Row],[ppn_z]],tbl_Historique_Final[[#This Row],[ppn_z]],tbl_Historique_Final[[#This Row],[date_modif]])=Final_Sans_VGE[[#This Row],[date_modif]],
      "Ancien",
      "Modifié"),
   "Nouveau")),"")</f>
        <v/>
      </c>
    </row>
    <row r="5005" spans="24:30" x14ac:dyDescent="0.25">
      <c r="X5005" s="8" t="e">
        <f>IF(Final_Sans_VGE[[#This Row],[ppn_z]]="","",IFERROR(
   IF(_xlfn.XLOOKUP(Final_Sans_VGE[[#This Row],[ppn_z]],tbl_Historique_Final[ppn_z],tbl_Historique_Final[date_modif])=Final_Sans_VGE[[#This Row],[date_modif]],
      "Ancien",
      "Modifié"),
   "Nouveau"))</f>
        <v>#VALUE!</v>
      </c>
      <c r="AD5005" s="1" t="str">
        <f>IFERROR(IF(Final_Sans_VGE[[#This Row],[ppn_z]]="","",IFERROR(
   IF(_xlfn.XLOOKUP(Final_Sans_VGE[[#This Row],[ppn_z]],tbl_Historique_Final[[#This Row],[ppn_z]],tbl_Historique_Final[[#This Row],[date_modif]])=Final_Sans_VGE[[#This Row],[date_modif]],
      "Ancien",
      "Modifié"),
   "Nouveau")),"")</f>
        <v/>
      </c>
    </row>
    <row r="5006" spans="24:30" x14ac:dyDescent="0.25">
      <c r="X5006" s="8" t="e">
        <f>IF(Final_Sans_VGE[[#This Row],[ppn_z]]="","",IFERROR(
   IF(_xlfn.XLOOKUP(Final_Sans_VGE[[#This Row],[ppn_z]],tbl_Historique_Final[ppn_z],tbl_Historique_Final[date_modif])=Final_Sans_VGE[[#This Row],[date_modif]],
      "Ancien",
      "Modifié"),
   "Nouveau"))</f>
        <v>#VALUE!</v>
      </c>
      <c r="AD5006" s="1" t="str">
        <f>IFERROR(IF(Final_Sans_VGE[[#This Row],[ppn_z]]="","",IFERROR(
   IF(_xlfn.XLOOKUP(Final_Sans_VGE[[#This Row],[ppn_z]],tbl_Historique_Final[[#This Row],[ppn_z]],tbl_Historique_Final[[#This Row],[date_modif]])=Final_Sans_VGE[[#This Row],[date_modif]],
      "Ancien",
      "Modifié"),
   "Nouveau")),"")</f>
        <v/>
      </c>
    </row>
    <row r="5007" spans="24:30" x14ac:dyDescent="0.25">
      <c r="X5007" s="8" t="e">
        <f>IF(Final_Sans_VGE[[#This Row],[ppn_z]]="","",IFERROR(
   IF(_xlfn.XLOOKUP(Final_Sans_VGE[[#This Row],[ppn_z]],tbl_Historique_Final[ppn_z],tbl_Historique_Final[date_modif])=Final_Sans_VGE[[#This Row],[date_modif]],
      "Ancien",
      "Modifié"),
   "Nouveau"))</f>
        <v>#VALUE!</v>
      </c>
      <c r="AD5007" s="1" t="str">
        <f>IFERROR(IF(Final_Sans_VGE[[#This Row],[ppn_z]]="","",IFERROR(
   IF(_xlfn.XLOOKUP(Final_Sans_VGE[[#This Row],[ppn_z]],tbl_Historique_Final[[#This Row],[ppn_z]],tbl_Historique_Final[[#This Row],[date_modif]])=Final_Sans_VGE[[#This Row],[date_modif]],
      "Ancien",
      "Modifié"),
   "Nouveau")),"")</f>
        <v/>
      </c>
    </row>
    <row r="5008" spans="24:30" x14ac:dyDescent="0.25">
      <c r="X5008" s="8" t="e">
        <f>IF(Final_Sans_VGE[[#This Row],[ppn_z]]="","",IFERROR(
   IF(_xlfn.XLOOKUP(Final_Sans_VGE[[#This Row],[ppn_z]],tbl_Historique_Final[ppn_z],tbl_Historique_Final[date_modif])=Final_Sans_VGE[[#This Row],[date_modif]],
      "Ancien",
      "Modifié"),
   "Nouveau"))</f>
        <v>#VALUE!</v>
      </c>
      <c r="AD5008" s="1" t="str">
        <f>IFERROR(IF(Final_Sans_VGE[[#This Row],[ppn_z]]="","",IFERROR(
   IF(_xlfn.XLOOKUP(Final_Sans_VGE[[#This Row],[ppn_z]],tbl_Historique_Final[[#This Row],[ppn_z]],tbl_Historique_Final[[#This Row],[date_modif]])=Final_Sans_VGE[[#This Row],[date_modif]],
      "Ancien",
      "Modifié"),
   "Nouveau")),"")</f>
        <v/>
      </c>
    </row>
    <row r="5009" spans="24:30" x14ac:dyDescent="0.25">
      <c r="X5009" s="8" t="e">
        <f>IF(Final_Sans_VGE[[#This Row],[ppn_z]]="","",IFERROR(
   IF(_xlfn.XLOOKUP(Final_Sans_VGE[[#This Row],[ppn_z]],tbl_Historique_Final[ppn_z],tbl_Historique_Final[date_modif])=Final_Sans_VGE[[#This Row],[date_modif]],
      "Ancien",
      "Modifié"),
   "Nouveau"))</f>
        <v>#VALUE!</v>
      </c>
      <c r="AD5009" s="1" t="str">
        <f>IFERROR(IF(Final_Sans_VGE[[#This Row],[ppn_z]]="","",IFERROR(
   IF(_xlfn.XLOOKUP(Final_Sans_VGE[[#This Row],[ppn_z]],tbl_Historique_Final[[#This Row],[ppn_z]],tbl_Historique_Final[[#This Row],[date_modif]])=Final_Sans_VGE[[#This Row],[date_modif]],
      "Ancien",
      "Modifié"),
   "Nouveau")),"")</f>
        <v/>
      </c>
    </row>
    <row r="5010" spans="24:30" x14ac:dyDescent="0.25">
      <c r="X5010" s="8" t="e">
        <f>IF(Final_Sans_VGE[[#This Row],[ppn_z]]="","",IFERROR(
   IF(_xlfn.XLOOKUP(Final_Sans_VGE[[#This Row],[ppn_z]],tbl_Historique_Final[ppn_z],tbl_Historique_Final[date_modif])=Final_Sans_VGE[[#This Row],[date_modif]],
      "Ancien",
      "Modifié"),
   "Nouveau"))</f>
        <v>#VALUE!</v>
      </c>
      <c r="AD5010" s="1" t="str">
        <f>IFERROR(IF(Final_Sans_VGE[[#This Row],[ppn_z]]="","",IFERROR(
   IF(_xlfn.XLOOKUP(Final_Sans_VGE[[#This Row],[ppn_z]],tbl_Historique_Final[[#This Row],[ppn_z]],tbl_Historique_Final[[#This Row],[date_modif]])=Final_Sans_VGE[[#This Row],[date_modif]],
      "Ancien",
      "Modifié"),
   "Nouveau")),"")</f>
        <v/>
      </c>
    </row>
    <row r="5011" spans="24:30" x14ac:dyDescent="0.25">
      <c r="X5011" s="8" t="e">
        <f>IF(Final_Sans_VGE[[#This Row],[ppn_z]]="","",IFERROR(
   IF(_xlfn.XLOOKUP(Final_Sans_VGE[[#This Row],[ppn_z]],tbl_Historique_Final[ppn_z],tbl_Historique_Final[date_modif])=Final_Sans_VGE[[#This Row],[date_modif]],
      "Ancien",
      "Modifié"),
   "Nouveau"))</f>
        <v>#VALUE!</v>
      </c>
      <c r="AD5011" s="1" t="str">
        <f>IFERROR(IF(Final_Sans_VGE[[#This Row],[ppn_z]]="","",IFERROR(
   IF(_xlfn.XLOOKUP(Final_Sans_VGE[[#This Row],[ppn_z]],tbl_Historique_Final[[#This Row],[ppn_z]],tbl_Historique_Final[[#This Row],[date_modif]])=Final_Sans_VGE[[#This Row],[date_modif]],
      "Ancien",
      "Modifié"),
   "Nouveau")),"")</f>
        <v/>
      </c>
    </row>
    <row r="5012" spans="24:30" x14ac:dyDescent="0.25">
      <c r="X5012" s="8" t="e">
        <f>IF(Final_Sans_VGE[[#This Row],[ppn_z]]="","",IFERROR(
   IF(_xlfn.XLOOKUP(Final_Sans_VGE[[#This Row],[ppn_z]],tbl_Historique_Final[ppn_z],tbl_Historique_Final[date_modif])=Final_Sans_VGE[[#This Row],[date_modif]],
      "Ancien",
      "Modifié"),
   "Nouveau"))</f>
        <v>#VALUE!</v>
      </c>
      <c r="AD5012" s="1" t="str">
        <f>IFERROR(IF(Final_Sans_VGE[[#This Row],[ppn_z]]="","",IFERROR(
   IF(_xlfn.XLOOKUP(Final_Sans_VGE[[#This Row],[ppn_z]],tbl_Historique_Final[[#This Row],[ppn_z]],tbl_Historique_Final[[#This Row],[date_modif]])=Final_Sans_VGE[[#This Row],[date_modif]],
      "Ancien",
      "Modifié"),
   "Nouveau")),"")</f>
        <v/>
      </c>
    </row>
    <row r="5013" spans="24:30" x14ac:dyDescent="0.25">
      <c r="X5013" s="8" t="e">
        <f>IF(Final_Sans_VGE[[#This Row],[ppn_z]]="","",IFERROR(
   IF(_xlfn.XLOOKUP(Final_Sans_VGE[[#This Row],[ppn_z]],tbl_Historique_Final[ppn_z],tbl_Historique_Final[date_modif])=Final_Sans_VGE[[#This Row],[date_modif]],
      "Ancien",
      "Modifié"),
   "Nouveau"))</f>
        <v>#VALUE!</v>
      </c>
      <c r="AD5013" s="1" t="str">
        <f>IFERROR(IF(Final_Sans_VGE[[#This Row],[ppn_z]]="","",IFERROR(
   IF(_xlfn.XLOOKUP(Final_Sans_VGE[[#This Row],[ppn_z]],tbl_Historique_Final[[#This Row],[ppn_z]],tbl_Historique_Final[[#This Row],[date_modif]])=Final_Sans_VGE[[#This Row],[date_modif]],
      "Ancien",
      "Modifié"),
   "Nouveau")),"")</f>
        <v/>
      </c>
    </row>
    <row r="5014" spans="24:30" x14ac:dyDescent="0.25">
      <c r="X5014" s="8" t="e">
        <f>IF(Final_Sans_VGE[[#This Row],[ppn_z]]="","",IFERROR(
   IF(_xlfn.XLOOKUP(Final_Sans_VGE[[#This Row],[ppn_z]],tbl_Historique_Final[ppn_z],tbl_Historique_Final[date_modif])=Final_Sans_VGE[[#This Row],[date_modif]],
      "Ancien",
      "Modifié"),
   "Nouveau"))</f>
        <v>#VALUE!</v>
      </c>
      <c r="AD5014" s="1" t="str">
        <f>IFERROR(IF(Final_Sans_VGE[[#This Row],[ppn_z]]="","",IFERROR(
   IF(_xlfn.XLOOKUP(Final_Sans_VGE[[#This Row],[ppn_z]],tbl_Historique_Final[[#This Row],[ppn_z]],tbl_Historique_Final[[#This Row],[date_modif]])=Final_Sans_VGE[[#This Row],[date_modif]],
      "Ancien",
      "Modifié"),
   "Nouveau")),"")</f>
        <v/>
      </c>
    </row>
    <row r="5015" spans="24:30" x14ac:dyDescent="0.25">
      <c r="X5015" s="8" t="e">
        <f>IF(Final_Sans_VGE[[#This Row],[ppn_z]]="","",IFERROR(
   IF(_xlfn.XLOOKUP(Final_Sans_VGE[[#This Row],[ppn_z]],tbl_Historique_Final[ppn_z],tbl_Historique_Final[date_modif])=Final_Sans_VGE[[#This Row],[date_modif]],
      "Ancien",
      "Modifié"),
   "Nouveau"))</f>
        <v>#VALUE!</v>
      </c>
      <c r="AD5015" s="1" t="str">
        <f>IFERROR(IF(Final_Sans_VGE[[#This Row],[ppn_z]]="","",IFERROR(
   IF(_xlfn.XLOOKUP(Final_Sans_VGE[[#This Row],[ppn_z]],tbl_Historique_Final[[#This Row],[ppn_z]],tbl_Historique_Final[[#This Row],[date_modif]])=Final_Sans_VGE[[#This Row],[date_modif]],
      "Ancien",
      "Modifié"),
   "Nouveau")),"")</f>
        <v/>
      </c>
    </row>
    <row r="5016" spans="24:30" x14ac:dyDescent="0.25">
      <c r="X5016" s="8" t="e">
        <f>IF(Final_Sans_VGE[[#This Row],[ppn_z]]="","",IFERROR(
   IF(_xlfn.XLOOKUP(Final_Sans_VGE[[#This Row],[ppn_z]],tbl_Historique_Final[ppn_z],tbl_Historique_Final[date_modif])=Final_Sans_VGE[[#This Row],[date_modif]],
      "Ancien",
      "Modifié"),
   "Nouveau"))</f>
        <v>#VALUE!</v>
      </c>
      <c r="AD5016" s="1" t="str">
        <f>IFERROR(IF(Final_Sans_VGE[[#This Row],[ppn_z]]="","",IFERROR(
   IF(_xlfn.XLOOKUP(Final_Sans_VGE[[#This Row],[ppn_z]],tbl_Historique_Final[[#This Row],[ppn_z]],tbl_Historique_Final[[#This Row],[date_modif]])=Final_Sans_VGE[[#This Row],[date_modif]],
      "Ancien",
      "Modifié"),
   "Nouveau")),"")</f>
        <v/>
      </c>
    </row>
    <row r="5017" spans="24:30" x14ac:dyDescent="0.25">
      <c r="X5017" s="8" t="e">
        <f>IF(Final_Sans_VGE[[#This Row],[ppn_z]]="","",IFERROR(
   IF(_xlfn.XLOOKUP(Final_Sans_VGE[[#This Row],[ppn_z]],tbl_Historique_Final[ppn_z],tbl_Historique_Final[date_modif])=Final_Sans_VGE[[#This Row],[date_modif]],
      "Ancien",
      "Modifié"),
   "Nouveau"))</f>
        <v>#VALUE!</v>
      </c>
      <c r="AD5017" s="1" t="str">
        <f>IFERROR(IF(Final_Sans_VGE[[#This Row],[ppn_z]]="","",IFERROR(
   IF(_xlfn.XLOOKUP(Final_Sans_VGE[[#This Row],[ppn_z]],tbl_Historique_Final[[#This Row],[ppn_z]],tbl_Historique_Final[[#This Row],[date_modif]])=Final_Sans_VGE[[#This Row],[date_modif]],
      "Ancien",
      "Modifié"),
   "Nouveau")),"")</f>
        <v/>
      </c>
    </row>
    <row r="5018" spans="24:30" x14ac:dyDescent="0.25">
      <c r="X5018" s="8" t="e">
        <f>IF(Final_Sans_VGE[[#This Row],[ppn_z]]="","",IFERROR(
   IF(_xlfn.XLOOKUP(Final_Sans_VGE[[#This Row],[ppn_z]],tbl_Historique_Final[ppn_z],tbl_Historique_Final[date_modif])=Final_Sans_VGE[[#This Row],[date_modif]],
      "Ancien",
      "Modifié"),
   "Nouveau"))</f>
        <v>#VALUE!</v>
      </c>
      <c r="AD5018" s="1" t="str">
        <f>IFERROR(IF(Final_Sans_VGE[[#This Row],[ppn_z]]="","",IFERROR(
   IF(_xlfn.XLOOKUP(Final_Sans_VGE[[#This Row],[ppn_z]],tbl_Historique_Final[[#This Row],[ppn_z]],tbl_Historique_Final[[#This Row],[date_modif]])=Final_Sans_VGE[[#This Row],[date_modif]],
      "Ancien",
      "Modifié"),
   "Nouveau")),"")</f>
        <v/>
      </c>
    </row>
    <row r="5019" spans="24:30" x14ac:dyDescent="0.25">
      <c r="X5019" s="8" t="e">
        <f>IF(Final_Sans_VGE[[#This Row],[ppn_z]]="","",IFERROR(
   IF(_xlfn.XLOOKUP(Final_Sans_VGE[[#This Row],[ppn_z]],tbl_Historique_Final[ppn_z],tbl_Historique_Final[date_modif])=Final_Sans_VGE[[#This Row],[date_modif]],
      "Ancien",
      "Modifié"),
   "Nouveau"))</f>
        <v>#VALUE!</v>
      </c>
      <c r="AD5019" s="1" t="str">
        <f>IFERROR(IF(Final_Sans_VGE[[#This Row],[ppn_z]]="","",IFERROR(
   IF(_xlfn.XLOOKUP(Final_Sans_VGE[[#This Row],[ppn_z]],tbl_Historique_Final[[#This Row],[ppn_z]],tbl_Historique_Final[[#This Row],[date_modif]])=Final_Sans_VGE[[#This Row],[date_modif]],
      "Ancien",
      "Modifié"),
   "Nouveau")),"")</f>
        <v/>
      </c>
    </row>
    <row r="5020" spans="24:30" x14ac:dyDescent="0.25">
      <c r="X5020" s="8" t="e">
        <f>IF(Final_Sans_VGE[[#This Row],[ppn_z]]="","",IFERROR(
   IF(_xlfn.XLOOKUP(Final_Sans_VGE[[#This Row],[ppn_z]],tbl_Historique_Final[ppn_z],tbl_Historique_Final[date_modif])=Final_Sans_VGE[[#This Row],[date_modif]],
      "Ancien",
      "Modifié"),
   "Nouveau"))</f>
        <v>#VALUE!</v>
      </c>
      <c r="AD5020" s="1" t="str">
        <f>IFERROR(IF(Final_Sans_VGE[[#This Row],[ppn_z]]="","",IFERROR(
   IF(_xlfn.XLOOKUP(Final_Sans_VGE[[#This Row],[ppn_z]],tbl_Historique_Final[[#This Row],[ppn_z]],tbl_Historique_Final[[#This Row],[date_modif]])=Final_Sans_VGE[[#This Row],[date_modif]],
      "Ancien",
      "Modifié"),
   "Nouveau")),"")</f>
        <v/>
      </c>
    </row>
    <row r="5021" spans="24:30" x14ac:dyDescent="0.25">
      <c r="X5021" s="8" t="e">
        <f>IF(Final_Sans_VGE[[#This Row],[ppn_z]]="","",IFERROR(
   IF(_xlfn.XLOOKUP(Final_Sans_VGE[[#This Row],[ppn_z]],tbl_Historique_Final[ppn_z],tbl_Historique_Final[date_modif])=Final_Sans_VGE[[#This Row],[date_modif]],
      "Ancien",
      "Modifié"),
   "Nouveau"))</f>
        <v>#VALUE!</v>
      </c>
      <c r="AD5021" s="1" t="str">
        <f>IFERROR(IF(Final_Sans_VGE[[#This Row],[ppn_z]]="","",IFERROR(
   IF(_xlfn.XLOOKUP(Final_Sans_VGE[[#This Row],[ppn_z]],tbl_Historique_Final[[#This Row],[ppn_z]],tbl_Historique_Final[[#This Row],[date_modif]])=Final_Sans_VGE[[#This Row],[date_modif]],
      "Ancien",
      "Modifié"),
   "Nouveau")),"")</f>
        <v/>
      </c>
    </row>
    <row r="5022" spans="24:30" x14ac:dyDescent="0.25">
      <c r="X5022" s="8" t="e">
        <f>IF(Final_Sans_VGE[[#This Row],[ppn_z]]="","",IFERROR(
   IF(_xlfn.XLOOKUP(Final_Sans_VGE[[#This Row],[ppn_z]],tbl_Historique_Final[ppn_z],tbl_Historique_Final[date_modif])=Final_Sans_VGE[[#This Row],[date_modif]],
      "Ancien",
      "Modifié"),
   "Nouveau"))</f>
        <v>#VALUE!</v>
      </c>
      <c r="AD5022" s="1" t="str">
        <f>IFERROR(IF(Final_Sans_VGE[[#This Row],[ppn_z]]="","",IFERROR(
   IF(_xlfn.XLOOKUP(Final_Sans_VGE[[#This Row],[ppn_z]],tbl_Historique_Final[[#This Row],[ppn_z]],tbl_Historique_Final[[#This Row],[date_modif]])=Final_Sans_VGE[[#This Row],[date_modif]],
      "Ancien",
      "Modifié"),
   "Nouveau")),"")</f>
        <v/>
      </c>
    </row>
    <row r="5023" spans="24:30" x14ac:dyDescent="0.25">
      <c r="X5023" s="8" t="e">
        <f>IF(Final_Sans_VGE[[#This Row],[ppn_z]]="","",IFERROR(
   IF(_xlfn.XLOOKUP(Final_Sans_VGE[[#This Row],[ppn_z]],tbl_Historique_Final[ppn_z],tbl_Historique_Final[date_modif])=Final_Sans_VGE[[#This Row],[date_modif]],
      "Ancien",
      "Modifié"),
   "Nouveau"))</f>
        <v>#VALUE!</v>
      </c>
      <c r="AD5023" s="1" t="str">
        <f>IFERROR(IF(Final_Sans_VGE[[#This Row],[ppn_z]]="","",IFERROR(
   IF(_xlfn.XLOOKUP(Final_Sans_VGE[[#This Row],[ppn_z]],tbl_Historique_Final[[#This Row],[ppn_z]],tbl_Historique_Final[[#This Row],[date_modif]])=Final_Sans_VGE[[#This Row],[date_modif]],
      "Ancien",
      "Modifié"),
   "Nouveau")),"")</f>
        <v/>
      </c>
    </row>
    <row r="5024" spans="24:30" x14ac:dyDescent="0.25">
      <c r="X5024" s="8" t="e">
        <f>IF(Final_Sans_VGE[[#This Row],[ppn_z]]="","",IFERROR(
   IF(_xlfn.XLOOKUP(Final_Sans_VGE[[#This Row],[ppn_z]],tbl_Historique_Final[ppn_z],tbl_Historique_Final[date_modif])=Final_Sans_VGE[[#This Row],[date_modif]],
      "Ancien",
      "Modifié"),
   "Nouveau"))</f>
        <v>#VALUE!</v>
      </c>
      <c r="AD5024" s="1" t="str">
        <f>IFERROR(IF(Final_Sans_VGE[[#This Row],[ppn_z]]="","",IFERROR(
   IF(_xlfn.XLOOKUP(Final_Sans_VGE[[#This Row],[ppn_z]],tbl_Historique_Final[[#This Row],[ppn_z]],tbl_Historique_Final[[#This Row],[date_modif]])=Final_Sans_VGE[[#This Row],[date_modif]],
      "Ancien",
      "Modifié"),
   "Nouveau")),"")</f>
        <v/>
      </c>
    </row>
    <row r="5025" spans="24:30" x14ac:dyDescent="0.25">
      <c r="X5025" s="8" t="e">
        <f>IF(Final_Sans_VGE[[#This Row],[ppn_z]]="","",IFERROR(
   IF(_xlfn.XLOOKUP(Final_Sans_VGE[[#This Row],[ppn_z]],tbl_Historique_Final[ppn_z],tbl_Historique_Final[date_modif])=Final_Sans_VGE[[#This Row],[date_modif]],
      "Ancien",
      "Modifié"),
   "Nouveau"))</f>
        <v>#VALUE!</v>
      </c>
      <c r="AD5025" s="1" t="str">
        <f>IFERROR(IF(Final_Sans_VGE[[#This Row],[ppn_z]]="","",IFERROR(
   IF(_xlfn.XLOOKUP(Final_Sans_VGE[[#This Row],[ppn_z]],tbl_Historique_Final[[#This Row],[ppn_z]],tbl_Historique_Final[[#This Row],[date_modif]])=Final_Sans_VGE[[#This Row],[date_modif]],
      "Ancien",
      "Modifié"),
   "Nouveau")),"")</f>
        <v/>
      </c>
    </row>
    <row r="5026" spans="24:30" x14ac:dyDescent="0.25">
      <c r="X5026" s="8" t="e">
        <f>IF(Final_Sans_VGE[[#This Row],[ppn_z]]="","",IFERROR(
   IF(_xlfn.XLOOKUP(Final_Sans_VGE[[#This Row],[ppn_z]],tbl_Historique_Final[ppn_z],tbl_Historique_Final[date_modif])=Final_Sans_VGE[[#This Row],[date_modif]],
      "Ancien",
      "Modifié"),
   "Nouveau"))</f>
        <v>#VALUE!</v>
      </c>
      <c r="AD5026" s="1" t="str">
        <f>IFERROR(IF(Final_Sans_VGE[[#This Row],[ppn_z]]="","",IFERROR(
   IF(_xlfn.XLOOKUP(Final_Sans_VGE[[#This Row],[ppn_z]],tbl_Historique_Final[[#This Row],[ppn_z]],tbl_Historique_Final[[#This Row],[date_modif]])=Final_Sans_VGE[[#This Row],[date_modif]],
      "Ancien",
      "Modifié"),
   "Nouveau")),"")</f>
        <v/>
      </c>
    </row>
    <row r="5027" spans="24:30" x14ac:dyDescent="0.25">
      <c r="X5027" s="8" t="e">
        <f>IF(Final_Sans_VGE[[#This Row],[ppn_z]]="","",IFERROR(
   IF(_xlfn.XLOOKUP(Final_Sans_VGE[[#This Row],[ppn_z]],tbl_Historique_Final[ppn_z],tbl_Historique_Final[date_modif])=Final_Sans_VGE[[#This Row],[date_modif]],
      "Ancien",
      "Modifié"),
   "Nouveau"))</f>
        <v>#VALUE!</v>
      </c>
      <c r="AD5027" s="1" t="str">
        <f>IFERROR(IF(Final_Sans_VGE[[#This Row],[ppn_z]]="","",IFERROR(
   IF(_xlfn.XLOOKUP(Final_Sans_VGE[[#This Row],[ppn_z]],tbl_Historique_Final[[#This Row],[ppn_z]],tbl_Historique_Final[[#This Row],[date_modif]])=Final_Sans_VGE[[#This Row],[date_modif]],
      "Ancien",
      "Modifié"),
   "Nouveau")),"")</f>
        <v/>
      </c>
    </row>
    <row r="5028" spans="24:30" x14ac:dyDescent="0.25">
      <c r="X5028" s="8" t="e">
        <f>IF(Final_Sans_VGE[[#This Row],[ppn_z]]="","",IFERROR(
   IF(_xlfn.XLOOKUP(Final_Sans_VGE[[#This Row],[ppn_z]],tbl_Historique_Final[ppn_z],tbl_Historique_Final[date_modif])=Final_Sans_VGE[[#This Row],[date_modif]],
      "Ancien",
      "Modifié"),
   "Nouveau"))</f>
        <v>#VALUE!</v>
      </c>
      <c r="AD5028" s="1" t="str">
        <f>IFERROR(IF(Final_Sans_VGE[[#This Row],[ppn_z]]="","",IFERROR(
   IF(_xlfn.XLOOKUP(Final_Sans_VGE[[#This Row],[ppn_z]],tbl_Historique_Final[[#This Row],[ppn_z]],tbl_Historique_Final[[#This Row],[date_modif]])=Final_Sans_VGE[[#This Row],[date_modif]],
      "Ancien",
      "Modifié"),
   "Nouveau")),"")</f>
        <v/>
      </c>
    </row>
    <row r="5029" spans="24:30" x14ac:dyDescent="0.25">
      <c r="X5029" s="8" t="e">
        <f>IF(Final_Sans_VGE[[#This Row],[ppn_z]]="","",IFERROR(
   IF(_xlfn.XLOOKUP(Final_Sans_VGE[[#This Row],[ppn_z]],tbl_Historique_Final[ppn_z],tbl_Historique_Final[date_modif])=Final_Sans_VGE[[#This Row],[date_modif]],
      "Ancien",
      "Modifié"),
   "Nouveau"))</f>
        <v>#VALUE!</v>
      </c>
      <c r="AD5029" s="1" t="str">
        <f>IFERROR(IF(Final_Sans_VGE[[#This Row],[ppn_z]]="","",IFERROR(
   IF(_xlfn.XLOOKUP(Final_Sans_VGE[[#This Row],[ppn_z]],tbl_Historique_Final[[#This Row],[ppn_z]],tbl_Historique_Final[[#This Row],[date_modif]])=Final_Sans_VGE[[#This Row],[date_modif]],
      "Ancien",
      "Modifié"),
   "Nouveau")),"")</f>
        <v/>
      </c>
    </row>
    <row r="5030" spans="24:30" x14ac:dyDescent="0.25">
      <c r="X5030" s="8" t="e">
        <f>IF(Final_Sans_VGE[[#This Row],[ppn_z]]="","",IFERROR(
   IF(_xlfn.XLOOKUP(Final_Sans_VGE[[#This Row],[ppn_z]],tbl_Historique_Final[ppn_z],tbl_Historique_Final[date_modif])=Final_Sans_VGE[[#This Row],[date_modif]],
      "Ancien",
      "Modifié"),
   "Nouveau"))</f>
        <v>#VALUE!</v>
      </c>
      <c r="AD5030" s="1" t="str">
        <f>IFERROR(IF(Final_Sans_VGE[[#This Row],[ppn_z]]="","",IFERROR(
   IF(_xlfn.XLOOKUP(Final_Sans_VGE[[#This Row],[ppn_z]],tbl_Historique_Final[[#This Row],[ppn_z]],tbl_Historique_Final[[#This Row],[date_modif]])=Final_Sans_VGE[[#This Row],[date_modif]],
      "Ancien",
      "Modifié"),
   "Nouveau")),"")</f>
        <v/>
      </c>
    </row>
    <row r="5031" spans="24:30" x14ac:dyDescent="0.25">
      <c r="X5031" s="8" t="e">
        <f>IF(Final_Sans_VGE[[#This Row],[ppn_z]]="","",IFERROR(
   IF(_xlfn.XLOOKUP(Final_Sans_VGE[[#This Row],[ppn_z]],tbl_Historique_Final[ppn_z],tbl_Historique_Final[date_modif])=Final_Sans_VGE[[#This Row],[date_modif]],
      "Ancien",
      "Modifié"),
   "Nouveau"))</f>
        <v>#VALUE!</v>
      </c>
      <c r="AD5031" s="1" t="str">
        <f>IFERROR(IF(Final_Sans_VGE[[#This Row],[ppn_z]]="","",IFERROR(
   IF(_xlfn.XLOOKUP(Final_Sans_VGE[[#This Row],[ppn_z]],tbl_Historique_Final[[#This Row],[ppn_z]],tbl_Historique_Final[[#This Row],[date_modif]])=Final_Sans_VGE[[#This Row],[date_modif]],
      "Ancien",
      "Modifié"),
   "Nouveau")),"")</f>
        <v/>
      </c>
    </row>
    <row r="5032" spans="24:30" x14ac:dyDescent="0.25">
      <c r="X5032" s="8" t="e">
        <f>IF(Final_Sans_VGE[[#This Row],[ppn_z]]="","",IFERROR(
   IF(_xlfn.XLOOKUP(Final_Sans_VGE[[#This Row],[ppn_z]],tbl_Historique_Final[ppn_z],tbl_Historique_Final[date_modif])=Final_Sans_VGE[[#This Row],[date_modif]],
      "Ancien",
      "Modifié"),
   "Nouveau"))</f>
        <v>#VALUE!</v>
      </c>
      <c r="AD5032" s="1" t="str">
        <f>IFERROR(IF(Final_Sans_VGE[[#This Row],[ppn_z]]="","",IFERROR(
   IF(_xlfn.XLOOKUP(Final_Sans_VGE[[#This Row],[ppn_z]],tbl_Historique_Final[[#This Row],[ppn_z]],tbl_Historique_Final[[#This Row],[date_modif]])=Final_Sans_VGE[[#This Row],[date_modif]],
      "Ancien",
      "Modifié"),
   "Nouveau")),"")</f>
        <v/>
      </c>
    </row>
    <row r="5033" spans="24:30" x14ac:dyDescent="0.25">
      <c r="X5033" s="8" t="e">
        <f>IF(Final_Sans_VGE[[#This Row],[ppn_z]]="","",IFERROR(
   IF(_xlfn.XLOOKUP(Final_Sans_VGE[[#This Row],[ppn_z]],tbl_Historique_Final[ppn_z],tbl_Historique_Final[date_modif])=Final_Sans_VGE[[#This Row],[date_modif]],
      "Ancien",
      "Modifié"),
   "Nouveau"))</f>
        <v>#VALUE!</v>
      </c>
      <c r="AD5033" s="1" t="str">
        <f>IFERROR(IF(Final_Sans_VGE[[#This Row],[ppn_z]]="","",IFERROR(
   IF(_xlfn.XLOOKUP(Final_Sans_VGE[[#This Row],[ppn_z]],tbl_Historique_Final[[#This Row],[ppn_z]],tbl_Historique_Final[[#This Row],[date_modif]])=Final_Sans_VGE[[#This Row],[date_modif]],
      "Ancien",
      "Modifié"),
   "Nouveau")),"")</f>
        <v/>
      </c>
    </row>
    <row r="5034" spans="24:30" x14ac:dyDescent="0.25">
      <c r="X5034" s="8" t="e">
        <f>IF(Final_Sans_VGE[[#This Row],[ppn_z]]="","",IFERROR(
   IF(_xlfn.XLOOKUP(Final_Sans_VGE[[#This Row],[ppn_z]],tbl_Historique_Final[ppn_z],tbl_Historique_Final[date_modif])=Final_Sans_VGE[[#This Row],[date_modif]],
      "Ancien",
      "Modifié"),
   "Nouveau"))</f>
        <v>#VALUE!</v>
      </c>
      <c r="AD5034" s="1" t="str">
        <f>IFERROR(IF(Final_Sans_VGE[[#This Row],[ppn_z]]="","",IFERROR(
   IF(_xlfn.XLOOKUP(Final_Sans_VGE[[#This Row],[ppn_z]],tbl_Historique_Final[[#This Row],[ppn_z]],tbl_Historique_Final[[#This Row],[date_modif]])=Final_Sans_VGE[[#This Row],[date_modif]],
      "Ancien",
      "Modifié"),
   "Nouveau")),"")</f>
        <v/>
      </c>
    </row>
    <row r="5035" spans="24:30" x14ac:dyDescent="0.25">
      <c r="X5035" s="8" t="e">
        <f>IF(Final_Sans_VGE[[#This Row],[ppn_z]]="","",IFERROR(
   IF(_xlfn.XLOOKUP(Final_Sans_VGE[[#This Row],[ppn_z]],tbl_Historique_Final[ppn_z],tbl_Historique_Final[date_modif])=Final_Sans_VGE[[#This Row],[date_modif]],
      "Ancien",
      "Modifié"),
   "Nouveau"))</f>
        <v>#VALUE!</v>
      </c>
      <c r="AD5035" s="1" t="str">
        <f>IFERROR(IF(Final_Sans_VGE[[#This Row],[ppn_z]]="","",IFERROR(
   IF(_xlfn.XLOOKUP(Final_Sans_VGE[[#This Row],[ppn_z]],tbl_Historique_Final[[#This Row],[ppn_z]],tbl_Historique_Final[[#This Row],[date_modif]])=Final_Sans_VGE[[#This Row],[date_modif]],
      "Ancien",
      "Modifié"),
   "Nouveau")),"")</f>
        <v/>
      </c>
    </row>
    <row r="5036" spans="24:30" x14ac:dyDescent="0.25">
      <c r="X5036" s="8" t="e">
        <f>IF(Final_Sans_VGE[[#This Row],[ppn_z]]="","",IFERROR(
   IF(_xlfn.XLOOKUP(Final_Sans_VGE[[#This Row],[ppn_z]],tbl_Historique_Final[ppn_z],tbl_Historique_Final[date_modif])=Final_Sans_VGE[[#This Row],[date_modif]],
      "Ancien",
      "Modifié"),
   "Nouveau"))</f>
        <v>#VALUE!</v>
      </c>
      <c r="AD5036" s="1" t="str">
        <f>IFERROR(IF(Final_Sans_VGE[[#This Row],[ppn_z]]="","",IFERROR(
   IF(_xlfn.XLOOKUP(Final_Sans_VGE[[#This Row],[ppn_z]],tbl_Historique_Final[[#This Row],[ppn_z]],tbl_Historique_Final[[#This Row],[date_modif]])=Final_Sans_VGE[[#This Row],[date_modif]],
      "Ancien",
      "Modifié"),
   "Nouveau")),"")</f>
        <v/>
      </c>
    </row>
    <row r="5037" spans="24:30" x14ac:dyDescent="0.25">
      <c r="X5037" s="8" t="e">
        <f>IF(Final_Sans_VGE[[#This Row],[ppn_z]]="","",IFERROR(
   IF(_xlfn.XLOOKUP(Final_Sans_VGE[[#This Row],[ppn_z]],tbl_Historique_Final[ppn_z],tbl_Historique_Final[date_modif])=Final_Sans_VGE[[#This Row],[date_modif]],
      "Ancien",
      "Modifié"),
   "Nouveau"))</f>
        <v>#VALUE!</v>
      </c>
      <c r="AD5037" s="1" t="str">
        <f>IFERROR(IF(Final_Sans_VGE[[#This Row],[ppn_z]]="","",IFERROR(
   IF(_xlfn.XLOOKUP(Final_Sans_VGE[[#This Row],[ppn_z]],tbl_Historique_Final[[#This Row],[ppn_z]],tbl_Historique_Final[[#This Row],[date_modif]])=Final_Sans_VGE[[#This Row],[date_modif]],
      "Ancien",
      "Modifié"),
   "Nouveau")),"")</f>
        <v/>
      </c>
    </row>
    <row r="5038" spans="24:30" x14ac:dyDescent="0.25">
      <c r="X5038" s="8" t="e">
        <f>IF(Final_Sans_VGE[[#This Row],[ppn_z]]="","",IFERROR(
   IF(_xlfn.XLOOKUP(Final_Sans_VGE[[#This Row],[ppn_z]],tbl_Historique_Final[ppn_z],tbl_Historique_Final[date_modif])=Final_Sans_VGE[[#This Row],[date_modif]],
      "Ancien",
      "Modifié"),
   "Nouveau"))</f>
        <v>#VALUE!</v>
      </c>
      <c r="AD5038" s="1" t="str">
        <f>IFERROR(IF(Final_Sans_VGE[[#This Row],[ppn_z]]="","",IFERROR(
   IF(_xlfn.XLOOKUP(Final_Sans_VGE[[#This Row],[ppn_z]],tbl_Historique_Final[[#This Row],[ppn_z]],tbl_Historique_Final[[#This Row],[date_modif]])=Final_Sans_VGE[[#This Row],[date_modif]],
      "Ancien",
      "Modifié"),
   "Nouveau")),"")</f>
        <v/>
      </c>
    </row>
    <row r="5039" spans="24:30" x14ac:dyDescent="0.25">
      <c r="X5039" s="8" t="e">
        <f>IF(Final_Sans_VGE[[#This Row],[ppn_z]]="","",IFERROR(
   IF(_xlfn.XLOOKUP(Final_Sans_VGE[[#This Row],[ppn_z]],tbl_Historique_Final[ppn_z],tbl_Historique_Final[date_modif])=Final_Sans_VGE[[#This Row],[date_modif]],
      "Ancien",
      "Modifié"),
   "Nouveau"))</f>
        <v>#VALUE!</v>
      </c>
      <c r="AD5039" s="1" t="str">
        <f>IFERROR(IF(Final_Sans_VGE[[#This Row],[ppn_z]]="","",IFERROR(
   IF(_xlfn.XLOOKUP(Final_Sans_VGE[[#This Row],[ppn_z]],tbl_Historique_Final[[#This Row],[ppn_z]],tbl_Historique_Final[[#This Row],[date_modif]])=Final_Sans_VGE[[#This Row],[date_modif]],
      "Ancien",
      "Modifié"),
   "Nouveau")),"")</f>
        <v/>
      </c>
    </row>
    <row r="5040" spans="24:30" x14ac:dyDescent="0.25">
      <c r="X5040" s="8" t="e">
        <f>IF(Final_Sans_VGE[[#This Row],[ppn_z]]="","",IFERROR(
   IF(_xlfn.XLOOKUP(Final_Sans_VGE[[#This Row],[ppn_z]],tbl_Historique_Final[ppn_z],tbl_Historique_Final[date_modif])=Final_Sans_VGE[[#This Row],[date_modif]],
      "Ancien",
      "Modifié"),
   "Nouveau"))</f>
        <v>#VALUE!</v>
      </c>
      <c r="AD5040" s="1" t="str">
        <f>IFERROR(IF(Final_Sans_VGE[[#This Row],[ppn_z]]="","",IFERROR(
   IF(_xlfn.XLOOKUP(Final_Sans_VGE[[#This Row],[ppn_z]],tbl_Historique_Final[[#This Row],[ppn_z]],tbl_Historique_Final[[#This Row],[date_modif]])=Final_Sans_VGE[[#This Row],[date_modif]],
      "Ancien",
      "Modifié"),
   "Nouveau")),"")</f>
        <v/>
      </c>
    </row>
    <row r="5041" spans="24:30" x14ac:dyDescent="0.25">
      <c r="X5041" s="8" t="e">
        <f>IF(Final_Sans_VGE[[#This Row],[ppn_z]]="","",IFERROR(
   IF(_xlfn.XLOOKUP(Final_Sans_VGE[[#This Row],[ppn_z]],tbl_Historique_Final[ppn_z],tbl_Historique_Final[date_modif])=Final_Sans_VGE[[#This Row],[date_modif]],
      "Ancien",
      "Modifié"),
   "Nouveau"))</f>
        <v>#VALUE!</v>
      </c>
      <c r="AD5041" s="1" t="str">
        <f>IFERROR(IF(Final_Sans_VGE[[#This Row],[ppn_z]]="","",IFERROR(
   IF(_xlfn.XLOOKUP(Final_Sans_VGE[[#This Row],[ppn_z]],tbl_Historique_Final[[#This Row],[ppn_z]],tbl_Historique_Final[[#This Row],[date_modif]])=Final_Sans_VGE[[#This Row],[date_modif]],
      "Ancien",
      "Modifié"),
   "Nouveau")),"")</f>
        <v/>
      </c>
    </row>
    <row r="5042" spans="24:30" x14ac:dyDescent="0.25">
      <c r="X5042" s="8" t="e">
        <f>IF(Final_Sans_VGE[[#This Row],[ppn_z]]="","",IFERROR(
   IF(_xlfn.XLOOKUP(Final_Sans_VGE[[#This Row],[ppn_z]],tbl_Historique_Final[ppn_z],tbl_Historique_Final[date_modif])=Final_Sans_VGE[[#This Row],[date_modif]],
      "Ancien",
      "Modifié"),
   "Nouveau"))</f>
        <v>#VALUE!</v>
      </c>
      <c r="AD5042" s="1" t="str">
        <f>IFERROR(IF(Final_Sans_VGE[[#This Row],[ppn_z]]="","",IFERROR(
   IF(_xlfn.XLOOKUP(Final_Sans_VGE[[#This Row],[ppn_z]],tbl_Historique_Final[[#This Row],[ppn_z]],tbl_Historique_Final[[#This Row],[date_modif]])=Final_Sans_VGE[[#This Row],[date_modif]],
      "Ancien",
      "Modifié"),
   "Nouveau")),"")</f>
        <v/>
      </c>
    </row>
    <row r="5043" spans="24:30" x14ac:dyDescent="0.25">
      <c r="X5043" s="8" t="e">
        <f>IF(Final_Sans_VGE[[#This Row],[ppn_z]]="","",IFERROR(
   IF(_xlfn.XLOOKUP(Final_Sans_VGE[[#This Row],[ppn_z]],tbl_Historique_Final[ppn_z],tbl_Historique_Final[date_modif])=Final_Sans_VGE[[#This Row],[date_modif]],
      "Ancien",
      "Modifié"),
   "Nouveau"))</f>
        <v>#VALUE!</v>
      </c>
      <c r="AD5043" s="1" t="str">
        <f>IFERROR(IF(Final_Sans_VGE[[#This Row],[ppn_z]]="","",IFERROR(
   IF(_xlfn.XLOOKUP(Final_Sans_VGE[[#This Row],[ppn_z]],tbl_Historique_Final[[#This Row],[ppn_z]],tbl_Historique_Final[[#This Row],[date_modif]])=Final_Sans_VGE[[#This Row],[date_modif]],
      "Ancien",
      "Modifié"),
   "Nouveau")),"")</f>
        <v/>
      </c>
    </row>
    <row r="5044" spans="24:30" x14ac:dyDescent="0.25">
      <c r="X5044" s="8" t="e">
        <f>IF(Final_Sans_VGE[[#This Row],[ppn_z]]="","",IFERROR(
   IF(_xlfn.XLOOKUP(Final_Sans_VGE[[#This Row],[ppn_z]],tbl_Historique_Final[ppn_z],tbl_Historique_Final[date_modif])=Final_Sans_VGE[[#This Row],[date_modif]],
      "Ancien",
      "Modifié"),
   "Nouveau"))</f>
        <v>#VALUE!</v>
      </c>
      <c r="AD5044" s="1" t="str">
        <f>IFERROR(IF(Final_Sans_VGE[[#This Row],[ppn_z]]="","",IFERROR(
   IF(_xlfn.XLOOKUP(Final_Sans_VGE[[#This Row],[ppn_z]],tbl_Historique_Final[[#This Row],[ppn_z]],tbl_Historique_Final[[#This Row],[date_modif]])=Final_Sans_VGE[[#This Row],[date_modif]],
      "Ancien",
      "Modifié"),
   "Nouveau")),"")</f>
        <v/>
      </c>
    </row>
    <row r="5045" spans="24:30" x14ac:dyDescent="0.25">
      <c r="X5045" s="8" t="e">
        <f>IF(Final_Sans_VGE[[#This Row],[ppn_z]]="","",IFERROR(
   IF(_xlfn.XLOOKUP(Final_Sans_VGE[[#This Row],[ppn_z]],tbl_Historique_Final[ppn_z],tbl_Historique_Final[date_modif])=Final_Sans_VGE[[#This Row],[date_modif]],
      "Ancien",
      "Modifié"),
   "Nouveau"))</f>
        <v>#VALUE!</v>
      </c>
      <c r="AD5045" s="1" t="str">
        <f>IFERROR(IF(Final_Sans_VGE[[#This Row],[ppn_z]]="","",IFERROR(
   IF(_xlfn.XLOOKUP(Final_Sans_VGE[[#This Row],[ppn_z]],tbl_Historique_Final[[#This Row],[ppn_z]],tbl_Historique_Final[[#This Row],[date_modif]])=Final_Sans_VGE[[#This Row],[date_modif]],
      "Ancien",
      "Modifié"),
   "Nouveau")),"")</f>
        <v/>
      </c>
    </row>
    <row r="5046" spans="24:30" x14ac:dyDescent="0.25">
      <c r="X5046" s="8" t="e">
        <f>IF(Final_Sans_VGE[[#This Row],[ppn_z]]="","",IFERROR(
   IF(_xlfn.XLOOKUP(Final_Sans_VGE[[#This Row],[ppn_z]],tbl_Historique_Final[ppn_z],tbl_Historique_Final[date_modif])=Final_Sans_VGE[[#This Row],[date_modif]],
      "Ancien",
      "Modifié"),
   "Nouveau"))</f>
        <v>#VALUE!</v>
      </c>
      <c r="AD5046" s="1" t="str">
        <f>IFERROR(IF(Final_Sans_VGE[[#This Row],[ppn_z]]="","",IFERROR(
   IF(_xlfn.XLOOKUP(Final_Sans_VGE[[#This Row],[ppn_z]],tbl_Historique_Final[[#This Row],[ppn_z]],tbl_Historique_Final[[#This Row],[date_modif]])=Final_Sans_VGE[[#This Row],[date_modif]],
      "Ancien",
      "Modifié"),
   "Nouveau")),"")</f>
        <v/>
      </c>
    </row>
    <row r="5047" spans="24:30" x14ac:dyDescent="0.25">
      <c r="X5047" s="8" t="e">
        <f>IF(Final_Sans_VGE[[#This Row],[ppn_z]]="","",IFERROR(
   IF(_xlfn.XLOOKUP(Final_Sans_VGE[[#This Row],[ppn_z]],tbl_Historique_Final[ppn_z],tbl_Historique_Final[date_modif])=Final_Sans_VGE[[#This Row],[date_modif]],
      "Ancien",
      "Modifié"),
   "Nouveau"))</f>
        <v>#VALUE!</v>
      </c>
      <c r="AD5047" s="1" t="str">
        <f>IFERROR(IF(Final_Sans_VGE[[#This Row],[ppn_z]]="","",IFERROR(
   IF(_xlfn.XLOOKUP(Final_Sans_VGE[[#This Row],[ppn_z]],tbl_Historique_Final[[#This Row],[ppn_z]],tbl_Historique_Final[[#This Row],[date_modif]])=Final_Sans_VGE[[#This Row],[date_modif]],
      "Ancien",
      "Modifié"),
   "Nouveau")),"")</f>
        <v/>
      </c>
    </row>
    <row r="5048" spans="24:30" x14ac:dyDescent="0.25">
      <c r="X5048" s="8" t="e">
        <f>IF(Final_Sans_VGE[[#This Row],[ppn_z]]="","",IFERROR(
   IF(_xlfn.XLOOKUP(Final_Sans_VGE[[#This Row],[ppn_z]],tbl_Historique_Final[ppn_z],tbl_Historique_Final[date_modif])=Final_Sans_VGE[[#This Row],[date_modif]],
      "Ancien",
      "Modifié"),
   "Nouveau"))</f>
        <v>#VALUE!</v>
      </c>
      <c r="AD5048" s="1" t="str">
        <f>IFERROR(IF(Final_Sans_VGE[[#This Row],[ppn_z]]="","",IFERROR(
   IF(_xlfn.XLOOKUP(Final_Sans_VGE[[#This Row],[ppn_z]],tbl_Historique_Final[[#This Row],[ppn_z]],tbl_Historique_Final[[#This Row],[date_modif]])=Final_Sans_VGE[[#This Row],[date_modif]],
      "Ancien",
      "Modifié"),
   "Nouveau")),"")</f>
        <v/>
      </c>
    </row>
    <row r="5049" spans="24:30" x14ac:dyDescent="0.25">
      <c r="X5049" s="8" t="e">
        <f>IF(Final_Sans_VGE[[#This Row],[ppn_z]]="","",IFERROR(
   IF(_xlfn.XLOOKUP(Final_Sans_VGE[[#This Row],[ppn_z]],tbl_Historique_Final[ppn_z],tbl_Historique_Final[date_modif])=Final_Sans_VGE[[#This Row],[date_modif]],
      "Ancien",
      "Modifié"),
   "Nouveau"))</f>
        <v>#VALUE!</v>
      </c>
      <c r="AD5049" s="1" t="str">
        <f>IFERROR(IF(Final_Sans_VGE[[#This Row],[ppn_z]]="","",IFERROR(
   IF(_xlfn.XLOOKUP(Final_Sans_VGE[[#This Row],[ppn_z]],tbl_Historique_Final[[#This Row],[ppn_z]],tbl_Historique_Final[[#This Row],[date_modif]])=Final_Sans_VGE[[#This Row],[date_modif]],
      "Ancien",
      "Modifié"),
   "Nouveau")),"")</f>
        <v/>
      </c>
    </row>
    <row r="5050" spans="24:30" x14ac:dyDescent="0.25">
      <c r="X5050" s="8" t="e">
        <f>IF(Final_Sans_VGE[[#This Row],[ppn_z]]="","",IFERROR(
   IF(_xlfn.XLOOKUP(Final_Sans_VGE[[#This Row],[ppn_z]],tbl_Historique_Final[ppn_z],tbl_Historique_Final[date_modif])=Final_Sans_VGE[[#This Row],[date_modif]],
      "Ancien",
      "Modifié"),
   "Nouveau"))</f>
        <v>#VALUE!</v>
      </c>
      <c r="AD5050" s="1" t="str">
        <f>IFERROR(IF(Final_Sans_VGE[[#This Row],[ppn_z]]="","",IFERROR(
   IF(_xlfn.XLOOKUP(Final_Sans_VGE[[#This Row],[ppn_z]],tbl_Historique_Final[[#This Row],[ppn_z]],tbl_Historique_Final[[#This Row],[date_modif]])=Final_Sans_VGE[[#This Row],[date_modif]],
      "Ancien",
      "Modifié"),
   "Nouveau")),"")</f>
        <v/>
      </c>
    </row>
    <row r="5051" spans="24:30" x14ac:dyDescent="0.25">
      <c r="X5051" s="8" t="e">
        <f>IF(Final_Sans_VGE[[#This Row],[ppn_z]]="","",IFERROR(
   IF(_xlfn.XLOOKUP(Final_Sans_VGE[[#This Row],[ppn_z]],tbl_Historique_Final[ppn_z],tbl_Historique_Final[date_modif])=Final_Sans_VGE[[#This Row],[date_modif]],
      "Ancien",
      "Modifié"),
   "Nouveau"))</f>
        <v>#VALUE!</v>
      </c>
      <c r="AD5051" s="1" t="str">
        <f>IFERROR(IF(Final_Sans_VGE[[#This Row],[ppn_z]]="","",IFERROR(
   IF(_xlfn.XLOOKUP(Final_Sans_VGE[[#This Row],[ppn_z]],tbl_Historique_Final[[#This Row],[ppn_z]],tbl_Historique_Final[[#This Row],[date_modif]])=Final_Sans_VGE[[#This Row],[date_modif]],
      "Ancien",
      "Modifié"),
   "Nouveau")),"")</f>
        <v/>
      </c>
    </row>
    <row r="5052" spans="24:30" x14ac:dyDescent="0.25">
      <c r="X5052" s="8" t="e">
        <f>IF(Final_Sans_VGE[[#This Row],[ppn_z]]="","",IFERROR(
   IF(_xlfn.XLOOKUP(Final_Sans_VGE[[#This Row],[ppn_z]],tbl_Historique_Final[ppn_z],tbl_Historique_Final[date_modif])=Final_Sans_VGE[[#This Row],[date_modif]],
      "Ancien",
      "Modifié"),
   "Nouveau"))</f>
        <v>#VALUE!</v>
      </c>
      <c r="AD5052" s="1" t="str">
        <f>IFERROR(IF(Final_Sans_VGE[[#This Row],[ppn_z]]="","",IFERROR(
   IF(_xlfn.XLOOKUP(Final_Sans_VGE[[#This Row],[ppn_z]],tbl_Historique_Final[[#This Row],[ppn_z]],tbl_Historique_Final[[#This Row],[date_modif]])=Final_Sans_VGE[[#This Row],[date_modif]],
      "Ancien",
      "Modifié"),
   "Nouveau")),"")</f>
        <v/>
      </c>
    </row>
    <row r="5053" spans="24:30" x14ac:dyDescent="0.25">
      <c r="X5053" s="8" t="e">
        <f>IF(Final_Sans_VGE[[#This Row],[ppn_z]]="","",IFERROR(
   IF(_xlfn.XLOOKUP(Final_Sans_VGE[[#This Row],[ppn_z]],tbl_Historique_Final[ppn_z],tbl_Historique_Final[date_modif])=Final_Sans_VGE[[#This Row],[date_modif]],
      "Ancien",
      "Modifié"),
   "Nouveau"))</f>
        <v>#VALUE!</v>
      </c>
      <c r="AD5053" s="1" t="str">
        <f>IFERROR(IF(Final_Sans_VGE[[#This Row],[ppn_z]]="","",IFERROR(
   IF(_xlfn.XLOOKUP(Final_Sans_VGE[[#This Row],[ppn_z]],tbl_Historique_Final[[#This Row],[ppn_z]],tbl_Historique_Final[[#This Row],[date_modif]])=Final_Sans_VGE[[#This Row],[date_modif]],
      "Ancien",
      "Modifié"),
   "Nouveau")),"")</f>
        <v/>
      </c>
    </row>
    <row r="5054" spans="24:30" x14ac:dyDescent="0.25">
      <c r="X5054" s="8" t="e">
        <f>IF(Final_Sans_VGE[[#This Row],[ppn_z]]="","",IFERROR(
   IF(_xlfn.XLOOKUP(Final_Sans_VGE[[#This Row],[ppn_z]],tbl_Historique_Final[ppn_z],tbl_Historique_Final[date_modif])=Final_Sans_VGE[[#This Row],[date_modif]],
      "Ancien",
      "Modifié"),
   "Nouveau"))</f>
        <v>#VALUE!</v>
      </c>
      <c r="AD5054" s="1" t="str">
        <f>IFERROR(IF(Final_Sans_VGE[[#This Row],[ppn_z]]="","",IFERROR(
   IF(_xlfn.XLOOKUP(Final_Sans_VGE[[#This Row],[ppn_z]],tbl_Historique_Final[[#This Row],[ppn_z]],tbl_Historique_Final[[#This Row],[date_modif]])=Final_Sans_VGE[[#This Row],[date_modif]],
      "Ancien",
      "Modifié"),
   "Nouveau")),"")</f>
        <v/>
      </c>
    </row>
    <row r="5055" spans="24:30" x14ac:dyDescent="0.25">
      <c r="X5055" s="8" t="e">
        <f>IF(Final_Sans_VGE[[#This Row],[ppn_z]]="","",IFERROR(
   IF(_xlfn.XLOOKUP(Final_Sans_VGE[[#This Row],[ppn_z]],tbl_Historique_Final[ppn_z],tbl_Historique_Final[date_modif])=Final_Sans_VGE[[#This Row],[date_modif]],
      "Ancien",
      "Modifié"),
   "Nouveau"))</f>
        <v>#VALUE!</v>
      </c>
      <c r="AD5055" s="1" t="str">
        <f>IFERROR(IF(Final_Sans_VGE[[#This Row],[ppn_z]]="","",IFERROR(
   IF(_xlfn.XLOOKUP(Final_Sans_VGE[[#This Row],[ppn_z]],tbl_Historique_Final[[#This Row],[ppn_z]],tbl_Historique_Final[[#This Row],[date_modif]])=Final_Sans_VGE[[#This Row],[date_modif]],
      "Ancien",
      "Modifié"),
   "Nouveau")),"")</f>
        <v/>
      </c>
    </row>
    <row r="5056" spans="24:30" x14ac:dyDescent="0.25">
      <c r="X5056" s="8" t="e">
        <f>IF(Final_Sans_VGE[[#This Row],[ppn_z]]="","",IFERROR(
   IF(_xlfn.XLOOKUP(Final_Sans_VGE[[#This Row],[ppn_z]],tbl_Historique_Final[ppn_z],tbl_Historique_Final[date_modif])=Final_Sans_VGE[[#This Row],[date_modif]],
      "Ancien",
      "Modifié"),
   "Nouveau"))</f>
        <v>#VALUE!</v>
      </c>
      <c r="AD5056" s="1" t="str">
        <f>IFERROR(IF(Final_Sans_VGE[[#This Row],[ppn_z]]="","",IFERROR(
   IF(_xlfn.XLOOKUP(Final_Sans_VGE[[#This Row],[ppn_z]],tbl_Historique_Final[[#This Row],[ppn_z]],tbl_Historique_Final[[#This Row],[date_modif]])=Final_Sans_VGE[[#This Row],[date_modif]],
      "Ancien",
      "Modifié"),
   "Nouveau")),"")</f>
        <v/>
      </c>
    </row>
    <row r="5057" spans="24:30" x14ac:dyDescent="0.25">
      <c r="X5057" s="8" t="e">
        <f>IF(Final_Sans_VGE[[#This Row],[ppn_z]]="","",IFERROR(
   IF(_xlfn.XLOOKUP(Final_Sans_VGE[[#This Row],[ppn_z]],tbl_Historique_Final[ppn_z],tbl_Historique_Final[date_modif])=Final_Sans_VGE[[#This Row],[date_modif]],
      "Ancien",
      "Modifié"),
   "Nouveau"))</f>
        <v>#VALUE!</v>
      </c>
      <c r="AD5057" s="1" t="str">
        <f>IFERROR(IF(Final_Sans_VGE[[#This Row],[ppn_z]]="","",IFERROR(
   IF(_xlfn.XLOOKUP(Final_Sans_VGE[[#This Row],[ppn_z]],tbl_Historique_Final[[#This Row],[ppn_z]],tbl_Historique_Final[[#This Row],[date_modif]])=Final_Sans_VGE[[#This Row],[date_modif]],
      "Ancien",
      "Modifié"),
   "Nouveau")),"")</f>
        <v/>
      </c>
    </row>
    <row r="5058" spans="24:30" x14ac:dyDescent="0.25">
      <c r="X5058" s="8" t="e">
        <f>IF(Final_Sans_VGE[[#This Row],[ppn_z]]="","",IFERROR(
   IF(_xlfn.XLOOKUP(Final_Sans_VGE[[#This Row],[ppn_z]],tbl_Historique_Final[ppn_z],tbl_Historique_Final[date_modif])=Final_Sans_VGE[[#This Row],[date_modif]],
      "Ancien",
      "Modifié"),
   "Nouveau"))</f>
        <v>#VALUE!</v>
      </c>
      <c r="AD5058" s="1" t="str">
        <f>IFERROR(IF(Final_Sans_VGE[[#This Row],[ppn_z]]="","",IFERROR(
   IF(_xlfn.XLOOKUP(Final_Sans_VGE[[#This Row],[ppn_z]],tbl_Historique_Final[[#This Row],[ppn_z]],tbl_Historique_Final[[#This Row],[date_modif]])=Final_Sans_VGE[[#This Row],[date_modif]],
      "Ancien",
      "Modifié"),
   "Nouveau")),"")</f>
        <v/>
      </c>
    </row>
    <row r="5059" spans="24:30" x14ac:dyDescent="0.25">
      <c r="X5059" s="8" t="e">
        <f>IF(Final_Sans_VGE[[#This Row],[ppn_z]]="","",IFERROR(
   IF(_xlfn.XLOOKUP(Final_Sans_VGE[[#This Row],[ppn_z]],tbl_Historique_Final[ppn_z],tbl_Historique_Final[date_modif])=Final_Sans_VGE[[#This Row],[date_modif]],
      "Ancien",
      "Modifié"),
   "Nouveau"))</f>
        <v>#VALUE!</v>
      </c>
      <c r="AD5059" s="1" t="str">
        <f>IFERROR(IF(Final_Sans_VGE[[#This Row],[ppn_z]]="","",IFERROR(
   IF(_xlfn.XLOOKUP(Final_Sans_VGE[[#This Row],[ppn_z]],tbl_Historique_Final[[#This Row],[ppn_z]],tbl_Historique_Final[[#This Row],[date_modif]])=Final_Sans_VGE[[#This Row],[date_modif]],
      "Ancien",
      "Modifié"),
   "Nouveau")),"")</f>
        <v/>
      </c>
    </row>
    <row r="5060" spans="24:30" x14ac:dyDescent="0.25">
      <c r="X5060" s="8" t="e">
        <f>IF(Final_Sans_VGE[[#This Row],[ppn_z]]="","",IFERROR(
   IF(_xlfn.XLOOKUP(Final_Sans_VGE[[#This Row],[ppn_z]],tbl_Historique_Final[ppn_z],tbl_Historique_Final[date_modif])=Final_Sans_VGE[[#This Row],[date_modif]],
      "Ancien",
      "Modifié"),
   "Nouveau"))</f>
        <v>#VALUE!</v>
      </c>
      <c r="AD5060" s="1" t="str">
        <f>IFERROR(IF(Final_Sans_VGE[[#This Row],[ppn_z]]="","",IFERROR(
   IF(_xlfn.XLOOKUP(Final_Sans_VGE[[#This Row],[ppn_z]],tbl_Historique_Final[[#This Row],[ppn_z]],tbl_Historique_Final[[#This Row],[date_modif]])=Final_Sans_VGE[[#This Row],[date_modif]],
      "Ancien",
      "Modifié"),
   "Nouveau")),"")</f>
        <v/>
      </c>
    </row>
    <row r="5061" spans="24:30" x14ac:dyDescent="0.25">
      <c r="X5061" s="8" t="e">
        <f>IF(Final_Sans_VGE[[#This Row],[ppn_z]]="","",IFERROR(
   IF(_xlfn.XLOOKUP(Final_Sans_VGE[[#This Row],[ppn_z]],tbl_Historique_Final[ppn_z],tbl_Historique_Final[date_modif])=Final_Sans_VGE[[#This Row],[date_modif]],
      "Ancien",
      "Modifié"),
   "Nouveau"))</f>
        <v>#VALUE!</v>
      </c>
      <c r="AD5061" s="1" t="str">
        <f>IFERROR(IF(Final_Sans_VGE[[#This Row],[ppn_z]]="","",IFERROR(
   IF(_xlfn.XLOOKUP(Final_Sans_VGE[[#This Row],[ppn_z]],tbl_Historique_Final[[#This Row],[ppn_z]],tbl_Historique_Final[[#This Row],[date_modif]])=Final_Sans_VGE[[#This Row],[date_modif]],
      "Ancien",
      "Modifié"),
   "Nouveau")),"")</f>
        <v/>
      </c>
    </row>
    <row r="5062" spans="24:30" x14ac:dyDescent="0.25">
      <c r="X5062" s="8" t="e">
        <f>IF(Final_Sans_VGE[[#This Row],[ppn_z]]="","",IFERROR(
   IF(_xlfn.XLOOKUP(Final_Sans_VGE[[#This Row],[ppn_z]],tbl_Historique_Final[ppn_z],tbl_Historique_Final[date_modif])=Final_Sans_VGE[[#This Row],[date_modif]],
      "Ancien",
      "Modifié"),
   "Nouveau"))</f>
        <v>#VALUE!</v>
      </c>
      <c r="AD5062" s="1" t="str">
        <f>IFERROR(IF(Final_Sans_VGE[[#This Row],[ppn_z]]="","",IFERROR(
   IF(_xlfn.XLOOKUP(Final_Sans_VGE[[#This Row],[ppn_z]],tbl_Historique_Final[[#This Row],[ppn_z]],tbl_Historique_Final[[#This Row],[date_modif]])=Final_Sans_VGE[[#This Row],[date_modif]],
      "Ancien",
      "Modifié"),
   "Nouveau")),"")</f>
        <v/>
      </c>
    </row>
    <row r="5063" spans="24:30" x14ac:dyDescent="0.25">
      <c r="X5063" s="8" t="e">
        <f>IF(Final_Sans_VGE[[#This Row],[ppn_z]]="","",IFERROR(
   IF(_xlfn.XLOOKUP(Final_Sans_VGE[[#This Row],[ppn_z]],tbl_Historique_Final[ppn_z],tbl_Historique_Final[date_modif])=Final_Sans_VGE[[#This Row],[date_modif]],
      "Ancien",
      "Modifié"),
   "Nouveau"))</f>
        <v>#VALUE!</v>
      </c>
      <c r="AD5063" s="1" t="str">
        <f>IFERROR(IF(Final_Sans_VGE[[#This Row],[ppn_z]]="","",IFERROR(
   IF(_xlfn.XLOOKUP(Final_Sans_VGE[[#This Row],[ppn_z]],tbl_Historique_Final[[#This Row],[ppn_z]],tbl_Historique_Final[[#This Row],[date_modif]])=Final_Sans_VGE[[#This Row],[date_modif]],
      "Ancien",
      "Modifié"),
   "Nouveau")),"")</f>
        <v/>
      </c>
    </row>
    <row r="5064" spans="24:30" x14ac:dyDescent="0.25">
      <c r="X5064" s="8" t="e">
        <f>IF(Final_Sans_VGE[[#This Row],[ppn_z]]="","",IFERROR(
   IF(_xlfn.XLOOKUP(Final_Sans_VGE[[#This Row],[ppn_z]],tbl_Historique_Final[ppn_z],tbl_Historique_Final[date_modif])=Final_Sans_VGE[[#This Row],[date_modif]],
      "Ancien",
      "Modifié"),
   "Nouveau"))</f>
        <v>#VALUE!</v>
      </c>
      <c r="AD5064" s="1" t="str">
        <f>IFERROR(IF(Final_Sans_VGE[[#This Row],[ppn_z]]="","",IFERROR(
   IF(_xlfn.XLOOKUP(Final_Sans_VGE[[#This Row],[ppn_z]],tbl_Historique_Final[[#This Row],[ppn_z]],tbl_Historique_Final[[#This Row],[date_modif]])=Final_Sans_VGE[[#This Row],[date_modif]],
      "Ancien",
      "Modifié"),
   "Nouveau")),"")</f>
        <v/>
      </c>
    </row>
    <row r="5065" spans="24:30" x14ac:dyDescent="0.25">
      <c r="X5065" s="8" t="e">
        <f>IF(Final_Sans_VGE[[#This Row],[ppn_z]]="","",IFERROR(
   IF(_xlfn.XLOOKUP(Final_Sans_VGE[[#This Row],[ppn_z]],tbl_Historique_Final[ppn_z],tbl_Historique_Final[date_modif])=Final_Sans_VGE[[#This Row],[date_modif]],
      "Ancien",
      "Modifié"),
   "Nouveau"))</f>
        <v>#VALUE!</v>
      </c>
      <c r="AD5065" s="1" t="str">
        <f>IFERROR(IF(Final_Sans_VGE[[#This Row],[ppn_z]]="","",IFERROR(
   IF(_xlfn.XLOOKUP(Final_Sans_VGE[[#This Row],[ppn_z]],tbl_Historique_Final[[#This Row],[ppn_z]],tbl_Historique_Final[[#This Row],[date_modif]])=Final_Sans_VGE[[#This Row],[date_modif]],
      "Ancien",
      "Modifié"),
   "Nouveau")),"")</f>
        <v/>
      </c>
    </row>
    <row r="5066" spans="24:30" x14ac:dyDescent="0.25">
      <c r="X5066" s="8" t="e">
        <f>IF(Final_Sans_VGE[[#This Row],[ppn_z]]="","",IFERROR(
   IF(_xlfn.XLOOKUP(Final_Sans_VGE[[#This Row],[ppn_z]],tbl_Historique_Final[ppn_z],tbl_Historique_Final[date_modif])=Final_Sans_VGE[[#This Row],[date_modif]],
      "Ancien",
      "Modifié"),
   "Nouveau"))</f>
        <v>#VALUE!</v>
      </c>
      <c r="AD5066" s="1" t="str">
        <f>IFERROR(IF(Final_Sans_VGE[[#This Row],[ppn_z]]="","",IFERROR(
   IF(_xlfn.XLOOKUP(Final_Sans_VGE[[#This Row],[ppn_z]],tbl_Historique_Final[[#This Row],[ppn_z]],tbl_Historique_Final[[#This Row],[date_modif]])=Final_Sans_VGE[[#This Row],[date_modif]],
      "Ancien",
      "Modifié"),
   "Nouveau")),"")</f>
        <v/>
      </c>
    </row>
    <row r="5067" spans="24:30" x14ac:dyDescent="0.25">
      <c r="X5067" s="8" t="e">
        <f>IF(Final_Sans_VGE[[#This Row],[ppn_z]]="","",IFERROR(
   IF(_xlfn.XLOOKUP(Final_Sans_VGE[[#This Row],[ppn_z]],tbl_Historique_Final[ppn_z],tbl_Historique_Final[date_modif])=Final_Sans_VGE[[#This Row],[date_modif]],
      "Ancien",
      "Modifié"),
   "Nouveau"))</f>
        <v>#VALUE!</v>
      </c>
      <c r="AD5067" s="1" t="str">
        <f>IFERROR(IF(Final_Sans_VGE[[#This Row],[ppn_z]]="","",IFERROR(
   IF(_xlfn.XLOOKUP(Final_Sans_VGE[[#This Row],[ppn_z]],tbl_Historique_Final[[#This Row],[ppn_z]],tbl_Historique_Final[[#This Row],[date_modif]])=Final_Sans_VGE[[#This Row],[date_modif]],
      "Ancien",
      "Modifié"),
   "Nouveau")),"")</f>
        <v/>
      </c>
    </row>
    <row r="5068" spans="24:30" x14ac:dyDescent="0.25">
      <c r="X5068" s="8" t="e">
        <f>IF(Final_Sans_VGE[[#This Row],[ppn_z]]="","",IFERROR(
   IF(_xlfn.XLOOKUP(Final_Sans_VGE[[#This Row],[ppn_z]],tbl_Historique_Final[ppn_z],tbl_Historique_Final[date_modif])=Final_Sans_VGE[[#This Row],[date_modif]],
      "Ancien",
      "Modifié"),
   "Nouveau"))</f>
        <v>#VALUE!</v>
      </c>
      <c r="AD5068" s="1" t="str">
        <f>IFERROR(IF(Final_Sans_VGE[[#This Row],[ppn_z]]="","",IFERROR(
   IF(_xlfn.XLOOKUP(Final_Sans_VGE[[#This Row],[ppn_z]],tbl_Historique_Final[[#This Row],[ppn_z]],tbl_Historique_Final[[#This Row],[date_modif]])=Final_Sans_VGE[[#This Row],[date_modif]],
      "Ancien",
      "Modifié"),
   "Nouveau")),"")</f>
        <v/>
      </c>
    </row>
    <row r="5069" spans="24:30" x14ac:dyDescent="0.25">
      <c r="X5069" s="8" t="e">
        <f>IF(Final_Sans_VGE[[#This Row],[ppn_z]]="","",IFERROR(
   IF(_xlfn.XLOOKUP(Final_Sans_VGE[[#This Row],[ppn_z]],tbl_Historique_Final[ppn_z],tbl_Historique_Final[date_modif])=Final_Sans_VGE[[#This Row],[date_modif]],
      "Ancien",
      "Modifié"),
   "Nouveau"))</f>
        <v>#VALUE!</v>
      </c>
      <c r="AD5069" s="1" t="str">
        <f>IFERROR(IF(Final_Sans_VGE[[#This Row],[ppn_z]]="","",IFERROR(
   IF(_xlfn.XLOOKUP(Final_Sans_VGE[[#This Row],[ppn_z]],tbl_Historique_Final[[#This Row],[ppn_z]],tbl_Historique_Final[[#This Row],[date_modif]])=Final_Sans_VGE[[#This Row],[date_modif]],
      "Ancien",
      "Modifié"),
   "Nouveau")),"")</f>
        <v/>
      </c>
    </row>
    <row r="5070" spans="24:30" x14ac:dyDescent="0.25">
      <c r="X5070" s="8" t="e">
        <f>IF(Final_Sans_VGE[[#This Row],[ppn_z]]="","",IFERROR(
   IF(_xlfn.XLOOKUP(Final_Sans_VGE[[#This Row],[ppn_z]],tbl_Historique_Final[ppn_z],tbl_Historique_Final[date_modif])=Final_Sans_VGE[[#This Row],[date_modif]],
      "Ancien",
      "Modifié"),
   "Nouveau"))</f>
        <v>#VALUE!</v>
      </c>
      <c r="AD5070" s="1" t="str">
        <f>IFERROR(IF(Final_Sans_VGE[[#This Row],[ppn_z]]="","",IFERROR(
   IF(_xlfn.XLOOKUP(Final_Sans_VGE[[#This Row],[ppn_z]],tbl_Historique_Final[[#This Row],[ppn_z]],tbl_Historique_Final[[#This Row],[date_modif]])=Final_Sans_VGE[[#This Row],[date_modif]],
      "Ancien",
      "Modifié"),
   "Nouveau")),"")</f>
        <v/>
      </c>
    </row>
    <row r="5071" spans="24:30" x14ac:dyDescent="0.25">
      <c r="X5071" s="8" t="e">
        <f>IF(Final_Sans_VGE[[#This Row],[ppn_z]]="","",IFERROR(
   IF(_xlfn.XLOOKUP(Final_Sans_VGE[[#This Row],[ppn_z]],tbl_Historique_Final[ppn_z],tbl_Historique_Final[date_modif])=Final_Sans_VGE[[#This Row],[date_modif]],
      "Ancien",
      "Modifié"),
   "Nouveau"))</f>
        <v>#VALUE!</v>
      </c>
      <c r="AD5071" s="1" t="str">
        <f>IFERROR(IF(Final_Sans_VGE[[#This Row],[ppn_z]]="","",IFERROR(
   IF(_xlfn.XLOOKUP(Final_Sans_VGE[[#This Row],[ppn_z]],tbl_Historique_Final[[#This Row],[ppn_z]],tbl_Historique_Final[[#This Row],[date_modif]])=Final_Sans_VGE[[#This Row],[date_modif]],
      "Ancien",
      "Modifié"),
   "Nouveau")),"")</f>
        <v/>
      </c>
    </row>
    <row r="5072" spans="24:30" x14ac:dyDescent="0.25">
      <c r="X5072" s="8" t="e">
        <f>IF(Final_Sans_VGE[[#This Row],[ppn_z]]="","",IFERROR(
   IF(_xlfn.XLOOKUP(Final_Sans_VGE[[#This Row],[ppn_z]],tbl_Historique_Final[ppn_z],tbl_Historique_Final[date_modif])=Final_Sans_VGE[[#This Row],[date_modif]],
      "Ancien",
      "Modifié"),
   "Nouveau"))</f>
        <v>#VALUE!</v>
      </c>
      <c r="AD5072" s="1" t="str">
        <f>IFERROR(IF(Final_Sans_VGE[[#This Row],[ppn_z]]="","",IFERROR(
   IF(_xlfn.XLOOKUP(Final_Sans_VGE[[#This Row],[ppn_z]],tbl_Historique_Final[[#This Row],[ppn_z]],tbl_Historique_Final[[#This Row],[date_modif]])=Final_Sans_VGE[[#This Row],[date_modif]],
      "Ancien",
      "Modifié"),
   "Nouveau")),"")</f>
        <v/>
      </c>
    </row>
    <row r="5073" spans="24:30" x14ac:dyDescent="0.25">
      <c r="X5073" s="8" t="e">
        <f>IF(Final_Sans_VGE[[#This Row],[ppn_z]]="","",IFERROR(
   IF(_xlfn.XLOOKUP(Final_Sans_VGE[[#This Row],[ppn_z]],tbl_Historique_Final[ppn_z],tbl_Historique_Final[date_modif])=Final_Sans_VGE[[#This Row],[date_modif]],
      "Ancien",
      "Modifié"),
   "Nouveau"))</f>
        <v>#VALUE!</v>
      </c>
      <c r="AD5073" s="1" t="str">
        <f>IFERROR(IF(Final_Sans_VGE[[#This Row],[ppn_z]]="","",IFERROR(
   IF(_xlfn.XLOOKUP(Final_Sans_VGE[[#This Row],[ppn_z]],tbl_Historique_Final[[#This Row],[ppn_z]],tbl_Historique_Final[[#This Row],[date_modif]])=Final_Sans_VGE[[#This Row],[date_modif]],
      "Ancien",
      "Modifié"),
   "Nouveau")),"")</f>
        <v/>
      </c>
    </row>
    <row r="5074" spans="24:30" x14ac:dyDescent="0.25">
      <c r="X5074" s="8" t="e">
        <f>IF(Final_Sans_VGE[[#This Row],[ppn_z]]="","",IFERROR(
   IF(_xlfn.XLOOKUP(Final_Sans_VGE[[#This Row],[ppn_z]],tbl_Historique_Final[ppn_z],tbl_Historique_Final[date_modif])=Final_Sans_VGE[[#This Row],[date_modif]],
      "Ancien",
      "Modifié"),
   "Nouveau"))</f>
        <v>#VALUE!</v>
      </c>
      <c r="AD5074" s="1" t="str">
        <f>IFERROR(IF(Final_Sans_VGE[[#This Row],[ppn_z]]="","",IFERROR(
   IF(_xlfn.XLOOKUP(Final_Sans_VGE[[#This Row],[ppn_z]],tbl_Historique_Final[[#This Row],[ppn_z]],tbl_Historique_Final[[#This Row],[date_modif]])=Final_Sans_VGE[[#This Row],[date_modif]],
      "Ancien",
      "Modifié"),
   "Nouveau")),"")</f>
        <v/>
      </c>
    </row>
    <row r="5075" spans="24:30" x14ac:dyDescent="0.25">
      <c r="X5075" s="8" t="e">
        <f>IF(Final_Sans_VGE[[#This Row],[ppn_z]]="","",IFERROR(
   IF(_xlfn.XLOOKUP(Final_Sans_VGE[[#This Row],[ppn_z]],tbl_Historique_Final[ppn_z],tbl_Historique_Final[date_modif])=Final_Sans_VGE[[#This Row],[date_modif]],
      "Ancien",
      "Modifié"),
   "Nouveau"))</f>
        <v>#VALUE!</v>
      </c>
      <c r="AD5075" s="1" t="str">
        <f>IFERROR(IF(Final_Sans_VGE[[#This Row],[ppn_z]]="","",IFERROR(
   IF(_xlfn.XLOOKUP(Final_Sans_VGE[[#This Row],[ppn_z]],tbl_Historique_Final[[#This Row],[ppn_z]],tbl_Historique_Final[[#This Row],[date_modif]])=Final_Sans_VGE[[#This Row],[date_modif]],
      "Ancien",
      "Modifié"),
   "Nouveau")),"")</f>
        <v/>
      </c>
    </row>
    <row r="5076" spans="24:30" x14ac:dyDescent="0.25">
      <c r="X5076" s="8" t="e">
        <f>IF(Final_Sans_VGE[[#This Row],[ppn_z]]="","",IFERROR(
   IF(_xlfn.XLOOKUP(Final_Sans_VGE[[#This Row],[ppn_z]],tbl_Historique_Final[ppn_z],tbl_Historique_Final[date_modif])=Final_Sans_VGE[[#This Row],[date_modif]],
      "Ancien",
      "Modifié"),
   "Nouveau"))</f>
        <v>#VALUE!</v>
      </c>
      <c r="AD5076" s="1" t="str">
        <f>IFERROR(IF(Final_Sans_VGE[[#This Row],[ppn_z]]="","",IFERROR(
   IF(_xlfn.XLOOKUP(Final_Sans_VGE[[#This Row],[ppn_z]],tbl_Historique_Final[[#This Row],[ppn_z]],tbl_Historique_Final[[#This Row],[date_modif]])=Final_Sans_VGE[[#This Row],[date_modif]],
      "Ancien",
      "Modifié"),
   "Nouveau")),"")</f>
        <v/>
      </c>
    </row>
    <row r="5077" spans="24:30" x14ac:dyDescent="0.25">
      <c r="X5077" s="8" t="e">
        <f>IF(Final_Sans_VGE[[#This Row],[ppn_z]]="","",IFERROR(
   IF(_xlfn.XLOOKUP(Final_Sans_VGE[[#This Row],[ppn_z]],tbl_Historique_Final[ppn_z],tbl_Historique_Final[date_modif])=Final_Sans_VGE[[#This Row],[date_modif]],
      "Ancien",
      "Modifié"),
   "Nouveau"))</f>
        <v>#VALUE!</v>
      </c>
      <c r="AD5077" s="1" t="str">
        <f>IFERROR(IF(Final_Sans_VGE[[#This Row],[ppn_z]]="","",IFERROR(
   IF(_xlfn.XLOOKUP(Final_Sans_VGE[[#This Row],[ppn_z]],tbl_Historique_Final[[#This Row],[ppn_z]],tbl_Historique_Final[[#This Row],[date_modif]])=Final_Sans_VGE[[#This Row],[date_modif]],
      "Ancien",
      "Modifié"),
   "Nouveau")),"")</f>
        <v/>
      </c>
    </row>
    <row r="5078" spans="24:30" x14ac:dyDescent="0.25">
      <c r="X5078" s="8" t="e">
        <f>IF(Final_Sans_VGE[[#This Row],[ppn_z]]="","",IFERROR(
   IF(_xlfn.XLOOKUP(Final_Sans_VGE[[#This Row],[ppn_z]],tbl_Historique_Final[ppn_z],tbl_Historique_Final[date_modif])=Final_Sans_VGE[[#This Row],[date_modif]],
      "Ancien",
      "Modifié"),
   "Nouveau"))</f>
        <v>#VALUE!</v>
      </c>
      <c r="AD5078" s="1" t="str">
        <f>IFERROR(IF(Final_Sans_VGE[[#This Row],[ppn_z]]="","",IFERROR(
   IF(_xlfn.XLOOKUP(Final_Sans_VGE[[#This Row],[ppn_z]],tbl_Historique_Final[[#This Row],[ppn_z]],tbl_Historique_Final[[#This Row],[date_modif]])=Final_Sans_VGE[[#This Row],[date_modif]],
      "Ancien",
      "Modifié"),
   "Nouveau")),"")</f>
        <v/>
      </c>
    </row>
    <row r="5079" spans="24:30" x14ac:dyDescent="0.25">
      <c r="X5079" s="8" t="e">
        <f>IF(Final_Sans_VGE[[#This Row],[ppn_z]]="","",IFERROR(
   IF(_xlfn.XLOOKUP(Final_Sans_VGE[[#This Row],[ppn_z]],tbl_Historique_Final[ppn_z],tbl_Historique_Final[date_modif])=Final_Sans_VGE[[#This Row],[date_modif]],
      "Ancien",
      "Modifié"),
   "Nouveau"))</f>
        <v>#VALUE!</v>
      </c>
      <c r="AD5079" s="1" t="str">
        <f>IFERROR(IF(Final_Sans_VGE[[#This Row],[ppn_z]]="","",IFERROR(
   IF(_xlfn.XLOOKUP(Final_Sans_VGE[[#This Row],[ppn_z]],tbl_Historique_Final[[#This Row],[ppn_z]],tbl_Historique_Final[[#This Row],[date_modif]])=Final_Sans_VGE[[#This Row],[date_modif]],
      "Ancien",
      "Modifié"),
   "Nouveau")),"")</f>
        <v/>
      </c>
    </row>
    <row r="5080" spans="24:30" x14ac:dyDescent="0.25">
      <c r="X5080" s="8" t="e">
        <f>IF(Final_Sans_VGE[[#This Row],[ppn_z]]="","",IFERROR(
   IF(_xlfn.XLOOKUP(Final_Sans_VGE[[#This Row],[ppn_z]],tbl_Historique_Final[ppn_z],tbl_Historique_Final[date_modif])=Final_Sans_VGE[[#This Row],[date_modif]],
      "Ancien",
      "Modifié"),
   "Nouveau"))</f>
        <v>#VALUE!</v>
      </c>
      <c r="AD5080" s="1" t="str">
        <f>IFERROR(IF(Final_Sans_VGE[[#This Row],[ppn_z]]="","",IFERROR(
   IF(_xlfn.XLOOKUP(Final_Sans_VGE[[#This Row],[ppn_z]],tbl_Historique_Final[[#This Row],[ppn_z]],tbl_Historique_Final[[#This Row],[date_modif]])=Final_Sans_VGE[[#This Row],[date_modif]],
      "Ancien",
      "Modifié"),
   "Nouveau")),"")</f>
        <v/>
      </c>
    </row>
    <row r="5081" spans="24:30" x14ac:dyDescent="0.25">
      <c r="X5081" s="8" t="e">
        <f>IF(Final_Sans_VGE[[#This Row],[ppn_z]]="","",IFERROR(
   IF(_xlfn.XLOOKUP(Final_Sans_VGE[[#This Row],[ppn_z]],tbl_Historique_Final[ppn_z],tbl_Historique_Final[date_modif])=Final_Sans_VGE[[#This Row],[date_modif]],
      "Ancien",
      "Modifié"),
   "Nouveau"))</f>
        <v>#VALUE!</v>
      </c>
      <c r="AD5081" s="1" t="str">
        <f>IFERROR(IF(Final_Sans_VGE[[#This Row],[ppn_z]]="","",IFERROR(
   IF(_xlfn.XLOOKUP(Final_Sans_VGE[[#This Row],[ppn_z]],tbl_Historique_Final[[#This Row],[ppn_z]],tbl_Historique_Final[[#This Row],[date_modif]])=Final_Sans_VGE[[#This Row],[date_modif]],
      "Ancien",
      "Modifié"),
   "Nouveau")),"")</f>
        <v/>
      </c>
    </row>
    <row r="5082" spans="24:30" x14ac:dyDescent="0.25">
      <c r="X5082" s="8" t="e">
        <f>IF(Final_Sans_VGE[[#This Row],[ppn_z]]="","",IFERROR(
   IF(_xlfn.XLOOKUP(Final_Sans_VGE[[#This Row],[ppn_z]],tbl_Historique_Final[ppn_z],tbl_Historique_Final[date_modif])=Final_Sans_VGE[[#This Row],[date_modif]],
      "Ancien",
      "Modifié"),
   "Nouveau"))</f>
        <v>#VALUE!</v>
      </c>
      <c r="AD5082" s="1" t="str">
        <f>IFERROR(IF(Final_Sans_VGE[[#This Row],[ppn_z]]="","",IFERROR(
   IF(_xlfn.XLOOKUP(Final_Sans_VGE[[#This Row],[ppn_z]],tbl_Historique_Final[[#This Row],[ppn_z]],tbl_Historique_Final[[#This Row],[date_modif]])=Final_Sans_VGE[[#This Row],[date_modif]],
      "Ancien",
      "Modifié"),
   "Nouveau")),"")</f>
        <v/>
      </c>
    </row>
    <row r="5083" spans="24:30" x14ac:dyDescent="0.25">
      <c r="X5083" s="8" t="e">
        <f>IF(Final_Sans_VGE[[#This Row],[ppn_z]]="","",IFERROR(
   IF(_xlfn.XLOOKUP(Final_Sans_VGE[[#This Row],[ppn_z]],tbl_Historique_Final[ppn_z],tbl_Historique_Final[date_modif])=Final_Sans_VGE[[#This Row],[date_modif]],
      "Ancien",
      "Modifié"),
   "Nouveau"))</f>
        <v>#VALUE!</v>
      </c>
      <c r="AD5083" s="1" t="str">
        <f>IFERROR(IF(Final_Sans_VGE[[#This Row],[ppn_z]]="","",IFERROR(
   IF(_xlfn.XLOOKUP(Final_Sans_VGE[[#This Row],[ppn_z]],tbl_Historique_Final[[#This Row],[ppn_z]],tbl_Historique_Final[[#This Row],[date_modif]])=Final_Sans_VGE[[#This Row],[date_modif]],
      "Ancien",
      "Modifié"),
   "Nouveau")),"")</f>
        <v/>
      </c>
    </row>
    <row r="5084" spans="24:30" x14ac:dyDescent="0.25">
      <c r="X5084" s="8" t="e">
        <f>IF(Final_Sans_VGE[[#This Row],[ppn_z]]="","",IFERROR(
   IF(_xlfn.XLOOKUP(Final_Sans_VGE[[#This Row],[ppn_z]],tbl_Historique_Final[ppn_z],tbl_Historique_Final[date_modif])=Final_Sans_VGE[[#This Row],[date_modif]],
      "Ancien",
      "Modifié"),
   "Nouveau"))</f>
        <v>#VALUE!</v>
      </c>
      <c r="AD5084" s="1" t="str">
        <f>IFERROR(IF(Final_Sans_VGE[[#This Row],[ppn_z]]="","",IFERROR(
   IF(_xlfn.XLOOKUP(Final_Sans_VGE[[#This Row],[ppn_z]],tbl_Historique_Final[[#This Row],[ppn_z]],tbl_Historique_Final[[#This Row],[date_modif]])=Final_Sans_VGE[[#This Row],[date_modif]],
      "Ancien",
      "Modifié"),
   "Nouveau")),"")</f>
        <v/>
      </c>
    </row>
    <row r="5085" spans="24:30" x14ac:dyDescent="0.25">
      <c r="X5085" s="8" t="e">
        <f>IF(Final_Sans_VGE[[#This Row],[ppn_z]]="","",IFERROR(
   IF(_xlfn.XLOOKUP(Final_Sans_VGE[[#This Row],[ppn_z]],tbl_Historique_Final[ppn_z],tbl_Historique_Final[date_modif])=Final_Sans_VGE[[#This Row],[date_modif]],
      "Ancien",
      "Modifié"),
   "Nouveau"))</f>
        <v>#VALUE!</v>
      </c>
      <c r="AD5085" s="1" t="str">
        <f>IFERROR(IF(Final_Sans_VGE[[#This Row],[ppn_z]]="","",IFERROR(
   IF(_xlfn.XLOOKUP(Final_Sans_VGE[[#This Row],[ppn_z]],tbl_Historique_Final[[#This Row],[ppn_z]],tbl_Historique_Final[[#This Row],[date_modif]])=Final_Sans_VGE[[#This Row],[date_modif]],
      "Ancien",
      "Modifié"),
   "Nouveau")),"")</f>
        <v/>
      </c>
    </row>
    <row r="5086" spans="24:30" x14ac:dyDescent="0.25">
      <c r="X5086" s="8" t="e">
        <f>IF(Final_Sans_VGE[[#This Row],[ppn_z]]="","",IFERROR(
   IF(_xlfn.XLOOKUP(Final_Sans_VGE[[#This Row],[ppn_z]],tbl_Historique_Final[ppn_z],tbl_Historique_Final[date_modif])=Final_Sans_VGE[[#This Row],[date_modif]],
      "Ancien",
      "Modifié"),
   "Nouveau"))</f>
        <v>#VALUE!</v>
      </c>
      <c r="AD5086" s="1" t="str">
        <f>IFERROR(IF(Final_Sans_VGE[[#This Row],[ppn_z]]="","",IFERROR(
   IF(_xlfn.XLOOKUP(Final_Sans_VGE[[#This Row],[ppn_z]],tbl_Historique_Final[[#This Row],[ppn_z]],tbl_Historique_Final[[#This Row],[date_modif]])=Final_Sans_VGE[[#This Row],[date_modif]],
      "Ancien",
      "Modifié"),
   "Nouveau")),"")</f>
        <v/>
      </c>
    </row>
    <row r="5087" spans="24:30" x14ac:dyDescent="0.25">
      <c r="X5087" s="8" t="e">
        <f>IF(Final_Sans_VGE[[#This Row],[ppn_z]]="","",IFERROR(
   IF(_xlfn.XLOOKUP(Final_Sans_VGE[[#This Row],[ppn_z]],tbl_Historique_Final[ppn_z],tbl_Historique_Final[date_modif])=Final_Sans_VGE[[#This Row],[date_modif]],
      "Ancien",
      "Modifié"),
   "Nouveau"))</f>
        <v>#VALUE!</v>
      </c>
      <c r="AD5087" s="1" t="str">
        <f>IFERROR(IF(Final_Sans_VGE[[#This Row],[ppn_z]]="","",IFERROR(
   IF(_xlfn.XLOOKUP(Final_Sans_VGE[[#This Row],[ppn_z]],tbl_Historique_Final[[#This Row],[ppn_z]],tbl_Historique_Final[[#This Row],[date_modif]])=Final_Sans_VGE[[#This Row],[date_modif]],
      "Ancien",
      "Modifié"),
   "Nouveau")),"")</f>
        <v/>
      </c>
    </row>
    <row r="5088" spans="24:30" x14ac:dyDescent="0.25">
      <c r="X5088" s="8" t="e">
        <f>IF(Final_Sans_VGE[[#This Row],[ppn_z]]="","",IFERROR(
   IF(_xlfn.XLOOKUP(Final_Sans_VGE[[#This Row],[ppn_z]],tbl_Historique_Final[ppn_z],tbl_Historique_Final[date_modif])=Final_Sans_VGE[[#This Row],[date_modif]],
      "Ancien",
      "Modifié"),
   "Nouveau"))</f>
        <v>#VALUE!</v>
      </c>
      <c r="AD5088" s="1" t="str">
        <f>IFERROR(IF(Final_Sans_VGE[[#This Row],[ppn_z]]="","",IFERROR(
   IF(_xlfn.XLOOKUP(Final_Sans_VGE[[#This Row],[ppn_z]],tbl_Historique_Final[[#This Row],[ppn_z]],tbl_Historique_Final[[#This Row],[date_modif]])=Final_Sans_VGE[[#This Row],[date_modif]],
      "Ancien",
      "Modifié"),
   "Nouveau")),"")</f>
        <v/>
      </c>
    </row>
    <row r="5089" spans="24:30" x14ac:dyDescent="0.25">
      <c r="X5089" s="8" t="e">
        <f>IF(Final_Sans_VGE[[#This Row],[ppn_z]]="","",IFERROR(
   IF(_xlfn.XLOOKUP(Final_Sans_VGE[[#This Row],[ppn_z]],tbl_Historique_Final[ppn_z],tbl_Historique_Final[date_modif])=Final_Sans_VGE[[#This Row],[date_modif]],
      "Ancien",
      "Modifié"),
   "Nouveau"))</f>
        <v>#VALUE!</v>
      </c>
      <c r="AD5089" s="1" t="str">
        <f>IFERROR(IF(Final_Sans_VGE[[#This Row],[ppn_z]]="","",IFERROR(
   IF(_xlfn.XLOOKUP(Final_Sans_VGE[[#This Row],[ppn_z]],tbl_Historique_Final[[#This Row],[ppn_z]],tbl_Historique_Final[[#This Row],[date_modif]])=Final_Sans_VGE[[#This Row],[date_modif]],
      "Ancien",
      "Modifié"),
   "Nouveau")),"")</f>
        <v/>
      </c>
    </row>
    <row r="5090" spans="24:30" x14ac:dyDescent="0.25">
      <c r="X5090" s="8" t="e">
        <f>IF(Final_Sans_VGE[[#This Row],[ppn_z]]="","",IFERROR(
   IF(_xlfn.XLOOKUP(Final_Sans_VGE[[#This Row],[ppn_z]],tbl_Historique_Final[ppn_z],tbl_Historique_Final[date_modif])=Final_Sans_VGE[[#This Row],[date_modif]],
      "Ancien",
      "Modifié"),
   "Nouveau"))</f>
        <v>#VALUE!</v>
      </c>
      <c r="AD5090" s="1" t="str">
        <f>IFERROR(IF(Final_Sans_VGE[[#This Row],[ppn_z]]="","",IFERROR(
   IF(_xlfn.XLOOKUP(Final_Sans_VGE[[#This Row],[ppn_z]],tbl_Historique_Final[[#This Row],[ppn_z]],tbl_Historique_Final[[#This Row],[date_modif]])=Final_Sans_VGE[[#This Row],[date_modif]],
      "Ancien",
      "Modifié"),
   "Nouveau")),"")</f>
        <v/>
      </c>
    </row>
    <row r="5091" spans="24:30" x14ac:dyDescent="0.25">
      <c r="X5091" s="8" t="e">
        <f>IF(Final_Sans_VGE[[#This Row],[ppn_z]]="","",IFERROR(
   IF(_xlfn.XLOOKUP(Final_Sans_VGE[[#This Row],[ppn_z]],tbl_Historique_Final[ppn_z],tbl_Historique_Final[date_modif])=Final_Sans_VGE[[#This Row],[date_modif]],
      "Ancien",
      "Modifié"),
   "Nouveau"))</f>
        <v>#VALUE!</v>
      </c>
      <c r="AD5091" s="1" t="str">
        <f>IFERROR(IF(Final_Sans_VGE[[#This Row],[ppn_z]]="","",IFERROR(
   IF(_xlfn.XLOOKUP(Final_Sans_VGE[[#This Row],[ppn_z]],tbl_Historique_Final[[#This Row],[ppn_z]],tbl_Historique_Final[[#This Row],[date_modif]])=Final_Sans_VGE[[#This Row],[date_modif]],
      "Ancien",
      "Modifié"),
   "Nouveau")),"")</f>
        <v/>
      </c>
    </row>
    <row r="5092" spans="24:30" x14ac:dyDescent="0.25">
      <c r="X5092" s="8" t="e">
        <f>IF(Final_Sans_VGE[[#This Row],[ppn_z]]="","",IFERROR(
   IF(_xlfn.XLOOKUP(Final_Sans_VGE[[#This Row],[ppn_z]],tbl_Historique_Final[ppn_z],tbl_Historique_Final[date_modif])=Final_Sans_VGE[[#This Row],[date_modif]],
      "Ancien",
      "Modifié"),
   "Nouveau"))</f>
        <v>#VALUE!</v>
      </c>
      <c r="AD5092" s="1" t="str">
        <f>IFERROR(IF(Final_Sans_VGE[[#This Row],[ppn_z]]="","",IFERROR(
   IF(_xlfn.XLOOKUP(Final_Sans_VGE[[#This Row],[ppn_z]],tbl_Historique_Final[[#This Row],[ppn_z]],tbl_Historique_Final[[#This Row],[date_modif]])=Final_Sans_VGE[[#This Row],[date_modif]],
      "Ancien",
      "Modifié"),
   "Nouveau")),"")</f>
        <v/>
      </c>
    </row>
    <row r="5093" spans="24:30" x14ac:dyDescent="0.25">
      <c r="X5093" s="8" t="e">
        <f>IF(Final_Sans_VGE[[#This Row],[ppn_z]]="","",IFERROR(
   IF(_xlfn.XLOOKUP(Final_Sans_VGE[[#This Row],[ppn_z]],tbl_Historique_Final[ppn_z],tbl_Historique_Final[date_modif])=Final_Sans_VGE[[#This Row],[date_modif]],
      "Ancien",
      "Modifié"),
   "Nouveau"))</f>
        <v>#VALUE!</v>
      </c>
      <c r="AD5093" s="1" t="str">
        <f>IFERROR(IF(Final_Sans_VGE[[#This Row],[ppn_z]]="","",IFERROR(
   IF(_xlfn.XLOOKUP(Final_Sans_VGE[[#This Row],[ppn_z]],tbl_Historique_Final[[#This Row],[ppn_z]],tbl_Historique_Final[[#This Row],[date_modif]])=Final_Sans_VGE[[#This Row],[date_modif]],
      "Ancien",
      "Modifié"),
   "Nouveau")),"")</f>
        <v/>
      </c>
    </row>
    <row r="5094" spans="24:30" x14ac:dyDescent="0.25">
      <c r="X5094" s="8" t="e">
        <f>IF(Final_Sans_VGE[[#This Row],[ppn_z]]="","",IFERROR(
   IF(_xlfn.XLOOKUP(Final_Sans_VGE[[#This Row],[ppn_z]],tbl_Historique_Final[ppn_z],tbl_Historique_Final[date_modif])=Final_Sans_VGE[[#This Row],[date_modif]],
      "Ancien",
      "Modifié"),
   "Nouveau"))</f>
        <v>#VALUE!</v>
      </c>
      <c r="AD5094" s="1" t="str">
        <f>IFERROR(IF(Final_Sans_VGE[[#This Row],[ppn_z]]="","",IFERROR(
   IF(_xlfn.XLOOKUP(Final_Sans_VGE[[#This Row],[ppn_z]],tbl_Historique_Final[[#This Row],[ppn_z]],tbl_Historique_Final[[#This Row],[date_modif]])=Final_Sans_VGE[[#This Row],[date_modif]],
      "Ancien",
      "Modifié"),
   "Nouveau")),"")</f>
        <v/>
      </c>
    </row>
    <row r="5095" spans="24:30" x14ac:dyDescent="0.25">
      <c r="X5095" s="8" t="e">
        <f>IF(Final_Sans_VGE[[#This Row],[ppn_z]]="","",IFERROR(
   IF(_xlfn.XLOOKUP(Final_Sans_VGE[[#This Row],[ppn_z]],tbl_Historique_Final[ppn_z],tbl_Historique_Final[date_modif])=Final_Sans_VGE[[#This Row],[date_modif]],
      "Ancien",
      "Modifié"),
   "Nouveau"))</f>
        <v>#VALUE!</v>
      </c>
      <c r="AD5095" s="1" t="str">
        <f>IFERROR(IF(Final_Sans_VGE[[#This Row],[ppn_z]]="","",IFERROR(
   IF(_xlfn.XLOOKUP(Final_Sans_VGE[[#This Row],[ppn_z]],tbl_Historique_Final[[#This Row],[ppn_z]],tbl_Historique_Final[[#This Row],[date_modif]])=Final_Sans_VGE[[#This Row],[date_modif]],
      "Ancien",
      "Modifié"),
   "Nouveau")),"")</f>
        <v/>
      </c>
    </row>
    <row r="5096" spans="24:30" x14ac:dyDescent="0.25">
      <c r="X5096" s="8" t="e">
        <f>IF(Final_Sans_VGE[[#This Row],[ppn_z]]="","",IFERROR(
   IF(_xlfn.XLOOKUP(Final_Sans_VGE[[#This Row],[ppn_z]],tbl_Historique_Final[ppn_z],tbl_Historique_Final[date_modif])=Final_Sans_VGE[[#This Row],[date_modif]],
      "Ancien",
      "Modifié"),
   "Nouveau"))</f>
        <v>#VALUE!</v>
      </c>
      <c r="AD5096" s="1" t="str">
        <f>IFERROR(IF(Final_Sans_VGE[[#This Row],[ppn_z]]="","",IFERROR(
   IF(_xlfn.XLOOKUP(Final_Sans_VGE[[#This Row],[ppn_z]],tbl_Historique_Final[[#This Row],[ppn_z]],tbl_Historique_Final[[#This Row],[date_modif]])=Final_Sans_VGE[[#This Row],[date_modif]],
      "Ancien",
      "Modifié"),
   "Nouveau")),"")</f>
        <v/>
      </c>
    </row>
    <row r="5097" spans="24:30" x14ac:dyDescent="0.25">
      <c r="X5097" s="8" t="e">
        <f>IF(Final_Sans_VGE[[#This Row],[ppn_z]]="","",IFERROR(
   IF(_xlfn.XLOOKUP(Final_Sans_VGE[[#This Row],[ppn_z]],tbl_Historique_Final[ppn_z],tbl_Historique_Final[date_modif])=Final_Sans_VGE[[#This Row],[date_modif]],
      "Ancien",
      "Modifié"),
   "Nouveau"))</f>
        <v>#VALUE!</v>
      </c>
      <c r="AD5097" s="1" t="str">
        <f>IFERROR(IF(Final_Sans_VGE[[#This Row],[ppn_z]]="","",IFERROR(
   IF(_xlfn.XLOOKUP(Final_Sans_VGE[[#This Row],[ppn_z]],tbl_Historique_Final[[#This Row],[ppn_z]],tbl_Historique_Final[[#This Row],[date_modif]])=Final_Sans_VGE[[#This Row],[date_modif]],
      "Ancien",
      "Modifié"),
   "Nouveau")),"")</f>
        <v/>
      </c>
    </row>
    <row r="5098" spans="24:30" x14ac:dyDescent="0.25">
      <c r="X5098" s="8" t="e">
        <f>IF(Final_Sans_VGE[[#This Row],[ppn_z]]="","",IFERROR(
   IF(_xlfn.XLOOKUP(Final_Sans_VGE[[#This Row],[ppn_z]],tbl_Historique_Final[ppn_z],tbl_Historique_Final[date_modif])=Final_Sans_VGE[[#This Row],[date_modif]],
      "Ancien",
      "Modifié"),
   "Nouveau"))</f>
        <v>#VALUE!</v>
      </c>
      <c r="AD5098" s="1" t="str">
        <f>IFERROR(IF(Final_Sans_VGE[[#This Row],[ppn_z]]="","",IFERROR(
   IF(_xlfn.XLOOKUP(Final_Sans_VGE[[#This Row],[ppn_z]],tbl_Historique_Final[[#This Row],[ppn_z]],tbl_Historique_Final[[#This Row],[date_modif]])=Final_Sans_VGE[[#This Row],[date_modif]],
      "Ancien",
      "Modifié"),
   "Nouveau")),"")</f>
        <v/>
      </c>
    </row>
    <row r="5099" spans="24:30" x14ac:dyDescent="0.25">
      <c r="X5099" s="8" t="e">
        <f>IF(Final_Sans_VGE[[#This Row],[ppn_z]]="","",IFERROR(
   IF(_xlfn.XLOOKUP(Final_Sans_VGE[[#This Row],[ppn_z]],tbl_Historique_Final[ppn_z],tbl_Historique_Final[date_modif])=Final_Sans_VGE[[#This Row],[date_modif]],
      "Ancien",
      "Modifié"),
   "Nouveau"))</f>
        <v>#VALUE!</v>
      </c>
      <c r="AD5099" s="1" t="str">
        <f>IFERROR(IF(Final_Sans_VGE[[#This Row],[ppn_z]]="","",IFERROR(
   IF(_xlfn.XLOOKUP(Final_Sans_VGE[[#This Row],[ppn_z]],tbl_Historique_Final[[#This Row],[ppn_z]],tbl_Historique_Final[[#This Row],[date_modif]])=Final_Sans_VGE[[#This Row],[date_modif]],
      "Ancien",
      "Modifié"),
   "Nouveau")),"")</f>
        <v/>
      </c>
    </row>
    <row r="5100" spans="24:30" x14ac:dyDescent="0.25">
      <c r="X5100" s="8" t="e">
        <f>IF(Final_Sans_VGE[[#This Row],[ppn_z]]="","",IFERROR(
   IF(_xlfn.XLOOKUP(Final_Sans_VGE[[#This Row],[ppn_z]],tbl_Historique_Final[ppn_z],tbl_Historique_Final[date_modif])=Final_Sans_VGE[[#This Row],[date_modif]],
      "Ancien",
      "Modifié"),
   "Nouveau"))</f>
        <v>#VALUE!</v>
      </c>
      <c r="AD5100" s="1" t="str">
        <f>IFERROR(IF(Final_Sans_VGE[[#This Row],[ppn_z]]="","",IFERROR(
   IF(_xlfn.XLOOKUP(Final_Sans_VGE[[#This Row],[ppn_z]],tbl_Historique_Final[[#This Row],[ppn_z]],tbl_Historique_Final[[#This Row],[date_modif]])=Final_Sans_VGE[[#This Row],[date_modif]],
      "Ancien",
      "Modifié"),
   "Nouveau")),"")</f>
        <v/>
      </c>
    </row>
    <row r="5101" spans="24:30" x14ac:dyDescent="0.25">
      <c r="X5101" s="8" t="e">
        <f>IF(Final_Sans_VGE[[#This Row],[ppn_z]]="","",IFERROR(
   IF(_xlfn.XLOOKUP(Final_Sans_VGE[[#This Row],[ppn_z]],tbl_Historique_Final[ppn_z],tbl_Historique_Final[date_modif])=Final_Sans_VGE[[#This Row],[date_modif]],
      "Ancien",
      "Modifié"),
   "Nouveau"))</f>
        <v>#VALUE!</v>
      </c>
      <c r="AD5101" s="1" t="str">
        <f>IFERROR(IF(Final_Sans_VGE[[#This Row],[ppn_z]]="","",IFERROR(
   IF(_xlfn.XLOOKUP(Final_Sans_VGE[[#This Row],[ppn_z]],tbl_Historique_Final[[#This Row],[ppn_z]],tbl_Historique_Final[[#This Row],[date_modif]])=Final_Sans_VGE[[#This Row],[date_modif]],
      "Ancien",
      "Modifié"),
   "Nouveau")),"")</f>
        <v/>
      </c>
    </row>
    <row r="5102" spans="24:30" x14ac:dyDescent="0.25">
      <c r="X5102" s="8" t="e">
        <f>IF(Final_Sans_VGE[[#This Row],[ppn_z]]="","",IFERROR(
   IF(_xlfn.XLOOKUP(Final_Sans_VGE[[#This Row],[ppn_z]],tbl_Historique_Final[ppn_z],tbl_Historique_Final[date_modif])=Final_Sans_VGE[[#This Row],[date_modif]],
      "Ancien",
      "Modifié"),
   "Nouveau"))</f>
        <v>#VALUE!</v>
      </c>
      <c r="AD5102" s="1" t="str">
        <f>IFERROR(IF(Final_Sans_VGE[[#This Row],[ppn_z]]="","",IFERROR(
   IF(_xlfn.XLOOKUP(Final_Sans_VGE[[#This Row],[ppn_z]],tbl_Historique_Final[[#This Row],[ppn_z]],tbl_Historique_Final[[#This Row],[date_modif]])=Final_Sans_VGE[[#This Row],[date_modif]],
      "Ancien",
      "Modifié"),
   "Nouveau")),"")</f>
        <v/>
      </c>
    </row>
    <row r="5103" spans="24:30" x14ac:dyDescent="0.25">
      <c r="X5103" s="8" t="e">
        <f>IF(Final_Sans_VGE[[#This Row],[ppn_z]]="","",IFERROR(
   IF(_xlfn.XLOOKUP(Final_Sans_VGE[[#This Row],[ppn_z]],tbl_Historique_Final[ppn_z],tbl_Historique_Final[date_modif])=Final_Sans_VGE[[#This Row],[date_modif]],
      "Ancien",
      "Modifié"),
   "Nouveau"))</f>
        <v>#VALUE!</v>
      </c>
      <c r="AD5103" s="1" t="str">
        <f>IFERROR(IF(Final_Sans_VGE[[#This Row],[ppn_z]]="","",IFERROR(
   IF(_xlfn.XLOOKUP(Final_Sans_VGE[[#This Row],[ppn_z]],tbl_Historique_Final[[#This Row],[ppn_z]],tbl_Historique_Final[[#This Row],[date_modif]])=Final_Sans_VGE[[#This Row],[date_modif]],
      "Ancien",
      "Modifié"),
   "Nouveau")),"")</f>
        <v/>
      </c>
    </row>
    <row r="5104" spans="24:30" x14ac:dyDescent="0.25">
      <c r="X5104" s="8" t="e">
        <f>IF(Final_Sans_VGE[[#This Row],[ppn_z]]="","",IFERROR(
   IF(_xlfn.XLOOKUP(Final_Sans_VGE[[#This Row],[ppn_z]],tbl_Historique_Final[ppn_z],tbl_Historique_Final[date_modif])=Final_Sans_VGE[[#This Row],[date_modif]],
      "Ancien",
      "Modifié"),
   "Nouveau"))</f>
        <v>#VALUE!</v>
      </c>
      <c r="AD5104" s="1" t="str">
        <f>IFERROR(IF(Final_Sans_VGE[[#This Row],[ppn_z]]="","",IFERROR(
   IF(_xlfn.XLOOKUP(Final_Sans_VGE[[#This Row],[ppn_z]],tbl_Historique_Final[[#This Row],[ppn_z]],tbl_Historique_Final[[#This Row],[date_modif]])=Final_Sans_VGE[[#This Row],[date_modif]],
      "Ancien",
      "Modifié"),
   "Nouveau")),"")</f>
        <v/>
      </c>
    </row>
    <row r="5105" spans="24:30" x14ac:dyDescent="0.25">
      <c r="X5105" s="8" t="e">
        <f>IF(Final_Sans_VGE[[#This Row],[ppn_z]]="","",IFERROR(
   IF(_xlfn.XLOOKUP(Final_Sans_VGE[[#This Row],[ppn_z]],tbl_Historique_Final[ppn_z],tbl_Historique_Final[date_modif])=Final_Sans_VGE[[#This Row],[date_modif]],
      "Ancien",
      "Modifié"),
   "Nouveau"))</f>
        <v>#VALUE!</v>
      </c>
      <c r="AD5105" s="1" t="str">
        <f>IFERROR(IF(Final_Sans_VGE[[#This Row],[ppn_z]]="","",IFERROR(
   IF(_xlfn.XLOOKUP(Final_Sans_VGE[[#This Row],[ppn_z]],tbl_Historique_Final[[#This Row],[ppn_z]],tbl_Historique_Final[[#This Row],[date_modif]])=Final_Sans_VGE[[#This Row],[date_modif]],
      "Ancien",
      "Modifié"),
   "Nouveau")),"")</f>
        <v/>
      </c>
    </row>
    <row r="5106" spans="24:30" x14ac:dyDescent="0.25">
      <c r="X5106" s="8" t="e">
        <f>IF(Final_Sans_VGE[[#This Row],[ppn_z]]="","",IFERROR(
   IF(_xlfn.XLOOKUP(Final_Sans_VGE[[#This Row],[ppn_z]],tbl_Historique_Final[ppn_z],tbl_Historique_Final[date_modif])=Final_Sans_VGE[[#This Row],[date_modif]],
      "Ancien",
      "Modifié"),
   "Nouveau"))</f>
        <v>#VALUE!</v>
      </c>
      <c r="AD5106" s="1" t="str">
        <f>IFERROR(IF(Final_Sans_VGE[[#This Row],[ppn_z]]="","",IFERROR(
   IF(_xlfn.XLOOKUP(Final_Sans_VGE[[#This Row],[ppn_z]],tbl_Historique_Final[[#This Row],[ppn_z]],tbl_Historique_Final[[#This Row],[date_modif]])=Final_Sans_VGE[[#This Row],[date_modif]],
      "Ancien",
      "Modifié"),
   "Nouveau")),"")</f>
        <v/>
      </c>
    </row>
    <row r="5107" spans="24:30" x14ac:dyDescent="0.25">
      <c r="X5107" s="8" t="e">
        <f>IF(Final_Sans_VGE[[#This Row],[ppn_z]]="","",IFERROR(
   IF(_xlfn.XLOOKUP(Final_Sans_VGE[[#This Row],[ppn_z]],tbl_Historique_Final[ppn_z],tbl_Historique_Final[date_modif])=Final_Sans_VGE[[#This Row],[date_modif]],
      "Ancien",
      "Modifié"),
   "Nouveau"))</f>
        <v>#VALUE!</v>
      </c>
      <c r="AD5107" s="1" t="str">
        <f>IFERROR(IF(Final_Sans_VGE[[#This Row],[ppn_z]]="","",IFERROR(
   IF(_xlfn.XLOOKUP(Final_Sans_VGE[[#This Row],[ppn_z]],tbl_Historique_Final[[#This Row],[ppn_z]],tbl_Historique_Final[[#This Row],[date_modif]])=Final_Sans_VGE[[#This Row],[date_modif]],
      "Ancien",
      "Modifié"),
   "Nouveau")),"")</f>
        <v/>
      </c>
    </row>
    <row r="5108" spans="24:30" x14ac:dyDescent="0.25">
      <c r="X5108" s="8" t="e">
        <f>IF(Final_Sans_VGE[[#This Row],[ppn_z]]="","",IFERROR(
   IF(_xlfn.XLOOKUP(Final_Sans_VGE[[#This Row],[ppn_z]],tbl_Historique_Final[ppn_z],tbl_Historique_Final[date_modif])=Final_Sans_VGE[[#This Row],[date_modif]],
      "Ancien",
      "Modifié"),
   "Nouveau"))</f>
        <v>#VALUE!</v>
      </c>
      <c r="AD5108" s="1" t="str">
        <f>IFERROR(IF(Final_Sans_VGE[[#This Row],[ppn_z]]="","",IFERROR(
   IF(_xlfn.XLOOKUP(Final_Sans_VGE[[#This Row],[ppn_z]],tbl_Historique_Final[[#This Row],[ppn_z]],tbl_Historique_Final[[#This Row],[date_modif]])=Final_Sans_VGE[[#This Row],[date_modif]],
      "Ancien",
      "Modifié"),
   "Nouveau")),"")</f>
        <v/>
      </c>
    </row>
    <row r="5109" spans="24:30" x14ac:dyDescent="0.25">
      <c r="X5109" s="8" t="e">
        <f>IF(Final_Sans_VGE[[#This Row],[ppn_z]]="","",IFERROR(
   IF(_xlfn.XLOOKUP(Final_Sans_VGE[[#This Row],[ppn_z]],tbl_Historique_Final[ppn_z],tbl_Historique_Final[date_modif])=Final_Sans_VGE[[#This Row],[date_modif]],
      "Ancien",
      "Modifié"),
   "Nouveau"))</f>
        <v>#VALUE!</v>
      </c>
      <c r="AD5109" s="1" t="str">
        <f>IFERROR(IF(Final_Sans_VGE[[#This Row],[ppn_z]]="","",IFERROR(
   IF(_xlfn.XLOOKUP(Final_Sans_VGE[[#This Row],[ppn_z]],tbl_Historique_Final[[#This Row],[ppn_z]],tbl_Historique_Final[[#This Row],[date_modif]])=Final_Sans_VGE[[#This Row],[date_modif]],
      "Ancien",
      "Modifié"),
   "Nouveau")),"")</f>
        <v/>
      </c>
    </row>
    <row r="5110" spans="24:30" x14ac:dyDescent="0.25">
      <c r="X5110" s="8" t="e">
        <f>IF(Final_Sans_VGE[[#This Row],[ppn_z]]="","",IFERROR(
   IF(_xlfn.XLOOKUP(Final_Sans_VGE[[#This Row],[ppn_z]],tbl_Historique_Final[ppn_z],tbl_Historique_Final[date_modif])=Final_Sans_VGE[[#This Row],[date_modif]],
      "Ancien",
      "Modifié"),
   "Nouveau"))</f>
        <v>#VALUE!</v>
      </c>
      <c r="AD5110" s="1" t="str">
        <f>IFERROR(IF(Final_Sans_VGE[[#This Row],[ppn_z]]="","",IFERROR(
   IF(_xlfn.XLOOKUP(Final_Sans_VGE[[#This Row],[ppn_z]],tbl_Historique_Final[[#This Row],[ppn_z]],tbl_Historique_Final[[#This Row],[date_modif]])=Final_Sans_VGE[[#This Row],[date_modif]],
      "Ancien",
      "Modifié"),
   "Nouveau")),"")</f>
        <v/>
      </c>
    </row>
    <row r="5111" spans="24:30" x14ac:dyDescent="0.25">
      <c r="X5111" s="8" t="e">
        <f>IF(Final_Sans_VGE[[#This Row],[ppn_z]]="","",IFERROR(
   IF(_xlfn.XLOOKUP(Final_Sans_VGE[[#This Row],[ppn_z]],tbl_Historique_Final[ppn_z],tbl_Historique_Final[date_modif])=Final_Sans_VGE[[#This Row],[date_modif]],
      "Ancien",
      "Modifié"),
   "Nouveau"))</f>
        <v>#VALUE!</v>
      </c>
      <c r="AD5111" s="1" t="str">
        <f>IFERROR(IF(Final_Sans_VGE[[#This Row],[ppn_z]]="","",IFERROR(
   IF(_xlfn.XLOOKUP(Final_Sans_VGE[[#This Row],[ppn_z]],tbl_Historique_Final[[#This Row],[ppn_z]],tbl_Historique_Final[[#This Row],[date_modif]])=Final_Sans_VGE[[#This Row],[date_modif]],
      "Ancien",
      "Modifié"),
   "Nouveau")),"")</f>
        <v/>
      </c>
    </row>
    <row r="5112" spans="24:30" x14ac:dyDescent="0.25">
      <c r="X5112" s="8" t="e">
        <f>IF(Final_Sans_VGE[[#This Row],[ppn_z]]="","",IFERROR(
   IF(_xlfn.XLOOKUP(Final_Sans_VGE[[#This Row],[ppn_z]],tbl_Historique_Final[ppn_z],tbl_Historique_Final[date_modif])=Final_Sans_VGE[[#This Row],[date_modif]],
      "Ancien",
      "Modifié"),
   "Nouveau"))</f>
        <v>#VALUE!</v>
      </c>
      <c r="AD5112" s="1" t="str">
        <f>IFERROR(IF(Final_Sans_VGE[[#This Row],[ppn_z]]="","",IFERROR(
   IF(_xlfn.XLOOKUP(Final_Sans_VGE[[#This Row],[ppn_z]],tbl_Historique_Final[[#This Row],[ppn_z]],tbl_Historique_Final[[#This Row],[date_modif]])=Final_Sans_VGE[[#This Row],[date_modif]],
      "Ancien",
      "Modifié"),
   "Nouveau")),"")</f>
        <v/>
      </c>
    </row>
    <row r="5113" spans="24:30" x14ac:dyDescent="0.25">
      <c r="X5113" s="8" t="e">
        <f>IF(Final_Sans_VGE[[#This Row],[ppn_z]]="","",IFERROR(
   IF(_xlfn.XLOOKUP(Final_Sans_VGE[[#This Row],[ppn_z]],tbl_Historique_Final[ppn_z],tbl_Historique_Final[date_modif])=Final_Sans_VGE[[#This Row],[date_modif]],
      "Ancien",
      "Modifié"),
   "Nouveau"))</f>
        <v>#VALUE!</v>
      </c>
      <c r="AD5113" s="1" t="str">
        <f>IFERROR(IF(Final_Sans_VGE[[#This Row],[ppn_z]]="","",IFERROR(
   IF(_xlfn.XLOOKUP(Final_Sans_VGE[[#This Row],[ppn_z]],tbl_Historique_Final[[#This Row],[ppn_z]],tbl_Historique_Final[[#This Row],[date_modif]])=Final_Sans_VGE[[#This Row],[date_modif]],
      "Ancien",
      "Modifié"),
   "Nouveau")),"")</f>
        <v/>
      </c>
    </row>
    <row r="5114" spans="24:30" x14ac:dyDescent="0.25">
      <c r="X5114" s="8" t="e">
        <f>IF(Final_Sans_VGE[[#This Row],[ppn_z]]="","",IFERROR(
   IF(_xlfn.XLOOKUP(Final_Sans_VGE[[#This Row],[ppn_z]],tbl_Historique_Final[ppn_z],tbl_Historique_Final[date_modif])=Final_Sans_VGE[[#This Row],[date_modif]],
      "Ancien",
      "Modifié"),
   "Nouveau"))</f>
        <v>#VALUE!</v>
      </c>
      <c r="AD5114" s="1" t="str">
        <f>IFERROR(IF(Final_Sans_VGE[[#This Row],[ppn_z]]="","",IFERROR(
   IF(_xlfn.XLOOKUP(Final_Sans_VGE[[#This Row],[ppn_z]],tbl_Historique_Final[[#This Row],[ppn_z]],tbl_Historique_Final[[#This Row],[date_modif]])=Final_Sans_VGE[[#This Row],[date_modif]],
      "Ancien",
      "Modifié"),
   "Nouveau")),"")</f>
        <v/>
      </c>
    </row>
    <row r="5115" spans="24:30" x14ac:dyDescent="0.25">
      <c r="X5115" s="8" t="e">
        <f>IF(Final_Sans_VGE[[#This Row],[ppn_z]]="","",IFERROR(
   IF(_xlfn.XLOOKUP(Final_Sans_VGE[[#This Row],[ppn_z]],tbl_Historique_Final[ppn_z],tbl_Historique_Final[date_modif])=Final_Sans_VGE[[#This Row],[date_modif]],
      "Ancien",
      "Modifié"),
   "Nouveau"))</f>
        <v>#VALUE!</v>
      </c>
      <c r="AD5115" s="1" t="str">
        <f>IFERROR(IF(Final_Sans_VGE[[#This Row],[ppn_z]]="","",IFERROR(
   IF(_xlfn.XLOOKUP(Final_Sans_VGE[[#This Row],[ppn_z]],tbl_Historique_Final[[#This Row],[ppn_z]],tbl_Historique_Final[[#This Row],[date_modif]])=Final_Sans_VGE[[#This Row],[date_modif]],
      "Ancien",
      "Modifié"),
   "Nouveau")),"")</f>
        <v/>
      </c>
    </row>
    <row r="5116" spans="24:30" x14ac:dyDescent="0.25">
      <c r="X5116" s="8" t="e">
        <f>IF(Final_Sans_VGE[[#This Row],[ppn_z]]="","",IFERROR(
   IF(_xlfn.XLOOKUP(Final_Sans_VGE[[#This Row],[ppn_z]],tbl_Historique_Final[ppn_z],tbl_Historique_Final[date_modif])=Final_Sans_VGE[[#This Row],[date_modif]],
      "Ancien",
      "Modifié"),
   "Nouveau"))</f>
        <v>#VALUE!</v>
      </c>
      <c r="AD5116" s="1" t="str">
        <f>IFERROR(IF(Final_Sans_VGE[[#This Row],[ppn_z]]="","",IFERROR(
   IF(_xlfn.XLOOKUP(Final_Sans_VGE[[#This Row],[ppn_z]],tbl_Historique_Final[[#This Row],[ppn_z]],tbl_Historique_Final[[#This Row],[date_modif]])=Final_Sans_VGE[[#This Row],[date_modif]],
      "Ancien",
      "Modifié"),
   "Nouveau")),"")</f>
        <v/>
      </c>
    </row>
    <row r="5117" spans="24:30" x14ac:dyDescent="0.25">
      <c r="X5117" s="8" t="e">
        <f>IF(Final_Sans_VGE[[#This Row],[ppn_z]]="","",IFERROR(
   IF(_xlfn.XLOOKUP(Final_Sans_VGE[[#This Row],[ppn_z]],tbl_Historique_Final[ppn_z],tbl_Historique_Final[date_modif])=Final_Sans_VGE[[#This Row],[date_modif]],
      "Ancien",
      "Modifié"),
   "Nouveau"))</f>
        <v>#VALUE!</v>
      </c>
      <c r="AD5117" s="1" t="str">
        <f>IFERROR(IF(Final_Sans_VGE[[#This Row],[ppn_z]]="","",IFERROR(
   IF(_xlfn.XLOOKUP(Final_Sans_VGE[[#This Row],[ppn_z]],tbl_Historique_Final[[#This Row],[ppn_z]],tbl_Historique_Final[[#This Row],[date_modif]])=Final_Sans_VGE[[#This Row],[date_modif]],
      "Ancien",
      "Modifié"),
   "Nouveau")),"")</f>
        <v/>
      </c>
    </row>
    <row r="5118" spans="24:30" x14ac:dyDescent="0.25">
      <c r="X5118" s="8" t="e">
        <f>IF(Final_Sans_VGE[[#This Row],[ppn_z]]="","",IFERROR(
   IF(_xlfn.XLOOKUP(Final_Sans_VGE[[#This Row],[ppn_z]],tbl_Historique_Final[ppn_z],tbl_Historique_Final[date_modif])=Final_Sans_VGE[[#This Row],[date_modif]],
      "Ancien",
      "Modifié"),
   "Nouveau"))</f>
        <v>#VALUE!</v>
      </c>
      <c r="AD5118" s="1" t="str">
        <f>IFERROR(IF(Final_Sans_VGE[[#This Row],[ppn_z]]="","",IFERROR(
   IF(_xlfn.XLOOKUP(Final_Sans_VGE[[#This Row],[ppn_z]],tbl_Historique_Final[[#This Row],[ppn_z]],tbl_Historique_Final[[#This Row],[date_modif]])=Final_Sans_VGE[[#This Row],[date_modif]],
      "Ancien",
      "Modifié"),
   "Nouveau")),"")</f>
        <v/>
      </c>
    </row>
    <row r="5119" spans="24:30" x14ac:dyDescent="0.25">
      <c r="X5119" s="8" t="e">
        <f>IF(Final_Sans_VGE[[#This Row],[ppn_z]]="","",IFERROR(
   IF(_xlfn.XLOOKUP(Final_Sans_VGE[[#This Row],[ppn_z]],tbl_Historique_Final[ppn_z],tbl_Historique_Final[date_modif])=Final_Sans_VGE[[#This Row],[date_modif]],
      "Ancien",
      "Modifié"),
   "Nouveau"))</f>
        <v>#VALUE!</v>
      </c>
      <c r="AD5119" s="1" t="str">
        <f>IFERROR(IF(Final_Sans_VGE[[#This Row],[ppn_z]]="","",IFERROR(
   IF(_xlfn.XLOOKUP(Final_Sans_VGE[[#This Row],[ppn_z]],tbl_Historique_Final[[#This Row],[ppn_z]],tbl_Historique_Final[[#This Row],[date_modif]])=Final_Sans_VGE[[#This Row],[date_modif]],
      "Ancien",
      "Modifié"),
   "Nouveau")),"")</f>
        <v/>
      </c>
    </row>
    <row r="5120" spans="24:30" x14ac:dyDescent="0.25">
      <c r="X5120" s="8" t="e">
        <f>IF(Final_Sans_VGE[[#This Row],[ppn_z]]="","",IFERROR(
   IF(_xlfn.XLOOKUP(Final_Sans_VGE[[#This Row],[ppn_z]],tbl_Historique_Final[ppn_z],tbl_Historique_Final[date_modif])=Final_Sans_VGE[[#This Row],[date_modif]],
      "Ancien",
      "Modifié"),
   "Nouveau"))</f>
        <v>#VALUE!</v>
      </c>
      <c r="AD5120" s="1" t="str">
        <f>IFERROR(IF(Final_Sans_VGE[[#This Row],[ppn_z]]="","",IFERROR(
   IF(_xlfn.XLOOKUP(Final_Sans_VGE[[#This Row],[ppn_z]],tbl_Historique_Final[[#This Row],[ppn_z]],tbl_Historique_Final[[#This Row],[date_modif]])=Final_Sans_VGE[[#This Row],[date_modif]],
      "Ancien",
      "Modifié"),
   "Nouveau")),"")</f>
        <v/>
      </c>
    </row>
    <row r="5121" spans="24:30" x14ac:dyDescent="0.25">
      <c r="X5121" s="8" t="e">
        <f>IF(Final_Sans_VGE[[#This Row],[ppn_z]]="","",IFERROR(
   IF(_xlfn.XLOOKUP(Final_Sans_VGE[[#This Row],[ppn_z]],tbl_Historique_Final[ppn_z],tbl_Historique_Final[date_modif])=Final_Sans_VGE[[#This Row],[date_modif]],
      "Ancien",
      "Modifié"),
   "Nouveau"))</f>
        <v>#VALUE!</v>
      </c>
      <c r="AD5121" s="1" t="str">
        <f>IFERROR(IF(Final_Sans_VGE[[#This Row],[ppn_z]]="","",IFERROR(
   IF(_xlfn.XLOOKUP(Final_Sans_VGE[[#This Row],[ppn_z]],tbl_Historique_Final[[#This Row],[ppn_z]],tbl_Historique_Final[[#This Row],[date_modif]])=Final_Sans_VGE[[#This Row],[date_modif]],
      "Ancien",
      "Modifié"),
   "Nouveau")),"")</f>
        <v/>
      </c>
    </row>
    <row r="5122" spans="24:30" x14ac:dyDescent="0.25">
      <c r="X5122" s="8" t="e">
        <f>IF(Final_Sans_VGE[[#This Row],[ppn_z]]="","",IFERROR(
   IF(_xlfn.XLOOKUP(Final_Sans_VGE[[#This Row],[ppn_z]],tbl_Historique_Final[ppn_z],tbl_Historique_Final[date_modif])=Final_Sans_VGE[[#This Row],[date_modif]],
      "Ancien",
      "Modifié"),
   "Nouveau"))</f>
        <v>#VALUE!</v>
      </c>
      <c r="AD5122" s="1" t="str">
        <f>IFERROR(IF(Final_Sans_VGE[[#This Row],[ppn_z]]="","",IFERROR(
   IF(_xlfn.XLOOKUP(Final_Sans_VGE[[#This Row],[ppn_z]],tbl_Historique_Final[[#This Row],[ppn_z]],tbl_Historique_Final[[#This Row],[date_modif]])=Final_Sans_VGE[[#This Row],[date_modif]],
      "Ancien",
      "Modifié"),
   "Nouveau")),"")</f>
        <v/>
      </c>
    </row>
    <row r="5123" spans="24:30" x14ac:dyDescent="0.25">
      <c r="X5123" s="8" t="e">
        <f>IF(Final_Sans_VGE[[#This Row],[ppn_z]]="","",IFERROR(
   IF(_xlfn.XLOOKUP(Final_Sans_VGE[[#This Row],[ppn_z]],tbl_Historique_Final[ppn_z],tbl_Historique_Final[date_modif])=Final_Sans_VGE[[#This Row],[date_modif]],
      "Ancien",
      "Modifié"),
   "Nouveau"))</f>
        <v>#VALUE!</v>
      </c>
      <c r="AD5123" s="1" t="str">
        <f>IFERROR(IF(Final_Sans_VGE[[#This Row],[ppn_z]]="","",IFERROR(
   IF(_xlfn.XLOOKUP(Final_Sans_VGE[[#This Row],[ppn_z]],tbl_Historique_Final[[#This Row],[ppn_z]],tbl_Historique_Final[[#This Row],[date_modif]])=Final_Sans_VGE[[#This Row],[date_modif]],
      "Ancien",
      "Modifié"),
   "Nouveau")),"")</f>
        <v/>
      </c>
    </row>
    <row r="5124" spans="24:30" x14ac:dyDescent="0.25">
      <c r="X5124" s="8" t="e">
        <f>IF(Final_Sans_VGE[[#This Row],[ppn_z]]="","",IFERROR(
   IF(_xlfn.XLOOKUP(Final_Sans_VGE[[#This Row],[ppn_z]],tbl_Historique_Final[ppn_z],tbl_Historique_Final[date_modif])=Final_Sans_VGE[[#This Row],[date_modif]],
      "Ancien",
      "Modifié"),
   "Nouveau"))</f>
        <v>#VALUE!</v>
      </c>
      <c r="AD5124" s="1" t="str">
        <f>IFERROR(IF(Final_Sans_VGE[[#This Row],[ppn_z]]="","",IFERROR(
   IF(_xlfn.XLOOKUP(Final_Sans_VGE[[#This Row],[ppn_z]],tbl_Historique_Final[[#This Row],[ppn_z]],tbl_Historique_Final[[#This Row],[date_modif]])=Final_Sans_VGE[[#This Row],[date_modif]],
      "Ancien",
      "Modifié"),
   "Nouveau")),"")</f>
        <v/>
      </c>
    </row>
    <row r="5125" spans="24:30" x14ac:dyDescent="0.25">
      <c r="X5125" s="8" t="e">
        <f>IF(Final_Sans_VGE[[#This Row],[ppn_z]]="","",IFERROR(
   IF(_xlfn.XLOOKUP(Final_Sans_VGE[[#This Row],[ppn_z]],tbl_Historique_Final[ppn_z],tbl_Historique_Final[date_modif])=Final_Sans_VGE[[#This Row],[date_modif]],
      "Ancien",
      "Modifié"),
   "Nouveau"))</f>
        <v>#VALUE!</v>
      </c>
      <c r="AD5125" s="1" t="str">
        <f>IFERROR(IF(Final_Sans_VGE[[#This Row],[ppn_z]]="","",IFERROR(
   IF(_xlfn.XLOOKUP(Final_Sans_VGE[[#This Row],[ppn_z]],tbl_Historique_Final[[#This Row],[ppn_z]],tbl_Historique_Final[[#This Row],[date_modif]])=Final_Sans_VGE[[#This Row],[date_modif]],
      "Ancien",
      "Modifié"),
   "Nouveau")),"")</f>
        <v/>
      </c>
    </row>
    <row r="5126" spans="24:30" x14ac:dyDescent="0.25">
      <c r="X5126" s="8" t="e">
        <f>IF(Final_Sans_VGE[[#This Row],[ppn_z]]="","",IFERROR(
   IF(_xlfn.XLOOKUP(Final_Sans_VGE[[#This Row],[ppn_z]],tbl_Historique_Final[ppn_z],tbl_Historique_Final[date_modif])=Final_Sans_VGE[[#This Row],[date_modif]],
      "Ancien",
      "Modifié"),
   "Nouveau"))</f>
        <v>#VALUE!</v>
      </c>
      <c r="AD5126" s="1" t="str">
        <f>IFERROR(IF(Final_Sans_VGE[[#This Row],[ppn_z]]="","",IFERROR(
   IF(_xlfn.XLOOKUP(Final_Sans_VGE[[#This Row],[ppn_z]],tbl_Historique_Final[[#This Row],[ppn_z]],tbl_Historique_Final[[#This Row],[date_modif]])=Final_Sans_VGE[[#This Row],[date_modif]],
      "Ancien",
      "Modifié"),
   "Nouveau")),"")</f>
        <v/>
      </c>
    </row>
    <row r="5127" spans="24:30" x14ac:dyDescent="0.25">
      <c r="X5127" s="8" t="e">
        <f>IF(Final_Sans_VGE[[#This Row],[ppn_z]]="","",IFERROR(
   IF(_xlfn.XLOOKUP(Final_Sans_VGE[[#This Row],[ppn_z]],tbl_Historique_Final[ppn_z],tbl_Historique_Final[date_modif])=Final_Sans_VGE[[#This Row],[date_modif]],
      "Ancien",
      "Modifié"),
   "Nouveau"))</f>
        <v>#VALUE!</v>
      </c>
      <c r="AD5127" s="1" t="str">
        <f>IFERROR(IF(Final_Sans_VGE[[#This Row],[ppn_z]]="","",IFERROR(
   IF(_xlfn.XLOOKUP(Final_Sans_VGE[[#This Row],[ppn_z]],tbl_Historique_Final[[#This Row],[ppn_z]],tbl_Historique_Final[[#This Row],[date_modif]])=Final_Sans_VGE[[#This Row],[date_modif]],
      "Ancien",
      "Modifié"),
   "Nouveau")),"")</f>
        <v/>
      </c>
    </row>
    <row r="5128" spans="24:30" x14ac:dyDescent="0.25">
      <c r="X5128" s="8" t="e">
        <f>IF(Final_Sans_VGE[[#This Row],[ppn_z]]="","",IFERROR(
   IF(_xlfn.XLOOKUP(Final_Sans_VGE[[#This Row],[ppn_z]],tbl_Historique_Final[ppn_z],tbl_Historique_Final[date_modif])=Final_Sans_VGE[[#This Row],[date_modif]],
      "Ancien",
      "Modifié"),
   "Nouveau"))</f>
        <v>#VALUE!</v>
      </c>
      <c r="AD5128" s="1" t="str">
        <f>IFERROR(IF(Final_Sans_VGE[[#This Row],[ppn_z]]="","",IFERROR(
   IF(_xlfn.XLOOKUP(Final_Sans_VGE[[#This Row],[ppn_z]],tbl_Historique_Final[[#This Row],[ppn_z]],tbl_Historique_Final[[#This Row],[date_modif]])=Final_Sans_VGE[[#This Row],[date_modif]],
      "Ancien",
      "Modifié"),
   "Nouveau")),"")</f>
        <v/>
      </c>
    </row>
    <row r="5129" spans="24:30" x14ac:dyDescent="0.25">
      <c r="X5129" s="8" t="e">
        <f>IF(Final_Sans_VGE[[#This Row],[ppn_z]]="","",IFERROR(
   IF(_xlfn.XLOOKUP(Final_Sans_VGE[[#This Row],[ppn_z]],tbl_Historique_Final[ppn_z],tbl_Historique_Final[date_modif])=Final_Sans_VGE[[#This Row],[date_modif]],
      "Ancien",
      "Modifié"),
   "Nouveau"))</f>
        <v>#VALUE!</v>
      </c>
      <c r="AD5129" s="1" t="str">
        <f>IFERROR(IF(Final_Sans_VGE[[#This Row],[ppn_z]]="","",IFERROR(
   IF(_xlfn.XLOOKUP(Final_Sans_VGE[[#This Row],[ppn_z]],tbl_Historique_Final[[#This Row],[ppn_z]],tbl_Historique_Final[[#This Row],[date_modif]])=Final_Sans_VGE[[#This Row],[date_modif]],
      "Ancien",
      "Modifié"),
   "Nouveau")),"")</f>
        <v/>
      </c>
    </row>
    <row r="5130" spans="24:30" x14ac:dyDescent="0.25">
      <c r="X5130" s="8" t="e">
        <f>IF(Final_Sans_VGE[[#This Row],[ppn_z]]="","",IFERROR(
   IF(_xlfn.XLOOKUP(Final_Sans_VGE[[#This Row],[ppn_z]],tbl_Historique_Final[ppn_z],tbl_Historique_Final[date_modif])=Final_Sans_VGE[[#This Row],[date_modif]],
      "Ancien",
      "Modifié"),
   "Nouveau"))</f>
        <v>#VALUE!</v>
      </c>
      <c r="AD5130" s="1" t="str">
        <f>IFERROR(IF(Final_Sans_VGE[[#This Row],[ppn_z]]="","",IFERROR(
   IF(_xlfn.XLOOKUP(Final_Sans_VGE[[#This Row],[ppn_z]],tbl_Historique_Final[[#This Row],[ppn_z]],tbl_Historique_Final[[#This Row],[date_modif]])=Final_Sans_VGE[[#This Row],[date_modif]],
      "Ancien",
      "Modifié"),
   "Nouveau")),"")</f>
        <v/>
      </c>
    </row>
    <row r="5131" spans="24:30" x14ac:dyDescent="0.25">
      <c r="X5131" s="8" t="e">
        <f>IF(Final_Sans_VGE[[#This Row],[ppn_z]]="","",IFERROR(
   IF(_xlfn.XLOOKUP(Final_Sans_VGE[[#This Row],[ppn_z]],tbl_Historique_Final[ppn_z],tbl_Historique_Final[date_modif])=Final_Sans_VGE[[#This Row],[date_modif]],
      "Ancien",
      "Modifié"),
   "Nouveau"))</f>
        <v>#VALUE!</v>
      </c>
      <c r="AD5131" s="1" t="str">
        <f>IFERROR(IF(Final_Sans_VGE[[#This Row],[ppn_z]]="","",IFERROR(
   IF(_xlfn.XLOOKUP(Final_Sans_VGE[[#This Row],[ppn_z]],tbl_Historique_Final[[#This Row],[ppn_z]],tbl_Historique_Final[[#This Row],[date_modif]])=Final_Sans_VGE[[#This Row],[date_modif]],
      "Ancien",
      "Modifié"),
   "Nouveau")),"")</f>
        <v/>
      </c>
    </row>
    <row r="5132" spans="24:30" x14ac:dyDescent="0.25">
      <c r="X5132" s="8" t="e">
        <f>IF(Final_Sans_VGE[[#This Row],[ppn_z]]="","",IFERROR(
   IF(_xlfn.XLOOKUP(Final_Sans_VGE[[#This Row],[ppn_z]],tbl_Historique_Final[ppn_z],tbl_Historique_Final[date_modif])=Final_Sans_VGE[[#This Row],[date_modif]],
      "Ancien",
      "Modifié"),
   "Nouveau"))</f>
        <v>#VALUE!</v>
      </c>
      <c r="AD5132" s="1" t="str">
        <f>IFERROR(IF(Final_Sans_VGE[[#This Row],[ppn_z]]="","",IFERROR(
   IF(_xlfn.XLOOKUP(Final_Sans_VGE[[#This Row],[ppn_z]],tbl_Historique_Final[[#This Row],[ppn_z]],tbl_Historique_Final[[#This Row],[date_modif]])=Final_Sans_VGE[[#This Row],[date_modif]],
      "Ancien",
      "Modifié"),
   "Nouveau")),"")</f>
        <v/>
      </c>
    </row>
    <row r="5133" spans="24:30" x14ac:dyDescent="0.25">
      <c r="X5133" s="8" t="e">
        <f>IF(Final_Sans_VGE[[#This Row],[ppn_z]]="","",IFERROR(
   IF(_xlfn.XLOOKUP(Final_Sans_VGE[[#This Row],[ppn_z]],tbl_Historique_Final[ppn_z],tbl_Historique_Final[date_modif])=Final_Sans_VGE[[#This Row],[date_modif]],
      "Ancien",
      "Modifié"),
   "Nouveau"))</f>
        <v>#VALUE!</v>
      </c>
      <c r="AD5133" s="1" t="str">
        <f>IFERROR(IF(Final_Sans_VGE[[#This Row],[ppn_z]]="","",IFERROR(
   IF(_xlfn.XLOOKUP(Final_Sans_VGE[[#This Row],[ppn_z]],tbl_Historique_Final[[#This Row],[ppn_z]],tbl_Historique_Final[[#This Row],[date_modif]])=Final_Sans_VGE[[#This Row],[date_modif]],
      "Ancien",
      "Modifié"),
   "Nouveau")),"")</f>
        <v/>
      </c>
    </row>
    <row r="5134" spans="24:30" x14ac:dyDescent="0.25">
      <c r="X5134" s="8" t="e">
        <f>IF(Final_Sans_VGE[[#This Row],[ppn_z]]="","",IFERROR(
   IF(_xlfn.XLOOKUP(Final_Sans_VGE[[#This Row],[ppn_z]],tbl_Historique_Final[ppn_z],tbl_Historique_Final[date_modif])=Final_Sans_VGE[[#This Row],[date_modif]],
      "Ancien",
      "Modifié"),
   "Nouveau"))</f>
        <v>#VALUE!</v>
      </c>
      <c r="AD5134" s="1" t="str">
        <f>IFERROR(IF(Final_Sans_VGE[[#This Row],[ppn_z]]="","",IFERROR(
   IF(_xlfn.XLOOKUP(Final_Sans_VGE[[#This Row],[ppn_z]],tbl_Historique_Final[[#This Row],[ppn_z]],tbl_Historique_Final[[#This Row],[date_modif]])=Final_Sans_VGE[[#This Row],[date_modif]],
      "Ancien",
      "Modifié"),
   "Nouveau")),"")</f>
        <v/>
      </c>
    </row>
    <row r="5135" spans="24:30" x14ac:dyDescent="0.25">
      <c r="X5135" s="8" t="e">
        <f>IF(Final_Sans_VGE[[#This Row],[ppn_z]]="","",IFERROR(
   IF(_xlfn.XLOOKUP(Final_Sans_VGE[[#This Row],[ppn_z]],tbl_Historique_Final[ppn_z],tbl_Historique_Final[date_modif])=Final_Sans_VGE[[#This Row],[date_modif]],
      "Ancien",
      "Modifié"),
   "Nouveau"))</f>
        <v>#VALUE!</v>
      </c>
      <c r="AD5135" s="1" t="str">
        <f>IFERROR(IF(Final_Sans_VGE[[#This Row],[ppn_z]]="","",IFERROR(
   IF(_xlfn.XLOOKUP(Final_Sans_VGE[[#This Row],[ppn_z]],tbl_Historique_Final[[#This Row],[ppn_z]],tbl_Historique_Final[[#This Row],[date_modif]])=Final_Sans_VGE[[#This Row],[date_modif]],
      "Ancien",
      "Modifié"),
   "Nouveau")),"")</f>
        <v/>
      </c>
    </row>
    <row r="5136" spans="24:30" x14ac:dyDescent="0.25">
      <c r="X5136" s="8" t="e">
        <f>IF(Final_Sans_VGE[[#This Row],[ppn_z]]="","",IFERROR(
   IF(_xlfn.XLOOKUP(Final_Sans_VGE[[#This Row],[ppn_z]],tbl_Historique_Final[ppn_z],tbl_Historique_Final[date_modif])=Final_Sans_VGE[[#This Row],[date_modif]],
      "Ancien",
      "Modifié"),
   "Nouveau"))</f>
        <v>#VALUE!</v>
      </c>
      <c r="AD5136" s="1" t="str">
        <f>IFERROR(IF(Final_Sans_VGE[[#This Row],[ppn_z]]="","",IFERROR(
   IF(_xlfn.XLOOKUP(Final_Sans_VGE[[#This Row],[ppn_z]],tbl_Historique_Final[[#This Row],[ppn_z]],tbl_Historique_Final[[#This Row],[date_modif]])=Final_Sans_VGE[[#This Row],[date_modif]],
      "Ancien",
      "Modifié"),
   "Nouveau")),"")</f>
        <v/>
      </c>
    </row>
    <row r="5137" spans="24:30" x14ac:dyDescent="0.25">
      <c r="X5137" s="8" t="e">
        <f>IF(Final_Sans_VGE[[#This Row],[ppn_z]]="","",IFERROR(
   IF(_xlfn.XLOOKUP(Final_Sans_VGE[[#This Row],[ppn_z]],tbl_Historique_Final[ppn_z],tbl_Historique_Final[date_modif])=Final_Sans_VGE[[#This Row],[date_modif]],
      "Ancien",
      "Modifié"),
   "Nouveau"))</f>
        <v>#VALUE!</v>
      </c>
      <c r="AD5137" s="1" t="str">
        <f>IFERROR(IF(Final_Sans_VGE[[#This Row],[ppn_z]]="","",IFERROR(
   IF(_xlfn.XLOOKUP(Final_Sans_VGE[[#This Row],[ppn_z]],tbl_Historique_Final[[#This Row],[ppn_z]],tbl_Historique_Final[[#This Row],[date_modif]])=Final_Sans_VGE[[#This Row],[date_modif]],
      "Ancien",
      "Modifié"),
   "Nouveau")),"")</f>
        <v/>
      </c>
    </row>
    <row r="5138" spans="24:30" x14ac:dyDescent="0.25">
      <c r="X5138" s="8" t="e">
        <f>IF(Final_Sans_VGE[[#This Row],[ppn_z]]="","",IFERROR(
   IF(_xlfn.XLOOKUP(Final_Sans_VGE[[#This Row],[ppn_z]],tbl_Historique_Final[ppn_z],tbl_Historique_Final[date_modif])=Final_Sans_VGE[[#This Row],[date_modif]],
      "Ancien",
      "Modifié"),
   "Nouveau"))</f>
        <v>#VALUE!</v>
      </c>
      <c r="AD5138" s="1" t="str">
        <f>IFERROR(IF(Final_Sans_VGE[[#This Row],[ppn_z]]="","",IFERROR(
   IF(_xlfn.XLOOKUP(Final_Sans_VGE[[#This Row],[ppn_z]],tbl_Historique_Final[[#This Row],[ppn_z]],tbl_Historique_Final[[#This Row],[date_modif]])=Final_Sans_VGE[[#This Row],[date_modif]],
      "Ancien",
      "Modifié"),
   "Nouveau")),"")</f>
        <v/>
      </c>
    </row>
    <row r="5139" spans="24:30" x14ac:dyDescent="0.25">
      <c r="X5139" s="8" t="e">
        <f>IF(Final_Sans_VGE[[#This Row],[ppn_z]]="","",IFERROR(
   IF(_xlfn.XLOOKUP(Final_Sans_VGE[[#This Row],[ppn_z]],tbl_Historique_Final[ppn_z],tbl_Historique_Final[date_modif])=Final_Sans_VGE[[#This Row],[date_modif]],
      "Ancien",
      "Modifié"),
   "Nouveau"))</f>
        <v>#VALUE!</v>
      </c>
      <c r="AD5139" s="1" t="str">
        <f>IFERROR(IF(Final_Sans_VGE[[#This Row],[ppn_z]]="","",IFERROR(
   IF(_xlfn.XLOOKUP(Final_Sans_VGE[[#This Row],[ppn_z]],tbl_Historique_Final[[#This Row],[ppn_z]],tbl_Historique_Final[[#This Row],[date_modif]])=Final_Sans_VGE[[#This Row],[date_modif]],
      "Ancien",
      "Modifié"),
   "Nouveau")),"")</f>
        <v/>
      </c>
    </row>
    <row r="5140" spans="24:30" x14ac:dyDescent="0.25">
      <c r="X5140" s="8" t="e">
        <f>IF(Final_Sans_VGE[[#This Row],[ppn_z]]="","",IFERROR(
   IF(_xlfn.XLOOKUP(Final_Sans_VGE[[#This Row],[ppn_z]],tbl_Historique_Final[ppn_z],tbl_Historique_Final[date_modif])=Final_Sans_VGE[[#This Row],[date_modif]],
      "Ancien",
      "Modifié"),
   "Nouveau"))</f>
        <v>#VALUE!</v>
      </c>
      <c r="AD5140" s="1" t="str">
        <f>IFERROR(IF(Final_Sans_VGE[[#This Row],[ppn_z]]="","",IFERROR(
   IF(_xlfn.XLOOKUP(Final_Sans_VGE[[#This Row],[ppn_z]],tbl_Historique_Final[[#This Row],[ppn_z]],tbl_Historique_Final[[#This Row],[date_modif]])=Final_Sans_VGE[[#This Row],[date_modif]],
      "Ancien",
      "Modifié"),
   "Nouveau")),"")</f>
        <v/>
      </c>
    </row>
    <row r="5141" spans="24:30" x14ac:dyDescent="0.25">
      <c r="X5141" s="8" t="e">
        <f>IF(Final_Sans_VGE[[#This Row],[ppn_z]]="","",IFERROR(
   IF(_xlfn.XLOOKUP(Final_Sans_VGE[[#This Row],[ppn_z]],tbl_Historique_Final[ppn_z],tbl_Historique_Final[date_modif])=Final_Sans_VGE[[#This Row],[date_modif]],
      "Ancien",
      "Modifié"),
   "Nouveau"))</f>
        <v>#VALUE!</v>
      </c>
      <c r="AD5141" s="1" t="str">
        <f>IFERROR(IF(Final_Sans_VGE[[#This Row],[ppn_z]]="","",IFERROR(
   IF(_xlfn.XLOOKUP(Final_Sans_VGE[[#This Row],[ppn_z]],tbl_Historique_Final[[#This Row],[ppn_z]],tbl_Historique_Final[[#This Row],[date_modif]])=Final_Sans_VGE[[#This Row],[date_modif]],
      "Ancien",
      "Modifié"),
   "Nouveau")),"")</f>
        <v/>
      </c>
    </row>
    <row r="5142" spans="24:30" x14ac:dyDescent="0.25">
      <c r="X5142" s="8" t="e">
        <f>IF(Final_Sans_VGE[[#This Row],[ppn_z]]="","",IFERROR(
   IF(_xlfn.XLOOKUP(Final_Sans_VGE[[#This Row],[ppn_z]],tbl_Historique_Final[ppn_z],tbl_Historique_Final[date_modif])=Final_Sans_VGE[[#This Row],[date_modif]],
      "Ancien",
      "Modifié"),
   "Nouveau"))</f>
        <v>#VALUE!</v>
      </c>
      <c r="AD5142" s="1" t="str">
        <f>IFERROR(IF(Final_Sans_VGE[[#This Row],[ppn_z]]="","",IFERROR(
   IF(_xlfn.XLOOKUP(Final_Sans_VGE[[#This Row],[ppn_z]],tbl_Historique_Final[[#This Row],[ppn_z]],tbl_Historique_Final[[#This Row],[date_modif]])=Final_Sans_VGE[[#This Row],[date_modif]],
      "Ancien",
      "Modifié"),
   "Nouveau")),"")</f>
        <v/>
      </c>
    </row>
    <row r="5143" spans="24:30" x14ac:dyDescent="0.25">
      <c r="X5143" s="8" t="e">
        <f>IF(Final_Sans_VGE[[#This Row],[ppn_z]]="","",IFERROR(
   IF(_xlfn.XLOOKUP(Final_Sans_VGE[[#This Row],[ppn_z]],tbl_Historique_Final[ppn_z],tbl_Historique_Final[date_modif])=Final_Sans_VGE[[#This Row],[date_modif]],
      "Ancien",
      "Modifié"),
   "Nouveau"))</f>
        <v>#VALUE!</v>
      </c>
      <c r="AD5143" s="1" t="str">
        <f>IFERROR(IF(Final_Sans_VGE[[#This Row],[ppn_z]]="","",IFERROR(
   IF(_xlfn.XLOOKUP(Final_Sans_VGE[[#This Row],[ppn_z]],tbl_Historique_Final[[#This Row],[ppn_z]],tbl_Historique_Final[[#This Row],[date_modif]])=Final_Sans_VGE[[#This Row],[date_modif]],
      "Ancien",
      "Modifié"),
   "Nouveau")),"")</f>
        <v/>
      </c>
    </row>
    <row r="5144" spans="24:30" x14ac:dyDescent="0.25">
      <c r="X5144" s="8" t="e">
        <f>IF(Final_Sans_VGE[[#This Row],[ppn_z]]="","",IFERROR(
   IF(_xlfn.XLOOKUP(Final_Sans_VGE[[#This Row],[ppn_z]],tbl_Historique_Final[ppn_z],tbl_Historique_Final[date_modif])=Final_Sans_VGE[[#This Row],[date_modif]],
      "Ancien",
      "Modifié"),
   "Nouveau"))</f>
        <v>#VALUE!</v>
      </c>
      <c r="AD5144" s="1" t="str">
        <f>IFERROR(IF(Final_Sans_VGE[[#This Row],[ppn_z]]="","",IFERROR(
   IF(_xlfn.XLOOKUP(Final_Sans_VGE[[#This Row],[ppn_z]],tbl_Historique_Final[[#This Row],[ppn_z]],tbl_Historique_Final[[#This Row],[date_modif]])=Final_Sans_VGE[[#This Row],[date_modif]],
      "Ancien",
      "Modifié"),
   "Nouveau")),"")</f>
        <v/>
      </c>
    </row>
    <row r="5145" spans="24:30" x14ac:dyDescent="0.25">
      <c r="X5145" s="8" t="e">
        <f>IF(Final_Sans_VGE[[#This Row],[ppn_z]]="","",IFERROR(
   IF(_xlfn.XLOOKUP(Final_Sans_VGE[[#This Row],[ppn_z]],tbl_Historique_Final[ppn_z],tbl_Historique_Final[date_modif])=Final_Sans_VGE[[#This Row],[date_modif]],
      "Ancien",
      "Modifié"),
   "Nouveau"))</f>
        <v>#VALUE!</v>
      </c>
      <c r="AD5145" s="1" t="str">
        <f>IFERROR(IF(Final_Sans_VGE[[#This Row],[ppn_z]]="","",IFERROR(
   IF(_xlfn.XLOOKUP(Final_Sans_VGE[[#This Row],[ppn_z]],tbl_Historique_Final[[#This Row],[ppn_z]],tbl_Historique_Final[[#This Row],[date_modif]])=Final_Sans_VGE[[#This Row],[date_modif]],
      "Ancien",
      "Modifié"),
   "Nouveau")),"")</f>
        <v/>
      </c>
    </row>
    <row r="5146" spans="24:30" x14ac:dyDescent="0.25">
      <c r="X5146" s="8" t="e">
        <f>IF(Final_Sans_VGE[[#This Row],[ppn_z]]="","",IFERROR(
   IF(_xlfn.XLOOKUP(Final_Sans_VGE[[#This Row],[ppn_z]],tbl_Historique_Final[ppn_z],tbl_Historique_Final[date_modif])=Final_Sans_VGE[[#This Row],[date_modif]],
      "Ancien",
      "Modifié"),
   "Nouveau"))</f>
        <v>#VALUE!</v>
      </c>
      <c r="AD5146" s="1" t="str">
        <f>IFERROR(IF(Final_Sans_VGE[[#This Row],[ppn_z]]="","",IFERROR(
   IF(_xlfn.XLOOKUP(Final_Sans_VGE[[#This Row],[ppn_z]],tbl_Historique_Final[[#This Row],[ppn_z]],tbl_Historique_Final[[#This Row],[date_modif]])=Final_Sans_VGE[[#This Row],[date_modif]],
      "Ancien",
      "Modifié"),
   "Nouveau")),"")</f>
        <v/>
      </c>
    </row>
    <row r="5147" spans="24:30" x14ac:dyDescent="0.25">
      <c r="X5147" s="8" t="e">
        <f>IF(Final_Sans_VGE[[#This Row],[ppn_z]]="","",IFERROR(
   IF(_xlfn.XLOOKUP(Final_Sans_VGE[[#This Row],[ppn_z]],tbl_Historique_Final[ppn_z],tbl_Historique_Final[date_modif])=Final_Sans_VGE[[#This Row],[date_modif]],
      "Ancien",
      "Modifié"),
   "Nouveau"))</f>
        <v>#VALUE!</v>
      </c>
      <c r="AD5147" s="1" t="str">
        <f>IFERROR(IF(Final_Sans_VGE[[#This Row],[ppn_z]]="","",IFERROR(
   IF(_xlfn.XLOOKUP(Final_Sans_VGE[[#This Row],[ppn_z]],tbl_Historique_Final[[#This Row],[ppn_z]],tbl_Historique_Final[[#This Row],[date_modif]])=Final_Sans_VGE[[#This Row],[date_modif]],
      "Ancien",
      "Modifié"),
   "Nouveau")),"")</f>
        <v/>
      </c>
    </row>
    <row r="5148" spans="24:30" x14ac:dyDescent="0.25">
      <c r="X5148" s="8" t="e">
        <f>IF(Final_Sans_VGE[[#This Row],[ppn_z]]="","",IFERROR(
   IF(_xlfn.XLOOKUP(Final_Sans_VGE[[#This Row],[ppn_z]],tbl_Historique_Final[ppn_z],tbl_Historique_Final[date_modif])=Final_Sans_VGE[[#This Row],[date_modif]],
      "Ancien",
      "Modifié"),
   "Nouveau"))</f>
        <v>#VALUE!</v>
      </c>
      <c r="AD5148" s="1" t="str">
        <f>IFERROR(IF(Final_Sans_VGE[[#This Row],[ppn_z]]="","",IFERROR(
   IF(_xlfn.XLOOKUP(Final_Sans_VGE[[#This Row],[ppn_z]],tbl_Historique_Final[[#This Row],[ppn_z]],tbl_Historique_Final[[#This Row],[date_modif]])=Final_Sans_VGE[[#This Row],[date_modif]],
      "Ancien",
      "Modifié"),
   "Nouveau")),"")</f>
        <v/>
      </c>
    </row>
    <row r="5149" spans="24:30" x14ac:dyDescent="0.25">
      <c r="X5149" s="8" t="e">
        <f>IF(Final_Sans_VGE[[#This Row],[ppn_z]]="","",IFERROR(
   IF(_xlfn.XLOOKUP(Final_Sans_VGE[[#This Row],[ppn_z]],tbl_Historique_Final[ppn_z],tbl_Historique_Final[date_modif])=Final_Sans_VGE[[#This Row],[date_modif]],
      "Ancien",
      "Modifié"),
   "Nouveau"))</f>
        <v>#VALUE!</v>
      </c>
      <c r="AD5149" s="1" t="str">
        <f>IFERROR(IF(Final_Sans_VGE[[#This Row],[ppn_z]]="","",IFERROR(
   IF(_xlfn.XLOOKUP(Final_Sans_VGE[[#This Row],[ppn_z]],tbl_Historique_Final[[#This Row],[ppn_z]],tbl_Historique_Final[[#This Row],[date_modif]])=Final_Sans_VGE[[#This Row],[date_modif]],
      "Ancien",
      "Modifié"),
   "Nouveau")),"")</f>
        <v/>
      </c>
    </row>
    <row r="5150" spans="24:30" x14ac:dyDescent="0.25">
      <c r="X5150" s="8" t="e">
        <f>IF(Final_Sans_VGE[[#This Row],[ppn_z]]="","",IFERROR(
   IF(_xlfn.XLOOKUP(Final_Sans_VGE[[#This Row],[ppn_z]],tbl_Historique_Final[ppn_z],tbl_Historique_Final[date_modif])=Final_Sans_VGE[[#This Row],[date_modif]],
      "Ancien",
      "Modifié"),
   "Nouveau"))</f>
        <v>#VALUE!</v>
      </c>
      <c r="AD5150" s="1" t="str">
        <f>IFERROR(IF(Final_Sans_VGE[[#This Row],[ppn_z]]="","",IFERROR(
   IF(_xlfn.XLOOKUP(Final_Sans_VGE[[#This Row],[ppn_z]],tbl_Historique_Final[[#This Row],[ppn_z]],tbl_Historique_Final[[#This Row],[date_modif]])=Final_Sans_VGE[[#This Row],[date_modif]],
      "Ancien",
      "Modifié"),
   "Nouveau")),"")</f>
        <v/>
      </c>
    </row>
    <row r="5151" spans="24:30" x14ac:dyDescent="0.25">
      <c r="X5151" s="8" t="e">
        <f>IF(Final_Sans_VGE[[#This Row],[ppn_z]]="","",IFERROR(
   IF(_xlfn.XLOOKUP(Final_Sans_VGE[[#This Row],[ppn_z]],tbl_Historique_Final[ppn_z],tbl_Historique_Final[date_modif])=Final_Sans_VGE[[#This Row],[date_modif]],
      "Ancien",
      "Modifié"),
   "Nouveau"))</f>
        <v>#VALUE!</v>
      </c>
      <c r="AD5151" s="1" t="str">
        <f>IFERROR(IF(Final_Sans_VGE[[#This Row],[ppn_z]]="","",IFERROR(
   IF(_xlfn.XLOOKUP(Final_Sans_VGE[[#This Row],[ppn_z]],tbl_Historique_Final[[#This Row],[ppn_z]],tbl_Historique_Final[[#This Row],[date_modif]])=Final_Sans_VGE[[#This Row],[date_modif]],
      "Ancien",
      "Modifié"),
   "Nouveau")),"")</f>
        <v/>
      </c>
    </row>
    <row r="5152" spans="24:30" x14ac:dyDescent="0.25">
      <c r="X5152" s="8" t="e">
        <f>IF(Final_Sans_VGE[[#This Row],[ppn_z]]="","",IFERROR(
   IF(_xlfn.XLOOKUP(Final_Sans_VGE[[#This Row],[ppn_z]],tbl_Historique_Final[ppn_z],tbl_Historique_Final[date_modif])=Final_Sans_VGE[[#This Row],[date_modif]],
      "Ancien",
      "Modifié"),
   "Nouveau"))</f>
        <v>#VALUE!</v>
      </c>
      <c r="AD5152" s="1" t="str">
        <f>IFERROR(IF(Final_Sans_VGE[[#This Row],[ppn_z]]="","",IFERROR(
   IF(_xlfn.XLOOKUP(Final_Sans_VGE[[#This Row],[ppn_z]],tbl_Historique_Final[[#This Row],[ppn_z]],tbl_Historique_Final[[#This Row],[date_modif]])=Final_Sans_VGE[[#This Row],[date_modif]],
      "Ancien",
      "Modifié"),
   "Nouveau")),"")</f>
        <v/>
      </c>
    </row>
    <row r="5153" spans="24:30" x14ac:dyDescent="0.25">
      <c r="X5153" s="8" t="e">
        <f>IF(Final_Sans_VGE[[#This Row],[ppn_z]]="","",IFERROR(
   IF(_xlfn.XLOOKUP(Final_Sans_VGE[[#This Row],[ppn_z]],tbl_Historique_Final[ppn_z],tbl_Historique_Final[date_modif])=Final_Sans_VGE[[#This Row],[date_modif]],
      "Ancien",
      "Modifié"),
   "Nouveau"))</f>
        <v>#VALUE!</v>
      </c>
      <c r="AD5153" s="1" t="str">
        <f>IFERROR(IF(Final_Sans_VGE[[#This Row],[ppn_z]]="","",IFERROR(
   IF(_xlfn.XLOOKUP(Final_Sans_VGE[[#This Row],[ppn_z]],tbl_Historique_Final[[#This Row],[ppn_z]],tbl_Historique_Final[[#This Row],[date_modif]])=Final_Sans_VGE[[#This Row],[date_modif]],
      "Ancien",
      "Modifié"),
   "Nouveau")),"")</f>
        <v/>
      </c>
    </row>
    <row r="5154" spans="24:30" x14ac:dyDescent="0.25">
      <c r="X5154" s="8" t="e">
        <f>IF(Final_Sans_VGE[[#This Row],[ppn_z]]="","",IFERROR(
   IF(_xlfn.XLOOKUP(Final_Sans_VGE[[#This Row],[ppn_z]],tbl_Historique_Final[ppn_z],tbl_Historique_Final[date_modif])=Final_Sans_VGE[[#This Row],[date_modif]],
      "Ancien",
      "Modifié"),
   "Nouveau"))</f>
        <v>#VALUE!</v>
      </c>
      <c r="AD5154" s="1" t="str">
        <f>IFERROR(IF(Final_Sans_VGE[[#This Row],[ppn_z]]="","",IFERROR(
   IF(_xlfn.XLOOKUP(Final_Sans_VGE[[#This Row],[ppn_z]],tbl_Historique_Final[[#This Row],[ppn_z]],tbl_Historique_Final[[#This Row],[date_modif]])=Final_Sans_VGE[[#This Row],[date_modif]],
      "Ancien",
      "Modifié"),
   "Nouveau")),"")</f>
        <v/>
      </c>
    </row>
    <row r="5155" spans="24:30" x14ac:dyDescent="0.25">
      <c r="X5155" s="8" t="e">
        <f>IF(Final_Sans_VGE[[#This Row],[ppn_z]]="","",IFERROR(
   IF(_xlfn.XLOOKUP(Final_Sans_VGE[[#This Row],[ppn_z]],tbl_Historique_Final[ppn_z],tbl_Historique_Final[date_modif])=Final_Sans_VGE[[#This Row],[date_modif]],
      "Ancien",
      "Modifié"),
   "Nouveau"))</f>
        <v>#VALUE!</v>
      </c>
      <c r="AD5155" s="1" t="str">
        <f>IFERROR(IF(Final_Sans_VGE[[#This Row],[ppn_z]]="","",IFERROR(
   IF(_xlfn.XLOOKUP(Final_Sans_VGE[[#This Row],[ppn_z]],tbl_Historique_Final[[#This Row],[ppn_z]],tbl_Historique_Final[[#This Row],[date_modif]])=Final_Sans_VGE[[#This Row],[date_modif]],
      "Ancien",
      "Modifié"),
   "Nouveau")),"")</f>
        <v/>
      </c>
    </row>
    <row r="5156" spans="24:30" x14ac:dyDescent="0.25">
      <c r="X5156" s="8" t="e">
        <f>IF(Final_Sans_VGE[[#This Row],[ppn_z]]="","",IFERROR(
   IF(_xlfn.XLOOKUP(Final_Sans_VGE[[#This Row],[ppn_z]],tbl_Historique_Final[ppn_z],tbl_Historique_Final[date_modif])=Final_Sans_VGE[[#This Row],[date_modif]],
      "Ancien",
      "Modifié"),
   "Nouveau"))</f>
        <v>#VALUE!</v>
      </c>
      <c r="AD5156" s="1" t="str">
        <f>IFERROR(IF(Final_Sans_VGE[[#This Row],[ppn_z]]="","",IFERROR(
   IF(_xlfn.XLOOKUP(Final_Sans_VGE[[#This Row],[ppn_z]],tbl_Historique_Final[[#This Row],[ppn_z]],tbl_Historique_Final[[#This Row],[date_modif]])=Final_Sans_VGE[[#This Row],[date_modif]],
      "Ancien",
      "Modifié"),
   "Nouveau")),"")</f>
        <v/>
      </c>
    </row>
    <row r="5157" spans="24:30" x14ac:dyDescent="0.25">
      <c r="X5157" s="8" t="e">
        <f>IF(Final_Sans_VGE[[#This Row],[ppn_z]]="","",IFERROR(
   IF(_xlfn.XLOOKUP(Final_Sans_VGE[[#This Row],[ppn_z]],tbl_Historique_Final[ppn_z],tbl_Historique_Final[date_modif])=Final_Sans_VGE[[#This Row],[date_modif]],
      "Ancien",
      "Modifié"),
   "Nouveau"))</f>
        <v>#VALUE!</v>
      </c>
      <c r="AD5157" s="1" t="str">
        <f>IFERROR(IF(Final_Sans_VGE[[#This Row],[ppn_z]]="","",IFERROR(
   IF(_xlfn.XLOOKUP(Final_Sans_VGE[[#This Row],[ppn_z]],tbl_Historique_Final[[#This Row],[ppn_z]],tbl_Historique_Final[[#This Row],[date_modif]])=Final_Sans_VGE[[#This Row],[date_modif]],
      "Ancien",
      "Modifié"),
   "Nouveau")),"")</f>
        <v/>
      </c>
    </row>
    <row r="5158" spans="24:30" x14ac:dyDescent="0.25">
      <c r="X5158" s="8" t="e">
        <f>IF(Final_Sans_VGE[[#This Row],[ppn_z]]="","",IFERROR(
   IF(_xlfn.XLOOKUP(Final_Sans_VGE[[#This Row],[ppn_z]],tbl_Historique_Final[ppn_z],tbl_Historique_Final[date_modif])=Final_Sans_VGE[[#This Row],[date_modif]],
      "Ancien",
      "Modifié"),
   "Nouveau"))</f>
        <v>#VALUE!</v>
      </c>
      <c r="AD5158" s="1" t="str">
        <f>IFERROR(IF(Final_Sans_VGE[[#This Row],[ppn_z]]="","",IFERROR(
   IF(_xlfn.XLOOKUP(Final_Sans_VGE[[#This Row],[ppn_z]],tbl_Historique_Final[[#This Row],[ppn_z]],tbl_Historique_Final[[#This Row],[date_modif]])=Final_Sans_VGE[[#This Row],[date_modif]],
      "Ancien",
      "Modifié"),
   "Nouveau")),"")</f>
        <v/>
      </c>
    </row>
    <row r="5159" spans="24:30" x14ac:dyDescent="0.25">
      <c r="X5159" s="8" t="e">
        <f>IF(Final_Sans_VGE[[#This Row],[ppn_z]]="","",IFERROR(
   IF(_xlfn.XLOOKUP(Final_Sans_VGE[[#This Row],[ppn_z]],tbl_Historique_Final[ppn_z],tbl_Historique_Final[date_modif])=Final_Sans_VGE[[#This Row],[date_modif]],
      "Ancien",
      "Modifié"),
   "Nouveau"))</f>
        <v>#VALUE!</v>
      </c>
      <c r="AD5159" s="1" t="str">
        <f>IFERROR(IF(Final_Sans_VGE[[#This Row],[ppn_z]]="","",IFERROR(
   IF(_xlfn.XLOOKUP(Final_Sans_VGE[[#This Row],[ppn_z]],tbl_Historique_Final[[#This Row],[ppn_z]],tbl_Historique_Final[[#This Row],[date_modif]])=Final_Sans_VGE[[#This Row],[date_modif]],
      "Ancien",
      "Modifié"),
   "Nouveau")),"")</f>
        <v/>
      </c>
    </row>
    <row r="5160" spans="24:30" x14ac:dyDescent="0.25">
      <c r="X5160" s="8" t="e">
        <f>IF(Final_Sans_VGE[[#This Row],[ppn_z]]="","",IFERROR(
   IF(_xlfn.XLOOKUP(Final_Sans_VGE[[#This Row],[ppn_z]],tbl_Historique_Final[ppn_z],tbl_Historique_Final[date_modif])=Final_Sans_VGE[[#This Row],[date_modif]],
      "Ancien",
      "Modifié"),
   "Nouveau"))</f>
        <v>#VALUE!</v>
      </c>
      <c r="AD5160" s="1" t="str">
        <f>IFERROR(IF(Final_Sans_VGE[[#This Row],[ppn_z]]="","",IFERROR(
   IF(_xlfn.XLOOKUP(Final_Sans_VGE[[#This Row],[ppn_z]],tbl_Historique_Final[[#This Row],[ppn_z]],tbl_Historique_Final[[#This Row],[date_modif]])=Final_Sans_VGE[[#This Row],[date_modif]],
      "Ancien",
      "Modifié"),
   "Nouveau")),"")</f>
        <v/>
      </c>
    </row>
    <row r="5161" spans="24:30" x14ac:dyDescent="0.25">
      <c r="X5161" s="8" t="e">
        <f>IF(Final_Sans_VGE[[#This Row],[ppn_z]]="","",IFERROR(
   IF(_xlfn.XLOOKUP(Final_Sans_VGE[[#This Row],[ppn_z]],tbl_Historique_Final[ppn_z],tbl_Historique_Final[date_modif])=Final_Sans_VGE[[#This Row],[date_modif]],
      "Ancien",
      "Modifié"),
   "Nouveau"))</f>
        <v>#VALUE!</v>
      </c>
      <c r="AD5161" s="1" t="str">
        <f>IFERROR(IF(Final_Sans_VGE[[#This Row],[ppn_z]]="","",IFERROR(
   IF(_xlfn.XLOOKUP(Final_Sans_VGE[[#This Row],[ppn_z]],tbl_Historique_Final[[#This Row],[ppn_z]],tbl_Historique_Final[[#This Row],[date_modif]])=Final_Sans_VGE[[#This Row],[date_modif]],
      "Ancien",
      "Modifié"),
   "Nouveau")),"")</f>
        <v/>
      </c>
    </row>
    <row r="5162" spans="24:30" x14ac:dyDescent="0.25">
      <c r="X5162" s="8" t="e">
        <f>IF(Final_Sans_VGE[[#This Row],[ppn_z]]="","",IFERROR(
   IF(_xlfn.XLOOKUP(Final_Sans_VGE[[#This Row],[ppn_z]],tbl_Historique_Final[ppn_z],tbl_Historique_Final[date_modif])=Final_Sans_VGE[[#This Row],[date_modif]],
      "Ancien",
      "Modifié"),
   "Nouveau"))</f>
        <v>#VALUE!</v>
      </c>
      <c r="AD5162" s="1" t="str">
        <f>IFERROR(IF(Final_Sans_VGE[[#This Row],[ppn_z]]="","",IFERROR(
   IF(_xlfn.XLOOKUP(Final_Sans_VGE[[#This Row],[ppn_z]],tbl_Historique_Final[[#This Row],[ppn_z]],tbl_Historique_Final[[#This Row],[date_modif]])=Final_Sans_VGE[[#This Row],[date_modif]],
      "Ancien",
      "Modifié"),
   "Nouveau")),"")</f>
        <v/>
      </c>
    </row>
    <row r="5163" spans="24:30" x14ac:dyDescent="0.25">
      <c r="X5163" s="8" t="e">
        <f>IF(Final_Sans_VGE[[#This Row],[ppn_z]]="","",IFERROR(
   IF(_xlfn.XLOOKUP(Final_Sans_VGE[[#This Row],[ppn_z]],tbl_Historique_Final[ppn_z],tbl_Historique_Final[date_modif])=Final_Sans_VGE[[#This Row],[date_modif]],
      "Ancien",
      "Modifié"),
   "Nouveau"))</f>
        <v>#VALUE!</v>
      </c>
      <c r="AD5163" s="1" t="str">
        <f>IFERROR(IF(Final_Sans_VGE[[#This Row],[ppn_z]]="","",IFERROR(
   IF(_xlfn.XLOOKUP(Final_Sans_VGE[[#This Row],[ppn_z]],tbl_Historique_Final[[#This Row],[ppn_z]],tbl_Historique_Final[[#This Row],[date_modif]])=Final_Sans_VGE[[#This Row],[date_modif]],
      "Ancien",
      "Modifié"),
   "Nouveau")),"")</f>
        <v/>
      </c>
    </row>
    <row r="5164" spans="24:30" x14ac:dyDescent="0.25">
      <c r="X5164" s="8" t="e">
        <f>IF(Final_Sans_VGE[[#This Row],[ppn_z]]="","",IFERROR(
   IF(_xlfn.XLOOKUP(Final_Sans_VGE[[#This Row],[ppn_z]],tbl_Historique_Final[ppn_z],tbl_Historique_Final[date_modif])=Final_Sans_VGE[[#This Row],[date_modif]],
      "Ancien",
      "Modifié"),
   "Nouveau"))</f>
        <v>#VALUE!</v>
      </c>
      <c r="AD5164" s="1" t="str">
        <f>IFERROR(IF(Final_Sans_VGE[[#This Row],[ppn_z]]="","",IFERROR(
   IF(_xlfn.XLOOKUP(Final_Sans_VGE[[#This Row],[ppn_z]],tbl_Historique_Final[[#This Row],[ppn_z]],tbl_Historique_Final[[#This Row],[date_modif]])=Final_Sans_VGE[[#This Row],[date_modif]],
      "Ancien",
      "Modifié"),
   "Nouveau")),"")</f>
        <v/>
      </c>
    </row>
    <row r="5165" spans="24:30" x14ac:dyDescent="0.25">
      <c r="X5165" s="8" t="e">
        <f>IF(Final_Sans_VGE[[#This Row],[ppn_z]]="","",IFERROR(
   IF(_xlfn.XLOOKUP(Final_Sans_VGE[[#This Row],[ppn_z]],tbl_Historique_Final[ppn_z],tbl_Historique_Final[date_modif])=Final_Sans_VGE[[#This Row],[date_modif]],
      "Ancien",
      "Modifié"),
   "Nouveau"))</f>
        <v>#VALUE!</v>
      </c>
      <c r="AD5165" s="1" t="str">
        <f>IFERROR(IF(Final_Sans_VGE[[#This Row],[ppn_z]]="","",IFERROR(
   IF(_xlfn.XLOOKUP(Final_Sans_VGE[[#This Row],[ppn_z]],tbl_Historique_Final[[#This Row],[ppn_z]],tbl_Historique_Final[[#This Row],[date_modif]])=Final_Sans_VGE[[#This Row],[date_modif]],
      "Ancien",
      "Modifié"),
   "Nouveau")),"")</f>
        <v/>
      </c>
    </row>
    <row r="5166" spans="24:30" x14ac:dyDescent="0.25">
      <c r="X5166" s="8" t="e">
        <f>IF(Final_Sans_VGE[[#This Row],[ppn_z]]="","",IFERROR(
   IF(_xlfn.XLOOKUP(Final_Sans_VGE[[#This Row],[ppn_z]],tbl_Historique_Final[ppn_z],tbl_Historique_Final[date_modif])=Final_Sans_VGE[[#This Row],[date_modif]],
      "Ancien",
      "Modifié"),
   "Nouveau"))</f>
        <v>#VALUE!</v>
      </c>
      <c r="AD5166" s="1" t="str">
        <f>IFERROR(IF(Final_Sans_VGE[[#This Row],[ppn_z]]="","",IFERROR(
   IF(_xlfn.XLOOKUP(Final_Sans_VGE[[#This Row],[ppn_z]],tbl_Historique_Final[[#This Row],[ppn_z]],tbl_Historique_Final[[#This Row],[date_modif]])=Final_Sans_VGE[[#This Row],[date_modif]],
      "Ancien",
      "Modifié"),
   "Nouveau")),"")</f>
        <v/>
      </c>
    </row>
    <row r="5167" spans="24:30" x14ac:dyDescent="0.25">
      <c r="X5167" s="8" t="e">
        <f>IF(Final_Sans_VGE[[#This Row],[ppn_z]]="","",IFERROR(
   IF(_xlfn.XLOOKUP(Final_Sans_VGE[[#This Row],[ppn_z]],tbl_Historique_Final[ppn_z],tbl_Historique_Final[date_modif])=Final_Sans_VGE[[#This Row],[date_modif]],
      "Ancien",
      "Modifié"),
   "Nouveau"))</f>
        <v>#VALUE!</v>
      </c>
      <c r="AD5167" s="1" t="str">
        <f>IFERROR(IF(Final_Sans_VGE[[#This Row],[ppn_z]]="","",IFERROR(
   IF(_xlfn.XLOOKUP(Final_Sans_VGE[[#This Row],[ppn_z]],tbl_Historique_Final[[#This Row],[ppn_z]],tbl_Historique_Final[[#This Row],[date_modif]])=Final_Sans_VGE[[#This Row],[date_modif]],
      "Ancien",
      "Modifié"),
   "Nouveau")),"")</f>
        <v/>
      </c>
    </row>
    <row r="5168" spans="24:30" x14ac:dyDescent="0.25">
      <c r="X5168" s="8" t="e">
        <f>IF(Final_Sans_VGE[[#This Row],[ppn_z]]="","",IFERROR(
   IF(_xlfn.XLOOKUP(Final_Sans_VGE[[#This Row],[ppn_z]],tbl_Historique_Final[ppn_z],tbl_Historique_Final[date_modif])=Final_Sans_VGE[[#This Row],[date_modif]],
      "Ancien",
      "Modifié"),
   "Nouveau"))</f>
        <v>#VALUE!</v>
      </c>
      <c r="AD5168" s="1" t="str">
        <f>IFERROR(IF(Final_Sans_VGE[[#This Row],[ppn_z]]="","",IFERROR(
   IF(_xlfn.XLOOKUP(Final_Sans_VGE[[#This Row],[ppn_z]],tbl_Historique_Final[[#This Row],[ppn_z]],tbl_Historique_Final[[#This Row],[date_modif]])=Final_Sans_VGE[[#This Row],[date_modif]],
      "Ancien",
      "Modifié"),
   "Nouveau")),"")</f>
        <v/>
      </c>
    </row>
    <row r="5169" spans="24:30" x14ac:dyDescent="0.25">
      <c r="X5169" s="8" t="e">
        <f>IF(Final_Sans_VGE[[#This Row],[ppn_z]]="","",IFERROR(
   IF(_xlfn.XLOOKUP(Final_Sans_VGE[[#This Row],[ppn_z]],tbl_Historique_Final[ppn_z],tbl_Historique_Final[date_modif])=Final_Sans_VGE[[#This Row],[date_modif]],
      "Ancien",
      "Modifié"),
   "Nouveau"))</f>
        <v>#VALUE!</v>
      </c>
      <c r="AD5169" s="1" t="str">
        <f>IFERROR(IF(Final_Sans_VGE[[#This Row],[ppn_z]]="","",IFERROR(
   IF(_xlfn.XLOOKUP(Final_Sans_VGE[[#This Row],[ppn_z]],tbl_Historique_Final[[#This Row],[ppn_z]],tbl_Historique_Final[[#This Row],[date_modif]])=Final_Sans_VGE[[#This Row],[date_modif]],
      "Ancien",
      "Modifié"),
   "Nouveau")),"")</f>
        <v/>
      </c>
    </row>
    <row r="5170" spans="24:30" x14ac:dyDescent="0.25">
      <c r="X5170" s="8" t="e">
        <f>IF(Final_Sans_VGE[[#This Row],[ppn_z]]="","",IFERROR(
   IF(_xlfn.XLOOKUP(Final_Sans_VGE[[#This Row],[ppn_z]],tbl_Historique_Final[ppn_z],tbl_Historique_Final[date_modif])=Final_Sans_VGE[[#This Row],[date_modif]],
      "Ancien",
      "Modifié"),
   "Nouveau"))</f>
        <v>#VALUE!</v>
      </c>
      <c r="AD5170" s="1" t="str">
        <f>IFERROR(IF(Final_Sans_VGE[[#This Row],[ppn_z]]="","",IFERROR(
   IF(_xlfn.XLOOKUP(Final_Sans_VGE[[#This Row],[ppn_z]],tbl_Historique_Final[[#This Row],[ppn_z]],tbl_Historique_Final[[#This Row],[date_modif]])=Final_Sans_VGE[[#This Row],[date_modif]],
      "Ancien",
      "Modifié"),
   "Nouveau")),"")</f>
        <v/>
      </c>
    </row>
    <row r="5171" spans="24:30" x14ac:dyDescent="0.25">
      <c r="X5171" s="8" t="e">
        <f>IF(Final_Sans_VGE[[#This Row],[ppn_z]]="","",IFERROR(
   IF(_xlfn.XLOOKUP(Final_Sans_VGE[[#This Row],[ppn_z]],tbl_Historique_Final[ppn_z],tbl_Historique_Final[date_modif])=Final_Sans_VGE[[#This Row],[date_modif]],
      "Ancien",
      "Modifié"),
   "Nouveau"))</f>
        <v>#VALUE!</v>
      </c>
      <c r="AD5171" s="1" t="str">
        <f>IFERROR(IF(Final_Sans_VGE[[#This Row],[ppn_z]]="","",IFERROR(
   IF(_xlfn.XLOOKUP(Final_Sans_VGE[[#This Row],[ppn_z]],tbl_Historique_Final[[#This Row],[ppn_z]],tbl_Historique_Final[[#This Row],[date_modif]])=Final_Sans_VGE[[#This Row],[date_modif]],
      "Ancien",
      "Modifié"),
   "Nouveau")),"")</f>
        <v/>
      </c>
    </row>
    <row r="5172" spans="24:30" x14ac:dyDescent="0.25">
      <c r="X5172" s="8" t="e">
        <f>IF(Final_Sans_VGE[[#This Row],[ppn_z]]="","",IFERROR(
   IF(_xlfn.XLOOKUP(Final_Sans_VGE[[#This Row],[ppn_z]],tbl_Historique_Final[ppn_z],tbl_Historique_Final[date_modif])=Final_Sans_VGE[[#This Row],[date_modif]],
      "Ancien",
      "Modifié"),
   "Nouveau"))</f>
        <v>#VALUE!</v>
      </c>
      <c r="AD5172" s="1" t="str">
        <f>IFERROR(IF(Final_Sans_VGE[[#This Row],[ppn_z]]="","",IFERROR(
   IF(_xlfn.XLOOKUP(Final_Sans_VGE[[#This Row],[ppn_z]],tbl_Historique_Final[[#This Row],[ppn_z]],tbl_Historique_Final[[#This Row],[date_modif]])=Final_Sans_VGE[[#This Row],[date_modif]],
      "Ancien",
      "Modifié"),
   "Nouveau")),"")</f>
        <v/>
      </c>
    </row>
    <row r="5173" spans="24:30" x14ac:dyDescent="0.25">
      <c r="X5173" s="8" t="e">
        <f>IF(Final_Sans_VGE[[#This Row],[ppn_z]]="","",IFERROR(
   IF(_xlfn.XLOOKUP(Final_Sans_VGE[[#This Row],[ppn_z]],tbl_Historique_Final[ppn_z],tbl_Historique_Final[date_modif])=Final_Sans_VGE[[#This Row],[date_modif]],
      "Ancien",
      "Modifié"),
   "Nouveau"))</f>
        <v>#VALUE!</v>
      </c>
      <c r="AD5173" s="1" t="str">
        <f>IFERROR(IF(Final_Sans_VGE[[#This Row],[ppn_z]]="","",IFERROR(
   IF(_xlfn.XLOOKUP(Final_Sans_VGE[[#This Row],[ppn_z]],tbl_Historique_Final[[#This Row],[ppn_z]],tbl_Historique_Final[[#This Row],[date_modif]])=Final_Sans_VGE[[#This Row],[date_modif]],
      "Ancien",
      "Modifié"),
   "Nouveau")),"")</f>
        <v/>
      </c>
    </row>
    <row r="5174" spans="24:30" x14ac:dyDescent="0.25">
      <c r="X5174" s="8" t="e">
        <f>IF(Final_Sans_VGE[[#This Row],[ppn_z]]="","",IFERROR(
   IF(_xlfn.XLOOKUP(Final_Sans_VGE[[#This Row],[ppn_z]],tbl_Historique_Final[ppn_z],tbl_Historique_Final[date_modif])=Final_Sans_VGE[[#This Row],[date_modif]],
      "Ancien",
      "Modifié"),
   "Nouveau"))</f>
        <v>#VALUE!</v>
      </c>
      <c r="AD5174" s="1" t="str">
        <f>IFERROR(IF(Final_Sans_VGE[[#This Row],[ppn_z]]="","",IFERROR(
   IF(_xlfn.XLOOKUP(Final_Sans_VGE[[#This Row],[ppn_z]],tbl_Historique_Final[[#This Row],[ppn_z]],tbl_Historique_Final[[#This Row],[date_modif]])=Final_Sans_VGE[[#This Row],[date_modif]],
      "Ancien",
      "Modifié"),
   "Nouveau")),"")</f>
        <v/>
      </c>
    </row>
    <row r="5175" spans="24:30" x14ac:dyDescent="0.25">
      <c r="X5175" s="8" t="e">
        <f>IF(Final_Sans_VGE[[#This Row],[ppn_z]]="","",IFERROR(
   IF(_xlfn.XLOOKUP(Final_Sans_VGE[[#This Row],[ppn_z]],tbl_Historique_Final[ppn_z],tbl_Historique_Final[date_modif])=Final_Sans_VGE[[#This Row],[date_modif]],
      "Ancien",
      "Modifié"),
   "Nouveau"))</f>
        <v>#VALUE!</v>
      </c>
      <c r="AD5175" s="1" t="str">
        <f>IFERROR(IF(Final_Sans_VGE[[#This Row],[ppn_z]]="","",IFERROR(
   IF(_xlfn.XLOOKUP(Final_Sans_VGE[[#This Row],[ppn_z]],tbl_Historique_Final[[#This Row],[ppn_z]],tbl_Historique_Final[[#This Row],[date_modif]])=Final_Sans_VGE[[#This Row],[date_modif]],
      "Ancien",
      "Modifié"),
   "Nouveau")),"")</f>
        <v/>
      </c>
    </row>
    <row r="5176" spans="24:30" x14ac:dyDescent="0.25">
      <c r="X5176" s="8" t="e">
        <f>IF(Final_Sans_VGE[[#This Row],[ppn_z]]="","",IFERROR(
   IF(_xlfn.XLOOKUP(Final_Sans_VGE[[#This Row],[ppn_z]],tbl_Historique_Final[ppn_z],tbl_Historique_Final[date_modif])=Final_Sans_VGE[[#This Row],[date_modif]],
      "Ancien",
      "Modifié"),
   "Nouveau"))</f>
        <v>#VALUE!</v>
      </c>
      <c r="AD5176" s="1" t="str">
        <f>IFERROR(IF(Final_Sans_VGE[[#This Row],[ppn_z]]="","",IFERROR(
   IF(_xlfn.XLOOKUP(Final_Sans_VGE[[#This Row],[ppn_z]],tbl_Historique_Final[[#This Row],[ppn_z]],tbl_Historique_Final[[#This Row],[date_modif]])=Final_Sans_VGE[[#This Row],[date_modif]],
      "Ancien",
      "Modifié"),
   "Nouveau")),"")</f>
        <v/>
      </c>
    </row>
    <row r="5177" spans="24:30" x14ac:dyDescent="0.25">
      <c r="X5177" s="8" t="e">
        <f>IF(Final_Sans_VGE[[#This Row],[ppn_z]]="","",IFERROR(
   IF(_xlfn.XLOOKUP(Final_Sans_VGE[[#This Row],[ppn_z]],tbl_Historique_Final[ppn_z],tbl_Historique_Final[date_modif])=Final_Sans_VGE[[#This Row],[date_modif]],
      "Ancien",
      "Modifié"),
   "Nouveau"))</f>
        <v>#VALUE!</v>
      </c>
      <c r="AD5177" s="1" t="str">
        <f>IFERROR(IF(Final_Sans_VGE[[#This Row],[ppn_z]]="","",IFERROR(
   IF(_xlfn.XLOOKUP(Final_Sans_VGE[[#This Row],[ppn_z]],tbl_Historique_Final[[#This Row],[ppn_z]],tbl_Historique_Final[[#This Row],[date_modif]])=Final_Sans_VGE[[#This Row],[date_modif]],
      "Ancien",
      "Modifié"),
   "Nouveau")),"")</f>
        <v/>
      </c>
    </row>
    <row r="5178" spans="24:30" x14ac:dyDescent="0.25">
      <c r="X5178" s="8" t="e">
        <f>IF(Final_Sans_VGE[[#This Row],[ppn_z]]="","",IFERROR(
   IF(_xlfn.XLOOKUP(Final_Sans_VGE[[#This Row],[ppn_z]],tbl_Historique_Final[ppn_z],tbl_Historique_Final[date_modif])=Final_Sans_VGE[[#This Row],[date_modif]],
      "Ancien",
      "Modifié"),
   "Nouveau"))</f>
        <v>#VALUE!</v>
      </c>
      <c r="AD5178" s="1" t="str">
        <f>IFERROR(IF(Final_Sans_VGE[[#This Row],[ppn_z]]="","",IFERROR(
   IF(_xlfn.XLOOKUP(Final_Sans_VGE[[#This Row],[ppn_z]],tbl_Historique_Final[[#This Row],[ppn_z]],tbl_Historique_Final[[#This Row],[date_modif]])=Final_Sans_VGE[[#This Row],[date_modif]],
      "Ancien",
      "Modifié"),
   "Nouveau")),"")</f>
        <v/>
      </c>
    </row>
    <row r="5179" spans="24:30" x14ac:dyDescent="0.25">
      <c r="X5179" s="8" t="e">
        <f>IF(Final_Sans_VGE[[#This Row],[ppn_z]]="","",IFERROR(
   IF(_xlfn.XLOOKUP(Final_Sans_VGE[[#This Row],[ppn_z]],tbl_Historique_Final[ppn_z],tbl_Historique_Final[date_modif])=Final_Sans_VGE[[#This Row],[date_modif]],
      "Ancien",
      "Modifié"),
   "Nouveau"))</f>
        <v>#VALUE!</v>
      </c>
      <c r="AD5179" s="1" t="str">
        <f>IFERROR(IF(Final_Sans_VGE[[#This Row],[ppn_z]]="","",IFERROR(
   IF(_xlfn.XLOOKUP(Final_Sans_VGE[[#This Row],[ppn_z]],tbl_Historique_Final[[#This Row],[ppn_z]],tbl_Historique_Final[[#This Row],[date_modif]])=Final_Sans_VGE[[#This Row],[date_modif]],
      "Ancien",
      "Modifié"),
   "Nouveau")),"")</f>
        <v/>
      </c>
    </row>
    <row r="5180" spans="24:30" x14ac:dyDescent="0.25">
      <c r="X5180" s="8" t="e">
        <f>IF(Final_Sans_VGE[[#This Row],[ppn_z]]="","",IFERROR(
   IF(_xlfn.XLOOKUP(Final_Sans_VGE[[#This Row],[ppn_z]],tbl_Historique_Final[ppn_z],tbl_Historique_Final[date_modif])=Final_Sans_VGE[[#This Row],[date_modif]],
      "Ancien",
      "Modifié"),
   "Nouveau"))</f>
        <v>#VALUE!</v>
      </c>
      <c r="AD5180" s="1" t="str">
        <f>IFERROR(IF(Final_Sans_VGE[[#This Row],[ppn_z]]="","",IFERROR(
   IF(_xlfn.XLOOKUP(Final_Sans_VGE[[#This Row],[ppn_z]],tbl_Historique_Final[[#This Row],[ppn_z]],tbl_Historique_Final[[#This Row],[date_modif]])=Final_Sans_VGE[[#This Row],[date_modif]],
      "Ancien",
      "Modifié"),
   "Nouveau")),"")</f>
        <v/>
      </c>
    </row>
    <row r="5181" spans="24:30" x14ac:dyDescent="0.25">
      <c r="X5181" s="8" t="e">
        <f>IF(Final_Sans_VGE[[#This Row],[ppn_z]]="","",IFERROR(
   IF(_xlfn.XLOOKUP(Final_Sans_VGE[[#This Row],[ppn_z]],tbl_Historique_Final[ppn_z],tbl_Historique_Final[date_modif])=Final_Sans_VGE[[#This Row],[date_modif]],
      "Ancien",
      "Modifié"),
   "Nouveau"))</f>
        <v>#VALUE!</v>
      </c>
      <c r="AD5181" s="1" t="str">
        <f>IFERROR(IF(Final_Sans_VGE[[#This Row],[ppn_z]]="","",IFERROR(
   IF(_xlfn.XLOOKUP(Final_Sans_VGE[[#This Row],[ppn_z]],tbl_Historique_Final[[#This Row],[ppn_z]],tbl_Historique_Final[[#This Row],[date_modif]])=Final_Sans_VGE[[#This Row],[date_modif]],
      "Ancien",
      "Modifié"),
   "Nouveau")),"")</f>
        <v/>
      </c>
    </row>
    <row r="5182" spans="24:30" x14ac:dyDescent="0.25">
      <c r="X5182" s="8" t="e">
        <f>IF(Final_Sans_VGE[[#This Row],[ppn_z]]="","",IFERROR(
   IF(_xlfn.XLOOKUP(Final_Sans_VGE[[#This Row],[ppn_z]],tbl_Historique_Final[ppn_z],tbl_Historique_Final[date_modif])=Final_Sans_VGE[[#This Row],[date_modif]],
      "Ancien",
      "Modifié"),
   "Nouveau"))</f>
        <v>#VALUE!</v>
      </c>
      <c r="AD5182" s="1" t="str">
        <f>IFERROR(IF(Final_Sans_VGE[[#This Row],[ppn_z]]="","",IFERROR(
   IF(_xlfn.XLOOKUP(Final_Sans_VGE[[#This Row],[ppn_z]],tbl_Historique_Final[[#This Row],[ppn_z]],tbl_Historique_Final[[#This Row],[date_modif]])=Final_Sans_VGE[[#This Row],[date_modif]],
      "Ancien",
      "Modifié"),
   "Nouveau")),"")</f>
        <v/>
      </c>
    </row>
    <row r="5183" spans="24:30" x14ac:dyDescent="0.25">
      <c r="X5183" s="8" t="e">
        <f>IF(Final_Sans_VGE[[#This Row],[ppn_z]]="","",IFERROR(
   IF(_xlfn.XLOOKUP(Final_Sans_VGE[[#This Row],[ppn_z]],tbl_Historique_Final[ppn_z],tbl_Historique_Final[date_modif])=Final_Sans_VGE[[#This Row],[date_modif]],
      "Ancien",
      "Modifié"),
   "Nouveau"))</f>
        <v>#VALUE!</v>
      </c>
      <c r="AD5183" s="1" t="str">
        <f>IFERROR(IF(Final_Sans_VGE[[#This Row],[ppn_z]]="","",IFERROR(
   IF(_xlfn.XLOOKUP(Final_Sans_VGE[[#This Row],[ppn_z]],tbl_Historique_Final[[#This Row],[ppn_z]],tbl_Historique_Final[[#This Row],[date_modif]])=Final_Sans_VGE[[#This Row],[date_modif]],
      "Ancien",
      "Modifié"),
   "Nouveau")),"")</f>
        <v/>
      </c>
    </row>
    <row r="5184" spans="24:30" x14ac:dyDescent="0.25">
      <c r="X5184" s="8" t="e">
        <f>IF(Final_Sans_VGE[[#This Row],[ppn_z]]="","",IFERROR(
   IF(_xlfn.XLOOKUP(Final_Sans_VGE[[#This Row],[ppn_z]],tbl_Historique_Final[ppn_z],tbl_Historique_Final[date_modif])=Final_Sans_VGE[[#This Row],[date_modif]],
      "Ancien",
      "Modifié"),
   "Nouveau"))</f>
        <v>#VALUE!</v>
      </c>
      <c r="AD5184" s="1" t="str">
        <f>IFERROR(IF(Final_Sans_VGE[[#This Row],[ppn_z]]="","",IFERROR(
   IF(_xlfn.XLOOKUP(Final_Sans_VGE[[#This Row],[ppn_z]],tbl_Historique_Final[[#This Row],[ppn_z]],tbl_Historique_Final[[#This Row],[date_modif]])=Final_Sans_VGE[[#This Row],[date_modif]],
      "Ancien",
      "Modifié"),
   "Nouveau")),"")</f>
        <v/>
      </c>
    </row>
    <row r="5185" spans="24:30" x14ac:dyDescent="0.25">
      <c r="X5185" s="8" t="e">
        <f>IF(Final_Sans_VGE[[#This Row],[ppn_z]]="","",IFERROR(
   IF(_xlfn.XLOOKUP(Final_Sans_VGE[[#This Row],[ppn_z]],tbl_Historique_Final[ppn_z],tbl_Historique_Final[date_modif])=Final_Sans_VGE[[#This Row],[date_modif]],
      "Ancien",
      "Modifié"),
   "Nouveau"))</f>
        <v>#VALUE!</v>
      </c>
      <c r="AD5185" s="1" t="str">
        <f>IFERROR(IF(Final_Sans_VGE[[#This Row],[ppn_z]]="","",IFERROR(
   IF(_xlfn.XLOOKUP(Final_Sans_VGE[[#This Row],[ppn_z]],tbl_Historique_Final[[#This Row],[ppn_z]],tbl_Historique_Final[[#This Row],[date_modif]])=Final_Sans_VGE[[#This Row],[date_modif]],
      "Ancien",
      "Modifié"),
   "Nouveau")),"")</f>
        <v/>
      </c>
    </row>
    <row r="5186" spans="24:30" x14ac:dyDescent="0.25">
      <c r="X5186" s="8" t="e">
        <f>IF(Final_Sans_VGE[[#This Row],[ppn_z]]="","",IFERROR(
   IF(_xlfn.XLOOKUP(Final_Sans_VGE[[#This Row],[ppn_z]],tbl_Historique_Final[ppn_z],tbl_Historique_Final[date_modif])=Final_Sans_VGE[[#This Row],[date_modif]],
      "Ancien",
      "Modifié"),
   "Nouveau"))</f>
        <v>#VALUE!</v>
      </c>
      <c r="AD5186" s="1" t="str">
        <f>IFERROR(IF(Final_Sans_VGE[[#This Row],[ppn_z]]="","",IFERROR(
   IF(_xlfn.XLOOKUP(Final_Sans_VGE[[#This Row],[ppn_z]],tbl_Historique_Final[[#This Row],[ppn_z]],tbl_Historique_Final[[#This Row],[date_modif]])=Final_Sans_VGE[[#This Row],[date_modif]],
      "Ancien",
      "Modifié"),
   "Nouveau")),"")</f>
        <v/>
      </c>
    </row>
    <row r="5187" spans="24:30" x14ac:dyDescent="0.25">
      <c r="X5187" s="8" t="e">
        <f>IF(Final_Sans_VGE[[#This Row],[ppn_z]]="","",IFERROR(
   IF(_xlfn.XLOOKUP(Final_Sans_VGE[[#This Row],[ppn_z]],tbl_Historique_Final[ppn_z],tbl_Historique_Final[date_modif])=Final_Sans_VGE[[#This Row],[date_modif]],
      "Ancien",
      "Modifié"),
   "Nouveau"))</f>
        <v>#VALUE!</v>
      </c>
      <c r="AD5187" s="1" t="str">
        <f>IFERROR(IF(Final_Sans_VGE[[#This Row],[ppn_z]]="","",IFERROR(
   IF(_xlfn.XLOOKUP(Final_Sans_VGE[[#This Row],[ppn_z]],tbl_Historique_Final[[#This Row],[ppn_z]],tbl_Historique_Final[[#This Row],[date_modif]])=Final_Sans_VGE[[#This Row],[date_modif]],
      "Ancien",
      "Modifié"),
   "Nouveau")),"")</f>
        <v/>
      </c>
    </row>
    <row r="5188" spans="24:30" x14ac:dyDescent="0.25">
      <c r="X5188" s="8" t="e">
        <f>IF(Final_Sans_VGE[[#This Row],[ppn_z]]="","",IFERROR(
   IF(_xlfn.XLOOKUP(Final_Sans_VGE[[#This Row],[ppn_z]],tbl_Historique_Final[ppn_z],tbl_Historique_Final[date_modif])=Final_Sans_VGE[[#This Row],[date_modif]],
      "Ancien",
      "Modifié"),
   "Nouveau"))</f>
        <v>#VALUE!</v>
      </c>
      <c r="AD5188" s="1" t="str">
        <f>IFERROR(IF(Final_Sans_VGE[[#This Row],[ppn_z]]="","",IFERROR(
   IF(_xlfn.XLOOKUP(Final_Sans_VGE[[#This Row],[ppn_z]],tbl_Historique_Final[[#This Row],[ppn_z]],tbl_Historique_Final[[#This Row],[date_modif]])=Final_Sans_VGE[[#This Row],[date_modif]],
      "Ancien",
      "Modifié"),
   "Nouveau")),"")</f>
        <v/>
      </c>
    </row>
    <row r="5189" spans="24:30" x14ac:dyDescent="0.25">
      <c r="X5189" s="8" t="e">
        <f>IF(Final_Sans_VGE[[#This Row],[ppn_z]]="","",IFERROR(
   IF(_xlfn.XLOOKUP(Final_Sans_VGE[[#This Row],[ppn_z]],tbl_Historique_Final[ppn_z],tbl_Historique_Final[date_modif])=Final_Sans_VGE[[#This Row],[date_modif]],
      "Ancien",
      "Modifié"),
   "Nouveau"))</f>
        <v>#VALUE!</v>
      </c>
      <c r="AD5189" s="1" t="str">
        <f>IFERROR(IF(Final_Sans_VGE[[#This Row],[ppn_z]]="","",IFERROR(
   IF(_xlfn.XLOOKUP(Final_Sans_VGE[[#This Row],[ppn_z]],tbl_Historique_Final[[#This Row],[ppn_z]],tbl_Historique_Final[[#This Row],[date_modif]])=Final_Sans_VGE[[#This Row],[date_modif]],
      "Ancien",
      "Modifié"),
   "Nouveau")),"")</f>
        <v/>
      </c>
    </row>
    <row r="5190" spans="24:30" x14ac:dyDescent="0.25">
      <c r="X5190" s="8" t="e">
        <f>IF(Final_Sans_VGE[[#This Row],[ppn_z]]="","",IFERROR(
   IF(_xlfn.XLOOKUP(Final_Sans_VGE[[#This Row],[ppn_z]],tbl_Historique_Final[ppn_z],tbl_Historique_Final[date_modif])=Final_Sans_VGE[[#This Row],[date_modif]],
      "Ancien",
      "Modifié"),
   "Nouveau"))</f>
        <v>#VALUE!</v>
      </c>
      <c r="AD5190" s="1" t="str">
        <f>IFERROR(IF(Final_Sans_VGE[[#This Row],[ppn_z]]="","",IFERROR(
   IF(_xlfn.XLOOKUP(Final_Sans_VGE[[#This Row],[ppn_z]],tbl_Historique_Final[[#This Row],[ppn_z]],tbl_Historique_Final[[#This Row],[date_modif]])=Final_Sans_VGE[[#This Row],[date_modif]],
      "Ancien",
      "Modifié"),
   "Nouveau")),"")</f>
        <v/>
      </c>
    </row>
    <row r="5191" spans="24:30" x14ac:dyDescent="0.25">
      <c r="X5191" s="8" t="e">
        <f>IF(Final_Sans_VGE[[#This Row],[ppn_z]]="","",IFERROR(
   IF(_xlfn.XLOOKUP(Final_Sans_VGE[[#This Row],[ppn_z]],tbl_Historique_Final[ppn_z],tbl_Historique_Final[date_modif])=Final_Sans_VGE[[#This Row],[date_modif]],
      "Ancien",
      "Modifié"),
   "Nouveau"))</f>
        <v>#VALUE!</v>
      </c>
      <c r="AD5191" s="1" t="str">
        <f>IFERROR(IF(Final_Sans_VGE[[#This Row],[ppn_z]]="","",IFERROR(
   IF(_xlfn.XLOOKUP(Final_Sans_VGE[[#This Row],[ppn_z]],tbl_Historique_Final[[#This Row],[ppn_z]],tbl_Historique_Final[[#This Row],[date_modif]])=Final_Sans_VGE[[#This Row],[date_modif]],
      "Ancien",
      "Modifié"),
   "Nouveau")),"")</f>
        <v/>
      </c>
    </row>
    <row r="5192" spans="24:30" x14ac:dyDescent="0.25">
      <c r="X5192" s="8" t="e">
        <f>IF(Final_Sans_VGE[[#This Row],[ppn_z]]="","",IFERROR(
   IF(_xlfn.XLOOKUP(Final_Sans_VGE[[#This Row],[ppn_z]],tbl_Historique_Final[ppn_z],tbl_Historique_Final[date_modif])=Final_Sans_VGE[[#This Row],[date_modif]],
      "Ancien",
      "Modifié"),
   "Nouveau"))</f>
        <v>#VALUE!</v>
      </c>
      <c r="AD5192" s="1" t="str">
        <f>IFERROR(IF(Final_Sans_VGE[[#This Row],[ppn_z]]="","",IFERROR(
   IF(_xlfn.XLOOKUP(Final_Sans_VGE[[#This Row],[ppn_z]],tbl_Historique_Final[[#This Row],[ppn_z]],tbl_Historique_Final[[#This Row],[date_modif]])=Final_Sans_VGE[[#This Row],[date_modif]],
      "Ancien",
      "Modifié"),
   "Nouveau")),"")</f>
        <v/>
      </c>
    </row>
    <row r="5193" spans="24:30" x14ac:dyDescent="0.25">
      <c r="X5193" s="8" t="e">
        <f>IF(Final_Sans_VGE[[#This Row],[ppn_z]]="","",IFERROR(
   IF(_xlfn.XLOOKUP(Final_Sans_VGE[[#This Row],[ppn_z]],tbl_Historique_Final[ppn_z],tbl_Historique_Final[date_modif])=Final_Sans_VGE[[#This Row],[date_modif]],
      "Ancien",
      "Modifié"),
   "Nouveau"))</f>
        <v>#VALUE!</v>
      </c>
      <c r="AD5193" s="1" t="str">
        <f>IFERROR(IF(Final_Sans_VGE[[#This Row],[ppn_z]]="","",IFERROR(
   IF(_xlfn.XLOOKUP(Final_Sans_VGE[[#This Row],[ppn_z]],tbl_Historique_Final[[#This Row],[ppn_z]],tbl_Historique_Final[[#This Row],[date_modif]])=Final_Sans_VGE[[#This Row],[date_modif]],
      "Ancien",
      "Modifié"),
   "Nouveau")),"")</f>
        <v/>
      </c>
    </row>
    <row r="5194" spans="24:30" x14ac:dyDescent="0.25">
      <c r="X5194" s="8" t="e">
        <f>IF(Final_Sans_VGE[[#This Row],[ppn_z]]="","",IFERROR(
   IF(_xlfn.XLOOKUP(Final_Sans_VGE[[#This Row],[ppn_z]],tbl_Historique_Final[ppn_z],tbl_Historique_Final[date_modif])=Final_Sans_VGE[[#This Row],[date_modif]],
      "Ancien",
      "Modifié"),
   "Nouveau"))</f>
        <v>#VALUE!</v>
      </c>
      <c r="AD5194" s="1" t="str">
        <f>IFERROR(IF(Final_Sans_VGE[[#This Row],[ppn_z]]="","",IFERROR(
   IF(_xlfn.XLOOKUP(Final_Sans_VGE[[#This Row],[ppn_z]],tbl_Historique_Final[[#This Row],[ppn_z]],tbl_Historique_Final[[#This Row],[date_modif]])=Final_Sans_VGE[[#This Row],[date_modif]],
      "Ancien",
      "Modifié"),
   "Nouveau")),"")</f>
        <v/>
      </c>
    </row>
    <row r="5195" spans="24:30" x14ac:dyDescent="0.25">
      <c r="X5195" s="8" t="e">
        <f>IF(Final_Sans_VGE[[#This Row],[ppn_z]]="","",IFERROR(
   IF(_xlfn.XLOOKUP(Final_Sans_VGE[[#This Row],[ppn_z]],tbl_Historique_Final[ppn_z],tbl_Historique_Final[date_modif])=Final_Sans_VGE[[#This Row],[date_modif]],
      "Ancien",
      "Modifié"),
   "Nouveau"))</f>
        <v>#VALUE!</v>
      </c>
      <c r="AD5195" s="1" t="str">
        <f>IFERROR(IF(Final_Sans_VGE[[#This Row],[ppn_z]]="","",IFERROR(
   IF(_xlfn.XLOOKUP(Final_Sans_VGE[[#This Row],[ppn_z]],tbl_Historique_Final[[#This Row],[ppn_z]],tbl_Historique_Final[[#This Row],[date_modif]])=Final_Sans_VGE[[#This Row],[date_modif]],
      "Ancien",
      "Modifié"),
   "Nouveau")),"")</f>
        <v/>
      </c>
    </row>
    <row r="5196" spans="24:30" x14ac:dyDescent="0.25">
      <c r="X5196" s="8" t="e">
        <f>IF(Final_Sans_VGE[[#This Row],[ppn_z]]="","",IFERROR(
   IF(_xlfn.XLOOKUP(Final_Sans_VGE[[#This Row],[ppn_z]],tbl_Historique_Final[ppn_z],tbl_Historique_Final[date_modif])=Final_Sans_VGE[[#This Row],[date_modif]],
      "Ancien",
      "Modifié"),
   "Nouveau"))</f>
        <v>#VALUE!</v>
      </c>
      <c r="AD5196" s="1" t="str">
        <f>IFERROR(IF(Final_Sans_VGE[[#This Row],[ppn_z]]="","",IFERROR(
   IF(_xlfn.XLOOKUP(Final_Sans_VGE[[#This Row],[ppn_z]],tbl_Historique_Final[[#This Row],[ppn_z]],tbl_Historique_Final[[#This Row],[date_modif]])=Final_Sans_VGE[[#This Row],[date_modif]],
      "Ancien",
      "Modifié"),
   "Nouveau")),"")</f>
        <v/>
      </c>
    </row>
    <row r="5197" spans="24:30" x14ac:dyDescent="0.25">
      <c r="X5197" s="8" t="e">
        <f>IF(Final_Sans_VGE[[#This Row],[ppn_z]]="","",IFERROR(
   IF(_xlfn.XLOOKUP(Final_Sans_VGE[[#This Row],[ppn_z]],tbl_Historique_Final[ppn_z],tbl_Historique_Final[date_modif])=Final_Sans_VGE[[#This Row],[date_modif]],
      "Ancien",
      "Modifié"),
   "Nouveau"))</f>
        <v>#VALUE!</v>
      </c>
      <c r="AD5197" s="1" t="str">
        <f>IFERROR(IF(Final_Sans_VGE[[#This Row],[ppn_z]]="","",IFERROR(
   IF(_xlfn.XLOOKUP(Final_Sans_VGE[[#This Row],[ppn_z]],tbl_Historique_Final[[#This Row],[ppn_z]],tbl_Historique_Final[[#This Row],[date_modif]])=Final_Sans_VGE[[#This Row],[date_modif]],
      "Ancien",
      "Modifié"),
   "Nouveau")),"")</f>
        <v/>
      </c>
    </row>
    <row r="5198" spans="24:30" x14ac:dyDescent="0.25">
      <c r="X5198" s="8" t="e">
        <f>IF(Final_Sans_VGE[[#This Row],[ppn_z]]="","",IFERROR(
   IF(_xlfn.XLOOKUP(Final_Sans_VGE[[#This Row],[ppn_z]],tbl_Historique_Final[ppn_z],tbl_Historique_Final[date_modif])=Final_Sans_VGE[[#This Row],[date_modif]],
      "Ancien",
      "Modifié"),
   "Nouveau"))</f>
        <v>#VALUE!</v>
      </c>
      <c r="AD5198" s="1" t="str">
        <f>IFERROR(IF(Final_Sans_VGE[[#This Row],[ppn_z]]="","",IFERROR(
   IF(_xlfn.XLOOKUP(Final_Sans_VGE[[#This Row],[ppn_z]],tbl_Historique_Final[[#This Row],[ppn_z]],tbl_Historique_Final[[#This Row],[date_modif]])=Final_Sans_VGE[[#This Row],[date_modif]],
      "Ancien",
      "Modifié"),
   "Nouveau")),"")</f>
        <v/>
      </c>
    </row>
    <row r="5199" spans="24:30" x14ac:dyDescent="0.25">
      <c r="X5199" s="8" t="e">
        <f>IF(Final_Sans_VGE[[#This Row],[ppn_z]]="","",IFERROR(
   IF(_xlfn.XLOOKUP(Final_Sans_VGE[[#This Row],[ppn_z]],tbl_Historique_Final[ppn_z],tbl_Historique_Final[date_modif])=Final_Sans_VGE[[#This Row],[date_modif]],
      "Ancien",
      "Modifié"),
   "Nouveau"))</f>
        <v>#VALUE!</v>
      </c>
      <c r="AD5199" s="1" t="str">
        <f>IFERROR(IF(Final_Sans_VGE[[#This Row],[ppn_z]]="","",IFERROR(
   IF(_xlfn.XLOOKUP(Final_Sans_VGE[[#This Row],[ppn_z]],tbl_Historique_Final[[#This Row],[ppn_z]],tbl_Historique_Final[[#This Row],[date_modif]])=Final_Sans_VGE[[#This Row],[date_modif]],
      "Ancien",
      "Modifié"),
   "Nouveau")),"")</f>
        <v/>
      </c>
    </row>
    <row r="5200" spans="24:30" x14ac:dyDescent="0.25">
      <c r="X5200" s="8" t="e">
        <f>IF(Final_Sans_VGE[[#This Row],[ppn_z]]="","",IFERROR(
   IF(_xlfn.XLOOKUP(Final_Sans_VGE[[#This Row],[ppn_z]],tbl_Historique_Final[ppn_z],tbl_Historique_Final[date_modif])=Final_Sans_VGE[[#This Row],[date_modif]],
      "Ancien",
      "Modifié"),
   "Nouveau"))</f>
        <v>#VALUE!</v>
      </c>
      <c r="AD5200" s="1" t="str">
        <f>IFERROR(IF(Final_Sans_VGE[[#This Row],[ppn_z]]="","",IFERROR(
   IF(_xlfn.XLOOKUP(Final_Sans_VGE[[#This Row],[ppn_z]],tbl_Historique_Final[[#This Row],[ppn_z]],tbl_Historique_Final[[#This Row],[date_modif]])=Final_Sans_VGE[[#This Row],[date_modif]],
      "Ancien",
      "Modifié"),
   "Nouveau")),"")</f>
        <v/>
      </c>
    </row>
    <row r="5201" spans="24:30" x14ac:dyDescent="0.25">
      <c r="X5201" s="8" t="e">
        <f>IF(Final_Sans_VGE[[#This Row],[ppn_z]]="","",IFERROR(
   IF(_xlfn.XLOOKUP(Final_Sans_VGE[[#This Row],[ppn_z]],tbl_Historique_Final[ppn_z],tbl_Historique_Final[date_modif])=Final_Sans_VGE[[#This Row],[date_modif]],
      "Ancien",
      "Modifié"),
   "Nouveau"))</f>
        <v>#VALUE!</v>
      </c>
      <c r="AD5201" s="1" t="str">
        <f>IFERROR(IF(Final_Sans_VGE[[#This Row],[ppn_z]]="","",IFERROR(
   IF(_xlfn.XLOOKUP(Final_Sans_VGE[[#This Row],[ppn_z]],tbl_Historique_Final[[#This Row],[ppn_z]],tbl_Historique_Final[[#This Row],[date_modif]])=Final_Sans_VGE[[#This Row],[date_modif]],
      "Ancien",
      "Modifié"),
   "Nouveau")),"")</f>
        <v/>
      </c>
    </row>
    <row r="5202" spans="24:30" x14ac:dyDescent="0.25">
      <c r="X5202" s="8" t="e">
        <f>IF(Final_Sans_VGE[[#This Row],[ppn_z]]="","",IFERROR(
   IF(_xlfn.XLOOKUP(Final_Sans_VGE[[#This Row],[ppn_z]],tbl_Historique_Final[ppn_z],tbl_Historique_Final[date_modif])=Final_Sans_VGE[[#This Row],[date_modif]],
      "Ancien",
      "Modifié"),
   "Nouveau"))</f>
        <v>#VALUE!</v>
      </c>
      <c r="AD5202" s="1" t="str">
        <f>IFERROR(IF(Final_Sans_VGE[[#This Row],[ppn_z]]="","",IFERROR(
   IF(_xlfn.XLOOKUP(Final_Sans_VGE[[#This Row],[ppn_z]],tbl_Historique_Final[[#This Row],[ppn_z]],tbl_Historique_Final[[#This Row],[date_modif]])=Final_Sans_VGE[[#This Row],[date_modif]],
      "Ancien",
      "Modifié"),
   "Nouveau")),"")</f>
        <v/>
      </c>
    </row>
    <row r="5203" spans="24:30" x14ac:dyDescent="0.25">
      <c r="X5203" s="8" t="e">
        <f>IF(Final_Sans_VGE[[#This Row],[ppn_z]]="","",IFERROR(
   IF(_xlfn.XLOOKUP(Final_Sans_VGE[[#This Row],[ppn_z]],tbl_Historique_Final[ppn_z],tbl_Historique_Final[date_modif])=Final_Sans_VGE[[#This Row],[date_modif]],
      "Ancien",
      "Modifié"),
   "Nouveau"))</f>
        <v>#VALUE!</v>
      </c>
      <c r="AD5203" s="1" t="str">
        <f>IFERROR(IF(Final_Sans_VGE[[#This Row],[ppn_z]]="","",IFERROR(
   IF(_xlfn.XLOOKUP(Final_Sans_VGE[[#This Row],[ppn_z]],tbl_Historique_Final[[#This Row],[ppn_z]],tbl_Historique_Final[[#This Row],[date_modif]])=Final_Sans_VGE[[#This Row],[date_modif]],
      "Ancien",
      "Modifié"),
   "Nouveau")),"")</f>
        <v/>
      </c>
    </row>
    <row r="5204" spans="24:30" x14ac:dyDescent="0.25">
      <c r="X5204" s="8" t="e">
        <f>IF(Final_Sans_VGE[[#This Row],[ppn_z]]="","",IFERROR(
   IF(_xlfn.XLOOKUP(Final_Sans_VGE[[#This Row],[ppn_z]],tbl_Historique_Final[ppn_z],tbl_Historique_Final[date_modif])=Final_Sans_VGE[[#This Row],[date_modif]],
      "Ancien",
      "Modifié"),
   "Nouveau"))</f>
        <v>#VALUE!</v>
      </c>
      <c r="AD5204" s="1" t="str">
        <f>IFERROR(IF(Final_Sans_VGE[[#This Row],[ppn_z]]="","",IFERROR(
   IF(_xlfn.XLOOKUP(Final_Sans_VGE[[#This Row],[ppn_z]],tbl_Historique_Final[[#This Row],[ppn_z]],tbl_Historique_Final[[#This Row],[date_modif]])=Final_Sans_VGE[[#This Row],[date_modif]],
      "Ancien",
      "Modifié"),
   "Nouveau")),"")</f>
        <v/>
      </c>
    </row>
    <row r="5205" spans="24:30" x14ac:dyDescent="0.25">
      <c r="X5205" s="8" t="e">
        <f>IF(Final_Sans_VGE[[#This Row],[ppn_z]]="","",IFERROR(
   IF(_xlfn.XLOOKUP(Final_Sans_VGE[[#This Row],[ppn_z]],tbl_Historique_Final[ppn_z],tbl_Historique_Final[date_modif])=Final_Sans_VGE[[#This Row],[date_modif]],
      "Ancien",
      "Modifié"),
   "Nouveau"))</f>
        <v>#VALUE!</v>
      </c>
      <c r="AD5205" s="1" t="str">
        <f>IFERROR(IF(Final_Sans_VGE[[#This Row],[ppn_z]]="","",IFERROR(
   IF(_xlfn.XLOOKUP(Final_Sans_VGE[[#This Row],[ppn_z]],tbl_Historique_Final[[#This Row],[ppn_z]],tbl_Historique_Final[[#This Row],[date_modif]])=Final_Sans_VGE[[#This Row],[date_modif]],
      "Ancien",
      "Modifié"),
   "Nouveau")),"")</f>
        <v/>
      </c>
    </row>
    <row r="5206" spans="24:30" x14ac:dyDescent="0.25">
      <c r="X5206" s="8" t="e">
        <f>IF(Final_Sans_VGE[[#This Row],[ppn_z]]="","",IFERROR(
   IF(_xlfn.XLOOKUP(Final_Sans_VGE[[#This Row],[ppn_z]],tbl_Historique_Final[ppn_z],tbl_Historique_Final[date_modif])=Final_Sans_VGE[[#This Row],[date_modif]],
      "Ancien",
      "Modifié"),
   "Nouveau"))</f>
        <v>#VALUE!</v>
      </c>
      <c r="AD5206" s="1" t="str">
        <f>IFERROR(IF(Final_Sans_VGE[[#This Row],[ppn_z]]="","",IFERROR(
   IF(_xlfn.XLOOKUP(Final_Sans_VGE[[#This Row],[ppn_z]],tbl_Historique_Final[[#This Row],[ppn_z]],tbl_Historique_Final[[#This Row],[date_modif]])=Final_Sans_VGE[[#This Row],[date_modif]],
      "Ancien",
      "Modifié"),
   "Nouveau")),"")</f>
        <v/>
      </c>
    </row>
    <row r="5207" spans="24:30" x14ac:dyDescent="0.25">
      <c r="X5207" s="8" t="e">
        <f>IF(Final_Sans_VGE[[#This Row],[ppn_z]]="","",IFERROR(
   IF(_xlfn.XLOOKUP(Final_Sans_VGE[[#This Row],[ppn_z]],tbl_Historique_Final[ppn_z],tbl_Historique_Final[date_modif])=Final_Sans_VGE[[#This Row],[date_modif]],
      "Ancien",
      "Modifié"),
   "Nouveau"))</f>
        <v>#VALUE!</v>
      </c>
      <c r="AD5207" s="1" t="str">
        <f>IFERROR(IF(Final_Sans_VGE[[#This Row],[ppn_z]]="","",IFERROR(
   IF(_xlfn.XLOOKUP(Final_Sans_VGE[[#This Row],[ppn_z]],tbl_Historique_Final[[#This Row],[ppn_z]],tbl_Historique_Final[[#This Row],[date_modif]])=Final_Sans_VGE[[#This Row],[date_modif]],
      "Ancien",
      "Modifié"),
   "Nouveau")),"")</f>
        <v/>
      </c>
    </row>
    <row r="5208" spans="24:30" x14ac:dyDescent="0.25">
      <c r="X5208" s="8" t="e">
        <f>IF(Final_Sans_VGE[[#This Row],[ppn_z]]="","",IFERROR(
   IF(_xlfn.XLOOKUP(Final_Sans_VGE[[#This Row],[ppn_z]],tbl_Historique_Final[ppn_z],tbl_Historique_Final[date_modif])=Final_Sans_VGE[[#This Row],[date_modif]],
      "Ancien",
      "Modifié"),
   "Nouveau"))</f>
        <v>#VALUE!</v>
      </c>
      <c r="AD5208" s="1" t="str">
        <f>IFERROR(IF(Final_Sans_VGE[[#This Row],[ppn_z]]="","",IFERROR(
   IF(_xlfn.XLOOKUP(Final_Sans_VGE[[#This Row],[ppn_z]],tbl_Historique_Final[[#This Row],[ppn_z]],tbl_Historique_Final[[#This Row],[date_modif]])=Final_Sans_VGE[[#This Row],[date_modif]],
      "Ancien",
      "Modifié"),
   "Nouveau")),"")</f>
        <v/>
      </c>
    </row>
    <row r="5209" spans="24:30" x14ac:dyDescent="0.25">
      <c r="X5209" s="8" t="e">
        <f>IF(Final_Sans_VGE[[#This Row],[ppn_z]]="","",IFERROR(
   IF(_xlfn.XLOOKUP(Final_Sans_VGE[[#This Row],[ppn_z]],tbl_Historique_Final[ppn_z],tbl_Historique_Final[date_modif])=Final_Sans_VGE[[#This Row],[date_modif]],
      "Ancien",
      "Modifié"),
   "Nouveau"))</f>
        <v>#VALUE!</v>
      </c>
      <c r="AD5209" s="1" t="str">
        <f>IFERROR(IF(Final_Sans_VGE[[#This Row],[ppn_z]]="","",IFERROR(
   IF(_xlfn.XLOOKUP(Final_Sans_VGE[[#This Row],[ppn_z]],tbl_Historique_Final[[#This Row],[ppn_z]],tbl_Historique_Final[[#This Row],[date_modif]])=Final_Sans_VGE[[#This Row],[date_modif]],
      "Ancien",
      "Modifié"),
   "Nouveau")),"")</f>
        <v/>
      </c>
    </row>
    <row r="5210" spans="24:30" x14ac:dyDescent="0.25">
      <c r="X5210" s="8" t="e">
        <f>IF(Final_Sans_VGE[[#This Row],[ppn_z]]="","",IFERROR(
   IF(_xlfn.XLOOKUP(Final_Sans_VGE[[#This Row],[ppn_z]],tbl_Historique_Final[ppn_z],tbl_Historique_Final[date_modif])=Final_Sans_VGE[[#This Row],[date_modif]],
      "Ancien",
      "Modifié"),
   "Nouveau"))</f>
        <v>#VALUE!</v>
      </c>
      <c r="AD5210" s="1" t="str">
        <f>IFERROR(IF(Final_Sans_VGE[[#This Row],[ppn_z]]="","",IFERROR(
   IF(_xlfn.XLOOKUP(Final_Sans_VGE[[#This Row],[ppn_z]],tbl_Historique_Final[[#This Row],[ppn_z]],tbl_Historique_Final[[#This Row],[date_modif]])=Final_Sans_VGE[[#This Row],[date_modif]],
      "Ancien",
      "Modifié"),
   "Nouveau")),"")</f>
        <v/>
      </c>
    </row>
    <row r="5211" spans="24:30" x14ac:dyDescent="0.25">
      <c r="X5211" s="8" t="e">
        <f>IF(Final_Sans_VGE[[#This Row],[ppn_z]]="","",IFERROR(
   IF(_xlfn.XLOOKUP(Final_Sans_VGE[[#This Row],[ppn_z]],tbl_Historique_Final[ppn_z],tbl_Historique_Final[date_modif])=Final_Sans_VGE[[#This Row],[date_modif]],
      "Ancien",
      "Modifié"),
   "Nouveau"))</f>
        <v>#VALUE!</v>
      </c>
      <c r="AD5211" s="1" t="str">
        <f>IFERROR(IF(Final_Sans_VGE[[#This Row],[ppn_z]]="","",IFERROR(
   IF(_xlfn.XLOOKUP(Final_Sans_VGE[[#This Row],[ppn_z]],tbl_Historique_Final[[#This Row],[ppn_z]],tbl_Historique_Final[[#This Row],[date_modif]])=Final_Sans_VGE[[#This Row],[date_modif]],
      "Ancien",
      "Modifié"),
   "Nouveau")),"")</f>
        <v/>
      </c>
    </row>
    <row r="5212" spans="24:30" x14ac:dyDescent="0.25">
      <c r="X5212" s="8" t="e">
        <f>IF(Final_Sans_VGE[[#This Row],[ppn_z]]="","",IFERROR(
   IF(_xlfn.XLOOKUP(Final_Sans_VGE[[#This Row],[ppn_z]],tbl_Historique_Final[ppn_z],tbl_Historique_Final[date_modif])=Final_Sans_VGE[[#This Row],[date_modif]],
      "Ancien",
      "Modifié"),
   "Nouveau"))</f>
        <v>#VALUE!</v>
      </c>
      <c r="AD5212" s="1" t="str">
        <f>IFERROR(IF(Final_Sans_VGE[[#This Row],[ppn_z]]="","",IFERROR(
   IF(_xlfn.XLOOKUP(Final_Sans_VGE[[#This Row],[ppn_z]],tbl_Historique_Final[[#This Row],[ppn_z]],tbl_Historique_Final[[#This Row],[date_modif]])=Final_Sans_VGE[[#This Row],[date_modif]],
      "Ancien",
      "Modifié"),
   "Nouveau")),"")</f>
        <v/>
      </c>
    </row>
    <row r="5213" spans="24:30" x14ac:dyDescent="0.25">
      <c r="X5213" s="8" t="e">
        <f>IF(Final_Sans_VGE[[#This Row],[ppn_z]]="","",IFERROR(
   IF(_xlfn.XLOOKUP(Final_Sans_VGE[[#This Row],[ppn_z]],tbl_Historique_Final[ppn_z],tbl_Historique_Final[date_modif])=Final_Sans_VGE[[#This Row],[date_modif]],
      "Ancien",
      "Modifié"),
   "Nouveau"))</f>
        <v>#VALUE!</v>
      </c>
      <c r="AD5213" s="1" t="str">
        <f>IFERROR(IF(Final_Sans_VGE[[#This Row],[ppn_z]]="","",IFERROR(
   IF(_xlfn.XLOOKUP(Final_Sans_VGE[[#This Row],[ppn_z]],tbl_Historique_Final[[#This Row],[ppn_z]],tbl_Historique_Final[[#This Row],[date_modif]])=Final_Sans_VGE[[#This Row],[date_modif]],
      "Ancien",
      "Modifié"),
   "Nouveau")),"")</f>
        <v/>
      </c>
    </row>
    <row r="5214" spans="24:30" x14ac:dyDescent="0.25">
      <c r="X5214" s="8" t="e">
        <f>IF(Final_Sans_VGE[[#This Row],[ppn_z]]="","",IFERROR(
   IF(_xlfn.XLOOKUP(Final_Sans_VGE[[#This Row],[ppn_z]],tbl_Historique_Final[ppn_z],tbl_Historique_Final[date_modif])=Final_Sans_VGE[[#This Row],[date_modif]],
      "Ancien",
      "Modifié"),
   "Nouveau"))</f>
        <v>#VALUE!</v>
      </c>
      <c r="AD5214" s="1" t="str">
        <f>IFERROR(IF(Final_Sans_VGE[[#This Row],[ppn_z]]="","",IFERROR(
   IF(_xlfn.XLOOKUP(Final_Sans_VGE[[#This Row],[ppn_z]],tbl_Historique_Final[[#This Row],[ppn_z]],tbl_Historique_Final[[#This Row],[date_modif]])=Final_Sans_VGE[[#This Row],[date_modif]],
      "Ancien",
      "Modifié"),
   "Nouveau")),"")</f>
        <v/>
      </c>
    </row>
    <row r="5215" spans="24:30" x14ac:dyDescent="0.25">
      <c r="X5215" s="8" t="e">
        <f>IF(Final_Sans_VGE[[#This Row],[ppn_z]]="","",IFERROR(
   IF(_xlfn.XLOOKUP(Final_Sans_VGE[[#This Row],[ppn_z]],tbl_Historique_Final[ppn_z],tbl_Historique_Final[date_modif])=Final_Sans_VGE[[#This Row],[date_modif]],
      "Ancien",
      "Modifié"),
   "Nouveau"))</f>
        <v>#VALUE!</v>
      </c>
      <c r="AD5215" s="1" t="str">
        <f>IFERROR(IF(Final_Sans_VGE[[#This Row],[ppn_z]]="","",IFERROR(
   IF(_xlfn.XLOOKUP(Final_Sans_VGE[[#This Row],[ppn_z]],tbl_Historique_Final[[#This Row],[ppn_z]],tbl_Historique_Final[[#This Row],[date_modif]])=Final_Sans_VGE[[#This Row],[date_modif]],
      "Ancien",
      "Modifié"),
   "Nouveau")),"")</f>
        <v/>
      </c>
    </row>
    <row r="5216" spans="24:30" x14ac:dyDescent="0.25">
      <c r="X5216" s="8" t="e">
        <f>IF(Final_Sans_VGE[[#This Row],[ppn_z]]="","",IFERROR(
   IF(_xlfn.XLOOKUP(Final_Sans_VGE[[#This Row],[ppn_z]],tbl_Historique_Final[ppn_z],tbl_Historique_Final[date_modif])=Final_Sans_VGE[[#This Row],[date_modif]],
      "Ancien",
      "Modifié"),
   "Nouveau"))</f>
        <v>#VALUE!</v>
      </c>
      <c r="AD5216" s="1" t="str">
        <f>IFERROR(IF(Final_Sans_VGE[[#This Row],[ppn_z]]="","",IFERROR(
   IF(_xlfn.XLOOKUP(Final_Sans_VGE[[#This Row],[ppn_z]],tbl_Historique_Final[[#This Row],[ppn_z]],tbl_Historique_Final[[#This Row],[date_modif]])=Final_Sans_VGE[[#This Row],[date_modif]],
      "Ancien",
      "Modifié"),
   "Nouveau")),"")</f>
        <v/>
      </c>
    </row>
    <row r="5217" spans="24:30" x14ac:dyDescent="0.25">
      <c r="X5217" s="8" t="e">
        <f>IF(Final_Sans_VGE[[#This Row],[ppn_z]]="","",IFERROR(
   IF(_xlfn.XLOOKUP(Final_Sans_VGE[[#This Row],[ppn_z]],tbl_Historique_Final[ppn_z],tbl_Historique_Final[date_modif])=Final_Sans_VGE[[#This Row],[date_modif]],
      "Ancien",
      "Modifié"),
   "Nouveau"))</f>
        <v>#VALUE!</v>
      </c>
      <c r="AD5217" s="1" t="str">
        <f>IFERROR(IF(Final_Sans_VGE[[#This Row],[ppn_z]]="","",IFERROR(
   IF(_xlfn.XLOOKUP(Final_Sans_VGE[[#This Row],[ppn_z]],tbl_Historique_Final[[#This Row],[ppn_z]],tbl_Historique_Final[[#This Row],[date_modif]])=Final_Sans_VGE[[#This Row],[date_modif]],
      "Ancien",
      "Modifié"),
   "Nouveau")),"")</f>
        <v/>
      </c>
    </row>
    <row r="5218" spans="24:30" x14ac:dyDescent="0.25">
      <c r="X5218" s="8" t="e">
        <f>IF(Final_Sans_VGE[[#This Row],[ppn_z]]="","",IFERROR(
   IF(_xlfn.XLOOKUP(Final_Sans_VGE[[#This Row],[ppn_z]],tbl_Historique_Final[ppn_z],tbl_Historique_Final[date_modif])=Final_Sans_VGE[[#This Row],[date_modif]],
      "Ancien",
      "Modifié"),
   "Nouveau"))</f>
        <v>#VALUE!</v>
      </c>
      <c r="AD5218" s="1" t="str">
        <f>IFERROR(IF(Final_Sans_VGE[[#This Row],[ppn_z]]="","",IFERROR(
   IF(_xlfn.XLOOKUP(Final_Sans_VGE[[#This Row],[ppn_z]],tbl_Historique_Final[[#This Row],[ppn_z]],tbl_Historique_Final[[#This Row],[date_modif]])=Final_Sans_VGE[[#This Row],[date_modif]],
      "Ancien",
      "Modifié"),
   "Nouveau")),"")</f>
        <v/>
      </c>
    </row>
    <row r="5219" spans="24:30" x14ac:dyDescent="0.25">
      <c r="X5219" s="8" t="e">
        <f>IF(Final_Sans_VGE[[#This Row],[ppn_z]]="","",IFERROR(
   IF(_xlfn.XLOOKUP(Final_Sans_VGE[[#This Row],[ppn_z]],tbl_Historique_Final[ppn_z],tbl_Historique_Final[date_modif])=Final_Sans_VGE[[#This Row],[date_modif]],
      "Ancien",
      "Modifié"),
   "Nouveau"))</f>
        <v>#VALUE!</v>
      </c>
      <c r="AD5219" s="1" t="str">
        <f>IFERROR(IF(Final_Sans_VGE[[#This Row],[ppn_z]]="","",IFERROR(
   IF(_xlfn.XLOOKUP(Final_Sans_VGE[[#This Row],[ppn_z]],tbl_Historique_Final[[#This Row],[ppn_z]],tbl_Historique_Final[[#This Row],[date_modif]])=Final_Sans_VGE[[#This Row],[date_modif]],
      "Ancien",
      "Modifié"),
   "Nouveau")),"")</f>
        <v/>
      </c>
    </row>
    <row r="5220" spans="24:30" x14ac:dyDescent="0.25">
      <c r="X5220" s="8" t="e">
        <f>IF(Final_Sans_VGE[[#This Row],[ppn_z]]="","",IFERROR(
   IF(_xlfn.XLOOKUP(Final_Sans_VGE[[#This Row],[ppn_z]],tbl_Historique_Final[ppn_z],tbl_Historique_Final[date_modif])=Final_Sans_VGE[[#This Row],[date_modif]],
      "Ancien",
      "Modifié"),
   "Nouveau"))</f>
        <v>#VALUE!</v>
      </c>
      <c r="AD5220" s="1" t="str">
        <f>IFERROR(IF(Final_Sans_VGE[[#This Row],[ppn_z]]="","",IFERROR(
   IF(_xlfn.XLOOKUP(Final_Sans_VGE[[#This Row],[ppn_z]],tbl_Historique_Final[[#This Row],[ppn_z]],tbl_Historique_Final[[#This Row],[date_modif]])=Final_Sans_VGE[[#This Row],[date_modif]],
      "Ancien",
      "Modifié"),
   "Nouveau")),"")</f>
        <v/>
      </c>
    </row>
    <row r="5221" spans="24:30" x14ac:dyDescent="0.25">
      <c r="X5221" s="8" t="e">
        <f>IF(Final_Sans_VGE[[#This Row],[ppn_z]]="","",IFERROR(
   IF(_xlfn.XLOOKUP(Final_Sans_VGE[[#This Row],[ppn_z]],tbl_Historique_Final[ppn_z],tbl_Historique_Final[date_modif])=Final_Sans_VGE[[#This Row],[date_modif]],
      "Ancien",
      "Modifié"),
   "Nouveau"))</f>
        <v>#VALUE!</v>
      </c>
      <c r="AD5221" s="1" t="str">
        <f>IFERROR(IF(Final_Sans_VGE[[#This Row],[ppn_z]]="","",IFERROR(
   IF(_xlfn.XLOOKUP(Final_Sans_VGE[[#This Row],[ppn_z]],tbl_Historique_Final[[#This Row],[ppn_z]],tbl_Historique_Final[[#This Row],[date_modif]])=Final_Sans_VGE[[#This Row],[date_modif]],
      "Ancien",
      "Modifié"),
   "Nouveau")),"")</f>
        <v/>
      </c>
    </row>
    <row r="5222" spans="24:30" x14ac:dyDescent="0.25">
      <c r="X5222" s="8" t="e">
        <f>IF(Final_Sans_VGE[[#This Row],[ppn_z]]="","",IFERROR(
   IF(_xlfn.XLOOKUP(Final_Sans_VGE[[#This Row],[ppn_z]],tbl_Historique_Final[ppn_z],tbl_Historique_Final[date_modif])=Final_Sans_VGE[[#This Row],[date_modif]],
      "Ancien",
      "Modifié"),
   "Nouveau"))</f>
        <v>#VALUE!</v>
      </c>
      <c r="AD5222" s="1" t="str">
        <f>IFERROR(IF(Final_Sans_VGE[[#This Row],[ppn_z]]="","",IFERROR(
   IF(_xlfn.XLOOKUP(Final_Sans_VGE[[#This Row],[ppn_z]],tbl_Historique_Final[[#This Row],[ppn_z]],tbl_Historique_Final[[#This Row],[date_modif]])=Final_Sans_VGE[[#This Row],[date_modif]],
      "Ancien",
      "Modifié"),
   "Nouveau")),"")</f>
        <v/>
      </c>
    </row>
    <row r="5223" spans="24:30" x14ac:dyDescent="0.25">
      <c r="X5223" s="8" t="e">
        <f>IF(Final_Sans_VGE[[#This Row],[ppn_z]]="","",IFERROR(
   IF(_xlfn.XLOOKUP(Final_Sans_VGE[[#This Row],[ppn_z]],tbl_Historique_Final[ppn_z],tbl_Historique_Final[date_modif])=Final_Sans_VGE[[#This Row],[date_modif]],
      "Ancien",
      "Modifié"),
   "Nouveau"))</f>
        <v>#VALUE!</v>
      </c>
      <c r="AD5223" s="1" t="str">
        <f>IFERROR(IF(Final_Sans_VGE[[#This Row],[ppn_z]]="","",IFERROR(
   IF(_xlfn.XLOOKUP(Final_Sans_VGE[[#This Row],[ppn_z]],tbl_Historique_Final[[#This Row],[ppn_z]],tbl_Historique_Final[[#This Row],[date_modif]])=Final_Sans_VGE[[#This Row],[date_modif]],
      "Ancien",
      "Modifié"),
   "Nouveau")),"")</f>
        <v/>
      </c>
    </row>
    <row r="5224" spans="24:30" x14ac:dyDescent="0.25">
      <c r="X5224" s="8" t="e">
        <f>IF(Final_Sans_VGE[[#This Row],[ppn_z]]="","",IFERROR(
   IF(_xlfn.XLOOKUP(Final_Sans_VGE[[#This Row],[ppn_z]],tbl_Historique_Final[ppn_z],tbl_Historique_Final[date_modif])=Final_Sans_VGE[[#This Row],[date_modif]],
      "Ancien",
      "Modifié"),
   "Nouveau"))</f>
        <v>#VALUE!</v>
      </c>
      <c r="AD5224" s="1" t="str">
        <f>IFERROR(IF(Final_Sans_VGE[[#This Row],[ppn_z]]="","",IFERROR(
   IF(_xlfn.XLOOKUP(Final_Sans_VGE[[#This Row],[ppn_z]],tbl_Historique_Final[[#This Row],[ppn_z]],tbl_Historique_Final[[#This Row],[date_modif]])=Final_Sans_VGE[[#This Row],[date_modif]],
      "Ancien",
      "Modifié"),
   "Nouveau")),"")</f>
        <v/>
      </c>
    </row>
    <row r="5225" spans="24:30" x14ac:dyDescent="0.25">
      <c r="X5225" s="8" t="e">
        <f>IF(Final_Sans_VGE[[#This Row],[ppn_z]]="","",IFERROR(
   IF(_xlfn.XLOOKUP(Final_Sans_VGE[[#This Row],[ppn_z]],tbl_Historique_Final[ppn_z],tbl_Historique_Final[date_modif])=Final_Sans_VGE[[#This Row],[date_modif]],
      "Ancien",
      "Modifié"),
   "Nouveau"))</f>
        <v>#VALUE!</v>
      </c>
      <c r="AD5225" s="1" t="str">
        <f>IFERROR(IF(Final_Sans_VGE[[#This Row],[ppn_z]]="","",IFERROR(
   IF(_xlfn.XLOOKUP(Final_Sans_VGE[[#This Row],[ppn_z]],tbl_Historique_Final[[#This Row],[ppn_z]],tbl_Historique_Final[[#This Row],[date_modif]])=Final_Sans_VGE[[#This Row],[date_modif]],
      "Ancien",
      "Modifié"),
   "Nouveau")),"")</f>
        <v/>
      </c>
    </row>
    <row r="5226" spans="24:30" x14ac:dyDescent="0.25">
      <c r="X5226" s="8" t="e">
        <f>IF(Final_Sans_VGE[[#This Row],[ppn_z]]="","",IFERROR(
   IF(_xlfn.XLOOKUP(Final_Sans_VGE[[#This Row],[ppn_z]],tbl_Historique_Final[ppn_z],tbl_Historique_Final[date_modif])=Final_Sans_VGE[[#This Row],[date_modif]],
      "Ancien",
      "Modifié"),
   "Nouveau"))</f>
        <v>#VALUE!</v>
      </c>
      <c r="AD5226" s="1" t="str">
        <f>IFERROR(IF(Final_Sans_VGE[[#This Row],[ppn_z]]="","",IFERROR(
   IF(_xlfn.XLOOKUP(Final_Sans_VGE[[#This Row],[ppn_z]],tbl_Historique_Final[[#This Row],[ppn_z]],tbl_Historique_Final[[#This Row],[date_modif]])=Final_Sans_VGE[[#This Row],[date_modif]],
      "Ancien",
      "Modifié"),
   "Nouveau")),"")</f>
        <v/>
      </c>
    </row>
    <row r="5227" spans="24:30" x14ac:dyDescent="0.25">
      <c r="X5227" s="8" t="e">
        <f>IF(Final_Sans_VGE[[#This Row],[ppn_z]]="","",IFERROR(
   IF(_xlfn.XLOOKUP(Final_Sans_VGE[[#This Row],[ppn_z]],tbl_Historique_Final[ppn_z],tbl_Historique_Final[date_modif])=Final_Sans_VGE[[#This Row],[date_modif]],
      "Ancien",
      "Modifié"),
   "Nouveau"))</f>
        <v>#VALUE!</v>
      </c>
      <c r="AD5227" s="1" t="str">
        <f>IFERROR(IF(Final_Sans_VGE[[#This Row],[ppn_z]]="","",IFERROR(
   IF(_xlfn.XLOOKUP(Final_Sans_VGE[[#This Row],[ppn_z]],tbl_Historique_Final[[#This Row],[ppn_z]],tbl_Historique_Final[[#This Row],[date_modif]])=Final_Sans_VGE[[#This Row],[date_modif]],
      "Ancien",
      "Modifié"),
   "Nouveau")),"")</f>
        <v/>
      </c>
    </row>
    <row r="5228" spans="24:30" x14ac:dyDescent="0.25">
      <c r="X5228" s="8" t="e">
        <f>IF(Final_Sans_VGE[[#This Row],[ppn_z]]="","",IFERROR(
   IF(_xlfn.XLOOKUP(Final_Sans_VGE[[#This Row],[ppn_z]],tbl_Historique_Final[ppn_z],tbl_Historique_Final[date_modif])=Final_Sans_VGE[[#This Row],[date_modif]],
      "Ancien",
      "Modifié"),
   "Nouveau"))</f>
        <v>#VALUE!</v>
      </c>
      <c r="AD5228" s="1" t="str">
        <f>IFERROR(IF(Final_Sans_VGE[[#This Row],[ppn_z]]="","",IFERROR(
   IF(_xlfn.XLOOKUP(Final_Sans_VGE[[#This Row],[ppn_z]],tbl_Historique_Final[[#This Row],[ppn_z]],tbl_Historique_Final[[#This Row],[date_modif]])=Final_Sans_VGE[[#This Row],[date_modif]],
      "Ancien",
      "Modifié"),
   "Nouveau")),"")</f>
        <v/>
      </c>
    </row>
    <row r="5229" spans="24:30" x14ac:dyDescent="0.25">
      <c r="X5229" s="8" t="e">
        <f>IF(Final_Sans_VGE[[#This Row],[ppn_z]]="","",IFERROR(
   IF(_xlfn.XLOOKUP(Final_Sans_VGE[[#This Row],[ppn_z]],tbl_Historique_Final[ppn_z],tbl_Historique_Final[date_modif])=Final_Sans_VGE[[#This Row],[date_modif]],
      "Ancien",
      "Modifié"),
   "Nouveau"))</f>
        <v>#VALUE!</v>
      </c>
      <c r="AD5229" s="1" t="str">
        <f>IFERROR(IF(Final_Sans_VGE[[#This Row],[ppn_z]]="","",IFERROR(
   IF(_xlfn.XLOOKUP(Final_Sans_VGE[[#This Row],[ppn_z]],tbl_Historique_Final[[#This Row],[ppn_z]],tbl_Historique_Final[[#This Row],[date_modif]])=Final_Sans_VGE[[#This Row],[date_modif]],
      "Ancien",
      "Modifié"),
   "Nouveau")),"")</f>
        <v/>
      </c>
    </row>
    <row r="5230" spans="24:30" x14ac:dyDescent="0.25">
      <c r="X5230" s="8" t="e">
        <f>IF(Final_Sans_VGE[[#This Row],[ppn_z]]="","",IFERROR(
   IF(_xlfn.XLOOKUP(Final_Sans_VGE[[#This Row],[ppn_z]],tbl_Historique_Final[ppn_z],tbl_Historique_Final[date_modif])=Final_Sans_VGE[[#This Row],[date_modif]],
      "Ancien",
      "Modifié"),
   "Nouveau"))</f>
        <v>#VALUE!</v>
      </c>
      <c r="AD5230" s="1" t="str">
        <f>IFERROR(IF(Final_Sans_VGE[[#This Row],[ppn_z]]="","",IFERROR(
   IF(_xlfn.XLOOKUP(Final_Sans_VGE[[#This Row],[ppn_z]],tbl_Historique_Final[[#This Row],[ppn_z]],tbl_Historique_Final[[#This Row],[date_modif]])=Final_Sans_VGE[[#This Row],[date_modif]],
      "Ancien",
      "Modifié"),
   "Nouveau")),"")</f>
        <v/>
      </c>
    </row>
    <row r="5231" spans="24:30" x14ac:dyDescent="0.25">
      <c r="X5231" s="8" t="e">
        <f>IF(Final_Sans_VGE[[#This Row],[ppn_z]]="","",IFERROR(
   IF(_xlfn.XLOOKUP(Final_Sans_VGE[[#This Row],[ppn_z]],tbl_Historique_Final[ppn_z],tbl_Historique_Final[date_modif])=Final_Sans_VGE[[#This Row],[date_modif]],
      "Ancien",
      "Modifié"),
   "Nouveau"))</f>
        <v>#VALUE!</v>
      </c>
      <c r="AD5231" s="1" t="str">
        <f>IFERROR(IF(Final_Sans_VGE[[#This Row],[ppn_z]]="","",IFERROR(
   IF(_xlfn.XLOOKUP(Final_Sans_VGE[[#This Row],[ppn_z]],tbl_Historique_Final[[#This Row],[ppn_z]],tbl_Historique_Final[[#This Row],[date_modif]])=Final_Sans_VGE[[#This Row],[date_modif]],
      "Ancien",
      "Modifié"),
   "Nouveau")),"")</f>
        <v/>
      </c>
    </row>
    <row r="5232" spans="24:30" x14ac:dyDescent="0.25">
      <c r="X5232" s="8" t="e">
        <f>IF(Final_Sans_VGE[[#This Row],[ppn_z]]="","",IFERROR(
   IF(_xlfn.XLOOKUP(Final_Sans_VGE[[#This Row],[ppn_z]],tbl_Historique_Final[ppn_z],tbl_Historique_Final[date_modif])=Final_Sans_VGE[[#This Row],[date_modif]],
      "Ancien",
      "Modifié"),
   "Nouveau"))</f>
        <v>#VALUE!</v>
      </c>
      <c r="AD5232" s="1" t="str">
        <f>IFERROR(IF(Final_Sans_VGE[[#This Row],[ppn_z]]="","",IFERROR(
   IF(_xlfn.XLOOKUP(Final_Sans_VGE[[#This Row],[ppn_z]],tbl_Historique_Final[[#This Row],[ppn_z]],tbl_Historique_Final[[#This Row],[date_modif]])=Final_Sans_VGE[[#This Row],[date_modif]],
      "Ancien",
      "Modifié"),
   "Nouveau")),"")</f>
        <v/>
      </c>
    </row>
    <row r="5233" spans="24:30" x14ac:dyDescent="0.25">
      <c r="X5233" s="8" t="e">
        <f>IF(Final_Sans_VGE[[#This Row],[ppn_z]]="","",IFERROR(
   IF(_xlfn.XLOOKUP(Final_Sans_VGE[[#This Row],[ppn_z]],tbl_Historique_Final[ppn_z],tbl_Historique_Final[date_modif])=Final_Sans_VGE[[#This Row],[date_modif]],
      "Ancien",
      "Modifié"),
   "Nouveau"))</f>
        <v>#VALUE!</v>
      </c>
      <c r="AD5233" s="1" t="str">
        <f>IFERROR(IF(Final_Sans_VGE[[#This Row],[ppn_z]]="","",IFERROR(
   IF(_xlfn.XLOOKUP(Final_Sans_VGE[[#This Row],[ppn_z]],tbl_Historique_Final[[#This Row],[ppn_z]],tbl_Historique_Final[[#This Row],[date_modif]])=Final_Sans_VGE[[#This Row],[date_modif]],
      "Ancien",
      "Modifié"),
   "Nouveau")),"")</f>
        <v/>
      </c>
    </row>
    <row r="5234" spans="24:30" x14ac:dyDescent="0.25">
      <c r="X5234" s="8" t="e">
        <f>IF(Final_Sans_VGE[[#This Row],[ppn_z]]="","",IFERROR(
   IF(_xlfn.XLOOKUP(Final_Sans_VGE[[#This Row],[ppn_z]],tbl_Historique_Final[ppn_z],tbl_Historique_Final[date_modif])=Final_Sans_VGE[[#This Row],[date_modif]],
      "Ancien",
      "Modifié"),
   "Nouveau"))</f>
        <v>#VALUE!</v>
      </c>
      <c r="AD5234" s="1" t="str">
        <f>IFERROR(IF(Final_Sans_VGE[[#This Row],[ppn_z]]="","",IFERROR(
   IF(_xlfn.XLOOKUP(Final_Sans_VGE[[#This Row],[ppn_z]],tbl_Historique_Final[[#This Row],[ppn_z]],tbl_Historique_Final[[#This Row],[date_modif]])=Final_Sans_VGE[[#This Row],[date_modif]],
      "Ancien",
      "Modifié"),
   "Nouveau")),"")</f>
        <v/>
      </c>
    </row>
    <row r="5235" spans="24:30" x14ac:dyDescent="0.25">
      <c r="X5235" s="8" t="e">
        <f>IF(Final_Sans_VGE[[#This Row],[ppn_z]]="","",IFERROR(
   IF(_xlfn.XLOOKUP(Final_Sans_VGE[[#This Row],[ppn_z]],tbl_Historique_Final[ppn_z],tbl_Historique_Final[date_modif])=Final_Sans_VGE[[#This Row],[date_modif]],
      "Ancien",
      "Modifié"),
   "Nouveau"))</f>
        <v>#VALUE!</v>
      </c>
      <c r="AD5235" s="1" t="str">
        <f>IFERROR(IF(Final_Sans_VGE[[#This Row],[ppn_z]]="","",IFERROR(
   IF(_xlfn.XLOOKUP(Final_Sans_VGE[[#This Row],[ppn_z]],tbl_Historique_Final[[#This Row],[ppn_z]],tbl_Historique_Final[[#This Row],[date_modif]])=Final_Sans_VGE[[#This Row],[date_modif]],
      "Ancien",
      "Modifié"),
   "Nouveau")),"")</f>
        <v/>
      </c>
    </row>
    <row r="5236" spans="24:30" x14ac:dyDescent="0.25">
      <c r="X5236" s="8" t="e">
        <f>IF(Final_Sans_VGE[[#This Row],[ppn_z]]="","",IFERROR(
   IF(_xlfn.XLOOKUP(Final_Sans_VGE[[#This Row],[ppn_z]],tbl_Historique_Final[ppn_z],tbl_Historique_Final[date_modif])=Final_Sans_VGE[[#This Row],[date_modif]],
      "Ancien",
      "Modifié"),
   "Nouveau"))</f>
        <v>#VALUE!</v>
      </c>
      <c r="AD5236" s="1" t="str">
        <f>IFERROR(IF(Final_Sans_VGE[[#This Row],[ppn_z]]="","",IFERROR(
   IF(_xlfn.XLOOKUP(Final_Sans_VGE[[#This Row],[ppn_z]],tbl_Historique_Final[[#This Row],[ppn_z]],tbl_Historique_Final[[#This Row],[date_modif]])=Final_Sans_VGE[[#This Row],[date_modif]],
      "Ancien",
      "Modifié"),
   "Nouveau")),"")</f>
        <v/>
      </c>
    </row>
    <row r="5237" spans="24:30" x14ac:dyDescent="0.25">
      <c r="X5237" s="8" t="e">
        <f>IF(Final_Sans_VGE[[#This Row],[ppn_z]]="","",IFERROR(
   IF(_xlfn.XLOOKUP(Final_Sans_VGE[[#This Row],[ppn_z]],tbl_Historique_Final[ppn_z],tbl_Historique_Final[date_modif])=Final_Sans_VGE[[#This Row],[date_modif]],
      "Ancien",
      "Modifié"),
   "Nouveau"))</f>
        <v>#VALUE!</v>
      </c>
      <c r="AD5237" s="1" t="str">
        <f>IFERROR(IF(Final_Sans_VGE[[#This Row],[ppn_z]]="","",IFERROR(
   IF(_xlfn.XLOOKUP(Final_Sans_VGE[[#This Row],[ppn_z]],tbl_Historique_Final[[#This Row],[ppn_z]],tbl_Historique_Final[[#This Row],[date_modif]])=Final_Sans_VGE[[#This Row],[date_modif]],
      "Ancien",
      "Modifié"),
   "Nouveau")),"")</f>
        <v/>
      </c>
    </row>
    <row r="5238" spans="24:30" x14ac:dyDescent="0.25">
      <c r="X5238" s="8" t="e">
        <f>IF(Final_Sans_VGE[[#This Row],[ppn_z]]="","",IFERROR(
   IF(_xlfn.XLOOKUP(Final_Sans_VGE[[#This Row],[ppn_z]],tbl_Historique_Final[ppn_z],tbl_Historique_Final[date_modif])=Final_Sans_VGE[[#This Row],[date_modif]],
      "Ancien",
      "Modifié"),
   "Nouveau"))</f>
        <v>#VALUE!</v>
      </c>
      <c r="AD5238" s="1" t="str">
        <f>IFERROR(IF(Final_Sans_VGE[[#This Row],[ppn_z]]="","",IFERROR(
   IF(_xlfn.XLOOKUP(Final_Sans_VGE[[#This Row],[ppn_z]],tbl_Historique_Final[[#This Row],[ppn_z]],tbl_Historique_Final[[#This Row],[date_modif]])=Final_Sans_VGE[[#This Row],[date_modif]],
      "Ancien",
      "Modifié"),
   "Nouveau")),"")</f>
        <v/>
      </c>
    </row>
    <row r="5239" spans="24:30" x14ac:dyDescent="0.25">
      <c r="X5239" s="8" t="e">
        <f>IF(Final_Sans_VGE[[#This Row],[ppn_z]]="","",IFERROR(
   IF(_xlfn.XLOOKUP(Final_Sans_VGE[[#This Row],[ppn_z]],tbl_Historique_Final[ppn_z],tbl_Historique_Final[date_modif])=Final_Sans_VGE[[#This Row],[date_modif]],
      "Ancien",
      "Modifié"),
   "Nouveau"))</f>
        <v>#VALUE!</v>
      </c>
      <c r="AD5239" s="1" t="str">
        <f>IFERROR(IF(Final_Sans_VGE[[#This Row],[ppn_z]]="","",IFERROR(
   IF(_xlfn.XLOOKUP(Final_Sans_VGE[[#This Row],[ppn_z]],tbl_Historique_Final[[#This Row],[ppn_z]],tbl_Historique_Final[[#This Row],[date_modif]])=Final_Sans_VGE[[#This Row],[date_modif]],
      "Ancien",
      "Modifié"),
   "Nouveau")),"")</f>
        <v/>
      </c>
    </row>
    <row r="5240" spans="24:30" x14ac:dyDescent="0.25">
      <c r="X5240" s="8" t="e">
        <f>IF(Final_Sans_VGE[[#This Row],[ppn_z]]="","",IFERROR(
   IF(_xlfn.XLOOKUP(Final_Sans_VGE[[#This Row],[ppn_z]],tbl_Historique_Final[ppn_z],tbl_Historique_Final[date_modif])=Final_Sans_VGE[[#This Row],[date_modif]],
      "Ancien",
      "Modifié"),
   "Nouveau"))</f>
        <v>#VALUE!</v>
      </c>
      <c r="AD5240" s="1" t="str">
        <f>IFERROR(IF(Final_Sans_VGE[[#This Row],[ppn_z]]="","",IFERROR(
   IF(_xlfn.XLOOKUP(Final_Sans_VGE[[#This Row],[ppn_z]],tbl_Historique_Final[[#This Row],[ppn_z]],tbl_Historique_Final[[#This Row],[date_modif]])=Final_Sans_VGE[[#This Row],[date_modif]],
      "Ancien",
      "Modifié"),
   "Nouveau")),"")</f>
        <v/>
      </c>
    </row>
    <row r="5241" spans="24:30" x14ac:dyDescent="0.25">
      <c r="X5241" s="8" t="e">
        <f>IF(Final_Sans_VGE[[#This Row],[ppn_z]]="","",IFERROR(
   IF(_xlfn.XLOOKUP(Final_Sans_VGE[[#This Row],[ppn_z]],tbl_Historique_Final[ppn_z],tbl_Historique_Final[date_modif])=Final_Sans_VGE[[#This Row],[date_modif]],
      "Ancien",
      "Modifié"),
   "Nouveau"))</f>
        <v>#VALUE!</v>
      </c>
      <c r="AD5241" s="1" t="str">
        <f>IFERROR(IF(Final_Sans_VGE[[#This Row],[ppn_z]]="","",IFERROR(
   IF(_xlfn.XLOOKUP(Final_Sans_VGE[[#This Row],[ppn_z]],tbl_Historique_Final[[#This Row],[ppn_z]],tbl_Historique_Final[[#This Row],[date_modif]])=Final_Sans_VGE[[#This Row],[date_modif]],
      "Ancien",
      "Modifié"),
   "Nouveau")),"")</f>
        <v/>
      </c>
    </row>
    <row r="5242" spans="24:30" x14ac:dyDescent="0.25">
      <c r="X5242" s="8" t="e">
        <f>IF(Final_Sans_VGE[[#This Row],[ppn_z]]="","",IFERROR(
   IF(_xlfn.XLOOKUP(Final_Sans_VGE[[#This Row],[ppn_z]],tbl_Historique_Final[ppn_z],tbl_Historique_Final[date_modif])=Final_Sans_VGE[[#This Row],[date_modif]],
      "Ancien",
      "Modifié"),
   "Nouveau"))</f>
        <v>#VALUE!</v>
      </c>
      <c r="AD5242" s="1" t="str">
        <f>IFERROR(IF(Final_Sans_VGE[[#This Row],[ppn_z]]="","",IFERROR(
   IF(_xlfn.XLOOKUP(Final_Sans_VGE[[#This Row],[ppn_z]],tbl_Historique_Final[[#This Row],[ppn_z]],tbl_Historique_Final[[#This Row],[date_modif]])=Final_Sans_VGE[[#This Row],[date_modif]],
      "Ancien",
      "Modifié"),
   "Nouveau")),"")</f>
        <v/>
      </c>
    </row>
    <row r="5243" spans="24:30" x14ac:dyDescent="0.25">
      <c r="X5243" s="8" t="e">
        <f>IF(Final_Sans_VGE[[#This Row],[ppn_z]]="","",IFERROR(
   IF(_xlfn.XLOOKUP(Final_Sans_VGE[[#This Row],[ppn_z]],tbl_Historique_Final[ppn_z],tbl_Historique_Final[date_modif])=Final_Sans_VGE[[#This Row],[date_modif]],
      "Ancien",
      "Modifié"),
   "Nouveau"))</f>
        <v>#VALUE!</v>
      </c>
      <c r="AD5243" s="1" t="str">
        <f>IFERROR(IF(Final_Sans_VGE[[#This Row],[ppn_z]]="","",IFERROR(
   IF(_xlfn.XLOOKUP(Final_Sans_VGE[[#This Row],[ppn_z]],tbl_Historique_Final[[#This Row],[ppn_z]],tbl_Historique_Final[[#This Row],[date_modif]])=Final_Sans_VGE[[#This Row],[date_modif]],
      "Ancien",
      "Modifié"),
   "Nouveau")),"")</f>
        <v/>
      </c>
    </row>
    <row r="5244" spans="24:30" x14ac:dyDescent="0.25">
      <c r="X5244" s="8" t="e">
        <f>IF(Final_Sans_VGE[[#This Row],[ppn_z]]="","",IFERROR(
   IF(_xlfn.XLOOKUP(Final_Sans_VGE[[#This Row],[ppn_z]],tbl_Historique_Final[ppn_z],tbl_Historique_Final[date_modif])=Final_Sans_VGE[[#This Row],[date_modif]],
      "Ancien",
      "Modifié"),
   "Nouveau"))</f>
        <v>#VALUE!</v>
      </c>
      <c r="AD5244" s="1" t="str">
        <f>IFERROR(IF(Final_Sans_VGE[[#This Row],[ppn_z]]="","",IFERROR(
   IF(_xlfn.XLOOKUP(Final_Sans_VGE[[#This Row],[ppn_z]],tbl_Historique_Final[[#This Row],[ppn_z]],tbl_Historique_Final[[#This Row],[date_modif]])=Final_Sans_VGE[[#This Row],[date_modif]],
      "Ancien",
      "Modifié"),
   "Nouveau")),"")</f>
        <v/>
      </c>
    </row>
    <row r="5245" spans="24:30" x14ac:dyDescent="0.25">
      <c r="X5245" s="8" t="e">
        <f>IF(Final_Sans_VGE[[#This Row],[ppn_z]]="","",IFERROR(
   IF(_xlfn.XLOOKUP(Final_Sans_VGE[[#This Row],[ppn_z]],tbl_Historique_Final[ppn_z],tbl_Historique_Final[date_modif])=Final_Sans_VGE[[#This Row],[date_modif]],
      "Ancien",
      "Modifié"),
   "Nouveau"))</f>
        <v>#VALUE!</v>
      </c>
      <c r="AD5245" s="1" t="str">
        <f>IFERROR(IF(Final_Sans_VGE[[#This Row],[ppn_z]]="","",IFERROR(
   IF(_xlfn.XLOOKUP(Final_Sans_VGE[[#This Row],[ppn_z]],tbl_Historique_Final[[#This Row],[ppn_z]],tbl_Historique_Final[[#This Row],[date_modif]])=Final_Sans_VGE[[#This Row],[date_modif]],
      "Ancien",
      "Modifié"),
   "Nouveau")),"")</f>
        <v/>
      </c>
    </row>
    <row r="5246" spans="24:30" x14ac:dyDescent="0.25">
      <c r="X5246" s="8" t="e">
        <f>IF(Final_Sans_VGE[[#This Row],[ppn_z]]="","",IFERROR(
   IF(_xlfn.XLOOKUP(Final_Sans_VGE[[#This Row],[ppn_z]],tbl_Historique_Final[ppn_z],tbl_Historique_Final[date_modif])=Final_Sans_VGE[[#This Row],[date_modif]],
      "Ancien",
      "Modifié"),
   "Nouveau"))</f>
        <v>#VALUE!</v>
      </c>
      <c r="AD5246" s="1" t="str">
        <f>IFERROR(IF(Final_Sans_VGE[[#This Row],[ppn_z]]="","",IFERROR(
   IF(_xlfn.XLOOKUP(Final_Sans_VGE[[#This Row],[ppn_z]],tbl_Historique_Final[[#This Row],[ppn_z]],tbl_Historique_Final[[#This Row],[date_modif]])=Final_Sans_VGE[[#This Row],[date_modif]],
      "Ancien",
      "Modifié"),
   "Nouveau")),"")</f>
        <v/>
      </c>
    </row>
    <row r="5247" spans="24:30" x14ac:dyDescent="0.25">
      <c r="X5247" s="8" t="e">
        <f>IF(Final_Sans_VGE[[#This Row],[ppn_z]]="","",IFERROR(
   IF(_xlfn.XLOOKUP(Final_Sans_VGE[[#This Row],[ppn_z]],tbl_Historique_Final[ppn_z],tbl_Historique_Final[date_modif])=Final_Sans_VGE[[#This Row],[date_modif]],
      "Ancien",
      "Modifié"),
   "Nouveau"))</f>
        <v>#VALUE!</v>
      </c>
      <c r="AD5247" s="1" t="str">
        <f>IFERROR(IF(Final_Sans_VGE[[#This Row],[ppn_z]]="","",IFERROR(
   IF(_xlfn.XLOOKUP(Final_Sans_VGE[[#This Row],[ppn_z]],tbl_Historique_Final[[#This Row],[ppn_z]],tbl_Historique_Final[[#This Row],[date_modif]])=Final_Sans_VGE[[#This Row],[date_modif]],
      "Ancien",
      "Modifié"),
   "Nouveau")),"")</f>
        <v/>
      </c>
    </row>
    <row r="5248" spans="24:30" x14ac:dyDescent="0.25">
      <c r="X5248" s="8" t="e">
        <f>IF(Final_Sans_VGE[[#This Row],[ppn_z]]="","",IFERROR(
   IF(_xlfn.XLOOKUP(Final_Sans_VGE[[#This Row],[ppn_z]],tbl_Historique_Final[ppn_z],tbl_Historique_Final[date_modif])=Final_Sans_VGE[[#This Row],[date_modif]],
      "Ancien",
      "Modifié"),
   "Nouveau"))</f>
        <v>#VALUE!</v>
      </c>
      <c r="AD5248" s="1" t="str">
        <f>IFERROR(IF(Final_Sans_VGE[[#This Row],[ppn_z]]="","",IFERROR(
   IF(_xlfn.XLOOKUP(Final_Sans_VGE[[#This Row],[ppn_z]],tbl_Historique_Final[[#This Row],[ppn_z]],tbl_Historique_Final[[#This Row],[date_modif]])=Final_Sans_VGE[[#This Row],[date_modif]],
      "Ancien",
      "Modifié"),
   "Nouveau")),"")</f>
        <v/>
      </c>
    </row>
    <row r="5249" spans="24:30" x14ac:dyDescent="0.25">
      <c r="X5249" s="8" t="e">
        <f>IF(Final_Sans_VGE[[#This Row],[ppn_z]]="","",IFERROR(
   IF(_xlfn.XLOOKUP(Final_Sans_VGE[[#This Row],[ppn_z]],tbl_Historique_Final[ppn_z],tbl_Historique_Final[date_modif])=Final_Sans_VGE[[#This Row],[date_modif]],
      "Ancien",
      "Modifié"),
   "Nouveau"))</f>
        <v>#VALUE!</v>
      </c>
      <c r="AD5249" s="1" t="str">
        <f>IFERROR(IF(Final_Sans_VGE[[#This Row],[ppn_z]]="","",IFERROR(
   IF(_xlfn.XLOOKUP(Final_Sans_VGE[[#This Row],[ppn_z]],tbl_Historique_Final[[#This Row],[ppn_z]],tbl_Historique_Final[[#This Row],[date_modif]])=Final_Sans_VGE[[#This Row],[date_modif]],
      "Ancien",
      "Modifié"),
   "Nouveau")),"")</f>
        <v/>
      </c>
    </row>
    <row r="5250" spans="24:30" x14ac:dyDescent="0.25">
      <c r="X5250" s="8" t="e">
        <f>IF(Final_Sans_VGE[[#This Row],[ppn_z]]="","",IFERROR(
   IF(_xlfn.XLOOKUP(Final_Sans_VGE[[#This Row],[ppn_z]],tbl_Historique_Final[ppn_z],tbl_Historique_Final[date_modif])=Final_Sans_VGE[[#This Row],[date_modif]],
      "Ancien",
      "Modifié"),
   "Nouveau"))</f>
        <v>#VALUE!</v>
      </c>
      <c r="AD5250" s="1" t="str">
        <f>IFERROR(IF(Final_Sans_VGE[[#This Row],[ppn_z]]="","",IFERROR(
   IF(_xlfn.XLOOKUP(Final_Sans_VGE[[#This Row],[ppn_z]],tbl_Historique_Final[[#This Row],[ppn_z]],tbl_Historique_Final[[#This Row],[date_modif]])=Final_Sans_VGE[[#This Row],[date_modif]],
      "Ancien",
      "Modifié"),
   "Nouveau")),"")</f>
        <v/>
      </c>
    </row>
    <row r="5251" spans="24:30" x14ac:dyDescent="0.25">
      <c r="X5251" s="8" t="e">
        <f>IF(Final_Sans_VGE[[#This Row],[ppn_z]]="","",IFERROR(
   IF(_xlfn.XLOOKUP(Final_Sans_VGE[[#This Row],[ppn_z]],tbl_Historique_Final[ppn_z],tbl_Historique_Final[date_modif])=Final_Sans_VGE[[#This Row],[date_modif]],
      "Ancien",
      "Modifié"),
   "Nouveau"))</f>
        <v>#VALUE!</v>
      </c>
      <c r="AD5251" s="1" t="str">
        <f>IFERROR(IF(Final_Sans_VGE[[#This Row],[ppn_z]]="","",IFERROR(
   IF(_xlfn.XLOOKUP(Final_Sans_VGE[[#This Row],[ppn_z]],tbl_Historique_Final[[#This Row],[ppn_z]],tbl_Historique_Final[[#This Row],[date_modif]])=Final_Sans_VGE[[#This Row],[date_modif]],
      "Ancien",
      "Modifié"),
   "Nouveau")),"")</f>
        <v/>
      </c>
    </row>
    <row r="5252" spans="24:30" x14ac:dyDescent="0.25">
      <c r="X5252" s="8" t="e">
        <f>IF(Final_Sans_VGE[[#This Row],[ppn_z]]="","",IFERROR(
   IF(_xlfn.XLOOKUP(Final_Sans_VGE[[#This Row],[ppn_z]],tbl_Historique_Final[ppn_z],tbl_Historique_Final[date_modif])=Final_Sans_VGE[[#This Row],[date_modif]],
      "Ancien",
      "Modifié"),
   "Nouveau"))</f>
        <v>#VALUE!</v>
      </c>
      <c r="AD5252" s="1" t="str">
        <f>IFERROR(IF(Final_Sans_VGE[[#This Row],[ppn_z]]="","",IFERROR(
   IF(_xlfn.XLOOKUP(Final_Sans_VGE[[#This Row],[ppn_z]],tbl_Historique_Final[[#This Row],[ppn_z]],tbl_Historique_Final[[#This Row],[date_modif]])=Final_Sans_VGE[[#This Row],[date_modif]],
      "Ancien",
      "Modifié"),
   "Nouveau")),"")</f>
        <v/>
      </c>
    </row>
    <row r="5253" spans="24:30" x14ac:dyDescent="0.25">
      <c r="X5253" s="8" t="e">
        <f>IF(Final_Sans_VGE[[#This Row],[ppn_z]]="","",IFERROR(
   IF(_xlfn.XLOOKUP(Final_Sans_VGE[[#This Row],[ppn_z]],tbl_Historique_Final[ppn_z],tbl_Historique_Final[date_modif])=Final_Sans_VGE[[#This Row],[date_modif]],
      "Ancien",
      "Modifié"),
   "Nouveau"))</f>
        <v>#VALUE!</v>
      </c>
      <c r="AD5253" s="1" t="str">
        <f>IFERROR(IF(Final_Sans_VGE[[#This Row],[ppn_z]]="","",IFERROR(
   IF(_xlfn.XLOOKUP(Final_Sans_VGE[[#This Row],[ppn_z]],tbl_Historique_Final[[#This Row],[ppn_z]],tbl_Historique_Final[[#This Row],[date_modif]])=Final_Sans_VGE[[#This Row],[date_modif]],
      "Ancien",
      "Modifié"),
   "Nouveau")),"")</f>
        <v/>
      </c>
    </row>
    <row r="5254" spans="24:30" x14ac:dyDescent="0.25">
      <c r="X5254" s="8" t="e">
        <f>IF(Final_Sans_VGE[[#This Row],[ppn_z]]="","",IFERROR(
   IF(_xlfn.XLOOKUP(Final_Sans_VGE[[#This Row],[ppn_z]],tbl_Historique_Final[ppn_z],tbl_Historique_Final[date_modif])=Final_Sans_VGE[[#This Row],[date_modif]],
      "Ancien",
      "Modifié"),
   "Nouveau"))</f>
        <v>#VALUE!</v>
      </c>
      <c r="AD5254" s="1" t="str">
        <f>IFERROR(IF(Final_Sans_VGE[[#This Row],[ppn_z]]="","",IFERROR(
   IF(_xlfn.XLOOKUP(Final_Sans_VGE[[#This Row],[ppn_z]],tbl_Historique_Final[[#This Row],[ppn_z]],tbl_Historique_Final[[#This Row],[date_modif]])=Final_Sans_VGE[[#This Row],[date_modif]],
      "Ancien",
      "Modifié"),
   "Nouveau")),"")</f>
        <v/>
      </c>
    </row>
    <row r="5255" spans="24:30" x14ac:dyDescent="0.25">
      <c r="X5255" s="8" t="e">
        <f>IF(Final_Sans_VGE[[#This Row],[ppn_z]]="","",IFERROR(
   IF(_xlfn.XLOOKUP(Final_Sans_VGE[[#This Row],[ppn_z]],tbl_Historique_Final[ppn_z],tbl_Historique_Final[date_modif])=Final_Sans_VGE[[#This Row],[date_modif]],
      "Ancien",
      "Modifié"),
   "Nouveau"))</f>
        <v>#VALUE!</v>
      </c>
      <c r="AD5255" s="1" t="str">
        <f>IFERROR(IF(Final_Sans_VGE[[#This Row],[ppn_z]]="","",IFERROR(
   IF(_xlfn.XLOOKUP(Final_Sans_VGE[[#This Row],[ppn_z]],tbl_Historique_Final[[#This Row],[ppn_z]],tbl_Historique_Final[[#This Row],[date_modif]])=Final_Sans_VGE[[#This Row],[date_modif]],
      "Ancien",
      "Modifié"),
   "Nouveau")),"")</f>
        <v/>
      </c>
    </row>
    <row r="5256" spans="24:30" x14ac:dyDescent="0.25">
      <c r="X5256" s="8" t="e">
        <f>IF(Final_Sans_VGE[[#This Row],[ppn_z]]="","",IFERROR(
   IF(_xlfn.XLOOKUP(Final_Sans_VGE[[#This Row],[ppn_z]],tbl_Historique_Final[ppn_z],tbl_Historique_Final[date_modif])=Final_Sans_VGE[[#This Row],[date_modif]],
      "Ancien",
      "Modifié"),
   "Nouveau"))</f>
        <v>#VALUE!</v>
      </c>
      <c r="AD5256" s="1" t="str">
        <f>IFERROR(IF(Final_Sans_VGE[[#This Row],[ppn_z]]="","",IFERROR(
   IF(_xlfn.XLOOKUP(Final_Sans_VGE[[#This Row],[ppn_z]],tbl_Historique_Final[[#This Row],[ppn_z]],tbl_Historique_Final[[#This Row],[date_modif]])=Final_Sans_VGE[[#This Row],[date_modif]],
      "Ancien",
      "Modifié"),
   "Nouveau")),"")</f>
        <v/>
      </c>
    </row>
    <row r="5257" spans="24:30" x14ac:dyDescent="0.25">
      <c r="X5257" s="8" t="e">
        <f>IF(Final_Sans_VGE[[#This Row],[ppn_z]]="","",IFERROR(
   IF(_xlfn.XLOOKUP(Final_Sans_VGE[[#This Row],[ppn_z]],tbl_Historique_Final[ppn_z],tbl_Historique_Final[date_modif])=Final_Sans_VGE[[#This Row],[date_modif]],
      "Ancien",
      "Modifié"),
   "Nouveau"))</f>
        <v>#VALUE!</v>
      </c>
      <c r="AD5257" s="1" t="str">
        <f>IFERROR(IF(Final_Sans_VGE[[#This Row],[ppn_z]]="","",IFERROR(
   IF(_xlfn.XLOOKUP(Final_Sans_VGE[[#This Row],[ppn_z]],tbl_Historique_Final[[#This Row],[ppn_z]],tbl_Historique_Final[[#This Row],[date_modif]])=Final_Sans_VGE[[#This Row],[date_modif]],
      "Ancien",
      "Modifié"),
   "Nouveau")),"")</f>
        <v/>
      </c>
    </row>
    <row r="5258" spans="24:30" x14ac:dyDescent="0.25">
      <c r="X5258" s="8" t="e">
        <f>IF(Final_Sans_VGE[[#This Row],[ppn_z]]="","",IFERROR(
   IF(_xlfn.XLOOKUP(Final_Sans_VGE[[#This Row],[ppn_z]],tbl_Historique_Final[ppn_z],tbl_Historique_Final[date_modif])=Final_Sans_VGE[[#This Row],[date_modif]],
      "Ancien",
      "Modifié"),
   "Nouveau"))</f>
        <v>#VALUE!</v>
      </c>
      <c r="AD5258" s="1" t="str">
        <f>IFERROR(IF(Final_Sans_VGE[[#This Row],[ppn_z]]="","",IFERROR(
   IF(_xlfn.XLOOKUP(Final_Sans_VGE[[#This Row],[ppn_z]],tbl_Historique_Final[[#This Row],[ppn_z]],tbl_Historique_Final[[#This Row],[date_modif]])=Final_Sans_VGE[[#This Row],[date_modif]],
      "Ancien",
      "Modifié"),
   "Nouveau")),"")</f>
        <v/>
      </c>
    </row>
    <row r="5259" spans="24:30" x14ac:dyDescent="0.25">
      <c r="X5259" s="8" t="e">
        <f>IF(Final_Sans_VGE[[#This Row],[ppn_z]]="","",IFERROR(
   IF(_xlfn.XLOOKUP(Final_Sans_VGE[[#This Row],[ppn_z]],tbl_Historique_Final[ppn_z],tbl_Historique_Final[date_modif])=Final_Sans_VGE[[#This Row],[date_modif]],
      "Ancien",
      "Modifié"),
   "Nouveau"))</f>
        <v>#VALUE!</v>
      </c>
      <c r="AD5259" s="1" t="str">
        <f>IFERROR(IF(Final_Sans_VGE[[#This Row],[ppn_z]]="","",IFERROR(
   IF(_xlfn.XLOOKUP(Final_Sans_VGE[[#This Row],[ppn_z]],tbl_Historique_Final[[#This Row],[ppn_z]],tbl_Historique_Final[[#This Row],[date_modif]])=Final_Sans_VGE[[#This Row],[date_modif]],
      "Ancien",
      "Modifié"),
   "Nouveau")),"")</f>
        <v/>
      </c>
    </row>
    <row r="5260" spans="24:30" x14ac:dyDescent="0.25">
      <c r="X5260" s="8" t="e">
        <f>IF(Final_Sans_VGE[[#This Row],[ppn_z]]="","",IFERROR(
   IF(_xlfn.XLOOKUP(Final_Sans_VGE[[#This Row],[ppn_z]],tbl_Historique_Final[ppn_z],tbl_Historique_Final[date_modif])=Final_Sans_VGE[[#This Row],[date_modif]],
      "Ancien",
      "Modifié"),
   "Nouveau"))</f>
        <v>#VALUE!</v>
      </c>
      <c r="AD5260" s="1" t="str">
        <f>IFERROR(IF(Final_Sans_VGE[[#This Row],[ppn_z]]="","",IFERROR(
   IF(_xlfn.XLOOKUP(Final_Sans_VGE[[#This Row],[ppn_z]],tbl_Historique_Final[[#This Row],[ppn_z]],tbl_Historique_Final[[#This Row],[date_modif]])=Final_Sans_VGE[[#This Row],[date_modif]],
      "Ancien",
      "Modifié"),
   "Nouveau")),"")</f>
        <v/>
      </c>
    </row>
    <row r="5261" spans="24:30" x14ac:dyDescent="0.25">
      <c r="X5261" s="8" t="e">
        <f>IF(Final_Sans_VGE[[#This Row],[ppn_z]]="","",IFERROR(
   IF(_xlfn.XLOOKUP(Final_Sans_VGE[[#This Row],[ppn_z]],tbl_Historique_Final[ppn_z],tbl_Historique_Final[date_modif])=Final_Sans_VGE[[#This Row],[date_modif]],
      "Ancien",
      "Modifié"),
   "Nouveau"))</f>
        <v>#VALUE!</v>
      </c>
      <c r="AD5261" s="1" t="str">
        <f>IFERROR(IF(Final_Sans_VGE[[#This Row],[ppn_z]]="","",IFERROR(
   IF(_xlfn.XLOOKUP(Final_Sans_VGE[[#This Row],[ppn_z]],tbl_Historique_Final[[#This Row],[ppn_z]],tbl_Historique_Final[[#This Row],[date_modif]])=Final_Sans_VGE[[#This Row],[date_modif]],
      "Ancien",
      "Modifié"),
   "Nouveau")),"")</f>
        <v/>
      </c>
    </row>
    <row r="5262" spans="24:30" x14ac:dyDescent="0.25">
      <c r="X5262" s="8" t="e">
        <f>IF(Final_Sans_VGE[[#This Row],[ppn_z]]="","",IFERROR(
   IF(_xlfn.XLOOKUP(Final_Sans_VGE[[#This Row],[ppn_z]],tbl_Historique_Final[ppn_z],tbl_Historique_Final[date_modif])=Final_Sans_VGE[[#This Row],[date_modif]],
      "Ancien",
      "Modifié"),
   "Nouveau"))</f>
        <v>#VALUE!</v>
      </c>
      <c r="AD5262" s="1" t="str">
        <f>IFERROR(IF(Final_Sans_VGE[[#This Row],[ppn_z]]="","",IFERROR(
   IF(_xlfn.XLOOKUP(Final_Sans_VGE[[#This Row],[ppn_z]],tbl_Historique_Final[[#This Row],[ppn_z]],tbl_Historique_Final[[#This Row],[date_modif]])=Final_Sans_VGE[[#This Row],[date_modif]],
      "Ancien",
      "Modifié"),
   "Nouveau")),"")</f>
        <v/>
      </c>
    </row>
    <row r="5263" spans="24:30" x14ac:dyDescent="0.25">
      <c r="X5263" s="8" t="e">
        <f>IF(Final_Sans_VGE[[#This Row],[ppn_z]]="","",IFERROR(
   IF(_xlfn.XLOOKUP(Final_Sans_VGE[[#This Row],[ppn_z]],tbl_Historique_Final[ppn_z],tbl_Historique_Final[date_modif])=Final_Sans_VGE[[#This Row],[date_modif]],
      "Ancien",
      "Modifié"),
   "Nouveau"))</f>
        <v>#VALUE!</v>
      </c>
      <c r="AD5263" s="1" t="str">
        <f>IFERROR(IF(Final_Sans_VGE[[#This Row],[ppn_z]]="","",IFERROR(
   IF(_xlfn.XLOOKUP(Final_Sans_VGE[[#This Row],[ppn_z]],tbl_Historique_Final[[#This Row],[ppn_z]],tbl_Historique_Final[[#This Row],[date_modif]])=Final_Sans_VGE[[#This Row],[date_modif]],
      "Ancien",
      "Modifié"),
   "Nouveau")),"")</f>
        <v/>
      </c>
    </row>
    <row r="5264" spans="24:30" x14ac:dyDescent="0.25">
      <c r="X5264" s="8" t="e">
        <f>IF(Final_Sans_VGE[[#This Row],[ppn_z]]="","",IFERROR(
   IF(_xlfn.XLOOKUP(Final_Sans_VGE[[#This Row],[ppn_z]],tbl_Historique_Final[ppn_z],tbl_Historique_Final[date_modif])=Final_Sans_VGE[[#This Row],[date_modif]],
      "Ancien",
      "Modifié"),
   "Nouveau"))</f>
        <v>#VALUE!</v>
      </c>
      <c r="AD5264" s="1" t="str">
        <f>IFERROR(IF(Final_Sans_VGE[[#This Row],[ppn_z]]="","",IFERROR(
   IF(_xlfn.XLOOKUP(Final_Sans_VGE[[#This Row],[ppn_z]],tbl_Historique_Final[[#This Row],[ppn_z]],tbl_Historique_Final[[#This Row],[date_modif]])=Final_Sans_VGE[[#This Row],[date_modif]],
      "Ancien",
      "Modifié"),
   "Nouveau")),"")</f>
        <v/>
      </c>
    </row>
    <row r="5265" spans="24:30" x14ac:dyDescent="0.25">
      <c r="X5265" s="8" t="e">
        <f>IF(Final_Sans_VGE[[#This Row],[ppn_z]]="","",IFERROR(
   IF(_xlfn.XLOOKUP(Final_Sans_VGE[[#This Row],[ppn_z]],tbl_Historique_Final[ppn_z],tbl_Historique_Final[date_modif])=Final_Sans_VGE[[#This Row],[date_modif]],
      "Ancien",
      "Modifié"),
   "Nouveau"))</f>
        <v>#VALUE!</v>
      </c>
      <c r="AD5265" s="1" t="str">
        <f>IFERROR(IF(Final_Sans_VGE[[#This Row],[ppn_z]]="","",IFERROR(
   IF(_xlfn.XLOOKUP(Final_Sans_VGE[[#This Row],[ppn_z]],tbl_Historique_Final[[#This Row],[ppn_z]],tbl_Historique_Final[[#This Row],[date_modif]])=Final_Sans_VGE[[#This Row],[date_modif]],
      "Ancien",
      "Modifié"),
   "Nouveau")),"")</f>
        <v/>
      </c>
    </row>
    <row r="5266" spans="24:30" x14ac:dyDescent="0.25">
      <c r="X5266" s="8" t="e">
        <f>IF(Final_Sans_VGE[[#This Row],[ppn_z]]="","",IFERROR(
   IF(_xlfn.XLOOKUP(Final_Sans_VGE[[#This Row],[ppn_z]],tbl_Historique_Final[ppn_z],tbl_Historique_Final[date_modif])=Final_Sans_VGE[[#This Row],[date_modif]],
      "Ancien",
      "Modifié"),
   "Nouveau"))</f>
        <v>#VALUE!</v>
      </c>
      <c r="AD5266" s="1" t="str">
        <f>IFERROR(IF(Final_Sans_VGE[[#This Row],[ppn_z]]="","",IFERROR(
   IF(_xlfn.XLOOKUP(Final_Sans_VGE[[#This Row],[ppn_z]],tbl_Historique_Final[[#This Row],[ppn_z]],tbl_Historique_Final[[#This Row],[date_modif]])=Final_Sans_VGE[[#This Row],[date_modif]],
      "Ancien",
      "Modifié"),
   "Nouveau")),"")</f>
        <v/>
      </c>
    </row>
    <row r="5267" spans="24:30" x14ac:dyDescent="0.25">
      <c r="X5267" s="8" t="e">
        <f>IF(Final_Sans_VGE[[#This Row],[ppn_z]]="","",IFERROR(
   IF(_xlfn.XLOOKUP(Final_Sans_VGE[[#This Row],[ppn_z]],tbl_Historique_Final[ppn_z],tbl_Historique_Final[date_modif])=Final_Sans_VGE[[#This Row],[date_modif]],
      "Ancien",
      "Modifié"),
   "Nouveau"))</f>
        <v>#VALUE!</v>
      </c>
      <c r="AD5267" s="1" t="str">
        <f>IFERROR(IF(Final_Sans_VGE[[#This Row],[ppn_z]]="","",IFERROR(
   IF(_xlfn.XLOOKUP(Final_Sans_VGE[[#This Row],[ppn_z]],tbl_Historique_Final[[#This Row],[ppn_z]],tbl_Historique_Final[[#This Row],[date_modif]])=Final_Sans_VGE[[#This Row],[date_modif]],
      "Ancien",
      "Modifié"),
   "Nouveau")),"")</f>
        <v/>
      </c>
    </row>
    <row r="5268" spans="24:30" x14ac:dyDescent="0.25">
      <c r="X5268" s="8" t="e">
        <f>IF(Final_Sans_VGE[[#This Row],[ppn_z]]="","",IFERROR(
   IF(_xlfn.XLOOKUP(Final_Sans_VGE[[#This Row],[ppn_z]],tbl_Historique_Final[ppn_z],tbl_Historique_Final[date_modif])=Final_Sans_VGE[[#This Row],[date_modif]],
      "Ancien",
      "Modifié"),
   "Nouveau"))</f>
        <v>#VALUE!</v>
      </c>
      <c r="AD5268" s="1" t="str">
        <f>IFERROR(IF(Final_Sans_VGE[[#This Row],[ppn_z]]="","",IFERROR(
   IF(_xlfn.XLOOKUP(Final_Sans_VGE[[#This Row],[ppn_z]],tbl_Historique_Final[[#This Row],[ppn_z]],tbl_Historique_Final[[#This Row],[date_modif]])=Final_Sans_VGE[[#This Row],[date_modif]],
      "Ancien",
      "Modifié"),
   "Nouveau")),"")</f>
        <v/>
      </c>
    </row>
    <row r="5269" spans="24:30" x14ac:dyDescent="0.25">
      <c r="X5269" s="8" t="e">
        <f>IF(Final_Sans_VGE[[#This Row],[ppn_z]]="","",IFERROR(
   IF(_xlfn.XLOOKUP(Final_Sans_VGE[[#This Row],[ppn_z]],tbl_Historique_Final[ppn_z],tbl_Historique_Final[date_modif])=Final_Sans_VGE[[#This Row],[date_modif]],
      "Ancien",
      "Modifié"),
   "Nouveau"))</f>
        <v>#VALUE!</v>
      </c>
      <c r="AD5269" s="1" t="str">
        <f>IFERROR(IF(Final_Sans_VGE[[#This Row],[ppn_z]]="","",IFERROR(
   IF(_xlfn.XLOOKUP(Final_Sans_VGE[[#This Row],[ppn_z]],tbl_Historique_Final[[#This Row],[ppn_z]],tbl_Historique_Final[[#This Row],[date_modif]])=Final_Sans_VGE[[#This Row],[date_modif]],
      "Ancien",
      "Modifié"),
   "Nouveau")),"")</f>
        <v/>
      </c>
    </row>
    <row r="5270" spans="24:30" x14ac:dyDescent="0.25">
      <c r="X5270" s="8" t="e">
        <f>IF(Final_Sans_VGE[[#This Row],[ppn_z]]="","",IFERROR(
   IF(_xlfn.XLOOKUP(Final_Sans_VGE[[#This Row],[ppn_z]],tbl_Historique_Final[ppn_z],tbl_Historique_Final[date_modif])=Final_Sans_VGE[[#This Row],[date_modif]],
      "Ancien",
      "Modifié"),
   "Nouveau"))</f>
        <v>#VALUE!</v>
      </c>
      <c r="AD5270" s="1" t="str">
        <f>IFERROR(IF(Final_Sans_VGE[[#This Row],[ppn_z]]="","",IFERROR(
   IF(_xlfn.XLOOKUP(Final_Sans_VGE[[#This Row],[ppn_z]],tbl_Historique_Final[[#This Row],[ppn_z]],tbl_Historique_Final[[#This Row],[date_modif]])=Final_Sans_VGE[[#This Row],[date_modif]],
      "Ancien",
      "Modifié"),
   "Nouveau")),"")</f>
        <v/>
      </c>
    </row>
    <row r="5271" spans="24:30" x14ac:dyDescent="0.25">
      <c r="X5271" s="8" t="e">
        <f>IF(Final_Sans_VGE[[#This Row],[ppn_z]]="","",IFERROR(
   IF(_xlfn.XLOOKUP(Final_Sans_VGE[[#This Row],[ppn_z]],tbl_Historique_Final[ppn_z],tbl_Historique_Final[date_modif])=Final_Sans_VGE[[#This Row],[date_modif]],
      "Ancien",
      "Modifié"),
   "Nouveau"))</f>
        <v>#VALUE!</v>
      </c>
      <c r="AD5271" s="1" t="str">
        <f>IFERROR(IF(Final_Sans_VGE[[#This Row],[ppn_z]]="","",IFERROR(
   IF(_xlfn.XLOOKUP(Final_Sans_VGE[[#This Row],[ppn_z]],tbl_Historique_Final[[#This Row],[ppn_z]],tbl_Historique_Final[[#This Row],[date_modif]])=Final_Sans_VGE[[#This Row],[date_modif]],
      "Ancien",
      "Modifié"),
   "Nouveau")),"")</f>
        <v/>
      </c>
    </row>
    <row r="5272" spans="24:30" x14ac:dyDescent="0.25">
      <c r="X5272" s="8" t="e">
        <f>IF(Final_Sans_VGE[[#This Row],[ppn_z]]="","",IFERROR(
   IF(_xlfn.XLOOKUP(Final_Sans_VGE[[#This Row],[ppn_z]],tbl_Historique_Final[ppn_z],tbl_Historique_Final[date_modif])=Final_Sans_VGE[[#This Row],[date_modif]],
      "Ancien",
      "Modifié"),
   "Nouveau"))</f>
        <v>#VALUE!</v>
      </c>
      <c r="AD5272" s="1" t="str">
        <f>IFERROR(IF(Final_Sans_VGE[[#This Row],[ppn_z]]="","",IFERROR(
   IF(_xlfn.XLOOKUP(Final_Sans_VGE[[#This Row],[ppn_z]],tbl_Historique_Final[[#This Row],[ppn_z]],tbl_Historique_Final[[#This Row],[date_modif]])=Final_Sans_VGE[[#This Row],[date_modif]],
      "Ancien",
      "Modifié"),
   "Nouveau")),"")</f>
        <v/>
      </c>
    </row>
    <row r="5273" spans="24:30" x14ac:dyDescent="0.25">
      <c r="X5273" s="8" t="e">
        <f>IF(Final_Sans_VGE[[#This Row],[ppn_z]]="","",IFERROR(
   IF(_xlfn.XLOOKUP(Final_Sans_VGE[[#This Row],[ppn_z]],tbl_Historique_Final[ppn_z],tbl_Historique_Final[date_modif])=Final_Sans_VGE[[#This Row],[date_modif]],
      "Ancien",
      "Modifié"),
   "Nouveau"))</f>
        <v>#VALUE!</v>
      </c>
      <c r="AD5273" s="1" t="str">
        <f>IFERROR(IF(Final_Sans_VGE[[#This Row],[ppn_z]]="","",IFERROR(
   IF(_xlfn.XLOOKUP(Final_Sans_VGE[[#This Row],[ppn_z]],tbl_Historique_Final[[#This Row],[ppn_z]],tbl_Historique_Final[[#This Row],[date_modif]])=Final_Sans_VGE[[#This Row],[date_modif]],
      "Ancien",
      "Modifié"),
   "Nouveau")),"")</f>
        <v/>
      </c>
    </row>
    <row r="5274" spans="24:30" x14ac:dyDescent="0.25">
      <c r="X5274" s="8" t="e">
        <f>IF(Final_Sans_VGE[[#This Row],[ppn_z]]="","",IFERROR(
   IF(_xlfn.XLOOKUP(Final_Sans_VGE[[#This Row],[ppn_z]],tbl_Historique_Final[ppn_z],tbl_Historique_Final[date_modif])=Final_Sans_VGE[[#This Row],[date_modif]],
      "Ancien",
      "Modifié"),
   "Nouveau"))</f>
        <v>#VALUE!</v>
      </c>
      <c r="AD5274" s="1" t="str">
        <f>IFERROR(IF(Final_Sans_VGE[[#This Row],[ppn_z]]="","",IFERROR(
   IF(_xlfn.XLOOKUP(Final_Sans_VGE[[#This Row],[ppn_z]],tbl_Historique_Final[[#This Row],[ppn_z]],tbl_Historique_Final[[#This Row],[date_modif]])=Final_Sans_VGE[[#This Row],[date_modif]],
      "Ancien",
      "Modifié"),
   "Nouveau")),"")</f>
        <v/>
      </c>
    </row>
    <row r="5275" spans="24:30" x14ac:dyDescent="0.25">
      <c r="X5275" s="8" t="e">
        <f>IF(Final_Sans_VGE[[#This Row],[ppn_z]]="","",IFERROR(
   IF(_xlfn.XLOOKUP(Final_Sans_VGE[[#This Row],[ppn_z]],tbl_Historique_Final[ppn_z],tbl_Historique_Final[date_modif])=Final_Sans_VGE[[#This Row],[date_modif]],
      "Ancien",
      "Modifié"),
   "Nouveau"))</f>
        <v>#VALUE!</v>
      </c>
      <c r="AD5275" s="1" t="str">
        <f>IFERROR(IF(Final_Sans_VGE[[#This Row],[ppn_z]]="","",IFERROR(
   IF(_xlfn.XLOOKUP(Final_Sans_VGE[[#This Row],[ppn_z]],tbl_Historique_Final[[#This Row],[ppn_z]],tbl_Historique_Final[[#This Row],[date_modif]])=Final_Sans_VGE[[#This Row],[date_modif]],
      "Ancien",
      "Modifié"),
   "Nouveau")),"")</f>
        <v/>
      </c>
    </row>
    <row r="5276" spans="24:30" x14ac:dyDescent="0.25">
      <c r="X5276" s="8" t="e">
        <f>IF(Final_Sans_VGE[[#This Row],[ppn_z]]="","",IFERROR(
   IF(_xlfn.XLOOKUP(Final_Sans_VGE[[#This Row],[ppn_z]],tbl_Historique_Final[ppn_z],tbl_Historique_Final[date_modif])=Final_Sans_VGE[[#This Row],[date_modif]],
      "Ancien",
      "Modifié"),
   "Nouveau"))</f>
        <v>#VALUE!</v>
      </c>
      <c r="AD5276" s="1" t="str">
        <f>IFERROR(IF(Final_Sans_VGE[[#This Row],[ppn_z]]="","",IFERROR(
   IF(_xlfn.XLOOKUP(Final_Sans_VGE[[#This Row],[ppn_z]],tbl_Historique_Final[[#This Row],[ppn_z]],tbl_Historique_Final[[#This Row],[date_modif]])=Final_Sans_VGE[[#This Row],[date_modif]],
      "Ancien",
      "Modifié"),
   "Nouveau")),"")</f>
        <v/>
      </c>
    </row>
    <row r="5277" spans="24:30" x14ac:dyDescent="0.25">
      <c r="X5277" s="8" t="e">
        <f>IF(Final_Sans_VGE[[#This Row],[ppn_z]]="","",IFERROR(
   IF(_xlfn.XLOOKUP(Final_Sans_VGE[[#This Row],[ppn_z]],tbl_Historique_Final[ppn_z],tbl_Historique_Final[date_modif])=Final_Sans_VGE[[#This Row],[date_modif]],
      "Ancien",
      "Modifié"),
   "Nouveau"))</f>
        <v>#VALUE!</v>
      </c>
      <c r="AD5277" s="1" t="str">
        <f>IFERROR(IF(Final_Sans_VGE[[#This Row],[ppn_z]]="","",IFERROR(
   IF(_xlfn.XLOOKUP(Final_Sans_VGE[[#This Row],[ppn_z]],tbl_Historique_Final[[#This Row],[ppn_z]],tbl_Historique_Final[[#This Row],[date_modif]])=Final_Sans_VGE[[#This Row],[date_modif]],
      "Ancien",
      "Modifié"),
   "Nouveau")),"")</f>
        <v/>
      </c>
    </row>
    <row r="5278" spans="24:30" x14ac:dyDescent="0.25">
      <c r="X5278" s="8" t="e">
        <f>IF(Final_Sans_VGE[[#This Row],[ppn_z]]="","",IFERROR(
   IF(_xlfn.XLOOKUP(Final_Sans_VGE[[#This Row],[ppn_z]],tbl_Historique_Final[ppn_z],tbl_Historique_Final[date_modif])=Final_Sans_VGE[[#This Row],[date_modif]],
      "Ancien",
      "Modifié"),
   "Nouveau"))</f>
        <v>#VALUE!</v>
      </c>
      <c r="AD5278" s="1" t="str">
        <f>IFERROR(IF(Final_Sans_VGE[[#This Row],[ppn_z]]="","",IFERROR(
   IF(_xlfn.XLOOKUP(Final_Sans_VGE[[#This Row],[ppn_z]],tbl_Historique_Final[[#This Row],[ppn_z]],tbl_Historique_Final[[#This Row],[date_modif]])=Final_Sans_VGE[[#This Row],[date_modif]],
      "Ancien",
      "Modifié"),
   "Nouveau")),"")</f>
        <v/>
      </c>
    </row>
    <row r="5279" spans="24:30" x14ac:dyDescent="0.25">
      <c r="X5279" s="8" t="e">
        <f>IF(Final_Sans_VGE[[#This Row],[ppn_z]]="","",IFERROR(
   IF(_xlfn.XLOOKUP(Final_Sans_VGE[[#This Row],[ppn_z]],tbl_Historique_Final[ppn_z],tbl_Historique_Final[date_modif])=Final_Sans_VGE[[#This Row],[date_modif]],
      "Ancien",
      "Modifié"),
   "Nouveau"))</f>
        <v>#VALUE!</v>
      </c>
      <c r="AD5279" s="1" t="str">
        <f>IFERROR(IF(Final_Sans_VGE[[#This Row],[ppn_z]]="","",IFERROR(
   IF(_xlfn.XLOOKUP(Final_Sans_VGE[[#This Row],[ppn_z]],tbl_Historique_Final[[#This Row],[ppn_z]],tbl_Historique_Final[[#This Row],[date_modif]])=Final_Sans_VGE[[#This Row],[date_modif]],
      "Ancien",
      "Modifié"),
   "Nouveau")),"")</f>
        <v/>
      </c>
    </row>
    <row r="5280" spans="24:30" x14ac:dyDescent="0.25">
      <c r="X5280" s="8" t="e">
        <f>IF(Final_Sans_VGE[[#This Row],[ppn_z]]="","",IFERROR(
   IF(_xlfn.XLOOKUP(Final_Sans_VGE[[#This Row],[ppn_z]],tbl_Historique_Final[ppn_z],tbl_Historique_Final[date_modif])=Final_Sans_VGE[[#This Row],[date_modif]],
      "Ancien",
      "Modifié"),
   "Nouveau"))</f>
        <v>#VALUE!</v>
      </c>
      <c r="AD5280" s="1" t="str">
        <f>IFERROR(IF(Final_Sans_VGE[[#This Row],[ppn_z]]="","",IFERROR(
   IF(_xlfn.XLOOKUP(Final_Sans_VGE[[#This Row],[ppn_z]],tbl_Historique_Final[[#This Row],[ppn_z]],tbl_Historique_Final[[#This Row],[date_modif]])=Final_Sans_VGE[[#This Row],[date_modif]],
      "Ancien",
      "Modifié"),
   "Nouveau")),"")</f>
        <v/>
      </c>
    </row>
    <row r="5281" spans="24:30" x14ac:dyDescent="0.25">
      <c r="X5281" s="8" t="e">
        <f>IF(Final_Sans_VGE[[#This Row],[ppn_z]]="","",IFERROR(
   IF(_xlfn.XLOOKUP(Final_Sans_VGE[[#This Row],[ppn_z]],tbl_Historique_Final[ppn_z],tbl_Historique_Final[date_modif])=Final_Sans_VGE[[#This Row],[date_modif]],
      "Ancien",
      "Modifié"),
   "Nouveau"))</f>
        <v>#VALUE!</v>
      </c>
      <c r="AD5281" s="1" t="str">
        <f>IFERROR(IF(Final_Sans_VGE[[#This Row],[ppn_z]]="","",IFERROR(
   IF(_xlfn.XLOOKUP(Final_Sans_VGE[[#This Row],[ppn_z]],tbl_Historique_Final[[#This Row],[ppn_z]],tbl_Historique_Final[[#This Row],[date_modif]])=Final_Sans_VGE[[#This Row],[date_modif]],
      "Ancien",
      "Modifié"),
   "Nouveau")),"")</f>
        <v/>
      </c>
    </row>
    <row r="5282" spans="24:30" x14ac:dyDescent="0.25">
      <c r="X5282" s="8" t="e">
        <f>IF(Final_Sans_VGE[[#This Row],[ppn_z]]="","",IFERROR(
   IF(_xlfn.XLOOKUP(Final_Sans_VGE[[#This Row],[ppn_z]],tbl_Historique_Final[ppn_z],tbl_Historique_Final[date_modif])=Final_Sans_VGE[[#This Row],[date_modif]],
      "Ancien",
      "Modifié"),
   "Nouveau"))</f>
        <v>#VALUE!</v>
      </c>
      <c r="AD5282" s="1" t="str">
        <f>IFERROR(IF(Final_Sans_VGE[[#This Row],[ppn_z]]="","",IFERROR(
   IF(_xlfn.XLOOKUP(Final_Sans_VGE[[#This Row],[ppn_z]],tbl_Historique_Final[[#This Row],[ppn_z]],tbl_Historique_Final[[#This Row],[date_modif]])=Final_Sans_VGE[[#This Row],[date_modif]],
      "Ancien",
      "Modifié"),
   "Nouveau")),"")</f>
        <v/>
      </c>
    </row>
    <row r="5283" spans="24:30" x14ac:dyDescent="0.25">
      <c r="X5283" s="8" t="e">
        <f>IF(Final_Sans_VGE[[#This Row],[ppn_z]]="","",IFERROR(
   IF(_xlfn.XLOOKUP(Final_Sans_VGE[[#This Row],[ppn_z]],tbl_Historique_Final[ppn_z],tbl_Historique_Final[date_modif])=Final_Sans_VGE[[#This Row],[date_modif]],
      "Ancien",
      "Modifié"),
   "Nouveau"))</f>
        <v>#VALUE!</v>
      </c>
      <c r="AD5283" s="1" t="str">
        <f>IFERROR(IF(Final_Sans_VGE[[#This Row],[ppn_z]]="","",IFERROR(
   IF(_xlfn.XLOOKUP(Final_Sans_VGE[[#This Row],[ppn_z]],tbl_Historique_Final[[#This Row],[ppn_z]],tbl_Historique_Final[[#This Row],[date_modif]])=Final_Sans_VGE[[#This Row],[date_modif]],
      "Ancien",
      "Modifié"),
   "Nouveau")),"")</f>
        <v/>
      </c>
    </row>
    <row r="5284" spans="24:30" x14ac:dyDescent="0.25">
      <c r="X5284" s="8" t="e">
        <f>IF(Final_Sans_VGE[[#This Row],[ppn_z]]="","",IFERROR(
   IF(_xlfn.XLOOKUP(Final_Sans_VGE[[#This Row],[ppn_z]],tbl_Historique_Final[ppn_z],tbl_Historique_Final[date_modif])=Final_Sans_VGE[[#This Row],[date_modif]],
      "Ancien",
      "Modifié"),
   "Nouveau"))</f>
        <v>#VALUE!</v>
      </c>
      <c r="AD5284" s="1" t="str">
        <f>IFERROR(IF(Final_Sans_VGE[[#This Row],[ppn_z]]="","",IFERROR(
   IF(_xlfn.XLOOKUP(Final_Sans_VGE[[#This Row],[ppn_z]],tbl_Historique_Final[[#This Row],[ppn_z]],tbl_Historique_Final[[#This Row],[date_modif]])=Final_Sans_VGE[[#This Row],[date_modif]],
      "Ancien",
      "Modifié"),
   "Nouveau")),"")</f>
        <v/>
      </c>
    </row>
    <row r="5285" spans="24:30" x14ac:dyDescent="0.25">
      <c r="X5285" s="8" t="e">
        <f>IF(Final_Sans_VGE[[#This Row],[ppn_z]]="","",IFERROR(
   IF(_xlfn.XLOOKUP(Final_Sans_VGE[[#This Row],[ppn_z]],tbl_Historique_Final[ppn_z],tbl_Historique_Final[date_modif])=Final_Sans_VGE[[#This Row],[date_modif]],
      "Ancien",
      "Modifié"),
   "Nouveau"))</f>
        <v>#VALUE!</v>
      </c>
      <c r="AD5285" s="1" t="str">
        <f>IFERROR(IF(Final_Sans_VGE[[#This Row],[ppn_z]]="","",IFERROR(
   IF(_xlfn.XLOOKUP(Final_Sans_VGE[[#This Row],[ppn_z]],tbl_Historique_Final[[#This Row],[ppn_z]],tbl_Historique_Final[[#This Row],[date_modif]])=Final_Sans_VGE[[#This Row],[date_modif]],
      "Ancien",
      "Modifié"),
   "Nouveau")),"")</f>
        <v/>
      </c>
    </row>
    <row r="5286" spans="24:30" x14ac:dyDescent="0.25">
      <c r="X5286" s="8" t="e">
        <f>IF(Final_Sans_VGE[[#This Row],[ppn_z]]="","",IFERROR(
   IF(_xlfn.XLOOKUP(Final_Sans_VGE[[#This Row],[ppn_z]],tbl_Historique_Final[ppn_z],tbl_Historique_Final[date_modif])=Final_Sans_VGE[[#This Row],[date_modif]],
      "Ancien",
      "Modifié"),
   "Nouveau"))</f>
        <v>#VALUE!</v>
      </c>
      <c r="AD5286" s="1" t="str">
        <f>IFERROR(IF(Final_Sans_VGE[[#This Row],[ppn_z]]="","",IFERROR(
   IF(_xlfn.XLOOKUP(Final_Sans_VGE[[#This Row],[ppn_z]],tbl_Historique_Final[[#This Row],[ppn_z]],tbl_Historique_Final[[#This Row],[date_modif]])=Final_Sans_VGE[[#This Row],[date_modif]],
      "Ancien",
      "Modifié"),
   "Nouveau")),"")</f>
        <v/>
      </c>
    </row>
    <row r="5287" spans="24:30" x14ac:dyDescent="0.25">
      <c r="X5287" s="8" t="e">
        <f>IF(Final_Sans_VGE[[#This Row],[ppn_z]]="","",IFERROR(
   IF(_xlfn.XLOOKUP(Final_Sans_VGE[[#This Row],[ppn_z]],tbl_Historique_Final[ppn_z],tbl_Historique_Final[date_modif])=Final_Sans_VGE[[#This Row],[date_modif]],
      "Ancien",
      "Modifié"),
   "Nouveau"))</f>
        <v>#VALUE!</v>
      </c>
      <c r="AD5287" s="1" t="str">
        <f>IFERROR(IF(Final_Sans_VGE[[#This Row],[ppn_z]]="","",IFERROR(
   IF(_xlfn.XLOOKUP(Final_Sans_VGE[[#This Row],[ppn_z]],tbl_Historique_Final[[#This Row],[ppn_z]],tbl_Historique_Final[[#This Row],[date_modif]])=Final_Sans_VGE[[#This Row],[date_modif]],
      "Ancien",
      "Modifié"),
   "Nouveau")),"")</f>
        <v/>
      </c>
    </row>
    <row r="5288" spans="24:30" x14ac:dyDescent="0.25">
      <c r="X5288" s="8" t="e">
        <f>IF(Final_Sans_VGE[[#This Row],[ppn_z]]="","",IFERROR(
   IF(_xlfn.XLOOKUP(Final_Sans_VGE[[#This Row],[ppn_z]],tbl_Historique_Final[ppn_z],tbl_Historique_Final[date_modif])=Final_Sans_VGE[[#This Row],[date_modif]],
      "Ancien",
      "Modifié"),
   "Nouveau"))</f>
        <v>#VALUE!</v>
      </c>
      <c r="AD5288" s="1" t="str">
        <f>IFERROR(IF(Final_Sans_VGE[[#This Row],[ppn_z]]="","",IFERROR(
   IF(_xlfn.XLOOKUP(Final_Sans_VGE[[#This Row],[ppn_z]],tbl_Historique_Final[[#This Row],[ppn_z]],tbl_Historique_Final[[#This Row],[date_modif]])=Final_Sans_VGE[[#This Row],[date_modif]],
      "Ancien",
      "Modifié"),
   "Nouveau")),"")</f>
        <v/>
      </c>
    </row>
    <row r="5289" spans="24:30" x14ac:dyDescent="0.25">
      <c r="X5289" s="8" t="e">
        <f>IF(Final_Sans_VGE[[#This Row],[ppn_z]]="","",IFERROR(
   IF(_xlfn.XLOOKUP(Final_Sans_VGE[[#This Row],[ppn_z]],tbl_Historique_Final[ppn_z],tbl_Historique_Final[date_modif])=Final_Sans_VGE[[#This Row],[date_modif]],
      "Ancien",
      "Modifié"),
   "Nouveau"))</f>
        <v>#VALUE!</v>
      </c>
      <c r="AD5289" s="1" t="str">
        <f>IFERROR(IF(Final_Sans_VGE[[#This Row],[ppn_z]]="","",IFERROR(
   IF(_xlfn.XLOOKUP(Final_Sans_VGE[[#This Row],[ppn_z]],tbl_Historique_Final[[#This Row],[ppn_z]],tbl_Historique_Final[[#This Row],[date_modif]])=Final_Sans_VGE[[#This Row],[date_modif]],
      "Ancien",
      "Modifié"),
   "Nouveau")),"")</f>
        <v/>
      </c>
    </row>
    <row r="5290" spans="24:30" x14ac:dyDescent="0.25">
      <c r="X5290" s="8" t="e">
        <f>IF(Final_Sans_VGE[[#This Row],[ppn_z]]="","",IFERROR(
   IF(_xlfn.XLOOKUP(Final_Sans_VGE[[#This Row],[ppn_z]],tbl_Historique_Final[ppn_z],tbl_Historique_Final[date_modif])=Final_Sans_VGE[[#This Row],[date_modif]],
      "Ancien",
      "Modifié"),
   "Nouveau"))</f>
        <v>#VALUE!</v>
      </c>
      <c r="AD5290" s="1" t="str">
        <f>IFERROR(IF(Final_Sans_VGE[[#This Row],[ppn_z]]="","",IFERROR(
   IF(_xlfn.XLOOKUP(Final_Sans_VGE[[#This Row],[ppn_z]],tbl_Historique_Final[[#This Row],[ppn_z]],tbl_Historique_Final[[#This Row],[date_modif]])=Final_Sans_VGE[[#This Row],[date_modif]],
      "Ancien",
      "Modifié"),
   "Nouveau")),"")</f>
        <v/>
      </c>
    </row>
    <row r="5291" spans="24:30" x14ac:dyDescent="0.25">
      <c r="X5291" s="8" t="e">
        <f>IF(Final_Sans_VGE[[#This Row],[ppn_z]]="","",IFERROR(
   IF(_xlfn.XLOOKUP(Final_Sans_VGE[[#This Row],[ppn_z]],tbl_Historique_Final[ppn_z],tbl_Historique_Final[date_modif])=Final_Sans_VGE[[#This Row],[date_modif]],
      "Ancien",
      "Modifié"),
   "Nouveau"))</f>
        <v>#VALUE!</v>
      </c>
      <c r="AD5291" s="1" t="str">
        <f>IFERROR(IF(Final_Sans_VGE[[#This Row],[ppn_z]]="","",IFERROR(
   IF(_xlfn.XLOOKUP(Final_Sans_VGE[[#This Row],[ppn_z]],tbl_Historique_Final[[#This Row],[ppn_z]],tbl_Historique_Final[[#This Row],[date_modif]])=Final_Sans_VGE[[#This Row],[date_modif]],
      "Ancien",
      "Modifié"),
   "Nouveau")),"")</f>
        <v/>
      </c>
    </row>
    <row r="5292" spans="24:30" x14ac:dyDescent="0.25">
      <c r="X5292" s="8" t="e">
        <f>IF(Final_Sans_VGE[[#This Row],[ppn_z]]="","",IFERROR(
   IF(_xlfn.XLOOKUP(Final_Sans_VGE[[#This Row],[ppn_z]],tbl_Historique_Final[ppn_z],tbl_Historique_Final[date_modif])=Final_Sans_VGE[[#This Row],[date_modif]],
      "Ancien",
      "Modifié"),
   "Nouveau"))</f>
        <v>#VALUE!</v>
      </c>
      <c r="AD5292" s="1" t="str">
        <f>IFERROR(IF(Final_Sans_VGE[[#This Row],[ppn_z]]="","",IFERROR(
   IF(_xlfn.XLOOKUP(Final_Sans_VGE[[#This Row],[ppn_z]],tbl_Historique_Final[[#This Row],[ppn_z]],tbl_Historique_Final[[#This Row],[date_modif]])=Final_Sans_VGE[[#This Row],[date_modif]],
      "Ancien",
      "Modifié"),
   "Nouveau")),"")</f>
        <v/>
      </c>
    </row>
    <row r="5293" spans="24:30" x14ac:dyDescent="0.25">
      <c r="X5293" s="8" t="e">
        <f>IF(Final_Sans_VGE[[#This Row],[ppn_z]]="","",IFERROR(
   IF(_xlfn.XLOOKUP(Final_Sans_VGE[[#This Row],[ppn_z]],tbl_Historique_Final[ppn_z],tbl_Historique_Final[date_modif])=Final_Sans_VGE[[#This Row],[date_modif]],
      "Ancien",
      "Modifié"),
   "Nouveau"))</f>
        <v>#VALUE!</v>
      </c>
      <c r="AD5293" s="1" t="str">
        <f>IFERROR(IF(Final_Sans_VGE[[#This Row],[ppn_z]]="","",IFERROR(
   IF(_xlfn.XLOOKUP(Final_Sans_VGE[[#This Row],[ppn_z]],tbl_Historique_Final[[#This Row],[ppn_z]],tbl_Historique_Final[[#This Row],[date_modif]])=Final_Sans_VGE[[#This Row],[date_modif]],
      "Ancien",
      "Modifié"),
   "Nouveau")),"")</f>
        <v/>
      </c>
    </row>
    <row r="5294" spans="24:30" x14ac:dyDescent="0.25">
      <c r="X5294" s="8" t="e">
        <f>IF(Final_Sans_VGE[[#This Row],[ppn_z]]="","",IFERROR(
   IF(_xlfn.XLOOKUP(Final_Sans_VGE[[#This Row],[ppn_z]],tbl_Historique_Final[ppn_z],tbl_Historique_Final[date_modif])=Final_Sans_VGE[[#This Row],[date_modif]],
      "Ancien",
      "Modifié"),
   "Nouveau"))</f>
        <v>#VALUE!</v>
      </c>
      <c r="AD5294" s="1" t="str">
        <f>IFERROR(IF(Final_Sans_VGE[[#This Row],[ppn_z]]="","",IFERROR(
   IF(_xlfn.XLOOKUP(Final_Sans_VGE[[#This Row],[ppn_z]],tbl_Historique_Final[[#This Row],[ppn_z]],tbl_Historique_Final[[#This Row],[date_modif]])=Final_Sans_VGE[[#This Row],[date_modif]],
      "Ancien",
      "Modifié"),
   "Nouveau")),"")</f>
        <v/>
      </c>
    </row>
    <row r="5295" spans="24:30" x14ac:dyDescent="0.25">
      <c r="X5295" s="8" t="e">
        <f>IF(Final_Sans_VGE[[#This Row],[ppn_z]]="","",IFERROR(
   IF(_xlfn.XLOOKUP(Final_Sans_VGE[[#This Row],[ppn_z]],tbl_Historique_Final[ppn_z],tbl_Historique_Final[date_modif])=Final_Sans_VGE[[#This Row],[date_modif]],
      "Ancien",
      "Modifié"),
   "Nouveau"))</f>
        <v>#VALUE!</v>
      </c>
      <c r="AD5295" s="1" t="str">
        <f>IFERROR(IF(Final_Sans_VGE[[#This Row],[ppn_z]]="","",IFERROR(
   IF(_xlfn.XLOOKUP(Final_Sans_VGE[[#This Row],[ppn_z]],tbl_Historique_Final[[#This Row],[ppn_z]],tbl_Historique_Final[[#This Row],[date_modif]])=Final_Sans_VGE[[#This Row],[date_modif]],
      "Ancien",
      "Modifié"),
   "Nouveau")),"")</f>
        <v/>
      </c>
    </row>
    <row r="5296" spans="24:30" x14ac:dyDescent="0.25">
      <c r="X5296" s="8" t="e">
        <f>IF(Final_Sans_VGE[[#This Row],[ppn_z]]="","",IFERROR(
   IF(_xlfn.XLOOKUP(Final_Sans_VGE[[#This Row],[ppn_z]],tbl_Historique_Final[ppn_z],tbl_Historique_Final[date_modif])=Final_Sans_VGE[[#This Row],[date_modif]],
      "Ancien",
      "Modifié"),
   "Nouveau"))</f>
        <v>#VALUE!</v>
      </c>
      <c r="AD5296" s="1" t="str">
        <f>IFERROR(IF(Final_Sans_VGE[[#This Row],[ppn_z]]="","",IFERROR(
   IF(_xlfn.XLOOKUP(Final_Sans_VGE[[#This Row],[ppn_z]],tbl_Historique_Final[[#This Row],[ppn_z]],tbl_Historique_Final[[#This Row],[date_modif]])=Final_Sans_VGE[[#This Row],[date_modif]],
      "Ancien",
      "Modifié"),
   "Nouveau")),"")</f>
        <v/>
      </c>
    </row>
    <row r="5297" spans="24:30" x14ac:dyDescent="0.25">
      <c r="X5297" s="8" t="e">
        <f>IF(Final_Sans_VGE[[#This Row],[ppn_z]]="","",IFERROR(
   IF(_xlfn.XLOOKUP(Final_Sans_VGE[[#This Row],[ppn_z]],tbl_Historique_Final[ppn_z],tbl_Historique_Final[date_modif])=Final_Sans_VGE[[#This Row],[date_modif]],
      "Ancien",
      "Modifié"),
   "Nouveau"))</f>
        <v>#VALUE!</v>
      </c>
      <c r="AD5297" s="1" t="str">
        <f>IFERROR(IF(Final_Sans_VGE[[#This Row],[ppn_z]]="","",IFERROR(
   IF(_xlfn.XLOOKUP(Final_Sans_VGE[[#This Row],[ppn_z]],tbl_Historique_Final[[#This Row],[ppn_z]],tbl_Historique_Final[[#This Row],[date_modif]])=Final_Sans_VGE[[#This Row],[date_modif]],
      "Ancien",
      "Modifié"),
   "Nouveau")),"")</f>
        <v/>
      </c>
    </row>
    <row r="5298" spans="24:30" x14ac:dyDescent="0.25">
      <c r="X5298" s="8" t="e">
        <f>IF(Final_Sans_VGE[[#This Row],[ppn_z]]="","",IFERROR(
   IF(_xlfn.XLOOKUP(Final_Sans_VGE[[#This Row],[ppn_z]],tbl_Historique_Final[ppn_z],tbl_Historique_Final[date_modif])=Final_Sans_VGE[[#This Row],[date_modif]],
      "Ancien",
      "Modifié"),
   "Nouveau"))</f>
        <v>#VALUE!</v>
      </c>
      <c r="AD5298" s="1" t="str">
        <f>IFERROR(IF(Final_Sans_VGE[[#This Row],[ppn_z]]="","",IFERROR(
   IF(_xlfn.XLOOKUP(Final_Sans_VGE[[#This Row],[ppn_z]],tbl_Historique_Final[[#This Row],[ppn_z]],tbl_Historique_Final[[#This Row],[date_modif]])=Final_Sans_VGE[[#This Row],[date_modif]],
      "Ancien",
      "Modifié"),
   "Nouveau")),"")</f>
        <v/>
      </c>
    </row>
    <row r="5299" spans="24:30" x14ac:dyDescent="0.25">
      <c r="X5299" s="8" t="e">
        <f>IF(Final_Sans_VGE[[#This Row],[ppn_z]]="","",IFERROR(
   IF(_xlfn.XLOOKUP(Final_Sans_VGE[[#This Row],[ppn_z]],tbl_Historique_Final[ppn_z],tbl_Historique_Final[date_modif])=Final_Sans_VGE[[#This Row],[date_modif]],
      "Ancien",
      "Modifié"),
   "Nouveau"))</f>
        <v>#VALUE!</v>
      </c>
      <c r="AD5299" s="1" t="str">
        <f>IFERROR(IF(Final_Sans_VGE[[#This Row],[ppn_z]]="","",IFERROR(
   IF(_xlfn.XLOOKUP(Final_Sans_VGE[[#This Row],[ppn_z]],tbl_Historique_Final[[#This Row],[ppn_z]],tbl_Historique_Final[[#This Row],[date_modif]])=Final_Sans_VGE[[#This Row],[date_modif]],
      "Ancien",
      "Modifié"),
   "Nouveau")),"")</f>
        <v/>
      </c>
    </row>
    <row r="5300" spans="24:30" x14ac:dyDescent="0.25">
      <c r="X5300" s="8" t="e">
        <f>IF(Final_Sans_VGE[[#This Row],[ppn_z]]="","",IFERROR(
   IF(_xlfn.XLOOKUP(Final_Sans_VGE[[#This Row],[ppn_z]],tbl_Historique_Final[ppn_z],tbl_Historique_Final[date_modif])=Final_Sans_VGE[[#This Row],[date_modif]],
      "Ancien",
      "Modifié"),
   "Nouveau"))</f>
        <v>#VALUE!</v>
      </c>
      <c r="AD5300" s="1" t="str">
        <f>IFERROR(IF(Final_Sans_VGE[[#This Row],[ppn_z]]="","",IFERROR(
   IF(_xlfn.XLOOKUP(Final_Sans_VGE[[#This Row],[ppn_z]],tbl_Historique_Final[[#This Row],[ppn_z]],tbl_Historique_Final[[#This Row],[date_modif]])=Final_Sans_VGE[[#This Row],[date_modif]],
      "Ancien",
      "Modifié"),
   "Nouveau")),"")</f>
        <v/>
      </c>
    </row>
    <row r="5301" spans="24:30" x14ac:dyDescent="0.25">
      <c r="X5301" s="8" t="e">
        <f>IF(Final_Sans_VGE[[#This Row],[ppn_z]]="","",IFERROR(
   IF(_xlfn.XLOOKUP(Final_Sans_VGE[[#This Row],[ppn_z]],tbl_Historique_Final[ppn_z],tbl_Historique_Final[date_modif])=Final_Sans_VGE[[#This Row],[date_modif]],
      "Ancien",
      "Modifié"),
   "Nouveau"))</f>
        <v>#VALUE!</v>
      </c>
      <c r="AD5301" s="1" t="str">
        <f>IFERROR(IF(Final_Sans_VGE[[#This Row],[ppn_z]]="","",IFERROR(
   IF(_xlfn.XLOOKUP(Final_Sans_VGE[[#This Row],[ppn_z]],tbl_Historique_Final[[#This Row],[ppn_z]],tbl_Historique_Final[[#This Row],[date_modif]])=Final_Sans_VGE[[#This Row],[date_modif]],
      "Ancien",
      "Modifié"),
   "Nouveau")),"")</f>
        <v/>
      </c>
    </row>
    <row r="5302" spans="24:30" x14ac:dyDescent="0.25">
      <c r="X5302" s="8" t="e">
        <f>IF(Final_Sans_VGE[[#This Row],[ppn_z]]="","",IFERROR(
   IF(_xlfn.XLOOKUP(Final_Sans_VGE[[#This Row],[ppn_z]],tbl_Historique_Final[ppn_z],tbl_Historique_Final[date_modif])=Final_Sans_VGE[[#This Row],[date_modif]],
      "Ancien",
      "Modifié"),
   "Nouveau"))</f>
        <v>#VALUE!</v>
      </c>
      <c r="AD5302" s="1" t="str">
        <f>IFERROR(IF(Final_Sans_VGE[[#This Row],[ppn_z]]="","",IFERROR(
   IF(_xlfn.XLOOKUP(Final_Sans_VGE[[#This Row],[ppn_z]],tbl_Historique_Final[[#This Row],[ppn_z]],tbl_Historique_Final[[#This Row],[date_modif]])=Final_Sans_VGE[[#This Row],[date_modif]],
      "Ancien",
      "Modifié"),
   "Nouveau")),"")</f>
        <v/>
      </c>
    </row>
    <row r="5303" spans="24:30" x14ac:dyDescent="0.25">
      <c r="X5303" s="8" t="e">
        <f>IF(Final_Sans_VGE[[#This Row],[ppn_z]]="","",IFERROR(
   IF(_xlfn.XLOOKUP(Final_Sans_VGE[[#This Row],[ppn_z]],tbl_Historique_Final[ppn_z],tbl_Historique_Final[date_modif])=Final_Sans_VGE[[#This Row],[date_modif]],
      "Ancien",
      "Modifié"),
   "Nouveau"))</f>
        <v>#VALUE!</v>
      </c>
      <c r="AD5303" s="1" t="str">
        <f>IFERROR(IF(Final_Sans_VGE[[#This Row],[ppn_z]]="","",IFERROR(
   IF(_xlfn.XLOOKUP(Final_Sans_VGE[[#This Row],[ppn_z]],tbl_Historique_Final[[#This Row],[ppn_z]],tbl_Historique_Final[[#This Row],[date_modif]])=Final_Sans_VGE[[#This Row],[date_modif]],
      "Ancien",
      "Modifié"),
   "Nouveau")),"")</f>
        <v/>
      </c>
    </row>
    <row r="5304" spans="24:30" x14ac:dyDescent="0.25">
      <c r="X5304" s="8" t="e">
        <f>IF(Final_Sans_VGE[[#This Row],[ppn_z]]="","",IFERROR(
   IF(_xlfn.XLOOKUP(Final_Sans_VGE[[#This Row],[ppn_z]],tbl_Historique_Final[ppn_z],tbl_Historique_Final[date_modif])=Final_Sans_VGE[[#This Row],[date_modif]],
      "Ancien",
      "Modifié"),
   "Nouveau"))</f>
        <v>#VALUE!</v>
      </c>
      <c r="AD5304" s="1" t="str">
        <f>IFERROR(IF(Final_Sans_VGE[[#This Row],[ppn_z]]="","",IFERROR(
   IF(_xlfn.XLOOKUP(Final_Sans_VGE[[#This Row],[ppn_z]],tbl_Historique_Final[[#This Row],[ppn_z]],tbl_Historique_Final[[#This Row],[date_modif]])=Final_Sans_VGE[[#This Row],[date_modif]],
      "Ancien",
      "Modifié"),
   "Nouveau")),"")</f>
        <v/>
      </c>
    </row>
    <row r="5305" spans="24:30" x14ac:dyDescent="0.25">
      <c r="X5305" s="8" t="e">
        <f>IF(Final_Sans_VGE[[#This Row],[ppn_z]]="","",IFERROR(
   IF(_xlfn.XLOOKUP(Final_Sans_VGE[[#This Row],[ppn_z]],tbl_Historique_Final[ppn_z],tbl_Historique_Final[date_modif])=Final_Sans_VGE[[#This Row],[date_modif]],
      "Ancien",
      "Modifié"),
   "Nouveau"))</f>
        <v>#VALUE!</v>
      </c>
      <c r="AD5305" s="1" t="str">
        <f>IFERROR(IF(Final_Sans_VGE[[#This Row],[ppn_z]]="","",IFERROR(
   IF(_xlfn.XLOOKUP(Final_Sans_VGE[[#This Row],[ppn_z]],tbl_Historique_Final[[#This Row],[ppn_z]],tbl_Historique_Final[[#This Row],[date_modif]])=Final_Sans_VGE[[#This Row],[date_modif]],
      "Ancien",
      "Modifié"),
   "Nouveau")),"")</f>
        <v/>
      </c>
    </row>
    <row r="5306" spans="24:30" x14ac:dyDescent="0.25">
      <c r="X5306" s="8" t="e">
        <f>IF(Final_Sans_VGE[[#This Row],[ppn_z]]="","",IFERROR(
   IF(_xlfn.XLOOKUP(Final_Sans_VGE[[#This Row],[ppn_z]],tbl_Historique_Final[ppn_z],tbl_Historique_Final[date_modif])=Final_Sans_VGE[[#This Row],[date_modif]],
      "Ancien",
      "Modifié"),
   "Nouveau"))</f>
        <v>#VALUE!</v>
      </c>
      <c r="AD5306" s="1" t="str">
        <f>IFERROR(IF(Final_Sans_VGE[[#This Row],[ppn_z]]="","",IFERROR(
   IF(_xlfn.XLOOKUP(Final_Sans_VGE[[#This Row],[ppn_z]],tbl_Historique_Final[[#This Row],[ppn_z]],tbl_Historique_Final[[#This Row],[date_modif]])=Final_Sans_VGE[[#This Row],[date_modif]],
      "Ancien",
      "Modifié"),
   "Nouveau")),"")</f>
        <v/>
      </c>
    </row>
    <row r="5307" spans="24:30" x14ac:dyDescent="0.25">
      <c r="X5307" s="8" t="e">
        <f>IF(Final_Sans_VGE[[#This Row],[ppn_z]]="","",IFERROR(
   IF(_xlfn.XLOOKUP(Final_Sans_VGE[[#This Row],[ppn_z]],tbl_Historique_Final[ppn_z],tbl_Historique_Final[date_modif])=Final_Sans_VGE[[#This Row],[date_modif]],
      "Ancien",
      "Modifié"),
   "Nouveau"))</f>
        <v>#VALUE!</v>
      </c>
      <c r="AD5307" s="1" t="str">
        <f>IFERROR(IF(Final_Sans_VGE[[#This Row],[ppn_z]]="","",IFERROR(
   IF(_xlfn.XLOOKUP(Final_Sans_VGE[[#This Row],[ppn_z]],tbl_Historique_Final[[#This Row],[ppn_z]],tbl_Historique_Final[[#This Row],[date_modif]])=Final_Sans_VGE[[#This Row],[date_modif]],
      "Ancien",
      "Modifié"),
   "Nouveau")),"")</f>
        <v/>
      </c>
    </row>
    <row r="5308" spans="24:30" x14ac:dyDescent="0.25">
      <c r="X5308" s="8" t="e">
        <f>IF(Final_Sans_VGE[[#This Row],[ppn_z]]="","",IFERROR(
   IF(_xlfn.XLOOKUP(Final_Sans_VGE[[#This Row],[ppn_z]],tbl_Historique_Final[ppn_z],tbl_Historique_Final[date_modif])=Final_Sans_VGE[[#This Row],[date_modif]],
      "Ancien",
      "Modifié"),
   "Nouveau"))</f>
        <v>#VALUE!</v>
      </c>
      <c r="AD5308" s="1" t="str">
        <f>IFERROR(IF(Final_Sans_VGE[[#This Row],[ppn_z]]="","",IFERROR(
   IF(_xlfn.XLOOKUP(Final_Sans_VGE[[#This Row],[ppn_z]],tbl_Historique_Final[[#This Row],[ppn_z]],tbl_Historique_Final[[#This Row],[date_modif]])=Final_Sans_VGE[[#This Row],[date_modif]],
      "Ancien",
      "Modifié"),
   "Nouveau")),"")</f>
        <v/>
      </c>
    </row>
    <row r="5309" spans="24:30" x14ac:dyDescent="0.25">
      <c r="X5309" s="8" t="e">
        <f>IF(Final_Sans_VGE[[#This Row],[ppn_z]]="","",IFERROR(
   IF(_xlfn.XLOOKUP(Final_Sans_VGE[[#This Row],[ppn_z]],tbl_Historique_Final[ppn_z],tbl_Historique_Final[date_modif])=Final_Sans_VGE[[#This Row],[date_modif]],
      "Ancien",
      "Modifié"),
   "Nouveau"))</f>
        <v>#VALUE!</v>
      </c>
      <c r="AD5309" s="1" t="str">
        <f>IFERROR(IF(Final_Sans_VGE[[#This Row],[ppn_z]]="","",IFERROR(
   IF(_xlfn.XLOOKUP(Final_Sans_VGE[[#This Row],[ppn_z]],tbl_Historique_Final[[#This Row],[ppn_z]],tbl_Historique_Final[[#This Row],[date_modif]])=Final_Sans_VGE[[#This Row],[date_modif]],
      "Ancien",
      "Modifié"),
   "Nouveau")),"")</f>
        <v/>
      </c>
    </row>
    <row r="5310" spans="24:30" x14ac:dyDescent="0.25">
      <c r="X5310" s="8" t="e">
        <f>IF(Final_Sans_VGE[[#This Row],[ppn_z]]="","",IFERROR(
   IF(_xlfn.XLOOKUP(Final_Sans_VGE[[#This Row],[ppn_z]],tbl_Historique_Final[ppn_z],tbl_Historique_Final[date_modif])=Final_Sans_VGE[[#This Row],[date_modif]],
      "Ancien",
      "Modifié"),
   "Nouveau"))</f>
        <v>#VALUE!</v>
      </c>
      <c r="AD5310" s="1" t="str">
        <f>IFERROR(IF(Final_Sans_VGE[[#This Row],[ppn_z]]="","",IFERROR(
   IF(_xlfn.XLOOKUP(Final_Sans_VGE[[#This Row],[ppn_z]],tbl_Historique_Final[[#This Row],[ppn_z]],tbl_Historique_Final[[#This Row],[date_modif]])=Final_Sans_VGE[[#This Row],[date_modif]],
      "Ancien",
      "Modifié"),
   "Nouveau")),"")</f>
        <v/>
      </c>
    </row>
    <row r="5311" spans="24:30" x14ac:dyDescent="0.25">
      <c r="X5311" s="8" t="e">
        <f>IF(Final_Sans_VGE[[#This Row],[ppn_z]]="","",IFERROR(
   IF(_xlfn.XLOOKUP(Final_Sans_VGE[[#This Row],[ppn_z]],tbl_Historique_Final[ppn_z],tbl_Historique_Final[date_modif])=Final_Sans_VGE[[#This Row],[date_modif]],
      "Ancien",
      "Modifié"),
   "Nouveau"))</f>
        <v>#VALUE!</v>
      </c>
      <c r="AD5311" s="1" t="str">
        <f>IFERROR(IF(Final_Sans_VGE[[#This Row],[ppn_z]]="","",IFERROR(
   IF(_xlfn.XLOOKUP(Final_Sans_VGE[[#This Row],[ppn_z]],tbl_Historique_Final[[#This Row],[ppn_z]],tbl_Historique_Final[[#This Row],[date_modif]])=Final_Sans_VGE[[#This Row],[date_modif]],
      "Ancien",
      "Modifié"),
   "Nouveau")),"")</f>
        <v/>
      </c>
    </row>
    <row r="5312" spans="24:30" x14ac:dyDescent="0.25">
      <c r="X5312" s="8" t="e">
        <f>IF(Final_Sans_VGE[[#This Row],[ppn_z]]="","",IFERROR(
   IF(_xlfn.XLOOKUP(Final_Sans_VGE[[#This Row],[ppn_z]],tbl_Historique_Final[ppn_z],tbl_Historique_Final[date_modif])=Final_Sans_VGE[[#This Row],[date_modif]],
      "Ancien",
      "Modifié"),
   "Nouveau"))</f>
        <v>#VALUE!</v>
      </c>
      <c r="AD5312" s="1" t="str">
        <f>IFERROR(IF(Final_Sans_VGE[[#This Row],[ppn_z]]="","",IFERROR(
   IF(_xlfn.XLOOKUP(Final_Sans_VGE[[#This Row],[ppn_z]],tbl_Historique_Final[[#This Row],[ppn_z]],tbl_Historique_Final[[#This Row],[date_modif]])=Final_Sans_VGE[[#This Row],[date_modif]],
      "Ancien",
      "Modifié"),
   "Nouveau")),"")</f>
        <v/>
      </c>
    </row>
    <row r="5313" spans="24:30" x14ac:dyDescent="0.25">
      <c r="X5313" s="8" t="e">
        <f>IF(Final_Sans_VGE[[#This Row],[ppn_z]]="","",IFERROR(
   IF(_xlfn.XLOOKUP(Final_Sans_VGE[[#This Row],[ppn_z]],tbl_Historique_Final[ppn_z],tbl_Historique_Final[date_modif])=Final_Sans_VGE[[#This Row],[date_modif]],
      "Ancien",
      "Modifié"),
   "Nouveau"))</f>
        <v>#VALUE!</v>
      </c>
      <c r="AD5313" s="1" t="str">
        <f>IFERROR(IF(Final_Sans_VGE[[#This Row],[ppn_z]]="","",IFERROR(
   IF(_xlfn.XLOOKUP(Final_Sans_VGE[[#This Row],[ppn_z]],tbl_Historique_Final[[#This Row],[ppn_z]],tbl_Historique_Final[[#This Row],[date_modif]])=Final_Sans_VGE[[#This Row],[date_modif]],
      "Ancien",
      "Modifié"),
   "Nouveau")),"")</f>
        <v/>
      </c>
    </row>
    <row r="5314" spans="24:30" x14ac:dyDescent="0.25">
      <c r="X5314" s="8" t="e">
        <f>IF(Final_Sans_VGE[[#This Row],[ppn_z]]="","",IFERROR(
   IF(_xlfn.XLOOKUP(Final_Sans_VGE[[#This Row],[ppn_z]],tbl_Historique_Final[ppn_z],tbl_Historique_Final[date_modif])=Final_Sans_VGE[[#This Row],[date_modif]],
      "Ancien",
      "Modifié"),
   "Nouveau"))</f>
        <v>#VALUE!</v>
      </c>
      <c r="AD5314" s="1" t="str">
        <f>IFERROR(IF(Final_Sans_VGE[[#This Row],[ppn_z]]="","",IFERROR(
   IF(_xlfn.XLOOKUP(Final_Sans_VGE[[#This Row],[ppn_z]],tbl_Historique_Final[[#This Row],[ppn_z]],tbl_Historique_Final[[#This Row],[date_modif]])=Final_Sans_VGE[[#This Row],[date_modif]],
      "Ancien",
      "Modifié"),
   "Nouveau")),"")</f>
        <v/>
      </c>
    </row>
    <row r="5315" spans="24:30" x14ac:dyDescent="0.25">
      <c r="X5315" s="8" t="e">
        <f>IF(Final_Sans_VGE[[#This Row],[ppn_z]]="","",IFERROR(
   IF(_xlfn.XLOOKUP(Final_Sans_VGE[[#This Row],[ppn_z]],tbl_Historique_Final[ppn_z],tbl_Historique_Final[date_modif])=Final_Sans_VGE[[#This Row],[date_modif]],
      "Ancien",
      "Modifié"),
   "Nouveau"))</f>
        <v>#VALUE!</v>
      </c>
      <c r="AD5315" s="1" t="str">
        <f>IFERROR(IF(Final_Sans_VGE[[#This Row],[ppn_z]]="","",IFERROR(
   IF(_xlfn.XLOOKUP(Final_Sans_VGE[[#This Row],[ppn_z]],tbl_Historique_Final[[#This Row],[ppn_z]],tbl_Historique_Final[[#This Row],[date_modif]])=Final_Sans_VGE[[#This Row],[date_modif]],
      "Ancien",
      "Modifié"),
   "Nouveau")),"")</f>
        <v/>
      </c>
    </row>
    <row r="5316" spans="24:30" x14ac:dyDescent="0.25">
      <c r="X5316" s="8" t="e">
        <f>IF(Final_Sans_VGE[[#This Row],[ppn_z]]="","",IFERROR(
   IF(_xlfn.XLOOKUP(Final_Sans_VGE[[#This Row],[ppn_z]],tbl_Historique_Final[ppn_z],tbl_Historique_Final[date_modif])=Final_Sans_VGE[[#This Row],[date_modif]],
      "Ancien",
      "Modifié"),
   "Nouveau"))</f>
        <v>#VALUE!</v>
      </c>
      <c r="AD5316" s="1" t="str">
        <f>IFERROR(IF(Final_Sans_VGE[[#This Row],[ppn_z]]="","",IFERROR(
   IF(_xlfn.XLOOKUP(Final_Sans_VGE[[#This Row],[ppn_z]],tbl_Historique_Final[[#This Row],[ppn_z]],tbl_Historique_Final[[#This Row],[date_modif]])=Final_Sans_VGE[[#This Row],[date_modif]],
      "Ancien",
      "Modifié"),
   "Nouveau")),"")</f>
        <v/>
      </c>
    </row>
    <row r="5317" spans="24:30" x14ac:dyDescent="0.25">
      <c r="X5317" s="8" t="e">
        <f>IF(Final_Sans_VGE[[#This Row],[ppn_z]]="","",IFERROR(
   IF(_xlfn.XLOOKUP(Final_Sans_VGE[[#This Row],[ppn_z]],tbl_Historique_Final[ppn_z],tbl_Historique_Final[date_modif])=Final_Sans_VGE[[#This Row],[date_modif]],
      "Ancien",
      "Modifié"),
   "Nouveau"))</f>
        <v>#VALUE!</v>
      </c>
      <c r="AD5317" s="1" t="str">
        <f>IFERROR(IF(Final_Sans_VGE[[#This Row],[ppn_z]]="","",IFERROR(
   IF(_xlfn.XLOOKUP(Final_Sans_VGE[[#This Row],[ppn_z]],tbl_Historique_Final[[#This Row],[ppn_z]],tbl_Historique_Final[[#This Row],[date_modif]])=Final_Sans_VGE[[#This Row],[date_modif]],
      "Ancien",
      "Modifié"),
   "Nouveau")),"")</f>
        <v/>
      </c>
    </row>
    <row r="5318" spans="24:30" x14ac:dyDescent="0.25">
      <c r="X5318" s="8" t="e">
        <f>IF(Final_Sans_VGE[[#This Row],[ppn_z]]="","",IFERROR(
   IF(_xlfn.XLOOKUP(Final_Sans_VGE[[#This Row],[ppn_z]],tbl_Historique_Final[ppn_z],tbl_Historique_Final[date_modif])=Final_Sans_VGE[[#This Row],[date_modif]],
      "Ancien",
      "Modifié"),
   "Nouveau"))</f>
        <v>#VALUE!</v>
      </c>
      <c r="AD5318" s="1" t="str">
        <f>IFERROR(IF(Final_Sans_VGE[[#This Row],[ppn_z]]="","",IFERROR(
   IF(_xlfn.XLOOKUP(Final_Sans_VGE[[#This Row],[ppn_z]],tbl_Historique_Final[[#This Row],[ppn_z]],tbl_Historique_Final[[#This Row],[date_modif]])=Final_Sans_VGE[[#This Row],[date_modif]],
      "Ancien",
      "Modifié"),
   "Nouveau")),"")</f>
        <v/>
      </c>
    </row>
    <row r="5319" spans="24:30" x14ac:dyDescent="0.25">
      <c r="X5319" s="8" t="e">
        <f>IF(Final_Sans_VGE[[#This Row],[ppn_z]]="","",IFERROR(
   IF(_xlfn.XLOOKUP(Final_Sans_VGE[[#This Row],[ppn_z]],tbl_Historique_Final[ppn_z],tbl_Historique_Final[date_modif])=Final_Sans_VGE[[#This Row],[date_modif]],
      "Ancien",
      "Modifié"),
   "Nouveau"))</f>
        <v>#VALUE!</v>
      </c>
      <c r="AD5319" s="1" t="str">
        <f>IFERROR(IF(Final_Sans_VGE[[#This Row],[ppn_z]]="","",IFERROR(
   IF(_xlfn.XLOOKUP(Final_Sans_VGE[[#This Row],[ppn_z]],tbl_Historique_Final[[#This Row],[ppn_z]],tbl_Historique_Final[[#This Row],[date_modif]])=Final_Sans_VGE[[#This Row],[date_modif]],
      "Ancien",
      "Modifié"),
   "Nouveau")),"")</f>
        <v/>
      </c>
    </row>
    <row r="5320" spans="24:30" x14ac:dyDescent="0.25">
      <c r="X5320" s="8" t="e">
        <f>IF(Final_Sans_VGE[[#This Row],[ppn_z]]="","",IFERROR(
   IF(_xlfn.XLOOKUP(Final_Sans_VGE[[#This Row],[ppn_z]],tbl_Historique_Final[ppn_z],tbl_Historique_Final[date_modif])=Final_Sans_VGE[[#This Row],[date_modif]],
      "Ancien",
      "Modifié"),
   "Nouveau"))</f>
        <v>#VALUE!</v>
      </c>
      <c r="AD5320" s="1" t="str">
        <f>IFERROR(IF(Final_Sans_VGE[[#This Row],[ppn_z]]="","",IFERROR(
   IF(_xlfn.XLOOKUP(Final_Sans_VGE[[#This Row],[ppn_z]],tbl_Historique_Final[[#This Row],[ppn_z]],tbl_Historique_Final[[#This Row],[date_modif]])=Final_Sans_VGE[[#This Row],[date_modif]],
      "Ancien",
      "Modifié"),
   "Nouveau")),"")</f>
        <v/>
      </c>
    </row>
    <row r="5321" spans="24:30" x14ac:dyDescent="0.25">
      <c r="X5321" s="8" t="e">
        <f>IF(Final_Sans_VGE[[#This Row],[ppn_z]]="","",IFERROR(
   IF(_xlfn.XLOOKUP(Final_Sans_VGE[[#This Row],[ppn_z]],tbl_Historique_Final[ppn_z],tbl_Historique_Final[date_modif])=Final_Sans_VGE[[#This Row],[date_modif]],
      "Ancien",
      "Modifié"),
   "Nouveau"))</f>
        <v>#VALUE!</v>
      </c>
      <c r="AD5321" s="1" t="str">
        <f>IFERROR(IF(Final_Sans_VGE[[#This Row],[ppn_z]]="","",IFERROR(
   IF(_xlfn.XLOOKUP(Final_Sans_VGE[[#This Row],[ppn_z]],tbl_Historique_Final[[#This Row],[ppn_z]],tbl_Historique_Final[[#This Row],[date_modif]])=Final_Sans_VGE[[#This Row],[date_modif]],
      "Ancien",
      "Modifié"),
   "Nouveau")),"")</f>
        <v/>
      </c>
    </row>
    <row r="5322" spans="24:30" x14ac:dyDescent="0.25">
      <c r="X5322" s="8" t="e">
        <f>IF(Final_Sans_VGE[[#This Row],[ppn_z]]="","",IFERROR(
   IF(_xlfn.XLOOKUP(Final_Sans_VGE[[#This Row],[ppn_z]],tbl_Historique_Final[ppn_z],tbl_Historique_Final[date_modif])=Final_Sans_VGE[[#This Row],[date_modif]],
      "Ancien",
      "Modifié"),
   "Nouveau"))</f>
        <v>#VALUE!</v>
      </c>
      <c r="AD5322" s="1" t="str">
        <f>IFERROR(IF(Final_Sans_VGE[[#This Row],[ppn_z]]="","",IFERROR(
   IF(_xlfn.XLOOKUP(Final_Sans_VGE[[#This Row],[ppn_z]],tbl_Historique_Final[[#This Row],[ppn_z]],tbl_Historique_Final[[#This Row],[date_modif]])=Final_Sans_VGE[[#This Row],[date_modif]],
      "Ancien",
      "Modifié"),
   "Nouveau")),"")</f>
        <v/>
      </c>
    </row>
    <row r="5323" spans="24:30" x14ac:dyDescent="0.25">
      <c r="X5323" s="8" t="e">
        <f>IF(Final_Sans_VGE[[#This Row],[ppn_z]]="","",IFERROR(
   IF(_xlfn.XLOOKUP(Final_Sans_VGE[[#This Row],[ppn_z]],tbl_Historique_Final[ppn_z],tbl_Historique_Final[date_modif])=Final_Sans_VGE[[#This Row],[date_modif]],
      "Ancien",
      "Modifié"),
   "Nouveau"))</f>
        <v>#VALUE!</v>
      </c>
      <c r="AD5323" s="1" t="str">
        <f>IFERROR(IF(Final_Sans_VGE[[#This Row],[ppn_z]]="","",IFERROR(
   IF(_xlfn.XLOOKUP(Final_Sans_VGE[[#This Row],[ppn_z]],tbl_Historique_Final[[#This Row],[ppn_z]],tbl_Historique_Final[[#This Row],[date_modif]])=Final_Sans_VGE[[#This Row],[date_modif]],
      "Ancien",
      "Modifié"),
   "Nouveau")),"")</f>
        <v/>
      </c>
    </row>
    <row r="5324" spans="24:30" x14ac:dyDescent="0.25">
      <c r="X5324" s="8" t="e">
        <f>IF(Final_Sans_VGE[[#This Row],[ppn_z]]="","",IFERROR(
   IF(_xlfn.XLOOKUP(Final_Sans_VGE[[#This Row],[ppn_z]],tbl_Historique_Final[ppn_z],tbl_Historique_Final[date_modif])=Final_Sans_VGE[[#This Row],[date_modif]],
      "Ancien",
      "Modifié"),
   "Nouveau"))</f>
        <v>#VALUE!</v>
      </c>
      <c r="AD5324" s="1" t="str">
        <f>IFERROR(IF(Final_Sans_VGE[[#This Row],[ppn_z]]="","",IFERROR(
   IF(_xlfn.XLOOKUP(Final_Sans_VGE[[#This Row],[ppn_z]],tbl_Historique_Final[[#This Row],[ppn_z]],tbl_Historique_Final[[#This Row],[date_modif]])=Final_Sans_VGE[[#This Row],[date_modif]],
      "Ancien",
      "Modifié"),
   "Nouveau")),"")</f>
        <v/>
      </c>
    </row>
    <row r="5325" spans="24:30" x14ac:dyDescent="0.25">
      <c r="X5325" s="8" t="e">
        <f>IF(Final_Sans_VGE[[#This Row],[ppn_z]]="","",IFERROR(
   IF(_xlfn.XLOOKUP(Final_Sans_VGE[[#This Row],[ppn_z]],tbl_Historique_Final[ppn_z],tbl_Historique_Final[date_modif])=Final_Sans_VGE[[#This Row],[date_modif]],
      "Ancien",
      "Modifié"),
   "Nouveau"))</f>
        <v>#VALUE!</v>
      </c>
      <c r="AD5325" s="1" t="str">
        <f>IFERROR(IF(Final_Sans_VGE[[#This Row],[ppn_z]]="","",IFERROR(
   IF(_xlfn.XLOOKUP(Final_Sans_VGE[[#This Row],[ppn_z]],tbl_Historique_Final[[#This Row],[ppn_z]],tbl_Historique_Final[[#This Row],[date_modif]])=Final_Sans_VGE[[#This Row],[date_modif]],
      "Ancien",
      "Modifié"),
   "Nouveau")),"")</f>
        <v/>
      </c>
    </row>
    <row r="5326" spans="24:30" x14ac:dyDescent="0.25">
      <c r="X5326" s="8" t="e">
        <f>IF(Final_Sans_VGE[[#This Row],[ppn_z]]="","",IFERROR(
   IF(_xlfn.XLOOKUP(Final_Sans_VGE[[#This Row],[ppn_z]],tbl_Historique_Final[ppn_z],tbl_Historique_Final[date_modif])=Final_Sans_VGE[[#This Row],[date_modif]],
      "Ancien",
      "Modifié"),
   "Nouveau"))</f>
        <v>#VALUE!</v>
      </c>
      <c r="AD5326" s="1" t="str">
        <f>IFERROR(IF(Final_Sans_VGE[[#This Row],[ppn_z]]="","",IFERROR(
   IF(_xlfn.XLOOKUP(Final_Sans_VGE[[#This Row],[ppn_z]],tbl_Historique_Final[[#This Row],[ppn_z]],tbl_Historique_Final[[#This Row],[date_modif]])=Final_Sans_VGE[[#This Row],[date_modif]],
      "Ancien",
      "Modifié"),
   "Nouveau")),"")</f>
        <v/>
      </c>
    </row>
    <row r="5327" spans="24:30" x14ac:dyDescent="0.25">
      <c r="X5327" s="8" t="e">
        <f>IF(Final_Sans_VGE[[#This Row],[ppn_z]]="","",IFERROR(
   IF(_xlfn.XLOOKUP(Final_Sans_VGE[[#This Row],[ppn_z]],tbl_Historique_Final[ppn_z],tbl_Historique_Final[date_modif])=Final_Sans_VGE[[#This Row],[date_modif]],
      "Ancien",
      "Modifié"),
   "Nouveau"))</f>
        <v>#VALUE!</v>
      </c>
      <c r="AD5327" s="1" t="str">
        <f>IFERROR(IF(Final_Sans_VGE[[#This Row],[ppn_z]]="","",IFERROR(
   IF(_xlfn.XLOOKUP(Final_Sans_VGE[[#This Row],[ppn_z]],tbl_Historique_Final[[#This Row],[ppn_z]],tbl_Historique_Final[[#This Row],[date_modif]])=Final_Sans_VGE[[#This Row],[date_modif]],
      "Ancien",
      "Modifié"),
   "Nouveau")),"")</f>
        <v/>
      </c>
    </row>
    <row r="5328" spans="24:30" x14ac:dyDescent="0.25">
      <c r="X5328" s="8" t="e">
        <f>IF(Final_Sans_VGE[[#This Row],[ppn_z]]="","",IFERROR(
   IF(_xlfn.XLOOKUP(Final_Sans_VGE[[#This Row],[ppn_z]],tbl_Historique_Final[ppn_z],tbl_Historique_Final[date_modif])=Final_Sans_VGE[[#This Row],[date_modif]],
      "Ancien",
      "Modifié"),
   "Nouveau"))</f>
        <v>#VALUE!</v>
      </c>
      <c r="AD5328" s="1" t="str">
        <f>IFERROR(IF(Final_Sans_VGE[[#This Row],[ppn_z]]="","",IFERROR(
   IF(_xlfn.XLOOKUP(Final_Sans_VGE[[#This Row],[ppn_z]],tbl_Historique_Final[[#This Row],[ppn_z]],tbl_Historique_Final[[#This Row],[date_modif]])=Final_Sans_VGE[[#This Row],[date_modif]],
      "Ancien",
      "Modifié"),
   "Nouveau")),"")</f>
        <v/>
      </c>
    </row>
    <row r="5329" spans="24:30" x14ac:dyDescent="0.25">
      <c r="X5329" s="8" t="e">
        <f>IF(Final_Sans_VGE[[#This Row],[ppn_z]]="","",IFERROR(
   IF(_xlfn.XLOOKUP(Final_Sans_VGE[[#This Row],[ppn_z]],tbl_Historique_Final[ppn_z],tbl_Historique_Final[date_modif])=Final_Sans_VGE[[#This Row],[date_modif]],
      "Ancien",
      "Modifié"),
   "Nouveau"))</f>
        <v>#VALUE!</v>
      </c>
      <c r="AD5329" s="1" t="str">
        <f>IFERROR(IF(Final_Sans_VGE[[#This Row],[ppn_z]]="","",IFERROR(
   IF(_xlfn.XLOOKUP(Final_Sans_VGE[[#This Row],[ppn_z]],tbl_Historique_Final[[#This Row],[ppn_z]],tbl_Historique_Final[[#This Row],[date_modif]])=Final_Sans_VGE[[#This Row],[date_modif]],
      "Ancien",
      "Modifié"),
   "Nouveau")),"")</f>
        <v/>
      </c>
    </row>
    <row r="5330" spans="24:30" x14ac:dyDescent="0.25">
      <c r="X5330" s="8" t="e">
        <f>IF(Final_Sans_VGE[[#This Row],[ppn_z]]="","",IFERROR(
   IF(_xlfn.XLOOKUP(Final_Sans_VGE[[#This Row],[ppn_z]],tbl_Historique_Final[ppn_z],tbl_Historique_Final[date_modif])=Final_Sans_VGE[[#This Row],[date_modif]],
      "Ancien",
      "Modifié"),
   "Nouveau"))</f>
        <v>#VALUE!</v>
      </c>
      <c r="AD5330" s="1" t="str">
        <f>IFERROR(IF(Final_Sans_VGE[[#This Row],[ppn_z]]="","",IFERROR(
   IF(_xlfn.XLOOKUP(Final_Sans_VGE[[#This Row],[ppn_z]],tbl_Historique_Final[[#This Row],[ppn_z]],tbl_Historique_Final[[#This Row],[date_modif]])=Final_Sans_VGE[[#This Row],[date_modif]],
      "Ancien",
      "Modifié"),
   "Nouveau")),"")</f>
        <v/>
      </c>
    </row>
    <row r="5331" spans="24:30" x14ac:dyDescent="0.25">
      <c r="X5331" s="8" t="e">
        <f>IF(Final_Sans_VGE[[#This Row],[ppn_z]]="","",IFERROR(
   IF(_xlfn.XLOOKUP(Final_Sans_VGE[[#This Row],[ppn_z]],tbl_Historique_Final[ppn_z],tbl_Historique_Final[date_modif])=Final_Sans_VGE[[#This Row],[date_modif]],
      "Ancien",
      "Modifié"),
   "Nouveau"))</f>
        <v>#VALUE!</v>
      </c>
      <c r="AD5331" s="1" t="str">
        <f>IFERROR(IF(Final_Sans_VGE[[#This Row],[ppn_z]]="","",IFERROR(
   IF(_xlfn.XLOOKUP(Final_Sans_VGE[[#This Row],[ppn_z]],tbl_Historique_Final[[#This Row],[ppn_z]],tbl_Historique_Final[[#This Row],[date_modif]])=Final_Sans_VGE[[#This Row],[date_modif]],
      "Ancien",
      "Modifié"),
   "Nouveau")),"")</f>
        <v/>
      </c>
    </row>
    <row r="5332" spans="24:30" x14ac:dyDescent="0.25">
      <c r="X5332" s="8" t="e">
        <f>IF(Final_Sans_VGE[[#This Row],[ppn_z]]="","",IFERROR(
   IF(_xlfn.XLOOKUP(Final_Sans_VGE[[#This Row],[ppn_z]],tbl_Historique_Final[ppn_z],tbl_Historique_Final[date_modif])=Final_Sans_VGE[[#This Row],[date_modif]],
      "Ancien",
      "Modifié"),
   "Nouveau"))</f>
        <v>#VALUE!</v>
      </c>
      <c r="AD5332" s="1" t="str">
        <f>IFERROR(IF(Final_Sans_VGE[[#This Row],[ppn_z]]="","",IFERROR(
   IF(_xlfn.XLOOKUP(Final_Sans_VGE[[#This Row],[ppn_z]],tbl_Historique_Final[[#This Row],[ppn_z]],tbl_Historique_Final[[#This Row],[date_modif]])=Final_Sans_VGE[[#This Row],[date_modif]],
      "Ancien",
      "Modifié"),
   "Nouveau")),"")</f>
        <v/>
      </c>
    </row>
    <row r="5333" spans="24:30" x14ac:dyDescent="0.25">
      <c r="X5333" s="8" t="e">
        <f>IF(Final_Sans_VGE[[#This Row],[ppn_z]]="","",IFERROR(
   IF(_xlfn.XLOOKUP(Final_Sans_VGE[[#This Row],[ppn_z]],tbl_Historique_Final[ppn_z],tbl_Historique_Final[date_modif])=Final_Sans_VGE[[#This Row],[date_modif]],
      "Ancien",
      "Modifié"),
   "Nouveau"))</f>
        <v>#VALUE!</v>
      </c>
      <c r="AD5333" s="1" t="str">
        <f>IFERROR(IF(Final_Sans_VGE[[#This Row],[ppn_z]]="","",IFERROR(
   IF(_xlfn.XLOOKUP(Final_Sans_VGE[[#This Row],[ppn_z]],tbl_Historique_Final[[#This Row],[ppn_z]],tbl_Historique_Final[[#This Row],[date_modif]])=Final_Sans_VGE[[#This Row],[date_modif]],
      "Ancien",
      "Modifié"),
   "Nouveau")),"")</f>
        <v/>
      </c>
    </row>
    <row r="5334" spans="24:30" x14ac:dyDescent="0.25">
      <c r="X5334" s="8" t="e">
        <f>IF(Final_Sans_VGE[[#This Row],[ppn_z]]="","",IFERROR(
   IF(_xlfn.XLOOKUP(Final_Sans_VGE[[#This Row],[ppn_z]],tbl_Historique_Final[ppn_z],tbl_Historique_Final[date_modif])=Final_Sans_VGE[[#This Row],[date_modif]],
      "Ancien",
      "Modifié"),
   "Nouveau"))</f>
        <v>#VALUE!</v>
      </c>
      <c r="AD5334" s="1" t="str">
        <f>IFERROR(IF(Final_Sans_VGE[[#This Row],[ppn_z]]="","",IFERROR(
   IF(_xlfn.XLOOKUP(Final_Sans_VGE[[#This Row],[ppn_z]],tbl_Historique_Final[[#This Row],[ppn_z]],tbl_Historique_Final[[#This Row],[date_modif]])=Final_Sans_VGE[[#This Row],[date_modif]],
      "Ancien",
      "Modifié"),
   "Nouveau")),"")</f>
        <v/>
      </c>
    </row>
    <row r="5335" spans="24:30" x14ac:dyDescent="0.25">
      <c r="X5335" s="8" t="e">
        <f>IF(Final_Sans_VGE[[#This Row],[ppn_z]]="","",IFERROR(
   IF(_xlfn.XLOOKUP(Final_Sans_VGE[[#This Row],[ppn_z]],tbl_Historique_Final[ppn_z],tbl_Historique_Final[date_modif])=Final_Sans_VGE[[#This Row],[date_modif]],
      "Ancien",
      "Modifié"),
   "Nouveau"))</f>
        <v>#VALUE!</v>
      </c>
      <c r="AD5335" s="1" t="str">
        <f>IFERROR(IF(Final_Sans_VGE[[#This Row],[ppn_z]]="","",IFERROR(
   IF(_xlfn.XLOOKUP(Final_Sans_VGE[[#This Row],[ppn_z]],tbl_Historique_Final[[#This Row],[ppn_z]],tbl_Historique_Final[[#This Row],[date_modif]])=Final_Sans_VGE[[#This Row],[date_modif]],
      "Ancien",
      "Modifié"),
   "Nouveau")),"")</f>
        <v/>
      </c>
    </row>
    <row r="5336" spans="24:30" x14ac:dyDescent="0.25">
      <c r="X5336" s="8" t="e">
        <f>IF(Final_Sans_VGE[[#This Row],[ppn_z]]="","",IFERROR(
   IF(_xlfn.XLOOKUP(Final_Sans_VGE[[#This Row],[ppn_z]],tbl_Historique_Final[ppn_z],tbl_Historique_Final[date_modif])=Final_Sans_VGE[[#This Row],[date_modif]],
      "Ancien",
      "Modifié"),
   "Nouveau"))</f>
        <v>#VALUE!</v>
      </c>
      <c r="AD5336" s="1" t="str">
        <f>IFERROR(IF(Final_Sans_VGE[[#This Row],[ppn_z]]="","",IFERROR(
   IF(_xlfn.XLOOKUP(Final_Sans_VGE[[#This Row],[ppn_z]],tbl_Historique_Final[[#This Row],[ppn_z]],tbl_Historique_Final[[#This Row],[date_modif]])=Final_Sans_VGE[[#This Row],[date_modif]],
      "Ancien",
      "Modifié"),
   "Nouveau")),"")</f>
        <v/>
      </c>
    </row>
    <row r="5337" spans="24:30" x14ac:dyDescent="0.25">
      <c r="X5337" s="8" t="e">
        <f>IF(Final_Sans_VGE[[#This Row],[ppn_z]]="","",IFERROR(
   IF(_xlfn.XLOOKUP(Final_Sans_VGE[[#This Row],[ppn_z]],tbl_Historique_Final[ppn_z],tbl_Historique_Final[date_modif])=Final_Sans_VGE[[#This Row],[date_modif]],
      "Ancien",
      "Modifié"),
   "Nouveau"))</f>
        <v>#VALUE!</v>
      </c>
      <c r="AD5337" s="1" t="str">
        <f>IFERROR(IF(Final_Sans_VGE[[#This Row],[ppn_z]]="","",IFERROR(
   IF(_xlfn.XLOOKUP(Final_Sans_VGE[[#This Row],[ppn_z]],tbl_Historique_Final[[#This Row],[ppn_z]],tbl_Historique_Final[[#This Row],[date_modif]])=Final_Sans_VGE[[#This Row],[date_modif]],
      "Ancien",
      "Modifié"),
   "Nouveau")),"")</f>
        <v/>
      </c>
    </row>
    <row r="5338" spans="24:30" x14ac:dyDescent="0.25">
      <c r="X5338" s="8" t="e">
        <f>IF(Final_Sans_VGE[[#This Row],[ppn_z]]="","",IFERROR(
   IF(_xlfn.XLOOKUP(Final_Sans_VGE[[#This Row],[ppn_z]],tbl_Historique_Final[ppn_z],tbl_Historique_Final[date_modif])=Final_Sans_VGE[[#This Row],[date_modif]],
      "Ancien",
      "Modifié"),
   "Nouveau"))</f>
        <v>#VALUE!</v>
      </c>
      <c r="AD5338" s="1" t="str">
        <f>IFERROR(IF(Final_Sans_VGE[[#This Row],[ppn_z]]="","",IFERROR(
   IF(_xlfn.XLOOKUP(Final_Sans_VGE[[#This Row],[ppn_z]],tbl_Historique_Final[[#This Row],[ppn_z]],tbl_Historique_Final[[#This Row],[date_modif]])=Final_Sans_VGE[[#This Row],[date_modif]],
      "Ancien",
      "Modifié"),
   "Nouveau")),"")</f>
        <v/>
      </c>
    </row>
    <row r="5339" spans="24:30" x14ac:dyDescent="0.25">
      <c r="X5339" s="8" t="e">
        <f>IF(Final_Sans_VGE[[#This Row],[ppn_z]]="","",IFERROR(
   IF(_xlfn.XLOOKUP(Final_Sans_VGE[[#This Row],[ppn_z]],tbl_Historique_Final[ppn_z],tbl_Historique_Final[date_modif])=Final_Sans_VGE[[#This Row],[date_modif]],
      "Ancien",
      "Modifié"),
   "Nouveau"))</f>
        <v>#VALUE!</v>
      </c>
      <c r="AD5339" s="1" t="str">
        <f>IFERROR(IF(Final_Sans_VGE[[#This Row],[ppn_z]]="","",IFERROR(
   IF(_xlfn.XLOOKUP(Final_Sans_VGE[[#This Row],[ppn_z]],tbl_Historique_Final[[#This Row],[ppn_z]],tbl_Historique_Final[[#This Row],[date_modif]])=Final_Sans_VGE[[#This Row],[date_modif]],
      "Ancien",
      "Modifié"),
   "Nouveau")),"")</f>
        <v/>
      </c>
    </row>
    <row r="5340" spans="24:30" x14ac:dyDescent="0.25">
      <c r="X5340" s="8" t="e">
        <f>IF(Final_Sans_VGE[[#This Row],[ppn_z]]="","",IFERROR(
   IF(_xlfn.XLOOKUP(Final_Sans_VGE[[#This Row],[ppn_z]],tbl_Historique_Final[ppn_z],tbl_Historique_Final[date_modif])=Final_Sans_VGE[[#This Row],[date_modif]],
      "Ancien",
      "Modifié"),
   "Nouveau"))</f>
        <v>#VALUE!</v>
      </c>
      <c r="AD5340" s="1" t="str">
        <f>IFERROR(IF(Final_Sans_VGE[[#This Row],[ppn_z]]="","",IFERROR(
   IF(_xlfn.XLOOKUP(Final_Sans_VGE[[#This Row],[ppn_z]],tbl_Historique_Final[[#This Row],[ppn_z]],tbl_Historique_Final[[#This Row],[date_modif]])=Final_Sans_VGE[[#This Row],[date_modif]],
      "Ancien",
      "Modifié"),
   "Nouveau")),"")</f>
        <v/>
      </c>
    </row>
    <row r="5341" spans="24:30" x14ac:dyDescent="0.25">
      <c r="X5341" s="8" t="e">
        <f>IF(Final_Sans_VGE[[#This Row],[ppn_z]]="","",IFERROR(
   IF(_xlfn.XLOOKUP(Final_Sans_VGE[[#This Row],[ppn_z]],tbl_Historique_Final[ppn_z],tbl_Historique_Final[date_modif])=Final_Sans_VGE[[#This Row],[date_modif]],
      "Ancien",
      "Modifié"),
   "Nouveau"))</f>
        <v>#VALUE!</v>
      </c>
      <c r="AD5341" s="1" t="str">
        <f>IFERROR(IF(Final_Sans_VGE[[#This Row],[ppn_z]]="","",IFERROR(
   IF(_xlfn.XLOOKUP(Final_Sans_VGE[[#This Row],[ppn_z]],tbl_Historique_Final[[#This Row],[ppn_z]],tbl_Historique_Final[[#This Row],[date_modif]])=Final_Sans_VGE[[#This Row],[date_modif]],
      "Ancien",
      "Modifié"),
   "Nouveau")),"")</f>
        <v/>
      </c>
    </row>
    <row r="5342" spans="24:30" x14ac:dyDescent="0.25">
      <c r="X5342" s="8" t="e">
        <f>IF(Final_Sans_VGE[[#This Row],[ppn_z]]="","",IFERROR(
   IF(_xlfn.XLOOKUP(Final_Sans_VGE[[#This Row],[ppn_z]],tbl_Historique_Final[ppn_z],tbl_Historique_Final[date_modif])=Final_Sans_VGE[[#This Row],[date_modif]],
      "Ancien",
      "Modifié"),
   "Nouveau"))</f>
        <v>#VALUE!</v>
      </c>
      <c r="AD5342" s="1" t="str">
        <f>IFERROR(IF(Final_Sans_VGE[[#This Row],[ppn_z]]="","",IFERROR(
   IF(_xlfn.XLOOKUP(Final_Sans_VGE[[#This Row],[ppn_z]],tbl_Historique_Final[[#This Row],[ppn_z]],tbl_Historique_Final[[#This Row],[date_modif]])=Final_Sans_VGE[[#This Row],[date_modif]],
      "Ancien",
      "Modifié"),
   "Nouveau")),"")</f>
        <v/>
      </c>
    </row>
    <row r="5343" spans="24:30" x14ac:dyDescent="0.25">
      <c r="X5343" s="8" t="e">
        <f>IF(Final_Sans_VGE[[#This Row],[ppn_z]]="","",IFERROR(
   IF(_xlfn.XLOOKUP(Final_Sans_VGE[[#This Row],[ppn_z]],tbl_Historique_Final[ppn_z],tbl_Historique_Final[date_modif])=Final_Sans_VGE[[#This Row],[date_modif]],
      "Ancien",
      "Modifié"),
   "Nouveau"))</f>
        <v>#VALUE!</v>
      </c>
      <c r="AD5343" s="1" t="str">
        <f>IFERROR(IF(Final_Sans_VGE[[#This Row],[ppn_z]]="","",IFERROR(
   IF(_xlfn.XLOOKUP(Final_Sans_VGE[[#This Row],[ppn_z]],tbl_Historique_Final[[#This Row],[ppn_z]],tbl_Historique_Final[[#This Row],[date_modif]])=Final_Sans_VGE[[#This Row],[date_modif]],
      "Ancien",
      "Modifié"),
   "Nouveau")),"")</f>
        <v/>
      </c>
    </row>
    <row r="5344" spans="24:30" x14ac:dyDescent="0.25">
      <c r="X5344" s="8" t="e">
        <f>IF(Final_Sans_VGE[[#This Row],[ppn_z]]="","",IFERROR(
   IF(_xlfn.XLOOKUP(Final_Sans_VGE[[#This Row],[ppn_z]],tbl_Historique_Final[ppn_z],tbl_Historique_Final[date_modif])=Final_Sans_VGE[[#This Row],[date_modif]],
      "Ancien",
      "Modifié"),
   "Nouveau"))</f>
        <v>#VALUE!</v>
      </c>
      <c r="AD5344" s="1" t="str">
        <f>IFERROR(IF(Final_Sans_VGE[[#This Row],[ppn_z]]="","",IFERROR(
   IF(_xlfn.XLOOKUP(Final_Sans_VGE[[#This Row],[ppn_z]],tbl_Historique_Final[[#This Row],[ppn_z]],tbl_Historique_Final[[#This Row],[date_modif]])=Final_Sans_VGE[[#This Row],[date_modif]],
      "Ancien",
      "Modifié"),
   "Nouveau")),"")</f>
        <v/>
      </c>
    </row>
    <row r="5345" spans="24:30" x14ac:dyDescent="0.25">
      <c r="X5345" s="8" t="e">
        <f>IF(Final_Sans_VGE[[#This Row],[ppn_z]]="","",IFERROR(
   IF(_xlfn.XLOOKUP(Final_Sans_VGE[[#This Row],[ppn_z]],tbl_Historique_Final[ppn_z],tbl_Historique_Final[date_modif])=Final_Sans_VGE[[#This Row],[date_modif]],
      "Ancien",
      "Modifié"),
   "Nouveau"))</f>
        <v>#VALUE!</v>
      </c>
      <c r="AD5345" s="1" t="str">
        <f>IFERROR(IF(Final_Sans_VGE[[#This Row],[ppn_z]]="","",IFERROR(
   IF(_xlfn.XLOOKUP(Final_Sans_VGE[[#This Row],[ppn_z]],tbl_Historique_Final[[#This Row],[ppn_z]],tbl_Historique_Final[[#This Row],[date_modif]])=Final_Sans_VGE[[#This Row],[date_modif]],
      "Ancien",
      "Modifié"),
   "Nouveau")),"")</f>
        <v/>
      </c>
    </row>
    <row r="5346" spans="24:30" x14ac:dyDescent="0.25">
      <c r="X5346" s="8" t="e">
        <f>IF(Final_Sans_VGE[[#This Row],[ppn_z]]="","",IFERROR(
   IF(_xlfn.XLOOKUP(Final_Sans_VGE[[#This Row],[ppn_z]],tbl_Historique_Final[ppn_z],tbl_Historique_Final[date_modif])=Final_Sans_VGE[[#This Row],[date_modif]],
      "Ancien",
      "Modifié"),
   "Nouveau"))</f>
        <v>#VALUE!</v>
      </c>
      <c r="AD5346" s="1" t="str">
        <f>IFERROR(IF(Final_Sans_VGE[[#This Row],[ppn_z]]="","",IFERROR(
   IF(_xlfn.XLOOKUP(Final_Sans_VGE[[#This Row],[ppn_z]],tbl_Historique_Final[[#This Row],[ppn_z]],tbl_Historique_Final[[#This Row],[date_modif]])=Final_Sans_VGE[[#This Row],[date_modif]],
      "Ancien",
      "Modifié"),
   "Nouveau")),"")</f>
        <v/>
      </c>
    </row>
    <row r="5347" spans="24:30" x14ac:dyDescent="0.25">
      <c r="X5347" s="8" t="e">
        <f>IF(Final_Sans_VGE[[#This Row],[ppn_z]]="","",IFERROR(
   IF(_xlfn.XLOOKUP(Final_Sans_VGE[[#This Row],[ppn_z]],tbl_Historique_Final[ppn_z],tbl_Historique_Final[date_modif])=Final_Sans_VGE[[#This Row],[date_modif]],
      "Ancien",
      "Modifié"),
   "Nouveau"))</f>
        <v>#VALUE!</v>
      </c>
      <c r="AD5347" s="1" t="str">
        <f>IFERROR(IF(Final_Sans_VGE[[#This Row],[ppn_z]]="","",IFERROR(
   IF(_xlfn.XLOOKUP(Final_Sans_VGE[[#This Row],[ppn_z]],tbl_Historique_Final[[#This Row],[ppn_z]],tbl_Historique_Final[[#This Row],[date_modif]])=Final_Sans_VGE[[#This Row],[date_modif]],
      "Ancien",
      "Modifié"),
   "Nouveau")),"")</f>
        <v/>
      </c>
    </row>
    <row r="5348" spans="24:30" x14ac:dyDescent="0.25">
      <c r="X5348" s="8" t="e">
        <f>IF(Final_Sans_VGE[[#This Row],[ppn_z]]="","",IFERROR(
   IF(_xlfn.XLOOKUP(Final_Sans_VGE[[#This Row],[ppn_z]],tbl_Historique_Final[ppn_z],tbl_Historique_Final[date_modif])=Final_Sans_VGE[[#This Row],[date_modif]],
      "Ancien",
      "Modifié"),
   "Nouveau"))</f>
        <v>#VALUE!</v>
      </c>
      <c r="AD5348" s="1" t="str">
        <f>IFERROR(IF(Final_Sans_VGE[[#This Row],[ppn_z]]="","",IFERROR(
   IF(_xlfn.XLOOKUP(Final_Sans_VGE[[#This Row],[ppn_z]],tbl_Historique_Final[[#This Row],[ppn_z]],tbl_Historique_Final[[#This Row],[date_modif]])=Final_Sans_VGE[[#This Row],[date_modif]],
      "Ancien",
      "Modifié"),
   "Nouveau")),"")</f>
        <v/>
      </c>
    </row>
    <row r="5349" spans="24:30" x14ac:dyDescent="0.25">
      <c r="X5349" s="8" t="e">
        <f>IF(Final_Sans_VGE[[#This Row],[ppn_z]]="","",IFERROR(
   IF(_xlfn.XLOOKUP(Final_Sans_VGE[[#This Row],[ppn_z]],tbl_Historique_Final[ppn_z],tbl_Historique_Final[date_modif])=Final_Sans_VGE[[#This Row],[date_modif]],
      "Ancien",
      "Modifié"),
   "Nouveau"))</f>
        <v>#VALUE!</v>
      </c>
      <c r="AD5349" s="1" t="str">
        <f>IFERROR(IF(Final_Sans_VGE[[#This Row],[ppn_z]]="","",IFERROR(
   IF(_xlfn.XLOOKUP(Final_Sans_VGE[[#This Row],[ppn_z]],tbl_Historique_Final[[#This Row],[ppn_z]],tbl_Historique_Final[[#This Row],[date_modif]])=Final_Sans_VGE[[#This Row],[date_modif]],
      "Ancien",
      "Modifié"),
   "Nouveau")),"")</f>
        <v/>
      </c>
    </row>
    <row r="5350" spans="24:30" x14ac:dyDescent="0.25">
      <c r="X5350" s="8" t="e">
        <f>IF(Final_Sans_VGE[[#This Row],[ppn_z]]="","",IFERROR(
   IF(_xlfn.XLOOKUP(Final_Sans_VGE[[#This Row],[ppn_z]],tbl_Historique_Final[ppn_z],tbl_Historique_Final[date_modif])=Final_Sans_VGE[[#This Row],[date_modif]],
      "Ancien",
      "Modifié"),
   "Nouveau"))</f>
        <v>#VALUE!</v>
      </c>
      <c r="AD5350" s="1" t="str">
        <f>IFERROR(IF(Final_Sans_VGE[[#This Row],[ppn_z]]="","",IFERROR(
   IF(_xlfn.XLOOKUP(Final_Sans_VGE[[#This Row],[ppn_z]],tbl_Historique_Final[[#This Row],[ppn_z]],tbl_Historique_Final[[#This Row],[date_modif]])=Final_Sans_VGE[[#This Row],[date_modif]],
      "Ancien",
      "Modifié"),
   "Nouveau")),"")</f>
        <v/>
      </c>
    </row>
    <row r="5351" spans="24:30" x14ac:dyDescent="0.25">
      <c r="X5351" s="8" t="e">
        <f>IF(Final_Sans_VGE[[#This Row],[ppn_z]]="","",IFERROR(
   IF(_xlfn.XLOOKUP(Final_Sans_VGE[[#This Row],[ppn_z]],tbl_Historique_Final[ppn_z],tbl_Historique_Final[date_modif])=Final_Sans_VGE[[#This Row],[date_modif]],
      "Ancien",
      "Modifié"),
   "Nouveau"))</f>
        <v>#VALUE!</v>
      </c>
      <c r="AD5351" s="1" t="str">
        <f>IFERROR(IF(Final_Sans_VGE[[#This Row],[ppn_z]]="","",IFERROR(
   IF(_xlfn.XLOOKUP(Final_Sans_VGE[[#This Row],[ppn_z]],tbl_Historique_Final[[#This Row],[ppn_z]],tbl_Historique_Final[[#This Row],[date_modif]])=Final_Sans_VGE[[#This Row],[date_modif]],
      "Ancien",
      "Modifié"),
   "Nouveau")),"")</f>
        <v/>
      </c>
    </row>
    <row r="5352" spans="24:30" x14ac:dyDescent="0.25">
      <c r="X5352" s="8" t="e">
        <f>IF(Final_Sans_VGE[[#This Row],[ppn_z]]="","",IFERROR(
   IF(_xlfn.XLOOKUP(Final_Sans_VGE[[#This Row],[ppn_z]],tbl_Historique_Final[ppn_z],tbl_Historique_Final[date_modif])=Final_Sans_VGE[[#This Row],[date_modif]],
      "Ancien",
      "Modifié"),
   "Nouveau"))</f>
        <v>#VALUE!</v>
      </c>
      <c r="AD5352" s="1" t="str">
        <f>IFERROR(IF(Final_Sans_VGE[[#This Row],[ppn_z]]="","",IFERROR(
   IF(_xlfn.XLOOKUP(Final_Sans_VGE[[#This Row],[ppn_z]],tbl_Historique_Final[[#This Row],[ppn_z]],tbl_Historique_Final[[#This Row],[date_modif]])=Final_Sans_VGE[[#This Row],[date_modif]],
      "Ancien",
      "Modifié"),
   "Nouveau")),"")</f>
        <v/>
      </c>
    </row>
    <row r="5353" spans="24:30" x14ac:dyDescent="0.25">
      <c r="X5353" s="8" t="e">
        <f>IF(Final_Sans_VGE[[#This Row],[ppn_z]]="","",IFERROR(
   IF(_xlfn.XLOOKUP(Final_Sans_VGE[[#This Row],[ppn_z]],tbl_Historique_Final[ppn_z],tbl_Historique_Final[date_modif])=Final_Sans_VGE[[#This Row],[date_modif]],
      "Ancien",
      "Modifié"),
   "Nouveau"))</f>
        <v>#VALUE!</v>
      </c>
      <c r="AD5353" s="1" t="str">
        <f>IFERROR(IF(Final_Sans_VGE[[#This Row],[ppn_z]]="","",IFERROR(
   IF(_xlfn.XLOOKUP(Final_Sans_VGE[[#This Row],[ppn_z]],tbl_Historique_Final[[#This Row],[ppn_z]],tbl_Historique_Final[[#This Row],[date_modif]])=Final_Sans_VGE[[#This Row],[date_modif]],
      "Ancien",
      "Modifié"),
   "Nouveau")),"")</f>
        <v/>
      </c>
    </row>
    <row r="5354" spans="24:30" x14ac:dyDescent="0.25">
      <c r="X5354" s="8" t="e">
        <f>IF(Final_Sans_VGE[[#This Row],[ppn_z]]="","",IFERROR(
   IF(_xlfn.XLOOKUP(Final_Sans_VGE[[#This Row],[ppn_z]],tbl_Historique_Final[ppn_z],tbl_Historique_Final[date_modif])=Final_Sans_VGE[[#This Row],[date_modif]],
      "Ancien",
      "Modifié"),
   "Nouveau"))</f>
        <v>#VALUE!</v>
      </c>
      <c r="AD5354" s="1" t="str">
        <f>IFERROR(IF(Final_Sans_VGE[[#This Row],[ppn_z]]="","",IFERROR(
   IF(_xlfn.XLOOKUP(Final_Sans_VGE[[#This Row],[ppn_z]],tbl_Historique_Final[[#This Row],[ppn_z]],tbl_Historique_Final[[#This Row],[date_modif]])=Final_Sans_VGE[[#This Row],[date_modif]],
      "Ancien",
      "Modifié"),
   "Nouveau")),"")</f>
        <v/>
      </c>
    </row>
    <row r="5355" spans="24:30" x14ac:dyDescent="0.25">
      <c r="X5355" s="8" t="e">
        <f>IF(Final_Sans_VGE[[#This Row],[ppn_z]]="","",IFERROR(
   IF(_xlfn.XLOOKUP(Final_Sans_VGE[[#This Row],[ppn_z]],tbl_Historique_Final[ppn_z],tbl_Historique_Final[date_modif])=Final_Sans_VGE[[#This Row],[date_modif]],
      "Ancien",
      "Modifié"),
   "Nouveau"))</f>
        <v>#VALUE!</v>
      </c>
      <c r="AD5355" s="1" t="str">
        <f>IFERROR(IF(Final_Sans_VGE[[#This Row],[ppn_z]]="","",IFERROR(
   IF(_xlfn.XLOOKUP(Final_Sans_VGE[[#This Row],[ppn_z]],tbl_Historique_Final[[#This Row],[ppn_z]],tbl_Historique_Final[[#This Row],[date_modif]])=Final_Sans_VGE[[#This Row],[date_modif]],
      "Ancien",
      "Modifié"),
   "Nouveau")),"")</f>
        <v/>
      </c>
    </row>
    <row r="5356" spans="24:30" x14ac:dyDescent="0.25">
      <c r="X5356" s="8" t="e">
        <f>IF(Final_Sans_VGE[[#This Row],[ppn_z]]="","",IFERROR(
   IF(_xlfn.XLOOKUP(Final_Sans_VGE[[#This Row],[ppn_z]],tbl_Historique_Final[ppn_z],tbl_Historique_Final[date_modif])=Final_Sans_VGE[[#This Row],[date_modif]],
      "Ancien",
      "Modifié"),
   "Nouveau"))</f>
        <v>#VALUE!</v>
      </c>
      <c r="AD5356" s="1" t="str">
        <f>IFERROR(IF(Final_Sans_VGE[[#This Row],[ppn_z]]="","",IFERROR(
   IF(_xlfn.XLOOKUP(Final_Sans_VGE[[#This Row],[ppn_z]],tbl_Historique_Final[[#This Row],[ppn_z]],tbl_Historique_Final[[#This Row],[date_modif]])=Final_Sans_VGE[[#This Row],[date_modif]],
      "Ancien",
      "Modifié"),
   "Nouveau")),"")</f>
        <v/>
      </c>
    </row>
    <row r="5357" spans="24:30" x14ac:dyDescent="0.25">
      <c r="X5357" s="8" t="e">
        <f>IF(Final_Sans_VGE[[#This Row],[ppn_z]]="","",IFERROR(
   IF(_xlfn.XLOOKUP(Final_Sans_VGE[[#This Row],[ppn_z]],tbl_Historique_Final[ppn_z],tbl_Historique_Final[date_modif])=Final_Sans_VGE[[#This Row],[date_modif]],
      "Ancien",
      "Modifié"),
   "Nouveau"))</f>
        <v>#VALUE!</v>
      </c>
      <c r="AD5357" s="1" t="str">
        <f>IFERROR(IF(Final_Sans_VGE[[#This Row],[ppn_z]]="","",IFERROR(
   IF(_xlfn.XLOOKUP(Final_Sans_VGE[[#This Row],[ppn_z]],tbl_Historique_Final[[#This Row],[ppn_z]],tbl_Historique_Final[[#This Row],[date_modif]])=Final_Sans_VGE[[#This Row],[date_modif]],
      "Ancien",
      "Modifié"),
   "Nouveau")),"")</f>
        <v/>
      </c>
    </row>
    <row r="5358" spans="24:30" x14ac:dyDescent="0.25">
      <c r="X5358" s="8" t="e">
        <f>IF(Final_Sans_VGE[[#This Row],[ppn_z]]="","",IFERROR(
   IF(_xlfn.XLOOKUP(Final_Sans_VGE[[#This Row],[ppn_z]],tbl_Historique_Final[ppn_z],tbl_Historique_Final[date_modif])=Final_Sans_VGE[[#This Row],[date_modif]],
      "Ancien",
      "Modifié"),
   "Nouveau"))</f>
        <v>#VALUE!</v>
      </c>
      <c r="AD5358" s="1" t="str">
        <f>IFERROR(IF(Final_Sans_VGE[[#This Row],[ppn_z]]="","",IFERROR(
   IF(_xlfn.XLOOKUP(Final_Sans_VGE[[#This Row],[ppn_z]],tbl_Historique_Final[[#This Row],[ppn_z]],tbl_Historique_Final[[#This Row],[date_modif]])=Final_Sans_VGE[[#This Row],[date_modif]],
      "Ancien",
      "Modifié"),
   "Nouveau")),"")</f>
        <v/>
      </c>
    </row>
    <row r="5359" spans="24:30" x14ac:dyDescent="0.25">
      <c r="X5359" s="8" t="e">
        <f>IF(Final_Sans_VGE[[#This Row],[ppn_z]]="","",IFERROR(
   IF(_xlfn.XLOOKUP(Final_Sans_VGE[[#This Row],[ppn_z]],tbl_Historique_Final[ppn_z],tbl_Historique_Final[date_modif])=Final_Sans_VGE[[#This Row],[date_modif]],
      "Ancien",
      "Modifié"),
   "Nouveau"))</f>
        <v>#VALUE!</v>
      </c>
      <c r="AD5359" s="1" t="str">
        <f>IFERROR(IF(Final_Sans_VGE[[#This Row],[ppn_z]]="","",IFERROR(
   IF(_xlfn.XLOOKUP(Final_Sans_VGE[[#This Row],[ppn_z]],tbl_Historique_Final[[#This Row],[ppn_z]],tbl_Historique_Final[[#This Row],[date_modif]])=Final_Sans_VGE[[#This Row],[date_modif]],
      "Ancien",
      "Modifié"),
   "Nouveau")),"")</f>
        <v/>
      </c>
    </row>
    <row r="5360" spans="24:30" x14ac:dyDescent="0.25">
      <c r="X5360" s="8" t="e">
        <f>IF(Final_Sans_VGE[[#This Row],[ppn_z]]="","",IFERROR(
   IF(_xlfn.XLOOKUP(Final_Sans_VGE[[#This Row],[ppn_z]],tbl_Historique_Final[ppn_z],tbl_Historique_Final[date_modif])=Final_Sans_VGE[[#This Row],[date_modif]],
      "Ancien",
      "Modifié"),
   "Nouveau"))</f>
        <v>#VALUE!</v>
      </c>
      <c r="AD5360" s="1" t="str">
        <f>IFERROR(IF(Final_Sans_VGE[[#This Row],[ppn_z]]="","",IFERROR(
   IF(_xlfn.XLOOKUP(Final_Sans_VGE[[#This Row],[ppn_z]],tbl_Historique_Final[[#This Row],[ppn_z]],tbl_Historique_Final[[#This Row],[date_modif]])=Final_Sans_VGE[[#This Row],[date_modif]],
      "Ancien",
      "Modifié"),
   "Nouveau")),"")</f>
        <v/>
      </c>
    </row>
    <row r="5361" spans="24:30" x14ac:dyDescent="0.25">
      <c r="X5361" s="8" t="e">
        <f>IF(Final_Sans_VGE[[#This Row],[ppn_z]]="","",IFERROR(
   IF(_xlfn.XLOOKUP(Final_Sans_VGE[[#This Row],[ppn_z]],tbl_Historique_Final[ppn_z],tbl_Historique_Final[date_modif])=Final_Sans_VGE[[#This Row],[date_modif]],
      "Ancien",
      "Modifié"),
   "Nouveau"))</f>
        <v>#VALUE!</v>
      </c>
      <c r="AD5361" s="1" t="str">
        <f>IFERROR(IF(Final_Sans_VGE[[#This Row],[ppn_z]]="","",IFERROR(
   IF(_xlfn.XLOOKUP(Final_Sans_VGE[[#This Row],[ppn_z]],tbl_Historique_Final[[#This Row],[ppn_z]],tbl_Historique_Final[[#This Row],[date_modif]])=Final_Sans_VGE[[#This Row],[date_modif]],
      "Ancien",
      "Modifié"),
   "Nouveau")),"")</f>
        <v/>
      </c>
    </row>
    <row r="5362" spans="24:30" x14ac:dyDescent="0.25">
      <c r="X5362" s="8" t="e">
        <f>IF(Final_Sans_VGE[[#This Row],[ppn_z]]="","",IFERROR(
   IF(_xlfn.XLOOKUP(Final_Sans_VGE[[#This Row],[ppn_z]],tbl_Historique_Final[ppn_z],tbl_Historique_Final[date_modif])=Final_Sans_VGE[[#This Row],[date_modif]],
      "Ancien",
      "Modifié"),
   "Nouveau"))</f>
        <v>#VALUE!</v>
      </c>
      <c r="AD5362" s="1" t="str">
        <f>IFERROR(IF(Final_Sans_VGE[[#This Row],[ppn_z]]="","",IFERROR(
   IF(_xlfn.XLOOKUP(Final_Sans_VGE[[#This Row],[ppn_z]],tbl_Historique_Final[[#This Row],[ppn_z]],tbl_Historique_Final[[#This Row],[date_modif]])=Final_Sans_VGE[[#This Row],[date_modif]],
      "Ancien",
      "Modifié"),
   "Nouveau")),"")</f>
        <v/>
      </c>
    </row>
    <row r="5363" spans="24:30" x14ac:dyDescent="0.25">
      <c r="X5363" s="8" t="e">
        <f>IF(Final_Sans_VGE[[#This Row],[ppn_z]]="","",IFERROR(
   IF(_xlfn.XLOOKUP(Final_Sans_VGE[[#This Row],[ppn_z]],tbl_Historique_Final[ppn_z],tbl_Historique_Final[date_modif])=Final_Sans_VGE[[#This Row],[date_modif]],
      "Ancien",
      "Modifié"),
   "Nouveau"))</f>
        <v>#VALUE!</v>
      </c>
      <c r="AD5363" s="1" t="str">
        <f>IFERROR(IF(Final_Sans_VGE[[#This Row],[ppn_z]]="","",IFERROR(
   IF(_xlfn.XLOOKUP(Final_Sans_VGE[[#This Row],[ppn_z]],tbl_Historique_Final[[#This Row],[ppn_z]],tbl_Historique_Final[[#This Row],[date_modif]])=Final_Sans_VGE[[#This Row],[date_modif]],
      "Ancien",
      "Modifié"),
   "Nouveau")),"")</f>
        <v/>
      </c>
    </row>
    <row r="5364" spans="24:30" x14ac:dyDescent="0.25">
      <c r="X5364" s="8" t="e">
        <f>IF(Final_Sans_VGE[[#This Row],[ppn_z]]="","",IFERROR(
   IF(_xlfn.XLOOKUP(Final_Sans_VGE[[#This Row],[ppn_z]],tbl_Historique_Final[ppn_z],tbl_Historique_Final[date_modif])=Final_Sans_VGE[[#This Row],[date_modif]],
      "Ancien",
      "Modifié"),
   "Nouveau"))</f>
        <v>#VALUE!</v>
      </c>
      <c r="AD5364" s="1" t="str">
        <f>IFERROR(IF(Final_Sans_VGE[[#This Row],[ppn_z]]="","",IFERROR(
   IF(_xlfn.XLOOKUP(Final_Sans_VGE[[#This Row],[ppn_z]],tbl_Historique_Final[[#This Row],[ppn_z]],tbl_Historique_Final[[#This Row],[date_modif]])=Final_Sans_VGE[[#This Row],[date_modif]],
      "Ancien",
      "Modifié"),
   "Nouveau")),"")</f>
        <v/>
      </c>
    </row>
    <row r="5365" spans="24:30" x14ac:dyDescent="0.25">
      <c r="X5365" s="8" t="e">
        <f>IF(Final_Sans_VGE[[#This Row],[ppn_z]]="","",IFERROR(
   IF(_xlfn.XLOOKUP(Final_Sans_VGE[[#This Row],[ppn_z]],tbl_Historique_Final[ppn_z],tbl_Historique_Final[date_modif])=Final_Sans_VGE[[#This Row],[date_modif]],
      "Ancien",
      "Modifié"),
   "Nouveau"))</f>
        <v>#VALUE!</v>
      </c>
      <c r="AD5365" s="1" t="str">
        <f>IFERROR(IF(Final_Sans_VGE[[#This Row],[ppn_z]]="","",IFERROR(
   IF(_xlfn.XLOOKUP(Final_Sans_VGE[[#This Row],[ppn_z]],tbl_Historique_Final[[#This Row],[ppn_z]],tbl_Historique_Final[[#This Row],[date_modif]])=Final_Sans_VGE[[#This Row],[date_modif]],
      "Ancien",
      "Modifié"),
   "Nouveau")),"")</f>
        <v/>
      </c>
    </row>
    <row r="5366" spans="24:30" x14ac:dyDescent="0.25">
      <c r="X5366" s="8" t="e">
        <f>IF(Final_Sans_VGE[[#This Row],[ppn_z]]="","",IFERROR(
   IF(_xlfn.XLOOKUP(Final_Sans_VGE[[#This Row],[ppn_z]],tbl_Historique_Final[ppn_z],tbl_Historique_Final[date_modif])=Final_Sans_VGE[[#This Row],[date_modif]],
      "Ancien",
      "Modifié"),
   "Nouveau"))</f>
        <v>#VALUE!</v>
      </c>
      <c r="AD5366" s="1" t="str">
        <f>IFERROR(IF(Final_Sans_VGE[[#This Row],[ppn_z]]="","",IFERROR(
   IF(_xlfn.XLOOKUP(Final_Sans_VGE[[#This Row],[ppn_z]],tbl_Historique_Final[[#This Row],[ppn_z]],tbl_Historique_Final[[#This Row],[date_modif]])=Final_Sans_VGE[[#This Row],[date_modif]],
      "Ancien",
      "Modifié"),
   "Nouveau")),"")</f>
        <v/>
      </c>
    </row>
    <row r="5367" spans="24:30" x14ac:dyDescent="0.25">
      <c r="X5367" s="8" t="e">
        <f>IF(Final_Sans_VGE[[#This Row],[ppn_z]]="","",IFERROR(
   IF(_xlfn.XLOOKUP(Final_Sans_VGE[[#This Row],[ppn_z]],tbl_Historique_Final[ppn_z],tbl_Historique_Final[date_modif])=Final_Sans_VGE[[#This Row],[date_modif]],
      "Ancien",
      "Modifié"),
   "Nouveau"))</f>
        <v>#VALUE!</v>
      </c>
      <c r="AD5367" s="1" t="str">
        <f>IFERROR(IF(Final_Sans_VGE[[#This Row],[ppn_z]]="","",IFERROR(
   IF(_xlfn.XLOOKUP(Final_Sans_VGE[[#This Row],[ppn_z]],tbl_Historique_Final[[#This Row],[ppn_z]],tbl_Historique_Final[[#This Row],[date_modif]])=Final_Sans_VGE[[#This Row],[date_modif]],
      "Ancien",
      "Modifié"),
   "Nouveau")),"")</f>
        <v/>
      </c>
    </row>
    <row r="5368" spans="24:30" x14ac:dyDescent="0.25">
      <c r="X5368" s="8" t="e">
        <f>IF(Final_Sans_VGE[[#This Row],[ppn_z]]="","",IFERROR(
   IF(_xlfn.XLOOKUP(Final_Sans_VGE[[#This Row],[ppn_z]],tbl_Historique_Final[ppn_z],tbl_Historique_Final[date_modif])=Final_Sans_VGE[[#This Row],[date_modif]],
      "Ancien",
      "Modifié"),
   "Nouveau"))</f>
        <v>#VALUE!</v>
      </c>
      <c r="AD5368" s="1" t="str">
        <f>IFERROR(IF(Final_Sans_VGE[[#This Row],[ppn_z]]="","",IFERROR(
   IF(_xlfn.XLOOKUP(Final_Sans_VGE[[#This Row],[ppn_z]],tbl_Historique_Final[[#This Row],[ppn_z]],tbl_Historique_Final[[#This Row],[date_modif]])=Final_Sans_VGE[[#This Row],[date_modif]],
      "Ancien",
      "Modifié"),
   "Nouveau")),"")</f>
        <v/>
      </c>
    </row>
    <row r="5369" spans="24:30" x14ac:dyDescent="0.25">
      <c r="X5369" s="8" t="e">
        <f>IF(Final_Sans_VGE[[#This Row],[ppn_z]]="","",IFERROR(
   IF(_xlfn.XLOOKUP(Final_Sans_VGE[[#This Row],[ppn_z]],tbl_Historique_Final[ppn_z],tbl_Historique_Final[date_modif])=Final_Sans_VGE[[#This Row],[date_modif]],
      "Ancien",
      "Modifié"),
   "Nouveau"))</f>
        <v>#VALUE!</v>
      </c>
      <c r="AD5369" s="1" t="str">
        <f>IFERROR(IF(Final_Sans_VGE[[#This Row],[ppn_z]]="","",IFERROR(
   IF(_xlfn.XLOOKUP(Final_Sans_VGE[[#This Row],[ppn_z]],tbl_Historique_Final[[#This Row],[ppn_z]],tbl_Historique_Final[[#This Row],[date_modif]])=Final_Sans_VGE[[#This Row],[date_modif]],
      "Ancien",
      "Modifié"),
   "Nouveau")),"")</f>
        <v/>
      </c>
    </row>
    <row r="5370" spans="24:30" x14ac:dyDescent="0.25">
      <c r="X5370" s="8" t="e">
        <f>IF(Final_Sans_VGE[[#This Row],[ppn_z]]="","",IFERROR(
   IF(_xlfn.XLOOKUP(Final_Sans_VGE[[#This Row],[ppn_z]],tbl_Historique_Final[ppn_z],tbl_Historique_Final[date_modif])=Final_Sans_VGE[[#This Row],[date_modif]],
      "Ancien",
      "Modifié"),
   "Nouveau"))</f>
        <v>#VALUE!</v>
      </c>
      <c r="AD5370" s="1" t="str">
        <f>IFERROR(IF(Final_Sans_VGE[[#This Row],[ppn_z]]="","",IFERROR(
   IF(_xlfn.XLOOKUP(Final_Sans_VGE[[#This Row],[ppn_z]],tbl_Historique_Final[[#This Row],[ppn_z]],tbl_Historique_Final[[#This Row],[date_modif]])=Final_Sans_VGE[[#This Row],[date_modif]],
      "Ancien",
      "Modifié"),
   "Nouveau")),"")</f>
        <v/>
      </c>
    </row>
    <row r="5371" spans="24:30" x14ac:dyDescent="0.25">
      <c r="X5371" s="8" t="e">
        <f>IF(Final_Sans_VGE[[#This Row],[ppn_z]]="","",IFERROR(
   IF(_xlfn.XLOOKUP(Final_Sans_VGE[[#This Row],[ppn_z]],tbl_Historique_Final[ppn_z],tbl_Historique_Final[date_modif])=Final_Sans_VGE[[#This Row],[date_modif]],
      "Ancien",
      "Modifié"),
   "Nouveau"))</f>
        <v>#VALUE!</v>
      </c>
      <c r="AD5371" s="1" t="str">
        <f>IFERROR(IF(Final_Sans_VGE[[#This Row],[ppn_z]]="","",IFERROR(
   IF(_xlfn.XLOOKUP(Final_Sans_VGE[[#This Row],[ppn_z]],tbl_Historique_Final[[#This Row],[ppn_z]],tbl_Historique_Final[[#This Row],[date_modif]])=Final_Sans_VGE[[#This Row],[date_modif]],
      "Ancien",
      "Modifié"),
   "Nouveau")),"")</f>
        <v/>
      </c>
    </row>
    <row r="5372" spans="24:30" x14ac:dyDescent="0.25">
      <c r="X5372" s="8" t="e">
        <f>IF(Final_Sans_VGE[[#This Row],[ppn_z]]="","",IFERROR(
   IF(_xlfn.XLOOKUP(Final_Sans_VGE[[#This Row],[ppn_z]],tbl_Historique_Final[ppn_z],tbl_Historique_Final[date_modif])=Final_Sans_VGE[[#This Row],[date_modif]],
      "Ancien",
      "Modifié"),
   "Nouveau"))</f>
        <v>#VALUE!</v>
      </c>
      <c r="AD5372" s="1" t="str">
        <f>IFERROR(IF(Final_Sans_VGE[[#This Row],[ppn_z]]="","",IFERROR(
   IF(_xlfn.XLOOKUP(Final_Sans_VGE[[#This Row],[ppn_z]],tbl_Historique_Final[[#This Row],[ppn_z]],tbl_Historique_Final[[#This Row],[date_modif]])=Final_Sans_VGE[[#This Row],[date_modif]],
      "Ancien",
      "Modifié"),
   "Nouveau")),"")</f>
        <v/>
      </c>
    </row>
    <row r="5373" spans="24:30" x14ac:dyDescent="0.25">
      <c r="X5373" s="8" t="e">
        <f>IF(Final_Sans_VGE[[#This Row],[ppn_z]]="","",IFERROR(
   IF(_xlfn.XLOOKUP(Final_Sans_VGE[[#This Row],[ppn_z]],tbl_Historique_Final[ppn_z],tbl_Historique_Final[date_modif])=Final_Sans_VGE[[#This Row],[date_modif]],
      "Ancien",
      "Modifié"),
   "Nouveau"))</f>
        <v>#VALUE!</v>
      </c>
      <c r="AD5373" s="1" t="str">
        <f>IFERROR(IF(Final_Sans_VGE[[#This Row],[ppn_z]]="","",IFERROR(
   IF(_xlfn.XLOOKUP(Final_Sans_VGE[[#This Row],[ppn_z]],tbl_Historique_Final[[#This Row],[ppn_z]],tbl_Historique_Final[[#This Row],[date_modif]])=Final_Sans_VGE[[#This Row],[date_modif]],
      "Ancien",
      "Modifié"),
   "Nouveau")),"")</f>
        <v/>
      </c>
    </row>
    <row r="5374" spans="24:30" x14ac:dyDescent="0.25">
      <c r="X5374" s="8" t="e">
        <f>IF(Final_Sans_VGE[[#This Row],[ppn_z]]="","",IFERROR(
   IF(_xlfn.XLOOKUP(Final_Sans_VGE[[#This Row],[ppn_z]],tbl_Historique_Final[ppn_z],tbl_Historique_Final[date_modif])=Final_Sans_VGE[[#This Row],[date_modif]],
      "Ancien",
      "Modifié"),
   "Nouveau"))</f>
        <v>#VALUE!</v>
      </c>
      <c r="AD5374" s="1" t="str">
        <f>IFERROR(IF(Final_Sans_VGE[[#This Row],[ppn_z]]="","",IFERROR(
   IF(_xlfn.XLOOKUP(Final_Sans_VGE[[#This Row],[ppn_z]],tbl_Historique_Final[[#This Row],[ppn_z]],tbl_Historique_Final[[#This Row],[date_modif]])=Final_Sans_VGE[[#This Row],[date_modif]],
      "Ancien",
      "Modifié"),
   "Nouveau")),"")</f>
        <v/>
      </c>
    </row>
    <row r="5375" spans="24:30" x14ac:dyDescent="0.25">
      <c r="X5375" s="8" t="e">
        <f>IF(Final_Sans_VGE[[#This Row],[ppn_z]]="","",IFERROR(
   IF(_xlfn.XLOOKUP(Final_Sans_VGE[[#This Row],[ppn_z]],tbl_Historique_Final[ppn_z],tbl_Historique_Final[date_modif])=Final_Sans_VGE[[#This Row],[date_modif]],
      "Ancien",
      "Modifié"),
   "Nouveau"))</f>
        <v>#VALUE!</v>
      </c>
      <c r="AD5375" s="1" t="str">
        <f>IFERROR(IF(Final_Sans_VGE[[#This Row],[ppn_z]]="","",IFERROR(
   IF(_xlfn.XLOOKUP(Final_Sans_VGE[[#This Row],[ppn_z]],tbl_Historique_Final[[#This Row],[ppn_z]],tbl_Historique_Final[[#This Row],[date_modif]])=Final_Sans_VGE[[#This Row],[date_modif]],
      "Ancien",
      "Modifié"),
   "Nouveau")),"")</f>
        <v/>
      </c>
    </row>
    <row r="5376" spans="24:30" x14ac:dyDescent="0.25">
      <c r="X5376" s="8" t="e">
        <f>IF(Final_Sans_VGE[[#This Row],[ppn_z]]="","",IFERROR(
   IF(_xlfn.XLOOKUP(Final_Sans_VGE[[#This Row],[ppn_z]],tbl_Historique_Final[ppn_z],tbl_Historique_Final[date_modif])=Final_Sans_VGE[[#This Row],[date_modif]],
      "Ancien",
      "Modifié"),
   "Nouveau"))</f>
        <v>#VALUE!</v>
      </c>
      <c r="AD5376" s="1" t="str">
        <f>IFERROR(IF(Final_Sans_VGE[[#This Row],[ppn_z]]="","",IFERROR(
   IF(_xlfn.XLOOKUP(Final_Sans_VGE[[#This Row],[ppn_z]],tbl_Historique_Final[[#This Row],[ppn_z]],tbl_Historique_Final[[#This Row],[date_modif]])=Final_Sans_VGE[[#This Row],[date_modif]],
      "Ancien",
      "Modifié"),
   "Nouveau")),"")</f>
        <v/>
      </c>
    </row>
    <row r="5377" spans="24:30" x14ac:dyDescent="0.25">
      <c r="X5377" s="8" t="e">
        <f>IF(Final_Sans_VGE[[#This Row],[ppn_z]]="","",IFERROR(
   IF(_xlfn.XLOOKUP(Final_Sans_VGE[[#This Row],[ppn_z]],tbl_Historique_Final[ppn_z],tbl_Historique_Final[date_modif])=Final_Sans_VGE[[#This Row],[date_modif]],
      "Ancien",
      "Modifié"),
   "Nouveau"))</f>
        <v>#VALUE!</v>
      </c>
      <c r="AD5377" s="1" t="str">
        <f>IFERROR(IF(Final_Sans_VGE[[#This Row],[ppn_z]]="","",IFERROR(
   IF(_xlfn.XLOOKUP(Final_Sans_VGE[[#This Row],[ppn_z]],tbl_Historique_Final[[#This Row],[ppn_z]],tbl_Historique_Final[[#This Row],[date_modif]])=Final_Sans_VGE[[#This Row],[date_modif]],
      "Ancien",
      "Modifié"),
   "Nouveau")),"")</f>
        <v/>
      </c>
    </row>
    <row r="5378" spans="24:30" x14ac:dyDescent="0.25">
      <c r="X5378" s="8" t="e">
        <f>IF(Final_Sans_VGE[[#This Row],[ppn_z]]="","",IFERROR(
   IF(_xlfn.XLOOKUP(Final_Sans_VGE[[#This Row],[ppn_z]],tbl_Historique_Final[ppn_z],tbl_Historique_Final[date_modif])=Final_Sans_VGE[[#This Row],[date_modif]],
      "Ancien",
      "Modifié"),
   "Nouveau"))</f>
        <v>#VALUE!</v>
      </c>
      <c r="AD5378" s="1" t="str">
        <f>IFERROR(IF(Final_Sans_VGE[[#This Row],[ppn_z]]="","",IFERROR(
   IF(_xlfn.XLOOKUP(Final_Sans_VGE[[#This Row],[ppn_z]],tbl_Historique_Final[[#This Row],[ppn_z]],tbl_Historique_Final[[#This Row],[date_modif]])=Final_Sans_VGE[[#This Row],[date_modif]],
      "Ancien",
      "Modifié"),
   "Nouveau")),"")</f>
        <v/>
      </c>
    </row>
    <row r="5379" spans="24:30" x14ac:dyDescent="0.25">
      <c r="X5379" s="8" t="e">
        <f>IF(Final_Sans_VGE[[#This Row],[ppn_z]]="","",IFERROR(
   IF(_xlfn.XLOOKUP(Final_Sans_VGE[[#This Row],[ppn_z]],tbl_Historique_Final[ppn_z],tbl_Historique_Final[date_modif])=Final_Sans_VGE[[#This Row],[date_modif]],
      "Ancien",
      "Modifié"),
   "Nouveau"))</f>
        <v>#VALUE!</v>
      </c>
      <c r="AD5379" s="1" t="str">
        <f>IFERROR(IF(Final_Sans_VGE[[#This Row],[ppn_z]]="","",IFERROR(
   IF(_xlfn.XLOOKUP(Final_Sans_VGE[[#This Row],[ppn_z]],tbl_Historique_Final[[#This Row],[ppn_z]],tbl_Historique_Final[[#This Row],[date_modif]])=Final_Sans_VGE[[#This Row],[date_modif]],
      "Ancien",
      "Modifié"),
   "Nouveau")),"")</f>
        <v/>
      </c>
    </row>
    <row r="5380" spans="24:30" x14ac:dyDescent="0.25">
      <c r="X5380" s="8" t="e">
        <f>IF(Final_Sans_VGE[[#This Row],[ppn_z]]="","",IFERROR(
   IF(_xlfn.XLOOKUP(Final_Sans_VGE[[#This Row],[ppn_z]],tbl_Historique_Final[ppn_z],tbl_Historique_Final[date_modif])=Final_Sans_VGE[[#This Row],[date_modif]],
      "Ancien",
      "Modifié"),
   "Nouveau"))</f>
        <v>#VALUE!</v>
      </c>
      <c r="AD5380" s="1" t="str">
        <f>IFERROR(IF(Final_Sans_VGE[[#This Row],[ppn_z]]="","",IFERROR(
   IF(_xlfn.XLOOKUP(Final_Sans_VGE[[#This Row],[ppn_z]],tbl_Historique_Final[[#This Row],[ppn_z]],tbl_Historique_Final[[#This Row],[date_modif]])=Final_Sans_VGE[[#This Row],[date_modif]],
      "Ancien",
      "Modifié"),
   "Nouveau")),"")</f>
        <v/>
      </c>
    </row>
    <row r="5381" spans="24:30" x14ac:dyDescent="0.25">
      <c r="X5381" s="8" t="e">
        <f>IF(Final_Sans_VGE[[#This Row],[ppn_z]]="","",IFERROR(
   IF(_xlfn.XLOOKUP(Final_Sans_VGE[[#This Row],[ppn_z]],tbl_Historique_Final[ppn_z],tbl_Historique_Final[date_modif])=Final_Sans_VGE[[#This Row],[date_modif]],
      "Ancien",
      "Modifié"),
   "Nouveau"))</f>
        <v>#VALUE!</v>
      </c>
      <c r="AD5381" s="1" t="str">
        <f>IFERROR(IF(Final_Sans_VGE[[#This Row],[ppn_z]]="","",IFERROR(
   IF(_xlfn.XLOOKUP(Final_Sans_VGE[[#This Row],[ppn_z]],tbl_Historique_Final[[#This Row],[ppn_z]],tbl_Historique_Final[[#This Row],[date_modif]])=Final_Sans_VGE[[#This Row],[date_modif]],
      "Ancien",
      "Modifié"),
   "Nouveau")),"")</f>
        <v/>
      </c>
    </row>
    <row r="5382" spans="24:30" x14ac:dyDescent="0.25">
      <c r="X5382" s="8" t="e">
        <f>IF(Final_Sans_VGE[[#This Row],[ppn_z]]="","",IFERROR(
   IF(_xlfn.XLOOKUP(Final_Sans_VGE[[#This Row],[ppn_z]],tbl_Historique_Final[ppn_z],tbl_Historique_Final[date_modif])=Final_Sans_VGE[[#This Row],[date_modif]],
      "Ancien",
      "Modifié"),
   "Nouveau"))</f>
        <v>#VALUE!</v>
      </c>
      <c r="AD5382" s="1" t="str">
        <f>IFERROR(IF(Final_Sans_VGE[[#This Row],[ppn_z]]="","",IFERROR(
   IF(_xlfn.XLOOKUP(Final_Sans_VGE[[#This Row],[ppn_z]],tbl_Historique_Final[[#This Row],[ppn_z]],tbl_Historique_Final[[#This Row],[date_modif]])=Final_Sans_VGE[[#This Row],[date_modif]],
      "Ancien",
      "Modifié"),
   "Nouveau")),"")</f>
        <v/>
      </c>
    </row>
    <row r="5383" spans="24:30" x14ac:dyDescent="0.25">
      <c r="X5383" s="8" t="e">
        <f>IF(Final_Sans_VGE[[#This Row],[ppn_z]]="","",IFERROR(
   IF(_xlfn.XLOOKUP(Final_Sans_VGE[[#This Row],[ppn_z]],tbl_Historique_Final[ppn_z],tbl_Historique_Final[date_modif])=Final_Sans_VGE[[#This Row],[date_modif]],
      "Ancien",
      "Modifié"),
   "Nouveau"))</f>
        <v>#VALUE!</v>
      </c>
      <c r="AD5383" s="1" t="str">
        <f>IFERROR(IF(Final_Sans_VGE[[#This Row],[ppn_z]]="","",IFERROR(
   IF(_xlfn.XLOOKUP(Final_Sans_VGE[[#This Row],[ppn_z]],tbl_Historique_Final[[#This Row],[ppn_z]],tbl_Historique_Final[[#This Row],[date_modif]])=Final_Sans_VGE[[#This Row],[date_modif]],
      "Ancien",
      "Modifié"),
   "Nouveau")),"")</f>
        <v/>
      </c>
    </row>
    <row r="5384" spans="24:30" x14ac:dyDescent="0.25">
      <c r="X5384" s="8" t="e">
        <f>IF(Final_Sans_VGE[[#This Row],[ppn_z]]="","",IFERROR(
   IF(_xlfn.XLOOKUP(Final_Sans_VGE[[#This Row],[ppn_z]],tbl_Historique_Final[ppn_z],tbl_Historique_Final[date_modif])=Final_Sans_VGE[[#This Row],[date_modif]],
      "Ancien",
      "Modifié"),
   "Nouveau"))</f>
        <v>#VALUE!</v>
      </c>
      <c r="AD5384" s="1" t="str">
        <f>IFERROR(IF(Final_Sans_VGE[[#This Row],[ppn_z]]="","",IFERROR(
   IF(_xlfn.XLOOKUP(Final_Sans_VGE[[#This Row],[ppn_z]],tbl_Historique_Final[[#This Row],[ppn_z]],tbl_Historique_Final[[#This Row],[date_modif]])=Final_Sans_VGE[[#This Row],[date_modif]],
      "Ancien",
      "Modifié"),
   "Nouveau")),"")</f>
        <v/>
      </c>
    </row>
    <row r="5385" spans="24:30" x14ac:dyDescent="0.25">
      <c r="X5385" s="8" t="e">
        <f>IF(Final_Sans_VGE[[#This Row],[ppn_z]]="","",IFERROR(
   IF(_xlfn.XLOOKUP(Final_Sans_VGE[[#This Row],[ppn_z]],tbl_Historique_Final[ppn_z],tbl_Historique_Final[date_modif])=Final_Sans_VGE[[#This Row],[date_modif]],
      "Ancien",
      "Modifié"),
   "Nouveau"))</f>
        <v>#VALUE!</v>
      </c>
      <c r="AD5385" s="1" t="str">
        <f>IFERROR(IF(Final_Sans_VGE[[#This Row],[ppn_z]]="","",IFERROR(
   IF(_xlfn.XLOOKUP(Final_Sans_VGE[[#This Row],[ppn_z]],tbl_Historique_Final[[#This Row],[ppn_z]],tbl_Historique_Final[[#This Row],[date_modif]])=Final_Sans_VGE[[#This Row],[date_modif]],
      "Ancien",
      "Modifié"),
   "Nouveau")),"")</f>
        <v/>
      </c>
    </row>
    <row r="5386" spans="24:30" x14ac:dyDescent="0.25">
      <c r="X5386" s="8" t="e">
        <f>IF(Final_Sans_VGE[[#This Row],[ppn_z]]="","",IFERROR(
   IF(_xlfn.XLOOKUP(Final_Sans_VGE[[#This Row],[ppn_z]],tbl_Historique_Final[ppn_z],tbl_Historique_Final[date_modif])=Final_Sans_VGE[[#This Row],[date_modif]],
      "Ancien",
      "Modifié"),
   "Nouveau"))</f>
        <v>#VALUE!</v>
      </c>
      <c r="AD5386" s="1" t="str">
        <f>IFERROR(IF(Final_Sans_VGE[[#This Row],[ppn_z]]="","",IFERROR(
   IF(_xlfn.XLOOKUP(Final_Sans_VGE[[#This Row],[ppn_z]],tbl_Historique_Final[[#This Row],[ppn_z]],tbl_Historique_Final[[#This Row],[date_modif]])=Final_Sans_VGE[[#This Row],[date_modif]],
      "Ancien",
      "Modifié"),
   "Nouveau")),"")</f>
        <v/>
      </c>
    </row>
    <row r="5387" spans="24:30" x14ac:dyDescent="0.25">
      <c r="X5387" s="8" t="e">
        <f>IF(Final_Sans_VGE[[#This Row],[ppn_z]]="","",IFERROR(
   IF(_xlfn.XLOOKUP(Final_Sans_VGE[[#This Row],[ppn_z]],tbl_Historique_Final[ppn_z],tbl_Historique_Final[date_modif])=Final_Sans_VGE[[#This Row],[date_modif]],
      "Ancien",
      "Modifié"),
   "Nouveau"))</f>
        <v>#VALUE!</v>
      </c>
      <c r="AD5387" s="1" t="str">
        <f>IFERROR(IF(Final_Sans_VGE[[#This Row],[ppn_z]]="","",IFERROR(
   IF(_xlfn.XLOOKUP(Final_Sans_VGE[[#This Row],[ppn_z]],tbl_Historique_Final[[#This Row],[ppn_z]],tbl_Historique_Final[[#This Row],[date_modif]])=Final_Sans_VGE[[#This Row],[date_modif]],
      "Ancien",
      "Modifié"),
   "Nouveau")),"")</f>
        <v/>
      </c>
    </row>
    <row r="5388" spans="24:30" x14ac:dyDescent="0.25">
      <c r="X5388" s="8" t="e">
        <f>IF(Final_Sans_VGE[[#This Row],[ppn_z]]="","",IFERROR(
   IF(_xlfn.XLOOKUP(Final_Sans_VGE[[#This Row],[ppn_z]],tbl_Historique_Final[ppn_z],tbl_Historique_Final[date_modif])=Final_Sans_VGE[[#This Row],[date_modif]],
      "Ancien",
      "Modifié"),
   "Nouveau"))</f>
        <v>#VALUE!</v>
      </c>
      <c r="AD5388" s="1" t="str">
        <f>IFERROR(IF(Final_Sans_VGE[[#This Row],[ppn_z]]="","",IFERROR(
   IF(_xlfn.XLOOKUP(Final_Sans_VGE[[#This Row],[ppn_z]],tbl_Historique_Final[[#This Row],[ppn_z]],tbl_Historique_Final[[#This Row],[date_modif]])=Final_Sans_VGE[[#This Row],[date_modif]],
      "Ancien",
      "Modifié"),
   "Nouveau")),"")</f>
        <v/>
      </c>
    </row>
    <row r="5389" spans="24:30" x14ac:dyDescent="0.25">
      <c r="X5389" s="8" t="e">
        <f>IF(Final_Sans_VGE[[#This Row],[ppn_z]]="","",IFERROR(
   IF(_xlfn.XLOOKUP(Final_Sans_VGE[[#This Row],[ppn_z]],tbl_Historique_Final[ppn_z],tbl_Historique_Final[date_modif])=Final_Sans_VGE[[#This Row],[date_modif]],
      "Ancien",
      "Modifié"),
   "Nouveau"))</f>
        <v>#VALUE!</v>
      </c>
      <c r="AD5389" s="1" t="str">
        <f>IFERROR(IF(Final_Sans_VGE[[#This Row],[ppn_z]]="","",IFERROR(
   IF(_xlfn.XLOOKUP(Final_Sans_VGE[[#This Row],[ppn_z]],tbl_Historique_Final[[#This Row],[ppn_z]],tbl_Historique_Final[[#This Row],[date_modif]])=Final_Sans_VGE[[#This Row],[date_modif]],
      "Ancien",
      "Modifié"),
   "Nouveau")),"")</f>
        <v/>
      </c>
    </row>
    <row r="5390" spans="24:30" x14ac:dyDescent="0.25">
      <c r="X5390" s="8" t="e">
        <f>IF(Final_Sans_VGE[[#This Row],[ppn_z]]="","",IFERROR(
   IF(_xlfn.XLOOKUP(Final_Sans_VGE[[#This Row],[ppn_z]],tbl_Historique_Final[ppn_z],tbl_Historique_Final[date_modif])=Final_Sans_VGE[[#This Row],[date_modif]],
      "Ancien",
      "Modifié"),
   "Nouveau"))</f>
        <v>#VALUE!</v>
      </c>
      <c r="AD5390" s="1" t="str">
        <f>IFERROR(IF(Final_Sans_VGE[[#This Row],[ppn_z]]="","",IFERROR(
   IF(_xlfn.XLOOKUP(Final_Sans_VGE[[#This Row],[ppn_z]],tbl_Historique_Final[[#This Row],[ppn_z]],tbl_Historique_Final[[#This Row],[date_modif]])=Final_Sans_VGE[[#This Row],[date_modif]],
      "Ancien",
      "Modifié"),
   "Nouveau")),"")</f>
        <v/>
      </c>
    </row>
    <row r="5391" spans="24:30" x14ac:dyDescent="0.25">
      <c r="X5391" s="8" t="e">
        <f>IF(Final_Sans_VGE[[#This Row],[ppn_z]]="","",IFERROR(
   IF(_xlfn.XLOOKUP(Final_Sans_VGE[[#This Row],[ppn_z]],tbl_Historique_Final[ppn_z],tbl_Historique_Final[date_modif])=Final_Sans_VGE[[#This Row],[date_modif]],
      "Ancien",
      "Modifié"),
   "Nouveau"))</f>
        <v>#VALUE!</v>
      </c>
      <c r="AD5391" s="1" t="str">
        <f>IFERROR(IF(Final_Sans_VGE[[#This Row],[ppn_z]]="","",IFERROR(
   IF(_xlfn.XLOOKUP(Final_Sans_VGE[[#This Row],[ppn_z]],tbl_Historique_Final[[#This Row],[ppn_z]],tbl_Historique_Final[[#This Row],[date_modif]])=Final_Sans_VGE[[#This Row],[date_modif]],
      "Ancien",
      "Modifié"),
   "Nouveau")),"")</f>
        <v/>
      </c>
    </row>
    <row r="5392" spans="24:30" x14ac:dyDescent="0.25">
      <c r="X5392" s="8" t="e">
        <f>IF(Final_Sans_VGE[[#This Row],[ppn_z]]="","",IFERROR(
   IF(_xlfn.XLOOKUP(Final_Sans_VGE[[#This Row],[ppn_z]],tbl_Historique_Final[ppn_z],tbl_Historique_Final[date_modif])=Final_Sans_VGE[[#This Row],[date_modif]],
      "Ancien",
      "Modifié"),
   "Nouveau"))</f>
        <v>#VALUE!</v>
      </c>
      <c r="AD5392" s="1" t="str">
        <f>IFERROR(IF(Final_Sans_VGE[[#This Row],[ppn_z]]="","",IFERROR(
   IF(_xlfn.XLOOKUP(Final_Sans_VGE[[#This Row],[ppn_z]],tbl_Historique_Final[[#This Row],[ppn_z]],tbl_Historique_Final[[#This Row],[date_modif]])=Final_Sans_VGE[[#This Row],[date_modif]],
      "Ancien",
      "Modifié"),
   "Nouveau")),"")</f>
        <v/>
      </c>
    </row>
    <row r="5393" spans="24:30" x14ac:dyDescent="0.25">
      <c r="X5393" s="8" t="e">
        <f>IF(Final_Sans_VGE[[#This Row],[ppn_z]]="","",IFERROR(
   IF(_xlfn.XLOOKUP(Final_Sans_VGE[[#This Row],[ppn_z]],tbl_Historique_Final[ppn_z],tbl_Historique_Final[date_modif])=Final_Sans_VGE[[#This Row],[date_modif]],
      "Ancien",
      "Modifié"),
   "Nouveau"))</f>
        <v>#VALUE!</v>
      </c>
      <c r="AD5393" s="1" t="str">
        <f>IFERROR(IF(Final_Sans_VGE[[#This Row],[ppn_z]]="","",IFERROR(
   IF(_xlfn.XLOOKUP(Final_Sans_VGE[[#This Row],[ppn_z]],tbl_Historique_Final[[#This Row],[ppn_z]],tbl_Historique_Final[[#This Row],[date_modif]])=Final_Sans_VGE[[#This Row],[date_modif]],
      "Ancien",
      "Modifié"),
   "Nouveau")),"")</f>
        <v/>
      </c>
    </row>
    <row r="5394" spans="24:30" x14ac:dyDescent="0.25">
      <c r="X5394" s="8" t="e">
        <f>IF(Final_Sans_VGE[[#This Row],[ppn_z]]="","",IFERROR(
   IF(_xlfn.XLOOKUP(Final_Sans_VGE[[#This Row],[ppn_z]],tbl_Historique_Final[ppn_z],tbl_Historique_Final[date_modif])=Final_Sans_VGE[[#This Row],[date_modif]],
      "Ancien",
      "Modifié"),
   "Nouveau"))</f>
        <v>#VALUE!</v>
      </c>
      <c r="AD5394" s="1" t="str">
        <f>IFERROR(IF(Final_Sans_VGE[[#This Row],[ppn_z]]="","",IFERROR(
   IF(_xlfn.XLOOKUP(Final_Sans_VGE[[#This Row],[ppn_z]],tbl_Historique_Final[[#This Row],[ppn_z]],tbl_Historique_Final[[#This Row],[date_modif]])=Final_Sans_VGE[[#This Row],[date_modif]],
      "Ancien",
      "Modifié"),
   "Nouveau")),"")</f>
        <v/>
      </c>
    </row>
    <row r="5395" spans="24:30" x14ac:dyDescent="0.25">
      <c r="X5395" s="8" t="e">
        <f>IF(Final_Sans_VGE[[#This Row],[ppn_z]]="","",IFERROR(
   IF(_xlfn.XLOOKUP(Final_Sans_VGE[[#This Row],[ppn_z]],tbl_Historique_Final[ppn_z],tbl_Historique_Final[date_modif])=Final_Sans_VGE[[#This Row],[date_modif]],
      "Ancien",
      "Modifié"),
   "Nouveau"))</f>
        <v>#VALUE!</v>
      </c>
      <c r="AD5395" s="1" t="str">
        <f>IFERROR(IF(Final_Sans_VGE[[#This Row],[ppn_z]]="","",IFERROR(
   IF(_xlfn.XLOOKUP(Final_Sans_VGE[[#This Row],[ppn_z]],tbl_Historique_Final[[#This Row],[ppn_z]],tbl_Historique_Final[[#This Row],[date_modif]])=Final_Sans_VGE[[#This Row],[date_modif]],
      "Ancien",
      "Modifié"),
   "Nouveau")),"")</f>
        <v/>
      </c>
    </row>
    <row r="5396" spans="24:30" x14ac:dyDescent="0.25">
      <c r="X5396" s="8" t="e">
        <f>IF(Final_Sans_VGE[[#This Row],[ppn_z]]="","",IFERROR(
   IF(_xlfn.XLOOKUP(Final_Sans_VGE[[#This Row],[ppn_z]],tbl_Historique_Final[ppn_z],tbl_Historique_Final[date_modif])=Final_Sans_VGE[[#This Row],[date_modif]],
      "Ancien",
      "Modifié"),
   "Nouveau"))</f>
        <v>#VALUE!</v>
      </c>
      <c r="AD5396" s="1" t="str">
        <f>IFERROR(IF(Final_Sans_VGE[[#This Row],[ppn_z]]="","",IFERROR(
   IF(_xlfn.XLOOKUP(Final_Sans_VGE[[#This Row],[ppn_z]],tbl_Historique_Final[[#This Row],[ppn_z]],tbl_Historique_Final[[#This Row],[date_modif]])=Final_Sans_VGE[[#This Row],[date_modif]],
      "Ancien",
      "Modifié"),
   "Nouveau")),"")</f>
        <v/>
      </c>
    </row>
    <row r="5397" spans="24:30" x14ac:dyDescent="0.25">
      <c r="X5397" s="8" t="e">
        <f>IF(Final_Sans_VGE[[#This Row],[ppn_z]]="","",IFERROR(
   IF(_xlfn.XLOOKUP(Final_Sans_VGE[[#This Row],[ppn_z]],tbl_Historique_Final[ppn_z],tbl_Historique_Final[date_modif])=Final_Sans_VGE[[#This Row],[date_modif]],
      "Ancien",
      "Modifié"),
   "Nouveau"))</f>
        <v>#VALUE!</v>
      </c>
      <c r="AD5397" s="1" t="str">
        <f>IFERROR(IF(Final_Sans_VGE[[#This Row],[ppn_z]]="","",IFERROR(
   IF(_xlfn.XLOOKUP(Final_Sans_VGE[[#This Row],[ppn_z]],tbl_Historique_Final[[#This Row],[ppn_z]],tbl_Historique_Final[[#This Row],[date_modif]])=Final_Sans_VGE[[#This Row],[date_modif]],
      "Ancien",
      "Modifié"),
   "Nouveau")),"")</f>
        <v/>
      </c>
    </row>
    <row r="5398" spans="24:30" x14ac:dyDescent="0.25">
      <c r="X5398" s="8" t="e">
        <f>IF(Final_Sans_VGE[[#This Row],[ppn_z]]="","",IFERROR(
   IF(_xlfn.XLOOKUP(Final_Sans_VGE[[#This Row],[ppn_z]],tbl_Historique_Final[ppn_z],tbl_Historique_Final[date_modif])=Final_Sans_VGE[[#This Row],[date_modif]],
      "Ancien",
      "Modifié"),
   "Nouveau"))</f>
        <v>#VALUE!</v>
      </c>
      <c r="AD5398" s="1" t="str">
        <f>IFERROR(IF(Final_Sans_VGE[[#This Row],[ppn_z]]="","",IFERROR(
   IF(_xlfn.XLOOKUP(Final_Sans_VGE[[#This Row],[ppn_z]],tbl_Historique_Final[[#This Row],[ppn_z]],tbl_Historique_Final[[#This Row],[date_modif]])=Final_Sans_VGE[[#This Row],[date_modif]],
      "Ancien",
      "Modifié"),
   "Nouveau")),"")</f>
        <v/>
      </c>
    </row>
    <row r="5399" spans="24:30" x14ac:dyDescent="0.25">
      <c r="X5399" s="8" t="e">
        <f>IF(Final_Sans_VGE[[#This Row],[ppn_z]]="","",IFERROR(
   IF(_xlfn.XLOOKUP(Final_Sans_VGE[[#This Row],[ppn_z]],tbl_Historique_Final[ppn_z],tbl_Historique_Final[date_modif])=Final_Sans_VGE[[#This Row],[date_modif]],
      "Ancien",
      "Modifié"),
   "Nouveau"))</f>
        <v>#VALUE!</v>
      </c>
      <c r="AD5399" s="1" t="str">
        <f>IFERROR(IF(Final_Sans_VGE[[#This Row],[ppn_z]]="","",IFERROR(
   IF(_xlfn.XLOOKUP(Final_Sans_VGE[[#This Row],[ppn_z]],tbl_Historique_Final[[#This Row],[ppn_z]],tbl_Historique_Final[[#This Row],[date_modif]])=Final_Sans_VGE[[#This Row],[date_modif]],
      "Ancien",
      "Modifié"),
   "Nouveau")),"")</f>
        <v/>
      </c>
    </row>
    <row r="5400" spans="24:30" x14ac:dyDescent="0.25">
      <c r="X5400" s="8" t="e">
        <f>IF(Final_Sans_VGE[[#This Row],[ppn_z]]="","",IFERROR(
   IF(_xlfn.XLOOKUP(Final_Sans_VGE[[#This Row],[ppn_z]],tbl_Historique_Final[ppn_z],tbl_Historique_Final[date_modif])=Final_Sans_VGE[[#This Row],[date_modif]],
      "Ancien",
      "Modifié"),
   "Nouveau"))</f>
        <v>#VALUE!</v>
      </c>
      <c r="AD5400" s="1" t="str">
        <f>IFERROR(IF(Final_Sans_VGE[[#This Row],[ppn_z]]="","",IFERROR(
   IF(_xlfn.XLOOKUP(Final_Sans_VGE[[#This Row],[ppn_z]],tbl_Historique_Final[[#This Row],[ppn_z]],tbl_Historique_Final[[#This Row],[date_modif]])=Final_Sans_VGE[[#This Row],[date_modif]],
      "Ancien",
      "Modifié"),
   "Nouveau")),"")</f>
        <v/>
      </c>
    </row>
    <row r="5401" spans="24:30" x14ac:dyDescent="0.25">
      <c r="X5401" s="8" t="e">
        <f>IF(Final_Sans_VGE[[#This Row],[ppn_z]]="","",IFERROR(
   IF(_xlfn.XLOOKUP(Final_Sans_VGE[[#This Row],[ppn_z]],tbl_Historique_Final[ppn_z],tbl_Historique_Final[date_modif])=Final_Sans_VGE[[#This Row],[date_modif]],
      "Ancien",
      "Modifié"),
   "Nouveau"))</f>
        <v>#VALUE!</v>
      </c>
      <c r="AD5401" s="1" t="str">
        <f>IFERROR(IF(Final_Sans_VGE[[#This Row],[ppn_z]]="","",IFERROR(
   IF(_xlfn.XLOOKUP(Final_Sans_VGE[[#This Row],[ppn_z]],tbl_Historique_Final[[#This Row],[ppn_z]],tbl_Historique_Final[[#This Row],[date_modif]])=Final_Sans_VGE[[#This Row],[date_modif]],
      "Ancien",
      "Modifié"),
   "Nouveau")),"")</f>
        <v/>
      </c>
    </row>
    <row r="5402" spans="24:30" x14ac:dyDescent="0.25">
      <c r="X5402" s="8" t="e">
        <f>IF(Final_Sans_VGE[[#This Row],[ppn_z]]="","",IFERROR(
   IF(_xlfn.XLOOKUP(Final_Sans_VGE[[#This Row],[ppn_z]],tbl_Historique_Final[ppn_z],tbl_Historique_Final[date_modif])=Final_Sans_VGE[[#This Row],[date_modif]],
      "Ancien",
      "Modifié"),
   "Nouveau"))</f>
        <v>#VALUE!</v>
      </c>
      <c r="AD5402" s="1" t="str">
        <f>IFERROR(IF(Final_Sans_VGE[[#This Row],[ppn_z]]="","",IFERROR(
   IF(_xlfn.XLOOKUP(Final_Sans_VGE[[#This Row],[ppn_z]],tbl_Historique_Final[[#This Row],[ppn_z]],tbl_Historique_Final[[#This Row],[date_modif]])=Final_Sans_VGE[[#This Row],[date_modif]],
      "Ancien",
      "Modifié"),
   "Nouveau")),"")</f>
        <v/>
      </c>
    </row>
    <row r="5403" spans="24:30" x14ac:dyDescent="0.25">
      <c r="X5403" s="8" t="e">
        <f>IF(Final_Sans_VGE[[#This Row],[ppn_z]]="","",IFERROR(
   IF(_xlfn.XLOOKUP(Final_Sans_VGE[[#This Row],[ppn_z]],tbl_Historique_Final[ppn_z],tbl_Historique_Final[date_modif])=Final_Sans_VGE[[#This Row],[date_modif]],
      "Ancien",
      "Modifié"),
   "Nouveau"))</f>
        <v>#VALUE!</v>
      </c>
      <c r="AD5403" s="1" t="str">
        <f>IFERROR(IF(Final_Sans_VGE[[#This Row],[ppn_z]]="","",IFERROR(
   IF(_xlfn.XLOOKUP(Final_Sans_VGE[[#This Row],[ppn_z]],tbl_Historique_Final[[#This Row],[ppn_z]],tbl_Historique_Final[[#This Row],[date_modif]])=Final_Sans_VGE[[#This Row],[date_modif]],
      "Ancien",
      "Modifié"),
   "Nouveau")),"")</f>
        <v/>
      </c>
    </row>
    <row r="5404" spans="24:30" x14ac:dyDescent="0.25">
      <c r="X5404" s="8" t="e">
        <f>IF(Final_Sans_VGE[[#This Row],[ppn_z]]="","",IFERROR(
   IF(_xlfn.XLOOKUP(Final_Sans_VGE[[#This Row],[ppn_z]],tbl_Historique_Final[ppn_z],tbl_Historique_Final[date_modif])=Final_Sans_VGE[[#This Row],[date_modif]],
      "Ancien",
      "Modifié"),
   "Nouveau"))</f>
        <v>#VALUE!</v>
      </c>
      <c r="AD5404" s="1" t="str">
        <f>IFERROR(IF(Final_Sans_VGE[[#This Row],[ppn_z]]="","",IFERROR(
   IF(_xlfn.XLOOKUP(Final_Sans_VGE[[#This Row],[ppn_z]],tbl_Historique_Final[[#This Row],[ppn_z]],tbl_Historique_Final[[#This Row],[date_modif]])=Final_Sans_VGE[[#This Row],[date_modif]],
      "Ancien",
      "Modifié"),
   "Nouveau")),"")</f>
        <v/>
      </c>
    </row>
    <row r="5405" spans="24:30" x14ac:dyDescent="0.25">
      <c r="X5405" s="8" t="e">
        <f>IF(Final_Sans_VGE[[#This Row],[ppn_z]]="","",IFERROR(
   IF(_xlfn.XLOOKUP(Final_Sans_VGE[[#This Row],[ppn_z]],tbl_Historique_Final[ppn_z],tbl_Historique_Final[date_modif])=Final_Sans_VGE[[#This Row],[date_modif]],
      "Ancien",
      "Modifié"),
   "Nouveau"))</f>
        <v>#VALUE!</v>
      </c>
      <c r="AD5405" s="1" t="str">
        <f>IFERROR(IF(Final_Sans_VGE[[#This Row],[ppn_z]]="","",IFERROR(
   IF(_xlfn.XLOOKUP(Final_Sans_VGE[[#This Row],[ppn_z]],tbl_Historique_Final[[#This Row],[ppn_z]],tbl_Historique_Final[[#This Row],[date_modif]])=Final_Sans_VGE[[#This Row],[date_modif]],
      "Ancien",
      "Modifié"),
   "Nouveau")),"")</f>
        <v/>
      </c>
    </row>
    <row r="5406" spans="24:30" x14ac:dyDescent="0.25">
      <c r="X5406" s="8" t="e">
        <f>IF(Final_Sans_VGE[[#This Row],[ppn_z]]="","",IFERROR(
   IF(_xlfn.XLOOKUP(Final_Sans_VGE[[#This Row],[ppn_z]],tbl_Historique_Final[ppn_z],tbl_Historique_Final[date_modif])=Final_Sans_VGE[[#This Row],[date_modif]],
      "Ancien",
      "Modifié"),
   "Nouveau"))</f>
        <v>#VALUE!</v>
      </c>
      <c r="AD5406" s="1" t="str">
        <f>IFERROR(IF(Final_Sans_VGE[[#This Row],[ppn_z]]="","",IFERROR(
   IF(_xlfn.XLOOKUP(Final_Sans_VGE[[#This Row],[ppn_z]],tbl_Historique_Final[[#This Row],[ppn_z]],tbl_Historique_Final[[#This Row],[date_modif]])=Final_Sans_VGE[[#This Row],[date_modif]],
      "Ancien",
      "Modifié"),
   "Nouveau")),"")</f>
        <v/>
      </c>
    </row>
    <row r="5407" spans="24:30" x14ac:dyDescent="0.25">
      <c r="X5407" s="8" t="e">
        <f>IF(Final_Sans_VGE[[#This Row],[ppn_z]]="","",IFERROR(
   IF(_xlfn.XLOOKUP(Final_Sans_VGE[[#This Row],[ppn_z]],tbl_Historique_Final[ppn_z],tbl_Historique_Final[date_modif])=Final_Sans_VGE[[#This Row],[date_modif]],
      "Ancien",
      "Modifié"),
   "Nouveau"))</f>
        <v>#VALUE!</v>
      </c>
      <c r="AD5407" s="1" t="str">
        <f>IFERROR(IF(Final_Sans_VGE[[#This Row],[ppn_z]]="","",IFERROR(
   IF(_xlfn.XLOOKUP(Final_Sans_VGE[[#This Row],[ppn_z]],tbl_Historique_Final[[#This Row],[ppn_z]],tbl_Historique_Final[[#This Row],[date_modif]])=Final_Sans_VGE[[#This Row],[date_modif]],
      "Ancien",
      "Modifié"),
   "Nouveau")),"")</f>
        <v/>
      </c>
    </row>
    <row r="5408" spans="24:30" x14ac:dyDescent="0.25">
      <c r="X5408" s="8" t="e">
        <f>IF(Final_Sans_VGE[[#This Row],[ppn_z]]="","",IFERROR(
   IF(_xlfn.XLOOKUP(Final_Sans_VGE[[#This Row],[ppn_z]],tbl_Historique_Final[ppn_z],tbl_Historique_Final[date_modif])=Final_Sans_VGE[[#This Row],[date_modif]],
      "Ancien",
      "Modifié"),
   "Nouveau"))</f>
        <v>#VALUE!</v>
      </c>
      <c r="AD5408" s="1" t="str">
        <f>IFERROR(IF(Final_Sans_VGE[[#This Row],[ppn_z]]="","",IFERROR(
   IF(_xlfn.XLOOKUP(Final_Sans_VGE[[#This Row],[ppn_z]],tbl_Historique_Final[[#This Row],[ppn_z]],tbl_Historique_Final[[#This Row],[date_modif]])=Final_Sans_VGE[[#This Row],[date_modif]],
      "Ancien",
      "Modifié"),
   "Nouveau")),"")</f>
        <v/>
      </c>
    </row>
    <row r="5409" spans="24:30" x14ac:dyDescent="0.25">
      <c r="X5409" s="8" t="e">
        <f>IF(Final_Sans_VGE[[#This Row],[ppn_z]]="","",IFERROR(
   IF(_xlfn.XLOOKUP(Final_Sans_VGE[[#This Row],[ppn_z]],tbl_Historique_Final[ppn_z],tbl_Historique_Final[date_modif])=Final_Sans_VGE[[#This Row],[date_modif]],
      "Ancien",
      "Modifié"),
   "Nouveau"))</f>
        <v>#VALUE!</v>
      </c>
      <c r="AD5409" s="1" t="str">
        <f>IFERROR(IF(Final_Sans_VGE[[#This Row],[ppn_z]]="","",IFERROR(
   IF(_xlfn.XLOOKUP(Final_Sans_VGE[[#This Row],[ppn_z]],tbl_Historique_Final[[#This Row],[ppn_z]],tbl_Historique_Final[[#This Row],[date_modif]])=Final_Sans_VGE[[#This Row],[date_modif]],
      "Ancien",
      "Modifié"),
   "Nouveau")),"")</f>
        <v/>
      </c>
    </row>
    <row r="5410" spans="24:30" x14ac:dyDescent="0.25">
      <c r="X5410" s="8" t="e">
        <f>IF(Final_Sans_VGE[[#This Row],[ppn_z]]="","",IFERROR(
   IF(_xlfn.XLOOKUP(Final_Sans_VGE[[#This Row],[ppn_z]],tbl_Historique_Final[ppn_z],tbl_Historique_Final[date_modif])=Final_Sans_VGE[[#This Row],[date_modif]],
      "Ancien",
      "Modifié"),
   "Nouveau"))</f>
        <v>#VALUE!</v>
      </c>
      <c r="AD5410" s="1" t="str">
        <f>IFERROR(IF(Final_Sans_VGE[[#This Row],[ppn_z]]="","",IFERROR(
   IF(_xlfn.XLOOKUP(Final_Sans_VGE[[#This Row],[ppn_z]],tbl_Historique_Final[[#This Row],[ppn_z]],tbl_Historique_Final[[#This Row],[date_modif]])=Final_Sans_VGE[[#This Row],[date_modif]],
      "Ancien",
      "Modifié"),
   "Nouveau")),"")</f>
        <v/>
      </c>
    </row>
    <row r="5411" spans="24:30" x14ac:dyDescent="0.25">
      <c r="X5411" s="8" t="e">
        <f>IF(Final_Sans_VGE[[#This Row],[ppn_z]]="","",IFERROR(
   IF(_xlfn.XLOOKUP(Final_Sans_VGE[[#This Row],[ppn_z]],tbl_Historique_Final[ppn_z],tbl_Historique_Final[date_modif])=Final_Sans_VGE[[#This Row],[date_modif]],
      "Ancien",
      "Modifié"),
   "Nouveau"))</f>
        <v>#VALUE!</v>
      </c>
      <c r="AD5411" s="1" t="str">
        <f>IFERROR(IF(Final_Sans_VGE[[#This Row],[ppn_z]]="","",IFERROR(
   IF(_xlfn.XLOOKUP(Final_Sans_VGE[[#This Row],[ppn_z]],tbl_Historique_Final[[#This Row],[ppn_z]],tbl_Historique_Final[[#This Row],[date_modif]])=Final_Sans_VGE[[#This Row],[date_modif]],
      "Ancien",
      "Modifié"),
   "Nouveau")),"")</f>
        <v/>
      </c>
    </row>
    <row r="5412" spans="24:30" x14ac:dyDescent="0.25">
      <c r="X5412" s="8" t="e">
        <f>IF(Final_Sans_VGE[[#This Row],[ppn_z]]="","",IFERROR(
   IF(_xlfn.XLOOKUP(Final_Sans_VGE[[#This Row],[ppn_z]],tbl_Historique_Final[ppn_z],tbl_Historique_Final[date_modif])=Final_Sans_VGE[[#This Row],[date_modif]],
      "Ancien",
      "Modifié"),
   "Nouveau"))</f>
        <v>#VALUE!</v>
      </c>
      <c r="AD5412" s="1" t="str">
        <f>IFERROR(IF(Final_Sans_VGE[[#This Row],[ppn_z]]="","",IFERROR(
   IF(_xlfn.XLOOKUP(Final_Sans_VGE[[#This Row],[ppn_z]],tbl_Historique_Final[[#This Row],[ppn_z]],tbl_Historique_Final[[#This Row],[date_modif]])=Final_Sans_VGE[[#This Row],[date_modif]],
      "Ancien",
      "Modifié"),
   "Nouveau")),"")</f>
        <v/>
      </c>
    </row>
    <row r="5413" spans="24:30" x14ac:dyDescent="0.25">
      <c r="X5413" s="8" t="e">
        <f>IF(Final_Sans_VGE[[#This Row],[ppn_z]]="","",IFERROR(
   IF(_xlfn.XLOOKUP(Final_Sans_VGE[[#This Row],[ppn_z]],tbl_Historique_Final[ppn_z],tbl_Historique_Final[date_modif])=Final_Sans_VGE[[#This Row],[date_modif]],
      "Ancien",
      "Modifié"),
   "Nouveau"))</f>
        <v>#VALUE!</v>
      </c>
      <c r="AD5413" s="1" t="str">
        <f>IFERROR(IF(Final_Sans_VGE[[#This Row],[ppn_z]]="","",IFERROR(
   IF(_xlfn.XLOOKUP(Final_Sans_VGE[[#This Row],[ppn_z]],tbl_Historique_Final[[#This Row],[ppn_z]],tbl_Historique_Final[[#This Row],[date_modif]])=Final_Sans_VGE[[#This Row],[date_modif]],
      "Ancien",
      "Modifié"),
   "Nouveau")),"")</f>
        <v/>
      </c>
    </row>
    <row r="5414" spans="24:30" x14ac:dyDescent="0.25">
      <c r="X5414" s="8" t="e">
        <f>IF(Final_Sans_VGE[[#This Row],[ppn_z]]="","",IFERROR(
   IF(_xlfn.XLOOKUP(Final_Sans_VGE[[#This Row],[ppn_z]],tbl_Historique_Final[ppn_z],tbl_Historique_Final[date_modif])=Final_Sans_VGE[[#This Row],[date_modif]],
      "Ancien",
      "Modifié"),
   "Nouveau"))</f>
        <v>#VALUE!</v>
      </c>
      <c r="AD5414" s="1" t="str">
        <f>IFERROR(IF(Final_Sans_VGE[[#This Row],[ppn_z]]="","",IFERROR(
   IF(_xlfn.XLOOKUP(Final_Sans_VGE[[#This Row],[ppn_z]],tbl_Historique_Final[[#This Row],[ppn_z]],tbl_Historique_Final[[#This Row],[date_modif]])=Final_Sans_VGE[[#This Row],[date_modif]],
      "Ancien",
      "Modifié"),
   "Nouveau")),"")</f>
        <v/>
      </c>
    </row>
    <row r="5415" spans="24:30" x14ac:dyDescent="0.25">
      <c r="X5415" s="8" t="e">
        <f>IF(Final_Sans_VGE[[#This Row],[ppn_z]]="","",IFERROR(
   IF(_xlfn.XLOOKUP(Final_Sans_VGE[[#This Row],[ppn_z]],tbl_Historique_Final[ppn_z],tbl_Historique_Final[date_modif])=Final_Sans_VGE[[#This Row],[date_modif]],
      "Ancien",
      "Modifié"),
   "Nouveau"))</f>
        <v>#VALUE!</v>
      </c>
      <c r="AD5415" s="1" t="str">
        <f>IFERROR(IF(Final_Sans_VGE[[#This Row],[ppn_z]]="","",IFERROR(
   IF(_xlfn.XLOOKUP(Final_Sans_VGE[[#This Row],[ppn_z]],tbl_Historique_Final[[#This Row],[ppn_z]],tbl_Historique_Final[[#This Row],[date_modif]])=Final_Sans_VGE[[#This Row],[date_modif]],
      "Ancien",
      "Modifié"),
   "Nouveau")),"")</f>
        <v/>
      </c>
    </row>
    <row r="5416" spans="24:30" x14ac:dyDescent="0.25">
      <c r="X5416" s="8" t="e">
        <f>IF(Final_Sans_VGE[[#This Row],[ppn_z]]="","",IFERROR(
   IF(_xlfn.XLOOKUP(Final_Sans_VGE[[#This Row],[ppn_z]],tbl_Historique_Final[ppn_z],tbl_Historique_Final[date_modif])=Final_Sans_VGE[[#This Row],[date_modif]],
      "Ancien",
      "Modifié"),
   "Nouveau"))</f>
        <v>#VALUE!</v>
      </c>
      <c r="AD5416" s="1" t="str">
        <f>IFERROR(IF(Final_Sans_VGE[[#This Row],[ppn_z]]="","",IFERROR(
   IF(_xlfn.XLOOKUP(Final_Sans_VGE[[#This Row],[ppn_z]],tbl_Historique_Final[[#This Row],[ppn_z]],tbl_Historique_Final[[#This Row],[date_modif]])=Final_Sans_VGE[[#This Row],[date_modif]],
      "Ancien",
      "Modifié"),
   "Nouveau")),"")</f>
        <v/>
      </c>
    </row>
    <row r="5417" spans="24:30" x14ac:dyDescent="0.25">
      <c r="X5417" s="8" t="e">
        <f>IF(Final_Sans_VGE[[#This Row],[ppn_z]]="","",IFERROR(
   IF(_xlfn.XLOOKUP(Final_Sans_VGE[[#This Row],[ppn_z]],tbl_Historique_Final[ppn_z],tbl_Historique_Final[date_modif])=Final_Sans_VGE[[#This Row],[date_modif]],
      "Ancien",
      "Modifié"),
   "Nouveau"))</f>
        <v>#VALUE!</v>
      </c>
      <c r="AD5417" s="1" t="str">
        <f>IFERROR(IF(Final_Sans_VGE[[#This Row],[ppn_z]]="","",IFERROR(
   IF(_xlfn.XLOOKUP(Final_Sans_VGE[[#This Row],[ppn_z]],tbl_Historique_Final[[#This Row],[ppn_z]],tbl_Historique_Final[[#This Row],[date_modif]])=Final_Sans_VGE[[#This Row],[date_modif]],
      "Ancien",
      "Modifié"),
   "Nouveau")),"")</f>
        <v/>
      </c>
    </row>
    <row r="5418" spans="24:30" x14ac:dyDescent="0.25">
      <c r="X5418" s="8" t="e">
        <f>IF(Final_Sans_VGE[[#This Row],[ppn_z]]="","",IFERROR(
   IF(_xlfn.XLOOKUP(Final_Sans_VGE[[#This Row],[ppn_z]],tbl_Historique_Final[ppn_z],tbl_Historique_Final[date_modif])=Final_Sans_VGE[[#This Row],[date_modif]],
      "Ancien",
      "Modifié"),
   "Nouveau"))</f>
        <v>#VALUE!</v>
      </c>
      <c r="AD5418" s="1" t="str">
        <f>IFERROR(IF(Final_Sans_VGE[[#This Row],[ppn_z]]="","",IFERROR(
   IF(_xlfn.XLOOKUP(Final_Sans_VGE[[#This Row],[ppn_z]],tbl_Historique_Final[[#This Row],[ppn_z]],tbl_Historique_Final[[#This Row],[date_modif]])=Final_Sans_VGE[[#This Row],[date_modif]],
      "Ancien",
      "Modifié"),
   "Nouveau")),"")</f>
        <v/>
      </c>
    </row>
    <row r="5419" spans="24:30" x14ac:dyDescent="0.25">
      <c r="X5419" s="8" t="e">
        <f>IF(Final_Sans_VGE[[#This Row],[ppn_z]]="","",IFERROR(
   IF(_xlfn.XLOOKUP(Final_Sans_VGE[[#This Row],[ppn_z]],tbl_Historique_Final[ppn_z],tbl_Historique_Final[date_modif])=Final_Sans_VGE[[#This Row],[date_modif]],
      "Ancien",
      "Modifié"),
   "Nouveau"))</f>
        <v>#VALUE!</v>
      </c>
      <c r="AD5419" s="1" t="str">
        <f>IFERROR(IF(Final_Sans_VGE[[#This Row],[ppn_z]]="","",IFERROR(
   IF(_xlfn.XLOOKUP(Final_Sans_VGE[[#This Row],[ppn_z]],tbl_Historique_Final[[#This Row],[ppn_z]],tbl_Historique_Final[[#This Row],[date_modif]])=Final_Sans_VGE[[#This Row],[date_modif]],
      "Ancien",
      "Modifié"),
   "Nouveau")),"")</f>
        <v/>
      </c>
    </row>
    <row r="5420" spans="24:30" x14ac:dyDescent="0.25">
      <c r="X5420" s="8" t="e">
        <f>IF(Final_Sans_VGE[[#This Row],[ppn_z]]="","",IFERROR(
   IF(_xlfn.XLOOKUP(Final_Sans_VGE[[#This Row],[ppn_z]],tbl_Historique_Final[ppn_z],tbl_Historique_Final[date_modif])=Final_Sans_VGE[[#This Row],[date_modif]],
      "Ancien",
      "Modifié"),
   "Nouveau"))</f>
        <v>#VALUE!</v>
      </c>
      <c r="AD5420" s="1" t="str">
        <f>IFERROR(IF(Final_Sans_VGE[[#This Row],[ppn_z]]="","",IFERROR(
   IF(_xlfn.XLOOKUP(Final_Sans_VGE[[#This Row],[ppn_z]],tbl_Historique_Final[[#This Row],[ppn_z]],tbl_Historique_Final[[#This Row],[date_modif]])=Final_Sans_VGE[[#This Row],[date_modif]],
      "Ancien",
      "Modifié"),
   "Nouveau")),"")</f>
        <v/>
      </c>
    </row>
    <row r="5421" spans="24:30" x14ac:dyDescent="0.25">
      <c r="X5421" s="8" t="e">
        <f>IF(Final_Sans_VGE[[#This Row],[ppn_z]]="","",IFERROR(
   IF(_xlfn.XLOOKUP(Final_Sans_VGE[[#This Row],[ppn_z]],tbl_Historique_Final[ppn_z],tbl_Historique_Final[date_modif])=Final_Sans_VGE[[#This Row],[date_modif]],
      "Ancien",
      "Modifié"),
   "Nouveau"))</f>
        <v>#VALUE!</v>
      </c>
      <c r="AD5421" s="1" t="str">
        <f>IFERROR(IF(Final_Sans_VGE[[#This Row],[ppn_z]]="","",IFERROR(
   IF(_xlfn.XLOOKUP(Final_Sans_VGE[[#This Row],[ppn_z]],tbl_Historique_Final[[#This Row],[ppn_z]],tbl_Historique_Final[[#This Row],[date_modif]])=Final_Sans_VGE[[#This Row],[date_modif]],
      "Ancien",
      "Modifié"),
   "Nouveau")),"")</f>
        <v/>
      </c>
    </row>
    <row r="5422" spans="24:30" x14ac:dyDescent="0.25">
      <c r="X5422" s="8" t="e">
        <f>IF(Final_Sans_VGE[[#This Row],[ppn_z]]="","",IFERROR(
   IF(_xlfn.XLOOKUP(Final_Sans_VGE[[#This Row],[ppn_z]],tbl_Historique_Final[ppn_z],tbl_Historique_Final[date_modif])=Final_Sans_VGE[[#This Row],[date_modif]],
      "Ancien",
      "Modifié"),
   "Nouveau"))</f>
        <v>#VALUE!</v>
      </c>
      <c r="AD5422" s="1" t="str">
        <f>IFERROR(IF(Final_Sans_VGE[[#This Row],[ppn_z]]="","",IFERROR(
   IF(_xlfn.XLOOKUP(Final_Sans_VGE[[#This Row],[ppn_z]],tbl_Historique_Final[[#This Row],[ppn_z]],tbl_Historique_Final[[#This Row],[date_modif]])=Final_Sans_VGE[[#This Row],[date_modif]],
      "Ancien",
      "Modifié"),
   "Nouveau")),"")</f>
        <v/>
      </c>
    </row>
    <row r="5423" spans="24:30" x14ac:dyDescent="0.25">
      <c r="X5423" s="8" t="e">
        <f>IF(Final_Sans_VGE[[#This Row],[ppn_z]]="","",IFERROR(
   IF(_xlfn.XLOOKUP(Final_Sans_VGE[[#This Row],[ppn_z]],tbl_Historique_Final[ppn_z],tbl_Historique_Final[date_modif])=Final_Sans_VGE[[#This Row],[date_modif]],
      "Ancien",
      "Modifié"),
   "Nouveau"))</f>
        <v>#VALUE!</v>
      </c>
      <c r="AD5423" s="1" t="str">
        <f>IFERROR(IF(Final_Sans_VGE[[#This Row],[ppn_z]]="","",IFERROR(
   IF(_xlfn.XLOOKUP(Final_Sans_VGE[[#This Row],[ppn_z]],tbl_Historique_Final[[#This Row],[ppn_z]],tbl_Historique_Final[[#This Row],[date_modif]])=Final_Sans_VGE[[#This Row],[date_modif]],
      "Ancien",
      "Modifié"),
   "Nouveau")),"")</f>
        <v/>
      </c>
    </row>
    <row r="5424" spans="24:30" x14ac:dyDescent="0.25">
      <c r="X5424" s="8" t="e">
        <f>IF(Final_Sans_VGE[[#This Row],[ppn_z]]="","",IFERROR(
   IF(_xlfn.XLOOKUP(Final_Sans_VGE[[#This Row],[ppn_z]],tbl_Historique_Final[ppn_z],tbl_Historique_Final[date_modif])=Final_Sans_VGE[[#This Row],[date_modif]],
      "Ancien",
      "Modifié"),
   "Nouveau"))</f>
        <v>#VALUE!</v>
      </c>
      <c r="AD5424" s="1" t="str">
        <f>IFERROR(IF(Final_Sans_VGE[[#This Row],[ppn_z]]="","",IFERROR(
   IF(_xlfn.XLOOKUP(Final_Sans_VGE[[#This Row],[ppn_z]],tbl_Historique_Final[[#This Row],[ppn_z]],tbl_Historique_Final[[#This Row],[date_modif]])=Final_Sans_VGE[[#This Row],[date_modif]],
      "Ancien",
      "Modifié"),
   "Nouveau")),"")</f>
        <v/>
      </c>
    </row>
    <row r="5425" spans="24:30" x14ac:dyDescent="0.25">
      <c r="X5425" s="8" t="e">
        <f>IF(Final_Sans_VGE[[#This Row],[ppn_z]]="","",IFERROR(
   IF(_xlfn.XLOOKUP(Final_Sans_VGE[[#This Row],[ppn_z]],tbl_Historique_Final[ppn_z],tbl_Historique_Final[date_modif])=Final_Sans_VGE[[#This Row],[date_modif]],
      "Ancien",
      "Modifié"),
   "Nouveau"))</f>
        <v>#VALUE!</v>
      </c>
      <c r="AD5425" s="1" t="str">
        <f>IFERROR(IF(Final_Sans_VGE[[#This Row],[ppn_z]]="","",IFERROR(
   IF(_xlfn.XLOOKUP(Final_Sans_VGE[[#This Row],[ppn_z]],tbl_Historique_Final[[#This Row],[ppn_z]],tbl_Historique_Final[[#This Row],[date_modif]])=Final_Sans_VGE[[#This Row],[date_modif]],
      "Ancien",
      "Modifié"),
   "Nouveau")),"")</f>
        <v/>
      </c>
    </row>
    <row r="5426" spans="24:30" x14ac:dyDescent="0.25">
      <c r="X5426" s="8" t="e">
        <f>IF(Final_Sans_VGE[[#This Row],[ppn_z]]="","",IFERROR(
   IF(_xlfn.XLOOKUP(Final_Sans_VGE[[#This Row],[ppn_z]],tbl_Historique_Final[ppn_z],tbl_Historique_Final[date_modif])=Final_Sans_VGE[[#This Row],[date_modif]],
      "Ancien",
      "Modifié"),
   "Nouveau"))</f>
        <v>#VALUE!</v>
      </c>
      <c r="AD5426" s="1" t="str">
        <f>IFERROR(IF(Final_Sans_VGE[[#This Row],[ppn_z]]="","",IFERROR(
   IF(_xlfn.XLOOKUP(Final_Sans_VGE[[#This Row],[ppn_z]],tbl_Historique_Final[[#This Row],[ppn_z]],tbl_Historique_Final[[#This Row],[date_modif]])=Final_Sans_VGE[[#This Row],[date_modif]],
      "Ancien",
      "Modifié"),
   "Nouveau")),"")</f>
        <v/>
      </c>
    </row>
    <row r="5427" spans="24:30" x14ac:dyDescent="0.25">
      <c r="X5427" s="8" t="e">
        <f>IF(Final_Sans_VGE[[#This Row],[ppn_z]]="","",IFERROR(
   IF(_xlfn.XLOOKUP(Final_Sans_VGE[[#This Row],[ppn_z]],tbl_Historique_Final[ppn_z],tbl_Historique_Final[date_modif])=Final_Sans_VGE[[#This Row],[date_modif]],
      "Ancien",
      "Modifié"),
   "Nouveau"))</f>
        <v>#VALUE!</v>
      </c>
      <c r="AD5427" s="1" t="str">
        <f>IFERROR(IF(Final_Sans_VGE[[#This Row],[ppn_z]]="","",IFERROR(
   IF(_xlfn.XLOOKUP(Final_Sans_VGE[[#This Row],[ppn_z]],tbl_Historique_Final[[#This Row],[ppn_z]],tbl_Historique_Final[[#This Row],[date_modif]])=Final_Sans_VGE[[#This Row],[date_modif]],
      "Ancien",
      "Modifié"),
   "Nouveau")),"")</f>
        <v/>
      </c>
    </row>
    <row r="5428" spans="24:30" x14ac:dyDescent="0.25">
      <c r="X5428" s="8" t="e">
        <f>IF(Final_Sans_VGE[[#This Row],[ppn_z]]="","",IFERROR(
   IF(_xlfn.XLOOKUP(Final_Sans_VGE[[#This Row],[ppn_z]],tbl_Historique_Final[ppn_z],tbl_Historique_Final[date_modif])=Final_Sans_VGE[[#This Row],[date_modif]],
      "Ancien",
      "Modifié"),
   "Nouveau"))</f>
        <v>#VALUE!</v>
      </c>
      <c r="AD5428" s="1" t="str">
        <f>IFERROR(IF(Final_Sans_VGE[[#This Row],[ppn_z]]="","",IFERROR(
   IF(_xlfn.XLOOKUP(Final_Sans_VGE[[#This Row],[ppn_z]],tbl_Historique_Final[[#This Row],[ppn_z]],tbl_Historique_Final[[#This Row],[date_modif]])=Final_Sans_VGE[[#This Row],[date_modif]],
      "Ancien",
      "Modifié"),
   "Nouveau")),"")</f>
        <v/>
      </c>
    </row>
    <row r="5429" spans="24:30" x14ac:dyDescent="0.25">
      <c r="X5429" s="8" t="e">
        <f>IF(Final_Sans_VGE[[#This Row],[ppn_z]]="","",IFERROR(
   IF(_xlfn.XLOOKUP(Final_Sans_VGE[[#This Row],[ppn_z]],tbl_Historique_Final[ppn_z],tbl_Historique_Final[date_modif])=Final_Sans_VGE[[#This Row],[date_modif]],
      "Ancien",
      "Modifié"),
   "Nouveau"))</f>
        <v>#VALUE!</v>
      </c>
      <c r="AD5429" s="1" t="str">
        <f>IFERROR(IF(Final_Sans_VGE[[#This Row],[ppn_z]]="","",IFERROR(
   IF(_xlfn.XLOOKUP(Final_Sans_VGE[[#This Row],[ppn_z]],tbl_Historique_Final[[#This Row],[ppn_z]],tbl_Historique_Final[[#This Row],[date_modif]])=Final_Sans_VGE[[#This Row],[date_modif]],
      "Ancien",
      "Modifié"),
   "Nouveau")),"")</f>
        <v/>
      </c>
    </row>
    <row r="5430" spans="24:30" x14ac:dyDescent="0.25">
      <c r="X5430" s="8" t="e">
        <f>IF(Final_Sans_VGE[[#This Row],[ppn_z]]="","",IFERROR(
   IF(_xlfn.XLOOKUP(Final_Sans_VGE[[#This Row],[ppn_z]],tbl_Historique_Final[ppn_z],tbl_Historique_Final[date_modif])=Final_Sans_VGE[[#This Row],[date_modif]],
      "Ancien",
      "Modifié"),
   "Nouveau"))</f>
        <v>#VALUE!</v>
      </c>
      <c r="AD5430" s="1" t="str">
        <f>IFERROR(IF(Final_Sans_VGE[[#This Row],[ppn_z]]="","",IFERROR(
   IF(_xlfn.XLOOKUP(Final_Sans_VGE[[#This Row],[ppn_z]],tbl_Historique_Final[[#This Row],[ppn_z]],tbl_Historique_Final[[#This Row],[date_modif]])=Final_Sans_VGE[[#This Row],[date_modif]],
      "Ancien",
      "Modifié"),
   "Nouveau")),"")</f>
        <v/>
      </c>
    </row>
    <row r="5431" spans="24:30" x14ac:dyDescent="0.25">
      <c r="X5431" s="8" t="e">
        <f>IF(Final_Sans_VGE[[#This Row],[ppn_z]]="","",IFERROR(
   IF(_xlfn.XLOOKUP(Final_Sans_VGE[[#This Row],[ppn_z]],tbl_Historique_Final[ppn_z],tbl_Historique_Final[date_modif])=Final_Sans_VGE[[#This Row],[date_modif]],
      "Ancien",
      "Modifié"),
   "Nouveau"))</f>
        <v>#VALUE!</v>
      </c>
      <c r="AD5431" s="1" t="str">
        <f>IFERROR(IF(Final_Sans_VGE[[#This Row],[ppn_z]]="","",IFERROR(
   IF(_xlfn.XLOOKUP(Final_Sans_VGE[[#This Row],[ppn_z]],tbl_Historique_Final[[#This Row],[ppn_z]],tbl_Historique_Final[[#This Row],[date_modif]])=Final_Sans_VGE[[#This Row],[date_modif]],
      "Ancien",
      "Modifié"),
   "Nouveau")),"")</f>
        <v/>
      </c>
    </row>
    <row r="5432" spans="24:30" x14ac:dyDescent="0.25">
      <c r="X5432" s="8" t="e">
        <f>IF(Final_Sans_VGE[[#This Row],[ppn_z]]="","",IFERROR(
   IF(_xlfn.XLOOKUP(Final_Sans_VGE[[#This Row],[ppn_z]],tbl_Historique_Final[ppn_z],tbl_Historique_Final[date_modif])=Final_Sans_VGE[[#This Row],[date_modif]],
      "Ancien",
      "Modifié"),
   "Nouveau"))</f>
        <v>#VALUE!</v>
      </c>
      <c r="AD5432" s="1" t="str">
        <f>IFERROR(IF(Final_Sans_VGE[[#This Row],[ppn_z]]="","",IFERROR(
   IF(_xlfn.XLOOKUP(Final_Sans_VGE[[#This Row],[ppn_z]],tbl_Historique_Final[[#This Row],[ppn_z]],tbl_Historique_Final[[#This Row],[date_modif]])=Final_Sans_VGE[[#This Row],[date_modif]],
      "Ancien",
      "Modifié"),
   "Nouveau")),"")</f>
        <v/>
      </c>
    </row>
    <row r="5433" spans="24:30" x14ac:dyDescent="0.25">
      <c r="X5433" s="8" t="e">
        <f>IF(Final_Sans_VGE[[#This Row],[ppn_z]]="","",IFERROR(
   IF(_xlfn.XLOOKUP(Final_Sans_VGE[[#This Row],[ppn_z]],tbl_Historique_Final[ppn_z],tbl_Historique_Final[date_modif])=Final_Sans_VGE[[#This Row],[date_modif]],
      "Ancien",
      "Modifié"),
   "Nouveau"))</f>
        <v>#VALUE!</v>
      </c>
      <c r="AD5433" s="1" t="str">
        <f>IFERROR(IF(Final_Sans_VGE[[#This Row],[ppn_z]]="","",IFERROR(
   IF(_xlfn.XLOOKUP(Final_Sans_VGE[[#This Row],[ppn_z]],tbl_Historique_Final[[#This Row],[ppn_z]],tbl_Historique_Final[[#This Row],[date_modif]])=Final_Sans_VGE[[#This Row],[date_modif]],
      "Ancien",
      "Modifié"),
   "Nouveau")),"")</f>
        <v/>
      </c>
    </row>
    <row r="5434" spans="24:30" x14ac:dyDescent="0.25">
      <c r="X5434" s="8" t="e">
        <f>IF(Final_Sans_VGE[[#This Row],[ppn_z]]="","",IFERROR(
   IF(_xlfn.XLOOKUP(Final_Sans_VGE[[#This Row],[ppn_z]],tbl_Historique_Final[ppn_z],tbl_Historique_Final[date_modif])=Final_Sans_VGE[[#This Row],[date_modif]],
      "Ancien",
      "Modifié"),
   "Nouveau"))</f>
        <v>#VALUE!</v>
      </c>
      <c r="AD5434" s="1" t="str">
        <f>IFERROR(IF(Final_Sans_VGE[[#This Row],[ppn_z]]="","",IFERROR(
   IF(_xlfn.XLOOKUP(Final_Sans_VGE[[#This Row],[ppn_z]],tbl_Historique_Final[[#This Row],[ppn_z]],tbl_Historique_Final[[#This Row],[date_modif]])=Final_Sans_VGE[[#This Row],[date_modif]],
      "Ancien",
      "Modifié"),
   "Nouveau")),"")</f>
        <v/>
      </c>
    </row>
    <row r="5435" spans="24:30" x14ac:dyDescent="0.25">
      <c r="X5435" s="8" t="e">
        <f>IF(Final_Sans_VGE[[#This Row],[ppn_z]]="","",IFERROR(
   IF(_xlfn.XLOOKUP(Final_Sans_VGE[[#This Row],[ppn_z]],tbl_Historique_Final[ppn_z],tbl_Historique_Final[date_modif])=Final_Sans_VGE[[#This Row],[date_modif]],
      "Ancien",
      "Modifié"),
   "Nouveau"))</f>
        <v>#VALUE!</v>
      </c>
      <c r="AD5435" s="1" t="str">
        <f>IFERROR(IF(Final_Sans_VGE[[#This Row],[ppn_z]]="","",IFERROR(
   IF(_xlfn.XLOOKUP(Final_Sans_VGE[[#This Row],[ppn_z]],tbl_Historique_Final[[#This Row],[ppn_z]],tbl_Historique_Final[[#This Row],[date_modif]])=Final_Sans_VGE[[#This Row],[date_modif]],
      "Ancien",
      "Modifié"),
   "Nouveau")),"")</f>
        <v/>
      </c>
    </row>
    <row r="5436" spans="24:30" x14ac:dyDescent="0.25">
      <c r="X5436" s="8" t="e">
        <f>IF(Final_Sans_VGE[[#This Row],[ppn_z]]="","",IFERROR(
   IF(_xlfn.XLOOKUP(Final_Sans_VGE[[#This Row],[ppn_z]],tbl_Historique_Final[ppn_z],tbl_Historique_Final[date_modif])=Final_Sans_VGE[[#This Row],[date_modif]],
      "Ancien",
      "Modifié"),
   "Nouveau"))</f>
        <v>#VALUE!</v>
      </c>
      <c r="AD5436" s="1" t="str">
        <f>IFERROR(IF(Final_Sans_VGE[[#This Row],[ppn_z]]="","",IFERROR(
   IF(_xlfn.XLOOKUP(Final_Sans_VGE[[#This Row],[ppn_z]],tbl_Historique_Final[[#This Row],[ppn_z]],tbl_Historique_Final[[#This Row],[date_modif]])=Final_Sans_VGE[[#This Row],[date_modif]],
      "Ancien",
      "Modifié"),
   "Nouveau")),"")</f>
        <v/>
      </c>
    </row>
    <row r="5437" spans="24:30" x14ac:dyDescent="0.25">
      <c r="X5437" s="8" t="e">
        <f>IF(Final_Sans_VGE[[#This Row],[ppn_z]]="","",IFERROR(
   IF(_xlfn.XLOOKUP(Final_Sans_VGE[[#This Row],[ppn_z]],tbl_Historique_Final[ppn_z],tbl_Historique_Final[date_modif])=Final_Sans_VGE[[#This Row],[date_modif]],
      "Ancien",
      "Modifié"),
   "Nouveau"))</f>
        <v>#VALUE!</v>
      </c>
      <c r="AD5437" s="1" t="str">
        <f>IFERROR(IF(Final_Sans_VGE[[#This Row],[ppn_z]]="","",IFERROR(
   IF(_xlfn.XLOOKUP(Final_Sans_VGE[[#This Row],[ppn_z]],tbl_Historique_Final[[#This Row],[ppn_z]],tbl_Historique_Final[[#This Row],[date_modif]])=Final_Sans_VGE[[#This Row],[date_modif]],
      "Ancien",
      "Modifié"),
   "Nouveau")),"")</f>
        <v/>
      </c>
    </row>
    <row r="5438" spans="24:30" x14ac:dyDescent="0.25">
      <c r="X5438" s="8" t="e">
        <f>IF(Final_Sans_VGE[[#This Row],[ppn_z]]="","",IFERROR(
   IF(_xlfn.XLOOKUP(Final_Sans_VGE[[#This Row],[ppn_z]],tbl_Historique_Final[ppn_z],tbl_Historique_Final[date_modif])=Final_Sans_VGE[[#This Row],[date_modif]],
      "Ancien",
      "Modifié"),
   "Nouveau"))</f>
        <v>#VALUE!</v>
      </c>
      <c r="AD5438" s="1" t="str">
        <f>IFERROR(IF(Final_Sans_VGE[[#This Row],[ppn_z]]="","",IFERROR(
   IF(_xlfn.XLOOKUP(Final_Sans_VGE[[#This Row],[ppn_z]],tbl_Historique_Final[[#This Row],[ppn_z]],tbl_Historique_Final[[#This Row],[date_modif]])=Final_Sans_VGE[[#This Row],[date_modif]],
      "Ancien",
      "Modifié"),
   "Nouveau")),"")</f>
        <v/>
      </c>
    </row>
    <row r="5439" spans="24:30" x14ac:dyDescent="0.25">
      <c r="X5439" s="8" t="e">
        <f>IF(Final_Sans_VGE[[#This Row],[ppn_z]]="","",IFERROR(
   IF(_xlfn.XLOOKUP(Final_Sans_VGE[[#This Row],[ppn_z]],tbl_Historique_Final[ppn_z],tbl_Historique_Final[date_modif])=Final_Sans_VGE[[#This Row],[date_modif]],
      "Ancien",
      "Modifié"),
   "Nouveau"))</f>
        <v>#VALUE!</v>
      </c>
      <c r="AD5439" s="1" t="str">
        <f>IFERROR(IF(Final_Sans_VGE[[#This Row],[ppn_z]]="","",IFERROR(
   IF(_xlfn.XLOOKUP(Final_Sans_VGE[[#This Row],[ppn_z]],tbl_Historique_Final[[#This Row],[ppn_z]],tbl_Historique_Final[[#This Row],[date_modif]])=Final_Sans_VGE[[#This Row],[date_modif]],
      "Ancien",
      "Modifié"),
   "Nouveau")),"")</f>
        <v/>
      </c>
    </row>
    <row r="5440" spans="24:30" x14ac:dyDescent="0.25">
      <c r="X5440" s="8" t="e">
        <f>IF(Final_Sans_VGE[[#This Row],[ppn_z]]="","",IFERROR(
   IF(_xlfn.XLOOKUP(Final_Sans_VGE[[#This Row],[ppn_z]],tbl_Historique_Final[ppn_z],tbl_Historique_Final[date_modif])=Final_Sans_VGE[[#This Row],[date_modif]],
      "Ancien",
      "Modifié"),
   "Nouveau"))</f>
        <v>#VALUE!</v>
      </c>
      <c r="AD5440" s="1" t="str">
        <f>IFERROR(IF(Final_Sans_VGE[[#This Row],[ppn_z]]="","",IFERROR(
   IF(_xlfn.XLOOKUP(Final_Sans_VGE[[#This Row],[ppn_z]],tbl_Historique_Final[[#This Row],[ppn_z]],tbl_Historique_Final[[#This Row],[date_modif]])=Final_Sans_VGE[[#This Row],[date_modif]],
      "Ancien",
      "Modifié"),
   "Nouveau")),"")</f>
        <v/>
      </c>
    </row>
    <row r="5441" spans="24:30" x14ac:dyDescent="0.25">
      <c r="X5441" s="8" t="e">
        <f>IF(Final_Sans_VGE[[#This Row],[ppn_z]]="","",IFERROR(
   IF(_xlfn.XLOOKUP(Final_Sans_VGE[[#This Row],[ppn_z]],tbl_Historique_Final[ppn_z],tbl_Historique_Final[date_modif])=Final_Sans_VGE[[#This Row],[date_modif]],
      "Ancien",
      "Modifié"),
   "Nouveau"))</f>
        <v>#VALUE!</v>
      </c>
      <c r="AD5441" s="1" t="str">
        <f>IFERROR(IF(Final_Sans_VGE[[#This Row],[ppn_z]]="","",IFERROR(
   IF(_xlfn.XLOOKUP(Final_Sans_VGE[[#This Row],[ppn_z]],tbl_Historique_Final[[#This Row],[ppn_z]],tbl_Historique_Final[[#This Row],[date_modif]])=Final_Sans_VGE[[#This Row],[date_modif]],
      "Ancien",
      "Modifié"),
   "Nouveau")),"")</f>
        <v/>
      </c>
    </row>
    <row r="5442" spans="24:30" x14ac:dyDescent="0.25">
      <c r="X5442" s="8" t="e">
        <f>IF(Final_Sans_VGE[[#This Row],[ppn_z]]="","",IFERROR(
   IF(_xlfn.XLOOKUP(Final_Sans_VGE[[#This Row],[ppn_z]],tbl_Historique_Final[ppn_z],tbl_Historique_Final[date_modif])=Final_Sans_VGE[[#This Row],[date_modif]],
      "Ancien",
      "Modifié"),
   "Nouveau"))</f>
        <v>#VALUE!</v>
      </c>
      <c r="AD5442" s="1" t="str">
        <f>IFERROR(IF(Final_Sans_VGE[[#This Row],[ppn_z]]="","",IFERROR(
   IF(_xlfn.XLOOKUP(Final_Sans_VGE[[#This Row],[ppn_z]],tbl_Historique_Final[[#This Row],[ppn_z]],tbl_Historique_Final[[#This Row],[date_modif]])=Final_Sans_VGE[[#This Row],[date_modif]],
      "Ancien",
      "Modifié"),
   "Nouveau")),"")</f>
        <v/>
      </c>
    </row>
    <row r="5443" spans="24:30" x14ac:dyDescent="0.25">
      <c r="X5443" s="8" t="e">
        <f>IF(Final_Sans_VGE[[#This Row],[ppn_z]]="","",IFERROR(
   IF(_xlfn.XLOOKUP(Final_Sans_VGE[[#This Row],[ppn_z]],tbl_Historique_Final[ppn_z],tbl_Historique_Final[date_modif])=Final_Sans_VGE[[#This Row],[date_modif]],
      "Ancien",
      "Modifié"),
   "Nouveau"))</f>
        <v>#VALUE!</v>
      </c>
      <c r="AD5443" s="1" t="str">
        <f>IFERROR(IF(Final_Sans_VGE[[#This Row],[ppn_z]]="","",IFERROR(
   IF(_xlfn.XLOOKUP(Final_Sans_VGE[[#This Row],[ppn_z]],tbl_Historique_Final[[#This Row],[ppn_z]],tbl_Historique_Final[[#This Row],[date_modif]])=Final_Sans_VGE[[#This Row],[date_modif]],
      "Ancien",
      "Modifié"),
   "Nouveau")),"")</f>
        <v/>
      </c>
    </row>
    <row r="5444" spans="24:30" x14ac:dyDescent="0.25">
      <c r="X5444" s="8" t="e">
        <f>IF(Final_Sans_VGE[[#This Row],[ppn_z]]="","",IFERROR(
   IF(_xlfn.XLOOKUP(Final_Sans_VGE[[#This Row],[ppn_z]],tbl_Historique_Final[ppn_z],tbl_Historique_Final[date_modif])=Final_Sans_VGE[[#This Row],[date_modif]],
      "Ancien",
      "Modifié"),
   "Nouveau"))</f>
        <v>#VALUE!</v>
      </c>
      <c r="AD5444" s="1" t="str">
        <f>IFERROR(IF(Final_Sans_VGE[[#This Row],[ppn_z]]="","",IFERROR(
   IF(_xlfn.XLOOKUP(Final_Sans_VGE[[#This Row],[ppn_z]],tbl_Historique_Final[[#This Row],[ppn_z]],tbl_Historique_Final[[#This Row],[date_modif]])=Final_Sans_VGE[[#This Row],[date_modif]],
      "Ancien",
      "Modifié"),
   "Nouveau")),"")</f>
        <v/>
      </c>
    </row>
    <row r="5445" spans="24:30" x14ac:dyDescent="0.25">
      <c r="X5445" s="8" t="e">
        <f>IF(Final_Sans_VGE[[#This Row],[ppn_z]]="","",IFERROR(
   IF(_xlfn.XLOOKUP(Final_Sans_VGE[[#This Row],[ppn_z]],tbl_Historique_Final[ppn_z],tbl_Historique_Final[date_modif])=Final_Sans_VGE[[#This Row],[date_modif]],
      "Ancien",
      "Modifié"),
   "Nouveau"))</f>
        <v>#VALUE!</v>
      </c>
      <c r="AD5445" s="1" t="str">
        <f>IFERROR(IF(Final_Sans_VGE[[#This Row],[ppn_z]]="","",IFERROR(
   IF(_xlfn.XLOOKUP(Final_Sans_VGE[[#This Row],[ppn_z]],tbl_Historique_Final[[#This Row],[ppn_z]],tbl_Historique_Final[[#This Row],[date_modif]])=Final_Sans_VGE[[#This Row],[date_modif]],
      "Ancien",
      "Modifié"),
   "Nouveau")),"")</f>
        <v/>
      </c>
    </row>
    <row r="5446" spans="24:30" x14ac:dyDescent="0.25">
      <c r="X5446" s="8" t="e">
        <f>IF(Final_Sans_VGE[[#This Row],[ppn_z]]="","",IFERROR(
   IF(_xlfn.XLOOKUP(Final_Sans_VGE[[#This Row],[ppn_z]],tbl_Historique_Final[ppn_z],tbl_Historique_Final[date_modif])=Final_Sans_VGE[[#This Row],[date_modif]],
      "Ancien",
      "Modifié"),
   "Nouveau"))</f>
        <v>#VALUE!</v>
      </c>
      <c r="AD5446" s="1" t="str">
        <f>IFERROR(IF(Final_Sans_VGE[[#This Row],[ppn_z]]="","",IFERROR(
   IF(_xlfn.XLOOKUP(Final_Sans_VGE[[#This Row],[ppn_z]],tbl_Historique_Final[[#This Row],[ppn_z]],tbl_Historique_Final[[#This Row],[date_modif]])=Final_Sans_VGE[[#This Row],[date_modif]],
      "Ancien",
      "Modifié"),
   "Nouveau")),"")</f>
        <v/>
      </c>
    </row>
    <row r="5447" spans="24:30" x14ac:dyDescent="0.25">
      <c r="X5447" s="8" t="e">
        <f>IF(Final_Sans_VGE[[#This Row],[ppn_z]]="","",IFERROR(
   IF(_xlfn.XLOOKUP(Final_Sans_VGE[[#This Row],[ppn_z]],tbl_Historique_Final[ppn_z],tbl_Historique_Final[date_modif])=Final_Sans_VGE[[#This Row],[date_modif]],
      "Ancien",
      "Modifié"),
   "Nouveau"))</f>
        <v>#VALUE!</v>
      </c>
      <c r="AD5447" s="1" t="str">
        <f>IFERROR(IF(Final_Sans_VGE[[#This Row],[ppn_z]]="","",IFERROR(
   IF(_xlfn.XLOOKUP(Final_Sans_VGE[[#This Row],[ppn_z]],tbl_Historique_Final[[#This Row],[ppn_z]],tbl_Historique_Final[[#This Row],[date_modif]])=Final_Sans_VGE[[#This Row],[date_modif]],
      "Ancien",
      "Modifié"),
   "Nouveau")),"")</f>
        <v/>
      </c>
    </row>
    <row r="5448" spans="24:30" x14ac:dyDescent="0.25">
      <c r="X5448" s="8" t="e">
        <f>IF(Final_Sans_VGE[[#This Row],[ppn_z]]="","",IFERROR(
   IF(_xlfn.XLOOKUP(Final_Sans_VGE[[#This Row],[ppn_z]],tbl_Historique_Final[ppn_z],tbl_Historique_Final[date_modif])=Final_Sans_VGE[[#This Row],[date_modif]],
      "Ancien",
      "Modifié"),
   "Nouveau"))</f>
        <v>#VALUE!</v>
      </c>
      <c r="AD5448" s="1" t="str">
        <f>IFERROR(IF(Final_Sans_VGE[[#This Row],[ppn_z]]="","",IFERROR(
   IF(_xlfn.XLOOKUP(Final_Sans_VGE[[#This Row],[ppn_z]],tbl_Historique_Final[[#This Row],[ppn_z]],tbl_Historique_Final[[#This Row],[date_modif]])=Final_Sans_VGE[[#This Row],[date_modif]],
      "Ancien",
      "Modifié"),
   "Nouveau")),"")</f>
        <v/>
      </c>
    </row>
    <row r="5449" spans="24:30" x14ac:dyDescent="0.25">
      <c r="X5449" s="8" t="e">
        <f>IF(Final_Sans_VGE[[#This Row],[ppn_z]]="","",IFERROR(
   IF(_xlfn.XLOOKUP(Final_Sans_VGE[[#This Row],[ppn_z]],tbl_Historique_Final[ppn_z],tbl_Historique_Final[date_modif])=Final_Sans_VGE[[#This Row],[date_modif]],
      "Ancien",
      "Modifié"),
   "Nouveau"))</f>
        <v>#VALUE!</v>
      </c>
      <c r="AD5449" s="1" t="str">
        <f>IFERROR(IF(Final_Sans_VGE[[#This Row],[ppn_z]]="","",IFERROR(
   IF(_xlfn.XLOOKUP(Final_Sans_VGE[[#This Row],[ppn_z]],tbl_Historique_Final[[#This Row],[ppn_z]],tbl_Historique_Final[[#This Row],[date_modif]])=Final_Sans_VGE[[#This Row],[date_modif]],
      "Ancien",
      "Modifié"),
   "Nouveau")),"")</f>
        <v/>
      </c>
    </row>
    <row r="5450" spans="24:30" x14ac:dyDescent="0.25">
      <c r="X5450" s="8" t="e">
        <f>IF(Final_Sans_VGE[[#This Row],[ppn_z]]="","",IFERROR(
   IF(_xlfn.XLOOKUP(Final_Sans_VGE[[#This Row],[ppn_z]],tbl_Historique_Final[ppn_z],tbl_Historique_Final[date_modif])=Final_Sans_VGE[[#This Row],[date_modif]],
      "Ancien",
      "Modifié"),
   "Nouveau"))</f>
        <v>#VALUE!</v>
      </c>
      <c r="AD5450" s="1" t="str">
        <f>IFERROR(IF(Final_Sans_VGE[[#This Row],[ppn_z]]="","",IFERROR(
   IF(_xlfn.XLOOKUP(Final_Sans_VGE[[#This Row],[ppn_z]],tbl_Historique_Final[[#This Row],[ppn_z]],tbl_Historique_Final[[#This Row],[date_modif]])=Final_Sans_VGE[[#This Row],[date_modif]],
      "Ancien",
      "Modifié"),
   "Nouveau")),"")</f>
        <v/>
      </c>
    </row>
    <row r="5451" spans="24:30" x14ac:dyDescent="0.25">
      <c r="X5451" s="8" t="e">
        <f>IF(Final_Sans_VGE[[#This Row],[ppn_z]]="","",IFERROR(
   IF(_xlfn.XLOOKUP(Final_Sans_VGE[[#This Row],[ppn_z]],tbl_Historique_Final[ppn_z],tbl_Historique_Final[date_modif])=Final_Sans_VGE[[#This Row],[date_modif]],
      "Ancien",
      "Modifié"),
   "Nouveau"))</f>
        <v>#VALUE!</v>
      </c>
      <c r="AD5451" s="1" t="str">
        <f>IFERROR(IF(Final_Sans_VGE[[#This Row],[ppn_z]]="","",IFERROR(
   IF(_xlfn.XLOOKUP(Final_Sans_VGE[[#This Row],[ppn_z]],tbl_Historique_Final[[#This Row],[ppn_z]],tbl_Historique_Final[[#This Row],[date_modif]])=Final_Sans_VGE[[#This Row],[date_modif]],
      "Ancien",
      "Modifié"),
   "Nouveau")),"")</f>
        <v/>
      </c>
    </row>
    <row r="5452" spans="24:30" x14ac:dyDescent="0.25">
      <c r="X5452" s="8" t="e">
        <f>IF(Final_Sans_VGE[[#This Row],[ppn_z]]="","",IFERROR(
   IF(_xlfn.XLOOKUP(Final_Sans_VGE[[#This Row],[ppn_z]],tbl_Historique_Final[ppn_z],tbl_Historique_Final[date_modif])=Final_Sans_VGE[[#This Row],[date_modif]],
      "Ancien",
      "Modifié"),
   "Nouveau"))</f>
        <v>#VALUE!</v>
      </c>
      <c r="AD5452" s="1" t="str">
        <f>IFERROR(IF(Final_Sans_VGE[[#This Row],[ppn_z]]="","",IFERROR(
   IF(_xlfn.XLOOKUP(Final_Sans_VGE[[#This Row],[ppn_z]],tbl_Historique_Final[[#This Row],[ppn_z]],tbl_Historique_Final[[#This Row],[date_modif]])=Final_Sans_VGE[[#This Row],[date_modif]],
      "Ancien",
      "Modifié"),
   "Nouveau")),"")</f>
        <v/>
      </c>
    </row>
    <row r="5453" spans="24:30" x14ac:dyDescent="0.25">
      <c r="X5453" s="8" t="e">
        <f>IF(Final_Sans_VGE[[#This Row],[ppn_z]]="","",IFERROR(
   IF(_xlfn.XLOOKUP(Final_Sans_VGE[[#This Row],[ppn_z]],tbl_Historique_Final[ppn_z],tbl_Historique_Final[date_modif])=Final_Sans_VGE[[#This Row],[date_modif]],
      "Ancien",
      "Modifié"),
   "Nouveau"))</f>
        <v>#VALUE!</v>
      </c>
      <c r="AD5453" s="1" t="str">
        <f>IFERROR(IF(Final_Sans_VGE[[#This Row],[ppn_z]]="","",IFERROR(
   IF(_xlfn.XLOOKUP(Final_Sans_VGE[[#This Row],[ppn_z]],tbl_Historique_Final[[#This Row],[ppn_z]],tbl_Historique_Final[[#This Row],[date_modif]])=Final_Sans_VGE[[#This Row],[date_modif]],
      "Ancien",
      "Modifié"),
   "Nouveau")),"")</f>
        <v/>
      </c>
    </row>
    <row r="5454" spans="24:30" x14ac:dyDescent="0.25">
      <c r="X5454" s="8" t="e">
        <f>IF(Final_Sans_VGE[[#This Row],[ppn_z]]="","",IFERROR(
   IF(_xlfn.XLOOKUP(Final_Sans_VGE[[#This Row],[ppn_z]],tbl_Historique_Final[ppn_z],tbl_Historique_Final[date_modif])=Final_Sans_VGE[[#This Row],[date_modif]],
      "Ancien",
      "Modifié"),
   "Nouveau"))</f>
        <v>#VALUE!</v>
      </c>
      <c r="AD5454" s="1" t="str">
        <f>IFERROR(IF(Final_Sans_VGE[[#This Row],[ppn_z]]="","",IFERROR(
   IF(_xlfn.XLOOKUP(Final_Sans_VGE[[#This Row],[ppn_z]],tbl_Historique_Final[[#This Row],[ppn_z]],tbl_Historique_Final[[#This Row],[date_modif]])=Final_Sans_VGE[[#This Row],[date_modif]],
      "Ancien",
      "Modifié"),
   "Nouveau")),"")</f>
        <v/>
      </c>
    </row>
    <row r="5455" spans="24:30" x14ac:dyDescent="0.25">
      <c r="X5455" s="8" t="e">
        <f>IF(Final_Sans_VGE[[#This Row],[ppn_z]]="","",IFERROR(
   IF(_xlfn.XLOOKUP(Final_Sans_VGE[[#This Row],[ppn_z]],tbl_Historique_Final[ppn_z],tbl_Historique_Final[date_modif])=Final_Sans_VGE[[#This Row],[date_modif]],
      "Ancien",
      "Modifié"),
   "Nouveau"))</f>
        <v>#VALUE!</v>
      </c>
      <c r="AD5455" s="1" t="str">
        <f>IFERROR(IF(Final_Sans_VGE[[#This Row],[ppn_z]]="","",IFERROR(
   IF(_xlfn.XLOOKUP(Final_Sans_VGE[[#This Row],[ppn_z]],tbl_Historique_Final[[#This Row],[ppn_z]],tbl_Historique_Final[[#This Row],[date_modif]])=Final_Sans_VGE[[#This Row],[date_modif]],
      "Ancien",
      "Modifié"),
   "Nouveau")),"")</f>
        <v/>
      </c>
    </row>
    <row r="5456" spans="24:30" x14ac:dyDescent="0.25">
      <c r="X5456" s="8" t="e">
        <f>IF(Final_Sans_VGE[[#This Row],[ppn_z]]="","",IFERROR(
   IF(_xlfn.XLOOKUP(Final_Sans_VGE[[#This Row],[ppn_z]],tbl_Historique_Final[ppn_z],tbl_Historique_Final[date_modif])=Final_Sans_VGE[[#This Row],[date_modif]],
      "Ancien",
      "Modifié"),
   "Nouveau"))</f>
        <v>#VALUE!</v>
      </c>
      <c r="AD5456" s="1" t="str">
        <f>IFERROR(IF(Final_Sans_VGE[[#This Row],[ppn_z]]="","",IFERROR(
   IF(_xlfn.XLOOKUP(Final_Sans_VGE[[#This Row],[ppn_z]],tbl_Historique_Final[[#This Row],[ppn_z]],tbl_Historique_Final[[#This Row],[date_modif]])=Final_Sans_VGE[[#This Row],[date_modif]],
      "Ancien",
      "Modifié"),
   "Nouveau")),"")</f>
        <v/>
      </c>
    </row>
    <row r="5457" spans="24:30" x14ac:dyDescent="0.25">
      <c r="X5457" s="8" t="e">
        <f>IF(Final_Sans_VGE[[#This Row],[ppn_z]]="","",IFERROR(
   IF(_xlfn.XLOOKUP(Final_Sans_VGE[[#This Row],[ppn_z]],tbl_Historique_Final[ppn_z],tbl_Historique_Final[date_modif])=Final_Sans_VGE[[#This Row],[date_modif]],
      "Ancien",
      "Modifié"),
   "Nouveau"))</f>
        <v>#VALUE!</v>
      </c>
      <c r="AD5457" s="1" t="str">
        <f>IFERROR(IF(Final_Sans_VGE[[#This Row],[ppn_z]]="","",IFERROR(
   IF(_xlfn.XLOOKUP(Final_Sans_VGE[[#This Row],[ppn_z]],tbl_Historique_Final[[#This Row],[ppn_z]],tbl_Historique_Final[[#This Row],[date_modif]])=Final_Sans_VGE[[#This Row],[date_modif]],
      "Ancien",
      "Modifié"),
   "Nouveau")),"")</f>
        <v/>
      </c>
    </row>
    <row r="5458" spans="24:30" x14ac:dyDescent="0.25">
      <c r="X5458" s="8" t="e">
        <f>IF(Final_Sans_VGE[[#This Row],[ppn_z]]="","",IFERROR(
   IF(_xlfn.XLOOKUP(Final_Sans_VGE[[#This Row],[ppn_z]],tbl_Historique_Final[ppn_z],tbl_Historique_Final[date_modif])=Final_Sans_VGE[[#This Row],[date_modif]],
      "Ancien",
      "Modifié"),
   "Nouveau"))</f>
        <v>#VALUE!</v>
      </c>
      <c r="AD5458" s="1" t="str">
        <f>IFERROR(IF(Final_Sans_VGE[[#This Row],[ppn_z]]="","",IFERROR(
   IF(_xlfn.XLOOKUP(Final_Sans_VGE[[#This Row],[ppn_z]],tbl_Historique_Final[[#This Row],[ppn_z]],tbl_Historique_Final[[#This Row],[date_modif]])=Final_Sans_VGE[[#This Row],[date_modif]],
      "Ancien",
      "Modifié"),
   "Nouveau")),"")</f>
        <v/>
      </c>
    </row>
    <row r="5459" spans="24:30" x14ac:dyDescent="0.25">
      <c r="X5459" s="8" t="e">
        <f>IF(Final_Sans_VGE[[#This Row],[ppn_z]]="","",IFERROR(
   IF(_xlfn.XLOOKUP(Final_Sans_VGE[[#This Row],[ppn_z]],tbl_Historique_Final[ppn_z],tbl_Historique_Final[date_modif])=Final_Sans_VGE[[#This Row],[date_modif]],
      "Ancien",
      "Modifié"),
   "Nouveau"))</f>
        <v>#VALUE!</v>
      </c>
      <c r="AD5459" s="1" t="str">
        <f>IFERROR(IF(Final_Sans_VGE[[#This Row],[ppn_z]]="","",IFERROR(
   IF(_xlfn.XLOOKUP(Final_Sans_VGE[[#This Row],[ppn_z]],tbl_Historique_Final[[#This Row],[ppn_z]],tbl_Historique_Final[[#This Row],[date_modif]])=Final_Sans_VGE[[#This Row],[date_modif]],
      "Ancien",
      "Modifié"),
   "Nouveau")),"")</f>
        <v/>
      </c>
    </row>
    <row r="5460" spans="24:30" x14ac:dyDescent="0.25">
      <c r="X5460" s="8" t="e">
        <f>IF(Final_Sans_VGE[[#This Row],[ppn_z]]="","",IFERROR(
   IF(_xlfn.XLOOKUP(Final_Sans_VGE[[#This Row],[ppn_z]],tbl_Historique_Final[ppn_z],tbl_Historique_Final[date_modif])=Final_Sans_VGE[[#This Row],[date_modif]],
      "Ancien",
      "Modifié"),
   "Nouveau"))</f>
        <v>#VALUE!</v>
      </c>
      <c r="AD5460" s="1" t="str">
        <f>IFERROR(IF(Final_Sans_VGE[[#This Row],[ppn_z]]="","",IFERROR(
   IF(_xlfn.XLOOKUP(Final_Sans_VGE[[#This Row],[ppn_z]],tbl_Historique_Final[[#This Row],[ppn_z]],tbl_Historique_Final[[#This Row],[date_modif]])=Final_Sans_VGE[[#This Row],[date_modif]],
      "Ancien",
      "Modifié"),
   "Nouveau")),"")</f>
        <v/>
      </c>
    </row>
    <row r="5461" spans="24:30" x14ac:dyDescent="0.25">
      <c r="X5461" s="8" t="e">
        <f>IF(Final_Sans_VGE[[#This Row],[ppn_z]]="","",IFERROR(
   IF(_xlfn.XLOOKUP(Final_Sans_VGE[[#This Row],[ppn_z]],tbl_Historique_Final[ppn_z],tbl_Historique_Final[date_modif])=Final_Sans_VGE[[#This Row],[date_modif]],
      "Ancien",
      "Modifié"),
   "Nouveau"))</f>
        <v>#VALUE!</v>
      </c>
      <c r="AD5461" s="1" t="str">
        <f>IFERROR(IF(Final_Sans_VGE[[#This Row],[ppn_z]]="","",IFERROR(
   IF(_xlfn.XLOOKUP(Final_Sans_VGE[[#This Row],[ppn_z]],tbl_Historique_Final[[#This Row],[ppn_z]],tbl_Historique_Final[[#This Row],[date_modif]])=Final_Sans_VGE[[#This Row],[date_modif]],
      "Ancien",
      "Modifié"),
   "Nouveau")),"")</f>
        <v/>
      </c>
    </row>
    <row r="5462" spans="24:30" x14ac:dyDescent="0.25">
      <c r="X5462" s="8" t="e">
        <f>IF(Final_Sans_VGE[[#This Row],[ppn_z]]="","",IFERROR(
   IF(_xlfn.XLOOKUP(Final_Sans_VGE[[#This Row],[ppn_z]],tbl_Historique_Final[ppn_z],tbl_Historique_Final[date_modif])=Final_Sans_VGE[[#This Row],[date_modif]],
      "Ancien",
      "Modifié"),
   "Nouveau"))</f>
        <v>#VALUE!</v>
      </c>
      <c r="AD5462" s="1" t="str">
        <f>IFERROR(IF(Final_Sans_VGE[[#This Row],[ppn_z]]="","",IFERROR(
   IF(_xlfn.XLOOKUP(Final_Sans_VGE[[#This Row],[ppn_z]],tbl_Historique_Final[[#This Row],[ppn_z]],tbl_Historique_Final[[#This Row],[date_modif]])=Final_Sans_VGE[[#This Row],[date_modif]],
      "Ancien",
      "Modifié"),
   "Nouveau")),"")</f>
        <v/>
      </c>
    </row>
    <row r="5463" spans="24:30" x14ac:dyDescent="0.25">
      <c r="X5463" s="8" t="e">
        <f>IF(Final_Sans_VGE[[#This Row],[ppn_z]]="","",IFERROR(
   IF(_xlfn.XLOOKUP(Final_Sans_VGE[[#This Row],[ppn_z]],tbl_Historique_Final[ppn_z],tbl_Historique_Final[date_modif])=Final_Sans_VGE[[#This Row],[date_modif]],
      "Ancien",
      "Modifié"),
   "Nouveau"))</f>
        <v>#VALUE!</v>
      </c>
      <c r="AD5463" s="1" t="str">
        <f>IFERROR(IF(Final_Sans_VGE[[#This Row],[ppn_z]]="","",IFERROR(
   IF(_xlfn.XLOOKUP(Final_Sans_VGE[[#This Row],[ppn_z]],tbl_Historique_Final[[#This Row],[ppn_z]],tbl_Historique_Final[[#This Row],[date_modif]])=Final_Sans_VGE[[#This Row],[date_modif]],
      "Ancien",
      "Modifié"),
   "Nouveau")),"")</f>
        <v/>
      </c>
    </row>
    <row r="5464" spans="24:30" x14ac:dyDescent="0.25">
      <c r="X5464" s="8" t="e">
        <f>IF(Final_Sans_VGE[[#This Row],[ppn_z]]="","",IFERROR(
   IF(_xlfn.XLOOKUP(Final_Sans_VGE[[#This Row],[ppn_z]],tbl_Historique_Final[ppn_z],tbl_Historique_Final[date_modif])=Final_Sans_VGE[[#This Row],[date_modif]],
      "Ancien",
      "Modifié"),
   "Nouveau"))</f>
        <v>#VALUE!</v>
      </c>
      <c r="AD5464" s="1" t="str">
        <f>IFERROR(IF(Final_Sans_VGE[[#This Row],[ppn_z]]="","",IFERROR(
   IF(_xlfn.XLOOKUP(Final_Sans_VGE[[#This Row],[ppn_z]],tbl_Historique_Final[[#This Row],[ppn_z]],tbl_Historique_Final[[#This Row],[date_modif]])=Final_Sans_VGE[[#This Row],[date_modif]],
      "Ancien",
      "Modifié"),
   "Nouveau")),"")</f>
        <v/>
      </c>
    </row>
    <row r="5465" spans="24:30" x14ac:dyDescent="0.25">
      <c r="X5465" s="8" t="e">
        <f>IF(Final_Sans_VGE[[#This Row],[ppn_z]]="","",IFERROR(
   IF(_xlfn.XLOOKUP(Final_Sans_VGE[[#This Row],[ppn_z]],tbl_Historique_Final[ppn_z],tbl_Historique_Final[date_modif])=Final_Sans_VGE[[#This Row],[date_modif]],
      "Ancien",
      "Modifié"),
   "Nouveau"))</f>
        <v>#VALUE!</v>
      </c>
      <c r="AD5465" s="1" t="str">
        <f>IFERROR(IF(Final_Sans_VGE[[#This Row],[ppn_z]]="","",IFERROR(
   IF(_xlfn.XLOOKUP(Final_Sans_VGE[[#This Row],[ppn_z]],tbl_Historique_Final[[#This Row],[ppn_z]],tbl_Historique_Final[[#This Row],[date_modif]])=Final_Sans_VGE[[#This Row],[date_modif]],
      "Ancien",
      "Modifié"),
   "Nouveau")),"")</f>
        <v/>
      </c>
    </row>
    <row r="5466" spans="24:30" x14ac:dyDescent="0.25">
      <c r="X5466" s="8" t="e">
        <f>IF(Final_Sans_VGE[[#This Row],[ppn_z]]="","",IFERROR(
   IF(_xlfn.XLOOKUP(Final_Sans_VGE[[#This Row],[ppn_z]],tbl_Historique_Final[ppn_z],tbl_Historique_Final[date_modif])=Final_Sans_VGE[[#This Row],[date_modif]],
      "Ancien",
      "Modifié"),
   "Nouveau"))</f>
        <v>#VALUE!</v>
      </c>
      <c r="AD5466" s="1" t="str">
        <f>IFERROR(IF(Final_Sans_VGE[[#This Row],[ppn_z]]="","",IFERROR(
   IF(_xlfn.XLOOKUP(Final_Sans_VGE[[#This Row],[ppn_z]],tbl_Historique_Final[[#This Row],[ppn_z]],tbl_Historique_Final[[#This Row],[date_modif]])=Final_Sans_VGE[[#This Row],[date_modif]],
      "Ancien",
      "Modifié"),
   "Nouveau")),"")</f>
        <v/>
      </c>
    </row>
    <row r="5467" spans="24:30" x14ac:dyDescent="0.25">
      <c r="X5467" s="8" t="e">
        <f>IF(Final_Sans_VGE[[#This Row],[ppn_z]]="","",IFERROR(
   IF(_xlfn.XLOOKUP(Final_Sans_VGE[[#This Row],[ppn_z]],tbl_Historique_Final[ppn_z],tbl_Historique_Final[date_modif])=Final_Sans_VGE[[#This Row],[date_modif]],
      "Ancien",
      "Modifié"),
   "Nouveau"))</f>
        <v>#VALUE!</v>
      </c>
      <c r="AD5467" s="1" t="str">
        <f>IFERROR(IF(Final_Sans_VGE[[#This Row],[ppn_z]]="","",IFERROR(
   IF(_xlfn.XLOOKUP(Final_Sans_VGE[[#This Row],[ppn_z]],tbl_Historique_Final[[#This Row],[ppn_z]],tbl_Historique_Final[[#This Row],[date_modif]])=Final_Sans_VGE[[#This Row],[date_modif]],
      "Ancien",
      "Modifié"),
   "Nouveau")),"")</f>
        <v/>
      </c>
    </row>
    <row r="5468" spans="24:30" x14ac:dyDescent="0.25">
      <c r="X5468" s="8" t="e">
        <f>IF(Final_Sans_VGE[[#This Row],[ppn_z]]="","",IFERROR(
   IF(_xlfn.XLOOKUP(Final_Sans_VGE[[#This Row],[ppn_z]],tbl_Historique_Final[ppn_z],tbl_Historique_Final[date_modif])=Final_Sans_VGE[[#This Row],[date_modif]],
      "Ancien",
      "Modifié"),
   "Nouveau"))</f>
        <v>#VALUE!</v>
      </c>
      <c r="AD5468" s="1" t="str">
        <f>IFERROR(IF(Final_Sans_VGE[[#This Row],[ppn_z]]="","",IFERROR(
   IF(_xlfn.XLOOKUP(Final_Sans_VGE[[#This Row],[ppn_z]],tbl_Historique_Final[[#This Row],[ppn_z]],tbl_Historique_Final[[#This Row],[date_modif]])=Final_Sans_VGE[[#This Row],[date_modif]],
      "Ancien",
      "Modifié"),
   "Nouveau")),"")</f>
        <v/>
      </c>
    </row>
    <row r="5469" spans="24:30" x14ac:dyDescent="0.25">
      <c r="X5469" s="8" t="e">
        <f>IF(Final_Sans_VGE[[#This Row],[ppn_z]]="","",IFERROR(
   IF(_xlfn.XLOOKUP(Final_Sans_VGE[[#This Row],[ppn_z]],tbl_Historique_Final[ppn_z],tbl_Historique_Final[date_modif])=Final_Sans_VGE[[#This Row],[date_modif]],
      "Ancien",
      "Modifié"),
   "Nouveau"))</f>
        <v>#VALUE!</v>
      </c>
      <c r="AD5469" s="1" t="str">
        <f>IFERROR(IF(Final_Sans_VGE[[#This Row],[ppn_z]]="","",IFERROR(
   IF(_xlfn.XLOOKUP(Final_Sans_VGE[[#This Row],[ppn_z]],tbl_Historique_Final[[#This Row],[ppn_z]],tbl_Historique_Final[[#This Row],[date_modif]])=Final_Sans_VGE[[#This Row],[date_modif]],
      "Ancien",
      "Modifié"),
   "Nouveau")),"")</f>
        <v/>
      </c>
    </row>
    <row r="5470" spans="24:30" x14ac:dyDescent="0.25">
      <c r="X5470" s="8" t="e">
        <f>IF(Final_Sans_VGE[[#This Row],[ppn_z]]="","",IFERROR(
   IF(_xlfn.XLOOKUP(Final_Sans_VGE[[#This Row],[ppn_z]],tbl_Historique_Final[ppn_z],tbl_Historique_Final[date_modif])=Final_Sans_VGE[[#This Row],[date_modif]],
      "Ancien",
      "Modifié"),
   "Nouveau"))</f>
        <v>#VALUE!</v>
      </c>
      <c r="AD5470" s="1" t="str">
        <f>IFERROR(IF(Final_Sans_VGE[[#This Row],[ppn_z]]="","",IFERROR(
   IF(_xlfn.XLOOKUP(Final_Sans_VGE[[#This Row],[ppn_z]],tbl_Historique_Final[[#This Row],[ppn_z]],tbl_Historique_Final[[#This Row],[date_modif]])=Final_Sans_VGE[[#This Row],[date_modif]],
      "Ancien",
      "Modifié"),
   "Nouveau")),"")</f>
        <v/>
      </c>
    </row>
    <row r="5471" spans="24:30" x14ac:dyDescent="0.25">
      <c r="X5471" s="8" t="e">
        <f>IF(Final_Sans_VGE[[#This Row],[ppn_z]]="","",IFERROR(
   IF(_xlfn.XLOOKUP(Final_Sans_VGE[[#This Row],[ppn_z]],tbl_Historique_Final[ppn_z],tbl_Historique_Final[date_modif])=Final_Sans_VGE[[#This Row],[date_modif]],
      "Ancien",
      "Modifié"),
   "Nouveau"))</f>
        <v>#VALUE!</v>
      </c>
      <c r="AD5471" s="1" t="str">
        <f>IFERROR(IF(Final_Sans_VGE[[#This Row],[ppn_z]]="","",IFERROR(
   IF(_xlfn.XLOOKUP(Final_Sans_VGE[[#This Row],[ppn_z]],tbl_Historique_Final[[#This Row],[ppn_z]],tbl_Historique_Final[[#This Row],[date_modif]])=Final_Sans_VGE[[#This Row],[date_modif]],
      "Ancien",
      "Modifié"),
   "Nouveau")),"")</f>
        <v/>
      </c>
    </row>
    <row r="5472" spans="24:30" x14ac:dyDescent="0.25">
      <c r="X5472" s="8" t="e">
        <f>IF(Final_Sans_VGE[[#This Row],[ppn_z]]="","",IFERROR(
   IF(_xlfn.XLOOKUP(Final_Sans_VGE[[#This Row],[ppn_z]],tbl_Historique_Final[ppn_z],tbl_Historique_Final[date_modif])=Final_Sans_VGE[[#This Row],[date_modif]],
      "Ancien",
      "Modifié"),
   "Nouveau"))</f>
        <v>#VALUE!</v>
      </c>
      <c r="AD5472" s="1" t="str">
        <f>IFERROR(IF(Final_Sans_VGE[[#This Row],[ppn_z]]="","",IFERROR(
   IF(_xlfn.XLOOKUP(Final_Sans_VGE[[#This Row],[ppn_z]],tbl_Historique_Final[[#This Row],[ppn_z]],tbl_Historique_Final[[#This Row],[date_modif]])=Final_Sans_VGE[[#This Row],[date_modif]],
      "Ancien",
      "Modifié"),
   "Nouveau")),"")</f>
        <v/>
      </c>
    </row>
    <row r="5473" spans="24:30" x14ac:dyDescent="0.25">
      <c r="X5473" s="8" t="e">
        <f>IF(Final_Sans_VGE[[#This Row],[ppn_z]]="","",IFERROR(
   IF(_xlfn.XLOOKUP(Final_Sans_VGE[[#This Row],[ppn_z]],tbl_Historique_Final[ppn_z],tbl_Historique_Final[date_modif])=Final_Sans_VGE[[#This Row],[date_modif]],
      "Ancien",
      "Modifié"),
   "Nouveau"))</f>
        <v>#VALUE!</v>
      </c>
      <c r="AD5473" s="1" t="str">
        <f>IFERROR(IF(Final_Sans_VGE[[#This Row],[ppn_z]]="","",IFERROR(
   IF(_xlfn.XLOOKUP(Final_Sans_VGE[[#This Row],[ppn_z]],tbl_Historique_Final[[#This Row],[ppn_z]],tbl_Historique_Final[[#This Row],[date_modif]])=Final_Sans_VGE[[#This Row],[date_modif]],
      "Ancien",
      "Modifié"),
   "Nouveau")),"")</f>
        <v/>
      </c>
    </row>
    <row r="5474" spans="24:30" x14ac:dyDescent="0.25">
      <c r="X5474" s="8" t="e">
        <f>IF(Final_Sans_VGE[[#This Row],[ppn_z]]="","",IFERROR(
   IF(_xlfn.XLOOKUP(Final_Sans_VGE[[#This Row],[ppn_z]],tbl_Historique_Final[ppn_z],tbl_Historique_Final[date_modif])=Final_Sans_VGE[[#This Row],[date_modif]],
      "Ancien",
      "Modifié"),
   "Nouveau"))</f>
        <v>#VALUE!</v>
      </c>
      <c r="AD5474" s="1" t="str">
        <f>IFERROR(IF(Final_Sans_VGE[[#This Row],[ppn_z]]="","",IFERROR(
   IF(_xlfn.XLOOKUP(Final_Sans_VGE[[#This Row],[ppn_z]],tbl_Historique_Final[[#This Row],[ppn_z]],tbl_Historique_Final[[#This Row],[date_modif]])=Final_Sans_VGE[[#This Row],[date_modif]],
      "Ancien",
      "Modifié"),
   "Nouveau")),"")</f>
        <v/>
      </c>
    </row>
    <row r="5475" spans="24:30" x14ac:dyDescent="0.25">
      <c r="X5475" s="8" t="e">
        <f>IF(Final_Sans_VGE[[#This Row],[ppn_z]]="","",IFERROR(
   IF(_xlfn.XLOOKUP(Final_Sans_VGE[[#This Row],[ppn_z]],tbl_Historique_Final[ppn_z],tbl_Historique_Final[date_modif])=Final_Sans_VGE[[#This Row],[date_modif]],
      "Ancien",
      "Modifié"),
   "Nouveau"))</f>
        <v>#VALUE!</v>
      </c>
      <c r="AD5475" s="1" t="str">
        <f>IFERROR(IF(Final_Sans_VGE[[#This Row],[ppn_z]]="","",IFERROR(
   IF(_xlfn.XLOOKUP(Final_Sans_VGE[[#This Row],[ppn_z]],tbl_Historique_Final[[#This Row],[ppn_z]],tbl_Historique_Final[[#This Row],[date_modif]])=Final_Sans_VGE[[#This Row],[date_modif]],
      "Ancien",
      "Modifié"),
   "Nouveau")),"")</f>
        <v/>
      </c>
    </row>
    <row r="5476" spans="24:30" x14ac:dyDescent="0.25">
      <c r="X5476" s="8" t="e">
        <f>IF(Final_Sans_VGE[[#This Row],[ppn_z]]="","",IFERROR(
   IF(_xlfn.XLOOKUP(Final_Sans_VGE[[#This Row],[ppn_z]],tbl_Historique_Final[ppn_z],tbl_Historique_Final[date_modif])=Final_Sans_VGE[[#This Row],[date_modif]],
      "Ancien",
      "Modifié"),
   "Nouveau"))</f>
        <v>#VALUE!</v>
      </c>
      <c r="AD5476" s="1" t="str">
        <f>IFERROR(IF(Final_Sans_VGE[[#This Row],[ppn_z]]="","",IFERROR(
   IF(_xlfn.XLOOKUP(Final_Sans_VGE[[#This Row],[ppn_z]],tbl_Historique_Final[[#This Row],[ppn_z]],tbl_Historique_Final[[#This Row],[date_modif]])=Final_Sans_VGE[[#This Row],[date_modif]],
      "Ancien",
      "Modifié"),
   "Nouveau")),"")</f>
        <v/>
      </c>
    </row>
    <row r="5477" spans="24:30" x14ac:dyDescent="0.25">
      <c r="X5477" s="8" t="e">
        <f>IF(Final_Sans_VGE[[#This Row],[ppn_z]]="","",IFERROR(
   IF(_xlfn.XLOOKUP(Final_Sans_VGE[[#This Row],[ppn_z]],tbl_Historique_Final[ppn_z],tbl_Historique_Final[date_modif])=Final_Sans_VGE[[#This Row],[date_modif]],
      "Ancien",
      "Modifié"),
   "Nouveau"))</f>
        <v>#VALUE!</v>
      </c>
      <c r="AD5477" s="1" t="str">
        <f>IFERROR(IF(Final_Sans_VGE[[#This Row],[ppn_z]]="","",IFERROR(
   IF(_xlfn.XLOOKUP(Final_Sans_VGE[[#This Row],[ppn_z]],tbl_Historique_Final[[#This Row],[ppn_z]],tbl_Historique_Final[[#This Row],[date_modif]])=Final_Sans_VGE[[#This Row],[date_modif]],
      "Ancien",
      "Modifié"),
   "Nouveau")),"")</f>
        <v/>
      </c>
    </row>
    <row r="5478" spans="24:30" x14ac:dyDescent="0.25">
      <c r="X5478" s="8" t="e">
        <f>IF(Final_Sans_VGE[[#This Row],[ppn_z]]="","",IFERROR(
   IF(_xlfn.XLOOKUP(Final_Sans_VGE[[#This Row],[ppn_z]],tbl_Historique_Final[ppn_z],tbl_Historique_Final[date_modif])=Final_Sans_VGE[[#This Row],[date_modif]],
      "Ancien",
      "Modifié"),
   "Nouveau"))</f>
        <v>#VALUE!</v>
      </c>
      <c r="AD5478" s="1" t="str">
        <f>IFERROR(IF(Final_Sans_VGE[[#This Row],[ppn_z]]="","",IFERROR(
   IF(_xlfn.XLOOKUP(Final_Sans_VGE[[#This Row],[ppn_z]],tbl_Historique_Final[[#This Row],[ppn_z]],tbl_Historique_Final[[#This Row],[date_modif]])=Final_Sans_VGE[[#This Row],[date_modif]],
      "Ancien",
      "Modifié"),
   "Nouveau")),"")</f>
        <v/>
      </c>
    </row>
    <row r="5479" spans="24:30" x14ac:dyDescent="0.25">
      <c r="X5479" s="8" t="e">
        <f>IF(Final_Sans_VGE[[#This Row],[ppn_z]]="","",IFERROR(
   IF(_xlfn.XLOOKUP(Final_Sans_VGE[[#This Row],[ppn_z]],tbl_Historique_Final[ppn_z],tbl_Historique_Final[date_modif])=Final_Sans_VGE[[#This Row],[date_modif]],
      "Ancien",
      "Modifié"),
   "Nouveau"))</f>
        <v>#VALUE!</v>
      </c>
      <c r="AD5479" s="1" t="str">
        <f>IFERROR(IF(Final_Sans_VGE[[#This Row],[ppn_z]]="","",IFERROR(
   IF(_xlfn.XLOOKUP(Final_Sans_VGE[[#This Row],[ppn_z]],tbl_Historique_Final[[#This Row],[ppn_z]],tbl_Historique_Final[[#This Row],[date_modif]])=Final_Sans_VGE[[#This Row],[date_modif]],
      "Ancien",
      "Modifié"),
   "Nouveau")),"")</f>
        <v/>
      </c>
    </row>
    <row r="5480" spans="24:30" x14ac:dyDescent="0.25">
      <c r="X5480" s="8" t="e">
        <f>IF(Final_Sans_VGE[[#This Row],[ppn_z]]="","",IFERROR(
   IF(_xlfn.XLOOKUP(Final_Sans_VGE[[#This Row],[ppn_z]],tbl_Historique_Final[ppn_z],tbl_Historique_Final[date_modif])=Final_Sans_VGE[[#This Row],[date_modif]],
      "Ancien",
      "Modifié"),
   "Nouveau"))</f>
        <v>#VALUE!</v>
      </c>
      <c r="AD5480" s="1" t="str">
        <f>IFERROR(IF(Final_Sans_VGE[[#This Row],[ppn_z]]="","",IFERROR(
   IF(_xlfn.XLOOKUP(Final_Sans_VGE[[#This Row],[ppn_z]],tbl_Historique_Final[[#This Row],[ppn_z]],tbl_Historique_Final[[#This Row],[date_modif]])=Final_Sans_VGE[[#This Row],[date_modif]],
      "Ancien",
      "Modifié"),
   "Nouveau")),"")</f>
        <v/>
      </c>
    </row>
    <row r="5481" spans="24:30" x14ac:dyDescent="0.25">
      <c r="X5481" s="8" t="e">
        <f>IF(Final_Sans_VGE[[#This Row],[ppn_z]]="","",IFERROR(
   IF(_xlfn.XLOOKUP(Final_Sans_VGE[[#This Row],[ppn_z]],tbl_Historique_Final[ppn_z],tbl_Historique_Final[date_modif])=Final_Sans_VGE[[#This Row],[date_modif]],
      "Ancien",
      "Modifié"),
   "Nouveau"))</f>
        <v>#VALUE!</v>
      </c>
      <c r="AD5481" s="1" t="str">
        <f>IFERROR(IF(Final_Sans_VGE[[#This Row],[ppn_z]]="","",IFERROR(
   IF(_xlfn.XLOOKUP(Final_Sans_VGE[[#This Row],[ppn_z]],tbl_Historique_Final[[#This Row],[ppn_z]],tbl_Historique_Final[[#This Row],[date_modif]])=Final_Sans_VGE[[#This Row],[date_modif]],
      "Ancien",
      "Modifié"),
   "Nouveau")),"")</f>
        <v/>
      </c>
    </row>
    <row r="5482" spans="24:30" x14ac:dyDescent="0.25">
      <c r="X5482" s="8" t="e">
        <f>IF(Final_Sans_VGE[[#This Row],[ppn_z]]="","",IFERROR(
   IF(_xlfn.XLOOKUP(Final_Sans_VGE[[#This Row],[ppn_z]],tbl_Historique_Final[ppn_z],tbl_Historique_Final[date_modif])=Final_Sans_VGE[[#This Row],[date_modif]],
      "Ancien",
      "Modifié"),
   "Nouveau"))</f>
        <v>#VALUE!</v>
      </c>
      <c r="AD5482" s="1" t="str">
        <f>IFERROR(IF(Final_Sans_VGE[[#This Row],[ppn_z]]="","",IFERROR(
   IF(_xlfn.XLOOKUP(Final_Sans_VGE[[#This Row],[ppn_z]],tbl_Historique_Final[[#This Row],[ppn_z]],tbl_Historique_Final[[#This Row],[date_modif]])=Final_Sans_VGE[[#This Row],[date_modif]],
      "Ancien",
      "Modifié"),
   "Nouveau")),"")</f>
        <v/>
      </c>
    </row>
    <row r="5483" spans="24:30" x14ac:dyDescent="0.25">
      <c r="X5483" s="8" t="e">
        <f>IF(Final_Sans_VGE[[#This Row],[ppn_z]]="","",IFERROR(
   IF(_xlfn.XLOOKUP(Final_Sans_VGE[[#This Row],[ppn_z]],tbl_Historique_Final[ppn_z],tbl_Historique_Final[date_modif])=Final_Sans_VGE[[#This Row],[date_modif]],
      "Ancien",
      "Modifié"),
   "Nouveau"))</f>
        <v>#VALUE!</v>
      </c>
      <c r="AD5483" s="1" t="str">
        <f>IFERROR(IF(Final_Sans_VGE[[#This Row],[ppn_z]]="","",IFERROR(
   IF(_xlfn.XLOOKUP(Final_Sans_VGE[[#This Row],[ppn_z]],tbl_Historique_Final[[#This Row],[ppn_z]],tbl_Historique_Final[[#This Row],[date_modif]])=Final_Sans_VGE[[#This Row],[date_modif]],
      "Ancien",
      "Modifié"),
   "Nouveau")),"")</f>
        <v/>
      </c>
    </row>
    <row r="5484" spans="24:30" x14ac:dyDescent="0.25">
      <c r="X5484" s="8" t="e">
        <f>IF(Final_Sans_VGE[[#This Row],[ppn_z]]="","",IFERROR(
   IF(_xlfn.XLOOKUP(Final_Sans_VGE[[#This Row],[ppn_z]],tbl_Historique_Final[ppn_z],tbl_Historique_Final[date_modif])=Final_Sans_VGE[[#This Row],[date_modif]],
      "Ancien",
      "Modifié"),
   "Nouveau"))</f>
        <v>#VALUE!</v>
      </c>
      <c r="AD5484" s="1" t="str">
        <f>IFERROR(IF(Final_Sans_VGE[[#This Row],[ppn_z]]="","",IFERROR(
   IF(_xlfn.XLOOKUP(Final_Sans_VGE[[#This Row],[ppn_z]],tbl_Historique_Final[[#This Row],[ppn_z]],tbl_Historique_Final[[#This Row],[date_modif]])=Final_Sans_VGE[[#This Row],[date_modif]],
      "Ancien",
      "Modifié"),
   "Nouveau")),"")</f>
        <v/>
      </c>
    </row>
    <row r="5485" spans="24:30" x14ac:dyDescent="0.25">
      <c r="X5485" s="8" t="e">
        <f>IF(Final_Sans_VGE[[#This Row],[ppn_z]]="","",IFERROR(
   IF(_xlfn.XLOOKUP(Final_Sans_VGE[[#This Row],[ppn_z]],tbl_Historique_Final[ppn_z],tbl_Historique_Final[date_modif])=Final_Sans_VGE[[#This Row],[date_modif]],
      "Ancien",
      "Modifié"),
   "Nouveau"))</f>
        <v>#VALUE!</v>
      </c>
      <c r="AD5485" s="1" t="str">
        <f>IFERROR(IF(Final_Sans_VGE[[#This Row],[ppn_z]]="","",IFERROR(
   IF(_xlfn.XLOOKUP(Final_Sans_VGE[[#This Row],[ppn_z]],tbl_Historique_Final[[#This Row],[ppn_z]],tbl_Historique_Final[[#This Row],[date_modif]])=Final_Sans_VGE[[#This Row],[date_modif]],
      "Ancien",
      "Modifié"),
   "Nouveau")),"")</f>
        <v/>
      </c>
    </row>
    <row r="5486" spans="24:30" x14ac:dyDescent="0.25">
      <c r="X5486" s="8" t="e">
        <f>IF(Final_Sans_VGE[[#This Row],[ppn_z]]="","",IFERROR(
   IF(_xlfn.XLOOKUP(Final_Sans_VGE[[#This Row],[ppn_z]],tbl_Historique_Final[ppn_z],tbl_Historique_Final[date_modif])=Final_Sans_VGE[[#This Row],[date_modif]],
      "Ancien",
      "Modifié"),
   "Nouveau"))</f>
        <v>#VALUE!</v>
      </c>
      <c r="AD5486" s="1" t="str">
        <f>IFERROR(IF(Final_Sans_VGE[[#This Row],[ppn_z]]="","",IFERROR(
   IF(_xlfn.XLOOKUP(Final_Sans_VGE[[#This Row],[ppn_z]],tbl_Historique_Final[[#This Row],[ppn_z]],tbl_Historique_Final[[#This Row],[date_modif]])=Final_Sans_VGE[[#This Row],[date_modif]],
      "Ancien",
      "Modifié"),
   "Nouveau")),"")</f>
        <v/>
      </c>
    </row>
    <row r="5487" spans="24:30" x14ac:dyDescent="0.25">
      <c r="X5487" s="8" t="e">
        <f>IF(Final_Sans_VGE[[#This Row],[ppn_z]]="","",IFERROR(
   IF(_xlfn.XLOOKUP(Final_Sans_VGE[[#This Row],[ppn_z]],tbl_Historique_Final[ppn_z],tbl_Historique_Final[date_modif])=Final_Sans_VGE[[#This Row],[date_modif]],
      "Ancien",
      "Modifié"),
   "Nouveau"))</f>
        <v>#VALUE!</v>
      </c>
      <c r="AD5487" s="1" t="str">
        <f>IFERROR(IF(Final_Sans_VGE[[#This Row],[ppn_z]]="","",IFERROR(
   IF(_xlfn.XLOOKUP(Final_Sans_VGE[[#This Row],[ppn_z]],tbl_Historique_Final[[#This Row],[ppn_z]],tbl_Historique_Final[[#This Row],[date_modif]])=Final_Sans_VGE[[#This Row],[date_modif]],
      "Ancien",
      "Modifié"),
   "Nouveau")),"")</f>
        <v/>
      </c>
    </row>
    <row r="5488" spans="24:30" x14ac:dyDescent="0.25">
      <c r="X5488" s="8" t="e">
        <f>IF(Final_Sans_VGE[[#This Row],[ppn_z]]="","",IFERROR(
   IF(_xlfn.XLOOKUP(Final_Sans_VGE[[#This Row],[ppn_z]],tbl_Historique_Final[ppn_z],tbl_Historique_Final[date_modif])=Final_Sans_VGE[[#This Row],[date_modif]],
      "Ancien",
      "Modifié"),
   "Nouveau"))</f>
        <v>#VALUE!</v>
      </c>
      <c r="AD5488" s="1" t="str">
        <f>IFERROR(IF(Final_Sans_VGE[[#This Row],[ppn_z]]="","",IFERROR(
   IF(_xlfn.XLOOKUP(Final_Sans_VGE[[#This Row],[ppn_z]],tbl_Historique_Final[[#This Row],[ppn_z]],tbl_Historique_Final[[#This Row],[date_modif]])=Final_Sans_VGE[[#This Row],[date_modif]],
      "Ancien",
      "Modifié"),
   "Nouveau")),"")</f>
        <v/>
      </c>
    </row>
    <row r="5489" spans="24:30" x14ac:dyDescent="0.25">
      <c r="X5489" s="8" t="e">
        <f>IF(Final_Sans_VGE[[#This Row],[ppn_z]]="","",IFERROR(
   IF(_xlfn.XLOOKUP(Final_Sans_VGE[[#This Row],[ppn_z]],tbl_Historique_Final[ppn_z],tbl_Historique_Final[date_modif])=Final_Sans_VGE[[#This Row],[date_modif]],
      "Ancien",
      "Modifié"),
   "Nouveau"))</f>
        <v>#VALUE!</v>
      </c>
      <c r="AD5489" s="1" t="str">
        <f>IFERROR(IF(Final_Sans_VGE[[#This Row],[ppn_z]]="","",IFERROR(
   IF(_xlfn.XLOOKUP(Final_Sans_VGE[[#This Row],[ppn_z]],tbl_Historique_Final[[#This Row],[ppn_z]],tbl_Historique_Final[[#This Row],[date_modif]])=Final_Sans_VGE[[#This Row],[date_modif]],
      "Ancien",
      "Modifié"),
   "Nouveau")),"")</f>
        <v/>
      </c>
    </row>
    <row r="5490" spans="24:30" x14ac:dyDescent="0.25">
      <c r="X5490" s="8" t="e">
        <f>IF(Final_Sans_VGE[[#This Row],[ppn_z]]="","",IFERROR(
   IF(_xlfn.XLOOKUP(Final_Sans_VGE[[#This Row],[ppn_z]],tbl_Historique_Final[ppn_z],tbl_Historique_Final[date_modif])=Final_Sans_VGE[[#This Row],[date_modif]],
      "Ancien",
      "Modifié"),
   "Nouveau"))</f>
        <v>#VALUE!</v>
      </c>
      <c r="AD5490" s="1" t="str">
        <f>IFERROR(IF(Final_Sans_VGE[[#This Row],[ppn_z]]="","",IFERROR(
   IF(_xlfn.XLOOKUP(Final_Sans_VGE[[#This Row],[ppn_z]],tbl_Historique_Final[[#This Row],[ppn_z]],tbl_Historique_Final[[#This Row],[date_modif]])=Final_Sans_VGE[[#This Row],[date_modif]],
      "Ancien",
      "Modifié"),
   "Nouveau")),"")</f>
        <v/>
      </c>
    </row>
    <row r="5491" spans="24:30" x14ac:dyDescent="0.25">
      <c r="X5491" s="8" t="e">
        <f>IF(Final_Sans_VGE[[#This Row],[ppn_z]]="","",IFERROR(
   IF(_xlfn.XLOOKUP(Final_Sans_VGE[[#This Row],[ppn_z]],tbl_Historique_Final[ppn_z],tbl_Historique_Final[date_modif])=Final_Sans_VGE[[#This Row],[date_modif]],
      "Ancien",
      "Modifié"),
   "Nouveau"))</f>
        <v>#VALUE!</v>
      </c>
      <c r="AD5491" s="1" t="str">
        <f>IFERROR(IF(Final_Sans_VGE[[#This Row],[ppn_z]]="","",IFERROR(
   IF(_xlfn.XLOOKUP(Final_Sans_VGE[[#This Row],[ppn_z]],tbl_Historique_Final[[#This Row],[ppn_z]],tbl_Historique_Final[[#This Row],[date_modif]])=Final_Sans_VGE[[#This Row],[date_modif]],
      "Ancien",
      "Modifié"),
   "Nouveau")),"")</f>
        <v/>
      </c>
    </row>
    <row r="5492" spans="24:30" x14ac:dyDescent="0.25">
      <c r="X5492" s="8" t="e">
        <f>IF(Final_Sans_VGE[[#This Row],[ppn_z]]="","",IFERROR(
   IF(_xlfn.XLOOKUP(Final_Sans_VGE[[#This Row],[ppn_z]],tbl_Historique_Final[ppn_z],tbl_Historique_Final[date_modif])=Final_Sans_VGE[[#This Row],[date_modif]],
      "Ancien",
      "Modifié"),
   "Nouveau"))</f>
        <v>#VALUE!</v>
      </c>
      <c r="AD5492" s="1" t="str">
        <f>IFERROR(IF(Final_Sans_VGE[[#This Row],[ppn_z]]="","",IFERROR(
   IF(_xlfn.XLOOKUP(Final_Sans_VGE[[#This Row],[ppn_z]],tbl_Historique_Final[[#This Row],[ppn_z]],tbl_Historique_Final[[#This Row],[date_modif]])=Final_Sans_VGE[[#This Row],[date_modif]],
      "Ancien",
      "Modifié"),
   "Nouveau")),"")</f>
        <v/>
      </c>
    </row>
    <row r="5493" spans="24:30" x14ac:dyDescent="0.25">
      <c r="X5493" s="8" t="e">
        <f>IF(Final_Sans_VGE[[#This Row],[ppn_z]]="","",IFERROR(
   IF(_xlfn.XLOOKUP(Final_Sans_VGE[[#This Row],[ppn_z]],tbl_Historique_Final[ppn_z],tbl_Historique_Final[date_modif])=Final_Sans_VGE[[#This Row],[date_modif]],
      "Ancien",
      "Modifié"),
   "Nouveau"))</f>
        <v>#VALUE!</v>
      </c>
      <c r="AD5493" s="1" t="str">
        <f>IFERROR(IF(Final_Sans_VGE[[#This Row],[ppn_z]]="","",IFERROR(
   IF(_xlfn.XLOOKUP(Final_Sans_VGE[[#This Row],[ppn_z]],tbl_Historique_Final[[#This Row],[ppn_z]],tbl_Historique_Final[[#This Row],[date_modif]])=Final_Sans_VGE[[#This Row],[date_modif]],
      "Ancien",
      "Modifié"),
   "Nouveau")),"")</f>
        <v/>
      </c>
    </row>
    <row r="5494" spans="24:30" x14ac:dyDescent="0.25">
      <c r="X5494" s="8" t="e">
        <f>IF(Final_Sans_VGE[[#This Row],[ppn_z]]="","",IFERROR(
   IF(_xlfn.XLOOKUP(Final_Sans_VGE[[#This Row],[ppn_z]],tbl_Historique_Final[ppn_z],tbl_Historique_Final[date_modif])=Final_Sans_VGE[[#This Row],[date_modif]],
      "Ancien",
      "Modifié"),
   "Nouveau"))</f>
        <v>#VALUE!</v>
      </c>
      <c r="AD5494" s="1" t="str">
        <f>IFERROR(IF(Final_Sans_VGE[[#This Row],[ppn_z]]="","",IFERROR(
   IF(_xlfn.XLOOKUP(Final_Sans_VGE[[#This Row],[ppn_z]],tbl_Historique_Final[[#This Row],[ppn_z]],tbl_Historique_Final[[#This Row],[date_modif]])=Final_Sans_VGE[[#This Row],[date_modif]],
      "Ancien",
      "Modifié"),
   "Nouveau")),"")</f>
        <v/>
      </c>
    </row>
    <row r="5495" spans="24:30" x14ac:dyDescent="0.25">
      <c r="X5495" s="8" t="e">
        <f>IF(Final_Sans_VGE[[#This Row],[ppn_z]]="","",IFERROR(
   IF(_xlfn.XLOOKUP(Final_Sans_VGE[[#This Row],[ppn_z]],tbl_Historique_Final[ppn_z],tbl_Historique_Final[date_modif])=Final_Sans_VGE[[#This Row],[date_modif]],
      "Ancien",
      "Modifié"),
   "Nouveau"))</f>
        <v>#VALUE!</v>
      </c>
      <c r="AD5495" s="1" t="str">
        <f>IFERROR(IF(Final_Sans_VGE[[#This Row],[ppn_z]]="","",IFERROR(
   IF(_xlfn.XLOOKUP(Final_Sans_VGE[[#This Row],[ppn_z]],tbl_Historique_Final[[#This Row],[ppn_z]],tbl_Historique_Final[[#This Row],[date_modif]])=Final_Sans_VGE[[#This Row],[date_modif]],
      "Ancien",
      "Modifié"),
   "Nouveau")),"")</f>
        <v/>
      </c>
    </row>
    <row r="5496" spans="24:30" x14ac:dyDescent="0.25">
      <c r="X5496" s="8" t="e">
        <f>IF(Final_Sans_VGE[[#This Row],[ppn_z]]="","",IFERROR(
   IF(_xlfn.XLOOKUP(Final_Sans_VGE[[#This Row],[ppn_z]],tbl_Historique_Final[ppn_z],tbl_Historique_Final[date_modif])=Final_Sans_VGE[[#This Row],[date_modif]],
      "Ancien",
      "Modifié"),
   "Nouveau"))</f>
        <v>#VALUE!</v>
      </c>
      <c r="AD5496" s="1" t="str">
        <f>IFERROR(IF(Final_Sans_VGE[[#This Row],[ppn_z]]="","",IFERROR(
   IF(_xlfn.XLOOKUP(Final_Sans_VGE[[#This Row],[ppn_z]],tbl_Historique_Final[[#This Row],[ppn_z]],tbl_Historique_Final[[#This Row],[date_modif]])=Final_Sans_VGE[[#This Row],[date_modif]],
      "Ancien",
      "Modifié"),
   "Nouveau")),"")</f>
        <v/>
      </c>
    </row>
    <row r="5497" spans="24:30" x14ac:dyDescent="0.25">
      <c r="X5497" s="8" t="e">
        <f>IF(Final_Sans_VGE[[#This Row],[ppn_z]]="","",IFERROR(
   IF(_xlfn.XLOOKUP(Final_Sans_VGE[[#This Row],[ppn_z]],tbl_Historique_Final[ppn_z],tbl_Historique_Final[date_modif])=Final_Sans_VGE[[#This Row],[date_modif]],
      "Ancien",
      "Modifié"),
   "Nouveau"))</f>
        <v>#VALUE!</v>
      </c>
      <c r="AD5497" s="1" t="str">
        <f>IFERROR(IF(Final_Sans_VGE[[#This Row],[ppn_z]]="","",IFERROR(
   IF(_xlfn.XLOOKUP(Final_Sans_VGE[[#This Row],[ppn_z]],tbl_Historique_Final[[#This Row],[ppn_z]],tbl_Historique_Final[[#This Row],[date_modif]])=Final_Sans_VGE[[#This Row],[date_modif]],
      "Ancien",
      "Modifié"),
   "Nouveau")),"")</f>
        <v/>
      </c>
    </row>
    <row r="5498" spans="24:30" x14ac:dyDescent="0.25">
      <c r="X5498" s="8" t="e">
        <f>IF(Final_Sans_VGE[[#This Row],[ppn_z]]="","",IFERROR(
   IF(_xlfn.XLOOKUP(Final_Sans_VGE[[#This Row],[ppn_z]],tbl_Historique_Final[ppn_z],tbl_Historique_Final[date_modif])=Final_Sans_VGE[[#This Row],[date_modif]],
      "Ancien",
      "Modifié"),
   "Nouveau"))</f>
        <v>#VALUE!</v>
      </c>
      <c r="AD5498" s="1" t="str">
        <f>IFERROR(IF(Final_Sans_VGE[[#This Row],[ppn_z]]="","",IFERROR(
   IF(_xlfn.XLOOKUP(Final_Sans_VGE[[#This Row],[ppn_z]],tbl_Historique_Final[[#This Row],[ppn_z]],tbl_Historique_Final[[#This Row],[date_modif]])=Final_Sans_VGE[[#This Row],[date_modif]],
      "Ancien",
      "Modifié"),
   "Nouveau")),"")</f>
        <v/>
      </c>
    </row>
    <row r="5499" spans="24:30" x14ac:dyDescent="0.25">
      <c r="X5499" s="8" t="e">
        <f>IF(Final_Sans_VGE[[#This Row],[ppn_z]]="","",IFERROR(
   IF(_xlfn.XLOOKUP(Final_Sans_VGE[[#This Row],[ppn_z]],tbl_Historique_Final[ppn_z],tbl_Historique_Final[date_modif])=Final_Sans_VGE[[#This Row],[date_modif]],
      "Ancien",
      "Modifié"),
   "Nouveau"))</f>
        <v>#VALUE!</v>
      </c>
      <c r="AD5499" s="1" t="str">
        <f>IFERROR(IF(Final_Sans_VGE[[#This Row],[ppn_z]]="","",IFERROR(
   IF(_xlfn.XLOOKUP(Final_Sans_VGE[[#This Row],[ppn_z]],tbl_Historique_Final[[#This Row],[ppn_z]],tbl_Historique_Final[[#This Row],[date_modif]])=Final_Sans_VGE[[#This Row],[date_modif]],
      "Ancien",
      "Modifié"),
   "Nouveau")),"")</f>
        <v/>
      </c>
    </row>
    <row r="5500" spans="24:30" x14ac:dyDescent="0.25">
      <c r="X5500" s="8" t="e">
        <f>IF(Final_Sans_VGE[[#This Row],[ppn_z]]="","",IFERROR(
   IF(_xlfn.XLOOKUP(Final_Sans_VGE[[#This Row],[ppn_z]],tbl_Historique_Final[ppn_z],tbl_Historique_Final[date_modif])=Final_Sans_VGE[[#This Row],[date_modif]],
      "Ancien",
      "Modifié"),
   "Nouveau"))</f>
        <v>#VALUE!</v>
      </c>
      <c r="AD5500" s="1" t="str">
        <f>IFERROR(IF(Final_Sans_VGE[[#This Row],[ppn_z]]="","",IFERROR(
   IF(_xlfn.XLOOKUP(Final_Sans_VGE[[#This Row],[ppn_z]],tbl_Historique_Final[[#This Row],[ppn_z]],tbl_Historique_Final[[#This Row],[date_modif]])=Final_Sans_VGE[[#This Row],[date_modif]],
      "Ancien",
      "Modifié"),
   "Nouveau")),"")</f>
        <v/>
      </c>
    </row>
    <row r="5501" spans="24:30" x14ac:dyDescent="0.25">
      <c r="X5501" s="8" t="e">
        <f>IF(Final_Sans_VGE[[#This Row],[ppn_z]]="","",IFERROR(
   IF(_xlfn.XLOOKUP(Final_Sans_VGE[[#This Row],[ppn_z]],tbl_Historique_Final[ppn_z],tbl_Historique_Final[date_modif])=Final_Sans_VGE[[#This Row],[date_modif]],
      "Ancien",
      "Modifié"),
   "Nouveau"))</f>
        <v>#VALUE!</v>
      </c>
      <c r="AD5501" s="1" t="str">
        <f>IFERROR(IF(Final_Sans_VGE[[#This Row],[ppn_z]]="","",IFERROR(
   IF(_xlfn.XLOOKUP(Final_Sans_VGE[[#This Row],[ppn_z]],tbl_Historique_Final[[#This Row],[ppn_z]],tbl_Historique_Final[[#This Row],[date_modif]])=Final_Sans_VGE[[#This Row],[date_modif]],
      "Ancien",
      "Modifié"),
   "Nouveau")),"")</f>
        <v/>
      </c>
    </row>
    <row r="5502" spans="24:30" x14ac:dyDescent="0.25">
      <c r="X5502" s="8" t="e">
        <f>IF(Final_Sans_VGE[[#This Row],[ppn_z]]="","",IFERROR(
   IF(_xlfn.XLOOKUP(Final_Sans_VGE[[#This Row],[ppn_z]],tbl_Historique_Final[ppn_z],tbl_Historique_Final[date_modif])=Final_Sans_VGE[[#This Row],[date_modif]],
      "Ancien",
      "Modifié"),
   "Nouveau"))</f>
        <v>#VALUE!</v>
      </c>
      <c r="AD5502" s="1" t="str">
        <f>IFERROR(IF(Final_Sans_VGE[[#This Row],[ppn_z]]="","",IFERROR(
   IF(_xlfn.XLOOKUP(Final_Sans_VGE[[#This Row],[ppn_z]],tbl_Historique_Final[[#This Row],[ppn_z]],tbl_Historique_Final[[#This Row],[date_modif]])=Final_Sans_VGE[[#This Row],[date_modif]],
      "Ancien",
      "Modifié"),
   "Nouveau")),"")</f>
        <v/>
      </c>
    </row>
    <row r="5503" spans="24:30" x14ac:dyDescent="0.25">
      <c r="X5503" s="8" t="e">
        <f>IF(Final_Sans_VGE[[#This Row],[ppn_z]]="","",IFERROR(
   IF(_xlfn.XLOOKUP(Final_Sans_VGE[[#This Row],[ppn_z]],tbl_Historique_Final[ppn_z],tbl_Historique_Final[date_modif])=Final_Sans_VGE[[#This Row],[date_modif]],
      "Ancien",
      "Modifié"),
   "Nouveau"))</f>
        <v>#VALUE!</v>
      </c>
      <c r="AD5503" s="1" t="str">
        <f>IFERROR(IF(Final_Sans_VGE[[#This Row],[ppn_z]]="","",IFERROR(
   IF(_xlfn.XLOOKUP(Final_Sans_VGE[[#This Row],[ppn_z]],tbl_Historique_Final[[#This Row],[ppn_z]],tbl_Historique_Final[[#This Row],[date_modif]])=Final_Sans_VGE[[#This Row],[date_modif]],
      "Ancien",
      "Modifié"),
   "Nouveau")),"")</f>
        <v/>
      </c>
    </row>
    <row r="5504" spans="24:30" x14ac:dyDescent="0.25">
      <c r="X5504" s="8" t="e">
        <f>IF(Final_Sans_VGE[[#This Row],[ppn_z]]="","",IFERROR(
   IF(_xlfn.XLOOKUP(Final_Sans_VGE[[#This Row],[ppn_z]],tbl_Historique_Final[ppn_z],tbl_Historique_Final[date_modif])=Final_Sans_VGE[[#This Row],[date_modif]],
      "Ancien",
      "Modifié"),
   "Nouveau"))</f>
        <v>#VALUE!</v>
      </c>
      <c r="AD5504" s="1" t="str">
        <f>IFERROR(IF(Final_Sans_VGE[[#This Row],[ppn_z]]="","",IFERROR(
   IF(_xlfn.XLOOKUP(Final_Sans_VGE[[#This Row],[ppn_z]],tbl_Historique_Final[[#This Row],[ppn_z]],tbl_Historique_Final[[#This Row],[date_modif]])=Final_Sans_VGE[[#This Row],[date_modif]],
      "Ancien",
      "Modifié"),
   "Nouveau")),"")</f>
        <v/>
      </c>
    </row>
    <row r="5505" spans="24:30" x14ac:dyDescent="0.25">
      <c r="X5505" s="8" t="e">
        <f>IF(Final_Sans_VGE[[#This Row],[ppn_z]]="","",IFERROR(
   IF(_xlfn.XLOOKUP(Final_Sans_VGE[[#This Row],[ppn_z]],tbl_Historique_Final[ppn_z],tbl_Historique_Final[date_modif])=Final_Sans_VGE[[#This Row],[date_modif]],
      "Ancien",
      "Modifié"),
   "Nouveau"))</f>
        <v>#VALUE!</v>
      </c>
      <c r="AD5505" s="1" t="str">
        <f>IFERROR(IF(Final_Sans_VGE[[#This Row],[ppn_z]]="","",IFERROR(
   IF(_xlfn.XLOOKUP(Final_Sans_VGE[[#This Row],[ppn_z]],tbl_Historique_Final[[#This Row],[ppn_z]],tbl_Historique_Final[[#This Row],[date_modif]])=Final_Sans_VGE[[#This Row],[date_modif]],
      "Ancien",
      "Modifié"),
   "Nouveau")),"")</f>
        <v/>
      </c>
    </row>
    <row r="5506" spans="24:30" x14ac:dyDescent="0.25">
      <c r="X5506" s="8" t="e">
        <f>IF(Final_Sans_VGE[[#This Row],[ppn_z]]="","",IFERROR(
   IF(_xlfn.XLOOKUP(Final_Sans_VGE[[#This Row],[ppn_z]],tbl_Historique_Final[ppn_z],tbl_Historique_Final[date_modif])=Final_Sans_VGE[[#This Row],[date_modif]],
      "Ancien",
      "Modifié"),
   "Nouveau"))</f>
        <v>#VALUE!</v>
      </c>
      <c r="AD5506" s="1" t="str">
        <f>IFERROR(IF(Final_Sans_VGE[[#This Row],[ppn_z]]="","",IFERROR(
   IF(_xlfn.XLOOKUP(Final_Sans_VGE[[#This Row],[ppn_z]],tbl_Historique_Final[[#This Row],[ppn_z]],tbl_Historique_Final[[#This Row],[date_modif]])=Final_Sans_VGE[[#This Row],[date_modif]],
      "Ancien",
      "Modifié"),
   "Nouveau")),"")</f>
        <v/>
      </c>
    </row>
    <row r="5507" spans="24:30" x14ac:dyDescent="0.25">
      <c r="X5507" s="8" t="e">
        <f>IF(Final_Sans_VGE[[#This Row],[ppn_z]]="","",IFERROR(
   IF(_xlfn.XLOOKUP(Final_Sans_VGE[[#This Row],[ppn_z]],tbl_Historique_Final[ppn_z],tbl_Historique_Final[date_modif])=Final_Sans_VGE[[#This Row],[date_modif]],
      "Ancien",
      "Modifié"),
   "Nouveau"))</f>
        <v>#VALUE!</v>
      </c>
      <c r="AD5507" s="1" t="str">
        <f>IFERROR(IF(Final_Sans_VGE[[#This Row],[ppn_z]]="","",IFERROR(
   IF(_xlfn.XLOOKUP(Final_Sans_VGE[[#This Row],[ppn_z]],tbl_Historique_Final[[#This Row],[ppn_z]],tbl_Historique_Final[[#This Row],[date_modif]])=Final_Sans_VGE[[#This Row],[date_modif]],
      "Ancien",
      "Modifié"),
   "Nouveau")),"")</f>
        <v/>
      </c>
    </row>
    <row r="5508" spans="24:30" x14ac:dyDescent="0.25">
      <c r="X5508" s="8" t="e">
        <f>IF(Final_Sans_VGE[[#This Row],[ppn_z]]="","",IFERROR(
   IF(_xlfn.XLOOKUP(Final_Sans_VGE[[#This Row],[ppn_z]],tbl_Historique_Final[ppn_z],tbl_Historique_Final[date_modif])=Final_Sans_VGE[[#This Row],[date_modif]],
      "Ancien",
      "Modifié"),
   "Nouveau"))</f>
        <v>#VALUE!</v>
      </c>
      <c r="AD5508" s="1" t="str">
        <f>IFERROR(IF(Final_Sans_VGE[[#This Row],[ppn_z]]="","",IFERROR(
   IF(_xlfn.XLOOKUP(Final_Sans_VGE[[#This Row],[ppn_z]],tbl_Historique_Final[[#This Row],[ppn_z]],tbl_Historique_Final[[#This Row],[date_modif]])=Final_Sans_VGE[[#This Row],[date_modif]],
      "Ancien",
      "Modifié"),
   "Nouveau")),"")</f>
        <v/>
      </c>
    </row>
    <row r="5509" spans="24:30" x14ac:dyDescent="0.25">
      <c r="X5509" s="8" t="e">
        <f>IF(Final_Sans_VGE[[#This Row],[ppn_z]]="","",IFERROR(
   IF(_xlfn.XLOOKUP(Final_Sans_VGE[[#This Row],[ppn_z]],tbl_Historique_Final[ppn_z],tbl_Historique_Final[date_modif])=Final_Sans_VGE[[#This Row],[date_modif]],
      "Ancien",
      "Modifié"),
   "Nouveau"))</f>
        <v>#VALUE!</v>
      </c>
      <c r="AD5509" s="1" t="str">
        <f>IFERROR(IF(Final_Sans_VGE[[#This Row],[ppn_z]]="","",IFERROR(
   IF(_xlfn.XLOOKUP(Final_Sans_VGE[[#This Row],[ppn_z]],tbl_Historique_Final[[#This Row],[ppn_z]],tbl_Historique_Final[[#This Row],[date_modif]])=Final_Sans_VGE[[#This Row],[date_modif]],
      "Ancien",
      "Modifié"),
   "Nouveau")),"")</f>
        <v/>
      </c>
    </row>
    <row r="5510" spans="24:30" x14ac:dyDescent="0.25">
      <c r="X5510" s="8" t="e">
        <f>IF(Final_Sans_VGE[[#This Row],[ppn_z]]="","",IFERROR(
   IF(_xlfn.XLOOKUP(Final_Sans_VGE[[#This Row],[ppn_z]],tbl_Historique_Final[ppn_z],tbl_Historique_Final[date_modif])=Final_Sans_VGE[[#This Row],[date_modif]],
      "Ancien",
      "Modifié"),
   "Nouveau"))</f>
        <v>#VALUE!</v>
      </c>
      <c r="AD5510" s="1" t="str">
        <f>IFERROR(IF(Final_Sans_VGE[[#This Row],[ppn_z]]="","",IFERROR(
   IF(_xlfn.XLOOKUP(Final_Sans_VGE[[#This Row],[ppn_z]],tbl_Historique_Final[[#This Row],[ppn_z]],tbl_Historique_Final[[#This Row],[date_modif]])=Final_Sans_VGE[[#This Row],[date_modif]],
      "Ancien",
      "Modifié"),
   "Nouveau")),"")</f>
        <v/>
      </c>
    </row>
    <row r="5511" spans="24:30" x14ac:dyDescent="0.25">
      <c r="X5511" s="8" t="e">
        <f>IF(Final_Sans_VGE[[#This Row],[ppn_z]]="","",IFERROR(
   IF(_xlfn.XLOOKUP(Final_Sans_VGE[[#This Row],[ppn_z]],tbl_Historique_Final[ppn_z],tbl_Historique_Final[date_modif])=Final_Sans_VGE[[#This Row],[date_modif]],
      "Ancien",
      "Modifié"),
   "Nouveau"))</f>
        <v>#VALUE!</v>
      </c>
      <c r="AD5511" s="1" t="str">
        <f>IFERROR(IF(Final_Sans_VGE[[#This Row],[ppn_z]]="","",IFERROR(
   IF(_xlfn.XLOOKUP(Final_Sans_VGE[[#This Row],[ppn_z]],tbl_Historique_Final[[#This Row],[ppn_z]],tbl_Historique_Final[[#This Row],[date_modif]])=Final_Sans_VGE[[#This Row],[date_modif]],
      "Ancien",
      "Modifié"),
   "Nouveau")),"")</f>
        <v/>
      </c>
    </row>
    <row r="5512" spans="24:30" x14ac:dyDescent="0.25">
      <c r="X5512" s="8" t="e">
        <f>IF(Final_Sans_VGE[[#This Row],[ppn_z]]="","",IFERROR(
   IF(_xlfn.XLOOKUP(Final_Sans_VGE[[#This Row],[ppn_z]],tbl_Historique_Final[ppn_z],tbl_Historique_Final[date_modif])=Final_Sans_VGE[[#This Row],[date_modif]],
      "Ancien",
      "Modifié"),
   "Nouveau"))</f>
        <v>#VALUE!</v>
      </c>
      <c r="AD5512" s="1" t="str">
        <f>IFERROR(IF(Final_Sans_VGE[[#This Row],[ppn_z]]="","",IFERROR(
   IF(_xlfn.XLOOKUP(Final_Sans_VGE[[#This Row],[ppn_z]],tbl_Historique_Final[[#This Row],[ppn_z]],tbl_Historique_Final[[#This Row],[date_modif]])=Final_Sans_VGE[[#This Row],[date_modif]],
      "Ancien",
      "Modifié"),
   "Nouveau")),"")</f>
        <v/>
      </c>
    </row>
    <row r="5513" spans="24:30" x14ac:dyDescent="0.25">
      <c r="X5513" s="8" t="e">
        <f>IF(Final_Sans_VGE[[#This Row],[ppn_z]]="","",IFERROR(
   IF(_xlfn.XLOOKUP(Final_Sans_VGE[[#This Row],[ppn_z]],tbl_Historique_Final[ppn_z],tbl_Historique_Final[date_modif])=Final_Sans_VGE[[#This Row],[date_modif]],
      "Ancien",
      "Modifié"),
   "Nouveau"))</f>
        <v>#VALUE!</v>
      </c>
      <c r="AD5513" s="1" t="str">
        <f>IFERROR(IF(Final_Sans_VGE[[#This Row],[ppn_z]]="","",IFERROR(
   IF(_xlfn.XLOOKUP(Final_Sans_VGE[[#This Row],[ppn_z]],tbl_Historique_Final[[#This Row],[ppn_z]],tbl_Historique_Final[[#This Row],[date_modif]])=Final_Sans_VGE[[#This Row],[date_modif]],
      "Ancien",
      "Modifié"),
   "Nouveau")),"")</f>
        <v/>
      </c>
    </row>
    <row r="5514" spans="24:30" x14ac:dyDescent="0.25">
      <c r="X5514" s="8" t="e">
        <f>IF(Final_Sans_VGE[[#This Row],[ppn_z]]="","",IFERROR(
   IF(_xlfn.XLOOKUP(Final_Sans_VGE[[#This Row],[ppn_z]],tbl_Historique_Final[ppn_z],tbl_Historique_Final[date_modif])=Final_Sans_VGE[[#This Row],[date_modif]],
      "Ancien",
      "Modifié"),
   "Nouveau"))</f>
        <v>#VALUE!</v>
      </c>
      <c r="AD5514" s="1" t="str">
        <f>IFERROR(IF(Final_Sans_VGE[[#This Row],[ppn_z]]="","",IFERROR(
   IF(_xlfn.XLOOKUP(Final_Sans_VGE[[#This Row],[ppn_z]],tbl_Historique_Final[[#This Row],[ppn_z]],tbl_Historique_Final[[#This Row],[date_modif]])=Final_Sans_VGE[[#This Row],[date_modif]],
      "Ancien",
      "Modifié"),
   "Nouveau")),"")</f>
        <v/>
      </c>
    </row>
    <row r="5515" spans="24:30" x14ac:dyDescent="0.25">
      <c r="X5515" s="8" t="e">
        <f>IF(Final_Sans_VGE[[#This Row],[ppn_z]]="","",IFERROR(
   IF(_xlfn.XLOOKUP(Final_Sans_VGE[[#This Row],[ppn_z]],tbl_Historique_Final[ppn_z],tbl_Historique_Final[date_modif])=Final_Sans_VGE[[#This Row],[date_modif]],
      "Ancien",
      "Modifié"),
   "Nouveau"))</f>
        <v>#VALUE!</v>
      </c>
      <c r="AD5515" s="1" t="str">
        <f>IFERROR(IF(Final_Sans_VGE[[#This Row],[ppn_z]]="","",IFERROR(
   IF(_xlfn.XLOOKUP(Final_Sans_VGE[[#This Row],[ppn_z]],tbl_Historique_Final[[#This Row],[ppn_z]],tbl_Historique_Final[[#This Row],[date_modif]])=Final_Sans_VGE[[#This Row],[date_modif]],
      "Ancien",
      "Modifié"),
   "Nouveau")),"")</f>
        <v/>
      </c>
    </row>
    <row r="5516" spans="24:30" x14ac:dyDescent="0.25">
      <c r="X5516" s="8" t="e">
        <f>IF(Final_Sans_VGE[[#This Row],[ppn_z]]="","",IFERROR(
   IF(_xlfn.XLOOKUP(Final_Sans_VGE[[#This Row],[ppn_z]],tbl_Historique_Final[ppn_z],tbl_Historique_Final[date_modif])=Final_Sans_VGE[[#This Row],[date_modif]],
      "Ancien",
      "Modifié"),
   "Nouveau"))</f>
        <v>#VALUE!</v>
      </c>
      <c r="AD5516" s="1" t="str">
        <f>IFERROR(IF(Final_Sans_VGE[[#This Row],[ppn_z]]="","",IFERROR(
   IF(_xlfn.XLOOKUP(Final_Sans_VGE[[#This Row],[ppn_z]],tbl_Historique_Final[[#This Row],[ppn_z]],tbl_Historique_Final[[#This Row],[date_modif]])=Final_Sans_VGE[[#This Row],[date_modif]],
      "Ancien",
      "Modifié"),
   "Nouveau")),"")</f>
        <v/>
      </c>
    </row>
    <row r="5517" spans="24:30" x14ac:dyDescent="0.25">
      <c r="X5517" s="8" t="e">
        <f>IF(Final_Sans_VGE[[#This Row],[ppn_z]]="","",IFERROR(
   IF(_xlfn.XLOOKUP(Final_Sans_VGE[[#This Row],[ppn_z]],tbl_Historique_Final[ppn_z],tbl_Historique_Final[date_modif])=Final_Sans_VGE[[#This Row],[date_modif]],
      "Ancien",
      "Modifié"),
   "Nouveau"))</f>
        <v>#VALUE!</v>
      </c>
      <c r="AD5517" s="1" t="str">
        <f>IFERROR(IF(Final_Sans_VGE[[#This Row],[ppn_z]]="","",IFERROR(
   IF(_xlfn.XLOOKUP(Final_Sans_VGE[[#This Row],[ppn_z]],tbl_Historique_Final[[#This Row],[ppn_z]],tbl_Historique_Final[[#This Row],[date_modif]])=Final_Sans_VGE[[#This Row],[date_modif]],
      "Ancien",
      "Modifié"),
   "Nouveau")),"")</f>
        <v/>
      </c>
    </row>
    <row r="5518" spans="24:30" x14ac:dyDescent="0.25">
      <c r="X5518" s="8" t="e">
        <f>IF(Final_Sans_VGE[[#This Row],[ppn_z]]="","",IFERROR(
   IF(_xlfn.XLOOKUP(Final_Sans_VGE[[#This Row],[ppn_z]],tbl_Historique_Final[ppn_z],tbl_Historique_Final[date_modif])=Final_Sans_VGE[[#This Row],[date_modif]],
      "Ancien",
      "Modifié"),
   "Nouveau"))</f>
        <v>#VALUE!</v>
      </c>
      <c r="AD5518" s="1" t="str">
        <f>IFERROR(IF(Final_Sans_VGE[[#This Row],[ppn_z]]="","",IFERROR(
   IF(_xlfn.XLOOKUP(Final_Sans_VGE[[#This Row],[ppn_z]],tbl_Historique_Final[[#This Row],[ppn_z]],tbl_Historique_Final[[#This Row],[date_modif]])=Final_Sans_VGE[[#This Row],[date_modif]],
      "Ancien",
      "Modifié"),
   "Nouveau")),"")</f>
        <v/>
      </c>
    </row>
    <row r="5519" spans="24:30" x14ac:dyDescent="0.25">
      <c r="X5519" s="8" t="e">
        <f>IF(Final_Sans_VGE[[#This Row],[ppn_z]]="","",IFERROR(
   IF(_xlfn.XLOOKUP(Final_Sans_VGE[[#This Row],[ppn_z]],tbl_Historique_Final[ppn_z],tbl_Historique_Final[date_modif])=Final_Sans_VGE[[#This Row],[date_modif]],
      "Ancien",
      "Modifié"),
   "Nouveau"))</f>
        <v>#VALUE!</v>
      </c>
      <c r="AD5519" s="1" t="str">
        <f>IFERROR(IF(Final_Sans_VGE[[#This Row],[ppn_z]]="","",IFERROR(
   IF(_xlfn.XLOOKUP(Final_Sans_VGE[[#This Row],[ppn_z]],tbl_Historique_Final[[#This Row],[ppn_z]],tbl_Historique_Final[[#This Row],[date_modif]])=Final_Sans_VGE[[#This Row],[date_modif]],
      "Ancien",
      "Modifié"),
   "Nouveau")),"")</f>
        <v/>
      </c>
    </row>
    <row r="5520" spans="24:30" x14ac:dyDescent="0.25">
      <c r="X5520" s="8" t="e">
        <f>IF(Final_Sans_VGE[[#This Row],[ppn_z]]="","",IFERROR(
   IF(_xlfn.XLOOKUP(Final_Sans_VGE[[#This Row],[ppn_z]],tbl_Historique_Final[ppn_z],tbl_Historique_Final[date_modif])=Final_Sans_VGE[[#This Row],[date_modif]],
      "Ancien",
      "Modifié"),
   "Nouveau"))</f>
        <v>#VALUE!</v>
      </c>
      <c r="AD5520" s="1" t="str">
        <f>IFERROR(IF(Final_Sans_VGE[[#This Row],[ppn_z]]="","",IFERROR(
   IF(_xlfn.XLOOKUP(Final_Sans_VGE[[#This Row],[ppn_z]],tbl_Historique_Final[[#This Row],[ppn_z]],tbl_Historique_Final[[#This Row],[date_modif]])=Final_Sans_VGE[[#This Row],[date_modif]],
      "Ancien",
      "Modifié"),
   "Nouveau")),"")</f>
        <v/>
      </c>
    </row>
    <row r="5521" spans="24:30" x14ac:dyDescent="0.25">
      <c r="X5521" s="8" t="e">
        <f>IF(Final_Sans_VGE[[#This Row],[ppn_z]]="","",IFERROR(
   IF(_xlfn.XLOOKUP(Final_Sans_VGE[[#This Row],[ppn_z]],tbl_Historique_Final[ppn_z],tbl_Historique_Final[date_modif])=Final_Sans_VGE[[#This Row],[date_modif]],
      "Ancien",
      "Modifié"),
   "Nouveau"))</f>
        <v>#VALUE!</v>
      </c>
      <c r="AD5521" s="1" t="str">
        <f>IFERROR(IF(Final_Sans_VGE[[#This Row],[ppn_z]]="","",IFERROR(
   IF(_xlfn.XLOOKUP(Final_Sans_VGE[[#This Row],[ppn_z]],tbl_Historique_Final[[#This Row],[ppn_z]],tbl_Historique_Final[[#This Row],[date_modif]])=Final_Sans_VGE[[#This Row],[date_modif]],
      "Ancien",
      "Modifié"),
   "Nouveau")),"")</f>
        <v/>
      </c>
    </row>
    <row r="5522" spans="24:30" x14ac:dyDescent="0.25">
      <c r="X5522" s="8" t="e">
        <f>IF(Final_Sans_VGE[[#This Row],[ppn_z]]="","",IFERROR(
   IF(_xlfn.XLOOKUP(Final_Sans_VGE[[#This Row],[ppn_z]],tbl_Historique_Final[ppn_z],tbl_Historique_Final[date_modif])=Final_Sans_VGE[[#This Row],[date_modif]],
      "Ancien",
      "Modifié"),
   "Nouveau"))</f>
        <v>#VALUE!</v>
      </c>
      <c r="AD5522" s="1" t="str">
        <f>IFERROR(IF(Final_Sans_VGE[[#This Row],[ppn_z]]="","",IFERROR(
   IF(_xlfn.XLOOKUP(Final_Sans_VGE[[#This Row],[ppn_z]],tbl_Historique_Final[[#This Row],[ppn_z]],tbl_Historique_Final[[#This Row],[date_modif]])=Final_Sans_VGE[[#This Row],[date_modif]],
      "Ancien",
      "Modifié"),
   "Nouveau")),"")</f>
        <v/>
      </c>
    </row>
    <row r="5523" spans="24:30" x14ac:dyDescent="0.25">
      <c r="X5523" s="8" t="e">
        <f>IF(Final_Sans_VGE[[#This Row],[ppn_z]]="","",IFERROR(
   IF(_xlfn.XLOOKUP(Final_Sans_VGE[[#This Row],[ppn_z]],tbl_Historique_Final[ppn_z],tbl_Historique_Final[date_modif])=Final_Sans_VGE[[#This Row],[date_modif]],
      "Ancien",
      "Modifié"),
   "Nouveau"))</f>
        <v>#VALUE!</v>
      </c>
      <c r="AD5523" s="1" t="str">
        <f>IFERROR(IF(Final_Sans_VGE[[#This Row],[ppn_z]]="","",IFERROR(
   IF(_xlfn.XLOOKUP(Final_Sans_VGE[[#This Row],[ppn_z]],tbl_Historique_Final[[#This Row],[ppn_z]],tbl_Historique_Final[[#This Row],[date_modif]])=Final_Sans_VGE[[#This Row],[date_modif]],
      "Ancien",
      "Modifié"),
   "Nouveau")),"")</f>
        <v/>
      </c>
    </row>
    <row r="5524" spans="24:30" x14ac:dyDescent="0.25">
      <c r="X5524" s="8" t="e">
        <f>IF(Final_Sans_VGE[[#This Row],[ppn_z]]="","",IFERROR(
   IF(_xlfn.XLOOKUP(Final_Sans_VGE[[#This Row],[ppn_z]],tbl_Historique_Final[ppn_z],tbl_Historique_Final[date_modif])=Final_Sans_VGE[[#This Row],[date_modif]],
      "Ancien",
      "Modifié"),
   "Nouveau"))</f>
        <v>#VALUE!</v>
      </c>
      <c r="AD5524" s="1" t="str">
        <f>IFERROR(IF(Final_Sans_VGE[[#This Row],[ppn_z]]="","",IFERROR(
   IF(_xlfn.XLOOKUP(Final_Sans_VGE[[#This Row],[ppn_z]],tbl_Historique_Final[[#This Row],[ppn_z]],tbl_Historique_Final[[#This Row],[date_modif]])=Final_Sans_VGE[[#This Row],[date_modif]],
      "Ancien",
      "Modifié"),
   "Nouveau")),"")</f>
        <v/>
      </c>
    </row>
    <row r="5525" spans="24:30" x14ac:dyDescent="0.25">
      <c r="X5525" s="8" t="e">
        <f>IF(Final_Sans_VGE[[#This Row],[ppn_z]]="","",IFERROR(
   IF(_xlfn.XLOOKUP(Final_Sans_VGE[[#This Row],[ppn_z]],tbl_Historique_Final[ppn_z],tbl_Historique_Final[date_modif])=Final_Sans_VGE[[#This Row],[date_modif]],
      "Ancien",
      "Modifié"),
   "Nouveau"))</f>
        <v>#VALUE!</v>
      </c>
      <c r="AD5525" s="1" t="str">
        <f>IFERROR(IF(Final_Sans_VGE[[#This Row],[ppn_z]]="","",IFERROR(
   IF(_xlfn.XLOOKUP(Final_Sans_VGE[[#This Row],[ppn_z]],tbl_Historique_Final[[#This Row],[ppn_z]],tbl_Historique_Final[[#This Row],[date_modif]])=Final_Sans_VGE[[#This Row],[date_modif]],
      "Ancien",
      "Modifié"),
   "Nouveau")),"")</f>
        <v/>
      </c>
    </row>
    <row r="5526" spans="24:30" x14ac:dyDescent="0.25">
      <c r="X5526" s="8" t="e">
        <f>IF(Final_Sans_VGE[[#This Row],[ppn_z]]="","",IFERROR(
   IF(_xlfn.XLOOKUP(Final_Sans_VGE[[#This Row],[ppn_z]],tbl_Historique_Final[ppn_z],tbl_Historique_Final[date_modif])=Final_Sans_VGE[[#This Row],[date_modif]],
      "Ancien",
      "Modifié"),
   "Nouveau"))</f>
        <v>#VALUE!</v>
      </c>
      <c r="AD5526" s="1" t="str">
        <f>IFERROR(IF(Final_Sans_VGE[[#This Row],[ppn_z]]="","",IFERROR(
   IF(_xlfn.XLOOKUP(Final_Sans_VGE[[#This Row],[ppn_z]],tbl_Historique_Final[[#This Row],[ppn_z]],tbl_Historique_Final[[#This Row],[date_modif]])=Final_Sans_VGE[[#This Row],[date_modif]],
      "Ancien",
      "Modifié"),
   "Nouveau")),"")</f>
        <v/>
      </c>
    </row>
    <row r="5527" spans="24:30" x14ac:dyDescent="0.25">
      <c r="X5527" s="8" t="e">
        <f>IF(Final_Sans_VGE[[#This Row],[ppn_z]]="","",IFERROR(
   IF(_xlfn.XLOOKUP(Final_Sans_VGE[[#This Row],[ppn_z]],tbl_Historique_Final[ppn_z],tbl_Historique_Final[date_modif])=Final_Sans_VGE[[#This Row],[date_modif]],
      "Ancien",
      "Modifié"),
   "Nouveau"))</f>
        <v>#VALUE!</v>
      </c>
      <c r="AD5527" s="1" t="str">
        <f>IFERROR(IF(Final_Sans_VGE[[#This Row],[ppn_z]]="","",IFERROR(
   IF(_xlfn.XLOOKUP(Final_Sans_VGE[[#This Row],[ppn_z]],tbl_Historique_Final[[#This Row],[ppn_z]],tbl_Historique_Final[[#This Row],[date_modif]])=Final_Sans_VGE[[#This Row],[date_modif]],
      "Ancien",
      "Modifié"),
   "Nouveau")),"")</f>
        <v/>
      </c>
    </row>
    <row r="5528" spans="24:30" x14ac:dyDescent="0.25">
      <c r="X5528" s="8" t="e">
        <f>IF(Final_Sans_VGE[[#This Row],[ppn_z]]="","",IFERROR(
   IF(_xlfn.XLOOKUP(Final_Sans_VGE[[#This Row],[ppn_z]],tbl_Historique_Final[ppn_z],tbl_Historique_Final[date_modif])=Final_Sans_VGE[[#This Row],[date_modif]],
      "Ancien",
      "Modifié"),
   "Nouveau"))</f>
        <v>#VALUE!</v>
      </c>
      <c r="AD5528" s="1" t="str">
        <f>IFERROR(IF(Final_Sans_VGE[[#This Row],[ppn_z]]="","",IFERROR(
   IF(_xlfn.XLOOKUP(Final_Sans_VGE[[#This Row],[ppn_z]],tbl_Historique_Final[[#This Row],[ppn_z]],tbl_Historique_Final[[#This Row],[date_modif]])=Final_Sans_VGE[[#This Row],[date_modif]],
      "Ancien",
      "Modifié"),
   "Nouveau")),"")</f>
        <v/>
      </c>
    </row>
    <row r="5529" spans="24:30" x14ac:dyDescent="0.25">
      <c r="X5529" s="8" t="e">
        <f>IF(Final_Sans_VGE[[#This Row],[ppn_z]]="","",IFERROR(
   IF(_xlfn.XLOOKUP(Final_Sans_VGE[[#This Row],[ppn_z]],tbl_Historique_Final[ppn_z],tbl_Historique_Final[date_modif])=Final_Sans_VGE[[#This Row],[date_modif]],
      "Ancien",
      "Modifié"),
   "Nouveau"))</f>
        <v>#VALUE!</v>
      </c>
      <c r="AD5529" s="1" t="str">
        <f>IFERROR(IF(Final_Sans_VGE[[#This Row],[ppn_z]]="","",IFERROR(
   IF(_xlfn.XLOOKUP(Final_Sans_VGE[[#This Row],[ppn_z]],tbl_Historique_Final[[#This Row],[ppn_z]],tbl_Historique_Final[[#This Row],[date_modif]])=Final_Sans_VGE[[#This Row],[date_modif]],
      "Ancien",
      "Modifié"),
   "Nouveau")),"")</f>
        <v/>
      </c>
    </row>
    <row r="5530" spans="24:30" x14ac:dyDescent="0.25">
      <c r="X5530" s="8" t="e">
        <f>IF(Final_Sans_VGE[[#This Row],[ppn_z]]="","",IFERROR(
   IF(_xlfn.XLOOKUP(Final_Sans_VGE[[#This Row],[ppn_z]],tbl_Historique_Final[ppn_z],tbl_Historique_Final[date_modif])=Final_Sans_VGE[[#This Row],[date_modif]],
      "Ancien",
      "Modifié"),
   "Nouveau"))</f>
        <v>#VALUE!</v>
      </c>
      <c r="AD5530" s="1" t="str">
        <f>IFERROR(IF(Final_Sans_VGE[[#This Row],[ppn_z]]="","",IFERROR(
   IF(_xlfn.XLOOKUP(Final_Sans_VGE[[#This Row],[ppn_z]],tbl_Historique_Final[[#This Row],[ppn_z]],tbl_Historique_Final[[#This Row],[date_modif]])=Final_Sans_VGE[[#This Row],[date_modif]],
      "Ancien",
      "Modifié"),
   "Nouveau")),"")</f>
        <v/>
      </c>
    </row>
    <row r="5531" spans="24:30" x14ac:dyDescent="0.25">
      <c r="X5531" s="8" t="e">
        <f>IF(Final_Sans_VGE[[#This Row],[ppn_z]]="","",IFERROR(
   IF(_xlfn.XLOOKUP(Final_Sans_VGE[[#This Row],[ppn_z]],tbl_Historique_Final[ppn_z],tbl_Historique_Final[date_modif])=Final_Sans_VGE[[#This Row],[date_modif]],
      "Ancien",
      "Modifié"),
   "Nouveau"))</f>
        <v>#VALUE!</v>
      </c>
      <c r="AD5531" s="1" t="str">
        <f>IFERROR(IF(Final_Sans_VGE[[#This Row],[ppn_z]]="","",IFERROR(
   IF(_xlfn.XLOOKUP(Final_Sans_VGE[[#This Row],[ppn_z]],tbl_Historique_Final[[#This Row],[ppn_z]],tbl_Historique_Final[[#This Row],[date_modif]])=Final_Sans_VGE[[#This Row],[date_modif]],
      "Ancien",
      "Modifié"),
   "Nouveau")),"")</f>
        <v/>
      </c>
    </row>
    <row r="5532" spans="24:30" x14ac:dyDescent="0.25">
      <c r="X5532" s="8" t="e">
        <f>IF(Final_Sans_VGE[[#This Row],[ppn_z]]="","",IFERROR(
   IF(_xlfn.XLOOKUP(Final_Sans_VGE[[#This Row],[ppn_z]],tbl_Historique_Final[ppn_z],tbl_Historique_Final[date_modif])=Final_Sans_VGE[[#This Row],[date_modif]],
      "Ancien",
      "Modifié"),
   "Nouveau"))</f>
        <v>#VALUE!</v>
      </c>
      <c r="AD5532" s="1" t="str">
        <f>IFERROR(IF(Final_Sans_VGE[[#This Row],[ppn_z]]="","",IFERROR(
   IF(_xlfn.XLOOKUP(Final_Sans_VGE[[#This Row],[ppn_z]],tbl_Historique_Final[[#This Row],[ppn_z]],tbl_Historique_Final[[#This Row],[date_modif]])=Final_Sans_VGE[[#This Row],[date_modif]],
      "Ancien",
      "Modifié"),
   "Nouveau")),"")</f>
        <v/>
      </c>
    </row>
    <row r="5533" spans="24:30" x14ac:dyDescent="0.25">
      <c r="X5533" s="8" t="e">
        <f>IF(Final_Sans_VGE[[#This Row],[ppn_z]]="","",IFERROR(
   IF(_xlfn.XLOOKUP(Final_Sans_VGE[[#This Row],[ppn_z]],tbl_Historique_Final[ppn_z],tbl_Historique_Final[date_modif])=Final_Sans_VGE[[#This Row],[date_modif]],
      "Ancien",
      "Modifié"),
   "Nouveau"))</f>
        <v>#VALUE!</v>
      </c>
      <c r="AD5533" s="1" t="str">
        <f>IFERROR(IF(Final_Sans_VGE[[#This Row],[ppn_z]]="","",IFERROR(
   IF(_xlfn.XLOOKUP(Final_Sans_VGE[[#This Row],[ppn_z]],tbl_Historique_Final[[#This Row],[ppn_z]],tbl_Historique_Final[[#This Row],[date_modif]])=Final_Sans_VGE[[#This Row],[date_modif]],
      "Ancien",
      "Modifié"),
   "Nouveau")),"")</f>
        <v/>
      </c>
    </row>
    <row r="5534" spans="24:30" x14ac:dyDescent="0.25">
      <c r="X5534" s="8" t="e">
        <f>IF(Final_Sans_VGE[[#This Row],[ppn_z]]="","",IFERROR(
   IF(_xlfn.XLOOKUP(Final_Sans_VGE[[#This Row],[ppn_z]],tbl_Historique_Final[ppn_z],tbl_Historique_Final[date_modif])=Final_Sans_VGE[[#This Row],[date_modif]],
      "Ancien",
      "Modifié"),
   "Nouveau"))</f>
        <v>#VALUE!</v>
      </c>
      <c r="AD5534" s="1" t="str">
        <f>IFERROR(IF(Final_Sans_VGE[[#This Row],[ppn_z]]="","",IFERROR(
   IF(_xlfn.XLOOKUP(Final_Sans_VGE[[#This Row],[ppn_z]],tbl_Historique_Final[[#This Row],[ppn_z]],tbl_Historique_Final[[#This Row],[date_modif]])=Final_Sans_VGE[[#This Row],[date_modif]],
      "Ancien",
      "Modifié"),
   "Nouveau")),"")</f>
        <v/>
      </c>
    </row>
    <row r="5535" spans="24:30" x14ac:dyDescent="0.25">
      <c r="X5535" s="8" t="e">
        <f>IF(Final_Sans_VGE[[#This Row],[ppn_z]]="","",IFERROR(
   IF(_xlfn.XLOOKUP(Final_Sans_VGE[[#This Row],[ppn_z]],tbl_Historique_Final[ppn_z],tbl_Historique_Final[date_modif])=Final_Sans_VGE[[#This Row],[date_modif]],
      "Ancien",
      "Modifié"),
   "Nouveau"))</f>
        <v>#VALUE!</v>
      </c>
      <c r="AD5535" s="1" t="str">
        <f>IFERROR(IF(Final_Sans_VGE[[#This Row],[ppn_z]]="","",IFERROR(
   IF(_xlfn.XLOOKUP(Final_Sans_VGE[[#This Row],[ppn_z]],tbl_Historique_Final[[#This Row],[ppn_z]],tbl_Historique_Final[[#This Row],[date_modif]])=Final_Sans_VGE[[#This Row],[date_modif]],
      "Ancien",
      "Modifié"),
   "Nouveau")),"")</f>
        <v/>
      </c>
    </row>
    <row r="5536" spans="24:30" x14ac:dyDescent="0.25">
      <c r="X5536" s="8" t="e">
        <f>IF(Final_Sans_VGE[[#This Row],[ppn_z]]="","",IFERROR(
   IF(_xlfn.XLOOKUP(Final_Sans_VGE[[#This Row],[ppn_z]],tbl_Historique_Final[ppn_z],tbl_Historique_Final[date_modif])=Final_Sans_VGE[[#This Row],[date_modif]],
      "Ancien",
      "Modifié"),
   "Nouveau"))</f>
        <v>#VALUE!</v>
      </c>
      <c r="AD5536" s="1" t="str">
        <f>IFERROR(IF(Final_Sans_VGE[[#This Row],[ppn_z]]="","",IFERROR(
   IF(_xlfn.XLOOKUP(Final_Sans_VGE[[#This Row],[ppn_z]],tbl_Historique_Final[[#This Row],[ppn_z]],tbl_Historique_Final[[#This Row],[date_modif]])=Final_Sans_VGE[[#This Row],[date_modif]],
      "Ancien",
      "Modifié"),
   "Nouveau")),"")</f>
        <v/>
      </c>
    </row>
    <row r="5537" spans="24:30" x14ac:dyDescent="0.25">
      <c r="X5537" s="8" t="e">
        <f>IF(Final_Sans_VGE[[#This Row],[ppn_z]]="","",IFERROR(
   IF(_xlfn.XLOOKUP(Final_Sans_VGE[[#This Row],[ppn_z]],tbl_Historique_Final[ppn_z],tbl_Historique_Final[date_modif])=Final_Sans_VGE[[#This Row],[date_modif]],
      "Ancien",
      "Modifié"),
   "Nouveau"))</f>
        <v>#VALUE!</v>
      </c>
      <c r="AD5537" s="1" t="str">
        <f>IFERROR(IF(Final_Sans_VGE[[#This Row],[ppn_z]]="","",IFERROR(
   IF(_xlfn.XLOOKUP(Final_Sans_VGE[[#This Row],[ppn_z]],tbl_Historique_Final[[#This Row],[ppn_z]],tbl_Historique_Final[[#This Row],[date_modif]])=Final_Sans_VGE[[#This Row],[date_modif]],
      "Ancien",
      "Modifié"),
   "Nouveau")),"")</f>
        <v/>
      </c>
    </row>
    <row r="5538" spans="24:30" x14ac:dyDescent="0.25">
      <c r="X5538" s="8" t="e">
        <f>IF(Final_Sans_VGE[[#This Row],[ppn_z]]="","",IFERROR(
   IF(_xlfn.XLOOKUP(Final_Sans_VGE[[#This Row],[ppn_z]],tbl_Historique_Final[ppn_z],tbl_Historique_Final[date_modif])=Final_Sans_VGE[[#This Row],[date_modif]],
      "Ancien",
      "Modifié"),
   "Nouveau"))</f>
        <v>#VALUE!</v>
      </c>
      <c r="AD5538" s="1" t="str">
        <f>IFERROR(IF(Final_Sans_VGE[[#This Row],[ppn_z]]="","",IFERROR(
   IF(_xlfn.XLOOKUP(Final_Sans_VGE[[#This Row],[ppn_z]],tbl_Historique_Final[[#This Row],[ppn_z]],tbl_Historique_Final[[#This Row],[date_modif]])=Final_Sans_VGE[[#This Row],[date_modif]],
      "Ancien",
      "Modifié"),
   "Nouveau")),"")</f>
        <v/>
      </c>
    </row>
    <row r="5539" spans="24:30" x14ac:dyDescent="0.25">
      <c r="X5539" s="8" t="e">
        <f>IF(Final_Sans_VGE[[#This Row],[ppn_z]]="","",IFERROR(
   IF(_xlfn.XLOOKUP(Final_Sans_VGE[[#This Row],[ppn_z]],tbl_Historique_Final[ppn_z],tbl_Historique_Final[date_modif])=Final_Sans_VGE[[#This Row],[date_modif]],
      "Ancien",
      "Modifié"),
   "Nouveau"))</f>
        <v>#VALUE!</v>
      </c>
      <c r="AD5539" s="1" t="str">
        <f>IFERROR(IF(Final_Sans_VGE[[#This Row],[ppn_z]]="","",IFERROR(
   IF(_xlfn.XLOOKUP(Final_Sans_VGE[[#This Row],[ppn_z]],tbl_Historique_Final[[#This Row],[ppn_z]],tbl_Historique_Final[[#This Row],[date_modif]])=Final_Sans_VGE[[#This Row],[date_modif]],
      "Ancien",
      "Modifié"),
   "Nouveau")),"")</f>
        <v/>
      </c>
    </row>
    <row r="5540" spans="24:30" x14ac:dyDescent="0.25">
      <c r="X5540" s="8" t="e">
        <f>IF(Final_Sans_VGE[[#This Row],[ppn_z]]="","",IFERROR(
   IF(_xlfn.XLOOKUP(Final_Sans_VGE[[#This Row],[ppn_z]],tbl_Historique_Final[ppn_z],tbl_Historique_Final[date_modif])=Final_Sans_VGE[[#This Row],[date_modif]],
      "Ancien",
      "Modifié"),
   "Nouveau"))</f>
        <v>#VALUE!</v>
      </c>
      <c r="AD5540" s="1" t="str">
        <f>IFERROR(IF(Final_Sans_VGE[[#This Row],[ppn_z]]="","",IFERROR(
   IF(_xlfn.XLOOKUP(Final_Sans_VGE[[#This Row],[ppn_z]],tbl_Historique_Final[[#This Row],[ppn_z]],tbl_Historique_Final[[#This Row],[date_modif]])=Final_Sans_VGE[[#This Row],[date_modif]],
      "Ancien",
      "Modifié"),
   "Nouveau")),"")</f>
        <v/>
      </c>
    </row>
    <row r="5541" spans="24:30" x14ac:dyDescent="0.25">
      <c r="X5541" s="8" t="e">
        <f>IF(Final_Sans_VGE[[#This Row],[ppn_z]]="","",IFERROR(
   IF(_xlfn.XLOOKUP(Final_Sans_VGE[[#This Row],[ppn_z]],tbl_Historique_Final[ppn_z],tbl_Historique_Final[date_modif])=Final_Sans_VGE[[#This Row],[date_modif]],
      "Ancien",
      "Modifié"),
   "Nouveau"))</f>
        <v>#VALUE!</v>
      </c>
      <c r="AD5541" s="1" t="str">
        <f>IFERROR(IF(Final_Sans_VGE[[#This Row],[ppn_z]]="","",IFERROR(
   IF(_xlfn.XLOOKUP(Final_Sans_VGE[[#This Row],[ppn_z]],tbl_Historique_Final[[#This Row],[ppn_z]],tbl_Historique_Final[[#This Row],[date_modif]])=Final_Sans_VGE[[#This Row],[date_modif]],
      "Ancien",
      "Modifié"),
   "Nouveau")),"")</f>
        <v/>
      </c>
    </row>
    <row r="5542" spans="24:30" x14ac:dyDescent="0.25">
      <c r="X5542" s="8" t="e">
        <f>IF(Final_Sans_VGE[[#This Row],[ppn_z]]="","",IFERROR(
   IF(_xlfn.XLOOKUP(Final_Sans_VGE[[#This Row],[ppn_z]],tbl_Historique_Final[ppn_z],tbl_Historique_Final[date_modif])=Final_Sans_VGE[[#This Row],[date_modif]],
      "Ancien",
      "Modifié"),
   "Nouveau"))</f>
        <v>#VALUE!</v>
      </c>
      <c r="AD5542" s="1" t="str">
        <f>IFERROR(IF(Final_Sans_VGE[[#This Row],[ppn_z]]="","",IFERROR(
   IF(_xlfn.XLOOKUP(Final_Sans_VGE[[#This Row],[ppn_z]],tbl_Historique_Final[[#This Row],[ppn_z]],tbl_Historique_Final[[#This Row],[date_modif]])=Final_Sans_VGE[[#This Row],[date_modif]],
      "Ancien",
      "Modifié"),
   "Nouveau")),"")</f>
        <v/>
      </c>
    </row>
    <row r="5543" spans="24:30" x14ac:dyDescent="0.25">
      <c r="X5543" s="8" t="e">
        <f>IF(Final_Sans_VGE[[#This Row],[ppn_z]]="","",IFERROR(
   IF(_xlfn.XLOOKUP(Final_Sans_VGE[[#This Row],[ppn_z]],tbl_Historique_Final[ppn_z],tbl_Historique_Final[date_modif])=Final_Sans_VGE[[#This Row],[date_modif]],
      "Ancien",
      "Modifié"),
   "Nouveau"))</f>
        <v>#VALUE!</v>
      </c>
      <c r="AD5543" s="1" t="str">
        <f>IFERROR(IF(Final_Sans_VGE[[#This Row],[ppn_z]]="","",IFERROR(
   IF(_xlfn.XLOOKUP(Final_Sans_VGE[[#This Row],[ppn_z]],tbl_Historique_Final[[#This Row],[ppn_z]],tbl_Historique_Final[[#This Row],[date_modif]])=Final_Sans_VGE[[#This Row],[date_modif]],
      "Ancien",
      "Modifié"),
   "Nouveau")),"")</f>
        <v/>
      </c>
    </row>
    <row r="5544" spans="24:30" x14ac:dyDescent="0.25">
      <c r="X5544" s="8" t="e">
        <f>IF(Final_Sans_VGE[[#This Row],[ppn_z]]="","",IFERROR(
   IF(_xlfn.XLOOKUP(Final_Sans_VGE[[#This Row],[ppn_z]],tbl_Historique_Final[ppn_z],tbl_Historique_Final[date_modif])=Final_Sans_VGE[[#This Row],[date_modif]],
      "Ancien",
      "Modifié"),
   "Nouveau"))</f>
        <v>#VALUE!</v>
      </c>
      <c r="AD5544" s="1" t="str">
        <f>IFERROR(IF(Final_Sans_VGE[[#This Row],[ppn_z]]="","",IFERROR(
   IF(_xlfn.XLOOKUP(Final_Sans_VGE[[#This Row],[ppn_z]],tbl_Historique_Final[[#This Row],[ppn_z]],tbl_Historique_Final[[#This Row],[date_modif]])=Final_Sans_VGE[[#This Row],[date_modif]],
      "Ancien",
      "Modifié"),
   "Nouveau")),"")</f>
        <v/>
      </c>
    </row>
    <row r="5545" spans="24:30" x14ac:dyDescent="0.25">
      <c r="X5545" s="8" t="e">
        <f>IF(Final_Sans_VGE[[#This Row],[ppn_z]]="","",IFERROR(
   IF(_xlfn.XLOOKUP(Final_Sans_VGE[[#This Row],[ppn_z]],tbl_Historique_Final[ppn_z],tbl_Historique_Final[date_modif])=Final_Sans_VGE[[#This Row],[date_modif]],
      "Ancien",
      "Modifié"),
   "Nouveau"))</f>
        <v>#VALUE!</v>
      </c>
      <c r="AD5545" s="1" t="str">
        <f>IFERROR(IF(Final_Sans_VGE[[#This Row],[ppn_z]]="","",IFERROR(
   IF(_xlfn.XLOOKUP(Final_Sans_VGE[[#This Row],[ppn_z]],tbl_Historique_Final[[#This Row],[ppn_z]],tbl_Historique_Final[[#This Row],[date_modif]])=Final_Sans_VGE[[#This Row],[date_modif]],
      "Ancien",
      "Modifié"),
   "Nouveau")),"")</f>
        <v/>
      </c>
    </row>
    <row r="5546" spans="24:30" x14ac:dyDescent="0.25">
      <c r="X5546" s="8" t="e">
        <f>IF(Final_Sans_VGE[[#This Row],[ppn_z]]="","",IFERROR(
   IF(_xlfn.XLOOKUP(Final_Sans_VGE[[#This Row],[ppn_z]],tbl_Historique_Final[ppn_z],tbl_Historique_Final[date_modif])=Final_Sans_VGE[[#This Row],[date_modif]],
      "Ancien",
      "Modifié"),
   "Nouveau"))</f>
        <v>#VALUE!</v>
      </c>
      <c r="AD5546" s="1" t="str">
        <f>IFERROR(IF(Final_Sans_VGE[[#This Row],[ppn_z]]="","",IFERROR(
   IF(_xlfn.XLOOKUP(Final_Sans_VGE[[#This Row],[ppn_z]],tbl_Historique_Final[[#This Row],[ppn_z]],tbl_Historique_Final[[#This Row],[date_modif]])=Final_Sans_VGE[[#This Row],[date_modif]],
      "Ancien",
      "Modifié"),
   "Nouveau")),"")</f>
        <v/>
      </c>
    </row>
    <row r="5547" spans="24:30" x14ac:dyDescent="0.25">
      <c r="X5547" s="8" t="e">
        <f>IF(Final_Sans_VGE[[#This Row],[ppn_z]]="","",IFERROR(
   IF(_xlfn.XLOOKUP(Final_Sans_VGE[[#This Row],[ppn_z]],tbl_Historique_Final[ppn_z],tbl_Historique_Final[date_modif])=Final_Sans_VGE[[#This Row],[date_modif]],
      "Ancien",
      "Modifié"),
   "Nouveau"))</f>
        <v>#VALUE!</v>
      </c>
      <c r="AD5547" s="1" t="str">
        <f>IFERROR(IF(Final_Sans_VGE[[#This Row],[ppn_z]]="","",IFERROR(
   IF(_xlfn.XLOOKUP(Final_Sans_VGE[[#This Row],[ppn_z]],tbl_Historique_Final[[#This Row],[ppn_z]],tbl_Historique_Final[[#This Row],[date_modif]])=Final_Sans_VGE[[#This Row],[date_modif]],
      "Ancien",
      "Modifié"),
   "Nouveau")),"")</f>
        <v/>
      </c>
    </row>
    <row r="5548" spans="24:30" x14ac:dyDescent="0.25">
      <c r="X5548" s="8" t="e">
        <f>IF(Final_Sans_VGE[[#This Row],[ppn_z]]="","",IFERROR(
   IF(_xlfn.XLOOKUP(Final_Sans_VGE[[#This Row],[ppn_z]],tbl_Historique_Final[ppn_z],tbl_Historique_Final[date_modif])=Final_Sans_VGE[[#This Row],[date_modif]],
      "Ancien",
      "Modifié"),
   "Nouveau"))</f>
        <v>#VALUE!</v>
      </c>
      <c r="AD5548" s="1" t="str">
        <f>IFERROR(IF(Final_Sans_VGE[[#This Row],[ppn_z]]="","",IFERROR(
   IF(_xlfn.XLOOKUP(Final_Sans_VGE[[#This Row],[ppn_z]],tbl_Historique_Final[[#This Row],[ppn_z]],tbl_Historique_Final[[#This Row],[date_modif]])=Final_Sans_VGE[[#This Row],[date_modif]],
      "Ancien",
      "Modifié"),
   "Nouveau")),"")</f>
        <v/>
      </c>
    </row>
    <row r="5549" spans="24:30" x14ac:dyDescent="0.25">
      <c r="X5549" s="8" t="e">
        <f>IF(Final_Sans_VGE[[#This Row],[ppn_z]]="","",IFERROR(
   IF(_xlfn.XLOOKUP(Final_Sans_VGE[[#This Row],[ppn_z]],tbl_Historique_Final[ppn_z],tbl_Historique_Final[date_modif])=Final_Sans_VGE[[#This Row],[date_modif]],
      "Ancien",
      "Modifié"),
   "Nouveau"))</f>
        <v>#VALUE!</v>
      </c>
      <c r="AD5549" s="1" t="str">
        <f>IFERROR(IF(Final_Sans_VGE[[#This Row],[ppn_z]]="","",IFERROR(
   IF(_xlfn.XLOOKUP(Final_Sans_VGE[[#This Row],[ppn_z]],tbl_Historique_Final[[#This Row],[ppn_z]],tbl_Historique_Final[[#This Row],[date_modif]])=Final_Sans_VGE[[#This Row],[date_modif]],
      "Ancien",
      "Modifié"),
   "Nouveau")),"")</f>
        <v/>
      </c>
    </row>
    <row r="5550" spans="24:30" x14ac:dyDescent="0.25">
      <c r="X5550" s="8" t="e">
        <f>IF(Final_Sans_VGE[[#This Row],[ppn_z]]="","",IFERROR(
   IF(_xlfn.XLOOKUP(Final_Sans_VGE[[#This Row],[ppn_z]],tbl_Historique_Final[ppn_z],tbl_Historique_Final[date_modif])=Final_Sans_VGE[[#This Row],[date_modif]],
      "Ancien",
      "Modifié"),
   "Nouveau"))</f>
        <v>#VALUE!</v>
      </c>
      <c r="AD5550" s="1" t="str">
        <f>IFERROR(IF(Final_Sans_VGE[[#This Row],[ppn_z]]="","",IFERROR(
   IF(_xlfn.XLOOKUP(Final_Sans_VGE[[#This Row],[ppn_z]],tbl_Historique_Final[[#This Row],[ppn_z]],tbl_Historique_Final[[#This Row],[date_modif]])=Final_Sans_VGE[[#This Row],[date_modif]],
      "Ancien",
      "Modifié"),
   "Nouveau")),"")</f>
        <v/>
      </c>
    </row>
    <row r="5551" spans="24:30" x14ac:dyDescent="0.25">
      <c r="X5551" s="8" t="e">
        <f>IF(Final_Sans_VGE[[#This Row],[ppn_z]]="","",IFERROR(
   IF(_xlfn.XLOOKUP(Final_Sans_VGE[[#This Row],[ppn_z]],tbl_Historique_Final[ppn_z],tbl_Historique_Final[date_modif])=Final_Sans_VGE[[#This Row],[date_modif]],
      "Ancien",
      "Modifié"),
   "Nouveau"))</f>
        <v>#VALUE!</v>
      </c>
      <c r="AD5551" s="1" t="str">
        <f>IFERROR(IF(Final_Sans_VGE[[#This Row],[ppn_z]]="","",IFERROR(
   IF(_xlfn.XLOOKUP(Final_Sans_VGE[[#This Row],[ppn_z]],tbl_Historique_Final[[#This Row],[ppn_z]],tbl_Historique_Final[[#This Row],[date_modif]])=Final_Sans_VGE[[#This Row],[date_modif]],
      "Ancien",
      "Modifié"),
   "Nouveau")),"")</f>
        <v/>
      </c>
    </row>
    <row r="5552" spans="24:30" x14ac:dyDescent="0.25">
      <c r="X5552" s="8" t="e">
        <f>IF(Final_Sans_VGE[[#This Row],[ppn_z]]="","",IFERROR(
   IF(_xlfn.XLOOKUP(Final_Sans_VGE[[#This Row],[ppn_z]],tbl_Historique_Final[ppn_z],tbl_Historique_Final[date_modif])=Final_Sans_VGE[[#This Row],[date_modif]],
      "Ancien",
      "Modifié"),
   "Nouveau"))</f>
        <v>#VALUE!</v>
      </c>
      <c r="AD5552" s="1" t="str">
        <f>IFERROR(IF(Final_Sans_VGE[[#This Row],[ppn_z]]="","",IFERROR(
   IF(_xlfn.XLOOKUP(Final_Sans_VGE[[#This Row],[ppn_z]],tbl_Historique_Final[[#This Row],[ppn_z]],tbl_Historique_Final[[#This Row],[date_modif]])=Final_Sans_VGE[[#This Row],[date_modif]],
      "Ancien",
      "Modifié"),
   "Nouveau")),"")</f>
        <v/>
      </c>
    </row>
    <row r="5553" spans="24:30" x14ac:dyDescent="0.25">
      <c r="X5553" s="8" t="e">
        <f>IF(Final_Sans_VGE[[#This Row],[ppn_z]]="","",IFERROR(
   IF(_xlfn.XLOOKUP(Final_Sans_VGE[[#This Row],[ppn_z]],tbl_Historique_Final[ppn_z],tbl_Historique_Final[date_modif])=Final_Sans_VGE[[#This Row],[date_modif]],
      "Ancien",
      "Modifié"),
   "Nouveau"))</f>
        <v>#VALUE!</v>
      </c>
      <c r="AD5553" s="1" t="str">
        <f>IFERROR(IF(Final_Sans_VGE[[#This Row],[ppn_z]]="","",IFERROR(
   IF(_xlfn.XLOOKUP(Final_Sans_VGE[[#This Row],[ppn_z]],tbl_Historique_Final[[#This Row],[ppn_z]],tbl_Historique_Final[[#This Row],[date_modif]])=Final_Sans_VGE[[#This Row],[date_modif]],
      "Ancien",
      "Modifié"),
   "Nouveau")),"")</f>
        <v/>
      </c>
    </row>
    <row r="5554" spans="24:30" x14ac:dyDescent="0.25">
      <c r="X5554" s="8" t="e">
        <f>IF(Final_Sans_VGE[[#This Row],[ppn_z]]="","",IFERROR(
   IF(_xlfn.XLOOKUP(Final_Sans_VGE[[#This Row],[ppn_z]],tbl_Historique_Final[ppn_z],tbl_Historique_Final[date_modif])=Final_Sans_VGE[[#This Row],[date_modif]],
      "Ancien",
      "Modifié"),
   "Nouveau"))</f>
        <v>#VALUE!</v>
      </c>
      <c r="AD5554" s="1" t="str">
        <f>IFERROR(IF(Final_Sans_VGE[[#This Row],[ppn_z]]="","",IFERROR(
   IF(_xlfn.XLOOKUP(Final_Sans_VGE[[#This Row],[ppn_z]],tbl_Historique_Final[[#This Row],[ppn_z]],tbl_Historique_Final[[#This Row],[date_modif]])=Final_Sans_VGE[[#This Row],[date_modif]],
      "Ancien",
      "Modifié"),
   "Nouveau")),"")</f>
        <v/>
      </c>
    </row>
    <row r="5555" spans="24:30" x14ac:dyDescent="0.25">
      <c r="X5555" s="8" t="e">
        <f>IF(Final_Sans_VGE[[#This Row],[ppn_z]]="","",IFERROR(
   IF(_xlfn.XLOOKUP(Final_Sans_VGE[[#This Row],[ppn_z]],tbl_Historique_Final[ppn_z],tbl_Historique_Final[date_modif])=Final_Sans_VGE[[#This Row],[date_modif]],
      "Ancien",
      "Modifié"),
   "Nouveau"))</f>
        <v>#VALUE!</v>
      </c>
      <c r="AD5555" s="1" t="str">
        <f>IFERROR(IF(Final_Sans_VGE[[#This Row],[ppn_z]]="","",IFERROR(
   IF(_xlfn.XLOOKUP(Final_Sans_VGE[[#This Row],[ppn_z]],tbl_Historique_Final[[#This Row],[ppn_z]],tbl_Historique_Final[[#This Row],[date_modif]])=Final_Sans_VGE[[#This Row],[date_modif]],
      "Ancien",
      "Modifié"),
   "Nouveau")),"")</f>
        <v/>
      </c>
    </row>
    <row r="5556" spans="24:30" x14ac:dyDescent="0.25">
      <c r="X5556" s="8" t="e">
        <f>IF(Final_Sans_VGE[[#This Row],[ppn_z]]="","",IFERROR(
   IF(_xlfn.XLOOKUP(Final_Sans_VGE[[#This Row],[ppn_z]],tbl_Historique_Final[ppn_z],tbl_Historique_Final[date_modif])=Final_Sans_VGE[[#This Row],[date_modif]],
      "Ancien",
      "Modifié"),
   "Nouveau"))</f>
        <v>#VALUE!</v>
      </c>
      <c r="AD5556" s="1" t="str">
        <f>IFERROR(IF(Final_Sans_VGE[[#This Row],[ppn_z]]="","",IFERROR(
   IF(_xlfn.XLOOKUP(Final_Sans_VGE[[#This Row],[ppn_z]],tbl_Historique_Final[[#This Row],[ppn_z]],tbl_Historique_Final[[#This Row],[date_modif]])=Final_Sans_VGE[[#This Row],[date_modif]],
      "Ancien",
      "Modifié"),
   "Nouveau")),"")</f>
        <v/>
      </c>
    </row>
    <row r="5557" spans="24:30" x14ac:dyDescent="0.25">
      <c r="X5557" s="8" t="e">
        <f>IF(Final_Sans_VGE[[#This Row],[ppn_z]]="","",IFERROR(
   IF(_xlfn.XLOOKUP(Final_Sans_VGE[[#This Row],[ppn_z]],tbl_Historique_Final[ppn_z],tbl_Historique_Final[date_modif])=Final_Sans_VGE[[#This Row],[date_modif]],
      "Ancien",
      "Modifié"),
   "Nouveau"))</f>
        <v>#VALUE!</v>
      </c>
      <c r="AD5557" s="1" t="str">
        <f>IFERROR(IF(Final_Sans_VGE[[#This Row],[ppn_z]]="","",IFERROR(
   IF(_xlfn.XLOOKUP(Final_Sans_VGE[[#This Row],[ppn_z]],tbl_Historique_Final[[#This Row],[ppn_z]],tbl_Historique_Final[[#This Row],[date_modif]])=Final_Sans_VGE[[#This Row],[date_modif]],
      "Ancien",
      "Modifié"),
   "Nouveau")),"")</f>
        <v/>
      </c>
    </row>
    <row r="5558" spans="24:30" x14ac:dyDescent="0.25">
      <c r="X5558" s="8" t="e">
        <f>IF(Final_Sans_VGE[[#This Row],[ppn_z]]="","",IFERROR(
   IF(_xlfn.XLOOKUP(Final_Sans_VGE[[#This Row],[ppn_z]],tbl_Historique_Final[ppn_z],tbl_Historique_Final[date_modif])=Final_Sans_VGE[[#This Row],[date_modif]],
      "Ancien",
      "Modifié"),
   "Nouveau"))</f>
        <v>#VALUE!</v>
      </c>
      <c r="AD5558" s="1" t="str">
        <f>IFERROR(IF(Final_Sans_VGE[[#This Row],[ppn_z]]="","",IFERROR(
   IF(_xlfn.XLOOKUP(Final_Sans_VGE[[#This Row],[ppn_z]],tbl_Historique_Final[[#This Row],[ppn_z]],tbl_Historique_Final[[#This Row],[date_modif]])=Final_Sans_VGE[[#This Row],[date_modif]],
      "Ancien",
      "Modifié"),
   "Nouveau")),"")</f>
        <v/>
      </c>
    </row>
    <row r="5559" spans="24:30" x14ac:dyDescent="0.25">
      <c r="X5559" s="8" t="e">
        <f>IF(Final_Sans_VGE[[#This Row],[ppn_z]]="","",IFERROR(
   IF(_xlfn.XLOOKUP(Final_Sans_VGE[[#This Row],[ppn_z]],tbl_Historique_Final[ppn_z],tbl_Historique_Final[date_modif])=Final_Sans_VGE[[#This Row],[date_modif]],
      "Ancien",
      "Modifié"),
   "Nouveau"))</f>
        <v>#VALUE!</v>
      </c>
      <c r="AD5559" s="1" t="str">
        <f>IFERROR(IF(Final_Sans_VGE[[#This Row],[ppn_z]]="","",IFERROR(
   IF(_xlfn.XLOOKUP(Final_Sans_VGE[[#This Row],[ppn_z]],tbl_Historique_Final[[#This Row],[ppn_z]],tbl_Historique_Final[[#This Row],[date_modif]])=Final_Sans_VGE[[#This Row],[date_modif]],
      "Ancien",
      "Modifié"),
   "Nouveau")),"")</f>
        <v/>
      </c>
    </row>
    <row r="5560" spans="24:30" x14ac:dyDescent="0.25">
      <c r="X5560" s="8" t="e">
        <f>IF(Final_Sans_VGE[[#This Row],[ppn_z]]="","",IFERROR(
   IF(_xlfn.XLOOKUP(Final_Sans_VGE[[#This Row],[ppn_z]],tbl_Historique_Final[ppn_z],tbl_Historique_Final[date_modif])=Final_Sans_VGE[[#This Row],[date_modif]],
      "Ancien",
      "Modifié"),
   "Nouveau"))</f>
        <v>#VALUE!</v>
      </c>
      <c r="AD5560" s="1" t="str">
        <f>IFERROR(IF(Final_Sans_VGE[[#This Row],[ppn_z]]="","",IFERROR(
   IF(_xlfn.XLOOKUP(Final_Sans_VGE[[#This Row],[ppn_z]],tbl_Historique_Final[[#This Row],[ppn_z]],tbl_Historique_Final[[#This Row],[date_modif]])=Final_Sans_VGE[[#This Row],[date_modif]],
      "Ancien",
      "Modifié"),
   "Nouveau")),"")</f>
        <v/>
      </c>
    </row>
    <row r="5561" spans="24:30" x14ac:dyDescent="0.25">
      <c r="X5561" s="8" t="e">
        <f>IF(Final_Sans_VGE[[#This Row],[ppn_z]]="","",IFERROR(
   IF(_xlfn.XLOOKUP(Final_Sans_VGE[[#This Row],[ppn_z]],tbl_Historique_Final[ppn_z],tbl_Historique_Final[date_modif])=Final_Sans_VGE[[#This Row],[date_modif]],
      "Ancien",
      "Modifié"),
   "Nouveau"))</f>
        <v>#VALUE!</v>
      </c>
      <c r="AD5561" s="1" t="str">
        <f>IFERROR(IF(Final_Sans_VGE[[#This Row],[ppn_z]]="","",IFERROR(
   IF(_xlfn.XLOOKUP(Final_Sans_VGE[[#This Row],[ppn_z]],tbl_Historique_Final[[#This Row],[ppn_z]],tbl_Historique_Final[[#This Row],[date_modif]])=Final_Sans_VGE[[#This Row],[date_modif]],
      "Ancien",
      "Modifié"),
   "Nouveau")),"")</f>
        <v/>
      </c>
    </row>
    <row r="5562" spans="24:30" x14ac:dyDescent="0.25">
      <c r="X5562" s="8" t="e">
        <f>IF(Final_Sans_VGE[[#This Row],[ppn_z]]="","",IFERROR(
   IF(_xlfn.XLOOKUP(Final_Sans_VGE[[#This Row],[ppn_z]],tbl_Historique_Final[ppn_z],tbl_Historique_Final[date_modif])=Final_Sans_VGE[[#This Row],[date_modif]],
      "Ancien",
      "Modifié"),
   "Nouveau"))</f>
        <v>#VALUE!</v>
      </c>
      <c r="AD5562" s="1" t="str">
        <f>IFERROR(IF(Final_Sans_VGE[[#This Row],[ppn_z]]="","",IFERROR(
   IF(_xlfn.XLOOKUP(Final_Sans_VGE[[#This Row],[ppn_z]],tbl_Historique_Final[[#This Row],[ppn_z]],tbl_Historique_Final[[#This Row],[date_modif]])=Final_Sans_VGE[[#This Row],[date_modif]],
      "Ancien",
      "Modifié"),
   "Nouveau")),"")</f>
        <v/>
      </c>
    </row>
    <row r="5563" spans="24:30" x14ac:dyDescent="0.25">
      <c r="X5563" s="8" t="e">
        <f>IF(Final_Sans_VGE[[#This Row],[ppn_z]]="","",IFERROR(
   IF(_xlfn.XLOOKUP(Final_Sans_VGE[[#This Row],[ppn_z]],tbl_Historique_Final[ppn_z],tbl_Historique_Final[date_modif])=Final_Sans_VGE[[#This Row],[date_modif]],
      "Ancien",
      "Modifié"),
   "Nouveau"))</f>
        <v>#VALUE!</v>
      </c>
      <c r="AD5563" s="1" t="str">
        <f>IFERROR(IF(Final_Sans_VGE[[#This Row],[ppn_z]]="","",IFERROR(
   IF(_xlfn.XLOOKUP(Final_Sans_VGE[[#This Row],[ppn_z]],tbl_Historique_Final[[#This Row],[ppn_z]],tbl_Historique_Final[[#This Row],[date_modif]])=Final_Sans_VGE[[#This Row],[date_modif]],
      "Ancien",
      "Modifié"),
   "Nouveau")),"")</f>
        <v/>
      </c>
    </row>
    <row r="5564" spans="24:30" x14ac:dyDescent="0.25">
      <c r="X5564" s="8" t="e">
        <f>IF(Final_Sans_VGE[[#This Row],[ppn_z]]="","",IFERROR(
   IF(_xlfn.XLOOKUP(Final_Sans_VGE[[#This Row],[ppn_z]],tbl_Historique_Final[ppn_z],tbl_Historique_Final[date_modif])=Final_Sans_VGE[[#This Row],[date_modif]],
      "Ancien",
      "Modifié"),
   "Nouveau"))</f>
        <v>#VALUE!</v>
      </c>
      <c r="AD5564" s="1" t="str">
        <f>IFERROR(IF(Final_Sans_VGE[[#This Row],[ppn_z]]="","",IFERROR(
   IF(_xlfn.XLOOKUP(Final_Sans_VGE[[#This Row],[ppn_z]],tbl_Historique_Final[[#This Row],[ppn_z]],tbl_Historique_Final[[#This Row],[date_modif]])=Final_Sans_VGE[[#This Row],[date_modif]],
      "Ancien",
      "Modifié"),
   "Nouveau")),"")</f>
        <v/>
      </c>
    </row>
    <row r="5565" spans="24:30" x14ac:dyDescent="0.25">
      <c r="X5565" s="8" t="e">
        <f>IF(Final_Sans_VGE[[#This Row],[ppn_z]]="","",IFERROR(
   IF(_xlfn.XLOOKUP(Final_Sans_VGE[[#This Row],[ppn_z]],tbl_Historique_Final[ppn_z],tbl_Historique_Final[date_modif])=Final_Sans_VGE[[#This Row],[date_modif]],
      "Ancien",
      "Modifié"),
   "Nouveau"))</f>
        <v>#VALUE!</v>
      </c>
      <c r="AD5565" s="1" t="str">
        <f>IFERROR(IF(Final_Sans_VGE[[#This Row],[ppn_z]]="","",IFERROR(
   IF(_xlfn.XLOOKUP(Final_Sans_VGE[[#This Row],[ppn_z]],tbl_Historique_Final[[#This Row],[ppn_z]],tbl_Historique_Final[[#This Row],[date_modif]])=Final_Sans_VGE[[#This Row],[date_modif]],
      "Ancien",
      "Modifié"),
   "Nouveau")),"")</f>
        <v/>
      </c>
    </row>
    <row r="5566" spans="24:30" x14ac:dyDescent="0.25">
      <c r="X5566" s="8" t="e">
        <f>IF(Final_Sans_VGE[[#This Row],[ppn_z]]="","",IFERROR(
   IF(_xlfn.XLOOKUP(Final_Sans_VGE[[#This Row],[ppn_z]],tbl_Historique_Final[ppn_z],tbl_Historique_Final[date_modif])=Final_Sans_VGE[[#This Row],[date_modif]],
      "Ancien",
      "Modifié"),
   "Nouveau"))</f>
        <v>#VALUE!</v>
      </c>
      <c r="AD5566" s="1" t="str">
        <f>IFERROR(IF(Final_Sans_VGE[[#This Row],[ppn_z]]="","",IFERROR(
   IF(_xlfn.XLOOKUP(Final_Sans_VGE[[#This Row],[ppn_z]],tbl_Historique_Final[[#This Row],[ppn_z]],tbl_Historique_Final[[#This Row],[date_modif]])=Final_Sans_VGE[[#This Row],[date_modif]],
      "Ancien",
      "Modifié"),
   "Nouveau")),"")</f>
        <v/>
      </c>
    </row>
    <row r="5567" spans="24:30" x14ac:dyDescent="0.25">
      <c r="X5567" s="8" t="e">
        <f>IF(Final_Sans_VGE[[#This Row],[ppn_z]]="","",IFERROR(
   IF(_xlfn.XLOOKUP(Final_Sans_VGE[[#This Row],[ppn_z]],tbl_Historique_Final[ppn_z],tbl_Historique_Final[date_modif])=Final_Sans_VGE[[#This Row],[date_modif]],
      "Ancien",
      "Modifié"),
   "Nouveau"))</f>
        <v>#VALUE!</v>
      </c>
      <c r="AD5567" s="1" t="str">
        <f>IFERROR(IF(Final_Sans_VGE[[#This Row],[ppn_z]]="","",IFERROR(
   IF(_xlfn.XLOOKUP(Final_Sans_VGE[[#This Row],[ppn_z]],tbl_Historique_Final[[#This Row],[ppn_z]],tbl_Historique_Final[[#This Row],[date_modif]])=Final_Sans_VGE[[#This Row],[date_modif]],
      "Ancien",
      "Modifié"),
   "Nouveau")),"")</f>
        <v/>
      </c>
    </row>
    <row r="5568" spans="24:30" x14ac:dyDescent="0.25">
      <c r="X5568" s="8" t="e">
        <f>IF(Final_Sans_VGE[[#This Row],[ppn_z]]="","",IFERROR(
   IF(_xlfn.XLOOKUP(Final_Sans_VGE[[#This Row],[ppn_z]],tbl_Historique_Final[ppn_z],tbl_Historique_Final[date_modif])=Final_Sans_VGE[[#This Row],[date_modif]],
      "Ancien",
      "Modifié"),
   "Nouveau"))</f>
        <v>#VALUE!</v>
      </c>
      <c r="AD5568" s="1" t="str">
        <f>IFERROR(IF(Final_Sans_VGE[[#This Row],[ppn_z]]="","",IFERROR(
   IF(_xlfn.XLOOKUP(Final_Sans_VGE[[#This Row],[ppn_z]],tbl_Historique_Final[[#This Row],[ppn_z]],tbl_Historique_Final[[#This Row],[date_modif]])=Final_Sans_VGE[[#This Row],[date_modif]],
      "Ancien",
      "Modifié"),
   "Nouveau")),"")</f>
        <v/>
      </c>
    </row>
    <row r="5569" spans="24:30" x14ac:dyDescent="0.25">
      <c r="X5569" s="8" t="e">
        <f>IF(Final_Sans_VGE[[#This Row],[ppn_z]]="","",IFERROR(
   IF(_xlfn.XLOOKUP(Final_Sans_VGE[[#This Row],[ppn_z]],tbl_Historique_Final[ppn_z],tbl_Historique_Final[date_modif])=Final_Sans_VGE[[#This Row],[date_modif]],
      "Ancien",
      "Modifié"),
   "Nouveau"))</f>
        <v>#VALUE!</v>
      </c>
      <c r="AD5569" s="1" t="str">
        <f>IFERROR(IF(Final_Sans_VGE[[#This Row],[ppn_z]]="","",IFERROR(
   IF(_xlfn.XLOOKUP(Final_Sans_VGE[[#This Row],[ppn_z]],tbl_Historique_Final[[#This Row],[ppn_z]],tbl_Historique_Final[[#This Row],[date_modif]])=Final_Sans_VGE[[#This Row],[date_modif]],
      "Ancien",
      "Modifié"),
   "Nouveau")),"")</f>
        <v/>
      </c>
    </row>
    <row r="5570" spans="24:30" x14ac:dyDescent="0.25">
      <c r="X5570" s="8" t="e">
        <f>IF(Final_Sans_VGE[[#This Row],[ppn_z]]="","",IFERROR(
   IF(_xlfn.XLOOKUP(Final_Sans_VGE[[#This Row],[ppn_z]],tbl_Historique_Final[ppn_z],tbl_Historique_Final[date_modif])=Final_Sans_VGE[[#This Row],[date_modif]],
      "Ancien",
      "Modifié"),
   "Nouveau"))</f>
        <v>#VALUE!</v>
      </c>
      <c r="AD5570" s="1" t="str">
        <f>IFERROR(IF(Final_Sans_VGE[[#This Row],[ppn_z]]="","",IFERROR(
   IF(_xlfn.XLOOKUP(Final_Sans_VGE[[#This Row],[ppn_z]],tbl_Historique_Final[[#This Row],[ppn_z]],tbl_Historique_Final[[#This Row],[date_modif]])=Final_Sans_VGE[[#This Row],[date_modif]],
      "Ancien",
      "Modifié"),
   "Nouveau")),"")</f>
        <v/>
      </c>
    </row>
    <row r="5571" spans="24:30" x14ac:dyDescent="0.25">
      <c r="X5571" s="8" t="e">
        <f>IF(Final_Sans_VGE[[#This Row],[ppn_z]]="","",IFERROR(
   IF(_xlfn.XLOOKUP(Final_Sans_VGE[[#This Row],[ppn_z]],tbl_Historique_Final[ppn_z],tbl_Historique_Final[date_modif])=Final_Sans_VGE[[#This Row],[date_modif]],
      "Ancien",
      "Modifié"),
   "Nouveau"))</f>
        <v>#VALUE!</v>
      </c>
      <c r="AD5571" s="1" t="str">
        <f>IFERROR(IF(Final_Sans_VGE[[#This Row],[ppn_z]]="","",IFERROR(
   IF(_xlfn.XLOOKUP(Final_Sans_VGE[[#This Row],[ppn_z]],tbl_Historique_Final[[#This Row],[ppn_z]],tbl_Historique_Final[[#This Row],[date_modif]])=Final_Sans_VGE[[#This Row],[date_modif]],
      "Ancien",
      "Modifié"),
   "Nouveau")),"")</f>
        <v/>
      </c>
    </row>
    <row r="5572" spans="24:30" x14ac:dyDescent="0.25">
      <c r="X5572" s="8" t="e">
        <f>IF(Final_Sans_VGE[[#This Row],[ppn_z]]="","",IFERROR(
   IF(_xlfn.XLOOKUP(Final_Sans_VGE[[#This Row],[ppn_z]],tbl_Historique_Final[ppn_z],tbl_Historique_Final[date_modif])=Final_Sans_VGE[[#This Row],[date_modif]],
      "Ancien",
      "Modifié"),
   "Nouveau"))</f>
        <v>#VALUE!</v>
      </c>
      <c r="AD5572" s="1" t="str">
        <f>IFERROR(IF(Final_Sans_VGE[[#This Row],[ppn_z]]="","",IFERROR(
   IF(_xlfn.XLOOKUP(Final_Sans_VGE[[#This Row],[ppn_z]],tbl_Historique_Final[[#This Row],[ppn_z]],tbl_Historique_Final[[#This Row],[date_modif]])=Final_Sans_VGE[[#This Row],[date_modif]],
      "Ancien",
      "Modifié"),
   "Nouveau")),"")</f>
        <v/>
      </c>
    </row>
    <row r="5573" spans="24:30" x14ac:dyDescent="0.25">
      <c r="X5573" s="8" t="e">
        <f>IF(Final_Sans_VGE[[#This Row],[ppn_z]]="","",IFERROR(
   IF(_xlfn.XLOOKUP(Final_Sans_VGE[[#This Row],[ppn_z]],tbl_Historique_Final[ppn_z],tbl_Historique_Final[date_modif])=Final_Sans_VGE[[#This Row],[date_modif]],
      "Ancien",
      "Modifié"),
   "Nouveau"))</f>
        <v>#VALUE!</v>
      </c>
      <c r="AD5573" s="1" t="str">
        <f>IFERROR(IF(Final_Sans_VGE[[#This Row],[ppn_z]]="","",IFERROR(
   IF(_xlfn.XLOOKUP(Final_Sans_VGE[[#This Row],[ppn_z]],tbl_Historique_Final[[#This Row],[ppn_z]],tbl_Historique_Final[[#This Row],[date_modif]])=Final_Sans_VGE[[#This Row],[date_modif]],
      "Ancien",
      "Modifié"),
   "Nouveau")),"")</f>
        <v/>
      </c>
    </row>
    <row r="5574" spans="24:30" x14ac:dyDescent="0.25">
      <c r="X5574" s="8" t="e">
        <f>IF(Final_Sans_VGE[[#This Row],[ppn_z]]="","",IFERROR(
   IF(_xlfn.XLOOKUP(Final_Sans_VGE[[#This Row],[ppn_z]],tbl_Historique_Final[ppn_z],tbl_Historique_Final[date_modif])=Final_Sans_VGE[[#This Row],[date_modif]],
      "Ancien",
      "Modifié"),
   "Nouveau"))</f>
        <v>#VALUE!</v>
      </c>
      <c r="AD5574" s="1" t="str">
        <f>IFERROR(IF(Final_Sans_VGE[[#This Row],[ppn_z]]="","",IFERROR(
   IF(_xlfn.XLOOKUP(Final_Sans_VGE[[#This Row],[ppn_z]],tbl_Historique_Final[[#This Row],[ppn_z]],tbl_Historique_Final[[#This Row],[date_modif]])=Final_Sans_VGE[[#This Row],[date_modif]],
      "Ancien",
      "Modifié"),
   "Nouveau")),"")</f>
        <v/>
      </c>
    </row>
    <row r="5575" spans="24:30" x14ac:dyDescent="0.25">
      <c r="X5575" s="8" t="e">
        <f>IF(Final_Sans_VGE[[#This Row],[ppn_z]]="","",IFERROR(
   IF(_xlfn.XLOOKUP(Final_Sans_VGE[[#This Row],[ppn_z]],tbl_Historique_Final[ppn_z],tbl_Historique_Final[date_modif])=Final_Sans_VGE[[#This Row],[date_modif]],
      "Ancien",
      "Modifié"),
   "Nouveau"))</f>
        <v>#VALUE!</v>
      </c>
      <c r="AD5575" s="1" t="str">
        <f>IFERROR(IF(Final_Sans_VGE[[#This Row],[ppn_z]]="","",IFERROR(
   IF(_xlfn.XLOOKUP(Final_Sans_VGE[[#This Row],[ppn_z]],tbl_Historique_Final[[#This Row],[ppn_z]],tbl_Historique_Final[[#This Row],[date_modif]])=Final_Sans_VGE[[#This Row],[date_modif]],
      "Ancien",
      "Modifié"),
   "Nouveau")),"")</f>
        <v/>
      </c>
    </row>
    <row r="5576" spans="24:30" x14ac:dyDescent="0.25">
      <c r="X5576" s="8" t="e">
        <f>IF(Final_Sans_VGE[[#This Row],[ppn_z]]="","",IFERROR(
   IF(_xlfn.XLOOKUP(Final_Sans_VGE[[#This Row],[ppn_z]],tbl_Historique_Final[ppn_z],tbl_Historique_Final[date_modif])=Final_Sans_VGE[[#This Row],[date_modif]],
      "Ancien",
      "Modifié"),
   "Nouveau"))</f>
        <v>#VALUE!</v>
      </c>
      <c r="AD5576" s="1" t="str">
        <f>IFERROR(IF(Final_Sans_VGE[[#This Row],[ppn_z]]="","",IFERROR(
   IF(_xlfn.XLOOKUP(Final_Sans_VGE[[#This Row],[ppn_z]],tbl_Historique_Final[[#This Row],[ppn_z]],tbl_Historique_Final[[#This Row],[date_modif]])=Final_Sans_VGE[[#This Row],[date_modif]],
      "Ancien",
      "Modifié"),
   "Nouveau")),"")</f>
        <v/>
      </c>
    </row>
    <row r="5577" spans="24:30" x14ac:dyDescent="0.25">
      <c r="X5577" s="8" t="e">
        <f>IF(Final_Sans_VGE[[#This Row],[ppn_z]]="","",IFERROR(
   IF(_xlfn.XLOOKUP(Final_Sans_VGE[[#This Row],[ppn_z]],tbl_Historique_Final[ppn_z],tbl_Historique_Final[date_modif])=Final_Sans_VGE[[#This Row],[date_modif]],
      "Ancien",
      "Modifié"),
   "Nouveau"))</f>
        <v>#VALUE!</v>
      </c>
      <c r="AD5577" s="1" t="str">
        <f>IFERROR(IF(Final_Sans_VGE[[#This Row],[ppn_z]]="","",IFERROR(
   IF(_xlfn.XLOOKUP(Final_Sans_VGE[[#This Row],[ppn_z]],tbl_Historique_Final[[#This Row],[ppn_z]],tbl_Historique_Final[[#This Row],[date_modif]])=Final_Sans_VGE[[#This Row],[date_modif]],
      "Ancien",
      "Modifié"),
   "Nouveau")),"")</f>
        <v/>
      </c>
    </row>
    <row r="5578" spans="24:30" x14ac:dyDescent="0.25">
      <c r="X5578" s="8" t="e">
        <f>IF(Final_Sans_VGE[[#This Row],[ppn_z]]="","",IFERROR(
   IF(_xlfn.XLOOKUP(Final_Sans_VGE[[#This Row],[ppn_z]],tbl_Historique_Final[ppn_z],tbl_Historique_Final[date_modif])=Final_Sans_VGE[[#This Row],[date_modif]],
      "Ancien",
      "Modifié"),
   "Nouveau"))</f>
        <v>#VALUE!</v>
      </c>
      <c r="AD5578" s="1" t="str">
        <f>IFERROR(IF(Final_Sans_VGE[[#This Row],[ppn_z]]="","",IFERROR(
   IF(_xlfn.XLOOKUP(Final_Sans_VGE[[#This Row],[ppn_z]],tbl_Historique_Final[[#This Row],[ppn_z]],tbl_Historique_Final[[#This Row],[date_modif]])=Final_Sans_VGE[[#This Row],[date_modif]],
      "Ancien",
      "Modifié"),
   "Nouveau")),"")</f>
        <v/>
      </c>
    </row>
    <row r="5579" spans="24:30" x14ac:dyDescent="0.25">
      <c r="X5579" s="8" t="e">
        <f>IF(Final_Sans_VGE[[#This Row],[ppn_z]]="","",IFERROR(
   IF(_xlfn.XLOOKUP(Final_Sans_VGE[[#This Row],[ppn_z]],tbl_Historique_Final[ppn_z],tbl_Historique_Final[date_modif])=Final_Sans_VGE[[#This Row],[date_modif]],
      "Ancien",
      "Modifié"),
   "Nouveau"))</f>
        <v>#VALUE!</v>
      </c>
      <c r="AD5579" s="1" t="str">
        <f>IFERROR(IF(Final_Sans_VGE[[#This Row],[ppn_z]]="","",IFERROR(
   IF(_xlfn.XLOOKUP(Final_Sans_VGE[[#This Row],[ppn_z]],tbl_Historique_Final[[#This Row],[ppn_z]],tbl_Historique_Final[[#This Row],[date_modif]])=Final_Sans_VGE[[#This Row],[date_modif]],
      "Ancien",
      "Modifié"),
   "Nouveau")),"")</f>
        <v/>
      </c>
    </row>
    <row r="5580" spans="24:30" x14ac:dyDescent="0.25">
      <c r="X5580" s="8" t="e">
        <f>IF(Final_Sans_VGE[[#This Row],[ppn_z]]="","",IFERROR(
   IF(_xlfn.XLOOKUP(Final_Sans_VGE[[#This Row],[ppn_z]],tbl_Historique_Final[ppn_z],tbl_Historique_Final[date_modif])=Final_Sans_VGE[[#This Row],[date_modif]],
      "Ancien",
      "Modifié"),
   "Nouveau"))</f>
        <v>#VALUE!</v>
      </c>
      <c r="AD5580" s="1" t="str">
        <f>IFERROR(IF(Final_Sans_VGE[[#This Row],[ppn_z]]="","",IFERROR(
   IF(_xlfn.XLOOKUP(Final_Sans_VGE[[#This Row],[ppn_z]],tbl_Historique_Final[[#This Row],[ppn_z]],tbl_Historique_Final[[#This Row],[date_modif]])=Final_Sans_VGE[[#This Row],[date_modif]],
      "Ancien",
      "Modifié"),
   "Nouveau")),"")</f>
        <v/>
      </c>
    </row>
    <row r="5581" spans="24:30" x14ac:dyDescent="0.25">
      <c r="X5581" s="8" t="e">
        <f>IF(Final_Sans_VGE[[#This Row],[ppn_z]]="","",IFERROR(
   IF(_xlfn.XLOOKUP(Final_Sans_VGE[[#This Row],[ppn_z]],tbl_Historique_Final[ppn_z],tbl_Historique_Final[date_modif])=Final_Sans_VGE[[#This Row],[date_modif]],
      "Ancien",
      "Modifié"),
   "Nouveau"))</f>
        <v>#VALUE!</v>
      </c>
      <c r="AD5581" s="1" t="str">
        <f>IFERROR(IF(Final_Sans_VGE[[#This Row],[ppn_z]]="","",IFERROR(
   IF(_xlfn.XLOOKUP(Final_Sans_VGE[[#This Row],[ppn_z]],tbl_Historique_Final[[#This Row],[ppn_z]],tbl_Historique_Final[[#This Row],[date_modif]])=Final_Sans_VGE[[#This Row],[date_modif]],
      "Ancien",
      "Modifié"),
   "Nouveau")),"")</f>
        <v/>
      </c>
    </row>
    <row r="5582" spans="24:30" x14ac:dyDescent="0.25">
      <c r="X5582" s="8" t="e">
        <f>IF(Final_Sans_VGE[[#This Row],[ppn_z]]="","",IFERROR(
   IF(_xlfn.XLOOKUP(Final_Sans_VGE[[#This Row],[ppn_z]],tbl_Historique_Final[ppn_z],tbl_Historique_Final[date_modif])=Final_Sans_VGE[[#This Row],[date_modif]],
      "Ancien",
      "Modifié"),
   "Nouveau"))</f>
        <v>#VALUE!</v>
      </c>
      <c r="AD5582" s="1" t="str">
        <f>IFERROR(IF(Final_Sans_VGE[[#This Row],[ppn_z]]="","",IFERROR(
   IF(_xlfn.XLOOKUP(Final_Sans_VGE[[#This Row],[ppn_z]],tbl_Historique_Final[[#This Row],[ppn_z]],tbl_Historique_Final[[#This Row],[date_modif]])=Final_Sans_VGE[[#This Row],[date_modif]],
      "Ancien",
      "Modifié"),
   "Nouveau")),"")</f>
        <v/>
      </c>
    </row>
    <row r="5583" spans="24:30" x14ac:dyDescent="0.25">
      <c r="X5583" s="8" t="e">
        <f>IF(Final_Sans_VGE[[#This Row],[ppn_z]]="","",IFERROR(
   IF(_xlfn.XLOOKUP(Final_Sans_VGE[[#This Row],[ppn_z]],tbl_Historique_Final[ppn_z],tbl_Historique_Final[date_modif])=Final_Sans_VGE[[#This Row],[date_modif]],
      "Ancien",
      "Modifié"),
   "Nouveau"))</f>
        <v>#VALUE!</v>
      </c>
      <c r="AD5583" s="1" t="str">
        <f>IFERROR(IF(Final_Sans_VGE[[#This Row],[ppn_z]]="","",IFERROR(
   IF(_xlfn.XLOOKUP(Final_Sans_VGE[[#This Row],[ppn_z]],tbl_Historique_Final[[#This Row],[ppn_z]],tbl_Historique_Final[[#This Row],[date_modif]])=Final_Sans_VGE[[#This Row],[date_modif]],
      "Ancien",
      "Modifié"),
   "Nouveau")),"")</f>
        <v/>
      </c>
    </row>
    <row r="5584" spans="24:30" x14ac:dyDescent="0.25">
      <c r="X5584" s="8" t="e">
        <f>IF(Final_Sans_VGE[[#This Row],[ppn_z]]="","",IFERROR(
   IF(_xlfn.XLOOKUP(Final_Sans_VGE[[#This Row],[ppn_z]],tbl_Historique_Final[ppn_z],tbl_Historique_Final[date_modif])=Final_Sans_VGE[[#This Row],[date_modif]],
      "Ancien",
      "Modifié"),
   "Nouveau"))</f>
        <v>#VALUE!</v>
      </c>
      <c r="AD5584" s="1" t="str">
        <f>IFERROR(IF(Final_Sans_VGE[[#This Row],[ppn_z]]="","",IFERROR(
   IF(_xlfn.XLOOKUP(Final_Sans_VGE[[#This Row],[ppn_z]],tbl_Historique_Final[[#This Row],[ppn_z]],tbl_Historique_Final[[#This Row],[date_modif]])=Final_Sans_VGE[[#This Row],[date_modif]],
      "Ancien",
      "Modifié"),
   "Nouveau")),"")</f>
        <v/>
      </c>
    </row>
    <row r="5585" spans="24:30" x14ac:dyDescent="0.25">
      <c r="X5585" s="8" t="e">
        <f>IF(Final_Sans_VGE[[#This Row],[ppn_z]]="","",IFERROR(
   IF(_xlfn.XLOOKUP(Final_Sans_VGE[[#This Row],[ppn_z]],tbl_Historique_Final[ppn_z],tbl_Historique_Final[date_modif])=Final_Sans_VGE[[#This Row],[date_modif]],
      "Ancien",
      "Modifié"),
   "Nouveau"))</f>
        <v>#VALUE!</v>
      </c>
      <c r="AD5585" s="1" t="str">
        <f>IFERROR(IF(Final_Sans_VGE[[#This Row],[ppn_z]]="","",IFERROR(
   IF(_xlfn.XLOOKUP(Final_Sans_VGE[[#This Row],[ppn_z]],tbl_Historique_Final[[#This Row],[ppn_z]],tbl_Historique_Final[[#This Row],[date_modif]])=Final_Sans_VGE[[#This Row],[date_modif]],
      "Ancien",
      "Modifié"),
   "Nouveau")),"")</f>
        <v/>
      </c>
    </row>
    <row r="5586" spans="24:30" x14ac:dyDescent="0.25">
      <c r="X5586" s="8" t="e">
        <f>IF(Final_Sans_VGE[[#This Row],[ppn_z]]="","",IFERROR(
   IF(_xlfn.XLOOKUP(Final_Sans_VGE[[#This Row],[ppn_z]],tbl_Historique_Final[ppn_z],tbl_Historique_Final[date_modif])=Final_Sans_VGE[[#This Row],[date_modif]],
      "Ancien",
      "Modifié"),
   "Nouveau"))</f>
        <v>#VALUE!</v>
      </c>
      <c r="AD5586" s="1" t="str">
        <f>IFERROR(IF(Final_Sans_VGE[[#This Row],[ppn_z]]="","",IFERROR(
   IF(_xlfn.XLOOKUP(Final_Sans_VGE[[#This Row],[ppn_z]],tbl_Historique_Final[[#This Row],[ppn_z]],tbl_Historique_Final[[#This Row],[date_modif]])=Final_Sans_VGE[[#This Row],[date_modif]],
      "Ancien",
      "Modifié"),
   "Nouveau")),"")</f>
        <v/>
      </c>
    </row>
    <row r="5587" spans="24:30" x14ac:dyDescent="0.25">
      <c r="X5587" s="8" t="e">
        <f>IF(Final_Sans_VGE[[#This Row],[ppn_z]]="","",IFERROR(
   IF(_xlfn.XLOOKUP(Final_Sans_VGE[[#This Row],[ppn_z]],tbl_Historique_Final[ppn_z],tbl_Historique_Final[date_modif])=Final_Sans_VGE[[#This Row],[date_modif]],
      "Ancien",
      "Modifié"),
   "Nouveau"))</f>
        <v>#VALUE!</v>
      </c>
      <c r="AD5587" s="1" t="str">
        <f>IFERROR(IF(Final_Sans_VGE[[#This Row],[ppn_z]]="","",IFERROR(
   IF(_xlfn.XLOOKUP(Final_Sans_VGE[[#This Row],[ppn_z]],tbl_Historique_Final[[#This Row],[ppn_z]],tbl_Historique_Final[[#This Row],[date_modif]])=Final_Sans_VGE[[#This Row],[date_modif]],
      "Ancien",
      "Modifié"),
   "Nouveau")),"")</f>
        <v/>
      </c>
    </row>
    <row r="5588" spans="24:30" x14ac:dyDescent="0.25">
      <c r="X5588" s="8" t="e">
        <f>IF(Final_Sans_VGE[[#This Row],[ppn_z]]="","",IFERROR(
   IF(_xlfn.XLOOKUP(Final_Sans_VGE[[#This Row],[ppn_z]],tbl_Historique_Final[ppn_z],tbl_Historique_Final[date_modif])=Final_Sans_VGE[[#This Row],[date_modif]],
      "Ancien",
      "Modifié"),
   "Nouveau"))</f>
        <v>#VALUE!</v>
      </c>
      <c r="AD5588" s="1" t="str">
        <f>IFERROR(IF(Final_Sans_VGE[[#This Row],[ppn_z]]="","",IFERROR(
   IF(_xlfn.XLOOKUP(Final_Sans_VGE[[#This Row],[ppn_z]],tbl_Historique_Final[[#This Row],[ppn_z]],tbl_Historique_Final[[#This Row],[date_modif]])=Final_Sans_VGE[[#This Row],[date_modif]],
      "Ancien",
      "Modifié"),
   "Nouveau")),"")</f>
        <v/>
      </c>
    </row>
    <row r="5589" spans="24:30" x14ac:dyDescent="0.25">
      <c r="X5589" s="8" t="e">
        <f>IF(Final_Sans_VGE[[#This Row],[ppn_z]]="","",IFERROR(
   IF(_xlfn.XLOOKUP(Final_Sans_VGE[[#This Row],[ppn_z]],tbl_Historique_Final[ppn_z],tbl_Historique_Final[date_modif])=Final_Sans_VGE[[#This Row],[date_modif]],
      "Ancien",
      "Modifié"),
   "Nouveau"))</f>
        <v>#VALUE!</v>
      </c>
      <c r="AD5589" s="1" t="str">
        <f>IFERROR(IF(Final_Sans_VGE[[#This Row],[ppn_z]]="","",IFERROR(
   IF(_xlfn.XLOOKUP(Final_Sans_VGE[[#This Row],[ppn_z]],tbl_Historique_Final[[#This Row],[ppn_z]],tbl_Historique_Final[[#This Row],[date_modif]])=Final_Sans_VGE[[#This Row],[date_modif]],
      "Ancien",
      "Modifié"),
   "Nouveau")),"")</f>
        <v/>
      </c>
    </row>
    <row r="5590" spans="24:30" x14ac:dyDescent="0.25">
      <c r="X5590" s="8" t="e">
        <f>IF(Final_Sans_VGE[[#This Row],[ppn_z]]="","",IFERROR(
   IF(_xlfn.XLOOKUP(Final_Sans_VGE[[#This Row],[ppn_z]],tbl_Historique_Final[ppn_z],tbl_Historique_Final[date_modif])=Final_Sans_VGE[[#This Row],[date_modif]],
      "Ancien",
      "Modifié"),
   "Nouveau"))</f>
        <v>#VALUE!</v>
      </c>
      <c r="AD5590" s="1" t="str">
        <f>IFERROR(IF(Final_Sans_VGE[[#This Row],[ppn_z]]="","",IFERROR(
   IF(_xlfn.XLOOKUP(Final_Sans_VGE[[#This Row],[ppn_z]],tbl_Historique_Final[[#This Row],[ppn_z]],tbl_Historique_Final[[#This Row],[date_modif]])=Final_Sans_VGE[[#This Row],[date_modif]],
      "Ancien",
      "Modifié"),
   "Nouveau")),"")</f>
        <v/>
      </c>
    </row>
    <row r="5591" spans="24:30" x14ac:dyDescent="0.25">
      <c r="X5591" s="8" t="e">
        <f>IF(Final_Sans_VGE[[#This Row],[ppn_z]]="","",IFERROR(
   IF(_xlfn.XLOOKUP(Final_Sans_VGE[[#This Row],[ppn_z]],tbl_Historique_Final[ppn_z],tbl_Historique_Final[date_modif])=Final_Sans_VGE[[#This Row],[date_modif]],
      "Ancien",
      "Modifié"),
   "Nouveau"))</f>
        <v>#VALUE!</v>
      </c>
      <c r="AD5591" s="1" t="str">
        <f>IFERROR(IF(Final_Sans_VGE[[#This Row],[ppn_z]]="","",IFERROR(
   IF(_xlfn.XLOOKUP(Final_Sans_VGE[[#This Row],[ppn_z]],tbl_Historique_Final[[#This Row],[ppn_z]],tbl_Historique_Final[[#This Row],[date_modif]])=Final_Sans_VGE[[#This Row],[date_modif]],
      "Ancien",
      "Modifié"),
   "Nouveau")),"")</f>
        <v/>
      </c>
    </row>
    <row r="5592" spans="24:30" x14ac:dyDescent="0.25">
      <c r="X5592" s="8" t="e">
        <f>IF(Final_Sans_VGE[[#This Row],[ppn_z]]="","",IFERROR(
   IF(_xlfn.XLOOKUP(Final_Sans_VGE[[#This Row],[ppn_z]],tbl_Historique_Final[ppn_z],tbl_Historique_Final[date_modif])=Final_Sans_VGE[[#This Row],[date_modif]],
      "Ancien",
      "Modifié"),
   "Nouveau"))</f>
        <v>#VALUE!</v>
      </c>
      <c r="AD5592" s="1" t="str">
        <f>IFERROR(IF(Final_Sans_VGE[[#This Row],[ppn_z]]="","",IFERROR(
   IF(_xlfn.XLOOKUP(Final_Sans_VGE[[#This Row],[ppn_z]],tbl_Historique_Final[[#This Row],[ppn_z]],tbl_Historique_Final[[#This Row],[date_modif]])=Final_Sans_VGE[[#This Row],[date_modif]],
      "Ancien",
      "Modifié"),
   "Nouveau")),"")</f>
        <v/>
      </c>
    </row>
    <row r="5593" spans="24:30" x14ac:dyDescent="0.25">
      <c r="X5593" s="8" t="e">
        <f>IF(Final_Sans_VGE[[#This Row],[ppn_z]]="","",IFERROR(
   IF(_xlfn.XLOOKUP(Final_Sans_VGE[[#This Row],[ppn_z]],tbl_Historique_Final[ppn_z],tbl_Historique_Final[date_modif])=Final_Sans_VGE[[#This Row],[date_modif]],
      "Ancien",
      "Modifié"),
   "Nouveau"))</f>
        <v>#VALUE!</v>
      </c>
      <c r="AD5593" s="1" t="str">
        <f>IFERROR(IF(Final_Sans_VGE[[#This Row],[ppn_z]]="","",IFERROR(
   IF(_xlfn.XLOOKUP(Final_Sans_VGE[[#This Row],[ppn_z]],tbl_Historique_Final[[#This Row],[ppn_z]],tbl_Historique_Final[[#This Row],[date_modif]])=Final_Sans_VGE[[#This Row],[date_modif]],
      "Ancien",
      "Modifié"),
   "Nouveau")),"")</f>
        <v/>
      </c>
    </row>
    <row r="5594" spans="24:30" x14ac:dyDescent="0.25">
      <c r="X5594" s="8" t="e">
        <f>IF(Final_Sans_VGE[[#This Row],[ppn_z]]="","",IFERROR(
   IF(_xlfn.XLOOKUP(Final_Sans_VGE[[#This Row],[ppn_z]],tbl_Historique_Final[ppn_z],tbl_Historique_Final[date_modif])=Final_Sans_VGE[[#This Row],[date_modif]],
      "Ancien",
      "Modifié"),
   "Nouveau"))</f>
        <v>#VALUE!</v>
      </c>
      <c r="AD5594" s="1" t="str">
        <f>IFERROR(IF(Final_Sans_VGE[[#This Row],[ppn_z]]="","",IFERROR(
   IF(_xlfn.XLOOKUP(Final_Sans_VGE[[#This Row],[ppn_z]],tbl_Historique_Final[[#This Row],[ppn_z]],tbl_Historique_Final[[#This Row],[date_modif]])=Final_Sans_VGE[[#This Row],[date_modif]],
      "Ancien",
      "Modifié"),
   "Nouveau")),"")</f>
        <v/>
      </c>
    </row>
    <row r="5595" spans="24:30" x14ac:dyDescent="0.25">
      <c r="X5595" s="8" t="e">
        <f>IF(Final_Sans_VGE[[#This Row],[ppn_z]]="","",IFERROR(
   IF(_xlfn.XLOOKUP(Final_Sans_VGE[[#This Row],[ppn_z]],tbl_Historique_Final[ppn_z],tbl_Historique_Final[date_modif])=Final_Sans_VGE[[#This Row],[date_modif]],
      "Ancien",
      "Modifié"),
   "Nouveau"))</f>
        <v>#VALUE!</v>
      </c>
      <c r="AD5595" s="1" t="str">
        <f>IFERROR(IF(Final_Sans_VGE[[#This Row],[ppn_z]]="","",IFERROR(
   IF(_xlfn.XLOOKUP(Final_Sans_VGE[[#This Row],[ppn_z]],tbl_Historique_Final[[#This Row],[ppn_z]],tbl_Historique_Final[[#This Row],[date_modif]])=Final_Sans_VGE[[#This Row],[date_modif]],
      "Ancien",
      "Modifié"),
   "Nouveau")),"")</f>
        <v/>
      </c>
    </row>
    <row r="5596" spans="24:30" x14ac:dyDescent="0.25">
      <c r="X5596" s="8" t="e">
        <f>IF(Final_Sans_VGE[[#This Row],[ppn_z]]="","",IFERROR(
   IF(_xlfn.XLOOKUP(Final_Sans_VGE[[#This Row],[ppn_z]],tbl_Historique_Final[ppn_z],tbl_Historique_Final[date_modif])=Final_Sans_VGE[[#This Row],[date_modif]],
      "Ancien",
      "Modifié"),
   "Nouveau"))</f>
        <v>#VALUE!</v>
      </c>
      <c r="AD5596" s="1" t="str">
        <f>IFERROR(IF(Final_Sans_VGE[[#This Row],[ppn_z]]="","",IFERROR(
   IF(_xlfn.XLOOKUP(Final_Sans_VGE[[#This Row],[ppn_z]],tbl_Historique_Final[[#This Row],[ppn_z]],tbl_Historique_Final[[#This Row],[date_modif]])=Final_Sans_VGE[[#This Row],[date_modif]],
      "Ancien",
      "Modifié"),
   "Nouveau")),"")</f>
        <v/>
      </c>
    </row>
    <row r="5597" spans="24:30" x14ac:dyDescent="0.25">
      <c r="X5597" s="8" t="e">
        <f>IF(Final_Sans_VGE[[#This Row],[ppn_z]]="","",IFERROR(
   IF(_xlfn.XLOOKUP(Final_Sans_VGE[[#This Row],[ppn_z]],tbl_Historique_Final[ppn_z],tbl_Historique_Final[date_modif])=Final_Sans_VGE[[#This Row],[date_modif]],
      "Ancien",
      "Modifié"),
   "Nouveau"))</f>
        <v>#VALUE!</v>
      </c>
      <c r="AD5597" s="1" t="str">
        <f>IFERROR(IF(Final_Sans_VGE[[#This Row],[ppn_z]]="","",IFERROR(
   IF(_xlfn.XLOOKUP(Final_Sans_VGE[[#This Row],[ppn_z]],tbl_Historique_Final[[#This Row],[ppn_z]],tbl_Historique_Final[[#This Row],[date_modif]])=Final_Sans_VGE[[#This Row],[date_modif]],
      "Ancien",
      "Modifié"),
   "Nouveau")),"")</f>
        <v/>
      </c>
    </row>
    <row r="5598" spans="24:30" x14ac:dyDescent="0.25">
      <c r="X5598" s="8" t="e">
        <f>IF(Final_Sans_VGE[[#This Row],[ppn_z]]="","",IFERROR(
   IF(_xlfn.XLOOKUP(Final_Sans_VGE[[#This Row],[ppn_z]],tbl_Historique_Final[ppn_z],tbl_Historique_Final[date_modif])=Final_Sans_VGE[[#This Row],[date_modif]],
      "Ancien",
      "Modifié"),
   "Nouveau"))</f>
        <v>#VALUE!</v>
      </c>
      <c r="AD5598" s="1" t="str">
        <f>IFERROR(IF(Final_Sans_VGE[[#This Row],[ppn_z]]="","",IFERROR(
   IF(_xlfn.XLOOKUP(Final_Sans_VGE[[#This Row],[ppn_z]],tbl_Historique_Final[[#This Row],[ppn_z]],tbl_Historique_Final[[#This Row],[date_modif]])=Final_Sans_VGE[[#This Row],[date_modif]],
      "Ancien",
      "Modifié"),
   "Nouveau")),"")</f>
        <v/>
      </c>
    </row>
    <row r="5599" spans="24:30" x14ac:dyDescent="0.25">
      <c r="X5599" s="8" t="e">
        <f>IF(Final_Sans_VGE[[#This Row],[ppn_z]]="","",IFERROR(
   IF(_xlfn.XLOOKUP(Final_Sans_VGE[[#This Row],[ppn_z]],tbl_Historique_Final[ppn_z],tbl_Historique_Final[date_modif])=Final_Sans_VGE[[#This Row],[date_modif]],
      "Ancien",
      "Modifié"),
   "Nouveau"))</f>
        <v>#VALUE!</v>
      </c>
      <c r="AD5599" s="1" t="str">
        <f>IFERROR(IF(Final_Sans_VGE[[#This Row],[ppn_z]]="","",IFERROR(
   IF(_xlfn.XLOOKUP(Final_Sans_VGE[[#This Row],[ppn_z]],tbl_Historique_Final[[#This Row],[ppn_z]],tbl_Historique_Final[[#This Row],[date_modif]])=Final_Sans_VGE[[#This Row],[date_modif]],
      "Ancien",
      "Modifié"),
   "Nouveau")),"")</f>
        <v/>
      </c>
    </row>
    <row r="5600" spans="24:30" x14ac:dyDescent="0.25">
      <c r="X5600" s="8" t="e">
        <f>IF(Final_Sans_VGE[[#This Row],[ppn_z]]="","",IFERROR(
   IF(_xlfn.XLOOKUP(Final_Sans_VGE[[#This Row],[ppn_z]],tbl_Historique_Final[ppn_z],tbl_Historique_Final[date_modif])=Final_Sans_VGE[[#This Row],[date_modif]],
      "Ancien",
      "Modifié"),
   "Nouveau"))</f>
        <v>#VALUE!</v>
      </c>
      <c r="AD5600" s="1" t="str">
        <f>IFERROR(IF(Final_Sans_VGE[[#This Row],[ppn_z]]="","",IFERROR(
   IF(_xlfn.XLOOKUP(Final_Sans_VGE[[#This Row],[ppn_z]],tbl_Historique_Final[[#This Row],[ppn_z]],tbl_Historique_Final[[#This Row],[date_modif]])=Final_Sans_VGE[[#This Row],[date_modif]],
      "Ancien",
      "Modifié"),
   "Nouveau")),"")</f>
        <v/>
      </c>
    </row>
    <row r="5601" spans="24:30" x14ac:dyDescent="0.25">
      <c r="X5601" s="8" t="e">
        <f>IF(Final_Sans_VGE[[#This Row],[ppn_z]]="","",IFERROR(
   IF(_xlfn.XLOOKUP(Final_Sans_VGE[[#This Row],[ppn_z]],tbl_Historique_Final[ppn_z],tbl_Historique_Final[date_modif])=Final_Sans_VGE[[#This Row],[date_modif]],
      "Ancien",
      "Modifié"),
   "Nouveau"))</f>
        <v>#VALUE!</v>
      </c>
      <c r="AD5601" s="1" t="str">
        <f>IFERROR(IF(Final_Sans_VGE[[#This Row],[ppn_z]]="","",IFERROR(
   IF(_xlfn.XLOOKUP(Final_Sans_VGE[[#This Row],[ppn_z]],tbl_Historique_Final[[#This Row],[ppn_z]],tbl_Historique_Final[[#This Row],[date_modif]])=Final_Sans_VGE[[#This Row],[date_modif]],
      "Ancien",
      "Modifié"),
   "Nouveau")),"")</f>
        <v/>
      </c>
    </row>
    <row r="5602" spans="24:30" x14ac:dyDescent="0.25">
      <c r="X5602" s="8" t="e">
        <f>IF(Final_Sans_VGE[[#This Row],[ppn_z]]="","",IFERROR(
   IF(_xlfn.XLOOKUP(Final_Sans_VGE[[#This Row],[ppn_z]],tbl_Historique_Final[ppn_z],tbl_Historique_Final[date_modif])=Final_Sans_VGE[[#This Row],[date_modif]],
      "Ancien",
      "Modifié"),
   "Nouveau"))</f>
        <v>#VALUE!</v>
      </c>
      <c r="AD5602" s="1" t="str">
        <f>IFERROR(IF(Final_Sans_VGE[[#This Row],[ppn_z]]="","",IFERROR(
   IF(_xlfn.XLOOKUP(Final_Sans_VGE[[#This Row],[ppn_z]],tbl_Historique_Final[[#This Row],[ppn_z]],tbl_Historique_Final[[#This Row],[date_modif]])=Final_Sans_VGE[[#This Row],[date_modif]],
      "Ancien",
      "Modifié"),
   "Nouveau")),"")</f>
        <v/>
      </c>
    </row>
    <row r="5603" spans="24:30" x14ac:dyDescent="0.25">
      <c r="X5603" s="8" t="e">
        <f>IF(Final_Sans_VGE[[#This Row],[ppn_z]]="","",IFERROR(
   IF(_xlfn.XLOOKUP(Final_Sans_VGE[[#This Row],[ppn_z]],tbl_Historique_Final[ppn_z],tbl_Historique_Final[date_modif])=Final_Sans_VGE[[#This Row],[date_modif]],
      "Ancien",
      "Modifié"),
   "Nouveau"))</f>
        <v>#VALUE!</v>
      </c>
      <c r="AD5603" s="1" t="str">
        <f>IFERROR(IF(Final_Sans_VGE[[#This Row],[ppn_z]]="","",IFERROR(
   IF(_xlfn.XLOOKUP(Final_Sans_VGE[[#This Row],[ppn_z]],tbl_Historique_Final[[#This Row],[ppn_z]],tbl_Historique_Final[[#This Row],[date_modif]])=Final_Sans_VGE[[#This Row],[date_modif]],
      "Ancien",
      "Modifié"),
   "Nouveau")),"")</f>
        <v/>
      </c>
    </row>
    <row r="5604" spans="24:30" x14ac:dyDescent="0.25">
      <c r="X5604" s="8" t="e">
        <f>IF(Final_Sans_VGE[[#This Row],[ppn_z]]="","",IFERROR(
   IF(_xlfn.XLOOKUP(Final_Sans_VGE[[#This Row],[ppn_z]],tbl_Historique_Final[ppn_z],tbl_Historique_Final[date_modif])=Final_Sans_VGE[[#This Row],[date_modif]],
      "Ancien",
      "Modifié"),
   "Nouveau"))</f>
        <v>#VALUE!</v>
      </c>
      <c r="AD5604" s="1" t="str">
        <f>IFERROR(IF(Final_Sans_VGE[[#This Row],[ppn_z]]="","",IFERROR(
   IF(_xlfn.XLOOKUP(Final_Sans_VGE[[#This Row],[ppn_z]],tbl_Historique_Final[[#This Row],[ppn_z]],tbl_Historique_Final[[#This Row],[date_modif]])=Final_Sans_VGE[[#This Row],[date_modif]],
      "Ancien",
      "Modifié"),
   "Nouveau")),"")</f>
        <v/>
      </c>
    </row>
    <row r="5605" spans="24:30" x14ac:dyDescent="0.25">
      <c r="X5605" s="8" t="e">
        <f>IF(Final_Sans_VGE[[#This Row],[ppn_z]]="","",IFERROR(
   IF(_xlfn.XLOOKUP(Final_Sans_VGE[[#This Row],[ppn_z]],tbl_Historique_Final[ppn_z],tbl_Historique_Final[date_modif])=Final_Sans_VGE[[#This Row],[date_modif]],
      "Ancien",
      "Modifié"),
   "Nouveau"))</f>
        <v>#VALUE!</v>
      </c>
      <c r="AD5605" s="1" t="str">
        <f>IFERROR(IF(Final_Sans_VGE[[#This Row],[ppn_z]]="","",IFERROR(
   IF(_xlfn.XLOOKUP(Final_Sans_VGE[[#This Row],[ppn_z]],tbl_Historique_Final[[#This Row],[ppn_z]],tbl_Historique_Final[[#This Row],[date_modif]])=Final_Sans_VGE[[#This Row],[date_modif]],
      "Ancien",
      "Modifié"),
   "Nouveau")),"")</f>
        <v/>
      </c>
    </row>
    <row r="5606" spans="24:30" x14ac:dyDescent="0.25">
      <c r="X5606" s="8" t="e">
        <f>IF(Final_Sans_VGE[[#This Row],[ppn_z]]="","",IFERROR(
   IF(_xlfn.XLOOKUP(Final_Sans_VGE[[#This Row],[ppn_z]],tbl_Historique_Final[ppn_z],tbl_Historique_Final[date_modif])=Final_Sans_VGE[[#This Row],[date_modif]],
      "Ancien",
      "Modifié"),
   "Nouveau"))</f>
        <v>#VALUE!</v>
      </c>
      <c r="AD5606" s="1" t="str">
        <f>IFERROR(IF(Final_Sans_VGE[[#This Row],[ppn_z]]="","",IFERROR(
   IF(_xlfn.XLOOKUP(Final_Sans_VGE[[#This Row],[ppn_z]],tbl_Historique_Final[[#This Row],[ppn_z]],tbl_Historique_Final[[#This Row],[date_modif]])=Final_Sans_VGE[[#This Row],[date_modif]],
      "Ancien",
      "Modifié"),
   "Nouveau")),"")</f>
        <v/>
      </c>
    </row>
    <row r="5607" spans="24:30" x14ac:dyDescent="0.25">
      <c r="X5607" s="8" t="e">
        <f>IF(Final_Sans_VGE[[#This Row],[ppn_z]]="","",IFERROR(
   IF(_xlfn.XLOOKUP(Final_Sans_VGE[[#This Row],[ppn_z]],tbl_Historique_Final[ppn_z],tbl_Historique_Final[date_modif])=Final_Sans_VGE[[#This Row],[date_modif]],
      "Ancien",
      "Modifié"),
   "Nouveau"))</f>
        <v>#VALUE!</v>
      </c>
      <c r="AD5607" s="1" t="str">
        <f>IFERROR(IF(Final_Sans_VGE[[#This Row],[ppn_z]]="","",IFERROR(
   IF(_xlfn.XLOOKUP(Final_Sans_VGE[[#This Row],[ppn_z]],tbl_Historique_Final[[#This Row],[ppn_z]],tbl_Historique_Final[[#This Row],[date_modif]])=Final_Sans_VGE[[#This Row],[date_modif]],
      "Ancien",
      "Modifié"),
   "Nouveau")),"")</f>
        <v/>
      </c>
    </row>
    <row r="5608" spans="24:30" x14ac:dyDescent="0.25">
      <c r="X5608" s="8" t="e">
        <f>IF(Final_Sans_VGE[[#This Row],[ppn_z]]="","",IFERROR(
   IF(_xlfn.XLOOKUP(Final_Sans_VGE[[#This Row],[ppn_z]],tbl_Historique_Final[ppn_z],tbl_Historique_Final[date_modif])=Final_Sans_VGE[[#This Row],[date_modif]],
      "Ancien",
      "Modifié"),
   "Nouveau"))</f>
        <v>#VALUE!</v>
      </c>
      <c r="AD5608" s="1" t="str">
        <f>IFERROR(IF(Final_Sans_VGE[[#This Row],[ppn_z]]="","",IFERROR(
   IF(_xlfn.XLOOKUP(Final_Sans_VGE[[#This Row],[ppn_z]],tbl_Historique_Final[[#This Row],[ppn_z]],tbl_Historique_Final[[#This Row],[date_modif]])=Final_Sans_VGE[[#This Row],[date_modif]],
      "Ancien",
      "Modifié"),
   "Nouveau")),"")</f>
        <v/>
      </c>
    </row>
    <row r="5609" spans="24:30" x14ac:dyDescent="0.25">
      <c r="X5609" s="8" t="e">
        <f>IF(Final_Sans_VGE[[#This Row],[ppn_z]]="","",IFERROR(
   IF(_xlfn.XLOOKUP(Final_Sans_VGE[[#This Row],[ppn_z]],tbl_Historique_Final[ppn_z],tbl_Historique_Final[date_modif])=Final_Sans_VGE[[#This Row],[date_modif]],
      "Ancien",
      "Modifié"),
   "Nouveau"))</f>
        <v>#VALUE!</v>
      </c>
      <c r="AD5609" s="1" t="str">
        <f>IFERROR(IF(Final_Sans_VGE[[#This Row],[ppn_z]]="","",IFERROR(
   IF(_xlfn.XLOOKUP(Final_Sans_VGE[[#This Row],[ppn_z]],tbl_Historique_Final[[#This Row],[ppn_z]],tbl_Historique_Final[[#This Row],[date_modif]])=Final_Sans_VGE[[#This Row],[date_modif]],
      "Ancien",
      "Modifié"),
   "Nouveau")),"")</f>
        <v/>
      </c>
    </row>
    <row r="5610" spans="24:30" x14ac:dyDescent="0.25">
      <c r="X5610" s="8" t="e">
        <f>IF(Final_Sans_VGE[[#This Row],[ppn_z]]="","",IFERROR(
   IF(_xlfn.XLOOKUP(Final_Sans_VGE[[#This Row],[ppn_z]],tbl_Historique_Final[ppn_z],tbl_Historique_Final[date_modif])=Final_Sans_VGE[[#This Row],[date_modif]],
      "Ancien",
      "Modifié"),
   "Nouveau"))</f>
        <v>#VALUE!</v>
      </c>
      <c r="AD5610" s="1" t="str">
        <f>IFERROR(IF(Final_Sans_VGE[[#This Row],[ppn_z]]="","",IFERROR(
   IF(_xlfn.XLOOKUP(Final_Sans_VGE[[#This Row],[ppn_z]],tbl_Historique_Final[[#This Row],[ppn_z]],tbl_Historique_Final[[#This Row],[date_modif]])=Final_Sans_VGE[[#This Row],[date_modif]],
      "Ancien",
      "Modifié"),
   "Nouveau")),"")</f>
        <v/>
      </c>
    </row>
    <row r="5611" spans="24:30" x14ac:dyDescent="0.25">
      <c r="X5611" s="8" t="e">
        <f>IF(Final_Sans_VGE[[#This Row],[ppn_z]]="","",IFERROR(
   IF(_xlfn.XLOOKUP(Final_Sans_VGE[[#This Row],[ppn_z]],tbl_Historique_Final[ppn_z],tbl_Historique_Final[date_modif])=Final_Sans_VGE[[#This Row],[date_modif]],
      "Ancien",
      "Modifié"),
   "Nouveau"))</f>
        <v>#VALUE!</v>
      </c>
      <c r="AD5611" s="1" t="str">
        <f>IFERROR(IF(Final_Sans_VGE[[#This Row],[ppn_z]]="","",IFERROR(
   IF(_xlfn.XLOOKUP(Final_Sans_VGE[[#This Row],[ppn_z]],tbl_Historique_Final[[#This Row],[ppn_z]],tbl_Historique_Final[[#This Row],[date_modif]])=Final_Sans_VGE[[#This Row],[date_modif]],
      "Ancien",
      "Modifié"),
   "Nouveau")),"")</f>
        <v/>
      </c>
    </row>
    <row r="5612" spans="24:30" x14ac:dyDescent="0.25">
      <c r="X5612" s="8" t="e">
        <f>IF(Final_Sans_VGE[[#This Row],[ppn_z]]="","",IFERROR(
   IF(_xlfn.XLOOKUP(Final_Sans_VGE[[#This Row],[ppn_z]],tbl_Historique_Final[ppn_z],tbl_Historique_Final[date_modif])=Final_Sans_VGE[[#This Row],[date_modif]],
      "Ancien",
      "Modifié"),
   "Nouveau"))</f>
        <v>#VALUE!</v>
      </c>
      <c r="AD5612" s="1" t="str">
        <f>IFERROR(IF(Final_Sans_VGE[[#This Row],[ppn_z]]="","",IFERROR(
   IF(_xlfn.XLOOKUP(Final_Sans_VGE[[#This Row],[ppn_z]],tbl_Historique_Final[[#This Row],[ppn_z]],tbl_Historique_Final[[#This Row],[date_modif]])=Final_Sans_VGE[[#This Row],[date_modif]],
      "Ancien",
      "Modifié"),
   "Nouveau")),"")</f>
        <v/>
      </c>
    </row>
    <row r="5613" spans="24:30" x14ac:dyDescent="0.25">
      <c r="X5613" s="8" t="e">
        <f>IF(Final_Sans_VGE[[#This Row],[ppn_z]]="","",IFERROR(
   IF(_xlfn.XLOOKUP(Final_Sans_VGE[[#This Row],[ppn_z]],tbl_Historique_Final[ppn_z],tbl_Historique_Final[date_modif])=Final_Sans_VGE[[#This Row],[date_modif]],
      "Ancien",
      "Modifié"),
   "Nouveau"))</f>
        <v>#VALUE!</v>
      </c>
      <c r="AD5613" s="1" t="str">
        <f>IFERROR(IF(Final_Sans_VGE[[#This Row],[ppn_z]]="","",IFERROR(
   IF(_xlfn.XLOOKUP(Final_Sans_VGE[[#This Row],[ppn_z]],tbl_Historique_Final[[#This Row],[ppn_z]],tbl_Historique_Final[[#This Row],[date_modif]])=Final_Sans_VGE[[#This Row],[date_modif]],
      "Ancien",
      "Modifié"),
   "Nouveau")),"")</f>
        <v/>
      </c>
    </row>
    <row r="5614" spans="24:30" x14ac:dyDescent="0.25">
      <c r="X5614" s="8" t="e">
        <f>IF(Final_Sans_VGE[[#This Row],[ppn_z]]="","",IFERROR(
   IF(_xlfn.XLOOKUP(Final_Sans_VGE[[#This Row],[ppn_z]],tbl_Historique_Final[ppn_z],tbl_Historique_Final[date_modif])=Final_Sans_VGE[[#This Row],[date_modif]],
      "Ancien",
      "Modifié"),
   "Nouveau"))</f>
        <v>#VALUE!</v>
      </c>
      <c r="AD5614" s="1" t="str">
        <f>IFERROR(IF(Final_Sans_VGE[[#This Row],[ppn_z]]="","",IFERROR(
   IF(_xlfn.XLOOKUP(Final_Sans_VGE[[#This Row],[ppn_z]],tbl_Historique_Final[[#This Row],[ppn_z]],tbl_Historique_Final[[#This Row],[date_modif]])=Final_Sans_VGE[[#This Row],[date_modif]],
      "Ancien",
      "Modifié"),
   "Nouveau")),"")</f>
        <v/>
      </c>
    </row>
    <row r="5615" spans="24:30" x14ac:dyDescent="0.25">
      <c r="X5615" s="8" t="e">
        <f>IF(Final_Sans_VGE[[#This Row],[ppn_z]]="","",IFERROR(
   IF(_xlfn.XLOOKUP(Final_Sans_VGE[[#This Row],[ppn_z]],tbl_Historique_Final[ppn_z],tbl_Historique_Final[date_modif])=Final_Sans_VGE[[#This Row],[date_modif]],
      "Ancien",
      "Modifié"),
   "Nouveau"))</f>
        <v>#VALUE!</v>
      </c>
      <c r="AD5615" s="1" t="str">
        <f>IFERROR(IF(Final_Sans_VGE[[#This Row],[ppn_z]]="","",IFERROR(
   IF(_xlfn.XLOOKUP(Final_Sans_VGE[[#This Row],[ppn_z]],tbl_Historique_Final[[#This Row],[ppn_z]],tbl_Historique_Final[[#This Row],[date_modif]])=Final_Sans_VGE[[#This Row],[date_modif]],
      "Ancien",
      "Modifié"),
   "Nouveau")),"")</f>
        <v/>
      </c>
    </row>
    <row r="5616" spans="24:30" x14ac:dyDescent="0.25">
      <c r="X5616" s="8" t="e">
        <f>IF(Final_Sans_VGE[[#This Row],[ppn_z]]="","",IFERROR(
   IF(_xlfn.XLOOKUP(Final_Sans_VGE[[#This Row],[ppn_z]],tbl_Historique_Final[ppn_z],tbl_Historique_Final[date_modif])=Final_Sans_VGE[[#This Row],[date_modif]],
      "Ancien",
      "Modifié"),
   "Nouveau"))</f>
        <v>#VALUE!</v>
      </c>
      <c r="AD5616" s="1" t="str">
        <f>IFERROR(IF(Final_Sans_VGE[[#This Row],[ppn_z]]="","",IFERROR(
   IF(_xlfn.XLOOKUP(Final_Sans_VGE[[#This Row],[ppn_z]],tbl_Historique_Final[[#This Row],[ppn_z]],tbl_Historique_Final[[#This Row],[date_modif]])=Final_Sans_VGE[[#This Row],[date_modif]],
      "Ancien",
      "Modifié"),
   "Nouveau")),"")</f>
        <v/>
      </c>
    </row>
    <row r="5617" spans="24:30" x14ac:dyDescent="0.25">
      <c r="X5617" s="8" t="e">
        <f>IF(Final_Sans_VGE[[#This Row],[ppn_z]]="","",IFERROR(
   IF(_xlfn.XLOOKUP(Final_Sans_VGE[[#This Row],[ppn_z]],tbl_Historique_Final[ppn_z],tbl_Historique_Final[date_modif])=Final_Sans_VGE[[#This Row],[date_modif]],
      "Ancien",
      "Modifié"),
   "Nouveau"))</f>
        <v>#VALUE!</v>
      </c>
      <c r="AD5617" s="1" t="str">
        <f>IFERROR(IF(Final_Sans_VGE[[#This Row],[ppn_z]]="","",IFERROR(
   IF(_xlfn.XLOOKUP(Final_Sans_VGE[[#This Row],[ppn_z]],tbl_Historique_Final[[#This Row],[ppn_z]],tbl_Historique_Final[[#This Row],[date_modif]])=Final_Sans_VGE[[#This Row],[date_modif]],
      "Ancien",
      "Modifié"),
   "Nouveau")),"")</f>
        <v/>
      </c>
    </row>
    <row r="5618" spans="24:30" x14ac:dyDescent="0.25">
      <c r="X5618" s="8" t="e">
        <f>IF(Final_Sans_VGE[[#This Row],[ppn_z]]="","",IFERROR(
   IF(_xlfn.XLOOKUP(Final_Sans_VGE[[#This Row],[ppn_z]],tbl_Historique_Final[ppn_z],tbl_Historique_Final[date_modif])=Final_Sans_VGE[[#This Row],[date_modif]],
      "Ancien",
      "Modifié"),
   "Nouveau"))</f>
        <v>#VALUE!</v>
      </c>
      <c r="AD5618" s="1" t="str">
        <f>IFERROR(IF(Final_Sans_VGE[[#This Row],[ppn_z]]="","",IFERROR(
   IF(_xlfn.XLOOKUP(Final_Sans_VGE[[#This Row],[ppn_z]],tbl_Historique_Final[[#This Row],[ppn_z]],tbl_Historique_Final[[#This Row],[date_modif]])=Final_Sans_VGE[[#This Row],[date_modif]],
      "Ancien",
      "Modifié"),
   "Nouveau")),"")</f>
        <v/>
      </c>
    </row>
    <row r="5619" spans="24:30" x14ac:dyDescent="0.25">
      <c r="X5619" s="8" t="e">
        <f>IF(Final_Sans_VGE[[#This Row],[ppn_z]]="","",IFERROR(
   IF(_xlfn.XLOOKUP(Final_Sans_VGE[[#This Row],[ppn_z]],tbl_Historique_Final[ppn_z],tbl_Historique_Final[date_modif])=Final_Sans_VGE[[#This Row],[date_modif]],
      "Ancien",
      "Modifié"),
   "Nouveau"))</f>
        <v>#VALUE!</v>
      </c>
      <c r="AD5619" s="1" t="str">
        <f>IFERROR(IF(Final_Sans_VGE[[#This Row],[ppn_z]]="","",IFERROR(
   IF(_xlfn.XLOOKUP(Final_Sans_VGE[[#This Row],[ppn_z]],tbl_Historique_Final[[#This Row],[ppn_z]],tbl_Historique_Final[[#This Row],[date_modif]])=Final_Sans_VGE[[#This Row],[date_modif]],
      "Ancien",
      "Modifié"),
   "Nouveau")),"")</f>
        <v/>
      </c>
    </row>
    <row r="5620" spans="24:30" x14ac:dyDescent="0.25">
      <c r="X5620" s="8" t="e">
        <f>IF(Final_Sans_VGE[[#This Row],[ppn_z]]="","",IFERROR(
   IF(_xlfn.XLOOKUP(Final_Sans_VGE[[#This Row],[ppn_z]],tbl_Historique_Final[ppn_z],tbl_Historique_Final[date_modif])=Final_Sans_VGE[[#This Row],[date_modif]],
      "Ancien",
      "Modifié"),
   "Nouveau"))</f>
        <v>#VALUE!</v>
      </c>
      <c r="AD5620" s="1" t="str">
        <f>IFERROR(IF(Final_Sans_VGE[[#This Row],[ppn_z]]="","",IFERROR(
   IF(_xlfn.XLOOKUP(Final_Sans_VGE[[#This Row],[ppn_z]],tbl_Historique_Final[[#This Row],[ppn_z]],tbl_Historique_Final[[#This Row],[date_modif]])=Final_Sans_VGE[[#This Row],[date_modif]],
      "Ancien",
      "Modifié"),
   "Nouveau")),"")</f>
        <v/>
      </c>
    </row>
    <row r="5621" spans="24:30" x14ac:dyDescent="0.25">
      <c r="X5621" s="8" t="e">
        <f>IF(Final_Sans_VGE[[#This Row],[ppn_z]]="","",IFERROR(
   IF(_xlfn.XLOOKUP(Final_Sans_VGE[[#This Row],[ppn_z]],tbl_Historique_Final[ppn_z],tbl_Historique_Final[date_modif])=Final_Sans_VGE[[#This Row],[date_modif]],
      "Ancien",
      "Modifié"),
   "Nouveau"))</f>
        <v>#VALUE!</v>
      </c>
      <c r="AD5621" s="1" t="str">
        <f>IFERROR(IF(Final_Sans_VGE[[#This Row],[ppn_z]]="","",IFERROR(
   IF(_xlfn.XLOOKUP(Final_Sans_VGE[[#This Row],[ppn_z]],tbl_Historique_Final[[#This Row],[ppn_z]],tbl_Historique_Final[[#This Row],[date_modif]])=Final_Sans_VGE[[#This Row],[date_modif]],
      "Ancien",
      "Modifié"),
   "Nouveau")),"")</f>
        <v/>
      </c>
    </row>
    <row r="5622" spans="24:30" x14ac:dyDescent="0.25">
      <c r="X5622" s="8" t="e">
        <f>IF(Final_Sans_VGE[[#This Row],[ppn_z]]="","",IFERROR(
   IF(_xlfn.XLOOKUP(Final_Sans_VGE[[#This Row],[ppn_z]],tbl_Historique_Final[ppn_z],tbl_Historique_Final[date_modif])=Final_Sans_VGE[[#This Row],[date_modif]],
      "Ancien",
      "Modifié"),
   "Nouveau"))</f>
        <v>#VALUE!</v>
      </c>
      <c r="AD5622" s="1" t="str">
        <f>IFERROR(IF(Final_Sans_VGE[[#This Row],[ppn_z]]="","",IFERROR(
   IF(_xlfn.XLOOKUP(Final_Sans_VGE[[#This Row],[ppn_z]],tbl_Historique_Final[[#This Row],[ppn_z]],tbl_Historique_Final[[#This Row],[date_modif]])=Final_Sans_VGE[[#This Row],[date_modif]],
      "Ancien",
      "Modifié"),
   "Nouveau")),"")</f>
        <v/>
      </c>
    </row>
    <row r="5623" spans="24:30" x14ac:dyDescent="0.25">
      <c r="X5623" s="8" t="e">
        <f>IF(Final_Sans_VGE[[#This Row],[ppn_z]]="","",IFERROR(
   IF(_xlfn.XLOOKUP(Final_Sans_VGE[[#This Row],[ppn_z]],tbl_Historique_Final[ppn_z],tbl_Historique_Final[date_modif])=Final_Sans_VGE[[#This Row],[date_modif]],
      "Ancien",
      "Modifié"),
   "Nouveau"))</f>
        <v>#VALUE!</v>
      </c>
      <c r="AD5623" s="1" t="str">
        <f>IFERROR(IF(Final_Sans_VGE[[#This Row],[ppn_z]]="","",IFERROR(
   IF(_xlfn.XLOOKUP(Final_Sans_VGE[[#This Row],[ppn_z]],tbl_Historique_Final[[#This Row],[ppn_z]],tbl_Historique_Final[[#This Row],[date_modif]])=Final_Sans_VGE[[#This Row],[date_modif]],
      "Ancien",
      "Modifié"),
   "Nouveau")),"")</f>
        <v/>
      </c>
    </row>
    <row r="5624" spans="24:30" x14ac:dyDescent="0.25">
      <c r="X5624" s="8" t="e">
        <f>IF(Final_Sans_VGE[[#This Row],[ppn_z]]="","",IFERROR(
   IF(_xlfn.XLOOKUP(Final_Sans_VGE[[#This Row],[ppn_z]],tbl_Historique_Final[ppn_z],tbl_Historique_Final[date_modif])=Final_Sans_VGE[[#This Row],[date_modif]],
      "Ancien",
      "Modifié"),
   "Nouveau"))</f>
        <v>#VALUE!</v>
      </c>
      <c r="AD5624" s="1" t="str">
        <f>IFERROR(IF(Final_Sans_VGE[[#This Row],[ppn_z]]="","",IFERROR(
   IF(_xlfn.XLOOKUP(Final_Sans_VGE[[#This Row],[ppn_z]],tbl_Historique_Final[[#This Row],[ppn_z]],tbl_Historique_Final[[#This Row],[date_modif]])=Final_Sans_VGE[[#This Row],[date_modif]],
      "Ancien",
      "Modifié"),
   "Nouveau")),"")</f>
        <v/>
      </c>
    </row>
    <row r="5625" spans="24:30" x14ac:dyDescent="0.25">
      <c r="X5625" s="8" t="e">
        <f>IF(Final_Sans_VGE[[#This Row],[ppn_z]]="","",IFERROR(
   IF(_xlfn.XLOOKUP(Final_Sans_VGE[[#This Row],[ppn_z]],tbl_Historique_Final[ppn_z],tbl_Historique_Final[date_modif])=Final_Sans_VGE[[#This Row],[date_modif]],
      "Ancien",
      "Modifié"),
   "Nouveau"))</f>
        <v>#VALUE!</v>
      </c>
      <c r="AD5625" s="1" t="str">
        <f>IFERROR(IF(Final_Sans_VGE[[#This Row],[ppn_z]]="","",IFERROR(
   IF(_xlfn.XLOOKUP(Final_Sans_VGE[[#This Row],[ppn_z]],tbl_Historique_Final[[#This Row],[ppn_z]],tbl_Historique_Final[[#This Row],[date_modif]])=Final_Sans_VGE[[#This Row],[date_modif]],
      "Ancien",
      "Modifié"),
   "Nouveau")),"")</f>
        <v/>
      </c>
    </row>
    <row r="5626" spans="24:30" x14ac:dyDescent="0.25">
      <c r="X5626" s="8" t="e">
        <f>IF(Final_Sans_VGE[[#This Row],[ppn_z]]="","",IFERROR(
   IF(_xlfn.XLOOKUP(Final_Sans_VGE[[#This Row],[ppn_z]],tbl_Historique_Final[ppn_z],tbl_Historique_Final[date_modif])=Final_Sans_VGE[[#This Row],[date_modif]],
      "Ancien",
      "Modifié"),
   "Nouveau"))</f>
        <v>#VALUE!</v>
      </c>
      <c r="AD5626" s="1" t="str">
        <f>IFERROR(IF(Final_Sans_VGE[[#This Row],[ppn_z]]="","",IFERROR(
   IF(_xlfn.XLOOKUP(Final_Sans_VGE[[#This Row],[ppn_z]],tbl_Historique_Final[[#This Row],[ppn_z]],tbl_Historique_Final[[#This Row],[date_modif]])=Final_Sans_VGE[[#This Row],[date_modif]],
      "Ancien",
      "Modifié"),
   "Nouveau")),"")</f>
        <v/>
      </c>
    </row>
    <row r="5627" spans="24:30" x14ac:dyDescent="0.25">
      <c r="X5627" s="8" t="e">
        <f>IF(Final_Sans_VGE[[#This Row],[ppn_z]]="","",IFERROR(
   IF(_xlfn.XLOOKUP(Final_Sans_VGE[[#This Row],[ppn_z]],tbl_Historique_Final[ppn_z],tbl_Historique_Final[date_modif])=Final_Sans_VGE[[#This Row],[date_modif]],
      "Ancien",
      "Modifié"),
   "Nouveau"))</f>
        <v>#VALUE!</v>
      </c>
      <c r="AD5627" s="1" t="str">
        <f>IFERROR(IF(Final_Sans_VGE[[#This Row],[ppn_z]]="","",IFERROR(
   IF(_xlfn.XLOOKUP(Final_Sans_VGE[[#This Row],[ppn_z]],tbl_Historique_Final[[#This Row],[ppn_z]],tbl_Historique_Final[[#This Row],[date_modif]])=Final_Sans_VGE[[#This Row],[date_modif]],
      "Ancien",
      "Modifié"),
   "Nouveau")),"")</f>
        <v/>
      </c>
    </row>
    <row r="5628" spans="24:30" x14ac:dyDescent="0.25">
      <c r="X5628" s="8" t="e">
        <f>IF(Final_Sans_VGE[[#This Row],[ppn_z]]="","",IFERROR(
   IF(_xlfn.XLOOKUP(Final_Sans_VGE[[#This Row],[ppn_z]],tbl_Historique_Final[ppn_z],tbl_Historique_Final[date_modif])=Final_Sans_VGE[[#This Row],[date_modif]],
      "Ancien",
      "Modifié"),
   "Nouveau"))</f>
        <v>#VALUE!</v>
      </c>
      <c r="AD5628" s="1" t="str">
        <f>IFERROR(IF(Final_Sans_VGE[[#This Row],[ppn_z]]="","",IFERROR(
   IF(_xlfn.XLOOKUP(Final_Sans_VGE[[#This Row],[ppn_z]],tbl_Historique_Final[[#This Row],[ppn_z]],tbl_Historique_Final[[#This Row],[date_modif]])=Final_Sans_VGE[[#This Row],[date_modif]],
      "Ancien",
      "Modifié"),
   "Nouveau")),"")</f>
        <v/>
      </c>
    </row>
    <row r="5629" spans="24:30" x14ac:dyDescent="0.25">
      <c r="X5629" s="8" t="e">
        <f>IF(Final_Sans_VGE[[#This Row],[ppn_z]]="","",IFERROR(
   IF(_xlfn.XLOOKUP(Final_Sans_VGE[[#This Row],[ppn_z]],tbl_Historique_Final[ppn_z],tbl_Historique_Final[date_modif])=Final_Sans_VGE[[#This Row],[date_modif]],
      "Ancien",
      "Modifié"),
   "Nouveau"))</f>
        <v>#VALUE!</v>
      </c>
      <c r="AD5629" s="1" t="str">
        <f>IFERROR(IF(Final_Sans_VGE[[#This Row],[ppn_z]]="","",IFERROR(
   IF(_xlfn.XLOOKUP(Final_Sans_VGE[[#This Row],[ppn_z]],tbl_Historique_Final[[#This Row],[ppn_z]],tbl_Historique_Final[[#This Row],[date_modif]])=Final_Sans_VGE[[#This Row],[date_modif]],
      "Ancien",
      "Modifié"),
   "Nouveau")),"")</f>
        <v/>
      </c>
    </row>
    <row r="5630" spans="24:30" x14ac:dyDescent="0.25">
      <c r="X5630" s="8" t="e">
        <f>IF(Final_Sans_VGE[[#This Row],[ppn_z]]="","",IFERROR(
   IF(_xlfn.XLOOKUP(Final_Sans_VGE[[#This Row],[ppn_z]],tbl_Historique_Final[ppn_z],tbl_Historique_Final[date_modif])=Final_Sans_VGE[[#This Row],[date_modif]],
      "Ancien",
      "Modifié"),
   "Nouveau"))</f>
        <v>#VALUE!</v>
      </c>
      <c r="AD5630" s="1" t="str">
        <f>IFERROR(IF(Final_Sans_VGE[[#This Row],[ppn_z]]="","",IFERROR(
   IF(_xlfn.XLOOKUP(Final_Sans_VGE[[#This Row],[ppn_z]],tbl_Historique_Final[[#This Row],[ppn_z]],tbl_Historique_Final[[#This Row],[date_modif]])=Final_Sans_VGE[[#This Row],[date_modif]],
      "Ancien",
      "Modifié"),
   "Nouveau")),"")</f>
        <v/>
      </c>
    </row>
    <row r="5631" spans="24:30" x14ac:dyDescent="0.25">
      <c r="X5631" s="8" t="e">
        <f>IF(Final_Sans_VGE[[#This Row],[ppn_z]]="","",IFERROR(
   IF(_xlfn.XLOOKUP(Final_Sans_VGE[[#This Row],[ppn_z]],tbl_Historique_Final[ppn_z],tbl_Historique_Final[date_modif])=Final_Sans_VGE[[#This Row],[date_modif]],
      "Ancien",
      "Modifié"),
   "Nouveau"))</f>
        <v>#VALUE!</v>
      </c>
      <c r="AD5631" s="1" t="str">
        <f>IFERROR(IF(Final_Sans_VGE[[#This Row],[ppn_z]]="","",IFERROR(
   IF(_xlfn.XLOOKUP(Final_Sans_VGE[[#This Row],[ppn_z]],tbl_Historique_Final[[#This Row],[ppn_z]],tbl_Historique_Final[[#This Row],[date_modif]])=Final_Sans_VGE[[#This Row],[date_modif]],
      "Ancien",
      "Modifié"),
   "Nouveau")),"")</f>
        <v/>
      </c>
    </row>
    <row r="5632" spans="24:30" x14ac:dyDescent="0.25">
      <c r="X5632" s="8" t="e">
        <f>IF(Final_Sans_VGE[[#This Row],[ppn_z]]="","",IFERROR(
   IF(_xlfn.XLOOKUP(Final_Sans_VGE[[#This Row],[ppn_z]],tbl_Historique_Final[ppn_z],tbl_Historique_Final[date_modif])=Final_Sans_VGE[[#This Row],[date_modif]],
      "Ancien",
      "Modifié"),
   "Nouveau"))</f>
        <v>#VALUE!</v>
      </c>
      <c r="AD5632" s="1" t="str">
        <f>IFERROR(IF(Final_Sans_VGE[[#This Row],[ppn_z]]="","",IFERROR(
   IF(_xlfn.XLOOKUP(Final_Sans_VGE[[#This Row],[ppn_z]],tbl_Historique_Final[[#This Row],[ppn_z]],tbl_Historique_Final[[#This Row],[date_modif]])=Final_Sans_VGE[[#This Row],[date_modif]],
      "Ancien",
      "Modifié"),
   "Nouveau")),"")</f>
        <v/>
      </c>
    </row>
    <row r="5633" spans="24:30" x14ac:dyDescent="0.25">
      <c r="X5633" s="8" t="e">
        <f>IF(Final_Sans_VGE[[#This Row],[ppn_z]]="","",IFERROR(
   IF(_xlfn.XLOOKUP(Final_Sans_VGE[[#This Row],[ppn_z]],tbl_Historique_Final[ppn_z],tbl_Historique_Final[date_modif])=Final_Sans_VGE[[#This Row],[date_modif]],
      "Ancien",
      "Modifié"),
   "Nouveau"))</f>
        <v>#VALUE!</v>
      </c>
      <c r="AD5633" s="1" t="str">
        <f>IFERROR(IF(Final_Sans_VGE[[#This Row],[ppn_z]]="","",IFERROR(
   IF(_xlfn.XLOOKUP(Final_Sans_VGE[[#This Row],[ppn_z]],tbl_Historique_Final[[#This Row],[ppn_z]],tbl_Historique_Final[[#This Row],[date_modif]])=Final_Sans_VGE[[#This Row],[date_modif]],
      "Ancien",
      "Modifié"),
   "Nouveau")),"")</f>
        <v/>
      </c>
    </row>
    <row r="5634" spans="24:30" x14ac:dyDescent="0.25">
      <c r="X5634" s="8" t="e">
        <f>IF(Final_Sans_VGE[[#This Row],[ppn_z]]="","",IFERROR(
   IF(_xlfn.XLOOKUP(Final_Sans_VGE[[#This Row],[ppn_z]],tbl_Historique_Final[ppn_z],tbl_Historique_Final[date_modif])=Final_Sans_VGE[[#This Row],[date_modif]],
      "Ancien",
      "Modifié"),
   "Nouveau"))</f>
        <v>#VALUE!</v>
      </c>
      <c r="AD5634" s="1" t="str">
        <f>IFERROR(IF(Final_Sans_VGE[[#This Row],[ppn_z]]="","",IFERROR(
   IF(_xlfn.XLOOKUP(Final_Sans_VGE[[#This Row],[ppn_z]],tbl_Historique_Final[[#This Row],[ppn_z]],tbl_Historique_Final[[#This Row],[date_modif]])=Final_Sans_VGE[[#This Row],[date_modif]],
      "Ancien",
      "Modifié"),
   "Nouveau")),"")</f>
        <v/>
      </c>
    </row>
    <row r="5635" spans="24:30" x14ac:dyDescent="0.25">
      <c r="X5635" s="8" t="e">
        <f>IF(Final_Sans_VGE[[#This Row],[ppn_z]]="","",IFERROR(
   IF(_xlfn.XLOOKUP(Final_Sans_VGE[[#This Row],[ppn_z]],tbl_Historique_Final[ppn_z],tbl_Historique_Final[date_modif])=Final_Sans_VGE[[#This Row],[date_modif]],
      "Ancien",
      "Modifié"),
   "Nouveau"))</f>
        <v>#VALUE!</v>
      </c>
      <c r="AD5635" s="1" t="str">
        <f>IFERROR(IF(Final_Sans_VGE[[#This Row],[ppn_z]]="","",IFERROR(
   IF(_xlfn.XLOOKUP(Final_Sans_VGE[[#This Row],[ppn_z]],tbl_Historique_Final[[#This Row],[ppn_z]],tbl_Historique_Final[[#This Row],[date_modif]])=Final_Sans_VGE[[#This Row],[date_modif]],
      "Ancien",
      "Modifié"),
   "Nouveau")),"")</f>
        <v/>
      </c>
    </row>
    <row r="5636" spans="24:30" x14ac:dyDescent="0.25">
      <c r="X5636" s="8" t="e">
        <f>IF(Final_Sans_VGE[[#This Row],[ppn_z]]="","",IFERROR(
   IF(_xlfn.XLOOKUP(Final_Sans_VGE[[#This Row],[ppn_z]],tbl_Historique_Final[ppn_z],tbl_Historique_Final[date_modif])=Final_Sans_VGE[[#This Row],[date_modif]],
      "Ancien",
      "Modifié"),
   "Nouveau"))</f>
        <v>#VALUE!</v>
      </c>
      <c r="AD5636" s="1" t="str">
        <f>IFERROR(IF(Final_Sans_VGE[[#This Row],[ppn_z]]="","",IFERROR(
   IF(_xlfn.XLOOKUP(Final_Sans_VGE[[#This Row],[ppn_z]],tbl_Historique_Final[[#This Row],[ppn_z]],tbl_Historique_Final[[#This Row],[date_modif]])=Final_Sans_VGE[[#This Row],[date_modif]],
      "Ancien",
      "Modifié"),
   "Nouveau")),"")</f>
        <v/>
      </c>
    </row>
    <row r="5637" spans="24:30" x14ac:dyDescent="0.25">
      <c r="X5637" s="8" t="e">
        <f>IF(Final_Sans_VGE[[#This Row],[ppn_z]]="","",IFERROR(
   IF(_xlfn.XLOOKUP(Final_Sans_VGE[[#This Row],[ppn_z]],tbl_Historique_Final[ppn_z],tbl_Historique_Final[date_modif])=Final_Sans_VGE[[#This Row],[date_modif]],
      "Ancien",
      "Modifié"),
   "Nouveau"))</f>
        <v>#VALUE!</v>
      </c>
      <c r="AD5637" s="1" t="str">
        <f>IFERROR(IF(Final_Sans_VGE[[#This Row],[ppn_z]]="","",IFERROR(
   IF(_xlfn.XLOOKUP(Final_Sans_VGE[[#This Row],[ppn_z]],tbl_Historique_Final[[#This Row],[ppn_z]],tbl_Historique_Final[[#This Row],[date_modif]])=Final_Sans_VGE[[#This Row],[date_modif]],
      "Ancien",
      "Modifié"),
   "Nouveau")),"")</f>
        <v/>
      </c>
    </row>
    <row r="5638" spans="24:30" x14ac:dyDescent="0.25">
      <c r="X5638" s="8" t="e">
        <f>IF(Final_Sans_VGE[[#This Row],[ppn_z]]="","",IFERROR(
   IF(_xlfn.XLOOKUP(Final_Sans_VGE[[#This Row],[ppn_z]],tbl_Historique_Final[ppn_z],tbl_Historique_Final[date_modif])=Final_Sans_VGE[[#This Row],[date_modif]],
      "Ancien",
      "Modifié"),
   "Nouveau"))</f>
        <v>#VALUE!</v>
      </c>
      <c r="AD5638" s="1" t="str">
        <f>IFERROR(IF(Final_Sans_VGE[[#This Row],[ppn_z]]="","",IFERROR(
   IF(_xlfn.XLOOKUP(Final_Sans_VGE[[#This Row],[ppn_z]],tbl_Historique_Final[[#This Row],[ppn_z]],tbl_Historique_Final[[#This Row],[date_modif]])=Final_Sans_VGE[[#This Row],[date_modif]],
      "Ancien",
      "Modifié"),
   "Nouveau")),"")</f>
        <v/>
      </c>
    </row>
    <row r="5639" spans="24:30" x14ac:dyDescent="0.25">
      <c r="X5639" s="8" t="e">
        <f>IF(Final_Sans_VGE[[#This Row],[ppn_z]]="","",IFERROR(
   IF(_xlfn.XLOOKUP(Final_Sans_VGE[[#This Row],[ppn_z]],tbl_Historique_Final[ppn_z],tbl_Historique_Final[date_modif])=Final_Sans_VGE[[#This Row],[date_modif]],
      "Ancien",
      "Modifié"),
   "Nouveau"))</f>
        <v>#VALUE!</v>
      </c>
      <c r="AD5639" s="1" t="str">
        <f>IFERROR(IF(Final_Sans_VGE[[#This Row],[ppn_z]]="","",IFERROR(
   IF(_xlfn.XLOOKUP(Final_Sans_VGE[[#This Row],[ppn_z]],tbl_Historique_Final[[#This Row],[ppn_z]],tbl_Historique_Final[[#This Row],[date_modif]])=Final_Sans_VGE[[#This Row],[date_modif]],
      "Ancien",
      "Modifié"),
   "Nouveau")),"")</f>
        <v/>
      </c>
    </row>
    <row r="5640" spans="24:30" x14ac:dyDescent="0.25">
      <c r="X5640" s="8" t="e">
        <f>IF(Final_Sans_VGE[[#This Row],[ppn_z]]="","",IFERROR(
   IF(_xlfn.XLOOKUP(Final_Sans_VGE[[#This Row],[ppn_z]],tbl_Historique_Final[ppn_z],tbl_Historique_Final[date_modif])=Final_Sans_VGE[[#This Row],[date_modif]],
      "Ancien",
      "Modifié"),
   "Nouveau"))</f>
        <v>#VALUE!</v>
      </c>
      <c r="AD5640" s="1" t="str">
        <f>IFERROR(IF(Final_Sans_VGE[[#This Row],[ppn_z]]="","",IFERROR(
   IF(_xlfn.XLOOKUP(Final_Sans_VGE[[#This Row],[ppn_z]],tbl_Historique_Final[[#This Row],[ppn_z]],tbl_Historique_Final[[#This Row],[date_modif]])=Final_Sans_VGE[[#This Row],[date_modif]],
      "Ancien",
      "Modifié"),
   "Nouveau")),"")</f>
        <v/>
      </c>
    </row>
    <row r="5641" spans="24:30" x14ac:dyDescent="0.25">
      <c r="X5641" s="8" t="e">
        <f>IF(Final_Sans_VGE[[#This Row],[ppn_z]]="","",IFERROR(
   IF(_xlfn.XLOOKUP(Final_Sans_VGE[[#This Row],[ppn_z]],tbl_Historique_Final[ppn_z],tbl_Historique_Final[date_modif])=Final_Sans_VGE[[#This Row],[date_modif]],
      "Ancien",
      "Modifié"),
   "Nouveau"))</f>
        <v>#VALUE!</v>
      </c>
      <c r="AD5641" s="1" t="str">
        <f>IFERROR(IF(Final_Sans_VGE[[#This Row],[ppn_z]]="","",IFERROR(
   IF(_xlfn.XLOOKUP(Final_Sans_VGE[[#This Row],[ppn_z]],tbl_Historique_Final[[#This Row],[ppn_z]],tbl_Historique_Final[[#This Row],[date_modif]])=Final_Sans_VGE[[#This Row],[date_modif]],
      "Ancien",
      "Modifié"),
   "Nouveau")),"")</f>
        <v/>
      </c>
    </row>
    <row r="5642" spans="24:30" x14ac:dyDescent="0.25">
      <c r="X5642" s="8" t="e">
        <f>IF(Final_Sans_VGE[[#This Row],[ppn_z]]="","",IFERROR(
   IF(_xlfn.XLOOKUP(Final_Sans_VGE[[#This Row],[ppn_z]],tbl_Historique_Final[ppn_z],tbl_Historique_Final[date_modif])=Final_Sans_VGE[[#This Row],[date_modif]],
      "Ancien",
      "Modifié"),
   "Nouveau"))</f>
        <v>#VALUE!</v>
      </c>
      <c r="AD5642" s="1" t="str">
        <f>IFERROR(IF(Final_Sans_VGE[[#This Row],[ppn_z]]="","",IFERROR(
   IF(_xlfn.XLOOKUP(Final_Sans_VGE[[#This Row],[ppn_z]],tbl_Historique_Final[[#This Row],[ppn_z]],tbl_Historique_Final[[#This Row],[date_modif]])=Final_Sans_VGE[[#This Row],[date_modif]],
      "Ancien",
      "Modifié"),
   "Nouveau")),"")</f>
        <v/>
      </c>
    </row>
    <row r="5643" spans="24:30" x14ac:dyDescent="0.25">
      <c r="X5643" s="8" t="e">
        <f>IF(Final_Sans_VGE[[#This Row],[ppn_z]]="","",IFERROR(
   IF(_xlfn.XLOOKUP(Final_Sans_VGE[[#This Row],[ppn_z]],tbl_Historique_Final[ppn_z],tbl_Historique_Final[date_modif])=Final_Sans_VGE[[#This Row],[date_modif]],
      "Ancien",
      "Modifié"),
   "Nouveau"))</f>
        <v>#VALUE!</v>
      </c>
      <c r="AD5643" s="1" t="str">
        <f>IFERROR(IF(Final_Sans_VGE[[#This Row],[ppn_z]]="","",IFERROR(
   IF(_xlfn.XLOOKUP(Final_Sans_VGE[[#This Row],[ppn_z]],tbl_Historique_Final[[#This Row],[ppn_z]],tbl_Historique_Final[[#This Row],[date_modif]])=Final_Sans_VGE[[#This Row],[date_modif]],
      "Ancien",
      "Modifié"),
   "Nouveau")),"")</f>
        <v/>
      </c>
    </row>
    <row r="5644" spans="24:30" x14ac:dyDescent="0.25">
      <c r="X5644" s="8" t="e">
        <f>IF(Final_Sans_VGE[[#This Row],[ppn_z]]="","",IFERROR(
   IF(_xlfn.XLOOKUP(Final_Sans_VGE[[#This Row],[ppn_z]],tbl_Historique_Final[ppn_z],tbl_Historique_Final[date_modif])=Final_Sans_VGE[[#This Row],[date_modif]],
      "Ancien",
      "Modifié"),
   "Nouveau"))</f>
        <v>#VALUE!</v>
      </c>
      <c r="AD5644" s="1" t="str">
        <f>IFERROR(IF(Final_Sans_VGE[[#This Row],[ppn_z]]="","",IFERROR(
   IF(_xlfn.XLOOKUP(Final_Sans_VGE[[#This Row],[ppn_z]],tbl_Historique_Final[[#This Row],[ppn_z]],tbl_Historique_Final[[#This Row],[date_modif]])=Final_Sans_VGE[[#This Row],[date_modif]],
      "Ancien",
      "Modifié"),
   "Nouveau")),"")</f>
        <v/>
      </c>
    </row>
    <row r="5645" spans="24:30" x14ac:dyDescent="0.25">
      <c r="X5645" s="8" t="e">
        <f>IF(Final_Sans_VGE[[#This Row],[ppn_z]]="","",IFERROR(
   IF(_xlfn.XLOOKUP(Final_Sans_VGE[[#This Row],[ppn_z]],tbl_Historique_Final[ppn_z],tbl_Historique_Final[date_modif])=Final_Sans_VGE[[#This Row],[date_modif]],
      "Ancien",
      "Modifié"),
   "Nouveau"))</f>
        <v>#VALUE!</v>
      </c>
      <c r="AD5645" s="1" t="str">
        <f>IFERROR(IF(Final_Sans_VGE[[#This Row],[ppn_z]]="","",IFERROR(
   IF(_xlfn.XLOOKUP(Final_Sans_VGE[[#This Row],[ppn_z]],tbl_Historique_Final[[#This Row],[ppn_z]],tbl_Historique_Final[[#This Row],[date_modif]])=Final_Sans_VGE[[#This Row],[date_modif]],
      "Ancien",
      "Modifié"),
   "Nouveau")),"")</f>
        <v/>
      </c>
    </row>
    <row r="5646" spans="24:30" x14ac:dyDescent="0.25">
      <c r="X5646" s="8" t="e">
        <f>IF(Final_Sans_VGE[[#This Row],[ppn_z]]="","",IFERROR(
   IF(_xlfn.XLOOKUP(Final_Sans_VGE[[#This Row],[ppn_z]],tbl_Historique_Final[ppn_z],tbl_Historique_Final[date_modif])=Final_Sans_VGE[[#This Row],[date_modif]],
      "Ancien",
      "Modifié"),
   "Nouveau"))</f>
        <v>#VALUE!</v>
      </c>
      <c r="AD5646" s="1" t="str">
        <f>IFERROR(IF(Final_Sans_VGE[[#This Row],[ppn_z]]="","",IFERROR(
   IF(_xlfn.XLOOKUP(Final_Sans_VGE[[#This Row],[ppn_z]],tbl_Historique_Final[[#This Row],[ppn_z]],tbl_Historique_Final[[#This Row],[date_modif]])=Final_Sans_VGE[[#This Row],[date_modif]],
      "Ancien",
      "Modifié"),
   "Nouveau")),"")</f>
        <v/>
      </c>
    </row>
    <row r="5647" spans="24:30" x14ac:dyDescent="0.25">
      <c r="X5647" s="8" t="e">
        <f>IF(Final_Sans_VGE[[#This Row],[ppn_z]]="","",IFERROR(
   IF(_xlfn.XLOOKUP(Final_Sans_VGE[[#This Row],[ppn_z]],tbl_Historique_Final[ppn_z],tbl_Historique_Final[date_modif])=Final_Sans_VGE[[#This Row],[date_modif]],
      "Ancien",
      "Modifié"),
   "Nouveau"))</f>
        <v>#VALUE!</v>
      </c>
      <c r="AD5647" s="1" t="str">
        <f>IFERROR(IF(Final_Sans_VGE[[#This Row],[ppn_z]]="","",IFERROR(
   IF(_xlfn.XLOOKUP(Final_Sans_VGE[[#This Row],[ppn_z]],tbl_Historique_Final[[#This Row],[ppn_z]],tbl_Historique_Final[[#This Row],[date_modif]])=Final_Sans_VGE[[#This Row],[date_modif]],
      "Ancien",
      "Modifié"),
   "Nouveau")),"")</f>
        <v/>
      </c>
    </row>
    <row r="5648" spans="24:30" x14ac:dyDescent="0.25">
      <c r="X5648" s="8" t="e">
        <f>IF(Final_Sans_VGE[[#This Row],[ppn_z]]="","",IFERROR(
   IF(_xlfn.XLOOKUP(Final_Sans_VGE[[#This Row],[ppn_z]],tbl_Historique_Final[ppn_z],tbl_Historique_Final[date_modif])=Final_Sans_VGE[[#This Row],[date_modif]],
      "Ancien",
      "Modifié"),
   "Nouveau"))</f>
        <v>#VALUE!</v>
      </c>
      <c r="AD5648" s="1" t="str">
        <f>IFERROR(IF(Final_Sans_VGE[[#This Row],[ppn_z]]="","",IFERROR(
   IF(_xlfn.XLOOKUP(Final_Sans_VGE[[#This Row],[ppn_z]],tbl_Historique_Final[[#This Row],[ppn_z]],tbl_Historique_Final[[#This Row],[date_modif]])=Final_Sans_VGE[[#This Row],[date_modif]],
      "Ancien",
      "Modifié"),
   "Nouveau")),"")</f>
        <v/>
      </c>
    </row>
    <row r="5649" spans="24:30" x14ac:dyDescent="0.25">
      <c r="X5649" s="8" t="e">
        <f>IF(Final_Sans_VGE[[#This Row],[ppn_z]]="","",IFERROR(
   IF(_xlfn.XLOOKUP(Final_Sans_VGE[[#This Row],[ppn_z]],tbl_Historique_Final[ppn_z],tbl_Historique_Final[date_modif])=Final_Sans_VGE[[#This Row],[date_modif]],
      "Ancien",
      "Modifié"),
   "Nouveau"))</f>
        <v>#VALUE!</v>
      </c>
      <c r="AD5649" s="1" t="str">
        <f>IFERROR(IF(Final_Sans_VGE[[#This Row],[ppn_z]]="","",IFERROR(
   IF(_xlfn.XLOOKUP(Final_Sans_VGE[[#This Row],[ppn_z]],tbl_Historique_Final[[#This Row],[ppn_z]],tbl_Historique_Final[[#This Row],[date_modif]])=Final_Sans_VGE[[#This Row],[date_modif]],
      "Ancien",
      "Modifié"),
   "Nouveau")),"")</f>
        <v/>
      </c>
    </row>
    <row r="5650" spans="24:30" x14ac:dyDescent="0.25">
      <c r="X5650" s="8" t="e">
        <f>IF(Final_Sans_VGE[[#This Row],[ppn_z]]="","",IFERROR(
   IF(_xlfn.XLOOKUP(Final_Sans_VGE[[#This Row],[ppn_z]],tbl_Historique_Final[ppn_z],tbl_Historique_Final[date_modif])=Final_Sans_VGE[[#This Row],[date_modif]],
      "Ancien",
      "Modifié"),
   "Nouveau"))</f>
        <v>#VALUE!</v>
      </c>
      <c r="AD5650" s="1" t="str">
        <f>IFERROR(IF(Final_Sans_VGE[[#This Row],[ppn_z]]="","",IFERROR(
   IF(_xlfn.XLOOKUP(Final_Sans_VGE[[#This Row],[ppn_z]],tbl_Historique_Final[[#This Row],[ppn_z]],tbl_Historique_Final[[#This Row],[date_modif]])=Final_Sans_VGE[[#This Row],[date_modif]],
      "Ancien",
      "Modifié"),
   "Nouveau")),"")</f>
        <v/>
      </c>
    </row>
    <row r="5651" spans="24:30" x14ac:dyDescent="0.25">
      <c r="X5651" s="8" t="e">
        <f>IF(Final_Sans_VGE[[#This Row],[ppn_z]]="","",IFERROR(
   IF(_xlfn.XLOOKUP(Final_Sans_VGE[[#This Row],[ppn_z]],tbl_Historique_Final[ppn_z],tbl_Historique_Final[date_modif])=Final_Sans_VGE[[#This Row],[date_modif]],
      "Ancien",
      "Modifié"),
   "Nouveau"))</f>
        <v>#VALUE!</v>
      </c>
      <c r="AD5651" s="1" t="str">
        <f>IFERROR(IF(Final_Sans_VGE[[#This Row],[ppn_z]]="","",IFERROR(
   IF(_xlfn.XLOOKUP(Final_Sans_VGE[[#This Row],[ppn_z]],tbl_Historique_Final[[#This Row],[ppn_z]],tbl_Historique_Final[[#This Row],[date_modif]])=Final_Sans_VGE[[#This Row],[date_modif]],
      "Ancien",
      "Modifié"),
   "Nouveau")),"")</f>
        <v/>
      </c>
    </row>
    <row r="5652" spans="24:30" x14ac:dyDescent="0.25">
      <c r="X5652" s="8" t="e">
        <f>IF(Final_Sans_VGE[[#This Row],[ppn_z]]="","",IFERROR(
   IF(_xlfn.XLOOKUP(Final_Sans_VGE[[#This Row],[ppn_z]],tbl_Historique_Final[ppn_z],tbl_Historique_Final[date_modif])=Final_Sans_VGE[[#This Row],[date_modif]],
      "Ancien",
      "Modifié"),
   "Nouveau"))</f>
        <v>#VALUE!</v>
      </c>
      <c r="AD5652" s="1" t="str">
        <f>IFERROR(IF(Final_Sans_VGE[[#This Row],[ppn_z]]="","",IFERROR(
   IF(_xlfn.XLOOKUP(Final_Sans_VGE[[#This Row],[ppn_z]],tbl_Historique_Final[[#This Row],[ppn_z]],tbl_Historique_Final[[#This Row],[date_modif]])=Final_Sans_VGE[[#This Row],[date_modif]],
      "Ancien",
      "Modifié"),
   "Nouveau")),"")</f>
        <v/>
      </c>
    </row>
    <row r="5653" spans="24:30" x14ac:dyDescent="0.25">
      <c r="X5653" s="8" t="e">
        <f>IF(Final_Sans_VGE[[#This Row],[ppn_z]]="","",IFERROR(
   IF(_xlfn.XLOOKUP(Final_Sans_VGE[[#This Row],[ppn_z]],tbl_Historique_Final[ppn_z],tbl_Historique_Final[date_modif])=Final_Sans_VGE[[#This Row],[date_modif]],
      "Ancien",
      "Modifié"),
   "Nouveau"))</f>
        <v>#VALUE!</v>
      </c>
      <c r="AD5653" s="1" t="str">
        <f>IFERROR(IF(Final_Sans_VGE[[#This Row],[ppn_z]]="","",IFERROR(
   IF(_xlfn.XLOOKUP(Final_Sans_VGE[[#This Row],[ppn_z]],tbl_Historique_Final[[#This Row],[ppn_z]],tbl_Historique_Final[[#This Row],[date_modif]])=Final_Sans_VGE[[#This Row],[date_modif]],
      "Ancien",
      "Modifié"),
   "Nouveau")),"")</f>
        <v/>
      </c>
    </row>
    <row r="5654" spans="24:30" x14ac:dyDescent="0.25">
      <c r="X5654" s="8" t="e">
        <f>IF(Final_Sans_VGE[[#This Row],[ppn_z]]="","",IFERROR(
   IF(_xlfn.XLOOKUP(Final_Sans_VGE[[#This Row],[ppn_z]],tbl_Historique_Final[ppn_z],tbl_Historique_Final[date_modif])=Final_Sans_VGE[[#This Row],[date_modif]],
      "Ancien",
      "Modifié"),
   "Nouveau"))</f>
        <v>#VALUE!</v>
      </c>
      <c r="AD5654" s="1" t="str">
        <f>IFERROR(IF(Final_Sans_VGE[[#This Row],[ppn_z]]="","",IFERROR(
   IF(_xlfn.XLOOKUP(Final_Sans_VGE[[#This Row],[ppn_z]],tbl_Historique_Final[[#This Row],[ppn_z]],tbl_Historique_Final[[#This Row],[date_modif]])=Final_Sans_VGE[[#This Row],[date_modif]],
      "Ancien",
      "Modifié"),
   "Nouveau")),"")</f>
        <v/>
      </c>
    </row>
    <row r="5655" spans="24:30" x14ac:dyDescent="0.25">
      <c r="X5655" s="8" t="e">
        <f>IF(Final_Sans_VGE[[#This Row],[ppn_z]]="","",IFERROR(
   IF(_xlfn.XLOOKUP(Final_Sans_VGE[[#This Row],[ppn_z]],tbl_Historique_Final[ppn_z],tbl_Historique_Final[date_modif])=Final_Sans_VGE[[#This Row],[date_modif]],
      "Ancien",
      "Modifié"),
   "Nouveau"))</f>
        <v>#VALUE!</v>
      </c>
      <c r="AD5655" s="1" t="str">
        <f>IFERROR(IF(Final_Sans_VGE[[#This Row],[ppn_z]]="","",IFERROR(
   IF(_xlfn.XLOOKUP(Final_Sans_VGE[[#This Row],[ppn_z]],tbl_Historique_Final[[#This Row],[ppn_z]],tbl_Historique_Final[[#This Row],[date_modif]])=Final_Sans_VGE[[#This Row],[date_modif]],
      "Ancien",
      "Modifié"),
   "Nouveau")),"")</f>
        <v/>
      </c>
    </row>
    <row r="5656" spans="24:30" x14ac:dyDescent="0.25">
      <c r="X5656" s="8" t="e">
        <f>IF(Final_Sans_VGE[[#This Row],[ppn_z]]="","",IFERROR(
   IF(_xlfn.XLOOKUP(Final_Sans_VGE[[#This Row],[ppn_z]],tbl_Historique_Final[ppn_z],tbl_Historique_Final[date_modif])=Final_Sans_VGE[[#This Row],[date_modif]],
      "Ancien",
      "Modifié"),
   "Nouveau"))</f>
        <v>#VALUE!</v>
      </c>
      <c r="AD5656" s="1" t="str">
        <f>IFERROR(IF(Final_Sans_VGE[[#This Row],[ppn_z]]="","",IFERROR(
   IF(_xlfn.XLOOKUP(Final_Sans_VGE[[#This Row],[ppn_z]],tbl_Historique_Final[[#This Row],[ppn_z]],tbl_Historique_Final[[#This Row],[date_modif]])=Final_Sans_VGE[[#This Row],[date_modif]],
      "Ancien",
      "Modifié"),
   "Nouveau")),"")</f>
        <v/>
      </c>
    </row>
    <row r="5657" spans="24:30" x14ac:dyDescent="0.25">
      <c r="X5657" s="8" t="e">
        <f>IF(Final_Sans_VGE[[#This Row],[ppn_z]]="","",IFERROR(
   IF(_xlfn.XLOOKUP(Final_Sans_VGE[[#This Row],[ppn_z]],tbl_Historique_Final[ppn_z],tbl_Historique_Final[date_modif])=Final_Sans_VGE[[#This Row],[date_modif]],
      "Ancien",
      "Modifié"),
   "Nouveau"))</f>
        <v>#VALUE!</v>
      </c>
      <c r="AD5657" s="1" t="str">
        <f>IFERROR(IF(Final_Sans_VGE[[#This Row],[ppn_z]]="","",IFERROR(
   IF(_xlfn.XLOOKUP(Final_Sans_VGE[[#This Row],[ppn_z]],tbl_Historique_Final[[#This Row],[ppn_z]],tbl_Historique_Final[[#This Row],[date_modif]])=Final_Sans_VGE[[#This Row],[date_modif]],
      "Ancien",
      "Modifié"),
   "Nouveau")),"")</f>
        <v/>
      </c>
    </row>
    <row r="5658" spans="24:30" x14ac:dyDescent="0.25">
      <c r="X5658" s="8" t="e">
        <f>IF(Final_Sans_VGE[[#This Row],[ppn_z]]="","",IFERROR(
   IF(_xlfn.XLOOKUP(Final_Sans_VGE[[#This Row],[ppn_z]],tbl_Historique_Final[ppn_z],tbl_Historique_Final[date_modif])=Final_Sans_VGE[[#This Row],[date_modif]],
      "Ancien",
      "Modifié"),
   "Nouveau"))</f>
        <v>#VALUE!</v>
      </c>
      <c r="AD5658" s="1" t="str">
        <f>IFERROR(IF(Final_Sans_VGE[[#This Row],[ppn_z]]="","",IFERROR(
   IF(_xlfn.XLOOKUP(Final_Sans_VGE[[#This Row],[ppn_z]],tbl_Historique_Final[[#This Row],[ppn_z]],tbl_Historique_Final[[#This Row],[date_modif]])=Final_Sans_VGE[[#This Row],[date_modif]],
      "Ancien",
      "Modifié"),
   "Nouveau")),"")</f>
        <v/>
      </c>
    </row>
    <row r="5659" spans="24:30" x14ac:dyDescent="0.25">
      <c r="X5659" s="8" t="e">
        <f>IF(Final_Sans_VGE[[#This Row],[ppn_z]]="","",IFERROR(
   IF(_xlfn.XLOOKUP(Final_Sans_VGE[[#This Row],[ppn_z]],tbl_Historique_Final[ppn_z],tbl_Historique_Final[date_modif])=Final_Sans_VGE[[#This Row],[date_modif]],
      "Ancien",
      "Modifié"),
   "Nouveau"))</f>
        <v>#VALUE!</v>
      </c>
      <c r="AD5659" s="1" t="str">
        <f>IFERROR(IF(Final_Sans_VGE[[#This Row],[ppn_z]]="","",IFERROR(
   IF(_xlfn.XLOOKUP(Final_Sans_VGE[[#This Row],[ppn_z]],tbl_Historique_Final[[#This Row],[ppn_z]],tbl_Historique_Final[[#This Row],[date_modif]])=Final_Sans_VGE[[#This Row],[date_modif]],
      "Ancien",
      "Modifié"),
   "Nouveau")),"")</f>
        <v/>
      </c>
    </row>
    <row r="5660" spans="24:30" x14ac:dyDescent="0.25">
      <c r="X5660" s="8" t="e">
        <f>IF(Final_Sans_VGE[[#This Row],[ppn_z]]="","",IFERROR(
   IF(_xlfn.XLOOKUP(Final_Sans_VGE[[#This Row],[ppn_z]],tbl_Historique_Final[ppn_z],tbl_Historique_Final[date_modif])=Final_Sans_VGE[[#This Row],[date_modif]],
      "Ancien",
      "Modifié"),
   "Nouveau"))</f>
        <v>#VALUE!</v>
      </c>
      <c r="AD5660" s="1" t="str">
        <f>IFERROR(IF(Final_Sans_VGE[[#This Row],[ppn_z]]="","",IFERROR(
   IF(_xlfn.XLOOKUP(Final_Sans_VGE[[#This Row],[ppn_z]],tbl_Historique_Final[[#This Row],[ppn_z]],tbl_Historique_Final[[#This Row],[date_modif]])=Final_Sans_VGE[[#This Row],[date_modif]],
      "Ancien",
      "Modifié"),
   "Nouveau")),"")</f>
        <v/>
      </c>
    </row>
    <row r="5661" spans="24:30" x14ac:dyDescent="0.25">
      <c r="X5661" s="8" t="e">
        <f>IF(Final_Sans_VGE[[#This Row],[ppn_z]]="","",IFERROR(
   IF(_xlfn.XLOOKUP(Final_Sans_VGE[[#This Row],[ppn_z]],tbl_Historique_Final[ppn_z],tbl_Historique_Final[date_modif])=Final_Sans_VGE[[#This Row],[date_modif]],
      "Ancien",
      "Modifié"),
   "Nouveau"))</f>
        <v>#VALUE!</v>
      </c>
      <c r="AD5661" s="1" t="str">
        <f>IFERROR(IF(Final_Sans_VGE[[#This Row],[ppn_z]]="","",IFERROR(
   IF(_xlfn.XLOOKUP(Final_Sans_VGE[[#This Row],[ppn_z]],tbl_Historique_Final[[#This Row],[ppn_z]],tbl_Historique_Final[[#This Row],[date_modif]])=Final_Sans_VGE[[#This Row],[date_modif]],
      "Ancien",
      "Modifié"),
   "Nouveau")),"")</f>
        <v/>
      </c>
    </row>
    <row r="5662" spans="24:30" x14ac:dyDescent="0.25">
      <c r="X5662" s="8" t="e">
        <f>IF(Final_Sans_VGE[[#This Row],[ppn_z]]="","",IFERROR(
   IF(_xlfn.XLOOKUP(Final_Sans_VGE[[#This Row],[ppn_z]],tbl_Historique_Final[ppn_z],tbl_Historique_Final[date_modif])=Final_Sans_VGE[[#This Row],[date_modif]],
      "Ancien",
      "Modifié"),
   "Nouveau"))</f>
        <v>#VALUE!</v>
      </c>
      <c r="AD5662" s="1" t="str">
        <f>IFERROR(IF(Final_Sans_VGE[[#This Row],[ppn_z]]="","",IFERROR(
   IF(_xlfn.XLOOKUP(Final_Sans_VGE[[#This Row],[ppn_z]],tbl_Historique_Final[[#This Row],[ppn_z]],tbl_Historique_Final[[#This Row],[date_modif]])=Final_Sans_VGE[[#This Row],[date_modif]],
      "Ancien",
      "Modifié"),
   "Nouveau")),"")</f>
        <v/>
      </c>
    </row>
    <row r="5663" spans="24:30" x14ac:dyDescent="0.25">
      <c r="X5663" s="8" t="e">
        <f>IF(Final_Sans_VGE[[#This Row],[ppn_z]]="","",IFERROR(
   IF(_xlfn.XLOOKUP(Final_Sans_VGE[[#This Row],[ppn_z]],tbl_Historique_Final[ppn_z],tbl_Historique_Final[date_modif])=Final_Sans_VGE[[#This Row],[date_modif]],
      "Ancien",
      "Modifié"),
   "Nouveau"))</f>
        <v>#VALUE!</v>
      </c>
      <c r="AD5663" s="1" t="str">
        <f>IFERROR(IF(Final_Sans_VGE[[#This Row],[ppn_z]]="","",IFERROR(
   IF(_xlfn.XLOOKUP(Final_Sans_VGE[[#This Row],[ppn_z]],tbl_Historique_Final[[#This Row],[ppn_z]],tbl_Historique_Final[[#This Row],[date_modif]])=Final_Sans_VGE[[#This Row],[date_modif]],
      "Ancien",
      "Modifié"),
   "Nouveau")),"")</f>
        <v/>
      </c>
    </row>
    <row r="5664" spans="24:30" x14ac:dyDescent="0.25">
      <c r="X5664" s="8" t="e">
        <f>IF(Final_Sans_VGE[[#This Row],[ppn_z]]="","",IFERROR(
   IF(_xlfn.XLOOKUP(Final_Sans_VGE[[#This Row],[ppn_z]],tbl_Historique_Final[ppn_z],tbl_Historique_Final[date_modif])=Final_Sans_VGE[[#This Row],[date_modif]],
      "Ancien",
      "Modifié"),
   "Nouveau"))</f>
        <v>#VALUE!</v>
      </c>
      <c r="AD5664" s="1" t="str">
        <f>IFERROR(IF(Final_Sans_VGE[[#This Row],[ppn_z]]="","",IFERROR(
   IF(_xlfn.XLOOKUP(Final_Sans_VGE[[#This Row],[ppn_z]],tbl_Historique_Final[[#This Row],[ppn_z]],tbl_Historique_Final[[#This Row],[date_modif]])=Final_Sans_VGE[[#This Row],[date_modif]],
      "Ancien",
      "Modifié"),
   "Nouveau")),"")</f>
        <v/>
      </c>
    </row>
    <row r="5665" spans="24:30" x14ac:dyDescent="0.25">
      <c r="X5665" s="8" t="e">
        <f>IF(Final_Sans_VGE[[#This Row],[ppn_z]]="","",IFERROR(
   IF(_xlfn.XLOOKUP(Final_Sans_VGE[[#This Row],[ppn_z]],tbl_Historique_Final[ppn_z],tbl_Historique_Final[date_modif])=Final_Sans_VGE[[#This Row],[date_modif]],
      "Ancien",
      "Modifié"),
   "Nouveau"))</f>
        <v>#VALUE!</v>
      </c>
      <c r="AD5665" s="1" t="str">
        <f>IFERROR(IF(Final_Sans_VGE[[#This Row],[ppn_z]]="","",IFERROR(
   IF(_xlfn.XLOOKUP(Final_Sans_VGE[[#This Row],[ppn_z]],tbl_Historique_Final[[#This Row],[ppn_z]],tbl_Historique_Final[[#This Row],[date_modif]])=Final_Sans_VGE[[#This Row],[date_modif]],
      "Ancien",
      "Modifié"),
   "Nouveau")),"")</f>
        <v/>
      </c>
    </row>
    <row r="5666" spans="24:30" x14ac:dyDescent="0.25">
      <c r="X5666" s="8" t="e">
        <f>IF(Final_Sans_VGE[[#This Row],[ppn_z]]="","",IFERROR(
   IF(_xlfn.XLOOKUP(Final_Sans_VGE[[#This Row],[ppn_z]],tbl_Historique_Final[ppn_z],tbl_Historique_Final[date_modif])=Final_Sans_VGE[[#This Row],[date_modif]],
      "Ancien",
      "Modifié"),
   "Nouveau"))</f>
        <v>#VALUE!</v>
      </c>
      <c r="AD5666" s="1" t="str">
        <f>IFERROR(IF(Final_Sans_VGE[[#This Row],[ppn_z]]="","",IFERROR(
   IF(_xlfn.XLOOKUP(Final_Sans_VGE[[#This Row],[ppn_z]],tbl_Historique_Final[[#This Row],[ppn_z]],tbl_Historique_Final[[#This Row],[date_modif]])=Final_Sans_VGE[[#This Row],[date_modif]],
      "Ancien",
      "Modifié"),
   "Nouveau")),"")</f>
        <v/>
      </c>
    </row>
    <row r="5667" spans="24:30" x14ac:dyDescent="0.25">
      <c r="X5667" s="8" t="e">
        <f>IF(Final_Sans_VGE[[#This Row],[ppn_z]]="","",IFERROR(
   IF(_xlfn.XLOOKUP(Final_Sans_VGE[[#This Row],[ppn_z]],tbl_Historique_Final[ppn_z],tbl_Historique_Final[date_modif])=Final_Sans_VGE[[#This Row],[date_modif]],
      "Ancien",
      "Modifié"),
   "Nouveau"))</f>
        <v>#VALUE!</v>
      </c>
      <c r="AD5667" s="1" t="str">
        <f>IFERROR(IF(Final_Sans_VGE[[#This Row],[ppn_z]]="","",IFERROR(
   IF(_xlfn.XLOOKUP(Final_Sans_VGE[[#This Row],[ppn_z]],tbl_Historique_Final[[#This Row],[ppn_z]],tbl_Historique_Final[[#This Row],[date_modif]])=Final_Sans_VGE[[#This Row],[date_modif]],
      "Ancien",
      "Modifié"),
   "Nouveau")),"")</f>
        <v/>
      </c>
    </row>
    <row r="5668" spans="24:30" x14ac:dyDescent="0.25">
      <c r="X5668" s="8" t="e">
        <f>IF(Final_Sans_VGE[[#This Row],[ppn_z]]="","",IFERROR(
   IF(_xlfn.XLOOKUP(Final_Sans_VGE[[#This Row],[ppn_z]],tbl_Historique_Final[ppn_z],tbl_Historique_Final[date_modif])=Final_Sans_VGE[[#This Row],[date_modif]],
      "Ancien",
      "Modifié"),
   "Nouveau"))</f>
        <v>#VALUE!</v>
      </c>
      <c r="AD5668" s="1" t="str">
        <f>IFERROR(IF(Final_Sans_VGE[[#This Row],[ppn_z]]="","",IFERROR(
   IF(_xlfn.XLOOKUP(Final_Sans_VGE[[#This Row],[ppn_z]],tbl_Historique_Final[[#This Row],[ppn_z]],tbl_Historique_Final[[#This Row],[date_modif]])=Final_Sans_VGE[[#This Row],[date_modif]],
      "Ancien",
      "Modifié"),
   "Nouveau")),"")</f>
        <v/>
      </c>
    </row>
    <row r="5669" spans="24:30" x14ac:dyDescent="0.25">
      <c r="X5669" s="8" t="e">
        <f>IF(Final_Sans_VGE[[#This Row],[ppn_z]]="","",IFERROR(
   IF(_xlfn.XLOOKUP(Final_Sans_VGE[[#This Row],[ppn_z]],tbl_Historique_Final[ppn_z],tbl_Historique_Final[date_modif])=Final_Sans_VGE[[#This Row],[date_modif]],
      "Ancien",
      "Modifié"),
   "Nouveau"))</f>
        <v>#VALUE!</v>
      </c>
      <c r="AD5669" s="1" t="str">
        <f>IFERROR(IF(Final_Sans_VGE[[#This Row],[ppn_z]]="","",IFERROR(
   IF(_xlfn.XLOOKUP(Final_Sans_VGE[[#This Row],[ppn_z]],tbl_Historique_Final[[#This Row],[ppn_z]],tbl_Historique_Final[[#This Row],[date_modif]])=Final_Sans_VGE[[#This Row],[date_modif]],
      "Ancien",
      "Modifié"),
   "Nouveau")),"")</f>
        <v/>
      </c>
    </row>
    <row r="5670" spans="24:30" x14ac:dyDescent="0.25">
      <c r="X5670" s="8" t="e">
        <f>IF(Final_Sans_VGE[[#This Row],[ppn_z]]="","",IFERROR(
   IF(_xlfn.XLOOKUP(Final_Sans_VGE[[#This Row],[ppn_z]],tbl_Historique_Final[ppn_z],tbl_Historique_Final[date_modif])=Final_Sans_VGE[[#This Row],[date_modif]],
      "Ancien",
      "Modifié"),
   "Nouveau"))</f>
        <v>#VALUE!</v>
      </c>
      <c r="AD5670" s="1" t="str">
        <f>IFERROR(IF(Final_Sans_VGE[[#This Row],[ppn_z]]="","",IFERROR(
   IF(_xlfn.XLOOKUP(Final_Sans_VGE[[#This Row],[ppn_z]],tbl_Historique_Final[[#This Row],[ppn_z]],tbl_Historique_Final[[#This Row],[date_modif]])=Final_Sans_VGE[[#This Row],[date_modif]],
      "Ancien",
      "Modifié"),
   "Nouveau")),"")</f>
        <v/>
      </c>
    </row>
    <row r="5671" spans="24:30" x14ac:dyDescent="0.25">
      <c r="X5671" s="8" t="e">
        <f>IF(Final_Sans_VGE[[#This Row],[ppn_z]]="","",IFERROR(
   IF(_xlfn.XLOOKUP(Final_Sans_VGE[[#This Row],[ppn_z]],tbl_Historique_Final[ppn_z],tbl_Historique_Final[date_modif])=Final_Sans_VGE[[#This Row],[date_modif]],
      "Ancien",
      "Modifié"),
   "Nouveau"))</f>
        <v>#VALUE!</v>
      </c>
      <c r="AD5671" s="1" t="str">
        <f>IFERROR(IF(Final_Sans_VGE[[#This Row],[ppn_z]]="","",IFERROR(
   IF(_xlfn.XLOOKUP(Final_Sans_VGE[[#This Row],[ppn_z]],tbl_Historique_Final[[#This Row],[ppn_z]],tbl_Historique_Final[[#This Row],[date_modif]])=Final_Sans_VGE[[#This Row],[date_modif]],
      "Ancien",
      "Modifié"),
   "Nouveau")),"")</f>
        <v/>
      </c>
    </row>
    <row r="5672" spans="24:30" x14ac:dyDescent="0.25">
      <c r="X5672" s="8" t="e">
        <f>IF(Final_Sans_VGE[[#This Row],[ppn_z]]="","",IFERROR(
   IF(_xlfn.XLOOKUP(Final_Sans_VGE[[#This Row],[ppn_z]],tbl_Historique_Final[ppn_z],tbl_Historique_Final[date_modif])=Final_Sans_VGE[[#This Row],[date_modif]],
      "Ancien",
      "Modifié"),
   "Nouveau"))</f>
        <v>#VALUE!</v>
      </c>
      <c r="AD5672" s="1" t="str">
        <f>IFERROR(IF(Final_Sans_VGE[[#This Row],[ppn_z]]="","",IFERROR(
   IF(_xlfn.XLOOKUP(Final_Sans_VGE[[#This Row],[ppn_z]],tbl_Historique_Final[[#This Row],[ppn_z]],tbl_Historique_Final[[#This Row],[date_modif]])=Final_Sans_VGE[[#This Row],[date_modif]],
      "Ancien",
      "Modifié"),
   "Nouveau")),"")</f>
        <v/>
      </c>
    </row>
    <row r="5673" spans="24:30" x14ac:dyDescent="0.25">
      <c r="X5673" s="8" t="e">
        <f>IF(Final_Sans_VGE[[#This Row],[ppn_z]]="","",IFERROR(
   IF(_xlfn.XLOOKUP(Final_Sans_VGE[[#This Row],[ppn_z]],tbl_Historique_Final[ppn_z],tbl_Historique_Final[date_modif])=Final_Sans_VGE[[#This Row],[date_modif]],
      "Ancien",
      "Modifié"),
   "Nouveau"))</f>
        <v>#VALUE!</v>
      </c>
      <c r="AD5673" s="1" t="str">
        <f>IFERROR(IF(Final_Sans_VGE[[#This Row],[ppn_z]]="","",IFERROR(
   IF(_xlfn.XLOOKUP(Final_Sans_VGE[[#This Row],[ppn_z]],tbl_Historique_Final[[#This Row],[ppn_z]],tbl_Historique_Final[[#This Row],[date_modif]])=Final_Sans_VGE[[#This Row],[date_modif]],
      "Ancien",
      "Modifié"),
   "Nouveau")),"")</f>
        <v/>
      </c>
    </row>
    <row r="5674" spans="24:30" x14ac:dyDescent="0.25">
      <c r="X5674" s="8" t="e">
        <f>IF(Final_Sans_VGE[[#This Row],[ppn_z]]="","",IFERROR(
   IF(_xlfn.XLOOKUP(Final_Sans_VGE[[#This Row],[ppn_z]],tbl_Historique_Final[ppn_z],tbl_Historique_Final[date_modif])=Final_Sans_VGE[[#This Row],[date_modif]],
      "Ancien",
      "Modifié"),
   "Nouveau"))</f>
        <v>#VALUE!</v>
      </c>
      <c r="AD5674" s="1" t="str">
        <f>IFERROR(IF(Final_Sans_VGE[[#This Row],[ppn_z]]="","",IFERROR(
   IF(_xlfn.XLOOKUP(Final_Sans_VGE[[#This Row],[ppn_z]],tbl_Historique_Final[[#This Row],[ppn_z]],tbl_Historique_Final[[#This Row],[date_modif]])=Final_Sans_VGE[[#This Row],[date_modif]],
      "Ancien",
      "Modifié"),
   "Nouveau")),"")</f>
        <v/>
      </c>
    </row>
    <row r="5675" spans="24:30" x14ac:dyDescent="0.25">
      <c r="X5675" s="8" t="e">
        <f>IF(Final_Sans_VGE[[#This Row],[ppn_z]]="","",IFERROR(
   IF(_xlfn.XLOOKUP(Final_Sans_VGE[[#This Row],[ppn_z]],tbl_Historique_Final[ppn_z],tbl_Historique_Final[date_modif])=Final_Sans_VGE[[#This Row],[date_modif]],
      "Ancien",
      "Modifié"),
   "Nouveau"))</f>
        <v>#VALUE!</v>
      </c>
      <c r="AD5675" s="1" t="str">
        <f>IFERROR(IF(Final_Sans_VGE[[#This Row],[ppn_z]]="","",IFERROR(
   IF(_xlfn.XLOOKUP(Final_Sans_VGE[[#This Row],[ppn_z]],tbl_Historique_Final[[#This Row],[ppn_z]],tbl_Historique_Final[[#This Row],[date_modif]])=Final_Sans_VGE[[#This Row],[date_modif]],
      "Ancien",
      "Modifié"),
   "Nouveau")),"")</f>
        <v/>
      </c>
    </row>
    <row r="5676" spans="24:30" x14ac:dyDescent="0.25">
      <c r="X5676" s="8" t="e">
        <f>IF(Final_Sans_VGE[[#This Row],[ppn_z]]="","",IFERROR(
   IF(_xlfn.XLOOKUP(Final_Sans_VGE[[#This Row],[ppn_z]],tbl_Historique_Final[ppn_z],tbl_Historique_Final[date_modif])=Final_Sans_VGE[[#This Row],[date_modif]],
      "Ancien",
      "Modifié"),
   "Nouveau"))</f>
        <v>#VALUE!</v>
      </c>
      <c r="AD5676" s="1" t="str">
        <f>IFERROR(IF(Final_Sans_VGE[[#This Row],[ppn_z]]="","",IFERROR(
   IF(_xlfn.XLOOKUP(Final_Sans_VGE[[#This Row],[ppn_z]],tbl_Historique_Final[[#This Row],[ppn_z]],tbl_Historique_Final[[#This Row],[date_modif]])=Final_Sans_VGE[[#This Row],[date_modif]],
      "Ancien",
      "Modifié"),
   "Nouveau")),"")</f>
        <v/>
      </c>
    </row>
    <row r="5677" spans="24:30" x14ac:dyDescent="0.25">
      <c r="X5677" s="8" t="e">
        <f>IF(Final_Sans_VGE[[#This Row],[ppn_z]]="","",IFERROR(
   IF(_xlfn.XLOOKUP(Final_Sans_VGE[[#This Row],[ppn_z]],tbl_Historique_Final[ppn_z],tbl_Historique_Final[date_modif])=Final_Sans_VGE[[#This Row],[date_modif]],
      "Ancien",
      "Modifié"),
   "Nouveau"))</f>
        <v>#VALUE!</v>
      </c>
      <c r="AD5677" s="1" t="str">
        <f>IFERROR(IF(Final_Sans_VGE[[#This Row],[ppn_z]]="","",IFERROR(
   IF(_xlfn.XLOOKUP(Final_Sans_VGE[[#This Row],[ppn_z]],tbl_Historique_Final[[#This Row],[ppn_z]],tbl_Historique_Final[[#This Row],[date_modif]])=Final_Sans_VGE[[#This Row],[date_modif]],
      "Ancien",
      "Modifié"),
   "Nouveau")),"")</f>
        <v/>
      </c>
    </row>
    <row r="5678" spans="24:30" x14ac:dyDescent="0.25">
      <c r="X5678" s="8" t="e">
        <f>IF(Final_Sans_VGE[[#This Row],[ppn_z]]="","",IFERROR(
   IF(_xlfn.XLOOKUP(Final_Sans_VGE[[#This Row],[ppn_z]],tbl_Historique_Final[ppn_z],tbl_Historique_Final[date_modif])=Final_Sans_VGE[[#This Row],[date_modif]],
      "Ancien",
      "Modifié"),
   "Nouveau"))</f>
        <v>#VALUE!</v>
      </c>
      <c r="AD5678" s="1" t="str">
        <f>IFERROR(IF(Final_Sans_VGE[[#This Row],[ppn_z]]="","",IFERROR(
   IF(_xlfn.XLOOKUP(Final_Sans_VGE[[#This Row],[ppn_z]],tbl_Historique_Final[[#This Row],[ppn_z]],tbl_Historique_Final[[#This Row],[date_modif]])=Final_Sans_VGE[[#This Row],[date_modif]],
      "Ancien",
      "Modifié"),
   "Nouveau")),"")</f>
        <v/>
      </c>
    </row>
    <row r="5679" spans="24:30" x14ac:dyDescent="0.25">
      <c r="X5679" s="8" t="e">
        <f>IF(Final_Sans_VGE[[#This Row],[ppn_z]]="","",IFERROR(
   IF(_xlfn.XLOOKUP(Final_Sans_VGE[[#This Row],[ppn_z]],tbl_Historique_Final[ppn_z],tbl_Historique_Final[date_modif])=Final_Sans_VGE[[#This Row],[date_modif]],
      "Ancien",
      "Modifié"),
   "Nouveau"))</f>
        <v>#VALUE!</v>
      </c>
      <c r="AD5679" s="1" t="str">
        <f>IFERROR(IF(Final_Sans_VGE[[#This Row],[ppn_z]]="","",IFERROR(
   IF(_xlfn.XLOOKUP(Final_Sans_VGE[[#This Row],[ppn_z]],tbl_Historique_Final[[#This Row],[ppn_z]],tbl_Historique_Final[[#This Row],[date_modif]])=Final_Sans_VGE[[#This Row],[date_modif]],
      "Ancien",
      "Modifié"),
   "Nouveau")),"")</f>
        <v/>
      </c>
    </row>
    <row r="5680" spans="24:30" x14ac:dyDescent="0.25">
      <c r="X5680" s="8" t="e">
        <f>IF(Final_Sans_VGE[[#This Row],[ppn_z]]="","",IFERROR(
   IF(_xlfn.XLOOKUP(Final_Sans_VGE[[#This Row],[ppn_z]],tbl_Historique_Final[ppn_z],tbl_Historique_Final[date_modif])=Final_Sans_VGE[[#This Row],[date_modif]],
      "Ancien",
      "Modifié"),
   "Nouveau"))</f>
        <v>#VALUE!</v>
      </c>
      <c r="AD5680" s="1" t="str">
        <f>IFERROR(IF(Final_Sans_VGE[[#This Row],[ppn_z]]="","",IFERROR(
   IF(_xlfn.XLOOKUP(Final_Sans_VGE[[#This Row],[ppn_z]],tbl_Historique_Final[[#This Row],[ppn_z]],tbl_Historique_Final[[#This Row],[date_modif]])=Final_Sans_VGE[[#This Row],[date_modif]],
      "Ancien",
      "Modifié"),
   "Nouveau")),"")</f>
        <v/>
      </c>
    </row>
    <row r="5681" spans="24:30" x14ac:dyDescent="0.25">
      <c r="X5681" s="8" t="e">
        <f>IF(Final_Sans_VGE[[#This Row],[ppn_z]]="","",IFERROR(
   IF(_xlfn.XLOOKUP(Final_Sans_VGE[[#This Row],[ppn_z]],tbl_Historique_Final[ppn_z],tbl_Historique_Final[date_modif])=Final_Sans_VGE[[#This Row],[date_modif]],
      "Ancien",
      "Modifié"),
   "Nouveau"))</f>
        <v>#VALUE!</v>
      </c>
      <c r="AD5681" s="1" t="str">
        <f>IFERROR(IF(Final_Sans_VGE[[#This Row],[ppn_z]]="","",IFERROR(
   IF(_xlfn.XLOOKUP(Final_Sans_VGE[[#This Row],[ppn_z]],tbl_Historique_Final[[#This Row],[ppn_z]],tbl_Historique_Final[[#This Row],[date_modif]])=Final_Sans_VGE[[#This Row],[date_modif]],
      "Ancien",
      "Modifié"),
   "Nouveau")),"")</f>
        <v/>
      </c>
    </row>
    <row r="5682" spans="24:30" x14ac:dyDescent="0.25">
      <c r="X5682" s="8" t="e">
        <f>IF(Final_Sans_VGE[[#This Row],[ppn_z]]="","",IFERROR(
   IF(_xlfn.XLOOKUP(Final_Sans_VGE[[#This Row],[ppn_z]],tbl_Historique_Final[ppn_z],tbl_Historique_Final[date_modif])=Final_Sans_VGE[[#This Row],[date_modif]],
      "Ancien",
      "Modifié"),
   "Nouveau"))</f>
        <v>#VALUE!</v>
      </c>
      <c r="AD5682" s="1" t="str">
        <f>IFERROR(IF(Final_Sans_VGE[[#This Row],[ppn_z]]="","",IFERROR(
   IF(_xlfn.XLOOKUP(Final_Sans_VGE[[#This Row],[ppn_z]],tbl_Historique_Final[[#This Row],[ppn_z]],tbl_Historique_Final[[#This Row],[date_modif]])=Final_Sans_VGE[[#This Row],[date_modif]],
      "Ancien",
      "Modifié"),
   "Nouveau")),"")</f>
        <v/>
      </c>
    </row>
    <row r="5683" spans="24:30" x14ac:dyDescent="0.25">
      <c r="X5683" s="8" t="e">
        <f>IF(Final_Sans_VGE[[#This Row],[ppn_z]]="","",IFERROR(
   IF(_xlfn.XLOOKUP(Final_Sans_VGE[[#This Row],[ppn_z]],tbl_Historique_Final[ppn_z],tbl_Historique_Final[date_modif])=Final_Sans_VGE[[#This Row],[date_modif]],
      "Ancien",
      "Modifié"),
   "Nouveau"))</f>
        <v>#VALUE!</v>
      </c>
      <c r="AD5683" s="1" t="str">
        <f>IFERROR(IF(Final_Sans_VGE[[#This Row],[ppn_z]]="","",IFERROR(
   IF(_xlfn.XLOOKUP(Final_Sans_VGE[[#This Row],[ppn_z]],tbl_Historique_Final[[#This Row],[ppn_z]],tbl_Historique_Final[[#This Row],[date_modif]])=Final_Sans_VGE[[#This Row],[date_modif]],
      "Ancien",
      "Modifié"),
   "Nouveau")),"")</f>
        <v/>
      </c>
    </row>
    <row r="5684" spans="24:30" x14ac:dyDescent="0.25">
      <c r="X5684" s="8" t="e">
        <f>IF(Final_Sans_VGE[[#This Row],[ppn_z]]="","",IFERROR(
   IF(_xlfn.XLOOKUP(Final_Sans_VGE[[#This Row],[ppn_z]],tbl_Historique_Final[ppn_z],tbl_Historique_Final[date_modif])=Final_Sans_VGE[[#This Row],[date_modif]],
      "Ancien",
      "Modifié"),
   "Nouveau"))</f>
        <v>#VALUE!</v>
      </c>
      <c r="AD5684" s="1" t="str">
        <f>IFERROR(IF(Final_Sans_VGE[[#This Row],[ppn_z]]="","",IFERROR(
   IF(_xlfn.XLOOKUP(Final_Sans_VGE[[#This Row],[ppn_z]],tbl_Historique_Final[[#This Row],[ppn_z]],tbl_Historique_Final[[#This Row],[date_modif]])=Final_Sans_VGE[[#This Row],[date_modif]],
      "Ancien",
      "Modifié"),
   "Nouveau")),"")</f>
        <v/>
      </c>
    </row>
    <row r="5685" spans="24:30" x14ac:dyDescent="0.25">
      <c r="X5685" s="8" t="e">
        <f>IF(Final_Sans_VGE[[#This Row],[ppn_z]]="","",IFERROR(
   IF(_xlfn.XLOOKUP(Final_Sans_VGE[[#This Row],[ppn_z]],tbl_Historique_Final[ppn_z],tbl_Historique_Final[date_modif])=Final_Sans_VGE[[#This Row],[date_modif]],
      "Ancien",
      "Modifié"),
   "Nouveau"))</f>
        <v>#VALUE!</v>
      </c>
      <c r="AD5685" s="1" t="str">
        <f>IFERROR(IF(Final_Sans_VGE[[#This Row],[ppn_z]]="","",IFERROR(
   IF(_xlfn.XLOOKUP(Final_Sans_VGE[[#This Row],[ppn_z]],tbl_Historique_Final[[#This Row],[ppn_z]],tbl_Historique_Final[[#This Row],[date_modif]])=Final_Sans_VGE[[#This Row],[date_modif]],
      "Ancien",
      "Modifié"),
   "Nouveau")),"")</f>
        <v/>
      </c>
    </row>
    <row r="5686" spans="24:30" x14ac:dyDescent="0.25">
      <c r="X5686" s="8" t="e">
        <f>IF(Final_Sans_VGE[[#This Row],[ppn_z]]="","",IFERROR(
   IF(_xlfn.XLOOKUP(Final_Sans_VGE[[#This Row],[ppn_z]],tbl_Historique_Final[ppn_z],tbl_Historique_Final[date_modif])=Final_Sans_VGE[[#This Row],[date_modif]],
      "Ancien",
      "Modifié"),
   "Nouveau"))</f>
        <v>#VALUE!</v>
      </c>
      <c r="AD5686" s="1" t="str">
        <f>IFERROR(IF(Final_Sans_VGE[[#This Row],[ppn_z]]="","",IFERROR(
   IF(_xlfn.XLOOKUP(Final_Sans_VGE[[#This Row],[ppn_z]],tbl_Historique_Final[[#This Row],[ppn_z]],tbl_Historique_Final[[#This Row],[date_modif]])=Final_Sans_VGE[[#This Row],[date_modif]],
      "Ancien",
      "Modifié"),
   "Nouveau")),"")</f>
        <v/>
      </c>
    </row>
    <row r="5687" spans="24:30" x14ac:dyDescent="0.25">
      <c r="X5687" s="8" t="e">
        <f>IF(Final_Sans_VGE[[#This Row],[ppn_z]]="","",IFERROR(
   IF(_xlfn.XLOOKUP(Final_Sans_VGE[[#This Row],[ppn_z]],tbl_Historique_Final[ppn_z],tbl_Historique_Final[date_modif])=Final_Sans_VGE[[#This Row],[date_modif]],
      "Ancien",
      "Modifié"),
   "Nouveau"))</f>
        <v>#VALUE!</v>
      </c>
      <c r="AD5687" s="1" t="str">
        <f>IFERROR(IF(Final_Sans_VGE[[#This Row],[ppn_z]]="","",IFERROR(
   IF(_xlfn.XLOOKUP(Final_Sans_VGE[[#This Row],[ppn_z]],tbl_Historique_Final[[#This Row],[ppn_z]],tbl_Historique_Final[[#This Row],[date_modif]])=Final_Sans_VGE[[#This Row],[date_modif]],
      "Ancien",
      "Modifié"),
   "Nouveau")),"")</f>
        <v/>
      </c>
    </row>
    <row r="5688" spans="24:30" x14ac:dyDescent="0.25">
      <c r="X5688" s="8" t="e">
        <f>IF(Final_Sans_VGE[[#This Row],[ppn_z]]="","",IFERROR(
   IF(_xlfn.XLOOKUP(Final_Sans_VGE[[#This Row],[ppn_z]],tbl_Historique_Final[ppn_z],tbl_Historique_Final[date_modif])=Final_Sans_VGE[[#This Row],[date_modif]],
      "Ancien",
      "Modifié"),
   "Nouveau"))</f>
        <v>#VALUE!</v>
      </c>
      <c r="AD5688" s="1" t="str">
        <f>IFERROR(IF(Final_Sans_VGE[[#This Row],[ppn_z]]="","",IFERROR(
   IF(_xlfn.XLOOKUP(Final_Sans_VGE[[#This Row],[ppn_z]],tbl_Historique_Final[[#This Row],[ppn_z]],tbl_Historique_Final[[#This Row],[date_modif]])=Final_Sans_VGE[[#This Row],[date_modif]],
      "Ancien",
      "Modifié"),
   "Nouveau")),"")</f>
        <v/>
      </c>
    </row>
    <row r="5689" spans="24:30" x14ac:dyDescent="0.25">
      <c r="X5689" s="8" t="e">
        <f>IF(Final_Sans_VGE[[#This Row],[ppn_z]]="","",IFERROR(
   IF(_xlfn.XLOOKUP(Final_Sans_VGE[[#This Row],[ppn_z]],tbl_Historique_Final[ppn_z],tbl_Historique_Final[date_modif])=Final_Sans_VGE[[#This Row],[date_modif]],
      "Ancien",
      "Modifié"),
   "Nouveau"))</f>
        <v>#VALUE!</v>
      </c>
      <c r="AD5689" s="1" t="str">
        <f>IFERROR(IF(Final_Sans_VGE[[#This Row],[ppn_z]]="","",IFERROR(
   IF(_xlfn.XLOOKUP(Final_Sans_VGE[[#This Row],[ppn_z]],tbl_Historique_Final[[#This Row],[ppn_z]],tbl_Historique_Final[[#This Row],[date_modif]])=Final_Sans_VGE[[#This Row],[date_modif]],
      "Ancien",
      "Modifié"),
   "Nouveau")),"")</f>
        <v/>
      </c>
    </row>
    <row r="5690" spans="24:30" x14ac:dyDescent="0.25">
      <c r="X5690" s="8" t="e">
        <f>IF(Final_Sans_VGE[[#This Row],[ppn_z]]="","",IFERROR(
   IF(_xlfn.XLOOKUP(Final_Sans_VGE[[#This Row],[ppn_z]],tbl_Historique_Final[ppn_z],tbl_Historique_Final[date_modif])=Final_Sans_VGE[[#This Row],[date_modif]],
      "Ancien",
      "Modifié"),
   "Nouveau"))</f>
        <v>#VALUE!</v>
      </c>
      <c r="AD5690" s="1" t="str">
        <f>IFERROR(IF(Final_Sans_VGE[[#This Row],[ppn_z]]="","",IFERROR(
   IF(_xlfn.XLOOKUP(Final_Sans_VGE[[#This Row],[ppn_z]],tbl_Historique_Final[[#This Row],[ppn_z]],tbl_Historique_Final[[#This Row],[date_modif]])=Final_Sans_VGE[[#This Row],[date_modif]],
      "Ancien",
      "Modifié"),
   "Nouveau")),"")</f>
        <v/>
      </c>
    </row>
    <row r="5691" spans="24:30" x14ac:dyDescent="0.25">
      <c r="X5691" s="8" t="e">
        <f>IF(Final_Sans_VGE[[#This Row],[ppn_z]]="","",IFERROR(
   IF(_xlfn.XLOOKUP(Final_Sans_VGE[[#This Row],[ppn_z]],tbl_Historique_Final[ppn_z],tbl_Historique_Final[date_modif])=Final_Sans_VGE[[#This Row],[date_modif]],
      "Ancien",
      "Modifié"),
   "Nouveau"))</f>
        <v>#VALUE!</v>
      </c>
      <c r="AD5691" s="1" t="str">
        <f>IFERROR(IF(Final_Sans_VGE[[#This Row],[ppn_z]]="","",IFERROR(
   IF(_xlfn.XLOOKUP(Final_Sans_VGE[[#This Row],[ppn_z]],tbl_Historique_Final[[#This Row],[ppn_z]],tbl_Historique_Final[[#This Row],[date_modif]])=Final_Sans_VGE[[#This Row],[date_modif]],
      "Ancien",
      "Modifié"),
   "Nouveau")),"")</f>
        <v/>
      </c>
    </row>
    <row r="5692" spans="24:30" x14ac:dyDescent="0.25">
      <c r="X5692" s="8" t="e">
        <f>IF(Final_Sans_VGE[[#This Row],[ppn_z]]="","",IFERROR(
   IF(_xlfn.XLOOKUP(Final_Sans_VGE[[#This Row],[ppn_z]],tbl_Historique_Final[ppn_z],tbl_Historique_Final[date_modif])=Final_Sans_VGE[[#This Row],[date_modif]],
      "Ancien",
      "Modifié"),
   "Nouveau"))</f>
        <v>#VALUE!</v>
      </c>
      <c r="AD5692" s="1" t="str">
        <f>IFERROR(IF(Final_Sans_VGE[[#This Row],[ppn_z]]="","",IFERROR(
   IF(_xlfn.XLOOKUP(Final_Sans_VGE[[#This Row],[ppn_z]],tbl_Historique_Final[[#This Row],[ppn_z]],tbl_Historique_Final[[#This Row],[date_modif]])=Final_Sans_VGE[[#This Row],[date_modif]],
      "Ancien",
      "Modifié"),
   "Nouveau")),"")</f>
        <v/>
      </c>
    </row>
    <row r="5693" spans="24:30" x14ac:dyDescent="0.25">
      <c r="X5693" s="8" t="e">
        <f>IF(Final_Sans_VGE[[#This Row],[ppn_z]]="","",IFERROR(
   IF(_xlfn.XLOOKUP(Final_Sans_VGE[[#This Row],[ppn_z]],tbl_Historique_Final[ppn_z],tbl_Historique_Final[date_modif])=Final_Sans_VGE[[#This Row],[date_modif]],
      "Ancien",
      "Modifié"),
   "Nouveau"))</f>
        <v>#VALUE!</v>
      </c>
      <c r="AD5693" s="1" t="str">
        <f>IFERROR(IF(Final_Sans_VGE[[#This Row],[ppn_z]]="","",IFERROR(
   IF(_xlfn.XLOOKUP(Final_Sans_VGE[[#This Row],[ppn_z]],tbl_Historique_Final[[#This Row],[ppn_z]],tbl_Historique_Final[[#This Row],[date_modif]])=Final_Sans_VGE[[#This Row],[date_modif]],
      "Ancien",
      "Modifié"),
   "Nouveau")),"")</f>
        <v/>
      </c>
    </row>
    <row r="5694" spans="24:30" x14ac:dyDescent="0.25">
      <c r="X5694" s="8" t="e">
        <f>IF(Final_Sans_VGE[[#This Row],[ppn_z]]="","",IFERROR(
   IF(_xlfn.XLOOKUP(Final_Sans_VGE[[#This Row],[ppn_z]],tbl_Historique_Final[ppn_z],tbl_Historique_Final[date_modif])=Final_Sans_VGE[[#This Row],[date_modif]],
      "Ancien",
      "Modifié"),
   "Nouveau"))</f>
        <v>#VALUE!</v>
      </c>
      <c r="AD5694" s="1" t="str">
        <f>IFERROR(IF(Final_Sans_VGE[[#This Row],[ppn_z]]="","",IFERROR(
   IF(_xlfn.XLOOKUP(Final_Sans_VGE[[#This Row],[ppn_z]],tbl_Historique_Final[[#This Row],[ppn_z]],tbl_Historique_Final[[#This Row],[date_modif]])=Final_Sans_VGE[[#This Row],[date_modif]],
      "Ancien",
      "Modifié"),
   "Nouveau")),"")</f>
        <v/>
      </c>
    </row>
    <row r="5695" spans="24:30" x14ac:dyDescent="0.25">
      <c r="X5695" s="8" t="e">
        <f>IF(Final_Sans_VGE[[#This Row],[ppn_z]]="","",IFERROR(
   IF(_xlfn.XLOOKUP(Final_Sans_VGE[[#This Row],[ppn_z]],tbl_Historique_Final[ppn_z],tbl_Historique_Final[date_modif])=Final_Sans_VGE[[#This Row],[date_modif]],
      "Ancien",
      "Modifié"),
   "Nouveau"))</f>
        <v>#VALUE!</v>
      </c>
      <c r="AD5695" s="1" t="str">
        <f>IFERROR(IF(Final_Sans_VGE[[#This Row],[ppn_z]]="","",IFERROR(
   IF(_xlfn.XLOOKUP(Final_Sans_VGE[[#This Row],[ppn_z]],tbl_Historique_Final[[#This Row],[ppn_z]],tbl_Historique_Final[[#This Row],[date_modif]])=Final_Sans_VGE[[#This Row],[date_modif]],
      "Ancien",
      "Modifié"),
   "Nouveau")),"")</f>
        <v/>
      </c>
    </row>
    <row r="5696" spans="24:30" x14ac:dyDescent="0.25">
      <c r="X5696" s="8" t="e">
        <f>IF(Final_Sans_VGE[[#This Row],[ppn_z]]="","",IFERROR(
   IF(_xlfn.XLOOKUP(Final_Sans_VGE[[#This Row],[ppn_z]],tbl_Historique_Final[ppn_z],tbl_Historique_Final[date_modif])=Final_Sans_VGE[[#This Row],[date_modif]],
      "Ancien",
      "Modifié"),
   "Nouveau"))</f>
        <v>#VALUE!</v>
      </c>
      <c r="AD5696" s="1" t="str">
        <f>IFERROR(IF(Final_Sans_VGE[[#This Row],[ppn_z]]="","",IFERROR(
   IF(_xlfn.XLOOKUP(Final_Sans_VGE[[#This Row],[ppn_z]],tbl_Historique_Final[[#This Row],[ppn_z]],tbl_Historique_Final[[#This Row],[date_modif]])=Final_Sans_VGE[[#This Row],[date_modif]],
      "Ancien",
      "Modifié"),
   "Nouveau")),"")</f>
        <v/>
      </c>
    </row>
    <row r="5697" spans="24:30" x14ac:dyDescent="0.25">
      <c r="X5697" s="8" t="e">
        <f>IF(Final_Sans_VGE[[#This Row],[ppn_z]]="","",IFERROR(
   IF(_xlfn.XLOOKUP(Final_Sans_VGE[[#This Row],[ppn_z]],tbl_Historique_Final[ppn_z],tbl_Historique_Final[date_modif])=Final_Sans_VGE[[#This Row],[date_modif]],
      "Ancien",
      "Modifié"),
   "Nouveau"))</f>
        <v>#VALUE!</v>
      </c>
      <c r="AD5697" s="1" t="str">
        <f>IFERROR(IF(Final_Sans_VGE[[#This Row],[ppn_z]]="","",IFERROR(
   IF(_xlfn.XLOOKUP(Final_Sans_VGE[[#This Row],[ppn_z]],tbl_Historique_Final[[#This Row],[ppn_z]],tbl_Historique_Final[[#This Row],[date_modif]])=Final_Sans_VGE[[#This Row],[date_modif]],
      "Ancien",
      "Modifié"),
   "Nouveau")),"")</f>
        <v/>
      </c>
    </row>
    <row r="5698" spans="24:30" x14ac:dyDescent="0.25">
      <c r="X5698" s="8" t="e">
        <f>IF(Final_Sans_VGE[[#This Row],[ppn_z]]="","",IFERROR(
   IF(_xlfn.XLOOKUP(Final_Sans_VGE[[#This Row],[ppn_z]],tbl_Historique_Final[ppn_z],tbl_Historique_Final[date_modif])=Final_Sans_VGE[[#This Row],[date_modif]],
      "Ancien",
      "Modifié"),
   "Nouveau"))</f>
        <v>#VALUE!</v>
      </c>
      <c r="AD5698" s="1" t="str">
        <f>IFERROR(IF(Final_Sans_VGE[[#This Row],[ppn_z]]="","",IFERROR(
   IF(_xlfn.XLOOKUP(Final_Sans_VGE[[#This Row],[ppn_z]],tbl_Historique_Final[[#This Row],[ppn_z]],tbl_Historique_Final[[#This Row],[date_modif]])=Final_Sans_VGE[[#This Row],[date_modif]],
      "Ancien",
      "Modifié"),
   "Nouveau")),"")</f>
        <v/>
      </c>
    </row>
    <row r="5699" spans="24:30" x14ac:dyDescent="0.25">
      <c r="X5699" s="8" t="e">
        <f>IF(Final_Sans_VGE[[#This Row],[ppn_z]]="","",IFERROR(
   IF(_xlfn.XLOOKUP(Final_Sans_VGE[[#This Row],[ppn_z]],tbl_Historique_Final[ppn_z],tbl_Historique_Final[date_modif])=Final_Sans_VGE[[#This Row],[date_modif]],
      "Ancien",
      "Modifié"),
   "Nouveau"))</f>
        <v>#VALUE!</v>
      </c>
      <c r="AD5699" s="1" t="str">
        <f>IFERROR(IF(Final_Sans_VGE[[#This Row],[ppn_z]]="","",IFERROR(
   IF(_xlfn.XLOOKUP(Final_Sans_VGE[[#This Row],[ppn_z]],tbl_Historique_Final[[#This Row],[ppn_z]],tbl_Historique_Final[[#This Row],[date_modif]])=Final_Sans_VGE[[#This Row],[date_modif]],
      "Ancien",
      "Modifié"),
   "Nouveau")),"")</f>
        <v/>
      </c>
    </row>
    <row r="5700" spans="24:30" x14ac:dyDescent="0.25">
      <c r="X5700" s="8" t="e">
        <f>IF(Final_Sans_VGE[[#This Row],[ppn_z]]="","",IFERROR(
   IF(_xlfn.XLOOKUP(Final_Sans_VGE[[#This Row],[ppn_z]],tbl_Historique_Final[ppn_z],tbl_Historique_Final[date_modif])=Final_Sans_VGE[[#This Row],[date_modif]],
      "Ancien",
      "Modifié"),
   "Nouveau"))</f>
        <v>#VALUE!</v>
      </c>
      <c r="AD5700" s="1" t="str">
        <f>IFERROR(IF(Final_Sans_VGE[[#This Row],[ppn_z]]="","",IFERROR(
   IF(_xlfn.XLOOKUP(Final_Sans_VGE[[#This Row],[ppn_z]],tbl_Historique_Final[[#This Row],[ppn_z]],tbl_Historique_Final[[#This Row],[date_modif]])=Final_Sans_VGE[[#This Row],[date_modif]],
      "Ancien",
      "Modifié"),
   "Nouveau")),"")</f>
        <v/>
      </c>
    </row>
    <row r="5701" spans="24:30" x14ac:dyDescent="0.25">
      <c r="X5701" s="8" t="e">
        <f>IF(Final_Sans_VGE[[#This Row],[ppn_z]]="","",IFERROR(
   IF(_xlfn.XLOOKUP(Final_Sans_VGE[[#This Row],[ppn_z]],tbl_Historique_Final[ppn_z],tbl_Historique_Final[date_modif])=Final_Sans_VGE[[#This Row],[date_modif]],
      "Ancien",
      "Modifié"),
   "Nouveau"))</f>
        <v>#VALUE!</v>
      </c>
      <c r="AD5701" s="1" t="str">
        <f>IFERROR(IF(Final_Sans_VGE[[#This Row],[ppn_z]]="","",IFERROR(
   IF(_xlfn.XLOOKUP(Final_Sans_VGE[[#This Row],[ppn_z]],tbl_Historique_Final[[#This Row],[ppn_z]],tbl_Historique_Final[[#This Row],[date_modif]])=Final_Sans_VGE[[#This Row],[date_modif]],
      "Ancien",
      "Modifié"),
   "Nouveau")),"")</f>
        <v/>
      </c>
    </row>
    <row r="5702" spans="24:30" x14ac:dyDescent="0.25">
      <c r="X5702" s="8" t="e">
        <f>IF(Final_Sans_VGE[[#This Row],[ppn_z]]="","",IFERROR(
   IF(_xlfn.XLOOKUP(Final_Sans_VGE[[#This Row],[ppn_z]],tbl_Historique_Final[ppn_z],tbl_Historique_Final[date_modif])=Final_Sans_VGE[[#This Row],[date_modif]],
      "Ancien",
      "Modifié"),
   "Nouveau"))</f>
        <v>#VALUE!</v>
      </c>
      <c r="AD5702" s="1" t="str">
        <f>IFERROR(IF(Final_Sans_VGE[[#This Row],[ppn_z]]="","",IFERROR(
   IF(_xlfn.XLOOKUP(Final_Sans_VGE[[#This Row],[ppn_z]],tbl_Historique_Final[[#This Row],[ppn_z]],tbl_Historique_Final[[#This Row],[date_modif]])=Final_Sans_VGE[[#This Row],[date_modif]],
      "Ancien",
      "Modifié"),
   "Nouveau")),"")</f>
        <v/>
      </c>
    </row>
    <row r="5703" spans="24:30" x14ac:dyDescent="0.25">
      <c r="X5703" s="8" t="e">
        <f>IF(Final_Sans_VGE[[#This Row],[ppn_z]]="","",IFERROR(
   IF(_xlfn.XLOOKUP(Final_Sans_VGE[[#This Row],[ppn_z]],tbl_Historique_Final[ppn_z],tbl_Historique_Final[date_modif])=Final_Sans_VGE[[#This Row],[date_modif]],
      "Ancien",
      "Modifié"),
   "Nouveau"))</f>
        <v>#VALUE!</v>
      </c>
      <c r="AD5703" s="1" t="str">
        <f>IFERROR(IF(Final_Sans_VGE[[#This Row],[ppn_z]]="","",IFERROR(
   IF(_xlfn.XLOOKUP(Final_Sans_VGE[[#This Row],[ppn_z]],tbl_Historique_Final[[#This Row],[ppn_z]],tbl_Historique_Final[[#This Row],[date_modif]])=Final_Sans_VGE[[#This Row],[date_modif]],
      "Ancien",
      "Modifié"),
   "Nouveau")),"")</f>
        <v/>
      </c>
    </row>
    <row r="5704" spans="24:30" x14ac:dyDescent="0.25">
      <c r="X5704" s="8" t="e">
        <f>IF(Final_Sans_VGE[[#This Row],[ppn_z]]="","",IFERROR(
   IF(_xlfn.XLOOKUP(Final_Sans_VGE[[#This Row],[ppn_z]],tbl_Historique_Final[ppn_z],tbl_Historique_Final[date_modif])=Final_Sans_VGE[[#This Row],[date_modif]],
      "Ancien",
      "Modifié"),
   "Nouveau"))</f>
        <v>#VALUE!</v>
      </c>
      <c r="AD5704" s="1" t="str">
        <f>IFERROR(IF(Final_Sans_VGE[[#This Row],[ppn_z]]="","",IFERROR(
   IF(_xlfn.XLOOKUP(Final_Sans_VGE[[#This Row],[ppn_z]],tbl_Historique_Final[[#This Row],[ppn_z]],tbl_Historique_Final[[#This Row],[date_modif]])=Final_Sans_VGE[[#This Row],[date_modif]],
      "Ancien",
      "Modifié"),
   "Nouveau")),"")</f>
        <v/>
      </c>
    </row>
    <row r="5705" spans="24:30" x14ac:dyDescent="0.25">
      <c r="X5705" s="8" t="e">
        <f>IF(Final_Sans_VGE[[#This Row],[ppn_z]]="","",IFERROR(
   IF(_xlfn.XLOOKUP(Final_Sans_VGE[[#This Row],[ppn_z]],tbl_Historique_Final[ppn_z],tbl_Historique_Final[date_modif])=Final_Sans_VGE[[#This Row],[date_modif]],
      "Ancien",
      "Modifié"),
   "Nouveau"))</f>
        <v>#VALUE!</v>
      </c>
      <c r="AD5705" s="1" t="str">
        <f>IFERROR(IF(Final_Sans_VGE[[#This Row],[ppn_z]]="","",IFERROR(
   IF(_xlfn.XLOOKUP(Final_Sans_VGE[[#This Row],[ppn_z]],tbl_Historique_Final[[#This Row],[ppn_z]],tbl_Historique_Final[[#This Row],[date_modif]])=Final_Sans_VGE[[#This Row],[date_modif]],
      "Ancien",
      "Modifié"),
   "Nouveau")),"")</f>
        <v/>
      </c>
    </row>
    <row r="5706" spans="24:30" x14ac:dyDescent="0.25">
      <c r="X5706" s="8" t="e">
        <f>IF(Final_Sans_VGE[[#This Row],[ppn_z]]="","",IFERROR(
   IF(_xlfn.XLOOKUP(Final_Sans_VGE[[#This Row],[ppn_z]],tbl_Historique_Final[ppn_z],tbl_Historique_Final[date_modif])=Final_Sans_VGE[[#This Row],[date_modif]],
      "Ancien",
      "Modifié"),
   "Nouveau"))</f>
        <v>#VALUE!</v>
      </c>
      <c r="AD5706" s="1" t="str">
        <f>IFERROR(IF(Final_Sans_VGE[[#This Row],[ppn_z]]="","",IFERROR(
   IF(_xlfn.XLOOKUP(Final_Sans_VGE[[#This Row],[ppn_z]],tbl_Historique_Final[[#This Row],[ppn_z]],tbl_Historique_Final[[#This Row],[date_modif]])=Final_Sans_VGE[[#This Row],[date_modif]],
      "Ancien",
      "Modifié"),
   "Nouveau")),"")</f>
        <v/>
      </c>
    </row>
    <row r="5707" spans="24:30" x14ac:dyDescent="0.25">
      <c r="X5707" s="8" t="e">
        <f>IF(Final_Sans_VGE[[#This Row],[ppn_z]]="","",IFERROR(
   IF(_xlfn.XLOOKUP(Final_Sans_VGE[[#This Row],[ppn_z]],tbl_Historique_Final[ppn_z],tbl_Historique_Final[date_modif])=Final_Sans_VGE[[#This Row],[date_modif]],
      "Ancien",
      "Modifié"),
   "Nouveau"))</f>
        <v>#VALUE!</v>
      </c>
      <c r="AD5707" s="1" t="str">
        <f>IFERROR(IF(Final_Sans_VGE[[#This Row],[ppn_z]]="","",IFERROR(
   IF(_xlfn.XLOOKUP(Final_Sans_VGE[[#This Row],[ppn_z]],tbl_Historique_Final[[#This Row],[ppn_z]],tbl_Historique_Final[[#This Row],[date_modif]])=Final_Sans_VGE[[#This Row],[date_modif]],
      "Ancien",
      "Modifié"),
   "Nouveau")),"")</f>
        <v/>
      </c>
    </row>
    <row r="5708" spans="24:30" x14ac:dyDescent="0.25">
      <c r="X5708" s="8" t="e">
        <f>IF(Final_Sans_VGE[[#This Row],[ppn_z]]="","",IFERROR(
   IF(_xlfn.XLOOKUP(Final_Sans_VGE[[#This Row],[ppn_z]],tbl_Historique_Final[ppn_z],tbl_Historique_Final[date_modif])=Final_Sans_VGE[[#This Row],[date_modif]],
      "Ancien",
      "Modifié"),
   "Nouveau"))</f>
        <v>#VALUE!</v>
      </c>
      <c r="AD5708" s="1" t="str">
        <f>IFERROR(IF(Final_Sans_VGE[[#This Row],[ppn_z]]="","",IFERROR(
   IF(_xlfn.XLOOKUP(Final_Sans_VGE[[#This Row],[ppn_z]],tbl_Historique_Final[[#This Row],[ppn_z]],tbl_Historique_Final[[#This Row],[date_modif]])=Final_Sans_VGE[[#This Row],[date_modif]],
      "Ancien",
      "Modifié"),
   "Nouveau")),"")</f>
        <v/>
      </c>
    </row>
    <row r="5709" spans="24:30" x14ac:dyDescent="0.25">
      <c r="X5709" s="8" t="e">
        <f>IF(Final_Sans_VGE[[#This Row],[ppn_z]]="","",IFERROR(
   IF(_xlfn.XLOOKUP(Final_Sans_VGE[[#This Row],[ppn_z]],tbl_Historique_Final[ppn_z],tbl_Historique_Final[date_modif])=Final_Sans_VGE[[#This Row],[date_modif]],
      "Ancien",
      "Modifié"),
   "Nouveau"))</f>
        <v>#VALUE!</v>
      </c>
      <c r="AD5709" s="1" t="str">
        <f>IFERROR(IF(Final_Sans_VGE[[#This Row],[ppn_z]]="","",IFERROR(
   IF(_xlfn.XLOOKUP(Final_Sans_VGE[[#This Row],[ppn_z]],tbl_Historique_Final[[#This Row],[ppn_z]],tbl_Historique_Final[[#This Row],[date_modif]])=Final_Sans_VGE[[#This Row],[date_modif]],
      "Ancien",
      "Modifié"),
   "Nouveau")),"")</f>
        <v/>
      </c>
    </row>
    <row r="5710" spans="24:30" x14ac:dyDescent="0.25">
      <c r="X5710" s="8" t="e">
        <f>IF(Final_Sans_VGE[[#This Row],[ppn_z]]="","",IFERROR(
   IF(_xlfn.XLOOKUP(Final_Sans_VGE[[#This Row],[ppn_z]],tbl_Historique_Final[ppn_z],tbl_Historique_Final[date_modif])=Final_Sans_VGE[[#This Row],[date_modif]],
      "Ancien",
      "Modifié"),
   "Nouveau"))</f>
        <v>#VALUE!</v>
      </c>
      <c r="AD5710" s="1" t="str">
        <f>IFERROR(IF(Final_Sans_VGE[[#This Row],[ppn_z]]="","",IFERROR(
   IF(_xlfn.XLOOKUP(Final_Sans_VGE[[#This Row],[ppn_z]],tbl_Historique_Final[[#This Row],[ppn_z]],tbl_Historique_Final[[#This Row],[date_modif]])=Final_Sans_VGE[[#This Row],[date_modif]],
      "Ancien",
      "Modifié"),
   "Nouveau")),"")</f>
        <v/>
      </c>
    </row>
    <row r="5711" spans="24:30" x14ac:dyDescent="0.25">
      <c r="X5711" s="8" t="e">
        <f>IF(Final_Sans_VGE[[#This Row],[ppn_z]]="","",IFERROR(
   IF(_xlfn.XLOOKUP(Final_Sans_VGE[[#This Row],[ppn_z]],tbl_Historique_Final[ppn_z],tbl_Historique_Final[date_modif])=Final_Sans_VGE[[#This Row],[date_modif]],
      "Ancien",
      "Modifié"),
   "Nouveau"))</f>
        <v>#VALUE!</v>
      </c>
      <c r="AD5711" s="1" t="str">
        <f>IFERROR(IF(Final_Sans_VGE[[#This Row],[ppn_z]]="","",IFERROR(
   IF(_xlfn.XLOOKUP(Final_Sans_VGE[[#This Row],[ppn_z]],tbl_Historique_Final[[#This Row],[ppn_z]],tbl_Historique_Final[[#This Row],[date_modif]])=Final_Sans_VGE[[#This Row],[date_modif]],
      "Ancien",
      "Modifié"),
   "Nouveau")),"")</f>
        <v/>
      </c>
    </row>
    <row r="5712" spans="24:30" x14ac:dyDescent="0.25">
      <c r="X5712" s="8" t="e">
        <f>IF(Final_Sans_VGE[[#This Row],[ppn_z]]="","",IFERROR(
   IF(_xlfn.XLOOKUP(Final_Sans_VGE[[#This Row],[ppn_z]],tbl_Historique_Final[ppn_z],tbl_Historique_Final[date_modif])=Final_Sans_VGE[[#This Row],[date_modif]],
      "Ancien",
      "Modifié"),
   "Nouveau"))</f>
        <v>#VALUE!</v>
      </c>
      <c r="AD5712" s="1" t="str">
        <f>IFERROR(IF(Final_Sans_VGE[[#This Row],[ppn_z]]="","",IFERROR(
   IF(_xlfn.XLOOKUP(Final_Sans_VGE[[#This Row],[ppn_z]],tbl_Historique_Final[[#This Row],[ppn_z]],tbl_Historique_Final[[#This Row],[date_modif]])=Final_Sans_VGE[[#This Row],[date_modif]],
      "Ancien",
      "Modifié"),
   "Nouveau")),"")</f>
        <v/>
      </c>
    </row>
    <row r="5713" spans="24:30" x14ac:dyDescent="0.25">
      <c r="X5713" s="8" t="e">
        <f>IF(Final_Sans_VGE[[#This Row],[ppn_z]]="","",IFERROR(
   IF(_xlfn.XLOOKUP(Final_Sans_VGE[[#This Row],[ppn_z]],tbl_Historique_Final[ppn_z],tbl_Historique_Final[date_modif])=Final_Sans_VGE[[#This Row],[date_modif]],
      "Ancien",
      "Modifié"),
   "Nouveau"))</f>
        <v>#VALUE!</v>
      </c>
      <c r="AD5713" s="1" t="str">
        <f>IFERROR(IF(Final_Sans_VGE[[#This Row],[ppn_z]]="","",IFERROR(
   IF(_xlfn.XLOOKUP(Final_Sans_VGE[[#This Row],[ppn_z]],tbl_Historique_Final[[#This Row],[ppn_z]],tbl_Historique_Final[[#This Row],[date_modif]])=Final_Sans_VGE[[#This Row],[date_modif]],
      "Ancien",
      "Modifié"),
   "Nouveau")),"")</f>
        <v/>
      </c>
    </row>
    <row r="5714" spans="24:30" x14ac:dyDescent="0.25">
      <c r="X5714" s="8" t="e">
        <f>IF(Final_Sans_VGE[[#This Row],[ppn_z]]="","",IFERROR(
   IF(_xlfn.XLOOKUP(Final_Sans_VGE[[#This Row],[ppn_z]],tbl_Historique_Final[ppn_z],tbl_Historique_Final[date_modif])=Final_Sans_VGE[[#This Row],[date_modif]],
      "Ancien",
      "Modifié"),
   "Nouveau"))</f>
        <v>#VALUE!</v>
      </c>
      <c r="AD5714" s="1" t="str">
        <f>IFERROR(IF(Final_Sans_VGE[[#This Row],[ppn_z]]="","",IFERROR(
   IF(_xlfn.XLOOKUP(Final_Sans_VGE[[#This Row],[ppn_z]],tbl_Historique_Final[[#This Row],[ppn_z]],tbl_Historique_Final[[#This Row],[date_modif]])=Final_Sans_VGE[[#This Row],[date_modif]],
      "Ancien",
      "Modifié"),
   "Nouveau")),"")</f>
        <v/>
      </c>
    </row>
    <row r="5715" spans="24:30" x14ac:dyDescent="0.25">
      <c r="X5715" s="8" t="e">
        <f>IF(Final_Sans_VGE[[#This Row],[ppn_z]]="","",IFERROR(
   IF(_xlfn.XLOOKUP(Final_Sans_VGE[[#This Row],[ppn_z]],tbl_Historique_Final[ppn_z],tbl_Historique_Final[date_modif])=Final_Sans_VGE[[#This Row],[date_modif]],
      "Ancien",
      "Modifié"),
   "Nouveau"))</f>
        <v>#VALUE!</v>
      </c>
      <c r="AD5715" s="1" t="str">
        <f>IFERROR(IF(Final_Sans_VGE[[#This Row],[ppn_z]]="","",IFERROR(
   IF(_xlfn.XLOOKUP(Final_Sans_VGE[[#This Row],[ppn_z]],tbl_Historique_Final[[#This Row],[ppn_z]],tbl_Historique_Final[[#This Row],[date_modif]])=Final_Sans_VGE[[#This Row],[date_modif]],
      "Ancien",
      "Modifié"),
   "Nouveau")),"")</f>
        <v/>
      </c>
    </row>
    <row r="5716" spans="24:30" x14ac:dyDescent="0.25">
      <c r="X5716" s="8" t="e">
        <f>IF(Final_Sans_VGE[[#This Row],[ppn_z]]="","",IFERROR(
   IF(_xlfn.XLOOKUP(Final_Sans_VGE[[#This Row],[ppn_z]],tbl_Historique_Final[ppn_z],tbl_Historique_Final[date_modif])=Final_Sans_VGE[[#This Row],[date_modif]],
      "Ancien",
      "Modifié"),
   "Nouveau"))</f>
        <v>#VALUE!</v>
      </c>
      <c r="AD5716" s="1" t="str">
        <f>IFERROR(IF(Final_Sans_VGE[[#This Row],[ppn_z]]="","",IFERROR(
   IF(_xlfn.XLOOKUP(Final_Sans_VGE[[#This Row],[ppn_z]],tbl_Historique_Final[[#This Row],[ppn_z]],tbl_Historique_Final[[#This Row],[date_modif]])=Final_Sans_VGE[[#This Row],[date_modif]],
      "Ancien",
      "Modifié"),
   "Nouveau")),"")</f>
        <v/>
      </c>
    </row>
    <row r="5717" spans="24:30" x14ac:dyDescent="0.25">
      <c r="X5717" s="8" t="e">
        <f>IF(Final_Sans_VGE[[#This Row],[ppn_z]]="","",IFERROR(
   IF(_xlfn.XLOOKUP(Final_Sans_VGE[[#This Row],[ppn_z]],tbl_Historique_Final[ppn_z],tbl_Historique_Final[date_modif])=Final_Sans_VGE[[#This Row],[date_modif]],
      "Ancien",
      "Modifié"),
   "Nouveau"))</f>
        <v>#VALUE!</v>
      </c>
      <c r="AD5717" s="1" t="str">
        <f>IFERROR(IF(Final_Sans_VGE[[#This Row],[ppn_z]]="","",IFERROR(
   IF(_xlfn.XLOOKUP(Final_Sans_VGE[[#This Row],[ppn_z]],tbl_Historique_Final[[#This Row],[ppn_z]],tbl_Historique_Final[[#This Row],[date_modif]])=Final_Sans_VGE[[#This Row],[date_modif]],
      "Ancien",
      "Modifié"),
   "Nouveau")),"")</f>
        <v/>
      </c>
    </row>
    <row r="5718" spans="24:30" x14ac:dyDescent="0.25">
      <c r="X5718" s="8" t="e">
        <f>IF(Final_Sans_VGE[[#This Row],[ppn_z]]="","",IFERROR(
   IF(_xlfn.XLOOKUP(Final_Sans_VGE[[#This Row],[ppn_z]],tbl_Historique_Final[ppn_z],tbl_Historique_Final[date_modif])=Final_Sans_VGE[[#This Row],[date_modif]],
      "Ancien",
      "Modifié"),
   "Nouveau"))</f>
        <v>#VALUE!</v>
      </c>
      <c r="AD5718" s="1" t="str">
        <f>IFERROR(IF(Final_Sans_VGE[[#This Row],[ppn_z]]="","",IFERROR(
   IF(_xlfn.XLOOKUP(Final_Sans_VGE[[#This Row],[ppn_z]],tbl_Historique_Final[[#This Row],[ppn_z]],tbl_Historique_Final[[#This Row],[date_modif]])=Final_Sans_VGE[[#This Row],[date_modif]],
      "Ancien",
      "Modifié"),
   "Nouveau")),"")</f>
        <v/>
      </c>
    </row>
    <row r="5719" spans="24:30" x14ac:dyDescent="0.25">
      <c r="X5719" s="8" t="e">
        <f>IF(Final_Sans_VGE[[#This Row],[ppn_z]]="","",IFERROR(
   IF(_xlfn.XLOOKUP(Final_Sans_VGE[[#This Row],[ppn_z]],tbl_Historique_Final[ppn_z],tbl_Historique_Final[date_modif])=Final_Sans_VGE[[#This Row],[date_modif]],
      "Ancien",
      "Modifié"),
   "Nouveau"))</f>
        <v>#VALUE!</v>
      </c>
      <c r="AD5719" s="1" t="str">
        <f>IFERROR(IF(Final_Sans_VGE[[#This Row],[ppn_z]]="","",IFERROR(
   IF(_xlfn.XLOOKUP(Final_Sans_VGE[[#This Row],[ppn_z]],tbl_Historique_Final[[#This Row],[ppn_z]],tbl_Historique_Final[[#This Row],[date_modif]])=Final_Sans_VGE[[#This Row],[date_modif]],
      "Ancien",
      "Modifié"),
   "Nouveau")),"")</f>
        <v/>
      </c>
    </row>
    <row r="5720" spans="24:30" x14ac:dyDescent="0.25">
      <c r="X5720" s="8" t="e">
        <f>IF(Final_Sans_VGE[[#This Row],[ppn_z]]="","",IFERROR(
   IF(_xlfn.XLOOKUP(Final_Sans_VGE[[#This Row],[ppn_z]],tbl_Historique_Final[ppn_z],tbl_Historique_Final[date_modif])=Final_Sans_VGE[[#This Row],[date_modif]],
      "Ancien",
      "Modifié"),
   "Nouveau"))</f>
        <v>#VALUE!</v>
      </c>
      <c r="AD5720" s="1" t="str">
        <f>IFERROR(IF(Final_Sans_VGE[[#This Row],[ppn_z]]="","",IFERROR(
   IF(_xlfn.XLOOKUP(Final_Sans_VGE[[#This Row],[ppn_z]],tbl_Historique_Final[[#This Row],[ppn_z]],tbl_Historique_Final[[#This Row],[date_modif]])=Final_Sans_VGE[[#This Row],[date_modif]],
      "Ancien",
      "Modifié"),
   "Nouveau")),"")</f>
        <v/>
      </c>
    </row>
    <row r="5721" spans="24:30" x14ac:dyDescent="0.25">
      <c r="X5721" s="8" t="e">
        <f>IF(Final_Sans_VGE[[#This Row],[ppn_z]]="","",IFERROR(
   IF(_xlfn.XLOOKUP(Final_Sans_VGE[[#This Row],[ppn_z]],tbl_Historique_Final[ppn_z],tbl_Historique_Final[date_modif])=Final_Sans_VGE[[#This Row],[date_modif]],
      "Ancien",
      "Modifié"),
   "Nouveau"))</f>
        <v>#VALUE!</v>
      </c>
      <c r="AD5721" s="1" t="str">
        <f>IFERROR(IF(Final_Sans_VGE[[#This Row],[ppn_z]]="","",IFERROR(
   IF(_xlfn.XLOOKUP(Final_Sans_VGE[[#This Row],[ppn_z]],tbl_Historique_Final[[#This Row],[ppn_z]],tbl_Historique_Final[[#This Row],[date_modif]])=Final_Sans_VGE[[#This Row],[date_modif]],
      "Ancien",
      "Modifié"),
   "Nouveau")),"")</f>
        <v/>
      </c>
    </row>
    <row r="5722" spans="24:30" x14ac:dyDescent="0.25">
      <c r="X5722" s="8" t="e">
        <f>IF(Final_Sans_VGE[[#This Row],[ppn_z]]="","",IFERROR(
   IF(_xlfn.XLOOKUP(Final_Sans_VGE[[#This Row],[ppn_z]],tbl_Historique_Final[ppn_z],tbl_Historique_Final[date_modif])=Final_Sans_VGE[[#This Row],[date_modif]],
      "Ancien",
      "Modifié"),
   "Nouveau"))</f>
        <v>#VALUE!</v>
      </c>
      <c r="AD5722" s="1" t="str">
        <f>IFERROR(IF(Final_Sans_VGE[[#This Row],[ppn_z]]="","",IFERROR(
   IF(_xlfn.XLOOKUP(Final_Sans_VGE[[#This Row],[ppn_z]],tbl_Historique_Final[[#This Row],[ppn_z]],tbl_Historique_Final[[#This Row],[date_modif]])=Final_Sans_VGE[[#This Row],[date_modif]],
      "Ancien",
      "Modifié"),
   "Nouveau")),"")</f>
        <v/>
      </c>
    </row>
    <row r="5723" spans="24:30" x14ac:dyDescent="0.25">
      <c r="X5723" s="8" t="e">
        <f>IF(Final_Sans_VGE[[#This Row],[ppn_z]]="","",IFERROR(
   IF(_xlfn.XLOOKUP(Final_Sans_VGE[[#This Row],[ppn_z]],tbl_Historique_Final[ppn_z],tbl_Historique_Final[date_modif])=Final_Sans_VGE[[#This Row],[date_modif]],
      "Ancien",
      "Modifié"),
   "Nouveau"))</f>
        <v>#VALUE!</v>
      </c>
      <c r="AD5723" s="1" t="str">
        <f>IFERROR(IF(Final_Sans_VGE[[#This Row],[ppn_z]]="","",IFERROR(
   IF(_xlfn.XLOOKUP(Final_Sans_VGE[[#This Row],[ppn_z]],tbl_Historique_Final[[#This Row],[ppn_z]],tbl_Historique_Final[[#This Row],[date_modif]])=Final_Sans_VGE[[#This Row],[date_modif]],
      "Ancien",
      "Modifié"),
   "Nouveau")),"")</f>
        <v/>
      </c>
    </row>
    <row r="5724" spans="24:30" x14ac:dyDescent="0.25">
      <c r="X5724" s="8" t="e">
        <f>IF(Final_Sans_VGE[[#This Row],[ppn_z]]="","",IFERROR(
   IF(_xlfn.XLOOKUP(Final_Sans_VGE[[#This Row],[ppn_z]],tbl_Historique_Final[ppn_z],tbl_Historique_Final[date_modif])=Final_Sans_VGE[[#This Row],[date_modif]],
      "Ancien",
      "Modifié"),
   "Nouveau"))</f>
        <v>#VALUE!</v>
      </c>
      <c r="AD5724" s="1" t="str">
        <f>IFERROR(IF(Final_Sans_VGE[[#This Row],[ppn_z]]="","",IFERROR(
   IF(_xlfn.XLOOKUP(Final_Sans_VGE[[#This Row],[ppn_z]],tbl_Historique_Final[[#This Row],[ppn_z]],tbl_Historique_Final[[#This Row],[date_modif]])=Final_Sans_VGE[[#This Row],[date_modif]],
      "Ancien",
      "Modifié"),
   "Nouveau")),"")</f>
        <v/>
      </c>
    </row>
    <row r="5725" spans="24:30" x14ac:dyDescent="0.25">
      <c r="X5725" s="8" t="e">
        <f>IF(Final_Sans_VGE[[#This Row],[ppn_z]]="","",IFERROR(
   IF(_xlfn.XLOOKUP(Final_Sans_VGE[[#This Row],[ppn_z]],tbl_Historique_Final[ppn_z],tbl_Historique_Final[date_modif])=Final_Sans_VGE[[#This Row],[date_modif]],
      "Ancien",
      "Modifié"),
   "Nouveau"))</f>
        <v>#VALUE!</v>
      </c>
      <c r="AD5725" s="1" t="str">
        <f>IFERROR(IF(Final_Sans_VGE[[#This Row],[ppn_z]]="","",IFERROR(
   IF(_xlfn.XLOOKUP(Final_Sans_VGE[[#This Row],[ppn_z]],tbl_Historique_Final[[#This Row],[ppn_z]],tbl_Historique_Final[[#This Row],[date_modif]])=Final_Sans_VGE[[#This Row],[date_modif]],
      "Ancien",
      "Modifié"),
   "Nouveau")),"")</f>
        <v/>
      </c>
    </row>
    <row r="5726" spans="24:30" x14ac:dyDescent="0.25">
      <c r="X5726" s="8" t="e">
        <f>IF(Final_Sans_VGE[[#This Row],[ppn_z]]="","",IFERROR(
   IF(_xlfn.XLOOKUP(Final_Sans_VGE[[#This Row],[ppn_z]],tbl_Historique_Final[ppn_z],tbl_Historique_Final[date_modif])=Final_Sans_VGE[[#This Row],[date_modif]],
      "Ancien",
      "Modifié"),
   "Nouveau"))</f>
        <v>#VALUE!</v>
      </c>
      <c r="AD5726" s="1" t="str">
        <f>IFERROR(IF(Final_Sans_VGE[[#This Row],[ppn_z]]="","",IFERROR(
   IF(_xlfn.XLOOKUP(Final_Sans_VGE[[#This Row],[ppn_z]],tbl_Historique_Final[[#This Row],[ppn_z]],tbl_Historique_Final[[#This Row],[date_modif]])=Final_Sans_VGE[[#This Row],[date_modif]],
      "Ancien",
      "Modifié"),
   "Nouveau")),"")</f>
        <v/>
      </c>
    </row>
    <row r="5727" spans="24:30" x14ac:dyDescent="0.25">
      <c r="X5727" s="8" t="e">
        <f>IF(Final_Sans_VGE[[#This Row],[ppn_z]]="","",IFERROR(
   IF(_xlfn.XLOOKUP(Final_Sans_VGE[[#This Row],[ppn_z]],tbl_Historique_Final[ppn_z],tbl_Historique_Final[date_modif])=Final_Sans_VGE[[#This Row],[date_modif]],
      "Ancien",
      "Modifié"),
   "Nouveau"))</f>
        <v>#VALUE!</v>
      </c>
      <c r="AD5727" s="1" t="str">
        <f>IFERROR(IF(Final_Sans_VGE[[#This Row],[ppn_z]]="","",IFERROR(
   IF(_xlfn.XLOOKUP(Final_Sans_VGE[[#This Row],[ppn_z]],tbl_Historique_Final[[#This Row],[ppn_z]],tbl_Historique_Final[[#This Row],[date_modif]])=Final_Sans_VGE[[#This Row],[date_modif]],
      "Ancien",
      "Modifié"),
   "Nouveau")),"")</f>
        <v/>
      </c>
    </row>
    <row r="5728" spans="24:30" x14ac:dyDescent="0.25">
      <c r="X5728" s="8" t="e">
        <f>IF(Final_Sans_VGE[[#This Row],[ppn_z]]="","",IFERROR(
   IF(_xlfn.XLOOKUP(Final_Sans_VGE[[#This Row],[ppn_z]],tbl_Historique_Final[ppn_z],tbl_Historique_Final[date_modif])=Final_Sans_VGE[[#This Row],[date_modif]],
      "Ancien",
      "Modifié"),
   "Nouveau"))</f>
        <v>#VALUE!</v>
      </c>
      <c r="AD5728" s="1" t="str">
        <f>IFERROR(IF(Final_Sans_VGE[[#This Row],[ppn_z]]="","",IFERROR(
   IF(_xlfn.XLOOKUP(Final_Sans_VGE[[#This Row],[ppn_z]],tbl_Historique_Final[[#This Row],[ppn_z]],tbl_Historique_Final[[#This Row],[date_modif]])=Final_Sans_VGE[[#This Row],[date_modif]],
      "Ancien",
      "Modifié"),
   "Nouveau")),"")</f>
        <v/>
      </c>
    </row>
    <row r="5729" spans="24:30" x14ac:dyDescent="0.25">
      <c r="X5729" s="8" t="e">
        <f>IF(Final_Sans_VGE[[#This Row],[ppn_z]]="","",IFERROR(
   IF(_xlfn.XLOOKUP(Final_Sans_VGE[[#This Row],[ppn_z]],tbl_Historique_Final[ppn_z],tbl_Historique_Final[date_modif])=Final_Sans_VGE[[#This Row],[date_modif]],
      "Ancien",
      "Modifié"),
   "Nouveau"))</f>
        <v>#VALUE!</v>
      </c>
      <c r="AD5729" s="1" t="str">
        <f>IFERROR(IF(Final_Sans_VGE[[#This Row],[ppn_z]]="","",IFERROR(
   IF(_xlfn.XLOOKUP(Final_Sans_VGE[[#This Row],[ppn_z]],tbl_Historique_Final[[#This Row],[ppn_z]],tbl_Historique_Final[[#This Row],[date_modif]])=Final_Sans_VGE[[#This Row],[date_modif]],
      "Ancien",
      "Modifié"),
   "Nouveau")),"")</f>
        <v/>
      </c>
    </row>
    <row r="5730" spans="24:30" x14ac:dyDescent="0.25">
      <c r="X5730" s="8" t="e">
        <f>IF(Final_Sans_VGE[[#This Row],[ppn_z]]="","",IFERROR(
   IF(_xlfn.XLOOKUP(Final_Sans_VGE[[#This Row],[ppn_z]],tbl_Historique_Final[ppn_z],tbl_Historique_Final[date_modif])=Final_Sans_VGE[[#This Row],[date_modif]],
      "Ancien",
      "Modifié"),
   "Nouveau"))</f>
        <v>#VALUE!</v>
      </c>
      <c r="AD5730" s="1" t="str">
        <f>IFERROR(IF(Final_Sans_VGE[[#This Row],[ppn_z]]="","",IFERROR(
   IF(_xlfn.XLOOKUP(Final_Sans_VGE[[#This Row],[ppn_z]],tbl_Historique_Final[[#This Row],[ppn_z]],tbl_Historique_Final[[#This Row],[date_modif]])=Final_Sans_VGE[[#This Row],[date_modif]],
      "Ancien",
      "Modifié"),
   "Nouveau")),"")</f>
        <v/>
      </c>
    </row>
    <row r="5731" spans="24:30" x14ac:dyDescent="0.25">
      <c r="X5731" s="8" t="e">
        <f>IF(Final_Sans_VGE[[#This Row],[ppn_z]]="","",IFERROR(
   IF(_xlfn.XLOOKUP(Final_Sans_VGE[[#This Row],[ppn_z]],tbl_Historique_Final[ppn_z],tbl_Historique_Final[date_modif])=Final_Sans_VGE[[#This Row],[date_modif]],
      "Ancien",
      "Modifié"),
   "Nouveau"))</f>
        <v>#VALUE!</v>
      </c>
      <c r="AD5731" s="1" t="str">
        <f>IFERROR(IF(Final_Sans_VGE[[#This Row],[ppn_z]]="","",IFERROR(
   IF(_xlfn.XLOOKUP(Final_Sans_VGE[[#This Row],[ppn_z]],tbl_Historique_Final[[#This Row],[ppn_z]],tbl_Historique_Final[[#This Row],[date_modif]])=Final_Sans_VGE[[#This Row],[date_modif]],
      "Ancien",
      "Modifié"),
   "Nouveau")),"")</f>
        <v/>
      </c>
    </row>
    <row r="5732" spans="24:30" x14ac:dyDescent="0.25">
      <c r="X5732" s="8" t="e">
        <f>IF(Final_Sans_VGE[[#This Row],[ppn_z]]="","",IFERROR(
   IF(_xlfn.XLOOKUP(Final_Sans_VGE[[#This Row],[ppn_z]],tbl_Historique_Final[ppn_z],tbl_Historique_Final[date_modif])=Final_Sans_VGE[[#This Row],[date_modif]],
      "Ancien",
      "Modifié"),
   "Nouveau"))</f>
        <v>#VALUE!</v>
      </c>
      <c r="AD5732" s="1" t="str">
        <f>IFERROR(IF(Final_Sans_VGE[[#This Row],[ppn_z]]="","",IFERROR(
   IF(_xlfn.XLOOKUP(Final_Sans_VGE[[#This Row],[ppn_z]],tbl_Historique_Final[[#This Row],[ppn_z]],tbl_Historique_Final[[#This Row],[date_modif]])=Final_Sans_VGE[[#This Row],[date_modif]],
      "Ancien",
      "Modifié"),
   "Nouveau")),"")</f>
        <v/>
      </c>
    </row>
    <row r="5733" spans="24:30" x14ac:dyDescent="0.25">
      <c r="X5733" s="8" t="e">
        <f>IF(Final_Sans_VGE[[#This Row],[ppn_z]]="","",IFERROR(
   IF(_xlfn.XLOOKUP(Final_Sans_VGE[[#This Row],[ppn_z]],tbl_Historique_Final[ppn_z],tbl_Historique_Final[date_modif])=Final_Sans_VGE[[#This Row],[date_modif]],
      "Ancien",
      "Modifié"),
   "Nouveau"))</f>
        <v>#VALUE!</v>
      </c>
      <c r="AD5733" s="1" t="str">
        <f>IFERROR(IF(Final_Sans_VGE[[#This Row],[ppn_z]]="","",IFERROR(
   IF(_xlfn.XLOOKUP(Final_Sans_VGE[[#This Row],[ppn_z]],tbl_Historique_Final[[#This Row],[ppn_z]],tbl_Historique_Final[[#This Row],[date_modif]])=Final_Sans_VGE[[#This Row],[date_modif]],
      "Ancien",
      "Modifié"),
   "Nouveau")),"")</f>
        <v/>
      </c>
    </row>
    <row r="5734" spans="24:30" x14ac:dyDescent="0.25">
      <c r="X5734" s="8" t="e">
        <f>IF(Final_Sans_VGE[[#This Row],[ppn_z]]="","",IFERROR(
   IF(_xlfn.XLOOKUP(Final_Sans_VGE[[#This Row],[ppn_z]],tbl_Historique_Final[ppn_z],tbl_Historique_Final[date_modif])=Final_Sans_VGE[[#This Row],[date_modif]],
      "Ancien",
      "Modifié"),
   "Nouveau"))</f>
        <v>#VALUE!</v>
      </c>
      <c r="AD5734" s="1" t="str">
        <f>IFERROR(IF(Final_Sans_VGE[[#This Row],[ppn_z]]="","",IFERROR(
   IF(_xlfn.XLOOKUP(Final_Sans_VGE[[#This Row],[ppn_z]],tbl_Historique_Final[[#This Row],[ppn_z]],tbl_Historique_Final[[#This Row],[date_modif]])=Final_Sans_VGE[[#This Row],[date_modif]],
      "Ancien",
      "Modifié"),
   "Nouveau")),"")</f>
        <v/>
      </c>
    </row>
    <row r="5735" spans="24:30" x14ac:dyDescent="0.25">
      <c r="X5735" s="8" t="e">
        <f>IF(Final_Sans_VGE[[#This Row],[ppn_z]]="","",IFERROR(
   IF(_xlfn.XLOOKUP(Final_Sans_VGE[[#This Row],[ppn_z]],tbl_Historique_Final[ppn_z],tbl_Historique_Final[date_modif])=Final_Sans_VGE[[#This Row],[date_modif]],
      "Ancien",
      "Modifié"),
   "Nouveau"))</f>
        <v>#VALUE!</v>
      </c>
      <c r="AD5735" s="1" t="str">
        <f>IFERROR(IF(Final_Sans_VGE[[#This Row],[ppn_z]]="","",IFERROR(
   IF(_xlfn.XLOOKUP(Final_Sans_VGE[[#This Row],[ppn_z]],tbl_Historique_Final[[#This Row],[ppn_z]],tbl_Historique_Final[[#This Row],[date_modif]])=Final_Sans_VGE[[#This Row],[date_modif]],
      "Ancien",
      "Modifié"),
   "Nouveau")),"")</f>
        <v/>
      </c>
    </row>
    <row r="5736" spans="24:30" x14ac:dyDescent="0.25">
      <c r="X5736" s="8" t="e">
        <f>IF(Final_Sans_VGE[[#This Row],[ppn_z]]="","",IFERROR(
   IF(_xlfn.XLOOKUP(Final_Sans_VGE[[#This Row],[ppn_z]],tbl_Historique_Final[ppn_z],tbl_Historique_Final[date_modif])=Final_Sans_VGE[[#This Row],[date_modif]],
      "Ancien",
      "Modifié"),
   "Nouveau"))</f>
        <v>#VALUE!</v>
      </c>
      <c r="AD5736" s="1" t="str">
        <f>IFERROR(IF(Final_Sans_VGE[[#This Row],[ppn_z]]="","",IFERROR(
   IF(_xlfn.XLOOKUP(Final_Sans_VGE[[#This Row],[ppn_z]],tbl_Historique_Final[[#This Row],[ppn_z]],tbl_Historique_Final[[#This Row],[date_modif]])=Final_Sans_VGE[[#This Row],[date_modif]],
      "Ancien",
      "Modifié"),
   "Nouveau")),"")</f>
        <v/>
      </c>
    </row>
    <row r="5737" spans="24:30" x14ac:dyDescent="0.25">
      <c r="X5737" s="8" t="e">
        <f>IF(Final_Sans_VGE[[#This Row],[ppn_z]]="","",IFERROR(
   IF(_xlfn.XLOOKUP(Final_Sans_VGE[[#This Row],[ppn_z]],tbl_Historique_Final[ppn_z],tbl_Historique_Final[date_modif])=Final_Sans_VGE[[#This Row],[date_modif]],
      "Ancien",
      "Modifié"),
   "Nouveau"))</f>
        <v>#VALUE!</v>
      </c>
      <c r="AD5737" s="1" t="str">
        <f>IFERROR(IF(Final_Sans_VGE[[#This Row],[ppn_z]]="","",IFERROR(
   IF(_xlfn.XLOOKUP(Final_Sans_VGE[[#This Row],[ppn_z]],tbl_Historique_Final[[#This Row],[ppn_z]],tbl_Historique_Final[[#This Row],[date_modif]])=Final_Sans_VGE[[#This Row],[date_modif]],
      "Ancien",
      "Modifié"),
   "Nouveau")),"")</f>
        <v/>
      </c>
    </row>
    <row r="5738" spans="24:30" x14ac:dyDescent="0.25">
      <c r="X5738" s="8" t="e">
        <f>IF(Final_Sans_VGE[[#This Row],[ppn_z]]="","",IFERROR(
   IF(_xlfn.XLOOKUP(Final_Sans_VGE[[#This Row],[ppn_z]],tbl_Historique_Final[ppn_z],tbl_Historique_Final[date_modif])=Final_Sans_VGE[[#This Row],[date_modif]],
      "Ancien",
      "Modifié"),
   "Nouveau"))</f>
        <v>#VALUE!</v>
      </c>
      <c r="AD5738" s="1" t="str">
        <f>IFERROR(IF(Final_Sans_VGE[[#This Row],[ppn_z]]="","",IFERROR(
   IF(_xlfn.XLOOKUP(Final_Sans_VGE[[#This Row],[ppn_z]],tbl_Historique_Final[[#This Row],[ppn_z]],tbl_Historique_Final[[#This Row],[date_modif]])=Final_Sans_VGE[[#This Row],[date_modif]],
      "Ancien",
      "Modifié"),
   "Nouveau")),"")</f>
        <v/>
      </c>
    </row>
    <row r="5739" spans="24:30" x14ac:dyDescent="0.25">
      <c r="X5739" s="8" t="e">
        <f>IF(Final_Sans_VGE[[#This Row],[ppn_z]]="","",IFERROR(
   IF(_xlfn.XLOOKUP(Final_Sans_VGE[[#This Row],[ppn_z]],tbl_Historique_Final[ppn_z],tbl_Historique_Final[date_modif])=Final_Sans_VGE[[#This Row],[date_modif]],
      "Ancien",
      "Modifié"),
   "Nouveau"))</f>
        <v>#VALUE!</v>
      </c>
      <c r="AD5739" s="1" t="str">
        <f>IFERROR(IF(Final_Sans_VGE[[#This Row],[ppn_z]]="","",IFERROR(
   IF(_xlfn.XLOOKUP(Final_Sans_VGE[[#This Row],[ppn_z]],tbl_Historique_Final[[#This Row],[ppn_z]],tbl_Historique_Final[[#This Row],[date_modif]])=Final_Sans_VGE[[#This Row],[date_modif]],
      "Ancien",
      "Modifié"),
   "Nouveau")),"")</f>
        <v/>
      </c>
    </row>
    <row r="5740" spans="24:30" x14ac:dyDescent="0.25">
      <c r="X5740" s="8" t="e">
        <f>IF(Final_Sans_VGE[[#This Row],[ppn_z]]="","",IFERROR(
   IF(_xlfn.XLOOKUP(Final_Sans_VGE[[#This Row],[ppn_z]],tbl_Historique_Final[ppn_z],tbl_Historique_Final[date_modif])=Final_Sans_VGE[[#This Row],[date_modif]],
      "Ancien",
      "Modifié"),
   "Nouveau"))</f>
        <v>#VALUE!</v>
      </c>
      <c r="AD5740" s="1" t="str">
        <f>IFERROR(IF(Final_Sans_VGE[[#This Row],[ppn_z]]="","",IFERROR(
   IF(_xlfn.XLOOKUP(Final_Sans_VGE[[#This Row],[ppn_z]],tbl_Historique_Final[[#This Row],[ppn_z]],tbl_Historique_Final[[#This Row],[date_modif]])=Final_Sans_VGE[[#This Row],[date_modif]],
      "Ancien",
      "Modifié"),
   "Nouveau")),"")</f>
        <v/>
      </c>
    </row>
    <row r="5741" spans="24:30" x14ac:dyDescent="0.25">
      <c r="X5741" s="8" t="e">
        <f>IF(Final_Sans_VGE[[#This Row],[ppn_z]]="","",IFERROR(
   IF(_xlfn.XLOOKUP(Final_Sans_VGE[[#This Row],[ppn_z]],tbl_Historique_Final[ppn_z],tbl_Historique_Final[date_modif])=Final_Sans_VGE[[#This Row],[date_modif]],
      "Ancien",
      "Modifié"),
   "Nouveau"))</f>
        <v>#VALUE!</v>
      </c>
      <c r="AD5741" s="1" t="str">
        <f>IFERROR(IF(Final_Sans_VGE[[#This Row],[ppn_z]]="","",IFERROR(
   IF(_xlfn.XLOOKUP(Final_Sans_VGE[[#This Row],[ppn_z]],tbl_Historique_Final[[#This Row],[ppn_z]],tbl_Historique_Final[[#This Row],[date_modif]])=Final_Sans_VGE[[#This Row],[date_modif]],
      "Ancien",
      "Modifié"),
   "Nouveau")),"")</f>
        <v/>
      </c>
    </row>
    <row r="5742" spans="24:30" x14ac:dyDescent="0.25">
      <c r="X5742" s="8" t="e">
        <f>IF(Final_Sans_VGE[[#This Row],[ppn_z]]="","",IFERROR(
   IF(_xlfn.XLOOKUP(Final_Sans_VGE[[#This Row],[ppn_z]],tbl_Historique_Final[ppn_z],tbl_Historique_Final[date_modif])=Final_Sans_VGE[[#This Row],[date_modif]],
      "Ancien",
      "Modifié"),
   "Nouveau"))</f>
        <v>#VALUE!</v>
      </c>
      <c r="AD5742" s="1" t="str">
        <f>IFERROR(IF(Final_Sans_VGE[[#This Row],[ppn_z]]="","",IFERROR(
   IF(_xlfn.XLOOKUP(Final_Sans_VGE[[#This Row],[ppn_z]],tbl_Historique_Final[[#This Row],[ppn_z]],tbl_Historique_Final[[#This Row],[date_modif]])=Final_Sans_VGE[[#This Row],[date_modif]],
      "Ancien",
      "Modifié"),
   "Nouveau")),"")</f>
        <v/>
      </c>
    </row>
    <row r="5743" spans="24:30" x14ac:dyDescent="0.25">
      <c r="X5743" s="8" t="e">
        <f>IF(Final_Sans_VGE[[#This Row],[ppn_z]]="","",IFERROR(
   IF(_xlfn.XLOOKUP(Final_Sans_VGE[[#This Row],[ppn_z]],tbl_Historique_Final[ppn_z],tbl_Historique_Final[date_modif])=Final_Sans_VGE[[#This Row],[date_modif]],
      "Ancien",
      "Modifié"),
   "Nouveau"))</f>
        <v>#VALUE!</v>
      </c>
      <c r="AD5743" s="1" t="str">
        <f>IFERROR(IF(Final_Sans_VGE[[#This Row],[ppn_z]]="","",IFERROR(
   IF(_xlfn.XLOOKUP(Final_Sans_VGE[[#This Row],[ppn_z]],tbl_Historique_Final[[#This Row],[ppn_z]],tbl_Historique_Final[[#This Row],[date_modif]])=Final_Sans_VGE[[#This Row],[date_modif]],
      "Ancien",
      "Modifié"),
   "Nouveau")),"")</f>
        <v/>
      </c>
    </row>
    <row r="5744" spans="24:30" x14ac:dyDescent="0.25">
      <c r="X5744" s="8" t="e">
        <f>IF(Final_Sans_VGE[[#This Row],[ppn_z]]="","",IFERROR(
   IF(_xlfn.XLOOKUP(Final_Sans_VGE[[#This Row],[ppn_z]],tbl_Historique_Final[ppn_z],tbl_Historique_Final[date_modif])=Final_Sans_VGE[[#This Row],[date_modif]],
      "Ancien",
      "Modifié"),
   "Nouveau"))</f>
        <v>#VALUE!</v>
      </c>
      <c r="AD5744" s="1" t="str">
        <f>IFERROR(IF(Final_Sans_VGE[[#This Row],[ppn_z]]="","",IFERROR(
   IF(_xlfn.XLOOKUP(Final_Sans_VGE[[#This Row],[ppn_z]],tbl_Historique_Final[[#This Row],[ppn_z]],tbl_Historique_Final[[#This Row],[date_modif]])=Final_Sans_VGE[[#This Row],[date_modif]],
      "Ancien",
      "Modifié"),
   "Nouveau")),"")</f>
        <v/>
      </c>
    </row>
    <row r="5745" spans="24:30" x14ac:dyDescent="0.25">
      <c r="X5745" s="8" t="e">
        <f>IF(Final_Sans_VGE[[#This Row],[ppn_z]]="","",IFERROR(
   IF(_xlfn.XLOOKUP(Final_Sans_VGE[[#This Row],[ppn_z]],tbl_Historique_Final[ppn_z],tbl_Historique_Final[date_modif])=Final_Sans_VGE[[#This Row],[date_modif]],
      "Ancien",
      "Modifié"),
   "Nouveau"))</f>
        <v>#VALUE!</v>
      </c>
      <c r="AD5745" s="1" t="str">
        <f>IFERROR(IF(Final_Sans_VGE[[#This Row],[ppn_z]]="","",IFERROR(
   IF(_xlfn.XLOOKUP(Final_Sans_VGE[[#This Row],[ppn_z]],tbl_Historique_Final[[#This Row],[ppn_z]],tbl_Historique_Final[[#This Row],[date_modif]])=Final_Sans_VGE[[#This Row],[date_modif]],
      "Ancien",
      "Modifié"),
   "Nouveau")),"")</f>
        <v/>
      </c>
    </row>
    <row r="5746" spans="24:30" x14ac:dyDescent="0.25">
      <c r="X5746" s="8" t="e">
        <f>IF(Final_Sans_VGE[[#This Row],[ppn_z]]="","",IFERROR(
   IF(_xlfn.XLOOKUP(Final_Sans_VGE[[#This Row],[ppn_z]],tbl_Historique_Final[ppn_z],tbl_Historique_Final[date_modif])=Final_Sans_VGE[[#This Row],[date_modif]],
      "Ancien",
      "Modifié"),
   "Nouveau"))</f>
        <v>#VALUE!</v>
      </c>
      <c r="AD5746" s="1" t="str">
        <f>IFERROR(IF(Final_Sans_VGE[[#This Row],[ppn_z]]="","",IFERROR(
   IF(_xlfn.XLOOKUP(Final_Sans_VGE[[#This Row],[ppn_z]],tbl_Historique_Final[[#This Row],[ppn_z]],tbl_Historique_Final[[#This Row],[date_modif]])=Final_Sans_VGE[[#This Row],[date_modif]],
      "Ancien",
      "Modifié"),
   "Nouveau")),"")</f>
        <v/>
      </c>
    </row>
    <row r="5747" spans="24:30" x14ac:dyDescent="0.25">
      <c r="X5747" s="8" t="e">
        <f>IF(Final_Sans_VGE[[#This Row],[ppn_z]]="","",IFERROR(
   IF(_xlfn.XLOOKUP(Final_Sans_VGE[[#This Row],[ppn_z]],tbl_Historique_Final[ppn_z],tbl_Historique_Final[date_modif])=Final_Sans_VGE[[#This Row],[date_modif]],
      "Ancien",
      "Modifié"),
   "Nouveau"))</f>
        <v>#VALUE!</v>
      </c>
      <c r="AD5747" s="1" t="str">
        <f>IFERROR(IF(Final_Sans_VGE[[#This Row],[ppn_z]]="","",IFERROR(
   IF(_xlfn.XLOOKUP(Final_Sans_VGE[[#This Row],[ppn_z]],tbl_Historique_Final[[#This Row],[ppn_z]],tbl_Historique_Final[[#This Row],[date_modif]])=Final_Sans_VGE[[#This Row],[date_modif]],
      "Ancien",
      "Modifié"),
   "Nouveau")),"")</f>
        <v/>
      </c>
    </row>
    <row r="5748" spans="24:30" x14ac:dyDescent="0.25">
      <c r="X5748" s="8" t="e">
        <f>IF(Final_Sans_VGE[[#This Row],[ppn_z]]="","",IFERROR(
   IF(_xlfn.XLOOKUP(Final_Sans_VGE[[#This Row],[ppn_z]],tbl_Historique_Final[ppn_z],tbl_Historique_Final[date_modif])=Final_Sans_VGE[[#This Row],[date_modif]],
      "Ancien",
      "Modifié"),
   "Nouveau"))</f>
        <v>#VALUE!</v>
      </c>
      <c r="AD5748" s="1" t="str">
        <f>IFERROR(IF(Final_Sans_VGE[[#This Row],[ppn_z]]="","",IFERROR(
   IF(_xlfn.XLOOKUP(Final_Sans_VGE[[#This Row],[ppn_z]],tbl_Historique_Final[[#This Row],[ppn_z]],tbl_Historique_Final[[#This Row],[date_modif]])=Final_Sans_VGE[[#This Row],[date_modif]],
      "Ancien",
      "Modifié"),
   "Nouveau")),"")</f>
        <v/>
      </c>
    </row>
    <row r="5749" spans="24:30" x14ac:dyDescent="0.25">
      <c r="X5749" s="8" t="e">
        <f>IF(Final_Sans_VGE[[#This Row],[ppn_z]]="","",IFERROR(
   IF(_xlfn.XLOOKUP(Final_Sans_VGE[[#This Row],[ppn_z]],tbl_Historique_Final[ppn_z],tbl_Historique_Final[date_modif])=Final_Sans_VGE[[#This Row],[date_modif]],
      "Ancien",
      "Modifié"),
   "Nouveau"))</f>
        <v>#VALUE!</v>
      </c>
      <c r="AD5749" s="1" t="str">
        <f>IFERROR(IF(Final_Sans_VGE[[#This Row],[ppn_z]]="","",IFERROR(
   IF(_xlfn.XLOOKUP(Final_Sans_VGE[[#This Row],[ppn_z]],tbl_Historique_Final[[#This Row],[ppn_z]],tbl_Historique_Final[[#This Row],[date_modif]])=Final_Sans_VGE[[#This Row],[date_modif]],
      "Ancien",
      "Modifié"),
   "Nouveau")),"")</f>
        <v/>
      </c>
    </row>
    <row r="5750" spans="24:30" x14ac:dyDescent="0.25">
      <c r="X5750" s="8" t="e">
        <f>IF(Final_Sans_VGE[[#This Row],[ppn_z]]="","",IFERROR(
   IF(_xlfn.XLOOKUP(Final_Sans_VGE[[#This Row],[ppn_z]],tbl_Historique_Final[ppn_z],tbl_Historique_Final[date_modif])=Final_Sans_VGE[[#This Row],[date_modif]],
      "Ancien",
      "Modifié"),
   "Nouveau"))</f>
        <v>#VALUE!</v>
      </c>
      <c r="AD5750" s="1" t="str">
        <f>IFERROR(IF(Final_Sans_VGE[[#This Row],[ppn_z]]="","",IFERROR(
   IF(_xlfn.XLOOKUP(Final_Sans_VGE[[#This Row],[ppn_z]],tbl_Historique_Final[[#This Row],[ppn_z]],tbl_Historique_Final[[#This Row],[date_modif]])=Final_Sans_VGE[[#This Row],[date_modif]],
      "Ancien",
      "Modifié"),
   "Nouveau")),"")</f>
        <v/>
      </c>
    </row>
    <row r="5751" spans="24:30" x14ac:dyDescent="0.25">
      <c r="X5751" s="8" t="e">
        <f>IF(Final_Sans_VGE[[#This Row],[ppn_z]]="","",IFERROR(
   IF(_xlfn.XLOOKUP(Final_Sans_VGE[[#This Row],[ppn_z]],tbl_Historique_Final[ppn_z],tbl_Historique_Final[date_modif])=Final_Sans_VGE[[#This Row],[date_modif]],
      "Ancien",
      "Modifié"),
   "Nouveau"))</f>
        <v>#VALUE!</v>
      </c>
      <c r="AD5751" s="1" t="str">
        <f>IFERROR(IF(Final_Sans_VGE[[#This Row],[ppn_z]]="","",IFERROR(
   IF(_xlfn.XLOOKUP(Final_Sans_VGE[[#This Row],[ppn_z]],tbl_Historique_Final[[#This Row],[ppn_z]],tbl_Historique_Final[[#This Row],[date_modif]])=Final_Sans_VGE[[#This Row],[date_modif]],
      "Ancien",
      "Modifié"),
   "Nouveau")),"")</f>
        <v/>
      </c>
    </row>
    <row r="5752" spans="24:30" x14ac:dyDescent="0.25">
      <c r="X5752" s="8" t="e">
        <f>IF(Final_Sans_VGE[[#This Row],[ppn_z]]="","",IFERROR(
   IF(_xlfn.XLOOKUP(Final_Sans_VGE[[#This Row],[ppn_z]],tbl_Historique_Final[ppn_z],tbl_Historique_Final[date_modif])=Final_Sans_VGE[[#This Row],[date_modif]],
      "Ancien",
      "Modifié"),
   "Nouveau"))</f>
        <v>#VALUE!</v>
      </c>
      <c r="AD5752" s="1" t="str">
        <f>IFERROR(IF(Final_Sans_VGE[[#This Row],[ppn_z]]="","",IFERROR(
   IF(_xlfn.XLOOKUP(Final_Sans_VGE[[#This Row],[ppn_z]],tbl_Historique_Final[[#This Row],[ppn_z]],tbl_Historique_Final[[#This Row],[date_modif]])=Final_Sans_VGE[[#This Row],[date_modif]],
      "Ancien",
      "Modifié"),
   "Nouveau")),"")</f>
        <v/>
      </c>
    </row>
    <row r="5753" spans="24:30" x14ac:dyDescent="0.25">
      <c r="X5753" s="8" t="e">
        <f>IF(Final_Sans_VGE[[#This Row],[ppn_z]]="","",IFERROR(
   IF(_xlfn.XLOOKUP(Final_Sans_VGE[[#This Row],[ppn_z]],tbl_Historique_Final[ppn_z],tbl_Historique_Final[date_modif])=Final_Sans_VGE[[#This Row],[date_modif]],
      "Ancien",
      "Modifié"),
   "Nouveau"))</f>
        <v>#VALUE!</v>
      </c>
      <c r="AD5753" s="1" t="str">
        <f>IFERROR(IF(Final_Sans_VGE[[#This Row],[ppn_z]]="","",IFERROR(
   IF(_xlfn.XLOOKUP(Final_Sans_VGE[[#This Row],[ppn_z]],tbl_Historique_Final[[#This Row],[ppn_z]],tbl_Historique_Final[[#This Row],[date_modif]])=Final_Sans_VGE[[#This Row],[date_modif]],
      "Ancien",
      "Modifié"),
   "Nouveau")),"")</f>
        <v/>
      </c>
    </row>
    <row r="5754" spans="24:30" x14ac:dyDescent="0.25">
      <c r="X5754" s="8" t="e">
        <f>IF(Final_Sans_VGE[[#This Row],[ppn_z]]="","",IFERROR(
   IF(_xlfn.XLOOKUP(Final_Sans_VGE[[#This Row],[ppn_z]],tbl_Historique_Final[ppn_z],tbl_Historique_Final[date_modif])=Final_Sans_VGE[[#This Row],[date_modif]],
      "Ancien",
      "Modifié"),
   "Nouveau"))</f>
        <v>#VALUE!</v>
      </c>
      <c r="AD5754" s="1" t="str">
        <f>IFERROR(IF(Final_Sans_VGE[[#This Row],[ppn_z]]="","",IFERROR(
   IF(_xlfn.XLOOKUP(Final_Sans_VGE[[#This Row],[ppn_z]],tbl_Historique_Final[[#This Row],[ppn_z]],tbl_Historique_Final[[#This Row],[date_modif]])=Final_Sans_VGE[[#This Row],[date_modif]],
      "Ancien",
      "Modifié"),
   "Nouveau")),"")</f>
        <v/>
      </c>
    </row>
    <row r="5755" spans="24:30" x14ac:dyDescent="0.25">
      <c r="X5755" s="8" t="e">
        <f>IF(Final_Sans_VGE[[#This Row],[ppn_z]]="","",IFERROR(
   IF(_xlfn.XLOOKUP(Final_Sans_VGE[[#This Row],[ppn_z]],tbl_Historique_Final[ppn_z],tbl_Historique_Final[date_modif])=Final_Sans_VGE[[#This Row],[date_modif]],
      "Ancien",
      "Modifié"),
   "Nouveau"))</f>
        <v>#VALUE!</v>
      </c>
      <c r="AD5755" s="1" t="str">
        <f>IFERROR(IF(Final_Sans_VGE[[#This Row],[ppn_z]]="","",IFERROR(
   IF(_xlfn.XLOOKUP(Final_Sans_VGE[[#This Row],[ppn_z]],tbl_Historique_Final[[#This Row],[ppn_z]],tbl_Historique_Final[[#This Row],[date_modif]])=Final_Sans_VGE[[#This Row],[date_modif]],
      "Ancien",
      "Modifié"),
   "Nouveau")),"")</f>
        <v/>
      </c>
    </row>
    <row r="5756" spans="24:30" x14ac:dyDescent="0.25">
      <c r="X5756" s="8" t="e">
        <f>IF(Final_Sans_VGE[[#This Row],[ppn_z]]="","",IFERROR(
   IF(_xlfn.XLOOKUP(Final_Sans_VGE[[#This Row],[ppn_z]],tbl_Historique_Final[ppn_z],tbl_Historique_Final[date_modif])=Final_Sans_VGE[[#This Row],[date_modif]],
      "Ancien",
      "Modifié"),
   "Nouveau"))</f>
        <v>#VALUE!</v>
      </c>
      <c r="AD5756" s="1" t="str">
        <f>IFERROR(IF(Final_Sans_VGE[[#This Row],[ppn_z]]="","",IFERROR(
   IF(_xlfn.XLOOKUP(Final_Sans_VGE[[#This Row],[ppn_z]],tbl_Historique_Final[[#This Row],[ppn_z]],tbl_Historique_Final[[#This Row],[date_modif]])=Final_Sans_VGE[[#This Row],[date_modif]],
      "Ancien",
      "Modifié"),
   "Nouveau")),"")</f>
        <v/>
      </c>
    </row>
    <row r="5757" spans="24:30" x14ac:dyDescent="0.25">
      <c r="X5757" s="8" t="e">
        <f>IF(Final_Sans_VGE[[#This Row],[ppn_z]]="","",IFERROR(
   IF(_xlfn.XLOOKUP(Final_Sans_VGE[[#This Row],[ppn_z]],tbl_Historique_Final[ppn_z],tbl_Historique_Final[date_modif])=Final_Sans_VGE[[#This Row],[date_modif]],
      "Ancien",
      "Modifié"),
   "Nouveau"))</f>
        <v>#VALUE!</v>
      </c>
      <c r="AD5757" s="1" t="str">
        <f>IFERROR(IF(Final_Sans_VGE[[#This Row],[ppn_z]]="","",IFERROR(
   IF(_xlfn.XLOOKUP(Final_Sans_VGE[[#This Row],[ppn_z]],tbl_Historique_Final[[#This Row],[ppn_z]],tbl_Historique_Final[[#This Row],[date_modif]])=Final_Sans_VGE[[#This Row],[date_modif]],
      "Ancien",
      "Modifié"),
   "Nouveau")),"")</f>
        <v/>
      </c>
    </row>
    <row r="5758" spans="24:30" x14ac:dyDescent="0.25">
      <c r="X5758" s="8" t="e">
        <f>IF(Final_Sans_VGE[[#This Row],[ppn_z]]="","",IFERROR(
   IF(_xlfn.XLOOKUP(Final_Sans_VGE[[#This Row],[ppn_z]],tbl_Historique_Final[ppn_z],tbl_Historique_Final[date_modif])=Final_Sans_VGE[[#This Row],[date_modif]],
      "Ancien",
      "Modifié"),
   "Nouveau"))</f>
        <v>#VALUE!</v>
      </c>
      <c r="AD5758" s="1" t="str">
        <f>IFERROR(IF(Final_Sans_VGE[[#This Row],[ppn_z]]="","",IFERROR(
   IF(_xlfn.XLOOKUP(Final_Sans_VGE[[#This Row],[ppn_z]],tbl_Historique_Final[[#This Row],[ppn_z]],tbl_Historique_Final[[#This Row],[date_modif]])=Final_Sans_VGE[[#This Row],[date_modif]],
      "Ancien",
      "Modifié"),
   "Nouveau")),"")</f>
        <v/>
      </c>
    </row>
    <row r="5759" spans="24:30" x14ac:dyDescent="0.25">
      <c r="X5759" s="8" t="e">
        <f>IF(Final_Sans_VGE[[#This Row],[ppn_z]]="","",IFERROR(
   IF(_xlfn.XLOOKUP(Final_Sans_VGE[[#This Row],[ppn_z]],tbl_Historique_Final[ppn_z],tbl_Historique_Final[date_modif])=Final_Sans_VGE[[#This Row],[date_modif]],
      "Ancien",
      "Modifié"),
   "Nouveau"))</f>
        <v>#VALUE!</v>
      </c>
      <c r="AD5759" s="1" t="str">
        <f>IFERROR(IF(Final_Sans_VGE[[#This Row],[ppn_z]]="","",IFERROR(
   IF(_xlfn.XLOOKUP(Final_Sans_VGE[[#This Row],[ppn_z]],tbl_Historique_Final[[#This Row],[ppn_z]],tbl_Historique_Final[[#This Row],[date_modif]])=Final_Sans_VGE[[#This Row],[date_modif]],
      "Ancien",
      "Modifié"),
   "Nouveau")),"")</f>
        <v/>
      </c>
    </row>
    <row r="5760" spans="24:30" x14ac:dyDescent="0.25">
      <c r="X5760" s="8" t="e">
        <f>IF(Final_Sans_VGE[[#This Row],[ppn_z]]="","",IFERROR(
   IF(_xlfn.XLOOKUP(Final_Sans_VGE[[#This Row],[ppn_z]],tbl_Historique_Final[ppn_z],tbl_Historique_Final[date_modif])=Final_Sans_VGE[[#This Row],[date_modif]],
      "Ancien",
      "Modifié"),
   "Nouveau"))</f>
        <v>#VALUE!</v>
      </c>
      <c r="AD5760" s="1" t="str">
        <f>IFERROR(IF(Final_Sans_VGE[[#This Row],[ppn_z]]="","",IFERROR(
   IF(_xlfn.XLOOKUP(Final_Sans_VGE[[#This Row],[ppn_z]],tbl_Historique_Final[[#This Row],[ppn_z]],tbl_Historique_Final[[#This Row],[date_modif]])=Final_Sans_VGE[[#This Row],[date_modif]],
      "Ancien",
      "Modifié"),
   "Nouveau")),"")</f>
        <v/>
      </c>
    </row>
    <row r="5761" spans="24:30" x14ac:dyDescent="0.25">
      <c r="X5761" s="8" t="e">
        <f>IF(Final_Sans_VGE[[#This Row],[ppn_z]]="","",IFERROR(
   IF(_xlfn.XLOOKUP(Final_Sans_VGE[[#This Row],[ppn_z]],tbl_Historique_Final[ppn_z],tbl_Historique_Final[date_modif])=Final_Sans_VGE[[#This Row],[date_modif]],
      "Ancien",
      "Modifié"),
   "Nouveau"))</f>
        <v>#VALUE!</v>
      </c>
      <c r="AD5761" s="1" t="str">
        <f>IFERROR(IF(Final_Sans_VGE[[#This Row],[ppn_z]]="","",IFERROR(
   IF(_xlfn.XLOOKUP(Final_Sans_VGE[[#This Row],[ppn_z]],tbl_Historique_Final[[#This Row],[ppn_z]],tbl_Historique_Final[[#This Row],[date_modif]])=Final_Sans_VGE[[#This Row],[date_modif]],
      "Ancien",
      "Modifié"),
   "Nouveau")),"")</f>
        <v/>
      </c>
    </row>
    <row r="5762" spans="24:30" x14ac:dyDescent="0.25">
      <c r="X5762" s="8" t="e">
        <f>IF(Final_Sans_VGE[[#This Row],[ppn_z]]="","",IFERROR(
   IF(_xlfn.XLOOKUP(Final_Sans_VGE[[#This Row],[ppn_z]],tbl_Historique_Final[ppn_z],tbl_Historique_Final[date_modif])=Final_Sans_VGE[[#This Row],[date_modif]],
      "Ancien",
      "Modifié"),
   "Nouveau"))</f>
        <v>#VALUE!</v>
      </c>
      <c r="AD5762" s="1" t="str">
        <f>IFERROR(IF(Final_Sans_VGE[[#This Row],[ppn_z]]="","",IFERROR(
   IF(_xlfn.XLOOKUP(Final_Sans_VGE[[#This Row],[ppn_z]],tbl_Historique_Final[[#This Row],[ppn_z]],tbl_Historique_Final[[#This Row],[date_modif]])=Final_Sans_VGE[[#This Row],[date_modif]],
      "Ancien",
      "Modifié"),
   "Nouveau")),"")</f>
        <v/>
      </c>
    </row>
    <row r="5763" spans="24:30" x14ac:dyDescent="0.25">
      <c r="X5763" s="8" t="e">
        <f>IF(Final_Sans_VGE[[#This Row],[ppn_z]]="","",IFERROR(
   IF(_xlfn.XLOOKUP(Final_Sans_VGE[[#This Row],[ppn_z]],tbl_Historique_Final[ppn_z],tbl_Historique_Final[date_modif])=Final_Sans_VGE[[#This Row],[date_modif]],
      "Ancien",
      "Modifié"),
   "Nouveau"))</f>
        <v>#VALUE!</v>
      </c>
      <c r="AD5763" s="1" t="str">
        <f>IFERROR(IF(Final_Sans_VGE[[#This Row],[ppn_z]]="","",IFERROR(
   IF(_xlfn.XLOOKUP(Final_Sans_VGE[[#This Row],[ppn_z]],tbl_Historique_Final[[#This Row],[ppn_z]],tbl_Historique_Final[[#This Row],[date_modif]])=Final_Sans_VGE[[#This Row],[date_modif]],
      "Ancien",
      "Modifié"),
   "Nouveau")),"")</f>
        <v/>
      </c>
    </row>
    <row r="5764" spans="24:30" x14ac:dyDescent="0.25">
      <c r="X5764" s="8" t="e">
        <f>IF(Final_Sans_VGE[[#This Row],[ppn_z]]="","",IFERROR(
   IF(_xlfn.XLOOKUP(Final_Sans_VGE[[#This Row],[ppn_z]],tbl_Historique_Final[ppn_z],tbl_Historique_Final[date_modif])=Final_Sans_VGE[[#This Row],[date_modif]],
      "Ancien",
      "Modifié"),
   "Nouveau"))</f>
        <v>#VALUE!</v>
      </c>
      <c r="AD5764" s="1" t="str">
        <f>IFERROR(IF(Final_Sans_VGE[[#This Row],[ppn_z]]="","",IFERROR(
   IF(_xlfn.XLOOKUP(Final_Sans_VGE[[#This Row],[ppn_z]],tbl_Historique_Final[[#This Row],[ppn_z]],tbl_Historique_Final[[#This Row],[date_modif]])=Final_Sans_VGE[[#This Row],[date_modif]],
      "Ancien",
      "Modifié"),
   "Nouveau")),"")</f>
        <v/>
      </c>
    </row>
    <row r="5765" spans="24:30" x14ac:dyDescent="0.25">
      <c r="X5765" s="8" t="e">
        <f>IF(Final_Sans_VGE[[#This Row],[ppn_z]]="","",IFERROR(
   IF(_xlfn.XLOOKUP(Final_Sans_VGE[[#This Row],[ppn_z]],tbl_Historique_Final[ppn_z],tbl_Historique_Final[date_modif])=Final_Sans_VGE[[#This Row],[date_modif]],
      "Ancien",
      "Modifié"),
   "Nouveau"))</f>
        <v>#VALUE!</v>
      </c>
      <c r="AD5765" s="1" t="str">
        <f>IFERROR(IF(Final_Sans_VGE[[#This Row],[ppn_z]]="","",IFERROR(
   IF(_xlfn.XLOOKUP(Final_Sans_VGE[[#This Row],[ppn_z]],tbl_Historique_Final[[#This Row],[ppn_z]],tbl_Historique_Final[[#This Row],[date_modif]])=Final_Sans_VGE[[#This Row],[date_modif]],
      "Ancien",
      "Modifié"),
   "Nouveau")),"")</f>
        <v/>
      </c>
    </row>
    <row r="5766" spans="24:30" x14ac:dyDescent="0.25">
      <c r="X5766" s="8" t="e">
        <f>IF(Final_Sans_VGE[[#This Row],[ppn_z]]="","",IFERROR(
   IF(_xlfn.XLOOKUP(Final_Sans_VGE[[#This Row],[ppn_z]],tbl_Historique_Final[ppn_z],tbl_Historique_Final[date_modif])=Final_Sans_VGE[[#This Row],[date_modif]],
      "Ancien",
      "Modifié"),
   "Nouveau"))</f>
        <v>#VALUE!</v>
      </c>
      <c r="AD5766" s="1" t="str">
        <f>IFERROR(IF(Final_Sans_VGE[[#This Row],[ppn_z]]="","",IFERROR(
   IF(_xlfn.XLOOKUP(Final_Sans_VGE[[#This Row],[ppn_z]],tbl_Historique_Final[[#This Row],[ppn_z]],tbl_Historique_Final[[#This Row],[date_modif]])=Final_Sans_VGE[[#This Row],[date_modif]],
      "Ancien",
      "Modifié"),
   "Nouveau")),"")</f>
        <v/>
      </c>
    </row>
    <row r="5767" spans="24:30" x14ac:dyDescent="0.25">
      <c r="X5767" s="8" t="e">
        <f>IF(Final_Sans_VGE[[#This Row],[ppn_z]]="","",IFERROR(
   IF(_xlfn.XLOOKUP(Final_Sans_VGE[[#This Row],[ppn_z]],tbl_Historique_Final[ppn_z],tbl_Historique_Final[date_modif])=Final_Sans_VGE[[#This Row],[date_modif]],
      "Ancien",
      "Modifié"),
   "Nouveau"))</f>
        <v>#VALUE!</v>
      </c>
      <c r="AD5767" s="1" t="str">
        <f>IFERROR(IF(Final_Sans_VGE[[#This Row],[ppn_z]]="","",IFERROR(
   IF(_xlfn.XLOOKUP(Final_Sans_VGE[[#This Row],[ppn_z]],tbl_Historique_Final[[#This Row],[ppn_z]],tbl_Historique_Final[[#This Row],[date_modif]])=Final_Sans_VGE[[#This Row],[date_modif]],
      "Ancien",
      "Modifié"),
   "Nouveau")),"")</f>
        <v/>
      </c>
    </row>
    <row r="5768" spans="24:30" x14ac:dyDescent="0.25">
      <c r="X5768" s="8" t="e">
        <f>IF(Final_Sans_VGE[[#This Row],[ppn_z]]="","",IFERROR(
   IF(_xlfn.XLOOKUP(Final_Sans_VGE[[#This Row],[ppn_z]],tbl_Historique_Final[ppn_z],tbl_Historique_Final[date_modif])=Final_Sans_VGE[[#This Row],[date_modif]],
      "Ancien",
      "Modifié"),
   "Nouveau"))</f>
        <v>#VALUE!</v>
      </c>
      <c r="AD5768" s="1" t="str">
        <f>IFERROR(IF(Final_Sans_VGE[[#This Row],[ppn_z]]="","",IFERROR(
   IF(_xlfn.XLOOKUP(Final_Sans_VGE[[#This Row],[ppn_z]],tbl_Historique_Final[[#This Row],[ppn_z]],tbl_Historique_Final[[#This Row],[date_modif]])=Final_Sans_VGE[[#This Row],[date_modif]],
      "Ancien",
      "Modifié"),
   "Nouveau")),"")</f>
        <v/>
      </c>
    </row>
    <row r="5769" spans="24:30" x14ac:dyDescent="0.25">
      <c r="X5769" s="8" t="e">
        <f>IF(Final_Sans_VGE[[#This Row],[ppn_z]]="","",IFERROR(
   IF(_xlfn.XLOOKUP(Final_Sans_VGE[[#This Row],[ppn_z]],tbl_Historique_Final[ppn_z],tbl_Historique_Final[date_modif])=Final_Sans_VGE[[#This Row],[date_modif]],
      "Ancien",
      "Modifié"),
   "Nouveau"))</f>
        <v>#VALUE!</v>
      </c>
      <c r="AD5769" s="1" t="str">
        <f>IFERROR(IF(Final_Sans_VGE[[#This Row],[ppn_z]]="","",IFERROR(
   IF(_xlfn.XLOOKUP(Final_Sans_VGE[[#This Row],[ppn_z]],tbl_Historique_Final[[#This Row],[ppn_z]],tbl_Historique_Final[[#This Row],[date_modif]])=Final_Sans_VGE[[#This Row],[date_modif]],
      "Ancien",
      "Modifié"),
   "Nouveau")),"")</f>
        <v/>
      </c>
    </row>
    <row r="5770" spans="24:30" x14ac:dyDescent="0.25">
      <c r="X5770" s="8" t="e">
        <f>IF(Final_Sans_VGE[[#This Row],[ppn_z]]="","",IFERROR(
   IF(_xlfn.XLOOKUP(Final_Sans_VGE[[#This Row],[ppn_z]],tbl_Historique_Final[ppn_z],tbl_Historique_Final[date_modif])=Final_Sans_VGE[[#This Row],[date_modif]],
      "Ancien",
      "Modifié"),
   "Nouveau"))</f>
        <v>#VALUE!</v>
      </c>
      <c r="AD5770" s="1" t="str">
        <f>IFERROR(IF(Final_Sans_VGE[[#This Row],[ppn_z]]="","",IFERROR(
   IF(_xlfn.XLOOKUP(Final_Sans_VGE[[#This Row],[ppn_z]],tbl_Historique_Final[[#This Row],[ppn_z]],tbl_Historique_Final[[#This Row],[date_modif]])=Final_Sans_VGE[[#This Row],[date_modif]],
      "Ancien",
      "Modifié"),
   "Nouveau")),"")</f>
        <v/>
      </c>
    </row>
    <row r="5771" spans="24:30" x14ac:dyDescent="0.25">
      <c r="X5771" s="8" t="e">
        <f>IF(Final_Sans_VGE[[#This Row],[ppn_z]]="","",IFERROR(
   IF(_xlfn.XLOOKUP(Final_Sans_VGE[[#This Row],[ppn_z]],tbl_Historique_Final[ppn_z],tbl_Historique_Final[date_modif])=Final_Sans_VGE[[#This Row],[date_modif]],
      "Ancien",
      "Modifié"),
   "Nouveau"))</f>
        <v>#VALUE!</v>
      </c>
      <c r="AD5771" s="1" t="str">
        <f>IFERROR(IF(Final_Sans_VGE[[#This Row],[ppn_z]]="","",IFERROR(
   IF(_xlfn.XLOOKUP(Final_Sans_VGE[[#This Row],[ppn_z]],tbl_Historique_Final[[#This Row],[ppn_z]],tbl_Historique_Final[[#This Row],[date_modif]])=Final_Sans_VGE[[#This Row],[date_modif]],
      "Ancien",
      "Modifié"),
   "Nouveau")),"")</f>
        <v/>
      </c>
    </row>
    <row r="5772" spans="24:30" x14ac:dyDescent="0.25">
      <c r="X5772" s="8" t="e">
        <f>IF(Final_Sans_VGE[[#This Row],[ppn_z]]="","",IFERROR(
   IF(_xlfn.XLOOKUP(Final_Sans_VGE[[#This Row],[ppn_z]],tbl_Historique_Final[ppn_z],tbl_Historique_Final[date_modif])=Final_Sans_VGE[[#This Row],[date_modif]],
      "Ancien",
      "Modifié"),
   "Nouveau"))</f>
        <v>#VALUE!</v>
      </c>
      <c r="AD5772" s="1" t="str">
        <f>IFERROR(IF(Final_Sans_VGE[[#This Row],[ppn_z]]="","",IFERROR(
   IF(_xlfn.XLOOKUP(Final_Sans_VGE[[#This Row],[ppn_z]],tbl_Historique_Final[[#This Row],[ppn_z]],tbl_Historique_Final[[#This Row],[date_modif]])=Final_Sans_VGE[[#This Row],[date_modif]],
      "Ancien",
      "Modifié"),
   "Nouveau")),"")</f>
        <v/>
      </c>
    </row>
    <row r="5773" spans="24:30" x14ac:dyDescent="0.25">
      <c r="X5773" s="8" t="e">
        <f>IF(Final_Sans_VGE[[#This Row],[ppn_z]]="","",IFERROR(
   IF(_xlfn.XLOOKUP(Final_Sans_VGE[[#This Row],[ppn_z]],tbl_Historique_Final[ppn_z],tbl_Historique_Final[date_modif])=Final_Sans_VGE[[#This Row],[date_modif]],
      "Ancien",
      "Modifié"),
   "Nouveau"))</f>
        <v>#VALUE!</v>
      </c>
      <c r="AD5773" s="1" t="str">
        <f>IFERROR(IF(Final_Sans_VGE[[#This Row],[ppn_z]]="","",IFERROR(
   IF(_xlfn.XLOOKUP(Final_Sans_VGE[[#This Row],[ppn_z]],tbl_Historique_Final[[#This Row],[ppn_z]],tbl_Historique_Final[[#This Row],[date_modif]])=Final_Sans_VGE[[#This Row],[date_modif]],
      "Ancien",
      "Modifié"),
   "Nouveau")),"")</f>
        <v/>
      </c>
    </row>
    <row r="5774" spans="24:30" x14ac:dyDescent="0.25">
      <c r="X5774" s="8" t="e">
        <f>IF(Final_Sans_VGE[[#This Row],[ppn_z]]="","",IFERROR(
   IF(_xlfn.XLOOKUP(Final_Sans_VGE[[#This Row],[ppn_z]],tbl_Historique_Final[ppn_z],tbl_Historique_Final[date_modif])=Final_Sans_VGE[[#This Row],[date_modif]],
      "Ancien",
      "Modifié"),
   "Nouveau"))</f>
        <v>#VALUE!</v>
      </c>
      <c r="AD5774" s="1" t="str">
        <f>IFERROR(IF(Final_Sans_VGE[[#This Row],[ppn_z]]="","",IFERROR(
   IF(_xlfn.XLOOKUP(Final_Sans_VGE[[#This Row],[ppn_z]],tbl_Historique_Final[[#This Row],[ppn_z]],tbl_Historique_Final[[#This Row],[date_modif]])=Final_Sans_VGE[[#This Row],[date_modif]],
      "Ancien",
      "Modifié"),
   "Nouveau")),"")</f>
        <v/>
      </c>
    </row>
    <row r="5775" spans="24:30" x14ac:dyDescent="0.25">
      <c r="X5775" s="8" t="e">
        <f>IF(Final_Sans_VGE[[#This Row],[ppn_z]]="","",IFERROR(
   IF(_xlfn.XLOOKUP(Final_Sans_VGE[[#This Row],[ppn_z]],tbl_Historique_Final[ppn_z],tbl_Historique_Final[date_modif])=Final_Sans_VGE[[#This Row],[date_modif]],
      "Ancien",
      "Modifié"),
   "Nouveau"))</f>
        <v>#VALUE!</v>
      </c>
      <c r="AD5775" s="1" t="str">
        <f>IFERROR(IF(Final_Sans_VGE[[#This Row],[ppn_z]]="","",IFERROR(
   IF(_xlfn.XLOOKUP(Final_Sans_VGE[[#This Row],[ppn_z]],tbl_Historique_Final[[#This Row],[ppn_z]],tbl_Historique_Final[[#This Row],[date_modif]])=Final_Sans_VGE[[#This Row],[date_modif]],
      "Ancien",
      "Modifié"),
   "Nouveau")),"")</f>
        <v/>
      </c>
    </row>
    <row r="5776" spans="24:30" x14ac:dyDescent="0.25">
      <c r="X5776" s="8" t="e">
        <f>IF(Final_Sans_VGE[[#This Row],[ppn_z]]="","",IFERROR(
   IF(_xlfn.XLOOKUP(Final_Sans_VGE[[#This Row],[ppn_z]],tbl_Historique_Final[ppn_z],tbl_Historique_Final[date_modif])=Final_Sans_VGE[[#This Row],[date_modif]],
      "Ancien",
      "Modifié"),
   "Nouveau"))</f>
        <v>#VALUE!</v>
      </c>
      <c r="AD5776" s="1" t="str">
        <f>IFERROR(IF(Final_Sans_VGE[[#This Row],[ppn_z]]="","",IFERROR(
   IF(_xlfn.XLOOKUP(Final_Sans_VGE[[#This Row],[ppn_z]],tbl_Historique_Final[[#This Row],[ppn_z]],tbl_Historique_Final[[#This Row],[date_modif]])=Final_Sans_VGE[[#This Row],[date_modif]],
      "Ancien",
      "Modifié"),
   "Nouveau")),"")</f>
        <v/>
      </c>
    </row>
    <row r="5777" spans="24:30" x14ac:dyDescent="0.25">
      <c r="X5777" s="8" t="e">
        <f>IF(Final_Sans_VGE[[#This Row],[ppn_z]]="","",IFERROR(
   IF(_xlfn.XLOOKUP(Final_Sans_VGE[[#This Row],[ppn_z]],tbl_Historique_Final[ppn_z],tbl_Historique_Final[date_modif])=Final_Sans_VGE[[#This Row],[date_modif]],
      "Ancien",
      "Modifié"),
   "Nouveau"))</f>
        <v>#VALUE!</v>
      </c>
      <c r="AD5777" s="1" t="str">
        <f>IFERROR(IF(Final_Sans_VGE[[#This Row],[ppn_z]]="","",IFERROR(
   IF(_xlfn.XLOOKUP(Final_Sans_VGE[[#This Row],[ppn_z]],tbl_Historique_Final[[#This Row],[ppn_z]],tbl_Historique_Final[[#This Row],[date_modif]])=Final_Sans_VGE[[#This Row],[date_modif]],
      "Ancien",
      "Modifié"),
   "Nouveau")),"")</f>
        <v/>
      </c>
    </row>
    <row r="5778" spans="24:30" x14ac:dyDescent="0.25">
      <c r="X5778" s="8" t="e">
        <f>IF(Final_Sans_VGE[[#This Row],[ppn_z]]="","",IFERROR(
   IF(_xlfn.XLOOKUP(Final_Sans_VGE[[#This Row],[ppn_z]],tbl_Historique_Final[ppn_z],tbl_Historique_Final[date_modif])=Final_Sans_VGE[[#This Row],[date_modif]],
      "Ancien",
      "Modifié"),
   "Nouveau"))</f>
        <v>#VALUE!</v>
      </c>
      <c r="AD5778" s="1" t="str">
        <f>IFERROR(IF(Final_Sans_VGE[[#This Row],[ppn_z]]="","",IFERROR(
   IF(_xlfn.XLOOKUP(Final_Sans_VGE[[#This Row],[ppn_z]],tbl_Historique_Final[[#This Row],[ppn_z]],tbl_Historique_Final[[#This Row],[date_modif]])=Final_Sans_VGE[[#This Row],[date_modif]],
      "Ancien",
      "Modifié"),
   "Nouveau")),"")</f>
        <v/>
      </c>
    </row>
    <row r="5779" spans="24:30" x14ac:dyDescent="0.25">
      <c r="X5779" s="8" t="e">
        <f>IF(Final_Sans_VGE[[#This Row],[ppn_z]]="","",IFERROR(
   IF(_xlfn.XLOOKUP(Final_Sans_VGE[[#This Row],[ppn_z]],tbl_Historique_Final[ppn_z],tbl_Historique_Final[date_modif])=Final_Sans_VGE[[#This Row],[date_modif]],
      "Ancien",
      "Modifié"),
   "Nouveau"))</f>
        <v>#VALUE!</v>
      </c>
      <c r="AD5779" s="1" t="str">
        <f>IFERROR(IF(Final_Sans_VGE[[#This Row],[ppn_z]]="","",IFERROR(
   IF(_xlfn.XLOOKUP(Final_Sans_VGE[[#This Row],[ppn_z]],tbl_Historique_Final[[#This Row],[ppn_z]],tbl_Historique_Final[[#This Row],[date_modif]])=Final_Sans_VGE[[#This Row],[date_modif]],
      "Ancien",
      "Modifié"),
   "Nouveau")),"")</f>
        <v/>
      </c>
    </row>
    <row r="5780" spans="24:30" x14ac:dyDescent="0.25">
      <c r="X5780" s="8" t="e">
        <f>IF(Final_Sans_VGE[[#This Row],[ppn_z]]="","",IFERROR(
   IF(_xlfn.XLOOKUP(Final_Sans_VGE[[#This Row],[ppn_z]],tbl_Historique_Final[ppn_z],tbl_Historique_Final[date_modif])=Final_Sans_VGE[[#This Row],[date_modif]],
      "Ancien",
      "Modifié"),
   "Nouveau"))</f>
        <v>#VALUE!</v>
      </c>
      <c r="AD5780" s="1" t="str">
        <f>IFERROR(IF(Final_Sans_VGE[[#This Row],[ppn_z]]="","",IFERROR(
   IF(_xlfn.XLOOKUP(Final_Sans_VGE[[#This Row],[ppn_z]],tbl_Historique_Final[[#This Row],[ppn_z]],tbl_Historique_Final[[#This Row],[date_modif]])=Final_Sans_VGE[[#This Row],[date_modif]],
      "Ancien",
      "Modifié"),
   "Nouveau")),"")</f>
        <v/>
      </c>
    </row>
    <row r="5781" spans="24:30" x14ac:dyDescent="0.25">
      <c r="X5781" s="8" t="e">
        <f>IF(Final_Sans_VGE[[#This Row],[ppn_z]]="","",IFERROR(
   IF(_xlfn.XLOOKUP(Final_Sans_VGE[[#This Row],[ppn_z]],tbl_Historique_Final[ppn_z],tbl_Historique_Final[date_modif])=Final_Sans_VGE[[#This Row],[date_modif]],
      "Ancien",
      "Modifié"),
   "Nouveau"))</f>
        <v>#VALUE!</v>
      </c>
      <c r="AD5781" s="1" t="str">
        <f>IFERROR(IF(Final_Sans_VGE[[#This Row],[ppn_z]]="","",IFERROR(
   IF(_xlfn.XLOOKUP(Final_Sans_VGE[[#This Row],[ppn_z]],tbl_Historique_Final[[#This Row],[ppn_z]],tbl_Historique_Final[[#This Row],[date_modif]])=Final_Sans_VGE[[#This Row],[date_modif]],
      "Ancien",
      "Modifié"),
   "Nouveau")),"")</f>
        <v/>
      </c>
    </row>
    <row r="5782" spans="24:30" x14ac:dyDescent="0.25">
      <c r="X5782" s="8" t="e">
        <f>IF(Final_Sans_VGE[[#This Row],[ppn_z]]="","",IFERROR(
   IF(_xlfn.XLOOKUP(Final_Sans_VGE[[#This Row],[ppn_z]],tbl_Historique_Final[ppn_z],tbl_Historique_Final[date_modif])=Final_Sans_VGE[[#This Row],[date_modif]],
      "Ancien",
      "Modifié"),
   "Nouveau"))</f>
        <v>#VALUE!</v>
      </c>
      <c r="AD5782" s="1" t="str">
        <f>IFERROR(IF(Final_Sans_VGE[[#This Row],[ppn_z]]="","",IFERROR(
   IF(_xlfn.XLOOKUP(Final_Sans_VGE[[#This Row],[ppn_z]],tbl_Historique_Final[[#This Row],[ppn_z]],tbl_Historique_Final[[#This Row],[date_modif]])=Final_Sans_VGE[[#This Row],[date_modif]],
      "Ancien",
      "Modifié"),
   "Nouveau")),"")</f>
        <v/>
      </c>
    </row>
    <row r="5783" spans="24:30" x14ac:dyDescent="0.25">
      <c r="X5783" s="8" t="e">
        <f>IF(Final_Sans_VGE[[#This Row],[ppn_z]]="","",IFERROR(
   IF(_xlfn.XLOOKUP(Final_Sans_VGE[[#This Row],[ppn_z]],tbl_Historique_Final[ppn_z],tbl_Historique_Final[date_modif])=Final_Sans_VGE[[#This Row],[date_modif]],
      "Ancien",
      "Modifié"),
   "Nouveau"))</f>
        <v>#VALUE!</v>
      </c>
      <c r="AD5783" s="1" t="str">
        <f>IFERROR(IF(Final_Sans_VGE[[#This Row],[ppn_z]]="","",IFERROR(
   IF(_xlfn.XLOOKUP(Final_Sans_VGE[[#This Row],[ppn_z]],tbl_Historique_Final[[#This Row],[ppn_z]],tbl_Historique_Final[[#This Row],[date_modif]])=Final_Sans_VGE[[#This Row],[date_modif]],
      "Ancien",
      "Modifié"),
   "Nouveau")),"")</f>
        <v/>
      </c>
    </row>
    <row r="5784" spans="24:30" x14ac:dyDescent="0.25">
      <c r="X5784" s="8" t="e">
        <f>IF(Final_Sans_VGE[[#This Row],[ppn_z]]="","",IFERROR(
   IF(_xlfn.XLOOKUP(Final_Sans_VGE[[#This Row],[ppn_z]],tbl_Historique_Final[ppn_z],tbl_Historique_Final[date_modif])=Final_Sans_VGE[[#This Row],[date_modif]],
      "Ancien",
      "Modifié"),
   "Nouveau"))</f>
        <v>#VALUE!</v>
      </c>
      <c r="AD5784" s="1" t="str">
        <f>IFERROR(IF(Final_Sans_VGE[[#This Row],[ppn_z]]="","",IFERROR(
   IF(_xlfn.XLOOKUP(Final_Sans_VGE[[#This Row],[ppn_z]],tbl_Historique_Final[[#This Row],[ppn_z]],tbl_Historique_Final[[#This Row],[date_modif]])=Final_Sans_VGE[[#This Row],[date_modif]],
      "Ancien",
      "Modifié"),
   "Nouveau")),"")</f>
        <v/>
      </c>
    </row>
    <row r="5785" spans="24:30" x14ac:dyDescent="0.25">
      <c r="X5785" s="8" t="e">
        <f>IF(Final_Sans_VGE[[#This Row],[ppn_z]]="","",IFERROR(
   IF(_xlfn.XLOOKUP(Final_Sans_VGE[[#This Row],[ppn_z]],tbl_Historique_Final[ppn_z],tbl_Historique_Final[date_modif])=Final_Sans_VGE[[#This Row],[date_modif]],
      "Ancien",
      "Modifié"),
   "Nouveau"))</f>
        <v>#VALUE!</v>
      </c>
      <c r="AD5785" s="1" t="str">
        <f>IFERROR(IF(Final_Sans_VGE[[#This Row],[ppn_z]]="","",IFERROR(
   IF(_xlfn.XLOOKUP(Final_Sans_VGE[[#This Row],[ppn_z]],tbl_Historique_Final[[#This Row],[ppn_z]],tbl_Historique_Final[[#This Row],[date_modif]])=Final_Sans_VGE[[#This Row],[date_modif]],
      "Ancien",
      "Modifié"),
   "Nouveau")),"")</f>
        <v/>
      </c>
    </row>
    <row r="5786" spans="24:30" x14ac:dyDescent="0.25">
      <c r="X5786" s="8" t="e">
        <f>IF(Final_Sans_VGE[[#This Row],[ppn_z]]="","",IFERROR(
   IF(_xlfn.XLOOKUP(Final_Sans_VGE[[#This Row],[ppn_z]],tbl_Historique_Final[ppn_z],tbl_Historique_Final[date_modif])=Final_Sans_VGE[[#This Row],[date_modif]],
      "Ancien",
      "Modifié"),
   "Nouveau"))</f>
        <v>#VALUE!</v>
      </c>
      <c r="AD5786" s="1" t="str">
        <f>IFERROR(IF(Final_Sans_VGE[[#This Row],[ppn_z]]="","",IFERROR(
   IF(_xlfn.XLOOKUP(Final_Sans_VGE[[#This Row],[ppn_z]],tbl_Historique_Final[[#This Row],[ppn_z]],tbl_Historique_Final[[#This Row],[date_modif]])=Final_Sans_VGE[[#This Row],[date_modif]],
      "Ancien",
      "Modifié"),
   "Nouveau")),"")</f>
        <v/>
      </c>
    </row>
    <row r="5787" spans="24:30" x14ac:dyDescent="0.25">
      <c r="X5787" s="8" t="e">
        <f>IF(Final_Sans_VGE[[#This Row],[ppn_z]]="","",IFERROR(
   IF(_xlfn.XLOOKUP(Final_Sans_VGE[[#This Row],[ppn_z]],tbl_Historique_Final[ppn_z],tbl_Historique_Final[date_modif])=Final_Sans_VGE[[#This Row],[date_modif]],
      "Ancien",
      "Modifié"),
   "Nouveau"))</f>
        <v>#VALUE!</v>
      </c>
      <c r="AD5787" s="1" t="str">
        <f>IFERROR(IF(Final_Sans_VGE[[#This Row],[ppn_z]]="","",IFERROR(
   IF(_xlfn.XLOOKUP(Final_Sans_VGE[[#This Row],[ppn_z]],tbl_Historique_Final[[#This Row],[ppn_z]],tbl_Historique_Final[[#This Row],[date_modif]])=Final_Sans_VGE[[#This Row],[date_modif]],
      "Ancien",
      "Modifié"),
   "Nouveau")),"")</f>
        <v/>
      </c>
    </row>
    <row r="5788" spans="24:30" x14ac:dyDescent="0.25">
      <c r="X5788" s="8" t="e">
        <f>IF(Final_Sans_VGE[[#This Row],[ppn_z]]="","",IFERROR(
   IF(_xlfn.XLOOKUP(Final_Sans_VGE[[#This Row],[ppn_z]],tbl_Historique_Final[ppn_z],tbl_Historique_Final[date_modif])=Final_Sans_VGE[[#This Row],[date_modif]],
      "Ancien",
      "Modifié"),
   "Nouveau"))</f>
        <v>#VALUE!</v>
      </c>
      <c r="AD5788" s="1" t="str">
        <f>IFERROR(IF(Final_Sans_VGE[[#This Row],[ppn_z]]="","",IFERROR(
   IF(_xlfn.XLOOKUP(Final_Sans_VGE[[#This Row],[ppn_z]],tbl_Historique_Final[[#This Row],[ppn_z]],tbl_Historique_Final[[#This Row],[date_modif]])=Final_Sans_VGE[[#This Row],[date_modif]],
      "Ancien",
      "Modifié"),
   "Nouveau")),"")</f>
        <v/>
      </c>
    </row>
    <row r="5789" spans="24:30" x14ac:dyDescent="0.25">
      <c r="X5789" s="8" t="e">
        <f>IF(Final_Sans_VGE[[#This Row],[ppn_z]]="","",IFERROR(
   IF(_xlfn.XLOOKUP(Final_Sans_VGE[[#This Row],[ppn_z]],tbl_Historique_Final[ppn_z],tbl_Historique_Final[date_modif])=Final_Sans_VGE[[#This Row],[date_modif]],
      "Ancien",
      "Modifié"),
   "Nouveau"))</f>
        <v>#VALUE!</v>
      </c>
      <c r="AD5789" s="1" t="str">
        <f>IFERROR(IF(Final_Sans_VGE[[#This Row],[ppn_z]]="","",IFERROR(
   IF(_xlfn.XLOOKUP(Final_Sans_VGE[[#This Row],[ppn_z]],tbl_Historique_Final[[#This Row],[ppn_z]],tbl_Historique_Final[[#This Row],[date_modif]])=Final_Sans_VGE[[#This Row],[date_modif]],
      "Ancien",
      "Modifié"),
   "Nouveau")),"")</f>
        <v/>
      </c>
    </row>
    <row r="5790" spans="24:30" x14ac:dyDescent="0.25">
      <c r="X5790" s="8" t="e">
        <f>IF(Final_Sans_VGE[[#This Row],[ppn_z]]="","",IFERROR(
   IF(_xlfn.XLOOKUP(Final_Sans_VGE[[#This Row],[ppn_z]],tbl_Historique_Final[ppn_z],tbl_Historique_Final[date_modif])=Final_Sans_VGE[[#This Row],[date_modif]],
      "Ancien",
      "Modifié"),
   "Nouveau"))</f>
        <v>#VALUE!</v>
      </c>
      <c r="AD5790" s="1" t="str">
        <f>IFERROR(IF(Final_Sans_VGE[[#This Row],[ppn_z]]="","",IFERROR(
   IF(_xlfn.XLOOKUP(Final_Sans_VGE[[#This Row],[ppn_z]],tbl_Historique_Final[[#This Row],[ppn_z]],tbl_Historique_Final[[#This Row],[date_modif]])=Final_Sans_VGE[[#This Row],[date_modif]],
      "Ancien",
      "Modifié"),
   "Nouveau")),"")</f>
        <v/>
      </c>
    </row>
    <row r="5791" spans="24:30" x14ac:dyDescent="0.25">
      <c r="X5791" s="8" t="e">
        <f>IF(Final_Sans_VGE[[#This Row],[ppn_z]]="","",IFERROR(
   IF(_xlfn.XLOOKUP(Final_Sans_VGE[[#This Row],[ppn_z]],tbl_Historique_Final[ppn_z],tbl_Historique_Final[date_modif])=Final_Sans_VGE[[#This Row],[date_modif]],
      "Ancien",
      "Modifié"),
   "Nouveau"))</f>
        <v>#VALUE!</v>
      </c>
      <c r="AD5791" s="1" t="str">
        <f>IFERROR(IF(Final_Sans_VGE[[#This Row],[ppn_z]]="","",IFERROR(
   IF(_xlfn.XLOOKUP(Final_Sans_VGE[[#This Row],[ppn_z]],tbl_Historique_Final[[#This Row],[ppn_z]],tbl_Historique_Final[[#This Row],[date_modif]])=Final_Sans_VGE[[#This Row],[date_modif]],
      "Ancien",
      "Modifié"),
   "Nouveau")),"")</f>
        <v/>
      </c>
    </row>
    <row r="5792" spans="24:30" x14ac:dyDescent="0.25">
      <c r="X5792" s="8" t="e">
        <f>IF(Final_Sans_VGE[[#This Row],[ppn_z]]="","",IFERROR(
   IF(_xlfn.XLOOKUP(Final_Sans_VGE[[#This Row],[ppn_z]],tbl_Historique_Final[ppn_z],tbl_Historique_Final[date_modif])=Final_Sans_VGE[[#This Row],[date_modif]],
      "Ancien",
      "Modifié"),
   "Nouveau"))</f>
        <v>#VALUE!</v>
      </c>
      <c r="AD5792" s="1" t="str">
        <f>IFERROR(IF(Final_Sans_VGE[[#This Row],[ppn_z]]="","",IFERROR(
   IF(_xlfn.XLOOKUP(Final_Sans_VGE[[#This Row],[ppn_z]],tbl_Historique_Final[[#This Row],[ppn_z]],tbl_Historique_Final[[#This Row],[date_modif]])=Final_Sans_VGE[[#This Row],[date_modif]],
      "Ancien",
      "Modifié"),
   "Nouveau")),"")</f>
        <v/>
      </c>
    </row>
    <row r="5793" spans="24:30" x14ac:dyDescent="0.25">
      <c r="X5793" s="8" t="e">
        <f>IF(Final_Sans_VGE[[#This Row],[ppn_z]]="","",IFERROR(
   IF(_xlfn.XLOOKUP(Final_Sans_VGE[[#This Row],[ppn_z]],tbl_Historique_Final[ppn_z],tbl_Historique_Final[date_modif])=Final_Sans_VGE[[#This Row],[date_modif]],
      "Ancien",
      "Modifié"),
   "Nouveau"))</f>
        <v>#VALUE!</v>
      </c>
      <c r="AD5793" s="1" t="str">
        <f>IFERROR(IF(Final_Sans_VGE[[#This Row],[ppn_z]]="","",IFERROR(
   IF(_xlfn.XLOOKUP(Final_Sans_VGE[[#This Row],[ppn_z]],tbl_Historique_Final[[#This Row],[ppn_z]],tbl_Historique_Final[[#This Row],[date_modif]])=Final_Sans_VGE[[#This Row],[date_modif]],
      "Ancien",
      "Modifié"),
   "Nouveau")),"")</f>
        <v/>
      </c>
    </row>
    <row r="5794" spans="24:30" x14ac:dyDescent="0.25">
      <c r="X5794" s="8" t="e">
        <f>IF(Final_Sans_VGE[[#This Row],[ppn_z]]="","",IFERROR(
   IF(_xlfn.XLOOKUP(Final_Sans_VGE[[#This Row],[ppn_z]],tbl_Historique_Final[ppn_z],tbl_Historique_Final[date_modif])=Final_Sans_VGE[[#This Row],[date_modif]],
      "Ancien",
      "Modifié"),
   "Nouveau"))</f>
        <v>#VALUE!</v>
      </c>
      <c r="AD5794" s="1" t="str">
        <f>IFERROR(IF(Final_Sans_VGE[[#This Row],[ppn_z]]="","",IFERROR(
   IF(_xlfn.XLOOKUP(Final_Sans_VGE[[#This Row],[ppn_z]],tbl_Historique_Final[[#This Row],[ppn_z]],tbl_Historique_Final[[#This Row],[date_modif]])=Final_Sans_VGE[[#This Row],[date_modif]],
      "Ancien",
      "Modifié"),
   "Nouveau")),"")</f>
        <v/>
      </c>
    </row>
    <row r="5795" spans="24:30" x14ac:dyDescent="0.25">
      <c r="X5795" s="8" t="e">
        <f>IF(Final_Sans_VGE[[#This Row],[ppn_z]]="","",IFERROR(
   IF(_xlfn.XLOOKUP(Final_Sans_VGE[[#This Row],[ppn_z]],tbl_Historique_Final[ppn_z],tbl_Historique_Final[date_modif])=Final_Sans_VGE[[#This Row],[date_modif]],
      "Ancien",
      "Modifié"),
   "Nouveau"))</f>
        <v>#VALUE!</v>
      </c>
      <c r="AD5795" s="1" t="str">
        <f>IFERROR(IF(Final_Sans_VGE[[#This Row],[ppn_z]]="","",IFERROR(
   IF(_xlfn.XLOOKUP(Final_Sans_VGE[[#This Row],[ppn_z]],tbl_Historique_Final[[#This Row],[ppn_z]],tbl_Historique_Final[[#This Row],[date_modif]])=Final_Sans_VGE[[#This Row],[date_modif]],
      "Ancien",
      "Modifié"),
   "Nouveau")),"")</f>
        <v/>
      </c>
    </row>
    <row r="5796" spans="24:30" x14ac:dyDescent="0.25">
      <c r="X5796" s="8" t="e">
        <f>IF(Final_Sans_VGE[[#This Row],[ppn_z]]="","",IFERROR(
   IF(_xlfn.XLOOKUP(Final_Sans_VGE[[#This Row],[ppn_z]],tbl_Historique_Final[ppn_z],tbl_Historique_Final[date_modif])=Final_Sans_VGE[[#This Row],[date_modif]],
      "Ancien",
      "Modifié"),
   "Nouveau"))</f>
        <v>#VALUE!</v>
      </c>
      <c r="AD5796" s="1" t="str">
        <f>IFERROR(IF(Final_Sans_VGE[[#This Row],[ppn_z]]="","",IFERROR(
   IF(_xlfn.XLOOKUP(Final_Sans_VGE[[#This Row],[ppn_z]],tbl_Historique_Final[[#This Row],[ppn_z]],tbl_Historique_Final[[#This Row],[date_modif]])=Final_Sans_VGE[[#This Row],[date_modif]],
      "Ancien",
      "Modifié"),
   "Nouveau")),"")</f>
        <v/>
      </c>
    </row>
    <row r="5797" spans="24:30" x14ac:dyDescent="0.25">
      <c r="X5797" s="8" t="e">
        <f>IF(Final_Sans_VGE[[#This Row],[ppn_z]]="","",IFERROR(
   IF(_xlfn.XLOOKUP(Final_Sans_VGE[[#This Row],[ppn_z]],tbl_Historique_Final[ppn_z],tbl_Historique_Final[date_modif])=Final_Sans_VGE[[#This Row],[date_modif]],
      "Ancien",
      "Modifié"),
   "Nouveau"))</f>
        <v>#VALUE!</v>
      </c>
      <c r="AD5797" s="1" t="str">
        <f>IFERROR(IF(Final_Sans_VGE[[#This Row],[ppn_z]]="","",IFERROR(
   IF(_xlfn.XLOOKUP(Final_Sans_VGE[[#This Row],[ppn_z]],tbl_Historique_Final[[#This Row],[ppn_z]],tbl_Historique_Final[[#This Row],[date_modif]])=Final_Sans_VGE[[#This Row],[date_modif]],
      "Ancien",
      "Modifié"),
   "Nouveau")),"")</f>
        <v/>
      </c>
    </row>
    <row r="5798" spans="24:30" x14ac:dyDescent="0.25">
      <c r="X5798" s="8" t="e">
        <f>IF(Final_Sans_VGE[[#This Row],[ppn_z]]="","",IFERROR(
   IF(_xlfn.XLOOKUP(Final_Sans_VGE[[#This Row],[ppn_z]],tbl_Historique_Final[ppn_z],tbl_Historique_Final[date_modif])=Final_Sans_VGE[[#This Row],[date_modif]],
      "Ancien",
      "Modifié"),
   "Nouveau"))</f>
        <v>#VALUE!</v>
      </c>
      <c r="AD5798" s="1" t="str">
        <f>IFERROR(IF(Final_Sans_VGE[[#This Row],[ppn_z]]="","",IFERROR(
   IF(_xlfn.XLOOKUP(Final_Sans_VGE[[#This Row],[ppn_z]],tbl_Historique_Final[[#This Row],[ppn_z]],tbl_Historique_Final[[#This Row],[date_modif]])=Final_Sans_VGE[[#This Row],[date_modif]],
      "Ancien",
      "Modifié"),
   "Nouveau")),"")</f>
        <v/>
      </c>
    </row>
    <row r="5799" spans="24:30" x14ac:dyDescent="0.25">
      <c r="X5799" s="8" t="e">
        <f>IF(Final_Sans_VGE[[#This Row],[ppn_z]]="","",IFERROR(
   IF(_xlfn.XLOOKUP(Final_Sans_VGE[[#This Row],[ppn_z]],tbl_Historique_Final[ppn_z],tbl_Historique_Final[date_modif])=Final_Sans_VGE[[#This Row],[date_modif]],
      "Ancien",
      "Modifié"),
   "Nouveau"))</f>
        <v>#VALUE!</v>
      </c>
      <c r="AD5799" s="1" t="str">
        <f>IFERROR(IF(Final_Sans_VGE[[#This Row],[ppn_z]]="","",IFERROR(
   IF(_xlfn.XLOOKUP(Final_Sans_VGE[[#This Row],[ppn_z]],tbl_Historique_Final[[#This Row],[ppn_z]],tbl_Historique_Final[[#This Row],[date_modif]])=Final_Sans_VGE[[#This Row],[date_modif]],
      "Ancien",
      "Modifié"),
   "Nouveau")),"")</f>
        <v/>
      </c>
    </row>
    <row r="5800" spans="24:30" x14ac:dyDescent="0.25">
      <c r="X5800" s="8" t="e">
        <f>IF(Final_Sans_VGE[[#This Row],[ppn_z]]="","",IFERROR(
   IF(_xlfn.XLOOKUP(Final_Sans_VGE[[#This Row],[ppn_z]],tbl_Historique_Final[ppn_z],tbl_Historique_Final[date_modif])=Final_Sans_VGE[[#This Row],[date_modif]],
      "Ancien",
      "Modifié"),
   "Nouveau"))</f>
        <v>#VALUE!</v>
      </c>
      <c r="AD5800" s="1" t="str">
        <f>IFERROR(IF(Final_Sans_VGE[[#This Row],[ppn_z]]="","",IFERROR(
   IF(_xlfn.XLOOKUP(Final_Sans_VGE[[#This Row],[ppn_z]],tbl_Historique_Final[[#This Row],[ppn_z]],tbl_Historique_Final[[#This Row],[date_modif]])=Final_Sans_VGE[[#This Row],[date_modif]],
      "Ancien",
      "Modifié"),
   "Nouveau")),"")</f>
        <v/>
      </c>
    </row>
    <row r="5801" spans="24:30" x14ac:dyDescent="0.25">
      <c r="X5801" s="8" t="e">
        <f>IF(Final_Sans_VGE[[#This Row],[ppn_z]]="","",IFERROR(
   IF(_xlfn.XLOOKUP(Final_Sans_VGE[[#This Row],[ppn_z]],tbl_Historique_Final[ppn_z],tbl_Historique_Final[date_modif])=Final_Sans_VGE[[#This Row],[date_modif]],
      "Ancien",
      "Modifié"),
   "Nouveau"))</f>
        <v>#VALUE!</v>
      </c>
      <c r="AD5801" s="1" t="str">
        <f>IFERROR(IF(Final_Sans_VGE[[#This Row],[ppn_z]]="","",IFERROR(
   IF(_xlfn.XLOOKUP(Final_Sans_VGE[[#This Row],[ppn_z]],tbl_Historique_Final[[#This Row],[ppn_z]],tbl_Historique_Final[[#This Row],[date_modif]])=Final_Sans_VGE[[#This Row],[date_modif]],
      "Ancien",
      "Modifié"),
   "Nouveau")),"")</f>
        <v/>
      </c>
    </row>
    <row r="5802" spans="24:30" x14ac:dyDescent="0.25">
      <c r="X5802" s="8" t="e">
        <f>IF(Final_Sans_VGE[[#This Row],[ppn_z]]="","",IFERROR(
   IF(_xlfn.XLOOKUP(Final_Sans_VGE[[#This Row],[ppn_z]],tbl_Historique_Final[ppn_z],tbl_Historique_Final[date_modif])=Final_Sans_VGE[[#This Row],[date_modif]],
      "Ancien",
      "Modifié"),
   "Nouveau"))</f>
        <v>#VALUE!</v>
      </c>
      <c r="AD5802" s="1" t="str">
        <f>IFERROR(IF(Final_Sans_VGE[[#This Row],[ppn_z]]="","",IFERROR(
   IF(_xlfn.XLOOKUP(Final_Sans_VGE[[#This Row],[ppn_z]],tbl_Historique_Final[[#This Row],[ppn_z]],tbl_Historique_Final[[#This Row],[date_modif]])=Final_Sans_VGE[[#This Row],[date_modif]],
      "Ancien",
      "Modifié"),
   "Nouveau")),"")</f>
        <v/>
      </c>
    </row>
    <row r="5803" spans="24:30" x14ac:dyDescent="0.25">
      <c r="X5803" s="8" t="e">
        <f>IF(Final_Sans_VGE[[#This Row],[ppn_z]]="","",IFERROR(
   IF(_xlfn.XLOOKUP(Final_Sans_VGE[[#This Row],[ppn_z]],tbl_Historique_Final[ppn_z],tbl_Historique_Final[date_modif])=Final_Sans_VGE[[#This Row],[date_modif]],
      "Ancien",
      "Modifié"),
   "Nouveau"))</f>
        <v>#VALUE!</v>
      </c>
      <c r="AD5803" s="1" t="str">
        <f>IFERROR(IF(Final_Sans_VGE[[#This Row],[ppn_z]]="","",IFERROR(
   IF(_xlfn.XLOOKUP(Final_Sans_VGE[[#This Row],[ppn_z]],tbl_Historique_Final[[#This Row],[ppn_z]],tbl_Historique_Final[[#This Row],[date_modif]])=Final_Sans_VGE[[#This Row],[date_modif]],
      "Ancien",
      "Modifié"),
   "Nouveau")),"")</f>
        <v/>
      </c>
    </row>
    <row r="5804" spans="24:30" x14ac:dyDescent="0.25">
      <c r="X5804" s="8" t="e">
        <f>IF(Final_Sans_VGE[[#This Row],[ppn_z]]="","",IFERROR(
   IF(_xlfn.XLOOKUP(Final_Sans_VGE[[#This Row],[ppn_z]],tbl_Historique_Final[ppn_z],tbl_Historique_Final[date_modif])=Final_Sans_VGE[[#This Row],[date_modif]],
      "Ancien",
      "Modifié"),
   "Nouveau"))</f>
        <v>#VALUE!</v>
      </c>
      <c r="AD5804" s="1" t="str">
        <f>IFERROR(IF(Final_Sans_VGE[[#This Row],[ppn_z]]="","",IFERROR(
   IF(_xlfn.XLOOKUP(Final_Sans_VGE[[#This Row],[ppn_z]],tbl_Historique_Final[[#This Row],[ppn_z]],tbl_Historique_Final[[#This Row],[date_modif]])=Final_Sans_VGE[[#This Row],[date_modif]],
      "Ancien",
      "Modifié"),
   "Nouveau")),"")</f>
        <v/>
      </c>
    </row>
    <row r="5805" spans="24:30" x14ac:dyDescent="0.25">
      <c r="X5805" s="8" t="e">
        <f>IF(Final_Sans_VGE[[#This Row],[ppn_z]]="","",IFERROR(
   IF(_xlfn.XLOOKUP(Final_Sans_VGE[[#This Row],[ppn_z]],tbl_Historique_Final[ppn_z],tbl_Historique_Final[date_modif])=Final_Sans_VGE[[#This Row],[date_modif]],
      "Ancien",
      "Modifié"),
   "Nouveau"))</f>
        <v>#VALUE!</v>
      </c>
      <c r="AD5805" s="1" t="str">
        <f>IFERROR(IF(Final_Sans_VGE[[#This Row],[ppn_z]]="","",IFERROR(
   IF(_xlfn.XLOOKUP(Final_Sans_VGE[[#This Row],[ppn_z]],tbl_Historique_Final[[#This Row],[ppn_z]],tbl_Historique_Final[[#This Row],[date_modif]])=Final_Sans_VGE[[#This Row],[date_modif]],
      "Ancien",
      "Modifié"),
   "Nouveau")),"")</f>
        <v/>
      </c>
    </row>
    <row r="5806" spans="24:30" x14ac:dyDescent="0.25">
      <c r="X5806" s="8" t="e">
        <f>IF(Final_Sans_VGE[[#This Row],[ppn_z]]="","",IFERROR(
   IF(_xlfn.XLOOKUP(Final_Sans_VGE[[#This Row],[ppn_z]],tbl_Historique_Final[ppn_z],tbl_Historique_Final[date_modif])=Final_Sans_VGE[[#This Row],[date_modif]],
      "Ancien",
      "Modifié"),
   "Nouveau"))</f>
        <v>#VALUE!</v>
      </c>
      <c r="AD5806" s="1" t="str">
        <f>IFERROR(IF(Final_Sans_VGE[[#This Row],[ppn_z]]="","",IFERROR(
   IF(_xlfn.XLOOKUP(Final_Sans_VGE[[#This Row],[ppn_z]],tbl_Historique_Final[[#This Row],[ppn_z]],tbl_Historique_Final[[#This Row],[date_modif]])=Final_Sans_VGE[[#This Row],[date_modif]],
      "Ancien",
      "Modifié"),
   "Nouveau")),"")</f>
        <v/>
      </c>
    </row>
    <row r="5807" spans="24:30" x14ac:dyDescent="0.25">
      <c r="X5807" s="8" t="e">
        <f>IF(Final_Sans_VGE[[#This Row],[ppn_z]]="","",IFERROR(
   IF(_xlfn.XLOOKUP(Final_Sans_VGE[[#This Row],[ppn_z]],tbl_Historique_Final[ppn_z],tbl_Historique_Final[date_modif])=Final_Sans_VGE[[#This Row],[date_modif]],
      "Ancien",
      "Modifié"),
   "Nouveau"))</f>
        <v>#VALUE!</v>
      </c>
      <c r="AD5807" s="1" t="str">
        <f>IFERROR(IF(Final_Sans_VGE[[#This Row],[ppn_z]]="","",IFERROR(
   IF(_xlfn.XLOOKUP(Final_Sans_VGE[[#This Row],[ppn_z]],tbl_Historique_Final[[#This Row],[ppn_z]],tbl_Historique_Final[[#This Row],[date_modif]])=Final_Sans_VGE[[#This Row],[date_modif]],
      "Ancien",
      "Modifié"),
   "Nouveau")),"")</f>
        <v/>
      </c>
    </row>
    <row r="5808" spans="24:30" x14ac:dyDescent="0.25">
      <c r="X5808" s="8" t="e">
        <f>IF(Final_Sans_VGE[[#This Row],[ppn_z]]="","",IFERROR(
   IF(_xlfn.XLOOKUP(Final_Sans_VGE[[#This Row],[ppn_z]],tbl_Historique_Final[ppn_z],tbl_Historique_Final[date_modif])=Final_Sans_VGE[[#This Row],[date_modif]],
      "Ancien",
      "Modifié"),
   "Nouveau"))</f>
        <v>#VALUE!</v>
      </c>
      <c r="AD5808" s="1" t="str">
        <f>IFERROR(IF(Final_Sans_VGE[[#This Row],[ppn_z]]="","",IFERROR(
   IF(_xlfn.XLOOKUP(Final_Sans_VGE[[#This Row],[ppn_z]],tbl_Historique_Final[[#This Row],[ppn_z]],tbl_Historique_Final[[#This Row],[date_modif]])=Final_Sans_VGE[[#This Row],[date_modif]],
      "Ancien",
      "Modifié"),
   "Nouveau")),"")</f>
        <v/>
      </c>
    </row>
    <row r="5809" spans="24:30" x14ac:dyDescent="0.25">
      <c r="X5809" s="8" t="e">
        <f>IF(Final_Sans_VGE[[#This Row],[ppn_z]]="","",IFERROR(
   IF(_xlfn.XLOOKUP(Final_Sans_VGE[[#This Row],[ppn_z]],tbl_Historique_Final[ppn_z],tbl_Historique_Final[date_modif])=Final_Sans_VGE[[#This Row],[date_modif]],
      "Ancien",
      "Modifié"),
   "Nouveau"))</f>
        <v>#VALUE!</v>
      </c>
      <c r="AD5809" s="1" t="str">
        <f>IFERROR(IF(Final_Sans_VGE[[#This Row],[ppn_z]]="","",IFERROR(
   IF(_xlfn.XLOOKUP(Final_Sans_VGE[[#This Row],[ppn_z]],tbl_Historique_Final[[#This Row],[ppn_z]],tbl_Historique_Final[[#This Row],[date_modif]])=Final_Sans_VGE[[#This Row],[date_modif]],
      "Ancien",
      "Modifié"),
   "Nouveau")),"")</f>
        <v/>
      </c>
    </row>
    <row r="5810" spans="24:30" x14ac:dyDescent="0.25">
      <c r="X5810" s="8" t="e">
        <f>IF(Final_Sans_VGE[[#This Row],[ppn_z]]="","",IFERROR(
   IF(_xlfn.XLOOKUP(Final_Sans_VGE[[#This Row],[ppn_z]],tbl_Historique_Final[ppn_z],tbl_Historique_Final[date_modif])=Final_Sans_VGE[[#This Row],[date_modif]],
      "Ancien",
      "Modifié"),
   "Nouveau"))</f>
        <v>#VALUE!</v>
      </c>
      <c r="AD5810" s="1" t="str">
        <f>IFERROR(IF(Final_Sans_VGE[[#This Row],[ppn_z]]="","",IFERROR(
   IF(_xlfn.XLOOKUP(Final_Sans_VGE[[#This Row],[ppn_z]],tbl_Historique_Final[[#This Row],[ppn_z]],tbl_Historique_Final[[#This Row],[date_modif]])=Final_Sans_VGE[[#This Row],[date_modif]],
      "Ancien",
      "Modifié"),
   "Nouveau")),"")</f>
        <v/>
      </c>
    </row>
    <row r="5811" spans="24:30" x14ac:dyDescent="0.25">
      <c r="X5811" s="8" t="e">
        <f>IF(Final_Sans_VGE[[#This Row],[ppn_z]]="","",IFERROR(
   IF(_xlfn.XLOOKUP(Final_Sans_VGE[[#This Row],[ppn_z]],tbl_Historique_Final[ppn_z],tbl_Historique_Final[date_modif])=Final_Sans_VGE[[#This Row],[date_modif]],
      "Ancien",
      "Modifié"),
   "Nouveau"))</f>
        <v>#VALUE!</v>
      </c>
      <c r="AD5811" s="1" t="str">
        <f>IFERROR(IF(Final_Sans_VGE[[#This Row],[ppn_z]]="","",IFERROR(
   IF(_xlfn.XLOOKUP(Final_Sans_VGE[[#This Row],[ppn_z]],tbl_Historique_Final[[#This Row],[ppn_z]],tbl_Historique_Final[[#This Row],[date_modif]])=Final_Sans_VGE[[#This Row],[date_modif]],
      "Ancien",
      "Modifié"),
   "Nouveau")),"")</f>
        <v/>
      </c>
    </row>
    <row r="5812" spans="24:30" x14ac:dyDescent="0.25">
      <c r="X5812" s="8" t="e">
        <f>IF(Final_Sans_VGE[[#This Row],[ppn_z]]="","",IFERROR(
   IF(_xlfn.XLOOKUP(Final_Sans_VGE[[#This Row],[ppn_z]],tbl_Historique_Final[ppn_z],tbl_Historique_Final[date_modif])=Final_Sans_VGE[[#This Row],[date_modif]],
      "Ancien",
      "Modifié"),
   "Nouveau"))</f>
        <v>#VALUE!</v>
      </c>
      <c r="AD5812" s="1" t="str">
        <f>IFERROR(IF(Final_Sans_VGE[[#This Row],[ppn_z]]="","",IFERROR(
   IF(_xlfn.XLOOKUP(Final_Sans_VGE[[#This Row],[ppn_z]],tbl_Historique_Final[[#This Row],[ppn_z]],tbl_Historique_Final[[#This Row],[date_modif]])=Final_Sans_VGE[[#This Row],[date_modif]],
      "Ancien",
      "Modifié"),
   "Nouveau")),"")</f>
        <v/>
      </c>
    </row>
    <row r="5813" spans="24:30" x14ac:dyDescent="0.25">
      <c r="X5813" s="8" t="e">
        <f>IF(Final_Sans_VGE[[#This Row],[ppn_z]]="","",IFERROR(
   IF(_xlfn.XLOOKUP(Final_Sans_VGE[[#This Row],[ppn_z]],tbl_Historique_Final[ppn_z],tbl_Historique_Final[date_modif])=Final_Sans_VGE[[#This Row],[date_modif]],
      "Ancien",
      "Modifié"),
   "Nouveau"))</f>
        <v>#VALUE!</v>
      </c>
      <c r="AD5813" s="1" t="str">
        <f>IFERROR(IF(Final_Sans_VGE[[#This Row],[ppn_z]]="","",IFERROR(
   IF(_xlfn.XLOOKUP(Final_Sans_VGE[[#This Row],[ppn_z]],tbl_Historique_Final[[#This Row],[ppn_z]],tbl_Historique_Final[[#This Row],[date_modif]])=Final_Sans_VGE[[#This Row],[date_modif]],
      "Ancien",
      "Modifié"),
   "Nouveau")),"")</f>
        <v/>
      </c>
    </row>
    <row r="5814" spans="24:30" x14ac:dyDescent="0.25">
      <c r="X5814" s="8" t="e">
        <f>IF(Final_Sans_VGE[[#This Row],[ppn_z]]="","",IFERROR(
   IF(_xlfn.XLOOKUP(Final_Sans_VGE[[#This Row],[ppn_z]],tbl_Historique_Final[ppn_z],tbl_Historique_Final[date_modif])=Final_Sans_VGE[[#This Row],[date_modif]],
      "Ancien",
      "Modifié"),
   "Nouveau"))</f>
        <v>#VALUE!</v>
      </c>
      <c r="AD5814" s="1" t="str">
        <f>IFERROR(IF(Final_Sans_VGE[[#This Row],[ppn_z]]="","",IFERROR(
   IF(_xlfn.XLOOKUP(Final_Sans_VGE[[#This Row],[ppn_z]],tbl_Historique_Final[[#This Row],[ppn_z]],tbl_Historique_Final[[#This Row],[date_modif]])=Final_Sans_VGE[[#This Row],[date_modif]],
      "Ancien",
      "Modifié"),
   "Nouveau")),"")</f>
        <v/>
      </c>
    </row>
    <row r="5815" spans="24:30" x14ac:dyDescent="0.25">
      <c r="X5815" s="8" t="e">
        <f>IF(Final_Sans_VGE[[#This Row],[ppn_z]]="","",IFERROR(
   IF(_xlfn.XLOOKUP(Final_Sans_VGE[[#This Row],[ppn_z]],tbl_Historique_Final[ppn_z],tbl_Historique_Final[date_modif])=Final_Sans_VGE[[#This Row],[date_modif]],
      "Ancien",
      "Modifié"),
   "Nouveau"))</f>
        <v>#VALUE!</v>
      </c>
      <c r="AD5815" s="1" t="str">
        <f>IFERROR(IF(Final_Sans_VGE[[#This Row],[ppn_z]]="","",IFERROR(
   IF(_xlfn.XLOOKUP(Final_Sans_VGE[[#This Row],[ppn_z]],tbl_Historique_Final[[#This Row],[ppn_z]],tbl_Historique_Final[[#This Row],[date_modif]])=Final_Sans_VGE[[#This Row],[date_modif]],
      "Ancien",
      "Modifié"),
   "Nouveau")),"")</f>
        <v/>
      </c>
    </row>
    <row r="5816" spans="24:30" x14ac:dyDescent="0.25">
      <c r="X5816" s="8" t="e">
        <f>IF(Final_Sans_VGE[[#This Row],[ppn_z]]="","",IFERROR(
   IF(_xlfn.XLOOKUP(Final_Sans_VGE[[#This Row],[ppn_z]],tbl_Historique_Final[ppn_z],tbl_Historique_Final[date_modif])=Final_Sans_VGE[[#This Row],[date_modif]],
      "Ancien",
      "Modifié"),
   "Nouveau"))</f>
        <v>#VALUE!</v>
      </c>
      <c r="AD5816" s="1" t="str">
        <f>IFERROR(IF(Final_Sans_VGE[[#This Row],[ppn_z]]="","",IFERROR(
   IF(_xlfn.XLOOKUP(Final_Sans_VGE[[#This Row],[ppn_z]],tbl_Historique_Final[[#This Row],[ppn_z]],tbl_Historique_Final[[#This Row],[date_modif]])=Final_Sans_VGE[[#This Row],[date_modif]],
      "Ancien",
      "Modifié"),
   "Nouveau")),"")</f>
        <v/>
      </c>
    </row>
    <row r="5817" spans="24:30" x14ac:dyDescent="0.25">
      <c r="X5817" s="8" t="e">
        <f>IF(Final_Sans_VGE[[#This Row],[ppn_z]]="","",IFERROR(
   IF(_xlfn.XLOOKUP(Final_Sans_VGE[[#This Row],[ppn_z]],tbl_Historique_Final[ppn_z],tbl_Historique_Final[date_modif])=Final_Sans_VGE[[#This Row],[date_modif]],
      "Ancien",
      "Modifié"),
   "Nouveau"))</f>
        <v>#VALUE!</v>
      </c>
      <c r="AD5817" s="1" t="str">
        <f>IFERROR(IF(Final_Sans_VGE[[#This Row],[ppn_z]]="","",IFERROR(
   IF(_xlfn.XLOOKUP(Final_Sans_VGE[[#This Row],[ppn_z]],tbl_Historique_Final[[#This Row],[ppn_z]],tbl_Historique_Final[[#This Row],[date_modif]])=Final_Sans_VGE[[#This Row],[date_modif]],
      "Ancien",
      "Modifié"),
   "Nouveau")),"")</f>
        <v/>
      </c>
    </row>
    <row r="5818" spans="24:30" x14ac:dyDescent="0.25">
      <c r="X5818" s="8" t="e">
        <f>IF(Final_Sans_VGE[[#This Row],[ppn_z]]="","",IFERROR(
   IF(_xlfn.XLOOKUP(Final_Sans_VGE[[#This Row],[ppn_z]],tbl_Historique_Final[ppn_z],tbl_Historique_Final[date_modif])=Final_Sans_VGE[[#This Row],[date_modif]],
      "Ancien",
      "Modifié"),
   "Nouveau"))</f>
        <v>#VALUE!</v>
      </c>
      <c r="AD5818" s="1" t="str">
        <f>IFERROR(IF(Final_Sans_VGE[[#This Row],[ppn_z]]="","",IFERROR(
   IF(_xlfn.XLOOKUP(Final_Sans_VGE[[#This Row],[ppn_z]],tbl_Historique_Final[[#This Row],[ppn_z]],tbl_Historique_Final[[#This Row],[date_modif]])=Final_Sans_VGE[[#This Row],[date_modif]],
      "Ancien",
      "Modifié"),
   "Nouveau")),"")</f>
        <v/>
      </c>
    </row>
    <row r="5819" spans="24:30" x14ac:dyDescent="0.25">
      <c r="X5819" s="8" t="e">
        <f>IF(Final_Sans_VGE[[#This Row],[ppn_z]]="","",IFERROR(
   IF(_xlfn.XLOOKUP(Final_Sans_VGE[[#This Row],[ppn_z]],tbl_Historique_Final[ppn_z],tbl_Historique_Final[date_modif])=Final_Sans_VGE[[#This Row],[date_modif]],
      "Ancien",
      "Modifié"),
   "Nouveau"))</f>
        <v>#VALUE!</v>
      </c>
      <c r="AD5819" s="1" t="str">
        <f>IFERROR(IF(Final_Sans_VGE[[#This Row],[ppn_z]]="","",IFERROR(
   IF(_xlfn.XLOOKUP(Final_Sans_VGE[[#This Row],[ppn_z]],tbl_Historique_Final[[#This Row],[ppn_z]],tbl_Historique_Final[[#This Row],[date_modif]])=Final_Sans_VGE[[#This Row],[date_modif]],
      "Ancien",
      "Modifié"),
   "Nouveau")),"")</f>
        <v/>
      </c>
    </row>
    <row r="5820" spans="24:30" x14ac:dyDescent="0.25">
      <c r="X5820" s="8" t="e">
        <f>IF(Final_Sans_VGE[[#This Row],[ppn_z]]="","",IFERROR(
   IF(_xlfn.XLOOKUP(Final_Sans_VGE[[#This Row],[ppn_z]],tbl_Historique_Final[ppn_z],tbl_Historique_Final[date_modif])=Final_Sans_VGE[[#This Row],[date_modif]],
      "Ancien",
      "Modifié"),
   "Nouveau"))</f>
        <v>#VALUE!</v>
      </c>
      <c r="AD5820" s="1" t="str">
        <f>IFERROR(IF(Final_Sans_VGE[[#This Row],[ppn_z]]="","",IFERROR(
   IF(_xlfn.XLOOKUP(Final_Sans_VGE[[#This Row],[ppn_z]],tbl_Historique_Final[[#This Row],[ppn_z]],tbl_Historique_Final[[#This Row],[date_modif]])=Final_Sans_VGE[[#This Row],[date_modif]],
      "Ancien",
      "Modifié"),
   "Nouveau")),"")</f>
        <v/>
      </c>
    </row>
    <row r="5821" spans="24:30" x14ac:dyDescent="0.25">
      <c r="X5821" s="8" t="e">
        <f>IF(Final_Sans_VGE[[#This Row],[ppn_z]]="","",IFERROR(
   IF(_xlfn.XLOOKUP(Final_Sans_VGE[[#This Row],[ppn_z]],tbl_Historique_Final[ppn_z],tbl_Historique_Final[date_modif])=Final_Sans_VGE[[#This Row],[date_modif]],
      "Ancien",
      "Modifié"),
   "Nouveau"))</f>
        <v>#VALUE!</v>
      </c>
      <c r="AD5821" s="1" t="str">
        <f>IFERROR(IF(Final_Sans_VGE[[#This Row],[ppn_z]]="","",IFERROR(
   IF(_xlfn.XLOOKUP(Final_Sans_VGE[[#This Row],[ppn_z]],tbl_Historique_Final[[#This Row],[ppn_z]],tbl_Historique_Final[[#This Row],[date_modif]])=Final_Sans_VGE[[#This Row],[date_modif]],
      "Ancien",
      "Modifié"),
   "Nouveau")),"")</f>
        <v/>
      </c>
    </row>
    <row r="5822" spans="24:30" x14ac:dyDescent="0.25">
      <c r="X5822" s="8" t="e">
        <f>IF(Final_Sans_VGE[[#This Row],[ppn_z]]="","",IFERROR(
   IF(_xlfn.XLOOKUP(Final_Sans_VGE[[#This Row],[ppn_z]],tbl_Historique_Final[ppn_z],tbl_Historique_Final[date_modif])=Final_Sans_VGE[[#This Row],[date_modif]],
      "Ancien",
      "Modifié"),
   "Nouveau"))</f>
        <v>#VALUE!</v>
      </c>
      <c r="AD5822" s="1" t="str">
        <f>IFERROR(IF(Final_Sans_VGE[[#This Row],[ppn_z]]="","",IFERROR(
   IF(_xlfn.XLOOKUP(Final_Sans_VGE[[#This Row],[ppn_z]],tbl_Historique_Final[[#This Row],[ppn_z]],tbl_Historique_Final[[#This Row],[date_modif]])=Final_Sans_VGE[[#This Row],[date_modif]],
      "Ancien",
      "Modifié"),
   "Nouveau")),"")</f>
        <v/>
      </c>
    </row>
    <row r="5823" spans="24:30" x14ac:dyDescent="0.25">
      <c r="X5823" s="8" t="e">
        <f>IF(Final_Sans_VGE[[#This Row],[ppn_z]]="","",IFERROR(
   IF(_xlfn.XLOOKUP(Final_Sans_VGE[[#This Row],[ppn_z]],tbl_Historique_Final[ppn_z],tbl_Historique_Final[date_modif])=Final_Sans_VGE[[#This Row],[date_modif]],
      "Ancien",
      "Modifié"),
   "Nouveau"))</f>
        <v>#VALUE!</v>
      </c>
      <c r="AD5823" s="1" t="str">
        <f>IFERROR(IF(Final_Sans_VGE[[#This Row],[ppn_z]]="","",IFERROR(
   IF(_xlfn.XLOOKUP(Final_Sans_VGE[[#This Row],[ppn_z]],tbl_Historique_Final[[#This Row],[ppn_z]],tbl_Historique_Final[[#This Row],[date_modif]])=Final_Sans_VGE[[#This Row],[date_modif]],
      "Ancien",
      "Modifié"),
   "Nouveau")),"")</f>
        <v/>
      </c>
    </row>
    <row r="5824" spans="24:30" x14ac:dyDescent="0.25">
      <c r="X5824" s="8" t="e">
        <f>IF(Final_Sans_VGE[[#This Row],[ppn_z]]="","",IFERROR(
   IF(_xlfn.XLOOKUP(Final_Sans_VGE[[#This Row],[ppn_z]],tbl_Historique_Final[ppn_z],tbl_Historique_Final[date_modif])=Final_Sans_VGE[[#This Row],[date_modif]],
      "Ancien",
      "Modifié"),
   "Nouveau"))</f>
        <v>#VALUE!</v>
      </c>
      <c r="AD5824" s="1" t="str">
        <f>IFERROR(IF(Final_Sans_VGE[[#This Row],[ppn_z]]="","",IFERROR(
   IF(_xlfn.XLOOKUP(Final_Sans_VGE[[#This Row],[ppn_z]],tbl_Historique_Final[[#This Row],[ppn_z]],tbl_Historique_Final[[#This Row],[date_modif]])=Final_Sans_VGE[[#This Row],[date_modif]],
      "Ancien",
      "Modifié"),
   "Nouveau")),"")</f>
        <v/>
      </c>
    </row>
    <row r="5825" spans="24:30" x14ac:dyDescent="0.25">
      <c r="X5825" s="8" t="e">
        <f>IF(Final_Sans_VGE[[#This Row],[ppn_z]]="","",IFERROR(
   IF(_xlfn.XLOOKUP(Final_Sans_VGE[[#This Row],[ppn_z]],tbl_Historique_Final[ppn_z],tbl_Historique_Final[date_modif])=Final_Sans_VGE[[#This Row],[date_modif]],
      "Ancien",
      "Modifié"),
   "Nouveau"))</f>
        <v>#VALUE!</v>
      </c>
      <c r="AD5825" s="1" t="str">
        <f>IFERROR(IF(Final_Sans_VGE[[#This Row],[ppn_z]]="","",IFERROR(
   IF(_xlfn.XLOOKUP(Final_Sans_VGE[[#This Row],[ppn_z]],tbl_Historique_Final[[#This Row],[ppn_z]],tbl_Historique_Final[[#This Row],[date_modif]])=Final_Sans_VGE[[#This Row],[date_modif]],
      "Ancien",
      "Modifié"),
   "Nouveau")),"")</f>
        <v/>
      </c>
    </row>
    <row r="5826" spans="24:30" x14ac:dyDescent="0.25">
      <c r="X5826" s="8" t="e">
        <f>IF(Final_Sans_VGE[[#This Row],[ppn_z]]="","",IFERROR(
   IF(_xlfn.XLOOKUP(Final_Sans_VGE[[#This Row],[ppn_z]],tbl_Historique_Final[ppn_z],tbl_Historique_Final[date_modif])=Final_Sans_VGE[[#This Row],[date_modif]],
      "Ancien",
      "Modifié"),
   "Nouveau"))</f>
        <v>#VALUE!</v>
      </c>
      <c r="AD5826" s="1" t="str">
        <f>IFERROR(IF(Final_Sans_VGE[[#This Row],[ppn_z]]="","",IFERROR(
   IF(_xlfn.XLOOKUP(Final_Sans_VGE[[#This Row],[ppn_z]],tbl_Historique_Final[[#This Row],[ppn_z]],tbl_Historique_Final[[#This Row],[date_modif]])=Final_Sans_VGE[[#This Row],[date_modif]],
      "Ancien",
      "Modifié"),
   "Nouveau")),"")</f>
        <v/>
      </c>
    </row>
    <row r="5827" spans="24:30" x14ac:dyDescent="0.25">
      <c r="X5827" s="8" t="e">
        <f>IF(Final_Sans_VGE[[#This Row],[ppn_z]]="","",IFERROR(
   IF(_xlfn.XLOOKUP(Final_Sans_VGE[[#This Row],[ppn_z]],tbl_Historique_Final[ppn_z],tbl_Historique_Final[date_modif])=Final_Sans_VGE[[#This Row],[date_modif]],
      "Ancien",
      "Modifié"),
   "Nouveau"))</f>
        <v>#VALUE!</v>
      </c>
      <c r="AD5827" s="1" t="str">
        <f>IFERROR(IF(Final_Sans_VGE[[#This Row],[ppn_z]]="","",IFERROR(
   IF(_xlfn.XLOOKUP(Final_Sans_VGE[[#This Row],[ppn_z]],tbl_Historique_Final[[#This Row],[ppn_z]],tbl_Historique_Final[[#This Row],[date_modif]])=Final_Sans_VGE[[#This Row],[date_modif]],
      "Ancien",
      "Modifié"),
   "Nouveau")),"")</f>
        <v/>
      </c>
    </row>
    <row r="5828" spans="24:30" x14ac:dyDescent="0.25">
      <c r="X5828" s="8" t="e">
        <f>IF(Final_Sans_VGE[[#This Row],[ppn_z]]="","",IFERROR(
   IF(_xlfn.XLOOKUP(Final_Sans_VGE[[#This Row],[ppn_z]],tbl_Historique_Final[ppn_z],tbl_Historique_Final[date_modif])=Final_Sans_VGE[[#This Row],[date_modif]],
      "Ancien",
      "Modifié"),
   "Nouveau"))</f>
        <v>#VALUE!</v>
      </c>
      <c r="AD5828" s="1" t="str">
        <f>IFERROR(IF(Final_Sans_VGE[[#This Row],[ppn_z]]="","",IFERROR(
   IF(_xlfn.XLOOKUP(Final_Sans_VGE[[#This Row],[ppn_z]],tbl_Historique_Final[[#This Row],[ppn_z]],tbl_Historique_Final[[#This Row],[date_modif]])=Final_Sans_VGE[[#This Row],[date_modif]],
      "Ancien",
      "Modifié"),
   "Nouveau")),"")</f>
        <v/>
      </c>
    </row>
    <row r="5829" spans="24:30" x14ac:dyDescent="0.25">
      <c r="X5829" s="8" t="e">
        <f>IF(Final_Sans_VGE[[#This Row],[ppn_z]]="","",IFERROR(
   IF(_xlfn.XLOOKUP(Final_Sans_VGE[[#This Row],[ppn_z]],tbl_Historique_Final[ppn_z],tbl_Historique_Final[date_modif])=Final_Sans_VGE[[#This Row],[date_modif]],
      "Ancien",
      "Modifié"),
   "Nouveau"))</f>
        <v>#VALUE!</v>
      </c>
      <c r="AD5829" s="1" t="str">
        <f>IFERROR(IF(Final_Sans_VGE[[#This Row],[ppn_z]]="","",IFERROR(
   IF(_xlfn.XLOOKUP(Final_Sans_VGE[[#This Row],[ppn_z]],tbl_Historique_Final[[#This Row],[ppn_z]],tbl_Historique_Final[[#This Row],[date_modif]])=Final_Sans_VGE[[#This Row],[date_modif]],
      "Ancien",
      "Modifié"),
   "Nouveau")),"")</f>
        <v/>
      </c>
    </row>
    <row r="5830" spans="24:30" x14ac:dyDescent="0.25">
      <c r="X5830" s="8" t="e">
        <f>IF(Final_Sans_VGE[[#This Row],[ppn_z]]="","",IFERROR(
   IF(_xlfn.XLOOKUP(Final_Sans_VGE[[#This Row],[ppn_z]],tbl_Historique_Final[ppn_z],tbl_Historique_Final[date_modif])=Final_Sans_VGE[[#This Row],[date_modif]],
      "Ancien",
      "Modifié"),
   "Nouveau"))</f>
        <v>#VALUE!</v>
      </c>
      <c r="AD5830" s="1" t="str">
        <f>IFERROR(IF(Final_Sans_VGE[[#This Row],[ppn_z]]="","",IFERROR(
   IF(_xlfn.XLOOKUP(Final_Sans_VGE[[#This Row],[ppn_z]],tbl_Historique_Final[[#This Row],[ppn_z]],tbl_Historique_Final[[#This Row],[date_modif]])=Final_Sans_VGE[[#This Row],[date_modif]],
      "Ancien",
      "Modifié"),
   "Nouveau")),"")</f>
        <v/>
      </c>
    </row>
    <row r="5831" spans="24:30" x14ac:dyDescent="0.25">
      <c r="X5831" s="8" t="e">
        <f>IF(Final_Sans_VGE[[#This Row],[ppn_z]]="","",IFERROR(
   IF(_xlfn.XLOOKUP(Final_Sans_VGE[[#This Row],[ppn_z]],tbl_Historique_Final[ppn_z],tbl_Historique_Final[date_modif])=Final_Sans_VGE[[#This Row],[date_modif]],
      "Ancien",
      "Modifié"),
   "Nouveau"))</f>
        <v>#VALUE!</v>
      </c>
      <c r="AD5831" s="1" t="str">
        <f>IFERROR(IF(Final_Sans_VGE[[#This Row],[ppn_z]]="","",IFERROR(
   IF(_xlfn.XLOOKUP(Final_Sans_VGE[[#This Row],[ppn_z]],tbl_Historique_Final[[#This Row],[ppn_z]],tbl_Historique_Final[[#This Row],[date_modif]])=Final_Sans_VGE[[#This Row],[date_modif]],
      "Ancien",
      "Modifié"),
   "Nouveau")),"")</f>
        <v/>
      </c>
    </row>
    <row r="5832" spans="24:30" x14ac:dyDescent="0.25">
      <c r="X5832" s="8" t="e">
        <f>IF(Final_Sans_VGE[[#This Row],[ppn_z]]="","",IFERROR(
   IF(_xlfn.XLOOKUP(Final_Sans_VGE[[#This Row],[ppn_z]],tbl_Historique_Final[ppn_z],tbl_Historique_Final[date_modif])=Final_Sans_VGE[[#This Row],[date_modif]],
      "Ancien",
      "Modifié"),
   "Nouveau"))</f>
        <v>#VALUE!</v>
      </c>
      <c r="AD5832" s="1" t="str">
        <f>IFERROR(IF(Final_Sans_VGE[[#This Row],[ppn_z]]="","",IFERROR(
   IF(_xlfn.XLOOKUP(Final_Sans_VGE[[#This Row],[ppn_z]],tbl_Historique_Final[[#This Row],[ppn_z]],tbl_Historique_Final[[#This Row],[date_modif]])=Final_Sans_VGE[[#This Row],[date_modif]],
      "Ancien",
      "Modifié"),
   "Nouveau")),"")</f>
        <v/>
      </c>
    </row>
    <row r="5833" spans="24:30" x14ac:dyDescent="0.25">
      <c r="X5833" s="8" t="e">
        <f>IF(Final_Sans_VGE[[#This Row],[ppn_z]]="","",IFERROR(
   IF(_xlfn.XLOOKUP(Final_Sans_VGE[[#This Row],[ppn_z]],tbl_Historique_Final[ppn_z],tbl_Historique_Final[date_modif])=Final_Sans_VGE[[#This Row],[date_modif]],
      "Ancien",
      "Modifié"),
   "Nouveau"))</f>
        <v>#VALUE!</v>
      </c>
      <c r="AD5833" s="1" t="str">
        <f>IFERROR(IF(Final_Sans_VGE[[#This Row],[ppn_z]]="","",IFERROR(
   IF(_xlfn.XLOOKUP(Final_Sans_VGE[[#This Row],[ppn_z]],tbl_Historique_Final[[#This Row],[ppn_z]],tbl_Historique_Final[[#This Row],[date_modif]])=Final_Sans_VGE[[#This Row],[date_modif]],
      "Ancien",
      "Modifié"),
   "Nouveau")),"")</f>
        <v/>
      </c>
    </row>
    <row r="5834" spans="24:30" x14ac:dyDescent="0.25">
      <c r="X5834" s="8" t="e">
        <f>IF(Final_Sans_VGE[[#This Row],[ppn_z]]="","",IFERROR(
   IF(_xlfn.XLOOKUP(Final_Sans_VGE[[#This Row],[ppn_z]],tbl_Historique_Final[ppn_z],tbl_Historique_Final[date_modif])=Final_Sans_VGE[[#This Row],[date_modif]],
      "Ancien",
      "Modifié"),
   "Nouveau"))</f>
        <v>#VALUE!</v>
      </c>
      <c r="AD5834" s="1" t="str">
        <f>IFERROR(IF(Final_Sans_VGE[[#This Row],[ppn_z]]="","",IFERROR(
   IF(_xlfn.XLOOKUP(Final_Sans_VGE[[#This Row],[ppn_z]],tbl_Historique_Final[[#This Row],[ppn_z]],tbl_Historique_Final[[#This Row],[date_modif]])=Final_Sans_VGE[[#This Row],[date_modif]],
      "Ancien",
      "Modifié"),
   "Nouveau")),"")</f>
        <v/>
      </c>
    </row>
    <row r="5835" spans="24:30" x14ac:dyDescent="0.25">
      <c r="X5835" s="8" t="e">
        <f>IF(Final_Sans_VGE[[#This Row],[ppn_z]]="","",IFERROR(
   IF(_xlfn.XLOOKUP(Final_Sans_VGE[[#This Row],[ppn_z]],tbl_Historique_Final[ppn_z],tbl_Historique_Final[date_modif])=Final_Sans_VGE[[#This Row],[date_modif]],
      "Ancien",
      "Modifié"),
   "Nouveau"))</f>
        <v>#VALUE!</v>
      </c>
      <c r="AD5835" s="1" t="str">
        <f>IFERROR(IF(Final_Sans_VGE[[#This Row],[ppn_z]]="","",IFERROR(
   IF(_xlfn.XLOOKUP(Final_Sans_VGE[[#This Row],[ppn_z]],tbl_Historique_Final[[#This Row],[ppn_z]],tbl_Historique_Final[[#This Row],[date_modif]])=Final_Sans_VGE[[#This Row],[date_modif]],
      "Ancien",
      "Modifié"),
   "Nouveau")),"")</f>
        <v/>
      </c>
    </row>
    <row r="5836" spans="24:30" x14ac:dyDescent="0.25">
      <c r="X5836" s="8" t="e">
        <f>IF(Final_Sans_VGE[[#This Row],[ppn_z]]="","",IFERROR(
   IF(_xlfn.XLOOKUP(Final_Sans_VGE[[#This Row],[ppn_z]],tbl_Historique_Final[ppn_z],tbl_Historique_Final[date_modif])=Final_Sans_VGE[[#This Row],[date_modif]],
      "Ancien",
      "Modifié"),
   "Nouveau"))</f>
        <v>#VALUE!</v>
      </c>
      <c r="AD5836" s="1" t="str">
        <f>IFERROR(IF(Final_Sans_VGE[[#This Row],[ppn_z]]="","",IFERROR(
   IF(_xlfn.XLOOKUP(Final_Sans_VGE[[#This Row],[ppn_z]],tbl_Historique_Final[[#This Row],[ppn_z]],tbl_Historique_Final[[#This Row],[date_modif]])=Final_Sans_VGE[[#This Row],[date_modif]],
      "Ancien",
      "Modifié"),
   "Nouveau")),"")</f>
        <v/>
      </c>
    </row>
    <row r="5837" spans="24:30" x14ac:dyDescent="0.25">
      <c r="X5837" s="8" t="e">
        <f>IF(Final_Sans_VGE[[#This Row],[ppn_z]]="","",IFERROR(
   IF(_xlfn.XLOOKUP(Final_Sans_VGE[[#This Row],[ppn_z]],tbl_Historique_Final[ppn_z],tbl_Historique_Final[date_modif])=Final_Sans_VGE[[#This Row],[date_modif]],
      "Ancien",
      "Modifié"),
   "Nouveau"))</f>
        <v>#VALUE!</v>
      </c>
      <c r="AD5837" s="1" t="str">
        <f>IFERROR(IF(Final_Sans_VGE[[#This Row],[ppn_z]]="","",IFERROR(
   IF(_xlfn.XLOOKUP(Final_Sans_VGE[[#This Row],[ppn_z]],tbl_Historique_Final[[#This Row],[ppn_z]],tbl_Historique_Final[[#This Row],[date_modif]])=Final_Sans_VGE[[#This Row],[date_modif]],
      "Ancien",
      "Modifié"),
   "Nouveau")),"")</f>
        <v/>
      </c>
    </row>
    <row r="5838" spans="24:30" x14ac:dyDescent="0.25">
      <c r="X5838" s="8" t="e">
        <f>IF(Final_Sans_VGE[[#This Row],[ppn_z]]="","",IFERROR(
   IF(_xlfn.XLOOKUP(Final_Sans_VGE[[#This Row],[ppn_z]],tbl_Historique_Final[ppn_z],tbl_Historique_Final[date_modif])=Final_Sans_VGE[[#This Row],[date_modif]],
      "Ancien",
      "Modifié"),
   "Nouveau"))</f>
        <v>#VALUE!</v>
      </c>
      <c r="AD5838" s="1" t="str">
        <f>IFERROR(IF(Final_Sans_VGE[[#This Row],[ppn_z]]="","",IFERROR(
   IF(_xlfn.XLOOKUP(Final_Sans_VGE[[#This Row],[ppn_z]],tbl_Historique_Final[[#This Row],[ppn_z]],tbl_Historique_Final[[#This Row],[date_modif]])=Final_Sans_VGE[[#This Row],[date_modif]],
      "Ancien",
      "Modifié"),
   "Nouveau")),"")</f>
        <v/>
      </c>
    </row>
    <row r="5839" spans="24:30" x14ac:dyDescent="0.25">
      <c r="X5839" s="8" t="e">
        <f>IF(Final_Sans_VGE[[#This Row],[ppn_z]]="","",IFERROR(
   IF(_xlfn.XLOOKUP(Final_Sans_VGE[[#This Row],[ppn_z]],tbl_Historique_Final[ppn_z],tbl_Historique_Final[date_modif])=Final_Sans_VGE[[#This Row],[date_modif]],
      "Ancien",
      "Modifié"),
   "Nouveau"))</f>
        <v>#VALUE!</v>
      </c>
      <c r="AD5839" s="1" t="str">
        <f>IFERROR(IF(Final_Sans_VGE[[#This Row],[ppn_z]]="","",IFERROR(
   IF(_xlfn.XLOOKUP(Final_Sans_VGE[[#This Row],[ppn_z]],tbl_Historique_Final[[#This Row],[ppn_z]],tbl_Historique_Final[[#This Row],[date_modif]])=Final_Sans_VGE[[#This Row],[date_modif]],
      "Ancien",
      "Modifié"),
   "Nouveau")),"")</f>
        <v/>
      </c>
    </row>
    <row r="5840" spans="24:30" x14ac:dyDescent="0.25">
      <c r="X5840" s="8" t="e">
        <f>IF(Final_Sans_VGE[[#This Row],[ppn_z]]="","",IFERROR(
   IF(_xlfn.XLOOKUP(Final_Sans_VGE[[#This Row],[ppn_z]],tbl_Historique_Final[ppn_z],tbl_Historique_Final[date_modif])=Final_Sans_VGE[[#This Row],[date_modif]],
      "Ancien",
      "Modifié"),
   "Nouveau"))</f>
        <v>#VALUE!</v>
      </c>
      <c r="AD5840" s="1" t="str">
        <f>IFERROR(IF(Final_Sans_VGE[[#This Row],[ppn_z]]="","",IFERROR(
   IF(_xlfn.XLOOKUP(Final_Sans_VGE[[#This Row],[ppn_z]],tbl_Historique_Final[[#This Row],[ppn_z]],tbl_Historique_Final[[#This Row],[date_modif]])=Final_Sans_VGE[[#This Row],[date_modif]],
      "Ancien",
      "Modifié"),
   "Nouveau")),"")</f>
        <v/>
      </c>
    </row>
    <row r="5841" spans="24:30" x14ac:dyDescent="0.25">
      <c r="X5841" s="8" t="e">
        <f>IF(Final_Sans_VGE[[#This Row],[ppn_z]]="","",IFERROR(
   IF(_xlfn.XLOOKUP(Final_Sans_VGE[[#This Row],[ppn_z]],tbl_Historique_Final[ppn_z],tbl_Historique_Final[date_modif])=Final_Sans_VGE[[#This Row],[date_modif]],
      "Ancien",
      "Modifié"),
   "Nouveau"))</f>
        <v>#VALUE!</v>
      </c>
      <c r="AD5841" s="1" t="str">
        <f>IFERROR(IF(Final_Sans_VGE[[#This Row],[ppn_z]]="","",IFERROR(
   IF(_xlfn.XLOOKUP(Final_Sans_VGE[[#This Row],[ppn_z]],tbl_Historique_Final[[#This Row],[ppn_z]],tbl_Historique_Final[[#This Row],[date_modif]])=Final_Sans_VGE[[#This Row],[date_modif]],
      "Ancien",
      "Modifié"),
   "Nouveau")),"")</f>
        <v/>
      </c>
    </row>
    <row r="5842" spans="24:30" x14ac:dyDescent="0.25">
      <c r="X5842" s="8" t="e">
        <f>IF(Final_Sans_VGE[[#This Row],[ppn_z]]="","",IFERROR(
   IF(_xlfn.XLOOKUP(Final_Sans_VGE[[#This Row],[ppn_z]],tbl_Historique_Final[ppn_z],tbl_Historique_Final[date_modif])=Final_Sans_VGE[[#This Row],[date_modif]],
      "Ancien",
      "Modifié"),
   "Nouveau"))</f>
        <v>#VALUE!</v>
      </c>
      <c r="AD5842" s="1" t="str">
        <f>IFERROR(IF(Final_Sans_VGE[[#This Row],[ppn_z]]="","",IFERROR(
   IF(_xlfn.XLOOKUP(Final_Sans_VGE[[#This Row],[ppn_z]],tbl_Historique_Final[[#This Row],[ppn_z]],tbl_Historique_Final[[#This Row],[date_modif]])=Final_Sans_VGE[[#This Row],[date_modif]],
      "Ancien",
      "Modifié"),
   "Nouveau")),"")</f>
        <v/>
      </c>
    </row>
    <row r="5843" spans="24:30" x14ac:dyDescent="0.25">
      <c r="X5843" s="8" t="e">
        <f>IF(Final_Sans_VGE[[#This Row],[ppn_z]]="","",IFERROR(
   IF(_xlfn.XLOOKUP(Final_Sans_VGE[[#This Row],[ppn_z]],tbl_Historique_Final[ppn_z],tbl_Historique_Final[date_modif])=Final_Sans_VGE[[#This Row],[date_modif]],
      "Ancien",
      "Modifié"),
   "Nouveau"))</f>
        <v>#VALUE!</v>
      </c>
      <c r="AD5843" s="1" t="str">
        <f>IFERROR(IF(Final_Sans_VGE[[#This Row],[ppn_z]]="","",IFERROR(
   IF(_xlfn.XLOOKUP(Final_Sans_VGE[[#This Row],[ppn_z]],tbl_Historique_Final[[#This Row],[ppn_z]],tbl_Historique_Final[[#This Row],[date_modif]])=Final_Sans_VGE[[#This Row],[date_modif]],
      "Ancien",
      "Modifié"),
   "Nouveau")),"")</f>
        <v/>
      </c>
    </row>
    <row r="5844" spans="24:30" x14ac:dyDescent="0.25">
      <c r="X5844" s="8" t="e">
        <f>IF(Final_Sans_VGE[[#This Row],[ppn_z]]="","",IFERROR(
   IF(_xlfn.XLOOKUP(Final_Sans_VGE[[#This Row],[ppn_z]],tbl_Historique_Final[ppn_z],tbl_Historique_Final[date_modif])=Final_Sans_VGE[[#This Row],[date_modif]],
      "Ancien",
      "Modifié"),
   "Nouveau"))</f>
        <v>#VALUE!</v>
      </c>
      <c r="AD5844" s="1" t="str">
        <f>IFERROR(IF(Final_Sans_VGE[[#This Row],[ppn_z]]="","",IFERROR(
   IF(_xlfn.XLOOKUP(Final_Sans_VGE[[#This Row],[ppn_z]],tbl_Historique_Final[[#This Row],[ppn_z]],tbl_Historique_Final[[#This Row],[date_modif]])=Final_Sans_VGE[[#This Row],[date_modif]],
      "Ancien",
      "Modifié"),
   "Nouveau")),"")</f>
        <v/>
      </c>
    </row>
    <row r="5845" spans="24:30" x14ac:dyDescent="0.25">
      <c r="X5845" s="8" t="e">
        <f>IF(Final_Sans_VGE[[#This Row],[ppn_z]]="","",IFERROR(
   IF(_xlfn.XLOOKUP(Final_Sans_VGE[[#This Row],[ppn_z]],tbl_Historique_Final[ppn_z],tbl_Historique_Final[date_modif])=Final_Sans_VGE[[#This Row],[date_modif]],
      "Ancien",
      "Modifié"),
   "Nouveau"))</f>
        <v>#VALUE!</v>
      </c>
      <c r="AD5845" s="1" t="str">
        <f>IFERROR(IF(Final_Sans_VGE[[#This Row],[ppn_z]]="","",IFERROR(
   IF(_xlfn.XLOOKUP(Final_Sans_VGE[[#This Row],[ppn_z]],tbl_Historique_Final[[#This Row],[ppn_z]],tbl_Historique_Final[[#This Row],[date_modif]])=Final_Sans_VGE[[#This Row],[date_modif]],
      "Ancien",
      "Modifié"),
   "Nouveau")),"")</f>
        <v/>
      </c>
    </row>
    <row r="5846" spans="24:30" x14ac:dyDescent="0.25">
      <c r="X5846" s="8" t="e">
        <f>IF(Final_Sans_VGE[[#This Row],[ppn_z]]="","",IFERROR(
   IF(_xlfn.XLOOKUP(Final_Sans_VGE[[#This Row],[ppn_z]],tbl_Historique_Final[ppn_z],tbl_Historique_Final[date_modif])=Final_Sans_VGE[[#This Row],[date_modif]],
      "Ancien",
      "Modifié"),
   "Nouveau"))</f>
        <v>#VALUE!</v>
      </c>
      <c r="AD5846" s="1" t="str">
        <f>IFERROR(IF(Final_Sans_VGE[[#This Row],[ppn_z]]="","",IFERROR(
   IF(_xlfn.XLOOKUP(Final_Sans_VGE[[#This Row],[ppn_z]],tbl_Historique_Final[[#This Row],[ppn_z]],tbl_Historique_Final[[#This Row],[date_modif]])=Final_Sans_VGE[[#This Row],[date_modif]],
      "Ancien",
      "Modifié"),
   "Nouveau")),"")</f>
        <v/>
      </c>
    </row>
    <row r="5847" spans="24:30" x14ac:dyDescent="0.25">
      <c r="X5847" s="8" t="e">
        <f>IF(Final_Sans_VGE[[#This Row],[ppn_z]]="","",IFERROR(
   IF(_xlfn.XLOOKUP(Final_Sans_VGE[[#This Row],[ppn_z]],tbl_Historique_Final[ppn_z],tbl_Historique_Final[date_modif])=Final_Sans_VGE[[#This Row],[date_modif]],
      "Ancien",
      "Modifié"),
   "Nouveau"))</f>
        <v>#VALUE!</v>
      </c>
      <c r="AD5847" s="1" t="str">
        <f>IFERROR(IF(Final_Sans_VGE[[#This Row],[ppn_z]]="","",IFERROR(
   IF(_xlfn.XLOOKUP(Final_Sans_VGE[[#This Row],[ppn_z]],tbl_Historique_Final[[#This Row],[ppn_z]],tbl_Historique_Final[[#This Row],[date_modif]])=Final_Sans_VGE[[#This Row],[date_modif]],
      "Ancien",
      "Modifié"),
   "Nouveau")),"")</f>
        <v/>
      </c>
    </row>
    <row r="5848" spans="24:30" x14ac:dyDescent="0.25">
      <c r="X5848" s="8" t="e">
        <f>IF(Final_Sans_VGE[[#This Row],[ppn_z]]="","",IFERROR(
   IF(_xlfn.XLOOKUP(Final_Sans_VGE[[#This Row],[ppn_z]],tbl_Historique_Final[ppn_z],tbl_Historique_Final[date_modif])=Final_Sans_VGE[[#This Row],[date_modif]],
      "Ancien",
      "Modifié"),
   "Nouveau"))</f>
        <v>#VALUE!</v>
      </c>
      <c r="AD5848" s="1" t="str">
        <f>IFERROR(IF(Final_Sans_VGE[[#This Row],[ppn_z]]="","",IFERROR(
   IF(_xlfn.XLOOKUP(Final_Sans_VGE[[#This Row],[ppn_z]],tbl_Historique_Final[[#This Row],[ppn_z]],tbl_Historique_Final[[#This Row],[date_modif]])=Final_Sans_VGE[[#This Row],[date_modif]],
      "Ancien",
      "Modifié"),
   "Nouveau")),"")</f>
        <v/>
      </c>
    </row>
    <row r="5849" spans="24:30" x14ac:dyDescent="0.25">
      <c r="X5849" s="8" t="e">
        <f>IF(Final_Sans_VGE[[#This Row],[ppn_z]]="","",IFERROR(
   IF(_xlfn.XLOOKUP(Final_Sans_VGE[[#This Row],[ppn_z]],tbl_Historique_Final[ppn_z],tbl_Historique_Final[date_modif])=Final_Sans_VGE[[#This Row],[date_modif]],
      "Ancien",
      "Modifié"),
   "Nouveau"))</f>
        <v>#VALUE!</v>
      </c>
      <c r="AD5849" s="1" t="str">
        <f>IFERROR(IF(Final_Sans_VGE[[#This Row],[ppn_z]]="","",IFERROR(
   IF(_xlfn.XLOOKUP(Final_Sans_VGE[[#This Row],[ppn_z]],tbl_Historique_Final[[#This Row],[ppn_z]],tbl_Historique_Final[[#This Row],[date_modif]])=Final_Sans_VGE[[#This Row],[date_modif]],
      "Ancien",
      "Modifié"),
   "Nouveau")),"")</f>
        <v/>
      </c>
    </row>
    <row r="5850" spans="24:30" x14ac:dyDescent="0.25">
      <c r="X5850" s="8" t="e">
        <f>IF(Final_Sans_VGE[[#This Row],[ppn_z]]="","",IFERROR(
   IF(_xlfn.XLOOKUP(Final_Sans_VGE[[#This Row],[ppn_z]],tbl_Historique_Final[ppn_z],tbl_Historique_Final[date_modif])=Final_Sans_VGE[[#This Row],[date_modif]],
      "Ancien",
      "Modifié"),
   "Nouveau"))</f>
        <v>#VALUE!</v>
      </c>
      <c r="AD5850" s="1" t="str">
        <f>IFERROR(IF(Final_Sans_VGE[[#This Row],[ppn_z]]="","",IFERROR(
   IF(_xlfn.XLOOKUP(Final_Sans_VGE[[#This Row],[ppn_z]],tbl_Historique_Final[[#This Row],[ppn_z]],tbl_Historique_Final[[#This Row],[date_modif]])=Final_Sans_VGE[[#This Row],[date_modif]],
      "Ancien",
      "Modifié"),
   "Nouveau")),"")</f>
        <v/>
      </c>
    </row>
    <row r="5851" spans="24:30" x14ac:dyDescent="0.25">
      <c r="X5851" s="8" t="e">
        <f>IF(Final_Sans_VGE[[#This Row],[ppn_z]]="","",IFERROR(
   IF(_xlfn.XLOOKUP(Final_Sans_VGE[[#This Row],[ppn_z]],tbl_Historique_Final[ppn_z],tbl_Historique_Final[date_modif])=Final_Sans_VGE[[#This Row],[date_modif]],
      "Ancien",
      "Modifié"),
   "Nouveau"))</f>
        <v>#VALUE!</v>
      </c>
      <c r="AD5851" s="1" t="str">
        <f>IFERROR(IF(Final_Sans_VGE[[#This Row],[ppn_z]]="","",IFERROR(
   IF(_xlfn.XLOOKUP(Final_Sans_VGE[[#This Row],[ppn_z]],tbl_Historique_Final[[#This Row],[ppn_z]],tbl_Historique_Final[[#This Row],[date_modif]])=Final_Sans_VGE[[#This Row],[date_modif]],
      "Ancien",
      "Modifié"),
   "Nouveau")),"")</f>
        <v/>
      </c>
    </row>
    <row r="5852" spans="24:30" x14ac:dyDescent="0.25">
      <c r="X5852" s="8" t="e">
        <f>IF(Final_Sans_VGE[[#This Row],[ppn_z]]="","",IFERROR(
   IF(_xlfn.XLOOKUP(Final_Sans_VGE[[#This Row],[ppn_z]],tbl_Historique_Final[ppn_z],tbl_Historique_Final[date_modif])=Final_Sans_VGE[[#This Row],[date_modif]],
      "Ancien",
      "Modifié"),
   "Nouveau"))</f>
        <v>#VALUE!</v>
      </c>
      <c r="AD5852" s="1" t="str">
        <f>IFERROR(IF(Final_Sans_VGE[[#This Row],[ppn_z]]="","",IFERROR(
   IF(_xlfn.XLOOKUP(Final_Sans_VGE[[#This Row],[ppn_z]],tbl_Historique_Final[[#This Row],[ppn_z]],tbl_Historique_Final[[#This Row],[date_modif]])=Final_Sans_VGE[[#This Row],[date_modif]],
      "Ancien",
      "Modifié"),
   "Nouveau")),"")</f>
        <v/>
      </c>
    </row>
    <row r="5853" spans="24:30" x14ac:dyDescent="0.25">
      <c r="X5853" s="8" t="e">
        <f>IF(Final_Sans_VGE[[#This Row],[ppn_z]]="","",IFERROR(
   IF(_xlfn.XLOOKUP(Final_Sans_VGE[[#This Row],[ppn_z]],tbl_Historique_Final[ppn_z],tbl_Historique_Final[date_modif])=Final_Sans_VGE[[#This Row],[date_modif]],
      "Ancien",
      "Modifié"),
   "Nouveau"))</f>
        <v>#VALUE!</v>
      </c>
      <c r="AD5853" s="1" t="str">
        <f>IFERROR(IF(Final_Sans_VGE[[#This Row],[ppn_z]]="","",IFERROR(
   IF(_xlfn.XLOOKUP(Final_Sans_VGE[[#This Row],[ppn_z]],tbl_Historique_Final[[#This Row],[ppn_z]],tbl_Historique_Final[[#This Row],[date_modif]])=Final_Sans_VGE[[#This Row],[date_modif]],
      "Ancien",
      "Modifié"),
   "Nouveau")),"")</f>
        <v/>
      </c>
    </row>
    <row r="5854" spans="24:30" x14ac:dyDescent="0.25">
      <c r="X5854" s="8" t="e">
        <f>IF(Final_Sans_VGE[[#This Row],[ppn_z]]="","",IFERROR(
   IF(_xlfn.XLOOKUP(Final_Sans_VGE[[#This Row],[ppn_z]],tbl_Historique_Final[ppn_z],tbl_Historique_Final[date_modif])=Final_Sans_VGE[[#This Row],[date_modif]],
      "Ancien",
      "Modifié"),
   "Nouveau"))</f>
        <v>#VALUE!</v>
      </c>
      <c r="AD5854" s="1" t="str">
        <f>IFERROR(IF(Final_Sans_VGE[[#This Row],[ppn_z]]="","",IFERROR(
   IF(_xlfn.XLOOKUP(Final_Sans_VGE[[#This Row],[ppn_z]],tbl_Historique_Final[[#This Row],[ppn_z]],tbl_Historique_Final[[#This Row],[date_modif]])=Final_Sans_VGE[[#This Row],[date_modif]],
      "Ancien",
      "Modifié"),
   "Nouveau")),"")</f>
        <v/>
      </c>
    </row>
    <row r="5855" spans="24:30" x14ac:dyDescent="0.25">
      <c r="X5855" s="8" t="e">
        <f>IF(Final_Sans_VGE[[#This Row],[ppn_z]]="","",IFERROR(
   IF(_xlfn.XLOOKUP(Final_Sans_VGE[[#This Row],[ppn_z]],tbl_Historique_Final[ppn_z],tbl_Historique_Final[date_modif])=Final_Sans_VGE[[#This Row],[date_modif]],
      "Ancien",
      "Modifié"),
   "Nouveau"))</f>
        <v>#VALUE!</v>
      </c>
      <c r="AD5855" s="1" t="str">
        <f>IFERROR(IF(Final_Sans_VGE[[#This Row],[ppn_z]]="","",IFERROR(
   IF(_xlfn.XLOOKUP(Final_Sans_VGE[[#This Row],[ppn_z]],tbl_Historique_Final[[#This Row],[ppn_z]],tbl_Historique_Final[[#This Row],[date_modif]])=Final_Sans_VGE[[#This Row],[date_modif]],
      "Ancien",
      "Modifié"),
   "Nouveau")),"")</f>
        <v/>
      </c>
    </row>
    <row r="5856" spans="24:30" x14ac:dyDescent="0.25">
      <c r="X5856" s="8" t="e">
        <f>IF(Final_Sans_VGE[[#This Row],[ppn_z]]="","",IFERROR(
   IF(_xlfn.XLOOKUP(Final_Sans_VGE[[#This Row],[ppn_z]],tbl_Historique_Final[ppn_z],tbl_Historique_Final[date_modif])=Final_Sans_VGE[[#This Row],[date_modif]],
      "Ancien",
      "Modifié"),
   "Nouveau"))</f>
        <v>#VALUE!</v>
      </c>
      <c r="AD5856" s="1" t="str">
        <f>IFERROR(IF(Final_Sans_VGE[[#This Row],[ppn_z]]="","",IFERROR(
   IF(_xlfn.XLOOKUP(Final_Sans_VGE[[#This Row],[ppn_z]],tbl_Historique_Final[[#This Row],[ppn_z]],tbl_Historique_Final[[#This Row],[date_modif]])=Final_Sans_VGE[[#This Row],[date_modif]],
      "Ancien",
      "Modifié"),
   "Nouveau")),"")</f>
        <v/>
      </c>
    </row>
    <row r="5857" spans="24:30" x14ac:dyDescent="0.25">
      <c r="X5857" s="8" t="e">
        <f>IF(Final_Sans_VGE[[#This Row],[ppn_z]]="","",IFERROR(
   IF(_xlfn.XLOOKUP(Final_Sans_VGE[[#This Row],[ppn_z]],tbl_Historique_Final[ppn_z],tbl_Historique_Final[date_modif])=Final_Sans_VGE[[#This Row],[date_modif]],
      "Ancien",
      "Modifié"),
   "Nouveau"))</f>
        <v>#VALUE!</v>
      </c>
      <c r="AD5857" s="1" t="str">
        <f>IFERROR(IF(Final_Sans_VGE[[#This Row],[ppn_z]]="","",IFERROR(
   IF(_xlfn.XLOOKUP(Final_Sans_VGE[[#This Row],[ppn_z]],tbl_Historique_Final[[#This Row],[ppn_z]],tbl_Historique_Final[[#This Row],[date_modif]])=Final_Sans_VGE[[#This Row],[date_modif]],
      "Ancien",
      "Modifié"),
   "Nouveau")),"")</f>
        <v/>
      </c>
    </row>
    <row r="5858" spans="24:30" x14ac:dyDescent="0.25">
      <c r="X5858" s="8" t="e">
        <f>IF(Final_Sans_VGE[[#This Row],[ppn_z]]="","",IFERROR(
   IF(_xlfn.XLOOKUP(Final_Sans_VGE[[#This Row],[ppn_z]],tbl_Historique_Final[ppn_z],tbl_Historique_Final[date_modif])=Final_Sans_VGE[[#This Row],[date_modif]],
      "Ancien",
      "Modifié"),
   "Nouveau"))</f>
        <v>#VALUE!</v>
      </c>
      <c r="AD5858" s="1" t="str">
        <f>IFERROR(IF(Final_Sans_VGE[[#This Row],[ppn_z]]="","",IFERROR(
   IF(_xlfn.XLOOKUP(Final_Sans_VGE[[#This Row],[ppn_z]],tbl_Historique_Final[[#This Row],[ppn_z]],tbl_Historique_Final[[#This Row],[date_modif]])=Final_Sans_VGE[[#This Row],[date_modif]],
      "Ancien",
      "Modifié"),
   "Nouveau")),"")</f>
        <v/>
      </c>
    </row>
    <row r="5859" spans="24:30" x14ac:dyDescent="0.25">
      <c r="X5859" s="8" t="e">
        <f>IF(Final_Sans_VGE[[#This Row],[ppn_z]]="","",IFERROR(
   IF(_xlfn.XLOOKUP(Final_Sans_VGE[[#This Row],[ppn_z]],tbl_Historique_Final[ppn_z],tbl_Historique_Final[date_modif])=Final_Sans_VGE[[#This Row],[date_modif]],
      "Ancien",
      "Modifié"),
   "Nouveau"))</f>
        <v>#VALUE!</v>
      </c>
      <c r="AD5859" s="1" t="str">
        <f>IFERROR(IF(Final_Sans_VGE[[#This Row],[ppn_z]]="","",IFERROR(
   IF(_xlfn.XLOOKUP(Final_Sans_VGE[[#This Row],[ppn_z]],tbl_Historique_Final[[#This Row],[ppn_z]],tbl_Historique_Final[[#This Row],[date_modif]])=Final_Sans_VGE[[#This Row],[date_modif]],
      "Ancien",
      "Modifié"),
   "Nouveau")),"")</f>
        <v/>
      </c>
    </row>
    <row r="5860" spans="24:30" x14ac:dyDescent="0.25">
      <c r="X5860" s="8" t="e">
        <f>IF(Final_Sans_VGE[[#This Row],[ppn_z]]="","",IFERROR(
   IF(_xlfn.XLOOKUP(Final_Sans_VGE[[#This Row],[ppn_z]],tbl_Historique_Final[ppn_z],tbl_Historique_Final[date_modif])=Final_Sans_VGE[[#This Row],[date_modif]],
      "Ancien",
      "Modifié"),
   "Nouveau"))</f>
        <v>#VALUE!</v>
      </c>
      <c r="AD5860" s="1" t="str">
        <f>IFERROR(IF(Final_Sans_VGE[[#This Row],[ppn_z]]="","",IFERROR(
   IF(_xlfn.XLOOKUP(Final_Sans_VGE[[#This Row],[ppn_z]],tbl_Historique_Final[[#This Row],[ppn_z]],tbl_Historique_Final[[#This Row],[date_modif]])=Final_Sans_VGE[[#This Row],[date_modif]],
      "Ancien",
      "Modifié"),
   "Nouveau")),"")</f>
        <v/>
      </c>
    </row>
    <row r="5861" spans="24:30" x14ac:dyDescent="0.25">
      <c r="X5861" s="8" t="e">
        <f>IF(Final_Sans_VGE[[#This Row],[ppn_z]]="","",IFERROR(
   IF(_xlfn.XLOOKUP(Final_Sans_VGE[[#This Row],[ppn_z]],tbl_Historique_Final[ppn_z],tbl_Historique_Final[date_modif])=Final_Sans_VGE[[#This Row],[date_modif]],
      "Ancien",
      "Modifié"),
   "Nouveau"))</f>
        <v>#VALUE!</v>
      </c>
      <c r="AD5861" s="1" t="str">
        <f>IFERROR(IF(Final_Sans_VGE[[#This Row],[ppn_z]]="","",IFERROR(
   IF(_xlfn.XLOOKUP(Final_Sans_VGE[[#This Row],[ppn_z]],tbl_Historique_Final[[#This Row],[ppn_z]],tbl_Historique_Final[[#This Row],[date_modif]])=Final_Sans_VGE[[#This Row],[date_modif]],
      "Ancien",
      "Modifié"),
   "Nouveau")),"")</f>
        <v/>
      </c>
    </row>
    <row r="5862" spans="24:30" x14ac:dyDescent="0.25">
      <c r="X5862" s="8" t="e">
        <f>IF(Final_Sans_VGE[[#This Row],[ppn_z]]="","",IFERROR(
   IF(_xlfn.XLOOKUP(Final_Sans_VGE[[#This Row],[ppn_z]],tbl_Historique_Final[ppn_z],tbl_Historique_Final[date_modif])=Final_Sans_VGE[[#This Row],[date_modif]],
      "Ancien",
      "Modifié"),
   "Nouveau"))</f>
        <v>#VALUE!</v>
      </c>
      <c r="AD5862" s="1" t="str">
        <f>IFERROR(IF(Final_Sans_VGE[[#This Row],[ppn_z]]="","",IFERROR(
   IF(_xlfn.XLOOKUP(Final_Sans_VGE[[#This Row],[ppn_z]],tbl_Historique_Final[[#This Row],[ppn_z]],tbl_Historique_Final[[#This Row],[date_modif]])=Final_Sans_VGE[[#This Row],[date_modif]],
      "Ancien",
      "Modifié"),
   "Nouveau")),"")</f>
        <v/>
      </c>
    </row>
    <row r="5863" spans="24:30" x14ac:dyDescent="0.25">
      <c r="X5863" s="8" t="e">
        <f>IF(Final_Sans_VGE[[#This Row],[ppn_z]]="","",IFERROR(
   IF(_xlfn.XLOOKUP(Final_Sans_VGE[[#This Row],[ppn_z]],tbl_Historique_Final[ppn_z],tbl_Historique_Final[date_modif])=Final_Sans_VGE[[#This Row],[date_modif]],
      "Ancien",
      "Modifié"),
   "Nouveau"))</f>
        <v>#VALUE!</v>
      </c>
      <c r="AD5863" s="1" t="str">
        <f>IFERROR(IF(Final_Sans_VGE[[#This Row],[ppn_z]]="","",IFERROR(
   IF(_xlfn.XLOOKUP(Final_Sans_VGE[[#This Row],[ppn_z]],tbl_Historique_Final[[#This Row],[ppn_z]],tbl_Historique_Final[[#This Row],[date_modif]])=Final_Sans_VGE[[#This Row],[date_modif]],
      "Ancien",
      "Modifié"),
   "Nouveau")),"")</f>
        <v/>
      </c>
    </row>
    <row r="5864" spans="24:30" x14ac:dyDescent="0.25">
      <c r="X5864" s="8" t="e">
        <f>IF(Final_Sans_VGE[[#This Row],[ppn_z]]="","",IFERROR(
   IF(_xlfn.XLOOKUP(Final_Sans_VGE[[#This Row],[ppn_z]],tbl_Historique_Final[ppn_z],tbl_Historique_Final[date_modif])=Final_Sans_VGE[[#This Row],[date_modif]],
      "Ancien",
      "Modifié"),
   "Nouveau"))</f>
        <v>#VALUE!</v>
      </c>
      <c r="AD5864" s="1" t="str">
        <f>IFERROR(IF(Final_Sans_VGE[[#This Row],[ppn_z]]="","",IFERROR(
   IF(_xlfn.XLOOKUP(Final_Sans_VGE[[#This Row],[ppn_z]],tbl_Historique_Final[[#This Row],[ppn_z]],tbl_Historique_Final[[#This Row],[date_modif]])=Final_Sans_VGE[[#This Row],[date_modif]],
      "Ancien",
      "Modifié"),
   "Nouveau")),"")</f>
        <v/>
      </c>
    </row>
    <row r="5865" spans="24:30" x14ac:dyDescent="0.25">
      <c r="X5865" s="8" t="e">
        <f>IF(Final_Sans_VGE[[#This Row],[ppn_z]]="","",IFERROR(
   IF(_xlfn.XLOOKUP(Final_Sans_VGE[[#This Row],[ppn_z]],tbl_Historique_Final[ppn_z],tbl_Historique_Final[date_modif])=Final_Sans_VGE[[#This Row],[date_modif]],
      "Ancien",
      "Modifié"),
   "Nouveau"))</f>
        <v>#VALUE!</v>
      </c>
      <c r="AD5865" s="1" t="str">
        <f>IFERROR(IF(Final_Sans_VGE[[#This Row],[ppn_z]]="","",IFERROR(
   IF(_xlfn.XLOOKUP(Final_Sans_VGE[[#This Row],[ppn_z]],tbl_Historique_Final[[#This Row],[ppn_z]],tbl_Historique_Final[[#This Row],[date_modif]])=Final_Sans_VGE[[#This Row],[date_modif]],
      "Ancien",
      "Modifié"),
   "Nouveau")),"")</f>
        <v/>
      </c>
    </row>
    <row r="5866" spans="24:30" x14ac:dyDescent="0.25">
      <c r="X5866" s="8" t="e">
        <f>IF(Final_Sans_VGE[[#This Row],[ppn_z]]="","",IFERROR(
   IF(_xlfn.XLOOKUP(Final_Sans_VGE[[#This Row],[ppn_z]],tbl_Historique_Final[ppn_z],tbl_Historique_Final[date_modif])=Final_Sans_VGE[[#This Row],[date_modif]],
      "Ancien",
      "Modifié"),
   "Nouveau"))</f>
        <v>#VALUE!</v>
      </c>
      <c r="AD5866" s="1" t="str">
        <f>IFERROR(IF(Final_Sans_VGE[[#This Row],[ppn_z]]="","",IFERROR(
   IF(_xlfn.XLOOKUP(Final_Sans_VGE[[#This Row],[ppn_z]],tbl_Historique_Final[[#This Row],[ppn_z]],tbl_Historique_Final[[#This Row],[date_modif]])=Final_Sans_VGE[[#This Row],[date_modif]],
      "Ancien",
      "Modifié"),
   "Nouveau")),"")</f>
        <v/>
      </c>
    </row>
    <row r="5867" spans="24:30" x14ac:dyDescent="0.25">
      <c r="X5867" s="8" t="e">
        <f>IF(Final_Sans_VGE[[#This Row],[ppn_z]]="","",IFERROR(
   IF(_xlfn.XLOOKUP(Final_Sans_VGE[[#This Row],[ppn_z]],tbl_Historique_Final[ppn_z],tbl_Historique_Final[date_modif])=Final_Sans_VGE[[#This Row],[date_modif]],
      "Ancien",
      "Modifié"),
   "Nouveau"))</f>
        <v>#VALUE!</v>
      </c>
      <c r="AD5867" s="1" t="str">
        <f>IFERROR(IF(Final_Sans_VGE[[#This Row],[ppn_z]]="","",IFERROR(
   IF(_xlfn.XLOOKUP(Final_Sans_VGE[[#This Row],[ppn_z]],tbl_Historique_Final[[#This Row],[ppn_z]],tbl_Historique_Final[[#This Row],[date_modif]])=Final_Sans_VGE[[#This Row],[date_modif]],
      "Ancien",
      "Modifié"),
   "Nouveau")),"")</f>
        <v/>
      </c>
    </row>
    <row r="5868" spans="24:30" x14ac:dyDescent="0.25">
      <c r="X5868" s="8" t="e">
        <f>IF(Final_Sans_VGE[[#This Row],[ppn_z]]="","",IFERROR(
   IF(_xlfn.XLOOKUP(Final_Sans_VGE[[#This Row],[ppn_z]],tbl_Historique_Final[ppn_z],tbl_Historique_Final[date_modif])=Final_Sans_VGE[[#This Row],[date_modif]],
      "Ancien",
      "Modifié"),
   "Nouveau"))</f>
        <v>#VALUE!</v>
      </c>
      <c r="AD5868" s="1" t="str">
        <f>IFERROR(IF(Final_Sans_VGE[[#This Row],[ppn_z]]="","",IFERROR(
   IF(_xlfn.XLOOKUP(Final_Sans_VGE[[#This Row],[ppn_z]],tbl_Historique_Final[[#This Row],[ppn_z]],tbl_Historique_Final[[#This Row],[date_modif]])=Final_Sans_VGE[[#This Row],[date_modif]],
      "Ancien",
      "Modifié"),
   "Nouveau")),"")</f>
        <v/>
      </c>
    </row>
    <row r="5869" spans="24:30" x14ac:dyDescent="0.25">
      <c r="X5869" s="8" t="e">
        <f>IF(Final_Sans_VGE[[#This Row],[ppn_z]]="","",IFERROR(
   IF(_xlfn.XLOOKUP(Final_Sans_VGE[[#This Row],[ppn_z]],tbl_Historique_Final[ppn_z],tbl_Historique_Final[date_modif])=Final_Sans_VGE[[#This Row],[date_modif]],
      "Ancien",
      "Modifié"),
   "Nouveau"))</f>
        <v>#VALUE!</v>
      </c>
      <c r="AD5869" s="1" t="str">
        <f>IFERROR(IF(Final_Sans_VGE[[#This Row],[ppn_z]]="","",IFERROR(
   IF(_xlfn.XLOOKUP(Final_Sans_VGE[[#This Row],[ppn_z]],tbl_Historique_Final[[#This Row],[ppn_z]],tbl_Historique_Final[[#This Row],[date_modif]])=Final_Sans_VGE[[#This Row],[date_modif]],
      "Ancien",
      "Modifié"),
   "Nouveau")),"")</f>
        <v/>
      </c>
    </row>
    <row r="5870" spans="24:30" x14ac:dyDescent="0.25">
      <c r="X5870" s="8" t="e">
        <f>IF(Final_Sans_VGE[[#This Row],[ppn_z]]="","",IFERROR(
   IF(_xlfn.XLOOKUP(Final_Sans_VGE[[#This Row],[ppn_z]],tbl_Historique_Final[ppn_z],tbl_Historique_Final[date_modif])=Final_Sans_VGE[[#This Row],[date_modif]],
      "Ancien",
      "Modifié"),
   "Nouveau"))</f>
        <v>#VALUE!</v>
      </c>
      <c r="AD5870" s="1" t="str">
        <f>IFERROR(IF(Final_Sans_VGE[[#This Row],[ppn_z]]="","",IFERROR(
   IF(_xlfn.XLOOKUP(Final_Sans_VGE[[#This Row],[ppn_z]],tbl_Historique_Final[[#This Row],[ppn_z]],tbl_Historique_Final[[#This Row],[date_modif]])=Final_Sans_VGE[[#This Row],[date_modif]],
      "Ancien",
      "Modifié"),
   "Nouveau")),"")</f>
        <v/>
      </c>
    </row>
    <row r="5871" spans="24:30" x14ac:dyDescent="0.25">
      <c r="X5871" s="8" t="e">
        <f>IF(Final_Sans_VGE[[#This Row],[ppn_z]]="","",IFERROR(
   IF(_xlfn.XLOOKUP(Final_Sans_VGE[[#This Row],[ppn_z]],tbl_Historique_Final[ppn_z],tbl_Historique_Final[date_modif])=Final_Sans_VGE[[#This Row],[date_modif]],
      "Ancien",
      "Modifié"),
   "Nouveau"))</f>
        <v>#VALUE!</v>
      </c>
      <c r="AD5871" s="1" t="str">
        <f>IFERROR(IF(Final_Sans_VGE[[#This Row],[ppn_z]]="","",IFERROR(
   IF(_xlfn.XLOOKUP(Final_Sans_VGE[[#This Row],[ppn_z]],tbl_Historique_Final[[#This Row],[ppn_z]],tbl_Historique_Final[[#This Row],[date_modif]])=Final_Sans_VGE[[#This Row],[date_modif]],
      "Ancien",
      "Modifié"),
   "Nouveau")),"")</f>
        <v/>
      </c>
    </row>
    <row r="5872" spans="24:30" x14ac:dyDescent="0.25">
      <c r="X5872" s="8" t="e">
        <f>IF(Final_Sans_VGE[[#This Row],[ppn_z]]="","",IFERROR(
   IF(_xlfn.XLOOKUP(Final_Sans_VGE[[#This Row],[ppn_z]],tbl_Historique_Final[ppn_z],tbl_Historique_Final[date_modif])=Final_Sans_VGE[[#This Row],[date_modif]],
      "Ancien",
      "Modifié"),
   "Nouveau"))</f>
        <v>#VALUE!</v>
      </c>
      <c r="AD5872" s="1" t="str">
        <f>IFERROR(IF(Final_Sans_VGE[[#This Row],[ppn_z]]="","",IFERROR(
   IF(_xlfn.XLOOKUP(Final_Sans_VGE[[#This Row],[ppn_z]],tbl_Historique_Final[[#This Row],[ppn_z]],tbl_Historique_Final[[#This Row],[date_modif]])=Final_Sans_VGE[[#This Row],[date_modif]],
      "Ancien",
      "Modifié"),
   "Nouveau")),"")</f>
        <v/>
      </c>
    </row>
    <row r="5873" spans="24:30" x14ac:dyDescent="0.25">
      <c r="X5873" s="8" t="e">
        <f>IF(Final_Sans_VGE[[#This Row],[ppn_z]]="","",IFERROR(
   IF(_xlfn.XLOOKUP(Final_Sans_VGE[[#This Row],[ppn_z]],tbl_Historique_Final[ppn_z],tbl_Historique_Final[date_modif])=Final_Sans_VGE[[#This Row],[date_modif]],
      "Ancien",
      "Modifié"),
   "Nouveau"))</f>
        <v>#VALUE!</v>
      </c>
      <c r="AD5873" s="1" t="str">
        <f>IFERROR(IF(Final_Sans_VGE[[#This Row],[ppn_z]]="","",IFERROR(
   IF(_xlfn.XLOOKUP(Final_Sans_VGE[[#This Row],[ppn_z]],tbl_Historique_Final[[#This Row],[ppn_z]],tbl_Historique_Final[[#This Row],[date_modif]])=Final_Sans_VGE[[#This Row],[date_modif]],
      "Ancien",
      "Modifié"),
   "Nouveau")),"")</f>
        <v/>
      </c>
    </row>
    <row r="5874" spans="24:30" x14ac:dyDescent="0.25">
      <c r="X5874" s="8" t="e">
        <f>IF(Final_Sans_VGE[[#This Row],[ppn_z]]="","",IFERROR(
   IF(_xlfn.XLOOKUP(Final_Sans_VGE[[#This Row],[ppn_z]],tbl_Historique_Final[ppn_z],tbl_Historique_Final[date_modif])=Final_Sans_VGE[[#This Row],[date_modif]],
      "Ancien",
      "Modifié"),
   "Nouveau"))</f>
        <v>#VALUE!</v>
      </c>
      <c r="AD5874" s="1" t="str">
        <f>IFERROR(IF(Final_Sans_VGE[[#This Row],[ppn_z]]="","",IFERROR(
   IF(_xlfn.XLOOKUP(Final_Sans_VGE[[#This Row],[ppn_z]],tbl_Historique_Final[[#This Row],[ppn_z]],tbl_Historique_Final[[#This Row],[date_modif]])=Final_Sans_VGE[[#This Row],[date_modif]],
      "Ancien",
      "Modifié"),
   "Nouveau")),"")</f>
        <v/>
      </c>
    </row>
    <row r="5875" spans="24:30" x14ac:dyDescent="0.25">
      <c r="X5875" s="8" t="e">
        <f>IF(Final_Sans_VGE[[#This Row],[ppn_z]]="","",IFERROR(
   IF(_xlfn.XLOOKUP(Final_Sans_VGE[[#This Row],[ppn_z]],tbl_Historique_Final[ppn_z],tbl_Historique_Final[date_modif])=Final_Sans_VGE[[#This Row],[date_modif]],
      "Ancien",
      "Modifié"),
   "Nouveau"))</f>
        <v>#VALUE!</v>
      </c>
      <c r="AD5875" s="1" t="str">
        <f>IFERROR(IF(Final_Sans_VGE[[#This Row],[ppn_z]]="","",IFERROR(
   IF(_xlfn.XLOOKUP(Final_Sans_VGE[[#This Row],[ppn_z]],tbl_Historique_Final[[#This Row],[ppn_z]],tbl_Historique_Final[[#This Row],[date_modif]])=Final_Sans_VGE[[#This Row],[date_modif]],
      "Ancien",
      "Modifié"),
   "Nouveau")),"")</f>
        <v/>
      </c>
    </row>
    <row r="5876" spans="24:30" x14ac:dyDescent="0.25">
      <c r="X5876" s="8" t="e">
        <f>IF(Final_Sans_VGE[[#This Row],[ppn_z]]="","",IFERROR(
   IF(_xlfn.XLOOKUP(Final_Sans_VGE[[#This Row],[ppn_z]],tbl_Historique_Final[ppn_z],tbl_Historique_Final[date_modif])=Final_Sans_VGE[[#This Row],[date_modif]],
      "Ancien",
      "Modifié"),
   "Nouveau"))</f>
        <v>#VALUE!</v>
      </c>
      <c r="AD5876" s="1" t="str">
        <f>IFERROR(IF(Final_Sans_VGE[[#This Row],[ppn_z]]="","",IFERROR(
   IF(_xlfn.XLOOKUP(Final_Sans_VGE[[#This Row],[ppn_z]],tbl_Historique_Final[[#This Row],[ppn_z]],tbl_Historique_Final[[#This Row],[date_modif]])=Final_Sans_VGE[[#This Row],[date_modif]],
      "Ancien",
      "Modifié"),
   "Nouveau")),"")</f>
        <v/>
      </c>
    </row>
    <row r="5877" spans="24:30" x14ac:dyDescent="0.25">
      <c r="X5877" s="8" t="e">
        <f>IF(Final_Sans_VGE[[#This Row],[ppn_z]]="","",IFERROR(
   IF(_xlfn.XLOOKUP(Final_Sans_VGE[[#This Row],[ppn_z]],tbl_Historique_Final[ppn_z],tbl_Historique_Final[date_modif])=Final_Sans_VGE[[#This Row],[date_modif]],
      "Ancien",
      "Modifié"),
   "Nouveau"))</f>
        <v>#VALUE!</v>
      </c>
      <c r="AD5877" s="1" t="str">
        <f>IFERROR(IF(Final_Sans_VGE[[#This Row],[ppn_z]]="","",IFERROR(
   IF(_xlfn.XLOOKUP(Final_Sans_VGE[[#This Row],[ppn_z]],tbl_Historique_Final[[#This Row],[ppn_z]],tbl_Historique_Final[[#This Row],[date_modif]])=Final_Sans_VGE[[#This Row],[date_modif]],
      "Ancien",
      "Modifié"),
   "Nouveau")),"")</f>
        <v/>
      </c>
    </row>
    <row r="5878" spans="24:30" x14ac:dyDescent="0.25">
      <c r="X5878" s="8" t="e">
        <f>IF(Final_Sans_VGE[[#This Row],[ppn_z]]="","",IFERROR(
   IF(_xlfn.XLOOKUP(Final_Sans_VGE[[#This Row],[ppn_z]],tbl_Historique_Final[ppn_z],tbl_Historique_Final[date_modif])=Final_Sans_VGE[[#This Row],[date_modif]],
      "Ancien",
      "Modifié"),
   "Nouveau"))</f>
        <v>#VALUE!</v>
      </c>
      <c r="AD5878" s="1" t="str">
        <f>IFERROR(IF(Final_Sans_VGE[[#This Row],[ppn_z]]="","",IFERROR(
   IF(_xlfn.XLOOKUP(Final_Sans_VGE[[#This Row],[ppn_z]],tbl_Historique_Final[[#This Row],[ppn_z]],tbl_Historique_Final[[#This Row],[date_modif]])=Final_Sans_VGE[[#This Row],[date_modif]],
      "Ancien",
      "Modifié"),
   "Nouveau")),"")</f>
        <v/>
      </c>
    </row>
    <row r="5879" spans="24:30" x14ac:dyDescent="0.25">
      <c r="X5879" s="8" t="e">
        <f>IF(Final_Sans_VGE[[#This Row],[ppn_z]]="","",IFERROR(
   IF(_xlfn.XLOOKUP(Final_Sans_VGE[[#This Row],[ppn_z]],tbl_Historique_Final[ppn_z],tbl_Historique_Final[date_modif])=Final_Sans_VGE[[#This Row],[date_modif]],
      "Ancien",
      "Modifié"),
   "Nouveau"))</f>
        <v>#VALUE!</v>
      </c>
      <c r="AD5879" s="1" t="str">
        <f>IFERROR(IF(Final_Sans_VGE[[#This Row],[ppn_z]]="","",IFERROR(
   IF(_xlfn.XLOOKUP(Final_Sans_VGE[[#This Row],[ppn_z]],tbl_Historique_Final[[#This Row],[ppn_z]],tbl_Historique_Final[[#This Row],[date_modif]])=Final_Sans_VGE[[#This Row],[date_modif]],
      "Ancien",
      "Modifié"),
   "Nouveau")),"")</f>
        <v/>
      </c>
    </row>
    <row r="5880" spans="24:30" x14ac:dyDescent="0.25">
      <c r="X5880" s="8" t="e">
        <f>IF(Final_Sans_VGE[[#This Row],[ppn_z]]="","",IFERROR(
   IF(_xlfn.XLOOKUP(Final_Sans_VGE[[#This Row],[ppn_z]],tbl_Historique_Final[ppn_z],tbl_Historique_Final[date_modif])=Final_Sans_VGE[[#This Row],[date_modif]],
      "Ancien",
      "Modifié"),
   "Nouveau"))</f>
        <v>#VALUE!</v>
      </c>
      <c r="AD5880" s="1" t="str">
        <f>IFERROR(IF(Final_Sans_VGE[[#This Row],[ppn_z]]="","",IFERROR(
   IF(_xlfn.XLOOKUP(Final_Sans_VGE[[#This Row],[ppn_z]],tbl_Historique_Final[[#This Row],[ppn_z]],tbl_Historique_Final[[#This Row],[date_modif]])=Final_Sans_VGE[[#This Row],[date_modif]],
      "Ancien",
      "Modifié"),
   "Nouveau")),"")</f>
        <v/>
      </c>
    </row>
    <row r="5881" spans="24:30" x14ac:dyDescent="0.25">
      <c r="X5881" s="8" t="e">
        <f>IF(Final_Sans_VGE[[#This Row],[ppn_z]]="","",IFERROR(
   IF(_xlfn.XLOOKUP(Final_Sans_VGE[[#This Row],[ppn_z]],tbl_Historique_Final[ppn_z],tbl_Historique_Final[date_modif])=Final_Sans_VGE[[#This Row],[date_modif]],
      "Ancien",
      "Modifié"),
   "Nouveau"))</f>
        <v>#VALUE!</v>
      </c>
      <c r="AD5881" s="1" t="str">
        <f>IFERROR(IF(Final_Sans_VGE[[#This Row],[ppn_z]]="","",IFERROR(
   IF(_xlfn.XLOOKUP(Final_Sans_VGE[[#This Row],[ppn_z]],tbl_Historique_Final[[#This Row],[ppn_z]],tbl_Historique_Final[[#This Row],[date_modif]])=Final_Sans_VGE[[#This Row],[date_modif]],
      "Ancien",
      "Modifié"),
   "Nouveau")),"")</f>
        <v/>
      </c>
    </row>
    <row r="5882" spans="24:30" x14ac:dyDescent="0.25">
      <c r="X5882" s="8" t="e">
        <f>IF(Final_Sans_VGE[[#This Row],[ppn_z]]="","",IFERROR(
   IF(_xlfn.XLOOKUP(Final_Sans_VGE[[#This Row],[ppn_z]],tbl_Historique_Final[ppn_z],tbl_Historique_Final[date_modif])=Final_Sans_VGE[[#This Row],[date_modif]],
      "Ancien",
      "Modifié"),
   "Nouveau"))</f>
        <v>#VALUE!</v>
      </c>
      <c r="AD5882" s="1" t="str">
        <f>IFERROR(IF(Final_Sans_VGE[[#This Row],[ppn_z]]="","",IFERROR(
   IF(_xlfn.XLOOKUP(Final_Sans_VGE[[#This Row],[ppn_z]],tbl_Historique_Final[[#This Row],[ppn_z]],tbl_Historique_Final[[#This Row],[date_modif]])=Final_Sans_VGE[[#This Row],[date_modif]],
      "Ancien",
      "Modifié"),
   "Nouveau")),"")</f>
        <v/>
      </c>
    </row>
    <row r="5883" spans="24:30" x14ac:dyDescent="0.25">
      <c r="X5883" s="8" t="e">
        <f>IF(Final_Sans_VGE[[#This Row],[ppn_z]]="","",IFERROR(
   IF(_xlfn.XLOOKUP(Final_Sans_VGE[[#This Row],[ppn_z]],tbl_Historique_Final[ppn_z],tbl_Historique_Final[date_modif])=Final_Sans_VGE[[#This Row],[date_modif]],
      "Ancien",
      "Modifié"),
   "Nouveau"))</f>
        <v>#VALUE!</v>
      </c>
      <c r="AD5883" s="1" t="str">
        <f>IFERROR(IF(Final_Sans_VGE[[#This Row],[ppn_z]]="","",IFERROR(
   IF(_xlfn.XLOOKUP(Final_Sans_VGE[[#This Row],[ppn_z]],tbl_Historique_Final[[#This Row],[ppn_z]],tbl_Historique_Final[[#This Row],[date_modif]])=Final_Sans_VGE[[#This Row],[date_modif]],
      "Ancien",
      "Modifié"),
   "Nouveau")),"")</f>
        <v/>
      </c>
    </row>
    <row r="5884" spans="24:30" x14ac:dyDescent="0.25">
      <c r="X5884" s="8" t="e">
        <f>IF(Final_Sans_VGE[[#This Row],[ppn_z]]="","",IFERROR(
   IF(_xlfn.XLOOKUP(Final_Sans_VGE[[#This Row],[ppn_z]],tbl_Historique_Final[ppn_z],tbl_Historique_Final[date_modif])=Final_Sans_VGE[[#This Row],[date_modif]],
      "Ancien",
      "Modifié"),
   "Nouveau"))</f>
        <v>#VALUE!</v>
      </c>
      <c r="AD5884" s="1" t="str">
        <f>IFERROR(IF(Final_Sans_VGE[[#This Row],[ppn_z]]="","",IFERROR(
   IF(_xlfn.XLOOKUP(Final_Sans_VGE[[#This Row],[ppn_z]],tbl_Historique_Final[[#This Row],[ppn_z]],tbl_Historique_Final[[#This Row],[date_modif]])=Final_Sans_VGE[[#This Row],[date_modif]],
      "Ancien",
      "Modifié"),
   "Nouveau")),"")</f>
        <v/>
      </c>
    </row>
    <row r="5885" spans="24:30" x14ac:dyDescent="0.25">
      <c r="X5885" s="8" t="e">
        <f>IF(Final_Sans_VGE[[#This Row],[ppn_z]]="","",IFERROR(
   IF(_xlfn.XLOOKUP(Final_Sans_VGE[[#This Row],[ppn_z]],tbl_Historique_Final[ppn_z],tbl_Historique_Final[date_modif])=Final_Sans_VGE[[#This Row],[date_modif]],
      "Ancien",
      "Modifié"),
   "Nouveau"))</f>
        <v>#VALUE!</v>
      </c>
      <c r="AD5885" s="1" t="str">
        <f>IFERROR(IF(Final_Sans_VGE[[#This Row],[ppn_z]]="","",IFERROR(
   IF(_xlfn.XLOOKUP(Final_Sans_VGE[[#This Row],[ppn_z]],tbl_Historique_Final[[#This Row],[ppn_z]],tbl_Historique_Final[[#This Row],[date_modif]])=Final_Sans_VGE[[#This Row],[date_modif]],
      "Ancien",
      "Modifié"),
   "Nouveau")),"")</f>
        <v/>
      </c>
    </row>
    <row r="5886" spans="24:30" x14ac:dyDescent="0.25">
      <c r="X5886" s="8" t="e">
        <f>IF(Final_Sans_VGE[[#This Row],[ppn_z]]="","",IFERROR(
   IF(_xlfn.XLOOKUP(Final_Sans_VGE[[#This Row],[ppn_z]],tbl_Historique_Final[ppn_z],tbl_Historique_Final[date_modif])=Final_Sans_VGE[[#This Row],[date_modif]],
      "Ancien",
      "Modifié"),
   "Nouveau"))</f>
        <v>#VALUE!</v>
      </c>
      <c r="AD5886" s="1" t="str">
        <f>IFERROR(IF(Final_Sans_VGE[[#This Row],[ppn_z]]="","",IFERROR(
   IF(_xlfn.XLOOKUP(Final_Sans_VGE[[#This Row],[ppn_z]],tbl_Historique_Final[[#This Row],[ppn_z]],tbl_Historique_Final[[#This Row],[date_modif]])=Final_Sans_VGE[[#This Row],[date_modif]],
      "Ancien",
      "Modifié"),
   "Nouveau")),"")</f>
        <v/>
      </c>
    </row>
    <row r="5887" spans="24:30" x14ac:dyDescent="0.25">
      <c r="X5887" s="8" t="e">
        <f>IF(Final_Sans_VGE[[#This Row],[ppn_z]]="","",IFERROR(
   IF(_xlfn.XLOOKUP(Final_Sans_VGE[[#This Row],[ppn_z]],tbl_Historique_Final[ppn_z],tbl_Historique_Final[date_modif])=Final_Sans_VGE[[#This Row],[date_modif]],
      "Ancien",
      "Modifié"),
   "Nouveau"))</f>
        <v>#VALUE!</v>
      </c>
      <c r="AD5887" s="1" t="str">
        <f>IFERROR(IF(Final_Sans_VGE[[#This Row],[ppn_z]]="","",IFERROR(
   IF(_xlfn.XLOOKUP(Final_Sans_VGE[[#This Row],[ppn_z]],tbl_Historique_Final[[#This Row],[ppn_z]],tbl_Historique_Final[[#This Row],[date_modif]])=Final_Sans_VGE[[#This Row],[date_modif]],
      "Ancien",
      "Modifié"),
   "Nouveau")),"")</f>
        <v/>
      </c>
    </row>
    <row r="5888" spans="24:30" x14ac:dyDescent="0.25">
      <c r="X5888" s="8" t="e">
        <f>IF(Final_Sans_VGE[[#This Row],[ppn_z]]="","",IFERROR(
   IF(_xlfn.XLOOKUP(Final_Sans_VGE[[#This Row],[ppn_z]],tbl_Historique_Final[ppn_z],tbl_Historique_Final[date_modif])=Final_Sans_VGE[[#This Row],[date_modif]],
      "Ancien",
      "Modifié"),
   "Nouveau"))</f>
        <v>#VALUE!</v>
      </c>
      <c r="AD5888" s="1" t="str">
        <f>IFERROR(IF(Final_Sans_VGE[[#This Row],[ppn_z]]="","",IFERROR(
   IF(_xlfn.XLOOKUP(Final_Sans_VGE[[#This Row],[ppn_z]],tbl_Historique_Final[[#This Row],[ppn_z]],tbl_Historique_Final[[#This Row],[date_modif]])=Final_Sans_VGE[[#This Row],[date_modif]],
      "Ancien",
      "Modifié"),
   "Nouveau")),"")</f>
        <v/>
      </c>
    </row>
    <row r="5889" spans="24:30" x14ac:dyDescent="0.25">
      <c r="X5889" s="8" t="e">
        <f>IF(Final_Sans_VGE[[#This Row],[ppn_z]]="","",IFERROR(
   IF(_xlfn.XLOOKUP(Final_Sans_VGE[[#This Row],[ppn_z]],tbl_Historique_Final[ppn_z],tbl_Historique_Final[date_modif])=Final_Sans_VGE[[#This Row],[date_modif]],
      "Ancien",
      "Modifié"),
   "Nouveau"))</f>
        <v>#VALUE!</v>
      </c>
      <c r="AD5889" s="1" t="str">
        <f>IFERROR(IF(Final_Sans_VGE[[#This Row],[ppn_z]]="","",IFERROR(
   IF(_xlfn.XLOOKUP(Final_Sans_VGE[[#This Row],[ppn_z]],tbl_Historique_Final[[#This Row],[ppn_z]],tbl_Historique_Final[[#This Row],[date_modif]])=Final_Sans_VGE[[#This Row],[date_modif]],
      "Ancien",
      "Modifié"),
   "Nouveau")),"")</f>
        <v/>
      </c>
    </row>
    <row r="5890" spans="24:30" x14ac:dyDescent="0.25">
      <c r="X5890" s="8" t="e">
        <f>IF(Final_Sans_VGE[[#This Row],[ppn_z]]="","",IFERROR(
   IF(_xlfn.XLOOKUP(Final_Sans_VGE[[#This Row],[ppn_z]],tbl_Historique_Final[ppn_z],tbl_Historique_Final[date_modif])=Final_Sans_VGE[[#This Row],[date_modif]],
      "Ancien",
      "Modifié"),
   "Nouveau"))</f>
        <v>#VALUE!</v>
      </c>
      <c r="AD5890" s="1" t="str">
        <f>IFERROR(IF(Final_Sans_VGE[[#This Row],[ppn_z]]="","",IFERROR(
   IF(_xlfn.XLOOKUP(Final_Sans_VGE[[#This Row],[ppn_z]],tbl_Historique_Final[[#This Row],[ppn_z]],tbl_Historique_Final[[#This Row],[date_modif]])=Final_Sans_VGE[[#This Row],[date_modif]],
      "Ancien",
      "Modifié"),
   "Nouveau")),"")</f>
        <v/>
      </c>
    </row>
    <row r="5891" spans="24:30" x14ac:dyDescent="0.25">
      <c r="X5891" s="8" t="e">
        <f>IF(Final_Sans_VGE[[#This Row],[ppn_z]]="","",IFERROR(
   IF(_xlfn.XLOOKUP(Final_Sans_VGE[[#This Row],[ppn_z]],tbl_Historique_Final[ppn_z],tbl_Historique_Final[date_modif])=Final_Sans_VGE[[#This Row],[date_modif]],
      "Ancien",
      "Modifié"),
   "Nouveau"))</f>
        <v>#VALUE!</v>
      </c>
      <c r="AD5891" s="1" t="str">
        <f>IFERROR(IF(Final_Sans_VGE[[#This Row],[ppn_z]]="","",IFERROR(
   IF(_xlfn.XLOOKUP(Final_Sans_VGE[[#This Row],[ppn_z]],tbl_Historique_Final[[#This Row],[ppn_z]],tbl_Historique_Final[[#This Row],[date_modif]])=Final_Sans_VGE[[#This Row],[date_modif]],
      "Ancien",
      "Modifié"),
   "Nouveau")),"")</f>
        <v/>
      </c>
    </row>
    <row r="5892" spans="24:30" x14ac:dyDescent="0.25">
      <c r="X5892" s="8" t="e">
        <f>IF(Final_Sans_VGE[[#This Row],[ppn_z]]="","",IFERROR(
   IF(_xlfn.XLOOKUP(Final_Sans_VGE[[#This Row],[ppn_z]],tbl_Historique_Final[ppn_z],tbl_Historique_Final[date_modif])=Final_Sans_VGE[[#This Row],[date_modif]],
      "Ancien",
      "Modifié"),
   "Nouveau"))</f>
        <v>#VALUE!</v>
      </c>
      <c r="AD5892" s="1" t="str">
        <f>IFERROR(IF(Final_Sans_VGE[[#This Row],[ppn_z]]="","",IFERROR(
   IF(_xlfn.XLOOKUP(Final_Sans_VGE[[#This Row],[ppn_z]],tbl_Historique_Final[[#This Row],[ppn_z]],tbl_Historique_Final[[#This Row],[date_modif]])=Final_Sans_VGE[[#This Row],[date_modif]],
      "Ancien",
      "Modifié"),
   "Nouveau")),"")</f>
        <v/>
      </c>
    </row>
    <row r="5893" spans="24:30" x14ac:dyDescent="0.25">
      <c r="X5893" s="8" t="e">
        <f>IF(Final_Sans_VGE[[#This Row],[ppn_z]]="","",IFERROR(
   IF(_xlfn.XLOOKUP(Final_Sans_VGE[[#This Row],[ppn_z]],tbl_Historique_Final[ppn_z],tbl_Historique_Final[date_modif])=Final_Sans_VGE[[#This Row],[date_modif]],
      "Ancien",
      "Modifié"),
   "Nouveau"))</f>
        <v>#VALUE!</v>
      </c>
      <c r="AD5893" s="1" t="str">
        <f>IFERROR(IF(Final_Sans_VGE[[#This Row],[ppn_z]]="","",IFERROR(
   IF(_xlfn.XLOOKUP(Final_Sans_VGE[[#This Row],[ppn_z]],tbl_Historique_Final[[#This Row],[ppn_z]],tbl_Historique_Final[[#This Row],[date_modif]])=Final_Sans_VGE[[#This Row],[date_modif]],
      "Ancien",
      "Modifié"),
   "Nouveau")),"")</f>
        <v/>
      </c>
    </row>
    <row r="5894" spans="24:30" x14ac:dyDescent="0.25">
      <c r="X5894" s="8" t="e">
        <f>IF(Final_Sans_VGE[[#This Row],[ppn_z]]="","",IFERROR(
   IF(_xlfn.XLOOKUP(Final_Sans_VGE[[#This Row],[ppn_z]],tbl_Historique_Final[ppn_z],tbl_Historique_Final[date_modif])=Final_Sans_VGE[[#This Row],[date_modif]],
      "Ancien",
      "Modifié"),
   "Nouveau"))</f>
        <v>#VALUE!</v>
      </c>
      <c r="AD5894" s="1" t="str">
        <f>IFERROR(IF(Final_Sans_VGE[[#This Row],[ppn_z]]="","",IFERROR(
   IF(_xlfn.XLOOKUP(Final_Sans_VGE[[#This Row],[ppn_z]],tbl_Historique_Final[[#This Row],[ppn_z]],tbl_Historique_Final[[#This Row],[date_modif]])=Final_Sans_VGE[[#This Row],[date_modif]],
      "Ancien",
      "Modifié"),
   "Nouveau")),"")</f>
        <v/>
      </c>
    </row>
    <row r="5895" spans="24:30" x14ac:dyDescent="0.25">
      <c r="X5895" s="8" t="e">
        <f>IF(Final_Sans_VGE[[#This Row],[ppn_z]]="","",IFERROR(
   IF(_xlfn.XLOOKUP(Final_Sans_VGE[[#This Row],[ppn_z]],tbl_Historique_Final[ppn_z],tbl_Historique_Final[date_modif])=Final_Sans_VGE[[#This Row],[date_modif]],
      "Ancien",
      "Modifié"),
   "Nouveau"))</f>
        <v>#VALUE!</v>
      </c>
      <c r="AD5895" s="1" t="str">
        <f>IFERROR(IF(Final_Sans_VGE[[#This Row],[ppn_z]]="","",IFERROR(
   IF(_xlfn.XLOOKUP(Final_Sans_VGE[[#This Row],[ppn_z]],tbl_Historique_Final[[#This Row],[ppn_z]],tbl_Historique_Final[[#This Row],[date_modif]])=Final_Sans_VGE[[#This Row],[date_modif]],
      "Ancien",
      "Modifié"),
   "Nouveau")),"")</f>
        <v/>
      </c>
    </row>
    <row r="5896" spans="24:30" x14ac:dyDescent="0.25">
      <c r="X5896" s="8" t="e">
        <f>IF(Final_Sans_VGE[[#This Row],[ppn_z]]="","",IFERROR(
   IF(_xlfn.XLOOKUP(Final_Sans_VGE[[#This Row],[ppn_z]],tbl_Historique_Final[ppn_z],tbl_Historique_Final[date_modif])=Final_Sans_VGE[[#This Row],[date_modif]],
      "Ancien",
      "Modifié"),
   "Nouveau"))</f>
        <v>#VALUE!</v>
      </c>
      <c r="AD5896" s="1" t="str">
        <f>IFERROR(IF(Final_Sans_VGE[[#This Row],[ppn_z]]="","",IFERROR(
   IF(_xlfn.XLOOKUP(Final_Sans_VGE[[#This Row],[ppn_z]],tbl_Historique_Final[[#This Row],[ppn_z]],tbl_Historique_Final[[#This Row],[date_modif]])=Final_Sans_VGE[[#This Row],[date_modif]],
      "Ancien",
      "Modifié"),
   "Nouveau")),"")</f>
        <v/>
      </c>
    </row>
    <row r="5897" spans="24:30" x14ac:dyDescent="0.25">
      <c r="X5897" s="8" t="e">
        <f>IF(Final_Sans_VGE[[#This Row],[ppn_z]]="","",IFERROR(
   IF(_xlfn.XLOOKUP(Final_Sans_VGE[[#This Row],[ppn_z]],tbl_Historique_Final[ppn_z],tbl_Historique_Final[date_modif])=Final_Sans_VGE[[#This Row],[date_modif]],
      "Ancien",
      "Modifié"),
   "Nouveau"))</f>
        <v>#VALUE!</v>
      </c>
      <c r="AD5897" s="1" t="str">
        <f>IFERROR(IF(Final_Sans_VGE[[#This Row],[ppn_z]]="","",IFERROR(
   IF(_xlfn.XLOOKUP(Final_Sans_VGE[[#This Row],[ppn_z]],tbl_Historique_Final[[#This Row],[ppn_z]],tbl_Historique_Final[[#This Row],[date_modif]])=Final_Sans_VGE[[#This Row],[date_modif]],
      "Ancien",
      "Modifié"),
   "Nouveau")),"")</f>
        <v/>
      </c>
    </row>
    <row r="5898" spans="24:30" x14ac:dyDescent="0.25">
      <c r="X5898" s="8" t="e">
        <f>IF(Final_Sans_VGE[[#This Row],[ppn_z]]="","",IFERROR(
   IF(_xlfn.XLOOKUP(Final_Sans_VGE[[#This Row],[ppn_z]],tbl_Historique_Final[ppn_z],tbl_Historique_Final[date_modif])=Final_Sans_VGE[[#This Row],[date_modif]],
      "Ancien",
      "Modifié"),
   "Nouveau"))</f>
        <v>#VALUE!</v>
      </c>
      <c r="AD5898" s="1" t="str">
        <f>IFERROR(IF(Final_Sans_VGE[[#This Row],[ppn_z]]="","",IFERROR(
   IF(_xlfn.XLOOKUP(Final_Sans_VGE[[#This Row],[ppn_z]],tbl_Historique_Final[[#This Row],[ppn_z]],tbl_Historique_Final[[#This Row],[date_modif]])=Final_Sans_VGE[[#This Row],[date_modif]],
      "Ancien",
      "Modifié"),
   "Nouveau")),"")</f>
        <v/>
      </c>
    </row>
    <row r="5899" spans="24:30" x14ac:dyDescent="0.25">
      <c r="X5899" s="8" t="e">
        <f>IF(Final_Sans_VGE[[#This Row],[ppn_z]]="","",IFERROR(
   IF(_xlfn.XLOOKUP(Final_Sans_VGE[[#This Row],[ppn_z]],tbl_Historique_Final[ppn_z],tbl_Historique_Final[date_modif])=Final_Sans_VGE[[#This Row],[date_modif]],
      "Ancien",
      "Modifié"),
   "Nouveau"))</f>
        <v>#VALUE!</v>
      </c>
      <c r="AD5899" s="1" t="str">
        <f>IFERROR(IF(Final_Sans_VGE[[#This Row],[ppn_z]]="","",IFERROR(
   IF(_xlfn.XLOOKUP(Final_Sans_VGE[[#This Row],[ppn_z]],tbl_Historique_Final[[#This Row],[ppn_z]],tbl_Historique_Final[[#This Row],[date_modif]])=Final_Sans_VGE[[#This Row],[date_modif]],
      "Ancien",
      "Modifié"),
   "Nouveau")),"")</f>
        <v/>
      </c>
    </row>
    <row r="5900" spans="24:30" x14ac:dyDescent="0.25">
      <c r="X5900" s="8" t="e">
        <f>IF(Final_Sans_VGE[[#This Row],[ppn_z]]="","",IFERROR(
   IF(_xlfn.XLOOKUP(Final_Sans_VGE[[#This Row],[ppn_z]],tbl_Historique_Final[ppn_z],tbl_Historique_Final[date_modif])=Final_Sans_VGE[[#This Row],[date_modif]],
      "Ancien",
      "Modifié"),
   "Nouveau"))</f>
        <v>#VALUE!</v>
      </c>
      <c r="AD5900" s="1" t="str">
        <f>IFERROR(IF(Final_Sans_VGE[[#This Row],[ppn_z]]="","",IFERROR(
   IF(_xlfn.XLOOKUP(Final_Sans_VGE[[#This Row],[ppn_z]],tbl_Historique_Final[[#This Row],[ppn_z]],tbl_Historique_Final[[#This Row],[date_modif]])=Final_Sans_VGE[[#This Row],[date_modif]],
      "Ancien",
      "Modifié"),
   "Nouveau")),"")</f>
        <v/>
      </c>
    </row>
    <row r="5901" spans="24:30" x14ac:dyDescent="0.25">
      <c r="X5901" s="8" t="e">
        <f>IF(Final_Sans_VGE[[#This Row],[ppn_z]]="","",IFERROR(
   IF(_xlfn.XLOOKUP(Final_Sans_VGE[[#This Row],[ppn_z]],tbl_Historique_Final[ppn_z],tbl_Historique_Final[date_modif])=Final_Sans_VGE[[#This Row],[date_modif]],
      "Ancien",
      "Modifié"),
   "Nouveau"))</f>
        <v>#VALUE!</v>
      </c>
      <c r="AD5901" s="1" t="str">
        <f>IFERROR(IF(Final_Sans_VGE[[#This Row],[ppn_z]]="","",IFERROR(
   IF(_xlfn.XLOOKUP(Final_Sans_VGE[[#This Row],[ppn_z]],tbl_Historique_Final[[#This Row],[ppn_z]],tbl_Historique_Final[[#This Row],[date_modif]])=Final_Sans_VGE[[#This Row],[date_modif]],
      "Ancien",
      "Modifié"),
   "Nouveau")),"")</f>
        <v/>
      </c>
    </row>
    <row r="5902" spans="24:30" x14ac:dyDescent="0.25">
      <c r="X5902" s="8" t="e">
        <f>IF(Final_Sans_VGE[[#This Row],[ppn_z]]="","",IFERROR(
   IF(_xlfn.XLOOKUP(Final_Sans_VGE[[#This Row],[ppn_z]],tbl_Historique_Final[ppn_z],tbl_Historique_Final[date_modif])=Final_Sans_VGE[[#This Row],[date_modif]],
      "Ancien",
      "Modifié"),
   "Nouveau"))</f>
        <v>#VALUE!</v>
      </c>
      <c r="AD5902" s="1" t="str">
        <f>IFERROR(IF(Final_Sans_VGE[[#This Row],[ppn_z]]="","",IFERROR(
   IF(_xlfn.XLOOKUP(Final_Sans_VGE[[#This Row],[ppn_z]],tbl_Historique_Final[[#This Row],[ppn_z]],tbl_Historique_Final[[#This Row],[date_modif]])=Final_Sans_VGE[[#This Row],[date_modif]],
      "Ancien",
      "Modifié"),
   "Nouveau")),"")</f>
        <v/>
      </c>
    </row>
    <row r="5903" spans="24:30" x14ac:dyDescent="0.25">
      <c r="X5903" s="8" t="e">
        <f>IF(Final_Sans_VGE[[#This Row],[ppn_z]]="","",IFERROR(
   IF(_xlfn.XLOOKUP(Final_Sans_VGE[[#This Row],[ppn_z]],tbl_Historique_Final[ppn_z],tbl_Historique_Final[date_modif])=Final_Sans_VGE[[#This Row],[date_modif]],
      "Ancien",
      "Modifié"),
   "Nouveau"))</f>
        <v>#VALUE!</v>
      </c>
      <c r="AD5903" s="1" t="str">
        <f>IFERROR(IF(Final_Sans_VGE[[#This Row],[ppn_z]]="","",IFERROR(
   IF(_xlfn.XLOOKUP(Final_Sans_VGE[[#This Row],[ppn_z]],tbl_Historique_Final[[#This Row],[ppn_z]],tbl_Historique_Final[[#This Row],[date_modif]])=Final_Sans_VGE[[#This Row],[date_modif]],
      "Ancien",
      "Modifié"),
   "Nouveau")),"")</f>
        <v/>
      </c>
    </row>
    <row r="5904" spans="24:30" x14ac:dyDescent="0.25">
      <c r="X5904" s="8" t="e">
        <f>IF(Final_Sans_VGE[[#This Row],[ppn_z]]="","",IFERROR(
   IF(_xlfn.XLOOKUP(Final_Sans_VGE[[#This Row],[ppn_z]],tbl_Historique_Final[ppn_z],tbl_Historique_Final[date_modif])=Final_Sans_VGE[[#This Row],[date_modif]],
      "Ancien",
      "Modifié"),
   "Nouveau"))</f>
        <v>#VALUE!</v>
      </c>
      <c r="AD5904" s="1" t="str">
        <f>IFERROR(IF(Final_Sans_VGE[[#This Row],[ppn_z]]="","",IFERROR(
   IF(_xlfn.XLOOKUP(Final_Sans_VGE[[#This Row],[ppn_z]],tbl_Historique_Final[[#This Row],[ppn_z]],tbl_Historique_Final[[#This Row],[date_modif]])=Final_Sans_VGE[[#This Row],[date_modif]],
      "Ancien",
      "Modifié"),
   "Nouveau")),"")</f>
        <v/>
      </c>
    </row>
    <row r="5905" spans="24:30" x14ac:dyDescent="0.25">
      <c r="X5905" s="8" t="e">
        <f>IF(Final_Sans_VGE[[#This Row],[ppn_z]]="","",IFERROR(
   IF(_xlfn.XLOOKUP(Final_Sans_VGE[[#This Row],[ppn_z]],tbl_Historique_Final[ppn_z],tbl_Historique_Final[date_modif])=Final_Sans_VGE[[#This Row],[date_modif]],
      "Ancien",
      "Modifié"),
   "Nouveau"))</f>
        <v>#VALUE!</v>
      </c>
      <c r="AD5905" s="1" t="str">
        <f>IFERROR(IF(Final_Sans_VGE[[#This Row],[ppn_z]]="","",IFERROR(
   IF(_xlfn.XLOOKUP(Final_Sans_VGE[[#This Row],[ppn_z]],tbl_Historique_Final[[#This Row],[ppn_z]],tbl_Historique_Final[[#This Row],[date_modif]])=Final_Sans_VGE[[#This Row],[date_modif]],
      "Ancien",
      "Modifié"),
   "Nouveau")),"")</f>
        <v/>
      </c>
    </row>
    <row r="5906" spans="24:30" x14ac:dyDescent="0.25">
      <c r="X5906" s="8" t="e">
        <f>IF(Final_Sans_VGE[[#This Row],[ppn_z]]="","",IFERROR(
   IF(_xlfn.XLOOKUP(Final_Sans_VGE[[#This Row],[ppn_z]],tbl_Historique_Final[ppn_z],tbl_Historique_Final[date_modif])=Final_Sans_VGE[[#This Row],[date_modif]],
      "Ancien",
      "Modifié"),
   "Nouveau"))</f>
        <v>#VALUE!</v>
      </c>
      <c r="AD5906" s="1" t="str">
        <f>IFERROR(IF(Final_Sans_VGE[[#This Row],[ppn_z]]="","",IFERROR(
   IF(_xlfn.XLOOKUP(Final_Sans_VGE[[#This Row],[ppn_z]],tbl_Historique_Final[[#This Row],[ppn_z]],tbl_Historique_Final[[#This Row],[date_modif]])=Final_Sans_VGE[[#This Row],[date_modif]],
      "Ancien",
      "Modifié"),
   "Nouveau")),"")</f>
        <v/>
      </c>
    </row>
    <row r="5907" spans="24:30" x14ac:dyDescent="0.25">
      <c r="X5907" s="8" t="e">
        <f>IF(Final_Sans_VGE[[#This Row],[ppn_z]]="","",IFERROR(
   IF(_xlfn.XLOOKUP(Final_Sans_VGE[[#This Row],[ppn_z]],tbl_Historique_Final[ppn_z],tbl_Historique_Final[date_modif])=Final_Sans_VGE[[#This Row],[date_modif]],
      "Ancien",
      "Modifié"),
   "Nouveau"))</f>
        <v>#VALUE!</v>
      </c>
      <c r="AD5907" s="1" t="str">
        <f>IFERROR(IF(Final_Sans_VGE[[#This Row],[ppn_z]]="","",IFERROR(
   IF(_xlfn.XLOOKUP(Final_Sans_VGE[[#This Row],[ppn_z]],tbl_Historique_Final[[#This Row],[ppn_z]],tbl_Historique_Final[[#This Row],[date_modif]])=Final_Sans_VGE[[#This Row],[date_modif]],
      "Ancien",
      "Modifié"),
   "Nouveau")),"")</f>
        <v/>
      </c>
    </row>
    <row r="5908" spans="24:30" x14ac:dyDescent="0.25">
      <c r="X5908" s="8" t="e">
        <f>IF(Final_Sans_VGE[[#This Row],[ppn_z]]="","",IFERROR(
   IF(_xlfn.XLOOKUP(Final_Sans_VGE[[#This Row],[ppn_z]],tbl_Historique_Final[ppn_z],tbl_Historique_Final[date_modif])=Final_Sans_VGE[[#This Row],[date_modif]],
      "Ancien",
      "Modifié"),
   "Nouveau"))</f>
        <v>#VALUE!</v>
      </c>
      <c r="AD5908" s="1" t="str">
        <f>IFERROR(IF(Final_Sans_VGE[[#This Row],[ppn_z]]="","",IFERROR(
   IF(_xlfn.XLOOKUP(Final_Sans_VGE[[#This Row],[ppn_z]],tbl_Historique_Final[[#This Row],[ppn_z]],tbl_Historique_Final[[#This Row],[date_modif]])=Final_Sans_VGE[[#This Row],[date_modif]],
      "Ancien",
      "Modifié"),
   "Nouveau")),"")</f>
        <v/>
      </c>
    </row>
    <row r="5909" spans="24:30" x14ac:dyDescent="0.25">
      <c r="X5909" s="8" t="e">
        <f>IF(Final_Sans_VGE[[#This Row],[ppn_z]]="","",IFERROR(
   IF(_xlfn.XLOOKUP(Final_Sans_VGE[[#This Row],[ppn_z]],tbl_Historique_Final[ppn_z],tbl_Historique_Final[date_modif])=Final_Sans_VGE[[#This Row],[date_modif]],
      "Ancien",
      "Modifié"),
   "Nouveau"))</f>
        <v>#VALUE!</v>
      </c>
      <c r="AD5909" s="1" t="str">
        <f>IFERROR(IF(Final_Sans_VGE[[#This Row],[ppn_z]]="","",IFERROR(
   IF(_xlfn.XLOOKUP(Final_Sans_VGE[[#This Row],[ppn_z]],tbl_Historique_Final[[#This Row],[ppn_z]],tbl_Historique_Final[[#This Row],[date_modif]])=Final_Sans_VGE[[#This Row],[date_modif]],
      "Ancien",
      "Modifié"),
   "Nouveau")),"")</f>
        <v/>
      </c>
    </row>
    <row r="5910" spans="24:30" x14ac:dyDescent="0.25">
      <c r="X5910" s="8" t="e">
        <f>IF(Final_Sans_VGE[[#This Row],[ppn_z]]="","",IFERROR(
   IF(_xlfn.XLOOKUP(Final_Sans_VGE[[#This Row],[ppn_z]],tbl_Historique_Final[ppn_z],tbl_Historique_Final[date_modif])=Final_Sans_VGE[[#This Row],[date_modif]],
      "Ancien",
      "Modifié"),
   "Nouveau"))</f>
        <v>#VALUE!</v>
      </c>
      <c r="AD5910" s="1" t="str">
        <f>IFERROR(IF(Final_Sans_VGE[[#This Row],[ppn_z]]="","",IFERROR(
   IF(_xlfn.XLOOKUP(Final_Sans_VGE[[#This Row],[ppn_z]],tbl_Historique_Final[[#This Row],[ppn_z]],tbl_Historique_Final[[#This Row],[date_modif]])=Final_Sans_VGE[[#This Row],[date_modif]],
      "Ancien",
      "Modifié"),
   "Nouveau")),"")</f>
        <v/>
      </c>
    </row>
    <row r="5911" spans="24:30" x14ac:dyDescent="0.25">
      <c r="X5911" s="8" t="e">
        <f>IF(Final_Sans_VGE[[#This Row],[ppn_z]]="","",IFERROR(
   IF(_xlfn.XLOOKUP(Final_Sans_VGE[[#This Row],[ppn_z]],tbl_Historique_Final[ppn_z],tbl_Historique_Final[date_modif])=Final_Sans_VGE[[#This Row],[date_modif]],
      "Ancien",
      "Modifié"),
   "Nouveau"))</f>
        <v>#VALUE!</v>
      </c>
      <c r="AD5911" s="1" t="str">
        <f>IFERROR(IF(Final_Sans_VGE[[#This Row],[ppn_z]]="","",IFERROR(
   IF(_xlfn.XLOOKUP(Final_Sans_VGE[[#This Row],[ppn_z]],tbl_Historique_Final[[#This Row],[ppn_z]],tbl_Historique_Final[[#This Row],[date_modif]])=Final_Sans_VGE[[#This Row],[date_modif]],
      "Ancien",
      "Modifié"),
   "Nouveau")),"")</f>
        <v/>
      </c>
    </row>
    <row r="5912" spans="24:30" x14ac:dyDescent="0.25">
      <c r="X5912" s="8" t="e">
        <f>IF(Final_Sans_VGE[[#This Row],[ppn_z]]="","",IFERROR(
   IF(_xlfn.XLOOKUP(Final_Sans_VGE[[#This Row],[ppn_z]],tbl_Historique_Final[ppn_z],tbl_Historique_Final[date_modif])=Final_Sans_VGE[[#This Row],[date_modif]],
      "Ancien",
      "Modifié"),
   "Nouveau"))</f>
        <v>#VALUE!</v>
      </c>
      <c r="AD5912" s="1" t="str">
        <f>IFERROR(IF(Final_Sans_VGE[[#This Row],[ppn_z]]="","",IFERROR(
   IF(_xlfn.XLOOKUP(Final_Sans_VGE[[#This Row],[ppn_z]],tbl_Historique_Final[[#This Row],[ppn_z]],tbl_Historique_Final[[#This Row],[date_modif]])=Final_Sans_VGE[[#This Row],[date_modif]],
      "Ancien",
      "Modifié"),
   "Nouveau")),"")</f>
        <v/>
      </c>
    </row>
    <row r="5913" spans="24:30" x14ac:dyDescent="0.25">
      <c r="X5913" s="8" t="e">
        <f>IF(Final_Sans_VGE[[#This Row],[ppn_z]]="","",IFERROR(
   IF(_xlfn.XLOOKUP(Final_Sans_VGE[[#This Row],[ppn_z]],tbl_Historique_Final[ppn_z],tbl_Historique_Final[date_modif])=Final_Sans_VGE[[#This Row],[date_modif]],
      "Ancien",
      "Modifié"),
   "Nouveau"))</f>
        <v>#VALUE!</v>
      </c>
      <c r="AD5913" s="1" t="str">
        <f>IFERROR(IF(Final_Sans_VGE[[#This Row],[ppn_z]]="","",IFERROR(
   IF(_xlfn.XLOOKUP(Final_Sans_VGE[[#This Row],[ppn_z]],tbl_Historique_Final[[#This Row],[ppn_z]],tbl_Historique_Final[[#This Row],[date_modif]])=Final_Sans_VGE[[#This Row],[date_modif]],
      "Ancien",
      "Modifié"),
   "Nouveau")),"")</f>
        <v/>
      </c>
    </row>
    <row r="5914" spans="24:30" x14ac:dyDescent="0.25">
      <c r="X5914" s="8" t="e">
        <f>IF(Final_Sans_VGE[[#This Row],[ppn_z]]="","",IFERROR(
   IF(_xlfn.XLOOKUP(Final_Sans_VGE[[#This Row],[ppn_z]],tbl_Historique_Final[ppn_z],tbl_Historique_Final[date_modif])=Final_Sans_VGE[[#This Row],[date_modif]],
      "Ancien",
      "Modifié"),
   "Nouveau"))</f>
        <v>#VALUE!</v>
      </c>
      <c r="AD5914" s="1" t="str">
        <f>IFERROR(IF(Final_Sans_VGE[[#This Row],[ppn_z]]="","",IFERROR(
   IF(_xlfn.XLOOKUP(Final_Sans_VGE[[#This Row],[ppn_z]],tbl_Historique_Final[[#This Row],[ppn_z]],tbl_Historique_Final[[#This Row],[date_modif]])=Final_Sans_VGE[[#This Row],[date_modif]],
      "Ancien",
      "Modifié"),
   "Nouveau")),"")</f>
        <v/>
      </c>
    </row>
    <row r="5915" spans="24:30" x14ac:dyDescent="0.25">
      <c r="X5915" s="8" t="e">
        <f>IF(Final_Sans_VGE[[#This Row],[ppn_z]]="","",IFERROR(
   IF(_xlfn.XLOOKUP(Final_Sans_VGE[[#This Row],[ppn_z]],tbl_Historique_Final[ppn_z],tbl_Historique_Final[date_modif])=Final_Sans_VGE[[#This Row],[date_modif]],
      "Ancien",
      "Modifié"),
   "Nouveau"))</f>
        <v>#VALUE!</v>
      </c>
      <c r="AD5915" s="1" t="str">
        <f>IFERROR(IF(Final_Sans_VGE[[#This Row],[ppn_z]]="","",IFERROR(
   IF(_xlfn.XLOOKUP(Final_Sans_VGE[[#This Row],[ppn_z]],tbl_Historique_Final[[#This Row],[ppn_z]],tbl_Historique_Final[[#This Row],[date_modif]])=Final_Sans_VGE[[#This Row],[date_modif]],
      "Ancien",
      "Modifié"),
   "Nouveau")),"")</f>
        <v/>
      </c>
    </row>
    <row r="5916" spans="24:30" x14ac:dyDescent="0.25">
      <c r="X5916" s="8" t="e">
        <f>IF(Final_Sans_VGE[[#This Row],[ppn_z]]="","",IFERROR(
   IF(_xlfn.XLOOKUP(Final_Sans_VGE[[#This Row],[ppn_z]],tbl_Historique_Final[ppn_z],tbl_Historique_Final[date_modif])=Final_Sans_VGE[[#This Row],[date_modif]],
      "Ancien",
      "Modifié"),
   "Nouveau"))</f>
        <v>#VALUE!</v>
      </c>
      <c r="AD5916" s="1" t="str">
        <f>IFERROR(IF(Final_Sans_VGE[[#This Row],[ppn_z]]="","",IFERROR(
   IF(_xlfn.XLOOKUP(Final_Sans_VGE[[#This Row],[ppn_z]],tbl_Historique_Final[[#This Row],[ppn_z]],tbl_Historique_Final[[#This Row],[date_modif]])=Final_Sans_VGE[[#This Row],[date_modif]],
      "Ancien",
      "Modifié"),
   "Nouveau")),"")</f>
        <v/>
      </c>
    </row>
    <row r="5917" spans="24:30" x14ac:dyDescent="0.25">
      <c r="X5917" s="8" t="e">
        <f>IF(Final_Sans_VGE[[#This Row],[ppn_z]]="","",IFERROR(
   IF(_xlfn.XLOOKUP(Final_Sans_VGE[[#This Row],[ppn_z]],tbl_Historique_Final[ppn_z],tbl_Historique_Final[date_modif])=Final_Sans_VGE[[#This Row],[date_modif]],
      "Ancien",
      "Modifié"),
   "Nouveau"))</f>
        <v>#VALUE!</v>
      </c>
      <c r="AD5917" s="1" t="str">
        <f>IFERROR(IF(Final_Sans_VGE[[#This Row],[ppn_z]]="","",IFERROR(
   IF(_xlfn.XLOOKUP(Final_Sans_VGE[[#This Row],[ppn_z]],tbl_Historique_Final[[#This Row],[ppn_z]],tbl_Historique_Final[[#This Row],[date_modif]])=Final_Sans_VGE[[#This Row],[date_modif]],
      "Ancien",
      "Modifié"),
   "Nouveau")),"")</f>
        <v/>
      </c>
    </row>
    <row r="5918" spans="24:30" x14ac:dyDescent="0.25">
      <c r="X5918" s="8" t="e">
        <f>IF(Final_Sans_VGE[[#This Row],[ppn_z]]="","",IFERROR(
   IF(_xlfn.XLOOKUP(Final_Sans_VGE[[#This Row],[ppn_z]],tbl_Historique_Final[ppn_z],tbl_Historique_Final[date_modif])=Final_Sans_VGE[[#This Row],[date_modif]],
      "Ancien",
      "Modifié"),
   "Nouveau"))</f>
        <v>#VALUE!</v>
      </c>
      <c r="AD5918" s="1" t="str">
        <f>IFERROR(IF(Final_Sans_VGE[[#This Row],[ppn_z]]="","",IFERROR(
   IF(_xlfn.XLOOKUP(Final_Sans_VGE[[#This Row],[ppn_z]],tbl_Historique_Final[[#This Row],[ppn_z]],tbl_Historique_Final[[#This Row],[date_modif]])=Final_Sans_VGE[[#This Row],[date_modif]],
      "Ancien",
      "Modifié"),
   "Nouveau")),"")</f>
        <v/>
      </c>
    </row>
    <row r="5919" spans="24:30" x14ac:dyDescent="0.25">
      <c r="X5919" s="8" t="e">
        <f>IF(Final_Sans_VGE[[#This Row],[ppn_z]]="","",IFERROR(
   IF(_xlfn.XLOOKUP(Final_Sans_VGE[[#This Row],[ppn_z]],tbl_Historique_Final[ppn_z],tbl_Historique_Final[date_modif])=Final_Sans_VGE[[#This Row],[date_modif]],
      "Ancien",
      "Modifié"),
   "Nouveau"))</f>
        <v>#VALUE!</v>
      </c>
      <c r="AD5919" s="1" t="str">
        <f>IFERROR(IF(Final_Sans_VGE[[#This Row],[ppn_z]]="","",IFERROR(
   IF(_xlfn.XLOOKUP(Final_Sans_VGE[[#This Row],[ppn_z]],tbl_Historique_Final[[#This Row],[ppn_z]],tbl_Historique_Final[[#This Row],[date_modif]])=Final_Sans_VGE[[#This Row],[date_modif]],
      "Ancien",
      "Modifié"),
   "Nouveau")),"")</f>
        <v/>
      </c>
    </row>
    <row r="5920" spans="24:30" x14ac:dyDescent="0.25">
      <c r="X5920" s="8" t="e">
        <f>IF(Final_Sans_VGE[[#This Row],[ppn_z]]="","",IFERROR(
   IF(_xlfn.XLOOKUP(Final_Sans_VGE[[#This Row],[ppn_z]],tbl_Historique_Final[ppn_z],tbl_Historique_Final[date_modif])=Final_Sans_VGE[[#This Row],[date_modif]],
      "Ancien",
      "Modifié"),
   "Nouveau"))</f>
        <v>#VALUE!</v>
      </c>
      <c r="AD5920" s="1" t="str">
        <f>IFERROR(IF(Final_Sans_VGE[[#This Row],[ppn_z]]="","",IFERROR(
   IF(_xlfn.XLOOKUP(Final_Sans_VGE[[#This Row],[ppn_z]],tbl_Historique_Final[[#This Row],[ppn_z]],tbl_Historique_Final[[#This Row],[date_modif]])=Final_Sans_VGE[[#This Row],[date_modif]],
      "Ancien",
      "Modifié"),
   "Nouveau")),"")</f>
        <v/>
      </c>
    </row>
    <row r="5921" spans="24:30" x14ac:dyDescent="0.25">
      <c r="X5921" s="8" t="e">
        <f>IF(Final_Sans_VGE[[#This Row],[ppn_z]]="","",IFERROR(
   IF(_xlfn.XLOOKUP(Final_Sans_VGE[[#This Row],[ppn_z]],tbl_Historique_Final[ppn_z],tbl_Historique_Final[date_modif])=Final_Sans_VGE[[#This Row],[date_modif]],
      "Ancien",
      "Modifié"),
   "Nouveau"))</f>
        <v>#VALUE!</v>
      </c>
      <c r="AD5921" s="1" t="str">
        <f>IFERROR(IF(Final_Sans_VGE[[#This Row],[ppn_z]]="","",IFERROR(
   IF(_xlfn.XLOOKUP(Final_Sans_VGE[[#This Row],[ppn_z]],tbl_Historique_Final[[#This Row],[ppn_z]],tbl_Historique_Final[[#This Row],[date_modif]])=Final_Sans_VGE[[#This Row],[date_modif]],
      "Ancien",
      "Modifié"),
   "Nouveau")),"")</f>
        <v/>
      </c>
    </row>
    <row r="5922" spans="24:30" x14ac:dyDescent="0.25">
      <c r="X5922" s="8" t="e">
        <f>IF(Final_Sans_VGE[[#This Row],[ppn_z]]="","",IFERROR(
   IF(_xlfn.XLOOKUP(Final_Sans_VGE[[#This Row],[ppn_z]],tbl_Historique_Final[ppn_z],tbl_Historique_Final[date_modif])=Final_Sans_VGE[[#This Row],[date_modif]],
      "Ancien",
      "Modifié"),
   "Nouveau"))</f>
        <v>#VALUE!</v>
      </c>
      <c r="AD5922" s="1" t="str">
        <f>IFERROR(IF(Final_Sans_VGE[[#This Row],[ppn_z]]="","",IFERROR(
   IF(_xlfn.XLOOKUP(Final_Sans_VGE[[#This Row],[ppn_z]],tbl_Historique_Final[[#This Row],[ppn_z]],tbl_Historique_Final[[#This Row],[date_modif]])=Final_Sans_VGE[[#This Row],[date_modif]],
      "Ancien",
      "Modifié"),
   "Nouveau")),"")</f>
        <v/>
      </c>
    </row>
    <row r="5923" spans="24:30" x14ac:dyDescent="0.25">
      <c r="X5923" s="8" t="e">
        <f>IF(Final_Sans_VGE[[#This Row],[ppn_z]]="","",IFERROR(
   IF(_xlfn.XLOOKUP(Final_Sans_VGE[[#This Row],[ppn_z]],tbl_Historique_Final[ppn_z],tbl_Historique_Final[date_modif])=Final_Sans_VGE[[#This Row],[date_modif]],
      "Ancien",
      "Modifié"),
   "Nouveau"))</f>
        <v>#VALUE!</v>
      </c>
      <c r="AD5923" s="1" t="str">
        <f>IFERROR(IF(Final_Sans_VGE[[#This Row],[ppn_z]]="","",IFERROR(
   IF(_xlfn.XLOOKUP(Final_Sans_VGE[[#This Row],[ppn_z]],tbl_Historique_Final[[#This Row],[ppn_z]],tbl_Historique_Final[[#This Row],[date_modif]])=Final_Sans_VGE[[#This Row],[date_modif]],
      "Ancien",
      "Modifié"),
   "Nouveau")),"")</f>
        <v/>
      </c>
    </row>
    <row r="5924" spans="24:30" x14ac:dyDescent="0.25">
      <c r="X5924" s="8" t="e">
        <f>IF(Final_Sans_VGE[[#This Row],[ppn_z]]="","",IFERROR(
   IF(_xlfn.XLOOKUP(Final_Sans_VGE[[#This Row],[ppn_z]],tbl_Historique_Final[ppn_z],tbl_Historique_Final[date_modif])=Final_Sans_VGE[[#This Row],[date_modif]],
      "Ancien",
      "Modifié"),
   "Nouveau"))</f>
        <v>#VALUE!</v>
      </c>
      <c r="AD5924" s="1" t="str">
        <f>IFERROR(IF(Final_Sans_VGE[[#This Row],[ppn_z]]="","",IFERROR(
   IF(_xlfn.XLOOKUP(Final_Sans_VGE[[#This Row],[ppn_z]],tbl_Historique_Final[[#This Row],[ppn_z]],tbl_Historique_Final[[#This Row],[date_modif]])=Final_Sans_VGE[[#This Row],[date_modif]],
      "Ancien",
      "Modifié"),
   "Nouveau")),"")</f>
        <v/>
      </c>
    </row>
    <row r="5925" spans="24:30" x14ac:dyDescent="0.25">
      <c r="X5925" s="8" t="e">
        <f>IF(Final_Sans_VGE[[#This Row],[ppn_z]]="","",IFERROR(
   IF(_xlfn.XLOOKUP(Final_Sans_VGE[[#This Row],[ppn_z]],tbl_Historique_Final[ppn_z],tbl_Historique_Final[date_modif])=Final_Sans_VGE[[#This Row],[date_modif]],
      "Ancien",
      "Modifié"),
   "Nouveau"))</f>
        <v>#VALUE!</v>
      </c>
      <c r="AD5925" s="1" t="str">
        <f>IFERROR(IF(Final_Sans_VGE[[#This Row],[ppn_z]]="","",IFERROR(
   IF(_xlfn.XLOOKUP(Final_Sans_VGE[[#This Row],[ppn_z]],tbl_Historique_Final[[#This Row],[ppn_z]],tbl_Historique_Final[[#This Row],[date_modif]])=Final_Sans_VGE[[#This Row],[date_modif]],
      "Ancien",
      "Modifié"),
   "Nouveau")),"")</f>
        <v/>
      </c>
    </row>
    <row r="5926" spans="24:30" x14ac:dyDescent="0.25">
      <c r="X5926" s="8" t="e">
        <f>IF(Final_Sans_VGE[[#This Row],[ppn_z]]="","",IFERROR(
   IF(_xlfn.XLOOKUP(Final_Sans_VGE[[#This Row],[ppn_z]],tbl_Historique_Final[ppn_z],tbl_Historique_Final[date_modif])=Final_Sans_VGE[[#This Row],[date_modif]],
      "Ancien",
      "Modifié"),
   "Nouveau"))</f>
        <v>#VALUE!</v>
      </c>
      <c r="AD5926" s="1" t="str">
        <f>IFERROR(IF(Final_Sans_VGE[[#This Row],[ppn_z]]="","",IFERROR(
   IF(_xlfn.XLOOKUP(Final_Sans_VGE[[#This Row],[ppn_z]],tbl_Historique_Final[[#This Row],[ppn_z]],tbl_Historique_Final[[#This Row],[date_modif]])=Final_Sans_VGE[[#This Row],[date_modif]],
      "Ancien",
      "Modifié"),
   "Nouveau")),"")</f>
        <v/>
      </c>
    </row>
    <row r="5927" spans="24:30" x14ac:dyDescent="0.25">
      <c r="X5927" s="8" t="e">
        <f>IF(Final_Sans_VGE[[#This Row],[ppn_z]]="","",IFERROR(
   IF(_xlfn.XLOOKUP(Final_Sans_VGE[[#This Row],[ppn_z]],tbl_Historique_Final[ppn_z],tbl_Historique_Final[date_modif])=Final_Sans_VGE[[#This Row],[date_modif]],
      "Ancien",
      "Modifié"),
   "Nouveau"))</f>
        <v>#VALUE!</v>
      </c>
      <c r="AD5927" s="1" t="str">
        <f>IFERROR(IF(Final_Sans_VGE[[#This Row],[ppn_z]]="","",IFERROR(
   IF(_xlfn.XLOOKUP(Final_Sans_VGE[[#This Row],[ppn_z]],tbl_Historique_Final[[#This Row],[ppn_z]],tbl_Historique_Final[[#This Row],[date_modif]])=Final_Sans_VGE[[#This Row],[date_modif]],
      "Ancien",
      "Modifié"),
   "Nouveau")),"")</f>
        <v/>
      </c>
    </row>
    <row r="5928" spans="24:30" x14ac:dyDescent="0.25">
      <c r="X5928" s="8" t="e">
        <f>IF(Final_Sans_VGE[[#This Row],[ppn_z]]="","",IFERROR(
   IF(_xlfn.XLOOKUP(Final_Sans_VGE[[#This Row],[ppn_z]],tbl_Historique_Final[ppn_z],tbl_Historique_Final[date_modif])=Final_Sans_VGE[[#This Row],[date_modif]],
      "Ancien",
      "Modifié"),
   "Nouveau"))</f>
        <v>#VALUE!</v>
      </c>
      <c r="AD5928" s="1" t="str">
        <f>IFERROR(IF(Final_Sans_VGE[[#This Row],[ppn_z]]="","",IFERROR(
   IF(_xlfn.XLOOKUP(Final_Sans_VGE[[#This Row],[ppn_z]],tbl_Historique_Final[[#This Row],[ppn_z]],tbl_Historique_Final[[#This Row],[date_modif]])=Final_Sans_VGE[[#This Row],[date_modif]],
      "Ancien",
      "Modifié"),
   "Nouveau")),"")</f>
        <v/>
      </c>
    </row>
    <row r="5929" spans="24:30" x14ac:dyDescent="0.25">
      <c r="X5929" s="8" t="e">
        <f>IF(Final_Sans_VGE[[#This Row],[ppn_z]]="","",IFERROR(
   IF(_xlfn.XLOOKUP(Final_Sans_VGE[[#This Row],[ppn_z]],tbl_Historique_Final[ppn_z],tbl_Historique_Final[date_modif])=Final_Sans_VGE[[#This Row],[date_modif]],
      "Ancien",
      "Modifié"),
   "Nouveau"))</f>
        <v>#VALUE!</v>
      </c>
      <c r="AD5929" s="1" t="str">
        <f>IFERROR(IF(Final_Sans_VGE[[#This Row],[ppn_z]]="","",IFERROR(
   IF(_xlfn.XLOOKUP(Final_Sans_VGE[[#This Row],[ppn_z]],tbl_Historique_Final[[#This Row],[ppn_z]],tbl_Historique_Final[[#This Row],[date_modif]])=Final_Sans_VGE[[#This Row],[date_modif]],
      "Ancien",
      "Modifié"),
   "Nouveau")),"")</f>
        <v/>
      </c>
    </row>
    <row r="5930" spans="24:30" x14ac:dyDescent="0.25">
      <c r="X5930" s="8" t="e">
        <f>IF(Final_Sans_VGE[[#This Row],[ppn_z]]="","",IFERROR(
   IF(_xlfn.XLOOKUP(Final_Sans_VGE[[#This Row],[ppn_z]],tbl_Historique_Final[ppn_z],tbl_Historique_Final[date_modif])=Final_Sans_VGE[[#This Row],[date_modif]],
      "Ancien",
      "Modifié"),
   "Nouveau"))</f>
        <v>#VALUE!</v>
      </c>
      <c r="AD5930" s="1" t="str">
        <f>IFERROR(IF(Final_Sans_VGE[[#This Row],[ppn_z]]="","",IFERROR(
   IF(_xlfn.XLOOKUP(Final_Sans_VGE[[#This Row],[ppn_z]],tbl_Historique_Final[[#This Row],[ppn_z]],tbl_Historique_Final[[#This Row],[date_modif]])=Final_Sans_VGE[[#This Row],[date_modif]],
      "Ancien",
      "Modifié"),
   "Nouveau")),"")</f>
        <v/>
      </c>
    </row>
    <row r="5931" spans="24:30" x14ac:dyDescent="0.25">
      <c r="X5931" s="8" t="e">
        <f>IF(Final_Sans_VGE[[#This Row],[ppn_z]]="","",IFERROR(
   IF(_xlfn.XLOOKUP(Final_Sans_VGE[[#This Row],[ppn_z]],tbl_Historique_Final[ppn_z],tbl_Historique_Final[date_modif])=Final_Sans_VGE[[#This Row],[date_modif]],
      "Ancien",
      "Modifié"),
   "Nouveau"))</f>
        <v>#VALUE!</v>
      </c>
      <c r="AD5931" s="1" t="str">
        <f>IFERROR(IF(Final_Sans_VGE[[#This Row],[ppn_z]]="","",IFERROR(
   IF(_xlfn.XLOOKUP(Final_Sans_VGE[[#This Row],[ppn_z]],tbl_Historique_Final[[#This Row],[ppn_z]],tbl_Historique_Final[[#This Row],[date_modif]])=Final_Sans_VGE[[#This Row],[date_modif]],
      "Ancien",
      "Modifié"),
   "Nouveau")),"")</f>
        <v/>
      </c>
    </row>
    <row r="5932" spans="24:30" x14ac:dyDescent="0.25">
      <c r="X5932" s="8" t="e">
        <f>IF(Final_Sans_VGE[[#This Row],[ppn_z]]="","",IFERROR(
   IF(_xlfn.XLOOKUP(Final_Sans_VGE[[#This Row],[ppn_z]],tbl_Historique_Final[ppn_z],tbl_Historique_Final[date_modif])=Final_Sans_VGE[[#This Row],[date_modif]],
      "Ancien",
      "Modifié"),
   "Nouveau"))</f>
        <v>#VALUE!</v>
      </c>
      <c r="AD5932" s="1" t="str">
        <f>IFERROR(IF(Final_Sans_VGE[[#This Row],[ppn_z]]="","",IFERROR(
   IF(_xlfn.XLOOKUP(Final_Sans_VGE[[#This Row],[ppn_z]],tbl_Historique_Final[[#This Row],[ppn_z]],tbl_Historique_Final[[#This Row],[date_modif]])=Final_Sans_VGE[[#This Row],[date_modif]],
      "Ancien",
      "Modifié"),
   "Nouveau")),"")</f>
        <v/>
      </c>
    </row>
    <row r="5933" spans="24:30" x14ac:dyDescent="0.25">
      <c r="X5933" s="8" t="e">
        <f>IF(Final_Sans_VGE[[#This Row],[ppn_z]]="","",IFERROR(
   IF(_xlfn.XLOOKUP(Final_Sans_VGE[[#This Row],[ppn_z]],tbl_Historique_Final[ppn_z],tbl_Historique_Final[date_modif])=Final_Sans_VGE[[#This Row],[date_modif]],
      "Ancien",
      "Modifié"),
   "Nouveau"))</f>
        <v>#VALUE!</v>
      </c>
      <c r="AD5933" s="1" t="str">
        <f>IFERROR(IF(Final_Sans_VGE[[#This Row],[ppn_z]]="","",IFERROR(
   IF(_xlfn.XLOOKUP(Final_Sans_VGE[[#This Row],[ppn_z]],tbl_Historique_Final[[#This Row],[ppn_z]],tbl_Historique_Final[[#This Row],[date_modif]])=Final_Sans_VGE[[#This Row],[date_modif]],
      "Ancien",
      "Modifié"),
   "Nouveau")),"")</f>
        <v/>
      </c>
    </row>
    <row r="5934" spans="24:30" x14ac:dyDescent="0.25">
      <c r="X5934" s="8" t="e">
        <f>IF(Final_Sans_VGE[[#This Row],[ppn_z]]="","",IFERROR(
   IF(_xlfn.XLOOKUP(Final_Sans_VGE[[#This Row],[ppn_z]],tbl_Historique_Final[ppn_z],tbl_Historique_Final[date_modif])=Final_Sans_VGE[[#This Row],[date_modif]],
      "Ancien",
      "Modifié"),
   "Nouveau"))</f>
        <v>#VALUE!</v>
      </c>
      <c r="AD5934" s="1" t="str">
        <f>IFERROR(IF(Final_Sans_VGE[[#This Row],[ppn_z]]="","",IFERROR(
   IF(_xlfn.XLOOKUP(Final_Sans_VGE[[#This Row],[ppn_z]],tbl_Historique_Final[[#This Row],[ppn_z]],tbl_Historique_Final[[#This Row],[date_modif]])=Final_Sans_VGE[[#This Row],[date_modif]],
      "Ancien",
      "Modifié"),
   "Nouveau")),"")</f>
        <v/>
      </c>
    </row>
    <row r="5935" spans="24:30" x14ac:dyDescent="0.25">
      <c r="X5935" s="8" t="e">
        <f>IF(Final_Sans_VGE[[#This Row],[ppn_z]]="","",IFERROR(
   IF(_xlfn.XLOOKUP(Final_Sans_VGE[[#This Row],[ppn_z]],tbl_Historique_Final[ppn_z],tbl_Historique_Final[date_modif])=Final_Sans_VGE[[#This Row],[date_modif]],
      "Ancien",
      "Modifié"),
   "Nouveau"))</f>
        <v>#VALUE!</v>
      </c>
      <c r="AD5935" s="1" t="str">
        <f>IFERROR(IF(Final_Sans_VGE[[#This Row],[ppn_z]]="","",IFERROR(
   IF(_xlfn.XLOOKUP(Final_Sans_VGE[[#This Row],[ppn_z]],tbl_Historique_Final[[#This Row],[ppn_z]],tbl_Historique_Final[[#This Row],[date_modif]])=Final_Sans_VGE[[#This Row],[date_modif]],
      "Ancien",
      "Modifié"),
   "Nouveau")),"")</f>
        <v/>
      </c>
    </row>
    <row r="5936" spans="24:30" x14ac:dyDescent="0.25">
      <c r="X5936" s="8" t="e">
        <f>IF(Final_Sans_VGE[[#This Row],[ppn_z]]="","",IFERROR(
   IF(_xlfn.XLOOKUP(Final_Sans_VGE[[#This Row],[ppn_z]],tbl_Historique_Final[ppn_z],tbl_Historique_Final[date_modif])=Final_Sans_VGE[[#This Row],[date_modif]],
      "Ancien",
      "Modifié"),
   "Nouveau"))</f>
        <v>#VALUE!</v>
      </c>
      <c r="AD5936" s="1" t="str">
        <f>IFERROR(IF(Final_Sans_VGE[[#This Row],[ppn_z]]="","",IFERROR(
   IF(_xlfn.XLOOKUP(Final_Sans_VGE[[#This Row],[ppn_z]],tbl_Historique_Final[[#This Row],[ppn_z]],tbl_Historique_Final[[#This Row],[date_modif]])=Final_Sans_VGE[[#This Row],[date_modif]],
      "Ancien",
      "Modifié"),
   "Nouveau")),"")</f>
        <v/>
      </c>
    </row>
    <row r="5937" spans="24:30" x14ac:dyDescent="0.25">
      <c r="X5937" s="8" t="e">
        <f>IF(Final_Sans_VGE[[#This Row],[ppn_z]]="","",IFERROR(
   IF(_xlfn.XLOOKUP(Final_Sans_VGE[[#This Row],[ppn_z]],tbl_Historique_Final[ppn_z],tbl_Historique_Final[date_modif])=Final_Sans_VGE[[#This Row],[date_modif]],
      "Ancien",
      "Modifié"),
   "Nouveau"))</f>
        <v>#VALUE!</v>
      </c>
      <c r="AD5937" s="1" t="str">
        <f>IFERROR(IF(Final_Sans_VGE[[#This Row],[ppn_z]]="","",IFERROR(
   IF(_xlfn.XLOOKUP(Final_Sans_VGE[[#This Row],[ppn_z]],tbl_Historique_Final[[#This Row],[ppn_z]],tbl_Historique_Final[[#This Row],[date_modif]])=Final_Sans_VGE[[#This Row],[date_modif]],
      "Ancien",
      "Modifié"),
   "Nouveau")),"")</f>
        <v/>
      </c>
    </row>
    <row r="5938" spans="24:30" x14ac:dyDescent="0.25">
      <c r="X5938" s="8" t="e">
        <f>IF(Final_Sans_VGE[[#This Row],[ppn_z]]="","",IFERROR(
   IF(_xlfn.XLOOKUP(Final_Sans_VGE[[#This Row],[ppn_z]],tbl_Historique_Final[ppn_z],tbl_Historique_Final[date_modif])=Final_Sans_VGE[[#This Row],[date_modif]],
      "Ancien",
      "Modifié"),
   "Nouveau"))</f>
        <v>#VALUE!</v>
      </c>
      <c r="AD5938" s="1" t="str">
        <f>IFERROR(IF(Final_Sans_VGE[[#This Row],[ppn_z]]="","",IFERROR(
   IF(_xlfn.XLOOKUP(Final_Sans_VGE[[#This Row],[ppn_z]],tbl_Historique_Final[[#This Row],[ppn_z]],tbl_Historique_Final[[#This Row],[date_modif]])=Final_Sans_VGE[[#This Row],[date_modif]],
      "Ancien",
      "Modifié"),
   "Nouveau")),"")</f>
        <v/>
      </c>
    </row>
    <row r="5939" spans="24:30" x14ac:dyDescent="0.25">
      <c r="X5939" s="8" t="e">
        <f>IF(Final_Sans_VGE[[#This Row],[ppn_z]]="","",IFERROR(
   IF(_xlfn.XLOOKUP(Final_Sans_VGE[[#This Row],[ppn_z]],tbl_Historique_Final[ppn_z],tbl_Historique_Final[date_modif])=Final_Sans_VGE[[#This Row],[date_modif]],
      "Ancien",
      "Modifié"),
   "Nouveau"))</f>
        <v>#VALUE!</v>
      </c>
      <c r="AD5939" s="1" t="str">
        <f>IFERROR(IF(Final_Sans_VGE[[#This Row],[ppn_z]]="","",IFERROR(
   IF(_xlfn.XLOOKUP(Final_Sans_VGE[[#This Row],[ppn_z]],tbl_Historique_Final[[#This Row],[ppn_z]],tbl_Historique_Final[[#This Row],[date_modif]])=Final_Sans_VGE[[#This Row],[date_modif]],
      "Ancien",
      "Modifié"),
   "Nouveau")),"")</f>
        <v/>
      </c>
    </row>
    <row r="5940" spans="24:30" x14ac:dyDescent="0.25">
      <c r="X5940" s="8" t="e">
        <f>IF(Final_Sans_VGE[[#This Row],[ppn_z]]="","",IFERROR(
   IF(_xlfn.XLOOKUP(Final_Sans_VGE[[#This Row],[ppn_z]],tbl_Historique_Final[ppn_z],tbl_Historique_Final[date_modif])=Final_Sans_VGE[[#This Row],[date_modif]],
      "Ancien",
      "Modifié"),
   "Nouveau"))</f>
        <v>#VALUE!</v>
      </c>
      <c r="AD5940" s="1" t="str">
        <f>IFERROR(IF(Final_Sans_VGE[[#This Row],[ppn_z]]="","",IFERROR(
   IF(_xlfn.XLOOKUP(Final_Sans_VGE[[#This Row],[ppn_z]],tbl_Historique_Final[[#This Row],[ppn_z]],tbl_Historique_Final[[#This Row],[date_modif]])=Final_Sans_VGE[[#This Row],[date_modif]],
      "Ancien",
      "Modifié"),
   "Nouveau")),"")</f>
        <v/>
      </c>
    </row>
    <row r="5941" spans="24:30" x14ac:dyDescent="0.25">
      <c r="X5941" s="8" t="e">
        <f>IF(Final_Sans_VGE[[#This Row],[ppn_z]]="","",IFERROR(
   IF(_xlfn.XLOOKUP(Final_Sans_VGE[[#This Row],[ppn_z]],tbl_Historique_Final[ppn_z],tbl_Historique_Final[date_modif])=Final_Sans_VGE[[#This Row],[date_modif]],
      "Ancien",
      "Modifié"),
   "Nouveau"))</f>
        <v>#VALUE!</v>
      </c>
      <c r="AD5941" s="1" t="str">
        <f>IFERROR(IF(Final_Sans_VGE[[#This Row],[ppn_z]]="","",IFERROR(
   IF(_xlfn.XLOOKUP(Final_Sans_VGE[[#This Row],[ppn_z]],tbl_Historique_Final[[#This Row],[ppn_z]],tbl_Historique_Final[[#This Row],[date_modif]])=Final_Sans_VGE[[#This Row],[date_modif]],
      "Ancien",
      "Modifié"),
   "Nouveau")),"")</f>
        <v/>
      </c>
    </row>
    <row r="5942" spans="24:30" x14ac:dyDescent="0.25">
      <c r="X5942" s="8" t="e">
        <f>IF(Final_Sans_VGE[[#This Row],[ppn_z]]="","",IFERROR(
   IF(_xlfn.XLOOKUP(Final_Sans_VGE[[#This Row],[ppn_z]],tbl_Historique_Final[ppn_z],tbl_Historique_Final[date_modif])=Final_Sans_VGE[[#This Row],[date_modif]],
      "Ancien",
      "Modifié"),
   "Nouveau"))</f>
        <v>#VALUE!</v>
      </c>
      <c r="AD5942" s="1" t="str">
        <f>IFERROR(IF(Final_Sans_VGE[[#This Row],[ppn_z]]="","",IFERROR(
   IF(_xlfn.XLOOKUP(Final_Sans_VGE[[#This Row],[ppn_z]],tbl_Historique_Final[[#This Row],[ppn_z]],tbl_Historique_Final[[#This Row],[date_modif]])=Final_Sans_VGE[[#This Row],[date_modif]],
      "Ancien",
      "Modifié"),
   "Nouveau")),"")</f>
        <v/>
      </c>
    </row>
    <row r="5943" spans="24:30" x14ac:dyDescent="0.25">
      <c r="X5943" s="8" t="e">
        <f>IF(Final_Sans_VGE[[#This Row],[ppn_z]]="","",IFERROR(
   IF(_xlfn.XLOOKUP(Final_Sans_VGE[[#This Row],[ppn_z]],tbl_Historique_Final[ppn_z],tbl_Historique_Final[date_modif])=Final_Sans_VGE[[#This Row],[date_modif]],
      "Ancien",
      "Modifié"),
   "Nouveau"))</f>
        <v>#VALUE!</v>
      </c>
      <c r="AD5943" s="1" t="str">
        <f>IFERROR(IF(Final_Sans_VGE[[#This Row],[ppn_z]]="","",IFERROR(
   IF(_xlfn.XLOOKUP(Final_Sans_VGE[[#This Row],[ppn_z]],tbl_Historique_Final[[#This Row],[ppn_z]],tbl_Historique_Final[[#This Row],[date_modif]])=Final_Sans_VGE[[#This Row],[date_modif]],
      "Ancien",
      "Modifié"),
   "Nouveau")),"")</f>
        <v/>
      </c>
    </row>
    <row r="5944" spans="24:30" x14ac:dyDescent="0.25">
      <c r="X5944" s="8" t="e">
        <f>IF(Final_Sans_VGE[[#This Row],[ppn_z]]="","",IFERROR(
   IF(_xlfn.XLOOKUP(Final_Sans_VGE[[#This Row],[ppn_z]],tbl_Historique_Final[ppn_z],tbl_Historique_Final[date_modif])=Final_Sans_VGE[[#This Row],[date_modif]],
      "Ancien",
      "Modifié"),
   "Nouveau"))</f>
        <v>#VALUE!</v>
      </c>
      <c r="AD5944" s="1" t="str">
        <f>IFERROR(IF(Final_Sans_VGE[[#This Row],[ppn_z]]="","",IFERROR(
   IF(_xlfn.XLOOKUP(Final_Sans_VGE[[#This Row],[ppn_z]],tbl_Historique_Final[[#This Row],[ppn_z]],tbl_Historique_Final[[#This Row],[date_modif]])=Final_Sans_VGE[[#This Row],[date_modif]],
      "Ancien",
      "Modifié"),
   "Nouveau")),"")</f>
        <v/>
      </c>
    </row>
    <row r="5945" spans="24:30" x14ac:dyDescent="0.25">
      <c r="X5945" s="8" t="e">
        <f>IF(Final_Sans_VGE[[#This Row],[ppn_z]]="","",IFERROR(
   IF(_xlfn.XLOOKUP(Final_Sans_VGE[[#This Row],[ppn_z]],tbl_Historique_Final[ppn_z],tbl_Historique_Final[date_modif])=Final_Sans_VGE[[#This Row],[date_modif]],
      "Ancien",
      "Modifié"),
   "Nouveau"))</f>
        <v>#VALUE!</v>
      </c>
      <c r="AD5945" s="1" t="str">
        <f>IFERROR(IF(Final_Sans_VGE[[#This Row],[ppn_z]]="","",IFERROR(
   IF(_xlfn.XLOOKUP(Final_Sans_VGE[[#This Row],[ppn_z]],tbl_Historique_Final[[#This Row],[ppn_z]],tbl_Historique_Final[[#This Row],[date_modif]])=Final_Sans_VGE[[#This Row],[date_modif]],
      "Ancien",
      "Modifié"),
   "Nouveau")),"")</f>
        <v/>
      </c>
    </row>
    <row r="5946" spans="24:30" x14ac:dyDescent="0.25">
      <c r="X5946" s="8" t="e">
        <f>IF(Final_Sans_VGE[[#This Row],[ppn_z]]="","",IFERROR(
   IF(_xlfn.XLOOKUP(Final_Sans_VGE[[#This Row],[ppn_z]],tbl_Historique_Final[ppn_z],tbl_Historique_Final[date_modif])=Final_Sans_VGE[[#This Row],[date_modif]],
      "Ancien",
      "Modifié"),
   "Nouveau"))</f>
        <v>#VALUE!</v>
      </c>
      <c r="AD5946" s="1" t="str">
        <f>IFERROR(IF(Final_Sans_VGE[[#This Row],[ppn_z]]="","",IFERROR(
   IF(_xlfn.XLOOKUP(Final_Sans_VGE[[#This Row],[ppn_z]],tbl_Historique_Final[[#This Row],[ppn_z]],tbl_Historique_Final[[#This Row],[date_modif]])=Final_Sans_VGE[[#This Row],[date_modif]],
      "Ancien",
      "Modifié"),
   "Nouveau")),"")</f>
        <v/>
      </c>
    </row>
    <row r="5947" spans="24:30" x14ac:dyDescent="0.25">
      <c r="X5947" s="8" t="e">
        <f>IF(Final_Sans_VGE[[#This Row],[ppn_z]]="","",IFERROR(
   IF(_xlfn.XLOOKUP(Final_Sans_VGE[[#This Row],[ppn_z]],tbl_Historique_Final[ppn_z],tbl_Historique_Final[date_modif])=Final_Sans_VGE[[#This Row],[date_modif]],
      "Ancien",
      "Modifié"),
   "Nouveau"))</f>
        <v>#VALUE!</v>
      </c>
      <c r="AD5947" s="1" t="str">
        <f>IFERROR(IF(Final_Sans_VGE[[#This Row],[ppn_z]]="","",IFERROR(
   IF(_xlfn.XLOOKUP(Final_Sans_VGE[[#This Row],[ppn_z]],tbl_Historique_Final[[#This Row],[ppn_z]],tbl_Historique_Final[[#This Row],[date_modif]])=Final_Sans_VGE[[#This Row],[date_modif]],
      "Ancien",
      "Modifié"),
   "Nouveau")),"")</f>
        <v/>
      </c>
    </row>
    <row r="5948" spans="24:30" x14ac:dyDescent="0.25">
      <c r="X5948" s="8" t="e">
        <f>IF(Final_Sans_VGE[[#This Row],[ppn_z]]="","",IFERROR(
   IF(_xlfn.XLOOKUP(Final_Sans_VGE[[#This Row],[ppn_z]],tbl_Historique_Final[ppn_z],tbl_Historique_Final[date_modif])=Final_Sans_VGE[[#This Row],[date_modif]],
      "Ancien",
      "Modifié"),
   "Nouveau"))</f>
        <v>#VALUE!</v>
      </c>
      <c r="AD5948" s="1" t="str">
        <f>IFERROR(IF(Final_Sans_VGE[[#This Row],[ppn_z]]="","",IFERROR(
   IF(_xlfn.XLOOKUP(Final_Sans_VGE[[#This Row],[ppn_z]],tbl_Historique_Final[[#This Row],[ppn_z]],tbl_Historique_Final[[#This Row],[date_modif]])=Final_Sans_VGE[[#This Row],[date_modif]],
      "Ancien",
      "Modifié"),
   "Nouveau")),"")</f>
        <v/>
      </c>
    </row>
    <row r="5949" spans="24:30" x14ac:dyDescent="0.25">
      <c r="X5949" s="8" t="e">
        <f>IF(Final_Sans_VGE[[#This Row],[ppn_z]]="","",IFERROR(
   IF(_xlfn.XLOOKUP(Final_Sans_VGE[[#This Row],[ppn_z]],tbl_Historique_Final[ppn_z],tbl_Historique_Final[date_modif])=Final_Sans_VGE[[#This Row],[date_modif]],
      "Ancien",
      "Modifié"),
   "Nouveau"))</f>
        <v>#VALUE!</v>
      </c>
      <c r="AD5949" s="1" t="str">
        <f>IFERROR(IF(Final_Sans_VGE[[#This Row],[ppn_z]]="","",IFERROR(
   IF(_xlfn.XLOOKUP(Final_Sans_VGE[[#This Row],[ppn_z]],tbl_Historique_Final[[#This Row],[ppn_z]],tbl_Historique_Final[[#This Row],[date_modif]])=Final_Sans_VGE[[#This Row],[date_modif]],
      "Ancien",
      "Modifié"),
   "Nouveau")),"")</f>
        <v/>
      </c>
    </row>
    <row r="5950" spans="24:30" x14ac:dyDescent="0.25">
      <c r="X5950" s="8" t="e">
        <f>IF(Final_Sans_VGE[[#This Row],[ppn_z]]="","",IFERROR(
   IF(_xlfn.XLOOKUP(Final_Sans_VGE[[#This Row],[ppn_z]],tbl_Historique_Final[ppn_z],tbl_Historique_Final[date_modif])=Final_Sans_VGE[[#This Row],[date_modif]],
      "Ancien",
      "Modifié"),
   "Nouveau"))</f>
        <v>#VALUE!</v>
      </c>
      <c r="AD5950" s="1" t="str">
        <f>IFERROR(IF(Final_Sans_VGE[[#This Row],[ppn_z]]="","",IFERROR(
   IF(_xlfn.XLOOKUP(Final_Sans_VGE[[#This Row],[ppn_z]],tbl_Historique_Final[[#This Row],[ppn_z]],tbl_Historique_Final[[#This Row],[date_modif]])=Final_Sans_VGE[[#This Row],[date_modif]],
      "Ancien",
      "Modifié"),
   "Nouveau")),"")</f>
        <v/>
      </c>
    </row>
    <row r="5951" spans="24:30" x14ac:dyDescent="0.25">
      <c r="X5951" s="8" t="e">
        <f>IF(Final_Sans_VGE[[#This Row],[ppn_z]]="","",IFERROR(
   IF(_xlfn.XLOOKUP(Final_Sans_VGE[[#This Row],[ppn_z]],tbl_Historique_Final[ppn_z],tbl_Historique_Final[date_modif])=Final_Sans_VGE[[#This Row],[date_modif]],
      "Ancien",
      "Modifié"),
   "Nouveau"))</f>
        <v>#VALUE!</v>
      </c>
      <c r="AD5951" s="1" t="str">
        <f>IFERROR(IF(Final_Sans_VGE[[#This Row],[ppn_z]]="","",IFERROR(
   IF(_xlfn.XLOOKUP(Final_Sans_VGE[[#This Row],[ppn_z]],tbl_Historique_Final[[#This Row],[ppn_z]],tbl_Historique_Final[[#This Row],[date_modif]])=Final_Sans_VGE[[#This Row],[date_modif]],
      "Ancien",
      "Modifié"),
   "Nouveau")),"")</f>
        <v/>
      </c>
    </row>
    <row r="5952" spans="24:30" x14ac:dyDescent="0.25">
      <c r="X5952" s="8" t="e">
        <f>IF(Final_Sans_VGE[[#This Row],[ppn_z]]="","",IFERROR(
   IF(_xlfn.XLOOKUP(Final_Sans_VGE[[#This Row],[ppn_z]],tbl_Historique_Final[ppn_z],tbl_Historique_Final[date_modif])=Final_Sans_VGE[[#This Row],[date_modif]],
      "Ancien",
      "Modifié"),
   "Nouveau"))</f>
        <v>#VALUE!</v>
      </c>
      <c r="AD5952" s="1" t="str">
        <f>IFERROR(IF(Final_Sans_VGE[[#This Row],[ppn_z]]="","",IFERROR(
   IF(_xlfn.XLOOKUP(Final_Sans_VGE[[#This Row],[ppn_z]],tbl_Historique_Final[[#This Row],[ppn_z]],tbl_Historique_Final[[#This Row],[date_modif]])=Final_Sans_VGE[[#This Row],[date_modif]],
      "Ancien",
      "Modifié"),
   "Nouveau")),"")</f>
        <v/>
      </c>
    </row>
    <row r="5953" spans="24:30" x14ac:dyDescent="0.25">
      <c r="X5953" s="8" t="e">
        <f>IF(Final_Sans_VGE[[#This Row],[ppn_z]]="","",IFERROR(
   IF(_xlfn.XLOOKUP(Final_Sans_VGE[[#This Row],[ppn_z]],tbl_Historique_Final[ppn_z],tbl_Historique_Final[date_modif])=Final_Sans_VGE[[#This Row],[date_modif]],
      "Ancien",
      "Modifié"),
   "Nouveau"))</f>
        <v>#VALUE!</v>
      </c>
      <c r="AD5953" s="1" t="str">
        <f>IFERROR(IF(Final_Sans_VGE[[#This Row],[ppn_z]]="","",IFERROR(
   IF(_xlfn.XLOOKUP(Final_Sans_VGE[[#This Row],[ppn_z]],tbl_Historique_Final[[#This Row],[ppn_z]],tbl_Historique_Final[[#This Row],[date_modif]])=Final_Sans_VGE[[#This Row],[date_modif]],
      "Ancien",
      "Modifié"),
   "Nouveau")),"")</f>
        <v/>
      </c>
    </row>
    <row r="5954" spans="24:30" x14ac:dyDescent="0.25">
      <c r="X5954" s="8" t="e">
        <f>IF(Final_Sans_VGE[[#This Row],[ppn_z]]="","",IFERROR(
   IF(_xlfn.XLOOKUP(Final_Sans_VGE[[#This Row],[ppn_z]],tbl_Historique_Final[ppn_z],tbl_Historique_Final[date_modif])=Final_Sans_VGE[[#This Row],[date_modif]],
      "Ancien",
      "Modifié"),
   "Nouveau"))</f>
        <v>#VALUE!</v>
      </c>
      <c r="AD5954" s="1" t="str">
        <f>IFERROR(IF(Final_Sans_VGE[[#This Row],[ppn_z]]="","",IFERROR(
   IF(_xlfn.XLOOKUP(Final_Sans_VGE[[#This Row],[ppn_z]],tbl_Historique_Final[[#This Row],[ppn_z]],tbl_Historique_Final[[#This Row],[date_modif]])=Final_Sans_VGE[[#This Row],[date_modif]],
      "Ancien",
      "Modifié"),
   "Nouveau")),"")</f>
        <v/>
      </c>
    </row>
    <row r="5955" spans="24:30" x14ac:dyDescent="0.25">
      <c r="X5955" s="8" t="e">
        <f>IF(Final_Sans_VGE[[#This Row],[ppn_z]]="","",IFERROR(
   IF(_xlfn.XLOOKUP(Final_Sans_VGE[[#This Row],[ppn_z]],tbl_Historique_Final[ppn_z],tbl_Historique_Final[date_modif])=Final_Sans_VGE[[#This Row],[date_modif]],
      "Ancien",
      "Modifié"),
   "Nouveau"))</f>
        <v>#VALUE!</v>
      </c>
      <c r="AD5955" s="1" t="str">
        <f>IFERROR(IF(Final_Sans_VGE[[#This Row],[ppn_z]]="","",IFERROR(
   IF(_xlfn.XLOOKUP(Final_Sans_VGE[[#This Row],[ppn_z]],tbl_Historique_Final[[#This Row],[ppn_z]],tbl_Historique_Final[[#This Row],[date_modif]])=Final_Sans_VGE[[#This Row],[date_modif]],
      "Ancien",
      "Modifié"),
   "Nouveau")),"")</f>
        <v/>
      </c>
    </row>
    <row r="5956" spans="24:30" x14ac:dyDescent="0.25">
      <c r="X5956" s="8" t="e">
        <f>IF(Final_Sans_VGE[[#This Row],[ppn_z]]="","",IFERROR(
   IF(_xlfn.XLOOKUP(Final_Sans_VGE[[#This Row],[ppn_z]],tbl_Historique_Final[ppn_z],tbl_Historique_Final[date_modif])=Final_Sans_VGE[[#This Row],[date_modif]],
      "Ancien",
      "Modifié"),
   "Nouveau"))</f>
        <v>#VALUE!</v>
      </c>
      <c r="AD5956" s="1" t="str">
        <f>IFERROR(IF(Final_Sans_VGE[[#This Row],[ppn_z]]="","",IFERROR(
   IF(_xlfn.XLOOKUP(Final_Sans_VGE[[#This Row],[ppn_z]],tbl_Historique_Final[[#This Row],[ppn_z]],tbl_Historique_Final[[#This Row],[date_modif]])=Final_Sans_VGE[[#This Row],[date_modif]],
      "Ancien",
      "Modifié"),
   "Nouveau")),"")</f>
        <v/>
      </c>
    </row>
    <row r="5957" spans="24:30" x14ac:dyDescent="0.25">
      <c r="X5957" s="8" t="e">
        <f>IF(Final_Sans_VGE[[#This Row],[ppn_z]]="","",IFERROR(
   IF(_xlfn.XLOOKUP(Final_Sans_VGE[[#This Row],[ppn_z]],tbl_Historique_Final[ppn_z],tbl_Historique_Final[date_modif])=Final_Sans_VGE[[#This Row],[date_modif]],
      "Ancien",
      "Modifié"),
   "Nouveau"))</f>
        <v>#VALUE!</v>
      </c>
      <c r="AD5957" s="1" t="str">
        <f>IFERROR(IF(Final_Sans_VGE[[#This Row],[ppn_z]]="","",IFERROR(
   IF(_xlfn.XLOOKUP(Final_Sans_VGE[[#This Row],[ppn_z]],tbl_Historique_Final[[#This Row],[ppn_z]],tbl_Historique_Final[[#This Row],[date_modif]])=Final_Sans_VGE[[#This Row],[date_modif]],
      "Ancien",
      "Modifié"),
   "Nouveau")),"")</f>
        <v/>
      </c>
    </row>
    <row r="5958" spans="24:30" x14ac:dyDescent="0.25">
      <c r="X5958" s="8" t="e">
        <f>IF(Final_Sans_VGE[[#This Row],[ppn_z]]="","",IFERROR(
   IF(_xlfn.XLOOKUP(Final_Sans_VGE[[#This Row],[ppn_z]],tbl_Historique_Final[ppn_z],tbl_Historique_Final[date_modif])=Final_Sans_VGE[[#This Row],[date_modif]],
      "Ancien",
      "Modifié"),
   "Nouveau"))</f>
        <v>#VALUE!</v>
      </c>
      <c r="AD5958" s="1" t="str">
        <f>IFERROR(IF(Final_Sans_VGE[[#This Row],[ppn_z]]="","",IFERROR(
   IF(_xlfn.XLOOKUP(Final_Sans_VGE[[#This Row],[ppn_z]],tbl_Historique_Final[[#This Row],[ppn_z]],tbl_Historique_Final[[#This Row],[date_modif]])=Final_Sans_VGE[[#This Row],[date_modif]],
      "Ancien",
      "Modifié"),
   "Nouveau")),"")</f>
        <v/>
      </c>
    </row>
    <row r="5959" spans="24:30" x14ac:dyDescent="0.25">
      <c r="X5959" s="8" t="e">
        <f>IF(Final_Sans_VGE[[#This Row],[ppn_z]]="","",IFERROR(
   IF(_xlfn.XLOOKUP(Final_Sans_VGE[[#This Row],[ppn_z]],tbl_Historique_Final[ppn_z],tbl_Historique_Final[date_modif])=Final_Sans_VGE[[#This Row],[date_modif]],
      "Ancien",
      "Modifié"),
   "Nouveau"))</f>
        <v>#VALUE!</v>
      </c>
      <c r="AD5959" s="1" t="str">
        <f>IFERROR(IF(Final_Sans_VGE[[#This Row],[ppn_z]]="","",IFERROR(
   IF(_xlfn.XLOOKUP(Final_Sans_VGE[[#This Row],[ppn_z]],tbl_Historique_Final[[#This Row],[ppn_z]],tbl_Historique_Final[[#This Row],[date_modif]])=Final_Sans_VGE[[#This Row],[date_modif]],
      "Ancien",
      "Modifié"),
   "Nouveau")),"")</f>
        <v/>
      </c>
    </row>
    <row r="5960" spans="24:30" x14ac:dyDescent="0.25">
      <c r="X5960" s="8" t="e">
        <f>IF(Final_Sans_VGE[[#This Row],[ppn_z]]="","",IFERROR(
   IF(_xlfn.XLOOKUP(Final_Sans_VGE[[#This Row],[ppn_z]],tbl_Historique_Final[ppn_z],tbl_Historique_Final[date_modif])=Final_Sans_VGE[[#This Row],[date_modif]],
      "Ancien",
      "Modifié"),
   "Nouveau"))</f>
        <v>#VALUE!</v>
      </c>
      <c r="AD5960" s="1" t="str">
        <f>IFERROR(IF(Final_Sans_VGE[[#This Row],[ppn_z]]="","",IFERROR(
   IF(_xlfn.XLOOKUP(Final_Sans_VGE[[#This Row],[ppn_z]],tbl_Historique_Final[[#This Row],[ppn_z]],tbl_Historique_Final[[#This Row],[date_modif]])=Final_Sans_VGE[[#This Row],[date_modif]],
      "Ancien",
      "Modifié"),
   "Nouveau")),"")</f>
        <v/>
      </c>
    </row>
    <row r="5961" spans="24:30" x14ac:dyDescent="0.25">
      <c r="X5961" s="8" t="e">
        <f>IF(Final_Sans_VGE[[#This Row],[ppn_z]]="","",IFERROR(
   IF(_xlfn.XLOOKUP(Final_Sans_VGE[[#This Row],[ppn_z]],tbl_Historique_Final[ppn_z],tbl_Historique_Final[date_modif])=Final_Sans_VGE[[#This Row],[date_modif]],
      "Ancien",
      "Modifié"),
   "Nouveau"))</f>
        <v>#VALUE!</v>
      </c>
      <c r="AD5961" s="1" t="str">
        <f>IFERROR(IF(Final_Sans_VGE[[#This Row],[ppn_z]]="","",IFERROR(
   IF(_xlfn.XLOOKUP(Final_Sans_VGE[[#This Row],[ppn_z]],tbl_Historique_Final[[#This Row],[ppn_z]],tbl_Historique_Final[[#This Row],[date_modif]])=Final_Sans_VGE[[#This Row],[date_modif]],
      "Ancien",
      "Modifié"),
   "Nouveau")),"")</f>
        <v/>
      </c>
    </row>
    <row r="5962" spans="24:30" x14ac:dyDescent="0.25">
      <c r="X5962" s="8" t="e">
        <f>IF(Final_Sans_VGE[[#This Row],[ppn_z]]="","",IFERROR(
   IF(_xlfn.XLOOKUP(Final_Sans_VGE[[#This Row],[ppn_z]],tbl_Historique_Final[ppn_z],tbl_Historique_Final[date_modif])=Final_Sans_VGE[[#This Row],[date_modif]],
      "Ancien",
      "Modifié"),
   "Nouveau"))</f>
        <v>#VALUE!</v>
      </c>
      <c r="AD5962" s="1" t="str">
        <f>IFERROR(IF(Final_Sans_VGE[[#This Row],[ppn_z]]="","",IFERROR(
   IF(_xlfn.XLOOKUP(Final_Sans_VGE[[#This Row],[ppn_z]],tbl_Historique_Final[[#This Row],[ppn_z]],tbl_Historique_Final[[#This Row],[date_modif]])=Final_Sans_VGE[[#This Row],[date_modif]],
      "Ancien",
      "Modifié"),
   "Nouveau")),"")</f>
        <v/>
      </c>
    </row>
    <row r="5963" spans="24:30" x14ac:dyDescent="0.25">
      <c r="X5963" s="8" t="e">
        <f>IF(Final_Sans_VGE[[#This Row],[ppn_z]]="","",IFERROR(
   IF(_xlfn.XLOOKUP(Final_Sans_VGE[[#This Row],[ppn_z]],tbl_Historique_Final[ppn_z],tbl_Historique_Final[date_modif])=Final_Sans_VGE[[#This Row],[date_modif]],
      "Ancien",
      "Modifié"),
   "Nouveau"))</f>
        <v>#VALUE!</v>
      </c>
      <c r="AD5963" s="1" t="str">
        <f>IFERROR(IF(Final_Sans_VGE[[#This Row],[ppn_z]]="","",IFERROR(
   IF(_xlfn.XLOOKUP(Final_Sans_VGE[[#This Row],[ppn_z]],tbl_Historique_Final[[#This Row],[ppn_z]],tbl_Historique_Final[[#This Row],[date_modif]])=Final_Sans_VGE[[#This Row],[date_modif]],
      "Ancien",
      "Modifié"),
   "Nouveau")),"")</f>
        <v/>
      </c>
    </row>
    <row r="5964" spans="24:30" x14ac:dyDescent="0.25">
      <c r="X5964" s="8" t="e">
        <f>IF(Final_Sans_VGE[[#This Row],[ppn_z]]="","",IFERROR(
   IF(_xlfn.XLOOKUP(Final_Sans_VGE[[#This Row],[ppn_z]],tbl_Historique_Final[ppn_z],tbl_Historique_Final[date_modif])=Final_Sans_VGE[[#This Row],[date_modif]],
      "Ancien",
      "Modifié"),
   "Nouveau"))</f>
        <v>#VALUE!</v>
      </c>
      <c r="AD5964" s="1" t="str">
        <f>IFERROR(IF(Final_Sans_VGE[[#This Row],[ppn_z]]="","",IFERROR(
   IF(_xlfn.XLOOKUP(Final_Sans_VGE[[#This Row],[ppn_z]],tbl_Historique_Final[[#This Row],[ppn_z]],tbl_Historique_Final[[#This Row],[date_modif]])=Final_Sans_VGE[[#This Row],[date_modif]],
      "Ancien",
      "Modifié"),
   "Nouveau")),"")</f>
        <v/>
      </c>
    </row>
    <row r="5965" spans="24:30" x14ac:dyDescent="0.25">
      <c r="X5965" s="8" t="e">
        <f>IF(Final_Sans_VGE[[#This Row],[ppn_z]]="","",IFERROR(
   IF(_xlfn.XLOOKUP(Final_Sans_VGE[[#This Row],[ppn_z]],tbl_Historique_Final[ppn_z],tbl_Historique_Final[date_modif])=Final_Sans_VGE[[#This Row],[date_modif]],
      "Ancien",
      "Modifié"),
   "Nouveau"))</f>
        <v>#VALUE!</v>
      </c>
      <c r="AD5965" s="1" t="str">
        <f>IFERROR(IF(Final_Sans_VGE[[#This Row],[ppn_z]]="","",IFERROR(
   IF(_xlfn.XLOOKUP(Final_Sans_VGE[[#This Row],[ppn_z]],tbl_Historique_Final[[#This Row],[ppn_z]],tbl_Historique_Final[[#This Row],[date_modif]])=Final_Sans_VGE[[#This Row],[date_modif]],
      "Ancien",
      "Modifié"),
   "Nouveau")),"")</f>
        <v/>
      </c>
    </row>
    <row r="5966" spans="24:30" x14ac:dyDescent="0.25">
      <c r="X5966" s="8" t="e">
        <f>IF(Final_Sans_VGE[[#This Row],[ppn_z]]="","",IFERROR(
   IF(_xlfn.XLOOKUP(Final_Sans_VGE[[#This Row],[ppn_z]],tbl_Historique_Final[ppn_z],tbl_Historique_Final[date_modif])=Final_Sans_VGE[[#This Row],[date_modif]],
      "Ancien",
      "Modifié"),
   "Nouveau"))</f>
        <v>#VALUE!</v>
      </c>
      <c r="AD5966" s="1" t="str">
        <f>IFERROR(IF(Final_Sans_VGE[[#This Row],[ppn_z]]="","",IFERROR(
   IF(_xlfn.XLOOKUP(Final_Sans_VGE[[#This Row],[ppn_z]],tbl_Historique_Final[[#This Row],[ppn_z]],tbl_Historique_Final[[#This Row],[date_modif]])=Final_Sans_VGE[[#This Row],[date_modif]],
      "Ancien",
      "Modifié"),
   "Nouveau")),"")</f>
        <v/>
      </c>
    </row>
    <row r="5967" spans="24:30" x14ac:dyDescent="0.25">
      <c r="X5967" s="8" t="e">
        <f>IF(Final_Sans_VGE[[#This Row],[ppn_z]]="","",IFERROR(
   IF(_xlfn.XLOOKUP(Final_Sans_VGE[[#This Row],[ppn_z]],tbl_Historique_Final[ppn_z],tbl_Historique_Final[date_modif])=Final_Sans_VGE[[#This Row],[date_modif]],
      "Ancien",
      "Modifié"),
   "Nouveau"))</f>
        <v>#VALUE!</v>
      </c>
      <c r="AD5967" s="1" t="str">
        <f>IFERROR(IF(Final_Sans_VGE[[#This Row],[ppn_z]]="","",IFERROR(
   IF(_xlfn.XLOOKUP(Final_Sans_VGE[[#This Row],[ppn_z]],tbl_Historique_Final[[#This Row],[ppn_z]],tbl_Historique_Final[[#This Row],[date_modif]])=Final_Sans_VGE[[#This Row],[date_modif]],
      "Ancien",
      "Modifié"),
   "Nouveau")),"")</f>
        <v/>
      </c>
    </row>
    <row r="5968" spans="24:30" x14ac:dyDescent="0.25">
      <c r="X5968" s="8" t="e">
        <f>IF(Final_Sans_VGE[[#This Row],[ppn_z]]="","",IFERROR(
   IF(_xlfn.XLOOKUP(Final_Sans_VGE[[#This Row],[ppn_z]],tbl_Historique_Final[ppn_z],tbl_Historique_Final[date_modif])=Final_Sans_VGE[[#This Row],[date_modif]],
      "Ancien",
      "Modifié"),
   "Nouveau"))</f>
        <v>#VALUE!</v>
      </c>
      <c r="AD5968" s="1" t="str">
        <f>IFERROR(IF(Final_Sans_VGE[[#This Row],[ppn_z]]="","",IFERROR(
   IF(_xlfn.XLOOKUP(Final_Sans_VGE[[#This Row],[ppn_z]],tbl_Historique_Final[[#This Row],[ppn_z]],tbl_Historique_Final[[#This Row],[date_modif]])=Final_Sans_VGE[[#This Row],[date_modif]],
      "Ancien",
      "Modifié"),
   "Nouveau")),"")</f>
        <v/>
      </c>
    </row>
    <row r="5969" spans="24:30" x14ac:dyDescent="0.25">
      <c r="X5969" s="8" t="e">
        <f>IF(Final_Sans_VGE[[#This Row],[ppn_z]]="","",IFERROR(
   IF(_xlfn.XLOOKUP(Final_Sans_VGE[[#This Row],[ppn_z]],tbl_Historique_Final[ppn_z],tbl_Historique_Final[date_modif])=Final_Sans_VGE[[#This Row],[date_modif]],
      "Ancien",
      "Modifié"),
   "Nouveau"))</f>
        <v>#VALUE!</v>
      </c>
      <c r="AD5969" s="1" t="str">
        <f>IFERROR(IF(Final_Sans_VGE[[#This Row],[ppn_z]]="","",IFERROR(
   IF(_xlfn.XLOOKUP(Final_Sans_VGE[[#This Row],[ppn_z]],tbl_Historique_Final[[#This Row],[ppn_z]],tbl_Historique_Final[[#This Row],[date_modif]])=Final_Sans_VGE[[#This Row],[date_modif]],
      "Ancien",
      "Modifié"),
   "Nouveau")),"")</f>
        <v/>
      </c>
    </row>
    <row r="5970" spans="24:30" x14ac:dyDescent="0.25">
      <c r="X5970" s="8" t="e">
        <f>IF(Final_Sans_VGE[[#This Row],[ppn_z]]="","",IFERROR(
   IF(_xlfn.XLOOKUP(Final_Sans_VGE[[#This Row],[ppn_z]],tbl_Historique_Final[ppn_z],tbl_Historique_Final[date_modif])=Final_Sans_VGE[[#This Row],[date_modif]],
      "Ancien",
      "Modifié"),
   "Nouveau"))</f>
        <v>#VALUE!</v>
      </c>
      <c r="AD5970" s="1" t="str">
        <f>IFERROR(IF(Final_Sans_VGE[[#This Row],[ppn_z]]="","",IFERROR(
   IF(_xlfn.XLOOKUP(Final_Sans_VGE[[#This Row],[ppn_z]],tbl_Historique_Final[[#This Row],[ppn_z]],tbl_Historique_Final[[#This Row],[date_modif]])=Final_Sans_VGE[[#This Row],[date_modif]],
      "Ancien",
      "Modifié"),
   "Nouveau")),"")</f>
        <v/>
      </c>
    </row>
    <row r="5971" spans="24:30" x14ac:dyDescent="0.25">
      <c r="X5971" s="8" t="e">
        <f>IF(Final_Sans_VGE[[#This Row],[ppn_z]]="","",IFERROR(
   IF(_xlfn.XLOOKUP(Final_Sans_VGE[[#This Row],[ppn_z]],tbl_Historique_Final[ppn_z],tbl_Historique_Final[date_modif])=Final_Sans_VGE[[#This Row],[date_modif]],
      "Ancien",
      "Modifié"),
   "Nouveau"))</f>
        <v>#VALUE!</v>
      </c>
      <c r="AD5971" s="1" t="str">
        <f>IFERROR(IF(Final_Sans_VGE[[#This Row],[ppn_z]]="","",IFERROR(
   IF(_xlfn.XLOOKUP(Final_Sans_VGE[[#This Row],[ppn_z]],tbl_Historique_Final[[#This Row],[ppn_z]],tbl_Historique_Final[[#This Row],[date_modif]])=Final_Sans_VGE[[#This Row],[date_modif]],
      "Ancien",
      "Modifié"),
   "Nouveau")),"")</f>
        <v/>
      </c>
    </row>
    <row r="5972" spans="24:30" x14ac:dyDescent="0.25">
      <c r="X5972" s="8" t="e">
        <f>IF(Final_Sans_VGE[[#This Row],[ppn_z]]="","",IFERROR(
   IF(_xlfn.XLOOKUP(Final_Sans_VGE[[#This Row],[ppn_z]],tbl_Historique_Final[ppn_z],tbl_Historique_Final[date_modif])=Final_Sans_VGE[[#This Row],[date_modif]],
      "Ancien",
      "Modifié"),
   "Nouveau"))</f>
        <v>#VALUE!</v>
      </c>
      <c r="AD5972" s="1" t="str">
        <f>IFERROR(IF(Final_Sans_VGE[[#This Row],[ppn_z]]="","",IFERROR(
   IF(_xlfn.XLOOKUP(Final_Sans_VGE[[#This Row],[ppn_z]],tbl_Historique_Final[[#This Row],[ppn_z]],tbl_Historique_Final[[#This Row],[date_modif]])=Final_Sans_VGE[[#This Row],[date_modif]],
      "Ancien",
      "Modifié"),
   "Nouveau")),"")</f>
        <v/>
      </c>
    </row>
    <row r="5973" spans="24:30" x14ac:dyDescent="0.25">
      <c r="X5973" s="8" t="e">
        <f>IF(Final_Sans_VGE[[#This Row],[ppn_z]]="","",IFERROR(
   IF(_xlfn.XLOOKUP(Final_Sans_VGE[[#This Row],[ppn_z]],tbl_Historique_Final[ppn_z],tbl_Historique_Final[date_modif])=Final_Sans_VGE[[#This Row],[date_modif]],
      "Ancien",
      "Modifié"),
   "Nouveau"))</f>
        <v>#VALUE!</v>
      </c>
      <c r="AD5973" s="1" t="str">
        <f>IFERROR(IF(Final_Sans_VGE[[#This Row],[ppn_z]]="","",IFERROR(
   IF(_xlfn.XLOOKUP(Final_Sans_VGE[[#This Row],[ppn_z]],tbl_Historique_Final[[#This Row],[ppn_z]],tbl_Historique_Final[[#This Row],[date_modif]])=Final_Sans_VGE[[#This Row],[date_modif]],
      "Ancien",
      "Modifié"),
   "Nouveau")),"")</f>
        <v/>
      </c>
    </row>
    <row r="5974" spans="24:30" x14ac:dyDescent="0.25">
      <c r="X5974" s="8" t="e">
        <f>IF(Final_Sans_VGE[[#This Row],[ppn_z]]="","",IFERROR(
   IF(_xlfn.XLOOKUP(Final_Sans_VGE[[#This Row],[ppn_z]],tbl_Historique_Final[ppn_z],tbl_Historique_Final[date_modif])=Final_Sans_VGE[[#This Row],[date_modif]],
      "Ancien",
      "Modifié"),
   "Nouveau"))</f>
        <v>#VALUE!</v>
      </c>
      <c r="AD5974" s="1" t="str">
        <f>IFERROR(IF(Final_Sans_VGE[[#This Row],[ppn_z]]="","",IFERROR(
   IF(_xlfn.XLOOKUP(Final_Sans_VGE[[#This Row],[ppn_z]],tbl_Historique_Final[[#This Row],[ppn_z]],tbl_Historique_Final[[#This Row],[date_modif]])=Final_Sans_VGE[[#This Row],[date_modif]],
      "Ancien",
      "Modifié"),
   "Nouveau")),"")</f>
        <v/>
      </c>
    </row>
    <row r="5975" spans="24:30" x14ac:dyDescent="0.25">
      <c r="X5975" s="8" t="e">
        <f>IF(Final_Sans_VGE[[#This Row],[ppn_z]]="","",IFERROR(
   IF(_xlfn.XLOOKUP(Final_Sans_VGE[[#This Row],[ppn_z]],tbl_Historique_Final[ppn_z],tbl_Historique_Final[date_modif])=Final_Sans_VGE[[#This Row],[date_modif]],
      "Ancien",
      "Modifié"),
   "Nouveau"))</f>
        <v>#VALUE!</v>
      </c>
      <c r="AD5975" s="1" t="str">
        <f>IFERROR(IF(Final_Sans_VGE[[#This Row],[ppn_z]]="","",IFERROR(
   IF(_xlfn.XLOOKUP(Final_Sans_VGE[[#This Row],[ppn_z]],tbl_Historique_Final[[#This Row],[ppn_z]],tbl_Historique_Final[[#This Row],[date_modif]])=Final_Sans_VGE[[#This Row],[date_modif]],
      "Ancien",
      "Modifié"),
   "Nouveau")),"")</f>
        <v/>
      </c>
    </row>
    <row r="5976" spans="24:30" x14ac:dyDescent="0.25">
      <c r="X5976" s="8" t="e">
        <f>IF(Final_Sans_VGE[[#This Row],[ppn_z]]="","",IFERROR(
   IF(_xlfn.XLOOKUP(Final_Sans_VGE[[#This Row],[ppn_z]],tbl_Historique_Final[ppn_z],tbl_Historique_Final[date_modif])=Final_Sans_VGE[[#This Row],[date_modif]],
      "Ancien",
      "Modifié"),
   "Nouveau"))</f>
        <v>#VALUE!</v>
      </c>
      <c r="AD5976" s="1" t="str">
        <f>IFERROR(IF(Final_Sans_VGE[[#This Row],[ppn_z]]="","",IFERROR(
   IF(_xlfn.XLOOKUP(Final_Sans_VGE[[#This Row],[ppn_z]],tbl_Historique_Final[[#This Row],[ppn_z]],tbl_Historique_Final[[#This Row],[date_modif]])=Final_Sans_VGE[[#This Row],[date_modif]],
      "Ancien",
      "Modifié"),
   "Nouveau")),"")</f>
        <v/>
      </c>
    </row>
    <row r="5977" spans="24:30" x14ac:dyDescent="0.25">
      <c r="X5977" s="8" t="e">
        <f>IF(Final_Sans_VGE[[#This Row],[ppn_z]]="","",IFERROR(
   IF(_xlfn.XLOOKUP(Final_Sans_VGE[[#This Row],[ppn_z]],tbl_Historique_Final[ppn_z],tbl_Historique_Final[date_modif])=Final_Sans_VGE[[#This Row],[date_modif]],
      "Ancien",
      "Modifié"),
   "Nouveau"))</f>
        <v>#VALUE!</v>
      </c>
      <c r="AD5977" s="1" t="str">
        <f>IFERROR(IF(Final_Sans_VGE[[#This Row],[ppn_z]]="","",IFERROR(
   IF(_xlfn.XLOOKUP(Final_Sans_VGE[[#This Row],[ppn_z]],tbl_Historique_Final[[#This Row],[ppn_z]],tbl_Historique_Final[[#This Row],[date_modif]])=Final_Sans_VGE[[#This Row],[date_modif]],
      "Ancien",
      "Modifié"),
   "Nouveau")),"")</f>
        <v/>
      </c>
    </row>
    <row r="5978" spans="24:30" x14ac:dyDescent="0.25">
      <c r="X5978" s="8" t="e">
        <f>IF(Final_Sans_VGE[[#This Row],[ppn_z]]="","",IFERROR(
   IF(_xlfn.XLOOKUP(Final_Sans_VGE[[#This Row],[ppn_z]],tbl_Historique_Final[ppn_z],tbl_Historique_Final[date_modif])=Final_Sans_VGE[[#This Row],[date_modif]],
      "Ancien",
      "Modifié"),
   "Nouveau"))</f>
        <v>#VALUE!</v>
      </c>
      <c r="AD5978" s="1" t="str">
        <f>IFERROR(IF(Final_Sans_VGE[[#This Row],[ppn_z]]="","",IFERROR(
   IF(_xlfn.XLOOKUP(Final_Sans_VGE[[#This Row],[ppn_z]],tbl_Historique_Final[[#This Row],[ppn_z]],tbl_Historique_Final[[#This Row],[date_modif]])=Final_Sans_VGE[[#This Row],[date_modif]],
      "Ancien",
      "Modifié"),
   "Nouveau")),"")</f>
        <v/>
      </c>
    </row>
    <row r="5979" spans="24:30" x14ac:dyDescent="0.25">
      <c r="X5979" s="8" t="e">
        <f>IF(Final_Sans_VGE[[#This Row],[ppn_z]]="","",IFERROR(
   IF(_xlfn.XLOOKUP(Final_Sans_VGE[[#This Row],[ppn_z]],tbl_Historique_Final[ppn_z],tbl_Historique_Final[date_modif])=Final_Sans_VGE[[#This Row],[date_modif]],
      "Ancien",
      "Modifié"),
   "Nouveau"))</f>
        <v>#VALUE!</v>
      </c>
      <c r="AD5979" s="1" t="str">
        <f>IFERROR(IF(Final_Sans_VGE[[#This Row],[ppn_z]]="","",IFERROR(
   IF(_xlfn.XLOOKUP(Final_Sans_VGE[[#This Row],[ppn_z]],tbl_Historique_Final[[#This Row],[ppn_z]],tbl_Historique_Final[[#This Row],[date_modif]])=Final_Sans_VGE[[#This Row],[date_modif]],
      "Ancien",
      "Modifié"),
   "Nouveau")),"")</f>
        <v/>
      </c>
    </row>
    <row r="5980" spans="24:30" x14ac:dyDescent="0.25">
      <c r="X5980" s="8" t="e">
        <f>IF(Final_Sans_VGE[[#This Row],[ppn_z]]="","",IFERROR(
   IF(_xlfn.XLOOKUP(Final_Sans_VGE[[#This Row],[ppn_z]],tbl_Historique_Final[ppn_z],tbl_Historique_Final[date_modif])=Final_Sans_VGE[[#This Row],[date_modif]],
      "Ancien",
      "Modifié"),
   "Nouveau"))</f>
        <v>#VALUE!</v>
      </c>
      <c r="AD5980" s="1" t="str">
        <f>IFERROR(IF(Final_Sans_VGE[[#This Row],[ppn_z]]="","",IFERROR(
   IF(_xlfn.XLOOKUP(Final_Sans_VGE[[#This Row],[ppn_z]],tbl_Historique_Final[[#This Row],[ppn_z]],tbl_Historique_Final[[#This Row],[date_modif]])=Final_Sans_VGE[[#This Row],[date_modif]],
      "Ancien",
      "Modifié"),
   "Nouveau")),"")</f>
        <v/>
      </c>
    </row>
    <row r="5981" spans="24:30" x14ac:dyDescent="0.25">
      <c r="X5981" s="8" t="e">
        <f>IF(Final_Sans_VGE[[#This Row],[ppn_z]]="","",IFERROR(
   IF(_xlfn.XLOOKUP(Final_Sans_VGE[[#This Row],[ppn_z]],tbl_Historique_Final[ppn_z],tbl_Historique_Final[date_modif])=Final_Sans_VGE[[#This Row],[date_modif]],
      "Ancien",
      "Modifié"),
   "Nouveau"))</f>
        <v>#VALUE!</v>
      </c>
      <c r="AD5981" s="1" t="str">
        <f>IFERROR(IF(Final_Sans_VGE[[#This Row],[ppn_z]]="","",IFERROR(
   IF(_xlfn.XLOOKUP(Final_Sans_VGE[[#This Row],[ppn_z]],tbl_Historique_Final[[#This Row],[ppn_z]],tbl_Historique_Final[[#This Row],[date_modif]])=Final_Sans_VGE[[#This Row],[date_modif]],
      "Ancien",
      "Modifié"),
   "Nouveau")),"")</f>
        <v/>
      </c>
    </row>
    <row r="5982" spans="24:30" x14ac:dyDescent="0.25">
      <c r="X5982" s="8" t="e">
        <f>IF(Final_Sans_VGE[[#This Row],[ppn_z]]="","",IFERROR(
   IF(_xlfn.XLOOKUP(Final_Sans_VGE[[#This Row],[ppn_z]],tbl_Historique_Final[ppn_z],tbl_Historique_Final[date_modif])=Final_Sans_VGE[[#This Row],[date_modif]],
      "Ancien",
      "Modifié"),
   "Nouveau"))</f>
        <v>#VALUE!</v>
      </c>
      <c r="AD5982" s="1" t="str">
        <f>IFERROR(IF(Final_Sans_VGE[[#This Row],[ppn_z]]="","",IFERROR(
   IF(_xlfn.XLOOKUP(Final_Sans_VGE[[#This Row],[ppn_z]],tbl_Historique_Final[[#This Row],[ppn_z]],tbl_Historique_Final[[#This Row],[date_modif]])=Final_Sans_VGE[[#This Row],[date_modif]],
      "Ancien",
      "Modifié"),
   "Nouveau")),"")</f>
        <v/>
      </c>
    </row>
    <row r="5983" spans="24:30" x14ac:dyDescent="0.25">
      <c r="X5983" s="8" t="e">
        <f>IF(Final_Sans_VGE[[#This Row],[ppn_z]]="","",IFERROR(
   IF(_xlfn.XLOOKUP(Final_Sans_VGE[[#This Row],[ppn_z]],tbl_Historique_Final[ppn_z],tbl_Historique_Final[date_modif])=Final_Sans_VGE[[#This Row],[date_modif]],
      "Ancien",
      "Modifié"),
   "Nouveau"))</f>
        <v>#VALUE!</v>
      </c>
      <c r="AD5983" s="1" t="str">
        <f>IFERROR(IF(Final_Sans_VGE[[#This Row],[ppn_z]]="","",IFERROR(
   IF(_xlfn.XLOOKUP(Final_Sans_VGE[[#This Row],[ppn_z]],tbl_Historique_Final[[#This Row],[ppn_z]],tbl_Historique_Final[[#This Row],[date_modif]])=Final_Sans_VGE[[#This Row],[date_modif]],
      "Ancien",
      "Modifié"),
   "Nouveau")),"")</f>
        <v/>
      </c>
    </row>
    <row r="5984" spans="24:30" x14ac:dyDescent="0.25">
      <c r="X5984" s="8" t="e">
        <f>IF(Final_Sans_VGE[[#This Row],[ppn_z]]="","",IFERROR(
   IF(_xlfn.XLOOKUP(Final_Sans_VGE[[#This Row],[ppn_z]],tbl_Historique_Final[ppn_z],tbl_Historique_Final[date_modif])=Final_Sans_VGE[[#This Row],[date_modif]],
      "Ancien",
      "Modifié"),
   "Nouveau"))</f>
        <v>#VALUE!</v>
      </c>
      <c r="AD5984" s="1" t="str">
        <f>IFERROR(IF(Final_Sans_VGE[[#This Row],[ppn_z]]="","",IFERROR(
   IF(_xlfn.XLOOKUP(Final_Sans_VGE[[#This Row],[ppn_z]],tbl_Historique_Final[[#This Row],[ppn_z]],tbl_Historique_Final[[#This Row],[date_modif]])=Final_Sans_VGE[[#This Row],[date_modif]],
      "Ancien",
      "Modifié"),
   "Nouveau")),"")</f>
        <v/>
      </c>
    </row>
    <row r="5985" spans="24:30" x14ac:dyDescent="0.25">
      <c r="X5985" s="8" t="e">
        <f>IF(Final_Sans_VGE[[#This Row],[ppn_z]]="","",IFERROR(
   IF(_xlfn.XLOOKUP(Final_Sans_VGE[[#This Row],[ppn_z]],tbl_Historique_Final[ppn_z],tbl_Historique_Final[date_modif])=Final_Sans_VGE[[#This Row],[date_modif]],
      "Ancien",
      "Modifié"),
   "Nouveau"))</f>
        <v>#VALUE!</v>
      </c>
      <c r="AD5985" s="1" t="str">
        <f>IFERROR(IF(Final_Sans_VGE[[#This Row],[ppn_z]]="","",IFERROR(
   IF(_xlfn.XLOOKUP(Final_Sans_VGE[[#This Row],[ppn_z]],tbl_Historique_Final[[#This Row],[ppn_z]],tbl_Historique_Final[[#This Row],[date_modif]])=Final_Sans_VGE[[#This Row],[date_modif]],
      "Ancien",
      "Modifié"),
   "Nouveau")),"")</f>
        <v/>
      </c>
    </row>
    <row r="5986" spans="24:30" x14ac:dyDescent="0.25">
      <c r="X5986" s="8" t="e">
        <f>IF(Final_Sans_VGE[[#This Row],[ppn_z]]="","",IFERROR(
   IF(_xlfn.XLOOKUP(Final_Sans_VGE[[#This Row],[ppn_z]],tbl_Historique_Final[ppn_z],tbl_Historique_Final[date_modif])=Final_Sans_VGE[[#This Row],[date_modif]],
      "Ancien",
      "Modifié"),
   "Nouveau"))</f>
        <v>#VALUE!</v>
      </c>
      <c r="AD5986" s="1" t="str">
        <f>IFERROR(IF(Final_Sans_VGE[[#This Row],[ppn_z]]="","",IFERROR(
   IF(_xlfn.XLOOKUP(Final_Sans_VGE[[#This Row],[ppn_z]],tbl_Historique_Final[[#This Row],[ppn_z]],tbl_Historique_Final[[#This Row],[date_modif]])=Final_Sans_VGE[[#This Row],[date_modif]],
      "Ancien",
      "Modifié"),
   "Nouveau")),"")</f>
        <v/>
      </c>
    </row>
    <row r="5987" spans="24:30" x14ac:dyDescent="0.25">
      <c r="X5987" s="8" t="e">
        <f>IF(Final_Sans_VGE[[#This Row],[ppn_z]]="","",IFERROR(
   IF(_xlfn.XLOOKUP(Final_Sans_VGE[[#This Row],[ppn_z]],tbl_Historique_Final[ppn_z],tbl_Historique_Final[date_modif])=Final_Sans_VGE[[#This Row],[date_modif]],
      "Ancien",
      "Modifié"),
   "Nouveau"))</f>
        <v>#VALUE!</v>
      </c>
      <c r="AD5987" s="1" t="str">
        <f>IFERROR(IF(Final_Sans_VGE[[#This Row],[ppn_z]]="","",IFERROR(
   IF(_xlfn.XLOOKUP(Final_Sans_VGE[[#This Row],[ppn_z]],tbl_Historique_Final[[#This Row],[ppn_z]],tbl_Historique_Final[[#This Row],[date_modif]])=Final_Sans_VGE[[#This Row],[date_modif]],
      "Ancien",
      "Modifié"),
   "Nouveau")),"")</f>
        <v/>
      </c>
    </row>
    <row r="5988" spans="24:30" x14ac:dyDescent="0.25">
      <c r="X5988" s="8" t="e">
        <f>IF(Final_Sans_VGE[[#This Row],[ppn_z]]="","",IFERROR(
   IF(_xlfn.XLOOKUP(Final_Sans_VGE[[#This Row],[ppn_z]],tbl_Historique_Final[ppn_z],tbl_Historique_Final[date_modif])=Final_Sans_VGE[[#This Row],[date_modif]],
      "Ancien",
      "Modifié"),
   "Nouveau"))</f>
        <v>#VALUE!</v>
      </c>
      <c r="AD5988" s="1" t="str">
        <f>IFERROR(IF(Final_Sans_VGE[[#This Row],[ppn_z]]="","",IFERROR(
   IF(_xlfn.XLOOKUP(Final_Sans_VGE[[#This Row],[ppn_z]],tbl_Historique_Final[[#This Row],[ppn_z]],tbl_Historique_Final[[#This Row],[date_modif]])=Final_Sans_VGE[[#This Row],[date_modif]],
      "Ancien",
      "Modifié"),
   "Nouveau")),"")</f>
        <v/>
      </c>
    </row>
    <row r="5989" spans="24:30" x14ac:dyDescent="0.25">
      <c r="X5989" s="8" t="e">
        <f>IF(Final_Sans_VGE[[#This Row],[ppn_z]]="","",IFERROR(
   IF(_xlfn.XLOOKUP(Final_Sans_VGE[[#This Row],[ppn_z]],tbl_Historique_Final[ppn_z],tbl_Historique_Final[date_modif])=Final_Sans_VGE[[#This Row],[date_modif]],
      "Ancien",
      "Modifié"),
   "Nouveau"))</f>
        <v>#VALUE!</v>
      </c>
      <c r="AD5989" s="1" t="str">
        <f>IFERROR(IF(Final_Sans_VGE[[#This Row],[ppn_z]]="","",IFERROR(
   IF(_xlfn.XLOOKUP(Final_Sans_VGE[[#This Row],[ppn_z]],tbl_Historique_Final[[#This Row],[ppn_z]],tbl_Historique_Final[[#This Row],[date_modif]])=Final_Sans_VGE[[#This Row],[date_modif]],
      "Ancien",
      "Modifié"),
   "Nouveau")),"")</f>
        <v/>
      </c>
    </row>
    <row r="5990" spans="24:30" x14ac:dyDescent="0.25">
      <c r="X5990" s="8" t="e">
        <f>IF(Final_Sans_VGE[[#This Row],[ppn_z]]="","",IFERROR(
   IF(_xlfn.XLOOKUP(Final_Sans_VGE[[#This Row],[ppn_z]],tbl_Historique_Final[ppn_z],tbl_Historique_Final[date_modif])=Final_Sans_VGE[[#This Row],[date_modif]],
      "Ancien",
      "Modifié"),
   "Nouveau"))</f>
        <v>#VALUE!</v>
      </c>
      <c r="AD5990" s="1" t="str">
        <f>IFERROR(IF(Final_Sans_VGE[[#This Row],[ppn_z]]="","",IFERROR(
   IF(_xlfn.XLOOKUP(Final_Sans_VGE[[#This Row],[ppn_z]],tbl_Historique_Final[[#This Row],[ppn_z]],tbl_Historique_Final[[#This Row],[date_modif]])=Final_Sans_VGE[[#This Row],[date_modif]],
      "Ancien",
      "Modifié"),
   "Nouveau")),"")</f>
        <v/>
      </c>
    </row>
    <row r="5991" spans="24:30" x14ac:dyDescent="0.25">
      <c r="X5991" s="8" t="e">
        <f>IF(Final_Sans_VGE[[#This Row],[ppn_z]]="","",IFERROR(
   IF(_xlfn.XLOOKUP(Final_Sans_VGE[[#This Row],[ppn_z]],tbl_Historique_Final[ppn_z],tbl_Historique_Final[date_modif])=Final_Sans_VGE[[#This Row],[date_modif]],
      "Ancien",
      "Modifié"),
   "Nouveau"))</f>
        <v>#VALUE!</v>
      </c>
      <c r="AD5991" s="1" t="str">
        <f>IFERROR(IF(Final_Sans_VGE[[#This Row],[ppn_z]]="","",IFERROR(
   IF(_xlfn.XLOOKUP(Final_Sans_VGE[[#This Row],[ppn_z]],tbl_Historique_Final[[#This Row],[ppn_z]],tbl_Historique_Final[[#This Row],[date_modif]])=Final_Sans_VGE[[#This Row],[date_modif]],
      "Ancien",
      "Modifié"),
   "Nouveau")),"")</f>
        <v/>
      </c>
    </row>
    <row r="5992" spans="24:30" x14ac:dyDescent="0.25">
      <c r="X5992" s="8" t="e">
        <f>IF(Final_Sans_VGE[[#This Row],[ppn_z]]="","",IFERROR(
   IF(_xlfn.XLOOKUP(Final_Sans_VGE[[#This Row],[ppn_z]],tbl_Historique_Final[ppn_z],tbl_Historique_Final[date_modif])=Final_Sans_VGE[[#This Row],[date_modif]],
      "Ancien",
      "Modifié"),
   "Nouveau"))</f>
        <v>#VALUE!</v>
      </c>
      <c r="AD5992" s="1" t="str">
        <f>IFERROR(IF(Final_Sans_VGE[[#This Row],[ppn_z]]="","",IFERROR(
   IF(_xlfn.XLOOKUP(Final_Sans_VGE[[#This Row],[ppn_z]],tbl_Historique_Final[[#This Row],[ppn_z]],tbl_Historique_Final[[#This Row],[date_modif]])=Final_Sans_VGE[[#This Row],[date_modif]],
      "Ancien",
      "Modifié"),
   "Nouveau")),"")</f>
        <v/>
      </c>
    </row>
    <row r="5993" spans="24:30" x14ac:dyDescent="0.25">
      <c r="X5993" s="8" t="e">
        <f>IF(Final_Sans_VGE[[#This Row],[ppn_z]]="","",IFERROR(
   IF(_xlfn.XLOOKUP(Final_Sans_VGE[[#This Row],[ppn_z]],tbl_Historique_Final[ppn_z],tbl_Historique_Final[date_modif])=Final_Sans_VGE[[#This Row],[date_modif]],
      "Ancien",
      "Modifié"),
   "Nouveau"))</f>
        <v>#VALUE!</v>
      </c>
      <c r="AD5993" s="1" t="str">
        <f>IFERROR(IF(Final_Sans_VGE[[#This Row],[ppn_z]]="","",IFERROR(
   IF(_xlfn.XLOOKUP(Final_Sans_VGE[[#This Row],[ppn_z]],tbl_Historique_Final[[#This Row],[ppn_z]],tbl_Historique_Final[[#This Row],[date_modif]])=Final_Sans_VGE[[#This Row],[date_modif]],
      "Ancien",
      "Modifié"),
   "Nouveau")),"")</f>
        <v/>
      </c>
    </row>
    <row r="5994" spans="24:30" x14ac:dyDescent="0.25">
      <c r="X5994" s="8" t="e">
        <f>IF(Final_Sans_VGE[[#This Row],[ppn_z]]="","",IFERROR(
   IF(_xlfn.XLOOKUP(Final_Sans_VGE[[#This Row],[ppn_z]],tbl_Historique_Final[ppn_z],tbl_Historique_Final[date_modif])=Final_Sans_VGE[[#This Row],[date_modif]],
      "Ancien",
      "Modifié"),
   "Nouveau"))</f>
        <v>#VALUE!</v>
      </c>
      <c r="AD5994" s="1" t="str">
        <f>IFERROR(IF(Final_Sans_VGE[[#This Row],[ppn_z]]="","",IFERROR(
   IF(_xlfn.XLOOKUP(Final_Sans_VGE[[#This Row],[ppn_z]],tbl_Historique_Final[[#This Row],[ppn_z]],tbl_Historique_Final[[#This Row],[date_modif]])=Final_Sans_VGE[[#This Row],[date_modif]],
      "Ancien",
      "Modifié"),
   "Nouveau")),"")</f>
        <v/>
      </c>
    </row>
    <row r="5995" spans="24:30" x14ac:dyDescent="0.25">
      <c r="X5995" s="8" t="e">
        <f>IF(Final_Sans_VGE[[#This Row],[ppn_z]]="","",IFERROR(
   IF(_xlfn.XLOOKUP(Final_Sans_VGE[[#This Row],[ppn_z]],tbl_Historique_Final[ppn_z],tbl_Historique_Final[date_modif])=Final_Sans_VGE[[#This Row],[date_modif]],
      "Ancien",
      "Modifié"),
   "Nouveau"))</f>
        <v>#VALUE!</v>
      </c>
      <c r="AD5995" s="1" t="str">
        <f>IFERROR(IF(Final_Sans_VGE[[#This Row],[ppn_z]]="","",IFERROR(
   IF(_xlfn.XLOOKUP(Final_Sans_VGE[[#This Row],[ppn_z]],tbl_Historique_Final[[#This Row],[ppn_z]],tbl_Historique_Final[[#This Row],[date_modif]])=Final_Sans_VGE[[#This Row],[date_modif]],
      "Ancien",
      "Modifié"),
   "Nouveau")),"")</f>
        <v/>
      </c>
    </row>
    <row r="5996" spans="24:30" x14ac:dyDescent="0.25">
      <c r="X5996" s="8" t="e">
        <f>IF(Final_Sans_VGE[[#This Row],[ppn_z]]="","",IFERROR(
   IF(_xlfn.XLOOKUP(Final_Sans_VGE[[#This Row],[ppn_z]],tbl_Historique_Final[ppn_z],tbl_Historique_Final[date_modif])=Final_Sans_VGE[[#This Row],[date_modif]],
      "Ancien",
      "Modifié"),
   "Nouveau"))</f>
        <v>#VALUE!</v>
      </c>
      <c r="AD5996" s="1" t="str">
        <f>IFERROR(IF(Final_Sans_VGE[[#This Row],[ppn_z]]="","",IFERROR(
   IF(_xlfn.XLOOKUP(Final_Sans_VGE[[#This Row],[ppn_z]],tbl_Historique_Final[[#This Row],[ppn_z]],tbl_Historique_Final[[#This Row],[date_modif]])=Final_Sans_VGE[[#This Row],[date_modif]],
      "Ancien",
      "Modifié"),
   "Nouveau")),"")</f>
        <v/>
      </c>
    </row>
    <row r="5997" spans="24:30" x14ac:dyDescent="0.25">
      <c r="X5997" s="8" t="e">
        <f>IF(Final_Sans_VGE[[#This Row],[ppn_z]]="","",IFERROR(
   IF(_xlfn.XLOOKUP(Final_Sans_VGE[[#This Row],[ppn_z]],tbl_Historique_Final[ppn_z],tbl_Historique_Final[date_modif])=Final_Sans_VGE[[#This Row],[date_modif]],
      "Ancien",
      "Modifié"),
   "Nouveau"))</f>
        <v>#VALUE!</v>
      </c>
      <c r="AD5997" s="1" t="str">
        <f>IFERROR(IF(Final_Sans_VGE[[#This Row],[ppn_z]]="","",IFERROR(
   IF(_xlfn.XLOOKUP(Final_Sans_VGE[[#This Row],[ppn_z]],tbl_Historique_Final[[#This Row],[ppn_z]],tbl_Historique_Final[[#This Row],[date_modif]])=Final_Sans_VGE[[#This Row],[date_modif]],
      "Ancien",
      "Modifié"),
   "Nouveau")),"")</f>
        <v/>
      </c>
    </row>
    <row r="5998" spans="24:30" x14ac:dyDescent="0.25">
      <c r="X5998" s="8" t="e">
        <f>IF(Final_Sans_VGE[[#This Row],[ppn_z]]="","",IFERROR(
   IF(_xlfn.XLOOKUP(Final_Sans_VGE[[#This Row],[ppn_z]],tbl_Historique_Final[ppn_z],tbl_Historique_Final[date_modif])=Final_Sans_VGE[[#This Row],[date_modif]],
      "Ancien",
      "Modifié"),
   "Nouveau"))</f>
        <v>#VALUE!</v>
      </c>
      <c r="AD5998" s="1" t="str">
        <f>IFERROR(IF(Final_Sans_VGE[[#This Row],[ppn_z]]="","",IFERROR(
   IF(_xlfn.XLOOKUP(Final_Sans_VGE[[#This Row],[ppn_z]],tbl_Historique_Final[[#This Row],[ppn_z]],tbl_Historique_Final[[#This Row],[date_modif]])=Final_Sans_VGE[[#This Row],[date_modif]],
      "Ancien",
      "Modifié"),
   "Nouveau")),"")</f>
        <v/>
      </c>
    </row>
    <row r="5999" spans="24:30" x14ac:dyDescent="0.25">
      <c r="X5999" s="8" t="e">
        <f>IF(Final_Sans_VGE[[#This Row],[ppn_z]]="","",IFERROR(
   IF(_xlfn.XLOOKUP(Final_Sans_VGE[[#This Row],[ppn_z]],tbl_Historique_Final[ppn_z],tbl_Historique_Final[date_modif])=Final_Sans_VGE[[#This Row],[date_modif]],
      "Ancien",
      "Modifié"),
   "Nouveau"))</f>
        <v>#VALUE!</v>
      </c>
      <c r="AD5999" s="1" t="str">
        <f>IFERROR(IF(Final_Sans_VGE[[#This Row],[ppn_z]]="","",IFERROR(
   IF(_xlfn.XLOOKUP(Final_Sans_VGE[[#This Row],[ppn_z]],tbl_Historique_Final[[#This Row],[ppn_z]],tbl_Historique_Final[[#This Row],[date_modif]])=Final_Sans_VGE[[#This Row],[date_modif]],
      "Ancien",
      "Modifié"),
   "Nouveau")),"")</f>
        <v/>
      </c>
    </row>
    <row r="6000" spans="24:30" x14ac:dyDescent="0.25">
      <c r="X6000" s="8" t="e">
        <f>IF(Final_Sans_VGE[[#This Row],[ppn_z]]="","",IFERROR(
   IF(_xlfn.XLOOKUP(Final_Sans_VGE[[#This Row],[ppn_z]],tbl_Historique_Final[ppn_z],tbl_Historique_Final[date_modif])=Final_Sans_VGE[[#This Row],[date_modif]],
      "Ancien",
      "Modifié"),
   "Nouveau"))</f>
        <v>#VALUE!</v>
      </c>
      <c r="AD6000" s="1" t="str">
        <f>IFERROR(IF(Final_Sans_VGE[[#This Row],[ppn_z]]="","",IFERROR(
   IF(_xlfn.XLOOKUP(Final_Sans_VGE[[#This Row],[ppn_z]],tbl_Historique_Final[[#This Row],[ppn_z]],tbl_Historique_Final[[#This Row],[date_modif]])=Final_Sans_VGE[[#This Row],[date_modif]],
      "Ancien",
      "Modifié"),
   "Nouveau")),"")</f>
        <v/>
      </c>
    </row>
    <row r="6001" spans="24:30" x14ac:dyDescent="0.25">
      <c r="X6001" s="8" t="e">
        <f>IF(Final_Sans_VGE[[#This Row],[ppn_z]]="","",IFERROR(
   IF(_xlfn.XLOOKUP(Final_Sans_VGE[[#This Row],[ppn_z]],tbl_Historique_Final[ppn_z],tbl_Historique_Final[date_modif])=Final_Sans_VGE[[#This Row],[date_modif]],
      "Ancien",
      "Modifié"),
   "Nouveau"))</f>
        <v>#VALUE!</v>
      </c>
      <c r="AD6001" s="1" t="str">
        <f>IFERROR(IF(Final_Sans_VGE[[#This Row],[ppn_z]]="","",IFERROR(
   IF(_xlfn.XLOOKUP(Final_Sans_VGE[[#This Row],[ppn_z]],tbl_Historique_Final[[#This Row],[ppn_z]],tbl_Historique_Final[[#This Row],[date_modif]])=Final_Sans_VGE[[#This Row],[date_modif]],
      "Ancien",
      "Modifié"),
   "Nouveau")),"")</f>
        <v/>
      </c>
    </row>
    <row r="6002" spans="24:30" x14ac:dyDescent="0.25">
      <c r="X6002" s="8" t="e">
        <f>IF(Final_Sans_VGE[[#This Row],[ppn_z]]="","",IFERROR(
   IF(_xlfn.XLOOKUP(Final_Sans_VGE[[#This Row],[ppn_z]],tbl_Historique_Final[ppn_z],tbl_Historique_Final[date_modif])=Final_Sans_VGE[[#This Row],[date_modif]],
      "Ancien",
      "Modifié"),
   "Nouveau"))</f>
        <v>#VALUE!</v>
      </c>
      <c r="AD6002" s="1" t="str">
        <f>IFERROR(IF(Final_Sans_VGE[[#This Row],[ppn_z]]="","",IFERROR(
   IF(_xlfn.XLOOKUP(Final_Sans_VGE[[#This Row],[ppn_z]],tbl_Historique_Final[[#This Row],[ppn_z]],tbl_Historique_Final[[#This Row],[date_modif]])=Final_Sans_VGE[[#This Row],[date_modif]],
      "Ancien",
      "Modifié"),
   "Nouveau")),"")</f>
        <v/>
      </c>
    </row>
    <row r="6003" spans="24:30" x14ac:dyDescent="0.25">
      <c r="X6003" s="8" t="e">
        <f>IF(Final_Sans_VGE[[#This Row],[ppn_z]]="","",IFERROR(
   IF(_xlfn.XLOOKUP(Final_Sans_VGE[[#This Row],[ppn_z]],tbl_Historique_Final[ppn_z],tbl_Historique_Final[date_modif])=Final_Sans_VGE[[#This Row],[date_modif]],
      "Ancien",
      "Modifié"),
   "Nouveau"))</f>
        <v>#VALUE!</v>
      </c>
      <c r="AD6003" s="1" t="str">
        <f>IFERROR(IF(Final_Sans_VGE[[#This Row],[ppn_z]]="","",IFERROR(
   IF(_xlfn.XLOOKUP(Final_Sans_VGE[[#This Row],[ppn_z]],tbl_Historique_Final[[#This Row],[ppn_z]],tbl_Historique_Final[[#This Row],[date_modif]])=Final_Sans_VGE[[#This Row],[date_modif]],
      "Ancien",
      "Modifié"),
   "Nouveau")),"")</f>
        <v/>
      </c>
    </row>
    <row r="6004" spans="24:30" x14ac:dyDescent="0.25">
      <c r="X6004" s="8" t="e">
        <f>IF(Final_Sans_VGE[[#This Row],[ppn_z]]="","",IFERROR(
   IF(_xlfn.XLOOKUP(Final_Sans_VGE[[#This Row],[ppn_z]],tbl_Historique_Final[ppn_z],tbl_Historique_Final[date_modif])=Final_Sans_VGE[[#This Row],[date_modif]],
      "Ancien",
      "Modifié"),
   "Nouveau"))</f>
        <v>#VALUE!</v>
      </c>
      <c r="AD6004" s="1" t="str">
        <f>IFERROR(IF(Final_Sans_VGE[[#This Row],[ppn_z]]="","",IFERROR(
   IF(_xlfn.XLOOKUP(Final_Sans_VGE[[#This Row],[ppn_z]],tbl_Historique_Final[[#This Row],[ppn_z]],tbl_Historique_Final[[#This Row],[date_modif]])=Final_Sans_VGE[[#This Row],[date_modif]],
      "Ancien",
      "Modifié"),
   "Nouveau")),"")</f>
        <v/>
      </c>
    </row>
    <row r="6005" spans="24:30" x14ac:dyDescent="0.25">
      <c r="X6005" s="8" t="e">
        <f>IF(Final_Sans_VGE[[#This Row],[ppn_z]]="","",IFERROR(
   IF(_xlfn.XLOOKUP(Final_Sans_VGE[[#This Row],[ppn_z]],tbl_Historique_Final[ppn_z],tbl_Historique_Final[date_modif])=Final_Sans_VGE[[#This Row],[date_modif]],
      "Ancien",
      "Modifié"),
   "Nouveau"))</f>
        <v>#VALUE!</v>
      </c>
      <c r="AD6005" s="1" t="str">
        <f>IFERROR(IF(Final_Sans_VGE[[#This Row],[ppn_z]]="","",IFERROR(
   IF(_xlfn.XLOOKUP(Final_Sans_VGE[[#This Row],[ppn_z]],tbl_Historique_Final[[#This Row],[ppn_z]],tbl_Historique_Final[[#This Row],[date_modif]])=Final_Sans_VGE[[#This Row],[date_modif]],
      "Ancien",
      "Modifié"),
   "Nouveau")),"")</f>
        <v/>
      </c>
    </row>
    <row r="6006" spans="24:30" x14ac:dyDescent="0.25">
      <c r="X6006" s="8" t="e">
        <f>IF(Final_Sans_VGE[[#This Row],[ppn_z]]="","",IFERROR(
   IF(_xlfn.XLOOKUP(Final_Sans_VGE[[#This Row],[ppn_z]],tbl_Historique_Final[ppn_z],tbl_Historique_Final[date_modif])=Final_Sans_VGE[[#This Row],[date_modif]],
      "Ancien",
      "Modifié"),
   "Nouveau"))</f>
        <v>#VALUE!</v>
      </c>
      <c r="AD6006" s="1" t="str">
        <f>IFERROR(IF(Final_Sans_VGE[[#This Row],[ppn_z]]="","",IFERROR(
   IF(_xlfn.XLOOKUP(Final_Sans_VGE[[#This Row],[ppn_z]],tbl_Historique_Final[[#This Row],[ppn_z]],tbl_Historique_Final[[#This Row],[date_modif]])=Final_Sans_VGE[[#This Row],[date_modif]],
      "Ancien",
      "Modifié"),
   "Nouveau")),"")</f>
        <v/>
      </c>
    </row>
    <row r="6007" spans="24:30" x14ac:dyDescent="0.25">
      <c r="X6007" s="8" t="e">
        <f>IF(Final_Sans_VGE[[#This Row],[ppn_z]]="","",IFERROR(
   IF(_xlfn.XLOOKUP(Final_Sans_VGE[[#This Row],[ppn_z]],tbl_Historique_Final[ppn_z],tbl_Historique_Final[date_modif])=Final_Sans_VGE[[#This Row],[date_modif]],
      "Ancien",
      "Modifié"),
   "Nouveau"))</f>
        <v>#VALUE!</v>
      </c>
      <c r="AD6007" s="1" t="str">
        <f>IFERROR(IF(Final_Sans_VGE[[#This Row],[ppn_z]]="","",IFERROR(
   IF(_xlfn.XLOOKUP(Final_Sans_VGE[[#This Row],[ppn_z]],tbl_Historique_Final[[#This Row],[ppn_z]],tbl_Historique_Final[[#This Row],[date_modif]])=Final_Sans_VGE[[#This Row],[date_modif]],
      "Ancien",
      "Modifié"),
   "Nouveau")),"")</f>
        <v/>
      </c>
    </row>
    <row r="6008" spans="24:30" x14ac:dyDescent="0.25">
      <c r="X6008" s="8" t="e">
        <f>IF(Final_Sans_VGE[[#This Row],[ppn_z]]="","",IFERROR(
   IF(_xlfn.XLOOKUP(Final_Sans_VGE[[#This Row],[ppn_z]],tbl_Historique_Final[ppn_z],tbl_Historique_Final[date_modif])=Final_Sans_VGE[[#This Row],[date_modif]],
      "Ancien",
      "Modifié"),
   "Nouveau"))</f>
        <v>#VALUE!</v>
      </c>
      <c r="AD6008" s="1" t="str">
        <f>IFERROR(IF(Final_Sans_VGE[[#This Row],[ppn_z]]="","",IFERROR(
   IF(_xlfn.XLOOKUP(Final_Sans_VGE[[#This Row],[ppn_z]],tbl_Historique_Final[[#This Row],[ppn_z]],tbl_Historique_Final[[#This Row],[date_modif]])=Final_Sans_VGE[[#This Row],[date_modif]],
      "Ancien",
      "Modifié"),
   "Nouveau")),"")</f>
        <v/>
      </c>
    </row>
    <row r="6009" spans="24:30" x14ac:dyDescent="0.25">
      <c r="X6009" s="8" t="e">
        <f>IF(Final_Sans_VGE[[#This Row],[ppn_z]]="","",IFERROR(
   IF(_xlfn.XLOOKUP(Final_Sans_VGE[[#This Row],[ppn_z]],tbl_Historique_Final[ppn_z],tbl_Historique_Final[date_modif])=Final_Sans_VGE[[#This Row],[date_modif]],
      "Ancien",
      "Modifié"),
   "Nouveau"))</f>
        <v>#VALUE!</v>
      </c>
      <c r="AD6009" s="1" t="str">
        <f>IFERROR(IF(Final_Sans_VGE[[#This Row],[ppn_z]]="","",IFERROR(
   IF(_xlfn.XLOOKUP(Final_Sans_VGE[[#This Row],[ppn_z]],tbl_Historique_Final[[#This Row],[ppn_z]],tbl_Historique_Final[[#This Row],[date_modif]])=Final_Sans_VGE[[#This Row],[date_modif]],
      "Ancien",
      "Modifié"),
   "Nouveau")),"")</f>
        <v/>
      </c>
    </row>
    <row r="6010" spans="24:30" x14ac:dyDescent="0.25">
      <c r="X6010" s="8" t="e">
        <f>IF(Final_Sans_VGE[[#This Row],[ppn_z]]="","",IFERROR(
   IF(_xlfn.XLOOKUP(Final_Sans_VGE[[#This Row],[ppn_z]],tbl_Historique_Final[ppn_z],tbl_Historique_Final[date_modif])=Final_Sans_VGE[[#This Row],[date_modif]],
      "Ancien",
      "Modifié"),
   "Nouveau"))</f>
        <v>#VALUE!</v>
      </c>
      <c r="AD6010" s="1" t="str">
        <f>IFERROR(IF(Final_Sans_VGE[[#This Row],[ppn_z]]="","",IFERROR(
   IF(_xlfn.XLOOKUP(Final_Sans_VGE[[#This Row],[ppn_z]],tbl_Historique_Final[[#This Row],[ppn_z]],tbl_Historique_Final[[#This Row],[date_modif]])=Final_Sans_VGE[[#This Row],[date_modif]],
      "Ancien",
      "Modifié"),
   "Nouveau")),"")</f>
        <v/>
      </c>
    </row>
    <row r="6011" spans="24:30" x14ac:dyDescent="0.25">
      <c r="X6011" s="8" t="e">
        <f>IF(Final_Sans_VGE[[#This Row],[ppn_z]]="","",IFERROR(
   IF(_xlfn.XLOOKUP(Final_Sans_VGE[[#This Row],[ppn_z]],tbl_Historique_Final[ppn_z],tbl_Historique_Final[date_modif])=Final_Sans_VGE[[#This Row],[date_modif]],
      "Ancien",
      "Modifié"),
   "Nouveau"))</f>
        <v>#VALUE!</v>
      </c>
      <c r="AD6011" s="1" t="str">
        <f>IFERROR(IF(Final_Sans_VGE[[#This Row],[ppn_z]]="","",IFERROR(
   IF(_xlfn.XLOOKUP(Final_Sans_VGE[[#This Row],[ppn_z]],tbl_Historique_Final[[#This Row],[ppn_z]],tbl_Historique_Final[[#This Row],[date_modif]])=Final_Sans_VGE[[#This Row],[date_modif]],
      "Ancien",
      "Modifié"),
   "Nouveau")),"")</f>
        <v/>
      </c>
    </row>
    <row r="6012" spans="24:30" x14ac:dyDescent="0.25">
      <c r="X6012" s="8" t="e">
        <f>IF(Final_Sans_VGE[[#This Row],[ppn_z]]="","",IFERROR(
   IF(_xlfn.XLOOKUP(Final_Sans_VGE[[#This Row],[ppn_z]],tbl_Historique_Final[ppn_z],tbl_Historique_Final[date_modif])=Final_Sans_VGE[[#This Row],[date_modif]],
      "Ancien",
      "Modifié"),
   "Nouveau"))</f>
        <v>#VALUE!</v>
      </c>
      <c r="AD6012" s="1" t="str">
        <f>IFERROR(IF(Final_Sans_VGE[[#This Row],[ppn_z]]="","",IFERROR(
   IF(_xlfn.XLOOKUP(Final_Sans_VGE[[#This Row],[ppn_z]],tbl_Historique_Final[[#This Row],[ppn_z]],tbl_Historique_Final[[#This Row],[date_modif]])=Final_Sans_VGE[[#This Row],[date_modif]],
      "Ancien",
      "Modifié"),
   "Nouveau")),"")</f>
        <v/>
      </c>
    </row>
    <row r="6013" spans="24:30" x14ac:dyDescent="0.25">
      <c r="X6013" s="8" t="e">
        <f>IF(Final_Sans_VGE[[#This Row],[ppn_z]]="","",IFERROR(
   IF(_xlfn.XLOOKUP(Final_Sans_VGE[[#This Row],[ppn_z]],tbl_Historique_Final[ppn_z],tbl_Historique_Final[date_modif])=Final_Sans_VGE[[#This Row],[date_modif]],
      "Ancien",
      "Modifié"),
   "Nouveau"))</f>
        <v>#VALUE!</v>
      </c>
      <c r="AD6013" s="1" t="str">
        <f>IFERROR(IF(Final_Sans_VGE[[#This Row],[ppn_z]]="","",IFERROR(
   IF(_xlfn.XLOOKUP(Final_Sans_VGE[[#This Row],[ppn_z]],tbl_Historique_Final[[#This Row],[ppn_z]],tbl_Historique_Final[[#This Row],[date_modif]])=Final_Sans_VGE[[#This Row],[date_modif]],
      "Ancien",
      "Modifié"),
   "Nouveau")),"")</f>
        <v/>
      </c>
    </row>
    <row r="6014" spans="24:30" x14ac:dyDescent="0.25">
      <c r="X6014" s="8" t="e">
        <f>IF(Final_Sans_VGE[[#This Row],[ppn_z]]="","",IFERROR(
   IF(_xlfn.XLOOKUP(Final_Sans_VGE[[#This Row],[ppn_z]],tbl_Historique_Final[ppn_z],tbl_Historique_Final[date_modif])=Final_Sans_VGE[[#This Row],[date_modif]],
      "Ancien",
      "Modifié"),
   "Nouveau"))</f>
        <v>#VALUE!</v>
      </c>
      <c r="AD6014" s="1" t="str">
        <f>IFERROR(IF(Final_Sans_VGE[[#This Row],[ppn_z]]="","",IFERROR(
   IF(_xlfn.XLOOKUP(Final_Sans_VGE[[#This Row],[ppn_z]],tbl_Historique_Final[[#This Row],[ppn_z]],tbl_Historique_Final[[#This Row],[date_modif]])=Final_Sans_VGE[[#This Row],[date_modif]],
      "Ancien",
      "Modifié"),
   "Nouveau")),"")</f>
        <v/>
      </c>
    </row>
    <row r="6015" spans="24:30" x14ac:dyDescent="0.25">
      <c r="X6015" s="8" t="e">
        <f>IF(Final_Sans_VGE[[#This Row],[ppn_z]]="","",IFERROR(
   IF(_xlfn.XLOOKUP(Final_Sans_VGE[[#This Row],[ppn_z]],tbl_Historique_Final[ppn_z],tbl_Historique_Final[date_modif])=Final_Sans_VGE[[#This Row],[date_modif]],
      "Ancien",
      "Modifié"),
   "Nouveau"))</f>
        <v>#VALUE!</v>
      </c>
      <c r="AD6015" s="1" t="str">
        <f>IFERROR(IF(Final_Sans_VGE[[#This Row],[ppn_z]]="","",IFERROR(
   IF(_xlfn.XLOOKUP(Final_Sans_VGE[[#This Row],[ppn_z]],tbl_Historique_Final[[#This Row],[ppn_z]],tbl_Historique_Final[[#This Row],[date_modif]])=Final_Sans_VGE[[#This Row],[date_modif]],
      "Ancien",
      "Modifié"),
   "Nouveau")),"")</f>
        <v/>
      </c>
    </row>
    <row r="6016" spans="24:30" x14ac:dyDescent="0.25">
      <c r="X6016" s="8" t="e">
        <f>IF(Final_Sans_VGE[[#This Row],[ppn_z]]="","",IFERROR(
   IF(_xlfn.XLOOKUP(Final_Sans_VGE[[#This Row],[ppn_z]],tbl_Historique_Final[ppn_z],tbl_Historique_Final[date_modif])=Final_Sans_VGE[[#This Row],[date_modif]],
      "Ancien",
      "Modifié"),
   "Nouveau"))</f>
        <v>#VALUE!</v>
      </c>
      <c r="AD6016" s="1" t="str">
        <f>IFERROR(IF(Final_Sans_VGE[[#This Row],[ppn_z]]="","",IFERROR(
   IF(_xlfn.XLOOKUP(Final_Sans_VGE[[#This Row],[ppn_z]],tbl_Historique_Final[[#This Row],[ppn_z]],tbl_Historique_Final[[#This Row],[date_modif]])=Final_Sans_VGE[[#This Row],[date_modif]],
      "Ancien",
      "Modifié"),
   "Nouveau")),"")</f>
        <v/>
      </c>
    </row>
    <row r="6017" spans="24:30" x14ac:dyDescent="0.25">
      <c r="X6017" s="8" t="e">
        <f>IF(Final_Sans_VGE[[#This Row],[ppn_z]]="","",IFERROR(
   IF(_xlfn.XLOOKUP(Final_Sans_VGE[[#This Row],[ppn_z]],tbl_Historique_Final[ppn_z],tbl_Historique_Final[date_modif])=Final_Sans_VGE[[#This Row],[date_modif]],
      "Ancien",
      "Modifié"),
   "Nouveau"))</f>
        <v>#VALUE!</v>
      </c>
      <c r="AD6017" s="1" t="str">
        <f>IFERROR(IF(Final_Sans_VGE[[#This Row],[ppn_z]]="","",IFERROR(
   IF(_xlfn.XLOOKUP(Final_Sans_VGE[[#This Row],[ppn_z]],tbl_Historique_Final[[#This Row],[ppn_z]],tbl_Historique_Final[[#This Row],[date_modif]])=Final_Sans_VGE[[#This Row],[date_modif]],
      "Ancien",
      "Modifié"),
   "Nouveau")),"")</f>
        <v/>
      </c>
    </row>
    <row r="6018" spans="24:30" x14ac:dyDescent="0.25">
      <c r="X6018" s="8" t="e">
        <f>IF(Final_Sans_VGE[[#This Row],[ppn_z]]="","",IFERROR(
   IF(_xlfn.XLOOKUP(Final_Sans_VGE[[#This Row],[ppn_z]],tbl_Historique_Final[ppn_z],tbl_Historique_Final[date_modif])=Final_Sans_VGE[[#This Row],[date_modif]],
      "Ancien",
      "Modifié"),
   "Nouveau"))</f>
        <v>#VALUE!</v>
      </c>
      <c r="AD6018" s="1" t="str">
        <f>IFERROR(IF(Final_Sans_VGE[[#This Row],[ppn_z]]="","",IFERROR(
   IF(_xlfn.XLOOKUP(Final_Sans_VGE[[#This Row],[ppn_z]],tbl_Historique_Final[[#This Row],[ppn_z]],tbl_Historique_Final[[#This Row],[date_modif]])=Final_Sans_VGE[[#This Row],[date_modif]],
      "Ancien",
      "Modifié"),
   "Nouveau")),"")</f>
        <v/>
      </c>
    </row>
    <row r="6019" spans="24:30" x14ac:dyDescent="0.25">
      <c r="X6019" s="8" t="e">
        <f>IF(Final_Sans_VGE[[#This Row],[ppn_z]]="","",IFERROR(
   IF(_xlfn.XLOOKUP(Final_Sans_VGE[[#This Row],[ppn_z]],tbl_Historique_Final[ppn_z],tbl_Historique_Final[date_modif])=Final_Sans_VGE[[#This Row],[date_modif]],
      "Ancien",
      "Modifié"),
   "Nouveau"))</f>
        <v>#VALUE!</v>
      </c>
      <c r="AD6019" s="1" t="str">
        <f>IFERROR(IF(Final_Sans_VGE[[#This Row],[ppn_z]]="","",IFERROR(
   IF(_xlfn.XLOOKUP(Final_Sans_VGE[[#This Row],[ppn_z]],tbl_Historique_Final[[#This Row],[ppn_z]],tbl_Historique_Final[[#This Row],[date_modif]])=Final_Sans_VGE[[#This Row],[date_modif]],
      "Ancien",
      "Modifié"),
   "Nouveau")),"")</f>
        <v/>
      </c>
    </row>
    <row r="6020" spans="24:30" x14ac:dyDescent="0.25">
      <c r="X6020" s="8" t="e">
        <f>IF(Final_Sans_VGE[[#This Row],[ppn_z]]="","",IFERROR(
   IF(_xlfn.XLOOKUP(Final_Sans_VGE[[#This Row],[ppn_z]],tbl_Historique_Final[ppn_z],tbl_Historique_Final[date_modif])=Final_Sans_VGE[[#This Row],[date_modif]],
      "Ancien",
      "Modifié"),
   "Nouveau"))</f>
        <v>#VALUE!</v>
      </c>
      <c r="AD6020" s="1" t="str">
        <f>IFERROR(IF(Final_Sans_VGE[[#This Row],[ppn_z]]="","",IFERROR(
   IF(_xlfn.XLOOKUP(Final_Sans_VGE[[#This Row],[ppn_z]],tbl_Historique_Final[[#This Row],[ppn_z]],tbl_Historique_Final[[#This Row],[date_modif]])=Final_Sans_VGE[[#This Row],[date_modif]],
      "Ancien",
      "Modifié"),
   "Nouveau")),"")</f>
        <v/>
      </c>
    </row>
    <row r="6021" spans="24:30" x14ac:dyDescent="0.25">
      <c r="X6021" s="8" t="e">
        <f>IF(Final_Sans_VGE[[#This Row],[ppn_z]]="","",IFERROR(
   IF(_xlfn.XLOOKUP(Final_Sans_VGE[[#This Row],[ppn_z]],tbl_Historique_Final[ppn_z],tbl_Historique_Final[date_modif])=Final_Sans_VGE[[#This Row],[date_modif]],
      "Ancien",
      "Modifié"),
   "Nouveau"))</f>
        <v>#VALUE!</v>
      </c>
      <c r="AD6021" s="1" t="str">
        <f>IFERROR(IF(Final_Sans_VGE[[#This Row],[ppn_z]]="","",IFERROR(
   IF(_xlfn.XLOOKUP(Final_Sans_VGE[[#This Row],[ppn_z]],tbl_Historique_Final[[#This Row],[ppn_z]],tbl_Historique_Final[[#This Row],[date_modif]])=Final_Sans_VGE[[#This Row],[date_modif]],
      "Ancien",
      "Modifié"),
   "Nouveau")),"")</f>
        <v/>
      </c>
    </row>
    <row r="6022" spans="24:30" x14ac:dyDescent="0.25">
      <c r="X6022" s="8" t="e">
        <f>IF(Final_Sans_VGE[[#This Row],[ppn_z]]="","",IFERROR(
   IF(_xlfn.XLOOKUP(Final_Sans_VGE[[#This Row],[ppn_z]],tbl_Historique_Final[ppn_z],tbl_Historique_Final[date_modif])=Final_Sans_VGE[[#This Row],[date_modif]],
      "Ancien",
      "Modifié"),
   "Nouveau"))</f>
        <v>#VALUE!</v>
      </c>
      <c r="AD6022" s="1" t="str">
        <f>IFERROR(IF(Final_Sans_VGE[[#This Row],[ppn_z]]="","",IFERROR(
   IF(_xlfn.XLOOKUP(Final_Sans_VGE[[#This Row],[ppn_z]],tbl_Historique_Final[[#This Row],[ppn_z]],tbl_Historique_Final[[#This Row],[date_modif]])=Final_Sans_VGE[[#This Row],[date_modif]],
      "Ancien",
      "Modifié"),
   "Nouveau")),"")</f>
        <v/>
      </c>
    </row>
    <row r="6023" spans="24:30" x14ac:dyDescent="0.25">
      <c r="X6023" s="8" t="e">
        <f>IF(Final_Sans_VGE[[#This Row],[ppn_z]]="","",IFERROR(
   IF(_xlfn.XLOOKUP(Final_Sans_VGE[[#This Row],[ppn_z]],tbl_Historique_Final[ppn_z],tbl_Historique_Final[date_modif])=Final_Sans_VGE[[#This Row],[date_modif]],
      "Ancien",
      "Modifié"),
   "Nouveau"))</f>
        <v>#VALUE!</v>
      </c>
      <c r="AD6023" s="1" t="str">
        <f>IFERROR(IF(Final_Sans_VGE[[#This Row],[ppn_z]]="","",IFERROR(
   IF(_xlfn.XLOOKUP(Final_Sans_VGE[[#This Row],[ppn_z]],tbl_Historique_Final[[#This Row],[ppn_z]],tbl_Historique_Final[[#This Row],[date_modif]])=Final_Sans_VGE[[#This Row],[date_modif]],
      "Ancien",
      "Modifié"),
   "Nouveau")),"")</f>
        <v/>
      </c>
    </row>
    <row r="6024" spans="24:30" x14ac:dyDescent="0.25">
      <c r="X6024" s="8" t="e">
        <f>IF(Final_Sans_VGE[[#This Row],[ppn_z]]="","",IFERROR(
   IF(_xlfn.XLOOKUP(Final_Sans_VGE[[#This Row],[ppn_z]],tbl_Historique_Final[ppn_z],tbl_Historique_Final[date_modif])=Final_Sans_VGE[[#This Row],[date_modif]],
      "Ancien",
      "Modifié"),
   "Nouveau"))</f>
        <v>#VALUE!</v>
      </c>
      <c r="AD6024" s="1" t="str">
        <f>IFERROR(IF(Final_Sans_VGE[[#This Row],[ppn_z]]="","",IFERROR(
   IF(_xlfn.XLOOKUP(Final_Sans_VGE[[#This Row],[ppn_z]],tbl_Historique_Final[[#This Row],[ppn_z]],tbl_Historique_Final[[#This Row],[date_modif]])=Final_Sans_VGE[[#This Row],[date_modif]],
      "Ancien",
      "Modifié"),
   "Nouveau")),"")</f>
        <v/>
      </c>
    </row>
    <row r="6025" spans="24:30" x14ac:dyDescent="0.25">
      <c r="X6025" s="8" t="e">
        <f>IF(Final_Sans_VGE[[#This Row],[ppn_z]]="","",IFERROR(
   IF(_xlfn.XLOOKUP(Final_Sans_VGE[[#This Row],[ppn_z]],tbl_Historique_Final[ppn_z],tbl_Historique_Final[date_modif])=Final_Sans_VGE[[#This Row],[date_modif]],
      "Ancien",
      "Modifié"),
   "Nouveau"))</f>
        <v>#VALUE!</v>
      </c>
      <c r="AD6025" s="1" t="str">
        <f>IFERROR(IF(Final_Sans_VGE[[#This Row],[ppn_z]]="","",IFERROR(
   IF(_xlfn.XLOOKUP(Final_Sans_VGE[[#This Row],[ppn_z]],tbl_Historique_Final[[#This Row],[ppn_z]],tbl_Historique_Final[[#This Row],[date_modif]])=Final_Sans_VGE[[#This Row],[date_modif]],
      "Ancien",
      "Modifié"),
   "Nouveau")),"")</f>
        <v/>
      </c>
    </row>
    <row r="6026" spans="24:30" x14ac:dyDescent="0.25">
      <c r="X6026" s="8" t="e">
        <f>IF(Final_Sans_VGE[[#This Row],[ppn_z]]="","",IFERROR(
   IF(_xlfn.XLOOKUP(Final_Sans_VGE[[#This Row],[ppn_z]],tbl_Historique_Final[ppn_z],tbl_Historique_Final[date_modif])=Final_Sans_VGE[[#This Row],[date_modif]],
      "Ancien",
      "Modifié"),
   "Nouveau"))</f>
        <v>#VALUE!</v>
      </c>
      <c r="AD6026" s="1" t="str">
        <f>IFERROR(IF(Final_Sans_VGE[[#This Row],[ppn_z]]="","",IFERROR(
   IF(_xlfn.XLOOKUP(Final_Sans_VGE[[#This Row],[ppn_z]],tbl_Historique_Final[[#This Row],[ppn_z]],tbl_Historique_Final[[#This Row],[date_modif]])=Final_Sans_VGE[[#This Row],[date_modif]],
      "Ancien",
      "Modifié"),
   "Nouveau")),"")</f>
        <v/>
      </c>
    </row>
    <row r="6027" spans="24:30" x14ac:dyDescent="0.25">
      <c r="X6027" s="8" t="e">
        <f>IF(Final_Sans_VGE[[#This Row],[ppn_z]]="","",IFERROR(
   IF(_xlfn.XLOOKUP(Final_Sans_VGE[[#This Row],[ppn_z]],tbl_Historique_Final[ppn_z],tbl_Historique_Final[date_modif])=Final_Sans_VGE[[#This Row],[date_modif]],
      "Ancien",
      "Modifié"),
   "Nouveau"))</f>
        <v>#VALUE!</v>
      </c>
      <c r="AD6027" s="1" t="str">
        <f>IFERROR(IF(Final_Sans_VGE[[#This Row],[ppn_z]]="","",IFERROR(
   IF(_xlfn.XLOOKUP(Final_Sans_VGE[[#This Row],[ppn_z]],tbl_Historique_Final[[#This Row],[ppn_z]],tbl_Historique_Final[[#This Row],[date_modif]])=Final_Sans_VGE[[#This Row],[date_modif]],
      "Ancien",
      "Modifié"),
   "Nouveau")),"")</f>
        <v/>
      </c>
    </row>
    <row r="6028" spans="24:30" x14ac:dyDescent="0.25">
      <c r="X6028" s="8" t="e">
        <f>IF(Final_Sans_VGE[[#This Row],[ppn_z]]="","",IFERROR(
   IF(_xlfn.XLOOKUP(Final_Sans_VGE[[#This Row],[ppn_z]],tbl_Historique_Final[ppn_z],tbl_Historique_Final[date_modif])=Final_Sans_VGE[[#This Row],[date_modif]],
      "Ancien",
      "Modifié"),
   "Nouveau"))</f>
        <v>#VALUE!</v>
      </c>
      <c r="AD6028" s="1" t="str">
        <f>IFERROR(IF(Final_Sans_VGE[[#This Row],[ppn_z]]="","",IFERROR(
   IF(_xlfn.XLOOKUP(Final_Sans_VGE[[#This Row],[ppn_z]],tbl_Historique_Final[[#This Row],[ppn_z]],tbl_Historique_Final[[#This Row],[date_modif]])=Final_Sans_VGE[[#This Row],[date_modif]],
      "Ancien",
      "Modifié"),
   "Nouveau")),"")</f>
        <v/>
      </c>
    </row>
    <row r="6029" spans="24:30" x14ac:dyDescent="0.25">
      <c r="X6029" s="8" t="e">
        <f>IF(Final_Sans_VGE[[#This Row],[ppn_z]]="","",IFERROR(
   IF(_xlfn.XLOOKUP(Final_Sans_VGE[[#This Row],[ppn_z]],tbl_Historique_Final[ppn_z],tbl_Historique_Final[date_modif])=Final_Sans_VGE[[#This Row],[date_modif]],
      "Ancien",
      "Modifié"),
   "Nouveau"))</f>
        <v>#VALUE!</v>
      </c>
      <c r="AD6029" s="1" t="str">
        <f>IFERROR(IF(Final_Sans_VGE[[#This Row],[ppn_z]]="","",IFERROR(
   IF(_xlfn.XLOOKUP(Final_Sans_VGE[[#This Row],[ppn_z]],tbl_Historique_Final[[#This Row],[ppn_z]],tbl_Historique_Final[[#This Row],[date_modif]])=Final_Sans_VGE[[#This Row],[date_modif]],
      "Ancien",
      "Modifié"),
   "Nouveau")),"")</f>
        <v/>
      </c>
    </row>
    <row r="6030" spans="24:30" x14ac:dyDescent="0.25">
      <c r="X6030" s="8" t="e">
        <f>IF(Final_Sans_VGE[[#This Row],[ppn_z]]="","",IFERROR(
   IF(_xlfn.XLOOKUP(Final_Sans_VGE[[#This Row],[ppn_z]],tbl_Historique_Final[ppn_z],tbl_Historique_Final[date_modif])=Final_Sans_VGE[[#This Row],[date_modif]],
      "Ancien",
      "Modifié"),
   "Nouveau"))</f>
        <v>#VALUE!</v>
      </c>
      <c r="AD6030" s="1" t="str">
        <f>IFERROR(IF(Final_Sans_VGE[[#This Row],[ppn_z]]="","",IFERROR(
   IF(_xlfn.XLOOKUP(Final_Sans_VGE[[#This Row],[ppn_z]],tbl_Historique_Final[[#This Row],[ppn_z]],tbl_Historique_Final[[#This Row],[date_modif]])=Final_Sans_VGE[[#This Row],[date_modif]],
      "Ancien",
      "Modifié"),
   "Nouveau")),"")</f>
        <v/>
      </c>
    </row>
    <row r="6031" spans="24:30" x14ac:dyDescent="0.25">
      <c r="X6031" s="8" t="e">
        <f>IF(Final_Sans_VGE[[#This Row],[ppn_z]]="","",IFERROR(
   IF(_xlfn.XLOOKUP(Final_Sans_VGE[[#This Row],[ppn_z]],tbl_Historique_Final[ppn_z],tbl_Historique_Final[date_modif])=Final_Sans_VGE[[#This Row],[date_modif]],
      "Ancien",
      "Modifié"),
   "Nouveau"))</f>
        <v>#VALUE!</v>
      </c>
      <c r="AD6031" s="1" t="str">
        <f>IFERROR(IF(Final_Sans_VGE[[#This Row],[ppn_z]]="","",IFERROR(
   IF(_xlfn.XLOOKUP(Final_Sans_VGE[[#This Row],[ppn_z]],tbl_Historique_Final[[#This Row],[ppn_z]],tbl_Historique_Final[[#This Row],[date_modif]])=Final_Sans_VGE[[#This Row],[date_modif]],
      "Ancien",
      "Modifié"),
   "Nouveau")),"")</f>
        <v/>
      </c>
    </row>
    <row r="6032" spans="24:30" x14ac:dyDescent="0.25">
      <c r="X6032" s="8" t="e">
        <f>IF(Final_Sans_VGE[[#This Row],[ppn_z]]="","",IFERROR(
   IF(_xlfn.XLOOKUP(Final_Sans_VGE[[#This Row],[ppn_z]],tbl_Historique_Final[ppn_z],tbl_Historique_Final[date_modif])=Final_Sans_VGE[[#This Row],[date_modif]],
      "Ancien",
      "Modifié"),
   "Nouveau"))</f>
        <v>#VALUE!</v>
      </c>
      <c r="AD6032" s="1" t="str">
        <f>IFERROR(IF(Final_Sans_VGE[[#This Row],[ppn_z]]="","",IFERROR(
   IF(_xlfn.XLOOKUP(Final_Sans_VGE[[#This Row],[ppn_z]],tbl_Historique_Final[[#This Row],[ppn_z]],tbl_Historique_Final[[#This Row],[date_modif]])=Final_Sans_VGE[[#This Row],[date_modif]],
      "Ancien",
      "Modifié"),
   "Nouveau")),"")</f>
        <v/>
      </c>
    </row>
    <row r="6033" spans="24:30" x14ac:dyDescent="0.25">
      <c r="X6033" s="8" t="e">
        <f>IF(Final_Sans_VGE[[#This Row],[ppn_z]]="","",IFERROR(
   IF(_xlfn.XLOOKUP(Final_Sans_VGE[[#This Row],[ppn_z]],tbl_Historique_Final[ppn_z],tbl_Historique_Final[date_modif])=Final_Sans_VGE[[#This Row],[date_modif]],
      "Ancien",
      "Modifié"),
   "Nouveau"))</f>
        <v>#VALUE!</v>
      </c>
      <c r="AD6033" s="1" t="str">
        <f>IFERROR(IF(Final_Sans_VGE[[#This Row],[ppn_z]]="","",IFERROR(
   IF(_xlfn.XLOOKUP(Final_Sans_VGE[[#This Row],[ppn_z]],tbl_Historique_Final[[#This Row],[ppn_z]],tbl_Historique_Final[[#This Row],[date_modif]])=Final_Sans_VGE[[#This Row],[date_modif]],
      "Ancien",
      "Modifié"),
   "Nouveau")),"")</f>
        <v/>
      </c>
    </row>
    <row r="6034" spans="24:30" x14ac:dyDescent="0.25">
      <c r="X6034" s="8" t="e">
        <f>IF(Final_Sans_VGE[[#This Row],[ppn_z]]="","",IFERROR(
   IF(_xlfn.XLOOKUP(Final_Sans_VGE[[#This Row],[ppn_z]],tbl_Historique_Final[ppn_z],tbl_Historique_Final[date_modif])=Final_Sans_VGE[[#This Row],[date_modif]],
      "Ancien",
      "Modifié"),
   "Nouveau"))</f>
        <v>#VALUE!</v>
      </c>
      <c r="AD6034" s="1" t="str">
        <f>IFERROR(IF(Final_Sans_VGE[[#This Row],[ppn_z]]="","",IFERROR(
   IF(_xlfn.XLOOKUP(Final_Sans_VGE[[#This Row],[ppn_z]],tbl_Historique_Final[[#This Row],[ppn_z]],tbl_Historique_Final[[#This Row],[date_modif]])=Final_Sans_VGE[[#This Row],[date_modif]],
      "Ancien",
      "Modifié"),
   "Nouveau")),"")</f>
        <v/>
      </c>
    </row>
    <row r="6035" spans="24:30" x14ac:dyDescent="0.25">
      <c r="X6035" s="8" t="e">
        <f>IF(Final_Sans_VGE[[#This Row],[ppn_z]]="","",IFERROR(
   IF(_xlfn.XLOOKUP(Final_Sans_VGE[[#This Row],[ppn_z]],tbl_Historique_Final[ppn_z],tbl_Historique_Final[date_modif])=Final_Sans_VGE[[#This Row],[date_modif]],
      "Ancien",
      "Modifié"),
   "Nouveau"))</f>
        <v>#VALUE!</v>
      </c>
      <c r="AD6035" s="1" t="str">
        <f>IFERROR(IF(Final_Sans_VGE[[#This Row],[ppn_z]]="","",IFERROR(
   IF(_xlfn.XLOOKUP(Final_Sans_VGE[[#This Row],[ppn_z]],tbl_Historique_Final[[#This Row],[ppn_z]],tbl_Historique_Final[[#This Row],[date_modif]])=Final_Sans_VGE[[#This Row],[date_modif]],
      "Ancien",
      "Modifié"),
   "Nouveau")),"")</f>
        <v/>
      </c>
    </row>
    <row r="6036" spans="24:30" x14ac:dyDescent="0.25">
      <c r="X6036" s="8" t="e">
        <f>IF(Final_Sans_VGE[[#This Row],[ppn_z]]="","",IFERROR(
   IF(_xlfn.XLOOKUP(Final_Sans_VGE[[#This Row],[ppn_z]],tbl_Historique_Final[ppn_z],tbl_Historique_Final[date_modif])=Final_Sans_VGE[[#This Row],[date_modif]],
      "Ancien",
      "Modifié"),
   "Nouveau"))</f>
        <v>#VALUE!</v>
      </c>
      <c r="AD6036" s="1" t="str">
        <f>IFERROR(IF(Final_Sans_VGE[[#This Row],[ppn_z]]="","",IFERROR(
   IF(_xlfn.XLOOKUP(Final_Sans_VGE[[#This Row],[ppn_z]],tbl_Historique_Final[[#This Row],[ppn_z]],tbl_Historique_Final[[#This Row],[date_modif]])=Final_Sans_VGE[[#This Row],[date_modif]],
      "Ancien",
      "Modifié"),
   "Nouveau")),"")</f>
        <v/>
      </c>
    </row>
    <row r="6037" spans="24:30" x14ac:dyDescent="0.25">
      <c r="X6037" s="8" t="e">
        <f>IF(Final_Sans_VGE[[#This Row],[ppn_z]]="","",IFERROR(
   IF(_xlfn.XLOOKUP(Final_Sans_VGE[[#This Row],[ppn_z]],tbl_Historique_Final[ppn_z],tbl_Historique_Final[date_modif])=Final_Sans_VGE[[#This Row],[date_modif]],
      "Ancien",
      "Modifié"),
   "Nouveau"))</f>
        <v>#VALUE!</v>
      </c>
      <c r="AD6037" s="1" t="str">
        <f>IFERROR(IF(Final_Sans_VGE[[#This Row],[ppn_z]]="","",IFERROR(
   IF(_xlfn.XLOOKUP(Final_Sans_VGE[[#This Row],[ppn_z]],tbl_Historique_Final[[#This Row],[ppn_z]],tbl_Historique_Final[[#This Row],[date_modif]])=Final_Sans_VGE[[#This Row],[date_modif]],
      "Ancien",
      "Modifié"),
   "Nouveau")),"")</f>
        <v/>
      </c>
    </row>
    <row r="6038" spans="24:30" x14ac:dyDescent="0.25">
      <c r="X6038" s="8" t="e">
        <f>IF(Final_Sans_VGE[[#This Row],[ppn_z]]="","",IFERROR(
   IF(_xlfn.XLOOKUP(Final_Sans_VGE[[#This Row],[ppn_z]],tbl_Historique_Final[ppn_z],tbl_Historique_Final[date_modif])=Final_Sans_VGE[[#This Row],[date_modif]],
      "Ancien",
      "Modifié"),
   "Nouveau"))</f>
        <v>#VALUE!</v>
      </c>
      <c r="AD6038" s="1" t="str">
        <f>IFERROR(IF(Final_Sans_VGE[[#This Row],[ppn_z]]="","",IFERROR(
   IF(_xlfn.XLOOKUP(Final_Sans_VGE[[#This Row],[ppn_z]],tbl_Historique_Final[[#This Row],[ppn_z]],tbl_Historique_Final[[#This Row],[date_modif]])=Final_Sans_VGE[[#This Row],[date_modif]],
      "Ancien",
      "Modifié"),
   "Nouveau")),"")</f>
        <v/>
      </c>
    </row>
    <row r="6039" spans="24:30" x14ac:dyDescent="0.25">
      <c r="X6039" s="8" t="e">
        <f>IF(Final_Sans_VGE[[#This Row],[ppn_z]]="","",IFERROR(
   IF(_xlfn.XLOOKUP(Final_Sans_VGE[[#This Row],[ppn_z]],tbl_Historique_Final[ppn_z],tbl_Historique_Final[date_modif])=Final_Sans_VGE[[#This Row],[date_modif]],
      "Ancien",
      "Modifié"),
   "Nouveau"))</f>
        <v>#VALUE!</v>
      </c>
      <c r="AD6039" s="1" t="str">
        <f>IFERROR(IF(Final_Sans_VGE[[#This Row],[ppn_z]]="","",IFERROR(
   IF(_xlfn.XLOOKUP(Final_Sans_VGE[[#This Row],[ppn_z]],tbl_Historique_Final[[#This Row],[ppn_z]],tbl_Historique_Final[[#This Row],[date_modif]])=Final_Sans_VGE[[#This Row],[date_modif]],
      "Ancien",
      "Modifié"),
   "Nouveau")),"")</f>
        <v/>
      </c>
    </row>
    <row r="6040" spans="24:30" x14ac:dyDescent="0.25">
      <c r="X6040" s="8" t="e">
        <f>IF(Final_Sans_VGE[[#This Row],[ppn_z]]="","",IFERROR(
   IF(_xlfn.XLOOKUP(Final_Sans_VGE[[#This Row],[ppn_z]],tbl_Historique_Final[ppn_z],tbl_Historique_Final[date_modif])=Final_Sans_VGE[[#This Row],[date_modif]],
      "Ancien",
      "Modifié"),
   "Nouveau"))</f>
        <v>#VALUE!</v>
      </c>
      <c r="AD6040" s="1" t="str">
        <f>IFERROR(IF(Final_Sans_VGE[[#This Row],[ppn_z]]="","",IFERROR(
   IF(_xlfn.XLOOKUP(Final_Sans_VGE[[#This Row],[ppn_z]],tbl_Historique_Final[[#This Row],[ppn_z]],tbl_Historique_Final[[#This Row],[date_modif]])=Final_Sans_VGE[[#This Row],[date_modif]],
      "Ancien",
      "Modifié"),
   "Nouveau")),"")</f>
        <v/>
      </c>
    </row>
    <row r="6041" spans="24:30" x14ac:dyDescent="0.25">
      <c r="X6041" s="8" t="e">
        <f>IF(Final_Sans_VGE[[#This Row],[ppn_z]]="","",IFERROR(
   IF(_xlfn.XLOOKUP(Final_Sans_VGE[[#This Row],[ppn_z]],tbl_Historique_Final[ppn_z],tbl_Historique_Final[date_modif])=Final_Sans_VGE[[#This Row],[date_modif]],
      "Ancien",
      "Modifié"),
   "Nouveau"))</f>
        <v>#VALUE!</v>
      </c>
      <c r="AD6041" s="1" t="str">
        <f>IFERROR(IF(Final_Sans_VGE[[#This Row],[ppn_z]]="","",IFERROR(
   IF(_xlfn.XLOOKUP(Final_Sans_VGE[[#This Row],[ppn_z]],tbl_Historique_Final[[#This Row],[ppn_z]],tbl_Historique_Final[[#This Row],[date_modif]])=Final_Sans_VGE[[#This Row],[date_modif]],
      "Ancien",
      "Modifié"),
   "Nouveau")),"")</f>
        <v/>
      </c>
    </row>
    <row r="6042" spans="24:30" x14ac:dyDescent="0.25">
      <c r="X6042" s="8" t="e">
        <f>IF(Final_Sans_VGE[[#This Row],[ppn_z]]="","",IFERROR(
   IF(_xlfn.XLOOKUP(Final_Sans_VGE[[#This Row],[ppn_z]],tbl_Historique_Final[ppn_z],tbl_Historique_Final[date_modif])=Final_Sans_VGE[[#This Row],[date_modif]],
      "Ancien",
      "Modifié"),
   "Nouveau"))</f>
        <v>#VALUE!</v>
      </c>
      <c r="AD6042" s="1" t="str">
        <f>IFERROR(IF(Final_Sans_VGE[[#This Row],[ppn_z]]="","",IFERROR(
   IF(_xlfn.XLOOKUP(Final_Sans_VGE[[#This Row],[ppn_z]],tbl_Historique_Final[[#This Row],[ppn_z]],tbl_Historique_Final[[#This Row],[date_modif]])=Final_Sans_VGE[[#This Row],[date_modif]],
      "Ancien",
      "Modifié"),
   "Nouveau")),"")</f>
        <v/>
      </c>
    </row>
    <row r="6043" spans="24:30" x14ac:dyDescent="0.25">
      <c r="X6043" s="8" t="e">
        <f>IF(Final_Sans_VGE[[#This Row],[ppn_z]]="","",IFERROR(
   IF(_xlfn.XLOOKUP(Final_Sans_VGE[[#This Row],[ppn_z]],tbl_Historique_Final[ppn_z],tbl_Historique_Final[date_modif])=Final_Sans_VGE[[#This Row],[date_modif]],
      "Ancien",
      "Modifié"),
   "Nouveau"))</f>
        <v>#VALUE!</v>
      </c>
      <c r="AD6043" s="1" t="str">
        <f>IFERROR(IF(Final_Sans_VGE[[#This Row],[ppn_z]]="","",IFERROR(
   IF(_xlfn.XLOOKUP(Final_Sans_VGE[[#This Row],[ppn_z]],tbl_Historique_Final[[#This Row],[ppn_z]],tbl_Historique_Final[[#This Row],[date_modif]])=Final_Sans_VGE[[#This Row],[date_modif]],
      "Ancien",
      "Modifié"),
   "Nouveau")),"")</f>
        <v/>
      </c>
    </row>
    <row r="6044" spans="24:30" x14ac:dyDescent="0.25">
      <c r="X6044" s="8" t="e">
        <f>IF(Final_Sans_VGE[[#This Row],[ppn_z]]="","",IFERROR(
   IF(_xlfn.XLOOKUP(Final_Sans_VGE[[#This Row],[ppn_z]],tbl_Historique_Final[ppn_z],tbl_Historique_Final[date_modif])=Final_Sans_VGE[[#This Row],[date_modif]],
      "Ancien",
      "Modifié"),
   "Nouveau"))</f>
        <v>#VALUE!</v>
      </c>
      <c r="AD6044" s="1" t="str">
        <f>IFERROR(IF(Final_Sans_VGE[[#This Row],[ppn_z]]="","",IFERROR(
   IF(_xlfn.XLOOKUP(Final_Sans_VGE[[#This Row],[ppn_z]],tbl_Historique_Final[[#This Row],[ppn_z]],tbl_Historique_Final[[#This Row],[date_modif]])=Final_Sans_VGE[[#This Row],[date_modif]],
      "Ancien",
      "Modifié"),
   "Nouveau")),"")</f>
        <v/>
      </c>
    </row>
    <row r="6045" spans="24:30" x14ac:dyDescent="0.25">
      <c r="X6045" s="8" t="e">
        <f>IF(Final_Sans_VGE[[#This Row],[ppn_z]]="","",IFERROR(
   IF(_xlfn.XLOOKUP(Final_Sans_VGE[[#This Row],[ppn_z]],tbl_Historique_Final[ppn_z],tbl_Historique_Final[date_modif])=Final_Sans_VGE[[#This Row],[date_modif]],
      "Ancien",
      "Modifié"),
   "Nouveau"))</f>
        <v>#VALUE!</v>
      </c>
      <c r="AD6045" s="1" t="str">
        <f>IFERROR(IF(Final_Sans_VGE[[#This Row],[ppn_z]]="","",IFERROR(
   IF(_xlfn.XLOOKUP(Final_Sans_VGE[[#This Row],[ppn_z]],tbl_Historique_Final[[#This Row],[ppn_z]],tbl_Historique_Final[[#This Row],[date_modif]])=Final_Sans_VGE[[#This Row],[date_modif]],
      "Ancien",
      "Modifié"),
   "Nouveau")),"")</f>
        <v/>
      </c>
    </row>
    <row r="6046" spans="24:30" x14ac:dyDescent="0.25">
      <c r="X6046" s="8" t="e">
        <f>IF(Final_Sans_VGE[[#This Row],[ppn_z]]="","",IFERROR(
   IF(_xlfn.XLOOKUP(Final_Sans_VGE[[#This Row],[ppn_z]],tbl_Historique_Final[ppn_z],tbl_Historique_Final[date_modif])=Final_Sans_VGE[[#This Row],[date_modif]],
      "Ancien",
      "Modifié"),
   "Nouveau"))</f>
        <v>#VALUE!</v>
      </c>
      <c r="AD6046" s="1" t="str">
        <f>IFERROR(IF(Final_Sans_VGE[[#This Row],[ppn_z]]="","",IFERROR(
   IF(_xlfn.XLOOKUP(Final_Sans_VGE[[#This Row],[ppn_z]],tbl_Historique_Final[[#This Row],[ppn_z]],tbl_Historique_Final[[#This Row],[date_modif]])=Final_Sans_VGE[[#This Row],[date_modif]],
      "Ancien",
      "Modifié"),
   "Nouveau")),"")</f>
        <v/>
      </c>
    </row>
    <row r="6047" spans="24:30" x14ac:dyDescent="0.25">
      <c r="X6047" s="8" t="e">
        <f>IF(Final_Sans_VGE[[#This Row],[ppn_z]]="","",IFERROR(
   IF(_xlfn.XLOOKUP(Final_Sans_VGE[[#This Row],[ppn_z]],tbl_Historique_Final[ppn_z],tbl_Historique_Final[date_modif])=Final_Sans_VGE[[#This Row],[date_modif]],
      "Ancien",
      "Modifié"),
   "Nouveau"))</f>
        <v>#VALUE!</v>
      </c>
      <c r="AD6047" s="1" t="str">
        <f>IFERROR(IF(Final_Sans_VGE[[#This Row],[ppn_z]]="","",IFERROR(
   IF(_xlfn.XLOOKUP(Final_Sans_VGE[[#This Row],[ppn_z]],tbl_Historique_Final[[#This Row],[ppn_z]],tbl_Historique_Final[[#This Row],[date_modif]])=Final_Sans_VGE[[#This Row],[date_modif]],
      "Ancien",
      "Modifié"),
   "Nouveau")),"")</f>
        <v/>
      </c>
    </row>
    <row r="6048" spans="24:30" x14ac:dyDescent="0.25">
      <c r="X6048" s="8" t="e">
        <f>IF(Final_Sans_VGE[[#This Row],[ppn_z]]="","",IFERROR(
   IF(_xlfn.XLOOKUP(Final_Sans_VGE[[#This Row],[ppn_z]],tbl_Historique_Final[ppn_z],tbl_Historique_Final[date_modif])=Final_Sans_VGE[[#This Row],[date_modif]],
      "Ancien",
      "Modifié"),
   "Nouveau"))</f>
        <v>#VALUE!</v>
      </c>
      <c r="AD6048" s="1" t="str">
        <f>IFERROR(IF(Final_Sans_VGE[[#This Row],[ppn_z]]="","",IFERROR(
   IF(_xlfn.XLOOKUP(Final_Sans_VGE[[#This Row],[ppn_z]],tbl_Historique_Final[[#This Row],[ppn_z]],tbl_Historique_Final[[#This Row],[date_modif]])=Final_Sans_VGE[[#This Row],[date_modif]],
      "Ancien",
      "Modifié"),
   "Nouveau")),"")</f>
        <v/>
      </c>
    </row>
    <row r="6049" spans="24:30" x14ac:dyDescent="0.25">
      <c r="X6049" s="8" t="e">
        <f>IF(Final_Sans_VGE[[#This Row],[ppn_z]]="","",IFERROR(
   IF(_xlfn.XLOOKUP(Final_Sans_VGE[[#This Row],[ppn_z]],tbl_Historique_Final[ppn_z],tbl_Historique_Final[date_modif])=Final_Sans_VGE[[#This Row],[date_modif]],
      "Ancien",
      "Modifié"),
   "Nouveau"))</f>
        <v>#VALUE!</v>
      </c>
      <c r="AD6049" s="1" t="str">
        <f>IFERROR(IF(Final_Sans_VGE[[#This Row],[ppn_z]]="","",IFERROR(
   IF(_xlfn.XLOOKUP(Final_Sans_VGE[[#This Row],[ppn_z]],tbl_Historique_Final[[#This Row],[ppn_z]],tbl_Historique_Final[[#This Row],[date_modif]])=Final_Sans_VGE[[#This Row],[date_modif]],
      "Ancien",
      "Modifié"),
   "Nouveau")),"")</f>
        <v/>
      </c>
    </row>
    <row r="6050" spans="24:30" x14ac:dyDescent="0.25">
      <c r="X6050" s="8" t="e">
        <f>IF(Final_Sans_VGE[[#This Row],[ppn_z]]="","",IFERROR(
   IF(_xlfn.XLOOKUP(Final_Sans_VGE[[#This Row],[ppn_z]],tbl_Historique_Final[ppn_z],tbl_Historique_Final[date_modif])=Final_Sans_VGE[[#This Row],[date_modif]],
      "Ancien",
      "Modifié"),
   "Nouveau"))</f>
        <v>#VALUE!</v>
      </c>
      <c r="AD6050" s="1" t="str">
        <f>IFERROR(IF(Final_Sans_VGE[[#This Row],[ppn_z]]="","",IFERROR(
   IF(_xlfn.XLOOKUP(Final_Sans_VGE[[#This Row],[ppn_z]],tbl_Historique_Final[[#This Row],[ppn_z]],tbl_Historique_Final[[#This Row],[date_modif]])=Final_Sans_VGE[[#This Row],[date_modif]],
      "Ancien",
      "Modifié"),
   "Nouveau")),"")</f>
        <v/>
      </c>
    </row>
    <row r="6051" spans="24:30" x14ac:dyDescent="0.25">
      <c r="X6051" s="8" t="e">
        <f>IF(Final_Sans_VGE[[#This Row],[ppn_z]]="","",IFERROR(
   IF(_xlfn.XLOOKUP(Final_Sans_VGE[[#This Row],[ppn_z]],tbl_Historique_Final[ppn_z],tbl_Historique_Final[date_modif])=Final_Sans_VGE[[#This Row],[date_modif]],
      "Ancien",
      "Modifié"),
   "Nouveau"))</f>
        <v>#VALUE!</v>
      </c>
      <c r="AD6051" s="1" t="str">
        <f>IFERROR(IF(Final_Sans_VGE[[#This Row],[ppn_z]]="","",IFERROR(
   IF(_xlfn.XLOOKUP(Final_Sans_VGE[[#This Row],[ppn_z]],tbl_Historique_Final[[#This Row],[ppn_z]],tbl_Historique_Final[[#This Row],[date_modif]])=Final_Sans_VGE[[#This Row],[date_modif]],
      "Ancien",
      "Modifié"),
   "Nouveau")),"")</f>
        <v/>
      </c>
    </row>
    <row r="6052" spans="24:30" x14ac:dyDescent="0.25">
      <c r="X6052" s="8" t="e">
        <f>IF(Final_Sans_VGE[[#This Row],[ppn_z]]="","",IFERROR(
   IF(_xlfn.XLOOKUP(Final_Sans_VGE[[#This Row],[ppn_z]],tbl_Historique_Final[ppn_z],tbl_Historique_Final[date_modif])=Final_Sans_VGE[[#This Row],[date_modif]],
      "Ancien",
      "Modifié"),
   "Nouveau"))</f>
        <v>#VALUE!</v>
      </c>
      <c r="AD6052" s="1" t="str">
        <f>IFERROR(IF(Final_Sans_VGE[[#This Row],[ppn_z]]="","",IFERROR(
   IF(_xlfn.XLOOKUP(Final_Sans_VGE[[#This Row],[ppn_z]],tbl_Historique_Final[[#This Row],[ppn_z]],tbl_Historique_Final[[#This Row],[date_modif]])=Final_Sans_VGE[[#This Row],[date_modif]],
      "Ancien",
      "Modifié"),
   "Nouveau")),"")</f>
        <v/>
      </c>
    </row>
    <row r="6053" spans="24:30" x14ac:dyDescent="0.25">
      <c r="X6053" s="8" t="e">
        <f>IF(Final_Sans_VGE[[#This Row],[ppn_z]]="","",IFERROR(
   IF(_xlfn.XLOOKUP(Final_Sans_VGE[[#This Row],[ppn_z]],tbl_Historique_Final[ppn_z],tbl_Historique_Final[date_modif])=Final_Sans_VGE[[#This Row],[date_modif]],
      "Ancien",
      "Modifié"),
   "Nouveau"))</f>
        <v>#VALUE!</v>
      </c>
      <c r="AD6053" s="1" t="str">
        <f>IFERROR(IF(Final_Sans_VGE[[#This Row],[ppn_z]]="","",IFERROR(
   IF(_xlfn.XLOOKUP(Final_Sans_VGE[[#This Row],[ppn_z]],tbl_Historique_Final[[#This Row],[ppn_z]],tbl_Historique_Final[[#This Row],[date_modif]])=Final_Sans_VGE[[#This Row],[date_modif]],
      "Ancien",
      "Modifié"),
   "Nouveau")),"")</f>
        <v/>
      </c>
    </row>
    <row r="6054" spans="24:30" x14ac:dyDescent="0.25">
      <c r="X6054" s="8" t="e">
        <f>IF(Final_Sans_VGE[[#This Row],[ppn_z]]="","",IFERROR(
   IF(_xlfn.XLOOKUP(Final_Sans_VGE[[#This Row],[ppn_z]],tbl_Historique_Final[ppn_z],tbl_Historique_Final[date_modif])=Final_Sans_VGE[[#This Row],[date_modif]],
      "Ancien",
      "Modifié"),
   "Nouveau"))</f>
        <v>#VALUE!</v>
      </c>
      <c r="AD6054" s="1" t="str">
        <f>IFERROR(IF(Final_Sans_VGE[[#This Row],[ppn_z]]="","",IFERROR(
   IF(_xlfn.XLOOKUP(Final_Sans_VGE[[#This Row],[ppn_z]],tbl_Historique_Final[[#This Row],[ppn_z]],tbl_Historique_Final[[#This Row],[date_modif]])=Final_Sans_VGE[[#This Row],[date_modif]],
      "Ancien",
      "Modifié"),
   "Nouveau")),"")</f>
        <v/>
      </c>
    </row>
    <row r="6055" spans="24:30" x14ac:dyDescent="0.25">
      <c r="X6055" s="8" t="e">
        <f>IF(Final_Sans_VGE[[#This Row],[ppn_z]]="","",IFERROR(
   IF(_xlfn.XLOOKUP(Final_Sans_VGE[[#This Row],[ppn_z]],tbl_Historique_Final[ppn_z],tbl_Historique_Final[date_modif])=Final_Sans_VGE[[#This Row],[date_modif]],
      "Ancien",
      "Modifié"),
   "Nouveau"))</f>
        <v>#VALUE!</v>
      </c>
      <c r="AD6055" s="1" t="str">
        <f>IFERROR(IF(Final_Sans_VGE[[#This Row],[ppn_z]]="","",IFERROR(
   IF(_xlfn.XLOOKUP(Final_Sans_VGE[[#This Row],[ppn_z]],tbl_Historique_Final[[#This Row],[ppn_z]],tbl_Historique_Final[[#This Row],[date_modif]])=Final_Sans_VGE[[#This Row],[date_modif]],
      "Ancien",
      "Modifié"),
   "Nouveau")),"")</f>
        <v/>
      </c>
    </row>
    <row r="6056" spans="24:30" x14ac:dyDescent="0.25">
      <c r="X6056" s="8" t="e">
        <f>IF(Final_Sans_VGE[[#This Row],[ppn_z]]="","",IFERROR(
   IF(_xlfn.XLOOKUP(Final_Sans_VGE[[#This Row],[ppn_z]],tbl_Historique_Final[ppn_z],tbl_Historique_Final[date_modif])=Final_Sans_VGE[[#This Row],[date_modif]],
      "Ancien",
      "Modifié"),
   "Nouveau"))</f>
        <v>#VALUE!</v>
      </c>
      <c r="AD6056" s="1" t="str">
        <f>IFERROR(IF(Final_Sans_VGE[[#This Row],[ppn_z]]="","",IFERROR(
   IF(_xlfn.XLOOKUP(Final_Sans_VGE[[#This Row],[ppn_z]],tbl_Historique_Final[[#This Row],[ppn_z]],tbl_Historique_Final[[#This Row],[date_modif]])=Final_Sans_VGE[[#This Row],[date_modif]],
      "Ancien",
      "Modifié"),
   "Nouveau")),"")</f>
        <v/>
      </c>
    </row>
    <row r="6057" spans="24:30" x14ac:dyDescent="0.25">
      <c r="X6057" s="8" t="e">
        <f>IF(Final_Sans_VGE[[#This Row],[ppn_z]]="","",IFERROR(
   IF(_xlfn.XLOOKUP(Final_Sans_VGE[[#This Row],[ppn_z]],tbl_Historique_Final[ppn_z],tbl_Historique_Final[date_modif])=Final_Sans_VGE[[#This Row],[date_modif]],
      "Ancien",
      "Modifié"),
   "Nouveau"))</f>
        <v>#VALUE!</v>
      </c>
      <c r="AD6057" s="1" t="str">
        <f>IFERROR(IF(Final_Sans_VGE[[#This Row],[ppn_z]]="","",IFERROR(
   IF(_xlfn.XLOOKUP(Final_Sans_VGE[[#This Row],[ppn_z]],tbl_Historique_Final[[#This Row],[ppn_z]],tbl_Historique_Final[[#This Row],[date_modif]])=Final_Sans_VGE[[#This Row],[date_modif]],
      "Ancien",
      "Modifié"),
   "Nouveau")),"")</f>
        <v/>
      </c>
    </row>
    <row r="6058" spans="24:30" x14ac:dyDescent="0.25">
      <c r="X6058" s="8" t="e">
        <f>IF(Final_Sans_VGE[[#This Row],[ppn_z]]="","",IFERROR(
   IF(_xlfn.XLOOKUP(Final_Sans_VGE[[#This Row],[ppn_z]],tbl_Historique_Final[ppn_z],tbl_Historique_Final[date_modif])=Final_Sans_VGE[[#This Row],[date_modif]],
      "Ancien",
      "Modifié"),
   "Nouveau"))</f>
        <v>#VALUE!</v>
      </c>
      <c r="AD6058" s="1" t="str">
        <f>IFERROR(IF(Final_Sans_VGE[[#This Row],[ppn_z]]="","",IFERROR(
   IF(_xlfn.XLOOKUP(Final_Sans_VGE[[#This Row],[ppn_z]],tbl_Historique_Final[[#This Row],[ppn_z]],tbl_Historique_Final[[#This Row],[date_modif]])=Final_Sans_VGE[[#This Row],[date_modif]],
      "Ancien",
      "Modifié"),
   "Nouveau")),"")</f>
        <v/>
      </c>
    </row>
    <row r="6059" spans="24:30" x14ac:dyDescent="0.25">
      <c r="X6059" s="8" t="e">
        <f>IF(Final_Sans_VGE[[#This Row],[ppn_z]]="","",IFERROR(
   IF(_xlfn.XLOOKUP(Final_Sans_VGE[[#This Row],[ppn_z]],tbl_Historique_Final[ppn_z],tbl_Historique_Final[date_modif])=Final_Sans_VGE[[#This Row],[date_modif]],
      "Ancien",
      "Modifié"),
   "Nouveau"))</f>
        <v>#VALUE!</v>
      </c>
      <c r="AD6059" s="1" t="str">
        <f>IFERROR(IF(Final_Sans_VGE[[#This Row],[ppn_z]]="","",IFERROR(
   IF(_xlfn.XLOOKUP(Final_Sans_VGE[[#This Row],[ppn_z]],tbl_Historique_Final[[#This Row],[ppn_z]],tbl_Historique_Final[[#This Row],[date_modif]])=Final_Sans_VGE[[#This Row],[date_modif]],
      "Ancien",
      "Modifié"),
   "Nouveau")),"")</f>
        <v/>
      </c>
    </row>
    <row r="6060" spans="24:30" x14ac:dyDescent="0.25">
      <c r="X6060" s="8" t="e">
        <f>IF(Final_Sans_VGE[[#This Row],[ppn_z]]="","",IFERROR(
   IF(_xlfn.XLOOKUP(Final_Sans_VGE[[#This Row],[ppn_z]],tbl_Historique_Final[ppn_z],tbl_Historique_Final[date_modif])=Final_Sans_VGE[[#This Row],[date_modif]],
      "Ancien",
      "Modifié"),
   "Nouveau"))</f>
        <v>#VALUE!</v>
      </c>
      <c r="AD6060" s="1" t="str">
        <f>IFERROR(IF(Final_Sans_VGE[[#This Row],[ppn_z]]="","",IFERROR(
   IF(_xlfn.XLOOKUP(Final_Sans_VGE[[#This Row],[ppn_z]],tbl_Historique_Final[[#This Row],[ppn_z]],tbl_Historique_Final[[#This Row],[date_modif]])=Final_Sans_VGE[[#This Row],[date_modif]],
      "Ancien",
      "Modifié"),
   "Nouveau")),"")</f>
        <v/>
      </c>
    </row>
    <row r="6061" spans="24:30" x14ac:dyDescent="0.25">
      <c r="X6061" s="8" t="e">
        <f>IF(Final_Sans_VGE[[#This Row],[ppn_z]]="","",IFERROR(
   IF(_xlfn.XLOOKUP(Final_Sans_VGE[[#This Row],[ppn_z]],tbl_Historique_Final[ppn_z],tbl_Historique_Final[date_modif])=Final_Sans_VGE[[#This Row],[date_modif]],
      "Ancien",
      "Modifié"),
   "Nouveau"))</f>
        <v>#VALUE!</v>
      </c>
      <c r="AD6061" s="1" t="str">
        <f>IFERROR(IF(Final_Sans_VGE[[#This Row],[ppn_z]]="","",IFERROR(
   IF(_xlfn.XLOOKUP(Final_Sans_VGE[[#This Row],[ppn_z]],tbl_Historique_Final[[#This Row],[ppn_z]],tbl_Historique_Final[[#This Row],[date_modif]])=Final_Sans_VGE[[#This Row],[date_modif]],
      "Ancien",
      "Modifié"),
   "Nouveau")),"")</f>
        <v/>
      </c>
    </row>
    <row r="6062" spans="24:30" x14ac:dyDescent="0.25">
      <c r="X6062" s="8" t="e">
        <f>IF(Final_Sans_VGE[[#This Row],[ppn_z]]="","",IFERROR(
   IF(_xlfn.XLOOKUP(Final_Sans_VGE[[#This Row],[ppn_z]],tbl_Historique_Final[ppn_z],tbl_Historique_Final[date_modif])=Final_Sans_VGE[[#This Row],[date_modif]],
      "Ancien",
      "Modifié"),
   "Nouveau"))</f>
        <v>#VALUE!</v>
      </c>
      <c r="AD6062" s="1" t="str">
        <f>IFERROR(IF(Final_Sans_VGE[[#This Row],[ppn_z]]="","",IFERROR(
   IF(_xlfn.XLOOKUP(Final_Sans_VGE[[#This Row],[ppn_z]],tbl_Historique_Final[[#This Row],[ppn_z]],tbl_Historique_Final[[#This Row],[date_modif]])=Final_Sans_VGE[[#This Row],[date_modif]],
      "Ancien",
      "Modifié"),
   "Nouveau")),"")</f>
        <v/>
      </c>
    </row>
    <row r="6063" spans="24:30" x14ac:dyDescent="0.25">
      <c r="X6063" s="8" t="e">
        <f>IF(Final_Sans_VGE[[#This Row],[ppn_z]]="","",IFERROR(
   IF(_xlfn.XLOOKUP(Final_Sans_VGE[[#This Row],[ppn_z]],tbl_Historique_Final[ppn_z],tbl_Historique_Final[date_modif])=Final_Sans_VGE[[#This Row],[date_modif]],
      "Ancien",
      "Modifié"),
   "Nouveau"))</f>
        <v>#VALUE!</v>
      </c>
      <c r="AD6063" s="1" t="str">
        <f>IFERROR(IF(Final_Sans_VGE[[#This Row],[ppn_z]]="","",IFERROR(
   IF(_xlfn.XLOOKUP(Final_Sans_VGE[[#This Row],[ppn_z]],tbl_Historique_Final[[#This Row],[ppn_z]],tbl_Historique_Final[[#This Row],[date_modif]])=Final_Sans_VGE[[#This Row],[date_modif]],
      "Ancien",
      "Modifié"),
   "Nouveau")),"")</f>
        <v/>
      </c>
    </row>
    <row r="6064" spans="24:30" x14ac:dyDescent="0.25">
      <c r="X6064" s="8" t="e">
        <f>IF(Final_Sans_VGE[[#This Row],[ppn_z]]="","",IFERROR(
   IF(_xlfn.XLOOKUP(Final_Sans_VGE[[#This Row],[ppn_z]],tbl_Historique_Final[ppn_z],tbl_Historique_Final[date_modif])=Final_Sans_VGE[[#This Row],[date_modif]],
      "Ancien",
      "Modifié"),
   "Nouveau"))</f>
        <v>#VALUE!</v>
      </c>
      <c r="AD6064" s="1" t="str">
        <f>IFERROR(IF(Final_Sans_VGE[[#This Row],[ppn_z]]="","",IFERROR(
   IF(_xlfn.XLOOKUP(Final_Sans_VGE[[#This Row],[ppn_z]],tbl_Historique_Final[[#This Row],[ppn_z]],tbl_Historique_Final[[#This Row],[date_modif]])=Final_Sans_VGE[[#This Row],[date_modif]],
      "Ancien",
      "Modifié"),
   "Nouveau")),"")</f>
        <v/>
      </c>
    </row>
    <row r="6065" spans="24:30" x14ac:dyDescent="0.25">
      <c r="X6065" s="8" t="e">
        <f>IF(Final_Sans_VGE[[#This Row],[ppn_z]]="","",IFERROR(
   IF(_xlfn.XLOOKUP(Final_Sans_VGE[[#This Row],[ppn_z]],tbl_Historique_Final[ppn_z],tbl_Historique_Final[date_modif])=Final_Sans_VGE[[#This Row],[date_modif]],
      "Ancien",
      "Modifié"),
   "Nouveau"))</f>
        <v>#VALUE!</v>
      </c>
      <c r="AD6065" s="1" t="str">
        <f>IFERROR(IF(Final_Sans_VGE[[#This Row],[ppn_z]]="","",IFERROR(
   IF(_xlfn.XLOOKUP(Final_Sans_VGE[[#This Row],[ppn_z]],tbl_Historique_Final[[#This Row],[ppn_z]],tbl_Historique_Final[[#This Row],[date_modif]])=Final_Sans_VGE[[#This Row],[date_modif]],
      "Ancien",
      "Modifié"),
   "Nouveau")),"")</f>
        <v/>
      </c>
    </row>
    <row r="6066" spans="24:30" x14ac:dyDescent="0.25">
      <c r="X6066" s="8" t="e">
        <f>IF(Final_Sans_VGE[[#This Row],[ppn_z]]="","",IFERROR(
   IF(_xlfn.XLOOKUP(Final_Sans_VGE[[#This Row],[ppn_z]],tbl_Historique_Final[ppn_z],tbl_Historique_Final[date_modif])=Final_Sans_VGE[[#This Row],[date_modif]],
      "Ancien",
      "Modifié"),
   "Nouveau"))</f>
        <v>#VALUE!</v>
      </c>
      <c r="AD6066" s="1" t="str">
        <f>IFERROR(IF(Final_Sans_VGE[[#This Row],[ppn_z]]="","",IFERROR(
   IF(_xlfn.XLOOKUP(Final_Sans_VGE[[#This Row],[ppn_z]],tbl_Historique_Final[[#This Row],[ppn_z]],tbl_Historique_Final[[#This Row],[date_modif]])=Final_Sans_VGE[[#This Row],[date_modif]],
      "Ancien",
      "Modifié"),
   "Nouveau")),"")</f>
        <v/>
      </c>
    </row>
    <row r="6067" spans="24:30" x14ac:dyDescent="0.25">
      <c r="X6067" s="8" t="e">
        <f>IF(Final_Sans_VGE[[#This Row],[ppn_z]]="","",IFERROR(
   IF(_xlfn.XLOOKUP(Final_Sans_VGE[[#This Row],[ppn_z]],tbl_Historique_Final[ppn_z],tbl_Historique_Final[date_modif])=Final_Sans_VGE[[#This Row],[date_modif]],
      "Ancien",
      "Modifié"),
   "Nouveau"))</f>
        <v>#VALUE!</v>
      </c>
      <c r="AD6067" s="1" t="str">
        <f>IFERROR(IF(Final_Sans_VGE[[#This Row],[ppn_z]]="","",IFERROR(
   IF(_xlfn.XLOOKUP(Final_Sans_VGE[[#This Row],[ppn_z]],tbl_Historique_Final[[#This Row],[ppn_z]],tbl_Historique_Final[[#This Row],[date_modif]])=Final_Sans_VGE[[#This Row],[date_modif]],
      "Ancien",
      "Modifié"),
   "Nouveau")),"")</f>
        <v/>
      </c>
    </row>
    <row r="6068" spans="24:30" x14ac:dyDescent="0.25">
      <c r="X6068" s="8" t="e">
        <f>IF(Final_Sans_VGE[[#This Row],[ppn_z]]="","",IFERROR(
   IF(_xlfn.XLOOKUP(Final_Sans_VGE[[#This Row],[ppn_z]],tbl_Historique_Final[ppn_z],tbl_Historique_Final[date_modif])=Final_Sans_VGE[[#This Row],[date_modif]],
      "Ancien",
      "Modifié"),
   "Nouveau"))</f>
        <v>#VALUE!</v>
      </c>
      <c r="AD6068" s="1" t="str">
        <f>IFERROR(IF(Final_Sans_VGE[[#This Row],[ppn_z]]="","",IFERROR(
   IF(_xlfn.XLOOKUP(Final_Sans_VGE[[#This Row],[ppn_z]],tbl_Historique_Final[[#This Row],[ppn_z]],tbl_Historique_Final[[#This Row],[date_modif]])=Final_Sans_VGE[[#This Row],[date_modif]],
      "Ancien",
      "Modifié"),
   "Nouveau")),"")</f>
        <v/>
      </c>
    </row>
    <row r="6069" spans="24:30" x14ac:dyDescent="0.25">
      <c r="X6069" s="8" t="e">
        <f>IF(Final_Sans_VGE[[#This Row],[ppn_z]]="","",IFERROR(
   IF(_xlfn.XLOOKUP(Final_Sans_VGE[[#This Row],[ppn_z]],tbl_Historique_Final[ppn_z],tbl_Historique_Final[date_modif])=Final_Sans_VGE[[#This Row],[date_modif]],
      "Ancien",
      "Modifié"),
   "Nouveau"))</f>
        <v>#VALUE!</v>
      </c>
      <c r="AD6069" s="1" t="str">
        <f>IFERROR(IF(Final_Sans_VGE[[#This Row],[ppn_z]]="","",IFERROR(
   IF(_xlfn.XLOOKUP(Final_Sans_VGE[[#This Row],[ppn_z]],tbl_Historique_Final[[#This Row],[ppn_z]],tbl_Historique_Final[[#This Row],[date_modif]])=Final_Sans_VGE[[#This Row],[date_modif]],
      "Ancien",
      "Modifié"),
   "Nouveau")),"")</f>
        <v/>
      </c>
    </row>
    <row r="6070" spans="24:30" x14ac:dyDescent="0.25">
      <c r="X6070" s="8" t="e">
        <f>IF(Final_Sans_VGE[[#This Row],[ppn_z]]="","",IFERROR(
   IF(_xlfn.XLOOKUP(Final_Sans_VGE[[#This Row],[ppn_z]],tbl_Historique_Final[ppn_z],tbl_Historique_Final[date_modif])=Final_Sans_VGE[[#This Row],[date_modif]],
      "Ancien",
      "Modifié"),
   "Nouveau"))</f>
        <v>#VALUE!</v>
      </c>
      <c r="AD6070" s="1" t="str">
        <f>IFERROR(IF(Final_Sans_VGE[[#This Row],[ppn_z]]="","",IFERROR(
   IF(_xlfn.XLOOKUP(Final_Sans_VGE[[#This Row],[ppn_z]],tbl_Historique_Final[[#This Row],[ppn_z]],tbl_Historique_Final[[#This Row],[date_modif]])=Final_Sans_VGE[[#This Row],[date_modif]],
      "Ancien",
      "Modifié"),
   "Nouveau")),"")</f>
        <v/>
      </c>
    </row>
    <row r="6071" spans="24:30" x14ac:dyDescent="0.25">
      <c r="X6071" s="8" t="e">
        <f>IF(Final_Sans_VGE[[#This Row],[ppn_z]]="","",IFERROR(
   IF(_xlfn.XLOOKUP(Final_Sans_VGE[[#This Row],[ppn_z]],tbl_Historique_Final[ppn_z],tbl_Historique_Final[date_modif])=Final_Sans_VGE[[#This Row],[date_modif]],
      "Ancien",
      "Modifié"),
   "Nouveau"))</f>
        <v>#VALUE!</v>
      </c>
      <c r="AD6071" s="1" t="str">
        <f>IFERROR(IF(Final_Sans_VGE[[#This Row],[ppn_z]]="","",IFERROR(
   IF(_xlfn.XLOOKUP(Final_Sans_VGE[[#This Row],[ppn_z]],tbl_Historique_Final[[#This Row],[ppn_z]],tbl_Historique_Final[[#This Row],[date_modif]])=Final_Sans_VGE[[#This Row],[date_modif]],
      "Ancien",
      "Modifié"),
   "Nouveau")),"")</f>
        <v/>
      </c>
    </row>
    <row r="6072" spans="24:30" x14ac:dyDescent="0.25">
      <c r="X6072" s="8" t="e">
        <f>IF(Final_Sans_VGE[[#This Row],[ppn_z]]="","",IFERROR(
   IF(_xlfn.XLOOKUP(Final_Sans_VGE[[#This Row],[ppn_z]],tbl_Historique_Final[ppn_z],tbl_Historique_Final[date_modif])=Final_Sans_VGE[[#This Row],[date_modif]],
      "Ancien",
      "Modifié"),
   "Nouveau"))</f>
        <v>#VALUE!</v>
      </c>
      <c r="AD6072" s="1" t="str">
        <f>IFERROR(IF(Final_Sans_VGE[[#This Row],[ppn_z]]="","",IFERROR(
   IF(_xlfn.XLOOKUP(Final_Sans_VGE[[#This Row],[ppn_z]],tbl_Historique_Final[[#This Row],[ppn_z]],tbl_Historique_Final[[#This Row],[date_modif]])=Final_Sans_VGE[[#This Row],[date_modif]],
      "Ancien",
      "Modifié"),
   "Nouveau")),"")</f>
        <v/>
      </c>
    </row>
    <row r="6073" spans="24:30" x14ac:dyDescent="0.25">
      <c r="X6073" s="8" t="e">
        <f>IF(Final_Sans_VGE[[#This Row],[ppn_z]]="","",IFERROR(
   IF(_xlfn.XLOOKUP(Final_Sans_VGE[[#This Row],[ppn_z]],tbl_Historique_Final[ppn_z],tbl_Historique_Final[date_modif])=Final_Sans_VGE[[#This Row],[date_modif]],
      "Ancien",
      "Modifié"),
   "Nouveau"))</f>
        <v>#VALUE!</v>
      </c>
      <c r="AD6073" s="1" t="str">
        <f>IFERROR(IF(Final_Sans_VGE[[#This Row],[ppn_z]]="","",IFERROR(
   IF(_xlfn.XLOOKUP(Final_Sans_VGE[[#This Row],[ppn_z]],tbl_Historique_Final[[#This Row],[ppn_z]],tbl_Historique_Final[[#This Row],[date_modif]])=Final_Sans_VGE[[#This Row],[date_modif]],
      "Ancien",
      "Modifié"),
   "Nouveau")),"")</f>
        <v/>
      </c>
    </row>
    <row r="6074" spans="24:30" x14ac:dyDescent="0.25">
      <c r="X6074" s="8" t="e">
        <f>IF(Final_Sans_VGE[[#This Row],[ppn_z]]="","",IFERROR(
   IF(_xlfn.XLOOKUP(Final_Sans_VGE[[#This Row],[ppn_z]],tbl_Historique_Final[ppn_z],tbl_Historique_Final[date_modif])=Final_Sans_VGE[[#This Row],[date_modif]],
      "Ancien",
      "Modifié"),
   "Nouveau"))</f>
        <v>#VALUE!</v>
      </c>
      <c r="AD6074" s="1" t="str">
        <f>IFERROR(IF(Final_Sans_VGE[[#This Row],[ppn_z]]="","",IFERROR(
   IF(_xlfn.XLOOKUP(Final_Sans_VGE[[#This Row],[ppn_z]],tbl_Historique_Final[[#This Row],[ppn_z]],tbl_Historique_Final[[#This Row],[date_modif]])=Final_Sans_VGE[[#This Row],[date_modif]],
      "Ancien",
      "Modifié"),
   "Nouveau")),"")</f>
        <v/>
      </c>
    </row>
    <row r="6075" spans="24:30" x14ac:dyDescent="0.25">
      <c r="X6075" s="8" t="e">
        <f>IF(Final_Sans_VGE[[#This Row],[ppn_z]]="","",IFERROR(
   IF(_xlfn.XLOOKUP(Final_Sans_VGE[[#This Row],[ppn_z]],tbl_Historique_Final[ppn_z],tbl_Historique_Final[date_modif])=Final_Sans_VGE[[#This Row],[date_modif]],
      "Ancien",
      "Modifié"),
   "Nouveau"))</f>
        <v>#VALUE!</v>
      </c>
      <c r="AD6075" s="1" t="str">
        <f>IFERROR(IF(Final_Sans_VGE[[#This Row],[ppn_z]]="","",IFERROR(
   IF(_xlfn.XLOOKUP(Final_Sans_VGE[[#This Row],[ppn_z]],tbl_Historique_Final[[#This Row],[ppn_z]],tbl_Historique_Final[[#This Row],[date_modif]])=Final_Sans_VGE[[#This Row],[date_modif]],
      "Ancien",
      "Modifié"),
   "Nouveau")),"")</f>
        <v/>
      </c>
    </row>
    <row r="6076" spans="24:30" x14ac:dyDescent="0.25">
      <c r="X6076" s="8" t="e">
        <f>IF(Final_Sans_VGE[[#This Row],[ppn_z]]="","",IFERROR(
   IF(_xlfn.XLOOKUP(Final_Sans_VGE[[#This Row],[ppn_z]],tbl_Historique_Final[ppn_z],tbl_Historique_Final[date_modif])=Final_Sans_VGE[[#This Row],[date_modif]],
      "Ancien",
      "Modifié"),
   "Nouveau"))</f>
        <v>#VALUE!</v>
      </c>
      <c r="AD6076" s="1" t="str">
        <f>IFERROR(IF(Final_Sans_VGE[[#This Row],[ppn_z]]="","",IFERROR(
   IF(_xlfn.XLOOKUP(Final_Sans_VGE[[#This Row],[ppn_z]],tbl_Historique_Final[[#This Row],[ppn_z]],tbl_Historique_Final[[#This Row],[date_modif]])=Final_Sans_VGE[[#This Row],[date_modif]],
      "Ancien",
      "Modifié"),
   "Nouveau")),"")</f>
        <v/>
      </c>
    </row>
    <row r="6077" spans="24:30" x14ac:dyDescent="0.25">
      <c r="X6077" s="8" t="e">
        <f>IF(Final_Sans_VGE[[#This Row],[ppn_z]]="","",IFERROR(
   IF(_xlfn.XLOOKUP(Final_Sans_VGE[[#This Row],[ppn_z]],tbl_Historique_Final[ppn_z],tbl_Historique_Final[date_modif])=Final_Sans_VGE[[#This Row],[date_modif]],
      "Ancien",
      "Modifié"),
   "Nouveau"))</f>
        <v>#VALUE!</v>
      </c>
      <c r="AD6077" s="1" t="str">
        <f>IFERROR(IF(Final_Sans_VGE[[#This Row],[ppn_z]]="","",IFERROR(
   IF(_xlfn.XLOOKUP(Final_Sans_VGE[[#This Row],[ppn_z]],tbl_Historique_Final[[#This Row],[ppn_z]],tbl_Historique_Final[[#This Row],[date_modif]])=Final_Sans_VGE[[#This Row],[date_modif]],
      "Ancien",
      "Modifié"),
   "Nouveau")),"")</f>
        <v/>
      </c>
    </row>
    <row r="6078" spans="24:30" x14ac:dyDescent="0.25">
      <c r="X6078" s="8" t="e">
        <f>IF(Final_Sans_VGE[[#This Row],[ppn_z]]="","",IFERROR(
   IF(_xlfn.XLOOKUP(Final_Sans_VGE[[#This Row],[ppn_z]],tbl_Historique_Final[ppn_z],tbl_Historique_Final[date_modif])=Final_Sans_VGE[[#This Row],[date_modif]],
      "Ancien",
      "Modifié"),
   "Nouveau"))</f>
        <v>#VALUE!</v>
      </c>
      <c r="AD6078" s="1" t="str">
        <f>IFERROR(IF(Final_Sans_VGE[[#This Row],[ppn_z]]="","",IFERROR(
   IF(_xlfn.XLOOKUP(Final_Sans_VGE[[#This Row],[ppn_z]],tbl_Historique_Final[[#This Row],[ppn_z]],tbl_Historique_Final[[#This Row],[date_modif]])=Final_Sans_VGE[[#This Row],[date_modif]],
      "Ancien",
      "Modifié"),
   "Nouveau")),"")</f>
        <v/>
      </c>
    </row>
    <row r="6079" spans="24:30" x14ac:dyDescent="0.25">
      <c r="X6079" s="8" t="e">
        <f>IF(Final_Sans_VGE[[#This Row],[ppn_z]]="","",IFERROR(
   IF(_xlfn.XLOOKUP(Final_Sans_VGE[[#This Row],[ppn_z]],tbl_Historique_Final[ppn_z],tbl_Historique_Final[date_modif])=Final_Sans_VGE[[#This Row],[date_modif]],
      "Ancien",
      "Modifié"),
   "Nouveau"))</f>
        <v>#VALUE!</v>
      </c>
      <c r="AD6079" s="1" t="str">
        <f>IFERROR(IF(Final_Sans_VGE[[#This Row],[ppn_z]]="","",IFERROR(
   IF(_xlfn.XLOOKUP(Final_Sans_VGE[[#This Row],[ppn_z]],tbl_Historique_Final[[#This Row],[ppn_z]],tbl_Historique_Final[[#This Row],[date_modif]])=Final_Sans_VGE[[#This Row],[date_modif]],
      "Ancien",
      "Modifié"),
   "Nouveau")),"")</f>
        <v/>
      </c>
    </row>
    <row r="6080" spans="24:30" x14ac:dyDescent="0.25">
      <c r="X6080" s="8" t="e">
        <f>IF(Final_Sans_VGE[[#This Row],[ppn_z]]="","",IFERROR(
   IF(_xlfn.XLOOKUP(Final_Sans_VGE[[#This Row],[ppn_z]],tbl_Historique_Final[ppn_z],tbl_Historique_Final[date_modif])=Final_Sans_VGE[[#This Row],[date_modif]],
      "Ancien",
      "Modifié"),
   "Nouveau"))</f>
        <v>#VALUE!</v>
      </c>
      <c r="AD6080" s="1" t="str">
        <f>IFERROR(IF(Final_Sans_VGE[[#This Row],[ppn_z]]="","",IFERROR(
   IF(_xlfn.XLOOKUP(Final_Sans_VGE[[#This Row],[ppn_z]],tbl_Historique_Final[[#This Row],[ppn_z]],tbl_Historique_Final[[#This Row],[date_modif]])=Final_Sans_VGE[[#This Row],[date_modif]],
      "Ancien",
      "Modifié"),
   "Nouveau")),"")</f>
        <v/>
      </c>
    </row>
    <row r="6081" spans="24:30" x14ac:dyDescent="0.25">
      <c r="X6081" s="8" t="e">
        <f>IF(Final_Sans_VGE[[#This Row],[ppn_z]]="","",IFERROR(
   IF(_xlfn.XLOOKUP(Final_Sans_VGE[[#This Row],[ppn_z]],tbl_Historique_Final[ppn_z],tbl_Historique_Final[date_modif])=Final_Sans_VGE[[#This Row],[date_modif]],
      "Ancien",
      "Modifié"),
   "Nouveau"))</f>
        <v>#VALUE!</v>
      </c>
      <c r="AD6081" s="1" t="str">
        <f>IFERROR(IF(Final_Sans_VGE[[#This Row],[ppn_z]]="","",IFERROR(
   IF(_xlfn.XLOOKUP(Final_Sans_VGE[[#This Row],[ppn_z]],tbl_Historique_Final[[#This Row],[ppn_z]],tbl_Historique_Final[[#This Row],[date_modif]])=Final_Sans_VGE[[#This Row],[date_modif]],
      "Ancien",
      "Modifié"),
   "Nouveau")),"")</f>
        <v/>
      </c>
    </row>
    <row r="6082" spans="24:30" x14ac:dyDescent="0.25">
      <c r="X6082" s="8" t="e">
        <f>IF(Final_Sans_VGE[[#This Row],[ppn_z]]="","",IFERROR(
   IF(_xlfn.XLOOKUP(Final_Sans_VGE[[#This Row],[ppn_z]],tbl_Historique_Final[ppn_z],tbl_Historique_Final[date_modif])=Final_Sans_VGE[[#This Row],[date_modif]],
      "Ancien",
      "Modifié"),
   "Nouveau"))</f>
        <v>#VALUE!</v>
      </c>
      <c r="AD6082" s="1" t="str">
        <f>IFERROR(IF(Final_Sans_VGE[[#This Row],[ppn_z]]="","",IFERROR(
   IF(_xlfn.XLOOKUP(Final_Sans_VGE[[#This Row],[ppn_z]],tbl_Historique_Final[[#This Row],[ppn_z]],tbl_Historique_Final[[#This Row],[date_modif]])=Final_Sans_VGE[[#This Row],[date_modif]],
      "Ancien",
      "Modifié"),
   "Nouveau")),"")</f>
        <v/>
      </c>
    </row>
    <row r="6083" spans="24:30" x14ac:dyDescent="0.25">
      <c r="X6083" s="8" t="e">
        <f>IF(Final_Sans_VGE[[#This Row],[ppn_z]]="","",IFERROR(
   IF(_xlfn.XLOOKUP(Final_Sans_VGE[[#This Row],[ppn_z]],tbl_Historique_Final[ppn_z],tbl_Historique_Final[date_modif])=Final_Sans_VGE[[#This Row],[date_modif]],
      "Ancien",
      "Modifié"),
   "Nouveau"))</f>
        <v>#VALUE!</v>
      </c>
      <c r="AD6083" s="1" t="str">
        <f>IFERROR(IF(Final_Sans_VGE[[#This Row],[ppn_z]]="","",IFERROR(
   IF(_xlfn.XLOOKUP(Final_Sans_VGE[[#This Row],[ppn_z]],tbl_Historique_Final[[#This Row],[ppn_z]],tbl_Historique_Final[[#This Row],[date_modif]])=Final_Sans_VGE[[#This Row],[date_modif]],
      "Ancien",
      "Modifié"),
   "Nouveau")),"")</f>
        <v/>
      </c>
    </row>
    <row r="6084" spans="24:30" x14ac:dyDescent="0.25">
      <c r="X6084" s="8" t="e">
        <f>IF(Final_Sans_VGE[[#This Row],[ppn_z]]="","",IFERROR(
   IF(_xlfn.XLOOKUP(Final_Sans_VGE[[#This Row],[ppn_z]],tbl_Historique_Final[ppn_z],tbl_Historique_Final[date_modif])=Final_Sans_VGE[[#This Row],[date_modif]],
      "Ancien",
      "Modifié"),
   "Nouveau"))</f>
        <v>#VALUE!</v>
      </c>
      <c r="AD6084" s="1" t="str">
        <f>IFERROR(IF(Final_Sans_VGE[[#This Row],[ppn_z]]="","",IFERROR(
   IF(_xlfn.XLOOKUP(Final_Sans_VGE[[#This Row],[ppn_z]],tbl_Historique_Final[[#This Row],[ppn_z]],tbl_Historique_Final[[#This Row],[date_modif]])=Final_Sans_VGE[[#This Row],[date_modif]],
      "Ancien",
      "Modifié"),
   "Nouveau")),"")</f>
        <v/>
      </c>
    </row>
    <row r="6085" spans="24:30" x14ac:dyDescent="0.25">
      <c r="X6085" s="8" t="e">
        <f>IF(Final_Sans_VGE[[#This Row],[ppn_z]]="","",IFERROR(
   IF(_xlfn.XLOOKUP(Final_Sans_VGE[[#This Row],[ppn_z]],tbl_Historique_Final[ppn_z],tbl_Historique_Final[date_modif])=Final_Sans_VGE[[#This Row],[date_modif]],
      "Ancien",
      "Modifié"),
   "Nouveau"))</f>
        <v>#VALUE!</v>
      </c>
      <c r="AD6085" s="1" t="str">
        <f>IFERROR(IF(Final_Sans_VGE[[#This Row],[ppn_z]]="","",IFERROR(
   IF(_xlfn.XLOOKUP(Final_Sans_VGE[[#This Row],[ppn_z]],tbl_Historique_Final[[#This Row],[ppn_z]],tbl_Historique_Final[[#This Row],[date_modif]])=Final_Sans_VGE[[#This Row],[date_modif]],
      "Ancien",
      "Modifié"),
   "Nouveau")),"")</f>
        <v/>
      </c>
    </row>
    <row r="6086" spans="24:30" x14ac:dyDescent="0.25">
      <c r="X6086" s="8" t="e">
        <f>IF(Final_Sans_VGE[[#This Row],[ppn_z]]="","",IFERROR(
   IF(_xlfn.XLOOKUP(Final_Sans_VGE[[#This Row],[ppn_z]],tbl_Historique_Final[ppn_z],tbl_Historique_Final[date_modif])=Final_Sans_VGE[[#This Row],[date_modif]],
      "Ancien",
      "Modifié"),
   "Nouveau"))</f>
        <v>#VALUE!</v>
      </c>
      <c r="AD6086" s="1" t="str">
        <f>IFERROR(IF(Final_Sans_VGE[[#This Row],[ppn_z]]="","",IFERROR(
   IF(_xlfn.XLOOKUP(Final_Sans_VGE[[#This Row],[ppn_z]],tbl_Historique_Final[[#This Row],[ppn_z]],tbl_Historique_Final[[#This Row],[date_modif]])=Final_Sans_VGE[[#This Row],[date_modif]],
      "Ancien",
      "Modifié"),
   "Nouveau")),"")</f>
        <v/>
      </c>
    </row>
    <row r="6087" spans="24:30" x14ac:dyDescent="0.25">
      <c r="X6087" s="8" t="e">
        <f>IF(Final_Sans_VGE[[#This Row],[ppn_z]]="","",IFERROR(
   IF(_xlfn.XLOOKUP(Final_Sans_VGE[[#This Row],[ppn_z]],tbl_Historique_Final[ppn_z],tbl_Historique_Final[date_modif])=Final_Sans_VGE[[#This Row],[date_modif]],
      "Ancien",
      "Modifié"),
   "Nouveau"))</f>
        <v>#VALUE!</v>
      </c>
      <c r="AD6087" s="1" t="str">
        <f>IFERROR(IF(Final_Sans_VGE[[#This Row],[ppn_z]]="","",IFERROR(
   IF(_xlfn.XLOOKUP(Final_Sans_VGE[[#This Row],[ppn_z]],tbl_Historique_Final[[#This Row],[ppn_z]],tbl_Historique_Final[[#This Row],[date_modif]])=Final_Sans_VGE[[#This Row],[date_modif]],
      "Ancien",
      "Modifié"),
   "Nouveau")),"")</f>
        <v/>
      </c>
    </row>
    <row r="6088" spans="24:30" x14ac:dyDescent="0.25">
      <c r="X6088" s="8" t="e">
        <f>IF(Final_Sans_VGE[[#This Row],[ppn_z]]="","",IFERROR(
   IF(_xlfn.XLOOKUP(Final_Sans_VGE[[#This Row],[ppn_z]],tbl_Historique_Final[ppn_z],tbl_Historique_Final[date_modif])=Final_Sans_VGE[[#This Row],[date_modif]],
      "Ancien",
      "Modifié"),
   "Nouveau"))</f>
        <v>#VALUE!</v>
      </c>
      <c r="AD6088" s="1" t="str">
        <f>IFERROR(IF(Final_Sans_VGE[[#This Row],[ppn_z]]="","",IFERROR(
   IF(_xlfn.XLOOKUP(Final_Sans_VGE[[#This Row],[ppn_z]],tbl_Historique_Final[[#This Row],[ppn_z]],tbl_Historique_Final[[#This Row],[date_modif]])=Final_Sans_VGE[[#This Row],[date_modif]],
      "Ancien",
      "Modifié"),
   "Nouveau")),"")</f>
        <v/>
      </c>
    </row>
    <row r="6089" spans="24:30" x14ac:dyDescent="0.25">
      <c r="X6089" s="8" t="e">
        <f>IF(Final_Sans_VGE[[#This Row],[ppn_z]]="","",IFERROR(
   IF(_xlfn.XLOOKUP(Final_Sans_VGE[[#This Row],[ppn_z]],tbl_Historique_Final[ppn_z],tbl_Historique_Final[date_modif])=Final_Sans_VGE[[#This Row],[date_modif]],
      "Ancien",
      "Modifié"),
   "Nouveau"))</f>
        <v>#VALUE!</v>
      </c>
      <c r="AD6089" s="1" t="str">
        <f>IFERROR(IF(Final_Sans_VGE[[#This Row],[ppn_z]]="","",IFERROR(
   IF(_xlfn.XLOOKUP(Final_Sans_VGE[[#This Row],[ppn_z]],tbl_Historique_Final[[#This Row],[ppn_z]],tbl_Historique_Final[[#This Row],[date_modif]])=Final_Sans_VGE[[#This Row],[date_modif]],
      "Ancien",
      "Modifié"),
   "Nouveau")),"")</f>
        <v/>
      </c>
    </row>
    <row r="6090" spans="24:30" x14ac:dyDescent="0.25">
      <c r="X6090" s="8" t="e">
        <f>IF(Final_Sans_VGE[[#This Row],[ppn_z]]="","",IFERROR(
   IF(_xlfn.XLOOKUP(Final_Sans_VGE[[#This Row],[ppn_z]],tbl_Historique_Final[ppn_z],tbl_Historique_Final[date_modif])=Final_Sans_VGE[[#This Row],[date_modif]],
      "Ancien",
      "Modifié"),
   "Nouveau"))</f>
        <v>#VALUE!</v>
      </c>
      <c r="AD6090" s="1" t="str">
        <f>IFERROR(IF(Final_Sans_VGE[[#This Row],[ppn_z]]="","",IFERROR(
   IF(_xlfn.XLOOKUP(Final_Sans_VGE[[#This Row],[ppn_z]],tbl_Historique_Final[[#This Row],[ppn_z]],tbl_Historique_Final[[#This Row],[date_modif]])=Final_Sans_VGE[[#This Row],[date_modif]],
      "Ancien",
      "Modifié"),
   "Nouveau")),"")</f>
        <v/>
      </c>
    </row>
    <row r="6091" spans="24:30" x14ac:dyDescent="0.25">
      <c r="X6091" s="8" t="e">
        <f>IF(Final_Sans_VGE[[#This Row],[ppn_z]]="","",IFERROR(
   IF(_xlfn.XLOOKUP(Final_Sans_VGE[[#This Row],[ppn_z]],tbl_Historique_Final[ppn_z],tbl_Historique_Final[date_modif])=Final_Sans_VGE[[#This Row],[date_modif]],
      "Ancien",
      "Modifié"),
   "Nouveau"))</f>
        <v>#VALUE!</v>
      </c>
      <c r="AD6091" s="1" t="str">
        <f>IFERROR(IF(Final_Sans_VGE[[#This Row],[ppn_z]]="","",IFERROR(
   IF(_xlfn.XLOOKUP(Final_Sans_VGE[[#This Row],[ppn_z]],tbl_Historique_Final[[#This Row],[ppn_z]],tbl_Historique_Final[[#This Row],[date_modif]])=Final_Sans_VGE[[#This Row],[date_modif]],
      "Ancien",
      "Modifié"),
   "Nouveau")),"")</f>
        <v/>
      </c>
    </row>
    <row r="6092" spans="24:30" x14ac:dyDescent="0.25">
      <c r="X6092" s="8" t="e">
        <f>IF(Final_Sans_VGE[[#This Row],[ppn_z]]="","",IFERROR(
   IF(_xlfn.XLOOKUP(Final_Sans_VGE[[#This Row],[ppn_z]],tbl_Historique_Final[ppn_z],tbl_Historique_Final[date_modif])=Final_Sans_VGE[[#This Row],[date_modif]],
      "Ancien",
      "Modifié"),
   "Nouveau"))</f>
        <v>#VALUE!</v>
      </c>
      <c r="AD6092" s="1" t="str">
        <f>IFERROR(IF(Final_Sans_VGE[[#This Row],[ppn_z]]="","",IFERROR(
   IF(_xlfn.XLOOKUP(Final_Sans_VGE[[#This Row],[ppn_z]],tbl_Historique_Final[[#This Row],[ppn_z]],tbl_Historique_Final[[#This Row],[date_modif]])=Final_Sans_VGE[[#This Row],[date_modif]],
      "Ancien",
      "Modifié"),
   "Nouveau")),"")</f>
        <v/>
      </c>
    </row>
    <row r="6093" spans="24:30" x14ac:dyDescent="0.25">
      <c r="X6093" s="8" t="e">
        <f>IF(Final_Sans_VGE[[#This Row],[ppn_z]]="","",IFERROR(
   IF(_xlfn.XLOOKUP(Final_Sans_VGE[[#This Row],[ppn_z]],tbl_Historique_Final[ppn_z],tbl_Historique_Final[date_modif])=Final_Sans_VGE[[#This Row],[date_modif]],
      "Ancien",
      "Modifié"),
   "Nouveau"))</f>
        <v>#VALUE!</v>
      </c>
      <c r="AD6093" s="1" t="str">
        <f>IFERROR(IF(Final_Sans_VGE[[#This Row],[ppn_z]]="","",IFERROR(
   IF(_xlfn.XLOOKUP(Final_Sans_VGE[[#This Row],[ppn_z]],tbl_Historique_Final[[#This Row],[ppn_z]],tbl_Historique_Final[[#This Row],[date_modif]])=Final_Sans_VGE[[#This Row],[date_modif]],
      "Ancien",
      "Modifié"),
   "Nouveau")),"")</f>
        <v/>
      </c>
    </row>
    <row r="6094" spans="24:30" x14ac:dyDescent="0.25">
      <c r="X6094" s="8" t="e">
        <f>IF(Final_Sans_VGE[[#This Row],[ppn_z]]="","",IFERROR(
   IF(_xlfn.XLOOKUP(Final_Sans_VGE[[#This Row],[ppn_z]],tbl_Historique_Final[ppn_z],tbl_Historique_Final[date_modif])=Final_Sans_VGE[[#This Row],[date_modif]],
      "Ancien",
      "Modifié"),
   "Nouveau"))</f>
        <v>#VALUE!</v>
      </c>
      <c r="AD6094" s="1" t="str">
        <f>IFERROR(IF(Final_Sans_VGE[[#This Row],[ppn_z]]="","",IFERROR(
   IF(_xlfn.XLOOKUP(Final_Sans_VGE[[#This Row],[ppn_z]],tbl_Historique_Final[[#This Row],[ppn_z]],tbl_Historique_Final[[#This Row],[date_modif]])=Final_Sans_VGE[[#This Row],[date_modif]],
      "Ancien",
      "Modifié"),
   "Nouveau")),"")</f>
        <v/>
      </c>
    </row>
    <row r="6095" spans="24:30" x14ac:dyDescent="0.25">
      <c r="X6095" s="8" t="e">
        <f>IF(Final_Sans_VGE[[#This Row],[ppn_z]]="","",IFERROR(
   IF(_xlfn.XLOOKUP(Final_Sans_VGE[[#This Row],[ppn_z]],tbl_Historique_Final[ppn_z],tbl_Historique_Final[date_modif])=Final_Sans_VGE[[#This Row],[date_modif]],
      "Ancien",
      "Modifié"),
   "Nouveau"))</f>
        <v>#VALUE!</v>
      </c>
      <c r="AD6095" s="1" t="str">
        <f>IFERROR(IF(Final_Sans_VGE[[#This Row],[ppn_z]]="","",IFERROR(
   IF(_xlfn.XLOOKUP(Final_Sans_VGE[[#This Row],[ppn_z]],tbl_Historique_Final[[#This Row],[ppn_z]],tbl_Historique_Final[[#This Row],[date_modif]])=Final_Sans_VGE[[#This Row],[date_modif]],
      "Ancien",
      "Modifié"),
   "Nouveau")),"")</f>
        <v/>
      </c>
    </row>
    <row r="6096" spans="24:30" x14ac:dyDescent="0.25">
      <c r="X6096" s="8" t="e">
        <f>IF(Final_Sans_VGE[[#This Row],[ppn_z]]="","",IFERROR(
   IF(_xlfn.XLOOKUP(Final_Sans_VGE[[#This Row],[ppn_z]],tbl_Historique_Final[ppn_z],tbl_Historique_Final[date_modif])=Final_Sans_VGE[[#This Row],[date_modif]],
      "Ancien",
      "Modifié"),
   "Nouveau"))</f>
        <v>#VALUE!</v>
      </c>
      <c r="AD6096" s="1" t="str">
        <f>IFERROR(IF(Final_Sans_VGE[[#This Row],[ppn_z]]="","",IFERROR(
   IF(_xlfn.XLOOKUP(Final_Sans_VGE[[#This Row],[ppn_z]],tbl_Historique_Final[[#This Row],[ppn_z]],tbl_Historique_Final[[#This Row],[date_modif]])=Final_Sans_VGE[[#This Row],[date_modif]],
      "Ancien",
      "Modifié"),
   "Nouveau")),"")</f>
        <v/>
      </c>
    </row>
    <row r="6097" spans="24:30" x14ac:dyDescent="0.25">
      <c r="X6097" s="8" t="e">
        <f>IF(Final_Sans_VGE[[#This Row],[ppn_z]]="","",IFERROR(
   IF(_xlfn.XLOOKUP(Final_Sans_VGE[[#This Row],[ppn_z]],tbl_Historique_Final[ppn_z],tbl_Historique_Final[date_modif])=Final_Sans_VGE[[#This Row],[date_modif]],
      "Ancien",
      "Modifié"),
   "Nouveau"))</f>
        <v>#VALUE!</v>
      </c>
      <c r="AD6097" s="1" t="str">
        <f>IFERROR(IF(Final_Sans_VGE[[#This Row],[ppn_z]]="","",IFERROR(
   IF(_xlfn.XLOOKUP(Final_Sans_VGE[[#This Row],[ppn_z]],tbl_Historique_Final[[#This Row],[ppn_z]],tbl_Historique_Final[[#This Row],[date_modif]])=Final_Sans_VGE[[#This Row],[date_modif]],
      "Ancien",
      "Modifié"),
   "Nouveau")),"")</f>
        <v/>
      </c>
    </row>
    <row r="6098" spans="24:30" x14ac:dyDescent="0.25">
      <c r="X6098" s="8" t="e">
        <f>IF(Final_Sans_VGE[[#This Row],[ppn_z]]="","",IFERROR(
   IF(_xlfn.XLOOKUP(Final_Sans_VGE[[#This Row],[ppn_z]],tbl_Historique_Final[ppn_z],tbl_Historique_Final[date_modif])=Final_Sans_VGE[[#This Row],[date_modif]],
      "Ancien",
      "Modifié"),
   "Nouveau"))</f>
        <v>#VALUE!</v>
      </c>
      <c r="AD6098" s="1" t="str">
        <f>IFERROR(IF(Final_Sans_VGE[[#This Row],[ppn_z]]="","",IFERROR(
   IF(_xlfn.XLOOKUP(Final_Sans_VGE[[#This Row],[ppn_z]],tbl_Historique_Final[[#This Row],[ppn_z]],tbl_Historique_Final[[#This Row],[date_modif]])=Final_Sans_VGE[[#This Row],[date_modif]],
      "Ancien",
      "Modifié"),
   "Nouveau")),"")</f>
        <v/>
      </c>
    </row>
    <row r="6099" spans="24:30" x14ac:dyDescent="0.25">
      <c r="X6099" s="8" t="e">
        <f>IF(Final_Sans_VGE[[#This Row],[ppn_z]]="","",IFERROR(
   IF(_xlfn.XLOOKUP(Final_Sans_VGE[[#This Row],[ppn_z]],tbl_Historique_Final[ppn_z],tbl_Historique_Final[date_modif])=Final_Sans_VGE[[#This Row],[date_modif]],
      "Ancien",
      "Modifié"),
   "Nouveau"))</f>
        <v>#VALUE!</v>
      </c>
      <c r="AD6099" s="1" t="str">
        <f>IFERROR(IF(Final_Sans_VGE[[#This Row],[ppn_z]]="","",IFERROR(
   IF(_xlfn.XLOOKUP(Final_Sans_VGE[[#This Row],[ppn_z]],tbl_Historique_Final[[#This Row],[ppn_z]],tbl_Historique_Final[[#This Row],[date_modif]])=Final_Sans_VGE[[#This Row],[date_modif]],
      "Ancien",
      "Modifié"),
   "Nouveau")),"")</f>
        <v/>
      </c>
    </row>
    <row r="6100" spans="24:30" x14ac:dyDescent="0.25">
      <c r="X6100" s="8" t="e">
        <f>IF(Final_Sans_VGE[[#This Row],[ppn_z]]="","",IFERROR(
   IF(_xlfn.XLOOKUP(Final_Sans_VGE[[#This Row],[ppn_z]],tbl_Historique_Final[ppn_z],tbl_Historique_Final[date_modif])=Final_Sans_VGE[[#This Row],[date_modif]],
      "Ancien",
      "Modifié"),
   "Nouveau"))</f>
        <v>#VALUE!</v>
      </c>
      <c r="AD6100" s="1" t="str">
        <f>IFERROR(IF(Final_Sans_VGE[[#This Row],[ppn_z]]="","",IFERROR(
   IF(_xlfn.XLOOKUP(Final_Sans_VGE[[#This Row],[ppn_z]],tbl_Historique_Final[[#This Row],[ppn_z]],tbl_Historique_Final[[#This Row],[date_modif]])=Final_Sans_VGE[[#This Row],[date_modif]],
      "Ancien",
      "Modifié"),
   "Nouveau")),"")</f>
        <v/>
      </c>
    </row>
    <row r="6101" spans="24:30" x14ac:dyDescent="0.25">
      <c r="X6101" s="8" t="e">
        <f>IF(Final_Sans_VGE[[#This Row],[ppn_z]]="","",IFERROR(
   IF(_xlfn.XLOOKUP(Final_Sans_VGE[[#This Row],[ppn_z]],tbl_Historique_Final[ppn_z],tbl_Historique_Final[date_modif])=Final_Sans_VGE[[#This Row],[date_modif]],
      "Ancien",
      "Modifié"),
   "Nouveau"))</f>
        <v>#VALUE!</v>
      </c>
      <c r="AD6101" s="1" t="str">
        <f>IFERROR(IF(Final_Sans_VGE[[#This Row],[ppn_z]]="","",IFERROR(
   IF(_xlfn.XLOOKUP(Final_Sans_VGE[[#This Row],[ppn_z]],tbl_Historique_Final[[#This Row],[ppn_z]],tbl_Historique_Final[[#This Row],[date_modif]])=Final_Sans_VGE[[#This Row],[date_modif]],
      "Ancien",
      "Modifié"),
   "Nouveau")),"")</f>
        <v/>
      </c>
    </row>
    <row r="6102" spans="24:30" x14ac:dyDescent="0.25">
      <c r="X6102" s="8" t="e">
        <f>IF(Final_Sans_VGE[[#This Row],[ppn_z]]="","",IFERROR(
   IF(_xlfn.XLOOKUP(Final_Sans_VGE[[#This Row],[ppn_z]],tbl_Historique_Final[ppn_z],tbl_Historique_Final[date_modif])=Final_Sans_VGE[[#This Row],[date_modif]],
      "Ancien",
      "Modifié"),
   "Nouveau"))</f>
        <v>#VALUE!</v>
      </c>
      <c r="AD6102" s="1" t="str">
        <f>IFERROR(IF(Final_Sans_VGE[[#This Row],[ppn_z]]="","",IFERROR(
   IF(_xlfn.XLOOKUP(Final_Sans_VGE[[#This Row],[ppn_z]],tbl_Historique_Final[[#This Row],[ppn_z]],tbl_Historique_Final[[#This Row],[date_modif]])=Final_Sans_VGE[[#This Row],[date_modif]],
      "Ancien",
      "Modifié"),
   "Nouveau")),"")</f>
        <v/>
      </c>
    </row>
    <row r="6103" spans="24:30" x14ac:dyDescent="0.25">
      <c r="X6103" s="8" t="e">
        <f>IF(Final_Sans_VGE[[#This Row],[ppn_z]]="","",IFERROR(
   IF(_xlfn.XLOOKUP(Final_Sans_VGE[[#This Row],[ppn_z]],tbl_Historique_Final[ppn_z],tbl_Historique_Final[date_modif])=Final_Sans_VGE[[#This Row],[date_modif]],
      "Ancien",
      "Modifié"),
   "Nouveau"))</f>
        <v>#VALUE!</v>
      </c>
      <c r="AD6103" s="1" t="str">
        <f>IFERROR(IF(Final_Sans_VGE[[#This Row],[ppn_z]]="","",IFERROR(
   IF(_xlfn.XLOOKUP(Final_Sans_VGE[[#This Row],[ppn_z]],tbl_Historique_Final[[#This Row],[ppn_z]],tbl_Historique_Final[[#This Row],[date_modif]])=Final_Sans_VGE[[#This Row],[date_modif]],
      "Ancien",
      "Modifié"),
   "Nouveau")),"")</f>
        <v/>
      </c>
    </row>
    <row r="6104" spans="24:30" x14ac:dyDescent="0.25">
      <c r="X6104" s="8" t="e">
        <f>IF(Final_Sans_VGE[[#This Row],[ppn_z]]="","",IFERROR(
   IF(_xlfn.XLOOKUP(Final_Sans_VGE[[#This Row],[ppn_z]],tbl_Historique_Final[ppn_z],tbl_Historique_Final[date_modif])=Final_Sans_VGE[[#This Row],[date_modif]],
      "Ancien",
      "Modifié"),
   "Nouveau"))</f>
        <v>#VALUE!</v>
      </c>
      <c r="AD6104" s="1" t="str">
        <f>IFERROR(IF(Final_Sans_VGE[[#This Row],[ppn_z]]="","",IFERROR(
   IF(_xlfn.XLOOKUP(Final_Sans_VGE[[#This Row],[ppn_z]],tbl_Historique_Final[[#This Row],[ppn_z]],tbl_Historique_Final[[#This Row],[date_modif]])=Final_Sans_VGE[[#This Row],[date_modif]],
      "Ancien",
      "Modifié"),
   "Nouveau")),"")</f>
        <v/>
      </c>
    </row>
    <row r="6105" spans="24:30" x14ac:dyDescent="0.25">
      <c r="X6105" s="8" t="e">
        <f>IF(Final_Sans_VGE[[#This Row],[ppn_z]]="","",IFERROR(
   IF(_xlfn.XLOOKUP(Final_Sans_VGE[[#This Row],[ppn_z]],tbl_Historique_Final[ppn_z],tbl_Historique_Final[date_modif])=Final_Sans_VGE[[#This Row],[date_modif]],
      "Ancien",
      "Modifié"),
   "Nouveau"))</f>
        <v>#VALUE!</v>
      </c>
      <c r="AD6105" s="1" t="str">
        <f>IFERROR(IF(Final_Sans_VGE[[#This Row],[ppn_z]]="","",IFERROR(
   IF(_xlfn.XLOOKUP(Final_Sans_VGE[[#This Row],[ppn_z]],tbl_Historique_Final[[#This Row],[ppn_z]],tbl_Historique_Final[[#This Row],[date_modif]])=Final_Sans_VGE[[#This Row],[date_modif]],
      "Ancien",
      "Modifié"),
   "Nouveau")),"")</f>
        <v/>
      </c>
    </row>
    <row r="6106" spans="24:30" x14ac:dyDescent="0.25">
      <c r="X6106" s="8" t="e">
        <f>IF(Final_Sans_VGE[[#This Row],[ppn_z]]="","",IFERROR(
   IF(_xlfn.XLOOKUP(Final_Sans_VGE[[#This Row],[ppn_z]],tbl_Historique_Final[ppn_z],tbl_Historique_Final[date_modif])=Final_Sans_VGE[[#This Row],[date_modif]],
      "Ancien",
      "Modifié"),
   "Nouveau"))</f>
        <v>#VALUE!</v>
      </c>
      <c r="AD6106" s="1" t="str">
        <f>IFERROR(IF(Final_Sans_VGE[[#This Row],[ppn_z]]="","",IFERROR(
   IF(_xlfn.XLOOKUP(Final_Sans_VGE[[#This Row],[ppn_z]],tbl_Historique_Final[[#This Row],[ppn_z]],tbl_Historique_Final[[#This Row],[date_modif]])=Final_Sans_VGE[[#This Row],[date_modif]],
      "Ancien",
      "Modifié"),
   "Nouveau")),"")</f>
        <v/>
      </c>
    </row>
    <row r="6107" spans="24:30" x14ac:dyDescent="0.25">
      <c r="X6107" s="8" t="e">
        <f>IF(Final_Sans_VGE[[#This Row],[ppn_z]]="","",IFERROR(
   IF(_xlfn.XLOOKUP(Final_Sans_VGE[[#This Row],[ppn_z]],tbl_Historique_Final[ppn_z],tbl_Historique_Final[date_modif])=Final_Sans_VGE[[#This Row],[date_modif]],
      "Ancien",
      "Modifié"),
   "Nouveau"))</f>
        <v>#VALUE!</v>
      </c>
      <c r="AD6107" s="1" t="str">
        <f>IFERROR(IF(Final_Sans_VGE[[#This Row],[ppn_z]]="","",IFERROR(
   IF(_xlfn.XLOOKUP(Final_Sans_VGE[[#This Row],[ppn_z]],tbl_Historique_Final[[#This Row],[ppn_z]],tbl_Historique_Final[[#This Row],[date_modif]])=Final_Sans_VGE[[#This Row],[date_modif]],
      "Ancien",
      "Modifié"),
   "Nouveau")),"")</f>
        <v/>
      </c>
    </row>
    <row r="6108" spans="24:30" x14ac:dyDescent="0.25">
      <c r="X6108" s="8" t="e">
        <f>IF(Final_Sans_VGE[[#This Row],[ppn_z]]="","",IFERROR(
   IF(_xlfn.XLOOKUP(Final_Sans_VGE[[#This Row],[ppn_z]],tbl_Historique_Final[ppn_z],tbl_Historique_Final[date_modif])=Final_Sans_VGE[[#This Row],[date_modif]],
      "Ancien",
      "Modifié"),
   "Nouveau"))</f>
        <v>#VALUE!</v>
      </c>
      <c r="AD6108" s="1" t="str">
        <f>IFERROR(IF(Final_Sans_VGE[[#This Row],[ppn_z]]="","",IFERROR(
   IF(_xlfn.XLOOKUP(Final_Sans_VGE[[#This Row],[ppn_z]],tbl_Historique_Final[[#This Row],[ppn_z]],tbl_Historique_Final[[#This Row],[date_modif]])=Final_Sans_VGE[[#This Row],[date_modif]],
      "Ancien",
      "Modifié"),
   "Nouveau")),"")</f>
        <v/>
      </c>
    </row>
    <row r="6109" spans="24:30" x14ac:dyDescent="0.25">
      <c r="X6109" s="8" t="e">
        <f>IF(Final_Sans_VGE[[#This Row],[ppn_z]]="","",IFERROR(
   IF(_xlfn.XLOOKUP(Final_Sans_VGE[[#This Row],[ppn_z]],tbl_Historique_Final[ppn_z],tbl_Historique_Final[date_modif])=Final_Sans_VGE[[#This Row],[date_modif]],
      "Ancien",
      "Modifié"),
   "Nouveau"))</f>
        <v>#VALUE!</v>
      </c>
      <c r="AD6109" s="1" t="str">
        <f>IFERROR(IF(Final_Sans_VGE[[#This Row],[ppn_z]]="","",IFERROR(
   IF(_xlfn.XLOOKUP(Final_Sans_VGE[[#This Row],[ppn_z]],tbl_Historique_Final[[#This Row],[ppn_z]],tbl_Historique_Final[[#This Row],[date_modif]])=Final_Sans_VGE[[#This Row],[date_modif]],
      "Ancien",
      "Modifié"),
   "Nouveau")),"")</f>
        <v/>
      </c>
    </row>
    <row r="6110" spans="24:30" x14ac:dyDescent="0.25">
      <c r="X6110" s="8" t="e">
        <f>IF(Final_Sans_VGE[[#This Row],[ppn_z]]="","",IFERROR(
   IF(_xlfn.XLOOKUP(Final_Sans_VGE[[#This Row],[ppn_z]],tbl_Historique_Final[ppn_z],tbl_Historique_Final[date_modif])=Final_Sans_VGE[[#This Row],[date_modif]],
      "Ancien",
      "Modifié"),
   "Nouveau"))</f>
        <v>#VALUE!</v>
      </c>
      <c r="AD6110" s="1" t="str">
        <f>IFERROR(IF(Final_Sans_VGE[[#This Row],[ppn_z]]="","",IFERROR(
   IF(_xlfn.XLOOKUP(Final_Sans_VGE[[#This Row],[ppn_z]],tbl_Historique_Final[[#This Row],[ppn_z]],tbl_Historique_Final[[#This Row],[date_modif]])=Final_Sans_VGE[[#This Row],[date_modif]],
      "Ancien",
      "Modifié"),
   "Nouveau")),"")</f>
        <v/>
      </c>
    </row>
    <row r="6111" spans="24:30" x14ac:dyDescent="0.25">
      <c r="X6111" s="8" t="e">
        <f>IF(Final_Sans_VGE[[#This Row],[ppn_z]]="","",IFERROR(
   IF(_xlfn.XLOOKUP(Final_Sans_VGE[[#This Row],[ppn_z]],tbl_Historique_Final[ppn_z],tbl_Historique_Final[date_modif])=Final_Sans_VGE[[#This Row],[date_modif]],
      "Ancien",
      "Modifié"),
   "Nouveau"))</f>
        <v>#VALUE!</v>
      </c>
      <c r="AD6111" s="1" t="str">
        <f>IFERROR(IF(Final_Sans_VGE[[#This Row],[ppn_z]]="","",IFERROR(
   IF(_xlfn.XLOOKUP(Final_Sans_VGE[[#This Row],[ppn_z]],tbl_Historique_Final[[#This Row],[ppn_z]],tbl_Historique_Final[[#This Row],[date_modif]])=Final_Sans_VGE[[#This Row],[date_modif]],
      "Ancien",
      "Modifié"),
   "Nouveau")),"")</f>
        <v/>
      </c>
    </row>
    <row r="6112" spans="24:30" x14ac:dyDescent="0.25">
      <c r="X6112" s="8" t="e">
        <f>IF(Final_Sans_VGE[[#This Row],[ppn_z]]="","",IFERROR(
   IF(_xlfn.XLOOKUP(Final_Sans_VGE[[#This Row],[ppn_z]],tbl_Historique_Final[ppn_z],tbl_Historique_Final[date_modif])=Final_Sans_VGE[[#This Row],[date_modif]],
      "Ancien",
      "Modifié"),
   "Nouveau"))</f>
        <v>#VALUE!</v>
      </c>
      <c r="AD6112" s="1" t="str">
        <f>IFERROR(IF(Final_Sans_VGE[[#This Row],[ppn_z]]="","",IFERROR(
   IF(_xlfn.XLOOKUP(Final_Sans_VGE[[#This Row],[ppn_z]],tbl_Historique_Final[[#This Row],[ppn_z]],tbl_Historique_Final[[#This Row],[date_modif]])=Final_Sans_VGE[[#This Row],[date_modif]],
      "Ancien",
      "Modifié"),
   "Nouveau")),"")</f>
        <v/>
      </c>
    </row>
    <row r="6113" spans="24:30" x14ac:dyDescent="0.25">
      <c r="X6113" s="8" t="e">
        <f>IF(Final_Sans_VGE[[#This Row],[ppn_z]]="","",IFERROR(
   IF(_xlfn.XLOOKUP(Final_Sans_VGE[[#This Row],[ppn_z]],tbl_Historique_Final[ppn_z],tbl_Historique_Final[date_modif])=Final_Sans_VGE[[#This Row],[date_modif]],
      "Ancien",
      "Modifié"),
   "Nouveau"))</f>
        <v>#VALUE!</v>
      </c>
      <c r="AD6113" s="1" t="str">
        <f>IFERROR(IF(Final_Sans_VGE[[#This Row],[ppn_z]]="","",IFERROR(
   IF(_xlfn.XLOOKUP(Final_Sans_VGE[[#This Row],[ppn_z]],tbl_Historique_Final[[#This Row],[ppn_z]],tbl_Historique_Final[[#This Row],[date_modif]])=Final_Sans_VGE[[#This Row],[date_modif]],
      "Ancien",
      "Modifié"),
   "Nouveau")),"")</f>
        <v/>
      </c>
    </row>
    <row r="6114" spans="24:30" x14ac:dyDescent="0.25">
      <c r="X6114" s="8" t="e">
        <f>IF(Final_Sans_VGE[[#This Row],[ppn_z]]="","",IFERROR(
   IF(_xlfn.XLOOKUP(Final_Sans_VGE[[#This Row],[ppn_z]],tbl_Historique_Final[ppn_z],tbl_Historique_Final[date_modif])=Final_Sans_VGE[[#This Row],[date_modif]],
      "Ancien",
      "Modifié"),
   "Nouveau"))</f>
        <v>#VALUE!</v>
      </c>
      <c r="AD6114" s="1" t="str">
        <f>IFERROR(IF(Final_Sans_VGE[[#This Row],[ppn_z]]="","",IFERROR(
   IF(_xlfn.XLOOKUP(Final_Sans_VGE[[#This Row],[ppn_z]],tbl_Historique_Final[[#This Row],[ppn_z]],tbl_Historique_Final[[#This Row],[date_modif]])=Final_Sans_VGE[[#This Row],[date_modif]],
      "Ancien",
      "Modifié"),
   "Nouveau")),"")</f>
        <v/>
      </c>
    </row>
    <row r="6115" spans="24:30" x14ac:dyDescent="0.25">
      <c r="X6115" s="8" t="e">
        <f>IF(Final_Sans_VGE[[#This Row],[ppn_z]]="","",IFERROR(
   IF(_xlfn.XLOOKUP(Final_Sans_VGE[[#This Row],[ppn_z]],tbl_Historique_Final[ppn_z],tbl_Historique_Final[date_modif])=Final_Sans_VGE[[#This Row],[date_modif]],
      "Ancien",
      "Modifié"),
   "Nouveau"))</f>
        <v>#VALUE!</v>
      </c>
      <c r="AD6115" s="1" t="str">
        <f>IFERROR(IF(Final_Sans_VGE[[#This Row],[ppn_z]]="","",IFERROR(
   IF(_xlfn.XLOOKUP(Final_Sans_VGE[[#This Row],[ppn_z]],tbl_Historique_Final[[#This Row],[ppn_z]],tbl_Historique_Final[[#This Row],[date_modif]])=Final_Sans_VGE[[#This Row],[date_modif]],
      "Ancien",
      "Modifié"),
   "Nouveau")),"")</f>
        <v/>
      </c>
    </row>
    <row r="6116" spans="24:30" x14ac:dyDescent="0.25">
      <c r="X6116" s="8" t="e">
        <f>IF(Final_Sans_VGE[[#This Row],[ppn_z]]="","",IFERROR(
   IF(_xlfn.XLOOKUP(Final_Sans_VGE[[#This Row],[ppn_z]],tbl_Historique_Final[ppn_z],tbl_Historique_Final[date_modif])=Final_Sans_VGE[[#This Row],[date_modif]],
      "Ancien",
      "Modifié"),
   "Nouveau"))</f>
        <v>#VALUE!</v>
      </c>
      <c r="AD6116" s="1" t="str">
        <f>IFERROR(IF(Final_Sans_VGE[[#This Row],[ppn_z]]="","",IFERROR(
   IF(_xlfn.XLOOKUP(Final_Sans_VGE[[#This Row],[ppn_z]],tbl_Historique_Final[[#This Row],[ppn_z]],tbl_Historique_Final[[#This Row],[date_modif]])=Final_Sans_VGE[[#This Row],[date_modif]],
      "Ancien",
      "Modifié"),
   "Nouveau")),"")</f>
        <v/>
      </c>
    </row>
    <row r="6117" spans="24:30" x14ac:dyDescent="0.25">
      <c r="X6117" s="8" t="e">
        <f>IF(Final_Sans_VGE[[#This Row],[ppn_z]]="","",IFERROR(
   IF(_xlfn.XLOOKUP(Final_Sans_VGE[[#This Row],[ppn_z]],tbl_Historique_Final[ppn_z],tbl_Historique_Final[date_modif])=Final_Sans_VGE[[#This Row],[date_modif]],
      "Ancien",
      "Modifié"),
   "Nouveau"))</f>
        <v>#VALUE!</v>
      </c>
      <c r="AD6117" s="1" t="str">
        <f>IFERROR(IF(Final_Sans_VGE[[#This Row],[ppn_z]]="","",IFERROR(
   IF(_xlfn.XLOOKUP(Final_Sans_VGE[[#This Row],[ppn_z]],tbl_Historique_Final[[#This Row],[ppn_z]],tbl_Historique_Final[[#This Row],[date_modif]])=Final_Sans_VGE[[#This Row],[date_modif]],
      "Ancien",
      "Modifié"),
   "Nouveau")),"")</f>
        <v/>
      </c>
    </row>
    <row r="6118" spans="24:30" x14ac:dyDescent="0.25">
      <c r="X6118" s="8" t="e">
        <f>IF(Final_Sans_VGE[[#This Row],[ppn_z]]="","",IFERROR(
   IF(_xlfn.XLOOKUP(Final_Sans_VGE[[#This Row],[ppn_z]],tbl_Historique_Final[ppn_z],tbl_Historique_Final[date_modif])=Final_Sans_VGE[[#This Row],[date_modif]],
      "Ancien",
      "Modifié"),
   "Nouveau"))</f>
        <v>#VALUE!</v>
      </c>
      <c r="AD6118" s="1" t="str">
        <f>IFERROR(IF(Final_Sans_VGE[[#This Row],[ppn_z]]="","",IFERROR(
   IF(_xlfn.XLOOKUP(Final_Sans_VGE[[#This Row],[ppn_z]],tbl_Historique_Final[[#This Row],[ppn_z]],tbl_Historique_Final[[#This Row],[date_modif]])=Final_Sans_VGE[[#This Row],[date_modif]],
      "Ancien",
      "Modifié"),
   "Nouveau")),"")</f>
        <v/>
      </c>
    </row>
    <row r="6119" spans="24:30" x14ac:dyDescent="0.25">
      <c r="X6119" s="8" t="e">
        <f>IF(Final_Sans_VGE[[#This Row],[ppn_z]]="","",IFERROR(
   IF(_xlfn.XLOOKUP(Final_Sans_VGE[[#This Row],[ppn_z]],tbl_Historique_Final[ppn_z],tbl_Historique_Final[date_modif])=Final_Sans_VGE[[#This Row],[date_modif]],
      "Ancien",
      "Modifié"),
   "Nouveau"))</f>
        <v>#VALUE!</v>
      </c>
      <c r="AD6119" s="1" t="str">
        <f>IFERROR(IF(Final_Sans_VGE[[#This Row],[ppn_z]]="","",IFERROR(
   IF(_xlfn.XLOOKUP(Final_Sans_VGE[[#This Row],[ppn_z]],tbl_Historique_Final[[#This Row],[ppn_z]],tbl_Historique_Final[[#This Row],[date_modif]])=Final_Sans_VGE[[#This Row],[date_modif]],
      "Ancien",
      "Modifié"),
   "Nouveau")),"")</f>
        <v/>
      </c>
    </row>
    <row r="6120" spans="24:30" x14ac:dyDescent="0.25">
      <c r="X6120" s="8" t="e">
        <f>IF(Final_Sans_VGE[[#This Row],[ppn_z]]="","",IFERROR(
   IF(_xlfn.XLOOKUP(Final_Sans_VGE[[#This Row],[ppn_z]],tbl_Historique_Final[ppn_z],tbl_Historique_Final[date_modif])=Final_Sans_VGE[[#This Row],[date_modif]],
      "Ancien",
      "Modifié"),
   "Nouveau"))</f>
        <v>#VALUE!</v>
      </c>
      <c r="AD6120" s="1" t="str">
        <f>IFERROR(IF(Final_Sans_VGE[[#This Row],[ppn_z]]="","",IFERROR(
   IF(_xlfn.XLOOKUP(Final_Sans_VGE[[#This Row],[ppn_z]],tbl_Historique_Final[[#This Row],[ppn_z]],tbl_Historique_Final[[#This Row],[date_modif]])=Final_Sans_VGE[[#This Row],[date_modif]],
      "Ancien",
      "Modifié"),
   "Nouveau")),"")</f>
        <v/>
      </c>
    </row>
    <row r="6121" spans="24:30" x14ac:dyDescent="0.25">
      <c r="X6121" s="8" t="e">
        <f>IF(Final_Sans_VGE[[#This Row],[ppn_z]]="","",IFERROR(
   IF(_xlfn.XLOOKUP(Final_Sans_VGE[[#This Row],[ppn_z]],tbl_Historique_Final[ppn_z],tbl_Historique_Final[date_modif])=Final_Sans_VGE[[#This Row],[date_modif]],
      "Ancien",
      "Modifié"),
   "Nouveau"))</f>
        <v>#VALUE!</v>
      </c>
      <c r="AD6121" s="1" t="str">
        <f>IFERROR(IF(Final_Sans_VGE[[#This Row],[ppn_z]]="","",IFERROR(
   IF(_xlfn.XLOOKUP(Final_Sans_VGE[[#This Row],[ppn_z]],tbl_Historique_Final[[#This Row],[ppn_z]],tbl_Historique_Final[[#This Row],[date_modif]])=Final_Sans_VGE[[#This Row],[date_modif]],
      "Ancien",
      "Modifié"),
   "Nouveau")),"")</f>
        <v/>
      </c>
    </row>
    <row r="6122" spans="24:30" x14ac:dyDescent="0.25">
      <c r="X6122" s="8" t="e">
        <f>IF(Final_Sans_VGE[[#This Row],[ppn_z]]="","",IFERROR(
   IF(_xlfn.XLOOKUP(Final_Sans_VGE[[#This Row],[ppn_z]],tbl_Historique_Final[ppn_z],tbl_Historique_Final[date_modif])=Final_Sans_VGE[[#This Row],[date_modif]],
      "Ancien",
      "Modifié"),
   "Nouveau"))</f>
        <v>#VALUE!</v>
      </c>
      <c r="AD6122" s="1" t="str">
        <f>IFERROR(IF(Final_Sans_VGE[[#This Row],[ppn_z]]="","",IFERROR(
   IF(_xlfn.XLOOKUP(Final_Sans_VGE[[#This Row],[ppn_z]],tbl_Historique_Final[[#This Row],[ppn_z]],tbl_Historique_Final[[#This Row],[date_modif]])=Final_Sans_VGE[[#This Row],[date_modif]],
      "Ancien",
      "Modifié"),
   "Nouveau")),"")</f>
        <v/>
      </c>
    </row>
    <row r="6123" spans="24:30" x14ac:dyDescent="0.25">
      <c r="X6123" s="8" t="e">
        <f>IF(Final_Sans_VGE[[#This Row],[ppn_z]]="","",IFERROR(
   IF(_xlfn.XLOOKUP(Final_Sans_VGE[[#This Row],[ppn_z]],tbl_Historique_Final[ppn_z],tbl_Historique_Final[date_modif])=Final_Sans_VGE[[#This Row],[date_modif]],
      "Ancien",
      "Modifié"),
   "Nouveau"))</f>
        <v>#VALUE!</v>
      </c>
      <c r="AD6123" s="1" t="str">
        <f>IFERROR(IF(Final_Sans_VGE[[#This Row],[ppn_z]]="","",IFERROR(
   IF(_xlfn.XLOOKUP(Final_Sans_VGE[[#This Row],[ppn_z]],tbl_Historique_Final[[#This Row],[ppn_z]],tbl_Historique_Final[[#This Row],[date_modif]])=Final_Sans_VGE[[#This Row],[date_modif]],
      "Ancien",
      "Modifié"),
   "Nouveau")),"")</f>
        <v/>
      </c>
    </row>
    <row r="6124" spans="24:30" x14ac:dyDescent="0.25">
      <c r="X6124" s="8" t="e">
        <f>IF(Final_Sans_VGE[[#This Row],[ppn_z]]="","",IFERROR(
   IF(_xlfn.XLOOKUP(Final_Sans_VGE[[#This Row],[ppn_z]],tbl_Historique_Final[ppn_z],tbl_Historique_Final[date_modif])=Final_Sans_VGE[[#This Row],[date_modif]],
      "Ancien",
      "Modifié"),
   "Nouveau"))</f>
        <v>#VALUE!</v>
      </c>
      <c r="AD6124" s="1" t="str">
        <f>IFERROR(IF(Final_Sans_VGE[[#This Row],[ppn_z]]="","",IFERROR(
   IF(_xlfn.XLOOKUP(Final_Sans_VGE[[#This Row],[ppn_z]],tbl_Historique_Final[[#This Row],[ppn_z]],tbl_Historique_Final[[#This Row],[date_modif]])=Final_Sans_VGE[[#This Row],[date_modif]],
      "Ancien",
      "Modifié"),
   "Nouveau")),"")</f>
        <v/>
      </c>
    </row>
    <row r="6125" spans="24:30" x14ac:dyDescent="0.25">
      <c r="X6125" s="8" t="e">
        <f>IF(Final_Sans_VGE[[#This Row],[ppn_z]]="","",IFERROR(
   IF(_xlfn.XLOOKUP(Final_Sans_VGE[[#This Row],[ppn_z]],tbl_Historique_Final[ppn_z],tbl_Historique_Final[date_modif])=Final_Sans_VGE[[#This Row],[date_modif]],
      "Ancien",
      "Modifié"),
   "Nouveau"))</f>
        <v>#VALUE!</v>
      </c>
      <c r="AD6125" s="1" t="str">
        <f>IFERROR(IF(Final_Sans_VGE[[#This Row],[ppn_z]]="","",IFERROR(
   IF(_xlfn.XLOOKUP(Final_Sans_VGE[[#This Row],[ppn_z]],tbl_Historique_Final[[#This Row],[ppn_z]],tbl_Historique_Final[[#This Row],[date_modif]])=Final_Sans_VGE[[#This Row],[date_modif]],
      "Ancien",
      "Modifié"),
   "Nouveau")),"")</f>
        <v/>
      </c>
    </row>
    <row r="6126" spans="24:30" x14ac:dyDescent="0.25">
      <c r="X6126" s="8" t="e">
        <f>IF(Final_Sans_VGE[[#This Row],[ppn_z]]="","",IFERROR(
   IF(_xlfn.XLOOKUP(Final_Sans_VGE[[#This Row],[ppn_z]],tbl_Historique_Final[ppn_z],tbl_Historique_Final[date_modif])=Final_Sans_VGE[[#This Row],[date_modif]],
      "Ancien",
      "Modifié"),
   "Nouveau"))</f>
        <v>#VALUE!</v>
      </c>
      <c r="AD6126" s="1" t="str">
        <f>IFERROR(IF(Final_Sans_VGE[[#This Row],[ppn_z]]="","",IFERROR(
   IF(_xlfn.XLOOKUP(Final_Sans_VGE[[#This Row],[ppn_z]],tbl_Historique_Final[[#This Row],[ppn_z]],tbl_Historique_Final[[#This Row],[date_modif]])=Final_Sans_VGE[[#This Row],[date_modif]],
      "Ancien",
      "Modifié"),
   "Nouveau")),"")</f>
        <v/>
      </c>
    </row>
    <row r="6127" spans="24:30" x14ac:dyDescent="0.25">
      <c r="X6127" s="8" t="e">
        <f>IF(Final_Sans_VGE[[#This Row],[ppn_z]]="","",IFERROR(
   IF(_xlfn.XLOOKUP(Final_Sans_VGE[[#This Row],[ppn_z]],tbl_Historique_Final[ppn_z],tbl_Historique_Final[date_modif])=Final_Sans_VGE[[#This Row],[date_modif]],
      "Ancien",
      "Modifié"),
   "Nouveau"))</f>
        <v>#VALUE!</v>
      </c>
      <c r="AD6127" s="1" t="str">
        <f>IFERROR(IF(Final_Sans_VGE[[#This Row],[ppn_z]]="","",IFERROR(
   IF(_xlfn.XLOOKUP(Final_Sans_VGE[[#This Row],[ppn_z]],tbl_Historique_Final[[#This Row],[ppn_z]],tbl_Historique_Final[[#This Row],[date_modif]])=Final_Sans_VGE[[#This Row],[date_modif]],
      "Ancien",
      "Modifié"),
   "Nouveau")),"")</f>
        <v/>
      </c>
    </row>
    <row r="6128" spans="24:30" x14ac:dyDescent="0.25">
      <c r="X6128" s="8" t="e">
        <f>IF(Final_Sans_VGE[[#This Row],[ppn_z]]="","",IFERROR(
   IF(_xlfn.XLOOKUP(Final_Sans_VGE[[#This Row],[ppn_z]],tbl_Historique_Final[ppn_z],tbl_Historique_Final[date_modif])=Final_Sans_VGE[[#This Row],[date_modif]],
      "Ancien",
      "Modifié"),
   "Nouveau"))</f>
        <v>#VALUE!</v>
      </c>
      <c r="AD6128" s="1" t="str">
        <f>IFERROR(IF(Final_Sans_VGE[[#This Row],[ppn_z]]="","",IFERROR(
   IF(_xlfn.XLOOKUP(Final_Sans_VGE[[#This Row],[ppn_z]],tbl_Historique_Final[[#This Row],[ppn_z]],tbl_Historique_Final[[#This Row],[date_modif]])=Final_Sans_VGE[[#This Row],[date_modif]],
      "Ancien",
      "Modifié"),
   "Nouveau")),"")</f>
        <v/>
      </c>
    </row>
    <row r="6129" spans="24:30" x14ac:dyDescent="0.25">
      <c r="X6129" s="8" t="e">
        <f>IF(Final_Sans_VGE[[#This Row],[ppn_z]]="","",IFERROR(
   IF(_xlfn.XLOOKUP(Final_Sans_VGE[[#This Row],[ppn_z]],tbl_Historique_Final[ppn_z],tbl_Historique_Final[date_modif])=Final_Sans_VGE[[#This Row],[date_modif]],
      "Ancien",
      "Modifié"),
   "Nouveau"))</f>
        <v>#VALUE!</v>
      </c>
      <c r="AD6129" s="1" t="str">
        <f>IFERROR(IF(Final_Sans_VGE[[#This Row],[ppn_z]]="","",IFERROR(
   IF(_xlfn.XLOOKUP(Final_Sans_VGE[[#This Row],[ppn_z]],tbl_Historique_Final[[#This Row],[ppn_z]],tbl_Historique_Final[[#This Row],[date_modif]])=Final_Sans_VGE[[#This Row],[date_modif]],
      "Ancien",
      "Modifié"),
   "Nouveau")),"")</f>
        <v/>
      </c>
    </row>
    <row r="6130" spans="24:30" x14ac:dyDescent="0.25">
      <c r="X6130" s="8" t="e">
        <f>IF(Final_Sans_VGE[[#This Row],[ppn_z]]="","",IFERROR(
   IF(_xlfn.XLOOKUP(Final_Sans_VGE[[#This Row],[ppn_z]],tbl_Historique_Final[ppn_z],tbl_Historique_Final[date_modif])=Final_Sans_VGE[[#This Row],[date_modif]],
      "Ancien",
      "Modifié"),
   "Nouveau"))</f>
        <v>#VALUE!</v>
      </c>
      <c r="AD6130" s="1" t="str">
        <f>IFERROR(IF(Final_Sans_VGE[[#This Row],[ppn_z]]="","",IFERROR(
   IF(_xlfn.XLOOKUP(Final_Sans_VGE[[#This Row],[ppn_z]],tbl_Historique_Final[[#This Row],[ppn_z]],tbl_Historique_Final[[#This Row],[date_modif]])=Final_Sans_VGE[[#This Row],[date_modif]],
      "Ancien",
      "Modifié"),
   "Nouveau")),"")</f>
        <v/>
      </c>
    </row>
    <row r="6131" spans="24:30" x14ac:dyDescent="0.25">
      <c r="X6131" s="8" t="e">
        <f>IF(Final_Sans_VGE[[#This Row],[ppn_z]]="","",IFERROR(
   IF(_xlfn.XLOOKUP(Final_Sans_VGE[[#This Row],[ppn_z]],tbl_Historique_Final[ppn_z],tbl_Historique_Final[date_modif])=Final_Sans_VGE[[#This Row],[date_modif]],
      "Ancien",
      "Modifié"),
   "Nouveau"))</f>
        <v>#VALUE!</v>
      </c>
      <c r="AD6131" s="1" t="str">
        <f>IFERROR(IF(Final_Sans_VGE[[#This Row],[ppn_z]]="","",IFERROR(
   IF(_xlfn.XLOOKUP(Final_Sans_VGE[[#This Row],[ppn_z]],tbl_Historique_Final[[#This Row],[ppn_z]],tbl_Historique_Final[[#This Row],[date_modif]])=Final_Sans_VGE[[#This Row],[date_modif]],
      "Ancien",
      "Modifié"),
   "Nouveau")),"")</f>
        <v/>
      </c>
    </row>
    <row r="6132" spans="24:30" x14ac:dyDescent="0.25">
      <c r="X6132" s="8" t="e">
        <f>IF(Final_Sans_VGE[[#This Row],[ppn_z]]="","",IFERROR(
   IF(_xlfn.XLOOKUP(Final_Sans_VGE[[#This Row],[ppn_z]],tbl_Historique_Final[ppn_z],tbl_Historique_Final[date_modif])=Final_Sans_VGE[[#This Row],[date_modif]],
      "Ancien",
      "Modifié"),
   "Nouveau"))</f>
        <v>#VALUE!</v>
      </c>
      <c r="AD6132" s="1" t="str">
        <f>IFERROR(IF(Final_Sans_VGE[[#This Row],[ppn_z]]="","",IFERROR(
   IF(_xlfn.XLOOKUP(Final_Sans_VGE[[#This Row],[ppn_z]],tbl_Historique_Final[[#This Row],[ppn_z]],tbl_Historique_Final[[#This Row],[date_modif]])=Final_Sans_VGE[[#This Row],[date_modif]],
      "Ancien",
      "Modifié"),
   "Nouveau")),"")</f>
        <v/>
      </c>
    </row>
    <row r="6133" spans="24:30" x14ac:dyDescent="0.25">
      <c r="X6133" s="8" t="e">
        <f>IF(Final_Sans_VGE[[#This Row],[ppn_z]]="","",IFERROR(
   IF(_xlfn.XLOOKUP(Final_Sans_VGE[[#This Row],[ppn_z]],tbl_Historique_Final[ppn_z],tbl_Historique_Final[date_modif])=Final_Sans_VGE[[#This Row],[date_modif]],
      "Ancien",
      "Modifié"),
   "Nouveau"))</f>
        <v>#VALUE!</v>
      </c>
      <c r="AD6133" s="1" t="str">
        <f>IFERROR(IF(Final_Sans_VGE[[#This Row],[ppn_z]]="","",IFERROR(
   IF(_xlfn.XLOOKUP(Final_Sans_VGE[[#This Row],[ppn_z]],tbl_Historique_Final[[#This Row],[ppn_z]],tbl_Historique_Final[[#This Row],[date_modif]])=Final_Sans_VGE[[#This Row],[date_modif]],
      "Ancien",
      "Modifié"),
   "Nouveau")),"")</f>
        <v/>
      </c>
    </row>
    <row r="6134" spans="24:30" x14ac:dyDescent="0.25">
      <c r="X6134" s="8" t="e">
        <f>IF(Final_Sans_VGE[[#This Row],[ppn_z]]="","",IFERROR(
   IF(_xlfn.XLOOKUP(Final_Sans_VGE[[#This Row],[ppn_z]],tbl_Historique_Final[ppn_z],tbl_Historique_Final[date_modif])=Final_Sans_VGE[[#This Row],[date_modif]],
      "Ancien",
      "Modifié"),
   "Nouveau"))</f>
        <v>#VALUE!</v>
      </c>
      <c r="AD6134" s="1" t="str">
        <f>IFERROR(IF(Final_Sans_VGE[[#This Row],[ppn_z]]="","",IFERROR(
   IF(_xlfn.XLOOKUP(Final_Sans_VGE[[#This Row],[ppn_z]],tbl_Historique_Final[[#This Row],[ppn_z]],tbl_Historique_Final[[#This Row],[date_modif]])=Final_Sans_VGE[[#This Row],[date_modif]],
      "Ancien",
      "Modifié"),
   "Nouveau")),"")</f>
        <v/>
      </c>
    </row>
    <row r="6135" spans="24:30" x14ac:dyDescent="0.25">
      <c r="X6135" s="8" t="e">
        <f>IF(Final_Sans_VGE[[#This Row],[ppn_z]]="","",IFERROR(
   IF(_xlfn.XLOOKUP(Final_Sans_VGE[[#This Row],[ppn_z]],tbl_Historique_Final[ppn_z],tbl_Historique_Final[date_modif])=Final_Sans_VGE[[#This Row],[date_modif]],
      "Ancien",
      "Modifié"),
   "Nouveau"))</f>
        <v>#VALUE!</v>
      </c>
      <c r="AD6135" s="1" t="str">
        <f>IFERROR(IF(Final_Sans_VGE[[#This Row],[ppn_z]]="","",IFERROR(
   IF(_xlfn.XLOOKUP(Final_Sans_VGE[[#This Row],[ppn_z]],tbl_Historique_Final[[#This Row],[ppn_z]],tbl_Historique_Final[[#This Row],[date_modif]])=Final_Sans_VGE[[#This Row],[date_modif]],
      "Ancien",
      "Modifié"),
   "Nouveau")),"")</f>
        <v/>
      </c>
    </row>
    <row r="6136" spans="24:30" x14ac:dyDescent="0.25">
      <c r="X6136" s="8" t="e">
        <f>IF(Final_Sans_VGE[[#This Row],[ppn_z]]="","",IFERROR(
   IF(_xlfn.XLOOKUP(Final_Sans_VGE[[#This Row],[ppn_z]],tbl_Historique_Final[ppn_z],tbl_Historique_Final[date_modif])=Final_Sans_VGE[[#This Row],[date_modif]],
      "Ancien",
      "Modifié"),
   "Nouveau"))</f>
        <v>#VALUE!</v>
      </c>
      <c r="AD6136" s="1" t="str">
        <f>IFERROR(IF(Final_Sans_VGE[[#This Row],[ppn_z]]="","",IFERROR(
   IF(_xlfn.XLOOKUP(Final_Sans_VGE[[#This Row],[ppn_z]],tbl_Historique_Final[[#This Row],[ppn_z]],tbl_Historique_Final[[#This Row],[date_modif]])=Final_Sans_VGE[[#This Row],[date_modif]],
      "Ancien",
      "Modifié"),
   "Nouveau")),"")</f>
        <v/>
      </c>
    </row>
    <row r="6137" spans="24:30" x14ac:dyDescent="0.25">
      <c r="X6137" s="8" t="e">
        <f>IF(Final_Sans_VGE[[#This Row],[ppn_z]]="","",IFERROR(
   IF(_xlfn.XLOOKUP(Final_Sans_VGE[[#This Row],[ppn_z]],tbl_Historique_Final[ppn_z],tbl_Historique_Final[date_modif])=Final_Sans_VGE[[#This Row],[date_modif]],
      "Ancien",
      "Modifié"),
   "Nouveau"))</f>
        <v>#VALUE!</v>
      </c>
      <c r="AD6137" s="1" t="str">
        <f>IFERROR(IF(Final_Sans_VGE[[#This Row],[ppn_z]]="","",IFERROR(
   IF(_xlfn.XLOOKUP(Final_Sans_VGE[[#This Row],[ppn_z]],tbl_Historique_Final[[#This Row],[ppn_z]],tbl_Historique_Final[[#This Row],[date_modif]])=Final_Sans_VGE[[#This Row],[date_modif]],
      "Ancien",
      "Modifié"),
   "Nouveau")),"")</f>
        <v/>
      </c>
    </row>
    <row r="6138" spans="24:30" x14ac:dyDescent="0.25">
      <c r="X6138" s="8" t="e">
        <f>IF(Final_Sans_VGE[[#This Row],[ppn_z]]="","",IFERROR(
   IF(_xlfn.XLOOKUP(Final_Sans_VGE[[#This Row],[ppn_z]],tbl_Historique_Final[ppn_z],tbl_Historique_Final[date_modif])=Final_Sans_VGE[[#This Row],[date_modif]],
      "Ancien",
      "Modifié"),
   "Nouveau"))</f>
        <v>#VALUE!</v>
      </c>
      <c r="AD6138" s="1" t="str">
        <f>IFERROR(IF(Final_Sans_VGE[[#This Row],[ppn_z]]="","",IFERROR(
   IF(_xlfn.XLOOKUP(Final_Sans_VGE[[#This Row],[ppn_z]],tbl_Historique_Final[[#This Row],[ppn_z]],tbl_Historique_Final[[#This Row],[date_modif]])=Final_Sans_VGE[[#This Row],[date_modif]],
      "Ancien",
      "Modifié"),
   "Nouveau")),"")</f>
        <v/>
      </c>
    </row>
    <row r="6139" spans="24:30" x14ac:dyDescent="0.25">
      <c r="X6139" s="8" t="e">
        <f>IF(Final_Sans_VGE[[#This Row],[ppn_z]]="","",IFERROR(
   IF(_xlfn.XLOOKUP(Final_Sans_VGE[[#This Row],[ppn_z]],tbl_Historique_Final[ppn_z],tbl_Historique_Final[date_modif])=Final_Sans_VGE[[#This Row],[date_modif]],
      "Ancien",
      "Modifié"),
   "Nouveau"))</f>
        <v>#VALUE!</v>
      </c>
      <c r="AD6139" s="1" t="str">
        <f>IFERROR(IF(Final_Sans_VGE[[#This Row],[ppn_z]]="","",IFERROR(
   IF(_xlfn.XLOOKUP(Final_Sans_VGE[[#This Row],[ppn_z]],tbl_Historique_Final[[#This Row],[ppn_z]],tbl_Historique_Final[[#This Row],[date_modif]])=Final_Sans_VGE[[#This Row],[date_modif]],
      "Ancien",
      "Modifié"),
   "Nouveau")),"")</f>
        <v/>
      </c>
    </row>
    <row r="6140" spans="24:30" x14ac:dyDescent="0.25">
      <c r="X6140" s="8" t="e">
        <f>IF(Final_Sans_VGE[[#This Row],[ppn_z]]="","",IFERROR(
   IF(_xlfn.XLOOKUP(Final_Sans_VGE[[#This Row],[ppn_z]],tbl_Historique_Final[ppn_z],tbl_Historique_Final[date_modif])=Final_Sans_VGE[[#This Row],[date_modif]],
      "Ancien",
      "Modifié"),
   "Nouveau"))</f>
        <v>#VALUE!</v>
      </c>
      <c r="AD6140" s="1" t="str">
        <f>IFERROR(IF(Final_Sans_VGE[[#This Row],[ppn_z]]="","",IFERROR(
   IF(_xlfn.XLOOKUP(Final_Sans_VGE[[#This Row],[ppn_z]],tbl_Historique_Final[[#This Row],[ppn_z]],tbl_Historique_Final[[#This Row],[date_modif]])=Final_Sans_VGE[[#This Row],[date_modif]],
      "Ancien",
      "Modifié"),
   "Nouveau")),"")</f>
        <v/>
      </c>
    </row>
    <row r="6141" spans="24:30" x14ac:dyDescent="0.25">
      <c r="X6141" s="8" t="e">
        <f>IF(Final_Sans_VGE[[#This Row],[ppn_z]]="","",IFERROR(
   IF(_xlfn.XLOOKUP(Final_Sans_VGE[[#This Row],[ppn_z]],tbl_Historique_Final[ppn_z],tbl_Historique_Final[date_modif])=Final_Sans_VGE[[#This Row],[date_modif]],
      "Ancien",
      "Modifié"),
   "Nouveau"))</f>
        <v>#VALUE!</v>
      </c>
      <c r="AD6141" s="1" t="str">
        <f>IFERROR(IF(Final_Sans_VGE[[#This Row],[ppn_z]]="","",IFERROR(
   IF(_xlfn.XLOOKUP(Final_Sans_VGE[[#This Row],[ppn_z]],tbl_Historique_Final[[#This Row],[ppn_z]],tbl_Historique_Final[[#This Row],[date_modif]])=Final_Sans_VGE[[#This Row],[date_modif]],
      "Ancien",
      "Modifié"),
   "Nouveau")),"")</f>
        <v/>
      </c>
    </row>
    <row r="6142" spans="24:30" x14ac:dyDescent="0.25">
      <c r="X6142" s="8" t="e">
        <f>IF(Final_Sans_VGE[[#This Row],[ppn_z]]="","",IFERROR(
   IF(_xlfn.XLOOKUP(Final_Sans_VGE[[#This Row],[ppn_z]],tbl_Historique_Final[ppn_z],tbl_Historique_Final[date_modif])=Final_Sans_VGE[[#This Row],[date_modif]],
      "Ancien",
      "Modifié"),
   "Nouveau"))</f>
        <v>#VALUE!</v>
      </c>
      <c r="AD6142" s="1" t="str">
        <f>IFERROR(IF(Final_Sans_VGE[[#This Row],[ppn_z]]="","",IFERROR(
   IF(_xlfn.XLOOKUP(Final_Sans_VGE[[#This Row],[ppn_z]],tbl_Historique_Final[[#This Row],[ppn_z]],tbl_Historique_Final[[#This Row],[date_modif]])=Final_Sans_VGE[[#This Row],[date_modif]],
      "Ancien",
      "Modifié"),
   "Nouveau")),"")</f>
        <v/>
      </c>
    </row>
    <row r="6143" spans="24:30" x14ac:dyDescent="0.25">
      <c r="X6143" s="8" t="e">
        <f>IF(Final_Sans_VGE[[#This Row],[ppn_z]]="","",IFERROR(
   IF(_xlfn.XLOOKUP(Final_Sans_VGE[[#This Row],[ppn_z]],tbl_Historique_Final[ppn_z],tbl_Historique_Final[date_modif])=Final_Sans_VGE[[#This Row],[date_modif]],
      "Ancien",
      "Modifié"),
   "Nouveau"))</f>
        <v>#VALUE!</v>
      </c>
      <c r="AD6143" s="1" t="str">
        <f>IFERROR(IF(Final_Sans_VGE[[#This Row],[ppn_z]]="","",IFERROR(
   IF(_xlfn.XLOOKUP(Final_Sans_VGE[[#This Row],[ppn_z]],tbl_Historique_Final[[#This Row],[ppn_z]],tbl_Historique_Final[[#This Row],[date_modif]])=Final_Sans_VGE[[#This Row],[date_modif]],
      "Ancien",
      "Modifié"),
   "Nouveau")),"")</f>
        <v/>
      </c>
    </row>
    <row r="6144" spans="24:30" x14ac:dyDescent="0.25">
      <c r="X6144" s="8" t="e">
        <f>IF(Final_Sans_VGE[[#This Row],[ppn_z]]="","",IFERROR(
   IF(_xlfn.XLOOKUP(Final_Sans_VGE[[#This Row],[ppn_z]],tbl_Historique_Final[ppn_z],tbl_Historique_Final[date_modif])=Final_Sans_VGE[[#This Row],[date_modif]],
      "Ancien",
      "Modifié"),
   "Nouveau"))</f>
        <v>#VALUE!</v>
      </c>
      <c r="AD6144" s="1" t="str">
        <f>IFERROR(IF(Final_Sans_VGE[[#This Row],[ppn_z]]="","",IFERROR(
   IF(_xlfn.XLOOKUP(Final_Sans_VGE[[#This Row],[ppn_z]],tbl_Historique_Final[[#This Row],[ppn_z]],tbl_Historique_Final[[#This Row],[date_modif]])=Final_Sans_VGE[[#This Row],[date_modif]],
      "Ancien",
      "Modifié"),
   "Nouveau")),"")</f>
        <v/>
      </c>
    </row>
    <row r="6145" spans="24:30" x14ac:dyDescent="0.25">
      <c r="X6145" s="8" t="e">
        <f>IF(Final_Sans_VGE[[#This Row],[ppn_z]]="","",IFERROR(
   IF(_xlfn.XLOOKUP(Final_Sans_VGE[[#This Row],[ppn_z]],tbl_Historique_Final[ppn_z],tbl_Historique_Final[date_modif])=Final_Sans_VGE[[#This Row],[date_modif]],
      "Ancien",
      "Modifié"),
   "Nouveau"))</f>
        <v>#VALUE!</v>
      </c>
      <c r="AD6145" s="1" t="str">
        <f>IFERROR(IF(Final_Sans_VGE[[#This Row],[ppn_z]]="","",IFERROR(
   IF(_xlfn.XLOOKUP(Final_Sans_VGE[[#This Row],[ppn_z]],tbl_Historique_Final[[#This Row],[ppn_z]],tbl_Historique_Final[[#This Row],[date_modif]])=Final_Sans_VGE[[#This Row],[date_modif]],
      "Ancien",
      "Modifié"),
   "Nouveau")),"")</f>
        <v/>
      </c>
    </row>
    <row r="6146" spans="24:30" x14ac:dyDescent="0.25">
      <c r="X6146" s="8" t="e">
        <f>IF(Final_Sans_VGE[[#This Row],[ppn_z]]="","",IFERROR(
   IF(_xlfn.XLOOKUP(Final_Sans_VGE[[#This Row],[ppn_z]],tbl_Historique_Final[ppn_z],tbl_Historique_Final[date_modif])=Final_Sans_VGE[[#This Row],[date_modif]],
      "Ancien",
      "Modifié"),
   "Nouveau"))</f>
        <v>#VALUE!</v>
      </c>
      <c r="AD6146" s="1" t="str">
        <f>IFERROR(IF(Final_Sans_VGE[[#This Row],[ppn_z]]="","",IFERROR(
   IF(_xlfn.XLOOKUP(Final_Sans_VGE[[#This Row],[ppn_z]],tbl_Historique_Final[[#This Row],[ppn_z]],tbl_Historique_Final[[#This Row],[date_modif]])=Final_Sans_VGE[[#This Row],[date_modif]],
      "Ancien",
      "Modifié"),
   "Nouveau")),"")</f>
        <v/>
      </c>
    </row>
    <row r="6147" spans="24:30" x14ac:dyDescent="0.25">
      <c r="X6147" s="8" t="e">
        <f>IF(Final_Sans_VGE[[#This Row],[ppn_z]]="","",IFERROR(
   IF(_xlfn.XLOOKUP(Final_Sans_VGE[[#This Row],[ppn_z]],tbl_Historique_Final[ppn_z],tbl_Historique_Final[date_modif])=Final_Sans_VGE[[#This Row],[date_modif]],
      "Ancien",
      "Modifié"),
   "Nouveau"))</f>
        <v>#VALUE!</v>
      </c>
      <c r="AD6147" s="1" t="str">
        <f>IFERROR(IF(Final_Sans_VGE[[#This Row],[ppn_z]]="","",IFERROR(
   IF(_xlfn.XLOOKUP(Final_Sans_VGE[[#This Row],[ppn_z]],tbl_Historique_Final[[#This Row],[ppn_z]],tbl_Historique_Final[[#This Row],[date_modif]])=Final_Sans_VGE[[#This Row],[date_modif]],
      "Ancien",
      "Modifié"),
   "Nouveau")),"")</f>
        <v/>
      </c>
    </row>
    <row r="6148" spans="24:30" x14ac:dyDescent="0.25">
      <c r="X6148" s="8" t="e">
        <f>IF(Final_Sans_VGE[[#This Row],[ppn_z]]="","",IFERROR(
   IF(_xlfn.XLOOKUP(Final_Sans_VGE[[#This Row],[ppn_z]],tbl_Historique_Final[ppn_z],tbl_Historique_Final[date_modif])=Final_Sans_VGE[[#This Row],[date_modif]],
      "Ancien",
      "Modifié"),
   "Nouveau"))</f>
        <v>#VALUE!</v>
      </c>
      <c r="AD6148" s="1" t="str">
        <f>IFERROR(IF(Final_Sans_VGE[[#This Row],[ppn_z]]="","",IFERROR(
   IF(_xlfn.XLOOKUP(Final_Sans_VGE[[#This Row],[ppn_z]],tbl_Historique_Final[[#This Row],[ppn_z]],tbl_Historique_Final[[#This Row],[date_modif]])=Final_Sans_VGE[[#This Row],[date_modif]],
      "Ancien",
      "Modifié"),
   "Nouveau")),"")</f>
        <v/>
      </c>
    </row>
    <row r="6149" spans="24:30" x14ac:dyDescent="0.25">
      <c r="X6149" s="8" t="e">
        <f>IF(Final_Sans_VGE[[#This Row],[ppn_z]]="","",IFERROR(
   IF(_xlfn.XLOOKUP(Final_Sans_VGE[[#This Row],[ppn_z]],tbl_Historique_Final[ppn_z],tbl_Historique_Final[date_modif])=Final_Sans_VGE[[#This Row],[date_modif]],
      "Ancien",
      "Modifié"),
   "Nouveau"))</f>
        <v>#VALUE!</v>
      </c>
      <c r="AD6149" s="1" t="str">
        <f>IFERROR(IF(Final_Sans_VGE[[#This Row],[ppn_z]]="","",IFERROR(
   IF(_xlfn.XLOOKUP(Final_Sans_VGE[[#This Row],[ppn_z]],tbl_Historique_Final[[#This Row],[ppn_z]],tbl_Historique_Final[[#This Row],[date_modif]])=Final_Sans_VGE[[#This Row],[date_modif]],
      "Ancien",
      "Modifié"),
   "Nouveau")),"")</f>
        <v/>
      </c>
    </row>
    <row r="6150" spans="24:30" x14ac:dyDescent="0.25">
      <c r="X6150" s="8" t="e">
        <f>IF(Final_Sans_VGE[[#This Row],[ppn_z]]="","",IFERROR(
   IF(_xlfn.XLOOKUP(Final_Sans_VGE[[#This Row],[ppn_z]],tbl_Historique_Final[ppn_z],tbl_Historique_Final[date_modif])=Final_Sans_VGE[[#This Row],[date_modif]],
      "Ancien",
      "Modifié"),
   "Nouveau"))</f>
        <v>#VALUE!</v>
      </c>
      <c r="AD6150" s="1" t="str">
        <f>IFERROR(IF(Final_Sans_VGE[[#This Row],[ppn_z]]="","",IFERROR(
   IF(_xlfn.XLOOKUP(Final_Sans_VGE[[#This Row],[ppn_z]],tbl_Historique_Final[[#This Row],[ppn_z]],tbl_Historique_Final[[#This Row],[date_modif]])=Final_Sans_VGE[[#This Row],[date_modif]],
      "Ancien",
      "Modifié"),
   "Nouveau")),"")</f>
        <v/>
      </c>
    </row>
    <row r="6151" spans="24:30" x14ac:dyDescent="0.25">
      <c r="X6151" s="8" t="e">
        <f>IF(Final_Sans_VGE[[#This Row],[ppn_z]]="","",IFERROR(
   IF(_xlfn.XLOOKUP(Final_Sans_VGE[[#This Row],[ppn_z]],tbl_Historique_Final[ppn_z],tbl_Historique_Final[date_modif])=Final_Sans_VGE[[#This Row],[date_modif]],
      "Ancien",
      "Modifié"),
   "Nouveau"))</f>
        <v>#VALUE!</v>
      </c>
      <c r="AD6151" s="1" t="str">
        <f>IFERROR(IF(Final_Sans_VGE[[#This Row],[ppn_z]]="","",IFERROR(
   IF(_xlfn.XLOOKUP(Final_Sans_VGE[[#This Row],[ppn_z]],tbl_Historique_Final[[#This Row],[ppn_z]],tbl_Historique_Final[[#This Row],[date_modif]])=Final_Sans_VGE[[#This Row],[date_modif]],
      "Ancien",
      "Modifié"),
   "Nouveau")),"")</f>
        <v/>
      </c>
    </row>
    <row r="6152" spans="24:30" x14ac:dyDescent="0.25">
      <c r="X6152" s="8" t="e">
        <f>IF(Final_Sans_VGE[[#This Row],[ppn_z]]="","",IFERROR(
   IF(_xlfn.XLOOKUP(Final_Sans_VGE[[#This Row],[ppn_z]],tbl_Historique_Final[ppn_z],tbl_Historique_Final[date_modif])=Final_Sans_VGE[[#This Row],[date_modif]],
      "Ancien",
      "Modifié"),
   "Nouveau"))</f>
        <v>#VALUE!</v>
      </c>
      <c r="AD6152" s="1" t="str">
        <f>IFERROR(IF(Final_Sans_VGE[[#This Row],[ppn_z]]="","",IFERROR(
   IF(_xlfn.XLOOKUP(Final_Sans_VGE[[#This Row],[ppn_z]],tbl_Historique_Final[[#This Row],[ppn_z]],tbl_Historique_Final[[#This Row],[date_modif]])=Final_Sans_VGE[[#This Row],[date_modif]],
      "Ancien",
      "Modifié"),
   "Nouveau")),"")</f>
        <v/>
      </c>
    </row>
    <row r="6153" spans="24:30" x14ac:dyDescent="0.25">
      <c r="X6153" s="8" t="e">
        <f>IF(Final_Sans_VGE[[#This Row],[ppn_z]]="","",IFERROR(
   IF(_xlfn.XLOOKUP(Final_Sans_VGE[[#This Row],[ppn_z]],tbl_Historique_Final[ppn_z],tbl_Historique_Final[date_modif])=Final_Sans_VGE[[#This Row],[date_modif]],
      "Ancien",
      "Modifié"),
   "Nouveau"))</f>
        <v>#VALUE!</v>
      </c>
      <c r="AD6153" s="1" t="str">
        <f>IFERROR(IF(Final_Sans_VGE[[#This Row],[ppn_z]]="","",IFERROR(
   IF(_xlfn.XLOOKUP(Final_Sans_VGE[[#This Row],[ppn_z]],tbl_Historique_Final[[#This Row],[ppn_z]],tbl_Historique_Final[[#This Row],[date_modif]])=Final_Sans_VGE[[#This Row],[date_modif]],
      "Ancien",
      "Modifié"),
   "Nouveau")),"")</f>
        <v/>
      </c>
    </row>
    <row r="6154" spans="24:30" x14ac:dyDescent="0.25">
      <c r="X6154" s="8" t="e">
        <f>IF(Final_Sans_VGE[[#This Row],[ppn_z]]="","",IFERROR(
   IF(_xlfn.XLOOKUP(Final_Sans_VGE[[#This Row],[ppn_z]],tbl_Historique_Final[ppn_z],tbl_Historique_Final[date_modif])=Final_Sans_VGE[[#This Row],[date_modif]],
      "Ancien",
      "Modifié"),
   "Nouveau"))</f>
        <v>#VALUE!</v>
      </c>
      <c r="AD6154" s="1" t="str">
        <f>IFERROR(IF(Final_Sans_VGE[[#This Row],[ppn_z]]="","",IFERROR(
   IF(_xlfn.XLOOKUP(Final_Sans_VGE[[#This Row],[ppn_z]],tbl_Historique_Final[[#This Row],[ppn_z]],tbl_Historique_Final[[#This Row],[date_modif]])=Final_Sans_VGE[[#This Row],[date_modif]],
      "Ancien",
      "Modifié"),
   "Nouveau")),"")</f>
        <v/>
      </c>
    </row>
    <row r="6155" spans="24:30" x14ac:dyDescent="0.25">
      <c r="X6155" s="8" t="e">
        <f>IF(Final_Sans_VGE[[#This Row],[ppn_z]]="","",IFERROR(
   IF(_xlfn.XLOOKUP(Final_Sans_VGE[[#This Row],[ppn_z]],tbl_Historique_Final[ppn_z],tbl_Historique_Final[date_modif])=Final_Sans_VGE[[#This Row],[date_modif]],
      "Ancien",
      "Modifié"),
   "Nouveau"))</f>
        <v>#VALUE!</v>
      </c>
      <c r="AD6155" s="1" t="str">
        <f>IFERROR(IF(Final_Sans_VGE[[#This Row],[ppn_z]]="","",IFERROR(
   IF(_xlfn.XLOOKUP(Final_Sans_VGE[[#This Row],[ppn_z]],tbl_Historique_Final[[#This Row],[ppn_z]],tbl_Historique_Final[[#This Row],[date_modif]])=Final_Sans_VGE[[#This Row],[date_modif]],
      "Ancien",
      "Modifié"),
   "Nouveau")),"")</f>
        <v/>
      </c>
    </row>
    <row r="6156" spans="24:30" x14ac:dyDescent="0.25">
      <c r="X6156" s="8" t="e">
        <f>IF(Final_Sans_VGE[[#This Row],[ppn_z]]="","",IFERROR(
   IF(_xlfn.XLOOKUP(Final_Sans_VGE[[#This Row],[ppn_z]],tbl_Historique_Final[ppn_z],tbl_Historique_Final[date_modif])=Final_Sans_VGE[[#This Row],[date_modif]],
      "Ancien",
      "Modifié"),
   "Nouveau"))</f>
        <v>#VALUE!</v>
      </c>
      <c r="AD6156" s="1" t="str">
        <f>IFERROR(IF(Final_Sans_VGE[[#This Row],[ppn_z]]="","",IFERROR(
   IF(_xlfn.XLOOKUP(Final_Sans_VGE[[#This Row],[ppn_z]],tbl_Historique_Final[[#This Row],[ppn_z]],tbl_Historique_Final[[#This Row],[date_modif]])=Final_Sans_VGE[[#This Row],[date_modif]],
      "Ancien",
      "Modifié"),
   "Nouveau")),"")</f>
        <v/>
      </c>
    </row>
    <row r="6157" spans="24:30" x14ac:dyDescent="0.25">
      <c r="X6157" s="8" t="e">
        <f>IF(Final_Sans_VGE[[#This Row],[ppn_z]]="","",IFERROR(
   IF(_xlfn.XLOOKUP(Final_Sans_VGE[[#This Row],[ppn_z]],tbl_Historique_Final[ppn_z],tbl_Historique_Final[date_modif])=Final_Sans_VGE[[#This Row],[date_modif]],
      "Ancien",
      "Modifié"),
   "Nouveau"))</f>
        <v>#VALUE!</v>
      </c>
      <c r="AD6157" s="1" t="str">
        <f>IFERROR(IF(Final_Sans_VGE[[#This Row],[ppn_z]]="","",IFERROR(
   IF(_xlfn.XLOOKUP(Final_Sans_VGE[[#This Row],[ppn_z]],tbl_Historique_Final[[#This Row],[ppn_z]],tbl_Historique_Final[[#This Row],[date_modif]])=Final_Sans_VGE[[#This Row],[date_modif]],
      "Ancien",
      "Modifié"),
   "Nouveau")),"")</f>
        <v/>
      </c>
    </row>
    <row r="6158" spans="24:30" x14ac:dyDescent="0.25">
      <c r="X6158" s="8" t="e">
        <f>IF(Final_Sans_VGE[[#This Row],[ppn_z]]="","",IFERROR(
   IF(_xlfn.XLOOKUP(Final_Sans_VGE[[#This Row],[ppn_z]],tbl_Historique_Final[ppn_z],tbl_Historique_Final[date_modif])=Final_Sans_VGE[[#This Row],[date_modif]],
      "Ancien",
      "Modifié"),
   "Nouveau"))</f>
        <v>#VALUE!</v>
      </c>
      <c r="AD6158" s="1" t="str">
        <f>IFERROR(IF(Final_Sans_VGE[[#This Row],[ppn_z]]="","",IFERROR(
   IF(_xlfn.XLOOKUP(Final_Sans_VGE[[#This Row],[ppn_z]],tbl_Historique_Final[[#This Row],[ppn_z]],tbl_Historique_Final[[#This Row],[date_modif]])=Final_Sans_VGE[[#This Row],[date_modif]],
      "Ancien",
      "Modifié"),
   "Nouveau")),"")</f>
        <v/>
      </c>
    </row>
    <row r="6159" spans="24:30" x14ac:dyDescent="0.25">
      <c r="X6159" s="8" t="e">
        <f>IF(Final_Sans_VGE[[#This Row],[ppn_z]]="","",IFERROR(
   IF(_xlfn.XLOOKUP(Final_Sans_VGE[[#This Row],[ppn_z]],tbl_Historique_Final[ppn_z],tbl_Historique_Final[date_modif])=Final_Sans_VGE[[#This Row],[date_modif]],
      "Ancien",
      "Modifié"),
   "Nouveau"))</f>
        <v>#VALUE!</v>
      </c>
      <c r="AD6159" s="1" t="str">
        <f>IFERROR(IF(Final_Sans_VGE[[#This Row],[ppn_z]]="","",IFERROR(
   IF(_xlfn.XLOOKUP(Final_Sans_VGE[[#This Row],[ppn_z]],tbl_Historique_Final[[#This Row],[ppn_z]],tbl_Historique_Final[[#This Row],[date_modif]])=Final_Sans_VGE[[#This Row],[date_modif]],
      "Ancien",
      "Modifié"),
   "Nouveau")),"")</f>
        <v/>
      </c>
    </row>
    <row r="6160" spans="24:30" x14ac:dyDescent="0.25">
      <c r="X6160" s="8" t="e">
        <f>IF(Final_Sans_VGE[[#This Row],[ppn_z]]="","",IFERROR(
   IF(_xlfn.XLOOKUP(Final_Sans_VGE[[#This Row],[ppn_z]],tbl_Historique_Final[ppn_z],tbl_Historique_Final[date_modif])=Final_Sans_VGE[[#This Row],[date_modif]],
      "Ancien",
      "Modifié"),
   "Nouveau"))</f>
        <v>#VALUE!</v>
      </c>
      <c r="AD6160" s="1" t="str">
        <f>IFERROR(IF(Final_Sans_VGE[[#This Row],[ppn_z]]="","",IFERROR(
   IF(_xlfn.XLOOKUP(Final_Sans_VGE[[#This Row],[ppn_z]],tbl_Historique_Final[[#This Row],[ppn_z]],tbl_Historique_Final[[#This Row],[date_modif]])=Final_Sans_VGE[[#This Row],[date_modif]],
      "Ancien",
      "Modifié"),
   "Nouveau")),"")</f>
        <v/>
      </c>
    </row>
    <row r="6161" spans="24:30" x14ac:dyDescent="0.25">
      <c r="X6161" s="8" t="e">
        <f>IF(Final_Sans_VGE[[#This Row],[ppn_z]]="","",IFERROR(
   IF(_xlfn.XLOOKUP(Final_Sans_VGE[[#This Row],[ppn_z]],tbl_Historique_Final[ppn_z],tbl_Historique_Final[date_modif])=Final_Sans_VGE[[#This Row],[date_modif]],
      "Ancien",
      "Modifié"),
   "Nouveau"))</f>
        <v>#VALUE!</v>
      </c>
      <c r="AD6161" s="1" t="str">
        <f>IFERROR(IF(Final_Sans_VGE[[#This Row],[ppn_z]]="","",IFERROR(
   IF(_xlfn.XLOOKUP(Final_Sans_VGE[[#This Row],[ppn_z]],tbl_Historique_Final[[#This Row],[ppn_z]],tbl_Historique_Final[[#This Row],[date_modif]])=Final_Sans_VGE[[#This Row],[date_modif]],
      "Ancien",
      "Modifié"),
   "Nouveau")),"")</f>
        <v/>
      </c>
    </row>
    <row r="6162" spans="24:30" x14ac:dyDescent="0.25">
      <c r="X6162" s="8" t="e">
        <f>IF(Final_Sans_VGE[[#This Row],[ppn_z]]="","",IFERROR(
   IF(_xlfn.XLOOKUP(Final_Sans_VGE[[#This Row],[ppn_z]],tbl_Historique_Final[ppn_z],tbl_Historique_Final[date_modif])=Final_Sans_VGE[[#This Row],[date_modif]],
      "Ancien",
      "Modifié"),
   "Nouveau"))</f>
        <v>#VALUE!</v>
      </c>
      <c r="AD6162" s="1" t="str">
        <f>IFERROR(IF(Final_Sans_VGE[[#This Row],[ppn_z]]="","",IFERROR(
   IF(_xlfn.XLOOKUP(Final_Sans_VGE[[#This Row],[ppn_z]],tbl_Historique_Final[[#This Row],[ppn_z]],tbl_Historique_Final[[#This Row],[date_modif]])=Final_Sans_VGE[[#This Row],[date_modif]],
      "Ancien",
      "Modifié"),
   "Nouveau")),"")</f>
        <v/>
      </c>
    </row>
    <row r="6163" spans="24:30" x14ac:dyDescent="0.25">
      <c r="X6163" s="8" t="e">
        <f>IF(Final_Sans_VGE[[#This Row],[ppn_z]]="","",IFERROR(
   IF(_xlfn.XLOOKUP(Final_Sans_VGE[[#This Row],[ppn_z]],tbl_Historique_Final[ppn_z],tbl_Historique_Final[date_modif])=Final_Sans_VGE[[#This Row],[date_modif]],
      "Ancien",
      "Modifié"),
   "Nouveau"))</f>
        <v>#VALUE!</v>
      </c>
      <c r="AD6163" s="1" t="str">
        <f>IFERROR(IF(Final_Sans_VGE[[#This Row],[ppn_z]]="","",IFERROR(
   IF(_xlfn.XLOOKUP(Final_Sans_VGE[[#This Row],[ppn_z]],tbl_Historique_Final[[#This Row],[ppn_z]],tbl_Historique_Final[[#This Row],[date_modif]])=Final_Sans_VGE[[#This Row],[date_modif]],
      "Ancien",
      "Modifié"),
   "Nouveau")),"")</f>
        <v/>
      </c>
    </row>
    <row r="6164" spans="24:30" x14ac:dyDescent="0.25">
      <c r="X6164" s="8" t="e">
        <f>IF(Final_Sans_VGE[[#This Row],[ppn_z]]="","",IFERROR(
   IF(_xlfn.XLOOKUP(Final_Sans_VGE[[#This Row],[ppn_z]],tbl_Historique_Final[ppn_z],tbl_Historique_Final[date_modif])=Final_Sans_VGE[[#This Row],[date_modif]],
      "Ancien",
      "Modifié"),
   "Nouveau"))</f>
        <v>#VALUE!</v>
      </c>
      <c r="AD6164" s="1" t="str">
        <f>IFERROR(IF(Final_Sans_VGE[[#This Row],[ppn_z]]="","",IFERROR(
   IF(_xlfn.XLOOKUP(Final_Sans_VGE[[#This Row],[ppn_z]],tbl_Historique_Final[[#This Row],[ppn_z]],tbl_Historique_Final[[#This Row],[date_modif]])=Final_Sans_VGE[[#This Row],[date_modif]],
      "Ancien",
      "Modifié"),
   "Nouveau")),"")</f>
        <v/>
      </c>
    </row>
    <row r="6165" spans="24:30" x14ac:dyDescent="0.25">
      <c r="X6165" s="8" t="e">
        <f>IF(Final_Sans_VGE[[#This Row],[ppn_z]]="","",IFERROR(
   IF(_xlfn.XLOOKUP(Final_Sans_VGE[[#This Row],[ppn_z]],tbl_Historique_Final[ppn_z],tbl_Historique_Final[date_modif])=Final_Sans_VGE[[#This Row],[date_modif]],
      "Ancien",
      "Modifié"),
   "Nouveau"))</f>
        <v>#VALUE!</v>
      </c>
      <c r="AD6165" s="1" t="str">
        <f>IFERROR(IF(Final_Sans_VGE[[#This Row],[ppn_z]]="","",IFERROR(
   IF(_xlfn.XLOOKUP(Final_Sans_VGE[[#This Row],[ppn_z]],tbl_Historique_Final[[#This Row],[ppn_z]],tbl_Historique_Final[[#This Row],[date_modif]])=Final_Sans_VGE[[#This Row],[date_modif]],
      "Ancien",
      "Modifié"),
   "Nouveau")),"")</f>
        <v/>
      </c>
    </row>
    <row r="6166" spans="24:30" x14ac:dyDescent="0.25">
      <c r="X6166" s="8" t="e">
        <f>IF(Final_Sans_VGE[[#This Row],[ppn_z]]="","",IFERROR(
   IF(_xlfn.XLOOKUP(Final_Sans_VGE[[#This Row],[ppn_z]],tbl_Historique_Final[ppn_z],tbl_Historique_Final[date_modif])=Final_Sans_VGE[[#This Row],[date_modif]],
      "Ancien",
      "Modifié"),
   "Nouveau"))</f>
        <v>#VALUE!</v>
      </c>
      <c r="AD6166" s="1" t="str">
        <f>IFERROR(IF(Final_Sans_VGE[[#This Row],[ppn_z]]="","",IFERROR(
   IF(_xlfn.XLOOKUP(Final_Sans_VGE[[#This Row],[ppn_z]],tbl_Historique_Final[[#This Row],[ppn_z]],tbl_Historique_Final[[#This Row],[date_modif]])=Final_Sans_VGE[[#This Row],[date_modif]],
      "Ancien",
      "Modifié"),
   "Nouveau")),"")</f>
        <v/>
      </c>
    </row>
    <row r="6167" spans="24:30" x14ac:dyDescent="0.25">
      <c r="X6167" s="8" t="e">
        <f>IF(Final_Sans_VGE[[#This Row],[ppn_z]]="","",IFERROR(
   IF(_xlfn.XLOOKUP(Final_Sans_VGE[[#This Row],[ppn_z]],tbl_Historique_Final[ppn_z],tbl_Historique_Final[date_modif])=Final_Sans_VGE[[#This Row],[date_modif]],
      "Ancien",
      "Modifié"),
   "Nouveau"))</f>
        <v>#VALUE!</v>
      </c>
      <c r="AD6167" s="1" t="str">
        <f>IFERROR(IF(Final_Sans_VGE[[#This Row],[ppn_z]]="","",IFERROR(
   IF(_xlfn.XLOOKUP(Final_Sans_VGE[[#This Row],[ppn_z]],tbl_Historique_Final[[#This Row],[ppn_z]],tbl_Historique_Final[[#This Row],[date_modif]])=Final_Sans_VGE[[#This Row],[date_modif]],
      "Ancien",
      "Modifié"),
   "Nouveau")),"")</f>
        <v/>
      </c>
    </row>
    <row r="6168" spans="24:30" x14ac:dyDescent="0.25">
      <c r="X6168" s="8" t="e">
        <f>IF(Final_Sans_VGE[[#This Row],[ppn_z]]="","",IFERROR(
   IF(_xlfn.XLOOKUP(Final_Sans_VGE[[#This Row],[ppn_z]],tbl_Historique_Final[ppn_z],tbl_Historique_Final[date_modif])=Final_Sans_VGE[[#This Row],[date_modif]],
      "Ancien",
      "Modifié"),
   "Nouveau"))</f>
        <v>#VALUE!</v>
      </c>
      <c r="AD6168" s="1" t="str">
        <f>IFERROR(IF(Final_Sans_VGE[[#This Row],[ppn_z]]="","",IFERROR(
   IF(_xlfn.XLOOKUP(Final_Sans_VGE[[#This Row],[ppn_z]],tbl_Historique_Final[[#This Row],[ppn_z]],tbl_Historique_Final[[#This Row],[date_modif]])=Final_Sans_VGE[[#This Row],[date_modif]],
      "Ancien",
      "Modifié"),
   "Nouveau")),"")</f>
        <v/>
      </c>
    </row>
    <row r="6169" spans="24:30" x14ac:dyDescent="0.25">
      <c r="X6169" s="8" t="e">
        <f>IF(Final_Sans_VGE[[#This Row],[ppn_z]]="","",IFERROR(
   IF(_xlfn.XLOOKUP(Final_Sans_VGE[[#This Row],[ppn_z]],tbl_Historique_Final[ppn_z],tbl_Historique_Final[date_modif])=Final_Sans_VGE[[#This Row],[date_modif]],
      "Ancien",
      "Modifié"),
   "Nouveau"))</f>
        <v>#VALUE!</v>
      </c>
      <c r="AD6169" s="1" t="str">
        <f>IFERROR(IF(Final_Sans_VGE[[#This Row],[ppn_z]]="","",IFERROR(
   IF(_xlfn.XLOOKUP(Final_Sans_VGE[[#This Row],[ppn_z]],tbl_Historique_Final[[#This Row],[ppn_z]],tbl_Historique_Final[[#This Row],[date_modif]])=Final_Sans_VGE[[#This Row],[date_modif]],
      "Ancien",
      "Modifié"),
   "Nouveau")),"")</f>
        <v/>
      </c>
    </row>
    <row r="6170" spans="24:30" x14ac:dyDescent="0.25">
      <c r="X6170" s="8" t="e">
        <f>IF(Final_Sans_VGE[[#This Row],[ppn_z]]="","",IFERROR(
   IF(_xlfn.XLOOKUP(Final_Sans_VGE[[#This Row],[ppn_z]],tbl_Historique_Final[ppn_z],tbl_Historique_Final[date_modif])=Final_Sans_VGE[[#This Row],[date_modif]],
      "Ancien",
      "Modifié"),
   "Nouveau"))</f>
        <v>#VALUE!</v>
      </c>
      <c r="AD6170" s="1" t="str">
        <f>IFERROR(IF(Final_Sans_VGE[[#This Row],[ppn_z]]="","",IFERROR(
   IF(_xlfn.XLOOKUP(Final_Sans_VGE[[#This Row],[ppn_z]],tbl_Historique_Final[[#This Row],[ppn_z]],tbl_Historique_Final[[#This Row],[date_modif]])=Final_Sans_VGE[[#This Row],[date_modif]],
      "Ancien",
      "Modifié"),
   "Nouveau")),"")</f>
        <v/>
      </c>
    </row>
    <row r="6171" spans="24:30" x14ac:dyDescent="0.25">
      <c r="X6171" s="8" t="e">
        <f>IF(Final_Sans_VGE[[#This Row],[ppn_z]]="","",IFERROR(
   IF(_xlfn.XLOOKUP(Final_Sans_VGE[[#This Row],[ppn_z]],tbl_Historique_Final[ppn_z],tbl_Historique_Final[date_modif])=Final_Sans_VGE[[#This Row],[date_modif]],
      "Ancien",
      "Modifié"),
   "Nouveau"))</f>
        <v>#VALUE!</v>
      </c>
      <c r="AD6171" s="1" t="str">
        <f>IFERROR(IF(Final_Sans_VGE[[#This Row],[ppn_z]]="","",IFERROR(
   IF(_xlfn.XLOOKUP(Final_Sans_VGE[[#This Row],[ppn_z]],tbl_Historique_Final[[#This Row],[ppn_z]],tbl_Historique_Final[[#This Row],[date_modif]])=Final_Sans_VGE[[#This Row],[date_modif]],
      "Ancien",
      "Modifié"),
   "Nouveau")),"")</f>
        <v/>
      </c>
    </row>
    <row r="6172" spans="24:30" x14ac:dyDescent="0.25">
      <c r="X6172" s="8" t="e">
        <f>IF(Final_Sans_VGE[[#This Row],[ppn_z]]="","",IFERROR(
   IF(_xlfn.XLOOKUP(Final_Sans_VGE[[#This Row],[ppn_z]],tbl_Historique_Final[ppn_z],tbl_Historique_Final[date_modif])=Final_Sans_VGE[[#This Row],[date_modif]],
      "Ancien",
      "Modifié"),
   "Nouveau"))</f>
        <v>#VALUE!</v>
      </c>
      <c r="AD6172" s="1" t="str">
        <f>IFERROR(IF(Final_Sans_VGE[[#This Row],[ppn_z]]="","",IFERROR(
   IF(_xlfn.XLOOKUP(Final_Sans_VGE[[#This Row],[ppn_z]],tbl_Historique_Final[[#This Row],[ppn_z]],tbl_Historique_Final[[#This Row],[date_modif]])=Final_Sans_VGE[[#This Row],[date_modif]],
      "Ancien",
      "Modifié"),
   "Nouveau")),"")</f>
        <v/>
      </c>
    </row>
    <row r="6173" spans="24:30" x14ac:dyDescent="0.25">
      <c r="X6173" s="8" t="e">
        <f>IF(Final_Sans_VGE[[#This Row],[ppn_z]]="","",IFERROR(
   IF(_xlfn.XLOOKUP(Final_Sans_VGE[[#This Row],[ppn_z]],tbl_Historique_Final[ppn_z],tbl_Historique_Final[date_modif])=Final_Sans_VGE[[#This Row],[date_modif]],
      "Ancien",
      "Modifié"),
   "Nouveau"))</f>
        <v>#VALUE!</v>
      </c>
      <c r="AD6173" s="1" t="str">
        <f>IFERROR(IF(Final_Sans_VGE[[#This Row],[ppn_z]]="","",IFERROR(
   IF(_xlfn.XLOOKUP(Final_Sans_VGE[[#This Row],[ppn_z]],tbl_Historique_Final[[#This Row],[ppn_z]],tbl_Historique_Final[[#This Row],[date_modif]])=Final_Sans_VGE[[#This Row],[date_modif]],
      "Ancien",
      "Modifié"),
   "Nouveau")),"")</f>
        <v/>
      </c>
    </row>
    <row r="6174" spans="24:30" x14ac:dyDescent="0.25">
      <c r="X6174" s="8" t="e">
        <f>IF(Final_Sans_VGE[[#This Row],[ppn_z]]="","",IFERROR(
   IF(_xlfn.XLOOKUP(Final_Sans_VGE[[#This Row],[ppn_z]],tbl_Historique_Final[ppn_z],tbl_Historique_Final[date_modif])=Final_Sans_VGE[[#This Row],[date_modif]],
      "Ancien",
      "Modifié"),
   "Nouveau"))</f>
        <v>#VALUE!</v>
      </c>
      <c r="AD6174" s="1" t="str">
        <f>IFERROR(IF(Final_Sans_VGE[[#This Row],[ppn_z]]="","",IFERROR(
   IF(_xlfn.XLOOKUP(Final_Sans_VGE[[#This Row],[ppn_z]],tbl_Historique_Final[[#This Row],[ppn_z]],tbl_Historique_Final[[#This Row],[date_modif]])=Final_Sans_VGE[[#This Row],[date_modif]],
      "Ancien",
      "Modifié"),
   "Nouveau")),"")</f>
        <v/>
      </c>
    </row>
    <row r="6175" spans="24:30" x14ac:dyDescent="0.25">
      <c r="X6175" s="8" t="e">
        <f>IF(Final_Sans_VGE[[#This Row],[ppn_z]]="","",IFERROR(
   IF(_xlfn.XLOOKUP(Final_Sans_VGE[[#This Row],[ppn_z]],tbl_Historique_Final[ppn_z],tbl_Historique_Final[date_modif])=Final_Sans_VGE[[#This Row],[date_modif]],
      "Ancien",
      "Modifié"),
   "Nouveau"))</f>
        <v>#VALUE!</v>
      </c>
      <c r="AD6175" s="1" t="str">
        <f>IFERROR(IF(Final_Sans_VGE[[#This Row],[ppn_z]]="","",IFERROR(
   IF(_xlfn.XLOOKUP(Final_Sans_VGE[[#This Row],[ppn_z]],tbl_Historique_Final[[#This Row],[ppn_z]],tbl_Historique_Final[[#This Row],[date_modif]])=Final_Sans_VGE[[#This Row],[date_modif]],
      "Ancien",
      "Modifié"),
   "Nouveau")),"")</f>
        <v/>
      </c>
    </row>
    <row r="6176" spans="24:30" x14ac:dyDescent="0.25">
      <c r="X6176" s="8" t="e">
        <f>IF(Final_Sans_VGE[[#This Row],[ppn_z]]="","",IFERROR(
   IF(_xlfn.XLOOKUP(Final_Sans_VGE[[#This Row],[ppn_z]],tbl_Historique_Final[ppn_z],tbl_Historique_Final[date_modif])=Final_Sans_VGE[[#This Row],[date_modif]],
      "Ancien",
      "Modifié"),
   "Nouveau"))</f>
        <v>#VALUE!</v>
      </c>
      <c r="AD6176" s="1" t="str">
        <f>IFERROR(IF(Final_Sans_VGE[[#This Row],[ppn_z]]="","",IFERROR(
   IF(_xlfn.XLOOKUP(Final_Sans_VGE[[#This Row],[ppn_z]],tbl_Historique_Final[[#This Row],[ppn_z]],tbl_Historique_Final[[#This Row],[date_modif]])=Final_Sans_VGE[[#This Row],[date_modif]],
      "Ancien",
      "Modifié"),
   "Nouveau")),"")</f>
        <v/>
      </c>
    </row>
    <row r="6177" spans="24:30" x14ac:dyDescent="0.25">
      <c r="X6177" s="8" t="e">
        <f>IF(Final_Sans_VGE[[#This Row],[ppn_z]]="","",IFERROR(
   IF(_xlfn.XLOOKUP(Final_Sans_VGE[[#This Row],[ppn_z]],tbl_Historique_Final[ppn_z],tbl_Historique_Final[date_modif])=Final_Sans_VGE[[#This Row],[date_modif]],
      "Ancien",
      "Modifié"),
   "Nouveau"))</f>
        <v>#VALUE!</v>
      </c>
      <c r="AD6177" s="1" t="str">
        <f>IFERROR(IF(Final_Sans_VGE[[#This Row],[ppn_z]]="","",IFERROR(
   IF(_xlfn.XLOOKUP(Final_Sans_VGE[[#This Row],[ppn_z]],tbl_Historique_Final[[#This Row],[ppn_z]],tbl_Historique_Final[[#This Row],[date_modif]])=Final_Sans_VGE[[#This Row],[date_modif]],
      "Ancien",
      "Modifié"),
   "Nouveau")),"")</f>
        <v/>
      </c>
    </row>
    <row r="6178" spans="24:30" x14ac:dyDescent="0.25">
      <c r="X6178" s="8" t="e">
        <f>IF(Final_Sans_VGE[[#This Row],[ppn_z]]="","",IFERROR(
   IF(_xlfn.XLOOKUP(Final_Sans_VGE[[#This Row],[ppn_z]],tbl_Historique_Final[ppn_z],tbl_Historique_Final[date_modif])=Final_Sans_VGE[[#This Row],[date_modif]],
      "Ancien",
      "Modifié"),
   "Nouveau"))</f>
        <v>#VALUE!</v>
      </c>
      <c r="AD6178" s="1" t="str">
        <f>IFERROR(IF(Final_Sans_VGE[[#This Row],[ppn_z]]="","",IFERROR(
   IF(_xlfn.XLOOKUP(Final_Sans_VGE[[#This Row],[ppn_z]],tbl_Historique_Final[[#This Row],[ppn_z]],tbl_Historique_Final[[#This Row],[date_modif]])=Final_Sans_VGE[[#This Row],[date_modif]],
      "Ancien",
      "Modifié"),
   "Nouveau")),"")</f>
        <v/>
      </c>
    </row>
    <row r="6179" spans="24:30" x14ac:dyDescent="0.25">
      <c r="X6179" s="8" t="e">
        <f>IF(Final_Sans_VGE[[#This Row],[ppn_z]]="","",IFERROR(
   IF(_xlfn.XLOOKUP(Final_Sans_VGE[[#This Row],[ppn_z]],tbl_Historique_Final[ppn_z],tbl_Historique_Final[date_modif])=Final_Sans_VGE[[#This Row],[date_modif]],
      "Ancien",
      "Modifié"),
   "Nouveau"))</f>
        <v>#VALUE!</v>
      </c>
      <c r="AD6179" s="1" t="str">
        <f>IFERROR(IF(Final_Sans_VGE[[#This Row],[ppn_z]]="","",IFERROR(
   IF(_xlfn.XLOOKUP(Final_Sans_VGE[[#This Row],[ppn_z]],tbl_Historique_Final[[#This Row],[ppn_z]],tbl_Historique_Final[[#This Row],[date_modif]])=Final_Sans_VGE[[#This Row],[date_modif]],
      "Ancien",
      "Modifié"),
   "Nouveau")),"")</f>
        <v/>
      </c>
    </row>
    <row r="6180" spans="24:30" x14ac:dyDescent="0.25">
      <c r="X6180" s="8" t="e">
        <f>IF(Final_Sans_VGE[[#This Row],[ppn_z]]="","",IFERROR(
   IF(_xlfn.XLOOKUP(Final_Sans_VGE[[#This Row],[ppn_z]],tbl_Historique_Final[ppn_z],tbl_Historique_Final[date_modif])=Final_Sans_VGE[[#This Row],[date_modif]],
      "Ancien",
      "Modifié"),
   "Nouveau"))</f>
        <v>#VALUE!</v>
      </c>
      <c r="AD6180" s="1" t="str">
        <f>IFERROR(IF(Final_Sans_VGE[[#This Row],[ppn_z]]="","",IFERROR(
   IF(_xlfn.XLOOKUP(Final_Sans_VGE[[#This Row],[ppn_z]],tbl_Historique_Final[[#This Row],[ppn_z]],tbl_Historique_Final[[#This Row],[date_modif]])=Final_Sans_VGE[[#This Row],[date_modif]],
      "Ancien",
      "Modifié"),
   "Nouveau")),"")</f>
        <v/>
      </c>
    </row>
    <row r="6181" spans="24:30" x14ac:dyDescent="0.25">
      <c r="X6181" s="8" t="e">
        <f>IF(Final_Sans_VGE[[#This Row],[ppn_z]]="","",IFERROR(
   IF(_xlfn.XLOOKUP(Final_Sans_VGE[[#This Row],[ppn_z]],tbl_Historique_Final[ppn_z],tbl_Historique_Final[date_modif])=Final_Sans_VGE[[#This Row],[date_modif]],
      "Ancien",
      "Modifié"),
   "Nouveau"))</f>
        <v>#VALUE!</v>
      </c>
      <c r="AD6181" s="1" t="str">
        <f>IFERROR(IF(Final_Sans_VGE[[#This Row],[ppn_z]]="","",IFERROR(
   IF(_xlfn.XLOOKUP(Final_Sans_VGE[[#This Row],[ppn_z]],tbl_Historique_Final[[#This Row],[ppn_z]],tbl_Historique_Final[[#This Row],[date_modif]])=Final_Sans_VGE[[#This Row],[date_modif]],
      "Ancien",
      "Modifié"),
   "Nouveau")),"")</f>
        <v/>
      </c>
    </row>
    <row r="6182" spans="24:30" x14ac:dyDescent="0.25">
      <c r="X6182" s="8" t="e">
        <f>IF(Final_Sans_VGE[[#This Row],[ppn_z]]="","",IFERROR(
   IF(_xlfn.XLOOKUP(Final_Sans_VGE[[#This Row],[ppn_z]],tbl_Historique_Final[ppn_z],tbl_Historique_Final[date_modif])=Final_Sans_VGE[[#This Row],[date_modif]],
      "Ancien",
      "Modifié"),
   "Nouveau"))</f>
        <v>#VALUE!</v>
      </c>
      <c r="AD6182" s="1" t="str">
        <f>IFERROR(IF(Final_Sans_VGE[[#This Row],[ppn_z]]="","",IFERROR(
   IF(_xlfn.XLOOKUP(Final_Sans_VGE[[#This Row],[ppn_z]],tbl_Historique_Final[[#This Row],[ppn_z]],tbl_Historique_Final[[#This Row],[date_modif]])=Final_Sans_VGE[[#This Row],[date_modif]],
      "Ancien",
      "Modifié"),
   "Nouveau")),"")</f>
        <v/>
      </c>
    </row>
    <row r="6183" spans="24:30" x14ac:dyDescent="0.25">
      <c r="X6183" s="8" t="e">
        <f>IF(Final_Sans_VGE[[#This Row],[ppn_z]]="","",IFERROR(
   IF(_xlfn.XLOOKUP(Final_Sans_VGE[[#This Row],[ppn_z]],tbl_Historique_Final[ppn_z],tbl_Historique_Final[date_modif])=Final_Sans_VGE[[#This Row],[date_modif]],
      "Ancien",
      "Modifié"),
   "Nouveau"))</f>
        <v>#VALUE!</v>
      </c>
      <c r="AD6183" s="1" t="str">
        <f>IFERROR(IF(Final_Sans_VGE[[#This Row],[ppn_z]]="","",IFERROR(
   IF(_xlfn.XLOOKUP(Final_Sans_VGE[[#This Row],[ppn_z]],tbl_Historique_Final[[#This Row],[ppn_z]],tbl_Historique_Final[[#This Row],[date_modif]])=Final_Sans_VGE[[#This Row],[date_modif]],
      "Ancien",
      "Modifié"),
   "Nouveau")),"")</f>
        <v/>
      </c>
    </row>
    <row r="6184" spans="24:30" x14ac:dyDescent="0.25">
      <c r="X6184" s="8" t="e">
        <f>IF(Final_Sans_VGE[[#This Row],[ppn_z]]="","",IFERROR(
   IF(_xlfn.XLOOKUP(Final_Sans_VGE[[#This Row],[ppn_z]],tbl_Historique_Final[ppn_z],tbl_Historique_Final[date_modif])=Final_Sans_VGE[[#This Row],[date_modif]],
      "Ancien",
      "Modifié"),
   "Nouveau"))</f>
        <v>#VALUE!</v>
      </c>
      <c r="AD6184" s="1" t="str">
        <f>IFERROR(IF(Final_Sans_VGE[[#This Row],[ppn_z]]="","",IFERROR(
   IF(_xlfn.XLOOKUP(Final_Sans_VGE[[#This Row],[ppn_z]],tbl_Historique_Final[[#This Row],[ppn_z]],tbl_Historique_Final[[#This Row],[date_modif]])=Final_Sans_VGE[[#This Row],[date_modif]],
      "Ancien",
      "Modifié"),
   "Nouveau")),"")</f>
        <v/>
      </c>
    </row>
    <row r="6185" spans="24:30" x14ac:dyDescent="0.25">
      <c r="X6185" s="8" t="e">
        <f>IF(Final_Sans_VGE[[#This Row],[ppn_z]]="","",IFERROR(
   IF(_xlfn.XLOOKUP(Final_Sans_VGE[[#This Row],[ppn_z]],tbl_Historique_Final[ppn_z],tbl_Historique_Final[date_modif])=Final_Sans_VGE[[#This Row],[date_modif]],
      "Ancien",
      "Modifié"),
   "Nouveau"))</f>
        <v>#VALUE!</v>
      </c>
      <c r="AD6185" s="1" t="str">
        <f>IFERROR(IF(Final_Sans_VGE[[#This Row],[ppn_z]]="","",IFERROR(
   IF(_xlfn.XLOOKUP(Final_Sans_VGE[[#This Row],[ppn_z]],tbl_Historique_Final[[#This Row],[ppn_z]],tbl_Historique_Final[[#This Row],[date_modif]])=Final_Sans_VGE[[#This Row],[date_modif]],
      "Ancien",
      "Modifié"),
   "Nouveau")),"")</f>
        <v/>
      </c>
    </row>
    <row r="6186" spans="24:30" x14ac:dyDescent="0.25">
      <c r="X6186" s="8" t="e">
        <f>IF(Final_Sans_VGE[[#This Row],[ppn_z]]="","",IFERROR(
   IF(_xlfn.XLOOKUP(Final_Sans_VGE[[#This Row],[ppn_z]],tbl_Historique_Final[ppn_z],tbl_Historique_Final[date_modif])=Final_Sans_VGE[[#This Row],[date_modif]],
      "Ancien",
      "Modifié"),
   "Nouveau"))</f>
        <v>#VALUE!</v>
      </c>
      <c r="AD6186" s="1" t="str">
        <f>IFERROR(IF(Final_Sans_VGE[[#This Row],[ppn_z]]="","",IFERROR(
   IF(_xlfn.XLOOKUP(Final_Sans_VGE[[#This Row],[ppn_z]],tbl_Historique_Final[[#This Row],[ppn_z]],tbl_Historique_Final[[#This Row],[date_modif]])=Final_Sans_VGE[[#This Row],[date_modif]],
      "Ancien",
      "Modifié"),
   "Nouveau")),"")</f>
        <v/>
      </c>
    </row>
    <row r="6187" spans="24:30" x14ac:dyDescent="0.25">
      <c r="X6187" s="8" t="e">
        <f>IF(Final_Sans_VGE[[#This Row],[ppn_z]]="","",IFERROR(
   IF(_xlfn.XLOOKUP(Final_Sans_VGE[[#This Row],[ppn_z]],tbl_Historique_Final[ppn_z],tbl_Historique_Final[date_modif])=Final_Sans_VGE[[#This Row],[date_modif]],
      "Ancien",
      "Modifié"),
   "Nouveau"))</f>
        <v>#VALUE!</v>
      </c>
      <c r="AD6187" s="1" t="str">
        <f>IFERROR(IF(Final_Sans_VGE[[#This Row],[ppn_z]]="","",IFERROR(
   IF(_xlfn.XLOOKUP(Final_Sans_VGE[[#This Row],[ppn_z]],tbl_Historique_Final[[#This Row],[ppn_z]],tbl_Historique_Final[[#This Row],[date_modif]])=Final_Sans_VGE[[#This Row],[date_modif]],
      "Ancien",
      "Modifié"),
   "Nouveau")),"")</f>
        <v/>
      </c>
    </row>
    <row r="6188" spans="24:30" x14ac:dyDescent="0.25">
      <c r="X6188" s="8" t="e">
        <f>IF(Final_Sans_VGE[[#This Row],[ppn_z]]="","",IFERROR(
   IF(_xlfn.XLOOKUP(Final_Sans_VGE[[#This Row],[ppn_z]],tbl_Historique_Final[ppn_z],tbl_Historique_Final[date_modif])=Final_Sans_VGE[[#This Row],[date_modif]],
      "Ancien",
      "Modifié"),
   "Nouveau"))</f>
        <v>#VALUE!</v>
      </c>
      <c r="AD6188" s="1" t="str">
        <f>IFERROR(IF(Final_Sans_VGE[[#This Row],[ppn_z]]="","",IFERROR(
   IF(_xlfn.XLOOKUP(Final_Sans_VGE[[#This Row],[ppn_z]],tbl_Historique_Final[[#This Row],[ppn_z]],tbl_Historique_Final[[#This Row],[date_modif]])=Final_Sans_VGE[[#This Row],[date_modif]],
      "Ancien",
      "Modifié"),
   "Nouveau")),"")</f>
        <v/>
      </c>
    </row>
    <row r="6189" spans="24:30" x14ac:dyDescent="0.25">
      <c r="X6189" s="8" t="e">
        <f>IF(Final_Sans_VGE[[#This Row],[ppn_z]]="","",IFERROR(
   IF(_xlfn.XLOOKUP(Final_Sans_VGE[[#This Row],[ppn_z]],tbl_Historique_Final[ppn_z],tbl_Historique_Final[date_modif])=Final_Sans_VGE[[#This Row],[date_modif]],
      "Ancien",
      "Modifié"),
   "Nouveau"))</f>
        <v>#VALUE!</v>
      </c>
      <c r="AD6189" s="1" t="str">
        <f>IFERROR(IF(Final_Sans_VGE[[#This Row],[ppn_z]]="","",IFERROR(
   IF(_xlfn.XLOOKUP(Final_Sans_VGE[[#This Row],[ppn_z]],tbl_Historique_Final[[#This Row],[ppn_z]],tbl_Historique_Final[[#This Row],[date_modif]])=Final_Sans_VGE[[#This Row],[date_modif]],
      "Ancien",
      "Modifié"),
   "Nouveau")),"")</f>
        <v/>
      </c>
    </row>
    <row r="6190" spans="24:30" x14ac:dyDescent="0.25">
      <c r="X6190" s="8" t="e">
        <f>IF(Final_Sans_VGE[[#This Row],[ppn_z]]="","",IFERROR(
   IF(_xlfn.XLOOKUP(Final_Sans_VGE[[#This Row],[ppn_z]],tbl_Historique_Final[ppn_z],tbl_Historique_Final[date_modif])=Final_Sans_VGE[[#This Row],[date_modif]],
      "Ancien",
      "Modifié"),
   "Nouveau"))</f>
        <v>#VALUE!</v>
      </c>
      <c r="AD6190" s="1" t="str">
        <f>IFERROR(IF(Final_Sans_VGE[[#This Row],[ppn_z]]="","",IFERROR(
   IF(_xlfn.XLOOKUP(Final_Sans_VGE[[#This Row],[ppn_z]],tbl_Historique_Final[[#This Row],[ppn_z]],tbl_Historique_Final[[#This Row],[date_modif]])=Final_Sans_VGE[[#This Row],[date_modif]],
      "Ancien",
      "Modifié"),
   "Nouveau")),"")</f>
        <v/>
      </c>
    </row>
    <row r="6191" spans="24:30" x14ac:dyDescent="0.25">
      <c r="X6191" s="8" t="e">
        <f>IF(Final_Sans_VGE[[#This Row],[ppn_z]]="","",IFERROR(
   IF(_xlfn.XLOOKUP(Final_Sans_VGE[[#This Row],[ppn_z]],tbl_Historique_Final[ppn_z],tbl_Historique_Final[date_modif])=Final_Sans_VGE[[#This Row],[date_modif]],
      "Ancien",
      "Modifié"),
   "Nouveau"))</f>
        <v>#VALUE!</v>
      </c>
      <c r="AD6191" s="1" t="str">
        <f>IFERROR(IF(Final_Sans_VGE[[#This Row],[ppn_z]]="","",IFERROR(
   IF(_xlfn.XLOOKUP(Final_Sans_VGE[[#This Row],[ppn_z]],tbl_Historique_Final[[#This Row],[ppn_z]],tbl_Historique_Final[[#This Row],[date_modif]])=Final_Sans_VGE[[#This Row],[date_modif]],
      "Ancien",
      "Modifié"),
   "Nouveau")),"")</f>
        <v/>
      </c>
    </row>
    <row r="6192" spans="24:30" x14ac:dyDescent="0.25">
      <c r="X6192" s="8" t="e">
        <f>IF(Final_Sans_VGE[[#This Row],[ppn_z]]="","",IFERROR(
   IF(_xlfn.XLOOKUP(Final_Sans_VGE[[#This Row],[ppn_z]],tbl_Historique_Final[ppn_z],tbl_Historique_Final[date_modif])=Final_Sans_VGE[[#This Row],[date_modif]],
      "Ancien",
      "Modifié"),
   "Nouveau"))</f>
        <v>#VALUE!</v>
      </c>
      <c r="AD6192" s="1" t="str">
        <f>IFERROR(IF(Final_Sans_VGE[[#This Row],[ppn_z]]="","",IFERROR(
   IF(_xlfn.XLOOKUP(Final_Sans_VGE[[#This Row],[ppn_z]],tbl_Historique_Final[[#This Row],[ppn_z]],tbl_Historique_Final[[#This Row],[date_modif]])=Final_Sans_VGE[[#This Row],[date_modif]],
      "Ancien",
      "Modifié"),
   "Nouveau")),"")</f>
        <v/>
      </c>
    </row>
    <row r="6193" spans="24:30" x14ac:dyDescent="0.25">
      <c r="X6193" s="8" t="e">
        <f>IF(Final_Sans_VGE[[#This Row],[ppn_z]]="","",IFERROR(
   IF(_xlfn.XLOOKUP(Final_Sans_VGE[[#This Row],[ppn_z]],tbl_Historique_Final[ppn_z],tbl_Historique_Final[date_modif])=Final_Sans_VGE[[#This Row],[date_modif]],
      "Ancien",
      "Modifié"),
   "Nouveau"))</f>
        <v>#VALUE!</v>
      </c>
      <c r="AD6193" s="1" t="str">
        <f>IFERROR(IF(Final_Sans_VGE[[#This Row],[ppn_z]]="","",IFERROR(
   IF(_xlfn.XLOOKUP(Final_Sans_VGE[[#This Row],[ppn_z]],tbl_Historique_Final[[#This Row],[ppn_z]],tbl_Historique_Final[[#This Row],[date_modif]])=Final_Sans_VGE[[#This Row],[date_modif]],
      "Ancien",
      "Modifié"),
   "Nouveau")),"")</f>
        <v/>
      </c>
    </row>
    <row r="6194" spans="24:30" x14ac:dyDescent="0.25">
      <c r="X6194" s="8" t="e">
        <f>IF(Final_Sans_VGE[[#This Row],[ppn_z]]="","",IFERROR(
   IF(_xlfn.XLOOKUP(Final_Sans_VGE[[#This Row],[ppn_z]],tbl_Historique_Final[ppn_z],tbl_Historique_Final[date_modif])=Final_Sans_VGE[[#This Row],[date_modif]],
      "Ancien",
      "Modifié"),
   "Nouveau"))</f>
        <v>#VALUE!</v>
      </c>
      <c r="AD6194" s="1" t="str">
        <f>IFERROR(IF(Final_Sans_VGE[[#This Row],[ppn_z]]="","",IFERROR(
   IF(_xlfn.XLOOKUP(Final_Sans_VGE[[#This Row],[ppn_z]],tbl_Historique_Final[[#This Row],[ppn_z]],tbl_Historique_Final[[#This Row],[date_modif]])=Final_Sans_VGE[[#This Row],[date_modif]],
      "Ancien",
      "Modifié"),
   "Nouveau")),"")</f>
        <v/>
      </c>
    </row>
    <row r="6195" spans="24:30" x14ac:dyDescent="0.25">
      <c r="X6195" s="8" t="e">
        <f>IF(Final_Sans_VGE[[#This Row],[ppn_z]]="","",IFERROR(
   IF(_xlfn.XLOOKUP(Final_Sans_VGE[[#This Row],[ppn_z]],tbl_Historique_Final[ppn_z],tbl_Historique_Final[date_modif])=Final_Sans_VGE[[#This Row],[date_modif]],
      "Ancien",
      "Modifié"),
   "Nouveau"))</f>
        <v>#VALUE!</v>
      </c>
      <c r="AD6195" s="1" t="str">
        <f>IFERROR(IF(Final_Sans_VGE[[#This Row],[ppn_z]]="","",IFERROR(
   IF(_xlfn.XLOOKUP(Final_Sans_VGE[[#This Row],[ppn_z]],tbl_Historique_Final[[#This Row],[ppn_z]],tbl_Historique_Final[[#This Row],[date_modif]])=Final_Sans_VGE[[#This Row],[date_modif]],
      "Ancien",
      "Modifié"),
   "Nouveau")),"")</f>
        <v/>
      </c>
    </row>
    <row r="6196" spans="24:30" x14ac:dyDescent="0.25">
      <c r="X6196" s="8" t="e">
        <f>IF(Final_Sans_VGE[[#This Row],[ppn_z]]="","",IFERROR(
   IF(_xlfn.XLOOKUP(Final_Sans_VGE[[#This Row],[ppn_z]],tbl_Historique_Final[ppn_z],tbl_Historique_Final[date_modif])=Final_Sans_VGE[[#This Row],[date_modif]],
      "Ancien",
      "Modifié"),
   "Nouveau"))</f>
        <v>#VALUE!</v>
      </c>
      <c r="AD6196" s="1" t="str">
        <f>IFERROR(IF(Final_Sans_VGE[[#This Row],[ppn_z]]="","",IFERROR(
   IF(_xlfn.XLOOKUP(Final_Sans_VGE[[#This Row],[ppn_z]],tbl_Historique_Final[[#This Row],[ppn_z]],tbl_Historique_Final[[#This Row],[date_modif]])=Final_Sans_VGE[[#This Row],[date_modif]],
      "Ancien",
      "Modifié"),
   "Nouveau")),"")</f>
        <v/>
      </c>
    </row>
    <row r="6197" spans="24:30" x14ac:dyDescent="0.25">
      <c r="X6197" s="8" t="e">
        <f>IF(Final_Sans_VGE[[#This Row],[ppn_z]]="","",IFERROR(
   IF(_xlfn.XLOOKUP(Final_Sans_VGE[[#This Row],[ppn_z]],tbl_Historique_Final[ppn_z],tbl_Historique_Final[date_modif])=Final_Sans_VGE[[#This Row],[date_modif]],
      "Ancien",
      "Modifié"),
   "Nouveau"))</f>
        <v>#VALUE!</v>
      </c>
      <c r="AD6197" s="1" t="str">
        <f>IFERROR(IF(Final_Sans_VGE[[#This Row],[ppn_z]]="","",IFERROR(
   IF(_xlfn.XLOOKUP(Final_Sans_VGE[[#This Row],[ppn_z]],tbl_Historique_Final[[#This Row],[ppn_z]],tbl_Historique_Final[[#This Row],[date_modif]])=Final_Sans_VGE[[#This Row],[date_modif]],
      "Ancien",
      "Modifié"),
   "Nouveau")),"")</f>
        <v/>
      </c>
    </row>
    <row r="6198" spans="24:30" x14ac:dyDescent="0.25">
      <c r="X6198" s="8" t="e">
        <f>IF(Final_Sans_VGE[[#This Row],[ppn_z]]="","",IFERROR(
   IF(_xlfn.XLOOKUP(Final_Sans_VGE[[#This Row],[ppn_z]],tbl_Historique_Final[ppn_z],tbl_Historique_Final[date_modif])=Final_Sans_VGE[[#This Row],[date_modif]],
      "Ancien",
      "Modifié"),
   "Nouveau"))</f>
        <v>#VALUE!</v>
      </c>
      <c r="AD6198" s="1" t="str">
        <f>IFERROR(IF(Final_Sans_VGE[[#This Row],[ppn_z]]="","",IFERROR(
   IF(_xlfn.XLOOKUP(Final_Sans_VGE[[#This Row],[ppn_z]],tbl_Historique_Final[[#This Row],[ppn_z]],tbl_Historique_Final[[#This Row],[date_modif]])=Final_Sans_VGE[[#This Row],[date_modif]],
      "Ancien",
      "Modifié"),
   "Nouveau")),"")</f>
        <v/>
      </c>
    </row>
    <row r="6199" spans="24:30" x14ac:dyDescent="0.25">
      <c r="X6199" s="8" t="e">
        <f>IF(Final_Sans_VGE[[#This Row],[ppn_z]]="","",IFERROR(
   IF(_xlfn.XLOOKUP(Final_Sans_VGE[[#This Row],[ppn_z]],tbl_Historique_Final[ppn_z],tbl_Historique_Final[date_modif])=Final_Sans_VGE[[#This Row],[date_modif]],
      "Ancien",
      "Modifié"),
   "Nouveau"))</f>
        <v>#VALUE!</v>
      </c>
      <c r="AD6199" s="1" t="str">
        <f>IFERROR(IF(Final_Sans_VGE[[#This Row],[ppn_z]]="","",IFERROR(
   IF(_xlfn.XLOOKUP(Final_Sans_VGE[[#This Row],[ppn_z]],tbl_Historique_Final[[#This Row],[ppn_z]],tbl_Historique_Final[[#This Row],[date_modif]])=Final_Sans_VGE[[#This Row],[date_modif]],
      "Ancien",
      "Modifié"),
   "Nouveau")),"")</f>
        <v/>
      </c>
    </row>
    <row r="6200" spans="24:30" x14ac:dyDescent="0.25">
      <c r="X6200" s="8" t="e">
        <f>IF(Final_Sans_VGE[[#This Row],[ppn_z]]="","",IFERROR(
   IF(_xlfn.XLOOKUP(Final_Sans_VGE[[#This Row],[ppn_z]],tbl_Historique_Final[ppn_z],tbl_Historique_Final[date_modif])=Final_Sans_VGE[[#This Row],[date_modif]],
      "Ancien",
      "Modifié"),
   "Nouveau"))</f>
        <v>#VALUE!</v>
      </c>
      <c r="AD6200" s="1" t="str">
        <f>IFERROR(IF(Final_Sans_VGE[[#This Row],[ppn_z]]="","",IFERROR(
   IF(_xlfn.XLOOKUP(Final_Sans_VGE[[#This Row],[ppn_z]],tbl_Historique_Final[[#This Row],[ppn_z]],tbl_Historique_Final[[#This Row],[date_modif]])=Final_Sans_VGE[[#This Row],[date_modif]],
      "Ancien",
      "Modifié"),
   "Nouveau")),"")</f>
        <v/>
      </c>
    </row>
    <row r="6201" spans="24:30" x14ac:dyDescent="0.25">
      <c r="X6201" s="8" t="e">
        <f>IF(Final_Sans_VGE[[#This Row],[ppn_z]]="","",IFERROR(
   IF(_xlfn.XLOOKUP(Final_Sans_VGE[[#This Row],[ppn_z]],tbl_Historique_Final[ppn_z],tbl_Historique_Final[date_modif])=Final_Sans_VGE[[#This Row],[date_modif]],
      "Ancien",
      "Modifié"),
   "Nouveau"))</f>
        <v>#VALUE!</v>
      </c>
      <c r="AD6201" s="1" t="str">
        <f>IFERROR(IF(Final_Sans_VGE[[#This Row],[ppn_z]]="","",IFERROR(
   IF(_xlfn.XLOOKUP(Final_Sans_VGE[[#This Row],[ppn_z]],tbl_Historique_Final[[#This Row],[ppn_z]],tbl_Historique_Final[[#This Row],[date_modif]])=Final_Sans_VGE[[#This Row],[date_modif]],
      "Ancien",
      "Modifié"),
   "Nouveau")),"")</f>
        <v/>
      </c>
    </row>
    <row r="6202" spans="24:30" x14ac:dyDescent="0.25">
      <c r="X6202" s="8" t="e">
        <f>IF(Final_Sans_VGE[[#This Row],[ppn_z]]="","",IFERROR(
   IF(_xlfn.XLOOKUP(Final_Sans_VGE[[#This Row],[ppn_z]],tbl_Historique_Final[ppn_z],tbl_Historique_Final[date_modif])=Final_Sans_VGE[[#This Row],[date_modif]],
      "Ancien",
      "Modifié"),
   "Nouveau"))</f>
        <v>#VALUE!</v>
      </c>
      <c r="AD6202" s="1" t="str">
        <f>IFERROR(IF(Final_Sans_VGE[[#This Row],[ppn_z]]="","",IFERROR(
   IF(_xlfn.XLOOKUP(Final_Sans_VGE[[#This Row],[ppn_z]],tbl_Historique_Final[[#This Row],[ppn_z]],tbl_Historique_Final[[#This Row],[date_modif]])=Final_Sans_VGE[[#This Row],[date_modif]],
      "Ancien",
      "Modifié"),
   "Nouveau")),"")</f>
        <v/>
      </c>
    </row>
    <row r="6203" spans="24:30" x14ac:dyDescent="0.25">
      <c r="X6203" s="8" t="e">
        <f>IF(Final_Sans_VGE[[#This Row],[ppn_z]]="","",IFERROR(
   IF(_xlfn.XLOOKUP(Final_Sans_VGE[[#This Row],[ppn_z]],tbl_Historique_Final[ppn_z],tbl_Historique_Final[date_modif])=Final_Sans_VGE[[#This Row],[date_modif]],
      "Ancien",
      "Modifié"),
   "Nouveau"))</f>
        <v>#VALUE!</v>
      </c>
      <c r="AD6203" s="1" t="str">
        <f>IFERROR(IF(Final_Sans_VGE[[#This Row],[ppn_z]]="","",IFERROR(
   IF(_xlfn.XLOOKUP(Final_Sans_VGE[[#This Row],[ppn_z]],tbl_Historique_Final[[#This Row],[ppn_z]],tbl_Historique_Final[[#This Row],[date_modif]])=Final_Sans_VGE[[#This Row],[date_modif]],
      "Ancien",
      "Modifié"),
   "Nouveau")),"")</f>
        <v/>
      </c>
    </row>
    <row r="6204" spans="24:30" x14ac:dyDescent="0.25">
      <c r="X6204" s="8" t="e">
        <f>IF(Final_Sans_VGE[[#This Row],[ppn_z]]="","",IFERROR(
   IF(_xlfn.XLOOKUP(Final_Sans_VGE[[#This Row],[ppn_z]],tbl_Historique_Final[ppn_z],tbl_Historique_Final[date_modif])=Final_Sans_VGE[[#This Row],[date_modif]],
      "Ancien",
      "Modifié"),
   "Nouveau"))</f>
        <v>#VALUE!</v>
      </c>
      <c r="AD6204" s="1" t="str">
        <f>IFERROR(IF(Final_Sans_VGE[[#This Row],[ppn_z]]="","",IFERROR(
   IF(_xlfn.XLOOKUP(Final_Sans_VGE[[#This Row],[ppn_z]],tbl_Historique_Final[[#This Row],[ppn_z]],tbl_Historique_Final[[#This Row],[date_modif]])=Final_Sans_VGE[[#This Row],[date_modif]],
      "Ancien",
      "Modifié"),
   "Nouveau")),"")</f>
        <v/>
      </c>
    </row>
    <row r="6205" spans="24:30" x14ac:dyDescent="0.25">
      <c r="X6205" s="8" t="e">
        <f>IF(Final_Sans_VGE[[#This Row],[ppn_z]]="","",IFERROR(
   IF(_xlfn.XLOOKUP(Final_Sans_VGE[[#This Row],[ppn_z]],tbl_Historique_Final[ppn_z],tbl_Historique_Final[date_modif])=Final_Sans_VGE[[#This Row],[date_modif]],
      "Ancien",
      "Modifié"),
   "Nouveau"))</f>
        <v>#VALUE!</v>
      </c>
      <c r="AD6205" s="1" t="str">
        <f>IFERROR(IF(Final_Sans_VGE[[#This Row],[ppn_z]]="","",IFERROR(
   IF(_xlfn.XLOOKUP(Final_Sans_VGE[[#This Row],[ppn_z]],tbl_Historique_Final[[#This Row],[ppn_z]],tbl_Historique_Final[[#This Row],[date_modif]])=Final_Sans_VGE[[#This Row],[date_modif]],
      "Ancien",
      "Modifié"),
   "Nouveau")),"")</f>
        <v/>
      </c>
    </row>
    <row r="6206" spans="24:30" x14ac:dyDescent="0.25">
      <c r="X6206" s="8" t="e">
        <f>IF(Final_Sans_VGE[[#This Row],[ppn_z]]="","",IFERROR(
   IF(_xlfn.XLOOKUP(Final_Sans_VGE[[#This Row],[ppn_z]],tbl_Historique_Final[ppn_z],tbl_Historique_Final[date_modif])=Final_Sans_VGE[[#This Row],[date_modif]],
      "Ancien",
      "Modifié"),
   "Nouveau"))</f>
        <v>#VALUE!</v>
      </c>
      <c r="AD6206" s="1" t="str">
        <f>IFERROR(IF(Final_Sans_VGE[[#This Row],[ppn_z]]="","",IFERROR(
   IF(_xlfn.XLOOKUP(Final_Sans_VGE[[#This Row],[ppn_z]],tbl_Historique_Final[[#This Row],[ppn_z]],tbl_Historique_Final[[#This Row],[date_modif]])=Final_Sans_VGE[[#This Row],[date_modif]],
      "Ancien",
      "Modifié"),
   "Nouveau")),"")</f>
        <v/>
      </c>
    </row>
    <row r="6207" spans="24:30" x14ac:dyDescent="0.25">
      <c r="X6207" s="8" t="e">
        <f>IF(Final_Sans_VGE[[#This Row],[ppn_z]]="","",IFERROR(
   IF(_xlfn.XLOOKUP(Final_Sans_VGE[[#This Row],[ppn_z]],tbl_Historique_Final[ppn_z],tbl_Historique_Final[date_modif])=Final_Sans_VGE[[#This Row],[date_modif]],
      "Ancien",
      "Modifié"),
   "Nouveau"))</f>
        <v>#VALUE!</v>
      </c>
      <c r="AD6207" s="1" t="str">
        <f>IFERROR(IF(Final_Sans_VGE[[#This Row],[ppn_z]]="","",IFERROR(
   IF(_xlfn.XLOOKUP(Final_Sans_VGE[[#This Row],[ppn_z]],tbl_Historique_Final[[#This Row],[ppn_z]],tbl_Historique_Final[[#This Row],[date_modif]])=Final_Sans_VGE[[#This Row],[date_modif]],
      "Ancien",
      "Modifié"),
   "Nouveau")),"")</f>
        <v/>
      </c>
    </row>
    <row r="6208" spans="24:30" x14ac:dyDescent="0.25">
      <c r="X6208" s="8" t="e">
        <f>IF(Final_Sans_VGE[[#This Row],[ppn_z]]="","",IFERROR(
   IF(_xlfn.XLOOKUP(Final_Sans_VGE[[#This Row],[ppn_z]],tbl_Historique_Final[ppn_z],tbl_Historique_Final[date_modif])=Final_Sans_VGE[[#This Row],[date_modif]],
      "Ancien",
      "Modifié"),
   "Nouveau"))</f>
        <v>#VALUE!</v>
      </c>
      <c r="AD6208" s="1" t="str">
        <f>IFERROR(IF(Final_Sans_VGE[[#This Row],[ppn_z]]="","",IFERROR(
   IF(_xlfn.XLOOKUP(Final_Sans_VGE[[#This Row],[ppn_z]],tbl_Historique_Final[[#This Row],[ppn_z]],tbl_Historique_Final[[#This Row],[date_modif]])=Final_Sans_VGE[[#This Row],[date_modif]],
      "Ancien",
      "Modifié"),
   "Nouveau")),"")</f>
        <v/>
      </c>
    </row>
    <row r="6209" spans="24:30" x14ac:dyDescent="0.25">
      <c r="X6209" s="8" t="e">
        <f>IF(Final_Sans_VGE[[#This Row],[ppn_z]]="","",IFERROR(
   IF(_xlfn.XLOOKUP(Final_Sans_VGE[[#This Row],[ppn_z]],tbl_Historique_Final[ppn_z],tbl_Historique_Final[date_modif])=Final_Sans_VGE[[#This Row],[date_modif]],
      "Ancien",
      "Modifié"),
   "Nouveau"))</f>
        <v>#VALUE!</v>
      </c>
      <c r="AD6209" s="1" t="str">
        <f>IFERROR(IF(Final_Sans_VGE[[#This Row],[ppn_z]]="","",IFERROR(
   IF(_xlfn.XLOOKUP(Final_Sans_VGE[[#This Row],[ppn_z]],tbl_Historique_Final[[#This Row],[ppn_z]],tbl_Historique_Final[[#This Row],[date_modif]])=Final_Sans_VGE[[#This Row],[date_modif]],
      "Ancien",
      "Modifié"),
   "Nouveau")),"")</f>
        <v/>
      </c>
    </row>
    <row r="6210" spans="24:30" x14ac:dyDescent="0.25">
      <c r="X6210" s="8" t="e">
        <f>IF(Final_Sans_VGE[[#This Row],[ppn_z]]="","",IFERROR(
   IF(_xlfn.XLOOKUP(Final_Sans_VGE[[#This Row],[ppn_z]],tbl_Historique_Final[ppn_z],tbl_Historique_Final[date_modif])=Final_Sans_VGE[[#This Row],[date_modif]],
      "Ancien",
      "Modifié"),
   "Nouveau"))</f>
        <v>#VALUE!</v>
      </c>
      <c r="AD6210" s="1" t="str">
        <f>IFERROR(IF(Final_Sans_VGE[[#This Row],[ppn_z]]="","",IFERROR(
   IF(_xlfn.XLOOKUP(Final_Sans_VGE[[#This Row],[ppn_z]],tbl_Historique_Final[[#This Row],[ppn_z]],tbl_Historique_Final[[#This Row],[date_modif]])=Final_Sans_VGE[[#This Row],[date_modif]],
      "Ancien",
      "Modifié"),
   "Nouveau")),"")</f>
        <v/>
      </c>
    </row>
    <row r="6211" spans="24:30" x14ac:dyDescent="0.25">
      <c r="X6211" s="8" t="e">
        <f>IF(Final_Sans_VGE[[#This Row],[ppn_z]]="","",IFERROR(
   IF(_xlfn.XLOOKUP(Final_Sans_VGE[[#This Row],[ppn_z]],tbl_Historique_Final[ppn_z],tbl_Historique_Final[date_modif])=Final_Sans_VGE[[#This Row],[date_modif]],
      "Ancien",
      "Modifié"),
   "Nouveau"))</f>
        <v>#VALUE!</v>
      </c>
      <c r="AD6211" s="1" t="str">
        <f>IFERROR(IF(Final_Sans_VGE[[#This Row],[ppn_z]]="","",IFERROR(
   IF(_xlfn.XLOOKUP(Final_Sans_VGE[[#This Row],[ppn_z]],tbl_Historique_Final[[#This Row],[ppn_z]],tbl_Historique_Final[[#This Row],[date_modif]])=Final_Sans_VGE[[#This Row],[date_modif]],
      "Ancien",
      "Modifié"),
   "Nouveau")),"")</f>
        <v/>
      </c>
    </row>
    <row r="6212" spans="24:30" x14ac:dyDescent="0.25">
      <c r="X6212" s="8" t="e">
        <f>IF(Final_Sans_VGE[[#This Row],[ppn_z]]="","",IFERROR(
   IF(_xlfn.XLOOKUP(Final_Sans_VGE[[#This Row],[ppn_z]],tbl_Historique_Final[ppn_z],tbl_Historique_Final[date_modif])=Final_Sans_VGE[[#This Row],[date_modif]],
      "Ancien",
      "Modifié"),
   "Nouveau"))</f>
        <v>#VALUE!</v>
      </c>
      <c r="AD6212" s="1" t="str">
        <f>IFERROR(IF(Final_Sans_VGE[[#This Row],[ppn_z]]="","",IFERROR(
   IF(_xlfn.XLOOKUP(Final_Sans_VGE[[#This Row],[ppn_z]],tbl_Historique_Final[[#This Row],[ppn_z]],tbl_Historique_Final[[#This Row],[date_modif]])=Final_Sans_VGE[[#This Row],[date_modif]],
      "Ancien",
      "Modifié"),
   "Nouveau")),"")</f>
        <v/>
      </c>
    </row>
    <row r="6213" spans="24:30" x14ac:dyDescent="0.25">
      <c r="X6213" s="8" t="e">
        <f>IF(Final_Sans_VGE[[#This Row],[ppn_z]]="","",IFERROR(
   IF(_xlfn.XLOOKUP(Final_Sans_VGE[[#This Row],[ppn_z]],tbl_Historique_Final[ppn_z],tbl_Historique_Final[date_modif])=Final_Sans_VGE[[#This Row],[date_modif]],
      "Ancien",
      "Modifié"),
   "Nouveau"))</f>
        <v>#VALUE!</v>
      </c>
      <c r="AD6213" s="1" t="str">
        <f>IFERROR(IF(Final_Sans_VGE[[#This Row],[ppn_z]]="","",IFERROR(
   IF(_xlfn.XLOOKUP(Final_Sans_VGE[[#This Row],[ppn_z]],tbl_Historique_Final[[#This Row],[ppn_z]],tbl_Historique_Final[[#This Row],[date_modif]])=Final_Sans_VGE[[#This Row],[date_modif]],
      "Ancien",
      "Modifié"),
   "Nouveau")),"")</f>
        <v/>
      </c>
    </row>
    <row r="6214" spans="24:30" x14ac:dyDescent="0.25">
      <c r="X6214" s="8" t="e">
        <f>IF(Final_Sans_VGE[[#This Row],[ppn_z]]="","",IFERROR(
   IF(_xlfn.XLOOKUP(Final_Sans_VGE[[#This Row],[ppn_z]],tbl_Historique_Final[ppn_z],tbl_Historique_Final[date_modif])=Final_Sans_VGE[[#This Row],[date_modif]],
      "Ancien",
      "Modifié"),
   "Nouveau"))</f>
        <v>#VALUE!</v>
      </c>
      <c r="AD6214" s="1" t="str">
        <f>IFERROR(IF(Final_Sans_VGE[[#This Row],[ppn_z]]="","",IFERROR(
   IF(_xlfn.XLOOKUP(Final_Sans_VGE[[#This Row],[ppn_z]],tbl_Historique_Final[[#This Row],[ppn_z]],tbl_Historique_Final[[#This Row],[date_modif]])=Final_Sans_VGE[[#This Row],[date_modif]],
      "Ancien",
      "Modifié"),
   "Nouveau")),"")</f>
        <v/>
      </c>
    </row>
    <row r="6215" spans="24:30" x14ac:dyDescent="0.25">
      <c r="X6215" s="8" t="e">
        <f>IF(Final_Sans_VGE[[#This Row],[ppn_z]]="","",IFERROR(
   IF(_xlfn.XLOOKUP(Final_Sans_VGE[[#This Row],[ppn_z]],tbl_Historique_Final[ppn_z],tbl_Historique_Final[date_modif])=Final_Sans_VGE[[#This Row],[date_modif]],
      "Ancien",
      "Modifié"),
   "Nouveau"))</f>
        <v>#VALUE!</v>
      </c>
      <c r="AD6215" s="1" t="str">
        <f>IFERROR(IF(Final_Sans_VGE[[#This Row],[ppn_z]]="","",IFERROR(
   IF(_xlfn.XLOOKUP(Final_Sans_VGE[[#This Row],[ppn_z]],tbl_Historique_Final[[#This Row],[ppn_z]],tbl_Historique_Final[[#This Row],[date_modif]])=Final_Sans_VGE[[#This Row],[date_modif]],
      "Ancien",
      "Modifié"),
   "Nouveau")),"")</f>
        <v/>
      </c>
    </row>
    <row r="6216" spans="24:30" x14ac:dyDescent="0.25">
      <c r="X6216" s="8" t="e">
        <f>IF(Final_Sans_VGE[[#This Row],[ppn_z]]="","",IFERROR(
   IF(_xlfn.XLOOKUP(Final_Sans_VGE[[#This Row],[ppn_z]],tbl_Historique_Final[ppn_z],tbl_Historique_Final[date_modif])=Final_Sans_VGE[[#This Row],[date_modif]],
      "Ancien",
      "Modifié"),
   "Nouveau"))</f>
        <v>#VALUE!</v>
      </c>
      <c r="AD6216" s="1" t="str">
        <f>IFERROR(IF(Final_Sans_VGE[[#This Row],[ppn_z]]="","",IFERROR(
   IF(_xlfn.XLOOKUP(Final_Sans_VGE[[#This Row],[ppn_z]],tbl_Historique_Final[[#This Row],[ppn_z]],tbl_Historique_Final[[#This Row],[date_modif]])=Final_Sans_VGE[[#This Row],[date_modif]],
      "Ancien",
      "Modifié"),
   "Nouveau")),"")</f>
        <v/>
      </c>
    </row>
    <row r="6217" spans="24:30" x14ac:dyDescent="0.25">
      <c r="X6217" s="8" t="e">
        <f>IF(Final_Sans_VGE[[#This Row],[ppn_z]]="","",IFERROR(
   IF(_xlfn.XLOOKUP(Final_Sans_VGE[[#This Row],[ppn_z]],tbl_Historique_Final[ppn_z],tbl_Historique_Final[date_modif])=Final_Sans_VGE[[#This Row],[date_modif]],
      "Ancien",
      "Modifié"),
   "Nouveau"))</f>
        <v>#VALUE!</v>
      </c>
      <c r="AD6217" s="1" t="str">
        <f>IFERROR(IF(Final_Sans_VGE[[#This Row],[ppn_z]]="","",IFERROR(
   IF(_xlfn.XLOOKUP(Final_Sans_VGE[[#This Row],[ppn_z]],tbl_Historique_Final[[#This Row],[ppn_z]],tbl_Historique_Final[[#This Row],[date_modif]])=Final_Sans_VGE[[#This Row],[date_modif]],
      "Ancien",
      "Modifié"),
   "Nouveau")),"")</f>
        <v/>
      </c>
    </row>
    <row r="6218" spans="24:30" x14ac:dyDescent="0.25">
      <c r="X6218" s="8" t="e">
        <f>IF(Final_Sans_VGE[[#This Row],[ppn_z]]="","",IFERROR(
   IF(_xlfn.XLOOKUP(Final_Sans_VGE[[#This Row],[ppn_z]],tbl_Historique_Final[ppn_z],tbl_Historique_Final[date_modif])=Final_Sans_VGE[[#This Row],[date_modif]],
      "Ancien",
      "Modifié"),
   "Nouveau"))</f>
        <v>#VALUE!</v>
      </c>
      <c r="AD6218" s="1" t="str">
        <f>IFERROR(IF(Final_Sans_VGE[[#This Row],[ppn_z]]="","",IFERROR(
   IF(_xlfn.XLOOKUP(Final_Sans_VGE[[#This Row],[ppn_z]],tbl_Historique_Final[[#This Row],[ppn_z]],tbl_Historique_Final[[#This Row],[date_modif]])=Final_Sans_VGE[[#This Row],[date_modif]],
      "Ancien",
      "Modifié"),
   "Nouveau")),"")</f>
        <v/>
      </c>
    </row>
    <row r="6219" spans="24:30" x14ac:dyDescent="0.25">
      <c r="X6219" s="8" t="e">
        <f>IF(Final_Sans_VGE[[#This Row],[ppn_z]]="","",IFERROR(
   IF(_xlfn.XLOOKUP(Final_Sans_VGE[[#This Row],[ppn_z]],tbl_Historique_Final[ppn_z],tbl_Historique_Final[date_modif])=Final_Sans_VGE[[#This Row],[date_modif]],
      "Ancien",
      "Modifié"),
   "Nouveau"))</f>
        <v>#VALUE!</v>
      </c>
      <c r="AD6219" s="1" t="str">
        <f>IFERROR(IF(Final_Sans_VGE[[#This Row],[ppn_z]]="","",IFERROR(
   IF(_xlfn.XLOOKUP(Final_Sans_VGE[[#This Row],[ppn_z]],tbl_Historique_Final[[#This Row],[ppn_z]],tbl_Historique_Final[[#This Row],[date_modif]])=Final_Sans_VGE[[#This Row],[date_modif]],
      "Ancien",
      "Modifié"),
   "Nouveau")),"")</f>
        <v/>
      </c>
    </row>
    <row r="6220" spans="24:30" x14ac:dyDescent="0.25">
      <c r="X6220" s="8" t="e">
        <f>IF(Final_Sans_VGE[[#This Row],[ppn_z]]="","",IFERROR(
   IF(_xlfn.XLOOKUP(Final_Sans_VGE[[#This Row],[ppn_z]],tbl_Historique_Final[ppn_z],tbl_Historique_Final[date_modif])=Final_Sans_VGE[[#This Row],[date_modif]],
      "Ancien",
      "Modifié"),
   "Nouveau"))</f>
        <v>#VALUE!</v>
      </c>
      <c r="AD6220" s="1" t="str">
        <f>IFERROR(IF(Final_Sans_VGE[[#This Row],[ppn_z]]="","",IFERROR(
   IF(_xlfn.XLOOKUP(Final_Sans_VGE[[#This Row],[ppn_z]],tbl_Historique_Final[[#This Row],[ppn_z]],tbl_Historique_Final[[#This Row],[date_modif]])=Final_Sans_VGE[[#This Row],[date_modif]],
      "Ancien",
      "Modifié"),
   "Nouveau")),"")</f>
        <v/>
      </c>
    </row>
    <row r="6221" spans="24:30" x14ac:dyDescent="0.25">
      <c r="X6221" s="8" t="e">
        <f>IF(Final_Sans_VGE[[#This Row],[ppn_z]]="","",IFERROR(
   IF(_xlfn.XLOOKUP(Final_Sans_VGE[[#This Row],[ppn_z]],tbl_Historique_Final[ppn_z],tbl_Historique_Final[date_modif])=Final_Sans_VGE[[#This Row],[date_modif]],
      "Ancien",
      "Modifié"),
   "Nouveau"))</f>
        <v>#VALUE!</v>
      </c>
      <c r="AD6221" s="1" t="str">
        <f>IFERROR(IF(Final_Sans_VGE[[#This Row],[ppn_z]]="","",IFERROR(
   IF(_xlfn.XLOOKUP(Final_Sans_VGE[[#This Row],[ppn_z]],tbl_Historique_Final[[#This Row],[ppn_z]],tbl_Historique_Final[[#This Row],[date_modif]])=Final_Sans_VGE[[#This Row],[date_modif]],
      "Ancien",
      "Modifié"),
   "Nouveau")),"")</f>
        <v/>
      </c>
    </row>
    <row r="6222" spans="24:30" x14ac:dyDescent="0.25">
      <c r="X6222" s="8" t="e">
        <f>IF(Final_Sans_VGE[[#This Row],[ppn_z]]="","",IFERROR(
   IF(_xlfn.XLOOKUP(Final_Sans_VGE[[#This Row],[ppn_z]],tbl_Historique_Final[ppn_z],tbl_Historique_Final[date_modif])=Final_Sans_VGE[[#This Row],[date_modif]],
      "Ancien",
      "Modifié"),
   "Nouveau"))</f>
        <v>#VALUE!</v>
      </c>
      <c r="AD6222" s="1" t="str">
        <f>IFERROR(IF(Final_Sans_VGE[[#This Row],[ppn_z]]="","",IFERROR(
   IF(_xlfn.XLOOKUP(Final_Sans_VGE[[#This Row],[ppn_z]],tbl_Historique_Final[[#This Row],[ppn_z]],tbl_Historique_Final[[#This Row],[date_modif]])=Final_Sans_VGE[[#This Row],[date_modif]],
      "Ancien",
      "Modifié"),
   "Nouveau")),"")</f>
        <v/>
      </c>
    </row>
    <row r="6223" spans="24:30" x14ac:dyDescent="0.25">
      <c r="X6223" s="8" t="e">
        <f>IF(Final_Sans_VGE[[#This Row],[ppn_z]]="","",IFERROR(
   IF(_xlfn.XLOOKUP(Final_Sans_VGE[[#This Row],[ppn_z]],tbl_Historique_Final[ppn_z],tbl_Historique_Final[date_modif])=Final_Sans_VGE[[#This Row],[date_modif]],
      "Ancien",
      "Modifié"),
   "Nouveau"))</f>
        <v>#VALUE!</v>
      </c>
      <c r="AD6223" s="1" t="str">
        <f>IFERROR(IF(Final_Sans_VGE[[#This Row],[ppn_z]]="","",IFERROR(
   IF(_xlfn.XLOOKUP(Final_Sans_VGE[[#This Row],[ppn_z]],tbl_Historique_Final[[#This Row],[ppn_z]],tbl_Historique_Final[[#This Row],[date_modif]])=Final_Sans_VGE[[#This Row],[date_modif]],
      "Ancien",
      "Modifié"),
   "Nouveau")),"")</f>
        <v/>
      </c>
    </row>
    <row r="6224" spans="24:30" x14ac:dyDescent="0.25">
      <c r="X6224" s="8" t="e">
        <f>IF(Final_Sans_VGE[[#This Row],[ppn_z]]="","",IFERROR(
   IF(_xlfn.XLOOKUP(Final_Sans_VGE[[#This Row],[ppn_z]],tbl_Historique_Final[ppn_z],tbl_Historique_Final[date_modif])=Final_Sans_VGE[[#This Row],[date_modif]],
      "Ancien",
      "Modifié"),
   "Nouveau"))</f>
        <v>#VALUE!</v>
      </c>
      <c r="AD6224" s="1" t="str">
        <f>IFERROR(IF(Final_Sans_VGE[[#This Row],[ppn_z]]="","",IFERROR(
   IF(_xlfn.XLOOKUP(Final_Sans_VGE[[#This Row],[ppn_z]],tbl_Historique_Final[[#This Row],[ppn_z]],tbl_Historique_Final[[#This Row],[date_modif]])=Final_Sans_VGE[[#This Row],[date_modif]],
      "Ancien",
      "Modifié"),
   "Nouveau")),"")</f>
        <v/>
      </c>
    </row>
    <row r="6225" spans="24:30" x14ac:dyDescent="0.25">
      <c r="X6225" s="8" t="e">
        <f>IF(Final_Sans_VGE[[#This Row],[ppn_z]]="","",IFERROR(
   IF(_xlfn.XLOOKUP(Final_Sans_VGE[[#This Row],[ppn_z]],tbl_Historique_Final[ppn_z],tbl_Historique_Final[date_modif])=Final_Sans_VGE[[#This Row],[date_modif]],
      "Ancien",
      "Modifié"),
   "Nouveau"))</f>
        <v>#VALUE!</v>
      </c>
      <c r="AD6225" s="1" t="str">
        <f>IFERROR(IF(Final_Sans_VGE[[#This Row],[ppn_z]]="","",IFERROR(
   IF(_xlfn.XLOOKUP(Final_Sans_VGE[[#This Row],[ppn_z]],tbl_Historique_Final[[#This Row],[ppn_z]],tbl_Historique_Final[[#This Row],[date_modif]])=Final_Sans_VGE[[#This Row],[date_modif]],
      "Ancien",
      "Modifié"),
   "Nouveau")),"")</f>
        <v/>
      </c>
    </row>
    <row r="6226" spans="24:30" x14ac:dyDescent="0.25">
      <c r="X6226" s="8" t="e">
        <f>IF(Final_Sans_VGE[[#This Row],[ppn_z]]="","",IFERROR(
   IF(_xlfn.XLOOKUP(Final_Sans_VGE[[#This Row],[ppn_z]],tbl_Historique_Final[ppn_z],tbl_Historique_Final[date_modif])=Final_Sans_VGE[[#This Row],[date_modif]],
      "Ancien",
      "Modifié"),
   "Nouveau"))</f>
        <v>#VALUE!</v>
      </c>
      <c r="AD6226" s="1" t="str">
        <f>IFERROR(IF(Final_Sans_VGE[[#This Row],[ppn_z]]="","",IFERROR(
   IF(_xlfn.XLOOKUP(Final_Sans_VGE[[#This Row],[ppn_z]],tbl_Historique_Final[[#This Row],[ppn_z]],tbl_Historique_Final[[#This Row],[date_modif]])=Final_Sans_VGE[[#This Row],[date_modif]],
      "Ancien",
      "Modifié"),
   "Nouveau")),"")</f>
        <v/>
      </c>
    </row>
    <row r="6227" spans="24:30" x14ac:dyDescent="0.25">
      <c r="X6227" s="8" t="e">
        <f>IF(Final_Sans_VGE[[#This Row],[ppn_z]]="","",IFERROR(
   IF(_xlfn.XLOOKUP(Final_Sans_VGE[[#This Row],[ppn_z]],tbl_Historique_Final[ppn_z],tbl_Historique_Final[date_modif])=Final_Sans_VGE[[#This Row],[date_modif]],
      "Ancien",
      "Modifié"),
   "Nouveau"))</f>
        <v>#VALUE!</v>
      </c>
      <c r="AD6227" s="1" t="str">
        <f>IFERROR(IF(Final_Sans_VGE[[#This Row],[ppn_z]]="","",IFERROR(
   IF(_xlfn.XLOOKUP(Final_Sans_VGE[[#This Row],[ppn_z]],tbl_Historique_Final[[#This Row],[ppn_z]],tbl_Historique_Final[[#This Row],[date_modif]])=Final_Sans_VGE[[#This Row],[date_modif]],
      "Ancien",
      "Modifié"),
   "Nouveau")),"")</f>
        <v/>
      </c>
    </row>
    <row r="6228" spans="24:30" x14ac:dyDescent="0.25">
      <c r="X6228" s="8" t="e">
        <f>IF(Final_Sans_VGE[[#This Row],[ppn_z]]="","",IFERROR(
   IF(_xlfn.XLOOKUP(Final_Sans_VGE[[#This Row],[ppn_z]],tbl_Historique_Final[ppn_z],tbl_Historique_Final[date_modif])=Final_Sans_VGE[[#This Row],[date_modif]],
      "Ancien",
      "Modifié"),
   "Nouveau"))</f>
        <v>#VALUE!</v>
      </c>
      <c r="AD6228" s="1" t="str">
        <f>IFERROR(IF(Final_Sans_VGE[[#This Row],[ppn_z]]="","",IFERROR(
   IF(_xlfn.XLOOKUP(Final_Sans_VGE[[#This Row],[ppn_z]],tbl_Historique_Final[[#This Row],[ppn_z]],tbl_Historique_Final[[#This Row],[date_modif]])=Final_Sans_VGE[[#This Row],[date_modif]],
      "Ancien",
      "Modifié"),
   "Nouveau")),"")</f>
        <v/>
      </c>
    </row>
    <row r="6229" spans="24:30" x14ac:dyDescent="0.25">
      <c r="X6229" s="8" t="e">
        <f>IF(Final_Sans_VGE[[#This Row],[ppn_z]]="","",IFERROR(
   IF(_xlfn.XLOOKUP(Final_Sans_VGE[[#This Row],[ppn_z]],tbl_Historique_Final[ppn_z],tbl_Historique_Final[date_modif])=Final_Sans_VGE[[#This Row],[date_modif]],
      "Ancien",
      "Modifié"),
   "Nouveau"))</f>
        <v>#VALUE!</v>
      </c>
      <c r="AD6229" s="1" t="str">
        <f>IFERROR(IF(Final_Sans_VGE[[#This Row],[ppn_z]]="","",IFERROR(
   IF(_xlfn.XLOOKUP(Final_Sans_VGE[[#This Row],[ppn_z]],tbl_Historique_Final[[#This Row],[ppn_z]],tbl_Historique_Final[[#This Row],[date_modif]])=Final_Sans_VGE[[#This Row],[date_modif]],
      "Ancien",
      "Modifié"),
   "Nouveau")),"")</f>
        <v/>
      </c>
    </row>
    <row r="6230" spans="24:30" x14ac:dyDescent="0.25">
      <c r="X6230" s="8" t="e">
        <f>IF(Final_Sans_VGE[[#This Row],[ppn_z]]="","",IFERROR(
   IF(_xlfn.XLOOKUP(Final_Sans_VGE[[#This Row],[ppn_z]],tbl_Historique_Final[ppn_z],tbl_Historique_Final[date_modif])=Final_Sans_VGE[[#This Row],[date_modif]],
      "Ancien",
      "Modifié"),
   "Nouveau"))</f>
        <v>#VALUE!</v>
      </c>
      <c r="AD6230" s="1" t="str">
        <f>IFERROR(IF(Final_Sans_VGE[[#This Row],[ppn_z]]="","",IFERROR(
   IF(_xlfn.XLOOKUP(Final_Sans_VGE[[#This Row],[ppn_z]],tbl_Historique_Final[[#This Row],[ppn_z]],tbl_Historique_Final[[#This Row],[date_modif]])=Final_Sans_VGE[[#This Row],[date_modif]],
      "Ancien",
      "Modifié"),
   "Nouveau")),"")</f>
        <v/>
      </c>
    </row>
    <row r="6231" spans="24:30" x14ac:dyDescent="0.25">
      <c r="X6231" s="8" t="e">
        <f>IF(Final_Sans_VGE[[#This Row],[ppn_z]]="","",IFERROR(
   IF(_xlfn.XLOOKUP(Final_Sans_VGE[[#This Row],[ppn_z]],tbl_Historique_Final[ppn_z],tbl_Historique_Final[date_modif])=Final_Sans_VGE[[#This Row],[date_modif]],
      "Ancien",
      "Modifié"),
   "Nouveau"))</f>
        <v>#VALUE!</v>
      </c>
      <c r="AD6231" s="1" t="str">
        <f>IFERROR(IF(Final_Sans_VGE[[#This Row],[ppn_z]]="","",IFERROR(
   IF(_xlfn.XLOOKUP(Final_Sans_VGE[[#This Row],[ppn_z]],tbl_Historique_Final[[#This Row],[ppn_z]],tbl_Historique_Final[[#This Row],[date_modif]])=Final_Sans_VGE[[#This Row],[date_modif]],
      "Ancien",
      "Modifié"),
   "Nouveau")),"")</f>
        <v/>
      </c>
    </row>
    <row r="6232" spans="24:30" x14ac:dyDescent="0.25">
      <c r="X6232" s="8" t="e">
        <f>IF(Final_Sans_VGE[[#This Row],[ppn_z]]="","",IFERROR(
   IF(_xlfn.XLOOKUP(Final_Sans_VGE[[#This Row],[ppn_z]],tbl_Historique_Final[ppn_z],tbl_Historique_Final[date_modif])=Final_Sans_VGE[[#This Row],[date_modif]],
      "Ancien",
      "Modifié"),
   "Nouveau"))</f>
        <v>#VALUE!</v>
      </c>
      <c r="AD6232" s="1" t="str">
        <f>IFERROR(IF(Final_Sans_VGE[[#This Row],[ppn_z]]="","",IFERROR(
   IF(_xlfn.XLOOKUP(Final_Sans_VGE[[#This Row],[ppn_z]],tbl_Historique_Final[[#This Row],[ppn_z]],tbl_Historique_Final[[#This Row],[date_modif]])=Final_Sans_VGE[[#This Row],[date_modif]],
      "Ancien",
      "Modifié"),
   "Nouveau")),"")</f>
        <v/>
      </c>
    </row>
    <row r="6233" spans="24:30" x14ac:dyDescent="0.25">
      <c r="X6233" s="8" t="e">
        <f>IF(Final_Sans_VGE[[#This Row],[ppn_z]]="","",IFERROR(
   IF(_xlfn.XLOOKUP(Final_Sans_VGE[[#This Row],[ppn_z]],tbl_Historique_Final[ppn_z],tbl_Historique_Final[date_modif])=Final_Sans_VGE[[#This Row],[date_modif]],
      "Ancien",
      "Modifié"),
   "Nouveau"))</f>
        <v>#VALUE!</v>
      </c>
      <c r="AD6233" s="1" t="str">
        <f>IFERROR(IF(Final_Sans_VGE[[#This Row],[ppn_z]]="","",IFERROR(
   IF(_xlfn.XLOOKUP(Final_Sans_VGE[[#This Row],[ppn_z]],tbl_Historique_Final[[#This Row],[ppn_z]],tbl_Historique_Final[[#This Row],[date_modif]])=Final_Sans_VGE[[#This Row],[date_modif]],
      "Ancien",
      "Modifié"),
   "Nouveau")),"")</f>
        <v/>
      </c>
    </row>
    <row r="6234" spans="24:30" x14ac:dyDescent="0.25">
      <c r="X6234" s="8" t="e">
        <f>IF(Final_Sans_VGE[[#This Row],[ppn_z]]="","",IFERROR(
   IF(_xlfn.XLOOKUP(Final_Sans_VGE[[#This Row],[ppn_z]],tbl_Historique_Final[ppn_z],tbl_Historique_Final[date_modif])=Final_Sans_VGE[[#This Row],[date_modif]],
      "Ancien",
      "Modifié"),
   "Nouveau"))</f>
        <v>#VALUE!</v>
      </c>
      <c r="AD6234" s="1" t="str">
        <f>IFERROR(IF(Final_Sans_VGE[[#This Row],[ppn_z]]="","",IFERROR(
   IF(_xlfn.XLOOKUP(Final_Sans_VGE[[#This Row],[ppn_z]],tbl_Historique_Final[[#This Row],[ppn_z]],tbl_Historique_Final[[#This Row],[date_modif]])=Final_Sans_VGE[[#This Row],[date_modif]],
      "Ancien",
      "Modifié"),
   "Nouveau")),"")</f>
        <v/>
      </c>
    </row>
    <row r="6235" spans="24:30" x14ac:dyDescent="0.25">
      <c r="X6235" s="8" t="e">
        <f>IF(Final_Sans_VGE[[#This Row],[ppn_z]]="","",IFERROR(
   IF(_xlfn.XLOOKUP(Final_Sans_VGE[[#This Row],[ppn_z]],tbl_Historique_Final[ppn_z],tbl_Historique_Final[date_modif])=Final_Sans_VGE[[#This Row],[date_modif]],
      "Ancien",
      "Modifié"),
   "Nouveau"))</f>
        <v>#VALUE!</v>
      </c>
      <c r="AD6235" s="1" t="str">
        <f>IFERROR(IF(Final_Sans_VGE[[#This Row],[ppn_z]]="","",IFERROR(
   IF(_xlfn.XLOOKUP(Final_Sans_VGE[[#This Row],[ppn_z]],tbl_Historique_Final[[#This Row],[ppn_z]],tbl_Historique_Final[[#This Row],[date_modif]])=Final_Sans_VGE[[#This Row],[date_modif]],
      "Ancien",
      "Modifié"),
   "Nouveau")),"")</f>
        <v/>
      </c>
    </row>
    <row r="6236" spans="24:30" x14ac:dyDescent="0.25">
      <c r="X6236" s="8" t="e">
        <f>IF(Final_Sans_VGE[[#This Row],[ppn_z]]="","",IFERROR(
   IF(_xlfn.XLOOKUP(Final_Sans_VGE[[#This Row],[ppn_z]],tbl_Historique_Final[ppn_z],tbl_Historique_Final[date_modif])=Final_Sans_VGE[[#This Row],[date_modif]],
      "Ancien",
      "Modifié"),
   "Nouveau"))</f>
        <v>#VALUE!</v>
      </c>
      <c r="AD6236" s="1" t="str">
        <f>IFERROR(IF(Final_Sans_VGE[[#This Row],[ppn_z]]="","",IFERROR(
   IF(_xlfn.XLOOKUP(Final_Sans_VGE[[#This Row],[ppn_z]],tbl_Historique_Final[[#This Row],[ppn_z]],tbl_Historique_Final[[#This Row],[date_modif]])=Final_Sans_VGE[[#This Row],[date_modif]],
      "Ancien",
      "Modifié"),
   "Nouveau")),"")</f>
        <v/>
      </c>
    </row>
    <row r="6237" spans="24:30" x14ac:dyDescent="0.25">
      <c r="X6237" s="8" t="e">
        <f>IF(Final_Sans_VGE[[#This Row],[ppn_z]]="","",IFERROR(
   IF(_xlfn.XLOOKUP(Final_Sans_VGE[[#This Row],[ppn_z]],tbl_Historique_Final[ppn_z],tbl_Historique_Final[date_modif])=Final_Sans_VGE[[#This Row],[date_modif]],
      "Ancien",
      "Modifié"),
   "Nouveau"))</f>
        <v>#VALUE!</v>
      </c>
      <c r="AD6237" s="1" t="str">
        <f>IFERROR(IF(Final_Sans_VGE[[#This Row],[ppn_z]]="","",IFERROR(
   IF(_xlfn.XLOOKUP(Final_Sans_VGE[[#This Row],[ppn_z]],tbl_Historique_Final[[#This Row],[ppn_z]],tbl_Historique_Final[[#This Row],[date_modif]])=Final_Sans_VGE[[#This Row],[date_modif]],
      "Ancien",
      "Modifié"),
   "Nouveau")),"")</f>
        <v/>
      </c>
    </row>
    <row r="6238" spans="24:30" x14ac:dyDescent="0.25">
      <c r="X6238" s="8" t="e">
        <f>IF(Final_Sans_VGE[[#This Row],[ppn_z]]="","",IFERROR(
   IF(_xlfn.XLOOKUP(Final_Sans_VGE[[#This Row],[ppn_z]],tbl_Historique_Final[ppn_z],tbl_Historique_Final[date_modif])=Final_Sans_VGE[[#This Row],[date_modif]],
      "Ancien",
      "Modifié"),
   "Nouveau"))</f>
        <v>#VALUE!</v>
      </c>
      <c r="AD6238" s="1" t="str">
        <f>IFERROR(IF(Final_Sans_VGE[[#This Row],[ppn_z]]="","",IFERROR(
   IF(_xlfn.XLOOKUP(Final_Sans_VGE[[#This Row],[ppn_z]],tbl_Historique_Final[[#This Row],[ppn_z]],tbl_Historique_Final[[#This Row],[date_modif]])=Final_Sans_VGE[[#This Row],[date_modif]],
      "Ancien",
      "Modifié"),
   "Nouveau")),"")</f>
        <v/>
      </c>
    </row>
    <row r="6239" spans="24:30" x14ac:dyDescent="0.25">
      <c r="X6239" s="8" t="e">
        <f>IF(Final_Sans_VGE[[#This Row],[ppn_z]]="","",IFERROR(
   IF(_xlfn.XLOOKUP(Final_Sans_VGE[[#This Row],[ppn_z]],tbl_Historique_Final[ppn_z],tbl_Historique_Final[date_modif])=Final_Sans_VGE[[#This Row],[date_modif]],
      "Ancien",
      "Modifié"),
   "Nouveau"))</f>
        <v>#VALUE!</v>
      </c>
      <c r="AD6239" s="1" t="str">
        <f>IFERROR(IF(Final_Sans_VGE[[#This Row],[ppn_z]]="","",IFERROR(
   IF(_xlfn.XLOOKUP(Final_Sans_VGE[[#This Row],[ppn_z]],tbl_Historique_Final[[#This Row],[ppn_z]],tbl_Historique_Final[[#This Row],[date_modif]])=Final_Sans_VGE[[#This Row],[date_modif]],
      "Ancien",
      "Modifié"),
   "Nouveau")),"")</f>
        <v/>
      </c>
    </row>
    <row r="6240" spans="24:30" x14ac:dyDescent="0.25">
      <c r="X6240" s="8" t="e">
        <f>IF(Final_Sans_VGE[[#This Row],[ppn_z]]="","",IFERROR(
   IF(_xlfn.XLOOKUP(Final_Sans_VGE[[#This Row],[ppn_z]],tbl_Historique_Final[ppn_z],tbl_Historique_Final[date_modif])=Final_Sans_VGE[[#This Row],[date_modif]],
      "Ancien",
      "Modifié"),
   "Nouveau"))</f>
        <v>#VALUE!</v>
      </c>
      <c r="AD6240" s="1" t="str">
        <f>IFERROR(IF(Final_Sans_VGE[[#This Row],[ppn_z]]="","",IFERROR(
   IF(_xlfn.XLOOKUP(Final_Sans_VGE[[#This Row],[ppn_z]],tbl_Historique_Final[[#This Row],[ppn_z]],tbl_Historique_Final[[#This Row],[date_modif]])=Final_Sans_VGE[[#This Row],[date_modif]],
      "Ancien",
      "Modifié"),
   "Nouveau")),"")</f>
        <v/>
      </c>
    </row>
    <row r="6241" spans="24:30" x14ac:dyDescent="0.25">
      <c r="X6241" s="8" t="e">
        <f>IF(Final_Sans_VGE[[#This Row],[ppn_z]]="","",IFERROR(
   IF(_xlfn.XLOOKUP(Final_Sans_VGE[[#This Row],[ppn_z]],tbl_Historique_Final[ppn_z],tbl_Historique_Final[date_modif])=Final_Sans_VGE[[#This Row],[date_modif]],
      "Ancien",
      "Modifié"),
   "Nouveau"))</f>
        <v>#VALUE!</v>
      </c>
      <c r="AD6241" s="1" t="str">
        <f>IFERROR(IF(Final_Sans_VGE[[#This Row],[ppn_z]]="","",IFERROR(
   IF(_xlfn.XLOOKUP(Final_Sans_VGE[[#This Row],[ppn_z]],tbl_Historique_Final[[#This Row],[ppn_z]],tbl_Historique_Final[[#This Row],[date_modif]])=Final_Sans_VGE[[#This Row],[date_modif]],
      "Ancien",
      "Modifié"),
   "Nouveau")),"")</f>
        <v/>
      </c>
    </row>
    <row r="6242" spans="24:30" x14ac:dyDescent="0.25">
      <c r="X6242" s="8" t="e">
        <f>IF(Final_Sans_VGE[[#This Row],[ppn_z]]="","",IFERROR(
   IF(_xlfn.XLOOKUP(Final_Sans_VGE[[#This Row],[ppn_z]],tbl_Historique_Final[ppn_z],tbl_Historique_Final[date_modif])=Final_Sans_VGE[[#This Row],[date_modif]],
      "Ancien",
      "Modifié"),
   "Nouveau"))</f>
        <v>#VALUE!</v>
      </c>
      <c r="AD6242" s="1" t="str">
        <f>IFERROR(IF(Final_Sans_VGE[[#This Row],[ppn_z]]="","",IFERROR(
   IF(_xlfn.XLOOKUP(Final_Sans_VGE[[#This Row],[ppn_z]],tbl_Historique_Final[[#This Row],[ppn_z]],tbl_Historique_Final[[#This Row],[date_modif]])=Final_Sans_VGE[[#This Row],[date_modif]],
      "Ancien",
      "Modifié"),
   "Nouveau")),"")</f>
        <v/>
      </c>
    </row>
    <row r="6243" spans="24:30" x14ac:dyDescent="0.25">
      <c r="X6243" s="8" t="e">
        <f>IF(Final_Sans_VGE[[#This Row],[ppn_z]]="","",IFERROR(
   IF(_xlfn.XLOOKUP(Final_Sans_VGE[[#This Row],[ppn_z]],tbl_Historique_Final[ppn_z],tbl_Historique_Final[date_modif])=Final_Sans_VGE[[#This Row],[date_modif]],
      "Ancien",
      "Modifié"),
   "Nouveau"))</f>
        <v>#VALUE!</v>
      </c>
      <c r="AD6243" s="1" t="str">
        <f>IFERROR(IF(Final_Sans_VGE[[#This Row],[ppn_z]]="","",IFERROR(
   IF(_xlfn.XLOOKUP(Final_Sans_VGE[[#This Row],[ppn_z]],tbl_Historique_Final[[#This Row],[ppn_z]],tbl_Historique_Final[[#This Row],[date_modif]])=Final_Sans_VGE[[#This Row],[date_modif]],
      "Ancien",
      "Modifié"),
   "Nouveau")),"")</f>
        <v/>
      </c>
    </row>
    <row r="6244" spans="24:30" x14ac:dyDescent="0.25">
      <c r="X6244" s="8" t="e">
        <f>IF(Final_Sans_VGE[[#This Row],[ppn_z]]="","",IFERROR(
   IF(_xlfn.XLOOKUP(Final_Sans_VGE[[#This Row],[ppn_z]],tbl_Historique_Final[ppn_z],tbl_Historique_Final[date_modif])=Final_Sans_VGE[[#This Row],[date_modif]],
      "Ancien",
      "Modifié"),
   "Nouveau"))</f>
        <v>#VALUE!</v>
      </c>
      <c r="AD6244" s="1" t="str">
        <f>IFERROR(IF(Final_Sans_VGE[[#This Row],[ppn_z]]="","",IFERROR(
   IF(_xlfn.XLOOKUP(Final_Sans_VGE[[#This Row],[ppn_z]],tbl_Historique_Final[[#This Row],[ppn_z]],tbl_Historique_Final[[#This Row],[date_modif]])=Final_Sans_VGE[[#This Row],[date_modif]],
      "Ancien",
      "Modifié"),
   "Nouveau")),"")</f>
        <v/>
      </c>
    </row>
    <row r="6245" spans="24:30" x14ac:dyDescent="0.25">
      <c r="X6245" s="8" t="e">
        <f>IF(Final_Sans_VGE[[#This Row],[ppn_z]]="","",IFERROR(
   IF(_xlfn.XLOOKUP(Final_Sans_VGE[[#This Row],[ppn_z]],tbl_Historique_Final[ppn_z],tbl_Historique_Final[date_modif])=Final_Sans_VGE[[#This Row],[date_modif]],
      "Ancien",
      "Modifié"),
   "Nouveau"))</f>
        <v>#VALUE!</v>
      </c>
      <c r="AD6245" s="1" t="str">
        <f>IFERROR(IF(Final_Sans_VGE[[#This Row],[ppn_z]]="","",IFERROR(
   IF(_xlfn.XLOOKUP(Final_Sans_VGE[[#This Row],[ppn_z]],tbl_Historique_Final[[#This Row],[ppn_z]],tbl_Historique_Final[[#This Row],[date_modif]])=Final_Sans_VGE[[#This Row],[date_modif]],
      "Ancien",
      "Modifié"),
   "Nouveau")),"")</f>
        <v/>
      </c>
    </row>
    <row r="6246" spans="24:30" x14ac:dyDescent="0.25">
      <c r="X6246" s="8" t="e">
        <f>IF(Final_Sans_VGE[[#This Row],[ppn_z]]="","",IFERROR(
   IF(_xlfn.XLOOKUP(Final_Sans_VGE[[#This Row],[ppn_z]],tbl_Historique_Final[ppn_z],tbl_Historique_Final[date_modif])=Final_Sans_VGE[[#This Row],[date_modif]],
      "Ancien",
      "Modifié"),
   "Nouveau"))</f>
        <v>#VALUE!</v>
      </c>
      <c r="AD6246" s="1" t="str">
        <f>IFERROR(IF(Final_Sans_VGE[[#This Row],[ppn_z]]="","",IFERROR(
   IF(_xlfn.XLOOKUP(Final_Sans_VGE[[#This Row],[ppn_z]],tbl_Historique_Final[[#This Row],[ppn_z]],tbl_Historique_Final[[#This Row],[date_modif]])=Final_Sans_VGE[[#This Row],[date_modif]],
      "Ancien",
      "Modifié"),
   "Nouveau")),"")</f>
        <v/>
      </c>
    </row>
    <row r="6247" spans="24:30" x14ac:dyDescent="0.25">
      <c r="X6247" s="8" t="e">
        <f>IF(Final_Sans_VGE[[#This Row],[ppn_z]]="","",IFERROR(
   IF(_xlfn.XLOOKUP(Final_Sans_VGE[[#This Row],[ppn_z]],tbl_Historique_Final[ppn_z],tbl_Historique_Final[date_modif])=Final_Sans_VGE[[#This Row],[date_modif]],
      "Ancien",
      "Modifié"),
   "Nouveau"))</f>
        <v>#VALUE!</v>
      </c>
      <c r="AD6247" s="1" t="str">
        <f>IFERROR(IF(Final_Sans_VGE[[#This Row],[ppn_z]]="","",IFERROR(
   IF(_xlfn.XLOOKUP(Final_Sans_VGE[[#This Row],[ppn_z]],tbl_Historique_Final[[#This Row],[ppn_z]],tbl_Historique_Final[[#This Row],[date_modif]])=Final_Sans_VGE[[#This Row],[date_modif]],
      "Ancien",
      "Modifié"),
   "Nouveau")),"")</f>
        <v/>
      </c>
    </row>
    <row r="6248" spans="24:30" x14ac:dyDescent="0.25">
      <c r="X6248" s="8" t="e">
        <f>IF(Final_Sans_VGE[[#This Row],[ppn_z]]="","",IFERROR(
   IF(_xlfn.XLOOKUP(Final_Sans_VGE[[#This Row],[ppn_z]],tbl_Historique_Final[ppn_z],tbl_Historique_Final[date_modif])=Final_Sans_VGE[[#This Row],[date_modif]],
      "Ancien",
      "Modifié"),
   "Nouveau"))</f>
        <v>#VALUE!</v>
      </c>
      <c r="AD6248" s="1" t="str">
        <f>IFERROR(IF(Final_Sans_VGE[[#This Row],[ppn_z]]="","",IFERROR(
   IF(_xlfn.XLOOKUP(Final_Sans_VGE[[#This Row],[ppn_z]],tbl_Historique_Final[[#This Row],[ppn_z]],tbl_Historique_Final[[#This Row],[date_modif]])=Final_Sans_VGE[[#This Row],[date_modif]],
      "Ancien",
      "Modifié"),
   "Nouveau")),"")</f>
        <v/>
      </c>
    </row>
    <row r="6249" spans="24:30" x14ac:dyDescent="0.25">
      <c r="X6249" s="8" t="e">
        <f>IF(Final_Sans_VGE[[#This Row],[ppn_z]]="","",IFERROR(
   IF(_xlfn.XLOOKUP(Final_Sans_VGE[[#This Row],[ppn_z]],tbl_Historique_Final[ppn_z],tbl_Historique_Final[date_modif])=Final_Sans_VGE[[#This Row],[date_modif]],
      "Ancien",
      "Modifié"),
   "Nouveau"))</f>
        <v>#VALUE!</v>
      </c>
      <c r="AD6249" s="1" t="str">
        <f>IFERROR(IF(Final_Sans_VGE[[#This Row],[ppn_z]]="","",IFERROR(
   IF(_xlfn.XLOOKUP(Final_Sans_VGE[[#This Row],[ppn_z]],tbl_Historique_Final[[#This Row],[ppn_z]],tbl_Historique_Final[[#This Row],[date_modif]])=Final_Sans_VGE[[#This Row],[date_modif]],
      "Ancien",
      "Modifié"),
   "Nouveau")),"")</f>
        <v/>
      </c>
    </row>
    <row r="6250" spans="24:30" x14ac:dyDescent="0.25">
      <c r="X6250" s="8" t="e">
        <f>IF(Final_Sans_VGE[[#This Row],[ppn_z]]="","",IFERROR(
   IF(_xlfn.XLOOKUP(Final_Sans_VGE[[#This Row],[ppn_z]],tbl_Historique_Final[ppn_z],tbl_Historique_Final[date_modif])=Final_Sans_VGE[[#This Row],[date_modif]],
      "Ancien",
      "Modifié"),
   "Nouveau"))</f>
        <v>#VALUE!</v>
      </c>
      <c r="AD6250" s="1" t="str">
        <f>IFERROR(IF(Final_Sans_VGE[[#This Row],[ppn_z]]="","",IFERROR(
   IF(_xlfn.XLOOKUP(Final_Sans_VGE[[#This Row],[ppn_z]],tbl_Historique_Final[[#This Row],[ppn_z]],tbl_Historique_Final[[#This Row],[date_modif]])=Final_Sans_VGE[[#This Row],[date_modif]],
      "Ancien",
      "Modifié"),
   "Nouveau")),"")</f>
        <v/>
      </c>
    </row>
    <row r="6251" spans="24:30" x14ac:dyDescent="0.25">
      <c r="X6251" s="8" t="e">
        <f>IF(Final_Sans_VGE[[#This Row],[ppn_z]]="","",IFERROR(
   IF(_xlfn.XLOOKUP(Final_Sans_VGE[[#This Row],[ppn_z]],tbl_Historique_Final[ppn_z],tbl_Historique_Final[date_modif])=Final_Sans_VGE[[#This Row],[date_modif]],
      "Ancien",
      "Modifié"),
   "Nouveau"))</f>
        <v>#VALUE!</v>
      </c>
      <c r="AD6251" s="1" t="str">
        <f>IFERROR(IF(Final_Sans_VGE[[#This Row],[ppn_z]]="","",IFERROR(
   IF(_xlfn.XLOOKUP(Final_Sans_VGE[[#This Row],[ppn_z]],tbl_Historique_Final[[#This Row],[ppn_z]],tbl_Historique_Final[[#This Row],[date_modif]])=Final_Sans_VGE[[#This Row],[date_modif]],
      "Ancien",
      "Modifié"),
   "Nouveau")),"")</f>
        <v/>
      </c>
    </row>
    <row r="6252" spans="24:30" x14ac:dyDescent="0.25">
      <c r="X6252" s="8" t="e">
        <f>IF(Final_Sans_VGE[[#This Row],[ppn_z]]="","",IFERROR(
   IF(_xlfn.XLOOKUP(Final_Sans_VGE[[#This Row],[ppn_z]],tbl_Historique_Final[ppn_z],tbl_Historique_Final[date_modif])=Final_Sans_VGE[[#This Row],[date_modif]],
      "Ancien",
      "Modifié"),
   "Nouveau"))</f>
        <v>#VALUE!</v>
      </c>
      <c r="AD6252" s="1" t="str">
        <f>IFERROR(IF(Final_Sans_VGE[[#This Row],[ppn_z]]="","",IFERROR(
   IF(_xlfn.XLOOKUP(Final_Sans_VGE[[#This Row],[ppn_z]],tbl_Historique_Final[[#This Row],[ppn_z]],tbl_Historique_Final[[#This Row],[date_modif]])=Final_Sans_VGE[[#This Row],[date_modif]],
      "Ancien",
      "Modifié"),
   "Nouveau")),"")</f>
        <v/>
      </c>
    </row>
    <row r="6253" spans="24:30" x14ac:dyDescent="0.25">
      <c r="X6253" s="8" t="e">
        <f>IF(Final_Sans_VGE[[#This Row],[ppn_z]]="","",IFERROR(
   IF(_xlfn.XLOOKUP(Final_Sans_VGE[[#This Row],[ppn_z]],tbl_Historique_Final[ppn_z],tbl_Historique_Final[date_modif])=Final_Sans_VGE[[#This Row],[date_modif]],
      "Ancien",
      "Modifié"),
   "Nouveau"))</f>
        <v>#VALUE!</v>
      </c>
      <c r="AD6253" s="1" t="str">
        <f>IFERROR(IF(Final_Sans_VGE[[#This Row],[ppn_z]]="","",IFERROR(
   IF(_xlfn.XLOOKUP(Final_Sans_VGE[[#This Row],[ppn_z]],tbl_Historique_Final[[#This Row],[ppn_z]],tbl_Historique_Final[[#This Row],[date_modif]])=Final_Sans_VGE[[#This Row],[date_modif]],
      "Ancien",
      "Modifié"),
   "Nouveau")),"")</f>
        <v/>
      </c>
    </row>
    <row r="6254" spans="24:30" x14ac:dyDescent="0.25">
      <c r="X6254" s="8" t="e">
        <f>IF(Final_Sans_VGE[[#This Row],[ppn_z]]="","",IFERROR(
   IF(_xlfn.XLOOKUP(Final_Sans_VGE[[#This Row],[ppn_z]],tbl_Historique_Final[ppn_z],tbl_Historique_Final[date_modif])=Final_Sans_VGE[[#This Row],[date_modif]],
      "Ancien",
      "Modifié"),
   "Nouveau"))</f>
        <v>#VALUE!</v>
      </c>
      <c r="AD6254" s="1" t="str">
        <f>IFERROR(IF(Final_Sans_VGE[[#This Row],[ppn_z]]="","",IFERROR(
   IF(_xlfn.XLOOKUP(Final_Sans_VGE[[#This Row],[ppn_z]],tbl_Historique_Final[[#This Row],[ppn_z]],tbl_Historique_Final[[#This Row],[date_modif]])=Final_Sans_VGE[[#This Row],[date_modif]],
      "Ancien",
      "Modifié"),
   "Nouveau")),"")</f>
        <v/>
      </c>
    </row>
    <row r="6255" spans="24:30" x14ac:dyDescent="0.25">
      <c r="X6255" s="8" t="e">
        <f>IF(Final_Sans_VGE[[#This Row],[ppn_z]]="","",IFERROR(
   IF(_xlfn.XLOOKUP(Final_Sans_VGE[[#This Row],[ppn_z]],tbl_Historique_Final[ppn_z],tbl_Historique_Final[date_modif])=Final_Sans_VGE[[#This Row],[date_modif]],
      "Ancien",
      "Modifié"),
   "Nouveau"))</f>
        <v>#VALUE!</v>
      </c>
      <c r="AD6255" s="1" t="str">
        <f>IFERROR(IF(Final_Sans_VGE[[#This Row],[ppn_z]]="","",IFERROR(
   IF(_xlfn.XLOOKUP(Final_Sans_VGE[[#This Row],[ppn_z]],tbl_Historique_Final[[#This Row],[ppn_z]],tbl_Historique_Final[[#This Row],[date_modif]])=Final_Sans_VGE[[#This Row],[date_modif]],
      "Ancien",
      "Modifié"),
   "Nouveau")),"")</f>
        <v/>
      </c>
    </row>
    <row r="6256" spans="24:30" x14ac:dyDescent="0.25">
      <c r="X6256" s="8" t="e">
        <f>IF(Final_Sans_VGE[[#This Row],[ppn_z]]="","",IFERROR(
   IF(_xlfn.XLOOKUP(Final_Sans_VGE[[#This Row],[ppn_z]],tbl_Historique_Final[ppn_z],tbl_Historique_Final[date_modif])=Final_Sans_VGE[[#This Row],[date_modif]],
      "Ancien",
      "Modifié"),
   "Nouveau"))</f>
        <v>#VALUE!</v>
      </c>
      <c r="AD6256" s="1" t="str">
        <f>IFERROR(IF(Final_Sans_VGE[[#This Row],[ppn_z]]="","",IFERROR(
   IF(_xlfn.XLOOKUP(Final_Sans_VGE[[#This Row],[ppn_z]],tbl_Historique_Final[[#This Row],[ppn_z]],tbl_Historique_Final[[#This Row],[date_modif]])=Final_Sans_VGE[[#This Row],[date_modif]],
      "Ancien",
      "Modifié"),
   "Nouveau")),"")</f>
        <v/>
      </c>
    </row>
    <row r="6257" spans="24:30" x14ac:dyDescent="0.25">
      <c r="X6257" s="8" t="e">
        <f>IF(Final_Sans_VGE[[#This Row],[ppn_z]]="","",IFERROR(
   IF(_xlfn.XLOOKUP(Final_Sans_VGE[[#This Row],[ppn_z]],tbl_Historique_Final[ppn_z],tbl_Historique_Final[date_modif])=Final_Sans_VGE[[#This Row],[date_modif]],
      "Ancien",
      "Modifié"),
   "Nouveau"))</f>
        <v>#VALUE!</v>
      </c>
      <c r="AD6257" s="1" t="str">
        <f>IFERROR(IF(Final_Sans_VGE[[#This Row],[ppn_z]]="","",IFERROR(
   IF(_xlfn.XLOOKUP(Final_Sans_VGE[[#This Row],[ppn_z]],tbl_Historique_Final[[#This Row],[ppn_z]],tbl_Historique_Final[[#This Row],[date_modif]])=Final_Sans_VGE[[#This Row],[date_modif]],
      "Ancien",
      "Modifié"),
   "Nouveau")),"")</f>
        <v/>
      </c>
    </row>
    <row r="6258" spans="24:30" x14ac:dyDescent="0.25">
      <c r="X6258" s="8" t="e">
        <f>IF(Final_Sans_VGE[[#This Row],[ppn_z]]="","",IFERROR(
   IF(_xlfn.XLOOKUP(Final_Sans_VGE[[#This Row],[ppn_z]],tbl_Historique_Final[ppn_z],tbl_Historique_Final[date_modif])=Final_Sans_VGE[[#This Row],[date_modif]],
      "Ancien",
      "Modifié"),
   "Nouveau"))</f>
        <v>#VALUE!</v>
      </c>
      <c r="AD6258" s="1" t="str">
        <f>IFERROR(IF(Final_Sans_VGE[[#This Row],[ppn_z]]="","",IFERROR(
   IF(_xlfn.XLOOKUP(Final_Sans_VGE[[#This Row],[ppn_z]],tbl_Historique_Final[[#This Row],[ppn_z]],tbl_Historique_Final[[#This Row],[date_modif]])=Final_Sans_VGE[[#This Row],[date_modif]],
      "Ancien",
      "Modifié"),
   "Nouveau")),"")</f>
        <v/>
      </c>
    </row>
    <row r="6259" spans="24:30" x14ac:dyDescent="0.25">
      <c r="X6259" s="8" t="e">
        <f>IF(Final_Sans_VGE[[#This Row],[ppn_z]]="","",IFERROR(
   IF(_xlfn.XLOOKUP(Final_Sans_VGE[[#This Row],[ppn_z]],tbl_Historique_Final[ppn_z],tbl_Historique_Final[date_modif])=Final_Sans_VGE[[#This Row],[date_modif]],
      "Ancien",
      "Modifié"),
   "Nouveau"))</f>
        <v>#VALUE!</v>
      </c>
      <c r="AD6259" s="1" t="str">
        <f>IFERROR(IF(Final_Sans_VGE[[#This Row],[ppn_z]]="","",IFERROR(
   IF(_xlfn.XLOOKUP(Final_Sans_VGE[[#This Row],[ppn_z]],tbl_Historique_Final[[#This Row],[ppn_z]],tbl_Historique_Final[[#This Row],[date_modif]])=Final_Sans_VGE[[#This Row],[date_modif]],
      "Ancien",
      "Modifié"),
   "Nouveau")),"")</f>
        <v/>
      </c>
    </row>
    <row r="6260" spans="24:30" x14ac:dyDescent="0.25">
      <c r="X6260" s="8" t="e">
        <f>IF(Final_Sans_VGE[[#This Row],[ppn_z]]="","",IFERROR(
   IF(_xlfn.XLOOKUP(Final_Sans_VGE[[#This Row],[ppn_z]],tbl_Historique_Final[ppn_z],tbl_Historique_Final[date_modif])=Final_Sans_VGE[[#This Row],[date_modif]],
      "Ancien",
      "Modifié"),
   "Nouveau"))</f>
        <v>#VALUE!</v>
      </c>
      <c r="AD6260" s="1" t="str">
        <f>IFERROR(IF(Final_Sans_VGE[[#This Row],[ppn_z]]="","",IFERROR(
   IF(_xlfn.XLOOKUP(Final_Sans_VGE[[#This Row],[ppn_z]],tbl_Historique_Final[[#This Row],[ppn_z]],tbl_Historique_Final[[#This Row],[date_modif]])=Final_Sans_VGE[[#This Row],[date_modif]],
      "Ancien",
      "Modifié"),
   "Nouveau")),"")</f>
        <v/>
      </c>
    </row>
    <row r="6261" spans="24:30" x14ac:dyDescent="0.25">
      <c r="X6261" s="8" t="e">
        <f>IF(Final_Sans_VGE[[#This Row],[ppn_z]]="","",IFERROR(
   IF(_xlfn.XLOOKUP(Final_Sans_VGE[[#This Row],[ppn_z]],tbl_Historique_Final[ppn_z],tbl_Historique_Final[date_modif])=Final_Sans_VGE[[#This Row],[date_modif]],
      "Ancien",
      "Modifié"),
   "Nouveau"))</f>
        <v>#VALUE!</v>
      </c>
      <c r="AD6261" s="1" t="str">
        <f>IFERROR(IF(Final_Sans_VGE[[#This Row],[ppn_z]]="","",IFERROR(
   IF(_xlfn.XLOOKUP(Final_Sans_VGE[[#This Row],[ppn_z]],tbl_Historique_Final[[#This Row],[ppn_z]],tbl_Historique_Final[[#This Row],[date_modif]])=Final_Sans_VGE[[#This Row],[date_modif]],
      "Ancien",
      "Modifié"),
   "Nouveau")),"")</f>
        <v/>
      </c>
    </row>
    <row r="6262" spans="24:30" x14ac:dyDescent="0.25">
      <c r="X6262" s="8" t="e">
        <f>IF(Final_Sans_VGE[[#This Row],[ppn_z]]="","",IFERROR(
   IF(_xlfn.XLOOKUP(Final_Sans_VGE[[#This Row],[ppn_z]],tbl_Historique_Final[ppn_z],tbl_Historique_Final[date_modif])=Final_Sans_VGE[[#This Row],[date_modif]],
      "Ancien",
      "Modifié"),
   "Nouveau"))</f>
        <v>#VALUE!</v>
      </c>
      <c r="AD6262" s="1" t="str">
        <f>IFERROR(IF(Final_Sans_VGE[[#This Row],[ppn_z]]="","",IFERROR(
   IF(_xlfn.XLOOKUP(Final_Sans_VGE[[#This Row],[ppn_z]],tbl_Historique_Final[[#This Row],[ppn_z]],tbl_Historique_Final[[#This Row],[date_modif]])=Final_Sans_VGE[[#This Row],[date_modif]],
      "Ancien",
      "Modifié"),
   "Nouveau")),"")</f>
        <v/>
      </c>
    </row>
    <row r="6263" spans="24:30" x14ac:dyDescent="0.25">
      <c r="X6263" s="8" t="e">
        <f>IF(Final_Sans_VGE[[#This Row],[ppn_z]]="","",IFERROR(
   IF(_xlfn.XLOOKUP(Final_Sans_VGE[[#This Row],[ppn_z]],tbl_Historique_Final[ppn_z],tbl_Historique_Final[date_modif])=Final_Sans_VGE[[#This Row],[date_modif]],
      "Ancien",
      "Modifié"),
   "Nouveau"))</f>
        <v>#VALUE!</v>
      </c>
      <c r="AD6263" s="1" t="str">
        <f>IFERROR(IF(Final_Sans_VGE[[#This Row],[ppn_z]]="","",IFERROR(
   IF(_xlfn.XLOOKUP(Final_Sans_VGE[[#This Row],[ppn_z]],tbl_Historique_Final[[#This Row],[ppn_z]],tbl_Historique_Final[[#This Row],[date_modif]])=Final_Sans_VGE[[#This Row],[date_modif]],
      "Ancien",
      "Modifié"),
   "Nouveau")),"")</f>
        <v/>
      </c>
    </row>
    <row r="6264" spans="24:30" x14ac:dyDescent="0.25">
      <c r="X6264" s="8" t="e">
        <f>IF(Final_Sans_VGE[[#This Row],[ppn_z]]="","",IFERROR(
   IF(_xlfn.XLOOKUP(Final_Sans_VGE[[#This Row],[ppn_z]],tbl_Historique_Final[ppn_z],tbl_Historique_Final[date_modif])=Final_Sans_VGE[[#This Row],[date_modif]],
      "Ancien",
      "Modifié"),
   "Nouveau"))</f>
        <v>#VALUE!</v>
      </c>
      <c r="AD6264" s="1" t="str">
        <f>IFERROR(IF(Final_Sans_VGE[[#This Row],[ppn_z]]="","",IFERROR(
   IF(_xlfn.XLOOKUP(Final_Sans_VGE[[#This Row],[ppn_z]],tbl_Historique_Final[[#This Row],[ppn_z]],tbl_Historique_Final[[#This Row],[date_modif]])=Final_Sans_VGE[[#This Row],[date_modif]],
      "Ancien",
      "Modifié"),
   "Nouveau")),"")</f>
        <v/>
      </c>
    </row>
    <row r="6265" spans="24:30" x14ac:dyDescent="0.25">
      <c r="X6265" s="8" t="e">
        <f>IF(Final_Sans_VGE[[#This Row],[ppn_z]]="","",IFERROR(
   IF(_xlfn.XLOOKUP(Final_Sans_VGE[[#This Row],[ppn_z]],tbl_Historique_Final[ppn_z],tbl_Historique_Final[date_modif])=Final_Sans_VGE[[#This Row],[date_modif]],
      "Ancien",
      "Modifié"),
   "Nouveau"))</f>
        <v>#VALUE!</v>
      </c>
      <c r="AD6265" s="1" t="str">
        <f>IFERROR(IF(Final_Sans_VGE[[#This Row],[ppn_z]]="","",IFERROR(
   IF(_xlfn.XLOOKUP(Final_Sans_VGE[[#This Row],[ppn_z]],tbl_Historique_Final[[#This Row],[ppn_z]],tbl_Historique_Final[[#This Row],[date_modif]])=Final_Sans_VGE[[#This Row],[date_modif]],
      "Ancien",
      "Modifié"),
   "Nouveau")),"")</f>
        <v/>
      </c>
    </row>
    <row r="6266" spans="24:30" x14ac:dyDescent="0.25">
      <c r="X6266" s="8" t="e">
        <f>IF(Final_Sans_VGE[[#This Row],[ppn_z]]="","",IFERROR(
   IF(_xlfn.XLOOKUP(Final_Sans_VGE[[#This Row],[ppn_z]],tbl_Historique_Final[ppn_z],tbl_Historique_Final[date_modif])=Final_Sans_VGE[[#This Row],[date_modif]],
      "Ancien",
      "Modifié"),
   "Nouveau"))</f>
        <v>#VALUE!</v>
      </c>
      <c r="AD6266" s="1" t="str">
        <f>IFERROR(IF(Final_Sans_VGE[[#This Row],[ppn_z]]="","",IFERROR(
   IF(_xlfn.XLOOKUP(Final_Sans_VGE[[#This Row],[ppn_z]],tbl_Historique_Final[[#This Row],[ppn_z]],tbl_Historique_Final[[#This Row],[date_modif]])=Final_Sans_VGE[[#This Row],[date_modif]],
      "Ancien",
      "Modifié"),
   "Nouveau")),"")</f>
        <v/>
      </c>
    </row>
    <row r="6267" spans="24:30" x14ac:dyDescent="0.25">
      <c r="X6267" s="8" t="e">
        <f>IF(Final_Sans_VGE[[#This Row],[ppn_z]]="","",IFERROR(
   IF(_xlfn.XLOOKUP(Final_Sans_VGE[[#This Row],[ppn_z]],tbl_Historique_Final[ppn_z],tbl_Historique_Final[date_modif])=Final_Sans_VGE[[#This Row],[date_modif]],
      "Ancien",
      "Modifié"),
   "Nouveau"))</f>
        <v>#VALUE!</v>
      </c>
      <c r="AD6267" s="1" t="str">
        <f>IFERROR(IF(Final_Sans_VGE[[#This Row],[ppn_z]]="","",IFERROR(
   IF(_xlfn.XLOOKUP(Final_Sans_VGE[[#This Row],[ppn_z]],tbl_Historique_Final[[#This Row],[ppn_z]],tbl_Historique_Final[[#This Row],[date_modif]])=Final_Sans_VGE[[#This Row],[date_modif]],
      "Ancien",
      "Modifié"),
   "Nouveau")),"")</f>
        <v/>
      </c>
    </row>
    <row r="6268" spans="24:30" x14ac:dyDescent="0.25">
      <c r="X6268" s="8" t="e">
        <f>IF(Final_Sans_VGE[[#This Row],[ppn_z]]="","",IFERROR(
   IF(_xlfn.XLOOKUP(Final_Sans_VGE[[#This Row],[ppn_z]],tbl_Historique_Final[ppn_z],tbl_Historique_Final[date_modif])=Final_Sans_VGE[[#This Row],[date_modif]],
      "Ancien",
      "Modifié"),
   "Nouveau"))</f>
        <v>#VALUE!</v>
      </c>
      <c r="AD6268" s="1" t="str">
        <f>IFERROR(IF(Final_Sans_VGE[[#This Row],[ppn_z]]="","",IFERROR(
   IF(_xlfn.XLOOKUP(Final_Sans_VGE[[#This Row],[ppn_z]],tbl_Historique_Final[[#This Row],[ppn_z]],tbl_Historique_Final[[#This Row],[date_modif]])=Final_Sans_VGE[[#This Row],[date_modif]],
      "Ancien",
      "Modifié"),
   "Nouveau")),"")</f>
        <v/>
      </c>
    </row>
    <row r="6269" spans="24:30" x14ac:dyDescent="0.25">
      <c r="X6269" s="8" t="e">
        <f>IF(Final_Sans_VGE[[#This Row],[ppn_z]]="","",IFERROR(
   IF(_xlfn.XLOOKUP(Final_Sans_VGE[[#This Row],[ppn_z]],tbl_Historique_Final[ppn_z],tbl_Historique_Final[date_modif])=Final_Sans_VGE[[#This Row],[date_modif]],
      "Ancien",
      "Modifié"),
   "Nouveau"))</f>
        <v>#VALUE!</v>
      </c>
      <c r="AD6269" s="1" t="str">
        <f>IFERROR(IF(Final_Sans_VGE[[#This Row],[ppn_z]]="","",IFERROR(
   IF(_xlfn.XLOOKUP(Final_Sans_VGE[[#This Row],[ppn_z]],tbl_Historique_Final[[#This Row],[ppn_z]],tbl_Historique_Final[[#This Row],[date_modif]])=Final_Sans_VGE[[#This Row],[date_modif]],
      "Ancien",
      "Modifié"),
   "Nouveau")),"")</f>
        <v/>
      </c>
    </row>
    <row r="6270" spans="24:30" x14ac:dyDescent="0.25">
      <c r="X6270" s="8" t="e">
        <f>IF(Final_Sans_VGE[[#This Row],[ppn_z]]="","",IFERROR(
   IF(_xlfn.XLOOKUP(Final_Sans_VGE[[#This Row],[ppn_z]],tbl_Historique_Final[ppn_z],tbl_Historique_Final[date_modif])=Final_Sans_VGE[[#This Row],[date_modif]],
      "Ancien",
      "Modifié"),
   "Nouveau"))</f>
        <v>#VALUE!</v>
      </c>
      <c r="AD6270" s="1" t="str">
        <f>IFERROR(IF(Final_Sans_VGE[[#This Row],[ppn_z]]="","",IFERROR(
   IF(_xlfn.XLOOKUP(Final_Sans_VGE[[#This Row],[ppn_z]],tbl_Historique_Final[[#This Row],[ppn_z]],tbl_Historique_Final[[#This Row],[date_modif]])=Final_Sans_VGE[[#This Row],[date_modif]],
      "Ancien",
      "Modifié"),
   "Nouveau")),"")</f>
        <v/>
      </c>
    </row>
    <row r="6271" spans="24:30" x14ac:dyDescent="0.25">
      <c r="X6271" s="8" t="e">
        <f>IF(Final_Sans_VGE[[#This Row],[ppn_z]]="","",IFERROR(
   IF(_xlfn.XLOOKUP(Final_Sans_VGE[[#This Row],[ppn_z]],tbl_Historique_Final[ppn_z],tbl_Historique_Final[date_modif])=Final_Sans_VGE[[#This Row],[date_modif]],
      "Ancien",
      "Modifié"),
   "Nouveau"))</f>
        <v>#VALUE!</v>
      </c>
      <c r="AD6271" s="1" t="str">
        <f>IFERROR(IF(Final_Sans_VGE[[#This Row],[ppn_z]]="","",IFERROR(
   IF(_xlfn.XLOOKUP(Final_Sans_VGE[[#This Row],[ppn_z]],tbl_Historique_Final[[#This Row],[ppn_z]],tbl_Historique_Final[[#This Row],[date_modif]])=Final_Sans_VGE[[#This Row],[date_modif]],
      "Ancien",
      "Modifié"),
   "Nouveau")),"")</f>
        <v/>
      </c>
    </row>
    <row r="6272" spans="24:30" x14ac:dyDescent="0.25">
      <c r="X6272" s="8" t="e">
        <f>IF(Final_Sans_VGE[[#This Row],[ppn_z]]="","",IFERROR(
   IF(_xlfn.XLOOKUP(Final_Sans_VGE[[#This Row],[ppn_z]],tbl_Historique_Final[ppn_z],tbl_Historique_Final[date_modif])=Final_Sans_VGE[[#This Row],[date_modif]],
      "Ancien",
      "Modifié"),
   "Nouveau"))</f>
        <v>#VALUE!</v>
      </c>
      <c r="AD6272" s="1" t="str">
        <f>IFERROR(IF(Final_Sans_VGE[[#This Row],[ppn_z]]="","",IFERROR(
   IF(_xlfn.XLOOKUP(Final_Sans_VGE[[#This Row],[ppn_z]],tbl_Historique_Final[[#This Row],[ppn_z]],tbl_Historique_Final[[#This Row],[date_modif]])=Final_Sans_VGE[[#This Row],[date_modif]],
      "Ancien",
      "Modifié"),
   "Nouveau")),"")</f>
        <v/>
      </c>
    </row>
    <row r="6273" spans="24:30" x14ac:dyDescent="0.25">
      <c r="X6273" s="8" t="e">
        <f>IF(Final_Sans_VGE[[#This Row],[ppn_z]]="","",IFERROR(
   IF(_xlfn.XLOOKUP(Final_Sans_VGE[[#This Row],[ppn_z]],tbl_Historique_Final[ppn_z],tbl_Historique_Final[date_modif])=Final_Sans_VGE[[#This Row],[date_modif]],
      "Ancien",
      "Modifié"),
   "Nouveau"))</f>
        <v>#VALUE!</v>
      </c>
      <c r="AD6273" s="1" t="str">
        <f>IFERROR(IF(Final_Sans_VGE[[#This Row],[ppn_z]]="","",IFERROR(
   IF(_xlfn.XLOOKUP(Final_Sans_VGE[[#This Row],[ppn_z]],tbl_Historique_Final[[#This Row],[ppn_z]],tbl_Historique_Final[[#This Row],[date_modif]])=Final_Sans_VGE[[#This Row],[date_modif]],
      "Ancien",
      "Modifié"),
   "Nouveau")),"")</f>
        <v/>
      </c>
    </row>
    <row r="6274" spans="24:30" x14ac:dyDescent="0.25">
      <c r="X6274" s="8" t="e">
        <f>IF(Final_Sans_VGE[[#This Row],[ppn_z]]="","",IFERROR(
   IF(_xlfn.XLOOKUP(Final_Sans_VGE[[#This Row],[ppn_z]],tbl_Historique_Final[ppn_z],tbl_Historique_Final[date_modif])=Final_Sans_VGE[[#This Row],[date_modif]],
      "Ancien",
      "Modifié"),
   "Nouveau"))</f>
        <v>#VALUE!</v>
      </c>
      <c r="AD6274" s="1" t="str">
        <f>IFERROR(IF(Final_Sans_VGE[[#This Row],[ppn_z]]="","",IFERROR(
   IF(_xlfn.XLOOKUP(Final_Sans_VGE[[#This Row],[ppn_z]],tbl_Historique_Final[[#This Row],[ppn_z]],tbl_Historique_Final[[#This Row],[date_modif]])=Final_Sans_VGE[[#This Row],[date_modif]],
      "Ancien",
      "Modifié"),
   "Nouveau")),"")</f>
        <v/>
      </c>
    </row>
    <row r="6275" spans="24:30" x14ac:dyDescent="0.25">
      <c r="X6275" s="8" t="e">
        <f>IF(Final_Sans_VGE[[#This Row],[ppn_z]]="","",IFERROR(
   IF(_xlfn.XLOOKUP(Final_Sans_VGE[[#This Row],[ppn_z]],tbl_Historique_Final[ppn_z],tbl_Historique_Final[date_modif])=Final_Sans_VGE[[#This Row],[date_modif]],
      "Ancien",
      "Modifié"),
   "Nouveau"))</f>
        <v>#VALUE!</v>
      </c>
      <c r="AD6275" s="1" t="str">
        <f>IFERROR(IF(Final_Sans_VGE[[#This Row],[ppn_z]]="","",IFERROR(
   IF(_xlfn.XLOOKUP(Final_Sans_VGE[[#This Row],[ppn_z]],tbl_Historique_Final[[#This Row],[ppn_z]],tbl_Historique_Final[[#This Row],[date_modif]])=Final_Sans_VGE[[#This Row],[date_modif]],
      "Ancien",
      "Modifié"),
   "Nouveau")),"")</f>
        <v/>
      </c>
    </row>
    <row r="6276" spans="24:30" x14ac:dyDescent="0.25">
      <c r="X6276" s="8" t="e">
        <f>IF(Final_Sans_VGE[[#This Row],[ppn_z]]="","",IFERROR(
   IF(_xlfn.XLOOKUP(Final_Sans_VGE[[#This Row],[ppn_z]],tbl_Historique_Final[ppn_z],tbl_Historique_Final[date_modif])=Final_Sans_VGE[[#This Row],[date_modif]],
      "Ancien",
      "Modifié"),
   "Nouveau"))</f>
        <v>#VALUE!</v>
      </c>
      <c r="AD6276" s="1" t="str">
        <f>IFERROR(IF(Final_Sans_VGE[[#This Row],[ppn_z]]="","",IFERROR(
   IF(_xlfn.XLOOKUP(Final_Sans_VGE[[#This Row],[ppn_z]],tbl_Historique_Final[[#This Row],[ppn_z]],tbl_Historique_Final[[#This Row],[date_modif]])=Final_Sans_VGE[[#This Row],[date_modif]],
      "Ancien",
      "Modifié"),
   "Nouveau")),"")</f>
        <v/>
      </c>
    </row>
    <row r="6277" spans="24:30" x14ac:dyDescent="0.25">
      <c r="X6277" s="8" t="e">
        <f>IF(Final_Sans_VGE[[#This Row],[ppn_z]]="","",IFERROR(
   IF(_xlfn.XLOOKUP(Final_Sans_VGE[[#This Row],[ppn_z]],tbl_Historique_Final[ppn_z],tbl_Historique_Final[date_modif])=Final_Sans_VGE[[#This Row],[date_modif]],
      "Ancien",
      "Modifié"),
   "Nouveau"))</f>
        <v>#VALUE!</v>
      </c>
      <c r="AD6277" s="1" t="str">
        <f>IFERROR(IF(Final_Sans_VGE[[#This Row],[ppn_z]]="","",IFERROR(
   IF(_xlfn.XLOOKUP(Final_Sans_VGE[[#This Row],[ppn_z]],tbl_Historique_Final[[#This Row],[ppn_z]],tbl_Historique_Final[[#This Row],[date_modif]])=Final_Sans_VGE[[#This Row],[date_modif]],
      "Ancien",
      "Modifié"),
   "Nouveau")),"")</f>
        <v/>
      </c>
    </row>
    <row r="6278" spans="24:30" x14ac:dyDescent="0.25">
      <c r="X6278" s="8" t="e">
        <f>IF(Final_Sans_VGE[[#This Row],[ppn_z]]="","",IFERROR(
   IF(_xlfn.XLOOKUP(Final_Sans_VGE[[#This Row],[ppn_z]],tbl_Historique_Final[ppn_z],tbl_Historique_Final[date_modif])=Final_Sans_VGE[[#This Row],[date_modif]],
      "Ancien",
      "Modifié"),
   "Nouveau"))</f>
        <v>#VALUE!</v>
      </c>
      <c r="AD6278" s="1" t="str">
        <f>IFERROR(IF(Final_Sans_VGE[[#This Row],[ppn_z]]="","",IFERROR(
   IF(_xlfn.XLOOKUP(Final_Sans_VGE[[#This Row],[ppn_z]],tbl_Historique_Final[[#This Row],[ppn_z]],tbl_Historique_Final[[#This Row],[date_modif]])=Final_Sans_VGE[[#This Row],[date_modif]],
      "Ancien",
      "Modifié"),
   "Nouveau")),"")</f>
        <v/>
      </c>
    </row>
    <row r="6279" spans="24:30" x14ac:dyDescent="0.25">
      <c r="X6279" s="8" t="e">
        <f>IF(Final_Sans_VGE[[#This Row],[ppn_z]]="","",IFERROR(
   IF(_xlfn.XLOOKUP(Final_Sans_VGE[[#This Row],[ppn_z]],tbl_Historique_Final[ppn_z],tbl_Historique_Final[date_modif])=Final_Sans_VGE[[#This Row],[date_modif]],
      "Ancien",
      "Modifié"),
   "Nouveau"))</f>
        <v>#VALUE!</v>
      </c>
      <c r="AD6279" s="1" t="str">
        <f>IFERROR(IF(Final_Sans_VGE[[#This Row],[ppn_z]]="","",IFERROR(
   IF(_xlfn.XLOOKUP(Final_Sans_VGE[[#This Row],[ppn_z]],tbl_Historique_Final[[#This Row],[ppn_z]],tbl_Historique_Final[[#This Row],[date_modif]])=Final_Sans_VGE[[#This Row],[date_modif]],
      "Ancien",
      "Modifié"),
   "Nouveau")),"")</f>
        <v/>
      </c>
    </row>
    <row r="6280" spans="24:30" x14ac:dyDescent="0.25">
      <c r="X6280" s="8" t="e">
        <f>IF(Final_Sans_VGE[[#This Row],[ppn_z]]="","",IFERROR(
   IF(_xlfn.XLOOKUP(Final_Sans_VGE[[#This Row],[ppn_z]],tbl_Historique_Final[ppn_z],tbl_Historique_Final[date_modif])=Final_Sans_VGE[[#This Row],[date_modif]],
      "Ancien",
      "Modifié"),
   "Nouveau"))</f>
        <v>#VALUE!</v>
      </c>
      <c r="AD6280" s="1" t="str">
        <f>IFERROR(IF(Final_Sans_VGE[[#This Row],[ppn_z]]="","",IFERROR(
   IF(_xlfn.XLOOKUP(Final_Sans_VGE[[#This Row],[ppn_z]],tbl_Historique_Final[[#This Row],[ppn_z]],tbl_Historique_Final[[#This Row],[date_modif]])=Final_Sans_VGE[[#This Row],[date_modif]],
      "Ancien",
      "Modifié"),
   "Nouveau")),"")</f>
        <v/>
      </c>
    </row>
    <row r="6281" spans="24:30" x14ac:dyDescent="0.25">
      <c r="X6281" s="8" t="e">
        <f>IF(Final_Sans_VGE[[#This Row],[ppn_z]]="","",IFERROR(
   IF(_xlfn.XLOOKUP(Final_Sans_VGE[[#This Row],[ppn_z]],tbl_Historique_Final[ppn_z],tbl_Historique_Final[date_modif])=Final_Sans_VGE[[#This Row],[date_modif]],
      "Ancien",
      "Modifié"),
   "Nouveau"))</f>
        <v>#VALUE!</v>
      </c>
      <c r="AD6281" s="1" t="str">
        <f>IFERROR(IF(Final_Sans_VGE[[#This Row],[ppn_z]]="","",IFERROR(
   IF(_xlfn.XLOOKUP(Final_Sans_VGE[[#This Row],[ppn_z]],tbl_Historique_Final[[#This Row],[ppn_z]],tbl_Historique_Final[[#This Row],[date_modif]])=Final_Sans_VGE[[#This Row],[date_modif]],
      "Ancien",
      "Modifié"),
   "Nouveau")),"")</f>
        <v/>
      </c>
    </row>
    <row r="6282" spans="24:30" x14ac:dyDescent="0.25">
      <c r="X6282" s="8" t="e">
        <f>IF(Final_Sans_VGE[[#This Row],[ppn_z]]="","",IFERROR(
   IF(_xlfn.XLOOKUP(Final_Sans_VGE[[#This Row],[ppn_z]],tbl_Historique_Final[ppn_z],tbl_Historique_Final[date_modif])=Final_Sans_VGE[[#This Row],[date_modif]],
      "Ancien",
      "Modifié"),
   "Nouveau"))</f>
        <v>#VALUE!</v>
      </c>
      <c r="AD6282" s="1" t="str">
        <f>IFERROR(IF(Final_Sans_VGE[[#This Row],[ppn_z]]="","",IFERROR(
   IF(_xlfn.XLOOKUP(Final_Sans_VGE[[#This Row],[ppn_z]],tbl_Historique_Final[[#This Row],[ppn_z]],tbl_Historique_Final[[#This Row],[date_modif]])=Final_Sans_VGE[[#This Row],[date_modif]],
      "Ancien",
      "Modifié"),
   "Nouveau")),"")</f>
        <v/>
      </c>
    </row>
    <row r="6283" spans="24:30" x14ac:dyDescent="0.25">
      <c r="X6283" s="8" t="e">
        <f>IF(Final_Sans_VGE[[#This Row],[ppn_z]]="","",IFERROR(
   IF(_xlfn.XLOOKUP(Final_Sans_VGE[[#This Row],[ppn_z]],tbl_Historique_Final[ppn_z],tbl_Historique_Final[date_modif])=Final_Sans_VGE[[#This Row],[date_modif]],
      "Ancien",
      "Modifié"),
   "Nouveau"))</f>
        <v>#VALUE!</v>
      </c>
      <c r="AD6283" s="1" t="str">
        <f>IFERROR(IF(Final_Sans_VGE[[#This Row],[ppn_z]]="","",IFERROR(
   IF(_xlfn.XLOOKUP(Final_Sans_VGE[[#This Row],[ppn_z]],tbl_Historique_Final[[#This Row],[ppn_z]],tbl_Historique_Final[[#This Row],[date_modif]])=Final_Sans_VGE[[#This Row],[date_modif]],
      "Ancien",
      "Modifié"),
   "Nouveau")),"")</f>
        <v/>
      </c>
    </row>
    <row r="6284" spans="24:30" x14ac:dyDescent="0.25">
      <c r="X6284" s="8" t="e">
        <f>IF(Final_Sans_VGE[[#This Row],[ppn_z]]="","",IFERROR(
   IF(_xlfn.XLOOKUP(Final_Sans_VGE[[#This Row],[ppn_z]],tbl_Historique_Final[ppn_z],tbl_Historique_Final[date_modif])=Final_Sans_VGE[[#This Row],[date_modif]],
      "Ancien",
      "Modifié"),
   "Nouveau"))</f>
        <v>#VALUE!</v>
      </c>
      <c r="AD6284" s="1" t="str">
        <f>IFERROR(IF(Final_Sans_VGE[[#This Row],[ppn_z]]="","",IFERROR(
   IF(_xlfn.XLOOKUP(Final_Sans_VGE[[#This Row],[ppn_z]],tbl_Historique_Final[[#This Row],[ppn_z]],tbl_Historique_Final[[#This Row],[date_modif]])=Final_Sans_VGE[[#This Row],[date_modif]],
      "Ancien",
      "Modifié"),
   "Nouveau")),"")</f>
        <v/>
      </c>
    </row>
    <row r="6285" spans="24:30" x14ac:dyDescent="0.25">
      <c r="X6285" s="8" t="e">
        <f>IF(Final_Sans_VGE[[#This Row],[ppn_z]]="","",IFERROR(
   IF(_xlfn.XLOOKUP(Final_Sans_VGE[[#This Row],[ppn_z]],tbl_Historique_Final[ppn_z],tbl_Historique_Final[date_modif])=Final_Sans_VGE[[#This Row],[date_modif]],
      "Ancien",
      "Modifié"),
   "Nouveau"))</f>
        <v>#VALUE!</v>
      </c>
      <c r="AD6285" s="1" t="str">
        <f>IFERROR(IF(Final_Sans_VGE[[#This Row],[ppn_z]]="","",IFERROR(
   IF(_xlfn.XLOOKUP(Final_Sans_VGE[[#This Row],[ppn_z]],tbl_Historique_Final[[#This Row],[ppn_z]],tbl_Historique_Final[[#This Row],[date_modif]])=Final_Sans_VGE[[#This Row],[date_modif]],
      "Ancien",
      "Modifié"),
   "Nouveau")),"")</f>
        <v/>
      </c>
    </row>
    <row r="6286" spans="24:30" x14ac:dyDescent="0.25">
      <c r="X6286" s="8" t="e">
        <f>IF(Final_Sans_VGE[[#This Row],[ppn_z]]="","",IFERROR(
   IF(_xlfn.XLOOKUP(Final_Sans_VGE[[#This Row],[ppn_z]],tbl_Historique_Final[ppn_z],tbl_Historique_Final[date_modif])=Final_Sans_VGE[[#This Row],[date_modif]],
      "Ancien",
      "Modifié"),
   "Nouveau"))</f>
        <v>#VALUE!</v>
      </c>
      <c r="AD6286" s="1" t="str">
        <f>IFERROR(IF(Final_Sans_VGE[[#This Row],[ppn_z]]="","",IFERROR(
   IF(_xlfn.XLOOKUP(Final_Sans_VGE[[#This Row],[ppn_z]],tbl_Historique_Final[[#This Row],[ppn_z]],tbl_Historique_Final[[#This Row],[date_modif]])=Final_Sans_VGE[[#This Row],[date_modif]],
      "Ancien",
      "Modifié"),
   "Nouveau")),"")</f>
        <v/>
      </c>
    </row>
    <row r="6287" spans="24:30" x14ac:dyDescent="0.25">
      <c r="X6287" s="8" t="e">
        <f>IF(Final_Sans_VGE[[#This Row],[ppn_z]]="","",IFERROR(
   IF(_xlfn.XLOOKUP(Final_Sans_VGE[[#This Row],[ppn_z]],tbl_Historique_Final[ppn_z],tbl_Historique_Final[date_modif])=Final_Sans_VGE[[#This Row],[date_modif]],
      "Ancien",
      "Modifié"),
   "Nouveau"))</f>
        <v>#VALUE!</v>
      </c>
      <c r="AD6287" s="1" t="str">
        <f>IFERROR(IF(Final_Sans_VGE[[#This Row],[ppn_z]]="","",IFERROR(
   IF(_xlfn.XLOOKUP(Final_Sans_VGE[[#This Row],[ppn_z]],tbl_Historique_Final[[#This Row],[ppn_z]],tbl_Historique_Final[[#This Row],[date_modif]])=Final_Sans_VGE[[#This Row],[date_modif]],
      "Ancien",
      "Modifié"),
   "Nouveau")),"")</f>
        <v/>
      </c>
    </row>
    <row r="6288" spans="24:30" x14ac:dyDescent="0.25">
      <c r="X6288" s="8" t="e">
        <f>IF(Final_Sans_VGE[[#This Row],[ppn_z]]="","",IFERROR(
   IF(_xlfn.XLOOKUP(Final_Sans_VGE[[#This Row],[ppn_z]],tbl_Historique_Final[ppn_z],tbl_Historique_Final[date_modif])=Final_Sans_VGE[[#This Row],[date_modif]],
      "Ancien",
      "Modifié"),
   "Nouveau"))</f>
        <v>#VALUE!</v>
      </c>
      <c r="AD6288" s="1" t="str">
        <f>IFERROR(IF(Final_Sans_VGE[[#This Row],[ppn_z]]="","",IFERROR(
   IF(_xlfn.XLOOKUP(Final_Sans_VGE[[#This Row],[ppn_z]],tbl_Historique_Final[[#This Row],[ppn_z]],tbl_Historique_Final[[#This Row],[date_modif]])=Final_Sans_VGE[[#This Row],[date_modif]],
      "Ancien",
      "Modifié"),
   "Nouveau")),"")</f>
        <v/>
      </c>
    </row>
    <row r="6289" spans="24:30" x14ac:dyDescent="0.25">
      <c r="X6289" s="8" t="e">
        <f>IF(Final_Sans_VGE[[#This Row],[ppn_z]]="","",IFERROR(
   IF(_xlfn.XLOOKUP(Final_Sans_VGE[[#This Row],[ppn_z]],tbl_Historique_Final[ppn_z],tbl_Historique_Final[date_modif])=Final_Sans_VGE[[#This Row],[date_modif]],
      "Ancien",
      "Modifié"),
   "Nouveau"))</f>
        <v>#VALUE!</v>
      </c>
      <c r="AD6289" s="1" t="str">
        <f>IFERROR(IF(Final_Sans_VGE[[#This Row],[ppn_z]]="","",IFERROR(
   IF(_xlfn.XLOOKUP(Final_Sans_VGE[[#This Row],[ppn_z]],tbl_Historique_Final[[#This Row],[ppn_z]],tbl_Historique_Final[[#This Row],[date_modif]])=Final_Sans_VGE[[#This Row],[date_modif]],
      "Ancien",
      "Modifié"),
   "Nouveau")),"")</f>
        <v/>
      </c>
    </row>
    <row r="6290" spans="24:30" x14ac:dyDescent="0.25">
      <c r="X6290" s="8" t="e">
        <f>IF(Final_Sans_VGE[[#This Row],[ppn_z]]="","",IFERROR(
   IF(_xlfn.XLOOKUP(Final_Sans_VGE[[#This Row],[ppn_z]],tbl_Historique_Final[ppn_z],tbl_Historique_Final[date_modif])=Final_Sans_VGE[[#This Row],[date_modif]],
      "Ancien",
      "Modifié"),
   "Nouveau"))</f>
        <v>#VALUE!</v>
      </c>
      <c r="AD6290" s="1" t="str">
        <f>IFERROR(IF(Final_Sans_VGE[[#This Row],[ppn_z]]="","",IFERROR(
   IF(_xlfn.XLOOKUP(Final_Sans_VGE[[#This Row],[ppn_z]],tbl_Historique_Final[[#This Row],[ppn_z]],tbl_Historique_Final[[#This Row],[date_modif]])=Final_Sans_VGE[[#This Row],[date_modif]],
      "Ancien",
      "Modifié"),
   "Nouveau")),"")</f>
        <v/>
      </c>
    </row>
    <row r="6291" spans="24:30" x14ac:dyDescent="0.25">
      <c r="X6291" s="8" t="e">
        <f>IF(Final_Sans_VGE[[#This Row],[ppn_z]]="","",IFERROR(
   IF(_xlfn.XLOOKUP(Final_Sans_VGE[[#This Row],[ppn_z]],tbl_Historique_Final[ppn_z],tbl_Historique_Final[date_modif])=Final_Sans_VGE[[#This Row],[date_modif]],
      "Ancien",
      "Modifié"),
   "Nouveau"))</f>
        <v>#VALUE!</v>
      </c>
      <c r="AD6291" s="1" t="str">
        <f>IFERROR(IF(Final_Sans_VGE[[#This Row],[ppn_z]]="","",IFERROR(
   IF(_xlfn.XLOOKUP(Final_Sans_VGE[[#This Row],[ppn_z]],tbl_Historique_Final[[#This Row],[ppn_z]],tbl_Historique_Final[[#This Row],[date_modif]])=Final_Sans_VGE[[#This Row],[date_modif]],
      "Ancien",
      "Modifié"),
   "Nouveau")),"")</f>
        <v/>
      </c>
    </row>
    <row r="6292" spans="24:30" x14ac:dyDescent="0.25">
      <c r="X6292" s="8" t="e">
        <f>IF(Final_Sans_VGE[[#This Row],[ppn_z]]="","",IFERROR(
   IF(_xlfn.XLOOKUP(Final_Sans_VGE[[#This Row],[ppn_z]],tbl_Historique_Final[ppn_z],tbl_Historique_Final[date_modif])=Final_Sans_VGE[[#This Row],[date_modif]],
      "Ancien",
      "Modifié"),
   "Nouveau"))</f>
        <v>#VALUE!</v>
      </c>
      <c r="AD6292" s="1" t="str">
        <f>IFERROR(IF(Final_Sans_VGE[[#This Row],[ppn_z]]="","",IFERROR(
   IF(_xlfn.XLOOKUP(Final_Sans_VGE[[#This Row],[ppn_z]],tbl_Historique_Final[[#This Row],[ppn_z]],tbl_Historique_Final[[#This Row],[date_modif]])=Final_Sans_VGE[[#This Row],[date_modif]],
      "Ancien",
      "Modifié"),
   "Nouveau")),"")</f>
        <v/>
      </c>
    </row>
    <row r="6293" spans="24:30" x14ac:dyDescent="0.25">
      <c r="X6293" s="8" t="e">
        <f>IF(Final_Sans_VGE[[#This Row],[ppn_z]]="","",IFERROR(
   IF(_xlfn.XLOOKUP(Final_Sans_VGE[[#This Row],[ppn_z]],tbl_Historique_Final[ppn_z],tbl_Historique_Final[date_modif])=Final_Sans_VGE[[#This Row],[date_modif]],
      "Ancien",
      "Modifié"),
   "Nouveau"))</f>
        <v>#VALUE!</v>
      </c>
      <c r="AD6293" s="1" t="str">
        <f>IFERROR(IF(Final_Sans_VGE[[#This Row],[ppn_z]]="","",IFERROR(
   IF(_xlfn.XLOOKUP(Final_Sans_VGE[[#This Row],[ppn_z]],tbl_Historique_Final[[#This Row],[ppn_z]],tbl_Historique_Final[[#This Row],[date_modif]])=Final_Sans_VGE[[#This Row],[date_modif]],
      "Ancien",
      "Modifié"),
   "Nouveau")),"")</f>
        <v/>
      </c>
    </row>
    <row r="6294" spans="24:30" x14ac:dyDescent="0.25">
      <c r="X6294" s="8" t="e">
        <f>IF(Final_Sans_VGE[[#This Row],[ppn_z]]="","",IFERROR(
   IF(_xlfn.XLOOKUP(Final_Sans_VGE[[#This Row],[ppn_z]],tbl_Historique_Final[ppn_z],tbl_Historique_Final[date_modif])=Final_Sans_VGE[[#This Row],[date_modif]],
      "Ancien",
      "Modifié"),
   "Nouveau"))</f>
        <v>#VALUE!</v>
      </c>
      <c r="AD6294" s="1" t="str">
        <f>IFERROR(IF(Final_Sans_VGE[[#This Row],[ppn_z]]="","",IFERROR(
   IF(_xlfn.XLOOKUP(Final_Sans_VGE[[#This Row],[ppn_z]],tbl_Historique_Final[[#This Row],[ppn_z]],tbl_Historique_Final[[#This Row],[date_modif]])=Final_Sans_VGE[[#This Row],[date_modif]],
      "Ancien",
      "Modifié"),
   "Nouveau")),"")</f>
        <v/>
      </c>
    </row>
    <row r="6295" spans="24:30" x14ac:dyDescent="0.25">
      <c r="X6295" s="8" t="e">
        <f>IF(Final_Sans_VGE[[#This Row],[ppn_z]]="","",IFERROR(
   IF(_xlfn.XLOOKUP(Final_Sans_VGE[[#This Row],[ppn_z]],tbl_Historique_Final[ppn_z],tbl_Historique_Final[date_modif])=Final_Sans_VGE[[#This Row],[date_modif]],
      "Ancien",
      "Modifié"),
   "Nouveau"))</f>
        <v>#VALUE!</v>
      </c>
      <c r="AD6295" s="1" t="str">
        <f>IFERROR(IF(Final_Sans_VGE[[#This Row],[ppn_z]]="","",IFERROR(
   IF(_xlfn.XLOOKUP(Final_Sans_VGE[[#This Row],[ppn_z]],tbl_Historique_Final[[#This Row],[ppn_z]],tbl_Historique_Final[[#This Row],[date_modif]])=Final_Sans_VGE[[#This Row],[date_modif]],
      "Ancien",
      "Modifié"),
   "Nouveau")),"")</f>
        <v/>
      </c>
    </row>
    <row r="6296" spans="24:30" x14ac:dyDescent="0.25">
      <c r="X6296" s="8" t="e">
        <f>IF(Final_Sans_VGE[[#This Row],[ppn_z]]="","",IFERROR(
   IF(_xlfn.XLOOKUP(Final_Sans_VGE[[#This Row],[ppn_z]],tbl_Historique_Final[ppn_z],tbl_Historique_Final[date_modif])=Final_Sans_VGE[[#This Row],[date_modif]],
      "Ancien",
      "Modifié"),
   "Nouveau"))</f>
        <v>#VALUE!</v>
      </c>
      <c r="AD6296" s="1" t="str">
        <f>IFERROR(IF(Final_Sans_VGE[[#This Row],[ppn_z]]="","",IFERROR(
   IF(_xlfn.XLOOKUP(Final_Sans_VGE[[#This Row],[ppn_z]],tbl_Historique_Final[[#This Row],[ppn_z]],tbl_Historique_Final[[#This Row],[date_modif]])=Final_Sans_VGE[[#This Row],[date_modif]],
      "Ancien",
      "Modifié"),
   "Nouveau")),"")</f>
        <v/>
      </c>
    </row>
    <row r="6297" spans="24:30" x14ac:dyDescent="0.25">
      <c r="X6297" s="8" t="e">
        <f>IF(Final_Sans_VGE[[#This Row],[ppn_z]]="","",IFERROR(
   IF(_xlfn.XLOOKUP(Final_Sans_VGE[[#This Row],[ppn_z]],tbl_Historique_Final[ppn_z],tbl_Historique_Final[date_modif])=Final_Sans_VGE[[#This Row],[date_modif]],
      "Ancien",
      "Modifié"),
   "Nouveau"))</f>
        <v>#VALUE!</v>
      </c>
      <c r="AD6297" s="1" t="str">
        <f>IFERROR(IF(Final_Sans_VGE[[#This Row],[ppn_z]]="","",IFERROR(
   IF(_xlfn.XLOOKUP(Final_Sans_VGE[[#This Row],[ppn_z]],tbl_Historique_Final[[#This Row],[ppn_z]],tbl_Historique_Final[[#This Row],[date_modif]])=Final_Sans_VGE[[#This Row],[date_modif]],
      "Ancien",
      "Modifié"),
   "Nouveau")),"")</f>
        <v/>
      </c>
    </row>
    <row r="6298" spans="24:30" x14ac:dyDescent="0.25">
      <c r="X6298" s="8" t="e">
        <f>IF(Final_Sans_VGE[[#This Row],[ppn_z]]="","",IFERROR(
   IF(_xlfn.XLOOKUP(Final_Sans_VGE[[#This Row],[ppn_z]],tbl_Historique_Final[ppn_z],tbl_Historique_Final[date_modif])=Final_Sans_VGE[[#This Row],[date_modif]],
      "Ancien",
      "Modifié"),
   "Nouveau"))</f>
        <v>#VALUE!</v>
      </c>
      <c r="AD6298" s="1" t="str">
        <f>IFERROR(IF(Final_Sans_VGE[[#This Row],[ppn_z]]="","",IFERROR(
   IF(_xlfn.XLOOKUP(Final_Sans_VGE[[#This Row],[ppn_z]],tbl_Historique_Final[[#This Row],[ppn_z]],tbl_Historique_Final[[#This Row],[date_modif]])=Final_Sans_VGE[[#This Row],[date_modif]],
      "Ancien",
      "Modifié"),
   "Nouveau")),"")</f>
        <v/>
      </c>
    </row>
    <row r="6299" spans="24:30" x14ac:dyDescent="0.25">
      <c r="X6299" s="8" t="e">
        <f>IF(Final_Sans_VGE[[#This Row],[ppn_z]]="","",IFERROR(
   IF(_xlfn.XLOOKUP(Final_Sans_VGE[[#This Row],[ppn_z]],tbl_Historique_Final[ppn_z],tbl_Historique_Final[date_modif])=Final_Sans_VGE[[#This Row],[date_modif]],
      "Ancien",
      "Modifié"),
   "Nouveau"))</f>
        <v>#VALUE!</v>
      </c>
      <c r="AD6299" s="1" t="str">
        <f>IFERROR(IF(Final_Sans_VGE[[#This Row],[ppn_z]]="","",IFERROR(
   IF(_xlfn.XLOOKUP(Final_Sans_VGE[[#This Row],[ppn_z]],tbl_Historique_Final[[#This Row],[ppn_z]],tbl_Historique_Final[[#This Row],[date_modif]])=Final_Sans_VGE[[#This Row],[date_modif]],
      "Ancien",
      "Modifié"),
   "Nouveau")),"")</f>
        <v/>
      </c>
    </row>
    <row r="6300" spans="24:30" x14ac:dyDescent="0.25">
      <c r="X6300" s="8" t="e">
        <f>IF(Final_Sans_VGE[[#This Row],[ppn_z]]="","",IFERROR(
   IF(_xlfn.XLOOKUP(Final_Sans_VGE[[#This Row],[ppn_z]],tbl_Historique_Final[ppn_z],tbl_Historique_Final[date_modif])=Final_Sans_VGE[[#This Row],[date_modif]],
      "Ancien",
      "Modifié"),
   "Nouveau"))</f>
        <v>#VALUE!</v>
      </c>
      <c r="AD6300" s="1" t="str">
        <f>IFERROR(IF(Final_Sans_VGE[[#This Row],[ppn_z]]="","",IFERROR(
   IF(_xlfn.XLOOKUP(Final_Sans_VGE[[#This Row],[ppn_z]],tbl_Historique_Final[[#This Row],[ppn_z]],tbl_Historique_Final[[#This Row],[date_modif]])=Final_Sans_VGE[[#This Row],[date_modif]],
      "Ancien",
      "Modifié"),
   "Nouveau")),"")</f>
        <v/>
      </c>
    </row>
    <row r="6301" spans="24:30" x14ac:dyDescent="0.25">
      <c r="X6301" s="8" t="e">
        <f>IF(Final_Sans_VGE[[#This Row],[ppn_z]]="","",IFERROR(
   IF(_xlfn.XLOOKUP(Final_Sans_VGE[[#This Row],[ppn_z]],tbl_Historique_Final[ppn_z],tbl_Historique_Final[date_modif])=Final_Sans_VGE[[#This Row],[date_modif]],
      "Ancien",
      "Modifié"),
   "Nouveau"))</f>
        <v>#VALUE!</v>
      </c>
      <c r="AD6301" s="1" t="str">
        <f>IFERROR(IF(Final_Sans_VGE[[#This Row],[ppn_z]]="","",IFERROR(
   IF(_xlfn.XLOOKUP(Final_Sans_VGE[[#This Row],[ppn_z]],tbl_Historique_Final[[#This Row],[ppn_z]],tbl_Historique_Final[[#This Row],[date_modif]])=Final_Sans_VGE[[#This Row],[date_modif]],
      "Ancien",
      "Modifié"),
   "Nouveau")),"")</f>
        <v/>
      </c>
    </row>
    <row r="6302" spans="24:30" x14ac:dyDescent="0.25">
      <c r="X6302" s="8" t="e">
        <f>IF(Final_Sans_VGE[[#This Row],[ppn_z]]="","",IFERROR(
   IF(_xlfn.XLOOKUP(Final_Sans_VGE[[#This Row],[ppn_z]],tbl_Historique_Final[ppn_z],tbl_Historique_Final[date_modif])=Final_Sans_VGE[[#This Row],[date_modif]],
      "Ancien",
      "Modifié"),
   "Nouveau"))</f>
        <v>#VALUE!</v>
      </c>
      <c r="AD6302" s="1" t="str">
        <f>IFERROR(IF(Final_Sans_VGE[[#This Row],[ppn_z]]="","",IFERROR(
   IF(_xlfn.XLOOKUP(Final_Sans_VGE[[#This Row],[ppn_z]],tbl_Historique_Final[[#This Row],[ppn_z]],tbl_Historique_Final[[#This Row],[date_modif]])=Final_Sans_VGE[[#This Row],[date_modif]],
      "Ancien",
      "Modifié"),
   "Nouveau")),"")</f>
        <v/>
      </c>
    </row>
    <row r="6303" spans="24:30" x14ac:dyDescent="0.25">
      <c r="X6303" s="8" t="e">
        <f>IF(Final_Sans_VGE[[#This Row],[ppn_z]]="","",IFERROR(
   IF(_xlfn.XLOOKUP(Final_Sans_VGE[[#This Row],[ppn_z]],tbl_Historique_Final[ppn_z],tbl_Historique_Final[date_modif])=Final_Sans_VGE[[#This Row],[date_modif]],
      "Ancien",
      "Modifié"),
   "Nouveau"))</f>
        <v>#VALUE!</v>
      </c>
      <c r="AD6303" s="1" t="str">
        <f>IFERROR(IF(Final_Sans_VGE[[#This Row],[ppn_z]]="","",IFERROR(
   IF(_xlfn.XLOOKUP(Final_Sans_VGE[[#This Row],[ppn_z]],tbl_Historique_Final[[#This Row],[ppn_z]],tbl_Historique_Final[[#This Row],[date_modif]])=Final_Sans_VGE[[#This Row],[date_modif]],
      "Ancien",
      "Modifié"),
   "Nouveau")),"")</f>
        <v/>
      </c>
    </row>
    <row r="6304" spans="24:30" x14ac:dyDescent="0.25">
      <c r="X6304" s="8" t="e">
        <f>IF(Final_Sans_VGE[[#This Row],[ppn_z]]="","",IFERROR(
   IF(_xlfn.XLOOKUP(Final_Sans_VGE[[#This Row],[ppn_z]],tbl_Historique_Final[ppn_z],tbl_Historique_Final[date_modif])=Final_Sans_VGE[[#This Row],[date_modif]],
      "Ancien",
      "Modifié"),
   "Nouveau"))</f>
        <v>#VALUE!</v>
      </c>
      <c r="AD6304" s="1" t="str">
        <f>IFERROR(IF(Final_Sans_VGE[[#This Row],[ppn_z]]="","",IFERROR(
   IF(_xlfn.XLOOKUP(Final_Sans_VGE[[#This Row],[ppn_z]],tbl_Historique_Final[[#This Row],[ppn_z]],tbl_Historique_Final[[#This Row],[date_modif]])=Final_Sans_VGE[[#This Row],[date_modif]],
      "Ancien",
      "Modifié"),
   "Nouveau")),"")</f>
        <v/>
      </c>
    </row>
    <row r="6305" spans="24:30" x14ac:dyDescent="0.25">
      <c r="X6305" s="8" t="e">
        <f>IF(Final_Sans_VGE[[#This Row],[ppn_z]]="","",IFERROR(
   IF(_xlfn.XLOOKUP(Final_Sans_VGE[[#This Row],[ppn_z]],tbl_Historique_Final[ppn_z],tbl_Historique_Final[date_modif])=Final_Sans_VGE[[#This Row],[date_modif]],
      "Ancien",
      "Modifié"),
   "Nouveau"))</f>
        <v>#VALUE!</v>
      </c>
      <c r="AD6305" s="1" t="str">
        <f>IFERROR(IF(Final_Sans_VGE[[#This Row],[ppn_z]]="","",IFERROR(
   IF(_xlfn.XLOOKUP(Final_Sans_VGE[[#This Row],[ppn_z]],tbl_Historique_Final[[#This Row],[ppn_z]],tbl_Historique_Final[[#This Row],[date_modif]])=Final_Sans_VGE[[#This Row],[date_modif]],
      "Ancien",
      "Modifié"),
   "Nouveau")),"")</f>
        <v/>
      </c>
    </row>
    <row r="6306" spans="24:30" x14ac:dyDescent="0.25">
      <c r="X6306" s="8" t="e">
        <f>IF(Final_Sans_VGE[[#This Row],[ppn_z]]="","",IFERROR(
   IF(_xlfn.XLOOKUP(Final_Sans_VGE[[#This Row],[ppn_z]],tbl_Historique_Final[ppn_z],tbl_Historique_Final[date_modif])=Final_Sans_VGE[[#This Row],[date_modif]],
      "Ancien",
      "Modifié"),
   "Nouveau"))</f>
        <v>#VALUE!</v>
      </c>
      <c r="AD6306" s="1" t="str">
        <f>IFERROR(IF(Final_Sans_VGE[[#This Row],[ppn_z]]="","",IFERROR(
   IF(_xlfn.XLOOKUP(Final_Sans_VGE[[#This Row],[ppn_z]],tbl_Historique_Final[[#This Row],[ppn_z]],tbl_Historique_Final[[#This Row],[date_modif]])=Final_Sans_VGE[[#This Row],[date_modif]],
      "Ancien",
      "Modifié"),
   "Nouveau")),"")</f>
        <v/>
      </c>
    </row>
    <row r="6307" spans="24:30" x14ac:dyDescent="0.25">
      <c r="X6307" s="8" t="e">
        <f>IF(Final_Sans_VGE[[#This Row],[ppn_z]]="","",IFERROR(
   IF(_xlfn.XLOOKUP(Final_Sans_VGE[[#This Row],[ppn_z]],tbl_Historique_Final[ppn_z],tbl_Historique_Final[date_modif])=Final_Sans_VGE[[#This Row],[date_modif]],
      "Ancien",
      "Modifié"),
   "Nouveau"))</f>
        <v>#VALUE!</v>
      </c>
      <c r="AD6307" s="1" t="str">
        <f>IFERROR(IF(Final_Sans_VGE[[#This Row],[ppn_z]]="","",IFERROR(
   IF(_xlfn.XLOOKUP(Final_Sans_VGE[[#This Row],[ppn_z]],tbl_Historique_Final[[#This Row],[ppn_z]],tbl_Historique_Final[[#This Row],[date_modif]])=Final_Sans_VGE[[#This Row],[date_modif]],
      "Ancien",
      "Modifié"),
   "Nouveau")),"")</f>
        <v/>
      </c>
    </row>
    <row r="6308" spans="24:30" x14ac:dyDescent="0.25">
      <c r="X6308" s="8" t="e">
        <f>IF(Final_Sans_VGE[[#This Row],[ppn_z]]="","",IFERROR(
   IF(_xlfn.XLOOKUP(Final_Sans_VGE[[#This Row],[ppn_z]],tbl_Historique_Final[ppn_z],tbl_Historique_Final[date_modif])=Final_Sans_VGE[[#This Row],[date_modif]],
      "Ancien",
      "Modifié"),
   "Nouveau"))</f>
        <v>#VALUE!</v>
      </c>
      <c r="AD6308" s="1" t="str">
        <f>IFERROR(IF(Final_Sans_VGE[[#This Row],[ppn_z]]="","",IFERROR(
   IF(_xlfn.XLOOKUP(Final_Sans_VGE[[#This Row],[ppn_z]],tbl_Historique_Final[[#This Row],[ppn_z]],tbl_Historique_Final[[#This Row],[date_modif]])=Final_Sans_VGE[[#This Row],[date_modif]],
      "Ancien",
      "Modifié"),
   "Nouveau")),"")</f>
        <v/>
      </c>
    </row>
    <row r="6309" spans="24:30" x14ac:dyDescent="0.25">
      <c r="X6309" s="8" t="e">
        <f>IF(Final_Sans_VGE[[#This Row],[ppn_z]]="","",IFERROR(
   IF(_xlfn.XLOOKUP(Final_Sans_VGE[[#This Row],[ppn_z]],tbl_Historique_Final[ppn_z],tbl_Historique_Final[date_modif])=Final_Sans_VGE[[#This Row],[date_modif]],
      "Ancien",
      "Modifié"),
   "Nouveau"))</f>
        <v>#VALUE!</v>
      </c>
      <c r="AD6309" s="1" t="str">
        <f>IFERROR(IF(Final_Sans_VGE[[#This Row],[ppn_z]]="","",IFERROR(
   IF(_xlfn.XLOOKUP(Final_Sans_VGE[[#This Row],[ppn_z]],tbl_Historique_Final[[#This Row],[ppn_z]],tbl_Historique_Final[[#This Row],[date_modif]])=Final_Sans_VGE[[#This Row],[date_modif]],
      "Ancien",
      "Modifié"),
   "Nouveau")),"")</f>
        <v/>
      </c>
    </row>
    <row r="6310" spans="24:30" x14ac:dyDescent="0.25">
      <c r="X6310" s="8" t="e">
        <f>IF(Final_Sans_VGE[[#This Row],[ppn_z]]="","",IFERROR(
   IF(_xlfn.XLOOKUP(Final_Sans_VGE[[#This Row],[ppn_z]],tbl_Historique_Final[ppn_z],tbl_Historique_Final[date_modif])=Final_Sans_VGE[[#This Row],[date_modif]],
      "Ancien",
      "Modifié"),
   "Nouveau"))</f>
        <v>#VALUE!</v>
      </c>
      <c r="AD6310" s="1" t="str">
        <f>IFERROR(IF(Final_Sans_VGE[[#This Row],[ppn_z]]="","",IFERROR(
   IF(_xlfn.XLOOKUP(Final_Sans_VGE[[#This Row],[ppn_z]],tbl_Historique_Final[[#This Row],[ppn_z]],tbl_Historique_Final[[#This Row],[date_modif]])=Final_Sans_VGE[[#This Row],[date_modif]],
      "Ancien",
      "Modifié"),
   "Nouveau")),"")</f>
        <v/>
      </c>
    </row>
    <row r="6311" spans="24:30" x14ac:dyDescent="0.25">
      <c r="X6311" s="8" t="e">
        <f>IF(Final_Sans_VGE[[#This Row],[ppn_z]]="","",IFERROR(
   IF(_xlfn.XLOOKUP(Final_Sans_VGE[[#This Row],[ppn_z]],tbl_Historique_Final[ppn_z],tbl_Historique_Final[date_modif])=Final_Sans_VGE[[#This Row],[date_modif]],
      "Ancien",
      "Modifié"),
   "Nouveau"))</f>
        <v>#VALUE!</v>
      </c>
      <c r="AD6311" s="1" t="str">
        <f>IFERROR(IF(Final_Sans_VGE[[#This Row],[ppn_z]]="","",IFERROR(
   IF(_xlfn.XLOOKUP(Final_Sans_VGE[[#This Row],[ppn_z]],tbl_Historique_Final[[#This Row],[ppn_z]],tbl_Historique_Final[[#This Row],[date_modif]])=Final_Sans_VGE[[#This Row],[date_modif]],
      "Ancien",
      "Modifié"),
   "Nouveau")),"")</f>
        <v/>
      </c>
    </row>
    <row r="6312" spans="24:30" x14ac:dyDescent="0.25">
      <c r="X6312" s="8" t="e">
        <f>IF(Final_Sans_VGE[[#This Row],[ppn_z]]="","",IFERROR(
   IF(_xlfn.XLOOKUP(Final_Sans_VGE[[#This Row],[ppn_z]],tbl_Historique_Final[ppn_z],tbl_Historique_Final[date_modif])=Final_Sans_VGE[[#This Row],[date_modif]],
      "Ancien",
      "Modifié"),
   "Nouveau"))</f>
        <v>#VALUE!</v>
      </c>
      <c r="AD6312" s="1" t="str">
        <f>IFERROR(IF(Final_Sans_VGE[[#This Row],[ppn_z]]="","",IFERROR(
   IF(_xlfn.XLOOKUP(Final_Sans_VGE[[#This Row],[ppn_z]],tbl_Historique_Final[[#This Row],[ppn_z]],tbl_Historique_Final[[#This Row],[date_modif]])=Final_Sans_VGE[[#This Row],[date_modif]],
      "Ancien",
      "Modifié"),
   "Nouveau")),"")</f>
        <v/>
      </c>
    </row>
    <row r="6313" spans="24:30" x14ac:dyDescent="0.25">
      <c r="X6313" s="8" t="e">
        <f>IF(Final_Sans_VGE[[#This Row],[ppn_z]]="","",IFERROR(
   IF(_xlfn.XLOOKUP(Final_Sans_VGE[[#This Row],[ppn_z]],tbl_Historique_Final[ppn_z],tbl_Historique_Final[date_modif])=Final_Sans_VGE[[#This Row],[date_modif]],
      "Ancien",
      "Modifié"),
   "Nouveau"))</f>
        <v>#VALUE!</v>
      </c>
      <c r="AD6313" s="1" t="str">
        <f>IFERROR(IF(Final_Sans_VGE[[#This Row],[ppn_z]]="","",IFERROR(
   IF(_xlfn.XLOOKUP(Final_Sans_VGE[[#This Row],[ppn_z]],tbl_Historique_Final[[#This Row],[ppn_z]],tbl_Historique_Final[[#This Row],[date_modif]])=Final_Sans_VGE[[#This Row],[date_modif]],
      "Ancien",
      "Modifié"),
   "Nouveau")),"")</f>
        <v/>
      </c>
    </row>
    <row r="6314" spans="24:30" x14ac:dyDescent="0.25">
      <c r="X6314" s="8" t="e">
        <f>IF(Final_Sans_VGE[[#This Row],[ppn_z]]="","",IFERROR(
   IF(_xlfn.XLOOKUP(Final_Sans_VGE[[#This Row],[ppn_z]],tbl_Historique_Final[ppn_z],tbl_Historique_Final[date_modif])=Final_Sans_VGE[[#This Row],[date_modif]],
      "Ancien",
      "Modifié"),
   "Nouveau"))</f>
        <v>#VALUE!</v>
      </c>
      <c r="AD6314" s="1" t="str">
        <f>IFERROR(IF(Final_Sans_VGE[[#This Row],[ppn_z]]="","",IFERROR(
   IF(_xlfn.XLOOKUP(Final_Sans_VGE[[#This Row],[ppn_z]],tbl_Historique_Final[[#This Row],[ppn_z]],tbl_Historique_Final[[#This Row],[date_modif]])=Final_Sans_VGE[[#This Row],[date_modif]],
      "Ancien",
      "Modifié"),
   "Nouveau")),"")</f>
        <v/>
      </c>
    </row>
    <row r="6315" spans="24:30" x14ac:dyDescent="0.25">
      <c r="X6315" s="8" t="e">
        <f>IF(Final_Sans_VGE[[#This Row],[ppn_z]]="","",IFERROR(
   IF(_xlfn.XLOOKUP(Final_Sans_VGE[[#This Row],[ppn_z]],tbl_Historique_Final[ppn_z],tbl_Historique_Final[date_modif])=Final_Sans_VGE[[#This Row],[date_modif]],
      "Ancien",
      "Modifié"),
   "Nouveau"))</f>
        <v>#VALUE!</v>
      </c>
      <c r="AD6315" s="1" t="str">
        <f>IFERROR(IF(Final_Sans_VGE[[#This Row],[ppn_z]]="","",IFERROR(
   IF(_xlfn.XLOOKUP(Final_Sans_VGE[[#This Row],[ppn_z]],tbl_Historique_Final[[#This Row],[ppn_z]],tbl_Historique_Final[[#This Row],[date_modif]])=Final_Sans_VGE[[#This Row],[date_modif]],
      "Ancien",
      "Modifié"),
   "Nouveau")),"")</f>
        <v/>
      </c>
    </row>
    <row r="6316" spans="24:30" x14ac:dyDescent="0.25">
      <c r="X6316" s="8" t="e">
        <f>IF(Final_Sans_VGE[[#This Row],[ppn_z]]="","",IFERROR(
   IF(_xlfn.XLOOKUP(Final_Sans_VGE[[#This Row],[ppn_z]],tbl_Historique_Final[ppn_z],tbl_Historique_Final[date_modif])=Final_Sans_VGE[[#This Row],[date_modif]],
      "Ancien",
      "Modifié"),
   "Nouveau"))</f>
        <v>#VALUE!</v>
      </c>
      <c r="AD6316" s="1" t="str">
        <f>IFERROR(IF(Final_Sans_VGE[[#This Row],[ppn_z]]="","",IFERROR(
   IF(_xlfn.XLOOKUP(Final_Sans_VGE[[#This Row],[ppn_z]],tbl_Historique_Final[[#This Row],[ppn_z]],tbl_Historique_Final[[#This Row],[date_modif]])=Final_Sans_VGE[[#This Row],[date_modif]],
      "Ancien",
      "Modifié"),
   "Nouveau")),"")</f>
        <v/>
      </c>
    </row>
    <row r="6317" spans="24:30" x14ac:dyDescent="0.25">
      <c r="X6317" s="8" t="e">
        <f>IF(Final_Sans_VGE[[#This Row],[ppn_z]]="","",IFERROR(
   IF(_xlfn.XLOOKUP(Final_Sans_VGE[[#This Row],[ppn_z]],tbl_Historique_Final[ppn_z],tbl_Historique_Final[date_modif])=Final_Sans_VGE[[#This Row],[date_modif]],
      "Ancien",
      "Modifié"),
   "Nouveau"))</f>
        <v>#VALUE!</v>
      </c>
      <c r="AD6317" s="1" t="str">
        <f>IFERROR(IF(Final_Sans_VGE[[#This Row],[ppn_z]]="","",IFERROR(
   IF(_xlfn.XLOOKUP(Final_Sans_VGE[[#This Row],[ppn_z]],tbl_Historique_Final[[#This Row],[ppn_z]],tbl_Historique_Final[[#This Row],[date_modif]])=Final_Sans_VGE[[#This Row],[date_modif]],
      "Ancien",
      "Modifié"),
   "Nouveau")),"")</f>
        <v/>
      </c>
    </row>
    <row r="6318" spans="24:30" x14ac:dyDescent="0.25">
      <c r="X6318" s="8" t="e">
        <f>IF(Final_Sans_VGE[[#This Row],[ppn_z]]="","",IFERROR(
   IF(_xlfn.XLOOKUP(Final_Sans_VGE[[#This Row],[ppn_z]],tbl_Historique_Final[ppn_z],tbl_Historique_Final[date_modif])=Final_Sans_VGE[[#This Row],[date_modif]],
      "Ancien",
      "Modifié"),
   "Nouveau"))</f>
        <v>#VALUE!</v>
      </c>
      <c r="AD6318" s="1" t="str">
        <f>IFERROR(IF(Final_Sans_VGE[[#This Row],[ppn_z]]="","",IFERROR(
   IF(_xlfn.XLOOKUP(Final_Sans_VGE[[#This Row],[ppn_z]],tbl_Historique_Final[[#This Row],[ppn_z]],tbl_Historique_Final[[#This Row],[date_modif]])=Final_Sans_VGE[[#This Row],[date_modif]],
      "Ancien",
      "Modifié"),
   "Nouveau")),"")</f>
        <v/>
      </c>
    </row>
    <row r="6319" spans="24:30" x14ac:dyDescent="0.25">
      <c r="X6319" s="8" t="e">
        <f>IF(Final_Sans_VGE[[#This Row],[ppn_z]]="","",IFERROR(
   IF(_xlfn.XLOOKUP(Final_Sans_VGE[[#This Row],[ppn_z]],tbl_Historique_Final[ppn_z],tbl_Historique_Final[date_modif])=Final_Sans_VGE[[#This Row],[date_modif]],
      "Ancien",
      "Modifié"),
   "Nouveau"))</f>
        <v>#VALUE!</v>
      </c>
      <c r="AD6319" s="1" t="str">
        <f>IFERROR(IF(Final_Sans_VGE[[#This Row],[ppn_z]]="","",IFERROR(
   IF(_xlfn.XLOOKUP(Final_Sans_VGE[[#This Row],[ppn_z]],tbl_Historique_Final[[#This Row],[ppn_z]],tbl_Historique_Final[[#This Row],[date_modif]])=Final_Sans_VGE[[#This Row],[date_modif]],
      "Ancien",
      "Modifié"),
   "Nouveau")),"")</f>
        <v/>
      </c>
    </row>
    <row r="6320" spans="24:30" x14ac:dyDescent="0.25">
      <c r="X6320" s="8" t="e">
        <f>IF(Final_Sans_VGE[[#This Row],[ppn_z]]="","",IFERROR(
   IF(_xlfn.XLOOKUP(Final_Sans_VGE[[#This Row],[ppn_z]],tbl_Historique_Final[ppn_z],tbl_Historique_Final[date_modif])=Final_Sans_VGE[[#This Row],[date_modif]],
      "Ancien",
      "Modifié"),
   "Nouveau"))</f>
        <v>#VALUE!</v>
      </c>
      <c r="AD6320" s="1" t="str">
        <f>IFERROR(IF(Final_Sans_VGE[[#This Row],[ppn_z]]="","",IFERROR(
   IF(_xlfn.XLOOKUP(Final_Sans_VGE[[#This Row],[ppn_z]],tbl_Historique_Final[[#This Row],[ppn_z]],tbl_Historique_Final[[#This Row],[date_modif]])=Final_Sans_VGE[[#This Row],[date_modif]],
      "Ancien",
      "Modifié"),
   "Nouveau")),"")</f>
        <v/>
      </c>
    </row>
    <row r="6321" spans="24:30" x14ac:dyDescent="0.25">
      <c r="X6321" s="8" t="e">
        <f>IF(Final_Sans_VGE[[#This Row],[ppn_z]]="","",IFERROR(
   IF(_xlfn.XLOOKUP(Final_Sans_VGE[[#This Row],[ppn_z]],tbl_Historique_Final[ppn_z],tbl_Historique_Final[date_modif])=Final_Sans_VGE[[#This Row],[date_modif]],
      "Ancien",
      "Modifié"),
   "Nouveau"))</f>
        <v>#VALUE!</v>
      </c>
      <c r="AD6321" s="1" t="str">
        <f>IFERROR(IF(Final_Sans_VGE[[#This Row],[ppn_z]]="","",IFERROR(
   IF(_xlfn.XLOOKUP(Final_Sans_VGE[[#This Row],[ppn_z]],tbl_Historique_Final[[#This Row],[ppn_z]],tbl_Historique_Final[[#This Row],[date_modif]])=Final_Sans_VGE[[#This Row],[date_modif]],
      "Ancien",
      "Modifié"),
   "Nouveau")),"")</f>
        <v/>
      </c>
    </row>
    <row r="6322" spans="24:30" x14ac:dyDescent="0.25">
      <c r="X6322" s="8" t="e">
        <f>IF(Final_Sans_VGE[[#This Row],[ppn_z]]="","",IFERROR(
   IF(_xlfn.XLOOKUP(Final_Sans_VGE[[#This Row],[ppn_z]],tbl_Historique_Final[ppn_z],tbl_Historique_Final[date_modif])=Final_Sans_VGE[[#This Row],[date_modif]],
      "Ancien",
      "Modifié"),
   "Nouveau"))</f>
        <v>#VALUE!</v>
      </c>
      <c r="AD6322" s="1" t="str">
        <f>IFERROR(IF(Final_Sans_VGE[[#This Row],[ppn_z]]="","",IFERROR(
   IF(_xlfn.XLOOKUP(Final_Sans_VGE[[#This Row],[ppn_z]],tbl_Historique_Final[[#This Row],[ppn_z]],tbl_Historique_Final[[#This Row],[date_modif]])=Final_Sans_VGE[[#This Row],[date_modif]],
      "Ancien",
      "Modifié"),
   "Nouveau")),"")</f>
        <v/>
      </c>
    </row>
    <row r="6323" spans="24:30" x14ac:dyDescent="0.25">
      <c r="X6323" s="8" t="e">
        <f>IF(Final_Sans_VGE[[#This Row],[ppn_z]]="","",IFERROR(
   IF(_xlfn.XLOOKUP(Final_Sans_VGE[[#This Row],[ppn_z]],tbl_Historique_Final[ppn_z],tbl_Historique_Final[date_modif])=Final_Sans_VGE[[#This Row],[date_modif]],
      "Ancien",
      "Modifié"),
   "Nouveau"))</f>
        <v>#VALUE!</v>
      </c>
      <c r="AD6323" s="1" t="str">
        <f>IFERROR(IF(Final_Sans_VGE[[#This Row],[ppn_z]]="","",IFERROR(
   IF(_xlfn.XLOOKUP(Final_Sans_VGE[[#This Row],[ppn_z]],tbl_Historique_Final[[#This Row],[ppn_z]],tbl_Historique_Final[[#This Row],[date_modif]])=Final_Sans_VGE[[#This Row],[date_modif]],
      "Ancien",
      "Modifié"),
   "Nouveau")),"")</f>
        <v/>
      </c>
    </row>
    <row r="6324" spans="24:30" x14ac:dyDescent="0.25">
      <c r="X6324" s="8" t="e">
        <f>IF(Final_Sans_VGE[[#This Row],[ppn_z]]="","",IFERROR(
   IF(_xlfn.XLOOKUP(Final_Sans_VGE[[#This Row],[ppn_z]],tbl_Historique_Final[ppn_z],tbl_Historique_Final[date_modif])=Final_Sans_VGE[[#This Row],[date_modif]],
      "Ancien",
      "Modifié"),
   "Nouveau"))</f>
        <v>#VALUE!</v>
      </c>
      <c r="AD6324" s="1" t="str">
        <f>IFERROR(IF(Final_Sans_VGE[[#This Row],[ppn_z]]="","",IFERROR(
   IF(_xlfn.XLOOKUP(Final_Sans_VGE[[#This Row],[ppn_z]],tbl_Historique_Final[[#This Row],[ppn_z]],tbl_Historique_Final[[#This Row],[date_modif]])=Final_Sans_VGE[[#This Row],[date_modif]],
      "Ancien",
      "Modifié"),
   "Nouveau")),"")</f>
        <v/>
      </c>
    </row>
    <row r="6325" spans="24:30" x14ac:dyDescent="0.25">
      <c r="X6325" s="8" t="e">
        <f>IF(Final_Sans_VGE[[#This Row],[ppn_z]]="","",IFERROR(
   IF(_xlfn.XLOOKUP(Final_Sans_VGE[[#This Row],[ppn_z]],tbl_Historique_Final[ppn_z],tbl_Historique_Final[date_modif])=Final_Sans_VGE[[#This Row],[date_modif]],
      "Ancien",
      "Modifié"),
   "Nouveau"))</f>
        <v>#VALUE!</v>
      </c>
      <c r="AD6325" s="1" t="str">
        <f>IFERROR(IF(Final_Sans_VGE[[#This Row],[ppn_z]]="","",IFERROR(
   IF(_xlfn.XLOOKUP(Final_Sans_VGE[[#This Row],[ppn_z]],tbl_Historique_Final[[#This Row],[ppn_z]],tbl_Historique_Final[[#This Row],[date_modif]])=Final_Sans_VGE[[#This Row],[date_modif]],
      "Ancien",
      "Modifié"),
   "Nouveau")),"")</f>
        <v/>
      </c>
    </row>
    <row r="6326" spans="24:30" x14ac:dyDescent="0.25">
      <c r="X6326" s="8" t="e">
        <f>IF(Final_Sans_VGE[[#This Row],[ppn_z]]="","",IFERROR(
   IF(_xlfn.XLOOKUP(Final_Sans_VGE[[#This Row],[ppn_z]],tbl_Historique_Final[ppn_z],tbl_Historique_Final[date_modif])=Final_Sans_VGE[[#This Row],[date_modif]],
      "Ancien",
      "Modifié"),
   "Nouveau"))</f>
        <v>#VALUE!</v>
      </c>
      <c r="AD6326" s="1" t="str">
        <f>IFERROR(IF(Final_Sans_VGE[[#This Row],[ppn_z]]="","",IFERROR(
   IF(_xlfn.XLOOKUP(Final_Sans_VGE[[#This Row],[ppn_z]],tbl_Historique_Final[[#This Row],[ppn_z]],tbl_Historique_Final[[#This Row],[date_modif]])=Final_Sans_VGE[[#This Row],[date_modif]],
      "Ancien",
      "Modifié"),
   "Nouveau")),"")</f>
        <v/>
      </c>
    </row>
    <row r="6327" spans="24:30" x14ac:dyDescent="0.25">
      <c r="X6327" s="8" t="e">
        <f>IF(Final_Sans_VGE[[#This Row],[ppn_z]]="","",IFERROR(
   IF(_xlfn.XLOOKUP(Final_Sans_VGE[[#This Row],[ppn_z]],tbl_Historique_Final[ppn_z],tbl_Historique_Final[date_modif])=Final_Sans_VGE[[#This Row],[date_modif]],
      "Ancien",
      "Modifié"),
   "Nouveau"))</f>
        <v>#VALUE!</v>
      </c>
      <c r="AD6327" s="1" t="str">
        <f>IFERROR(IF(Final_Sans_VGE[[#This Row],[ppn_z]]="","",IFERROR(
   IF(_xlfn.XLOOKUP(Final_Sans_VGE[[#This Row],[ppn_z]],tbl_Historique_Final[[#This Row],[ppn_z]],tbl_Historique_Final[[#This Row],[date_modif]])=Final_Sans_VGE[[#This Row],[date_modif]],
      "Ancien",
      "Modifié"),
   "Nouveau")),"")</f>
        <v/>
      </c>
    </row>
    <row r="6328" spans="24:30" x14ac:dyDescent="0.25">
      <c r="X6328" s="8" t="e">
        <f>IF(Final_Sans_VGE[[#This Row],[ppn_z]]="","",IFERROR(
   IF(_xlfn.XLOOKUP(Final_Sans_VGE[[#This Row],[ppn_z]],tbl_Historique_Final[ppn_z],tbl_Historique_Final[date_modif])=Final_Sans_VGE[[#This Row],[date_modif]],
      "Ancien",
      "Modifié"),
   "Nouveau"))</f>
        <v>#VALUE!</v>
      </c>
      <c r="AD6328" s="1" t="str">
        <f>IFERROR(IF(Final_Sans_VGE[[#This Row],[ppn_z]]="","",IFERROR(
   IF(_xlfn.XLOOKUP(Final_Sans_VGE[[#This Row],[ppn_z]],tbl_Historique_Final[[#This Row],[ppn_z]],tbl_Historique_Final[[#This Row],[date_modif]])=Final_Sans_VGE[[#This Row],[date_modif]],
      "Ancien",
      "Modifié"),
   "Nouveau")),"")</f>
        <v/>
      </c>
    </row>
    <row r="6329" spans="24:30" x14ac:dyDescent="0.25">
      <c r="X6329" s="8" t="e">
        <f>IF(Final_Sans_VGE[[#This Row],[ppn_z]]="","",IFERROR(
   IF(_xlfn.XLOOKUP(Final_Sans_VGE[[#This Row],[ppn_z]],tbl_Historique_Final[ppn_z],tbl_Historique_Final[date_modif])=Final_Sans_VGE[[#This Row],[date_modif]],
      "Ancien",
      "Modifié"),
   "Nouveau"))</f>
        <v>#VALUE!</v>
      </c>
      <c r="AD6329" s="1" t="str">
        <f>IFERROR(IF(Final_Sans_VGE[[#This Row],[ppn_z]]="","",IFERROR(
   IF(_xlfn.XLOOKUP(Final_Sans_VGE[[#This Row],[ppn_z]],tbl_Historique_Final[[#This Row],[ppn_z]],tbl_Historique_Final[[#This Row],[date_modif]])=Final_Sans_VGE[[#This Row],[date_modif]],
      "Ancien",
      "Modifié"),
   "Nouveau")),"")</f>
        <v/>
      </c>
    </row>
    <row r="6330" spans="24:30" x14ac:dyDescent="0.25">
      <c r="X6330" s="8" t="e">
        <f>IF(Final_Sans_VGE[[#This Row],[ppn_z]]="","",IFERROR(
   IF(_xlfn.XLOOKUP(Final_Sans_VGE[[#This Row],[ppn_z]],tbl_Historique_Final[ppn_z],tbl_Historique_Final[date_modif])=Final_Sans_VGE[[#This Row],[date_modif]],
      "Ancien",
      "Modifié"),
   "Nouveau"))</f>
        <v>#VALUE!</v>
      </c>
      <c r="AD6330" s="1" t="str">
        <f>IFERROR(IF(Final_Sans_VGE[[#This Row],[ppn_z]]="","",IFERROR(
   IF(_xlfn.XLOOKUP(Final_Sans_VGE[[#This Row],[ppn_z]],tbl_Historique_Final[[#This Row],[ppn_z]],tbl_Historique_Final[[#This Row],[date_modif]])=Final_Sans_VGE[[#This Row],[date_modif]],
      "Ancien",
      "Modifié"),
   "Nouveau")),"")</f>
        <v/>
      </c>
    </row>
    <row r="6331" spans="24:30" x14ac:dyDescent="0.25">
      <c r="X6331" s="8" t="e">
        <f>IF(Final_Sans_VGE[[#This Row],[ppn_z]]="","",IFERROR(
   IF(_xlfn.XLOOKUP(Final_Sans_VGE[[#This Row],[ppn_z]],tbl_Historique_Final[ppn_z],tbl_Historique_Final[date_modif])=Final_Sans_VGE[[#This Row],[date_modif]],
      "Ancien",
      "Modifié"),
   "Nouveau"))</f>
        <v>#VALUE!</v>
      </c>
      <c r="AD6331" s="1" t="str">
        <f>IFERROR(IF(Final_Sans_VGE[[#This Row],[ppn_z]]="","",IFERROR(
   IF(_xlfn.XLOOKUP(Final_Sans_VGE[[#This Row],[ppn_z]],tbl_Historique_Final[[#This Row],[ppn_z]],tbl_Historique_Final[[#This Row],[date_modif]])=Final_Sans_VGE[[#This Row],[date_modif]],
      "Ancien",
      "Modifié"),
   "Nouveau")),"")</f>
        <v/>
      </c>
    </row>
    <row r="6332" spans="24:30" x14ac:dyDescent="0.25">
      <c r="X6332" s="8" t="e">
        <f>IF(Final_Sans_VGE[[#This Row],[ppn_z]]="","",IFERROR(
   IF(_xlfn.XLOOKUP(Final_Sans_VGE[[#This Row],[ppn_z]],tbl_Historique_Final[ppn_z],tbl_Historique_Final[date_modif])=Final_Sans_VGE[[#This Row],[date_modif]],
      "Ancien",
      "Modifié"),
   "Nouveau"))</f>
        <v>#VALUE!</v>
      </c>
      <c r="AD6332" s="1" t="str">
        <f>IFERROR(IF(Final_Sans_VGE[[#This Row],[ppn_z]]="","",IFERROR(
   IF(_xlfn.XLOOKUP(Final_Sans_VGE[[#This Row],[ppn_z]],tbl_Historique_Final[[#This Row],[ppn_z]],tbl_Historique_Final[[#This Row],[date_modif]])=Final_Sans_VGE[[#This Row],[date_modif]],
      "Ancien",
      "Modifié"),
   "Nouveau")),"")</f>
        <v/>
      </c>
    </row>
    <row r="6333" spans="24:30" x14ac:dyDescent="0.25">
      <c r="X6333" s="8" t="e">
        <f>IF(Final_Sans_VGE[[#This Row],[ppn_z]]="","",IFERROR(
   IF(_xlfn.XLOOKUP(Final_Sans_VGE[[#This Row],[ppn_z]],tbl_Historique_Final[ppn_z],tbl_Historique_Final[date_modif])=Final_Sans_VGE[[#This Row],[date_modif]],
      "Ancien",
      "Modifié"),
   "Nouveau"))</f>
        <v>#VALUE!</v>
      </c>
      <c r="AD6333" s="1" t="str">
        <f>IFERROR(IF(Final_Sans_VGE[[#This Row],[ppn_z]]="","",IFERROR(
   IF(_xlfn.XLOOKUP(Final_Sans_VGE[[#This Row],[ppn_z]],tbl_Historique_Final[[#This Row],[ppn_z]],tbl_Historique_Final[[#This Row],[date_modif]])=Final_Sans_VGE[[#This Row],[date_modif]],
      "Ancien",
      "Modifié"),
   "Nouveau")),"")</f>
        <v/>
      </c>
    </row>
    <row r="6334" spans="24:30" x14ac:dyDescent="0.25">
      <c r="X6334" s="8" t="e">
        <f>IF(Final_Sans_VGE[[#This Row],[ppn_z]]="","",IFERROR(
   IF(_xlfn.XLOOKUP(Final_Sans_VGE[[#This Row],[ppn_z]],tbl_Historique_Final[ppn_z],tbl_Historique_Final[date_modif])=Final_Sans_VGE[[#This Row],[date_modif]],
      "Ancien",
      "Modifié"),
   "Nouveau"))</f>
        <v>#VALUE!</v>
      </c>
      <c r="AD6334" s="1" t="str">
        <f>IFERROR(IF(Final_Sans_VGE[[#This Row],[ppn_z]]="","",IFERROR(
   IF(_xlfn.XLOOKUP(Final_Sans_VGE[[#This Row],[ppn_z]],tbl_Historique_Final[[#This Row],[ppn_z]],tbl_Historique_Final[[#This Row],[date_modif]])=Final_Sans_VGE[[#This Row],[date_modif]],
      "Ancien",
      "Modifié"),
   "Nouveau")),"")</f>
        <v/>
      </c>
    </row>
    <row r="6335" spans="24:30" x14ac:dyDescent="0.25">
      <c r="X6335" s="8" t="e">
        <f>IF(Final_Sans_VGE[[#This Row],[ppn_z]]="","",IFERROR(
   IF(_xlfn.XLOOKUP(Final_Sans_VGE[[#This Row],[ppn_z]],tbl_Historique_Final[ppn_z],tbl_Historique_Final[date_modif])=Final_Sans_VGE[[#This Row],[date_modif]],
      "Ancien",
      "Modifié"),
   "Nouveau"))</f>
        <v>#VALUE!</v>
      </c>
      <c r="AD6335" s="1" t="str">
        <f>IFERROR(IF(Final_Sans_VGE[[#This Row],[ppn_z]]="","",IFERROR(
   IF(_xlfn.XLOOKUP(Final_Sans_VGE[[#This Row],[ppn_z]],tbl_Historique_Final[[#This Row],[ppn_z]],tbl_Historique_Final[[#This Row],[date_modif]])=Final_Sans_VGE[[#This Row],[date_modif]],
      "Ancien",
      "Modifié"),
   "Nouveau")),"")</f>
        <v/>
      </c>
    </row>
    <row r="6336" spans="24:30" x14ac:dyDescent="0.25">
      <c r="X6336" s="8" t="e">
        <f>IF(Final_Sans_VGE[[#This Row],[ppn_z]]="","",IFERROR(
   IF(_xlfn.XLOOKUP(Final_Sans_VGE[[#This Row],[ppn_z]],tbl_Historique_Final[ppn_z],tbl_Historique_Final[date_modif])=Final_Sans_VGE[[#This Row],[date_modif]],
      "Ancien",
      "Modifié"),
   "Nouveau"))</f>
        <v>#VALUE!</v>
      </c>
      <c r="AD6336" s="1" t="str">
        <f>IFERROR(IF(Final_Sans_VGE[[#This Row],[ppn_z]]="","",IFERROR(
   IF(_xlfn.XLOOKUP(Final_Sans_VGE[[#This Row],[ppn_z]],tbl_Historique_Final[[#This Row],[ppn_z]],tbl_Historique_Final[[#This Row],[date_modif]])=Final_Sans_VGE[[#This Row],[date_modif]],
      "Ancien",
      "Modifié"),
   "Nouveau")),"")</f>
        <v/>
      </c>
    </row>
    <row r="6337" spans="24:30" x14ac:dyDescent="0.25">
      <c r="X6337" s="8" t="e">
        <f>IF(Final_Sans_VGE[[#This Row],[ppn_z]]="","",IFERROR(
   IF(_xlfn.XLOOKUP(Final_Sans_VGE[[#This Row],[ppn_z]],tbl_Historique_Final[ppn_z],tbl_Historique_Final[date_modif])=Final_Sans_VGE[[#This Row],[date_modif]],
      "Ancien",
      "Modifié"),
   "Nouveau"))</f>
        <v>#VALUE!</v>
      </c>
      <c r="AD6337" s="1" t="str">
        <f>IFERROR(IF(Final_Sans_VGE[[#This Row],[ppn_z]]="","",IFERROR(
   IF(_xlfn.XLOOKUP(Final_Sans_VGE[[#This Row],[ppn_z]],tbl_Historique_Final[[#This Row],[ppn_z]],tbl_Historique_Final[[#This Row],[date_modif]])=Final_Sans_VGE[[#This Row],[date_modif]],
      "Ancien",
      "Modifié"),
   "Nouveau")),"")</f>
        <v/>
      </c>
    </row>
    <row r="6338" spans="24:30" x14ac:dyDescent="0.25">
      <c r="X6338" s="8" t="e">
        <f>IF(Final_Sans_VGE[[#This Row],[ppn_z]]="","",IFERROR(
   IF(_xlfn.XLOOKUP(Final_Sans_VGE[[#This Row],[ppn_z]],tbl_Historique_Final[ppn_z],tbl_Historique_Final[date_modif])=Final_Sans_VGE[[#This Row],[date_modif]],
      "Ancien",
      "Modifié"),
   "Nouveau"))</f>
        <v>#VALUE!</v>
      </c>
      <c r="AD6338" s="1" t="str">
        <f>IFERROR(IF(Final_Sans_VGE[[#This Row],[ppn_z]]="","",IFERROR(
   IF(_xlfn.XLOOKUP(Final_Sans_VGE[[#This Row],[ppn_z]],tbl_Historique_Final[[#This Row],[ppn_z]],tbl_Historique_Final[[#This Row],[date_modif]])=Final_Sans_VGE[[#This Row],[date_modif]],
      "Ancien",
      "Modifié"),
   "Nouveau")),"")</f>
        <v/>
      </c>
    </row>
    <row r="6339" spans="24:30" x14ac:dyDescent="0.25">
      <c r="X6339" s="8" t="e">
        <f>IF(Final_Sans_VGE[[#This Row],[ppn_z]]="","",IFERROR(
   IF(_xlfn.XLOOKUP(Final_Sans_VGE[[#This Row],[ppn_z]],tbl_Historique_Final[ppn_z],tbl_Historique_Final[date_modif])=Final_Sans_VGE[[#This Row],[date_modif]],
      "Ancien",
      "Modifié"),
   "Nouveau"))</f>
        <v>#VALUE!</v>
      </c>
      <c r="AD6339" s="1" t="str">
        <f>IFERROR(IF(Final_Sans_VGE[[#This Row],[ppn_z]]="","",IFERROR(
   IF(_xlfn.XLOOKUP(Final_Sans_VGE[[#This Row],[ppn_z]],tbl_Historique_Final[[#This Row],[ppn_z]],tbl_Historique_Final[[#This Row],[date_modif]])=Final_Sans_VGE[[#This Row],[date_modif]],
      "Ancien",
      "Modifié"),
   "Nouveau")),"")</f>
        <v/>
      </c>
    </row>
    <row r="6340" spans="24:30" x14ac:dyDescent="0.25">
      <c r="X6340" s="8" t="e">
        <f>IF(Final_Sans_VGE[[#This Row],[ppn_z]]="","",IFERROR(
   IF(_xlfn.XLOOKUP(Final_Sans_VGE[[#This Row],[ppn_z]],tbl_Historique_Final[ppn_z],tbl_Historique_Final[date_modif])=Final_Sans_VGE[[#This Row],[date_modif]],
      "Ancien",
      "Modifié"),
   "Nouveau"))</f>
        <v>#VALUE!</v>
      </c>
      <c r="AD6340" s="1" t="str">
        <f>IFERROR(IF(Final_Sans_VGE[[#This Row],[ppn_z]]="","",IFERROR(
   IF(_xlfn.XLOOKUP(Final_Sans_VGE[[#This Row],[ppn_z]],tbl_Historique_Final[[#This Row],[ppn_z]],tbl_Historique_Final[[#This Row],[date_modif]])=Final_Sans_VGE[[#This Row],[date_modif]],
      "Ancien",
      "Modifié"),
   "Nouveau")),"")</f>
        <v/>
      </c>
    </row>
    <row r="6341" spans="24:30" x14ac:dyDescent="0.25">
      <c r="X6341" s="8" t="e">
        <f>IF(Final_Sans_VGE[[#This Row],[ppn_z]]="","",IFERROR(
   IF(_xlfn.XLOOKUP(Final_Sans_VGE[[#This Row],[ppn_z]],tbl_Historique_Final[ppn_z],tbl_Historique_Final[date_modif])=Final_Sans_VGE[[#This Row],[date_modif]],
      "Ancien",
      "Modifié"),
   "Nouveau"))</f>
        <v>#VALUE!</v>
      </c>
      <c r="AD6341" s="1" t="str">
        <f>IFERROR(IF(Final_Sans_VGE[[#This Row],[ppn_z]]="","",IFERROR(
   IF(_xlfn.XLOOKUP(Final_Sans_VGE[[#This Row],[ppn_z]],tbl_Historique_Final[[#This Row],[ppn_z]],tbl_Historique_Final[[#This Row],[date_modif]])=Final_Sans_VGE[[#This Row],[date_modif]],
      "Ancien",
      "Modifié"),
   "Nouveau")),"")</f>
        <v/>
      </c>
    </row>
    <row r="6342" spans="24:30" x14ac:dyDescent="0.25">
      <c r="X6342" s="8" t="e">
        <f>IF(Final_Sans_VGE[[#This Row],[ppn_z]]="","",IFERROR(
   IF(_xlfn.XLOOKUP(Final_Sans_VGE[[#This Row],[ppn_z]],tbl_Historique_Final[ppn_z],tbl_Historique_Final[date_modif])=Final_Sans_VGE[[#This Row],[date_modif]],
      "Ancien",
      "Modifié"),
   "Nouveau"))</f>
        <v>#VALUE!</v>
      </c>
      <c r="AD6342" s="1" t="str">
        <f>IFERROR(IF(Final_Sans_VGE[[#This Row],[ppn_z]]="","",IFERROR(
   IF(_xlfn.XLOOKUP(Final_Sans_VGE[[#This Row],[ppn_z]],tbl_Historique_Final[[#This Row],[ppn_z]],tbl_Historique_Final[[#This Row],[date_modif]])=Final_Sans_VGE[[#This Row],[date_modif]],
      "Ancien",
      "Modifié"),
   "Nouveau")),"")</f>
        <v/>
      </c>
    </row>
    <row r="6343" spans="24:30" x14ac:dyDescent="0.25">
      <c r="X6343" s="8" t="e">
        <f>IF(Final_Sans_VGE[[#This Row],[ppn_z]]="","",IFERROR(
   IF(_xlfn.XLOOKUP(Final_Sans_VGE[[#This Row],[ppn_z]],tbl_Historique_Final[ppn_z],tbl_Historique_Final[date_modif])=Final_Sans_VGE[[#This Row],[date_modif]],
      "Ancien",
      "Modifié"),
   "Nouveau"))</f>
        <v>#VALUE!</v>
      </c>
      <c r="AD6343" s="1" t="str">
        <f>IFERROR(IF(Final_Sans_VGE[[#This Row],[ppn_z]]="","",IFERROR(
   IF(_xlfn.XLOOKUP(Final_Sans_VGE[[#This Row],[ppn_z]],tbl_Historique_Final[[#This Row],[ppn_z]],tbl_Historique_Final[[#This Row],[date_modif]])=Final_Sans_VGE[[#This Row],[date_modif]],
      "Ancien",
      "Modifié"),
   "Nouveau")),"")</f>
        <v/>
      </c>
    </row>
    <row r="6344" spans="24:30" x14ac:dyDescent="0.25">
      <c r="X6344" s="8" t="e">
        <f>IF(Final_Sans_VGE[[#This Row],[ppn_z]]="","",IFERROR(
   IF(_xlfn.XLOOKUP(Final_Sans_VGE[[#This Row],[ppn_z]],tbl_Historique_Final[ppn_z],tbl_Historique_Final[date_modif])=Final_Sans_VGE[[#This Row],[date_modif]],
      "Ancien",
      "Modifié"),
   "Nouveau"))</f>
        <v>#VALUE!</v>
      </c>
      <c r="AD6344" s="1" t="str">
        <f>IFERROR(IF(Final_Sans_VGE[[#This Row],[ppn_z]]="","",IFERROR(
   IF(_xlfn.XLOOKUP(Final_Sans_VGE[[#This Row],[ppn_z]],tbl_Historique_Final[[#This Row],[ppn_z]],tbl_Historique_Final[[#This Row],[date_modif]])=Final_Sans_VGE[[#This Row],[date_modif]],
      "Ancien",
      "Modifié"),
   "Nouveau")),"")</f>
        <v/>
      </c>
    </row>
    <row r="6345" spans="24:30" x14ac:dyDescent="0.25">
      <c r="X6345" s="8" t="e">
        <f>IF(Final_Sans_VGE[[#This Row],[ppn_z]]="","",IFERROR(
   IF(_xlfn.XLOOKUP(Final_Sans_VGE[[#This Row],[ppn_z]],tbl_Historique_Final[ppn_z],tbl_Historique_Final[date_modif])=Final_Sans_VGE[[#This Row],[date_modif]],
      "Ancien",
      "Modifié"),
   "Nouveau"))</f>
        <v>#VALUE!</v>
      </c>
      <c r="AD6345" s="1" t="str">
        <f>IFERROR(IF(Final_Sans_VGE[[#This Row],[ppn_z]]="","",IFERROR(
   IF(_xlfn.XLOOKUP(Final_Sans_VGE[[#This Row],[ppn_z]],tbl_Historique_Final[[#This Row],[ppn_z]],tbl_Historique_Final[[#This Row],[date_modif]])=Final_Sans_VGE[[#This Row],[date_modif]],
      "Ancien",
      "Modifié"),
   "Nouveau")),"")</f>
        <v/>
      </c>
    </row>
    <row r="6346" spans="24:30" x14ac:dyDescent="0.25">
      <c r="X6346" s="8" t="e">
        <f>IF(Final_Sans_VGE[[#This Row],[ppn_z]]="","",IFERROR(
   IF(_xlfn.XLOOKUP(Final_Sans_VGE[[#This Row],[ppn_z]],tbl_Historique_Final[ppn_z],tbl_Historique_Final[date_modif])=Final_Sans_VGE[[#This Row],[date_modif]],
      "Ancien",
      "Modifié"),
   "Nouveau"))</f>
        <v>#VALUE!</v>
      </c>
      <c r="AD6346" s="1" t="str">
        <f>IFERROR(IF(Final_Sans_VGE[[#This Row],[ppn_z]]="","",IFERROR(
   IF(_xlfn.XLOOKUP(Final_Sans_VGE[[#This Row],[ppn_z]],tbl_Historique_Final[[#This Row],[ppn_z]],tbl_Historique_Final[[#This Row],[date_modif]])=Final_Sans_VGE[[#This Row],[date_modif]],
      "Ancien",
      "Modifié"),
   "Nouveau")),"")</f>
        <v/>
      </c>
    </row>
    <row r="6347" spans="24:30" x14ac:dyDescent="0.25">
      <c r="X6347" s="8" t="e">
        <f>IF(Final_Sans_VGE[[#This Row],[ppn_z]]="","",IFERROR(
   IF(_xlfn.XLOOKUP(Final_Sans_VGE[[#This Row],[ppn_z]],tbl_Historique_Final[ppn_z],tbl_Historique_Final[date_modif])=Final_Sans_VGE[[#This Row],[date_modif]],
      "Ancien",
      "Modifié"),
   "Nouveau"))</f>
        <v>#VALUE!</v>
      </c>
      <c r="AD6347" s="1" t="str">
        <f>IFERROR(IF(Final_Sans_VGE[[#This Row],[ppn_z]]="","",IFERROR(
   IF(_xlfn.XLOOKUP(Final_Sans_VGE[[#This Row],[ppn_z]],tbl_Historique_Final[[#This Row],[ppn_z]],tbl_Historique_Final[[#This Row],[date_modif]])=Final_Sans_VGE[[#This Row],[date_modif]],
      "Ancien",
      "Modifié"),
   "Nouveau")),"")</f>
        <v/>
      </c>
    </row>
    <row r="6348" spans="24:30" x14ac:dyDescent="0.25">
      <c r="X6348" s="8" t="e">
        <f>IF(Final_Sans_VGE[[#This Row],[ppn_z]]="","",IFERROR(
   IF(_xlfn.XLOOKUP(Final_Sans_VGE[[#This Row],[ppn_z]],tbl_Historique_Final[ppn_z],tbl_Historique_Final[date_modif])=Final_Sans_VGE[[#This Row],[date_modif]],
      "Ancien",
      "Modifié"),
   "Nouveau"))</f>
        <v>#VALUE!</v>
      </c>
      <c r="AD6348" s="1" t="str">
        <f>IFERROR(IF(Final_Sans_VGE[[#This Row],[ppn_z]]="","",IFERROR(
   IF(_xlfn.XLOOKUP(Final_Sans_VGE[[#This Row],[ppn_z]],tbl_Historique_Final[[#This Row],[ppn_z]],tbl_Historique_Final[[#This Row],[date_modif]])=Final_Sans_VGE[[#This Row],[date_modif]],
      "Ancien",
      "Modifié"),
   "Nouveau")),"")</f>
        <v/>
      </c>
    </row>
    <row r="6349" spans="24:30" x14ac:dyDescent="0.25">
      <c r="X6349" s="8" t="e">
        <f>IF(Final_Sans_VGE[[#This Row],[ppn_z]]="","",IFERROR(
   IF(_xlfn.XLOOKUP(Final_Sans_VGE[[#This Row],[ppn_z]],tbl_Historique_Final[ppn_z],tbl_Historique_Final[date_modif])=Final_Sans_VGE[[#This Row],[date_modif]],
      "Ancien",
      "Modifié"),
   "Nouveau"))</f>
        <v>#VALUE!</v>
      </c>
      <c r="AD6349" s="1" t="str">
        <f>IFERROR(IF(Final_Sans_VGE[[#This Row],[ppn_z]]="","",IFERROR(
   IF(_xlfn.XLOOKUP(Final_Sans_VGE[[#This Row],[ppn_z]],tbl_Historique_Final[[#This Row],[ppn_z]],tbl_Historique_Final[[#This Row],[date_modif]])=Final_Sans_VGE[[#This Row],[date_modif]],
      "Ancien",
      "Modifié"),
   "Nouveau")),"")</f>
        <v/>
      </c>
    </row>
    <row r="6350" spans="24:30" x14ac:dyDescent="0.25">
      <c r="X6350" s="8" t="e">
        <f>IF(Final_Sans_VGE[[#This Row],[ppn_z]]="","",IFERROR(
   IF(_xlfn.XLOOKUP(Final_Sans_VGE[[#This Row],[ppn_z]],tbl_Historique_Final[ppn_z],tbl_Historique_Final[date_modif])=Final_Sans_VGE[[#This Row],[date_modif]],
      "Ancien",
      "Modifié"),
   "Nouveau"))</f>
        <v>#VALUE!</v>
      </c>
      <c r="AD6350" s="1" t="str">
        <f>IFERROR(IF(Final_Sans_VGE[[#This Row],[ppn_z]]="","",IFERROR(
   IF(_xlfn.XLOOKUP(Final_Sans_VGE[[#This Row],[ppn_z]],tbl_Historique_Final[[#This Row],[ppn_z]],tbl_Historique_Final[[#This Row],[date_modif]])=Final_Sans_VGE[[#This Row],[date_modif]],
      "Ancien",
      "Modifié"),
   "Nouveau")),"")</f>
        <v/>
      </c>
    </row>
    <row r="6351" spans="24:30" x14ac:dyDescent="0.25">
      <c r="X6351" s="8" t="e">
        <f>IF(Final_Sans_VGE[[#This Row],[ppn_z]]="","",IFERROR(
   IF(_xlfn.XLOOKUP(Final_Sans_VGE[[#This Row],[ppn_z]],tbl_Historique_Final[ppn_z],tbl_Historique_Final[date_modif])=Final_Sans_VGE[[#This Row],[date_modif]],
      "Ancien",
      "Modifié"),
   "Nouveau"))</f>
        <v>#VALUE!</v>
      </c>
      <c r="AD6351" s="1" t="str">
        <f>IFERROR(IF(Final_Sans_VGE[[#This Row],[ppn_z]]="","",IFERROR(
   IF(_xlfn.XLOOKUP(Final_Sans_VGE[[#This Row],[ppn_z]],tbl_Historique_Final[[#This Row],[ppn_z]],tbl_Historique_Final[[#This Row],[date_modif]])=Final_Sans_VGE[[#This Row],[date_modif]],
      "Ancien",
      "Modifié"),
   "Nouveau")),"")</f>
        <v/>
      </c>
    </row>
    <row r="6352" spans="24:30" x14ac:dyDescent="0.25">
      <c r="X6352" s="8" t="e">
        <f>IF(Final_Sans_VGE[[#This Row],[ppn_z]]="","",IFERROR(
   IF(_xlfn.XLOOKUP(Final_Sans_VGE[[#This Row],[ppn_z]],tbl_Historique_Final[ppn_z],tbl_Historique_Final[date_modif])=Final_Sans_VGE[[#This Row],[date_modif]],
      "Ancien",
      "Modifié"),
   "Nouveau"))</f>
        <v>#VALUE!</v>
      </c>
      <c r="AD6352" s="1" t="str">
        <f>IFERROR(IF(Final_Sans_VGE[[#This Row],[ppn_z]]="","",IFERROR(
   IF(_xlfn.XLOOKUP(Final_Sans_VGE[[#This Row],[ppn_z]],tbl_Historique_Final[[#This Row],[ppn_z]],tbl_Historique_Final[[#This Row],[date_modif]])=Final_Sans_VGE[[#This Row],[date_modif]],
      "Ancien",
      "Modifié"),
   "Nouveau")),"")</f>
        <v/>
      </c>
    </row>
    <row r="6353" spans="24:30" x14ac:dyDescent="0.25">
      <c r="X6353" s="8" t="e">
        <f>IF(Final_Sans_VGE[[#This Row],[ppn_z]]="","",IFERROR(
   IF(_xlfn.XLOOKUP(Final_Sans_VGE[[#This Row],[ppn_z]],tbl_Historique_Final[ppn_z],tbl_Historique_Final[date_modif])=Final_Sans_VGE[[#This Row],[date_modif]],
      "Ancien",
      "Modifié"),
   "Nouveau"))</f>
        <v>#VALUE!</v>
      </c>
      <c r="AD6353" s="1" t="str">
        <f>IFERROR(IF(Final_Sans_VGE[[#This Row],[ppn_z]]="","",IFERROR(
   IF(_xlfn.XLOOKUP(Final_Sans_VGE[[#This Row],[ppn_z]],tbl_Historique_Final[[#This Row],[ppn_z]],tbl_Historique_Final[[#This Row],[date_modif]])=Final_Sans_VGE[[#This Row],[date_modif]],
      "Ancien",
      "Modifié"),
   "Nouveau")),"")</f>
        <v/>
      </c>
    </row>
    <row r="6354" spans="24:30" x14ac:dyDescent="0.25">
      <c r="X6354" s="8" t="e">
        <f>IF(Final_Sans_VGE[[#This Row],[ppn_z]]="","",IFERROR(
   IF(_xlfn.XLOOKUP(Final_Sans_VGE[[#This Row],[ppn_z]],tbl_Historique_Final[ppn_z],tbl_Historique_Final[date_modif])=Final_Sans_VGE[[#This Row],[date_modif]],
      "Ancien",
      "Modifié"),
   "Nouveau"))</f>
        <v>#VALUE!</v>
      </c>
      <c r="AD6354" s="1" t="str">
        <f>IFERROR(IF(Final_Sans_VGE[[#This Row],[ppn_z]]="","",IFERROR(
   IF(_xlfn.XLOOKUP(Final_Sans_VGE[[#This Row],[ppn_z]],tbl_Historique_Final[[#This Row],[ppn_z]],tbl_Historique_Final[[#This Row],[date_modif]])=Final_Sans_VGE[[#This Row],[date_modif]],
      "Ancien",
      "Modifié"),
   "Nouveau")),"")</f>
        <v/>
      </c>
    </row>
    <row r="6355" spans="24:30" x14ac:dyDescent="0.25">
      <c r="X6355" s="8" t="e">
        <f>IF(Final_Sans_VGE[[#This Row],[ppn_z]]="","",IFERROR(
   IF(_xlfn.XLOOKUP(Final_Sans_VGE[[#This Row],[ppn_z]],tbl_Historique_Final[ppn_z],tbl_Historique_Final[date_modif])=Final_Sans_VGE[[#This Row],[date_modif]],
      "Ancien",
      "Modifié"),
   "Nouveau"))</f>
        <v>#VALUE!</v>
      </c>
      <c r="AD6355" s="1" t="str">
        <f>IFERROR(IF(Final_Sans_VGE[[#This Row],[ppn_z]]="","",IFERROR(
   IF(_xlfn.XLOOKUP(Final_Sans_VGE[[#This Row],[ppn_z]],tbl_Historique_Final[[#This Row],[ppn_z]],tbl_Historique_Final[[#This Row],[date_modif]])=Final_Sans_VGE[[#This Row],[date_modif]],
      "Ancien",
      "Modifié"),
   "Nouveau")),"")</f>
        <v/>
      </c>
    </row>
    <row r="6356" spans="24:30" x14ac:dyDescent="0.25">
      <c r="X6356" s="8" t="e">
        <f>IF(Final_Sans_VGE[[#This Row],[ppn_z]]="","",IFERROR(
   IF(_xlfn.XLOOKUP(Final_Sans_VGE[[#This Row],[ppn_z]],tbl_Historique_Final[ppn_z],tbl_Historique_Final[date_modif])=Final_Sans_VGE[[#This Row],[date_modif]],
      "Ancien",
      "Modifié"),
   "Nouveau"))</f>
        <v>#VALUE!</v>
      </c>
      <c r="AD6356" s="1" t="str">
        <f>IFERROR(IF(Final_Sans_VGE[[#This Row],[ppn_z]]="","",IFERROR(
   IF(_xlfn.XLOOKUP(Final_Sans_VGE[[#This Row],[ppn_z]],tbl_Historique_Final[[#This Row],[ppn_z]],tbl_Historique_Final[[#This Row],[date_modif]])=Final_Sans_VGE[[#This Row],[date_modif]],
      "Ancien",
      "Modifié"),
   "Nouveau")),"")</f>
        <v/>
      </c>
    </row>
    <row r="6357" spans="24:30" x14ac:dyDescent="0.25">
      <c r="X6357" s="8" t="e">
        <f>IF(Final_Sans_VGE[[#This Row],[ppn_z]]="","",IFERROR(
   IF(_xlfn.XLOOKUP(Final_Sans_VGE[[#This Row],[ppn_z]],tbl_Historique_Final[ppn_z],tbl_Historique_Final[date_modif])=Final_Sans_VGE[[#This Row],[date_modif]],
      "Ancien",
      "Modifié"),
   "Nouveau"))</f>
        <v>#VALUE!</v>
      </c>
      <c r="AD6357" s="1" t="str">
        <f>IFERROR(IF(Final_Sans_VGE[[#This Row],[ppn_z]]="","",IFERROR(
   IF(_xlfn.XLOOKUP(Final_Sans_VGE[[#This Row],[ppn_z]],tbl_Historique_Final[[#This Row],[ppn_z]],tbl_Historique_Final[[#This Row],[date_modif]])=Final_Sans_VGE[[#This Row],[date_modif]],
      "Ancien",
      "Modifié"),
   "Nouveau")),"")</f>
        <v/>
      </c>
    </row>
    <row r="6358" spans="24:30" x14ac:dyDescent="0.25">
      <c r="X6358" s="8" t="e">
        <f>IF(Final_Sans_VGE[[#This Row],[ppn_z]]="","",IFERROR(
   IF(_xlfn.XLOOKUP(Final_Sans_VGE[[#This Row],[ppn_z]],tbl_Historique_Final[ppn_z],tbl_Historique_Final[date_modif])=Final_Sans_VGE[[#This Row],[date_modif]],
      "Ancien",
      "Modifié"),
   "Nouveau"))</f>
        <v>#VALUE!</v>
      </c>
      <c r="AD6358" s="1" t="str">
        <f>IFERROR(IF(Final_Sans_VGE[[#This Row],[ppn_z]]="","",IFERROR(
   IF(_xlfn.XLOOKUP(Final_Sans_VGE[[#This Row],[ppn_z]],tbl_Historique_Final[[#This Row],[ppn_z]],tbl_Historique_Final[[#This Row],[date_modif]])=Final_Sans_VGE[[#This Row],[date_modif]],
      "Ancien",
      "Modifié"),
   "Nouveau")),"")</f>
        <v/>
      </c>
    </row>
    <row r="6359" spans="24:30" x14ac:dyDescent="0.25">
      <c r="X6359" s="8" t="e">
        <f>IF(Final_Sans_VGE[[#This Row],[ppn_z]]="","",IFERROR(
   IF(_xlfn.XLOOKUP(Final_Sans_VGE[[#This Row],[ppn_z]],tbl_Historique_Final[ppn_z],tbl_Historique_Final[date_modif])=Final_Sans_VGE[[#This Row],[date_modif]],
      "Ancien",
      "Modifié"),
   "Nouveau"))</f>
        <v>#VALUE!</v>
      </c>
      <c r="AD6359" s="1" t="str">
        <f>IFERROR(IF(Final_Sans_VGE[[#This Row],[ppn_z]]="","",IFERROR(
   IF(_xlfn.XLOOKUP(Final_Sans_VGE[[#This Row],[ppn_z]],tbl_Historique_Final[[#This Row],[ppn_z]],tbl_Historique_Final[[#This Row],[date_modif]])=Final_Sans_VGE[[#This Row],[date_modif]],
      "Ancien",
      "Modifié"),
   "Nouveau")),"")</f>
        <v/>
      </c>
    </row>
    <row r="6360" spans="24:30" x14ac:dyDescent="0.25">
      <c r="X6360" s="8" t="e">
        <f>IF(Final_Sans_VGE[[#This Row],[ppn_z]]="","",IFERROR(
   IF(_xlfn.XLOOKUP(Final_Sans_VGE[[#This Row],[ppn_z]],tbl_Historique_Final[ppn_z],tbl_Historique_Final[date_modif])=Final_Sans_VGE[[#This Row],[date_modif]],
      "Ancien",
      "Modifié"),
   "Nouveau"))</f>
        <v>#VALUE!</v>
      </c>
      <c r="AD6360" s="1" t="str">
        <f>IFERROR(IF(Final_Sans_VGE[[#This Row],[ppn_z]]="","",IFERROR(
   IF(_xlfn.XLOOKUP(Final_Sans_VGE[[#This Row],[ppn_z]],tbl_Historique_Final[[#This Row],[ppn_z]],tbl_Historique_Final[[#This Row],[date_modif]])=Final_Sans_VGE[[#This Row],[date_modif]],
      "Ancien",
      "Modifié"),
   "Nouveau")),"")</f>
        <v/>
      </c>
    </row>
    <row r="6361" spans="24:30" x14ac:dyDescent="0.25">
      <c r="X6361" s="8" t="e">
        <f>IF(Final_Sans_VGE[[#This Row],[ppn_z]]="","",IFERROR(
   IF(_xlfn.XLOOKUP(Final_Sans_VGE[[#This Row],[ppn_z]],tbl_Historique_Final[ppn_z],tbl_Historique_Final[date_modif])=Final_Sans_VGE[[#This Row],[date_modif]],
      "Ancien",
      "Modifié"),
   "Nouveau"))</f>
        <v>#VALUE!</v>
      </c>
      <c r="AD6361" s="1" t="str">
        <f>IFERROR(IF(Final_Sans_VGE[[#This Row],[ppn_z]]="","",IFERROR(
   IF(_xlfn.XLOOKUP(Final_Sans_VGE[[#This Row],[ppn_z]],tbl_Historique_Final[[#This Row],[ppn_z]],tbl_Historique_Final[[#This Row],[date_modif]])=Final_Sans_VGE[[#This Row],[date_modif]],
      "Ancien",
      "Modifié"),
   "Nouveau")),"")</f>
        <v/>
      </c>
    </row>
    <row r="6362" spans="24:30" x14ac:dyDescent="0.25">
      <c r="X6362" s="8" t="e">
        <f>IF(Final_Sans_VGE[[#This Row],[ppn_z]]="","",IFERROR(
   IF(_xlfn.XLOOKUP(Final_Sans_VGE[[#This Row],[ppn_z]],tbl_Historique_Final[ppn_z],tbl_Historique_Final[date_modif])=Final_Sans_VGE[[#This Row],[date_modif]],
      "Ancien",
      "Modifié"),
   "Nouveau"))</f>
        <v>#VALUE!</v>
      </c>
      <c r="AD6362" s="1" t="str">
        <f>IFERROR(IF(Final_Sans_VGE[[#This Row],[ppn_z]]="","",IFERROR(
   IF(_xlfn.XLOOKUP(Final_Sans_VGE[[#This Row],[ppn_z]],tbl_Historique_Final[[#This Row],[ppn_z]],tbl_Historique_Final[[#This Row],[date_modif]])=Final_Sans_VGE[[#This Row],[date_modif]],
      "Ancien",
      "Modifié"),
   "Nouveau")),"")</f>
        <v/>
      </c>
    </row>
    <row r="6363" spans="24:30" x14ac:dyDescent="0.25">
      <c r="X6363" s="8" t="e">
        <f>IF(Final_Sans_VGE[[#This Row],[ppn_z]]="","",IFERROR(
   IF(_xlfn.XLOOKUP(Final_Sans_VGE[[#This Row],[ppn_z]],tbl_Historique_Final[ppn_z],tbl_Historique_Final[date_modif])=Final_Sans_VGE[[#This Row],[date_modif]],
      "Ancien",
      "Modifié"),
   "Nouveau"))</f>
        <v>#VALUE!</v>
      </c>
      <c r="AD6363" s="1" t="str">
        <f>IFERROR(IF(Final_Sans_VGE[[#This Row],[ppn_z]]="","",IFERROR(
   IF(_xlfn.XLOOKUP(Final_Sans_VGE[[#This Row],[ppn_z]],tbl_Historique_Final[[#This Row],[ppn_z]],tbl_Historique_Final[[#This Row],[date_modif]])=Final_Sans_VGE[[#This Row],[date_modif]],
      "Ancien",
      "Modifié"),
   "Nouveau")),"")</f>
        <v/>
      </c>
    </row>
    <row r="6364" spans="24:30" x14ac:dyDescent="0.25">
      <c r="X6364" s="8" t="e">
        <f>IF(Final_Sans_VGE[[#This Row],[ppn_z]]="","",IFERROR(
   IF(_xlfn.XLOOKUP(Final_Sans_VGE[[#This Row],[ppn_z]],tbl_Historique_Final[ppn_z],tbl_Historique_Final[date_modif])=Final_Sans_VGE[[#This Row],[date_modif]],
      "Ancien",
      "Modifié"),
   "Nouveau"))</f>
        <v>#VALUE!</v>
      </c>
      <c r="AD6364" s="1" t="str">
        <f>IFERROR(IF(Final_Sans_VGE[[#This Row],[ppn_z]]="","",IFERROR(
   IF(_xlfn.XLOOKUP(Final_Sans_VGE[[#This Row],[ppn_z]],tbl_Historique_Final[[#This Row],[ppn_z]],tbl_Historique_Final[[#This Row],[date_modif]])=Final_Sans_VGE[[#This Row],[date_modif]],
      "Ancien",
      "Modifié"),
   "Nouveau")),"")</f>
        <v/>
      </c>
    </row>
    <row r="6365" spans="24:30" x14ac:dyDescent="0.25">
      <c r="X6365" s="8" t="e">
        <f>IF(Final_Sans_VGE[[#This Row],[ppn_z]]="","",IFERROR(
   IF(_xlfn.XLOOKUP(Final_Sans_VGE[[#This Row],[ppn_z]],tbl_Historique_Final[ppn_z],tbl_Historique_Final[date_modif])=Final_Sans_VGE[[#This Row],[date_modif]],
      "Ancien",
      "Modifié"),
   "Nouveau"))</f>
        <v>#VALUE!</v>
      </c>
      <c r="AD6365" s="1" t="str">
        <f>IFERROR(IF(Final_Sans_VGE[[#This Row],[ppn_z]]="","",IFERROR(
   IF(_xlfn.XLOOKUP(Final_Sans_VGE[[#This Row],[ppn_z]],tbl_Historique_Final[[#This Row],[ppn_z]],tbl_Historique_Final[[#This Row],[date_modif]])=Final_Sans_VGE[[#This Row],[date_modif]],
      "Ancien",
      "Modifié"),
   "Nouveau")),"")</f>
        <v/>
      </c>
    </row>
    <row r="6366" spans="24:30" x14ac:dyDescent="0.25">
      <c r="X6366" s="8" t="e">
        <f>IF(Final_Sans_VGE[[#This Row],[ppn_z]]="","",IFERROR(
   IF(_xlfn.XLOOKUP(Final_Sans_VGE[[#This Row],[ppn_z]],tbl_Historique_Final[ppn_z],tbl_Historique_Final[date_modif])=Final_Sans_VGE[[#This Row],[date_modif]],
      "Ancien",
      "Modifié"),
   "Nouveau"))</f>
        <v>#VALUE!</v>
      </c>
      <c r="AD6366" s="1" t="str">
        <f>IFERROR(IF(Final_Sans_VGE[[#This Row],[ppn_z]]="","",IFERROR(
   IF(_xlfn.XLOOKUP(Final_Sans_VGE[[#This Row],[ppn_z]],tbl_Historique_Final[[#This Row],[ppn_z]],tbl_Historique_Final[[#This Row],[date_modif]])=Final_Sans_VGE[[#This Row],[date_modif]],
      "Ancien",
      "Modifié"),
   "Nouveau")),"")</f>
        <v/>
      </c>
    </row>
    <row r="6367" spans="24:30" x14ac:dyDescent="0.25">
      <c r="X6367" s="8" t="e">
        <f>IF(Final_Sans_VGE[[#This Row],[ppn_z]]="","",IFERROR(
   IF(_xlfn.XLOOKUP(Final_Sans_VGE[[#This Row],[ppn_z]],tbl_Historique_Final[ppn_z],tbl_Historique_Final[date_modif])=Final_Sans_VGE[[#This Row],[date_modif]],
      "Ancien",
      "Modifié"),
   "Nouveau"))</f>
        <v>#VALUE!</v>
      </c>
      <c r="AD6367" s="1" t="str">
        <f>IFERROR(IF(Final_Sans_VGE[[#This Row],[ppn_z]]="","",IFERROR(
   IF(_xlfn.XLOOKUP(Final_Sans_VGE[[#This Row],[ppn_z]],tbl_Historique_Final[[#This Row],[ppn_z]],tbl_Historique_Final[[#This Row],[date_modif]])=Final_Sans_VGE[[#This Row],[date_modif]],
      "Ancien",
      "Modifié"),
   "Nouveau")),"")</f>
        <v/>
      </c>
    </row>
    <row r="6368" spans="24:30" x14ac:dyDescent="0.25">
      <c r="X6368" s="8" t="e">
        <f>IF(Final_Sans_VGE[[#This Row],[ppn_z]]="","",IFERROR(
   IF(_xlfn.XLOOKUP(Final_Sans_VGE[[#This Row],[ppn_z]],tbl_Historique_Final[ppn_z],tbl_Historique_Final[date_modif])=Final_Sans_VGE[[#This Row],[date_modif]],
      "Ancien",
      "Modifié"),
   "Nouveau"))</f>
        <v>#VALUE!</v>
      </c>
      <c r="AD6368" s="1" t="str">
        <f>IFERROR(IF(Final_Sans_VGE[[#This Row],[ppn_z]]="","",IFERROR(
   IF(_xlfn.XLOOKUP(Final_Sans_VGE[[#This Row],[ppn_z]],tbl_Historique_Final[[#This Row],[ppn_z]],tbl_Historique_Final[[#This Row],[date_modif]])=Final_Sans_VGE[[#This Row],[date_modif]],
      "Ancien",
      "Modifié"),
   "Nouveau")),"")</f>
        <v/>
      </c>
    </row>
    <row r="6369" spans="24:30" x14ac:dyDescent="0.25">
      <c r="X6369" s="8" t="e">
        <f>IF(Final_Sans_VGE[[#This Row],[ppn_z]]="","",IFERROR(
   IF(_xlfn.XLOOKUP(Final_Sans_VGE[[#This Row],[ppn_z]],tbl_Historique_Final[ppn_z],tbl_Historique_Final[date_modif])=Final_Sans_VGE[[#This Row],[date_modif]],
      "Ancien",
      "Modifié"),
   "Nouveau"))</f>
        <v>#VALUE!</v>
      </c>
      <c r="AD6369" s="1" t="str">
        <f>IFERROR(IF(Final_Sans_VGE[[#This Row],[ppn_z]]="","",IFERROR(
   IF(_xlfn.XLOOKUP(Final_Sans_VGE[[#This Row],[ppn_z]],tbl_Historique_Final[[#This Row],[ppn_z]],tbl_Historique_Final[[#This Row],[date_modif]])=Final_Sans_VGE[[#This Row],[date_modif]],
      "Ancien",
      "Modifié"),
   "Nouveau")),"")</f>
        <v/>
      </c>
    </row>
    <row r="6370" spans="24:30" x14ac:dyDescent="0.25">
      <c r="X6370" s="8" t="e">
        <f>IF(Final_Sans_VGE[[#This Row],[ppn_z]]="","",IFERROR(
   IF(_xlfn.XLOOKUP(Final_Sans_VGE[[#This Row],[ppn_z]],tbl_Historique_Final[ppn_z],tbl_Historique_Final[date_modif])=Final_Sans_VGE[[#This Row],[date_modif]],
      "Ancien",
      "Modifié"),
   "Nouveau"))</f>
        <v>#VALUE!</v>
      </c>
      <c r="AD6370" s="1" t="str">
        <f>IFERROR(IF(Final_Sans_VGE[[#This Row],[ppn_z]]="","",IFERROR(
   IF(_xlfn.XLOOKUP(Final_Sans_VGE[[#This Row],[ppn_z]],tbl_Historique_Final[[#This Row],[ppn_z]],tbl_Historique_Final[[#This Row],[date_modif]])=Final_Sans_VGE[[#This Row],[date_modif]],
      "Ancien",
      "Modifié"),
   "Nouveau")),"")</f>
        <v/>
      </c>
    </row>
    <row r="6371" spans="24:30" x14ac:dyDescent="0.25">
      <c r="X6371" s="8" t="e">
        <f>IF(Final_Sans_VGE[[#This Row],[ppn_z]]="","",IFERROR(
   IF(_xlfn.XLOOKUP(Final_Sans_VGE[[#This Row],[ppn_z]],tbl_Historique_Final[ppn_z],tbl_Historique_Final[date_modif])=Final_Sans_VGE[[#This Row],[date_modif]],
      "Ancien",
      "Modifié"),
   "Nouveau"))</f>
        <v>#VALUE!</v>
      </c>
      <c r="AD6371" s="1" t="str">
        <f>IFERROR(IF(Final_Sans_VGE[[#This Row],[ppn_z]]="","",IFERROR(
   IF(_xlfn.XLOOKUP(Final_Sans_VGE[[#This Row],[ppn_z]],tbl_Historique_Final[[#This Row],[ppn_z]],tbl_Historique_Final[[#This Row],[date_modif]])=Final_Sans_VGE[[#This Row],[date_modif]],
      "Ancien",
      "Modifié"),
   "Nouveau")),"")</f>
        <v/>
      </c>
    </row>
    <row r="6372" spans="24:30" x14ac:dyDescent="0.25">
      <c r="X6372" s="8" t="e">
        <f>IF(Final_Sans_VGE[[#This Row],[ppn_z]]="","",IFERROR(
   IF(_xlfn.XLOOKUP(Final_Sans_VGE[[#This Row],[ppn_z]],tbl_Historique_Final[ppn_z],tbl_Historique_Final[date_modif])=Final_Sans_VGE[[#This Row],[date_modif]],
      "Ancien",
      "Modifié"),
   "Nouveau"))</f>
        <v>#VALUE!</v>
      </c>
      <c r="AD6372" s="1" t="str">
        <f>IFERROR(IF(Final_Sans_VGE[[#This Row],[ppn_z]]="","",IFERROR(
   IF(_xlfn.XLOOKUP(Final_Sans_VGE[[#This Row],[ppn_z]],tbl_Historique_Final[[#This Row],[ppn_z]],tbl_Historique_Final[[#This Row],[date_modif]])=Final_Sans_VGE[[#This Row],[date_modif]],
      "Ancien",
      "Modifié"),
   "Nouveau")),"")</f>
        <v/>
      </c>
    </row>
    <row r="6373" spans="24:30" x14ac:dyDescent="0.25">
      <c r="X6373" s="8" t="e">
        <f>IF(Final_Sans_VGE[[#This Row],[ppn_z]]="","",IFERROR(
   IF(_xlfn.XLOOKUP(Final_Sans_VGE[[#This Row],[ppn_z]],tbl_Historique_Final[ppn_z],tbl_Historique_Final[date_modif])=Final_Sans_VGE[[#This Row],[date_modif]],
      "Ancien",
      "Modifié"),
   "Nouveau"))</f>
        <v>#VALUE!</v>
      </c>
      <c r="AD6373" s="1" t="str">
        <f>IFERROR(IF(Final_Sans_VGE[[#This Row],[ppn_z]]="","",IFERROR(
   IF(_xlfn.XLOOKUP(Final_Sans_VGE[[#This Row],[ppn_z]],tbl_Historique_Final[[#This Row],[ppn_z]],tbl_Historique_Final[[#This Row],[date_modif]])=Final_Sans_VGE[[#This Row],[date_modif]],
      "Ancien",
      "Modifié"),
   "Nouveau")),"")</f>
        <v/>
      </c>
    </row>
    <row r="6374" spans="24:30" x14ac:dyDescent="0.25">
      <c r="X6374" s="8" t="e">
        <f>IF(Final_Sans_VGE[[#This Row],[ppn_z]]="","",IFERROR(
   IF(_xlfn.XLOOKUP(Final_Sans_VGE[[#This Row],[ppn_z]],tbl_Historique_Final[ppn_z],tbl_Historique_Final[date_modif])=Final_Sans_VGE[[#This Row],[date_modif]],
      "Ancien",
      "Modifié"),
   "Nouveau"))</f>
        <v>#VALUE!</v>
      </c>
      <c r="AD6374" s="1" t="str">
        <f>IFERROR(IF(Final_Sans_VGE[[#This Row],[ppn_z]]="","",IFERROR(
   IF(_xlfn.XLOOKUP(Final_Sans_VGE[[#This Row],[ppn_z]],tbl_Historique_Final[[#This Row],[ppn_z]],tbl_Historique_Final[[#This Row],[date_modif]])=Final_Sans_VGE[[#This Row],[date_modif]],
      "Ancien",
      "Modifié"),
   "Nouveau")),"")</f>
        <v/>
      </c>
    </row>
    <row r="6375" spans="24:30" x14ac:dyDescent="0.25">
      <c r="X6375" s="8" t="e">
        <f>IF(Final_Sans_VGE[[#This Row],[ppn_z]]="","",IFERROR(
   IF(_xlfn.XLOOKUP(Final_Sans_VGE[[#This Row],[ppn_z]],tbl_Historique_Final[ppn_z],tbl_Historique_Final[date_modif])=Final_Sans_VGE[[#This Row],[date_modif]],
      "Ancien",
      "Modifié"),
   "Nouveau"))</f>
        <v>#VALUE!</v>
      </c>
      <c r="AD6375" s="1" t="str">
        <f>IFERROR(IF(Final_Sans_VGE[[#This Row],[ppn_z]]="","",IFERROR(
   IF(_xlfn.XLOOKUP(Final_Sans_VGE[[#This Row],[ppn_z]],tbl_Historique_Final[[#This Row],[ppn_z]],tbl_Historique_Final[[#This Row],[date_modif]])=Final_Sans_VGE[[#This Row],[date_modif]],
      "Ancien",
      "Modifié"),
   "Nouveau")),"")</f>
        <v/>
      </c>
    </row>
    <row r="6376" spans="24:30" x14ac:dyDescent="0.25">
      <c r="X6376" s="8" t="e">
        <f>IF(Final_Sans_VGE[[#This Row],[ppn_z]]="","",IFERROR(
   IF(_xlfn.XLOOKUP(Final_Sans_VGE[[#This Row],[ppn_z]],tbl_Historique_Final[ppn_z],tbl_Historique_Final[date_modif])=Final_Sans_VGE[[#This Row],[date_modif]],
      "Ancien",
      "Modifié"),
   "Nouveau"))</f>
        <v>#VALUE!</v>
      </c>
      <c r="AD6376" s="1" t="str">
        <f>IFERROR(IF(Final_Sans_VGE[[#This Row],[ppn_z]]="","",IFERROR(
   IF(_xlfn.XLOOKUP(Final_Sans_VGE[[#This Row],[ppn_z]],tbl_Historique_Final[[#This Row],[ppn_z]],tbl_Historique_Final[[#This Row],[date_modif]])=Final_Sans_VGE[[#This Row],[date_modif]],
      "Ancien",
      "Modifié"),
   "Nouveau")),"")</f>
        <v/>
      </c>
    </row>
    <row r="6377" spans="24:30" x14ac:dyDescent="0.25">
      <c r="X6377" s="8" t="e">
        <f>IF(Final_Sans_VGE[[#This Row],[ppn_z]]="","",IFERROR(
   IF(_xlfn.XLOOKUP(Final_Sans_VGE[[#This Row],[ppn_z]],tbl_Historique_Final[ppn_z],tbl_Historique_Final[date_modif])=Final_Sans_VGE[[#This Row],[date_modif]],
      "Ancien",
      "Modifié"),
   "Nouveau"))</f>
        <v>#VALUE!</v>
      </c>
      <c r="AD6377" s="1" t="str">
        <f>IFERROR(IF(Final_Sans_VGE[[#This Row],[ppn_z]]="","",IFERROR(
   IF(_xlfn.XLOOKUP(Final_Sans_VGE[[#This Row],[ppn_z]],tbl_Historique_Final[[#This Row],[ppn_z]],tbl_Historique_Final[[#This Row],[date_modif]])=Final_Sans_VGE[[#This Row],[date_modif]],
      "Ancien",
      "Modifié"),
   "Nouveau")),"")</f>
        <v/>
      </c>
    </row>
    <row r="6378" spans="24:30" x14ac:dyDescent="0.25">
      <c r="X6378" s="8" t="e">
        <f>IF(Final_Sans_VGE[[#This Row],[ppn_z]]="","",IFERROR(
   IF(_xlfn.XLOOKUP(Final_Sans_VGE[[#This Row],[ppn_z]],tbl_Historique_Final[ppn_z],tbl_Historique_Final[date_modif])=Final_Sans_VGE[[#This Row],[date_modif]],
      "Ancien",
      "Modifié"),
   "Nouveau"))</f>
        <v>#VALUE!</v>
      </c>
      <c r="AD6378" s="1" t="str">
        <f>IFERROR(IF(Final_Sans_VGE[[#This Row],[ppn_z]]="","",IFERROR(
   IF(_xlfn.XLOOKUP(Final_Sans_VGE[[#This Row],[ppn_z]],tbl_Historique_Final[[#This Row],[ppn_z]],tbl_Historique_Final[[#This Row],[date_modif]])=Final_Sans_VGE[[#This Row],[date_modif]],
      "Ancien",
      "Modifié"),
   "Nouveau")),"")</f>
        <v/>
      </c>
    </row>
    <row r="6379" spans="24:30" x14ac:dyDescent="0.25">
      <c r="X6379" s="8" t="e">
        <f>IF(Final_Sans_VGE[[#This Row],[ppn_z]]="","",IFERROR(
   IF(_xlfn.XLOOKUP(Final_Sans_VGE[[#This Row],[ppn_z]],tbl_Historique_Final[ppn_z],tbl_Historique_Final[date_modif])=Final_Sans_VGE[[#This Row],[date_modif]],
      "Ancien",
      "Modifié"),
   "Nouveau"))</f>
        <v>#VALUE!</v>
      </c>
      <c r="AD6379" s="1" t="str">
        <f>IFERROR(IF(Final_Sans_VGE[[#This Row],[ppn_z]]="","",IFERROR(
   IF(_xlfn.XLOOKUP(Final_Sans_VGE[[#This Row],[ppn_z]],tbl_Historique_Final[[#This Row],[ppn_z]],tbl_Historique_Final[[#This Row],[date_modif]])=Final_Sans_VGE[[#This Row],[date_modif]],
      "Ancien",
      "Modifié"),
   "Nouveau")),"")</f>
        <v/>
      </c>
    </row>
    <row r="6380" spans="24:30" x14ac:dyDescent="0.25">
      <c r="X6380" s="8" t="e">
        <f>IF(Final_Sans_VGE[[#This Row],[ppn_z]]="","",IFERROR(
   IF(_xlfn.XLOOKUP(Final_Sans_VGE[[#This Row],[ppn_z]],tbl_Historique_Final[ppn_z],tbl_Historique_Final[date_modif])=Final_Sans_VGE[[#This Row],[date_modif]],
      "Ancien",
      "Modifié"),
   "Nouveau"))</f>
        <v>#VALUE!</v>
      </c>
      <c r="AD6380" s="1" t="str">
        <f>IFERROR(IF(Final_Sans_VGE[[#This Row],[ppn_z]]="","",IFERROR(
   IF(_xlfn.XLOOKUP(Final_Sans_VGE[[#This Row],[ppn_z]],tbl_Historique_Final[[#This Row],[ppn_z]],tbl_Historique_Final[[#This Row],[date_modif]])=Final_Sans_VGE[[#This Row],[date_modif]],
      "Ancien",
      "Modifié"),
   "Nouveau")),"")</f>
        <v/>
      </c>
    </row>
    <row r="6381" spans="24:30" x14ac:dyDescent="0.25">
      <c r="X6381" s="8" t="e">
        <f>IF(Final_Sans_VGE[[#This Row],[ppn_z]]="","",IFERROR(
   IF(_xlfn.XLOOKUP(Final_Sans_VGE[[#This Row],[ppn_z]],tbl_Historique_Final[ppn_z],tbl_Historique_Final[date_modif])=Final_Sans_VGE[[#This Row],[date_modif]],
      "Ancien",
      "Modifié"),
   "Nouveau"))</f>
        <v>#VALUE!</v>
      </c>
      <c r="AD6381" s="1" t="str">
        <f>IFERROR(IF(Final_Sans_VGE[[#This Row],[ppn_z]]="","",IFERROR(
   IF(_xlfn.XLOOKUP(Final_Sans_VGE[[#This Row],[ppn_z]],tbl_Historique_Final[[#This Row],[ppn_z]],tbl_Historique_Final[[#This Row],[date_modif]])=Final_Sans_VGE[[#This Row],[date_modif]],
      "Ancien",
      "Modifié"),
   "Nouveau")),"")</f>
        <v/>
      </c>
    </row>
    <row r="6382" spans="24:30" x14ac:dyDescent="0.25">
      <c r="X6382" s="8" t="e">
        <f>IF(Final_Sans_VGE[[#This Row],[ppn_z]]="","",IFERROR(
   IF(_xlfn.XLOOKUP(Final_Sans_VGE[[#This Row],[ppn_z]],tbl_Historique_Final[ppn_z],tbl_Historique_Final[date_modif])=Final_Sans_VGE[[#This Row],[date_modif]],
      "Ancien",
      "Modifié"),
   "Nouveau"))</f>
        <v>#VALUE!</v>
      </c>
      <c r="AD6382" s="1" t="str">
        <f>IFERROR(IF(Final_Sans_VGE[[#This Row],[ppn_z]]="","",IFERROR(
   IF(_xlfn.XLOOKUP(Final_Sans_VGE[[#This Row],[ppn_z]],tbl_Historique_Final[[#This Row],[ppn_z]],tbl_Historique_Final[[#This Row],[date_modif]])=Final_Sans_VGE[[#This Row],[date_modif]],
      "Ancien",
      "Modifié"),
   "Nouveau")),"")</f>
        <v/>
      </c>
    </row>
    <row r="6383" spans="24:30" x14ac:dyDescent="0.25">
      <c r="X6383" s="8" t="e">
        <f>IF(Final_Sans_VGE[[#This Row],[ppn_z]]="","",IFERROR(
   IF(_xlfn.XLOOKUP(Final_Sans_VGE[[#This Row],[ppn_z]],tbl_Historique_Final[ppn_z],tbl_Historique_Final[date_modif])=Final_Sans_VGE[[#This Row],[date_modif]],
      "Ancien",
      "Modifié"),
   "Nouveau"))</f>
        <v>#VALUE!</v>
      </c>
      <c r="AD6383" s="1" t="str">
        <f>IFERROR(IF(Final_Sans_VGE[[#This Row],[ppn_z]]="","",IFERROR(
   IF(_xlfn.XLOOKUP(Final_Sans_VGE[[#This Row],[ppn_z]],tbl_Historique_Final[[#This Row],[ppn_z]],tbl_Historique_Final[[#This Row],[date_modif]])=Final_Sans_VGE[[#This Row],[date_modif]],
      "Ancien",
      "Modifié"),
   "Nouveau")),"")</f>
        <v/>
      </c>
    </row>
    <row r="6384" spans="24:30" x14ac:dyDescent="0.25">
      <c r="X6384" s="8" t="e">
        <f>IF(Final_Sans_VGE[[#This Row],[ppn_z]]="","",IFERROR(
   IF(_xlfn.XLOOKUP(Final_Sans_VGE[[#This Row],[ppn_z]],tbl_Historique_Final[ppn_z],tbl_Historique_Final[date_modif])=Final_Sans_VGE[[#This Row],[date_modif]],
      "Ancien",
      "Modifié"),
   "Nouveau"))</f>
        <v>#VALUE!</v>
      </c>
      <c r="AD6384" s="1" t="str">
        <f>IFERROR(IF(Final_Sans_VGE[[#This Row],[ppn_z]]="","",IFERROR(
   IF(_xlfn.XLOOKUP(Final_Sans_VGE[[#This Row],[ppn_z]],tbl_Historique_Final[[#This Row],[ppn_z]],tbl_Historique_Final[[#This Row],[date_modif]])=Final_Sans_VGE[[#This Row],[date_modif]],
      "Ancien",
      "Modifié"),
   "Nouveau")),"")</f>
        <v/>
      </c>
    </row>
    <row r="6385" spans="24:30" x14ac:dyDescent="0.25">
      <c r="X6385" s="8" t="e">
        <f>IF(Final_Sans_VGE[[#This Row],[ppn_z]]="","",IFERROR(
   IF(_xlfn.XLOOKUP(Final_Sans_VGE[[#This Row],[ppn_z]],tbl_Historique_Final[ppn_z],tbl_Historique_Final[date_modif])=Final_Sans_VGE[[#This Row],[date_modif]],
      "Ancien",
      "Modifié"),
   "Nouveau"))</f>
        <v>#VALUE!</v>
      </c>
      <c r="AD6385" s="1" t="str">
        <f>IFERROR(IF(Final_Sans_VGE[[#This Row],[ppn_z]]="","",IFERROR(
   IF(_xlfn.XLOOKUP(Final_Sans_VGE[[#This Row],[ppn_z]],tbl_Historique_Final[[#This Row],[ppn_z]],tbl_Historique_Final[[#This Row],[date_modif]])=Final_Sans_VGE[[#This Row],[date_modif]],
      "Ancien",
      "Modifié"),
   "Nouveau")),"")</f>
        <v/>
      </c>
    </row>
    <row r="6386" spans="24:30" x14ac:dyDescent="0.25">
      <c r="X6386" s="8" t="e">
        <f>IF(Final_Sans_VGE[[#This Row],[ppn_z]]="","",IFERROR(
   IF(_xlfn.XLOOKUP(Final_Sans_VGE[[#This Row],[ppn_z]],tbl_Historique_Final[ppn_z],tbl_Historique_Final[date_modif])=Final_Sans_VGE[[#This Row],[date_modif]],
      "Ancien",
      "Modifié"),
   "Nouveau"))</f>
        <v>#VALUE!</v>
      </c>
      <c r="AD6386" s="1" t="str">
        <f>IFERROR(IF(Final_Sans_VGE[[#This Row],[ppn_z]]="","",IFERROR(
   IF(_xlfn.XLOOKUP(Final_Sans_VGE[[#This Row],[ppn_z]],tbl_Historique_Final[[#This Row],[ppn_z]],tbl_Historique_Final[[#This Row],[date_modif]])=Final_Sans_VGE[[#This Row],[date_modif]],
      "Ancien",
      "Modifié"),
   "Nouveau")),"")</f>
        <v/>
      </c>
    </row>
    <row r="6387" spans="24:30" x14ac:dyDescent="0.25">
      <c r="X6387" s="8" t="e">
        <f>IF(Final_Sans_VGE[[#This Row],[ppn_z]]="","",IFERROR(
   IF(_xlfn.XLOOKUP(Final_Sans_VGE[[#This Row],[ppn_z]],tbl_Historique_Final[ppn_z],tbl_Historique_Final[date_modif])=Final_Sans_VGE[[#This Row],[date_modif]],
      "Ancien",
      "Modifié"),
   "Nouveau"))</f>
        <v>#VALUE!</v>
      </c>
      <c r="AD6387" s="1" t="str">
        <f>IFERROR(IF(Final_Sans_VGE[[#This Row],[ppn_z]]="","",IFERROR(
   IF(_xlfn.XLOOKUP(Final_Sans_VGE[[#This Row],[ppn_z]],tbl_Historique_Final[[#This Row],[ppn_z]],tbl_Historique_Final[[#This Row],[date_modif]])=Final_Sans_VGE[[#This Row],[date_modif]],
      "Ancien",
      "Modifié"),
   "Nouveau")),"")</f>
        <v/>
      </c>
    </row>
    <row r="6388" spans="24:30" x14ac:dyDescent="0.25">
      <c r="X6388" s="8" t="e">
        <f>IF(Final_Sans_VGE[[#This Row],[ppn_z]]="","",IFERROR(
   IF(_xlfn.XLOOKUP(Final_Sans_VGE[[#This Row],[ppn_z]],tbl_Historique_Final[ppn_z],tbl_Historique_Final[date_modif])=Final_Sans_VGE[[#This Row],[date_modif]],
      "Ancien",
      "Modifié"),
   "Nouveau"))</f>
        <v>#VALUE!</v>
      </c>
      <c r="AD6388" s="1" t="str">
        <f>IFERROR(IF(Final_Sans_VGE[[#This Row],[ppn_z]]="","",IFERROR(
   IF(_xlfn.XLOOKUP(Final_Sans_VGE[[#This Row],[ppn_z]],tbl_Historique_Final[[#This Row],[ppn_z]],tbl_Historique_Final[[#This Row],[date_modif]])=Final_Sans_VGE[[#This Row],[date_modif]],
      "Ancien",
      "Modifié"),
   "Nouveau")),"")</f>
        <v/>
      </c>
    </row>
    <row r="6389" spans="24:30" x14ac:dyDescent="0.25">
      <c r="X6389" s="8" t="e">
        <f>IF(Final_Sans_VGE[[#This Row],[ppn_z]]="","",IFERROR(
   IF(_xlfn.XLOOKUP(Final_Sans_VGE[[#This Row],[ppn_z]],tbl_Historique_Final[ppn_z],tbl_Historique_Final[date_modif])=Final_Sans_VGE[[#This Row],[date_modif]],
      "Ancien",
      "Modifié"),
   "Nouveau"))</f>
        <v>#VALUE!</v>
      </c>
      <c r="AD6389" s="1" t="str">
        <f>IFERROR(IF(Final_Sans_VGE[[#This Row],[ppn_z]]="","",IFERROR(
   IF(_xlfn.XLOOKUP(Final_Sans_VGE[[#This Row],[ppn_z]],tbl_Historique_Final[[#This Row],[ppn_z]],tbl_Historique_Final[[#This Row],[date_modif]])=Final_Sans_VGE[[#This Row],[date_modif]],
      "Ancien",
      "Modifié"),
   "Nouveau")),"")</f>
        <v/>
      </c>
    </row>
    <row r="6390" spans="24:30" x14ac:dyDescent="0.25">
      <c r="X6390" s="8" t="e">
        <f>IF(Final_Sans_VGE[[#This Row],[ppn_z]]="","",IFERROR(
   IF(_xlfn.XLOOKUP(Final_Sans_VGE[[#This Row],[ppn_z]],tbl_Historique_Final[ppn_z],tbl_Historique_Final[date_modif])=Final_Sans_VGE[[#This Row],[date_modif]],
      "Ancien",
      "Modifié"),
   "Nouveau"))</f>
        <v>#VALUE!</v>
      </c>
      <c r="AD6390" s="1" t="str">
        <f>IFERROR(IF(Final_Sans_VGE[[#This Row],[ppn_z]]="","",IFERROR(
   IF(_xlfn.XLOOKUP(Final_Sans_VGE[[#This Row],[ppn_z]],tbl_Historique_Final[[#This Row],[ppn_z]],tbl_Historique_Final[[#This Row],[date_modif]])=Final_Sans_VGE[[#This Row],[date_modif]],
      "Ancien",
      "Modifié"),
   "Nouveau")),"")</f>
        <v/>
      </c>
    </row>
    <row r="6391" spans="24:30" x14ac:dyDescent="0.25">
      <c r="X6391" s="8" t="e">
        <f>IF(Final_Sans_VGE[[#This Row],[ppn_z]]="","",IFERROR(
   IF(_xlfn.XLOOKUP(Final_Sans_VGE[[#This Row],[ppn_z]],tbl_Historique_Final[ppn_z],tbl_Historique_Final[date_modif])=Final_Sans_VGE[[#This Row],[date_modif]],
      "Ancien",
      "Modifié"),
   "Nouveau"))</f>
        <v>#VALUE!</v>
      </c>
      <c r="AD6391" s="1" t="str">
        <f>IFERROR(IF(Final_Sans_VGE[[#This Row],[ppn_z]]="","",IFERROR(
   IF(_xlfn.XLOOKUP(Final_Sans_VGE[[#This Row],[ppn_z]],tbl_Historique_Final[[#This Row],[ppn_z]],tbl_Historique_Final[[#This Row],[date_modif]])=Final_Sans_VGE[[#This Row],[date_modif]],
      "Ancien",
      "Modifié"),
   "Nouveau")),"")</f>
        <v/>
      </c>
    </row>
    <row r="6392" spans="24:30" x14ac:dyDescent="0.25">
      <c r="X6392" s="8" t="e">
        <f>IF(Final_Sans_VGE[[#This Row],[ppn_z]]="","",IFERROR(
   IF(_xlfn.XLOOKUP(Final_Sans_VGE[[#This Row],[ppn_z]],tbl_Historique_Final[ppn_z],tbl_Historique_Final[date_modif])=Final_Sans_VGE[[#This Row],[date_modif]],
      "Ancien",
      "Modifié"),
   "Nouveau"))</f>
        <v>#VALUE!</v>
      </c>
      <c r="AD6392" s="1" t="str">
        <f>IFERROR(IF(Final_Sans_VGE[[#This Row],[ppn_z]]="","",IFERROR(
   IF(_xlfn.XLOOKUP(Final_Sans_VGE[[#This Row],[ppn_z]],tbl_Historique_Final[[#This Row],[ppn_z]],tbl_Historique_Final[[#This Row],[date_modif]])=Final_Sans_VGE[[#This Row],[date_modif]],
      "Ancien",
      "Modifié"),
   "Nouveau")),"")</f>
        <v/>
      </c>
    </row>
    <row r="6393" spans="24:30" x14ac:dyDescent="0.25">
      <c r="X6393" s="8" t="e">
        <f>IF(Final_Sans_VGE[[#This Row],[ppn_z]]="","",IFERROR(
   IF(_xlfn.XLOOKUP(Final_Sans_VGE[[#This Row],[ppn_z]],tbl_Historique_Final[ppn_z],tbl_Historique_Final[date_modif])=Final_Sans_VGE[[#This Row],[date_modif]],
      "Ancien",
      "Modifié"),
   "Nouveau"))</f>
        <v>#VALUE!</v>
      </c>
      <c r="AD6393" s="1" t="str">
        <f>IFERROR(IF(Final_Sans_VGE[[#This Row],[ppn_z]]="","",IFERROR(
   IF(_xlfn.XLOOKUP(Final_Sans_VGE[[#This Row],[ppn_z]],tbl_Historique_Final[[#This Row],[ppn_z]],tbl_Historique_Final[[#This Row],[date_modif]])=Final_Sans_VGE[[#This Row],[date_modif]],
      "Ancien",
      "Modifié"),
   "Nouveau")),"")</f>
        <v/>
      </c>
    </row>
    <row r="6394" spans="24:30" x14ac:dyDescent="0.25">
      <c r="X6394" s="8" t="e">
        <f>IF(Final_Sans_VGE[[#This Row],[ppn_z]]="","",IFERROR(
   IF(_xlfn.XLOOKUP(Final_Sans_VGE[[#This Row],[ppn_z]],tbl_Historique_Final[ppn_z],tbl_Historique_Final[date_modif])=Final_Sans_VGE[[#This Row],[date_modif]],
      "Ancien",
      "Modifié"),
   "Nouveau"))</f>
        <v>#VALUE!</v>
      </c>
      <c r="AD6394" s="1" t="str">
        <f>IFERROR(IF(Final_Sans_VGE[[#This Row],[ppn_z]]="","",IFERROR(
   IF(_xlfn.XLOOKUP(Final_Sans_VGE[[#This Row],[ppn_z]],tbl_Historique_Final[[#This Row],[ppn_z]],tbl_Historique_Final[[#This Row],[date_modif]])=Final_Sans_VGE[[#This Row],[date_modif]],
      "Ancien",
      "Modifié"),
   "Nouveau")),"")</f>
        <v/>
      </c>
    </row>
    <row r="6395" spans="24:30" x14ac:dyDescent="0.25">
      <c r="X6395" s="8" t="e">
        <f>IF(Final_Sans_VGE[[#This Row],[ppn_z]]="","",IFERROR(
   IF(_xlfn.XLOOKUP(Final_Sans_VGE[[#This Row],[ppn_z]],tbl_Historique_Final[ppn_z],tbl_Historique_Final[date_modif])=Final_Sans_VGE[[#This Row],[date_modif]],
      "Ancien",
      "Modifié"),
   "Nouveau"))</f>
        <v>#VALUE!</v>
      </c>
      <c r="AD6395" s="1" t="str">
        <f>IFERROR(IF(Final_Sans_VGE[[#This Row],[ppn_z]]="","",IFERROR(
   IF(_xlfn.XLOOKUP(Final_Sans_VGE[[#This Row],[ppn_z]],tbl_Historique_Final[[#This Row],[ppn_z]],tbl_Historique_Final[[#This Row],[date_modif]])=Final_Sans_VGE[[#This Row],[date_modif]],
      "Ancien",
      "Modifié"),
   "Nouveau")),"")</f>
        <v/>
      </c>
    </row>
    <row r="6396" spans="24:30" x14ac:dyDescent="0.25">
      <c r="X6396" s="8" t="e">
        <f>IF(Final_Sans_VGE[[#This Row],[ppn_z]]="","",IFERROR(
   IF(_xlfn.XLOOKUP(Final_Sans_VGE[[#This Row],[ppn_z]],tbl_Historique_Final[ppn_z],tbl_Historique_Final[date_modif])=Final_Sans_VGE[[#This Row],[date_modif]],
      "Ancien",
      "Modifié"),
   "Nouveau"))</f>
        <v>#VALUE!</v>
      </c>
      <c r="AD6396" s="1" t="str">
        <f>IFERROR(IF(Final_Sans_VGE[[#This Row],[ppn_z]]="","",IFERROR(
   IF(_xlfn.XLOOKUP(Final_Sans_VGE[[#This Row],[ppn_z]],tbl_Historique_Final[[#This Row],[ppn_z]],tbl_Historique_Final[[#This Row],[date_modif]])=Final_Sans_VGE[[#This Row],[date_modif]],
      "Ancien",
      "Modifié"),
   "Nouveau")),"")</f>
        <v/>
      </c>
    </row>
    <row r="6397" spans="24:30" x14ac:dyDescent="0.25">
      <c r="X6397" s="8" t="e">
        <f>IF(Final_Sans_VGE[[#This Row],[ppn_z]]="","",IFERROR(
   IF(_xlfn.XLOOKUP(Final_Sans_VGE[[#This Row],[ppn_z]],tbl_Historique_Final[ppn_z],tbl_Historique_Final[date_modif])=Final_Sans_VGE[[#This Row],[date_modif]],
      "Ancien",
      "Modifié"),
   "Nouveau"))</f>
        <v>#VALUE!</v>
      </c>
      <c r="AD6397" s="1" t="str">
        <f>IFERROR(IF(Final_Sans_VGE[[#This Row],[ppn_z]]="","",IFERROR(
   IF(_xlfn.XLOOKUP(Final_Sans_VGE[[#This Row],[ppn_z]],tbl_Historique_Final[[#This Row],[ppn_z]],tbl_Historique_Final[[#This Row],[date_modif]])=Final_Sans_VGE[[#This Row],[date_modif]],
      "Ancien",
      "Modifié"),
   "Nouveau")),"")</f>
        <v/>
      </c>
    </row>
    <row r="6398" spans="24:30" x14ac:dyDescent="0.25">
      <c r="X6398" s="8" t="e">
        <f>IF(Final_Sans_VGE[[#This Row],[ppn_z]]="","",IFERROR(
   IF(_xlfn.XLOOKUP(Final_Sans_VGE[[#This Row],[ppn_z]],tbl_Historique_Final[ppn_z],tbl_Historique_Final[date_modif])=Final_Sans_VGE[[#This Row],[date_modif]],
      "Ancien",
      "Modifié"),
   "Nouveau"))</f>
        <v>#VALUE!</v>
      </c>
      <c r="AD6398" s="1" t="str">
        <f>IFERROR(IF(Final_Sans_VGE[[#This Row],[ppn_z]]="","",IFERROR(
   IF(_xlfn.XLOOKUP(Final_Sans_VGE[[#This Row],[ppn_z]],tbl_Historique_Final[[#This Row],[ppn_z]],tbl_Historique_Final[[#This Row],[date_modif]])=Final_Sans_VGE[[#This Row],[date_modif]],
      "Ancien",
      "Modifié"),
   "Nouveau")),"")</f>
        <v/>
      </c>
    </row>
    <row r="6399" spans="24:30" x14ac:dyDescent="0.25">
      <c r="X6399" s="8" t="e">
        <f>IF(Final_Sans_VGE[[#This Row],[ppn_z]]="","",IFERROR(
   IF(_xlfn.XLOOKUP(Final_Sans_VGE[[#This Row],[ppn_z]],tbl_Historique_Final[ppn_z],tbl_Historique_Final[date_modif])=Final_Sans_VGE[[#This Row],[date_modif]],
      "Ancien",
      "Modifié"),
   "Nouveau"))</f>
        <v>#VALUE!</v>
      </c>
      <c r="AD6399" s="1" t="str">
        <f>IFERROR(IF(Final_Sans_VGE[[#This Row],[ppn_z]]="","",IFERROR(
   IF(_xlfn.XLOOKUP(Final_Sans_VGE[[#This Row],[ppn_z]],tbl_Historique_Final[[#This Row],[ppn_z]],tbl_Historique_Final[[#This Row],[date_modif]])=Final_Sans_VGE[[#This Row],[date_modif]],
      "Ancien",
      "Modifié"),
   "Nouveau")),"")</f>
        <v/>
      </c>
    </row>
    <row r="6400" spans="24:30" x14ac:dyDescent="0.25">
      <c r="X6400" s="8" t="e">
        <f>IF(Final_Sans_VGE[[#This Row],[ppn_z]]="","",IFERROR(
   IF(_xlfn.XLOOKUP(Final_Sans_VGE[[#This Row],[ppn_z]],tbl_Historique_Final[ppn_z],tbl_Historique_Final[date_modif])=Final_Sans_VGE[[#This Row],[date_modif]],
      "Ancien",
      "Modifié"),
   "Nouveau"))</f>
        <v>#VALUE!</v>
      </c>
      <c r="AD6400" s="1" t="str">
        <f>IFERROR(IF(Final_Sans_VGE[[#This Row],[ppn_z]]="","",IFERROR(
   IF(_xlfn.XLOOKUP(Final_Sans_VGE[[#This Row],[ppn_z]],tbl_Historique_Final[[#This Row],[ppn_z]],tbl_Historique_Final[[#This Row],[date_modif]])=Final_Sans_VGE[[#This Row],[date_modif]],
      "Ancien",
      "Modifié"),
   "Nouveau")),"")</f>
        <v/>
      </c>
    </row>
    <row r="6401" spans="24:30" x14ac:dyDescent="0.25">
      <c r="X6401" s="8" t="e">
        <f>IF(Final_Sans_VGE[[#This Row],[ppn_z]]="","",IFERROR(
   IF(_xlfn.XLOOKUP(Final_Sans_VGE[[#This Row],[ppn_z]],tbl_Historique_Final[ppn_z],tbl_Historique_Final[date_modif])=Final_Sans_VGE[[#This Row],[date_modif]],
      "Ancien",
      "Modifié"),
   "Nouveau"))</f>
        <v>#VALUE!</v>
      </c>
      <c r="AD6401" s="1" t="str">
        <f>IFERROR(IF(Final_Sans_VGE[[#This Row],[ppn_z]]="","",IFERROR(
   IF(_xlfn.XLOOKUP(Final_Sans_VGE[[#This Row],[ppn_z]],tbl_Historique_Final[[#This Row],[ppn_z]],tbl_Historique_Final[[#This Row],[date_modif]])=Final_Sans_VGE[[#This Row],[date_modif]],
      "Ancien",
      "Modifié"),
   "Nouveau")),"")</f>
        <v/>
      </c>
    </row>
    <row r="6402" spans="24:30" x14ac:dyDescent="0.25">
      <c r="X6402" s="8" t="e">
        <f>IF(Final_Sans_VGE[[#This Row],[ppn_z]]="","",IFERROR(
   IF(_xlfn.XLOOKUP(Final_Sans_VGE[[#This Row],[ppn_z]],tbl_Historique_Final[ppn_z],tbl_Historique_Final[date_modif])=Final_Sans_VGE[[#This Row],[date_modif]],
      "Ancien",
      "Modifié"),
   "Nouveau"))</f>
        <v>#VALUE!</v>
      </c>
      <c r="AD6402" s="1" t="str">
        <f>IFERROR(IF(Final_Sans_VGE[[#This Row],[ppn_z]]="","",IFERROR(
   IF(_xlfn.XLOOKUP(Final_Sans_VGE[[#This Row],[ppn_z]],tbl_Historique_Final[[#This Row],[ppn_z]],tbl_Historique_Final[[#This Row],[date_modif]])=Final_Sans_VGE[[#This Row],[date_modif]],
      "Ancien",
      "Modifié"),
   "Nouveau")),"")</f>
        <v/>
      </c>
    </row>
    <row r="6403" spans="24:30" x14ac:dyDescent="0.25">
      <c r="X6403" s="8" t="e">
        <f>IF(Final_Sans_VGE[[#This Row],[ppn_z]]="","",IFERROR(
   IF(_xlfn.XLOOKUP(Final_Sans_VGE[[#This Row],[ppn_z]],tbl_Historique_Final[ppn_z],tbl_Historique_Final[date_modif])=Final_Sans_VGE[[#This Row],[date_modif]],
      "Ancien",
      "Modifié"),
   "Nouveau"))</f>
        <v>#VALUE!</v>
      </c>
      <c r="AD6403" s="1" t="str">
        <f>IFERROR(IF(Final_Sans_VGE[[#This Row],[ppn_z]]="","",IFERROR(
   IF(_xlfn.XLOOKUP(Final_Sans_VGE[[#This Row],[ppn_z]],tbl_Historique_Final[[#This Row],[ppn_z]],tbl_Historique_Final[[#This Row],[date_modif]])=Final_Sans_VGE[[#This Row],[date_modif]],
      "Ancien",
      "Modifié"),
   "Nouveau")),"")</f>
        <v/>
      </c>
    </row>
    <row r="6404" spans="24:30" x14ac:dyDescent="0.25">
      <c r="X6404" s="8" t="e">
        <f>IF(Final_Sans_VGE[[#This Row],[ppn_z]]="","",IFERROR(
   IF(_xlfn.XLOOKUP(Final_Sans_VGE[[#This Row],[ppn_z]],tbl_Historique_Final[ppn_z],tbl_Historique_Final[date_modif])=Final_Sans_VGE[[#This Row],[date_modif]],
      "Ancien",
      "Modifié"),
   "Nouveau"))</f>
        <v>#VALUE!</v>
      </c>
      <c r="AD6404" s="1" t="str">
        <f>IFERROR(IF(Final_Sans_VGE[[#This Row],[ppn_z]]="","",IFERROR(
   IF(_xlfn.XLOOKUP(Final_Sans_VGE[[#This Row],[ppn_z]],tbl_Historique_Final[[#This Row],[ppn_z]],tbl_Historique_Final[[#This Row],[date_modif]])=Final_Sans_VGE[[#This Row],[date_modif]],
      "Ancien",
      "Modifié"),
   "Nouveau")),"")</f>
        <v/>
      </c>
    </row>
    <row r="6405" spans="24:30" x14ac:dyDescent="0.25">
      <c r="X6405" s="8" t="e">
        <f>IF(Final_Sans_VGE[[#This Row],[ppn_z]]="","",IFERROR(
   IF(_xlfn.XLOOKUP(Final_Sans_VGE[[#This Row],[ppn_z]],tbl_Historique_Final[ppn_z],tbl_Historique_Final[date_modif])=Final_Sans_VGE[[#This Row],[date_modif]],
      "Ancien",
      "Modifié"),
   "Nouveau"))</f>
        <v>#VALUE!</v>
      </c>
      <c r="AD6405" s="1" t="str">
        <f>IFERROR(IF(Final_Sans_VGE[[#This Row],[ppn_z]]="","",IFERROR(
   IF(_xlfn.XLOOKUP(Final_Sans_VGE[[#This Row],[ppn_z]],tbl_Historique_Final[[#This Row],[ppn_z]],tbl_Historique_Final[[#This Row],[date_modif]])=Final_Sans_VGE[[#This Row],[date_modif]],
      "Ancien",
      "Modifié"),
   "Nouveau")),"")</f>
        <v/>
      </c>
    </row>
    <row r="6406" spans="24:30" x14ac:dyDescent="0.25">
      <c r="X6406" s="8" t="e">
        <f>IF(Final_Sans_VGE[[#This Row],[ppn_z]]="","",IFERROR(
   IF(_xlfn.XLOOKUP(Final_Sans_VGE[[#This Row],[ppn_z]],tbl_Historique_Final[ppn_z],tbl_Historique_Final[date_modif])=Final_Sans_VGE[[#This Row],[date_modif]],
      "Ancien",
      "Modifié"),
   "Nouveau"))</f>
        <v>#VALUE!</v>
      </c>
      <c r="AD6406" s="1" t="str">
        <f>IFERROR(IF(Final_Sans_VGE[[#This Row],[ppn_z]]="","",IFERROR(
   IF(_xlfn.XLOOKUP(Final_Sans_VGE[[#This Row],[ppn_z]],tbl_Historique_Final[[#This Row],[ppn_z]],tbl_Historique_Final[[#This Row],[date_modif]])=Final_Sans_VGE[[#This Row],[date_modif]],
      "Ancien",
      "Modifié"),
   "Nouveau")),"")</f>
        <v/>
      </c>
    </row>
    <row r="6407" spans="24:30" x14ac:dyDescent="0.25">
      <c r="X6407" s="8" t="e">
        <f>IF(Final_Sans_VGE[[#This Row],[ppn_z]]="","",IFERROR(
   IF(_xlfn.XLOOKUP(Final_Sans_VGE[[#This Row],[ppn_z]],tbl_Historique_Final[ppn_z],tbl_Historique_Final[date_modif])=Final_Sans_VGE[[#This Row],[date_modif]],
      "Ancien",
      "Modifié"),
   "Nouveau"))</f>
        <v>#VALUE!</v>
      </c>
      <c r="AD6407" s="1" t="str">
        <f>IFERROR(IF(Final_Sans_VGE[[#This Row],[ppn_z]]="","",IFERROR(
   IF(_xlfn.XLOOKUP(Final_Sans_VGE[[#This Row],[ppn_z]],tbl_Historique_Final[[#This Row],[ppn_z]],tbl_Historique_Final[[#This Row],[date_modif]])=Final_Sans_VGE[[#This Row],[date_modif]],
      "Ancien",
      "Modifié"),
   "Nouveau")),"")</f>
        <v/>
      </c>
    </row>
    <row r="6408" spans="24:30" x14ac:dyDescent="0.25">
      <c r="X6408" s="8" t="e">
        <f>IF(Final_Sans_VGE[[#This Row],[ppn_z]]="","",IFERROR(
   IF(_xlfn.XLOOKUP(Final_Sans_VGE[[#This Row],[ppn_z]],tbl_Historique_Final[ppn_z],tbl_Historique_Final[date_modif])=Final_Sans_VGE[[#This Row],[date_modif]],
      "Ancien",
      "Modifié"),
   "Nouveau"))</f>
        <v>#VALUE!</v>
      </c>
      <c r="AD6408" s="1" t="str">
        <f>IFERROR(IF(Final_Sans_VGE[[#This Row],[ppn_z]]="","",IFERROR(
   IF(_xlfn.XLOOKUP(Final_Sans_VGE[[#This Row],[ppn_z]],tbl_Historique_Final[[#This Row],[ppn_z]],tbl_Historique_Final[[#This Row],[date_modif]])=Final_Sans_VGE[[#This Row],[date_modif]],
      "Ancien",
      "Modifié"),
   "Nouveau")),"")</f>
        <v/>
      </c>
    </row>
    <row r="6409" spans="24:30" x14ac:dyDescent="0.25">
      <c r="X6409" s="8" t="e">
        <f>IF(Final_Sans_VGE[[#This Row],[ppn_z]]="","",IFERROR(
   IF(_xlfn.XLOOKUP(Final_Sans_VGE[[#This Row],[ppn_z]],tbl_Historique_Final[ppn_z],tbl_Historique_Final[date_modif])=Final_Sans_VGE[[#This Row],[date_modif]],
      "Ancien",
      "Modifié"),
   "Nouveau"))</f>
        <v>#VALUE!</v>
      </c>
      <c r="AD6409" s="1" t="str">
        <f>IFERROR(IF(Final_Sans_VGE[[#This Row],[ppn_z]]="","",IFERROR(
   IF(_xlfn.XLOOKUP(Final_Sans_VGE[[#This Row],[ppn_z]],tbl_Historique_Final[[#This Row],[ppn_z]],tbl_Historique_Final[[#This Row],[date_modif]])=Final_Sans_VGE[[#This Row],[date_modif]],
      "Ancien",
      "Modifié"),
   "Nouveau")),"")</f>
        <v/>
      </c>
    </row>
    <row r="6410" spans="24:30" x14ac:dyDescent="0.25">
      <c r="X6410" s="8" t="e">
        <f>IF(Final_Sans_VGE[[#This Row],[ppn_z]]="","",IFERROR(
   IF(_xlfn.XLOOKUP(Final_Sans_VGE[[#This Row],[ppn_z]],tbl_Historique_Final[ppn_z],tbl_Historique_Final[date_modif])=Final_Sans_VGE[[#This Row],[date_modif]],
      "Ancien",
      "Modifié"),
   "Nouveau"))</f>
        <v>#VALUE!</v>
      </c>
      <c r="AD6410" s="1" t="str">
        <f>IFERROR(IF(Final_Sans_VGE[[#This Row],[ppn_z]]="","",IFERROR(
   IF(_xlfn.XLOOKUP(Final_Sans_VGE[[#This Row],[ppn_z]],tbl_Historique_Final[[#This Row],[ppn_z]],tbl_Historique_Final[[#This Row],[date_modif]])=Final_Sans_VGE[[#This Row],[date_modif]],
      "Ancien",
      "Modifié"),
   "Nouveau")),"")</f>
        <v/>
      </c>
    </row>
    <row r="6411" spans="24:30" x14ac:dyDescent="0.25">
      <c r="X6411" s="8" t="e">
        <f>IF(Final_Sans_VGE[[#This Row],[ppn_z]]="","",IFERROR(
   IF(_xlfn.XLOOKUP(Final_Sans_VGE[[#This Row],[ppn_z]],tbl_Historique_Final[ppn_z],tbl_Historique_Final[date_modif])=Final_Sans_VGE[[#This Row],[date_modif]],
      "Ancien",
      "Modifié"),
   "Nouveau"))</f>
        <v>#VALUE!</v>
      </c>
      <c r="AD6411" s="1" t="str">
        <f>IFERROR(IF(Final_Sans_VGE[[#This Row],[ppn_z]]="","",IFERROR(
   IF(_xlfn.XLOOKUP(Final_Sans_VGE[[#This Row],[ppn_z]],tbl_Historique_Final[[#This Row],[ppn_z]],tbl_Historique_Final[[#This Row],[date_modif]])=Final_Sans_VGE[[#This Row],[date_modif]],
      "Ancien",
      "Modifié"),
   "Nouveau")),"")</f>
        <v/>
      </c>
    </row>
    <row r="6412" spans="24:30" x14ac:dyDescent="0.25">
      <c r="X6412" s="8" t="e">
        <f>IF(Final_Sans_VGE[[#This Row],[ppn_z]]="","",IFERROR(
   IF(_xlfn.XLOOKUP(Final_Sans_VGE[[#This Row],[ppn_z]],tbl_Historique_Final[ppn_z],tbl_Historique_Final[date_modif])=Final_Sans_VGE[[#This Row],[date_modif]],
      "Ancien",
      "Modifié"),
   "Nouveau"))</f>
        <v>#VALUE!</v>
      </c>
      <c r="AD6412" s="1" t="str">
        <f>IFERROR(IF(Final_Sans_VGE[[#This Row],[ppn_z]]="","",IFERROR(
   IF(_xlfn.XLOOKUP(Final_Sans_VGE[[#This Row],[ppn_z]],tbl_Historique_Final[[#This Row],[ppn_z]],tbl_Historique_Final[[#This Row],[date_modif]])=Final_Sans_VGE[[#This Row],[date_modif]],
      "Ancien",
      "Modifié"),
   "Nouveau")),"")</f>
        <v/>
      </c>
    </row>
    <row r="6413" spans="24:30" x14ac:dyDescent="0.25">
      <c r="X6413" s="8" t="e">
        <f>IF(Final_Sans_VGE[[#This Row],[ppn_z]]="","",IFERROR(
   IF(_xlfn.XLOOKUP(Final_Sans_VGE[[#This Row],[ppn_z]],tbl_Historique_Final[ppn_z],tbl_Historique_Final[date_modif])=Final_Sans_VGE[[#This Row],[date_modif]],
      "Ancien",
      "Modifié"),
   "Nouveau"))</f>
        <v>#VALUE!</v>
      </c>
      <c r="AD6413" s="1" t="str">
        <f>IFERROR(IF(Final_Sans_VGE[[#This Row],[ppn_z]]="","",IFERROR(
   IF(_xlfn.XLOOKUP(Final_Sans_VGE[[#This Row],[ppn_z]],tbl_Historique_Final[[#This Row],[ppn_z]],tbl_Historique_Final[[#This Row],[date_modif]])=Final_Sans_VGE[[#This Row],[date_modif]],
      "Ancien",
      "Modifié"),
   "Nouveau")),"")</f>
        <v/>
      </c>
    </row>
    <row r="6414" spans="24:30" x14ac:dyDescent="0.25">
      <c r="X6414" s="8" t="e">
        <f>IF(Final_Sans_VGE[[#This Row],[ppn_z]]="","",IFERROR(
   IF(_xlfn.XLOOKUP(Final_Sans_VGE[[#This Row],[ppn_z]],tbl_Historique_Final[ppn_z],tbl_Historique_Final[date_modif])=Final_Sans_VGE[[#This Row],[date_modif]],
      "Ancien",
      "Modifié"),
   "Nouveau"))</f>
        <v>#VALUE!</v>
      </c>
      <c r="AD6414" s="1" t="str">
        <f>IFERROR(IF(Final_Sans_VGE[[#This Row],[ppn_z]]="","",IFERROR(
   IF(_xlfn.XLOOKUP(Final_Sans_VGE[[#This Row],[ppn_z]],tbl_Historique_Final[[#This Row],[ppn_z]],tbl_Historique_Final[[#This Row],[date_modif]])=Final_Sans_VGE[[#This Row],[date_modif]],
      "Ancien",
      "Modifié"),
   "Nouveau")),"")</f>
        <v/>
      </c>
    </row>
    <row r="6415" spans="24:30" x14ac:dyDescent="0.25">
      <c r="X6415" s="8" t="e">
        <f>IF(Final_Sans_VGE[[#This Row],[ppn_z]]="","",IFERROR(
   IF(_xlfn.XLOOKUP(Final_Sans_VGE[[#This Row],[ppn_z]],tbl_Historique_Final[ppn_z],tbl_Historique_Final[date_modif])=Final_Sans_VGE[[#This Row],[date_modif]],
      "Ancien",
      "Modifié"),
   "Nouveau"))</f>
        <v>#VALUE!</v>
      </c>
      <c r="AD6415" s="1" t="str">
        <f>IFERROR(IF(Final_Sans_VGE[[#This Row],[ppn_z]]="","",IFERROR(
   IF(_xlfn.XLOOKUP(Final_Sans_VGE[[#This Row],[ppn_z]],tbl_Historique_Final[[#This Row],[ppn_z]],tbl_Historique_Final[[#This Row],[date_modif]])=Final_Sans_VGE[[#This Row],[date_modif]],
      "Ancien",
      "Modifié"),
   "Nouveau")),"")</f>
        <v/>
      </c>
    </row>
    <row r="6416" spans="24:30" x14ac:dyDescent="0.25">
      <c r="X6416" s="8" t="e">
        <f>IF(Final_Sans_VGE[[#This Row],[ppn_z]]="","",IFERROR(
   IF(_xlfn.XLOOKUP(Final_Sans_VGE[[#This Row],[ppn_z]],tbl_Historique_Final[ppn_z],tbl_Historique_Final[date_modif])=Final_Sans_VGE[[#This Row],[date_modif]],
      "Ancien",
      "Modifié"),
   "Nouveau"))</f>
        <v>#VALUE!</v>
      </c>
      <c r="AD6416" s="1" t="str">
        <f>IFERROR(IF(Final_Sans_VGE[[#This Row],[ppn_z]]="","",IFERROR(
   IF(_xlfn.XLOOKUP(Final_Sans_VGE[[#This Row],[ppn_z]],tbl_Historique_Final[[#This Row],[ppn_z]],tbl_Historique_Final[[#This Row],[date_modif]])=Final_Sans_VGE[[#This Row],[date_modif]],
      "Ancien",
      "Modifié"),
   "Nouveau")),"")</f>
        <v/>
      </c>
    </row>
    <row r="6417" spans="24:30" x14ac:dyDescent="0.25">
      <c r="X6417" s="8" t="e">
        <f>IF(Final_Sans_VGE[[#This Row],[ppn_z]]="","",IFERROR(
   IF(_xlfn.XLOOKUP(Final_Sans_VGE[[#This Row],[ppn_z]],tbl_Historique_Final[ppn_z],tbl_Historique_Final[date_modif])=Final_Sans_VGE[[#This Row],[date_modif]],
      "Ancien",
      "Modifié"),
   "Nouveau"))</f>
        <v>#VALUE!</v>
      </c>
      <c r="AD6417" s="1" t="str">
        <f>IFERROR(IF(Final_Sans_VGE[[#This Row],[ppn_z]]="","",IFERROR(
   IF(_xlfn.XLOOKUP(Final_Sans_VGE[[#This Row],[ppn_z]],tbl_Historique_Final[[#This Row],[ppn_z]],tbl_Historique_Final[[#This Row],[date_modif]])=Final_Sans_VGE[[#This Row],[date_modif]],
      "Ancien",
      "Modifié"),
   "Nouveau")),"")</f>
        <v/>
      </c>
    </row>
    <row r="6418" spans="24:30" x14ac:dyDescent="0.25">
      <c r="X6418" s="8" t="e">
        <f>IF(Final_Sans_VGE[[#This Row],[ppn_z]]="","",IFERROR(
   IF(_xlfn.XLOOKUP(Final_Sans_VGE[[#This Row],[ppn_z]],tbl_Historique_Final[ppn_z],tbl_Historique_Final[date_modif])=Final_Sans_VGE[[#This Row],[date_modif]],
      "Ancien",
      "Modifié"),
   "Nouveau"))</f>
        <v>#VALUE!</v>
      </c>
      <c r="AD6418" s="1" t="str">
        <f>IFERROR(IF(Final_Sans_VGE[[#This Row],[ppn_z]]="","",IFERROR(
   IF(_xlfn.XLOOKUP(Final_Sans_VGE[[#This Row],[ppn_z]],tbl_Historique_Final[[#This Row],[ppn_z]],tbl_Historique_Final[[#This Row],[date_modif]])=Final_Sans_VGE[[#This Row],[date_modif]],
      "Ancien",
      "Modifié"),
   "Nouveau")),"")</f>
        <v/>
      </c>
    </row>
    <row r="6419" spans="24:30" x14ac:dyDescent="0.25">
      <c r="X6419" s="8" t="e">
        <f>IF(Final_Sans_VGE[[#This Row],[ppn_z]]="","",IFERROR(
   IF(_xlfn.XLOOKUP(Final_Sans_VGE[[#This Row],[ppn_z]],tbl_Historique_Final[ppn_z],tbl_Historique_Final[date_modif])=Final_Sans_VGE[[#This Row],[date_modif]],
      "Ancien",
      "Modifié"),
   "Nouveau"))</f>
        <v>#VALUE!</v>
      </c>
      <c r="AD6419" s="1" t="str">
        <f>IFERROR(IF(Final_Sans_VGE[[#This Row],[ppn_z]]="","",IFERROR(
   IF(_xlfn.XLOOKUP(Final_Sans_VGE[[#This Row],[ppn_z]],tbl_Historique_Final[[#This Row],[ppn_z]],tbl_Historique_Final[[#This Row],[date_modif]])=Final_Sans_VGE[[#This Row],[date_modif]],
      "Ancien",
      "Modifié"),
   "Nouveau")),"")</f>
        <v/>
      </c>
    </row>
    <row r="6420" spans="24:30" x14ac:dyDescent="0.25">
      <c r="X6420" s="8" t="e">
        <f>IF(Final_Sans_VGE[[#This Row],[ppn_z]]="","",IFERROR(
   IF(_xlfn.XLOOKUP(Final_Sans_VGE[[#This Row],[ppn_z]],tbl_Historique_Final[ppn_z],tbl_Historique_Final[date_modif])=Final_Sans_VGE[[#This Row],[date_modif]],
      "Ancien",
      "Modifié"),
   "Nouveau"))</f>
        <v>#VALUE!</v>
      </c>
      <c r="AD6420" s="1" t="str">
        <f>IFERROR(IF(Final_Sans_VGE[[#This Row],[ppn_z]]="","",IFERROR(
   IF(_xlfn.XLOOKUP(Final_Sans_VGE[[#This Row],[ppn_z]],tbl_Historique_Final[[#This Row],[ppn_z]],tbl_Historique_Final[[#This Row],[date_modif]])=Final_Sans_VGE[[#This Row],[date_modif]],
      "Ancien",
      "Modifié"),
   "Nouveau")),"")</f>
        <v/>
      </c>
    </row>
    <row r="6421" spans="24:30" x14ac:dyDescent="0.25">
      <c r="X6421" s="8" t="e">
        <f>IF(Final_Sans_VGE[[#This Row],[ppn_z]]="","",IFERROR(
   IF(_xlfn.XLOOKUP(Final_Sans_VGE[[#This Row],[ppn_z]],tbl_Historique_Final[ppn_z],tbl_Historique_Final[date_modif])=Final_Sans_VGE[[#This Row],[date_modif]],
      "Ancien",
      "Modifié"),
   "Nouveau"))</f>
        <v>#VALUE!</v>
      </c>
      <c r="AD6421" s="1" t="str">
        <f>IFERROR(IF(Final_Sans_VGE[[#This Row],[ppn_z]]="","",IFERROR(
   IF(_xlfn.XLOOKUP(Final_Sans_VGE[[#This Row],[ppn_z]],tbl_Historique_Final[[#This Row],[ppn_z]],tbl_Historique_Final[[#This Row],[date_modif]])=Final_Sans_VGE[[#This Row],[date_modif]],
      "Ancien",
      "Modifié"),
   "Nouveau")),"")</f>
        <v/>
      </c>
    </row>
    <row r="6422" spans="24:30" x14ac:dyDescent="0.25">
      <c r="X6422" s="8" t="e">
        <f>IF(Final_Sans_VGE[[#This Row],[ppn_z]]="","",IFERROR(
   IF(_xlfn.XLOOKUP(Final_Sans_VGE[[#This Row],[ppn_z]],tbl_Historique_Final[ppn_z],tbl_Historique_Final[date_modif])=Final_Sans_VGE[[#This Row],[date_modif]],
      "Ancien",
      "Modifié"),
   "Nouveau"))</f>
        <v>#VALUE!</v>
      </c>
      <c r="AD6422" s="1" t="str">
        <f>IFERROR(IF(Final_Sans_VGE[[#This Row],[ppn_z]]="","",IFERROR(
   IF(_xlfn.XLOOKUP(Final_Sans_VGE[[#This Row],[ppn_z]],tbl_Historique_Final[[#This Row],[ppn_z]],tbl_Historique_Final[[#This Row],[date_modif]])=Final_Sans_VGE[[#This Row],[date_modif]],
      "Ancien",
      "Modifié"),
   "Nouveau")),"")</f>
        <v/>
      </c>
    </row>
    <row r="6423" spans="24:30" x14ac:dyDescent="0.25">
      <c r="X6423" s="8" t="e">
        <f>IF(Final_Sans_VGE[[#This Row],[ppn_z]]="","",IFERROR(
   IF(_xlfn.XLOOKUP(Final_Sans_VGE[[#This Row],[ppn_z]],tbl_Historique_Final[ppn_z],tbl_Historique_Final[date_modif])=Final_Sans_VGE[[#This Row],[date_modif]],
      "Ancien",
      "Modifié"),
   "Nouveau"))</f>
        <v>#VALUE!</v>
      </c>
      <c r="AD6423" s="1" t="str">
        <f>IFERROR(IF(Final_Sans_VGE[[#This Row],[ppn_z]]="","",IFERROR(
   IF(_xlfn.XLOOKUP(Final_Sans_VGE[[#This Row],[ppn_z]],tbl_Historique_Final[[#This Row],[ppn_z]],tbl_Historique_Final[[#This Row],[date_modif]])=Final_Sans_VGE[[#This Row],[date_modif]],
      "Ancien",
      "Modifié"),
   "Nouveau")),"")</f>
        <v/>
      </c>
    </row>
    <row r="6424" spans="24:30" x14ac:dyDescent="0.25">
      <c r="X6424" s="8" t="e">
        <f>IF(Final_Sans_VGE[[#This Row],[ppn_z]]="","",IFERROR(
   IF(_xlfn.XLOOKUP(Final_Sans_VGE[[#This Row],[ppn_z]],tbl_Historique_Final[ppn_z],tbl_Historique_Final[date_modif])=Final_Sans_VGE[[#This Row],[date_modif]],
      "Ancien",
      "Modifié"),
   "Nouveau"))</f>
        <v>#VALUE!</v>
      </c>
      <c r="AD6424" s="1" t="str">
        <f>IFERROR(IF(Final_Sans_VGE[[#This Row],[ppn_z]]="","",IFERROR(
   IF(_xlfn.XLOOKUP(Final_Sans_VGE[[#This Row],[ppn_z]],tbl_Historique_Final[[#This Row],[ppn_z]],tbl_Historique_Final[[#This Row],[date_modif]])=Final_Sans_VGE[[#This Row],[date_modif]],
      "Ancien",
      "Modifié"),
   "Nouveau")),"")</f>
        <v/>
      </c>
    </row>
    <row r="6425" spans="24:30" x14ac:dyDescent="0.25">
      <c r="X6425" s="8" t="e">
        <f>IF(Final_Sans_VGE[[#This Row],[ppn_z]]="","",IFERROR(
   IF(_xlfn.XLOOKUP(Final_Sans_VGE[[#This Row],[ppn_z]],tbl_Historique_Final[ppn_z],tbl_Historique_Final[date_modif])=Final_Sans_VGE[[#This Row],[date_modif]],
      "Ancien",
      "Modifié"),
   "Nouveau"))</f>
        <v>#VALUE!</v>
      </c>
      <c r="AD6425" s="1" t="str">
        <f>IFERROR(IF(Final_Sans_VGE[[#This Row],[ppn_z]]="","",IFERROR(
   IF(_xlfn.XLOOKUP(Final_Sans_VGE[[#This Row],[ppn_z]],tbl_Historique_Final[[#This Row],[ppn_z]],tbl_Historique_Final[[#This Row],[date_modif]])=Final_Sans_VGE[[#This Row],[date_modif]],
      "Ancien",
      "Modifié"),
   "Nouveau")),"")</f>
        <v/>
      </c>
    </row>
    <row r="6426" spans="24:30" x14ac:dyDescent="0.25">
      <c r="X6426" s="8" t="e">
        <f>IF(Final_Sans_VGE[[#This Row],[ppn_z]]="","",IFERROR(
   IF(_xlfn.XLOOKUP(Final_Sans_VGE[[#This Row],[ppn_z]],tbl_Historique_Final[ppn_z],tbl_Historique_Final[date_modif])=Final_Sans_VGE[[#This Row],[date_modif]],
      "Ancien",
      "Modifié"),
   "Nouveau"))</f>
        <v>#VALUE!</v>
      </c>
      <c r="AD6426" s="1" t="str">
        <f>IFERROR(IF(Final_Sans_VGE[[#This Row],[ppn_z]]="","",IFERROR(
   IF(_xlfn.XLOOKUP(Final_Sans_VGE[[#This Row],[ppn_z]],tbl_Historique_Final[[#This Row],[ppn_z]],tbl_Historique_Final[[#This Row],[date_modif]])=Final_Sans_VGE[[#This Row],[date_modif]],
      "Ancien",
      "Modifié"),
   "Nouveau")),"")</f>
        <v/>
      </c>
    </row>
    <row r="6427" spans="24:30" x14ac:dyDescent="0.25">
      <c r="X6427" s="8" t="e">
        <f>IF(Final_Sans_VGE[[#This Row],[ppn_z]]="","",IFERROR(
   IF(_xlfn.XLOOKUP(Final_Sans_VGE[[#This Row],[ppn_z]],tbl_Historique_Final[ppn_z],tbl_Historique_Final[date_modif])=Final_Sans_VGE[[#This Row],[date_modif]],
      "Ancien",
      "Modifié"),
   "Nouveau"))</f>
        <v>#VALUE!</v>
      </c>
      <c r="AD6427" s="1" t="str">
        <f>IFERROR(IF(Final_Sans_VGE[[#This Row],[ppn_z]]="","",IFERROR(
   IF(_xlfn.XLOOKUP(Final_Sans_VGE[[#This Row],[ppn_z]],tbl_Historique_Final[[#This Row],[ppn_z]],tbl_Historique_Final[[#This Row],[date_modif]])=Final_Sans_VGE[[#This Row],[date_modif]],
      "Ancien",
      "Modifié"),
   "Nouveau")),"")</f>
        <v/>
      </c>
    </row>
    <row r="6428" spans="24:30" x14ac:dyDescent="0.25">
      <c r="X6428" s="8" t="e">
        <f>IF(Final_Sans_VGE[[#This Row],[ppn_z]]="","",IFERROR(
   IF(_xlfn.XLOOKUP(Final_Sans_VGE[[#This Row],[ppn_z]],tbl_Historique_Final[ppn_z],tbl_Historique_Final[date_modif])=Final_Sans_VGE[[#This Row],[date_modif]],
      "Ancien",
      "Modifié"),
   "Nouveau"))</f>
        <v>#VALUE!</v>
      </c>
      <c r="AD6428" s="1" t="str">
        <f>IFERROR(IF(Final_Sans_VGE[[#This Row],[ppn_z]]="","",IFERROR(
   IF(_xlfn.XLOOKUP(Final_Sans_VGE[[#This Row],[ppn_z]],tbl_Historique_Final[[#This Row],[ppn_z]],tbl_Historique_Final[[#This Row],[date_modif]])=Final_Sans_VGE[[#This Row],[date_modif]],
      "Ancien",
      "Modifié"),
   "Nouveau")),"")</f>
        <v/>
      </c>
    </row>
    <row r="6429" spans="24:30" x14ac:dyDescent="0.25">
      <c r="X6429" s="8" t="e">
        <f>IF(Final_Sans_VGE[[#This Row],[ppn_z]]="","",IFERROR(
   IF(_xlfn.XLOOKUP(Final_Sans_VGE[[#This Row],[ppn_z]],tbl_Historique_Final[ppn_z],tbl_Historique_Final[date_modif])=Final_Sans_VGE[[#This Row],[date_modif]],
      "Ancien",
      "Modifié"),
   "Nouveau"))</f>
        <v>#VALUE!</v>
      </c>
      <c r="AD6429" s="1" t="str">
        <f>IFERROR(IF(Final_Sans_VGE[[#This Row],[ppn_z]]="","",IFERROR(
   IF(_xlfn.XLOOKUP(Final_Sans_VGE[[#This Row],[ppn_z]],tbl_Historique_Final[[#This Row],[ppn_z]],tbl_Historique_Final[[#This Row],[date_modif]])=Final_Sans_VGE[[#This Row],[date_modif]],
      "Ancien",
      "Modifié"),
   "Nouveau")),"")</f>
        <v/>
      </c>
    </row>
    <row r="6430" spans="24:30" x14ac:dyDescent="0.25">
      <c r="X6430" s="8" t="e">
        <f>IF(Final_Sans_VGE[[#This Row],[ppn_z]]="","",IFERROR(
   IF(_xlfn.XLOOKUP(Final_Sans_VGE[[#This Row],[ppn_z]],tbl_Historique_Final[ppn_z],tbl_Historique_Final[date_modif])=Final_Sans_VGE[[#This Row],[date_modif]],
      "Ancien",
      "Modifié"),
   "Nouveau"))</f>
        <v>#VALUE!</v>
      </c>
      <c r="AD6430" s="1" t="str">
        <f>IFERROR(IF(Final_Sans_VGE[[#This Row],[ppn_z]]="","",IFERROR(
   IF(_xlfn.XLOOKUP(Final_Sans_VGE[[#This Row],[ppn_z]],tbl_Historique_Final[[#This Row],[ppn_z]],tbl_Historique_Final[[#This Row],[date_modif]])=Final_Sans_VGE[[#This Row],[date_modif]],
      "Ancien",
      "Modifié"),
   "Nouveau")),"")</f>
        <v/>
      </c>
    </row>
    <row r="6431" spans="24:30" x14ac:dyDescent="0.25">
      <c r="X6431" s="8" t="e">
        <f>IF(Final_Sans_VGE[[#This Row],[ppn_z]]="","",IFERROR(
   IF(_xlfn.XLOOKUP(Final_Sans_VGE[[#This Row],[ppn_z]],tbl_Historique_Final[ppn_z],tbl_Historique_Final[date_modif])=Final_Sans_VGE[[#This Row],[date_modif]],
      "Ancien",
      "Modifié"),
   "Nouveau"))</f>
        <v>#VALUE!</v>
      </c>
      <c r="AD6431" s="1" t="str">
        <f>IFERROR(IF(Final_Sans_VGE[[#This Row],[ppn_z]]="","",IFERROR(
   IF(_xlfn.XLOOKUP(Final_Sans_VGE[[#This Row],[ppn_z]],tbl_Historique_Final[[#This Row],[ppn_z]],tbl_Historique_Final[[#This Row],[date_modif]])=Final_Sans_VGE[[#This Row],[date_modif]],
      "Ancien",
      "Modifié"),
   "Nouveau")),"")</f>
        <v/>
      </c>
    </row>
    <row r="6432" spans="24:30" x14ac:dyDescent="0.25">
      <c r="X6432" s="8" t="e">
        <f>IF(Final_Sans_VGE[[#This Row],[ppn_z]]="","",IFERROR(
   IF(_xlfn.XLOOKUP(Final_Sans_VGE[[#This Row],[ppn_z]],tbl_Historique_Final[ppn_z],tbl_Historique_Final[date_modif])=Final_Sans_VGE[[#This Row],[date_modif]],
      "Ancien",
      "Modifié"),
   "Nouveau"))</f>
        <v>#VALUE!</v>
      </c>
      <c r="AD6432" s="1" t="str">
        <f>IFERROR(IF(Final_Sans_VGE[[#This Row],[ppn_z]]="","",IFERROR(
   IF(_xlfn.XLOOKUP(Final_Sans_VGE[[#This Row],[ppn_z]],tbl_Historique_Final[[#This Row],[ppn_z]],tbl_Historique_Final[[#This Row],[date_modif]])=Final_Sans_VGE[[#This Row],[date_modif]],
      "Ancien",
      "Modifié"),
   "Nouveau")),"")</f>
        <v/>
      </c>
    </row>
    <row r="6433" spans="24:30" x14ac:dyDescent="0.25">
      <c r="X6433" s="8" t="e">
        <f>IF(Final_Sans_VGE[[#This Row],[ppn_z]]="","",IFERROR(
   IF(_xlfn.XLOOKUP(Final_Sans_VGE[[#This Row],[ppn_z]],tbl_Historique_Final[ppn_z],tbl_Historique_Final[date_modif])=Final_Sans_VGE[[#This Row],[date_modif]],
      "Ancien",
      "Modifié"),
   "Nouveau"))</f>
        <v>#VALUE!</v>
      </c>
      <c r="AD6433" s="1" t="str">
        <f>IFERROR(IF(Final_Sans_VGE[[#This Row],[ppn_z]]="","",IFERROR(
   IF(_xlfn.XLOOKUP(Final_Sans_VGE[[#This Row],[ppn_z]],tbl_Historique_Final[[#This Row],[ppn_z]],tbl_Historique_Final[[#This Row],[date_modif]])=Final_Sans_VGE[[#This Row],[date_modif]],
      "Ancien",
      "Modifié"),
   "Nouveau")),"")</f>
        <v/>
      </c>
    </row>
    <row r="6434" spans="24:30" x14ac:dyDescent="0.25">
      <c r="X6434" s="8" t="e">
        <f>IF(Final_Sans_VGE[[#This Row],[ppn_z]]="","",IFERROR(
   IF(_xlfn.XLOOKUP(Final_Sans_VGE[[#This Row],[ppn_z]],tbl_Historique_Final[ppn_z],tbl_Historique_Final[date_modif])=Final_Sans_VGE[[#This Row],[date_modif]],
      "Ancien",
      "Modifié"),
   "Nouveau"))</f>
        <v>#VALUE!</v>
      </c>
      <c r="AD6434" s="1" t="str">
        <f>IFERROR(IF(Final_Sans_VGE[[#This Row],[ppn_z]]="","",IFERROR(
   IF(_xlfn.XLOOKUP(Final_Sans_VGE[[#This Row],[ppn_z]],tbl_Historique_Final[[#This Row],[ppn_z]],tbl_Historique_Final[[#This Row],[date_modif]])=Final_Sans_VGE[[#This Row],[date_modif]],
      "Ancien",
      "Modifié"),
   "Nouveau")),"")</f>
        <v/>
      </c>
    </row>
    <row r="6435" spans="24:30" x14ac:dyDescent="0.25">
      <c r="X6435" s="8" t="e">
        <f>IF(Final_Sans_VGE[[#This Row],[ppn_z]]="","",IFERROR(
   IF(_xlfn.XLOOKUP(Final_Sans_VGE[[#This Row],[ppn_z]],tbl_Historique_Final[ppn_z],tbl_Historique_Final[date_modif])=Final_Sans_VGE[[#This Row],[date_modif]],
      "Ancien",
      "Modifié"),
   "Nouveau"))</f>
        <v>#VALUE!</v>
      </c>
      <c r="AD6435" s="1" t="str">
        <f>IFERROR(IF(Final_Sans_VGE[[#This Row],[ppn_z]]="","",IFERROR(
   IF(_xlfn.XLOOKUP(Final_Sans_VGE[[#This Row],[ppn_z]],tbl_Historique_Final[[#This Row],[ppn_z]],tbl_Historique_Final[[#This Row],[date_modif]])=Final_Sans_VGE[[#This Row],[date_modif]],
      "Ancien",
      "Modifié"),
   "Nouveau")),"")</f>
        <v/>
      </c>
    </row>
    <row r="6436" spans="24:30" x14ac:dyDescent="0.25">
      <c r="X6436" s="8" t="e">
        <f>IF(Final_Sans_VGE[[#This Row],[ppn_z]]="","",IFERROR(
   IF(_xlfn.XLOOKUP(Final_Sans_VGE[[#This Row],[ppn_z]],tbl_Historique_Final[ppn_z],tbl_Historique_Final[date_modif])=Final_Sans_VGE[[#This Row],[date_modif]],
      "Ancien",
      "Modifié"),
   "Nouveau"))</f>
        <v>#VALUE!</v>
      </c>
      <c r="AD6436" s="1" t="str">
        <f>IFERROR(IF(Final_Sans_VGE[[#This Row],[ppn_z]]="","",IFERROR(
   IF(_xlfn.XLOOKUP(Final_Sans_VGE[[#This Row],[ppn_z]],tbl_Historique_Final[[#This Row],[ppn_z]],tbl_Historique_Final[[#This Row],[date_modif]])=Final_Sans_VGE[[#This Row],[date_modif]],
      "Ancien",
      "Modifié"),
   "Nouveau")),"")</f>
        <v/>
      </c>
    </row>
    <row r="6437" spans="24:30" x14ac:dyDescent="0.25">
      <c r="X6437" s="8" t="e">
        <f>IF(Final_Sans_VGE[[#This Row],[ppn_z]]="","",IFERROR(
   IF(_xlfn.XLOOKUP(Final_Sans_VGE[[#This Row],[ppn_z]],tbl_Historique_Final[ppn_z],tbl_Historique_Final[date_modif])=Final_Sans_VGE[[#This Row],[date_modif]],
      "Ancien",
      "Modifié"),
   "Nouveau"))</f>
        <v>#VALUE!</v>
      </c>
      <c r="AD6437" s="1" t="str">
        <f>IFERROR(IF(Final_Sans_VGE[[#This Row],[ppn_z]]="","",IFERROR(
   IF(_xlfn.XLOOKUP(Final_Sans_VGE[[#This Row],[ppn_z]],tbl_Historique_Final[[#This Row],[ppn_z]],tbl_Historique_Final[[#This Row],[date_modif]])=Final_Sans_VGE[[#This Row],[date_modif]],
      "Ancien",
      "Modifié"),
   "Nouveau")),"")</f>
        <v/>
      </c>
    </row>
    <row r="6438" spans="24:30" x14ac:dyDescent="0.25">
      <c r="X6438" s="8" t="e">
        <f>IF(Final_Sans_VGE[[#This Row],[ppn_z]]="","",IFERROR(
   IF(_xlfn.XLOOKUP(Final_Sans_VGE[[#This Row],[ppn_z]],tbl_Historique_Final[ppn_z],tbl_Historique_Final[date_modif])=Final_Sans_VGE[[#This Row],[date_modif]],
      "Ancien",
      "Modifié"),
   "Nouveau"))</f>
        <v>#VALUE!</v>
      </c>
      <c r="AD6438" s="1" t="str">
        <f>IFERROR(IF(Final_Sans_VGE[[#This Row],[ppn_z]]="","",IFERROR(
   IF(_xlfn.XLOOKUP(Final_Sans_VGE[[#This Row],[ppn_z]],tbl_Historique_Final[[#This Row],[ppn_z]],tbl_Historique_Final[[#This Row],[date_modif]])=Final_Sans_VGE[[#This Row],[date_modif]],
      "Ancien",
      "Modifié"),
   "Nouveau")),"")</f>
        <v/>
      </c>
    </row>
    <row r="6439" spans="24:30" x14ac:dyDescent="0.25">
      <c r="X6439" s="8" t="e">
        <f>IF(Final_Sans_VGE[[#This Row],[ppn_z]]="","",IFERROR(
   IF(_xlfn.XLOOKUP(Final_Sans_VGE[[#This Row],[ppn_z]],tbl_Historique_Final[ppn_z],tbl_Historique_Final[date_modif])=Final_Sans_VGE[[#This Row],[date_modif]],
      "Ancien",
      "Modifié"),
   "Nouveau"))</f>
        <v>#VALUE!</v>
      </c>
      <c r="AD6439" s="1" t="str">
        <f>IFERROR(IF(Final_Sans_VGE[[#This Row],[ppn_z]]="","",IFERROR(
   IF(_xlfn.XLOOKUP(Final_Sans_VGE[[#This Row],[ppn_z]],tbl_Historique_Final[[#This Row],[ppn_z]],tbl_Historique_Final[[#This Row],[date_modif]])=Final_Sans_VGE[[#This Row],[date_modif]],
      "Ancien",
      "Modifié"),
   "Nouveau")),"")</f>
        <v/>
      </c>
    </row>
    <row r="6440" spans="24:30" x14ac:dyDescent="0.25">
      <c r="X6440" s="8" t="e">
        <f>IF(Final_Sans_VGE[[#This Row],[ppn_z]]="","",IFERROR(
   IF(_xlfn.XLOOKUP(Final_Sans_VGE[[#This Row],[ppn_z]],tbl_Historique_Final[ppn_z],tbl_Historique_Final[date_modif])=Final_Sans_VGE[[#This Row],[date_modif]],
      "Ancien",
      "Modifié"),
   "Nouveau"))</f>
        <v>#VALUE!</v>
      </c>
      <c r="AD6440" s="1" t="str">
        <f>IFERROR(IF(Final_Sans_VGE[[#This Row],[ppn_z]]="","",IFERROR(
   IF(_xlfn.XLOOKUP(Final_Sans_VGE[[#This Row],[ppn_z]],tbl_Historique_Final[[#This Row],[ppn_z]],tbl_Historique_Final[[#This Row],[date_modif]])=Final_Sans_VGE[[#This Row],[date_modif]],
      "Ancien",
      "Modifié"),
   "Nouveau")),"")</f>
        <v/>
      </c>
    </row>
    <row r="6441" spans="24:30" x14ac:dyDescent="0.25">
      <c r="X6441" s="8" t="e">
        <f>IF(Final_Sans_VGE[[#This Row],[ppn_z]]="","",IFERROR(
   IF(_xlfn.XLOOKUP(Final_Sans_VGE[[#This Row],[ppn_z]],tbl_Historique_Final[ppn_z],tbl_Historique_Final[date_modif])=Final_Sans_VGE[[#This Row],[date_modif]],
      "Ancien",
      "Modifié"),
   "Nouveau"))</f>
        <v>#VALUE!</v>
      </c>
      <c r="AD6441" s="1" t="str">
        <f>IFERROR(IF(Final_Sans_VGE[[#This Row],[ppn_z]]="","",IFERROR(
   IF(_xlfn.XLOOKUP(Final_Sans_VGE[[#This Row],[ppn_z]],tbl_Historique_Final[[#This Row],[ppn_z]],tbl_Historique_Final[[#This Row],[date_modif]])=Final_Sans_VGE[[#This Row],[date_modif]],
      "Ancien",
      "Modifié"),
   "Nouveau")),"")</f>
        <v/>
      </c>
    </row>
    <row r="6442" spans="24:30" x14ac:dyDescent="0.25">
      <c r="X6442" s="8" t="e">
        <f>IF(Final_Sans_VGE[[#This Row],[ppn_z]]="","",IFERROR(
   IF(_xlfn.XLOOKUP(Final_Sans_VGE[[#This Row],[ppn_z]],tbl_Historique_Final[ppn_z],tbl_Historique_Final[date_modif])=Final_Sans_VGE[[#This Row],[date_modif]],
      "Ancien",
      "Modifié"),
   "Nouveau"))</f>
        <v>#VALUE!</v>
      </c>
      <c r="AD6442" s="1" t="str">
        <f>IFERROR(IF(Final_Sans_VGE[[#This Row],[ppn_z]]="","",IFERROR(
   IF(_xlfn.XLOOKUP(Final_Sans_VGE[[#This Row],[ppn_z]],tbl_Historique_Final[[#This Row],[ppn_z]],tbl_Historique_Final[[#This Row],[date_modif]])=Final_Sans_VGE[[#This Row],[date_modif]],
      "Ancien",
      "Modifié"),
   "Nouveau")),"")</f>
        <v/>
      </c>
    </row>
    <row r="6443" spans="24:30" x14ac:dyDescent="0.25">
      <c r="X6443" s="8" t="e">
        <f>IF(Final_Sans_VGE[[#This Row],[ppn_z]]="","",IFERROR(
   IF(_xlfn.XLOOKUP(Final_Sans_VGE[[#This Row],[ppn_z]],tbl_Historique_Final[ppn_z],tbl_Historique_Final[date_modif])=Final_Sans_VGE[[#This Row],[date_modif]],
      "Ancien",
      "Modifié"),
   "Nouveau"))</f>
        <v>#VALUE!</v>
      </c>
      <c r="AD6443" s="1" t="str">
        <f>IFERROR(IF(Final_Sans_VGE[[#This Row],[ppn_z]]="","",IFERROR(
   IF(_xlfn.XLOOKUP(Final_Sans_VGE[[#This Row],[ppn_z]],tbl_Historique_Final[[#This Row],[ppn_z]],tbl_Historique_Final[[#This Row],[date_modif]])=Final_Sans_VGE[[#This Row],[date_modif]],
      "Ancien",
      "Modifié"),
   "Nouveau")),"")</f>
        <v/>
      </c>
    </row>
    <row r="6444" spans="24:30" x14ac:dyDescent="0.25">
      <c r="X6444" s="8" t="e">
        <f>IF(Final_Sans_VGE[[#This Row],[ppn_z]]="","",IFERROR(
   IF(_xlfn.XLOOKUP(Final_Sans_VGE[[#This Row],[ppn_z]],tbl_Historique_Final[ppn_z],tbl_Historique_Final[date_modif])=Final_Sans_VGE[[#This Row],[date_modif]],
      "Ancien",
      "Modifié"),
   "Nouveau"))</f>
        <v>#VALUE!</v>
      </c>
      <c r="AD6444" s="1" t="str">
        <f>IFERROR(IF(Final_Sans_VGE[[#This Row],[ppn_z]]="","",IFERROR(
   IF(_xlfn.XLOOKUP(Final_Sans_VGE[[#This Row],[ppn_z]],tbl_Historique_Final[[#This Row],[ppn_z]],tbl_Historique_Final[[#This Row],[date_modif]])=Final_Sans_VGE[[#This Row],[date_modif]],
      "Ancien",
      "Modifié"),
   "Nouveau")),"")</f>
        <v/>
      </c>
    </row>
    <row r="6445" spans="24:30" x14ac:dyDescent="0.25">
      <c r="X6445" s="8" t="e">
        <f>IF(Final_Sans_VGE[[#This Row],[ppn_z]]="","",IFERROR(
   IF(_xlfn.XLOOKUP(Final_Sans_VGE[[#This Row],[ppn_z]],tbl_Historique_Final[ppn_z],tbl_Historique_Final[date_modif])=Final_Sans_VGE[[#This Row],[date_modif]],
      "Ancien",
      "Modifié"),
   "Nouveau"))</f>
        <v>#VALUE!</v>
      </c>
      <c r="AD6445" s="1" t="str">
        <f>IFERROR(IF(Final_Sans_VGE[[#This Row],[ppn_z]]="","",IFERROR(
   IF(_xlfn.XLOOKUP(Final_Sans_VGE[[#This Row],[ppn_z]],tbl_Historique_Final[[#This Row],[ppn_z]],tbl_Historique_Final[[#This Row],[date_modif]])=Final_Sans_VGE[[#This Row],[date_modif]],
      "Ancien",
      "Modifié"),
   "Nouveau")),"")</f>
        <v/>
      </c>
    </row>
    <row r="6446" spans="24:30" x14ac:dyDescent="0.25">
      <c r="X6446" s="8" t="e">
        <f>IF(Final_Sans_VGE[[#This Row],[ppn_z]]="","",IFERROR(
   IF(_xlfn.XLOOKUP(Final_Sans_VGE[[#This Row],[ppn_z]],tbl_Historique_Final[ppn_z],tbl_Historique_Final[date_modif])=Final_Sans_VGE[[#This Row],[date_modif]],
      "Ancien",
      "Modifié"),
   "Nouveau"))</f>
        <v>#VALUE!</v>
      </c>
      <c r="AD6446" s="1" t="str">
        <f>IFERROR(IF(Final_Sans_VGE[[#This Row],[ppn_z]]="","",IFERROR(
   IF(_xlfn.XLOOKUP(Final_Sans_VGE[[#This Row],[ppn_z]],tbl_Historique_Final[[#This Row],[ppn_z]],tbl_Historique_Final[[#This Row],[date_modif]])=Final_Sans_VGE[[#This Row],[date_modif]],
      "Ancien",
      "Modifié"),
   "Nouveau")),"")</f>
        <v/>
      </c>
    </row>
    <row r="6447" spans="24:30" x14ac:dyDescent="0.25">
      <c r="X6447" s="8" t="e">
        <f>IF(Final_Sans_VGE[[#This Row],[ppn_z]]="","",IFERROR(
   IF(_xlfn.XLOOKUP(Final_Sans_VGE[[#This Row],[ppn_z]],tbl_Historique_Final[ppn_z],tbl_Historique_Final[date_modif])=Final_Sans_VGE[[#This Row],[date_modif]],
      "Ancien",
      "Modifié"),
   "Nouveau"))</f>
        <v>#VALUE!</v>
      </c>
      <c r="AD6447" s="1" t="str">
        <f>IFERROR(IF(Final_Sans_VGE[[#This Row],[ppn_z]]="","",IFERROR(
   IF(_xlfn.XLOOKUP(Final_Sans_VGE[[#This Row],[ppn_z]],tbl_Historique_Final[[#This Row],[ppn_z]],tbl_Historique_Final[[#This Row],[date_modif]])=Final_Sans_VGE[[#This Row],[date_modif]],
      "Ancien",
      "Modifié"),
   "Nouveau")),"")</f>
        <v/>
      </c>
    </row>
    <row r="6448" spans="24:30" x14ac:dyDescent="0.25">
      <c r="X6448" s="8" t="e">
        <f>IF(Final_Sans_VGE[[#This Row],[ppn_z]]="","",IFERROR(
   IF(_xlfn.XLOOKUP(Final_Sans_VGE[[#This Row],[ppn_z]],tbl_Historique_Final[ppn_z],tbl_Historique_Final[date_modif])=Final_Sans_VGE[[#This Row],[date_modif]],
      "Ancien",
      "Modifié"),
   "Nouveau"))</f>
        <v>#VALUE!</v>
      </c>
      <c r="AD6448" s="1" t="str">
        <f>IFERROR(IF(Final_Sans_VGE[[#This Row],[ppn_z]]="","",IFERROR(
   IF(_xlfn.XLOOKUP(Final_Sans_VGE[[#This Row],[ppn_z]],tbl_Historique_Final[[#This Row],[ppn_z]],tbl_Historique_Final[[#This Row],[date_modif]])=Final_Sans_VGE[[#This Row],[date_modif]],
      "Ancien",
      "Modifié"),
   "Nouveau")),"")</f>
        <v/>
      </c>
    </row>
    <row r="6449" spans="24:30" x14ac:dyDescent="0.25">
      <c r="X6449" s="8" t="e">
        <f>IF(Final_Sans_VGE[[#This Row],[ppn_z]]="","",IFERROR(
   IF(_xlfn.XLOOKUP(Final_Sans_VGE[[#This Row],[ppn_z]],tbl_Historique_Final[ppn_z],tbl_Historique_Final[date_modif])=Final_Sans_VGE[[#This Row],[date_modif]],
      "Ancien",
      "Modifié"),
   "Nouveau"))</f>
        <v>#VALUE!</v>
      </c>
      <c r="AD6449" s="1" t="str">
        <f>IFERROR(IF(Final_Sans_VGE[[#This Row],[ppn_z]]="","",IFERROR(
   IF(_xlfn.XLOOKUP(Final_Sans_VGE[[#This Row],[ppn_z]],tbl_Historique_Final[[#This Row],[ppn_z]],tbl_Historique_Final[[#This Row],[date_modif]])=Final_Sans_VGE[[#This Row],[date_modif]],
      "Ancien",
      "Modifié"),
   "Nouveau")),"")</f>
        <v/>
      </c>
    </row>
    <row r="6450" spans="24:30" x14ac:dyDescent="0.25">
      <c r="X6450" s="8" t="e">
        <f>IF(Final_Sans_VGE[[#This Row],[ppn_z]]="","",IFERROR(
   IF(_xlfn.XLOOKUP(Final_Sans_VGE[[#This Row],[ppn_z]],tbl_Historique_Final[ppn_z],tbl_Historique_Final[date_modif])=Final_Sans_VGE[[#This Row],[date_modif]],
      "Ancien",
      "Modifié"),
   "Nouveau"))</f>
        <v>#VALUE!</v>
      </c>
      <c r="AD6450" s="1" t="str">
        <f>IFERROR(IF(Final_Sans_VGE[[#This Row],[ppn_z]]="","",IFERROR(
   IF(_xlfn.XLOOKUP(Final_Sans_VGE[[#This Row],[ppn_z]],tbl_Historique_Final[[#This Row],[ppn_z]],tbl_Historique_Final[[#This Row],[date_modif]])=Final_Sans_VGE[[#This Row],[date_modif]],
      "Ancien",
      "Modifié"),
   "Nouveau")),"")</f>
        <v/>
      </c>
    </row>
    <row r="6451" spans="24:30" x14ac:dyDescent="0.25">
      <c r="X6451" s="8" t="e">
        <f>IF(Final_Sans_VGE[[#This Row],[ppn_z]]="","",IFERROR(
   IF(_xlfn.XLOOKUP(Final_Sans_VGE[[#This Row],[ppn_z]],tbl_Historique_Final[ppn_z],tbl_Historique_Final[date_modif])=Final_Sans_VGE[[#This Row],[date_modif]],
      "Ancien",
      "Modifié"),
   "Nouveau"))</f>
        <v>#VALUE!</v>
      </c>
      <c r="AD6451" s="1" t="str">
        <f>IFERROR(IF(Final_Sans_VGE[[#This Row],[ppn_z]]="","",IFERROR(
   IF(_xlfn.XLOOKUP(Final_Sans_VGE[[#This Row],[ppn_z]],tbl_Historique_Final[[#This Row],[ppn_z]],tbl_Historique_Final[[#This Row],[date_modif]])=Final_Sans_VGE[[#This Row],[date_modif]],
      "Ancien",
      "Modifié"),
   "Nouveau")),"")</f>
        <v/>
      </c>
    </row>
    <row r="6452" spans="24:30" x14ac:dyDescent="0.25">
      <c r="X6452" s="8" t="e">
        <f>IF(Final_Sans_VGE[[#This Row],[ppn_z]]="","",IFERROR(
   IF(_xlfn.XLOOKUP(Final_Sans_VGE[[#This Row],[ppn_z]],tbl_Historique_Final[ppn_z],tbl_Historique_Final[date_modif])=Final_Sans_VGE[[#This Row],[date_modif]],
      "Ancien",
      "Modifié"),
   "Nouveau"))</f>
        <v>#VALUE!</v>
      </c>
      <c r="AD6452" s="1" t="str">
        <f>IFERROR(IF(Final_Sans_VGE[[#This Row],[ppn_z]]="","",IFERROR(
   IF(_xlfn.XLOOKUP(Final_Sans_VGE[[#This Row],[ppn_z]],tbl_Historique_Final[[#This Row],[ppn_z]],tbl_Historique_Final[[#This Row],[date_modif]])=Final_Sans_VGE[[#This Row],[date_modif]],
      "Ancien",
      "Modifié"),
   "Nouveau")),"")</f>
        <v/>
      </c>
    </row>
    <row r="6453" spans="24:30" x14ac:dyDescent="0.25">
      <c r="X6453" s="8" t="e">
        <f>IF(Final_Sans_VGE[[#This Row],[ppn_z]]="","",IFERROR(
   IF(_xlfn.XLOOKUP(Final_Sans_VGE[[#This Row],[ppn_z]],tbl_Historique_Final[ppn_z],tbl_Historique_Final[date_modif])=Final_Sans_VGE[[#This Row],[date_modif]],
      "Ancien",
      "Modifié"),
   "Nouveau"))</f>
        <v>#VALUE!</v>
      </c>
      <c r="AD6453" s="1" t="str">
        <f>IFERROR(IF(Final_Sans_VGE[[#This Row],[ppn_z]]="","",IFERROR(
   IF(_xlfn.XLOOKUP(Final_Sans_VGE[[#This Row],[ppn_z]],tbl_Historique_Final[[#This Row],[ppn_z]],tbl_Historique_Final[[#This Row],[date_modif]])=Final_Sans_VGE[[#This Row],[date_modif]],
      "Ancien",
      "Modifié"),
   "Nouveau")),"")</f>
        <v/>
      </c>
    </row>
    <row r="6454" spans="24:30" x14ac:dyDescent="0.25">
      <c r="X6454" s="8" t="e">
        <f>IF(Final_Sans_VGE[[#This Row],[ppn_z]]="","",IFERROR(
   IF(_xlfn.XLOOKUP(Final_Sans_VGE[[#This Row],[ppn_z]],tbl_Historique_Final[ppn_z],tbl_Historique_Final[date_modif])=Final_Sans_VGE[[#This Row],[date_modif]],
      "Ancien",
      "Modifié"),
   "Nouveau"))</f>
        <v>#VALUE!</v>
      </c>
      <c r="AD6454" s="1" t="str">
        <f>IFERROR(IF(Final_Sans_VGE[[#This Row],[ppn_z]]="","",IFERROR(
   IF(_xlfn.XLOOKUP(Final_Sans_VGE[[#This Row],[ppn_z]],tbl_Historique_Final[[#This Row],[ppn_z]],tbl_Historique_Final[[#This Row],[date_modif]])=Final_Sans_VGE[[#This Row],[date_modif]],
      "Ancien",
      "Modifié"),
   "Nouveau")),"")</f>
        <v/>
      </c>
    </row>
    <row r="6455" spans="24:30" x14ac:dyDescent="0.25">
      <c r="X6455" s="8" t="e">
        <f>IF(Final_Sans_VGE[[#This Row],[ppn_z]]="","",IFERROR(
   IF(_xlfn.XLOOKUP(Final_Sans_VGE[[#This Row],[ppn_z]],tbl_Historique_Final[ppn_z],tbl_Historique_Final[date_modif])=Final_Sans_VGE[[#This Row],[date_modif]],
      "Ancien",
      "Modifié"),
   "Nouveau"))</f>
        <v>#VALUE!</v>
      </c>
      <c r="AD6455" s="1" t="str">
        <f>IFERROR(IF(Final_Sans_VGE[[#This Row],[ppn_z]]="","",IFERROR(
   IF(_xlfn.XLOOKUP(Final_Sans_VGE[[#This Row],[ppn_z]],tbl_Historique_Final[[#This Row],[ppn_z]],tbl_Historique_Final[[#This Row],[date_modif]])=Final_Sans_VGE[[#This Row],[date_modif]],
      "Ancien",
      "Modifié"),
   "Nouveau")),"")</f>
        <v/>
      </c>
    </row>
    <row r="6456" spans="24:30" x14ac:dyDescent="0.25">
      <c r="X6456" s="8" t="e">
        <f>IF(Final_Sans_VGE[[#This Row],[ppn_z]]="","",IFERROR(
   IF(_xlfn.XLOOKUP(Final_Sans_VGE[[#This Row],[ppn_z]],tbl_Historique_Final[ppn_z],tbl_Historique_Final[date_modif])=Final_Sans_VGE[[#This Row],[date_modif]],
      "Ancien",
      "Modifié"),
   "Nouveau"))</f>
        <v>#VALUE!</v>
      </c>
      <c r="AD6456" s="1" t="str">
        <f>IFERROR(IF(Final_Sans_VGE[[#This Row],[ppn_z]]="","",IFERROR(
   IF(_xlfn.XLOOKUP(Final_Sans_VGE[[#This Row],[ppn_z]],tbl_Historique_Final[[#This Row],[ppn_z]],tbl_Historique_Final[[#This Row],[date_modif]])=Final_Sans_VGE[[#This Row],[date_modif]],
      "Ancien",
      "Modifié"),
   "Nouveau")),"")</f>
        <v/>
      </c>
    </row>
    <row r="6457" spans="24:30" x14ac:dyDescent="0.25">
      <c r="X6457" s="8" t="e">
        <f>IF(Final_Sans_VGE[[#This Row],[ppn_z]]="","",IFERROR(
   IF(_xlfn.XLOOKUP(Final_Sans_VGE[[#This Row],[ppn_z]],tbl_Historique_Final[ppn_z],tbl_Historique_Final[date_modif])=Final_Sans_VGE[[#This Row],[date_modif]],
      "Ancien",
      "Modifié"),
   "Nouveau"))</f>
        <v>#VALUE!</v>
      </c>
      <c r="AD6457" s="1" t="str">
        <f>IFERROR(IF(Final_Sans_VGE[[#This Row],[ppn_z]]="","",IFERROR(
   IF(_xlfn.XLOOKUP(Final_Sans_VGE[[#This Row],[ppn_z]],tbl_Historique_Final[[#This Row],[ppn_z]],tbl_Historique_Final[[#This Row],[date_modif]])=Final_Sans_VGE[[#This Row],[date_modif]],
      "Ancien",
      "Modifié"),
   "Nouveau")),"")</f>
        <v/>
      </c>
    </row>
    <row r="6458" spans="24:30" x14ac:dyDescent="0.25">
      <c r="X6458" s="8" t="e">
        <f>IF(Final_Sans_VGE[[#This Row],[ppn_z]]="","",IFERROR(
   IF(_xlfn.XLOOKUP(Final_Sans_VGE[[#This Row],[ppn_z]],tbl_Historique_Final[ppn_z],tbl_Historique_Final[date_modif])=Final_Sans_VGE[[#This Row],[date_modif]],
      "Ancien",
      "Modifié"),
   "Nouveau"))</f>
        <v>#VALUE!</v>
      </c>
      <c r="AD6458" s="1" t="str">
        <f>IFERROR(IF(Final_Sans_VGE[[#This Row],[ppn_z]]="","",IFERROR(
   IF(_xlfn.XLOOKUP(Final_Sans_VGE[[#This Row],[ppn_z]],tbl_Historique_Final[[#This Row],[ppn_z]],tbl_Historique_Final[[#This Row],[date_modif]])=Final_Sans_VGE[[#This Row],[date_modif]],
      "Ancien",
      "Modifié"),
   "Nouveau")),"")</f>
        <v/>
      </c>
    </row>
    <row r="6459" spans="24:30" x14ac:dyDescent="0.25">
      <c r="X6459" s="8" t="e">
        <f>IF(Final_Sans_VGE[[#This Row],[ppn_z]]="","",IFERROR(
   IF(_xlfn.XLOOKUP(Final_Sans_VGE[[#This Row],[ppn_z]],tbl_Historique_Final[ppn_z],tbl_Historique_Final[date_modif])=Final_Sans_VGE[[#This Row],[date_modif]],
      "Ancien",
      "Modifié"),
   "Nouveau"))</f>
        <v>#VALUE!</v>
      </c>
      <c r="AD6459" s="1" t="str">
        <f>IFERROR(IF(Final_Sans_VGE[[#This Row],[ppn_z]]="","",IFERROR(
   IF(_xlfn.XLOOKUP(Final_Sans_VGE[[#This Row],[ppn_z]],tbl_Historique_Final[[#This Row],[ppn_z]],tbl_Historique_Final[[#This Row],[date_modif]])=Final_Sans_VGE[[#This Row],[date_modif]],
      "Ancien",
      "Modifié"),
   "Nouveau")),"")</f>
        <v/>
      </c>
    </row>
    <row r="6460" spans="24:30" x14ac:dyDescent="0.25">
      <c r="X6460" s="8" t="e">
        <f>IF(Final_Sans_VGE[[#This Row],[ppn_z]]="","",IFERROR(
   IF(_xlfn.XLOOKUP(Final_Sans_VGE[[#This Row],[ppn_z]],tbl_Historique_Final[ppn_z],tbl_Historique_Final[date_modif])=Final_Sans_VGE[[#This Row],[date_modif]],
      "Ancien",
      "Modifié"),
   "Nouveau"))</f>
        <v>#VALUE!</v>
      </c>
      <c r="AD6460" s="1" t="str">
        <f>IFERROR(IF(Final_Sans_VGE[[#This Row],[ppn_z]]="","",IFERROR(
   IF(_xlfn.XLOOKUP(Final_Sans_VGE[[#This Row],[ppn_z]],tbl_Historique_Final[[#This Row],[ppn_z]],tbl_Historique_Final[[#This Row],[date_modif]])=Final_Sans_VGE[[#This Row],[date_modif]],
      "Ancien",
      "Modifié"),
   "Nouveau")),"")</f>
        <v/>
      </c>
    </row>
    <row r="6461" spans="24:30" x14ac:dyDescent="0.25">
      <c r="X6461" s="8" t="e">
        <f>IF(Final_Sans_VGE[[#This Row],[ppn_z]]="","",IFERROR(
   IF(_xlfn.XLOOKUP(Final_Sans_VGE[[#This Row],[ppn_z]],tbl_Historique_Final[ppn_z],tbl_Historique_Final[date_modif])=Final_Sans_VGE[[#This Row],[date_modif]],
      "Ancien",
      "Modifié"),
   "Nouveau"))</f>
        <v>#VALUE!</v>
      </c>
      <c r="AD6461" s="1" t="str">
        <f>IFERROR(IF(Final_Sans_VGE[[#This Row],[ppn_z]]="","",IFERROR(
   IF(_xlfn.XLOOKUP(Final_Sans_VGE[[#This Row],[ppn_z]],tbl_Historique_Final[[#This Row],[ppn_z]],tbl_Historique_Final[[#This Row],[date_modif]])=Final_Sans_VGE[[#This Row],[date_modif]],
      "Ancien",
      "Modifié"),
   "Nouveau")),"")</f>
        <v/>
      </c>
    </row>
    <row r="6462" spans="24:30" x14ac:dyDescent="0.25">
      <c r="X6462" s="8" t="e">
        <f>IF(Final_Sans_VGE[[#This Row],[ppn_z]]="","",IFERROR(
   IF(_xlfn.XLOOKUP(Final_Sans_VGE[[#This Row],[ppn_z]],tbl_Historique_Final[ppn_z],tbl_Historique_Final[date_modif])=Final_Sans_VGE[[#This Row],[date_modif]],
      "Ancien",
      "Modifié"),
   "Nouveau"))</f>
        <v>#VALUE!</v>
      </c>
      <c r="AD6462" s="1" t="str">
        <f>IFERROR(IF(Final_Sans_VGE[[#This Row],[ppn_z]]="","",IFERROR(
   IF(_xlfn.XLOOKUP(Final_Sans_VGE[[#This Row],[ppn_z]],tbl_Historique_Final[[#This Row],[ppn_z]],tbl_Historique_Final[[#This Row],[date_modif]])=Final_Sans_VGE[[#This Row],[date_modif]],
      "Ancien",
      "Modifié"),
   "Nouveau")),"")</f>
        <v/>
      </c>
    </row>
    <row r="6463" spans="24:30" x14ac:dyDescent="0.25">
      <c r="X6463" s="8" t="e">
        <f>IF(Final_Sans_VGE[[#This Row],[ppn_z]]="","",IFERROR(
   IF(_xlfn.XLOOKUP(Final_Sans_VGE[[#This Row],[ppn_z]],tbl_Historique_Final[ppn_z],tbl_Historique_Final[date_modif])=Final_Sans_VGE[[#This Row],[date_modif]],
      "Ancien",
      "Modifié"),
   "Nouveau"))</f>
        <v>#VALUE!</v>
      </c>
      <c r="AD6463" s="1" t="str">
        <f>IFERROR(IF(Final_Sans_VGE[[#This Row],[ppn_z]]="","",IFERROR(
   IF(_xlfn.XLOOKUP(Final_Sans_VGE[[#This Row],[ppn_z]],tbl_Historique_Final[[#This Row],[ppn_z]],tbl_Historique_Final[[#This Row],[date_modif]])=Final_Sans_VGE[[#This Row],[date_modif]],
      "Ancien",
      "Modifié"),
   "Nouveau")),"")</f>
        <v/>
      </c>
    </row>
    <row r="6464" spans="24:30" x14ac:dyDescent="0.25">
      <c r="X6464" s="8" t="e">
        <f>IF(Final_Sans_VGE[[#This Row],[ppn_z]]="","",IFERROR(
   IF(_xlfn.XLOOKUP(Final_Sans_VGE[[#This Row],[ppn_z]],tbl_Historique_Final[ppn_z],tbl_Historique_Final[date_modif])=Final_Sans_VGE[[#This Row],[date_modif]],
      "Ancien",
      "Modifié"),
   "Nouveau"))</f>
        <v>#VALUE!</v>
      </c>
      <c r="AD6464" s="1" t="str">
        <f>IFERROR(IF(Final_Sans_VGE[[#This Row],[ppn_z]]="","",IFERROR(
   IF(_xlfn.XLOOKUP(Final_Sans_VGE[[#This Row],[ppn_z]],tbl_Historique_Final[[#This Row],[ppn_z]],tbl_Historique_Final[[#This Row],[date_modif]])=Final_Sans_VGE[[#This Row],[date_modif]],
      "Ancien",
      "Modifié"),
   "Nouveau")),"")</f>
        <v/>
      </c>
    </row>
    <row r="6465" spans="24:30" x14ac:dyDescent="0.25">
      <c r="X6465" s="8" t="e">
        <f>IF(Final_Sans_VGE[[#This Row],[ppn_z]]="","",IFERROR(
   IF(_xlfn.XLOOKUP(Final_Sans_VGE[[#This Row],[ppn_z]],tbl_Historique_Final[ppn_z],tbl_Historique_Final[date_modif])=Final_Sans_VGE[[#This Row],[date_modif]],
      "Ancien",
      "Modifié"),
   "Nouveau"))</f>
        <v>#VALUE!</v>
      </c>
      <c r="AD6465" s="1" t="str">
        <f>IFERROR(IF(Final_Sans_VGE[[#This Row],[ppn_z]]="","",IFERROR(
   IF(_xlfn.XLOOKUP(Final_Sans_VGE[[#This Row],[ppn_z]],tbl_Historique_Final[[#This Row],[ppn_z]],tbl_Historique_Final[[#This Row],[date_modif]])=Final_Sans_VGE[[#This Row],[date_modif]],
      "Ancien",
      "Modifié"),
   "Nouveau")),"")</f>
        <v/>
      </c>
    </row>
    <row r="6466" spans="24:30" x14ac:dyDescent="0.25">
      <c r="X6466" s="8" t="e">
        <f>IF(Final_Sans_VGE[[#This Row],[ppn_z]]="","",IFERROR(
   IF(_xlfn.XLOOKUP(Final_Sans_VGE[[#This Row],[ppn_z]],tbl_Historique_Final[ppn_z],tbl_Historique_Final[date_modif])=Final_Sans_VGE[[#This Row],[date_modif]],
      "Ancien",
      "Modifié"),
   "Nouveau"))</f>
        <v>#VALUE!</v>
      </c>
      <c r="AD6466" s="1" t="str">
        <f>IFERROR(IF(Final_Sans_VGE[[#This Row],[ppn_z]]="","",IFERROR(
   IF(_xlfn.XLOOKUP(Final_Sans_VGE[[#This Row],[ppn_z]],tbl_Historique_Final[[#This Row],[ppn_z]],tbl_Historique_Final[[#This Row],[date_modif]])=Final_Sans_VGE[[#This Row],[date_modif]],
      "Ancien",
      "Modifié"),
   "Nouveau")),"")</f>
        <v/>
      </c>
    </row>
    <row r="6467" spans="24:30" x14ac:dyDescent="0.25">
      <c r="X6467" s="8" t="e">
        <f>IF(Final_Sans_VGE[[#This Row],[ppn_z]]="","",IFERROR(
   IF(_xlfn.XLOOKUP(Final_Sans_VGE[[#This Row],[ppn_z]],tbl_Historique_Final[ppn_z],tbl_Historique_Final[date_modif])=Final_Sans_VGE[[#This Row],[date_modif]],
      "Ancien",
      "Modifié"),
   "Nouveau"))</f>
        <v>#VALUE!</v>
      </c>
      <c r="AD6467" s="1" t="str">
        <f>IFERROR(IF(Final_Sans_VGE[[#This Row],[ppn_z]]="","",IFERROR(
   IF(_xlfn.XLOOKUP(Final_Sans_VGE[[#This Row],[ppn_z]],tbl_Historique_Final[[#This Row],[ppn_z]],tbl_Historique_Final[[#This Row],[date_modif]])=Final_Sans_VGE[[#This Row],[date_modif]],
      "Ancien",
      "Modifié"),
   "Nouveau")),"")</f>
        <v/>
      </c>
    </row>
    <row r="6468" spans="24:30" x14ac:dyDescent="0.25">
      <c r="X6468" s="8" t="e">
        <f>IF(Final_Sans_VGE[[#This Row],[ppn_z]]="","",IFERROR(
   IF(_xlfn.XLOOKUP(Final_Sans_VGE[[#This Row],[ppn_z]],tbl_Historique_Final[ppn_z],tbl_Historique_Final[date_modif])=Final_Sans_VGE[[#This Row],[date_modif]],
      "Ancien",
      "Modifié"),
   "Nouveau"))</f>
        <v>#VALUE!</v>
      </c>
      <c r="AD6468" s="1" t="str">
        <f>IFERROR(IF(Final_Sans_VGE[[#This Row],[ppn_z]]="","",IFERROR(
   IF(_xlfn.XLOOKUP(Final_Sans_VGE[[#This Row],[ppn_z]],tbl_Historique_Final[[#This Row],[ppn_z]],tbl_Historique_Final[[#This Row],[date_modif]])=Final_Sans_VGE[[#This Row],[date_modif]],
      "Ancien",
      "Modifié"),
   "Nouveau")),"")</f>
        <v/>
      </c>
    </row>
    <row r="6469" spans="24:30" x14ac:dyDescent="0.25">
      <c r="X6469" s="8" t="e">
        <f>IF(Final_Sans_VGE[[#This Row],[ppn_z]]="","",IFERROR(
   IF(_xlfn.XLOOKUP(Final_Sans_VGE[[#This Row],[ppn_z]],tbl_Historique_Final[ppn_z],tbl_Historique_Final[date_modif])=Final_Sans_VGE[[#This Row],[date_modif]],
      "Ancien",
      "Modifié"),
   "Nouveau"))</f>
        <v>#VALUE!</v>
      </c>
      <c r="AD6469" s="1" t="str">
        <f>IFERROR(IF(Final_Sans_VGE[[#This Row],[ppn_z]]="","",IFERROR(
   IF(_xlfn.XLOOKUP(Final_Sans_VGE[[#This Row],[ppn_z]],tbl_Historique_Final[[#This Row],[ppn_z]],tbl_Historique_Final[[#This Row],[date_modif]])=Final_Sans_VGE[[#This Row],[date_modif]],
      "Ancien",
      "Modifié"),
   "Nouveau")),"")</f>
        <v/>
      </c>
    </row>
    <row r="6470" spans="24:30" x14ac:dyDescent="0.25">
      <c r="X6470" s="8" t="e">
        <f>IF(Final_Sans_VGE[[#This Row],[ppn_z]]="","",IFERROR(
   IF(_xlfn.XLOOKUP(Final_Sans_VGE[[#This Row],[ppn_z]],tbl_Historique_Final[ppn_z],tbl_Historique_Final[date_modif])=Final_Sans_VGE[[#This Row],[date_modif]],
      "Ancien",
      "Modifié"),
   "Nouveau"))</f>
        <v>#VALUE!</v>
      </c>
      <c r="AD6470" s="1" t="str">
        <f>IFERROR(IF(Final_Sans_VGE[[#This Row],[ppn_z]]="","",IFERROR(
   IF(_xlfn.XLOOKUP(Final_Sans_VGE[[#This Row],[ppn_z]],tbl_Historique_Final[[#This Row],[ppn_z]],tbl_Historique_Final[[#This Row],[date_modif]])=Final_Sans_VGE[[#This Row],[date_modif]],
      "Ancien",
      "Modifié"),
   "Nouveau")),"")</f>
        <v/>
      </c>
    </row>
    <row r="6471" spans="24:30" x14ac:dyDescent="0.25">
      <c r="X6471" s="8" t="e">
        <f>IF(Final_Sans_VGE[[#This Row],[ppn_z]]="","",IFERROR(
   IF(_xlfn.XLOOKUP(Final_Sans_VGE[[#This Row],[ppn_z]],tbl_Historique_Final[ppn_z],tbl_Historique_Final[date_modif])=Final_Sans_VGE[[#This Row],[date_modif]],
      "Ancien",
      "Modifié"),
   "Nouveau"))</f>
        <v>#VALUE!</v>
      </c>
      <c r="AD6471" s="1" t="str">
        <f>IFERROR(IF(Final_Sans_VGE[[#This Row],[ppn_z]]="","",IFERROR(
   IF(_xlfn.XLOOKUP(Final_Sans_VGE[[#This Row],[ppn_z]],tbl_Historique_Final[[#This Row],[ppn_z]],tbl_Historique_Final[[#This Row],[date_modif]])=Final_Sans_VGE[[#This Row],[date_modif]],
      "Ancien",
      "Modifié"),
   "Nouveau")),"")</f>
        <v/>
      </c>
    </row>
    <row r="6472" spans="24:30" x14ac:dyDescent="0.25">
      <c r="X6472" s="8" t="e">
        <f>IF(Final_Sans_VGE[[#This Row],[ppn_z]]="","",IFERROR(
   IF(_xlfn.XLOOKUP(Final_Sans_VGE[[#This Row],[ppn_z]],tbl_Historique_Final[ppn_z],tbl_Historique_Final[date_modif])=Final_Sans_VGE[[#This Row],[date_modif]],
      "Ancien",
      "Modifié"),
   "Nouveau"))</f>
        <v>#VALUE!</v>
      </c>
      <c r="AD6472" s="1" t="str">
        <f>IFERROR(IF(Final_Sans_VGE[[#This Row],[ppn_z]]="","",IFERROR(
   IF(_xlfn.XLOOKUP(Final_Sans_VGE[[#This Row],[ppn_z]],tbl_Historique_Final[[#This Row],[ppn_z]],tbl_Historique_Final[[#This Row],[date_modif]])=Final_Sans_VGE[[#This Row],[date_modif]],
      "Ancien",
      "Modifié"),
   "Nouveau")),"")</f>
        <v/>
      </c>
    </row>
    <row r="6473" spans="24:30" x14ac:dyDescent="0.25">
      <c r="X6473" s="8" t="e">
        <f>IF(Final_Sans_VGE[[#This Row],[ppn_z]]="","",IFERROR(
   IF(_xlfn.XLOOKUP(Final_Sans_VGE[[#This Row],[ppn_z]],tbl_Historique_Final[ppn_z],tbl_Historique_Final[date_modif])=Final_Sans_VGE[[#This Row],[date_modif]],
      "Ancien",
      "Modifié"),
   "Nouveau"))</f>
        <v>#VALUE!</v>
      </c>
      <c r="AD6473" s="1" t="str">
        <f>IFERROR(IF(Final_Sans_VGE[[#This Row],[ppn_z]]="","",IFERROR(
   IF(_xlfn.XLOOKUP(Final_Sans_VGE[[#This Row],[ppn_z]],tbl_Historique_Final[[#This Row],[ppn_z]],tbl_Historique_Final[[#This Row],[date_modif]])=Final_Sans_VGE[[#This Row],[date_modif]],
      "Ancien",
      "Modifié"),
   "Nouveau")),"")</f>
        <v/>
      </c>
    </row>
    <row r="6474" spans="24:30" x14ac:dyDescent="0.25">
      <c r="X6474" s="8" t="e">
        <f>IF(Final_Sans_VGE[[#This Row],[ppn_z]]="","",IFERROR(
   IF(_xlfn.XLOOKUP(Final_Sans_VGE[[#This Row],[ppn_z]],tbl_Historique_Final[ppn_z],tbl_Historique_Final[date_modif])=Final_Sans_VGE[[#This Row],[date_modif]],
      "Ancien",
      "Modifié"),
   "Nouveau"))</f>
        <v>#VALUE!</v>
      </c>
      <c r="AD6474" s="1" t="str">
        <f>IFERROR(IF(Final_Sans_VGE[[#This Row],[ppn_z]]="","",IFERROR(
   IF(_xlfn.XLOOKUP(Final_Sans_VGE[[#This Row],[ppn_z]],tbl_Historique_Final[[#This Row],[ppn_z]],tbl_Historique_Final[[#This Row],[date_modif]])=Final_Sans_VGE[[#This Row],[date_modif]],
      "Ancien",
      "Modifié"),
   "Nouveau")),"")</f>
        <v/>
      </c>
    </row>
    <row r="6475" spans="24:30" x14ac:dyDescent="0.25">
      <c r="X6475" s="8" t="e">
        <f>IF(Final_Sans_VGE[[#This Row],[ppn_z]]="","",IFERROR(
   IF(_xlfn.XLOOKUP(Final_Sans_VGE[[#This Row],[ppn_z]],tbl_Historique_Final[ppn_z],tbl_Historique_Final[date_modif])=Final_Sans_VGE[[#This Row],[date_modif]],
      "Ancien",
      "Modifié"),
   "Nouveau"))</f>
        <v>#VALUE!</v>
      </c>
      <c r="AD6475" s="1" t="str">
        <f>IFERROR(IF(Final_Sans_VGE[[#This Row],[ppn_z]]="","",IFERROR(
   IF(_xlfn.XLOOKUP(Final_Sans_VGE[[#This Row],[ppn_z]],tbl_Historique_Final[[#This Row],[ppn_z]],tbl_Historique_Final[[#This Row],[date_modif]])=Final_Sans_VGE[[#This Row],[date_modif]],
      "Ancien",
      "Modifié"),
   "Nouveau")),"")</f>
        <v/>
      </c>
    </row>
    <row r="6476" spans="24:30" x14ac:dyDescent="0.25">
      <c r="X6476" s="8" t="e">
        <f>IF(Final_Sans_VGE[[#This Row],[ppn_z]]="","",IFERROR(
   IF(_xlfn.XLOOKUP(Final_Sans_VGE[[#This Row],[ppn_z]],tbl_Historique_Final[ppn_z],tbl_Historique_Final[date_modif])=Final_Sans_VGE[[#This Row],[date_modif]],
      "Ancien",
      "Modifié"),
   "Nouveau"))</f>
        <v>#VALUE!</v>
      </c>
      <c r="AD6476" s="1" t="str">
        <f>IFERROR(IF(Final_Sans_VGE[[#This Row],[ppn_z]]="","",IFERROR(
   IF(_xlfn.XLOOKUP(Final_Sans_VGE[[#This Row],[ppn_z]],tbl_Historique_Final[[#This Row],[ppn_z]],tbl_Historique_Final[[#This Row],[date_modif]])=Final_Sans_VGE[[#This Row],[date_modif]],
      "Ancien",
      "Modifié"),
   "Nouveau")),"")</f>
        <v/>
      </c>
    </row>
    <row r="6477" spans="24:30" x14ac:dyDescent="0.25">
      <c r="X6477" s="8" t="e">
        <f>IF(Final_Sans_VGE[[#This Row],[ppn_z]]="","",IFERROR(
   IF(_xlfn.XLOOKUP(Final_Sans_VGE[[#This Row],[ppn_z]],tbl_Historique_Final[ppn_z],tbl_Historique_Final[date_modif])=Final_Sans_VGE[[#This Row],[date_modif]],
      "Ancien",
      "Modifié"),
   "Nouveau"))</f>
        <v>#VALUE!</v>
      </c>
      <c r="AD6477" s="1" t="str">
        <f>IFERROR(IF(Final_Sans_VGE[[#This Row],[ppn_z]]="","",IFERROR(
   IF(_xlfn.XLOOKUP(Final_Sans_VGE[[#This Row],[ppn_z]],tbl_Historique_Final[[#This Row],[ppn_z]],tbl_Historique_Final[[#This Row],[date_modif]])=Final_Sans_VGE[[#This Row],[date_modif]],
      "Ancien",
      "Modifié"),
   "Nouveau")),"")</f>
        <v/>
      </c>
    </row>
    <row r="6478" spans="24:30" x14ac:dyDescent="0.25">
      <c r="X6478" s="8" t="e">
        <f>IF(Final_Sans_VGE[[#This Row],[ppn_z]]="","",IFERROR(
   IF(_xlfn.XLOOKUP(Final_Sans_VGE[[#This Row],[ppn_z]],tbl_Historique_Final[ppn_z],tbl_Historique_Final[date_modif])=Final_Sans_VGE[[#This Row],[date_modif]],
      "Ancien",
      "Modifié"),
   "Nouveau"))</f>
        <v>#VALUE!</v>
      </c>
      <c r="AD6478" s="1" t="str">
        <f>IFERROR(IF(Final_Sans_VGE[[#This Row],[ppn_z]]="","",IFERROR(
   IF(_xlfn.XLOOKUP(Final_Sans_VGE[[#This Row],[ppn_z]],tbl_Historique_Final[[#This Row],[ppn_z]],tbl_Historique_Final[[#This Row],[date_modif]])=Final_Sans_VGE[[#This Row],[date_modif]],
      "Ancien",
      "Modifié"),
   "Nouveau")),"")</f>
        <v/>
      </c>
    </row>
    <row r="6479" spans="24:30" x14ac:dyDescent="0.25">
      <c r="X6479" s="8" t="e">
        <f>IF(Final_Sans_VGE[[#This Row],[ppn_z]]="","",IFERROR(
   IF(_xlfn.XLOOKUP(Final_Sans_VGE[[#This Row],[ppn_z]],tbl_Historique_Final[ppn_z],tbl_Historique_Final[date_modif])=Final_Sans_VGE[[#This Row],[date_modif]],
      "Ancien",
      "Modifié"),
   "Nouveau"))</f>
        <v>#VALUE!</v>
      </c>
      <c r="AD6479" s="1" t="str">
        <f>IFERROR(IF(Final_Sans_VGE[[#This Row],[ppn_z]]="","",IFERROR(
   IF(_xlfn.XLOOKUP(Final_Sans_VGE[[#This Row],[ppn_z]],tbl_Historique_Final[[#This Row],[ppn_z]],tbl_Historique_Final[[#This Row],[date_modif]])=Final_Sans_VGE[[#This Row],[date_modif]],
      "Ancien",
      "Modifié"),
   "Nouveau")),"")</f>
        <v/>
      </c>
    </row>
    <row r="6480" spans="24:30" x14ac:dyDescent="0.25">
      <c r="X6480" s="8" t="e">
        <f>IF(Final_Sans_VGE[[#This Row],[ppn_z]]="","",IFERROR(
   IF(_xlfn.XLOOKUP(Final_Sans_VGE[[#This Row],[ppn_z]],tbl_Historique_Final[ppn_z],tbl_Historique_Final[date_modif])=Final_Sans_VGE[[#This Row],[date_modif]],
      "Ancien",
      "Modifié"),
   "Nouveau"))</f>
        <v>#VALUE!</v>
      </c>
      <c r="AD6480" s="1" t="str">
        <f>IFERROR(IF(Final_Sans_VGE[[#This Row],[ppn_z]]="","",IFERROR(
   IF(_xlfn.XLOOKUP(Final_Sans_VGE[[#This Row],[ppn_z]],tbl_Historique_Final[[#This Row],[ppn_z]],tbl_Historique_Final[[#This Row],[date_modif]])=Final_Sans_VGE[[#This Row],[date_modif]],
      "Ancien",
      "Modifié"),
   "Nouveau")),"")</f>
        <v/>
      </c>
    </row>
    <row r="6481" spans="24:30" x14ac:dyDescent="0.25">
      <c r="X6481" s="8" t="e">
        <f>IF(Final_Sans_VGE[[#This Row],[ppn_z]]="","",IFERROR(
   IF(_xlfn.XLOOKUP(Final_Sans_VGE[[#This Row],[ppn_z]],tbl_Historique_Final[ppn_z],tbl_Historique_Final[date_modif])=Final_Sans_VGE[[#This Row],[date_modif]],
      "Ancien",
      "Modifié"),
   "Nouveau"))</f>
        <v>#VALUE!</v>
      </c>
      <c r="AD6481" s="1" t="str">
        <f>IFERROR(IF(Final_Sans_VGE[[#This Row],[ppn_z]]="","",IFERROR(
   IF(_xlfn.XLOOKUP(Final_Sans_VGE[[#This Row],[ppn_z]],tbl_Historique_Final[[#This Row],[ppn_z]],tbl_Historique_Final[[#This Row],[date_modif]])=Final_Sans_VGE[[#This Row],[date_modif]],
      "Ancien",
      "Modifié"),
   "Nouveau")),"")</f>
        <v/>
      </c>
    </row>
    <row r="6482" spans="24:30" x14ac:dyDescent="0.25">
      <c r="X6482" s="8" t="e">
        <f>IF(Final_Sans_VGE[[#This Row],[ppn_z]]="","",IFERROR(
   IF(_xlfn.XLOOKUP(Final_Sans_VGE[[#This Row],[ppn_z]],tbl_Historique_Final[ppn_z],tbl_Historique_Final[date_modif])=Final_Sans_VGE[[#This Row],[date_modif]],
      "Ancien",
      "Modifié"),
   "Nouveau"))</f>
        <v>#VALUE!</v>
      </c>
      <c r="AD6482" s="1" t="str">
        <f>IFERROR(IF(Final_Sans_VGE[[#This Row],[ppn_z]]="","",IFERROR(
   IF(_xlfn.XLOOKUP(Final_Sans_VGE[[#This Row],[ppn_z]],tbl_Historique_Final[[#This Row],[ppn_z]],tbl_Historique_Final[[#This Row],[date_modif]])=Final_Sans_VGE[[#This Row],[date_modif]],
      "Ancien",
      "Modifié"),
   "Nouveau")),"")</f>
        <v/>
      </c>
    </row>
    <row r="6483" spans="24:30" x14ac:dyDescent="0.25">
      <c r="X6483" s="8" t="e">
        <f>IF(Final_Sans_VGE[[#This Row],[ppn_z]]="","",IFERROR(
   IF(_xlfn.XLOOKUP(Final_Sans_VGE[[#This Row],[ppn_z]],tbl_Historique_Final[ppn_z],tbl_Historique_Final[date_modif])=Final_Sans_VGE[[#This Row],[date_modif]],
      "Ancien",
      "Modifié"),
   "Nouveau"))</f>
        <v>#VALUE!</v>
      </c>
      <c r="AD6483" s="1" t="str">
        <f>IFERROR(IF(Final_Sans_VGE[[#This Row],[ppn_z]]="","",IFERROR(
   IF(_xlfn.XLOOKUP(Final_Sans_VGE[[#This Row],[ppn_z]],tbl_Historique_Final[[#This Row],[ppn_z]],tbl_Historique_Final[[#This Row],[date_modif]])=Final_Sans_VGE[[#This Row],[date_modif]],
      "Ancien",
      "Modifié"),
   "Nouveau")),"")</f>
        <v/>
      </c>
    </row>
    <row r="6484" spans="24:30" x14ac:dyDescent="0.25">
      <c r="X6484" s="8" t="e">
        <f>IF(Final_Sans_VGE[[#This Row],[ppn_z]]="","",IFERROR(
   IF(_xlfn.XLOOKUP(Final_Sans_VGE[[#This Row],[ppn_z]],tbl_Historique_Final[ppn_z],tbl_Historique_Final[date_modif])=Final_Sans_VGE[[#This Row],[date_modif]],
      "Ancien",
      "Modifié"),
   "Nouveau"))</f>
        <v>#VALUE!</v>
      </c>
      <c r="AD6484" s="1" t="str">
        <f>IFERROR(IF(Final_Sans_VGE[[#This Row],[ppn_z]]="","",IFERROR(
   IF(_xlfn.XLOOKUP(Final_Sans_VGE[[#This Row],[ppn_z]],tbl_Historique_Final[[#This Row],[ppn_z]],tbl_Historique_Final[[#This Row],[date_modif]])=Final_Sans_VGE[[#This Row],[date_modif]],
      "Ancien",
      "Modifié"),
   "Nouveau")),"")</f>
        <v/>
      </c>
    </row>
    <row r="6485" spans="24:30" x14ac:dyDescent="0.25">
      <c r="X6485" s="8" t="e">
        <f>IF(Final_Sans_VGE[[#This Row],[ppn_z]]="","",IFERROR(
   IF(_xlfn.XLOOKUP(Final_Sans_VGE[[#This Row],[ppn_z]],tbl_Historique_Final[ppn_z],tbl_Historique_Final[date_modif])=Final_Sans_VGE[[#This Row],[date_modif]],
      "Ancien",
      "Modifié"),
   "Nouveau"))</f>
        <v>#VALUE!</v>
      </c>
      <c r="AD6485" s="1" t="str">
        <f>IFERROR(IF(Final_Sans_VGE[[#This Row],[ppn_z]]="","",IFERROR(
   IF(_xlfn.XLOOKUP(Final_Sans_VGE[[#This Row],[ppn_z]],tbl_Historique_Final[[#This Row],[ppn_z]],tbl_Historique_Final[[#This Row],[date_modif]])=Final_Sans_VGE[[#This Row],[date_modif]],
      "Ancien",
      "Modifié"),
   "Nouveau")),"")</f>
        <v/>
      </c>
    </row>
    <row r="6486" spans="24:30" x14ac:dyDescent="0.25">
      <c r="X6486" s="8" t="e">
        <f>IF(Final_Sans_VGE[[#This Row],[ppn_z]]="","",IFERROR(
   IF(_xlfn.XLOOKUP(Final_Sans_VGE[[#This Row],[ppn_z]],tbl_Historique_Final[ppn_z],tbl_Historique_Final[date_modif])=Final_Sans_VGE[[#This Row],[date_modif]],
      "Ancien",
      "Modifié"),
   "Nouveau"))</f>
        <v>#VALUE!</v>
      </c>
      <c r="AD6486" s="1" t="str">
        <f>IFERROR(IF(Final_Sans_VGE[[#This Row],[ppn_z]]="","",IFERROR(
   IF(_xlfn.XLOOKUP(Final_Sans_VGE[[#This Row],[ppn_z]],tbl_Historique_Final[[#This Row],[ppn_z]],tbl_Historique_Final[[#This Row],[date_modif]])=Final_Sans_VGE[[#This Row],[date_modif]],
      "Ancien",
      "Modifié"),
   "Nouveau")),"")</f>
        <v/>
      </c>
    </row>
    <row r="6487" spans="24:30" x14ac:dyDescent="0.25">
      <c r="X6487" s="8" t="e">
        <f>IF(Final_Sans_VGE[[#This Row],[ppn_z]]="","",IFERROR(
   IF(_xlfn.XLOOKUP(Final_Sans_VGE[[#This Row],[ppn_z]],tbl_Historique_Final[ppn_z],tbl_Historique_Final[date_modif])=Final_Sans_VGE[[#This Row],[date_modif]],
      "Ancien",
      "Modifié"),
   "Nouveau"))</f>
        <v>#VALUE!</v>
      </c>
      <c r="AD6487" s="1" t="str">
        <f>IFERROR(IF(Final_Sans_VGE[[#This Row],[ppn_z]]="","",IFERROR(
   IF(_xlfn.XLOOKUP(Final_Sans_VGE[[#This Row],[ppn_z]],tbl_Historique_Final[[#This Row],[ppn_z]],tbl_Historique_Final[[#This Row],[date_modif]])=Final_Sans_VGE[[#This Row],[date_modif]],
      "Ancien",
      "Modifié"),
   "Nouveau")),"")</f>
        <v/>
      </c>
    </row>
    <row r="6488" spans="24:30" x14ac:dyDescent="0.25">
      <c r="X6488" s="8" t="e">
        <f>IF(Final_Sans_VGE[[#This Row],[ppn_z]]="","",IFERROR(
   IF(_xlfn.XLOOKUP(Final_Sans_VGE[[#This Row],[ppn_z]],tbl_Historique_Final[ppn_z],tbl_Historique_Final[date_modif])=Final_Sans_VGE[[#This Row],[date_modif]],
      "Ancien",
      "Modifié"),
   "Nouveau"))</f>
        <v>#VALUE!</v>
      </c>
      <c r="AD6488" s="1" t="str">
        <f>IFERROR(IF(Final_Sans_VGE[[#This Row],[ppn_z]]="","",IFERROR(
   IF(_xlfn.XLOOKUP(Final_Sans_VGE[[#This Row],[ppn_z]],tbl_Historique_Final[[#This Row],[ppn_z]],tbl_Historique_Final[[#This Row],[date_modif]])=Final_Sans_VGE[[#This Row],[date_modif]],
      "Ancien",
      "Modifié"),
   "Nouveau")),"")</f>
        <v/>
      </c>
    </row>
    <row r="6489" spans="24:30" x14ac:dyDescent="0.25">
      <c r="X6489" s="8" t="e">
        <f>IF(Final_Sans_VGE[[#This Row],[ppn_z]]="","",IFERROR(
   IF(_xlfn.XLOOKUP(Final_Sans_VGE[[#This Row],[ppn_z]],tbl_Historique_Final[ppn_z],tbl_Historique_Final[date_modif])=Final_Sans_VGE[[#This Row],[date_modif]],
      "Ancien",
      "Modifié"),
   "Nouveau"))</f>
        <v>#VALUE!</v>
      </c>
      <c r="AD6489" s="1" t="str">
        <f>IFERROR(IF(Final_Sans_VGE[[#This Row],[ppn_z]]="","",IFERROR(
   IF(_xlfn.XLOOKUP(Final_Sans_VGE[[#This Row],[ppn_z]],tbl_Historique_Final[[#This Row],[ppn_z]],tbl_Historique_Final[[#This Row],[date_modif]])=Final_Sans_VGE[[#This Row],[date_modif]],
      "Ancien",
      "Modifié"),
   "Nouveau")),"")</f>
        <v/>
      </c>
    </row>
    <row r="6490" spans="24:30" x14ac:dyDescent="0.25">
      <c r="X6490" s="8" t="e">
        <f>IF(Final_Sans_VGE[[#This Row],[ppn_z]]="","",IFERROR(
   IF(_xlfn.XLOOKUP(Final_Sans_VGE[[#This Row],[ppn_z]],tbl_Historique_Final[ppn_z],tbl_Historique_Final[date_modif])=Final_Sans_VGE[[#This Row],[date_modif]],
      "Ancien",
      "Modifié"),
   "Nouveau"))</f>
        <v>#VALUE!</v>
      </c>
      <c r="AD6490" s="1" t="str">
        <f>IFERROR(IF(Final_Sans_VGE[[#This Row],[ppn_z]]="","",IFERROR(
   IF(_xlfn.XLOOKUP(Final_Sans_VGE[[#This Row],[ppn_z]],tbl_Historique_Final[[#This Row],[ppn_z]],tbl_Historique_Final[[#This Row],[date_modif]])=Final_Sans_VGE[[#This Row],[date_modif]],
      "Ancien",
      "Modifié"),
   "Nouveau")),"")</f>
        <v/>
      </c>
    </row>
    <row r="6491" spans="24:30" x14ac:dyDescent="0.25">
      <c r="X6491" s="8" t="e">
        <f>IF(Final_Sans_VGE[[#This Row],[ppn_z]]="","",IFERROR(
   IF(_xlfn.XLOOKUP(Final_Sans_VGE[[#This Row],[ppn_z]],tbl_Historique_Final[ppn_z],tbl_Historique_Final[date_modif])=Final_Sans_VGE[[#This Row],[date_modif]],
      "Ancien",
      "Modifié"),
   "Nouveau"))</f>
        <v>#VALUE!</v>
      </c>
      <c r="AD6491" s="1" t="str">
        <f>IFERROR(IF(Final_Sans_VGE[[#This Row],[ppn_z]]="","",IFERROR(
   IF(_xlfn.XLOOKUP(Final_Sans_VGE[[#This Row],[ppn_z]],tbl_Historique_Final[[#This Row],[ppn_z]],tbl_Historique_Final[[#This Row],[date_modif]])=Final_Sans_VGE[[#This Row],[date_modif]],
      "Ancien",
      "Modifié"),
   "Nouveau")),"")</f>
        <v/>
      </c>
    </row>
    <row r="6492" spans="24:30" x14ac:dyDescent="0.25">
      <c r="X6492" s="8" t="e">
        <f>IF(Final_Sans_VGE[[#This Row],[ppn_z]]="","",IFERROR(
   IF(_xlfn.XLOOKUP(Final_Sans_VGE[[#This Row],[ppn_z]],tbl_Historique_Final[ppn_z],tbl_Historique_Final[date_modif])=Final_Sans_VGE[[#This Row],[date_modif]],
      "Ancien",
      "Modifié"),
   "Nouveau"))</f>
        <v>#VALUE!</v>
      </c>
      <c r="AD6492" s="1" t="str">
        <f>IFERROR(IF(Final_Sans_VGE[[#This Row],[ppn_z]]="","",IFERROR(
   IF(_xlfn.XLOOKUP(Final_Sans_VGE[[#This Row],[ppn_z]],tbl_Historique_Final[[#This Row],[ppn_z]],tbl_Historique_Final[[#This Row],[date_modif]])=Final_Sans_VGE[[#This Row],[date_modif]],
      "Ancien",
      "Modifié"),
   "Nouveau")),"")</f>
        <v/>
      </c>
    </row>
    <row r="6493" spans="24:30" x14ac:dyDescent="0.25">
      <c r="X6493" s="8" t="e">
        <f>IF(Final_Sans_VGE[[#This Row],[ppn_z]]="","",IFERROR(
   IF(_xlfn.XLOOKUP(Final_Sans_VGE[[#This Row],[ppn_z]],tbl_Historique_Final[ppn_z],tbl_Historique_Final[date_modif])=Final_Sans_VGE[[#This Row],[date_modif]],
      "Ancien",
      "Modifié"),
   "Nouveau"))</f>
        <v>#VALUE!</v>
      </c>
      <c r="AD6493" s="1" t="str">
        <f>IFERROR(IF(Final_Sans_VGE[[#This Row],[ppn_z]]="","",IFERROR(
   IF(_xlfn.XLOOKUP(Final_Sans_VGE[[#This Row],[ppn_z]],tbl_Historique_Final[[#This Row],[ppn_z]],tbl_Historique_Final[[#This Row],[date_modif]])=Final_Sans_VGE[[#This Row],[date_modif]],
      "Ancien",
      "Modifié"),
   "Nouveau")),"")</f>
        <v/>
      </c>
    </row>
    <row r="6494" spans="24:30" x14ac:dyDescent="0.25">
      <c r="X6494" s="8" t="e">
        <f>IF(Final_Sans_VGE[[#This Row],[ppn_z]]="","",IFERROR(
   IF(_xlfn.XLOOKUP(Final_Sans_VGE[[#This Row],[ppn_z]],tbl_Historique_Final[ppn_z],tbl_Historique_Final[date_modif])=Final_Sans_VGE[[#This Row],[date_modif]],
      "Ancien",
      "Modifié"),
   "Nouveau"))</f>
        <v>#VALUE!</v>
      </c>
      <c r="AD6494" s="1" t="str">
        <f>IFERROR(IF(Final_Sans_VGE[[#This Row],[ppn_z]]="","",IFERROR(
   IF(_xlfn.XLOOKUP(Final_Sans_VGE[[#This Row],[ppn_z]],tbl_Historique_Final[[#This Row],[ppn_z]],tbl_Historique_Final[[#This Row],[date_modif]])=Final_Sans_VGE[[#This Row],[date_modif]],
      "Ancien",
      "Modifié"),
   "Nouveau")),"")</f>
        <v/>
      </c>
    </row>
    <row r="6495" spans="24:30" x14ac:dyDescent="0.25">
      <c r="X6495" s="8" t="e">
        <f>IF(Final_Sans_VGE[[#This Row],[ppn_z]]="","",IFERROR(
   IF(_xlfn.XLOOKUP(Final_Sans_VGE[[#This Row],[ppn_z]],tbl_Historique_Final[ppn_z],tbl_Historique_Final[date_modif])=Final_Sans_VGE[[#This Row],[date_modif]],
      "Ancien",
      "Modifié"),
   "Nouveau"))</f>
        <v>#VALUE!</v>
      </c>
      <c r="AD6495" s="1" t="str">
        <f>IFERROR(IF(Final_Sans_VGE[[#This Row],[ppn_z]]="","",IFERROR(
   IF(_xlfn.XLOOKUP(Final_Sans_VGE[[#This Row],[ppn_z]],tbl_Historique_Final[[#This Row],[ppn_z]],tbl_Historique_Final[[#This Row],[date_modif]])=Final_Sans_VGE[[#This Row],[date_modif]],
      "Ancien",
      "Modifié"),
   "Nouveau")),"")</f>
        <v/>
      </c>
    </row>
    <row r="6496" spans="24:30" x14ac:dyDescent="0.25">
      <c r="X6496" s="8" t="e">
        <f>IF(Final_Sans_VGE[[#This Row],[ppn_z]]="","",IFERROR(
   IF(_xlfn.XLOOKUP(Final_Sans_VGE[[#This Row],[ppn_z]],tbl_Historique_Final[ppn_z],tbl_Historique_Final[date_modif])=Final_Sans_VGE[[#This Row],[date_modif]],
      "Ancien",
      "Modifié"),
   "Nouveau"))</f>
        <v>#VALUE!</v>
      </c>
      <c r="AD6496" s="1" t="str">
        <f>IFERROR(IF(Final_Sans_VGE[[#This Row],[ppn_z]]="","",IFERROR(
   IF(_xlfn.XLOOKUP(Final_Sans_VGE[[#This Row],[ppn_z]],tbl_Historique_Final[[#This Row],[ppn_z]],tbl_Historique_Final[[#This Row],[date_modif]])=Final_Sans_VGE[[#This Row],[date_modif]],
      "Ancien",
      "Modifié"),
   "Nouveau")),"")</f>
        <v/>
      </c>
    </row>
    <row r="6497" spans="24:30" x14ac:dyDescent="0.25">
      <c r="X6497" s="8" t="e">
        <f>IF(Final_Sans_VGE[[#This Row],[ppn_z]]="","",IFERROR(
   IF(_xlfn.XLOOKUP(Final_Sans_VGE[[#This Row],[ppn_z]],tbl_Historique_Final[ppn_z],tbl_Historique_Final[date_modif])=Final_Sans_VGE[[#This Row],[date_modif]],
      "Ancien",
      "Modifié"),
   "Nouveau"))</f>
        <v>#VALUE!</v>
      </c>
      <c r="AD6497" s="1" t="str">
        <f>IFERROR(IF(Final_Sans_VGE[[#This Row],[ppn_z]]="","",IFERROR(
   IF(_xlfn.XLOOKUP(Final_Sans_VGE[[#This Row],[ppn_z]],tbl_Historique_Final[[#This Row],[ppn_z]],tbl_Historique_Final[[#This Row],[date_modif]])=Final_Sans_VGE[[#This Row],[date_modif]],
      "Ancien",
      "Modifié"),
   "Nouveau")),"")</f>
        <v/>
      </c>
    </row>
    <row r="6498" spans="24:30" x14ac:dyDescent="0.25">
      <c r="X6498" s="8" t="e">
        <f>IF(Final_Sans_VGE[[#This Row],[ppn_z]]="","",IFERROR(
   IF(_xlfn.XLOOKUP(Final_Sans_VGE[[#This Row],[ppn_z]],tbl_Historique_Final[ppn_z],tbl_Historique_Final[date_modif])=Final_Sans_VGE[[#This Row],[date_modif]],
      "Ancien",
      "Modifié"),
   "Nouveau"))</f>
        <v>#VALUE!</v>
      </c>
      <c r="AD6498" s="1" t="str">
        <f>IFERROR(IF(Final_Sans_VGE[[#This Row],[ppn_z]]="","",IFERROR(
   IF(_xlfn.XLOOKUP(Final_Sans_VGE[[#This Row],[ppn_z]],tbl_Historique_Final[[#This Row],[ppn_z]],tbl_Historique_Final[[#This Row],[date_modif]])=Final_Sans_VGE[[#This Row],[date_modif]],
      "Ancien",
      "Modifié"),
   "Nouveau")),"")</f>
        <v/>
      </c>
    </row>
    <row r="6499" spans="24:30" x14ac:dyDescent="0.25">
      <c r="X6499" s="8" t="e">
        <f>IF(Final_Sans_VGE[[#This Row],[ppn_z]]="","",IFERROR(
   IF(_xlfn.XLOOKUP(Final_Sans_VGE[[#This Row],[ppn_z]],tbl_Historique_Final[ppn_z],tbl_Historique_Final[date_modif])=Final_Sans_VGE[[#This Row],[date_modif]],
      "Ancien",
      "Modifié"),
   "Nouveau"))</f>
        <v>#VALUE!</v>
      </c>
      <c r="AD6499" s="1" t="str">
        <f>IFERROR(IF(Final_Sans_VGE[[#This Row],[ppn_z]]="","",IFERROR(
   IF(_xlfn.XLOOKUP(Final_Sans_VGE[[#This Row],[ppn_z]],tbl_Historique_Final[[#This Row],[ppn_z]],tbl_Historique_Final[[#This Row],[date_modif]])=Final_Sans_VGE[[#This Row],[date_modif]],
      "Ancien",
      "Modifié"),
   "Nouveau")),"")</f>
        <v/>
      </c>
    </row>
    <row r="6500" spans="24:30" x14ac:dyDescent="0.25">
      <c r="X6500" s="8" t="e">
        <f>IF(Final_Sans_VGE[[#This Row],[ppn_z]]="","",IFERROR(
   IF(_xlfn.XLOOKUP(Final_Sans_VGE[[#This Row],[ppn_z]],tbl_Historique_Final[ppn_z],tbl_Historique_Final[date_modif])=Final_Sans_VGE[[#This Row],[date_modif]],
      "Ancien",
      "Modifié"),
   "Nouveau"))</f>
        <v>#VALUE!</v>
      </c>
      <c r="AD6500" s="1" t="str">
        <f>IFERROR(IF(Final_Sans_VGE[[#This Row],[ppn_z]]="","",IFERROR(
   IF(_xlfn.XLOOKUP(Final_Sans_VGE[[#This Row],[ppn_z]],tbl_Historique_Final[[#This Row],[ppn_z]],tbl_Historique_Final[[#This Row],[date_modif]])=Final_Sans_VGE[[#This Row],[date_modif]],
      "Ancien",
      "Modifié"),
   "Nouveau")),"")</f>
        <v/>
      </c>
    </row>
    <row r="6501" spans="24:30" x14ac:dyDescent="0.25">
      <c r="X6501" s="8" t="e">
        <f>IF(Final_Sans_VGE[[#This Row],[ppn_z]]="","",IFERROR(
   IF(_xlfn.XLOOKUP(Final_Sans_VGE[[#This Row],[ppn_z]],tbl_Historique_Final[ppn_z],tbl_Historique_Final[date_modif])=Final_Sans_VGE[[#This Row],[date_modif]],
      "Ancien",
      "Modifié"),
   "Nouveau"))</f>
        <v>#VALUE!</v>
      </c>
      <c r="AD6501" s="1" t="str">
        <f>IFERROR(IF(Final_Sans_VGE[[#This Row],[ppn_z]]="","",IFERROR(
   IF(_xlfn.XLOOKUP(Final_Sans_VGE[[#This Row],[ppn_z]],tbl_Historique_Final[[#This Row],[ppn_z]],tbl_Historique_Final[[#This Row],[date_modif]])=Final_Sans_VGE[[#This Row],[date_modif]],
      "Ancien",
      "Modifié"),
   "Nouveau")),"")</f>
        <v/>
      </c>
    </row>
    <row r="6502" spans="24:30" x14ac:dyDescent="0.25">
      <c r="X6502" s="8" t="e">
        <f>IF(Final_Sans_VGE[[#This Row],[ppn_z]]="","",IFERROR(
   IF(_xlfn.XLOOKUP(Final_Sans_VGE[[#This Row],[ppn_z]],tbl_Historique_Final[ppn_z],tbl_Historique_Final[date_modif])=Final_Sans_VGE[[#This Row],[date_modif]],
      "Ancien",
      "Modifié"),
   "Nouveau"))</f>
        <v>#VALUE!</v>
      </c>
      <c r="AD6502" s="1" t="str">
        <f>IFERROR(IF(Final_Sans_VGE[[#This Row],[ppn_z]]="","",IFERROR(
   IF(_xlfn.XLOOKUP(Final_Sans_VGE[[#This Row],[ppn_z]],tbl_Historique_Final[[#This Row],[ppn_z]],tbl_Historique_Final[[#This Row],[date_modif]])=Final_Sans_VGE[[#This Row],[date_modif]],
      "Ancien",
      "Modifié"),
   "Nouveau")),"")</f>
        <v/>
      </c>
    </row>
    <row r="6503" spans="24:30" x14ac:dyDescent="0.25">
      <c r="X6503" s="8" t="e">
        <f>IF(Final_Sans_VGE[[#This Row],[ppn_z]]="","",IFERROR(
   IF(_xlfn.XLOOKUP(Final_Sans_VGE[[#This Row],[ppn_z]],tbl_Historique_Final[ppn_z],tbl_Historique_Final[date_modif])=Final_Sans_VGE[[#This Row],[date_modif]],
      "Ancien",
      "Modifié"),
   "Nouveau"))</f>
        <v>#VALUE!</v>
      </c>
      <c r="AD6503" s="1" t="str">
        <f>IFERROR(IF(Final_Sans_VGE[[#This Row],[ppn_z]]="","",IFERROR(
   IF(_xlfn.XLOOKUP(Final_Sans_VGE[[#This Row],[ppn_z]],tbl_Historique_Final[[#This Row],[ppn_z]],tbl_Historique_Final[[#This Row],[date_modif]])=Final_Sans_VGE[[#This Row],[date_modif]],
      "Ancien",
      "Modifié"),
   "Nouveau")),"")</f>
        <v/>
      </c>
    </row>
    <row r="6504" spans="24:30" x14ac:dyDescent="0.25">
      <c r="X6504" s="8" t="e">
        <f>IF(Final_Sans_VGE[[#This Row],[ppn_z]]="","",IFERROR(
   IF(_xlfn.XLOOKUP(Final_Sans_VGE[[#This Row],[ppn_z]],tbl_Historique_Final[ppn_z],tbl_Historique_Final[date_modif])=Final_Sans_VGE[[#This Row],[date_modif]],
      "Ancien",
      "Modifié"),
   "Nouveau"))</f>
        <v>#VALUE!</v>
      </c>
      <c r="AD6504" s="1" t="str">
        <f>IFERROR(IF(Final_Sans_VGE[[#This Row],[ppn_z]]="","",IFERROR(
   IF(_xlfn.XLOOKUP(Final_Sans_VGE[[#This Row],[ppn_z]],tbl_Historique_Final[[#This Row],[ppn_z]],tbl_Historique_Final[[#This Row],[date_modif]])=Final_Sans_VGE[[#This Row],[date_modif]],
      "Ancien",
      "Modifié"),
   "Nouveau")),"")</f>
        <v/>
      </c>
    </row>
    <row r="6505" spans="24:30" x14ac:dyDescent="0.25">
      <c r="X6505" s="8" t="e">
        <f>IF(Final_Sans_VGE[[#This Row],[ppn_z]]="","",IFERROR(
   IF(_xlfn.XLOOKUP(Final_Sans_VGE[[#This Row],[ppn_z]],tbl_Historique_Final[ppn_z],tbl_Historique_Final[date_modif])=Final_Sans_VGE[[#This Row],[date_modif]],
      "Ancien",
      "Modifié"),
   "Nouveau"))</f>
        <v>#VALUE!</v>
      </c>
      <c r="AD6505" s="1" t="str">
        <f>IFERROR(IF(Final_Sans_VGE[[#This Row],[ppn_z]]="","",IFERROR(
   IF(_xlfn.XLOOKUP(Final_Sans_VGE[[#This Row],[ppn_z]],tbl_Historique_Final[[#This Row],[ppn_z]],tbl_Historique_Final[[#This Row],[date_modif]])=Final_Sans_VGE[[#This Row],[date_modif]],
      "Ancien",
      "Modifié"),
   "Nouveau")),"")</f>
        <v/>
      </c>
    </row>
    <row r="6506" spans="24:30" x14ac:dyDescent="0.25">
      <c r="X6506" s="8" t="e">
        <f>IF(Final_Sans_VGE[[#This Row],[ppn_z]]="","",IFERROR(
   IF(_xlfn.XLOOKUP(Final_Sans_VGE[[#This Row],[ppn_z]],tbl_Historique_Final[ppn_z],tbl_Historique_Final[date_modif])=Final_Sans_VGE[[#This Row],[date_modif]],
      "Ancien",
      "Modifié"),
   "Nouveau"))</f>
        <v>#VALUE!</v>
      </c>
      <c r="AD6506" s="1" t="str">
        <f>IFERROR(IF(Final_Sans_VGE[[#This Row],[ppn_z]]="","",IFERROR(
   IF(_xlfn.XLOOKUP(Final_Sans_VGE[[#This Row],[ppn_z]],tbl_Historique_Final[[#This Row],[ppn_z]],tbl_Historique_Final[[#This Row],[date_modif]])=Final_Sans_VGE[[#This Row],[date_modif]],
      "Ancien",
      "Modifié"),
   "Nouveau")),"")</f>
        <v/>
      </c>
    </row>
    <row r="6507" spans="24:30" x14ac:dyDescent="0.25">
      <c r="X6507" s="8" t="e">
        <f>IF(Final_Sans_VGE[[#This Row],[ppn_z]]="","",IFERROR(
   IF(_xlfn.XLOOKUP(Final_Sans_VGE[[#This Row],[ppn_z]],tbl_Historique_Final[ppn_z],tbl_Historique_Final[date_modif])=Final_Sans_VGE[[#This Row],[date_modif]],
      "Ancien",
      "Modifié"),
   "Nouveau"))</f>
        <v>#VALUE!</v>
      </c>
      <c r="AD6507" s="1" t="str">
        <f>IFERROR(IF(Final_Sans_VGE[[#This Row],[ppn_z]]="","",IFERROR(
   IF(_xlfn.XLOOKUP(Final_Sans_VGE[[#This Row],[ppn_z]],tbl_Historique_Final[[#This Row],[ppn_z]],tbl_Historique_Final[[#This Row],[date_modif]])=Final_Sans_VGE[[#This Row],[date_modif]],
      "Ancien",
      "Modifié"),
   "Nouveau")),"")</f>
        <v/>
      </c>
    </row>
    <row r="6508" spans="24:30" x14ac:dyDescent="0.25">
      <c r="X6508" s="8" t="e">
        <f>IF(Final_Sans_VGE[[#This Row],[ppn_z]]="","",IFERROR(
   IF(_xlfn.XLOOKUP(Final_Sans_VGE[[#This Row],[ppn_z]],tbl_Historique_Final[ppn_z],tbl_Historique_Final[date_modif])=Final_Sans_VGE[[#This Row],[date_modif]],
      "Ancien",
      "Modifié"),
   "Nouveau"))</f>
        <v>#VALUE!</v>
      </c>
      <c r="AD6508" s="1" t="str">
        <f>IFERROR(IF(Final_Sans_VGE[[#This Row],[ppn_z]]="","",IFERROR(
   IF(_xlfn.XLOOKUP(Final_Sans_VGE[[#This Row],[ppn_z]],tbl_Historique_Final[[#This Row],[ppn_z]],tbl_Historique_Final[[#This Row],[date_modif]])=Final_Sans_VGE[[#This Row],[date_modif]],
      "Ancien",
      "Modifié"),
   "Nouveau")),"")</f>
        <v/>
      </c>
    </row>
    <row r="6509" spans="24:30" x14ac:dyDescent="0.25">
      <c r="X6509" s="8" t="e">
        <f>IF(Final_Sans_VGE[[#This Row],[ppn_z]]="","",IFERROR(
   IF(_xlfn.XLOOKUP(Final_Sans_VGE[[#This Row],[ppn_z]],tbl_Historique_Final[ppn_z],tbl_Historique_Final[date_modif])=Final_Sans_VGE[[#This Row],[date_modif]],
      "Ancien",
      "Modifié"),
   "Nouveau"))</f>
        <v>#VALUE!</v>
      </c>
      <c r="AD6509" s="1" t="str">
        <f>IFERROR(IF(Final_Sans_VGE[[#This Row],[ppn_z]]="","",IFERROR(
   IF(_xlfn.XLOOKUP(Final_Sans_VGE[[#This Row],[ppn_z]],tbl_Historique_Final[[#This Row],[ppn_z]],tbl_Historique_Final[[#This Row],[date_modif]])=Final_Sans_VGE[[#This Row],[date_modif]],
      "Ancien",
      "Modifié"),
   "Nouveau")),"")</f>
        <v/>
      </c>
    </row>
    <row r="6510" spans="24:30" x14ac:dyDescent="0.25">
      <c r="X6510" s="8" t="e">
        <f>IF(Final_Sans_VGE[[#This Row],[ppn_z]]="","",IFERROR(
   IF(_xlfn.XLOOKUP(Final_Sans_VGE[[#This Row],[ppn_z]],tbl_Historique_Final[ppn_z],tbl_Historique_Final[date_modif])=Final_Sans_VGE[[#This Row],[date_modif]],
      "Ancien",
      "Modifié"),
   "Nouveau"))</f>
        <v>#VALUE!</v>
      </c>
      <c r="AD6510" s="1" t="str">
        <f>IFERROR(IF(Final_Sans_VGE[[#This Row],[ppn_z]]="","",IFERROR(
   IF(_xlfn.XLOOKUP(Final_Sans_VGE[[#This Row],[ppn_z]],tbl_Historique_Final[[#This Row],[ppn_z]],tbl_Historique_Final[[#This Row],[date_modif]])=Final_Sans_VGE[[#This Row],[date_modif]],
      "Ancien",
      "Modifié"),
   "Nouveau")),"")</f>
        <v/>
      </c>
    </row>
    <row r="6511" spans="24:30" x14ac:dyDescent="0.25">
      <c r="X6511" s="8" t="e">
        <f>IF(Final_Sans_VGE[[#This Row],[ppn_z]]="","",IFERROR(
   IF(_xlfn.XLOOKUP(Final_Sans_VGE[[#This Row],[ppn_z]],tbl_Historique_Final[ppn_z],tbl_Historique_Final[date_modif])=Final_Sans_VGE[[#This Row],[date_modif]],
      "Ancien",
      "Modifié"),
   "Nouveau"))</f>
        <v>#VALUE!</v>
      </c>
      <c r="AD6511" s="1" t="str">
        <f>IFERROR(IF(Final_Sans_VGE[[#This Row],[ppn_z]]="","",IFERROR(
   IF(_xlfn.XLOOKUP(Final_Sans_VGE[[#This Row],[ppn_z]],tbl_Historique_Final[[#This Row],[ppn_z]],tbl_Historique_Final[[#This Row],[date_modif]])=Final_Sans_VGE[[#This Row],[date_modif]],
      "Ancien",
      "Modifié"),
   "Nouveau")),"")</f>
        <v/>
      </c>
    </row>
    <row r="6512" spans="24:30" x14ac:dyDescent="0.25">
      <c r="X6512" s="8" t="e">
        <f>IF(Final_Sans_VGE[[#This Row],[ppn_z]]="","",IFERROR(
   IF(_xlfn.XLOOKUP(Final_Sans_VGE[[#This Row],[ppn_z]],tbl_Historique_Final[ppn_z],tbl_Historique_Final[date_modif])=Final_Sans_VGE[[#This Row],[date_modif]],
      "Ancien",
      "Modifié"),
   "Nouveau"))</f>
        <v>#VALUE!</v>
      </c>
      <c r="AD6512" s="1" t="str">
        <f>IFERROR(IF(Final_Sans_VGE[[#This Row],[ppn_z]]="","",IFERROR(
   IF(_xlfn.XLOOKUP(Final_Sans_VGE[[#This Row],[ppn_z]],tbl_Historique_Final[[#This Row],[ppn_z]],tbl_Historique_Final[[#This Row],[date_modif]])=Final_Sans_VGE[[#This Row],[date_modif]],
      "Ancien",
      "Modifié"),
   "Nouveau")),"")</f>
        <v/>
      </c>
    </row>
    <row r="6513" spans="24:30" x14ac:dyDescent="0.25">
      <c r="X6513" s="8" t="e">
        <f>IF(Final_Sans_VGE[[#This Row],[ppn_z]]="","",IFERROR(
   IF(_xlfn.XLOOKUP(Final_Sans_VGE[[#This Row],[ppn_z]],tbl_Historique_Final[ppn_z],tbl_Historique_Final[date_modif])=Final_Sans_VGE[[#This Row],[date_modif]],
      "Ancien",
      "Modifié"),
   "Nouveau"))</f>
        <v>#VALUE!</v>
      </c>
      <c r="AD6513" s="1" t="str">
        <f>IFERROR(IF(Final_Sans_VGE[[#This Row],[ppn_z]]="","",IFERROR(
   IF(_xlfn.XLOOKUP(Final_Sans_VGE[[#This Row],[ppn_z]],tbl_Historique_Final[[#This Row],[ppn_z]],tbl_Historique_Final[[#This Row],[date_modif]])=Final_Sans_VGE[[#This Row],[date_modif]],
      "Ancien",
      "Modifié"),
   "Nouveau")),"")</f>
        <v/>
      </c>
    </row>
    <row r="6514" spans="24:30" x14ac:dyDescent="0.25">
      <c r="X6514" s="8" t="e">
        <f>IF(Final_Sans_VGE[[#This Row],[ppn_z]]="","",IFERROR(
   IF(_xlfn.XLOOKUP(Final_Sans_VGE[[#This Row],[ppn_z]],tbl_Historique_Final[ppn_z],tbl_Historique_Final[date_modif])=Final_Sans_VGE[[#This Row],[date_modif]],
      "Ancien",
      "Modifié"),
   "Nouveau"))</f>
        <v>#VALUE!</v>
      </c>
      <c r="AD6514" s="1" t="str">
        <f>IFERROR(IF(Final_Sans_VGE[[#This Row],[ppn_z]]="","",IFERROR(
   IF(_xlfn.XLOOKUP(Final_Sans_VGE[[#This Row],[ppn_z]],tbl_Historique_Final[[#This Row],[ppn_z]],tbl_Historique_Final[[#This Row],[date_modif]])=Final_Sans_VGE[[#This Row],[date_modif]],
      "Ancien",
      "Modifié"),
   "Nouveau")),"")</f>
        <v/>
      </c>
    </row>
    <row r="6515" spans="24:30" x14ac:dyDescent="0.25">
      <c r="X6515" s="8" t="e">
        <f>IF(Final_Sans_VGE[[#This Row],[ppn_z]]="","",IFERROR(
   IF(_xlfn.XLOOKUP(Final_Sans_VGE[[#This Row],[ppn_z]],tbl_Historique_Final[ppn_z],tbl_Historique_Final[date_modif])=Final_Sans_VGE[[#This Row],[date_modif]],
      "Ancien",
      "Modifié"),
   "Nouveau"))</f>
        <v>#VALUE!</v>
      </c>
      <c r="AD6515" s="1" t="str">
        <f>IFERROR(IF(Final_Sans_VGE[[#This Row],[ppn_z]]="","",IFERROR(
   IF(_xlfn.XLOOKUP(Final_Sans_VGE[[#This Row],[ppn_z]],tbl_Historique_Final[[#This Row],[ppn_z]],tbl_Historique_Final[[#This Row],[date_modif]])=Final_Sans_VGE[[#This Row],[date_modif]],
      "Ancien",
      "Modifié"),
   "Nouveau")),"")</f>
        <v/>
      </c>
    </row>
    <row r="6516" spans="24:30" x14ac:dyDescent="0.25">
      <c r="X6516" s="8" t="e">
        <f>IF(Final_Sans_VGE[[#This Row],[ppn_z]]="","",IFERROR(
   IF(_xlfn.XLOOKUP(Final_Sans_VGE[[#This Row],[ppn_z]],tbl_Historique_Final[ppn_z],tbl_Historique_Final[date_modif])=Final_Sans_VGE[[#This Row],[date_modif]],
      "Ancien",
      "Modifié"),
   "Nouveau"))</f>
        <v>#VALUE!</v>
      </c>
      <c r="AD6516" s="1" t="str">
        <f>IFERROR(IF(Final_Sans_VGE[[#This Row],[ppn_z]]="","",IFERROR(
   IF(_xlfn.XLOOKUP(Final_Sans_VGE[[#This Row],[ppn_z]],tbl_Historique_Final[[#This Row],[ppn_z]],tbl_Historique_Final[[#This Row],[date_modif]])=Final_Sans_VGE[[#This Row],[date_modif]],
      "Ancien",
      "Modifié"),
   "Nouveau")),"")</f>
        <v/>
      </c>
    </row>
    <row r="6517" spans="24:30" x14ac:dyDescent="0.25">
      <c r="X6517" s="8" t="e">
        <f>IF(Final_Sans_VGE[[#This Row],[ppn_z]]="","",IFERROR(
   IF(_xlfn.XLOOKUP(Final_Sans_VGE[[#This Row],[ppn_z]],tbl_Historique_Final[ppn_z],tbl_Historique_Final[date_modif])=Final_Sans_VGE[[#This Row],[date_modif]],
      "Ancien",
      "Modifié"),
   "Nouveau"))</f>
        <v>#VALUE!</v>
      </c>
      <c r="AD6517" s="1" t="str">
        <f>IFERROR(IF(Final_Sans_VGE[[#This Row],[ppn_z]]="","",IFERROR(
   IF(_xlfn.XLOOKUP(Final_Sans_VGE[[#This Row],[ppn_z]],tbl_Historique_Final[[#This Row],[ppn_z]],tbl_Historique_Final[[#This Row],[date_modif]])=Final_Sans_VGE[[#This Row],[date_modif]],
      "Ancien",
      "Modifié"),
   "Nouveau")),"")</f>
        <v/>
      </c>
    </row>
    <row r="6518" spans="24:30" x14ac:dyDescent="0.25">
      <c r="X6518" s="8" t="e">
        <f>IF(Final_Sans_VGE[[#This Row],[ppn_z]]="","",IFERROR(
   IF(_xlfn.XLOOKUP(Final_Sans_VGE[[#This Row],[ppn_z]],tbl_Historique_Final[ppn_z],tbl_Historique_Final[date_modif])=Final_Sans_VGE[[#This Row],[date_modif]],
      "Ancien",
      "Modifié"),
   "Nouveau"))</f>
        <v>#VALUE!</v>
      </c>
      <c r="AD6518" s="1" t="str">
        <f>IFERROR(IF(Final_Sans_VGE[[#This Row],[ppn_z]]="","",IFERROR(
   IF(_xlfn.XLOOKUP(Final_Sans_VGE[[#This Row],[ppn_z]],tbl_Historique_Final[[#This Row],[ppn_z]],tbl_Historique_Final[[#This Row],[date_modif]])=Final_Sans_VGE[[#This Row],[date_modif]],
      "Ancien",
      "Modifié"),
   "Nouveau")),"")</f>
        <v/>
      </c>
    </row>
    <row r="6519" spans="24:30" x14ac:dyDescent="0.25">
      <c r="X6519" s="8" t="e">
        <f>IF(Final_Sans_VGE[[#This Row],[ppn_z]]="","",IFERROR(
   IF(_xlfn.XLOOKUP(Final_Sans_VGE[[#This Row],[ppn_z]],tbl_Historique_Final[ppn_z],tbl_Historique_Final[date_modif])=Final_Sans_VGE[[#This Row],[date_modif]],
      "Ancien",
      "Modifié"),
   "Nouveau"))</f>
        <v>#VALUE!</v>
      </c>
      <c r="AD6519" s="1" t="str">
        <f>IFERROR(IF(Final_Sans_VGE[[#This Row],[ppn_z]]="","",IFERROR(
   IF(_xlfn.XLOOKUP(Final_Sans_VGE[[#This Row],[ppn_z]],tbl_Historique_Final[[#This Row],[ppn_z]],tbl_Historique_Final[[#This Row],[date_modif]])=Final_Sans_VGE[[#This Row],[date_modif]],
      "Ancien",
      "Modifié"),
   "Nouveau")),"")</f>
        <v/>
      </c>
    </row>
    <row r="6520" spans="24:30" x14ac:dyDescent="0.25">
      <c r="X6520" s="8" t="e">
        <f>IF(Final_Sans_VGE[[#This Row],[ppn_z]]="","",IFERROR(
   IF(_xlfn.XLOOKUP(Final_Sans_VGE[[#This Row],[ppn_z]],tbl_Historique_Final[ppn_z],tbl_Historique_Final[date_modif])=Final_Sans_VGE[[#This Row],[date_modif]],
      "Ancien",
      "Modifié"),
   "Nouveau"))</f>
        <v>#VALUE!</v>
      </c>
      <c r="AD6520" s="1" t="str">
        <f>IFERROR(IF(Final_Sans_VGE[[#This Row],[ppn_z]]="","",IFERROR(
   IF(_xlfn.XLOOKUP(Final_Sans_VGE[[#This Row],[ppn_z]],tbl_Historique_Final[[#This Row],[ppn_z]],tbl_Historique_Final[[#This Row],[date_modif]])=Final_Sans_VGE[[#This Row],[date_modif]],
      "Ancien",
      "Modifié"),
   "Nouveau")),"")</f>
        <v/>
      </c>
    </row>
    <row r="6521" spans="24:30" x14ac:dyDescent="0.25">
      <c r="X6521" s="8" t="e">
        <f>IF(Final_Sans_VGE[[#This Row],[ppn_z]]="","",IFERROR(
   IF(_xlfn.XLOOKUP(Final_Sans_VGE[[#This Row],[ppn_z]],tbl_Historique_Final[ppn_z],tbl_Historique_Final[date_modif])=Final_Sans_VGE[[#This Row],[date_modif]],
      "Ancien",
      "Modifié"),
   "Nouveau"))</f>
        <v>#VALUE!</v>
      </c>
      <c r="AD6521" s="1" t="str">
        <f>IFERROR(IF(Final_Sans_VGE[[#This Row],[ppn_z]]="","",IFERROR(
   IF(_xlfn.XLOOKUP(Final_Sans_VGE[[#This Row],[ppn_z]],tbl_Historique_Final[[#This Row],[ppn_z]],tbl_Historique_Final[[#This Row],[date_modif]])=Final_Sans_VGE[[#This Row],[date_modif]],
      "Ancien",
      "Modifié"),
   "Nouveau")),"")</f>
        <v/>
      </c>
    </row>
    <row r="6522" spans="24:30" x14ac:dyDescent="0.25">
      <c r="X6522" s="8" t="e">
        <f>IF(Final_Sans_VGE[[#This Row],[ppn_z]]="","",IFERROR(
   IF(_xlfn.XLOOKUP(Final_Sans_VGE[[#This Row],[ppn_z]],tbl_Historique_Final[ppn_z],tbl_Historique_Final[date_modif])=Final_Sans_VGE[[#This Row],[date_modif]],
      "Ancien",
      "Modifié"),
   "Nouveau"))</f>
        <v>#VALUE!</v>
      </c>
      <c r="AD6522" s="1" t="str">
        <f>IFERROR(IF(Final_Sans_VGE[[#This Row],[ppn_z]]="","",IFERROR(
   IF(_xlfn.XLOOKUP(Final_Sans_VGE[[#This Row],[ppn_z]],tbl_Historique_Final[[#This Row],[ppn_z]],tbl_Historique_Final[[#This Row],[date_modif]])=Final_Sans_VGE[[#This Row],[date_modif]],
      "Ancien",
      "Modifié"),
   "Nouveau")),"")</f>
        <v/>
      </c>
    </row>
    <row r="6523" spans="24:30" x14ac:dyDescent="0.25">
      <c r="X6523" s="8" t="e">
        <f>IF(Final_Sans_VGE[[#This Row],[ppn_z]]="","",IFERROR(
   IF(_xlfn.XLOOKUP(Final_Sans_VGE[[#This Row],[ppn_z]],tbl_Historique_Final[ppn_z],tbl_Historique_Final[date_modif])=Final_Sans_VGE[[#This Row],[date_modif]],
      "Ancien",
      "Modifié"),
   "Nouveau"))</f>
        <v>#VALUE!</v>
      </c>
      <c r="AD6523" s="1" t="str">
        <f>IFERROR(IF(Final_Sans_VGE[[#This Row],[ppn_z]]="","",IFERROR(
   IF(_xlfn.XLOOKUP(Final_Sans_VGE[[#This Row],[ppn_z]],tbl_Historique_Final[[#This Row],[ppn_z]],tbl_Historique_Final[[#This Row],[date_modif]])=Final_Sans_VGE[[#This Row],[date_modif]],
      "Ancien",
      "Modifié"),
   "Nouveau")),"")</f>
        <v/>
      </c>
    </row>
    <row r="6524" spans="24:30" x14ac:dyDescent="0.25">
      <c r="X6524" s="8" t="e">
        <f>IF(Final_Sans_VGE[[#This Row],[ppn_z]]="","",IFERROR(
   IF(_xlfn.XLOOKUP(Final_Sans_VGE[[#This Row],[ppn_z]],tbl_Historique_Final[ppn_z],tbl_Historique_Final[date_modif])=Final_Sans_VGE[[#This Row],[date_modif]],
      "Ancien",
      "Modifié"),
   "Nouveau"))</f>
        <v>#VALUE!</v>
      </c>
      <c r="AD6524" s="1" t="str">
        <f>IFERROR(IF(Final_Sans_VGE[[#This Row],[ppn_z]]="","",IFERROR(
   IF(_xlfn.XLOOKUP(Final_Sans_VGE[[#This Row],[ppn_z]],tbl_Historique_Final[[#This Row],[ppn_z]],tbl_Historique_Final[[#This Row],[date_modif]])=Final_Sans_VGE[[#This Row],[date_modif]],
      "Ancien",
      "Modifié"),
   "Nouveau")),"")</f>
        <v/>
      </c>
    </row>
    <row r="6525" spans="24:30" x14ac:dyDescent="0.25">
      <c r="X6525" s="8" t="e">
        <f>IF(Final_Sans_VGE[[#This Row],[ppn_z]]="","",IFERROR(
   IF(_xlfn.XLOOKUP(Final_Sans_VGE[[#This Row],[ppn_z]],tbl_Historique_Final[ppn_z],tbl_Historique_Final[date_modif])=Final_Sans_VGE[[#This Row],[date_modif]],
      "Ancien",
      "Modifié"),
   "Nouveau"))</f>
        <v>#VALUE!</v>
      </c>
      <c r="AD6525" s="1" t="str">
        <f>IFERROR(IF(Final_Sans_VGE[[#This Row],[ppn_z]]="","",IFERROR(
   IF(_xlfn.XLOOKUP(Final_Sans_VGE[[#This Row],[ppn_z]],tbl_Historique_Final[[#This Row],[ppn_z]],tbl_Historique_Final[[#This Row],[date_modif]])=Final_Sans_VGE[[#This Row],[date_modif]],
      "Ancien",
      "Modifié"),
   "Nouveau")),"")</f>
        <v/>
      </c>
    </row>
    <row r="6526" spans="24:30" x14ac:dyDescent="0.25">
      <c r="X6526" s="8" t="e">
        <f>IF(Final_Sans_VGE[[#This Row],[ppn_z]]="","",IFERROR(
   IF(_xlfn.XLOOKUP(Final_Sans_VGE[[#This Row],[ppn_z]],tbl_Historique_Final[ppn_z],tbl_Historique_Final[date_modif])=Final_Sans_VGE[[#This Row],[date_modif]],
      "Ancien",
      "Modifié"),
   "Nouveau"))</f>
        <v>#VALUE!</v>
      </c>
      <c r="AD6526" s="1" t="str">
        <f>IFERROR(IF(Final_Sans_VGE[[#This Row],[ppn_z]]="","",IFERROR(
   IF(_xlfn.XLOOKUP(Final_Sans_VGE[[#This Row],[ppn_z]],tbl_Historique_Final[[#This Row],[ppn_z]],tbl_Historique_Final[[#This Row],[date_modif]])=Final_Sans_VGE[[#This Row],[date_modif]],
      "Ancien",
      "Modifié"),
   "Nouveau")),"")</f>
        <v/>
      </c>
    </row>
    <row r="6527" spans="24:30" x14ac:dyDescent="0.25">
      <c r="X6527" s="8" t="e">
        <f>IF(Final_Sans_VGE[[#This Row],[ppn_z]]="","",IFERROR(
   IF(_xlfn.XLOOKUP(Final_Sans_VGE[[#This Row],[ppn_z]],tbl_Historique_Final[ppn_z],tbl_Historique_Final[date_modif])=Final_Sans_VGE[[#This Row],[date_modif]],
      "Ancien",
      "Modifié"),
   "Nouveau"))</f>
        <v>#VALUE!</v>
      </c>
      <c r="AD6527" s="1" t="str">
        <f>IFERROR(IF(Final_Sans_VGE[[#This Row],[ppn_z]]="","",IFERROR(
   IF(_xlfn.XLOOKUP(Final_Sans_VGE[[#This Row],[ppn_z]],tbl_Historique_Final[[#This Row],[ppn_z]],tbl_Historique_Final[[#This Row],[date_modif]])=Final_Sans_VGE[[#This Row],[date_modif]],
      "Ancien",
      "Modifié"),
   "Nouveau")),"")</f>
        <v/>
      </c>
    </row>
    <row r="6528" spans="24:30" x14ac:dyDescent="0.25">
      <c r="X6528" s="8" t="e">
        <f>IF(Final_Sans_VGE[[#This Row],[ppn_z]]="","",IFERROR(
   IF(_xlfn.XLOOKUP(Final_Sans_VGE[[#This Row],[ppn_z]],tbl_Historique_Final[ppn_z],tbl_Historique_Final[date_modif])=Final_Sans_VGE[[#This Row],[date_modif]],
      "Ancien",
      "Modifié"),
   "Nouveau"))</f>
        <v>#VALUE!</v>
      </c>
      <c r="AD6528" s="1" t="str">
        <f>IFERROR(IF(Final_Sans_VGE[[#This Row],[ppn_z]]="","",IFERROR(
   IF(_xlfn.XLOOKUP(Final_Sans_VGE[[#This Row],[ppn_z]],tbl_Historique_Final[[#This Row],[ppn_z]],tbl_Historique_Final[[#This Row],[date_modif]])=Final_Sans_VGE[[#This Row],[date_modif]],
      "Ancien",
      "Modifié"),
   "Nouveau")),"")</f>
        <v/>
      </c>
    </row>
    <row r="6529" spans="24:30" x14ac:dyDescent="0.25">
      <c r="X6529" s="8" t="e">
        <f>IF(Final_Sans_VGE[[#This Row],[ppn_z]]="","",IFERROR(
   IF(_xlfn.XLOOKUP(Final_Sans_VGE[[#This Row],[ppn_z]],tbl_Historique_Final[ppn_z],tbl_Historique_Final[date_modif])=Final_Sans_VGE[[#This Row],[date_modif]],
      "Ancien",
      "Modifié"),
   "Nouveau"))</f>
        <v>#VALUE!</v>
      </c>
      <c r="AD6529" s="1" t="str">
        <f>IFERROR(IF(Final_Sans_VGE[[#This Row],[ppn_z]]="","",IFERROR(
   IF(_xlfn.XLOOKUP(Final_Sans_VGE[[#This Row],[ppn_z]],tbl_Historique_Final[[#This Row],[ppn_z]],tbl_Historique_Final[[#This Row],[date_modif]])=Final_Sans_VGE[[#This Row],[date_modif]],
      "Ancien",
      "Modifié"),
   "Nouveau")),"")</f>
        <v/>
      </c>
    </row>
    <row r="6530" spans="24:30" x14ac:dyDescent="0.25">
      <c r="X6530" s="8" t="e">
        <f>IF(Final_Sans_VGE[[#This Row],[ppn_z]]="","",IFERROR(
   IF(_xlfn.XLOOKUP(Final_Sans_VGE[[#This Row],[ppn_z]],tbl_Historique_Final[ppn_z],tbl_Historique_Final[date_modif])=Final_Sans_VGE[[#This Row],[date_modif]],
      "Ancien",
      "Modifié"),
   "Nouveau"))</f>
        <v>#VALUE!</v>
      </c>
      <c r="AD6530" s="1" t="str">
        <f>IFERROR(IF(Final_Sans_VGE[[#This Row],[ppn_z]]="","",IFERROR(
   IF(_xlfn.XLOOKUP(Final_Sans_VGE[[#This Row],[ppn_z]],tbl_Historique_Final[[#This Row],[ppn_z]],tbl_Historique_Final[[#This Row],[date_modif]])=Final_Sans_VGE[[#This Row],[date_modif]],
      "Ancien",
      "Modifié"),
   "Nouveau")),"")</f>
        <v/>
      </c>
    </row>
    <row r="6531" spans="24:30" x14ac:dyDescent="0.25">
      <c r="X6531" s="8" t="e">
        <f>IF(Final_Sans_VGE[[#This Row],[ppn_z]]="","",IFERROR(
   IF(_xlfn.XLOOKUP(Final_Sans_VGE[[#This Row],[ppn_z]],tbl_Historique_Final[ppn_z],tbl_Historique_Final[date_modif])=Final_Sans_VGE[[#This Row],[date_modif]],
      "Ancien",
      "Modifié"),
   "Nouveau"))</f>
        <v>#VALUE!</v>
      </c>
      <c r="AD6531" s="1" t="str">
        <f>IFERROR(IF(Final_Sans_VGE[[#This Row],[ppn_z]]="","",IFERROR(
   IF(_xlfn.XLOOKUP(Final_Sans_VGE[[#This Row],[ppn_z]],tbl_Historique_Final[[#This Row],[ppn_z]],tbl_Historique_Final[[#This Row],[date_modif]])=Final_Sans_VGE[[#This Row],[date_modif]],
      "Ancien",
      "Modifié"),
   "Nouveau")),"")</f>
        <v/>
      </c>
    </row>
    <row r="6532" spans="24:30" x14ac:dyDescent="0.25">
      <c r="X6532" s="8" t="e">
        <f>IF(Final_Sans_VGE[[#This Row],[ppn_z]]="","",IFERROR(
   IF(_xlfn.XLOOKUP(Final_Sans_VGE[[#This Row],[ppn_z]],tbl_Historique_Final[ppn_z],tbl_Historique_Final[date_modif])=Final_Sans_VGE[[#This Row],[date_modif]],
      "Ancien",
      "Modifié"),
   "Nouveau"))</f>
        <v>#VALUE!</v>
      </c>
      <c r="AD6532" s="1" t="str">
        <f>IFERROR(IF(Final_Sans_VGE[[#This Row],[ppn_z]]="","",IFERROR(
   IF(_xlfn.XLOOKUP(Final_Sans_VGE[[#This Row],[ppn_z]],tbl_Historique_Final[[#This Row],[ppn_z]],tbl_Historique_Final[[#This Row],[date_modif]])=Final_Sans_VGE[[#This Row],[date_modif]],
      "Ancien",
      "Modifié"),
   "Nouveau")),"")</f>
        <v/>
      </c>
    </row>
    <row r="6533" spans="24:30" x14ac:dyDescent="0.25">
      <c r="X6533" s="8" t="e">
        <f>IF(Final_Sans_VGE[[#This Row],[ppn_z]]="","",IFERROR(
   IF(_xlfn.XLOOKUP(Final_Sans_VGE[[#This Row],[ppn_z]],tbl_Historique_Final[ppn_z],tbl_Historique_Final[date_modif])=Final_Sans_VGE[[#This Row],[date_modif]],
      "Ancien",
      "Modifié"),
   "Nouveau"))</f>
        <v>#VALUE!</v>
      </c>
      <c r="AD6533" s="1" t="str">
        <f>IFERROR(IF(Final_Sans_VGE[[#This Row],[ppn_z]]="","",IFERROR(
   IF(_xlfn.XLOOKUP(Final_Sans_VGE[[#This Row],[ppn_z]],tbl_Historique_Final[[#This Row],[ppn_z]],tbl_Historique_Final[[#This Row],[date_modif]])=Final_Sans_VGE[[#This Row],[date_modif]],
      "Ancien",
      "Modifié"),
   "Nouveau")),"")</f>
        <v/>
      </c>
    </row>
    <row r="6534" spans="24:30" x14ac:dyDescent="0.25">
      <c r="X6534" s="8" t="e">
        <f>IF(Final_Sans_VGE[[#This Row],[ppn_z]]="","",IFERROR(
   IF(_xlfn.XLOOKUP(Final_Sans_VGE[[#This Row],[ppn_z]],tbl_Historique_Final[ppn_z],tbl_Historique_Final[date_modif])=Final_Sans_VGE[[#This Row],[date_modif]],
      "Ancien",
      "Modifié"),
   "Nouveau"))</f>
        <v>#VALUE!</v>
      </c>
      <c r="AD6534" s="1" t="str">
        <f>IFERROR(IF(Final_Sans_VGE[[#This Row],[ppn_z]]="","",IFERROR(
   IF(_xlfn.XLOOKUP(Final_Sans_VGE[[#This Row],[ppn_z]],tbl_Historique_Final[[#This Row],[ppn_z]],tbl_Historique_Final[[#This Row],[date_modif]])=Final_Sans_VGE[[#This Row],[date_modif]],
      "Ancien",
      "Modifié"),
   "Nouveau")),"")</f>
        <v/>
      </c>
    </row>
    <row r="6535" spans="24:30" x14ac:dyDescent="0.25">
      <c r="X6535" s="8" t="e">
        <f>IF(Final_Sans_VGE[[#This Row],[ppn_z]]="","",IFERROR(
   IF(_xlfn.XLOOKUP(Final_Sans_VGE[[#This Row],[ppn_z]],tbl_Historique_Final[ppn_z],tbl_Historique_Final[date_modif])=Final_Sans_VGE[[#This Row],[date_modif]],
      "Ancien",
      "Modifié"),
   "Nouveau"))</f>
        <v>#VALUE!</v>
      </c>
      <c r="AD6535" s="1" t="str">
        <f>IFERROR(IF(Final_Sans_VGE[[#This Row],[ppn_z]]="","",IFERROR(
   IF(_xlfn.XLOOKUP(Final_Sans_VGE[[#This Row],[ppn_z]],tbl_Historique_Final[[#This Row],[ppn_z]],tbl_Historique_Final[[#This Row],[date_modif]])=Final_Sans_VGE[[#This Row],[date_modif]],
      "Ancien",
      "Modifié"),
   "Nouveau")),"")</f>
        <v/>
      </c>
    </row>
    <row r="6536" spans="24:30" x14ac:dyDescent="0.25">
      <c r="X6536" s="8" t="e">
        <f>IF(Final_Sans_VGE[[#This Row],[ppn_z]]="","",IFERROR(
   IF(_xlfn.XLOOKUP(Final_Sans_VGE[[#This Row],[ppn_z]],tbl_Historique_Final[ppn_z],tbl_Historique_Final[date_modif])=Final_Sans_VGE[[#This Row],[date_modif]],
      "Ancien",
      "Modifié"),
   "Nouveau"))</f>
        <v>#VALUE!</v>
      </c>
      <c r="AD6536" s="1" t="str">
        <f>IFERROR(IF(Final_Sans_VGE[[#This Row],[ppn_z]]="","",IFERROR(
   IF(_xlfn.XLOOKUP(Final_Sans_VGE[[#This Row],[ppn_z]],tbl_Historique_Final[[#This Row],[ppn_z]],tbl_Historique_Final[[#This Row],[date_modif]])=Final_Sans_VGE[[#This Row],[date_modif]],
      "Ancien",
      "Modifié"),
   "Nouveau")),"")</f>
        <v/>
      </c>
    </row>
    <row r="6537" spans="24:30" x14ac:dyDescent="0.25">
      <c r="X6537" s="8" t="e">
        <f>IF(Final_Sans_VGE[[#This Row],[ppn_z]]="","",IFERROR(
   IF(_xlfn.XLOOKUP(Final_Sans_VGE[[#This Row],[ppn_z]],tbl_Historique_Final[ppn_z],tbl_Historique_Final[date_modif])=Final_Sans_VGE[[#This Row],[date_modif]],
      "Ancien",
      "Modifié"),
   "Nouveau"))</f>
        <v>#VALUE!</v>
      </c>
      <c r="AD6537" s="1" t="str">
        <f>IFERROR(IF(Final_Sans_VGE[[#This Row],[ppn_z]]="","",IFERROR(
   IF(_xlfn.XLOOKUP(Final_Sans_VGE[[#This Row],[ppn_z]],tbl_Historique_Final[[#This Row],[ppn_z]],tbl_Historique_Final[[#This Row],[date_modif]])=Final_Sans_VGE[[#This Row],[date_modif]],
      "Ancien",
      "Modifié"),
   "Nouveau")),"")</f>
        <v/>
      </c>
    </row>
    <row r="6538" spans="24:30" x14ac:dyDescent="0.25">
      <c r="X6538" s="8" t="e">
        <f>IF(Final_Sans_VGE[[#This Row],[ppn_z]]="","",IFERROR(
   IF(_xlfn.XLOOKUP(Final_Sans_VGE[[#This Row],[ppn_z]],tbl_Historique_Final[ppn_z],tbl_Historique_Final[date_modif])=Final_Sans_VGE[[#This Row],[date_modif]],
      "Ancien",
      "Modifié"),
   "Nouveau"))</f>
        <v>#VALUE!</v>
      </c>
      <c r="AD6538" s="1" t="str">
        <f>IFERROR(IF(Final_Sans_VGE[[#This Row],[ppn_z]]="","",IFERROR(
   IF(_xlfn.XLOOKUP(Final_Sans_VGE[[#This Row],[ppn_z]],tbl_Historique_Final[[#This Row],[ppn_z]],tbl_Historique_Final[[#This Row],[date_modif]])=Final_Sans_VGE[[#This Row],[date_modif]],
      "Ancien",
      "Modifié"),
   "Nouveau")),"")</f>
        <v/>
      </c>
    </row>
    <row r="6539" spans="24:30" x14ac:dyDescent="0.25">
      <c r="X6539" s="8" t="e">
        <f>IF(Final_Sans_VGE[[#This Row],[ppn_z]]="","",IFERROR(
   IF(_xlfn.XLOOKUP(Final_Sans_VGE[[#This Row],[ppn_z]],tbl_Historique_Final[ppn_z],tbl_Historique_Final[date_modif])=Final_Sans_VGE[[#This Row],[date_modif]],
      "Ancien",
      "Modifié"),
   "Nouveau"))</f>
        <v>#VALUE!</v>
      </c>
      <c r="AD6539" s="1" t="str">
        <f>IFERROR(IF(Final_Sans_VGE[[#This Row],[ppn_z]]="","",IFERROR(
   IF(_xlfn.XLOOKUP(Final_Sans_VGE[[#This Row],[ppn_z]],tbl_Historique_Final[[#This Row],[ppn_z]],tbl_Historique_Final[[#This Row],[date_modif]])=Final_Sans_VGE[[#This Row],[date_modif]],
      "Ancien",
      "Modifié"),
   "Nouveau")),"")</f>
        <v/>
      </c>
    </row>
    <row r="6540" spans="24:30" x14ac:dyDescent="0.25">
      <c r="X6540" s="8" t="e">
        <f>IF(Final_Sans_VGE[[#This Row],[ppn_z]]="","",IFERROR(
   IF(_xlfn.XLOOKUP(Final_Sans_VGE[[#This Row],[ppn_z]],tbl_Historique_Final[ppn_z],tbl_Historique_Final[date_modif])=Final_Sans_VGE[[#This Row],[date_modif]],
      "Ancien",
      "Modifié"),
   "Nouveau"))</f>
        <v>#VALUE!</v>
      </c>
      <c r="AD6540" s="1" t="str">
        <f>IFERROR(IF(Final_Sans_VGE[[#This Row],[ppn_z]]="","",IFERROR(
   IF(_xlfn.XLOOKUP(Final_Sans_VGE[[#This Row],[ppn_z]],tbl_Historique_Final[[#This Row],[ppn_z]],tbl_Historique_Final[[#This Row],[date_modif]])=Final_Sans_VGE[[#This Row],[date_modif]],
      "Ancien",
      "Modifié"),
   "Nouveau")),"")</f>
        <v/>
      </c>
    </row>
    <row r="6541" spans="24:30" x14ac:dyDescent="0.25">
      <c r="X6541" s="8" t="e">
        <f>IF(Final_Sans_VGE[[#This Row],[ppn_z]]="","",IFERROR(
   IF(_xlfn.XLOOKUP(Final_Sans_VGE[[#This Row],[ppn_z]],tbl_Historique_Final[ppn_z],tbl_Historique_Final[date_modif])=Final_Sans_VGE[[#This Row],[date_modif]],
      "Ancien",
      "Modifié"),
   "Nouveau"))</f>
        <v>#VALUE!</v>
      </c>
      <c r="AD6541" s="1" t="str">
        <f>IFERROR(IF(Final_Sans_VGE[[#This Row],[ppn_z]]="","",IFERROR(
   IF(_xlfn.XLOOKUP(Final_Sans_VGE[[#This Row],[ppn_z]],tbl_Historique_Final[[#This Row],[ppn_z]],tbl_Historique_Final[[#This Row],[date_modif]])=Final_Sans_VGE[[#This Row],[date_modif]],
      "Ancien",
      "Modifié"),
   "Nouveau")),"")</f>
        <v/>
      </c>
    </row>
    <row r="6542" spans="24:30" x14ac:dyDescent="0.25">
      <c r="X6542" s="8" t="e">
        <f>IF(Final_Sans_VGE[[#This Row],[ppn_z]]="","",IFERROR(
   IF(_xlfn.XLOOKUP(Final_Sans_VGE[[#This Row],[ppn_z]],tbl_Historique_Final[ppn_z],tbl_Historique_Final[date_modif])=Final_Sans_VGE[[#This Row],[date_modif]],
      "Ancien",
      "Modifié"),
   "Nouveau"))</f>
        <v>#VALUE!</v>
      </c>
      <c r="AD6542" s="1" t="str">
        <f>IFERROR(IF(Final_Sans_VGE[[#This Row],[ppn_z]]="","",IFERROR(
   IF(_xlfn.XLOOKUP(Final_Sans_VGE[[#This Row],[ppn_z]],tbl_Historique_Final[[#This Row],[ppn_z]],tbl_Historique_Final[[#This Row],[date_modif]])=Final_Sans_VGE[[#This Row],[date_modif]],
      "Ancien",
      "Modifié"),
   "Nouveau")),"")</f>
        <v/>
      </c>
    </row>
    <row r="6543" spans="24:30" x14ac:dyDescent="0.25">
      <c r="X6543" s="8" t="e">
        <f>IF(Final_Sans_VGE[[#This Row],[ppn_z]]="","",IFERROR(
   IF(_xlfn.XLOOKUP(Final_Sans_VGE[[#This Row],[ppn_z]],tbl_Historique_Final[ppn_z],tbl_Historique_Final[date_modif])=Final_Sans_VGE[[#This Row],[date_modif]],
      "Ancien",
      "Modifié"),
   "Nouveau"))</f>
        <v>#VALUE!</v>
      </c>
      <c r="AD6543" s="1" t="str">
        <f>IFERROR(IF(Final_Sans_VGE[[#This Row],[ppn_z]]="","",IFERROR(
   IF(_xlfn.XLOOKUP(Final_Sans_VGE[[#This Row],[ppn_z]],tbl_Historique_Final[[#This Row],[ppn_z]],tbl_Historique_Final[[#This Row],[date_modif]])=Final_Sans_VGE[[#This Row],[date_modif]],
      "Ancien",
      "Modifié"),
   "Nouveau")),"")</f>
        <v/>
      </c>
    </row>
    <row r="6544" spans="24:30" x14ac:dyDescent="0.25">
      <c r="X6544" s="8" t="e">
        <f>IF(Final_Sans_VGE[[#This Row],[ppn_z]]="","",IFERROR(
   IF(_xlfn.XLOOKUP(Final_Sans_VGE[[#This Row],[ppn_z]],tbl_Historique_Final[ppn_z],tbl_Historique_Final[date_modif])=Final_Sans_VGE[[#This Row],[date_modif]],
      "Ancien",
      "Modifié"),
   "Nouveau"))</f>
        <v>#VALUE!</v>
      </c>
      <c r="AD6544" s="1" t="str">
        <f>IFERROR(IF(Final_Sans_VGE[[#This Row],[ppn_z]]="","",IFERROR(
   IF(_xlfn.XLOOKUP(Final_Sans_VGE[[#This Row],[ppn_z]],tbl_Historique_Final[[#This Row],[ppn_z]],tbl_Historique_Final[[#This Row],[date_modif]])=Final_Sans_VGE[[#This Row],[date_modif]],
      "Ancien",
      "Modifié"),
   "Nouveau")),"")</f>
        <v/>
      </c>
    </row>
    <row r="6545" spans="24:30" x14ac:dyDescent="0.25">
      <c r="X6545" s="8" t="e">
        <f>IF(Final_Sans_VGE[[#This Row],[ppn_z]]="","",IFERROR(
   IF(_xlfn.XLOOKUP(Final_Sans_VGE[[#This Row],[ppn_z]],tbl_Historique_Final[ppn_z],tbl_Historique_Final[date_modif])=Final_Sans_VGE[[#This Row],[date_modif]],
      "Ancien",
      "Modifié"),
   "Nouveau"))</f>
        <v>#VALUE!</v>
      </c>
      <c r="AD6545" s="1" t="str">
        <f>IFERROR(IF(Final_Sans_VGE[[#This Row],[ppn_z]]="","",IFERROR(
   IF(_xlfn.XLOOKUP(Final_Sans_VGE[[#This Row],[ppn_z]],tbl_Historique_Final[[#This Row],[ppn_z]],tbl_Historique_Final[[#This Row],[date_modif]])=Final_Sans_VGE[[#This Row],[date_modif]],
      "Ancien",
      "Modifié"),
   "Nouveau")),"")</f>
        <v/>
      </c>
    </row>
    <row r="6546" spans="24:30" x14ac:dyDescent="0.25">
      <c r="X6546" s="8" t="e">
        <f>IF(Final_Sans_VGE[[#This Row],[ppn_z]]="","",IFERROR(
   IF(_xlfn.XLOOKUP(Final_Sans_VGE[[#This Row],[ppn_z]],tbl_Historique_Final[ppn_z],tbl_Historique_Final[date_modif])=Final_Sans_VGE[[#This Row],[date_modif]],
      "Ancien",
      "Modifié"),
   "Nouveau"))</f>
        <v>#VALUE!</v>
      </c>
      <c r="AD6546" s="1" t="str">
        <f>IFERROR(IF(Final_Sans_VGE[[#This Row],[ppn_z]]="","",IFERROR(
   IF(_xlfn.XLOOKUP(Final_Sans_VGE[[#This Row],[ppn_z]],tbl_Historique_Final[[#This Row],[ppn_z]],tbl_Historique_Final[[#This Row],[date_modif]])=Final_Sans_VGE[[#This Row],[date_modif]],
      "Ancien",
      "Modifié"),
   "Nouveau")),"")</f>
        <v/>
      </c>
    </row>
    <row r="6547" spans="24:30" x14ac:dyDescent="0.25">
      <c r="X6547" s="8" t="e">
        <f>IF(Final_Sans_VGE[[#This Row],[ppn_z]]="","",IFERROR(
   IF(_xlfn.XLOOKUP(Final_Sans_VGE[[#This Row],[ppn_z]],tbl_Historique_Final[ppn_z],tbl_Historique_Final[date_modif])=Final_Sans_VGE[[#This Row],[date_modif]],
      "Ancien",
      "Modifié"),
   "Nouveau"))</f>
        <v>#VALUE!</v>
      </c>
      <c r="AD6547" s="1" t="str">
        <f>IFERROR(IF(Final_Sans_VGE[[#This Row],[ppn_z]]="","",IFERROR(
   IF(_xlfn.XLOOKUP(Final_Sans_VGE[[#This Row],[ppn_z]],tbl_Historique_Final[[#This Row],[ppn_z]],tbl_Historique_Final[[#This Row],[date_modif]])=Final_Sans_VGE[[#This Row],[date_modif]],
      "Ancien",
      "Modifié"),
   "Nouveau")),"")</f>
        <v/>
      </c>
    </row>
    <row r="6548" spans="24:30" x14ac:dyDescent="0.25">
      <c r="X6548" s="8" t="e">
        <f>IF(Final_Sans_VGE[[#This Row],[ppn_z]]="","",IFERROR(
   IF(_xlfn.XLOOKUP(Final_Sans_VGE[[#This Row],[ppn_z]],tbl_Historique_Final[ppn_z],tbl_Historique_Final[date_modif])=Final_Sans_VGE[[#This Row],[date_modif]],
      "Ancien",
      "Modifié"),
   "Nouveau"))</f>
        <v>#VALUE!</v>
      </c>
      <c r="AD6548" s="1" t="str">
        <f>IFERROR(IF(Final_Sans_VGE[[#This Row],[ppn_z]]="","",IFERROR(
   IF(_xlfn.XLOOKUP(Final_Sans_VGE[[#This Row],[ppn_z]],tbl_Historique_Final[[#This Row],[ppn_z]],tbl_Historique_Final[[#This Row],[date_modif]])=Final_Sans_VGE[[#This Row],[date_modif]],
      "Ancien",
      "Modifié"),
   "Nouveau")),"")</f>
        <v/>
      </c>
    </row>
    <row r="6549" spans="24:30" x14ac:dyDescent="0.25">
      <c r="X6549" s="8" t="e">
        <f>IF(Final_Sans_VGE[[#This Row],[ppn_z]]="","",IFERROR(
   IF(_xlfn.XLOOKUP(Final_Sans_VGE[[#This Row],[ppn_z]],tbl_Historique_Final[ppn_z],tbl_Historique_Final[date_modif])=Final_Sans_VGE[[#This Row],[date_modif]],
      "Ancien",
      "Modifié"),
   "Nouveau"))</f>
        <v>#VALUE!</v>
      </c>
      <c r="AD6549" s="1" t="str">
        <f>IFERROR(IF(Final_Sans_VGE[[#This Row],[ppn_z]]="","",IFERROR(
   IF(_xlfn.XLOOKUP(Final_Sans_VGE[[#This Row],[ppn_z]],tbl_Historique_Final[[#This Row],[ppn_z]],tbl_Historique_Final[[#This Row],[date_modif]])=Final_Sans_VGE[[#This Row],[date_modif]],
      "Ancien",
      "Modifié"),
   "Nouveau")),"")</f>
        <v/>
      </c>
    </row>
    <row r="6550" spans="24:30" x14ac:dyDescent="0.25">
      <c r="X6550" s="8" t="e">
        <f>IF(Final_Sans_VGE[[#This Row],[ppn_z]]="","",IFERROR(
   IF(_xlfn.XLOOKUP(Final_Sans_VGE[[#This Row],[ppn_z]],tbl_Historique_Final[ppn_z],tbl_Historique_Final[date_modif])=Final_Sans_VGE[[#This Row],[date_modif]],
      "Ancien",
      "Modifié"),
   "Nouveau"))</f>
        <v>#VALUE!</v>
      </c>
      <c r="AD6550" s="1" t="str">
        <f>IFERROR(IF(Final_Sans_VGE[[#This Row],[ppn_z]]="","",IFERROR(
   IF(_xlfn.XLOOKUP(Final_Sans_VGE[[#This Row],[ppn_z]],tbl_Historique_Final[[#This Row],[ppn_z]],tbl_Historique_Final[[#This Row],[date_modif]])=Final_Sans_VGE[[#This Row],[date_modif]],
      "Ancien",
      "Modifié"),
   "Nouveau")),"")</f>
        <v/>
      </c>
    </row>
    <row r="6551" spans="24:30" x14ac:dyDescent="0.25">
      <c r="X6551" s="8" t="e">
        <f>IF(Final_Sans_VGE[[#This Row],[ppn_z]]="","",IFERROR(
   IF(_xlfn.XLOOKUP(Final_Sans_VGE[[#This Row],[ppn_z]],tbl_Historique_Final[ppn_z],tbl_Historique_Final[date_modif])=Final_Sans_VGE[[#This Row],[date_modif]],
      "Ancien",
      "Modifié"),
   "Nouveau"))</f>
        <v>#VALUE!</v>
      </c>
      <c r="AD6551" s="1" t="str">
        <f>IFERROR(IF(Final_Sans_VGE[[#This Row],[ppn_z]]="","",IFERROR(
   IF(_xlfn.XLOOKUP(Final_Sans_VGE[[#This Row],[ppn_z]],tbl_Historique_Final[[#This Row],[ppn_z]],tbl_Historique_Final[[#This Row],[date_modif]])=Final_Sans_VGE[[#This Row],[date_modif]],
      "Ancien",
      "Modifié"),
   "Nouveau")),"")</f>
        <v/>
      </c>
    </row>
    <row r="6552" spans="24:30" x14ac:dyDescent="0.25">
      <c r="X6552" s="8" t="e">
        <f>IF(Final_Sans_VGE[[#This Row],[ppn_z]]="","",IFERROR(
   IF(_xlfn.XLOOKUP(Final_Sans_VGE[[#This Row],[ppn_z]],tbl_Historique_Final[ppn_z],tbl_Historique_Final[date_modif])=Final_Sans_VGE[[#This Row],[date_modif]],
      "Ancien",
      "Modifié"),
   "Nouveau"))</f>
        <v>#VALUE!</v>
      </c>
      <c r="AD6552" s="1" t="str">
        <f>IFERROR(IF(Final_Sans_VGE[[#This Row],[ppn_z]]="","",IFERROR(
   IF(_xlfn.XLOOKUP(Final_Sans_VGE[[#This Row],[ppn_z]],tbl_Historique_Final[[#This Row],[ppn_z]],tbl_Historique_Final[[#This Row],[date_modif]])=Final_Sans_VGE[[#This Row],[date_modif]],
      "Ancien",
      "Modifié"),
   "Nouveau")),"")</f>
        <v/>
      </c>
    </row>
    <row r="6553" spans="24:30" x14ac:dyDescent="0.25">
      <c r="X6553" s="8" t="e">
        <f>IF(Final_Sans_VGE[[#This Row],[ppn_z]]="","",IFERROR(
   IF(_xlfn.XLOOKUP(Final_Sans_VGE[[#This Row],[ppn_z]],tbl_Historique_Final[ppn_z],tbl_Historique_Final[date_modif])=Final_Sans_VGE[[#This Row],[date_modif]],
      "Ancien",
      "Modifié"),
   "Nouveau"))</f>
        <v>#VALUE!</v>
      </c>
      <c r="AD6553" s="1" t="str">
        <f>IFERROR(IF(Final_Sans_VGE[[#This Row],[ppn_z]]="","",IFERROR(
   IF(_xlfn.XLOOKUP(Final_Sans_VGE[[#This Row],[ppn_z]],tbl_Historique_Final[[#This Row],[ppn_z]],tbl_Historique_Final[[#This Row],[date_modif]])=Final_Sans_VGE[[#This Row],[date_modif]],
      "Ancien",
      "Modifié"),
   "Nouveau")),"")</f>
        <v/>
      </c>
    </row>
    <row r="6554" spans="24:30" x14ac:dyDescent="0.25">
      <c r="X6554" s="8" t="e">
        <f>IF(Final_Sans_VGE[[#This Row],[ppn_z]]="","",IFERROR(
   IF(_xlfn.XLOOKUP(Final_Sans_VGE[[#This Row],[ppn_z]],tbl_Historique_Final[ppn_z],tbl_Historique_Final[date_modif])=Final_Sans_VGE[[#This Row],[date_modif]],
      "Ancien",
      "Modifié"),
   "Nouveau"))</f>
        <v>#VALUE!</v>
      </c>
      <c r="AD6554" s="1" t="str">
        <f>IFERROR(IF(Final_Sans_VGE[[#This Row],[ppn_z]]="","",IFERROR(
   IF(_xlfn.XLOOKUP(Final_Sans_VGE[[#This Row],[ppn_z]],tbl_Historique_Final[[#This Row],[ppn_z]],tbl_Historique_Final[[#This Row],[date_modif]])=Final_Sans_VGE[[#This Row],[date_modif]],
      "Ancien",
      "Modifié"),
   "Nouveau")),"")</f>
        <v/>
      </c>
    </row>
    <row r="6555" spans="24:30" x14ac:dyDescent="0.25">
      <c r="X6555" s="8" t="e">
        <f>IF(Final_Sans_VGE[[#This Row],[ppn_z]]="","",IFERROR(
   IF(_xlfn.XLOOKUP(Final_Sans_VGE[[#This Row],[ppn_z]],tbl_Historique_Final[ppn_z],tbl_Historique_Final[date_modif])=Final_Sans_VGE[[#This Row],[date_modif]],
      "Ancien",
      "Modifié"),
   "Nouveau"))</f>
        <v>#VALUE!</v>
      </c>
      <c r="AD6555" s="1" t="str">
        <f>IFERROR(IF(Final_Sans_VGE[[#This Row],[ppn_z]]="","",IFERROR(
   IF(_xlfn.XLOOKUP(Final_Sans_VGE[[#This Row],[ppn_z]],tbl_Historique_Final[[#This Row],[ppn_z]],tbl_Historique_Final[[#This Row],[date_modif]])=Final_Sans_VGE[[#This Row],[date_modif]],
      "Ancien",
      "Modifié"),
   "Nouveau")),"")</f>
        <v/>
      </c>
    </row>
    <row r="6556" spans="24:30" x14ac:dyDescent="0.25">
      <c r="X6556" s="8" t="e">
        <f>IF(Final_Sans_VGE[[#This Row],[ppn_z]]="","",IFERROR(
   IF(_xlfn.XLOOKUP(Final_Sans_VGE[[#This Row],[ppn_z]],tbl_Historique_Final[ppn_z],tbl_Historique_Final[date_modif])=Final_Sans_VGE[[#This Row],[date_modif]],
      "Ancien",
      "Modifié"),
   "Nouveau"))</f>
        <v>#VALUE!</v>
      </c>
      <c r="AD6556" s="1" t="str">
        <f>IFERROR(IF(Final_Sans_VGE[[#This Row],[ppn_z]]="","",IFERROR(
   IF(_xlfn.XLOOKUP(Final_Sans_VGE[[#This Row],[ppn_z]],tbl_Historique_Final[[#This Row],[ppn_z]],tbl_Historique_Final[[#This Row],[date_modif]])=Final_Sans_VGE[[#This Row],[date_modif]],
      "Ancien",
      "Modifié"),
   "Nouveau")),"")</f>
        <v/>
      </c>
    </row>
    <row r="6557" spans="24:30" x14ac:dyDescent="0.25">
      <c r="X6557" s="8" t="e">
        <f>IF(Final_Sans_VGE[[#This Row],[ppn_z]]="","",IFERROR(
   IF(_xlfn.XLOOKUP(Final_Sans_VGE[[#This Row],[ppn_z]],tbl_Historique_Final[ppn_z],tbl_Historique_Final[date_modif])=Final_Sans_VGE[[#This Row],[date_modif]],
      "Ancien",
      "Modifié"),
   "Nouveau"))</f>
        <v>#VALUE!</v>
      </c>
      <c r="AD6557" s="1" t="str">
        <f>IFERROR(IF(Final_Sans_VGE[[#This Row],[ppn_z]]="","",IFERROR(
   IF(_xlfn.XLOOKUP(Final_Sans_VGE[[#This Row],[ppn_z]],tbl_Historique_Final[[#This Row],[ppn_z]],tbl_Historique_Final[[#This Row],[date_modif]])=Final_Sans_VGE[[#This Row],[date_modif]],
      "Ancien",
      "Modifié"),
   "Nouveau")),"")</f>
        <v/>
      </c>
    </row>
    <row r="6558" spans="24:30" x14ac:dyDescent="0.25">
      <c r="X6558" s="8" t="e">
        <f>IF(Final_Sans_VGE[[#This Row],[ppn_z]]="","",IFERROR(
   IF(_xlfn.XLOOKUP(Final_Sans_VGE[[#This Row],[ppn_z]],tbl_Historique_Final[ppn_z],tbl_Historique_Final[date_modif])=Final_Sans_VGE[[#This Row],[date_modif]],
      "Ancien",
      "Modifié"),
   "Nouveau"))</f>
        <v>#VALUE!</v>
      </c>
      <c r="AD6558" s="1" t="str">
        <f>IFERROR(IF(Final_Sans_VGE[[#This Row],[ppn_z]]="","",IFERROR(
   IF(_xlfn.XLOOKUP(Final_Sans_VGE[[#This Row],[ppn_z]],tbl_Historique_Final[[#This Row],[ppn_z]],tbl_Historique_Final[[#This Row],[date_modif]])=Final_Sans_VGE[[#This Row],[date_modif]],
      "Ancien",
      "Modifié"),
   "Nouveau")),"")</f>
        <v/>
      </c>
    </row>
    <row r="6559" spans="24:30" x14ac:dyDescent="0.25">
      <c r="X6559" s="8" t="e">
        <f>IF(Final_Sans_VGE[[#This Row],[ppn_z]]="","",IFERROR(
   IF(_xlfn.XLOOKUP(Final_Sans_VGE[[#This Row],[ppn_z]],tbl_Historique_Final[ppn_z],tbl_Historique_Final[date_modif])=Final_Sans_VGE[[#This Row],[date_modif]],
      "Ancien",
      "Modifié"),
   "Nouveau"))</f>
        <v>#VALUE!</v>
      </c>
      <c r="AD6559" s="1" t="str">
        <f>IFERROR(IF(Final_Sans_VGE[[#This Row],[ppn_z]]="","",IFERROR(
   IF(_xlfn.XLOOKUP(Final_Sans_VGE[[#This Row],[ppn_z]],tbl_Historique_Final[[#This Row],[ppn_z]],tbl_Historique_Final[[#This Row],[date_modif]])=Final_Sans_VGE[[#This Row],[date_modif]],
      "Ancien",
      "Modifié"),
   "Nouveau")),"")</f>
        <v/>
      </c>
    </row>
    <row r="6560" spans="24:30" x14ac:dyDescent="0.25">
      <c r="X6560" s="8" t="e">
        <f>IF(Final_Sans_VGE[[#This Row],[ppn_z]]="","",IFERROR(
   IF(_xlfn.XLOOKUP(Final_Sans_VGE[[#This Row],[ppn_z]],tbl_Historique_Final[ppn_z],tbl_Historique_Final[date_modif])=Final_Sans_VGE[[#This Row],[date_modif]],
      "Ancien",
      "Modifié"),
   "Nouveau"))</f>
        <v>#VALUE!</v>
      </c>
      <c r="AD6560" s="1" t="str">
        <f>IFERROR(IF(Final_Sans_VGE[[#This Row],[ppn_z]]="","",IFERROR(
   IF(_xlfn.XLOOKUP(Final_Sans_VGE[[#This Row],[ppn_z]],tbl_Historique_Final[[#This Row],[ppn_z]],tbl_Historique_Final[[#This Row],[date_modif]])=Final_Sans_VGE[[#This Row],[date_modif]],
      "Ancien",
      "Modifié"),
   "Nouveau")),"")</f>
        <v/>
      </c>
    </row>
    <row r="6561" spans="24:30" x14ac:dyDescent="0.25">
      <c r="X6561" s="8" t="e">
        <f>IF(Final_Sans_VGE[[#This Row],[ppn_z]]="","",IFERROR(
   IF(_xlfn.XLOOKUP(Final_Sans_VGE[[#This Row],[ppn_z]],tbl_Historique_Final[ppn_z],tbl_Historique_Final[date_modif])=Final_Sans_VGE[[#This Row],[date_modif]],
      "Ancien",
      "Modifié"),
   "Nouveau"))</f>
        <v>#VALUE!</v>
      </c>
      <c r="AD6561" s="1" t="str">
        <f>IFERROR(IF(Final_Sans_VGE[[#This Row],[ppn_z]]="","",IFERROR(
   IF(_xlfn.XLOOKUP(Final_Sans_VGE[[#This Row],[ppn_z]],tbl_Historique_Final[[#This Row],[ppn_z]],tbl_Historique_Final[[#This Row],[date_modif]])=Final_Sans_VGE[[#This Row],[date_modif]],
      "Ancien",
      "Modifié"),
   "Nouveau")),"")</f>
        <v/>
      </c>
    </row>
    <row r="6562" spans="24:30" x14ac:dyDescent="0.25">
      <c r="X6562" s="8" t="e">
        <f>IF(Final_Sans_VGE[[#This Row],[ppn_z]]="","",IFERROR(
   IF(_xlfn.XLOOKUP(Final_Sans_VGE[[#This Row],[ppn_z]],tbl_Historique_Final[ppn_z],tbl_Historique_Final[date_modif])=Final_Sans_VGE[[#This Row],[date_modif]],
      "Ancien",
      "Modifié"),
   "Nouveau"))</f>
        <v>#VALUE!</v>
      </c>
      <c r="AD6562" s="1" t="str">
        <f>IFERROR(IF(Final_Sans_VGE[[#This Row],[ppn_z]]="","",IFERROR(
   IF(_xlfn.XLOOKUP(Final_Sans_VGE[[#This Row],[ppn_z]],tbl_Historique_Final[[#This Row],[ppn_z]],tbl_Historique_Final[[#This Row],[date_modif]])=Final_Sans_VGE[[#This Row],[date_modif]],
      "Ancien",
      "Modifié"),
   "Nouveau")),"")</f>
        <v/>
      </c>
    </row>
    <row r="6563" spans="24:30" x14ac:dyDescent="0.25">
      <c r="X6563" s="8" t="e">
        <f>IF(Final_Sans_VGE[[#This Row],[ppn_z]]="","",IFERROR(
   IF(_xlfn.XLOOKUP(Final_Sans_VGE[[#This Row],[ppn_z]],tbl_Historique_Final[ppn_z],tbl_Historique_Final[date_modif])=Final_Sans_VGE[[#This Row],[date_modif]],
      "Ancien",
      "Modifié"),
   "Nouveau"))</f>
        <v>#VALUE!</v>
      </c>
      <c r="AD6563" s="1" t="str">
        <f>IFERROR(IF(Final_Sans_VGE[[#This Row],[ppn_z]]="","",IFERROR(
   IF(_xlfn.XLOOKUP(Final_Sans_VGE[[#This Row],[ppn_z]],tbl_Historique_Final[[#This Row],[ppn_z]],tbl_Historique_Final[[#This Row],[date_modif]])=Final_Sans_VGE[[#This Row],[date_modif]],
      "Ancien",
      "Modifié"),
   "Nouveau")),"")</f>
        <v/>
      </c>
    </row>
    <row r="6564" spans="24:30" x14ac:dyDescent="0.25">
      <c r="X6564" s="8" t="e">
        <f>IF(Final_Sans_VGE[[#This Row],[ppn_z]]="","",IFERROR(
   IF(_xlfn.XLOOKUP(Final_Sans_VGE[[#This Row],[ppn_z]],tbl_Historique_Final[ppn_z],tbl_Historique_Final[date_modif])=Final_Sans_VGE[[#This Row],[date_modif]],
      "Ancien",
      "Modifié"),
   "Nouveau"))</f>
        <v>#VALUE!</v>
      </c>
      <c r="AD6564" s="1" t="str">
        <f>IFERROR(IF(Final_Sans_VGE[[#This Row],[ppn_z]]="","",IFERROR(
   IF(_xlfn.XLOOKUP(Final_Sans_VGE[[#This Row],[ppn_z]],tbl_Historique_Final[[#This Row],[ppn_z]],tbl_Historique_Final[[#This Row],[date_modif]])=Final_Sans_VGE[[#This Row],[date_modif]],
      "Ancien",
      "Modifié"),
   "Nouveau")),"")</f>
        <v/>
      </c>
    </row>
    <row r="6565" spans="24:30" x14ac:dyDescent="0.25">
      <c r="X6565" s="8" t="e">
        <f>IF(Final_Sans_VGE[[#This Row],[ppn_z]]="","",IFERROR(
   IF(_xlfn.XLOOKUP(Final_Sans_VGE[[#This Row],[ppn_z]],tbl_Historique_Final[ppn_z],tbl_Historique_Final[date_modif])=Final_Sans_VGE[[#This Row],[date_modif]],
      "Ancien",
      "Modifié"),
   "Nouveau"))</f>
        <v>#VALUE!</v>
      </c>
      <c r="AD6565" s="1" t="str">
        <f>IFERROR(IF(Final_Sans_VGE[[#This Row],[ppn_z]]="","",IFERROR(
   IF(_xlfn.XLOOKUP(Final_Sans_VGE[[#This Row],[ppn_z]],tbl_Historique_Final[[#This Row],[ppn_z]],tbl_Historique_Final[[#This Row],[date_modif]])=Final_Sans_VGE[[#This Row],[date_modif]],
      "Ancien",
      "Modifié"),
   "Nouveau")),"")</f>
        <v/>
      </c>
    </row>
    <row r="6566" spans="24:30" x14ac:dyDescent="0.25">
      <c r="X6566" s="8" t="e">
        <f>IF(Final_Sans_VGE[[#This Row],[ppn_z]]="","",IFERROR(
   IF(_xlfn.XLOOKUP(Final_Sans_VGE[[#This Row],[ppn_z]],tbl_Historique_Final[ppn_z],tbl_Historique_Final[date_modif])=Final_Sans_VGE[[#This Row],[date_modif]],
      "Ancien",
      "Modifié"),
   "Nouveau"))</f>
        <v>#VALUE!</v>
      </c>
      <c r="AD6566" s="1" t="str">
        <f>IFERROR(IF(Final_Sans_VGE[[#This Row],[ppn_z]]="","",IFERROR(
   IF(_xlfn.XLOOKUP(Final_Sans_VGE[[#This Row],[ppn_z]],tbl_Historique_Final[[#This Row],[ppn_z]],tbl_Historique_Final[[#This Row],[date_modif]])=Final_Sans_VGE[[#This Row],[date_modif]],
      "Ancien",
      "Modifié"),
   "Nouveau")),"")</f>
        <v/>
      </c>
    </row>
    <row r="6567" spans="24:30" x14ac:dyDescent="0.25">
      <c r="X6567" s="8" t="e">
        <f>IF(Final_Sans_VGE[[#This Row],[ppn_z]]="","",IFERROR(
   IF(_xlfn.XLOOKUP(Final_Sans_VGE[[#This Row],[ppn_z]],tbl_Historique_Final[ppn_z],tbl_Historique_Final[date_modif])=Final_Sans_VGE[[#This Row],[date_modif]],
      "Ancien",
      "Modifié"),
   "Nouveau"))</f>
        <v>#VALUE!</v>
      </c>
      <c r="AD6567" s="1" t="str">
        <f>IFERROR(IF(Final_Sans_VGE[[#This Row],[ppn_z]]="","",IFERROR(
   IF(_xlfn.XLOOKUP(Final_Sans_VGE[[#This Row],[ppn_z]],tbl_Historique_Final[[#This Row],[ppn_z]],tbl_Historique_Final[[#This Row],[date_modif]])=Final_Sans_VGE[[#This Row],[date_modif]],
      "Ancien",
      "Modifié"),
   "Nouveau")),"")</f>
        <v/>
      </c>
    </row>
    <row r="6568" spans="24:30" x14ac:dyDescent="0.25">
      <c r="X6568" s="8" t="e">
        <f>IF(Final_Sans_VGE[[#This Row],[ppn_z]]="","",IFERROR(
   IF(_xlfn.XLOOKUP(Final_Sans_VGE[[#This Row],[ppn_z]],tbl_Historique_Final[ppn_z],tbl_Historique_Final[date_modif])=Final_Sans_VGE[[#This Row],[date_modif]],
      "Ancien",
      "Modifié"),
   "Nouveau"))</f>
        <v>#VALUE!</v>
      </c>
      <c r="AD6568" s="1" t="str">
        <f>IFERROR(IF(Final_Sans_VGE[[#This Row],[ppn_z]]="","",IFERROR(
   IF(_xlfn.XLOOKUP(Final_Sans_VGE[[#This Row],[ppn_z]],tbl_Historique_Final[[#This Row],[ppn_z]],tbl_Historique_Final[[#This Row],[date_modif]])=Final_Sans_VGE[[#This Row],[date_modif]],
      "Ancien",
      "Modifié"),
   "Nouveau")),"")</f>
        <v/>
      </c>
    </row>
    <row r="6569" spans="24:30" x14ac:dyDescent="0.25">
      <c r="X6569" s="8" t="e">
        <f>IF(Final_Sans_VGE[[#This Row],[ppn_z]]="","",IFERROR(
   IF(_xlfn.XLOOKUP(Final_Sans_VGE[[#This Row],[ppn_z]],tbl_Historique_Final[ppn_z],tbl_Historique_Final[date_modif])=Final_Sans_VGE[[#This Row],[date_modif]],
      "Ancien",
      "Modifié"),
   "Nouveau"))</f>
        <v>#VALUE!</v>
      </c>
      <c r="AD6569" s="1" t="str">
        <f>IFERROR(IF(Final_Sans_VGE[[#This Row],[ppn_z]]="","",IFERROR(
   IF(_xlfn.XLOOKUP(Final_Sans_VGE[[#This Row],[ppn_z]],tbl_Historique_Final[[#This Row],[ppn_z]],tbl_Historique_Final[[#This Row],[date_modif]])=Final_Sans_VGE[[#This Row],[date_modif]],
      "Ancien",
      "Modifié"),
   "Nouveau")),"")</f>
        <v/>
      </c>
    </row>
    <row r="6570" spans="24:30" x14ac:dyDescent="0.25">
      <c r="X6570" s="8" t="e">
        <f>IF(Final_Sans_VGE[[#This Row],[ppn_z]]="","",IFERROR(
   IF(_xlfn.XLOOKUP(Final_Sans_VGE[[#This Row],[ppn_z]],tbl_Historique_Final[ppn_z],tbl_Historique_Final[date_modif])=Final_Sans_VGE[[#This Row],[date_modif]],
      "Ancien",
      "Modifié"),
   "Nouveau"))</f>
        <v>#VALUE!</v>
      </c>
      <c r="AD6570" s="1" t="str">
        <f>IFERROR(IF(Final_Sans_VGE[[#This Row],[ppn_z]]="","",IFERROR(
   IF(_xlfn.XLOOKUP(Final_Sans_VGE[[#This Row],[ppn_z]],tbl_Historique_Final[[#This Row],[ppn_z]],tbl_Historique_Final[[#This Row],[date_modif]])=Final_Sans_VGE[[#This Row],[date_modif]],
      "Ancien",
      "Modifié"),
   "Nouveau")),"")</f>
        <v/>
      </c>
    </row>
    <row r="6571" spans="24:30" x14ac:dyDescent="0.25">
      <c r="X6571" s="8" t="e">
        <f>IF(Final_Sans_VGE[[#This Row],[ppn_z]]="","",IFERROR(
   IF(_xlfn.XLOOKUP(Final_Sans_VGE[[#This Row],[ppn_z]],tbl_Historique_Final[ppn_z],tbl_Historique_Final[date_modif])=Final_Sans_VGE[[#This Row],[date_modif]],
      "Ancien",
      "Modifié"),
   "Nouveau"))</f>
        <v>#VALUE!</v>
      </c>
      <c r="AD6571" s="1" t="str">
        <f>IFERROR(IF(Final_Sans_VGE[[#This Row],[ppn_z]]="","",IFERROR(
   IF(_xlfn.XLOOKUP(Final_Sans_VGE[[#This Row],[ppn_z]],tbl_Historique_Final[[#This Row],[ppn_z]],tbl_Historique_Final[[#This Row],[date_modif]])=Final_Sans_VGE[[#This Row],[date_modif]],
      "Ancien",
      "Modifié"),
   "Nouveau")),"")</f>
        <v/>
      </c>
    </row>
    <row r="6572" spans="24:30" x14ac:dyDescent="0.25">
      <c r="X6572" s="8" t="e">
        <f>IF(Final_Sans_VGE[[#This Row],[ppn_z]]="","",IFERROR(
   IF(_xlfn.XLOOKUP(Final_Sans_VGE[[#This Row],[ppn_z]],tbl_Historique_Final[ppn_z],tbl_Historique_Final[date_modif])=Final_Sans_VGE[[#This Row],[date_modif]],
      "Ancien",
      "Modifié"),
   "Nouveau"))</f>
        <v>#VALUE!</v>
      </c>
      <c r="AD6572" s="1" t="str">
        <f>IFERROR(IF(Final_Sans_VGE[[#This Row],[ppn_z]]="","",IFERROR(
   IF(_xlfn.XLOOKUP(Final_Sans_VGE[[#This Row],[ppn_z]],tbl_Historique_Final[[#This Row],[ppn_z]],tbl_Historique_Final[[#This Row],[date_modif]])=Final_Sans_VGE[[#This Row],[date_modif]],
      "Ancien",
      "Modifié"),
   "Nouveau")),"")</f>
        <v/>
      </c>
    </row>
    <row r="6573" spans="24:30" x14ac:dyDescent="0.25">
      <c r="X6573" s="8" t="e">
        <f>IF(Final_Sans_VGE[[#This Row],[ppn_z]]="","",IFERROR(
   IF(_xlfn.XLOOKUP(Final_Sans_VGE[[#This Row],[ppn_z]],tbl_Historique_Final[ppn_z],tbl_Historique_Final[date_modif])=Final_Sans_VGE[[#This Row],[date_modif]],
      "Ancien",
      "Modifié"),
   "Nouveau"))</f>
        <v>#VALUE!</v>
      </c>
      <c r="AD6573" s="1" t="str">
        <f>IFERROR(IF(Final_Sans_VGE[[#This Row],[ppn_z]]="","",IFERROR(
   IF(_xlfn.XLOOKUP(Final_Sans_VGE[[#This Row],[ppn_z]],tbl_Historique_Final[[#This Row],[ppn_z]],tbl_Historique_Final[[#This Row],[date_modif]])=Final_Sans_VGE[[#This Row],[date_modif]],
      "Ancien",
      "Modifié"),
   "Nouveau")),"")</f>
        <v/>
      </c>
    </row>
    <row r="6574" spans="24:30" x14ac:dyDescent="0.25">
      <c r="X6574" s="8" t="e">
        <f>IF(Final_Sans_VGE[[#This Row],[ppn_z]]="","",IFERROR(
   IF(_xlfn.XLOOKUP(Final_Sans_VGE[[#This Row],[ppn_z]],tbl_Historique_Final[ppn_z],tbl_Historique_Final[date_modif])=Final_Sans_VGE[[#This Row],[date_modif]],
      "Ancien",
      "Modifié"),
   "Nouveau"))</f>
        <v>#VALUE!</v>
      </c>
      <c r="AD6574" s="1" t="str">
        <f>IFERROR(IF(Final_Sans_VGE[[#This Row],[ppn_z]]="","",IFERROR(
   IF(_xlfn.XLOOKUP(Final_Sans_VGE[[#This Row],[ppn_z]],tbl_Historique_Final[[#This Row],[ppn_z]],tbl_Historique_Final[[#This Row],[date_modif]])=Final_Sans_VGE[[#This Row],[date_modif]],
      "Ancien",
      "Modifié"),
   "Nouveau")),"")</f>
        <v/>
      </c>
    </row>
    <row r="6575" spans="24:30" x14ac:dyDescent="0.25">
      <c r="X6575" s="8" t="e">
        <f>IF(Final_Sans_VGE[[#This Row],[ppn_z]]="","",IFERROR(
   IF(_xlfn.XLOOKUP(Final_Sans_VGE[[#This Row],[ppn_z]],tbl_Historique_Final[ppn_z],tbl_Historique_Final[date_modif])=Final_Sans_VGE[[#This Row],[date_modif]],
      "Ancien",
      "Modifié"),
   "Nouveau"))</f>
        <v>#VALUE!</v>
      </c>
      <c r="AD6575" s="1" t="str">
        <f>IFERROR(IF(Final_Sans_VGE[[#This Row],[ppn_z]]="","",IFERROR(
   IF(_xlfn.XLOOKUP(Final_Sans_VGE[[#This Row],[ppn_z]],tbl_Historique_Final[[#This Row],[ppn_z]],tbl_Historique_Final[[#This Row],[date_modif]])=Final_Sans_VGE[[#This Row],[date_modif]],
      "Ancien",
      "Modifié"),
   "Nouveau")),"")</f>
        <v/>
      </c>
    </row>
    <row r="6576" spans="24:30" x14ac:dyDescent="0.25">
      <c r="X6576" s="8" t="e">
        <f>IF(Final_Sans_VGE[[#This Row],[ppn_z]]="","",IFERROR(
   IF(_xlfn.XLOOKUP(Final_Sans_VGE[[#This Row],[ppn_z]],tbl_Historique_Final[ppn_z],tbl_Historique_Final[date_modif])=Final_Sans_VGE[[#This Row],[date_modif]],
      "Ancien",
      "Modifié"),
   "Nouveau"))</f>
        <v>#VALUE!</v>
      </c>
      <c r="AD6576" s="1" t="str">
        <f>IFERROR(IF(Final_Sans_VGE[[#This Row],[ppn_z]]="","",IFERROR(
   IF(_xlfn.XLOOKUP(Final_Sans_VGE[[#This Row],[ppn_z]],tbl_Historique_Final[[#This Row],[ppn_z]],tbl_Historique_Final[[#This Row],[date_modif]])=Final_Sans_VGE[[#This Row],[date_modif]],
      "Ancien",
      "Modifié"),
   "Nouveau")),"")</f>
        <v/>
      </c>
    </row>
    <row r="6577" spans="24:30" x14ac:dyDescent="0.25">
      <c r="X6577" s="8" t="e">
        <f>IF(Final_Sans_VGE[[#This Row],[ppn_z]]="","",IFERROR(
   IF(_xlfn.XLOOKUP(Final_Sans_VGE[[#This Row],[ppn_z]],tbl_Historique_Final[ppn_z],tbl_Historique_Final[date_modif])=Final_Sans_VGE[[#This Row],[date_modif]],
      "Ancien",
      "Modifié"),
   "Nouveau"))</f>
        <v>#VALUE!</v>
      </c>
      <c r="AD6577" s="1" t="str">
        <f>IFERROR(IF(Final_Sans_VGE[[#This Row],[ppn_z]]="","",IFERROR(
   IF(_xlfn.XLOOKUP(Final_Sans_VGE[[#This Row],[ppn_z]],tbl_Historique_Final[[#This Row],[ppn_z]],tbl_Historique_Final[[#This Row],[date_modif]])=Final_Sans_VGE[[#This Row],[date_modif]],
      "Ancien",
      "Modifié"),
   "Nouveau")),"")</f>
        <v/>
      </c>
    </row>
    <row r="6578" spans="24:30" x14ac:dyDescent="0.25">
      <c r="X6578" s="8" t="e">
        <f>IF(Final_Sans_VGE[[#This Row],[ppn_z]]="","",IFERROR(
   IF(_xlfn.XLOOKUP(Final_Sans_VGE[[#This Row],[ppn_z]],tbl_Historique_Final[ppn_z],tbl_Historique_Final[date_modif])=Final_Sans_VGE[[#This Row],[date_modif]],
      "Ancien",
      "Modifié"),
   "Nouveau"))</f>
        <v>#VALUE!</v>
      </c>
      <c r="AD6578" s="1" t="str">
        <f>IFERROR(IF(Final_Sans_VGE[[#This Row],[ppn_z]]="","",IFERROR(
   IF(_xlfn.XLOOKUP(Final_Sans_VGE[[#This Row],[ppn_z]],tbl_Historique_Final[[#This Row],[ppn_z]],tbl_Historique_Final[[#This Row],[date_modif]])=Final_Sans_VGE[[#This Row],[date_modif]],
      "Ancien",
      "Modifié"),
   "Nouveau")),"")</f>
        <v/>
      </c>
    </row>
    <row r="6579" spans="24:30" x14ac:dyDescent="0.25">
      <c r="X6579" s="8" t="e">
        <f>IF(Final_Sans_VGE[[#This Row],[ppn_z]]="","",IFERROR(
   IF(_xlfn.XLOOKUP(Final_Sans_VGE[[#This Row],[ppn_z]],tbl_Historique_Final[ppn_z],tbl_Historique_Final[date_modif])=Final_Sans_VGE[[#This Row],[date_modif]],
      "Ancien",
      "Modifié"),
   "Nouveau"))</f>
        <v>#VALUE!</v>
      </c>
      <c r="AD6579" s="1" t="str">
        <f>IFERROR(IF(Final_Sans_VGE[[#This Row],[ppn_z]]="","",IFERROR(
   IF(_xlfn.XLOOKUP(Final_Sans_VGE[[#This Row],[ppn_z]],tbl_Historique_Final[[#This Row],[ppn_z]],tbl_Historique_Final[[#This Row],[date_modif]])=Final_Sans_VGE[[#This Row],[date_modif]],
      "Ancien",
      "Modifié"),
   "Nouveau")),"")</f>
        <v/>
      </c>
    </row>
    <row r="6580" spans="24:30" x14ac:dyDescent="0.25">
      <c r="X6580" s="8" t="e">
        <f>IF(Final_Sans_VGE[[#This Row],[ppn_z]]="","",IFERROR(
   IF(_xlfn.XLOOKUP(Final_Sans_VGE[[#This Row],[ppn_z]],tbl_Historique_Final[ppn_z],tbl_Historique_Final[date_modif])=Final_Sans_VGE[[#This Row],[date_modif]],
      "Ancien",
      "Modifié"),
   "Nouveau"))</f>
        <v>#VALUE!</v>
      </c>
      <c r="AD6580" s="1" t="str">
        <f>IFERROR(IF(Final_Sans_VGE[[#This Row],[ppn_z]]="","",IFERROR(
   IF(_xlfn.XLOOKUP(Final_Sans_VGE[[#This Row],[ppn_z]],tbl_Historique_Final[[#This Row],[ppn_z]],tbl_Historique_Final[[#This Row],[date_modif]])=Final_Sans_VGE[[#This Row],[date_modif]],
      "Ancien",
      "Modifié"),
   "Nouveau")),"")</f>
        <v/>
      </c>
    </row>
    <row r="6581" spans="24:30" x14ac:dyDescent="0.25">
      <c r="X6581" s="8" t="e">
        <f>IF(Final_Sans_VGE[[#This Row],[ppn_z]]="","",IFERROR(
   IF(_xlfn.XLOOKUP(Final_Sans_VGE[[#This Row],[ppn_z]],tbl_Historique_Final[ppn_z],tbl_Historique_Final[date_modif])=Final_Sans_VGE[[#This Row],[date_modif]],
      "Ancien",
      "Modifié"),
   "Nouveau"))</f>
        <v>#VALUE!</v>
      </c>
      <c r="AD6581" s="1" t="str">
        <f>IFERROR(IF(Final_Sans_VGE[[#This Row],[ppn_z]]="","",IFERROR(
   IF(_xlfn.XLOOKUP(Final_Sans_VGE[[#This Row],[ppn_z]],tbl_Historique_Final[[#This Row],[ppn_z]],tbl_Historique_Final[[#This Row],[date_modif]])=Final_Sans_VGE[[#This Row],[date_modif]],
      "Ancien",
      "Modifié"),
   "Nouveau")),"")</f>
        <v/>
      </c>
    </row>
    <row r="6582" spans="24:30" x14ac:dyDescent="0.25">
      <c r="X6582" s="8" t="e">
        <f>IF(Final_Sans_VGE[[#This Row],[ppn_z]]="","",IFERROR(
   IF(_xlfn.XLOOKUP(Final_Sans_VGE[[#This Row],[ppn_z]],tbl_Historique_Final[ppn_z],tbl_Historique_Final[date_modif])=Final_Sans_VGE[[#This Row],[date_modif]],
      "Ancien",
      "Modifié"),
   "Nouveau"))</f>
        <v>#VALUE!</v>
      </c>
      <c r="AD6582" s="1" t="str">
        <f>IFERROR(IF(Final_Sans_VGE[[#This Row],[ppn_z]]="","",IFERROR(
   IF(_xlfn.XLOOKUP(Final_Sans_VGE[[#This Row],[ppn_z]],tbl_Historique_Final[[#This Row],[ppn_z]],tbl_Historique_Final[[#This Row],[date_modif]])=Final_Sans_VGE[[#This Row],[date_modif]],
      "Ancien",
      "Modifié"),
   "Nouveau")),"")</f>
        <v/>
      </c>
    </row>
    <row r="6583" spans="24:30" x14ac:dyDescent="0.25">
      <c r="X6583" s="8" t="e">
        <f>IF(Final_Sans_VGE[[#This Row],[ppn_z]]="","",IFERROR(
   IF(_xlfn.XLOOKUP(Final_Sans_VGE[[#This Row],[ppn_z]],tbl_Historique_Final[ppn_z],tbl_Historique_Final[date_modif])=Final_Sans_VGE[[#This Row],[date_modif]],
      "Ancien",
      "Modifié"),
   "Nouveau"))</f>
        <v>#VALUE!</v>
      </c>
      <c r="AD6583" s="1" t="str">
        <f>IFERROR(IF(Final_Sans_VGE[[#This Row],[ppn_z]]="","",IFERROR(
   IF(_xlfn.XLOOKUP(Final_Sans_VGE[[#This Row],[ppn_z]],tbl_Historique_Final[[#This Row],[ppn_z]],tbl_Historique_Final[[#This Row],[date_modif]])=Final_Sans_VGE[[#This Row],[date_modif]],
      "Ancien",
      "Modifié"),
   "Nouveau")),"")</f>
        <v/>
      </c>
    </row>
    <row r="6584" spans="24:30" x14ac:dyDescent="0.25">
      <c r="X6584" s="8" t="e">
        <f>IF(Final_Sans_VGE[[#This Row],[ppn_z]]="","",IFERROR(
   IF(_xlfn.XLOOKUP(Final_Sans_VGE[[#This Row],[ppn_z]],tbl_Historique_Final[ppn_z],tbl_Historique_Final[date_modif])=Final_Sans_VGE[[#This Row],[date_modif]],
      "Ancien",
      "Modifié"),
   "Nouveau"))</f>
        <v>#VALUE!</v>
      </c>
      <c r="AD6584" s="1" t="str">
        <f>IFERROR(IF(Final_Sans_VGE[[#This Row],[ppn_z]]="","",IFERROR(
   IF(_xlfn.XLOOKUP(Final_Sans_VGE[[#This Row],[ppn_z]],tbl_Historique_Final[[#This Row],[ppn_z]],tbl_Historique_Final[[#This Row],[date_modif]])=Final_Sans_VGE[[#This Row],[date_modif]],
      "Ancien",
      "Modifié"),
   "Nouveau")),"")</f>
        <v/>
      </c>
    </row>
    <row r="6585" spans="24:30" x14ac:dyDescent="0.25">
      <c r="X6585" s="8" t="e">
        <f>IF(Final_Sans_VGE[[#This Row],[ppn_z]]="","",IFERROR(
   IF(_xlfn.XLOOKUP(Final_Sans_VGE[[#This Row],[ppn_z]],tbl_Historique_Final[ppn_z],tbl_Historique_Final[date_modif])=Final_Sans_VGE[[#This Row],[date_modif]],
      "Ancien",
      "Modifié"),
   "Nouveau"))</f>
        <v>#VALUE!</v>
      </c>
      <c r="AD6585" s="1" t="str">
        <f>IFERROR(IF(Final_Sans_VGE[[#This Row],[ppn_z]]="","",IFERROR(
   IF(_xlfn.XLOOKUP(Final_Sans_VGE[[#This Row],[ppn_z]],tbl_Historique_Final[[#This Row],[ppn_z]],tbl_Historique_Final[[#This Row],[date_modif]])=Final_Sans_VGE[[#This Row],[date_modif]],
      "Ancien",
      "Modifié"),
   "Nouveau")),"")</f>
        <v/>
      </c>
    </row>
    <row r="6586" spans="24:30" x14ac:dyDescent="0.25">
      <c r="X6586" s="8" t="e">
        <f>IF(Final_Sans_VGE[[#This Row],[ppn_z]]="","",IFERROR(
   IF(_xlfn.XLOOKUP(Final_Sans_VGE[[#This Row],[ppn_z]],tbl_Historique_Final[ppn_z],tbl_Historique_Final[date_modif])=Final_Sans_VGE[[#This Row],[date_modif]],
      "Ancien",
      "Modifié"),
   "Nouveau"))</f>
        <v>#VALUE!</v>
      </c>
      <c r="AD6586" s="1" t="str">
        <f>IFERROR(IF(Final_Sans_VGE[[#This Row],[ppn_z]]="","",IFERROR(
   IF(_xlfn.XLOOKUP(Final_Sans_VGE[[#This Row],[ppn_z]],tbl_Historique_Final[[#This Row],[ppn_z]],tbl_Historique_Final[[#This Row],[date_modif]])=Final_Sans_VGE[[#This Row],[date_modif]],
      "Ancien",
      "Modifié"),
   "Nouveau")),"")</f>
        <v/>
      </c>
    </row>
    <row r="6587" spans="24:30" x14ac:dyDescent="0.25">
      <c r="X6587" s="8" t="e">
        <f>IF(Final_Sans_VGE[[#This Row],[ppn_z]]="","",IFERROR(
   IF(_xlfn.XLOOKUP(Final_Sans_VGE[[#This Row],[ppn_z]],tbl_Historique_Final[ppn_z],tbl_Historique_Final[date_modif])=Final_Sans_VGE[[#This Row],[date_modif]],
      "Ancien",
      "Modifié"),
   "Nouveau"))</f>
        <v>#VALUE!</v>
      </c>
      <c r="AD6587" s="1" t="str">
        <f>IFERROR(IF(Final_Sans_VGE[[#This Row],[ppn_z]]="","",IFERROR(
   IF(_xlfn.XLOOKUP(Final_Sans_VGE[[#This Row],[ppn_z]],tbl_Historique_Final[[#This Row],[ppn_z]],tbl_Historique_Final[[#This Row],[date_modif]])=Final_Sans_VGE[[#This Row],[date_modif]],
      "Ancien",
      "Modifié"),
   "Nouveau")),"")</f>
        <v/>
      </c>
    </row>
    <row r="6588" spans="24:30" x14ac:dyDescent="0.25">
      <c r="X6588" s="8" t="e">
        <f>IF(Final_Sans_VGE[[#This Row],[ppn_z]]="","",IFERROR(
   IF(_xlfn.XLOOKUP(Final_Sans_VGE[[#This Row],[ppn_z]],tbl_Historique_Final[ppn_z],tbl_Historique_Final[date_modif])=Final_Sans_VGE[[#This Row],[date_modif]],
      "Ancien",
      "Modifié"),
   "Nouveau"))</f>
        <v>#VALUE!</v>
      </c>
      <c r="AD6588" s="1" t="str">
        <f>IFERROR(IF(Final_Sans_VGE[[#This Row],[ppn_z]]="","",IFERROR(
   IF(_xlfn.XLOOKUP(Final_Sans_VGE[[#This Row],[ppn_z]],tbl_Historique_Final[[#This Row],[ppn_z]],tbl_Historique_Final[[#This Row],[date_modif]])=Final_Sans_VGE[[#This Row],[date_modif]],
      "Ancien",
      "Modifié"),
   "Nouveau")),"")</f>
        <v/>
      </c>
    </row>
    <row r="6589" spans="24:30" x14ac:dyDescent="0.25">
      <c r="X6589" s="8" t="e">
        <f>IF(Final_Sans_VGE[[#This Row],[ppn_z]]="","",IFERROR(
   IF(_xlfn.XLOOKUP(Final_Sans_VGE[[#This Row],[ppn_z]],tbl_Historique_Final[ppn_z],tbl_Historique_Final[date_modif])=Final_Sans_VGE[[#This Row],[date_modif]],
      "Ancien",
      "Modifié"),
   "Nouveau"))</f>
        <v>#VALUE!</v>
      </c>
      <c r="AD6589" s="1" t="str">
        <f>IFERROR(IF(Final_Sans_VGE[[#This Row],[ppn_z]]="","",IFERROR(
   IF(_xlfn.XLOOKUP(Final_Sans_VGE[[#This Row],[ppn_z]],tbl_Historique_Final[[#This Row],[ppn_z]],tbl_Historique_Final[[#This Row],[date_modif]])=Final_Sans_VGE[[#This Row],[date_modif]],
      "Ancien",
      "Modifié"),
   "Nouveau")),"")</f>
        <v/>
      </c>
    </row>
    <row r="6590" spans="24:30" x14ac:dyDescent="0.25">
      <c r="X6590" s="8" t="e">
        <f>IF(Final_Sans_VGE[[#This Row],[ppn_z]]="","",IFERROR(
   IF(_xlfn.XLOOKUP(Final_Sans_VGE[[#This Row],[ppn_z]],tbl_Historique_Final[ppn_z],tbl_Historique_Final[date_modif])=Final_Sans_VGE[[#This Row],[date_modif]],
      "Ancien",
      "Modifié"),
   "Nouveau"))</f>
        <v>#VALUE!</v>
      </c>
      <c r="AD6590" s="1" t="str">
        <f>IFERROR(IF(Final_Sans_VGE[[#This Row],[ppn_z]]="","",IFERROR(
   IF(_xlfn.XLOOKUP(Final_Sans_VGE[[#This Row],[ppn_z]],tbl_Historique_Final[[#This Row],[ppn_z]],tbl_Historique_Final[[#This Row],[date_modif]])=Final_Sans_VGE[[#This Row],[date_modif]],
      "Ancien",
      "Modifié"),
   "Nouveau")),"")</f>
        <v/>
      </c>
    </row>
    <row r="6591" spans="24:30" x14ac:dyDescent="0.25">
      <c r="X6591" s="8" t="e">
        <f>IF(Final_Sans_VGE[[#This Row],[ppn_z]]="","",IFERROR(
   IF(_xlfn.XLOOKUP(Final_Sans_VGE[[#This Row],[ppn_z]],tbl_Historique_Final[ppn_z],tbl_Historique_Final[date_modif])=Final_Sans_VGE[[#This Row],[date_modif]],
      "Ancien",
      "Modifié"),
   "Nouveau"))</f>
        <v>#VALUE!</v>
      </c>
      <c r="AD6591" s="1" t="str">
        <f>IFERROR(IF(Final_Sans_VGE[[#This Row],[ppn_z]]="","",IFERROR(
   IF(_xlfn.XLOOKUP(Final_Sans_VGE[[#This Row],[ppn_z]],tbl_Historique_Final[[#This Row],[ppn_z]],tbl_Historique_Final[[#This Row],[date_modif]])=Final_Sans_VGE[[#This Row],[date_modif]],
      "Ancien",
      "Modifié"),
   "Nouveau")),"")</f>
        <v/>
      </c>
    </row>
    <row r="6592" spans="24:30" x14ac:dyDescent="0.25">
      <c r="X6592" s="8" t="e">
        <f>IF(Final_Sans_VGE[[#This Row],[ppn_z]]="","",IFERROR(
   IF(_xlfn.XLOOKUP(Final_Sans_VGE[[#This Row],[ppn_z]],tbl_Historique_Final[ppn_z],tbl_Historique_Final[date_modif])=Final_Sans_VGE[[#This Row],[date_modif]],
      "Ancien",
      "Modifié"),
   "Nouveau"))</f>
        <v>#VALUE!</v>
      </c>
      <c r="AD6592" s="1" t="str">
        <f>IFERROR(IF(Final_Sans_VGE[[#This Row],[ppn_z]]="","",IFERROR(
   IF(_xlfn.XLOOKUP(Final_Sans_VGE[[#This Row],[ppn_z]],tbl_Historique_Final[[#This Row],[ppn_z]],tbl_Historique_Final[[#This Row],[date_modif]])=Final_Sans_VGE[[#This Row],[date_modif]],
      "Ancien",
      "Modifié"),
   "Nouveau")),"")</f>
        <v/>
      </c>
    </row>
    <row r="6593" spans="24:30" x14ac:dyDescent="0.25">
      <c r="X6593" s="8" t="e">
        <f>IF(Final_Sans_VGE[[#This Row],[ppn_z]]="","",IFERROR(
   IF(_xlfn.XLOOKUP(Final_Sans_VGE[[#This Row],[ppn_z]],tbl_Historique_Final[ppn_z],tbl_Historique_Final[date_modif])=Final_Sans_VGE[[#This Row],[date_modif]],
      "Ancien",
      "Modifié"),
   "Nouveau"))</f>
        <v>#VALUE!</v>
      </c>
      <c r="AD6593" s="1" t="str">
        <f>IFERROR(IF(Final_Sans_VGE[[#This Row],[ppn_z]]="","",IFERROR(
   IF(_xlfn.XLOOKUP(Final_Sans_VGE[[#This Row],[ppn_z]],tbl_Historique_Final[[#This Row],[ppn_z]],tbl_Historique_Final[[#This Row],[date_modif]])=Final_Sans_VGE[[#This Row],[date_modif]],
      "Ancien",
      "Modifié"),
   "Nouveau")),"")</f>
        <v/>
      </c>
    </row>
    <row r="6594" spans="24:30" x14ac:dyDescent="0.25">
      <c r="X6594" s="8" t="e">
        <f>IF(Final_Sans_VGE[[#This Row],[ppn_z]]="","",IFERROR(
   IF(_xlfn.XLOOKUP(Final_Sans_VGE[[#This Row],[ppn_z]],tbl_Historique_Final[ppn_z],tbl_Historique_Final[date_modif])=Final_Sans_VGE[[#This Row],[date_modif]],
      "Ancien",
      "Modifié"),
   "Nouveau"))</f>
        <v>#VALUE!</v>
      </c>
      <c r="AD6594" s="1" t="str">
        <f>IFERROR(IF(Final_Sans_VGE[[#This Row],[ppn_z]]="","",IFERROR(
   IF(_xlfn.XLOOKUP(Final_Sans_VGE[[#This Row],[ppn_z]],tbl_Historique_Final[[#This Row],[ppn_z]],tbl_Historique_Final[[#This Row],[date_modif]])=Final_Sans_VGE[[#This Row],[date_modif]],
      "Ancien",
      "Modifié"),
   "Nouveau")),"")</f>
        <v/>
      </c>
    </row>
    <row r="6595" spans="24:30" x14ac:dyDescent="0.25">
      <c r="X6595" s="8" t="e">
        <f>IF(Final_Sans_VGE[[#This Row],[ppn_z]]="","",IFERROR(
   IF(_xlfn.XLOOKUP(Final_Sans_VGE[[#This Row],[ppn_z]],tbl_Historique_Final[ppn_z],tbl_Historique_Final[date_modif])=Final_Sans_VGE[[#This Row],[date_modif]],
      "Ancien",
      "Modifié"),
   "Nouveau"))</f>
        <v>#VALUE!</v>
      </c>
      <c r="AD6595" s="1" t="str">
        <f>IFERROR(IF(Final_Sans_VGE[[#This Row],[ppn_z]]="","",IFERROR(
   IF(_xlfn.XLOOKUP(Final_Sans_VGE[[#This Row],[ppn_z]],tbl_Historique_Final[[#This Row],[ppn_z]],tbl_Historique_Final[[#This Row],[date_modif]])=Final_Sans_VGE[[#This Row],[date_modif]],
      "Ancien",
      "Modifié"),
   "Nouveau")),"")</f>
        <v/>
      </c>
    </row>
    <row r="6596" spans="24:30" x14ac:dyDescent="0.25">
      <c r="X6596" s="8" t="e">
        <f>IF(Final_Sans_VGE[[#This Row],[ppn_z]]="","",IFERROR(
   IF(_xlfn.XLOOKUP(Final_Sans_VGE[[#This Row],[ppn_z]],tbl_Historique_Final[ppn_z],tbl_Historique_Final[date_modif])=Final_Sans_VGE[[#This Row],[date_modif]],
      "Ancien",
      "Modifié"),
   "Nouveau"))</f>
        <v>#VALUE!</v>
      </c>
      <c r="AD6596" s="1" t="str">
        <f>IFERROR(IF(Final_Sans_VGE[[#This Row],[ppn_z]]="","",IFERROR(
   IF(_xlfn.XLOOKUP(Final_Sans_VGE[[#This Row],[ppn_z]],tbl_Historique_Final[[#This Row],[ppn_z]],tbl_Historique_Final[[#This Row],[date_modif]])=Final_Sans_VGE[[#This Row],[date_modif]],
      "Ancien",
      "Modifié"),
   "Nouveau")),"")</f>
        <v/>
      </c>
    </row>
    <row r="6597" spans="24:30" x14ac:dyDescent="0.25">
      <c r="X6597" s="8" t="e">
        <f>IF(Final_Sans_VGE[[#This Row],[ppn_z]]="","",IFERROR(
   IF(_xlfn.XLOOKUP(Final_Sans_VGE[[#This Row],[ppn_z]],tbl_Historique_Final[ppn_z],tbl_Historique_Final[date_modif])=Final_Sans_VGE[[#This Row],[date_modif]],
      "Ancien",
      "Modifié"),
   "Nouveau"))</f>
        <v>#VALUE!</v>
      </c>
      <c r="AD6597" s="1" t="str">
        <f>IFERROR(IF(Final_Sans_VGE[[#This Row],[ppn_z]]="","",IFERROR(
   IF(_xlfn.XLOOKUP(Final_Sans_VGE[[#This Row],[ppn_z]],tbl_Historique_Final[[#This Row],[ppn_z]],tbl_Historique_Final[[#This Row],[date_modif]])=Final_Sans_VGE[[#This Row],[date_modif]],
      "Ancien",
      "Modifié"),
   "Nouveau")),"")</f>
        <v/>
      </c>
    </row>
    <row r="6598" spans="24:30" x14ac:dyDescent="0.25">
      <c r="X6598" s="8" t="e">
        <f>IF(Final_Sans_VGE[[#This Row],[ppn_z]]="","",IFERROR(
   IF(_xlfn.XLOOKUP(Final_Sans_VGE[[#This Row],[ppn_z]],tbl_Historique_Final[ppn_z],tbl_Historique_Final[date_modif])=Final_Sans_VGE[[#This Row],[date_modif]],
      "Ancien",
      "Modifié"),
   "Nouveau"))</f>
        <v>#VALUE!</v>
      </c>
      <c r="AD6598" s="1" t="str">
        <f>IFERROR(IF(Final_Sans_VGE[[#This Row],[ppn_z]]="","",IFERROR(
   IF(_xlfn.XLOOKUP(Final_Sans_VGE[[#This Row],[ppn_z]],tbl_Historique_Final[[#This Row],[ppn_z]],tbl_Historique_Final[[#This Row],[date_modif]])=Final_Sans_VGE[[#This Row],[date_modif]],
      "Ancien",
      "Modifié"),
   "Nouveau")),"")</f>
        <v/>
      </c>
    </row>
    <row r="6599" spans="24:30" x14ac:dyDescent="0.25">
      <c r="X6599" s="8" t="e">
        <f>IF(Final_Sans_VGE[[#This Row],[ppn_z]]="","",IFERROR(
   IF(_xlfn.XLOOKUP(Final_Sans_VGE[[#This Row],[ppn_z]],tbl_Historique_Final[ppn_z],tbl_Historique_Final[date_modif])=Final_Sans_VGE[[#This Row],[date_modif]],
      "Ancien",
      "Modifié"),
   "Nouveau"))</f>
        <v>#VALUE!</v>
      </c>
      <c r="AD6599" s="1" t="str">
        <f>IFERROR(IF(Final_Sans_VGE[[#This Row],[ppn_z]]="","",IFERROR(
   IF(_xlfn.XLOOKUP(Final_Sans_VGE[[#This Row],[ppn_z]],tbl_Historique_Final[[#This Row],[ppn_z]],tbl_Historique_Final[[#This Row],[date_modif]])=Final_Sans_VGE[[#This Row],[date_modif]],
      "Ancien",
      "Modifié"),
   "Nouveau")),"")</f>
        <v/>
      </c>
    </row>
    <row r="6600" spans="24:30" x14ac:dyDescent="0.25">
      <c r="X6600" s="8" t="e">
        <f>IF(Final_Sans_VGE[[#This Row],[ppn_z]]="","",IFERROR(
   IF(_xlfn.XLOOKUP(Final_Sans_VGE[[#This Row],[ppn_z]],tbl_Historique_Final[ppn_z],tbl_Historique_Final[date_modif])=Final_Sans_VGE[[#This Row],[date_modif]],
      "Ancien",
      "Modifié"),
   "Nouveau"))</f>
        <v>#VALUE!</v>
      </c>
      <c r="AD6600" s="1" t="str">
        <f>IFERROR(IF(Final_Sans_VGE[[#This Row],[ppn_z]]="","",IFERROR(
   IF(_xlfn.XLOOKUP(Final_Sans_VGE[[#This Row],[ppn_z]],tbl_Historique_Final[[#This Row],[ppn_z]],tbl_Historique_Final[[#This Row],[date_modif]])=Final_Sans_VGE[[#This Row],[date_modif]],
      "Ancien",
      "Modifié"),
   "Nouveau")),"")</f>
        <v/>
      </c>
    </row>
    <row r="6601" spans="24:30" x14ac:dyDescent="0.25">
      <c r="X6601" s="8" t="e">
        <f>IF(Final_Sans_VGE[[#This Row],[ppn_z]]="","",IFERROR(
   IF(_xlfn.XLOOKUP(Final_Sans_VGE[[#This Row],[ppn_z]],tbl_Historique_Final[ppn_z],tbl_Historique_Final[date_modif])=Final_Sans_VGE[[#This Row],[date_modif]],
      "Ancien",
      "Modifié"),
   "Nouveau"))</f>
        <v>#VALUE!</v>
      </c>
      <c r="AD6601" s="1" t="str">
        <f>IFERROR(IF(Final_Sans_VGE[[#This Row],[ppn_z]]="","",IFERROR(
   IF(_xlfn.XLOOKUP(Final_Sans_VGE[[#This Row],[ppn_z]],tbl_Historique_Final[[#This Row],[ppn_z]],tbl_Historique_Final[[#This Row],[date_modif]])=Final_Sans_VGE[[#This Row],[date_modif]],
      "Ancien",
      "Modifié"),
   "Nouveau")),"")</f>
        <v/>
      </c>
    </row>
    <row r="6602" spans="24:30" x14ac:dyDescent="0.25">
      <c r="X6602" s="8" t="e">
        <f>IF(Final_Sans_VGE[[#This Row],[ppn_z]]="","",IFERROR(
   IF(_xlfn.XLOOKUP(Final_Sans_VGE[[#This Row],[ppn_z]],tbl_Historique_Final[ppn_z],tbl_Historique_Final[date_modif])=Final_Sans_VGE[[#This Row],[date_modif]],
      "Ancien",
      "Modifié"),
   "Nouveau"))</f>
        <v>#VALUE!</v>
      </c>
      <c r="AD6602" s="1" t="str">
        <f>IFERROR(IF(Final_Sans_VGE[[#This Row],[ppn_z]]="","",IFERROR(
   IF(_xlfn.XLOOKUP(Final_Sans_VGE[[#This Row],[ppn_z]],tbl_Historique_Final[[#This Row],[ppn_z]],tbl_Historique_Final[[#This Row],[date_modif]])=Final_Sans_VGE[[#This Row],[date_modif]],
      "Ancien",
      "Modifié"),
   "Nouveau")),"")</f>
        <v/>
      </c>
    </row>
    <row r="6603" spans="24:30" x14ac:dyDescent="0.25">
      <c r="X6603" s="8" t="e">
        <f>IF(Final_Sans_VGE[[#This Row],[ppn_z]]="","",IFERROR(
   IF(_xlfn.XLOOKUP(Final_Sans_VGE[[#This Row],[ppn_z]],tbl_Historique_Final[ppn_z],tbl_Historique_Final[date_modif])=Final_Sans_VGE[[#This Row],[date_modif]],
      "Ancien",
      "Modifié"),
   "Nouveau"))</f>
        <v>#VALUE!</v>
      </c>
      <c r="AD6603" s="1" t="str">
        <f>IFERROR(IF(Final_Sans_VGE[[#This Row],[ppn_z]]="","",IFERROR(
   IF(_xlfn.XLOOKUP(Final_Sans_VGE[[#This Row],[ppn_z]],tbl_Historique_Final[[#This Row],[ppn_z]],tbl_Historique_Final[[#This Row],[date_modif]])=Final_Sans_VGE[[#This Row],[date_modif]],
      "Ancien",
      "Modifié"),
   "Nouveau")),"")</f>
        <v/>
      </c>
    </row>
    <row r="6604" spans="24:30" x14ac:dyDescent="0.25">
      <c r="X6604" s="8" t="e">
        <f>IF(Final_Sans_VGE[[#This Row],[ppn_z]]="","",IFERROR(
   IF(_xlfn.XLOOKUP(Final_Sans_VGE[[#This Row],[ppn_z]],tbl_Historique_Final[ppn_z],tbl_Historique_Final[date_modif])=Final_Sans_VGE[[#This Row],[date_modif]],
      "Ancien",
      "Modifié"),
   "Nouveau"))</f>
        <v>#VALUE!</v>
      </c>
      <c r="AD6604" s="1" t="str">
        <f>IFERROR(IF(Final_Sans_VGE[[#This Row],[ppn_z]]="","",IFERROR(
   IF(_xlfn.XLOOKUP(Final_Sans_VGE[[#This Row],[ppn_z]],tbl_Historique_Final[[#This Row],[ppn_z]],tbl_Historique_Final[[#This Row],[date_modif]])=Final_Sans_VGE[[#This Row],[date_modif]],
      "Ancien",
      "Modifié"),
   "Nouveau")),"")</f>
        <v/>
      </c>
    </row>
    <row r="6605" spans="24:30" x14ac:dyDescent="0.25">
      <c r="X6605" s="8" t="e">
        <f>IF(Final_Sans_VGE[[#This Row],[ppn_z]]="","",IFERROR(
   IF(_xlfn.XLOOKUP(Final_Sans_VGE[[#This Row],[ppn_z]],tbl_Historique_Final[ppn_z],tbl_Historique_Final[date_modif])=Final_Sans_VGE[[#This Row],[date_modif]],
      "Ancien",
      "Modifié"),
   "Nouveau"))</f>
        <v>#VALUE!</v>
      </c>
      <c r="AD6605" s="1" t="str">
        <f>IFERROR(IF(Final_Sans_VGE[[#This Row],[ppn_z]]="","",IFERROR(
   IF(_xlfn.XLOOKUP(Final_Sans_VGE[[#This Row],[ppn_z]],tbl_Historique_Final[[#This Row],[ppn_z]],tbl_Historique_Final[[#This Row],[date_modif]])=Final_Sans_VGE[[#This Row],[date_modif]],
      "Ancien",
      "Modifié"),
   "Nouveau")),"")</f>
        <v/>
      </c>
    </row>
    <row r="6606" spans="24:30" x14ac:dyDescent="0.25">
      <c r="X6606" s="8" t="e">
        <f>IF(Final_Sans_VGE[[#This Row],[ppn_z]]="","",IFERROR(
   IF(_xlfn.XLOOKUP(Final_Sans_VGE[[#This Row],[ppn_z]],tbl_Historique_Final[ppn_z],tbl_Historique_Final[date_modif])=Final_Sans_VGE[[#This Row],[date_modif]],
      "Ancien",
      "Modifié"),
   "Nouveau"))</f>
        <v>#VALUE!</v>
      </c>
      <c r="AD6606" s="1" t="str">
        <f>IFERROR(IF(Final_Sans_VGE[[#This Row],[ppn_z]]="","",IFERROR(
   IF(_xlfn.XLOOKUP(Final_Sans_VGE[[#This Row],[ppn_z]],tbl_Historique_Final[[#This Row],[ppn_z]],tbl_Historique_Final[[#This Row],[date_modif]])=Final_Sans_VGE[[#This Row],[date_modif]],
      "Ancien",
      "Modifié"),
   "Nouveau")),"")</f>
        <v/>
      </c>
    </row>
    <row r="6607" spans="24:30" x14ac:dyDescent="0.25">
      <c r="X6607" s="8" t="e">
        <f>IF(Final_Sans_VGE[[#This Row],[ppn_z]]="","",IFERROR(
   IF(_xlfn.XLOOKUP(Final_Sans_VGE[[#This Row],[ppn_z]],tbl_Historique_Final[ppn_z],tbl_Historique_Final[date_modif])=Final_Sans_VGE[[#This Row],[date_modif]],
      "Ancien",
      "Modifié"),
   "Nouveau"))</f>
        <v>#VALUE!</v>
      </c>
      <c r="AD6607" s="1" t="str">
        <f>IFERROR(IF(Final_Sans_VGE[[#This Row],[ppn_z]]="","",IFERROR(
   IF(_xlfn.XLOOKUP(Final_Sans_VGE[[#This Row],[ppn_z]],tbl_Historique_Final[[#This Row],[ppn_z]],tbl_Historique_Final[[#This Row],[date_modif]])=Final_Sans_VGE[[#This Row],[date_modif]],
      "Ancien",
      "Modifié"),
   "Nouveau")),"")</f>
        <v/>
      </c>
    </row>
    <row r="6608" spans="24:30" x14ac:dyDescent="0.25">
      <c r="X6608" s="8" t="e">
        <f>IF(Final_Sans_VGE[[#This Row],[ppn_z]]="","",IFERROR(
   IF(_xlfn.XLOOKUP(Final_Sans_VGE[[#This Row],[ppn_z]],tbl_Historique_Final[ppn_z],tbl_Historique_Final[date_modif])=Final_Sans_VGE[[#This Row],[date_modif]],
      "Ancien",
      "Modifié"),
   "Nouveau"))</f>
        <v>#VALUE!</v>
      </c>
      <c r="AD6608" s="1" t="str">
        <f>IFERROR(IF(Final_Sans_VGE[[#This Row],[ppn_z]]="","",IFERROR(
   IF(_xlfn.XLOOKUP(Final_Sans_VGE[[#This Row],[ppn_z]],tbl_Historique_Final[[#This Row],[ppn_z]],tbl_Historique_Final[[#This Row],[date_modif]])=Final_Sans_VGE[[#This Row],[date_modif]],
      "Ancien",
      "Modifié"),
   "Nouveau")),"")</f>
        <v/>
      </c>
    </row>
    <row r="6609" spans="24:30" x14ac:dyDescent="0.25">
      <c r="X6609" s="8" t="e">
        <f>IF(Final_Sans_VGE[[#This Row],[ppn_z]]="","",IFERROR(
   IF(_xlfn.XLOOKUP(Final_Sans_VGE[[#This Row],[ppn_z]],tbl_Historique_Final[ppn_z],tbl_Historique_Final[date_modif])=Final_Sans_VGE[[#This Row],[date_modif]],
      "Ancien",
      "Modifié"),
   "Nouveau"))</f>
        <v>#VALUE!</v>
      </c>
      <c r="AD6609" s="1" t="str">
        <f>IFERROR(IF(Final_Sans_VGE[[#This Row],[ppn_z]]="","",IFERROR(
   IF(_xlfn.XLOOKUP(Final_Sans_VGE[[#This Row],[ppn_z]],tbl_Historique_Final[[#This Row],[ppn_z]],tbl_Historique_Final[[#This Row],[date_modif]])=Final_Sans_VGE[[#This Row],[date_modif]],
      "Ancien",
      "Modifié"),
   "Nouveau")),"")</f>
        <v/>
      </c>
    </row>
    <row r="6610" spans="24:30" x14ac:dyDescent="0.25">
      <c r="X6610" s="8" t="e">
        <f>IF(Final_Sans_VGE[[#This Row],[ppn_z]]="","",IFERROR(
   IF(_xlfn.XLOOKUP(Final_Sans_VGE[[#This Row],[ppn_z]],tbl_Historique_Final[ppn_z],tbl_Historique_Final[date_modif])=Final_Sans_VGE[[#This Row],[date_modif]],
      "Ancien",
      "Modifié"),
   "Nouveau"))</f>
        <v>#VALUE!</v>
      </c>
      <c r="AD6610" s="1" t="str">
        <f>IFERROR(IF(Final_Sans_VGE[[#This Row],[ppn_z]]="","",IFERROR(
   IF(_xlfn.XLOOKUP(Final_Sans_VGE[[#This Row],[ppn_z]],tbl_Historique_Final[[#This Row],[ppn_z]],tbl_Historique_Final[[#This Row],[date_modif]])=Final_Sans_VGE[[#This Row],[date_modif]],
      "Ancien",
      "Modifié"),
   "Nouveau")),"")</f>
        <v/>
      </c>
    </row>
    <row r="6611" spans="24:30" x14ac:dyDescent="0.25">
      <c r="X6611" s="8" t="e">
        <f>IF(Final_Sans_VGE[[#This Row],[ppn_z]]="","",IFERROR(
   IF(_xlfn.XLOOKUP(Final_Sans_VGE[[#This Row],[ppn_z]],tbl_Historique_Final[ppn_z],tbl_Historique_Final[date_modif])=Final_Sans_VGE[[#This Row],[date_modif]],
      "Ancien",
      "Modifié"),
   "Nouveau"))</f>
        <v>#VALUE!</v>
      </c>
      <c r="AD6611" s="1" t="str">
        <f>IFERROR(IF(Final_Sans_VGE[[#This Row],[ppn_z]]="","",IFERROR(
   IF(_xlfn.XLOOKUP(Final_Sans_VGE[[#This Row],[ppn_z]],tbl_Historique_Final[[#This Row],[ppn_z]],tbl_Historique_Final[[#This Row],[date_modif]])=Final_Sans_VGE[[#This Row],[date_modif]],
      "Ancien",
      "Modifié"),
   "Nouveau")),"")</f>
        <v/>
      </c>
    </row>
    <row r="6612" spans="24:30" x14ac:dyDescent="0.25">
      <c r="X6612" s="8" t="e">
        <f>IF(Final_Sans_VGE[[#This Row],[ppn_z]]="","",IFERROR(
   IF(_xlfn.XLOOKUP(Final_Sans_VGE[[#This Row],[ppn_z]],tbl_Historique_Final[ppn_z],tbl_Historique_Final[date_modif])=Final_Sans_VGE[[#This Row],[date_modif]],
      "Ancien",
      "Modifié"),
   "Nouveau"))</f>
        <v>#VALUE!</v>
      </c>
      <c r="AD6612" s="1" t="str">
        <f>IFERROR(IF(Final_Sans_VGE[[#This Row],[ppn_z]]="","",IFERROR(
   IF(_xlfn.XLOOKUP(Final_Sans_VGE[[#This Row],[ppn_z]],tbl_Historique_Final[[#This Row],[ppn_z]],tbl_Historique_Final[[#This Row],[date_modif]])=Final_Sans_VGE[[#This Row],[date_modif]],
      "Ancien",
      "Modifié"),
   "Nouveau")),"")</f>
        <v/>
      </c>
    </row>
    <row r="6613" spans="24:30" x14ac:dyDescent="0.25">
      <c r="X6613" s="8" t="e">
        <f>IF(Final_Sans_VGE[[#This Row],[ppn_z]]="","",IFERROR(
   IF(_xlfn.XLOOKUP(Final_Sans_VGE[[#This Row],[ppn_z]],tbl_Historique_Final[ppn_z],tbl_Historique_Final[date_modif])=Final_Sans_VGE[[#This Row],[date_modif]],
      "Ancien",
      "Modifié"),
   "Nouveau"))</f>
        <v>#VALUE!</v>
      </c>
      <c r="AD6613" s="1" t="str">
        <f>IFERROR(IF(Final_Sans_VGE[[#This Row],[ppn_z]]="","",IFERROR(
   IF(_xlfn.XLOOKUP(Final_Sans_VGE[[#This Row],[ppn_z]],tbl_Historique_Final[[#This Row],[ppn_z]],tbl_Historique_Final[[#This Row],[date_modif]])=Final_Sans_VGE[[#This Row],[date_modif]],
      "Ancien",
      "Modifié"),
   "Nouveau")),"")</f>
        <v/>
      </c>
    </row>
    <row r="6614" spans="24:30" x14ac:dyDescent="0.25">
      <c r="X6614" s="8" t="e">
        <f>IF(Final_Sans_VGE[[#This Row],[ppn_z]]="","",IFERROR(
   IF(_xlfn.XLOOKUP(Final_Sans_VGE[[#This Row],[ppn_z]],tbl_Historique_Final[ppn_z],tbl_Historique_Final[date_modif])=Final_Sans_VGE[[#This Row],[date_modif]],
      "Ancien",
      "Modifié"),
   "Nouveau"))</f>
        <v>#VALUE!</v>
      </c>
      <c r="AD6614" s="1" t="str">
        <f>IFERROR(IF(Final_Sans_VGE[[#This Row],[ppn_z]]="","",IFERROR(
   IF(_xlfn.XLOOKUP(Final_Sans_VGE[[#This Row],[ppn_z]],tbl_Historique_Final[[#This Row],[ppn_z]],tbl_Historique_Final[[#This Row],[date_modif]])=Final_Sans_VGE[[#This Row],[date_modif]],
      "Ancien",
      "Modifié"),
   "Nouveau")),"")</f>
        <v/>
      </c>
    </row>
    <row r="6615" spans="24:30" x14ac:dyDescent="0.25">
      <c r="X6615" s="8" t="e">
        <f>IF(Final_Sans_VGE[[#This Row],[ppn_z]]="","",IFERROR(
   IF(_xlfn.XLOOKUP(Final_Sans_VGE[[#This Row],[ppn_z]],tbl_Historique_Final[ppn_z],tbl_Historique_Final[date_modif])=Final_Sans_VGE[[#This Row],[date_modif]],
      "Ancien",
      "Modifié"),
   "Nouveau"))</f>
        <v>#VALUE!</v>
      </c>
      <c r="AD6615" s="1" t="str">
        <f>IFERROR(IF(Final_Sans_VGE[[#This Row],[ppn_z]]="","",IFERROR(
   IF(_xlfn.XLOOKUP(Final_Sans_VGE[[#This Row],[ppn_z]],tbl_Historique_Final[[#This Row],[ppn_z]],tbl_Historique_Final[[#This Row],[date_modif]])=Final_Sans_VGE[[#This Row],[date_modif]],
      "Ancien",
      "Modifié"),
   "Nouveau")),"")</f>
        <v/>
      </c>
    </row>
    <row r="6616" spans="24:30" x14ac:dyDescent="0.25">
      <c r="X6616" s="8" t="e">
        <f>IF(Final_Sans_VGE[[#This Row],[ppn_z]]="","",IFERROR(
   IF(_xlfn.XLOOKUP(Final_Sans_VGE[[#This Row],[ppn_z]],tbl_Historique_Final[ppn_z],tbl_Historique_Final[date_modif])=Final_Sans_VGE[[#This Row],[date_modif]],
      "Ancien",
      "Modifié"),
   "Nouveau"))</f>
        <v>#VALUE!</v>
      </c>
      <c r="AD6616" s="1" t="str">
        <f>IFERROR(IF(Final_Sans_VGE[[#This Row],[ppn_z]]="","",IFERROR(
   IF(_xlfn.XLOOKUP(Final_Sans_VGE[[#This Row],[ppn_z]],tbl_Historique_Final[[#This Row],[ppn_z]],tbl_Historique_Final[[#This Row],[date_modif]])=Final_Sans_VGE[[#This Row],[date_modif]],
      "Ancien",
      "Modifié"),
   "Nouveau")),"")</f>
        <v/>
      </c>
    </row>
    <row r="6617" spans="24:30" x14ac:dyDescent="0.25">
      <c r="X6617" s="8" t="e">
        <f>IF(Final_Sans_VGE[[#This Row],[ppn_z]]="","",IFERROR(
   IF(_xlfn.XLOOKUP(Final_Sans_VGE[[#This Row],[ppn_z]],tbl_Historique_Final[ppn_z],tbl_Historique_Final[date_modif])=Final_Sans_VGE[[#This Row],[date_modif]],
      "Ancien",
      "Modifié"),
   "Nouveau"))</f>
        <v>#VALUE!</v>
      </c>
      <c r="AD6617" s="1" t="str">
        <f>IFERROR(IF(Final_Sans_VGE[[#This Row],[ppn_z]]="","",IFERROR(
   IF(_xlfn.XLOOKUP(Final_Sans_VGE[[#This Row],[ppn_z]],tbl_Historique_Final[[#This Row],[ppn_z]],tbl_Historique_Final[[#This Row],[date_modif]])=Final_Sans_VGE[[#This Row],[date_modif]],
      "Ancien",
      "Modifié"),
   "Nouveau")),"")</f>
        <v/>
      </c>
    </row>
    <row r="6618" spans="24:30" x14ac:dyDescent="0.25">
      <c r="X6618" s="8" t="e">
        <f>IF(Final_Sans_VGE[[#This Row],[ppn_z]]="","",IFERROR(
   IF(_xlfn.XLOOKUP(Final_Sans_VGE[[#This Row],[ppn_z]],tbl_Historique_Final[ppn_z],tbl_Historique_Final[date_modif])=Final_Sans_VGE[[#This Row],[date_modif]],
      "Ancien",
      "Modifié"),
   "Nouveau"))</f>
        <v>#VALUE!</v>
      </c>
      <c r="AD6618" s="1" t="str">
        <f>IFERROR(IF(Final_Sans_VGE[[#This Row],[ppn_z]]="","",IFERROR(
   IF(_xlfn.XLOOKUP(Final_Sans_VGE[[#This Row],[ppn_z]],tbl_Historique_Final[[#This Row],[ppn_z]],tbl_Historique_Final[[#This Row],[date_modif]])=Final_Sans_VGE[[#This Row],[date_modif]],
      "Ancien",
      "Modifié"),
   "Nouveau")),"")</f>
        <v/>
      </c>
    </row>
    <row r="6619" spans="24:30" x14ac:dyDescent="0.25">
      <c r="X6619" s="8" t="e">
        <f>IF(Final_Sans_VGE[[#This Row],[ppn_z]]="","",IFERROR(
   IF(_xlfn.XLOOKUP(Final_Sans_VGE[[#This Row],[ppn_z]],tbl_Historique_Final[ppn_z],tbl_Historique_Final[date_modif])=Final_Sans_VGE[[#This Row],[date_modif]],
      "Ancien",
      "Modifié"),
   "Nouveau"))</f>
        <v>#VALUE!</v>
      </c>
      <c r="AD6619" s="1" t="str">
        <f>IFERROR(IF(Final_Sans_VGE[[#This Row],[ppn_z]]="","",IFERROR(
   IF(_xlfn.XLOOKUP(Final_Sans_VGE[[#This Row],[ppn_z]],tbl_Historique_Final[[#This Row],[ppn_z]],tbl_Historique_Final[[#This Row],[date_modif]])=Final_Sans_VGE[[#This Row],[date_modif]],
      "Ancien",
      "Modifié"),
   "Nouveau")),"")</f>
        <v/>
      </c>
    </row>
    <row r="6620" spans="24:30" x14ac:dyDescent="0.25">
      <c r="X6620" s="8" t="e">
        <f>IF(Final_Sans_VGE[[#This Row],[ppn_z]]="","",IFERROR(
   IF(_xlfn.XLOOKUP(Final_Sans_VGE[[#This Row],[ppn_z]],tbl_Historique_Final[ppn_z],tbl_Historique_Final[date_modif])=Final_Sans_VGE[[#This Row],[date_modif]],
      "Ancien",
      "Modifié"),
   "Nouveau"))</f>
        <v>#VALUE!</v>
      </c>
      <c r="AD6620" s="1" t="str">
        <f>IFERROR(IF(Final_Sans_VGE[[#This Row],[ppn_z]]="","",IFERROR(
   IF(_xlfn.XLOOKUP(Final_Sans_VGE[[#This Row],[ppn_z]],tbl_Historique_Final[[#This Row],[ppn_z]],tbl_Historique_Final[[#This Row],[date_modif]])=Final_Sans_VGE[[#This Row],[date_modif]],
      "Ancien",
      "Modifié"),
   "Nouveau")),"")</f>
        <v/>
      </c>
    </row>
    <row r="6621" spans="24:30" x14ac:dyDescent="0.25">
      <c r="X6621" s="8" t="e">
        <f>IF(Final_Sans_VGE[[#This Row],[ppn_z]]="","",IFERROR(
   IF(_xlfn.XLOOKUP(Final_Sans_VGE[[#This Row],[ppn_z]],tbl_Historique_Final[ppn_z],tbl_Historique_Final[date_modif])=Final_Sans_VGE[[#This Row],[date_modif]],
      "Ancien",
      "Modifié"),
   "Nouveau"))</f>
        <v>#VALUE!</v>
      </c>
      <c r="AD6621" s="1" t="str">
        <f>IFERROR(IF(Final_Sans_VGE[[#This Row],[ppn_z]]="","",IFERROR(
   IF(_xlfn.XLOOKUP(Final_Sans_VGE[[#This Row],[ppn_z]],tbl_Historique_Final[[#This Row],[ppn_z]],tbl_Historique_Final[[#This Row],[date_modif]])=Final_Sans_VGE[[#This Row],[date_modif]],
      "Ancien",
      "Modifié"),
   "Nouveau")),"")</f>
        <v/>
      </c>
    </row>
    <row r="6622" spans="24:30" x14ac:dyDescent="0.25">
      <c r="X6622" s="8" t="e">
        <f>IF(Final_Sans_VGE[[#This Row],[ppn_z]]="","",IFERROR(
   IF(_xlfn.XLOOKUP(Final_Sans_VGE[[#This Row],[ppn_z]],tbl_Historique_Final[ppn_z],tbl_Historique_Final[date_modif])=Final_Sans_VGE[[#This Row],[date_modif]],
      "Ancien",
      "Modifié"),
   "Nouveau"))</f>
        <v>#VALUE!</v>
      </c>
      <c r="AD6622" s="1" t="str">
        <f>IFERROR(IF(Final_Sans_VGE[[#This Row],[ppn_z]]="","",IFERROR(
   IF(_xlfn.XLOOKUP(Final_Sans_VGE[[#This Row],[ppn_z]],tbl_Historique_Final[[#This Row],[ppn_z]],tbl_Historique_Final[[#This Row],[date_modif]])=Final_Sans_VGE[[#This Row],[date_modif]],
      "Ancien",
      "Modifié"),
   "Nouveau")),"")</f>
        <v/>
      </c>
    </row>
    <row r="6623" spans="24:30" x14ac:dyDescent="0.25">
      <c r="X6623" s="8" t="e">
        <f>IF(Final_Sans_VGE[[#This Row],[ppn_z]]="","",IFERROR(
   IF(_xlfn.XLOOKUP(Final_Sans_VGE[[#This Row],[ppn_z]],tbl_Historique_Final[ppn_z],tbl_Historique_Final[date_modif])=Final_Sans_VGE[[#This Row],[date_modif]],
      "Ancien",
      "Modifié"),
   "Nouveau"))</f>
        <v>#VALUE!</v>
      </c>
      <c r="AD6623" s="1" t="str">
        <f>IFERROR(IF(Final_Sans_VGE[[#This Row],[ppn_z]]="","",IFERROR(
   IF(_xlfn.XLOOKUP(Final_Sans_VGE[[#This Row],[ppn_z]],tbl_Historique_Final[[#This Row],[ppn_z]],tbl_Historique_Final[[#This Row],[date_modif]])=Final_Sans_VGE[[#This Row],[date_modif]],
      "Ancien",
      "Modifié"),
   "Nouveau")),"")</f>
        <v/>
      </c>
    </row>
    <row r="6624" spans="24:30" x14ac:dyDescent="0.25">
      <c r="X6624" s="8" t="e">
        <f>IF(Final_Sans_VGE[[#This Row],[ppn_z]]="","",IFERROR(
   IF(_xlfn.XLOOKUP(Final_Sans_VGE[[#This Row],[ppn_z]],tbl_Historique_Final[ppn_z],tbl_Historique_Final[date_modif])=Final_Sans_VGE[[#This Row],[date_modif]],
      "Ancien",
      "Modifié"),
   "Nouveau"))</f>
        <v>#VALUE!</v>
      </c>
      <c r="AD6624" s="1" t="str">
        <f>IFERROR(IF(Final_Sans_VGE[[#This Row],[ppn_z]]="","",IFERROR(
   IF(_xlfn.XLOOKUP(Final_Sans_VGE[[#This Row],[ppn_z]],tbl_Historique_Final[[#This Row],[ppn_z]],tbl_Historique_Final[[#This Row],[date_modif]])=Final_Sans_VGE[[#This Row],[date_modif]],
      "Ancien",
      "Modifié"),
   "Nouveau")),"")</f>
        <v/>
      </c>
    </row>
    <row r="6625" spans="24:30" x14ac:dyDescent="0.25">
      <c r="X6625" s="8" t="e">
        <f>IF(Final_Sans_VGE[[#This Row],[ppn_z]]="","",IFERROR(
   IF(_xlfn.XLOOKUP(Final_Sans_VGE[[#This Row],[ppn_z]],tbl_Historique_Final[ppn_z],tbl_Historique_Final[date_modif])=Final_Sans_VGE[[#This Row],[date_modif]],
      "Ancien",
      "Modifié"),
   "Nouveau"))</f>
        <v>#VALUE!</v>
      </c>
      <c r="AD6625" s="1" t="str">
        <f>IFERROR(IF(Final_Sans_VGE[[#This Row],[ppn_z]]="","",IFERROR(
   IF(_xlfn.XLOOKUP(Final_Sans_VGE[[#This Row],[ppn_z]],tbl_Historique_Final[[#This Row],[ppn_z]],tbl_Historique_Final[[#This Row],[date_modif]])=Final_Sans_VGE[[#This Row],[date_modif]],
      "Ancien",
      "Modifié"),
   "Nouveau")),"")</f>
        <v/>
      </c>
    </row>
    <row r="6626" spans="24:30" x14ac:dyDescent="0.25">
      <c r="X6626" s="8" t="e">
        <f>IF(Final_Sans_VGE[[#This Row],[ppn_z]]="","",IFERROR(
   IF(_xlfn.XLOOKUP(Final_Sans_VGE[[#This Row],[ppn_z]],tbl_Historique_Final[ppn_z],tbl_Historique_Final[date_modif])=Final_Sans_VGE[[#This Row],[date_modif]],
      "Ancien",
      "Modifié"),
   "Nouveau"))</f>
        <v>#VALUE!</v>
      </c>
      <c r="AD6626" s="1" t="str">
        <f>IFERROR(IF(Final_Sans_VGE[[#This Row],[ppn_z]]="","",IFERROR(
   IF(_xlfn.XLOOKUP(Final_Sans_VGE[[#This Row],[ppn_z]],tbl_Historique_Final[[#This Row],[ppn_z]],tbl_Historique_Final[[#This Row],[date_modif]])=Final_Sans_VGE[[#This Row],[date_modif]],
      "Ancien",
      "Modifié"),
   "Nouveau")),"")</f>
        <v/>
      </c>
    </row>
    <row r="6627" spans="24:30" x14ac:dyDescent="0.25">
      <c r="X6627" s="8" t="e">
        <f>IF(Final_Sans_VGE[[#This Row],[ppn_z]]="","",IFERROR(
   IF(_xlfn.XLOOKUP(Final_Sans_VGE[[#This Row],[ppn_z]],tbl_Historique_Final[ppn_z],tbl_Historique_Final[date_modif])=Final_Sans_VGE[[#This Row],[date_modif]],
      "Ancien",
      "Modifié"),
   "Nouveau"))</f>
        <v>#VALUE!</v>
      </c>
      <c r="AD6627" s="1" t="str">
        <f>IFERROR(IF(Final_Sans_VGE[[#This Row],[ppn_z]]="","",IFERROR(
   IF(_xlfn.XLOOKUP(Final_Sans_VGE[[#This Row],[ppn_z]],tbl_Historique_Final[[#This Row],[ppn_z]],tbl_Historique_Final[[#This Row],[date_modif]])=Final_Sans_VGE[[#This Row],[date_modif]],
      "Ancien",
      "Modifié"),
   "Nouveau")),"")</f>
        <v/>
      </c>
    </row>
    <row r="6628" spans="24:30" x14ac:dyDescent="0.25">
      <c r="X6628" s="8" t="e">
        <f>IF(Final_Sans_VGE[[#This Row],[ppn_z]]="","",IFERROR(
   IF(_xlfn.XLOOKUP(Final_Sans_VGE[[#This Row],[ppn_z]],tbl_Historique_Final[ppn_z],tbl_Historique_Final[date_modif])=Final_Sans_VGE[[#This Row],[date_modif]],
      "Ancien",
      "Modifié"),
   "Nouveau"))</f>
        <v>#VALUE!</v>
      </c>
      <c r="AD6628" s="1" t="str">
        <f>IFERROR(IF(Final_Sans_VGE[[#This Row],[ppn_z]]="","",IFERROR(
   IF(_xlfn.XLOOKUP(Final_Sans_VGE[[#This Row],[ppn_z]],tbl_Historique_Final[[#This Row],[ppn_z]],tbl_Historique_Final[[#This Row],[date_modif]])=Final_Sans_VGE[[#This Row],[date_modif]],
      "Ancien",
      "Modifié"),
   "Nouveau")),"")</f>
        <v/>
      </c>
    </row>
    <row r="6629" spans="24:30" x14ac:dyDescent="0.25">
      <c r="X6629" s="8" t="e">
        <f>IF(Final_Sans_VGE[[#This Row],[ppn_z]]="","",IFERROR(
   IF(_xlfn.XLOOKUP(Final_Sans_VGE[[#This Row],[ppn_z]],tbl_Historique_Final[ppn_z],tbl_Historique_Final[date_modif])=Final_Sans_VGE[[#This Row],[date_modif]],
      "Ancien",
      "Modifié"),
   "Nouveau"))</f>
        <v>#VALUE!</v>
      </c>
      <c r="AD6629" s="1" t="str">
        <f>IFERROR(IF(Final_Sans_VGE[[#This Row],[ppn_z]]="","",IFERROR(
   IF(_xlfn.XLOOKUP(Final_Sans_VGE[[#This Row],[ppn_z]],tbl_Historique_Final[[#This Row],[ppn_z]],tbl_Historique_Final[[#This Row],[date_modif]])=Final_Sans_VGE[[#This Row],[date_modif]],
      "Ancien",
      "Modifié"),
   "Nouveau")),"")</f>
        <v/>
      </c>
    </row>
    <row r="6630" spans="24:30" x14ac:dyDescent="0.25">
      <c r="X6630" s="8" t="e">
        <f>IF(Final_Sans_VGE[[#This Row],[ppn_z]]="","",IFERROR(
   IF(_xlfn.XLOOKUP(Final_Sans_VGE[[#This Row],[ppn_z]],tbl_Historique_Final[ppn_z],tbl_Historique_Final[date_modif])=Final_Sans_VGE[[#This Row],[date_modif]],
      "Ancien",
      "Modifié"),
   "Nouveau"))</f>
        <v>#VALUE!</v>
      </c>
      <c r="AD6630" s="1" t="str">
        <f>IFERROR(IF(Final_Sans_VGE[[#This Row],[ppn_z]]="","",IFERROR(
   IF(_xlfn.XLOOKUP(Final_Sans_VGE[[#This Row],[ppn_z]],tbl_Historique_Final[[#This Row],[ppn_z]],tbl_Historique_Final[[#This Row],[date_modif]])=Final_Sans_VGE[[#This Row],[date_modif]],
      "Ancien",
      "Modifié"),
   "Nouveau")),"")</f>
        <v/>
      </c>
    </row>
    <row r="6631" spans="24:30" x14ac:dyDescent="0.25">
      <c r="X6631" s="8" t="e">
        <f>IF(Final_Sans_VGE[[#This Row],[ppn_z]]="","",IFERROR(
   IF(_xlfn.XLOOKUP(Final_Sans_VGE[[#This Row],[ppn_z]],tbl_Historique_Final[ppn_z],tbl_Historique_Final[date_modif])=Final_Sans_VGE[[#This Row],[date_modif]],
      "Ancien",
      "Modifié"),
   "Nouveau"))</f>
        <v>#VALUE!</v>
      </c>
      <c r="AD6631" s="1" t="str">
        <f>IFERROR(IF(Final_Sans_VGE[[#This Row],[ppn_z]]="","",IFERROR(
   IF(_xlfn.XLOOKUP(Final_Sans_VGE[[#This Row],[ppn_z]],tbl_Historique_Final[[#This Row],[ppn_z]],tbl_Historique_Final[[#This Row],[date_modif]])=Final_Sans_VGE[[#This Row],[date_modif]],
      "Ancien",
      "Modifié"),
   "Nouveau")),"")</f>
        <v/>
      </c>
    </row>
    <row r="6632" spans="24:30" x14ac:dyDescent="0.25">
      <c r="X6632" s="8" t="e">
        <f>IF(Final_Sans_VGE[[#This Row],[ppn_z]]="","",IFERROR(
   IF(_xlfn.XLOOKUP(Final_Sans_VGE[[#This Row],[ppn_z]],tbl_Historique_Final[ppn_z],tbl_Historique_Final[date_modif])=Final_Sans_VGE[[#This Row],[date_modif]],
      "Ancien",
      "Modifié"),
   "Nouveau"))</f>
        <v>#VALUE!</v>
      </c>
      <c r="AD6632" s="1" t="str">
        <f>IFERROR(IF(Final_Sans_VGE[[#This Row],[ppn_z]]="","",IFERROR(
   IF(_xlfn.XLOOKUP(Final_Sans_VGE[[#This Row],[ppn_z]],tbl_Historique_Final[[#This Row],[ppn_z]],tbl_Historique_Final[[#This Row],[date_modif]])=Final_Sans_VGE[[#This Row],[date_modif]],
      "Ancien",
      "Modifié"),
   "Nouveau")),"")</f>
        <v/>
      </c>
    </row>
    <row r="6633" spans="24:30" x14ac:dyDescent="0.25">
      <c r="X6633" s="8" t="e">
        <f>IF(Final_Sans_VGE[[#This Row],[ppn_z]]="","",IFERROR(
   IF(_xlfn.XLOOKUP(Final_Sans_VGE[[#This Row],[ppn_z]],tbl_Historique_Final[ppn_z],tbl_Historique_Final[date_modif])=Final_Sans_VGE[[#This Row],[date_modif]],
      "Ancien",
      "Modifié"),
   "Nouveau"))</f>
        <v>#VALUE!</v>
      </c>
      <c r="AD6633" s="1" t="str">
        <f>IFERROR(IF(Final_Sans_VGE[[#This Row],[ppn_z]]="","",IFERROR(
   IF(_xlfn.XLOOKUP(Final_Sans_VGE[[#This Row],[ppn_z]],tbl_Historique_Final[[#This Row],[ppn_z]],tbl_Historique_Final[[#This Row],[date_modif]])=Final_Sans_VGE[[#This Row],[date_modif]],
      "Ancien",
      "Modifié"),
   "Nouveau")),"")</f>
        <v/>
      </c>
    </row>
    <row r="6634" spans="24:30" x14ac:dyDescent="0.25">
      <c r="X6634" s="8" t="e">
        <f>IF(Final_Sans_VGE[[#This Row],[ppn_z]]="","",IFERROR(
   IF(_xlfn.XLOOKUP(Final_Sans_VGE[[#This Row],[ppn_z]],tbl_Historique_Final[ppn_z],tbl_Historique_Final[date_modif])=Final_Sans_VGE[[#This Row],[date_modif]],
      "Ancien",
      "Modifié"),
   "Nouveau"))</f>
        <v>#VALUE!</v>
      </c>
      <c r="AD6634" s="1" t="str">
        <f>IFERROR(IF(Final_Sans_VGE[[#This Row],[ppn_z]]="","",IFERROR(
   IF(_xlfn.XLOOKUP(Final_Sans_VGE[[#This Row],[ppn_z]],tbl_Historique_Final[[#This Row],[ppn_z]],tbl_Historique_Final[[#This Row],[date_modif]])=Final_Sans_VGE[[#This Row],[date_modif]],
      "Ancien",
      "Modifié"),
   "Nouveau")),"")</f>
        <v/>
      </c>
    </row>
    <row r="6635" spans="24:30" x14ac:dyDescent="0.25">
      <c r="X6635" s="8" t="e">
        <f>IF(Final_Sans_VGE[[#This Row],[ppn_z]]="","",IFERROR(
   IF(_xlfn.XLOOKUP(Final_Sans_VGE[[#This Row],[ppn_z]],tbl_Historique_Final[ppn_z],tbl_Historique_Final[date_modif])=Final_Sans_VGE[[#This Row],[date_modif]],
      "Ancien",
      "Modifié"),
   "Nouveau"))</f>
        <v>#VALUE!</v>
      </c>
      <c r="AD6635" s="1" t="str">
        <f>IFERROR(IF(Final_Sans_VGE[[#This Row],[ppn_z]]="","",IFERROR(
   IF(_xlfn.XLOOKUP(Final_Sans_VGE[[#This Row],[ppn_z]],tbl_Historique_Final[[#This Row],[ppn_z]],tbl_Historique_Final[[#This Row],[date_modif]])=Final_Sans_VGE[[#This Row],[date_modif]],
      "Ancien",
      "Modifié"),
   "Nouveau")),"")</f>
        <v/>
      </c>
    </row>
    <row r="6636" spans="24:30" x14ac:dyDescent="0.25">
      <c r="X6636" s="8" t="e">
        <f>IF(Final_Sans_VGE[[#This Row],[ppn_z]]="","",IFERROR(
   IF(_xlfn.XLOOKUP(Final_Sans_VGE[[#This Row],[ppn_z]],tbl_Historique_Final[ppn_z],tbl_Historique_Final[date_modif])=Final_Sans_VGE[[#This Row],[date_modif]],
      "Ancien",
      "Modifié"),
   "Nouveau"))</f>
        <v>#VALUE!</v>
      </c>
      <c r="AD6636" s="1" t="str">
        <f>IFERROR(IF(Final_Sans_VGE[[#This Row],[ppn_z]]="","",IFERROR(
   IF(_xlfn.XLOOKUP(Final_Sans_VGE[[#This Row],[ppn_z]],tbl_Historique_Final[[#This Row],[ppn_z]],tbl_Historique_Final[[#This Row],[date_modif]])=Final_Sans_VGE[[#This Row],[date_modif]],
      "Ancien",
      "Modifié"),
   "Nouveau")),"")</f>
        <v/>
      </c>
    </row>
    <row r="6637" spans="24:30" x14ac:dyDescent="0.25">
      <c r="X6637" s="8" t="e">
        <f>IF(Final_Sans_VGE[[#This Row],[ppn_z]]="","",IFERROR(
   IF(_xlfn.XLOOKUP(Final_Sans_VGE[[#This Row],[ppn_z]],tbl_Historique_Final[ppn_z],tbl_Historique_Final[date_modif])=Final_Sans_VGE[[#This Row],[date_modif]],
      "Ancien",
      "Modifié"),
   "Nouveau"))</f>
        <v>#VALUE!</v>
      </c>
      <c r="AD6637" s="1" t="str">
        <f>IFERROR(IF(Final_Sans_VGE[[#This Row],[ppn_z]]="","",IFERROR(
   IF(_xlfn.XLOOKUP(Final_Sans_VGE[[#This Row],[ppn_z]],tbl_Historique_Final[[#This Row],[ppn_z]],tbl_Historique_Final[[#This Row],[date_modif]])=Final_Sans_VGE[[#This Row],[date_modif]],
      "Ancien",
      "Modifié"),
   "Nouveau")),"")</f>
        <v/>
      </c>
    </row>
    <row r="6638" spans="24:30" x14ac:dyDescent="0.25">
      <c r="X6638" s="8" t="e">
        <f>IF(Final_Sans_VGE[[#This Row],[ppn_z]]="","",IFERROR(
   IF(_xlfn.XLOOKUP(Final_Sans_VGE[[#This Row],[ppn_z]],tbl_Historique_Final[ppn_z],tbl_Historique_Final[date_modif])=Final_Sans_VGE[[#This Row],[date_modif]],
      "Ancien",
      "Modifié"),
   "Nouveau"))</f>
        <v>#VALUE!</v>
      </c>
      <c r="AD6638" s="1" t="str">
        <f>IFERROR(IF(Final_Sans_VGE[[#This Row],[ppn_z]]="","",IFERROR(
   IF(_xlfn.XLOOKUP(Final_Sans_VGE[[#This Row],[ppn_z]],tbl_Historique_Final[[#This Row],[ppn_z]],tbl_Historique_Final[[#This Row],[date_modif]])=Final_Sans_VGE[[#This Row],[date_modif]],
      "Ancien",
      "Modifié"),
   "Nouveau")),"")</f>
        <v/>
      </c>
    </row>
    <row r="6639" spans="24:30" x14ac:dyDescent="0.25">
      <c r="X6639" s="8" t="e">
        <f>IF(Final_Sans_VGE[[#This Row],[ppn_z]]="","",IFERROR(
   IF(_xlfn.XLOOKUP(Final_Sans_VGE[[#This Row],[ppn_z]],tbl_Historique_Final[ppn_z],tbl_Historique_Final[date_modif])=Final_Sans_VGE[[#This Row],[date_modif]],
      "Ancien",
      "Modifié"),
   "Nouveau"))</f>
        <v>#VALUE!</v>
      </c>
      <c r="AD6639" s="1" t="str">
        <f>IFERROR(IF(Final_Sans_VGE[[#This Row],[ppn_z]]="","",IFERROR(
   IF(_xlfn.XLOOKUP(Final_Sans_VGE[[#This Row],[ppn_z]],tbl_Historique_Final[[#This Row],[ppn_z]],tbl_Historique_Final[[#This Row],[date_modif]])=Final_Sans_VGE[[#This Row],[date_modif]],
      "Ancien",
      "Modifié"),
   "Nouveau")),"")</f>
        <v/>
      </c>
    </row>
    <row r="6640" spans="24:30" x14ac:dyDescent="0.25">
      <c r="X6640" s="8" t="e">
        <f>IF(Final_Sans_VGE[[#This Row],[ppn_z]]="","",IFERROR(
   IF(_xlfn.XLOOKUP(Final_Sans_VGE[[#This Row],[ppn_z]],tbl_Historique_Final[ppn_z],tbl_Historique_Final[date_modif])=Final_Sans_VGE[[#This Row],[date_modif]],
      "Ancien",
      "Modifié"),
   "Nouveau"))</f>
        <v>#VALUE!</v>
      </c>
      <c r="AD6640" s="1" t="str">
        <f>IFERROR(IF(Final_Sans_VGE[[#This Row],[ppn_z]]="","",IFERROR(
   IF(_xlfn.XLOOKUP(Final_Sans_VGE[[#This Row],[ppn_z]],tbl_Historique_Final[[#This Row],[ppn_z]],tbl_Historique_Final[[#This Row],[date_modif]])=Final_Sans_VGE[[#This Row],[date_modif]],
      "Ancien",
      "Modifié"),
   "Nouveau")),"")</f>
        <v/>
      </c>
    </row>
    <row r="6641" spans="24:30" x14ac:dyDescent="0.25">
      <c r="X6641" s="8" t="e">
        <f>IF(Final_Sans_VGE[[#This Row],[ppn_z]]="","",IFERROR(
   IF(_xlfn.XLOOKUP(Final_Sans_VGE[[#This Row],[ppn_z]],tbl_Historique_Final[ppn_z],tbl_Historique_Final[date_modif])=Final_Sans_VGE[[#This Row],[date_modif]],
      "Ancien",
      "Modifié"),
   "Nouveau"))</f>
        <v>#VALUE!</v>
      </c>
      <c r="AD6641" s="1" t="str">
        <f>IFERROR(IF(Final_Sans_VGE[[#This Row],[ppn_z]]="","",IFERROR(
   IF(_xlfn.XLOOKUP(Final_Sans_VGE[[#This Row],[ppn_z]],tbl_Historique_Final[[#This Row],[ppn_z]],tbl_Historique_Final[[#This Row],[date_modif]])=Final_Sans_VGE[[#This Row],[date_modif]],
      "Ancien",
      "Modifié"),
   "Nouveau")),"")</f>
        <v/>
      </c>
    </row>
    <row r="6642" spans="24:30" x14ac:dyDescent="0.25">
      <c r="X6642" s="8" t="e">
        <f>IF(Final_Sans_VGE[[#This Row],[ppn_z]]="","",IFERROR(
   IF(_xlfn.XLOOKUP(Final_Sans_VGE[[#This Row],[ppn_z]],tbl_Historique_Final[ppn_z],tbl_Historique_Final[date_modif])=Final_Sans_VGE[[#This Row],[date_modif]],
      "Ancien",
      "Modifié"),
   "Nouveau"))</f>
        <v>#VALUE!</v>
      </c>
      <c r="AD6642" s="1" t="str">
        <f>IFERROR(IF(Final_Sans_VGE[[#This Row],[ppn_z]]="","",IFERROR(
   IF(_xlfn.XLOOKUP(Final_Sans_VGE[[#This Row],[ppn_z]],tbl_Historique_Final[[#This Row],[ppn_z]],tbl_Historique_Final[[#This Row],[date_modif]])=Final_Sans_VGE[[#This Row],[date_modif]],
      "Ancien",
      "Modifié"),
   "Nouveau")),"")</f>
        <v/>
      </c>
    </row>
    <row r="6643" spans="24:30" x14ac:dyDescent="0.25">
      <c r="X6643" s="8" t="e">
        <f>IF(Final_Sans_VGE[[#This Row],[ppn_z]]="","",IFERROR(
   IF(_xlfn.XLOOKUP(Final_Sans_VGE[[#This Row],[ppn_z]],tbl_Historique_Final[ppn_z],tbl_Historique_Final[date_modif])=Final_Sans_VGE[[#This Row],[date_modif]],
      "Ancien",
      "Modifié"),
   "Nouveau"))</f>
        <v>#VALUE!</v>
      </c>
      <c r="AD6643" s="1" t="str">
        <f>IFERROR(IF(Final_Sans_VGE[[#This Row],[ppn_z]]="","",IFERROR(
   IF(_xlfn.XLOOKUP(Final_Sans_VGE[[#This Row],[ppn_z]],tbl_Historique_Final[[#This Row],[ppn_z]],tbl_Historique_Final[[#This Row],[date_modif]])=Final_Sans_VGE[[#This Row],[date_modif]],
      "Ancien",
      "Modifié"),
   "Nouveau")),"")</f>
        <v/>
      </c>
    </row>
    <row r="6644" spans="24:30" x14ac:dyDescent="0.25">
      <c r="X6644" s="8" t="e">
        <f>IF(Final_Sans_VGE[[#This Row],[ppn_z]]="","",IFERROR(
   IF(_xlfn.XLOOKUP(Final_Sans_VGE[[#This Row],[ppn_z]],tbl_Historique_Final[ppn_z],tbl_Historique_Final[date_modif])=Final_Sans_VGE[[#This Row],[date_modif]],
      "Ancien",
      "Modifié"),
   "Nouveau"))</f>
        <v>#VALUE!</v>
      </c>
      <c r="AD6644" s="1" t="str">
        <f>IFERROR(IF(Final_Sans_VGE[[#This Row],[ppn_z]]="","",IFERROR(
   IF(_xlfn.XLOOKUP(Final_Sans_VGE[[#This Row],[ppn_z]],tbl_Historique_Final[[#This Row],[ppn_z]],tbl_Historique_Final[[#This Row],[date_modif]])=Final_Sans_VGE[[#This Row],[date_modif]],
      "Ancien",
      "Modifié"),
   "Nouveau")),"")</f>
        <v/>
      </c>
    </row>
    <row r="6645" spans="24:30" x14ac:dyDescent="0.25">
      <c r="X6645" s="8" t="e">
        <f>IF(Final_Sans_VGE[[#This Row],[ppn_z]]="","",IFERROR(
   IF(_xlfn.XLOOKUP(Final_Sans_VGE[[#This Row],[ppn_z]],tbl_Historique_Final[ppn_z],tbl_Historique_Final[date_modif])=Final_Sans_VGE[[#This Row],[date_modif]],
      "Ancien",
      "Modifié"),
   "Nouveau"))</f>
        <v>#VALUE!</v>
      </c>
      <c r="AD6645" s="1" t="str">
        <f>IFERROR(IF(Final_Sans_VGE[[#This Row],[ppn_z]]="","",IFERROR(
   IF(_xlfn.XLOOKUP(Final_Sans_VGE[[#This Row],[ppn_z]],tbl_Historique_Final[[#This Row],[ppn_z]],tbl_Historique_Final[[#This Row],[date_modif]])=Final_Sans_VGE[[#This Row],[date_modif]],
      "Ancien",
      "Modifié"),
   "Nouveau")),"")</f>
        <v/>
      </c>
    </row>
    <row r="6646" spans="24:30" x14ac:dyDescent="0.25">
      <c r="X6646" s="8" t="e">
        <f>IF(Final_Sans_VGE[[#This Row],[ppn_z]]="","",IFERROR(
   IF(_xlfn.XLOOKUP(Final_Sans_VGE[[#This Row],[ppn_z]],tbl_Historique_Final[ppn_z],tbl_Historique_Final[date_modif])=Final_Sans_VGE[[#This Row],[date_modif]],
      "Ancien",
      "Modifié"),
   "Nouveau"))</f>
        <v>#VALUE!</v>
      </c>
      <c r="AD6646" s="1" t="str">
        <f>IFERROR(IF(Final_Sans_VGE[[#This Row],[ppn_z]]="","",IFERROR(
   IF(_xlfn.XLOOKUP(Final_Sans_VGE[[#This Row],[ppn_z]],tbl_Historique_Final[[#This Row],[ppn_z]],tbl_Historique_Final[[#This Row],[date_modif]])=Final_Sans_VGE[[#This Row],[date_modif]],
      "Ancien",
      "Modifié"),
   "Nouveau")),"")</f>
        <v/>
      </c>
    </row>
    <row r="6647" spans="24:30" x14ac:dyDescent="0.25">
      <c r="X6647" s="8" t="e">
        <f>IF(Final_Sans_VGE[[#This Row],[ppn_z]]="","",IFERROR(
   IF(_xlfn.XLOOKUP(Final_Sans_VGE[[#This Row],[ppn_z]],tbl_Historique_Final[ppn_z],tbl_Historique_Final[date_modif])=Final_Sans_VGE[[#This Row],[date_modif]],
      "Ancien",
      "Modifié"),
   "Nouveau"))</f>
        <v>#VALUE!</v>
      </c>
      <c r="AD6647" s="1" t="str">
        <f>IFERROR(IF(Final_Sans_VGE[[#This Row],[ppn_z]]="","",IFERROR(
   IF(_xlfn.XLOOKUP(Final_Sans_VGE[[#This Row],[ppn_z]],tbl_Historique_Final[[#This Row],[ppn_z]],tbl_Historique_Final[[#This Row],[date_modif]])=Final_Sans_VGE[[#This Row],[date_modif]],
      "Ancien",
      "Modifié"),
   "Nouveau")),"")</f>
        <v/>
      </c>
    </row>
    <row r="6648" spans="24:30" x14ac:dyDescent="0.25">
      <c r="X6648" s="8" t="e">
        <f>IF(Final_Sans_VGE[[#This Row],[ppn_z]]="","",IFERROR(
   IF(_xlfn.XLOOKUP(Final_Sans_VGE[[#This Row],[ppn_z]],tbl_Historique_Final[ppn_z],tbl_Historique_Final[date_modif])=Final_Sans_VGE[[#This Row],[date_modif]],
      "Ancien",
      "Modifié"),
   "Nouveau"))</f>
        <v>#VALUE!</v>
      </c>
      <c r="AD6648" s="1" t="str">
        <f>IFERROR(IF(Final_Sans_VGE[[#This Row],[ppn_z]]="","",IFERROR(
   IF(_xlfn.XLOOKUP(Final_Sans_VGE[[#This Row],[ppn_z]],tbl_Historique_Final[[#This Row],[ppn_z]],tbl_Historique_Final[[#This Row],[date_modif]])=Final_Sans_VGE[[#This Row],[date_modif]],
      "Ancien",
      "Modifié"),
   "Nouveau")),"")</f>
        <v/>
      </c>
    </row>
    <row r="6649" spans="24:30" x14ac:dyDescent="0.25">
      <c r="X6649" s="8" t="e">
        <f>IF(Final_Sans_VGE[[#This Row],[ppn_z]]="","",IFERROR(
   IF(_xlfn.XLOOKUP(Final_Sans_VGE[[#This Row],[ppn_z]],tbl_Historique_Final[ppn_z],tbl_Historique_Final[date_modif])=Final_Sans_VGE[[#This Row],[date_modif]],
      "Ancien",
      "Modifié"),
   "Nouveau"))</f>
        <v>#VALUE!</v>
      </c>
      <c r="AD6649" s="1" t="str">
        <f>IFERROR(IF(Final_Sans_VGE[[#This Row],[ppn_z]]="","",IFERROR(
   IF(_xlfn.XLOOKUP(Final_Sans_VGE[[#This Row],[ppn_z]],tbl_Historique_Final[[#This Row],[ppn_z]],tbl_Historique_Final[[#This Row],[date_modif]])=Final_Sans_VGE[[#This Row],[date_modif]],
      "Ancien",
      "Modifié"),
   "Nouveau")),"")</f>
        <v/>
      </c>
    </row>
    <row r="6650" spans="24:30" x14ac:dyDescent="0.25">
      <c r="X6650" s="8" t="e">
        <f>IF(Final_Sans_VGE[[#This Row],[ppn_z]]="","",IFERROR(
   IF(_xlfn.XLOOKUP(Final_Sans_VGE[[#This Row],[ppn_z]],tbl_Historique_Final[ppn_z],tbl_Historique_Final[date_modif])=Final_Sans_VGE[[#This Row],[date_modif]],
      "Ancien",
      "Modifié"),
   "Nouveau"))</f>
        <v>#VALUE!</v>
      </c>
      <c r="AD6650" s="1" t="str">
        <f>IFERROR(IF(Final_Sans_VGE[[#This Row],[ppn_z]]="","",IFERROR(
   IF(_xlfn.XLOOKUP(Final_Sans_VGE[[#This Row],[ppn_z]],tbl_Historique_Final[[#This Row],[ppn_z]],tbl_Historique_Final[[#This Row],[date_modif]])=Final_Sans_VGE[[#This Row],[date_modif]],
      "Ancien",
      "Modifié"),
   "Nouveau")),"")</f>
        <v/>
      </c>
    </row>
    <row r="6651" spans="24:30" x14ac:dyDescent="0.25">
      <c r="X6651" s="8" t="e">
        <f>IF(Final_Sans_VGE[[#This Row],[ppn_z]]="","",IFERROR(
   IF(_xlfn.XLOOKUP(Final_Sans_VGE[[#This Row],[ppn_z]],tbl_Historique_Final[ppn_z],tbl_Historique_Final[date_modif])=Final_Sans_VGE[[#This Row],[date_modif]],
      "Ancien",
      "Modifié"),
   "Nouveau"))</f>
        <v>#VALUE!</v>
      </c>
      <c r="AD6651" s="1" t="str">
        <f>IFERROR(IF(Final_Sans_VGE[[#This Row],[ppn_z]]="","",IFERROR(
   IF(_xlfn.XLOOKUP(Final_Sans_VGE[[#This Row],[ppn_z]],tbl_Historique_Final[[#This Row],[ppn_z]],tbl_Historique_Final[[#This Row],[date_modif]])=Final_Sans_VGE[[#This Row],[date_modif]],
      "Ancien",
      "Modifié"),
   "Nouveau")),"")</f>
        <v/>
      </c>
    </row>
    <row r="6652" spans="24:30" x14ac:dyDescent="0.25">
      <c r="X6652" s="8" t="e">
        <f>IF(Final_Sans_VGE[[#This Row],[ppn_z]]="","",IFERROR(
   IF(_xlfn.XLOOKUP(Final_Sans_VGE[[#This Row],[ppn_z]],tbl_Historique_Final[ppn_z],tbl_Historique_Final[date_modif])=Final_Sans_VGE[[#This Row],[date_modif]],
      "Ancien",
      "Modifié"),
   "Nouveau"))</f>
        <v>#VALUE!</v>
      </c>
      <c r="AD6652" s="1" t="str">
        <f>IFERROR(IF(Final_Sans_VGE[[#This Row],[ppn_z]]="","",IFERROR(
   IF(_xlfn.XLOOKUP(Final_Sans_VGE[[#This Row],[ppn_z]],tbl_Historique_Final[[#This Row],[ppn_z]],tbl_Historique_Final[[#This Row],[date_modif]])=Final_Sans_VGE[[#This Row],[date_modif]],
      "Ancien",
      "Modifié"),
   "Nouveau")),"")</f>
        <v/>
      </c>
    </row>
    <row r="6653" spans="24:30" x14ac:dyDescent="0.25">
      <c r="X6653" s="8" t="e">
        <f>IF(Final_Sans_VGE[[#This Row],[ppn_z]]="","",IFERROR(
   IF(_xlfn.XLOOKUP(Final_Sans_VGE[[#This Row],[ppn_z]],tbl_Historique_Final[ppn_z],tbl_Historique_Final[date_modif])=Final_Sans_VGE[[#This Row],[date_modif]],
      "Ancien",
      "Modifié"),
   "Nouveau"))</f>
        <v>#VALUE!</v>
      </c>
      <c r="AD6653" s="1" t="str">
        <f>IFERROR(IF(Final_Sans_VGE[[#This Row],[ppn_z]]="","",IFERROR(
   IF(_xlfn.XLOOKUP(Final_Sans_VGE[[#This Row],[ppn_z]],tbl_Historique_Final[[#This Row],[ppn_z]],tbl_Historique_Final[[#This Row],[date_modif]])=Final_Sans_VGE[[#This Row],[date_modif]],
      "Ancien",
      "Modifié"),
   "Nouveau")),"")</f>
        <v/>
      </c>
    </row>
    <row r="6654" spans="24:30" x14ac:dyDescent="0.25">
      <c r="X6654" s="8" t="e">
        <f>IF(Final_Sans_VGE[[#This Row],[ppn_z]]="","",IFERROR(
   IF(_xlfn.XLOOKUP(Final_Sans_VGE[[#This Row],[ppn_z]],tbl_Historique_Final[ppn_z],tbl_Historique_Final[date_modif])=Final_Sans_VGE[[#This Row],[date_modif]],
      "Ancien",
      "Modifié"),
   "Nouveau"))</f>
        <v>#VALUE!</v>
      </c>
      <c r="AD6654" s="1" t="str">
        <f>IFERROR(IF(Final_Sans_VGE[[#This Row],[ppn_z]]="","",IFERROR(
   IF(_xlfn.XLOOKUP(Final_Sans_VGE[[#This Row],[ppn_z]],tbl_Historique_Final[[#This Row],[ppn_z]],tbl_Historique_Final[[#This Row],[date_modif]])=Final_Sans_VGE[[#This Row],[date_modif]],
      "Ancien",
      "Modifié"),
   "Nouveau")),"")</f>
        <v/>
      </c>
    </row>
    <row r="6655" spans="24:30" x14ac:dyDescent="0.25">
      <c r="X6655" s="8" t="e">
        <f>IF(Final_Sans_VGE[[#This Row],[ppn_z]]="","",IFERROR(
   IF(_xlfn.XLOOKUP(Final_Sans_VGE[[#This Row],[ppn_z]],tbl_Historique_Final[ppn_z],tbl_Historique_Final[date_modif])=Final_Sans_VGE[[#This Row],[date_modif]],
      "Ancien",
      "Modifié"),
   "Nouveau"))</f>
        <v>#VALUE!</v>
      </c>
      <c r="AD6655" s="1" t="str">
        <f>IFERROR(IF(Final_Sans_VGE[[#This Row],[ppn_z]]="","",IFERROR(
   IF(_xlfn.XLOOKUP(Final_Sans_VGE[[#This Row],[ppn_z]],tbl_Historique_Final[[#This Row],[ppn_z]],tbl_Historique_Final[[#This Row],[date_modif]])=Final_Sans_VGE[[#This Row],[date_modif]],
      "Ancien",
      "Modifié"),
   "Nouveau")),"")</f>
        <v/>
      </c>
    </row>
    <row r="6656" spans="24:30" x14ac:dyDescent="0.25">
      <c r="X6656" s="8" t="e">
        <f>IF(Final_Sans_VGE[[#This Row],[ppn_z]]="","",IFERROR(
   IF(_xlfn.XLOOKUP(Final_Sans_VGE[[#This Row],[ppn_z]],tbl_Historique_Final[ppn_z],tbl_Historique_Final[date_modif])=Final_Sans_VGE[[#This Row],[date_modif]],
      "Ancien",
      "Modifié"),
   "Nouveau"))</f>
        <v>#VALUE!</v>
      </c>
      <c r="AD6656" s="1" t="str">
        <f>IFERROR(IF(Final_Sans_VGE[[#This Row],[ppn_z]]="","",IFERROR(
   IF(_xlfn.XLOOKUP(Final_Sans_VGE[[#This Row],[ppn_z]],tbl_Historique_Final[[#This Row],[ppn_z]],tbl_Historique_Final[[#This Row],[date_modif]])=Final_Sans_VGE[[#This Row],[date_modif]],
      "Ancien",
      "Modifié"),
   "Nouveau")),"")</f>
        <v/>
      </c>
    </row>
    <row r="6657" spans="24:30" x14ac:dyDescent="0.25">
      <c r="X6657" s="8" t="e">
        <f>IF(Final_Sans_VGE[[#This Row],[ppn_z]]="","",IFERROR(
   IF(_xlfn.XLOOKUP(Final_Sans_VGE[[#This Row],[ppn_z]],tbl_Historique_Final[ppn_z],tbl_Historique_Final[date_modif])=Final_Sans_VGE[[#This Row],[date_modif]],
      "Ancien",
      "Modifié"),
   "Nouveau"))</f>
        <v>#VALUE!</v>
      </c>
      <c r="AD6657" s="1" t="str">
        <f>IFERROR(IF(Final_Sans_VGE[[#This Row],[ppn_z]]="","",IFERROR(
   IF(_xlfn.XLOOKUP(Final_Sans_VGE[[#This Row],[ppn_z]],tbl_Historique_Final[[#This Row],[ppn_z]],tbl_Historique_Final[[#This Row],[date_modif]])=Final_Sans_VGE[[#This Row],[date_modif]],
      "Ancien",
      "Modifié"),
   "Nouveau")),"")</f>
        <v/>
      </c>
    </row>
    <row r="6658" spans="24:30" x14ac:dyDescent="0.25">
      <c r="X6658" s="8" t="e">
        <f>IF(Final_Sans_VGE[[#This Row],[ppn_z]]="","",IFERROR(
   IF(_xlfn.XLOOKUP(Final_Sans_VGE[[#This Row],[ppn_z]],tbl_Historique_Final[ppn_z],tbl_Historique_Final[date_modif])=Final_Sans_VGE[[#This Row],[date_modif]],
      "Ancien",
      "Modifié"),
   "Nouveau"))</f>
        <v>#VALUE!</v>
      </c>
      <c r="AD6658" s="1" t="str">
        <f>IFERROR(IF(Final_Sans_VGE[[#This Row],[ppn_z]]="","",IFERROR(
   IF(_xlfn.XLOOKUP(Final_Sans_VGE[[#This Row],[ppn_z]],tbl_Historique_Final[[#This Row],[ppn_z]],tbl_Historique_Final[[#This Row],[date_modif]])=Final_Sans_VGE[[#This Row],[date_modif]],
      "Ancien",
      "Modifié"),
   "Nouveau")),"")</f>
        <v/>
      </c>
    </row>
    <row r="6659" spans="24:30" x14ac:dyDescent="0.25">
      <c r="X6659" s="8" t="e">
        <f>IF(Final_Sans_VGE[[#This Row],[ppn_z]]="","",IFERROR(
   IF(_xlfn.XLOOKUP(Final_Sans_VGE[[#This Row],[ppn_z]],tbl_Historique_Final[ppn_z],tbl_Historique_Final[date_modif])=Final_Sans_VGE[[#This Row],[date_modif]],
      "Ancien",
      "Modifié"),
   "Nouveau"))</f>
        <v>#VALUE!</v>
      </c>
      <c r="AD6659" s="1" t="str">
        <f>IFERROR(IF(Final_Sans_VGE[[#This Row],[ppn_z]]="","",IFERROR(
   IF(_xlfn.XLOOKUP(Final_Sans_VGE[[#This Row],[ppn_z]],tbl_Historique_Final[[#This Row],[ppn_z]],tbl_Historique_Final[[#This Row],[date_modif]])=Final_Sans_VGE[[#This Row],[date_modif]],
      "Ancien",
      "Modifié"),
   "Nouveau")),"")</f>
        <v/>
      </c>
    </row>
    <row r="6660" spans="24:30" x14ac:dyDescent="0.25">
      <c r="X6660" s="8" t="e">
        <f>IF(Final_Sans_VGE[[#This Row],[ppn_z]]="","",IFERROR(
   IF(_xlfn.XLOOKUP(Final_Sans_VGE[[#This Row],[ppn_z]],tbl_Historique_Final[ppn_z],tbl_Historique_Final[date_modif])=Final_Sans_VGE[[#This Row],[date_modif]],
      "Ancien",
      "Modifié"),
   "Nouveau"))</f>
        <v>#VALUE!</v>
      </c>
      <c r="AD6660" s="1" t="str">
        <f>IFERROR(IF(Final_Sans_VGE[[#This Row],[ppn_z]]="","",IFERROR(
   IF(_xlfn.XLOOKUP(Final_Sans_VGE[[#This Row],[ppn_z]],tbl_Historique_Final[[#This Row],[ppn_z]],tbl_Historique_Final[[#This Row],[date_modif]])=Final_Sans_VGE[[#This Row],[date_modif]],
      "Ancien",
      "Modifié"),
   "Nouveau")),"")</f>
        <v/>
      </c>
    </row>
    <row r="6661" spans="24:30" x14ac:dyDescent="0.25">
      <c r="X6661" s="8" t="e">
        <f>IF(Final_Sans_VGE[[#This Row],[ppn_z]]="","",IFERROR(
   IF(_xlfn.XLOOKUP(Final_Sans_VGE[[#This Row],[ppn_z]],tbl_Historique_Final[ppn_z],tbl_Historique_Final[date_modif])=Final_Sans_VGE[[#This Row],[date_modif]],
      "Ancien",
      "Modifié"),
   "Nouveau"))</f>
        <v>#VALUE!</v>
      </c>
      <c r="AD6661" s="1" t="str">
        <f>IFERROR(IF(Final_Sans_VGE[[#This Row],[ppn_z]]="","",IFERROR(
   IF(_xlfn.XLOOKUP(Final_Sans_VGE[[#This Row],[ppn_z]],tbl_Historique_Final[[#This Row],[ppn_z]],tbl_Historique_Final[[#This Row],[date_modif]])=Final_Sans_VGE[[#This Row],[date_modif]],
      "Ancien",
      "Modifié"),
   "Nouveau")),"")</f>
        <v/>
      </c>
    </row>
    <row r="6662" spans="24:30" x14ac:dyDescent="0.25">
      <c r="X6662" s="8" t="e">
        <f>IF(Final_Sans_VGE[[#This Row],[ppn_z]]="","",IFERROR(
   IF(_xlfn.XLOOKUP(Final_Sans_VGE[[#This Row],[ppn_z]],tbl_Historique_Final[ppn_z],tbl_Historique_Final[date_modif])=Final_Sans_VGE[[#This Row],[date_modif]],
      "Ancien",
      "Modifié"),
   "Nouveau"))</f>
        <v>#VALUE!</v>
      </c>
      <c r="AD6662" s="1" t="str">
        <f>IFERROR(IF(Final_Sans_VGE[[#This Row],[ppn_z]]="","",IFERROR(
   IF(_xlfn.XLOOKUP(Final_Sans_VGE[[#This Row],[ppn_z]],tbl_Historique_Final[[#This Row],[ppn_z]],tbl_Historique_Final[[#This Row],[date_modif]])=Final_Sans_VGE[[#This Row],[date_modif]],
      "Ancien",
      "Modifié"),
   "Nouveau")),"")</f>
        <v/>
      </c>
    </row>
    <row r="6663" spans="24:30" x14ac:dyDescent="0.25">
      <c r="X6663" s="8" t="e">
        <f>IF(Final_Sans_VGE[[#This Row],[ppn_z]]="","",IFERROR(
   IF(_xlfn.XLOOKUP(Final_Sans_VGE[[#This Row],[ppn_z]],tbl_Historique_Final[ppn_z],tbl_Historique_Final[date_modif])=Final_Sans_VGE[[#This Row],[date_modif]],
      "Ancien",
      "Modifié"),
   "Nouveau"))</f>
        <v>#VALUE!</v>
      </c>
      <c r="AD6663" s="1" t="str">
        <f>IFERROR(IF(Final_Sans_VGE[[#This Row],[ppn_z]]="","",IFERROR(
   IF(_xlfn.XLOOKUP(Final_Sans_VGE[[#This Row],[ppn_z]],tbl_Historique_Final[[#This Row],[ppn_z]],tbl_Historique_Final[[#This Row],[date_modif]])=Final_Sans_VGE[[#This Row],[date_modif]],
      "Ancien",
      "Modifié"),
   "Nouveau")),"")</f>
        <v/>
      </c>
    </row>
    <row r="6664" spans="24:30" x14ac:dyDescent="0.25">
      <c r="X6664" s="8" t="e">
        <f>IF(Final_Sans_VGE[[#This Row],[ppn_z]]="","",IFERROR(
   IF(_xlfn.XLOOKUP(Final_Sans_VGE[[#This Row],[ppn_z]],tbl_Historique_Final[ppn_z],tbl_Historique_Final[date_modif])=Final_Sans_VGE[[#This Row],[date_modif]],
      "Ancien",
      "Modifié"),
   "Nouveau"))</f>
        <v>#VALUE!</v>
      </c>
      <c r="AD6664" s="1" t="str">
        <f>IFERROR(IF(Final_Sans_VGE[[#This Row],[ppn_z]]="","",IFERROR(
   IF(_xlfn.XLOOKUP(Final_Sans_VGE[[#This Row],[ppn_z]],tbl_Historique_Final[[#This Row],[ppn_z]],tbl_Historique_Final[[#This Row],[date_modif]])=Final_Sans_VGE[[#This Row],[date_modif]],
      "Ancien",
      "Modifié"),
   "Nouveau")),"")</f>
        <v/>
      </c>
    </row>
    <row r="6665" spans="24:30" x14ac:dyDescent="0.25">
      <c r="X6665" s="8" t="e">
        <f>IF(Final_Sans_VGE[[#This Row],[ppn_z]]="","",IFERROR(
   IF(_xlfn.XLOOKUP(Final_Sans_VGE[[#This Row],[ppn_z]],tbl_Historique_Final[ppn_z],tbl_Historique_Final[date_modif])=Final_Sans_VGE[[#This Row],[date_modif]],
      "Ancien",
      "Modifié"),
   "Nouveau"))</f>
        <v>#VALUE!</v>
      </c>
      <c r="AD6665" s="1" t="str">
        <f>IFERROR(IF(Final_Sans_VGE[[#This Row],[ppn_z]]="","",IFERROR(
   IF(_xlfn.XLOOKUP(Final_Sans_VGE[[#This Row],[ppn_z]],tbl_Historique_Final[[#This Row],[ppn_z]],tbl_Historique_Final[[#This Row],[date_modif]])=Final_Sans_VGE[[#This Row],[date_modif]],
      "Ancien",
      "Modifié"),
   "Nouveau")),"")</f>
        <v/>
      </c>
    </row>
    <row r="6666" spans="24:30" x14ac:dyDescent="0.25">
      <c r="X6666" s="8" t="e">
        <f>IF(Final_Sans_VGE[[#This Row],[ppn_z]]="","",IFERROR(
   IF(_xlfn.XLOOKUP(Final_Sans_VGE[[#This Row],[ppn_z]],tbl_Historique_Final[ppn_z],tbl_Historique_Final[date_modif])=Final_Sans_VGE[[#This Row],[date_modif]],
      "Ancien",
      "Modifié"),
   "Nouveau"))</f>
        <v>#VALUE!</v>
      </c>
      <c r="AD6666" s="1" t="str">
        <f>IFERROR(IF(Final_Sans_VGE[[#This Row],[ppn_z]]="","",IFERROR(
   IF(_xlfn.XLOOKUP(Final_Sans_VGE[[#This Row],[ppn_z]],tbl_Historique_Final[[#This Row],[ppn_z]],tbl_Historique_Final[[#This Row],[date_modif]])=Final_Sans_VGE[[#This Row],[date_modif]],
      "Ancien",
      "Modifié"),
   "Nouveau")),"")</f>
        <v/>
      </c>
    </row>
    <row r="6667" spans="24:30" x14ac:dyDescent="0.25">
      <c r="X6667" s="8" t="e">
        <f>IF(Final_Sans_VGE[[#This Row],[ppn_z]]="","",IFERROR(
   IF(_xlfn.XLOOKUP(Final_Sans_VGE[[#This Row],[ppn_z]],tbl_Historique_Final[ppn_z],tbl_Historique_Final[date_modif])=Final_Sans_VGE[[#This Row],[date_modif]],
      "Ancien",
      "Modifié"),
   "Nouveau"))</f>
        <v>#VALUE!</v>
      </c>
      <c r="AD6667" s="1" t="str">
        <f>IFERROR(IF(Final_Sans_VGE[[#This Row],[ppn_z]]="","",IFERROR(
   IF(_xlfn.XLOOKUP(Final_Sans_VGE[[#This Row],[ppn_z]],tbl_Historique_Final[[#This Row],[ppn_z]],tbl_Historique_Final[[#This Row],[date_modif]])=Final_Sans_VGE[[#This Row],[date_modif]],
      "Ancien",
      "Modifié"),
   "Nouveau")),"")</f>
        <v/>
      </c>
    </row>
    <row r="6668" spans="24:30" x14ac:dyDescent="0.25">
      <c r="X6668" s="8" t="e">
        <f>IF(Final_Sans_VGE[[#This Row],[ppn_z]]="","",IFERROR(
   IF(_xlfn.XLOOKUP(Final_Sans_VGE[[#This Row],[ppn_z]],tbl_Historique_Final[ppn_z],tbl_Historique_Final[date_modif])=Final_Sans_VGE[[#This Row],[date_modif]],
      "Ancien",
      "Modifié"),
   "Nouveau"))</f>
        <v>#VALUE!</v>
      </c>
      <c r="AD6668" s="1" t="str">
        <f>IFERROR(IF(Final_Sans_VGE[[#This Row],[ppn_z]]="","",IFERROR(
   IF(_xlfn.XLOOKUP(Final_Sans_VGE[[#This Row],[ppn_z]],tbl_Historique_Final[[#This Row],[ppn_z]],tbl_Historique_Final[[#This Row],[date_modif]])=Final_Sans_VGE[[#This Row],[date_modif]],
      "Ancien",
      "Modifié"),
   "Nouveau")),"")</f>
        <v/>
      </c>
    </row>
    <row r="6669" spans="24:30" x14ac:dyDescent="0.25">
      <c r="X6669" s="8" t="e">
        <f>IF(Final_Sans_VGE[[#This Row],[ppn_z]]="","",IFERROR(
   IF(_xlfn.XLOOKUP(Final_Sans_VGE[[#This Row],[ppn_z]],tbl_Historique_Final[ppn_z],tbl_Historique_Final[date_modif])=Final_Sans_VGE[[#This Row],[date_modif]],
      "Ancien",
      "Modifié"),
   "Nouveau"))</f>
        <v>#VALUE!</v>
      </c>
      <c r="AD6669" s="1" t="str">
        <f>IFERROR(IF(Final_Sans_VGE[[#This Row],[ppn_z]]="","",IFERROR(
   IF(_xlfn.XLOOKUP(Final_Sans_VGE[[#This Row],[ppn_z]],tbl_Historique_Final[[#This Row],[ppn_z]],tbl_Historique_Final[[#This Row],[date_modif]])=Final_Sans_VGE[[#This Row],[date_modif]],
      "Ancien",
      "Modifié"),
   "Nouveau")),"")</f>
        <v/>
      </c>
    </row>
    <row r="6670" spans="24:30" x14ac:dyDescent="0.25">
      <c r="X6670" s="8" t="e">
        <f>IF(Final_Sans_VGE[[#This Row],[ppn_z]]="","",IFERROR(
   IF(_xlfn.XLOOKUP(Final_Sans_VGE[[#This Row],[ppn_z]],tbl_Historique_Final[ppn_z],tbl_Historique_Final[date_modif])=Final_Sans_VGE[[#This Row],[date_modif]],
      "Ancien",
      "Modifié"),
   "Nouveau"))</f>
        <v>#VALUE!</v>
      </c>
      <c r="AD6670" s="1" t="str">
        <f>IFERROR(IF(Final_Sans_VGE[[#This Row],[ppn_z]]="","",IFERROR(
   IF(_xlfn.XLOOKUP(Final_Sans_VGE[[#This Row],[ppn_z]],tbl_Historique_Final[[#This Row],[ppn_z]],tbl_Historique_Final[[#This Row],[date_modif]])=Final_Sans_VGE[[#This Row],[date_modif]],
      "Ancien",
      "Modifié"),
   "Nouveau")),"")</f>
        <v/>
      </c>
    </row>
    <row r="6671" spans="24:30" x14ac:dyDescent="0.25">
      <c r="X6671" s="8" t="e">
        <f>IF(Final_Sans_VGE[[#This Row],[ppn_z]]="","",IFERROR(
   IF(_xlfn.XLOOKUP(Final_Sans_VGE[[#This Row],[ppn_z]],tbl_Historique_Final[ppn_z],tbl_Historique_Final[date_modif])=Final_Sans_VGE[[#This Row],[date_modif]],
      "Ancien",
      "Modifié"),
   "Nouveau"))</f>
        <v>#VALUE!</v>
      </c>
      <c r="AD6671" s="1" t="str">
        <f>IFERROR(IF(Final_Sans_VGE[[#This Row],[ppn_z]]="","",IFERROR(
   IF(_xlfn.XLOOKUP(Final_Sans_VGE[[#This Row],[ppn_z]],tbl_Historique_Final[[#This Row],[ppn_z]],tbl_Historique_Final[[#This Row],[date_modif]])=Final_Sans_VGE[[#This Row],[date_modif]],
      "Ancien",
      "Modifié"),
   "Nouveau")),"")</f>
        <v/>
      </c>
    </row>
    <row r="6672" spans="24:30" x14ac:dyDescent="0.25">
      <c r="X6672" s="8" t="e">
        <f>IF(Final_Sans_VGE[[#This Row],[ppn_z]]="","",IFERROR(
   IF(_xlfn.XLOOKUP(Final_Sans_VGE[[#This Row],[ppn_z]],tbl_Historique_Final[ppn_z],tbl_Historique_Final[date_modif])=Final_Sans_VGE[[#This Row],[date_modif]],
      "Ancien",
      "Modifié"),
   "Nouveau"))</f>
        <v>#VALUE!</v>
      </c>
      <c r="AD6672" s="1" t="str">
        <f>IFERROR(IF(Final_Sans_VGE[[#This Row],[ppn_z]]="","",IFERROR(
   IF(_xlfn.XLOOKUP(Final_Sans_VGE[[#This Row],[ppn_z]],tbl_Historique_Final[[#This Row],[ppn_z]],tbl_Historique_Final[[#This Row],[date_modif]])=Final_Sans_VGE[[#This Row],[date_modif]],
      "Ancien",
      "Modifié"),
   "Nouveau")),"")</f>
        <v/>
      </c>
    </row>
    <row r="6673" spans="24:30" x14ac:dyDescent="0.25">
      <c r="X6673" s="8" t="e">
        <f>IF(Final_Sans_VGE[[#This Row],[ppn_z]]="","",IFERROR(
   IF(_xlfn.XLOOKUP(Final_Sans_VGE[[#This Row],[ppn_z]],tbl_Historique_Final[ppn_z],tbl_Historique_Final[date_modif])=Final_Sans_VGE[[#This Row],[date_modif]],
      "Ancien",
      "Modifié"),
   "Nouveau"))</f>
        <v>#VALUE!</v>
      </c>
      <c r="AD6673" s="1" t="str">
        <f>IFERROR(IF(Final_Sans_VGE[[#This Row],[ppn_z]]="","",IFERROR(
   IF(_xlfn.XLOOKUP(Final_Sans_VGE[[#This Row],[ppn_z]],tbl_Historique_Final[[#This Row],[ppn_z]],tbl_Historique_Final[[#This Row],[date_modif]])=Final_Sans_VGE[[#This Row],[date_modif]],
      "Ancien",
      "Modifié"),
   "Nouveau")),"")</f>
        <v/>
      </c>
    </row>
    <row r="6674" spans="24:30" x14ac:dyDescent="0.25">
      <c r="X6674" s="8" t="e">
        <f>IF(Final_Sans_VGE[[#This Row],[ppn_z]]="","",IFERROR(
   IF(_xlfn.XLOOKUP(Final_Sans_VGE[[#This Row],[ppn_z]],tbl_Historique_Final[ppn_z],tbl_Historique_Final[date_modif])=Final_Sans_VGE[[#This Row],[date_modif]],
      "Ancien",
      "Modifié"),
   "Nouveau"))</f>
        <v>#VALUE!</v>
      </c>
      <c r="AD6674" s="1" t="str">
        <f>IFERROR(IF(Final_Sans_VGE[[#This Row],[ppn_z]]="","",IFERROR(
   IF(_xlfn.XLOOKUP(Final_Sans_VGE[[#This Row],[ppn_z]],tbl_Historique_Final[[#This Row],[ppn_z]],tbl_Historique_Final[[#This Row],[date_modif]])=Final_Sans_VGE[[#This Row],[date_modif]],
      "Ancien",
      "Modifié"),
   "Nouveau")),"")</f>
        <v/>
      </c>
    </row>
    <row r="6675" spans="24:30" x14ac:dyDescent="0.25">
      <c r="X6675" s="8" t="e">
        <f>IF(Final_Sans_VGE[[#This Row],[ppn_z]]="","",IFERROR(
   IF(_xlfn.XLOOKUP(Final_Sans_VGE[[#This Row],[ppn_z]],tbl_Historique_Final[ppn_z],tbl_Historique_Final[date_modif])=Final_Sans_VGE[[#This Row],[date_modif]],
      "Ancien",
      "Modifié"),
   "Nouveau"))</f>
        <v>#VALUE!</v>
      </c>
      <c r="AD6675" s="1" t="str">
        <f>IFERROR(IF(Final_Sans_VGE[[#This Row],[ppn_z]]="","",IFERROR(
   IF(_xlfn.XLOOKUP(Final_Sans_VGE[[#This Row],[ppn_z]],tbl_Historique_Final[[#This Row],[ppn_z]],tbl_Historique_Final[[#This Row],[date_modif]])=Final_Sans_VGE[[#This Row],[date_modif]],
      "Ancien",
      "Modifié"),
   "Nouveau")),"")</f>
        <v/>
      </c>
    </row>
    <row r="6676" spans="24:30" x14ac:dyDescent="0.25">
      <c r="X6676" s="8" t="e">
        <f>IF(Final_Sans_VGE[[#This Row],[ppn_z]]="","",IFERROR(
   IF(_xlfn.XLOOKUP(Final_Sans_VGE[[#This Row],[ppn_z]],tbl_Historique_Final[ppn_z],tbl_Historique_Final[date_modif])=Final_Sans_VGE[[#This Row],[date_modif]],
      "Ancien",
      "Modifié"),
   "Nouveau"))</f>
        <v>#VALUE!</v>
      </c>
      <c r="AD6676" s="1" t="str">
        <f>IFERROR(IF(Final_Sans_VGE[[#This Row],[ppn_z]]="","",IFERROR(
   IF(_xlfn.XLOOKUP(Final_Sans_VGE[[#This Row],[ppn_z]],tbl_Historique_Final[[#This Row],[ppn_z]],tbl_Historique_Final[[#This Row],[date_modif]])=Final_Sans_VGE[[#This Row],[date_modif]],
      "Ancien",
      "Modifié"),
   "Nouveau")),"")</f>
        <v/>
      </c>
    </row>
    <row r="6677" spans="24:30" x14ac:dyDescent="0.25">
      <c r="X6677" s="8" t="e">
        <f>IF(Final_Sans_VGE[[#This Row],[ppn_z]]="","",IFERROR(
   IF(_xlfn.XLOOKUP(Final_Sans_VGE[[#This Row],[ppn_z]],tbl_Historique_Final[ppn_z],tbl_Historique_Final[date_modif])=Final_Sans_VGE[[#This Row],[date_modif]],
      "Ancien",
      "Modifié"),
   "Nouveau"))</f>
        <v>#VALUE!</v>
      </c>
      <c r="AD6677" s="1" t="str">
        <f>IFERROR(IF(Final_Sans_VGE[[#This Row],[ppn_z]]="","",IFERROR(
   IF(_xlfn.XLOOKUP(Final_Sans_VGE[[#This Row],[ppn_z]],tbl_Historique_Final[[#This Row],[ppn_z]],tbl_Historique_Final[[#This Row],[date_modif]])=Final_Sans_VGE[[#This Row],[date_modif]],
      "Ancien",
      "Modifié"),
   "Nouveau")),"")</f>
        <v/>
      </c>
    </row>
    <row r="6678" spans="24:30" x14ac:dyDescent="0.25">
      <c r="X6678" s="8" t="e">
        <f>IF(Final_Sans_VGE[[#This Row],[ppn_z]]="","",IFERROR(
   IF(_xlfn.XLOOKUP(Final_Sans_VGE[[#This Row],[ppn_z]],tbl_Historique_Final[ppn_z],tbl_Historique_Final[date_modif])=Final_Sans_VGE[[#This Row],[date_modif]],
      "Ancien",
      "Modifié"),
   "Nouveau"))</f>
        <v>#VALUE!</v>
      </c>
      <c r="AD6678" s="1" t="str">
        <f>IFERROR(IF(Final_Sans_VGE[[#This Row],[ppn_z]]="","",IFERROR(
   IF(_xlfn.XLOOKUP(Final_Sans_VGE[[#This Row],[ppn_z]],tbl_Historique_Final[[#This Row],[ppn_z]],tbl_Historique_Final[[#This Row],[date_modif]])=Final_Sans_VGE[[#This Row],[date_modif]],
      "Ancien",
      "Modifié"),
   "Nouveau")),"")</f>
        <v/>
      </c>
    </row>
    <row r="6679" spans="24:30" x14ac:dyDescent="0.25">
      <c r="X6679" s="8" t="e">
        <f>IF(Final_Sans_VGE[[#This Row],[ppn_z]]="","",IFERROR(
   IF(_xlfn.XLOOKUP(Final_Sans_VGE[[#This Row],[ppn_z]],tbl_Historique_Final[ppn_z],tbl_Historique_Final[date_modif])=Final_Sans_VGE[[#This Row],[date_modif]],
      "Ancien",
      "Modifié"),
   "Nouveau"))</f>
        <v>#VALUE!</v>
      </c>
      <c r="AD6679" s="1" t="str">
        <f>IFERROR(IF(Final_Sans_VGE[[#This Row],[ppn_z]]="","",IFERROR(
   IF(_xlfn.XLOOKUP(Final_Sans_VGE[[#This Row],[ppn_z]],tbl_Historique_Final[[#This Row],[ppn_z]],tbl_Historique_Final[[#This Row],[date_modif]])=Final_Sans_VGE[[#This Row],[date_modif]],
      "Ancien",
      "Modifié"),
   "Nouveau")),"")</f>
        <v/>
      </c>
    </row>
    <row r="6680" spans="24:30" x14ac:dyDescent="0.25">
      <c r="X6680" s="8" t="e">
        <f>IF(Final_Sans_VGE[[#This Row],[ppn_z]]="","",IFERROR(
   IF(_xlfn.XLOOKUP(Final_Sans_VGE[[#This Row],[ppn_z]],tbl_Historique_Final[ppn_z],tbl_Historique_Final[date_modif])=Final_Sans_VGE[[#This Row],[date_modif]],
      "Ancien",
      "Modifié"),
   "Nouveau"))</f>
        <v>#VALUE!</v>
      </c>
      <c r="AD6680" s="1" t="str">
        <f>IFERROR(IF(Final_Sans_VGE[[#This Row],[ppn_z]]="","",IFERROR(
   IF(_xlfn.XLOOKUP(Final_Sans_VGE[[#This Row],[ppn_z]],tbl_Historique_Final[[#This Row],[ppn_z]],tbl_Historique_Final[[#This Row],[date_modif]])=Final_Sans_VGE[[#This Row],[date_modif]],
      "Ancien",
      "Modifié"),
   "Nouveau")),"")</f>
        <v/>
      </c>
    </row>
    <row r="6681" spans="24:30" x14ac:dyDescent="0.25">
      <c r="X6681" s="8" t="e">
        <f>IF(Final_Sans_VGE[[#This Row],[ppn_z]]="","",IFERROR(
   IF(_xlfn.XLOOKUP(Final_Sans_VGE[[#This Row],[ppn_z]],tbl_Historique_Final[ppn_z],tbl_Historique_Final[date_modif])=Final_Sans_VGE[[#This Row],[date_modif]],
      "Ancien",
      "Modifié"),
   "Nouveau"))</f>
        <v>#VALUE!</v>
      </c>
      <c r="AD6681" s="1" t="str">
        <f>IFERROR(IF(Final_Sans_VGE[[#This Row],[ppn_z]]="","",IFERROR(
   IF(_xlfn.XLOOKUP(Final_Sans_VGE[[#This Row],[ppn_z]],tbl_Historique_Final[[#This Row],[ppn_z]],tbl_Historique_Final[[#This Row],[date_modif]])=Final_Sans_VGE[[#This Row],[date_modif]],
      "Ancien",
      "Modifié"),
   "Nouveau")),"")</f>
        <v/>
      </c>
    </row>
    <row r="6682" spans="24:30" x14ac:dyDescent="0.25">
      <c r="X6682" s="8" t="e">
        <f>IF(Final_Sans_VGE[[#This Row],[ppn_z]]="","",IFERROR(
   IF(_xlfn.XLOOKUP(Final_Sans_VGE[[#This Row],[ppn_z]],tbl_Historique_Final[ppn_z],tbl_Historique_Final[date_modif])=Final_Sans_VGE[[#This Row],[date_modif]],
      "Ancien",
      "Modifié"),
   "Nouveau"))</f>
        <v>#VALUE!</v>
      </c>
      <c r="AD6682" s="1" t="str">
        <f>IFERROR(IF(Final_Sans_VGE[[#This Row],[ppn_z]]="","",IFERROR(
   IF(_xlfn.XLOOKUP(Final_Sans_VGE[[#This Row],[ppn_z]],tbl_Historique_Final[[#This Row],[ppn_z]],tbl_Historique_Final[[#This Row],[date_modif]])=Final_Sans_VGE[[#This Row],[date_modif]],
      "Ancien",
      "Modifié"),
   "Nouveau")),"")</f>
        <v/>
      </c>
    </row>
    <row r="6683" spans="24:30" x14ac:dyDescent="0.25">
      <c r="X6683" s="8" t="e">
        <f>IF(Final_Sans_VGE[[#This Row],[ppn_z]]="","",IFERROR(
   IF(_xlfn.XLOOKUP(Final_Sans_VGE[[#This Row],[ppn_z]],tbl_Historique_Final[ppn_z],tbl_Historique_Final[date_modif])=Final_Sans_VGE[[#This Row],[date_modif]],
      "Ancien",
      "Modifié"),
   "Nouveau"))</f>
        <v>#VALUE!</v>
      </c>
      <c r="AD6683" s="1" t="str">
        <f>IFERROR(IF(Final_Sans_VGE[[#This Row],[ppn_z]]="","",IFERROR(
   IF(_xlfn.XLOOKUP(Final_Sans_VGE[[#This Row],[ppn_z]],tbl_Historique_Final[[#This Row],[ppn_z]],tbl_Historique_Final[[#This Row],[date_modif]])=Final_Sans_VGE[[#This Row],[date_modif]],
      "Ancien",
      "Modifié"),
   "Nouveau")),"")</f>
        <v/>
      </c>
    </row>
    <row r="6684" spans="24:30" x14ac:dyDescent="0.25">
      <c r="X6684" s="8" t="e">
        <f>IF(Final_Sans_VGE[[#This Row],[ppn_z]]="","",IFERROR(
   IF(_xlfn.XLOOKUP(Final_Sans_VGE[[#This Row],[ppn_z]],tbl_Historique_Final[ppn_z],tbl_Historique_Final[date_modif])=Final_Sans_VGE[[#This Row],[date_modif]],
      "Ancien",
      "Modifié"),
   "Nouveau"))</f>
        <v>#VALUE!</v>
      </c>
      <c r="AD6684" s="1" t="str">
        <f>IFERROR(IF(Final_Sans_VGE[[#This Row],[ppn_z]]="","",IFERROR(
   IF(_xlfn.XLOOKUP(Final_Sans_VGE[[#This Row],[ppn_z]],tbl_Historique_Final[[#This Row],[ppn_z]],tbl_Historique_Final[[#This Row],[date_modif]])=Final_Sans_VGE[[#This Row],[date_modif]],
      "Ancien",
      "Modifié"),
   "Nouveau")),"")</f>
        <v/>
      </c>
    </row>
    <row r="6685" spans="24:30" x14ac:dyDescent="0.25">
      <c r="X6685" s="8" t="e">
        <f>IF(Final_Sans_VGE[[#This Row],[ppn_z]]="","",IFERROR(
   IF(_xlfn.XLOOKUP(Final_Sans_VGE[[#This Row],[ppn_z]],tbl_Historique_Final[ppn_z],tbl_Historique_Final[date_modif])=Final_Sans_VGE[[#This Row],[date_modif]],
      "Ancien",
      "Modifié"),
   "Nouveau"))</f>
        <v>#VALUE!</v>
      </c>
      <c r="AD6685" s="1" t="str">
        <f>IFERROR(IF(Final_Sans_VGE[[#This Row],[ppn_z]]="","",IFERROR(
   IF(_xlfn.XLOOKUP(Final_Sans_VGE[[#This Row],[ppn_z]],tbl_Historique_Final[[#This Row],[ppn_z]],tbl_Historique_Final[[#This Row],[date_modif]])=Final_Sans_VGE[[#This Row],[date_modif]],
      "Ancien",
      "Modifié"),
   "Nouveau")),"")</f>
        <v/>
      </c>
    </row>
    <row r="6686" spans="24:30" x14ac:dyDescent="0.25">
      <c r="X6686" s="8" t="e">
        <f>IF(Final_Sans_VGE[[#This Row],[ppn_z]]="","",IFERROR(
   IF(_xlfn.XLOOKUP(Final_Sans_VGE[[#This Row],[ppn_z]],tbl_Historique_Final[ppn_z],tbl_Historique_Final[date_modif])=Final_Sans_VGE[[#This Row],[date_modif]],
      "Ancien",
      "Modifié"),
   "Nouveau"))</f>
        <v>#VALUE!</v>
      </c>
      <c r="AD6686" s="1" t="str">
        <f>IFERROR(IF(Final_Sans_VGE[[#This Row],[ppn_z]]="","",IFERROR(
   IF(_xlfn.XLOOKUP(Final_Sans_VGE[[#This Row],[ppn_z]],tbl_Historique_Final[[#This Row],[ppn_z]],tbl_Historique_Final[[#This Row],[date_modif]])=Final_Sans_VGE[[#This Row],[date_modif]],
      "Ancien",
      "Modifié"),
   "Nouveau")),"")</f>
        <v/>
      </c>
    </row>
    <row r="6687" spans="24:30" x14ac:dyDescent="0.25">
      <c r="X6687" s="8" t="e">
        <f>IF(Final_Sans_VGE[[#This Row],[ppn_z]]="","",IFERROR(
   IF(_xlfn.XLOOKUP(Final_Sans_VGE[[#This Row],[ppn_z]],tbl_Historique_Final[ppn_z],tbl_Historique_Final[date_modif])=Final_Sans_VGE[[#This Row],[date_modif]],
      "Ancien",
      "Modifié"),
   "Nouveau"))</f>
        <v>#VALUE!</v>
      </c>
      <c r="AD6687" s="1" t="str">
        <f>IFERROR(IF(Final_Sans_VGE[[#This Row],[ppn_z]]="","",IFERROR(
   IF(_xlfn.XLOOKUP(Final_Sans_VGE[[#This Row],[ppn_z]],tbl_Historique_Final[[#This Row],[ppn_z]],tbl_Historique_Final[[#This Row],[date_modif]])=Final_Sans_VGE[[#This Row],[date_modif]],
      "Ancien",
      "Modifié"),
   "Nouveau")),"")</f>
        <v/>
      </c>
    </row>
    <row r="6688" spans="24:30" x14ac:dyDescent="0.25">
      <c r="X6688" s="8" t="e">
        <f>IF(Final_Sans_VGE[[#This Row],[ppn_z]]="","",IFERROR(
   IF(_xlfn.XLOOKUP(Final_Sans_VGE[[#This Row],[ppn_z]],tbl_Historique_Final[ppn_z],tbl_Historique_Final[date_modif])=Final_Sans_VGE[[#This Row],[date_modif]],
      "Ancien",
      "Modifié"),
   "Nouveau"))</f>
        <v>#VALUE!</v>
      </c>
      <c r="AD6688" s="1" t="str">
        <f>IFERROR(IF(Final_Sans_VGE[[#This Row],[ppn_z]]="","",IFERROR(
   IF(_xlfn.XLOOKUP(Final_Sans_VGE[[#This Row],[ppn_z]],tbl_Historique_Final[[#This Row],[ppn_z]],tbl_Historique_Final[[#This Row],[date_modif]])=Final_Sans_VGE[[#This Row],[date_modif]],
      "Ancien",
      "Modifié"),
   "Nouveau")),"")</f>
        <v/>
      </c>
    </row>
    <row r="6689" spans="24:30" x14ac:dyDescent="0.25">
      <c r="X6689" s="8" t="e">
        <f>IF(Final_Sans_VGE[[#This Row],[ppn_z]]="","",IFERROR(
   IF(_xlfn.XLOOKUP(Final_Sans_VGE[[#This Row],[ppn_z]],tbl_Historique_Final[ppn_z],tbl_Historique_Final[date_modif])=Final_Sans_VGE[[#This Row],[date_modif]],
      "Ancien",
      "Modifié"),
   "Nouveau"))</f>
        <v>#VALUE!</v>
      </c>
      <c r="AD6689" s="1" t="str">
        <f>IFERROR(IF(Final_Sans_VGE[[#This Row],[ppn_z]]="","",IFERROR(
   IF(_xlfn.XLOOKUP(Final_Sans_VGE[[#This Row],[ppn_z]],tbl_Historique_Final[[#This Row],[ppn_z]],tbl_Historique_Final[[#This Row],[date_modif]])=Final_Sans_VGE[[#This Row],[date_modif]],
      "Ancien",
      "Modifié"),
   "Nouveau")),"")</f>
        <v/>
      </c>
    </row>
    <row r="6690" spans="24:30" x14ac:dyDescent="0.25">
      <c r="X6690" s="8" t="e">
        <f>IF(Final_Sans_VGE[[#This Row],[ppn_z]]="","",IFERROR(
   IF(_xlfn.XLOOKUP(Final_Sans_VGE[[#This Row],[ppn_z]],tbl_Historique_Final[ppn_z],tbl_Historique_Final[date_modif])=Final_Sans_VGE[[#This Row],[date_modif]],
      "Ancien",
      "Modifié"),
   "Nouveau"))</f>
        <v>#VALUE!</v>
      </c>
      <c r="AD6690" s="1" t="str">
        <f>IFERROR(IF(Final_Sans_VGE[[#This Row],[ppn_z]]="","",IFERROR(
   IF(_xlfn.XLOOKUP(Final_Sans_VGE[[#This Row],[ppn_z]],tbl_Historique_Final[[#This Row],[ppn_z]],tbl_Historique_Final[[#This Row],[date_modif]])=Final_Sans_VGE[[#This Row],[date_modif]],
      "Ancien",
      "Modifié"),
   "Nouveau")),"")</f>
        <v/>
      </c>
    </row>
    <row r="6691" spans="24:30" x14ac:dyDescent="0.25">
      <c r="X6691" s="8" t="e">
        <f>IF(Final_Sans_VGE[[#This Row],[ppn_z]]="","",IFERROR(
   IF(_xlfn.XLOOKUP(Final_Sans_VGE[[#This Row],[ppn_z]],tbl_Historique_Final[ppn_z],tbl_Historique_Final[date_modif])=Final_Sans_VGE[[#This Row],[date_modif]],
      "Ancien",
      "Modifié"),
   "Nouveau"))</f>
        <v>#VALUE!</v>
      </c>
      <c r="AD6691" s="1" t="str">
        <f>IFERROR(IF(Final_Sans_VGE[[#This Row],[ppn_z]]="","",IFERROR(
   IF(_xlfn.XLOOKUP(Final_Sans_VGE[[#This Row],[ppn_z]],tbl_Historique_Final[[#This Row],[ppn_z]],tbl_Historique_Final[[#This Row],[date_modif]])=Final_Sans_VGE[[#This Row],[date_modif]],
      "Ancien",
      "Modifié"),
   "Nouveau")),"")</f>
        <v/>
      </c>
    </row>
    <row r="6692" spans="24:30" x14ac:dyDescent="0.25">
      <c r="X6692" s="8" t="e">
        <f>IF(Final_Sans_VGE[[#This Row],[ppn_z]]="","",IFERROR(
   IF(_xlfn.XLOOKUP(Final_Sans_VGE[[#This Row],[ppn_z]],tbl_Historique_Final[ppn_z],tbl_Historique_Final[date_modif])=Final_Sans_VGE[[#This Row],[date_modif]],
      "Ancien",
      "Modifié"),
   "Nouveau"))</f>
        <v>#VALUE!</v>
      </c>
      <c r="AD6692" s="1" t="str">
        <f>IFERROR(IF(Final_Sans_VGE[[#This Row],[ppn_z]]="","",IFERROR(
   IF(_xlfn.XLOOKUP(Final_Sans_VGE[[#This Row],[ppn_z]],tbl_Historique_Final[[#This Row],[ppn_z]],tbl_Historique_Final[[#This Row],[date_modif]])=Final_Sans_VGE[[#This Row],[date_modif]],
      "Ancien",
      "Modifié"),
   "Nouveau")),"")</f>
        <v/>
      </c>
    </row>
    <row r="6693" spans="24:30" x14ac:dyDescent="0.25">
      <c r="X6693" s="8" t="e">
        <f>IF(Final_Sans_VGE[[#This Row],[ppn_z]]="","",IFERROR(
   IF(_xlfn.XLOOKUP(Final_Sans_VGE[[#This Row],[ppn_z]],tbl_Historique_Final[ppn_z],tbl_Historique_Final[date_modif])=Final_Sans_VGE[[#This Row],[date_modif]],
      "Ancien",
      "Modifié"),
   "Nouveau"))</f>
        <v>#VALUE!</v>
      </c>
      <c r="AD6693" s="1" t="str">
        <f>IFERROR(IF(Final_Sans_VGE[[#This Row],[ppn_z]]="","",IFERROR(
   IF(_xlfn.XLOOKUP(Final_Sans_VGE[[#This Row],[ppn_z]],tbl_Historique_Final[[#This Row],[ppn_z]],tbl_Historique_Final[[#This Row],[date_modif]])=Final_Sans_VGE[[#This Row],[date_modif]],
      "Ancien",
      "Modifié"),
   "Nouveau")),"")</f>
        <v/>
      </c>
    </row>
    <row r="6694" spans="24:30" x14ac:dyDescent="0.25">
      <c r="X6694" s="8" t="e">
        <f>IF(Final_Sans_VGE[[#This Row],[ppn_z]]="","",IFERROR(
   IF(_xlfn.XLOOKUP(Final_Sans_VGE[[#This Row],[ppn_z]],tbl_Historique_Final[ppn_z],tbl_Historique_Final[date_modif])=Final_Sans_VGE[[#This Row],[date_modif]],
      "Ancien",
      "Modifié"),
   "Nouveau"))</f>
        <v>#VALUE!</v>
      </c>
      <c r="AD6694" s="1" t="str">
        <f>IFERROR(IF(Final_Sans_VGE[[#This Row],[ppn_z]]="","",IFERROR(
   IF(_xlfn.XLOOKUP(Final_Sans_VGE[[#This Row],[ppn_z]],tbl_Historique_Final[[#This Row],[ppn_z]],tbl_Historique_Final[[#This Row],[date_modif]])=Final_Sans_VGE[[#This Row],[date_modif]],
      "Ancien",
      "Modifié"),
   "Nouveau")),"")</f>
        <v/>
      </c>
    </row>
    <row r="6695" spans="24:30" x14ac:dyDescent="0.25">
      <c r="X6695" s="8" t="e">
        <f>IF(Final_Sans_VGE[[#This Row],[ppn_z]]="","",IFERROR(
   IF(_xlfn.XLOOKUP(Final_Sans_VGE[[#This Row],[ppn_z]],tbl_Historique_Final[ppn_z],tbl_Historique_Final[date_modif])=Final_Sans_VGE[[#This Row],[date_modif]],
      "Ancien",
      "Modifié"),
   "Nouveau"))</f>
        <v>#VALUE!</v>
      </c>
      <c r="AD6695" s="1" t="str">
        <f>IFERROR(IF(Final_Sans_VGE[[#This Row],[ppn_z]]="","",IFERROR(
   IF(_xlfn.XLOOKUP(Final_Sans_VGE[[#This Row],[ppn_z]],tbl_Historique_Final[[#This Row],[ppn_z]],tbl_Historique_Final[[#This Row],[date_modif]])=Final_Sans_VGE[[#This Row],[date_modif]],
      "Ancien",
      "Modifié"),
   "Nouveau")),"")</f>
        <v/>
      </c>
    </row>
    <row r="6696" spans="24:30" x14ac:dyDescent="0.25">
      <c r="X6696" s="8" t="e">
        <f>IF(Final_Sans_VGE[[#This Row],[ppn_z]]="","",IFERROR(
   IF(_xlfn.XLOOKUP(Final_Sans_VGE[[#This Row],[ppn_z]],tbl_Historique_Final[ppn_z],tbl_Historique_Final[date_modif])=Final_Sans_VGE[[#This Row],[date_modif]],
      "Ancien",
      "Modifié"),
   "Nouveau"))</f>
        <v>#VALUE!</v>
      </c>
      <c r="AD6696" s="1" t="str">
        <f>IFERROR(IF(Final_Sans_VGE[[#This Row],[ppn_z]]="","",IFERROR(
   IF(_xlfn.XLOOKUP(Final_Sans_VGE[[#This Row],[ppn_z]],tbl_Historique_Final[[#This Row],[ppn_z]],tbl_Historique_Final[[#This Row],[date_modif]])=Final_Sans_VGE[[#This Row],[date_modif]],
      "Ancien",
      "Modifié"),
   "Nouveau")),"")</f>
        <v/>
      </c>
    </row>
    <row r="6697" spans="24:30" x14ac:dyDescent="0.25">
      <c r="X6697" s="8" t="e">
        <f>IF(Final_Sans_VGE[[#This Row],[ppn_z]]="","",IFERROR(
   IF(_xlfn.XLOOKUP(Final_Sans_VGE[[#This Row],[ppn_z]],tbl_Historique_Final[ppn_z],tbl_Historique_Final[date_modif])=Final_Sans_VGE[[#This Row],[date_modif]],
      "Ancien",
      "Modifié"),
   "Nouveau"))</f>
        <v>#VALUE!</v>
      </c>
      <c r="AD6697" s="1" t="str">
        <f>IFERROR(IF(Final_Sans_VGE[[#This Row],[ppn_z]]="","",IFERROR(
   IF(_xlfn.XLOOKUP(Final_Sans_VGE[[#This Row],[ppn_z]],tbl_Historique_Final[[#This Row],[ppn_z]],tbl_Historique_Final[[#This Row],[date_modif]])=Final_Sans_VGE[[#This Row],[date_modif]],
      "Ancien",
      "Modifié"),
   "Nouveau")),"")</f>
        <v/>
      </c>
    </row>
    <row r="6698" spans="24:30" x14ac:dyDescent="0.25">
      <c r="X6698" s="8" t="e">
        <f>IF(Final_Sans_VGE[[#This Row],[ppn_z]]="","",IFERROR(
   IF(_xlfn.XLOOKUP(Final_Sans_VGE[[#This Row],[ppn_z]],tbl_Historique_Final[ppn_z],tbl_Historique_Final[date_modif])=Final_Sans_VGE[[#This Row],[date_modif]],
      "Ancien",
      "Modifié"),
   "Nouveau"))</f>
        <v>#VALUE!</v>
      </c>
      <c r="AD6698" s="1" t="str">
        <f>IFERROR(IF(Final_Sans_VGE[[#This Row],[ppn_z]]="","",IFERROR(
   IF(_xlfn.XLOOKUP(Final_Sans_VGE[[#This Row],[ppn_z]],tbl_Historique_Final[[#This Row],[ppn_z]],tbl_Historique_Final[[#This Row],[date_modif]])=Final_Sans_VGE[[#This Row],[date_modif]],
      "Ancien",
      "Modifié"),
   "Nouveau")),"")</f>
        <v/>
      </c>
    </row>
    <row r="6699" spans="24:30" x14ac:dyDescent="0.25">
      <c r="X6699" s="8" t="e">
        <f>IF(Final_Sans_VGE[[#This Row],[ppn_z]]="","",IFERROR(
   IF(_xlfn.XLOOKUP(Final_Sans_VGE[[#This Row],[ppn_z]],tbl_Historique_Final[ppn_z],tbl_Historique_Final[date_modif])=Final_Sans_VGE[[#This Row],[date_modif]],
      "Ancien",
      "Modifié"),
   "Nouveau"))</f>
        <v>#VALUE!</v>
      </c>
      <c r="AD6699" s="1" t="str">
        <f>IFERROR(IF(Final_Sans_VGE[[#This Row],[ppn_z]]="","",IFERROR(
   IF(_xlfn.XLOOKUP(Final_Sans_VGE[[#This Row],[ppn_z]],tbl_Historique_Final[[#This Row],[ppn_z]],tbl_Historique_Final[[#This Row],[date_modif]])=Final_Sans_VGE[[#This Row],[date_modif]],
      "Ancien",
      "Modifié"),
   "Nouveau")),"")</f>
        <v/>
      </c>
    </row>
    <row r="6700" spans="24:30" x14ac:dyDescent="0.25">
      <c r="X6700" s="8" t="e">
        <f>IF(Final_Sans_VGE[[#This Row],[ppn_z]]="","",IFERROR(
   IF(_xlfn.XLOOKUP(Final_Sans_VGE[[#This Row],[ppn_z]],tbl_Historique_Final[ppn_z],tbl_Historique_Final[date_modif])=Final_Sans_VGE[[#This Row],[date_modif]],
      "Ancien",
      "Modifié"),
   "Nouveau"))</f>
        <v>#VALUE!</v>
      </c>
      <c r="AD6700" s="1" t="str">
        <f>IFERROR(IF(Final_Sans_VGE[[#This Row],[ppn_z]]="","",IFERROR(
   IF(_xlfn.XLOOKUP(Final_Sans_VGE[[#This Row],[ppn_z]],tbl_Historique_Final[[#This Row],[ppn_z]],tbl_Historique_Final[[#This Row],[date_modif]])=Final_Sans_VGE[[#This Row],[date_modif]],
      "Ancien",
      "Modifié"),
   "Nouveau")),"")</f>
        <v/>
      </c>
    </row>
    <row r="6701" spans="24:30" x14ac:dyDescent="0.25">
      <c r="X6701" s="8" t="e">
        <f>IF(Final_Sans_VGE[[#This Row],[ppn_z]]="","",IFERROR(
   IF(_xlfn.XLOOKUP(Final_Sans_VGE[[#This Row],[ppn_z]],tbl_Historique_Final[ppn_z],tbl_Historique_Final[date_modif])=Final_Sans_VGE[[#This Row],[date_modif]],
      "Ancien",
      "Modifié"),
   "Nouveau"))</f>
        <v>#VALUE!</v>
      </c>
      <c r="AD6701" s="1" t="str">
        <f>IFERROR(IF(Final_Sans_VGE[[#This Row],[ppn_z]]="","",IFERROR(
   IF(_xlfn.XLOOKUP(Final_Sans_VGE[[#This Row],[ppn_z]],tbl_Historique_Final[[#This Row],[ppn_z]],tbl_Historique_Final[[#This Row],[date_modif]])=Final_Sans_VGE[[#This Row],[date_modif]],
      "Ancien",
      "Modifié"),
   "Nouveau")),"")</f>
        <v/>
      </c>
    </row>
    <row r="6702" spans="24:30" x14ac:dyDescent="0.25">
      <c r="X6702" s="8" t="e">
        <f>IF(Final_Sans_VGE[[#This Row],[ppn_z]]="","",IFERROR(
   IF(_xlfn.XLOOKUP(Final_Sans_VGE[[#This Row],[ppn_z]],tbl_Historique_Final[ppn_z],tbl_Historique_Final[date_modif])=Final_Sans_VGE[[#This Row],[date_modif]],
      "Ancien",
      "Modifié"),
   "Nouveau"))</f>
        <v>#VALUE!</v>
      </c>
      <c r="AD6702" s="1" t="str">
        <f>IFERROR(IF(Final_Sans_VGE[[#This Row],[ppn_z]]="","",IFERROR(
   IF(_xlfn.XLOOKUP(Final_Sans_VGE[[#This Row],[ppn_z]],tbl_Historique_Final[[#This Row],[ppn_z]],tbl_Historique_Final[[#This Row],[date_modif]])=Final_Sans_VGE[[#This Row],[date_modif]],
      "Ancien",
      "Modifié"),
   "Nouveau")),"")</f>
        <v/>
      </c>
    </row>
    <row r="6703" spans="24:30" x14ac:dyDescent="0.25">
      <c r="X6703" s="8" t="e">
        <f>IF(Final_Sans_VGE[[#This Row],[ppn_z]]="","",IFERROR(
   IF(_xlfn.XLOOKUP(Final_Sans_VGE[[#This Row],[ppn_z]],tbl_Historique_Final[ppn_z],tbl_Historique_Final[date_modif])=Final_Sans_VGE[[#This Row],[date_modif]],
      "Ancien",
      "Modifié"),
   "Nouveau"))</f>
        <v>#VALUE!</v>
      </c>
      <c r="AD6703" s="1" t="str">
        <f>IFERROR(IF(Final_Sans_VGE[[#This Row],[ppn_z]]="","",IFERROR(
   IF(_xlfn.XLOOKUP(Final_Sans_VGE[[#This Row],[ppn_z]],tbl_Historique_Final[[#This Row],[ppn_z]],tbl_Historique_Final[[#This Row],[date_modif]])=Final_Sans_VGE[[#This Row],[date_modif]],
      "Ancien",
      "Modifié"),
   "Nouveau")),"")</f>
        <v/>
      </c>
    </row>
    <row r="6704" spans="24:30" x14ac:dyDescent="0.25">
      <c r="X6704" s="8" t="e">
        <f>IF(Final_Sans_VGE[[#This Row],[ppn_z]]="","",IFERROR(
   IF(_xlfn.XLOOKUP(Final_Sans_VGE[[#This Row],[ppn_z]],tbl_Historique_Final[ppn_z],tbl_Historique_Final[date_modif])=Final_Sans_VGE[[#This Row],[date_modif]],
      "Ancien",
      "Modifié"),
   "Nouveau"))</f>
        <v>#VALUE!</v>
      </c>
      <c r="AD6704" s="1" t="str">
        <f>IFERROR(IF(Final_Sans_VGE[[#This Row],[ppn_z]]="","",IFERROR(
   IF(_xlfn.XLOOKUP(Final_Sans_VGE[[#This Row],[ppn_z]],tbl_Historique_Final[[#This Row],[ppn_z]],tbl_Historique_Final[[#This Row],[date_modif]])=Final_Sans_VGE[[#This Row],[date_modif]],
      "Ancien",
      "Modifié"),
   "Nouveau")),"")</f>
        <v/>
      </c>
    </row>
    <row r="6705" spans="24:30" x14ac:dyDescent="0.25">
      <c r="X6705" s="8" t="e">
        <f>IF(Final_Sans_VGE[[#This Row],[ppn_z]]="","",IFERROR(
   IF(_xlfn.XLOOKUP(Final_Sans_VGE[[#This Row],[ppn_z]],tbl_Historique_Final[ppn_z],tbl_Historique_Final[date_modif])=Final_Sans_VGE[[#This Row],[date_modif]],
      "Ancien",
      "Modifié"),
   "Nouveau"))</f>
        <v>#VALUE!</v>
      </c>
      <c r="AD6705" s="1" t="str">
        <f>IFERROR(IF(Final_Sans_VGE[[#This Row],[ppn_z]]="","",IFERROR(
   IF(_xlfn.XLOOKUP(Final_Sans_VGE[[#This Row],[ppn_z]],tbl_Historique_Final[[#This Row],[ppn_z]],tbl_Historique_Final[[#This Row],[date_modif]])=Final_Sans_VGE[[#This Row],[date_modif]],
      "Ancien",
      "Modifié"),
   "Nouveau")),"")</f>
        <v/>
      </c>
    </row>
    <row r="6706" spans="24:30" x14ac:dyDescent="0.25">
      <c r="X6706" s="8" t="e">
        <f>IF(Final_Sans_VGE[[#This Row],[ppn_z]]="","",IFERROR(
   IF(_xlfn.XLOOKUP(Final_Sans_VGE[[#This Row],[ppn_z]],tbl_Historique_Final[ppn_z],tbl_Historique_Final[date_modif])=Final_Sans_VGE[[#This Row],[date_modif]],
      "Ancien",
      "Modifié"),
   "Nouveau"))</f>
        <v>#VALUE!</v>
      </c>
      <c r="AD6706" s="1" t="str">
        <f>IFERROR(IF(Final_Sans_VGE[[#This Row],[ppn_z]]="","",IFERROR(
   IF(_xlfn.XLOOKUP(Final_Sans_VGE[[#This Row],[ppn_z]],tbl_Historique_Final[[#This Row],[ppn_z]],tbl_Historique_Final[[#This Row],[date_modif]])=Final_Sans_VGE[[#This Row],[date_modif]],
      "Ancien",
      "Modifié"),
   "Nouveau")),"")</f>
        <v/>
      </c>
    </row>
    <row r="6707" spans="24:30" x14ac:dyDescent="0.25">
      <c r="X6707" s="8" t="e">
        <f>IF(Final_Sans_VGE[[#This Row],[ppn_z]]="","",IFERROR(
   IF(_xlfn.XLOOKUP(Final_Sans_VGE[[#This Row],[ppn_z]],tbl_Historique_Final[ppn_z],tbl_Historique_Final[date_modif])=Final_Sans_VGE[[#This Row],[date_modif]],
      "Ancien",
      "Modifié"),
   "Nouveau"))</f>
        <v>#VALUE!</v>
      </c>
      <c r="AD6707" s="1" t="str">
        <f>IFERROR(IF(Final_Sans_VGE[[#This Row],[ppn_z]]="","",IFERROR(
   IF(_xlfn.XLOOKUP(Final_Sans_VGE[[#This Row],[ppn_z]],tbl_Historique_Final[[#This Row],[ppn_z]],tbl_Historique_Final[[#This Row],[date_modif]])=Final_Sans_VGE[[#This Row],[date_modif]],
      "Ancien",
      "Modifié"),
   "Nouveau")),"")</f>
        <v/>
      </c>
    </row>
    <row r="6708" spans="24:30" x14ac:dyDescent="0.25">
      <c r="X6708" s="8" t="e">
        <f>IF(Final_Sans_VGE[[#This Row],[ppn_z]]="","",IFERROR(
   IF(_xlfn.XLOOKUP(Final_Sans_VGE[[#This Row],[ppn_z]],tbl_Historique_Final[ppn_z],tbl_Historique_Final[date_modif])=Final_Sans_VGE[[#This Row],[date_modif]],
      "Ancien",
      "Modifié"),
   "Nouveau"))</f>
        <v>#VALUE!</v>
      </c>
      <c r="AD6708" s="1" t="str">
        <f>IFERROR(IF(Final_Sans_VGE[[#This Row],[ppn_z]]="","",IFERROR(
   IF(_xlfn.XLOOKUP(Final_Sans_VGE[[#This Row],[ppn_z]],tbl_Historique_Final[[#This Row],[ppn_z]],tbl_Historique_Final[[#This Row],[date_modif]])=Final_Sans_VGE[[#This Row],[date_modif]],
      "Ancien",
      "Modifié"),
   "Nouveau")),"")</f>
        <v/>
      </c>
    </row>
    <row r="6709" spans="24:30" x14ac:dyDescent="0.25">
      <c r="X6709" s="8" t="e">
        <f>IF(Final_Sans_VGE[[#This Row],[ppn_z]]="","",IFERROR(
   IF(_xlfn.XLOOKUP(Final_Sans_VGE[[#This Row],[ppn_z]],tbl_Historique_Final[ppn_z],tbl_Historique_Final[date_modif])=Final_Sans_VGE[[#This Row],[date_modif]],
      "Ancien",
      "Modifié"),
   "Nouveau"))</f>
        <v>#VALUE!</v>
      </c>
      <c r="AD6709" s="1" t="str">
        <f>IFERROR(IF(Final_Sans_VGE[[#This Row],[ppn_z]]="","",IFERROR(
   IF(_xlfn.XLOOKUP(Final_Sans_VGE[[#This Row],[ppn_z]],tbl_Historique_Final[[#This Row],[ppn_z]],tbl_Historique_Final[[#This Row],[date_modif]])=Final_Sans_VGE[[#This Row],[date_modif]],
      "Ancien",
      "Modifié"),
   "Nouveau")),"")</f>
        <v/>
      </c>
    </row>
    <row r="6710" spans="24:30" x14ac:dyDescent="0.25">
      <c r="X6710" s="8" t="e">
        <f>IF(Final_Sans_VGE[[#This Row],[ppn_z]]="","",IFERROR(
   IF(_xlfn.XLOOKUP(Final_Sans_VGE[[#This Row],[ppn_z]],tbl_Historique_Final[ppn_z],tbl_Historique_Final[date_modif])=Final_Sans_VGE[[#This Row],[date_modif]],
      "Ancien",
      "Modifié"),
   "Nouveau"))</f>
        <v>#VALUE!</v>
      </c>
      <c r="AD6710" s="1" t="str">
        <f>IFERROR(IF(Final_Sans_VGE[[#This Row],[ppn_z]]="","",IFERROR(
   IF(_xlfn.XLOOKUP(Final_Sans_VGE[[#This Row],[ppn_z]],tbl_Historique_Final[[#This Row],[ppn_z]],tbl_Historique_Final[[#This Row],[date_modif]])=Final_Sans_VGE[[#This Row],[date_modif]],
      "Ancien",
      "Modifié"),
   "Nouveau")),"")</f>
        <v/>
      </c>
    </row>
    <row r="6711" spans="24:30" x14ac:dyDescent="0.25">
      <c r="X6711" s="8" t="e">
        <f>IF(Final_Sans_VGE[[#This Row],[ppn_z]]="","",IFERROR(
   IF(_xlfn.XLOOKUP(Final_Sans_VGE[[#This Row],[ppn_z]],tbl_Historique_Final[ppn_z],tbl_Historique_Final[date_modif])=Final_Sans_VGE[[#This Row],[date_modif]],
      "Ancien",
      "Modifié"),
   "Nouveau"))</f>
        <v>#VALUE!</v>
      </c>
      <c r="AD6711" s="1" t="str">
        <f>IFERROR(IF(Final_Sans_VGE[[#This Row],[ppn_z]]="","",IFERROR(
   IF(_xlfn.XLOOKUP(Final_Sans_VGE[[#This Row],[ppn_z]],tbl_Historique_Final[[#This Row],[ppn_z]],tbl_Historique_Final[[#This Row],[date_modif]])=Final_Sans_VGE[[#This Row],[date_modif]],
      "Ancien",
      "Modifié"),
   "Nouveau")),"")</f>
        <v/>
      </c>
    </row>
    <row r="6712" spans="24:30" x14ac:dyDescent="0.25">
      <c r="X6712" s="8" t="e">
        <f>IF(Final_Sans_VGE[[#This Row],[ppn_z]]="","",IFERROR(
   IF(_xlfn.XLOOKUP(Final_Sans_VGE[[#This Row],[ppn_z]],tbl_Historique_Final[ppn_z],tbl_Historique_Final[date_modif])=Final_Sans_VGE[[#This Row],[date_modif]],
      "Ancien",
      "Modifié"),
   "Nouveau"))</f>
        <v>#VALUE!</v>
      </c>
      <c r="AD6712" s="1" t="str">
        <f>IFERROR(IF(Final_Sans_VGE[[#This Row],[ppn_z]]="","",IFERROR(
   IF(_xlfn.XLOOKUP(Final_Sans_VGE[[#This Row],[ppn_z]],tbl_Historique_Final[[#This Row],[ppn_z]],tbl_Historique_Final[[#This Row],[date_modif]])=Final_Sans_VGE[[#This Row],[date_modif]],
      "Ancien",
      "Modifié"),
   "Nouveau")),"")</f>
        <v/>
      </c>
    </row>
    <row r="6713" spans="24:30" x14ac:dyDescent="0.25">
      <c r="X6713" s="8" t="e">
        <f>IF(Final_Sans_VGE[[#This Row],[ppn_z]]="","",IFERROR(
   IF(_xlfn.XLOOKUP(Final_Sans_VGE[[#This Row],[ppn_z]],tbl_Historique_Final[ppn_z],tbl_Historique_Final[date_modif])=Final_Sans_VGE[[#This Row],[date_modif]],
      "Ancien",
      "Modifié"),
   "Nouveau"))</f>
        <v>#VALUE!</v>
      </c>
      <c r="AD6713" s="1" t="str">
        <f>IFERROR(IF(Final_Sans_VGE[[#This Row],[ppn_z]]="","",IFERROR(
   IF(_xlfn.XLOOKUP(Final_Sans_VGE[[#This Row],[ppn_z]],tbl_Historique_Final[[#This Row],[ppn_z]],tbl_Historique_Final[[#This Row],[date_modif]])=Final_Sans_VGE[[#This Row],[date_modif]],
      "Ancien",
      "Modifié"),
   "Nouveau")),"")</f>
        <v/>
      </c>
    </row>
    <row r="6714" spans="24:30" x14ac:dyDescent="0.25">
      <c r="X6714" s="8" t="e">
        <f>IF(Final_Sans_VGE[[#This Row],[ppn_z]]="","",IFERROR(
   IF(_xlfn.XLOOKUP(Final_Sans_VGE[[#This Row],[ppn_z]],tbl_Historique_Final[ppn_z],tbl_Historique_Final[date_modif])=Final_Sans_VGE[[#This Row],[date_modif]],
      "Ancien",
      "Modifié"),
   "Nouveau"))</f>
        <v>#VALUE!</v>
      </c>
      <c r="AD6714" s="1" t="str">
        <f>IFERROR(IF(Final_Sans_VGE[[#This Row],[ppn_z]]="","",IFERROR(
   IF(_xlfn.XLOOKUP(Final_Sans_VGE[[#This Row],[ppn_z]],tbl_Historique_Final[[#This Row],[ppn_z]],tbl_Historique_Final[[#This Row],[date_modif]])=Final_Sans_VGE[[#This Row],[date_modif]],
      "Ancien",
      "Modifié"),
   "Nouveau")),"")</f>
        <v/>
      </c>
    </row>
    <row r="6715" spans="24:30" x14ac:dyDescent="0.25">
      <c r="X6715" s="8" t="e">
        <f>IF(Final_Sans_VGE[[#This Row],[ppn_z]]="","",IFERROR(
   IF(_xlfn.XLOOKUP(Final_Sans_VGE[[#This Row],[ppn_z]],tbl_Historique_Final[ppn_z],tbl_Historique_Final[date_modif])=Final_Sans_VGE[[#This Row],[date_modif]],
      "Ancien",
      "Modifié"),
   "Nouveau"))</f>
        <v>#VALUE!</v>
      </c>
      <c r="AD6715" s="1" t="str">
        <f>IFERROR(IF(Final_Sans_VGE[[#This Row],[ppn_z]]="","",IFERROR(
   IF(_xlfn.XLOOKUP(Final_Sans_VGE[[#This Row],[ppn_z]],tbl_Historique_Final[[#This Row],[ppn_z]],tbl_Historique_Final[[#This Row],[date_modif]])=Final_Sans_VGE[[#This Row],[date_modif]],
      "Ancien",
      "Modifié"),
   "Nouveau")),"")</f>
        <v/>
      </c>
    </row>
    <row r="6716" spans="24:30" x14ac:dyDescent="0.25">
      <c r="X6716" s="8" t="e">
        <f>IF(Final_Sans_VGE[[#This Row],[ppn_z]]="","",IFERROR(
   IF(_xlfn.XLOOKUP(Final_Sans_VGE[[#This Row],[ppn_z]],tbl_Historique_Final[ppn_z],tbl_Historique_Final[date_modif])=Final_Sans_VGE[[#This Row],[date_modif]],
      "Ancien",
      "Modifié"),
   "Nouveau"))</f>
        <v>#VALUE!</v>
      </c>
      <c r="AD6716" s="1" t="str">
        <f>IFERROR(IF(Final_Sans_VGE[[#This Row],[ppn_z]]="","",IFERROR(
   IF(_xlfn.XLOOKUP(Final_Sans_VGE[[#This Row],[ppn_z]],tbl_Historique_Final[[#This Row],[ppn_z]],tbl_Historique_Final[[#This Row],[date_modif]])=Final_Sans_VGE[[#This Row],[date_modif]],
      "Ancien",
      "Modifié"),
   "Nouveau")),"")</f>
        <v/>
      </c>
    </row>
    <row r="6717" spans="24:30" x14ac:dyDescent="0.25">
      <c r="X6717" s="8" t="e">
        <f>IF(Final_Sans_VGE[[#This Row],[ppn_z]]="","",IFERROR(
   IF(_xlfn.XLOOKUP(Final_Sans_VGE[[#This Row],[ppn_z]],tbl_Historique_Final[ppn_z],tbl_Historique_Final[date_modif])=Final_Sans_VGE[[#This Row],[date_modif]],
      "Ancien",
      "Modifié"),
   "Nouveau"))</f>
        <v>#VALUE!</v>
      </c>
      <c r="AD6717" s="1" t="str">
        <f>IFERROR(IF(Final_Sans_VGE[[#This Row],[ppn_z]]="","",IFERROR(
   IF(_xlfn.XLOOKUP(Final_Sans_VGE[[#This Row],[ppn_z]],tbl_Historique_Final[[#This Row],[ppn_z]],tbl_Historique_Final[[#This Row],[date_modif]])=Final_Sans_VGE[[#This Row],[date_modif]],
      "Ancien",
      "Modifié"),
   "Nouveau")),"")</f>
        <v/>
      </c>
    </row>
    <row r="6718" spans="24:30" x14ac:dyDescent="0.25">
      <c r="X6718" s="8" t="e">
        <f>IF(Final_Sans_VGE[[#This Row],[ppn_z]]="","",IFERROR(
   IF(_xlfn.XLOOKUP(Final_Sans_VGE[[#This Row],[ppn_z]],tbl_Historique_Final[ppn_z],tbl_Historique_Final[date_modif])=Final_Sans_VGE[[#This Row],[date_modif]],
      "Ancien",
      "Modifié"),
   "Nouveau"))</f>
        <v>#VALUE!</v>
      </c>
      <c r="AD6718" s="1" t="str">
        <f>IFERROR(IF(Final_Sans_VGE[[#This Row],[ppn_z]]="","",IFERROR(
   IF(_xlfn.XLOOKUP(Final_Sans_VGE[[#This Row],[ppn_z]],tbl_Historique_Final[[#This Row],[ppn_z]],tbl_Historique_Final[[#This Row],[date_modif]])=Final_Sans_VGE[[#This Row],[date_modif]],
      "Ancien",
      "Modifié"),
   "Nouveau")),"")</f>
        <v/>
      </c>
    </row>
    <row r="6719" spans="24:30" x14ac:dyDescent="0.25">
      <c r="X6719" s="8" t="e">
        <f>IF(Final_Sans_VGE[[#This Row],[ppn_z]]="","",IFERROR(
   IF(_xlfn.XLOOKUP(Final_Sans_VGE[[#This Row],[ppn_z]],tbl_Historique_Final[ppn_z],tbl_Historique_Final[date_modif])=Final_Sans_VGE[[#This Row],[date_modif]],
      "Ancien",
      "Modifié"),
   "Nouveau"))</f>
        <v>#VALUE!</v>
      </c>
      <c r="AD6719" s="1" t="str">
        <f>IFERROR(IF(Final_Sans_VGE[[#This Row],[ppn_z]]="","",IFERROR(
   IF(_xlfn.XLOOKUP(Final_Sans_VGE[[#This Row],[ppn_z]],tbl_Historique_Final[[#This Row],[ppn_z]],tbl_Historique_Final[[#This Row],[date_modif]])=Final_Sans_VGE[[#This Row],[date_modif]],
      "Ancien",
      "Modifié"),
   "Nouveau")),"")</f>
        <v/>
      </c>
    </row>
    <row r="6720" spans="24:30" x14ac:dyDescent="0.25">
      <c r="X6720" s="8" t="e">
        <f>IF(Final_Sans_VGE[[#This Row],[ppn_z]]="","",IFERROR(
   IF(_xlfn.XLOOKUP(Final_Sans_VGE[[#This Row],[ppn_z]],tbl_Historique_Final[ppn_z],tbl_Historique_Final[date_modif])=Final_Sans_VGE[[#This Row],[date_modif]],
      "Ancien",
      "Modifié"),
   "Nouveau"))</f>
        <v>#VALUE!</v>
      </c>
      <c r="AD6720" s="1" t="str">
        <f>IFERROR(IF(Final_Sans_VGE[[#This Row],[ppn_z]]="","",IFERROR(
   IF(_xlfn.XLOOKUP(Final_Sans_VGE[[#This Row],[ppn_z]],tbl_Historique_Final[[#This Row],[ppn_z]],tbl_Historique_Final[[#This Row],[date_modif]])=Final_Sans_VGE[[#This Row],[date_modif]],
      "Ancien",
      "Modifié"),
   "Nouveau")),"")</f>
        <v/>
      </c>
    </row>
    <row r="6721" spans="24:30" x14ac:dyDescent="0.25">
      <c r="X6721" s="8" t="e">
        <f>IF(Final_Sans_VGE[[#This Row],[ppn_z]]="","",IFERROR(
   IF(_xlfn.XLOOKUP(Final_Sans_VGE[[#This Row],[ppn_z]],tbl_Historique_Final[ppn_z],tbl_Historique_Final[date_modif])=Final_Sans_VGE[[#This Row],[date_modif]],
      "Ancien",
      "Modifié"),
   "Nouveau"))</f>
        <v>#VALUE!</v>
      </c>
      <c r="AD6721" s="1" t="str">
        <f>IFERROR(IF(Final_Sans_VGE[[#This Row],[ppn_z]]="","",IFERROR(
   IF(_xlfn.XLOOKUP(Final_Sans_VGE[[#This Row],[ppn_z]],tbl_Historique_Final[[#This Row],[ppn_z]],tbl_Historique_Final[[#This Row],[date_modif]])=Final_Sans_VGE[[#This Row],[date_modif]],
      "Ancien",
      "Modifié"),
   "Nouveau")),"")</f>
        <v/>
      </c>
    </row>
    <row r="6722" spans="24:30" x14ac:dyDescent="0.25">
      <c r="X6722" s="8" t="e">
        <f>IF(Final_Sans_VGE[[#This Row],[ppn_z]]="","",IFERROR(
   IF(_xlfn.XLOOKUP(Final_Sans_VGE[[#This Row],[ppn_z]],tbl_Historique_Final[ppn_z],tbl_Historique_Final[date_modif])=Final_Sans_VGE[[#This Row],[date_modif]],
      "Ancien",
      "Modifié"),
   "Nouveau"))</f>
        <v>#VALUE!</v>
      </c>
      <c r="AD6722" s="1" t="str">
        <f>IFERROR(IF(Final_Sans_VGE[[#This Row],[ppn_z]]="","",IFERROR(
   IF(_xlfn.XLOOKUP(Final_Sans_VGE[[#This Row],[ppn_z]],tbl_Historique_Final[[#This Row],[ppn_z]],tbl_Historique_Final[[#This Row],[date_modif]])=Final_Sans_VGE[[#This Row],[date_modif]],
      "Ancien",
      "Modifié"),
   "Nouveau")),"")</f>
        <v/>
      </c>
    </row>
    <row r="6723" spans="24:30" x14ac:dyDescent="0.25">
      <c r="X6723" s="8" t="e">
        <f>IF(Final_Sans_VGE[[#This Row],[ppn_z]]="","",IFERROR(
   IF(_xlfn.XLOOKUP(Final_Sans_VGE[[#This Row],[ppn_z]],tbl_Historique_Final[ppn_z],tbl_Historique_Final[date_modif])=Final_Sans_VGE[[#This Row],[date_modif]],
      "Ancien",
      "Modifié"),
   "Nouveau"))</f>
        <v>#VALUE!</v>
      </c>
      <c r="AD6723" s="1" t="str">
        <f>IFERROR(IF(Final_Sans_VGE[[#This Row],[ppn_z]]="","",IFERROR(
   IF(_xlfn.XLOOKUP(Final_Sans_VGE[[#This Row],[ppn_z]],tbl_Historique_Final[[#This Row],[ppn_z]],tbl_Historique_Final[[#This Row],[date_modif]])=Final_Sans_VGE[[#This Row],[date_modif]],
      "Ancien",
      "Modifié"),
   "Nouveau")),"")</f>
        <v/>
      </c>
    </row>
    <row r="6724" spans="24:30" x14ac:dyDescent="0.25">
      <c r="X6724" s="8" t="e">
        <f>IF(Final_Sans_VGE[[#This Row],[ppn_z]]="","",IFERROR(
   IF(_xlfn.XLOOKUP(Final_Sans_VGE[[#This Row],[ppn_z]],tbl_Historique_Final[ppn_z],tbl_Historique_Final[date_modif])=Final_Sans_VGE[[#This Row],[date_modif]],
      "Ancien",
      "Modifié"),
   "Nouveau"))</f>
        <v>#VALUE!</v>
      </c>
      <c r="AD6724" s="1" t="str">
        <f>IFERROR(IF(Final_Sans_VGE[[#This Row],[ppn_z]]="","",IFERROR(
   IF(_xlfn.XLOOKUP(Final_Sans_VGE[[#This Row],[ppn_z]],tbl_Historique_Final[[#This Row],[ppn_z]],tbl_Historique_Final[[#This Row],[date_modif]])=Final_Sans_VGE[[#This Row],[date_modif]],
      "Ancien",
      "Modifié"),
   "Nouveau")),"")</f>
        <v/>
      </c>
    </row>
    <row r="6725" spans="24:30" x14ac:dyDescent="0.25">
      <c r="X6725" s="8" t="e">
        <f>IF(Final_Sans_VGE[[#This Row],[ppn_z]]="","",IFERROR(
   IF(_xlfn.XLOOKUP(Final_Sans_VGE[[#This Row],[ppn_z]],tbl_Historique_Final[ppn_z],tbl_Historique_Final[date_modif])=Final_Sans_VGE[[#This Row],[date_modif]],
      "Ancien",
      "Modifié"),
   "Nouveau"))</f>
        <v>#VALUE!</v>
      </c>
      <c r="AD6725" s="1" t="str">
        <f>IFERROR(IF(Final_Sans_VGE[[#This Row],[ppn_z]]="","",IFERROR(
   IF(_xlfn.XLOOKUP(Final_Sans_VGE[[#This Row],[ppn_z]],tbl_Historique_Final[[#This Row],[ppn_z]],tbl_Historique_Final[[#This Row],[date_modif]])=Final_Sans_VGE[[#This Row],[date_modif]],
      "Ancien",
      "Modifié"),
   "Nouveau")),"")</f>
        <v/>
      </c>
    </row>
    <row r="6726" spans="24:30" x14ac:dyDescent="0.25">
      <c r="X6726" s="8" t="e">
        <f>IF(Final_Sans_VGE[[#This Row],[ppn_z]]="","",IFERROR(
   IF(_xlfn.XLOOKUP(Final_Sans_VGE[[#This Row],[ppn_z]],tbl_Historique_Final[ppn_z],tbl_Historique_Final[date_modif])=Final_Sans_VGE[[#This Row],[date_modif]],
      "Ancien",
      "Modifié"),
   "Nouveau"))</f>
        <v>#VALUE!</v>
      </c>
      <c r="AD6726" s="1" t="str">
        <f>IFERROR(IF(Final_Sans_VGE[[#This Row],[ppn_z]]="","",IFERROR(
   IF(_xlfn.XLOOKUP(Final_Sans_VGE[[#This Row],[ppn_z]],tbl_Historique_Final[[#This Row],[ppn_z]],tbl_Historique_Final[[#This Row],[date_modif]])=Final_Sans_VGE[[#This Row],[date_modif]],
      "Ancien",
      "Modifié"),
   "Nouveau")),"")</f>
        <v/>
      </c>
    </row>
    <row r="6727" spans="24:30" x14ac:dyDescent="0.25">
      <c r="X6727" s="8" t="e">
        <f>IF(Final_Sans_VGE[[#This Row],[ppn_z]]="","",IFERROR(
   IF(_xlfn.XLOOKUP(Final_Sans_VGE[[#This Row],[ppn_z]],tbl_Historique_Final[ppn_z],tbl_Historique_Final[date_modif])=Final_Sans_VGE[[#This Row],[date_modif]],
      "Ancien",
      "Modifié"),
   "Nouveau"))</f>
        <v>#VALUE!</v>
      </c>
      <c r="AD6727" s="1" t="str">
        <f>IFERROR(IF(Final_Sans_VGE[[#This Row],[ppn_z]]="","",IFERROR(
   IF(_xlfn.XLOOKUP(Final_Sans_VGE[[#This Row],[ppn_z]],tbl_Historique_Final[[#This Row],[ppn_z]],tbl_Historique_Final[[#This Row],[date_modif]])=Final_Sans_VGE[[#This Row],[date_modif]],
      "Ancien",
      "Modifié"),
   "Nouveau")),"")</f>
        <v/>
      </c>
    </row>
    <row r="6728" spans="24:30" x14ac:dyDescent="0.25">
      <c r="X6728" s="8" t="e">
        <f>IF(Final_Sans_VGE[[#This Row],[ppn_z]]="","",IFERROR(
   IF(_xlfn.XLOOKUP(Final_Sans_VGE[[#This Row],[ppn_z]],tbl_Historique_Final[ppn_z],tbl_Historique_Final[date_modif])=Final_Sans_VGE[[#This Row],[date_modif]],
      "Ancien",
      "Modifié"),
   "Nouveau"))</f>
        <v>#VALUE!</v>
      </c>
      <c r="AD6728" s="1" t="str">
        <f>IFERROR(IF(Final_Sans_VGE[[#This Row],[ppn_z]]="","",IFERROR(
   IF(_xlfn.XLOOKUP(Final_Sans_VGE[[#This Row],[ppn_z]],tbl_Historique_Final[[#This Row],[ppn_z]],tbl_Historique_Final[[#This Row],[date_modif]])=Final_Sans_VGE[[#This Row],[date_modif]],
      "Ancien",
      "Modifié"),
   "Nouveau")),"")</f>
        <v/>
      </c>
    </row>
    <row r="6729" spans="24:30" x14ac:dyDescent="0.25">
      <c r="X6729" s="8" t="e">
        <f>IF(Final_Sans_VGE[[#This Row],[ppn_z]]="","",IFERROR(
   IF(_xlfn.XLOOKUP(Final_Sans_VGE[[#This Row],[ppn_z]],tbl_Historique_Final[ppn_z],tbl_Historique_Final[date_modif])=Final_Sans_VGE[[#This Row],[date_modif]],
      "Ancien",
      "Modifié"),
   "Nouveau"))</f>
        <v>#VALUE!</v>
      </c>
      <c r="AD6729" s="1" t="str">
        <f>IFERROR(IF(Final_Sans_VGE[[#This Row],[ppn_z]]="","",IFERROR(
   IF(_xlfn.XLOOKUP(Final_Sans_VGE[[#This Row],[ppn_z]],tbl_Historique_Final[[#This Row],[ppn_z]],tbl_Historique_Final[[#This Row],[date_modif]])=Final_Sans_VGE[[#This Row],[date_modif]],
      "Ancien",
      "Modifié"),
   "Nouveau")),"")</f>
        <v/>
      </c>
    </row>
    <row r="6730" spans="24:30" x14ac:dyDescent="0.25">
      <c r="X6730" s="8" t="e">
        <f>IF(Final_Sans_VGE[[#This Row],[ppn_z]]="","",IFERROR(
   IF(_xlfn.XLOOKUP(Final_Sans_VGE[[#This Row],[ppn_z]],tbl_Historique_Final[ppn_z],tbl_Historique_Final[date_modif])=Final_Sans_VGE[[#This Row],[date_modif]],
      "Ancien",
      "Modifié"),
   "Nouveau"))</f>
        <v>#VALUE!</v>
      </c>
      <c r="AD6730" s="1" t="str">
        <f>IFERROR(IF(Final_Sans_VGE[[#This Row],[ppn_z]]="","",IFERROR(
   IF(_xlfn.XLOOKUP(Final_Sans_VGE[[#This Row],[ppn_z]],tbl_Historique_Final[[#This Row],[ppn_z]],tbl_Historique_Final[[#This Row],[date_modif]])=Final_Sans_VGE[[#This Row],[date_modif]],
      "Ancien",
      "Modifié"),
   "Nouveau")),"")</f>
        <v/>
      </c>
    </row>
    <row r="6731" spans="24:30" x14ac:dyDescent="0.25">
      <c r="X6731" s="8" t="e">
        <f>IF(Final_Sans_VGE[[#This Row],[ppn_z]]="","",IFERROR(
   IF(_xlfn.XLOOKUP(Final_Sans_VGE[[#This Row],[ppn_z]],tbl_Historique_Final[ppn_z],tbl_Historique_Final[date_modif])=Final_Sans_VGE[[#This Row],[date_modif]],
      "Ancien",
      "Modifié"),
   "Nouveau"))</f>
        <v>#VALUE!</v>
      </c>
      <c r="AD6731" s="1" t="str">
        <f>IFERROR(IF(Final_Sans_VGE[[#This Row],[ppn_z]]="","",IFERROR(
   IF(_xlfn.XLOOKUP(Final_Sans_VGE[[#This Row],[ppn_z]],tbl_Historique_Final[[#This Row],[ppn_z]],tbl_Historique_Final[[#This Row],[date_modif]])=Final_Sans_VGE[[#This Row],[date_modif]],
      "Ancien",
      "Modifié"),
   "Nouveau")),"")</f>
        <v/>
      </c>
    </row>
    <row r="6732" spans="24:30" x14ac:dyDescent="0.25">
      <c r="X6732" s="8" t="e">
        <f>IF(Final_Sans_VGE[[#This Row],[ppn_z]]="","",IFERROR(
   IF(_xlfn.XLOOKUP(Final_Sans_VGE[[#This Row],[ppn_z]],tbl_Historique_Final[ppn_z],tbl_Historique_Final[date_modif])=Final_Sans_VGE[[#This Row],[date_modif]],
      "Ancien",
      "Modifié"),
   "Nouveau"))</f>
        <v>#VALUE!</v>
      </c>
      <c r="AD6732" s="1" t="str">
        <f>IFERROR(IF(Final_Sans_VGE[[#This Row],[ppn_z]]="","",IFERROR(
   IF(_xlfn.XLOOKUP(Final_Sans_VGE[[#This Row],[ppn_z]],tbl_Historique_Final[[#This Row],[ppn_z]],tbl_Historique_Final[[#This Row],[date_modif]])=Final_Sans_VGE[[#This Row],[date_modif]],
      "Ancien",
      "Modifié"),
   "Nouveau")),"")</f>
        <v/>
      </c>
    </row>
    <row r="6733" spans="24:30" x14ac:dyDescent="0.25">
      <c r="X6733" s="8" t="e">
        <f>IF(Final_Sans_VGE[[#This Row],[ppn_z]]="","",IFERROR(
   IF(_xlfn.XLOOKUP(Final_Sans_VGE[[#This Row],[ppn_z]],tbl_Historique_Final[ppn_z],tbl_Historique_Final[date_modif])=Final_Sans_VGE[[#This Row],[date_modif]],
      "Ancien",
      "Modifié"),
   "Nouveau"))</f>
        <v>#VALUE!</v>
      </c>
      <c r="AD6733" s="1" t="str">
        <f>IFERROR(IF(Final_Sans_VGE[[#This Row],[ppn_z]]="","",IFERROR(
   IF(_xlfn.XLOOKUP(Final_Sans_VGE[[#This Row],[ppn_z]],tbl_Historique_Final[[#This Row],[ppn_z]],tbl_Historique_Final[[#This Row],[date_modif]])=Final_Sans_VGE[[#This Row],[date_modif]],
      "Ancien",
      "Modifié"),
   "Nouveau")),"")</f>
        <v/>
      </c>
    </row>
    <row r="6734" spans="24:30" x14ac:dyDescent="0.25">
      <c r="X6734" s="8" t="e">
        <f>IF(Final_Sans_VGE[[#This Row],[ppn_z]]="","",IFERROR(
   IF(_xlfn.XLOOKUP(Final_Sans_VGE[[#This Row],[ppn_z]],tbl_Historique_Final[ppn_z],tbl_Historique_Final[date_modif])=Final_Sans_VGE[[#This Row],[date_modif]],
      "Ancien",
      "Modifié"),
   "Nouveau"))</f>
        <v>#VALUE!</v>
      </c>
      <c r="AD6734" s="1" t="str">
        <f>IFERROR(IF(Final_Sans_VGE[[#This Row],[ppn_z]]="","",IFERROR(
   IF(_xlfn.XLOOKUP(Final_Sans_VGE[[#This Row],[ppn_z]],tbl_Historique_Final[[#This Row],[ppn_z]],tbl_Historique_Final[[#This Row],[date_modif]])=Final_Sans_VGE[[#This Row],[date_modif]],
      "Ancien",
      "Modifié"),
   "Nouveau")),"")</f>
        <v/>
      </c>
    </row>
    <row r="6735" spans="24:30" x14ac:dyDescent="0.25">
      <c r="X6735" s="8" t="e">
        <f>IF(Final_Sans_VGE[[#This Row],[ppn_z]]="","",IFERROR(
   IF(_xlfn.XLOOKUP(Final_Sans_VGE[[#This Row],[ppn_z]],tbl_Historique_Final[ppn_z],tbl_Historique_Final[date_modif])=Final_Sans_VGE[[#This Row],[date_modif]],
      "Ancien",
      "Modifié"),
   "Nouveau"))</f>
        <v>#VALUE!</v>
      </c>
      <c r="AD6735" s="1" t="str">
        <f>IFERROR(IF(Final_Sans_VGE[[#This Row],[ppn_z]]="","",IFERROR(
   IF(_xlfn.XLOOKUP(Final_Sans_VGE[[#This Row],[ppn_z]],tbl_Historique_Final[[#This Row],[ppn_z]],tbl_Historique_Final[[#This Row],[date_modif]])=Final_Sans_VGE[[#This Row],[date_modif]],
      "Ancien",
      "Modifié"),
   "Nouveau")),"")</f>
        <v/>
      </c>
    </row>
    <row r="6736" spans="24:30" x14ac:dyDescent="0.25">
      <c r="X6736" s="8" t="e">
        <f>IF(Final_Sans_VGE[[#This Row],[ppn_z]]="","",IFERROR(
   IF(_xlfn.XLOOKUP(Final_Sans_VGE[[#This Row],[ppn_z]],tbl_Historique_Final[ppn_z],tbl_Historique_Final[date_modif])=Final_Sans_VGE[[#This Row],[date_modif]],
      "Ancien",
      "Modifié"),
   "Nouveau"))</f>
        <v>#VALUE!</v>
      </c>
      <c r="AD6736" s="1" t="str">
        <f>IFERROR(IF(Final_Sans_VGE[[#This Row],[ppn_z]]="","",IFERROR(
   IF(_xlfn.XLOOKUP(Final_Sans_VGE[[#This Row],[ppn_z]],tbl_Historique_Final[[#This Row],[ppn_z]],tbl_Historique_Final[[#This Row],[date_modif]])=Final_Sans_VGE[[#This Row],[date_modif]],
      "Ancien",
      "Modifié"),
   "Nouveau")),"")</f>
        <v/>
      </c>
    </row>
    <row r="6737" spans="24:30" x14ac:dyDescent="0.25">
      <c r="X6737" s="8" t="e">
        <f>IF(Final_Sans_VGE[[#This Row],[ppn_z]]="","",IFERROR(
   IF(_xlfn.XLOOKUP(Final_Sans_VGE[[#This Row],[ppn_z]],tbl_Historique_Final[ppn_z],tbl_Historique_Final[date_modif])=Final_Sans_VGE[[#This Row],[date_modif]],
      "Ancien",
      "Modifié"),
   "Nouveau"))</f>
        <v>#VALUE!</v>
      </c>
      <c r="AD6737" s="1" t="str">
        <f>IFERROR(IF(Final_Sans_VGE[[#This Row],[ppn_z]]="","",IFERROR(
   IF(_xlfn.XLOOKUP(Final_Sans_VGE[[#This Row],[ppn_z]],tbl_Historique_Final[[#This Row],[ppn_z]],tbl_Historique_Final[[#This Row],[date_modif]])=Final_Sans_VGE[[#This Row],[date_modif]],
      "Ancien",
      "Modifié"),
   "Nouveau")),"")</f>
        <v/>
      </c>
    </row>
    <row r="6738" spans="24:30" x14ac:dyDescent="0.25">
      <c r="X6738" s="8" t="e">
        <f>IF(Final_Sans_VGE[[#This Row],[ppn_z]]="","",IFERROR(
   IF(_xlfn.XLOOKUP(Final_Sans_VGE[[#This Row],[ppn_z]],tbl_Historique_Final[ppn_z],tbl_Historique_Final[date_modif])=Final_Sans_VGE[[#This Row],[date_modif]],
      "Ancien",
      "Modifié"),
   "Nouveau"))</f>
        <v>#VALUE!</v>
      </c>
      <c r="AD6738" s="1" t="str">
        <f>IFERROR(IF(Final_Sans_VGE[[#This Row],[ppn_z]]="","",IFERROR(
   IF(_xlfn.XLOOKUP(Final_Sans_VGE[[#This Row],[ppn_z]],tbl_Historique_Final[[#This Row],[ppn_z]],tbl_Historique_Final[[#This Row],[date_modif]])=Final_Sans_VGE[[#This Row],[date_modif]],
      "Ancien",
      "Modifié"),
   "Nouveau")),"")</f>
        <v/>
      </c>
    </row>
    <row r="6739" spans="24:30" x14ac:dyDescent="0.25">
      <c r="X6739" s="8" t="e">
        <f>IF(Final_Sans_VGE[[#This Row],[ppn_z]]="","",IFERROR(
   IF(_xlfn.XLOOKUP(Final_Sans_VGE[[#This Row],[ppn_z]],tbl_Historique_Final[ppn_z],tbl_Historique_Final[date_modif])=Final_Sans_VGE[[#This Row],[date_modif]],
      "Ancien",
      "Modifié"),
   "Nouveau"))</f>
        <v>#VALUE!</v>
      </c>
      <c r="AD6739" s="1" t="str">
        <f>IFERROR(IF(Final_Sans_VGE[[#This Row],[ppn_z]]="","",IFERROR(
   IF(_xlfn.XLOOKUP(Final_Sans_VGE[[#This Row],[ppn_z]],tbl_Historique_Final[[#This Row],[ppn_z]],tbl_Historique_Final[[#This Row],[date_modif]])=Final_Sans_VGE[[#This Row],[date_modif]],
      "Ancien",
      "Modifié"),
   "Nouveau")),"")</f>
        <v/>
      </c>
    </row>
    <row r="6740" spans="24:30" x14ac:dyDescent="0.25">
      <c r="X6740" s="8" t="e">
        <f>IF(Final_Sans_VGE[[#This Row],[ppn_z]]="","",IFERROR(
   IF(_xlfn.XLOOKUP(Final_Sans_VGE[[#This Row],[ppn_z]],tbl_Historique_Final[ppn_z],tbl_Historique_Final[date_modif])=Final_Sans_VGE[[#This Row],[date_modif]],
      "Ancien",
      "Modifié"),
   "Nouveau"))</f>
        <v>#VALUE!</v>
      </c>
      <c r="AD6740" s="1" t="str">
        <f>IFERROR(IF(Final_Sans_VGE[[#This Row],[ppn_z]]="","",IFERROR(
   IF(_xlfn.XLOOKUP(Final_Sans_VGE[[#This Row],[ppn_z]],tbl_Historique_Final[[#This Row],[ppn_z]],tbl_Historique_Final[[#This Row],[date_modif]])=Final_Sans_VGE[[#This Row],[date_modif]],
      "Ancien",
      "Modifié"),
   "Nouveau")),"")</f>
        <v/>
      </c>
    </row>
    <row r="6741" spans="24:30" x14ac:dyDescent="0.25">
      <c r="X6741" s="8" t="e">
        <f>IF(Final_Sans_VGE[[#This Row],[ppn_z]]="","",IFERROR(
   IF(_xlfn.XLOOKUP(Final_Sans_VGE[[#This Row],[ppn_z]],tbl_Historique_Final[ppn_z],tbl_Historique_Final[date_modif])=Final_Sans_VGE[[#This Row],[date_modif]],
      "Ancien",
      "Modifié"),
   "Nouveau"))</f>
        <v>#VALUE!</v>
      </c>
      <c r="AD6741" s="1" t="str">
        <f>IFERROR(IF(Final_Sans_VGE[[#This Row],[ppn_z]]="","",IFERROR(
   IF(_xlfn.XLOOKUP(Final_Sans_VGE[[#This Row],[ppn_z]],tbl_Historique_Final[[#This Row],[ppn_z]],tbl_Historique_Final[[#This Row],[date_modif]])=Final_Sans_VGE[[#This Row],[date_modif]],
      "Ancien",
      "Modifié"),
   "Nouveau")),"")</f>
        <v/>
      </c>
    </row>
    <row r="6742" spans="24:30" x14ac:dyDescent="0.25">
      <c r="X6742" s="8" t="e">
        <f>IF(Final_Sans_VGE[[#This Row],[ppn_z]]="","",IFERROR(
   IF(_xlfn.XLOOKUP(Final_Sans_VGE[[#This Row],[ppn_z]],tbl_Historique_Final[ppn_z],tbl_Historique_Final[date_modif])=Final_Sans_VGE[[#This Row],[date_modif]],
      "Ancien",
      "Modifié"),
   "Nouveau"))</f>
        <v>#VALUE!</v>
      </c>
      <c r="AD6742" s="1" t="str">
        <f>IFERROR(IF(Final_Sans_VGE[[#This Row],[ppn_z]]="","",IFERROR(
   IF(_xlfn.XLOOKUP(Final_Sans_VGE[[#This Row],[ppn_z]],tbl_Historique_Final[[#This Row],[ppn_z]],tbl_Historique_Final[[#This Row],[date_modif]])=Final_Sans_VGE[[#This Row],[date_modif]],
      "Ancien",
      "Modifié"),
   "Nouveau")),"")</f>
        <v/>
      </c>
    </row>
    <row r="6743" spans="24:30" x14ac:dyDescent="0.25">
      <c r="X6743" s="8" t="e">
        <f>IF(Final_Sans_VGE[[#This Row],[ppn_z]]="","",IFERROR(
   IF(_xlfn.XLOOKUP(Final_Sans_VGE[[#This Row],[ppn_z]],tbl_Historique_Final[ppn_z],tbl_Historique_Final[date_modif])=Final_Sans_VGE[[#This Row],[date_modif]],
      "Ancien",
      "Modifié"),
   "Nouveau"))</f>
        <v>#VALUE!</v>
      </c>
      <c r="AD6743" s="1" t="str">
        <f>IFERROR(IF(Final_Sans_VGE[[#This Row],[ppn_z]]="","",IFERROR(
   IF(_xlfn.XLOOKUP(Final_Sans_VGE[[#This Row],[ppn_z]],tbl_Historique_Final[[#This Row],[ppn_z]],tbl_Historique_Final[[#This Row],[date_modif]])=Final_Sans_VGE[[#This Row],[date_modif]],
      "Ancien",
      "Modifié"),
   "Nouveau")),"")</f>
        <v/>
      </c>
    </row>
    <row r="6744" spans="24:30" x14ac:dyDescent="0.25">
      <c r="X6744" s="8" t="e">
        <f>IF(Final_Sans_VGE[[#This Row],[ppn_z]]="","",IFERROR(
   IF(_xlfn.XLOOKUP(Final_Sans_VGE[[#This Row],[ppn_z]],tbl_Historique_Final[ppn_z],tbl_Historique_Final[date_modif])=Final_Sans_VGE[[#This Row],[date_modif]],
      "Ancien",
      "Modifié"),
   "Nouveau"))</f>
        <v>#VALUE!</v>
      </c>
      <c r="AD6744" s="1" t="str">
        <f>IFERROR(IF(Final_Sans_VGE[[#This Row],[ppn_z]]="","",IFERROR(
   IF(_xlfn.XLOOKUP(Final_Sans_VGE[[#This Row],[ppn_z]],tbl_Historique_Final[[#This Row],[ppn_z]],tbl_Historique_Final[[#This Row],[date_modif]])=Final_Sans_VGE[[#This Row],[date_modif]],
      "Ancien",
      "Modifié"),
   "Nouveau")),"")</f>
        <v/>
      </c>
    </row>
    <row r="6745" spans="24:30" x14ac:dyDescent="0.25">
      <c r="X6745" s="8" t="e">
        <f>IF(Final_Sans_VGE[[#This Row],[ppn_z]]="","",IFERROR(
   IF(_xlfn.XLOOKUP(Final_Sans_VGE[[#This Row],[ppn_z]],tbl_Historique_Final[ppn_z],tbl_Historique_Final[date_modif])=Final_Sans_VGE[[#This Row],[date_modif]],
      "Ancien",
      "Modifié"),
   "Nouveau"))</f>
        <v>#VALUE!</v>
      </c>
      <c r="AD6745" s="1" t="str">
        <f>IFERROR(IF(Final_Sans_VGE[[#This Row],[ppn_z]]="","",IFERROR(
   IF(_xlfn.XLOOKUP(Final_Sans_VGE[[#This Row],[ppn_z]],tbl_Historique_Final[[#This Row],[ppn_z]],tbl_Historique_Final[[#This Row],[date_modif]])=Final_Sans_VGE[[#This Row],[date_modif]],
      "Ancien",
      "Modifié"),
   "Nouveau")),"")</f>
        <v/>
      </c>
    </row>
    <row r="6746" spans="24:30" x14ac:dyDescent="0.25">
      <c r="X6746" s="8" t="e">
        <f>IF(Final_Sans_VGE[[#This Row],[ppn_z]]="","",IFERROR(
   IF(_xlfn.XLOOKUP(Final_Sans_VGE[[#This Row],[ppn_z]],tbl_Historique_Final[ppn_z],tbl_Historique_Final[date_modif])=Final_Sans_VGE[[#This Row],[date_modif]],
      "Ancien",
      "Modifié"),
   "Nouveau"))</f>
        <v>#VALUE!</v>
      </c>
      <c r="AD6746" s="1" t="str">
        <f>IFERROR(IF(Final_Sans_VGE[[#This Row],[ppn_z]]="","",IFERROR(
   IF(_xlfn.XLOOKUP(Final_Sans_VGE[[#This Row],[ppn_z]],tbl_Historique_Final[[#This Row],[ppn_z]],tbl_Historique_Final[[#This Row],[date_modif]])=Final_Sans_VGE[[#This Row],[date_modif]],
      "Ancien",
      "Modifié"),
   "Nouveau")),"")</f>
        <v/>
      </c>
    </row>
    <row r="6747" spans="24:30" x14ac:dyDescent="0.25">
      <c r="X6747" s="8" t="e">
        <f>IF(Final_Sans_VGE[[#This Row],[ppn_z]]="","",IFERROR(
   IF(_xlfn.XLOOKUP(Final_Sans_VGE[[#This Row],[ppn_z]],tbl_Historique_Final[ppn_z],tbl_Historique_Final[date_modif])=Final_Sans_VGE[[#This Row],[date_modif]],
      "Ancien",
      "Modifié"),
   "Nouveau"))</f>
        <v>#VALUE!</v>
      </c>
      <c r="AD6747" s="1" t="str">
        <f>IFERROR(IF(Final_Sans_VGE[[#This Row],[ppn_z]]="","",IFERROR(
   IF(_xlfn.XLOOKUP(Final_Sans_VGE[[#This Row],[ppn_z]],tbl_Historique_Final[[#This Row],[ppn_z]],tbl_Historique_Final[[#This Row],[date_modif]])=Final_Sans_VGE[[#This Row],[date_modif]],
      "Ancien",
      "Modifié"),
   "Nouveau")),"")</f>
        <v/>
      </c>
    </row>
    <row r="6748" spans="24:30" x14ac:dyDescent="0.25">
      <c r="X6748" s="8" t="e">
        <f>IF(Final_Sans_VGE[[#This Row],[ppn_z]]="","",IFERROR(
   IF(_xlfn.XLOOKUP(Final_Sans_VGE[[#This Row],[ppn_z]],tbl_Historique_Final[ppn_z],tbl_Historique_Final[date_modif])=Final_Sans_VGE[[#This Row],[date_modif]],
      "Ancien",
      "Modifié"),
   "Nouveau"))</f>
        <v>#VALUE!</v>
      </c>
      <c r="AD6748" s="1" t="str">
        <f>IFERROR(IF(Final_Sans_VGE[[#This Row],[ppn_z]]="","",IFERROR(
   IF(_xlfn.XLOOKUP(Final_Sans_VGE[[#This Row],[ppn_z]],tbl_Historique_Final[[#This Row],[ppn_z]],tbl_Historique_Final[[#This Row],[date_modif]])=Final_Sans_VGE[[#This Row],[date_modif]],
      "Ancien",
      "Modifié"),
   "Nouveau")),"")</f>
        <v/>
      </c>
    </row>
    <row r="6749" spans="24:30" x14ac:dyDescent="0.25">
      <c r="X6749" s="8" t="e">
        <f>IF(Final_Sans_VGE[[#This Row],[ppn_z]]="","",IFERROR(
   IF(_xlfn.XLOOKUP(Final_Sans_VGE[[#This Row],[ppn_z]],tbl_Historique_Final[ppn_z],tbl_Historique_Final[date_modif])=Final_Sans_VGE[[#This Row],[date_modif]],
      "Ancien",
      "Modifié"),
   "Nouveau"))</f>
        <v>#VALUE!</v>
      </c>
      <c r="AD6749" s="1" t="str">
        <f>IFERROR(IF(Final_Sans_VGE[[#This Row],[ppn_z]]="","",IFERROR(
   IF(_xlfn.XLOOKUP(Final_Sans_VGE[[#This Row],[ppn_z]],tbl_Historique_Final[[#This Row],[ppn_z]],tbl_Historique_Final[[#This Row],[date_modif]])=Final_Sans_VGE[[#This Row],[date_modif]],
      "Ancien",
      "Modifié"),
   "Nouveau")),"")</f>
        <v/>
      </c>
    </row>
    <row r="6750" spans="24:30" x14ac:dyDescent="0.25">
      <c r="X6750" s="8" t="e">
        <f>IF(Final_Sans_VGE[[#This Row],[ppn_z]]="","",IFERROR(
   IF(_xlfn.XLOOKUP(Final_Sans_VGE[[#This Row],[ppn_z]],tbl_Historique_Final[ppn_z],tbl_Historique_Final[date_modif])=Final_Sans_VGE[[#This Row],[date_modif]],
      "Ancien",
      "Modifié"),
   "Nouveau"))</f>
        <v>#VALUE!</v>
      </c>
      <c r="AD6750" s="1" t="str">
        <f>IFERROR(IF(Final_Sans_VGE[[#This Row],[ppn_z]]="","",IFERROR(
   IF(_xlfn.XLOOKUP(Final_Sans_VGE[[#This Row],[ppn_z]],tbl_Historique_Final[[#This Row],[ppn_z]],tbl_Historique_Final[[#This Row],[date_modif]])=Final_Sans_VGE[[#This Row],[date_modif]],
      "Ancien",
      "Modifié"),
   "Nouveau")),"")</f>
        <v/>
      </c>
    </row>
    <row r="6751" spans="24:30" x14ac:dyDescent="0.25">
      <c r="X6751" s="8" t="e">
        <f>IF(Final_Sans_VGE[[#This Row],[ppn_z]]="","",IFERROR(
   IF(_xlfn.XLOOKUP(Final_Sans_VGE[[#This Row],[ppn_z]],tbl_Historique_Final[ppn_z],tbl_Historique_Final[date_modif])=Final_Sans_VGE[[#This Row],[date_modif]],
      "Ancien",
      "Modifié"),
   "Nouveau"))</f>
        <v>#VALUE!</v>
      </c>
      <c r="AD6751" s="1" t="str">
        <f>IFERROR(IF(Final_Sans_VGE[[#This Row],[ppn_z]]="","",IFERROR(
   IF(_xlfn.XLOOKUP(Final_Sans_VGE[[#This Row],[ppn_z]],tbl_Historique_Final[[#This Row],[ppn_z]],tbl_Historique_Final[[#This Row],[date_modif]])=Final_Sans_VGE[[#This Row],[date_modif]],
      "Ancien",
      "Modifié"),
   "Nouveau")),"")</f>
        <v/>
      </c>
    </row>
    <row r="6752" spans="24:30" x14ac:dyDescent="0.25">
      <c r="X6752" s="8" t="e">
        <f>IF(Final_Sans_VGE[[#This Row],[ppn_z]]="","",IFERROR(
   IF(_xlfn.XLOOKUP(Final_Sans_VGE[[#This Row],[ppn_z]],tbl_Historique_Final[ppn_z],tbl_Historique_Final[date_modif])=Final_Sans_VGE[[#This Row],[date_modif]],
      "Ancien",
      "Modifié"),
   "Nouveau"))</f>
        <v>#VALUE!</v>
      </c>
      <c r="AD6752" s="1" t="str">
        <f>IFERROR(IF(Final_Sans_VGE[[#This Row],[ppn_z]]="","",IFERROR(
   IF(_xlfn.XLOOKUP(Final_Sans_VGE[[#This Row],[ppn_z]],tbl_Historique_Final[[#This Row],[ppn_z]],tbl_Historique_Final[[#This Row],[date_modif]])=Final_Sans_VGE[[#This Row],[date_modif]],
      "Ancien",
      "Modifié"),
   "Nouveau")),"")</f>
        <v/>
      </c>
    </row>
    <row r="6753" spans="24:30" x14ac:dyDescent="0.25">
      <c r="X6753" s="8" t="e">
        <f>IF(Final_Sans_VGE[[#This Row],[ppn_z]]="","",IFERROR(
   IF(_xlfn.XLOOKUP(Final_Sans_VGE[[#This Row],[ppn_z]],tbl_Historique_Final[ppn_z],tbl_Historique_Final[date_modif])=Final_Sans_VGE[[#This Row],[date_modif]],
      "Ancien",
      "Modifié"),
   "Nouveau"))</f>
        <v>#VALUE!</v>
      </c>
      <c r="AD6753" s="1" t="str">
        <f>IFERROR(IF(Final_Sans_VGE[[#This Row],[ppn_z]]="","",IFERROR(
   IF(_xlfn.XLOOKUP(Final_Sans_VGE[[#This Row],[ppn_z]],tbl_Historique_Final[[#This Row],[ppn_z]],tbl_Historique_Final[[#This Row],[date_modif]])=Final_Sans_VGE[[#This Row],[date_modif]],
      "Ancien",
      "Modifié"),
   "Nouveau")),"")</f>
        <v/>
      </c>
    </row>
    <row r="6754" spans="24:30" x14ac:dyDescent="0.25">
      <c r="X6754" s="8" t="e">
        <f>IF(Final_Sans_VGE[[#This Row],[ppn_z]]="","",IFERROR(
   IF(_xlfn.XLOOKUP(Final_Sans_VGE[[#This Row],[ppn_z]],tbl_Historique_Final[ppn_z],tbl_Historique_Final[date_modif])=Final_Sans_VGE[[#This Row],[date_modif]],
      "Ancien",
      "Modifié"),
   "Nouveau"))</f>
        <v>#VALUE!</v>
      </c>
      <c r="AD6754" s="1" t="str">
        <f>IFERROR(IF(Final_Sans_VGE[[#This Row],[ppn_z]]="","",IFERROR(
   IF(_xlfn.XLOOKUP(Final_Sans_VGE[[#This Row],[ppn_z]],tbl_Historique_Final[[#This Row],[ppn_z]],tbl_Historique_Final[[#This Row],[date_modif]])=Final_Sans_VGE[[#This Row],[date_modif]],
      "Ancien",
      "Modifié"),
   "Nouveau")),"")</f>
        <v/>
      </c>
    </row>
    <row r="6755" spans="24:30" x14ac:dyDescent="0.25">
      <c r="X6755" s="8" t="e">
        <f>IF(Final_Sans_VGE[[#This Row],[ppn_z]]="","",IFERROR(
   IF(_xlfn.XLOOKUP(Final_Sans_VGE[[#This Row],[ppn_z]],tbl_Historique_Final[ppn_z],tbl_Historique_Final[date_modif])=Final_Sans_VGE[[#This Row],[date_modif]],
      "Ancien",
      "Modifié"),
   "Nouveau"))</f>
        <v>#VALUE!</v>
      </c>
      <c r="AD6755" s="1" t="str">
        <f>IFERROR(IF(Final_Sans_VGE[[#This Row],[ppn_z]]="","",IFERROR(
   IF(_xlfn.XLOOKUP(Final_Sans_VGE[[#This Row],[ppn_z]],tbl_Historique_Final[[#This Row],[ppn_z]],tbl_Historique_Final[[#This Row],[date_modif]])=Final_Sans_VGE[[#This Row],[date_modif]],
      "Ancien",
      "Modifié"),
   "Nouveau")),"")</f>
        <v/>
      </c>
    </row>
    <row r="6756" spans="24:30" x14ac:dyDescent="0.25">
      <c r="X6756" s="8" t="e">
        <f>IF(Final_Sans_VGE[[#This Row],[ppn_z]]="","",IFERROR(
   IF(_xlfn.XLOOKUP(Final_Sans_VGE[[#This Row],[ppn_z]],tbl_Historique_Final[ppn_z],tbl_Historique_Final[date_modif])=Final_Sans_VGE[[#This Row],[date_modif]],
      "Ancien",
      "Modifié"),
   "Nouveau"))</f>
        <v>#VALUE!</v>
      </c>
      <c r="AD6756" s="1" t="str">
        <f>IFERROR(IF(Final_Sans_VGE[[#This Row],[ppn_z]]="","",IFERROR(
   IF(_xlfn.XLOOKUP(Final_Sans_VGE[[#This Row],[ppn_z]],tbl_Historique_Final[[#This Row],[ppn_z]],tbl_Historique_Final[[#This Row],[date_modif]])=Final_Sans_VGE[[#This Row],[date_modif]],
      "Ancien",
      "Modifié"),
   "Nouveau")),"")</f>
        <v/>
      </c>
    </row>
    <row r="6757" spans="24:30" x14ac:dyDescent="0.25">
      <c r="X6757" s="8" t="e">
        <f>IF(Final_Sans_VGE[[#This Row],[ppn_z]]="","",IFERROR(
   IF(_xlfn.XLOOKUP(Final_Sans_VGE[[#This Row],[ppn_z]],tbl_Historique_Final[ppn_z],tbl_Historique_Final[date_modif])=Final_Sans_VGE[[#This Row],[date_modif]],
      "Ancien",
      "Modifié"),
   "Nouveau"))</f>
        <v>#VALUE!</v>
      </c>
      <c r="AD6757" s="1" t="str">
        <f>IFERROR(IF(Final_Sans_VGE[[#This Row],[ppn_z]]="","",IFERROR(
   IF(_xlfn.XLOOKUP(Final_Sans_VGE[[#This Row],[ppn_z]],tbl_Historique_Final[[#This Row],[ppn_z]],tbl_Historique_Final[[#This Row],[date_modif]])=Final_Sans_VGE[[#This Row],[date_modif]],
      "Ancien",
      "Modifié"),
   "Nouveau")),"")</f>
        <v/>
      </c>
    </row>
    <row r="6758" spans="24:30" x14ac:dyDescent="0.25">
      <c r="X6758" s="8" t="e">
        <f>IF(Final_Sans_VGE[[#This Row],[ppn_z]]="","",IFERROR(
   IF(_xlfn.XLOOKUP(Final_Sans_VGE[[#This Row],[ppn_z]],tbl_Historique_Final[ppn_z],tbl_Historique_Final[date_modif])=Final_Sans_VGE[[#This Row],[date_modif]],
      "Ancien",
      "Modifié"),
   "Nouveau"))</f>
        <v>#VALUE!</v>
      </c>
      <c r="AD6758" s="1" t="str">
        <f>IFERROR(IF(Final_Sans_VGE[[#This Row],[ppn_z]]="","",IFERROR(
   IF(_xlfn.XLOOKUP(Final_Sans_VGE[[#This Row],[ppn_z]],tbl_Historique_Final[[#This Row],[ppn_z]],tbl_Historique_Final[[#This Row],[date_modif]])=Final_Sans_VGE[[#This Row],[date_modif]],
      "Ancien",
      "Modifié"),
   "Nouveau")),"")</f>
        <v/>
      </c>
    </row>
    <row r="6759" spans="24:30" x14ac:dyDescent="0.25">
      <c r="X6759" s="8" t="e">
        <f>IF(Final_Sans_VGE[[#This Row],[ppn_z]]="","",IFERROR(
   IF(_xlfn.XLOOKUP(Final_Sans_VGE[[#This Row],[ppn_z]],tbl_Historique_Final[ppn_z],tbl_Historique_Final[date_modif])=Final_Sans_VGE[[#This Row],[date_modif]],
      "Ancien",
      "Modifié"),
   "Nouveau"))</f>
        <v>#VALUE!</v>
      </c>
      <c r="AD6759" s="1" t="str">
        <f>IFERROR(IF(Final_Sans_VGE[[#This Row],[ppn_z]]="","",IFERROR(
   IF(_xlfn.XLOOKUP(Final_Sans_VGE[[#This Row],[ppn_z]],tbl_Historique_Final[[#This Row],[ppn_z]],tbl_Historique_Final[[#This Row],[date_modif]])=Final_Sans_VGE[[#This Row],[date_modif]],
      "Ancien",
      "Modifié"),
   "Nouveau")),"")</f>
        <v/>
      </c>
    </row>
    <row r="6760" spans="24:30" x14ac:dyDescent="0.25">
      <c r="X6760" s="8" t="e">
        <f>IF(Final_Sans_VGE[[#This Row],[ppn_z]]="","",IFERROR(
   IF(_xlfn.XLOOKUP(Final_Sans_VGE[[#This Row],[ppn_z]],tbl_Historique_Final[ppn_z],tbl_Historique_Final[date_modif])=Final_Sans_VGE[[#This Row],[date_modif]],
      "Ancien",
      "Modifié"),
   "Nouveau"))</f>
        <v>#VALUE!</v>
      </c>
      <c r="AD6760" s="1" t="str">
        <f>IFERROR(IF(Final_Sans_VGE[[#This Row],[ppn_z]]="","",IFERROR(
   IF(_xlfn.XLOOKUP(Final_Sans_VGE[[#This Row],[ppn_z]],tbl_Historique_Final[[#This Row],[ppn_z]],tbl_Historique_Final[[#This Row],[date_modif]])=Final_Sans_VGE[[#This Row],[date_modif]],
      "Ancien",
      "Modifié"),
   "Nouveau")),"")</f>
        <v/>
      </c>
    </row>
    <row r="6761" spans="24:30" x14ac:dyDescent="0.25">
      <c r="X6761" s="8" t="e">
        <f>IF(Final_Sans_VGE[[#This Row],[ppn_z]]="","",IFERROR(
   IF(_xlfn.XLOOKUP(Final_Sans_VGE[[#This Row],[ppn_z]],tbl_Historique_Final[ppn_z],tbl_Historique_Final[date_modif])=Final_Sans_VGE[[#This Row],[date_modif]],
      "Ancien",
      "Modifié"),
   "Nouveau"))</f>
        <v>#VALUE!</v>
      </c>
      <c r="AD6761" s="1" t="str">
        <f>IFERROR(IF(Final_Sans_VGE[[#This Row],[ppn_z]]="","",IFERROR(
   IF(_xlfn.XLOOKUP(Final_Sans_VGE[[#This Row],[ppn_z]],tbl_Historique_Final[[#This Row],[ppn_z]],tbl_Historique_Final[[#This Row],[date_modif]])=Final_Sans_VGE[[#This Row],[date_modif]],
      "Ancien",
      "Modifié"),
   "Nouveau")),"")</f>
        <v/>
      </c>
    </row>
    <row r="6762" spans="24:30" x14ac:dyDescent="0.25">
      <c r="X6762" s="8" t="e">
        <f>IF(Final_Sans_VGE[[#This Row],[ppn_z]]="","",IFERROR(
   IF(_xlfn.XLOOKUP(Final_Sans_VGE[[#This Row],[ppn_z]],tbl_Historique_Final[ppn_z],tbl_Historique_Final[date_modif])=Final_Sans_VGE[[#This Row],[date_modif]],
      "Ancien",
      "Modifié"),
   "Nouveau"))</f>
        <v>#VALUE!</v>
      </c>
      <c r="AD6762" s="1" t="str">
        <f>IFERROR(IF(Final_Sans_VGE[[#This Row],[ppn_z]]="","",IFERROR(
   IF(_xlfn.XLOOKUP(Final_Sans_VGE[[#This Row],[ppn_z]],tbl_Historique_Final[[#This Row],[ppn_z]],tbl_Historique_Final[[#This Row],[date_modif]])=Final_Sans_VGE[[#This Row],[date_modif]],
      "Ancien",
      "Modifié"),
   "Nouveau")),"")</f>
        <v/>
      </c>
    </row>
    <row r="6763" spans="24:30" x14ac:dyDescent="0.25">
      <c r="X6763" s="8" t="e">
        <f>IF(Final_Sans_VGE[[#This Row],[ppn_z]]="","",IFERROR(
   IF(_xlfn.XLOOKUP(Final_Sans_VGE[[#This Row],[ppn_z]],tbl_Historique_Final[ppn_z],tbl_Historique_Final[date_modif])=Final_Sans_VGE[[#This Row],[date_modif]],
      "Ancien",
      "Modifié"),
   "Nouveau"))</f>
        <v>#VALUE!</v>
      </c>
      <c r="AD6763" s="1" t="str">
        <f>IFERROR(IF(Final_Sans_VGE[[#This Row],[ppn_z]]="","",IFERROR(
   IF(_xlfn.XLOOKUP(Final_Sans_VGE[[#This Row],[ppn_z]],tbl_Historique_Final[[#This Row],[ppn_z]],tbl_Historique_Final[[#This Row],[date_modif]])=Final_Sans_VGE[[#This Row],[date_modif]],
      "Ancien",
      "Modifié"),
   "Nouveau")),"")</f>
        <v/>
      </c>
    </row>
    <row r="6764" spans="24:30" x14ac:dyDescent="0.25">
      <c r="X6764" s="8" t="e">
        <f>IF(Final_Sans_VGE[[#This Row],[ppn_z]]="","",IFERROR(
   IF(_xlfn.XLOOKUP(Final_Sans_VGE[[#This Row],[ppn_z]],tbl_Historique_Final[ppn_z],tbl_Historique_Final[date_modif])=Final_Sans_VGE[[#This Row],[date_modif]],
      "Ancien",
      "Modifié"),
   "Nouveau"))</f>
        <v>#VALUE!</v>
      </c>
      <c r="AD6764" s="1" t="str">
        <f>IFERROR(IF(Final_Sans_VGE[[#This Row],[ppn_z]]="","",IFERROR(
   IF(_xlfn.XLOOKUP(Final_Sans_VGE[[#This Row],[ppn_z]],tbl_Historique_Final[[#This Row],[ppn_z]],tbl_Historique_Final[[#This Row],[date_modif]])=Final_Sans_VGE[[#This Row],[date_modif]],
      "Ancien",
      "Modifié"),
   "Nouveau")),"")</f>
        <v/>
      </c>
    </row>
    <row r="6765" spans="24:30" x14ac:dyDescent="0.25">
      <c r="X6765" s="8" t="e">
        <f>IF(Final_Sans_VGE[[#This Row],[ppn_z]]="","",IFERROR(
   IF(_xlfn.XLOOKUP(Final_Sans_VGE[[#This Row],[ppn_z]],tbl_Historique_Final[ppn_z],tbl_Historique_Final[date_modif])=Final_Sans_VGE[[#This Row],[date_modif]],
      "Ancien",
      "Modifié"),
   "Nouveau"))</f>
        <v>#VALUE!</v>
      </c>
      <c r="AD6765" s="1" t="str">
        <f>IFERROR(IF(Final_Sans_VGE[[#This Row],[ppn_z]]="","",IFERROR(
   IF(_xlfn.XLOOKUP(Final_Sans_VGE[[#This Row],[ppn_z]],tbl_Historique_Final[[#This Row],[ppn_z]],tbl_Historique_Final[[#This Row],[date_modif]])=Final_Sans_VGE[[#This Row],[date_modif]],
      "Ancien",
      "Modifié"),
   "Nouveau")),"")</f>
        <v/>
      </c>
    </row>
    <row r="6766" spans="24:30" x14ac:dyDescent="0.25">
      <c r="X6766" s="8" t="e">
        <f>IF(Final_Sans_VGE[[#This Row],[ppn_z]]="","",IFERROR(
   IF(_xlfn.XLOOKUP(Final_Sans_VGE[[#This Row],[ppn_z]],tbl_Historique_Final[ppn_z],tbl_Historique_Final[date_modif])=Final_Sans_VGE[[#This Row],[date_modif]],
      "Ancien",
      "Modifié"),
   "Nouveau"))</f>
        <v>#VALUE!</v>
      </c>
      <c r="AD6766" s="1" t="str">
        <f>IFERROR(IF(Final_Sans_VGE[[#This Row],[ppn_z]]="","",IFERROR(
   IF(_xlfn.XLOOKUP(Final_Sans_VGE[[#This Row],[ppn_z]],tbl_Historique_Final[[#This Row],[ppn_z]],tbl_Historique_Final[[#This Row],[date_modif]])=Final_Sans_VGE[[#This Row],[date_modif]],
      "Ancien",
      "Modifié"),
   "Nouveau")),"")</f>
        <v/>
      </c>
    </row>
    <row r="6767" spans="24:30" x14ac:dyDescent="0.25">
      <c r="X6767" s="8" t="e">
        <f>IF(Final_Sans_VGE[[#This Row],[ppn_z]]="","",IFERROR(
   IF(_xlfn.XLOOKUP(Final_Sans_VGE[[#This Row],[ppn_z]],tbl_Historique_Final[ppn_z],tbl_Historique_Final[date_modif])=Final_Sans_VGE[[#This Row],[date_modif]],
      "Ancien",
      "Modifié"),
   "Nouveau"))</f>
        <v>#VALUE!</v>
      </c>
      <c r="AD6767" s="1" t="str">
        <f>IFERROR(IF(Final_Sans_VGE[[#This Row],[ppn_z]]="","",IFERROR(
   IF(_xlfn.XLOOKUP(Final_Sans_VGE[[#This Row],[ppn_z]],tbl_Historique_Final[[#This Row],[ppn_z]],tbl_Historique_Final[[#This Row],[date_modif]])=Final_Sans_VGE[[#This Row],[date_modif]],
      "Ancien",
      "Modifié"),
   "Nouveau")),"")</f>
        <v/>
      </c>
    </row>
    <row r="6768" spans="24:30" x14ac:dyDescent="0.25">
      <c r="X6768" s="8" t="e">
        <f>IF(Final_Sans_VGE[[#This Row],[ppn_z]]="","",IFERROR(
   IF(_xlfn.XLOOKUP(Final_Sans_VGE[[#This Row],[ppn_z]],tbl_Historique_Final[ppn_z],tbl_Historique_Final[date_modif])=Final_Sans_VGE[[#This Row],[date_modif]],
      "Ancien",
      "Modifié"),
   "Nouveau"))</f>
        <v>#VALUE!</v>
      </c>
      <c r="AD6768" s="1" t="str">
        <f>IFERROR(IF(Final_Sans_VGE[[#This Row],[ppn_z]]="","",IFERROR(
   IF(_xlfn.XLOOKUP(Final_Sans_VGE[[#This Row],[ppn_z]],tbl_Historique_Final[[#This Row],[ppn_z]],tbl_Historique_Final[[#This Row],[date_modif]])=Final_Sans_VGE[[#This Row],[date_modif]],
      "Ancien",
      "Modifié"),
   "Nouveau")),"")</f>
        <v/>
      </c>
    </row>
    <row r="6769" spans="24:30" x14ac:dyDescent="0.25">
      <c r="X6769" s="8" t="e">
        <f>IF(Final_Sans_VGE[[#This Row],[ppn_z]]="","",IFERROR(
   IF(_xlfn.XLOOKUP(Final_Sans_VGE[[#This Row],[ppn_z]],tbl_Historique_Final[ppn_z],tbl_Historique_Final[date_modif])=Final_Sans_VGE[[#This Row],[date_modif]],
      "Ancien",
      "Modifié"),
   "Nouveau"))</f>
        <v>#VALUE!</v>
      </c>
      <c r="AD6769" s="1" t="str">
        <f>IFERROR(IF(Final_Sans_VGE[[#This Row],[ppn_z]]="","",IFERROR(
   IF(_xlfn.XLOOKUP(Final_Sans_VGE[[#This Row],[ppn_z]],tbl_Historique_Final[[#This Row],[ppn_z]],tbl_Historique_Final[[#This Row],[date_modif]])=Final_Sans_VGE[[#This Row],[date_modif]],
      "Ancien",
      "Modifié"),
   "Nouveau")),"")</f>
        <v/>
      </c>
    </row>
    <row r="6770" spans="24:30" x14ac:dyDescent="0.25">
      <c r="X6770" s="8" t="e">
        <f>IF(Final_Sans_VGE[[#This Row],[ppn_z]]="","",IFERROR(
   IF(_xlfn.XLOOKUP(Final_Sans_VGE[[#This Row],[ppn_z]],tbl_Historique_Final[ppn_z],tbl_Historique_Final[date_modif])=Final_Sans_VGE[[#This Row],[date_modif]],
      "Ancien",
      "Modifié"),
   "Nouveau"))</f>
        <v>#VALUE!</v>
      </c>
      <c r="AD6770" s="1" t="str">
        <f>IFERROR(IF(Final_Sans_VGE[[#This Row],[ppn_z]]="","",IFERROR(
   IF(_xlfn.XLOOKUP(Final_Sans_VGE[[#This Row],[ppn_z]],tbl_Historique_Final[[#This Row],[ppn_z]],tbl_Historique_Final[[#This Row],[date_modif]])=Final_Sans_VGE[[#This Row],[date_modif]],
      "Ancien",
      "Modifié"),
   "Nouveau")),"")</f>
        <v/>
      </c>
    </row>
    <row r="6771" spans="24:30" x14ac:dyDescent="0.25">
      <c r="X6771" s="8" t="e">
        <f>IF(Final_Sans_VGE[[#This Row],[ppn_z]]="","",IFERROR(
   IF(_xlfn.XLOOKUP(Final_Sans_VGE[[#This Row],[ppn_z]],tbl_Historique_Final[ppn_z],tbl_Historique_Final[date_modif])=Final_Sans_VGE[[#This Row],[date_modif]],
      "Ancien",
      "Modifié"),
   "Nouveau"))</f>
        <v>#VALUE!</v>
      </c>
      <c r="AD6771" s="1" t="str">
        <f>IFERROR(IF(Final_Sans_VGE[[#This Row],[ppn_z]]="","",IFERROR(
   IF(_xlfn.XLOOKUP(Final_Sans_VGE[[#This Row],[ppn_z]],tbl_Historique_Final[[#This Row],[ppn_z]],tbl_Historique_Final[[#This Row],[date_modif]])=Final_Sans_VGE[[#This Row],[date_modif]],
      "Ancien",
      "Modifié"),
   "Nouveau")),"")</f>
        <v/>
      </c>
    </row>
    <row r="6772" spans="24:30" x14ac:dyDescent="0.25">
      <c r="X6772" s="8" t="e">
        <f>IF(Final_Sans_VGE[[#This Row],[ppn_z]]="","",IFERROR(
   IF(_xlfn.XLOOKUP(Final_Sans_VGE[[#This Row],[ppn_z]],tbl_Historique_Final[ppn_z],tbl_Historique_Final[date_modif])=Final_Sans_VGE[[#This Row],[date_modif]],
      "Ancien",
      "Modifié"),
   "Nouveau"))</f>
        <v>#VALUE!</v>
      </c>
      <c r="AD6772" s="1" t="str">
        <f>IFERROR(IF(Final_Sans_VGE[[#This Row],[ppn_z]]="","",IFERROR(
   IF(_xlfn.XLOOKUP(Final_Sans_VGE[[#This Row],[ppn_z]],tbl_Historique_Final[[#This Row],[ppn_z]],tbl_Historique_Final[[#This Row],[date_modif]])=Final_Sans_VGE[[#This Row],[date_modif]],
      "Ancien",
      "Modifié"),
   "Nouveau")),"")</f>
        <v/>
      </c>
    </row>
    <row r="6773" spans="24:30" x14ac:dyDescent="0.25">
      <c r="X6773" s="8" t="e">
        <f>IF(Final_Sans_VGE[[#This Row],[ppn_z]]="","",IFERROR(
   IF(_xlfn.XLOOKUP(Final_Sans_VGE[[#This Row],[ppn_z]],tbl_Historique_Final[ppn_z],tbl_Historique_Final[date_modif])=Final_Sans_VGE[[#This Row],[date_modif]],
      "Ancien",
      "Modifié"),
   "Nouveau"))</f>
        <v>#VALUE!</v>
      </c>
      <c r="AD6773" s="1" t="str">
        <f>IFERROR(IF(Final_Sans_VGE[[#This Row],[ppn_z]]="","",IFERROR(
   IF(_xlfn.XLOOKUP(Final_Sans_VGE[[#This Row],[ppn_z]],tbl_Historique_Final[[#This Row],[ppn_z]],tbl_Historique_Final[[#This Row],[date_modif]])=Final_Sans_VGE[[#This Row],[date_modif]],
      "Ancien",
      "Modifié"),
   "Nouveau")),"")</f>
        <v/>
      </c>
    </row>
    <row r="6774" spans="24:30" x14ac:dyDescent="0.25">
      <c r="X6774" s="8" t="e">
        <f>IF(Final_Sans_VGE[[#This Row],[ppn_z]]="","",IFERROR(
   IF(_xlfn.XLOOKUP(Final_Sans_VGE[[#This Row],[ppn_z]],tbl_Historique_Final[ppn_z],tbl_Historique_Final[date_modif])=Final_Sans_VGE[[#This Row],[date_modif]],
      "Ancien",
      "Modifié"),
   "Nouveau"))</f>
        <v>#VALUE!</v>
      </c>
      <c r="AD6774" s="1" t="str">
        <f>IFERROR(IF(Final_Sans_VGE[[#This Row],[ppn_z]]="","",IFERROR(
   IF(_xlfn.XLOOKUP(Final_Sans_VGE[[#This Row],[ppn_z]],tbl_Historique_Final[[#This Row],[ppn_z]],tbl_Historique_Final[[#This Row],[date_modif]])=Final_Sans_VGE[[#This Row],[date_modif]],
      "Ancien",
      "Modifié"),
   "Nouveau")),"")</f>
        <v/>
      </c>
    </row>
    <row r="6775" spans="24:30" x14ac:dyDescent="0.25">
      <c r="X6775" s="8" t="e">
        <f>IF(Final_Sans_VGE[[#This Row],[ppn_z]]="","",IFERROR(
   IF(_xlfn.XLOOKUP(Final_Sans_VGE[[#This Row],[ppn_z]],tbl_Historique_Final[ppn_z],tbl_Historique_Final[date_modif])=Final_Sans_VGE[[#This Row],[date_modif]],
      "Ancien",
      "Modifié"),
   "Nouveau"))</f>
        <v>#VALUE!</v>
      </c>
      <c r="AD6775" s="1" t="str">
        <f>IFERROR(IF(Final_Sans_VGE[[#This Row],[ppn_z]]="","",IFERROR(
   IF(_xlfn.XLOOKUP(Final_Sans_VGE[[#This Row],[ppn_z]],tbl_Historique_Final[[#This Row],[ppn_z]],tbl_Historique_Final[[#This Row],[date_modif]])=Final_Sans_VGE[[#This Row],[date_modif]],
      "Ancien",
      "Modifié"),
   "Nouveau")),"")</f>
        <v/>
      </c>
    </row>
    <row r="6776" spans="24:30" x14ac:dyDescent="0.25">
      <c r="X6776" s="8" t="e">
        <f>IF(Final_Sans_VGE[[#This Row],[ppn_z]]="","",IFERROR(
   IF(_xlfn.XLOOKUP(Final_Sans_VGE[[#This Row],[ppn_z]],tbl_Historique_Final[ppn_z],tbl_Historique_Final[date_modif])=Final_Sans_VGE[[#This Row],[date_modif]],
      "Ancien",
      "Modifié"),
   "Nouveau"))</f>
        <v>#VALUE!</v>
      </c>
      <c r="AD6776" s="1" t="str">
        <f>IFERROR(IF(Final_Sans_VGE[[#This Row],[ppn_z]]="","",IFERROR(
   IF(_xlfn.XLOOKUP(Final_Sans_VGE[[#This Row],[ppn_z]],tbl_Historique_Final[[#This Row],[ppn_z]],tbl_Historique_Final[[#This Row],[date_modif]])=Final_Sans_VGE[[#This Row],[date_modif]],
      "Ancien",
      "Modifié"),
   "Nouveau")),"")</f>
        <v/>
      </c>
    </row>
    <row r="6777" spans="24:30" x14ac:dyDescent="0.25">
      <c r="X6777" s="8" t="e">
        <f>IF(Final_Sans_VGE[[#This Row],[ppn_z]]="","",IFERROR(
   IF(_xlfn.XLOOKUP(Final_Sans_VGE[[#This Row],[ppn_z]],tbl_Historique_Final[ppn_z],tbl_Historique_Final[date_modif])=Final_Sans_VGE[[#This Row],[date_modif]],
      "Ancien",
      "Modifié"),
   "Nouveau"))</f>
        <v>#VALUE!</v>
      </c>
      <c r="AD6777" s="1" t="str">
        <f>IFERROR(IF(Final_Sans_VGE[[#This Row],[ppn_z]]="","",IFERROR(
   IF(_xlfn.XLOOKUP(Final_Sans_VGE[[#This Row],[ppn_z]],tbl_Historique_Final[[#This Row],[ppn_z]],tbl_Historique_Final[[#This Row],[date_modif]])=Final_Sans_VGE[[#This Row],[date_modif]],
      "Ancien",
      "Modifié"),
   "Nouveau")),"")</f>
        <v/>
      </c>
    </row>
    <row r="6778" spans="24:30" x14ac:dyDescent="0.25">
      <c r="X6778" s="8" t="e">
        <f>IF(Final_Sans_VGE[[#This Row],[ppn_z]]="","",IFERROR(
   IF(_xlfn.XLOOKUP(Final_Sans_VGE[[#This Row],[ppn_z]],tbl_Historique_Final[ppn_z],tbl_Historique_Final[date_modif])=Final_Sans_VGE[[#This Row],[date_modif]],
      "Ancien",
      "Modifié"),
   "Nouveau"))</f>
        <v>#VALUE!</v>
      </c>
      <c r="AD6778" s="1" t="str">
        <f>IFERROR(IF(Final_Sans_VGE[[#This Row],[ppn_z]]="","",IFERROR(
   IF(_xlfn.XLOOKUP(Final_Sans_VGE[[#This Row],[ppn_z]],tbl_Historique_Final[[#This Row],[ppn_z]],tbl_Historique_Final[[#This Row],[date_modif]])=Final_Sans_VGE[[#This Row],[date_modif]],
      "Ancien",
      "Modifié"),
   "Nouveau")),"")</f>
        <v/>
      </c>
    </row>
    <row r="6779" spans="24:30" x14ac:dyDescent="0.25">
      <c r="X6779" s="8" t="e">
        <f>IF(Final_Sans_VGE[[#This Row],[ppn_z]]="","",IFERROR(
   IF(_xlfn.XLOOKUP(Final_Sans_VGE[[#This Row],[ppn_z]],tbl_Historique_Final[ppn_z],tbl_Historique_Final[date_modif])=Final_Sans_VGE[[#This Row],[date_modif]],
      "Ancien",
      "Modifié"),
   "Nouveau"))</f>
        <v>#VALUE!</v>
      </c>
      <c r="AD6779" s="1" t="str">
        <f>IFERROR(IF(Final_Sans_VGE[[#This Row],[ppn_z]]="","",IFERROR(
   IF(_xlfn.XLOOKUP(Final_Sans_VGE[[#This Row],[ppn_z]],tbl_Historique_Final[[#This Row],[ppn_z]],tbl_Historique_Final[[#This Row],[date_modif]])=Final_Sans_VGE[[#This Row],[date_modif]],
      "Ancien",
      "Modifié"),
   "Nouveau")),"")</f>
        <v/>
      </c>
    </row>
    <row r="6780" spans="24:30" x14ac:dyDescent="0.25">
      <c r="X6780" s="8" t="e">
        <f>IF(Final_Sans_VGE[[#This Row],[ppn_z]]="","",IFERROR(
   IF(_xlfn.XLOOKUP(Final_Sans_VGE[[#This Row],[ppn_z]],tbl_Historique_Final[ppn_z],tbl_Historique_Final[date_modif])=Final_Sans_VGE[[#This Row],[date_modif]],
      "Ancien",
      "Modifié"),
   "Nouveau"))</f>
        <v>#VALUE!</v>
      </c>
      <c r="AD6780" s="1" t="str">
        <f>IFERROR(IF(Final_Sans_VGE[[#This Row],[ppn_z]]="","",IFERROR(
   IF(_xlfn.XLOOKUP(Final_Sans_VGE[[#This Row],[ppn_z]],tbl_Historique_Final[[#This Row],[ppn_z]],tbl_Historique_Final[[#This Row],[date_modif]])=Final_Sans_VGE[[#This Row],[date_modif]],
      "Ancien",
      "Modifié"),
   "Nouveau")),"")</f>
        <v/>
      </c>
    </row>
    <row r="6781" spans="24:30" x14ac:dyDescent="0.25">
      <c r="X6781" s="8" t="e">
        <f>IF(Final_Sans_VGE[[#This Row],[ppn_z]]="","",IFERROR(
   IF(_xlfn.XLOOKUP(Final_Sans_VGE[[#This Row],[ppn_z]],tbl_Historique_Final[ppn_z],tbl_Historique_Final[date_modif])=Final_Sans_VGE[[#This Row],[date_modif]],
      "Ancien",
      "Modifié"),
   "Nouveau"))</f>
        <v>#VALUE!</v>
      </c>
      <c r="AD6781" s="1" t="str">
        <f>IFERROR(IF(Final_Sans_VGE[[#This Row],[ppn_z]]="","",IFERROR(
   IF(_xlfn.XLOOKUP(Final_Sans_VGE[[#This Row],[ppn_z]],tbl_Historique_Final[[#This Row],[ppn_z]],tbl_Historique_Final[[#This Row],[date_modif]])=Final_Sans_VGE[[#This Row],[date_modif]],
      "Ancien",
      "Modifié"),
   "Nouveau")),"")</f>
        <v/>
      </c>
    </row>
    <row r="6782" spans="24:30" x14ac:dyDescent="0.25">
      <c r="X6782" s="8" t="e">
        <f>IF(Final_Sans_VGE[[#This Row],[ppn_z]]="","",IFERROR(
   IF(_xlfn.XLOOKUP(Final_Sans_VGE[[#This Row],[ppn_z]],tbl_Historique_Final[ppn_z],tbl_Historique_Final[date_modif])=Final_Sans_VGE[[#This Row],[date_modif]],
      "Ancien",
      "Modifié"),
   "Nouveau"))</f>
        <v>#VALUE!</v>
      </c>
      <c r="AD6782" s="1" t="str">
        <f>IFERROR(IF(Final_Sans_VGE[[#This Row],[ppn_z]]="","",IFERROR(
   IF(_xlfn.XLOOKUP(Final_Sans_VGE[[#This Row],[ppn_z]],tbl_Historique_Final[[#This Row],[ppn_z]],tbl_Historique_Final[[#This Row],[date_modif]])=Final_Sans_VGE[[#This Row],[date_modif]],
      "Ancien",
      "Modifié"),
   "Nouveau")),"")</f>
        <v/>
      </c>
    </row>
    <row r="6783" spans="24:30" x14ac:dyDescent="0.25">
      <c r="X6783" s="8" t="e">
        <f>IF(Final_Sans_VGE[[#This Row],[ppn_z]]="","",IFERROR(
   IF(_xlfn.XLOOKUP(Final_Sans_VGE[[#This Row],[ppn_z]],tbl_Historique_Final[ppn_z],tbl_Historique_Final[date_modif])=Final_Sans_VGE[[#This Row],[date_modif]],
      "Ancien",
      "Modifié"),
   "Nouveau"))</f>
        <v>#VALUE!</v>
      </c>
      <c r="AD6783" s="1" t="str">
        <f>IFERROR(IF(Final_Sans_VGE[[#This Row],[ppn_z]]="","",IFERROR(
   IF(_xlfn.XLOOKUP(Final_Sans_VGE[[#This Row],[ppn_z]],tbl_Historique_Final[[#This Row],[ppn_z]],tbl_Historique_Final[[#This Row],[date_modif]])=Final_Sans_VGE[[#This Row],[date_modif]],
      "Ancien",
      "Modifié"),
   "Nouveau")),"")</f>
        <v/>
      </c>
    </row>
    <row r="6784" spans="24:30" x14ac:dyDescent="0.25">
      <c r="X6784" s="8" t="e">
        <f>IF(Final_Sans_VGE[[#This Row],[ppn_z]]="","",IFERROR(
   IF(_xlfn.XLOOKUP(Final_Sans_VGE[[#This Row],[ppn_z]],tbl_Historique_Final[ppn_z],tbl_Historique_Final[date_modif])=Final_Sans_VGE[[#This Row],[date_modif]],
      "Ancien",
      "Modifié"),
   "Nouveau"))</f>
        <v>#VALUE!</v>
      </c>
      <c r="AD6784" s="1" t="str">
        <f>IFERROR(IF(Final_Sans_VGE[[#This Row],[ppn_z]]="","",IFERROR(
   IF(_xlfn.XLOOKUP(Final_Sans_VGE[[#This Row],[ppn_z]],tbl_Historique_Final[[#This Row],[ppn_z]],tbl_Historique_Final[[#This Row],[date_modif]])=Final_Sans_VGE[[#This Row],[date_modif]],
      "Ancien",
      "Modifié"),
   "Nouveau")),"")</f>
        <v/>
      </c>
    </row>
    <row r="6785" spans="24:30" x14ac:dyDescent="0.25">
      <c r="X6785" s="8" t="e">
        <f>IF(Final_Sans_VGE[[#This Row],[ppn_z]]="","",IFERROR(
   IF(_xlfn.XLOOKUP(Final_Sans_VGE[[#This Row],[ppn_z]],tbl_Historique_Final[ppn_z],tbl_Historique_Final[date_modif])=Final_Sans_VGE[[#This Row],[date_modif]],
      "Ancien",
      "Modifié"),
   "Nouveau"))</f>
        <v>#VALUE!</v>
      </c>
      <c r="AD6785" s="1" t="str">
        <f>IFERROR(IF(Final_Sans_VGE[[#This Row],[ppn_z]]="","",IFERROR(
   IF(_xlfn.XLOOKUP(Final_Sans_VGE[[#This Row],[ppn_z]],tbl_Historique_Final[[#This Row],[ppn_z]],tbl_Historique_Final[[#This Row],[date_modif]])=Final_Sans_VGE[[#This Row],[date_modif]],
      "Ancien",
      "Modifié"),
   "Nouveau")),"")</f>
        <v/>
      </c>
    </row>
    <row r="6786" spans="24:30" x14ac:dyDescent="0.25">
      <c r="X6786" s="8" t="e">
        <f>IF(Final_Sans_VGE[[#This Row],[ppn_z]]="","",IFERROR(
   IF(_xlfn.XLOOKUP(Final_Sans_VGE[[#This Row],[ppn_z]],tbl_Historique_Final[ppn_z],tbl_Historique_Final[date_modif])=Final_Sans_VGE[[#This Row],[date_modif]],
      "Ancien",
      "Modifié"),
   "Nouveau"))</f>
        <v>#VALUE!</v>
      </c>
      <c r="AD6786" s="1" t="str">
        <f>IFERROR(IF(Final_Sans_VGE[[#This Row],[ppn_z]]="","",IFERROR(
   IF(_xlfn.XLOOKUP(Final_Sans_VGE[[#This Row],[ppn_z]],tbl_Historique_Final[[#This Row],[ppn_z]],tbl_Historique_Final[[#This Row],[date_modif]])=Final_Sans_VGE[[#This Row],[date_modif]],
      "Ancien",
      "Modifié"),
   "Nouveau")),"")</f>
        <v/>
      </c>
    </row>
    <row r="6787" spans="24:30" x14ac:dyDescent="0.25">
      <c r="X6787" s="8" t="e">
        <f>IF(Final_Sans_VGE[[#This Row],[ppn_z]]="","",IFERROR(
   IF(_xlfn.XLOOKUP(Final_Sans_VGE[[#This Row],[ppn_z]],tbl_Historique_Final[ppn_z],tbl_Historique_Final[date_modif])=Final_Sans_VGE[[#This Row],[date_modif]],
      "Ancien",
      "Modifié"),
   "Nouveau"))</f>
        <v>#VALUE!</v>
      </c>
      <c r="AD6787" s="1" t="str">
        <f>IFERROR(IF(Final_Sans_VGE[[#This Row],[ppn_z]]="","",IFERROR(
   IF(_xlfn.XLOOKUP(Final_Sans_VGE[[#This Row],[ppn_z]],tbl_Historique_Final[[#This Row],[ppn_z]],tbl_Historique_Final[[#This Row],[date_modif]])=Final_Sans_VGE[[#This Row],[date_modif]],
      "Ancien",
      "Modifié"),
   "Nouveau")),"")</f>
        <v/>
      </c>
    </row>
    <row r="6788" spans="24:30" x14ac:dyDescent="0.25">
      <c r="X6788" s="8" t="e">
        <f>IF(Final_Sans_VGE[[#This Row],[ppn_z]]="","",IFERROR(
   IF(_xlfn.XLOOKUP(Final_Sans_VGE[[#This Row],[ppn_z]],tbl_Historique_Final[ppn_z],tbl_Historique_Final[date_modif])=Final_Sans_VGE[[#This Row],[date_modif]],
      "Ancien",
      "Modifié"),
   "Nouveau"))</f>
        <v>#VALUE!</v>
      </c>
      <c r="AD6788" s="1" t="str">
        <f>IFERROR(IF(Final_Sans_VGE[[#This Row],[ppn_z]]="","",IFERROR(
   IF(_xlfn.XLOOKUP(Final_Sans_VGE[[#This Row],[ppn_z]],tbl_Historique_Final[[#This Row],[ppn_z]],tbl_Historique_Final[[#This Row],[date_modif]])=Final_Sans_VGE[[#This Row],[date_modif]],
      "Ancien",
      "Modifié"),
   "Nouveau")),"")</f>
        <v/>
      </c>
    </row>
    <row r="6789" spans="24:30" x14ac:dyDescent="0.25">
      <c r="X6789" s="8" t="e">
        <f>IF(Final_Sans_VGE[[#This Row],[ppn_z]]="","",IFERROR(
   IF(_xlfn.XLOOKUP(Final_Sans_VGE[[#This Row],[ppn_z]],tbl_Historique_Final[ppn_z],tbl_Historique_Final[date_modif])=Final_Sans_VGE[[#This Row],[date_modif]],
      "Ancien",
      "Modifié"),
   "Nouveau"))</f>
        <v>#VALUE!</v>
      </c>
      <c r="AD6789" s="1" t="str">
        <f>IFERROR(IF(Final_Sans_VGE[[#This Row],[ppn_z]]="","",IFERROR(
   IF(_xlfn.XLOOKUP(Final_Sans_VGE[[#This Row],[ppn_z]],tbl_Historique_Final[[#This Row],[ppn_z]],tbl_Historique_Final[[#This Row],[date_modif]])=Final_Sans_VGE[[#This Row],[date_modif]],
      "Ancien",
      "Modifié"),
   "Nouveau")),"")</f>
        <v/>
      </c>
    </row>
    <row r="6790" spans="24:30" x14ac:dyDescent="0.25">
      <c r="X6790" s="8" t="e">
        <f>IF(Final_Sans_VGE[[#This Row],[ppn_z]]="","",IFERROR(
   IF(_xlfn.XLOOKUP(Final_Sans_VGE[[#This Row],[ppn_z]],tbl_Historique_Final[ppn_z],tbl_Historique_Final[date_modif])=Final_Sans_VGE[[#This Row],[date_modif]],
      "Ancien",
      "Modifié"),
   "Nouveau"))</f>
        <v>#VALUE!</v>
      </c>
      <c r="AD6790" s="1" t="str">
        <f>IFERROR(IF(Final_Sans_VGE[[#This Row],[ppn_z]]="","",IFERROR(
   IF(_xlfn.XLOOKUP(Final_Sans_VGE[[#This Row],[ppn_z]],tbl_Historique_Final[[#This Row],[ppn_z]],tbl_Historique_Final[[#This Row],[date_modif]])=Final_Sans_VGE[[#This Row],[date_modif]],
      "Ancien",
      "Modifié"),
   "Nouveau")),"")</f>
        <v/>
      </c>
    </row>
    <row r="6791" spans="24:30" x14ac:dyDescent="0.25">
      <c r="X6791" s="8" t="e">
        <f>IF(Final_Sans_VGE[[#This Row],[ppn_z]]="","",IFERROR(
   IF(_xlfn.XLOOKUP(Final_Sans_VGE[[#This Row],[ppn_z]],tbl_Historique_Final[ppn_z],tbl_Historique_Final[date_modif])=Final_Sans_VGE[[#This Row],[date_modif]],
      "Ancien",
      "Modifié"),
   "Nouveau"))</f>
        <v>#VALUE!</v>
      </c>
      <c r="AD6791" s="1" t="str">
        <f>IFERROR(IF(Final_Sans_VGE[[#This Row],[ppn_z]]="","",IFERROR(
   IF(_xlfn.XLOOKUP(Final_Sans_VGE[[#This Row],[ppn_z]],tbl_Historique_Final[[#This Row],[ppn_z]],tbl_Historique_Final[[#This Row],[date_modif]])=Final_Sans_VGE[[#This Row],[date_modif]],
      "Ancien",
      "Modifié"),
   "Nouveau")),"")</f>
        <v/>
      </c>
    </row>
    <row r="6792" spans="24:30" x14ac:dyDescent="0.25">
      <c r="X6792" s="8" t="e">
        <f>IF(Final_Sans_VGE[[#This Row],[ppn_z]]="","",IFERROR(
   IF(_xlfn.XLOOKUP(Final_Sans_VGE[[#This Row],[ppn_z]],tbl_Historique_Final[ppn_z],tbl_Historique_Final[date_modif])=Final_Sans_VGE[[#This Row],[date_modif]],
      "Ancien",
      "Modifié"),
   "Nouveau"))</f>
        <v>#VALUE!</v>
      </c>
      <c r="AD6792" s="1" t="str">
        <f>IFERROR(IF(Final_Sans_VGE[[#This Row],[ppn_z]]="","",IFERROR(
   IF(_xlfn.XLOOKUP(Final_Sans_VGE[[#This Row],[ppn_z]],tbl_Historique_Final[[#This Row],[ppn_z]],tbl_Historique_Final[[#This Row],[date_modif]])=Final_Sans_VGE[[#This Row],[date_modif]],
      "Ancien",
      "Modifié"),
   "Nouveau")),"")</f>
        <v/>
      </c>
    </row>
    <row r="6793" spans="24:30" x14ac:dyDescent="0.25">
      <c r="X6793" s="8" t="e">
        <f>IF(Final_Sans_VGE[[#This Row],[ppn_z]]="","",IFERROR(
   IF(_xlfn.XLOOKUP(Final_Sans_VGE[[#This Row],[ppn_z]],tbl_Historique_Final[ppn_z],tbl_Historique_Final[date_modif])=Final_Sans_VGE[[#This Row],[date_modif]],
      "Ancien",
      "Modifié"),
   "Nouveau"))</f>
        <v>#VALUE!</v>
      </c>
      <c r="AD6793" s="1" t="str">
        <f>IFERROR(IF(Final_Sans_VGE[[#This Row],[ppn_z]]="","",IFERROR(
   IF(_xlfn.XLOOKUP(Final_Sans_VGE[[#This Row],[ppn_z]],tbl_Historique_Final[[#This Row],[ppn_z]],tbl_Historique_Final[[#This Row],[date_modif]])=Final_Sans_VGE[[#This Row],[date_modif]],
      "Ancien",
      "Modifié"),
   "Nouveau")),"")</f>
        <v/>
      </c>
    </row>
    <row r="6794" spans="24:30" x14ac:dyDescent="0.25">
      <c r="X6794" s="8" t="e">
        <f>IF(Final_Sans_VGE[[#This Row],[ppn_z]]="","",IFERROR(
   IF(_xlfn.XLOOKUP(Final_Sans_VGE[[#This Row],[ppn_z]],tbl_Historique_Final[ppn_z],tbl_Historique_Final[date_modif])=Final_Sans_VGE[[#This Row],[date_modif]],
      "Ancien",
      "Modifié"),
   "Nouveau"))</f>
        <v>#VALUE!</v>
      </c>
      <c r="AD6794" s="1" t="str">
        <f>IFERROR(IF(Final_Sans_VGE[[#This Row],[ppn_z]]="","",IFERROR(
   IF(_xlfn.XLOOKUP(Final_Sans_VGE[[#This Row],[ppn_z]],tbl_Historique_Final[[#This Row],[ppn_z]],tbl_Historique_Final[[#This Row],[date_modif]])=Final_Sans_VGE[[#This Row],[date_modif]],
      "Ancien",
      "Modifié"),
   "Nouveau")),"")</f>
        <v/>
      </c>
    </row>
    <row r="6795" spans="24:30" x14ac:dyDescent="0.25">
      <c r="X6795" s="8" t="e">
        <f>IF(Final_Sans_VGE[[#This Row],[ppn_z]]="","",IFERROR(
   IF(_xlfn.XLOOKUP(Final_Sans_VGE[[#This Row],[ppn_z]],tbl_Historique_Final[ppn_z],tbl_Historique_Final[date_modif])=Final_Sans_VGE[[#This Row],[date_modif]],
      "Ancien",
      "Modifié"),
   "Nouveau"))</f>
        <v>#VALUE!</v>
      </c>
      <c r="AD6795" s="1" t="str">
        <f>IFERROR(IF(Final_Sans_VGE[[#This Row],[ppn_z]]="","",IFERROR(
   IF(_xlfn.XLOOKUP(Final_Sans_VGE[[#This Row],[ppn_z]],tbl_Historique_Final[[#This Row],[ppn_z]],tbl_Historique_Final[[#This Row],[date_modif]])=Final_Sans_VGE[[#This Row],[date_modif]],
      "Ancien",
      "Modifié"),
   "Nouveau")),"")</f>
        <v/>
      </c>
    </row>
    <row r="6796" spans="24:30" x14ac:dyDescent="0.25">
      <c r="X6796" s="8" t="e">
        <f>IF(Final_Sans_VGE[[#This Row],[ppn_z]]="","",IFERROR(
   IF(_xlfn.XLOOKUP(Final_Sans_VGE[[#This Row],[ppn_z]],tbl_Historique_Final[ppn_z],tbl_Historique_Final[date_modif])=Final_Sans_VGE[[#This Row],[date_modif]],
      "Ancien",
      "Modifié"),
   "Nouveau"))</f>
        <v>#VALUE!</v>
      </c>
      <c r="AD6796" s="1" t="str">
        <f>IFERROR(IF(Final_Sans_VGE[[#This Row],[ppn_z]]="","",IFERROR(
   IF(_xlfn.XLOOKUP(Final_Sans_VGE[[#This Row],[ppn_z]],tbl_Historique_Final[[#This Row],[ppn_z]],tbl_Historique_Final[[#This Row],[date_modif]])=Final_Sans_VGE[[#This Row],[date_modif]],
      "Ancien",
      "Modifié"),
   "Nouveau")),"")</f>
        <v/>
      </c>
    </row>
    <row r="6797" spans="24:30" x14ac:dyDescent="0.25">
      <c r="X6797" s="8" t="e">
        <f>IF(Final_Sans_VGE[[#This Row],[ppn_z]]="","",IFERROR(
   IF(_xlfn.XLOOKUP(Final_Sans_VGE[[#This Row],[ppn_z]],tbl_Historique_Final[ppn_z],tbl_Historique_Final[date_modif])=Final_Sans_VGE[[#This Row],[date_modif]],
      "Ancien",
      "Modifié"),
   "Nouveau"))</f>
        <v>#VALUE!</v>
      </c>
      <c r="AD6797" s="1" t="str">
        <f>IFERROR(IF(Final_Sans_VGE[[#This Row],[ppn_z]]="","",IFERROR(
   IF(_xlfn.XLOOKUP(Final_Sans_VGE[[#This Row],[ppn_z]],tbl_Historique_Final[[#This Row],[ppn_z]],tbl_Historique_Final[[#This Row],[date_modif]])=Final_Sans_VGE[[#This Row],[date_modif]],
      "Ancien",
      "Modifié"),
   "Nouveau")),"")</f>
        <v/>
      </c>
    </row>
    <row r="6798" spans="24:30" x14ac:dyDescent="0.25">
      <c r="X6798" s="8" t="e">
        <f>IF(Final_Sans_VGE[[#This Row],[ppn_z]]="","",IFERROR(
   IF(_xlfn.XLOOKUP(Final_Sans_VGE[[#This Row],[ppn_z]],tbl_Historique_Final[ppn_z],tbl_Historique_Final[date_modif])=Final_Sans_VGE[[#This Row],[date_modif]],
      "Ancien",
      "Modifié"),
   "Nouveau"))</f>
        <v>#VALUE!</v>
      </c>
      <c r="AD6798" s="1" t="str">
        <f>IFERROR(IF(Final_Sans_VGE[[#This Row],[ppn_z]]="","",IFERROR(
   IF(_xlfn.XLOOKUP(Final_Sans_VGE[[#This Row],[ppn_z]],tbl_Historique_Final[[#This Row],[ppn_z]],tbl_Historique_Final[[#This Row],[date_modif]])=Final_Sans_VGE[[#This Row],[date_modif]],
      "Ancien",
      "Modifié"),
   "Nouveau")),"")</f>
        <v/>
      </c>
    </row>
    <row r="6799" spans="24:30" x14ac:dyDescent="0.25">
      <c r="X6799" s="8" t="e">
        <f>IF(Final_Sans_VGE[[#This Row],[ppn_z]]="","",IFERROR(
   IF(_xlfn.XLOOKUP(Final_Sans_VGE[[#This Row],[ppn_z]],tbl_Historique_Final[ppn_z],tbl_Historique_Final[date_modif])=Final_Sans_VGE[[#This Row],[date_modif]],
      "Ancien",
      "Modifié"),
   "Nouveau"))</f>
        <v>#VALUE!</v>
      </c>
      <c r="AD6799" s="1" t="str">
        <f>IFERROR(IF(Final_Sans_VGE[[#This Row],[ppn_z]]="","",IFERROR(
   IF(_xlfn.XLOOKUP(Final_Sans_VGE[[#This Row],[ppn_z]],tbl_Historique_Final[[#This Row],[ppn_z]],tbl_Historique_Final[[#This Row],[date_modif]])=Final_Sans_VGE[[#This Row],[date_modif]],
      "Ancien",
      "Modifié"),
   "Nouveau")),"")</f>
        <v/>
      </c>
    </row>
    <row r="6800" spans="24:30" x14ac:dyDescent="0.25">
      <c r="X6800" s="8" t="e">
        <f>IF(Final_Sans_VGE[[#This Row],[ppn_z]]="","",IFERROR(
   IF(_xlfn.XLOOKUP(Final_Sans_VGE[[#This Row],[ppn_z]],tbl_Historique_Final[ppn_z],tbl_Historique_Final[date_modif])=Final_Sans_VGE[[#This Row],[date_modif]],
      "Ancien",
      "Modifié"),
   "Nouveau"))</f>
        <v>#VALUE!</v>
      </c>
      <c r="AD6800" s="1" t="str">
        <f>IFERROR(IF(Final_Sans_VGE[[#This Row],[ppn_z]]="","",IFERROR(
   IF(_xlfn.XLOOKUP(Final_Sans_VGE[[#This Row],[ppn_z]],tbl_Historique_Final[[#This Row],[ppn_z]],tbl_Historique_Final[[#This Row],[date_modif]])=Final_Sans_VGE[[#This Row],[date_modif]],
      "Ancien",
      "Modifié"),
   "Nouveau")),"")</f>
        <v/>
      </c>
    </row>
    <row r="6801" spans="24:30" x14ac:dyDescent="0.25">
      <c r="X6801" s="8" t="e">
        <f>IF(Final_Sans_VGE[[#This Row],[ppn_z]]="","",IFERROR(
   IF(_xlfn.XLOOKUP(Final_Sans_VGE[[#This Row],[ppn_z]],tbl_Historique_Final[ppn_z],tbl_Historique_Final[date_modif])=Final_Sans_VGE[[#This Row],[date_modif]],
      "Ancien",
      "Modifié"),
   "Nouveau"))</f>
        <v>#VALUE!</v>
      </c>
      <c r="AD6801" s="1" t="str">
        <f>IFERROR(IF(Final_Sans_VGE[[#This Row],[ppn_z]]="","",IFERROR(
   IF(_xlfn.XLOOKUP(Final_Sans_VGE[[#This Row],[ppn_z]],tbl_Historique_Final[[#This Row],[ppn_z]],tbl_Historique_Final[[#This Row],[date_modif]])=Final_Sans_VGE[[#This Row],[date_modif]],
      "Ancien",
      "Modifié"),
   "Nouveau")),"")</f>
        <v/>
      </c>
    </row>
    <row r="6802" spans="24:30" x14ac:dyDescent="0.25">
      <c r="X6802" s="8" t="e">
        <f>IF(Final_Sans_VGE[[#This Row],[ppn_z]]="","",IFERROR(
   IF(_xlfn.XLOOKUP(Final_Sans_VGE[[#This Row],[ppn_z]],tbl_Historique_Final[ppn_z],tbl_Historique_Final[date_modif])=Final_Sans_VGE[[#This Row],[date_modif]],
      "Ancien",
      "Modifié"),
   "Nouveau"))</f>
        <v>#VALUE!</v>
      </c>
      <c r="AD6802" s="1" t="str">
        <f>IFERROR(IF(Final_Sans_VGE[[#This Row],[ppn_z]]="","",IFERROR(
   IF(_xlfn.XLOOKUP(Final_Sans_VGE[[#This Row],[ppn_z]],tbl_Historique_Final[[#This Row],[ppn_z]],tbl_Historique_Final[[#This Row],[date_modif]])=Final_Sans_VGE[[#This Row],[date_modif]],
      "Ancien",
      "Modifié"),
   "Nouveau")),"")</f>
        <v/>
      </c>
    </row>
    <row r="6803" spans="24:30" x14ac:dyDescent="0.25">
      <c r="X6803" s="8" t="e">
        <f>IF(Final_Sans_VGE[[#This Row],[ppn_z]]="","",IFERROR(
   IF(_xlfn.XLOOKUP(Final_Sans_VGE[[#This Row],[ppn_z]],tbl_Historique_Final[ppn_z],tbl_Historique_Final[date_modif])=Final_Sans_VGE[[#This Row],[date_modif]],
      "Ancien",
      "Modifié"),
   "Nouveau"))</f>
        <v>#VALUE!</v>
      </c>
      <c r="AD6803" s="1" t="str">
        <f>IFERROR(IF(Final_Sans_VGE[[#This Row],[ppn_z]]="","",IFERROR(
   IF(_xlfn.XLOOKUP(Final_Sans_VGE[[#This Row],[ppn_z]],tbl_Historique_Final[[#This Row],[ppn_z]],tbl_Historique_Final[[#This Row],[date_modif]])=Final_Sans_VGE[[#This Row],[date_modif]],
      "Ancien",
      "Modifié"),
   "Nouveau")),"")</f>
        <v/>
      </c>
    </row>
    <row r="6804" spans="24:30" x14ac:dyDescent="0.25">
      <c r="X6804" s="8" t="e">
        <f>IF(Final_Sans_VGE[[#This Row],[ppn_z]]="","",IFERROR(
   IF(_xlfn.XLOOKUP(Final_Sans_VGE[[#This Row],[ppn_z]],tbl_Historique_Final[ppn_z],tbl_Historique_Final[date_modif])=Final_Sans_VGE[[#This Row],[date_modif]],
      "Ancien",
      "Modifié"),
   "Nouveau"))</f>
        <v>#VALUE!</v>
      </c>
      <c r="AD6804" s="1" t="str">
        <f>IFERROR(IF(Final_Sans_VGE[[#This Row],[ppn_z]]="","",IFERROR(
   IF(_xlfn.XLOOKUP(Final_Sans_VGE[[#This Row],[ppn_z]],tbl_Historique_Final[[#This Row],[ppn_z]],tbl_Historique_Final[[#This Row],[date_modif]])=Final_Sans_VGE[[#This Row],[date_modif]],
      "Ancien",
      "Modifié"),
   "Nouveau")),"")</f>
        <v/>
      </c>
    </row>
    <row r="6805" spans="24:30" x14ac:dyDescent="0.25">
      <c r="X6805" s="8" t="e">
        <f>IF(Final_Sans_VGE[[#This Row],[ppn_z]]="","",IFERROR(
   IF(_xlfn.XLOOKUP(Final_Sans_VGE[[#This Row],[ppn_z]],tbl_Historique_Final[ppn_z],tbl_Historique_Final[date_modif])=Final_Sans_VGE[[#This Row],[date_modif]],
      "Ancien",
      "Modifié"),
   "Nouveau"))</f>
        <v>#VALUE!</v>
      </c>
      <c r="AD6805" s="1" t="str">
        <f>IFERROR(IF(Final_Sans_VGE[[#This Row],[ppn_z]]="","",IFERROR(
   IF(_xlfn.XLOOKUP(Final_Sans_VGE[[#This Row],[ppn_z]],tbl_Historique_Final[[#This Row],[ppn_z]],tbl_Historique_Final[[#This Row],[date_modif]])=Final_Sans_VGE[[#This Row],[date_modif]],
      "Ancien",
      "Modifié"),
   "Nouveau")),"")</f>
        <v/>
      </c>
    </row>
    <row r="6806" spans="24:30" x14ac:dyDescent="0.25">
      <c r="X6806" s="8" t="e">
        <f>IF(Final_Sans_VGE[[#This Row],[ppn_z]]="","",IFERROR(
   IF(_xlfn.XLOOKUP(Final_Sans_VGE[[#This Row],[ppn_z]],tbl_Historique_Final[ppn_z],tbl_Historique_Final[date_modif])=Final_Sans_VGE[[#This Row],[date_modif]],
      "Ancien",
      "Modifié"),
   "Nouveau"))</f>
        <v>#VALUE!</v>
      </c>
      <c r="AD6806" s="1" t="str">
        <f>IFERROR(IF(Final_Sans_VGE[[#This Row],[ppn_z]]="","",IFERROR(
   IF(_xlfn.XLOOKUP(Final_Sans_VGE[[#This Row],[ppn_z]],tbl_Historique_Final[[#This Row],[ppn_z]],tbl_Historique_Final[[#This Row],[date_modif]])=Final_Sans_VGE[[#This Row],[date_modif]],
      "Ancien",
      "Modifié"),
   "Nouveau")),"")</f>
        <v/>
      </c>
    </row>
    <row r="6807" spans="24:30" x14ac:dyDescent="0.25">
      <c r="X6807" s="8" t="e">
        <f>IF(Final_Sans_VGE[[#This Row],[ppn_z]]="","",IFERROR(
   IF(_xlfn.XLOOKUP(Final_Sans_VGE[[#This Row],[ppn_z]],tbl_Historique_Final[ppn_z],tbl_Historique_Final[date_modif])=Final_Sans_VGE[[#This Row],[date_modif]],
      "Ancien",
      "Modifié"),
   "Nouveau"))</f>
        <v>#VALUE!</v>
      </c>
      <c r="AD6807" s="1" t="str">
        <f>IFERROR(IF(Final_Sans_VGE[[#This Row],[ppn_z]]="","",IFERROR(
   IF(_xlfn.XLOOKUP(Final_Sans_VGE[[#This Row],[ppn_z]],tbl_Historique_Final[[#This Row],[ppn_z]],tbl_Historique_Final[[#This Row],[date_modif]])=Final_Sans_VGE[[#This Row],[date_modif]],
      "Ancien",
      "Modifié"),
   "Nouveau")),"")</f>
        <v/>
      </c>
    </row>
    <row r="6808" spans="24:30" x14ac:dyDescent="0.25">
      <c r="X6808" s="8" t="e">
        <f>IF(Final_Sans_VGE[[#This Row],[ppn_z]]="","",IFERROR(
   IF(_xlfn.XLOOKUP(Final_Sans_VGE[[#This Row],[ppn_z]],tbl_Historique_Final[ppn_z],tbl_Historique_Final[date_modif])=Final_Sans_VGE[[#This Row],[date_modif]],
      "Ancien",
      "Modifié"),
   "Nouveau"))</f>
        <v>#VALUE!</v>
      </c>
      <c r="AD6808" s="1" t="str">
        <f>IFERROR(IF(Final_Sans_VGE[[#This Row],[ppn_z]]="","",IFERROR(
   IF(_xlfn.XLOOKUP(Final_Sans_VGE[[#This Row],[ppn_z]],tbl_Historique_Final[[#This Row],[ppn_z]],tbl_Historique_Final[[#This Row],[date_modif]])=Final_Sans_VGE[[#This Row],[date_modif]],
      "Ancien",
      "Modifié"),
   "Nouveau")),"")</f>
        <v/>
      </c>
    </row>
    <row r="6809" spans="24:30" x14ac:dyDescent="0.25">
      <c r="X6809" s="8" t="e">
        <f>IF(Final_Sans_VGE[[#This Row],[ppn_z]]="","",IFERROR(
   IF(_xlfn.XLOOKUP(Final_Sans_VGE[[#This Row],[ppn_z]],tbl_Historique_Final[ppn_z],tbl_Historique_Final[date_modif])=Final_Sans_VGE[[#This Row],[date_modif]],
      "Ancien",
      "Modifié"),
   "Nouveau"))</f>
        <v>#VALUE!</v>
      </c>
      <c r="AD6809" s="1" t="str">
        <f>IFERROR(IF(Final_Sans_VGE[[#This Row],[ppn_z]]="","",IFERROR(
   IF(_xlfn.XLOOKUP(Final_Sans_VGE[[#This Row],[ppn_z]],tbl_Historique_Final[[#This Row],[ppn_z]],tbl_Historique_Final[[#This Row],[date_modif]])=Final_Sans_VGE[[#This Row],[date_modif]],
      "Ancien",
      "Modifié"),
   "Nouveau")),"")</f>
        <v/>
      </c>
    </row>
    <row r="6810" spans="24:30" x14ac:dyDescent="0.25">
      <c r="X6810" s="8" t="e">
        <f>IF(Final_Sans_VGE[[#This Row],[ppn_z]]="","",IFERROR(
   IF(_xlfn.XLOOKUP(Final_Sans_VGE[[#This Row],[ppn_z]],tbl_Historique_Final[ppn_z],tbl_Historique_Final[date_modif])=Final_Sans_VGE[[#This Row],[date_modif]],
      "Ancien",
      "Modifié"),
   "Nouveau"))</f>
        <v>#VALUE!</v>
      </c>
      <c r="AD6810" s="1" t="str">
        <f>IFERROR(IF(Final_Sans_VGE[[#This Row],[ppn_z]]="","",IFERROR(
   IF(_xlfn.XLOOKUP(Final_Sans_VGE[[#This Row],[ppn_z]],tbl_Historique_Final[[#This Row],[ppn_z]],tbl_Historique_Final[[#This Row],[date_modif]])=Final_Sans_VGE[[#This Row],[date_modif]],
      "Ancien",
      "Modifié"),
   "Nouveau")),"")</f>
        <v/>
      </c>
    </row>
    <row r="6811" spans="24:30" x14ac:dyDescent="0.25">
      <c r="X6811" s="8" t="e">
        <f>IF(Final_Sans_VGE[[#This Row],[ppn_z]]="","",IFERROR(
   IF(_xlfn.XLOOKUP(Final_Sans_VGE[[#This Row],[ppn_z]],tbl_Historique_Final[ppn_z],tbl_Historique_Final[date_modif])=Final_Sans_VGE[[#This Row],[date_modif]],
      "Ancien",
      "Modifié"),
   "Nouveau"))</f>
        <v>#VALUE!</v>
      </c>
      <c r="AD6811" s="1" t="str">
        <f>IFERROR(IF(Final_Sans_VGE[[#This Row],[ppn_z]]="","",IFERROR(
   IF(_xlfn.XLOOKUP(Final_Sans_VGE[[#This Row],[ppn_z]],tbl_Historique_Final[[#This Row],[ppn_z]],tbl_Historique_Final[[#This Row],[date_modif]])=Final_Sans_VGE[[#This Row],[date_modif]],
      "Ancien",
      "Modifié"),
   "Nouveau")),"")</f>
        <v/>
      </c>
    </row>
    <row r="6812" spans="24:30" x14ac:dyDescent="0.25">
      <c r="X6812" s="8" t="e">
        <f>IF(Final_Sans_VGE[[#This Row],[ppn_z]]="","",IFERROR(
   IF(_xlfn.XLOOKUP(Final_Sans_VGE[[#This Row],[ppn_z]],tbl_Historique_Final[ppn_z],tbl_Historique_Final[date_modif])=Final_Sans_VGE[[#This Row],[date_modif]],
      "Ancien",
      "Modifié"),
   "Nouveau"))</f>
        <v>#VALUE!</v>
      </c>
      <c r="AD6812" s="1" t="str">
        <f>IFERROR(IF(Final_Sans_VGE[[#This Row],[ppn_z]]="","",IFERROR(
   IF(_xlfn.XLOOKUP(Final_Sans_VGE[[#This Row],[ppn_z]],tbl_Historique_Final[[#This Row],[ppn_z]],tbl_Historique_Final[[#This Row],[date_modif]])=Final_Sans_VGE[[#This Row],[date_modif]],
      "Ancien",
      "Modifié"),
   "Nouveau")),"")</f>
        <v/>
      </c>
    </row>
    <row r="6813" spans="24:30" x14ac:dyDescent="0.25">
      <c r="X6813" s="8" t="e">
        <f>IF(Final_Sans_VGE[[#This Row],[ppn_z]]="","",IFERROR(
   IF(_xlfn.XLOOKUP(Final_Sans_VGE[[#This Row],[ppn_z]],tbl_Historique_Final[ppn_z],tbl_Historique_Final[date_modif])=Final_Sans_VGE[[#This Row],[date_modif]],
      "Ancien",
      "Modifié"),
   "Nouveau"))</f>
        <v>#VALUE!</v>
      </c>
      <c r="AD6813" s="1" t="str">
        <f>IFERROR(IF(Final_Sans_VGE[[#This Row],[ppn_z]]="","",IFERROR(
   IF(_xlfn.XLOOKUP(Final_Sans_VGE[[#This Row],[ppn_z]],tbl_Historique_Final[[#This Row],[ppn_z]],tbl_Historique_Final[[#This Row],[date_modif]])=Final_Sans_VGE[[#This Row],[date_modif]],
      "Ancien",
      "Modifié"),
   "Nouveau")),"")</f>
        <v/>
      </c>
    </row>
    <row r="6814" spans="24:30" x14ac:dyDescent="0.25">
      <c r="X6814" s="8" t="e">
        <f>IF(Final_Sans_VGE[[#This Row],[ppn_z]]="","",IFERROR(
   IF(_xlfn.XLOOKUP(Final_Sans_VGE[[#This Row],[ppn_z]],tbl_Historique_Final[ppn_z],tbl_Historique_Final[date_modif])=Final_Sans_VGE[[#This Row],[date_modif]],
      "Ancien",
      "Modifié"),
   "Nouveau"))</f>
        <v>#VALUE!</v>
      </c>
      <c r="AD6814" s="1" t="str">
        <f>IFERROR(IF(Final_Sans_VGE[[#This Row],[ppn_z]]="","",IFERROR(
   IF(_xlfn.XLOOKUP(Final_Sans_VGE[[#This Row],[ppn_z]],tbl_Historique_Final[[#This Row],[ppn_z]],tbl_Historique_Final[[#This Row],[date_modif]])=Final_Sans_VGE[[#This Row],[date_modif]],
      "Ancien",
      "Modifié"),
   "Nouveau")),"")</f>
        <v/>
      </c>
    </row>
    <row r="6815" spans="24:30" x14ac:dyDescent="0.25">
      <c r="X6815" s="8" t="e">
        <f>IF(Final_Sans_VGE[[#This Row],[ppn_z]]="","",IFERROR(
   IF(_xlfn.XLOOKUP(Final_Sans_VGE[[#This Row],[ppn_z]],tbl_Historique_Final[ppn_z],tbl_Historique_Final[date_modif])=Final_Sans_VGE[[#This Row],[date_modif]],
      "Ancien",
      "Modifié"),
   "Nouveau"))</f>
        <v>#VALUE!</v>
      </c>
      <c r="AD6815" s="1" t="str">
        <f>IFERROR(IF(Final_Sans_VGE[[#This Row],[ppn_z]]="","",IFERROR(
   IF(_xlfn.XLOOKUP(Final_Sans_VGE[[#This Row],[ppn_z]],tbl_Historique_Final[[#This Row],[ppn_z]],tbl_Historique_Final[[#This Row],[date_modif]])=Final_Sans_VGE[[#This Row],[date_modif]],
      "Ancien",
      "Modifié"),
   "Nouveau")),"")</f>
        <v/>
      </c>
    </row>
    <row r="6816" spans="24:30" x14ac:dyDescent="0.25">
      <c r="X6816" s="8" t="e">
        <f>IF(Final_Sans_VGE[[#This Row],[ppn_z]]="","",IFERROR(
   IF(_xlfn.XLOOKUP(Final_Sans_VGE[[#This Row],[ppn_z]],tbl_Historique_Final[ppn_z],tbl_Historique_Final[date_modif])=Final_Sans_VGE[[#This Row],[date_modif]],
      "Ancien",
      "Modifié"),
   "Nouveau"))</f>
        <v>#VALUE!</v>
      </c>
      <c r="AD6816" s="1" t="str">
        <f>IFERROR(IF(Final_Sans_VGE[[#This Row],[ppn_z]]="","",IFERROR(
   IF(_xlfn.XLOOKUP(Final_Sans_VGE[[#This Row],[ppn_z]],tbl_Historique_Final[[#This Row],[ppn_z]],tbl_Historique_Final[[#This Row],[date_modif]])=Final_Sans_VGE[[#This Row],[date_modif]],
      "Ancien",
      "Modifié"),
   "Nouveau")),"")</f>
        <v/>
      </c>
    </row>
    <row r="6817" spans="24:30" x14ac:dyDescent="0.25">
      <c r="X6817" s="8" t="e">
        <f>IF(Final_Sans_VGE[[#This Row],[ppn_z]]="","",IFERROR(
   IF(_xlfn.XLOOKUP(Final_Sans_VGE[[#This Row],[ppn_z]],tbl_Historique_Final[ppn_z],tbl_Historique_Final[date_modif])=Final_Sans_VGE[[#This Row],[date_modif]],
      "Ancien",
      "Modifié"),
   "Nouveau"))</f>
        <v>#VALUE!</v>
      </c>
      <c r="AD6817" s="1" t="str">
        <f>IFERROR(IF(Final_Sans_VGE[[#This Row],[ppn_z]]="","",IFERROR(
   IF(_xlfn.XLOOKUP(Final_Sans_VGE[[#This Row],[ppn_z]],tbl_Historique_Final[[#This Row],[ppn_z]],tbl_Historique_Final[[#This Row],[date_modif]])=Final_Sans_VGE[[#This Row],[date_modif]],
      "Ancien",
      "Modifié"),
   "Nouveau")),"")</f>
        <v/>
      </c>
    </row>
    <row r="6818" spans="24:30" x14ac:dyDescent="0.25">
      <c r="X6818" s="8" t="e">
        <f>IF(Final_Sans_VGE[[#This Row],[ppn_z]]="","",IFERROR(
   IF(_xlfn.XLOOKUP(Final_Sans_VGE[[#This Row],[ppn_z]],tbl_Historique_Final[ppn_z],tbl_Historique_Final[date_modif])=Final_Sans_VGE[[#This Row],[date_modif]],
      "Ancien",
      "Modifié"),
   "Nouveau"))</f>
        <v>#VALUE!</v>
      </c>
      <c r="AD6818" s="1" t="str">
        <f>IFERROR(IF(Final_Sans_VGE[[#This Row],[ppn_z]]="","",IFERROR(
   IF(_xlfn.XLOOKUP(Final_Sans_VGE[[#This Row],[ppn_z]],tbl_Historique_Final[[#This Row],[ppn_z]],tbl_Historique_Final[[#This Row],[date_modif]])=Final_Sans_VGE[[#This Row],[date_modif]],
      "Ancien",
      "Modifié"),
   "Nouveau")),"")</f>
        <v/>
      </c>
    </row>
    <row r="6819" spans="24:30" x14ac:dyDescent="0.25">
      <c r="X6819" s="8" t="e">
        <f>IF(Final_Sans_VGE[[#This Row],[ppn_z]]="","",IFERROR(
   IF(_xlfn.XLOOKUP(Final_Sans_VGE[[#This Row],[ppn_z]],tbl_Historique_Final[ppn_z],tbl_Historique_Final[date_modif])=Final_Sans_VGE[[#This Row],[date_modif]],
      "Ancien",
      "Modifié"),
   "Nouveau"))</f>
        <v>#VALUE!</v>
      </c>
      <c r="AD6819" s="1" t="str">
        <f>IFERROR(IF(Final_Sans_VGE[[#This Row],[ppn_z]]="","",IFERROR(
   IF(_xlfn.XLOOKUP(Final_Sans_VGE[[#This Row],[ppn_z]],tbl_Historique_Final[[#This Row],[ppn_z]],tbl_Historique_Final[[#This Row],[date_modif]])=Final_Sans_VGE[[#This Row],[date_modif]],
      "Ancien",
      "Modifié"),
   "Nouveau")),"")</f>
        <v/>
      </c>
    </row>
    <row r="6820" spans="24:30" x14ac:dyDescent="0.25">
      <c r="X6820" s="8" t="e">
        <f>IF(Final_Sans_VGE[[#This Row],[ppn_z]]="","",IFERROR(
   IF(_xlfn.XLOOKUP(Final_Sans_VGE[[#This Row],[ppn_z]],tbl_Historique_Final[ppn_z],tbl_Historique_Final[date_modif])=Final_Sans_VGE[[#This Row],[date_modif]],
      "Ancien",
      "Modifié"),
   "Nouveau"))</f>
        <v>#VALUE!</v>
      </c>
      <c r="AD6820" s="1" t="str">
        <f>IFERROR(IF(Final_Sans_VGE[[#This Row],[ppn_z]]="","",IFERROR(
   IF(_xlfn.XLOOKUP(Final_Sans_VGE[[#This Row],[ppn_z]],tbl_Historique_Final[[#This Row],[ppn_z]],tbl_Historique_Final[[#This Row],[date_modif]])=Final_Sans_VGE[[#This Row],[date_modif]],
      "Ancien",
      "Modifié"),
   "Nouveau")),"")</f>
        <v/>
      </c>
    </row>
    <row r="6821" spans="24:30" x14ac:dyDescent="0.25">
      <c r="X6821" s="8" t="e">
        <f>IF(Final_Sans_VGE[[#This Row],[ppn_z]]="","",IFERROR(
   IF(_xlfn.XLOOKUP(Final_Sans_VGE[[#This Row],[ppn_z]],tbl_Historique_Final[ppn_z],tbl_Historique_Final[date_modif])=Final_Sans_VGE[[#This Row],[date_modif]],
      "Ancien",
      "Modifié"),
   "Nouveau"))</f>
        <v>#VALUE!</v>
      </c>
      <c r="AD6821" s="1" t="str">
        <f>IFERROR(IF(Final_Sans_VGE[[#This Row],[ppn_z]]="","",IFERROR(
   IF(_xlfn.XLOOKUP(Final_Sans_VGE[[#This Row],[ppn_z]],tbl_Historique_Final[[#This Row],[ppn_z]],tbl_Historique_Final[[#This Row],[date_modif]])=Final_Sans_VGE[[#This Row],[date_modif]],
      "Ancien",
      "Modifié"),
   "Nouveau")),"")</f>
        <v/>
      </c>
    </row>
    <row r="6822" spans="24:30" x14ac:dyDescent="0.25">
      <c r="X6822" s="8" t="e">
        <f>IF(Final_Sans_VGE[[#This Row],[ppn_z]]="","",IFERROR(
   IF(_xlfn.XLOOKUP(Final_Sans_VGE[[#This Row],[ppn_z]],tbl_Historique_Final[ppn_z],tbl_Historique_Final[date_modif])=Final_Sans_VGE[[#This Row],[date_modif]],
      "Ancien",
      "Modifié"),
   "Nouveau"))</f>
        <v>#VALUE!</v>
      </c>
      <c r="AD6822" s="1" t="str">
        <f>IFERROR(IF(Final_Sans_VGE[[#This Row],[ppn_z]]="","",IFERROR(
   IF(_xlfn.XLOOKUP(Final_Sans_VGE[[#This Row],[ppn_z]],tbl_Historique_Final[[#This Row],[ppn_z]],tbl_Historique_Final[[#This Row],[date_modif]])=Final_Sans_VGE[[#This Row],[date_modif]],
      "Ancien",
      "Modifié"),
   "Nouveau")),"")</f>
        <v/>
      </c>
    </row>
    <row r="6823" spans="24:30" x14ac:dyDescent="0.25">
      <c r="X6823" s="8" t="e">
        <f>IF(Final_Sans_VGE[[#This Row],[ppn_z]]="","",IFERROR(
   IF(_xlfn.XLOOKUP(Final_Sans_VGE[[#This Row],[ppn_z]],tbl_Historique_Final[ppn_z],tbl_Historique_Final[date_modif])=Final_Sans_VGE[[#This Row],[date_modif]],
      "Ancien",
      "Modifié"),
   "Nouveau"))</f>
        <v>#VALUE!</v>
      </c>
      <c r="AD6823" s="1" t="str">
        <f>IFERROR(IF(Final_Sans_VGE[[#This Row],[ppn_z]]="","",IFERROR(
   IF(_xlfn.XLOOKUP(Final_Sans_VGE[[#This Row],[ppn_z]],tbl_Historique_Final[[#This Row],[ppn_z]],tbl_Historique_Final[[#This Row],[date_modif]])=Final_Sans_VGE[[#This Row],[date_modif]],
      "Ancien",
      "Modifié"),
   "Nouveau")),"")</f>
        <v/>
      </c>
    </row>
    <row r="6824" spans="24:30" x14ac:dyDescent="0.25">
      <c r="X6824" s="8" t="e">
        <f>IF(Final_Sans_VGE[[#This Row],[ppn_z]]="","",IFERROR(
   IF(_xlfn.XLOOKUP(Final_Sans_VGE[[#This Row],[ppn_z]],tbl_Historique_Final[ppn_z],tbl_Historique_Final[date_modif])=Final_Sans_VGE[[#This Row],[date_modif]],
      "Ancien",
      "Modifié"),
   "Nouveau"))</f>
        <v>#VALUE!</v>
      </c>
      <c r="AD6824" s="1" t="str">
        <f>IFERROR(IF(Final_Sans_VGE[[#This Row],[ppn_z]]="","",IFERROR(
   IF(_xlfn.XLOOKUP(Final_Sans_VGE[[#This Row],[ppn_z]],tbl_Historique_Final[[#This Row],[ppn_z]],tbl_Historique_Final[[#This Row],[date_modif]])=Final_Sans_VGE[[#This Row],[date_modif]],
      "Ancien",
      "Modifié"),
   "Nouveau")),"")</f>
        <v/>
      </c>
    </row>
    <row r="6825" spans="24:30" x14ac:dyDescent="0.25">
      <c r="X6825" s="8" t="e">
        <f>IF(Final_Sans_VGE[[#This Row],[ppn_z]]="","",IFERROR(
   IF(_xlfn.XLOOKUP(Final_Sans_VGE[[#This Row],[ppn_z]],tbl_Historique_Final[ppn_z],tbl_Historique_Final[date_modif])=Final_Sans_VGE[[#This Row],[date_modif]],
      "Ancien",
      "Modifié"),
   "Nouveau"))</f>
        <v>#VALUE!</v>
      </c>
      <c r="AD6825" s="1" t="str">
        <f>IFERROR(IF(Final_Sans_VGE[[#This Row],[ppn_z]]="","",IFERROR(
   IF(_xlfn.XLOOKUP(Final_Sans_VGE[[#This Row],[ppn_z]],tbl_Historique_Final[[#This Row],[ppn_z]],tbl_Historique_Final[[#This Row],[date_modif]])=Final_Sans_VGE[[#This Row],[date_modif]],
      "Ancien",
      "Modifié"),
   "Nouveau")),"")</f>
        <v/>
      </c>
    </row>
    <row r="6826" spans="24:30" x14ac:dyDescent="0.25">
      <c r="X6826" s="8" t="e">
        <f>IF(Final_Sans_VGE[[#This Row],[ppn_z]]="","",IFERROR(
   IF(_xlfn.XLOOKUP(Final_Sans_VGE[[#This Row],[ppn_z]],tbl_Historique_Final[ppn_z],tbl_Historique_Final[date_modif])=Final_Sans_VGE[[#This Row],[date_modif]],
      "Ancien",
      "Modifié"),
   "Nouveau"))</f>
        <v>#VALUE!</v>
      </c>
      <c r="AD6826" s="1" t="str">
        <f>IFERROR(IF(Final_Sans_VGE[[#This Row],[ppn_z]]="","",IFERROR(
   IF(_xlfn.XLOOKUP(Final_Sans_VGE[[#This Row],[ppn_z]],tbl_Historique_Final[[#This Row],[ppn_z]],tbl_Historique_Final[[#This Row],[date_modif]])=Final_Sans_VGE[[#This Row],[date_modif]],
      "Ancien",
      "Modifié"),
   "Nouveau")),"")</f>
        <v/>
      </c>
    </row>
    <row r="6827" spans="24:30" x14ac:dyDescent="0.25">
      <c r="X6827" s="8" t="e">
        <f>IF(Final_Sans_VGE[[#This Row],[ppn_z]]="","",IFERROR(
   IF(_xlfn.XLOOKUP(Final_Sans_VGE[[#This Row],[ppn_z]],tbl_Historique_Final[ppn_z],tbl_Historique_Final[date_modif])=Final_Sans_VGE[[#This Row],[date_modif]],
      "Ancien",
      "Modifié"),
   "Nouveau"))</f>
        <v>#VALUE!</v>
      </c>
      <c r="AD6827" s="1" t="str">
        <f>IFERROR(IF(Final_Sans_VGE[[#This Row],[ppn_z]]="","",IFERROR(
   IF(_xlfn.XLOOKUP(Final_Sans_VGE[[#This Row],[ppn_z]],tbl_Historique_Final[[#This Row],[ppn_z]],tbl_Historique_Final[[#This Row],[date_modif]])=Final_Sans_VGE[[#This Row],[date_modif]],
      "Ancien",
      "Modifié"),
   "Nouveau")),"")</f>
        <v/>
      </c>
    </row>
    <row r="6828" spans="24:30" x14ac:dyDescent="0.25">
      <c r="X6828" s="8" t="e">
        <f>IF(Final_Sans_VGE[[#This Row],[ppn_z]]="","",IFERROR(
   IF(_xlfn.XLOOKUP(Final_Sans_VGE[[#This Row],[ppn_z]],tbl_Historique_Final[ppn_z],tbl_Historique_Final[date_modif])=Final_Sans_VGE[[#This Row],[date_modif]],
      "Ancien",
      "Modifié"),
   "Nouveau"))</f>
        <v>#VALUE!</v>
      </c>
      <c r="AD6828" s="1" t="str">
        <f>IFERROR(IF(Final_Sans_VGE[[#This Row],[ppn_z]]="","",IFERROR(
   IF(_xlfn.XLOOKUP(Final_Sans_VGE[[#This Row],[ppn_z]],tbl_Historique_Final[[#This Row],[ppn_z]],tbl_Historique_Final[[#This Row],[date_modif]])=Final_Sans_VGE[[#This Row],[date_modif]],
      "Ancien",
      "Modifié"),
   "Nouveau")),"")</f>
        <v/>
      </c>
    </row>
    <row r="6829" spans="24:30" x14ac:dyDescent="0.25">
      <c r="X6829" s="8" t="e">
        <f>IF(Final_Sans_VGE[[#This Row],[ppn_z]]="","",IFERROR(
   IF(_xlfn.XLOOKUP(Final_Sans_VGE[[#This Row],[ppn_z]],tbl_Historique_Final[ppn_z],tbl_Historique_Final[date_modif])=Final_Sans_VGE[[#This Row],[date_modif]],
      "Ancien",
      "Modifié"),
   "Nouveau"))</f>
        <v>#VALUE!</v>
      </c>
      <c r="AD6829" s="1" t="str">
        <f>IFERROR(IF(Final_Sans_VGE[[#This Row],[ppn_z]]="","",IFERROR(
   IF(_xlfn.XLOOKUP(Final_Sans_VGE[[#This Row],[ppn_z]],tbl_Historique_Final[[#This Row],[ppn_z]],tbl_Historique_Final[[#This Row],[date_modif]])=Final_Sans_VGE[[#This Row],[date_modif]],
      "Ancien",
      "Modifié"),
   "Nouveau")),"")</f>
        <v/>
      </c>
    </row>
    <row r="6830" spans="24:30" x14ac:dyDescent="0.25">
      <c r="X6830" s="8" t="e">
        <f>IF(Final_Sans_VGE[[#This Row],[ppn_z]]="","",IFERROR(
   IF(_xlfn.XLOOKUP(Final_Sans_VGE[[#This Row],[ppn_z]],tbl_Historique_Final[ppn_z],tbl_Historique_Final[date_modif])=Final_Sans_VGE[[#This Row],[date_modif]],
      "Ancien",
      "Modifié"),
   "Nouveau"))</f>
        <v>#VALUE!</v>
      </c>
      <c r="AD6830" s="1" t="str">
        <f>IFERROR(IF(Final_Sans_VGE[[#This Row],[ppn_z]]="","",IFERROR(
   IF(_xlfn.XLOOKUP(Final_Sans_VGE[[#This Row],[ppn_z]],tbl_Historique_Final[[#This Row],[ppn_z]],tbl_Historique_Final[[#This Row],[date_modif]])=Final_Sans_VGE[[#This Row],[date_modif]],
      "Ancien",
      "Modifié"),
   "Nouveau")),"")</f>
        <v/>
      </c>
    </row>
    <row r="6831" spans="24:30" x14ac:dyDescent="0.25">
      <c r="X6831" s="8" t="e">
        <f>IF(Final_Sans_VGE[[#This Row],[ppn_z]]="","",IFERROR(
   IF(_xlfn.XLOOKUP(Final_Sans_VGE[[#This Row],[ppn_z]],tbl_Historique_Final[ppn_z],tbl_Historique_Final[date_modif])=Final_Sans_VGE[[#This Row],[date_modif]],
      "Ancien",
      "Modifié"),
   "Nouveau"))</f>
        <v>#VALUE!</v>
      </c>
      <c r="AD6831" s="1" t="str">
        <f>IFERROR(IF(Final_Sans_VGE[[#This Row],[ppn_z]]="","",IFERROR(
   IF(_xlfn.XLOOKUP(Final_Sans_VGE[[#This Row],[ppn_z]],tbl_Historique_Final[[#This Row],[ppn_z]],tbl_Historique_Final[[#This Row],[date_modif]])=Final_Sans_VGE[[#This Row],[date_modif]],
      "Ancien",
      "Modifié"),
   "Nouveau")),"")</f>
        <v/>
      </c>
    </row>
    <row r="6832" spans="24:30" x14ac:dyDescent="0.25">
      <c r="X6832" s="8" t="e">
        <f>IF(Final_Sans_VGE[[#This Row],[ppn_z]]="","",IFERROR(
   IF(_xlfn.XLOOKUP(Final_Sans_VGE[[#This Row],[ppn_z]],tbl_Historique_Final[ppn_z],tbl_Historique_Final[date_modif])=Final_Sans_VGE[[#This Row],[date_modif]],
      "Ancien",
      "Modifié"),
   "Nouveau"))</f>
        <v>#VALUE!</v>
      </c>
      <c r="AD6832" s="1" t="str">
        <f>IFERROR(IF(Final_Sans_VGE[[#This Row],[ppn_z]]="","",IFERROR(
   IF(_xlfn.XLOOKUP(Final_Sans_VGE[[#This Row],[ppn_z]],tbl_Historique_Final[[#This Row],[ppn_z]],tbl_Historique_Final[[#This Row],[date_modif]])=Final_Sans_VGE[[#This Row],[date_modif]],
      "Ancien",
      "Modifié"),
   "Nouveau")),"")</f>
        <v/>
      </c>
    </row>
    <row r="6833" spans="24:30" x14ac:dyDescent="0.25">
      <c r="X6833" s="8" t="e">
        <f>IF(Final_Sans_VGE[[#This Row],[ppn_z]]="","",IFERROR(
   IF(_xlfn.XLOOKUP(Final_Sans_VGE[[#This Row],[ppn_z]],tbl_Historique_Final[ppn_z],tbl_Historique_Final[date_modif])=Final_Sans_VGE[[#This Row],[date_modif]],
      "Ancien",
      "Modifié"),
   "Nouveau"))</f>
        <v>#VALUE!</v>
      </c>
      <c r="AD6833" s="1" t="str">
        <f>IFERROR(IF(Final_Sans_VGE[[#This Row],[ppn_z]]="","",IFERROR(
   IF(_xlfn.XLOOKUP(Final_Sans_VGE[[#This Row],[ppn_z]],tbl_Historique_Final[[#This Row],[ppn_z]],tbl_Historique_Final[[#This Row],[date_modif]])=Final_Sans_VGE[[#This Row],[date_modif]],
      "Ancien",
      "Modifié"),
   "Nouveau")),"")</f>
        <v/>
      </c>
    </row>
    <row r="6834" spans="24:30" x14ac:dyDescent="0.25">
      <c r="X6834" s="8" t="e">
        <f>IF(Final_Sans_VGE[[#This Row],[ppn_z]]="","",IFERROR(
   IF(_xlfn.XLOOKUP(Final_Sans_VGE[[#This Row],[ppn_z]],tbl_Historique_Final[ppn_z],tbl_Historique_Final[date_modif])=Final_Sans_VGE[[#This Row],[date_modif]],
      "Ancien",
      "Modifié"),
   "Nouveau"))</f>
        <v>#VALUE!</v>
      </c>
      <c r="AD6834" s="1" t="str">
        <f>IFERROR(IF(Final_Sans_VGE[[#This Row],[ppn_z]]="","",IFERROR(
   IF(_xlfn.XLOOKUP(Final_Sans_VGE[[#This Row],[ppn_z]],tbl_Historique_Final[[#This Row],[ppn_z]],tbl_Historique_Final[[#This Row],[date_modif]])=Final_Sans_VGE[[#This Row],[date_modif]],
      "Ancien",
      "Modifié"),
   "Nouveau")),"")</f>
        <v/>
      </c>
    </row>
    <row r="6835" spans="24:30" x14ac:dyDescent="0.25">
      <c r="X6835" s="8" t="e">
        <f>IF(Final_Sans_VGE[[#This Row],[ppn_z]]="","",IFERROR(
   IF(_xlfn.XLOOKUP(Final_Sans_VGE[[#This Row],[ppn_z]],tbl_Historique_Final[ppn_z],tbl_Historique_Final[date_modif])=Final_Sans_VGE[[#This Row],[date_modif]],
      "Ancien",
      "Modifié"),
   "Nouveau"))</f>
        <v>#VALUE!</v>
      </c>
      <c r="AD6835" s="1" t="str">
        <f>IFERROR(IF(Final_Sans_VGE[[#This Row],[ppn_z]]="","",IFERROR(
   IF(_xlfn.XLOOKUP(Final_Sans_VGE[[#This Row],[ppn_z]],tbl_Historique_Final[[#This Row],[ppn_z]],tbl_Historique_Final[[#This Row],[date_modif]])=Final_Sans_VGE[[#This Row],[date_modif]],
      "Ancien",
      "Modifié"),
   "Nouveau")),"")</f>
        <v/>
      </c>
    </row>
    <row r="6836" spans="24:30" x14ac:dyDescent="0.25">
      <c r="X6836" s="8" t="e">
        <f>IF(Final_Sans_VGE[[#This Row],[ppn_z]]="","",IFERROR(
   IF(_xlfn.XLOOKUP(Final_Sans_VGE[[#This Row],[ppn_z]],tbl_Historique_Final[ppn_z],tbl_Historique_Final[date_modif])=Final_Sans_VGE[[#This Row],[date_modif]],
      "Ancien",
      "Modifié"),
   "Nouveau"))</f>
        <v>#VALUE!</v>
      </c>
      <c r="AD6836" s="1" t="str">
        <f>IFERROR(IF(Final_Sans_VGE[[#This Row],[ppn_z]]="","",IFERROR(
   IF(_xlfn.XLOOKUP(Final_Sans_VGE[[#This Row],[ppn_z]],tbl_Historique_Final[[#This Row],[ppn_z]],tbl_Historique_Final[[#This Row],[date_modif]])=Final_Sans_VGE[[#This Row],[date_modif]],
      "Ancien",
      "Modifié"),
   "Nouveau")),"")</f>
        <v/>
      </c>
    </row>
    <row r="6837" spans="24:30" x14ac:dyDescent="0.25">
      <c r="X6837" s="8" t="e">
        <f>IF(Final_Sans_VGE[[#This Row],[ppn_z]]="","",IFERROR(
   IF(_xlfn.XLOOKUP(Final_Sans_VGE[[#This Row],[ppn_z]],tbl_Historique_Final[ppn_z],tbl_Historique_Final[date_modif])=Final_Sans_VGE[[#This Row],[date_modif]],
      "Ancien",
      "Modifié"),
   "Nouveau"))</f>
        <v>#VALUE!</v>
      </c>
      <c r="AD6837" s="1" t="str">
        <f>IFERROR(IF(Final_Sans_VGE[[#This Row],[ppn_z]]="","",IFERROR(
   IF(_xlfn.XLOOKUP(Final_Sans_VGE[[#This Row],[ppn_z]],tbl_Historique_Final[[#This Row],[ppn_z]],tbl_Historique_Final[[#This Row],[date_modif]])=Final_Sans_VGE[[#This Row],[date_modif]],
      "Ancien",
      "Modifié"),
   "Nouveau")),"")</f>
        <v/>
      </c>
    </row>
    <row r="6838" spans="24:30" x14ac:dyDescent="0.25">
      <c r="X6838" s="8" t="e">
        <f>IF(Final_Sans_VGE[[#This Row],[ppn_z]]="","",IFERROR(
   IF(_xlfn.XLOOKUP(Final_Sans_VGE[[#This Row],[ppn_z]],tbl_Historique_Final[ppn_z],tbl_Historique_Final[date_modif])=Final_Sans_VGE[[#This Row],[date_modif]],
      "Ancien",
      "Modifié"),
   "Nouveau"))</f>
        <v>#VALUE!</v>
      </c>
      <c r="AD6838" s="1" t="str">
        <f>IFERROR(IF(Final_Sans_VGE[[#This Row],[ppn_z]]="","",IFERROR(
   IF(_xlfn.XLOOKUP(Final_Sans_VGE[[#This Row],[ppn_z]],tbl_Historique_Final[[#This Row],[ppn_z]],tbl_Historique_Final[[#This Row],[date_modif]])=Final_Sans_VGE[[#This Row],[date_modif]],
      "Ancien",
      "Modifié"),
   "Nouveau")),"")</f>
        <v/>
      </c>
    </row>
    <row r="6839" spans="24:30" x14ac:dyDescent="0.25">
      <c r="X6839" s="8" t="e">
        <f>IF(Final_Sans_VGE[[#This Row],[ppn_z]]="","",IFERROR(
   IF(_xlfn.XLOOKUP(Final_Sans_VGE[[#This Row],[ppn_z]],tbl_Historique_Final[ppn_z],tbl_Historique_Final[date_modif])=Final_Sans_VGE[[#This Row],[date_modif]],
      "Ancien",
      "Modifié"),
   "Nouveau"))</f>
        <v>#VALUE!</v>
      </c>
      <c r="AD6839" s="1" t="str">
        <f>IFERROR(IF(Final_Sans_VGE[[#This Row],[ppn_z]]="","",IFERROR(
   IF(_xlfn.XLOOKUP(Final_Sans_VGE[[#This Row],[ppn_z]],tbl_Historique_Final[[#This Row],[ppn_z]],tbl_Historique_Final[[#This Row],[date_modif]])=Final_Sans_VGE[[#This Row],[date_modif]],
      "Ancien",
      "Modifié"),
   "Nouveau")),"")</f>
        <v/>
      </c>
    </row>
    <row r="6840" spans="24:30" x14ac:dyDescent="0.25">
      <c r="X6840" s="8" t="e">
        <f>IF(Final_Sans_VGE[[#This Row],[ppn_z]]="","",IFERROR(
   IF(_xlfn.XLOOKUP(Final_Sans_VGE[[#This Row],[ppn_z]],tbl_Historique_Final[ppn_z],tbl_Historique_Final[date_modif])=Final_Sans_VGE[[#This Row],[date_modif]],
      "Ancien",
      "Modifié"),
   "Nouveau"))</f>
        <v>#VALUE!</v>
      </c>
      <c r="AD6840" s="1" t="str">
        <f>IFERROR(IF(Final_Sans_VGE[[#This Row],[ppn_z]]="","",IFERROR(
   IF(_xlfn.XLOOKUP(Final_Sans_VGE[[#This Row],[ppn_z]],tbl_Historique_Final[[#This Row],[ppn_z]],tbl_Historique_Final[[#This Row],[date_modif]])=Final_Sans_VGE[[#This Row],[date_modif]],
      "Ancien",
      "Modifié"),
   "Nouveau")),"")</f>
        <v/>
      </c>
    </row>
    <row r="6841" spans="24:30" x14ac:dyDescent="0.25">
      <c r="X6841" s="8" t="e">
        <f>IF(Final_Sans_VGE[[#This Row],[ppn_z]]="","",IFERROR(
   IF(_xlfn.XLOOKUP(Final_Sans_VGE[[#This Row],[ppn_z]],tbl_Historique_Final[ppn_z],tbl_Historique_Final[date_modif])=Final_Sans_VGE[[#This Row],[date_modif]],
      "Ancien",
      "Modifié"),
   "Nouveau"))</f>
        <v>#VALUE!</v>
      </c>
      <c r="AD6841" s="1" t="str">
        <f>IFERROR(IF(Final_Sans_VGE[[#This Row],[ppn_z]]="","",IFERROR(
   IF(_xlfn.XLOOKUP(Final_Sans_VGE[[#This Row],[ppn_z]],tbl_Historique_Final[[#This Row],[ppn_z]],tbl_Historique_Final[[#This Row],[date_modif]])=Final_Sans_VGE[[#This Row],[date_modif]],
      "Ancien",
      "Modifié"),
   "Nouveau")),"")</f>
        <v/>
      </c>
    </row>
    <row r="6842" spans="24:30" x14ac:dyDescent="0.25">
      <c r="X6842" s="8" t="e">
        <f>IF(Final_Sans_VGE[[#This Row],[ppn_z]]="","",IFERROR(
   IF(_xlfn.XLOOKUP(Final_Sans_VGE[[#This Row],[ppn_z]],tbl_Historique_Final[ppn_z],tbl_Historique_Final[date_modif])=Final_Sans_VGE[[#This Row],[date_modif]],
      "Ancien",
      "Modifié"),
   "Nouveau"))</f>
        <v>#VALUE!</v>
      </c>
      <c r="AD6842" s="1" t="str">
        <f>IFERROR(IF(Final_Sans_VGE[[#This Row],[ppn_z]]="","",IFERROR(
   IF(_xlfn.XLOOKUP(Final_Sans_VGE[[#This Row],[ppn_z]],tbl_Historique_Final[[#This Row],[ppn_z]],tbl_Historique_Final[[#This Row],[date_modif]])=Final_Sans_VGE[[#This Row],[date_modif]],
      "Ancien",
      "Modifié"),
   "Nouveau")),"")</f>
        <v/>
      </c>
    </row>
    <row r="6843" spans="24:30" x14ac:dyDescent="0.25">
      <c r="X6843" s="8" t="e">
        <f>IF(Final_Sans_VGE[[#This Row],[ppn_z]]="","",IFERROR(
   IF(_xlfn.XLOOKUP(Final_Sans_VGE[[#This Row],[ppn_z]],tbl_Historique_Final[ppn_z],tbl_Historique_Final[date_modif])=Final_Sans_VGE[[#This Row],[date_modif]],
      "Ancien",
      "Modifié"),
   "Nouveau"))</f>
        <v>#VALUE!</v>
      </c>
      <c r="AD6843" s="1" t="str">
        <f>IFERROR(IF(Final_Sans_VGE[[#This Row],[ppn_z]]="","",IFERROR(
   IF(_xlfn.XLOOKUP(Final_Sans_VGE[[#This Row],[ppn_z]],tbl_Historique_Final[[#This Row],[ppn_z]],tbl_Historique_Final[[#This Row],[date_modif]])=Final_Sans_VGE[[#This Row],[date_modif]],
      "Ancien",
      "Modifié"),
   "Nouveau")),"")</f>
        <v/>
      </c>
    </row>
    <row r="6844" spans="24:30" x14ac:dyDescent="0.25">
      <c r="X6844" s="8" t="e">
        <f>IF(Final_Sans_VGE[[#This Row],[ppn_z]]="","",IFERROR(
   IF(_xlfn.XLOOKUP(Final_Sans_VGE[[#This Row],[ppn_z]],tbl_Historique_Final[ppn_z],tbl_Historique_Final[date_modif])=Final_Sans_VGE[[#This Row],[date_modif]],
      "Ancien",
      "Modifié"),
   "Nouveau"))</f>
        <v>#VALUE!</v>
      </c>
      <c r="AD6844" s="1" t="str">
        <f>IFERROR(IF(Final_Sans_VGE[[#This Row],[ppn_z]]="","",IFERROR(
   IF(_xlfn.XLOOKUP(Final_Sans_VGE[[#This Row],[ppn_z]],tbl_Historique_Final[[#This Row],[ppn_z]],tbl_Historique_Final[[#This Row],[date_modif]])=Final_Sans_VGE[[#This Row],[date_modif]],
      "Ancien",
      "Modifié"),
   "Nouveau")),"")</f>
        <v/>
      </c>
    </row>
    <row r="6845" spans="24:30" x14ac:dyDescent="0.25">
      <c r="X6845" s="8" t="e">
        <f>IF(Final_Sans_VGE[[#This Row],[ppn_z]]="","",IFERROR(
   IF(_xlfn.XLOOKUP(Final_Sans_VGE[[#This Row],[ppn_z]],tbl_Historique_Final[ppn_z],tbl_Historique_Final[date_modif])=Final_Sans_VGE[[#This Row],[date_modif]],
      "Ancien",
      "Modifié"),
   "Nouveau"))</f>
        <v>#VALUE!</v>
      </c>
      <c r="AD6845" s="1" t="str">
        <f>IFERROR(IF(Final_Sans_VGE[[#This Row],[ppn_z]]="","",IFERROR(
   IF(_xlfn.XLOOKUP(Final_Sans_VGE[[#This Row],[ppn_z]],tbl_Historique_Final[[#This Row],[ppn_z]],tbl_Historique_Final[[#This Row],[date_modif]])=Final_Sans_VGE[[#This Row],[date_modif]],
      "Ancien",
      "Modifié"),
   "Nouveau")),"")</f>
        <v/>
      </c>
    </row>
    <row r="6846" spans="24:30" x14ac:dyDescent="0.25">
      <c r="X6846" s="8" t="e">
        <f>IF(Final_Sans_VGE[[#This Row],[ppn_z]]="","",IFERROR(
   IF(_xlfn.XLOOKUP(Final_Sans_VGE[[#This Row],[ppn_z]],tbl_Historique_Final[ppn_z],tbl_Historique_Final[date_modif])=Final_Sans_VGE[[#This Row],[date_modif]],
      "Ancien",
      "Modifié"),
   "Nouveau"))</f>
        <v>#VALUE!</v>
      </c>
      <c r="AD6846" s="1" t="str">
        <f>IFERROR(IF(Final_Sans_VGE[[#This Row],[ppn_z]]="","",IFERROR(
   IF(_xlfn.XLOOKUP(Final_Sans_VGE[[#This Row],[ppn_z]],tbl_Historique_Final[[#This Row],[ppn_z]],tbl_Historique_Final[[#This Row],[date_modif]])=Final_Sans_VGE[[#This Row],[date_modif]],
      "Ancien",
      "Modifié"),
   "Nouveau")),"")</f>
        <v/>
      </c>
    </row>
    <row r="6847" spans="24:30" x14ac:dyDescent="0.25">
      <c r="X6847" s="8" t="e">
        <f>IF(Final_Sans_VGE[[#This Row],[ppn_z]]="","",IFERROR(
   IF(_xlfn.XLOOKUP(Final_Sans_VGE[[#This Row],[ppn_z]],tbl_Historique_Final[ppn_z],tbl_Historique_Final[date_modif])=Final_Sans_VGE[[#This Row],[date_modif]],
      "Ancien",
      "Modifié"),
   "Nouveau"))</f>
        <v>#VALUE!</v>
      </c>
      <c r="AD6847" s="1" t="str">
        <f>IFERROR(IF(Final_Sans_VGE[[#This Row],[ppn_z]]="","",IFERROR(
   IF(_xlfn.XLOOKUP(Final_Sans_VGE[[#This Row],[ppn_z]],tbl_Historique_Final[[#This Row],[ppn_z]],tbl_Historique_Final[[#This Row],[date_modif]])=Final_Sans_VGE[[#This Row],[date_modif]],
      "Ancien",
      "Modifié"),
   "Nouveau")),"")</f>
        <v/>
      </c>
    </row>
    <row r="6848" spans="24:30" x14ac:dyDescent="0.25">
      <c r="X6848" s="8" t="e">
        <f>IF(Final_Sans_VGE[[#This Row],[ppn_z]]="","",IFERROR(
   IF(_xlfn.XLOOKUP(Final_Sans_VGE[[#This Row],[ppn_z]],tbl_Historique_Final[ppn_z],tbl_Historique_Final[date_modif])=Final_Sans_VGE[[#This Row],[date_modif]],
      "Ancien",
      "Modifié"),
   "Nouveau"))</f>
        <v>#VALUE!</v>
      </c>
      <c r="AD6848" s="1" t="str">
        <f>IFERROR(IF(Final_Sans_VGE[[#This Row],[ppn_z]]="","",IFERROR(
   IF(_xlfn.XLOOKUP(Final_Sans_VGE[[#This Row],[ppn_z]],tbl_Historique_Final[[#This Row],[ppn_z]],tbl_Historique_Final[[#This Row],[date_modif]])=Final_Sans_VGE[[#This Row],[date_modif]],
      "Ancien",
      "Modifié"),
   "Nouveau")),"")</f>
        <v/>
      </c>
    </row>
    <row r="6849" spans="24:30" x14ac:dyDescent="0.25">
      <c r="X6849" s="8" t="e">
        <f>IF(Final_Sans_VGE[[#This Row],[ppn_z]]="","",IFERROR(
   IF(_xlfn.XLOOKUP(Final_Sans_VGE[[#This Row],[ppn_z]],tbl_Historique_Final[ppn_z],tbl_Historique_Final[date_modif])=Final_Sans_VGE[[#This Row],[date_modif]],
      "Ancien",
      "Modifié"),
   "Nouveau"))</f>
        <v>#VALUE!</v>
      </c>
      <c r="AD6849" s="1" t="str">
        <f>IFERROR(IF(Final_Sans_VGE[[#This Row],[ppn_z]]="","",IFERROR(
   IF(_xlfn.XLOOKUP(Final_Sans_VGE[[#This Row],[ppn_z]],tbl_Historique_Final[[#This Row],[ppn_z]],tbl_Historique_Final[[#This Row],[date_modif]])=Final_Sans_VGE[[#This Row],[date_modif]],
      "Ancien",
      "Modifié"),
   "Nouveau")),"")</f>
        <v/>
      </c>
    </row>
    <row r="6850" spans="24:30" x14ac:dyDescent="0.25">
      <c r="X6850" s="8" t="e">
        <f>IF(Final_Sans_VGE[[#This Row],[ppn_z]]="","",IFERROR(
   IF(_xlfn.XLOOKUP(Final_Sans_VGE[[#This Row],[ppn_z]],tbl_Historique_Final[ppn_z],tbl_Historique_Final[date_modif])=Final_Sans_VGE[[#This Row],[date_modif]],
      "Ancien",
      "Modifié"),
   "Nouveau"))</f>
        <v>#VALUE!</v>
      </c>
      <c r="AD6850" s="1" t="str">
        <f>IFERROR(IF(Final_Sans_VGE[[#This Row],[ppn_z]]="","",IFERROR(
   IF(_xlfn.XLOOKUP(Final_Sans_VGE[[#This Row],[ppn_z]],tbl_Historique_Final[[#This Row],[ppn_z]],tbl_Historique_Final[[#This Row],[date_modif]])=Final_Sans_VGE[[#This Row],[date_modif]],
      "Ancien",
      "Modifié"),
   "Nouveau")),"")</f>
        <v/>
      </c>
    </row>
    <row r="6851" spans="24:30" x14ac:dyDescent="0.25">
      <c r="X6851" s="8" t="e">
        <f>IF(Final_Sans_VGE[[#This Row],[ppn_z]]="","",IFERROR(
   IF(_xlfn.XLOOKUP(Final_Sans_VGE[[#This Row],[ppn_z]],tbl_Historique_Final[ppn_z],tbl_Historique_Final[date_modif])=Final_Sans_VGE[[#This Row],[date_modif]],
      "Ancien",
      "Modifié"),
   "Nouveau"))</f>
        <v>#VALUE!</v>
      </c>
      <c r="AD6851" s="1" t="str">
        <f>IFERROR(IF(Final_Sans_VGE[[#This Row],[ppn_z]]="","",IFERROR(
   IF(_xlfn.XLOOKUP(Final_Sans_VGE[[#This Row],[ppn_z]],tbl_Historique_Final[[#This Row],[ppn_z]],tbl_Historique_Final[[#This Row],[date_modif]])=Final_Sans_VGE[[#This Row],[date_modif]],
      "Ancien",
      "Modifié"),
   "Nouveau")),"")</f>
        <v/>
      </c>
    </row>
    <row r="6852" spans="24:30" x14ac:dyDescent="0.25">
      <c r="X6852" s="8" t="e">
        <f>IF(Final_Sans_VGE[[#This Row],[ppn_z]]="","",IFERROR(
   IF(_xlfn.XLOOKUP(Final_Sans_VGE[[#This Row],[ppn_z]],tbl_Historique_Final[ppn_z],tbl_Historique_Final[date_modif])=Final_Sans_VGE[[#This Row],[date_modif]],
      "Ancien",
      "Modifié"),
   "Nouveau"))</f>
        <v>#VALUE!</v>
      </c>
      <c r="AD6852" s="1" t="str">
        <f>IFERROR(IF(Final_Sans_VGE[[#This Row],[ppn_z]]="","",IFERROR(
   IF(_xlfn.XLOOKUP(Final_Sans_VGE[[#This Row],[ppn_z]],tbl_Historique_Final[[#This Row],[ppn_z]],tbl_Historique_Final[[#This Row],[date_modif]])=Final_Sans_VGE[[#This Row],[date_modif]],
      "Ancien",
      "Modifié"),
   "Nouveau")),"")</f>
        <v/>
      </c>
    </row>
    <row r="6853" spans="24:30" x14ac:dyDescent="0.25">
      <c r="X6853" s="8" t="e">
        <f>IF(Final_Sans_VGE[[#This Row],[ppn_z]]="","",IFERROR(
   IF(_xlfn.XLOOKUP(Final_Sans_VGE[[#This Row],[ppn_z]],tbl_Historique_Final[ppn_z],tbl_Historique_Final[date_modif])=Final_Sans_VGE[[#This Row],[date_modif]],
      "Ancien",
      "Modifié"),
   "Nouveau"))</f>
        <v>#VALUE!</v>
      </c>
      <c r="AD6853" s="1" t="str">
        <f>IFERROR(IF(Final_Sans_VGE[[#This Row],[ppn_z]]="","",IFERROR(
   IF(_xlfn.XLOOKUP(Final_Sans_VGE[[#This Row],[ppn_z]],tbl_Historique_Final[[#This Row],[ppn_z]],tbl_Historique_Final[[#This Row],[date_modif]])=Final_Sans_VGE[[#This Row],[date_modif]],
      "Ancien",
      "Modifié"),
   "Nouveau")),"")</f>
        <v/>
      </c>
    </row>
    <row r="6854" spans="24:30" x14ac:dyDescent="0.25">
      <c r="X6854" s="8" t="e">
        <f>IF(Final_Sans_VGE[[#This Row],[ppn_z]]="","",IFERROR(
   IF(_xlfn.XLOOKUP(Final_Sans_VGE[[#This Row],[ppn_z]],tbl_Historique_Final[ppn_z],tbl_Historique_Final[date_modif])=Final_Sans_VGE[[#This Row],[date_modif]],
      "Ancien",
      "Modifié"),
   "Nouveau"))</f>
        <v>#VALUE!</v>
      </c>
      <c r="AD6854" s="1" t="str">
        <f>IFERROR(IF(Final_Sans_VGE[[#This Row],[ppn_z]]="","",IFERROR(
   IF(_xlfn.XLOOKUP(Final_Sans_VGE[[#This Row],[ppn_z]],tbl_Historique_Final[[#This Row],[ppn_z]],tbl_Historique_Final[[#This Row],[date_modif]])=Final_Sans_VGE[[#This Row],[date_modif]],
      "Ancien",
      "Modifié"),
   "Nouveau")),"")</f>
        <v/>
      </c>
    </row>
    <row r="6855" spans="24:30" x14ac:dyDescent="0.25">
      <c r="X6855" s="8" t="e">
        <f>IF(Final_Sans_VGE[[#This Row],[ppn_z]]="","",IFERROR(
   IF(_xlfn.XLOOKUP(Final_Sans_VGE[[#This Row],[ppn_z]],tbl_Historique_Final[ppn_z],tbl_Historique_Final[date_modif])=Final_Sans_VGE[[#This Row],[date_modif]],
      "Ancien",
      "Modifié"),
   "Nouveau"))</f>
        <v>#VALUE!</v>
      </c>
      <c r="AD6855" s="1" t="str">
        <f>IFERROR(IF(Final_Sans_VGE[[#This Row],[ppn_z]]="","",IFERROR(
   IF(_xlfn.XLOOKUP(Final_Sans_VGE[[#This Row],[ppn_z]],tbl_Historique_Final[[#This Row],[ppn_z]],tbl_Historique_Final[[#This Row],[date_modif]])=Final_Sans_VGE[[#This Row],[date_modif]],
      "Ancien",
      "Modifié"),
   "Nouveau")),"")</f>
        <v/>
      </c>
    </row>
    <row r="6856" spans="24:30" x14ac:dyDescent="0.25">
      <c r="X6856" s="8" t="e">
        <f>IF(Final_Sans_VGE[[#This Row],[ppn_z]]="","",IFERROR(
   IF(_xlfn.XLOOKUP(Final_Sans_VGE[[#This Row],[ppn_z]],tbl_Historique_Final[ppn_z],tbl_Historique_Final[date_modif])=Final_Sans_VGE[[#This Row],[date_modif]],
      "Ancien",
      "Modifié"),
   "Nouveau"))</f>
        <v>#VALUE!</v>
      </c>
      <c r="AD6856" s="1" t="str">
        <f>IFERROR(IF(Final_Sans_VGE[[#This Row],[ppn_z]]="","",IFERROR(
   IF(_xlfn.XLOOKUP(Final_Sans_VGE[[#This Row],[ppn_z]],tbl_Historique_Final[[#This Row],[ppn_z]],tbl_Historique_Final[[#This Row],[date_modif]])=Final_Sans_VGE[[#This Row],[date_modif]],
      "Ancien",
      "Modifié"),
   "Nouveau")),"")</f>
        <v/>
      </c>
    </row>
    <row r="6857" spans="24:30" x14ac:dyDescent="0.25">
      <c r="X6857" s="8" t="e">
        <f>IF(Final_Sans_VGE[[#This Row],[ppn_z]]="","",IFERROR(
   IF(_xlfn.XLOOKUP(Final_Sans_VGE[[#This Row],[ppn_z]],tbl_Historique_Final[ppn_z],tbl_Historique_Final[date_modif])=Final_Sans_VGE[[#This Row],[date_modif]],
      "Ancien",
      "Modifié"),
   "Nouveau"))</f>
        <v>#VALUE!</v>
      </c>
      <c r="AD6857" s="1" t="str">
        <f>IFERROR(IF(Final_Sans_VGE[[#This Row],[ppn_z]]="","",IFERROR(
   IF(_xlfn.XLOOKUP(Final_Sans_VGE[[#This Row],[ppn_z]],tbl_Historique_Final[[#This Row],[ppn_z]],tbl_Historique_Final[[#This Row],[date_modif]])=Final_Sans_VGE[[#This Row],[date_modif]],
      "Ancien",
      "Modifié"),
   "Nouveau")),"")</f>
        <v/>
      </c>
    </row>
    <row r="6858" spans="24:30" x14ac:dyDescent="0.25">
      <c r="X6858" s="8" t="e">
        <f>IF(Final_Sans_VGE[[#This Row],[ppn_z]]="","",IFERROR(
   IF(_xlfn.XLOOKUP(Final_Sans_VGE[[#This Row],[ppn_z]],tbl_Historique_Final[ppn_z],tbl_Historique_Final[date_modif])=Final_Sans_VGE[[#This Row],[date_modif]],
      "Ancien",
      "Modifié"),
   "Nouveau"))</f>
        <v>#VALUE!</v>
      </c>
      <c r="AD6858" s="1" t="str">
        <f>IFERROR(IF(Final_Sans_VGE[[#This Row],[ppn_z]]="","",IFERROR(
   IF(_xlfn.XLOOKUP(Final_Sans_VGE[[#This Row],[ppn_z]],tbl_Historique_Final[[#This Row],[ppn_z]],tbl_Historique_Final[[#This Row],[date_modif]])=Final_Sans_VGE[[#This Row],[date_modif]],
      "Ancien",
      "Modifié"),
   "Nouveau")),"")</f>
        <v/>
      </c>
    </row>
    <row r="6859" spans="24:30" x14ac:dyDescent="0.25">
      <c r="X6859" s="8" t="e">
        <f>IF(Final_Sans_VGE[[#This Row],[ppn_z]]="","",IFERROR(
   IF(_xlfn.XLOOKUP(Final_Sans_VGE[[#This Row],[ppn_z]],tbl_Historique_Final[ppn_z],tbl_Historique_Final[date_modif])=Final_Sans_VGE[[#This Row],[date_modif]],
      "Ancien",
      "Modifié"),
   "Nouveau"))</f>
        <v>#VALUE!</v>
      </c>
      <c r="AD6859" s="1" t="str">
        <f>IFERROR(IF(Final_Sans_VGE[[#This Row],[ppn_z]]="","",IFERROR(
   IF(_xlfn.XLOOKUP(Final_Sans_VGE[[#This Row],[ppn_z]],tbl_Historique_Final[[#This Row],[ppn_z]],tbl_Historique_Final[[#This Row],[date_modif]])=Final_Sans_VGE[[#This Row],[date_modif]],
      "Ancien",
      "Modifié"),
   "Nouveau")),"")</f>
        <v/>
      </c>
    </row>
    <row r="6860" spans="24:30" x14ac:dyDescent="0.25">
      <c r="X6860" s="8" t="e">
        <f>IF(Final_Sans_VGE[[#This Row],[ppn_z]]="","",IFERROR(
   IF(_xlfn.XLOOKUP(Final_Sans_VGE[[#This Row],[ppn_z]],tbl_Historique_Final[ppn_z],tbl_Historique_Final[date_modif])=Final_Sans_VGE[[#This Row],[date_modif]],
      "Ancien",
      "Modifié"),
   "Nouveau"))</f>
        <v>#VALUE!</v>
      </c>
      <c r="AD6860" s="1" t="str">
        <f>IFERROR(IF(Final_Sans_VGE[[#This Row],[ppn_z]]="","",IFERROR(
   IF(_xlfn.XLOOKUP(Final_Sans_VGE[[#This Row],[ppn_z]],tbl_Historique_Final[[#This Row],[ppn_z]],tbl_Historique_Final[[#This Row],[date_modif]])=Final_Sans_VGE[[#This Row],[date_modif]],
      "Ancien",
      "Modifié"),
   "Nouveau")),"")</f>
        <v/>
      </c>
    </row>
    <row r="6861" spans="24:30" x14ac:dyDescent="0.25">
      <c r="X6861" s="8" t="e">
        <f>IF(Final_Sans_VGE[[#This Row],[ppn_z]]="","",IFERROR(
   IF(_xlfn.XLOOKUP(Final_Sans_VGE[[#This Row],[ppn_z]],tbl_Historique_Final[ppn_z],tbl_Historique_Final[date_modif])=Final_Sans_VGE[[#This Row],[date_modif]],
      "Ancien",
      "Modifié"),
   "Nouveau"))</f>
        <v>#VALUE!</v>
      </c>
      <c r="AD6861" s="1" t="str">
        <f>IFERROR(IF(Final_Sans_VGE[[#This Row],[ppn_z]]="","",IFERROR(
   IF(_xlfn.XLOOKUP(Final_Sans_VGE[[#This Row],[ppn_z]],tbl_Historique_Final[[#This Row],[ppn_z]],tbl_Historique_Final[[#This Row],[date_modif]])=Final_Sans_VGE[[#This Row],[date_modif]],
      "Ancien",
      "Modifié"),
   "Nouveau")),"")</f>
        <v/>
      </c>
    </row>
    <row r="6862" spans="24:30" x14ac:dyDescent="0.25">
      <c r="X6862" s="8" t="e">
        <f>IF(Final_Sans_VGE[[#This Row],[ppn_z]]="","",IFERROR(
   IF(_xlfn.XLOOKUP(Final_Sans_VGE[[#This Row],[ppn_z]],tbl_Historique_Final[ppn_z],tbl_Historique_Final[date_modif])=Final_Sans_VGE[[#This Row],[date_modif]],
      "Ancien",
      "Modifié"),
   "Nouveau"))</f>
        <v>#VALUE!</v>
      </c>
      <c r="AD6862" s="1" t="str">
        <f>IFERROR(IF(Final_Sans_VGE[[#This Row],[ppn_z]]="","",IFERROR(
   IF(_xlfn.XLOOKUP(Final_Sans_VGE[[#This Row],[ppn_z]],tbl_Historique_Final[[#This Row],[ppn_z]],tbl_Historique_Final[[#This Row],[date_modif]])=Final_Sans_VGE[[#This Row],[date_modif]],
      "Ancien",
      "Modifié"),
   "Nouveau")),"")</f>
        <v/>
      </c>
    </row>
    <row r="6863" spans="24:30" x14ac:dyDescent="0.25">
      <c r="X6863" s="8" t="e">
        <f>IF(Final_Sans_VGE[[#This Row],[ppn_z]]="","",IFERROR(
   IF(_xlfn.XLOOKUP(Final_Sans_VGE[[#This Row],[ppn_z]],tbl_Historique_Final[ppn_z],tbl_Historique_Final[date_modif])=Final_Sans_VGE[[#This Row],[date_modif]],
      "Ancien",
      "Modifié"),
   "Nouveau"))</f>
        <v>#VALUE!</v>
      </c>
      <c r="AD6863" s="1" t="str">
        <f>IFERROR(IF(Final_Sans_VGE[[#This Row],[ppn_z]]="","",IFERROR(
   IF(_xlfn.XLOOKUP(Final_Sans_VGE[[#This Row],[ppn_z]],tbl_Historique_Final[[#This Row],[ppn_z]],tbl_Historique_Final[[#This Row],[date_modif]])=Final_Sans_VGE[[#This Row],[date_modif]],
      "Ancien",
      "Modifié"),
   "Nouveau")),"")</f>
        <v/>
      </c>
    </row>
    <row r="6864" spans="24:30" x14ac:dyDescent="0.25">
      <c r="X6864" s="8" t="e">
        <f>IF(Final_Sans_VGE[[#This Row],[ppn_z]]="","",IFERROR(
   IF(_xlfn.XLOOKUP(Final_Sans_VGE[[#This Row],[ppn_z]],tbl_Historique_Final[ppn_z],tbl_Historique_Final[date_modif])=Final_Sans_VGE[[#This Row],[date_modif]],
      "Ancien",
      "Modifié"),
   "Nouveau"))</f>
        <v>#VALUE!</v>
      </c>
      <c r="AD6864" s="1" t="str">
        <f>IFERROR(IF(Final_Sans_VGE[[#This Row],[ppn_z]]="","",IFERROR(
   IF(_xlfn.XLOOKUP(Final_Sans_VGE[[#This Row],[ppn_z]],tbl_Historique_Final[[#This Row],[ppn_z]],tbl_Historique_Final[[#This Row],[date_modif]])=Final_Sans_VGE[[#This Row],[date_modif]],
      "Ancien",
      "Modifié"),
   "Nouveau")),"")</f>
        <v/>
      </c>
    </row>
    <row r="6865" spans="24:30" x14ac:dyDescent="0.25">
      <c r="X6865" s="8" t="e">
        <f>IF(Final_Sans_VGE[[#This Row],[ppn_z]]="","",IFERROR(
   IF(_xlfn.XLOOKUP(Final_Sans_VGE[[#This Row],[ppn_z]],tbl_Historique_Final[ppn_z],tbl_Historique_Final[date_modif])=Final_Sans_VGE[[#This Row],[date_modif]],
      "Ancien",
      "Modifié"),
   "Nouveau"))</f>
        <v>#VALUE!</v>
      </c>
      <c r="AD6865" s="1" t="str">
        <f>IFERROR(IF(Final_Sans_VGE[[#This Row],[ppn_z]]="","",IFERROR(
   IF(_xlfn.XLOOKUP(Final_Sans_VGE[[#This Row],[ppn_z]],tbl_Historique_Final[[#This Row],[ppn_z]],tbl_Historique_Final[[#This Row],[date_modif]])=Final_Sans_VGE[[#This Row],[date_modif]],
      "Ancien",
      "Modifié"),
   "Nouveau")),"")</f>
        <v/>
      </c>
    </row>
    <row r="6866" spans="24:30" x14ac:dyDescent="0.25">
      <c r="X6866" s="8" t="e">
        <f>IF(Final_Sans_VGE[[#This Row],[ppn_z]]="","",IFERROR(
   IF(_xlfn.XLOOKUP(Final_Sans_VGE[[#This Row],[ppn_z]],tbl_Historique_Final[ppn_z],tbl_Historique_Final[date_modif])=Final_Sans_VGE[[#This Row],[date_modif]],
      "Ancien",
      "Modifié"),
   "Nouveau"))</f>
        <v>#VALUE!</v>
      </c>
      <c r="AD6866" s="1" t="str">
        <f>IFERROR(IF(Final_Sans_VGE[[#This Row],[ppn_z]]="","",IFERROR(
   IF(_xlfn.XLOOKUP(Final_Sans_VGE[[#This Row],[ppn_z]],tbl_Historique_Final[[#This Row],[ppn_z]],tbl_Historique_Final[[#This Row],[date_modif]])=Final_Sans_VGE[[#This Row],[date_modif]],
      "Ancien",
      "Modifié"),
   "Nouveau")),"")</f>
        <v/>
      </c>
    </row>
    <row r="6867" spans="24:30" x14ac:dyDescent="0.25">
      <c r="X6867" s="8" t="e">
        <f>IF(Final_Sans_VGE[[#This Row],[ppn_z]]="","",IFERROR(
   IF(_xlfn.XLOOKUP(Final_Sans_VGE[[#This Row],[ppn_z]],tbl_Historique_Final[ppn_z],tbl_Historique_Final[date_modif])=Final_Sans_VGE[[#This Row],[date_modif]],
      "Ancien",
      "Modifié"),
   "Nouveau"))</f>
        <v>#VALUE!</v>
      </c>
      <c r="AD6867" s="1" t="str">
        <f>IFERROR(IF(Final_Sans_VGE[[#This Row],[ppn_z]]="","",IFERROR(
   IF(_xlfn.XLOOKUP(Final_Sans_VGE[[#This Row],[ppn_z]],tbl_Historique_Final[[#This Row],[ppn_z]],tbl_Historique_Final[[#This Row],[date_modif]])=Final_Sans_VGE[[#This Row],[date_modif]],
      "Ancien",
      "Modifié"),
   "Nouveau")),"")</f>
        <v/>
      </c>
    </row>
    <row r="6868" spans="24:30" x14ac:dyDescent="0.25">
      <c r="X6868" s="8" t="e">
        <f>IF(Final_Sans_VGE[[#This Row],[ppn_z]]="","",IFERROR(
   IF(_xlfn.XLOOKUP(Final_Sans_VGE[[#This Row],[ppn_z]],tbl_Historique_Final[ppn_z],tbl_Historique_Final[date_modif])=Final_Sans_VGE[[#This Row],[date_modif]],
      "Ancien",
      "Modifié"),
   "Nouveau"))</f>
        <v>#VALUE!</v>
      </c>
      <c r="AD6868" s="1" t="str">
        <f>IFERROR(IF(Final_Sans_VGE[[#This Row],[ppn_z]]="","",IFERROR(
   IF(_xlfn.XLOOKUP(Final_Sans_VGE[[#This Row],[ppn_z]],tbl_Historique_Final[[#This Row],[ppn_z]],tbl_Historique_Final[[#This Row],[date_modif]])=Final_Sans_VGE[[#This Row],[date_modif]],
      "Ancien",
      "Modifié"),
   "Nouveau")),"")</f>
        <v/>
      </c>
    </row>
    <row r="6869" spans="24:30" x14ac:dyDescent="0.25">
      <c r="X6869" s="8" t="e">
        <f>IF(Final_Sans_VGE[[#This Row],[ppn_z]]="","",IFERROR(
   IF(_xlfn.XLOOKUP(Final_Sans_VGE[[#This Row],[ppn_z]],tbl_Historique_Final[ppn_z],tbl_Historique_Final[date_modif])=Final_Sans_VGE[[#This Row],[date_modif]],
      "Ancien",
      "Modifié"),
   "Nouveau"))</f>
        <v>#VALUE!</v>
      </c>
      <c r="AD6869" s="1" t="str">
        <f>IFERROR(IF(Final_Sans_VGE[[#This Row],[ppn_z]]="","",IFERROR(
   IF(_xlfn.XLOOKUP(Final_Sans_VGE[[#This Row],[ppn_z]],tbl_Historique_Final[[#This Row],[ppn_z]],tbl_Historique_Final[[#This Row],[date_modif]])=Final_Sans_VGE[[#This Row],[date_modif]],
      "Ancien",
      "Modifié"),
   "Nouveau")),"")</f>
        <v/>
      </c>
    </row>
    <row r="6870" spans="24:30" x14ac:dyDescent="0.25">
      <c r="X6870" s="8" t="e">
        <f>IF(Final_Sans_VGE[[#This Row],[ppn_z]]="","",IFERROR(
   IF(_xlfn.XLOOKUP(Final_Sans_VGE[[#This Row],[ppn_z]],tbl_Historique_Final[ppn_z],tbl_Historique_Final[date_modif])=Final_Sans_VGE[[#This Row],[date_modif]],
      "Ancien",
      "Modifié"),
   "Nouveau"))</f>
        <v>#VALUE!</v>
      </c>
      <c r="AD6870" s="1" t="str">
        <f>IFERROR(IF(Final_Sans_VGE[[#This Row],[ppn_z]]="","",IFERROR(
   IF(_xlfn.XLOOKUP(Final_Sans_VGE[[#This Row],[ppn_z]],tbl_Historique_Final[[#This Row],[ppn_z]],tbl_Historique_Final[[#This Row],[date_modif]])=Final_Sans_VGE[[#This Row],[date_modif]],
      "Ancien",
      "Modifié"),
   "Nouveau")),"")</f>
        <v/>
      </c>
    </row>
    <row r="6871" spans="24:30" x14ac:dyDescent="0.25">
      <c r="X6871" s="8" t="e">
        <f>IF(Final_Sans_VGE[[#This Row],[ppn_z]]="","",IFERROR(
   IF(_xlfn.XLOOKUP(Final_Sans_VGE[[#This Row],[ppn_z]],tbl_Historique_Final[ppn_z],tbl_Historique_Final[date_modif])=Final_Sans_VGE[[#This Row],[date_modif]],
      "Ancien",
      "Modifié"),
   "Nouveau"))</f>
        <v>#VALUE!</v>
      </c>
      <c r="AD6871" s="1" t="str">
        <f>IFERROR(IF(Final_Sans_VGE[[#This Row],[ppn_z]]="","",IFERROR(
   IF(_xlfn.XLOOKUP(Final_Sans_VGE[[#This Row],[ppn_z]],tbl_Historique_Final[[#This Row],[ppn_z]],tbl_Historique_Final[[#This Row],[date_modif]])=Final_Sans_VGE[[#This Row],[date_modif]],
      "Ancien",
      "Modifié"),
   "Nouveau")),"")</f>
        <v/>
      </c>
    </row>
    <row r="6872" spans="24:30" x14ac:dyDescent="0.25">
      <c r="X6872" s="8" t="e">
        <f>IF(Final_Sans_VGE[[#This Row],[ppn_z]]="","",IFERROR(
   IF(_xlfn.XLOOKUP(Final_Sans_VGE[[#This Row],[ppn_z]],tbl_Historique_Final[ppn_z],tbl_Historique_Final[date_modif])=Final_Sans_VGE[[#This Row],[date_modif]],
      "Ancien",
      "Modifié"),
   "Nouveau"))</f>
        <v>#VALUE!</v>
      </c>
      <c r="AD6872" s="1" t="str">
        <f>IFERROR(IF(Final_Sans_VGE[[#This Row],[ppn_z]]="","",IFERROR(
   IF(_xlfn.XLOOKUP(Final_Sans_VGE[[#This Row],[ppn_z]],tbl_Historique_Final[[#This Row],[ppn_z]],tbl_Historique_Final[[#This Row],[date_modif]])=Final_Sans_VGE[[#This Row],[date_modif]],
      "Ancien",
      "Modifié"),
   "Nouveau")),"")</f>
        <v/>
      </c>
    </row>
    <row r="6873" spans="24:30" x14ac:dyDescent="0.25">
      <c r="X6873" s="8" t="e">
        <f>IF(Final_Sans_VGE[[#This Row],[ppn_z]]="","",IFERROR(
   IF(_xlfn.XLOOKUP(Final_Sans_VGE[[#This Row],[ppn_z]],tbl_Historique_Final[ppn_z],tbl_Historique_Final[date_modif])=Final_Sans_VGE[[#This Row],[date_modif]],
      "Ancien",
      "Modifié"),
   "Nouveau"))</f>
        <v>#VALUE!</v>
      </c>
      <c r="AD6873" s="1" t="str">
        <f>IFERROR(IF(Final_Sans_VGE[[#This Row],[ppn_z]]="","",IFERROR(
   IF(_xlfn.XLOOKUP(Final_Sans_VGE[[#This Row],[ppn_z]],tbl_Historique_Final[[#This Row],[ppn_z]],tbl_Historique_Final[[#This Row],[date_modif]])=Final_Sans_VGE[[#This Row],[date_modif]],
      "Ancien",
      "Modifié"),
   "Nouveau")),"")</f>
        <v/>
      </c>
    </row>
    <row r="6874" spans="24:30" x14ac:dyDescent="0.25">
      <c r="X6874" s="8" t="e">
        <f>IF(Final_Sans_VGE[[#This Row],[ppn_z]]="","",IFERROR(
   IF(_xlfn.XLOOKUP(Final_Sans_VGE[[#This Row],[ppn_z]],tbl_Historique_Final[ppn_z],tbl_Historique_Final[date_modif])=Final_Sans_VGE[[#This Row],[date_modif]],
      "Ancien",
      "Modifié"),
   "Nouveau"))</f>
        <v>#VALUE!</v>
      </c>
      <c r="AD6874" s="1" t="str">
        <f>IFERROR(IF(Final_Sans_VGE[[#This Row],[ppn_z]]="","",IFERROR(
   IF(_xlfn.XLOOKUP(Final_Sans_VGE[[#This Row],[ppn_z]],tbl_Historique_Final[[#This Row],[ppn_z]],tbl_Historique_Final[[#This Row],[date_modif]])=Final_Sans_VGE[[#This Row],[date_modif]],
      "Ancien",
      "Modifié"),
   "Nouveau")),"")</f>
        <v/>
      </c>
    </row>
    <row r="6875" spans="24:30" x14ac:dyDescent="0.25">
      <c r="X6875" s="8" t="e">
        <f>IF(Final_Sans_VGE[[#This Row],[ppn_z]]="","",IFERROR(
   IF(_xlfn.XLOOKUP(Final_Sans_VGE[[#This Row],[ppn_z]],tbl_Historique_Final[ppn_z],tbl_Historique_Final[date_modif])=Final_Sans_VGE[[#This Row],[date_modif]],
      "Ancien",
      "Modifié"),
   "Nouveau"))</f>
        <v>#VALUE!</v>
      </c>
      <c r="AD6875" s="1" t="str">
        <f>IFERROR(IF(Final_Sans_VGE[[#This Row],[ppn_z]]="","",IFERROR(
   IF(_xlfn.XLOOKUP(Final_Sans_VGE[[#This Row],[ppn_z]],tbl_Historique_Final[[#This Row],[ppn_z]],tbl_Historique_Final[[#This Row],[date_modif]])=Final_Sans_VGE[[#This Row],[date_modif]],
      "Ancien",
      "Modifié"),
   "Nouveau")),"")</f>
        <v/>
      </c>
    </row>
    <row r="6876" spans="24:30" x14ac:dyDescent="0.25">
      <c r="X6876" s="8" t="e">
        <f>IF(Final_Sans_VGE[[#This Row],[ppn_z]]="","",IFERROR(
   IF(_xlfn.XLOOKUP(Final_Sans_VGE[[#This Row],[ppn_z]],tbl_Historique_Final[ppn_z],tbl_Historique_Final[date_modif])=Final_Sans_VGE[[#This Row],[date_modif]],
      "Ancien",
      "Modifié"),
   "Nouveau"))</f>
        <v>#VALUE!</v>
      </c>
      <c r="AD6876" s="1" t="str">
        <f>IFERROR(IF(Final_Sans_VGE[[#This Row],[ppn_z]]="","",IFERROR(
   IF(_xlfn.XLOOKUP(Final_Sans_VGE[[#This Row],[ppn_z]],tbl_Historique_Final[[#This Row],[ppn_z]],tbl_Historique_Final[[#This Row],[date_modif]])=Final_Sans_VGE[[#This Row],[date_modif]],
      "Ancien",
      "Modifié"),
   "Nouveau")),"")</f>
        <v/>
      </c>
    </row>
    <row r="6877" spans="24:30" x14ac:dyDescent="0.25">
      <c r="X6877" s="8" t="e">
        <f>IF(Final_Sans_VGE[[#This Row],[ppn_z]]="","",IFERROR(
   IF(_xlfn.XLOOKUP(Final_Sans_VGE[[#This Row],[ppn_z]],tbl_Historique_Final[ppn_z],tbl_Historique_Final[date_modif])=Final_Sans_VGE[[#This Row],[date_modif]],
      "Ancien",
      "Modifié"),
   "Nouveau"))</f>
        <v>#VALUE!</v>
      </c>
      <c r="AD6877" s="1" t="str">
        <f>IFERROR(IF(Final_Sans_VGE[[#This Row],[ppn_z]]="","",IFERROR(
   IF(_xlfn.XLOOKUP(Final_Sans_VGE[[#This Row],[ppn_z]],tbl_Historique_Final[[#This Row],[ppn_z]],tbl_Historique_Final[[#This Row],[date_modif]])=Final_Sans_VGE[[#This Row],[date_modif]],
      "Ancien",
      "Modifié"),
   "Nouveau")),"")</f>
        <v/>
      </c>
    </row>
    <row r="6878" spans="24:30" x14ac:dyDescent="0.25">
      <c r="X6878" s="8" t="e">
        <f>IF(Final_Sans_VGE[[#This Row],[ppn_z]]="","",IFERROR(
   IF(_xlfn.XLOOKUP(Final_Sans_VGE[[#This Row],[ppn_z]],tbl_Historique_Final[ppn_z],tbl_Historique_Final[date_modif])=Final_Sans_VGE[[#This Row],[date_modif]],
      "Ancien",
      "Modifié"),
   "Nouveau"))</f>
        <v>#VALUE!</v>
      </c>
      <c r="AD6878" s="1" t="str">
        <f>IFERROR(IF(Final_Sans_VGE[[#This Row],[ppn_z]]="","",IFERROR(
   IF(_xlfn.XLOOKUP(Final_Sans_VGE[[#This Row],[ppn_z]],tbl_Historique_Final[[#This Row],[ppn_z]],tbl_Historique_Final[[#This Row],[date_modif]])=Final_Sans_VGE[[#This Row],[date_modif]],
      "Ancien",
      "Modifié"),
   "Nouveau")),"")</f>
        <v/>
      </c>
    </row>
    <row r="6879" spans="24:30" x14ac:dyDescent="0.25">
      <c r="X6879" s="8" t="e">
        <f>IF(Final_Sans_VGE[[#This Row],[ppn_z]]="","",IFERROR(
   IF(_xlfn.XLOOKUP(Final_Sans_VGE[[#This Row],[ppn_z]],tbl_Historique_Final[ppn_z],tbl_Historique_Final[date_modif])=Final_Sans_VGE[[#This Row],[date_modif]],
      "Ancien",
      "Modifié"),
   "Nouveau"))</f>
        <v>#VALUE!</v>
      </c>
      <c r="AD6879" s="1" t="str">
        <f>IFERROR(IF(Final_Sans_VGE[[#This Row],[ppn_z]]="","",IFERROR(
   IF(_xlfn.XLOOKUP(Final_Sans_VGE[[#This Row],[ppn_z]],tbl_Historique_Final[[#This Row],[ppn_z]],tbl_Historique_Final[[#This Row],[date_modif]])=Final_Sans_VGE[[#This Row],[date_modif]],
      "Ancien",
      "Modifié"),
   "Nouveau")),"")</f>
        <v/>
      </c>
    </row>
    <row r="6880" spans="24:30" x14ac:dyDescent="0.25">
      <c r="X6880" s="8" t="e">
        <f>IF(Final_Sans_VGE[[#This Row],[ppn_z]]="","",IFERROR(
   IF(_xlfn.XLOOKUP(Final_Sans_VGE[[#This Row],[ppn_z]],tbl_Historique_Final[ppn_z],tbl_Historique_Final[date_modif])=Final_Sans_VGE[[#This Row],[date_modif]],
      "Ancien",
      "Modifié"),
   "Nouveau"))</f>
        <v>#VALUE!</v>
      </c>
      <c r="AD6880" s="1" t="str">
        <f>IFERROR(IF(Final_Sans_VGE[[#This Row],[ppn_z]]="","",IFERROR(
   IF(_xlfn.XLOOKUP(Final_Sans_VGE[[#This Row],[ppn_z]],tbl_Historique_Final[[#This Row],[ppn_z]],tbl_Historique_Final[[#This Row],[date_modif]])=Final_Sans_VGE[[#This Row],[date_modif]],
      "Ancien",
      "Modifié"),
   "Nouveau")),"")</f>
        <v/>
      </c>
    </row>
    <row r="6881" spans="24:30" x14ac:dyDescent="0.25">
      <c r="X6881" s="8" t="e">
        <f>IF(Final_Sans_VGE[[#This Row],[ppn_z]]="","",IFERROR(
   IF(_xlfn.XLOOKUP(Final_Sans_VGE[[#This Row],[ppn_z]],tbl_Historique_Final[ppn_z],tbl_Historique_Final[date_modif])=Final_Sans_VGE[[#This Row],[date_modif]],
      "Ancien",
      "Modifié"),
   "Nouveau"))</f>
        <v>#VALUE!</v>
      </c>
      <c r="AD6881" s="1" t="str">
        <f>IFERROR(IF(Final_Sans_VGE[[#This Row],[ppn_z]]="","",IFERROR(
   IF(_xlfn.XLOOKUP(Final_Sans_VGE[[#This Row],[ppn_z]],tbl_Historique_Final[[#This Row],[ppn_z]],tbl_Historique_Final[[#This Row],[date_modif]])=Final_Sans_VGE[[#This Row],[date_modif]],
      "Ancien",
      "Modifié"),
   "Nouveau")),"")</f>
        <v/>
      </c>
    </row>
    <row r="6882" spans="24:30" x14ac:dyDescent="0.25">
      <c r="X6882" s="8" t="e">
        <f>IF(Final_Sans_VGE[[#This Row],[ppn_z]]="","",IFERROR(
   IF(_xlfn.XLOOKUP(Final_Sans_VGE[[#This Row],[ppn_z]],tbl_Historique_Final[ppn_z],tbl_Historique_Final[date_modif])=Final_Sans_VGE[[#This Row],[date_modif]],
      "Ancien",
      "Modifié"),
   "Nouveau"))</f>
        <v>#VALUE!</v>
      </c>
      <c r="AD6882" s="1" t="str">
        <f>IFERROR(IF(Final_Sans_VGE[[#This Row],[ppn_z]]="","",IFERROR(
   IF(_xlfn.XLOOKUP(Final_Sans_VGE[[#This Row],[ppn_z]],tbl_Historique_Final[[#This Row],[ppn_z]],tbl_Historique_Final[[#This Row],[date_modif]])=Final_Sans_VGE[[#This Row],[date_modif]],
      "Ancien",
      "Modifié"),
   "Nouveau")),"")</f>
        <v/>
      </c>
    </row>
    <row r="6883" spans="24:30" x14ac:dyDescent="0.25">
      <c r="X6883" s="8" t="e">
        <f>IF(Final_Sans_VGE[[#This Row],[ppn_z]]="","",IFERROR(
   IF(_xlfn.XLOOKUP(Final_Sans_VGE[[#This Row],[ppn_z]],tbl_Historique_Final[ppn_z],tbl_Historique_Final[date_modif])=Final_Sans_VGE[[#This Row],[date_modif]],
      "Ancien",
      "Modifié"),
   "Nouveau"))</f>
        <v>#VALUE!</v>
      </c>
      <c r="AD6883" s="1" t="str">
        <f>IFERROR(IF(Final_Sans_VGE[[#This Row],[ppn_z]]="","",IFERROR(
   IF(_xlfn.XLOOKUP(Final_Sans_VGE[[#This Row],[ppn_z]],tbl_Historique_Final[[#This Row],[ppn_z]],tbl_Historique_Final[[#This Row],[date_modif]])=Final_Sans_VGE[[#This Row],[date_modif]],
      "Ancien",
      "Modifié"),
   "Nouveau")),"")</f>
        <v/>
      </c>
    </row>
    <row r="6884" spans="24:30" x14ac:dyDescent="0.25">
      <c r="X6884" s="8" t="e">
        <f>IF(Final_Sans_VGE[[#This Row],[ppn_z]]="","",IFERROR(
   IF(_xlfn.XLOOKUP(Final_Sans_VGE[[#This Row],[ppn_z]],tbl_Historique_Final[ppn_z],tbl_Historique_Final[date_modif])=Final_Sans_VGE[[#This Row],[date_modif]],
      "Ancien",
      "Modifié"),
   "Nouveau"))</f>
        <v>#VALUE!</v>
      </c>
      <c r="AD6884" s="1" t="str">
        <f>IFERROR(IF(Final_Sans_VGE[[#This Row],[ppn_z]]="","",IFERROR(
   IF(_xlfn.XLOOKUP(Final_Sans_VGE[[#This Row],[ppn_z]],tbl_Historique_Final[[#This Row],[ppn_z]],tbl_Historique_Final[[#This Row],[date_modif]])=Final_Sans_VGE[[#This Row],[date_modif]],
      "Ancien",
      "Modifié"),
   "Nouveau")),"")</f>
        <v/>
      </c>
    </row>
    <row r="6885" spans="24:30" x14ac:dyDescent="0.25">
      <c r="X6885" s="8" t="e">
        <f>IF(Final_Sans_VGE[[#This Row],[ppn_z]]="","",IFERROR(
   IF(_xlfn.XLOOKUP(Final_Sans_VGE[[#This Row],[ppn_z]],tbl_Historique_Final[ppn_z],tbl_Historique_Final[date_modif])=Final_Sans_VGE[[#This Row],[date_modif]],
      "Ancien",
      "Modifié"),
   "Nouveau"))</f>
        <v>#VALUE!</v>
      </c>
      <c r="AD6885" s="1" t="str">
        <f>IFERROR(IF(Final_Sans_VGE[[#This Row],[ppn_z]]="","",IFERROR(
   IF(_xlfn.XLOOKUP(Final_Sans_VGE[[#This Row],[ppn_z]],tbl_Historique_Final[[#This Row],[ppn_z]],tbl_Historique_Final[[#This Row],[date_modif]])=Final_Sans_VGE[[#This Row],[date_modif]],
      "Ancien",
      "Modifié"),
   "Nouveau")),"")</f>
        <v/>
      </c>
    </row>
    <row r="6886" spans="24:30" x14ac:dyDescent="0.25">
      <c r="X6886" s="8" t="e">
        <f>IF(Final_Sans_VGE[[#This Row],[ppn_z]]="","",IFERROR(
   IF(_xlfn.XLOOKUP(Final_Sans_VGE[[#This Row],[ppn_z]],tbl_Historique_Final[ppn_z],tbl_Historique_Final[date_modif])=Final_Sans_VGE[[#This Row],[date_modif]],
      "Ancien",
      "Modifié"),
   "Nouveau"))</f>
        <v>#VALUE!</v>
      </c>
      <c r="AD6886" s="1" t="str">
        <f>IFERROR(IF(Final_Sans_VGE[[#This Row],[ppn_z]]="","",IFERROR(
   IF(_xlfn.XLOOKUP(Final_Sans_VGE[[#This Row],[ppn_z]],tbl_Historique_Final[[#This Row],[ppn_z]],tbl_Historique_Final[[#This Row],[date_modif]])=Final_Sans_VGE[[#This Row],[date_modif]],
      "Ancien",
      "Modifié"),
   "Nouveau")),"")</f>
        <v/>
      </c>
    </row>
    <row r="6887" spans="24:30" x14ac:dyDescent="0.25">
      <c r="X6887" s="8" t="e">
        <f>IF(Final_Sans_VGE[[#This Row],[ppn_z]]="","",IFERROR(
   IF(_xlfn.XLOOKUP(Final_Sans_VGE[[#This Row],[ppn_z]],tbl_Historique_Final[ppn_z],tbl_Historique_Final[date_modif])=Final_Sans_VGE[[#This Row],[date_modif]],
      "Ancien",
      "Modifié"),
   "Nouveau"))</f>
        <v>#VALUE!</v>
      </c>
      <c r="AD6887" s="1" t="str">
        <f>IFERROR(IF(Final_Sans_VGE[[#This Row],[ppn_z]]="","",IFERROR(
   IF(_xlfn.XLOOKUP(Final_Sans_VGE[[#This Row],[ppn_z]],tbl_Historique_Final[[#This Row],[ppn_z]],tbl_Historique_Final[[#This Row],[date_modif]])=Final_Sans_VGE[[#This Row],[date_modif]],
      "Ancien",
      "Modifié"),
   "Nouveau")),"")</f>
        <v/>
      </c>
    </row>
    <row r="6888" spans="24:30" x14ac:dyDescent="0.25">
      <c r="X6888" s="8" t="e">
        <f>IF(Final_Sans_VGE[[#This Row],[ppn_z]]="","",IFERROR(
   IF(_xlfn.XLOOKUP(Final_Sans_VGE[[#This Row],[ppn_z]],tbl_Historique_Final[ppn_z],tbl_Historique_Final[date_modif])=Final_Sans_VGE[[#This Row],[date_modif]],
      "Ancien",
      "Modifié"),
   "Nouveau"))</f>
        <v>#VALUE!</v>
      </c>
      <c r="AD6888" s="1" t="str">
        <f>IFERROR(IF(Final_Sans_VGE[[#This Row],[ppn_z]]="","",IFERROR(
   IF(_xlfn.XLOOKUP(Final_Sans_VGE[[#This Row],[ppn_z]],tbl_Historique_Final[[#This Row],[ppn_z]],tbl_Historique_Final[[#This Row],[date_modif]])=Final_Sans_VGE[[#This Row],[date_modif]],
      "Ancien",
      "Modifié"),
   "Nouveau")),"")</f>
        <v/>
      </c>
    </row>
    <row r="6889" spans="24:30" x14ac:dyDescent="0.25">
      <c r="X6889" s="8" t="e">
        <f>IF(Final_Sans_VGE[[#This Row],[ppn_z]]="","",IFERROR(
   IF(_xlfn.XLOOKUP(Final_Sans_VGE[[#This Row],[ppn_z]],tbl_Historique_Final[ppn_z],tbl_Historique_Final[date_modif])=Final_Sans_VGE[[#This Row],[date_modif]],
      "Ancien",
      "Modifié"),
   "Nouveau"))</f>
        <v>#VALUE!</v>
      </c>
      <c r="AD6889" s="1" t="str">
        <f>IFERROR(IF(Final_Sans_VGE[[#This Row],[ppn_z]]="","",IFERROR(
   IF(_xlfn.XLOOKUP(Final_Sans_VGE[[#This Row],[ppn_z]],tbl_Historique_Final[[#This Row],[ppn_z]],tbl_Historique_Final[[#This Row],[date_modif]])=Final_Sans_VGE[[#This Row],[date_modif]],
      "Ancien",
      "Modifié"),
   "Nouveau")),"")</f>
        <v/>
      </c>
    </row>
    <row r="6890" spans="24:30" x14ac:dyDescent="0.25">
      <c r="X6890" s="8" t="e">
        <f>IF(Final_Sans_VGE[[#This Row],[ppn_z]]="","",IFERROR(
   IF(_xlfn.XLOOKUP(Final_Sans_VGE[[#This Row],[ppn_z]],tbl_Historique_Final[ppn_z],tbl_Historique_Final[date_modif])=Final_Sans_VGE[[#This Row],[date_modif]],
      "Ancien",
      "Modifié"),
   "Nouveau"))</f>
        <v>#VALUE!</v>
      </c>
      <c r="AD6890" s="1" t="str">
        <f>IFERROR(IF(Final_Sans_VGE[[#This Row],[ppn_z]]="","",IFERROR(
   IF(_xlfn.XLOOKUP(Final_Sans_VGE[[#This Row],[ppn_z]],tbl_Historique_Final[[#This Row],[ppn_z]],tbl_Historique_Final[[#This Row],[date_modif]])=Final_Sans_VGE[[#This Row],[date_modif]],
      "Ancien",
      "Modifié"),
   "Nouveau")),"")</f>
        <v/>
      </c>
    </row>
    <row r="6891" spans="24:30" x14ac:dyDescent="0.25">
      <c r="X6891" s="8" t="e">
        <f>IF(Final_Sans_VGE[[#This Row],[ppn_z]]="","",IFERROR(
   IF(_xlfn.XLOOKUP(Final_Sans_VGE[[#This Row],[ppn_z]],tbl_Historique_Final[ppn_z],tbl_Historique_Final[date_modif])=Final_Sans_VGE[[#This Row],[date_modif]],
      "Ancien",
      "Modifié"),
   "Nouveau"))</f>
        <v>#VALUE!</v>
      </c>
      <c r="AD6891" s="1" t="str">
        <f>IFERROR(IF(Final_Sans_VGE[[#This Row],[ppn_z]]="","",IFERROR(
   IF(_xlfn.XLOOKUP(Final_Sans_VGE[[#This Row],[ppn_z]],tbl_Historique_Final[[#This Row],[ppn_z]],tbl_Historique_Final[[#This Row],[date_modif]])=Final_Sans_VGE[[#This Row],[date_modif]],
      "Ancien",
      "Modifié"),
   "Nouveau")),"")</f>
        <v/>
      </c>
    </row>
    <row r="6892" spans="24:30" x14ac:dyDescent="0.25">
      <c r="X6892" s="8" t="e">
        <f>IF(Final_Sans_VGE[[#This Row],[ppn_z]]="","",IFERROR(
   IF(_xlfn.XLOOKUP(Final_Sans_VGE[[#This Row],[ppn_z]],tbl_Historique_Final[ppn_z],tbl_Historique_Final[date_modif])=Final_Sans_VGE[[#This Row],[date_modif]],
      "Ancien",
      "Modifié"),
   "Nouveau"))</f>
        <v>#VALUE!</v>
      </c>
      <c r="AD6892" s="1" t="str">
        <f>IFERROR(IF(Final_Sans_VGE[[#This Row],[ppn_z]]="","",IFERROR(
   IF(_xlfn.XLOOKUP(Final_Sans_VGE[[#This Row],[ppn_z]],tbl_Historique_Final[[#This Row],[ppn_z]],tbl_Historique_Final[[#This Row],[date_modif]])=Final_Sans_VGE[[#This Row],[date_modif]],
      "Ancien",
      "Modifié"),
   "Nouveau")),"")</f>
        <v/>
      </c>
    </row>
    <row r="6893" spans="24:30" x14ac:dyDescent="0.25">
      <c r="X6893" s="8" t="e">
        <f>IF(Final_Sans_VGE[[#This Row],[ppn_z]]="","",IFERROR(
   IF(_xlfn.XLOOKUP(Final_Sans_VGE[[#This Row],[ppn_z]],tbl_Historique_Final[ppn_z],tbl_Historique_Final[date_modif])=Final_Sans_VGE[[#This Row],[date_modif]],
      "Ancien",
      "Modifié"),
   "Nouveau"))</f>
        <v>#VALUE!</v>
      </c>
      <c r="AD6893" s="1" t="str">
        <f>IFERROR(IF(Final_Sans_VGE[[#This Row],[ppn_z]]="","",IFERROR(
   IF(_xlfn.XLOOKUP(Final_Sans_VGE[[#This Row],[ppn_z]],tbl_Historique_Final[[#This Row],[ppn_z]],tbl_Historique_Final[[#This Row],[date_modif]])=Final_Sans_VGE[[#This Row],[date_modif]],
      "Ancien",
      "Modifié"),
   "Nouveau")),"")</f>
        <v/>
      </c>
    </row>
    <row r="6894" spans="24:30" x14ac:dyDescent="0.25">
      <c r="X6894" s="8" t="e">
        <f>IF(Final_Sans_VGE[[#This Row],[ppn_z]]="","",IFERROR(
   IF(_xlfn.XLOOKUP(Final_Sans_VGE[[#This Row],[ppn_z]],tbl_Historique_Final[ppn_z],tbl_Historique_Final[date_modif])=Final_Sans_VGE[[#This Row],[date_modif]],
      "Ancien",
      "Modifié"),
   "Nouveau"))</f>
        <v>#VALUE!</v>
      </c>
      <c r="AD6894" s="1" t="str">
        <f>IFERROR(IF(Final_Sans_VGE[[#This Row],[ppn_z]]="","",IFERROR(
   IF(_xlfn.XLOOKUP(Final_Sans_VGE[[#This Row],[ppn_z]],tbl_Historique_Final[[#This Row],[ppn_z]],tbl_Historique_Final[[#This Row],[date_modif]])=Final_Sans_VGE[[#This Row],[date_modif]],
      "Ancien",
      "Modifié"),
   "Nouveau")),"")</f>
        <v/>
      </c>
    </row>
    <row r="6895" spans="24:30" x14ac:dyDescent="0.25">
      <c r="X6895" s="8" t="e">
        <f>IF(Final_Sans_VGE[[#This Row],[ppn_z]]="","",IFERROR(
   IF(_xlfn.XLOOKUP(Final_Sans_VGE[[#This Row],[ppn_z]],tbl_Historique_Final[ppn_z],tbl_Historique_Final[date_modif])=Final_Sans_VGE[[#This Row],[date_modif]],
      "Ancien",
      "Modifié"),
   "Nouveau"))</f>
        <v>#VALUE!</v>
      </c>
      <c r="AD6895" s="1" t="str">
        <f>IFERROR(IF(Final_Sans_VGE[[#This Row],[ppn_z]]="","",IFERROR(
   IF(_xlfn.XLOOKUP(Final_Sans_VGE[[#This Row],[ppn_z]],tbl_Historique_Final[[#This Row],[ppn_z]],tbl_Historique_Final[[#This Row],[date_modif]])=Final_Sans_VGE[[#This Row],[date_modif]],
      "Ancien",
      "Modifié"),
   "Nouveau")),"")</f>
        <v/>
      </c>
    </row>
    <row r="6896" spans="24:30" x14ac:dyDescent="0.25">
      <c r="X6896" s="8" t="e">
        <f>IF(Final_Sans_VGE[[#This Row],[ppn_z]]="","",IFERROR(
   IF(_xlfn.XLOOKUP(Final_Sans_VGE[[#This Row],[ppn_z]],tbl_Historique_Final[ppn_z],tbl_Historique_Final[date_modif])=Final_Sans_VGE[[#This Row],[date_modif]],
      "Ancien",
      "Modifié"),
   "Nouveau"))</f>
        <v>#VALUE!</v>
      </c>
      <c r="AD6896" s="1" t="str">
        <f>IFERROR(IF(Final_Sans_VGE[[#This Row],[ppn_z]]="","",IFERROR(
   IF(_xlfn.XLOOKUP(Final_Sans_VGE[[#This Row],[ppn_z]],tbl_Historique_Final[[#This Row],[ppn_z]],tbl_Historique_Final[[#This Row],[date_modif]])=Final_Sans_VGE[[#This Row],[date_modif]],
      "Ancien",
      "Modifié"),
   "Nouveau")),"")</f>
        <v/>
      </c>
    </row>
    <row r="6897" spans="24:30" x14ac:dyDescent="0.25">
      <c r="X6897" s="8" t="e">
        <f>IF(Final_Sans_VGE[[#This Row],[ppn_z]]="","",IFERROR(
   IF(_xlfn.XLOOKUP(Final_Sans_VGE[[#This Row],[ppn_z]],tbl_Historique_Final[ppn_z],tbl_Historique_Final[date_modif])=Final_Sans_VGE[[#This Row],[date_modif]],
      "Ancien",
      "Modifié"),
   "Nouveau"))</f>
        <v>#VALUE!</v>
      </c>
      <c r="AD6897" s="1" t="str">
        <f>IFERROR(IF(Final_Sans_VGE[[#This Row],[ppn_z]]="","",IFERROR(
   IF(_xlfn.XLOOKUP(Final_Sans_VGE[[#This Row],[ppn_z]],tbl_Historique_Final[[#This Row],[ppn_z]],tbl_Historique_Final[[#This Row],[date_modif]])=Final_Sans_VGE[[#This Row],[date_modif]],
      "Ancien",
      "Modifié"),
   "Nouveau")),"")</f>
        <v/>
      </c>
    </row>
    <row r="6898" spans="24:30" x14ac:dyDescent="0.25">
      <c r="X6898" s="8" t="e">
        <f>IF(Final_Sans_VGE[[#This Row],[ppn_z]]="","",IFERROR(
   IF(_xlfn.XLOOKUP(Final_Sans_VGE[[#This Row],[ppn_z]],tbl_Historique_Final[ppn_z],tbl_Historique_Final[date_modif])=Final_Sans_VGE[[#This Row],[date_modif]],
      "Ancien",
      "Modifié"),
   "Nouveau"))</f>
        <v>#VALUE!</v>
      </c>
      <c r="AD6898" s="1" t="str">
        <f>IFERROR(IF(Final_Sans_VGE[[#This Row],[ppn_z]]="","",IFERROR(
   IF(_xlfn.XLOOKUP(Final_Sans_VGE[[#This Row],[ppn_z]],tbl_Historique_Final[[#This Row],[ppn_z]],tbl_Historique_Final[[#This Row],[date_modif]])=Final_Sans_VGE[[#This Row],[date_modif]],
      "Ancien",
      "Modifié"),
   "Nouveau")),"")</f>
        <v/>
      </c>
    </row>
    <row r="6899" spans="24:30" x14ac:dyDescent="0.25">
      <c r="X6899" s="8" t="e">
        <f>IF(Final_Sans_VGE[[#This Row],[ppn_z]]="","",IFERROR(
   IF(_xlfn.XLOOKUP(Final_Sans_VGE[[#This Row],[ppn_z]],tbl_Historique_Final[ppn_z],tbl_Historique_Final[date_modif])=Final_Sans_VGE[[#This Row],[date_modif]],
      "Ancien",
      "Modifié"),
   "Nouveau"))</f>
        <v>#VALUE!</v>
      </c>
      <c r="AD6899" s="1" t="str">
        <f>IFERROR(IF(Final_Sans_VGE[[#This Row],[ppn_z]]="","",IFERROR(
   IF(_xlfn.XLOOKUP(Final_Sans_VGE[[#This Row],[ppn_z]],tbl_Historique_Final[[#This Row],[ppn_z]],tbl_Historique_Final[[#This Row],[date_modif]])=Final_Sans_VGE[[#This Row],[date_modif]],
      "Ancien",
      "Modifié"),
   "Nouveau")),"")</f>
        <v/>
      </c>
    </row>
    <row r="6900" spans="24:30" x14ac:dyDescent="0.25">
      <c r="X6900" s="8" t="e">
        <f>IF(Final_Sans_VGE[[#This Row],[ppn_z]]="","",IFERROR(
   IF(_xlfn.XLOOKUP(Final_Sans_VGE[[#This Row],[ppn_z]],tbl_Historique_Final[ppn_z],tbl_Historique_Final[date_modif])=Final_Sans_VGE[[#This Row],[date_modif]],
      "Ancien",
      "Modifié"),
   "Nouveau"))</f>
        <v>#VALUE!</v>
      </c>
      <c r="AD6900" s="1" t="str">
        <f>IFERROR(IF(Final_Sans_VGE[[#This Row],[ppn_z]]="","",IFERROR(
   IF(_xlfn.XLOOKUP(Final_Sans_VGE[[#This Row],[ppn_z]],tbl_Historique_Final[[#This Row],[ppn_z]],tbl_Historique_Final[[#This Row],[date_modif]])=Final_Sans_VGE[[#This Row],[date_modif]],
      "Ancien",
      "Modifié"),
   "Nouveau")),"")</f>
        <v/>
      </c>
    </row>
    <row r="6901" spans="24:30" x14ac:dyDescent="0.25">
      <c r="X6901" s="8" t="e">
        <f>IF(Final_Sans_VGE[[#This Row],[ppn_z]]="","",IFERROR(
   IF(_xlfn.XLOOKUP(Final_Sans_VGE[[#This Row],[ppn_z]],tbl_Historique_Final[ppn_z],tbl_Historique_Final[date_modif])=Final_Sans_VGE[[#This Row],[date_modif]],
      "Ancien",
      "Modifié"),
   "Nouveau"))</f>
        <v>#VALUE!</v>
      </c>
      <c r="AD6901" s="1" t="str">
        <f>IFERROR(IF(Final_Sans_VGE[[#This Row],[ppn_z]]="","",IFERROR(
   IF(_xlfn.XLOOKUP(Final_Sans_VGE[[#This Row],[ppn_z]],tbl_Historique_Final[[#This Row],[ppn_z]],tbl_Historique_Final[[#This Row],[date_modif]])=Final_Sans_VGE[[#This Row],[date_modif]],
      "Ancien",
      "Modifié"),
   "Nouveau")),"")</f>
        <v/>
      </c>
    </row>
    <row r="6902" spans="24:30" x14ac:dyDescent="0.25">
      <c r="X6902" s="8" t="e">
        <f>IF(Final_Sans_VGE[[#This Row],[ppn_z]]="","",IFERROR(
   IF(_xlfn.XLOOKUP(Final_Sans_VGE[[#This Row],[ppn_z]],tbl_Historique_Final[ppn_z],tbl_Historique_Final[date_modif])=Final_Sans_VGE[[#This Row],[date_modif]],
      "Ancien",
      "Modifié"),
   "Nouveau"))</f>
        <v>#VALUE!</v>
      </c>
      <c r="AD6902" s="1" t="str">
        <f>IFERROR(IF(Final_Sans_VGE[[#This Row],[ppn_z]]="","",IFERROR(
   IF(_xlfn.XLOOKUP(Final_Sans_VGE[[#This Row],[ppn_z]],tbl_Historique_Final[[#This Row],[ppn_z]],tbl_Historique_Final[[#This Row],[date_modif]])=Final_Sans_VGE[[#This Row],[date_modif]],
      "Ancien",
      "Modifié"),
   "Nouveau")),"")</f>
        <v/>
      </c>
    </row>
    <row r="6903" spans="24:30" x14ac:dyDescent="0.25">
      <c r="X6903" s="8" t="e">
        <f>IF(Final_Sans_VGE[[#This Row],[ppn_z]]="","",IFERROR(
   IF(_xlfn.XLOOKUP(Final_Sans_VGE[[#This Row],[ppn_z]],tbl_Historique_Final[ppn_z],tbl_Historique_Final[date_modif])=Final_Sans_VGE[[#This Row],[date_modif]],
      "Ancien",
      "Modifié"),
   "Nouveau"))</f>
        <v>#VALUE!</v>
      </c>
      <c r="AD6903" s="1" t="str">
        <f>IFERROR(IF(Final_Sans_VGE[[#This Row],[ppn_z]]="","",IFERROR(
   IF(_xlfn.XLOOKUP(Final_Sans_VGE[[#This Row],[ppn_z]],tbl_Historique_Final[[#This Row],[ppn_z]],tbl_Historique_Final[[#This Row],[date_modif]])=Final_Sans_VGE[[#This Row],[date_modif]],
      "Ancien",
      "Modifié"),
   "Nouveau")),"")</f>
        <v/>
      </c>
    </row>
    <row r="6904" spans="24:30" x14ac:dyDescent="0.25">
      <c r="X6904" s="8" t="e">
        <f>IF(Final_Sans_VGE[[#This Row],[ppn_z]]="","",IFERROR(
   IF(_xlfn.XLOOKUP(Final_Sans_VGE[[#This Row],[ppn_z]],tbl_Historique_Final[ppn_z],tbl_Historique_Final[date_modif])=Final_Sans_VGE[[#This Row],[date_modif]],
      "Ancien",
      "Modifié"),
   "Nouveau"))</f>
        <v>#VALUE!</v>
      </c>
      <c r="AD6904" s="1" t="str">
        <f>IFERROR(IF(Final_Sans_VGE[[#This Row],[ppn_z]]="","",IFERROR(
   IF(_xlfn.XLOOKUP(Final_Sans_VGE[[#This Row],[ppn_z]],tbl_Historique_Final[[#This Row],[ppn_z]],tbl_Historique_Final[[#This Row],[date_modif]])=Final_Sans_VGE[[#This Row],[date_modif]],
      "Ancien",
      "Modifié"),
   "Nouveau")),"")</f>
        <v/>
      </c>
    </row>
    <row r="6905" spans="24:30" x14ac:dyDescent="0.25">
      <c r="X6905" s="8" t="e">
        <f>IF(Final_Sans_VGE[[#This Row],[ppn_z]]="","",IFERROR(
   IF(_xlfn.XLOOKUP(Final_Sans_VGE[[#This Row],[ppn_z]],tbl_Historique_Final[ppn_z],tbl_Historique_Final[date_modif])=Final_Sans_VGE[[#This Row],[date_modif]],
      "Ancien",
      "Modifié"),
   "Nouveau"))</f>
        <v>#VALUE!</v>
      </c>
      <c r="AD6905" s="1" t="str">
        <f>IFERROR(IF(Final_Sans_VGE[[#This Row],[ppn_z]]="","",IFERROR(
   IF(_xlfn.XLOOKUP(Final_Sans_VGE[[#This Row],[ppn_z]],tbl_Historique_Final[[#This Row],[ppn_z]],tbl_Historique_Final[[#This Row],[date_modif]])=Final_Sans_VGE[[#This Row],[date_modif]],
      "Ancien",
      "Modifié"),
   "Nouveau")),"")</f>
        <v/>
      </c>
    </row>
    <row r="6906" spans="24:30" x14ac:dyDescent="0.25">
      <c r="X6906" s="8" t="e">
        <f>IF(Final_Sans_VGE[[#This Row],[ppn_z]]="","",IFERROR(
   IF(_xlfn.XLOOKUP(Final_Sans_VGE[[#This Row],[ppn_z]],tbl_Historique_Final[ppn_z],tbl_Historique_Final[date_modif])=Final_Sans_VGE[[#This Row],[date_modif]],
      "Ancien",
      "Modifié"),
   "Nouveau"))</f>
        <v>#VALUE!</v>
      </c>
      <c r="AD6906" s="1" t="str">
        <f>IFERROR(IF(Final_Sans_VGE[[#This Row],[ppn_z]]="","",IFERROR(
   IF(_xlfn.XLOOKUP(Final_Sans_VGE[[#This Row],[ppn_z]],tbl_Historique_Final[[#This Row],[ppn_z]],tbl_Historique_Final[[#This Row],[date_modif]])=Final_Sans_VGE[[#This Row],[date_modif]],
      "Ancien",
      "Modifié"),
   "Nouveau")),"")</f>
        <v/>
      </c>
    </row>
    <row r="6907" spans="24:30" x14ac:dyDescent="0.25">
      <c r="X6907" s="8" t="e">
        <f>IF(Final_Sans_VGE[[#This Row],[ppn_z]]="","",IFERROR(
   IF(_xlfn.XLOOKUP(Final_Sans_VGE[[#This Row],[ppn_z]],tbl_Historique_Final[ppn_z],tbl_Historique_Final[date_modif])=Final_Sans_VGE[[#This Row],[date_modif]],
      "Ancien",
      "Modifié"),
   "Nouveau"))</f>
        <v>#VALUE!</v>
      </c>
      <c r="AD6907" s="1" t="str">
        <f>IFERROR(IF(Final_Sans_VGE[[#This Row],[ppn_z]]="","",IFERROR(
   IF(_xlfn.XLOOKUP(Final_Sans_VGE[[#This Row],[ppn_z]],tbl_Historique_Final[[#This Row],[ppn_z]],tbl_Historique_Final[[#This Row],[date_modif]])=Final_Sans_VGE[[#This Row],[date_modif]],
      "Ancien",
      "Modifié"),
   "Nouveau")),"")</f>
        <v/>
      </c>
    </row>
    <row r="6908" spans="24:30" x14ac:dyDescent="0.25">
      <c r="X6908" s="8" t="e">
        <f>IF(Final_Sans_VGE[[#This Row],[ppn_z]]="","",IFERROR(
   IF(_xlfn.XLOOKUP(Final_Sans_VGE[[#This Row],[ppn_z]],tbl_Historique_Final[ppn_z],tbl_Historique_Final[date_modif])=Final_Sans_VGE[[#This Row],[date_modif]],
      "Ancien",
      "Modifié"),
   "Nouveau"))</f>
        <v>#VALUE!</v>
      </c>
      <c r="AD6908" s="1" t="str">
        <f>IFERROR(IF(Final_Sans_VGE[[#This Row],[ppn_z]]="","",IFERROR(
   IF(_xlfn.XLOOKUP(Final_Sans_VGE[[#This Row],[ppn_z]],tbl_Historique_Final[[#This Row],[ppn_z]],tbl_Historique_Final[[#This Row],[date_modif]])=Final_Sans_VGE[[#This Row],[date_modif]],
      "Ancien",
      "Modifié"),
   "Nouveau")),"")</f>
        <v/>
      </c>
    </row>
    <row r="6909" spans="24:30" x14ac:dyDescent="0.25">
      <c r="X6909" s="8" t="e">
        <f>IF(Final_Sans_VGE[[#This Row],[ppn_z]]="","",IFERROR(
   IF(_xlfn.XLOOKUP(Final_Sans_VGE[[#This Row],[ppn_z]],tbl_Historique_Final[ppn_z],tbl_Historique_Final[date_modif])=Final_Sans_VGE[[#This Row],[date_modif]],
      "Ancien",
      "Modifié"),
   "Nouveau"))</f>
        <v>#VALUE!</v>
      </c>
      <c r="AD6909" s="1" t="str">
        <f>IFERROR(IF(Final_Sans_VGE[[#This Row],[ppn_z]]="","",IFERROR(
   IF(_xlfn.XLOOKUP(Final_Sans_VGE[[#This Row],[ppn_z]],tbl_Historique_Final[[#This Row],[ppn_z]],tbl_Historique_Final[[#This Row],[date_modif]])=Final_Sans_VGE[[#This Row],[date_modif]],
      "Ancien",
      "Modifié"),
   "Nouveau")),"")</f>
        <v/>
      </c>
    </row>
    <row r="6910" spans="24:30" x14ac:dyDescent="0.25">
      <c r="X6910" s="8" t="e">
        <f>IF(Final_Sans_VGE[[#This Row],[ppn_z]]="","",IFERROR(
   IF(_xlfn.XLOOKUP(Final_Sans_VGE[[#This Row],[ppn_z]],tbl_Historique_Final[ppn_z],tbl_Historique_Final[date_modif])=Final_Sans_VGE[[#This Row],[date_modif]],
      "Ancien",
      "Modifié"),
   "Nouveau"))</f>
        <v>#VALUE!</v>
      </c>
      <c r="AD6910" s="1" t="str">
        <f>IFERROR(IF(Final_Sans_VGE[[#This Row],[ppn_z]]="","",IFERROR(
   IF(_xlfn.XLOOKUP(Final_Sans_VGE[[#This Row],[ppn_z]],tbl_Historique_Final[[#This Row],[ppn_z]],tbl_Historique_Final[[#This Row],[date_modif]])=Final_Sans_VGE[[#This Row],[date_modif]],
      "Ancien",
      "Modifié"),
   "Nouveau")),"")</f>
        <v/>
      </c>
    </row>
    <row r="6911" spans="24:30" x14ac:dyDescent="0.25">
      <c r="X6911" s="8" t="e">
        <f>IF(Final_Sans_VGE[[#This Row],[ppn_z]]="","",IFERROR(
   IF(_xlfn.XLOOKUP(Final_Sans_VGE[[#This Row],[ppn_z]],tbl_Historique_Final[ppn_z],tbl_Historique_Final[date_modif])=Final_Sans_VGE[[#This Row],[date_modif]],
      "Ancien",
      "Modifié"),
   "Nouveau"))</f>
        <v>#VALUE!</v>
      </c>
      <c r="AD6911" s="1" t="str">
        <f>IFERROR(IF(Final_Sans_VGE[[#This Row],[ppn_z]]="","",IFERROR(
   IF(_xlfn.XLOOKUP(Final_Sans_VGE[[#This Row],[ppn_z]],tbl_Historique_Final[[#This Row],[ppn_z]],tbl_Historique_Final[[#This Row],[date_modif]])=Final_Sans_VGE[[#This Row],[date_modif]],
      "Ancien",
      "Modifié"),
   "Nouveau")),"")</f>
        <v/>
      </c>
    </row>
    <row r="6912" spans="24:30" x14ac:dyDescent="0.25">
      <c r="X6912" s="8" t="e">
        <f>IF(Final_Sans_VGE[[#This Row],[ppn_z]]="","",IFERROR(
   IF(_xlfn.XLOOKUP(Final_Sans_VGE[[#This Row],[ppn_z]],tbl_Historique_Final[ppn_z],tbl_Historique_Final[date_modif])=Final_Sans_VGE[[#This Row],[date_modif]],
      "Ancien",
      "Modifié"),
   "Nouveau"))</f>
        <v>#VALUE!</v>
      </c>
      <c r="AD6912" s="1" t="str">
        <f>IFERROR(IF(Final_Sans_VGE[[#This Row],[ppn_z]]="","",IFERROR(
   IF(_xlfn.XLOOKUP(Final_Sans_VGE[[#This Row],[ppn_z]],tbl_Historique_Final[[#This Row],[ppn_z]],tbl_Historique_Final[[#This Row],[date_modif]])=Final_Sans_VGE[[#This Row],[date_modif]],
      "Ancien",
      "Modifié"),
   "Nouveau")),"")</f>
        <v/>
      </c>
    </row>
    <row r="6913" spans="24:30" x14ac:dyDescent="0.25">
      <c r="X6913" s="8" t="e">
        <f>IF(Final_Sans_VGE[[#This Row],[ppn_z]]="","",IFERROR(
   IF(_xlfn.XLOOKUP(Final_Sans_VGE[[#This Row],[ppn_z]],tbl_Historique_Final[ppn_z],tbl_Historique_Final[date_modif])=Final_Sans_VGE[[#This Row],[date_modif]],
      "Ancien",
      "Modifié"),
   "Nouveau"))</f>
        <v>#VALUE!</v>
      </c>
      <c r="AD6913" s="1" t="str">
        <f>IFERROR(IF(Final_Sans_VGE[[#This Row],[ppn_z]]="","",IFERROR(
   IF(_xlfn.XLOOKUP(Final_Sans_VGE[[#This Row],[ppn_z]],tbl_Historique_Final[[#This Row],[ppn_z]],tbl_Historique_Final[[#This Row],[date_modif]])=Final_Sans_VGE[[#This Row],[date_modif]],
      "Ancien",
      "Modifié"),
   "Nouveau")),"")</f>
        <v/>
      </c>
    </row>
    <row r="6914" spans="24:30" x14ac:dyDescent="0.25">
      <c r="X6914" s="8" t="e">
        <f>IF(Final_Sans_VGE[[#This Row],[ppn_z]]="","",IFERROR(
   IF(_xlfn.XLOOKUP(Final_Sans_VGE[[#This Row],[ppn_z]],tbl_Historique_Final[ppn_z],tbl_Historique_Final[date_modif])=Final_Sans_VGE[[#This Row],[date_modif]],
      "Ancien",
      "Modifié"),
   "Nouveau"))</f>
        <v>#VALUE!</v>
      </c>
      <c r="AD6914" s="1" t="str">
        <f>IFERROR(IF(Final_Sans_VGE[[#This Row],[ppn_z]]="","",IFERROR(
   IF(_xlfn.XLOOKUP(Final_Sans_VGE[[#This Row],[ppn_z]],tbl_Historique_Final[[#This Row],[ppn_z]],tbl_Historique_Final[[#This Row],[date_modif]])=Final_Sans_VGE[[#This Row],[date_modif]],
      "Ancien",
      "Modifié"),
   "Nouveau")),"")</f>
        <v/>
      </c>
    </row>
    <row r="6915" spans="24:30" x14ac:dyDescent="0.25">
      <c r="X6915" s="8" t="e">
        <f>IF(Final_Sans_VGE[[#This Row],[ppn_z]]="","",IFERROR(
   IF(_xlfn.XLOOKUP(Final_Sans_VGE[[#This Row],[ppn_z]],tbl_Historique_Final[ppn_z],tbl_Historique_Final[date_modif])=Final_Sans_VGE[[#This Row],[date_modif]],
      "Ancien",
      "Modifié"),
   "Nouveau"))</f>
        <v>#VALUE!</v>
      </c>
      <c r="AD6915" s="1" t="str">
        <f>IFERROR(IF(Final_Sans_VGE[[#This Row],[ppn_z]]="","",IFERROR(
   IF(_xlfn.XLOOKUP(Final_Sans_VGE[[#This Row],[ppn_z]],tbl_Historique_Final[[#This Row],[ppn_z]],tbl_Historique_Final[[#This Row],[date_modif]])=Final_Sans_VGE[[#This Row],[date_modif]],
      "Ancien",
      "Modifié"),
   "Nouveau")),"")</f>
        <v/>
      </c>
    </row>
    <row r="6916" spans="24:30" x14ac:dyDescent="0.25">
      <c r="X6916" s="8" t="e">
        <f>IF(Final_Sans_VGE[[#This Row],[ppn_z]]="","",IFERROR(
   IF(_xlfn.XLOOKUP(Final_Sans_VGE[[#This Row],[ppn_z]],tbl_Historique_Final[ppn_z],tbl_Historique_Final[date_modif])=Final_Sans_VGE[[#This Row],[date_modif]],
      "Ancien",
      "Modifié"),
   "Nouveau"))</f>
        <v>#VALUE!</v>
      </c>
      <c r="AD6916" s="1" t="str">
        <f>IFERROR(IF(Final_Sans_VGE[[#This Row],[ppn_z]]="","",IFERROR(
   IF(_xlfn.XLOOKUP(Final_Sans_VGE[[#This Row],[ppn_z]],tbl_Historique_Final[[#This Row],[ppn_z]],tbl_Historique_Final[[#This Row],[date_modif]])=Final_Sans_VGE[[#This Row],[date_modif]],
      "Ancien",
      "Modifié"),
   "Nouveau")),"")</f>
        <v/>
      </c>
    </row>
    <row r="6917" spans="24:30" x14ac:dyDescent="0.25">
      <c r="X6917" s="8" t="e">
        <f>IF(Final_Sans_VGE[[#This Row],[ppn_z]]="","",IFERROR(
   IF(_xlfn.XLOOKUP(Final_Sans_VGE[[#This Row],[ppn_z]],tbl_Historique_Final[ppn_z],tbl_Historique_Final[date_modif])=Final_Sans_VGE[[#This Row],[date_modif]],
      "Ancien",
      "Modifié"),
   "Nouveau"))</f>
        <v>#VALUE!</v>
      </c>
      <c r="AD6917" s="1" t="str">
        <f>IFERROR(IF(Final_Sans_VGE[[#This Row],[ppn_z]]="","",IFERROR(
   IF(_xlfn.XLOOKUP(Final_Sans_VGE[[#This Row],[ppn_z]],tbl_Historique_Final[[#This Row],[ppn_z]],tbl_Historique_Final[[#This Row],[date_modif]])=Final_Sans_VGE[[#This Row],[date_modif]],
      "Ancien",
      "Modifié"),
   "Nouveau")),"")</f>
        <v/>
      </c>
    </row>
    <row r="6918" spans="24:30" x14ac:dyDescent="0.25">
      <c r="X6918" s="8" t="e">
        <f>IF(Final_Sans_VGE[[#This Row],[ppn_z]]="","",IFERROR(
   IF(_xlfn.XLOOKUP(Final_Sans_VGE[[#This Row],[ppn_z]],tbl_Historique_Final[ppn_z],tbl_Historique_Final[date_modif])=Final_Sans_VGE[[#This Row],[date_modif]],
      "Ancien",
      "Modifié"),
   "Nouveau"))</f>
        <v>#VALUE!</v>
      </c>
      <c r="AD6918" s="1" t="str">
        <f>IFERROR(IF(Final_Sans_VGE[[#This Row],[ppn_z]]="","",IFERROR(
   IF(_xlfn.XLOOKUP(Final_Sans_VGE[[#This Row],[ppn_z]],tbl_Historique_Final[[#This Row],[ppn_z]],tbl_Historique_Final[[#This Row],[date_modif]])=Final_Sans_VGE[[#This Row],[date_modif]],
      "Ancien",
      "Modifié"),
   "Nouveau")),"")</f>
        <v/>
      </c>
    </row>
    <row r="6919" spans="24:30" x14ac:dyDescent="0.25">
      <c r="X6919" s="8" t="e">
        <f>IF(Final_Sans_VGE[[#This Row],[ppn_z]]="","",IFERROR(
   IF(_xlfn.XLOOKUP(Final_Sans_VGE[[#This Row],[ppn_z]],tbl_Historique_Final[ppn_z],tbl_Historique_Final[date_modif])=Final_Sans_VGE[[#This Row],[date_modif]],
      "Ancien",
      "Modifié"),
   "Nouveau"))</f>
        <v>#VALUE!</v>
      </c>
      <c r="AD6919" s="1" t="str">
        <f>IFERROR(IF(Final_Sans_VGE[[#This Row],[ppn_z]]="","",IFERROR(
   IF(_xlfn.XLOOKUP(Final_Sans_VGE[[#This Row],[ppn_z]],tbl_Historique_Final[[#This Row],[ppn_z]],tbl_Historique_Final[[#This Row],[date_modif]])=Final_Sans_VGE[[#This Row],[date_modif]],
      "Ancien",
      "Modifié"),
   "Nouveau")),"")</f>
        <v/>
      </c>
    </row>
    <row r="6920" spans="24:30" x14ac:dyDescent="0.25">
      <c r="X6920" s="8" t="e">
        <f>IF(Final_Sans_VGE[[#This Row],[ppn_z]]="","",IFERROR(
   IF(_xlfn.XLOOKUP(Final_Sans_VGE[[#This Row],[ppn_z]],tbl_Historique_Final[ppn_z],tbl_Historique_Final[date_modif])=Final_Sans_VGE[[#This Row],[date_modif]],
      "Ancien",
      "Modifié"),
   "Nouveau"))</f>
        <v>#VALUE!</v>
      </c>
      <c r="AD6920" s="1" t="str">
        <f>IFERROR(IF(Final_Sans_VGE[[#This Row],[ppn_z]]="","",IFERROR(
   IF(_xlfn.XLOOKUP(Final_Sans_VGE[[#This Row],[ppn_z]],tbl_Historique_Final[[#This Row],[ppn_z]],tbl_Historique_Final[[#This Row],[date_modif]])=Final_Sans_VGE[[#This Row],[date_modif]],
      "Ancien",
      "Modifié"),
   "Nouveau")),"")</f>
        <v/>
      </c>
    </row>
    <row r="6921" spans="24:30" x14ac:dyDescent="0.25">
      <c r="X6921" s="8" t="e">
        <f>IF(Final_Sans_VGE[[#This Row],[ppn_z]]="","",IFERROR(
   IF(_xlfn.XLOOKUP(Final_Sans_VGE[[#This Row],[ppn_z]],tbl_Historique_Final[ppn_z],tbl_Historique_Final[date_modif])=Final_Sans_VGE[[#This Row],[date_modif]],
      "Ancien",
      "Modifié"),
   "Nouveau"))</f>
        <v>#VALUE!</v>
      </c>
      <c r="AD6921" s="1" t="str">
        <f>IFERROR(IF(Final_Sans_VGE[[#This Row],[ppn_z]]="","",IFERROR(
   IF(_xlfn.XLOOKUP(Final_Sans_VGE[[#This Row],[ppn_z]],tbl_Historique_Final[[#This Row],[ppn_z]],tbl_Historique_Final[[#This Row],[date_modif]])=Final_Sans_VGE[[#This Row],[date_modif]],
      "Ancien",
      "Modifié"),
   "Nouveau")),"")</f>
        <v/>
      </c>
    </row>
    <row r="6922" spans="24:30" x14ac:dyDescent="0.25">
      <c r="X6922" s="8" t="e">
        <f>IF(Final_Sans_VGE[[#This Row],[ppn_z]]="","",IFERROR(
   IF(_xlfn.XLOOKUP(Final_Sans_VGE[[#This Row],[ppn_z]],tbl_Historique_Final[ppn_z],tbl_Historique_Final[date_modif])=Final_Sans_VGE[[#This Row],[date_modif]],
      "Ancien",
      "Modifié"),
   "Nouveau"))</f>
        <v>#VALUE!</v>
      </c>
      <c r="AD6922" s="1" t="str">
        <f>IFERROR(IF(Final_Sans_VGE[[#This Row],[ppn_z]]="","",IFERROR(
   IF(_xlfn.XLOOKUP(Final_Sans_VGE[[#This Row],[ppn_z]],tbl_Historique_Final[[#This Row],[ppn_z]],tbl_Historique_Final[[#This Row],[date_modif]])=Final_Sans_VGE[[#This Row],[date_modif]],
      "Ancien",
      "Modifié"),
   "Nouveau")),"")</f>
        <v/>
      </c>
    </row>
    <row r="6923" spans="24:30" x14ac:dyDescent="0.25">
      <c r="X6923" s="8" t="e">
        <f>IF(Final_Sans_VGE[[#This Row],[ppn_z]]="","",IFERROR(
   IF(_xlfn.XLOOKUP(Final_Sans_VGE[[#This Row],[ppn_z]],tbl_Historique_Final[ppn_z],tbl_Historique_Final[date_modif])=Final_Sans_VGE[[#This Row],[date_modif]],
      "Ancien",
      "Modifié"),
   "Nouveau"))</f>
        <v>#VALUE!</v>
      </c>
      <c r="AD6923" s="1" t="str">
        <f>IFERROR(IF(Final_Sans_VGE[[#This Row],[ppn_z]]="","",IFERROR(
   IF(_xlfn.XLOOKUP(Final_Sans_VGE[[#This Row],[ppn_z]],tbl_Historique_Final[[#This Row],[ppn_z]],tbl_Historique_Final[[#This Row],[date_modif]])=Final_Sans_VGE[[#This Row],[date_modif]],
      "Ancien",
      "Modifié"),
   "Nouveau")),"")</f>
        <v/>
      </c>
    </row>
    <row r="6924" spans="24:30" x14ac:dyDescent="0.25">
      <c r="X6924" s="8" t="e">
        <f>IF(Final_Sans_VGE[[#This Row],[ppn_z]]="","",IFERROR(
   IF(_xlfn.XLOOKUP(Final_Sans_VGE[[#This Row],[ppn_z]],tbl_Historique_Final[ppn_z],tbl_Historique_Final[date_modif])=Final_Sans_VGE[[#This Row],[date_modif]],
      "Ancien",
      "Modifié"),
   "Nouveau"))</f>
        <v>#VALUE!</v>
      </c>
      <c r="AD6924" s="1" t="str">
        <f>IFERROR(IF(Final_Sans_VGE[[#This Row],[ppn_z]]="","",IFERROR(
   IF(_xlfn.XLOOKUP(Final_Sans_VGE[[#This Row],[ppn_z]],tbl_Historique_Final[[#This Row],[ppn_z]],tbl_Historique_Final[[#This Row],[date_modif]])=Final_Sans_VGE[[#This Row],[date_modif]],
      "Ancien",
      "Modifié"),
   "Nouveau")),"")</f>
        <v/>
      </c>
    </row>
    <row r="6925" spans="24:30" x14ac:dyDescent="0.25">
      <c r="X6925" s="8" t="e">
        <f>IF(Final_Sans_VGE[[#This Row],[ppn_z]]="","",IFERROR(
   IF(_xlfn.XLOOKUP(Final_Sans_VGE[[#This Row],[ppn_z]],tbl_Historique_Final[ppn_z],tbl_Historique_Final[date_modif])=Final_Sans_VGE[[#This Row],[date_modif]],
      "Ancien",
      "Modifié"),
   "Nouveau"))</f>
        <v>#VALUE!</v>
      </c>
      <c r="AD6925" s="1" t="str">
        <f>IFERROR(IF(Final_Sans_VGE[[#This Row],[ppn_z]]="","",IFERROR(
   IF(_xlfn.XLOOKUP(Final_Sans_VGE[[#This Row],[ppn_z]],tbl_Historique_Final[[#This Row],[ppn_z]],tbl_Historique_Final[[#This Row],[date_modif]])=Final_Sans_VGE[[#This Row],[date_modif]],
      "Ancien",
      "Modifié"),
   "Nouveau")),"")</f>
        <v/>
      </c>
    </row>
    <row r="6926" spans="24:30" x14ac:dyDescent="0.25">
      <c r="X6926" s="8" t="e">
        <f>IF(Final_Sans_VGE[[#This Row],[ppn_z]]="","",IFERROR(
   IF(_xlfn.XLOOKUP(Final_Sans_VGE[[#This Row],[ppn_z]],tbl_Historique_Final[ppn_z],tbl_Historique_Final[date_modif])=Final_Sans_VGE[[#This Row],[date_modif]],
      "Ancien",
      "Modifié"),
   "Nouveau"))</f>
        <v>#VALUE!</v>
      </c>
      <c r="AD6926" s="1" t="str">
        <f>IFERROR(IF(Final_Sans_VGE[[#This Row],[ppn_z]]="","",IFERROR(
   IF(_xlfn.XLOOKUP(Final_Sans_VGE[[#This Row],[ppn_z]],tbl_Historique_Final[[#This Row],[ppn_z]],tbl_Historique_Final[[#This Row],[date_modif]])=Final_Sans_VGE[[#This Row],[date_modif]],
      "Ancien",
      "Modifié"),
   "Nouveau")),"")</f>
        <v/>
      </c>
    </row>
    <row r="6927" spans="24:30" x14ac:dyDescent="0.25">
      <c r="X6927" s="8" t="e">
        <f>IF(Final_Sans_VGE[[#This Row],[ppn_z]]="","",IFERROR(
   IF(_xlfn.XLOOKUP(Final_Sans_VGE[[#This Row],[ppn_z]],tbl_Historique_Final[ppn_z],tbl_Historique_Final[date_modif])=Final_Sans_VGE[[#This Row],[date_modif]],
      "Ancien",
      "Modifié"),
   "Nouveau"))</f>
        <v>#VALUE!</v>
      </c>
      <c r="AD6927" s="1" t="str">
        <f>IFERROR(IF(Final_Sans_VGE[[#This Row],[ppn_z]]="","",IFERROR(
   IF(_xlfn.XLOOKUP(Final_Sans_VGE[[#This Row],[ppn_z]],tbl_Historique_Final[[#This Row],[ppn_z]],tbl_Historique_Final[[#This Row],[date_modif]])=Final_Sans_VGE[[#This Row],[date_modif]],
      "Ancien",
      "Modifié"),
   "Nouveau")),"")</f>
        <v/>
      </c>
    </row>
    <row r="6928" spans="24:30" x14ac:dyDescent="0.25">
      <c r="X6928" s="8" t="e">
        <f>IF(Final_Sans_VGE[[#This Row],[ppn_z]]="","",IFERROR(
   IF(_xlfn.XLOOKUP(Final_Sans_VGE[[#This Row],[ppn_z]],tbl_Historique_Final[ppn_z],tbl_Historique_Final[date_modif])=Final_Sans_VGE[[#This Row],[date_modif]],
      "Ancien",
      "Modifié"),
   "Nouveau"))</f>
        <v>#VALUE!</v>
      </c>
      <c r="AD6928" s="1" t="str">
        <f>IFERROR(IF(Final_Sans_VGE[[#This Row],[ppn_z]]="","",IFERROR(
   IF(_xlfn.XLOOKUP(Final_Sans_VGE[[#This Row],[ppn_z]],tbl_Historique_Final[[#This Row],[ppn_z]],tbl_Historique_Final[[#This Row],[date_modif]])=Final_Sans_VGE[[#This Row],[date_modif]],
      "Ancien",
      "Modifié"),
   "Nouveau")),"")</f>
        <v/>
      </c>
    </row>
    <row r="6929" spans="24:30" x14ac:dyDescent="0.25">
      <c r="X6929" s="8" t="e">
        <f>IF(Final_Sans_VGE[[#This Row],[ppn_z]]="","",IFERROR(
   IF(_xlfn.XLOOKUP(Final_Sans_VGE[[#This Row],[ppn_z]],tbl_Historique_Final[ppn_z],tbl_Historique_Final[date_modif])=Final_Sans_VGE[[#This Row],[date_modif]],
      "Ancien",
      "Modifié"),
   "Nouveau"))</f>
        <v>#VALUE!</v>
      </c>
      <c r="AD6929" s="1" t="str">
        <f>IFERROR(IF(Final_Sans_VGE[[#This Row],[ppn_z]]="","",IFERROR(
   IF(_xlfn.XLOOKUP(Final_Sans_VGE[[#This Row],[ppn_z]],tbl_Historique_Final[[#This Row],[ppn_z]],tbl_Historique_Final[[#This Row],[date_modif]])=Final_Sans_VGE[[#This Row],[date_modif]],
      "Ancien",
      "Modifié"),
   "Nouveau")),"")</f>
        <v/>
      </c>
    </row>
    <row r="6930" spans="24:30" x14ac:dyDescent="0.25">
      <c r="X6930" s="8" t="e">
        <f>IF(Final_Sans_VGE[[#This Row],[ppn_z]]="","",IFERROR(
   IF(_xlfn.XLOOKUP(Final_Sans_VGE[[#This Row],[ppn_z]],tbl_Historique_Final[ppn_z],tbl_Historique_Final[date_modif])=Final_Sans_VGE[[#This Row],[date_modif]],
      "Ancien",
      "Modifié"),
   "Nouveau"))</f>
        <v>#VALUE!</v>
      </c>
      <c r="AD6930" s="1" t="str">
        <f>IFERROR(IF(Final_Sans_VGE[[#This Row],[ppn_z]]="","",IFERROR(
   IF(_xlfn.XLOOKUP(Final_Sans_VGE[[#This Row],[ppn_z]],tbl_Historique_Final[[#This Row],[ppn_z]],tbl_Historique_Final[[#This Row],[date_modif]])=Final_Sans_VGE[[#This Row],[date_modif]],
      "Ancien",
      "Modifié"),
   "Nouveau")),"")</f>
        <v/>
      </c>
    </row>
    <row r="6931" spans="24:30" x14ac:dyDescent="0.25">
      <c r="X6931" s="8" t="e">
        <f>IF(Final_Sans_VGE[[#This Row],[ppn_z]]="","",IFERROR(
   IF(_xlfn.XLOOKUP(Final_Sans_VGE[[#This Row],[ppn_z]],tbl_Historique_Final[ppn_z],tbl_Historique_Final[date_modif])=Final_Sans_VGE[[#This Row],[date_modif]],
      "Ancien",
      "Modifié"),
   "Nouveau"))</f>
        <v>#VALUE!</v>
      </c>
      <c r="AD6931" s="1" t="str">
        <f>IFERROR(IF(Final_Sans_VGE[[#This Row],[ppn_z]]="","",IFERROR(
   IF(_xlfn.XLOOKUP(Final_Sans_VGE[[#This Row],[ppn_z]],tbl_Historique_Final[[#This Row],[ppn_z]],tbl_Historique_Final[[#This Row],[date_modif]])=Final_Sans_VGE[[#This Row],[date_modif]],
      "Ancien",
      "Modifié"),
   "Nouveau")),"")</f>
        <v/>
      </c>
    </row>
    <row r="6932" spans="24:30" x14ac:dyDescent="0.25">
      <c r="X6932" s="8" t="e">
        <f>IF(Final_Sans_VGE[[#This Row],[ppn_z]]="","",IFERROR(
   IF(_xlfn.XLOOKUP(Final_Sans_VGE[[#This Row],[ppn_z]],tbl_Historique_Final[ppn_z],tbl_Historique_Final[date_modif])=Final_Sans_VGE[[#This Row],[date_modif]],
      "Ancien",
      "Modifié"),
   "Nouveau"))</f>
        <v>#VALUE!</v>
      </c>
      <c r="AD6932" s="1" t="str">
        <f>IFERROR(IF(Final_Sans_VGE[[#This Row],[ppn_z]]="","",IFERROR(
   IF(_xlfn.XLOOKUP(Final_Sans_VGE[[#This Row],[ppn_z]],tbl_Historique_Final[[#This Row],[ppn_z]],tbl_Historique_Final[[#This Row],[date_modif]])=Final_Sans_VGE[[#This Row],[date_modif]],
      "Ancien",
      "Modifié"),
   "Nouveau")),"")</f>
        <v/>
      </c>
    </row>
    <row r="6933" spans="24:30" x14ac:dyDescent="0.25">
      <c r="X6933" s="8" t="e">
        <f>IF(Final_Sans_VGE[[#This Row],[ppn_z]]="","",IFERROR(
   IF(_xlfn.XLOOKUP(Final_Sans_VGE[[#This Row],[ppn_z]],tbl_Historique_Final[ppn_z],tbl_Historique_Final[date_modif])=Final_Sans_VGE[[#This Row],[date_modif]],
      "Ancien",
      "Modifié"),
   "Nouveau"))</f>
        <v>#VALUE!</v>
      </c>
      <c r="AD6933" s="1" t="str">
        <f>IFERROR(IF(Final_Sans_VGE[[#This Row],[ppn_z]]="","",IFERROR(
   IF(_xlfn.XLOOKUP(Final_Sans_VGE[[#This Row],[ppn_z]],tbl_Historique_Final[[#This Row],[ppn_z]],tbl_Historique_Final[[#This Row],[date_modif]])=Final_Sans_VGE[[#This Row],[date_modif]],
      "Ancien",
      "Modifié"),
   "Nouveau")),"")</f>
        <v/>
      </c>
    </row>
    <row r="6934" spans="24:30" x14ac:dyDescent="0.25">
      <c r="X6934" s="8" t="e">
        <f>IF(Final_Sans_VGE[[#This Row],[ppn_z]]="","",IFERROR(
   IF(_xlfn.XLOOKUP(Final_Sans_VGE[[#This Row],[ppn_z]],tbl_Historique_Final[ppn_z],tbl_Historique_Final[date_modif])=Final_Sans_VGE[[#This Row],[date_modif]],
      "Ancien",
      "Modifié"),
   "Nouveau"))</f>
        <v>#VALUE!</v>
      </c>
      <c r="AD6934" s="1" t="str">
        <f>IFERROR(IF(Final_Sans_VGE[[#This Row],[ppn_z]]="","",IFERROR(
   IF(_xlfn.XLOOKUP(Final_Sans_VGE[[#This Row],[ppn_z]],tbl_Historique_Final[[#This Row],[ppn_z]],tbl_Historique_Final[[#This Row],[date_modif]])=Final_Sans_VGE[[#This Row],[date_modif]],
      "Ancien",
      "Modifié"),
   "Nouveau")),"")</f>
        <v/>
      </c>
    </row>
    <row r="6935" spans="24:30" x14ac:dyDescent="0.25">
      <c r="X6935" s="8" t="e">
        <f>IF(Final_Sans_VGE[[#This Row],[ppn_z]]="","",IFERROR(
   IF(_xlfn.XLOOKUP(Final_Sans_VGE[[#This Row],[ppn_z]],tbl_Historique_Final[ppn_z],tbl_Historique_Final[date_modif])=Final_Sans_VGE[[#This Row],[date_modif]],
      "Ancien",
      "Modifié"),
   "Nouveau"))</f>
        <v>#VALUE!</v>
      </c>
      <c r="AD6935" s="1" t="str">
        <f>IFERROR(IF(Final_Sans_VGE[[#This Row],[ppn_z]]="","",IFERROR(
   IF(_xlfn.XLOOKUP(Final_Sans_VGE[[#This Row],[ppn_z]],tbl_Historique_Final[[#This Row],[ppn_z]],tbl_Historique_Final[[#This Row],[date_modif]])=Final_Sans_VGE[[#This Row],[date_modif]],
      "Ancien",
      "Modifié"),
   "Nouveau")),"")</f>
        <v/>
      </c>
    </row>
    <row r="6936" spans="24:30" x14ac:dyDescent="0.25">
      <c r="X6936" s="8" t="e">
        <f>IF(Final_Sans_VGE[[#This Row],[ppn_z]]="","",IFERROR(
   IF(_xlfn.XLOOKUP(Final_Sans_VGE[[#This Row],[ppn_z]],tbl_Historique_Final[ppn_z],tbl_Historique_Final[date_modif])=Final_Sans_VGE[[#This Row],[date_modif]],
      "Ancien",
      "Modifié"),
   "Nouveau"))</f>
        <v>#VALUE!</v>
      </c>
      <c r="AD6936" s="1" t="str">
        <f>IFERROR(IF(Final_Sans_VGE[[#This Row],[ppn_z]]="","",IFERROR(
   IF(_xlfn.XLOOKUP(Final_Sans_VGE[[#This Row],[ppn_z]],tbl_Historique_Final[[#This Row],[ppn_z]],tbl_Historique_Final[[#This Row],[date_modif]])=Final_Sans_VGE[[#This Row],[date_modif]],
      "Ancien",
      "Modifié"),
   "Nouveau")),"")</f>
        <v/>
      </c>
    </row>
    <row r="6937" spans="24:30" x14ac:dyDescent="0.25">
      <c r="X6937" s="8" t="e">
        <f>IF(Final_Sans_VGE[[#This Row],[ppn_z]]="","",IFERROR(
   IF(_xlfn.XLOOKUP(Final_Sans_VGE[[#This Row],[ppn_z]],tbl_Historique_Final[ppn_z],tbl_Historique_Final[date_modif])=Final_Sans_VGE[[#This Row],[date_modif]],
      "Ancien",
      "Modifié"),
   "Nouveau"))</f>
        <v>#VALUE!</v>
      </c>
      <c r="AD6937" s="1" t="str">
        <f>IFERROR(IF(Final_Sans_VGE[[#This Row],[ppn_z]]="","",IFERROR(
   IF(_xlfn.XLOOKUP(Final_Sans_VGE[[#This Row],[ppn_z]],tbl_Historique_Final[[#This Row],[ppn_z]],tbl_Historique_Final[[#This Row],[date_modif]])=Final_Sans_VGE[[#This Row],[date_modif]],
      "Ancien",
      "Modifié"),
   "Nouveau")),"")</f>
        <v/>
      </c>
    </row>
    <row r="6938" spans="24:30" x14ac:dyDescent="0.25">
      <c r="X6938" s="8" t="e">
        <f>IF(Final_Sans_VGE[[#This Row],[ppn_z]]="","",IFERROR(
   IF(_xlfn.XLOOKUP(Final_Sans_VGE[[#This Row],[ppn_z]],tbl_Historique_Final[ppn_z],tbl_Historique_Final[date_modif])=Final_Sans_VGE[[#This Row],[date_modif]],
      "Ancien",
      "Modifié"),
   "Nouveau"))</f>
        <v>#VALUE!</v>
      </c>
      <c r="AD6938" s="1" t="str">
        <f>IFERROR(IF(Final_Sans_VGE[[#This Row],[ppn_z]]="","",IFERROR(
   IF(_xlfn.XLOOKUP(Final_Sans_VGE[[#This Row],[ppn_z]],tbl_Historique_Final[[#This Row],[ppn_z]],tbl_Historique_Final[[#This Row],[date_modif]])=Final_Sans_VGE[[#This Row],[date_modif]],
      "Ancien",
      "Modifié"),
   "Nouveau")),"")</f>
        <v/>
      </c>
    </row>
    <row r="6939" spans="24:30" x14ac:dyDescent="0.25">
      <c r="X6939" s="8" t="e">
        <f>IF(Final_Sans_VGE[[#This Row],[ppn_z]]="","",IFERROR(
   IF(_xlfn.XLOOKUP(Final_Sans_VGE[[#This Row],[ppn_z]],tbl_Historique_Final[ppn_z],tbl_Historique_Final[date_modif])=Final_Sans_VGE[[#This Row],[date_modif]],
      "Ancien",
      "Modifié"),
   "Nouveau"))</f>
        <v>#VALUE!</v>
      </c>
      <c r="AD6939" s="1" t="str">
        <f>IFERROR(IF(Final_Sans_VGE[[#This Row],[ppn_z]]="","",IFERROR(
   IF(_xlfn.XLOOKUP(Final_Sans_VGE[[#This Row],[ppn_z]],tbl_Historique_Final[[#This Row],[ppn_z]],tbl_Historique_Final[[#This Row],[date_modif]])=Final_Sans_VGE[[#This Row],[date_modif]],
      "Ancien",
      "Modifié"),
   "Nouveau")),"")</f>
        <v/>
      </c>
    </row>
    <row r="6940" spans="24:30" x14ac:dyDescent="0.25">
      <c r="X6940" s="8" t="e">
        <f>IF(Final_Sans_VGE[[#This Row],[ppn_z]]="","",IFERROR(
   IF(_xlfn.XLOOKUP(Final_Sans_VGE[[#This Row],[ppn_z]],tbl_Historique_Final[ppn_z],tbl_Historique_Final[date_modif])=Final_Sans_VGE[[#This Row],[date_modif]],
      "Ancien",
      "Modifié"),
   "Nouveau"))</f>
        <v>#VALUE!</v>
      </c>
      <c r="AD6940" s="1" t="str">
        <f>IFERROR(IF(Final_Sans_VGE[[#This Row],[ppn_z]]="","",IFERROR(
   IF(_xlfn.XLOOKUP(Final_Sans_VGE[[#This Row],[ppn_z]],tbl_Historique_Final[[#This Row],[ppn_z]],tbl_Historique_Final[[#This Row],[date_modif]])=Final_Sans_VGE[[#This Row],[date_modif]],
      "Ancien",
      "Modifié"),
   "Nouveau")),"")</f>
        <v/>
      </c>
    </row>
    <row r="6941" spans="24:30" x14ac:dyDescent="0.25">
      <c r="X6941" s="8" t="e">
        <f>IF(Final_Sans_VGE[[#This Row],[ppn_z]]="","",IFERROR(
   IF(_xlfn.XLOOKUP(Final_Sans_VGE[[#This Row],[ppn_z]],tbl_Historique_Final[ppn_z],tbl_Historique_Final[date_modif])=Final_Sans_VGE[[#This Row],[date_modif]],
      "Ancien",
      "Modifié"),
   "Nouveau"))</f>
        <v>#VALUE!</v>
      </c>
      <c r="AD6941" s="1" t="str">
        <f>IFERROR(IF(Final_Sans_VGE[[#This Row],[ppn_z]]="","",IFERROR(
   IF(_xlfn.XLOOKUP(Final_Sans_VGE[[#This Row],[ppn_z]],tbl_Historique_Final[[#This Row],[ppn_z]],tbl_Historique_Final[[#This Row],[date_modif]])=Final_Sans_VGE[[#This Row],[date_modif]],
      "Ancien",
      "Modifié"),
   "Nouveau")),"")</f>
        <v/>
      </c>
    </row>
    <row r="6942" spans="24:30" x14ac:dyDescent="0.25">
      <c r="X6942" s="8" t="e">
        <f>IF(Final_Sans_VGE[[#This Row],[ppn_z]]="","",IFERROR(
   IF(_xlfn.XLOOKUP(Final_Sans_VGE[[#This Row],[ppn_z]],tbl_Historique_Final[ppn_z],tbl_Historique_Final[date_modif])=Final_Sans_VGE[[#This Row],[date_modif]],
      "Ancien",
      "Modifié"),
   "Nouveau"))</f>
        <v>#VALUE!</v>
      </c>
      <c r="AD6942" s="1" t="str">
        <f>IFERROR(IF(Final_Sans_VGE[[#This Row],[ppn_z]]="","",IFERROR(
   IF(_xlfn.XLOOKUP(Final_Sans_VGE[[#This Row],[ppn_z]],tbl_Historique_Final[[#This Row],[ppn_z]],tbl_Historique_Final[[#This Row],[date_modif]])=Final_Sans_VGE[[#This Row],[date_modif]],
      "Ancien",
      "Modifié"),
   "Nouveau")),"")</f>
        <v/>
      </c>
    </row>
    <row r="6943" spans="24:30" x14ac:dyDescent="0.25">
      <c r="X6943" s="8" t="e">
        <f>IF(Final_Sans_VGE[[#This Row],[ppn_z]]="","",IFERROR(
   IF(_xlfn.XLOOKUP(Final_Sans_VGE[[#This Row],[ppn_z]],tbl_Historique_Final[ppn_z],tbl_Historique_Final[date_modif])=Final_Sans_VGE[[#This Row],[date_modif]],
      "Ancien",
      "Modifié"),
   "Nouveau"))</f>
        <v>#VALUE!</v>
      </c>
      <c r="AD6943" s="1" t="str">
        <f>IFERROR(IF(Final_Sans_VGE[[#This Row],[ppn_z]]="","",IFERROR(
   IF(_xlfn.XLOOKUP(Final_Sans_VGE[[#This Row],[ppn_z]],tbl_Historique_Final[[#This Row],[ppn_z]],tbl_Historique_Final[[#This Row],[date_modif]])=Final_Sans_VGE[[#This Row],[date_modif]],
      "Ancien",
      "Modifié"),
   "Nouveau")),"")</f>
        <v/>
      </c>
    </row>
    <row r="6944" spans="24:30" x14ac:dyDescent="0.25">
      <c r="X6944" s="8" t="e">
        <f>IF(Final_Sans_VGE[[#This Row],[ppn_z]]="","",IFERROR(
   IF(_xlfn.XLOOKUP(Final_Sans_VGE[[#This Row],[ppn_z]],tbl_Historique_Final[ppn_z],tbl_Historique_Final[date_modif])=Final_Sans_VGE[[#This Row],[date_modif]],
      "Ancien",
      "Modifié"),
   "Nouveau"))</f>
        <v>#VALUE!</v>
      </c>
      <c r="AD6944" s="1" t="str">
        <f>IFERROR(IF(Final_Sans_VGE[[#This Row],[ppn_z]]="","",IFERROR(
   IF(_xlfn.XLOOKUP(Final_Sans_VGE[[#This Row],[ppn_z]],tbl_Historique_Final[[#This Row],[ppn_z]],tbl_Historique_Final[[#This Row],[date_modif]])=Final_Sans_VGE[[#This Row],[date_modif]],
      "Ancien",
      "Modifié"),
   "Nouveau")),"")</f>
        <v/>
      </c>
    </row>
    <row r="6945" spans="24:30" x14ac:dyDescent="0.25">
      <c r="X6945" s="8" t="e">
        <f>IF(Final_Sans_VGE[[#This Row],[ppn_z]]="","",IFERROR(
   IF(_xlfn.XLOOKUP(Final_Sans_VGE[[#This Row],[ppn_z]],tbl_Historique_Final[ppn_z],tbl_Historique_Final[date_modif])=Final_Sans_VGE[[#This Row],[date_modif]],
      "Ancien",
      "Modifié"),
   "Nouveau"))</f>
        <v>#VALUE!</v>
      </c>
      <c r="AD6945" s="1" t="str">
        <f>IFERROR(IF(Final_Sans_VGE[[#This Row],[ppn_z]]="","",IFERROR(
   IF(_xlfn.XLOOKUP(Final_Sans_VGE[[#This Row],[ppn_z]],tbl_Historique_Final[[#This Row],[ppn_z]],tbl_Historique_Final[[#This Row],[date_modif]])=Final_Sans_VGE[[#This Row],[date_modif]],
      "Ancien",
      "Modifié"),
   "Nouveau")),"")</f>
        <v/>
      </c>
    </row>
    <row r="6946" spans="24:30" x14ac:dyDescent="0.25">
      <c r="X6946" s="8" t="e">
        <f>IF(Final_Sans_VGE[[#This Row],[ppn_z]]="","",IFERROR(
   IF(_xlfn.XLOOKUP(Final_Sans_VGE[[#This Row],[ppn_z]],tbl_Historique_Final[ppn_z],tbl_Historique_Final[date_modif])=Final_Sans_VGE[[#This Row],[date_modif]],
      "Ancien",
      "Modifié"),
   "Nouveau"))</f>
        <v>#VALUE!</v>
      </c>
      <c r="AD6946" s="1" t="str">
        <f>IFERROR(IF(Final_Sans_VGE[[#This Row],[ppn_z]]="","",IFERROR(
   IF(_xlfn.XLOOKUP(Final_Sans_VGE[[#This Row],[ppn_z]],tbl_Historique_Final[[#This Row],[ppn_z]],tbl_Historique_Final[[#This Row],[date_modif]])=Final_Sans_VGE[[#This Row],[date_modif]],
      "Ancien",
      "Modifié"),
   "Nouveau")),"")</f>
        <v/>
      </c>
    </row>
    <row r="6947" spans="24:30" x14ac:dyDescent="0.25">
      <c r="X6947" s="8" t="e">
        <f>IF(Final_Sans_VGE[[#This Row],[ppn_z]]="","",IFERROR(
   IF(_xlfn.XLOOKUP(Final_Sans_VGE[[#This Row],[ppn_z]],tbl_Historique_Final[ppn_z],tbl_Historique_Final[date_modif])=Final_Sans_VGE[[#This Row],[date_modif]],
      "Ancien",
      "Modifié"),
   "Nouveau"))</f>
        <v>#VALUE!</v>
      </c>
      <c r="AD6947" s="1" t="str">
        <f>IFERROR(IF(Final_Sans_VGE[[#This Row],[ppn_z]]="","",IFERROR(
   IF(_xlfn.XLOOKUP(Final_Sans_VGE[[#This Row],[ppn_z]],tbl_Historique_Final[[#This Row],[ppn_z]],tbl_Historique_Final[[#This Row],[date_modif]])=Final_Sans_VGE[[#This Row],[date_modif]],
      "Ancien",
      "Modifié"),
   "Nouveau")),"")</f>
        <v/>
      </c>
    </row>
    <row r="6948" spans="24:30" x14ac:dyDescent="0.25">
      <c r="X6948" s="8" t="e">
        <f>IF(Final_Sans_VGE[[#This Row],[ppn_z]]="","",IFERROR(
   IF(_xlfn.XLOOKUP(Final_Sans_VGE[[#This Row],[ppn_z]],tbl_Historique_Final[ppn_z],tbl_Historique_Final[date_modif])=Final_Sans_VGE[[#This Row],[date_modif]],
      "Ancien",
      "Modifié"),
   "Nouveau"))</f>
        <v>#VALUE!</v>
      </c>
      <c r="AD6948" s="1" t="str">
        <f>IFERROR(IF(Final_Sans_VGE[[#This Row],[ppn_z]]="","",IFERROR(
   IF(_xlfn.XLOOKUP(Final_Sans_VGE[[#This Row],[ppn_z]],tbl_Historique_Final[[#This Row],[ppn_z]],tbl_Historique_Final[[#This Row],[date_modif]])=Final_Sans_VGE[[#This Row],[date_modif]],
      "Ancien",
      "Modifié"),
   "Nouveau")),"")</f>
        <v/>
      </c>
    </row>
    <row r="6949" spans="24:30" x14ac:dyDescent="0.25">
      <c r="X6949" s="8" t="e">
        <f>IF(Final_Sans_VGE[[#This Row],[ppn_z]]="","",IFERROR(
   IF(_xlfn.XLOOKUP(Final_Sans_VGE[[#This Row],[ppn_z]],tbl_Historique_Final[ppn_z],tbl_Historique_Final[date_modif])=Final_Sans_VGE[[#This Row],[date_modif]],
      "Ancien",
      "Modifié"),
   "Nouveau"))</f>
        <v>#VALUE!</v>
      </c>
      <c r="AD6949" s="1" t="str">
        <f>IFERROR(IF(Final_Sans_VGE[[#This Row],[ppn_z]]="","",IFERROR(
   IF(_xlfn.XLOOKUP(Final_Sans_VGE[[#This Row],[ppn_z]],tbl_Historique_Final[[#This Row],[ppn_z]],tbl_Historique_Final[[#This Row],[date_modif]])=Final_Sans_VGE[[#This Row],[date_modif]],
      "Ancien",
      "Modifié"),
   "Nouveau")),"")</f>
        <v/>
      </c>
    </row>
    <row r="6950" spans="24:30" x14ac:dyDescent="0.25">
      <c r="X6950" s="8" t="e">
        <f>IF(Final_Sans_VGE[[#This Row],[ppn_z]]="","",IFERROR(
   IF(_xlfn.XLOOKUP(Final_Sans_VGE[[#This Row],[ppn_z]],tbl_Historique_Final[ppn_z],tbl_Historique_Final[date_modif])=Final_Sans_VGE[[#This Row],[date_modif]],
      "Ancien",
      "Modifié"),
   "Nouveau"))</f>
        <v>#VALUE!</v>
      </c>
      <c r="AD6950" s="1" t="str">
        <f>IFERROR(IF(Final_Sans_VGE[[#This Row],[ppn_z]]="","",IFERROR(
   IF(_xlfn.XLOOKUP(Final_Sans_VGE[[#This Row],[ppn_z]],tbl_Historique_Final[[#This Row],[ppn_z]],tbl_Historique_Final[[#This Row],[date_modif]])=Final_Sans_VGE[[#This Row],[date_modif]],
      "Ancien",
      "Modifié"),
   "Nouveau")),"")</f>
        <v/>
      </c>
    </row>
    <row r="6951" spans="24:30" x14ac:dyDescent="0.25">
      <c r="X6951" s="8" t="e">
        <f>IF(Final_Sans_VGE[[#This Row],[ppn_z]]="","",IFERROR(
   IF(_xlfn.XLOOKUP(Final_Sans_VGE[[#This Row],[ppn_z]],tbl_Historique_Final[ppn_z],tbl_Historique_Final[date_modif])=Final_Sans_VGE[[#This Row],[date_modif]],
      "Ancien",
      "Modifié"),
   "Nouveau"))</f>
        <v>#VALUE!</v>
      </c>
      <c r="AD6951" s="1" t="str">
        <f>IFERROR(IF(Final_Sans_VGE[[#This Row],[ppn_z]]="","",IFERROR(
   IF(_xlfn.XLOOKUP(Final_Sans_VGE[[#This Row],[ppn_z]],tbl_Historique_Final[[#This Row],[ppn_z]],tbl_Historique_Final[[#This Row],[date_modif]])=Final_Sans_VGE[[#This Row],[date_modif]],
      "Ancien",
      "Modifié"),
   "Nouveau")),"")</f>
        <v/>
      </c>
    </row>
    <row r="6952" spans="24:30" x14ac:dyDescent="0.25">
      <c r="X6952" s="8" t="e">
        <f>IF(Final_Sans_VGE[[#This Row],[ppn_z]]="","",IFERROR(
   IF(_xlfn.XLOOKUP(Final_Sans_VGE[[#This Row],[ppn_z]],tbl_Historique_Final[ppn_z],tbl_Historique_Final[date_modif])=Final_Sans_VGE[[#This Row],[date_modif]],
      "Ancien",
      "Modifié"),
   "Nouveau"))</f>
        <v>#VALUE!</v>
      </c>
      <c r="AD6952" s="1" t="str">
        <f>IFERROR(IF(Final_Sans_VGE[[#This Row],[ppn_z]]="","",IFERROR(
   IF(_xlfn.XLOOKUP(Final_Sans_VGE[[#This Row],[ppn_z]],tbl_Historique_Final[[#This Row],[ppn_z]],tbl_Historique_Final[[#This Row],[date_modif]])=Final_Sans_VGE[[#This Row],[date_modif]],
      "Ancien",
      "Modifié"),
   "Nouveau")),"")</f>
        <v/>
      </c>
    </row>
    <row r="6953" spans="24:30" x14ac:dyDescent="0.25">
      <c r="X6953" s="8" t="e">
        <f>IF(Final_Sans_VGE[[#This Row],[ppn_z]]="","",IFERROR(
   IF(_xlfn.XLOOKUP(Final_Sans_VGE[[#This Row],[ppn_z]],tbl_Historique_Final[ppn_z],tbl_Historique_Final[date_modif])=Final_Sans_VGE[[#This Row],[date_modif]],
      "Ancien",
      "Modifié"),
   "Nouveau"))</f>
        <v>#VALUE!</v>
      </c>
      <c r="AD6953" s="1" t="str">
        <f>IFERROR(IF(Final_Sans_VGE[[#This Row],[ppn_z]]="","",IFERROR(
   IF(_xlfn.XLOOKUP(Final_Sans_VGE[[#This Row],[ppn_z]],tbl_Historique_Final[[#This Row],[ppn_z]],tbl_Historique_Final[[#This Row],[date_modif]])=Final_Sans_VGE[[#This Row],[date_modif]],
      "Ancien",
      "Modifié"),
   "Nouveau")),"")</f>
        <v/>
      </c>
    </row>
    <row r="6954" spans="24:30" x14ac:dyDescent="0.25">
      <c r="X6954" s="8" t="e">
        <f>IF(Final_Sans_VGE[[#This Row],[ppn_z]]="","",IFERROR(
   IF(_xlfn.XLOOKUP(Final_Sans_VGE[[#This Row],[ppn_z]],tbl_Historique_Final[ppn_z],tbl_Historique_Final[date_modif])=Final_Sans_VGE[[#This Row],[date_modif]],
      "Ancien",
      "Modifié"),
   "Nouveau"))</f>
        <v>#VALUE!</v>
      </c>
      <c r="AD6954" s="1" t="str">
        <f>IFERROR(IF(Final_Sans_VGE[[#This Row],[ppn_z]]="","",IFERROR(
   IF(_xlfn.XLOOKUP(Final_Sans_VGE[[#This Row],[ppn_z]],tbl_Historique_Final[[#This Row],[ppn_z]],tbl_Historique_Final[[#This Row],[date_modif]])=Final_Sans_VGE[[#This Row],[date_modif]],
      "Ancien",
      "Modifié"),
   "Nouveau")),"")</f>
        <v/>
      </c>
    </row>
    <row r="6955" spans="24:30" x14ac:dyDescent="0.25">
      <c r="X6955" s="8" t="e">
        <f>IF(Final_Sans_VGE[[#This Row],[ppn_z]]="","",IFERROR(
   IF(_xlfn.XLOOKUP(Final_Sans_VGE[[#This Row],[ppn_z]],tbl_Historique_Final[ppn_z],tbl_Historique_Final[date_modif])=Final_Sans_VGE[[#This Row],[date_modif]],
      "Ancien",
      "Modifié"),
   "Nouveau"))</f>
        <v>#VALUE!</v>
      </c>
      <c r="AD6955" s="1" t="str">
        <f>IFERROR(IF(Final_Sans_VGE[[#This Row],[ppn_z]]="","",IFERROR(
   IF(_xlfn.XLOOKUP(Final_Sans_VGE[[#This Row],[ppn_z]],tbl_Historique_Final[[#This Row],[ppn_z]],tbl_Historique_Final[[#This Row],[date_modif]])=Final_Sans_VGE[[#This Row],[date_modif]],
      "Ancien",
      "Modifié"),
   "Nouveau")),"")</f>
        <v/>
      </c>
    </row>
    <row r="6956" spans="24:30" x14ac:dyDescent="0.25">
      <c r="X6956" s="8" t="e">
        <f>IF(Final_Sans_VGE[[#This Row],[ppn_z]]="","",IFERROR(
   IF(_xlfn.XLOOKUP(Final_Sans_VGE[[#This Row],[ppn_z]],tbl_Historique_Final[ppn_z],tbl_Historique_Final[date_modif])=Final_Sans_VGE[[#This Row],[date_modif]],
      "Ancien",
      "Modifié"),
   "Nouveau"))</f>
        <v>#VALUE!</v>
      </c>
      <c r="AD6956" s="1" t="str">
        <f>IFERROR(IF(Final_Sans_VGE[[#This Row],[ppn_z]]="","",IFERROR(
   IF(_xlfn.XLOOKUP(Final_Sans_VGE[[#This Row],[ppn_z]],tbl_Historique_Final[[#This Row],[ppn_z]],tbl_Historique_Final[[#This Row],[date_modif]])=Final_Sans_VGE[[#This Row],[date_modif]],
      "Ancien",
      "Modifié"),
   "Nouveau")),"")</f>
        <v/>
      </c>
    </row>
    <row r="6957" spans="24:30" x14ac:dyDescent="0.25">
      <c r="X6957" s="8" t="e">
        <f>IF(Final_Sans_VGE[[#This Row],[ppn_z]]="","",IFERROR(
   IF(_xlfn.XLOOKUP(Final_Sans_VGE[[#This Row],[ppn_z]],tbl_Historique_Final[ppn_z],tbl_Historique_Final[date_modif])=Final_Sans_VGE[[#This Row],[date_modif]],
      "Ancien",
      "Modifié"),
   "Nouveau"))</f>
        <v>#VALUE!</v>
      </c>
      <c r="AD6957" s="1" t="str">
        <f>IFERROR(IF(Final_Sans_VGE[[#This Row],[ppn_z]]="","",IFERROR(
   IF(_xlfn.XLOOKUP(Final_Sans_VGE[[#This Row],[ppn_z]],tbl_Historique_Final[[#This Row],[ppn_z]],tbl_Historique_Final[[#This Row],[date_modif]])=Final_Sans_VGE[[#This Row],[date_modif]],
      "Ancien",
      "Modifié"),
   "Nouveau")),"")</f>
        <v/>
      </c>
    </row>
    <row r="6958" spans="24:30" x14ac:dyDescent="0.25">
      <c r="X6958" s="8" t="e">
        <f>IF(Final_Sans_VGE[[#This Row],[ppn_z]]="","",IFERROR(
   IF(_xlfn.XLOOKUP(Final_Sans_VGE[[#This Row],[ppn_z]],tbl_Historique_Final[ppn_z],tbl_Historique_Final[date_modif])=Final_Sans_VGE[[#This Row],[date_modif]],
      "Ancien",
      "Modifié"),
   "Nouveau"))</f>
        <v>#VALUE!</v>
      </c>
      <c r="AD6958" s="1" t="str">
        <f>IFERROR(IF(Final_Sans_VGE[[#This Row],[ppn_z]]="","",IFERROR(
   IF(_xlfn.XLOOKUP(Final_Sans_VGE[[#This Row],[ppn_z]],tbl_Historique_Final[[#This Row],[ppn_z]],tbl_Historique_Final[[#This Row],[date_modif]])=Final_Sans_VGE[[#This Row],[date_modif]],
      "Ancien",
      "Modifié"),
   "Nouveau")),"")</f>
        <v/>
      </c>
    </row>
    <row r="6959" spans="24:30" x14ac:dyDescent="0.25">
      <c r="X6959" s="8" t="e">
        <f>IF(Final_Sans_VGE[[#This Row],[ppn_z]]="","",IFERROR(
   IF(_xlfn.XLOOKUP(Final_Sans_VGE[[#This Row],[ppn_z]],tbl_Historique_Final[ppn_z],tbl_Historique_Final[date_modif])=Final_Sans_VGE[[#This Row],[date_modif]],
      "Ancien",
      "Modifié"),
   "Nouveau"))</f>
        <v>#VALUE!</v>
      </c>
      <c r="AD6959" s="1" t="str">
        <f>IFERROR(IF(Final_Sans_VGE[[#This Row],[ppn_z]]="","",IFERROR(
   IF(_xlfn.XLOOKUP(Final_Sans_VGE[[#This Row],[ppn_z]],tbl_Historique_Final[[#This Row],[ppn_z]],tbl_Historique_Final[[#This Row],[date_modif]])=Final_Sans_VGE[[#This Row],[date_modif]],
      "Ancien",
      "Modifié"),
   "Nouveau")),"")</f>
        <v/>
      </c>
    </row>
    <row r="6960" spans="24:30" x14ac:dyDescent="0.25">
      <c r="X6960" s="8" t="e">
        <f>IF(Final_Sans_VGE[[#This Row],[ppn_z]]="","",IFERROR(
   IF(_xlfn.XLOOKUP(Final_Sans_VGE[[#This Row],[ppn_z]],tbl_Historique_Final[ppn_z],tbl_Historique_Final[date_modif])=Final_Sans_VGE[[#This Row],[date_modif]],
      "Ancien",
      "Modifié"),
   "Nouveau"))</f>
        <v>#VALUE!</v>
      </c>
      <c r="AD6960" s="1" t="str">
        <f>IFERROR(IF(Final_Sans_VGE[[#This Row],[ppn_z]]="","",IFERROR(
   IF(_xlfn.XLOOKUP(Final_Sans_VGE[[#This Row],[ppn_z]],tbl_Historique_Final[[#This Row],[ppn_z]],tbl_Historique_Final[[#This Row],[date_modif]])=Final_Sans_VGE[[#This Row],[date_modif]],
      "Ancien",
      "Modifié"),
   "Nouveau")),"")</f>
        <v/>
      </c>
    </row>
    <row r="6961" spans="24:30" x14ac:dyDescent="0.25">
      <c r="X6961" s="8" t="e">
        <f>IF(Final_Sans_VGE[[#This Row],[ppn_z]]="","",IFERROR(
   IF(_xlfn.XLOOKUP(Final_Sans_VGE[[#This Row],[ppn_z]],tbl_Historique_Final[ppn_z],tbl_Historique_Final[date_modif])=Final_Sans_VGE[[#This Row],[date_modif]],
      "Ancien",
      "Modifié"),
   "Nouveau"))</f>
        <v>#VALUE!</v>
      </c>
      <c r="AD6961" s="1" t="str">
        <f>IFERROR(IF(Final_Sans_VGE[[#This Row],[ppn_z]]="","",IFERROR(
   IF(_xlfn.XLOOKUP(Final_Sans_VGE[[#This Row],[ppn_z]],tbl_Historique_Final[[#This Row],[ppn_z]],tbl_Historique_Final[[#This Row],[date_modif]])=Final_Sans_VGE[[#This Row],[date_modif]],
      "Ancien",
      "Modifié"),
   "Nouveau")),"")</f>
        <v/>
      </c>
    </row>
    <row r="6962" spans="24:30" x14ac:dyDescent="0.25">
      <c r="X6962" s="8" t="e">
        <f>IF(Final_Sans_VGE[[#This Row],[ppn_z]]="","",IFERROR(
   IF(_xlfn.XLOOKUP(Final_Sans_VGE[[#This Row],[ppn_z]],tbl_Historique_Final[ppn_z],tbl_Historique_Final[date_modif])=Final_Sans_VGE[[#This Row],[date_modif]],
      "Ancien",
      "Modifié"),
   "Nouveau"))</f>
        <v>#VALUE!</v>
      </c>
      <c r="AD6962" s="1" t="str">
        <f>IFERROR(IF(Final_Sans_VGE[[#This Row],[ppn_z]]="","",IFERROR(
   IF(_xlfn.XLOOKUP(Final_Sans_VGE[[#This Row],[ppn_z]],tbl_Historique_Final[[#This Row],[ppn_z]],tbl_Historique_Final[[#This Row],[date_modif]])=Final_Sans_VGE[[#This Row],[date_modif]],
      "Ancien",
      "Modifié"),
   "Nouveau")),"")</f>
        <v/>
      </c>
    </row>
    <row r="6963" spans="24:30" x14ac:dyDescent="0.25">
      <c r="X6963" s="8" t="e">
        <f>IF(Final_Sans_VGE[[#This Row],[ppn_z]]="","",IFERROR(
   IF(_xlfn.XLOOKUP(Final_Sans_VGE[[#This Row],[ppn_z]],tbl_Historique_Final[ppn_z],tbl_Historique_Final[date_modif])=Final_Sans_VGE[[#This Row],[date_modif]],
      "Ancien",
      "Modifié"),
   "Nouveau"))</f>
        <v>#VALUE!</v>
      </c>
      <c r="AD6963" s="1" t="str">
        <f>IFERROR(IF(Final_Sans_VGE[[#This Row],[ppn_z]]="","",IFERROR(
   IF(_xlfn.XLOOKUP(Final_Sans_VGE[[#This Row],[ppn_z]],tbl_Historique_Final[[#This Row],[ppn_z]],tbl_Historique_Final[[#This Row],[date_modif]])=Final_Sans_VGE[[#This Row],[date_modif]],
      "Ancien",
      "Modifié"),
   "Nouveau")),"")</f>
        <v/>
      </c>
    </row>
    <row r="6964" spans="24:30" x14ac:dyDescent="0.25">
      <c r="X6964" s="8" t="e">
        <f>IF(Final_Sans_VGE[[#This Row],[ppn_z]]="","",IFERROR(
   IF(_xlfn.XLOOKUP(Final_Sans_VGE[[#This Row],[ppn_z]],tbl_Historique_Final[ppn_z],tbl_Historique_Final[date_modif])=Final_Sans_VGE[[#This Row],[date_modif]],
      "Ancien",
      "Modifié"),
   "Nouveau"))</f>
        <v>#VALUE!</v>
      </c>
      <c r="AD6964" s="1" t="str">
        <f>IFERROR(IF(Final_Sans_VGE[[#This Row],[ppn_z]]="","",IFERROR(
   IF(_xlfn.XLOOKUP(Final_Sans_VGE[[#This Row],[ppn_z]],tbl_Historique_Final[[#This Row],[ppn_z]],tbl_Historique_Final[[#This Row],[date_modif]])=Final_Sans_VGE[[#This Row],[date_modif]],
      "Ancien",
      "Modifié"),
   "Nouveau")),"")</f>
        <v/>
      </c>
    </row>
    <row r="6965" spans="24:30" x14ac:dyDescent="0.25">
      <c r="X6965" s="8" t="e">
        <f>IF(Final_Sans_VGE[[#This Row],[ppn_z]]="","",IFERROR(
   IF(_xlfn.XLOOKUP(Final_Sans_VGE[[#This Row],[ppn_z]],tbl_Historique_Final[ppn_z],tbl_Historique_Final[date_modif])=Final_Sans_VGE[[#This Row],[date_modif]],
      "Ancien",
      "Modifié"),
   "Nouveau"))</f>
        <v>#VALUE!</v>
      </c>
      <c r="AD6965" s="1" t="str">
        <f>IFERROR(IF(Final_Sans_VGE[[#This Row],[ppn_z]]="","",IFERROR(
   IF(_xlfn.XLOOKUP(Final_Sans_VGE[[#This Row],[ppn_z]],tbl_Historique_Final[[#This Row],[ppn_z]],tbl_Historique_Final[[#This Row],[date_modif]])=Final_Sans_VGE[[#This Row],[date_modif]],
      "Ancien",
      "Modifié"),
   "Nouveau")),"")</f>
        <v/>
      </c>
    </row>
    <row r="6966" spans="24:30" x14ac:dyDescent="0.25">
      <c r="X6966" s="8" t="e">
        <f>IF(Final_Sans_VGE[[#This Row],[ppn_z]]="","",IFERROR(
   IF(_xlfn.XLOOKUP(Final_Sans_VGE[[#This Row],[ppn_z]],tbl_Historique_Final[ppn_z],tbl_Historique_Final[date_modif])=Final_Sans_VGE[[#This Row],[date_modif]],
      "Ancien",
      "Modifié"),
   "Nouveau"))</f>
        <v>#VALUE!</v>
      </c>
      <c r="AD6966" s="1" t="str">
        <f>IFERROR(IF(Final_Sans_VGE[[#This Row],[ppn_z]]="","",IFERROR(
   IF(_xlfn.XLOOKUP(Final_Sans_VGE[[#This Row],[ppn_z]],tbl_Historique_Final[[#This Row],[ppn_z]],tbl_Historique_Final[[#This Row],[date_modif]])=Final_Sans_VGE[[#This Row],[date_modif]],
      "Ancien",
      "Modifié"),
   "Nouveau")),"")</f>
        <v/>
      </c>
    </row>
    <row r="6967" spans="24:30" x14ac:dyDescent="0.25">
      <c r="X6967" s="8" t="e">
        <f>IF(Final_Sans_VGE[[#This Row],[ppn_z]]="","",IFERROR(
   IF(_xlfn.XLOOKUP(Final_Sans_VGE[[#This Row],[ppn_z]],tbl_Historique_Final[ppn_z],tbl_Historique_Final[date_modif])=Final_Sans_VGE[[#This Row],[date_modif]],
      "Ancien",
      "Modifié"),
   "Nouveau"))</f>
        <v>#VALUE!</v>
      </c>
      <c r="AD6967" s="1" t="str">
        <f>IFERROR(IF(Final_Sans_VGE[[#This Row],[ppn_z]]="","",IFERROR(
   IF(_xlfn.XLOOKUP(Final_Sans_VGE[[#This Row],[ppn_z]],tbl_Historique_Final[[#This Row],[ppn_z]],tbl_Historique_Final[[#This Row],[date_modif]])=Final_Sans_VGE[[#This Row],[date_modif]],
      "Ancien",
      "Modifié"),
   "Nouveau")),"")</f>
        <v/>
      </c>
    </row>
    <row r="6968" spans="24:30" x14ac:dyDescent="0.25">
      <c r="X6968" s="8" t="e">
        <f>IF(Final_Sans_VGE[[#This Row],[ppn_z]]="","",IFERROR(
   IF(_xlfn.XLOOKUP(Final_Sans_VGE[[#This Row],[ppn_z]],tbl_Historique_Final[ppn_z],tbl_Historique_Final[date_modif])=Final_Sans_VGE[[#This Row],[date_modif]],
      "Ancien",
      "Modifié"),
   "Nouveau"))</f>
        <v>#VALUE!</v>
      </c>
      <c r="AD6968" s="1" t="str">
        <f>IFERROR(IF(Final_Sans_VGE[[#This Row],[ppn_z]]="","",IFERROR(
   IF(_xlfn.XLOOKUP(Final_Sans_VGE[[#This Row],[ppn_z]],tbl_Historique_Final[[#This Row],[ppn_z]],tbl_Historique_Final[[#This Row],[date_modif]])=Final_Sans_VGE[[#This Row],[date_modif]],
      "Ancien",
      "Modifié"),
   "Nouveau")),"")</f>
        <v/>
      </c>
    </row>
    <row r="6969" spans="24:30" x14ac:dyDescent="0.25">
      <c r="X6969" s="8" t="e">
        <f>IF(Final_Sans_VGE[[#This Row],[ppn_z]]="","",IFERROR(
   IF(_xlfn.XLOOKUP(Final_Sans_VGE[[#This Row],[ppn_z]],tbl_Historique_Final[ppn_z],tbl_Historique_Final[date_modif])=Final_Sans_VGE[[#This Row],[date_modif]],
      "Ancien",
      "Modifié"),
   "Nouveau"))</f>
        <v>#VALUE!</v>
      </c>
      <c r="AD6969" s="1" t="str">
        <f>IFERROR(IF(Final_Sans_VGE[[#This Row],[ppn_z]]="","",IFERROR(
   IF(_xlfn.XLOOKUP(Final_Sans_VGE[[#This Row],[ppn_z]],tbl_Historique_Final[[#This Row],[ppn_z]],tbl_Historique_Final[[#This Row],[date_modif]])=Final_Sans_VGE[[#This Row],[date_modif]],
      "Ancien",
      "Modifié"),
   "Nouveau")),"")</f>
        <v/>
      </c>
    </row>
    <row r="6970" spans="24:30" x14ac:dyDescent="0.25">
      <c r="X6970" s="8" t="e">
        <f>IF(Final_Sans_VGE[[#This Row],[ppn_z]]="","",IFERROR(
   IF(_xlfn.XLOOKUP(Final_Sans_VGE[[#This Row],[ppn_z]],tbl_Historique_Final[ppn_z],tbl_Historique_Final[date_modif])=Final_Sans_VGE[[#This Row],[date_modif]],
      "Ancien",
      "Modifié"),
   "Nouveau"))</f>
        <v>#VALUE!</v>
      </c>
      <c r="AD6970" s="1" t="str">
        <f>IFERROR(IF(Final_Sans_VGE[[#This Row],[ppn_z]]="","",IFERROR(
   IF(_xlfn.XLOOKUP(Final_Sans_VGE[[#This Row],[ppn_z]],tbl_Historique_Final[[#This Row],[ppn_z]],tbl_Historique_Final[[#This Row],[date_modif]])=Final_Sans_VGE[[#This Row],[date_modif]],
      "Ancien",
      "Modifié"),
   "Nouveau")),"")</f>
        <v/>
      </c>
    </row>
    <row r="6971" spans="24:30" x14ac:dyDescent="0.25">
      <c r="X6971" s="8" t="e">
        <f>IF(Final_Sans_VGE[[#This Row],[ppn_z]]="","",IFERROR(
   IF(_xlfn.XLOOKUP(Final_Sans_VGE[[#This Row],[ppn_z]],tbl_Historique_Final[ppn_z],tbl_Historique_Final[date_modif])=Final_Sans_VGE[[#This Row],[date_modif]],
      "Ancien",
      "Modifié"),
   "Nouveau"))</f>
        <v>#VALUE!</v>
      </c>
      <c r="AD6971" s="1" t="str">
        <f>IFERROR(IF(Final_Sans_VGE[[#This Row],[ppn_z]]="","",IFERROR(
   IF(_xlfn.XLOOKUP(Final_Sans_VGE[[#This Row],[ppn_z]],tbl_Historique_Final[[#This Row],[ppn_z]],tbl_Historique_Final[[#This Row],[date_modif]])=Final_Sans_VGE[[#This Row],[date_modif]],
      "Ancien",
      "Modifié"),
   "Nouveau")),"")</f>
        <v/>
      </c>
    </row>
    <row r="6972" spans="24:30" x14ac:dyDescent="0.25">
      <c r="X6972" s="8" t="e">
        <f>IF(Final_Sans_VGE[[#This Row],[ppn_z]]="","",IFERROR(
   IF(_xlfn.XLOOKUP(Final_Sans_VGE[[#This Row],[ppn_z]],tbl_Historique_Final[ppn_z],tbl_Historique_Final[date_modif])=Final_Sans_VGE[[#This Row],[date_modif]],
      "Ancien",
      "Modifié"),
   "Nouveau"))</f>
        <v>#VALUE!</v>
      </c>
      <c r="AD6972" s="1" t="str">
        <f>IFERROR(IF(Final_Sans_VGE[[#This Row],[ppn_z]]="","",IFERROR(
   IF(_xlfn.XLOOKUP(Final_Sans_VGE[[#This Row],[ppn_z]],tbl_Historique_Final[[#This Row],[ppn_z]],tbl_Historique_Final[[#This Row],[date_modif]])=Final_Sans_VGE[[#This Row],[date_modif]],
      "Ancien",
      "Modifié"),
   "Nouveau")),"")</f>
        <v/>
      </c>
    </row>
    <row r="6973" spans="24:30" x14ac:dyDescent="0.25">
      <c r="X6973" s="8" t="e">
        <f>IF(Final_Sans_VGE[[#This Row],[ppn_z]]="","",IFERROR(
   IF(_xlfn.XLOOKUP(Final_Sans_VGE[[#This Row],[ppn_z]],tbl_Historique_Final[ppn_z],tbl_Historique_Final[date_modif])=Final_Sans_VGE[[#This Row],[date_modif]],
      "Ancien",
      "Modifié"),
   "Nouveau"))</f>
        <v>#VALUE!</v>
      </c>
      <c r="AD6973" s="1" t="str">
        <f>IFERROR(IF(Final_Sans_VGE[[#This Row],[ppn_z]]="","",IFERROR(
   IF(_xlfn.XLOOKUP(Final_Sans_VGE[[#This Row],[ppn_z]],tbl_Historique_Final[[#This Row],[ppn_z]],tbl_Historique_Final[[#This Row],[date_modif]])=Final_Sans_VGE[[#This Row],[date_modif]],
      "Ancien",
      "Modifié"),
   "Nouveau")),"")</f>
        <v/>
      </c>
    </row>
    <row r="6974" spans="24:30" x14ac:dyDescent="0.25">
      <c r="X6974" s="8" t="e">
        <f>IF(Final_Sans_VGE[[#This Row],[ppn_z]]="","",IFERROR(
   IF(_xlfn.XLOOKUP(Final_Sans_VGE[[#This Row],[ppn_z]],tbl_Historique_Final[ppn_z],tbl_Historique_Final[date_modif])=Final_Sans_VGE[[#This Row],[date_modif]],
      "Ancien",
      "Modifié"),
   "Nouveau"))</f>
        <v>#VALUE!</v>
      </c>
      <c r="AD6974" s="1" t="str">
        <f>IFERROR(IF(Final_Sans_VGE[[#This Row],[ppn_z]]="","",IFERROR(
   IF(_xlfn.XLOOKUP(Final_Sans_VGE[[#This Row],[ppn_z]],tbl_Historique_Final[[#This Row],[ppn_z]],tbl_Historique_Final[[#This Row],[date_modif]])=Final_Sans_VGE[[#This Row],[date_modif]],
      "Ancien",
      "Modifié"),
   "Nouveau")),"")</f>
        <v/>
      </c>
    </row>
    <row r="6975" spans="24:30" x14ac:dyDescent="0.25">
      <c r="X6975" s="8" t="e">
        <f>IF(Final_Sans_VGE[[#This Row],[ppn_z]]="","",IFERROR(
   IF(_xlfn.XLOOKUP(Final_Sans_VGE[[#This Row],[ppn_z]],tbl_Historique_Final[ppn_z],tbl_Historique_Final[date_modif])=Final_Sans_VGE[[#This Row],[date_modif]],
      "Ancien",
      "Modifié"),
   "Nouveau"))</f>
        <v>#VALUE!</v>
      </c>
      <c r="AD6975" s="1" t="str">
        <f>IFERROR(IF(Final_Sans_VGE[[#This Row],[ppn_z]]="","",IFERROR(
   IF(_xlfn.XLOOKUP(Final_Sans_VGE[[#This Row],[ppn_z]],tbl_Historique_Final[[#This Row],[ppn_z]],tbl_Historique_Final[[#This Row],[date_modif]])=Final_Sans_VGE[[#This Row],[date_modif]],
      "Ancien",
      "Modifié"),
   "Nouveau")),"")</f>
        <v/>
      </c>
    </row>
    <row r="6976" spans="24:30" x14ac:dyDescent="0.25">
      <c r="X6976" s="8" t="e">
        <f>IF(Final_Sans_VGE[[#This Row],[ppn_z]]="","",IFERROR(
   IF(_xlfn.XLOOKUP(Final_Sans_VGE[[#This Row],[ppn_z]],tbl_Historique_Final[ppn_z],tbl_Historique_Final[date_modif])=Final_Sans_VGE[[#This Row],[date_modif]],
      "Ancien",
      "Modifié"),
   "Nouveau"))</f>
        <v>#VALUE!</v>
      </c>
      <c r="AD6976" s="1" t="str">
        <f>IFERROR(IF(Final_Sans_VGE[[#This Row],[ppn_z]]="","",IFERROR(
   IF(_xlfn.XLOOKUP(Final_Sans_VGE[[#This Row],[ppn_z]],tbl_Historique_Final[[#This Row],[ppn_z]],tbl_Historique_Final[[#This Row],[date_modif]])=Final_Sans_VGE[[#This Row],[date_modif]],
      "Ancien",
      "Modifié"),
   "Nouveau")),"")</f>
        <v/>
      </c>
    </row>
    <row r="6977" spans="24:30" x14ac:dyDescent="0.25">
      <c r="X6977" s="8" t="e">
        <f>IF(Final_Sans_VGE[[#This Row],[ppn_z]]="","",IFERROR(
   IF(_xlfn.XLOOKUP(Final_Sans_VGE[[#This Row],[ppn_z]],tbl_Historique_Final[ppn_z],tbl_Historique_Final[date_modif])=Final_Sans_VGE[[#This Row],[date_modif]],
      "Ancien",
      "Modifié"),
   "Nouveau"))</f>
        <v>#VALUE!</v>
      </c>
      <c r="AD6977" s="1" t="str">
        <f>IFERROR(IF(Final_Sans_VGE[[#This Row],[ppn_z]]="","",IFERROR(
   IF(_xlfn.XLOOKUP(Final_Sans_VGE[[#This Row],[ppn_z]],tbl_Historique_Final[[#This Row],[ppn_z]],tbl_Historique_Final[[#This Row],[date_modif]])=Final_Sans_VGE[[#This Row],[date_modif]],
      "Ancien",
      "Modifié"),
   "Nouveau")),"")</f>
        <v/>
      </c>
    </row>
    <row r="6978" spans="24:30" x14ac:dyDescent="0.25">
      <c r="X6978" s="8" t="e">
        <f>IF(Final_Sans_VGE[[#This Row],[ppn_z]]="","",IFERROR(
   IF(_xlfn.XLOOKUP(Final_Sans_VGE[[#This Row],[ppn_z]],tbl_Historique_Final[ppn_z],tbl_Historique_Final[date_modif])=Final_Sans_VGE[[#This Row],[date_modif]],
      "Ancien",
      "Modifié"),
   "Nouveau"))</f>
        <v>#VALUE!</v>
      </c>
      <c r="AD6978" s="1" t="str">
        <f>IFERROR(IF(Final_Sans_VGE[[#This Row],[ppn_z]]="","",IFERROR(
   IF(_xlfn.XLOOKUP(Final_Sans_VGE[[#This Row],[ppn_z]],tbl_Historique_Final[[#This Row],[ppn_z]],tbl_Historique_Final[[#This Row],[date_modif]])=Final_Sans_VGE[[#This Row],[date_modif]],
      "Ancien",
      "Modifié"),
   "Nouveau")),"")</f>
        <v/>
      </c>
    </row>
    <row r="6979" spans="24:30" x14ac:dyDescent="0.25">
      <c r="X6979" s="8" t="e">
        <f>IF(Final_Sans_VGE[[#This Row],[ppn_z]]="","",IFERROR(
   IF(_xlfn.XLOOKUP(Final_Sans_VGE[[#This Row],[ppn_z]],tbl_Historique_Final[ppn_z],tbl_Historique_Final[date_modif])=Final_Sans_VGE[[#This Row],[date_modif]],
      "Ancien",
      "Modifié"),
   "Nouveau"))</f>
        <v>#VALUE!</v>
      </c>
      <c r="AD6979" s="1" t="str">
        <f>IFERROR(IF(Final_Sans_VGE[[#This Row],[ppn_z]]="","",IFERROR(
   IF(_xlfn.XLOOKUP(Final_Sans_VGE[[#This Row],[ppn_z]],tbl_Historique_Final[[#This Row],[ppn_z]],tbl_Historique_Final[[#This Row],[date_modif]])=Final_Sans_VGE[[#This Row],[date_modif]],
      "Ancien",
      "Modifié"),
   "Nouveau")),"")</f>
        <v/>
      </c>
    </row>
    <row r="6980" spans="24:30" x14ac:dyDescent="0.25">
      <c r="X6980" s="8" t="e">
        <f>IF(Final_Sans_VGE[[#This Row],[ppn_z]]="","",IFERROR(
   IF(_xlfn.XLOOKUP(Final_Sans_VGE[[#This Row],[ppn_z]],tbl_Historique_Final[ppn_z],tbl_Historique_Final[date_modif])=Final_Sans_VGE[[#This Row],[date_modif]],
      "Ancien",
      "Modifié"),
   "Nouveau"))</f>
        <v>#VALUE!</v>
      </c>
      <c r="AD6980" s="1" t="str">
        <f>IFERROR(IF(Final_Sans_VGE[[#This Row],[ppn_z]]="","",IFERROR(
   IF(_xlfn.XLOOKUP(Final_Sans_VGE[[#This Row],[ppn_z]],tbl_Historique_Final[[#This Row],[ppn_z]],tbl_Historique_Final[[#This Row],[date_modif]])=Final_Sans_VGE[[#This Row],[date_modif]],
      "Ancien",
      "Modifié"),
   "Nouveau")),"")</f>
        <v/>
      </c>
    </row>
    <row r="6981" spans="24:30" x14ac:dyDescent="0.25">
      <c r="X6981" s="8" t="e">
        <f>IF(Final_Sans_VGE[[#This Row],[ppn_z]]="","",IFERROR(
   IF(_xlfn.XLOOKUP(Final_Sans_VGE[[#This Row],[ppn_z]],tbl_Historique_Final[ppn_z],tbl_Historique_Final[date_modif])=Final_Sans_VGE[[#This Row],[date_modif]],
      "Ancien",
      "Modifié"),
   "Nouveau"))</f>
        <v>#VALUE!</v>
      </c>
      <c r="AD6981" s="1" t="str">
        <f>IFERROR(IF(Final_Sans_VGE[[#This Row],[ppn_z]]="","",IFERROR(
   IF(_xlfn.XLOOKUP(Final_Sans_VGE[[#This Row],[ppn_z]],tbl_Historique_Final[[#This Row],[ppn_z]],tbl_Historique_Final[[#This Row],[date_modif]])=Final_Sans_VGE[[#This Row],[date_modif]],
      "Ancien",
      "Modifié"),
   "Nouveau")),"")</f>
        <v/>
      </c>
    </row>
    <row r="6982" spans="24:30" x14ac:dyDescent="0.25">
      <c r="X6982" s="8" t="e">
        <f>IF(Final_Sans_VGE[[#This Row],[ppn_z]]="","",IFERROR(
   IF(_xlfn.XLOOKUP(Final_Sans_VGE[[#This Row],[ppn_z]],tbl_Historique_Final[ppn_z],tbl_Historique_Final[date_modif])=Final_Sans_VGE[[#This Row],[date_modif]],
      "Ancien",
      "Modifié"),
   "Nouveau"))</f>
        <v>#VALUE!</v>
      </c>
      <c r="AD6982" s="1" t="str">
        <f>IFERROR(IF(Final_Sans_VGE[[#This Row],[ppn_z]]="","",IFERROR(
   IF(_xlfn.XLOOKUP(Final_Sans_VGE[[#This Row],[ppn_z]],tbl_Historique_Final[[#This Row],[ppn_z]],tbl_Historique_Final[[#This Row],[date_modif]])=Final_Sans_VGE[[#This Row],[date_modif]],
      "Ancien",
      "Modifié"),
   "Nouveau")),"")</f>
        <v/>
      </c>
    </row>
    <row r="6983" spans="24:30" x14ac:dyDescent="0.25">
      <c r="X6983" s="8" t="e">
        <f>IF(Final_Sans_VGE[[#This Row],[ppn_z]]="","",IFERROR(
   IF(_xlfn.XLOOKUP(Final_Sans_VGE[[#This Row],[ppn_z]],tbl_Historique_Final[ppn_z],tbl_Historique_Final[date_modif])=Final_Sans_VGE[[#This Row],[date_modif]],
      "Ancien",
      "Modifié"),
   "Nouveau"))</f>
        <v>#VALUE!</v>
      </c>
      <c r="AD6983" s="1" t="str">
        <f>IFERROR(IF(Final_Sans_VGE[[#This Row],[ppn_z]]="","",IFERROR(
   IF(_xlfn.XLOOKUP(Final_Sans_VGE[[#This Row],[ppn_z]],tbl_Historique_Final[[#This Row],[ppn_z]],tbl_Historique_Final[[#This Row],[date_modif]])=Final_Sans_VGE[[#This Row],[date_modif]],
      "Ancien",
      "Modifié"),
   "Nouveau")),"")</f>
        <v/>
      </c>
    </row>
    <row r="6984" spans="24:30" x14ac:dyDescent="0.25">
      <c r="X6984" s="8" t="e">
        <f>IF(Final_Sans_VGE[[#This Row],[ppn_z]]="","",IFERROR(
   IF(_xlfn.XLOOKUP(Final_Sans_VGE[[#This Row],[ppn_z]],tbl_Historique_Final[ppn_z],tbl_Historique_Final[date_modif])=Final_Sans_VGE[[#This Row],[date_modif]],
      "Ancien",
      "Modifié"),
   "Nouveau"))</f>
        <v>#VALUE!</v>
      </c>
      <c r="AD6984" s="1" t="str">
        <f>IFERROR(IF(Final_Sans_VGE[[#This Row],[ppn_z]]="","",IFERROR(
   IF(_xlfn.XLOOKUP(Final_Sans_VGE[[#This Row],[ppn_z]],tbl_Historique_Final[[#This Row],[ppn_z]],tbl_Historique_Final[[#This Row],[date_modif]])=Final_Sans_VGE[[#This Row],[date_modif]],
      "Ancien",
      "Modifié"),
   "Nouveau")),"")</f>
        <v/>
      </c>
    </row>
    <row r="6985" spans="24:30" x14ac:dyDescent="0.25">
      <c r="X6985" s="8" t="e">
        <f>IF(Final_Sans_VGE[[#This Row],[ppn_z]]="","",IFERROR(
   IF(_xlfn.XLOOKUP(Final_Sans_VGE[[#This Row],[ppn_z]],tbl_Historique_Final[ppn_z],tbl_Historique_Final[date_modif])=Final_Sans_VGE[[#This Row],[date_modif]],
      "Ancien",
      "Modifié"),
   "Nouveau"))</f>
        <v>#VALUE!</v>
      </c>
      <c r="AD6985" s="1" t="str">
        <f>IFERROR(IF(Final_Sans_VGE[[#This Row],[ppn_z]]="","",IFERROR(
   IF(_xlfn.XLOOKUP(Final_Sans_VGE[[#This Row],[ppn_z]],tbl_Historique_Final[[#This Row],[ppn_z]],tbl_Historique_Final[[#This Row],[date_modif]])=Final_Sans_VGE[[#This Row],[date_modif]],
      "Ancien",
      "Modifié"),
   "Nouveau")),"")</f>
        <v/>
      </c>
    </row>
    <row r="6986" spans="24:30" x14ac:dyDescent="0.25">
      <c r="X6986" s="8" t="e">
        <f>IF(Final_Sans_VGE[[#This Row],[ppn_z]]="","",IFERROR(
   IF(_xlfn.XLOOKUP(Final_Sans_VGE[[#This Row],[ppn_z]],tbl_Historique_Final[ppn_z],tbl_Historique_Final[date_modif])=Final_Sans_VGE[[#This Row],[date_modif]],
      "Ancien",
      "Modifié"),
   "Nouveau"))</f>
        <v>#VALUE!</v>
      </c>
      <c r="AD6986" s="1" t="str">
        <f>IFERROR(IF(Final_Sans_VGE[[#This Row],[ppn_z]]="","",IFERROR(
   IF(_xlfn.XLOOKUP(Final_Sans_VGE[[#This Row],[ppn_z]],tbl_Historique_Final[[#This Row],[ppn_z]],tbl_Historique_Final[[#This Row],[date_modif]])=Final_Sans_VGE[[#This Row],[date_modif]],
      "Ancien",
      "Modifié"),
   "Nouveau")),"")</f>
        <v/>
      </c>
    </row>
    <row r="6987" spans="24:30" x14ac:dyDescent="0.25">
      <c r="X6987" s="8" t="e">
        <f>IF(Final_Sans_VGE[[#This Row],[ppn_z]]="","",IFERROR(
   IF(_xlfn.XLOOKUP(Final_Sans_VGE[[#This Row],[ppn_z]],tbl_Historique_Final[ppn_z],tbl_Historique_Final[date_modif])=Final_Sans_VGE[[#This Row],[date_modif]],
      "Ancien",
      "Modifié"),
   "Nouveau"))</f>
        <v>#VALUE!</v>
      </c>
      <c r="AD6987" s="1" t="str">
        <f>IFERROR(IF(Final_Sans_VGE[[#This Row],[ppn_z]]="","",IFERROR(
   IF(_xlfn.XLOOKUP(Final_Sans_VGE[[#This Row],[ppn_z]],tbl_Historique_Final[[#This Row],[ppn_z]],tbl_Historique_Final[[#This Row],[date_modif]])=Final_Sans_VGE[[#This Row],[date_modif]],
      "Ancien",
      "Modifié"),
   "Nouveau")),"")</f>
        <v/>
      </c>
    </row>
    <row r="6988" spans="24:30" x14ac:dyDescent="0.25">
      <c r="X6988" s="8" t="e">
        <f>IF(Final_Sans_VGE[[#This Row],[ppn_z]]="","",IFERROR(
   IF(_xlfn.XLOOKUP(Final_Sans_VGE[[#This Row],[ppn_z]],tbl_Historique_Final[ppn_z],tbl_Historique_Final[date_modif])=Final_Sans_VGE[[#This Row],[date_modif]],
      "Ancien",
      "Modifié"),
   "Nouveau"))</f>
        <v>#VALUE!</v>
      </c>
      <c r="AD6988" s="1" t="str">
        <f>IFERROR(IF(Final_Sans_VGE[[#This Row],[ppn_z]]="","",IFERROR(
   IF(_xlfn.XLOOKUP(Final_Sans_VGE[[#This Row],[ppn_z]],tbl_Historique_Final[[#This Row],[ppn_z]],tbl_Historique_Final[[#This Row],[date_modif]])=Final_Sans_VGE[[#This Row],[date_modif]],
      "Ancien",
      "Modifié"),
   "Nouveau")),"")</f>
        <v/>
      </c>
    </row>
    <row r="6989" spans="24:30" x14ac:dyDescent="0.25">
      <c r="X6989" s="8" t="e">
        <f>IF(Final_Sans_VGE[[#This Row],[ppn_z]]="","",IFERROR(
   IF(_xlfn.XLOOKUP(Final_Sans_VGE[[#This Row],[ppn_z]],tbl_Historique_Final[ppn_z],tbl_Historique_Final[date_modif])=Final_Sans_VGE[[#This Row],[date_modif]],
      "Ancien",
      "Modifié"),
   "Nouveau"))</f>
        <v>#VALUE!</v>
      </c>
      <c r="AD6989" s="1" t="str">
        <f>IFERROR(IF(Final_Sans_VGE[[#This Row],[ppn_z]]="","",IFERROR(
   IF(_xlfn.XLOOKUP(Final_Sans_VGE[[#This Row],[ppn_z]],tbl_Historique_Final[[#This Row],[ppn_z]],tbl_Historique_Final[[#This Row],[date_modif]])=Final_Sans_VGE[[#This Row],[date_modif]],
      "Ancien",
      "Modifié"),
   "Nouveau")),"")</f>
        <v/>
      </c>
    </row>
    <row r="6990" spans="24:30" x14ac:dyDescent="0.25">
      <c r="X6990" s="8" t="e">
        <f>IF(Final_Sans_VGE[[#This Row],[ppn_z]]="","",IFERROR(
   IF(_xlfn.XLOOKUP(Final_Sans_VGE[[#This Row],[ppn_z]],tbl_Historique_Final[ppn_z],tbl_Historique_Final[date_modif])=Final_Sans_VGE[[#This Row],[date_modif]],
      "Ancien",
      "Modifié"),
   "Nouveau"))</f>
        <v>#VALUE!</v>
      </c>
      <c r="AD6990" s="1" t="str">
        <f>IFERROR(IF(Final_Sans_VGE[[#This Row],[ppn_z]]="","",IFERROR(
   IF(_xlfn.XLOOKUP(Final_Sans_VGE[[#This Row],[ppn_z]],tbl_Historique_Final[[#This Row],[ppn_z]],tbl_Historique_Final[[#This Row],[date_modif]])=Final_Sans_VGE[[#This Row],[date_modif]],
      "Ancien",
      "Modifié"),
   "Nouveau")),"")</f>
        <v/>
      </c>
    </row>
    <row r="6991" spans="24:30" x14ac:dyDescent="0.25">
      <c r="X6991" s="8" t="e">
        <f>IF(Final_Sans_VGE[[#This Row],[ppn_z]]="","",IFERROR(
   IF(_xlfn.XLOOKUP(Final_Sans_VGE[[#This Row],[ppn_z]],tbl_Historique_Final[ppn_z],tbl_Historique_Final[date_modif])=Final_Sans_VGE[[#This Row],[date_modif]],
      "Ancien",
      "Modifié"),
   "Nouveau"))</f>
        <v>#VALUE!</v>
      </c>
      <c r="AD6991" s="1" t="str">
        <f>IFERROR(IF(Final_Sans_VGE[[#This Row],[ppn_z]]="","",IFERROR(
   IF(_xlfn.XLOOKUP(Final_Sans_VGE[[#This Row],[ppn_z]],tbl_Historique_Final[[#This Row],[ppn_z]],tbl_Historique_Final[[#This Row],[date_modif]])=Final_Sans_VGE[[#This Row],[date_modif]],
      "Ancien",
      "Modifié"),
   "Nouveau")),"")</f>
        <v/>
      </c>
    </row>
    <row r="6992" spans="24:30" x14ac:dyDescent="0.25">
      <c r="X6992" s="8" t="e">
        <f>IF(Final_Sans_VGE[[#This Row],[ppn_z]]="","",IFERROR(
   IF(_xlfn.XLOOKUP(Final_Sans_VGE[[#This Row],[ppn_z]],tbl_Historique_Final[ppn_z],tbl_Historique_Final[date_modif])=Final_Sans_VGE[[#This Row],[date_modif]],
      "Ancien",
      "Modifié"),
   "Nouveau"))</f>
        <v>#VALUE!</v>
      </c>
      <c r="AD6992" s="1" t="str">
        <f>IFERROR(IF(Final_Sans_VGE[[#This Row],[ppn_z]]="","",IFERROR(
   IF(_xlfn.XLOOKUP(Final_Sans_VGE[[#This Row],[ppn_z]],tbl_Historique_Final[[#This Row],[ppn_z]],tbl_Historique_Final[[#This Row],[date_modif]])=Final_Sans_VGE[[#This Row],[date_modif]],
      "Ancien",
      "Modifié"),
   "Nouveau")),"")</f>
        <v/>
      </c>
    </row>
    <row r="6993" spans="24:30" x14ac:dyDescent="0.25">
      <c r="X6993" s="8" t="e">
        <f>IF(Final_Sans_VGE[[#This Row],[ppn_z]]="","",IFERROR(
   IF(_xlfn.XLOOKUP(Final_Sans_VGE[[#This Row],[ppn_z]],tbl_Historique_Final[ppn_z],tbl_Historique_Final[date_modif])=Final_Sans_VGE[[#This Row],[date_modif]],
      "Ancien",
      "Modifié"),
   "Nouveau"))</f>
        <v>#VALUE!</v>
      </c>
      <c r="AD6993" s="1" t="str">
        <f>IFERROR(IF(Final_Sans_VGE[[#This Row],[ppn_z]]="","",IFERROR(
   IF(_xlfn.XLOOKUP(Final_Sans_VGE[[#This Row],[ppn_z]],tbl_Historique_Final[[#This Row],[ppn_z]],tbl_Historique_Final[[#This Row],[date_modif]])=Final_Sans_VGE[[#This Row],[date_modif]],
      "Ancien",
      "Modifié"),
   "Nouveau")),"")</f>
        <v/>
      </c>
    </row>
    <row r="6994" spans="24:30" x14ac:dyDescent="0.25">
      <c r="X6994" s="8" t="e">
        <f>IF(Final_Sans_VGE[[#This Row],[ppn_z]]="","",IFERROR(
   IF(_xlfn.XLOOKUP(Final_Sans_VGE[[#This Row],[ppn_z]],tbl_Historique_Final[ppn_z],tbl_Historique_Final[date_modif])=Final_Sans_VGE[[#This Row],[date_modif]],
      "Ancien",
      "Modifié"),
   "Nouveau"))</f>
        <v>#VALUE!</v>
      </c>
      <c r="AD6994" s="1" t="str">
        <f>IFERROR(IF(Final_Sans_VGE[[#This Row],[ppn_z]]="","",IFERROR(
   IF(_xlfn.XLOOKUP(Final_Sans_VGE[[#This Row],[ppn_z]],tbl_Historique_Final[[#This Row],[ppn_z]],tbl_Historique_Final[[#This Row],[date_modif]])=Final_Sans_VGE[[#This Row],[date_modif]],
      "Ancien",
      "Modifié"),
   "Nouveau")),"")</f>
        <v/>
      </c>
    </row>
    <row r="6995" spans="24:30" x14ac:dyDescent="0.25">
      <c r="X6995" s="8" t="e">
        <f>IF(Final_Sans_VGE[[#This Row],[ppn_z]]="","",IFERROR(
   IF(_xlfn.XLOOKUP(Final_Sans_VGE[[#This Row],[ppn_z]],tbl_Historique_Final[ppn_z],tbl_Historique_Final[date_modif])=Final_Sans_VGE[[#This Row],[date_modif]],
      "Ancien",
      "Modifié"),
   "Nouveau"))</f>
        <v>#VALUE!</v>
      </c>
      <c r="AD6995" s="1" t="str">
        <f>IFERROR(IF(Final_Sans_VGE[[#This Row],[ppn_z]]="","",IFERROR(
   IF(_xlfn.XLOOKUP(Final_Sans_VGE[[#This Row],[ppn_z]],tbl_Historique_Final[[#This Row],[ppn_z]],tbl_Historique_Final[[#This Row],[date_modif]])=Final_Sans_VGE[[#This Row],[date_modif]],
      "Ancien",
      "Modifié"),
   "Nouveau")),"")</f>
        <v/>
      </c>
    </row>
    <row r="6996" spans="24:30" x14ac:dyDescent="0.25">
      <c r="X6996" s="8" t="e">
        <f>IF(Final_Sans_VGE[[#This Row],[ppn_z]]="","",IFERROR(
   IF(_xlfn.XLOOKUP(Final_Sans_VGE[[#This Row],[ppn_z]],tbl_Historique_Final[ppn_z],tbl_Historique_Final[date_modif])=Final_Sans_VGE[[#This Row],[date_modif]],
      "Ancien",
      "Modifié"),
   "Nouveau"))</f>
        <v>#VALUE!</v>
      </c>
      <c r="AD6996" s="1" t="str">
        <f>IFERROR(IF(Final_Sans_VGE[[#This Row],[ppn_z]]="","",IFERROR(
   IF(_xlfn.XLOOKUP(Final_Sans_VGE[[#This Row],[ppn_z]],tbl_Historique_Final[[#This Row],[ppn_z]],tbl_Historique_Final[[#This Row],[date_modif]])=Final_Sans_VGE[[#This Row],[date_modif]],
      "Ancien",
      "Modifié"),
   "Nouveau")),"")</f>
        <v/>
      </c>
    </row>
    <row r="6997" spans="24:30" x14ac:dyDescent="0.25">
      <c r="X6997" s="8" t="e">
        <f>IF(Final_Sans_VGE[[#This Row],[ppn_z]]="","",IFERROR(
   IF(_xlfn.XLOOKUP(Final_Sans_VGE[[#This Row],[ppn_z]],tbl_Historique_Final[ppn_z],tbl_Historique_Final[date_modif])=Final_Sans_VGE[[#This Row],[date_modif]],
      "Ancien",
      "Modifié"),
   "Nouveau"))</f>
        <v>#VALUE!</v>
      </c>
      <c r="AD6997" s="1" t="str">
        <f>IFERROR(IF(Final_Sans_VGE[[#This Row],[ppn_z]]="","",IFERROR(
   IF(_xlfn.XLOOKUP(Final_Sans_VGE[[#This Row],[ppn_z]],tbl_Historique_Final[[#This Row],[ppn_z]],tbl_Historique_Final[[#This Row],[date_modif]])=Final_Sans_VGE[[#This Row],[date_modif]],
      "Ancien",
      "Modifié"),
   "Nouveau")),"")</f>
        <v/>
      </c>
    </row>
    <row r="6998" spans="24:30" x14ac:dyDescent="0.25">
      <c r="X6998" s="8" t="e">
        <f>IF(Final_Sans_VGE[[#This Row],[ppn_z]]="","",IFERROR(
   IF(_xlfn.XLOOKUP(Final_Sans_VGE[[#This Row],[ppn_z]],tbl_Historique_Final[ppn_z],tbl_Historique_Final[date_modif])=Final_Sans_VGE[[#This Row],[date_modif]],
      "Ancien",
      "Modifié"),
   "Nouveau"))</f>
        <v>#VALUE!</v>
      </c>
      <c r="AD6998" s="1" t="str">
        <f>IFERROR(IF(Final_Sans_VGE[[#This Row],[ppn_z]]="","",IFERROR(
   IF(_xlfn.XLOOKUP(Final_Sans_VGE[[#This Row],[ppn_z]],tbl_Historique_Final[[#This Row],[ppn_z]],tbl_Historique_Final[[#This Row],[date_modif]])=Final_Sans_VGE[[#This Row],[date_modif]],
      "Ancien",
      "Modifié"),
   "Nouveau")),"")</f>
        <v/>
      </c>
    </row>
    <row r="6999" spans="24:30" x14ac:dyDescent="0.25">
      <c r="X6999" s="8" t="e">
        <f>IF(Final_Sans_VGE[[#This Row],[ppn_z]]="","",IFERROR(
   IF(_xlfn.XLOOKUP(Final_Sans_VGE[[#This Row],[ppn_z]],tbl_Historique_Final[ppn_z],tbl_Historique_Final[date_modif])=Final_Sans_VGE[[#This Row],[date_modif]],
      "Ancien",
      "Modifié"),
   "Nouveau"))</f>
        <v>#VALUE!</v>
      </c>
      <c r="AD6999" s="1" t="str">
        <f>IFERROR(IF(Final_Sans_VGE[[#This Row],[ppn_z]]="","",IFERROR(
   IF(_xlfn.XLOOKUP(Final_Sans_VGE[[#This Row],[ppn_z]],tbl_Historique_Final[[#This Row],[ppn_z]],tbl_Historique_Final[[#This Row],[date_modif]])=Final_Sans_VGE[[#This Row],[date_modif]],
      "Ancien",
      "Modifié"),
   "Nouveau")),"")</f>
        <v/>
      </c>
    </row>
    <row r="7000" spans="24:30" x14ac:dyDescent="0.25">
      <c r="X7000" s="8" t="e">
        <f>IF(Final_Sans_VGE[[#This Row],[ppn_z]]="","",IFERROR(
   IF(_xlfn.XLOOKUP(Final_Sans_VGE[[#This Row],[ppn_z]],tbl_Historique_Final[ppn_z],tbl_Historique_Final[date_modif])=Final_Sans_VGE[[#This Row],[date_modif]],
      "Ancien",
      "Modifié"),
   "Nouveau"))</f>
        <v>#VALUE!</v>
      </c>
      <c r="AD7000" s="1" t="str">
        <f>IFERROR(IF(Final_Sans_VGE[[#This Row],[ppn_z]]="","",IFERROR(
   IF(_xlfn.XLOOKUP(Final_Sans_VGE[[#This Row],[ppn_z]],tbl_Historique_Final[[#This Row],[ppn_z]],tbl_Historique_Final[[#This Row],[date_modif]])=Final_Sans_VGE[[#This Row],[date_modif]],
      "Ancien",
      "Modifié"),
   "Nouveau")),"")</f>
        <v/>
      </c>
    </row>
    <row r="7001" spans="24:30" x14ac:dyDescent="0.25">
      <c r="X7001" s="8" t="e">
        <f>IF(Final_Sans_VGE[[#This Row],[ppn_z]]="","",IFERROR(
   IF(_xlfn.XLOOKUP(Final_Sans_VGE[[#This Row],[ppn_z]],tbl_Historique_Final[ppn_z],tbl_Historique_Final[date_modif])=Final_Sans_VGE[[#This Row],[date_modif]],
      "Ancien",
      "Modifié"),
   "Nouveau"))</f>
        <v>#VALUE!</v>
      </c>
      <c r="AD7001" s="1" t="str">
        <f>IFERROR(IF(Final_Sans_VGE[[#This Row],[ppn_z]]="","",IFERROR(
   IF(_xlfn.XLOOKUP(Final_Sans_VGE[[#This Row],[ppn_z]],tbl_Historique_Final[[#This Row],[ppn_z]],tbl_Historique_Final[[#This Row],[date_modif]])=Final_Sans_VGE[[#This Row],[date_modif]],
      "Ancien",
      "Modifié"),
   "Nouveau")),"")</f>
        <v/>
      </c>
    </row>
    <row r="7002" spans="24:30" x14ac:dyDescent="0.25">
      <c r="X7002" s="8" t="e">
        <f>IF(Final_Sans_VGE[[#This Row],[ppn_z]]="","",IFERROR(
   IF(_xlfn.XLOOKUP(Final_Sans_VGE[[#This Row],[ppn_z]],tbl_Historique_Final[ppn_z],tbl_Historique_Final[date_modif])=Final_Sans_VGE[[#This Row],[date_modif]],
      "Ancien",
      "Modifié"),
   "Nouveau"))</f>
        <v>#VALUE!</v>
      </c>
      <c r="AD7002" s="1" t="str">
        <f>IFERROR(IF(Final_Sans_VGE[[#This Row],[ppn_z]]="","",IFERROR(
   IF(_xlfn.XLOOKUP(Final_Sans_VGE[[#This Row],[ppn_z]],tbl_Historique_Final[[#This Row],[ppn_z]],tbl_Historique_Final[[#This Row],[date_modif]])=Final_Sans_VGE[[#This Row],[date_modif]],
      "Ancien",
      "Modifié"),
   "Nouveau")),"")</f>
        <v/>
      </c>
    </row>
    <row r="7003" spans="24:30" x14ac:dyDescent="0.25">
      <c r="X7003" s="8" t="e">
        <f>IF(Final_Sans_VGE[[#This Row],[ppn_z]]="","",IFERROR(
   IF(_xlfn.XLOOKUP(Final_Sans_VGE[[#This Row],[ppn_z]],tbl_Historique_Final[ppn_z],tbl_Historique_Final[date_modif])=Final_Sans_VGE[[#This Row],[date_modif]],
      "Ancien",
      "Modifié"),
   "Nouveau"))</f>
        <v>#VALUE!</v>
      </c>
      <c r="AD7003" s="1" t="str">
        <f>IFERROR(IF(Final_Sans_VGE[[#This Row],[ppn_z]]="","",IFERROR(
   IF(_xlfn.XLOOKUP(Final_Sans_VGE[[#This Row],[ppn_z]],tbl_Historique_Final[[#This Row],[ppn_z]],tbl_Historique_Final[[#This Row],[date_modif]])=Final_Sans_VGE[[#This Row],[date_modif]],
      "Ancien",
      "Modifié"),
   "Nouveau")),"")</f>
        <v/>
      </c>
    </row>
    <row r="7004" spans="24:30" x14ac:dyDescent="0.25">
      <c r="X7004" s="8" t="e">
        <f>IF(Final_Sans_VGE[[#This Row],[ppn_z]]="","",IFERROR(
   IF(_xlfn.XLOOKUP(Final_Sans_VGE[[#This Row],[ppn_z]],tbl_Historique_Final[ppn_z],tbl_Historique_Final[date_modif])=Final_Sans_VGE[[#This Row],[date_modif]],
      "Ancien",
      "Modifié"),
   "Nouveau"))</f>
        <v>#VALUE!</v>
      </c>
      <c r="AD7004" s="1" t="str">
        <f>IFERROR(IF(Final_Sans_VGE[[#This Row],[ppn_z]]="","",IFERROR(
   IF(_xlfn.XLOOKUP(Final_Sans_VGE[[#This Row],[ppn_z]],tbl_Historique_Final[[#This Row],[ppn_z]],tbl_Historique_Final[[#This Row],[date_modif]])=Final_Sans_VGE[[#This Row],[date_modif]],
      "Ancien",
      "Modifié"),
   "Nouveau")),"")</f>
        <v/>
      </c>
    </row>
    <row r="7005" spans="24:30" x14ac:dyDescent="0.25">
      <c r="X7005" s="8" t="e">
        <f>IF(Final_Sans_VGE[[#This Row],[ppn_z]]="","",IFERROR(
   IF(_xlfn.XLOOKUP(Final_Sans_VGE[[#This Row],[ppn_z]],tbl_Historique_Final[ppn_z],tbl_Historique_Final[date_modif])=Final_Sans_VGE[[#This Row],[date_modif]],
      "Ancien",
      "Modifié"),
   "Nouveau"))</f>
        <v>#VALUE!</v>
      </c>
      <c r="AD7005" s="1" t="str">
        <f>IFERROR(IF(Final_Sans_VGE[[#This Row],[ppn_z]]="","",IFERROR(
   IF(_xlfn.XLOOKUP(Final_Sans_VGE[[#This Row],[ppn_z]],tbl_Historique_Final[[#This Row],[ppn_z]],tbl_Historique_Final[[#This Row],[date_modif]])=Final_Sans_VGE[[#This Row],[date_modif]],
      "Ancien",
      "Modifié"),
   "Nouveau")),"")</f>
        <v/>
      </c>
    </row>
    <row r="7006" spans="24:30" x14ac:dyDescent="0.25">
      <c r="X7006" s="8" t="e">
        <f>IF(Final_Sans_VGE[[#This Row],[ppn_z]]="","",IFERROR(
   IF(_xlfn.XLOOKUP(Final_Sans_VGE[[#This Row],[ppn_z]],tbl_Historique_Final[ppn_z],tbl_Historique_Final[date_modif])=Final_Sans_VGE[[#This Row],[date_modif]],
      "Ancien",
      "Modifié"),
   "Nouveau"))</f>
        <v>#VALUE!</v>
      </c>
      <c r="AD7006" s="1" t="str">
        <f>IFERROR(IF(Final_Sans_VGE[[#This Row],[ppn_z]]="","",IFERROR(
   IF(_xlfn.XLOOKUP(Final_Sans_VGE[[#This Row],[ppn_z]],tbl_Historique_Final[[#This Row],[ppn_z]],tbl_Historique_Final[[#This Row],[date_modif]])=Final_Sans_VGE[[#This Row],[date_modif]],
      "Ancien",
      "Modifié"),
   "Nouveau")),"")</f>
        <v/>
      </c>
    </row>
    <row r="7007" spans="24:30" x14ac:dyDescent="0.25">
      <c r="X7007" s="8" t="e">
        <f>IF(Final_Sans_VGE[[#This Row],[ppn_z]]="","",IFERROR(
   IF(_xlfn.XLOOKUP(Final_Sans_VGE[[#This Row],[ppn_z]],tbl_Historique_Final[ppn_z],tbl_Historique_Final[date_modif])=Final_Sans_VGE[[#This Row],[date_modif]],
      "Ancien",
      "Modifié"),
   "Nouveau"))</f>
        <v>#VALUE!</v>
      </c>
      <c r="AD7007" s="1" t="str">
        <f>IFERROR(IF(Final_Sans_VGE[[#This Row],[ppn_z]]="","",IFERROR(
   IF(_xlfn.XLOOKUP(Final_Sans_VGE[[#This Row],[ppn_z]],tbl_Historique_Final[[#This Row],[ppn_z]],tbl_Historique_Final[[#This Row],[date_modif]])=Final_Sans_VGE[[#This Row],[date_modif]],
      "Ancien",
      "Modifié"),
   "Nouveau")),"")</f>
        <v/>
      </c>
    </row>
    <row r="7008" spans="24:30" x14ac:dyDescent="0.25">
      <c r="X7008" s="8" t="e">
        <f>IF(Final_Sans_VGE[[#This Row],[ppn_z]]="","",IFERROR(
   IF(_xlfn.XLOOKUP(Final_Sans_VGE[[#This Row],[ppn_z]],tbl_Historique_Final[ppn_z],tbl_Historique_Final[date_modif])=Final_Sans_VGE[[#This Row],[date_modif]],
      "Ancien",
      "Modifié"),
   "Nouveau"))</f>
        <v>#VALUE!</v>
      </c>
      <c r="AD7008" s="1" t="str">
        <f>IFERROR(IF(Final_Sans_VGE[[#This Row],[ppn_z]]="","",IFERROR(
   IF(_xlfn.XLOOKUP(Final_Sans_VGE[[#This Row],[ppn_z]],tbl_Historique_Final[[#This Row],[ppn_z]],tbl_Historique_Final[[#This Row],[date_modif]])=Final_Sans_VGE[[#This Row],[date_modif]],
      "Ancien",
      "Modifié"),
   "Nouveau")),"")</f>
        <v/>
      </c>
    </row>
    <row r="7009" spans="24:30" x14ac:dyDescent="0.25">
      <c r="X7009" s="8" t="e">
        <f>IF(Final_Sans_VGE[[#This Row],[ppn_z]]="","",IFERROR(
   IF(_xlfn.XLOOKUP(Final_Sans_VGE[[#This Row],[ppn_z]],tbl_Historique_Final[ppn_z],tbl_Historique_Final[date_modif])=Final_Sans_VGE[[#This Row],[date_modif]],
      "Ancien",
      "Modifié"),
   "Nouveau"))</f>
        <v>#VALUE!</v>
      </c>
      <c r="AD7009" s="1" t="str">
        <f>IFERROR(IF(Final_Sans_VGE[[#This Row],[ppn_z]]="","",IFERROR(
   IF(_xlfn.XLOOKUP(Final_Sans_VGE[[#This Row],[ppn_z]],tbl_Historique_Final[[#This Row],[ppn_z]],tbl_Historique_Final[[#This Row],[date_modif]])=Final_Sans_VGE[[#This Row],[date_modif]],
      "Ancien",
      "Modifié"),
   "Nouveau")),"")</f>
        <v/>
      </c>
    </row>
    <row r="7010" spans="24:30" x14ac:dyDescent="0.25">
      <c r="X7010" s="8" t="e">
        <f>IF(Final_Sans_VGE[[#This Row],[ppn_z]]="","",IFERROR(
   IF(_xlfn.XLOOKUP(Final_Sans_VGE[[#This Row],[ppn_z]],tbl_Historique_Final[ppn_z],tbl_Historique_Final[date_modif])=Final_Sans_VGE[[#This Row],[date_modif]],
      "Ancien",
      "Modifié"),
   "Nouveau"))</f>
        <v>#VALUE!</v>
      </c>
      <c r="AD7010" s="1" t="str">
        <f>IFERROR(IF(Final_Sans_VGE[[#This Row],[ppn_z]]="","",IFERROR(
   IF(_xlfn.XLOOKUP(Final_Sans_VGE[[#This Row],[ppn_z]],tbl_Historique_Final[[#This Row],[ppn_z]],tbl_Historique_Final[[#This Row],[date_modif]])=Final_Sans_VGE[[#This Row],[date_modif]],
      "Ancien",
      "Modifié"),
   "Nouveau")),"")</f>
        <v/>
      </c>
    </row>
    <row r="7011" spans="24:30" x14ac:dyDescent="0.25">
      <c r="X7011" s="8" t="e">
        <f>IF(Final_Sans_VGE[[#This Row],[ppn_z]]="","",IFERROR(
   IF(_xlfn.XLOOKUP(Final_Sans_VGE[[#This Row],[ppn_z]],tbl_Historique_Final[ppn_z],tbl_Historique_Final[date_modif])=Final_Sans_VGE[[#This Row],[date_modif]],
      "Ancien",
      "Modifié"),
   "Nouveau"))</f>
        <v>#VALUE!</v>
      </c>
      <c r="AD7011" s="1" t="str">
        <f>IFERROR(IF(Final_Sans_VGE[[#This Row],[ppn_z]]="","",IFERROR(
   IF(_xlfn.XLOOKUP(Final_Sans_VGE[[#This Row],[ppn_z]],tbl_Historique_Final[[#This Row],[ppn_z]],tbl_Historique_Final[[#This Row],[date_modif]])=Final_Sans_VGE[[#This Row],[date_modif]],
      "Ancien",
      "Modifié"),
   "Nouveau")),"")</f>
        <v/>
      </c>
    </row>
    <row r="7012" spans="24:30" x14ac:dyDescent="0.25">
      <c r="X7012" s="8" t="e">
        <f>IF(Final_Sans_VGE[[#This Row],[ppn_z]]="","",IFERROR(
   IF(_xlfn.XLOOKUP(Final_Sans_VGE[[#This Row],[ppn_z]],tbl_Historique_Final[ppn_z],tbl_Historique_Final[date_modif])=Final_Sans_VGE[[#This Row],[date_modif]],
      "Ancien",
      "Modifié"),
   "Nouveau"))</f>
        <v>#VALUE!</v>
      </c>
      <c r="AD7012" s="1" t="str">
        <f>IFERROR(IF(Final_Sans_VGE[[#This Row],[ppn_z]]="","",IFERROR(
   IF(_xlfn.XLOOKUP(Final_Sans_VGE[[#This Row],[ppn_z]],tbl_Historique_Final[[#This Row],[ppn_z]],tbl_Historique_Final[[#This Row],[date_modif]])=Final_Sans_VGE[[#This Row],[date_modif]],
      "Ancien",
      "Modifié"),
   "Nouveau")),"")</f>
        <v/>
      </c>
    </row>
    <row r="7013" spans="24:30" x14ac:dyDescent="0.25">
      <c r="X7013" s="8" t="e">
        <f>IF(Final_Sans_VGE[[#This Row],[ppn_z]]="","",IFERROR(
   IF(_xlfn.XLOOKUP(Final_Sans_VGE[[#This Row],[ppn_z]],tbl_Historique_Final[ppn_z],tbl_Historique_Final[date_modif])=Final_Sans_VGE[[#This Row],[date_modif]],
      "Ancien",
      "Modifié"),
   "Nouveau"))</f>
        <v>#VALUE!</v>
      </c>
      <c r="AD7013" s="1" t="str">
        <f>IFERROR(IF(Final_Sans_VGE[[#This Row],[ppn_z]]="","",IFERROR(
   IF(_xlfn.XLOOKUP(Final_Sans_VGE[[#This Row],[ppn_z]],tbl_Historique_Final[[#This Row],[ppn_z]],tbl_Historique_Final[[#This Row],[date_modif]])=Final_Sans_VGE[[#This Row],[date_modif]],
      "Ancien",
      "Modifié"),
   "Nouveau")),"")</f>
        <v/>
      </c>
    </row>
    <row r="7014" spans="24:30" x14ac:dyDescent="0.25">
      <c r="X7014" s="8" t="e">
        <f>IF(Final_Sans_VGE[[#This Row],[ppn_z]]="","",IFERROR(
   IF(_xlfn.XLOOKUP(Final_Sans_VGE[[#This Row],[ppn_z]],tbl_Historique_Final[ppn_z],tbl_Historique_Final[date_modif])=Final_Sans_VGE[[#This Row],[date_modif]],
      "Ancien",
      "Modifié"),
   "Nouveau"))</f>
        <v>#VALUE!</v>
      </c>
      <c r="AD7014" s="1" t="str">
        <f>IFERROR(IF(Final_Sans_VGE[[#This Row],[ppn_z]]="","",IFERROR(
   IF(_xlfn.XLOOKUP(Final_Sans_VGE[[#This Row],[ppn_z]],tbl_Historique_Final[[#This Row],[ppn_z]],tbl_Historique_Final[[#This Row],[date_modif]])=Final_Sans_VGE[[#This Row],[date_modif]],
      "Ancien",
      "Modifié"),
   "Nouveau")),"")</f>
        <v/>
      </c>
    </row>
    <row r="7015" spans="24:30" x14ac:dyDescent="0.25">
      <c r="X7015" s="8" t="e">
        <f>IF(Final_Sans_VGE[[#This Row],[ppn_z]]="","",IFERROR(
   IF(_xlfn.XLOOKUP(Final_Sans_VGE[[#This Row],[ppn_z]],tbl_Historique_Final[ppn_z],tbl_Historique_Final[date_modif])=Final_Sans_VGE[[#This Row],[date_modif]],
      "Ancien",
      "Modifié"),
   "Nouveau"))</f>
        <v>#VALUE!</v>
      </c>
      <c r="AD7015" s="1" t="str">
        <f>IFERROR(IF(Final_Sans_VGE[[#This Row],[ppn_z]]="","",IFERROR(
   IF(_xlfn.XLOOKUP(Final_Sans_VGE[[#This Row],[ppn_z]],tbl_Historique_Final[[#This Row],[ppn_z]],tbl_Historique_Final[[#This Row],[date_modif]])=Final_Sans_VGE[[#This Row],[date_modif]],
      "Ancien",
      "Modifié"),
   "Nouveau")),"")</f>
        <v/>
      </c>
    </row>
    <row r="7016" spans="24:30" x14ac:dyDescent="0.25">
      <c r="X7016" s="8" t="e">
        <f>IF(Final_Sans_VGE[[#This Row],[ppn_z]]="","",IFERROR(
   IF(_xlfn.XLOOKUP(Final_Sans_VGE[[#This Row],[ppn_z]],tbl_Historique_Final[ppn_z],tbl_Historique_Final[date_modif])=Final_Sans_VGE[[#This Row],[date_modif]],
      "Ancien",
      "Modifié"),
   "Nouveau"))</f>
        <v>#VALUE!</v>
      </c>
      <c r="AD7016" s="1" t="str">
        <f>IFERROR(IF(Final_Sans_VGE[[#This Row],[ppn_z]]="","",IFERROR(
   IF(_xlfn.XLOOKUP(Final_Sans_VGE[[#This Row],[ppn_z]],tbl_Historique_Final[[#This Row],[ppn_z]],tbl_Historique_Final[[#This Row],[date_modif]])=Final_Sans_VGE[[#This Row],[date_modif]],
      "Ancien",
      "Modifié"),
   "Nouveau")),"")</f>
        <v/>
      </c>
    </row>
    <row r="7017" spans="24:30" x14ac:dyDescent="0.25">
      <c r="X7017" s="8" t="e">
        <f>IF(Final_Sans_VGE[[#This Row],[ppn_z]]="","",IFERROR(
   IF(_xlfn.XLOOKUP(Final_Sans_VGE[[#This Row],[ppn_z]],tbl_Historique_Final[ppn_z],tbl_Historique_Final[date_modif])=Final_Sans_VGE[[#This Row],[date_modif]],
      "Ancien",
      "Modifié"),
   "Nouveau"))</f>
        <v>#VALUE!</v>
      </c>
      <c r="AD7017" s="1" t="str">
        <f>IFERROR(IF(Final_Sans_VGE[[#This Row],[ppn_z]]="","",IFERROR(
   IF(_xlfn.XLOOKUP(Final_Sans_VGE[[#This Row],[ppn_z]],tbl_Historique_Final[[#This Row],[ppn_z]],tbl_Historique_Final[[#This Row],[date_modif]])=Final_Sans_VGE[[#This Row],[date_modif]],
      "Ancien",
      "Modifié"),
   "Nouveau")),"")</f>
        <v/>
      </c>
    </row>
    <row r="7018" spans="24:30" x14ac:dyDescent="0.25">
      <c r="X7018" s="8" t="e">
        <f>IF(Final_Sans_VGE[[#This Row],[ppn_z]]="","",IFERROR(
   IF(_xlfn.XLOOKUP(Final_Sans_VGE[[#This Row],[ppn_z]],tbl_Historique_Final[ppn_z],tbl_Historique_Final[date_modif])=Final_Sans_VGE[[#This Row],[date_modif]],
      "Ancien",
      "Modifié"),
   "Nouveau"))</f>
        <v>#VALUE!</v>
      </c>
      <c r="AD7018" s="1" t="str">
        <f>IFERROR(IF(Final_Sans_VGE[[#This Row],[ppn_z]]="","",IFERROR(
   IF(_xlfn.XLOOKUP(Final_Sans_VGE[[#This Row],[ppn_z]],tbl_Historique_Final[[#This Row],[ppn_z]],tbl_Historique_Final[[#This Row],[date_modif]])=Final_Sans_VGE[[#This Row],[date_modif]],
      "Ancien",
      "Modifié"),
   "Nouveau")),"")</f>
        <v/>
      </c>
    </row>
    <row r="7019" spans="24:30" x14ac:dyDescent="0.25">
      <c r="X7019" s="8" t="e">
        <f>IF(Final_Sans_VGE[[#This Row],[ppn_z]]="","",IFERROR(
   IF(_xlfn.XLOOKUP(Final_Sans_VGE[[#This Row],[ppn_z]],tbl_Historique_Final[ppn_z],tbl_Historique_Final[date_modif])=Final_Sans_VGE[[#This Row],[date_modif]],
      "Ancien",
      "Modifié"),
   "Nouveau"))</f>
        <v>#VALUE!</v>
      </c>
      <c r="AD7019" s="1" t="str">
        <f>IFERROR(IF(Final_Sans_VGE[[#This Row],[ppn_z]]="","",IFERROR(
   IF(_xlfn.XLOOKUP(Final_Sans_VGE[[#This Row],[ppn_z]],tbl_Historique_Final[[#This Row],[ppn_z]],tbl_Historique_Final[[#This Row],[date_modif]])=Final_Sans_VGE[[#This Row],[date_modif]],
      "Ancien",
      "Modifié"),
   "Nouveau")),"")</f>
        <v/>
      </c>
    </row>
    <row r="7020" spans="24:30" x14ac:dyDescent="0.25">
      <c r="X7020" s="8" t="e">
        <f>IF(Final_Sans_VGE[[#This Row],[ppn_z]]="","",IFERROR(
   IF(_xlfn.XLOOKUP(Final_Sans_VGE[[#This Row],[ppn_z]],tbl_Historique_Final[ppn_z],tbl_Historique_Final[date_modif])=Final_Sans_VGE[[#This Row],[date_modif]],
      "Ancien",
      "Modifié"),
   "Nouveau"))</f>
        <v>#VALUE!</v>
      </c>
      <c r="AD7020" s="1" t="str">
        <f>IFERROR(IF(Final_Sans_VGE[[#This Row],[ppn_z]]="","",IFERROR(
   IF(_xlfn.XLOOKUP(Final_Sans_VGE[[#This Row],[ppn_z]],tbl_Historique_Final[[#This Row],[ppn_z]],tbl_Historique_Final[[#This Row],[date_modif]])=Final_Sans_VGE[[#This Row],[date_modif]],
      "Ancien",
      "Modifié"),
   "Nouveau")),"")</f>
        <v/>
      </c>
    </row>
    <row r="7021" spans="24:30" x14ac:dyDescent="0.25">
      <c r="X7021" s="8" t="e">
        <f>IF(Final_Sans_VGE[[#This Row],[ppn_z]]="","",IFERROR(
   IF(_xlfn.XLOOKUP(Final_Sans_VGE[[#This Row],[ppn_z]],tbl_Historique_Final[ppn_z],tbl_Historique_Final[date_modif])=Final_Sans_VGE[[#This Row],[date_modif]],
      "Ancien",
      "Modifié"),
   "Nouveau"))</f>
        <v>#VALUE!</v>
      </c>
      <c r="AD7021" s="1" t="str">
        <f>IFERROR(IF(Final_Sans_VGE[[#This Row],[ppn_z]]="","",IFERROR(
   IF(_xlfn.XLOOKUP(Final_Sans_VGE[[#This Row],[ppn_z]],tbl_Historique_Final[[#This Row],[ppn_z]],tbl_Historique_Final[[#This Row],[date_modif]])=Final_Sans_VGE[[#This Row],[date_modif]],
      "Ancien",
      "Modifié"),
   "Nouveau")),"")</f>
        <v/>
      </c>
    </row>
    <row r="7022" spans="24:30" x14ac:dyDescent="0.25">
      <c r="X7022" s="8" t="e">
        <f>IF(Final_Sans_VGE[[#This Row],[ppn_z]]="","",IFERROR(
   IF(_xlfn.XLOOKUP(Final_Sans_VGE[[#This Row],[ppn_z]],tbl_Historique_Final[ppn_z],tbl_Historique_Final[date_modif])=Final_Sans_VGE[[#This Row],[date_modif]],
      "Ancien",
      "Modifié"),
   "Nouveau"))</f>
        <v>#VALUE!</v>
      </c>
      <c r="AD7022" s="1" t="str">
        <f>IFERROR(IF(Final_Sans_VGE[[#This Row],[ppn_z]]="","",IFERROR(
   IF(_xlfn.XLOOKUP(Final_Sans_VGE[[#This Row],[ppn_z]],tbl_Historique_Final[[#This Row],[ppn_z]],tbl_Historique_Final[[#This Row],[date_modif]])=Final_Sans_VGE[[#This Row],[date_modif]],
      "Ancien",
      "Modifié"),
   "Nouveau")),"")</f>
        <v/>
      </c>
    </row>
    <row r="7023" spans="24:30" x14ac:dyDescent="0.25">
      <c r="X7023" s="8" t="e">
        <f>IF(Final_Sans_VGE[[#This Row],[ppn_z]]="","",IFERROR(
   IF(_xlfn.XLOOKUP(Final_Sans_VGE[[#This Row],[ppn_z]],tbl_Historique_Final[ppn_z],tbl_Historique_Final[date_modif])=Final_Sans_VGE[[#This Row],[date_modif]],
      "Ancien",
      "Modifié"),
   "Nouveau"))</f>
        <v>#VALUE!</v>
      </c>
      <c r="AD7023" s="1" t="str">
        <f>IFERROR(IF(Final_Sans_VGE[[#This Row],[ppn_z]]="","",IFERROR(
   IF(_xlfn.XLOOKUP(Final_Sans_VGE[[#This Row],[ppn_z]],tbl_Historique_Final[[#This Row],[ppn_z]],tbl_Historique_Final[[#This Row],[date_modif]])=Final_Sans_VGE[[#This Row],[date_modif]],
      "Ancien",
      "Modifié"),
   "Nouveau")),"")</f>
        <v/>
      </c>
    </row>
    <row r="7024" spans="24:30" x14ac:dyDescent="0.25">
      <c r="X7024" s="8" t="e">
        <f>IF(Final_Sans_VGE[[#This Row],[ppn_z]]="","",IFERROR(
   IF(_xlfn.XLOOKUP(Final_Sans_VGE[[#This Row],[ppn_z]],tbl_Historique_Final[ppn_z],tbl_Historique_Final[date_modif])=Final_Sans_VGE[[#This Row],[date_modif]],
      "Ancien",
      "Modifié"),
   "Nouveau"))</f>
        <v>#VALUE!</v>
      </c>
      <c r="AD7024" s="1" t="str">
        <f>IFERROR(IF(Final_Sans_VGE[[#This Row],[ppn_z]]="","",IFERROR(
   IF(_xlfn.XLOOKUP(Final_Sans_VGE[[#This Row],[ppn_z]],tbl_Historique_Final[[#This Row],[ppn_z]],tbl_Historique_Final[[#This Row],[date_modif]])=Final_Sans_VGE[[#This Row],[date_modif]],
      "Ancien",
      "Modifié"),
   "Nouveau")),"")</f>
        <v/>
      </c>
    </row>
    <row r="7025" spans="24:30" x14ac:dyDescent="0.25">
      <c r="X7025" s="8" t="e">
        <f>IF(Final_Sans_VGE[[#This Row],[ppn_z]]="","",IFERROR(
   IF(_xlfn.XLOOKUP(Final_Sans_VGE[[#This Row],[ppn_z]],tbl_Historique_Final[ppn_z],tbl_Historique_Final[date_modif])=Final_Sans_VGE[[#This Row],[date_modif]],
      "Ancien",
      "Modifié"),
   "Nouveau"))</f>
        <v>#VALUE!</v>
      </c>
      <c r="AD7025" s="1" t="str">
        <f>IFERROR(IF(Final_Sans_VGE[[#This Row],[ppn_z]]="","",IFERROR(
   IF(_xlfn.XLOOKUP(Final_Sans_VGE[[#This Row],[ppn_z]],tbl_Historique_Final[[#This Row],[ppn_z]],tbl_Historique_Final[[#This Row],[date_modif]])=Final_Sans_VGE[[#This Row],[date_modif]],
      "Ancien",
      "Modifié"),
   "Nouveau")),"")</f>
        <v/>
      </c>
    </row>
    <row r="7026" spans="24:30" x14ac:dyDescent="0.25">
      <c r="X7026" s="8" t="e">
        <f>IF(Final_Sans_VGE[[#This Row],[ppn_z]]="","",IFERROR(
   IF(_xlfn.XLOOKUP(Final_Sans_VGE[[#This Row],[ppn_z]],tbl_Historique_Final[ppn_z],tbl_Historique_Final[date_modif])=Final_Sans_VGE[[#This Row],[date_modif]],
      "Ancien",
      "Modifié"),
   "Nouveau"))</f>
        <v>#VALUE!</v>
      </c>
      <c r="AD7026" s="1" t="str">
        <f>IFERROR(IF(Final_Sans_VGE[[#This Row],[ppn_z]]="","",IFERROR(
   IF(_xlfn.XLOOKUP(Final_Sans_VGE[[#This Row],[ppn_z]],tbl_Historique_Final[[#This Row],[ppn_z]],tbl_Historique_Final[[#This Row],[date_modif]])=Final_Sans_VGE[[#This Row],[date_modif]],
      "Ancien",
      "Modifié"),
   "Nouveau")),"")</f>
        <v/>
      </c>
    </row>
    <row r="7027" spans="24:30" x14ac:dyDescent="0.25">
      <c r="X7027" s="8" t="e">
        <f>IF(Final_Sans_VGE[[#This Row],[ppn_z]]="","",IFERROR(
   IF(_xlfn.XLOOKUP(Final_Sans_VGE[[#This Row],[ppn_z]],tbl_Historique_Final[ppn_z],tbl_Historique_Final[date_modif])=Final_Sans_VGE[[#This Row],[date_modif]],
      "Ancien",
      "Modifié"),
   "Nouveau"))</f>
        <v>#VALUE!</v>
      </c>
      <c r="AD7027" s="1" t="str">
        <f>IFERROR(IF(Final_Sans_VGE[[#This Row],[ppn_z]]="","",IFERROR(
   IF(_xlfn.XLOOKUP(Final_Sans_VGE[[#This Row],[ppn_z]],tbl_Historique_Final[[#This Row],[ppn_z]],tbl_Historique_Final[[#This Row],[date_modif]])=Final_Sans_VGE[[#This Row],[date_modif]],
      "Ancien",
      "Modifié"),
   "Nouveau")),"")</f>
        <v/>
      </c>
    </row>
    <row r="7028" spans="24:30" x14ac:dyDescent="0.25">
      <c r="X7028" s="8" t="e">
        <f>IF(Final_Sans_VGE[[#This Row],[ppn_z]]="","",IFERROR(
   IF(_xlfn.XLOOKUP(Final_Sans_VGE[[#This Row],[ppn_z]],tbl_Historique_Final[ppn_z],tbl_Historique_Final[date_modif])=Final_Sans_VGE[[#This Row],[date_modif]],
      "Ancien",
      "Modifié"),
   "Nouveau"))</f>
        <v>#VALUE!</v>
      </c>
      <c r="AD7028" s="1" t="str">
        <f>IFERROR(IF(Final_Sans_VGE[[#This Row],[ppn_z]]="","",IFERROR(
   IF(_xlfn.XLOOKUP(Final_Sans_VGE[[#This Row],[ppn_z]],tbl_Historique_Final[[#This Row],[ppn_z]],tbl_Historique_Final[[#This Row],[date_modif]])=Final_Sans_VGE[[#This Row],[date_modif]],
      "Ancien",
      "Modifié"),
   "Nouveau")),"")</f>
        <v/>
      </c>
    </row>
    <row r="7029" spans="24:30" x14ac:dyDescent="0.25">
      <c r="X7029" s="8" t="e">
        <f>IF(Final_Sans_VGE[[#This Row],[ppn_z]]="","",IFERROR(
   IF(_xlfn.XLOOKUP(Final_Sans_VGE[[#This Row],[ppn_z]],tbl_Historique_Final[ppn_z],tbl_Historique_Final[date_modif])=Final_Sans_VGE[[#This Row],[date_modif]],
      "Ancien",
      "Modifié"),
   "Nouveau"))</f>
        <v>#VALUE!</v>
      </c>
      <c r="AD7029" s="1" t="str">
        <f>IFERROR(IF(Final_Sans_VGE[[#This Row],[ppn_z]]="","",IFERROR(
   IF(_xlfn.XLOOKUP(Final_Sans_VGE[[#This Row],[ppn_z]],tbl_Historique_Final[[#This Row],[ppn_z]],tbl_Historique_Final[[#This Row],[date_modif]])=Final_Sans_VGE[[#This Row],[date_modif]],
      "Ancien",
      "Modifié"),
   "Nouveau")),"")</f>
        <v/>
      </c>
    </row>
    <row r="7030" spans="24:30" x14ac:dyDescent="0.25">
      <c r="X7030" s="8" t="e">
        <f>IF(Final_Sans_VGE[[#This Row],[ppn_z]]="","",IFERROR(
   IF(_xlfn.XLOOKUP(Final_Sans_VGE[[#This Row],[ppn_z]],tbl_Historique_Final[ppn_z],tbl_Historique_Final[date_modif])=Final_Sans_VGE[[#This Row],[date_modif]],
      "Ancien",
      "Modifié"),
   "Nouveau"))</f>
        <v>#VALUE!</v>
      </c>
      <c r="AD7030" s="1" t="str">
        <f>IFERROR(IF(Final_Sans_VGE[[#This Row],[ppn_z]]="","",IFERROR(
   IF(_xlfn.XLOOKUP(Final_Sans_VGE[[#This Row],[ppn_z]],tbl_Historique_Final[[#This Row],[ppn_z]],tbl_Historique_Final[[#This Row],[date_modif]])=Final_Sans_VGE[[#This Row],[date_modif]],
      "Ancien",
      "Modifié"),
   "Nouveau")),"")</f>
        <v/>
      </c>
    </row>
    <row r="7031" spans="24:30" x14ac:dyDescent="0.25">
      <c r="X7031" s="8" t="e">
        <f>IF(Final_Sans_VGE[[#This Row],[ppn_z]]="","",IFERROR(
   IF(_xlfn.XLOOKUP(Final_Sans_VGE[[#This Row],[ppn_z]],tbl_Historique_Final[ppn_z],tbl_Historique_Final[date_modif])=Final_Sans_VGE[[#This Row],[date_modif]],
      "Ancien",
      "Modifié"),
   "Nouveau"))</f>
        <v>#VALUE!</v>
      </c>
      <c r="AD7031" s="1" t="str">
        <f>IFERROR(IF(Final_Sans_VGE[[#This Row],[ppn_z]]="","",IFERROR(
   IF(_xlfn.XLOOKUP(Final_Sans_VGE[[#This Row],[ppn_z]],tbl_Historique_Final[[#This Row],[ppn_z]],tbl_Historique_Final[[#This Row],[date_modif]])=Final_Sans_VGE[[#This Row],[date_modif]],
      "Ancien",
      "Modifié"),
   "Nouveau")),"")</f>
        <v/>
      </c>
    </row>
    <row r="7032" spans="24:30" x14ac:dyDescent="0.25">
      <c r="X7032" s="8" t="e">
        <f>IF(Final_Sans_VGE[[#This Row],[ppn_z]]="","",IFERROR(
   IF(_xlfn.XLOOKUP(Final_Sans_VGE[[#This Row],[ppn_z]],tbl_Historique_Final[ppn_z],tbl_Historique_Final[date_modif])=Final_Sans_VGE[[#This Row],[date_modif]],
      "Ancien",
      "Modifié"),
   "Nouveau"))</f>
        <v>#VALUE!</v>
      </c>
      <c r="AD7032" s="1" t="str">
        <f>IFERROR(IF(Final_Sans_VGE[[#This Row],[ppn_z]]="","",IFERROR(
   IF(_xlfn.XLOOKUP(Final_Sans_VGE[[#This Row],[ppn_z]],tbl_Historique_Final[[#This Row],[ppn_z]],tbl_Historique_Final[[#This Row],[date_modif]])=Final_Sans_VGE[[#This Row],[date_modif]],
      "Ancien",
      "Modifié"),
   "Nouveau")),"")</f>
        <v/>
      </c>
    </row>
    <row r="7033" spans="24:30" x14ac:dyDescent="0.25">
      <c r="X7033" s="8" t="e">
        <f>IF(Final_Sans_VGE[[#This Row],[ppn_z]]="","",IFERROR(
   IF(_xlfn.XLOOKUP(Final_Sans_VGE[[#This Row],[ppn_z]],tbl_Historique_Final[ppn_z],tbl_Historique_Final[date_modif])=Final_Sans_VGE[[#This Row],[date_modif]],
      "Ancien",
      "Modifié"),
   "Nouveau"))</f>
        <v>#VALUE!</v>
      </c>
      <c r="AD7033" s="1" t="str">
        <f>IFERROR(IF(Final_Sans_VGE[[#This Row],[ppn_z]]="","",IFERROR(
   IF(_xlfn.XLOOKUP(Final_Sans_VGE[[#This Row],[ppn_z]],tbl_Historique_Final[[#This Row],[ppn_z]],tbl_Historique_Final[[#This Row],[date_modif]])=Final_Sans_VGE[[#This Row],[date_modif]],
      "Ancien",
      "Modifié"),
   "Nouveau")),"")</f>
        <v/>
      </c>
    </row>
    <row r="7034" spans="24:30" x14ac:dyDescent="0.25">
      <c r="X7034" s="8" t="e">
        <f>IF(Final_Sans_VGE[[#This Row],[ppn_z]]="","",IFERROR(
   IF(_xlfn.XLOOKUP(Final_Sans_VGE[[#This Row],[ppn_z]],tbl_Historique_Final[ppn_z],tbl_Historique_Final[date_modif])=Final_Sans_VGE[[#This Row],[date_modif]],
      "Ancien",
      "Modifié"),
   "Nouveau"))</f>
        <v>#VALUE!</v>
      </c>
      <c r="AD7034" s="1" t="str">
        <f>IFERROR(IF(Final_Sans_VGE[[#This Row],[ppn_z]]="","",IFERROR(
   IF(_xlfn.XLOOKUP(Final_Sans_VGE[[#This Row],[ppn_z]],tbl_Historique_Final[[#This Row],[ppn_z]],tbl_Historique_Final[[#This Row],[date_modif]])=Final_Sans_VGE[[#This Row],[date_modif]],
      "Ancien",
      "Modifié"),
   "Nouveau")),"")</f>
        <v/>
      </c>
    </row>
    <row r="7035" spans="24:30" x14ac:dyDescent="0.25">
      <c r="X7035" s="8" t="e">
        <f>IF(Final_Sans_VGE[[#This Row],[ppn_z]]="","",IFERROR(
   IF(_xlfn.XLOOKUP(Final_Sans_VGE[[#This Row],[ppn_z]],tbl_Historique_Final[ppn_z],tbl_Historique_Final[date_modif])=Final_Sans_VGE[[#This Row],[date_modif]],
      "Ancien",
      "Modifié"),
   "Nouveau"))</f>
        <v>#VALUE!</v>
      </c>
      <c r="AD7035" s="1" t="str">
        <f>IFERROR(IF(Final_Sans_VGE[[#This Row],[ppn_z]]="","",IFERROR(
   IF(_xlfn.XLOOKUP(Final_Sans_VGE[[#This Row],[ppn_z]],tbl_Historique_Final[[#This Row],[ppn_z]],tbl_Historique_Final[[#This Row],[date_modif]])=Final_Sans_VGE[[#This Row],[date_modif]],
      "Ancien",
      "Modifié"),
   "Nouveau")),"")</f>
        <v/>
      </c>
    </row>
    <row r="7036" spans="24:30" x14ac:dyDescent="0.25">
      <c r="X7036" s="8" t="e">
        <f>IF(Final_Sans_VGE[[#This Row],[ppn_z]]="","",IFERROR(
   IF(_xlfn.XLOOKUP(Final_Sans_VGE[[#This Row],[ppn_z]],tbl_Historique_Final[ppn_z],tbl_Historique_Final[date_modif])=Final_Sans_VGE[[#This Row],[date_modif]],
      "Ancien",
      "Modifié"),
   "Nouveau"))</f>
        <v>#VALUE!</v>
      </c>
      <c r="AD7036" s="1" t="str">
        <f>IFERROR(IF(Final_Sans_VGE[[#This Row],[ppn_z]]="","",IFERROR(
   IF(_xlfn.XLOOKUP(Final_Sans_VGE[[#This Row],[ppn_z]],tbl_Historique_Final[[#This Row],[ppn_z]],tbl_Historique_Final[[#This Row],[date_modif]])=Final_Sans_VGE[[#This Row],[date_modif]],
      "Ancien",
      "Modifié"),
   "Nouveau")),"")</f>
        <v/>
      </c>
    </row>
    <row r="7037" spans="24:30" x14ac:dyDescent="0.25">
      <c r="X7037" s="8" t="e">
        <f>IF(Final_Sans_VGE[[#This Row],[ppn_z]]="","",IFERROR(
   IF(_xlfn.XLOOKUP(Final_Sans_VGE[[#This Row],[ppn_z]],tbl_Historique_Final[ppn_z],tbl_Historique_Final[date_modif])=Final_Sans_VGE[[#This Row],[date_modif]],
      "Ancien",
      "Modifié"),
   "Nouveau"))</f>
        <v>#VALUE!</v>
      </c>
      <c r="AD7037" s="1" t="str">
        <f>IFERROR(IF(Final_Sans_VGE[[#This Row],[ppn_z]]="","",IFERROR(
   IF(_xlfn.XLOOKUP(Final_Sans_VGE[[#This Row],[ppn_z]],tbl_Historique_Final[[#This Row],[ppn_z]],tbl_Historique_Final[[#This Row],[date_modif]])=Final_Sans_VGE[[#This Row],[date_modif]],
      "Ancien",
      "Modifié"),
   "Nouveau")),"")</f>
        <v/>
      </c>
    </row>
    <row r="7038" spans="24:30" x14ac:dyDescent="0.25">
      <c r="X7038" s="8" t="e">
        <f>IF(Final_Sans_VGE[[#This Row],[ppn_z]]="","",IFERROR(
   IF(_xlfn.XLOOKUP(Final_Sans_VGE[[#This Row],[ppn_z]],tbl_Historique_Final[ppn_z],tbl_Historique_Final[date_modif])=Final_Sans_VGE[[#This Row],[date_modif]],
      "Ancien",
      "Modifié"),
   "Nouveau"))</f>
        <v>#VALUE!</v>
      </c>
      <c r="AD7038" s="1" t="str">
        <f>IFERROR(IF(Final_Sans_VGE[[#This Row],[ppn_z]]="","",IFERROR(
   IF(_xlfn.XLOOKUP(Final_Sans_VGE[[#This Row],[ppn_z]],tbl_Historique_Final[[#This Row],[ppn_z]],tbl_Historique_Final[[#This Row],[date_modif]])=Final_Sans_VGE[[#This Row],[date_modif]],
      "Ancien",
      "Modifié"),
   "Nouveau")),"")</f>
        <v/>
      </c>
    </row>
    <row r="7039" spans="24:30" x14ac:dyDescent="0.25">
      <c r="X7039" s="8" t="e">
        <f>IF(Final_Sans_VGE[[#This Row],[ppn_z]]="","",IFERROR(
   IF(_xlfn.XLOOKUP(Final_Sans_VGE[[#This Row],[ppn_z]],tbl_Historique_Final[ppn_z],tbl_Historique_Final[date_modif])=Final_Sans_VGE[[#This Row],[date_modif]],
      "Ancien",
      "Modifié"),
   "Nouveau"))</f>
        <v>#VALUE!</v>
      </c>
      <c r="AD7039" s="1" t="str">
        <f>IFERROR(IF(Final_Sans_VGE[[#This Row],[ppn_z]]="","",IFERROR(
   IF(_xlfn.XLOOKUP(Final_Sans_VGE[[#This Row],[ppn_z]],tbl_Historique_Final[[#This Row],[ppn_z]],tbl_Historique_Final[[#This Row],[date_modif]])=Final_Sans_VGE[[#This Row],[date_modif]],
      "Ancien",
      "Modifié"),
   "Nouveau")),"")</f>
        <v/>
      </c>
    </row>
    <row r="7040" spans="24:30" x14ac:dyDescent="0.25">
      <c r="X7040" s="8" t="e">
        <f>IF(Final_Sans_VGE[[#This Row],[ppn_z]]="","",IFERROR(
   IF(_xlfn.XLOOKUP(Final_Sans_VGE[[#This Row],[ppn_z]],tbl_Historique_Final[ppn_z],tbl_Historique_Final[date_modif])=Final_Sans_VGE[[#This Row],[date_modif]],
      "Ancien",
      "Modifié"),
   "Nouveau"))</f>
        <v>#VALUE!</v>
      </c>
      <c r="AD7040" s="1" t="str">
        <f>IFERROR(IF(Final_Sans_VGE[[#This Row],[ppn_z]]="","",IFERROR(
   IF(_xlfn.XLOOKUP(Final_Sans_VGE[[#This Row],[ppn_z]],tbl_Historique_Final[[#This Row],[ppn_z]],tbl_Historique_Final[[#This Row],[date_modif]])=Final_Sans_VGE[[#This Row],[date_modif]],
      "Ancien",
      "Modifié"),
   "Nouveau")),"")</f>
        <v/>
      </c>
    </row>
    <row r="7041" spans="24:30" x14ac:dyDescent="0.25">
      <c r="X7041" s="8" t="e">
        <f>IF(Final_Sans_VGE[[#This Row],[ppn_z]]="","",IFERROR(
   IF(_xlfn.XLOOKUP(Final_Sans_VGE[[#This Row],[ppn_z]],tbl_Historique_Final[ppn_z],tbl_Historique_Final[date_modif])=Final_Sans_VGE[[#This Row],[date_modif]],
      "Ancien",
      "Modifié"),
   "Nouveau"))</f>
        <v>#VALUE!</v>
      </c>
      <c r="AD7041" s="1" t="str">
        <f>IFERROR(IF(Final_Sans_VGE[[#This Row],[ppn_z]]="","",IFERROR(
   IF(_xlfn.XLOOKUP(Final_Sans_VGE[[#This Row],[ppn_z]],tbl_Historique_Final[[#This Row],[ppn_z]],tbl_Historique_Final[[#This Row],[date_modif]])=Final_Sans_VGE[[#This Row],[date_modif]],
      "Ancien",
      "Modifié"),
   "Nouveau")),"")</f>
        <v/>
      </c>
    </row>
    <row r="7042" spans="24:30" x14ac:dyDescent="0.25">
      <c r="X7042" s="8" t="e">
        <f>IF(Final_Sans_VGE[[#This Row],[ppn_z]]="","",IFERROR(
   IF(_xlfn.XLOOKUP(Final_Sans_VGE[[#This Row],[ppn_z]],tbl_Historique_Final[ppn_z],tbl_Historique_Final[date_modif])=Final_Sans_VGE[[#This Row],[date_modif]],
      "Ancien",
      "Modifié"),
   "Nouveau"))</f>
        <v>#VALUE!</v>
      </c>
      <c r="AD7042" s="1" t="str">
        <f>IFERROR(IF(Final_Sans_VGE[[#This Row],[ppn_z]]="","",IFERROR(
   IF(_xlfn.XLOOKUP(Final_Sans_VGE[[#This Row],[ppn_z]],tbl_Historique_Final[[#This Row],[ppn_z]],tbl_Historique_Final[[#This Row],[date_modif]])=Final_Sans_VGE[[#This Row],[date_modif]],
      "Ancien",
      "Modifié"),
   "Nouveau")),"")</f>
        <v/>
      </c>
    </row>
    <row r="7043" spans="24:30" x14ac:dyDescent="0.25">
      <c r="X7043" s="8" t="e">
        <f>IF(Final_Sans_VGE[[#This Row],[ppn_z]]="","",IFERROR(
   IF(_xlfn.XLOOKUP(Final_Sans_VGE[[#This Row],[ppn_z]],tbl_Historique_Final[ppn_z],tbl_Historique_Final[date_modif])=Final_Sans_VGE[[#This Row],[date_modif]],
      "Ancien",
      "Modifié"),
   "Nouveau"))</f>
        <v>#VALUE!</v>
      </c>
      <c r="AD7043" s="1" t="str">
        <f>IFERROR(IF(Final_Sans_VGE[[#This Row],[ppn_z]]="","",IFERROR(
   IF(_xlfn.XLOOKUP(Final_Sans_VGE[[#This Row],[ppn_z]],tbl_Historique_Final[[#This Row],[ppn_z]],tbl_Historique_Final[[#This Row],[date_modif]])=Final_Sans_VGE[[#This Row],[date_modif]],
      "Ancien",
      "Modifié"),
   "Nouveau")),"")</f>
        <v/>
      </c>
    </row>
    <row r="7044" spans="24:30" x14ac:dyDescent="0.25">
      <c r="X7044" s="8" t="e">
        <f>IF(Final_Sans_VGE[[#This Row],[ppn_z]]="","",IFERROR(
   IF(_xlfn.XLOOKUP(Final_Sans_VGE[[#This Row],[ppn_z]],tbl_Historique_Final[ppn_z],tbl_Historique_Final[date_modif])=Final_Sans_VGE[[#This Row],[date_modif]],
      "Ancien",
      "Modifié"),
   "Nouveau"))</f>
        <v>#VALUE!</v>
      </c>
      <c r="AD7044" s="1" t="str">
        <f>IFERROR(IF(Final_Sans_VGE[[#This Row],[ppn_z]]="","",IFERROR(
   IF(_xlfn.XLOOKUP(Final_Sans_VGE[[#This Row],[ppn_z]],tbl_Historique_Final[[#This Row],[ppn_z]],tbl_Historique_Final[[#This Row],[date_modif]])=Final_Sans_VGE[[#This Row],[date_modif]],
      "Ancien",
      "Modifié"),
   "Nouveau")),"")</f>
        <v/>
      </c>
    </row>
    <row r="7045" spans="24:30" x14ac:dyDescent="0.25">
      <c r="X7045" s="8" t="e">
        <f>IF(Final_Sans_VGE[[#This Row],[ppn_z]]="","",IFERROR(
   IF(_xlfn.XLOOKUP(Final_Sans_VGE[[#This Row],[ppn_z]],tbl_Historique_Final[ppn_z],tbl_Historique_Final[date_modif])=Final_Sans_VGE[[#This Row],[date_modif]],
      "Ancien",
      "Modifié"),
   "Nouveau"))</f>
        <v>#VALUE!</v>
      </c>
      <c r="AD7045" s="1" t="str">
        <f>IFERROR(IF(Final_Sans_VGE[[#This Row],[ppn_z]]="","",IFERROR(
   IF(_xlfn.XLOOKUP(Final_Sans_VGE[[#This Row],[ppn_z]],tbl_Historique_Final[[#This Row],[ppn_z]],tbl_Historique_Final[[#This Row],[date_modif]])=Final_Sans_VGE[[#This Row],[date_modif]],
      "Ancien",
      "Modifié"),
   "Nouveau")),"")</f>
        <v/>
      </c>
    </row>
    <row r="7046" spans="24:30" x14ac:dyDescent="0.25">
      <c r="X7046" s="8" t="e">
        <f>IF(Final_Sans_VGE[[#This Row],[ppn_z]]="","",IFERROR(
   IF(_xlfn.XLOOKUP(Final_Sans_VGE[[#This Row],[ppn_z]],tbl_Historique_Final[ppn_z],tbl_Historique_Final[date_modif])=Final_Sans_VGE[[#This Row],[date_modif]],
      "Ancien",
      "Modifié"),
   "Nouveau"))</f>
        <v>#VALUE!</v>
      </c>
      <c r="AD7046" s="1" t="str">
        <f>IFERROR(IF(Final_Sans_VGE[[#This Row],[ppn_z]]="","",IFERROR(
   IF(_xlfn.XLOOKUP(Final_Sans_VGE[[#This Row],[ppn_z]],tbl_Historique_Final[[#This Row],[ppn_z]],tbl_Historique_Final[[#This Row],[date_modif]])=Final_Sans_VGE[[#This Row],[date_modif]],
      "Ancien",
      "Modifié"),
   "Nouveau")),"")</f>
        <v/>
      </c>
    </row>
    <row r="7047" spans="24:30" x14ac:dyDescent="0.25">
      <c r="X7047" s="8" t="e">
        <f>IF(Final_Sans_VGE[[#This Row],[ppn_z]]="","",IFERROR(
   IF(_xlfn.XLOOKUP(Final_Sans_VGE[[#This Row],[ppn_z]],tbl_Historique_Final[ppn_z],tbl_Historique_Final[date_modif])=Final_Sans_VGE[[#This Row],[date_modif]],
      "Ancien",
      "Modifié"),
   "Nouveau"))</f>
        <v>#VALUE!</v>
      </c>
      <c r="AD7047" s="1" t="str">
        <f>IFERROR(IF(Final_Sans_VGE[[#This Row],[ppn_z]]="","",IFERROR(
   IF(_xlfn.XLOOKUP(Final_Sans_VGE[[#This Row],[ppn_z]],tbl_Historique_Final[[#This Row],[ppn_z]],tbl_Historique_Final[[#This Row],[date_modif]])=Final_Sans_VGE[[#This Row],[date_modif]],
      "Ancien",
      "Modifié"),
   "Nouveau")),"")</f>
        <v/>
      </c>
    </row>
    <row r="7048" spans="24:30" x14ac:dyDescent="0.25">
      <c r="X7048" s="8" t="e">
        <f>IF(Final_Sans_VGE[[#This Row],[ppn_z]]="","",IFERROR(
   IF(_xlfn.XLOOKUP(Final_Sans_VGE[[#This Row],[ppn_z]],tbl_Historique_Final[ppn_z],tbl_Historique_Final[date_modif])=Final_Sans_VGE[[#This Row],[date_modif]],
      "Ancien",
      "Modifié"),
   "Nouveau"))</f>
        <v>#VALUE!</v>
      </c>
      <c r="AD7048" s="1" t="str">
        <f>IFERROR(IF(Final_Sans_VGE[[#This Row],[ppn_z]]="","",IFERROR(
   IF(_xlfn.XLOOKUP(Final_Sans_VGE[[#This Row],[ppn_z]],tbl_Historique_Final[[#This Row],[ppn_z]],tbl_Historique_Final[[#This Row],[date_modif]])=Final_Sans_VGE[[#This Row],[date_modif]],
      "Ancien",
      "Modifié"),
   "Nouveau")),"")</f>
        <v/>
      </c>
    </row>
    <row r="7049" spans="24:30" x14ac:dyDescent="0.25">
      <c r="X7049" s="8" t="e">
        <f>IF(Final_Sans_VGE[[#This Row],[ppn_z]]="","",IFERROR(
   IF(_xlfn.XLOOKUP(Final_Sans_VGE[[#This Row],[ppn_z]],tbl_Historique_Final[ppn_z],tbl_Historique_Final[date_modif])=Final_Sans_VGE[[#This Row],[date_modif]],
      "Ancien",
      "Modifié"),
   "Nouveau"))</f>
        <v>#VALUE!</v>
      </c>
      <c r="AD7049" s="1" t="str">
        <f>IFERROR(IF(Final_Sans_VGE[[#This Row],[ppn_z]]="","",IFERROR(
   IF(_xlfn.XLOOKUP(Final_Sans_VGE[[#This Row],[ppn_z]],tbl_Historique_Final[[#This Row],[ppn_z]],tbl_Historique_Final[[#This Row],[date_modif]])=Final_Sans_VGE[[#This Row],[date_modif]],
      "Ancien",
      "Modifié"),
   "Nouveau")),"")</f>
        <v/>
      </c>
    </row>
    <row r="7050" spans="24:30" x14ac:dyDescent="0.25">
      <c r="X7050" s="8" t="e">
        <f>IF(Final_Sans_VGE[[#This Row],[ppn_z]]="","",IFERROR(
   IF(_xlfn.XLOOKUP(Final_Sans_VGE[[#This Row],[ppn_z]],tbl_Historique_Final[ppn_z],tbl_Historique_Final[date_modif])=Final_Sans_VGE[[#This Row],[date_modif]],
      "Ancien",
      "Modifié"),
   "Nouveau"))</f>
        <v>#VALUE!</v>
      </c>
      <c r="AD7050" s="1" t="str">
        <f>IFERROR(IF(Final_Sans_VGE[[#This Row],[ppn_z]]="","",IFERROR(
   IF(_xlfn.XLOOKUP(Final_Sans_VGE[[#This Row],[ppn_z]],tbl_Historique_Final[[#This Row],[ppn_z]],tbl_Historique_Final[[#This Row],[date_modif]])=Final_Sans_VGE[[#This Row],[date_modif]],
      "Ancien",
      "Modifié"),
   "Nouveau")),"")</f>
        <v/>
      </c>
    </row>
    <row r="7051" spans="24:30" x14ac:dyDescent="0.25">
      <c r="X7051" s="8" t="e">
        <f>IF(Final_Sans_VGE[[#This Row],[ppn_z]]="","",IFERROR(
   IF(_xlfn.XLOOKUP(Final_Sans_VGE[[#This Row],[ppn_z]],tbl_Historique_Final[ppn_z],tbl_Historique_Final[date_modif])=Final_Sans_VGE[[#This Row],[date_modif]],
      "Ancien",
      "Modifié"),
   "Nouveau"))</f>
        <v>#VALUE!</v>
      </c>
      <c r="AD7051" s="1" t="str">
        <f>IFERROR(IF(Final_Sans_VGE[[#This Row],[ppn_z]]="","",IFERROR(
   IF(_xlfn.XLOOKUP(Final_Sans_VGE[[#This Row],[ppn_z]],tbl_Historique_Final[[#This Row],[ppn_z]],tbl_Historique_Final[[#This Row],[date_modif]])=Final_Sans_VGE[[#This Row],[date_modif]],
      "Ancien",
      "Modifié"),
   "Nouveau")),"")</f>
        <v/>
      </c>
    </row>
    <row r="7052" spans="24:30" x14ac:dyDescent="0.25">
      <c r="X7052" s="8" t="e">
        <f>IF(Final_Sans_VGE[[#This Row],[ppn_z]]="","",IFERROR(
   IF(_xlfn.XLOOKUP(Final_Sans_VGE[[#This Row],[ppn_z]],tbl_Historique_Final[ppn_z],tbl_Historique_Final[date_modif])=Final_Sans_VGE[[#This Row],[date_modif]],
      "Ancien",
      "Modifié"),
   "Nouveau"))</f>
        <v>#VALUE!</v>
      </c>
      <c r="AD7052" s="1" t="str">
        <f>IFERROR(IF(Final_Sans_VGE[[#This Row],[ppn_z]]="","",IFERROR(
   IF(_xlfn.XLOOKUP(Final_Sans_VGE[[#This Row],[ppn_z]],tbl_Historique_Final[[#This Row],[ppn_z]],tbl_Historique_Final[[#This Row],[date_modif]])=Final_Sans_VGE[[#This Row],[date_modif]],
      "Ancien",
      "Modifié"),
   "Nouveau")),"")</f>
        <v/>
      </c>
    </row>
    <row r="7053" spans="24:30" x14ac:dyDescent="0.25">
      <c r="X7053" s="8" t="e">
        <f>IF(Final_Sans_VGE[[#This Row],[ppn_z]]="","",IFERROR(
   IF(_xlfn.XLOOKUP(Final_Sans_VGE[[#This Row],[ppn_z]],tbl_Historique_Final[ppn_z],tbl_Historique_Final[date_modif])=Final_Sans_VGE[[#This Row],[date_modif]],
      "Ancien",
      "Modifié"),
   "Nouveau"))</f>
        <v>#VALUE!</v>
      </c>
      <c r="AD7053" s="1" t="str">
        <f>IFERROR(IF(Final_Sans_VGE[[#This Row],[ppn_z]]="","",IFERROR(
   IF(_xlfn.XLOOKUP(Final_Sans_VGE[[#This Row],[ppn_z]],tbl_Historique_Final[[#This Row],[ppn_z]],tbl_Historique_Final[[#This Row],[date_modif]])=Final_Sans_VGE[[#This Row],[date_modif]],
      "Ancien",
      "Modifié"),
   "Nouveau")),"")</f>
        <v/>
      </c>
    </row>
    <row r="7054" spans="24:30" x14ac:dyDescent="0.25">
      <c r="X7054" s="8" t="e">
        <f>IF(Final_Sans_VGE[[#This Row],[ppn_z]]="","",IFERROR(
   IF(_xlfn.XLOOKUP(Final_Sans_VGE[[#This Row],[ppn_z]],tbl_Historique_Final[ppn_z],tbl_Historique_Final[date_modif])=Final_Sans_VGE[[#This Row],[date_modif]],
      "Ancien",
      "Modifié"),
   "Nouveau"))</f>
        <v>#VALUE!</v>
      </c>
      <c r="AD7054" s="1" t="str">
        <f>IFERROR(IF(Final_Sans_VGE[[#This Row],[ppn_z]]="","",IFERROR(
   IF(_xlfn.XLOOKUP(Final_Sans_VGE[[#This Row],[ppn_z]],tbl_Historique_Final[[#This Row],[ppn_z]],tbl_Historique_Final[[#This Row],[date_modif]])=Final_Sans_VGE[[#This Row],[date_modif]],
      "Ancien",
      "Modifié"),
   "Nouveau")),"")</f>
        <v/>
      </c>
    </row>
    <row r="7055" spans="24:30" x14ac:dyDescent="0.25">
      <c r="X7055" s="8" t="e">
        <f>IF(Final_Sans_VGE[[#This Row],[ppn_z]]="","",IFERROR(
   IF(_xlfn.XLOOKUP(Final_Sans_VGE[[#This Row],[ppn_z]],tbl_Historique_Final[ppn_z],tbl_Historique_Final[date_modif])=Final_Sans_VGE[[#This Row],[date_modif]],
      "Ancien",
      "Modifié"),
   "Nouveau"))</f>
        <v>#VALUE!</v>
      </c>
      <c r="AD7055" s="1" t="str">
        <f>IFERROR(IF(Final_Sans_VGE[[#This Row],[ppn_z]]="","",IFERROR(
   IF(_xlfn.XLOOKUP(Final_Sans_VGE[[#This Row],[ppn_z]],tbl_Historique_Final[[#This Row],[ppn_z]],tbl_Historique_Final[[#This Row],[date_modif]])=Final_Sans_VGE[[#This Row],[date_modif]],
      "Ancien",
      "Modifié"),
   "Nouveau")),"")</f>
        <v/>
      </c>
    </row>
    <row r="7056" spans="24:30" x14ac:dyDescent="0.25">
      <c r="X7056" s="8" t="e">
        <f>IF(Final_Sans_VGE[[#This Row],[ppn_z]]="","",IFERROR(
   IF(_xlfn.XLOOKUP(Final_Sans_VGE[[#This Row],[ppn_z]],tbl_Historique_Final[ppn_z],tbl_Historique_Final[date_modif])=Final_Sans_VGE[[#This Row],[date_modif]],
      "Ancien",
      "Modifié"),
   "Nouveau"))</f>
        <v>#VALUE!</v>
      </c>
      <c r="AD7056" s="1" t="str">
        <f>IFERROR(IF(Final_Sans_VGE[[#This Row],[ppn_z]]="","",IFERROR(
   IF(_xlfn.XLOOKUP(Final_Sans_VGE[[#This Row],[ppn_z]],tbl_Historique_Final[[#This Row],[ppn_z]],tbl_Historique_Final[[#This Row],[date_modif]])=Final_Sans_VGE[[#This Row],[date_modif]],
      "Ancien",
      "Modifié"),
   "Nouveau")),"")</f>
        <v/>
      </c>
    </row>
    <row r="7057" spans="24:30" x14ac:dyDescent="0.25">
      <c r="X7057" s="8" t="e">
        <f>IF(Final_Sans_VGE[[#This Row],[ppn_z]]="","",IFERROR(
   IF(_xlfn.XLOOKUP(Final_Sans_VGE[[#This Row],[ppn_z]],tbl_Historique_Final[ppn_z],tbl_Historique_Final[date_modif])=Final_Sans_VGE[[#This Row],[date_modif]],
      "Ancien",
      "Modifié"),
   "Nouveau"))</f>
        <v>#VALUE!</v>
      </c>
      <c r="AD7057" s="1" t="str">
        <f>IFERROR(IF(Final_Sans_VGE[[#This Row],[ppn_z]]="","",IFERROR(
   IF(_xlfn.XLOOKUP(Final_Sans_VGE[[#This Row],[ppn_z]],tbl_Historique_Final[[#This Row],[ppn_z]],tbl_Historique_Final[[#This Row],[date_modif]])=Final_Sans_VGE[[#This Row],[date_modif]],
      "Ancien",
      "Modifié"),
   "Nouveau")),"")</f>
        <v/>
      </c>
    </row>
    <row r="7058" spans="24:30" x14ac:dyDescent="0.25">
      <c r="X7058" s="8" t="e">
        <f>IF(Final_Sans_VGE[[#This Row],[ppn_z]]="","",IFERROR(
   IF(_xlfn.XLOOKUP(Final_Sans_VGE[[#This Row],[ppn_z]],tbl_Historique_Final[ppn_z],tbl_Historique_Final[date_modif])=Final_Sans_VGE[[#This Row],[date_modif]],
      "Ancien",
      "Modifié"),
   "Nouveau"))</f>
        <v>#VALUE!</v>
      </c>
      <c r="AD7058" s="1" t="str">
        <f>IFERROR(IF(Final_Sans_VGE[[#This Row],[ppn_z]]="","",IFERROR(
   IF(_xlfn.XLOOKUP(Final_Sans_VGE[[#This Row],[ppn_z]],tbl_Historique_Final[[#This Row],[ppn_z]],tbl_Historique_Final[[#This Row],[date_modif]])=Final_Sans_VGE[[#This Row],[date_modif]],
      "Ancien",
      "Modifié"),
   "Nouveau")),"")</f>
        <v/>
      </c>
    </row>
    <row r="7059" spans="24:30" x14ac:dyDescent="0.25">
      <c r="X7059" s="8" t="e">
        <f>IF(Final_Sans_VGE[[#This Row],[ppn_z]]="","",IFERROR(
   IF(_xlfn.XLOOKUP(Final_Sans_VGE[[#This Row],[ppn_z]],tbl_Historique_Final[ppn_z],tbl_Historique_Final[date_modif])=Final_Sans_VGE[[#This Row],[date_modif]],
      "Ancien",
      "Modifié"),
   "Nouveau"))</f>
        <v>#VALUE!</v>
      </c>
      <c r="AD7059" s="1" t="str">
        <f>IFERROR(IF(Final_Sans_VGE[[#This Row],[ppn_z]]="","",IFERROR(
   IF(_xlfn.XLOOKUP(Final_Sans_VGE[[#This Row],[ppn_z]],tbl_Historique_Final[[#This Row],[ppn_z]],tbl_Historique_Final[[#This Row],[date_modif]])=Final_Sans_VGE[[#This Row],[date_modif]],
      "Ancien",
      "Modifié"),
   "Nouveau")),"")</f>
        <v/>
      </c>
    </row>
    <row r="7060" spans="24:30" x14ac:dyDescent="0.25">
      <c r="X7060" s="8" t="e">
        <f>IF(Final_Sans_VGE[[#This Row],[ppn_z]]="","",IFERROR(
   IF(_xlfn.XLOOKUP(Final_Sans_VGE[[#This Row],[ppn_z]],tbl_Historique_Final[ppn_z],tbl_Historique_Final[date_modif])=Final_Sans_VGE[[#This Row],[date_modif]],
      "Ancien",
      "Modifié"),
   "Nouveau"))</f>
        <v>#VALUE!</v>
      </c>
      <c r="AD7060" s="1" t="str">
        <f>IFERROR(IF(Final_Sans_VGE[[#This Row],[ppn_z]]="","",IFERROR(
   IF(_xlfn.XLOOKUP(Final_Sans_VGE[[#This Row],[ppn_z]],tbl_Historique_Final[[#This Row],[ppn_z]],tbl_Historique_Final[[#This Row],[date_modif]])=Final_Sans_VGE[[#This Row],[date_modif]],
      "Ancien",
      "Modifié"),
   "Nouveau")),"")</f>
        <v/>
      </c>
    </row>
    <row r="7061" spans="24:30" x14ac:dyDescent="0.25">
      <c r="X7061" s="8" t="e">
        <f>IF(Final_Sans_VGE[[#This Row],[ppn_z]]="","",IFERROR(
   IF(_xlfn.XLOOKUP(Final_Sans_VGE[[#This Row],[ppn_z]],tbl_Historique_Final[ppn_z],tbl_Historique_Final[date_modif])=Final_Sans_VGE[[#This Row],[date_modif]],
      "Ancien",
      "Modifié"),
   "Nouveau"))</f>
        <v>#VALUE!</v>
      </c>
      <c r="AD7061" s="1" t="str">
        <f>IFERROR(IF(Final_Sans_VGE[[#This Row],[ppn_z]]="","",IFERROR(
   IF(_xlfn.XLOOKUP(Final_Sans_VGE[[#This Row],[ppn_z]],tbl_Historique_Final[[#This Row],[ppn_z]],tbl_Historique_Final[[#This Row],[date_modif]])=Final_Sans_VGE[[#This Row],[date_modif]],
      "Ancien",
      "Modifié"),
   "Nouveau")),"")</f>
        <v/>
      </c>
    </row>
    <row r="7062" spans="24:30" x14ac:dyDescent="0.25">
      <c r="X7062" s="8" t="e">
        <f>IF(Final_Sans_VGE[[#This Row],[ppn_z]]="","",IFERROR(
   IF(_xlfn.XLOOKUP(Final_Sans_VGE[[#This Row],[ppn_z]],tbl_Historique_Final[ppn_z],tbl_Historique_Final[date_modif])=Final_Sans_VGE[[#This Row],[date_modif]],
      "Ancien",
      "Modifié"),
   "Nouveau"))</f>
        <v>#VALUE!</v>
      </c>
      <c r="AD7062" s="1" t="str">
        <f>IFERROR(IF(Final_Sans_VGE[[#This Row],[ppn_z]]="","",IFERROR(
   IF(_xlfn.XLOOKUP(Final_Sans_VGE[[#This Row],[ppn_z]],tbl_Historique_Final[[#This Row],[ppn_z]],tbl_Historique_Final[[#This Row],[date_modif]])=Final_Sans_VGE[[#This Row],[date_modif]],
      "Ancien",
      "Modifié"),
   "Nouveau")),"")</f>
        <v/>
      </c>
    </row>
    <row r="7063" spans="24:30" x14ac:dyDescent="0.25">
      <c r="X7063" s="8" t="e">
        <f>IF(Final_Sans_VGE[[#This Row],[ppn_z]]="","",IFERROR(
   IF(_xlfn.XLOOKUP(Final_Sans_VGE[[#This Row],[ppn_z]],tbl_Historique_Final[ppn_z],tbl_Historique_Final[date_modif])=Final_Sans_VGE[[#This Row],[date_modif]],
      "Ancien",
      "Modifié"),
   "Nouveau"))</f>
        <v>#VALUE!</v>
      </c>
      <c r="AD7063" s="1" t="str">
        <f>IFERROR(IF(Final_Sans_VGE[[#This Row],[ppn_z]]="","",IFERROR(
   IF(_xlfn.XLOOKUP(Final_Sans_VGE[[#This Row],[ppn_z]],tbl_Historique_Final[[#This Row],[ppn_z]],tbl_Historique_Final[[#This Row],[date_modif]])=Final_Sans_VGE[[#This Row],[date_modif]],
      "Ancien",
      "Modifié"),
   "Nouveau")),"")</f>
        <v/>
      </c>
    </row>
    <row r="7064" spans="24:30" x14ac:dyDescent="0.25">
      <c r="X7064" s="8" t="e">
        <f>IF(Final_Sans_VGE[[#This Row],[ppn_z]]="","",IFERROR(
   IF(_xlfn.XLOOKUP(Final_Sans_VGE[[#This Row],[ppn_z]],tbl_Historique_Final[ppn_z],tbl_Historique_Final[date_modif])=Final_Sans_VGE[[#This Row],[date_modif]],
      "Ancien",
      "Modifié"),
   "Nouveau"))</f>
        <v>#VALUE!</v>
      </c>
      <c r="AD7064" s="1" t="str">
        <f>IFERROR(IF(Final_Sans_VGE[[#This Row],[ppn_z]]="","",IFERROR(
   IF(_xlfn.XLOOKUP(Final_Sans_VGE[[#This Row],[ppn_z]],tbl_Historique_Final[[#This Row],[ppn_z]],tbl_Historique_Final[[#This Row],[date_modif]])=Final_Sans_VGE[[#This Row],[date_modif]],
      "Ancien",
      "Modifié"),
   "Nouveau")),"")</f>
        <v/>
      </c>
    </row>
    <row r="7065" spans="24:30" x14ac:dyDescent="0.25">
      <c r="X7065" s="8" t="e">
        <f>IF(Final_Sans_VGE[[#This Row],[ppn_z]]="","",IFERROR(
   IF(_xlfn.XLOOKUP(Final_Sans_VGE[[#This Row],[ppn_z]],tbl_Historique_Final[ppn_z],tbl_Historique_Final[date_modif])=Final_Sans_VGE[[#This Row],[date_modif]],
      "Ancien",
      "Modifié"),
   "Nouveau"))</f>
        <v>#VALUE!</v>
      </c>
      <c r="AD7065" s="1" t="str">
        <f>IFERROR(IF(Final_Sans_VGE[[#This Row],[ppn_z]]="","",IFERROR(
   IF(_xlfn.XLOOKUP(Final_Sans_VGE[[#This Row],[ppn_z]],tbl_Historique_Final[[#This Row],[ppn_z]],tbl_Historique_Final[[#This Row],[date_modif]])=Final_Sans_VGE[[#This Row],[date_modif]],
      "Ancien",
      "Modifié"),
   "Nouveau")),"")</f>
        <v/>
      </c>
    </row>
    <row r="7066" spans="24:30" x14ac:dyDescent="0.25">
      <c r="X7066" s="8" t="e">
        <f>IF(Final_Sans_VGE[[#This Row],[ppn_z]]="","",IFERROR(
   IF(_xlfn.XLOOKUP(Final_Sans_VGE[[#This Row],[ppn_z]],tbl_Historique_Final[ppn_z],tbl_Historique_Final[date_modif])=Final_Sans_VGE[[#This Row],[date_modif]],
      "Ancien",
      "Modifié"),
   "Nouveau"))</f>
        <v>#VALUE!</v>
      </c>
      <c r="AD7066" s="1" t="str">
        <f>IFERROR(IF(Final_Sans_VGE[[#This Row],[ppn_z]]="","",IFERROR(
   IF(_xlfn.XLOOKUP(Final_Sans_VGE[[#This Row],[ppn_z]],tbl_Historique_Final[[#This Row],[ppn_z]],tbl_Historique_Final[[#This Row],[date_modif]])=Final_Sans_VGE[[#This Row],[date_modif]],
      "Ancien",
      "Modifié"),
   "Nouveau")),"")</f>
        <v/>
      </c>
    </row>
    <row r="7067" spans="24:30" x14ac:dyDescent="0.25">
      <c r="X7067" s="8" t="e">
        <f>IF(Final_Sans_VGE[[#This Row],[ppn_z]]="","",IFERROR(
   IF(_xlfn.XLOOKUP(Final_Sans_VGE[[#This Row],[ppn_z]],tbl_Historique_Final[ppn_z],tbl_Historique_Final[date_modif])=Final_Sans_VGE[[#This Row],[date_modif]],
      "Ancien",
      "Modifié"),
   "Nouveau"))</f>
        <v>#VALUE!</v>
      </c>
      <c r="AD7067" s="1" t="str">
        <f>IFERROR(IF(Final_Sans_VGE[[#This Row],[ppn_z]]="","",IFERROR(
   IF(_xlfn.XLOOKUP(Final_Sans_VGE[[#This Row],[ppn_z]],tbl_Historique_Final[[#This Row],[ppn_z]],tbl_Historique_Final[[#This Row],[date_modif]])=Final_Sans_VGE[[#This Row],[date_modif]],
      "Ancien",
      "Modifié"),
   "Nouveau")),"")</f>
        <v/>
      </c>
    </row>
    <row r="7068" spans="24:30" x14ac:dyDescent="0.25">
      <c r="X7068" s="8" t="e">
        <f>IF(Final_Sans_VGE[[#This Row],[ppn_z]]="","",IFERROR(
   IF(_xlfn.XLOOKUP(Final_Sans_VGE[[#This Row],[ppn_z]],tbl_Historique_Final[ppn_z],tbl_Historique_Final[date_modif])=Final_Sans_VGE[[#This Row],[date_modif]],
      "Ancien",
      "Modifié"),
   "Nouveau"))</f>
        <v>#VALUE!</v>
      </c>
      <c r="AD7068" s="1" t="str">
        <f>IFERROR(IF(Final_Sans_VGE[[#This Row],[ppn_z]]="","",IFERROR(
   IF(_xlfn.XLOOKUP(Final_Sans_VGE[[#This Row],[ppn_z]],tbl_Historique_Final[[#This Row],[ppn_z]],tbl_Historique_Final[[#This Row],[date_modif]])=Final_Sans_VGE[[#This Row],[date_modif]],
      "Ancien",
      "Modifié"),
   "Nouveau")),"")</f>
        <v/>
      </c>
    </row>
    <row r="7069" spans="24:30" x14ac:dyDescent="0.25">
      <c r="X7069" s="8" t="e">
        <f>IF(Final_Sans_VGE[[#This Row],[ppn_z]]="","",IFERROR(
   IF(_xlfn.XLOOKUP(Final_Sans_VGE[[#This Row],[ppn_z]],tbl_Historique_Final[ppn_z],tbl_Historique_Final[date_modif])=Final_Sans_VGE[[#This Row],[date_modif]],
      "Ancien",
      "Modifié"),
   "Nouveau"))</f>
        <v>#VALUE!</v>
      </c>
      <c r="AD7069" s="1" t="str">
        <f>IFERROR(IF(Final_Sans_VGE[[#This Row],[ppn_z]]="","",IFERROR(
   IF(_xlfn.XLOOKUP(Final_Sans_VGE[[#This Row],[ppn_z]],tbl_Historique_Final[[#This Row],[ppn_z]],tbl_Historique_Final[[#This Row],[date_modif]])=Final_Sans_VGE[[#This Row],[date_modif]],
      "Ancien",
      "Modifié"),
   "Nouveau")),"")</f>
        <v/>
      </c>
    </row>
    <row r="7070" spans="24:30" x14ac:dyDescent="0.25">
      <c r="X7070" s="8" t="e">
        <f>IF(Final_Sans_VGE[[#This Row],[ppn_z]]="","",IFERROR(
   IF(_xlfn.XLOOKUP(Final_Sans_VGE[[#This Row],[ppn_z]],tbl_Historique_Final[ppn_z],tbl_Historique_Final[date_modif])=Final_Sans_VGE[[#This Row],[date_modif]],
      "Ancien",
      "Modifié"),
   "Nouveau"))</f>
        <v>#VALUE!</v>
      </c>
      <c r="AD7070" s="1" t="str">
        <f>IFERROR(IF(Final_Sans_VGE[[#This Row],[ppn_z]]="","",IFERROR(
   IF(_xlfn.XLOOKUP(Final_Sans_VGE[[#This Row],[ppn_z]],tbl_Historique_Final[[#This Row],[ppn_z]],tbl_Historique_Final[[#This Row],[date_modif]])=Final_Sans_VGE[[#This Row],[date_modif]],
      "Ancien",
      "Modifié"),
   "Nouveau")),"")</f>
        <v/>
      </c>
    </row>
    <row r="7071" spans="24:30" x14ac:dyDescent="0.25">
      <c r="X7071" s="8" t="e">
        <f>IF(Final_Sans_VGE[[#This Row],[ppn_z]]="","",IFERROR(
   IF(_xlfn.XLOOKUP(Final_Sans_VGE[[#This Row],[ppn_z]],tbl_Historique_Final[ppn_z],tbl_Historique_Final[date_modif])=Final_Sans_VGE[[#This Row],[date_modif]],
      "Ancien",
      "Modifié"),
   "Nouveau"))</f>
        <v>#VALUE!</v>
      </c>
      <c r="AD7071" s="1" t="str">
        <f>IFERROR(IF(Final_Sans_VGE[[#This Row],[ppn_z]]="","",IFERROR(
   IF(_xlfn.XLOOKUP(Final_Sans_VGE[[#This Row],[ppn_z]],tbl_Historique_Final[[#This Row],[ppn_z]],tbl_Historique_Final[[#This Row],[date_modif]])=Final_Sans_VGE[[#This Row],[date_modif]],
      "Ancien",
      "Modifié"),
   "Nouveau")),"")</f>
        <v/>
      </c>
    </row>
    <row r="7072" spans="24:30" x14ac:dyDescent="0.25">
      <c r="X7072" s="8" t="e">
        <f>IF(Final_Sans_VGE[[#This Row],[ppn_z]]="","",IFERROR(
   IF(_xlfn.XLOOKUP(Final_Sans_VGE[[#This Row],[ppn_z]],tbl_Historique_Final[ppn_z],tbl_Historique_Final[date_modif])=Final_Sans_VGE[[#This Row],[date_modif]],
      "Ancien",
      "Modifié"),
   "Nouveau"))</f>
        <v>#VALUE!</v>
      </c>
      <c r="AD7072" s="1" t="str">
        <f>IFERROR(IF(Final_Sans_VGE[[#This Row],[ppn_z]]="","",IFERROR(
   IF(_xlfn.XLOOKUP(Final_Sans_VGE[[#This Row],[ppn_z]],tbl_Historique_Final[[#This Row],[ppn_z]],tbl_Historique_Final[[#This Row],[date_modif]])=Final_Sans_VGE[[#This Row],[date_modif]],
      "Ancien",
      "Modifié"),
   "Nouveau")),"")</f>
        <v/>
      </c>
    </row>
    <row r="7073" spans="24:30" x14ac:dyDescent="0.25">
      <c r="X7073" s="8" t="e">
        <f>IF(Final_Sans_VGE[[#This Row],[ppn_z]]="","",IFERROR(
   IF(_xlfn.XLOOKUP(Final_Sans_VGE[[#This Row],[ppn_z]],tbl_Historique_Final[ppn_z],tbl_Historique_Final[date_modif])=Final_Sans_VGE[[#This Row],[date_modif]],
      "Ancien",
      "Modifié"),
   "Nouveau"))</f>
        <v>#VALUE!</v>
      </c>
      <c r="AD7073" s="1" t="str">
        <f>IFERROR(IF(Final_Sans_VGE[[#This Row],[ppn_z]]="","",IFERROR(
   IF(_xlfn.XLOOKUP(Final_Sans_VGE[[#This Row],[ppn_z]],tbl_Historique_Final[[#This Row],[ppn_z]],tbl_Historique_Final[[#This Row],[date_modif]])=Final_Sans_VGE[[#This Row],[date_modif]],
      "Ancien",
      "Modifié"),
   "Nouveau")),"")</f>
        <v/>
      </c>
    </row>
    <row r="7074" spans="24:30" x14ac:dyDescent="0.25">
      <c r="X7074" s="8" t="e">
        <f>IF(Final_Sans_VGE[[#This Row],[ppn_z]]="","",IFERROR(
   IF(_xlfn.XLOOKUP(Final_Sans_VGE[[#This Row],[ppn_z]],tbl_Historique_Final[ppn_z],tbl_Historique_Final[date_modif])=Final_Sans_VGE[[#This Row],[date_modif]],
      "Ancien",
      "Modifié"),
   "Nouveau"))</f>
        <v>#VALUE!</v>
      </c>
      <c r="AD7074" s="1" t="str">
        <f>IFERROR(IF(Final_Sans_VGE[[#This Row],[ppn_z]]="","",IFERROR(
   IF(_xlfn.XLOOKUP(Final_Sans_VGE[[#This Row],[ppn_z]],tbl_Historique_Final[[#This Row],[ppn_z]],tbl_Historique_Final[[#This Row],[date_modif]])=Final_Sans_VGE[[#This Row],[date_modif]],
      "Ancien",
      "Modifié"),
   "Nouveau")),"")</f>
        <v/>
      </c>
    </row>
    <row r="7075" spans="24:30" x14ac:dyDescent="0.25">
      <c r="X7075" s="8" t="e">
        <f>IF(Final_Sans_VGE[[#This Row],[ppn_z]]="","",IFERROR(
   IF(_xlfn.XLOOKUP(Final_Sans_VGE[[#This Row],[ppn_z]],tbl_Historique_Final[ppn_z],tbl_Historique_Final[date_modif])=Final_Sans_VGE[[#This Row],[date_modif]],
      "Ancien",
      "Modifié"),
   "Nouveau"))</f>
        <v>#VALUE!</v>
      </c>
      <c r="AD7075" s="1" t="str">
        <f>IFERROR(IF(Final_Sans_VGE[[#This Row],[ppn_z]]="","",IFERROR(
   IF(_xlfn.XLOOKUP(Final_Sans_VGE[[#This Row],[ppn_z]],tbl_Historique_Final[[#This Row],[ppn_z]],tbl_Historique_Final[[#This Row],[date_modif]])=Final_Sans_VGE[[#This Row],[date_modif]],
      "Ancien",
      "Modifié"),
   "Nouveau")),"")</f>
        <v/>
      </c>
    </row>
    <row r="7076" spans="24:30" x14ac:dyDescent="0.25">
      <c r="X7076" s="8" t="e">
        <f>IF(Final_Sans_VGE[[#This Row],[ppn_z]]="","",IFERROR(
   IF(_xlfn.XLOOKUP(Final_Sans_VGE[[#This Row],[ppn_z]],tbl_Historique_Final[ppn_z],tbl_Historique_Final[date_modif])=Final_Sans_VGE[[#This Row],[date_modif]],
      "Ancien",
      "Modifié"),
   "Nouveau"))</f>
        <v>#VALUE!</v>
      </c>
      <c r="AD7076" s="1" t="str">
        <f>IFERROR(IF(Final_Sans_VGE[[#This Row],[ppn_z]]="","",IFERROR(
   IF(_xlfn.XLOOKUP(Final_Sans_VGE[[#This Row],[ppn_z]],tbl_Historique_Final[[#This Row],[ppn_z]],tbl_Historique_Final[[#This Row],[date_modif]])=Final_Sans_VGE[[#This Row],[date_modif]],
      "Ancien",
      "Modifié"),
   "Nouveau")),"")</f>
        <v/>
      </c>
    </row>
    <row r="7077" spans="24:30" x14ac:dyDescent="0.25">
      <c r="X7077" s="8" t="e">
        <f>IF(Final_Sans_VGE[[#This Row],[ppn_z]]="","",IFERROR(
   IF(_xlfn.XLOOKUP(Final_Sans_VGE[[#This Row],[ppn_z]],tbl_Historique_Final[ppn_z],tbl_Historique_Final[date_modif])=Final_Sans_VGE[[#This Row],[date_modif]],
      "Ancien",
      "Modifié"),
   "Nouveau"))</f>
        <v>#VALUE!</v>
      </c>
      <c r="AD7077" s="1" t="str">
        <f>IFERROR(IF(Final_Sans_VGE[[#This Row],[ppn_z]]="","",IFERROR(
   IF(_xlfn.XLOOKUP(Final_Sans_VGE[[#This Row],[ppn_z]],tbl_Historique_Final[[#This Row],[ppn_z]],tbl_Historique_Final[[#This Row],[date_modif]])=Final_Sans_VGE[[#This Row],[date_modif]],
      "Ancien",
      "Modifié"),
   "Nouveau")),"")</f>
        <v/>
      </c>
    </row>
    <row r="7078" spans="24:30" x14ac:dyDescent="0.25">
      <c r="X7078" s="8" t="e">
        <f>IF(Final_Sans_VGE[[#This Row],[ppn_z]]="","",IFERROR(
   IF(_xlfn.XLOOKUP(Final_Sans_VGE[[#This Row],[ppn_z]],tbl_Historique_Final[ppn_z],tbl_Historique_Final[date_modif])=Final_Sans_VGE[[#This Row],[date_modif]],
      "Ancien",
      "Modifié"),
   "Nouveau"))</f>
        <v>#VALUE!</v>
      </c>
      <c r="AD7078" s="1" t="str">
        <f>IFERROR(IF(Final_Sans_VGE[[#This Row],[ppn_z]]="","",IFERROR(
   IF(_xlfn.XLOOKUP(Final_Sans_VGE[[#This Row],[ppn_z]],tbl_Historique_Final[[#This Row],[ppn_z]],tbl_Historique_Final[[#This Row],[date_modif]])=Final_Sans_VGE[[#This Row],[date_modif]],
      "Ancien",
      "Modifié"),
   "Nouveau")),"")</f>
        <v/>
      </c>
    </row>
    <row r="7079" spans="24:30" x14ac:dyDescent="0.25">
      <c r="X7079" s="8" t="e">
        <f>IF(Final_Sans_VGE[[#This Row],[ppn_z]]="","",IFERROR(
   IF(_xlfn.XLOOKUP(Final_Sans_VGE[[#This Row],[ppn_z]],tbl_Historique_Final[ppn_z],tbl_Historique_Final[date_modif])=Final_Sans_VGE[[#This Row],[date_modif]],
      "Ancien",
      "Modifié"),
   "Nouveau"))</f>
        <v>#VALUE!</v>
      </c>
      <c r="AD7079" s="1" t="str">
        <f>IFERROR(IF(Final_Sans_VGE[[#This Row],[ppn_z]]="","",IFERROR(
   IF(_xlfn.XLOOKUP(Final_Sans_VGE[[#This Row],[ppn_z]],tbl_Historique_Final[[#This Row],[ppn_z]],tbl_Historique_Final[[#This Row],[date_modif]])=Final_Sans_VGE[[#This Row],[date_modif]],
      "Ancien",
      "Modifié"),
   "Nouveau")),"")</f>
        <v/>
      </c>
    </row>
    <row r="7080" spans="24:30" x14ac:dyDescent="0.25">
      <c r="X7080" s="8" t="e">
        <f>IF(Final_Sans_VGE[[#This Row],[ppn_z]]="","",IFERROR(
   IF(_xlfn.XLOOKUP(Final_Sans_VGE[[#This Row],[ppn_z]],tbl_Historique_Final[ppn_z],tbl_Historique_Final[date_modif])=Final_Sans_VGE[[#This Row],[date_modif]],
      "Ancien",
      "Modifié"),
   "Nouveau"))</f>
        <v>#VALUE!</v>
      </c>
      <c r="AD7080" s="1" t="str">
        <f>IFERROR(IF(Final_Sans_VGE[[#This Row],[ppn_z]]="","",IFERROR(
   IF(_xlfn.XLOOKUP(Final_Sans_VGE[[#This Row],[ppn_z]],tbl_Historique_Final[[#This Row],[ppn_z]],tbl_Historique_Final[[#This Row],[date_modif]])=Final_Sans_VGE[[#This Row],[date_modif]],
      "Ancien",
      "Modifié"),
   "Nouveau")),"")</f>
        <v/>
      </c>
    </row>
    <row r="7081" spans="24:30" x14ac:dyDescent="0.25">
      <c r="X7081" s="8" t="e">
        <f>IF(Final_Sans_VGE[[#This Row],[ppn_z]]="","",IFERROR(
   IF(_xlfn.XLOOKUP(Final_Sans_VGE[[#This Row],[ppn_z]],tbl_Historique_Final[ppn_z],tbl_Historique_Final[date_modif])=Final_Sans_VGE[[#This Row],[date_modif]],
      "Ancien",
      "Modifié"),
   "Nouveau"))</f>
        <v>#VALUE!</v>
      </c>
      <c r="AD7081" s="1" t="str">
        <f>IFERROR(IF(Final_Sans_VGE[[#This Row],[ppn_z]]="","",IFERROR(
   IF(_xlfn.XLOOKUP(Final_Sans_VGE[[#This Row],[ppn_z]],tbl_Historique_Final[[#This Row],[ppn_z]],tbl_Historique_Final[[#This Row],[date_modif]])=Final_Sans_VGE[[#This Row],[date_modif]],
      "Ancien",
      "Modifié"),
   "Nouveau")),"")</f>
        <v/>
      </c>
    </row>
    <row r="7082" spans="24:30" x14ac:dyDescent="0.25">
      <c r="X7082" s="8" t="e">
        <f>IF(Final_Sans_VGE[[#This Row],[ppn_z]]="","",IFERROR(
   IF(_xlfn.XLOOKUP(Final_Sans_VGE[[#This Row],[ppn_z]],tbl_Historique_Final[ppn_z],tbl_Historique_Final[date_modif])=Final_Sans_VGE[[#This Row],[date_modif]],
      "Ancien",
      "Modifié"),
   "Nouveau"))</f>
        <v>#VALUE!</v>
      </c>
      <c r="AD7082" s="1" t="str">
        <f>IFERROR(IF(Final_Sans_VGE[[#This Row],[ppn_z]]="","",IFERROR(
   IF(_xlfn.XLOOKUP(Final_Sans_VGE[[#This Row],[ppn_z]],tbl_Historique_Final[[#This Row],[ppn_z]],tbl_Historique_Final[[#This Row],[date_modif]])=Final_Sans_VGE[[#This Row],[date_modif]],
      "Ancien",
      "Modifié"),
   "Nouveau")),"")</f>
        <v/>
      </c>
    </row>
    <row r="7083" spans="24:30" x14ac:dyDescent="0.25">
      <c r="X7083" s="8" t="e">
        <f>IF(Final_Sans_VGE[[#This Row],[ppn_z]]="","",IFERROR(
   IF(_xlfn.XLOOKUP(Final_Sans_VGE[[#This Row],[ppn_z]],tbl_Historique_Final[ppn_z],tbl_Historique_Final[date_modif])=Final_Sans_VGE[[#This Row],[date_modif]],
      "Ancien",
      "Modifié"),
   "Nouveau"))</f>
        <v>#VALUE!</v>
      </c>
      <c r="AD7083" s="1" t="str">
        <f>IFERROR(IF(Final_Sans_VGE[[#This Row],[ppn_z]]="","",IFERROR(
   IF(_xlfn.XLOOKUP(Final_Sans_VGE[[#This Row],[ppn_z]],tbl_Historique_Final[[#This Row],[ppn_z]],tbl_Historique_Final[[#This Row],[date_modif]])=Final_Sans_VGE[[#This Row],[date_modif]],
      "Ancien",
      "Modifié"),
   "Nouveau")),"")</f>
        <v/>
      </c>
    </row>
    <row r="7084" spans="24:30" x14ac:dyDescent="0.25">
      <c r="X7084" s="8" t="e">
        <f>IF(Final_Sans_VGE[[#This Row],[ppn_z]]="","",IFERROR(
   IF(_xlfn.XLOOKUP(Final_Sans_VGE[[#This Row],[ppn_z]],tbl_Historique_Final[ppn_z],tbl_Historique_Final[date_modif])=Final_Sans_VGE[[#This Row],[date_modif]],
      "Ancien",
      "Modifié"),
   "Nouveau"))</f>
        <v>#VALUE!</v>
      </c>
      <c r="AD7084" s="1" t="str">
        <f>IFERROR(IF(Final_Sans_VGE[[#This Row],[ppn_z]]="","",IFERROR(
   IF(_xlfn.XLOOKUP(Final_Sans_VGE[[#This Row],[ppn_z]],tbl_Historique_Final[[#This Row],[ppn_z]],tbl_Historique_Final[[#This Row],[date_modif]])=Final_Sans_VGE[[#This Row],[date_modif]],
      "Ancien",
      "Modifié"),
   "Nouveau")),"")</f>
        <v/>
      </c>
    </row>
    <row r="7085" spans="24:30" x14ac:dyDescent="0.25">
      <c r="X7085" s="8" t="e">
        <f>IF(Final_Sans_VGE[[#This Row],[ppn_z]]="","",IFERROR(
   IF(_xlfn.XLOOKUP(Final_Sans_VGE[[#This Row],[ppn_z]],tbl_Historique_Final[ppn_z],tbl_Historique_Final[date_modif])=Final_Sans_VGE[[#This Row],[date_modif]],
      "Ancien",
      "Modifié"),
   "Nouveau"))</f>
        <v>#VALUE!</v>
      </c>
      <c r="AD7085" s="1" t="str">
        <f>IFERROR(IF(Final_Sans_VGE[[#This Row],[ppn_z]]="","",IFERROR(
   IF(_xlfn.XLOOKUP(Final_Sans_VGE[[#This Row],[ppn_z]],tbl_Historique_Final[[#This Row],[ppn_z]],tbl_Historique_Final[[#This Row],[date_modif]])=Final_Sans_VGE[[#This Row],[date_modif]],
      "Ancien",
      "Modifié"),
   "Nouveau")),"")</f>
        <v/>
      </c>
    </row>
    <row r="7086" spans="24:30" x14ac:dyDescent="0.25">
      <c r="X7086" s="8" t="e">
        <f>IF(Final_Sans_VGE[[#This Row],[ppn_z]]="","",IFERROR(
   IF(_xlfn.XLOOKUP(Final_Sans_VGE[[#This Row],[ppn_z]],tbl_Historique_Final[ppn_z],tbl_Historique_Final[date_modif])=Final_Sans_VGE[[#This Row],[date_modif]],
      "Ancien",
      "Modifié"),
   "Nouveau"))</f>
        <v>#VALUE!</v>
      </c>
      <c r="AD7086" s="1" t="str">
        <f>IFERROR(IF(Final_Sans_VGE[[#This Row],[ppn_z]]="","",IFERROR(
   IF(_xlfn.XLOOKUP(Final_Sans_VGE[[#This Row],[ppn_z]],tbl_Historique_Final[[#This Row],[ppn_z]],tbl_Historique_Final[[#This Row],[date_modif]])=Final_Sans_VGE[[#This Row],[date_modif]],
      "Ancien",
      "Modifié"),
   "Nouveau")),"")</f>
        <v/>
      </c>
    </row>
    <row r="7087" spans="24:30" x14ac:dyDescent="0.25">
      <c r="X7087" s="8" t="e">
        <f>IF(Final_Sans_VGE[[#This Row],[ppn_z]]="","",IFERROR(
   IF(_xlfn.XLOOKUP(Final_Sans_VGE[[#This Row],[ppn_z]],tbl_Historique_Final[ppn_z],tbl_Historique_Final[date_modif])=Final_Sans_VGE[[#This Row],[date_modif]],
      "Ancien",
      "Modifié"),
   "Nouveau"))</f>
        <v>#VALUE!</v>
      </c>
      <c r="AD7087" s="1" t="str">
        <f>IFERROR(IF(Final_Sans_VGE[[#This Row],[ppn_z]]="","",IFERROR(
   IF(_xlfn.XLOOKUP(Final_Sans_VGE[[#This Row],[ppn_z]],tbl_Historique_Final[[#This Row],[ppn_z]],tbl_Historique_Final[[#This Row],[date_modif]])=Final_Sans_VGE[[#This Row],[date_modif]],
      "Ancien",
      "Modifié"),
   "Nouveau")),"")</f>
        <v/>
      </c>
    </row>
    <row r="7088" spans="24:30" x14ac:dyDescent="0.25">
      <c r="X7088" s="8" t="e">
        <f>IF(Final_Sans_VGE[[#This Row],[ppn_z]]="","",IFERROR(
   IF(_xlfn.XLOOKUP(Final_Sans_VGE[[#This Row],[ppn_z]],tbl_Historique_Final[ppn_z],tbl_Historique_Final[date_modif])=Final_Sans_VGE[[#This Row],[date_modif]],
      "Ancien",
      "Modifié"),
   "Nouveau"))</f>
        <v>#VALUE!</v>
      </c>
      <c r="AD7088" s="1" t="str">
        <f>IFERROR(IF(Final_Sans_VGE[[#This Row],[ppn_z]]="","",IFERROR(
   IF(_xlfn.XLOOKUP(Final_Sans_VGE[[#This Row],[ppn_z]],tbl_Historique_Final[[#This Row],[ppn_z]],tbl_Historique_Final[[#This Row],[date_modif]])=Final_Sans_VGE[[#This Row],[date_modif]],
      "Ancien",
      "Modifié"),
   "Nouveau")),"")</f>
        <v/>
      </c>
    </row>
    <row r="7089" spans="24:30" x14ac:dyDescent="0.25">
      <c r="X7089" s="8" t="e">
        <f>IF(Final_Sans_VGE[[#This Row],[ppn_z]]="","",IFERROR(
   IF(_xlfn.XLOOKUP(Final_Sans_VGE[[#This Row],[ppn_z]],tbl_Historique_Final[ppn_z],tbl_Historique_Final[date_modif])=Final_Sans_VGE[[#This Row],[date_modif]],
      "Ancien",
      "Modifié"),
   "Nouveau"))</f>
        <v>#VALUE!</v>
      </c>
      <c r="AD7089" s="1" t="str">
        <f>IFERROR(IF(Final_Sans_VGE[[#This Row],[ppn_z]]="","",IFERROR(
   IF(_xlfn.XLOOKUP(Final_Sans_VGE[[#This Row],[ppn_z]],tbl_Historique_Final[[#This Row],[ppn_z]],tbl_Historique_Final[[#This Row],[date_modif]])=Final_Sans_VGE[[#This Row],[date_modif]],
      "Ancien",
      "Modifié"),
   "Nouveau")),"")</f>
        <v/>
      </c>
    </row>
    <row r="7090" spans="24:30" x14ac:dyDescent="0.25">
      <c r="X7090" s="8" t="e">
        <f>IF(Final_Sans_VGE[[#This Row],[ppn_z]]="","",IFERROR(
   IF(_xlfn.XLOOKUP(Final_Sans_VGE[[#This Row],[ppn_z]],tbl_Historique_Final[ppn_z],tbl_Historique_Final[date_modif])=Final_Sans_VGE[[#This Row],[date_modif]],
      "Ancien",
      "Modifié"),
   "Nouveau"))</f>
        <v>#VALUE!</v>
      </c>
      <c r="AD7090" s="1" t="str">
        <f>IFERROR(IF(Final_Sans_VGE[[#This Row],[ppn_z]]="","",IFERROR(
   IF(_xlfn.XLOOKUP(Final_Sans_VGE[[#This Row],[ppn_z]],tbl_Historique_Final[[#This Row],[ppn_z]],tbl_Historique_Final[[#This Row],[date_modif]])=Final_Sans_VGE[[#This Row],[date_modif]],
      "Ancien",
      "Modifié"),
   "Nouveau")),"")</f>
        <v/>
      </c>
    </row>
    <row r="7091" spans="24:30" x14ac:dyDescent="0.25">
      <c r="X7091" s="8" t="e">
        <f>IF(Final_Sans_VGE[[#This Row],[ppn_z]]="","",IFERROR(
   IF(_xlfn.XLOOKUP(Final_Sans_VGE[[#This Row],[ppn_z]],tbl_Historique_Final[ppn_z],tbl_Historique_Final[date_modif])=Final_Sans_VGE[[#This Row],[date_modif]],
      "Ancien",
      "Modifié"),
   "Nouveau"))</f>
        <v>#VALUE!</v>
      </c>
      <c r="AD7091" s="1" t="str">
        <f>IFERROR(IF(Final_Sans_VGE[[#This Row],[ppn_z]]="","",IFERROR(
   IF(_xlfn.XLOOKUP(Final_Sans_VGE[[#This Row],[ppn_z]],tbl_Historique_Final[[#This Row],[ppn_z]],tbl_Historique_Final[[#This Row],[date_modif]])=Final_Sans_VGE[[#This Row],[date_modif]],
      "Ancien",
      "Modifié"),
   "Nouveau")),"")</f>
        <v/>
      </c>
    </row>
    <row r="7092" spans="24:30" x14ac:dyDescent="0.25">
      <c r="X7092" s="8" t="e">
        <f>IF(Final_Sans_VGE[[#This Row],[ppn_z]]="","",IFERROR(
   IF(_xlfn.XLOOKUP(Final_Sans_VGE[[#This Row],[ppn_z]],tbl_Historique_Final[ppn_z],tbl_Historique_Final[date_modif])=Final_Sans_VGE[[#This Row],[date_modif]],
      "Ancien",
      "Modifié"),
   "Nouveau"))</f>
        <v>#VALUE!</v>
      </c>
      <c r="AD7092" s="1" t="str">
        <f>IFERROR(IF(Final_Sans_VGE[[#This Row],[ppn_z]]="","",IFERROR(
   IF(_xlfn.XLOOKUP(Final_Sans_VGE[[#This Row],[ppn_z]],tbl_Historique_Final[[#This Row],[ppn_z]],tbl_Historique_Final[[#This Row],[date_modif]])=Final_Sans_VGE[[#This Row],[date_modif]],
      "Ancien",
      "Modifié"),
   "Nouveau")),"")</f>
        <v/>
      </c>
    </row>
    <row r="7093" spans="24:30" x14ac:dyDescent="0.25">
      <c r="X7093" s="8" t="e">
        <f>IF(Final_Sans_VGE[[#This Row],[ppn_z]]="","",IFERROR(
   IF(_xlfn.XLOOKUP(Final_Sans_VGE[[#This Row],[ppn_z]],tbl_Historique_Final[ppn_z],tbl_Historique_Final[date_modif])=Final_Sans_VGE[[#This Row],[date_modif]],
      "Ancien",
      "Modifié"),
   "Nouveau"))</f>
        <v>#VALUE!</v>
      </c>
      <c r="AD7093" s="1" t="str">
        <f>IFERROR(IF(Final_Sans_VGE[[#This Row],[ppn_z]]="","",IFERROR(
   IF(_xlfn.XLOOKUP(Final_Sans_VGE[[#This Row],[ppn_z]],tbl_Historique_Final[[#This Row],[ppn_z]],tbl_Historique_Final[[#This Row],[date_modif]])=Final_Sans_VGE[[#This Row],[date_modif]],
      "Ancien",
      "Modifié"),
   "Nouveau")),"")</f>
        <v/>
      </c>
    </row>
    <row r="7094" spans="24:30" x14ac:dyDescent="0.25">
      <c r="X7094" s="8" t="e">
        <f>IF(Final_Sans_VGE[[#This Row],[ppn_z]]="","",IFERROR(
   IF(_xlfn.XLOOKUP(Final_Sans_VGE[[#This Row],[ppn_z]],tbl_Historique_Final[ppn_z],tbl_Historique_Final[date_modif])=Final_Sans_VGE[[#This Row],[date_modif]],
      "Ancien",
      "Modifié"),
   "Nouveau"))</f>
        <v>#VALUE!</v>
      </c>
      <c r="AD7094" s="1" t="str">
        <f>IFERROR(IF(Final_Sans_VGE[[#This Row],[ppn_z]]="","",IFERROR(
   IF(_xlfn.XLOOKUP(Final_Sans_VGE[[#This Row],[ppn_z]],tbl_Historique_Final[[#This Row],[ppn_z]],tbl_Historique_Final[[#This Row],[date_modif]])=Final_Sans_VGE[[#This Row],[date_modif]],
      "Ancien",
      "Modifié"),
   "Nouveau")),"")</f>
        <v/>
      </c>
    </row>
    <row r="7095" spans="24:30" x14ac:dyDescent="0.25">
      <c r="X7095" s="8" t="e">
        <f>IF(Final_Sans_VGE[[#This Row],[ppn_z]]="","",IFERROR(
   IF(_xlfn.XLOOKUP(Final_Sans_VGE[[#This Row],[ppn_z]],tbl_Historique_Final[ppn_z],tbl_Historique_Final[date_modif])=Final_Sans_VGE[[#This Row],[date_modif]],
      "Ancien",
      "Modifié"),
   "Nouveau"))</f>
        <v>#VALUE!</v>
      </c>
      <c r="AD7095" s="1" t="str">
        <f>IFERROR(IF(Final_Sans_VGE[[#This Row],[ppn_z]]="","",IFERROR(
   IF(_xlfn.XLOOKUP(Final_Sans_VGE[[#This Row],[ppn_z]],tbl_Historique_Final[[#This Row],[ppn_z]],tbl_Historique_Final[[#This Row],[date_modif]])=Final_Sans_VGE[[#This Row],[date_modif]],
      "Ancien",
      "Modifié"),
   "Nouveau")),"")</f>
        <v/>
      </c>
    </row>
    <row r="7096" spans="24:30" x14ac:dyDescent="0.25">
      <c r="X7096" s="8" t="e">
        <f>IF(Final_Sans_VGE[[#This Row],[ppn_z]]="","",IFERROR(
   IF(_xlfn.XLOOKUP(Final_Sans_VGE[[#This Row],[ppn_z]],tbl_Historique_Final[ppn_z],tbl_Historique_Final[date_modif])=Final_Sans_VGE[[#This Row],[date_modif]],
      "Ancien",
      "Modifié"),
   "Nouveau"))</f>
        <v>#VALUE!</v>
      </c>
      <c r="AD7096" s="1" t="str">
        <f>IFERROR(IF(Final_Sans_VGE[[#This Row],[ppn_z]]="","",IFERROR(
   IF(_xlfn.XLOOKUP(Final_Sans_VGE[[#This Row],[ppn_z]],tbl_Historique_Final[[#This Row],[ppn_z]],tbl_Historique_Final[[#This Row],[date_modif]])=Final_Sans_VGE[[#This Row],[date_modif]],
      "Ancien",
      "Modifié"),
   "Nouveau")),"")</f>
        <v/>
      </c>
    </row>
    <row r="7097" spans="24:30" x14ac:dyDescent="0.25">
      <c r="X7097" s="8" t="e">
        <f>IF(Final_Sans_VGE[[#This Row],[ppn_z]]="","",IFERROR(
   IF(_xlfn.XLOOKUP(Final_Sans_VGE[[#This Row],[ppn_z]],tbl_Historique_Final[ppn_z],tbl_Historique_Final[date_modif])=Final_Sans_VGE[[#This Row],[date_modif]],
      "Ancien",
      "Modifié"),
   "Nouveau"))</f>
        <v>#VALUE!</v>
      </c>
      <c r="AD7097" s="1" t="str">
        <f>IFERROR(IF(Final_Sans_VGE[[#This Row],[ppn_z]]="","",IFERROR(
   IF(_xlfn.XLOOKUP(Final_Sans_VGE[[#This Row],[ppn_z]],tbl_Historique_Final[[#This Row],[ppn_z]],tbl_Historique_Final[[#This Row],[date_modif]])=Final_Sans_VGE[[#This Row],[date_modif]],
      "Ancien",
      "Modifié"),
   "Nouveau")),"")</f>
        <v/>
      </c>
    </row>
    <row r="7098" spans="24:30" x14ac:dyDescent="0.25">
      <c r="X7098" s="8" t="e">
        <f>IF(Final_Sans_VGE[[#This Row],[ppn_z]]="","",IFERROR(
   IF(_xlfn.XLOOKUP(Final_Sans_VGE[[#This Row],[ppn_z]],tbl_Historique_Final[ppn_z],tbl_Historique_Final[date_modif])=Final_Sans_VGE[[#This Row],[date_modif]],
      "Ancien",
      "Modifié"),
   "Nouveau"))</f>
        <v>#VALUE!</v>
      </c>
      <c r="AD7098" s="1" t="str">
        <f>IFERROR(IF(Final_Sans_VGE[[#This Row],[ppn_z]]="","",IFERROR(
   IF(_xlfn.XLOOKUP(Final_Sans_VGE[[#This Row],[ppn_z]],tbl_Historique_Final[[#This Row],[ppn_z]],tbl_Historique_Final[[#This Row],[date_modif]])=Final_Sans_VGE[[#This Row],[date_modif]],
      "Ancien",
      "Modifié"),
   "Nouveau")),"")</f>
        <v/>
      </c>
    </row>
    <row r="7099" spans="24:30" x14ac:dyDescent="0.25">
      <c r="X7099" s="8" t="e">
        <f>IF(Final_Sans_VGE[[#This Row],[ppn_z]]="","",IFERROR(
   IF(_xlfn.XLOOKUP(Final_Sans_VGE[[#This Row],[ppn_z]],tbl_Historique_Final[ppn_z],tbl_Historique_Final[date_modif])=Final_Sans_VGE[[#This Row],[date_modif]],
      "Ancien",
      "Modifié"),
   "Nouveau"))</f>
        <v>#VALUE!</v>
      </c>
      <c r="AD7099" s="1" t="str">
        <f>IFERROR(IF(Final_Sans_VGE[[#This Row],[ppn_z]]="","",IFERROR(
   IF(_xlfn.XLOOKUP(Final_Sans_VGE[[#This Row],[ppn_z]],tbl_Historique_Final[[#This Row],[ppn_z]],tbl_Historique_Final[[#This Row],[date_modif]])=Final_Sans_VGE[[#This Row],[date_modif]],
      "Ancien",
      "Modifié"),
   "Nouveau")),"")</f>
        <v/>
      </c>
    </row>
    <row r="7100" spans="24:30" x14ac:dyDescent="0.25">
      <c r="X7100" s="8" t="e">
        <f>IF(Final_Sans_VGE[[#This Row],[ppn_z]]="","",IFERROR(
   IF(_xlfn.XLOOKUP(Final_Sans_VGE[[#This Row],[ppn_z]],tbl_Historique_Final[ppn_z],tbl_Historique_Final[date_modif])=Final_Sans_VGE[[#This Row],[date_modif]],
      "Ancien",
      "Modifié"),
   "Nouveau"))</f>
        <v>#VALUE!</v>
      </c>
      <c r="AD7100" s="1" t="str">
        <f>IFERROR(IF(Final_Sans_VGE[[#This Row],[ppn_z]]="","",IFERROR(
   IF(_xlfn.XLOOKUP(Final_Sans_VGE[[#This Row],[ppn_z]],tbl_Historique_Final[[#This Row],[ppn_z]],tbl_Historique_Final[[#This Row],[date_modif]])=Final_Sans_VGE[[#This Row],[date_modif]],
      "Ancien",
      "Modifié"),
   "Nouveau")),"")</f>
        <v/>
      </c>
    </row>
    <row r="7101" spans="24:30" x14ac:dyDescent="0.25">
      <c r="X7101" s="8" t="e">
        <f>IF(Final_Sans_VGE[[#This Row],[ppn_z]]="","",IFERROR(
   IF(_xlfn.XLOOKUP(Final_Sans_VGE[[#This Row],[ppn_z]],tbl_Historique_Final[ppn_z],tbl_Historique_Final[date_modif])=Final_Sans_VGE[[#This Row],[date_modif]],
      "Ancien",
      "Modifié"),
   "Nouveau"))</f>
        <v>#VALUE!</v>
      </c>
      <c r="AD7101" s="1" t="str">
        <f>IFERROR(IF(Final_Sans_VGE[[#This Row],[ppn_z]]="","",IFERROR(
   IF(_xlfn.XLOOKUP(Final_Sans_VGE[[#This Row],[ppn_z]],tbl_Historique_Final[[#This Row],[ppn_z]],tbl_Historique_Final[[#This Row],[date_modif]])=Final_Sans_VGE[[#This Row],[date_modif]],
      "Ancien",
      "Modifié"),
   "Nouveau")),"")</f>
        <v/>
      </c>
    </row>
    <row r="7102" spans="24:30" x14ac:dyDescent="0.25">
      <c r="X7102" s="8" t="e">
        <f>IF(Final_Sans_VGE[[#This Row],[ppn_z]]="","",IFERROR(
   IF(_xlfn.XLOOKUP(Final_Sans_VGE[[#This Row],[ppn_z]],tbl_Historique_Final[ppn_z],tbl_Historique_Final[date_modif])=Final_Sans_VGE[[#This Row],[date_modif]],
      "Ancien",
      "Modifié"),
   "Nouveau"))</f>
        <v>#VALUE!</v>
      </c>
      <c r="AD7102" s="1" t="str">
        <f>IFERROR(IF(Final_Sans_VGE[[#This Row],[ppn_z]]="","",IFERROR(
   IF(_xlfn.XLOOKUP(Final_Sans_VGE[[#This Row],[ppn_z]],tbl_Historique_Final[[#This Row],[ppn_z]],tbl_Historique_Final[[#This Row],[date_modif]])=Final_Sans_VGE[[#This Row],[date_modif]],
      "Ancien",
      "Modifié"),
   "Nouveau")),"")</f>
        <v/>
      </c>
    </row>
    <row r="7103" spans="24:30" x14ac:dyDescent="0.25">
      <c r="X7103" s="8" t="e">
        <f>IF(Final_Sans_VGE[[#This Row],[ppn_z]]="","",IFERROR(
   IF(_xlfn.XLOOKUP(Final_Sans_VGE[[#This Row],[ppn_z]],tbl_Historique_Final[ppn_z],tbl_Historique_Final[date_modif])=Final_Sans_VGE[[#This Row],[date_modif]],
      "Ancien",
      "Modifié"),
   "Nouveau"))</f>
        <v>#VALUE!</v>
      </c>
      <c r="AD7103" s="1" t="str">
        <f>IFERROR(IF(Final_Sans_VGE[[#This Row],[ppn_z]]="","",IFERROR(
   IF(_xlfn.XLOOKUP(Final_Sans_VGE[[#This Row],[ppn_z]],tbl_Historique_Final[[#This Row],[ppn_z]],tbl_Historique_Final[[#This Row],[date_modif]])=Final_Sans_VGE[[#This Row],[date_modif]],
      "Ancien",
      "Modifié"),
   "Nouveau")),"")</f>
        <v/>
      </c>
    </row>
    <row r="7104" spans="24:30" x14ac:dyDescent="0.25">
      <c r="X7104" s="8" t="e">
        <f>IF(Final_Sans_VGE[[#This Row],[ppn_z]]="","",IFERROR(
   IF(_xlfn.XLOOKUP(Final_Sans_VGE[[#This Row],[ppn_z]],tbl_Historique_Final[ppn_z],tbl_Historique_Final[date_modif])=Final_Sans_VGE[[#This Row],[date_modif]],
      "Ancien",
      "Modifié"),
   "Nouveau"))</f>
        <v>#VALUE!</v>
      </c>
      <c r="AD7104" s="1" t="str">
        <f>IFERROR(IF(Final_Sans_VGE[[#This Row],[ppn_z]]="","",IFERROR(
   IF(_xlfn.XLOOKUP(Final_Sans_VGE[[#This Row],[ppn_z]],tbl_Historique_Final[[#This Row],[ppn_z]],tbl_Historique_Final[[#This Row],[date_modif]])=Final_Sans_VGE[[#This Row],[date_modif]],
      "Ancien",
      "Modifié"),
   "Nouveau")),"")</f>
        <v/>
      </c>
    </row>
    <row r="7105" spans="24:30" x14ac:dyDescent="0.25">
      <c r="X7105" s="8" t="e">
        <f>IF(Final_Sans_VGE[[#This Row],[ppn_z]]="","",IFERROR(
   IF(_xlfn.XLOOKUP(Final_Sans_VGE[[#This Row],[ppn_z]],tbl_Historique_Final[ppn_z],tbl_Historique_Final[date_modif])=Final_Sans_VGE[[#This Row],[date_modif]],
      "Ancien",
      "Modifié"),
   "Nouveau"))</f>
        <v>#VALUE!</v>
      </c>
      <c r="AD7105" s="1" t="str">
        <f>IFERROR(IF(Final_Sans_VGE[[#This Row],[ppn_z]]="","",IFERROR(
   IF(_xlfn.XLOOKUP(Final_Sans_VGE[[#This Row],[ppn_z]],tbl_Historique_Final[[#This Row],[ppn_z]],tbl_Historique_Final[[#This Row],[date_modif]])=Final_Sans_VGE[[#This Row],[date_modif]],
      "Ancien",
      "Modifié"),
   "Nouveau")),"")</f>
        <v/>
      </c>
    </row>
    <row r="7106" spans="24:30" x14ac:dyDescent="0.25">
      <c r="X7106" s="8" t="e">
        <f>IF(Final_Sans_VGE[[#This Row],[ppn_z]]="","",IFERROR(
   IF(_xlfn.XLOOKUP(Final_Sans_VGE[[#This Row],[ppn_z]],tbl_Historique_Final[ppn_z],tbl_Historique_Final[date_modif])=Final_Sans_VGE[[#This Row],[date_modif]],
      "Ancien",
      "Modifié"),
   "Nouveau"))</f>
        <v>#VALUE!</v>
      </c>
      <c r="AD7106" s="1" t="str">
        <f>IFERROR(IF(Final_Sans_VGE[[#This Row],[ppn_z]]="","",IFERROR(
   IF(_xlfn.XLOOKUP(Final_Sans_VGE[[#This Row],[ppn_z]],tbl_Historique_Final[[#This Row],[ppn_z]],tbl_Historique_Final[[#This Row],[date_modif]])=Final_Sans_VGE[[#This Row],[date_modif]],
      "Ancien",
      "Modifié"),
   "Nouveau")),"")</f>
        <v/>
      </c>
    </row>
    <row r="7107" spans="24:30" x14ac:dyDescent="0.25">
      <c r="X7107" s="8" t="e">
        <f>IF(Final_Sans_VGE[[#This Row],[ppn_z]]="","",IFERROR(
   IF(_xlfn.XLOOKUP(Final_Sans_VGE[[#This Row],[ppn_z]],tbl_Historique_Final[ppn_z],tbl_Historique_Final[date_modif])=Final_Sans_VGE[[#This Row],[date_modif]],
      "Ancien",
      "Modifié"),
   "Nouveau"))</f>
        <v>#VALUE!</v>
      </c>
      <c r="AD7107" s="1" t="str">
        <f>IFERROR(IF(Final_Sans_VGE[[#This Row],[ppn_z]]="","",IFERROR(
   IF(_xlfn.XLOOKUP(Final_Sans_VGE[[#This Row],[ppn_z]],tbl_Historique_Final[[#This Row],[ppn_z]],tbl_Historique_Final[[#This Row],[date_modif]])=Final_Sans_VGE[[#This Row],[date_modif]],
      "Ancien",
      "Modifié"),
   "Nouveau")),"")</f>
        <v/>
      </c>
    </row>
    <row r="7108" spans="24:30" x14ac:dyDescent="0.25">
      <c r="X7108" s="8" t="e">
        <f>IF(Final_Sans_VGE[[#This Row],[ppn_z]]="","",IFERROR(
   IF(_xlfn.XLOOKUP(Final_Sans_VGE[[#This Row],[ppn_z]],tbl_Historique_Final[ppn_z],tbl_Historique_Final[date_modif])=Final_Sans_VGE[[#This Row],[date_modif]],
      "Ancien",
      "Modifié"),
   "Nouveau"))</f>
        <v>#VALUE!</v>
      </c>
      <c r="AD7108" s="1" t="str">
        <f>IFERROR(IF(Final_Sans_VGE[[#This Row],[ppn_z]]="","",IFERROR(
   IF(_xlfn.XLOOKUP(Final_Sans_VGE[[#This Row],[ppn_z]],tbl_Historique_Final[[#This Row],[ppn_z]],tbl_Historique_Final[[#This Row],[date_modif]])=Final_Sans_VGE[[#This Row],[date_modif]],
      "Ancien",
      "Modifié"),
   "Nouveau")),"")</f>
        <v/>
      </c>
    </row>
    <row r="7109" spans="24:30" x14ac:dyDescent="0.25">
      <c r="X7109" s="8" t="e">
        <f>IF(Final_Sans_VGE[[#This Row],[ppn_z]]="","",IFERROR(
   IF(_xlfn.XLOOKUP(Final_Sans_VGE[[#This Row],[ppn_z]],tbl_Historique_Final[ppn_z],tbl_Historique_Final[date_modif])=Final_Sans_VGE[[#This Row],[date_modif]],
      "Ancien",
      "Modifié"),
   "Nouveau"))</f>
        <v>#VALUE!</v>
      </c>
      <c r="AD7109" s="1" t="str">
        <f>IFERROR(IF(Final_Sans_VGE[[#This Row],[ppn_z]]="","",IFERROR(
   IF(_xlfn.XLOOKUP(Final_Sans_VGE[[#This Row],[ppn_z]],tbl_Historique_Final[[#This Row],[ppn_z]],tbl_Historique_Final[[#This Row],[date_modif]])=Final_Sans_VGE[[#This Row],[date_modif]],
      "Ancien",
      "Modifié"),
   "Nouveau")),"")</f>
        <v/>
      </c>
    </row>
    <row r="7110" spans="24:30" x14ac:dyDescent="0.25">
      <c r="X7110" s="8" t="e">
        <f>IF(Final_Sans_VGE[[#This Row],[ppn_z]]="","",IFERROR(
   IF(_xlfn.XLOOKUP(Final_Sans_VGE[[#This Row],[ppn_z]],tbl_Historique_Final[ppn_z],tbl_Historique_Final[date_modif])=Final_Sans_VGE[[#This Row],[date_modif]],
      "Ancien",
      "Modifié"),
   "Nouveau"))</f>
        <v>#VALUE!</v>
      </c>
      <c r="AD7110" s="1" t="str">
        <f>IFERROR(IF(Final_Sans_VGE[[#This Row],[ppn_z]]="","",IFERROR(
   IF(_xlfn.XLOOKUP(Final_Sans_VGE[[#This Row],[ppn_z]],tbl_Historique_Final[[#This Row],[ppn_z]],tbl_Historique_Final[[#This Row],[date_modif]])=Final_Sans_VGE[[#This Row],[date_modif]],
      "Ancien",
      "Modifié"),
   "Nouveau")),"")</f>
        <v/>
      </c>
    </row>
    <row r="7111" spans="24:30" x14ac:dyDescent="0.25">
      <c r="X7111" s="8" t="e">
        <f>IF(Final_Sans_VGE[[#This Row],[ppn_z]]="","",IFERROR(
   IF(_xlfn.XLOOKUP(Final_Sans_VGE[[#This Row],[ppn_z]],tbl_Historique_Final[ppn_z],tbl_Historique_Final[date_modif])=Final_Sans_VGE[[#This Row],[date_modif]],
      "Ancien",
      "Modifié"),
   "Nouveau"))</f>
        <v>#VALUE!</v>
      </c>
      <c r="AD7111" s="1" t="str">
        <f>IFERROR(IF(Final_Sans_VGE[[#This Row],[ppn_z]]="","",IFERROR(
   IF(_xlfn.XLOOKUP(Final_Sans_VGE[[#This Row],[ppn_z]],tbl_Historique_Final[[#This Row],[ppn_z]],tbl_Historique_Final[[#This Row],[date_modif]])=Final_Sans_VGE[[#This Row],[date_modif]],
      "Ancien",
      "Modifié"),
   "Nouveau")),"")</f>
        <v/>
      </c>
    </row>
    <row r="7112" spans="24:30" x14ac:dyDescent="0.25">
      <c r="X7112" s="8" t="e">
        <f>IF(Final_Sans_VGE[[#This Row],[ppn_z]]="","",IFERROR(
   IF(_xlfn.XLOOKUP(Final_Sans_VGE[[#This Row],[ppn_z]],tbl_Historique_Final[ppn_z],tbl_Historique_Final[date_modif])=Final_Sans_VGE[[#This Row],[date_modif]],
      "Ancien",
      "Modifié"),
   "Nouveau"))</f>
        <v>#VALUE!</v>
      </c>
      <c r="AD7112" s="1" t="str">
        <f>IFERROR(IF(Final_Sans_VGE[[#This Row],[ppn_z]]="","",IFERROR(
   IF(_xlfn.XLOOKUP(Final_Sans_VGE[[#This Row],[ppn_z]],tbl_Historique_Final[[#This Row],[ppn_z]],tbl_Historique_Final[[#This Row],[date_modif]])=Final_Sans_VGE[[#This Row],[date_modif]],
      "Ancien",
      "Modifié"),
   "Nouveau")),"")</f>
        <v/>
      </c>
    </row>
    <row r="7113" spans="24:30" x14ac:dyDescent="0.25">
      <c r="X7113" s="8" t="e">
        <f>IF(Final_Sans_VGE[[#This Row],[ppn_z]]="","",IFERROR(
   IF(_xlfn.XLOOKUP(Final_Sans_VGE[[#This Row],[ppn_z]],tbl_Historique_Final[ppn_z],tbl_Historique_Final[date_modif])=Final_Sans_VGE[[#This Row],[date_modif]],
      "Ancien",
      "Modifié"),
   "Nouveau"))</f>
        <v>#VALUE!</v>
      </c>
      <c r="AD7113" s="1" t="str">
        <f>IFERROR(IF(Final_Sans_VGE[[#This Row],[ppn_z]]="","",IFERROR(
   IF(_xlfn.XLOOKUP(Final_Sans_VGE[[#This Row],[ppn_z]],tbl_Historique_Final[[#This Row],[ppn_z]],tbl_Historique_Final[[#This Row],[date_modif]])=Final_Sans_VGE[[#This Row],[date_modif]],
      "Ancien",
      "Modifié"),
   "Nouveau")),"")</f>
        <v/>
      </c>
    </row>
    <row r="7114" spans="24:30" x14ac:dyDescent="0.25">
      <c r="X7114" s="8" t="e">
        <f>IF(Final_Sans_VGE[[#This Row],[ppn_z]]="","",IFERROR(
   IF(_xlfn.XLOOKUP(Final_Sans_VGE[[#This Row],[ppn_z]],tbl_Historique_Final[ppn_z],tbl_Historique_Final[date_modif])=Final_Sans_VGE[[#This Row],[date_modif]],
      "Ancien",
      "Modifié"),
   "Nouveau"))</f>
        <v>#VALUE!</v>
      </c>
      <c r="AD7114" s="1" t="str">
        <f>IFERROR(IF(Final_Sans_VGE[[#This Row],[ppn_z]]="","",IFERROR(
   IF(_xlfn.XLOOKUP(Final_Sans_VGE[[#This Row],[ppn_z]],tbl_Historique_Final[[#This Row],[ppn_z]],tbl_Historique_Final[[#This Row],[date_modif]])=Final_Sans_VGE[[#This Row],[date_modif]],
      "Ancien",
      "Modifié"),
   "Nouveau")),"")</f>
        <v/>
      </c>
    </row>
    <row r="7115" spans="24:30" x14ac:dyDescent="0.25">
      <c r="X7115" s="8" t="e">
        <f>IF(Final_Sans_VGE[[#This Row],[ppn_z]]="","",IFERROR(
   IF(_xlfn.XLOOKUP(Final_Sans_VGE[[#This Row],[ppn_z]],tbl_Historique_Final[ppn_z],tbl_Historique_Final[date_modif])=Final_Sans_VGE[[#This Row],[date_modif]],
      "Ancien",
      "Modifié"),
   "Nouveau"))</f>
        <v>#VALUE!</v>
      </c>
      <c r="AD7115" s="1" t="str">
        <f>IFERROR(IF(Final_Sans_VGE[[#This Row],[ppn_z]]="","",IFERROR(
   IF(_xlfn.XLOOKUP(Final_Sans_VGE[[#This Row],[ppn_z]],tbl_Historique_Final[[#This Row],[ppn_z]],tbl_Historique_Final[[#This Row],[date_modif]])=Final_Sans_VGE[[#This Row],[date_modif]],
      "Ancien",
      "Modifié"),
   "Nouveau")),"")</f>
        <v/>
      </c>
    </row>
    <row r="7116" spans="24:30" x14ac:dyDescent="0.25">
      <c r="X7116" s="8" t="e">
        <f>IF(Final_Sans_VGE[[#This Row],[ppn_z]]="","",IFERROR(
   IF(_xlfn.XLOOKUP(Final_Sans_VGE[[#This Row],[ppn_z]],tbl_Historique_Final[ppn_z],tbl_Historique_Final[date_modif])=Final_Sans_VGE[[#This Row],[date_modif]],
      "Ancien",
      "Modifié"),
   "Nouveau"))</f>
        <v>#VALUE!</v>
      </c>
      <c r="AD7116" s="1" t="str">
        <f>IFERROR(IF(Final_Sans_VGE[[#This Row],[ppn_z]]="","",IFERROR(
   IF(_xlfn.XLOOKUP(Final_Sans_VGE[[#This Row],[ppn_z]],tbl_Historique_Final[[#This Row],[ppn_z]],tbl_Historique_Final[[#This Row],[date_modif]])=Final_Sans_VGE[[#This Row],[date_modif]],
      "Ancien",
      "Modifié"),
   "Nouveau")),"")</f>
        <v/>
      </c>
    </row>
    <row r="7117" spans="24:30" x14ac:dyDescent="0.25">
      <c r="X7117" s="8" t="e">
        <f>IF(Final_Sans_VGE[[#This Row],[ppn_z]]="","",IFERROR(
   IF(_xlfn.XLOOKUP(Final_Sans_VGE[[#This Row],[ppn_z]],tbl_Historique_Final[ppn_z],tbl_Historique_Final[date_modif])=Final_Sans_VGE[[#This Row],[date_modif]],
      "Ancien",
      "Modifié"),
   "Nouveau"))</f>
        <v>#VALUE!</v>
      </c>
      <c r="AD7117" s="1" t="str">
        <f>IFERROR(IF(Final_Sans_VGE[[#This Row],[ppn_z]]="","",IFERROR(
   IF(_xlfn.XLOOKUP(Final_Sans_VGE[[#This Row],[ppn_z]],tbl_Historique_Final[[#This Row],[ppn_z]],tbl_Historique_Final[[#This Row],[date_modif]])=Final_Sans_VGE[[#This Row],[date_modif]],
      "Ancien",
      "Modifié"),
   "Nouveau")),"")</f>
        <v/>
      </c>
    </row>
    <row r="7118" spans="24:30" x14ac:dyDescent="0.25">
      <c r="X7118" s="8" t="e">
        <f>IF(Final_Sans_VGE[[#This Row],[ppn_z]]="","",IFERROR(
   IF(_xlfn.XLOOKUP(Final_Sans_VGE[[#This Row],[ppn_z]],tbl_Historique_Final[ppn_z],tbl_Historique_Final[date_modif])=Final_Sans_VGE[[#This Row],[date_modif]],
      "Ancien",
      "Modifié"),
   "Nouveau"))</f>
        <v>#VALUE!</v>
      </c>
      <c r="AD7118" s="1" t="str">
        <f>IFERROR(IF(Final_Sans_VGE[[#This Row],[ppn_z]]="","",IFERROR(
   IF(_xlfn.XLOOKUP(Final_Sans_VGE[[#This Row],[ppn_z]],tbl_Historique_Final[[#This Row],[ppn_z]],tbl_Historique_Final[[#This Row],[date_modif]])=Final_Sans_VGE[[#This Row],[date_modif]],
      "Ancien",
      "Modifié"),
   "Nouveau")),"")</f>
        <v/>
      </c>
    </row>
    <row r="7119" spans="24:30" x14ac:dyDescent="0.25">
      <c r="X7119" s="8" t="e">
        <f>IF(Final_Sans_VGE[[#This Row],[ppn_z]]="","",IFERROR(
   IF(_xlfn.XLOOKUP(Final_Sans_VGE[[#This Row],[ppn_z]],tbl_Historique_Final[ppn_z],tbl_Historique_Final[date_modif])=Final_Sans_VGE[[#This Row],[date_modif]],
      "Ancien",
      "Modifié"),
   "Nouveau"))</f>
        <v>#VALUE!</v>
      </c>
      <c r="AD7119" s="1" t="str">
        <f>IFERROR(IF(Final_Sans_VGE[[#This Row],[ppn_z]]="","",IFERROR(
   IF(_xlfn.XLOOKUP(Final_Sans_VGE[[#This Row],[ppn_z]],tbl_Historique_Final[[#This Row],[ppn_z]],tbl_Historique_Final[[#This Row],[date_modif]])=Final_Sans_VGE[[#This Row],[date_modif]],
      "Ancien",
      "Modifié"),
   "Nouveau")),"")</f>
        <v/>
      </c>
    </row>
    <row r="7120" spans="24:30" x14ac:dyDescent="0.25">
      <c r="X7120" s="8" t="e">
        <f>IF(Final_Sans_VGE[[#This Row],[ppn_z]]="","",IFERROR(
   IF(_xlfn.XLOOKUP(Final_Sans_VGE[[#This Row],[ppn_z]],tbl_Historique_Final[ppn_z],tbl_Historique_Final[date_modif])=Final_Sans_VGE[[#This Row],[date_modif]],
      "Ancien",
      "Modifié"),
   "Nouveau"))</f>
        <v>#VALUE!</v>
      </c>
      <c r="AD7120" s="1" t="str">
        <f>IFERROR(IF(Final_Sans_VGE[[#This Row],[ppn_z]]="","",IFERROR(
   IF(_xlfn.XLOOKUP(Final_Sans_VGE[[#This Row],[ppn_z]],tbl_Historique_Final[[#This Row],[ppn_z]],tbl_Historique_Final[[#This Row],[date_modif]])=Final_Sans_VGE[[#This Row],[date_modif]],
      "Ancien",
      "Modifié"),
   "Nouveau")),"")</f>
        <v/>
      </c>
    </row>
    <row r="7121" spans="24:30" x14ac:dyDescent="0.25">
      <c r="X7121" s="8" t="e">
        <f>IF(Final_Sans_VGE[[#This Row],[ppn_z]]="","",IFERROR(
   IF(_xlfn.XLOOKUP(Final_Sans_VGE[[#This Row],[ppn_z]],tbl_Historique_Final[ppn_z],tbl_Historique_Final[date_modif])=Final_Sans_VGE[[#This Row],[date_modif]],
      "Ancien",
      "Modifié"),
   "Nouveau"))</f>
        <v>#VALUE!</v>
      </c>
      <c r="AD7121" s="1" t="str">
        <f>IFERROR(IF(Final_Sans_VGE[[#This Row],[ppn_z]]="","",IFERROR(
   IF(_xlfn.XLOOKUP(Final_Sans_VGE[[#This Row],[ppn_z]],tbl_Historique_Final[[#This Row],[ppn_z]],tbl_Historique_Final[[#This Row],[date_modif]])=Final_Sans_VGE[[#This Row],[date_modif]],
      "Ancien",
      "Modifié"),
   "Nouveau")),"")</f>
        <v/>
      </c>
    </row>
    <row r="7122" spans="24:30" x14ac:dyDescent="0.25">
      <c r="X7122" s="8" t="e">
        <f>IF(Final_Sans_VGE[[#This Row],[ppn_z]]="","",IFERROR(
   IF(_xlfn.XLOOKUP(Final_Sans_VGE[[#This Row],[ppn_z]],tbl_Historique_Final[ppn_z],tbl_Historique_Final[date_modif])=Final_Sans_VGE[[#This Row],[date_modif]],
      "Ancien",
      "Modifié"),
   "Nouveau"))</f>
        <v>#VALUE!</v>
      </c>
      <c r="AD7122" s="1" t="str">
        <f>IFERROR(IF(Final_Sans_VGE[[#This Row],[ppn_z]]="","",IFERROR(
   IF(_xlfn.XLOOKUP(Final_Sans_VGE[[#This Row],[ppn_z]],tbl_Historique_Final[[#This Row],[ppn_z]],tbl_Historique_Final[[#This Row],[date_modif]])=Final_Sans_VGE[[#This Row],[date_modif]],
      "Ancien",
      "Modifié"),
   "Nouveau")),"")</f>
        <v/>
      </c>
    </row>
    <row r="7123" spans="24:30" x14ac:dyDescent="0.25">
      <c r="X7123" s="8" t="e">
        <f>IF(Final_Sans_VGE[[#This Row],[ppn_z]]="","",IFERROR(
   IF(_xlfn.XLOOKUP(Final_Sans_VGE[[#This Row],[ppn_z]],tbl_Historique_Final[ppn_z],tbl_Historique_Final[date_modif])=Final_Sans_VGE[[#This Row],[date_modif]],
      "Ancien",
      "Modifié"),
   "Nouveau"))</f>
        <v>#VALUE!</v>
      </c>
      <c r="AD7123" s="1" t="str">
        <f>IFERROR(IF(Final_Sans_VGE[[#This Row],[ppn_z]]="","",IFERROR(
   IF(_xlfn.XLOOKUP(Final_Sans_VGE[[#This Row],[ppn_z]],tbl_Historique_Final[[#This Row],[ppn_z]],tbl_Historique_Final[[#This Row],[date_modif]])=Final_Sans_VGE[[#This Row],[date_modif]],
      "Ancien",
      "Modifié"),
   "Nouveau")),"")</f>
        <v/>
      </c>
    </row>
    <row r="7124" spans="24:30" x14ac:dyDescent="0.25">
      <c r="X7124" s="8" t="e">
        <f>IF(Final_Sans_VGE[[#This Row],[ppn_z]]="","",IFERROR(
   IF(_xlfn.XLOOKUP(Final_Sans_VGE[[#This Row],[ppn_z]],tbl_Historique_Final[ppn_z],tbl_Historique_Final[date_modif])=Final_Sans_VGE[[#This Row],[date_modif]],
      "Ancien",
      "Modifié"),
   "Nouveau"))</f>
        <v>#VALUE!</v>
      </c>
      <c r="AD7124" s="1" t="str">
        <f>IFERROR(IF(Final_Sans_VGE[[#This Row],[ppn_z]]="","",IFERROR(
   IF(_xlfn.XLOOKUP(Final_Sans_VGE[[#This Row],[ppn_z]],tbl_Historique_Final[[#This Row],[ppn_z]],tbl_Historique_Final[[#This Row],[date_modif]])=Final_Sans_VGE[[#This Row],[date_modif]],
      "Ancien",
      "Modifié"),
   "Nouveau")),"")</f>
        <v/>
      </c>
    </row>
    <row r="7125" spans="24:30" x14ac:dyDescent="0.25">
      <c r="X7125" s="8" t="e">
        <f>IF(Final_Sans_VGE[[#This Row],[ppn_z]]="","",IFERROR(
   IF(_xlfn.XLOOKUP(Final_Sans_VGE[[#This Row],[ppn_z]],tbl_Historique_Final[ppn_z],tbl_Historique_Final[date_modif])=Final_Sans_VGE[[#This Row],[date_modif]],
      "Ancien",
      "Modifié"),
   "Nouveau"))</f>
        <v>#VALUE!</v>
      </c>
      <c r="AD7125" s="1" t="str">
        <f>IFERROR(IF(Final_Sans_VGE[[#This Row],[ppn_z]]="","",IFERROR(
   IF(_xlfn.XLOOKUP(Final_Sans_VGE[[#This Row],[ppn_z]],tbl_Historique_Final[[#This Row],[ppn_z]],tbl_Historique_Final[[#This Row],[date_modif]])=Final_Sans_VGE[[#This Row],[date_modif]],
      "Ancien",
      "Modifié"),
   "Nouveau")),"")</f>
        <v/>
      </c>
    </row>
    <row r="7126" spans="24:30" x14ac:dyDescent="0.25">
      <c r="X7126" s="8" t="e">
        <f>IF(Final_Sans_VGE[[#This Row],[ppn_z]]="","",IFERROR(
   IF(_xlfn.XLOOKUP(Final_Sans_VGE[[#This Row],[ppn_z]],tbl_Historique_Final[ppn_z],tbl_Historique_Final[date_modif])=Final_Sans_VGE[[#This Row],[date_modif]],
      "Ancien",
      "Modifié"),
   "Nouveau"))</f>
        <v>#VALUE!</v>
      </c>
      <c r="AD7126" s="1" t="str">
        <f>IFERROR(IF(Final_Sans_VGE[[#This Row],[ppn_z]]="","",IFERROR(
   IF(_xlfn.XLOOKUP(Final_Sans_VGE[[#This Row],[ppn_z]],tbl_Historique_Final[[#This Row],[ppn_z]],tbl_Historique_Final[[#This Row],[date_modif]])=Final_Sans_VGE[[#This Row],[date_modif]],
      "Ancien",
      "Modifié"),
   "Nouveau")),"")</f>
        <v/>
      </c>
    </row>
    <row r="7127" spans="24:30" x14ac:dyDescent="0.25">
      <c r="X7127" s="8" t="e">
        <f>IF(Final_Sans_VGE[[#This Row],[ppn_z]]="","",IFERROR(
   IF(_xlfn.XLOOKUP(Final_Sans_VGE[[#This Row],[ppn_z]],tbl_Historique_Final[ppn_z],tbl_Historique_Final[date_modif])=Final_Sans_VGE[[#This Row],[date_modif]],
      "Ancien",
      "Modifié"),
   "Nouveau"))</f>
        <v>#VALUE!</v>
      </c>
      <c r="AD7127" s="1" t="str">
        <f>IFERROR(IF(Final_Sans_VGE[[#This Row],[ppn_z]]="","",IFERROR(
   IF(_xlfn.XLOOKUP(Final_Sans_VGE[[#This Row],[ppn_z]],tbl_Historique_Final[[#This Row],[ppn_z]],tbl_Historique_Final[[#This Row],[date_modif]])=Final_Sans_VGE[[#This Row],[date_modif]],
      "Ancien",
      "Modifié"),
   "Nouveau")),"")</f>
        <v/>
      </c>
    </row>
    <row r="7128" spans="24:30" x14ac:dyDescent="0.25">
      <c r="X7128" s="8" t="e">
        <f>IF(Final_Sans_VGE[[#This Row],[ppn_z]]="","",IFERROR(
   IF(_xlfn.XLOOKUP(Final_Sans_VGE[[#This Row],[ppn_z]],tbl_Historique_Final[ppn_z],tbl_Historique_Final[date_modif])=Final_Sans_VGE[[#This Row],[date_modif]],
      "Ancien",
      "Modifié"),
   "Nouveau"))</f>
        <v>#VALUE!</v>
      </c>
      <c r="AD7128" s="1" t="str">
        <f>IFERROR(IF(Final_Sans_VGE[[#This Row],[ppn_z]]="","",IFERROR(
   IF(_xlfn.XLOOKUP(Final_Sans_VGE[[#This Row],[ppn_z]],tbl_Historique_Final[[#This Row],[ppn_z]],tbl_Historique_Final[[#This Row],[date_modif]])=Final_Sans_VGE[[#This Row],[date_modif]],
      "Ancien",
      "Modifié"),
   "Nouveau")),"")</f>
        <v/>
      </c>
    </row>
    <row r="7129" spans="24:30" x14ac:dyDescent="0.25">
      <c r="X7129" s="8" t="e">
        <f>IF(Final_Sans_VGE[[#This Row],[ppn_z]]="","",IFERROR(
   IF(_xlfn.XLOOKUP(Final_Sans_VGE[[#This Row],[ppn_z]],tbl_Historique_Final[ppn_z],tbl_Historique_Final[date_modif])=Final_Sans_VGE[[#This Row],[date_modif]],
      "Ancien",
      "Modifié"),
   "Nouveau"))</f>
        <v>#VALUE!</v>
      </c>
      <c r="AD7129" s="1" t="str">
        <f>IFERROR(IF(Final_Sans_VGE[[#This Row],[ppn_z]]="","",IFERROR(
   IF(_xlfn.XLOOKUP(Final_Sans_VGE[[#This Row],[ppn_z]],tbl_Historique_Final[[#This Row],[ppn_z]],tbl_Historique_Final[[#This Row],[date_modif]])=Final_Sans_VGE[[#This Row],[date_modif]],
      "Ancien",
      "Modifié"),
   "Nouveau")),"")</f>
        <v/>
      </c>
    </row>
    <row r="7130" spans="24:30" x14ac:dyDescent="0.25">
      <c r="X7130" s="8" t="e">
        <f>IF(Final_Sans_VGE[[#This Row],[ppn_z]]="","",IFERROR(
   IF(_xlfn.XLOOKUP(Final_Sans_VGE[[#This Row],[ppn_z]],tbl_Historique_Final[ppn_z],tbl_Historique_Final[date_modif])=Final_Sans_VGE[[#This Row],[date_modif]],
      "Ancien",
      "Modifié"),
   "Nouveau"))</f>
        <v>#VALUE!</v>
      </c>
      <c r="AD7130" s="1" t="str">
        <f>IFERROR(IF(Final_Sans_VGE[[#This Row],[ppn_z]]="","",IFERROR(
   IF(_xlfn.XLOOKUP(Final_Sans_VGE[[#This Row],[ppn_z]],tbl_Historique_Final[[#This Row],[ppn_z]],tbl_Historique_Final[[#This Row],[date_modif]])=Final_Sans_VGE[[#This Row],[date_modif]],
      "Ancien",
      "Modifié"),
   "Nouveau")),"")</f>
        <v/>
      </c>
    </row>
    <row r="7131" spans="24:30" x14ac:dyDescent="0.25">
      <c r="X7131" s="8" t="e">
        <f>IF(Final_Sans_VGE[[#This Row],[ppn_z]]="","",IFERROR(
   IF(_xlfn.XLOOKUP(Final_Sans_VGE[[#This Row],[ppn_z]],tbl_Historique_Final[ppn_z],tbl_Historique_Final[date_modif])=Final_Sans_VGE[[#This Row],[date_modif]],
      "Ancien",
      "Modifié"),
   "Nouveau"))</f>
        <v>#VALUE!</v>
      </c>
      <c r="AD7131" s="1" t="str">
        <f>IFERROR(IF(Final_Sans_VGE[[#This Row],[ppn_z]]="","",IFERROR(
   IF(_xlfn.XLOOKUP(Final_Sans_VGE[[#This Row],[ppn_z]],tbl_Historique_Final[[#This Row],[ppn_z]],tbl_Historique_Final[[#This Row],[date_modif]])=Final_Sans_VGE[[#This Row],[date_modif]],
      "Ancien",
      "Modifié"),
   "Nouveau")),"")</f>
        <v/>
      </c>
    </row>
    <row r="7132" spans="24:30" x14ac:dyDescent="0.25">
      <c r="X7132" s="8" t="e">
        <f>IF(Final_Sans_VGE[[#This Row],[ppn_z]]="","",IFERROR(
   IF(_xlfn.XLOOKUP(Final_Sans_VGE[[#This Row],[ppn_z]],tbl_Historique_Final[ppn_z],tbl_Historique_Final[date_modif])=Final_Sans_VGE[[#This Row],[date_modif]],
      "Ancien",
      "Modifié"),
   "Nouveau"))</f>
        <v>#VALUE!</v>
      </c>
      <c r="AD7132" s="1" t="str">
        <f>IFERROR(IF(Final_Sans_VGE[[#This Row],[ppn_z]]="","",IFERROR(
   IF(_xlfn.XLOOKUP(Final_Sans_VGE[[#This Row],[ppn_z]],tbl_Historique_Final[[#This Row],[ppn_z]],tbl_Historique_Final[[#This Row],[date_modif]])=Final_Sans_VGE[[#This Row],[date_modif]],
      "Ancien",
      "Modifié"),
   "Nouveau")),"")</f>
        <v/>
      </c>
    </row>
    <row r="7133" spans="24:30" x14ac:dyDescent="0.25">
      <c r="X7133" s="8" t="e">
        <f>IF(Final_Sans_VGE[[#This Row],[ppn_z]]="","",IFERROR(
   IF(_xlfn.XLOOKUP(Final_Sans_VGE[[#This Row],[ppn_z]],tbl_Historique_Final[ppn_z],tbl_Historique_Final[date_modif])=Final_Sans_VGE[[#This Row],[date_modif]],
      "Ancien",
      "Modifié"),
   "Nouveau"))</f>
        <v>#VALUE!</v>
      </c>
      <c r="AD7133" s="1" t="str">
        <f>IFERROR(IF(Final_Sans_VGE[[#This Row],[ppn_z]]="","",IFERROR(
   IF(_xlfn.XLOOKUP(Final_Sans_VGE[[#This Row],[ppn_z]],tbl_Historique_Final[[#This Row],[ppn_z]],tbl_Historique_Final[[#This Row],[date_modif]])=Final_Sans_VGE[[#This Row],[date_modif]],
      "Ancien",
      "Modifié"),
   "Nouveau")),"")</f>
        <v/>
      </c>
    </row>
    <row r="7134" spans="24:30" x14ac:dyDescent="0.25">
      <c r="X7134" s="8" t="e">
        <f>IF(Final_Sans_VGE[[#This Row],[ppn_z]]="","",IFERROR(
   IF(_xlfn.XLOOKUP(Final_Sans_VGE[[#This Row],[ppn_z]],tbl_Historique_Final[ppn_z],tbl_Historique_Final[date_modif])=Final_Sans_VGE[[#This Row],[date_modif]],
      "Ancien",
      "Modifié"),
   "Nouveau"))</f>
        <v>#VALUE!</v>
      </c>
      <c r="AD7134" s="1" t="str">
        <f>IFERROR(IF(Final_Sans_VGE[[#This Row],[ppn_z]]="","",IFERROR(
   IF(_xlfn.XLOOKUP(Final_Sans_VGE[[#This Row],[ppn_z]],tbl_Historique_Final[[#This Row],[ppn_z]],tbl_Historique_Final[[#This Row],[date_modif]])=Final_Sans_VGE[[#This Row],[date_modif]],
      "Ancien",
      "Modifié"),
   "Nouveau")),"")</f>
        <v/>
      </c>
    </row>
    <row r="7135" spans="24:30" x14ac:dyDescent="0.25">
      <c r="X7135" s="8" t="e">
        <f>IF(Final_Sans_VGE[[#This Row],[ppn_z]]="","",IFERROR(
   IF(_xlfn.XLOOKUP(Final_Sans_VGE[[#This Row],[ppn_z]],tbl_Historique_Final[ppn_z],tbl_Historique_Final[date_modif])=Final_Sans_VGE[[#This Row],[date_modif]],
      "Ancien",
      "Modifié"),
   "Nouveau"))</f>
        <v>#VALUE!</v>
      </c>
      <c r="AD7135" s="1" t="str">
        <f>IFERROR(IF(Final_Sans_VGE[[#This Row],[ppn_z]]="","",IFERROR(
   IF(_xlfn.XLOOKUP(Final_Sans_VGE[[#This Row],[ppn_z]],tbl_Historique_Final[[#This Row],[ppn_z]],tbl_Historique_Final[[#This Row],[date_modif]])=Final_Sans_VGE[[#This Row],[date_modif]],
      "Ancien",
      "Modifié"),
   "Nouveau")),"")</f>
        <v/>
      </c>
    </row>
    <row r="7136" spans="24:30" x14ac:dyDescent="0.25">
      <c r="X7136" s="8" t="e">
        <f>IF(Final_Sans_VGE[[#This Row],[ppn_z]]="","",IFERROR(
   IF(_xlfn.XLOOKUP(Final_Sans_VGE[[#This Row],[ppn_z]],tbl_Historique_Final[ppn_z],tbl_Historique_Final[date_modif])=Final_Sans_VGE[[#This Row],[date_modif]],
      "Ancien",
      "Modifié"),
   "Nouveau"))</f>
        <v>#VALUE!</v>
      </c>
      <c r="AD7136" s="1" t="str">
        <f>IFERROR(IF(Final_Sans_VGE[[#This Row],[ppn_z]]="","",IFERROR(
   IF(_xlfn.XLOOKUP(Final_Sans_VGE[[#This Row],[ppn_z]],tbl_Historique_Final[[#This Row],[ppn_z]],tbl_Historique_Final[[#This Row],[date_modif]])=Final_Sans_VGE[[#This Row],[date_modif]],
      "Ancien",
      "Modifié"),
   "Nouveau")),"")</f>
        <v/>
      </c>
    </row>
    <row r="7137" spans="24:30" x14ac:dyDescent="0.25">
      <c r="X7137" s="8" t="e">
        <f>IF(Final_Sans_VGE[[#This Row],[ppn_z]]="","",IFERROR(
   IF(_xlfn.XLOOKUP(Final_Sans_VGE[[#This Row],[ppn_z]],tbl_Historique_Final[ppn_z],tbl_Historique_Final[date_modif])=Final_Sans_VGE[[#This Row],[date_modif]],
      "Ancien",
      "Modifié"),
   "Nouveau"))</f>
        <v>#VALUE!</v>
      </c>
      <c r="AD7137" s="1" t="str">
        <f>IFERROR(IF(Final_Sans_VGE[[#This Row],[ppn_z]]="","",IFERROR(
   IF(_xlfn.XLOOKUP(Final_Sans_VGE[[#This Row],[ppn_z]],tbl_Historique_Final[[#This Row],[ppn_z]],tbl_Historique_Final[[#This Row],[date_modif]])=Final_Sans_VGE[[#This Row],[date_modif]],
      "Ancien",
      "Modifié"),
   "Nouveau")),"")</f>
        <v/>
      </c>
    </row>
    <row r="7138" spans="24:30" x14ac:dyDescent="0.25">
      <c r="X7138" s="8" t="e">
        <f>IF(Final_Sans_VGE[[#This Row],[ppn_z]]="","",IFERROR(
   IF(_xlfn.XLOOKUP(Final_Sans_VGE[[#This Row],[ppn_z]],tbl_Historique_Final[ppn_z],tbl_Historique_Final[date_modif])=Final_Sans_VGE[[#This Row],[date_modif]],
      "Ancien",
      "Modifié"),
   "Nouveau"))</f>
        <v>#VALUE!</v>
      </c>
      <c r="AD7138" s="1" t="str">
        <f>IFERROR(IF(Final_Sans_VGE[[#This Row],[ppn_z]]="","",IFERROR(
   IF(_xlfn.XLOOKUP(Final_Sans_VGE[[#This Row],[ppn_z]],tbl_Historique_Final[[#This Row],[ppn_z]],tbl_Historique_Final[[#This Row],[date_modif]])=Final_Sans_VGE[[#This Row],[date_modif]],
      "Ancien",
      "Modifié"),
   "Nouveau")),"")</f>
        <v/>
      </c>
    </row>
    <row r="7139" spans="24:30" x14ac:dyDescent="0.25">
      <c r="X7139" s="8" t="e">
        <f>IF(Final_Sans_VGE[[#This Row],[ppn_z]]="","",IFERROR(
   IF(_xlfn.XLOOKUP(Final_Sans_VGE[[#This Row],[ppn_z]],tbl_Historique_Final[ppn_z],tbl_Historique_Final[date_modif])=Final_Sans_VGE[[#This Row],[date_modif]],
      "Ancien",
      "Modifié"),
   "Nouveau"))</f>
        <v>#VALUE!</v>
      </c>
      <c r="AD7139" s="1" t="str">
        <f>IFERROR(IF(Final_Sans_VGE[[#This Row],[ppn_z]]="","",IFERROR(
   IF(_xlfn.XLOOKUP(Final_Sans_VGE[[#This Row],[ppn_z]],tbl_Historique_Final[[#This Row],[ppn_z]],tbl_Historique_Final[[#This Row],[date_modif]])=Final_Sans_VGE[[#This Row],[date_modif]],
      "Ancien",
      "Modifié"),
   "Nouveau")),"")</f>
        <v/>
      </c>
    </row>
    <row r="7140" spans="24:30" x14ac:dyDescent="0.25">
      <c r="X7140" s="8" t="e">
        <f>IF(Final_Sans_VGE[[#This Row],[ppn_z]]="","",IFERROR(
   IF(_xlfn.XLOOKUP(Final_Sans_VGE[[#This Row],[ppn_z]],tbl_Historique_Final[ppn_z],tbl_Historique_Final[date_modif])=Final_Sans_VGE[[#This Row],[date_modif]],
      "Ancien",
      "Modifié"),
   "Nouveau"))</f>
        <v>#VALUE!</v>
      </c>
      <c r="AD7140" s="1" t="str">
        <f>IFERROR(IF(Final_Sans_VGE[[#This Row],[ppn_z]]="","",IFERROR(
   IF(_xlfn.XLOOKUP(Final_Sans_VGE[[#This Row],[ppn_z]],tbl_Historique_Final[[#This Row],[ppn_z]],tbl_Historique_Final[[#This Row],[date_modif]])=Final_Sans_VGE[[#This Row],[date_modif]],
      "Ancien",
      "Modifié"),
   "Nouveau")),"")</f>
        <v/>
      </c>
    </row>
    <row r="7141" spans="24:30" x14ac:dyDescent="0.25">
      <c r="X7141" s="8" t="e">
        <f>IF(Final_Sans_VGE[[#This Row],[ppn_z]]="","",IFERROR(
   IF(_xlfn.XLOOKUP(Final_Sans_VGE[[#This Row],[ppn_z]],tbl_Historique_Final[ppn_z],tbl_Historique_Final[date_modif])=Final_Sans_VGE[[#This Row],[date_modif]],
      "Ancien",
      "Modifié"),
   "Nouveau"))</f>
        <v>#VALUE!</v>
      </c>
      <c r="AD7141" s="1" t="str">
        <f>IFERROR(IF(Final_Sans_VGE[[#This Row],[ppn_z]]="","",IFERROR(
   IF(_xlfn.XLOOKUP(Final_Sans_VGE[[#This Row],[ppn_z]],tbl_Historique_Final[[#This Row],[ppn_z]],tbl_Historique_Final[[#This Row],[date_modif]])=Final_Sans_VGE[[#This Row],[date_modif]],
      "Ancien",
      "Modifié"),
   "Nouveau")),"")</f>
        <v/>
      </c>
    </row>
    <row r="7142" spans="24:30" x14ac:dyDescent="0.25">
      <c r="X7142" s="8" t="e">
        <f>IF(Final_Sans_VGE[[#This Row],[ppn_z]]="","",IFERROR(
   IF(_xlfn.XLOOKUP(Final_Sans_VGE[[#This Row],[ppn_z]],tbl_Historique_Final[ppn_z],tbl_Historique_Final[date_modif])=Final_Sans_VGE[[#This Row],[date_modif]],
      "Ancien",
      "Modifié"),
   "Nouveau"))</f>
        <v>#VALUE!</v>
      </c>
      <c r="AD7142" s="1" t="str">
        <f>IFERROR(IF(Final_Sans_VGE[[#This Row],[ppn_z]]="","",IFERROR(
   IF(_xlfn.XLOOKUP(Final_Sans_VGE[[#This Row],[ppn_z]],tbl_Historique_Final[[#This Row],[ppn_z]],tbl_Historique_Final[[#This Row],[date_modif]])=Final_Sans_VGE[[#This Row],[date_modif]],
      "Ancien",
      "Modifié"),
   "Nouveau")),"")</f>
        <v/>
      </c>
    </row>
    <row r="7143" spans="24:30" x14ac:dyDescent="0.25">
      <c r="X7143" s="8" t="e">
        <f>IF(Final_Sans_VGE[[#This Row],[ppn_z]]="","",IFERROR(
   IF(_xlfn.XLOOKUP(Final_Sans_VGE[[#This Row],[ppn_z]],tbl_Historique_Final[ppn_z],tbl_Historique_Final[date_modif])=Final_Sans_VGE[[#This Row],[date_modif]],
      "Ancien",
      "Modifié"),
   "Nouveau"))</f>
        <v>#VALUE!</v>
      </c>
      <c r="AD7143" s="1" t="str">
        <f>IFERROR(IF(Final_Sans_VGE[[#This Row],[ppn_z]]="","",IFERROR(
   IF(_xlfn.XLOOKUP(Final_Sans_VGE[[#This Row],[ppn_z]],tbl_Historique_Final[[#This Row],[ppn_z]],tbl_Historique_Final[[#This Row],[date_modif]])=Final_Sans_VGE[[#This Row],[date_modif]],
      "Ancien",
      "Modifié"),
   "Nouveau")),"")</f>
        <v/>
      </c>
    </row>
    <row r="7144" spans="24:30" x14ac:dyDescent="0.25">
      <c r="X7144" s="8" t="e">
        <f>IF(Final_Sans_VGE[[#This Row],[ppn_z]]="","",IFERROR(
   IF(_xlfn.XLOOKUP(Final_Sans_VGE[[#This Row],[ppn_z]],tbl_Historique_Final[ppn_z],tbl_Historique_Final[date_modif])=Final_Sans_VGE[[#This Row],[date_modif]],
      "Ancien",
      "Modifié"),
   "Nouveau"))</f>
        <v>#VALUE!</v>
      </c>
      <c r="AD7144" s="1" t="str">
        <f>IFERROR(IF(Final_Sans_VGE[[#This Row],[ppn_z]]="","",IFERROR(
   IF(_xlfn.XLOOKUP(Final_Sans_VGE[[#This Row],[ppn_z]],tbl_Historique_Final[[#This Row],[ppn_z]],tbl_Historique_Final[[#This Row],[date_modif]])=Final_Sans_VGE[[#This Row],[date_modif]],
      "Ancien",
      "Modifié"),
   "Nouveau")),"")</f>
        <v/>
      </c>
    </row>
    <row r="7145" spans="24:30" x14ac:dyDescent="0.25">
      <c r="X7145" s="8" t="e">
        <f>IF(Final_Sans_VGE[[#This Row],[ppn_z]]="","",IFERROR(
   IF(_xlfn.XLOOKUP(Final_Sans_VGE[[#This Row],[ppn_z]],tbl_Historique_Final[ppn_z],tbl_Historique_Final[date_modif])=Final_Sans_VGE[[#This Row],[date_modif]],
      "Ancien",
      "Modifié"),
   "Nouveau"))</f>
        <v>#VALUE!</v>
      </c>
      <c r="AD7145" s="1" t="str">
        <f>IFERROR(IF(Final_Sans_VGE[[#This Row],[ppn_z]]="","",IFERROR(
   IF(_xlfn.XLOOKUP(Final_Sans_VGE[[#This Row],[ppn_z]],tbl_Historique_Final[[#This Row],[ppn_z]],tbl_Historique_Final[[#This Row],[date_modif]])=Final_Sans_VGE[[#This Row],[date_modif]],
      "Ancien",
      "Modifié"),
   "Nouveau")),"")</f>
        <v/>
      </c>
    </row>
    <row r="7146" spans="24:30" x14ac:dyDescent="0.25">
      <c r="X7146" s="8" t="e">
        <f>IF(Final_Sans_VGE[[#This Row],[ppn_z]]="","",IFERROR(
   IF(_xlfn.XLOOKUP(Final_Sans_VGE[[#This Row],[ppn_z]],tbl_Historique_Final[ppn_z],tbl_Historique_Final[date_modif])=Final_Sans_VGE[[#This Row],[date_modif]],
      "Ancien",
      "Modifié"),
   "Nouveau"))</f>
        <v>#VALUE!</v>
      </c>
      <c r="AD7146" s="1" t="str">
        <f>IFERROR(IF(Final_Sans_VGE[[#This Row],[ppn_z]]="","",IFERROR(
   IF(_xlfn.XLOOKUP(Final_Sans_VGE[[#This Row],[ppn_z]],tbl_Historique_Final[[#This Row],[ppn_z]],tbl_Historique_Final[[#This Row],[date_modif]])=Final_Sans_VGE[[#This Row],[date_modif]],
      "Ancien",
      "Modifié"),
   "Nouveau")),"")</f>
        <v/>
      </c>
    </row>
    <row r="7147" spans="24:30" x14ac:dyDescent="0.25">
      <c r="X7147" s="8" t="e">
        <f>IF(Final_Sans_VGE[[#This Row],[ppn_z]]="","",IFERROR(
   IF(_xlfn.XLOOKUP(Final_Sans_VGE[[#This Row],[ppn_z]],tbl_Historique_Final[ppn_z],tbl_Historique_Final[date_modif])=Final_Sans_VGE[[#This Row],[date_modif]],
      "Ancien",
      "Modifié"),
   "Nouveau"))</f>
        <v>#VALUE!</v>
      </c>
      <c r="AD7147" s="1" t="str">
        <f>IFERROR(IF(Final_Sans_VGE[[#This Row],[ppn_z]]="","",IFERROR(
   IF(_xlfn.XLOOKUP(Final_Sans_VGE[[#This Row],[ppn_z]],tbl_Historique_Final[[#This Row],[ppn_z]],tbl_Historique_Final[[#This Row],[date_modif]])=Final_Sans_VGE[[#This Row],[date_modif]],
      "Ancien",
      "Modifié"),
   "Nouveau")),"")</f>
        <v/>
      </c>
    </row>
    <row r="7148" spans="24:30" x14ac:dyDescent="0.25">
      <c r="X7148" s="8" t="e">
        <f>IF(Final_Sans_VGE[[#This Row],[ppn_z]]="","",IFERROR(
   IF(_xlfn.XLOOKUP(Final_Sans_VGE[[#This Row],[ppn_z]],tbl_Historique_Final[ppn_z],tbl_Historique_Final[date_modif])=Final_Sans_VGE[[#This Row],[date_modif]],
      "Ancien",
      "Modifié"),
   "Nouveau"))</f>
        <v>#VALUE!</v>
      </c>
      <c r="AD7148" s="1" t="str">
        <f>IFERROR(IF(Final_Sans_VGE[[#This Row],[ppn_z]]="","",IFERROR(
   IF(_xlfn.XLOOKUP(Final_Sans_VGE[[#This Row],[ppn_z]],tbl_Historique_Final[[#This Row],[ppn_z]],tbl_Historique_Final[[#This Row],[date_modif]])=Final_Sans_VGE[[#This Row],[date_modif]],
      "Ancien",
      "Modifié"),
   "Nouveau")),"")</f>
        <v/>
      </c>
    </row>
    <row r="7149" spans="24:30" x14ac:dyDescent="0.25">
      <c r="X7149" s="8" t="e">
        <f>IF(Final_Sans_VGE[[#This Row],[ppn_z]]="","",IFERROR(
   IF(_xlfn.XLOOKUP(Final_Sans_VGE[[#This Row],[ppn_z]],tbl_Historique_Final[ppn_z],tbl_Historique_Final[date_modif])=Final_Sans_VGE[[#This Row],[date_modif]],
      "Ancien",
      "Modifié"),
   "Nouveau"))</f>
        <v>#VALUE!</v>
      </c>
      <c r="AD7149" s="1" t="str">
        <f>IFERROR(IF(Final_Sans_VGE[[#This Row],[ppn_z]]="","",IFERROR(
   IF(_xlfn.XLOOKUP(Final_Sans_VGE[[#This Row],[ppn_z]],tbl_Historique_Final[[#This Row],[ppn_z]],tbl_Historique_Final[[#This Row],[date_modif]])=Final_Sans_VGE[[#This Row],[date_modif]],
      "Ancien",
      "Modifié"),
   "Nouveau")),"")</f>
        <v/>
      </c>
    </row>
    <row r="7150" spans="24:30" x14ac:dyDescent="0.25">
      <c r="X7150" s="8" t="e">
        <f>IF(Final_Sans_VGE[[#This Row],[ppn_z]]="","",IFERROR(
   IF(_xlfn.XLOOKUP(Final_Sans_VGE[[#This Row],[ppn_z]],tbl_Historique_Final[ppn_z],tbl_Historique_Final[date_modif])=Final_Sans_VGE[[#This Row],[date_modif]],
      "Ancien",
      "Modifié"),
   "Nouveau"))</f>
        <v>#VALUE!</v>
      </c>
      <c r="AD7150" s="1" t="str">
        <f>IFERROR(IF(Final_Sans_VGE[[#This Row],[ppn_z]]="","",IFERROR(
   IF(_xlfn.XLOOKUP(Final_Sans_VGE[[#This Row],[ppn_z]],tbl_Historique_Final[[#This Row],[ppn_z]],tbl_Historique_Final[[#This Row],[date_modif]])=Final_Sans_VGE[[#This Row],[date_modif]],
      "Ancien",
      "Modifié"),
   "Nouveau")),"")</f>
        <v/>
      </c>
    </row>
    <row r="7151" spans="24:30" x14ac:dyDescent="0.25">
      <c r="X7151" s="8" t="e">
        <f>IF(Final_Sans_VGE[[#This Row],[ppn_z]]="","",IFERROR(
   IF(_xlfn.XLOOKUP(Final_Sans_VGE[[#This Row],[ppn_z]],tbl_Historique_Final[ppn_z],tbl_Historique_Final[date_modif])=Final_Sans_VGE[[#This Row],[date_modif]],
      "Ancien",
      "Modifié"),
   "Nouveau"))</f>
        <v>#VALUE!</v>
      </c>
      <c r="AD7151" s="1" t="str">
        <f>IFERROR(IF(Final_Sans_VGE[[#This Row],[ppn_z]]="","",IFERROR(
   IF(_xlfn.XLOOKUP(Final_Sans_VGE[[#This Row],[ppn_z]],tbl_Historique_Final[[#This Row],[ppn_z]],tbl_Historique_Final[[#This Row],[date_modif]])=Final_Sans_VGE[[#This Row],[date_modif]],
      "Ancien",
      "Modifié"),
   "Nouveau")),"")</f>
        <v/>
      </c>
    </row>
    <row r="7152" spans="24:30" x14ac:dyDescent="0.25">
      <c r="X7152" s="8" t="e">
        <f>IF(Final_Sans_VGE[[#This Row],[ppn_z]]="","",IFERROR(
   IF(_xlfn.XLOOKUP(Final_Sans_VGE[[#This Row],[ppn_z]],tbl_Historique_Final[ppn_z],tbl_Historique_Final[date_modif])=Final_Sans_VGE[[#This Row],[date_modif]],
      "Ancien",
      "Modifié"),
   "Nouveau"))</f>
        <v>#VALUE!</v>
      </c>
      <c r="AD7152" s="1" t="str">
        <f>IFERROR(IF(Final_Sans_VGE[[#This Row],[ppn_z]]="","",IFERROR(
   IF(_xlfn.XLOOKUP(Final_Sans_VGE[[#This Row],[ppn_z]],tbl_Historique_Final[[#This Row],[ppn_z]],tbl_Historique_Final[[#This Row],[date_modif]])=Final_Sans_VGE[[#This Row],[date_modif]],
      "Ancien",
      "Modifié"),
   "Nouveau")),"")</f>
        <v/>
      </c>
    </row>
    <row r="7153" spans="24:30" x14ac:dyDescent="0.25">
      <c r="X7153" s="8" t="e">
        <f>IF(Final_Sans_VGE[[#This Row],[ppn_z]]="","",IFERROR(
   IF(_xlfn.XLOOKUP(Final_Sans_VGE[[#This Row],[ppn_z]],tbl_Historique_Final[ppn_z],tbl_Historique_Final[date_modif])=Final_Sans_VGE[[#This Row],[date_modif]],
      "Ancien",
      "Modifié"),
   "Nouveau"))</f>
        <v>#VALUE!</v>
      </c>
      <c r="AD7153" s="1" t="str">
        <f>IFERROR(IF(Final_Sans_VGE[[#This Row],[ppn_z]]="","",IFERROR(
   IF(_xlfn.XLOOKUP(Final_Sans_VGE[[#This Row],[ppn_z]],tbl_Historique_Final[[#This Row],[ppn_z]],tbl_Historique_Final[[#This Row],[date_modif]])=Final_Sans_VGE[[#This Row],[date_modif]],
      "Ancien",
      "Modifié"),
   "Nouveau")),"")</f>
        <v/>
      </c>
    </row>
    <row r="7154" spans="24:30" x14ac:dyDescent="0.25">
      <c r="X7154" s="8" t="e">
        <f>IF(Final_Sans_VGE[[#This Row],[ppn_z]]="","",IFERROR(
   IF(_xlfn.XLOOKUP(Final_Sans_VGE[[#This Row],[ppn_z]],tbl_Historique_Final[ppn_z],tbl_Historique_Final[date_modif])=Final_Sans_VGE[[#This Row],[date_modif]],
      "Ancien",
      "Modifié"),
   "Nouveau"))</f>
        <v>#VALUE!</v>
      </c>
      <c r="AD7154" s="1" t="str">
        <f>IFERROR(IF(Final_Sans_VGE[[#This Row],[ppn_z]]="","",IFERROR(
   IF(_xlfn.XLOOKUP(Final_Sans_VGE[[#This Row],[ppn_z]],tbl_Historique_Final[[#This Row],[ppn_z]],tbl_Historique_Final[[#This Row],[date_modif]])=Final_Sans_VGE[[#This Row],[date_modif]],
      "Ancien",
      "Modifié"),
   "Nouveau")),"")</f>
        <v/>
      </c>
    </row>
    <row r="7155" spans="24:30" x14ac:dyDescent="0.25">
      <c r="X7155" s="8" t="e">
        <f>IF(Final_Sans_VGE[[#This Row],[ppn_z]]="","",IFERROR(
   IF(_xlfn.XLOOKUP(Final_Sans_VGE[[#This Row],[ppn_z]],tbl_Historique_Final[ppn_z],tbl_Historique_Final[date_modif])=Final_Sans_VGE[[#This Row],[date_modif]],
      "Ancien",
      "Modifié"),
   "Nouveau"))</f>
        <v>#VALUE!</v>
      </c>
      <c r="AD7155" s="1" t="str">
        <f>IFERROR(IF(Final_Sans_VGE[[#This Row],[ppn_z]]="","",IFERROR(
   IF(_xlfn.XLOOKUP(Final_Sans_VGE[[#This Row],[ppn_z]],tbl_Historique_Final[[#This Row],[ppn_z]],tbl_Historique_Final[[#This Row],[date_modif]])=Final_Sans_VGE[[#This Row],[date_modif]],
      "Ancien",
      "Modifié"),
   "Nouveau")),"")</f>
        <v/>
      </c>
    </row>
    <row r="7156" spans="24:30" x14ac:dyDescent="0.25">
      <c r="X7156" s="8" t="e">
        <f>IF(Final_Sans_VGE[[#This Row],[ppn_z]]="","",IFERROR(
   IF(_xlfn.XLOOKUP(Final_Sans_VGE[[#This Row],[ppn_z]],tbl_Historique_Final[ppn_z],tbl_Historique_Final[date_modif])=Final_Sans_VGE[[#This Row],[date_modif]],
      "Ancien",
      "Modifié"),
   "Nouveau"))</f>
        <v>#VALUE!</v>
      </c>
      <c r="AD7156" s="1" t="str">
        <f>IFERROR(IF(Final_Sans_VGE[[#This Row],[ppn_z]]="","",IFERROR(
   IF(_xlfn.XLOOKUP(Final_Sans_VGE[[#This Row],[ppn_z]],tbl_Historique_Final[[#This Row],[ppn_z]],tbl_Historique_Final[[#This Row],[date_modif]])=Final_Sans_VGE[[#This Row],[date_modif]],
      "Ancien",
      "Modifié"),
   "Nouveau")),"")</f>
        <v/>
      </c>
    </row>
    <row r="7157" spans="24:30" x14ac:dyDescent="0.25">
      <c r="X7157" s="8" t="e">
        <f>IF(Final_Sans_VGE[[#This Row],[ppn_z]]="","",IFERROR(
   IF(_xlfn.XLOOKUP(Final_Sans_VGE[[#This Row],[ppn_z]],tbl_Historique_Final[ppn_z],tbl_Historique_Final[date_modif])=Final_Sans_VGE[[#This Row],[date_modif]],
      "Ancien",
      "Modifié"),
   "Nouveau"))</f>
        <v>#VALUE!</v>
      </c>
      <c r="AD7157" s="1" t="str">
        <f>IFERROR(IF(Final_Sans_VGE[[#This Row],[ppn_z]]="","",IFERROR(
   IF(_xlfn.XLOOKUP(Final_Sans_VGE[[#This Row],[ppn_z]],tbl_Historique_Final[[#This Row],[ppn_z]],tbl_Historique_Final[[#This Row],[date_modif]])=Final_Sans_VGE[[#This Row],[date_modif]],
      "Ancien",
      "Modifié"),
   "Nouveau")),"")</f>
        <v/>
      </c>
    </row>
    <row r="7158" spans="24:30" x14ac:dyDescent="0.25">
      <c r="X7158" s="8" t="e">
        <f>IF(Final_Sans_VGE[[#This Row],[ppn_z]]="","",IFERROR(
   IF(_xlfn.XLOOKUP(Final_Sans_VGE[[#This Row],[ppn_z]],tbl_Historique_Final[ppn_z],tbl_Historique_Final[date_modif])=Final_Sans_VGE[[#This Row],[date_modif]],
      "Ancien",
      "Modifié"),
   "Nouveau"))</f>
        <v>#VALUE!</v>
      </c>
      <c r="AD7158" s="1" t="str">
        <f>IFERROR(IF(Final_Sans_VGE[[#This Row],[ppn_z]]="","",IFERROR(
   IF(_xlfn.XLOOKUP(Final_Sans_VGE[[#This Row],[ppn_z]],tbl_Historique_Final[[#This Row],[ppn_z]],tbl_Historique_Final[[#This Row],[date_modif]])=Final_Sans_VGE[[#This Row],[date_modif]],
      "Ancien",
      "Modifié"),
   "Nouveau")),"")</f>
        <v/>
      </c>
    </row>
    <row r="7159" spans="24:30" x14ac:dyDescent="0.25">
      <c r="X7159" s="8" t="e">
        <f>IF(Final_Sans_VGE[[#This Row],[ppn_z]]="","",IFERROR(
   IF(_xlfn.XLOOKUP(Final_Sans_VGE[[#This Row],[ppn_z]],tbl_Historique_Final[ppn_z],tbl_Historique_Final[date_modif])=Final_Sans_VGE[[#This Row],[date_modif]],
      "Ancien",
      "Modifié"),
   "Nouveau"))</f>
        <v>#VALUE!</v>
      </c>
      <c r="AD7159" s="1" t="str">
        <f>IFERROR(IF(Final_Sans_VGE[[#This Row],[ppn_z]]="","",IFERROR(
   IF(_xlfn.XLOOKUP(Final_Sans_VGE[[#This Row],[ppn_z]],tbl_Historique_Final[[#This Row],[ppn_z]],tbl_Historique_Final[[#This Row],[date_modif]])=Final_Sans_VGE[[#This Row],[date_modif]],
      "Ancien",
      "Modifié"),
   "Nouveau")),"")</f>
        <v/>
      </c>
    </row>
    <row r="7160" spans="24:30" x14ac:dyDescent="0.25">
      <c r="X7160" s="8" t="e">
        <f>IF(Final_Sans_VGE[[#This Row],[ppn_z]]="","",IFERROR(
   IF(_xlfn.XLOOKUP(Final_Sans_VGE[[#This Row],[ppn_z]],tbl_Historique_Final[ppn_z],tbl_Historique_Final[date_modif])=Final_Sans_VGE[[#This Row],[date_modif]],
      "Ancien",
      "Modifié"),
   "Nouveau"))</f>
        <v>#VALUE!</v>
      </c>
      <c r="AD7160" s="1" t="str">
        <f>IFERROR(IF(Final_Sans_VGE[[#This Row],[ppn_z]]="","",IFERROR(
   IF(_xlfn.XLOOKUP(Final_Sans_VGE[[#This Row],[ppn_z]],tbl_Historique_Final[[#This Row],[ppn_z]],tbl_Historique_Final[[#This Row],[date_modif]])=Final_Sans_VGE[[#This Row],[date_modif]],
      "Ancien",
      "Modifié"),
   "Nouveau")),"")</f>
        <v/>
      </c>
    </row>
    <row r="7161" spans="24:30" x14ac:dyDescent="0.25">
      <c r="X7161" s="8" t="e">
        <f>IF(Final_Sans_VGE[[#This Row],[ppn_z]]="","",IFERROR(
   IF(_xlfn.XLOOKUP(Final_Sans_VGE[[#This Row],[ppn_z]],tbl_Historique_Final[ppn_z],tbl_Historique_Final[date_modif])=Final_Sans_VGE[[#This Row],[date_modif]],
      "Ancien",
      "Modifié"),
   "Nouveau"))</f>
        <v>#VALUE!</v>
      </c>
      <c r="AD7161" s="1" t="str">
        <f>IFERROR(IF(Final_Sans_VGE[[#This Row],[ppn_z]]="","",IFERROR(
   IF(_xlfn.XLOOKUP(Final_Sans_VGE[[#This Row],[ppn_z]],tbl_Historique_Final[[#This Row],[ppn_z]],tbl_Historique_Final[[#This Row],[date_modif]])=Final_Sans_VGE[[#This Row],[date_modif]],
      "Ancien",
      "Modifié"),
   "Nouveau")),"")</f>
        <v/>
      </c>
    </row>
    <row r="7162" spans="24:30" x14ac:dyDescent="0.25">
      <c r="X7162" s="8" t="e">
        <f>IF(Final_Sans_VGE[[#This Row],[ppn_z]]="","",IFERROR(
   IF(_xlfn.XLOOKUP(Final_Sans_VGE[[#This Row],[ppn_z]],tbl_Historique_Final[ppn_z],tbl_Historique_Final[date_modif])=Final_Sans_VGE[[#This Row],[date_modif]],
      "Ancien",
      "Modifié"),
   "Nouveau"))</f>
        <v>#VALUE!</v>
      </c>
      <c r="AD7162" s="1" t="str">
        <f>IFERROR(IF(Final_Sans_VGE[[#This Row],[ppn_z]]="","",IFERROR(
   IF(_xlfn.XLOOKUP(Final_Sans_VGE[[#This Row],[ppn_z]],tbl_Historique_Final[[#This Row],[ppn_z]],tbl_Historique_Final[[#This Row],[date_modif]])=Final_Sans_VGE[[#This Row],[date_modif]],
      "Ancien",
      "Modifié"),
   "Nouveau")),"")</f>
        <v/>
      </c>
    </row>
    <row r="7163" spans="24:30" x14ac:dyDescent="0.25">
      <c r="X7163" s="8" t="e">
        <f>IF(Final_Sans_VGE[[#This Row],[ppn_z]]="","",IFERROR(
   IF(_xlfn.XLOOKUP(Final_Sans_VGE[[#This Row],[ppn_z]],tbl_Historique_Final[ppn_z],tbl_Historique_Final[date_modif])=Final_Sans_VGE[[#This Row],[date_modif]],
      "Ancien",
      "Modifié"),
   "Nouveau"))</f>
        <v>#VALUE!</v>
      </c>
      <c r="AD7163" s="1" t="str">
        <f>IFERROR(IF(Final_Sans_VGE[[#This Row],[ppn_z]]="","",IFERROR(
   IF(_xlfn.XLOOKUP(Final_Sans_VGE[[#This Row],[ppn_z]],tbl_Historique_Final[[#This Row],[ppn_z]],tbl_Historique_Final[[#This Row],[date_modif]])=Final_Sans_VGE[[#This Row],[date_modif]],
      "Ancien",
      "Modifié"),
   "Nouveau")),"")</f>
        <v/>
      </c>
    </row>
    <row r="7164" spans="24:30" x14ac:dyDescent="0.25">
      <c r="X7164" s="8" t="e">
        <f>IF(Final_Sans_VGE[[#This Row],[ppn_z]]="","",IFERROR(
   IF(_xlfn.XLOOKUP(Final_Sans_VGE[[#This Row],[ppn_z]],tbl_Historique_Final[ppn_z],tbl_Historique_Final[date_modif])=Final_Sans_VGE[[#This Row],[date_modif]],
      "Ancien",
      "Modifié"),
   "Nouveau"))</f>
        <v>#VALUE!</v>
      </c>
      <c r="AD7164" s="1" t="str">
        <f>IFERROR(IF(Final_Sans_VGE[[#This Row],[ppn_z]]="","",IFERROR(
   IF(_xlfn.XLOOKUP(Final_Sans_VGE[[#This Row],[ppn_z]],tbl_Historique_Final[[#This Row],[ppn_z]],tbl_Historique_Final[[#This Row],[date_modif]])=Final_Sans_VGE[[#This Row],[date_modif]],
      "Ancien",
      "Modifié"),
   "Nouveau")),"")</f>
        <v/>
      </c>
    </row>
    <row r="7165" spans="24:30" x14ac:dyDescent="0.25">
      <c r="X7165" s="8" t="e">
        <f>IF(Final_Sans_VGE[[#This Row],[ppn_z]]="","",IFERROR(
   IF(_xlfn.XLOOKUP(Final_Sans_VGE[[#This Row],[ppn_z]],tbl_Historique_Final[ppn_z],tbl_Historique_Final[date_modif])=Final_Sans_VGE[[#This Row],[date_modif]],
      "Ancien",
      "Modifié"),
   "Nouveau"))</f>
        <v>#VALUE!</v>
      </c>
      <c r="AD7165" s="1" t="str">
        <f>IFERROR(IF(Final_Sans_VGE[[#This Row],[ppn_z]]="","",IFERROR(
   IF(_xlfn.XLOOKUP(Final_Sans_VGE[[#This Row],[ppn_z]],tbl_Historique_Final[[#This Row],[ppn_z]],tbl_Historique_Final[[#This Row],[date_modif]])=Final_Sans_VGE[[#This Row],[date_modif]],
      "Ancien",
      "Modifié"),
   "Nouveau")),"")</f>
        <v/>
      </c>
    </row>
    <row r="7166" spans="24:30" x14ac:dyDescent="0.25">
      <c r="X7166" s="8" t="e">
        <f>IF(Final_Sans_VGE[[#This Row],[ppn_z]]="","",IFERROR(
   IF(_xlfn.XLOOKUP(Final_Sans_VGE[[#This Row],[ppn_z]],tbl_Historique_Final[ppn_z],tbl_Historique_Final[date_modif])=Final_Sans_VGE[[#This Row],[date_modif]],
      "Ancien",
      "Modifié"),
   "Nouveau"))</f>
        <v>#VALUE!</v>
      </c>
      <c r="AD7166" s="1" t="str">
        <f>IFERROR(IF(Final_Sans_VGE[[#This Row],[ppn_z]]="","",IFERROR(
   IF(_xlfn.XLOOKUP(Final_Sans_VGE[[#This Row],[ppn_z]],tbl_Historique_Final[[#This Row],[ppn_z]],tbl_Historique_Final[[#This Row],[date_modif]])=Final_Sans_VGE[[#This Row],[date_modif]],
      "Ancien",
      "Modifié"),
   "Nouveau")),"")</f>
        <v/>
      </c>
    </row>
    <row r="7167" spans="24:30" x14ac:dyDescent="0.25">
      <c r="X7167" s="8" t="e">
        <f>IF(Final_Sans_VGE[[#This Row],[ppn_z]]="","",IFERROR(
   IF(_xlfn.XLOOKUP(Final_Sans_VGE[[#This Row],[ppn_z]],tbl_Historique_Final[ppn_z],tbl_Historique_Final[date_modif])=Final_Sans_VGE[[#This Row],[date_modif]],
      "Ancien",
      "Modifié"),
   "Nouveau"))</f>
        <v>#VALUE!</v>
      </c>
      <c r="AD7167" s="1" t="str">
        <f>IFERROR(IF(Final_Sans_VGE[[#This Row],[ppn_z]]="","",IFERROR(
   IF(_xlfn.XLOOKUP(Final_Sans_VGE[[#This Row],[ppn_z]],tbl_Historique_Final[[#This Row],[ppn_z]],tbl_Historique_Final[[#This Row],[date_modif]])=Final_Sans_VGE[[#This Row],[date_modif]],
      "Ancien",
      "Modifié"),
   "Nouveau")),"")</f>
        <v/>
      </c>
    </row>
    <row r="7168" spans="24:30" x14ac:dyDescent="0.25">
      <c r="X7168" s="8" t="e">
        <f>IF(Final_Sans_VGE[[#This Row],[ppn_z]]="","",IFERROR(
   IF(_xlfn.XLOOKUP(Final_Sans_VGE[[#This Row],[ppn_z]],tbl_Historique_Final[ppn_z],tbl_Historique_Final[date_modif])=Final_Sans_VGE[[#This Row],[date_modif]],
      "Ancien",
      "Modifié"),
   "Nouveau"))</f>
        <v>#VALUE!</v>
      </c>
      <c r="AD7168" s="1" t="str">
        <f>IFERROR(IF(Final_Sans_VGE[[#This Row],[ppn_z]]="","",IFERROR(
   IF(_xlfn.XLOOKUP(Final_Sans_VGE[[#This Row],[ppn_z]],tbl_Historique_Final[[#This Row],[ppn_z]],tbl_Historique_Final[[#This Row],[date_modif]])=Final_Sans_VGE[[#This Row],[date_modif]],
      "Ancien",
      "Modifié"),
   "Nouveau")),"")</f>
        <v/>
      </c>
    </row>
    <row r="7169" spans="24:30" x14ac:dyDescent="0.25">
      <c r="X7169" s="8" t="e">
        <f>IF(Final_Sans_VGE[[#This Row],[ppn_z]]="","",IFERROR(
   IF(_xlfn.XLOOKUP(Final_Sans_VGE[[#This Row],[ppn_z]],tbl_Historique_Final[ppn_z],tbl_Historique_Final[date_modif])=Final_Sans_VGE[[#This Row],[date_modif]],
      "Ancien",
      "Modifié"),
   "Nouveau"))</f>
        <v>#VALUE!</v>
      </c>
      <c r="AD7169" s="1" t="str">
        <f>IFERROR(IF(Final_Sans_VGE[[#This Row],[ppn_z]]="","",IFERROR(
   IF(_xlfn.XLOOKUP(Final_Sans_VGE[[#This Row],[ppn_z]],tbl_Historique_Final[[#This Row],[ppn_z]],tbl_Historique_Final[[#This Row],[date_modif]])=Final_Sans_VGE[[#This Row],[date_modif]],
      "Ancien",
      "Modifié"),
   "Nouveau")),"")</f>
        <v/>
      </c>
    </row>
    <row r="7170" spans="24:30" x14ac:dyDescent="0.25">
      <c r="X7170" s="8" t="e">
        <f>IF(Final_Sans_VGE[[#This Row],[ppn_z]]="","",IFERROR(
   IF(_xlfn.XLOOKUP(Final_Sans_VGE[[#This Row],[ppn_z]],tbl_Historique_Final[ppn_z],tbl_Historique_Final[date_modif])=Final_Sans_VGE[[#This Row],[date_modif]],
      "Ancien",
      "Modifié"),
   "Nouveau"))</f>
        <v>#VALUE!</v>
      </c>
      <c r="AD7170" s="1" t="str">
        <f>IFERROR(IF(Final_Sans_VGE[[#This Row],[ppn_z]]="","",IFERROR(
   IF(_xlfn.XLOOKUP(Final_Sans_VGE[[#This Row],[ppn_z]],tbl_Historique_Final[[#This Row],[ppn_z]],tbl_Historique_Final[[#This Row],[date_modif]])=Final_Sans_VGE[[#This Row],[date_modif]],
      "Ancien",
      "Modifié"),
   "Nouveau")),"")</f>
        <v/>
      </c>
    </row>
    <row r="7171" spans="24:30" x14ac:dyDescent="0.25">
      <c r="X7171" s="8" t="e">
        <f>IF(Final_Sans_VGE[[#This Row],[ppn_z]]="","",IFERROR(
   IF(_xlfn.XLOOKUP(Final_Sans_VGE[[#This Row],[ppn_z]],tbl_Historique_Final[ppn_z],tbl_Historique_Final[date_modif])=Final_Sans_VGE[[#This Row],[date_modif]],
      "Ancien",
      "Modifié"),
   "Nouveau"))</f>
        <v>#VALUE!</v>
      </c>
      <c r="AD7171" s="1" t="str">
        <f>IFERROR(IF(Final_Sans_VGE[[#This Row],[ppn_z]]="","",IFERROR(
   IF(_xlfn.XLOOKUP(Final_Sans_VGE[[#This Row],[ppn_z]],tbl_Historique_Final[[#This Row],[ppn_z]],tbl_Historique_Final[[#This Row],[date_modif]])=Final_Sans_VGE[[#This Row],[date_modif]],
      "Ancien",
      "Modifié"),
   "Nouveau")),"")</f>
        <v/>
      </c>
    </row>
    <row r="7172" spans="24:30" x14ac:dyDescent="0.25">
      <c r="X7172" s="8" t="e">
        <f>IF(Final_Sans_VGE[[#This Row],[ppn_z]]="","",IFERROR(
   IF(_xlfn.XLOOKUP(Final_Sans_VGE[[#This Row],[ppn_z]],tbl_Historique_Final[ppn_z],tbl_Historique_Final[date_modif])=Final_Sans_VGE[[#This Row],[date_modif]],
      "Ancien",
      "Modifié"),
   "Nouveau"))</f>
        <v>#VALUE!</v>
      </c>
      <c r="AD7172" s="1" t="str">
        <f>IFERROR(IF(Final_Sans_VGE[[#This Row],[ppn_z]]="","",IFERROR(
   IF(_xlfn.XLOOKUP(Final_Sans_VGE[[#This Row],[ppn_z]],tbl_Historique_Final[[#This Row],[ppn_z]],tbl_Historique_Final[[#This Row],[date_modif]])=Final_Sans_VGE[[#This Row],[date_modif]],
      "Ancien",
      "Modifié"),
   "Nouveau")),"")</f>
        <v/>
      </c>
    </row>
    <row r="7173" spans="24:30" x14ac:dyDescent="0.25">
      <c r="X7173" s="8" t="e">
        <f>IF(Final_Sans_VGE[[#This Row],[ppn_z]]="","",IFERROR(
   IF(_xlfn.XLOOKUP(Final_Sans_VGE[[#This Row],[ppn_z]],tbl_Historique_Final[ppn_z],tbl_Historique_Final[date_modif])=Final_Sans_VGE[[#This Row],[date_modif]],
      "Ancien",
      "Modifié"),
   "Nouveau"))</f>
        <v>#VALUE!</v>
      </c>
      <c r="AD7173" s="1" t="str">
        <f>IFERROR(IF(Final_Sans_VGE[[#This Row],[ppn_z]]="","",IFERROR(
   IF(_xlfn.XLOOKUP(Final_Sans_VGE[[#This Row],[ppn_z]],tbl_Historique_Final[[#This Row],[ppn_z]],tbl_Historique_Final[[#This Row],[date_modif]])=Final_Sans_VGE[[#This Row],[date_modif]],
      "Ancien",
      "Modifié"),
   "Nouveau")),"")</f>
        <v/>
      </c>
    </row>
    <row r="7174" spans="24:30" x14ac:dyDescent="0.25">
      <c r="X7174" s="8" t="e">
        <f>IF(Final_Sans_VGE[[#This Row],[ppn_z]]="","",IFERROR(
   IF(_xlfn.XLOOKUP(Final_Sans_VGE[[#This Row],[ppn_z]],tbl_Historique_Final[ppn_z],tbl_Historique_Final[date_modif])=Final_Sans_VGE[[#This Row],[date_modif]],
      "Ancien",
      "Modifié"),
   "Nouveau"))</f>
        <v>#VALUE!</v>
      </c>
      <c r="AD7174" s="1" t="str">
        <f>IFERROR(IF(Final_Sans_VGE[[#This Row],[ppn_z]]="","",IFERROR(
   IF(_xlfn.XLOOKUP(Final_Sans_VGE[[#This Row],[ppn_z]],tbl_Historique_Final[[#This Row],[ppn_z]],tbl_Historique_Final[[#This Row],[date_modif]])=Final_Sans_VGE[[#This Row],[date_modif]],
      "Ancien",
      "Modifié"),
   "Nouveau")),"")</f>
        <v/>
      </c>
    </row>
    <row r="7175" spans="24:30" x14ac:dyDescent="0.25">
      <c r="X7175" s="8" t="e">
        <f>IF(Final_Sans_VGE[[#This Row],[ppn_z]]="","",IFERROR(
   IF(_xlfn.XLOOKUP(Final_Sans_VGE[[#This Row],[ppn_z]],tbl_Historique_Final[ppn_z],tbl_Historique_Final[date_modif])=Final_Sans_VGE[[#This Row],[date_modif]],
      "Ancien",
      "Modifié"),
   "Nouveau"))</f>
        <v>#VALUE!</v>
      </c>
      <c r="AD7175" s="1" t="str">
        <f>IFERROR(IF(Final_Sans_VGE[[#This Row],[ppn_z]]="","",IFERROR(
   IF(_xlfn.XLOOKUP(Final_Sans_VGE[[#This Row],[ppn_z]],tbl_Historique_Final[[#This Row],[ppn_z]],tbl_Historique_Final[[#This Row],[date_modif]])=Final_Sans_VGE[[#This Row],[date_modif]],
      "Ancien",
      "Modifié"),
   "Nouveau")),"")</f>
        <v/>
      </c>
    </row>
    <row r="7176" spans="24:30" x14ac:dyDescent="0.25">
      <c r="X7176" s="8" t="e">
        <f>IF(Final_Sans_VGE[[#This Row],[ppn_z]]="","",IFERROR(
   IF(_xlfn.XLOOKUP(Final_Sans_VGE[[#This Row],[ppn_z]],tbl_Historique_Final[ppn_z],tbl_Historique_Final[date_modif])=Final_Sans_VGE[[#This Row],[date_modif]],
      "Ancien",
      "Modifié"),
   "Nouveau"))</f>
        <v>#VALUE!</v>
      </c>
      <c r="AD7176" s="1" t="str">
        <f>IFERROR(IF(Final_Sans_VGE[[#This Row],[ppn_z]]="","",IFERROR(
   IF(_xlfn.XLOOKUP(Final_Sans_VGE[[#This Row],[ppn_z]],tbl_Historique_Final[[#This Row],[ppn_z]],tbl_Historique_Final[[#This Row],[date_modif]])=Final_Sans_VGE[[#This Row],[date_modif]],
      "Ancien",
      "Modifié"),
   "Nouveau")),"")</f>
        <v/>
      </c>
    </row>
    <row r="7177" spans="24:30" x14ac:dyDescent="0.25">
      <c r="X7177" s="8" t="e">
        <f>IF(Final_Sans_VGE[[#This Row],[ppn_z]]="","",IFERROR(
   IF(_xlfn.XLOOKUP(Final_Sans_VGE[[#This Row],[ppn_z]],tbl_Historique_Final[ppn_z],tbl_Historique_Final[date_modif])=Final_Sans_VGE[[#This Row],[date_modif]],
      "Ancien",
      "Modifié"),
   "Nouveau"))</f>
        <v>#VALUE!</v>
      </c>
      <c r="AD7177" s="1" t="str">
        <f>IFERROR(IF(Final_Sans_VGE[[#This Row],[ppn_z]]="","",IFERROR(
   IF(_xlfn.XLOOKUP(Final_Sans_VGE[[#This Row],[ppn_z]],tbl_Historique_Final[[#This Row],[ppn_z]],tbl_Historique_Final[[#This Row],[date_modif]])=Final_Sans_VGE[[#This Row],[date_modif]],
      "Ancien",
      "Modifié"),
   "Nouveau")),"")</f>
        <v/>
      </c>
    </row>
    <row r="7178" spans="24:30" x14ac:dyDescent="0.25">
      <c r="X7178" s="8" t="e">
        <f>IF(Final_Sans_VGE[[#This Row],[ppn_z]]="","",IFERROR(
   IF(_xlfn.XLOOKUP(Final_Sans_VGE[[#This Row],[ppn_z]],tbl_Historique_Final[ppn_z],tbl_Historique_Final[date_modif])=Final_Sans_VGE[[#This Row],[date_modif]],
      "Ancien",
      "Modifié"),
   "Nouveau"))</f>
        <v>#VALUE!</v>
      </c>
      <c r="AD7178" s="1" t="str">
        <f>IFERROR(IF(Final_Sans_VGE[[#This Row],[ppn_z]]="","",IFERROR(
   IF(_xlfn.XLOOKUP(Final_Sans_VGE[[#This Row],[ppn_z]],tbl_Historique_Final[[#This Row],[ppn_z]],tbl_Historique_Final[[#This Row],[date_modif]])=Final_Sans_VGE[[#This Row],[date_modif]],
      "Ancien",
      "Modifié"),
   "Nouveau")),"")</f>
        <v/>
      </c>
    </row>
    <row r="7179" spans="24:30" x14ac:dyDescent="0.25">
      <c r="X7179" s="8" t="e">
        <f>IF(Final_Sans_VGE[[#This Row],[ppn_z]]="","",IFERROR(
   IF(_xlfn.XLOOKUP(Final_Sans_VGE[[#This Row],[ppn_z]],tbl_Historique_Final[ppn_z],tbl_Historique_Final[date_modif])=Final_Sans_VGE[[#This Row],[date_modif]],
      "Ancien",
      "Modifié"),
   "Nouveau"))</f>
        <v>#VALUE!</v>
      </c>
      <c r="AD7179" s="1" t="str">
        <f>IFERROR(IF(Final_Sans_VGE[[#This Row],[ppn_z]]="","",IFERROR(
   IF(_xlfn.XLOOKUP(Final_Sans_VGE[[#This Row],[ppn_z]],tbl_Historique_Final[[#This Row],[ppn_z]],tbl_Historique_Final[[#This Row],[date_modif]])=Final_Sans_VGE[[#This Row],[date_modif]],
      "Ancien",
      "Modifié"),
   "Nouveau")),"")</f>
        <v/>
      </c>
    </row>
    <row r="7180" spans="24:30" x14ac:dyDescent="0.25">
      <c r="X7180" s="8" t="e">
        <f>IF(Final_Sans_VGE[[#This Row],[ppn_z]]="","",IFERROR(
   IF(_xlfn.XLOOKUP(Final_Sans_VGE[[#This Row],[ppn_z]],tbl_Historique_Final[ppn_z],tbl_Historique_Final[date_modif])=Final_Sans_VGE[[#This Row],[date_modif]],
      "Ancien",
      "Modifié"),
   "Nouveau"))</f>
        <v>#VALUE!</v>
      </c>
      <c r="AD7180" s="1" t="str">
        <f>IFERROR(IF(Final_Sans_VGE[[#This Row],[ppn_z]]="","",IFERROR(
   IF(_xlfn.XLOOKUP(Final_Sans_VGE[[#This Row],[ppn_z]],tbl_Historique_Final[[#This Row],[ppn_z]],tbl_Historique_Final[[#This Row],[date_modif]])=Final_Sans_VGE[[#This Row],[date_modif]],
      "Ancien",
      "Modifié"),
   "Nouveau")),"")</f>
        <v/>
      </c>
    </row>
    <row r="7181" spans="24:30" x14ac:dyDescent="0.25">
      <c r="X7181" s="8" t="e">
        <f>IF(Final_Sans_VGE[[#This Row],[ppn_z]]="","",IFERROR(
   IF(_xlfn.XLOOKUP(Final_Sans_VGE[[#This Row],[ppn_z]],tbl_Historique_Final[ppn_z],tbl_Historique_Final[date_modif])=Final_Sans_VGE[[#This Row],[date_modif]],
      "Ancien",
      "Modifié"),
   "Nouveau"))</f>
        <v>#VALUE!</v>
      </c>
      <c r="AD7181" s="1" t="str">
        <f>IFERROR(IF(Final_Sans_VGE[[#This Row],[ppn_z]]="","",IFERROR(
   IF(_xlfn.XLOOKUP(Final_Sans_VGE[[#This Row],[ppn_z]],tbl_Historique_Final[[#This Row],[ppn_z]],tbl_Historique_Final[[#This Row],[date_modif]])=Final_Sans_VGE[[#This Row],[date_modif]],
      "Ancien",
      "Modifié"),
   "Nouveau")),"")</f>
        <v/>
      </c>
    </row>
    <row r="7182" spans="24:30" x14ac:dyDescent="0.25">
      <c r="X7182" s="8" t="e">
        <f>IF(Final_Sans_VGE[[#This Row],[ppn_z]]="","",IFERROR(
   IF(_xlfn.XLOOKUP(Final_Sans_VGE[[#This Row],[ppn_z]],tbl_Historique_Final[ppn_z],tbl_Historique_Final[date_modif])=Final_Sans_VGE[[#This Row],[date_modif]],
      "Ancien",
      "Modifié"),
   "Nouveau"))</f>
        <v>#VALUE!</v>
      </c>
      <c r="AD7182" s="1" t="str">
        <f>IFERROR(IF(Final_Sans_VGE[[#This Row],[ppn_z]]="","",IFERROR(
   IF(_xlfn.XLOOKUP(Final_Sans_VGE[[#This Row],[ppn_z]],tbl_Historique_Final[[#This Row],[ppn_z]],tbl_Historique_Final[[#This Row],[date_modif]])=Final_Sans_VGE[[#This Row],[date_modif]],
      "Ancien",
      "Modifié"),
   "Nouveau")),"")</f>
        <v/>
      </c>
    </row>
    <row r="7183" spans="24:30" x14ac:dyDescent="0.25">
      <c r="X7183" s="8" t="e">
        <f>IF(Final_Sans_VGE[[#This Row],[ppn_z]]="","",IFERROR(
   IF(_xlfn.XLOOKUP(Final_Sans_VGE[[#This Row],[ppn_z]],tbl_Historique_Final[ppn_z],tbl_Historique_Final[date_modif])=Final_Sans_VGE[[#This Row],[date_modif]],
      "Ancien",
      "Modifié"),
   "Nouveau"))</f>
        <v>#VALUE!</v>
      </c>
      <c r="AD7183" s="1" t="str">
        <f>IFERROR(IF(Final_Sans_VGE[[#This Row],[ppn_z]]="","",IFERROR(
   IF(_xlfn.XLOOKUP(Final_Sans_VGE[[#This Row],[ppn_z]],tbl_Historique_Final[[#This Row],[ppn_z]],tbl_Historique_Final[[#This Row],[date_modif]])=Final_Sans_VGE[[#This Row],[date_modif]],
      "Ancien",
      "Modifié"),
   "Nouveau")),"")</f>
        <v/>
      </c>
    </row>
    <row r="7184" spans="24:30" x14ac:dyDescent="0.25">
      <c r="X7184" s="8" t="e">
        <f>IF(Final_Sans_VGE[[#This Row],[ppn_z]]="","",IFERROR(
   IF(_xlfn.XLOOKUP(Final_Sans_VGE[[#This Row],[ppn_z]],tbl_Historique_Final[ppn_z],tbl_Historique_Final[date_modif])=Final_Sans_VGE[[#This Row],[date_modif]],
      "Ancien",
      "Modifié"),
   "Nouveau"))</f>
        <v>#VALUE!</v>
      </c>
      <c r="AD7184" s="1" t="str">
        <f>IFERROR(IF(Final_Sans_VGE[[#This Row],[ppn_z]]="","",IFERROR(
   IF(_xlfn.XLOOKUP(Final_Sans_VGE[[#This Row],[ppn_z]],tbl_Historique_Final[[#This Row],[ppn_z]],tbl_Historique_Final[[#This Row],[date_modif]])=Final_Sans_VGE[[#This Row],[date_modif]],
      "Ancien",
      "Modifié"),
   "Nouveau")),"")</f>
        <v/>
      </c>
    </row>
    <row r="7185" spans="24:30" x14ac:dyDescent="0.25">
      <c r="X7185" s="8" t="e">
        <f>IF(Final_Sans_VGE[[#This Row],[ppn_z]]="","",IFERROR(
   IF(_xlfn.XLOOKUP(Final_Sans_VGE[[#This Row],[ppn_z]],tbl_Historique_Final[ppn_z],tbl_Historique_Final[date_modif])=Final_Sans_VGE[[#This Row],[date_modif]],
      "Ancien",
      "Modifié"),
   "Nouveau"))</f>
        <v>#VALUE!</v>
      </c>
      <c r="AD7185" s="1" t="str">
        <f>IFERROR(IF(Final_Sans_VGE[[#This Row],[ppn_z]]="","",IFERROR(
   IF(_xlfn.XLOOKUP(Final_Sans_VGE[[#This Row],[ppn_z]],tbl_Historique_Final[[#This Row],[ppn_z]],tbl_Historique_Final[[#This Row],[date_modif]])=Final_Sans_VGE[[#This Row],[date_modif]],
      "Ancien",
      "Modifié"),
   "Nouveau")),"")</f>
        <v/>
      </c>
    </row>
    <row r="7186" spans="24:30" x14ac:dyDescent="0.25">
      <c r="X7186" s="8" t="e">
        <f>IF(Final_Sans_VGE[[#This Row],[ppn_z]]="","",IFERROR(
   IF(_xlfn.XLOOKUP(Final_Sans_VGE[[#This Row],[ppn_z]],tbl_Historique_Final[ppn_z],tbl_Historique_Final[date_modif])=Final_Sans_VGE[[#This Row],[date_modif]],
      "Ancien",
      "Modifié"),
   "Nouveau"))</f>
        <v>#VALUE!</v>
      </c>
      <c r="AD7186" s="1" t="str">
        <f>IFERROR(IF(Final_Sans_VGE[[#This Row],[ppn_z]]="","",IFERROR(
   IF(_xlfn.XLOOKUP(Final_Sans_VGE[[#This Row],[ppn_z]],tbl_Historique_Final[[#This Row],[ppn_z]],tbl_Historique_Final[[#This Row],[date_modif]])=Final_Sans_VGE[[#This Row],[date_modif]],
      "Ancien",
      "Modifié"),
   "Nouveau")),"")</f>
        <v/>
      </c>
    </row>
    <row r="7187" spans="24:30" x14ac:dyDescent="0.25">
      <c r="X7187" s="8" t="e">
        <f>IF(Final_Sans_VGE[[#This Row],[ppn_z]]="","",IFERROR(
   IF(_xlfn.XLOOKUP(Final_Sans_VGE[[#This Row],[ppn_z]],tbl_Historique_Final[ppn_z],tbl_Historique_Final[date_modif])=Final_Sans_VGE[[#This Row],[date_modif]],
      "Ancien",
      "Modifié"),
   "Nouveau"))</f>
        <v>#VALUE!</v>
      </c>
      <c r="AD7187" s="1" t="str">
        <f>IFERROR(IF(Final_Sans_VGE[[#This Row],[ppn_z]]="","",IFERROR(
   IF(_xlfn.XLOOKUP(Final_Sans_VGE[[#This Row],[ppn_z]],tbl_Historique_Final[[#This Row],[ppn_z]],tbl_Historique_Final[[#This Row],[date_modif]])=Final_Sans_VGE[[#This Row],[date_modif]],
      "Ancien",
      "Modifié"),
   "Nouveau")),"")</f>
        <v/>
      </c>
    </row>
    <row r="7188" spans="24:30" x14ac:dyDescent="0.25">
      <c r="X7188" s="8" t="e">
        <f>IF(Final_Sans_VGE[[#This Row],[ppn_z]]="","",IFERROR(
   IF(_xlfn.XLOOKUP(Final_Sans_VGE[[#This Row],[ppn_z]],tbl_Historique_Final[ppn_z],tbl_Historique_Final[date_modif])=Final_Sans_VGE[[#This Row],[date_modif]],
      "Ancien",
      "Modifié"),
   "Nouveau"))</f>
        <v>#VALUE!</v>
      </c>
      <c r="AD7188" s="1" t="str">
        <f>IFERROR(IF(Final_Sans_VGE[[#This Row],[ppn_z]]="","",IFERROR(
   IF(_xlfn.XLOOKUP(Final_Sans_VGE[[#This Row],[ppn_z]],tbl_Historique_Final[[#This Row],[ppn_z]],tbl_Historique_Final[[#This Row],[date_modif]])=Final_Sans_VGE[[#This Row],[date_modif]],
      "Ancien",
      "Modifié"),
   "Nouveau")),"")</f>
        <v/>
      </c>
    </row>
    <row r="7189" spans="24:30" x14ac:dyDescent="0.25">
      <c r="X7189" s="8" t="e">
        <f>IF(Final_Sans_VGE[[#This Row],[ppn_z]]="","",IFERROR(
   IF(_xlfn.XLOOKUP(Final_Sans_VGE[[#This Row],[ppn_z]],tbl_Historique_Final[ppn_z],tbl_Historique_Final[date_modif])=Final_Sans_VGE[[#This Row],[date_modif]],
      "Ancien",
      "Modifié"),
   "Nouveau"))</f>
        <v>#VALUE!</v>
      </c>
      <c r="AD7189" s="1" t="str">
        <f>IFERROR(IF(Final_Sans_VGE[[#This Row],[ppn_z]]="","",IFERROR(
   IF(_xlfn.XLOOKUP(Final_Sans_VGE[[#This Row],[ppn_z]],tbl_Historique_Final[[#This Row],[ppn_z]],tbl_Historique_Final[[#This Row],[date_modif]])=Final_Sans_VGE[[#This Row],[date_modif]],
      "Ancien",
      "Modifié"),
   "Nouveau")),"")</f>
        <v/>
      </c>
    </row>
    <row r="7190" spans="24:30" x14ac:dyDescent="0.25">
      <c r="X7190" s="8" t="e">
        <f>IF(Final_Sans_VGE[[#This Row],[ppn_z]]="","",IFERROR(
   IF(_xlfn.XLOOKUP(Final_Sans_VGE[[#This Row],[ppn_z]],tbl_Historique_Final[ppn_z],tbl_Historique_Final[date_modif])=Final_Sans_VGE[[#This Row],[date_modif]],
      "Ancien",
      "Modifié"),
   "Nouveau"))</f>
        <v>#VALUE!</v>
      </c>
      <c r="AD7190" s="1" t="str">
        <f>IFERROR(IF(Final_Sans_VGE[[#This Row],[ppn_z]]="","",IFERROR(
   IF(_xlfn.XLOOKUP(Final_Sans_VGE[[#This Row],[ppn_z]],tbl_Historique_Final[[#This Row],[ppn_z]],tbl_Historique_Final[[#This Row],[date_modif]])=Final_Sans_VGE[[#This Row],[date_modif]],
      "Ancien",
      "Modifié"),
   "Nouveau")),"")</f>
        <v/>
      </c>
    </row>
    <row r="7191" spans="24:30" x14ac:dyDescent="0.25">
      <c r="X7191" s="8" t="e">
        <f>IF(Final_Sans_VGE[[#This Row],[ppn_z]]="","",IFERROR(
   IF(_xlfn.XLOOKUP(Final_Sans_VGE[[#This Row],[ppn_z]],tbl_Historique_Final[ppn_z],tbl_Historique_Final[date_modif])=Final_Sans_VGE[[#This Row],[date_modif]],
      "Ancien",
      "Modifié"),
   "Nouveau"))</f>
        <v>#VALUE!</v>
      </c>
      <c r="AD7191" s="1" t="str">
        <f>IFERROR(IF(Final_Sans_VGE[[#This Row],[ppn_z]]="","",IFERROR(
   IF(_xlfn.XLOOKUP(Final_Sans_VGE[[#This Row],[ppn_z]],tbl_Historique_Final[[#This Row],[ppn_z]],tbl_Historique_Final[[#This Row],[date_modif]])=Final_Sans_VGE[[#This Row],[date_modif]],
      "Ancien",
      "Modifié"),
   "Nouveau")),"")</f>
        <v/>
      </c>
    </row>
    <row r="7192" spans="24:30" x14ac:dyDescent="0.25">
      <c r="X7192" s="8" t="e">
        <f>IF(Final_Sans_VGE[[#This Row],[ppn_z]]="","",IFERROR(
   IF(_xlfn.XLOOKUP(Final_Sans_VGE[[#This Row],[ppn_z]],tbl_Historique_Final[ppn_z],tbl_Historique_Final[date_modif])=Final_Sans_VGE[[#This Row],[date_modif]],
      "Ancien",
      "Modifié"),
   "Nouveau"))</f>
        <v>#VALUE!</v>
      </c>
      <c r="AD7192" s="1" t="str">
        <f>IFERROR(IF(Final_Sans_VGE[[#This Row],[ppn_z]]="","",IFERROR(
   IF(_xlfn.XLOOKUP(Final_Sans_VGE[[#This Row],[ppn_z]],tbl_Historique_Final[[#This Row],[ppn_z]],tbl_Historique_Final[[#This Row],[date_modif]])=Final_Sans_VGE[[#This Row],[date_modif]],
      "Ancien",
      "Modifié"),
   "Nouveau")),"")</f>
        <v/>
      </c>
    </row>
    <row r="7193" spans="24:30" x14ac:dyDescent="0.25">
      <c r="X7193" s="8" t="e">
        <f>IF(Final_Sans_VGE[[#This Row],[ppn_z]]="","",IFERROR(
   IF(_xlfn.XLOOKUP(Final_Sans_VGE[[#This Row],[ppn_z]],tbl_Historique_Final[ppn_z],tbl_Historique_Final[date_modif])=Final_Sans_VGE[[#This Row],[date_modif]],
      "Ancien",
      "Modifié"),
   "Nouveau"))</f>
        <v>#VALUE!</v>
      </c>
      <c r="AD7193" s="1" t="str">
        <f>IFERROR(IF(Final_Sans_VGE[[#This Row],[ppn_z]]="","",IFERROR(
   IF(_xlfn.XLOOKUP(Final_Sans_VGE[[#This Row],[ppn_z]],tbl_Historique_Final[[#This Row],[ppn_z]],tbl_Historique_Final[[#This Row],[date_modif]])=Final_Sans_VGE[[#This Row],[date_modif]],
      "Ancien",
      "Modifié"),
   "Nouveau")),"")</f>
        <v/>
      </c>
    </row>
    <row r="7194" spans="24:30" x14ac:dyDescent="0.25">
      <c r="X7194" s="8" t="e">
        <f>IF(Final_Sans_VGE[[#This Row],[ppn_z]]="","",IFERROR(
   IF(_xlfn.XLOOKUP(Final_Sans_VGE[[#This Row],[ppn_z]],tbl_Historique_Final[ppn_z],tbl_Historique_Final[date_modif])=Final_Sans_VGE[[#This Row],[date_modif]],
      "Ancien",
      "Modifié"),
   "Nouveau"))</f>
        <v>#VALUE!</v>
      </c>
      <c r="AD7194" s="1" t="str">
        <f>IFERROR(IF(Final_Sans_VGE[[#This Row],[ppn_z]]="","",IFERROR(
   IF(_xlfn.XLOOKUP(Final_Sans_VGE[[#This Row],[ppn_z]],tbl_Historique_Final[[#This Row],[ppn_z]],tbl_Historique_Final[[#This Row],[date_modif]])=Final_Sans_VGE[[#This Row],[date_modif]],
      "Ancien",
      "Modifié"),
   "Nouveau")),"")</f>
        <v/>
      </c>
    </row>
    <row r="7195" spans="24:30" x14ac:dyDescent="0.25">
      <c r="X7195" s="8" t="e">
        <f>IF(Final_Sans_VGE[[#This Row],[ppn_z]]="","",IFERROR(
   IF(_xlfn.XLOOKUP(Final_Sans_VGE[[#This Row],[ppn_z]],tbl_Historique_Final[ppn_z],tbl_Historique_Final[date_modif])=Final_Sans_VGE[[#This Row],[date_modif]],
      "Ancien",
      "Modifié"),
   "Nouveau"))</f>
        <v>#VALUE!</v>
      </c>
      <c r="AD7195" s="1" t="str">
        <f>IFERROR(IF(Final_Sans_VGE[[#This Row],[ppn_z]]="","",IFERROR(
   IF(_xlfn.XLOOKUP(Final_Sans_VGE[[#This Row],[ppn_z]],tbl_Historique_Final[[#This Row],[ppn_z]],tbl_Historique_Final[[#This Row],[date_modif]])=Final_Sans_VGE[[#This Row],[date_modif]],
      "Ancien",
      "Modifié"),
   "Nouveau")),"")</f>
        <v/>
      </c>
    </row>
    <row r="7196" spans="24:30" x14ac:dyDescent="0.25">
      <c r="X7196" s="8" t="e">
        <f>IF(Final_Sans_VGE[[#This Row],[ppn_z]]="","",IFERROR(
   IF(_xlfn.XLOOKUP(Final_Sans_VGE[[#This Row],[ppn_z]],tbl_Historique_Final[ppn_z],tbl_Historique_Final[date_modif])=Final_Sans_VGE[[#This Row],[date_modif]],
      "Ancien",
      "Modifié"),
   "Nouveau"))</f>
        <v>#VALUE!</v>
      </c>
      <c r="AD7196" s="1" t="str">
        <f>IFERROR(IF(Final_Sans_VGE[[#This Row],[ppn_z]]="","",IFERROR(
   IF(_xlfn.XLOOKUP(Final_Sans_VGE[[#This Row],[ppn_z]],tbl_Historique_Final[[#This Row],[ppn_z]],tbl_Historique_Final[[#This Row],[date_modif]])=Final_Sans_VGE[[#This Row],[date_modif]],
      "Ancien",
      "Modifié"),
   "Nouveau")),"")</f>
        <v/>
      </c>
    </row>
    <row r="7197" spans="24:30" x14ac:dyDescent="0.25">
      <c r="X7197" s="8" t="e">
        <f>IF(Final_Sans_VGE[[#This Row],[ppn_z]]="","",IFERROR(
   IF(_xlfn.XLOOKUP(Final_Sans_VGE[[#This Row],[ppn_z]],tbl_Historique_Final[ppn_z],tbl_Historique_Final[date_modif])=Final_Sans_VGE[[#This Row],[date_modif]],
      "Ancien",
      "Modifié"),
   "Nouveau"))</f>
        <v>#VALUE!</v>
      </c>
      <c r="AD7197" s="1" t="str">
        <f>IFERROR(IF(Final_Sans_VGE[[#This Row],[ppn_z]]="","",IFERROR(
   IF(_xlfn.XLOOKUP(Final_Sans_VGE[[#This Row],[ppn_z]],tbl_Historique_Final[[#This Row],[ppn_z]],tbl_Historique_Final[[#This Row],[date_modif]])=Final_Sans_VGE[[#This Row],[date_modif]],
      "Ancien",
      "Modifié"),
   "Nouveau")),"")</f>
        <v/>
      </c>
    </row>
    <row r="7198" spans="24:30" x14ac:dyDescent="0.25">
      <c r="X7198" s="8" t="e">
        <f>IF(Final_Sans_VGE[[#This Row],[ppn_z]]="","",IFERROR(
   IF(_xlfn.XLOOKUP(Final_Sans_VGE[[#This Row],[ppn_z]],tbl_Historique_Final[ppn_z],tbl_Historique_Final[date_modif])=Final_Sans_VGE[[#This Row],[date_modif]],
      "Ancien",
      "Modifié"),
   "Nouveau"))</f>
        <v>#VALUE!</v>
      </c>
      <c r="AD7198" s="1" t="str">
        <f>IFERROR(IF(Final_Sans_VGE[[#This Row],[ppn_z]]="","",IFERROR(
   IF(_xlfn.XLOOKUP(Final_Sans_VGE[[#This Row],[ppn_z]],tbl_Historique_Final[[#This Row],[ppn_z]],tbl_Historique_Final[[#This Row],[date_modif]])=Final_Sans_VGE[[#This Row],[date_modif]],
      "Ancien",
      "Modifié"),
   "Nouveau")),"")</f>
        <v/>
      </c>
    </row>
    <row r="7199" spans="24:30" x14ac:dyDescent="0.25">
      <c r="X7199" s="8" t="e">
        <f>IF(Final_Sans_VGE[[#This Row],[ppn_z]]="","",IFERROR(
   IF(_xlfn.XLOOKUP(Final_Sans_VGE[[#This Row],[ppn_z]],tbl_Historique_Final[ppn_z],tbl_Historique_Final[date_modif])=Final_Sans_VGE[[#This Row],[date_modif]],
      "Ancien",
      "Modifié"),
   "Nouveau"))</f>
        <v>#VALUE!</v>
      </c>
      <c r="AD7199" s="1" t="str">
        <f>IFERROR(IF(Final_Sans_VGE[[#This Row],[ppn_z]]="","",IFERROR(
   IF(_xlfn.XLOOKUP(Final_Sans_VGE[[#This Row],[ppn_z]],tbl_Historique_Final[[#This Row],[ppn_z]],tbl_Historique_Final[[#This Row],[date_modif]])=Final_Sans_VGE[[#This Row],[date_modif]],
      "Ancien",
      "Modifié"),
   "Nouveau")),"")</f>
        <v/>
      </c>
    </row>
    <row r="7200" spans="24:30" x14ac:dyDescent="0.25">
      <c r="X7200" s="8" t="e">
        <f>IF(Final_Sans_VGE[[#This Row],[ppn_z]]="","",IFERROR(
   IF(_xlfn.XLOOKUP(Final_Sans_VGE[[#This Row],[ppn_z]],tbl_Historique_Final[ppn_z],tbl_Historique_Final[date_modif])=Final_Sans_VGE[[#This Row],[date_modif]],
      "Ancien",
      "Modifié"),
   "Nouveau"))</f>
        <v>#VALUE!</v>
      </c>
      <c r="AD7200" s="1" t="str">
        <f>IFERROR(IF(Final_Sans_VGE[[#This Row],[ppn_z]]="","",IFERROR(
   IF(_xlfn.XLOOKUP(Final_Sans_VGE[[#This Row],[ppn_z]],tbl_Historique_Final[[#This Row],[ppn_z]],tbl_Historique_Final[[#This Row],[date_modif]])=Final_Sans_VGE[[#This Row],[date_modif]],
      "Ancien",
      "Modifié"),
   "Nouveau")),"")</f>
        <v/>
      </c>
    </row>
    <row r="7201" spans="24:30" x14ac:dyDescent="0.25">
      <c r="X7201" s="8" t="e">
        <f>IF(Final_Sans_VGE[[#This Row],[ppn_z]]="","",IFERROR(
   IF(_xlfn.XLOOKUP(Final_Sans_VGE[[#This Row],[ppn_z]],tbl_Historique_Final[ppn_z],tbl_Historique_Final[date_modif])=Final_Sans_VGE[[#This Row],[date_modif]],
      "Ancien",
      "Modifié"),
   "Nouveau"))</f>
        <v>#VALUE!</v>
      </c>
      <c r="AD7201" s="1" t="str">
        <f>IFERROR(IF(Final_Sans_VGE[[#This Row],[ppn_z]]="","",IFERROR(
   IF(_xlfn.XLOOKUP(Final_Sans_VGE[[#This Row],[ppn_z]],tbl_Historique_Final[[#This Row],[ppn_z]],tbl_Historique_Final[[#This Row],[date_modif]])=Final_Sans_VGE[[#This Row],[date_modif]],
      "Ancien",
      "Modifié"),
   "Nouveau")),"")</f>
        <v/>
      </c>
    </row>
    <row r="7202" spans="24:30" x14ac:dyDescent="0.25">
      <c r="X7202" s="8" t="e">
        <f>IF(Final_Sans_VGE[[#This Row],[ppn_z]]="","",IFERROR(
   IF(_xlfn.XLOOKUP(Final_Sans_VGE[[#This Row],[ppn_z]],tbl_Historique_Final[ppn_z],tbl_Historique_Final[date_modif])=Final_Sans_VGE[[#This Row],[date_modif]],
      "Ancien",
      "Modifié"),
   "Nouveau"))</f>
        <v>#VALUE!</v>
      </c>
      <c r="AD7202" s="1" t="str">
        <f>IFERROR(IF(Final_Sans_VGE[[#This Row],[ppn_z]]="","",IFERROR(
   IF(_xlfn.XLOOKUP(Final_Sans_VGE[[#This Row],[ppn_z]],tbl_Historique_Final[[#This Row],[ppn_z]],tbl_Historique_Final[[#This Row],[date_modif]])=Final_Sans_VGE[[#This Row],[date_modif]],
      "Ancien",
      "Modifié"),
   "Nouveau")),"")</f>
        <v/>
      </c>
    </row>
    <row r="7203" spans="24:30" x14ac:dyDescent="0.25">
      <c r="X7203" s="8" t="e">
        <f>IF(Final_Sans_VGE[[#This Row],[ppn_z]]="","",IFERROR(
   IF(_xlfn.XLOOKUP(Final_Sans_VGE[[#This Row],[ppn_z]],tbl_Historique_Final[ppn_z],tbl_Historique_Final[date_modif])=Final_Sans_VGE[[#This Row],[date_modif]],
      "Ancien",
      "Modifié"),
   "Nouveau"))</f>
        <v>#VALUE!</v>
      </c>
      <c r="AD7203" s="1" t="str">
        <f>IFERROR(IF(Final_Sans_VGE[[#This Row],[ppn_z]]="","",IFERROR(
   IF(_xlfn.XLOOKUP(Final_Sans_VGE[[#This Row],[ppn_z]],tbl_Historique_Final[[#This Row],[ppn_z]],tbl_Historique_Final[[#This Row],[date_modif]])=Final_Sans_VGE[[#This Row],[date_modif]],
      "Ancien",
      "Modifié"),
   "Nouveau")),"")</f>
        <v/>
      </c>
    </row>
    <row r="7204" spans="24:30" x14ac:dyDescent="0.25">
      <c r="X7204" s="8" t="e">
        <f>IF(Final_Sans_VGE[[#This Row],[ppn_z]]="","",IFERROR(
   IF(_xlfn.XLOOKUP(Final_Sans_VGE[[#This Row],[ppn_z]],tbl_Historique_Final[ppn_z],tbl_Historique_Final[date_modif])=Final_Sans_VGE[[#This Row],[date_modif]],
      "Ancien",
      "Modifié"),
   "Nouveau"))</f>
        <v>#VALUE!</v>
      </c>
      <c r="AD7204" s="1" t="str">
        <f>IFERROR(IF(Final_Sans_VGE[[#This Row],[ppn_z]]="","",IFERROR(
   IF(_xlfn.XLOOKUP(Final_Sans_VGE[[#This Row],[ppn_z]],tbl_Historique_Final[[#This Row],[ppn_z]],tbl_Historique_Final[[#This Row],[date_modif]])=Final_Sans_VGE[[#This Row],[date_modif]],
      "Ancien",
      "Modifié"),
   "Nouveau")),"")</f>
        <v/>
      </c>
    </row>
    <row r="7205" spans="24:30" x14ac:dyDescent="0.25">
      <c r="X7205" s="8" t="e">
        <f>IF(Final_Sans_VGE[[#This Row],[ppn_z]]="","",IFERROR(
   IF(_xlfn.XLOOKUP(Final_Sans_VGE[[#This Row],[ppn_z]],tbl_Historique_Final[ppn_z],tbl_Historique_Final[date_modif])=Final_Sans_VGE[[#This Row],[date_modif]],
      "Ancien",
      "Modifié"),
   "Nouveau"))</f>
        <v>#VALUE!</v>
      </c>
      <c r="AD7205" s="1" t="str">
        <f>IFERROR(IF(Final_Sans_VGE[[#This Row],[ppn_z]]="","",IFERROR(
   IF(_xlfn.XLOOKUP(Final_Sans_VGE[[#This Row],[ppn_z]],tbl_Historique_Final[[#This Row],[ppn_z]],tbl_Historique_Final[[#This Row],[date_modif]])=Final_Sans_VGE[[#This Row],[date_modif]],
      "Ancien",
      "Modifié"),
   "Nouveau")),"")</f>
        <v/>
      </c>
    </row>
    <row r="7206" spans="24:30" x14ac:dyDescent="0.25">
      <c r="X7206" s="8" t="e">
        <f>IF(Final_Sans_VGE[[#This Row],[ppn_z]]="","",IFERROR(
   IF(_xlfn.XLOOKUP(Final_Sans_VGE[[#This Row],[ppn_z]],tbl_Historique_Final[ppn_z],tbl_Historique_Final[date_modif])=Final_Sans_VGE[[#This Row],[date_modif]],
      "Ancien",
      "Modifié"),
   "Nouveau"))</f>
        <v>#VALUE!</v>
      </c>
      <c r="AD7206" s="1" t="str">
        <f>IFERROR(IF(Final_Sans_VGE[[#This Row],[ppn_z]]="","",IFERROR(
   IF(_xlfn.XLOOKUP(Final_Sans_VGE[[#This Row],[ppn_z]],tbl_Historique_Final[[#This Row],[ppn_z]],tbl_Historique_Final[[#This Row],[date_modif]])=Final_Sans_VGE[[#This Row],[date_modif]],
      "Ancien",
      "Modifié"),
   "Nouveau")),"")</f>
        <v/>
      </c>
    </row>
    <row r="7207" spans="24:30" x14ac:dyDescent="0.25">
      <c r="X7207" s="8" t="e">
        <f>IF(Final_Sans_VGE[[#This Row],[ppn_z]]="","",IFERROR(
   IF(_xlfn.XLOOKUP(Final_Sans_VGE[[#This Row],[ppn_z]],tbl_Historique_Final[ppn_z],tbl_Historique_Final[date_modif])=Final_Sans_VGE[[#This Row],[date_modif]],
      "Ancien",
      "Modifié"),
   "Nouveau"))</f>
        <v>#VALUE!</v>
      </c>
      <c r="AD7207" s="1" t="str">
        <f>IFERROR(IF(Final_Sans_VGE[[#This Row],[ppn_z]]="","",IFERROR(
   IF(_xlfn.XLOOKUP(Final_Sans_VGE[[#This Row],[ppn_z]],tbl_Historique_Final[[#This Row],[ppn_z]],tbl_Historique_Final[[#This Row],[date_modif]])=Final_Sans_VGE[[#This Row],[date_modif]],
      "Ancien",
      "Modifié"),
   "Nouveau")),"")</f>
        <v/>
      </c>
    </row>
    <row r="7208" spans="24:30" x14ac:dyDescent="0.25">
      <c r="X7208" s="8" t="e">
        <f>IF(Final_Sans_VGE[[#This Row],[ppn_z]]="","",IFERROR(
   IF(_xlfn.XLOOKUP(Final_Sans_VGE[[#This Row],[ppn_z]],tbl_Historique_Final[ppn_z],tbl_Historique_Final[date_modif])=Final_Sans_VGE[[#This Row],[date_modif]],
      "Ancien",
      "Modifié"),
   "Nouveau"))</f>
        <v>#VALUE!</v>
      </c>
      <c r="AD7208" s="1" t="str">
        <f>IFERROR(IF(Final_Sans_VGE[[#This Row],[ppn_z]]="","",IFERROR(
   IF(_xlfn.XLOOKUP(Final_Sans_VGE[[#This Row],[ppn_z]],tbl_Historique_Final[[#This Row],[ppn_z]],tbl_Historique_Final[[#This Row],[date_modif]])=Final_Sans_VGE[[#This Row],[date_modif]],
      "Ancien",
      "Modifié"),
   "Nouveau")),"")</f>
        <v/>
      </c>
    </row>
    <row r="7209" spans="24:30" x14ac:dyDescent="0.25">
      <c r="X7209" s="8" t="e">
        <f>IF(Final_Sans_VGE[[#This Row],[ppn_z]]="","",IFERROR(
   IF(_xlfn.XLOOKUP(Final_Sans_VGE[[#This Row],[ppn_z]],tbl_Historique_Final[ppn_z],tbl_Historique_Final[date_modif])=Final_Sans_VGE[[#This Row],[date_modif]],
      "Ancien",
      "Modifié"),
   "Nouveau"))</f>
        <v>#VALUE!</v>
      </c>
      <c r="AD7209" s="1" t="str">
        <f>IFERROR(IF(Final_Sans_VGE[[#This Row],[ppn_z]]="","",IFERROR(
   IF(_xlfn.XLOOKUP(Final_Sans_VGE[[#This Row],[ppn_z]],tbl_Historique_Final[[#This Row],[ppn_z]],tbl_Historique_Final[[#This Row],[date_modif]])=Final_Sans_VGE[[#This Row],[date_modif]],
      "Ancien",
      "Modifié"),
   "Nouveau")),"")</f>
        <v/>
      </c>
    </row>
    <row r="7210" spans="24:30" x14ac:dyDescent="0.25">
      <c r="X7210" s="8" t="e">
        <f>IF(Final_Sans_VGE[[#This Row],[ppn_z]]="","",IFERROR(
   IF(_xlfn.XLOOKUP(Final_Sans_VGE[[#This Row],[ppn_z]],tbl_Historique_Final[ppn_z],tbl_Historique_Final[date_modif])=Final_Sans_VGE[[#This Row],[date_modif]],
      "Ancien",
      "Modifié"),
   "Nouveau"))</f>
        <v>#VALUE!</v>
      </c>
      <c r="AD7210" s="1" t="str">
        <f>IFERROR(IF(Final_Sans_VGE[[#This Row],[ppn_z]]="","",IFERROR(
   IF(_xlfn.XLOOKUP(Final_Sans_VGE[[#This Row],[ppn_z]],tbl_Historique_Final[[#This Row],[ppn_z]],tbl_Historique_Final[[#This Row],[date_modif]])=Final_Sans_VGE[[#This Row],[date_modif]],
      "Ancien",
      "Modifié"),
   "Nouveau")),"")</f>
        <v/>
      </c>
    </row>
    <row r="7211" spans="24:30" x14ac:dyDescent="0.25">
      <c r="X7211" s="8" t="e">
        <f>IF(Final_Sans_VGE[[#This Row],[ppn_z]]="","",IFERROR(
   IF(_xlfn.XLOOKUP(Final_Sans_VGE[[#This Row],[ppn_z]],tbl_Historique_Final[ppn_z],tbl_Historique_Final[date_modif])=Final_Sans_VGE[[#This Row],[date_modif]],
      "Ancien",
      "Modifié"),
   "Nouveau"))</f>
        <v>#VALUE!</v>
      </c>
      <c r="AD7211" s="1" t="str">
        <f>IFERROR(IF(Final_Sans_VGE[[#This Row],[ppn_z]]="","",IFERROR(
   IF(_xlfn.XLOOKUP(Final_Sans_VGE[[#This Row],[ppn_z]],tbl_Historique_Final[[#This Row],[ppn_z]],tbl_Historique_Final[[#This Row],[date_modif]])=Final_Sans_VGE[[#This Row],[date_modif]],
      "Ancien",
      "Modifié"),
   "Nouveau")),"")</f>
        <v/>
      </c>
    </row>
    <row r="7212" spans="24:30" x14ac:dyDescent="0.25">
      <c r="X7212" s="8" t="e">
        <f>IF(Final_Sans_VGE[[#This Row],[ppn_z]]="","",IFERROR(
   IF(_xlfn.XLOOKUP(Final_Sans_VGE[[#This Row],[ppn_z]],tbl_Historique_Final[ppn_z],tbl_Historique_Final[date_modif])=Final_Sans_VGE[[#This Row],[date_modif]],
      "Ancien",
      "Modifié"),
   "Nouveau"))</f>
        <v>#VALUE!</v>
      </c>
      <c r="AD7212" s="1" t="str">
        <f>IFERROR(IF(Final_Sans_VGE[[#This Row],[ppn_z]]="","",IFERROR(
   IF(_xlfn.XLOOKUP(Final_Sans_VGE[[#This Row],[ppn_z]],tbl_Historique_Final[[#This Row],[ppn_z]],tbl_Historique_Final[[#This Row],[date_modif]])=Final_Sans_VGE[[#This Row],[date_modif]],
      "Ancien",
      "Modifié"),
   "Nouveau")),"")</f>
        <v/>
      </c>
    </row>
    <row r="7213" spans="24:30" x14ac:dyDescent="0.25">
      <c r="X7213" s="8" t="e">
        <f>IF(Final_Sans_VGE[[#This Row],[ppn_z]]="","",IFERROR(
   IF(_xlfn.XLOOKUP(Final_Sans_VGE[[#This Row],[ppn_z]],tbl_Historique_Final[ppn_z],tbl_Historique_Final[date_modif])=Final_Sans_VGE[[#This Row],[date_modif]],
      "Ancien",
      "Modifié"),
   "Nouveau"))</f>
        <v>#VALUE!</v>
      </c>
      <c r="AD7213" s="1" t="str">
        <f>IFERROR(IF(Final_Sans_VGE[[#This Row],[ppn_z]]="","",IFERROR(
   IF(_xlfn.XLOOKUP(Final_Sans_VGE[[#This Row],[ppn_z]],tbl_Historique_Final[[#This Row],[ppn_z]],tbl_Historique_Final[[#This Row],[date_modif]])=Final_Sans_VGE[[#This Row],[date_modif]],
      "Ancien",
      "Modifié"),
   "Nouveau")),"")</f>
        <v/>
      </c>
    </row>
    <row r="7214" spans="24:30" x14ac:dyDescent="0.25">
      <c r="X7214" s="8" t="e">
        <f>IF(Final_Sans_VGE[[#This Row],[ppn_z]]="","",IFERROR(
   IF(_xlfn.XLOOKUP(Final_Sans_VGE[[#This Row],[ppn_z]],tbl_Historique_Final[ppn_z],tbl_Historique_Final[date_modif])=Final_Sans_VGE[[#This Row],[date_modif]],
      "Ancien",
      "Modifié"),
   "Nouveau"))</f>
        <v>#VALUE!</v>
      </c>
      <c r="AD7214" s="1" t="str">
        <f>IFERROR(IF(Final_Sans_VGE[[#This Row],[ppn_z]]="","",IFERROR(
   IF(_xlfn.XLOOKUP(Final_Sans_VGE[[#This Row],[ppn_z]],tbl_Historique_Final[[#This Row],[ppn_z]],tbl_Historique_Final[[#This Row],[date_modif]])=Final_Sans_VGE[[#This Row],[date_modif]],
      "Ancien",
      "Modifié"),
   "Nouveau")),"")</f>
        <v/>
      </c>
    </row>
    <row r="7215" spans="24:30" x14ac:dyDescent="0.25">
      <c r="X7215" s="8" t="e">
        <f>IF(Final_Sans_VGE[[#This Row],[ppn_z]]="","",IFERROR(
   IF(_xlfn.XLOOKUP(Final_Sans_VGE[[#This Row],[ppn_z]],tbl_Historique_Final[ppn_z],tbl_Historique_Final[date_modif])=Final_Sans_VGE[[#This Row],[date_modif]],
      "Ancien",
      "Modifié"),
   "Nouveau"))</f>
        <v>#VALUE!</v>
      </c>
      <c r="AD7215" s="1" t="str">
        <f>IFERROR(IF(Final_Sans_VGE[[#This Row],[ppn_z]]="","",IFERROR(
   IF(_xlfn.XLOOKUP(Final_Sans_VGE[[#This Row],[ppn_z]],tbl_Historique_Final[[#This Row],[ppn_z]],tbl_Historique_Final[[#This Row],[date_modif]])=Final_Sans_VGE[[#This Row],[date_modif]],
      "Ancien",
      "Modifié"),
   "Nouveau")),"")</f>
        <v/>
      </c>
    </row>
    <row r="7216" spans="24:30" x14ac:dyDescent="0.25">
      <c r="X7216" s="8" t="e">
        <f>IF(Final_Sans_VGE[[#This Row],[ppn_z]]="","",IFERROR(
   IF(_xlfn.XLOOKUP(Final_Sans_VGE[[#This Row],[ppn_z]],tbl_Historique_Final[ppn_z],tbl_Historique_Final[date_modif])=Final_Sans_VGE[[#This Row],[date_modif]],
      "Ancien",
      "Modifié"),
   "Nouveau"))</f>
        <v>#VALUE!</v>
      </c>
      <c r="AD7216" s="1" t="str">
        <f>IFERROR(IF(Final_Sans_VGE[[#This Row],[ppn_z]]="","",IFERROR(
   IF(_xlfn.XLOOKUP(Final_Sans_VGE[[#This Row],[ppn_z]],tbl_Historique_Final[[#This Row],[ppn_z]],tbl_Historique_Final[[#This Row],[date_modif]])=Final_Sans_VGE[[#This Row],[date_modif]],
      "Ancien",
      "Modifié"),
   "Nouveau")),"")</f>
        <v/>
      </c>
    </row>
    <row r="7217" spans="24:30" x14ac:dyDescent="0.25">
      <c r="X7217" s="8" t="e">
        <f>IF(Final_Sans_VGE[[#This Row],[ppn_z]]="","",IFERROR(
   IF(_xlfn.XLOOKUP(Final_Sans_VGE[[#This Row],[ppn_z]],tbl_Historique_Final[ppn_z],tbl_Historique_Final[date_modif])=Final_Sans_VGE[[#This Row],[date_modif]],
      "Ancien",
      "Modifié"),
   "Nouveau"))</f>
        <v>#VALUE!</v>
      </c>
      <c r="AD7217" s="1" t="str">
        <f>IFERROR(IF(Final_Sans_VGE[[#This Row],[ppn_z]]="","",IFERROR(
   IF(_xlfn.XLOOKUP(Final_Sans_VGE[[#This Row],[ppn_z]],tbl_Historique_Final[[#This Row],[ppn_z]],tbl_Historique_Final[[#This Row],[date_modif]])=Final_Sans_VGE[[#This Row],[date_modif]],
      "Ancien",
      "Modifié"),
   "Nouveau")),"")</f>
        <v/>
      </c>
    </row>
    <row r="7218" spans="24:30" x14ac:dyDescent="0.25">
      <c r="X7218" s="8" t="e">
        <f>IF(Final_Sans_VGE[[#This Row],[ppn_z]]="","",IFERROR(
   IF(_xlfn.XLOOKUP(Final_Sans_VGE[[#This Row],[ppn_z]],tbl_Historique_Final[ppn_z],tbl_Historique_Final[date_modif])=Final_Sans_VGE[[#This Row],[date_modif]],
      "Ancien",
      "Modifié"),
   "Nouveau"))</f>
        <v>#VALUE!</v>
      </c>
      <c r="AD7218" s="1" t="str">
        <f>IFERROR(IF(Final_Sans_VGE[[#This Row],[ppn_z]]="","",IFERROR(
   IF(_xlfn.XLOOKUP(Final_Sans_VGE[[#This Row],[ppn_z]],tbl_Historique_Final[[#This Row],[ppn_z]],tbl_Historique_Final[[#This Row],[date_modif]])=Final_Sans_VGE[[#This Row],[date_modif]],
      "Ancien",
      "Modifié"),
   "Nouveau")),"")</f>
        <v/>
      </c>
    </row>
    <row r="7219" spans="24:30" x14ac:dyDescent="0.25">
      <c r="X7219" s="8" t="e">
        <f>IF(Final_Sans_VGE[[#This Row],[ppn_z]]="","",IFERROR(
   IF(_xlfn.XLOOKUP(Final_Sans_VGE[[#This Row],[ppn_z]],tbl_Historique_Final[ppn_z],tbl_Historique_Final[date_modif])=Final_Sans_VGE[[#This Row],[date_modif]],
      "Ancien",
      "Modifié"),
   "Nouveau"))</f>
        <v>#VALUE!</v>
      </c>
      <c r="AD7219" s="1" t="str">
        <f>IFERROR(IF(Final_Sans_VGE[[#This Row],[ppn_z]]="","",IFERROR(
   IF(_xlfn.XLOOKUP(Final_Sans_VGE[[#This Row],[ppn_z]],tbl_Historique_Final[[#This Row],[ppn_z]],tbl_Historique_Final[[#This Row],[date_modif]])=Final_Sans_VGE[[#This Row],[date_modif]],
      "Ancien",
      "Modifié"),
   "Nouveau")),"")</f>
        <v/>
      </c>
    </row>
    <row r="7220" spans="24:30" x14ac:dyDescent="0.25">
      <c r="X7220" s="8" t="e">
        <f>IF(Final_Sans_VGE[[#This Row],[ppn_z]]="","",IFERROR(
   IF(_xlfn.XLOOKUP(Final_Sans_VGE[[#This Row],[ppn_z]],tbl_Historique_Final[ppn_z],tbl_Historique_Final[date_modif])=Final_Sans_VGE[[#This Row],[date_modif]],
      "Ancien",
      "Modifié"),
   "Nouveau"))</f>
        <v>#VALUE!</v>
      </c>
      <c r="AD7220" s="1" t="str">
        <f>IFERROR(IF(Final_Sans_VGE[[#This Row],[ppn_z]]="","",IFERROR(
   IF(_xlfn.XLOOKUP(Final_Sans_VGE[[#This Row],[ppn_z]],tbl_Historique_Final[[#This Row],[ppn_z]],tbl_Historique_Final[[#This Row],[date_modif]])=Final_Sans_VGE[[#This Row],[date_modif]],
      "Ancien",
      "Modifié"),
   "Nouveau")),"")</f>
        <v/>
      </c>
    </row>
    <row r="7221" spans="24:30" x14ac:dyDescent="0.25">
      <c r="X7221" s="8" t="e">
        <f>IF(Final_Sans_VGE[[#This Row],[ppn_z]]="","",IFERROR(
   IF(_xlfn.XLOOKUP(Final_Sans_VGE[[#This Row],[ppn_z]],tbl_Historique_Final[ppn_z],tbl_Historique_Final[date_modif])=Final_Sans_VGE[[#This Row],[date_modif]],
      "Ancien",
      "Modifié"),
   "Nouveau"))</f>
        <v>#VALUE!</v>
      </c>
      <c r="AD7221" s="1" t="str">
        <f>IFERROR(IF(Final_Sans_VGE[[#This Row],[ppn_z]]="","",IFERROR(
   IF(_xlfn.XLOOKUP(Final_Sans_VGE[[#This Row],[ppn_z]],tbl_Historique_Final[[#This Row],[ppn_z]],tbl_Historique_Final[[#This Row],[date_modif]])=Final_Sans_VGE[[#This Row],[date_modif]],
      "Ancien",
      "Modifié"),
   "Nouveau")),"")</f>
        <v/>
      </c>
    </row>
    <row r="7222" spans="24:30" x14ac:dyDescent="0.25">
      <c r="X7222" s="8" t="e">
        <f>IF(Final_Sans_VGE[[#This Row],[ppn_z]]="","",IFERROR(
   IF(_xlfn.XLOOKUP(Final_Sans_VGE[[#This Row],[ppn_z]],tbl_Historique_Final[ppn_z],tbl_Historique_Final[date_modif])=Final_Sans_VGE[[#This Row],[date_modif]],
      "Ancien",
      "Modifié"),
   "Nouveau"))</f>
        <v>#VALUE!</v>
      </c>
      <c r="AD7222" s="1" t="str">
        <f>IFERROR(IF(Final_Sans_VGE[[#This Row],[ppn_z]]="","",IFERROR(
   IF(_xlfn.XLOOKUP(Final_Sans_VGE[[#This Row],[ppn_z]],tbl_Historique_Final[[#This Row],[ppn_z]],tbl_Historique_Final[[#This Row],[date_modif]])=Final_Sans_VGE[[#This Row],[date_modif]],
      "Ancien",
      "Modifié"),
   "Nouveau")),"")</f>
        <v/>
      </c>
    </row>
    <row r="7223" spans="24:30" x14ac:dyDescent="0.25">
      <c r="X7223" s="8" t="e">
        <f>IF(Final_Sans_VGE[[#This Row],[ppn_z]]="","",IFERROR(
   IF(_xlfn.XLOOKUP(Final_Sans_VGE[[#This Row],[ppn_z]],tbl_Historique_Final[ppn_z],tbl_Historique_Final[date_modif])=Final_Sans_VGE[[#This Row],[date_modif]],
      "Ancien",
      "Modifié"),
   "Nouveau"))</f>
        <v>#VALUE!</v>
      </c>
      <c r="AD7223" s="1" t="str">
        <f>IFERROR(IF(Final_Sans_VGE[[#This Row],[ppn_z]]="","",IFERROR(
   IF(_xlfn.XLOOKUP(Final_Sans_VGE[[#This Row],[ppn_z]],tbl_Historique_Final[[#This Row],[ppn_z]],tbl_Historique_Final[[#This Row],[date_modif]])=Final_Sans_VGE[[#This Row],[date_modif]],
      "Ancien",
      "Modifié"),
   "Nouveau")),"")</f>
        <v/>
      </c>
    </row>
    <row r="7224" spans="24:30" x14ac:dyDescent="0.25">
      <c r="X7224" s="8" t="e">
        <f>IF(Final_Sans_VGE[[#This Row],[ppn_z]]="","",IFERROR(
   IF(_xlfn.XLOOKUP(Final_Sans_VGE[[#This Row],[ppn_z]],tbl_Historique_Final[ppn_z],tbl_Historique_Final[date_modif])=Final_Sans_VGE[[#This Row],[date_modif]],
      "Ancien",
      "Modifié"),
   "Nouveau"))</f>
        <v>#VALUE!</v>
      </c>
      <c r="AD7224" s="1" t="str">
        <f>IFERROR(IF(Final_Sans_VGE[[#This Row],[ppn_z]]="","",IFERROR(
   IF(_xlfn.XLOOKUP(Final_Sans_VGE[[#This Row],[ppn_z]],tbl_Historique_Final[[#This Row],[ppn_z]],tbl_Historique_Final[[#This Row],[date_modif]])=Final_Sans_VGE[[#This Row],[date_modif]],
      "Ancien",
      "Modifié"),
   "Nouveau")),"")</f>
        <v/>
      </c>
    </row>
    <row r="7225" spans="24:30" x14ac:dyDescent="0.25">
      <c r="X7225" s="8" t="e">
        <f>IF(Final_Sans_VGE[[#This Row],[ppn_z]]="","",IFERROR(
   IF(_xlfn.XLOOKUP(Final_Sans_VGE[[#This Row],[ppn_z]],tbl_Historique_Final[ppn_z],tbl_Historique_Final[date_modif])=Final_Sans_VGE[[#This Row],[date_modif]],
      "Ancien",
      "Modifié"),
   "Nouveau"))</f>
        <v>#VALUE!</v>
      </c>
      <c r="AD7225" s="1" t="str">
        <f>IFERROR(IF(Final_Sans_VGE[[#This Row],[ppn_z]]="","",IFERROR(
   IF(_xlfn.XLOOKUP(Final_Sans_VGE[[#This Row],[ppn_z]],tbl_Historique_Final[[#This Row],[ppn_z]],tbl_Historique_Final[[#This Row],[date_modif]])=Final_Sans_VGE[[#This Row],[date_modif]],
      "Ancien",
      "Modifié"),
   "Nouveau")),"")</f>
        <v/>
      </c>
    </row>
    <row r="7226" spans="24:30" x14ac:dyDescent="0.25">
      <c r="X7226" s="8" t="e">
        <f>IF(Final_Sans_VGE[[#This Row],[ppn_z]]="","",IFERROR(
   IF(_xlfn.XLOOKUP(Final_Sans_VGE[[#This Row],[ppn_z]],tbl_Historique_Final[ppn_z],tbl_Historique_Final[date_modif])=Final_Sans_VGE[[#This Row],[date_modif]],
      "Ancien",
      "Modifié"),
   "Nouveau"))</f>
        <v>#VALUE!</v>
      </c>
      <c r="AD7226" s="1" t="str">
        <f>IFERROR(IF(Final_Sans_VGE[[#This Row],[ppn_z]]="","",IFERROR(
   IF(_xlfn.XLOOKUP(Final_Sans_VGE[[#This Row],[ppn_z]],tbl_Historique_Final[[#This Row],[ppn_z]],tbl_Historique_Final[[#This Row],[date_modif]])=Final_Sans_VGE[[#This Row],[date_modif]],
      "Ancien",
      "Modifié"),
   "Nouveau")),"")</f>
        <v/>
      </c>
    </row>
    <row r="7227" spans="24:30" x14ac:dyDescent="0.25">
      <c r="X7227" s="8" t="e">
        <f>IF(Final_Sans_VGE[[#This Row],[ppn_z]]="","",IFERROR(
   IF(_xlfn.XLOOKUP(Final_Sans_VGE[[#This Row],[ppn_z]],tbl_Historique_Final[ppn_z],tbl_Historique_Final[date_modif])=Final_Sans_VGE[[#This Row],[date_modif]],
      "Ancien",
      "Modifié"),
   "Nouveau"))</f>
        <v>#VALUE!</v>
      </c>
      <c r="AD7227" s="1" t="str">
        <f>IFERROR(IF(Final_Sans_VGE[[#This Row],[ppn_z]]="","",IFERROR(
   IF(_xlfn.XLOOKUP(Final_Sans_VGE[[#This Row],[ppn_z]],tbl_Historique_Final[[#This Row],[ppn_z]],tbl_Historique_Final[[#This Row],[date_modif]])=Final_Sans_VGE[[#This Row],[date_modif]],
      "Ancien",
      "Modifié"),
   "Nouveau")),"")</f>
        <v/>
      </c>
    </row>
    <row r="7228" spans="24:30" x14ac:dyDescent="0.25">
      <c r="X7228" s="8" t="e">
        <f>IF(Final_Sans_VGE[[#This Row],[ppn_z]]="","",IFERROR(
   IF(_xlfn.XLOOKUP(Final_Sans_VGE[[#This Row],[ppn_z]],tbl_Historique_Final[ppn_z],tbl_Historique_Final[date_modif])=Final_Sans_VGE[[#This Row],[date_modif]],
      "Ancien",
      "Modifié"),
   "Nouveau"))</f>
        <v>#VALUE!</v>
      </c>
      <c r="AD7228" s="1" t="str">
        <f>IFERROR(IF(Final_Sans_VGE[[#This Row],[ppn_z]]="","",IFERROR(
   IF(_xlfn.XLOOKUP(Final_Sans_VGE[[#This Row],[ppn_z]],tbl_Historique_Final[[#This Row],[ppn_z]],tbl_Historique_Final[[#This Row],[date_modif]])=Final_Sans_VGE[[#This Row],[date_modif]],
      "Ancien",
      "Modifié"),
   "Nouveau")),"")</f>
        <v/>
      </c>
    </row>
    <row r="7229" spans="24:30" x14ac:dyDescent="0.25">
      <c r="X7229" s="8" t="e">
        <f>IF(Final_Sans_VGE[[#This Row],[ppn_z]]="","",IFERROR(
   IF(_xlfn.XLOOKUP(Final_Sans_VGE[[#This Row],[ppn_z]],tbl_Historique_Final[ppn_z],tbl_Historique_Final[date_modif])=Final_Sans_VGE[[#This Row],[date_modif]],
      "Ancien",
      "Modifié"),
   "Nouveau"))</f>
        <v>#VALUE!</v>
      </c>
      <c r="AD7229" s="1" t="str">
        <f>IFERROR(IF(Final_Sans_VGE[[#This Row],[ppn_z]]="","",IFERROR(
   IF(_xlfn.XLOOKUP(Final_Sans_VGE[[#This Row],[ppn_z]],tbl_Historique_Final[[#This Row],[ppn_z]],tbl_Historique_Final[[#This Row],[date_modif]])=Final_Sans_VGE[[#This Row],[date_modif]],
      "Ancien",
      "Modifié"),
   "Nouveau")),"")</f>
        <v/>
      </c>
    </row>
    <row r="7230" spans="24:30" x14ac:dyDescent="0.25">
      <c r="X7230" s="8" t="e">
        <f>IF(Final_Sans_VGE[[#This Row],[ppn_z]]="","",IFERROR(
   IF(_xlfn.XLOOKUP(Final_Sans_VGE[[#This Row],[ppn_z]],tbl_Historique_Final[ppn_z],tbl_Historique_Final[date_modif])=Final_Sans_VGE[[#This Row],[date_modif]],
      "Ancien",
      "Modifié"),
   "Nouveau"))</f>
        <v>#VALUE!</v>
      </c>
      <c r="AD7230" s="1" t="str">
        <f>IFERROR(IF(Final_Sans_VGE[[#This Row],[ppn_z]]="","",IFERROR(
   IF(_xlfn.XLOOKUP(Final_Sans_VGE[[#This Row],[ppn_z]],tbl_Historique_Final[[#This Row],[ppn_z]],tbl_Historique_Final[[#This Row],[date_modif]])=Final_Sans_VGE[[#This Row],[date_modif]],
      "Ancien",
      "Modifié"),
   "Nouveau")),"")</f>
        <v/>
      </c>
    </row>
    <row r="7231" spans="24:30" x14ac:dyDescent="0.25">
      <c r="X7231" s="8" t="e">
        <f>IF(Final_Sans_VGE[[#This Row],[ppn_z]]="","",IFERROR(
   IF(_xlfn.XLOOKUP(Final_Sans_VGE[[#This Row],[ppn_z]],tbl_Historique_Final[ppn_z],tbl_Historique_Final[date_modif])=Final_Sans_VGE[[#This Row],[date_modif]],
      "Ancien",
      "Modifié"),
   "Nouveau"))</f>
        <v>#VALUE!</v>
      </c>
      <c r="AD7231" s="1" t="str">
        <f>IFERROR(IF(Final_Sans_VGE[[#This Row],[ppn_z]]="","",IFERROR(
   IF(_xlfn.XLOOKUP(Final_Sans_VGE[[#This Row],[ppn_z]],tbl_Historique_Final[[#This Row],[ppn_z]],tbl_Historique_Final[[#This Row],[date_modif]])=Final_Sans_VGE[[#This Row],[date_modif]],
      "Ancien",
      "Modifié"),
   "Nouveau")),"")</f>
        <v/>
      </c>
    </row>
    <row r="7232" spans="24:30" x14ac:dyDescent="0.25">
      <c r="X7232" s="8" t="e">
        <f>IF(Final_Sans_VGE[[#This Row],[ppn_z]]="","",IFERROR(
   IF(_xlfn.XLOOKUP(Final_Sans_VGE[[#This Row],[ppn_z]],tbl_Historique_Final[ppn_z],tbl_Historique_Final[date_modif])=Final_Sans_VGE[[#This Row],[date_modif]],
      "Ancien",
      "Modifié"),
   "Nouveau"))</f>
        <v>#VALUE!</v>
      </c>
      <c r="AD7232" s="1" t="str">
        <f>IFERROR(IF(Final_Sans_VGE[[#This Row],[ppn_z]]="","",IFERROR(
   IF(_xlfn.XLOOKUP(Final_Sans_VGE[[#This Row],[ppn_z]],tbl_Historique_Final[[#This Row],[ppn_z]],tbl_Historique_Final[[#This Row],[date_modif]])=Final_Sans_VGE[[#This Row],[date_modif]],
      "Ancien",
      "Modifié"),
   "Nouveau")),"")</f>
        <v/>
      </c>
    </row>
    <row r="7233" spans="24:30" x14ac:dyDescent="0.25">
      <c r="X7233" s="8" t="e">
        <f>IF(Final_Sans_VGE[[#This Row],[ppn_z]]="","",IFERROR(
   IF(_xlfn.XLOOKUP(Final_Sans_VGE[[#This Row],[ppn_z]],tbl_Historique_Final[ppn_z],tbl_Historique_Final[date_modif])=Final_Sans_VGE[[#This Row],[date_modif]],
      "Ancien",
      "Modifié"),
   "Nouveau"))</f>
        <v>#VALUE!</v>
      </c>
      <c r="AD7233" s="1" t="str">
        <f>IFERROR(IF(Final_Sans_VGE[[#This Row],[ppn_z]]="","",IFERROR(
   IF(_xlfn.XLOOKUP(Final_Sans_VGE[[#This Row],[ppn_z]],tbl_Historique_Final[[#This Row],[ppn_z]],tbl_Historique_Final[[#This Row],[date_modif]])=Final_Sans_VGE[[#This Row],[date_modif]],
      "Ancien",
      "Modifié"),
   "Nouveau")),"")</f>
        <v/>
      </c>
    </row>
    <row r="7234" spans="24:30" x14ac:dyDescent="0.25">
      <c r="X7234" s="8" t="e">
        <f>IF(Final_Sans_VGE[[#This Row],[ppn_z]]="","",IFERROR(
   IF(_xlfn.XLOOKUP(Final_Sans_VGE[[#This Row],[ppn_z]],tbl_Historique_Final[ppn_z],tbl_Historique_Final[date_modif])=Final_Sans_VGE[[#This Row],[date_modif]],
      "Ancien",
      "Modifié"),
   "Nouveau"))</f>
        <v>#VALUE!</v>
      </c>
      <c r="AD7234" s="1" t="str">
        <f>IFERROR(IF(Final_Sans_VGE[[#This Row],[ppn_z]]="","",IFERROR(
   IF(_xlfn.XLOOKUP(Final_Sans_VGE[[#This Row],[ppn_z]],tbl_Historique_Final[[#This Row],[ppn_z]],tbl_Historique_Final[[#This Row],[date_modif]])=Final_Sans_VGE[[#This Row],[date_modif]],
      "Ancien",
      "Modifié"),
   "Nouveau")),"")</f>
        <v/>
      </c>
    </row>
    <row r="7235" spans="24:30" x14ac:dyDescent="0.25">
      <c r="X7235" s="8" t="e">
        <f>IF(Final_Sans_VGE[[#This Row],[ppn_z]]="","",IFERROR(
   IF(_xlfn.XLOOKUP(Final_Sans_VGE[[#This Row],[ppn_z]],tbl_Historique_Final[ppn_z],tbl_Historique_Final[date_modif])=Final_Sans_VGE[[#This Row],[date_modif]],
      "Ancien",
      "Modifié"),
   "Nouveau"))</f>
        <v>#VALUE!</v>
      </c>
      <c r="AD7235" s="1" t="str">
        <f>IFERROR(IF(Final_Sans_VGE[[#This Row],[ppn_z]]="","",IFERROR(
   IF(_xlfn.XLOOKUP(Final_Sans_VGE[[#This Row],[ppn_z]],tbl_Historique_Final[[#This Row],[ppn_z]],tbl_Historique_Final[[#This Row],[date_modif]])=Final_Sans_VGE[[#This Row],[date_modif]],
      "Ancien",
      "Modifié"),
   "Nouveau")),"")</f>
        <v/>
      </c>
    </row>
    <row r="7236" spans="24:30" x14ac:dyDescent="0.25">
      <c r="X7236" s="8" t="e">
        <f>IF(Final_Sans_VGE[[#This Row],[ppn_z]]="","",IFERROR(
   IF(_xlfn.XLOOKUP(Final_Sans_VGE[[#This Row],[ppn_z]],tbl_Historique_Final[ppn_z],tbl_Historique_Final[date_modif])=Final_Sans_VGE[[#This Row],[date_modif]],
      "Ancien",
      "Modifié"),
   "Nouveau"))</f>
        <v>#VALUE!</v>
      </c>
      <c r="AD7236" s="1" t="str">
        <f>IFERROR(IF(Final_Sans_VGE[[#This Row],[ppn_z]]="","",IFERROR(
   IF(_xlfn.XLOOKUP(Final_Sans_VGE[[#This Row],[ppn_z]],tbl_Historique_Final[[#This Row],[ppn_z]],tbl_Historique_Final[[#This Row],[date_modif]])=Final_Sans_VGE[[#This Row],[date_modif]],
      "Ancien",
      "Modifié"),
   "Nouveau")),"")</f>
        <v/>
      </c>
    </row>
    <row r="7237" spans="24:30" x14ac:dyDescent="0.25">
      <c r="X7237" s="8" t="e">
        <f>IF(Final_Sans_VGE[[#This Row],[ppn_z]]="","",IFERROR(
   IF(_xlfn.XLOOKUP(Final_Sans_VGE[[#This Row],[ppn_z]],tbl_Historique_Final[ppn_z],tbl_Historique_Final[date_modif])=Final_Sans_VGE[[#This Row],[date_modif]],
      "Ancien",
      "Modifié"),
   "Nouveau"))</f>
        <v>#VALUE!</v>
      </c>
      <c r="AD7237" s="1" t="str">
        <f>IFERROR(IF(Final_Sans_VGE[[#This Row],[ppn_z]]="","",IFERROR(
   IF(_xlfn.XLOOKUP(Final_Sans_VGE[[#This Row],[ppn_z]],tbl_Historique_Final[[#This Row],[ppn_z]],tbl_Historique_Final[[#This Row],[date_modif]])=Final_Sans_VGE[[#This Row],[date_modif]],
      "Ancien",
      "Modifié"),
   "Nouveau")),"")</f>
        <v/>
      </c>
    </row>
    <row r="7238" spans="24:30" x14ac:dyDescent="0.25">
      <c r="X7238" s="8" t="e">
        <f>IF(Final_Sans_VGE[[#This Row],[ppn_z]]="","",IFERROR(
   IF(_xlfn.XLOOKUP(Final_Sans_VGE[[#This Row],[ppn_z]],tbl_Historique_Final[ppn_z],tbl_Historique_Final[date_modif])=Final_Sans_VGE[[#This Row],[date_modif]],
      "Ancien",
      "Modifié"),
   "Nouveau"))</f>
        <v>#VALUE!</v>
      </c>
      <c r="AD7238" s="1" t="str">
        <f>IFERROR(IF(Final_Sans_VGE[[#This Row],[ppn_z]]="","",IFERROR(
   IF(_xlfn.XLOOKUP(Final_Sans_VGE[[#This Row],[ppn_z]],tbl_Historique_Final[[#This Row],[ppn_z]],tbl_Historique_Final[[#This Row],[date_modif]])=Final_Sans_VGE[[#This Row],[date_modif]],
      "Ancien",
      "Modifié"),
   "Nouveau")),"")</f>
        <v/>
      </c>
    </row>
    <row r="7239" spans="24:30" x14ac:dyDescent="0.25">
      <c r="X7239" s="8" t="e">
        <f>IF(Final_Sans_VGE[[#This Row],[ppn_z]]="","",IFERROR(
   IF(_xlfn.XLOOKUP(Final_Sans_VGE[[#This Row],[ppn_z]],tbl_Historique_Final[ppn_z],tbl_Historique_Final[date_modif])=Final_Sans_VGE[[#This Row],[date_modif]],
      "Ancien",
      "Modifié"),
   "Nouveau"))</f>
        <v>#VALUE!</v>
      </c>
      <c r="AD7239" s="1" t="str">
        <f>IFERROR(IF(Final_Sans_VGE[[#This Row],[ppn_z]]="","",IFERROR(
   IF(_xlfn.XLOOKUP(Final_Sans_VGE[[#This Row],[ppn_z]],tbl_Historique_Final[[#This Row],[ppn_z]],tbl_Historique_Final[[#This Row],[date_modif]])=Final_Sans_VGE[[#This Row],[date_modif]],
      "Ancien",
      "Modifié"),
   "Nouveau")),"")</f>
        <v/>
      </c>
    </row>
    <row r="7240" spans="24:30" x14ac:dyDescent="0.25">
      <c r="X7240" s="8" t="e">
        <f>IF(Final_Sans_VGE[[#This Row],[ppn_z]]="","",IFERROR(
   IF(_xlfn.XLOOKUP(Final_Sans_VGE[[#This Row],[ppn_z]],tbl_Historique_Final[ppn_z],tbl_Historique_Final[date_modif])=Final_Sans_VGE[[#This Row],[date_modif]],
      "Ancien",
      "Modifié"),
   "Nouveau"))</f>
        <v>#VALUE!</v>
      </c>
      <c r="AD7240" s="1" t="str">
        <f>IFERROR(IF(Final_Sans_VGE[[#This Row],[ppn_z]]="","",IFERROR(
   IF(_xlfn.XLOOKUP(Final_Sans_VGE[[#This Row],[ppn_z]],tbl_Historique_Final[[#This Row],[ppn_z]],tbl_Historique_Final[[#This Row],[date_modif]])=Final_Sans_VGE[[#This Row],[date_modif]],
      "Ancien",
      "Modifié"),
   "Nouveau")),"")</f>
        <v/>
      </c>
    </row>
    <row r="7241" spans="24:30" x14ac:dyDescent="0.25">
      <c r="X7241" s="8" t="e">
        <f>IF(Final_Sans_VGE[[#This Row],[ppn_z]]="","",IFERROR(
   IF(_xlfn.XLOOKUP(Final_Sans_VGE[[#This Row],[ppn_z]],tbl_Historique_Final[ppn_z],tbl_Historique_Final[date_modif])=Final_Sans_VGE[[#This Row],[date_modif]],
      "Ancien",
      "Modifié"),
   "Nouveau"))</f>
        <v>#VALUE!</v>
      </c>
      <c r="AD7241" s="1" t="str">
        <f>IFERROR(IF(Final_Sans_VGE[[#This Row],[ppn_z]]="","",IFERROR(
   IF(_xlfn.XLOOKUP(Final_Sans_VGE[[#This Row],[ppn_z]],tbl_Historique_Final[[#This Row],[ppn_z]],tbl_Historique_Final[[#This Row],[date_modif]])=Final_Sans_VGE[[#This Row],[date_modif]],
      "Ancien",
      "Modifié"),
   "Nouveau")),"")</f>
        <v/>
      </c>
    </row>
    <row r="7242" spans="24:30" x14ac:dyDescent="0.25">
      <c r="X7242" s="8" t="e">
        <f>IF(Final_Sans_VGE[[#This Row],[ppn_z]]="","",IFERROR(
   IF(_xlfn.XLOOKUP(Final_Sans_VGE[[#This Row],[ppn_z]],tbl_Historique_Final[ppn_z],tbl_Historique_Final[date_modif])=Final_Sans_VGE[[#This Row],[date_modif]],
      "Ancien",
      "Modifié"),
   "Nouveau"))</f>
        <v>#VALUE!</v>
      </c>
      <c r="AD7242" s="1" t="str">
        <f>IFERROR(IF(Final_Sans_VGE[[#This Row],[ppn_z]]="","",IFERROR(
   IF(_xlfn.XLOOKUP(Final_Sans_VGE[[#This Row],[ppn_z]],tbl_Historique_Final[[#This Row],[ppn_z]],tbl_Historique_Final[[#This Row],[date_modif]])=Final_Sans_VGE[[#This Row],[date_modif]],
      "Ancien",
      "Modifié"),
   "Nouveau")),"")</f>
        <v/>
      </c>
    </row>
    <row r="7243" spans="24:30" x14ac:dyDescent="0.25">
      <c r="X7243" s="8" t="e">
        <f>IF(Final_Sans_VGE[[#This Row],[ppn_z]]="","",IFERROR(
   IF(_xlfn.XLOOKUP(Final_Sans_VGE[[#This Row],[ppn_z]],tbl_Historique_Final[ppn_z],tbl_Historique_Final[date_modif])=Final_Sans_VGE[[#This Row],[date_modif]],
      "Ancien",
      "Modifié"),
   "Nouveau"))</f>
        <v>#VALUE!</v>
      </c>
      <c r="AD7243" s="1" t="str">
        <f>IFERROR(IF(Final_Sans_VGE[[#This Row],[ppn_z]]="","",IFERROR(
   IF(_xlfn.XLOOKUP(Final_Sans_VGE[[#This Row],[ppn_z]],tbl_Historique_Final[[#This Row],[ppn_z]],tbl_Historique_Final[[#This Row],[date_modif]])=Final_Sans_VGE[[#This Row],[date_modif]],
      "Ancien",
      "Modifié"),
   "Nouveau")),"")</f>
        <v/>
      </c>
    </row>
    <row r="7244" spans="24:30" x14ac:dyDescent="0.25">
      <c r="X7244" s="8" t="e">
        <f>IF(Final_Sans_VGE[[#This Row],[ppn_z]]="","",IFERROR(
   IF(_xlfn.XLOOKUP(Final_Sans_VGE[[#This Row],[ppn_z]],tbl_Historique_Final[ppn_z],tbl_Historique_Final[date_modif])=Final_Sans_VGE[[#This Row],[date_modif]],
      "Ancien",
      "Modifié"),
   "Nouveau"))</f>
        <v>#VALUE!</v>
      </c>
      <c r="AD7244" s="1" t="str">
        <f>IFERROR(IF(Final_Sans_VGE[[#This Row],[ppn_z]]="","",IFERROR(
   IF(_xlfn.XLOOKUP(Final_Sans_VGE[[#This Row],[ppn_z]],tbl_Historique_Final[[#This Row],[ppn_z]],tbl_Historique_Final[[#This Row],[date_modif]])=Final_Sans_VGE[[#This Row],[date_modif]],
      "Ancien",
      "Modifié"),
   "Nouveau")),"")</f>
        <v/>
      </c>
    </row>
    <row r="7245" spans="24:30" x14ac:dyDescent="0.25">
      <c r="X7245" s="8" t="e">
        <f>IF(Final_Sans_VGE[[#This Row],[ppn_z]]="","",IFERROR(
   IF(_xlfn.XLOOKUP(Final_Sans_VGE[[#This Row],[ppn_z]],tbl_Historique_Final[ppn_z],tbl_Historique_Final[date_modif])=Final_Sans_VGE[[#This Row],[date_modif]],
      "Ancien",
      "Modifié"),
   "Nouveau"))</f>
        <v>#VALUE!</v>
      </c>
      <c r="AD7245" s="1" t="str">
        <f>IFERROR(IF(Final_Sans_VGE[[#This Row],[ppn_z]]="","",IFERROR(
   IF(_xlfn.XLOOKUP(Final_Sans_VGE[[#This Row],[ppn_z]],tbl_Historique_Final[[#This Row],[ppn_z]],tbl_Historique_Final[[#This Row],[date_modif]])=Final_Sans_VGE[[#This Row],[date_modif]],
      "Ancien",
      "Modifié"),
   "Nouveau")),"")</f>
        <v/>
      </c>
    </row>
    <row r="7246" spans="24:30" x14ac:dyDescent="0.25">
      <c r="X7246" s="8" t="e">
        <f>IF(Final_Sans_VGE[[#This Row],[ppn_z]]="","",IFERROR(
   IF(_xlfn.XLOOKUP(Final_Sans_VGE[[#This Row],[ppn_z]],tbl_Historique_Final[ppn_z],tbl_Historique_Final[date_modif])=Final_Sans_VGE[[#This Row],[date_modif]],
      "Ancien",
      "Modifié"),
   "Nouveau"))</f>
        <v>#VALUE!</v>
      </c>
      <c r="AD7246" s="1" t="str">
        <f>IFERROR(IF(Final_Sans_VGE[[#This Row],[ppn_z]]="","",IFERROR(
   IF(_xlfn.XLOOKUP(Final_Sans_VGE[[#This Row],[ppn_z]],tbl_Historique_Final[[#This Row],[ppn_z]],tbl_Historique_Final[[#This Row],[date_modif]])=Final_Sans_VGE[[#This Row],[date_modif]],
      "Ancien",
      "Modifié"),
   "Nouveau")),"")</f>
        <v/>
      </c>
    </row>
    <row r="7247" spans="24:30" x14ac:dyDescent="0.25">
      <c r="X7247" s="8" t="e">
        <f>IF(Final_Sans_VGE[[#This Row],[ppn_z]]="","",IFERROR(
   IF(_xlfn.XLOOKUP(Final_Sans_VGE[[#This Row],[ppn_z]],tbl_Historique_Final[ppn_z],tbl_Historique_Final[date_modif])=Final_Sans_VGE[[#This Row],[date_modif]],
      "Ancien",
      "Modifié"),
   "Nouveau"))</f>
        <v>#VALUE!</v>
      </c>
      <c r="AD7247" s="1" t="str">
        <f>IFERROR(IF(Final_Sans_VGE[[#This Row],[ppn_z]]="","",IFERROR(
   IF(_xlfn.XLOOKUP(Final_Sans_VGE[[#This Row],[ppn_z]],tbl_Historique_Final[[#This Row],[ppn_z]],tbl_Historique_Final[[#This Row],[date_modif]])=Final_Sans_VGE[[#This Row],[date_modif]],
      "Ancien",
      "Modifié"),
   "Nouveau")),"")</f>
        <v/>
      </c>
    </row>
    <row r="7248" spans="24:30" x14ac:dyDescent="0.25">
      <c r="X7248" s="8" t="e">
        <f>IF(Final_Sans_VGE[[#This Row],[ppn_z]]="","",IFERROR(
   IF(_xlfn.XLOOKUP(Final_Sans_VGE[[#This Row],[ppn_z]],tbl_Historique_Final[ppn_z],tbl_Historique_Final[date_modif])=Final_Sans_VGE[[#This Row],[date_modif]],
      "Ancien",
      "Modifié"),
   "Nouveau"))</f>
        <v>#VALUE!</v>
      </c>
      <c r="AD7248" s="1" t="str">
        <f>IFERROR(IF(Final_Sans_VGE[[#This Row],[ppn_z]]="","",IFERROR(
   IF(_xlfn.XLOOKUP(Final_Sans_VGE[[#This Row],[ppn_z]],tbl_Historique_Final[[#This Row],[ppn_z]],tbl_Historique_Final[[#This Row],[date_modif]])=Final_Sans_VGE[[#This Row],[date_modif]],
      "Ancien",
      "Modifié"),
   "Nouveau")),"")</f>
        <v/>
      </c>
    </row>
    <row r="7249" spans="24:30" x14ac:dyDescent="0.25">
      <c r="X7249" s="8" t="e">
        <f>IF(Final_Sans_VGE[[#This Row],[ppn_z]]="","",IFERROR(
   IF(_xlfn.XLOOKUP(Final_Sans_VGE[[#This Row],[ppn_z]],tbl_Historique_Final[ppn_z],tbl_Historique_Final[date_modif])=Final_Sans_VGE[[#This Row],[date_modif]],
      "Ancien",
      "Modifié"),
   "Nouveau"))</f>
        <v>#VALUE!</v>
      </c>
      <c r="AD7249" s="1" t="str">
        <f>IFERROR(IF(Final_Sans_VGE[[#This Row],[ppn_z]]="","",IFERROR(
   IF(_xlfn.XLOOKUP(Final_Sans_VGE[[#This Row],[ppn_z]],tbl_Historique_Final[[#This Row],[ppn_z]],tbl_Historique_Final[[#This Row],[date_modif]])=Final_Sans_VGE[[#This Row],[date_modif]],
      "Ancien",
      "Modifié"),
   "Nouveau")),"")</f>
        <v/>
      </c>
    </row>
    <row r="7250" spans="24:30" x14ac:dyDescent="0.25">
      <c r="X7250" s="8" t="e">
        <f>IF(Final_Sans_VGE[[#This Row],[ppn_z]]="","",IFERROR(
   IF(_xlfn.XLOOKUP(Final_Sans_VGE[[#This Row],[ppn_z]],tbl_Historique_Final[ppn_z],tbl_Historique_Final[date_modif])=Final_Sans_VGE[[#This Row],[date_modif]],
      "Ancien",
      "Modifié"),
   "Nouveau"))</f>
        <v>#VALUE!</v>
      </c>
      <c r="AD7250" s="1" t="str">
        <f>IFERROR(IF(Final_Sans_VGE[[#This Row],[ppn_z]]="","",IFERROR(
   IF(_xlfn.XLOOKUP(Final_Sans_VGE[[#This Row],[ppn_z]],tbl_Historique_Final[[#This Row],[ppn_z]],tbl_Historique_Final[[#This Row],[date_modif]])=Final_Sans_VGE[[#This Row],[date_modif]],
      "Ancien",
      "Modifié"),
   "Nouveau")),"")</f>
        <v/>
      </c>
    </row>
    <row r="7251" spans="24:30" x14ac:dyDescent="0.25">
      <c r="X7251" s="8" t="e">
        <f>IF(Final_Sans_VGE[[#This Row],[ppn_z]]="","",IFERROR(
   IF(_xlfn.XLOOKUP(Final_Sans_VGE[[#This Row],[ppn_z]],tbl_Historique_Final[ppn_z],tbl_Historique_Final[date_modif])=Final_Sans_VGE[[#This Row],[date_modif]],
      "Ancien",
      "Modifié"),
   "Nouveau"))</f>
        <v>#VALUE!</v>
      </c>
      <c r="AD7251" s="1" t="str">
        <f>IFERROR(IF(Final_Sans_VGE[[#This Row],[ppn_z]]="","",IFERROR(
   IF(_xlfn.XLOOKUP(Final_Sans_VGE[[#This Row],[ppn_z]],tbl_Historique_Final[[#This Row],[ppn_z]],tbl_Historique_Final[[#This Row],[date_modif]])=Final_Sans_VGE[[#This Row],[date_modif]],
      "Ancien",
      "Modifié"),
   "Nouveau")),"")</f>
        <v/>
      </c>
    </row>
    <row r="7252" spans="24:30" x14ac:dyDescent="0.25">
      <c r="X7252" s="8" t="e">
        <f>IF(Final_Sans_VGE[[#This Row],[ppn_z]]="","",IFERROR(
   IF(_xlfn.XLOOKUP(Final_Sans_VGE[[#This Row],[ppn_z]],tbl_Historique_Final[ppn_z],tbl_Historique_Final[date_modif])=Final_Sans_VGE[[#This Row],[date_modif]],
      "Ancien",
      "Modifié"),
   "Nouveau"))</f>
        <v>#VALUE!</v>
      </c>
      <c r="AD7252" s="1" t="str">
        <f>IFERROR(IF(Final_Sans_VGE[[#This Row],[ppn_z]]="","",IFERROR(
   IF(_xlfn.XLOOKUP(Final_Sans_VGE[[#This Row],[ppn_z]],tbl_Historique_Final[[#This Row],[ppn_z]],tbl_Historique_Final[[#This Row],[date_modif]])=Final_Sans_VGE[[#This Row],[date_modif]],
      "Ancien",
      "Modifié"),
   "Nouveau")),"")</f>
        <v/>
      </c>
    </row>
    <row r="7253" spans="24:30" x14ac:dyDescent="0.25">
      <c r="X7253" s="8" t="e">
        <f>IF(Final_Sans_VGE[[#This Row],[ppn_z]]="","",IFERROR(
   IF(_xlfn.XLOOKUP(Final_Sans_VGE[[#This Row],[ppn_z]],tbl_Historique_Final[ppn_z],tbl_Historique_Final[date_modif])=Final_Sans_VGE[[#This Row],[date_modif]],
      "Ancien",
      "Modifié"),
   "Nouveau"))</f>
        <v>#VALUE!</v>
      </c>
      <c r="AD7253" s="1" t="str">
        <f>IFERROR(IF(Final_Sans_VGE[[#This Row],[ppn_z]]="","",IFERROR(
   IF(_xlfn.XLOOKUP(Final_Sans_VGE[[#This Row],[ppn_z]],tbl_Historique_Final[[#This Row],[ppn_z]],tbl_Historique_Final[[#This Row],[date_modif]])=Final_Sans_VGE[[#This Row],[date_modif]],
      "Ancien",
      "Modifié"),
   "Nouveau")),"")</f>
        <v/>
      </c>
    </row>
    <row r="7254" spans="24:30" x14ac:dyDescent="0.25">
      <c r="X7254" s="8" t="e">
        <f>IF(Final_Sans_VGE[[#This Row],[ppn_z]]="","",IFERROR(
   IF(_xlfn.XLOOKUP(Final_Sans_VGE[[#This Row],[ppn_z]],tbl_Historique_Final[ppn_z],tbl_Historique_Final[date_modif])=Final_Sans_VGE[[#This Row],[date_modif]],
      "Ancien",
      "Modifié"),
   "Nouveau"))</f>
        <v>#VALUE!</v>
      </c>
      <c r="AD7254" s="1" t="str">
        <f>IFERROR(IF(Final_Sans_VGE[[#This Row],[ppn_z]]="","",IFERROR(
   IF(_xlfn.XLOOKUP(Final_Sans_VGE[[#This Row],[ppn_z]],tbl_Historique_Final[[#This Row],[ppn_z]],tbl_Historique_Final[[#This Row],[date_modif]])=Final_Sans_VGE[[#This Row],[date_modif]],
      "Ancien",
      "Modifié"),
   "Nouveau")),"")</f>
        <v/>
      </c>
    </row>
    <row r="7255" spans="24:30" x14ac:dyDescent="0.25">
      <c r="X7255" s="8" t="e">
        <f>IF(Final_Sans_VGE[[#This Row],[ppn_z]]="","",IFERROR(
   IF(_xlfn.XLOOKUP(Final_Sans_VGE[[#This Row],[ppn_z]],tbl_Historique_Final[ppn_z],tbl_Historique_Final[date_modif])=Final_Sans_VGE[[#This Row],[date_modif]],
      "Ancien",
      "Modifié"),
   "Nouveau"))</f>
        <v>#VALUE!</v>
      </c>
      <c r="AD7255" s="1" t="str">
        <f>IFERROR(IF(Final_Sans_VGE[[#This Row],[ppn_z]]="","",IFERROR(
   IF(_xlfn.XLOOKUP(Final_Sans_VGE[[#This Row],[ppn_z]],tbl_Historique_Final[[#This Row],[ppn_z]],tbl_Historique_Final[[#This Row],[date_modif]])=Final_Sans_VGE[[#This Row],[date_modif]],
      "Ancien",
      "Modifié"),
   "Nouveau")),"")</f>
        <v/>
      </c>
    </row>
    <row r="7256" spans="24:30" x14ac:dyDescent="0.25">
      <c r="X7256" s="8" t="e">
        <f>IF(Final_Sans_VGE[[#This Row],[ppn_z]]="","",IFERROR(
   IF(_xlfn.XLOOKUP(Final_Sans_VGE[[#This Row],[ppn_z]],tbl_Historique_Final[ppn_z],tbl_Historique_Final[date_modif])=Final_Sans_VGE[[#This Row],[date_modif]],
      "Ancien",
      "Modifié"),
   "Nouveau"))</f>
        <v>#VALUE!</v>
      </c>
      <c r="AD7256" s="1" t="str">
        <f>IFERROR(IF(Final_Sans_VGE[[#This Row],[ppn_z]]="","",IFERROR(
   IF(_xlfn.XLOOKUP(Final_Sans_VGE[[#This Row],[ppn_z]],tbl_Historique_Final[[#This Row],[ppn_z]],tbl_Historique_Final[[#This Row],[date_modif]])=Final_Sans_VGE[[#This Row],[date_modif]],
      "Ancien",
      "Modifié"),
   "Nouveau")),"")</f>
        <v/>
      </c>
    </row>
    <row r="7257" spans="24:30" x14ac:dyDescent="0.25">
      <c r="X7257" s="8" t="e">
        <f>IF(Final_Sans_VGE[[#This Row],[ppn_z]]="","",IFERROR(
   IF(_xlfn.XLOOKUP(Final_Sans_VGE[[#This Row],[ppn_z]],tbl_Historique_Final[ppn_z],tbl_Historique_Final[date_modif])=Final_Sans_VGE[[#This Row],[date_modif]],
      "Ancien",
      "Modifié"),
   "Nouveau"))</f>
        <v>#VALUE!</v>
      </c>
      <c r="AD7257" s="1" t="str">
        <f>IFERROR(IF(Final_Sans_VGE[[#This Row],[ppn_z]]="","",IFERROR(
   IF(_xlfn.XLOOKUP(Final_Sans_VGE[[#This Row],[ppn_z]],tbl_Historique_Final[[#This Row],[ppn_z]],tbl_Historique_Final[[#This Row],[date_modif]])=Final_Sans_VGE[[#This Row],[date_modif]],
      "Ancien",
      "Modifié"),
   "Nouveau")),"")</f>
        <v/>
      </c>
    </row>
    <row r="7258" spans="24:30" x14ac:dyDescent="0.25">
      <c r="X7258" s="8" t="e">
        <f>IF(Final_Sans_VGE[[#This Row],[ppn_z]]="","",IFERROR(
   IF(_xlfn.XLOOKUP(Final_Sans_VGE[[#This Row],[ppn_z]],tbl_Historique_Final[ppn_z],tbl_Historique_Final[date_modif])=Final_Sans_VGE[[#This Row],[date_modif]],
      "Ancien",
      "Modifié"),
   "Nouveau"))</f>
        <v>#VALUE!</v>
      </c>
      <c r="AD7258" s="1" t="str">
        <f>IFERROR(IF(Final_Sans_VGE[[#This Row],[ppn_z]]="","",IFERROR(
   IF(_xlfn.XLOOKUP(Final_Sans_VGE[[#This Row],[ppn_z]],tbl_Historique_Final[[#This Row],[ppn_z]],tbl_Historique_Final[[#This Row],[date_modif]])=Final_Sans_VGE[[#This Row],[date_modif]],
      "Ancien",
      "Modifié"),
   "Nouveau")),"")</f>
        <v/>
      </c>
    </row>
    <row r="7259" spans="24:30" x14ac:dyDescent="0.25">
      <c r="X7259" s="8" t="e">
        <f>IF(Final_Sans_VGE[[#This Row],[ppn_z]]="","",IFERROR(
   IF(_xlfn.XLOOKUP(Final_Sans_VGE[[#This Row],[ppn_z]],tbl_Historique_Final[ppn_z],tbl_Historique_Final[date_modif])=Final_Sans_VGE[[#This Row],[date_modif]],
      "Ancien",
      "Modifié"),
   "Nouveau"))</f>
        <v>#VALUE!</v>
      </c>
      <c r="AD7259" s="1" t="str">
        <f>IFERROR(IF(Final_Sans_VGE[[#This Row],[ppn_z]]="","",IFERROR(
   IF(_xlfn.XLOOKUP(Final_Sans_VGE[[#This Row],[ppn_z]],tbl_Historique_Final[[#This Row],[ppn_z]],tbl_Historique_Final[[#This Row],[date_modif]])=Final_Sans_VGE[[#This Row],[date_modif]],
      "Ancien",
      "Modifié"),
   "Nouveau")),"")</f>
        <v/>
      </c>
    </row>
    <row r="7260" spans="24:30" x14ac:dyDescent="0.25">
      <c r="X7260" s="8" t="e">
        <f>IF(Final_Sans_VGE[[#This Row],[ppn_z]]="","",IFERROR(
   IF(_xlfn.XLOOKUP(Final_Sans_VGE[[#This Row],[ppn_z]],tbl_Historique_Final[ppn_z],tbl_Historique_Final[date_modif])=Final_Sans_VGE[[#This Row],[date_modif]],
      "Ancien",
      "Modifié"),
   "Nouveau"))</f>
        <v>#VALUE!</v>
      </c>
      <c r="AD7260" s="1" t="str">
        <f>IFERROR(IF(Final_Sans_VGE[[#This Row],[ppn_z]]="","",IFERROR(
   IF(_xlfn.XLOOKUP(Final_Sans_VGE[[#This Row],[ppn_z]],tbl_Historique_Final[[#This Row],[ppn_z]],tbl_Historique_Final[[#This Row],[date_modif]])=Final_Sans_VGE[[#This Row],[date_modif]],
      "Ancien",
      "Modifié"),
   "Nouveau")),"")</f>
        <v/>
      </c>
    </row>
    <row r="7261" spans="24:30" x14ac:dyDescent="0.25">
      <c r="X7261" s="8" t="e">
        <f>IF(Final_Sans_VGE[[#This Row],[ppn_z]]="","",IFERROR(
   IF(_xlfn.XLOOKUP(Final_Sans_VGE[[#This Row],[ppn_z]],tbl_Historique_Final[ppn_z],tbl_Historique_Final[date_modif])=Final_Sans_VGE[[#This Row],[date_modif]],
      "Ancien",
      "Modifié"),
   "Nouveau"))</f>
        <v>#VALUE!</v>
      </c>
      <c r="AD7261" s="1" t="str">
        <f>IFERROR(IF(Final_Sans_VGE[[#This Row],[ppn_z]]="","",IFERROR(
   IF(_xlfn.XLOOKUP(Final_Sans_VGE[[#This Row],[ppn_z]],tbl_Historique_Final[[#This Row],[ppn_z]],tbl_Historique_Final[[#This Row],[date_modif]])=Final_Sans_VGE[[#This Row],[date_modif]],
      "Ancien",
      "Modifié"),
   "Nouveau")),"")</f>
        <v/>
      </c>
    </row>
    <row r="7262" spans="24:30" x14ac:dyDescent="0.25">
      <c r="X7262" s="8" t="e">
        <f>IF(Final_Sans_VGE[[#This Row],[ppn_z]]="","",IFERROR(
   IF(_xlfn.XLOOKUP(Final_Sans_VGE[[#This Row],[ppn_z]],tbl_Historique_Final[ppn_z],tbl_Historique_Final[date_modif])=Final_Sans_VGE[[#This Row],[date_modif]],
      "Ancien",
      "Modifié"),
   "Nouveau"))</f>
        <v>#VALUE!</v>
      </c>
      <c r="AD7262" s="1" t="str">
        <f>IFERROR(IF(Final_Sans_VGE[[#This Row],[ppn_z]]="","",IFERROR(
   IF(_xlfn.XLOOKUP(Final_Sans_VGE[[#This Row],[ppn_z]],tbl_Historique_Final[[#This Row],[ppn_z]],tbl_Historique_Final[[#This Row],[date_modif]])=Final_Sans_VGE[[#This Row],[date_modif]],
      "Ancien",
      "Modifié"),
   "Nouveau")),"")</f>
        <v/>
      </c>
    </row>
    <row r="7263" spans="24:30" x14ac:dyDescent="0.25">
      <c r="X7263" s="8" t="e">
        <f>IF(Final_Sans_VGE[[#This Row],[ppn_z]]="","",IFERROR(
   IF(_xlfn.XLOOKUP(Final_Sans_VGE[[#This Row],[ppn_z]],tbl_Historique_Final[ppn_z],tbl_Historique_Final[date_modif])=Final_Sans_VGE[[#This Row],[date_modif]],
      "Ancien",
      "Modifié"),
   "Nouveau"))</f>
        <v>#VALUE!</v>
      </c>
      <c r="AD7263" s="1" t="str">
        <f>IFERROR(IF(Final_Sans_VGE[[#This Row],[ppn_z]]="","",IFERROR(
   IF(_xlfn.XLOOKUP(Final_Sans_VGE[[#This Row],[ppn_z]],tbl_Historique_Final[[#This Row],[ppn_z]],tbl_Historique_Final[[#This Row],[date_modif]])=Final_Sans_VGE[[#This Row],[date_modif]],
      "Ancien",
      "Modifié"),
   "Nouveau")),"")</f>
        <v/>
      </c>
    </row>
    <row r="7264" spans="24:30" x14ac:dyDescent="0.25">
      <c r="X7264" s="8" t="e">
        <f>IF(Final_Sans_VGE[[#This Row],[ppn_z]]="","",IFERROR(
   IF(_xlfn.XLOOKUP(Final_Sans_VGE[[#This Row],[ppn_z]],tbl_Historique_Final[ppn_z],tbl_Historique_Final[date_modif])=Final_Sans_VGE[[#This Row],[date_modif]],
      "Ancien",
      "Modifié"),
   "Nouveau"))</f>
        <v>#VALUE!</v>
      </c>
      <c r="AD7264" s="1" t="str">
        <f>IFERROR(IF(Final_Sans_VGE[[#This Row],[ppn_z]]="","",IFERROR(
   IF(_xlfn.XLOOKUP(Final_Sans_VGE[[#This Row],[ppn_z]],tbl_Historique_Final[[#This Row],[ppn_z]],tbl_Historique_Final[[#This Row],[date_modif]])=Final_Sans_VGE[[#This Row],[date_modif]],
      "Ancien",
      "Modifié"),
   "Nouveau")),"")</f>
        <v/>
      </c>
    </row>
    <row r="7265" spans="24:30" x14ac:dyDescent="0.25">
      <c r="X7265" s="8" t="e">
        <f>IF(Final_Sans_VGE[[#This Row],[ppn_z]]="","",IFERROR(
   IF(_xlfn.XLOOKUP(Final_Sans_VGE[[#This Row],[ppn_z]],tbl_Historique_Final[ppn_z],tbl_Historique_Final[date_modif])=Final_Sans_VGE[[#This Row],[date_modif]],
      "Ancien",
      "Modifié"),
   "Nouveau"))</f>
        <v>#VALUE!</v>
      </c>
      <c r="AD7265" s="1" t="str">
        <f>IFERROR(IF(Final_Sans_VGE[[#This Row],[ppn_z]]="","",IFERROR(
   IF(_xlfn.XLOOKUP(Final_Sans_VGE[[#This Row],[ppn_z]],tbl_Historique_Final[[#This Row],[ppn_z]],tbl_Historique_Final[[#This Row],[date_modif]])=Final_Sans_VGE[[#This Row],[date_modif]],
      "Ancien",
      "Modifié"),
   "Nouveau")),"")</f>
        <v/>
      </c>
    </row>
    <row r="7266" spans="24:30" x14ac:dyDescent="0.25">
      <c r="X7266" s="8" t="e">
        <f>IF(Final_Sans_VGE[[#This Row],[ppn_z]]="","",IFERROR(
   IF(_xlfn.XLOOKUP(Final_Sans_VGE[[#This Row],[ppn_z]],tbl_Historique_Final[ppn_z],tbl_Historique_Final[date_modif])=Final_Sans_VGE[[#This Row],[date_modif]],
      "Ancien",
      "Modifié"),
   "Nouveau"))</f>
        <v>#VALUE!</v>
      </c>
      <c r="AD7266" s="1" t="str">
        <f>IFERROR(IF(Final_Sans_VGE[[#This Row],[ppn_z]]="","",IFERROR(
   IF(_xlfn.XLOOKUP(Final_Sans_VGE[[#This Row],[ppn_z]],tbl_Historique_Final[[#This Row],[ppn_z]],tbl_Historique_Final[[#This Row],[date_modif]])=Final_Sans_VGE[[#This Row],[date_modif]],
      "Ancien",
      "Modifié"),
   "Nouveau")),"")</f>
        <v/>
      </c>
    </row>
    <row r="7267" spans="24:30" x14ac:dyDescent="0.25">
      <c r="X7267" s="8" t="e">
        <f>IF(Final_Sans_VGE[[#This Row],[ppn_z]]="","",IFERROR(
   IF(_xlfn.XLOOKUP(Final_Sans_VGE[[#This Row],[ppn_z]],tbl_Historique_Final[ppn_z],tbl_Historique_Final[date_modif])=Final_Sans_VGE[[#This Row],[date_modif]],
      "Ancien",
      "Modifié"),
   "Nouveau"))</f>
        <v>#VALUE!</v>
      </c>
      <c r="AD7267" s="1" t="str">
        <f>IFERROR(IF(Final_Sans_VGE[[#This Row],[ppn_z]]="","",IFERROR(
   IF(_xlfn.XLOOKUP(Final_Sans_VGE[[#This Row],[ppn_z]],tbl_Historique_Final[[#This Row],[ppn_z]],tbl_Historique_Final[[#This Row],[date_modif]])=Final_Sans_VGE[[#This Row],[date_modif]],
      "Ancien",
      "Modifié"),
   "Nouveau")),"")</f>
        <v/>
      </c>
    </row>
    <row r="7268" spans="24:30" x14ac:dyDescent="0.25">
      <c r="X7268" s="8" t="e">
        <f>IF(Final_Sans_VGE[[#This Row],[ppn_z]]="","",IFERROR(
   IF(_xlfn.XLOOKUP(Final_Sans_VGE[[#This Row],[ppn_z]],tbl_Historique_Final[ppn_z],tbl_Historique_Final[date_modif])=Final_Sans_VGE[[#This Row],[date_modif]],
      "Ancien",
      "Modifié"),
   "Nouveau"))</f>
        <v>#VALUE!</v>
      </c>
      <c r="AD7268" s="1" t="str">
        <f>IFERROR(IF(Final_Sans_VGE[[#This Row],[ppn_z]]="","",IFERROR(
   IF(_xlfn.XLOOKUP(Final_Sans_VGE[[#This Row],[ppn_z]],tbl_Historique_Final[[#This Row],[ppn_z]],tbl_Historique_Final[[#This Row],[date_modif]])=Final_Sans_VGE[[#This Row],[date_modif]],
      "Ancien",
      "Modifié"),
   "Nouveau")),"")</f>
        <v/>
      </c>
    </row>
    <row r="7269" spans="24:30" x14ac:dyDescent="0.25">
      <c r="X7269" s="8" t="e">
        <f>IF(Final_Sans_VGE[[#This Row],[ppn_z]]="","",IFERROR(
   IF(_xlfn.XLOOKUP(Final_Sans_VGE[[#This Row],[ppn_z]],tbl_Historique_Final[ppn_z],tbl_Historique_Final[date_modif])=Final_Sans_VGE[[#This Row],[date_modif]],
      "Ancien",
      "Modifié"),
   "Nouveau"))</f>
        <v>#VALUE!</v>
      </c>
      <c r="AD7269" s="1" t="str">
        <f>IFERROR(IF(Final_Sans_VGE[[#This Row],[ppn_z]]="","",IFERROR(
   IF(_xlfn.XLOOKUP(Final_Sans_VGE[[#This Row],[ppn_z]],tbl_Historique_Final[[#This Row],[ppn_z]],tbl_Historique_Final[[#This Row],[date_modif]])=Final_Sans_VGE[[#This Row],[date_modif]],
      "Ancien",
      "Modifié"),
   "Nouveau")),"")</f>
        <v/>
      </c>
    </row>
    <row r="7270" spans="24:30" x14ac:dyDescent="0.25">
      <c r="X7270" s="8" t="e">
        <f>IF(Final_Sans_VGE[[#This Row],[ppn_z]]="","",IFERROR(
   IF(_xlfn.XLOOKUP(Final_Sans_VGE[[#This Row],[ppn_z]],tbl_Historique_Final[ppn_z],tbl_Historique_Final[date_modif])=Final_Sans_VGE[[#This Row],[date_modif]],
      "Ancien",
      "Modifié"),
   "Nouveau"))</f>
        <v>#VALUE!</v>
      </c>
      <c r="AD7270" s="1" t="str">
        <f>IFERROR(IF(Final_Sans_VGE[[#This Row],[ppn_z]]="","",IFERROR(
   IF(_xlfn.XLOOKUP(Final_Sans_VGE[[#This Row],[ppn_z]],tbl_Historique_Final[[#This Row],[ppn_z]],tbl_Historique_Final[[#This Row],[date_modif]])=Final_Sans_VGE[[#This Row],[date_modif]],
      "Ancien",
      "Modifié"),
   "Nouveau")),"")</f>
        <v/>
      </c>
    </row>
    <row r="7271" spans="24:30" x14ac:dyDescent="0.25">
      <c r="X7271" s="8" t="e">
        <f>IF(Final_Sans_VGE[[#This Row],[ppn_z]]="","",IFERROR(
   IF(_xlfn.XLOOKUP(Final_Sans_VGE[[#This Row],[ppn_z]],tbl_Historique_Final[ppn_z],tbl_Historique_Final[date_modif])=Final_Sans_VGE[[#This Row],[date_modif]],
      "Ancien",
      "Modifié"),
   "Nouveau"))</f>
        <v>#VALUE!</v>
      </c>
      <c r="AD7271" s="1" t="str">
        <f>IFERROR(IF(Final_Sans_VGE[[#This Row],[ppn_z]]="","",IFERROR(
   IF(_xlfn.XLOOKUP(Final_Sans_VGE[[#This Row],[ppn_z]],tbl_Historique_Final[[#This Row],[ppn_z]],tbl_Historique_Final[[#This Row],[date_modif]])=Final_Sans_VGE[[#This Row],[date_modif]],
      "Ancien",
      "Modifié"),
   "Nouveau")),"")</f>
        <v/>
      </c>
    </row>
    <row r="7272" spans="24:30" x14ac:dyDescent="0.25">
      <c r="X7272" s="8" t="e">
        <f>IF(Final_Sans_VGE[[#This Row],[ppn_z]]="","",IFERROR(
   IF(_xlfn.XLOOKUP(Final_Sans_VGE[[#This Row],[ppn_z]],tbl_Historique_Final[ppn_z],tbl_Historique_Final[date_modif])=Final_Sans_VGE[[#This Row],[date_modif]],
      "Ancien",
      "Modifié"),
   "Nouveau"))</f>
        <v>#VALUE!</v>
      </c>
      <c r="AD7272" s="1" t="str">
        <f>IFERROR(IF(Final_Sans_VGE[[#This Row],[ppn_z]]="","",IFERROR(
   IF(_xlfn.XLOOKUP(Final_Sans_VGE[[#This Row],[ppn_z]],tbl_Historique_Final[[#This Row],[ppn_z]],tbl_Historique_Final[[#This Row],[date_modif]])=Final_Sans_VGE[[#This Row],[date_modif]],
      "Ancien",
      "Modifié"),
   "Nouveau")),"")</f>
        <v/>
      </c>
    </row>
    <row r="7273" spans="24:30" x14ac:dyDescent="0.25">
      <c r="X7273" s="8" t="e">
        <f>IF(Final_Sans_VGE[[#This Row],[ppn_z]]="","",IFERROR(
   IF(_xlfn.XLOOKUP(Final_Sans_VGE[[#This Row],[ppn_z]],tbl_Historique_Final[ppn_z],tbl_Historique_Final[date_modif])=Final_Sans_VGE[[#This Row],[date_modif]],
      "Ancien",
      "Modifié"),
   "Nouveau"))</f>
        <v>#VALUE!</v>
      </c>
      <c r="AD7273" s="1" t="str">
        <f>IFERROR(IF(Final_Sans_VGE[[#This Row],[ppn_z]]="","",IFERROR(
   IF(_xlfn.XLOOKUP(Final_Sans_VGE[[#This Row],[ppn_z]],tbl_Historique_Final[[#This Row],[ppn_z]],tbl_Historique_Final[[#This Row],[date_modif]])=Final_Sans_VGE[[#This Row],[date_modif]],
      "Ancien",
      "Modifié"),
   "Nouveau")),"")</f>
        <v/>
      </c>
    </row>
    <row r="7274" spans="24:30" x14ac:dyDescent="0.25">
      <c r="X7274" s="8" t="e">
        <f>IF(Final_Sans_VGE[[#This Row],[ppn_z]]="","",IFERROR(
   IF(_xlfn.XLOOKUP(Final_Sans_VGE[[#This Row],[ppn_z]],tbl_Historique_Final[ppn_z],tbl_Historique_Final[date_modif])=Final_Sans_VGE[[#This Row],[date_modif]],
      "Ancien",
      "Modifié"),
   "Nouveau"))</f>
        <v>#VALUE!</v>
      </c>
      <c r="AD7274" s="1" t="str">
        <f>IFERROR(IF(Final_Sans_VGE[[#This Row],[ppn_z]]="","",IFERROR(
   IF(_xlfn.XLOOKUP(Final_Sans_VGE[[#This Row],[ppn_z]],tbl_Historique_Final[[#This Row],[ppn_z]],tbl_Historique_Final[[#This Row],[date_modif]])=Final_Sans_VGE[[#This Row],[date_modif]],
      "Ancien",
      "Modifié"),
   "Nouveau")),"")</f>
        <v/>
      </c>
    </row>
    <row r="7275" spans="24:30" x14ac:dyDescent="0.25">
      <c r="X7275" s="8" t="e">
        <f>IF(Final_Sans_VGE[[#This Row],[ppn_z]]="","",IFERROR(
   IF(_xlfn.XLOOKUP(Final_Sans_VGE[[#This Row],[ppn_z]],tbl_Historique_Final[ppn_z],tbl_Historique_Final[date_modif])=Final_Sans_VGE[[#This Row],[date_modif]],
      "Ancien",
      "Modifié"),
   "Nouveau"))</f>
        <v>#VALUE!</v>
      </c>
      <c r="AD7275" s="1" t="str">
        <f>IFERROR(IF(Final_Sans_VGE[[#This Row],[ppn_z]]="","",IFERROR(
   IF(_xlfn.XLOOKUP(Final_Sans_VGE[[#This Row],[ppn_z]],tbl_Historique_Final[[#This Row],[ppn_z]],tbl_Historique_Final[[#This Row],[date_modif]])=Final_Sans_VGE[[#This Row],[date_modif]],
      "Ancien",
      "Modifié"),
   "Nouveau")),"")</f>
        <v/>
      </c>
    </row>
    <row r="7276" spans="24:30" x14ac:dyDescent="0.25">
      <c r="X7276" s="8" t="e">
        <f>IF(Final_Sans_VGE[[#This Row],[ppn_z]]="","",IFERROR(
   IF(_xlfn.XLOOKUP(Final_Sans_VGE[[#This Row],[ppn_z]],tbl_Historique_Final[ppn_z],tbl_Historique_Final[date_modif])=Final_Sans_VGE[[#This Row],[date_modif]],
      "Ancien",
      "Modifié"),
   "Nouveau"))</f>
        <v>#VALUE!</v>
      </c>
      <c r="AD7276" s="1" t="str">
        <f>IFERROR(IF(Final_Sans_VGE[[#This Row],[ppn_z]]="","",IFERROR(
   IF(_xlfn.XLOOKUP(Final_Sans_VGE[[#This Row],[ppn_z]],tbl_Historique_Final[[#This Row],[ppn_z]],tbl_Historique_Final[[#This Row],[date_modif]])=Final_Sans_VGE[[#This Row],[date_modif]],
      "Ancien",
      "Modifié"),
   "Nouveau")),"")</f>
        <v/>
      </c>
    </row>
    <row r="7277" spans="24:30" x14ac:dyDescent="0.25">
      <c r="X7277" s="8" t="e">
        <f>IF(Final_Sans_VGE[[#This Row],[ppn_z]]="","",IFERROR(
   IF(_xlfn.XLOOKUP(Final_Sans_VGE[[#This Row],[ppn_z]],tbl_Historique_Final[ppn_z],tbl_Historique_Final[date_modif])=Final_Sans_VGE[[#This Row],[date_modif]],
      "Ancien",
      "Modifié"),
   "Nouveau"))</f>
        <v>#VALUE!</v>
      </c>
      <c r="AD7277" s="1" t="str">
        <f>IFERROR(IF(Final_Sans_VGE[[#This Row],[ppn_z]]="","",IFERROR(
   IF(_xlfn.XLOOKUP(Final_Sans_VGE[[#This Row],[ppn_z]],tbl_Historique_Final[[#This Row],[ppn_z]],tbl_Historique_Final[[#This Row],[date_modif]])=Final_Sans_VGE[[#This Row],[date_modif]],
      "Ancien",
      "Modifié"),
   "Nouveau")),"")</f>
        <v/>
      </c>
    </row>
    <row r="7278" spans="24:30" x14ac:dyDescent="0.25">
      <c r="X7278" s="8" t="e">
        <f>IF(Final_Sans_VGE[[#This Row],[ppn_z]]="","",IFERROR(
   IF(_xlfn.XLOOKUP(Final_Sans_VGE[[#This Row],[ppn_z]],tbl_Historique_Final[ppn_z],tbl_Historique_Final[date_modif])=Final_Sans_VGE[[#This Row],[date_modif]],
      "Ancien",
      "Modifié"),
   "Nouveau"))</f>
        <v>#VALUE!</v>
      </c>
      <c r="AD7278" s="1" t="str">
        <f>IFERROR(IF(Final_Sans_VGE[[#This Row],[ppn_z]]="","",IFERROR(
   IF(_xlfn.XLOOKUP(Final_Sans_VGE[[#This Row],[ppn_z]],tbl_Historique_Final[[#This Row],[ppn_z]],tbl_Historique_Final[[#This Row],[date_modif]])=Final_Sans_VGE[[#This Row],[date_modif]],
      "Ancien",
      "Modifié"),
   "Nouveau")),"")</f>
        <v/>
      </c>
    </row>
    <row r="7279" spans="24:30" x14ac:dyDescent="0.25">
      <c r="X7279" s="8" t="e">
        <f>IF(Final_Sans_VGE[[#This Row],[ppn_z]]="","",IFERROR(
   IF(_xlfn.XLOOKUP(Final_Sans_VGE[[#This Row],[ppn_z]],tbl_Historique_Final[ppn_z],tbl_Historique_Final[date_modif])=Final_Sans_VGE[[#This Row],[date_modif]],
      "Ancien",
      "Modifié"),
   "Nouveau"))</f>
        <v>#VALUE!</v>
      </c>
      <c r="AD7279" s="1" t="str">
        <f>IFERROR(IF(Final_Sans_VGE[[#This Row],[ppn_z]]="","",IFERROR(
   IF(_xlfn.XLOOKUP(Final_Sans_VGE[[#This Row],[ppn_z]],tbl_Historique_Final[[#This Row],[ppn_z]],tbl_Historique_Final[[#This Row],[date_modif]])=Final_Sans_VGE[[#This Row],[date_modif]],
      "Ancien",
      "Modifié"),
   "Nouveau")),"")</f>
        <v/>
      </c>
    </row>
    <row r="7280" spans="24:30" x14ac:dyDescent="0.25">
      <c r="X7280" s="8" t="e">
        <f>IF(Final_Sans_VGE[[#This Row],[ppn_z]]="","",IFERROR(
   IF(_xlfn.XLOOKUP(Final_Sans_VGE[[#This Row],[ppn_z]],tbl_Historique_Final[ppn_z],tbl_Historique_Final[date_modif])=Final_Sans_VGE[[#This Row],[date_modif]],
      "Ancien",
      "Modifié"),
   "Nouveau"))</f>
        <v>#VALUE!</v>
      </c>
      <c r="AD7280" s="1" t="str">
        <f>IFERROR(IF(Final_Sans_VGE[[#This Row],[ppn_z]]="","",IFERROR(
   IF(_xlfn.XLOOKUP(Final_Sans_VGE[[#This Row],[ppn_z]],tbl_Historique_Final[[#This Row],[ppn_z]],tbl_Historique_Final[[#This Row],[date_modif]])=Final_Sans_VGE[[#This Row],[date_modif]],
      "Ancien",
      "Modifié"),
   "Nouveau")),"")</f>
        <v/>
      </c>
    </row>
    <row r="7281" spans="24:30" x14ac:dyDescent="0.25">
      <c r="X7281" s="8" t="e">
        <f>IF(Final_Sans_VGE[[#This Row],[ppn_z]]="","",IFERROR(
   IF(_xlfn.XLOOKUP(Final_Sans_VGE[[#This Row],[ppn_z]],tbl_Historique_Final[ppn_z],tbl_Historique_Final[date_modif])=Final_Sans_VGE[[#This Row],[date_modif]],
      "Ancien",
      "Modifié"),
   "Nouveau"))</f>
        <v>#VALUE!</v>
      </c>
      <c r="AD7281" s="1" t="str">
        <f>IFERROR(IF(Final_Sans_VGE[[#This Row],[ppn_z]]="","",IFERROR(
   IF(_xlfn.XLOOKUP(Final_Sans_VGE[[#This Row],[ppn_z]],tbl_Historique_Final[[#This Row],[ppn_z]],tbl_Historique_Final[[#This Row],[date_modif]])=Final_Sans_VGE[[#This Row],[date_modif]],
      "Ancien",
      "Modifié"),
   "Nouveau")),"")</f>
        <v/>
      </c>
    </row>
    <row r="7282" spans="24:30" x14ac:dyDescent="0.25">
      <c r="X7282" s="8" t="e">
        <f>IF(Final_Sans_VGE[[#This Row],[ppn_z]]="","",IFERROR(
   IF(_xlfn.XLOOKUP(Final_Sans_VGE[[#This Row],[ppn_z]],tbl_Historique_Final[ppn_z],tbl_Historique_Final[date_modif])=Final_Sans_VGE[[#This Row],[date_modif]],
      "Ancien",
      "Modifié"),
   "Nouveau"))</f>
        <v>#VALUE!</v>
      </c>
      <c r="AD7282" s="1" t="str">
        <f>IFERROR(IF(Final_Sans_VGE[[#This Row],[ppn_z]]="","",IFERROR(
   IF(_xlfn.XLOOKUP(Final_Sans_VGE[[#This Row],[ppn_z]],tbl_Historique_Final[[#This Row],[ppn_z]],tbl_Historique_Final[[#This Row],[date_modif]])=Final_Sans_VGE[[#This Row],[date_modif]],
      "Ancien",
      "Modifié"),
   "Nouveau")),"")</f>
        <v/>
      </c>
    </row>
    <row r="7283" spans="24:30" x14ac:dyDescent="0.25">
      <c r="X7283" s="8" t="e">
        <f>IF(Final_Sans_VGE[[#This Row],[ppn_z]]="","",IFERROR(
   IF(_xlfn.XLOOKUP(Final_Sans_VGE[[#This Row],[ppn_z]],tbl_Historique_Final[ppn_z],tbl_Historique_Final[date_modif])=Final_Sans_VGE[[#This Row],[date_modif]],
      "Ancien",
      "Modifié"),
   "Nouveau"))</f>
        <v>#VALUE!</v>
      </c>
      <c r="AD7283" s="1" t="str">
        <f>IFERROR(IF(Final_Sans_VGE[[#This Row],[ppn_z]]="","",IFERROR(
   IF(_xlfn.XLOOKUP(Final_Sans_VGE[[#This Row],[ppn_z]],tbl_Historique_Final[[#This Row],[ppn_z]],tbl_Historique_Final[[#This Row],[date_modif]])=Final_Sans_VGE[[#This Row],[date_modif]],
      "Ancien",
      "Modifié"),
   "Nouveau")),"")</f>
        <v/>
      </c>
    </row>
    <row r="7284" spans="24:30" x14ac:dyDescent="0.25">
      <c r="X7284" s="8" t="e">
        <f>IF(Final_Sans_VGE[[#This Row],[ppn_z]]="","",IFERROR(
   IF(_xlfn.XLOOKUP(Final_Sans_VGE[[#This Row],[ppn_z]],tbl_Historique_Final[ppn_z],tbl_Historique_Final[date_modif])=Final_Sans_VGE[[#This Row],[date_modif]],
      "Ancien",
      "Modifié"),
   "Nouveau"))</f>
        <v>#VALUE!</v>
      </c>
      <c r="AD7284" s="1" t="str">
        <f>IFERROR(IF(Final_Sans_VGE[[#This Row],[ppn_z]]="","",IFERROR(
   IF(_xlfn.XLOOKUP(Final_Sans_VGE[[#This Row],[ppn_z]],tbl_Historique_Final[[#This Row],[ppn_z]],tbl_Historique_Final[[#This Row],[date_modif]])=Final_Sans_VGE[[#This Row],[date_modif]],
      "Ancien",
      "Modifié"),
   "Nouveau")),"")</f>
        <v/>
      </c>
    </row>
    <row r="7285" spans="24:30" x14ac:dyDescent="0.25">
      <c r="X7285" s="8" t="e">
        <f>IF(Final_Sans_VGE[[#This Row],[ppn_z]]="","",IFERROR(
   IF(_xlfn.XLOOKUP(Final_Sans_VGE[[#This Row],[ppn_z]],tbl_Historique_Final[ppn_z],tbl_Historique_Final[date_modif])=Final_Sans_VGE[[#This Row],[date_modif]],
      "Ancien",
      "Modifié"),
   "Nouveau"))</f>
        <v>#VALUE!</v>
      </c>
      <c r="AD7285" s="1" t="str">
        <f>IFERROR(IF(Final_Sans_VGE[[#This Row],[ppn_z]]="","",IFERROR(
   IF(_xlfn.XLOOKUP(Final_Sans_VGE[[#This Row],[ppn_z]],tbl_Historique_Final[[#This Row],[ppn_z]],tbl_Historique_Final[[#This Row],[date_modif]])=Final_Sans_VGE[[#This Row],[date_modif]],
      "Ancien",
      "Modifié"),
   "Nouveau")),"")</f>
        <v/>
      </c>
    </row>
    <row r="7286" spans="24:30" x14ac:dyDescent="0.25">
      <c r="X7286" s="8" t="e">
        <f>IF(Final_Sans_VGE[[#This Row],[ppn_z]]="","",IFERROR(
   IF(_xlfn.XLOOKUP(Final_Sans_VGE[[#This Row],[ppn_z]],tbl_Historique_Final[ppn_z],tbl_Historique_Final[date_modif])=Final_Sans_VGE[[#This Row],[date_modif]],
      "Ancien",
      "Modifié"),
   "Nouveau"))</f>
        <v>#VALUE!</v>
      </c>
      <c r="AD7286" s="1" t="str">
        <f>IFERROR(IF(Final_Sans_VGE[[#This Row],[ppn_z]]="","",IFERROR(
   IF(_xlfn.XLOOKUP(Final_Sans_VGE[[#This Row],[ppn_z]],tbl_Historique_Final[[#This Row],[ppn_z]],tbl_Historique_Final[[#This Row],[date_modif]])=Final_Sans_VGE[[#This Row],[date_modif]],
      "Ancien",
      "Modifié"),
   "Nouveau")),"")</f>
        <v/>
      </c>
    </row>
    <row r="7287" spans="24:30" x14ac:dyDescent="0.25">
      <c r="X7287" s="8" t="e">
        <f>IF(Final_Sans_VGE[[#This Row],[ppn_z]]="","",IFERROR(
   IF(_xlfn.XLOOKUP(Final_Sans_VGE[[#This Row],[ppn_z]],tbl_Historique_Final[ppn_z],tbl_Historique_Final[date_modif])=Final_Sans_VGE[[#This Row],[date_modif]],
      "Ancien",
      "Modifié"),
   "Nouveau"))</f>
        <v>#VALUE!</v>
      </c>
      <c r="AD7287" s="1" t="str">
        <f>IFERROR(IF(Final_Sans_VGE[[#This Row],[ppn_z]]="","",IFERROR(
   IF(_xlfn.XLOOKUP(Final_Sans_VGE[[#This Row],[ppn_z]],tbl_Historique_Final[[#This Row],[ppn_z]],tbl_Historique_Final[[#This Row],[date_modif]])=Final_Sans_VGE[[#This Row],[date_modif]],
      "Ancien",
      "Modifié"),
   "Nouveau")),"")</f>
        <v/>
      </c>
    </row>
    <row r="7288" spans="24:30" x14ac:dyDescent="0.25">
      <c r="X7288" s="8" t="e">
        <f>IF(Final_Sans_VGE[[#This Row],[ppn_z]]="","",IFERROR(
   IF(_xlfn.XLOOKUP(Final_Sans_VGE[[#This Row],[ppn_z]],tbl_Historique_Final[ppn_z],tbl_Historique_Final[date_modif])=Final_Sans_VGE[[#This Row],[date_modif]],
      "Ancien",
      "Modifié"),
   "Nouveau"))</f>
        <v>#VALUE!</v>
      </c>
      <c r="AD7288" s="1" t="str">
        <f>IFERROR(IF(Final_Sans_VGE[[#This Row],[ppn_z]]="","",IFERROR(
   IF(_xlfn.XLOOKUP(Final_Sans_VGE[[#This Row],[ppn_z]],tbl_Historique_Final[[#This Row],[ppn_z]],tbl_Historique_Final[[#This Row],[date_modif]])=Final_Sans_VGE[[#This Row],[date_modif]],
      "Ancien",
      "Modifié"),
   "Nouveau")),"")</f>
        <v/>
      </c>
    </row>
    <row r="7289" spans="24:30" x14ac:dyDescent="0.25">
      <c r="X7289" s="8" t="e">
        <f>IF(Final_Sans_VGE[[#This Row],[ppn_z]]="","",IFERROR(
   IF(_xlfn.XLOOKUP(Final_Sans_VGE[[#This Row],[ppn_z]],tbl_Historique_Final[ppn_z],tbl_Historique_Final[date_modif])=Final_Sans_VGE[[#This Row],[date_modif]],
      "Ancien",
      "Modifié"),
   "Nouveau"))</f>
        <v>#VALUE!</v>
      </c>
      <c r="AD7289" s="1" t="str">
        <f>IFERROR(IF(Final_Sans_VGE[[#This Row],[ppn_z]]="","",IFERROR(
   IF(_xlfn.XLOOKUP(Final_Sans_VGE[[#This Row],[ppn_z]],tbl_Historique_Final[[#This Row],[ppn_z]],tbl_Historique_Final[[#This Row],[date_modif]])=Final_Sans_VGE[[#This Row],[date_modif]],
      "Ancien",
      "Modifié"),
   "Nouveau")),"")</f>
        <v/>
      </c>
    </row>
    <row r="7290" spans="24:30" x14ac:dyDescent="0.25">
      <c r="X7290" s="8" t="e">
        <f>IF(Final_Sans_VGE[[#This Row],[ppn_z]]="","",IFERROR(
   IF(_xlfn.XLOOKUP(Final_Sans_VGE[[#This Row],[ppn_z]],tbl_Historique_Final[ppn_z],tbl_Historique_Final[date_modif])=Final_Sans_VGE[[#This Row],[date_modif]],
      "Ancien",
      "Modifié"),
   "Nouveau"))</f>
        <v>#VALUE!</v>
      </c>
      <c r="AD7290" s="1" t="str">
        <f>IFERROR(IF(Final_Sans_VGE[[#This Row],[ppn_z]]="","",IFERROR(
   IF(_xlfn.XLOOKUP(Final_Sans_VGE[[#This Row],[ppn_z]],tbl_Historique_Final[[#This Row],[ppn_z]],tbl_Historique_Final[[#This Row],[date_modif]])=Final_Sans_VGE[[#This Row],[date_modif]],
      "Ancien",
      "Modifié"),
   "Nouveau")),"")</f>
        <v/>
      </c>
    </row>
    <row r="7291" spans="24:30" x14ac:dyDescent="0.25">
      <c r="X7291" s="8" t="e">
        <f>IF(Final_Sans_VGE[[#This Row],[ppn_z]]="","",IFERROR(
   IF(_xlfn.XLOOKUP(Final_Sans_VGE[[#This Row],[ppn_z]],tbl_Historique_Final[ppn_z],tbl_Historique_Final[date_modif])=Final_Sans_VGE[[#This Row],[date_modif]],
      "Ancien",
      "Modifié"),
   "Nouveau"))</f>
        <v>#VALUE!</v>
      </c>
      <c r="AD7291" s="1" t="str">
        <f>IFERROR(IF(Final_Sans_VGE[[#This Row],[ppn_z]]="","",IFERROR(
   IF(_xlfn.XLOOKUP(Final_Sans_VGE[[#This Row],[ppn_z]],tbl_Historique_Final[[#This Row],[ppn_z]],tbl_Historique_Final[[#This Row],[date_modif]])=Final_Sans_VGE[[#This Row],[date_modif]],
      "Ancien",
      "Modifié"),
   "Nouveau")),"")</f>
        <v/>
      </c>
    </row>
    <row r="7292" spans="24:30" x14ac:dyDescent="0.25">
      <c r="X7292" s="8" t="e">
        <f>IF(Final_Sans_VGE[[#This Row],[ppn_z]]="","",IFERROR(
   IF(_xlfn.XLOOKUP(Final_Sans_VGE[[#This Row],[ppn_z]],tbl_Historique_Final[ppn_z],tbl_Historique_Final[date_modif])=Final_Sans_VGE[[#This Row],[date_modif]],
      "Ancien",
      "Modifié"),
   "Nouveau"))</f>
        <v>#VALUE!</v>
      </c>
      <c r="AD7292" s="1" t="str">
        <f>IFERROR(IF(Final_Sans_VGE[[#This Row],[ppn_z]]="","",IFERROR(
   IF(_xlfn.XLOOKUP(Final_Sans_VGE[[#This Row],[ppn_z]],tbl_Historique_Final[[#This Row],[ppn_z]],tbl_Historique_Final[[#This Row],[date_modif]])=Final_Sans_VGE[[#This Row],[date_modif]],
      "Ancien",
      "Modifié"),
   "Nouveau")),"")</f>
        <v/>
      </c>
    </row>
    <row r="7293" spans="24:30" x14ac:dyDescent="0.25">
      <c r="X7293" s="8" t="e">
        <f>IF(Final_Sans_VGE[[#This Row],[ppn_z]]="","",IFERROR(
   IF(_xlfn.XLOOKUP(Final_Sans_VGE[[#This Row],[ppn_z]],tbl_Historique_Final[ppn_z],tbl_Historique_Final[date_modif])=Final_Sans_VGE[[#This Row],[date_modif]],
      "Ancien",
      "Modifié"),
   "Nouveau"))</f>
        <v>#VALUE!</v>
      </c>
      <c r="AD7293" s="1" t="str">
        <f>IFERROR(IF(Final_Sans_VGE[[#This Row],[ppn_z]]="","",IFERROR(
   IF(_xlfn.XLOOKUP(Final_Sans_VGE[[#This Row],[ppn_z]],tbl_Historique_Final[[#This Row],[ppn_z]],tbl_Historique_Final[[#This Row],[date_modif]])=Final_Sans_VGE[[#This Row],[date_modif]],
      "Ancien",
      "Modifié"),
   "Nouveau")),"")</f>
        <v/>
      </c>
    </row>
    <row r="7294" spans="24:30" x14ac:dyDescent="0.25">
      <c r="X7294" s="8" t="e">
        <f>IF(Final_Sans_VGE[[#This Row],[ppn_z]]="","",IFERROR(
   IF(_xlfn.XLOOKUP(Final_Sans_VGE[[#This Row],[ppn_z]],tbl_Historique_Final[ppn_z],tbl_Historique_Final[date_modif])=Final_Sans_VGE[[#This Row],[date_modif]],
      "Ancien",
      "Modifié"),
   "Nouveau"))</f>
        <v>#VALUE!</v>
      </c>
      <c r="AD7294" s="1" t="str">
        <f>IFERROR(IF(Final_Sans_VGE[[#This Row],[ppn_z]]="","",IFERROR(
   IF(_xlfn.XLOOKUP(Final_Sans_VGE[[#This Row],[ppn_z]],tbl_Historique_Final[[#This Row],[ppn_z]],tbl_Historique_Final[[#This Row],[date_modif]])=Final_Sans_VGE[[#This Row],[date_modif]],
      "Ancien",
      "Modifié"),
   "Nouveau")),"")</f>
        <v/>
      </c>
    </row>
    <row r="7295" spans="24:30" x14ac:dyDescent="0.25">
      <c r="X7295" s="8" t="e">
        <f>IF(Final_Sans_VGE[[#This Row],[ppn_z]]="","",IFERROR(
   IF(_xlfn.XLOOKUP(Final_Sans_VGE[[#This Row],[ppn_z]],tbl_Historique_Final[ppn_z],tbl_Historique_Final[date_modif])=Final_Sans_VGE[[#This Row],[date_modif]],
      "Ancien",
      "Modifié"),
   "Nouveau"))</f>
        <v>#VALUE!</v>
      </c>
      <c r="AD7295" s="1" t="str">
        <f>IFERROR(IF(Final_Sans_VGE[[#This Row],[ppn_z]]="","",IFERROR(
   IF(_xlfn.XLOOKUP(Final_Sans_VGE[[#This Row],[ppn_z]],tbl_Historique_Final[[#This Row],[ppn_z]],tbl_Historique_Final[[#This Row],[date_modif]])=Final_Sans_VGE[[#This Row],[date_modif]],
      "Ancien",
      "Modifié"),
   "Nouveau")),"")</f>
        <v/>
      </c>
    </row>
    <row r="7296" spans="24:30" x14ac:dyDescent="0.25">
      <c r="X7296" s="8" t="e">
        <f>IF(Final_Sans_VGE[[#This Row],[ppn_z]]="","",IFERROR(
   IF(_xlfn.XLOOKUP(Final_Sans_VGE[[#This Row],[ppn_z]],tbl_Historique_Final[ppn_z],tbl_Historique_Final[date_modif])=Final_Sans_VGE[[#This Row],[date_modif]],
      "Ancien",
      "Modifié"),
   "Nouveau"))</f>
        <v>#VALUE!</v>
      </c>
      <c r="AD7296" s="1" t="str">
        <f>IFERROR(IF(Final_Sans_VGE[[#This Row],[ppn_z]]="","",IFERROR(
   IF(_xlfn.XLOOKUP(Final_Sans_VGE[[#This Row],[ppn_z]],tbl_Historique_Final[[#This Row],[ppn_z]],tbl_Historique_Final[[#This Row],[date_modif]])=Final_Sans_VGE[[#This Row],[date_modif]],
      "Ancien",
      "Modifié"),
   "Nouveau")),"")</f>
        <v/>
      </c>
    </row>
    <row r="7297" spans="24:30" x14ac:dyDescent="0.25">
      <c r="X7297" s="8" t="e">
        <f>IF(Final_Sans_VGE[[#This Row],[ppn_z]]="","",IFERROR(
   IF(_xlfn.XLOOKUP(Final_Sans_VGE[[#This Row],[ppn_z]],tbl_Historique_Final[ppn_z],tbl_Historique_Final[date_modif])=Final_Sans_VGE[[#This Row],[date_modif]],
      "Ancien",
      "Modifié"),
   "Nouveau"))</f>
        <v>#VALUE!</v>
      </c>
      <c r="AD7297" s="1" t="str">
        <f>IFERROR(IF(Final_Sans_VGE[[#This Row],[ppn_z]]="","",IFERROR(
   IF(_xlfn.XLOOKUP(Final_Sans_VGE[[#This Row],[ppn_z]],tbl_Historique_Final[[#This Row],[ppn_z]],tbl_Historique_Final[[#This Row],[date_modif]])=Final_Sans_VGE[[#This Row],[date_modif]],
      "Ancien",
      "Modifié"),
   "Nouveau")),"")</f>
        <v/>
      </c>
    </row>
    <row r="7298" spans="24:30" x14ac:dyDescent="0.25">
      <c r="X7298" s="8" t="e">
        <f>IF(Final_Sans_VGE[[#This Row],[ppn_z]]="","",IFERROR(
   IF(_xlfn.XLOOKUP(Final_Sans_VGE[[#This Row],[ppn_z]],tbl_Historique_Final[ppn_z],tbl_Historique_Final[date_modif])=Final_Sans_VGE[[#This Row],[date_modif]],
      "Ancien",
      "Modifié"),
   "Nouveau"))</f>
        <v>#VALUE!</v>
      </c>
      <c r="AD7298" s="1" t="str">
        <f>IFERROR(IF(Final_Sans_VGE[[#This Row],[ppn_z]]="","",IFERROR(
   IF(_xlfn.XLOOKUP(Final_Sans_VGE[[#This Row],[ppn_z]],tbl_Historique_Final[[#This Row],[ppn_z]],tbl_Historique_Final[[#This Row],[date_modif]])=Final_Sans_VGE[[#This Row],[date_modif]],
      "Ancien",
      "Modifié"),
   "Nouveau")),"")</f>
        <v/>
      </c>
    </row>
    <row r="7299" spans="24:30" x14ac:dyDescent="0.25">
      <c r="X7299" s="8" t="e">
        <f>IF(Final_Sans_VGE[[#This Row],[ppn_z]]="","",IFERROR(
   IF(_xlfn.XLOOKUP(Final_Sans_VGE[[#This Row],[ppn_z]],tbl_Historique_Final[ppn_z],tbl_Historique_Final[date_modif])=Final_Sans_VGE[[#This Row],[date_modif]],
      "Ancien",
      "Modifié"),
   "Nouveau"))</f>
        <v>#VALUE!</v>
      </c>
      <c r="AD7299" s="1" t="str">
        <f>IFERROR(IF(Final_Sans_VGE[[#This Row],[ppn_z]]="","",IFERROR(
   IF(_xlfn.XLOOKUP(Final_Sans_VGE[[#This Row],[ppn_z]],tbl_Historique_Final[[#This Row],[ppn_z]],tbl_Historique_Final[[#This Row],[date_modif]])=Final_Sans_VGE[[#This Row],[date_modif]],
      "Ancien",
      "Modifié"),
   "Nouveau")),"")</f>
        <v/>
      </c>
    </row>
    <row r="7300" spans="24:30" x14ac:dyDescent="0.25">
      <c r="X7300" s="8" t="e">
        <f>IF(Final_Sans_VGE[[#This Row],[ppn_z]]="","",IFERROR(
   IF(_xlfn.XLOOKUP(Final_Sans_VGE[[#This Row],[ppn_z]],tbl_Historique_Final[ppn_z],tbl_Historique_Final[date_modif])=Final_Sans_VGE[[#This Row],[date_modif]],
      "Ancien",
      "Modifié"),
   "Nouveau"))</f>
        <v>#VALUE!</v>
      </c>
      <c r="AD7300" s="1" t="str">
        <f>IFERROR(IF(Final_Sans_VGE[[#This Row],[ppn_z]]="","",IFERROR(
   IF(_xlfn.XLOOKUP(Final_Sans_VGE[[#This Row],[ppn_z]],tbl_Historique_Final[[#This Row],[ppn_z]],tbl_Historique_Final[[#This Row],[date_modif]])=Final_Sans_VGE[[#This Row],[date_modif]],
      "Ancien",
      "Modifié"),
   "Nouveau")),"")</f>
        <v/>
      </c>
    </row>
    <row r="7301" spans="24:30" x14ac:dyDescent="0.25">
      <c r="X7301" s="8" t="e">
        <f>IF(Final_Sans_VGE[[#This Row],[ppn_z]]="","",IFERROR(
   IF(_xlfn.XLOOKUP(Final_Sans_VGE[[#This Row],[ppn_z]],tbl_Historique_Final[ppn_z],tbl_Historique_Final[date_modif])=Final_Sans_VGE[[#This Row],[date_modif]],
      "Ancien",
      "Modifié"),
   "Nouveau"))</f>
        <v>#VALUE!</v>
      </c>
      <c r="AD7301" s="1" t="str">
        <f>IFERROR(IF(Final_Sans_VGE[[#This Row],[ppn_z]]="","",IFERROR(
   IF(_xlfn.XLOOKUP(Final_Sans_VGE[[#This Row],[ppn_z]],tbl_Historique_Final[[#This Row],[ppn_z]],tbl_Historique_Final[[#This Row],[date_modif]])=Final_Sans_VGE[[#This Row],[date_modif]],
      "Ancien",
      "Modifié"),
   "Nouveau")),"")</f>
        <v/>
      </c>
    </row>
    <row r="7302" spans="24:30" x14ac:dyDescent="0.25">
      <c r="X7302" s="8" t="e">
        <f>IF(Final_Sans_VGE[[#This Row],[ppn_z]]="","",IFERROR(
   IF(_xlfn.XLOOKUP(Final_Sans_VGE[[#This Row],[ppn_z]],tbl_Historique_Final[ppn_z],tbl_Historique_Final[date_modif])=Final_Sans_VGE[[#This Row],[date_modif]],
      "Ancien",
      "Modifié"),
   "Nouveau"))</f>
        <v>#VALUE!</v>
      </c>
      <c r="AD7302" s="1" t="str">
        <f>IFERROR(IF(Final_Sans_VGE[[#This Row],[ppn_z]]="","",IFERROR(
   IF(_xlfn.XLOOKUP(Final_Sans_VGE[[#This Row],[ppn_z]],tbl_Historique_Final[[#This Row],[ppn_z]],tbl_Historique_Final[[#This Row],[date_modif]])=Final_Sans_VGE[[#This Row],[date_modif]],
      "Ancien",
      "Modifié"),
   "Nouveau")),"")</f>
        <v/>
      </c>
    </row>
    <row r="7303" spans="24:30" x14ac:dyDescent="0.25">
      <c r="X7303" s="8" t="e">
        <f>IF(Final_Sans_VGE[[#This Row],[ppn_z]]="","",IFERROR(
   IF(_xlfn.XLOOKUP(Final_Sans_VGE[[#This Row],[ppn_z]],tbl_Historique_Final[ppn_z],tbl_Historique_Final[date_modif])=Final_Sans_VGE[[#This Row],[date_modif]],
      "Ancien",
      "Modifié"),
   "Nouveau"))</f>
        <v>#VALUE!</v>
      </c>
      <c r="AD7303" s="1" t="str">
        <f>IFERROR(IF(Final_Sans_VGE[[#This Row],[ppn_z]]="","",IFERROR(
   IF(_xlfn.XLOOKUP(Final_Sans_VGE[[#This Row],[ppn_z]],tbl_Historique_Final[[#This Row],[ppn_z]],tbl_Historique_Final[[#This Row],[date_modif]])=Final_Sans_VGE[[#This Row],[date_modif]],
      "Ancien",
      "Modifié"),
   "Nouveau")),"")</f>
        <v/>
      </c>
    </row>
    <row r="7304" spans="24:30" x14ac:dyDescent="0.25">
      <c r="X7304" s="8" t="e">
        <f>IF(Final_Sans_VGE[[#This Row],[ppn_z]]="","",IFERROR(
   IF(_xlfn.XLOOKUP(Final_Sans_VGE[[#This Row],[ppn_z]],tbl_Historique_Final[ppn_z],tbl_Historique_Final[date_modif])=Final_Sans_VGE[[#This Row],[date_modif]],
      "Ancien",
      "Modifié"),
   "Nouveau"))</f>
        <v>#VALUE!</v>
      </c>
      <c r="AD7304" s="1" t="str">
        <f>IFERROR(IF(Final_Sans_VGE[[#This Row],[ppn_z]]="","",IFERROR(
   IF(_xlfn.XLOOKUP(Final_Sans_VGE[[#This Row],[ppn_z]],tbl_Historique_Final[[#This Row],[ppn_z]],tbl_Historique_Final[[#This Row],[date_modif]])=Final_Sans_VGE[[#This Row],[date_modif]],
      "Ancien",
      "Modifié"),
   "Nouveau")),"")</f>
        <v/>
      </c>
    </row>
    <row r="7305" spans="24:30" x14ac:dyDescent="0.25">
      <c r="X7305" s="8" t="e">
        <f>IF(Final_Sans_VGE[[#This Row],[ppn_z]]="","",IFERROR(
   IF(_xlfn.XLOOKUP(Final_Sans_VGE[[#This Row],[ppn_z]],tbl_Historique_Final[ppn_z],tbl_Historique_Final[date_modif])=Final_Sans_VGE[[#This Row],[date_modif]],
      "Ancien",
      "Modifié"),
   "Nouveau"))</f>
        <v>#VALUE!</v>
      </c>
      <c r="AD7305" s="1" t="str">
        <f>IFERROR(IF(Final_Sans_VGE[[#This Row],[ppn_z]]="","",IFERROR(
   IF(_xlfn.XLOOKUP(Final_Sans_VGE[[#This Row],[ppn_z]],tbl_Historique_Final[[#This Row],[ppn_z]],tbl_Historique_Final[[#This Row],[date_modif]])=Final_Sans_VGE[[#This Row],[date_modif]],
      "Ancien",
      "Modifié"),
   "Nouveau")),"")</f>
        <v/>
      </c>
    </row>
    <row r="7306" spans="24:30" x14ac:dyDescent="0.25">
      <c r="X7306" s="8" t="e">
        <f>IF(Final_Sans_VGE[[#This Row],[ppn_z]]="","",IFERROR(
   IF(_xlfn.XLOOKUP(Final_Sans_VGE[[#This Row],[ppn_z]],tbl_Historique_Final[ppn_z],tbl_Historique_Final[date_modif])=Final_Sans_VGE[[#This Row],[date_modif]],
      "Ancien",
      "Modifié"),
   "Nouveau"))</f>
        <v>#VALUE!</v>
      </c>
      <c r="AD7306" s="1" t="str">
        <f>IFERROR(IF(Final_Sans_VGE[[#This Row],[ppn_z]]="","",IFERROR(
   IF(_xlfn.XLOOKUP(Final_Sans_VGE[[#This Row],[ppn_z]],tbl_Historique_Final[[#This Row],[ppn_z]],tbl_Historique_Final[[#This Row],[date_modif]])=Final_Sans_VGE[[#This Row],[date_modif]],
      "Ancien",
      "Modifié"),
   "Nouveau")),"")</f>
        <v/>
      </c>
    </row>
    <row r="7307" spans="24:30" x14ac:dyDescent="0.25">
      <c r="X7307" s="8" t="e">
        <f>IF(Final_Sans_VGE[[#This Row],[ppn_z]]="","",IFERROR(
   IF(_xlfn.XLOOKUP(Final_Sans_VGE[[#This Row],[ppn_z]],tbl_Historique_Final[ppn_z],tbl_Historique_Final[date_modif])=Final_Sans_VGE[[#This Row],[date_modif]],
      "Ancien",
      "Modifié"),
   "Nouveau"))</f>
        <v>#VALUE!</v>
      </c>
      <c r="AD7307" s="1" t="str">
        <f>IFERROR(IF(Final_Sans_VGE[[#This Row],[ppn_z]]="","",IFERROR(
   IF(_xlfn.XLOOKUP(Final_Sans_VGE[[#This Row],[ppn_z]],tbl_Historique_Final[[#This Row],[ppn_z]],tbl_Historique_Final[[#This Row],[date_modif]])=Final_Sans_VGE[[#This Row],[date_modif]],
      "Ancien",
      "Modifié"),
   "Nouveau")),"")</f>
        <v/>
      </c>
    </row>
    <row r="7308" spans="24:30" x14ac:dyDescent="0.25">
      <c r="X7308" s="8" t="e">
        <f>IF(Final_Sans_VGE[[#This Row],[ppn_z]]="","",IFERROR(
   IF(_xlfn.XLOOKUP(Final_Sans_VGE[[#This Row],[ppn_z]],tbl_Historique_Final[ppn_z],tbl_Historique_Final[date_modif])=Final_Sans_VGE[[#This Row],[date_modif]],
      "Ancien",
      "Modifié"),
   "Nouveau"))</f>
        <v>#VALUE!</v>
      </c>
      <c r="AD7308" s="1" t="str">
        <f>IFERROR(IF(Final_Sans_VGE[[#This Row],[ppn_z]]="","",IFERROR(
   IF(_xlfn.XLOOKUP(Final_Sans_VGE[[#This Row],[ppn_z]],tbl_Historique_Final[[#This Row],[ppn_z]],tbl_Historique_Final[[#This Row],[date_modif]])=Final_Sans_VGE[[#This Row],[date_modif]],
      "Ancien",
      "Modifié"),
   "Nouveau")),"")</f>
        <v/>
      </c>
    </row>
    <row r="7309" spans="24:30" x14ac:dyDescent="0.25">
      <c r="X7309" s="8" t="e">
        <f>IF(Final_Sans_VGE[[#This Row],[ppn_z]]="","",IFERROR(
   IF(_xlfn.XLOOKUP(Final_Sans_VGE[[#This Row],[ppn_z]],tbl_Historique_Final[ppn_z],tbl_Historique_Final[date_modif])=Final_Sans_VGE[[#This Row],[date_modif]],
      "Ancien",
      "Modifié"),
   "Nouveau"))</f>
        <v>#VALUE!</v>
      </c>
      <c r="AD7309" s="1" t="str">
        <f>IFERROR(IF(Final_Sans_VGE[[#This Row],[ppn_z]]="","",IFERROR(
   IF(_xlfn.XLOOKUP(Final_Sans_VGE[[#This Row],[ppn_z]],tbl_Historique_Final[[#This Row],[ppn_z]],tbl_Historique_Final[[#This Row],[date_modif]])=Final_Sans_VGE[[#This Row],[date_modif]],
      "Ancien",
      "Modifié"),
   "Nouveau")),"")</f>
        <v/>
      </c>
    </row>
    <row r="7310" spans="24:30" x14ac:dyDescent="0.25">
      <c r="X7310" s="8" t="e">
        <f>IF(Final_Sans_VGE[[#This Row],[ppn_z]]="","",IFERROR(
   IF(_xlfn.XLOOKUP(Final_Sans_VGE[[#This Row],[ppn_z]],tbl_Historique_Final[ppn_z],tbl_Historique_Final[date_modif])=Final_Sans_VGE[[#This Row],[date_modif]],
      "Ancien",
      "Modifié"),
   "Nouveau"))</f>
        <v>#VALUE!</v>
      </c>
      <c r="AD7310" s="1" t="str">
        <f>IFERROR(IF(Final_Sans_VGE[[#This Row],[ppn_z]]="","",IFERROR(
   IF(_xlfn.XLOOKUP(Final_Sans_VGE[[#This Row],[ppn_z]],tbl_Historique_Final[[#This Row],[ppn_z]],tbl_Historique_Final[[#This Row],[date_modif]])=Final_Sans_VGE[[#This Row],[date_modif]],
      "Ancien",
      "Modifié"),
   "Nouveau")),"")</f>
        <v/>
      </c>
    </row>
    <row r="7311" spans="24:30" x14ac:dyDescent="0.25">
      <c r="X7311" s="8" t="e">
        <f>IF(Final_Sans_VGE[[#This Row],[ppn_z]]="","",IFERROR(
   IF(_xlfn.XLOOKUP(Final_Sans_VGE[[#This Row],[ppn_z]],tbl_Historique_Final[ppn_z],tbl_Historique_Final[date_modif])=Final_Sans_VGE[[#This Row],[date_modif]],
      "Ancien",
      "Modifié"),
   "Nouveau"))</f>
        <v>#VALUE!</v>
      </c>
      <c r="AD7311" s="1" t="str">
        <f>IFERROR(IF(Final_Sans_VGE[[#This Row],[ppn_z]]="","",IFERROR(
   IF(_xlfn.XLOOKUP(Final_Sans_VGE[[#This Row],[ppn_z]],tbl_Historique_Final[[#This Row],[ppn_z]],tbl_Historique_Final[[#This Row],[date_modif]])=Final_Sans_VGE[[#This Row],[date_modif]],
      "Ancien",
      "Modifié"),
   "Nouveau")),"")</f>
        <v/>
      </c>
    </row>
    <row r="7312" spans="24:30" x14ac:dyDescent="0.25">
      <c r="X7312" s="8" t="e">
        <f>IF(Final_Sans_VGE[[#This Row],[ppn_z]]="","",IFERROR(
   IF(_xlfn.XLOOKUP(Final_Sans_VGE[[#This Row],[ppn_z]],tbl_Historique_Final[ppn_z],tbl_Historique_Final[date_modif])=Final_Sans_VGE[[#This Row],[date_modif]],
      "Ancien",
      "Modifié"),
   "Nouveau"))</f>
        <v>#VALUE!</v>
      </c>
      <c r="AD7312" s="1" t="str">
        <f>IFERROR(IF(Final_Sans_VGE[[#This Row],[ppn_z]]="","",IFERROR(
   IF(_xlfn.XLOOKUP(Final_Sans_VGE[[#This Row],[ppn_z]],tbl_Historique_Final[[#This Row],[ppn_z]],tbl_Historique_Final[[#This Row],[date_modif]])=Final_Sans_VGE[[#This Row],[date_modif]],
      "Ancien",
      "Modifié"),
   "Nouveau")),"")</f>
        <v/>
      </c>
    </row>
    <row r="7313" spans="24:30" x14ac:dyDescent="0.25">
      <c r="X7313" s="8" t="e">
        <f>IF(Final_Sans_VGE[[#This Row],[ppn_z]]="","",IFERROR(
   IF(_xlfn.XLOOKUP(Final_Sans_VGE[[#This Row],[ppn_z]],tbl_Historique_Final[ppn_z],tbl_Historique_Final[date_modif])=Final_Sans_VGE[[#This Row],[date_modif]],
      "Ancien",
      "Modifié"),
   "Nouveau"))</f>
        <v>#VALUE!</v>
      </c>
      <c r="AD7313" s="1" t="str">
        <f>IFERROR(IF(Final_Sans_VGE[[#This Row],[ppn_z]]="","",IFERROR(
   IF(_xlfn.XLOOKUP(Final_Sans_VGE[[#This Row],[ppn_z]],tbl_Historique_Final[[#This Row],[ppn_z]],tbl_Historique_Final[[#This Row],[date_modif]])=Final_Sans_VGE[[#This Row],[date_modif]],
      "Ancien",
      "Modifié"),
   "Nouveau")),"")</f>
        <v/>
      </c>
    </row>
    <row r="7314" spans="24:30" x14ac:dyDescent="0.25">
      <c r="X7314" s="8" t="e">
        <f>IF(Final_Sans_VGE[[#This Row],[ppn_z]]="","",IFERROR(
   IF(_xlfn.XLOOKUP(Final_Sans_VGE[[#This Row],[ppn_z]],tbl_Historique_Final[ppn_z],tbl_Historique_Final[date_modif])=Final_Sans_VGE[[#This Row],[date_modif]],
      "Ancien",
      "Modifié"),
   "Nouveau"))</f>
        <v>#VALUE!</v>
      </c>
      <c r="AD7314" s="1" t="str">
        <f>IFERROR(IF(Final_Sans_VGE[[#This Row],[ppn_z]]="","",IFERROR(
   IF(_xlfn.XLOOKUP(Final_Sans_VGE[[#This Row],[ppn_z]],tbl_Historique_Final[[#This Row],[ppn_z]],tbl_Historique_Final[[#This Row],[date_modif]])=Final_Sans_VGE[[#This Row],[date_modif]],
      "Ancien",
      "Modifié"),
   "Nouveau")),"")</f>
        <v/>
      </c>
    </row>
    <row r="7315" spans="24:30" x14ac:dyDescent="0.25">
      <c r="X7315" s="8" t="e">
        <f>IF(Final_Sans_VGE[[#This Row],[ppn_z]]="","",IFERROR(
   IF(_xlfn.XLOOKUP(Final_Sans_VGE[[#This Row],[ppn_z]],tbl_Historique_Final[ppn_z],tbl_Historique_Final[date_modif])=Final_Sans_VGE[[#This Row],[date_modif]],
      "Ancien",
      "Modifié"),
   "Nouveau"))</f>
        <v>#VALUE!</v>
      </c>
      <c r="AD7315" s="1" t="str">
        <f>IFERROR(IF(Final_Sans_VGE[[#This Row],[ppn_z]]="","",IFERROR(
   IF(_xlfn.XLOOKUP(Final_Sans_VGE[[#This Row],[ppn_z]],tbl_Historique_Final[[#This Row],[ppn_z]],tbl_Historique_Final[[#This Row],[date_modif]])=Final_Sans_VGE[[#This Row],[date_modif]],
      "Ancien",
      "Modifié"),
   "Nouveau")),"")</f>
        <v/>
      </c>
    </row>
    <row r="7316" spans="24:30" x14ac:dyDescent="0.25">
      <c r="X7316" s="8" t="e">
        <f>IF(Final_Sans_VGE[[#This Row],[ppn_z]]="","",IFERROR(
   IF(_xlfn.XLOOKUP(Final_Sans_VGE[[#This Row],[ppn_z]],tbl_Historique_Final[ppn_z],tbl_Historique_Final[date_modif])=Final_Sans_VGE[[#This Row],[date_modif]],
      "Ancien",
      "Modifié"),
   "Nouveau"))</f>
        <v>#VALUE!</v>
      </c>
      <c r="AD7316" s="1" t="str">
        <f>IFERROR(IF(Final_Sans_VGE[[#This Row],[ppn_z]]="","",IFERROR(
   IF(_xlfn.XLOOKUP(Final_Sans_VGE[[#This Row],[ppn_z]],tbl_Historique_Final[[#This Row],[ppn_z]],tbl_Historique_Final[[#This Row],[date_modif]])=Final_Sans_VGE[[#This Row],[date_modif]],
      "Ancien",
      "Modifié"),
   "Nouveau")),"")</f>
        <v/>
      </c>
    </row>
    <row r="7317" spans="24:30" x14ac:dyDescent="0.25">
      <c r="X7317" s="8" t="e">
        <f>IF(Final_Sans_VGE[[#This Row],[ppn_z]]="","",IFERROR(
   IF(_xlfn.XLOOKUP(Final_Sans_VGE[[#This Row],[ppn_z]],tbl_Historique_Final[ppn_z],tbl_Historique_Final[date_modif])=Final_Sans_VGE[[#This Row],[date_modif]],
      "Ancien",
      "Modifié"),
   "Nouveau"))</f>
        <v>#VALUE!</v>
      </c>
      <c r="AD7317" s="1" t="str">
        <f>IFERROR(IF(Final_Sans_VGE[[#This Row],[ppn_z]]="","",IFERROR(
   IF(_xlfn.XLOOKUP(Final_Sans_VGE[[#This Row],[ppn_z]],tbl_Historique_Final[[#This Row],[ppn_z]],tbl_Historique_Final[[#This Row],[date_modif]])=Final_Sans_VGE[[#This Row],[date_modif]],
      "Ancien",
      "Modifié"),
   "Nouveau")),"")</f>
        <v/>
      </c>
    </row>
    <row r="7318" spans="24:30" x14ac:dyDescent="0.25">
      <c r="X7318" s="8" t="e">
        <f>IF(Final_Sans_VGE[[#This Row],[ppn_z]]="","",IFERROR(
   IF(_xlfn.XLOOKUP(Final_Sans_VGE[[#This Row],[ppn_z]],tbl_Historique_Final[ppn_z],tbl_Historique_Final[date_modif])=Final_Sans_VGE[[#This Row],[date_modif]],
      "Ancien",
      "Modifié"),
   "Nouveau"))</f>
        <v>#VALUE!</v>
      </c>
      <c r="AD7318" s="1" t="str">
        <f>IFERROR(IF(Final_Sans_VGE[[#This Row],[ppn_z]]="","",IFERROR(
   IF(_xlfn.XLOOKUP(Final_Sans_VGE[[#This Row],[ppn_z]],tbl_Historique_Final[[#This Row],[ppn_z]],tbl_Historique_Final[[#This Row],[date_modif]])=Final_Sans_VGE[[#This Row],[date_modif]],
      "Ancien",
      "Modifié"),
   "Nouveau")),"")</f>
        <v/>
      </c>
    </row>
    <row r="7319" spans="24:30" x14ac:dyDescent="0.25">
      <c r="X7319" s="8" t="e">
        <f>IF(Final_Sans_VGE[[#This Row],[ppn_z]]="","",IFERROR(
   IF(_xlfn.XLOOKUP(Final_Sans_VGE[[#This Row],[ppn_z]],tbl_Historique_Final[ppn_z],tbl_Historique_Final[date_modif])=Final_Sans_VGE[[#This Row],[date_modif]],
      "Ancien",
      "Modifié"),
   "Nouveau"))</f>
        <v>#VALUE!</v>
      </c>
      <c r="AD7319" s="1" t="str">
        <f>IFERROR(IF(Final_Sans_VGE[[#This Row],[ppn_z]]="","",IFERROR(
   IF(_xlfn.XLOOKUP(Final_Sans_VGE[[#This Row],[ppn_z]],tbl_Historique_Final[[#This Row],[ppn_z]],tbl_Historique_Final[[#This Row],[date_modif]])=Final_Sans_VGE[[#This Row],[date_modif]],
      "Ancien",
      "Modifié"),
   "Nouveau")),"")</f>
        <v/>
      </c>
    </row>
    <row r="7320" spans="24:30" x14ac:dyDescent="0.25">
      <c r="X7320" s="8" t="e">
        <f>IF(Final_Sans_VGE[[#This Row],[ppn_z]]="","",IFERROR(
   IF(_xlfn.XLOOKUP(Final_Sans_VGE[[#This Row],[ppn_z]],tbl_Historique_Final[ppn_z],tbl_Historique_Final[date_modif])=Final_Sans_VGE[[#This Row],[date_modif]],
      "Ancien",
      "Modifié"),
   "Nouveau"))</f>
        <v>#VALUE!</v>
      </c>
      <c r="AD7320" s="1" t="str">
        <f>IFERROR(IF(Final_Sans_VGE[[#This Row],[ppn_z]]="","",IFERROR(
   IF(_xlfn.XLOOKUP(Final_Sans_VGE[[#This Row],[ppn_z]],tbl_Historique_Final[[#This Row],[ppn_z]],tbl_Historique_Final[[#This Row],[date_modif]])=Final_Sans_VGE[[#This Row],[date_modif]],
      "Ancien",
      "Modifié"),
   "Nouveau")),"")</f>
        <v/>
      </c>
    </row>
    <row r="7321" spans="24:30" x14ac:dyDescent="0.25">
      <c r="X7321" s="8" t="e">
        <f>IF(Final_Sans_VGE[[#This Row],[ppn_z]]="","",IFERROR(
   IF(_xlfn.XLOOKUP(Final_Sans_VGE[[#This Row],[ppn_z]],tbl_Historique_Final[ppn_z],tbl_Historique_Final[date_modif])=Final_Sans_VGE[[#This Row],[date_modif]],
      "Ancien",
      "Modifié"),
   "Nouveau"))</f>
        <v>#VALUE!</v>
      </c>
      <c r="AD7321" s="1" t="str">
        <f>IFERROR(IF(Final_Sans_VGE[[#This Row],[ppn_z]]="","",IFERROR(
   IF(_xlfn.XLOOKUP(Final_Sans_VGE[[#This Row],[ppn_z]],tbl_Historique_Final[[#This Row],[ppn_z]],tbl_Historique_Final[[#This Row],[date_modif]])=Final_Sans_VGE[[#This Row],[date_modif]],
      "Ancien",
      "Modifié"),
   "Nouveau")),"")</f>
        <v/>
      </c>
    </row>
    <row r="7322" spans="24:30" x14ac:dyDescent="0.25">
      <c r="X7322" s="8" t="e">
        <f>IF(Final_Sans_VGE[[#This Row],[ppn_z]]="","",IFERROR(
   IF(_xlfn.XLOOKUP(Final_Sans_VGE[[#This Row],[ppn_z]],tbl_Historique_Final[ppn_z],tbl_Historique_Final[date_modif])=Final_Sans_VGE[[#This Row],[date_modif]],
      "Ancien",
      "Modifié"),
   "Nouveau"))</f>
        <v>#VALUE!</v>
      </c>
      <c r="AD7322" s="1" t="str">
        <f>IFERROR(IF(Final_Sans_VGE[[#This Row],[ppn_z]]="","",IFERROR(
   IF(_xlfn.XLOOKUP(Final_Sans_VGE[[#This Row],[ppn_z]],tbl_Historique_Final[[#This Row],[ppn_z]],tbl_Historique_Final[[#This Row],[date_modif]])=Final_Sans_VGE[[#This Row],[date_modif]],
      "Ancien",
      "Modifié"),
   "Nouveau")),"")</f>
        <v/>
      </c>
    </row>
    <row r="7323" spans="24:30" x14ac:dyDescent="0.25">
      <c r="X7323" s="8" t="e">
        <f>IF(Final_Sans_VGE[[#This Row],[ppn_z]]="","",IFERROR(
   IF(_xlfn.XLOOKUP(Final_Sans_VGE[[#This Row],[ppn_z]],tbl_Historique_Final[ppn_z],tbl_Historique_Final[date_modif])=Final_Sans_VGE[[#This Row],[date_modif]],
      "Ancien",
      "Modifié"),
   "Nouveau"))</f>
        <v>#VALUE!</v>
      </c>
      <c r="AD7323" s="1" t="str">
        <f>IFERROR(IF(Final_Sans_VGE[[#This Row],[ppn_z]]="","",IFERROR(
   IF(_xlfn.XLOOKUP(Final_Sans_VGE[[#This Row],[ppn_z]],tbl_Historique_Final[[#This Row],[ppn_z]],tbl_Historique_Final[[#This Row],[date_modif]])=Final_Sans_VGE[[#This Row],[date_modif]],
      "Ancien",
      "Modifié"),
   "Nouveau")),"")</f>
        <v/>
      </c>
    </row>
    <row r="7324" spans="24:30" x14ac:dyDescent="0.25">
      <c r="X7324" s="8" t="e">
        <f>IF(Final_Sans_VGE[[#This Row],[ppn_z]]="","",IFERROR(
   IF(_xlfn.XLOOKUP(Final_Sans_VGE[[#This Row],[ppn_z]],tbl_Historique_Final[ppn_z],tbl_Historique_Final[date_modif])=Final_Sans_VGE[[#This Row],[date_modif]],
      "Ancien",
      "Modifié"),
   "Nouveau"))</f>
        <v>#VALUE!</v>
      </c>
      <c r="AD7324" s="1" t="str">
        <f>IFERROR(IF(Final_Sans_VGE[[#This Row],[ppn_z]]="","",IFERROR(
   IF(_xlfn.XLOOKUP(Final_Sans_VGE[[#This Row],[ppn_z]],tbl_Historique_Final[[#This Row],[ppn_z]],tbl_Historique_Final[[#This Row],[date_modif]])=Final_Sans_VGE[[#This Row],[date_modif]],
      "Ancien",
      "Modifié"),
   "Nouveau")),"")</f>
        <v/>
      </c>
    </row>
    <row r="7325" spans="24:30" x14ac:dyDescent="0.25">
      <c r="X7325" s="8" t="e">
        <f>IF(Final_Sans_VGE[[#This Row],[ppn_z]]="","",IFERROR(
   IF(_xlfn.XLOOKUP(Final_Sans_VGE[[#This Row],[ppn_z]],tbl_Historique_Final[ppn_z],tbl_Historique_Final[date_modif])=Final_Sans_VGE[[#This Row],[date_modif]],
      "Ancien",
      "Modifié"),
   "Nouveau"))</f>
        <v>#VALUE!</v>
      </c>
      <c r="AD7325" s="1" t="str">
        <f>IFERROR(IF(Final_Sans_VGE[[#This Row],[ppn_z]]="","",IFERROR(
   IF(_xlfn.XLOOKUP(Final_Sans_VGE[[#This Row],[ppn_z]],tbl_Historique_Final[[#This Row],[ppn_z]],tbl_Historique_Final[[#This Row],[date_modif]])=Final_Sans_VGE[[#This Row],[date_modif]],
      "Ancien",
      "Modifié"),
   "Nouveau")),"")</f>
        <v/>
      </c>
    </row>
    <row r="7326" spans="24:30" x14ac:dyDescent="0.25">
      <c r="X7326" s="8" t="e">
        <f>IF(Final_Sans_VGE[[#This Row],[ppn_z]]="","",IFERROR(
   IF(_xlfn.XLOOKUP(Final_Sans_VGE[[#This Row],[ppn_z]],tbl_Historique_Final[ppn_z],tbl_Historique_Final[date_modif])=Final_Sans_VGE[[#This Row],[date_modif]],
      "Ancien",
      "Modifié"),
   "Nouveau"))</f>
        <v>#VALUE!</v>
      </c>
      <c r="AD7326" s="1" t="str">
        <f>IFERROR(IF(Final_Sans_VGE[[#This Row],[ppn_z]]="","",IFERROR(
   IF(_xlfn.XLOOKUP(Final_Sans_VGE[[#This Row],[ppn_z]],tbl_Historique_Final[[#This Row],[ppn_z]],tbl_Historique_Final[[#This Row],[date_modif]])=Final_Sans_VGE[[#This Row],[date_modif]],
      "Ancien",
      "Modifié"),
   "Nouveau")),"")</f>
        <v/>
      </c>
    </row>
    <row r="7327" spans="24:30" x14ac:dyDescent="0.25">
      <c r="X7327" s="8" t="e">
        <f>IF(Final_Sans_VGE[[#This Row],[ppn_z]]="","",IFERROR(
   IF(_xlfn.XLOOKUP(Final_Sans_VGE[[#This Row],[ppn_z]],tbl_Historique_Final[ppn_z],tbl_Historique_Final[date_modif])=Final_Sans_VGE[[#This Row],[date_modif]],
      "Ancien",
      "Modifié"),
   "Nouveau"))</f>
        <v>#VALUE!</v>
      </c>
      <c r="AD7327" s="1" t="str">
        <f>IFERROR(IF(Final_Sans_VGE[[#This Row],[ppn_z]]="","",IFERROR(
   IF(_xlfn.XLOOKUP(Final_Sans_VGE[[#This Row],[ppn_z]],tbl_Historique_Final[[#This Row],[ppn_z]],tbl_Historique_Final[[#This Row],[date_modif]])=Final_Sans_VGE[[#This Row],[date_modif]],
      "Ancien",
      "Modifié"),
   "Nouveau")),"")</f>
        <v/>
      </c>
    </row>
    <row r="7328" spans="24:30" x14ac:dyDescent="0.25">
      <c r="X7328" s="8" t="e">
        <f>IF(Final_Sans_VGE[[#This Row],[ppn_z]]="","",IFERROR(
   IF(_xlfn.XLOOKUP(Final_Sans_VGE[[#This Row],[ppn_z]],tbl_Historique_Final[ppn_z],tbl_Historique_Final[date_modif])=Final_Sans_VGE[[#This Row],[date_modif]],
      "Ancien",
      "Modifié"),
   "Nouveau"))</f>
        <v>#VALUE!</v>
      </c>
      <c r="AD7328" s="1" t="str">
        <f>IFERROR(IF(Final_Sans_VGE[[#This Row],[ppn_z]]="","",IFERROR(
   IF(_xlfn.XLOOKUP(Final_Sans_VGE[[#This Row],[ppn_z]],tbl_Historique_Final[[#This Row],[ppn_z]],tbl_Historique_Final[[#This Row],[date_modif]])=Final_Sans_VGE[[#This Row],[date_modif]],
      "Ancien",
      "Modifié"),
   "Nouveau")),"")</f>
        <v/>
      </c>
    </row>
    <row r="7329" spans="24:30" x14ac:dyDescent="0.25">
      <c r="X7329" s="8" t="e">
        <f>IF(Final_Sans_VGE[[#This Row],[ppn_z]]="","",IFERROR(
   IF(_xlfn.XLOOKUP(Final_Sans_VGE[[#This Row],[ppn_z]],tbl_Historique_Final[ppn_z],tbl_Historique_Final[date_modif])=Final_Sans_VGE[[#This Row],[date_modif]],
      "Ancien",
      "Modifié"),
   "Nouveau"))</f>
        <v>#VALUE!</v>
      </c>
      <c r="AD7329" s="1" t="str">
        <f>IFERROR(IF(Final_Sans_VGE[[#This Row],[ppn_z]]="","",IFERROR(
   IF(_xlfn.XLOOKUP(Final_Sans_VGE[[#This Row],[ppn_z]],tbl_Historique_Final[[#This Row],[ppn_z]],tbl_Historique_Final[[#This Row],[date_modif]])=Final_Sans_VGE[[#This Row],[date_modif]],
      "Ancien",
      "Modifié"),
   "Nouveau")),"")</f>
        <v/>
      </c>
    </row>
    <row r="7330" spans="24:30" x14ac:dyDescent="0.25">
      <c r="X7330" s="8" t="e">
        <f>IF(Final_Sans_VGE[[#This Row],[ppn_z]]="","",IFERROR(
   IF(_xlfn.XLOOKUP(Final_Sans_VGE[[#This Row],[ppn_z]],tbl_Historique_Final[ppn_z],tbl_Historique_Final[date_modif])=Final_Sans_VGE[[#This Row],[date_modif]],
      "Ancien",
      "Modifié"),
   "Nouveau"))</f>
        <v>#VALUE!</v>
      </c>
      <c r="AD7330" s="1" t="str">
        <f>IFERROR(IF(Final_Sans_VGE[[#This Row],[ppn_z]]="","",IFERROR(
   IF(_xlfn.XLOOKUP(Final_Sans_VGE[[#This Row],[ppn_z]],tbl_Historique_Final[[#This Row],[ppn_z]],tbl_Historique_Final[[#This Row],[date_modif]])=Final_Sans_VGE[[#This Row],[date_modif]],
      "Ancien",
      "Modifié"),
   "Nouveau")),"")</f>
        <v/>
      </c>
    </row>
    <row r="7331" spans="24:30" x14ac:dyDescent="0.25">
      <c r="X7331" s="8" t="e">
        <f>IF(Final_Sans_VGE[[#This Row],[ppn_z]]="","",IFERROR(
   IF(_xlfn.XLOOKUP(Final_Sans_VGE[[#This Row],[ppn_z]],tbl_Historique_Final[ppn_z],tbl_Historique_Final[date_modif])=Final_Sans_VGE[[#This Row],[date_modif]],
      "Ancien",
      "Modifié"),
   "Nouveau"))</f>
        <v>#VALUE!</v>
      </c>
      <c r="AD7331" s="1" t="str">
        <f>IFERROR(IF(Final_Sans_VGE[[#This Row],[ppn_z]]="","",IFERROR(
   IF(_xlfn.XLOOKUP(Final_Sans_VGE[[#This Row],[ppn_z]],tbl_Historique_Final[[#This Row],[ppn_z]],tbl_Historique_Final[[#This Row],[date_modif]])=Final_Sans_VGE[[#This Row],[date_modif]],
      "Ancien",
      "Modifié"),
   "Nouveau")),"")</f>
        <v/>
      </c>
    </row>
    <row r="7332" spans="24:30" x14ac:dyDescent="0.25">
      <c r="X7332" s="8" t="e">
        <f>IF(Final_Sans_VGE[[#This Row],[ppn_z]]="","",IFERROR(
   IF(_xlfn.XLOOKUP(Final_Sans_VGE[[#This Row],[ppn_z]],tbl_Historique_Final[ppn_z],tbl_Historique_Final[date_modif])=Final_Sans_VGE[[#This Row],[date_modif]],
      "Ancien",
      "Modifié"),
   "Nouveau"))</f>
        <v>#VALUE!</v>
      </c>
      <c r="AD7332" s="1" t="str">
        <f>IFERROR(IF(Final_Sans_VGE[[#This Row],[ppn_z]]="","",IFERROR(
   IF(_xlfn.XLOOKUP(Final_Sans_VGE[[#This Row],[ppn_z]],tbl_Historique_Final[[#This Row],[ppn_z]],tbl_Historique_Final[[#This Row],[date_modif]])=Final_Sans_VGE[[#This Row],[date_modif]],
      "Ancien",
      "Modifié"),
   "Nouveau")),"")</f>
        <v/>
      </c>
    </row>
    <row r="7333" spans="24:30" x14ac:dyDescent="0.25">
      <c r="X7333" s="8" t="e">
        <f>IF(Final_Sans_VGE[[#This Row],[ppn_z]]="","",IFERROR(
   IF(_xlfn.XLOOKUP(Final_Sans_VGE[[#This Row],[ppn_z]],tbl_Historique_Final[ppn_z],tbl_Historique_Final[date_modif])=Final_Sans_VGE[[#This Row],[date_modif]],
      "Ancien",
      "Modifié"),
   "Nouveau"))</f>
        <v>#VALUE!</v>
      </c>
      <c r="AD7333" s="1" t="str">
        <f>IFERROR(IF(Final_Sans_VGE[[#This Row],[ppn_z]]="","",IFERROR(
   IF(_xlfn.XLOOKUP(Final_Sans_VGE[[#This Row],[ppn_z]],tbl_Historique_Final[[#This Row],[ppn_z]],tbl_Historique_Final[[#This Row],[date_modif]])=Final_Sans_VGE[[#This Row],[date_modif]],
      "Ancien",
      "Modifié"),
   "Nouveau")),"")</f>
        <v/>
      </c>
    </row>
    <row r="7334" spans="24:30" x14ac:dyDescent="0.25">
      <c r="X7334" s="8" t="e">
        <f>IF(Final_Sans_VGE[[#This Row],[ppn_z]]="","",IFERROR(
   IF(_xlfn.XLOOKUP(Final_Sans_VGE[[#This Row],[ppn_z]],tbl_Historique_Final[ppn_z],tbl_Historique_Final[date_modif])=Final_Sans_VGE[[#This Row],[date_modif]],
      "Ancien",
      "Modifié"),
   "Nouveau"))</f>
        <v>#VALUE!</v>
      </c>
      <c r="AD7334" s="1" t="str">
        <f>IFERROR(IF(Final_Sans_VGE[[#This Row],[ppn_z]]="","",IFERROR(
   IF(_xlfn.XLOOKUP(Final_Sans_VGE[[#This Row],[ppn_z]],tbl_Historique_Final[[#This Row],[ppn_z]],tbl_Historique_Final[[#This Row],[date_modif]])=Final_Sans_VGE[[#This Row],[date_modif]],
      "Ancien",
      "Modifié"),
   "Nouveau")),"")</f>
        <v/>
      </c>
    </row>
    <row r="7335" spans="24:30" x14ac:dyDescent="0.25">
      <c r="X7335" s="8" t="e">
        <f>IF(Final_Sans_VGE[[#This Row],[ppn_z]]="","",IFERROR(
   IF(_xlfn.XLOOKUP(Final_Sans_VGE[[#This Row],[ppn_z]],tbl_Historique_Final[ppn_z],tbl_Historique_Final[date_modif])=Final_Sans_VGE[[#This Row],[date_modif]],
      "Ancien",
      "Modifié"),
   "Nouveau"))</f>
        <v>#VALUE!</v>
      </c>
      <c r="AD7335" s="1" t="str">
        <f>IFERROR(IF(Final_Sans_VGE[[#This Row],[ppn_z]]="","",IFERROR(
   IF(_xlfn.XLOOKUP(Final_Sans_VGE[[#This Row],[ppn_z]],tbl_Historique_Final[[#This Row],[ppn_z]],tbl_Historique_Final[[#This Row],[date_modif]])=Final_Sans_VGE[[#This Row],[date_modif]],
      "Ancien",
      "Modifié"),
   "Nouveau")),"")</f>
        <v/>
      </c>
    </row>
    <row r="7336" spans="24:30" x14ac:dyDescent="0.25">
      <c r="X7336" s="8" t="e">
        <f>IF(Final_Sans_VGE[[#This Row],[ppn_z]]="","",IFERROR(
   IF(_xlfn.XLOOKUP(Final_Sans_VGE[[#This Row],[ppn_z]],tbl_Historique_Final[ppn_z],tbl_Historique_Final[date_modif])=Final_Sans_VGE[[#This Row],[date_modif]],
      "Ancien",
      "Modifié"),
   "Nouveau"))</f>
        <v>#VALUE!</v>
      </c>
      <c r="AD7336" s="1" t="str">
        <f>IFERROR(IF(Final_Sans_VGE[[#This Row],[ppn_z]]="","",IFERROR(
   IF(_xlfn.XLOOKUP(Final_Sans_VGE[[#This Row],[ppn_z]],tbl_Historique_Final[[#This Row],[ppn_z]],tbl_Historique_Final[[#This Row],[date_modif]])=Final_Sans_VGE[[#This Row],[date_modif]],
      "Ancien",
      "Modifié"),
   "Nouveau")),"")</f>
        <v/>
      </c>
    </row>
    <row r="7337" spans="24:30" x14ac:dyDescent="0.25">
      <c r="X7337" s="8" t="e">
        <f>IF(Final_Sans_VGE[[#This Row],[ppn_z]]="","",IFERROR(
   IF(_xlfn.XLOOKUP(Final_Sans_VGE[[#This Row],[ppn_z]],tbl_Historique_Final[ppn_z],tbl_Historique_Final[date_modif])=Final_Sans_VGE[[#This Row],[date_modif]],
      "Ancien",
      "Modifié"),
   "Nouveau"))</f>
        <v>#VALUE!</v>
      </c>
      <c r="AD7337" s="1" t="str">
        <f>IFERROR(IF(Final_Sans_VGE[[#This Row],[ppn_z]]="","",IFERROR(
   IF(_xlfn.XLOOKUP(Final_Sans_VGE[[#This Row],[ppn_z]],tbl_Historique_Final[[#This Row],[ppn_z]],tbl_Historique_Final[[#This Row],[date_modif]])=Final_Sans_VGE[[#This Row],[date_modif]],
      "Ancien",
      "Modifié"),
   "Nouveau")),"")</f>
        <v/>
      </c>
    </row>
    <row r="7338" spans="24:30" x14ac:dyDescent="0.25">
      <c r="X7338" s="8" t="e">
        <f>IF(Final_Sans_VGE[[#This Row],[ppn_z]]="","",IFERROR(
   IF(_xlfn.XLOOKUP(Final_Sans_VGE[[#This Row],[ppn_z]],tbl_Historique_Final[ppn_z],tbl_Historique_Final[date_modif])=Final_Sans_VGE[[#This Row],[date_modif]],
      "Ancien",
      "Modifié"),
   "Nouveau"))</f>
        <v>#VALUE!</v>
      </c>
      <c r="AD7338" s="1" t="str">
        <f>IFERROR(IF(Final_Sans_VGE[[#This Row],[ppn_z]]="","",IFERROR(
   IF(_xlfn.XLOOKUP(Final_Sans_VGE[[#This Row],[ppn_z]],tbl_Historique_Final[[#This Row],[ppn_z]],tbl_Historique_Final[[#This Row],[date_modif]])=Final_Sans_VGE[[#This Row],[date_modif]],
      "Ancien",
      "Modifié"),
   "Nouveau")),"")</f>
        <v/>
      </c>
    </row>
    <row r="7339" spans="24:30" x14ac:dyDescent="0.25">
      <c r="X7339" s="8" t="e">
        <f>IF(Final_Sans_VGE[[#This Row],[ppn_z]]="","",IFERROR(
   IF(_xlfn.XLOOKUP(Final_Sans_VGE[[#This Row],[ppn_z]],tbl_Historique_Final[ppn_z],tbl_Historique_Final[date_modif])=Final_Sans_VGE[[#This Row],[date_modif]],
      "Ancien",
      "Modifié"),
   "Nouveau"))</f>
        <v>#VALUE!</v>
      </c>
      <c r="AD7339" s="1" t="str">
        <f>IFERROR(IF(Final_Sans_VGE[[#This Row],[ppn_z]]="","",IFERROR(
   IF(_xlfn.XLOOKUP(Final_Sans_VGE[[#This Row],[ppn_z]],tbl_Historique_Final[[#This Row],[ppn_z]],tbl_Historique_Final[[#This Row],[date_modif]])=Final_Sans_VGE[[#This Row],[date_modif]],
      "Ancien",
      "Modifié"),
   "Nouveau")),"")</f>
        <v/>
      </c>
    </row>
    <row r="7340" spans="24:30" x14ac:dyDescent="0.25">
      <c r="X7340" s="8" t="e">
        <f>IF(Final_Sans_VGE[[#This Row],[ppn_z]]="","",IFERROR(
   IF(_xlfn.XLOOKUP(Final_Sans_VGE[[#This Row],[ppn_z]],tbl_Historique_Final[ppn_z],tbl_Historique_Final[date_modif])=Final_Sans_VGE[[#This Row],[date_modif]],
      "Ancien",
      "Modifié"),
   "Nouveau"))</f>
        <v>#VALUE!</v>
      </c>
      <c r="AD7340" s="1" t="str">
        <f>IFERROR(IF(Final_Sans_VGE[[#This Row],[ppn_z]]="","",IFERROR(
   IF(_xlfn.XLOOKUP(Final_Sans_VGE[[#This Row],[ppn_z]],tbl_Historique_Final[[#This Row],[ppn_z]],tbl_Historique_Final[[#This Row],[date_modif]])=Final_Sans_VGE[[#This Row],[date_modif]],
      "Ancien",
      "Modifié"),
   "Nouveau")),"")</f>
        <v/>
      </c>
    </row>
    <row r="7341" spans="24:30" x14ac:dyDescent="0.25">
      <c r="X7341" s="8" t="e">
        <f>IF(Final_Sans_VGE[[#This Row],[ppn_z]]="","",IFERROR(
   IF(_xlfn.XLOOKUP(Final_Sans_VGE[[#This Row],[ppn_z]],tbl_Historique_Final[ppn_z],tbl_Historique_Final[date_modif])=Final_Sans_VGE[[#This Row],[date_modif]],
      "Ancien",
      "Modifié"),
   "Nouveau"))</f>
        <v>#VALUE!</v>
      </c>
      <c r="AD7341" s="1" t="str">
        <f>IFERROR(IF(Final_Sans_VGE[[#This Row],[ppn_z]]="","",IFERROR(
   IF(_xlfn.XLOOKUP(Final_Sans_VGE[[#This Row],[ppn_z]],tbl_Historique_Final[[#This Row],[ppn_z]],tbl_Historique_Final[[#This Row],[date_modif]])=Final_Sans_VGE[[#This Row],[date_modif]],
      "Ancien",
      "Modifié"),
   "Nouveau")),"")</f>
        <v/>
      </c>
    </row>
    <row r="7342" spans="24:30" x14ac:dyDescent="0.25">
      <c r="X7342" s="8" t="e">
        <f>IF(Final_Sans_VGE[[#This Row],[ppn_z]]="","",IFERROR(
   IF(_xlfn.XLOOKUP(Final_Sans_VGE[[#This Row],[ppn_z]],tbl_Historique_Final[ppn_z],tbl_Historique_Final[date_modif])=Final_Sans_VGE[[#This Row],[date_modif]],
      "Ancien",
      "Modifié"),
   "Nouveau"))</f>
        <v>#VALUE!</v>
      </c>
      <c r="AD7342" s="1" t="str">
        <f>IFERROR(IF(Final_Sans_VGE[[#This Row],[ppn_z]]="","",IFERROR(
   IF(_xlfn.XLOOKUP(Final_Sans_VGE[[#This Row],[ppn_z]],tbl_Historique_Final[[#This Row],[ppn_z]],tbl_Historique_Final[[#This Row],[date_modif]])=Final_Sans_VGE[[#This Row],[date_modif]],
      "Ancien",
      "Modifié"),
   "Nouveau")),"")</f>
        <v/>
      </c>
    </row>
    <row r="7343" spans="24:30" x14ac:dyDescent="0.25">
      <c r="X7343" s="8" t="e">
        <f>IF(Final_Sans_VGE[[#This Row],[ppn_z]]="","",IFERROR(
   IF(_xlfn.XLOOKUP(Final_Sans_VGE[[#This Row],[ppn_z]],tbl_Historique_Final[ppn_z],tbl_Historique_Final[date_modif])=Final_Sans_VGE[[#This Row],[date_modif]],
      "Ancien",
      "Modifié"),
   "Nouveau"))</f>
        <v>#VALUE!</v>
      </c>
      <c r="AD7343" s="1" t="str">
        <f>IFERROR(IF(Final_Sans_VGE[[#This Row],[ppn_z]]="","",IFERROR(
   IF(_xlfn.XLOOKUP(Final_Sans_VGE[[#This Row],[ppn_z]],tbl_Historique_Final[[#This Row],[ppn_z]],tbl_Historique_Final[[#This Row],[date_modif]])=Final_Sans_VGE[[#This Row],[date_modif]],
      "Ancien",
      "Modifié"),
   "Nouveau")),"")</f>
        <v/>
      </c>
    </row>
    <row r="7344" spans="24:30" x14ac:dyDescent="0.25">
      <c r="X7344" s="8" t="e">
        <f>IF(Final_Sans_VGE[[#This Row],[ppn_z]]="","",IFERROR(
   IF(_xlfn.XLOOKUP(Final_Sans_VGE[[#This Row],[ppn_z]],tbl_Historique_Final[ppn_z],tbl_Historique_Final[date_modif])=Final_Sans_VGE[[#This Row],[date_modif]],
      "Ancien",
      "Modifié"),
   "Nouveau"))</f>
        <v>#VALUE!</v>
      </c>
      <c r="AD7344" s="1" t="str">
        <f>IFERROR(IF(Final_Sans_VGE[[#This Row],[ppn_z]]="","",IFERROR(
   IF(_xlfn.XLOOKUP(Final_Sans_VGE[[#This Row],[ppn_z]],tbl_Historique_Final[[#This Row],[ppn_z]],tbl_Historique_Final[[#This Row],[date_modif]])=Final_Sans_VGE[[#This Row],[date_modif]],
      "Ancien",
      "Modifié"),
   "Nouveau")),"")</f>
        <v/>
      </c>
    </row>
    <row r="7345" spans="24:30" x14ac:dyDescent="0.25">
      <c r="X7345" s="8" t="e">
        <f>IF(Final_Sans_VGE[[#This Row],[ppn_z]]="","",IFERROR(
   IF(_xlfn.XLOOKUP(Final_Sans_VGE[[#This Row],[ppn_z]],tbl_Historique_Final[ppn_z],tbl_Historique_Final[date_modif])=Final_Sans_VGE[[#This Row],[date_modif]],
      "Ancien",
      "Modifié"),
   "Nouveau"))</f>
        <v>#VALUE!</v>
      </c>
      <c r="AD7345" s="1" t="str">
        <f>IFERROR(IF(Final_Sans_VGE[[#This Row],[ppn_z]]="","",IFERROR(
   IF(_xlfn.XLOOKUP(Final_Sans_VGE[[#This Row],[ppn_z]],tbl_Historique_Final[[#This Row],[ppn_z]],tbl_Historique_Final[[#This Row],[date_modif]])=Final_Sans_VGE[[#This Row],[date_modif]],
      "Ancien",
      "Modifié"),
   "Nouveau")),"")</f>
        <v/>
      </c>
    </row>
    <row r="7346" spans="24:30" x14ac:dyDescent="0.25">
      <c r="X7346" s="8" t="e">
        <f>IF(Final_Sans_VGE[[#This Row],[ppn_z]]="","",IFERROR(
   IF(_xlfn.XLOOKUP(Final_Sans_VGE[[#This Row],[ppn_z]],tbl_Historique_Final[ppn_z],tbl_Historique_Final[date_modif])=Final_Sans_VGE[[#This Row],[date_modif]],
      "Ancien",
      "Modifié"),
   "Nouveau"))</f>
        <v>#VALUE!</v>
      </c>
      <c r="AD7346" s="1" t="str">
        <f>IFERROR(IF(Final_Sans_VGE[[#This Row],[ppn_z]]="","",IFERROR(
   IF(_xlfn.XLOOKUP(Final_Sans_VGE[[#This Row],[ppn_z]],tbl_Historique_Final[[#This Row],[ppn_z]],tbl_Historique_Final[[#This Row],[date_modif]])=Final_Sans_VGE[[#This Row],[date_modif]],
      "Ancien",
      "Modifié"),
   "Nouveau")),"")</f>
        <v/>
      </c>
    </row>
    <row r="7347" spans="24:30" x14ac:dyDescent="0.25">
      <c r="X7347" s="8" t="e">
        <f>IF(Final_Sans_VGE[[#This Row],[ppn_z]]="","",IFERROR(
   IF(_xlfn.XLOOKUP(Final_Sans_VGE[[#This Row],[ppn_z]],tbl_Historique_Final[ppn_z],tbl_Historique_Final[date_modif])=Final_Sans_VGE[[#This Row],[date_modif]],
      "Ancien",
      "Modifié"),
   "Nouveau"))</f>
        <v>#VALUE!</v>
      </c>
      <c r="AD7347" s="1" t="str">
        <f>IFERROR(IF(Final_Sans_VGE[[#This Row],[ppn_z]]="","",IFERROR(
   IF(_xlfn.XLOOKUP(Final_Sans_VGE[[#This Row],[ppn_z]],tbl_Historique_Final[[#This Row],[ppn_z]],tbl_Historique_Final[[#This Row],[date_modif]])=Final_Sans_VGE[[#This Row],[date_modif]],
      "Ancien",
      "Modifié"),
   "Nouveau")),"")</f>
        <v/>
      </c>
    </row>
    <row r="7348" spans="24:30" x14ac:dyDescent="0.25">
      <c r="X7348" s="8" t="e">
        <f>IF(Final_Sans_VGE[[#This Row],[ppn_z]]="","",IFERROR(
   IF(_xlfn.XLOOKUP(Final_Sans_VGE[[#This Row],[ppn_z]],tbl_Historique_Final[ppn_z],tbl_Historique_Final[date_modif])=Final_Sans_VGE[[#This Row],[date_modif]],
      "Ancien",
      "Modifié"),
   "Nouveau"))</f>
        <v>#VALUE!</v>
      </c>
      <c r="AD7348" s="1" t="str">
        <f>IFERROR(IF(Final_Sans_VGE[[#This Row],[ppn_z]]="","",IFERROR(
   IF(_xlfn.XLOOKUP(Final_Sans_VGE[[#This Row],[ppn_z]],tbl_Historique_Final[[#This Row],[ppn_z]],tbl_Historique_Final[[#This Row],[date_modif]])=Final_Sans_VGE[[#This Row],[date_modif]],
      "Ancien",
      "Modifié"),
   "Nouveau")),"")</f>
        <v/>
      </c>
    </row>
    <row r="7349" spans="24:30" x14ac:dyDescent="0.25">
      <c r="X7349" s="8" t="e">
        <f>IF(Final_Sans_VGE[[#This Row],[ppn_z]]="","",IFERROR(
   IF(_xlfn.XLOOKUP(Final_Sans_VGE[[#This Row],[ppn_z]],tbl_Historique_Final[ppn_z],tbl_Historique_Final[date_modif])=Final_Sans_VGE[[#This Row],[date_modif]],
      "Ancien",
      "Modifié"),
   "Nouveau"))</f>
        <v>#VALUE!</v>
      </c>
      <c r="AD7349" s="1" t="str">
        <f>IFERROR(IF(Final_Sans_VGE[[#This Row],[ppn_z]]="","",IFERROR(
   IF(_xlfn.XLOOKUP(Final_Sans_VGE[[#This Row],[ppn_z]],tbl_Historique_Final[[#This Row],[ppn_z]],tbl_Historique_Final[[#This Row],[date_modif]])=Final_Sans_VGE[[#This Row],[date_modif]],
      "Ancien",
      "Modifié"),
   "Nouveau")),"")</f>
        <v/>
      </c>
    </row>
    <row r="7350" spans="24:30" x14ac:dyDescent="0.25">
      <c r="X7350" s="8" t="e">
        <f>IF(Final_Sans_VGE[[#This Row],[ppn_z]]="","",IFERROR(
   IF(_xlfn.XLOOKUP(Final_Sans_VGE[[#This Row],[ppn_z]],tbl_Historique_Final[ppn_z],tbl_Historique_Final[date_modif])=Final_Sans_VGE[[#This Row],[date_modif]],
      "Ancien",
      "Modifié"),
   "Nouveau"))</f>
        <v>#VALUE!</v>
      </c>
      <c r="AD7350" s="1" t="str">
        <f>IFERROR(IF(Final_Sans_VGE[[#This Row],[ppn_z]]="","",IFERROR(
   IF(_xlfn.XLOOKUP(Final_Sans_VGE[[#This Row],[ppn_z]],tbl_Historique_Final[[#This Row],[ppn_z]],tbl_Historique_Final[[#This Row],[date_modif]])=Final_Sans_VGE[[#This Row],[date_modif]],
      "Ancien",
      "Modifié"),
   "Nouveau")),"")</f>
        <v/>
      </c>
    </row>
    <row r="7351" spans="24:30" x14ac:dyDescent="0.25">
      <c r="X7351" s="8" t="e">
        <f>IF(Final_Sans_VGE[[#This Row],[ppn_z]]="","",IFERROR(
   IF(_xlfn.XLOOKUP(Final_Sans_VGE[[#This Row],[ppn_z]],tbl_Historique_Final[ppn_z],tbl_Historique_Final[date_modif])=Final_Sans_VGE[[#This Row],[date_modif]],
      "Ancien",
      "Modifié"),
   "Nouveau"))</f>
        <v>#VALUE!</v>
      </c>
      <c r="AD7351" s="1" t="str">
        <f>IFERROR(IF(Final_Sans_VGE[[#This Row],[ppn_z]]="","",IFERROR(
   IF(_xlfn.XLOOKUP(Final_Sans_VGE[[#This Row],[ppn_z]],tbl_Historique_Final[[#This Row],[ppn_z]],tbl_Historique_Final[[#This Row],[date_modif]])=Final_Sans_VGE[[#This Row],[date_modif]],
      "Ancien",
      "Modifié"),
   "Nouveau")),"")</f>
        <v/>
      </c>
    </row>
    <row r="7352" spans="24:30" x14ac:dyDescent="0.25">
      <c r="X7352" s="8" t="e">
        <f>IF(Final_Sans_VGE[[#This Row],[ppn_z]]="","",IFERROR(
   IF(_xlfn.XLOOKUP(Final_Sans_VGE[[#This Row],[ppn_z]],tbl_Historique_Final[ppn_z],tbl_Historique_Final[date_modif])=Final_Sans_VGE[[#This Row],[date_modif]],
      "Ancien",
      "Modifié"),
   "Nouveau"))</f>
        <v>#VALUE!</v>
      </c>
      <c r="AD7352" s="1" t="str">
        <f>IFERROR(IF(Final_Sans_VGE[[#This Row],[ppn_z]]="","",IFERROR(
   IF(_xlfn.XLOOKUP(Final_Sans_VGE[[#This Row],[ppn_z]],tbl_Historique_Final[[#This Row],[ppn_z]],tbl_Historique_Final[[#This Row],[date_modif]])=Final_Sans_VGE[[#This Row],[date_modif]],
      "Ancien",
      "Modifié"),
   "Nouveau")),"")</f>
        <v/>
      </c>
    </row>
    <row r="7353" spans="24:30" x14ac:dyDescent="0.25">
      <c r="X7353" s="8" t="e">
        <f>IF(Final_Sans_VGE[[#This Row],[ppn_z]]="","",IFERROR(
   IF(_xlfn.XLOOKUP(Final_Sans_VGE[[#This Row],[ppn_z]],tbl_Historique_Final[ppn_z],tbl_Historique_Final[date_modif])=Final_Sans_VGE[[#This Row],[date_modif]],
      "Ancien",
      "Modifié"),
   "Nouveau"))</f>
        <v>#VALUE!</v>
      </c>
      <c r="AD7353" s="1" t="str">
        <f>IFERROR(IF(Final_Sans_VGE[[#This Row],[ppn_z]]="","",IFERROR(
   IF(_xlfn.XLOOKUP(Final_Sans_VGE[[#This Row],[ppn_z]],tbl_Historique_Final[[#This Row],[ppn_z]],tbl_Historique_Final[[#This Row],[date_modif]])=Final_Sans_VGE[[#This Row],[date_modif]],
      "Ancien",
      "Modifié"),
   "Nouveau")),"")</f>
        <v/>
      </c>
    </row>
    <row r="7354" spans="24:30" x14ac:dyDescent="0.25">
      <c r="X7354" s="8" t="e">
        <f>IF(Final_Sans_VGE[[#This Row],[ppn_z]]="","",IFERROR(
   IF(_xlfn.XLOOKUP(Final_Sans_VGE[[#This Row],[ppn_z]],tbl_Historique_Final[ppn_z],tbl_Historique_Final[date_modif])=Final_Sans_VGE[[#This Row],[date_modif]],
      "Ancien",
      "Modifié"),
   "Nouveau"))</f>
        <v>#VALUE!</v>
      </c>
      <c r="AD7354" s="1" t="str">
        <f>IFERROR(IF(Final_Sans_VGE[[#This Row],[ppn_z]]="","",IFERROR(
   IF(_xlfn.XLOOKUP(Final_Sans_VGE[[#This Row],[ppn_z]],tbl_Historique_Final[[#This Row],[ppn_z]],tbl_Historique_Final[[#This Row],[date_modif]])=Final_Sans_VGE[[#This Row],[date_modif]],
      "Ancien",
      "Modifié"),
   "Nouveau")),"")</f>
        <v/>
      </c>
    </row>
    <row r="7355" spans="24:30" x14ac:dyDescent="0.25">
      <c r="X7355" s="8" t="e">
        <f>IF(Final_Sans_VGE[[#This Row],[ppn_z]]="","",IFERROR(
   IF(_xlfn.XLOOKUP(Final_Sans_VGE[[#This Row],[ppn_z]],tbl_Historique_Final[ppn_z],tbl_Historique_Final[date_modif])=Final_Sans_VGE[[#This Row],[date_modif]],
      "Ancien",
      "Modifié"),
   "Nouveau"))</f>
        <v>#VALUE!</v>
      </c>
      <c r="AD7355" s="1" t="str">
        <f>IFERROR(IF(Final_Sans_VGE[[#This Row],[ppn_z]]="","",IFERROR(
   IF(_xlfn.XLOOKUP(Final_Sans_VGE[[#This Row],[ppn_z]],tbl_Historique_Final[[#This Row],[ppn_z]],tbl_Historique_Final[[#This Row],[date_modif]])=Final_Sans_VGE[[#This Row],[date_modif]],
      "Ancien",
      "Modifié"),
   "Nouveau")),"")</f>
        <v/>
      </c>
    </row>
    <row r="7356" spans="24:30" x14ac:dyDescent="0.25">
      <c r="X7356" s="8" t="e">
        <f>IF(Final_Sans_VGE[[#This Row],[ppn_z]]="","",IFERROR(
   IF(_xlfn.XLOOKUP(Final_Sans_VGE[[#This Row],[ppn_z]],tbl_Historique_Final[ppn_z],tbl_Historique_Final[date_modif])=Final_Sans_VGE[[#This Row],[date_modif]],
      "Ancien",
      "Modifié"),
   "Nouveau"))</f>
        <v>#VALUE!</v>
      </c>
      <c r="AD7356" s="1" t="str">
        <f>IFERROR(IF(Final_Sans_VGE[[#This Row],[ppn_z]]="","",IFERROR(
   IF(_xlfn.XLOOKUP(Final_Sans_VGE[[#This Row],[ppn_z]],tbl_Historique_Final[[#This Row],[ppn_z]],tbl_Historique_Final[[#This Row],[date_modif]])=Final_Sans_VGE[[#This Row],[date_modif]],
      "Ancien",
      "Modifié"),
   "Nouveau")),"")</f>
        <v/>
      </c>
    </row>
    <row r="7357" spans="24:30" x14ac:dyDescent="0.25">
      <c r="X7357" s="8" t="e">
        <f>IF(Final_Sans_VGE[[#This Row],[ppn_z]]="","",IFERROR(
   IF(_xlfn.XLOOKUP(Final_Sans_VGE[[#This Row],[ppn_z]],tbl_Historique_Final[ppn_z],tbl_Historique_Final[date_modif])=Final_Sans_VGE[[#This Row],[date_modif]],
      "Ancien",
      "Modifié"),
   "Nouveau"))</f>
        <v>#VALUE!</v>
      </c>
      <c r="AD7357" s="1" t="str">
        <f>IFERROR(IF(Final_Sans_VGE[[#This Row],[ppn_z]]="","",IFERROR(
   IF(_xlfn.XLOOKUP(Final_Sans_VGE[[#This Row],[ppn_z]],tbl_Historique_Final[[#This Row],[ppn_z]],tbl_Historique_Final[[#This Row],[date_modif]])=Final_Sans_VGE[[#This Row],[date_modif]],
      "Ancien",
      "Modifié"),
   "Nouveau")),"")</f>
        <v/>
      </c>
    </row>
    <row r="7358" spans="24:30" x14ac:dyDescent="0.25">
      <c r="X7358" s="8" t="e">
        <f>IF(Final_Sans_VGE[[#This Row],[ppn_z]]="","",IFERROR(
   IF(_xlfn.XLOOKUP(Final_Sans_VGE[[#This Row],[ppn_z]],tbl_Historique_Final[ppn_z],tbl_Historique_Final[date_modif])=Final_Sans_VGE[[#This Row],[date_modif]],
      "Ancien",
      "Modifié"),
   "Nouveau"))</f>
        <v>#VALUE!</v>
      </c>
      <c r="AD7358" s="1" t="str">
        <f>IFERROR(IF(Final_Sans_VGE[[#This Row],[ppn_z]]="","",IFERROR(
   IF(_xlfn.XLOOKUP(Final_Sans_VGE[[#This Row],[ppn_z]],tbl_Historique_Final[[#This Row],[ppn_z]],tbl_Historique_Final[[#This Row],[date_modif]])=Final_Sans_VGE[[#This Row],[date_modif]],
      "Ancien",
      "Modifié"),
   "Nouveau")),"")</f>
        <v/>
      </c>
    </row>
    <row r="7359" spans="24:30" x14ac:dyDescent="0.25">
      <c r="X7359" s="8" t="e">
        <f>IF(Final_Sans_VGE[[#This Row],[ppn_z]]="","",IFERROR(
   IF(_xlfn.XLOOKUP(Final_Sans_VGE[[#This Row],[ppn_z]],tbl_Historique_Final[ppn_z],tbl_Historique_Final[date_modif])=Final_Sans_VGE[[#This Row],[date_modif]],
      "Ancien",
      "Modifié"),
   "Nouveau"))</f>
        <v>#VALUE!</v>
      </c>
      <c r="AD7359" s="1" t="str">
        <f>IFERROR(IF(Final_Sans_VGE[[#This Row],[ppn_z]]="","",IFERROR(
   IF(_xlfn.XLOOKUP(Final_Sans_VGE[[#This Row],[ppn_z]],tbl_Historique_Final[[#This Row],[ppn_z]],tbl_Historique_Final[[#This Row],[date_modif]])=Final_Sans_VGE[[#This Row],[date_modif]],
      "Ancien",
      "Modifié"),
   "Nouveau")),"")</f>
        <v/>
      </c>
    </row>
    <row r="7360" spans="24:30" x14ac:dyDescent="0.25">
      <c r="X7360" s="8" t="e">
        <f>IF(Final_Sans_VGE[[#This Row],[ppn_z]]="","",IFERROR(
   IF(_xlfn.XLOOKUP(Final_Sans_VGE[[#This Row],[ppn_z]],tbl_Historique_Final[ppn_z],tbl_Historique_Final[date_modif])=Final_Sans_VGE[[#This Row],[date_modif]],
      "Ancien",
      "Modifié"),
   "Nouveau"))</f>
        <v>#VALUE!</v>
      </c>
      <c r="AD7360" s="1" t="str">
        <f>IFERROR(IF(Final_Sans_VGE[[#This Row],[ppn_z]]="","",IFERROR(
   IF(_xlfn.XLOOKUP(Final_Sans_VGE[[#This Row],[ppn_z]],tbl_Historique_Final[[#This Row],[ppn_z]],tbl_Historique_Final[[#This Row],[date_modif]])=Final_Sans_VGE[[#This Row],[date_modif]],
      "Ancien",
      "Modifié"),
   "Nouveau")),"")</f>
        <v/>
      </c>
    </row>
    <row r="7361" spans="24:30" x14ac:dyDescent="0.25">
      <c r="X7361" s="8" t="e">
        <f>IF(Final_Sans_VGE[[#This Row],[ppn_z]]="","",IFERROR(
   IF(_xlfn.XLOOKUP(Final_Sans_VGE[[#This Row],[ppn_z]],tbl_Historique_Final[ppn_z],tbl_Historique_Final[date_modif])=Final_Sans_VGE[[#This Row],[date_modif]],
      "Ancien",
      "Modifié"),
   "Nouveau"))</f>
        <v>#VALUE!</v>
      </c>
      <c r="AD7361" s="1" t="str">
        <f>IFERROR(IF(Final_Sans_VGE[[#This Row],[ppn_z]]="","",IFERROR(
   IF(_xlfn.XLOOKUP(Final_Sans_VGE[[#This Row],[ppn_z]],tbl_Historique_Final[[#This Row],[ppn_z]],tbl_Historique_Final[[#This Row],[date_modif]])=Final_Sans_VGE[[#This Row],[date_modif]],
      "Ancien",
      "Modifié"),
   "Nouveau")),"")</f>
        <v/>
      </c>
    </row>
    <row r="7362" spans="24:30" x14ac:dyDescent="0.25">
      <c r="X7362" s="8" t="e">
        <f>IF(Final_Sans_VGE[[#This Row],[ppn_z]]="","",IFERROR(
   IF(_xlfn.XLOOKUP(Final_Sans_VGE[[#This Row],[ppn_z]],tbl_Historique_Final[ppn_z],tbl_Historique_Final[date_modif])=Final_Sans_VGE[[#This Row],[date_modif]],
      "Ancien",
      "Modifié"),
   "Nouveau"))</f>
        <v>#VALUE!</v>
      </c>
      <c r="AD7362" s="1" t="str">
        <f>IFERROR(IF(Final_Sans_VGE[[#This Row],[ppn_z]]="","",IFERROR(
   IF(_xlfn.XLOOKUP(Final_Sans_VGE[[#This Row],[ppn_z]],tbl_Historique_Final[[#This Row],[ppn_z]],tbl_Historique_Final[[#This Row],[date_modif]])=Final_Sans_VGE[[#This Row],[date_modif]],
      "Ancien",
      "Modifié"),
   "Nouveau")),"")</f>
        <v/>
      </c>
    </row>
    <row r="7363" spans="24:30" x14ac:dyDescent="0.25">
      <c r="X7363" s="8" t="e">
        <f>IF(Final_Sans_VGE[[#This Row],[ppn_z]]="","",IFERROR(
   IF(_xlfn.XLOOKUP(Final_Sans_VGE[[#This Row],[ppn_z]],tbl_Historique_Final[ppn_z],tbl_Historique_Final[date_modif])=Final_Sans_VGE[[#This Row],[date_modif]],
      "Ancien",
      "Modifié"),
   "Nouveau"))</f>
        <v>#VALUE!</v>
      </c>
      <c r="AD7363" s="1" t="str">
        <f>IFERROR(IF(Final_Sans_VGE[[#This Row],[ppn_z]]="","",IFERROR(
   IF(_xlfn.XLOOKUP(Final_Sans_VGE[[#This Row],[ppn_z]],tbl_Historique_Final[[#This Row],[ppn_z]],tbl_Historique_Final[[#This Row],[date_modif]])=Final_Sans_VGE[[#This Row],[date_modif]],
      "Ancien",
      "Modifié"),
   "Nouveau")),"")</f>
        <v/>
      </c>
    </row>
    <row r="7364" spans="24:30" x14ac:dyDescent="0.25">
      <c r="X7364" s="8" t="e">
        <f>IF(Final_Sans_VGE[[#This Row],[ppn_z]]="","",IFERROR(
   IF(_xlfn.XLOOKUP(Final_Sans_VGE[[#This Row],[ppn_z]],tbl_Historique_Final[ppn_z],tbl_Historique_Final[date_modif])=Final_Sans_VGE[[#This Row],[date_modif]],
      "Ancien",
      "Modifié"),
   "Nouveau"))</f>
        <v>#VALUE!</v>
      </c>
      <c r="AD7364" s="1" t="str">
        <f>IFERROR(IF(Final_Sans_VGE[[#This Row],[ppn_z]]="","",IFERROR(
   IF(_xlfn.XLOOKUP(Final_Sans_VGE[[#This Row],[ppn_z]],tbl_Historique_Final[[#This Row],[ppn_z]],tbl_Historique_Final[[#This Row],[date_modif]])=Final_Sans_VGE[[#This Row],[date_modif]],
      "Ancien",
      "Modifié"),
   "Nouveau")),"")</f>
        <v/>
      </c>
    </row>
    <row r="7365" spans="24:30" x14ac:dyDescent="0.25">
      <c r="X7365" s="8" t="e">
        <f>IF(Final_Sans_VGE[[#This Row],[ppn_z]]="","",IFERROR(
   IF(_xlfn.XLOOKUP(Final_Sans_VGE[[#This Row],[ppn_z]],tbl_Historique_Final[ppn_z],tbl_Historique_Final[date_modif])=Final_Sans_VGE[[#This Row],[date_modif]],
      "Ancien",
      "Modifié"),
   "Nouveau"))</f>
        <v>#VALUE!</v>
      </c>
      <c r="AD7365" s="1" t="str">
        <f>IFERROR(IF(Final_Sans_VGE[[#This Row],[ppn_z]]="","",IFERROR(
   IF(_xlfn.XLOOKUP(Final_Sans_VGE[[#This Row],[ppn_z]],tbl_Historique_Final[[#This Row],[ppn_z]],tbl_Historique_Final[[#This Row],[date_modif]])=Final_Sans_VGE[[#This Row],[date_modif]],
      "Ancien",
      "Modifié"),
   "Nouveau")),"")</f>
        <v/>
      </c>
    </row>
    <row r="7366" spans="24:30" x14ac:dyDescent="0.25">
      <c r="X7366" s="8" t="e">
        <f>IF(Final_Sans_VGE[[#This Row],[ppn_z]]="","",IFERROR(
   IF(_xlfn.XLOOKUP(Final_Sans_VGE[[#This Row],[ppn_z]],tbl_Historique_Final[ppn_z],tbl_Historique_Final[date_modif])=Final_Sans_VGE[[#This Row],[date_modif]],
      "Ancien",
      "Modifié"),
   "Nouveau"))</f>
        <v>#VALUE!</v>
      </c>
      <c r="AD7366" s="1" t="str">
        <f>IFERROR(IF(Final_Sans_VGE[[#This Row],[ppn_z]]="","",IFERROR(
   IF(_xlfn.XLOOKUP(Final_Sans_VGE[[#This Row],[ppn_z]],tbl_Historique_Final[[#This Row],[ppn_z]],tbl_Historique_Final[[#This Row],[date_modif]])=Final_Sans_VGE[[#This Row],[date_modif]],
      "Ancien",
      "Modifié"),
   "Nouveau")),"")</f>
        <v/>
      </c>
    </row>
    <row r="7367" spans="24:30" x14ac:dyDescent="0.25">
      <c r="X7367" s="8" t="e">
        <f>IF(Final_Sans_VGE[[#This Row],[ppn_z]]="","",IFERROR(
   IF(_xlfn.XLOOKUP(Final_Sans_VGE[[#This Row],[ppn_z]],tbl_Historique_Final[ppn_z],tbl_Historique_Final[date_modif])=Final_Sans_VGE[[#This Row],[date_modif]],
      "Ancien",
      "Modifié"),
   "Nouveau"))</f>
        <v>#VALUE!</v>
      </c>
      <c r="AD7367" s="1" t="str">
        <f>IFERROR(IF(Final_Sans_VGE[[#This Row],[ppn_z]]="","",IFERROR(
   IF(_xlfn.XLOOKUP(Final_Sans_VGE[[#This Row],[ppn_z]],tbl_Historique_Final[[#This Row],[ppn_z]],tbl_Historique_Final[[#This Row],[date_modif]])=Final_Sans_VGE[[#This Row],[date_modif]],
      "Ancien",
      "Modifié"),
   "Nouveau")),"")</f>
        <v/>
      </c>
    </row>
    <row r="7368" spans="24:30" x14ac:dyDescent="0.25">
      <c r="X7368" s="8" t="e">
        <f>IF(Final_Sans_VGE[[#This Row],[ppn_z]]="","",IFERROR(
   IF(_xlfn.XLOOKUP(Final_Sans_VGE[[#This Row],[ppn_z]],tbl_Historique_Final[ppn_z],tbl_Historique_Final[date_modif])=Final_Sans_VGE[[#This Row],[date_modif]],
      "Ancien",
      "Modifié"),
   "Nouveau"))</f>
        <v>#VALUE!</v>
      </c>
      <c r="AD7368" s="1" t="str">
        <f>IFERROR(IF(Final_Sans_VGE[[#This Row],[ppn_z]]="","",IFERROR(
   IF(_xlfn.XLOOKUP(Final_Sans_VGE[[#This Row],[ppn_z]],tbl_Historique_Final[[#This Row],[ppn_z]],tbl_Historique_Final[[#This Row],[date_modif]])=Final_Sans_VGE[[#This Row],[date_modif]],
      "Ancien",
      "Modifié"),
   "Nouveau")),"")</f>
        <v/>
      </c>
    </row>
    <row r="7369" spans="24:30" x14ac:dyDescent="0.25">
      <c r="X7369" s="8" t="e">
        <f>IF(Final_Sans_VGE[[#This Row],[ppn_z]]="","",IFERROR(
   IF(_xlfn.XLOOKUP(Final_Sans_VGE[[#This Row],[ppn_z]],tbl_Historique_Final[ppn_z],tbl_Historique_Final[date_modif])=Final_Sans_VGE[[#This Row],[date_modif]],
      "Ancien",
      "Modifié"),
   "Nouveau"))</f>
        <v>#VALUE!</v>
      </c>
      <c r="AD7369" s="1" t="str">
        <f>IFERROR(IF(Final_Sans_VGE[[#This Row],[ppn_z]]="","",IFERROR(
   IF(_xlfn.XLOOKUP(Final_Sans_VGE[[#This Row],[ppn_z]],tbl_Historique_Final[[#This Row],[ppn_z]],tbl_Historique_Final[[#This Row],[date_modif]])=Final_Sans_VGE[[#This Row],[date_modif]],
      "Ancien",
      "Modifié"),
   "Nouveau")),"")</f>
        <v/>
      </c>
    </row>
    <row r="7370" spans="24:30" x14ac:dyDescent="0.25">
      <c r="X7370" s="8" t="e">
        <f>IF(Final_Sans_VGE[[#This Row],[ppn_z]]="","",IFERROR(
   IF(_xlfn.XLOOKUP(Final_Sans_VGE[[#This Row],[ppn_z]],tbl_Historique_Final[ppn_z],tbl_Historique_Final[date_modif])=Final_Sans_VGE[[#This Row],[date_modif]],
      "Ancien",
      "Modifié"),
   "Nouveau"))</f>
        <v>#VALUE!</v>
      </c>
      <c r="AD7370" s="1" t="str">
        <f>IFERROR(IF(Final_Sans_VGE[[#This Row],[ppn_z]]="","",IFERROR(
   IF(_xlfn.XLOOKUP(Final_Sans_VGE[[#This Row],[ppn_z]],tbl_Historique_Final[[#This Row],[ppn_z]],tbl_Historique_Final[[#This Row],[date_modif]])=Final_Sans_VGE[[#This Row],[date_modif]],
      "Ancien",
      "Modifié"),
   "Nouveau")),"")</f>
        <v/>
      </c>
    </row>
    <row r="7371" spans="24:30" x14ac:dyDescent="0.25">
      <c r="X7371" s="8" t="e">
        <f>IF(Final_Sans_VGE[[#This Row],[ppn_z]]="","",IFERROR(
   IF(_xlfn.XLOOKUP(Final_Sans_VGE[[#This Row],[ppn_z]],tbl_Historique_Final[ppn_z],tbl_Historique_Final[date_modif])=Final_Sans_VGE[[#This Row],[date_modif]],
      "Ancien",
      "Modifié"),
   "Nouveau"))</f>
        <v>#VALUE!</v>
      </c>
      <c r="AD7371" s="1" t="str">
        <f>IFERROR(IF(Final_Sans_VGE[[#This Row],[ppn_z]]="","",IFERROR(
   IF(_xlfn.XLOOKUP(Final_Sans_VGE[[#This Row],[ppn_z]],tbl_Historique_Final[[#This Row],[ppn_z]],tbl_Historique_Final[[#This Row],[date_modif]])=Final_Sans_VGE[[#This Row],[date_modif]],
      "Ancien",
      "Modifié"),
   "Nouveau")),"")</f>
        <v/>
      </c>
    </row>
    <row r="7372" spans="24:30" x14ac:dyDescent="0.25">
      <c r="X7372" s="8" t="e">
        <f>IF(Final_Sans_VGE[[#This Row],[ppn_z]]="","",IFERROR(
   IF(_xlfn.XLOOKUP(Final_Sans_VGE[[#This Row],[ppn_z]],tbl_Historique_Final[ppn_z],tbl_Historique_Final[date_modif])=Final_Sans_VGE[[#This Row],[date_modif]],
      "Ancien",
      "Modifié"),
   "Nouveau"))</f>
        <v>#VALUE!</v>
      </c>
      <c r="AD7372" s="1" t="str">
        <f>IFERROR(IF(Final_Sans_VGE[[#This Row],[ppn_z]]="","",IFERROR(
   IF(_xlfn.XLOOKUP(Final_Sans_VGE[[#This Row],[ppn_z]],tbl_Historique_Final[[#This Row],[ppn_z]],tbl_Historique_Final[[#This Row],[date_modif]])=Final_Sans_VGE[[#This Row],[date_modif]],
      "Ancien",
      "Modifié"),
   "Nouveau")),"")</f>
        <v/>
      </c>
    </row>
    <row r="7373" spans="24:30" x14ac:dyDescent="0.25">
      <c r="X7373" s="8" t="e">
        <f>IF(Final_Sans_VGE[[#This Row],[ppn_z]]="","",IFERROR(
   IF(_xlfn.XLOOKUP(Final_Sans_VGE[[#This Row],[ppn_z]],tbl_Historique_Final[ppn_z],tbl_Historique_Final[date_modif])=Final_Sans_VGE[[#This Row],[date_modif]],
      "Ancien",
      "Modifié"),
   "Nouveau"))</f>
        <v>#VALUE!</v>
      </c>
      <c r="AD7373" s="1" t="str">
        <f>IFERROR(IF(Final_Sans_VGE[[#This Row],[ppn_z]]="","",IFERROR(
   IF(_xlfn.XLOOKUP(Final_Sans_VGE[[#This Row],[ppn_z]],tbl_Historique_Final[[#This Row],[ppn_z]],tbl_Historique_Final[[#This Row],[date_modif]])=Final_Sans_VGE[[#This Row],[date_modif]],
      "Ancien",
      "Modifié"),
   "Nouveau")),"")</f>
        <v/>
      </c>
    </row>
    <row r="7374" spans="24:30" x14ac:dyDescent="0.25">
      <c r="X7374" s="8" t="e">
        <f>IF(Final_Sans_VGE[[#This Row],[ppn_z]]="","",IFERROR(
   IF(_xlfn.XLOOKUP(Final_Sans_VGE[[#This Row],[ppn_z]],tbl_Historique_Final[ppn_z],tbl_Historique_Final[date_modif])=Final_Sans_VGE[[#This Row],[date_modif]],
      "Ancien",
      "Modifié"),
   "Nouveau"))</f>
        <v>#VALUE!</v>
      </c>
      <c r="AD7374" s="1" t="str">
        <f>IFERROR(IF(Final_Sans_VGE[[#This Row],[ppn_z]]="","",IFERROR(
   IF(_xlfn.XLOOKUP(Final_Sans_VGE[[#This Row],[ppn_z]],tbl_Historique_Final[[#This Row],[ppn_z]],tbl_Historique_Final[[#This Row],[date_modif]])=Final_Sans_VGE[[#This Row],[date_modif]],
      "Ancien",
      "Modifié"),
   "Nouveau")),"")</f>
        <v/>
      </c>
    </row>
    <row r="7375" spans="24:30" x14ac:dyDescent="0.25">
      <c r="X7375" s="8" t="e">
        <f>IF(Final_Sans_VGE[[#This Row],[ppn_z]]="","",IFERROR(
   IF(_xlfn.XLOOKUP(Final_Sans_VGE[[#This Row],[ppn_z]],tbl_Historique_Final[ppn_z],tbl_Historique_Final[date_modif])=Final_Sans_VGE[[#This Row],[date_modif]],
      "Ancien",
      "Modifié"),
   "Nouveau"))</f>
        <v>#VALUE!</v>
      </c>
      <c r="AD7375" s="1" t="str">
        <f>IFERROR(IF(Final_Sans_VGE[[#This Row],[ppn_z]]="","",IFERROR(
   IF(_xlfn.XLOOKUP(Final_Sans_VGE[[#This Row],[ppn_z]],tbl_Historique_Final[[#This Row],[ppn_z]],tbl_Historique_Final[[#This Row],[date_modif]])=Final_Sans_VGE[[#This Row],[date_modif]],
      "Ancien",
      "Modifié"),
   "Nouveau")),"")</f>
        <v/>
      </c>
    </row>
    <row r="7376" spans="24:30" x14ac:dyDescent="0.25">
      <c r="X7376" s="8" t="e">
        <f>IF(Final_Sans_VGE[[#This Row],[ppn_z]]="","",IFERROR(
   IF(_xlfn.XLOOKUP(Final_Sans_VGE[[#This Row],[ppn_z]],tbl_Historique_Final[ppn_z],tbl_Historique_Final[date_modif])=Final_Sans_VGE[[#This Row],[date_modif]],
      "Ancien",
      "Modifié"),
   "Nouveau"))</f>
        <v>#VALUE!</v>
      </c>
      <c r="AD7376" s="1" t="str">
        <f>IFERROR(IF(Final_Sans_VGE[[#This Row],[ppn_z]]="","",IFERROR(
   IF(_xlfn.XLOOKUP(Final_Sans_VGE[[#This Row],[ppn_z]],tbl_Historique_Final[[#This Row],[ppn_z]],tbl_Historique_Final[[#This Row],[date_modif]])=Final_Sans_VGE[[#This Row],[date_modif]],
      "Ancien",
      "Modifié"),
   "Nouveau")),"")</f>
        <v/>
      </c>
    </row>
    <row r="7377" spans="24:30" x14ac:dyDescent="0.25">
      <c r="X7377" s="8" t="e">
        <f>IF(Final_Sans_VGE[[#This Row],[ppn_z]]="","",IFERROR(
   IF(_xlfn.XLOOKUP(Final_Sans_VGE[[#This Row],[ppn_z]],tbl_Historique_Final[ppn_z],tbl_Historique_Final[date_modif])=Final_Sans_VGE[[#This Row],[date_modif]],
      "Ancien",
      "Modifié"),
   "Nouveau"))</f>
        <v>#VALUE!</v>
      </c>
      <c r="AD7377" s="1" t="str">
        <f>IFERROR(IF(Final_Sans_VGE[[#This Row],[ppn_z]]="","",IFERROR(
   IF(_xlfn.XLOOKUP(Final_Sans_VGE[[#This Row],[ppn_z]],tbl_Historique_Final[[#This Row],[ppn_z]],tbl_Historique_Final[[#This Row],[date_modif]])=Final_Sans_VGE[[#This Row],[date_modif]],
      "Ancien",
      "Modifié"),
   "Nouveau")),"")</f>
        <v/>
      </c>
    </row>
    <row r="7378" spans="24:30" x14ac:dyDescent="0.25">
      <c r="X7378" s="8" t="e">
        <f>IF(Final_Sans_VGE[[#This Row],[ppn_z]]="","",IFERROR(
   IF(_xlfn.XLOOKUP(Final_Sans_VGE[[#This Row],[ppn_z]],tbl_Historique_Final[ppn_z],tbl_Historique_Final[date_modif])=Final_Sans_VGE[[#This Row],[date_modif]],
      "Ancien",
      "Modifié"),
   "Nouveau"))</f>
        <v>#VALUE!</v>
      </c>
      <c r="AD7378" s="1" t="str">
        <f>IFERROR(IF(Final_Sans_VGE[[#This Row],[ppn_z]]="","",IFERROR(
   IF(_xlfn.XLOOKUP(Final_Sans_VGE[[#This Row],[ppn_z]],tbl_Historique_Final[[#This Row],[ppn_z]],tbl_Historique_Final[[#This Row],[date_modif]])=Final_Sans_VGE[[#This Row],[date_modif]],
      "Ancien",
      "Modifié"),
   "Nouveau")),"")</f>
        <v/>
      </c>
    </row>
    <row r="7379" spans="24:30" x14ac:dyDescent="0.25">
      <c r="X7379" s="8" t="e">
        <f>IF(Final_Sans_VGE[[#This Row],[ppn_z]]="","",IFERROR(
   IF(_xlfn.XLOOKUP(Final_Sans_VGE[[#This Row],[ppn_z]],tbl_Historique_Final[ppn_z],tbl_Historique_Final[date_modif])=Final_Sans_VGE[[#This Row],[date_modif]],
      "Ancien",
      "Modifié"),
   "Nouveau"))</f>
        <v>#VALUE!</v>
      </c>
      <c r="AD7379" s="1" t="str">
        <f>IFERROR(IF(Final_Sans_VGE[[#This Row],[ppn_z]]="","",IFERROR(
   IF(_xlfn.XLOOKUP(Final_Sans_VGE[[#This Row],[ppn_z]],tbl_Historique_Final[[#This Row],[ppn_z]],tbl_Historique_Final[[#This Row],[date_modif]])=Final_Sans_VGE[[#This Row],[date_modif]],
      "Ancien",
      "Modifié"),
   "Nouveau")),"")</f>
        <v/>
      </c>
    </row>
    <row r="7380" spans="24:30" x14ac:dyDescent="0.25">
      <c r="X7380" s="8" t="e">
        <f>IF(Final_Sans_VGE[[#This Row],[ppn_z]]="","",IFERROR(
   IF(_xlfn.XLOOKUP(Final_Sans_VGE[[#This Row],[ppn_z]],tbl_Historique_Final[ppn_z],tbl_Historique_Final[date_modif])=Final_Sans_VGE[[#This Row],[date_modif]],
      "Ancien",
      "Modifié"),
   "Nouveau"))</f>
        <v>#VALUE!</v>
      </c>
      <c r="AD7380" s="1" t="str">
        <f>IFERROR(IF(Final_Sans_VGE[[#This Row],[ppn_z]]="","",IFERROR(
   IF(_xlfn.XLOOKUP(Final_Sans_VGE[[#This Row],[ppn_z]],tbl_Historique_Final[[#This Row],[ppn_z]],tbl_Historique_Final[[#This Row],[date_modif]])=Final_Sans_VGE[[#This Row],[date_modif]],
      "Ancien",
      "Modifié"),
   "Nouveau")),"")</f>
        <v/>
      </c>
    </row>
    <row r="7381" spans="24:30" x14ac:dyDescent="0.25">
      <c r="X7381" s="8" t="e">
        <f>IF(Final_Sans_VGE[[#This Row],[ppn_z]]="","",IFERROR(
   IF(_xlfn.XLOOKUP(Final_Sans_VGE[[#This Row],[ppn_z]],tbl_Historique_Final[ppn_z],tbl_Historique_Final[date_modif])=Final_Sans_VGE[[#This Row],[date_modif]],
      "Ancien",
      "Modifié"),
   "Nouveau"))</f>
        <v>#VALUE!</v>
      </c>
      <c r="AD7381" s="1" t="str">
        <f>IFERROR(IF(Final_Sans_VGE[[#This Row],[ppn_z]]="","",IFERROR(
   IF(_xlfn.XLOOKUP(Final_Sans_VGE[[#This Row],[ppn_z]],tbl_Historique_Final[[#This Row],[ppn_z]],tbl_Historique_Final[[#This Row],[date_modif]])=Final_Sans_VGE[[#This Row],[date_modif]],
      "Ancien",
      "Modifié"),
   "Nouveau")),"")</f>
        <v/>
      </c>
    </row>
    <row r="7382" spans="24:30" x14ac:dyDescent="0.25">
      <c r="X7382" s="8" t="e">
        <f>IF(Final_Sans_VGE[[#This Row],[ppn_z]]="","",IFERROR(
   IF(_xlfn.XLOOKUP(Final_Sans_VGE[[#This Row],[ppn_z]],tbl_Historique_Final[ppn_z],tbl_Historique_Final[date_modif])=Final_Sans_VGE[[#This Row],[date_modif]],
      "Ancien",
      "Modifié"),
   "Nouveau"))</f>
        <v>#VALUE!</v>
      </c>
      <c r="AD7382" s="1" t="str">
        <f>IFERROR(IF(Final_Sans_VGE[[#This Row],[ppn_z]]="","",IFERROR(
   IF(_xlfn.XLOOKUP(Final_Sans_VGE[[#This Row],[ppn_z]],tbl_Historique_Final[[#This Row],[ppn_z]],tbl_Historique_Final[[#This Row],[date_modif]])=Final_Sans_VGE[[#This Row],[date_modif]],
      "Ancien",
      "Modifié"),
   "Nouveau")),"")</f>
        <v/>
      </c>
    </row>
    <row r="7383" spans="24:30" x14ac:dyDescent="0.25">
      <c r="X7383" s="8" t="e">
        <f>IF(Final_Sans_VGE[[#This Row],[ppn_z]]="","",IFERROR(
   IF(_xlfn.XLOOKUP(Final_Sans_VGE[[#This Row],[ppn_z]],tbl_Historique_Final[ppn_z],tbl_Historique_Final[date_modif])=Final_Sans_VGE[[#This Row],[date_modif]],
      "Ancien",
      "Modifié"),
   "Nouveau"))</f>
        <v>#VALUE!</v>
      </c>
      <c r="AD7383" s="1" t="str">
        <f>IFERROR(IF(Final_Sans_VGE[[#This Row],[ppn_z]]="","",IFERROR(
   IF(_xlfn.XLOOKUP(Final_Sans_VGE[[#This Row],[ppn_z]],tbl_Historique_Final[[#This Row],[ppn_z]],tbl_Historique_Final[[#This Row],[date_modif]])=Final_Sans_VGE[[#This Row],[date_modif]],
      "Ancien",
      "Modifié"),
   "Nouveau")),"")</f>
        <v/>
      </c>
    </row>
    <row r="7384" spans="24:30" x14ac:dyDescent="0.25">
      <c r="X7384" s="8" t="e">
        <f>IF(Final_Sans_VGE[[#This Row],[ppn_z]]="","",IFERROR(
   IF(_xlfn.XLOOKUP(Final_Sans_VGE[[#This Row],[ppn_z]],tbl_Historique_Final[ppn_z],tbl_Historique_Final[date_modif])=Final_Sans_VGE[[#This Row],[date_modif]],
      "Ancien",
      "Modifié"),
   "Nouveau"))</f>
        <v>#VALUE!</v>
      </c>
      <c r="AD7384" s="1" t="str">
        <f>IFERROR(IF(Final_Sans_VGE[[#This Row],[ppn_z]]="","",IFERROR(
   IF(_xlfn.XLOOKUP(Final_Sans_VGE[[#This Row],[ppn_z]],tbl_Historique_Final[[#This Row],[ppn_z]],tbl_Historique_Final[[#This Row],[date_modif]])=Final_Sans_VGE[[#This Row],[date_modif]],
      "Ancien",
      "Modifié"),
   "Nouveau")),"")</f>
        <v/>
      </c>
    </row>
    <row r="7385" spans="24:30" x14ac:dyDescent="0.25">
      <c r="X7385" s="8" t="e">
        <f>IF(Final_Sans_VGE[[#This Row],[ppn_z]]="","",IFERROR(
   IF(_xlfn.XLOOKUP(Final_Sans_VGE[[#This Row],[ppn_z]],tbl_Historique_Final[ppn_z],tbl_Historique_Final[date_modif])=Final_Sans_VGE[[#This Row],[date_modif]],
      "Ancien",
      "Modifié"),
   "Nouveau"))</f>
        <v>#VALUE!</v>
      </c>
      <c r="AD7385" s="1" t="str">
        <f>IFERROR(IF(Final_Sans_VGE[[#This Row],[ppn_z]]="","",IFERROR(
   IF(_xlfn.XLOOKUP(Final_Sans_VGE[[#This Row],[ppn_z]],tbl_Historique_Final[[#This Row],[ppn_z]],tbl_Historique_Final[[#This Row],[date_modif]])=Final_Sans_VGE[[#This Row],[date_modif]],
      "Ancien",
      "Modifié"),
   "Nouveau")),"")</f>
        <v/>
      </c>
    </row>
    <row r="7386" spans="24:30" x14ac:dyDescent="0.25">
      <c r="X7386" s="8" t="e">
        <f>IF(Final_Sans_VGE[[#This Row],[ppn_z]]="","",IFERROR(
   IF(_xlfn.XLOOKUP(Final_Sans_VGE[[#This Row],[ppn_z]],tbl_Historique_Final[ppn_z],tbl_Historique_Final[date_modif])=Final_Sans_VGE[[#This Row],[date_modif]],
      "Ancien",
      "Modifié"),
   "Nouveau"))</f>
        <v>#VALUE!</v>
      </c>
      <c r="AD7386" s="1" t="str">
        <f>IFERROR(IF(Final_Sans_VGE[[#This Row],[ppn_z]]="","",IFERROR(
   IF(_xlfn.XLOOKUP(Final_Sans_VGE[[#This Row],[ppn_z]],tbl_Historique_Final[[#This Row],[ppn_z]],tbl_Historique_Final[[#This Row],[date_modif]])=Final_Sans_VGE[[#This Row],[date_modif]],
      "Ancien",
      "Modifié"),
   "Nouveau")),"")</f>
        <v/>
      </c>
    </row>
    <row r="7387" spans="24:30" x14ac:dyDescent="0.25">
      <c r="X7387" s="8" t="e">
        <f>IF(Final_Sans_VGE[[#This Row],[ppn_z]]="","",IFERROR(
   IF(_xlfn.XLOOKUP(Final_Sans_VGE[[#This Row],[ppn_z]],tbl_Historique_Final[ppn_z],tbl_Historique_Final[date_modif])=Final_Sans_VGE[[#This Row],[date_modif]],
      "Ancien",
      "Modifié"),
   "Nouveau"))</f>
        <v>#VALUE!</v>
      </c>
      <c r="AD7387" s="1" t="str">
        <f>IFERROR(IF(Final_Sans_VGE[[#This Row],[ppn_z]]="","",IFERROR(
   IF(_xlfn.XLOOKUP(Final_Sans_VGE[[#This Row],[ppn_z]],tbl_Historique_Final[[#This Row],[ppn_z]],tbl_Historique_Final[[#This Row],[date_modif]])=Final_Sans_VGE[[#This Row],[date_modif]],
      "Ancien",
      "Modifié"),
   "Nouveau")),"")</f>
        <v/>
      </c>
    </row>
    <row r="7388" spans="24:30" x14ac:dyDescent="0.25">
      <c r="X7388" s="8" t="e">
        <f>IF(Final_Sans_VGE[[#This Row],[ppn_z]]="","",IFERROR(
   IF(_xlfn.XLOOKUP(Final_Sans_VGE[[#This Row],[ppn_z]],tbl_Historique_Final[ppn_z],tbl_Historique_Final[date_modif])=Final_Sans_VGE[[#This Row],[date_modif]],
      "Ancien",
      "Modifié"),
   "Nouveau"))</f>
        <v>#VALUE!</v>
      </c>
      <c r="AD7388" s="1" t="str">
        <f>IFERROR(IF(Final_Sans_VGE[[#This Row],[ppn_z]]="","",IFERROR(
   IF(_xlfn.XLOOKUP(Final_Sans_VGE[[#This Row],[ppn_z]],tbl_Historique_Final[[#This Row],[ppn_z]],tbl_Historique_Final[[#This Row],[date_modif]])=Final_Sans_VGE[[#This Row],[date_modif]],
      "Ancien",
      "Modifié"),
   "Nouveau")),"")</f>
        <v/>
      </c>
    </row>
    <row r="7389" spans="24:30" x14ac:dyDescent="0.25">
      <c r="X7389" s="8" t="e">
        <f>IF(Final_Sans_VGE[[#This Row],[ppn_z]]="","",IFERROR(
   IF(_xlfn.XLOOKUP(Final_Sans_VGE[[#This Row],[ppn_z]],tbl_Historique_Final[ppn_z],tbl_Historique_Final[date_modif])=Final_Sans_VGE[[#This Row],[date_modif]],
      "Ancien",
      "Modifié"),
   "Nouveau"))</f>
        <v>#VALUE!</v>
      </c>
      <c r="AD7389" s="1" t="str">
        <f>IFERROR(IF(Final_Sans_VGE[[#This Row],[ppn_z]]="","",IFERROR(
   IF(_xlfn.XLOOKUP(Final_Sans_VGE[[#This Row],[ppn_z]],tbl_Historique_Final[[#This Row],[ppn_z]],tbl_Historique_Final[[#This Row],[date_modif]])=Final_Sans_VGE[[#This Row],[date_modif]],
      "Ancien",
      "Modifié"),
   "Nouveau")),"")</f>
        <v/>
      </c>
    </row>
    <row r="7390" spans="24:30" x14ac:dyDescent="0.25">
      <c r="X7390" s="8" t="e">
        <f>IF(Final_Sans_VGE[[#This Row],[ppn_z]]="","",IFERROR(
   IF(_xlfn.XLOOKUP(Final_Sans_VGE[[#This Row],[ppn_z]],tbl_Historique_Final[ppn_z],tbl_Historique_Final[date_modif])=Final_Sans_VGE[[#This Row],[date_modif]],
      "Ancien",
      "Modifié"),
   "Nouveau"))</f>
        <v>#VALUE!</v>
      </c>
      <c r="AD7390" s="1" t="str">
        <f>IFERROR(IF(Final_Sans_VGE[[#This Row],[ppn_z]]="","",IFERROR(
   IF(_xlfn.XLOOKUP(Final_Sans_VGE[[#This Row],[ppn_z]],tbl_Historique_Final[[#This Row],[ppn_z]],tbl_Historique_Final[[#This Row],[date_modif]])=Final_Sans_VGE[[#This Row],[date_modif]],
      "Ancien",
      "Modifié"),
   "Nouveau")),"")</f>
        <v/>
      </c>
    </row>
    <row r="7391" spans="24:30" x14ac:dyDescent="0.25">
      <c r="X7391" s="8" t="e">
        <f>IF(Final_Sans_VGE[[#This Row],[ppn_z]]="","",IFERROR(
   IF(_xlfn.XLOOKUP(Final_Sans_VGE[[#This Row],[ppn_z]],tbl_Historique_Final[ppn_z],tbl_Historique_Final[date_modif])=Final_Sans_VGE[[#This Row],[date_modif]],
      "Ancien",
      "Modifié"),
   "Nouveau"))</f>
        <v>#VALUE!</v>
      </c>
      <c r="AD7391" s="1" t="str">
        <f>IFERROR(IF(Final_Sans_VGE[[#This Row],[ppn_z]]="","",IFERROR(
   IF(_xlfn.XLOOKUP(Final_Sans_VGE[[#This Row],[ppn_z]],tbl_Historique_Final[[#This Row],[ppn_z]],tbl_Historique_Final[[#This Row],[date_modif]])=Final_Sans_VGE[[#This Row],[date_modif]],
      "Ancien",
      "Modifié"),
   "Nouveau")),"")</f>
        <v/>
      </c>
    </row>
    <row r="7392" spans="24:30" x14ac:dyDescent="0.25">
      <c r="X7392" s="8" t="e">
        <f>IF(Final_Sans_VGE[[#This Row],[ppn_z]]="","",IFERROR(
   IF(_xlfn.XLOOKUP(Final_Sans_VGE[[#This Row],[ppn_z]],tbl_Historique_Final[ppn_z],tbl_Historique_Final[date_modif])=Final_Sans_VGE[[#This Row],[date_modif]],
      "Ancien",
      "Modifié"),
   "Nouveau"))</f>
        <v>#VALUE!</v>
      </c>
      <c r="AD7392" s="1" t="str">
        <f>IFERROR(IF(Final_Sans_VGE[[#This Row],[ppn_z]]="","",IFERROR(
   IF(_xlfn.XLOOKUP(Final_Sans_VGE[[#This Row],[ppn_z]],tbl_Historique_Final[[#This Row],[ppn_z]],tbl_Historique_Final[[#This Row],[date_modif]])=Final_Sans_VGE[[#This Row],[date_modif]],
      "Ancien",
      "Modifié"),
   "Nouveau")),"")</f>
        <v/>
      </c>
    </row>
    <row r="7393" spans="24:30" x14ac:dyDescent="0.25">
      <c r="X7393" s="8" t="e">
        <f>IF(Final_Sans_VGE[[#This Row],[ppn_z]]="","",IFERROR(
   IF(_xlfn.XLOOKUP(Final_Sans_VGE[[#This Row],[ppn_z]],tbl_Historique_Final[ppn_z],tbl_Historique_Final[date_modif])=Final_Sans_VGE[[#This Row],[date_modif]],
      "Ancien",
      "Modifié"),
   "Nouveau"))</f>
        <v>#VALUE!</v>
      </c>
      <c r="AD7393" s="1" t="str">
        <f>IFERROR(IF(Final_Sans_VGE[[#This Row],[ppn_z]]="","",IFERROR(
   IF(_xlfn.XLOOKUP(Final_Sans_VGE[[#This Row],[ppn_z]],tbl_Historique_Final[[#This Row],[ppn_z]],tbl_Historique_Final[[#This Row],[date_modif]])=Final_Sans_VGE[[#This Row],[date_modif]],
      "Ancien",
      "Modifié"),
   "Nouveau")),"")</f>
        <v/>
      </c>
    </row>
    <row r="7394" spans="24:30" x14ac:dyDescent="0.25">
      <c r="X7394" s="8" t="e">
        <f>IF(Final_Sans_VGE[[#This Row],[ppn_z]]="","",IFERROR(
   IF(_xlfn.XLOOKUP(Final_Sans_VGE[[#This Row],[ppn_z]],tbl_Historique_Final[ppn_z],tbl_Historique_Final[date_modif])=Final_Sans_VGE[[#This Row],[date_modif]],
      "Ancien",
      "Modifié"),
   "Nouveau"))</f>
        <v>#VALUE!</v>
      </c>
      <c r="AD7394" s="1" t="str">
        <f>IFERROR(IF(Final_Sans_VGE[[#This Row],[ppn_z]]="","",IFERROR(
   IF(_xlfn.XLOOKUP(Final_Sans_VGE[[#This Row],[ppn_z]],tbl_Historique_Final[[#This Row],[ppn_z]],tbl_Historique_Final[[#This Row],[date_modif]])=Final_Sans_VGE[[#This Row],[date_modif]],
      "Ancien",
      "Modifié"),
   "Nouveau")),"")</f>
        <v/>
      </c>
    </row>
    <row r="7395" spans="24:30" x14ac:dyDescent="0.25">
      <c r="X7395" s="8" t="e">
        <f>IF(Final_Sans_VGE[[#This Row],[ppn_z]]="","",IFERROR(
   IF(_xlfn.XLOOKUP(Final_Sans_VGE[[#This Row],[ppn_z]],tbl_Historique_Final[ppn_z],tbl_Historique_Final[date_modif])=Final_Sans_VGE[[#This Row],[date_modif]],
      "Ancien",
      "Modifié"),
   "Nouveau"))</f>
        <v>#VALUE!</v>
      </c>
      <c r="AD7395" s="1" t="str">
        <f>IFERROR(IF(Final_Sans_VGE[[#This Row],[ppn_z]]="","",IFERROR(
   IF(_xlfn.XLOOKUP(Final_Sans_VGE[[#This Row],[ppn_z]],tbl_Historique_Final[[#This Row],[ppn_z]],tbl_Historique_Final[[#This Row],[date_modif]])=Final_Sans_VGE[[#This Row],[date_modif]],
      "Ancien",
      "Modifié"),
   "Nouveau")),"")</f>
        <v/>
      </c>
    </row>
    <row r="7396" spans="24:30" x14ac:dyDescent="0.25">
      <c r="X7396" s="8" t="e">
        <f>IF(Final_Sans_VGE[[#This Row],[ppn_z]]="","",IFERROR(
   IF(_xlfn.XLOOKUP(Final_Sans_VGE[[#This Row],[ppn_z]],tbl_Historique_Final[ppn_z],tbl_Historique_Final[date_modif])=Final_Sans_VGE[[#This Row],[date_modif]],
      "Ancien",
      "Modifié"),
   "Nouveau"))</f>
        <v>#VALUE!</v>
      </c>
      <c r="AD7396" s="1" t="str">
        <f>IFERROR(IF(Final_Sans_VGE[[#This Row],[ppn_z]]="","",IFERROR(
   IF(_xlfn.XLOOKUP(Final_Sans_VGE[[#This Row],[ppn_z]],tbl_Historique_Final[[#This Row],[ppn_z]],tbl_Historique_Final[[#This Row],[date_modif]])=Final_Sans_VGE[[#This Row],[date_modif]],
      "Ancien",
      "Modifié"),
   "Nouveau")),"")</f>
        <v/>
      </c>
    </row>
    <row r="7397" spans="24:30" x14ac:dyDescent="0.25">
      <c r="X7397" s="8" t="e">
        <f>IF(Final_Sans_VGE[[#This Row],[ppn_z]]="","",IFERROR(
   IF(_xlfn.XLOOKUP(Final_Sans_VGE[[#This Row],[ppn_z]],tbl_Historique_Final[ppn_z],tbl_Historique_Final[date_modif])=Final_Sans_VGE[[#This Row],[date_modif]],
      "Ancien",
      "Modifié"),
   "Nouveau"))</f>
        <v>#VALUE!</v>
      </c>
      <c r="AD7397" s="1" t="str">
        <f>IFERROR(IF(Final_Sans_VGE[[#This Row],[ppn_z]]="","",IFERROR(
   IF(_xlfn.XLOOKUP(Final_Sans_VGE[[#This Row],[ppn_z]],tbl_Historique_Final[[#This Row],[ppn_z]],tbl_Historique_Final[[#This Row],[date_modif]])=Final_Sans_VGE[[#This Row],[date_modif]],
      "Ancien",
      "Modifié"),
   "Nouveau")),"")</f>
        <v/>
      </c>
    </row>
    <row r="7398" spans="24:30" x14ac:dyDescent="0.25">
      <c r="X7398" s="8" t="e">
        <f>IF(Final_Sans_VGE[[#This Row],[ppn_z]]="","",IFERROR(
   IF(_xlfn.XLOOKUP(Final_Sans_VGE[[#This Row],[ppn_z]],tbl_Historique_Final[ppn_z],tbl_Historique_Final[date_modif])=Final_Sans_VGE[[#This Row],[date_modif]],
      "Ancien",
      "Modifié"),
   "Nouveau"))</f>
        <v>#VALUE!</v>
      </c>
      <c r="AD7398" s="1" t="str">
        <f>IFERROR(IF(Final_Sans_VGE[[#This Row],[ppn_z]]="","",IFERROR(
   IF(_xlfn.XLOOKUP(Final_Sans_VGE[[#This Row],[ppn_z]],tbl_Historique_Final[[#This Row],[ppn_z]],tbl_Historique_Final[[#This Row],[date_modif]])=Final_Sans_VGE[[#This Row],[date_modif]],
      "Ancien",
      "Modifié"),
   "Nouveau")),"")</f>
        <v/>
      </c>
    </row>
    <row r="7399" spans="24:30" x14ac:dyDescent="0.25">
      <c r="X7399" s="8" t="e">
        <f>IF(Final_Sans_VGE[[#This Row],[ppn_z]]="","",IFERROR(
   IF(_xlfn.XLOOKUP(Final_Sans_VGE[[#This Row],[ppn_z]],tbl_Historique_Final[ppn_z],tbl_Historique_Final[date_modif])=Final_Sans_VGE[[#This Row],[date_modif]],
      "Ancien",
      "Modifié"),
   "Nouveau"))</f>
        <v>#VALUE!</v>
      </c>
      <c r="AD7399" s="1" t="str">
        <f>IFERROR(IF(Final_Sans_VGE[[#This Row],[ppn_z]]="","",IFERROR(
   IF(_xlfn.XLOOKUP(Final_Sans_VGE[[#This Row],[ppn_z]],tbl_Historique_Final[[#This Row],[ppn_z]],tbl_Historique_Final[[#This Row],[date_modif]])=Final_Sans_VGE[[#This Row],[date_modif]],
      "Ancien",
      "Modifié"),
   "Nouveau")),"")</f>
        <v/>
      </c>
    </row>
    <row r="7400" spans="24:30" x14ac:dyDescent="0.25">
      <c r="X7400" s="8" t="e">
        <f>IF(Final_Sans_VGE[[#This Row],[ppn_z]]="","",IFERROR(
   IF(_xlfn.XLOOKUP(Final_Sans_VGE[[#This Row],[ppn_z]],tbl_Historique_Final[ppn_z],tbl_Historique_Final[date_modif])=Final_Sans_VGE[[#This Row],[date_modif]],
      "Ancien",
      "Modifié"),
   "Nouveau"))</f>
        <v>#VALUE!</v>
      </c>
      <c r="AD7400" s="1" t="str">
        <f>IFERROR(IF(Final_Sans_VGE[[#This Row],[ppn_z]]="","",IFERROR(
   IF(_xlfn.XLOOKUP(Final_Sans_VGE[[#This Row],[ppn_z]],tbl_Historique_Final[[#This Row],[ppn_z]],tbl_Historique_Final[[#This Row],[date_modif]])=Final_Sans_VGE[[#This Row],[date_modif]],
      "Ancien",
      "Modifié"),
   "Nouveau")),"")</f>
        <v/>
      </c>
    </row>
    <row r="7401" spans="24:30" x14ac:dyDescent="0.25">
      <c r="X7401" s="8" t="e">
        <f>IF(Final_Sans_VGE[[#This Row],[ppn_z]]="","",IFERROR(
   IF(_xlfn.XLOOKUP(Final_Sans_VGE[[#This Row],[ppn_z]],tbl_Historique_Final[ppn_z],tbl_Historique_Final[date_modif])=Final_Sans_VGE[[#This Row],[date_modif]],
      "Ancien",
      "Modifié"),
   "Nouveau"))</f>
        <v>#VALUE!</v>
      </c>
      <c r="AD7401" s="1" t="str">
        <f>IFERROR(IF(Final_Sans_VGE[[#This Row],[ppn_z]]="","",IFERROR(
   IF(_xlfn.XLOOKUP(Final_Sans_VGE[[#This Row],[ppn_z]],tbl_Historique_Final[[#This Row],[ppn_z]],tbl_Historique_Final[[#This Row],[date_modif]])=Final_Sans_VGE[[#This Row],[date_modif]],
      "Ancien",
      "Modifié"),
   "Nouveau")),"")</f>
        <v/>
      </c>
    </row>
    <row r="7402" spans="24:30" x14ac:dyDescent="0.25">
      <c r="X7402" s="8" t="e">
        <f>IF(Final_Sans_VGE[[#This Row],[ppn_z]]="","",IFERROR(
   IF(_xlfn.XLOOKUP(Final_Sans_VGE[[#This Row],[ppn_z]],tbl_Historique_Final[ppn_z],tbl_Historique_Final[date_modif])=Final_Sans_VGE[[#This Row],[date_modif]],
      "Ancien",
      "Modifié"),
   "Nouveau"))</f>
        <v>#VALUE!</v>
      </c>
      <c r="AD7402" s="1" t="str">
        <f>IFERROR(IF(Final_Sans_VGE[[#This Row],[ppn_z]]="","",IFERROR(
   IF(_xlfn.XLOOKUP(Final_Sans_VGE[[#This Row],[ppn_z]],tbl_Historique_Final[[#This Row],[ppn_z]],tbl_Historique_Final[[#This Row],[date_modif]])=Final_Sans_VGE[[#This Row],[date_modif]],
      "Ancien",
      "Modifié"),
   "Nouveau")),"")</f>
        <v/>
      </c>
    </row>
    <row r="7403" spans="24:30" x14ac:dyDescent="0.25">
      <c r="X7403" s="8" t="e">
        <f>IF(Final_Sans_VGE[[#This Row],[ppn_z]]="","",IFERROR(
   IF(_xlfn.XLOOKUP(Final_Sans_VGE[[#This Row],[ppn_z]],tbl_Historique_Final[ppn_z],tbl_Historique_Final[date_modif])=Final_Sans_VGE[[#This Row],[date_modif]],
      "Ancien",
      "Modifié"),
   "Nouveau"))</f>
        <v>#VALUE!</v>
      </c>
      <c r="AD7403" s="1" t="str">
        <f>IFERROR(IF(Final_Sans_VGE[[#This Row],[ppn_z]]="","",IFERROR(
   IF(_xlfn.XLOOKUP(Final_Sans_VGE[[#This Row],[ppn_z]],tbl_Historique_Final[[#This Row],[ppn_z]],tbl_Historique_Final[[#This Row],[date_modif]])=Final_Sans_VGE[[#This Row],[date_modif]],
      "Ancien",
      "Modifié"),
   "Nouveau")),"")</f>
        <v/>
      </c>
    </row>
    <row r="7404" spans="24:30" x14ac:dyDescent="0.25">
      <c r="X7404" s="8" t="e">
        <f>IF(Final_Sans_VGE[[#This Row],[ppn_z]]="","",IFERROR(
   IF(_xlfn.XLOOKUP(Final_Sans_VGE[[#This Row],[ppn_z]],tbl_Historique_Final[ppn_z],tbl_Historique_Final[date_modif])=Final_Sans_VGE[[#This Row],[date_modif]],
      "Ancien",
      "Modifié"),
   "Nouveau"))</f>
        <v>#VALUE!</v>
      </c>
      <c r="AD7404" s="1" t="str">
        <f>IFERROR(IF(Final_Sans_VGE[[#This Row],[ppn_z]]="","",IFERROR(
   IF(_xlfn.XLOOKUP(Final_Sans_VGE[[#This Row],[ppn_z]],tbl_Historique_Final[[#This Row],[ppn_z]],tbl_Historique_Final[[#This Row],[date_modif]])=Final_Sans_VGE[[#This Row],[date_modif]],
      "Ancien",
      "Modifié"),
   "Nouveau")),"")</f>
        <v/>
      </c>
    </row>
    <row r="7405" spans="24:30" x14ac:dyDescent="0.25">
      <c r="X7405" s="8" t="e">
        <f>IF(Final_Sans_VGE[[#This Row],[ppn_z]]="","",IFERROR(
   IF(_xlfn.XLOOKUP(Final_Sans_VGE[[#This Row],[ppn_z]],tbl_Historique_Final[ppn_z],tbl_Historique_Final[date_modif])=Final_Sans_VGE[[#This Row],[date_modif]],
      "Ancien",
      "Modifié"),
   "Nouveau"))</f>
        <v>#VALUE!</v>
      </c>
      <c r="AD7405" s="1" t="str">
        <f>IFERROR(IF(Final_Sans_VGE[[#This Row],[ppn_z]]="","",IFERROR(
   IF(_xlfn.XLOOKUP(Final_Sans_VGE[[#This Row],[ppn_z]],tbl_Historique_Final[[#This Row],[ppn_z]],tbl_Historique_Final[[#This Row],[date_modif]])=Final_Sans_VGE[[#This Row],[date_modif]],
      "Ancien",
      "Modifié"),
   "Nouveau")),"")</f>
        <v/>
      </c>
    </row>
    <row r="7406" spans="24:30" x14ac:dyDescent="0.25">
      <c r="X7406" s="8" t="e">
        <f>IF(Final_Sans_VGE[[#This Row],[ppn_z]]="","",IFERROR(
   IF(_xlfn.XLOOKUP(Final_Sans_VGE[[#This Row],[ppn_z]],tbl_Historique_Final[ppn_z],tbl_Historique_Final[date_modif])=Final_Sans_VGE[[#This Row],[date_modif]],
      "Ancien",
      "Modifié"),
   "Nouveau"))</f>
        <v>#VALUE!</v>
      </c>
      <c r="AD7406" s="1" t="str">
        <f>IFERROR(IF(Final_Sans_VGE[[#This Row],[ppn_z]]="","",IFERROR(
   IF(_xlfn.XLOOKUP(Final_Sans_VGE[[#This Row],[ppn_z]],tbl_Historique_Final[[#This Row],[ppn_z]],tbl_Historique_Final[[#This Row],[date_modif]])=Final_Sans_VGE[[#This Row],[date_modif]],
      "Ancien",
      "Modifié"),
   "Nouveau")),"")</f>
        <v/>
      </c>
    </row>
    <row r="7407" spans="24:30" x14ac:dyDescent="0.25">
      <c r="X7407" s="8" t="e">
        <f>IF(Final_Sans_VGE[[#This Row],[ppn_z]]="","",IFERROR(
   IF(_xlfn.XLOOKUP(Final_Sans_VGE[[#This Row],[ppn_z]],tbl_Historique_Final[ppn_z],tbl_Historique_Final[date_modif])=Final_Sans_VGE[[#This Row],[date_modif]],
      "Ancien",
      "Modifié"),
   "Nouveau"))</f>
        <v>#VALUE!</v>
      </c>
      <c r="AD7407" s="1" t="str">
        <f>IFERROR(IF(Final_Sans_VGE[[#This Row],[ppn_z]]="","",IFERROR(
   IF(_xlfn.XLOOKUP(Final_Sans_VGE[[#This Row],[ppn_z]],tbl_Historique_Final[[#This Row],[ppn_z]],tbl_Historique_Final[[#This Row],[date_modif]])=Final_Sans_VGE[[#This Row],[date_modif]],
      "Ancien",
      "Modifié"),
   "Nouveau")),"")</f>
        <v/>
      </c>
    </row>
    <row r="7408" spans="24:30" x14ac:dyDescent="0.25">
      <c r="X7408" s="8" t="e">
        <f>IF(Final_Sans_VGE[[#This Row],[ppn_z]]="","",IFERROR(
   IF(_xlfn.XLOOKUP(Final_Sans_VGE[[#This Row],[ppn_z]],tbl_Historique_Final[ppn_z],tbl_Historique_Final[date_modif])=Final_Sans_VGE[[#This Row],[date_modif]],
      "Ancien",
      "Modifié"),
   "Nouveau"))</f>
        <v>#VALUE!</v>
      </c>
      <c r="AD7408" s="1" t="str">
        <f>IFERROR(IF(Final_Sans_VGE[[#This Row],[ppn_z]]="","",IFERROR(
   IF(_xlfn.XLOOKUP(Final_Sans_VGE[[#This Row],[ppn_z]],tbl_Historique_Final[[#This Row],[ppn_z]],tbl_Historique_Final[[#This Row],[date_modif]])=Final_Sans_VGE[[#This Row],[date_modif]],
      "Ancien",
      "Modifié"),
   "Nouveau")),"")</f>
        <v/>
      </c>
    </row>
    <row r="7409" spans="24:30" x14ac:dyDescent="0.25">
      <c r="X7409" s="8" t="e">
        <f>IF(Final_Sans_VGE[[#This Row],[ppn_z]]="","",IFERROR(
   IF(_xlfn.XLOOKUP(Final_Sans_VGE[[#This Row],[ppn_z]],tbl_Historique_Final[ppn_z],tbl_Historique_Final[date_modif])=Final_Sans_VGE[[#This Row],[date_modif]],
      "Ancien",
      "Modifié"),
   "Nouveau"))</f>
        <v>#VALUE!</v>
      </c>
      <c r="AD7409" s="1" t="str">
        <f>IFERROR(IF(Final_Sans_VGE[[#This Row],[ppn_z]]="","",IFERROR(
   IF(_xlfn.XLOOKUP(Final_Sans_VGE[[#This Row],[ppn_z]],tbl_Historique_Final[[#This Row],[ppn_z]],tbl_Historique_Final[[#This Row],[date_modif]])=Final_Sans_VGE[[#This Row],[date_modif]],
      "Ancien",
      "Modifié"),
   "Nouveau")),"")</f>
        <v/>
      </c>
    </row>
    <row r="7410" spans="24:30" x14ac:dyDescent="0.25">
      <c r="X7410" s="8" t="e">
        <f>IF(Final_Sans_VGE[[#This Row],[ppn_z]]="","",IFERROR(
   IF(_xlfn.XLOOKUP(Final_Sans_VGE[[#This Row],[ppn_z]],tbl_Historique_Final[ppn_z],tbl_Historique_Final[date_modif])=Final_Sans_VGE[[#This Row],[date_modif]],
      "Ancien",
      "Modifié"),
   "Nouveau"))</f>
        <v>#VALUE!</v>
      </c>
      <c r="AD7410" s="1" t="str">
        <f>IFERROR(IF(Final_Sans_VGE[[#This Row],[ppn_z]]="","",IFERROR(
   IF(_xlfn.XLOOKUP(Final_Sans_VGE[[#This Row],[ppn_z]],tbl_Historique_Final[[#This Row],[ppn_z]],tbl_Historique_Final[[#This Row],[date_modif]])=Final_Sans_VGE[[#This Row],[date_modif]],
      "Ancien",
      "Modifié"),
   "Nouveau")),"")</f>
        <v/>
      </c>
    </row>
    <row r="7411" spans="24:30" x14ac:dyDescent="0.25">
      <c r="X7411" s="8" t="e">
        <f>IF(Final_Sans_VGE[[#This Row],[ppn_z]]="","",IFERROR(
   IF(_xlfn.XLOOKUP(Final_Sans_VGE[[#This Row],[ppn_z]],tbl_Historique_Final[ppn_z],tbl_Historique_Final[date_modif])=Final_Sans_VGE[[#This Row],[date_modif]],
      "Ancien",
      "Modifié"),
   "Nouveau"))</f>
        <v>#VALUE!</v>
      </c>
      <c r="AD7411" s="1" t="str">
        <f>IFERROR(IF(Final_Sans_VGE[[#This Row],[ppn_z]]="","",IFERROR(
   IF(_xlfn.XLOOKUP(Final_Sans_VGE[[#This Row],[ppn_z]],tbl_Historique_Final[[#This Row],[ppn_z]],tbl_Historique_Final[[#This Row],[date_modif]])=Final_Sans_VGE[[#This Row],[date_modif]],
      "Ancien",
      "Modifié"),
   "Nouveau")),"")</f>
        <v/>
      </c>
    </row>
    <row r="7412" spans="24:30" x14ac:dyDescent="0.25">
      <c r="X7412" s="8" t="e">
        <f>IF(Final_Sans_VGE[[#This Row],[ppn_z]]="","",IFERROR(
   IF(_xlfn.XLOOKUP(Final_Sans_VGE[[#This Row],[ppn_z]],tbl_Historique_Final[ppn_z],tbl_Historique_Final[date_modif])=Final_Sans_VGE[[#This Row],[date_modif]],
      "Ancien",
      "Modifié"),
   "Nouveau"))</f>
        <v>#VALUE!</v>
      </c>
      <c r="AD7412" s="1" t="str">
        <f>IFERROR(IF(Final_Sans_VGE[[#This Row],[ppn_z]]="","",IFERROR(
   IF(_xlfn.XLOOKUP(Final_Sans_VGE[[#This Row],[ppn_z]],tbl_Historique_Final[[#This Row],[ppn_z]],tbl_Historique_Final[[#This Row],[date_modif]])=Final_Sans_VGE[[#This Row],[date_modif]],
      "Ancien",
      "Modifié"),
   "Nouveau")),"")</f>
        <v/>
      </c>
    </row>
    <row r="7413" spans="24:30" x14ac:dyDescent="0.25">
      <c r="X7413" s="8" t="e">
        <f>IF(Final_Sans_VGE[[#This Row],[ppn_z]]="","",IFERROR(
   IF(_xlfn.XLOOKUP(Final_Sans_VGE[[#This Row],[ppn_z]],tbl_Historique_Final[ppn_z],tbl_Historique_Final[date_modif])=Final_Sans_VGE[[#This Row],[date_modif]],
      "Ancien",
      "Modifié"),
   "Nouveau"))</f>
        <v>#VALUE!</v>
      </c>
      <c r="AD7413" s="1" t="str">
        <f>IFERROR(IF(Final_Sans_VGE[[#This Row],[ppn_z]]="","",IFERROR(
   IF(_xlfn.XLOOKUP(Final_Sans_VGE[[#This Row],[ppn_z]],tbl_Historique_Final[[#This Row],[ppn_z]],tbl_Historique_Final[[#This Row],[date_modif]])=Final_Sans_VGE[[#This Row],[date_modif]],
      "Ancien",
      "Modifié"),
   "Nouveau")),"")</f>
        <v/>
      </c>
    </row>
    <row r="7414" spans="24:30" x14ac:dyDescent="0.25">
      <c r="X7414" s="8" t="e">
        <f>IF(Final_Sans_VGE[[#This Row],[ppn_z]]="","",IFERROR(
   IF(_xlfn.XLOOKUP(Final_Sans_VGE[[#This Row],[ppn_z]],tbl_Historique_Final[ppn_z],tbl_Historique_Final[date_modif])=Final_Sans_VGE[[#This Row],[date_modif]],
      "Ancien",
      "Modifié"),
   "Nouveau"))</f>
        <v>#VALUE!</v>
      </c>
      <c r="AD7414" s="1" t="str">
        <f>IFERROR(IF(Final_Sans_VGE[[#This Row],[ppn_z]]="","",IFERROR(
   IF(_xlfn.XLOOKUP(Final_Sans_VGE[[#This Row],[ppn_z]],tbl_Historique_Final[[#This Row],[ppn_z]],tbl_Historique_Final[[#This Row],[date_modif]])=Final_Sans_VGE[[#This Row],[date_modif]],
      "Ancien",
      "Modifié"),
   "Nouveau")),"")</f>
        <v/>
      </c>
    </row>
    <row r="7415" spans="24:30" x14ac:dyDescent="0.25">
      <c r="X7415" s="8" t="e">
        <f>IF(Final_Sans_VGE[[#This Row],[ppn_z]]="","",IFERROR(
   IF(_xlfn.XLOOKUP(Final_Sans_VGE[[#This Row],[ppn_z]],tbl_Historique_Final[ppn_z],tbl_Historique_Final[date_modif])=Final_Sans_VGE[[#This Row],[date_modif]],
      "Ancien",
      "Modifié"),
   "Nouveau"))</f>
        <v>#VALUE!</v>
      </c>
      <c r="AD7415" s="1" t="str">
        <f>IFERROR(IF(Final_Sans_VGE[[#This Row],[ppn_z]]="","",IFERROR(
   IF(_xlfn.XLOOKUP(Final_Sans_VGE[[#This Row],[ppn_z]],tbl_Historique_Final[[#This Row],[ppn_z]],tbl_Historique_Final[[#This Row],[date_modif]])=Final_Sans_VGE[[#This Row],[date_modif]],
      "Ancien",
      "Modifié"),
   "Nouveau")),"")</f>
        <v/>
      </c>
    </row>
    <row r="7416" spans="24:30" x14ac:dyDescent="0.25">
      <c r="X7416" s="8" t="e">
        <f>IF(Final_Sans_VGE[[#This Row],[ppn_z]]="","",IFERROR(
   IF(_xlfn.XLOOKUP(Final_Sans_VGE[[#This Row],[ppn_z]],tbl_Historique_Final[ppn_z],tbl_Historique_Final[date_modif])=Final_Sans_VGE[[#This Row],[date_modif]],
      "Ancien",
      "Modifié"),
   "Nouveau"))</f>
        <v>#VALUE!</v>
      </c>
      <c r="AD7416" s="1" t="str">
        <f>IFERROR(IF(Final_Sans_VGE[[#This Row],[ppn_z]]="","",IFERROR(
   IF(_xlfn.XLOOKUP(Final_Sans_VGE[[#This Row],[ppn_z]],tbl_Historique_Final[[#This Row],[ppn_z]],tbl_Historique_Final[[#This Row],[date_modif]])=Final_Sans_VGE[[#This Row],[date_modif]],
      "Ancien",
      "Modifié"),
   "Nouveau")),"")</f>
        <v/>
      </c>
    </row>
    <row r="7417" spans="24:30" x14ac:dyDescent="0.25">
      <c r="X7417" s="8" t="e">
        <f>IF(Final_Sans_VGE[[#This Row],[ppn_z]]="","",IFERROR(
   IF(_xlfn.XLOOKUP(Final_Sans_VGE[[#This Row],[ppn_z]],tbl_Historique_Final[ppn_z],tbl_Historique_Final[date_modif])=Final_Sans_VGE[[#This Row],[date_modif]],
      "Ancien",
      "Modifié"),
   "Nouveau"))</f>
        <v>#VALUE!</v>
      </c>
      <c r="AD7417" s="1" t="str">
        <f>IFERROR(IF(Final_Sans_VGE[[#This Row],[ppn_z]]="","",IFERROR(
   IF(_xlfn.XLOOKUP(Final_Sans_VGE[[#This Row],[ppn_z]],tbl_Historique_Final[[#This Row],[ppn_z]],tbl_Historique_Final[[#This Row],[date_modif]])=Final_Sans_VGE[[#This Row],[date_modif]],
      "Ancien",
      "Modifié"),
   "Nouveau")),"")</f>
        <v/>
      </c>
    </row>
    <row r="7418" spans="24:30" x14ac:dyDescent="0.25">
      <c r="X7418" s="8" t="e">
        <f>IF(Final_Sans_VGE[[#This Row],[ppn_z]]="","",IFERROR(
   IF(_xlfn.XLOOKUP(Final_Sans_VGE[[#This Row],[ppn_z]],tbl_Historique_Final[ppn_z],tbl_Historique_Final[date_modif])=Final_Sans_VGE[[#This Row],[date_modif]],
      "Ancien",
      "Modifié"),
   "Nouveau"))</f>
        <v>#VALUE!</v>
      </c>
      <c r="AD7418" s="1" t="str">
        <f>IFERROR(IF(Final_Sans_VGE[[#This Row],[ppn_z]]="","",IFERROR(
   IF(_xlfn.XLOOKUP(Final_Sans_VGE[[#This Row],[ppn_z]],tbl_Historique_Final[[#This Row],[ppn_z]],tbl_Historique_Final[[#This Row],[date_modif]])=Final_Sans_VGE[[#This Row],[date_modif]],
      "Ancien",
      "Modifié"),
   "Nouveau")),"")</f>
        <v/>
      </c>
    </row>
    <row r="7419" spans="24:30" x14ac:dyDescent="0.25">
      <c r="X7419" s="8" t="e">
        <f>IF(Final_Sans_VGE[[#This Row],[ppn_z]]="","",IFERROR(
   IF(_xlfn.XLOOKUP(Final_Sans_VGE[[#This Row],[ppn_z]],tbl_Historique_Final[ppn_z],tbl_Historique_Final[date_modif])=Final_Sans_VGE[[#This Row],[date_modif]],
      "Ancien",
      "Modifié"),
   "Nouveau"))</f>
        <v>#VALUE!</v>
      </c>
      <c r="AD7419" s="1" t="str">
        <f>IFERROR(IF(Final_Sans_VGE[[#This Row],[ppn_z]]="","",IFERROR(
   IF(_xlfn.XLOOKUP(Final_Sans_VGE[[#This Row],[ppn_z]],tbl_Historique_Final[[#This Row],[ppn_z]],tbl_Historique_Final[[#This Row],[date_modif]])=Final_Sans_VGE[[#This Row],[date_modif]],
      "Ancien",
      "Modifié"),
   "Nouveau")),"")</f>
        <v/>
      </c>
    </row>
    <row r="7420" spans="24:30" x14ac:dyDescent="0.25">
      <c r="X7420" s="8" t="e">
        <f>IF(Final_Sans_VGE[[#This Row],[ppn_z]]="","",IFERROR(
   IF(_xlfn.XLOOKUP(Final_Sans_VGE[[#This Row],[ppn_z]],tbl_Historique_Final[ppn_z],tbl_Historique_Final[date_modif])=Final_Sans_VGE[[#This Row],[date_modif]],
      "Ancien",
      "Modifié"),
   "Nouveau"))</f>
        <v>#VALUE!</v>
      </c>
      <c r="AD7420" s="1" t="str">
        <f>IFERROR(IF(Final_Sans_VGE[[#This Row],[ppn_z]]="","",IFERROR(
   IF(_xlfn.XLOOKUP(Final_Sans_VGE[[#This Row],[ppn_z]],tbl_Historique_Final[[#This Row],[ppn_z]],tbl_Historique_Final[[#This Row],[date_modif]])=Final_Sans_VGE[[#This Row],[date_modif]],
      "Ancien",
      "Modifié"),
   "Nouveau")),"")</f>
        <v/>
      </c>
    </row>
    <row r="7421" spans="24:30" x14ac:dyDescent="0.25">
      <c r="X7421" s="8" t="e">
        <f>IF(Final_Sans_VGE[[#This Row],[ppn_z]]="","",IFERROR(
   IF(_xlfn.XLOOKUP(Final_Sans_VGE[[#This Row],[ppn_z]],tbl_Historique_Final[ppn_z],tbl_Historique_Final[date_modif])=Final_Sans_VGE[[#This Row],[date_modif]],
      "Ancien",
      "Modifié"),
   "Nouveau"))</f>
        <v>#VALUE!</v>
      </c>
      <c r="AD7421" s="1" t="str">
        <f>IFERROR(IF(Final_Sans_VGE[[#This Row],[ppn_z]]="","",IFERROR(
   IF(_xlfn.XLOOKUP(Final_Sans_VGE[[#This Row],[ppn_z]],tbl_Historique_Final[[#This Row],[ppn_z]],tbl_Historique_Final[[#This Row],[date_modif]])=Final_Sans_VGE[[#This Row],[date_modif]],
      "Ancien",
      "Modifié"),
   "Nouveau")),"")</f>
        <v/>
      </c>
    </row>
    <row r="7422" spans="24:30" x14ac:dyDescent="0.25">
      <c r="X7422" s="8" t="e">
        <f>IF(Final_Sans_VGE[[#This Row],[ppn_z]]="","",IFERROR(
   IF(_xlfn.XLOOKUP(Final_Sans_VGE[[#This Row],[ppn_z]],tbl_Historique_Final[ppn_z],tbl_Historique_Final[date_modif])=Final_Sans_VGE[[#This Row],[date_modif]],
      "Ancien",
      "Modifié"),
   "Nouveau"))</f>
        <v>#VALUE!</v>
      </c>
      <c r="AD7422" s="1" t="str">
        <f>IFERROR(IF(Final_Sans_VGE[[#This Row],[ppn_z]]="","",IFERROR(
   IF(_xlfn.XLOOKUP(Final_Sans_VGE[[#This Row],[ppn_z]],tbl_Historique_Final[[#This Row],[ppn_z]],tbl_Historique_Final[[#This Row],[date_modif]])=Final_Sans_VGE[[#This Row],[date_modif]],
      "Ancien",
      "Modifié"),
   "Nouveau")),"")</f>
        <v/>
      </c>
    </row>
    <row r="7423" spans="24:30" x14ac:dyDescent="0.25">
      <c r="X7423" s="8" t="e">
        <f>IF(Final_Sans_VGE[[#This Row],[ppn_z]]="","",IFERROR(
   IF(_xlfn.XLOOKUP(Final_Sans_VGE[[#This Row],[ppn_z]],tbl_Historique_Final[ppn_z],tbl_Historique_Final[date_modif])=Final_Sans_VGE[[#This Row],[date_modif]],
      "Ancien",
      "Modifié"),
   "Nouveau"))</f>
        <v>#VALUE!</v>
      </c>
      <c r="AD7423" s="1" t="str">
        <f>IFERROR(IF(Final_Sans_VGE[[#This Row],[ppn_z]]="","",IFERROR(
   IF(_xlfn.XLOOKUP(Final_Sans_VGE[[#This Row],[ppn_z]],tbl_Historique_Final[[#This Row],[ppn_z]],tbl_Historique_Final[[#This Row],[date_modif]])=Final_Sans_VGE[[#This Row],[date_modif]],
      "Ancien",
      "Modifié"),
   "Nouveau")),"")</f>
        <v/>
      </c>
    </row>
    <row r="7424" spans="24:30" x14ac:dyDescent="0.25">
      <c r="X7424" s="8" t="e">
        <f>IF(Final_Sans_VGE[[#This Row],[ppn_z]]="","",IFERROR(
   IF(_xlfn.XLOOKUP(Final_Sans_VGE[[#This Row],[ppn_z]],tbl_Historique_Final[ppn_z],tbl_Historique_Final[date_modif])=Final_Sans_VGE[[#This Row],[date_modif]],
      "Ancien",
      "Modifié"),
   "Nouveau"))</f>
        <v>#VALUE!</v>
      </c>
      <c r="AD7424" s="1" t="str">
        <f>IFERROR(IF(Final_Sans_VGE[[#This Row],[ppn_z]]="","",IFERROR(
   IF(_xlfn.XLOOKUP(Final_Sans_VGE[[#This Row],[ppn_z]],tbl_Historique_Final[[#This Row],[ppn_z]],tbl_Historique_Final[[#This Row],[date_modif]])=Final_Sans_VGE[[#This Row],[date_modif]],
      "Ancien",
      "Modifié"),
   "Nouveau")),"")</f>
        <v/>
      </c>
    </row>
    <row r="7425" spans="24:30" x14ac:dyDescent="0.25">
      <c r="X7425" s="8" t="e">
        <f>IF(Final_Sans_VGE[[#This Row],[ppn_z]]="","",IFERROR(
   IF(_xlfn.XLOOKUP(Final_Sans_VGE[[#This Row],[ppn_z]],tbl_Historique_Final[ppn_z],tbl_Historique_Final[date_modif])=Final_Sans_VGE[[#This Row],[date_modif]],
      "Ancien",
      "Modifié"),
   "Nouveau"))</f>
        <v>#VALUE!</v>
      </c>
      <c r="AD7425" s="1" t="str">
        <f>IFERROR(IF(Final_Sans_VGE[[#This Row],[ppn_z]]="","",IFERROR(
   IF(_xlfn.XLOOKUP(Final_Sans_VGE[[#This Row],[ppn_z]],tbl_Historique_Final[[#This Row],[ppn_z]],tbl_Historique_Final[[#This Row],[date_modif]])=Final_Sans_VGE[[#This Row],[date_modif]],
      "Ancien",
      "Modifié"),
   "Nouveau")),"")</f>
        <v/>
      </c>
    </row>
    <row r="7426" spans="24:30" x14ac:dyDescent="0.25">
      <c r="X7426" s="8" t="e">
        <f>IF(Final_Sans_VGE[[#This Row],[ppn_z]]="","",IFERROR(
   IF(_xlfn.XLOOKUP(Final_Sans_VGE[[#This Row],[ppn_z]],tbl_Historique_Final[ppn_z],tbl_Historique_Final[date_modif])=Final_Sans_VGE[[#This Row],[date_modif]],
      "Ancien",
      "Modifié"),
   "Nouveau"))</f>
        <v>#VALUE!</v>
      </c>
      <c r="AD7426" s="1" t="str">
        <f>IFERROR(IF(Final_Sans_VGE[[#This Row],[ppn_z]]="","",IFERROR(
   IF(_xlfn.XLOOKUP(Final_Sans_VGE[[#This Row],[ppn_z]],tbl_Historique_Final[[#This Row],[ppn_z]],tbl_Historique_Final[[#This Row],[date_modif]])=Final_Sans_VGE[[#This Row],[date_modif]],
      "Ancien",
      "Modifié"),
   "Nouveau")),"")</f>
        <v/>
      </c>
    </row>
    <row r="7427" spans="24:30" x14ac:dyDescent="0.25">
      <c r="X7427" s="8" t="e">
        <f>IF(Final_Sans_VGE[[#This Row],[ppn_z]]="","",IFERROR(
   IF(_xlfn.XLOOKUP(Final_Sans_VGE[[#This Row],[ppn_z]],tbl_Historique_Final[ppn_z],tbl_Historique_Final[date_modif])=Final_Sans_VGE[[#This Row],[date_modif]],
      "Ancien",
      "Modifié"),
   "Nouveau"))</f>
        <v>#VALUE!</v>
      </c>
      <c r="AD7427" s="1" t="str">
        <f>IFERROR(IF(Final_Sans_VGE[[#This Row],[ppn_z]]="","",IFERROR(
   IF(_xlfn.XLOOKUP(Final_Sans_VGE[[#This Row],[ppn_z]],tbl_Historique_Final[[#This Row],[ppn_z]],tbl_Historique_Final[[#This Row],[date_modif]])=Final_Sans_VGE[[#This Row],[date_modif]],
      "Ancien",
      "Modifié"),
   "Nouveau")),"")</f>
        <v/>
      </c>
    </row>
    <row r="7428" spans="24:30" x14ac:dyDescent="0.25">
      <c r="X7428" s="8" t="e">
        <f>IF(Final_Sans_VGE[[#This Row],[ppn_z]]="","",IFERROR(
   IF(_xlfn.XLOOKUP(Final_Sans_VGE[[#This Row],[ppn_z]],tbl_Historique_Final[ppn_z],tbl_Historique_Final[date_modif])=Final_Sans_VGE[[#This Row],[date_modif]],
      "Ancien",
      "Modifié"),
   "Nouveau"))</f>
        <v>#VALUE!</v>
      </c>
      <c r="AD7428" s="1" t="str">
        <f>IFERROR(IF(Final_Sans_VGE[[#This Row],[ppn_z]]="","",IFERROR(
   IF(_xlfn.XLOOKUP(Final_Sans_VGE[[#This Row],[ppn_z]],tbl_Historique_Final[[#This Row],[ppn_z]],tbl_Historique_Final[[#This Row],[date_modif]])=Final_Sans_VGE[[#This Row],[date_modif]],
      "Ancien",
      "Modifié"),
   "Nouveau")),"")</f>
        <v/>
      </c>
    </row>
    <row r="7429" spans="24:30" x14ac:dyDescent="0.25">
      <c r="X7429" s="8" t="e">
        <f>IF(Final_Sans_VGE[[#This Row],[ppn_z]]="","",IFERROR(
   IF(_xlfn.XLOOKUP(Final_Sans_VGE[[#This Row],[ppn_z]],tbl_Historique_Final[ppn_z],tbl_Historique_Final[date_modif])=Final_Sans_VGE[[#This Row],[date_modif]],
      "Ancien",
      "Modifié"),
   "Nouveau"))</f>
        <v>#VALUE!</v>
      </c>
      <c r="AD7429" s="1" t="str">
        <f>IFERROR(IF(Final_Sans_VGE[[#This Row],[ppn_z]]="","",IFERROR(
   IF(_xlfn.XLOOKUP(Final_Sans_VGE[[#This Row],[ppn_z]],tbl_Historique_Final[[#This Row],[ppn_z]],tbl_Historique_Final[[#This Row],[date_modif]])=Final_Sans_VGE[[#This Row],[date_modif]],
      "Ancien",
      "Modifié"),
   "Nouveau")),"")</f>
        <v/>
      </c>
    </row>
    <row r="7430" spans="24:30" x14ac:dyDescent="0.25">
      <c r="X7430" s="8" t="e">
        <f>IF(Final_Sans_VGE[[#This Row],[ppn_z]]="","",IFERROR(
   IF(_xlfn.XLOOKUP(Final_Sans_VGE[[#This Row],[ppn_z]],tbl_Historique_Final[ppn_z],tbl_Historique_Final[date_modif])=Final_Sans_VGE[[#This Row],[date_modif]],
      "Ancien",
      "Modifié"),
   "Nouveau"))</f>
        <v>#VALUE!</v>
      </c>
      <c r="AD7430" s="1" t="str">
        <f>IFERROR(IF(Final_Sans_VGE[[#This Row],[ppn_z]]="","",IFERROR(
   IF(_xlfn.XLOOKUP(Final_Sans_VGE[[#This Row],[ppn_z]],tbl_Historique_Final[[#This Row],[ppn_z]],tbl_Historique_Final[[#This Row],[date_modif]])=Final_Sans_VGE[[#This Row],[date_modif]],
      "Ancien",
      "Modifié"),
   "Nouveau")),"")</f>
        <v/>
      </c>
    </row>
    <row r="7431" spans="24:30" x14ac:dyDescent="0.25">
      <c r="X7431" s="8" t="e">
        <f>IF(Final_Sans_VGE[[#This Row],[ppn_z]]="","",IFERROR(
   IF(_xlfn.XLOOKUP(Final_Sans_VGE[[#This Row],[ppn_z]],tbl_Historique_Final[ppn_z],tbl_Historique_Final[date_modif])=Final_Sans_VGE[[#This Row],[date_modif]],
      "Ancien",
      "Modifié"),
   "Nouveau"))</f>
        <v>#VALUE!</v>
      </c>
      <c r="AD7431" s="1" t="str">
        <f>IFERROR(IF(Final_Sans_VGE[[#This Row],[ppn_z]]="","",IFERROR(
   IF(_xlfn.XLOOKUP(Final_Sans_VGE[[#This Row],[ppn_z]],tbl_Historique_Final[[#This Row],[ppn_z]],tbl_Historique_Final[[#This Row],[date_modif]])=Final_Sans_VGE[[#This Row],[date_modif]],
      "Ancien",
      "Modifié"),
   "Nouveau")),"")</f>
        <v/>
      </c>
    </row>
    <row r="7432" spans="24:30" x14ac:dyDescent="0.25">
      <c r="X7432" s="8" t="e">
        <f>IF(Final_Sans_VGE[[#This Row],[ppn_z]]="","",IFERROR(
   IF(_xlfn.XLOOKUP(Final_Sans_VGE[[#This Row],[ppn_z]],tbl_Historique_Final[ppn_z],tbl_Historique_Final[date_modif])=Final_Sans_VGE[[#This Row],[date_modif]],
      "Ancien",
      "Modifié"),
   "Nouveau"))</f>
        <v>#VALUE!</v>
      </c>
      <c r="AD7432" s="1" t="str">
        <f>IFERROR(IF(Final_Sans_VGE[[#This Row],[ppn_z]]="","",IFERROR(
   IF(_xlfn.XLOOKUP(Final_Sans_VGE[[#This Row],[ppn_z]],tbl_Historique_Final[[#This Row],[ppn_z]],tbl_Historique_Final[[#This Row],[date_modif]])=Final_Sans_VGE[[#This Row],[date_modif]],
      "Ancien",
      "Modifié"),
   "Nouveau")),"")</f>
        <v/>
      </c>
    </row>
    <row r="7433" spans="24:30" x14ac:dyDescent="0.25">
      <c r="X7433" s="8" t="e">
        <f>IF(Final_Sans_VGE[[#This Row],[ppn_z]]="","",IFERROR(
   IF(_xlfn.XLOOKUP(Final_Sans_VGE[[#This Row],[ppn_z]],tbl_Historique_Final[ppn_z],tbl_Historique_Final[date_modif])=Final_Sans_VGE[[#This Row],[date_modif]],
      "Ancien",
      "Modifié"),
   "Nouveau"))</f>
        <v>#VALUE!</v>
      </c>
      <c r="AD7433" s="1" t="str">
        <f>IFERROR(IF(Final_Sans_VGE[[#This Row],[ppn_z]]="","",IFERROR(
   IF(_xlfn.XLOOKUP(Final_Sans_VGE[[#This Row],[ppn_z]],tbl_Historique_Final[[#This Row],[ppn_z]],tbl_Historique_Final[[#This Row],[date_modif]])=Final_Sans_VGE[[#This Row],[date_modif]],
      "Ancien",
      "Modifié"),
   "Nouveau")),"")</f>
        <v/>
      </c>
    </row>
    <row r="7434" spans="24:30" x14ac:dyDescent="0.25">
      <c r="X7434" s="8" t="e">
        <f>IF(Final_Sans_VGE[[#This Row],[ppn_z]]="","",IFERROR(
   IF(_xlfn.XLOOKUP(Final_Sans_VGE[[#This Row],[ppn_z]],tbl_Historique_Final[ppn_z],tbl_Historique_Final[date_modif])=Final_Sans_VGE[[#This Row],[date_modif]],
      "Ancien",
      "Modifié"),
   "Nouveau"))</f>
        <v>#VALUE!</v>
      </c>
      <c r="AD7434" s="1" t="str">
        <f>IFERROR(IF(Final_Sans_VGE[[#This Row],[ppn_z]]="","",IFERROR(
   IF(_xlfn.XLOOKUP(Final_Sans_VGE[[#This Row],[ppn_z]],tbl_Historique_Final[[#This Row],[ppn_z]],tbl_Historique_Final[[#This Row],[date_modif]])=Final_Sans_VGE[[#This Row],[date_modif]],
      "Ancien",
      "Modifié"),
   "Nouveau")),"")</f>
        <v/>
      </c>
    </row>
    <row r="7435" spans="24:30" x14ac:dyDescent="0.25">
      <c r="X7435" s="8" t="e">
        <f>IF(Final_Sans_VGE[[#This Row],[ppn_z]]="","",IFERROR(
   IF(_xlfn.XLOOKUP(Final_Sans_VGE[[#This Row],[ppn_z]],tbl_Historique_Final[ppn_z],tbl_Historique_Final[date_modif])=Final_Sans_VGE[[#This Row],[date_modif]],
      "Ancien",
      "Modifié"),
   "Nouveau"))</f>
        <v>#VALUE!</v>
      </c>
      <c r="AD7435" s="1" t="str">
        <f>IFERROR(IF(Final_Sans_VGE[[#This Row],[ppn_z]]="","",IFERROR(
   IF(_xlfn.XLOOKUP(Final_Sans_VGE[[#This Row],[ppn_z]],tbl_Historique_Final[[#This Row],[ppn_z]],tbl_Historique_Final[[#This Row],[date_modif]])=Final_Sans_VGE[[#This Row],[date_modif]],
      "Ancien",
      "Modifié"),
   "Nouveau")),"")</f>
        <v/>
      </c>
    </row>
    <row r="7436" spans="24:30" x14ac:dyDescent="0.25">
      <c r="X7436" s="8" t="e">
        <f>IF(Final_Sans_VGE[[#This Row],[ppn_z]]="","",IFERROR(
   IF(_xlfn.XLOOKUP(Final_Sans_VGE[[#This Row],[ppn_z]],tbl_Historique_Final[ppn_z],tbl_Historique_Final[date_modif])=Final_Sans_VGE[[#This Row],[date_modif]],
      "Ancien",
      "Modifié"),
   "Nouveau"))</f>
        <v>#VALUE!</v>
      </c>
      <c r="AD7436" s="1" t="str">
        <f>IFERROR(IF(Final_Sans_VGE[[#This Row],[ppn_z]]="","",IFERROR(
   IF(_xlfn.XLOOKUP(Final_Sans_VGE[[#This Row],[ppn_z]],tbl_Historique_Final[[#This Row],[ppn_z]],tbl_Historique_Final[[#This Row],[date_modif]])=Final_Sans_VGE[[#This Row],[date_modif]],
      "Ancien",
      "Modifié"),
   "Nouveau")),"")</f>
        <v/>
      </c>
    </row>
    <row r="7437" spans="24:30" x14ac:dyDescent="0.25">
      <c r="X7437" s="8" t="e">
        <f>IF(Final_Sans_VGE[[#This Row],[ppn_z]]="","",IFERROR(
   IF(_xlfn.XLOOKUP(Final_Sans_VGE[[#This Row],[ppn_z]],tbl_Historique_Final[ppn_z],tbl_Historique_Final[date_modif])=Final_Sans_VGE[[#This Row],[date_modif]],
      "Ancien",
      "Modifié"),
   "Nouveau"))</f>
        <v>#VALUE!</v>
      </c>
      <c r="AD7437" s="1" t="str">
        <f>IFERROR(IF(Final_Sans_VGE[[#This Row],[ppn_z]]="","",IFERROR(
   IF(_xlfn.XLOOKUP(Final_Sans_VGE[[#This Row],[ppn_z]],tbl_Historique_Final[[#This Row],[ppn_z]],tbl_Historique_Final[[#This Row],[date_modif]])=Final_Sans_VGE[[#This Row],[date_modif]],
      "Ancien",
      "Modifié"),
   "Nouveau")),"")</f>
        <v/>
      </c>
    </row>
    <row r="7438" spans="24:30" x14ac:dyDescent="0.25">
      <c r="X7438" s="8" t="e">
        <f>IF(Final_Sans_VGE[[#This Row],[ppn_z]]="","",IFERROR(
   IF(_xlfn.XLOOKUP(Final_Sans_VGE[[#This Row],[ppn_z]],tbl_Historique_Final[ppn_z],tbl_Historique_Final[date_modif])=Final_Sans_VGE[[#This Row],[date_modif]],
      "Ancien",
      "Modifié"),
   "Nouveau"))</f>
        <v>#VALUE!</v>
      </c>
      <c r="AD7438" s="1" t="str">
        <f>IFERROR(IF(Final_Sans_VGE[[#This Row],[ppn_z]]="","",IFERROR(
   IF(_xlfn.XLOOKUP(Final_Sans_VGE[[#This Row],[ppn_z]],tbl_Historique_Final[[#This Row],[ppn_z]],tbl_Historique_Final[[#This Row],[date_modif]])=Final_Sans_VGE[[#This Row],[date_modif]],
      "Ancien",
      "Modifié"),
   "Nouveau")),"")</f>
        <v/>
      </c>
    </row>
    <row r="7439" spans="24:30" x14ac:dyDescent="0.25">
      <c r="X7439" s="8" t="e">
        <f>IF(Final_Sans_VGE[[#This Row],[ppn_z]]="","",IFERROR(
   IF(_xlfn.XLOOKUP(Final_Sans_VGE[[#This Row],[ppn_z]],tbl_Historique_Final[ppn_z],tbl_Historique_Final[date_modif])=Final_Sans_VGE[[#This Row],[date_modif]],
      "Ancien",
      "Modifié"),
   "Nouveau"))</f>
        <v>#VALUE!</v>
      </c>
      <c r="AD7439" s="1" t="str">
        <f>IFERROR(IF(Final_Sans_VGE[[#This Row],[ppn_z]]="","",IFERROR(
   IF(_xlfn.XLOOKUP(Final_Sans_VGE[[#This Row],[ppn_z]],tbl_Historique_Final[[#This Row],[ppn_z]],tbl_Historique_Final[[#This Row],[date_modif]])=Final_Sans_VGE[[#This Row],[date_modif]],
      "Ancien",
      "Modifié"),
   "Nouveau")),"")</f>
        <v/>
      </c>
    </row>
    <row r="7440" spans="24:30" x14ac:dyDescent="0.25">
      <c r="X7440" s="8" t="e">
        <f>IF(Final_Sans_VGE[[#This Row],[ppn_z]]="","",IFERROR(
   IF(_xlfn.XLOOKUP(Final_Sans_VGE[[#This Row],[ppn_z]],tbl_Historique_Final[ppn_z],tbl_Historique_Final[date_modif])=Final_Sans_VGE[[#This Row],[date_modif]],
      "Ancien",
      "Modifié"),
   "Nouveau"))</f>
        <v>#VALUE!</v>
      </c>
      <c r="AD7440" s="1" t="str">
        <f>IFERROR(IF(Final_Sans_VGE[[#This Row],[ppn_z]]="","",IFERROR(
   IF(_xlfn.XLOOKUP(Final_Sans_VGE[[#This Row],[ppn_z]],tbl_Historique_Final[[#This Row],[ppn_z]],tbl_Historique_Final[[#This Row],[date_modif]])=Final_Sans_VGE[[#This Row],[date_modif]],
      "Ancien",
      "Modifié"),
   "Nouveau")),"")</f>
        <v/>
      </c>
    </row>
    <row r="7441" spans="24:30" x14ac:dyDescent="0.25">
      <c r="X7441" s="8" t="e">
        <f>IF(Final_Sans_VGE[[#This Row],[ppn_z]]="","",IFERROR(
   IF(_xlfn.XLOOKUP(Final_Sans_VGE[[#This Row],[ppn_z]],tbl_Historique_Final[ppn_z],tbl_Historique_Final[date_modif])=Final_Sans_VGE[[#This Row],[date_modif]],
      "Ancien",
      "Modifié"),
   "Nouveau"))</f>
        <v>#VALUE!</v>
      </c>
      <c r="AD7441" s="1" t="str">
        <f>IFERROR(IF(Final_Sans_VGE[[#This Row],[ppn_z]]="","",IFERROR(
   IF(_xlfn.XLOOKUP(Final_Sans_VGE[[#This Row],[ppn_z]],tbl_Historique_Final[[#This Row],[ppn_z]],tbl_Historique_Final[[#This Row],[date_modif]])=Final_Sans_VGE[[#This Row],[date_modif]],
      "Ancien",
      "Modifié"),
   "Nouveau")),"")</f>
        <v/>
      </c>
    </row>
    <row r="7442" spans="24:30" x14ac:dyDescent="0.25">
      <c r="X7442" s="8" t="e">
        <f>IF(Final_Sans_VGE[[#This Row],[ppn_z]]="","",IFERROR(
   IF(_xlfn.XLOOKUP(Final_Sans_VGE[[#This Row],[ppn_z]],tbl_Historique_Final[ppn_z],tbl_Historique_Final[date_modif])=Final_Sans_VGE[[#This Row],[date_modif]],
      "Ancien",
      "Modifié"),
   "Nouveau"))</f>
        <v>#VALUE!</v>
      </c>
      <c r="AD7442" s="1" t="str">
        <f>IFERROR(IF(Final_Sans_VGE[[#This Row],[ppn_z]]="","",IFERROR(
   IF(_xlfn.XLOOKUP(Final_Sans_VGE[[#This Row],[ppn_z]],tbl_Historique_Final[[#This Row],[ppn_z]],tbl_Historique_Final[[#This Row],[date_modif]])=Final_Sans_VGE[[#This Row],[date_modif]],
      "Ancien",
      "Modifié"),
   "Nouveau")),"")</f>
        <v/>
      </c>
    </row>
    <row r="7443" spans="24:30" x14ac:dyDescent="0.25">
      <c r="X7443" s="8" t="e">
        <f>IF(Final_Sans_VGE[[#This Row],[ppn_z]]="","",IFERROR(
   IF(_xlfn.XLOOKUP(Final_Sans_VGE[[#This Row],[ppn_z]],tbl_Historique_Final[ppn_z],tbl_Historique_Final[date_modif])=Final_Sans_VGE[[#This Row],[date_modif]],
      "Ancien",
      "Modifié"),
   "Nouveau"))</f>
        <v>#VALUE!</v>
      </c>
      <c r="AD7443" s="1" t="str">
        <f>IFERROR(IF(Final_Sans_VGE[[#This Row],[ppn_z]]="","",IFERROR(
   IF(_xlfn.XLOOKUP(Final_Sans_VGE[[#This Row],[ppn_z]],tbl_Historique_Final[[#This Row],[ppn_z]],tbl_Historique_Final[[#This Row],[date_modif]])=Final_Sans_VGE[[#This Row],[date_modif]],
      "Ancien",
      "Modifié"),
   "Nouveau")),"")</f>
        <v/>
      </c>
    </row>
    <row r="7444" spans="24:30" x14ac:dyDescent="0.25">
      <c r="X7444" s="8" t="e">
        <f>IF(Final_Sans_VGE[[#This Row],[ppn_z]]="","",IFERROR(
   IF(_xlfn.XLOOKUP(Final_Sans_VGE[[#This Row],[ppn_z]],tbl_Historique_Final[ppn_z],tbl_Historique_Final[date_modif])=Final_Sans_VGE[[#This Row],[date_modif]],
      "Ancien",
      "Modifié"),
   "Nouveau"))</f>
        <v>#VALUE!</v>
      </c>
      <c r="AD7444" s="1" t="str">
        <f>IFERROR(IF(Final_Sans_VGE[[#This Row],[ppn_z]]="","",IFERROR(
   IF(_xlfn.XLOOKUP(Final_Sans_VGE[[#This Row],[ppn_z]],tbl_Historique_Final[[#This Row],[ppn_z]],tbl_Historique_Final[[#This Row],[date_modif]])=Final_Sans_VGE[[#This Row],[date_modif]],
      "Ancien",
      "Modifié"),
   "Nouveau")),"")</f>
        <v/>
      </c>
    </row>
    <row r="7445" spans="24:30" x14ac:dyDescent="0.25">
      <c r="X7445" s="8" t="e">
        <f>IF(Final_Sans_VGE[[#This Row],[ppn_z]]="","",IFERROR(
   IF(_xlfn.XLOOKUP(Final_Sans_VGE[[#This Row],[ppn_z]],tbl_Historique_Final[ppn_z],tbl_Historique_Final[date_modif])=Final_Sans_VGE[[#This Row],[date_modif]],
      "Ancien",
      "Modifié"),
   "Nouveau"))</f>
        <v>#VALUE!</v>
      </c>
      <c r="AD7445" s="1" t="str">
        <f>IFERROR(IF(Final_Sans_VGE[[#This Row],[ppn_z]]="","",IFERROR(
   IF(_xlfn.XLOOKUP(Final_Sans_VGE[[#This Row],[ppn_z]],tbl_Historique_Final[[#This Row],[ppn_z]],tbl_Historique_Final[[#This Row],[date_modif]])=Final_Sans_VGE[[#This Row],[date_modif]],
      "Ancien",
      "Modifié"),
   "Nouveau")),"")</f>
        <v/>
      </c>
    </row>
    <row r="7446" spans="24:30" x14ac:dyDescent="0.25">
      <c r="X7446" s="8" t="e">
        <f>IF(Final_Sans_VGE[[#This Row],[ppn_z]]="","",IFERROR(
   IF(_xlfn.XLOOKUP(Final_Sans_VGE[[#This Row],[ppn_z]],tbl_Historique_Final[ppn_z],tbl_Historique_Final[date_modif])=Final_Sans_VGE[[#This Row],[date_modif]],
      "Ancien",
      "Modifié"),
   "Nouveau"))</f>
        <v>#VALUE!</v>
      </c>
      <c r="AD7446" s="1" t="str">
        <f>IFERROR(IF(Final_Sans_VGE[[#This Row],[ppn_z]]="","",IFERROR(
   IF(_xlfn.XLOOKUP(Final_Sans_VGE[[#This Row],[ppn_z]],tbl_Historique_Final[[#This Row],[ppn_z]],tbl_Historique_Final[[#This Row],[date_modif]])=Final_Sans_VGE[[#This Row],[date_modif]],
      "Ancien",
      "Modifié"),
   "Nouveau")),"")</f>
        <v/>
      </c>
    </row>
    <row r="7447" spans="24:30" x14ac:dyDescent="0.25">
      <c r="X7447" s="8" t="e">
        <f>IF(Final_Sans_VGE[[#This Row],[ppn_z]]="","",IFERROR(
   IF(_xlfn.XLOOKUP(Final_Sans_VGE[[#This Row],[ppn_z]],tbl_Historique_Final[ppn_z],tbl_Historique_Final[date_modif])=Final_Sans_VGE[[#This Row],[date_modif]],
      "Ancien",
      "Modifié"),
   "Nouveau"))</f>
        <v>#VALUE!</v>
      </c>
      <c r="AD7447" s="1" t="str">
        <f>IFERROR(IF(Final_Sans_VGE[[#This Row],[ppn_z]]="","",IFERROR(
   IF(_xlfn.XLOOKUP(Final_Sans_VGE[[#This Row],[ppn_z]],tbl_Historique_Final[[#This Row],[ppn_z]],tbl_Historique_Final[[#This Row],[date_modif]])=Final_Sans_VGE[[#This Row],[date_modif]],
      "Ancien",
      "Modifié"),
   "Nouveau")),"")</f>
        <v/>
      </c>
    </row>
    <row r="7448" spans="24:30" x14ac:dyDescent="0.25">
      <c r="X7448" s="8" t="e">
        <f>IF(Final_Sans_VGE[[#This Row],[ppn_z]]="","",IFERROR(
   IF(_xlfn.XLOOKUP(Final_Sans_VGE[[#This Row],[ppn_z]],tbl_Historique_Final[ppn_z],tbl_Historique_Final[date_modif])=Final_Sans_VGE[[#This Row],[date_modif]],
      "Ancien",
      "Modifié"),
   "Nouveau"))</f>
        <v>#VALUE!</v>
      </c>
      <c r="AD7448" s="1" t="str">
        <f>IFERROR(IF(Final_Sans_VGE[[#This Row],[ppn_z]]="","",IFERROR(
   IF(_xlfn.XLOOKUP(Final_Sans_VGE[[#This Row],[ppn_z]],tbl_Historique_Final[[#This Row],[ppn_z]],tbl_Historique_Final[[#This Row],[date_modif]])=Final_Sans_VGE[[#This Row],[date_modif]],
      "Ancien",
      "Modifié"),
   "Nouveau")),"")</f>
        <v/>
      </c>
    </row>
    <row r="7449" spans="24:30" x14ac:dyDescent="0.25">
      <c r="X7449" s="8" t="e">
        <f>IF(Final_Sans_VGE[[#This Row],[ppn_z]]="","",IFERROR(
   IF(_xlfn.XLOOKUP(Final_Sans_VGE[[#This Row],[ppn_z]],tbl_Historique_Final[ppn_z],tbl_Historique_Final[date_modif])=Final_Sans_VGE[[#This Row],[date_modif]],
      "Ancien",
      "Modifié"),
   "Nouveau"))</f>
        <v>#VALUE!</v>
      </c>
      <c r="AD7449" s="1" t="str">
        <f>IFERROR(IF(Final_Sans_VGE[[#This Row],[ppn_z]]="","",IFERROR(
   IF(_xlfn.XLOOKUP(Final_Sans_VGE[[#This Row],[ppn_z]],tbl_Historique_Final[[#This Row],[ppn_z]],tbl_Historique_Final[[#This Row],[date_modif]])=Final_Sans_VGE[[#This Row],[date_modif]],
      "Ancien",
      "Modifié"),
   "Nouveau")),"")</f>
        <v/>
      </c>
    </row>
    <row r="7450" spans="24:30" x14ac:dyDescent="0.25">
      <c r="X7450" s="8" t="e">
        <f>IF(Final_Sans_VGE[[#This Row],[ppn_z]]="","",IFERROR(
   IF(_xlfn.XLOOKUP(Final_Sans_VGE[[#This Row],[ppn_z]],tbl_Historique_Final[ppn_z],tbl_Historique_Final[date_modif])=Final_Sans_VGE[[#This Row],[date_modif]],
      "Ancien",
      "Modifié"),
   "Nouveau"))</f>
        <v>#VALUE!</v>
      </c>
      <c r="AD7450" s="1" t="str">
        <f>IFERROR(IF(Final_Sans_VGE[[#This Row],[ppn_z]]="","",IFERROR(
   IF(_xlfn.XLOOKUP(Final_Sans_VGE[[#This Row],[ppn_z]],tbl_Historique_Final[[#This Row],[ppn_z]],tbl_Historique_Final[[#This Row],[date_modif]])=Final_Sans_VGE[[#This Row],[date_modif]],
      "Ancien",
      "Modifié"),
   "Nouveau")),"")</f>
        <v/>
      </c>
    </row>
    <row r="7451" spans="24:30" x14ac:dyDescent="0.25">
      <c r="X7451" s="8" t="e">
        <f>IF(Final_Sans_VGE[[#This Row],[ppn_z]]="","",IFERROR(
   IF(_xlfn.XLOOKUP(Final_Sans_VGE[[#This Row],[ppn_z]],tbl_Historique_Final[ppn_z],tbl_Historique_Final[date_modif])=Final_Sans_VGE[[#This Row],[date_modif]],
      "Ancien",
      "Modifié"),
   "Nouveau"))</f>
        <v>#VALUE!</v>
      </c>
      <c r="AD7451" s="1" t="str">
        <f>IFERROR(IF(Final_Sans_VGE[[#This Row],[ppn_z]]="","",IFERROR(
   IF(_xlfn.XLOOKUP(Final_Sans_VGE[[#This Row],[ppn_z]],tbl_Historique_Final[[#This Row],[ppn_z]],tbl_Historique_Final[[#This Row],[date_modif]])=Final_Sans_VGE[[#This Row],[date_modif]],
      "Ancien",
      "Modifié"),
   "Nouveau")),"")</f>
        <v/>
      </c>
    </row>
    <row r="7452" spans="24:30" x14ac:dyDescent="0.25">
      <c r="X7452" s="8" t="e">
        <f>IF(Final_Sans_VGE[[#This Row],[ppn_z]]="","",IFERROR(
   IF(_xlfn.XLOOKUP(Final_Sans_VGE[[#This Row],[ppn_z]],tbl_Historique_Final[ppn_z],tbl_Historique_Final[date_modif])=Final_Sans_VGE[[#This Row],[date_modif]],
      "Ancien",
      "Modifié"),
   "Nouveau"))</f>
        <v>#VALUE!</v>
      </c>
      <c r="AD7452" s="1" t="str">
        <f>IFERROR(IF(Final_Sans_VGE[[#This Row],[ppn_z]]="","",IFERROR(
   IF(_xlfn.XLOOKUP(Final_Sans_VGE[[#This Row],[ppn_z]],tbl_Historique_Final[[#This Row],[ppn_z]],tbl_Historique_Final[[#This Row],[date_modif]])=Final_Sans_VGE[[#This Row],[date_modif]],
      "Ancien",
      "Modifié"),
   "Nouveau")),"")</f>
        <v/>
      </c>
    </row>
    <row r="7453" spans="24:30" x14ac:dyDescent="0.25">
      <c r="X7453" s="8" t="e">
        <f>IF(Final_Sans_VGE[[#This Row],[ppn_z]]="","",IFERROR(
   IF(_xlfn.XLOOKUP(Final_Sans_VGE[[#This Row],[ppn_z]],tbl_Historique_Final[ppn_z],tbl_Historique_Final[date_modif])=Final_Sans_VGE[[#This Row],[date_modif]],
      "Ancien",
      "Modifié"),
   "Nouveau"))</f>
        <v>#VALUE!</v>
      </c>
      <c r="AD7453" s="1" t="str">
        <f>IFERROR(IF(Final_Sans_VGE[[#This Row],[ppn_z]]="","",IFERROR(
   IF(_xlfn.XLOOKUP(Final_Sans_VGE[[#This Row],[ppn_z]],tbl_Historique_Final[[#This Row],[ppn_z]],tbl_Historique_Final[[#This Row],[date_modif]])=Final_Sans_VGE[[#This Row],[date_modif]],
      "Ancien",
      "Modifié"),
   "Nouveau")),"")</f>
        <v/>
      </c>
    </row>
    <row r="7454" spans="24:30" x14ac:dyDescent="0.25">
      <c r="X7454" s="8" t="e">
        <f>IF(Final_Sans_VGE[[#This Row],[ppn_z]]="","",IFERROR(
   IF(_xlfn.XLOOKUP(Final_Sans_VGE[[#This Row],[ppn_z]],tbl_Historique_Final[ppn_z],tbl_Historique_Final[date_modif])=Final_Sans_VGE[[#This Row],[date_modif]],
      "Ancien",
      "Modifié"),
   "Nouveau"))</f>
        <v>#VALUE!</v>
      </c>
      <c r="AD7454" s="1" t="str">
        <f>IFERROR(IF(Final_Sans_VGE[[#This Row],[ppn_z]]="","",IFERROR(
   IF(_xlfn.XLOOKUP(Final_Sans_VGE[[#This Row],[ppn_z]],tbl_Historique_Final[[#This Row],[ppn_z]],tbl_Historique_Final[[#This Row],[date_modif]])=Final_Sans_VGE[[#This Row],[date_modif]],
      "Ancien",
      "Modifié"),
   "Nouveau")),"")</f>
        <v/>
      </c>
    </row>
    <row r="7455" spans="24:30" x14ac:dyDescent="0.25">
      <c r="X7455" s="8" t="e">
        <f>IF(Final_Sans_VGE[[#This Row],[ppn_z]]="","",IFERROR(
   IF(_xlfn.XLOOKUP(Final_Sans_VGE[[#This Row],[ppn_z]],tbl_Historique_Final[ppn_z],tbl_Historique_Final[date_modif])=Final_Sans_VGE[[#This Row],[date_modif]],
      "Ancien",
      "Modifié"),
   "Nouveau"))</f>
        <v>#VALUE!</v>
      </c>
      <c r="AD7455" s="1" t="str">
        <f>IFERROR(IF(Final_Sans_VGE[[#This Row],[ppn_z]]="","",IFERROR(
   IF(_xlfn.XLOOKUP(Final_Sans_VGE[[#This Row],[ppn_z]],tbl_Historique_Final[[#This Row],[ppn_z]],tbl_Historique_Final[[#This Row],[date_modif]])=Final_Sans_VGE[[#This Row],[date_modif]],
      "Ancien",
      "Modifié"),
   "Nouveau")),"")</f>
        <v/>
      </c>
    </row>
    <row r="7456" spans="24:30" x14ac:dyDescent="0.25">
      <c r="X7456" s="8" t="e">
        <f>IF(Final_Sans_VGE[[#This Row],[ppn_z]]="","",IFERROR(
   IF(_xlfn.XLOOKUP(Final_Sans_VGE[[#This Row],[ppn_z]],tbl_Historique_Final[ppn_z],tbl_Historique_Final[date_modif])=Final_Sans_VGE[[#This Row],[date_modif]],
      "Ancien",
      "Modifié"),
   "Nouveau"))</f>
        <v>#VALUE!</v>
      </c>
      <c r="AD7456" s="1" t="str">
        <f>IFERROR(IF(Final_Sans_VGE[[#This Row],[ppn_z]]="","",IFERROR(
   IF(_xlfn.XLOOKUP(Final_Sans_VGE[[#This Row],[ppn_z]],tbl_Historique_Final[[#This Row],[ppn_z]],tbl_Historique_Final[[#This Row],[date_modif]])=Final_Sans_VGE[[#This Row],[date_modif]],
      "Ancien",
      "Modifié"),
   "Nouveau")),"")</f>
        <v/>
      </c>
    </row>
    <row r="7457" spans="24:30" x14ac:dyDescent="0.25">
      <c r="X7457" s="8" t="e">
        <f>IF(Final_Sans_VGE[[#This Row],[ppn_z]]="","",IFERROR(
   IF(_xlfn.XLOOKUP(Final_Sans_VGE[[#This Row],[ppn_z]],tbl_Historique_Final[ppn_z],tbl_Historique_Final[date_modif])=Final_Sans_VGE[[#This Row],[date_modif]],
      "Ancien",
      "Modifié"),
   "Nouveau"))</f>
        <v>#VALUE!</v>
      </c>
      <c r="AD7457" s="1" t="str">
        <f>IFERROR(IF(Final_Sans_VGE[[#This Row],[ppn_z]]="","",IFERROR(
   IF(_xlfn.XLOOKUP(Final_Sans_VGE[[#This Row],[ppn_z]],tbl_Historique_Final[[#This Row],[ppn_z]],tbl_Historique_Final[[#This Row],[date_modif]])=Final_Sans_VGE[[#This Row],[date_modif]],
      "Ancien",
      "Modifié"),
   "Nouveau")),"")</f>
        <v/>
      </c>
    </row>
    <row r="7458" spans="24:30" x14ac:dyDescent="0.25">
      <c r="X7458" s="8" t="e">
        <f>IF(Final_Sans_VGE[[#This Row],[ppn_z]]="","",IFERROR(
   IF(_xlfn.XLOOKUP(Final_Sans_VGE[[#This Row],[ppn_z]],tbl_Historique_Final[ppn_z],tbl_Historique_Final[date_modif])=Final_Sans_VGE[[#This Row],[date_modif]],
      "Ancien",
      "Modifié"),
   "Nouveau"))</f>
        <v>#VALUE!</v>
      </c>
      <c r="AD7458" s="1" t="str">
        <f>IFERROR(IF(Final_Sans_VGE[[#This Row],[ppn_z]]="","",IFERROR(
   IF(_xlfn.XLOOKUP(Final_Sans_VGE[[#This Row],[ppn_z]],tbl_Historique_Final[[#This Row],[ppn_z]],tbl_Historique_Final[[#This Row],[date_modif]])=Final_Sans_VGE[[#This Row],[date_modif]],
      "Ancien",
      "Modifié"),
   "Nouveau")),"")</f>
        <v/>
      </c>
    </row>
    <row r="7459" spans="24:30" x14ac:dyDescent="0.25">
      <c r="X7459" s="8" t="e">
        <f>IF(Final_Sans_VGE[[#This Row],[ppn_z]]="","",IFERROR(
   IF(_xlfn.XLOOKUP(Final_Sans_VGE[[#This Row],[ppn_z]],tbl_Historique_Final[ppn_z],tbl_Historique_Final[date_modif])=Final_Sans_VGE[[#This Row],[date_modif]],
      "Ancien",
      "Modifié"),
   "Nouveau"))</f>
        <v>#VALUE!</v>
      </c>
      <c r="AD7459" s="1" t="str">
        <f>IFERROR(IF(Final_Sans_VGE[[#This Row],[ppn_z]]="","",IFERROR(
   IF(_xlfn.XLOOKUP(Final_Sans_VGE[[#This Row],[ppn_z]],tbl_Historique_Final[[#This Row],[ppn_z]],tbl_Historique_Final[[#This Row],[date_modif]])=Final_Sans_VGE[[#This Row],[date_modif]],
      "Ancien",
      "Modifié"),
   "Nouveau")),"")</f>
        <v/>
      </c>
    </row>
    <row r="7460" spans="24:30" x14ac:dyDescent="0.25">
      <c r="X7460" s="8" t="e">
        <f>IF(Final_Sans_VGE[[#This Row],[ppn_z]]="","",IFERROR(
   IF(_xlfn.XLOOKUP(Final_Sans_VGE[[#This Row],[ppn_z]],tbl_Historique_Final[ppn_z],tbl_Historique_Final[date_modif])=Final_Sans_VGE[[#This Row],[date_modif]],
      "Ancien",
      "Modifié"),
   "Nouveau"))</f>
        <v>#VALUE!</v>
      </c>
      <c r="AD7460" s="1" t="str">
        <f>IFERROR(IF(Final_Sans_VGE[[#This Row],[ppn_z]]="","",IFERROR(
   IF(_xlfn.XLOOKUP(Final_Sans_VGE[[#This Row],[ppn_z]],tbl_Historique_Final[[#This Row],[ppn_z]],tbl_Historique_Final[[#This Row],[date_modif]])=Final_Sans_VGE[[#This Row],[date_modif]],
      "Ancien",
      "Modifié"),
   "Nouveau")),"")</f>
        <v/>
      </c>
    </row>
    <row r="7461" spans="24:30" x14ac:dyDescent="0.25">
      <c r="X7461" s="8" t="e">
        <f>IF(Final_Sans_VGE[[#This Row],[ppn_z]]="","",IFERROR(
   IF(_xlfn.XLOOKUP(Final_Sans_VGE[[#This Row],[ppn_z]],tbl_Historique_Final[ppn_z],tbl_Historique_Final[date_modif])=Final_Sans_VGE[[#This Row],[date_modif]],
      "Ancien",
      "Modifié"),
   "Nouveau"))</f>
        <v>#VALUE!</v>
      </c>
      <c r="AD7461" s="1" t="str">
        <f>IFERROR(IF(Final_Sans_VGE[[#This Row],[ppn_z]]="","",IFERROR(
   IF(_xlfn.XLOOKUP(Final_Sans_VGE[[#This Row],[ppn_z]],tbl_Historique_Final[[#This Row],[ppn_z]],tbl_Historique_Final[[#This Row],[date_modif]])=Final_Sans_VGE[[#This Row],[date_modif]],
      "Ancien",
      "Modifié"),
   "Nouveau")),"")</f>
        <v/>
      </c>
    </row>
    <row r="7462" spans="24:30" x14ac:dyDescent="0.25">
      <c r="X7462" s="8" t="e">
        <f>IF(Final_Sans_VGE[[#This Row],[ppn_z]]="","",IFERROR(
   IF(_xlfn.XLOOKUP(Final_Sans_VGE[[#This Row],[ppn_z]],tbl_Historique_Final[ppn_z],tbl_Historique_Final[date_modif])=Final_Sans_VGE[[#This Row],[date_modif]],
      "Ancien",
      "Modifié"),
   "Nouveau"))</f>
        <v>#VALUE!</v>
      </c>
      <c r="AD7462" s="1" t="str">
        <f>IFERROR(IF(Final_Sans_VGE[[#This Row],[ppn_z]]="","",IFERROR(
   IF(_xlfn.XLOOKUP(Final_Sans_VGE[[#This Row],[ppn_z]],tbl_Historique_Final[[#This Row],[ppn_z]],tbl_Historique_Final[[#This Row],[date_modif]])=Final_Sans_VGE[[#This Row],[date_modif]],
      "Ancien",
      "Modifié"),
   "Nouveau")),"")</f>
        <v/>
      </c>
    </row>
    <row r="7463" spans="24:30" x14ac:dyDescent="0.25">
      <c r="X7463" s="8" t="e">
        <f>IF(Final_Sans_VGE[[#This Row],[ppn_z]]="","",IFERROR(
   IF(_xlfn.XLOOKUP(Final_Sans_VGE[[#This Row],[ppn_z]],tbl_Historique_Final[ppn_z],tbl_Historique_Final[date_modif])=Final_Sans_VGE[[#This Row],[date_modif]],
      "Ancien",
      "Modifié"),
   "Nouveau"))</f>
        <v>#VALUE!</v>
      </c>
      <c r="AD7463" s="1" t="str">
        <f>IFERROR(IF(Final_Sans_VGE[[#This Row],[ppn_z]]="","",IFERROR(
   IF(_xlfn.XLOOKUP(Final_Sans_VGE[[#This Row],[ppn_z]],tbl_Historique_Final[[#This Row],[ppn_z]],tbl_Historique_Final[[#This Row],[date_modif]])=Final_Sans_VGE[[#This Row],[date_modif]],
      "Ancien",
      "Modifié"),
   "Nouveau")),"")</f>
        <v/>
      </c>
    </row>
    <row r="7464" spans="24:30" x14ac:dyDescent="0.25">
      <c r="X7464" s="8" t="e">
        <f>IF(Final_Sans_VGE[[#This Row],[ppn_z]]="","",IFERROR(
   IF(_xlfn.XLOOKUP(Final_Sans_VGE[[#This Row],[ppn_z]],tbl_Historique_Final[ppn_z],tbl_Historique_Final[date_modif])=Final_Sans_VGE[[#This Row],[date_modif]],
      "Ancien",
      "Modifié"),
   "Nouveau"))</f>
        <v>#VALUE!</v>
      </c>
      <c r="AD7464" s="1" t="str">
        <f>IFERROR(IF(Final_Sans_VGE[[#This Row],[ppn_z]]="","",IFERROR(
   IF(_xlfn.XLOOKUP(Final_Sans_VGE[[#This Row],[ppn_z]],tbl_Historique_Final[[#This Row],[ppn_z]],tbl_Historique_Final[[#This Row],[date_modif]])=Final_Sans_VGE[[#This Row],[date_modif]],
      "Ancien",
      "Modifié"),
   "Nouveau")),"")</f>
        <v/>
      </c>
    </row>
    <row r="7465" spans="24:30" x14ac:dyDescent="0.25">
      <c r="X7465" s="8" t="e">
        <f>IF(Final_Sans_VGE[[#This Row],[ppn_z]]="","",IFERROR(
   IF(_xlfn.XLOOKUP(Final_Sans_VGE[[#This Row],[ppn_z]],tbl_Historique_Final[ppn_z],tbl_Historique_Final[date_modif])=Final_Sans_VGE[[#This Row],[date_modif]],
      "Ancien",
      "Modifié"),
   "Nouveau"))</f>
        <v>#VALUE!</v>
      </c>
      <c r="AD7465" s="1" t="str">
        <f>IFERROR(IF(Final_Sans_VGE[[#This Row],[ppn_z]]="","",IFERROR(
   IF(_xlfn.XLOOKUP(Final_Sans_VGE[[#This Row],[ppn_z]],tbl_Historique_Final[[#This Row],[ppn_z]],tbl_Historique_Final[[#This Row],[date_modif]])=Final_Sans_VGE[[#This Row],[date_modif]],
      "Ancien",
      "Modifié"),
   "Nouveau")),"")</f>
        <v/>
      </c>
    </row>
    <row r="7466" spans="24:30" x14ac:dyDescent="0.25">
      <c r="X7466" s="8" t="e">
        <f>IF(Final_Sans_VGE[[#This Row],[ppn_z]]="","",IFERROR(
   IF(_xlfn.XLOOKUP(Final_Sans_VGE[[#This Row],[ppn_z]],tbl_Historique_Final[ppn_z],tbl_Historique_Final[date_modif])=Final_Sans_VGE[[#This Row],[date_modif]],
      "Ancien",
      "Modifié"),
   "Nouveau"))</f>
        <v>#VALUE!</v>
      </c>
      <c r="AD7466" s="1" t="str">
        <f>IFERROR(IF(Final_Sans_VGE[[#This Row],[ppn_z]]="","",IFERROR(
   IF(_xlfn.XLOOKUP(Final_Sans_VGE[[#This Row],[ppn_z]],tbl_Historique_Final[[#This Row],[ppn_z]],tbl_Historique_Final[[#This Row],[date_modif]])=Final_Sans_VGE[[#This Row],[date_modif]],
      "Ancien",
      "Modifié"),
   "Nouveau")),"")</f>
        <v/>
      </c>
    </row>
    <row r="7467" spans="24:30" x14ac:dyDescent="0.25">
      <c r="X7467" s="8" t="e">
        <f>IF(Final_Sans_VGE[[#This Row],[ppn_z]]="","",IFERROR(
   IF(_xlfn.XLOOKUP(Final_Sans_VGE[[#This Row],[ppn_z]],tbl_Historique_Final[ppn_z],tbl_Historique_Final[date_modif])=Final_Sans_VGE[[#This Row],[date_modif]],
      "Ancien",
      "Modifié"),
   "Nouveau"))</f>
        <v>#VALUE!</v>
      </c>
      <c r="AD7467" s="1" t="str">
        <f>IFERROR(IF(Final_Sans_VGE[[#This Row],[ppn_z]]="","",IFERROR(
   IF(_xlfn.XLOOKUP(Final_Sans_VGE[[#This Row],[ppn_z]],tbl_Historique_Final[[#This Row],[ppn_z]],tbl_Historique_Final[[#This Row],[date_modif]])=Final_Sans_VGE[[#This Row],[date_modif]],
      "Ancien",
      "Modifié"),
   "Nouveau")),"")</f>
        <v/>
      </c>
    </row>
    <row r="7468" spans="24:30" x14ac:dyDescent="0.25">
      <c r="X7468" s="8" t="e">
        <f>IF(Final_Sans_VGE[[#This Row],[ppn_z]]="","",IFERROR(
   IF(_xlfn.XLOOKUP(Final_Sans_VGE[[#This Row],[ppn_z]],tbl_Historique_Final[ppn_z],tbl_Historique_Final[date_modif])=Final_Sans_VGE[[#This Row],[date_modif]],
      "Ancien",
      "Modifié"),
   "Nouveau"))</f>
        <v>#VALUE!</v>
      </c>
      <c r="AD7468" s="1" t="str">
        <f>IFERROR(IF(Final_Sans_VGE[[#This Row],[ppn_z]]="","",IFERROR(
   IF(_xlfn.XLOOKUP(Final_Sans_VGE[[#This Row],[ppn_z]],tbl_Historique_Final[[#This Row],[ppn_z]],tbl_Historique_Final[[#This Row],[date_modif]])=Final_Sans_VGE[[#This Row],[date_modif]],
      "Ancien",
      "Modifié"),
   "Nouveau")),"")</f>
        <v/>
      </c>
    </row>
    <row r="7469" spans="24:30" x14ac:dyDescent="0.25">
      <c r="X7469" s="8" t="e">
        <f>IF(Final_Sans_VGE[[#This Row],[ppn_z]]="","",IFERROR(
   IF(_xlfn.XLOOKUP(Final_Sans_VGE[[#This Row],[ppn_z]],tbl_Historique_Final[ppn_z],tbl_Historique_Final[date_modif])=Final_Sans_VGE[[#This Row],[date_modif]],
      "Ancien",
      "Modifié"),
   "Nouveau"))</f>
        <v>#VALUE!</v>
      </c>
      <c r="AD7469" s="1" t="str">
        <f>IFERROR(IF(Final_Sans_VGE[[#This Row],[ppn_z]]="","",IFERROR(
   IF(_xlfn.XLOOKUP(Final_Sans_VGE[[#This Row],[ppn_z]],tbl_Historique_Final[[#This Row],[ppn_z]],tbl_Historique_Final[[#This Row],[date_modif]])=Final_Sans_VGE[[#This Row],[date_modif]],
      "Ancien",
      "Modifié"),
   "Nouveau")),"")</f>
        <v/>
      </c>
    </row>
    <row r="7470" spans="24:30" x14ac:dyDescent="0.25">
      <c r="X7470" s="8" t="e">
        <f>IF(Final_Sans_VGE[[#This Row],[ppn_z]]="","",IFERROR(
   IF(_xlfn.XLOOKUP(Final_Sans_VGE[[#This Row],[ppn_z]],tbl_Historique_Final[ppn_z],tbl_Historique_Final[date_modif])=Final_Sans_VGE[[#This Row],[date_modif]],
      "Ancien",
      "Modifié"),
   "Nouveau"))</f>
        <v>#VALUE!</v>
      </c>
      <c r="AD7470" s="1" t="str">
        <f>IFERROR(IF(Final_Sans_VGE[[#This Row],[ppn_z]]="","",IFERROR(
   IF(_xlfn.XLOOKUP(Final_Sans_VGE[[#This Row],[ppn_z]],tbl_Historique_Final[[#This Row],[ppn_z]],tbl_Historique_Final[[#This Row],[date_modif]])=Final_Sans_VGE[[#This Row],[date_modif]],
      "Ancien",
      "Modifié"),
   "Nouveau")),"")</f>
        <v/>
      </c>
    </row>
    <row r="7471" spans="24:30" x14ac:dyDescent="0.25">
      <c r="X7471" s="8" t="e">
        <f>IF(Final_Sans_VGE[[#This Row],[ppn_z]]="","",IFERROR(
   IF(_xlfn.XLOOKUP(Final_Sans_VGE[[#This Row],[ppn_z]],tbl_Historique_Final[ppn_z],tbl_Historique_Final[date_modif])=Final_Sans_VGE[[#This Row],[date_modif]],
      "Ancien",
      "Modifié"),
   "Nouveau"))</f>
        <v>#VALUE!</v>
      </c>
      <c r="AD7471" s="1" t="str">
        <f>IFERROR(IF(Final_Sans_VGE[[#This Row],[ppn_z]]="","",IFERROR(
   IF(_xlfn.XLOOKUP(Final_Sans_VGE[[#This Row],[ppn_z]],tbl_Historique_Final[[#This Row],[ppn_z]],tbl_Historique_Final[[#This Row],[date_modif]])=Final_Sans_VGE[[#This Row],[date_modif]],
      "Ancien",
      "Modifié"),
   "Nouveau")),"")</f>
        <v/>
      </c>
    </row>
    <row r="7472" spans="24:30" x14ac:dyDescent="0.25">
      <c r="X7472" s="8" t="e">
        <f>IF(Final_Sans_VGE[[#This Row],[ppn_z]]="","",IFERROR(
   IF(_xlfn.XLOOKUP(Final_Sans_VGE[[#This Row],[ppn_z]],tbl_Historique_Final[ppn_z],tbl_Historique_Final[date_modif])=Final_Sans_VGE[[#This Row],[date_modif]],
      "Ancien",
      "Modifié"),
   "Nouveau"))</f>
        <v>#VALUE!</v>
      </c>
      <c r="AD7472" s="1" t="str">
        <f>IFERROR(IF(Final_Sans_VGE[[#This Row],[ppn_z]]="","",IFERROR(
   IF(_xlfn.XLOOKUP(Final_Sans_VGE[[#This Row],[ppn_z]],tbl_Historique_Final[[#This Row],[ppn_z]],tbl_Historique_Final[[#This Row],[date_modif]])=Final_Sans_VGE[[#This Row],[date_modif]],
      "Ancien",
      "Modifié"),
   "Nouveau")),"")</f>
        <v/>
      </c>
    </row>
    <row r="7473" spans="24:30" x14ac:dyDescent="0.25">
      <c r="X7473" s="8" t="e">
        <f>IF(Final_Sans_VGE[[#This Row],[ppn_z]]="","",IFERROR(
   IF(_xlfn.XLOOKUP(Final_Sans_VGE[[#This Row],[ppn_z]],tbl_Historique_Final[ppn_z],tbl_Historique_Final[date_modif])=Final_Sans_VGE[[#This Row],[date_modif]],
      "Ancien",
      "Modifié"),
   "Nouveau"))</f>
        <v>#VALUE!</v>
      </c>
      <c r="AD7473" s="1" t="str">
        <f>IFERROR(IF(Final_Sans_VGE[[#This Row],[ppn_z]]="","",IFERROR(
   IF(_xlfn.XLOOKUP(Final_Sans_VGE[[#This Row],[ppn_z]],tbl_Historique_Final[[#This Row],[ppn_z]],tbl_Historique_Final[[#This Row],[date_modif]])=Final_Sans_VGE[[#This Row],[date_modif]],
      "Ancien",
      "Modifié"),
   "Nouveau")),"")</f>
        <v/>
      </c>
    </row>
    <row r="7474" spans="24:30" x14ac:dyDescent="0.25">
      <c r="X7474" s="8" t="e">
        <f>IF(Final_Sans_VGE[[#This Row],[ppn_z]]="","",IFERROR(
   IF(_xlfn.XLOOKUP(Final_Sans_VGE[[#This Row],[ppn_z]],tbl_Historique_Final[ppn_z],tbl_Historique_Final[date_modif])=Final_Sans_VGE[[#This Row],[date_modif]],
      "Ancien",
      "Modifié"),
   "Nouveau"))</f>
        <v>#VALUE!</v>
      </c>
      <c r="AD7474" s="1" t="str">
        <f>IFERROR(IF(Final_Sans_VGE[[#This Row],[ppn_z]]="","",IFERROR(
   IF(_xlfn.XLOOKUP(Final_Sans_VGE[[#This Row],[ppn_z]],tbl_Historique_Final[[#This Row],[ppn_z]],tbl_Historique_Final[[#This Row],[date_modif]])=Final_Sans_VGE[[#This Row],[date_modif]],
      "Ancien",
      "Modifié"),
   "Nouveau")),"")</f>
        <v/>
      </c>
    </row>
    <row r="7475" spans="24:30" x14ac:dyDescent="0.25">
      <c r="X7475" s="8" t="e">
        <f>IF(Final_Sans_VGE[[#This Row],[ppn_z]]="","",IFERROR(
   IF(_xlfn.XLOOKUP(Final_Sans_VGE[[#This Row],[ppn_z]],tbl_Historique_Final[ppn_z],tbl_Historique_Final[date_modif])=Final_Sans_VGE[[#This Row],[date_modif]],
      "Ancien",
      "Modifié"),
   "Nouveau"))</f>
        <v>#VALUE!</v>
      </c>
      <c r="AD7475" s="1" t="str">
        <f>IFERROR(IF(Final_Sans_VGE[[#This Row],[ppn_z]]="","",IFERROR(
   IF(_xlfn.XLOOKUP(Final_Sans_VGE[[#This Row],[ppn_z]],tbl_Historique_Final[[#This Row],[ppn_z]],tbl_Historique_Final[[#This Row],[date_modif]])=Final_Sans_VGE[[#This Row],[date_modif]],
      "Ancien",
      "Modifié"),
   "Nouveau")),"")</f>
        <v/>
      </c>
    </row>
    <row r="7476" spans="24:30" x14ac:dyDescent="0.25">
      <c r="X7476" s="8" t="e">
        <f>IF(Final_Sans_VGE[[#This Row],[ppn_z]]="","",IFERROR(
   IF(_xlfn.XLOOKUP(Final_Sans_VGE[[#This Row],[ppn_z]],tbl_Historique_Final[ppn_z],tbl_Historique_Final[date_modif])=Final_Sans_VGE[[#This Row],[date_modif]],
      "Ancien",
      "Modifié"),
   "Nouveau"))</f>
        <v>#VALUE!</v>
      </c>
      <c r="AD7476" s="1" t="str">
        <f>IFERROR(IF(Final_Sans_VGE[[#This Row],[ppn_z]]="","",IFERROR(
   IF(_xlfn.XLOOKUP(Final_Sans_VGE[[#This Row],[ppn_z]],tbl_Historique_Final[[#This Row],[ppn_z]],tbl_Historique_Final[[#This Row],[date_modif]])=Final_Sans_VGE[[#This Row],[date_modif]],
      "Ancien",
      "Modifié"),
   "Nouveau")),"")</f>
        <v/>
      </c>
    </row>
    <row r="7477" spans="24:30" x14ac:dyDescent="0.25">
      <c r="X7477" s="8" t="e">
        <f>IF(Final_Sans_VGE[[#This Row],[ppn_z]]="","",IFERROR(
   IF(_xlfn.XLOOKUP(Final_Sans_VGE[[#This Row],[ppn_z]],tbl_Historique_Final[ppn_z],tbl_Historique_Final[date_modif])=Final_Sans_VGE[[#This Row],[date_modif]],
      "Ancien",
      "Modifié"),
   "Nouveau"))</f>
        <v>#VALUE!</v>
      </c>
      <c r="AD7477" s="1" t="str">
        <f>IFERROR(IF(Final_Sans_VGE[[#This Row],[ppn_z]]="","",IFERROR(
   IF(_xlfn.XLOOKUP(Final_Sans_VGE[[#This Row],[ppn_z]],tbl_Historique_Final[[#This Row],[ppn_z]],tbl_Historique_Final[[#This Row],[date_modif]])=Final_Sans_VGE[[#This Row],[date_modif]],
      "Ancien",
      "Modifié"),
   "Nouveau")),"")</f>
        <v/>
      </c>
    </row>
    <row r="7478" spans="24:30" x14ac:dyDescent="0.25">
      <c r="X7478" s="8" t="e">
        <f>IF(Final_Sans_VGE[[#This Row],[ppn_z]]="","",IFERROR(
   IF(_xlfn.XLOOKUP(Final_Sans_VGE[[#This Row],[ppn_z]],tbl_Historique_Final[ppn_z],tbl_Historique_Final[date_modif])=Final_Sans_VGE[[#This Row],[date_modif]],
      "Ancien",
      "Modifié"),
   "Nouveau"))</f>
        <v>#VALUE!</v>
      </c>
      <c r="AD7478" s="1" t="str">
        <f>IFERROR(IF(Final_Sans_VGE[[#This Row],[ppn_z]]="","",IFERROR(
   IF(_xlfn.XLOOKUP(Final_Sans_VGE[[#This Row],[ppn_z]],tbl_Historique_Final[[#This Row],[ppn_z]],tbl_Historique_Final[[#This Row],[date_modif]])=Final_Sans_VGE[[#This Row],[date_modif]],
      "Ancien",
      "Modifié"),
   "Nouveau")),"")</f>
        <v/>
      </c>
    </row>
    <row r="7479" spans="24:30" x14ac:dyDescent="0.25">
      <c r="X7479" s="8" t="e">
        <f>IF(Final_Sans_VGE[[#This Row],[ppn_z]]="","",IFERROR(
   IF(_xlfn.XLOOKUP(Final_Sans_VGE[[#This Row],[ppn_z]],tbl_Historique_Final[ppn_z],tbl_Historique_Final[date_modif])=Final_Sans_VGE[[#This Row],[date_modif]],
      "Ancien",
      "Modifié"),
   "Nouveau"))</f>
        <v>#VALUE!</v>
      </c>
      <c r="AD7479" s="1" t="str">
        <f>IFERROR(IF(Final_Sans_VGE[[#This Row],[ppn_z]]="","",IFERROR(
   IF(_xlfn.XLOOKUP(Final_Sans_VGE[[#This Row],[ppn_z]],tbl_Historique_Final[[#This Row],[ppn_z]],tbl_Historique_Final[[#This Row],[date_modif]])=Final_Sans_VGE[[#This Row],[date_modif]],
      "Ancien",
      "Modifié"),
   "Nouveau")),"")</f>
        <v/>
      </c>
    </row>
    <row r="7480" spans="24:30" x14ac:dyDescent="0.25">
      <c r="X7480" s="8" t="e">
        <f>IF(Final_Sans_VGE[[#This Row],[ppn_z]]="","",IFERROR(
   IF(_xlfn.XLOOKUP(Final_Sans_VGE[[#This Row],[ppn_z]],tbl_Historique_Final[ppn_z],tbl_Historique_Final[date_modif])=Final_Sans_VGE[[#This Row],[date_modif]],
      "Ancien",
      "Modifié"),
   "Nouveau"))</f>
        <v>#VALUE!</v>
      </c>
      <c r="AD7480" s="1" t="str">
        <f>IFERROR(IF(Final_Sans_VGE[[#This Row],[ppn_z]]="","",IFERROR(
   IF(_xlfn.XLOOKUP(Final_Sans_VGE[[#This Row],[ppn_z]],tbl_Historique_Final[[#This Row],[ppn_z]],tbl_Historique_Final[[#This Row],[date_modif]])=Final_Sans_VGE[[#This Row],[date_modif]],
      "Ancien",
      "Modifié"),
   "Nouveau")),"")</f>
        <v/>
      </c>
    </row>
    <row r="7481" spans="24:30" x14ac:dyDescent="0.25">
      <c r="X7481" s="8" t="e">
        <f>IF(Final_Sans_VGE[[#This Row],[ppn_z]]="","",IFERROR(
   IF(_xlfn.XLOOKUP(Final_Sans_VGE[[#This Row],[ppn_z]],tbl_Historique_Final[ppn_z],tbl_Historique_Final[date_modif])=Final_Sans_VGE[[#This Row],[date_modif]],
      "Ancien",
      "Modifié"),
   "Nouveau"))</f>
        <v>#VALUE!</v>
      </c>
      <c r="AD7481" s="1" t="str">
        <f>IFERROR(IF(Final_Sans_VGE[[#This Row],[ppn_z]]="","",IFERROR(
   IF(_xlfn.XLOOKUP(Final_Sans_VGE[[#This Row],[ppn_z]],tbl_Historique_Final[[#This Row],[ppn_z]],tbl_Historique_Final[[#This Row],[date_modif]])=Final_Sans_VGE[[#This Row],[date_modif]],
      "Ancien",
      "Modifié"),
   "Nouveau")),"")</f>
        <v/>
      </c>
    </row>
    <row r="7482" spans="24:30" x14ac:dyDescent="0.25">
      <c r="X7482" s="8" t="e">
        <f>IF(Final_Sans_VGE[[#This Row],[ppn_z]]="","",IFERROR(
   IF(_xlfn.XLOOKUP(Final_Sans_VGE[[#This Row],[ppn_z]],tbl_Historique_Final[ppn_z],tbl_Historique_Final[date_modif])=Final_Sans_VGE[[#This Row],[date_modif]],
      "Ancien",
      "Modifié"),
   "Nouveau"))</f>
        <v>#VALUE!</v>
      </c>
      <c r="AD7482" s="1" t="str">
        <f>IFERROR(IF(Final_Sans_VGE[[#This Row],[ppn_z]]="","",IFERROR(
   IF(_xlfn.XLOOKUP(Final_Sans_VGE[[#This Row],[ppn_z]],tbl_Historique_Final[[#This Row],[ppn_z]],tbl_Historique_Final[[#This Row],[date_modif]])=Final_Sans_VGE[[#This Row],[date_modif]],
      "Ancien",
      "Modifié"),
   "Nouveau")),"")</f>
        <v/>
      </c>
    </row>
    <row r="7483" spans="24:30" x14ac:dyDescent="0.25">
      <c r="X7483" s="8" t="e">
        <f>IF(Final_Sans_VGE[[#This Row],[ppn_z]]="","",IFERROR(
   IF(_xlfn.XLOOKUP(Final_Sans_VGE[[#This Row],[ppn_z]],tbl_Historique_Final[ppn_z],tbl_Historique_Final[date_modif])=Final_Sans_VGE[[#This Row],[date_modif]],
      "Ancien",
      "Modifié"),
   "Nouveau"))</f>
        <v>#VALUE!</v>
      </c>
      <c r="AD7483" s="1" t="str">
        <f>IFERROR(IF(Final_Sans_VGE[[#This Row],[ppn_z]]="","",IFERROR(
   IF(_xlfn.XLOOKUP(Final_Sans_VGE[[#This Row],[ppn_z]],tbl_Historique_Final[[#This Row],[ppn_z]],tbl_Historique_Final[[#This Row],[date_modif]])=Final_Sans_VGE[[#This Row],[date_modif]],
      "Ancien",
      "Modifié"),
   "Nouveau")),"")</f>
        <v/>
      </c>
    </row>
    <row r="7484" spans="24:30" x14ac:dyDescent="0.25">
      <c r="X7484" s="8" t="e">
        <f>IF(Final_Sans_VGE[[#This Row],[ppn_z]]="","",IFERROR(
   IF(_xlfn.XLOOKUP(Final_Sans_VGE[[#This Row],[ppn_z]],tbl_Historique_Final[ppn_z],tbl_Historique_Final[date_modif])=Final_Sans_VGE[[#This Row],[date_modif]],
      "Ancien",
      "Modifié"),
   "Nouveau"))</f>
        <v>#VALUE!</v>
      </c>
      <c r="AD7484" s="1" t="str">
        <f>IFERROR(IF(Final_Sans_VGE[[#This Row],[ppn_z]]="","",IFERROR(
   IF(_xlfn.XLOOKUP(Final_Sans_VGE[[#This Row],[ppn_z]],tbl_Historique_Final[[#This Row],[ppn_z]],tbl_Historique_Final[[#This Row],[date_modif]])=Final_Sans_VGE[[#This Row],[date_modif]],
      "Ancien",
      "Modifié"),
   "Nouveau")),"")</f>
        <v/>
      </c>
    </row>
    <row r="7485" spans="24:30" x14ac:dyDescent="0.25">
      <c r="X7485" s="8" t="e">
        <f>IF(Final_Sans_VGE[[#This Row],[ppn_z]]="","",IFERROR(
   IF(_xlfn.XLOOKUP(Final_Sans_VGE[[#This Row],[ppn_z]],tbl_Historique_Final[ppn_z],tbl_Historique_Final[date_modif])=Final_Sans_VGE[[#This Row],[date_modif]],
      "Ancien",
      "Modifié"),
   "Nouveau"))</f>
        <v>#VALUE!</v>
      </c>
      <c r="AD7485" s="1" t="str">
        <f>IFERROR(IF(Final_Sans_VGE[[#This Row],[ppn_z]]="","",IFERROR(
   IF(_xlfn.XLOOKUP(Final_Sans_VGE[[#This Row],[ppn_z]],tbl_Historique_Final[[#This Row],[ppn_z]],tbl_Historique_Final[[#This Row],[date_modif]])=Final_Sans_VGE[[#This Row],[date_modif]],
      "Ancien",
      "Modifié"),
   "Nouveau")),"")</f>
        <v/>
      </c>
    </row>
    <row r="7486" spans="24:30" x14ac:dyDescent="0.25">
      <c r="X7486" s="8" t="e">
        <f>IF(Final_Sans_VGE[[#This Row],[ppn_z]]="","",IFERROR(
   IF(_xlfn.XLOOKUP(Final_Sans_VGE[[#This Row],[ppn_z]],tbl_Historique_Final[ppn_z],tbl_Historique_Final[date_modif])=Final_Sans_VGE[[#This Row],[date_modif]],
      "Ancien",
      "Modifié"),
   "Nouveau"))</f>
        <v>#VALUE!</v>
      </c>
      <c r="AD7486" s="1" t="str">
        <f>IFERROR(IF(Final_Sans_VGE[[#This Row],[ppn_z]]="","",IFERROR(
   IF(_xlfn.XLOOKUP(Final_Sans_VGE[[#This Row],[ppn_z]],tbl_Historique_Final[[#This Row],[ppn_z]],tbl_Historique_Final[[#This Row],[date_modif]])=Final_Sans_VGE[[#This Row],[date_modif]],
      "Ancien",
      "Modifié"),
   "Nouveau")),"")</f>
        <v/>
      </c>
    </row>
    <row r="7487" spans="24:30" x14ac:dyDescent="0.25">
      <c r="X7487" s="8" t="e">
        <f>IF(Final_Sans_VGE[[#This Row],[ppn_z]]="","",IFERROR(
   IF(_xlfn.XLOOKUP(Final_Sans_VGE[[#This Row],[ppn_z]],tbl_Historique_Final[ppn_z],tbl_Historique_Final[date_modif])=Final_Sans_VGE[[#This Row],[date_modif]],
      "Ancien",
      "Modifié"),
   "Nouveau"))</f>
        <v>#VALUE!</v>
      </c>
      <c r="AD7487" s="1" t="str">
        <f>IFERROR(IF(Final_Sans_VGE[[#This Row],[ppn_z]]="","",IFERROR(
   IF(_xlfn.XLOOKUP(Final_Sans_VGE[[#This Row],[ppn_z]],tbl_Historique_Final[[#This Row],[ppn_z]],tbl_Historique_Final[[#This Row],[date_modif]])=Final_Sans_VGE[[#This Row],[date_modif]],
      "Ancien",
      "Modifié"),
   "Nouveau")),"")</f>
        <v/>
      </c>
    </row>
    <row r="7488" spans="24:30" x14ac:dyDescent="0.25">
      <c r="X7488" s="8" t="e">
        <f>IF(Final_Sans_VGE[[#This Row],[ppn_z]]="","",IFERROR(
   IF(_xlfn.XLOOKUP(Final_Sans_VGE[[#This Row],[ppn_z]],tbl_Historique_Final[ppn_z],tbl_Historique_Final[date_modif])=Final_Sans_VGE[[#This Row],[date_modif]],
      "Ancien",
      "Modifié"),
   "Nouveau"))</f>
        <v>#VALUE!</v>
      </c>
      <c r="AD7488" s="1" t="str">
        <f>IFERROR(IF(Final_Sans_VGE[[#This Row],[ppn_z]]="","",IFERROR(
   IF(_xlfn.XLOOKUP(Final_Sans_VGE[[#This Row],[ppn_z]],tbl_Historique_Final[[#This Row],[ppn_z]],tbl_Historique_Final[[#This Row],[date_modif]])=Final_Sans_VGE[[#This Row],[date_modif]],
      "Ancien",
      "Modifié"),
   "Nouveau")),"")</f>
        <v/>
      </c>
    </row>
    <row r="7489" spans="24:30" x14ac:dyDescent="0.25">
      <c r="X7489" s="8" t="e">
        <f>IF(Final_Sans_VGE[[#This Row],[ppn_z]]="","",IFERROR(
   IF(_xlfn.XLOOKUP(Final_Sans_VGE[[#This Row],[ppn_z]],tbl_Historique_Final[ppn_z],tbl_Historique_Final[date_modif])=Final_Sans_VGE[[#This Row],[date_modif]],
      "Ancien",
      "Modifié"),
   "Nouveau"))</f>
        <v>#VALUE!</v>
      </c>
      <c r="AD7489" s="1" t="str">
        <f>IFERROR(IF(Final_Sans_VGE[[#This Row],[ppn_z]]="","",IFERROR(
   IF(_xlfn.XLOOKUP(Final_Sans_VGE[[#This Row],[ppn_z]],tbl_Historique_Final[[#This Row],[ppn_z]],tbl_Historique_Final[[#This Row],[date_modif]])=Final_Sans_VGE[[#This Row],[date_modif]],
      "Ancien",
      "Modifié"),
   "Nouveau")),"")</f>
        <v/>
      </c>
    </row>
    <row r="7490" spans="24:30" x14ac:dyDescent="0.25">
      <c r="X7490" s="8" t="e">
        <f>IF(Final_Sans_VGE[[#This Row],[ppn_z]]="","",IFERROR(
   IF(_xlfn.XLOOKUP(Final_Sans_VGE[[#This Row],[ppn_z]],tbl_Historique_Final[ppn_z],tbl_Historique_Final[date_modif])=Final_Sans_VGE[[#This Row],[date_modif]],
      "Ancien",
      "Modifié"),
   "Nouveau"))</f>
        <v>#VALUE!</v>
      </c>
      <c r="AD7490" s="1" t="str">
        <f>IFERROR(IF(Final_Sans_VGE[[#This Row],[ppn_z]]="","",IFERROR(
   IF(_xlfn.XLOOKUP(Final_Sans_VGE[[#This Row],[ppn_z]],tbl_Historique_Final[[#This Row],[ppn_z]],tbl_Historique_Final[[#This Row],[date_modif]])=Final_Sans_VGE[[#This Row],[date_modif]],
      "Ancien",
      "Modifié"),
   "Nouveau")),"")</f>
        <v/>
      </c>
    </row>
    <row r="7491" spans="24:30" x14ac:dyDescent="0.25">
      <c r="X7491" s="8" t="e">
        <f>IF(Final_Sans_VGE[[#This Row],[ppn_z]]="","",IFERROR(
   IF(_xlfn.XLOOKUP(Final_Sans_VGE[[#This Row],[ppn_z]],tbl_Historique_Final[ppn_z],tbl_Historique_Final[date_modif])=Final_Sans_VGE[[#This Row],[date_modif]],
      "Ancien",
      "Modifié"),
   "Nouveau"))</f>
        <v>#VALUE!</v>
      </c>
      <c r="AD7491" s="1" t="str">
        <f>IFERROR(IF(Final_Sans_VGE[[#This Row],[ppn_z]]="","",IFERROR(
   IF(_xlfn.XLOOKUP(Final_Sans_VGE[[#This Row],[ppn_z]],tbl_Historique_Final[[#This Row],[ppn_z]],tbl_Historique_Final[[#This Row],[date_modif]])=Final_Sans_VGE[[#This Row],[date_modif]],
      "Ancien",
      "Modifié"),
   "Nouveau")),"")</f>
        <v/>
      </c>
    </row>
    <row r="7492" spans="24:30" x14ac:dyDescent="0.25">
      <c r="X7492" s="8" t="e">
        <f>IF(Final_Sans_VGE[[#This Row],[ppn_z]]="","",IFERROR(
   IF(_xlfn.XLOOKUP(Final_Sans_VGE[[#This Row],[ppn_z]],tbl_Historique_Final[ppn_z],tbl_Historique_Final[date_modif])=Final_Sans_VGE[[#This Row],[date_modif]],
      "Ancien",
      "Modifié"),
   "Nouveau"))</f>
        <v>#VALUE!</v>
      </c>
      <c r="AD7492" s="1" t="str">
        <f>IFERROR(IF(Final_Sans_VGE[[#This Row],[ppn_z]]="","",IFERROR(
   IF(_xlfn.XLOOKUP(Final_Sans_VGE[[#This Row],[ppn_z]],tbl_Historique_Final[[#This Row],[ppn_z]],tbl_Historique_Final[[#This Row],[date_modif]])=Final_Sans_VGE[[#This Row],[date_modif]],
      "Ancien",
      "Modifié"),
   "Nouveau")),"")</f>
        <v/>
      </c>
    </row>
    <row r="7493" spans="24:30" x14ac:dyDescent="0.25">
      <c r="X7493" s="8" t="e">
        <f>IF(Final_Sans_VGE[[#This Row],[ppn_z]]="","",IFERROR(
   IF(_xlfn.XLOOKUP(Final_Sans_VGE[[#This Row],[ppn_z]],tbl_Historique_Final[ppn_z],tbl_Historique_Final[date_modif])=Final_Sans_VGE[[#This Row],[date_modif]],
      "Ancien",
      "Modifié"),
   "Nouveau"))</f>
        <v>#VALUE!</v>
      </c>
      <c r="AD7493" s="1" t="str">
        <f>IFERROR(IF(Final_Sans_VGE[[#This Row],[ppn_z]]="","",IFERROR(
   IF(_xlfn.XLOOKUP(Final_Sans_VGE[[#This Row],[ppn_z]],tbl_Historique_Final[[#This Row],[ppn_z]],tbl_Historique_Final[[#This Row],[date_modif]])=Final_Sans_VGE[[#This Row],[date_modif]],
      "Ancien",
      "Modifié"),
   "Nouveau")),"")</f>
        <v/>
      </c>
    </row>
    <row r="7494" spans="24:30" x14ac:dyDescent="0.25">
      <c r="X7494" s="8" t="e">
        <f>IF(Final_Sans_VGE[[#This Row],[ppn_z]]="","",IFERROR(
   IF(_xlfn.XLOOKUP(Final_Sans_VGE[[#This Row],[ppn_z]],tbl_Historique_Final[ppn_z],tbl_Historique_Final[date_modif])=Final_Sans_VGE[[#This Row],[date_modif]],
      "Ancien",
      "Modifié"),
   "Nouveau"))</f>
        <v>#VALUE!</v>
      </c>
      <c r="AD7494" s="1" t="str">
        <f>IFERROR(IF(Final_Sans_VGE[[#This Row],[ppn_z]]="","",IFERROR(
   IF(_xlfn.XLOOKUP(Final_Sans_VGE[[#This Row],[ppn_z]],tbl_Historique_Final[[#This Row],[ppn_z]],tbl_Historique_Final[[#This Row],[date_modif]])=Final_Sans_VGE[[#This Row],[date_modif]],
      "Ancien",
      "Modifié"),
   "Nouveau")),"")</f>
        <v/>
      </c>
    </row>
    <row r="7495" spans="24:30" x14ac:dyDescent="0.25">
      <c r="X7495" s="8" t="e">
        <f>IF(Final_Sans_VGE[[#This Row],[ppn_z]]="","",IFERROR(
   IF(_xlfn.XLOOKUP(Final_Sans_VGE[[#This Row],[ppn_z]],tbl_Historique_Final[ppn_z],tbl_Historique_Final[date_modif])=Final_Sans_VGE[[#This Row],[date_modif]],
      "Ancien",
      "Modifié"),
   "Nouveau"))</f>
        <v>#VALUE!</v>
      </c>
      <c r="AD7495" s="1" t="str">
        <f>IFERROR(IF(Final_Sans_VGE[[#This Row],[ppn_z]]="","",IFERROR(
   IF(_xlfn.XLOOKUP(Final_Sans_VGE[[#This Row],[ppn_z]],tbl_Historique_Final[[#This Row],[ppn_z]],tbl_Historique_Final[[#This Row],[date_modif]])=Final_Sans_VGE[[#This Row],[date_modif]],
      "Ancien",
      "Modifié"),
   "Nouveau")),"")</f>
        <v/>
      </c>
    </row>
    <row r="7496" spans="24:30" x14ac:dyDescent="0.25">
      <c r="X7496" s="8" t="e">
        <f>IF(Final_Sans_VGE[[#This Row],[ppn_z]]="","",IFERROR(
   IF(_xlfn.XLOOKUP(Final_Sans_VGE[[#This Row],[ppn_z]],tbl_Historique_Final[ppn_z],tbl_Historique_Final[date_modif])=Final_Sans_VGE[[#This Row],[date_modif]],
      "Ancien",
      "Modifié"),
   "Nouveau"))</f>
        <v>#VALUE!</v>
      </c>
      <c r="AD7496" s="1" t="str">
        <f>IFERROR(IF(Final_Sans_VGE[[#This Row],[ppn_z]]="","",IFERROR(
   IF(_xlfn.XLOOKUP(Final_Sans_VGE[[#This Row],[ppn_z]],tbl_Historique_Final[[#This Row],[ppn_z]],tbl_Historique_Final[[#This Row],[date_modif]])=Final_Sans_VGE[[#This Row],[date_modif]],
      "Ancien",
      "Modifié"),
   "Nouveau")),"")</f>
        <v/>
      </c>
    </row>
    <row r="7497" spans="24:30" x14ac:dyDescent="0.25">
      <c r="X7497" s="8" t="e">
        <f>IF(Final_Sans_VGE[[#This Row],[ppn_z]]="","",IFERROR(
   IF(_xlfn.XLOOKUP(Final_Sans_VGE[[#This Row],[ppn_z]],tbl_Historique_Final[ppn_z],tbl_Historique_Final[date_modif])=Final_Sans_VGE[[#This Row],[date_modif]],
      "Ancien",
      "Modifié"),
   "Nouveau"))</f>
        <v>#VALUE!</v>
      </c>
      <c r="AD7497" s="1" t="str">
        <f>IFERROR(IF(Final_Sans_VGE[[#This Row],[ppn_z]]="","",IFERROR(
   IF(_xlfn.XLOOKUP(Final_Sans_VGE[[#This Row],[ppn_z]],tbl_Historique_Final[[#This Row],[ppn_z]],tbl_Historique_Final[[#This Row],[date_modif]])=Final_Sans_VGE[[#This Row],[date_modif]],
      "Ancien",
      "Modifié"),
   "Nouveau")),"")</f>
        <v/>
      </c>
    </row>
    <row r="7498" spans="24:30" x14ac:dyDescent="0.25">
      <c r="X7498" s="8" t="e">
        <f>IF(Final_Sans_VGE[[#This Row],[ppn_z]]="","",IFERROR(
   IF(_xlfn.XLOOKUP(Final_Sans_VGE[[#This Row],[ppn_z]],tbl_Historique_Final[ppn_z],tbl_Historique_Final[date_modif])=Final_Sans_VGE[[#This Row],[date_modif]],
      "Ancien",
      "Modifié"),
   "Nouveau"))</f>
        <v>#VALUE!</v>
      </c>
      <c r="AD7498" s="1" t="str">
        <f>IFERROR(IF(Final_Sans_VGE[[#This Row],[ppn_z]]="","",IFERROR(
   IF(_xlfn.XLOOKUP(Final_Sans_VGE[[#This Row],[ppn_z]],tbl_Historique_Final[[#This Row],[ppn_z]],tbl_Historique_Final[[#This Row],[date_modif]])=Final_Sans_VGE[[#This Row],[date_modif]],
      "Ancien",
      "Modifié"),
   "Nouveau")),"")</f>
        <v/>
      </c>
    </row>
    <row r="7499" spans="24:30" x14ac:dyDescent="0.25">
      <c r="X7499" s="8" t="e">
        <f>IF(Final_Sans_VGE[[#This Row],[ppn_z]]="","",IFERROR(
   IF(_xlfn.XLOOKUP(Final_Sans_VGE[[#This Row],[ppn_z]],tbl_Historique_Final[ppn_z],tbl_Historique_Final[date_modif])=Final_Sans_VGE[[#This Row],[date_modif]],
      "Ancien",
      "Modifié"),
   "Nouveau"))</f>
        <v>#VALUE!</v>
      </c>
      <c r="AD7499" s="1" t="str">
        <f>IFERROR(IF(Final_Sans_VGE[[#This Row],[ppn_z]]="","",IFERROR(
   IF(_xlfn.XLOOKUP(Final_Sans_VGE[[#This Row],[ppn_z]],tbl_Historique_Final[[#This Row],[ppn_z]],tbl_Historique_Final[[#This Row],[date_modif]])=Final_Sans_VGE[[#This Row],[date_modif]],
      "Ancien",
      "Modifié"),
   "Nouveau")),"")</f>
        <v/>
      </c>
    </row>
    <row r="7500" spans="24:30" x14ac:dyDescent="0.25">
      <c r="X7500" s="8" t="e">
        <f>IF(Final_Sans_VGE[[#This Row],[ppn_z]]="","",IFERROR(
   IF(_xlfn.XLOOKUP(Final_Sans_VGE[[#This Row],[ppn_z]],tbl_Historique_Final[ppn_z],tbl_Historique_Final[date_modif])=Final_Sans_VGE[[#This Row],[date_modif]],
      "Ancien",
      "Modifié"),
   "Nouveau"))</f>
        <v>#VALUE!</v>
      </c>
      <c r="AD7500" s="1" t="str">
        <f>IFERROR(IF(Final_Sans_VGE[[#This Row],[ppn_z]]="","",IFERROR(
   IF(_xlfn.XLOOKUP(Final_Sans_VGE[[#This Row],[ppn_z]],tbl_Historique_Final[[#This Row],[ppn_z]],tbl_Historique_Final[[#This Row],[date_modif]])=Final_Sans_VGE[[#This Row],[date_modif]],
      "Ancien",
      "Modifié"),
   "Nouveau")),"")</f>
        <v/>
      </c>
    </row>
    <row r="7501" spans="24:30" x14ac:dyDescent="0.25">
      <c r="X7501" s="8" t="e">
        <f>IF(Final_Sans_VGE[[#This Row],[ppn_z]]="","",IFERROR(
   IF(_xlfn.XLOOKUP(Final_Sans_VGE[[#This Row],[ppn_z]],tbl_Historique_Final[ppn_z],tbl_Historique_Final[date_modif])=Final_Sans_VGE[[#This Row],[date_modif]],
      "Ancien",
      "Modifié"),
   "Nouveau"))</f>
        <v>#VALUE!</v>
      </c>
      <c r="AD7501" s="1" t="str">
        <f>IFERROR(IF(Final_Sans_VGE[[#This Row],[ppn_z]]="","",IFERROR(
   IF(_xlfn.XLOOKUP(Final_Sans_VGE[[#This Row],[ppn_z]],tbl_Historique_Final[[#This Row],[ppn_z]],tbl_Historique_Final[[#This Row],[date_modif]])=Final_Sans_VGE[[#This Row],[date_modif]],
      "Ancien",
      "Modifié"),
   "Nouveau")),"")</f>
        <v/>
      </c>
    </row>
    <row r="7502" spans="24:30" x14ac:dyDescent="0.25">
      <c r="X7502" s="8" t="e">
        <f>IF(Final_Sans_VGE[[#This Row],[ppn_z]]="","",IFERROR(
   IF(_xlfn.XLOOKUP(Final_Sans_VGE[[#This Row],[ppn_z]],tbl_Historique_Final[ppn_z],tbl_Historique_Final[date_modif])=Final_Sans_VGE[[#This Row],[date_modif]],
      "Ancien",
      "Modifié"),
   "Nouveau"))</f>
        <v>#VALUE!</v>
      </c>
      <c r="AD7502" s="1" t="str">
        <f>IFERROR(IF(Final_Sans_VGE[[#This Row],[ppn_z]]="","",IFERROR(
   IF(_xlfn.XLOOKUP(Final_Sans_VGE[[#This Row],[ppn_z]],tbl_Historique_Final[[#This Row],[ppn_z]],tbl_Historique_Final[[#This Row],[date_modif]])=Final_Sans_VGE[[#This Row],[date_modif]],
      "Ancien",
      "Modifié"),
   "Nouveau")),"")</f>
        <v/>
      </c>
    </row>
    <row r="7503" spans="24:30" x14ac:dyDescent="0.25">
      <c r="X7503" s="8" t="e">
        <f>IF(Final_Sans_VGE[[#This Row],[ppn_z]]="","",IFERROR(
   IF(_xlfn.XLOOKUP(Final_Sans_VGE[[#This Row],[ppn_z]],tbl_Historique_Final[ppn_z],tbl_Historique_Final[date_modif])=Final_Sans_VGE[[#This Row],[date_modif]],
      "Ancien",
      "Modifié"),
   "Nouveau"))</f>
        <v>#VALUE!</v>
      </c>
      <c r="AD7503" s="1" t="str">
        <f>IFERROR(IF(Final_Sans_VGE[[#This Row],[ppn_z]]="","",IFERROR(
   IF(_xlfn.XLOOKUP(Final_Sans_VGE[[#This Row],[ppn_z]],tbl_Historique_Final[[#This Row],[ppn_z]],tbl_Historique_Final[[#This Row],[date_modif]])=Final_Sans_VGE[[#This Row],[date_modif]],
      "Ancien",
      "Modifié"),
   "Nouveau")),"")</f>
        <v/>
      </c>
    </row>
    <row r="7504" spans="24:30" x14ac:dyDescent="0.25">
      <c r="X7504" s="8" t="e">
        <f>IF(Final_Sans_VGE[[#This Row],[ppn_z]]="","",IFERROR(
   IF(_xlfn.XLOOKUP(Final_Sans_VGE[[#This Row],[ppn_z]],tbl_Historique_Final[ppn_z],tbl_Historique_Final[date_modif])=Final_Sans_VGE[[#This Row],[date_modif]],
      "Ancien",
      "Modifié"),
   "Nouveau"))</f>
        <v>#VALUE!</v>
      </c>
      <c r="AD7504" s="1" t="str">
        <f>IFERROR(IF(Final_Sans_VGE[[#This Row],[ppn_z]]="","",IFERROR(
   IF(_xlfn.XLOOKUP(Final_Sans_VGE[[#This Row],[ppn_z]],tbl_Historique_Final[[#This Row],[ppn_z]],tbl_Historique_Final[[#This Row],[date_modif]])=Final_Sans_VGE[[#This Row],[date_modif]],
      "Ancien",
      "Modifié"),
   "Nouveau")),"")</f>
        <v/>
      </c>
    </row>
    <row r="7505" spans="24:30" x14ac:dyDescent="0.25">
      <c r="X7505" s="8" t="e">
        <f>IF(Final_Sans_VGE[[#This Row],[ppn_z]]="","",IFERROR(
   IF(_xlfn.XLOOKUP(Final_Sans_VGE[[#This Row],[ppn_z]],tbl_Historique_Final[ppn_z],tbl_Historique_Final[date_modif])=Final_Sans_VGE[[#This Row],[date_modif]],
      "Ancien",
      "Modifié"),
   "Nouveau"))</f>
        <v>#VALUE!</v>
      </c>
      <c r="AD7505" s="1" t="str">
        <f>IFERROR(IF(Final_Sans_VGE[[#This Row],[ppn_z]]="","",IFERROR(
   IF(_xlfn.XLOOKUP(Final_Sans_VGE[[#This Row],[ppn_z]],tbl_Historique_Final[[#This Row],[ppn_z]],tbl_Historique_Final[[#This Row],[date_modif]])=Final_Sans_VGE[[#This Row],[date_modif]],
      "Ancien",
      "Modifié"),
   "Nouveau")),"")</f>
        <v/>
      </c>
    </row>
    <row r="7506" spans="24:30" x14ac:dyDescent="0.25">
      <c r="X7506" s="8" t="e">
        <f>IF(Final_Sans_VGE[[#This Row],[ppn_z]]="","",IFERROR(
   IF(_xlfn.XLOOKUP(Final_Sans_VGE[[#This Row],[ppn_z]],tbl_Historique_Final[ppn_z],tbl_Historique_Final[date_modif])=Final_Sans_VGE[[#This Row],[date_modif]],
      "Ancien",
      "Modifié"),
   "Nouveau"))</f>
        <v>#VALUE!</v>
      </c>
      <c r="AD7506" s="1" t="str">
        <f>IFERROR(IF(Final_Sans_VGE[[#This Row],[ppn_z]]="","",IFERROR(
   IF(_xlfn.XLOOKUP(Final_Sans_VGE[[#This Row],[ppn_z]],tbl_Historique_Final[[#This Row],[ppn_z]],tbl_Historique_Final[[#This Row],[date_modif]])=Final_Sans_VGE[[#This Row],[date_modif]],
      "Ancien",
      "Modifié"),
   "Nouveau")),"")</f>
        <v/>
      </c>
    </row>
    <row r="7507" spans="24:30" x14ac:dyDescent="0.25">
      <c r="X7507" s="8" t="e">
        <f>IF(Final_Sans_VGE[[#This Row],[ppn_z]]="","",IFERROR(
   IF(_xlfn.XLOOKUP(Final_Sans_VGE[[#This Row],[ppn_z]],tbl_Historique_Final[ppn_z],tbl_Historique_Final[date_modif])=Final_Sans_VGE[[#This Row],[date_modif]],
      "Ancien",
      "Modifié"),
   "Nouveau"))</f>
        <v>#VALUE!</v>
      </c>
      <c r="AD7507" s="1" t="str">
        <f>IFERROR(IF(Final_Sans_VGE[[#This Row],[ppn_z]]="","",IFERROR(
   IF(_xlfn.XLOOKUP(Final_Sans_VGE[[#This Row],[ppn_z]],tbl_Historique_Final[[#This Row],[ppn_z]],tbl_Historique_Final[[#This Row],[date_modif]])=Final_Sans_VGE[[#This Row],[date_modif]],
      "Ancien",
      "Modifié"),
   "Nouveau")),"")</f>
        <v/>
      </c>
    </row>
    <row r="7508" spans="24:30" x14ac:dyDescent="0.25">
      <c r="X7508" s="8" t="e">
        <f>IF(Final_Sans_VGE[[#This Row],[ppn_z]]="","",IFERROR(
   IF(_xlfn.XLOOKUP(Final_Sans_VGE[[#This Row],[ppn_z]],tbl_Historique_Final[ppn_z],tbl_Historique_Final[date_modif])=Final_Sans_VGE[[#This Row],[date_modif]],
      "Ancien",
      "Modifié"),
   "Nouveau"))</f>
        <v>#VALUE!</v>
      </c>
      <c r="AD7508" s="1" t="str">
        <f>IFERROR(IF(Final_Sans_VGE[[#This Row],[ppn_z]]="","",IFERROR(
   IF(_xlfn.XLOOKUP(Final_Sans_VGE[[#This Row],[ppn_z]],tbl_Historique_Final[[#This Row],[ppn_z]],tbl_Historique_Final[[#This Row],[date_modif]])=Final_Sans_VGE[[#This Row],[date_modif]],
      "Ancien",
      "Modifié"),
   "Nouveau")),"")</f>
        <v/>
      </c>
    </row>
    <row r="7509" spans="24:30" x14ac:dyDescent="0.25">
      <c r="X7509" s="8" t="e">
        <f>IF(Final_Sans_VGE[[#This Row],[ppn_z]]="","",IFERROR(
   IF(_xlfn.XLOOKUP(Final_Sans_VGE[[#This Row],[ppn_z]],tbl_Historique_Final[ppn_z],tbl_Historique_Final[date_modif])=Final_Sans_VGE[[#This Row],[date_modif]],
      "Ancien",
      "Modifié"),
   "Nouveau"))</f>
        <v>#VALUE!</v>
      </c>
      <c r="AD7509" s="1" t="str">
        <f>IFERROR(IF(Final_Sans_VGE[[#This Row],[ppn_z]]="","",IFERROR(
   IF(_xlfn.XLOOKUP(Final_Sans_VGE[[#This Row],[ppn_z]],tbl_Historique_Final[[#This Row],[ppn_z]],tbl_Historique_Final[[#This Row],[date_modif]])=Final_Sans_VGE[[#This Row],[date_modif]],
      "Ancien",
      "Modifié"),
   "Nouveau")),"")</f>
        <v/>
      </c>
    </row>
    <row r="7510" spans="24:30" x14ac:dyDescent="0.25">
      <c r="X7510" s="8" t="e">
        <f>IF(Final_Sans_VGE[[#This Row],[ppn_z]]="","",IFERROR(
   IF(_xlfn.XLOOKUP(Final_Sans_VGE[[#This Row],[ppn_z]],tbl_Historique_Final[ppn_z],tbl_Historique_Final[date_modif])=Final_Sans_VGE[[#This Row],[date_modif]],
      "Ancien",
      "Modifié"),
   "Nouveau"))</f>
        <v>#VALUE!</v>
      </c>
      <c r="AD7510" s="1" t="str">
        <f>IFERROR(IF(Final_Sans_VGE[[#This Row],[ppn_z]]="","",IFERROR(
   IF(_xlfn.XLOOKUP(Final_Sans_VGE[[#This Row],[ppn_z]],tbl_Historique_Final[[#This Row],[ppn_z]],tbl_Historique_Final[[#This Row],[date_modif]])=Final_Sans_VGE[[#This Row],[date_modif]],
      "Ancien",
      "Modifié"),
   "Nouveau")),"")</f>
        <v/>
      </c>
    </row>
    <row r="7511" spans="24:30" x14ac:dyDescent="0.25">
      <c r="X7511" s="8" t="e">
        <f>IF(Final_Sans_VGE[[#This Row],[ppn_z]]="","",IFERROR(
   IF(_xlfn.XLOOKUP(Final_Sans_VGE[[#This Row],[ppn_z]],tbl_Historique_Final[ppn_z],tbl_Historique_Final[date_modif])=Final_Sans_VGE[[#This Row],[date_modif]],
      "Ancien",
      "Modifié"),
   "Nouveau"))</f>
        <v>#VALUE!</v>
      </c>
      <c r="AD7511" s="1" t="str">
        <f>IFERROR(IF(Final_Sans_VGE[[#This Row],[ppn_z]]="","",IFERROR(
   IF(_xlfn.XLOOKUP(Final_Sans_VGE[[#This Row],[ppn_z]],tbl_Historique_Final[[#This Row],[ppn_z]],tbl_Historique_Final[[#This Row],[date_modif]])=Final_Sans_VGE[[#This Row],[date_modif]],
      "Ancien",
      "Modifié"),
   "Nouveau")),"")</f>
        <v/>
      </c>
    </row>
    <row r="7512" spans="24:30" x14ac:dyDescent="0.25">
      <c r="X7512" s="8" t="e">
        <f>IF(Final_Sans_VGE[[#This Row],[ppn_z]]="","",IFERROR(
   IF(_xlfn.XLOOKUP(Final_Sans_VGE[[#This Row],[ppn_z]],tbl_Historique_Final[ppn_z],tbl_Historique_Final[date_modif])=Final_Sans_VGE[[#This Row],[date_modif]],
      "Ancien",
      "Modifié"),
   "Nouveau"))</f>
        <v>#VALUE!</v>
      </c>
      <c r="AD7512" s="1" t="str">
        <f>IFERROR(IF(Final_Sans_VGE[[#This Row],[ppn_z]]="","",IFERROR(
   IF(_xlfn.XLOOKUP(Final_Sans_VGE[[#This Row],[ppn_z]],tbl_Historique_Final[[#This Row],[ppn_z]],tbl_Historique_Final[[#This Row],[date_modif]])=Final_Sans_VGE[[#This Row],[date_modif]],
      "Ancien",
      "Modifié"),
   "Nouveau")),"")</f>
        <v/>
      </c>
    </row>
    <row r="7513" spans="24:30" x14ac:dyDescent="0.25">
      <c r="X7513" s="8" t="e">
        <f>IF(Final_Sans_VGE[[#This Row],[ppn_z]]="","",IFERROR(
   IF(_xlfn.XLOOKUP(Final_Sans_VGE[[#This Row],[ppn_z]],tbl_Historique_Final[ppn_z],tbl_Historique_Final[date_modif])=Final_Sans_VGE[[#This Row],[date_modif]],
      "Ancien",
      "Modifié"),
   "Nouveau"))</f>
        <v>#VALUE!</v>
      </c>
      <c r="AD7513" s="1" t="str">
        <f>IFERROR(IF(Final_Sans_VGE[[#This Row],[ppn_z]]="","",IFERROR(
   IF(_xlfn.XLOOKUP(Final_Sans_VGE[[#This Row],[ppn_z]],tbl_Historique_Final[[#This Row],[ppn_z]],tbl_Historique_Final[[#This Row],[date_modif]])=Final_Sans_VGE[[#This Row],[date_modif]],
      "Ancien",
      "Modifié"),
   "Nouveau")),"")</f>
        <v/>
      </c>
    </row>
    <row r="7514" spans="24:30" x14ac:dyDescent="0.25">
      <c r="X7514" s="8" t="e">
        <f>IF(Final_Sans_VGE[[#This Row],[ppn_z]]="","",IFERROR(
   IF(_xlfn.XLOOKUP(Final_Sans_VGE[[#This Row],[ppn_z]],tbl_Historique_Final[ppn_z],tbl_Historique_Final[date_modif])=Final_Sans_VGE[[#This Row],[date_modif]],
      "Ancien",
      "Modifié"),
   "Nouveau"))</f>
        <v>#VALUE!</v>
      </c>
      <c r="AD7514" s="1" t="str">
        <f>IFERROR(IF(Final_Sans_VGE[[#This Row],[ppn_z]]="","",IFERROR(
   IF(_xlfn.XLOOKUP(Final_Sans_VGE[[#This Row],[ppn_z]],tbl_Historique_Final[[#This Row],[ppn_z]],tbl_Historique_Final[[#This Row],[date_modif]])=Final_Sans_VGE[[#This Row],[date_modif]],
      "Ancien",
      "Modifié"),
   "Nouveau")),"")</f>
        <v/>
      </c>
    </row>
    <row r="7515" spans="24:30" x14ac:dyDescent="0.25">
      <c r="X7515" s="8" t="e">
        <f>IF(Final_Sans_VGE[[#This Row],[ppn_z]]="","",IFERROR(
   IF(_xlfn.XLOOKUP(Final_Sans_VGE[[#This Row],[ppn_z]],tbl_Historique_Final[ppn_z],tbl_Historique_Final[date_modif])=Final_Sans_VGE[[#This Row],[date_modif]],
      "Ancien",
      "Modifié"),
   "Nouveau"))</f>
        <v>#VALUE!</v>
      </c>
      <c r="AD7515" s="1" t="str">
        <f>IFERROR(IF(Final_Sans_VGE[[#This Row],[ppn_z]]="","",IFERROR(
   IF(_xlfn.XLOOKUP(Final_Sans_VGE[[#This Row],[ppn_z]],tbl_Historique_Final[[#This Row],[ppn_z]],tbl_Historique_Final[[#This Row],[date_modif]])=Final_Sans_VGE[[#This Row],[date_modif]],
      "Ancien",
      "Modifié"),
   "Nouveau")),"")</f>
        <v/>
      </c>
    </row>
    <row r="7516" spans="24:30" x14ac:dyDescent="0.25">
      <c r="X7516" s="8" t="e">
        <f>IF(Final_Sans_VGE[[#This Row],[ppn_z]]="","",IFERROR(
   IF(_xlfn.XLOOKUP(Final_Sans_VGE[[#This Row],[ppn_z]],tbl_Historique_Final[ppn_z],tbl_Historique_Final[date_modif])=Final_Sans_VGE[[#This Row],[date_modif]],
      "Ancien",
      "Modifié"),
   "Nouveau"))</f>
        <v>#VALUE!</v>
      </c>
      <c r="AD7516" s="1" t="str">
        <f>IFERROR(IF(Final_Sans_VGE[[#This Row],[ppn_z]]="","",IFERROR(
   IF(_xlfn.XLOOKUP(Final_Sans_VGE[[#This Row],[ppn_z]],tbl_Historique_Final[[#This Row],[ppn_z]],tbl_Historique_Final[[#This Row],[date_modif]])=Final_Sans_VGE[[#This Row],[date_modif]],
      "Ancien",
      "Modifié"),
   "Nouveau")),"")</f>
        <v/>
      </c>
    </row>
    <row r="7517" spans="24:30" x14ac:dyDescent="0.25">
      <c r="X7517" s="8" t="e">
        <f>IF(Final_Sans_VGE[[#This Row],[ppn_z]]="","",IFERROR(
   IF(_xlfn.XLOOKUP(Final_Sans_VGE[[#This Row],[ppn_z]],tbl_Historique_Final[ppn_z],tbl_Historique_Final[date_modif])=Final_Sans_VGE[[#This Row],[date_modif]],
      "Ancien",
      "Modifié"),
   "Nouveau"))</f>
        <v>#VALUE!</v>
      </c>
      <c r="AD7517" s="1" t="str">
        <f>IFERROR(IF(Final_Sans_VGE[[#This Row],[ppn_z]]="","",IFERROR(
   IF(_xlfn.XLOOKUP(Final_Sans_VGE[[#This Row],[ppn_z]],tbl_Historique_Final[[#This Row],[ppn_z]],tbl_Historique_Final[[#This Row],[date_modif]])=Final_Sans_VGE[[#This Row],[date_modif]],
      "Ancien",
      "Modifié"),
   "Nouveau")),"")</f>
        <v/>
      </c>
    </row>
    <row r="7518" spans="24:30" x14ac:dyDescent="0.25">
      <c r="X7518" s="8" t="e">
        <f>IF(Final_Sans_VGE[[#This Row],[ppn_z]]="","",IFERROR(
   IF(_xlfn.XLOOKUP(Final_Sans_VGE[[#This Row],[ppn_z]],tbl_Historique_Final[ppn_z],tbl_Historique_Final[date_modif])=Final_Sans_VGE[[#This Row],[date_modif]],
      "Ancien",
      "Modifié"),
   "Nouveau"))</f>
        <v>#VALUE!</v>
      </c>
      <c r="AD7518" s="1" t="str">
        <f>IFERROR(IF(Final_Sans_VGE[[#This Row],[ppn_z]]="","",IFERROR(
   IF(_xlfn.XLOOKUP(Final_Sans_VGE[[#This Row],[ppn_z]],tbl_Historique_Final[[#This Row],[ppn_z]],tbl_Historique_Final[[#This Row],[date_modif]])=Final_Sans_VGE[[#This Row],[date_modif]],
      "Ancien",
      "Modifié"),
   "Nouveau")),"")</f>
        <v/>
      </c>
    </row>
    <row r="7519" spans="24:30" x14ac:dyDescent="0.25">
      <c r="X7519" s="8" t="e">
        <f>IF(Final_Sans_VGE[[#This Row],[ppn_z]]="","",IFERROR(
   IF(_xlfn.XLOOKUP(Final_Sans_VGE[[#This Row],[ppn_z]],tbl_Historique_Final[ppn_z],tbl_Historique_Final[date_modif])=Final_Sans_VGE[[#This Row],[date_modif]],
      "Ancien",
      "Modifié"),
   "Nouveau"))</f>
        <v>#VALUE!</v>
      </c>
      <c r="AD7519" s="1" t="str">
        <f>IFERROR(IF(Final_Sans_VGE[[#This Row],[ppn_z]]="","",IFERROR(
   IF(_xlfn.XLOOKUP(Final_Sans_VGE[[#This Row],[ppn_z]],tbl_Historique_Final[[#This Row],[ppn_z]],tbl_Historique_Final[[#This Row],[date_modif]])=Final_Sans_VGE[[#This Row],[date_modif]],
      "Ancien",
      "Modifié"),
   "Nouveau")),"")</f>
        <v/>
      </c>
    </row>
    <row r="7520" spans="24:30" x14ac:dyDescent="0.25">
      <c r="X7520" s="8" t="e">
        <f>IF(Final_Sans_VGE[[#This Row],[ppn_z]]="","",IFERROR(
   IF(_xlfn.XLOOKUP(Final_Sans_VGE[[#This Row],[ppn_z]],tbl_Historique_Final[ppn_z],tbl_Historique_Final[date_modif])=Final_Sans_VGE[[#This Row],[date_modif]],
      "Ancien",
      "Modifié"),
   "Nouveau"))</f>
        <v>#VALUE!</v>
      </c>
      <c r="AD7520" s="1" t="str">
        <f>IFERROR(IF(Final_Sans_VGE[[#This Row],[ppn_z]]="","",IFERROR(
   IF(_xlfn.XLOOKUP(Final_Sans_VGE[[#This Row],[ppn_z]],tbl_Historique_Final[[#This Row],[ppn_z]],tbl_Historique_Final[[#This Row],[date_modif]])=Final_Sans_VGE[[#This Row],[date_modif]],
      "Ancien",
      "Modifié"),
   "Nouveau")),"")</f>
        <v/>
      </c>
    </row>
    <row r="7521" spans="24:30" x14ac:dyDescent="0.25">
      <c r="X7521" s="8" t="e">
        <f>IF(Final_Sans_VGE[[#This Row],[ppn_z]]="","",IFERROR(
   IF(_xlfn.XLOOKUP(Final_Sans_VGE[[#This Row],[ppn_z]],tbl_Historique_Final[ppn_z],tbl_Historique_Final[date_modif])=Final_Sans_VGE[[#This Row],[date_modif]],
      "Ancien",
      "Modifié"),
   "Nouveau"))</f>
        <v>#VALUE!</v>
      </c>
      <c r="AD7521" s="1" t="str">
        <f>IFERROR(IF(Final_Sans_VGE[[#This Row],[ppn_z]]="","",IFERROR(
   IF(_xlfn.XLOOKUP(Final_Sans_VGE[[#This Row],[ppn_z]],tbl_Historique_Final[[#This Row],[ppn_z]],tbl_Historique_Final[[#This Row],[date_modif]])=Final_Sans_VGE[[#This Row],[date_modif]],
      "Ancien",
      "Modifié"),
   "Nouveau")),"")</f>
        <v/>
      </c>
    </row>
    <row r="7522" spans="24:30" x14ac:dyDescent="0.25">
      <c r="X7522" s="8" t="e">
        <f>IF(Final_Sans_VGE[[#This Row],[ppn_z]]="","",IFERROR(
   IF(_xlfn.XLOOKUP(Final_Sans_VGE[[#This Row],[ppn_z]],tbl_Historique_Final[ppn_z],tbl_Historique_Final[date_modif])=Final_Sans_VGE[[#This Row],[date_modif]],
      "Ancien",
      "Modifié"),
   "Nouveau"))</f>
        <v>#VALUE!</v>
      </c>
      <c r="AD7522" s="1" t="str">
        <f>IFERROR(IF(Final_Sans_VGE[[#This Row],[ppn_z]]="","",IFERROR(
   IF(_xlfn.XLOOKUP(Final_Sans_VGE[[#This Row],[ppn_z]],tbl_Historique_Final[[#This Row],[ppn_z]],tbl_Historique_Final[[#This Row],[date_modif]])=Final_Sans_VGE[[#This Row],[date_modif]],
      "Ancien",
      "Modifié"),
   "Nouveau")),"")</f>
        <v/>
      </c>
    </row>
    <row r="7523" spans="24:30" x14ac:dyDescent="0.25">
      <c r="X7523" s="8" t="e">
        <f>IF(Final_Sans_VGE[[#This Row],[ppn_z]]="","",IFERROR(
   IF(_xlfn.XLOOKUP(Final_Sans_VGE[[#This Row],[ppn_z]],tbl_Historique_Final[ppn_z],tbl_Historique_Final[date_modif])=Final_Sans_VGE[[#This Row],[date_modif]],
      "Ancien",
      "Modifié"),
   "Nouveau"))</f>
        <v>#VALUE!</v>
      </c>
      <c r="AD7523" s="1" t="str">
        <f>IFERROR(IF(Final_Sans_VGE[[#This Row],[ppn_z]]="","",IFERROR(
   IF(_xlfn.XLOOKUP(Final_Sans_VGE[[#This Row],[ppn_z]],tbl_Historique_Final[[#This Row],[ppn_z]],tbl_Historique_Final[[#This Row],[date_modif]])=Final_Sans_VGE[[#This Row],[date_modif]],
      "Ancien",
      "Modifié"),
   "Nouveau")),"")</f>
        <v/>
      </c>
    </row>
    <row r="7524" spans="24:30" x14ac:dyDescent="0.25">
      <c r="X7524" s="8" t="e">
        <f>IF(Final_Sans_VGE[[#This Row],[ppn_z]]="","",IFERROR(
   IF(_xlfn.XLOOKUP(Final_Sans_VGE[[#This Row],[ppn_z]],tbl_Historique_Final[ppn_z],tbl_Historique_Final[date_modif])=Final_Sans_VGE[[#This Row],[date_modif]],
      "Ancien",
      "Modifié"),
   "Nouveau"))</f>
        <v>#VALUE!</v>
      </c>
      <c r="AD7524" s="1" t="str">
        <f>IFERROR(IF(Final_Sans_VGE[[#This Row],[ppn_z]]="","",IFERROR(
   IF(_xlfn.XLOOKUP(Final_Sans_VGE[[#This Row],[ppn_z]],tbl_Historique_Final[[#This Row],[ppn_z]],tbl_Historique_Final[[#This Row],[date_modif]])=Final_Sans_VGE[[#This Row],[date_modif]],
      "Ancien",
      "Modifié"),
   "Nouveau")),"")</f>
        <v/>
      </c>
    </row>
    <row r="7525" spans="24:30" x14ac:dyDescent="0.25">
      <c r="X7525" s="8" t="e">
        <f>IF(Final_Sans_VGE[[#This Row],[ppn_z]]="","",IFERROR(
   IF(_xlfn.XLOOKUP(Final_Sans_VGE[[#This Row],[ppn_z]],tbl_Historique_Final[ppn_z],tbl_Historique_Final[date_modif])=Final_Sans_VGE[[#This Row],[date_modif]],
      "Ancien",
      "Modifié"),
   "Nouveau"))</f>
        <v>#VALUE!</v>
      </c>
      <c r="AD7525" s="1" t="str">
        <f>IFERROR(IF(Final_Sans_VGE[[#This Row],[ppn_z]]="","",IFERROR(
   IF(_xlfn.XLOOKUP(Final_Sans_VGE[[#This Row],[ppn_z]],tbl_Historique_Final[[#This Row],[ppn_z]],tbl_Historique_Final[[#This Row],[date_modif]])=Final_Sans_VGE[[#This Row],[date_modif]],
      "Ancien",
      "Modifié"),
   "Nouveau")),"")</f>
        <v/>
      </c>
    </row>
    <row r="7526" spans="24:30" x14ac:dyDescent="0.25">
      <c r="X7526" s="8" t="e">
        <f>IF(Final_Sans_VGE[[#This Row],[ppn_z]]="","",IFERROR(
   IF(_xlfn.XLOOKUP(Final_Sans_VGE[[#This Row],[ppn_z]],tbl_Historique_Final[ppn_z],tbl_Historique_Final[date_modif])=Final_Sans_VGE[[#This Row],[date_modif]],
      "Ancien",
      "Modifié"),
   "Nouveau"))</f>
        <v>#VALUE!</v>
      </c>
      <c r="AD7526" s="1" t="str">
        <f>IFERROR(IF(Final_Sans_VGE[[#This Row],[ppn_z]]="","",IFERROR(
   IF(_xlfn.XLOOKUP(Final_Sans_VGE[[#This Row],[ppn_z]],tbl_Historique_Final[[#This Row],[ppn_z]],tbl_Historique_Final[[#This Row],[date_modif]])=Final_Sans_VGE[[#This Row],[date_modif]],
      "Ancien",
      "Modifié"),
   "Nouveau")),"")</f>
        <v/>
      </c>
    </row>
    <row r="7527" spans="24:30" x14ac:dyDescent="0.25">
      <c r="X7527" s="8" t="e">
        <f>IF(Final_Sans_VGE[[#This Row],[ppn_z]]="","",IFERROR(
   IF(_xlfn.XLOOKUP(Final_Sans_VGE[[#This Row],[ppn_z]],tbl_Historique_Final[ppn_z],tbl_Historique_Final[date_modif])=Final_Sans_VGE[[#This Row],[date_modif]],
      "Ancien",
      "Modifié"),
   "Nouveau"))</f>
        <v>#VALUE!</v>
      </c>
      <c r="AD7527" s="1" t="str">
        <f>IFERROR(IF(Final_Sans_VGE[[#This Row],[ppn_z]]="","",IFERROR(
   IF(_xlfn.XLOOKUP(Final_Sans_VGE[[#This Row],[ppn_z]],tbl_Historique_Final[[#This Row],[ppn_z]],tbl_Historique_Final[[#This Row],[date_modif]])=Final_Sans_VGE[[#This Row],[date_modif]],
      "Ancien",
      "Modifié"),
   "Nouveau")),"")</f>
        <v/>
      </c>
    </row>
    <row r="7528" spans="24:30" x14ac:dyDescent="0.25">
      <c r="X7528" s="8" t="e">
        <f>IF(Final_Sans_VGE[[#This Row],[ppn_z]]="","",IFERROR(
   IF(_xlfn.XLOOKUP(Final_Sans_VGE[[#This Row],[ppn_z]],tbl_Historique_Final[ppn_z],tbl_Historique_Final[date_modif])=Final_Sans_VGE[[#This Row],[date_modif]],
      "Ancien",
      "Modifié"),
   "Nouveau"))</f>
        <v>#VALUE!</v>
      </c>
      <c r="AD7528" s="1" t="str">
        <f>IFERROR(IF(Final_Sans_VGE[[#This Row],[ppn_z]]="","",IFERROR(
   IF(_xlfn.XLOOKUP(Final_Sans_VGE[[#This Row],[ppn_z]],tbl_Historique_Final[[#This Row],[ppn_z]],tbl_Historique_Final[[#This Row],[date_modif]])=Final_Sans_VGE[[#This Row],[date_modif]],
      "Ancien",
      "Modifié"),
   "Nouveau")),"")</f>
        <v/>
      </c>
    </row>
    <row r="7529" spans="24:30" x14ac:dyDescent="0.25">
      <c r="X7529" s="8" t="e">
        <f>IF(Final_Sans_VGE[[#This Row],[ppn_z]]="","",IFERROR(
   IF(_xlfn.XLOOKUP(Final_Sans_VGE[[#This Row],[ppn_z]],tbl_Historique_Final[ppn_z],tbl_Historique_Final[date_modif])=Final_Sans_VGE[[#This Row],[date_modif]],
      "Ancien",
      "Modifié"),
   "Nouveau"))</f>
        <v>#VALUE!</v>
      </c>
      <c r="AD7529" s="1" t="str">
        <f>IFERROR(IF(Final_Sans_VGE[[#This Row],[ppn_z]]="","",IFERROR(
   IF(_xlfn.XLOOKUP(Final_Sans_VGE[[#This Row],[ppn_z]],tbl_Historique_Final[[#This Row],[ppn_z]],tbl_Historique_Final[[#This Row],[date_modif]])=Final_Sans_VGE[[#This Row],[date_modif]],
      "Ancien",
      "Modifié"),
   "Nouveau")),"")</f>
        <v/>
      </c>
    </row>
    <row r="7530" spans="24:30" x14ac:dyDescent="0.25">
      <c r="X7530" s="8" t="e">
        <f>IF(Final_Sans_VGE[[#This Row],[ppn_z]]="","",IFERROR(
   IF(_xlfn.XLOOKUP(Final_Sans_VGE[[#This Row],[ppn_z]],tbl_Historique_Final[ppn_z],tbl_Historique_Final[date_modif])=Final_Sans_VGE[[#This Row],[date_modif]],
      "Ancien",
      "Modifié"),
   "Nouveau"))</f>
        <v>#VALUE!</v>
      </c>
      <c r="AD7530" s="1" t="str">
        <f>IFERROR(IF(Final_Sans_VGE[[#This Row],[ppn_z]]="","",IFERROR(
   IF(_xlfn.XLOOKUP(Final_Sans_VGE[[#This Row],[ppn_z]],tbl_Historique_Final[[#This Row],[ppn_z]],tbl_Historique_Final[[#This Row],[date_modif]])=Final_Sans_VGE[[#This Row],[date_modif]],
      "Ancien",
      "Modifié"),
   "Nouveau")),"")</f>
        <v/>
      </c>
    </row>
    <row r="7531" spans="24:30" x14ac:dyDescent="0.25">
      <c r="X7531" s="8" t="e">
        <f>IF(Final_Sans_VGE[[#This Row],[ppn_z]]="","",IFERROR(
   IF(_xlfn.XLOOKUP(Final_Sans_VGE[[#This Row],[ppn_z]],tbl_Historique_Final[ppn_z],tbl_Historique_Final[date_modif])=Final_Sans_VGE[[#This Row],[date_modif]],
      "Ancien",
      "Modifié"),
   "Nouveau"))</f>
        <v>#VALUE!</v>
      </c>
      <c r="AD7531" s="1" t="str">
        <f>IFERROR(IF(Final_Sans_VGE[[#This Row],[ppn_z]]="","",IFERROR(
   IF(_xlfn.XLOOKUP(Final_Sans_VGE[[#This Row],[ppn_z]],tbl_Historique_Final[[#This Row],[ppn_z]],tbl_Historique_Final[[#This Row],[date_modif]])=Final_Sans_VGE[[#This Row],[date_modif]],
      "Ancien",
      "Modifié"),
   "Nouveau")),"")</f>
        <v/>
      </c>
    </row>
    <row r="7532" spans="24:30" x14ac:dyDescent="0.25">
      <c r="X7532" s="8" t="e">
        <f>IF(Final_Sans_VGE[[#This Row],[ppn_z]]="","",IFERROR(
   IF(_xlfn.XLOOKUP(Final_Sans_VGE[[#This Row],[ppn_z]],tbl_Historique_Final[ppn_z],tbl_Historique_Final[date_modif])=Final_Sans_VGE[[#This Row],[date_modif]],
      "Ancien",
      "Modifié"),
   "Nouveau"))</f>
        <v>#VALUE!</v>
      </c>
      <c r="AD7532" s="1" t="str">
        <f>IFERROR(IF(Final_Sans_VGE[[#This Row],[ppn_z]]="","",IFERROR(
   IF(_xlfn.XLOOKUP(Final_Sans_VGE[[#This Row],[ppn_z]],tbl_Historique_Final[[#This Row],[ppn_z]],tbl_Historique_Final[[#This Row],[date_modif]])=Final_Sans_VGE[[#This Row],[date_modif]],
      "Ancien",
      "Modifié"),
   "Nouveau")),"")</f>
        <v/>
      </c>
    </row>
    <row r="7533" spans="24:30" x14ac:dyDescent="0.25">
      <c r="X7533" s="8" t="e">
        <f>IF(Final_Sans_VGE[[#This Row],[ppn_z]]="","",IFERROR(
   IF(_xlfn.XLOOKUP(Final_Sans_VGE[[#This Row],[ppn_z]],tbl_Historique_Final[ppn_z],tbl_Historique_Final[date_modif])=Final_Sans_VGE[[#This Row],[date_modif]],
      "Ancien",
      "Modifié"),
   "Nouveau"))</f>
        <v>#VALUE!</v>
      </c>
      <c r="AD7533" s="1" t="str">
        <f>IFERROR(IF(Final_Sans_VGE[[#This Row],[ppn_z]]="","",IFERROR(
   IF(_xlfn.XLOOKUP(Final_Sans_VGE[[#This Row],[ppn_z]],tbl_Historique_Final[[#This Row],[ppn_z]],tbl_Historique_Final[[#This Row],[date_modif]])=Final_Sans_VGE[[#This Row],[date_modif]],
      "Ancien",
      "Modifié"),
   "Nouveau")),"")</f>
        <v/>
      </c>
    </row>
    <row r="7534" spans="24:30" x14ac:dyDescent="0.25">
      <c r="X7534" s="8" t="e">
        <f>IF(Final_Sans_VGE[[#This Row],[ppn_z]]="","",IFERROR(
   IF(_xlfn.XLOOKUP(Final_Sans_VGE[[#This Row],[ppn_z]],tbl_Historique_Final[ppn_z],tbl_Historique_Final[date_modif])=Final_Sans_VGE[[#This Row],[date_modif]],
      "Ancien",
      "Modifié"),
   "Nouveau"))</f>
        <v>#VALUE!</v>
      </c>
      <c r="AD7534" s="1" t="str">
        <f>IFERROR(IF(Final_Sans_VGE[[#This Row],[ppn_z]]="","",IFERROR(
   IF(_xlfn.XLOOKUP(Final_Sans_VGE[[#This Row],[ppn_z]],tbl_Historique_Final[[#This Row],[ppn_z]],tbl_Historique_Final[[#This Row],[date_modif]])=Final_Sans_VGE[[#This Row],[date_modif]],
      "Ancien",
      "Modifié"),
   "Nouveau")),"")</f>
        <v/>
      </c>
    </row>
    <row r="7535" spans="24:30" x14ac:dyDescent="0.25">
      <c r="X7535" s="8" t="e">
        <f>IF(Final_Sans_VGE[[#This Row],[ppn_z]]="","",IFERROR(
   IF(_xlfn.XLOOKUP(Final_Sans_VGE[[#This Row],[ppn_z]],tbl_Historique_Final[ppn_z],tbl_Historique_Final[date_modif])=Final_Sans_VGE[[#This Row],[date_modif]],
      "Ancien",
      "Modifié"),
   "Nouveau"))</f>
        <v>#VALUE!</v>
      </c>
      <c r="AD7535" s="1" t="str">
        <f>IFERROR(IF(Final_Sans_VGE[[#This Row],[ppn_z]]="","",IFERROR(
   IF(_xlfn.XLOOKUP(Final_Sans_VGE[[#This Row],[ppn_z]],tbl_Historique_Final[[#This Row],[ppn_z]],tbl_Historique_Final[[#This Row],[date_modif]])=Final_Sans_VGE[[#This Row],[date_modif]],
      "Ancien",
      "Modifié"),
   "Nouveau")),"")</f>
        <v/>
      </c>
    </row>
    <row r="7536" spans="24:30" x14ac:dyDescent="0.25">
      <c r="X7536" s="8" t="e">
        <f>IF(Final_Sans_VGE[[#This Row],[ppn_z]]="","",IFERROR(
   IF(_xlfn.XLOOKUP(Final_Sans_VGE[[#This Row],[ppn_z]],tbl_Historique_Final[ppn_z],tbl_Historique_Final[date_modif])=Final_Sans_VGE[[#This Row],[date_modif]],
      "Ancien",
      "Modifié"),
   "Nouveau"))</f>
        <v>#VALUE!</v>
      </c>
      <c r="AD7536" s="1" t="str">
        <f>IFERROR(IF(Final_Sans_VGE[[#This Row],[ppn_z]]="","",IFERROR(
   IF(_xlfn.XLOOKUP(Final_Sans_VGE[[#This Row],[ppn_z]],tbl_Historique_Final[[#This Row],[ppn_z]],tbl_Historique_Final[[#This Row],[date_modif]])=Final_Sans_VGE[[#This Row],[date_modif]],
      "Ancien",
      "Modifié"),
   "Nouveau")),"")</f>
        <v/>
      </c>
    </row>
    <row r="7537" spans="24:30" x14ac:dyDescent="0.25">
      <c r="X7537" s="8" t="e">
        <f>IF(Final_Sans_VGE[[#This Row],[ppn_z]]="","",IFERROR(
   IF(_xlfn.XLOOKUP(Final_Sans_VGE[[#This Row],[ppn_z]],tbl_Historique_Final[ppn_z],tbl_Historique_Final[date_modif])=Final_Sans_VGE[[#This Row],[date_modif]],
      "Ancien",
      "Modifié"),
   "Nouveau"))</f>
        <v>#VALUE!</v>
      </c>
      <c r="AD7537" s="1" t="str">
        <f>IFERROR(IF(Final_Sans_VGE[[#This Row],[ppn_z]]="","",IFERROR(
   IF(_xlfn.XLOOKUP(Final_Sans_VGE[[#This Row],[ppn_z]],tbl_Historique_Final[[#This Row],[ppn_z]],tbl_Historique_Final[[#This Row],[date_modif]])=Final_Sans_VGE[[#This Row],[date_modif]],
      "Ancien",
      "Modifié"),
   "Nouveau")),"")</f>
        <v/>
      </c>
    </row>
    <row r="7538" spans="24:30" x14ac:dyDescent="0.25">
      <c r="X7538" s="8" t="e">
        <f>IF(Final_Sans_VGE[[#This Row],[ppn_z]]="","",IFERROR(
   IF(_xlfn.XLOOKUP(Final_Sans_VGE[[#This Row],[ppn_z]],tbl_Historique_Final[ppn_z],tbl_Historique_Final[date_modif])=Final_Sans_VGE[[#This Row],[date_modif]],
      "Ancien",
      "Modifié"),
   "Nouveau"))</f>
        <v>#VALUE!</v>
      </c>
      <c r="AD7538" s="1" t="str">
        <f>IFERROR(IF(Final_Sans_VGE[[#This Row],[ppn_z]]="","",IFERROR(
   IF(_xlfn.XLOOKUP(Final_Sans_VGE[[#This Row],[ppn_z]],tbl_Historique_Final[[#This Row],[ppn_z]],tbl_Historique_Final[[#This Row],[date_modif]])=Final_Sans_VGE[[#This Row],[date_modif]],
      "Ancien",
      "Modifié"),
   "Nouveau")),"")</f>
        <v/>
      </c>
    </row>
    <row r="7539" spans="24:30" x14ac:dyDescent="0.25">
      <c r="X7539" s="8" t="e">
        <f>IF(Final_Sans_VGE[[#This Row],[ppn_z]]="","",IFERROR(
   IF(_xlfn.XLOOKUP(Final_Sans_VGE[[#This Row],[ppn_z]],tbl_Historique_Final[ppn_z],tbl_Historique_Final[date_modif])=Final_Sans_VGE[[#This Row],[date_modif]],
      "Ancien",
      "Modifié"),
   "Nouveau"))</f>
        <v>#VALUE!</v>
      </c>
      <c r="AD7539" s="1" t="str">
        <f>IFERROR(IF(Final_Sans_VGE[[#This Row],[ppn_z]]="","",IFERROR(
   IF(_xlfn.XLOOKUP(Final_Sans_VGE[[#This Row],[ppn_z]],tbl_Historique_Final[[#This Row],[ppn_z]],tbl_Historique_Final[[#This Row],[date_modif]])=Final_Sans_VGE[[#This Row],[date_modif]],
      "Ancien",
      "Modifié"),
   "Nouveau")),"")</f>
        <v/>
      </c>
    </row>
    <row r="7540" spans="24:30" x14ac:dyDescent="0.25">
      <c r="X7540" s="8" t="e">
        <f>IF(Final_Sans_VGE[[#This Row],[ppn_z]]="","",IFERROR(
   IF(_xlfn.XLOOKUP(Final_Sans_VGE[[#This Row],[ppn_z]],tbl_Historique_Final[ppn_z],tbl_Historique_Final[date_modif])=Final_Sans_VGE[[#This Row],[date_modif]],
      "Ancien",
      "Modifié"),
   "Nouveau"))</f>
        <v>#VALUE!</v>
      </c>
      <c r="AD7540" s="1" t="str">
        <f>IFERROR(IF(Final_Sans_VGE[[#This Row],[ppn_z]]="","",IFERROR(
   IF(_xlfn.XLOOKUP(Final_Sans_VGE[[#This Row],[ppn_z]],tbl_Historique_Final[[#This Row],[ppn_z]],tbl_Historique_Final[[#This Row],[date_modif]])=Final_Sans_VGE[[#This Row],[date_modif]],
      "Ancien",
      "Modifié"),
   "Nouveau")),"")</f>
        <v/>
      </c>
    </row>
    <row r="7541" spans="24:30" x14ac:dyDescent="0.25">
      <c r="X7541" s="8" t="e">
        <f>IF(Final_Sans_VGE[[#This Row],[ppn_z]]="","",IFERROR(
   IF(_xlfn.XLOOKUP(Final_Sans_VGE[[#This Row],[ppn_z]],tbl_Historique_Final[ppn_z],tbl_Historique_Final[date_modif])=Final_Sans_VGE[[#This Row],[date_modif]],
      "Ancien",
      "Modifié"),
   "Nouveau"))</f>
        <v>#VALUE!</v>
      </c>
      <c r="AD7541" s="1" t="str">
        <f>IFERROR(IF(Final_Sans_VGE[[#This Row],[ppn_z]]="","",IFERROR(
   IF(_xlfn.XLOOKUP(Final_Sans_VGE[[#This Row],[ppn_z]],tbl_Historique_Final[[#This Row],[ppn_z]],tbl_Historique_Final[[#This Row],[date_modif]])=Final_Sans_VGE[[#This Row],[date_modif]],
      "Ancien",
      "Modifié"),
   "Nouveau")),"")</f>
        <v/>
      </c>
    </row>
    <row r="7542" spans="24:30" x14ac:dyDescent="0.25">
      <c r="X7542" s="8" t="e">
        <f>IF(Final_Sans_VGE[[#This Row],[ppn_z]]="","",IFERROR(
   IF(_xlfn.XLOOKUP(Final_Sans_VGE[[#This Row],[ppn_z]],tbl_Historique_Final[ppn_z],tbl_Historique_Final[date_modif])=Final_Sans_VGE[[#This Row],[date_modif]],
      "Ancien",
      "Modifié"),
   "Nouveau"))</f>
        <v>#VALUE!</v>
      </c>
      <c r="AD7542" s="1" t="str">
        <f>IFERROR(IF(Final_Sans_VGE[[#This Row],[ppn_z]]="","",IFERROR(
   IF(_xlfn.XLOOKUP(Final_Sans_VGE[[#This Row],[ppn_z]],tbl_Historique_Final[[#This Row],[ppn_z]],tbl_Historique_Final[[#This Row],[date_modif]])=Final_Sans_VGE[[#This Row],[date_modif]],
      "Ancien",
      "Modifié"),
   "Nouveau")),"")</f>
        <v/>
      </c>
    </row>
    <row r="7543" spans="24:30" x14ac:dyDescent="0.25">
      <c r="X7543" s="8" t="e">
        <f>IF(Final_Sans_VGE[[#This Row],[ppn_z]]="","",IFERROR(
   IF(_xlfn.XLOOKUP(Final_Sans_VGE[[#This Row],[ppn_z]],tbl_Historique_Final[ppn_z],tbl_Historique_Final[date_modif])=Final_Sans_VGE[[#This Row],[date_modif]],
      "Ancien",
      "Modifié"),
   "Nouveau"))</f>
        <v>#VALUE!</v>
      </c>
      <c r="AD7543" s="1" t="str">
        <f>IFERROR(IF(Final_Sans_VGE[[#This Row],[ppn_z]]="","",IFERROR(
   IF(_xlfn.XLOOKUP(Final_Sans_VGE[[#This Row],[ppn_z]],tbl_Historique_Final[[#This Row],[ppn_z]],tbl_Historique_Final[[#This Row],[date_modif]])=Final_Sans_VGE[[#This Row],[date_modif]],
      "Ancien",
      "Modifié"),
   "Nouveau")),"")</f>
        <v/>
      </c>
    </row>
    <row r="7544" spans="24:30" x14ac:dyDescent="0.25">
      <c r="X7544" s="8" t="e">
        <f>IF(Final_Sans_VGE[[#This Row],[ppn_z]]="","",IFERROR(
   IF(_xlfn.XLOOKUP(Final_Sans_VGE[[#This Row],[ppn_z]],tbl_Historique_Final[ppn_z],tbl_Historique_Final[date_modif])=Final_Sans_VGE[[#This Row],[date_modif]],
      "Ancien",
      "Modifié"),
   "Nouveau"))</f>
        <v>#VALUE!</v>
      </c>
      <c r="AD7544" s="1" t="str">
        <f>IFERROR(IF(Final_Sans_VGE[[#This Row],[ppn_z]]="","",IFERROR(
   IF(_xlfn.XLOOKUP(Final_Sans_VGE[[#This Row],[ppn_z]],tbl_Historique_Final[[#This Row],[ppn_z]],tbl_Historique_Final[[#This Row],[date_modif]])=Final_Sans_VGE[[#This Row],[date_modif]],
      "Ancien",
      "Modifié"),
   "Nouveau")),"")</f>
        <v/>
      </c>
    </row>
    <row r="7545" spans="24:30" x14ac:dyDescent="0.25">
      <c r="X7545" s="8" t="e">
        <f>IF(Final_Sans_VGE[[#This Row],[ppn_z]]="","",IFERROR(
   IF(_xlfn.XLOOKUP(Final_Sans_VGE[[#This Row],[ppn_z]],tbl_Historique_Final[ppn_z],tbl_Historique_Final[date_modif])=Final_Sans_VGE[[#This Row],[date_modif]],
      "Ancien",
      "Modifié"),
   "Nouveau"))</f>
        <v>#VALUE!</v>
      </c>
      <c r="AD7545" s="1" t="str">
        <f>IFERROR(IF(Final_Sans_VGE[[#This Row],[ppn_z]]="","",IFERROR(
   IF(_xlfn.XLOOKUP(Final_Sans_VGE[[#This Row],[ppn_z]],tbl_Historique_Final[[#This Row],[ppn_z]],tbl_Historique_Final[[#This Row],[date_modif]])=Final_Sans_VGE[[#This Row],[date_modif]],
      "Ancien",
      "Modifié"),
   "Nouveau")),"")</f>
        <v/>
      </c>
    </row>
    <row r="7546" spans="24:30" x14ac:dyDescent="0.25">
      <c r="X7546" s="8" t="e">
        <f>IF(Final_Sans_VGE[[#This Row],[ppn_z]]="","",IFERROR(
   IF(_xlfn.XLOOKUP(Final_Sans_VGE[[#This Row],[ppn_z]],tbl_Historique_Final[ppn_z],tbl_Historique_Final[date_modif])=Final_Sans_VGE[[#This Row],[date_modif]],
      "Ancien",
      "Modifié"),
   "Nouveau"))</f>
        <v>#VALUE!</v>
      </c>
      <c r="AD7546" s="1" t="str">
        <f>IFERROR(IF(Final_Sans_VGE[[#This Row],[ppn_z]]="","",IFERROR(
   IF(_xlfn.XLOOKUP(Final_Sans_VGE[[#This Row],[ppn_z]],tbl_Historique_Final[[#This Row],[ppn_z]],tbl_Historique_Final[[#This Row],[date_modif]])=Final_Sans_VGE[[#This Row],[date_modif]],
      "Ancien",
      "Modifié"),
   "Nouveau")),"")</f>
        <v/>
      </c>
    </row>
    <row r="7547" spans="24:30" x14ac:dyDescent="0.25">
      <c r="X7547" s="8" t="e">
        <f>IF(Final_Sans_VGE[[#This Row],[ppn_z]]="","",IFERROR(
   IF(_xlfn.XLOOKUP(Final_Sans_VGE[[#This Row],[ppn_z]],tbl_Historique_Final[ppn_z],tbl_Historique_Final[date_modif])=Final_Sans_VGE[[#This Row],[date_modif]],
      "Ancien",
      "Modifié"),
   "Nouveau"))</f>
        <v>#VALUE!</v>
      </c>
      <c r="AD7547" s="1" t="str">
        <f>IFERROR(IF(Final_Sans_VGE[[#This Row],[ppn_z]]="","",IFERROR(
   IF(_xlfn.XLOOKUP(Final_Sans_VGE[[#This Row],[ppn_z]],tbl_Historique_Final[[#This Row],[ppn_z]],tbl_Historique_Final[[#This Row],[date_modif]])=Final_Sans_VGE[[#This Row],[date_modif]],
      "Ancien",
      "Modifié"),
   "Nouveau")),"")</f>
        <v/>
      </c>
    </row>
    <row r="7548" spans="24:30" x14ac:dyDescent="0.25">
      <c r="X7548" s="8" t="e">
        <f>IF(Final_Sans_VGE[[#This Row],[ppn_z]]="","",IFERROR(
   IF(_xlfn.XLOOKUP(Final_Sans_VGE[[#This Row],[ppn_z]],tbl_Historique_Final[ppn_z],tbl_Historique_Final[date_modif])=Final_Sans_VGE[[#This Row],[date_modif]],
      "Ancien",
      "Modifié"),
   "Nouveau"))</f>
        <v>#VALUE!</v>
      </c>
      <c r="AD7548" s="1" t="str">
        <f>IFERROR(IF(Final_Sans_VGE[[#This Row],[ppn_z]]="","",IFERROR(
   IF(_xlfn.XLOOKUP(Final_Sans_VGE[[#This Row],[ppn_z]],tbl_Historique_Final[[#This Row],[ppn_z]],tbl_Historique_Final[[#This Row],[date_modif]])=Final_Sans_VGE[[#This Row],[date_modif]],
      "Ancien",
      "Modifié"),
   "Nouveau")),"")</f>
        <v/>
      </c>
    </row>
    <row r="7549" spans="24:30" x14ac:dyDescent="0.25">
      <c r="X7549" s="8" t="e">
        <f>IF(Final_Sans_VGE[[#This Row],[ppn_z]]="","",IFERROR(
   IF(_xlfn.XLOOKUP(Final_Sans_VGE[[#This Row],[ppn_z]],tbl_Historique_Final[ppn_z],tbl_Historique_Final[date_modif])=Final_Sans_VGE[[#This Row],[date_modif]],
      "Ancien",
      "Modifié"),
   "Nouveau"))</f>
        <v>#VALUE!</v>
      </c>
      <c r="AD7549" s="1" t="str">
        <f>IFERROR(IF(Final_Sans_VGE[[#This Row],[ppn_z]]="","",IFERROR(
   IF(_xlfn.XLOOKUP(Final_Sans_VGE[[#This Row],[ppn_z]],tbl_Historique_Final[[#This Row],[ppn_z]],tbl_Historique_Final[[#This Row],[date_modif]])=Final_Sans_VGE[[#This Row],[date_modif]],
      "Ancien",
      "Modifié"),
   "Nouveau")),"")</f>
        <v/>
      </c>
    </row>
    <row r="7550" spans="24:30" x14ac:dyDescent="0.25">
      <c r="X7550" s="8" t="e">
        <f>IF(Final_Sans_VGE[[#This Row],[ppn_z]]="","",IFERROR(
   IF(_xlfn.XLOOKUP(Final_Sans_VGE[[#This Row],[ppn_z]],tbl_Historique_Final[ppn_z],tbl_Historique_Final[date_modif])=Final_Sans_VGE[[#This Row],[date_modif]],
      "Ancien",
      "Modifié"),
   "Nouveau"))</f>
        <v>#VALUE!</v>
      </c>
      <c r="AD7550" s="1" t="str">
        <f>IFERROR(IF(Final_Sans_VGE[[#This Row],[ppn_z]]="","",IFERROR(
   IF(_xlfn.XLOOKUP(Final_Sans_VGE[[#This Row],[ppn_z]],tbl_Historique_Final[[#This Row],[ppn_z]],tbl_Historique_Final[[#This Row],[date_modif]])=Final_Sans_VGE[[#This Row],[date_modif]],
      "Ancien",
      "Modifié"),
   "Nouveau")),"")</f>
        <v/>
      </c>
    </row>
    <row r="7551" spans="24:30" x14ac:dyDescent="0.25">
      <c r="X7551" s="8" t="e">
        <f>IF(Final_Sans_VGE[[#This Row],[ppn_z]]="","",IFERROR(
   IF(_xlfn.XLOOKUP(Final_Sans_VGE[[#This Row],[ppn_z]],tbl_Historique_Final[ppn_z],tbl_Historique_Final[date_modif])=Final_Sans_VGE[[#This Row],[date_modif]],
      "Ancien",
      "Modifié"),
   "Nouveau"))</f>
        <v>#VALUE!</v>
      </c>
      <c r="AD7551" s="1" t="str">
        <f>IFERROR(IF(Final_Sans_VGE[[#This Row],[ppn_z]]="","",IFERROR(
   IF(_xlfn.XLOOKUP(Final_Sans_VGE[[#This Row],[ppn_z]],tbl_Historique_Final[[#This Row],[ppn_z]],tbl_Historique_Final[[#This Row],[date_modif]])=Final_Sans_VGE[[#This Row],[date_modif]],
      "Ancien",
      "Modifié"),
   "Nouveau")),"")</f>
        <v/>
      </c>
    </row>
    <row r="7552" spans="24:30" x14ac:dyDescent="0.25">
      <c r="X7552" s="8" t="e">
        <f>IF(Final_Sans_VGE[[#This Row],[ppn_z]]="","",IFERROR(
   IF(_xlfn.XLOOKUP(Final_Sans_VGE[[#This Row],[ppn_z]],tbl_Historique_Final[ppn_z],tbl_Historique_Final[date_modif])=Final_Sans_VGE[[#This Row],[date_modif]],
      "Ancien",
      "Modifié"),
   "Nouveau"))</f>
        <v>#VALUE!</v>
      </c>
      <c r="AD7552" s="1" t="str">
        <f>IFERROR(IF(Final_Sans_VGE[[#This Row],[ppn_z]]="","",IFERROR(
   IF(_xlfn.XLOOKUP(Final_Sans_VGE[[#This Row],[ppn_z]],tbl_Historique_Final[[#This Row],[ppn_z]],tbl_Historique_Final[[#This Row],[date_modif]])=Final_Sans_VGE[[#This Row],[date_modif]],
      "Ancien",
      "Modifié"),
   "Nouveau")),"")</f>
        <v/>
      </c>
    </row>
    <row r="7553" spans="24:30" x14ac:dyDescent="0.25">
      <c r="X7553" s="8" t="e">
        <f>IF(Final_Sans_VGE[[#This Row],[ppn_z]]="","",IFERROR(
   IF(_xlfn.XLOOKUP(Final_Sans_VGE[[#This Row],[ppn_z]],tbl_Historique_Final[ppn_z],tbl_Historique_Final[date_modif])=Final_Sans_VGE[[#This Row],[date_modif]],
      "Ancien",
      "Modifié"),
   "Nouveau"))</f>
        <v>#VALUE!</v>
      </c>
      <c r="AD7553" s="1" t="str">
        <f>IFERROR(IF(Final_Sans_VGE[[#This Row],[ppn_z]]="","",IFERROR(
   IF(_xlfn.XLOOKUP(Final_Sans_VGE[[#This Row],[ppn_z]],tbl_Historique_Final[[#This Row],[ppn_z]],tbl_Historique_Final[[#This Row],[date_modif]])=Final_Sans_VGE[[#This Row],[date_modif]],
      "Ancien",
      "Modifié"),
   "Nouveau")),"")</f>
        <v/>
      </c>
    </row>
    <row r="7554" spans="24:30" x14ac:dyDescent="0.25">
      <c r="X7554" s="8" t="e">
        <f>IF(Final_Sans_VGE[[#This Row],[ppn_z]]="","",IFERROR(
   IF(_xlfn.XLOOKUP(Final_Sans_VGE[[#This Row],[ppn_z]],tbl_Historique_Final[ppn_z],tbl_Historique_Final[date_modif])=Final_Sans_VGE[[#This Row],[date_modif]],
      "Ancien",
      "Modifié"),
   "Nouveau"))</f>
        <v>#VALUE!</v>
      </c>
      <c r="AD7554" s="1" t="str">
        <f>IFERROR(IF(Final_Sans_VGE[[#This Row],[ppn_z]]="","",IFERROR(
   IF(_xlfn.XLOOKUP(Final_Sans_VGE[[#This Row],[ppn_z]],tbl_Historique_Final[[#This Row],[ppn_z]],tbl_Historique_Final[[#This Row],[date_modif]])=Final_Sans_VGE[[#This Row],[date_modif]],
      "Ancien",
      "Modifié"),
   "Nouveau")),"")</f>
        <v/>
      </c>
    </row>
    <row r="7555" spans="24:30" x14ac:dyDescent="0.25">
      <c r="X7555" s="8" t="e">
        <f>IF(Final_Sans_VGE[[#This Row],[ppn_z]]="","",IFERROR(
   IF(_xlfn.XLOOKUP(Final_Sans_VGE[[#This Row],[ppn_z]],tbl_Historique_Final[ppn_z],tbl_Historique_Final[date_modif])=Final_Sans_VGE[[#This Row],[date_modif]],
      "Ancien",
      "Modifié"),
   "Nouveau"))</f>
        <v>#VALUE!</v>
      </c>
      <c r="AD7555" s="1" t="str">
        <f>IFERROR(IF(Final_Sans_VGE[[#This Row],[ppn_z]]="","",IFERROR(
   IF(_xlfn.XLOOKUP(Final_Sans_VGE[[#This Row],[ppn_z]],tbl_Historique_Final[[#This Row],[ppn_z]],tbl_Historique_Final[[#This Row],[date_modif]])=Final_Sans_VGE[[#This Row],[date_modif]],
      "Ancien",
      "Modifié"),
   "Nouveau")),"")</f>
        <v/>
      </c>
    </row>
    <row r="7556" spans="24:30" x14ac:dyDescent="0.25">
      <c r="X7556" s="8" t="e">
        <f>IF(Final_Sans_VGE[[#This Row],[ppn_z]]="","",IFERROR(
   IF(_xlfn.XLOOKUP(Final_Sans_VGE[[#This Row],[ppn_z]],tbl_Historique_Final[ppn_z],tbl_Historique_Final[date_modif])=Final_Sans_VGE[[#This Row],[date_modif]],
      "Ancien",
      "Modifié"),
   "Nouveau"))</f>
        <v>#VALUE!</v>
      </c>
      <c r="AD7556" s="1" t="str">
        <f>IFERROR(IF(Final_Sans_VGE[[#This Row],[ppn_z]]="","",IFERROR(
   IF(_xlfn.XLOOKUP(Final_Sans_VGE[[#This Row],[ppn_z]],tbl_Historique_Final[[#This Row],[ppn_z]],tbl_Historique_Final[[#This Row],[date_modif]])=Final_Sans_VGE[[#This Row],[date_modif]],
      "Ancien",
      "Modifié"),
   "Nouveau")),"")</f>
        <v/>
      </c>
    </row>
    <row r="7557" spans="24:30" x14ac:dyDescent="0.25">
      <c r="X7557" s="8" t="e">
        <f>IF(Final_Sans_VGE[[#This Row],[ppn_z]]="","",IFERROR(
   IF(_xlfn.XLOOKUP(Final_Sans_VGE[[#This Row],[ppn_z]],tbl_Historique_Final[ppn_z],tbl_Historique_Final[date_modif])=Final_Sans_VGE[[#This Row],[date_modif]],
      "Ancien",
      "Modifié"),
   "Nouveau"))</f>
        <v>#VALUE!</v>
      </c>
      <c r="AD7557" s="1" t="str">
        <f>IFERROR(IF(Final_Sans_VGE[[#This Row],[ppn_z]]="","",IFERROR(
   IF(_xlfn.XLOOKUP(Final_Sans_VGE[[#This Row],[ppn_z]],tbl_Historique_Final[[#This Row],[ppn_z]],tbl_Historique_Final[[#This Row],[date_modif]])=Final_Sans_VGE[[#This Row],[date_modif]],
      "Ancien",
      "Modifié"),
   "Nouveau")),"")</f>
        <v/>
      </c>
    </row>
    <row r="7558" spans="24:30" x14ac:dyDescent="0.25">
      <c r="X7558" s="8" t="e">
        <f>IF(Final_Sans_VGE[[#This Row],[ppn_z]]="","",IFERROR(
   IF(_xlfn.XLOOKUP(Final_Sans_VGE[[#This Row],[ppn_z]],tbl_Historique_Final[ppn_z],tbl_Historique_Final[date_modif])=Final_Sans_VGE[[#This Row],[date_modif]],
      "Ancien",
      "Modifié"),
   "Nouveau"))</f>
        <v>#VALUE!</v>
      </c>
      <c r="AD7558" s="1" t="str">
        <f>IFERROR(IF(Final_Sans_VGE[[#This Row],[ppn_z]]="","",IFERROR(
   IF(_xlfn.XLOOKUP(Final_Sans_VGE[[#This Row],[ppn_z]],tbl_Historique_Final[[#This Row],[ppn_z]],tbl_Historique_Final[[#This Row],[date_modif]])=Final_Sans_VGE[[#This Row],[date_modif]],
      "Ancien",
      "Modifié"),
   "Nouveau")),"")</f>
        <v/>
      </c>
    </row>
    <row r="7559" spans="24:30" x14ac:dyDescent="0.25">
      <c r="X7559" s="8" t="e">
        <f>IF(Final_Sans_VGE[[#This Row],[ppn_z]]="","",IFERROR(
   IF(_xlfn.XLOOKUP(Final_Sans_VGE[[#This Row],[ppn_z]],tbl_Historique_Final[ppn_z],tbl_Historique_Final[date_modif])=Final_Sans_VGE[[#This Row],[date_modif]],
      "Ancien",
      "Modifié"),
   "Nouveau"))</f>
        <v>#VALUE!</v>
      </c>
      <c r="AD7559" s="1" t="str">
        <f>IFERROR(IF(Final_Sans_VGE[[#This Row],[ppn_z]]="","",IFERROR(
   IF(_xlfn.XLOOKUP(Final_Sans_VGE[[#This Row],[ppn_z]],tbl_Historique_Final[[#This Row],[ppn_z]],tbl_Historique_Final[[#This Row],[date_modif]])=Final_Sans_VGE[[#This Row],[date_modif]],
      "Ancien",
      "Modifié"),
   "Nouveau")),"")</f>
        <v/>
      </c>
    </row>
    <row r="7560" spans="24:30" x14ac:dyDescent="0.25">
      <c r="X7560" s="8" t="e">
        <f>IF(Final_Sans_VGE[[#This Row],[ppn_z]]="","",IFERROR(
   IF(_xlfn.XLOOKUP(Final_Sans_VGE[[#This Row],[ppn_z]],tbl_Historique_Final[ppn_z],tbl_Historique_Final[date_modif])=Final_Sans_VGE[[#This Row],[date_modif]],
      "Ancien",
      "Modifié"),
   "Nouveau"))</f>
        <v>#VALUE!</v>
      </c>
      <c r="AD7560" s="1" t="str">
        <f>IFERROR(IF(Final_Sans_VGE[[#This Row],[ppn_z]]="","",IFERROR(
   IF(_xlfn.XLOOKUP(Final_Sans_VGE[[#This Row],[ppn_z]],tbl_Historique_Final[[#This Row],[ppn_z]],tbl_Historique_Final[[#This Row],[date_modif]])=Final_Sans_VGE[[#This Row],[date_modif]],
      "Ancien",
      "Modifié"),
   "Nouveau")),"")</f>
        <v/>
      </c>
    </row>
    <row r="7561" spans="24:30" x14ac:dyDescent="0.25">
      <c r="X7561" s="8" t="e">
        <f>IF(Final_Sans_VGE[[#This Row],[ppn_z]]="","",IFERROR(
   IF(_xlfn.XLOOKUP(Final_Sans_VGE[[#This Row],[ppn_z]],tbl_Historique_Final[ppn_z],tbl_Historique_Final[date_modif])=Final_Sans_VGE[[#This Row],[date_modif]],
      "Ancien",
      "Modifié"),
   "Nouveau"))</f>
        <v>#VALUE!</v>
      </c>
      <c r="AD7561" s="1" t="str">
        <f>IFERROR(IF(Final_Sans_VGE[[#This Row],[ppn_z]]="","",IFERROR(
   IF(_xlfn.XLOOKUP(Final_Sans_VGE[[#This Row],[ppn_z]],tbl_Historique_Final[[#This Row],[ppn_z]],tbl_Historique_Final[[#This Row],[date_modif]])=Final_Sans_VGE[[#This Row],[date_modif]],
      "Ancien",
      "Modifié"),
   "Nouveau")),"")</f>
        <v/>
      </c>
    </row>
    <row r="7562" spans="24:30" x14ac:dyDescent="0.25">
      <c r="X7562" s="8" t="e">
        <f>IF(Final_Sans_VGE[[#This Row],[ppn_z]]="","",IFERROR(
   IF(_xlfn.XLOOKUP(Final_Sans_VGE[[#This Row],[ppn_z]],tbl_Historique_Final[ppn_z],tbl_Historique_Final[date_modif])=Final_Sans_VGE[[#This Row],[date_modif]],
      "Ancien",
      "Modifié"),
   "Nouveau"))</f>
        <v>#VALUE!</v>
      </c>
      <c r="AD7562" s="1" t="str">
        <f>IFERROR(IF(Final_Sans_VGE[[#This Row],[ppn_z]]="","",IFERROR(
   IF(_xlfn.XLOOKUP(Final_Sans_VGE[[#This Row],[ppn_z]],tbl_Historique_Final[[#This Row],[ppn_z]],tbl_Historique_Final[[#This Row],[date_modif]])=Final_Sans_VGE[[#This Row],[date_modif]],
      "Ancien",
      "Modifié"),
   "Nouveau")),"")</f>
        <v/>
      </c>
    </row>
    <row r="7563" spans="24:30" x14ac:dyDescent="0.25">
      <c r="X7563" s="8" t="e">
        <f>IF(Final_Sans_VGE[[#This Row],[ppn_z]]="","",IFERROR(
   IF(_xlfn.XLOOKUP(Final_Sans_VGE[[#This Row],[ppn_z]],tbl_Historique_Final[ppn_z],tbl_Historique_Final[date_modif])=Final_Sans_VGE[[#This Row],[date_modif]],
      "Ancien",
      "Modifié"),
   "Nouveau"))</f>
        <v>#VALUE!</v>
      </c>
      <c r="AD7563" s="1" t="str">
        <f>IFERROR(IF(Final_Sans_VGE[[#This Row],[ppn_z]]="","",IFERROR(
   IF(_xlfn.XLOOKUP(Final_Sans_VGE[[#This Row],[ppn_z]],tbl_Historique_Final[[#This Row],[ppn_z]],tbl_Historique_Final[[#This Row],[date_modif]])=Final_Sans_VGE[[#This Row],[date_modif]],
      "Ancien",
      "Modifié"),
   "Nouveau")),"")</f>
        <v/>
      </c>
    </row>
    <row r="7564" spans="24:30" x14ac:dyDescent="0.25">
      <c r="X7564" s="8" t="e">
        <f>IF(Final_Sans_VGE[[#This Row],[ppn_z]]="","",IFERROR(
   IF(_xlfn.XLOOKUP(Final_Sans_VGE[[#This Row],[ppn_z]],tbl_Historique_Final[ppn_z],tbl_Historique_Final[date_modif])=Final_Sans_VGE[[#This Row],[date_modif]],
      "Ancien",
      "Modifié"),
   "Nouveau"))</f>
        <v>#VALUE!</v>
      </c>
      <c r="AD7564" s="1" t="str">
        <f>IFERROR(IF(Final_Sans_VGE[[#This Row],[ppn_z]]="","",IFERROR(
   IF(_xlfn.XLOOKUP(Final_Sans_VGE[[#This Row],[ppn_z]],tbl_Historique_Final[[#This Row],[ppn_z]],tbl_Historique_Final[[#This Row],[date_modif]])=Final_Sans_VGE[[#This Row],[date_modif]],
      "Ancien",
      "Modifié"),
   "Nouveau")),"")</f>
        <v/>
      </c>
    </row>
    <row r="7565" spans="24:30" x14ac:dyDescent="0.25">
      <c r="X7565" s="8" t="e">
        <f>IF(Final_Sans_VGE[[#This Row],[ppn_z]]="","",IFERROR(
   IF(_xlfn.XLOOKUP(Final_Sans_VGE[[#This Row],[ppn_z]],tbl_Historique_Final[ppn_z],tbl_Historique_Final[date_modif])=Final_Sans_VGE[[#This Row],[date_modif]],
      "Ancien",
      "Modifié"),
   "Nouveau"))</f>
        <v>#VALUE!</v>
      </c>
      <c r="AD7565" s="1" t="str">
        <f>IFERROR(IF(Final_Sans_VGE[[#This Row],[ppn_z]]="","",IFERROR(
   IF(_xlfn.XLOOKUP(Final_Sans_VGE[[#This Row],[ppn_z]],tbl_Historique_Final[[#This Row],[ppn_z]],tbl_Historique_Final[[#This Row],[date_modif]])=Final_Sans_VGE[[#This Row],[date_modif]],
      "Ancien",
      "Modifié"),
   "Nouveau")),"")</f>
        <v/>
      </c>
    </row>
    <row r="7566" spans="24:30" x14ac:dyDescent="0.25">
      <c r="X7566" s="8" t="e">
        <f>IF(Final_Sans_VGE[[#This Row],[ppn_z]]="","",IFERROR(
   IF(_xlfn.XLOOKUP(Final_Sans_VGE[[#This Row],[ppn_z]],tbl_Historique_Final[ppn_z],tbl_Historique_Final[date_modif])=Final_Sans_VGE[[#This Row],[date_modif]],
      "Ancien",
      "Modifié"),
   "Nouveau"))</f>
        <v>#VALUE!</v>
      </c>
      <c r="AD7566" s="1" t="str">
        <f>IFERROR(IF(Final_Sans_VGE[[#This Row],[ppn_z]]="","",IFERROR(
   IF(_xlfn.XLOOKUP(Final_Sans_VGE[[#This Row],[ppn_z]],tbl_Historique_Final[[#This Row],[ppn_z]],tbl_Historique_Final[[#This Row],[date_modif]])=Final_Sans_VGE[[#This Row],[date_modif]],
      "Ancien",
      "Modifié"),
   "Nouveau")),"")</f>
        <v/>
      </c>
    </row>
    <row r="7567" spans="24:30" x14ac:dyDescent="0.25">
      <c r="X7567" s="8" t="e">
        <f>IF(Final_Sans_VGE[[#This Row],[ppn_z]]="","",IFERROR(
   IF(_xlfn.XLOOKUP(Final_Sans_VGE[[#This Row],[ppn_z]],tbl_Historique_Final[ppn_z],tbl_Historique_Final[date_modif])=Final_Sans_VGE[[#This Row],[date_modif]],
      "Ancien",
      "Modifié"),
   "Nouveau"))</f>
        <v>#VALUE!</v>
      </c>
      <c r="AD7567" s="1" t="str">
        <f>IFERROR(IF(Final_Sans_VGE[[#This Row],[ppn_z]]="","",IFERROR(
   IF(_xlfn.XLOOKUP(Final_Sans_VGE[[#This Row],[ppn_z]],tbl_Historique_Final[[#This Row],[ppn_z]],tbl_Historique_Final[[#This Row],[date_modif]])=Final_Sans_VGE[[#This Row],[date_modif]],
      "Ancien",
      "Modifié"),
   "Nouveau")),"")</f>
        <v/>
      </c>
    </row>
    <row r="7568" spans="24:30" x14ac:dyDescent="0.25">
      <c r="X7568" s="8" t="e">
        <f>IF(Final_Sans_VGE[[#This Row],[ppn_z]]="","",IFERROR(
   IF(_xlfn.XLOOKUP(Final_Sans_VGE[[#This Row],[ppn_z]],tbl_Historique_Final[ppn_z],tbl_Historique_Final[date_modif])=Final_Sans_VGE[[#This Row],[date_modif]],
      "Ancien",
      "Modifié"),
   "Nouveau"))</f>
        <v>#VALUE!</v>
      </c>
      <c r="AD7568" s="1" t="str">
        <f>IFERROR(IF(Final_Sans_VGE[[#This Row],[ppn_z]]="","",IFERROR(
   IF(_xlfn.XLOOKUP(Final_Sans_VGE[[#This Row],[ppn_z]],tbl_Historique_Final[[#This Row],[ppn_z]],tbl_Historique_Final[[#This Row],[date_modif]])=Final_Sans_VGE[[#This Row],[date_modif]],
      "Ancien",
      "Modifié"),
   "Nouveau")),"")</f>
        <v/>
      </c>
    </row>
    <row r="7569" spans="24:30" x14ac:dyDescent="0.25">
      <c r="X7569" s="8" t="e">
        <f>IF(Final_Sans_VGE[[#This Row],[ppn_z]]="","",IFERROR(
   IF(_xlfn.XLOOKUP(Final_Sans_VGE[[#This Row],[ppn_z]],tbl_Historique_Final[ppn_z],tbl_Historique_Final[date_modif])=Final_Sans_VGE[[#This Row],[date_modif]],
      "Ancien",
      "Modifié"),
   "Nouveau"))</f>
        <v>#VALUE!</v>
      </c>
      <c r="AD7569" s="1" t="str">
        <f>IFERROR(IF(Final_Sans_VGE[[#This Row],[ppn_z]]="","",IFERROR(
   IF(_xlfn.XLOOKUP(Final_Sans_VGE[[#This Row],[ppn_z]],tbl_Historique_Final[[#This Row],[ppn_z]],tbl_Historique_Final[[#This Row],[date_modif]])=Final_Sans_VGE[[#This Row],[date_modif]],
      "Ancien",
      "Modifié"),
   "Nouveau")),"")</f>
        <v/>
      </c>
    </row>
    <row r="7570" spans="24:30" x14ac:dyDescent="0.25">
      <c r="X7570" s="8" t="e">
        <f>IF(Final_Sans_VGE[[#This Row],[ppn_z]]="","",IFERROR(
   IF(_xlfn.XLOOKUP(Final_Sans_VGE[[#This Row],[ppn_z]],tbl_Historique_Final[ppn_z],tbl_Historique_Final[date_modif])=Final_Sans_VGE[[#This Row],[date_modif]],
      "Ancien",
      "Modifié"),
   "Nouveau"))</f>
        <v>#VALUE!</v>
      </c>
      <c r="AD7570" s="1" t="str">
        <f>IFERROR(IF(Final_Sans_VGE[[#This Row],[ppn_z]]="","",IFERROR(
   IF(_xlfn.XLOOKUP(Final_Sans_VGE[[#This Row],[ppn_z]],tbl_Historique_Final[[#This Row],[ppn_z]],tbl_Historique_Final[[#This Row],[date_modif]])=Final_Sans_VGE[[#This Row],[date_modif]],
      "Ancien",
      "Modifié"),
   "Nouveau")),"")</f>
        <v/>
      </c>
    </row>
    <row r="7571" spans="24:30" x14ac:dyDescent="0.25">
      <c r="X7571" s="8" t="e">
        <f>IF(Final_Sans_VGE[[#This Row],[ppn_z]]="","",IFERROR(
   IF(_xlfn.XLOOKUP(Final_Sans_VGE[[#This Row],[ppn_z]],tbl_Historique_Final[ppn_z],tbl_Historique_Final[date_modif])=Final_Sans_VGE[[#This Row],[date_modif]],
      "Ancien",
      "Modifié"),
   "Nouveau"))</f>
        <v>#VALUE!</v>
      </c>
      <c r="AD7571" s="1" t="str">
        <f>IFERROR(IF(Final_Sans_VGE[[#This Row],[ppn_z]]="","",IFERROR(
   IF(_xlfn.XLOOKUP(Final_Sans_VGE[[#This Row],[ppn_z]],tbl_Historique_Final[[#This Row],[ppn_z]],tbl_Historique_Final[[#This Row],[date_modif]])=Final_Sans_VGE[[#This Row],[date_modif]],
      "Ancien",
      "Modifié"),
   "Nouveau")),"")</f>
        <v/>
      </c>
    </row>
    <row r="7572" spans="24:30" x14ac:dyDescent="0.25">
      <c r="X7572" s="8" t="e">
        <f>IF(Final_Sans_VGE[[#This Row],[ppn_z]]="","",IFERROR(
   IF(_xlfn.XLOOKUP(Final_Sans_VGE[[#This Row],[ppn_z]],tbl_Historique_Final[ppn_z],tbl_Historique_Final[date_modif])=Final_Sans_VGE[[#This Row],[date_modif]],
      "Ancien",
      "Modifié"),
   "Nouveau"))</f>
        <v>#VALUE!</v>
      </c>
      <c r="AD7572" s="1" t="str">
        <f>IFERROR(IF(Final_Sans_VGE[[#This Row],[ppn_z]]="","",IFERROR(
   IF(_xlfn.XLOOKUP(Final_Sans_VGE[[#This Row],[ppn_z]],tbl_Historique_Final[[#This Row],[ppn_z]],tbl_Historique_Final[[#This Row],[date_modif]])=Final_Sans_VGE[[#This Row],[date_modif]],
      "Ancien",
      "Modifié"),
   "Nouveau")),"")</f>
        <v/>
      </c>
    </row>
    <row r="7573" spans="24:30" x14ac:dyDescent="0.25">
      <c r="X7573" s="8" t="e">
        <f>IF(Final_Sans_VGE[[#This Row],[ppn_z]]="","",IFERROR(
   IF(_xlfn.XLOOKUP(Final_Sans_VGE[[#This Row],[ppn_z]],tbl_Historique_Final[ppn_z],tbl_Historique_Final[date_modif])=Final_Sans_VGE[[#This Row],[date_modif]],
      "Ancien",
      "Modifié"),
   "Nouveau"))</f>
        <v>#VALUE!</v>
      </c>
      <c r="AD7573" s="1" t="str">
        <f>IFERROR(IF(Final_Sans_VGE[[#This Row],[ppn_z]]="","",IFERROR(
   IF(_xlfn.XLOOKUP(Final_Sans_VGE[[#This Row],[ppn_z]],tbl_Historique_Final[[#This Row],[ppn_z]],tbl_Historique_Final[[#This Row],[date_modif]])=Final_Sans_VGE[[#This Row],[date_modif]],
      "Ancien",
      "Modifié"),
   "Nouveau")),"")</f>
        <v/>
      </c>
    </row>
    <row r="7574" spans="24:30" x14ac:dyDescent="0.25">
      <c r="X7574" s="8" t="e">
        <f>IF(Final_Sans_VGE[[#This Row],[ppn_z]]="","",IFERROR(
   IF(_xlfn.XLOOKUP(Final_Sans_VGE[[#This Row],[ppn_z]],tbl_Historique_Final[ppn_z],tbl_Historique_Final[date_modif])=Final_Sans_VGE[[#This Row],[date_modif]],
      "Ancien",
      "Modifié"),
   "Nouveau"))</f>
        <v>#VALUE!</v>
      </c>
      <c r="AD7574" s="1" t="str">
        <f>IFERROR(IF(Final_Sans_VGE[[#This Row],[ppn_z]]="","",IFERROR(
   IF(_xlfn.XLOOKUP(Final_Sans_VGE[[#This Row],[ppn_z]],tbl_Historique_Final[[#This Row],[ppn_z]],tbl_Historique_Final[[#This Row],[date_modif]])=Final_Sans_VGE[[#This Row],[date_modif]],
      "Ancien",
      "Modifié"),
   "Nouveau")),"")</f>
        <v/>
      </c>
    </row>
    <row r="7575" spans="24:30" x14ac:dyDescent="0.25">
      <c r="X7575" s="8" t="e">
        <f>IF(Final_Sans_VGE[[#This Row],[ppn_z]]="","",IFERROR(
   IF(_xlfn.XLOOKUP(Final_Sans_VGE[[#This Row],[ppn_z]],tbl_Historique_Final[ppn_z],tbl_Historique_Final[date_modif])=Final_Sans_VGE[[#This Row],[date_modif]],
      "Ancien",
      "Modifié"),
   "Nouveau"))</f>
        <v>#VALUE!</v>
      </c>
      <c r="AD7575" s="1" t="str">
        <f>IFERROR(IF(Final_Sans_VGE[[#This Row],[ppn_z]]="","",IFERROR(
   IF(_xlfn.XLOOKUP(Final_Sans_VGE[[#This Row],[ppn_z]],tbl_Historique_Final[[#This Row],[ppn_z]],tbl_Historique_Final[[#This Row],[date_modif]])=Final_Sans_VGE[[#This Row],[date_modif]],
      "Ancien",
      "Modifié"),
   "Nouveau")),"")</f>
        <v/>
      </c>
    </row>
    <row r="7576" spans="24:30" x14ac:dyDescent="0.25">
      <c r="X7576" s="8" t="e">
        <f>IF(Final_Sans_VGE[[#This Row],[ppn_z]]="","",IFERROR(
   IF(_xlfn.XLOOKUP(Final_Sans_VGE[[#This Row],[ppn_z]],tbl_Historique_Final[ppn_z],tbl_Historique_Final[date_modif])=Final_Sans_VGE[[#This Row],[date_modif]],
      "Ancien",
      "Modifié"),
   "Nouveau"))</f>
        <v>#VALUE!</v>
      </c>
      <c r="AD7576" s="1" t="str">
        <f>IFERROR(IF(Final_Sans_VGE[[#This Row],[ppn_z]]="","",IFERROR(
   IF(_xlfn.XLOOKUP(Final_Sans_VGE[[#This Row],[ppn_z]],tbl_Historique_Final[[#This Row],[ppn_z]],tbl_Historique_Final[[#This Row],[date_modif]])=Final_Sans_VGE[[#This Row],[date_modif]],
      "Ancien",
      "Modifié"),
   "Nouveau")),"")</f>
        <v/>
      </c>
    </row>
    <row r="7577" spans="24:30" x14ac:dyDescent="0.25">
      <c r="X7577" s="8" t="e">
        <f>IF(Final_Sans_VGE[[#This Row],[ppn_z]]="","",IFERROR(
   IF(_xlfn.XLOOKUP(Final_Sans_VGE[[#This Row],[ppn_z]],tbl_Historique_Final[ppn_z],tbl_Historique_Final[date_modif])=Final_Sans_VGE[[#This Row],[date_modif]],
      "Ancien",
      "Modifié"),
   "Nouveau"))</f>
        <v>#VALUE!</v>
      </c>
      <c r="AD7577" s="1" t="str">
        <f>IFERROR(IF(Final_Sans_VGE[[#This Row],[ppn_z]]="","",IFERROR(
   IF(_xlfn.XLOOKUP(Final_Sans_VGE[[#This Row],[ppn_z]],tbl_Historique_Final[[#This Row],[ppn_z]],tbl_Historique_Final[[#This Row],[date_modif]])=Final_Sans_VGE[[#This Row],[date_modif]],
      "Ancien",
      "Modifié"),
   "Nouveau")),"")</f>
        <v/>
      </c>
    </row>
    <row r="7578" spans="24:30" x14ac:dyDescent="0.25">
      <c r="X7578" s="8" t="e">
        <f>IF(Final_Sans_VGE[[#This Row],[ppn_z]]="","",IFERROR(
   IF(_xlfn.XLOOKUP(Final_Sans_VGE[[#This Row],[ppn_z]],tbl_Historique_Final[ppn_z],tbl_Historique_Final[date_modif])=Final_Sans_VGE[[#This Row],[date_modif]],
      "Ancien",
      "Modifié"),
   "Nouveau"))</f>
        <v>#VALUE!</v>
      </c>
      <c r="AD7578" s="1" t="str">
        <f>IFERROR(IF(Final_Sans_VGE[[#This Row],[ppn_z]]="","",IFERROR(
   IF(_xlfn.XLOOKUP(Final_Sans_VGE[[#This Row],[ppn_z]],tbl_Historique_Final[[#This Row],[ppn_z]],tbl_Historique_Final[[#This Row],[date_modif]])=Final_Sans_VGE[[#This Row],[date_modif]],
      "Ancien",
      "Modifié"),
   "Nouveau")),"")</f>
        <v/>
      </c>
    </row>
    <row r="7579" spans="24:30" x14ac:dyDescent="0.25">
      <c r="X7579" s="8" t="e">
        <f>IF(Final_Sans_VGE[[#This Row],[ppn_z]]="","",IFERROR(
   IF(_xlfn.XLOOKUP(Final_Sans_VGE[[#This Row],[ppn_z]],tbl_Historique_Final[ppn_z],tbl_Historique_Final[date_modif])=Final_Sans_VGE[[#This Row],[date_modif]],
      "Ancien",
      "Modifié"),
   "Nouveau"))</f>
        <v>#VALUE!</v>
      </c>
      <c r="AD7579" s="1" t="str">
        <f>IFERROR(IF(Final_Sans_VGE[[#This Row],[ppn_z]]="","",IFERROR(
   IF(_xlfn.XLOOKUP(Final_Sans_VGE[[#This Row],[ppn_z]],tbl_Historique_Final[[#This Row],[ppn_z]],tbl_Historique_Final[[#This Row],[date_modif]])=Final_Sans_VGE[[#This Row],[date_modif]],
      "Ancien",
      "Modifié"),
   "Nouveau")),"")</f>
        <v/>
      </c>
    </row>
    <row r="7580" spans="24:30" x14ac:dyDescent="0.25">
      <c r="X7580" s="8" t="e">
        <f>IF(Final_Sans_VGE[[#This Row],[ppn_z]]="","",IFERROR(
   IF(_xlfn.XLOOKUP(Final_Sans_VGE[[#This Row],[ppn_z]],tbl_Historique_Final[ppn_z],tbl_Historique_Final[date_modif])=Final_Sans_VGE[[#This Row],[date_modif]],
      "Ancien",
      "Modifié"),
   "Nouveau"))</f>
        <v>#VALUE!</v>
      </c>
      <c r="AD7580" s="1" t="str">
        <f>IFERROR(IF(Final_Sans_VGE[[#This Row],[ppn_z]]="","",IFERROR(
   IF(_xlfn.XLOOKUP(Final_Sans_VGE[[#This Row],[ppn_z]],tbl_Historique_Final[[#This Row],[ppn_z]],tbl_Historique_Final[[#This Row],[date_modif]])=Final_Sans_VGE[[#This Row],[date_modif]],
      "Ancien",
      "Modifié"),
   "Nouveau")),"")</f>
        <v/>
      </c>
    </row>
    <row r="7581" spans="24:30" x14ac:dyDescent="0.25">
      <c r="X7581" s="8" t="e">
        <f>IF(Final_Sans_VGE[[#This Row],[ppn_z]]="","",IFERROR(
   IF(_xlfn.XLOOKUP(Final_Sans_VGE[[#This Row],[ppn_z]],tbl_Historique_Final[ppn_z],tbl_Historique_Final[date_modif])=Final_Sans_VGE[[#This Row],[date_modif]],
      "Ancien",
      "Modifié"),
   "Nouveau"))</f>
        <v>#VALUE!</v>
      </c>
      <c r="AD7581" s="1" t="str">
        <f>IFERROR(IF(Final_Sans_VGE[[#This Row],[ppn_z]]="","",IFERROR(
   IF(_xlfn.XLOOKUP(Final_Sans_VGE[[#This Row],[ppn_z]],tbl_Historique_Final[[#This Row],[ppn_z]],tbl_Historique_Final[[#This Row],[date_modif]])=Final_Sans_VGE[[#This Row],[date_modif]],
      "Ancien",
      "Modifié"),
   "Nouveau")),"")</f>
        <v/>
      </c>
    </row>
    <row r="7582" spans="24:30" x14ac:dyDescent="0.25">
      <c r="X7582" s="8" t="e">
        <f>IF(Final_Sans_VGE[[#This Row],[ppn_z]]="","",IFERROR(
   IF(_xlfn.XLOOKUP(Final_Sans_VGE[[#This Row],[ppn_z]],tbl_Historique_Final[ppn_z],tbl_Historique_Final[date_modif])=Final_Sans_VGE[[#This Row],[date_modif]],
      "Ancien",
      "Modifié"),
   "Nouveau"))</f>
        <v>#VALUE!</v>
      </c>
      <c r="AD7582" s="1" t="str">
        <f>IFERROR(IF(Final_Sans_VGE[[#This Row],[ppn_z]]="","",IFERROR(
   IF(_xlfn.XLOOKUP(Final_Sans_VGE[[#This Row],[ppn_z]],tbl_Historique_Final[[#This Row],[ppn_z]],tbl_Historique_Final[[#This Row],[date_modif]])=Final_Sans_VGE[[#This Row],[date_modif]],
      "Ancien",
      "Modifié"),
   "Nouveau")),"")</f>
        <v/>
      </c>
    </row>
    <row r="7583" spans="24:30" x14ac:dyDescent="0.25">
      <c r="X7583" s="8" t="e">
        <f>IF(Final_Sans_VGE[[#This Row],[ppn_z]]="","",IFERROR(
   IF(_xlfn.XLOOKUP(Final_Sans_VGE[[#This Row],[ppn_z]],tbl_Historique_Final[ppn_z],tbl_Historique_Final[date_modif])=Final_Sans_VGE[[#This Row],[date_modif]],
      "Ancien",
      "Modifié"),
   "Nouveau"))</f>
        <v>#VALUE!</v>
      </c>
      <c r="AD7583" s="1" t="str">
        <f>IFERROR(IF(Final_Sans_VGE[[#This Row],[ppn_z]]="","",IFERROR(
   IF(_xlfn.XLOOKUP(Final_Sans_VGE[[#This Row],[ppn_z]],tbl_Historique_Final[[#This Row],[ppn_z]],tbl_Historique_Final[[#This Row],[date_modif]])=Final_Sans_VGE[[#This Row],[date_modif]],
      "Ancien",
      "Modifié"),
   "Nouveau")),"")</f>
        <v/>
      </c>
    </row>
    <row r="7584" spans="24:30" x14ac:dyDescent="0.25">
      <c r="X7584" s="8" t="e">
        <f>IF(Final_Sans_VGE[[#This Row],[ppn_z]]="","",IFERROR(
   IF(_xlfn.XLOOKUP(Final_Sans_VGE[[#This Row],[ppn_z]],tbl_Historique_Final[ppn_z],tbl_Historique_Final[date_modif])=Final_Sans_VGE[[#This Row],[date_modif]],
      "Ancien",
      "Modifié"),
   "Nouveau"))</f>
        <v>#VALUE!</v>
      </c>
      <c r="AD7584" s="1" t="str">
        <f>IFERROR(IF(Final_Sans_VGE[[#This Row],[ppn_z]]="","",IFERROR(
   IF(_xlfn.XLOOKUP(Final_Sans_VGE[[#This Row],[ppn_z]],tbl_Historique_Final[[#This Row],[ppn_z]],tbl_Historique_Final[[#This Row],[date_modif]])=Final_Sans_VGE[[#This Row],[date_modif]],
      "Ancien",
      "Modifié"),
   "Nouveau")),"")</f>
        <v/>
      </c>
    </row>
    <row r="7585" spans="24:30" x14ac:dyDescent="0.25">
      <c r="X7585" s="8" t="e">
        <f>IF(Final_Sans_VGE[[#This Row],[ppn_z]]="","",IFERROR(
   IF(_xlfn.XLOOKUP(Final_Sans_VGE[[#This Row],[ppn_z]],tbl_Historique_Final[ppn_z],tbl_Historique_Final[date_modif])=Final_Sans_VGE[[#This Row],[date_modif]],
      "Ancien",
      "Modifié"),
   "Nouveau"))</f>
        <v>#VALUE!</v>
      </c>
      <c r="AD7585" s="1" t="str">
        <f>IFERROR(IF(Final_Sans_VGE[[#This Row],[ppn_z]]="","",IFERROR(
   IF(_xlfn.XLOOKUP(Final_Sans_VGE[[#This Row],[ppn_z]],tbl_Historique_Final[[#This Row],[ppn_z]],tbl_Historique_Final[[#This Row],[date_modif]])=Final_Sans_VGE[[#This Row],[date_modif]],
      "Ancien",
      "Modifié"),
   "Nouveau")),"")</f>
        <v/>
      </c>
    </row>
    <row r="7586" spans="24:30" x14ac:dyDescent="0.25">
      <c r="X7586" s="8" t="e">
        <f>IF(Final_Sans_VGE[[#This Row],[ppn_z]]="","",IFERROR(
   IF(_xlfn.XLOOKUP(Final_Sans_VGE[[#This Row],[ppn_z]],tbl_Historique_Final[ppn_z],tbl_Historique_Final[date_modif])=Final_Sans_VGE[[#This Row],[date_modif]],
      "Ancien",
      "Modifié"),
   "Nouveau"))</f>
        <v>#VALUE!</v>
      </c>
      <c r="AD7586" s="1" t="str">
        <f>IFERROR(IF(Final_Sans_VGE[[#This Row],[ppn_z]]="","",IFERROR(
   IF(_xlfn.XLOOKUP(Final_Sans_VGE[[#This Row],[ppn_z]],tbl_Historique_Final[[#This Row],[ppn_z]],tbl_Historique_Final[[#This Row],[date_modif]])=Final_Sans_VGE[[#This Row],[date_modif]],
      "Ancien",
      "Modifié"),
   "Nouveau")),"")</f>
        <v/>
      </c>
    </row>
    <row r="7587" spans="24:30" x14ac:dyDescent="0.25">
      <c r="X7587" s="8" t="e">
        <f>IF(Final_Sans_VGE[[#This Row],[ppn_z]]="","",IFERROR(
   IF(_xlfn.XLOOKUP(Final_Sans_VGE[[#This Row],[ppn_z]],tbl_Historique_Final[ppn_z],tbl_Historique_Final[date_modif])=Final_Sans_VGE[[#This Row],[date_modif]],
      "Ancien",
      "Modifié"),
   "Nouveau"))</f>
        <v>#VALUE!</v>
      </c>
      <c r="AD7587" s="1" t="str">
        <f>IFERROR(IF(Final_Sans_VGE[[#This Row],[ppn_z]]="","",IFERROR(
   IF(_xlfn.XLOOKUP(Final_Sans_VGE[[#This Row],[ppn_z]],tbl_Historique_Final[[#This Row],[ppn_z]],tbl_Historique_Final[[#This Row],[date_modif]])=Final_Sans_VGE[[#This Row],[date_modif]],
      "Ancien",
      "Modifié"),
   "Nouveau")),"")</f>
        <v/>
      </c>
    </row>
    <row r="7588" spans="24:30" x14ac:dyDescent="0.25">
      <c r="X7588" s="8" t="e">
        <f>IF(Final_Sans_VGE[[#This Row],[ppn_z]]="","",IFERROR(
   IF(_xlfn.XLOOKUP(Final_Sans_VGE[[#This Row],[ppn_z]],tbl_Historique_Final[ppn_z],tbl_Historique_Final[date_modif])=Final_Sans_VGE[[#This Row],[date_modif]],
      "Ancien",
      "Modifié"),
   "Nouveau"))</f>
        <v>#VALUE!</v>
      </c>
      <c r="AD7588" s="1" t="str">
        <f>IFERROR(IF(Final_Sans_VGE[[#This Row],[ppn_z]]="","",IFERROR(
   IF(_xlfn.XLOOKUP(Final_Sans_VGE[[#This Row],[ppn_z]],tbl_Historique_Final[[#This Row],[ppn_z]],tbl_Historique_Final[[#This Row],[date_modif]])=Final_Sans_VGE[[#This Row],[date_modif]],
      "Ancien",
      "Modifié"),
   "Nouveau")),"")</f>
        <v/>
      </c>
    </row>
    <row r="7589" spans="24:30" x14ac:dyDescent="0.25">
      <c r="X7589" s="8" t="e">
        <f>IF(Final_Sans_VGE[[#This Row],[ppn_z]]="","",IFERROR(
   IF(_xlfn.XLOOKUP(Final_Sans_VGE[[#This Row],[ppn_z]],tbl_Historique_Final[ppn_z],tbl_Historique_Final[date_modif])=Final_Sans_VGE[[#This Row],[date_modif]],
      "Ancien",
      "Modifié"),
   "Nouveau"))</f>
        <v>#VALUE!</v>
      </c>
      <c r="AD7589" s="1" t="str">
        <f>IFERROR(IF(Final_Sans_VGE[[#This Row],[ppn_z]]="","",IFERROR(
   IF(_xlfn.XLOOKUP(Final_Sans_VGE[[#This Row],[ppn_z]],tbl_Historique_Final[[#This Row],[ppn_z]],tbl_Historique_Final[[#This Row],[date_modif]])=Final_Sans_VGE[[#This Row],[date_modif]],
      "Ancien",
      "Modifié"),
   "Nouveau")),"")</f>
        <v/>
      </c>
    </row>
    <row r="7590" spans="24:30" x14ac:dyDescent="0.25">
      <c r="X7590" s="8" t="e">
        <f>IF(Final_Sans_VGE[[#This Row],[ppn_z]]="","",IFERROR(
   IF(_xlfn.XLOOKUP(Final_Sans_VGE[[#This Row],[ppn_z]],tbl_Historique_Final[ppn_z],tbl_Historique_Final[date_modif])=Final_Sans_VGE[[#This Row],[date_modif]],
      "Ancien",
      "Modifié"),
   "Nouveau"))</f>
        <v>#VALUE!</v>
      </c>
      <c r="AD7590" s="1" t="str">
        <f>IFERROR(IF(Final_Sans_VGE[[#This Row],[ppn_z]]="","",IFERROR(
   IF(_xlfn.XLOOKUP(Final_Sans_VGE[[#This Row],[ppn_z]],tbl_Historique_Final[[#This Row],[ppn_z]],tbl_Historique_Final[[#This Row],[date_modif]])=Final_Sans_VGE[[#This Row],[date_modif]],
      "Ancien",
      "Modifié"),
   "Nouveau")),"")</f>
        <v/>
      </c>
    </row>
    <row r="7591" spans="24:30" x14ac:dyDescent="0.25">
      <c r="X7591" s="8" t="e">
        <f>IF(Final_Sans_VGE[[#This Row],[ppn_z]]="","",IFERROR(
   IF(_xlfn.XLOOKUP(Final_Sans_VGE[[#This Row],[ppn_z]],tbl_Historique_Final[ppn_z],tbl_Historique_Final[date_modif])=Final_Sans_VGE[[#This Row],[date_modif]],
      "Ancien",
      "Modifié"),
   "Nouveau"))</f>
        <v>#VALUE!</v>
      </c>
      <c r="AD7591" s="1" t="str">
        <f>IFERROR(IF(Final_Sans_VGE[[#This Row],[ppn_z]]="","",IFERROR(
   IF(_xlfn.XLOOKUP(Final_Sans_VGE[[#This Row],[ppn_z]],tbl_Historique_Final[[#This Row],[ppn_z]],tbl_Historique_Final[[#This Row],[date_modif]])=Final_Sans_VGE[[#This Row],[date_modif]],
      "Ancien",
      "Modifié"),
   "Nouveau")),"")</f>
        <v/>
      </c>
    </row>
    <row r="7592" spans="24:30" x14ac:dyDescent="0.25">
      <c r="X7592" s="8" t="e">
        <f>IF(Final_Sans_VGE[[#This Row],[ppn_z]]="","",IFERROR(
   IF(_xlfn.XLOOKUP(Final_Sans_VGE[[#This Row],[ppn_z]],tbl_Historique_Final[ppn_z],tbl_Historique_Final[date_modif])=Final_Sans_VGE[[#This Row],[date_modif]],
      "Ancien",
      "Modifié"),
   "Nouveau"))</f>
        <v>#VALUE!</v>
      </c>
      <c r="AD7592" s="1" t="str">
        <f>IFERROR(IF(Final_Sans_VGE[[#This Row],[ppn_z]]="","",IFERROR(
   IF(_xlfn.XLOOKUP(Final_Sans_VGE[[#This Row],[ppn_z]],tbl_Historique_Final[[#This Row],[ppn_z]],tbl_Historique_Final[[#This Row],[date_modif]])=Final_Sans_VGE[[#This Row],[date_modif]],
      "Ancien",
      "Modifié"),
   "Nouveau")),"")</f>
        <v/>
      </c>
    </row>
    <row r="7593" spans="24:30" x14ac:dyDescent="0.25">
      <c r="X7593" s="8" t="e">
        <f>IF(Final_Sans_VGE[[#This Row],[ppn_z]]="","",IFERROR(
   IF(_xlfn.XLOOKUP(Final_Sans_VGE[[#This Row],[ppn_z]],tbl_Historique_Final[ppn_z],tbl_Historique_Final[date_modif])=Final_Sans_VGE[[#This Row],[date_modif]],
      "Ancien",
      "Modifié"),
   "Nouveau"))</f>
        <v>#VALUE!</v>
      </c>
      <c r="AD7593" s="1" t="str">
        <f>IFERROR(IF(Final_Sans_VGE[[#This Row],[ppn_z]]="","",IFERROR(
   IF(_xlfn.XLOOKUP(Final_Sans_VGE[[#This Row],[ppn_z]],tbl_Historique_Final[[#This Row],[ppn_z]],tbl_Historique_Final[[#This Row],[date_modif]])=Final_Sans_VGE[[#This Row],[date_modif]],
      "Ancien",
      "Modifié"),
   "Nouveau")),"")</f>
        <v/>
      </c>
    </row>
    <row r="7594" spans="24:30" x14ac:dyDescent="0.25">
      <c r="X7594" s="8" t="e">
        <f>IF(Final_Sans_VGE[[#This Row],[ppn_z]]="","",IFERROR(
   IF(_xlfn.XLOOKUP(Final_Sans_VGE[[#This Row],[ppn_z]],tbl_Historique_Final[ppn_z],tbl_Historique_Final[date_modif])=Final_Sans_VGE[[#This Row],[date_modif]],
      "Ancien",
      "Modifié"),
   "Nouveau"))</f>
        <v>#VALUE!</v>
      </c>
      <c r="AD7594" s="1" t="str">
        <f>IFERROR(IF(Final_Sans_VGE[[#This Row],[ppn_z]]="","",IFERROR(
   IF(_xlfn.XLOOKUP(Final_Sans_VGE[[#This Row],[ppn_z]],tbl_Historique_Final[[#This Row],[ppn_z]],tbl_Historique_Final[[#This Row],[date_modif]])=Final_Sans_VGE[[#This Row],[date_modif]],
      "Ancien",
      "Modifié"),
   "Nouveau")),"")</f>
        <v/>
      </c>
    </row>
    <row r="7595" spans="24:30" x14ac:dyDescent="0.25">
      <c r="X7595" s="8" t="e">
        <f>IF(Final_Sans_VGE[[#This Row],[ppn_z]]="","",IFERROR(
   IF(_xlfn.XLOOKUP(Final_Sans_VGE[[#This Row],[ppn_z]],tbl_Historique_Final[ppn_z],tbl_Historique_Final[date_modif])=Final_Sans_VGE[[#This Row],[date_modif]],
      "Ancien",
      "Modifié"),
   "Nouveau"))</f>
        <v>#VALUE!</v>
      </c>
      <c r="AD7595" s="1" t="str">
        <f>IFERROR(IF(Final_Sans_VGE[[#This Row],[ppn_z]]="","",IFERROR(
   IF(_xlfn.XLOOKUP(Final_Sans_VGE[[#This Row],[ppn_z]],tbl_Historique_Final[[#This Row],[ppn_z]],tbl_Historique_Final[[#This Row],[date_modif]])=Final_Sans_VGE[[#This Row],[date_modif]],
      "Ancien",
      "Modifié"),
   "Nouveau")),"")</f>
        <v/>
      </c>
    </row>
    <row r="7596" spans="24:30" x14ac:dyDescent="0.25">
      <c r="X7596" s="8" t="e">
        <f>IF(Final_Sans_VGE[[#This Row],[ppn_z]]="","",IFERROR(
   IF(_xlfn.XLOOKUP(Final_Sans_VGE[[#This Row],[ppn_z]],tbl_Historique_Final[ppn_z],tbl_Historique_Final[date_modif])=Final_Sans_VGE[[#This Row],[date_modif]],
      "Ancien",
      "Modifié"),
   "Nouveau"))</f>
        <v>#VALUE!</v>
      </c>
      <c r="AD7596" s="1" t="str">
        <f>IFERROR(IF(Final_Sans_VGE[[#This Row],[ppn_z]]="","",IFERROR(
   IF(_xlfn.XLOOKUP(Final_Sans_VGE[[#This Row],[ppn_z]],tbl_Historique_Final[[#This Row],[ppn_z]],tbl_Historique_Final[[#This Row],[date_modif]])=Final_Sans_VGE[[#This Row],[date_modif]],
      "Ancien",
      "Modifié"),
   "Nouveau")),"")</f>
        <v/>
      </c>
    </row>
    <row r="7597" spans="24:30" x14ac:dyDescent="0.25">
      <c r="X7597" s="8" t="e">
        <f>IF(Final_Sans_VGE[[#This Row],[ppn_z]]="","",IFERROR(
   IF(_xlfn.XLOOKUP(Final_Sans_VGE[[#This Row],[ppn_z]],tbl_Historique_Final[ppn_z],tbl_Historique_Final[date_modif])=Final_Sans_VGE[[#This Row],[date_modif]],
      "Ancien",
      "Modifié"),
   "Nouveau"))</f>
        <v>#VALUE!</v>
      </c>
      <c r="AD7597" s="1" t="str">
        <f>IFERROR(IF(Final_Sans_VGE[[#This Row],[ppn_z]]="","",IFERROR(
   IF(_xlfn.XLOOKUP(Final_Sans_VGE[[#This Row],[ppn_z]],tbl_Historique_Final[[#This Row],[ppn_z]],tbl_Historique_Final[[#This Row],[date_modif]])=Final_Sans_VGE[[#This Row],[date_modif]],
      "Ancien",
      "Modifié"),
   "Nouveau")),"")</f>
        <v/>
      </c>
    </row>
    <row r="7598" spans="24:30" x14ac:dyDescent="0.25">
      <c r="X7598" s="8" t="e">
        <f>IF(Final_Sans_VGE[[#This Row],[ppn_z]]="","",IFERROR(
   IF(_xlfn.XLOOKUP(Final_Sans_VGE[[#This Row],[ppn_z]],tbl_Historique_Final[ppn_z],tbl_Historique_Final[date_modif])=Final_Sans_VGE[[#This Row],[date_modif]],
      "Ancien",
      "Modifié"),
   "Nouveau"))</f>
        <v>#VALUE!</v>
      </c>
      <c r="AD7598" s="1" t="str">
        <f>IFERROR(IF(Final_Sans_VGE[[#This Row],[ppn_z]]="","",IFERROR(
   IF(_xlfn.XLOOKUP(Final_Sans_VGE[[#This Row],[ppn_z]],tbl_Historique_Final[[#This Row],[ppn_z]],tbl_Historique_Final[[#This Row],[date_modif]])=Final_Sans_VGE[[#This Row],[date_modif]],
      "Ancien",
      "Modifié"),
   "Nouveau")),"")</f>
        <v/>
      </c>
    </row>
    <row r="7599" spans="24:30" x14ac:dyDescent="0.25">
      <c r="X7599" s="8" t="e">
        <f>IF(Final_Sans_VGE[[#This Row],[ppn_z]]="","",IFERROR(
   IF(_xlfn.XLOOKUP(Final_Sans_VGE[[#This Row],[ppn_z]],tbl_Historique_Final[ppn_z],tbl_Historique_Final[date_modif])=Final_Sans_VGE[[#This Row],[date_modif]],
      "Ancien",
      "Modifié"),
   "Nouveau"))</f>
        <v>#VALUE!</v>
      </c>
      <c r="AD7599" s="1" t="str">
        <f>IFERROR(IF(Final_Sans_VGE[[#This Row],[ppn_z]]="","",IFERROR(
   IF(_xlfn.XLOOKUP(Final_Sans_VGE[[#This Row],[ppn_z]],tbl_Historique_Final[[#This Row],[ppn_z]],tbl_Historique_Final[[#This Row],[date_modif]])=Final_Sans_VGE[[#This Row],[date_modif]],
      "Ancien",
      "Modifié"),
   "Nouveau")),"")</f>
        <v/>
      </c>
    </row>
    <row r="7600" spans="24:30" x14ac:dyDescent="0.25">
      <c r="X7600" s="8" t="e">
        <f>IF(Final_Sans_VGE[[#This Row],[ppn_z]]="","",IFERROR(
   IF(_xlfn.XLOOKUP(Final_Sans_VGE[[#This Row],[ppn_z]],tbl_Historique_Final[ppn_z],tbl_Historique_Final[date_modif])=Final_Sans_VGE[[#This Row],[date_modif]],
      "Ancien",
      "Modifié"),
   "Nouveau"))</f>
        <v>#VALUE!</v>
      </c>
      <c r="AD7600" s="1" t="str">
        <f>IFERROR(IF(Final_Sans_VGE[[#This Row],[ppn_z]]="","",IFERROR(
   IF(_xlfn.XLOOKUP(Final_Sans_VGE[[#This Row],[ppn_z]],tbl_Historique_Final[[#This Row],[ppn_z]],tbl_Historique_Final[[#This Row],[date_modif]])=Final_Sans_VGE[[#This Row],[date_modif]],
      "Ancien",
      "Modifié"),
   "Nouveau")),"")</f>
        <v/>
      </c>
    </row>
    <row r="7601" spans="24:30" x14ac:dyDescent="0.25">
      <c r="X7601" s="8" t="e">
        <f>IF(Final_Sans_VGE[[#This Row],[ppn_z]]="","",IFERROR(
   IF(_xlfn.XLOOKUP(Final_Sans_VGE[[#This Row],[ppn_z]],tbl_Historique_Final[ppn_z],tbl_Historique_Final[date_modif])=Final_Sans_VGE[[#This Row],[date_modif]],
      "Ancien",
      "Modifié"),
   "Nouveau"))</f>
        <v>#VALUE!</v>
      </c>
      <c r="AD7601" s="1" t="str">
        <f>IFERROR(IF(Final_Sans_VGE[[#This Row],[ppn_z]]="","",IFERROR(
   IF(_xlfn.XLOOKUP(Final_Sans_VGE[[#This Row],[ppn_z]],tbl_Historique_Final[[#This Row],[ppn_z]],tbl_Historique_Final[[#This Row],[date_modif]])=Final_Sans_VGE[[#This Row],[date_modif]],
      "Ancien",
      "Modifié"),
   "Nouveau")),"")</f>
        <v/>
      </c>
    </row>
    <row r="7602" spans="24:30" x14ac:dyDescent="0.25">
      <c r="X7602" s="8" t="e">
        <f>IF(Final_Sans_VGE[[#This Row],[ppn_z]]="","",IFERROR(
   IF(_xlfn.XLOOKUP(Final_Sans_VGE[[#This Row],[ppn_z]],tbl_Historique_Final[ppn_z],tbl_Historique_Final[date_modif])=Final_Sans_VGE[[#This Row],[date_modif]],
      "Ancien",
      "Modifié"),
   "Nouveau"))</f>
        <v>#VALUE!</v>
      </c>
      <c r="AD7602" s="1" t="str">
        <f>IFERROR(IF(Final_Sans_VGE[[#This Row],[ppn_z]]="","",IFERROR(
   IF(_xlfn.XLOOKUP(Final_Sans_VGE[[#This Row],[ppn_z]],tbl_Historique_Final[[#This Row],[ppn_z]],tbl_Historique_Final[[#This Row],[date_modif]])=Final_Sans_VGE[[#This Row],[date_modif]],
      "Ancien",
      "Modifié"),
   "Nouveau")),"")</f>
        <v/>
      </c>
    </row>
    <row r="7603" spans="24:30" x14ac:dyDescent="0.25">
      <c r="X7603" s="8" t="e">
        <f>IF(Final_Sans_VGE[[#This Row],[ppn_z]]="","",IFERROR(
   IF(_xlfn.XLOOKUP(Final_Sans_VGE[[#This Row],[ppn_z]],tbl_Historique_Final[ppn_z],tbl_Historique_Final[date_modif])=Final_Sans_VGE[[#This Row],[date_modif]],
      "Ancien",
      "Modifié"),
   "Nouveau"))</f>
        <v>#VALUE!</v>
      </c>
      <c r="AD7603" s="1" t="str">
        <f>IFERROR(IF(Final_Sans_VGE[[#This Row],[ppn_z]]="","",IFERROR(
   IF(_xlfn.XLOOKUP(Final_Sans_VGE[[#This Row],[ppn_z]],tbl_Historique_Final[[#This Row],[ppn_z]],tbl_Historique_Final[[#This Row],[date_modif]])=Final_Sans_VGE[[#This Row],[date_modif]],
      "Ancien",
      "Modifié"),
   "Nouveau")),"")</f>
        <v/>
      </c>
    </row>
    <row r="7604" spans="24:30" x14ac:dyDescent="0.25">
      <c r="X7604" s="8" t="e">
        <f>IF(Final_Sans_VGE[[#This Row],[ppn_z]]="","",IFERROR(
   IF(_xlfn.XLOOKUP(Final_Sans_VGE[[#This Row],[ppn_z]],tbl_Historique_Final[ppn_z],tbl_Historique_Final[date_modif])=Final_Sans_VGE[[#This Row],[date_modif]],
      "Ancien",
      "Modifié"),
   "Nouveau"))</f>
        <v>#VALUE!</v>
      </c>
      <c r="AD7604" s="1" t="str">
        <f>IFERROR(IF(Final_Sans_VGE[[#This Row],[ppn_z]]="","",IFERROR(
   IF(_xlfn.XLOOKUP(Final_Sans_VGE[[#This Row],[ppn_z]],tbl_Historique_Final[[#This Row],[ppn_z]],tbl_Historique_Final[[#This Row],[date_modif]])=Final_Sans_VGE[[#This Row],[date_modif]],
      "Ancien",
      "Modifié"),
   "Nouveau")),"")</f>
        <v/>
      </c>
    </row>
    <row r="7605" spans="24:30" x14ac:dyDescent="0.25">
      <c r="X7605" s="8" t="e">
        <f>IF(Final_Sans_VGE[[#This Row],[ppn_z]]="","",IFERROR(
   IF(_xlfn.XLOOKUP(Final_Sans_VGE[[#This Row],[ppn_z]],tbl_Historique_Final[ppn_z],tbl_Historique_Final[date_modif])=Final_Sans_VGE[[#This Row],[date_modif]],
      "Ancien",
      "Modifié"),
   "Nouveau"))</f>
        <v>#VALUE!</v>
      </c>
      <c r="AD7605" s="1" t="str">
        <f>IFERROR(IF(Final_Sans_VGE[[#This Row],[ppn_z]]="","",IFERROR(
   IF(_xlfn.XLOOKUP(Final_Sans_VGE[[#This Row],[ppn_z]],tbl_Historique_Final[[#This Row],[ppn_z]],tbl_Historique_Final[[#This Row],[date_modif]])=Final_Sans_VGE[[#This Row],[date_modif]],
      "Ancien",
      "Modifié"),
   "Nouveau")),"")</f>
        <v/>
      </c>
    </row>
    <row r="7606" spans="24:30" x14ac:dyDescent="0.25">
      <c r="X7606" s="8" t="e">
        <f>IF(Final_Sans_VGE[[#This Row],[ppn_z]]="","",IFERROR(
   IF(_xlfn.XLOOKUP(Final_Sans_VGE[[#This Row],[ppn_z]],tbl_Historique_Final[ppn_z],tbl_Historique_Final[date_modif])=Final_Sans_VGE[[#This Row],[date_modif]],
      "Ancien",
      "Modifié"),
   "Nouveau"))</f>
        <v>#VALUE!</v>
      </c>
      <c r="AD7606" s="1" t="str">
        <f>IFERROR(IF(Final_Sans_VGE[[#This Row],[ppn_z]]="","",IFERROR(
   IF(_xlfn.XLOOKUP(Final_Sans_VGE[[#This Row],[ppn_z]],tbl_Historique_Final[[#This Row],[ppn_z]],tbl_Historique_Final[[#This Row],[date_modif]])=Final_Sans_VGE[[#This Row],[date_modif]],
      "Ancien",
      "Modifié"),
   "Nouveau")),"")</f>
        <v/>
      </c>
    </row>
    <row r="7607" spans="24:30" x14ac:dyDescent="0.25">
      <c r="X7607" s="8" t="e">
        <f>IF(Final_Sans_VGE[[#This Row],[ppn_z]]="","",IFERROR(
   IF(_xlfn.XLOOKUP(Final_Sans_VGE[[#This Row],[ppn_z]],tbl_Historique_Final[ppn_z],tbl_Historique_Final[date_modif])=Final_Sans_VGE[[#This Row],[date_modif]],
      "Ancien",
      "Modifié"),
   "Nouveau"))</f>
        <v>#VALUE!</v>
      </c>
      <c r="AD7607" s="1" t="str">
        <f>IFERROR(IF(Final_Sans_VGE[[#This Row],[ppn_z]]="","",IFERROR(
   IF(_xlfn.XLOOKUP(Final_Sans_VGE[[#This Row],[ppn_z]],tbl_Historique_Final[[#This Row],[ppn_z]],tbl_Historique_Final[[#This Row],[date_modif]])=Final_Sans_VGE[[#This Row],[date_modif]],
      "Ancien",
      "Modifié"),
   "Nouveau")),"")</f>
        <v/>
      </c>
    </row>
    <row r="7608" spans="24:30" x14ac:dyDescent="0.25">
      <c r="X7608" s="8" t="e">
        <f>IF(Final_Sans_VGE[[#This Row],[ppn_z]]="","",IFERROR(
   IF(_xlfn.XLOOKUP(Final_Sans_VGE[[#This Row],[ppn_z]],tbl_Historique_Final[ppn_z],tbl_Historique_Final[date_modif])=Final_Sans_VGE[[#This Row],[date_modif]],
      "Ancien",
      "Modifié"),
   "Nouveau"))</f>
        <v>#VALUE!</v>
      </c>
      <c r="AD7608" s="1" t="str">
        <f>IFERROR(IF(Final_Sans_VGE[[#This Row],[ppn_z]]="","",IFERROR(
   IF(_xlfn.XLOOKUP(Final_Sans_VGE[[#This Row],[ppn_z]],tbl_Historique_Final[[#This Row],[ppn_z]],tbl_Historique_Final[[#This Row],[date_modif]])=Final_Sans_VGE[[#This Row],[date_modif]],
      "Ancien",
      "Modifié"),
   "Nouveau")),"")</f>
        <v/>
      </c>
    </row>
    <row r="7609" spans="24:30" x14ac:dyDescent="0.25">
      <c r="X7609" s="8" t="e">
        <f>IF(Final_Sans_VGE[[#This Row],[ppn_z]]="","",IFERROR(
   IF(_xlfn.XLOOKUP(Final_Sans_VGE[[#This Row],[ppn_z]],tbl_Historique_Final[ppn_z],tbl_Historique_Final[date_modif])=Final_Sans_VGE[[#This Row],[date_modif]],
      "Ancien",
      "Modifié"),
   "Nouveau"))</f>
        <v>#VALUE!</v>
      </c>
      <c r="AD7609" s="1" t="str">
        <f>IFERROR(IF(Final_Sans_VGE[[#This Row],[ppn_z]]="","",IFERROR(
   IF(_xlfn.XLOOKUP(Final_Sans_VGE[[#This Row],[ppn_z]],tbl_Historique_Final[[#This Row],[ppn_z]],tbl_Historique_Final[[#This Row],[date_modif]])=Final_Sans_VGE[[#This Row],[date_modif]],
      "Ancien",
      "Modifié"),
   "Nouveau")),"")</f>
        <v/>
      </c>
    </row>
    <row r="7610" spans="24:30" x14ac:dyDescent="0.25">
      <c r="X7610" s="8" t="e">
        <f>IF(Final_Sans_VGE[[#This Row],[ppn_z]]="","",IFERROR(
   IF(_xlfn.XLOOKUP(Final_Sans_VGE[[#This Row],[ppn_z]],tbl_Historique_Final[ppn_z],tbl_Historique_Final[date_modif])=Final_Sans_VGE[[#This Row],[date_modif]],
      "Ancien",
      "Modifié"),
   "Nouveau"))</f>
        <v>#VALUE!</v>
      </c>
      <c r="AD7610" s="1" t="str">
        <f>IFERROR(IF(Final_Sans_VGE[[#This Row],[ppn_z]]="","",IFERROR(
   IF(_xlfn.XLOOKUP(Final_Sans_VGE[[#This Row],[ppn_z]],tbl_Historique_Final[[#This Row],[ppn_z]],tbl_Historique_Final[[#This Row],[date_modif]])=Final_Sans_VGE[[#This Row],[date_modif]],
      "Ancien",
      "Modifié"),
   "Nouveau")),"")</f>
        <v/>
      </c>
    </row>
    <row r="7611" spans="24:30" x14ac:dyDescent="0.25">
      <c r="X7611" s="8" t="e">
        <f>IF(Final_Sans_VGE[[#This Row],[ppn_z]]="","",IFERROR(
   IF(_xlfn.XLOOKUP(Final_Sans_VGE[[#This Row],[ppn_z]],tbl_Historique_Final[ppn_z],tbl_Historique_Final[date_modif])=Final_Sans_VGE[[#This Row],[date_modif]],
      "Ancien",
      "Modifié"),
   "Nouveau"))</f>
        <v>#VALUE!</v>
      </c>
      <c r="AD7611" s="1" t="str">
        <f>IFERROR(IF(Final_Sans_VGE[[#This Row],[ppn_z]]="","",IFERROR(
   IF(_xlfn.XLOOKUP(Final_Sans_VGE[[#This Row],[ppn_z]],tbl_Historique_Final[[#This Row],[ppn_z]],tbl_Historique_Final[[#This Row],[date_modif]])=Final_Sans_VGE[[#This Row],[date_modif]],
      "Ancien",
      "Modifié"),
   "Nouveau")),"")</f>
        <v/>
      </c>
    </row>
    <row r="7612" spans="24:30" x14ac:dyDescent="0.25">
      <c r="X7612" s="8" t="e">
        <f>IF(Final_Sans_VGE[[#This Row],[ppn_z]]="","",IFERROR(
   IF(_xlfn.XLOOKUP(Final_Sans_VGE[[#This Row],[ppn_z]],tbl_Historique_Final[ppn_z],tbl_Historique_Final[date_modif])=Final_Sans_VGE[[#This Row],[date_modif]],
      "Ancien",
      "Modifié"),
   "Nouveau"))</f>
        <v>#VALUE!</v>
      </c>
      <c r="AD7612" s="1" t="str">
        <f>IFERROR(IF(Final_Sans_VGE[[#This Row],[ppn_z]]="","",IFERROR(
   IF(_xlfn.XLOOKUP(Final_Sans_VGE[[#This Row],[ppn_z]],tbl_Historique_Final[[#This Row],[ppn_z]],tbl_Historique_Final[[#This Row],[date_modif]])=Final_Sans_VGE[[#This Row],[date_modif]],
      "Ancien",
      "Modifié"),
   "Nouveau")),"")</f>
        <v/>
      </c>
    </row>
    <row r="7613" spans="24:30" x14ac:dyDescent="0.25">
      <c r="X7613" s="8" t="e">
        <f>IF(Final_Sans_VGE[[#This Row],[ppn_z]]="","",IFERROR(
   IF(_xlfn.XLOOKUP(Final_Sans_VGE[[#This Row],[ppn_z]],tbl_Historique_Final[ppn_z],tbl_Historique_Final[date_modif])=Final_Sans_VGE[[#This Row],[date_modif]],
      "Ancien",
      "Modifié"),
   "Nouveau"))</f>
        <v>#VALUE!</v>
      </c>
      <c r="AD7613" s="1" t="str">
        <f>IFERROR(IF(Final_Sans_VGE[[#This Row],[ppn_z]]="","",IFERROR(
   IF(_xlfn.XLOOKUP(Final_Sans_VGE[[#This Row],[ppn_z]],tbl_Historique_Final[[#This Row],[ppn_z]],tbl_Historique_Final[[#This Row],[date_modif]])=Final_Sans_VGE[[#This Row],[date_modif]],
      "Ancien",
      "Modifié"),
   "Nouveau")),"")</f>
        <v/>
      </c>
    </row>
    <row r="7614" spans="24:30" x14ac:dyDescent="0.25">
      <c r="X7614" s="8" t="e">
        <f>IF(Final_Sans_VGE[[#This Row],[ppn_z]]="","",IFERROR(
   IF(_xlfn.XLOOKUP(Final_Sans_VGE[[#This Row],[ppn_z]],tbl_Historique_Final[ppn_z],tbl_Historique_Final[date_modif])=Final_Sans_VGE[[#This Row],[date_modif]],
      "Ancien",
      "Modifié"),
   "Nouveau"))</f>
        <v>#VALUE!</v>
      </c>
      <c r="AD7614" s="1" t="str">
        <f>IFERROR(IF(Final_Sans_VGE[[#This Row],[ppn_z]]="","",IFERROR(
   IF(_xlfn.XLOOKUP(Final_Sans_VGE[[#This Row],[ppn_z]],tbl_Historique_Final[[#This Row],[ppn_z]],tbl_Historique_Final[[#This Row],[date_modif]])=Final_Sans_VGE[[#This Row],[date_modif]],
      "Ancien",
      "Modifié"),
   "Nouveau")),"")</f>
        <v/>
      </c>
    </row>
    <row r="7615" spans="24:30" x14ac:dyDescent="0.25">
      <c r="X7615" s="8" t="e">
        <f>IF(Final_Sans_VGE[[#This Row],[ppn_z]]="","",IFERROR(
   IF(_xlfn.XLOOKUP(Final_Sans_VGE[[#This Row],[ppn_z]],tbl_Historique_Final[ppn_z],tbl_Historique_Final[date_modif])=Final_Sans_VGE[[#This Row],[date_modif]],
      "Ancien",
      "Modifié"),
   "Nouveau"))</f>
        <v>#VALUE!</v>
      </c>
      <c r="AD7615" s="1" t="str">
        <f>IFERROR(IF(Final_Sans_VGE[[#This Row],[ppn_z]]="","",IFERROR(
   IF(_xlfn.XLOOKUP(Final_Sans_VGE[[#This Row],[ppn_z]],tbl_Historique_Final[[#This Row],[ppn_z]],tbl_Historique_Final[[#This Row],[date_modif]])=Final_Sans_VGE[[#This Row],[date_modif]],
      "Ancien",
      "Modifié"),
   "Nouveau")),"")</f>
        <v/>
      </c>
    </row>
    <row r="7616" spans="24:30" x14ac:dyDescent="0.25">
      <c r="X7616" s="8" t="e">
        <f>IF(Final_Sans_VGE[[#This Row],[ppn_z]]="","",IFERROR(
   IF(_xlfn.XLOOKUP(Final_Sans_VGE[[#This Row],[ppn_z]],tbl_Historique_Final[ppn_z],tbl_Historique_Final[date_modif])=Final_Sans_VGE[[#This Row],[date_modif]],
      "Ancien",
      "Modifié"),
   "Nouveau"))</f>
        <v>#VALUE!</v>
      </c>
      <c r="AD7616" s="1" t="str">
        <f>IFERROR(IF(Final_Sans_VGE[[#This Row],[ppn_z]]="","",IFERROR(
   IF(_xlfn.XLOOKUP(Final_Sans_VGE[[#This Row],[ppn_z]],tbl_Historique_Final[[#This Row],[ppn_z]],tbl_Historique_Final[[#This Row],[date_modif]])=Final_Sans_VGE[[#This Row],[date_modif]],
      "Ancien",
      "Modifié"),
   "Nouveau")),"")</f>
        <v/>
      </c>
    </row>
    <row r="7617" spans="24:30" x14ac:dyDescent="0.25">
      <c r="X7617" s="8" t="e">
        <f>IF(Final_Sans_VGE[[#This Row],[ppn_z]]="","",IFERROR(
   IF(_xlfn.XLOOKUP(Final_Sans_VGE[[#This Row],[ppn_z]],tbl_Historique_Final[ppn_z],tbl_Historique_Final[date_modif])=Final_Sans_VGE[[#This Row],[date_modif]],
      "Ancien",
      "Modifié"),
   "Nouveau"))</f>
        <v>#VALUE!</v>
      </c>
      <c r="AD7617" s="1" t="str">
        <f>IFERROR(IF(Final_Sans_VGE[[#This Row],[ppn_z]]="","",IFERROR(
   IF(_xlfn.XLOOKUP(Final_Sans_VGE[[#This Row],[ppn_z]],tbl_Historique_Final[[#This Row],[ppn_z]],tbl_Historique_Final[[#This Row],[date_modif]])=Final_Sans_VGE[[#This Row],[date_modif]],
      "Ancien",
      "Modifié"),
   "Nouveau")),"")</f>
        <v/>
      </c>
    </row>
    <row r="7618" spans="24:30" x14ac:dyDescent="0.25">
      <c r="X7618" s="8" t="e">
        <f>IF(Final_Sans_VGE[[#This Row],[ppn_z]]="","",IFERROR(
   IF(_xlfn.XLOOKUP(Final_Sans_VGE[[#This Row],[ppn_z]],tbl_Historique_Final[ppn_z],tbl_Historique_Final[date_modif])=Final_Sans_VGE[[#This Row],[date_modif]],
      "Ancien",
      "Modifié"),
   "Nouveau"))</f>
        <v>#VALUE!</v>
      </c>
      <c r="AD7618" s="1" t="str">
        <f>IFERROR(IF(Final_Sans_VGE[[#This Row],[ppn_z]]="","",IFERROR(
   IF(_xlfn.XLOOKUP(Final_Sans_VGE[[#This Row],[ppn_z]],tbl_Historique_Final[[#This Row],[ppn_z]],tbl_Historique_Final[[#This Row],[date_modif]])=Final_Sans_VGE[[#This Row],[date_modif]],
      "Ancien",
      "Modifié"),
   "Nouveau")),"")</f>
        <v/>
      </c>
    </row>
    <row r="7619" spans="24:30" x14ac:dyDescent="0.25">
      <c r="X7619" s="8" t="e">
        <f>IF(Final_Sans_VGE[[#This Row],[ppn_z]]="","",IFERROR(
   IF(_xlfn.XLOOKUP(Final_Sans_VGE[[#This Row],[ppn_z]],tbl_Historique_Final[ppn_z],tbl_Historique_Final[date_modif])=Final_Sans_VGE[[#This Row],[date_modif]],
      "Ancien",
      "Modifié"),
   "Nouveau"))</f>
        <v>#VALUE!</v>
      </c>
      <c r="AD7619" s="1" t="str">
        <f>IFERROR(IF(Final_Sans_VGE[[#This Row],[ppn_z]]="","",IFERROR(
   IF(_xlfn.XLOOKUP(Final_Sans_VGE[[#This Row],[ppn_z]],tbl_Historique_Final[[#This Row],[ppn_z]],tbl_Historique_Final[[#This Row],[date_modif]])=Final_Sans_VGE[[#This Row],[date_modif]],
      "Ancien",
      "Modifié"),
   "Nouveau")),"")</f>
        <v/>
      </c>
    </row>
    <row r="7620" spans="24:30" x14ac:dyDescent="0.25">
      <c r="X7620" s="8" t="e">
        <f>IF(Final_Sans_VGE[[#This Row],[ppn_z]]="","",IFERROR(
   IF(_xlfn.XLOOKUP(Final_Sans_VGE[[#This Row],[ppn_z]],tbl_Historique_Final[ppn_z],tbl_Historique_Final[date_modif])=Final_Sans_VGE[[#This Row],[date_modif]],
      "Ancien",
      "Modifié"),
   "Nouveau"))</f>
        <v>#VALUE!</v>
      </c>
      <c r="AD7620" s="1" t="str">
        <f>IFERROR(IF(Final_Sans_VGE[[#This Row],[ppn_z]]="","",IFERROR(
   IF(_xlfn.XLOOKUP(Final_Sans_VGE[[#This Row],[ppn_z]],tbl_Historique_Final[[#This Row],[ppn_z]],tbl_Historique_Final[[#This Row],[date_modif]])=Final_Sans_VGE[[#This Row],[date_modif]],
      "Ancien",
      "Modifié"),
   "Nouveau")),"")</f>
        <v/>
      </c>
    </row>
    <row r="7621" spans="24:30" x14ac:dyDescent="0.25">
      <c r="X7621" s="8" t="e">
        <f>IF(Final_Sans_VGE[[#This Row],[ppn_z]]="","",IFERROR(
   IF(_xlfn.XLOOKUP(Final_Sans_VGE[[#This Row],[ppn_z]],tbl_Historique_Final[ppn_z],tbl_Historique_Final[date_modif])=Final_Sans_VGE[[#This Row],[date_modif]],
      "Ancien",
      "Modifié"),
   "Nouveau"))</f>
        <v>#VALUE!</v>
      </c>
      <c r="AD7621" s="1" t="str">
        <f>IFERROR(IF(Final_Sans_VGE[[#This Row],[ppn_z]]="","",IFERROR(
   IF(_xlfn.XLOOKUP(Final_Sans_VGE[[#This Row],[ppn_z]],tbl_Historique_Final[[#This Row],[ppn_z]],tbl_Historique_Final[[#This Row],[date_modif]])=Final_Sans_VGE[[#This Row],[date_modif]],
      "Ancien",
      "Modifié"),
   "Nouveau")),"")</f>
        <v/>
      </c>
    </row>
    <row r="7622" spans="24:30" x14ac:dyDescent="0.25">
      <c r="X7622" s="8" t="e">
        <f>IF(Final_Sans_VGE[[#This Row],[ppn_z]]="","",IFERROR(
   IF(_xlfn.XLOOKUP(Final_Sans_VGE[[#This Row],[ppn_z]],tbl_Historique_Final[ppn_z],tbl_Historique_Final[date_modif])=Final_Sans_VGE[[#This Row],[date_modif]],
      "Ancien",
      "Modifié"),
   "Nouveau"))</f>
        <v>#VALUE!</v>
      </c>
      <c r="AD7622" s="1" t="str">
        <f>IFERROR(IF(Final_Sans_VGE[[#This Row],[ppn_z]]="","",IFERROR(
   IF(_xlfn.XLOOKUP(Final_Sans_VGE[[#This Row],[ppn_z]],tbl_Historique_Final[[#This Row],[ppn_z]],tbl_Historique_Final[[#This Row],[date_modif]])=Final_Sans_VGE[[#This Row],[date_modif]],
      "Ancien",
      "Modifié"),
   "Nouveau")),"")</f>
        <v/>
      </c>
    </row>
    <row r="7623" spans="24:30" x14ac:dyDescent="0.25">
      <c r="X7623" s="8" t="e">
        <f>IF(Final_Sans_VGE[[#This Row],[ppn_z]]="","",IFERROR(
   IF(_xlfn.XLOOKUP(Final_Sans_VGE[[#This Row],[ppn_z]],tbl_Historique_Final[ppn_z],tbl_Historique_Final[date_modif])=Final_Sans_VGE[[#This Row],[date_modif]],
      "Ancien",
      "Modifié"),
   "Nouveau"))</f>
        <v>#VALUE!</v>
      </c>
      <c r="AD7623" s="1" t="str">
        <f>IFERROR(IF(Final_Sans_VGE[[#This Row],[ppn_z]]="","",IFERROR(
   IF(_xlfn.XLOOKUP(Final_Sans_VGE[[#This Row],[ppn_z]],tbl_Historique_Final[[#This Row],[ppn_z]],tbl_Historique_Final[[#This Row],[date_modif]])=Final_Sans_VGE[[#This Row],[date_modif]],
      "Ancien",
      "Modifié"),
   "Nouveau")),"")</f>
        <v/>
      </c>
    </row>
    <row r="7624" spans="24:30" x14ac:dyDescent="0.25">
      <c r="X7624" s="8" t="e">
        <f>IF(Final_Sans_VGE[[#This Row],[ppn_z]]="","",IFERROR(
   IF(_xlfn.XLOOKUP(Final_Sans_VGE[[#This Row],[ppn_z]],tbl_Historique_Final[ppn_z],tbl_Historique_Final[date_modif])=Final_Sans_VGE[[#This Row],[date_modif]],
      "Ancien",
      "Modifié"),
   "Nouveau"))</f>
        <v>#VALUE!</v>
      </c>
      <c r="AD7624" s="1" t="str">
        <f>IFERROR(IF(Final_Sans_VGE[[#This Row],[ppn_z]]="","",IFERROR(
   IF(_xlfn.XLOOKUP(Final_Sans_VGE[[#This Row],[ppn_z]],tbl_Historique_Final[[#This Row],[ppn_z]],tbl_Historique_Final[[#This Row],[date_modif]])=Final_Sans_VGE[[#This Row],[date_modif]],
      "Ancien",
      "Modifié"),
   "Nouveau")),"")</f>
        <v/>
      </c>
    </row>
    <row r="7625" spans="24:30" x14ac:dyDescent="0.25">
      <c r="X7625" s="8" t="e">
        <f>IF(Final_Sans_VGE[[#This Row],[ppn_z]]="","",IFERROR(
   IF(_xlfn.XLOOKUP(Final_Sans_VGE[[#This Row],[ppn_z]],tbl_Historique_Final[ppn_z],tbl_Historique_Final[date_modif])=Final_Sans_VGE[[#This Row],[date_modif]],
      "Ancien",
      "Modifié"),
   "Nouveau"))</f>
        <v>#VALUE!</v>
      </c>
      <c r="AD7625" s="1" t="str">
        <f>IFERROR(IF(Final_Sans_VGE[[#This Row],[ppn_z]]="","",IFERROR(
   IF(_xlfn.XLOOKUP(Final_Sans_VGE[[#This Row],[ppn_z]],tbl_Historique_Final[[#This Row],[ppn_z]],tbl_Historique_Final[[#This Row],[date_modif]])=Final_Sans_VGE[[#This Row],[date_modif]],
      "Ancien",
      "Modifié"),
   "Nouveau")),"")</f>
        <v/>
      </c>
    </row>
    <row r="7626" spans="24:30" x14ac:dyDescent="0.25">
      <c r="X7626" s="8" t="e">
        <f>IF(Final_Sans_VGE[[#This Row],[ppn_z]]="","",IFERROR(
   IF(_xlfn.XLOOKUP(Final_Sans_VGE[[#This Row],[ppn_z]],tbl_Historique_Final[ppn_z],tbl_Historique_Final[date_modif])=Final_Sans_VGE[[#This Row],[date_modif]],
      "Ancien",
      "Modifié"),
   "Nouveau"))</f>
        <v>#VALUE!</v>
      </c>
      <c r="AD7626" s="1" t="str">
        <f>IFERROR(IF(Final_Sans_VGE[[#This Row],[ppn_z]]="","",IFERROR(
   IF(_xlfn.XLOOKUP(Final_Sans_VGE[[#This Row],[ppn_z]],tbl_Historique_Final[[#This Row],[ppn_z]],tbl_Historique_Final[[#This Row],[date_modif]])=Final_Sans_VGE[[#This Row],[date_modif]],
      "Ancien",
      "Modifié"),
   "Nouveau")),"")</f>
        <v/>
      </c>
    </row>
    <row r="7627" spans="24:30" x14ac:dyDescent="0.25">
      <c r="X7627" s="8" t="e">
        <f>IF(Final_Sans_VGE[[#This Row],[ppn_z]]="","",IFERROR(
   IF(_xlfn.XLOOKUP(Final_Sans_VGE[[#This Row],[ppn_z]],tbl_Historique_Final[ppn_z],tbl_Historique_Final[date_modif])=Final_Sans_VGE[[#This Row],[date_modif]],
      "Ancien",
      "Modifié"),
   "Nouveau"))</f>
        <v>#VALUE!</v>
      </c>
      <c r="AD7627" s="1" t="str">
        <f>IFERROR(IF(Final_Sans_VGE[[#This Row],[ppn_z]]="","",IFERROR(
   IF(_xlfn.XLOOKUP(Final_Sans_VGE[[#This Row],[ppn_z]],tbl_Historique_Final[[#This Row],[ppn_z]],tbl_Historique_Final[[#This Row],[date_modif]])=Final_Sans_VGE[[#This Row],[date_modif]],
      "Ancien",
      "Modifié"),
   "Nouveau")),"")</f>
        <v/>
      </c>
    </row>
    <row r="7628" spans="24:30" x14ac:dyDescent="0.25">
      <c r="X7628" s="8" t="e">
        <f>IF(Final_Sans_VGE[[#This Row],[ppn_z]]="","",IFERROR(
   IF(_xlfn.XLOOKUP(Final_Sans_VGE[[#This Row],[ppn_z]],tbl_Historique_Final[ppn_z],tbl_Historique_Final[date_modif])=Final_Sans_VGE[[#This Row],[date_modif]],
      "Ancien",
      "Modifié"),
   "Nouveau"))</f>
        <v>#VALUE!</v>
      </c>
      <c r="AD7628" s="1" t="str">
        <f>IFERROR(IF(Final_Sans_VGE[[#This Row],[ppn_z]]="","",IFERROR(
   IF(_xlfn.XLOOKUP(Final_Sans_VGE[[#This Row],[ppn_z]],tbl_Historique_Final[[#This Row],[ppn_z]],tbl_Historique_Final[[#This Row],[date_modif]])=Final_Sans_VGE[[#This Row],[date_modif]],
      "Ancien",
      "Modifié"),
   "Nouveau")),"")</f>
        <v/>
      </c>
    </row>
    <row r="7629" spans="24:30" x14ac:dyDescent="0.25">
      <c r="X7629" s="8" t="e">
        <f>IF(Final_Sans_VGE[[#This Row],[ppn_z]]="","",IFERROR(
   IF(_xlfn.XLOOKUP(Final_Sans_VGE[[#This Row],[ppn_z]],tbl_Historique_Final[ppn_z],tbl_Historique_Final[date_modif])=Final_Sans_VGE[[#This Row],[date_modif]],
      "Ancien",
      "Modifié"),
   "Nouveau"))</f>
        <v>#VALUE!</v>
      </c>
      <c r="AD7629" s="1" t="str">
        <f>IFERROR(IF(Final_Sans_VGE[[#This Row],[ppn_z]]="","",IFERROR(
   IF(_xlfn.XLOOKUP(Final_Sans_VGE[[#This Row],[ppn_z]],tbl_Historique_Final[[#This Row],[ppn_z]],tbl_Historique_Final[[#This Row],[date_modif]])=Final_Sans_VGE[[#This Row],[date_modif]],
      "Ancien",
      "Modifié"),
   "Nouveau")),"")</f>
        <v/>
      </c>
    </row>
    <row r="7630" spans="24:30" x14ac:dyDescent="0.25">
      <c r="X7630" s="8" t="e">
        <f>IF(Final_Sans_VGE[[#This Row],[ppn_z]]="","",IFERROR(
   IF(_xlfn.XLOOKUP(Final_Sans_VGE[[#This Row],[ppn_z]],tbl_Historique_Final[ppn_z],tbl_Historique_Final[date_modif])=Final_Sans_VGE[[#This Row],[date_modif]],
      "Ancien",
      "Modifié"),
   "Nouveau"))</f>
        <v>#VALUE!</v>
      </c>
      <c r="AD7630" s="1" t="str">
        <f>IFERROR(IF(Final_Sans_VGE[[#This Row],[ppn_z]]="","",IFERROR(
   IF(_xlfn.XLOOKUP(Final_Sans_VGE[[#This Row],[ppn_z]],tbl_Historique_Final[[#This Row],[ppn_z]],tbl_Historique_Final[[#This Row],[date_modif]])=Final_Sans_VGE[[#This Row],[date_modif]],
      "Ancien",
      "Modifié"),
   "Nouveau")),"")</f>
        <v/>
      </c>
    </row>
    <row r="7631" spans="24:30" x14ac:dyDescent="0.25">
      <c r="X7631" s="8" t="e">
        <f>IF(Final_Sans_VGE[[#This Row],[ppn_z]]="","",IFERROR(
   IF(_xlfn.XLOOKUP(Final_Sans_VGE[[#This Row],[ppn_z]],tbl_Historique_Final[ppn_z],tbl_Historique_Final[date_modif])=Final_Sans_VGE[[#This Row],[date_modif]],
      "Ancien",
      "Modifié"),
   "Nouveau"))</f>
        <v>#VALUE!</v>
      </c>
      <c r="AD7631" s="1" t="str">
        <f>IFERROR(IF(Final_Sans_VGE[[#This Row],[ppn_z]]="","",IFERROR(
   IF(_xlfn.XLOOKUP(Final_Sans_VGE[[#This Row],[ppn_z]],tbl_Historique_Final[[#This Row],[ppn_z]],tbl_Historique_Final[[#This Row],[date_modif]])=Final_Sans_VGE[[#This Row],[date_modif]],
      "Ancien",
      "Modifié"),
   "Nouveau")),"")</f>
        <v/>
      </c>
    </row>
    <row r="7632" spans="24:30" x14ac:dyDescent="0.25">
      <c r="X7632" s="8" t="e">
        <f>IF(Final_Sans_VGE[[#This Row],[ppn_z]]="","",IFERROR(
   IF(_xlfn.XLOOKUP(Final_Sans_VGE[[#This Row],[ppn_z]],tbl_Historique_Final[ppn_z],tbl_Historique_Final[date_modif])=Final_Sans_VGE[[#This Row],[date_modif]],
      "Ancien",
      "Modifié"),
   "Nouveau"))</f>
        <v>#VALUE!</v>
      </c>
      <c r="AD7632" s="1" t="str">
        <f>IFERROR(IF(Final_Sans_VGE[[#This Row],[ppn_z]]="","",IFERROR(
   IF(_xlfn.XLOOKUP(Final_Sans_VGE[[#This Row],[ppn_z]],tbl_Historique_Final[[#This Row],[ppn_z]],tbl_Historique_Final[[#This Row],[date_modif]])=Final_Sans_VGE[[#This Row],[date_modif]],
      "Ancien",
      "Modifié"),
   "Nouveau")),"")</f>
        <v/>
      </c>
    </row>
    <row r="7633" spans="24:30" x14ac:dyDescent="0.25">
      <c r="X7633" s="8" t="e">
        <f>IF(Final_Sans_VGE[[#This Row],[ppn_z]]="","",IFERROR(
   IF(_xlfn.XLOOKUP(Final_Sans_VGE[[#This Row],[ppn_z]],tbl_Historique_Final[ppn_z],tbl_Historique_Final[date_modif])=Final_Sans_VGE[[#This Row],[date_modif]],
      "Ancien",
      "Modifié"),
   "Nouveau"))</f>
        <v>#VALUE!</v>
      </c>
      <c r="AD7633" s="1" t="str">
        <f>IFERROR(IF(Final_Sans_VGE[[#This Row],[ppn_z]]="","",IFERROR(
   IF(_xlfn.XLOOKUP(Final_Sans_VGE[[#This Row],[ppn_z]],tbl_Historique_Final[[#This Row],[ppn_z]],tbl_Historique_Final[[#This Row],[date_modif]])=Final_Sans_VGE[[#This Row],[date_modif]],
      "Ancien",
      "Modifié"),
   "Nouveau")),"")</f>
        <v/>
      </c>
    </row>
    <row r="7634" spans="24:30" x14ac:dyDescent="0.25">
      <c r="X7634" s="8" t="e">
        <f>IF(Final_Sans_VGE[[#This Row],[ppn_z]]="","",IFERROR(
   IF(_xlfn.XLOOKUP(Final_Sans_VGE[[#This Row],[ppn_z]],tbl_Historique_Final[ppn_z],tbl_Historique_Final[date_modif])=Final_Sans_VGE[[#This Row],[date_modif]],
      "Ancien",
      "Modifié"),
   "Nouveau"))</f>
        <v>#VALUE!</v>
      </c>
      <c r="AD7634" s="1" t="str">
        <f>IFERROR(IF(Final_Sans_VGE[[#This Row],[ppn_z]]="","",IFERROR(
   IF(_xlfn.XLOOKUP(Final_Sans_VGE[[#This Row],[ppn_z]],tbl_Historique_Final[[#This Row],[ppn_z]],tbl_Historique_Final[[#This Row],[date_modif]])=Final_Sans_VGE[[#This Row],[date_modif]],
      "Ancien",
      "Modifié"),
   "Nouveau")),"")</f>
        <v/>
      </c>
    </row>
    <row r="7635" spans="24:30" x14ac:dyDescent="0.25">
      <c r="X7635" s="8" t="e">
        <f>IF(Final_Sans_VGE[[#This Row],[ppn_z]]="","",IFERROR(
   IF(_xlfn.XLOOKUP(Final_Sans_VGE[[#This Row],[ppn_z]],tbl_Historique_Final[ppn_z],tbl_Historique_Final[date_modif])=Final_Sans_VGE[[#This Row],[date_modif]],
      "Ancien",
      "Modifié"),
   "Nouveau"))</f>
        <v>#VALUE!</v>
      </c>
      <c r="AD7635" s="1" t="str">
        <f>IFERROR(IF(Final_Sans_VGE[[#This Row],[ppn_z]]="","",IFERROR(
   IF(_xlfn.XLOOKUP(Final_Sans_VGE[[#This Row],[ppn_z]],tbl_Historique_Final[[#This Row],[ppn_z]],tbl_Historique_Final[[#This Row],[date_modif]])=Final_Sans_VGE[[#This Row],[date_modif]],
      "Ancien",
      "Modifié"),
   "Nouveau")),"")</f>
        <v/>
      </c>
    </row>
    <row r="7636" spans="24:30" x14ac:dyDescent="0.25">
      <c r="X7636" s="8" t="e">
        <f>IF(Final_Sans_VGE[[#This Row],[ppn_z]]="","",IFERROR(
   IF(_xlfn.XLOOKUP(Final_Sans_VGE[[#This Row],[ppn_z]],tbl_Historique_Final[ppn_z],tbl_Historique_Final[date_modif])=Final_Sans_VGE[[#This Row],[date_modif]],
      "Ancien",
      "Modifié"),
   "Nouveau"))</f>
        <v>#VALUE!</v>
      </c>
      <c r="AD7636" s="1" t="str">
        <f>IFERROR(IF(Final_Sans_VGE[[#This Row],[ppn_z]]="","",IFERROR(
   IF(_xlfn.XLOOKUP(Final_Sans_VGE[[#This Row],[ppn_z]],tbl_Historique_Final[[#This Row],[ppn_z]],tbl_Historique_Final[[#This Row],[date_modif]])=Final_Sans_VGE[[#This Row],[date_modif]],
      "Ancien",
      "Modifié"),
   "Nouveau")),"")</f>
        <v/>
      </c>
    </row>
    <row r="7637" spans="24:30" x14ac:dyDescent="0.25">
      <c r="X7637" s="8" t="e">
        <f>IF(Final_Sans_VGE[[#This Row],[ppn_z]]="","",IFERROR(
   IF(_xlfn.XLOOKUP(Final_Sans_VGE[[#This Row],[ppn_z]],tbl_Historique_Final[ppn_z],tbl_Historique_Final[date_modif])=Final_Sans_VGE[[#This Row],[date_modif]],
      "Ancien",
      "Modifié"),
   "Nouveau"))</f>
        <v>#VALUE!</v>
      </c>
      <c r="AD7637" s="1" t="str">
        <f>IFERROR(IF(Final_Sans_VGE[[#This Row],[ppn_z]]="","",IFERROR(
   IF(_xlfn.XLOOKUP(Final_Sans_VGE[[#This Row],[ppn_z]],tbl_Historique_Final[[#This Row],[ppn_z]],tbl_Historique_Final[[#This Row],[date_modif]])=Final_Sans_VGE[[#This Row],[date_modif]],
      "Ancien",
      "Modifié"),
   "Nouveau")),"")</f>
        <v/>
      </c>
    </row>
    <row r="7638" spans="24:30" x14ac:dyDescent="0.25">
      <c r="X7638" s="8" t="e">
        <f>IF(Final_Sans_VGE[[#This Row],[ppn_z]]="","",IFERROR(
   IF(_xlfn.XLOOKUP(Final_Sans_VGE[[#This Row],[ppn_z]],tbl_Historique_Final[ppn_z],tbl_Historique_Final[date_modif])=Final_Sans_VGE[[#This Row],[date_modif]],
      "Ancien",
      "Modifié"),
   "Nouveau"))</f>
        <v>#VALUE!</v>
      </c>
      <c r="AD7638" s="1" t="str">
        <f>IFERROR(IF(Final_Sans_VGE[[#This Row],[ppn_z]]="","",IFERROR(
   IF(_xlfn.XLOOKUP(Final_Sans_VGE[[#This Row],[ppn_z]],tbl_Historique_Final[[#This Row],[ppn_z]],tbl_Historique_Final[[#This Row],[date_modif]])=Final_Sans_VGE[[#This Row],[date_modif]],
      "Ancien",
      "Modifié"),
   "Nouveau")),"")</f>
        <v/>
      </c>
    </row>
    <row r="7639" spans="24:30" x14ac:dyDescent="0.25">
      <c r="X7639" s="8" t="e">
        <f>IF(Final_Sans_VGE[[#This Row],[ppn_z]]="","",IFERROR(
   IF(_xlfn.XLOOKUP(Final_Sans_VGE[[#This Row],[ppn_z]],tbl_Historique_Final[ppn_z],tbl_Historique_Final[date_modif])=Final_Sans_VGE[[#This Row],[date_modif]],
      "Ancien",
      "Modifié"),
   "Nouveau"))</f>
        <v>#VALUE!</v>
      </c>
      <c r="AD7639" s="1" t="str">
        <f>IFERROR(IF(Final_Sans_VGE[[#This Row],[ppn_z]]="","",IFERROR(
   IF(_xlfn.XLOOKUP(Final_Sans_VGE[[#This Row],[ppn_z]],tbl_Historique_Final[[#This Row],[ppn_z]],tbl_Historique_Final[[#This Row],[date_modif]])=Final_Sans_VGE[[#This Row],[date_modif]],
      "Ancien",
      "Modifié"),
   "Nouveau")),"")</f>
        <v/>
      </c>
    </row>
    <row r="7640" spans="24:30" x14ac:dyDescent="0.25">
      <c r="X7640" s="8" t="e">
        <f>IF(Final_Sans_VGE[[#This Row],[ppn_z]]="","",IFERROR(
   IF(_xlfn.XLOOKUP(Final_Sans_VGE[[#This Row],[ppn_z]],tbl_Historique_Final[ppn_z],tbl_Historique_Final[date_modif])=Final_Sans_VGE[[#This Row],[date_modif]],
      "Ancien",
      "Modifié"),
   "Nouveau"))</f>
        <v>#VALUE!</v>
      </c>
      <c r="AD7640" s="1" t="str">
        <f>IFERROR(IF(Final_Sans_VGE[[#This Row],[ppn_z]]="","",IFERROR(
   IF(_xlfn.XLOOKUP(Final_Sans_VGE[[#This Row],[ppn_z]],tbl_Historique_Final[[#This Row],[ppn_z]],tbl_Historique_Final[[#This Row],[date_modif]])=Final_Sans_VGE[[#This Row],[date_modif]],
      "Ancien",
      "Modifié"),
   "Nouveau")),"")</f>
        <v/>
      </c>
    </row>
    <row r="7641" spans="24:30" x14ac:dyDescent="0.25">
      <c r="X7641" s="8" t="e">
        <f>IF(Final_Sans_VGE[[#This Row],[ppn_z]]="","",IFERROR(
   IF(_xlfn.XLOOKUP(Final_Sans_VGE[[#This Row],[ppn_z]],tbl_Historique_Final[ppn_z],tbl_Historique_Final[date_modif])=Final_Sans_VGE[[#This Row],[date_modif]],
      "Ancien",
      "Modifié"),
   "Nouveau"))</f>
        <v>#VALUE!</v>
      </c>
      <c r="AD7641" s="1" t="str">
        <f>IFERROR(IF(Final_Sans_VGE[[#This Row],[ppn_z]]="","",IFERROR(
   IF(_xlfn.XLOOKUP(Final_Sans_VGE[[#This Row],[ppn_z]],tbl_Historique_Final[[#This Row],[ppn_z]],tbl_Historique_Final[[#This Row],[date_modif]])=Final_Sans_VGE[[#This Row],[date_modif]],
      "Ancien",
      "Modifié"),
   "Nouveau")),"")</f>
        <v/>
      </c>
    </row>
    <row r="7642" spans="24:30" x14ac:dyDescent="0.25">
      <c r="X7642" s="8" t="e">
        <f>IF(Final_Sans_VGE[[#This Row],[ppn_z]]="","",IFERROR(
   IF(_xlfn.XLOOKUP(Final_Sans_VGE[[#This Row],[ppn_z]],tbl_Historique_Final[ppn_z],tbl_Historique_Final[date_modif])=Final_Sans_VGE[[#This Row],[date_modif]],
      "Ancien",
      "Modifié"),
   "Nouveau"))</f>
        <v>#VALUE!</v>
      </c>
      <c r="AD7642" s="1" t="str">
        <f>IFERROR(IF(Final_Sans_VGE[[#This Row],[ppn_z]]="","",IFERROR(
   IF(_xlfn.XLOOKUP(Final_Sans_VGE[[#This Row],[ppn_z]],tbl_Historique_Final[[#This Row],[ppn_z]],tbl_Historique_Final[[#This Row],[date_modif]])=Final_Sans_VGE[[#This Row],[date_modif]],
      "Ancien",
      "Modifié"),
   "Nouveau")),"")</f>
        <v/>
      </c>
    </row>
    <row r="7643" spans="24:30" x14ac:dyDescent="0.25">
      <c r="X7643" s="8" t="e">
        <f>IF(Final_Sans_VGE[[#This Row],[ppn_z]]="","",IFERROR(
   IF(_xlfn.XLOOKUP(Final_Sans_VGE[[#This Row],[ppn_z]],tbl_Historique_Final[ppn_z],tbl_Historique_Final[date_modif])=Final_Sans_VGE[[#This Row],[date_modif]],
      "Ancien",
      "Modifié"),
   "Nouveau"))</f>
        <v>#VALUE!</v>
      </c>
      <c r="AD7643" s="1" t="str">
        <f>IFERROR(IF(Final_Sans_VGE[[#This Row],[ppn_z]]="","",IFERROR(
   IF(_xlfn.XLOOKUP(Final_Sans_VGE[[#This Row],[ppn_z]],tbl_Historique_Final[[#This Row],[ppn_z]],tbl_Historique_Final[[#This Row],[date_modif]])=Final_Sans_VGE[[#This Row],[date_modif]],
      "Ancien",
      "Modifié"),
   "Nouveau")),"")</f>
        <v/>
      </c>
    </row>
    <row r="7644" spans="24:30" x14ac:dyDescent="0.25">
      <c r="X7644" s="8" t="e">
        <f>IF(Final_Sans_VGE[[#This Row],[ppn_z]]="","",IFERROR(
   IF(_xlfn.XLOOKUP(Final_Sans_VGE[[#This Row],[ppn_z]],tbl_Historique_Final[ppn_z],tbl_Historique_Final[date_modif])=Final_Sans_VGE[[#This Row],[date_modif]],
      "Ancien",
      "Modifié"),
   "Nouveau"))</f>
        <v>#VALUE!</v>
      </c>
      <c r="AD7644" s="1" t="str">
        <f>IFERROR(IF(Final_Sans_VGE[[#This Row],[ppn_z]]="","",IFERROR(
   IF(_xlfn.XLOOKUP(Final_Sans_VGE[[#This Row],[ppn_z]],tbl_Historique_Final[[#This Row],[ppn_z]],tbl_Historique_Final[[#This Row],[date_modif]])=Final_Sans_VGE[[#This Row],[date_modif]],
      "Ancien",
      "Modifié"),
   "Nouveau")),"")</f>
        <v/>
      </c>
    </row>
    <row r="7645" spans="24:30" x14ac:dyDescent="0.25">
      <c r="X7645" s="8" t="e">
        <f>IF(Final_Sans_VGE[[#This Row],[ppn_z]]="","",IFERROR(
   IF(_xlfn.XLOOKUP(Final_Sans_VGE[[#This Row],[ppn_z]],tbl_Historique_Final[ppn_z],tbl_Historique_Final[date_modif])=Final_Sans_VGE[[#This Row],[date_modif]],
      "Ancien",
      "Modifié"),
   "Nouveau"))</f>
        <v>#VALUE!</v>
      </c>
      <c r="AD7645" s="1" t="str">
        <f>IFERROR(IF(Final_Sans_VGE[[#This Row],[ppn_z]]="","",IFERROR(
   IF(_xlfn.XLOOKUP(Final_Sans_VGE[[#This Row],[ppn_z]],tbl_Historique_Final[[#This Row],[ppn_z]],tbl_Historique_Final[[#This Row],[date_modif]])=Final_Sans_VGE[[#This Row],[date_modif]],
      "Ancien",
      "Modifié"),
   "Nouveau")),"")</f>
        <v/>
      </c>
    </row>
    <row r="7646" spans="24:30" x14ac:dyDescent="0.25">
      <c r="X7646" s="8" t="e">
        <f>IF(Final_Sans_VGE[[#This Row],[ppn_z]]="","",IFERROR(
   IF(_xlfn.XLOOKUP(Final_Sans_VGE[[#This Row],[ppn_z]],tbl_Historique_Final[ppn_z],tbl_Historique_Final[date_modif])=Final_Sans_VGE[[#This Row],[date_modif]],
      "Ancien",
      "Modifié"),
   "Nouveau"))</f>
        <v>#VALUE!</v>
      </c>
      <c r="AD7646" s="1" t="str">
        <f>IFERROR(IF(Final_Sans_VGE[[#This Row],[ppn_z]]="","",IFERROR(
   IF(_xlfn.XLOOKUP(Final_Sans_VGE[[#This Row],[ppn_z]],tbl_Historique_Final[[#This Row],[ppn_z]],tbl_Historique_Final[[#This Row],[date_modif]])=Final_Sans_VGE[[#This Row],[date_modif]],
      "Ancien",
      "Modifié"),
   "Nouveau")),"")</f>
        <v/>
      </c>
    </row>
    <row r="7647" spans="24:30" x14ac:dyDescent="0.25">
      <c r="X7647" s="8" t="e">
        <f>IF(Final_Sans_VGE[[#This Row],[ppn_z]]="","",IFERROR(
   IF(_xlfn.XLOOKUP(Final_Sans_VGE[[#This Row],[ppn_z]],tbl_Historique_Final[ppn_z],tbl_Historique_Final[date_modif])=Final_Sans_VGE[[#This Row],[date_modif]],
      "Ancien",
      "Modifié"),
   "Nouveau"))</f>
        <v>#VALUE!</v>
      </c>
      <c r="AD7647" s="1" t="str">
        <f>IFERROR(IF(Final_Sans_VGE[[#This Row],[ppn_z]]="","",IFERROR(
   IF(_xlfn.XLOOKUP(Final_Sans_VGE[[#This Row],[ppn_z]],tbl_Historique_Final[[#This Row],[ppn_z]],tbl_Historique_Final[[#This Row],[date_modif]])=Final_Sans_VGE[[#This Row],[date_modif]],
      "Ancien",
      "Modifié"),
   "Nouveau")),"")</f>
        <v/>
      </c>
    </row>
    <row r="7648" spans="24:30" x14ac:dyDescent="0.25">
      <c r="X7648" s="8" t="e">
        <f>IF(Final_Sans_VGE[[#This Row],[ppn_z]]="","",IFERROR(
   IF(_xlfn.XLOOKUP(Final_Sans_VGE[[#This Row],[ppn_z]],tbl_Historique_Final[ppn_z],tbl_Historique_Final[date_modif])=Final_Sans_VGE[[#This Row],[date_modif]],
      "Ancien",
      "Modifié"),
   "Nouveau"))</f>
        <v>#VALUE!</v>
      </c>
      <c r="AD7648" s="1" t="str">
        <f>IFERROR(IF(Final_Sans_VGE[[#This Row],[ppn_z]]="","",IFERROR(
   IF(_xlfn.XLOOKUP(Final_Sans_VGE[[#This Row],[ppn_z]],tbl_Historique_Final[[#This Row],[ppn_z]],tbl_Historique_Final[[#This Row],[date_modif]])=Final_Sans_VGE[[#This Row],[date_modif]],
      "Ancien",
      "Modifié"),
   "Nouveau")),"")</f>
        <v/>
      </c>
    </row>
    <row r="7649" spans="24:30" x14ac:dyDescent="0.25">
      <c r="X7649" s="8" t="e">
        <f>IF(Final_Sans_VGE[[#This Row],[ppn_z]]="","",IFERROR(
   IF(_xlfn.XLOOKUP(Final_Sans_VGE[[#This Row],[ppn_z]],tbl_Historique_Final[ppn_z],tbl_Historique_Final[date_modif])=Final_Sans_VGE[[#This Row],[date_modif]],
      "Ancien",
      "Modifié"),
   "Nouveau"))</f>
        <v>#VALUE!</v>
      </c>
      <c r="AD7649" s="1" t="str">
        <f>IFERROR(IF(Final_Sans_VGE[[#This Row],[ppn_z]]="","",IFERROR(
   IF(_xlfn.XLOOKUP(Final_Sans_VGE[[#This Row],[ppn_z]],tbl_Historique_Final[[#This Row],[ppn_z]],tbl_Historique_Final[[#This Row],[date_modif]])=Final_Sans_VGE[[#This Row],[date_modif]],
      "Ancien",
      "Modifié"),
   "Nouveau")),"")</f>
        <v/>
      </c>
    </row>
    <row r="7650" spans="24:30" x14ac:dyDescent="0.25">
      <c r="X7650" s="8" t="e">
        <f>IF(Final_Sans_VGE[[#This Row],[ppn_z]]="","",IFERROR(
   IF(_xlfn.XLOOKUP(Final_Sans_VGE[[#This Row],[ppn_z]],tbl_Historique_Final[ppn_z],tbl_Historique_Final[date_modif])=Final_Sans_VGE[[#This Row],[date_modif]],
      "Ancien",
      "Modifié"),
   "Nouveau"))</f>
        <v>#VALUE!</v>
      </c>
      <c r="AD7650" s="1" t="str">
        <f>IFERROR(IF(Final_Sans_VGE[[#This Row],[ppn_z]]="","",IFERROR(
   IF(_xlfn.XLOOKUP(Final_Sans_VGE[[#This Row],[ppn_z]],tbl_Historique_Final[[#This Row],[ppn_z]],tbl_Historique_Final[[#This Row],[date_modif]])=Final_Sans_VGE[[#This Row],[date_modif]],
      "Ancien",
      "Modifié"),
   "Nouveau")),"")</f>
        <v/>
      </c>
    </row>
    <row r="7651" spans="24:30" x14ac:dyDescent="0.25">
      <c r="X7651" s="8" t="e">
        <f>IF(Final_Sans_VGE[[#This Row],[ppn_z]]="","",IFERROR(
   IF(_xlfn.XLOOKUP(Final_Sans_VGE[[#This Row],[ppn_z]],tbl_Historique_Final[ppn_z],tbl_Historique_Final[date_modif])=Final_Sans_VGE[[#This Row],[date_modif]],
      "Ancien",
      "Modifié"),
   "Nouveau"))</f>
        <v>#VALUE!</v>
      </c>
      <c r="AD7651" s="1" t="str">
        <f>IFERROR(IF(Final_Sans_VGE[[#This Row],[ppn_z]]="","",IFERROR(
   IF(_xlfn.XLOOKUP(Final_Sans_VGE[[#This Row],[ppn_z]],tbl_Historique_Final[[#This Row],[ppn_z]],tbl_Historique_Final[[#This Row],[date_modif]])=Final_Sans_VGE[[#This Row],[date_modif]],
      "Ancien",
      "Modifié"),
   "Nouveau")),"")</f>
        <v/>
      </c>
    </row>
    <row r="7652" spans="24:30" x14ac:dyDescent="0.25">
      <c r="X7652" s="8" t="e">
        <f>IF(Final_Sans_VGE[[#This Row],[ppn_z]]="","",IFERROR(
   IF(_xlfn.XLOOKUP(Final_Sans_VGE[[#This Row],[ppn_z]],tbl_Historique_Final[ppn_z],tbl_Historique_Final[date_modif])=Final_Sans_VGE[[#This Row],[date_modif]],
      "Ancien",
      "Modifié"),
   "Nouveau"))</f>
        <v>#VALUE!</v>
      </c>
      <c r="AD7652" s="1" t="str">
        <f>IFERROR(IF(Final_Sans_VGE[[#This Row],[ppn_z]]="","",IFERROR(
   IF(_xlfn.XLOOKUP(Final_Sans_VGE[[#This Row],[ppn_z]],tbl_Historique_Final[[#This Row],[ppn_z]],tbl_Historique_Final[[#This Row],[date_modif]])=Final_Sans_VGE[[#This Row],[date_modif]],
      "Ancien",
      "Modifié"),
   "Nouveau")),"")</f>
        <v/>
      </c>
    </row>
    <row r="7653" spans="24:30" x14ac:dyDescent="0.25">
      <c r="X7653" s="8" t="e">
        <f>IF(Final_Sans_VGE[[#This Row],[ppn_z]]="","",IFERROR(
   IF(_xlfn.XLOOKUP(Final_Sans_VGE[[#This Row],[ppn_z]],tbl_Historique_Final[ppn_z],tbl_Historique_Final[date_modif])=Final_Sans_VGE[[#This Row],[date_modif]],
      "Ancien",
      "Modifié"),
   "Nouveau"))</f>
        <v>#VALUE!</v>
      </c>
      <c r="AD7653" s="1" t="str">
        <f>IFERROR(IF(Final_Sans_VGE[[#This Row],[ppn_z]]="","",IFERROR(
   IF(_xlfn.XLOOKUP(Final_Sans_VGE[[#This Row],[ppn_z]],tbl_Historique_Final[[#This Row],[ppn_z]],tbl_Historique_Final[[#This Row],[date_modif]])=Final_Sans_VGE[[#This Row],[date_modif]],
      "Ancien",
      "Modifié"),
   "Nouveau")),"")</f>
        <v/>
      </c>
    </row>
    <row r="7654" spans="24:30" x14ac:dyDescent="0.25">
      <c r="X7654" s="8" t="e">
        <f>IF(Final_Sans_VGE[[#This Row],[ppn_z]]="","",IFERROR(
   IF(_xlfn.XLOOKUP(Final_Sans_VGE[[#This Row],[ppn_z]],tbl_Historique_Final[ppn_z],tbl_Historique_Final[date_modif])=Final_Sans_VGE[[#This Row],[date_modif]],
      "Ancien",
      "Modifié"),
   "Nouveau"))</f>
        <v>#VALUE!</v>
      </c>
      <c r="AD7654" s="1" t="str">
        <f>IFERROR(IF(Final_Sans_VGE[[#This Row],[ppn_z]]="","",IFERROR(
   IF(_xlfn.XLOOKUP(Final_Sans_VGE[[#This Row],[ppn_z]],tbl_Historique_Final[[#This Row],[ppn_z]],tbl_Historique_Final[[#This Row],[date_modif]])=Final_Sans_VGE[[#This Row],[date_modif]],
      "Ancien",
      "Modifié"),
   "Nouveau")),"")</f>
        <v/>
      </c>
    </row>
    <row r="7655" spans="24:30" x14ac:dyDescent="0.25">
      <c r="X7655" s="8" t="e">
        <f>IF(Final_Sans_VGE[[#This Row],[ppn_z]]="","",IFERROR(
   IF(_xlfn.XLOOKUP(Final_Sans_VGE[[#This Row],[ppn_z]],tbl_Historique_Final[ppn_z],tbl_Historique_Final[date_modif])=Final_Sans_VGE[[#This Row],[date_modif]],
      "Ancien",
      "Modifié"),
   "Nouveau"))</f>
        <v>#VALUE!</v>
      </c>
      <c r="AD7655" s="1" t="str">
        <f>IFERROR(IF(Final_Sans_VGE[[#This Row],[ppn_z]]="","",IFERROR(
   IF(_xlfn.XLOOKUP(Final_Sans_VGE[[#This Row],[ppn_z]],tbl_Historique_Final[[#This Row],[ppn_z]],tbl_Historique_Final[[#This Row],[date_modif]])=Final_Sans_VGE[[#This Row],[date_modif]],
      "Ancien",
      "Modifié"),
   "Nouveau")),"")</f>
        <v/>
      </c>
    </row>
    <row r="7656" spans="24:30" x14ac:dyDescent="0.25">
      <c r="X7656" s="8" t="e">
        <f>IF(Final_Sans_VGE[[#This Row],[ppn_z]]="","",IFERROR(
   IF(_xlfn.XLOOKUP(Final_Sans_VGE[[#This Row],[ppn_z]],tbl_Historique_Final[ppn_z],tbl_Historique_Final[date_modif])=Final_Sans_VGE[[#This Row],[date_modif]],
      "Ancien",
      "Modifié"),
   "Nouveau"))</f>
        <v>#VALUE!</v>
      </c>
      <c r="AD7656" s="1" t="str">
        <f>IFERROR(IF(Final_Sans_VGE[[#This Row],[ppn_z]]="","",IFERROR(
   IF(_xlfn.XLOOKUP(Final_Sans_VGE[[#This Row],[ppn_z]],tbl_Historique_Final[[#This Row],[ppn_z]],tbl_Historique_Final[[#This Row],[date_modif]])=Final_Sans_VGE[[#This Row],[date_modif]],
      "Ancien",
      "Modifié"),
   "Nouveau")),"")</f>
        <v/>
      </c>
    </row>
    <row r="7657" spans="24:30" x14ac:dyDescent="0.25">
      <c r="X7657" s="8" t="e">
        <f>IF(Final_Sans_VGE[[#This Row],[ppn_z]]="","",IFERROR(
   IF(_xlfn.XLOOKUP(Final_Sans_VGE[[#This Row],[ppn_z]],tbl_Historique_Final[ppn_z],tbl_Historique_Final[date_modif])=Final_Sans_VGE[[#This Row],[date_modif]],
      "Ancien",
      "Modifié"),
   "Nouveau"))</f>
        <v>#VALUE!</v>
      </c>
      <c r="AD7657" s="1" t="str">
        <f>IFERROR(IF(Final_Sans_VGE[[#This Row],[ppn_z]]="","",IFERROR(
   IF(_xlfn.XLOOKUP(Final_Sans_VGE[[#This Row],[ppn_z]],tbl_Historique_Final[[#This Row],[ppn_z]],tbl_Historique_Final[[#This Row],[date_modif]])=Final_Sans_VGE[[#This Row],[date_modif]],
      "Ancien",
      "Modifié"),
   "Nouveau")),"")</f>
        <v/>
      </c>
    </row>
    <row r="7658" spans="24:30" x14ac:dyDescent="0.25">
      <c r="X7658" s="8" t="e">
        <f>IF(Final_Sans_VGE[[#This Row],[ppn_z]]="","",IFERROR(
   IF(_xlfn.XLOOKUP(Final_Sans_VGE[[#This Row],[ppn_z]],tbl_Historique_Final[ppn_z],tbl_Historique_Final[date_modif])=Final_Sans_VGE[[#This Row],[date_modif]],
      "Ancien",
      "Modifié"),
   "Nouveau"))</f>
        <v>#VALUE!</v>
      </c>
      <c r="AD7658" s="1" t="str">
        <f>IFERROR(IF(Final_Sans_VGE[[#This Row],[ppn_z]]="","",IFERROR(
   IF(_xlfn.XLOOKUP(Final_Sans_VGE[[#This Row],[ppn_z]],tbl_Historique_Final[[#This Row],[ppn_z]],tbl_Historique_Final[[#This Row],[date_modif]])=Final_Sans_VGE[[#This Row],[date_modif]],
      "Ancien",
      "Modifié"),
   "Nouveau")),"")</f>
        <v/>
      </c>
    </row>
    <row r="7659" spans="24:30" x14ac:dyDescent="0.25">
      <c r="X7659" s="8" t="e">
        <f>IF(Final_Sans_VGE[[#This Row],[ppn_z]]="","",IFERROR(
   IF(_xlfn.XLOOKUP(Final_Sans_VGE[[#This Row],[ppn_z]],tbl_Historique_Final[ppn_z],tbl_Historique_Final[date_modif])=Final_Sans_VGE[[#This Row],[date_modif]],
      "Ancien",
      "Modifié"),
   "Nouveau"))</f>
        <v>#VALUE!</v>
      </c>
      <c r="AD7659" s="1" t="str">
        <f>IFERROR(IF(Final_Sans_VGE[[#This Row],[ppn_z]]="","",IFERROR(
   IF(_xlfn.XLOOKUP(Final_Sans_VGE[[#This Row],[ppn_z]],tbl_Historique_Final[[#This Row],[ppn_z]],tbl_Historique_Final[[#This Row],[date_modif]])=Final_Sans_VGE[[#This Row],[date_modif]],
      "Ancien",
      "Modifié"),
   "Nouveau")),"")</f>
        <v/>
      </c>
    </row>
    <row r="7660" spans="24:30" x14ac:dyDescent="0.25">
      <c r="X7660" s="8" t="e">
        <f>IF(Final_Sans_VGE[[#This Row],[ppn_z]]="","",IFERROR(
   IF(_xlfn.XLOOKUP(Final_Sans_VGE[[#This Row],[ppn_z]],tbl_Historique_Final[ppn_z],tbl_Historique_Final[date_modif])=Final_Sans_VGE[[#This Row],[date_modif]],
      "Ancien",
      "Modifié"),
   "Nouveau"))</f>
        <v>#VALUE!</v>
      </c>
      <c r="AD7660" s="1" t="str">
        <f>IFERROR(IF(Final_Sans_VGE[[#This Row],[ppn_z]]="","",IFERROR(
   IF(_xlfn.XLOOKUP(Final_Sans_VGE[[#This Row],[ppn_z]],tbl_Historique_Final[[#This Row],[ppn_z]],tbl_Historique_Final[[#This Row],[date_modif]])=Final_Sans_VGE[[#This Row],[date_modif]],
      "Ancien",
      "Modifié"),
   "Nouveau")),"")</f>
        <v/>
      </c>
    </row>
    <row r="7661" spans="24:30" x14ac:dyDescent="0.25">
      <c r="X7661" s="8" t="e">
        <f>IF(Final_Sans_VGE[[#This Row],[ppn_z]]="","",IFERROR(
   IF(_xlfn.XLOOKUP(Final_Sans_VGE[[#This Row],[ppn_z]],tbl_Historique_Final[ppn_z],tbl_Historique_Final[date_modif])=Final_Sans_VGE[[#This Row],[date_modif]],
      "Ancien",
      "Modifié"),
   "Nouveau"))</f>
        <v>#VALUE!</v>
      </c>
      <c r="AD7661" s="1" t="str">
        <f>IFERROR(IF(Final_Sans_VGE[[#This Row],[ppn_z]]="","",IFERROR(
   IF(_xlfn.XLOOKUP(Final_Sans_VGE[[#This Row],[ppn_z]],tbl_Historique_Final[[#This Row],[ppn_z]],tbl_Historique_Final[[#This Row],[date_modif]])=Final_Sans_VGE[[#This Row],[date_modif]],
      "Ancien",
      "Modifié"),
   "Nouveau")),"")</f>
        <v/>
      </c>
    </row>
    <row r="7662" spans="24:30" x14ac:dyDescent="0.25">
      <c r="X7662" s="8" t="e">
        <f>IF(Final_Sans_VGE[[#This Row],[ppn_z]]="","",IFERROR(
   IF(_xlfn.XLOOKUP(Final_Sans_VGE[[#This Row],[ppn_z]],tbl_Historique_Final[ppn_z],tbl_Historique_Final[date_modif])=Final_Sans_VGE[[#This Row],[date_modif]],
      "Ancien",
      "Modifié"),
   "Nouveau"))</f>
        <v>#VALUE!</v>
      </c>
      <c r="AD7662" s="1" t="str">
        <f>IFERROR(IF(Final_Sans_VGE[[#This Row],[ppn_z]]="","",IFERROR(
   IF(_xlfn.XLOOKUP(Final_Sans_VGE[[#This Row],[ppn_z]],tbl_Historique_Final[[#This Row],[ppn_z]],tbl_Historique_Final[[#This Row],[date_modif]])=Final_Sans_VGE[[#This Row],[date_modif]],
      "Ancien",
      "Modifié"),
   "Nouveau")),"")</f>
        <v/>
      </c>
    </row>
    <row r="7663" spans="24:30" x14ac:dyDescent="0.25">
      <c r="X7663" s="8" t="e">
        <f>IF(Final_Sans_VGE[[#This Row],[ppn_z]]="","",IFERROR(
   IF(_xlfn.XLOOKUP(Final_Sans_VGE[[#This Row],[ppn_z]],tbl_Historique_Final[ppn_z],tbl_Historique_Final[date_modif])=Final_Sans_VGE[[#This Row],[date_modif]],
      "Ancien",
      "Modifié"),
   "Nouveau"))</f>
        <v>#VALUE!</v>
      </c>
      <c r="AD7663" s="1" t="str">
        <f>IFERROR(IF(Final_Sans_VGE[[#This Row],[ppn_z]]="","",IFERROR(
   IF(_xlfn.XLOOKUP(Final_Sans_VGE[[#This Row],[ppn_z]],tbl_Historique_Final[[#This Row],[ppn_z]],tbl_Historique_Final[[#This Row],[date_modif]])=Final_Sans_VGE[[#This Row],[date_modif]],
      "Ancien",
      "Modifié"),
   "Nouveau")),"")</f>
        <v/>
      </c>
    </row>
    <row r="7664" spans="24:30" x14ac:dyDescent="0.25">
      <c r="X7664" s="8" t="e">
        <f>IF(Final_Sans_VGE[[#This Row],[ppn_z]]="","",IFERROR(
   IF(_xlfn.XLOOKUP(Final_Sans_VGE[[#This Row],[ppn_z]],tbl_Historique_Final[ppn_z],tbl_Historique_Final[date_modif])=Final_Sans_VGE[[#This Row],[date_modif]],
      "Ancien",
      "Modifié"),
   "Nouveau"))</f>
        <v>#VALUE!</v>
      </c>
      <c r="AD7664" s="1" t="str">
        <f>IFERROR(IF(Final_Sans_VGE[[#This Row],[ppn_z]]="","",IFERROR(
   IF(_xlfn.XLOOKUP(Final_Sans_VGE[[#This Row],[ppn_z]],tbl_Historique_Final[[#This Row],[ppn_z]],tbl_Historique_Final[[#This Row],[date_modif]])=Final_Sans_VGE[[#This Row],[date_modif]],
      "Ancien",
      "Modifié"),
   "Nouveau")),"")</f>
        <v/>
      </c>
    </row>
    <row r="7665" spans="24:30" x14ac:dyDescent="0.25">
      <c r="X7665" s="8" t="e">
        <f>IF(Final_Sans_VGE[[#This Row],[ppn_z]]="","",IFERROR(
   IF(_xlfn.XLOOKUP(Final_Sans_VGE[[#This Row],[ppn_z]],tbl_Historique_Final[ppn_z],tbl_Historique_Final[date_modif])=Final_Sans_VGE[[#This Row],[date_modif]],
      "Ancien",
      "Modifié"),
   "Nouveau"))</f>
        <v>#VALUE!</v>
      </c>
      <c r="AD7665" s="1" t="str">
        <f>IFERROR(IF(Final_Sans_VGE[[#This Row],[ppn_z]]="","",IFERROR(
   IF(_xlfn.XLOOKUP(Final_Sans_VGE[[#This Row],[ppn_z]],tbl_Historique_Final[[#This Row],[ppn_z]],tbl_Historique_Final[[#This Row],[date_modif]])=Final_Sans_VGE[[#This Row],[date_modif]],
      "Ancien",
      "Modifié"),
   "Nouveau")),"")</f>
        <v/>
      </c>
    </row>
    <row r="7666" spans="24:30" x14ac:dyDescent="0.25">
      <c r="X7666" s="8" t="e">
        <f>IF(Final_Sans_VGE[[#This Row],[ppn_z]]="","",IFERROR(
   IF(_xlfn.XLOOKUP(Final_Sans_VGE[[#This Row],[ppn_z]],tbl_Historique_Final[ppn_z],tbl_Historique_Final[date_modif])=Final_Sans_VGE[[#This Row],[date_modif]],
      "Ancien",
      "Modifié"),
   "Nouveau"))</f>
        <v>#VALUE!</v>
      </c>
      <c r="AD7666" s="1" t="str">
        <f>IFERROR(IF(Final_Sans_VGE[[#This Row],[ppn_z]]="","",IFERROR(
   IF(_xlfn.XLOOKUP(Final_Sans_VGE[[#This Row],[ppn_z]],tbl_Historique_Final[[#This Row],[ppn_z]],tbl_Historique_Final[[#This Row],[date_modif]])=Final_Sans_VGE[[#This Row],[date_modif]],
      "Ancien",
      "Modifié"),
   "Nouveau")),"")</f>
        <v/>
      </c>
    </row>
    <row r="7667" spans="24:30" x14ac:dyDescent="0.25">
      <c r="X7667" s="8" t="e">
        <f>IF(Final_Sans_VGE[[#This Row],[ppn_z]]="","",IFERROR(
   IF(_xlfn.XLOOKUP(Final_Sans_VGE[[#This Row],[ppn_z]],tbl_Historique_Final[ppn_z],tbl_Historique_Final[date_modif])=Final_Sans_VGE[[#This Row],[date_modif]],
      "Ancien",
      "Modifié"),
   "Nouveau"))</f>
        <v>#VALUE!</v>
      </c>
      <c r="AD7667" s="1" t="str">
        <f>IFERROR(IF(Final_Sans_VGE[[#This Row],[ppn_z]]="","",IFERROR(
   IF(_xlfn.XLOOKUP(Final_Sans_VGE[[#This Row],[ppn_z]],tbl_Historique_Final[[#This Row],[ppn_z]],tbl_Historique_Final[[#This Row],[date_modif]])=Final_Sans_VGE[[#This Row],[date_modif]],
      "Ancien",
      "Modifié"),
   "Nouveau")),"")</f>
        <v/>
      </c>
    </row>
    <row r="7668" spans="24:30" x14ac:dyDescent="0.25">
      <c r="X7668" s="8" t="e">
        <f>IF(Final_Sans_VGE[[#This Row],[ppn_z]]="","",IFERROR(
   IF(_xlfn.XLOOKUP(Final_Sans_VGE[[#This Row],[ppn_z]],tbl_Historique_Final[ppn_z],tbl_Historique_Final[date_modif])=Final_Sans_VGE[[#This Row],[date_modif]],
      "Ancien",
      "Modifié"),
   "Nouveau"))</f>
        <v>#VALUE!</v>
      </c>
      <c r="AD7668" s="1" t="str">
        <f>IFERROR(IF(Final_Sans_VGE[[#This Row],[ppn_z]]="","",IFERROR(
   IF(_xlfn.XLOOKUP(Final_Sans_VGE[[#This Row],[ppn_z]],tbl_Historique_Final[[#This Row],[ppn_z]],tbl_Historique_Final[[#This Row],[date_modif]])=Final_Sans_VGE[[#This Row],[date_modif]],
      "Ancien",
      "Modifié"),
   "Nouveau")),"")</f>
        <v/>
      </c>
    </row>
    <row r="7669" spans="24:30" x14ac:dyDescent="0.25">
      <c r="X7669" s="8" t="e">
        <f>IF(Final_Sans_VGE[[#This Row],[ppn_z]]="","",IFERROR(
   IF(_xlfn.XLOOKUP(Final_Sans_VGE[[#This Row],[ppn_z]],tbl_Historique_Final[ppn_z],tbl_Historique_Final[date_modif])=Final_Sans_VGE[[#This Row],[date_modif]],
      "Ancien",
      "Modifié"),
   "Nouveau"))</f>
        <v>#VALUE!</v>
      </c>
      <c r="AD7669" s="1" t="str">
        <f>IFERROR(IF(Final_Sans_VGE[[#This Row],[ppn_z]]="","",IFERROR(
   IF(_xlfn.XLOOKUP(Final_Sans_VGE[[#This Row],[ppn_z]],tbl_Historique_Final[[#This Row],[ppn_z]],tbl_Historique_Final[[#This Row],[date_modif]])=Final_Sans_VGE[[#This Row],[date_modif]],
      "Ancien",
      "Modifié"),
   "Nouveau")),"")</f>
        <v/>
      </c>
    </row>
    <row r="7670" spans="24:30" x14ac:dyDescent="0.25">
      <c r="X7670" s="8" t="e">
        <f>IF(Final_Sans_VGE[[#This Row],[ppn_z]]="","",IFERROR(
   IF(_xlfn.XLOOKUP(Final_Sans_VGE[[#This Row],[ppn_z]],tbl_Historique_Final[ppn_z],tbl_Historique_Final[date_modif])=Final_Sans_VGE[[#This Row],[date_modif]],
      "Ancien",
      "Modifié"),
   "Nouveau"))</f>
        <v>#VALUE!</v>
      </c>
      <c r="AD7670" s="1" t="str">
        <f>IFERROR(IF(Final_Sans_VGE[[#This Row],[ppn_z]]="","",IFERROR(
   IF(_xlfn.XLOOKUP(Final_Sans_VGE[[#This Row],[ppn_z]],tbl_Historique_Final[[#This Row],[ppn_z]],tbl_Historique_Final[[#This Row],[date_modif]])=Final_Sans_VGE[[#This Row],[date_modif]],
      "Ancien",
      "Modifié"),
   "Nouveau")),"")</f>
        <v/>
      </c>
    </row>
    <row r="7671" spans="24:30" x14ac:dyDescent="0.25">
      <c r="X7671" s="8" t="e">
        <f>IF(Final_Sans_VGE[[#This Row],[ppn_z]]="","",IFERROR(
   IF(_xlfn.XLOOKUP(Final_Sans_VGE[[#This Row],[ppn_z]],tbl_Historique_Final[ppn_z],tbl_Historique_Final[date_modif])=Final_Sans_VGE[[#This Row],[date_modif]],
      "Ancien",
      "Modifié"),
   "Nouveau"))</f>
        <v>#VALUE!</v>
      </c>
      <c r="AD7671" s="1" t="str">
        <f>IFERROR(IF(Final_Sans_VGE[[#This Row],[ppn_z]]="","",IFERROR(
   IF(_xlfn.XLOOKUP(Final_Sans_VGE[[#This Row],[ppn_z]],tbl_Historique_Final[[#This Row],[ppn_z]],tbl_Historique_Final[[#This Row],[date_modif]])=Final_Sans_VGE[[#This Row],[date_modif]],
      "Ancien",
      "Modifié"),
   "Nouveau")),"")</f>
        <v/>
      </c>
    </row>
    <row r="7672" spans="24:30" x14ac:dyDescent="0.25">
      <c r="X7672" s="8" t="e">
        <f>IF(Final_Sans_VGE[[#This Row],[ppn_z]]="","",IFERROR(
   IF(_xlfn.XLOOKUP(Final_Sans_VGE[[#This Row],[ppn_z]],tbl_Historique_Final[ppn_z],tbl_Historique_Final[date_modif])=Final_Sans_VGE[[#This Row],[date_modif]],
      "Ancien",
      "Modifié"),
   "Nouveau"))</f>
        <v>#VALUE!</v>
      </c>
      <c r="AD7672" s="1" t="str">
        <f>IFERROR(IF(Final_Sans_VGE[[#This Row],[ppn_z]]="","",IFERROR(
   IF(_xlfn.XLOOKUP(Final_Sans_VGE[[#This Row],[ppn_z]],tbl_Historique_Final[[#This Row],[ppn_z]],tbl_Historique_Final[[#This Row],[date_modif]])=Final_Sans_VGE[[#This Row],[date_modif]],
      "Ancien",
      "Modifié"),
   "Nouveau")),"")</f>
        <v/>
      </c>
    </row>
    <row r="7673" spans="24:30" x14ac:dyDescent="0.25">
      <c r="X7673" s="8" t="e">
        <f>IF(Final_Sans_VGE[[#This Row],[ppn_z]]="","",IFERROR(
   IF(_xlfn.XLOOKUP(Final_Sans_VGE[[#This Row],[ppn_z]],tbl_Historique_Final[ppn_z],tbl_Historique_Final[date_modif])=Final_Sans_VGE[[#This Row],[date_modif]],
      "Ancien",
      "Modifié"),
   "Nouveau"))</f>
        <v>#VALUE!</v>
      </c>
      <c r="AD7673" s="1" t="str">
        <f>IFERROR(IF(Final_Sans_VGE[[#This Row],[ppn_z]]="","",IFERROR(
   IF(_xlfn.XLOOKUP(Final_Sans_VGE[[#This Row],[ppn_z]],tbl_Historique_Final[[#This Row],[ppn_z]],tbl_Historique_Final[[#This Row],[date_modif]])=Final_Sans_VGE[[#This Row],[date_modif]],
      "Ancien",
      "Modifié"),
   "Nouveau")),"")</f>
        <v/>
      </c>
    </row>
    <row r="7674" spans="24:30" x14ac:dyDescent="0.25">
      <c r="X7674" s="8" t="e">
        <f>IF(Final_Sans_VGE[[#This Row],[ppn_z]]="","",IFERROR(
   IF(_xlfn.XLOOKUP(Final_Sans_VGE[[#This Row],[ppn_z]],tbl_Historique_Final[ppn_z],tbl_Historique_Final[date_modif])=Final_Sans_VGE[[#This Row],[date_modif]],
      "Ancien",
      "Modifié"),
   "Nouveau"))</f>
        <v>#VALUE!</v>
      </c>
      <c r="AD7674" s="1" t="str">
        <f>IFERROR(IF(Final_Sans_VGE[[#This Row],[ppn_z]]="","",IFERROR(
   IF(_xlfn.XLOOKUP(Final_Sans_VGE[[#This Row],[ppn_z]],tbl_Historique_Final[[#This Row],[ppn_z]],tbl_Historique_Final[[#This Row],[date_modif]])=Final_Sans_VGE[[#This Row],[date_modif]],
      "Ancien",
      "Modifié"),
   "Nouveau")),"")</f>
        <v/>
      </c>
    </row>
    <row r="7675" spans="24:30" x14ac:dyDescent="0.25">
      <c r="X7675" s="8" t="e">
        <f>IF(Final_Sans_VGE[[#This Row],[ppn_z]]="","",IFERROR(
   IF(_xlfn.XLOOKUP(Final_Sans_VGE[[#This Row],[ppn_z]],tbl_Historique_Final[ppn_z],tbl_Historique_Final[date_modif])=Final_Sans_VGE[[#This Row],[date_modif]],
      "Ancien",
      "Modifié"),
   "Nouveau"))</f>
        <v>#VALUE!</v>
      </c>
      <c r="AD7675" s="1" t="str">
        <f>IFERROR(IF(Final_Sans_VGE[[#This Row],[ppn_z]]="","",IFERROR(
   IF(_xlfn.XLOOKUP(Final_Sans_VGE[[#This Row],[ppn_z]],tbl_Historique_Final[[#This Row],[ppn_z]],tbl_Historique_Final[[#This Row],[date_modif]])=Final_Sans_VGE[[#This Row],[date_modif]],
      "Ancien",
      "Modifié"),
   "Nouveau")),"")</f>
        <v/>
      </c>
    </row>
    <row r="7676" spans="24:30" x14ac:dyDescent="0.25">
      <c r="X7676" s="8" t="e">
        <f>IF(Final_Sans_VGE[[#This Row],[ppn_z]]="","",IFERROR(
   IF(_xlfn.XLOOKUP(Final_Sans_VGE[[#This Row],[ppn_z]],tbl_Historique_Final[ppn_z],tbl_Historique_Final[date_modif])=Final_Sans_VGE[[#This Row],[date_modif]],
      "Ancien",
      "Modifié"),
   "Nouveau"))</f>
        <v>#VALUE!</v>
      </c>
      <c r="AD7676" s="1" t="str">
        <f>IFERROR(IF(Final_Sans_VGE[[#This Row],[ppn_z]]="","",IFERROR(
   IF(_xlfn.XLOOKUP(Final_Sans_VGE[[#This Row],[ppn_z]],tbl_Historique_Final[[#This Row],[ppn_z]],tbl_Historique_Final[[#This Row],[date_modif]])=Final_Sans_VGE[[#This Row],[date_modif]],
      "Ancien",
      "Modifié"),
   "Nouveau")),"")</f>
        <v/>
      </c>
    </row>
    <row r="7677" spans="24:30" x14ac:dyDescent="0.25">
      <c r="X7677" s="8" t="e">
        <f>IF(Final_Sans_VGE[[#This Row],[ppn_z]]="","",IFERROR(
   IF(_xlfn.XLOOKUP(Final_Sans_VGE[[#This Row],[ppn_z]],tbl_Historique_Final[ppn_z],tbl_Historique_Final[date_modif])=Final_Sans_VGE[[#This Row],[date_modif]],
      "Ancien",
      "Modifié"),
   "Nouveau"))</f>
        <v>#VALUE!</v>
      </c>
      <c r="AD7677" s="1" t="str">
        <f>IFERROR(IF(Final_Sans_VGE[[#This Row],[ppn_z]]="","",IFERROR(
   IF(_xlfn.XLOOKUP(Final_Sans_VGE[[#This Row],[ppn_z]],tbl_Historique_Final[[#This Row],[ppn_z]],tbl_Historique_Final[[#This Row],[date_modif]])=Final_Sans_VGE[[#This Row],[date_modif]],
      "Ancien",
      "Modifié"),
   "Nouveau")),"")</f>
        <v/>
      </c>
    </row>
    <row r="7678" spans="24:30" x14ac:dyDescent="0.25">
      <c r="X7678" s="8" t="e">
        <f>IF(Final_Sans_VGE[[#This Row],[ppn_z]]="","",IFERROR(
   IF(_xlfn.XLOOKUP(Final_Sans_VGE[[#This Row],[ppn_z]],tbl_Historique_Final[ppn_z],tbl_Historique_Final[date_modif])=Final_Sans_VGE[[#This Row],[date_modif]],
      "Ancien",
      "Modifié"),
   "Nouveau"))</f>
        <v>#VALUE!</v>
      </c>
      <c r="AD7678" s="1" t="str">
        <f>IFERROR(IF(Final_Sans_VGE[[#This Row],[ppn_z]]="","",IFERROR(
   IF(_xlfn.XLOOKUP(Final_Sans_VGE[[#This Row],[ppn_z]],tbl_Historique_Final[[#This Row],[ppn_z]],tbl_Historique_Final[[#This Row],[date_modif]])=Final_Sans_VGE[[#This Row],[date_modif]],
      "Ancien",
      "Modifié"),
   "Nouveau")),"")</f>
        <v/>
      </c>
    </row>
    <row r="7679" spans="24:30" x14ac:dyDescent="0.25">
      <c r="X7679" s="8" t="e">
        <f>IF(Final_Sans_VGE[[#This Row],[ppn_z]]="","",IFERROR(
   IF(_xlfn.XLOOKUP(Final_Sans_VGE[[#This Row],[ppn_z]],tbl_Historique_Final[ppn_z],tbl_Historique_Final[date_modif])=Final_Sans_VGE[[#This Row],[date_modif]],
      "Ancien",
      "Modifié"),
   "Nouveau"))</f>
        <v>#VALUE!</v>
      </c>
      <c r="AD7679" s="1" t="str">
        <f>IFERROR(IF(Final_Sans_VGE[[#This Row],[ppn_z]]="","",IFERROR(
   IF(_xlfn.XLOOKUP(Final_Sans_VGE[[#This Row],[ppn_z]],tbl_Historique_Final[[#This Row],[ppn_z]],tbl_Historique_Final[[#This Row],[date_modif]])=Final_Sans_VGE[[#This Row],[date_modif]],
      "Ancien",
      "Modifié"),
   "Nouveau")),"")</f>
        <v/>
      </c>
    </row>
    <row r="7680" spans="24:30" x14ac:dyDescent="0.25">
      <c r="X7680" s="8" t="e">
        <f>IF(Final_Sans_VGE[[#This Row],[ppn_z]]="","",IFERROR(
   IF(_xlfn.XLOOKUP(Final_Sans_VGE[[#This Row],[ppn_z]],tbl_Historique_Final[ppn_z],tbl_Historique_Final[date_modif])=Final_Sans_VGE[[#This Row],[date_modif]],
      "Ancien",
      "Modifié"),
   "Nouveau"))</f>
        <v>#VALUE!</v>
      </c>
      <c r="AD7680" s="1" t="str">
        <f>IFERROR(IF(Final_Sans_VGE[[#This Row],[ppn_z]]="","",IFERROR(
   IF(_xlfn.XLOOKUP(Final_Sans_VGE[[#This Row],[ppn_z]],tbl_Historique_Final[[#This Row],[ppn_z]],tbl_Historique_Final[[#This Row],[date_modif]])=Final_Sans_VGE[[#This Row],[date_modif]],
      "Ancien",
      "Modifié"),
   "Nouveau")),"")</f>
        <v/>
      </c>
    </row>
    <row r="7681" spans="24:30" x14ac:dyDescent="0.25">
      <c r="X7681" s="8" t="e">
        <f>IF(Final_Sans_VGE[[#This Row],[ppn_z]]="","",IFERROR(
   IF(_xlfn.XLOOKUP(Final_Sans_VGE[[#This Row],[ppn_z]],tbl_Historique_Final[ppn_z],tbl_Historique_Final[date_modif])=Final_Sans_VGE[[#This Row],[date_modif]],
      "Ancien",
      "Modifié"),
   "Nouveau"))</f>
        <v>#VALUE!</v>
      </c>
      <c r="AD7681" s="1" t="str">
        <f>IFERROR(IF(Final_Sans_VGE[[#This Row],[ppn_z]]="","",IFERROR(
   IF(_xlfn.XLOOKUP(Final_Sans_VGE[[#This Row],[ppn_z]],tbl_Historique_Final[[#This Row],[ppn_z]],tbl_Historique_Final[[#This Row],[date_modif]])=Final_Sans_VGE[[#This Row],[date_modif]],
      "Ancien",
      "Modifié"),
   "Nouveau")),"")</f>
        <v/>
      </c>
    </row>
    <row r="7682" spans="24:30" x14ac:dyDescent="0.25">
      <c r="X7682" s="8" t="e">
        <f>IF(Final_Sans_VGE[[#This Row],[ppn_z]]="","",IFERROR(
   IF(_xlfn.XLOOKUP(Final_Sans_VGE[[#This Row],[ppn_z]],tbl_Historique_Final[ppn_z],tbl_Historique_Final[date_modif])=Final_Sans_VGE[[#This Row],[date_modif]],
      "Ancien",
      "Modifié"),
   "Nouveau"))</f>
        <v>#VALUE!</v>
      </c>
      <c r="AD7682" s="1" t="str">
        <f>IFERROR(IF(Final_Sans_VGE[[#This Row],[ppn_z]]="","",IFERROR(
   IF(_xlfn.XLOOKUP(Final_Sans_VGE[[#This Row],[ppn_z]],tbl_Historique_Final[[#This Row],[ppn_z]],tbl_Historique_Final[[#This Row],[date_modif]])=Final_Sans_VGE[[#This Row],[date_modif]],
      "Ancien",
      "Modifié"),
   "Nouveau")),"")</f>
        <v/>
      </c>
    </row>
    <row r="7683" spans="24:30" x14ac:dyDescent="0.25">
      <c r="X7683" s="8" t="e">
        <f>IF(Final_Sans_VGE[[#This Row],[ppn_z]]="","",IFERROR(
   IF(_xlfn.XLOOKUP(Final_Sans_VGE[[#This Row],[ppn_z]],tbl_Historique_Final[ppn_z],tbl_Historique_Final[date_modif])=Final_Sans_VGE[[#This Row],[date_modif]],
      "Ancien",
      "Modifié"),
   "Nouveau"))</f>
        <v>#VALUE!</v>
      </c>
      <c r="AD7683" s="1" t="str">
        <f>IFERROR(IF(Final_Sans_VGE[[#This Row],[ppn_z]]="","",IFERROR(
   IF(_xlfn.XLOOKUP(Final_Sans_VGE[[#This Row],[ppn_z]],tbl_Historique_Final[[#This Row],[ppn_z]],tbl_Historique_Final[[#This Row],[date_modif]])=Final_Sans_VGE[[#This Row],[date_modif]],
      "Ancien",
      "Modifié"),
   "Nouveau")),"")</f>
        <v/>
      </c>
    </row>
    <row r="7684" spans="24:30" x14ac:dyDescent="0.25">
      <c r="X7684" s="8" t="e">
        <f>IF(Final_Sans_VGE[[#This Row],[ppn_z]]="","",IFERROR(
   IF(_xlfn.XLOOKUP(Final_Sans_VGE[[#This Row],[ppn_z]],tbl_Historique_Final[ppn_z],tbl_Historique_Final[date_modif])=Final_Sans_VGE[[#This Row],[date_modif]],
      "Ancien",
      "Modifié"),
   "Nouveau"))</f>
        <v>#VALUE!</v>
      </c>
      <c r="AD7684" s="1" t="str">
        <f>IFERROR(IF(Final_Sans_VGE[[#This Row],[ppn_z]]="","",IFERROR(
   IF(_xlfn.XLOOKUP(Final_Sans_VGE[[#This Row],[ppn_z]],tbl_Historique_Final[[#This Row],[ppn_z]],tbl_Historique_Final[[#This Row],[date_modif]])=Final_Sans_VGE[[#This Row],[date_modif]],
      "Ancien",
      "Modifié"),
   "Nouveau")),"")</f>
        <v/>
      </c>
    </row>
    <row r="7685" spans="24:30" x14ac:dyDescent="0.25">
      <c r="X7685" s="8" t="e">
        <f>IF(Final_Sans_VGE[[#This Row],[ppn_z]]="","",IFERROR(
   IF(_xlfn.XLOOKUP(Final_Sans_VGE[[#This Row],[ppn_z]],tbl_Historique_Final[ppn_z],tbl_Historique_Final[date_modif])=Final_Sans_VGE[[#This Row],[date_modif]],
      "Ancien",
      "Modifié"),
   "Nouveau"))</f>
        <v>#VALUE!</v>
      </c>
      <c r="AD7685" s="1" t="str">
        <f>IFERROR(IF(Final_Sans_VGE[[#This Row],[ppn_z]]="","",IFERROR(
   IF(_xlfn.XLOOKUP(Final_Sans_VGE[[#This Row],[ppn_z]],tbl_Historique_Final[[#This Row],[ppn_z]],tbl_Historique_Final[[#This Row],[date_modif]])=Final_Sans_VGE[[#This Row],[date_modif]],
      "Ancien",
      "Modifié"),
   "Nouveau")),"")</f>
        <v/>
      </c>
    </row>
    <row r="7686" spans="24:30" x14ac:dyDescent="0.25">
      <c r="X7686" s="8" t="e">
        <f>IF(Final_Sans_VGE[[#This Row],[ppn_z]]="","",IFERROR(
   IF(_xlfn.XLOOKUP(Final_Sans_VGE[[#This Row],[ppn_z]],tbl_Historique_Final[ppn_z],tbl_Historique_Final[date_modif])=Final_Sans_VGE[[#This Row],[date_modif]],
      "Ancien",
      "Modifié"),
   "Nouveau"))</f>
        <v>#VALUE!</v>
      </c>
      <c r="AD7686" s="1" t="str">
        <f>IFERROR(IF(Final_Sans_VGE[[#This Row],[ppn_z]]="","",IFERROR(
   IF(_xlfn.XLOOKUP(Final_Sans_VGE[[#This Row],[ppn_z]],tbl_Historique_Final[[#This Row],[ppn_z]],tbl_Historique_Final[[#This Row],[date_modif]])=Final_Sans_VGE[[#This Row],[date_modif]],
      "Ancien",
      "Modifié"),
   "Nouveau")),"")</f>
        <v/>
      </c>
    </row>
    <row r="7687" spans="24:30" x14ac:dyDescent="0.25">
      <c r="X7687" s="8" t="e">
        <f>IF(Final_Sans_VGE[[#This Row],[ppn_z]]="","",IFERROR(
   IF(_xlfn.XLOOKUP(Final_Sans_VGE[[#This Row],[ppn_z]],tbl_Historique_Final[ppn_z],tbl_Historique_Final[date_modif])=Final_Sans_VGE[[#This Row],[date_modif]],
      "Ancien",
      "Modifié"),
   "Nouveau"))</f>
        <v>#VALUE!</v>
      </c>
      <c r="AD7687" s="1" t="str">
        <f>IFERROR(IF(Final_Sans_VGE[[#This Row],[ppn_z]]="","",IFERROR(
   IF(_xlfn.XLOOKUP(Final_Sans_VGE[[#This Row],[ppn_z]],tbl_Historique_Final[[#This Row],[ppn_z]],tbl_Historique_Final[[#This Row],[date_modif]])=Final_Sans_VGE[[#This Row],[date_modif]],
      "Ancien",
      "Modifié"),
   "Nouveau")),"")</f>
        <v/>
      </c>
    </row>
    <row r="7688" spans="24:30" x14ac:dyDescent="0.25">
      <c r="X7688" s="8" t="e">
        <f>IF(Final_Sans_VGE[[#This Row],[ppn_z]]="","",IFERROR(
   IF(_xlfn.XLOOKUP(Final_Sans_VGE[[#This Row],[ppn_z]],tbl_Historique_Final[ppn_z],tbl_Historique_Final[date_modif])=Final_Sans_VGE[[#This Row],[date_modif]],
      "Ancien",
      "Modifié"),
   "Nouveau"))</f>
        <v>#VALUE!</v>
      </c>
      <c r="AD7688" s="1" t="str">
        <f>IFERROR(IF(Final_Sans_VGE[[#This Row],[ppn_z]]="","",IFERROR(
   IF(_xlfn.XLOOKUP(Final_Sans_VGE[[#This Row],[ppn_z]],tbl_Historique_Final[[#This Row],[ppn_z]],tbl_Historique_Final[[#This Row],[date_modif]])=Final_Sans_VGE[[#This Row],[date_modif]],
      "Ancien",
      "Modifié"),
   "Nouveau")),"")</f>
        <v/>
      </c>
    </row>
    <row r="7689" spans="24:30" x14ac:dyDescent="0.25">
      <c r="X7689" s="8" t="e">
        <f>IF(Final_Sans_VGE[[#This Row],[ppn_z]]="","",IFERROR(
   IF(_xlfn.XLOOKUP(Final_Sans_VGE[[#This Row],[ppn_z]],tbl_Historique_Final[ppn_z],tbl_Historique_Final[date_modif])=Final_Sans_VGE[[#This Row],[date_modif]],
      "Ancien",
      "Modifié"),
   "Nouveau"))</f>
        <v>#VALUE!</v>
      </c>
      <c r="AD7689" s="1" t="str">
        <f>IFERROR(IF(Final_Sans_VGE[[#This Row],[ppn_z]]="","",IFERROR(
   IF(_xlfn.XLOOKUP(Final_Sans_VGE[[#This Row],[ppn_z]],tbl_Historique_Final[[#This Row],[ppn_z]],tbl_Historique_Final[[#This Row],[date_modif]])=Final_Sans_VGE[[#This Row],[date_modif]],
      "Ancien",
      "Modifié"),
   "Nouveau")),"")</f>
        <v/>
      </c>
    </row>
    <row r="7690" spans="24:30" x14ac:dyDescent="0.25">
      <c r="X7690" s="8" t="e">
        <f>IF(Final_Sans_VGE[[#This Row],[ppn_z]]="","",IFERROR(
   IF(_xlfn.XLOOKUP(Final_Sans_VGE[[#This Row],[ppn_z]],tbl_Historique_Final[ppn_z],tbl_Historique_Final[date_modif])=Final_Sans_VGE[[#This Row],[date_modif]],
      "Ancien",
      "Modifié"),
   "Nouveau"))</f>
        <v>#VALUE!</v>
      </c>
      <c r="AD7690" s="1" t="str">
        <f>IFERROR(IF(Final_Sans_VGE[[#This Row],[ppn_z]]="","",IFERROR(
   IF(_xlfn.XLOOKUP(Final_Sans_VGE[[#This Row],[ppn_z]],tbl_Historique_Final[[#This Row],[ppn_z]],tbl_Historique_Final[[#This Row],[date_modif]])=Final_Sans_VGE[[#This Row],[date_modif]],
      "Ancien",
      "Modifié"),
   "Nouveau")),"")</f>
        <v/>
      </c>
    </row>
    <row r="7691" spans="24:30" x14ac:dyDescent="0.25">
      <c r="X7691" s="8" t="e">
        <f>IF(Final_Sans_VGE[[#This Row],[ppn_z]]="","",IFERROR(
   IF(_xlfn.XLOOKUP(Final_Sans_VGE[[#This Row],[ppn_z]],tbl_Historique_Final[ppn_z],tbl_Historique_Final[date_modif])=Final_Sans_VGE[[#This Row],[date_modif]],
      "Ancien",
      "Modifié"),
   "Nouveau"))</f>
        <v>#VALUE!</v>
      </c>
      <c r="AD7691" s="1" t="str">
        <f>IFERROR(IF(Final_Sans_VGE[[#This Row],[ppn_z]]="","",IFERROR(
   IF(_xlfn.XLOOKUP(Final_Sans_VGE[[#This Row],[ppn_z]],tbl_Historique_Final[[#This Row],[ppn_z]],tbl_Historique_Final[[#This Row],[date_modif]])=Final_Sans_VGE[[#This Row],[date_modif]],
      "Ancien",
      "Modifié"),
   "Nouveau")),"")</f>
        <v/>
      </c>
    </row>
    <row r="7692" spans="24:30" x14ac:dyDescent="0.25">
      <c r="X7692" s="8" t="e">
        <f>IF(Final_Sans_VGE[[#This Row],[ppn_z]]="","",IFERROR(
   IF(_xlfn.XLOOKUP(Final_Sans_VGE[[#This Row],[ppn_z]],tbl_Historique_Final[ppn_z],tbl_Historique_Final[date_modif])=Final_Sans_VGE[[#This Row],[date_modif]],
      "Ancien",
      "Modifié"),
   "Nouveau"))</f>
        <v>#VALUE!</v>
      </c>
      <c r="AD7692" s="1" t="str">
        <f>IFERROR(IF(Final_Sans_VGE[[#This Row],[ppn_z]]="","",IFERROR(
   IF(_xlfn.XLOOKUP(Final_Sans_VGE[[#This Row],[ppn_z]],tbl_Historique_Final[[#This Row],[ppn_z]],tbl_Historique_Final[[#This Row],[date_modif]])=Final_Sans_VGE[[#This Row],[date_modif]],
      "Ancien",
      "Modifié"),
   "Nouveau")),"")</f>
        <v/>
      </c>
    </row>
    <row r="7693" spans="24:30" x14ac:dyDescent="0.25">
      <c r="X7693" s="8" t="e">
        <f>IF(Final_Sans_VGE[[#This Row],[ppn_z]]="","",IFERROR(
   IF(_xlfn.XLOOKUP(Final_Sans_VGE[[#This Row],[ppn_z]],tbl_Historique_Final[ppn_z],tbl_Historique_Final[date_modif])=Final_Sans_VGE[[#This Row],[date_modif]],
      "Ancien",
      "Modifié"),
   "Nouveau"))</f>
        <v>#VALUE!</v>
      </c>
      <c r="AD7693" s="1" t="str">
        <f>IFERROR(IF(Final_Sans_VGE[[#This Row],[ppn_z]]="","",IFERROR(
   IF(_xlfn.XLOOKUP(Final_Sans_VGE[[#This Row],[ppn_z]],tbl_Historique_Final[[#This Row],[ppn_z]],tbl_Historique_Final[[#This Row],[date_modif]])=Final_Sans_VGE[[#This Row],[date_modif]],
      "Ancien",
      "Modifié"),
   "Nouveau")),"")</f>
        <v/>
      </c>
    </row>
    <row r="7694" spans="24:30" x14ac:dyDescent="0.25">
      <c r="X7694" s="8" t="e">
        <f>IF(Final_Sans_VGE[[#This Row],[ppn_z]]="","",IFERROR(
   IF(_xlfn.XLOOKUP(Final_Sans_VGE[[#This Row],[ppn_z]],tbl_Historique_Final[ppn_z],tbl_Historique_Final[date_modif])=Final_Sans_VGE[[#This Row],[date_modif]],
      "Ancien",
      "Modifié"),
   "Nouveau"))</f>
        <v>#VALUE!</v>
      </c>
      <c r="AD7694" s="1" t="str">
        <f>IFERROR(IF(Final_Sans_VGE[[#This Row],[ppn_z]]="","",IFERROR(
   IF(_xlfn.XLOOKUP(Final_Sans_VGE[[#This Row],[ppn_z]],tbl_Historique_Final[[#This Row],[ppn_z]],tbl_Historique_Final[[#This Row],[date_modif]])=Final_Sans_VGE[[#This Row],[date_modif]],
      "Ancien",
      "Modifié"),
   "Nouveau")),"")</f>
        <v/>
      </c>
    </row>
    <row r="7695" spans="24:30" x14ac:dyDescent="0.25">
      <c r="X7695" s="8" t="e">
        <f>IF(Final_Sans_VGE[[#This Row],[ppn_z]]="","",IFERROR(
   IF(_xlfn.XLOOKUP(Final_Sans_VGE[[#This Row],[ppn_z]],tbl_Historique_Final[ppn_z],tbl_Historique_Final[date_modif])=Final_Sans_VGE[[#This Row],[date_modif]],
      "Ancien",
      "Modifié"),
   "Nouveau"))</f>
        <v>#VALUE!</v>
      </c>
      <c r="AD7695" s="1" t="str">
        <f>IFERROR(IF(Final_Sans_VGE[[#This Row],[ppn_z]]="","",IFERROR(
   IF(_xlfn.XLOOKUP(Final_Sans_VGE[[#This Row],[ppn_z]],tbl_Historique_Final[[#This Row],[ppn_z]],tbl_Historique_Final[[#This Row],[date_modif]])=Final_Sans_VGE[[#This Row],[date_modif]],
      "Ancien",
      "Modifié"),
   "Nouveau")),"")</f>
        <v/>
      </c>
    </row>
    <row r="7696" spans="24:30" x14ac:dyDescent="0.25">
      <c r="X7696" s="8" t="e">
        <f>IF(Final_Sans_VGE[[#This Row],[ppn_z]]="","",IFERROR(
   IF(_xlfn.XLOOKUP(Final_Sans_VGE[[#This Row],[ppn_z]],tbl_Historique_Final[ppn_z],tbl_Historique_Final[date_modif])=Final_Sans_VGE[[#This Row],[date_modif]],
      "Ancien",
      "Modifié"),
   "Nouveau"))</f>
        <v>#VALUE!</v>
      </c>
      <c r="AD7696" s="1" t="str">
        <f>IFERROR(IF(Final_Sans_VGE[[#This Row],[ppn_z]]="","",IFERROR(
   IF(_xlfn.XLOOKUP(Final_Sans_VGE[[#This Row],[ppn_z]],tbl_Historique_Final[[#This Row],[ppn_z]],tbl_Historique_Final[[#This Row],[date_modif]])=Final_Sans_VGE[[#This Row],[date_modif]],
      "Ancien",
      "Modifié"),
   "Nouveau")),"")</f>
        <v/>
      </c>
    </row>
    <row r="7697" spans="24:30" x14ac:dyDescent="0.25">
      <c r="X7697" s="8" t="e">
        <f>IF(Final_Sans_VGE[[#This Row],[ppn_z]]="","",IFERROR(
   IF(_xlfn.XLOOKUP(Final_Sans_VGE[[#This Row],[ppn_z]],tbl_Historique_Final[ppn_z],tbl_Historique_Final[date_modif])=Final_Sans_VGE[[#This Row],[date_modif]],
      "Ancien",
      "Modifié"),
   "Nouveau"))</f>
        <v>#VALUE!</v>
      </c>
      <c r="AD7697" s="1" t="str">
        <f>IFERROR(IF(Final_Sans_VGE[[#This Row],[ppn_z]]="","",IFERROR(
   IF(_xlfn.XLOOKUP(Final_Sans_VGE[[#This Row],[ppn_z]],tbl_Historique_Final[[#This Row],[ppn_z]],tbl_Historique_Final[[#This Row],[date_modif]])=Final_Sans_VGE[[#This Row],[date_modif]],
      "Ancien",
      "Modifié"),
   "Nouveau")),"")</f>
        <v/>
      </c>
    </row>
    <row r="7698" spans="24:30" x14ac:dyDescent="0.25">
      <c r="X7698" s="8" t="e">
        <f>IF(Final_Sans_VGE[[#This Row],[ppn_z]]="","",IFERROR(
   IF(_xlfn.XLOOKUP(Final_Sans_VGE[[#This Row],[ppn_z]],tbl_Historique_Final[ppn_z],tbl_Historique_Final[date_modif])=Final_Sans_VGE[[#This Row],[date_modif]],
      "Ancien",
      "Modifié"),
   "Nouveau"))</f>
        <v>#VALUE!</v>
      </c>
      <c r="AD7698" s="1" t="str">
        <f>IFERROR(IF(Final_Sans_VGE[[#This Row],[ppn_z]]="","",IFERROR(
   IF(_xlfn.XLOOKUP(Final_Sans_VGE[[#This Row],[ppn_z]],tbl_Historique_Final[[#This Row],[ppn_z]],tbl_Historique_Final[[#This Row],[date_modif]])=Final_Sans_VGE[[#This Row],[date_modif]],
      "Ancien",
      "Modifié"),
   "Nouveau")),"")</f>
        <v/>
      </c>
    </row>
    <row r="7699" spans="24:30" x14ac:dyDescent="0.25">
      <c r="X7699" s="8" t="e">
        <f>IF(Final_Sans_VGE[[#This Row],[ppn_z]]="","",IFERROR(
   IF(_xlfn.XLOOKUP(Final_Sans_VGE[[#This Row],[ppn_z]],tbl_Historique_Final[ppn_z],tbl_Historique_Final[date_modif])=Final_Sans_VGE[[#This Row],[date_modif]],
      "Ancien",
      "Modifié"),
   "Nouveau"))</f>
        <v>#VALUE!</v>
      </c>
      <c r="AD7699" s="1" t="str">
        <f>IFERROR(IF(Final_Sans_VGE[[#This Row],[ppn_z]]="","",IFERROR(
   IF(_xlfn.XLOOKUP(Final_Sans_VGE[[#This Row],[ppn_z]],tbl_Historique_Final[[#This Row],[ppn_z]],tbl_Historique_Final[[#This Row],[date_modif]])=Final_Sans_VGE[[#This Row],[date_modif]],
      "Ancien",
      "Modifié"),
   "Nouveau")),"")</f>
        <v/>
      </c>
    </row>
    <row r="7700" spans="24:30" x14ac:dyDescent="0.25">
      <c r="X7700" s="8" t="e">
        <f>IF(Final_Sans_VGE[[#This Row],[ppn_z]]="","",IFERROR(
   IF(_xlfn.XLOOKUP(Final_Sans_VGE[[#This Row],[ppn_z]],tbl_Historique_Final[ppn_z],tbl_Historique_Final[date_modif])=Final_Sans_VGE[[#This Row],[date_modif]],
      "Ancien",
      "Modifié"),
   "Nouveau"))</f>
        <v>#VALUE!</v>
      </c>
      <c r="AD7700" s="1" t="str">
        <f>IFERROR(IF(Final_Sans_VGE[[#This Row],[ppn_z]]="","",IFERROR(
   IF(_xlfn.XLOOKUP(Final_Sans_VGE[[#This Row],[ppn_z]],tbl_Historique_Final[[#This Row],[ppn_z]],tbl_Historique_Final[[#This Row],[date_modif]])=Final_Sans_VGE[[#This Row],[date_modif]],
      "Ancien",
      "Modifié"),
   "Nouveau")),"")</f>
        <v/>
      </c>
    </row>
    <row r="7701" spans="24:30" x14ac:dyDescent="0.25">
      <c r="X7701" s="8" t="e">
        <f>IF(Final_Sans_VGE[[#This Row],[ppn_z]]="","",IFERROR(
   IF(_xlfn.XLOOKUP(Final_Sans_VGE[[#This Row],[ppn_z]],tbl_Historique_Final[ppn_z],tbl_Historique_Final[date_modif])=Final_Sans_VGE[[#This Row],[date_modif]],
      "Ancien",
      "Modifié"),
   "Nouveau"))</f>
        <v>#VALUE!</v>
      </c>
      <c r="AD7701" s="1" t="str">
        <f>IFERROR(IF(Final_Sans_VGE[[#This Row],[ppn_z]]="","",IFERROR(
   IF(_xlfn.XLOOKUP(Final_Sans_VGE[[#This Row],[ppn_z]],tbl_Historique_Final[[#This Row],[ppn_z]],tbl_Historique_Final[[#This Row],[date_modif]])=Final_Sans_VGE[[#This Row],[date_modif]],
      "Ancien",
      "Modifié"),
   "Nouveau")),"")</f>
        <v/>
      </c>
    </row>
    <row r="7702" spans="24:30" x14ac:dyDescent="0.25">
      <c r="X7702" s="8" t="e">
        <f>IF(Final_Sans_VGE[[#This Row],[ppn_z]]="","",IFERROR(
   IF(_xlfn.XLOOKUP(Final_Sans_VGE[[#This Row],[ppn_z]],tbl_Historique_Final[ppn_z],tbl_Historique_Final[date_modif])=Final_Sans_VGE[[#This Row],[date_modif]],
      "Ancien",
      "Modifié"),
   "Nouveau"))</f>
        <v>#VALUE!</v>
      </c>
      <c r="AD7702" s="1" t="str">
        <f>IFERROR(IF(Final_Sans_VGE[[#This Row],[ppn_z]]="","",IFERROR(
   IF(_xlfn.XLOOKUP(Final_Sans_VGE[[#This Row],[ppn_z]],tbl_Historique_Final[[#This Row],[ppn_z]],tbl_Historique_Final[[#This Row],[date_modif]])=Final_Sans_VGE[[#This Row],[date_modif]],
      "Ancien",
      "Modifié"),
   "Nouveau")),"")</f>
        <v/>
      </c>
    </row>
    <row r="7703" spans="24:30" x14ac:dyDescent="0.25">
      <c r="X7703" s="8" t="e">
        <f>IF(Final_Sans_VGE[[#This Row],[ppn_z]]="","",IFERROR(
   IF(_xlfn.XLOOKUP(Final_Sans_VGE[[#This Row],[ppn_z]],tbl_Historique_Final[ppn_z],tbl_Historique_Final[date_modif])=Final_Sans_VGE[[#This Row],[date_modif]],
      "Ancien",
      "Modifié"),
   "Nouveau"))</f>
        <v>#VALUE!</v>
      </c>
      <c r="AD7703" s="1" t="str">
        <f>IFERROR(IF(Final_Sans_VGE[[#This Row],[ppn_z]]="","",IFERROR(
   IF(_xlfn.XLOOKUP(Final_Sans_VGE[[#This Row],[ppn_z]],tbl_Historique_Final[[#This Row],[ppn_z]],tbl_Historique_Final[[#This Row],[date_modif]])=Final_Sans_VGE[[#This Row],[date_modif]],
      "Ancien",
      "Modifié"),
   "Nouveau")),"")</f>
        <v/>
      </c>
    </row>
    <row r="7704" spans="24:30" x14ac:dyDescent="0.25">
      <c r="X7704" s="8" t="e">
        <f>IF(Final_Sans_VGE[[#This Row],[ppn_z]]="","",IFERROR(
   IF(_xlfn.XLOOKUP(Final_Sans_VGE[[#This Row],[ppn_z]],tbl_Historique_Final[ppn_z],tbl_Historique_Final[date_modif])=Final_Sans_VGE[[#This Row],[date_modif]],
      "Ancien",
      "Modifié"),
   "Nouveau"))</f>
        <v>#VALUE!</v>
      </c>
      <c r="AD7704" s="1" t="str">
        <f>IFERROR(IF(Final_Sans_VGE[[#This Row],[ppn_z]]="","",IFERROR(
   IF(_xlfn.XLOOKUP(Final_Sans_VGE[[#This Row],[ppn_z]],tbl_Historique_Final[[#This Row],[ppn_z]],tbl_Historique_Final[[#This Row],[date_modif]])=Final_Sans_VGE[[#This Row],[date_modif]],
      "Ancien",
      "Modifié"),
   "Nouveau")),"")</f>
        <v/>
      </c>
    </row>
    <row r="7705" spans="24:30" x14ac:dyDescent="0.25">
      <c r="X7705" s="8" t="e">
        <f>IF(Final_Sans_VGE[[#This Row],[ppn_z]]="","",IFERROR(
   IF(_xlfn.XLOOKUP(Final_Sans_VGE[[#This Row],[ppn_z]],tbl_Historique_Final[ppn_z],tbl_Historique_Final[date_modif])=Final_Sans_VGE[[#This Row],[date_modif]],
      "Ancien",
      "Modifié"),
   "Nouveau"))</f>
        <v>#VALUE!</v>
      </c>
      <c r="AD7705" s="1" t="str">
        <f>IFERROR(IF(Final_Sans_VGE[[#This Row],[ppn_z]]="","",IFERROR(
   IF(_xlfn.XLOOKUP(Final_Sans_VGE[[#This Row],[ppn_z]],tbl_Historique_Final[[#This Row],[ppn_z]],tbl_Historique_Final[[#This Row],[date_modif]])=Final_Sans_VGE[[#This Row],[date_modif]],
      "Ancien",
      "Modifié"),
   "Nouveau")),"")</f>
        <v/>
      </c>
    </row>
    <row r="7706" spans="24:30" x14ac:dyDescent="0.25">
      <c r="X7706" s="8" t="e">
        <f>IF(Final_Sans_VGE[[#This Row],[ppn_z]]="","",IFERROR(
   IF(_xlfn.XLOOKUP(Final_Sans_VGE[[#This Row],[ppn_z]],tbl_Historique_Final[ppn_z],tbl_Historique_Final[date_modif])=Final_Sans_VGE[[#This Row],[date_modif]],
      "Ancien",
      "Modifié"),
   "Nouveau"))</f>
        <v>#VALUE!</v>
      </c>
      <c r="AD7706" s="1" t="str">
        <f>IFERROR(IF(Final_Sans_VGE[[#This Row],[ppn_z]]="","",IFERROR(
   IF(_xlfn.XLOOKUP(Final_Sans_VGE[[#This Row],[ppn_z]],tbl_Historique_Final[[#This Row],[ppn_z]],tbl_Historique_Final[[#This Row],[date_modif]])=Final_Sans_VGE[[#This Row],[date_modif]],
      "Ancien",
      "Modifié"),
   "Nouveau")),"")</f>
        <v/>
      </c>
    </row>
    <row r="7707" spans="24:30" x14ac:dyDescent="0.25">
      <c r="X7707" s="8" t="e">
        <f>IF(Final_Sans_VGE[[#This Row],[ppn_z]]="","",IFERROR(
   IF(_xlfn.XLOOKUP(Final_Sans_VGE[[#This Row],[ppn_z]],tbl_Historique_Final[ppn_z],tbl_Historique_Final[date_modif])=Final_Sans_VGE[[#This Row],[date_modif]],
      "Ancien",
      "Modifié"),
   "Nouveau"))</f>
        <v>#VALUE!</v>
      </c>
      <c r="AD7707" s="1" t="str">
        <f>IFERROR(IF(Final_Sans_VGE[[#This Row],[ppn_z]]="","",IFERROR(
   IF(_xlfn.XLOOKUP(Final_Sans_VGE[[#This Row],[ppn_z]],tbl_Historique_Final[[#This Row],[ppn_z]],tbl_Historique_Final[[#This Row],[date_modif]])=Final_Sans_VGE[[#This Row],[date_modif]],
      "Ancien",
      "Modifié"),
   "Nouveau")),"")</f>
        <v/>
      </c>
    </row>
    <row r="7708" spans="24:30" x14ac:dyDescent="0.25">
      <c r="X7708" s="8" t="e">
        <f>IF(Final_Sans_VGE[[#This Row],[ppn_z]]="","",IFERROR(
   IF(_xlfn.XLOOKUP(Final_Sans_VGE[[#This Row],[ppn_z]],tbl_Historique_Final[ppn_z],tbl_Historique_Final[date_modif])=Final_Sans_VGE[[#This Row],[date_modif]],
      "Ancien",
      "Modifié"),
   "Nouveau"))</f>
        <v>#VALUE!</v>
      </c>
      <c r="AD7708" s="1" t="str">
        <f>IFERROR(IF(Final_Sans_VGE[[#This Row],[ppn_z]]="","",IFERROR(
   IF(_xlfn.XLOOKUP(Final_Sans_VGE[[#This Row],[ppn_z]],tbl_Historique_Final[[#This Row],[ppn_z]],tbl_Historique_Final[[#This Row],[date_modif]])=Final_Sans_VGE[[#This Row],[date_modif]],
      "Ancien",
      "Modifié"),
   "Nouveau")),"")</f>
        <v/>
      </c>
    </row>
    <row r="7709" spans="24:30" x14ac:dyDescent="0.25">
      <c r="X7709" s="8" t="e">
        <f>IF(Final_Sans_VGE[[#This Row],[ppn_z]]="","",IFERROR(
   IF(_xlfn.XLOOKUP(Final_Sans_VGE[[#This Row],[ppn_z]],tbl_Historique_Final[ppn_z],tbl_Historique_Final[date_modif])=Final_Sans_VGE[[#This Row],[date_modif]],
      "Ancien",
      "Modifié"),
   "Nouveau"))</f>
        <v>#VALUE!</v>
      </c>
      <c r="AD7709" s="1" t="str">
        <f>IFERROR(IF(Final_Sans_VGE[[#This Row],[ppn_z]]="","",IFERROR(
   IF(_xlfn.XLOOKUP(Final_Sans_VGE[[#This Row],[ppn_z]],tbl_Historique_Final[[#This Row],[ppn_z]],tbl_Historique_Final[[#This Row],[date_modif]])=Final_Sans_VGE[[#This Row],[date_modif]],
      "Ancien",
      "Modifié"),
   "Nouveau")),"")</f>
        <v/>
      </c>
    </row>
    <row r="7710" spans="24:30" x14ac:dyDescent="0.25">
      <c r="X7710" s="8" t="e">
        <f>IF(Final_Sans_VGE[[#This Row],[ppn_z]]="","",IFERROR(
   IF(_xlfn.XLOOKUP(Final_Sans_VGE[[#This Row],[ppn_z]],tbl_Historique_Final[ppn_z],tbl_Historique_Final[date_modif])=Final_Sans_VGE[[#This Row],[date_modif]],
      "Ancien",
      "Modifié"),
   "Nouveau"))</f>
        <v>#VALUE!</v>
      </c>
      <c r="AD7710" s="1" t="str">
        <f>IFERROR(IF(Final_Sans_VGE[[#This Row],[ppn_z]]="","",IFERROR(
   IF(_xlfn.XLOOKUP(Final_Sans_VGE[[#This Row],[ppn_z]],tbl_Historique_Final[[#This Row],[ppn_z]],tbl_Historique_Final[[#This Row],[date_modif]])=Final_Sans_VGE[[#This Row],[date_modif]],
      "Ancien",
      "Modifié"),
   "Nouveau")),"")</f>
        <v/>
      </c>
    </row>
    <row r="7711" spans="24:30" x14ac:dyDescent="0.25">
      <c r="X7711" s="8" t="e">
        <f>IF(Final_Sans_VGE[[#This Row],[ppn_z]]="","",IFERROR(
   IF(_xlfn.XLOOKUP(Final_Sans_VGE[[#This Row],[ppn_z]],tbl_Historique_Final[ppn_z],tbl_Historique_Final[date_modif])=Final_Sans_VGE[[#This Row],[date_modif]],
      "Ancien",
      "Modifié"),
   "Nouveau"))</f>
        <v>#VALUE!</v>
      </c>
      <c r="AD7711" s="1" t="str">
        <f>IFERROR(IF(Final_Sans_VGE[[#This Row],[ppn_z]]="","",IFERROR(
   IF(_xlfn.XLOOKUP(Final_Sans_VGE[[#This Row],[ppn_z]],tbl_Historique_Final[[#This Row],[ppn_z]],tbl_Historique_Final[[#This Row],[date_modif]])=Final_Sans_VGE[[#This Row],[date_modif]],
      "Ancien",
      "Modifié"),
   "Nouveau")),"")</f>
        <v/>
      </c>
    </row>
    <row r="7712" spans="24:30" x14ac:dyDescent="0.25">
      <c r="X7712" s="8" t="e">
        <f>IF(Final_Sans_VGE[[#This Row],[ppn_z]]="","",IFERROR(
   IF(_xlfn.XLOOKUP(Final_Sans_VGE[[#This Row],[ppn_z]],tbl_Historique_Final[ppn_z],tbl_Historique_Final[date_modif])=Final_Sans_VGE[[#This Row],[date_modif]],
      "Ancien",
      "Modifié"),
   "Nouveau"))</f>
        <v>#VALUE!</v>
      </c>
      <c r="AD7712" s="1" t="str">
        <f>IFERROR(IF(Final_Sans_VGE[[#This Row],[ppn_z]]="","",IFERROR(
   IF(_xlfn.XLOOKUP(Final_Sans_VGE[[#This Row],[ppn_z]],tbl_Historique_Final[[#This Row],[ppn_z]],tbl_Historique_Final[[#This Row],[date_modif]])=Final_Sans_VGE[[#This Row],[date_modif]],
      "Ancien",
      "Modifié"),
   "Nouveau")),"")</f>
        <v/>
      </c>
    </row>
    <row r="7713" spans="24:30" x14ac:dyDescent="0.25">
      <c r="X7713" s="8" t="e">
        <f>IF(Final_Sans_VGE[[#This Row],[ppn_z]]="","",IFERROR(
   IF(_xlfn.XLOOKUP(Final_Sans_VGE[[#This Row],[ppn_z]],tbl_Historique_Final[ppn_z],tbl_Historique_Final[date_modif])=Final_Sans_VGE[[#This Row],[date_modif]],
      "Ancien",
      "Modifié"),
   "Nouveau"))</f>
        <v>#VALUE!</v>
      </c>
      <c r="AD7713" s="1" t="str">
        <f>IFERROR(IF(Final_Sans_VGE[[#This Row],[ppn_z]]="","",IFERROR(
   IF(_xlfn.XLOOKUP(Final_Sans_VGE[[#This Row],[ppn_z]],tbl_Historique_Final[[#This Row],[ppn_z]],tbl_Historique_Final[[#This Row],[date_modif]])=Final_Sans_VGE[[#This Row],[date_modif]],
      "Ancien",
      "Modifié"),
   "Nouveau")),"")</f>
        <v/>
      </c>
    </row>
    <row r="7714" spans="24:30" x14ac:dyDescent="0.25">
      <c r="X7714" s="8" t="e">
        <f>IF(Final_Sans_VGE[[#This Row],[ppn_z]]="","",IFERROR(
   IF(_xlfn.XLOOKUP(Final_Sans_VGE[[#This Row],[ppn_z]],tbl_Historique_Final[ppn_z],tbl_Historique_Final[date_modif])=Final_Sans_VGE[[#This Row],[date_modif]],
      "Ancien",
      "Modifié"),
   "Nouveau"))</f>
        <v>#VALUE!</v>
      </c>
      <c r="AD7714" s="1" t="str">
        <f>IFERROR(IF(Final_Sans_VGE[[#This Row],[ppn_z]]="","",IFERROR(
   IF(_xlfn.XLOOKUP(Final_Sans_VGE[[#This Row],[ppn_z]],tbl_Historique_Final[[#This Row],[ppn_z]],tbl_Historique_Final[[#This Row],[date_modif]])=Final_Sans_VGE[[#This Row],[date_modif]],
      "Ancien",
      "Modifié"),
   "Nouveau")),"")</f>
        <v/>
      </c>
    </row>
    <row r="7715" spans="24:30" x14ac:dyDescent="0.25">
      <c r="X7715" s="8" t="e">
        <f>IF(Final_Sans_VGE[[#This Row],[ppn_z]]="","",IFERROR(
   IF(_xlfn.XLOOKUP(Final_Sans_VGE[[#This Row],[ppn_z]],tbl_Historique_Final[ppn_z],tbl_Historique_Final[date_modif])=Final_Sans_VGE[[#This Row],[date_modif]],
      "Ancien",
      "Modifié"),
   "Nouveau"))</f>
        <v>#VALUE!</v>
      </c>
      <c r="AD7715" s="1" t="str">
        <f>IFERROR(IF(Final_Sans_VGE[[#This Row],[ppn_z]]="","",IFERROR(
   IF(_xlfn.XLOOKUP(Final_Sans_VGE[[#This Row],[ppn_z]],tbl_Historique_Final[[#This Row],[ppn_z]],tbl_Historique_Final[[#This Row],[date_modif]])=Final_Sans_VGE[[#This Row],[date_modif]],
      "Ancien",
      "Modifié"),
   "Nouveau")),"")</f>
        <v/>
      </c>
    </row>
    <row r="7716" spans="24:30" x14ac:dyDescent="0.25">
      <c r="X7716" s="8" t="e">
        <f>IF(Final_Sans_VGE[[#This Row],[ppn_z]]="","",IFERROR(
   IF(_xlfn.XLOOKUP(Final_Sans_VGE[[#This Row],[ppn_z]],tbl_Historique_Final[ppn_z],tbl_Historique_Final[date_modif])=Final_Sans_VGE[[#This Row],[date_modif]],
      "Ancien",
      "Modifié"),
   "Nouveau"))</f>
        <v>#VALUE!</v>
      </c>
      <c r="AD7716" s="1" t="str">
        <f>IFERROR(IF(Final_Sans_VGE[[#This Row],[ppn_z]]="","",IFERROR(
   IF(_xlfn.XLOOKUP(Final_Sans_VGE[[#This Row],[ppn_z]],tbl_Historique_Final[[#This Row],[ppn_z]],tbl_Historique_Final[[#This Row],[date_modif]])=Final_Sans_VGE[[#This Row],[date_modif]],
      "Ancien",
      "Modifié"),
   "Nouveau")),"")</f>
        <v/>
      </c>
    </row>
    <row r="7717" spans="24:30" x14ac:dyDescent="0.25">
      <c r="X7717" s="8" t="e">
        <f>IF(Final_Sans_VGE[[#This Row],[ppn_z]]="","",IFERROR(
   IF(_xlfn.XLOOKUP(Final_Sans_VGE[[#This Row],[ppn_z]],tbl_Historique_Final[ppn_z],tbl_Historique_Final[date_modif])=Final_Sans_VGE[[#This Row],[date_modif]],
      "Ancien",
      "Modifié"),
   "Nouveau"))</f>
        <v>#VALUE!</v>
      </c>
      <c r="AD7717" s="1" t="str">
        <f>IFERROR(IF(Final_Sans_VGE[[#This Row],[ppn_z]]="","",IFERROR(
   IF(_xlfn.XLOOKUP(Final_Sans_VGE[[#This Row],[ppn_z]],tbl_Historique_Final[[#This Row],[ppn_z]],tbl_Historique_Final[[#This Row],[date_modif]])=Final_Sans_VGE[[#This Row],[date_modif]],
      "Ancien",
      "Modifié"),
   "Nouveau")),"")</f>
        <v/>
      </c>
    </row>
    <row r="7718" spans="24:30" x14ac:dyDescent="0.25">
      <c r="X7718" s="8" t="e">
        <f>IF(Final_Sans_VGE[[#This Row],[ppn_z]]="","",IFERROR(
   IF(_xlfn.XLOOKUP(Final_Sans_VGE[[#This Row],[ppn_z]],tbl_Historique_Final[ppn_z],tbl_Historique_Final[date_modif])=Final_Sans_VGE[[#This Row],[date_modif]],
      "Ancien",
      "Modifié"),
   "Nouveau"))</f>
        <v>#VALUE!</v>
      </c>
      <c r="AD7718" s="1" t="str">
        <f>IFERROR(IF(Final_Sans_VGE[[#This Row],[ppn_z]]="","",IFERROR(
   IF(_xlfn.XLOOKUP(Final_Sans_VGE[[#This Row],[ppn_z]],tbl_Historique_Final[[#This Row],[ppn_z]],tbl_Historique_Final[[#This Row],[date_modif]])=Final_Sans_VGE[[#This Row],[date_modif]],
      "Ancien",
      "Modifié"),
   "Nouveau")),"")</f>
        <v/>
      </c>
    </row>
    <row r="7719" spans="24:30" x14ac:dyDescent="0.25">
      <c r="X7719" s="8" t="e">
        <f>IF(Final_Sans_VGE[[#This Row],[ppn_z]]="","",IFERROR(
   IF(_xlfn.XLOOKUP(Final_Sans_VGE[[#This Row],[ppn_z]],tbl_Historique_Final[ppn_z],tbl_Historique_Final[date_modif])=Final_Sans_VGE[[#This Row],[date_modif]],
      "Ancien",
      "Modifié"),
   "Nouveau"))</f>
        <v>#VALUE!</v>
      </c>
      <c r="AD7719" s="1" t="str">
        <f>IFERROR(IF(Final_Sans_VGE[[#This Row],[ppn_z]]="","",IFERROR(
   IF(_xlfn.XLOOKUP(Final_Sans_VGE[[#This Row],[ppn_z]],tbl_Historique_Final[[#This Row],[ppn_z]],tbl_Historique_Final[[#This Row],[date_modif]])=Final_Sans_VGE[[#This Row],[date_modif]],
      "Ancien",
      "Modifié"),
   "Nouveau")),"")</f>
        <v/>
      </c>
    </row>
    <row r="7720" spans="24:30" x14ac:dyDescent="0.25">
      <c r="X7720" s="8" t="e">
        <f>IF(Final_Sans_VGE[[#This Row],[ppn_z]]="","",IFERROR(
   IF(_xlfn.XLOOKUP(Final_Sans_VGE[[#This Row],[ppn_z]],tbl_Historique_Final[ppn_z],tbl_Historique_Final[date_modif])=Final_Sans_VGE[[#This Row],[date_modif]],
      "Ancien",
      "Modifié"),
   "Nouveau"))</f>
        <v>#VALUE!</v>
      </c>
      <c r="AD7720" s="1" t="str">
        <f>IFERROR(IF(Final_Sans_VGE[[#This Row],[ppn_z]]="","",IFERROR(
   IF(_xlfn.XLOOKUP(Final_Sans_VGE[[#This Row],[ppn_z]],tbl_Historique_Final[[#This Row],[ppn_z]],tbl_Historique_Final[[#This Row],[date_modif]])=Final_Sans_VGE[[#This Row],[date_modif]],
      "Ancien",
      "Modifié"),
   "Nouveau")),"")</f>
        <v/>
      </c>
    </row>
    <row r="7721" spans="24:30" x14ac:dyDescent="0.25">
      <c r="X7721" s="8" t="e">
        <f>IF(Final_Sans_VGE[[#This Row],[ppn_z]]="","",IFERROR(
   IF(_xlfn.XLOOKUP(Final_Sans_VGE[[#This Row],[ppn_z]],tbl_Historique_Final[ppn_z],tbl_Historique_Final[date_modif])=Final_Sans_VGE[[#This Row],[date_modif]],
      "Ancien",
      "Modifié"),
   "Nouveau"))</f>
        <v>#VALUE!</v>
      </c>
      <c r="AD7721" s="1" t="str">
        <f>IFERROR(IF(Final_Sans_VGE[[#This Row],[ppn_z]]="","",IFERROR(
   IF(_xlfn.XLOOKUP(Final_Sans_VGE[[#This Row],[ppn_z]],tbl_Historique_Final[[#This Row],[ppn_z]],tbl_Historique_Final[[#This Row],[date_modif]])=Final_Sans_VGE[[#This Row],[date_modif]],
      "Ancien",
      "Modifié"),
   "Nouveau")),"")</f>
        <v/>
      </c>
    </row>
    <row r="7722" spans="24:30" x14ac:dyDescent="0.25">
      <c r="X7722" s="8" t="e">
        <f>IF(Final_Sans_VGE[[#This Row],[ppn_z]]="","",IFERROR(
   IF(_xlfn.XLOOKUP(Final_Sans_VGE[[#This Row],[ppn_z]],tbl_Historique_Final[ppn_z],tbl_Historique_Final[date_modif])=Final_Sans_VGE[[#This Row],[date_modif]],
      "Ancien",
      "Modifié"),
   "Nouveau"))</f>
        <v>#VALUE!</v>
      </c>
      <c r="AD7722" s="1" t="str">
        <f>IFERROR(IF(Final_Sans_VGE[[#This Row],[ppn_z]]="","",IFERROR(
   IF(_xlfn.XLOOKUP(Final_Sans_VGE[[#This Row],[ppn_z]],tbl_Historique_Final[[#This Row],[ppn_z]],tbl_Historique_Final[[#This Row],[date_modif]])=Final_Sans_VGE[[#This Row],[date_modif]],
      "Ancien",
      "Modifié"),
   "Nouveau")),"")</f>
        <v/>
      </c>
    </row>
    <row r="7723" spans="24:30" x14ac:dyDescent="0.25">
      <c r="X7723" s="8" t="e">
        <f>IF(Final_Sans_VGE[[#This Row],[ppn_z]]="","",IFERROR(
   IF(_xlfn.XLOOKUP(Final_Sans_VGE[[#This Row],[ppn_z]],tbl_Historique_Final[ppn_z],tbl_Historique_Final[date_modif])=Final_Sans_VGE[[#This Row],[date_modif]],
      "Ancien",
      "Modifié"),
   "Nouveau"))</f>
        <v>#VALUE!</v>
      </c>
      <c r="AD7723" s="1" t="str">
        <f>IFERROR(IF(Final_Sans_VGE[[#This Row],[ppn_z]]="","",IFERROR(
   IF(_xlfn.XLOOKUP(Final_Sans_VGE[[#This Row],[ppn_z]],tbl_Historique_Final[[#This Row],[ppn_z]],tbl_Historique_Final[[#This Row],[date_modif]])=Final_Sans_VGE[[#This Row],[date_modif]],
      "Ancien",
      "Modifié"),
   "Nouveau")),"")</f>
        <v/>
      </c>
    </row>
    <row r="7724" spans="24:30" x14ac:dyDescent="0.25">
      <c r="X7724" s="8" t="e">
        <f>IF(Final_Sans_VGE[[#This Row],[ppn_z]]="","",IFERROR(
   IF(_xlfn.XLOOKUP(Final_Sans_VGE[[#This Row],[ppn_z]],tbl_Historique_Final[ppn_z],tbl_Historique_Final[date_modif])=Final_Sans_VGE[[#This Row],[date_modif]],
      "Ancien",
      "Modifié"),
   "Nouveau"))</f>
        <v>#VALUE!</v>
      </c>
      <c r="AD7724" s="1" t="str">
        <f>IFERROR(IF(Final_Sans_VGE[[#This Row],[ppn_z]]="","",IFERROR(
   IF(_xlfn.XLOOKUP(Final_Sans_VGE[[#This Row],[ppn_z]],tbl_Historique_Final[[#This Row],[ppn_z]],tbl_Historique_Final[[#This Row],[date_modif]])=Final_Sans_VGE[[#This Row],[date_modif]],
      "Ancien",
      "Modifié"),
   "Nouveau")),"")</f>
        <v/>
      </c>
    </row>
    <row r="7725" spans="24:30" x14ac:dyDescent="0.25">
      <c r="X7725" s="8" t="e">
        <f>IF(Final_Sans_VGE[[#This Row],[ppn_z]]="","",IFERROR(
   IF(_xlfn.XLOOKUP(Final_Sans_VGE[[#This Row],[ppn_z]],tbl_Historique_Final[ppn_z],tbl_Historique_Final[date_modif])=Final_Sans_VGE[[#This Row],[date_modif]],
      "Ancien",
      "Modifié"),
   "Nouveau"))</f>
        <v>#VALUE!</v>
      </c>
      <c r="AD7725" s="1" t="str">
        <f>IFERROR(IF(Final_Sans_VGE[[#This Row],[ppn_z]]="","",IFERROR(
   IF(_xlfn.XLOOKUP(Final_Sans_VGE[[#This Row],[ppn_z]],tbl_Historique_Final[[#This Row],[ppn_z]],tbl_Historique_Final[[#This Row],[date_modif]])=Final_Sans_VGE[[#This Row],[date_modif]],
      "Ancien",
      "Modifié"),
   "Nouveau")),"")</f>
        <v/>
      </c>
    </row>
    <row r="7726" spans="24:30" x14ac:dyDescent="0.25">
      <c r="X7726" s="8" t="e">
        <f>IF(Final_Sans_VGE[[#This Row],[ppn_z]]="","",IFERROR(
   IF(_xlfn.XLOOKUP(Final_Sans_VGE[[#This Row],[ppn_z]],tbl_Historique_Final[ppn_z],tbl_Historique_Final[date_modif])=Final_Sans_VGE[[#This Row],[date_modif]],
      "Ancien",
      "Modifié"),
   "Nouveau"))</f>
        <v>#VALUE!</v>
      </c>
      <c r="AD7726" s="1" t="str">
        <f>IFERROR(IF(Final_Sans_VGE[[#This Row],[ppn_z]]="","",IFERROR(
   IF(_xlfn.XLOOKUP(Final_Sans_VGE[[#This Row],[ppn_z]],tbl_Historique_Final[[#This Row],[ppn_z]],tbl_Historique_Final[[#This Row],[date_modif]])=Final_Sans_VGE[[#This Row],[date_modif]],
      "Ancien",
      "Modifié"),
   "Nouveau")),"")</f>
        <v/>
      </c>
    </row>
    <row r="7727" spans="24:30" x14ac:dyDescent="0.25">
      <c r="X7727" s="8" t="e">
        <f>IF(Final_Sans_VGE[[#This Row],[ppn_z]]="","",IFERROR(
   IF(_xlfn.XLOOKUP(Final_Sans_VGE[[#This Row],[ppn_z]],tbl_Historique_Final[ppn_z],tbl_Historique_Final[date_modif])=Final_Sans_VGE[[#This Row],[date_modif]],
      "Ancien",
      "Modifié"),
   "Nouveau"))</f>
        <v>#VALUE!</v>
      </c>
      <c r="AD7727" s="1" t="str">
        <f>IFERROR(IF(Final_Sans_VGE[[#This Row],[ppn_z]]="","",IFERROR(
   IF(_xlfn.XLOOKUP(Final_Sans_VGE[[#This Row],[ppn_z]],tbl_Historique_Final[[#This Row],[ppn_z]],tbl_Historique_Final[[#This Row],[date_modif]])=Final_Sans_VGE[[#This Row],[date_modif]],
      "Ancien",
      "Modifié"),
   "Nouveau")),"")</f>
        <v/>
      </c>
    </row>
    <row r="7728" spans="24:30" x14ac:dyDescent="0.25">
      <c r="X7728" s="8" t="e">
        <f>IF(Final_Sans_VGE[[#This Row],[ppn_z]]="","",IFERROR(
   IF(_xlfn.XLOOKUP(Final_Sans_VGE[[#This Row],[ppn_z]],tbl_Historique_Final[ppn_z],tbl_Historique_Final[date_modif])=Final_Sans_VGE[[#This Row],[date_modif]],
      "Ancien",
      "Modifié"),
   "Nouveau"))</f>
        <v>#VALUE!</v>
      </c>
      <c r="AD7728" s="1" t="str">
        <f>IFERROR(IF(Final_Sans_VGE[[#This Row],[ppn_z]]="","",IFERROR(
   IF(_xlfn.XLOOKUP(Final_Sans_VGE[[#This Row],[ppn_z]],tbl_Historique_Final[[#This Row],[ppn_z]],tbl_Historique_Final[[#This Row],[date_modif]])=Final_Sans_VGE[[#This Row],[date_modif]],
      "Ancien",
      "Modifié"),
   "Nouveau")),"")</f>
        <v/>
      </c>
    </row>
    <row r="7729" spans="24:30" x14ac:dyDescent="0.25">
      <c r="X7729" s="8" t="e">
        <f>IF(Final_Sans_VGE[[#This Row],[ppn_z]]="","",IFERROR(
   IF(_xlfn.XLOOKUP(Final_Sans_VGE[[#This Row],[ppn_z]],tbl_Historique_Final[ppn_z],tbl_Historique_Final[date_modif])=Final_Sans_VGE[[#This Row],[date_modif]],
      "Ancien",
      "Modifié"),
   "Nouveau"))</f>
        <v>#VALUE!</v>
      </c>
      <c r="AD7729" s="1" t="str">
        <f>IFERROR(IF(Final_Sans_VGE[[#This Row],[ppn_z]]="","",IFERROR(
   IF(_xlfn.XLOOKUP(Final_Sans_VGE[[#This Row],[ppn_z]],tbl_Historique_Final[[#This Row],[ppn_z]],tbl_Historique_Final[[#This Row],[date_modif]])=Final_Sans_VGE[[#This Row],[date_modif]],
      "Ancien",
      "Modifié"),
   "Nouveau")),"")</f>
        <v/>
      </c>
    </row>
    <row r="7730" spans="24:30" x14ac:dyDescent="0.25">
      <c r="X7730" s="8" t="e">
        <f>IF(Final_Sans_VGE[[#This Row],[ppn_z]]="","",IFERROR(
   IF(_xlfn.XLOOKUP(Final_Sans_VGE[[#This Row],[ppn_z]],tbl_Historique_Final[ppn_z],tbl_Historique_Final[date_modif])=Final_Sans_VGE[[#This Row],[date_modif]],
      "Ancien",
      "Modifié"),
   "Nouveau"))</f>
        <v>#VALUE!</v>
      </c>
      <c r="AD7730" s="1" t="str">
        <f>IFERROR(IF(Final_Sans_VGE[[#This Row],[ppn_z]]="","",IFERROR(
   IF(_xlfn.XLOOKUP(Final_Sans_VGE[[#This Row],[ppn_z]],tbl_Historique_Final[[#This Row],[ppn_z]],tbl_Historique_Final[[#This Row],[date_modif]])=Final_Sans_VGE[[#This Row],[date_modif]],
      "Ancien",
      "Modifié"),
   "Nouveau")),"")</f>
        <v/>
      </c>
    </row>
    <row r="7731" spans="24:30" x14ac:dyDescent="0.25">
      <c r="X7731" s="8" t="e">
        <f>IF(Final_Sans_VGE[[#This Row],[ppn_z]]="","",IFERROR(
   IF(_xlfn.XLOOKUP(Final_Sans_VGE[[#This Row],[ppn_z]],tbl_Historique_Final[ppn_z],tbl_Historique_Final[date_modif])=Final_Sans_VGE[[#This Row],[date_modif]],
      "Ancien",
      "Modifié"),
   "Nouveau"))</f>
        <v>#VALUE!</v>
      </c>
      <c r="AD7731" s="1" t="str">
        <f>IFERROR(IF(Final_Sans_VGE[[#This Row],[ppn_z]]="","",IFERROR(
   IF(_xlfn.XLOOKUP(Final_Sans_VGE[[#This Row],[ppn_z]],tbl_Historique_Final[[#This Row],[ppn_z]],tbl_Historique_Final[[#This Row],[date_modif]])=Final_Sans_VGE[[#This Row],[date_modif]],
      "Ancien",
      "Modifié"),
   "Nouveau")),"")</f>
        <v/>
      </c>
    </row>
    <row r="7732" spans="24:30" x14ac:dyDescent="0.25">
      <c r="X7732" s="8" t="e">
        <f>IF(Final_Sans_VGE[[#This Row],[ppn_z]]="","",IFERROR(
   IF(_xlfn.XLOOKUP(Final_Sans_VGE[[#This Row],[ppn_z]],tbl_Historique_Final[ppn_z],tbl_Historique_Final[date_modif])=Final_Sans_VGE[[#This Row],[date_modif]],
      "Ancien",
      "Modifié"),
   "Nouveau"))</f>
        <v>#VALUE!</v>
      </c>
      <c r="AD7732" s="1" t="str">
        <f>IFERROR(IF(Final_Sans_VGE[[#This Row],[ppn_z]]="","",IFERROR(
   IF(_xlfn.XLOOKUP(Final_Sans_VGE[[#This Row],[ppn_z]],tbl_Historique_Final[[#This Row],[ppn_z]],tbl_Historique_Final[[#This Row],[date_modif]])=Final_Sans_VGE[[#This Row],[date_modif]],
      "Ancien",
      "Modifié"),
   "Nouveau")),"")</f>
        <v/>
      </c>
    </row>
    <row r="7733" spans="24:30" x14ac:dyDescent="0.25">
      <c r="X7733" s="8" t="e">
        <f>IF(Final_Sans_VGE[[#This Row],[ppn_z]]="","",IFERROR(
   IF(_xlfn.XLOOKUP(Final_Sans_VGE[[#This Row],[ppn_z]],tbl_Historique_Final[ppn_z],tbl_Historique_Final[date_modif])=Final_Sans_VGE[[#This Row],[date_modif]],
      "Ancien",
      "Modifié"),
   "Nouveau"))</f>
        <v>#VALUE!</v>
      </c>
      <c r="AD7733" s="1" t="str">
        <f>IFERROR(IF(Final_Sans_VGE[[#This Row],[ppn_z]]="","",IFERROR(
   IF(_xlfn.XLOOKUP(Final_Sans_VGE[[#This Row],[ppn_z]],tbl_Historique_Final[[#This Row],[ppn_z]],tbl_Historique_Final[[#This Row],[date_modif]])=Final_Sans_VGE[[#This Row],[date_modif]],
      "Ancien",
      "Modifié"),
   "Nouveau")),"")</f>
        <v/>
      </c>
    </row>
    <row r="7734" spans="24:30" x14ac:dyDescent="0.25">
      <c r="X7734" s="8" t="e">
        <f>IF(Final_Sans_VGE[[#This Row],[ppn_z]]="","",IFERROR(
   IF(_xlfn.XLOOKUP(Final_Sans_VGE[[#This Row],[ppn_z]],tbl_Historique_Final[ppn_z],tbl_Historique_Final[date_modif])=Final_Sans_VGE[[#This Row],[date_modif]],
      "Ancien",
      "Modifié"),
   "Nouveau"))</f>
        <v>#VALUE!</v>
      </c>
      <c r="AD7734" s="1" t="str">
        <f>IFERROR(IF(Final_Sans_VGE[[#This Row],[ppn_z]]="","",IFERROR(
   IF(_xlfn.XLOOKUP(Final_Sans_VGE[[#This Row],[ppn_z]],tbl_Historique_Final[[#This Row],[ppn_z]],tbl_Historique_Final[[#This Row],[date_modif]])=Final_Sans_VGE[[#This Row],[date_modif]],
      "Ancien",
      "Modifié"),
   "Nouveau")),"")</f>
        <v/>
      </c>
    </row>
    <row r="7735" spans="24:30" x14ac:dyDescent="0.25">
      <c r="X7735" s="8" t="e">
        <f>IF(Final_Sans_VGE[[#This Row],[ppn_z]]="","",IFERROR(
   IF(_xlfn.XLOOKUP(Final_Sans_VGE[[#This Row],[ppn_z]],tbl_Historique_Final[ppn_z],tbl_Historique_Final[date_modif])=Final_Sans_VGE[[#This Row],[date_modif]],
      "Ancien",
      "Modifié"),
   "Nouveau"))</f>
        <v>#VALUE!</v>
      </c>
      <c r="AD7735" s="1" t="str">
        <f>IFERROR(IF(Final_Sans_VGE[[#This Row],[ppn_z]]="","",IFERROR(
   IF(_xlfn.XLOOKUP(Final_Sans_VGE[[#This Row],[ppn_z]],tbl_Historique_Final[[#This Row],[ppn_z]],tbl_Historique_Final[[#This Row],[date_modif]])=Final_Sans_VGE[[#This Row],[date_modif]],
      "Ancien",
      "Modifié"),
   "Nouveau")),"")</f>
        <v/>
      </c>
    </row>
    <row r="7736" spans="24:30" x14ac:dyDescent="0.25">
      <c r="X7736" s="8" t="e">
        <f>IF(Final_Sans_VGE[[#This Row],[ppn_z]]="","",IFERROR(
   IF(_xlfn.XLOOKUP(Final_Sans_VGE[[#This Row],[ppn_z]],tbl_Historique_Final[ppn_z],tbl_Historique_Final[date_modif])=Final_Sans_VGE[[#This Row],[date_modif]],
      "Ancien",
      "Modifié"),
   "Nouveau"))</f>
        <v>#VALUE!</v>
      </c>
      <c r="AD7736" s="1" t="str">
        <f>IFERROR(IF(Final_Sans_VGE[[#This Row],[ppn_z]]="","",IFERROR(
   IF(_xlfn.XLOOKUP(Final_Sans_VGE[[#This Row],[ppn_z]],tbl_Historique_Final[[#This Row],[ppn_z]],tbl_Historique_Final[[#This Row],[date_modif]])=Final_Sans_VGE[[#This Row],[date_modif]],
      "Ancien",
      "Modifié"),
   "Nouveau")),"")</f>
        <v/>
      </c>
    </row>
    <row r="7737" spans="24:30" x14ac:dyDescent="0.25">
      <c r="X7737" s="8" t="e">
        <f>IF(Final_Sans_VGE[[#This Row],[ppn_z]]="","",IFERROR(
   IF(_xlfn.XLOOKUP(Final_Sans_VGE[[#This Row],[ppn_z]],tbl_Historique_Final[ppn_z],tbl_Historique_Final[date_modif])=Final_Sans_VGE[[#This Row],[date_modif]],
      "Ancien",
      "Modifié"),
   "Nouveau"))</f>
        <v>#VALUE!</v>
      </c>
      <c r="AD7737" s="1" t="str">
        <f>IFERROR(IF(Final_Sans_VGE[[#This Row],[ppn_z]]="","",IFERROR(
   IF(_xlfn.XLOOKUP(Final_Sans_VGE[[#This Row],[ppn_z]],tbl_Historique_Final[[#This Row],[ppn_z]],tbl_Historique_Final[[#This Row],[date_modif]])=Final_Sans_VGE[[#This Row],[date_modif]],
      "Ancien",
      "Modifié"),
   "Nouveau")),"")</f>
        <v/>
      </c>
    </row>
    <row r="7738" spans="24:30" x14ac:dyDescent="0.25">
      <c r="X7738" s="8" t="e">
        <f>IF(Final_Sans_VGE[[#This Row],[ppn_z]]="","",IFERROR(
   IF(_xlfn.XLOOKUP(Final_Sans_VGE[[#This Row],[ppn_z]],tbl_Historique_Final[ppn_z],tbl_Historique_Final[date_modif])=Final_Sans_VGE[[#This Row],[date_modif]],
      "Ancien",
      "Modifié"),
   "Nouveau"))</f>
        <v>#VALUE!</v>
      </c>
      <c r="AD7738" s="1" t="str">
        <f>IFERROR(IF(Final_Sans_VGE[[#This Row],[ppn_z]]="","",IFERROR(
   IF(_xlfn.XLOOKUP(Final_Sans_VGE[[#This Row],[ppn_z]],tbl_Historique_Final[[#This Row],[ppn_z]],tbl_Historique_Final[[#This Row],[date_modif]])=Final_Sans_VGE[[#This Row],[date_modif]],
      "Ancien",
      "Modifié"),
   "Nouveau")),"")</f>
        <v/>
      </c>
    </row>
    <row r="7739" spans="24:30" x14ac:dyDescent="0.25">
      <c r="X7739" s="8" t="e">
        <f>IF(Final_Sans_VGE[[#This Row],[ppn_z]]="","",IFERROR(
   IF(_xlfn.XLOOKUP(Final_Sans_VGE[[#This Row],[ppn_z]],tbl_Historique_Final[ppn_z],tbl_Historique_Final[date_modif])=Final_Sans_VGE[[#This Row],[date_modif]],
      "Ancien",
      "Modifié"),
   "Nouveau"))</f>
        <v>#VALUE!</v>
      </c>
      <c r="AD7739" s="1" t="str">
        <f>IFERROR(IF(Final_Sans_VGE[[#This Row],[ppn_z]]="","",IFERROR(
   IF(_xlfn.XLOOKUP(Final_Sans_VGE[[#This Row],[ppn_z]],tbl_Historique_Final[[#This Row],[ppn_z]],tbl_Historique_Final[[#This Row],[date_modif]])=Final_Sans_VGE[[#This Row],[date_modif]],
      "Ancien",
      "Modifié"),
   "Nouveau")),"")</f>
        <v/>
      </c>
    </row>
    <row r="7740" spans="24:30" x14ac:dyDescent="0.25">
      <c r="X7740" s="8" t="e">
        <f>IF(Final_Sans_VGE[[#This Row],[ppn_z]]="","",IFERROR(
   IF(_xlfn.XLOOKUP(Final_Sans_VGE[[#This Row],[ppn_z]],tbl_Historique_Final[ppn_z],tbl_Historique_Final[date_modif])=Final_Sans_VGE[[#This Row],[date_modif]],
      "Ancien",
      "Modifié"),
   "Nouveau"))</f>
        <v>#VALUE!</v>
      </c>
      <c r="AD7740" s="1" t="str">
        <f>IFERROR(IF(Final_Sans_VGE[[#This Row],[ppn_z]]="","",IFERROR(
   IF(_xlfn.XLOOKUP(Final_Sans_VGE[[#This Row],[ppn_z]],tbl_Historique_Final[[#This Row],[ppn_z]],tbl_Historique_Final[[#This Row],[date_modif]])=Final_Sans_VGE[[#This Row],[date_modif]],
      "Ancien",
      "Modifié"),
   "Nouveau")),"")</f>
        <v/>
      </c>
    </row>
    <row r="7741" spans="24:30" x14ac:dyDescent="0.25">
      <c r="X7741" s="8" t="e">
        <f>IF(Final_Sans_VGE[[#This Row],[ppn_z]]="","",IFERROR(
   IF(_xlfn.XLOOKUP(Final_Sans_VGE[[#This Row],[ppn_z]],tbl_Historique_Final[ppn_z],tbl_Historique_Final[date_modif])=Final_Sans_VGE[[#This Row],[date_modif]],
      "Ancien",
      "Modifié"),
   "Nouveau"))</f>
        <v>#VALUE!</v>
      </c>
      <c r="AD7741" s="1" t="str">
        <f>IFERROR(IF(Final_Sans_VGE[[#This Row],[ppn_z]]="","",IFERROR(
   IF(_xlfn.XLOOKUP(Final_Sans_VGE[[#This Row],[ppn_z]],tbl_Historique_Final[[#This Row],[ppn_z]],tbl_Historique_Final[[#This Row],[date_modif]])=Final_Sans_VGE[[#This Row],[date_modif]],
      "Ancien",
      "Modifié"),
   "Nouveau")),"")</f>
        <v/>
      </c>
    </row>
    <row r="7742" spans="24:30" x14ac:dyDescent="0.25">
      <c r="X7742" s="8" t="e">
        <f>IF(Final_Sans_VGE[[#This Row],[ppn_z]]="","",IFERROR(
   IF(_xlfn.XLOOKUP(Final_Sans_VGE[[#This Row],[ppn_z]],tbl_Historique_Final[ppn_z],tbl_Historique_Final[date_modif])=Final_Sans_VGE[[#This Row],[date_modif]],
      "Ancien",
      "Modifié"),
   "Nouveau"))</f>
        <v>#VALUE!</v>
      </c>
      <c r="AD7742" s="1" t="str">
        <f>IFERROR(IF(Final_Sans_VGE[[#This Row],[ppn_z]]="","",IFERROR(
   IF(_xlfn.XLOOKUP(Final_Sans_VGE[[#This Row],[ppn_z]],tbl_Historique_Final[[#This Row],[ppn_z]],tbl_Historique_Final[[#This Row],[date_modif]])=Final_Sans_VGE[[#This Row],[date_modif]],
      "Ancien",
      "Modifié"),
   "Nouveau")),"")</f>
        <v/>
      </c>
    </row>
    <row r="7743" spans="24:30" x14ac:dyDescent="0.25">
      <c r="X7743" s="8" t="e">
        <f>IF(Final_Sans_VGE[[#This Row],[ppn_z]]="","",IFERROR(
   IF(_xlfn.XLOOKUP(Final_Sans_VGE[[#This Row],[ppn_z]],tbl_Historique_Final[ppn_z],tbl_Historique_Final[date_modif])=Final_Sans_VGE[[#This Row],[date_modif]],
      "Ancien",
      "Modifié"),
   "Nouveau"))</f>
        <v>#VALUE!</v>
      </c>
      <c r="AD7743" s="1" t="str">
        <f>IFERROR(IF(Final_Sans_VGE[[#This Row],[ppn_z]]="","",IFERROR(
   IF(_xlfn.XLOOKUP(Final_Sans_VGE[[#This Row],[ppn_z]],tbl_Historique_Final[[#This Row],[ppn_z]],tbl_Historique_Final[[#This Row],[date_modif]])=Final_Sans_VGE[[#This Row],[date_modif]],
      "Ancien",
      "Modifié"),
   "Nouveau")),"")</f>
        <v/>
      </c>
    </row>
    <row r="7744" spans="24:30" x14ac:dyDescent="0.25">
      <c r="X7744" s="8" t="e">
        <f>IF(Final_Sans_VGE[[#This Row],[ppn_z]]="","",IFERROR(
   IF(_xlfn.XLOOKUP(Final_Sans_VGE[[#This Row],[ppn_z]],tbl_Historique_Final[ppn_z],tbl_Historique_Final[date_modif])=Final_Sans_VGE[[#This Row],[date_modif]],
      "Ancien",
      "Modifié"),
   "Nouveau"))</f>
        <v>#VALUE!</v>
      </c>
      <c r="AD7744" s="1" t="str">
        <f>IFERROR(IF(Final_Sans_VGE[[#This Row],[ppn_z]]="","",IFERROR(
   IF(_xlfn.XLOOKUP(Final_Sans_VGE[[#This Row],[ppn_z]],tbl_Historique_Final[[#This Row],[ppn_z]],tbl_Historique_Final[[#This Row],[date_modif]])=Final_Sans_VGE[[#This Row],[date_modif]],
      "Ancien",
      "Modifié"),
   "Nouveau")),"")</f>
        <v/>
      </c>
    </row>
    <row r="7745" spans="24:30" x14ac:dyDescent="0.25">
      <c r="X7745" s="8" t="e">
        <f>IF(Final_Sans_VGE[[#This Row],[ppn_z]]="","",IFERROR(
   IF(_xlfn.XLOOKUP(Final_Sans_VGE[[#This Row],[ppn_z]],tbl_Historique_Final[ppn_z],tbl_Historique_Final[date_modif])=Final_Sans_VGE[[#This Row],[date_modif]],
      "Ancien",
      "Modifié"),
   "Nouveau"))</f>
        <v>#VALUE!</v>
      </c>
      <c r="AD7745" s="1" t="str">
        <f>IFERROR(IF(Final_Sans_VGE[[#This Row],[ppn_z]]="","",IFERROR(
   IF(_xlfn.XLOOKUP(Final_Sans_VGE[[#This Row],[ppn_z]],tbl_Historique_Final[[#This Row],[ppn_z]],tbl_Historique_Final[[#This Row],[date_modif]])=Final_Sans_VGE[[#This Row],[date_modif]],
      "Ancien",
      "Modifié"),
   "Nouveau")),"")</f>
        <v/>
      </c>
    </row>
    <row r="7746" spans="24:30" x14ac:dyDescent="0.25">
      <c r="X7746" s="8" t="e">
        <f>IF(Final_Sans_VGE[[#This Row],[ppn_z]]="","",IFERROR(
   IF(_xlfn.XLOOKUP(Final_Sans_VGE[[#This Row],[ppn_z]],tbl_Historique_Final[ppn_z],tbl_Historique_Final[date_modif])=Final_Sans_VGE[[#This Row],[date_modif]],
      "Ancien",
      "Modifié"),
   "Nouveau"))</f>
        <v>#VALUE!</v>
      </c>
      <c r="AD7746" s="1" t="str">
        <f>IFERROR(IF(Final_Sans_VGE[[#This Row],[ppn_z]]="","",IFERROR(
   IF(_xlfn.XLOOKUP(Final_Sans_VGE[[#This Row],[ppn_z]],tbl_Historique_Final[[#This Row],[ppn_z]],tbl_Historique_Final[[#This Row],[date_modif]])=Final_Sans_VGE[[#This Row],[date_modif]],
      "Ancien",
      "Modifié"),
   "Nouveau")),"")</f>
        <v/>
      </c>
    </row>
    <row r="7747" spans="24:30" x14ac:dyDescent="0.25">
      <c r="X7747" s="8" t="e">
        <f>IF(Final_Sans_VGE[[#This Row],[ppn_z]]="","",IFERROR(
   IF(_xlfn.XLOOKUP(Final_Sans_VGE[[#This Row],[ppn_z]],tbl_Historique_Final[ppn_z],tbl_Historique_Final[date_modif])=Final_Sans_VGE[[#This Row],[date_modif]],
      "Ancien",
      "Modifié"),
   "Nouveau"))</f>
        <v>#VALUE!</v>
      </c>
      <c r="AD7747" s="1" t="str">
        <f>IFERROR(IF(Final_Sans_VGE[[#This Row],[ppn_z]]="","",IFERROR(
   IF(_xlfn.XLOOKUP(Final_Sans_VGE[[#This Row],[ppn_z]],tbl_Historique_Final[[#This Row],[ppn_z]],tbl_Historique_Final[[#This Row],[date_modif]])=Final_Sans_VGE[[#This Row],[date_modif]],
      "Ancien",
      "Modifié"),
   "Nouveau")),"")</f>
        <v/>
      </c>
    </row>
    <row r="7748" spans="24:30" x14ac:dyDescent="0.25">
      <c r="X7748" s="8" t="e">
        <f>IF(Final_Sans_VGE[[#This Row],[ppn_z]]="","",IFERROR(
   IF(_xlfn.XLOOKUP(Final_Sans_VGE[[#This Row],[ppn_z]],tbl_Historique_Final[ppn_z],tbl_Historique_Final[date_modif])=Final_Sans_VGE[[#This Row],[date_modif]],
      "Ancien",
      "Modifié"),
   "Nouveau"))</f>
        <v>#VALUE!</v>
      </c>
      <c r="AD7748" s="1" t="str">
        <f>IFERROR(IF(Final_Sans_VGE[[#This Row],[ppn_z]]="","",IFERROR(
   IF(_xlfn.XLOOKUP(Final_Sans_VGE[[#This Row],[ppn_z]],tbl_Historique_Final[[#This Row],[ppn_z]],tbl_Historique_Final[[#This Row],[date_modif]])=Final_Sans_VGE[[#This Row],[date_modif]],
      "Ancien",
      "Modifié"),
   "Nouveau")),"")</f>
        <v/>
      </c>
    </row>
    <row r="7749" spans="24:30" x14ac:dyDescent="0.25">
      <c r="X7749" s="8" t="e">
        <f>IF(Final_Sans_VGE[[#This Row],[ppn_z]]="","",IFERROR(
   IF(_xlfn.XLOOKUP(Final_Sans_VGE[[#This Row],[ppn_z]],tbl_Historique_Final[ppn_z],tbl_Historique_Final[date_modif])=Final_Sans_VGE[[#This Row],[date_modif]],
      "Ancien",
      "Modifié"),
   "Nouveau"))</f>
        <v>#VALUE!</v>
      </c>
      <c r="AD7749" s="1" t="str">
        <f>IFERROR(IF(Final_Sans_VGE[[#This Row],[ppn_z]]="","",IFERROR(
   IF(_xlfn.XLOOKUP(Final_Sans_VGE[[#This Row],[ppn_z]],tbl_Historique_Final[[#This Row],[ppn_z]],tbl_Historique_Final[[#This Row],[date_modif]])=Final_Sans_VGE[[#This Row],[date_modif]],
      "Ancien",
      "Modifié"),
   "Nouveau")),"")</f>
        <v/>
      </c>
    </row>
    <row r="7750" spans="24:30" x14ac:dyDescent="0.25">
      <c r="X7750" s="8" t="e">
        <f>IF(Final_Sans_VGE[[#This Row],[ppn_z]]="","",IFERROR(
   IF(_xlfn.XLOOKUP(Final_Sans_VGE[[#This Row],[ppn_z]],tbl_Historique_Final[ppn_z],tbl_Historique_Final[date_modif])=Final_Sans_VGE[[#This Row],[date_modif]],
      "Ancien",
      "Modifié"),
   "Nouveau"))</f>
        <v>#VALUE!</v>
      </c>
      <c r="AD7750" s="1" t="str">
        <f>IFERROR(IF(Final_Sans_VGE[[#This Row],[ppn_z]]="","",IFERROR(
   IF(_xlfn.XLOOKUP(Final_Sans_VGE[[#This Row],[ppn_z]],tbl_Historique_Final[[#This Row],[ppn_z]],tbl_Historique_Final[[#This Row],[date_modif]])=Final_Sans_VGE[[#This Row],[date_modif]],
      "Ancien",
      "Modifié"),
   "Nouveau")),"")</f>
        <v/>
      </c>
    </row>
    <row r="7751" spans="24:30" x14ac:dyDescent="0.25">
      <c r="X7751" s="8" t="e">
        <f>IF(Final_Sans_VGE[[#This Row],[ppn_z]]="","",IFERROR(
   IF(_xlfn.XLOOKUP(Final_Sans_VGE[[#This Row],[ppn_z]],tbl_Historique_Final[ppn_z],tbl_Historique_Final[date_modif])=Final_Sans_VGE[[#This Row],[date_modif]],
      "Ancien",
      "Modifié"),
   "Nouveau"))</f>
        <v>#VALUE!</v>
      </c>
      <c r="AD7751" s="1" t="str">
        <f>IFERROR(IF(Final_Sans_VGE[[#This Row],[ppn_z]]="","",IFERROR(
   IF(_xlfn.XLOOKUP(Final_Sans_VGE[[#This Row],[ppn_z]],tbl_Historique_Final[[#This Row],[ppn_z]],tbl_Historique_Final[[#This Row],[date_modif]])=Final_Sans_VGE[[#This Row],[date_modif]],
      "Ancien",
      "Modifié"),
   "Nouveau")),"")</f>
        <v/>
      </c>
    </row>
    <row r="7752" spans="24:30" x14ac:dyDescent="0.25">
      <c r="X7752" s="8" t="e">
        <f>IF(Final_Sans_VGE[[#This Row],[ppn_z]]="","",IFERROR(
   IF(_xlfn.XLOOKUP(Final_Sans_VGE[[#This Row],[ppn_z]],tbl_Historique_Final[ppn_z],tbl_Historique_Final[date_modif])=Final_Sans_VGE[[#This Row],[date_modif]],
      "Ancien",
      "Modifié"),
   "Nouveau"))</f>
        <v>#VALUE!</v>
      </c>
      <c r="AD7752" s="1" t="str">
        <f>IFERROR(IF(Final_Sans_VGE[[#This Row],[ppn_z]]="","",IFERROR(
   IF(_xlfn.XLOOKUP(Final_Sans_VGE[[#This Row],[ppn_z]],tbl_Historique_Final[[#This Row],[ppn_z]],tbl_Historique_Final[[#This Row],[date_modif]])=Final_Sans_VGE[[#This Row],[date_modif]],
      "Ancien",
      "Modifié"),
   "Nouveau")),"")</f>
        <v/>
      </c>
    </row>
    <row r="7753" spans="24:30" x14ac:dyDescent="0.25">
      <c r="X7753" s="8" t="e">
        <f>IF(Final_Sans_VGE[[#This Row],[ppn_z]]="","",IFERROR(
   IF(_xlfn.XLOOKUP(Final_Sans_VGE[[#This Row],[ppn_z]],tbl_Historique_Final[ppn_z],tbl_Historique_Final[date_modif])=Final_Sans_VGE[[#This Row],[date_modif]],
      "Ancien",
      "Modifié"),
   "Nouveau"))</f>
        <v>#VALUE!</v>
      </c>
      <c r="AD7753" s="1" t="str">
        <f>IFERROR(IF(Final_Sans_VGE[[#This Row],[ppn_z]]="","",IFERROR(
   IF(_xlfn.XLOOKUP(Final_Sans_VGE[[#This Row],[ppn_z]],tbl_Historique_Final[[#This Row],[ppn_z]],tbl_Historique_Final[[#This Row],[date_modif]])=Final_Sans_VGE[[#This Row],[date_modif]],
      "Ancien",
      "Modifié"),
   "Nouveau")),"")</f>
        <v/>
      </c>
    </row>
    <row r="7754" spans="24:30" x14ac:dyDescent="0.25">
      <c r="X7754" s="8" t="e">
        <f>IF(Final_Sans_VGE[[#This Row],[ppn_z]]="","",IFERROR(
   IF(_xlfn.XLOOKUP(Final_Sans_VGE[[#This Row],[ppn_z]],tbl_Historique_Final[ppn_z],tbl_Historique_Final[date_modif])=Final_Sans_VGE[[#This Row],[date_modif]],
      "Ancien",
      "Modifié"),
   "Nouveau"))</f>
        <v>#VALUE!</v>
      </c>
      <c r="AD7754" s="1" t="str">
        <f>IFERROR(IF(Final_Sans_VGE[[#This Row],[ppn_z]]="","",IFERROR(
   IF(_xlfn.XLOOKUP(Final_Sans_VGE[[#This Row],[ppn_z]],tbl_Historique_Final[[#This Row],[ppn_z]],tbl_Historique_Final[[#This Row],[date_modif]])=Final_Sans_VGE[[#This Row],[date_modif]],
      "Ancien",
      "Modifié"),
   "Nouveau")),"")</f>
        <v/>
      </c>
    </row>
    <row r="7755" spans="24:30" x14ac:dyDescent="0.25">
      <c r="X7755" s="8" t="e">
        <f>IF(Final_Sans_VGE[[#This Row],[ppn_z]]="","",IFERROR(
   IF(_xlfn.XLOOKUP(Final_Sans_VGE[[#This Row],[ppn_z]],tbl_Historique_Final[ppn_z],tbl_Historique_Final[date_modif])=Final_Sans_VGE[[#This Row],[date_modif]],
      "Ancien",
      "Modifié"),
   "Nouveau"))</f>
        <v>#VALUE!</v>
      </c>
      <c r="AD7755" s="1" t="str">
        <f>IFERROR(IF(Final_Sans_VGE[[#This Row],[ppn_z]]="","",IFERROR(
   IF(_xlfn.XLOOKUP(Final_Sans_VGE[[#This Row],[ppn_z]],tbl_Historique_Final[[#This Row],[ppn_z]],tbl_Historique_Final[[#This Row],[date_modif]])=Final_Sans_VGE[[#This Row],[date_modif]],
      "Ancien",
      "Modifié"),
   "Nouveau")),"")</f>
        <v/>
      </c>
    </row>
    <row r="7756" spans="24:30" x14ac:dyDescent="0.25">
      <c r="X7756" s="8" t="e">
        <f>IF(Final_Sans_VGE[[#This Row],[ppn_z]]="","",IFERROR(
   IF(_xlfn.XLOOKUP(Final_Sans_VGE[[#This Row],[ppn_z]],tbl_Historique_Final[ppn_z],tbl_Historique_Final[date_modif])=Final_Sans_VGE[[#This Row],[date_modif]],
      "Ancien",
      "Modifié"),
   "Nouveau"))</f>
        <v>#VALUE!</v>
      </c>
      <c r="AD7756" s="1" t="str">
        <f>IFERROR(IF(Final_Sans_VGE[[#This Row],[ppn_z]]="","",IFERROR(
   IF(_xlfn.XLOOKUP(Final_Sans_VGE[[#This Row],[ppn_z]],tbl_Historique_Final[[#This Row],[ppn_z]],tbl_Historique_Final[[#This Row],[date_modif]])=Final_Sans_VGE[[#This Row],[date_modif]],
      "Ancien",
      "Modifié"),
   "Nouveau")),"")</f>
        <v/>
      </c>
    </row>
    <row r="7757" spans="24:30" x14ac:dyDescent="0.25">
      <c r="X7757" s="8" t="e">
        <f>IF(Final_Sans_VGE[[#This Row],[ppn_z]]="","",IFERROR(
   IF(_xlfn.XLOOKUP(Final_Sans_VGE[[#This Row],[ppn_z]],tbl_Historique_Final[ppn_z],tbl_Historique_Final[date_modif])=Final_Sans_VGE[[#This Row],[date_modif]],
      "Ancien",
      "Modifié"),
   "Nouveau"))</f>
        <v>#VALUE!</v>
      </c>
      <c r="AD7757" s="1" t="str">
        <f>IFERROR(IF(Final_Sans_VGE[[#This Row],[ppn_z]]="","",IFERROR(
   IF(_xlfn.XLOOKUP(Final_Sans_VGE[[#This Row],[ppn_z]],tbl_Historique_Final[[#This Row],[ppn_z]],tbl_Historique_Final[[#This Row],[date_modif]])=Final_Sans_VGE[[#This Row],[date_modif]],
      "Ancien",
      "Modifié"),
   "Nouveau")),"")</f>
        <v/>
      </c>
    </row>
    <row r="7758" spans="24:30" x14ac:dyDescent="0.25">
      <c r="X7758" s="8" t="e">
        <f>IF(Final_Sans_VGE[[#This Row],[ppn_z]]="","",IFERROR(
   IF(_xlfn.XLOOKUP(Final_Sans_VGE[[#This Row],[ppn_z]],tbl_Historique_Final[ppn_z],tbl_Historique_Final[date_modif])=Final_Sans_VGE[[#This Row],[date_modif]],
      "Ancien",
      "Modifié"),
   "Nouveau"))</f>
        <v>#VALUE!</v>
      </c>
      <c r="AD7758" s="1" t="str">
        <f>IFERROR(IF(Final_Sans_VGE[[#This Row],[ppn_z]]="","",IFERROR(
   IF(_xlfn.XLOOKUP(Final_Sans_VGE[[#This Row],[ppn_z]],tbl_Historique_Final[[#This Row],[ppn_z]],tbl_Historique_Final[[#This Row],[date_modif]])=Final_Sans_VGE[[#This Row],[date_modif]],
      "Ancien",
      "Modifié"),
   "Nouveau")),"")</f>
        <v/>
      </c>
    </row>
    <row r="7759" spans="24:30" x14ac:dyDescent="0.25">
      <c r="X7759" s="8" t="e">
        <f>IF(Final_Sans_VGE[[#This Row],[ppn_z]]="","",IFERROR(
   IF(_xlfn.XLOOKUP(Final_Sans_VGE[[#This Row],[ppn_z]],tbl_Historique_Final[ppn_z],tbl_Historique_Final[date_modif])=Final_Sans_VGE[[#This Row],[date_modif]],
      "Ancien",
      "Modifié"),
   "Nouveau"))</f>
        <v>#VALUE!</v>
      </c>
      <c r="AD7759" s="1" t="str">
        <f>IFERROR(IF(Final_Sans_VGE[[#This Row],[ppn_z]]="","",IFERROR(
   IF(_xlfn.XLOOKUP(Final_Sans_VGE[[#This Row],[ppn_z]],tbl_Historique_Final[[#This Row],[ppn_z]],tbl_Historique_Final[[#This Row],[date_modif]])=Final_Sans_VGE[[#This Row],[date_modif]],
      "Ancien",
      "Modifié"),
   "Nouveau")),"")</f>
        <v/>
      </c>
    </row>
    <row r="7760" spans="24:30" x14ac:dyDescent="0.25">
      <c r="X7760" s="8" t="e">
        <f>IF(Final_Sans_VGE[[#This Row],[ppn_z]]="","",IFERROR(
   IF(_xlfn.XLOOKUP(Final_Sans_VGE[[#This Row],[ppn_z]],tbl_Historique_Final[ppn_z],tbl_Historique_Final[date_modif])=Final_Sans_VGE[[#This Row],[date_modif]],
      "Ancien",
      "Modifié"),
   "Nouveau"))</f>
        <v>#VALUE!</v>
      </c>
      <c r="AD7760" s="1" t="str">
        <f>IFERROR(IF(Final_Sans_VGE[[#This Row],[ppn_z]]="","",IFERROR(
   IF(_xlfn.XLOOKUP(Final_Sans_VGE[[#This Row],[ppn_z]],tbl_Historique_Final[[#This Row],[ppn_z]],tbl_Historique_Final[[#This Row],[date_modif]])=Final_Sans_VGE[[#This Row],[date_modif]],
      "Ancien",
      "Modifié"),
   "Nouveau")),"")</f>
        <v/>
      </c>
    </row>
    <row r="7761" spans="24:30" x14ac:dyDescent="0.25">
      <c r="X7761" s="8" t="e">
        <f>IF(Final_Sans_VGE[[#This Row],[ppn_z]]="","",IFERROR(
   IF(_xlfn.XLOOKUP(Final_Sans_VGE[[#This Row],[ppn_z]],tbl_Historique_Final[ppn_z],tbl_Historique_Final[date_modif])=Final_Sans_VGE[[#This Row],[date_modif]],
      "Ancien",
      "Modifié"),
   "Nouveau"))</f>
        <v>#VALUE!</v>
      </c>
      <c r="AD7761" s="1" t="str">
        <f>IFERROR(IF(Final_Sans_VGE[[#This Row],[ppn_z]]="","",IFERROR(
   IF(_xlfn.XLOOKUP(Final_Sans_VGE[[#This Row],[ppn_z]],tbl_Historique_Final[[#This Row],[ppn_z]],tbl_Historique_Final[[#This Row],[date_modif]])=Final_Sans_VGE[[#This Row],[date_modif]],
      "Ancien",
      "Modifié"),
   "Nouveau")),"")</f>
        <v/>
      </c>
    </row>
    <row r="7762" spans="24:30" x14ac:dyDescent="0.25">
      <c r="X7762" s="8" t="e">
        <f>IF(Final_Sans_VGE[[#This Row],[ppn_z]]="","",IFERROR(
   IF(_xlfn.XLOOKUP(Final_Sans_VGE[[#This Row],[ppn_z]],tbl_Historique_Final[ppn_z],tbl_Historique_Final[date_modif])=Final_Sans_VGE[[#This Row],[date_modif]],
      "Ancien",
      "Modifié"),
   "Nouveau"))</f>
        <v>#VALUE!</v>
      </c>
      <c r="AD7762" s="1" t="str">
        <f>IFERROR(IF(Final_Sans_VGE[[#This Row],[ppn_z]]="","",IFERROR(
   IF(_xlfn.XLOOKUP(Final_Sans_VGE[[#This Row],[ppn_z]],tbl_Historique_Final[[#This Row],[ppn_z]],tbl_Historique_Final[[#This Row],[date_modif]])=Final_Sans_VGE[[#This Row],[date_modif]],
      "Ancien",
      "Modifié"),
   "Nouveau")),"")</f>
        <v/>
      </c>
    </row>
    <row r="7763" spans="24:30" x14ac:dyDescent="0.25">
      <c r="X7763" s="8" t="e">
        <f>IF(Final_Sans_VGE[[#This Row],[ppn_z]]="","",IFERROR(
   IF(_xlfn.XLOOKUP(Final_Sans_VGE[[#This Row],[ppn_z]],tbl_Historique_Final[ppn_z],tbl_Historique_Final[date_modif])=Final_Sans_VGE[[#This Row],[date_modif]],
      "Ancien",
      "Modifié"),
   "Nouveau"))</f>
        <v>#VALUE!</v>
      </c>
      <c r="AD7763" s="1" t="str">
        <f>IFERROR(IF(Final_Sans_VGE[[#This Row],[ppn_z]]="","",IFERROR(
   IF(_xlfn.XLOOKUP(Final_Sans_VGE[[#This Row],[ppn_z]],tbl_Historique_Final[[#This Row],[ppn_z]],tbl_Historique_Final[[#This Row],[date_modif]])=Final_Sans_VGE[[#This Row],[date_modif]],
      "Ancien",
      "Modifié"),
   "Nouveau")),"")</f>
        <v/>
      </c>
    </row>
    <row r="7764" spans="24:30" x14ac:dyDescent="0.25">
      <c r="X7764" s="8" t="e">
        <f>IF(Final_Sans_VGE[[#This Row],[ppn_z]]="","",IFERROR(
   IF(_xlfn.XLOOKUP(Final_Sans_VGE[[#This Row],[ppn_z]],tbl_Historique_Final[ppn_z],tbl_Historique_Final[date_modif])=Final_Sans_VGE[[#This Row],[date_modif]],
      "Ancien",
      "Modifié"),
   "Nouveau"))</f>
        <v>#VALUE!</v>
      </c>
      <c r="AD7764" s="1" t="str">
        <f>IFERROR(IF(Final_Sans_VGE[[#This Row],[ppn_z]]="","",IFERROR(
   IF(_xlfn.XLOOKUP(Final_Sans_VGE[[#This Row],[ppn_z]],tbl_Historique_Final[[#This Row],[ppn_z]],tbl_Historique_Final[[#This Row],[date_modif]])=Final_Sans_VGE[[#This Row],[date_modif]],
      "Ancien",
      "Modifié"),
   "Nouveau")),"")</f>
        <v/>
      </c>
    </row>
    <row r="7765" spans="24:30" x14ac:dyDescent="0.25">
      <c r="X7765" s="8" t="e">
        <f>IF(Final_Sans_VGE[[#This Row],[ppn_z]]="","",IFERROR(
   IF(_xlfn.XLOOKUP(Final_Sans_VGE[[#This Row],[ppn_z]],tbl_Historique_Final[ppn_z],tbl_Historique_Final[date_modif])=Final_Sans_VGE[[#This Row],[date_modif]],
      "Ancien",
      "Modifié"),
   "Nouveau"))</f>
        <v>#VALUE!</v>
      </c>
      <c r="AD7765" s="1" t="str">
        <f>IFERROR(IF(Final_Sans_VGE[[#This Row],[ppn_z]]="","",IFERROR(
   IF(_xlfn.XLOOKUP(Final_Sans_VGE[[#This Row],[ppn_z]],tbl_Historique_Final[[#This Row],[ppn_z]],tbl_Historique_Final[[#This Row],[date_modif]])=Final_Sans_VGE[[#This Row],[date_modif]],
      "Ancien",
      "Modifié"),
   "Nouveau")),"")</f>
        <v/>
      </c>
    </row>
    <row r="7766" spans="24:30" x14ac:dyDescent="0.25">
      <c r="X7766" s="8" t="e">
        <f>IF(Final_Sans_VGE[[#This Row],[ppn_z]]="","",IFERROR(
   IF(_xlfn.XLOOKUP(Final_Sans_VGE[[#This Row],[ppn_z]],tbl_Historique_Final[ppn_z],tbl_Historique_Final[date_modif])=Final_Sans_VGE[[#This Row],[date_modif]],
      "Ancien",
      "Modifié"),
   "Nouveau"))</f>
        <v>#VALUE!</v>
      </c>
      <c r="AD7766" s="1" t="str">
        <f>IFERROR(IF(Final_Sans_VGE[[#This Row],[ppn_z]]="","",IFERROR(
   IF(_xlfn.XLOOKUP(Final_Sans_VGE[[#This Row],[ppn_z]],tbl_Historique_Final[[#This Row],[ppn_z]],tbl_Historique_Final[[#This Row],[date_modif]])=Final_Sans_VGE[[#This Row],[date_modif]],
      "Ancien",
      "Modifié"),
   "Nouveau")),"")</f>
        <v/>
      </c>
    </row>
    <row r="7767" spans="24:30" x14ac:dyDescent="0.25">
      <c r="X7767" s="8" t="e">
        <f>IF(Final_Sans_VGE[[#This Row],[ppn_z]]="","",IFERROR(
   IF(_xlfn.XLOOKUP(Final_Sans_VGE[[#This Row],[ppn_z]],tbl_Historique_Final[ppn_z],tbl_Historique_Final[date_modif])=Final_Sans_VGE[[#This Row],[date_modif]],
      "Ancien",
      "Modifié"),
   "Nouveau"))</f>
        <v>#VALUE!</v>
      </c>
      <c r="AD7767" s="1" t="str">
        <f>IFERROR(IF(Final_Sans_VGE[[#This Row],[ppn_z]]="","",IFERROR(
   IF(_xlfn.XLOOKUP(Final_Sans_VGE[[#This Row],[ppn_z]],tbl_Historique_Final[[#This Row],[ppn_z]],tbl_Historique_Final[[#This Row],[date_modif]])=Final_Sans_VGE[[#This Row],[date_modif]],
      "Ancien",
      "Modifié"),
   "Nouveau")),"")</f>
        <v/>
      </c>
    </row>
    <row r="7768" spans="24:30" x14ac:dyDescent="0.25">
      <c r="X7768" s="8" t="e">
        <f>IF(Final_Sans_VGE[[#This Row],[ppn_z]]="","",IFERROR(
   IF(_xlfn.XLOOKUP(Final_Sans_VGE[[#This Row],[ppn_z]],tbl_Historique_Final[ppn_z],tbl_Historique_Final[date_modif])=Final_Sans_VGE[[#This Row],[date_modif]],
      "Ancien",
      "Modifié"),
   "Nouveau"))</f>
        <v>#VALUE!</v>
      </c>
      <c r="AD7768" s="1" t="str">
        <f>IFERROR(IF(Final_Sans_VGE[[#This Row],[ppn_z]]="","",IFERROR(
   IF(_xlfn.XLOOKUP(Final_Sans_VGE[[#This Row],[ppn_z]],tbl_Historique_Final[[#This Row],[ppn_z]],tbl_Historique_Final[[#This Row],[date_modif]])=Final_Sans_VGE[[#This Row],[date_modif]],
      "Ancien",
      "Modifié"),
   "Nouveau")),"")</f>
        <v/>
      </c>
    </row>
    <row r="7769" spans="24:30" x14ac:dyDescent="0.25">
      <c r="X7769" s="8" t="e">
        <f>IF(Final_Sans_VGE[[#This Row],[ppn_z]]="","",IFERROR(
   IF(_xlfn.XLOOKUP(Final_Sans_VGE[[#This Row],[ppn_z]],tbl_Historique_Final[ppn_z],tbl_Historique_Final[date_modif])=Final_Sans_VGE[[#This Row],[date_modif]],
      "Ancien",
      "Modifié"),
   "Nouveau"))</f>
        <v>#VALUE!</v>
      </c>
      <c r="AD7769" s="1" t="str">
        <f>IFERROR(IF(Final_Sans_VGE[[#This Row],[ppn_z]]="","",IFERROR(
   IF(_xlfn.XLOOKUP(Final_Sans_VGE[[#This Row],[ppn_z]],tbl_Historique_Final[[#This Row],[ppn_z]],tbl_Historique_Final[[#This Row],[date_modif]])=Final_Sans_VGE[[#This Row],[date_modif]],
      "Ancien",
      "Modifié"),
   "Nouveau")),"")</f>
        <v/>
      </c>
    </row>
    <row r="7770" spans="24:30" x14ac:dyDescent="0.25">
      <c r="X7770" s="8" t="e">
        <f>IF(Final_Sans_VGE[[#This Row],[ppn_z]]="","",IFERROR(
   IF(_xlfn.XLOOKUP(Final_Sans_VGE[[#This Row],[ppn_z]],tbl_Historique_Final[ppn_z],tbl_Historique_Final[date_modif])=Final_Sans_VGE[[#This Row],[date_modif]],
      "Ancien",
      "Modifié"),
   "Nouveau"))</f>
        <v>#VALUE!</v>
      </c>
      <c r="AD7770" s="1" t="str">
        <f>IFERROR(IF(Final_Sans_VGE[[#This Row],[ppn_z]]="","",IFERROR(
   IF(_xlfn.XLOOKUP(Final_Sans_VGE[[#This Row],[ppn_z]],tbl_Historique_Final[[#This Row],[ppn_z]],tbl_Historique_Final[[#This Row],[date_modif]])=Final_Sans_VGE[[#This Row],[date_modif]],
      "Ancien",
      "Modifié"),
   "Nouveau")),"")</f>
        <v/>
      </c>
    </row>
    <row r="7771" spans="24:30" x14ac:dyDescent="0.25">
      <c r="X7771" s="8" t="e">
        <f>IF(Final_Sans_VGE[[#This Row],[ppn_z]]="","",IFERROR(
   IF(_xlfn.XLOOKUP(Final_Sans_VGE[[#This Row],[ppn_z]],tbl_Historique_Final[ppn_z],tbl_Historique_Final[date_modif])=Final_Sans_VGE[[#This Row],[date_modif]],
      "Ancien",
      "Modifié"),
   "Nouveau"))</f>
        <v>#VALUE!</v>
      </c>
      <c r="AD7771" s="1" t="str">
        <f>IFERROR(IF(Final_Sans_VGE[[#This Row],[ppn_z]]="","",IFERROR(
   IF(_xlfn.XLOOKUP(Final_Sans_VGE[[#This Row],[ppn_z]],tbl_Historique_Final[[#This Row],[ppn_z]],tbl_Historique_Final[[#This Row],[date_modif]])=Final_Sans_VGE[[#This Row],[date_modif]],
      "Ancien",
      "Modifié"),
   "Nouveau")),"")</f>
        <v/>
      </c>
    </row>
    <row r="7772" spans="24:30" x14ac:dyDescent="0.25">
      <c r="X7772" s="8" t="e">
        <f>IF(Final_Sans_VGE[[#This Row],[ppn_z]]="","",IFERROR(
   IF(_xlfn.XLOOKUP(Final_Sans_VGE[[#This Row],[ppn_z]],tbl_Historique_Final[ppn_z],tbl_Historique_Final[date_modif])=Final_Sans_VGE[[#This Row],[date_modif]],
      "Ancien",
      "Modifié"),
   "Nouveau"))</f>
        <v>#VALUE!</v>
      </c>
      <c r="AD7772" s="1" t="str">
        <f>IFERROR(IF(Final_Sans_VGE[[#This Row],[ppn_z]]="","",IFERROR(
   IF(_xlfn.XLOOKUP(Final_Sans_VGE[[#This Row],[ppn_z]],tbl_Historique_Final[[#This Row],[ppn_z]],tbl_Historique_Final[[#This Row],[date_modif]])=Final_Sans_VGE[[#This Row],[date_modif]],
      "Ancien",
      "Modifié"),
   "Nouveau")),"")</f>
        <v/>
      </c>
    </row>
    <row r="7773" spans="24:30" x14ac:dyDescent="0.25">
      <c r="X7773" s="8" t="e">
        <f>IF(Final_Sans_VGE[[#This Row],[ppn_z]]="","",IFERROR(
   IF(_xlfn.XLOOKUP(Final_Sans_VGE[[#This Row],[ppn_z]],tbl_Historique_Final[ppn_z],tbl_Historique_Final[date_modif])=Final_Sans_VGE[[#This Row],[date_modif]],
      "Ancien",
      "Modifié"),
   "Nouveau"))</f>
        <v>#VALUE!</v>
      </c>
      <c r="AD7773" s="1" t="str">
        <f>IFERROR(IF(Final_Sans_VGE[[#This Row],[ppn_z]]="","",IFERROR(
   IF(_xlfn.XLOOKUP(Final_Sans_VGE[[#This Row],[ppn_z]],tbl_Historique_Final[[#This Row],[ppn_z]],tbl_Historique_Final[[#This Row],[date_modif]])=Final_Sans_VGE[[#This Row],[date_modif]],
      "Ancien",
      "Modifié"),
   "Nouveau")),"")</f>
        <v/>
      </c>
    </row>
    <row r="7774" spans="24:30" x14ac:dyDescent="0.25">
      <c r="X7774" s="8" t="e">
        <f>IF(Final_Sans_VGE[[#This Row],[ppn_z]]="","",IFERROR(
   IF(_xlfn.XLOOKUP(Final_Sans_VGE[[#This Row],[ppn_z]],tbl_Historique_Final[ppn_z],tbl_Historique_Final[date_modif])=Final_Sans_VGE[[#This Row],[date_modif]],
      "Ancien",
      "Modifié"),
   "Nouveau"))</f>
        <v>#VALUE!</v>
      </c>
      <c r="AD7774" s="1" t="str">
        <f>IFERROR(IF(Final_Sans_VGE[[#This Row],[ppn_z]]="","",IFERROR(
   IF(_xlfn.XLOOKUP(Final_Sans_VGE[[#This Row],[ppn_z]],tbl_Historique_Final[[#This Row],[ppn_z]],tbl_Historique_Final[[#This Row],[date_modif]])=Final_Sans_VGE[[#This Row],[date_modif]],
      "Ancien",
      "Modifié"),
   "Nouveau")),"")</f>
        <v/>
      </c>
    </row>
    <row r="7775" spans="24:30" x14ac:dyDescent="0.25">
      <c r="X7775" s="8" t="e">
        <f>IF(Final_Sans_VGE[[#This Row],[ppn_z]]="","",IFERROR(
   IF(_xlfn.XLOOKUP(Final_Sans_VGE[[#This Row],[ppn_z]],tbl_Historique_Final[ppn_z],tbl_Historique_Final[date_modif])=Final_Sans_VGE[[#This Row],[date_modif]],
      "Ancien",
      "Modifié"),
   "Nouveau"))</f>
        <v>#VALUE!</v>
      </c>
      <c r="AD7775" s="1" t="str">
        <f>IFERROR(IF(Final_Sans_VGE[[#This Row],[ppn_z]]="","",IFERROR(
   IF(_xlfn.XLOOKUP(Final_Sans_VGE[[#This Row],[ppn_z]],tbl_Historique_Final[[#This Row],[ppn_z]],tbl_Historique_Final[[#This Row],[date_modif]])=Final_Sans_VGE[[#This Row],[date_modif]],
      "Ancien",
      "Modifié"),
   "Nouveau")),"")</f>
        <v/>
      </c>
    </row>
    <row r="7776" spans="24:30" x14ac:dyDescent="0.25">
      <c r="X7776" s="8" t="e">
        <f>IF(Final_Sans_VGE[[#This Row],[ppn_z]]="","",IFERROR(
   IF(_xlfn.XLOOKUP(Final_Sans_VGE[[#This Row],[ppn_z]],tbl_Historique_Final[ppn_z],tbl_Historique_Final[date_modif])=Final_Sans_VGE[[#This Row],[date_modif]],
      "Ancien",
      "Modifié"),
   "Nouveau"))</f>
        <v>#VALUE!</v>
      </c>
      <c r="AD7776" s="1" t="str">
        <f>IFERROR(IF(Final_Sans_VGE[[#This Row],[ppn_z]]="","",IFERROR(
   IF(_xlfn.XLOOKUP(Final_Sans_VGE[[#This Row],[ppn_z]],tbl_Historique_Final[[#This Row],[ppn_z]],tbl_Historique_Final[[#This Row],[date_modif]])=Final_Sans_VGE[[#This Row],[date_modif]],
      "Ancien",
      "Modifié"),
   "Nouveau")),"")</f>
        <v/>
      </c>
    </row>
    <row r="7777" spans="24:30" x14ac:dyDescent="0.25">
      <c r="X7777" s="8" t="e">
        <f>IF(Final_Sans_VGE[[#This Row],[ppn_z]]="","",IFERROR(
   IF(_xlfn.XLOOKUP(Final_Sans_VGE[[#This Row],[ppn_z]],tbl_Historique_Final[ppn_z],tbl_Historique_Final[date_modif])=Final_Sans_VGE[[#This Row],[date_modif]],
      "Ancien",
      "Modifié"),
   "Nouveau"))</f>
        <v>#VALUE!</v>
      </c>
      <c r="AD7777" s="1" t="str">
        <f>IFERROR(IF(Final_Sans_VGE[[#This Row],[ppn_z]]="","",IFERROR(
   IF(_xlfn.XLOOKUP(Final_Sans_VGE[[#This Row],[ppn_z]],tbl_Historique_Final[[#This Row],[ppn_z]],tbl_Historique_Final[[#This Row],[date_modif]])=Final_Sans_VGE[[#This Row],[date_modif]],
      "Ancien",
      "Modifié"),
   "Nouveau")),"")</f>
        <v/>
      </c>
    </row>
    <row r="7778" spans="24:30" x14ac:dyDescent="0.25">
      <c r="X7778" s="8" t="e">
        <f>IF(Final_Sans_VGE[[#This Row],[ppn_z]]="","",IFERROR(
   IF(_xlfn.XLOOKUP(Final_Sans_VGE[[#This Row],[ppn_z]],tbl_Historique_Final[ppn_z],tbl_Historique_Final[date_modif])=Final_Sans_VGE[[#This Row],[date_modif]],
      "Ancien",
      "Modifié"),
   "Nouveau"))</f>
        <v>#VALUE!</v>
      </c>
      <c r="AD7778" s="1" t="str">
        <f>IFERROR(IF(Final_Sans_VGE[[#This Row],[ppn_z]]="","",IFERROR(
   IF(_xlfn.XLOOKUP(Final_Sans_VGE[[#This Row],[ppn_z]],tbl_Historique_Final[[#This Row],[ppn_z]],tbl_Historique_Final[[#This Row],[date_modif]])=Final_Sans_VGE[[#This Row],[date_modif]],
      "Ancien",
      "Modifié"),
   "Nouveau")),"")</f>
        <v/>
      </c>
    </row>
    <row r="7779" spans="24:30" x14ac:dyDescent="0.25">
      <c r="X7779" s="8" t="e">
        <f>IF(Final_Sans_VGE[[#This Row],[ppn_z]]="","",IFERROR(
   IF(_xlfn.XLOOKUP(Final_Sans_VGE[[#This Row],[ppn_z]],tbl_Historique_Final[ppn_z],tbl_Historique_Final[date_modif])=Final_Sans_VGE[[#This Row],[date_modif]],
      "Ancien",
      "Modifié"),
   "Nouveau"))</f>
        <v>#VALUE!</v>
      </c>
      <c r="AD7779" s="1" t="str">
        <f>IFERROR(IF(Final_Sans_VGE[[#This Row],[ppn_z]]="","",IFERROR(
   IF(_xlfn.XLOOKUP(Final_Sans_VGE[[#This Row],[ppn_z]],tbl_Historique_Final[[#This Row],[ppn_z]],tbl_Historique_Final[[#This Row],[date_modif]])=Final_Sans_VGE[[#This Row],[date_modif]],
      "Ancien",
      "Modifié"),
   "Nouveau")),"")</f>
        <v/>
      </c>
    </row>
    <row r="7780" spans="24:30" x14ac:dyDescent="0.25">
      <c r="X7780" s="8" t="e">
        <f>IF(Final_Sans_VGE[[#This Row],[ppn_z]]="","",IFERROR(
   IF(_xlfn.XLOOKUP(Final_Sans_VGE[[#This Row],[ppn_z]],tbl_Historique_Final[ppn_z],tbl_Historique_Final[date_modif])=Final_Sans_VGE[[#This Row],[date_modif]],
      "Ancien",
      "Modifié"),
   "Nouveau"))</f>
        <v>#VALUE!</v>
      </c>
      <c r="AD7780" s="1" t="str">
        <f>IFERROR(IF(Final_Sans_VGE[[#This Row],[ppn_z]]="","",IFERROR(
   IF(_xlfn.XLOOKUP(Final_Sans_VGE[[#This Row],[ppn_z]],tbl_Historique_Final[[#This Row],[ppn_z]],tbl_Historique_Final[[#This Row],[date_modif]])=Final_Sans_VGE[[#This Row],[date_modif]],
      "Ancien",
      "Modifié"),
   "Nouveau")),"")</f>
        <v/>
      </c>
    </row>
    <row r="7781" spans="24:30" x14ac:dyDescent="0.25">
      <c r="X7781" s="8" t="e">
        <f>IF(Final_Sans_VGE[[#This Row],[ppn_z]]="","",IFERROR(
   IF(_xlfn.XLOOKUP(Final_Sans_VGE[[#This Row],[ppn_z]],tbl_Historique_Final[ppn_z],tbl_Historique_Final[date_modif])=Final_Sans_VGE[[#This Row],[date_modif]],
      "Ancien",
      "Modifié"),
   "Nouveau"))</f>
        <v>#VALUE!</v>
      </c>
      <c r="AD7781" s="1" t="str">
        <f>IFERROR(IF(Final_Sans_VGE[[#This Row],[ppn_z]]="","",IFERROR(
   IF(_xlfn.XLOOKUP(Final_Sans_VGE[[#This Row],[ppn_z]],tbl_Historique_Final[[#This Row],[ppn_z]],tbl_Historique_Final[[#This Row],[date_modif]])=Final_Sans_VGE[[#This Row],[date_modif]],
      "Ancien",
      "Modifié"),
   "Nouveau")),"")</f>
        <v/>
      </c>
    </row>
    <row r="7782" spans="24:30" x14ac:dyDescent="0.25">
      <c r="X7782" s="8" t="e">
        <f>IF(Final_Sans_VGE[[#This Row],[ppn_z]]="","",IFERROR(
   IF(_xlfn.XLOOKUP(Final_Sans_VGE[[#This Row],[ppn_z]],tbl_Historique_Final[ppn_z],tbl_Historique_Final[date_modif])=Final_Sans_VGE[[#This Row],[date_modif]],
      "Ancien",
      "Modifié"),
   "Nouveau"))</f>
        <v>#VALUE!</v>
      </c>
      <c r="AD7782" s="1" t="str">
        <f>IFERROR(IF(Final_Sans_VGE[[#This Row],[ppn_z]]="","",IFERROR(
   IF(_xlfn.XLOOKUP(Final_Sans_VGE[[#This Row],[ppn_z]],tbl_Historique_Final[[#This Row],[ppn_z]],tbl_Historique_Final[[#This Row],[date_modif]])=Final_Sans_VGE[[#This Row],[date_modif]],
      "Ancien",
      "Modifié"),
   "Nouveau")),"")</f>
        <v/>
      </c>
    </row>
    <row r="7783" spans="24:30" x14ac:dyDescent="0.25">
      <c r="X7783" s="8" t="e">
        <f>IF(Final_Sans_VGE[[#This Row],[ppn_z]]="","",IFERROR(
   IF(_xlfn.XLOOKUP(Final_Sans_VGE[[#This Row],[ppn_z]],tbl_Historique_Final[ppn_z],tbl_Historique_Final[date_modif])=Final_Sans_VGE[[#This Row],[date_modif]],
      "Ancien",
      "Modifié"),
   "Nouveau"))</f>
        <v>#VALUE!</v>
      </c>
      <c r="AD7783" s="1" t="str">
        <f>IFERROR(IF(Final_Sans_VGE[[#This Row],[ppn_z]]="","",IFERROR(
   IF(_xlfn.XLOOKUP(Final_Sans_VGE[[#This Row],[ppn_z]],tbl_Historique_Final[[#This Row],[ppn_z]],tbl_Historique_Final[[#This Row],[date_modif]])=Final_Sans_VGE[[#This Row],[date_modif]],
      "Ancien",
      "Modifié"),
   "Nouveau")),"")</f>
        <v/>
      </c>
    </row>
    <row r="7784" spans="24:30" x14ac:dyDescent="0.25">
      <c r="X7784" s="8" t="e">
        <f>IF(Final_Sans_VGE[[#This Row],[ppn_z]]="","",IFERROR(
   IF(_xlfn.XLOOKUP(Final_Sans_VGE[[#This Row],[ppn_z]],tbl_Historique_Final[ppn_z],tbl_Historique_Final[date_modif])=Final_Sans_VGE[[#This Row],[date_modif]],
      "Ancien",
      "Modifié"),
   "Nouveau"))</f>
        <v>#VALUE!</v>
      </c>
      <c r="AD7784" s="1" t="str">
        <f>IFERROR(IF(Final_Sans_VGE[[#This Row],[ppn_z]]="","",IFERROR(
   IF(_xlfn.XLOOKUP(Final_Sans_VGE[[#This Row],[ppn_z]],tbl_Historique_Final[[#This Row],[ppn_z]],tbl_Historique_Final[[#This Row],[date_modif]])=Final_Sans_VGE[[#This Row],[date_modif]],
      "Ancien",
      "Modifié"),
   "Nouveau")),"")</f>
        <v/>
      </c>
    </row>
    <row r="7785" spans="24:30" x14ac:dyDescent="0.25">
      <c r="X7785" s="8" t="e">
        <f>IF(Final_Sans_VGE[[#This Row],[ppn_z]]="","",IFERROR(
   IF(_xlfn.XLOOKUP(Final_Sans_VGE[[#This Row],[ppn_z]],tbl_Historique_Final[ppn_z],tbl_Historique_Final[date_modif])=Final_Sans_VGE[[#This Row],[date_modif]],
      "Ancien",
      "Modifié"),
   "Nouveau"))</f>
        <v>#VALUE!</v>
      </c>
      <c r="AD7785" s="1" t="str">
        <f>IFERROR(IF(Final_Sans_VGE[[#This Row],[ppn_z]]="","",IFERROR(
   IF(_xlfn.XLOOKUP(Final_Sans_VGE[[#This Row],[ppn_z]],tbl_Historique_Final[[#This Row],[ppn_z]],tbl_Historique_Final[[#This Row],[date_modif]])=Final_Sans_VGE[[#This Row],[date_modif]],
      "Ancien",
      "Modifié"),
   "Nouveau")),"")</f>
        <v/>
      </c>
    </row>
    <row r="7786" spans="24:30" x14ac:dyDescent="0.25">
      <c r="X7786" s="8" t="e">
        <f>IF(Final_Sans_VGE[[#This Row],[ppn_z]]="","",IFERROR(
   IF(_xlfn.XLOOKUP(Final_Sans_VGE[[#This Row],[ppn_z]],tbl_Historique_Final[ppn_z],tbl_Historique_Final[date_modif])=Final_Sans_VGE[[#This Row],[date_modif]],
      "Ancien",
      "Modifié"),
   "Nouveau"))</f>
        <v>#VALUE!</v>
      </c>
      <c r="AD7786" s="1" t="str">
        <f>IFERROR(IF(Final_Sans_VGE[[#This Row],[ppn_z]]="","",IFERROR(
   IF(_xlfn.XLOOKUP(Final_Sans_VGE[[#This Row],[ppn_z]],tbl_Historique_Final[[#This Row],[ppn_z]],tbl_Historique_Final[[#This Row],[date_modif]])=Final_Sans_VGE[[#This Row],[date_modif]],
      "Ancien",
      "Modifié"),
   "Nouveau")),"")</f>
        <v/>
      </c>
    </row>
    <row r="7787" spans="24:30" x14ac:dyDescent="0.25">
      <c r="X7787" s="8" t="e">
        <f>IF(Final_Sans_VGE[[#This Row],[ppn_z]]="","",IFERROR(
   IF(_xlfn.XLOOKUP(Final_Sans_VGE[[#This Row],[ppn_z]],tbl_Historique_Final[ppn_z],tbl_Historique_Final[date_modif])=Final_Sans_VGE[[#This Row],[date_modif]],
      "Ancien",
      "Modifié"),
   "Nouveau"))</f>
        <v>#VALUE!</v>
      </c>
      <c r="AD7787" s="1" t="str">
        <f>IFERROR(IF(Final_Sans_VGE[[#This Row],[ppn_z]]="","",IFERROR(
   IF(_xlfn.XLOOKUP(Final_Sans_VGE[[#This Row],[ppn_z]],tbl_Historique_Final[[#This Row],[ppn_z]],tbl_Historique_Final[[#This Row],[date_modif]])=Final_Sans_VGE[[#This Row],[date_modif]],
      "Ancien",
      "Modifié"),
   "Nouveau")),"")</f>
        <v/>
      </c>
    </row>
    <row r="7788" spans="24:30" x14ac:dyDescent="0.25">
      <c r="X7788" s="8" t="e">
        <f>IF(Final_Sans_VGE[[#This Row],[ppn_z]]="","",IFERROR(
   IF(_xlfn.XLOOKUP(Final_Sans_VGE[[#This Row],[ppn_z]],tbl_Historique_Final[ppn_z],tbl_Historique_Final[date_modif])=Final_Sans_VGE[[#This Row],[date_modif]],
      "Ancien",
      "Modifié"),
   "Nouveau"))</f>
        <v>#VALUE!</v>
      </c>
      <c r="AD7788" s="1" t="str">
        <f>IFERROR(IF(Final_Sans_VGE[[#This Row],[ppn_z]]="","",IFERROR(
   IF(_xlfn.XLOOKUP(Final_Sans_VGE[[#This Row],[ppn_z]],tbl_Historique_Final[[#This Row],[ppn_z]],tbl_Historique_Final[[#This Row],[date_modif]])=Final_Sans_VGE[[#This Row],[date_modif]],
      "Ancien",
      "Modifié"),
   "Nouveau")),"")</f>
        <v/>
      </c>
    </row>
    <row r="7789" spans="24:30" x14ac:dyDescent="0.25">
      <c r="X7789" s="8" t="e">
        <f>IF(Final_Sans_VGE[[#This Row],[ppn_z]]="","",IFERROR(
   IF(_xlfn.XLOOKUP(Final_Sans_VGE[[#This Row],[ppn_z]],tbl_Historique_Final[ppn_z],tbl_Historique_Final[date_modif])=Final_Sans_VGE[[#This Row],[date_modif]],
      "Ancien",
      "Modifié"),
   "Nouveau"))</f>
        <v>#VALUE!</v>
      </c>
      <c r="AD7789" s="1" t="str">
        <f>IFERROR(IF(Final_Sans_VGE[[#This Row],[ppn_z]]="","",IFERROR(
   IF(_xlfn.XLOOKUP(Final_Sans_VGE[[#This Row],[ppn_z]],tbl_Historique_Final[[#This Row],[ppn_z]],tbl_Historique_Final[[#This Row],[date_modif]])=Final_Sans_VGE[[#This Row],[date_modif]],
      "Ancien",
      "Modifié"),
   "Nouveau")),"")</f>
        <v/>
      </c>
    </row>
    <row r="7790" spans="24:30" x14ac:dyDescent="0.25">
      <c r="X7790" s="8" t="e">
        <f>IF(Final_Sans_VGE[[#This Row],[ppn_z]]="","",IFERROR(
   IF(_xlfn.XLOOKUP(Final_Sans_VGE[[#This Row],[ppn_z]],tbl_Historique_Final[ppn_z],tbl_Historique_Final[date_modif])=Final_Sans_VGE[[#This Row],[date_modif]],
      "Ancien",
      "Modifié"),
   "Nouveau"))</f>
        <v>#VALUE!</v>
      </c>
      <c r="AD7790" s="1" t="str">
        <f>IFERROR(IF(Final_Sans_VGE[[#This Row],[ppn_z]]="","",IFERROR(
   IF(_xlfn.XLOOKUP(Final_Sans_VGE[[#This Row],[ppn_z]],tbl_Historique_Final[[#This Row],[ppn_z]],tbl_Historique_Final[[#This Row],[date_modif]])=Final_Sans_VGE[[#This Row],[date_modif]],
      "Ancien",
      "Modifié"),
   "Nouveau")),"")</f>
        <v/>
      </c>
    </row>
    <row r="7791" spans="24:30" x14ac:dyDescent="0.25">
      <c r="X7791" s="8" t="e">
        <f>IF(Final_Sans_VGE[[#This Row],[ppn_z]]="","",IFERROR(
   IF(_xlfn.XLOOKUP(Final_Sans_VGE[[#This Row],[ppn_z]],tbl_Historique_Final[ppn_z],tbl_Historique_Final[date_modif])=Final_Sans_VGE[[#This Row],[date_modif]],
      "Ancien",
      "Modifié"),
   "Nouveau"))</f>
        <v>#VALUE!</v>
      </c>
      <c r="AD7791" s="1" t="str">
        <f>IFERROR(IF(Final_Sans_VGE[[#This Row],[ppn_z]]="","",IFERROR(
   IF(_xlfn.XLOOKUP(Final_Sans_VGE[[#This Row],[ppn_z]],tbl_Historique_Final[[#This Row],[ppn_z]],tbl_Historique_Final[[#This Row],[date_modif]])=Final_Sans_VGE[[#This Row],[date_modif]],
      "Ancien",
      "Modifié"),
   "Nouveau")),"")</f>
        <v/>
      </c>
    </row>
    <row r="7792" spans="24:30" x14ac:dyDescent="0.25">
      <c r="X7792" s="8" t="e">
        <f>IF(Final_Sans_VGE[[#This Row],[ppn_z]]="","",IFERROR(
   IF(_xlfn.XLOOKUP(Final_Sans_VGE[[#This Row],[ppn_z]],tbl_Historique_Final[ppn_z],tbl_Historique_Final[date_modif])=Final_Sans_VGE[[#This Row],[date_modif]],
      "Ancien",
      "Modifié"),
   "Nouveau"))</f>
        <v>#VALUE!</v>
      </c>
      <c r="AD7792" s="1" t="str">
        <f>IFERROR(IF(Final_Sans_VGE[[#This Row],[ppn_z]]="","",IFERROR(
   IF(_xlfn.XLOOKUP(Final_Sans_VGE[[#This Row],[ppn_z]],tbl_Historique_Final[[#This Row],[ppn_z]],tbl_Historique_Final[[#This Row],[date_modif]])=Final_Sans_VGE[[#This Row],[date_modif]],
      "Ancien",
      "Modifié"),
   "Nouveau")),"")</f>
        <v/>
      </c>
    </row>
    <row r="7793" spans="24:30" x14ac:dyDescent="0.25">
      <c r="X7793" s="8" t="e">
        <f>IF(Final_Sans_VGE[[#This Row],[ppn_z]]="","",IFERROR(
   IF(_xlfn.XLOOKUP(Final_Sans_VGE[[#This Row],[ppn_z]],tbl_Historique_Final[ppn_z],tbl_Historique_Final[date_modif])=Final_Sans_VGE[[#This Row],[date_modif]],
      "Ancien",
      "Modifié"),
   "Nouveau"))</f>
        <v>#VALUE!</v>
      </c>
      <c r="AD7793" s="1" t="str">
        <f>IFERROR(IF(Final_Sans_VGE[[#This Row],[ppn_z]]="","",IFERROR(
   IF(_xlfn.XLOOKUP(Final_Sans_VGE[[#This Row],[ppn_z]],tbl_Historique_Final[[#This Row],[ppn_z]],tbl_Historique_Final[[#This Row],[date_modif]])=Final_Sans_VGE[[#This Row],[date_modif]],
      "Ancien",
      "Modifié"),
   "Nouveau")),"")</f>
        <v/>
      </c>
    </row>
    <row r="7794" spans="24:30" x14ac:dyDescent="0.25">
      <c r="X7794" s="8" t="e">
        <f>IF(Final_Sans_VGE[[#This Row],[ppn_z]]="","",IFERROR(
   IF(_xlfn.XLOOKUP(Final_Sans_VGE[[#This Row],[ppn_z]],tbl_Historique_Final[ppn_z],tbl_Historique_Final[date_modif])=Final_Sans_VGE[[#This Row],[date_modif]],
      "Ancien",
      "Modifié"),
   "Nouveau"))</f>
        <v>#VALUE!</v>
      </c>
      <c r="AD7794" s="1" t="str">
        <f>IFERROR(IF(Final_Sans_VGE[[#This Row],[ppn_z]]="","",IFERROR(
   IF(_xlfn.XLOOKUP(Final_Sans_VGE[[#This Row],[ppn_z]],tbl_Historique_Final[[#This Row],[ppn_z]],tbl_Historique_Final[[#This Row],[date_modif]])=Final_Sans_VGE[[#This Row],[date_modif]],
      "Ancien",
      "Modifié"),
   "Nouveau")),"")</f>
        <v/>
      </c>
    </row>
    <row r="7795" spans="24:30" x14ac:dyDescent="0.25">
      <c r="X7795" s="8" t="e">
        <f>IF(Final_Sans_VGE[[#This Row],[ppn_z]]="","",IFERROR(
   IF(_xlfn.XLOOKUP(Final_Sans_VGE[[#This Row],[ppn_z]],tbl_Historique_Final[ppn_z],tbl_Historique_Final[date_modif])=Final_Sans_VGE[[#This Row],[date_modif]],
      "Ancien",
      "Modifié"),
   "Nouveau"))</f>
        <v>#VALUE!</v>
      </c>
      <c r="AD7795" s="1" t="str">
        <f>IFERROR(IF(Final_Sans_VGE[[#This Row],[ppn_z]]="","",IFERROR(
   IF(_xlfn.XLOOKUP(Final_Sans_VGE[[#This Row],[ppn_z]],tbl_Historique_Final[[#This Row],[ppn_z]],tbl_Historique_Final[[#This Row],[date_modif]])=Final_Sans_VGE[[#This Row],[date_modif]],
      "Ancien",
      "Modifié"),
   "Nouveau")),"")</f>
        <v/>
      </c>
    </row>
    <row r="7796" spans="24:30" x14ac:dyDescent="0.25">
      <c r="X7796" s="8" t="e">
        <f>IF(Final_Sans_VGE[[#This Row],[ppn_z]]="","",IFERROR(
   IF(_xlfn.XLOOKUP(Final_Sans_VGE[[#This Row],[ppn_z]],tbl_Historique_Final[ppn_z],tbl_Historique_Final[date_modif])=Final_Sans_VGE[[#This Row],[date_modif]],
      "Ancien",
      "Modifié"),
   "Nouveau"))</f>
        <v>#VALUE!</v>
      </c>
      <c r="AD7796" s="1" t="str">
        <f>IFERROR(IF(Final_Sans_VGE[[#This Row],[ppn_z]]="","",IFERROR(
   IF(_xlfn.XLOOKUP(Final_Sans_VGE[[#This Row],[ppn_z]],tbl_Historique_Final[[#This Row],[ppn_z]],tbl_Historique_Final[[#This Row],[date_modif]])=Final_Sans_VGE[[#This Row],[date_modif]],
      "Ancien",
      "Modifié"),
   "Nouveau")),"")</f>
        <v/>
      </c>
    </row>
    <row r="7797" spans="24:30" x14ac:dyDescent="0.25">
      <c r="X7797" s="8" t="e">
        <f>IF(Final_Sans_VGE[[#This Row],[ppn_z]]="","",IFERROR(
   IF(_xlfn.XLOOKUP(Final_Sans_VGE[[#This Row],[ppn_z]],tbl_Historique_Final[ppn_z],tbl_Historique_Final[date_modif])=Final_Sans_VGE[[#This Row],[date_modif]],
      "Ancien",
      "Modifié"),
   "Nouveau"))</f>
        <v>#VALUE!</v>
      </c>
      <c r="AD7797" s="1" t="str">
        <f>IFERROR(IF(Final_Sans_VGE[[#This Row],[ppn_z]]="","",IFERROR(
   IF(_xlfn.XLOOKUP(Final_Sans_VGE[[#This Row],[ppn_z]],tbl_Historique_Final[[#This Row],[ppn_z]],tbl_Historique_Final[[#This Row],[date_modif]])=Final_Sans_VGE[[#This Row],[date_modif]],
      "Ancien",
      "Modifié"),
   "Nouveau")),"")</f>
        <v/>
      </c>
    </row>
    <row r="7798" spans="24:30" x14ac:dyDescent="0.25">
      <c r="X7798" s="8" t="e">
        <f>IF(Final_Sans_VGE[[#This Row],[ppn_z]]="","",IFERROR(
   IF(_xlfn.XLOOKUP(Final_Sans_VGE[[#This Row],[ppn_z]],tbl_Historique_Final[ppn_z],tbl_Historique_Final[date_modif])=Final_Sans_VGE[[#This Row],[date_modif]],
      "Ancien",
      "Modifié"),
   "Nouveau"))</f>
        <v>#VALUE!</v>
      </c>
      <c r="AD7798" s="1" t="str">
        <f>IFERROR(IF(Final_Sans_VGE[[#This Row],[ppn_z]]="","",IFERROR(
   IF(_xlfn.XLOOKUP(Final_Sans_VGE[[#This Row],[ppn_z]],tbl_Historique_Final[[#This Row],[ppn_z]],tbl_Historique_Final[[#This Row],[date_modif]])=Final_Sans_VGE[[#This Row],[date_modif]],
      "Ancien",
      "Modifié"),
   "Nouveau")),"")</f>
        <v/>
      </c>
    </row>
    <row r="7799" spans="24:30" x14ac:dyDescent="0.25">
      <c r="X7799" s="8" t="e">
        <f>IF(Final_Sans_VGE[[#This Row],[ppn_z]]="","",IFERROR(
   IF(_xlfn.XLOOKUP(Final_Sans_VGE[[#This Row],[ppn_z]],tbl_Historique_Final[ppn_z],tbl_Historique_Final[date_modif])=Final_Sans_VGE[[#This Row],[date_modif]],
      "Ancien",
      "Modifié"),
   "Nouveau"))</f>
        <v>#VALUE!</v>
      </c>
      <c r="AD7799" s="1" t="str">
        <f>IFERROR(IF(Final_Sans_VGE[[#This Row],[ppn_z]]="","",IFERROR(
   IF(_xlfn.XLOOKUP(Final_Sans_VGE[[#This Row],[ppn_z]],tbl_Historique_Final[[#This Row],[ppn_z]],tbl_Historique_Final[[#This Row],[date_modif]])=Final_Sans_VGE[[#This Row],[date_modif]],
      "Ancien",
      "Modifié"),
   "Nouveau")),"")</f>
        <v/>
      </c>
    </row>
    <row r="7800" spans="24:30" x14ac:dyDescent="0.25">
      <c r="X7800" s="8" t="e">
        <f>IF(Final_Sans_VGE[[#This Row],[ppn_z]]="","",IFERROR(
   IF(_xlfn.XLOOKUP(Final_Sans_VGE[[#This Row],[ppn_z]],tbl_Historique_Final[ppn_z],tbl_Historique_Final[date_modif])=Final_Sans_VGE[[#This Row],[date_modif]],
      "Ancien",
      "Modifié"),
   "Nouveau"))</f>
        <v>#VALUE!</v>
      </c>
      <c r="AD7800" s="1" t="str">
        <f>IFERROR(IF(Final_Sans_VGE[[#This Row],[ppn_z]]="","",IFERROR(
   IF(_xlfn.XLOOKUP(Final_Sans_VGE[[#This Row],[ppn_z]],tbl_Historique_Final[[#This Row],[ppn_z]],tbl_Historique_Final[[#This Row],[date_modif]])=Final_Sans_VGE[[#This Row],[date_modif]],
      "Ancien",
      "Modifié"),
   "Nouveau")),"")</f>
        <v/>
      </c>
    </row>
    <row r="7801" spans="24:30" x14ac:dyDescent="0.25">
      <c r="X7801" s="8" t="e">
        <f>IF(Final_Sans_VGE[[#This Row],[ppn_z]]="","",IFERROR(
   IF(_xlfn.XLOOKUP(Final_Sans_VGE[[#This Row],[ppn_z]],tbl_Historique_Final[ppn_z],tbl_Historique_Final[date_modif])=Final_Sans_VGE[[#This Row],[date_modif]],
      "Ancien",
      "Modifié"),
   "Nouveau"))</f>
        <v>#VALUE!</v>
      </c>
      <c r="AD7801" s="1" t="str">
        <f>IFERROR(IF(Final_Sans_VGE[[#This Row],[ppn_z]]="","",IFERROR(
   IF(_xlfn.XLOOKUP(Final_Sans_VGE[[#This Row],[ppn_z]],tbl_Historique_Final[[#This Row],[ppn_z]],tbl_Historique_Final[[#This Row],[date_modif]])=Final_Sans_VGE[[#This Row],[date_modif]],
      "Ancien",
      "Modifié"),
   "Nouveau")),"")</f>
        <v/>
      </c>
    </row>
    <row r="7802" spans="24:30" x14ac:dyDescent="0.25">
      <c r="X7802" s="8" t="e">
        <f>IF(Final_Sans_VGE[[#This Row],[ppn_z]]="","",IFERROR(
   IF(_xlfn.XLOOKUP(Final_Sans_VGE[[#This Row],[ppn_z]],tbl_Historique_Final[ppn_z],tbl_Historique_Final[date_modif])=Final_Sans_VGE[[#This Row],[date_modif]],
      "Ancien",
      "Modifié"),
   "Nouveau"))</f>
        <v>#VALUE!</v>
      </c>
      <c r="AD7802" s="1" t="str">
        <f>IFERROR(IF(Final_Sans_VGE[[#This Row],[ppn_z]]="","",IFERROR(
   IF(_xlfn.XLOOKUP(Final_Sans_VGE[[#This Row],[ppn_z]],tbl_Historique_Final[[#This Row],[ppn_z]],tbl_Historique_Final[[#This Row],[date_modif]])=Final_Sans_VGE[[#This Row],[date_modif]],
      "Ancien",
      "Modifié"),
   "Nouveau")),"")</f>
        <v/>
      </c>
    </row>
    <row r="7803" spans="24:30" x14ac:dyDescent="0.25">
      <c r="X7803" s="8" t="e">
        <f>IF(Final_Sans_VGE[[#This Row],[ppn_z]]="","",IFERROR(
   IF(_xlfn.XLOOKUP(Final_Sans_VGE[[#This Row],[ppn_z]],tbl_Historique_Final[ppn_z],tbl_Historique_Final[date_modif])=Final_Sans_VGE[[#This Row],[date_modif]],
      "Ancien",
      "Modifié"),
   "Nouveau"))</f>
        <v>#VALUE!</v>
      </c>
      <c r="AD7803" s="1" t="str">
        <f>IFERROR(IF(Final_Sans_VGE[[#This Row],[ppn_z]]="","",IFERROR(
   IF(_xlfn.XLOOKUP(Final_Sans_VGE[[#This Row],[ppn_z]],tbl_Historique_Final[[#This Row],[ppn_z]],tbl_Historique_Final[[#This Row],[date_modif]])=Final_Sans_VGE[[#This Row],[date_modif]],
      "Ancien",
      "Modifié"),
   "Nouveau")),"")</f>
        <v/>
      </c>
    </row>
    <row r="7804" spans="24:30" x14ac:dyDescent="0.25">
      <c r="X7804" s="8" t="e">
        <f>IF(Final_Sans_VGE[[#This Row],[ppn_z]]="","",IFERROR(
   IF(_xlfn.XLOOKUP(Final_Sans_VGE[[#This Row],[ppn_z]],tbl_Historique_Final[ppn_z],tbl_Historique_Final[date_modif])=Final_Sans_VGE[[#This Row],[date_modif]],
      "Ancien",
      "Modifié"),
   "Nouveau"))</f>
        <v>#VALUE!</v>
      </c>
      <c r="AD7804" s="1" t="str">
        <f>IFERROR(IF(Final_Sans_VGE[[#This Row],[ppn_z]]="","",IFERROR(
   IF(_xlfn.XLOOKUP(Final_Sans_VGE[[#This Row],[ppn_z]],tbl_Historique_Final[[#This Row],[ppn_z]],tbl_Historique_Final[[#This Row],[date_modif]])=Final_Sans_VGE[[#This Row],[date_modif]],
      "Ancien",
      "Modifié"),
   "Nouveau")),"")</f>
        <v/>
      </c>
    </row>
    <row r="7805" spans="24:30" x14ac:dyDescent="0.25">
      <c r="X7805" s="8" t="e">
        <f>IF(Final_Sans_VGE[[#This Row],[ppn_z]]="","",IFERROR(
   IF(_xlfn.XLOOKUP(Final_Sans_VGE[[#This Row],[ppn_z]],tbl_Historique_Final[ppn_z],tbl_Historique_Final[date_modif])=Final_Sans_VGE[[#This Row],[date_modif]],
      "Ancien",
      "Modifié"),
   "Nouveau"))</f>
        <v>#VALUE!</v>
      </c>
      <c r="AD7805" s="1" t="str">
        <f>IFERROR(IF(Final_Sans_VGE[[#This Row],[ppn_z]]="","",IFERROR(
   IF(_xlfn.XLOOKUP(Final_Sans_VGE[[#This Row],[ppn_z]],tbl_Historique_Final[[#This Row],[ppn_z]],tbl_Historique_Final[[#This Row],[date_modif]])=Final_Sans_VGE[[#This Row],[date_modif]],
      "Ancien",
      "Modifié"),
   "Nouveau")),"")</f>
        <v/>
      </c>
    </row>
    <row r="7806" spans="24:30" x14ac:dyDescent="0.25">
      <c r="X7806" s="8" t="e">
        <f>IF(Final_Sans_VGE[[#This Row],[ppn_z]]="","",IFERROR(
   IF(_xlfn.XLOOKUP(Final_Sans_VGE[[#This Row],[ppn_z]],tbl_Historique_Final[ppn_z],tbl_Historique_Final[date_modif])=Final_Sans_VGE[[#This Row],[date_modif]],
      "Ancien",
      "Modifié"),
   "Nouveau"))</f>
        <v>#VALUE!</v>
      </c>
      <c r="AD7806" s="1" t="str">
        <f>IFERROR(IF(Final_Sans_VGE[[#This Row],[ppn_z]]="","",IFERROR(
   IF(_xlfn.XLOOKUP(Final_Sans_VGE[[#This Row],[ppn_z]],tbl_Historique_Final[[#This Row],[ppn_z]],tbl_Historique_Final[[#This Row],[date_modif]])=Final_Sans_VGE[[#This Row],[date_modif]],
      "Ancien",
      "Modifié"),
   "Nouveau")),"")</f>
        <v/>
      </c>
    </row>
    <row r="7807" spans="24:30" x14ac:dyDescent="0.25">
      <c r="X7807" s="8" t="e">
        <f>IF(Final_Sans_VGE[[#This Row],[ppn_z]]="","",IFERROR(
   IF(_xlfn.XLOOKUP(Final_Sans_VGE[[#This Row],[ppn_z]],tbl_Historique_Final[ppn_z],tbl_Historique_Final[date_modif])=Final_Sans_VGE[[#This Row],[date_modif]],
      "Ancien",
      "Modifié"),
   "Nouveau"))</f>
        <v>#VALUE!</v>
      </c>
      <c r="AD7807" s="1" t="str">
        <f>IFERROR(IF(Final_Sans_VGE[[#This Row],[ppn_z]]="","",IFERROR(
   IF(_xlfn.XLOOKUP(Final_Sans_VGE[[#This Row],[ppn_z]],tbl_Historique_Final[[#This Row],[ppn_z]],tbl_Historique_Final[[#This Row],[date_modif]])=Final_Sans_VGE[[#This Row],[date_modif]],
      "Ancien",
      "Modifié"),
   "Nouveau")),"")</f>
        <v/>
      </c>
    </row>
    <row r="7808" spans="24:30" x14ac:dyDescent="0.25">
      <c r="X7808" s="8" t="e">
        <f>IF(Final_Sans_VGE[[#This Row],[ppn_z]]="","",IFERROR(
   IF(_xlfn.XLOOKUP(Final_Sans_VGE[[#This Row],[ppn_z]],tbl_Historique_Final[ppn_z],tbl_Historique_Final[date_modif])=Final_Sans_VGE[[#This Row],[date_modif]],
      "Ancien",
      "Modifié"),
   "Nouveau"))</f>
        <v>#VALUE!</v>
      </c>
      <c r="AD7808" s="1" t="str">
        <f>IFERROR(IF(Final_Sans_VGE[[#This Row],[ppn_z]]="","",IFERROR(
   IF(_xlfn.XLOOKUP(Final_Sans_VGE[[#This Row],[ppn_z]],tbl_Historique_Final[[#This Row],[ppn_z]],tbl_Historique_Final[[#This Row],[date_modif]])=Final_Sans_VGE[[#This Row],[date_modif]],
      "Ancien",
      "Modifié"),
   "Nouveau")),"")</f>
        <v/>
      </c>
    </row>
    <row r="7809" spans="24:30" x14ac:dyDescent="0.25">
      <c r="X7809" s="8" t="e">
        <f>IF(Final_Sans_VGE[[#This Row],[ppn_z]]="","",IFERROR(
   IF(_xlfn.XLOOKUP(Final_Sans_VGE[[#This Row],[ppn_z]],tbl_Historique_Final[ppn_z],tbl_Historique_Final[date_modif])=Final_Sans_VGE[[#This Row],[date_modif]],
      "Ancien",
      "Modifié"),
   "Nouveau"))</f>
        <v>#VALUE!</v>
      </c>
      <c r="AD7809" s="1" t="str">
        <f>IFERROR(IF(Final_Sans_VGE[[#This Row],[ppn_z]]="","",IFERROR(
   IF(_xlfn.XLOOKUP(Final_Sans_VGE[[#This Row],[ppn_z]],tbl_Historique_Final[[#This Row],[ppn_z]],tbl_Historique_Final[[#This Row],[date_modif]])=Final_Sans_VGE[[#This Row],[date_modif]],
      "Ancien",
      "Modifié"),
   "Nouveau")),"")</f>
        <v/>
      </c>
    </row>
    <row r="7810" spans="24:30" x14ac:dyDescent="0.25">
      <c r="X7810" s="8" t="e">
        <f>IF(Final_Sans_VGE[[#This Row],[ppn_z]]="","",IFERROR(
   IF(_xlfn.XLOOKUP(Final_Sans_VGE[[#This Row],[ppn_z]],tbl_Historique_Final[ppn_z],tbl_Historique_Final[date_modif])=Final_Sans_VGE[[#This Row],[date_modif]],
      "Ancien",
      "Modifié"),
   "Nouveau"))</f>
        <v>#VALUE!</v>
      </c>
      <c r="AD7810" s="1" t="str">
        <f>IFERROR(IF(Final_Sans_VGE[[#This Row],[ppn_z]]="","",IFERROR(
   IF(_xlfn.XLOOKUP(Final_Sans_VGE[[#This Row],[ppn_z]],tbl_Historique_Final[[#This Row],[ppn_z]],tbl_Historique_Final[[#This Row],[date_modif]])=Final_Sans_VGE[[#This Row],[date_modif]],
      "Ancien",
      "Modifié"),
   "Nouveau")),"")</f>
        <v/>
      </c>
    </row>
    <row r="7811" spans="24:30" x14ac:dyDescent="0.25">
      <c r="X7811" s="8" t="e">
        <f>IF(Final_Sans_VGE[[#This Row],[ppn_z]]="","",IFERROR(
   IF(_xlfn.XLOOKUP(Final_Sans_VGE[[#This Row],[ppn_z]],tbl_Historique_Final[ppn_z],tbl_Historique_Final[date_modif])=Final_Sans_VGE[[#This Row],[date_modif]],
      "Ancien",
      "Modifié"),
   "Nouveau"))</f>
        <v>#VALUE!</v>
      </c>
      <c r="AD7811" s="1" t="str">
        <f>IFERROR(IF(Final_Sans_VGE[[#This Row],[ppn_z]]="","",IFERROR(
   IF(_xlfn.XLOOKUP(Final_Sans_VGE[[#This Row],[ppn_z]],tbl_Historique_Final[[#This Row],[ppn_z]],tbl_Historique_Final[[#This Row],[date_modif]])=Final_Sans_VGE[[#This Row],[date_modif]],
      "Ancien",
      "Modifié"),
   "Nouveau")),"")</f>
        <v/>
      </c>
    </row>
    <row r="7812" spans="24:30" x14ac:dyDescent="0.25">
      <c r="X7812" s="8" t="e">
        <f>IF(Final_Sans_VGE[[#This Row],[ppn_z]]="","",IFERROR(
   IF(_xlfn.XLOOKUP(Final_Sans_VGE[[#This Row],[ppn_z]],tbl_Historique_Final[ppn_z],tbl_Historique_Final[date_modif])=Final_Sans_VGE[[#This Row],[date_modif]],
      "Ancien",
      "Modifié"),
   "Nouveau"))</f>
        <v>#VALUE!</v>
      </c>
      <c r="AD7812" s="1" t="str">
        <f>IFERROR(IF(Final_Sans_VGE[[#This Row],[ppn_z]]="","",IFERROR(
   IF(_xlfn.XLOOKUP(Final_Sans_VGE[[#This Row],[ppn_z]],tbl_Historique_Final[[#This Row],[ppn_z]],tbl_Historique_Final[[#This Row],[date_modif]])=Final_Sans_VGE[[#This Row],[date_modif]],
      "Ancien",
      "Modifié"),
   "Nouveau")),"")</f>
        <v/>
      </c>
    </row>
    <row r="7813" spans="24:30" x14ac:dyDescent="0.25">
      <c r="X7813" s="8" t="e">
        <f>IF(Final_Sans_VGE[[#This Row],[ppn_z]]="","",IFERROR(
   IF(_xlfn.XLOOKUP(Final_Sans_VGE[[#This Row],[ppn_z]],tbl_Historique_Final[ppn_z],tbl_Historique_Final[date_modif])=Final_Sans_VGE[[#This Row],[date_modif]],
      "Ancien",
      "Modifié"),
   "Nouveau"))</f>
        <v>#VALUE!</v>
      </c>
      <c r="AD7813" s="1" t="str">
        <f>IFERROR(IF(Final_Sans_VGE[[#This Row],[ppn_z]]="","",IFERROR(
   IF(_xlfn.XLOOKUP(Final_Sans_VGE[[#This Row],[ppn_z]],tbl_Historique_Final[[#This Row],[ppn_z]],tbl_Historique_Final[[#This Row],[date_modif]])=Final_Sans_VGE[[#This Row],[date_modif]],
      "Ancien",
      "Modifié"),
   "Nouveau")),"")</f>
        <v/>
      </c>
    </row>
    <row r="7814" spans="24:30" x14ac:dyDescent="0.25">
      <c r="X7814" s="8" t="e">
        <f>IF(Final_Sans_VGE[[#This Row],[ppn_z]]="","",IFERROR(
   IF(_xlfn.XLOOKUP(Final_Sans_VGE[[#This Row],[ppn_z]],tbl_Historique_Final[ppn_z],tbl_Historique_Final[date_modif])=Final_Sans_VGE[[#This Row],[date_modif]],
      "Ancien",
      "Modifié"),
   "Nouveau"))</f>
        <v>#VALUE!</v>
      </c>
      <c r="AD7814" s="1" t="str">
        <f>IFERROR(IF(Final_Sans_VGE[[#This Row],[ppn_z]]="","",IFERROR(
   IF(_xlfn.XLOOKUP(Final_Sans_VGE[[#This Row],[ppn_z]],tbl_Historique_Final[[#This Row],[ppn_z]],tbl_Historique_Final[[#This Row],[date_modif]])=Final_Sans_VGE[[#This Row],[date_modif]],
      "Ancien",
      "Modifié"),
   "Nouveau")),"")</f>
        <v/>
      </c>
    </row>
    <row r="7815" spans="24:30" x14ac:dyDescent="0.25">
      <c r="X7815" s="8" t="e">
        <f>IF(Final_Sans_VGE[[#This Row],[ppn_z]]="","",IFERROR(
   IF(_xlfn.XLOOKUP(Final_Sans_VGE[[#This Row],[ppn_z]],tbl_Historique_Final[ppn_z],tbl_Historique_Final[date_modif])=Final_Sans_VGE[[#This Row],[date_modif]],
      "Ancien",
      "Modifié"),
   "Nouveau"))</f>
        <v>#VALUE!</v>
      </c>
      <c r="AD7815" s="1" t="str">
        <f>IFERROR(IF(Final_Sans_VGE[[#This Row],[ppn_z]]="","",IFERROR(
   IF(_xlfn.XLOOKUP(Final_Sans_VGE[[#This Row],[ppn_z]],tbl_Historique_Final[[#This Row],[ppn_z]],tbl_Historique_Final[[#This Row],[date_modif]])=Final_Sans_VGE[[#This Row],[date_modif]],
      "Ancien",
      "Modifié"),
   "Nouveau")),"")</f>
        <v/>
      </c>
    </row>
    <row r="7816" spans="24:30" x14ac:dyDescent="0.25">
      <c r="X7816" s="8" t="e">
        <f>IF(Final_Sans_VGE[[#This Row],[ppn_z]]="","",IFERROR(
   IF(_xlfn.XLOOKUP(Final_Sans_VGE[[#This Row],[ppn_z]],tbl_Historique_Final[ppn_z],tbl_Historique_Final[date_modif])=Final_Sans_VGE[[#This Row],[date_modif]],
      "Ancien",
      "Modifié"),
   "Nouveau"))</f>
        <v>#VALUE!</v>
      </c>
      <c r="AD7816" s="1" t="str">
        <f>IFERROR(IF(Final_Sans_VGE[[#This Row],[ppn_z]]="","",IFERROR(
   IF(_xlfn.XLOOKUP(Final_Sans_VGE[[#This Row],[ppn_z]],tbl_Historique_Final[[#This Row],[ppn_z]],tbl_Historique_Final[[#This Row],[date_modif]])=Final_Sans_VGE[[#This Row],[date_modif]],
      "Ancien",
      "Modifié"),
   "Nouveau")),"")</f>
        <v/>
      </c>
    </row>
    <row r="7817" spans="24:30" x14ac:dyDescent="0.25">
      <c r="X7817" s="8" t="e">
        <f>IF(Final_Sans_VGE[[#This Row],[ppn_z]]="","",IFERROR(
   IF(_xlfn.XLOOKUP(Final_Sans_VGE[[#This Row],[ppn_z]],tbl_Historique_Final[ppn_z],tbl_Historique_Final[date_modif])=Final_Sans_VGE[[#This Row],[date_modif]],
      "Ancien",
      "Modifié"),
   "Nouveau"))</f>
        <v>#VALUE!</v>
      </c>
      <c r="AD7817" s="1" t="str">
        <f>IFERROR(IF(Final_Sans_VGE[[#This Row],[ppn_z]]="","",IFERROR(
   IF(_xlfn.XLOOKUP(Final_Sans_VGE[[#This Row],[ppn_z]],tbl_Historique_Final[[#This Row],[ppn_z]],tbl_Historique_Final[[#This Row],[date_modif]])=Final_Sans_VGE[[#This Row],[date_modif]],
      "Ancien",
      "Modifié"),
   "Nouveau")),"")</f>
        <v/>
      </c>
    </row>
    <row r="7818" spans="24:30" x14ac:dyDescent="0.25">
      <c r="X7818" s="8" t="e">
        <f>IF(Final_Sans_VGE[[#This Row],[ppn_z]]="","",IFERROR(
   IF(_xlfn.XLOOKUP(Final_Sans_VGE[[#This Row],[ppn_z]],tbl_Historique_Final[ppn_z],tbl_Historique_Final[date_modif])=Final_Sans_VGE[[#This Row],[date_modif]],
      "Ancien",
      "Modifié"),
   "Nouveau"))</f>
        <v>#VALUE!</v>
      </c>
      <c r="AD7818" s="1" t="str">
        <f>IFERROR(IF(Final_Sans_VGE[[#This Row],[ppn_z]]="","",IFERROR(
   IF(_xlfn.XLOOKUP(Final_Sans_VGE[[#This Row],[ppn_z]],tbl_Historique_Final[[#This Row],[ppn_z]],tbl_Historique_Final[[#This Row],[date_modif]])=Final_Sans_VGE[[#This Row],[date_modif]],
      "Ancien",
      "Modifié"),
   "Nouveau")),"")</f>
        <v/>
      </c>
    </row>
    <row r="7819" spans="24:30" x14ac:dyDescent="0.25">
      <c r="X7819" s="8" t="e">
        <f>IF(Final_Sans_VGE[[#This Row],[ppn_z]]="","",IFERROR(
   IF(_xlfn.XLOOKUP(Final_Sans_VGE[[#This Row],[ppn_z]],tbl_Historique_Final[ppn_z],tbl_Historique_Final[date_modif])=Final_Sans_VGE[[#This Row],[date_modif]],
      "Ancien",
      "Modifié"),
   "Nouveau"))</f>
        <v>#VALUE!</v>
      </c>
      <c r="AD7819" s="1" t="str">
        <f>IFERROR(IF(Final_Sans_VGE[[#This Row],[ppn_z]]="","",IFERROR(
   IF(_xlfn.XLOOKUP(Final_Sans_VGE[[#This Row],[ppn_z]],tbl_Historique_Final[[#This Row],[ppn_z]],tbl_Historique_Final[[#This Row],[date_modif]])=Final_Sans_VGE[[#This Row],[date_modif]],
      "Ancien",
      "Modifié"),
   "Nouveau")),"")</f>
        <v/>
      </c>
    </row>
    <row r="7820" spans="24:30" x14ac:dyDescent="0.25">
      <c r="X7820" s="8" t="e">
        <f>IF(Final_Sans_VGE[[#This Row],[ppn_z]]="","",IFERROR(
   IF(_xlfn.XLOOKUP(Final_Sans_VGE[[#This Row],[ppn_z]],tbl_Historique_Final[ppn_z],tbl_Historique_Final[date_modif])=Final_Sans_VGE[[#This Row],[date_modif]],
      "Ancien",
      "Modifié"),
   "Nouveau"))</f>
        <v>#VALUE!</v>
      </c>
      <c r="AD7820" s="1" t="str">
        <f>IFERROR(IF(Final_Sans_VGE[[#This Row],[ppn_z]]="","",IFERROR(
   IF(_xlfn.XLOOKUP(Final_Sans_VGE[[#This Row],[ppn_z]],tbl_Historique_Final[[#This Row],[ppn_z]],tbl_Historique_Final[[#This Row],[date_modif]])=Final_Sans_VGE[[#This Row],[date_modif]],
      "Ancien",
      "Modifié"),
   "Nouveau")),"")</f>
        <v/>
      </c>
    </row>
    <row r="7821" spans="24:30" x14ac:dyDescent="0.25">
      <c r="X7821" s="8" t="e">
        <f>IF(Final_Sans_VGE[[#This Row],[ppn_z]]="","",IFERROR(
   IF(_xlfn.XLOOKUP(Final_Sans_VGE[[#This Row],[ppn_z]],tbl_Historique_Final[ppn_z],tbl_Historique_Final[date_modif])=Final_Sans_VGE[[#This Row],[date_modif]],
      "Ancien",
      "Modifié"),
   "Nouveau"))</f>
        <v>#VALUE!</v>
      </c>
      <c r="AD7821" s="1" t="str">
        <f>IFERROR(IF(Final_Sans_VGE[[#This Row],[ppn_z]]="","",IFERROR(
   IF(_xlfn.XLOOKUP(Final_Sans_VGE[[#This Row],[ppn_z]],tbl_Historique_Final[[#This Row],[ppn_z]],tbl_Historique_Final[[#This Row],[date_modif]])=Final_Sans_VGE[[#This Row],[date_modif]],
      "Ancien",
      "Modifié"),
   "Nouveau")),"")</f>
        <v/>
      </c>
    </row>
    <row r="7822" spans="24:30" x14ac:dyDescent="0.25">
      <c r="X7822" s="8" t="e">
        <f>IF(Final_Sans_VGE[[#This Row],[ppn_z]]="","",IFERROR(
   IF(_xlfn.XLOOKUP(Final_Sans_VGE[[#This Row],[ppn_z]],tbl_Historique_Final[ppn_z],tbl_Historique_Final[date_modif])=Final_Sans_VGE[[#This Row],[date_modif]],
      "Ancien",
      "Modifié"),
   "Nouveau"))</f>
        <v>#VALUE!</v>
      </c>
      <c r="AD7822" s="1" t="str">
        <f>IFERROR(IF(Final_Sans_VGE[[#This Row],[ppn_z]]="","",IFERROR(
   IF(_xlfn.XLOOKUP(Final_Sans_VGE[[#This Row],[ppn_z]],tbl_Historique_Final[[#This Row],[ppn_z]],tbl_Historique_Final[[#This Row],[date_modif]])=Final_Sans_VGE[[#This Row],[date_modif]],
      "Ancien",
      "Modifié"),
   "Nouveau")),"")</f>
        <v/>
      </c>
    </row>
    <row r="7823" spans="24:30" x14ac:dyDescent="0.25">
      <c r="X7823" s="8" t="e">
        <f>IF(Final_Sans_VGE[[#This Row],[ppn_z]]="","",IFERROR(
   IF(_xlfn.XLOOKUP(Final_Sans_VGE[[#This Row],[ppn_z]],tbl_Historique_Final[ppn_z],tbl_Historique_Final[date_modif])=Final_Sans_VGE[[#This Row],[date_modif]],
      "Ancien",
      "Modifié"),
   "Nouveau"))</f>
        <v>#VALUE!</v>
      </c>
      <c r="AD7823" s="1" t="str">
        <f>IFERROR(IF(Final_Sans_VGE[[#This Row],[ppn_z]]="","",IFERROR(
   IF(_xlfn.XLOOKUP(Final_Sans_VGE[[#This Row],[ppn_z]],tbl_Historique_Final[[#This Row],[ppn_z]],tbl_Historique_Final[[#This Row],[date_modif]])=Final_Sans_VGE[[#This Row],[date_modif]],
      "Ancien",
      "Modifié"),
   "Nouveau")),"")</f>
        <v/>
      </c>
    </row>
    <row r="7824" spans="24:30" x14ac:dyDescent="0.25">
      <c r="X7824" s="8" t="e">
        <f>IF(Final_Sans_VGE[[#This Row],[ppn_z]]="","",IFERROR(
   IF(_xlfn.XLOOKUP(Final_Sans_VGE[[#This Row],[ppn_z]],tbl_Historique_Final[ppn_z],tbl_Historique_Final[date_modif])=Final_Sans_VGE[[#This Row],[date_modif]],
      "Ancien",
      "Modifié"),
   "Nouveau"))</f>
        <v>#VALUE!</v>
      </c>
      <c r="AD7824" s="1" t="str">
        <f>IFERROR(IF(Final_Sans_VGE[[#This Row],[ppn_z]]="","",IFERROR(
   IF(_xlfn.XLOOKUP(Final_Sans_VGE[[#This Row],[ppn_z]],tbl_Historique_Final[[#This Row],[ppn_z]],tbl_Historique_Final[[#This Row],[date_modif]])=Final_Sans_VGE[[#This Row],[date_modif]],
      "Ancien",
      "Modifié"),
   "Nouveau")),"")</f>
        <v/>
      </c>
    </row>
    <row r="7825" spans="24:30" x14ac:dyDescent="0.25">
      <c r="X7825" s="8" t="e">
        <f>IF(Final_Sans_VGE[[#This Row],[ppn_z]]="","",IFERROR(
   IF(_xlfn.XLOOKUP(Final_Sans_VGE[[#This Row],[ppn_z]],tbl_Historique_Final[ppn_z],tbl_Historique_Final[date_modif])=Final_Sans_VGE[[#This Row],[date_modif]],
      "Ancien",
      "Modifié"),
   "Nouveau"))</f>
        <v>#VALUE!</v>
      </c>
      <c r="AD7825" s="1" t="str">
        <f>IFERROR(IF(Final_Sans_VGE[[#This Row],[ppn_z]]="","",IFERROR(
   IF(_xlfn.XLOOKUP(Final_Sans_VGE[[#This Row],[ppn_z]],tbl_Historique_Final[[#This Row],[ppn_z]],tbl_Historique_Final[[#This Row],[date_modif]])=Final_Sans_VGE[[#This Row],[date_modif]],
      "Ancien",
      "Modifié"),
   "Nouveau")),"")</f>
        <v/>
      </c>
    </row>
    <row r="7826" spans="24:30" x14ac:dyDescent="0.25">
      <c r="X7826" s="8" t="e">
        <f>IF(Final_Sans_VGE[[#This Row],[ppn_z]]="","",IFERROR(
   IF(_xlfn.XLOOKUP(Final_Sans_VGE[[#This Row],[ppn_z]],tbl_Historique_Final[ppn_z],tbl_Historique_Final[date_modif])=Final_Sans_VGE[[#This Row],[date_modif]],
      "Ancien",
      "Modifié"),
   "Nouveau"))</f>
        <v>#VALUE!</v>
      </c>
      <c r="AD7826" s="1" t="str">
        <f>IFERROR(IF(Final_Sans_VGE[[#This Row],[ppn_z]]="","",IFERROR(
   IF(_xlfn.XLOOKUP(Final_Sans_VGE[[#This Row],[ppn_z]],tbl_Historique_Final[[#This Row],[ppn_z]],tbl_Historique_Final[[#This Row],[date_modif]])=Final_Sans_VGE[[#This Row],[date_modif]],
      "Ancien",
      "Modifié"),
   "Nouveau")),"")</f>
        <v/>
      </c>
    </row>
    <row r="7827" spans="24:30" x14ac:dyDescent="0.25">
      <c r="X7827" s="8" t="e">
        <f>IF(Final_Sans_VGE[[#This Row],[ppn_z]]="","",IFERROR(
   IF(_xlfn.XLOOKUP(Final_Sans_VGE[[#This Row],[ppn_z]],tbl_Historique_Final[ppn_z],tbl_Historique_Final[date_modif])=Final_Sans_VGE[[#This Row],[date_modif]],
      "Ancien",
      "Modifié"),
   "Nouveau"))</f>
        <v>#VALUE!</v>
      </c>
      <c r="AD7827" s="1" t="str">
        <f>IFERROR(IF(Final_Sans_VGE[[#This Row],[ppn_z]]="","",IFERROR(
   IF(_xlfn.XLOOKUP(Final_Sans_VGE[[#This Row],[ppn_z]],tbl_Historique_Final[[#This Row],[ppn_z]],tbl_Historique_Final[[#This Row],[date_modif]])=Final_Sans_VGE[[#This Row],[date_modif]],
      "Ancien",
      "Modifié"),
   "Nouveau")),"")</f>
        <v/>
      </c>
    </row>
    <row r="7828" spans="24:30" x14ac:dyDescent="0.25">
      <c r="X7828" s="8" t="e">
        <f>IF(Final_Sans_VGE[[#This Row],[ppn_z]]="","",IFERROR(
   IF(_xlfn.XLOOKUP(Final_Sans_VGE[[#This Row],[ppn_z]],tbl_Historique_Final[ppn_z],tbl_Historique_Final[date_modif])=Final_Sans_VGE[[#This Row],[date_modif]],
      "Ancien",
      "Modifié"),
   "Nouveau"))</f>
        <v>#VALUE!</v>
      </c>
      <c r="AD7828" s="1" t="str">
        <f>IFERROR(IF(Final_Sans_VGE[[#This Row],[ppn_z]]="","",IFERROR(
   IF(_xlfn.XLOOKUP(Final_Sans_VGE[[#This Row],[ppn_z]],tbl_Historique_Final[[#This Row],[ppn_z]],tbl_Historique_Final[[#This Row],[date_modif]])=Final_Sans_VGE[[#This Row],[date_modif]],
      "Ancien",
      "Modifié"),
   "Nouveau")),"")</f>
        <v/>
      </c>
    </row>
    <row r="7829" spans="24:30" x14ac:dyDescent="0.25">
      <c r="X7829" s="8" t="e">
        <f>IF(Final_Sans_VGE[[#This Row],[ppn_z]]="","",IFERROR(
   IF(_xlfn.XLOOKUP(Final_Sans_VGE[[#This Row],[ppn_z]],tbl_Historique_Final[ppn_z],tbl_Historique_Final[date_modif])=Final_Sans_VGE[[#This Row],[date_modif]],
      "Ancien",
      "Modifié"),
   "Nouveau"))</f>
        <v>#VALUE!</v>
      </c>
      <c r="AD7829" s="1" t="str">
        <f>IFERROR(IF(Final_Sans_VGE[[#This Row],[ppn_z]]="","",IFERROR(
   IF(_xlfn.XLOOKUP(Final_Sans_VGE[[#This Row],[ppn_z]],tbl_Historique_Final[[#This Row],[ppn_z]],tbl_Historique_Final[[#This Row],[date_modif]])=Final_Sans_VGE[[#This Row],[date_modif]],
      "Ancien",
      "Modifié"),
   "Nouveau")),"")</f>
        <v/>
      </c>
    </row>
    <row r="7830" spans="24:30" x14ac:dyDescent="0.25">
      <c r="X7830" s="8" t="e">
        <f>IF(Final_Sans_VGE[[#This Row],[ppn_z]]="","",IFERROR(
   IF(_xlfn.XLOOKUP(Final_Sans_VGE[[#This Row],[ppn_z]],tbl_Historique_Final[ppn_z],tbl_Historique_Final[date_modif])=Final_Sans_VGE[[#This Row],[date_modif]],
      "Ancien",
      "Modifié"),
   "Nouveau"))</f>
        <v>#VALUE!</v>
      </c>
      <c r="AD7830" s="1" t="str">
        <f>IFERROR(IF(Final_Sans_VGE[[#This Row],[ppn_z]]="","",IFERROR(
   IF(_xlfn.XLOOKUP(Final_Sans_VGE[[#This Row],[ppn_z]],tbl_Historique_Final[[#This Row],[ppn_z]],tbl_Historique_Final[[#This Row],[date_modif]])=Final_Sans_VGE[[#This Row],[date_modif]],
      "Ancien",
      "Modifié"),
   "Nouveau")),"")</f>
        <v/>
      </c>
    </row>
    <row r="7831" spans="24:30" x14ac:dyDescent="0.25">
      <c r="X7831" s="8" t="e">
        <f>IF(Final_Sans_VGE[[#This Row],[ppn_z]]="","",IFERROR(
   IF(_xlfn.XLOOKUP(Final_Sans_VGE[[#This Row],[ppn_z]],tbl_Historique_Final[ppn_z],tbl_Historique_Final[date_modif])=Final_Sans_VGE[[#This Row],[date_modif]],
      "Ancien",
      "Modifié"),
   "Nouveau"))</f>
        <v>#VALUE!</v>
      </c>
      <c r="AD7831" s="1" t="str">
        <f>IFERROR(IF(Final_Sans_VGE[[#This Row],[ppn_z]]="","",IFERROR(
   IF(_xlfn.XLOOKUP(Final_Sans_VGE[[#This Row],[ppn_z]],tbl_Historique_Final[[#This Row],[ppn_z]],tbl_Historique_Final[[#This Row],[date_modif]])=Final_Sans_VGE[[#This Row],[date_modif]],
      "Ancien",
      "Modifié"),
   "Nouveau")),"")</f>
        <v/>
      </c>
    </row>
    <row r="7832" spans="24:30" x14ac:dyDescent="0.25">
      <c r="X7832" s="8" t="e">
        <f>IF(Final_Sans_VGE[[#This Row],[ppn_z]]="","",IFERROR(
   IF(_xlfn.XLOOKUP(Final_Sans_VGE[[#This Row],[ppn_z]],tbl_Historique_Final[ppn_z],tbl_Historique_Final[date_modif])=Final_Sans_VGE[[#This Row],[date_modif]],
      "Ancien",
      "Modifié"),
   "Nouveau"))</f>
        <v>#VALUE!</v>
      </c>
      <c r="AD7832" s="1" t="str">
        <f>IFERROR(IF(Final_Sans_VGE[[#This Row],[ppn_z]]="","",IFERROR(
   IF(_xlfn.XLOOKUP(Final_Sans_VGE[[#This Row],[ppn_z]],tbl_Historique_Final[[#This Row],[ppn_z]],tbl_Historique_Final[[#This Row],[date_modif]])=Final_Sans_VGE[[#This Row],[date_modif]],
      "Ancien",
      "Modifié"),
   "Nouveau")),"")</f>
        <v/>
      </c>
    </row>
    <row r="7833" spans="24:30" x14ac:dyDescent="0.25">
      <c r="X7833" s="8" t="e">
        <f>IF(Final_Sans_VGE[[#This Row],[ppn_z]]="","",IFERROR(
   IF(_xlfn.XLOOKUP(Final_Sans_VGE[[#This Row],[ppn_z]],tbl_Historique_Final[ppn_z],tbl_Historique_Final[date_modif])=Final_Sans_VGE[[#This Row],[date_modif]],
      "Ancien",
      "Modifié"),
   "Nouveau"))</f>
        <v>#VALUE!</v>
      </c>
      <c r="AD7833" s="1" t="str">
        <f>IFERROR(IF(Final_Sans_VGE[[#This Row],[ppn_z]]="","",IFERROR(
   IF(_xlfn.XLOOKUP(Final_Sans_VGE[[#This Row],[ppn_z]],tbl_Historique_Final[[#This Row],[ppn_z]],tbl_Historique_Final[[#This Row],[date_modif]])=Final_Sans_VGE[[#This Row],[date_modif]],
      "Ancien",
      "Modifié"),
   "Nouveau")),"")</f>
        <v/>
      </c>
    </row>
    <row r="7834" spans="24:30" x14ac:dyDescent="0.25">
      <c r="X7834" s="8" t="e">
        <f>IF(Final_Sans_VGE[[#This Row],[ppn_z]]="","",IFERROR(
   IF(_xlfn.XLOOKUP(Final_Sans_VGE[[#This Row],[ppn_z]],tbl_Historique_Final[ppn_z],tbl_Historique_Final[date_modif])=Final_Sans_VGE[[#This Row],[date_modif]],
      "Ancien",
      "Modifié"),
   "Nouveau"))</f>
        <v>#VALUE!</v>
      </c>
      <c r="AD7834" s="1" t="str">
        <f>IFERROR(IF(Final_Sans_VGE[[#This Row],[ppn_z]]="","",IFERROR(
   IF(_xlfn.XLOOKUP(Final_Sans_VGE[[#This Row],[ppn_z]],tbl_Historique_Final[[#This Row],[ppn_z]],tbl_Historique_Final[[#This Row],[date_modif]])=Final_Sans_VGE[[#This Row],[date_modif]],
      "Ancien",
      "Modifié"),
   "Nouveau")),"")</f>
        <v/>
      </c>
    </row>
    <row r="7835" spans="24:30" x14ac:dyDescent="0.25">
      <c r="X7835" s="8" t="e">
        <f>IF(Final_Sans_VGE[[#This Row],[ppn_z]]="","",IFERROR(
   IF(_xlfn.XLOOKUP(Final_Sans_VGE[[#This Row],[ppn_z]],tbl_Historique_Final[ppn_z],tbl_Historique_Final[date_modif])=Final_Sans_VGE[[#This Row],[date_modif]],
      "Ancien",
      "Modifié"),
   "Nouveau"))</f>
        <v>#VALUE!</v>
      </c>
      <c r="AD7835" s="1" t="str">
        <f>IFERROR(IF(Final_Sans_VGE[[#This Row],[ppn_z]]="","",IFERROR(
   IF(_xlfn.XLOOKUP(Final_Sans_VGE[[#This Row],[ppn_z]],tbl_Historique_Final[[#This Row],[ppn_z]],tbl_Historique_Final[[#This Row],[date_modif]])=Final_Sans_VGE[[#This Row],[date_modif]],
      "Ancien",
      "Modifié"),
   "Nouveau")),"")</f>
        <v/>
      </c>
    </row>
    <row r="7836" spans="24:30" x14ac:dyDescent="0.25">
      <c r="X7836" s="8" t="e">
        <f>IF(Final_Sans_VGE[[#This Row],[ppn_z]]="","",IFERROR(
   IF(_xlfn.XLOOKUP(Final_Sans_VGE[[#This Row],[ppn_z]],tbl_Historique_Final[ppn_z],tbl_Historique_Final[date_modif])=Final_Sans_VGE[[#This Row],[date_modif]],
      "Ancien",
      "Modifié"),
   "Nouveau"))</f>
        <v>#VALUE!</v>
      </c>
      <c r="AD7836" s="1" t="str">
        <f>IFERROR(IF(Final_Sans_VGE[[#This Row],[ppn_z]]="","",IFERROR(
   IF(_xlfn.XLOOKUP(Final_Sans_VGE[[#This Row],[ppn_z]],tbl_Historique_Final[[#This Row],[ppn_z]],tbl_Historique_Final[[#This Row],[date_modif]])=Final_Sans_VGE[[#This Row],[date_modif]],
      "Ancien",
      "Modifié"),
   "Nouveau")),"")</f>
        <v/>
      </c>
    </row>
    <row r="7837" spans="24:30" x14ac:dyDescent="0.25">
      <c r="X7837" s="8" t="e">
        <f>IF(Final_Sans_VGE[[#This Row],[ppn_z]]="","",IFERROR(
   IF(_xlfn.XLOOKUP(Final_Sans_VGE[[#This Row],[ppn_z]],tbl_Historique_Final[ppn_z],tbl_Historique_Final[date_modif])=Final_Sans_VGE[[#This Row],[date_modif]],
      "Ancien",
      "Modifié"),
   "Nouveau"))</f>
        <v>#VALUE!</v>
      </c>
      <c r="AD7837" s="1" t="str">
        <f>IFERROR(IF(Final_Sans_VGE[[#This Row],[ppn_z]]="","",IFERROR(
   IF(_xlfn.XLOOKUP(Final_Sans_VGE[[#This Row],[ppn_z]],tbl_Historique_Final[[#This Row],[ppn_z]],tbl_Historique_Final[[#This Row],[date_modif]])=Final_Sans_VGE[[#This Row],[date_modif]],
      "Ancien",
      "Modifié"),
   "Nouveau")),"")</f>
        <v/>
      </c>
    </row>
    <row r="7838" spans="24:30" x14ac:dyDescent="0.25">
      <c r="X7838" s="8" t="e">
        <f>IF(Final_Sans_VGE[[#This Row],[ppn_z]]="","",IFERROR(
   IF(_xlfn.XLOOKUP(Final_Sans_VGE[[#This Row],[ppn_z]],tbl_Historique_Final[ppn_z],tbl_Historique_Final[date_modif])=Final_Sans_VGE[[#This Row],[date_modif]],
      "Ancien",
      "Modifié"),
   "Nouveau"))</f>
        <v>#VALUE!</v>
      </c>
      <c r="AD7838" s="1" t="str">
        <f>IFERROR(IF(Final_Sans_VGE[[#This Row],[ppn_z]]="","",IFERROR(
   IF(_xlfn.XLOOKUP(Final_Sans_VGE[[#This Row],[ppn_z]],tbl_Historique_Final[[#This Row],[ppn_z]],tbl_Historique_Final[[#This Row],[date_modif]])=Final_Sans_VGE[[#This Row],[date_modif]],
      "Ancien",
      "Modifié"),
   "Nouveau")),"")</f>
        <v/>
      </c>
    </row>
    <row r="7839" spans="24:30" x14ac:dyDescent="0.25">
      <c r="X7839" s="8" t="e">
        <f>IF(Final_Sans_VGE[[#This Row],[ppn_z]]="","",IFERROR(
   IF(_xlfn.XLOOKUP(Final_Sans_VGE[[#This Row],[ppn_z]],tbl_Historique_Final[ppn_z],tbl_Historique_Final[date_modif])=Final_Sans_VGE[[#This Row],[date_modif]],
      "Ancien",
      "Modifié"),
   "Nouveau"))</f>
        <v>#VALUE!</v>
      </c>
      <c r="AD7839" s="1" t="str">
        <f>IFERROR(IF(Final_Sans_VGE[[#This Row],[ppn_z]]="","",IFERROR(
   IF(_xlfn.XLOOKUP(Final_Sans_VGE[[#This Row],[ppn_z]],tbl_Historique_Final[[#This Row],[ppn_z]],tbl_Historique_Final[[#This Row],[date_modif]])=Final_Sans_VGE[[#This Row],[date_modif]],
      "Ancien",
      "Modifié"),
   "Nouveau")),"")</f>
        <v/>
      </c>
    </row>
    <row r="7840" spans="24:30" x14ac:dyDescent="0.25">
      <c r="X7840" s="8" t="e">
        <f>IF(Final_Sans_VGE[[#This Row],[ppn_z]]="","",IFERROR(
   IF(_xlfn.XLOOKUP(Final_Sans_VGE[[#This Row],[ppn_z]],tbl_Historique_Final[ppn_z],tbl_Historique_Final[date_modif])=Final_Sans_VGE[[#This Row],[date_modif]],
      "Ancien",
      "Modifié"),
   "Nouveau"))</f>
        <v>#VALUE!</v>
      </c>
      <c r="AD7840" s="1" t="str">
        <f>IFERROR(IF(Final_Sans_VGE[[#This Row],[ppn_z]]="","",IFERROR(
   IF(_xlfn.XLOOKUP(Final_Sans_VGE[[#This Row],[ppn_z]],tbl_Historique_Final[[#This Row],[ppn_z]],tbl_Historique_Final[[#This Row],[date_modif]])=Final_Sans_VGE[[#This Row],[date_modif]],
      "Ancien",
      "Modifié"),
   "Nouveau")),"")</f>
        <v/>
      </c>
    </row>
    <row r="7841" spans="24:30" x14ac:dyDescent="0.25">
      <c r="X7841" s="8" t="e">
        <f>IF(Final_Sans_VGE[[#This Row],[ppn_z]]="","",IFERROR(
   IF(_xlfn.XLOOKUP(Final_Sans_VGE[[#This Row],[ppn_z]],tbl_Historique_Final[ppn_z],tbl_Historique_Final[date_modif])=Final_Sans_VGE[[#This Row],[date_modif]],
      "Ancien",
      "Modifié"),
   "Nouveau"))</f>
        <v>#VALUE!</v>
      </c>
      <c r="AD7841" s="1" t="str">
        <f>IFERROR(IF(Final_Sans_VGE[[#This Row],[ppn_z]]="","",IFERROR(
   IF(_xlfn.XLOOKUP(Final_Sans_VGE[[#This Row],[ppn_z]],tbl_Historique_Final[[#This Row],[ppn_z]],tbl_Historique_Final[[#This Row],[date_modif]])=Final_Sans_VGE[[#This Row],[date_modif]],
      "Ancien",
      "Modifié"),
   "Nouveau")),"")</f>
        <v/>
      </c>
    </row>
    <row r="7842" spans="24:30" x14ac:dyDescent="0.25">
      <c r="X7842" s="8" t="e">
        <f>IF(Final_Sans_VGE[[#This Row],[ppn_z]]="","",IFERROR(
   IF(_xlfn.XLOOKUP(Final_Sans_VGE[[#This Row],[ppn_z]],tbl_Historique_Final[ppn_z],tbl_Historique_Final[date_modif])=Final_Sans_VGE[[#This Row],[date_modif]],
      "Ancien",
      "Modifié"),
   "Nouveau"))</f>
        <v>#VALUE!</v>
      </c>
      <c r="AD7842" s="1" t="str">
        <f>IFERROR(IF(Final_Sans_VGE[[#This Row],[ppn_z]]="","",IFERROR(
   IF(_xlfn.XLOOKUP(Final_Sans_VGE[[#This Row],[ppn_z]],tbl_Historique_Final[[#This Row],[ppn_z]],tbl_Historique_Final[[#This Row],[date_modif]])=Final_Sans_VGE[[#This Row],[date_modif]],
      "Ancien",
      "Modifié"),
   "Nouveau")),"")</f>
        <v/>
      </c>
    </row>
    <row r="7843" spans="24:30" x14ac:dyDescent="0.25">
      <c r="X7843" s="8" t="e">
        <f>IF(Final_Sans_VGE[[#This Row],[ppn_z]]="","",IFERROR(
   IF(_xlfn.XLOOKUP(Final_Sans_VGE[[#This Row],[ppn_z]],tbl_Historique_Final[ppn_z],tbl_Historique_Final[date_modif])=Final_Sans_VGE[[#This Row],[date_modif]],
      "Ancien",
      "Modifié"),
   "Nouveau"))</f>
        <v>#VALUE!</v>
      </c>
      <c r="AD7843" s="1" t="str">
        <f>IFERROR(IF(Final_Sans_VGE[[#This Row],[ppn_z]]="","",IFERROR(
   IF(_xlfn.XLOOKUP(Final_Sans_VGE[[#This Row],[ppn_z]],tbl_Historique_Final[[#This Row],[ppn_z]],tbl_Historique_Final[[#This Row],[date_modif]])=Final_Sans_VGE[[#This Row],[date_modif]],
      "Ancien",
      "Modifié"),
   "Nouveau")),"")</f>
        <v/>
      </c>
    </row>
    <row r="7844" spans="24:30" x14ac:dyDescent="0.25">
      <c r="X7844" s="8" t="e">
        <f>IF(Final_Sans_VGE[[#This Row],[ppn_z]]="","",IFERROR(
   IF(_xlfn.XLOOKUP(Final_Sans_VGE[[#This Row],[ppn_z]],tbl_Historique_Final[ppn_z],tbl_Historique_Final[date_modif])=Final_Sans_VGE[[#This Row],[date_modif]],
      "Ancien",
      "Modifié"),
   "Nouveau"))</f>
        <v>#VALUE!</v>
      </c>
      <c r="AD7844" s="1" t="str">
        <f>IFERROR(IF(Final_Sans_VGE[[#This Row],[ppn_z]]="","",IFERROR(
   IF(_xlfn.XLOOKUP(Final_Sans_VGE[[#This Row],[ppn_z]],tbl_Historique_Final[[#This Row],[ppn_z]],tbl_Historique_Final[[#This Row],[date_modif]])=Final_Sans_VGE[[#This Row],[date_modif]],
      "Ancien",
      "Modifié"),
   "Nouveau")),"")</f>
        <v/>
      </c>
    </row>
    <row r="7845" spans="24:30" x14ac:dyDescent="0.25">
      <c r="X7845" s="8" t="e">
        <f>IF(Final_Sans_VGE[[#This Row],[ppn_z]]="","",IFERROR(
   IF(_xlfn.XLOOKUP(Final_Sans_VGE[[#This Row],[ppn_z]],tbl_Historique_Final[ppn_z],tbl_Historique_Final[date_modif])=Final_Sans_VGE[[#This Row],[date_modif]],
      "Ancien",
      "Modifié"),
   "Nouveau"))</f>
        <v>#VALUE!</v>
      </c>
      <c r="AD7845" s="1" t="str">
        <f>IFERROR(IF(Final_Sans_VGE[[#This Row],[ppn_z]]="","",IFERROR(
   IF(_xlfn.XLOOKUP(Final_Sans_VGE[[#This Row],[ppn_z]],tbl_Historique_Final[[#This Row],[ppn_z]],tbl_Historique_Final[[#This Row],[date_modif]])=Final_Sans_VGE[[#This Row],[date_modif]],
      "Ancien",
      "Modifié"),
   "Nouveau")),"")</f>
        <v/>
      </c>
    </row>
    <row r="7846" spans="24:30" x14ac:dyDescent="0.25">
      <c r="X7846" s="8" t="e">
        <f>IF(Final_Sans_VGE[[#This Row],[ppn_z]]="","",IFERROR(
   IF(_xlfn.XLOOKUP(Final_Sans_VGE[[#This Row],[ppn_z]],tbl_Historique_Final[ppn_z],tbl_Historique_Final[date_modif])=Final_Sans_VGE[[#This Row],[date_modif]],
      "Ancien",
      "Modifié"),
   "Nouveau"))</f>
        <v>#VALUE!</v>
      </c>
      <c r="AD7846" s="1" t="str">
        <f>IFERROR(IF(Final_Sans_VGE[[#This Row],[ppn_z]]="","",IFERROR(
   IF(_xlfn.XLOOKUP(Final_Sans_VGE[[#This Row],[ppn_z]],tbl_Historique_Final[[#This Row],[ppn_z]],tbl_Historique_Final[[#This Row],[date_modif]])=Final_Sans_VGE[[#This Row],[date_modif]],
      "Ancien",
      "Modifié"),
   "Nouveau")),"")</f>
        <v/>
      </c>
    </row>
    <row r="7847" spans="24:30" x14ac:dyDescent="0.25">
      <c r="X7847" s="8" t="e">
        <f>IF(Final_Sans_VGE[[#This Row],[ppn_z]]="","",IFERROR(
   IF(_xlfn.XLOOKUP(Final_Sans_VGE[[#This Row],[ppn_z]],tbl_Historique_Final[ppn_z],tbl_Historique_Final[date_modif])=Final_Sans_VGE[[#This Row],[date_modif]],
      "Ancien",
      "Modifié"),
   "Nouveau"))</f>
        <v>#VALUE!</v>
      </c>
      <c r="AD7847" s="1" t="str">
        <f>IFERROR(IF(Final_Sans_VGE[[#This Row],[ppn_z]]="","",IFERROR(
   IF(_xlfn.XLOOKUP(Final_Sans_VGE[[#This Row],[ppn_z]],tbl_Historique_Final[[#This Row],[ppn_z]],tbl_Historique_Final[[#This Row],[date_modif]])=Final_Sans_VGE[[#This Row],[date_modif]],
      "Ancien",
      "Modifié"),
   "Nouveau")),"")</f>
        <v/>
      </c>
    </row>
    <row r="7848" spans="24:30" x14ac:dyDescent="0.25">
      <c r="X7848" s="8" t="e">
        <f>IF(Final_Sans_VGE[[#This Row],[ppn_z]]="","",IFERROR(
   IF(_xlfn.XLOOKUP(Final_Sans_VGE[[#This Row],[ppn_z]],tbl_Historique_Final[ppn_z],tbl_Historique_Final[date_modif])=Final_Sans_VGE[[#This Row],[date_modif]],
      "Ancien",
      "Modifié"),
   "Nouveau"))</f>
        <v>#VALUE!</v>
      </c>
      <c r="AD7848" s="1" t="str">
        <f>IFERROR(IF(Final_Sans_VGE[[#This Row],[ppn_z]]="","",IFERROR(
   IF(_xlfn.XLOOKUP(Final_Sans_VGE[[#This Row],[ppn_z]],tbl_Historique_Final[[#This Row],[ppn_z]],tbl_Historique_Final[[#This Row],[date_modif]])=Final_Sans_VGE[[#This Row],[date_modif]],
      "Ancien",
      "Modifié"),
   "Nouveau")),"")</f>
        <v/>
      </c>
    </row>
    <row r="7849" spans="24:30" x14ac:dyDescent="0.25">
      <c r="X7849" s="8" t="e">
        <f>IF(Final_Sans_VGE[[#This Row],[ppn_z]]="","",IFERROR(
   IF(_xlfn.XLOOKUP(Final_Sans_VGE[[#This Row],[ppn_z]],tbl_Historique_Final[ppn_z],tbl_Historique_Final[date_modif])=Final_Sans_VGE[[#This Row],[date_modif]],
      "Ancien",
      "Modifié"),
   "Nouveau"))</f>
        <v>#VALUE!</v>
      </c>
      <c r="AD7849" s="1" t="str">
        <f>IFERROR(IF(Final_Sans_VGE[[#This Row],[ppn_z]]="","",IFERROR(
   IF(_xlfn.XLOOKUP(Final_Sans_VGE[[#This Row],[ppn_z]],tbl_Historique_Final[[#This Row],[ppn_z]],tbl_Historique_Final[[#This Row],[date_modif]])=Final_Sans_VGE[[#This Row],[date_modif]],
      "Ancien",
      "Modifié"),
   "Nouveau")),"")</f>
        <v/>
      </c>
    </row>
    <row r="7850" spans="24:30" x14ac:dyDescent="0.25">
      <c r="X7850" s="8" t="e">
        <f>IF(Final_Sans_VGE[[#This Row],[ppn_z]]="","",IFERROR(
   IF(_xlfn.XLOOKUP(Final_Sans_VGE[[#This Row],[ppn_z]],tbl_Historique_Final[ppn_z],tbl_Historique_Final[date_modif])=Final_Sans_VGE[[#This Row],[date_modif]],
      "Ancien",
      "Modifié"),
   "Nouveau"))</f>
        <v>#VALUE!</v>
      </c>
      <c r="AD7850" s="1" t="str">
        <f>IFERROR(IF(Final_Sans_VGE[[#This Row],[ppn_z]]="","",IFERROR(
   IF(_xlfn.XLOOKUP(Final_Sans_VGE[[#This Row],[ppn_z]],tbl_Historique_Final[[#This Row],[ppn_z]],tbl_Historique_Final[[#This Row],[date_modif]])=Final_Sans_VGE[[#This Row],[date_modif]],
      "Ancien",
      "Modifié"),
   "Nouveau")),"")</f>
        <v/>
      </c>
    </row>
    <row r="7851" spans="24:30" x14ac:dyDescent="0.25">
      <c r="X7851" s="8" t="e">
        <f>IF(Final_Sans_VGE[[#This Row],[ppn_z]]="","",IFERROR(
   IF(_xlfn.XLOOKUP(Final_Sans_VGE[[#This Row],[ppn_z]],tbl_Historique_Final[ppn_z],tbl_Historique_Final[date_modif])=Final_Sans_VGE[[#This Row],[date_modif]],
      "Ancien",
      "Modifié"),
   "Nouveau"))</f>
        <v>#VALUE!</v>
      </c>
      <c r="AD7851" s="1" t="str">
        <f>IFERROR(IF(Final_Sans_VGE[[#This Row],[ppn_z]]="","",IFERROR(
   IF(_xlfn.XLOOKUP(Final_Sans_VGE[[#This Row],[ppn_z]],tbl_Historique_Final[[#This Row],[ppn_z]],tbl_Historique_Final[[#This Row],[date_modif]])=Final_Sans_VGE[[#This Row],[date_modif]],
      "Ancien",
      "Modifié"),
   "Nouveau")),"")</f>
        <v/>
      </c>
    </row>
    <row r="7852" spans="24:30" x14ac:dyDescent="0.25">
      <c r="X7852" s="8" t="e">
        <f>IF(Final_Sans_VGE[[#This Row],[ppn_z]]="","",IFERROR(
   IF(_xlfn.XLOOKUP(Final_Sans_VGE[[#This Row],[ppn_z]],tbl_Historique_Final[ppn_z],tbl_Historique_Final[date_modif])=Final_Sans_VGE[[#This Row],[date_modif]],
      "Ancien",
      "Modifié"),
   "Nouveau"))</f>
        <v>#VALUE!</v>
      </c>
      <c r="AD7852" s="1" t="str">
        <f>IFERROR(IF(Final_Sans_VGE[[#This Row],[ppn_z]]="","",IFERROR(
   IF(_xlfn.XLOOKUP(Final_Sans_VGE[[#This Row],[ppn_z]],tbl_Historique_Final[[#This Row],[ppn_z]],tbl_Historique_Final[[#This Row],[date_modif]])=Final_Sans_VGE[[#This Row],[date_modif]],
      "Ancien",
      "Modifié"),
   "Nouveau")),"")</f>
        <v/>
      </c>
    </row>
    <row r="7853" spans="24:30" x14ac:dyDescent="0.25">
      <c r="X7853" s="8" t="e">
        <f>IF(Final_Sans_VGE[[#This Row],[ppn_z]]="","",IFERROR(
   IF(_xlfn.XLOOKUP(Final_Sans_VGE[[#This Row],[ppn_z]],tbl_Historique_Final[ppn_z],tbl_Historique_Final[date_modif])=Final_Sans_VGE[[#This Row],[date_modif]],
      "Ancien",
      "Modifié"),
   "Nouveau"))</f>
        <v>#VALUE!</v>
      </c>
      <c r="AD7853" s="1" t="str">
        <f>IFERROR(IF(Final_Sans_VGE[[#This Row],[ppn_z]]="","",IFERROR(
   IF(_xlfn.XLOOKUP(Final_Sans_VGE[[#This Row],[ppn_z]],tbl_Historique_Final[[#This Row],[ppn_z]],tbl_Historique_Final[[#This Row],[date_modif]])=Final_Sans_VGE[[#This Row],[date_modif]],
      "Ancien",
      "Modifié"),
   "Nouveau")),"")</f>
        <v/>
      </c>
    </row>
    <row r="7854" spans="24:30" x14ac:dyDescent="0.25">
      <c r="X7854" s="8" t="e">
        <f>IF(Final_Sans_VGE[[#This Row],[ppn_z]]="","",IFERROR(
   IF(_xlfn.XLOOKUP(Final_Sans_VGE[[#This Row],[ppn_z]],tbl_Historique_Final[ppn_z],tbl_Historique_Final[date_modif])=Final_Sans_VGE[[#This Row],[date_modif]],
      "Ancien",
      "Modifié"),
   "Nouveau"))</f>
        <v>#VALUE!</v>
      </c>
      <c r="AD7854" s="1" t="str">
        <f>IFERROR(IF(Final_Sans_VGE[[#This Row],[ppn_z]]="","",IFERROR(
   IF(_xlfn.XLOOKUP(Final_Sans_VGE[[#This Row],[ppn_z]],tbl_Historique_Final[[#This Row],[ppn_z]],tbl_Historique_Final[[#This Row],[date_modif]])=Final_Sans_VGE[[#This Row],[date_modif]],
      "Ancien",
      "Modifié"),
   "Nouveau")),"")</f>
        <v/>
      </c>
    </row>
    <row r="7855" spans="24:30" x14ac:dyDescent="0.25">
      <c r="X7855" s="8" t="e">
        <f>IF(Final_Sans_VGE[[#This Row],[ppn_z]]="","",IFERROR(
   IF(_xlfn.XLOOKUP(Final_Sans_VGE[[#This Row],[ppn_z]],tbl_Historique_Final[ppn_z],tbl_Historique_Final[date_modif])=Final_Sans_VGE[[#This Row],[date_modif]],
      "Ancien",
      "Modifié"),
   "Nouveau"))</f>
        <v>#VALUE!</v>
      </c>
      <c r="AD7855" s="1" t="str">
        <f>IFERROR(IF(Final_Sans_VGE[[#This Row],[ppn_z]]="","",IFERROR(
   IF(_xlfn.XLOOKUP(Final_Sans_VGE[[#This Row],[ppn_z]],tbl_Historique_Final[[#This Row],[ppn_z]],tbl_Historique_Final[[#This Row],[date_modif]])=Final_Sans_VGE[[#This Row],[date_modif]],
      "Ancien",
      "Modifié"),
   "Nouveau")),"")</f>
        <v/>
      </c>
    </row>
    <row r="7856" spans="24:30" x14ac:dyDescent="0.25">
      <c r="X7856" s="8" t="e">
        <f>IF(Final_Sans_VGE[[#This Row],[ppn_z]]="","",IFERROR(
   IF(_xlfn.XLOOKUP(Final_Sans_VGE[[#This Row],[ppn_z]],tbl_Historique_Final[ppn_z],tbl_Historique_Final[date_modif])=Final_Sans_VGE[[#This Row],[date_modif]],
      "Ancien",
      "Modifié"),
   "Nouveau"))</f>
        <v>#VALUE!</v>
      </c>
      <c r="AD7856" s="1" t="str">
        <f>IFERROR(IF(Final_Sans_VGE[[#This Row],[ppn_z]]="","",IFERROR(
   IF(_xlfn.XLOOKUP(Final_Sans_VGE[[#This Row],[ppn_z]],tbl_Historique_Final[[#This Row],[ppn_z]],tbl_Historique_Final[[#This Row],[date_modif]])=Final_Sans_VGE[[#This Row],[date_modif]],
      "Ancien",
      "Modifié"),
   "Nouveau")),"")</f>
        <v/>
      </c>
    </row>
    <row r="7857" spans="24:30" x14ac:dyDescent="0.25">
      <c r="X7857" s="8" t="e">
        <f>IF(Final_Sans_VGE[[#This Row],[ppn_z]]="","",IFERROR(
   IF(_xlfn.XLOOKUP(Final_Sans_VGE[[#This Row],[ppn_z]],tbl_Historique_Final[ppn_z],tbl_Historique_Final[date_modif])=Final_Sans_VGE[[#This Row],[date_modif]],
      "Ancien",
      "Modifié"),
   "Nouveau"))</f>
        <v>#VALUE!</v>
      </c>
      <c r="AD7857" s="1" t="str">
        <f>IFERROR(IF(Final_Sans_VGE[[#This Row],[ppn_z]]="","",IFERROR(
   IF(_xlfn.XLOOKUP(Final_Sans_VGE[[#This Row],[ppn_z]],tbl_Historique_Final[[#This Row],[ppn_z]],tbl_Historique_Final[[#This Row],[date_modif]])=Final_Sans_VGE[[#This Row],[date_modif]],
      "Ancien",
      "Modifié"),
   "Nouveau")),"")</f>
        <v/>
      </c>
    </row>
    <row r="7858" spans="24:30" x14ac:dyDescent="0.25">
      <c r="X7858" s="8" t="e">
        <f>IF(Final_Sans_VGE[[#This Row],[ppn_z]]="","",IFERROR(
   IF(_xlfn.XLOOKUP(Final_Sans_VGE[[#This Row],[ppn_z]],tbl_Historique_Final[ppn_z],tbl_Historique_Final[date_modif])=Final_Sans_VGE[[#This Row],[date_modif]],
      "Ancien",
      "Modifié"),
   "Nouveau"))</f>
        <v>#VALUE!</v>
      </c>
      <c r="AD7858" s="1" t="str">
        <f>IFERROR(IF(Final_Sans_VGE[[#This Row],[ppn_z]]="","",IFERROR(
   IF(_xlfn.XLOOKUP(Final_Sans_VGE[[#This Row],[ppn_z]],tbl_Historique_Final[[#This Row],[ppn_z]],tbl_Historique_Final[[#This Row],[date_modif]])=Final_Sans_VGE[[#This Row],[date_modif]],
      "Ancien",
      "Modifié"),
   "Nouveau")),"")</f>
        <v/>
      </c>
    </row>
    <row r="7859" spans="24:30" x14ac:dyDescent="0.25">
      <c r="X7859" s="8" t="e">
        <f>IF(Final_Sans_VGE[[#This Row],[ppn_z]]="","",IFERROR(
   IF(_xlfn.XLOOKUP(Final_Sans_VGE[[#This Row],[ppn_z]],tbl_Historique_Final[ppn_z],tbl_Historique_Final[date_modif])=Final_Sans_VGE[[#This Row],[date_modif]],
      "Ancien",
      "Modifié"),
   "Nouveau"))</f>
        <v>#VALUE!</v>
      </c>
      <c r="AD7859" s="1" t="str">
        <f>IFERROR(IF(Final_Sans_VGE[[#This Row],[ppn_z]]="","",IFERROR(
   IF(_xlfn.XLOOKUP(Final_Sans_VGE[[#This Row],[ppn_z]],tbl_Historique_Final[[#This Row],[ppn_z]],tbl_Historique_Final[[#This Row],[date_modif]])=Final_Sans_VGE[[#This Row],[date_modif]],
      "Ancien",
      "Modifié"),
   "Nouveau")),"")</f>
        <v/>
      </c>
    </row>
    <row r="7860" spans="24:30" x14ac:dyDescent="0.25">
      <c r="X7860" s="8" t="e">
        <f>IF(Final_Sans_VGE[[#This Row],[ppn_z]]="","",IFERROR(
   IF(_xlfn.XLOOKUP(Final_Sans_VGE[[#This Row],[ppn_z]],tbl_Historique_Final[ppn_z],tbl_Historique_Final[date_modif])=Final_Sans_VGE[[#This Row],[date_modif]],
      "Ancien",
      "Modifié"),
   "Nouveau"))</f>
        <v>#VALUE!</v>
      </c>
      <c r="AD7860" s="1" t="str">
        <f>IFERROR(IF(Final_Sans_VGE[[#This Row],[ppn_z]]="","",IFERROR(
   IF(_xlfn.XLOOKUP(Final_Sans_VGE[[#This Row],[ppn_z]],tbl_Historique_Final[[#This Row],[ppn_z]],tbl_Historique_Final[[#This Row],[date_modif]])=Final_Sans_VGE[[#This Row],[date_modif]],
      "Ancien",
      "Modifié"),
   "Nouveau")),"")</f>
        <v/>
      </c>
    </row>
    <row r="7861" spans="24:30" x14ac:dyDescent="0.25">
      <c r="X7861" s="8" t="e">
        <f>IF(Final_Sans_VGE[[#This Row],[ppn_z]]="","",IFERROR(
   IF(_xlfn.XLOOKUP(Final_Sans_VGE[[#This Row],[ppn_z]],tbl_Historique_Final[ppn_z],tbl_Historique_Final[date_modif])=Final_Sans_VGE[[#This Row],[date_modif]],
      "Ancien",
      "Modifié"),
   "Nouveau"))</f>
        <v>#VALUE!</v>
      </c>
      <c r="AD7861" s="1" t="str">
        <f>IFERROR(IF(Final_Sans_VGE[[#This Row],[ppn_z]]="","",IFERROR(
   IF(_xlfn.XLOOKUP(Final_Sans_VGE[[#This Row],[ppn_z]],tbl_Historique_Final[[#This Row],[ppn_z]],tbl_Historique_Final[[#This Row],[date_modif]])=Final_Sans_VGE[[#This Row],[date_modif]],
      "Ancien",
      "Modifié"),
   "Nouveau")),"")</f>
        <v/>
      </c>
    </row>
    <row r="7862" spans="24:30" x14ac:dyDescent="0.25">
      <c r="X7862" s="8" t="e">
        <f>IF(Final_Sans_VGE[[#This Row],[ppn_z]]="","",IFERROR(
   IF(_xlfn.XLOOKUP(Final_Sans_VGE[[#This Row],[ppn_z]],tbl_Historique_Final[ppn_z],tbl_Historique_Final[date_modif])=Final_Sans_VGE[[#This Row],[date_modif]],
      "Ancien",
      "Modifié"),
   "Nouveau"))</f>
        <v>#VALUE!</v>
      </c>
      <c r="AD7862" s="1" t="str">
        <f>IFERROR(IF(Final_Sans_VGE[[#This Row],[ppn_z]]="","",IFERROR(
   IF(_xlfn.XLOOKUP(Final_Sans_VGE[[#This Row],[ppn_z]],tbl_Historique_Final[[#This Row],[ppn_z]],tbl_Historique_Final[[#This Row],[date_modif]])=Final_Sans_VGE[[#This Row],[date_modif]],
      "Ancien",
      "Modifié"),
   "Nouveau")),"")</f>
        <v/>
      </c>
    </row>
    <row r="7863" spans="24:30" x14ac:dyDescent="0.25">
      <c r="X7863" s="8" t="e">
        <f>IF(Final_Sans_VGE[[#This Row],[ppn_z]]="","",IFERROR(
   IF(_xlfn.XLOOKUP(Final_Sans_VGE[[#This Row],[ppn_z]],tbl_Historique_Final[ppn_z],tbl_Historique_Final[date_modif])=Final_Sans_VGE[[#This Row],[date_modif]],
      "Ancien",
      "Modifié"),
   "Nouveau"))</f>
        <v>#VALUE!</v>
      </c>
      <c r="AD7863" s="1" t="str">
        <f>IFERROR(IF(Final_Sans_VGE[[#This Row],[ppn_z]]="","",IFERROR(
   IF(_xlfn.XLOOKUP(Final_Sans_VGE[[#This Row],[ppn_z]],tbl_Historique_Final[[#This Row],[ppn_z]],tbl_Historique_Final[[#This Row],[date_modif]])=Final_Sans_VGE[[#This Row],[date_modif]],
      "Ancien",
      "Modifié"),
   "Nouveau")),"")</f>
        <v/>
      </c>
    </row>
    <row r="7864" spans="24:30" x14ac:dyDescent="0.25">
      <c r="X7864" s="8" t="e">
        <f>IF(Final_Sans_VGE[[#This Row],[ppn_z]]="","",IFERROR(
   IF(_xlfn.XLOOKUP(Final_Sans_VGE[[#This Row],[ppn_z]],tbl_Historique_Final[ppn_z],tbl_Historique_Final[date_modif])=Final_Sans_VGE[[#This Row],[date_modif]],
      "Ancien",
      "Modifié"),
   "Nouveau"))</f>
        <v>#VALUE!</v>
      </c>
      <c r="AD7864" s="1" t="str">
        <f>IFERROR(IF(Final_Sans_VGE[[#This Row],[ppn_z]]="","",IFERROR(
   IF(_xlfn.XLOOKUP(Final_Sans_VGE[[#This Row],[ppn_z]],tbl_Historique_Final[[#This Row],[ppn_z]],tbl_Historique_Final[[#This Row],[date_modif]])=Final_Sans_VGE[[#This Row],[date_modif]],
      "Ancien",
      "Modifié"),
   "Nouveau")),"")</f>
        <v/>
      </c>
    </row>
    <row r="7865" spans="24:30" x14ac:dyDescent="0.25">
      <c r="X7865" s="8" t="e">
        <f>IF(Final_Sans_VGE[[#This Row],[ppn_z]]="","",IFERROR(
   IF(_xlfn.XLOOKUP(Final_Sans_VGE[[#This Row],[ppn_z]],tbl_Historique_Final[ppn_z],tbl_Historique_Final[date_modif])=Final_Sans_VGE[[#This Row],[date_modif]],
      "Ancien",
      "Modifié"),
   "Nouveau"))</f>
        <v>#VALUE!</v>
      </c>
      <c r="AD7865" s="1" t="str">
        <f>IFERROR(IF(Final_Sans_VGE[[#This Row],[ppn_z]]="","",IFERROR(
   IF(_xlfn.XLOOKUP(Final_Sans_VGE[[#This Row],[ppn_z]],tbl_Historique_Final[[#This Row],[ppn_z]],tbl_Historique_Final[[#This Row],[date_modif]])=Final_Sans_VGE[[#This Row],[date_modif]],
      "Ancien",
      "Modifié"),
   "Nouveau")),"")</f>
        <v/>
      </c>
    </row>
    <row r="7866" spans="24:30" x14ac:dyDescent="0.25">
      <c r="X7866" s="8" t="e">
        <f>IF(Final_Sans_VGE[[#This Row],[ppn_z]]="","",IFERROR(
   IF(_xlfn.XLOOKUP(Final_Sans_VGE[[#This Row],[ppn_z]],tbl_Historique_Final[ppn_z],tbl_Historique_Final[date_modif])=Final_Sans_VGE[[#This Row],[date_modif]],
      "Ancien",
      "Modifié"),
   "Nouveau"))</f>
        <v>#VALUE!</v>
      </c>
      <c r="AD7866" s="1" t="str">
        <f>IFERROR(IF(Final_Sans_VGE[[#This Row],[ppn_z]]="","",IFERROR(
   IF(_xlfn.XLOOKUP(Final_Sans_VGE[[#This Row],[ppn_z]],tbl_Historique_Final[[#This Row],[ppn_z]],tbl_Historique_Final[[#This Row],[date_modif]])=Final_Sans_VGE[[#This Row],[date_modif]],
      "Ancien",
      "Modifié"),
   "Nouveau")),"")</f>
        <v/>
      </c>
    </row>
    <row r="7867" spans="24:30" x14ac:dyDescent="0.25">
      <c r="X7867" s="8" t="e">
        <f>IF(Final_Sans_VGE[[#This Row],[ppn_z]]="","",IFERROR(
   IF(_xlfn.XLOOKUP(Final_Sans_VGE[[#This Row],[ppn_z]],tbl_Historique_Final[ppn_z],tbl_Historique_Final[date_modif])=Final_Sans_VGE[[#This Row],[date_modif]],
      "Ancien",
      "Modifié"),
   "Nouveau"))</f>
        <v>#VALUE!</v>
      </c>
      <c r="AD7867" s="1" t="str">
        <f>IFERROR(IF(Final_Sans_VGE[[#This Row],[ppn_z]]="","",IFERROR(
   IF(_xlfn.XLOOKUP(Final_Sans_VGE[[#This Row],[ppn_z]],tbl_Historique_Final[[#This Row],[ppn_z]],tbl_Historique_Final[[#This Row],[date_modif]])=Final_Sans_VGE[[#This Row],[date_modif]],
      "Ancien",
      "Modifié"),
   "Nouveau")),"")</f>
        <v/>
      </c>
    </row>
    <row r="7868" spans="24:30" x14ac:dyDescent="0.25">
      <c r="X7868" s="8" t="e">
        <f>IF(Final_Sans_VGE[[#This Row],[ppn_z]]="","",IFERROR(
   IF(_xlfn.XLOOKUP(Final_Sans_VGE[[#This Row],[ppn_z]],tbl_Historique_Final[ppn_z],tbl_Historique_Final[date_modif])=Final_Sans_VGE[[#This Row],[date_modif]],
      "Ancien",
      "Modifié"),
   "Nouveau"))</f>
        <v>#VALUE!</v>
      </c>
      <c r="AD7868" s="1" t="str">
        <f>IFERROR(IF(Final_Sans_VGE[[#This Row],[ppn_z]]="","",IFERROR(
   IF(_xlfn.XLOOKUP(Final_Sans_VGE[[#This Row],[ppn_z]],tbl_Historique_Final[[#This Row],[ppn_z]],tbl_Historique_Final[[#This Row],[date_modif]])=Final_Sans_VGE[[#This Row],[date_modif]],
      "Ancien",
      "Modifié"),
   "Nouveau")),"")</f>
        <v/>
      </c>
    </row>
    <row r="7869" spans="24:30" x14ac:dyDescent="0.25">
      <c r="X7869" s="8" t="e">
        <f>IF(Final_Sans_VGE[[#This Row],[ppn_z]]="","",IFERROR(
   IF(_xlfn.XLOOKUP(Final_Sans_VGE[[#This Row],[ppn_z]],tbl_Historique_Final[ppn_z],tbl_Historique_Final[date_modif])=Final_Sans_VGE[[#This Row],[date_modif]],
      "Ancien",
      "Modifié"),
   "Nouveau"))</f>
        <v>#VALUE!</v>
      </c>
      <c r="AD7869" s="1" t="str">
        <f>IFERROR(IF(Final_Sans_VGE[[#This Row],[ppn_z]]="","",IFERROR(
   IF(_xlfn.XLOOKUP(Final_Sans_VGE[[#This Row],[ppn_z]],tbl_Historique_Final[[#This Row],[ppn_z]],tbl_Historique_Final[[#This Row],[date_modif]])=Final_Sans_VGE[[#This Row],[date_modif]],
      "Ancien",
      "Modifié"),
   "Nouveau")),"")</f>
        <v/>
      </c>
    </row>
    <row r="7870" spans="24:30" x14ac:dyDescent="0.25">
      <c r="X7870" s="8" t="e">
        <f>IF(Final_Sans_VGE[[#This Row],[ppn_z]]="","",IFERROR(
   IF(_xlfn.XLOOKUP(Final_Sans_VGE[[#This Row],[ppn_z]],tbl_Historique_Final[ppn_z],tbl_Historique_Final[date_modif])=Final_Sans_VGE[[#This Row],[date_modif]],
      "Ancien",
      "Modifié"),
   "Nouveau"))</f>
        <v>#VALUE!</v>
      </c>
      <c r="AD7870" s="1" t="str">
        <f>IFERROR(IF(Final_Sans_VGE[[#This Row],[ppn_z]]="","",IFERROR(
   IF(_xlfn.XLOOKUP(Final_Sans_VGE[[#This Row],[ppn_z]],tbl_Historique_Final[[#This Row],[ppn_z]],tbl_Historique_Final[[#This Row],[date_modif]])=Final_Sans_VGE[[#This Row],[date_modif]],
      "Ancien",
      "Modifié"),
   "Nouveau")),"")</f>
        <v/>
      </c>
    </row>
    <row r="7871" spans="24:30" x14ac:dyDescent="0.25">
      <c r="X7871" s="8" t="e">
        <f>IF(Final_Sans_VGE[[#This Row],[ppn_z]]="","",IFERROR(
   IF(_xlfn.XLOOKUP(Final_Sans_VGE[[#This Row],[ppn_z]],tbl_Historique_Final[ppn_z],tbl_Historique_Final[date_modif])=Final_Sans_VGE[[#This Row],[date_modif]],
      "Ancien",
      "Modifié"),
   "Nouveau"))</f>
        <v>#VALUE!</v>
      </c>
      <c r="AD7871" s="1" t="str">
        <f>IFERROR(IF(Final_Sans_VGE[[#This Row],[ppn_z]]="","",IFERROR(
   IF(_xlfn.XLOOKUP(Final_Sans_VGE[[#This Row],[ppn_z]],tbl_Historique_Final[[#This Row],[ppn_z]],tbl_Historique_Final[[#This Row],[date_modif]])=Final_Sans_VGE[[#This Row],[date_modif]],
      "Ancien",
      "Modifié"),
   "Nouveau")),"")</f>
        <v/>
      </c>
    </row>
    <row r="7872" spans="24:30" x14ac:dyDescent="0.25">
      <c r="X7872" s="8" t="e">
        <f>IF(Final_Sans_VGE[[#This Row],[ppn_z]]="","",IFERROR(
   IF(_xlfn.XLOOKUP(Final_Sans_VGE[[#This Row],[ppn_z]],tbl_Historique_Final[ppn_z],tbl_Historique_Final[date_modif])=Final_Sans_VGE[[#This Row],[date_modif]],
      "Ancien",
      "Modifié"),
   "Nouveau"))</f>
        <v>#VALUE!</v>
      </c>
      <c r="AD7872" s="1" t="str">
        <f>IFERROR(IF(Final_Sans_VGE[[#This Row],[ppn_z]]="","",IFERROR(
   IF(_xlfn.XLOOKUP(Final_Sans_VGE[[#This Row],[ppn_z]],tbl_Historique_Final[[#This Row],[ppn_z]],tbl_Historique_Final[[#This Row],[date_modif]])=Final_Sans_VGE[[#This Row],[date_modif]],
      "Ancien",
      "Modifié"),
   "Nouveau")),"")</f>
        <v/>
      </c>
    </row>
    <row r="7873" spans="24:30" x14ac:dyDescent="0.25">
      <c r="X7873" s="8" t="e">
        <f>IF(Final_Sans_VGE[[#This Row],[ppn_z]]="","",IFERROR(
   IF(_xlfn.XLOOKUP(Final_Sans_VGE[[#This Row],[ppn_z]],tbl_Historique_Final[ppn_z],tbl_Historique_Final[date_modif])=Final_Sans_VGE[[#This Row],[date_modif]],
      "Ancien",
      "Modifié"),
   "Nouveau"))</f>
        <v>#VALUE!</v>
      </c>
      <c r="AD7873" s="1" t="str">
        <f>IFERROR(IF(Final_Sans_VGE[[#This Row],[ppn_z]]="","",IFERROR(
   IF(_xlfn.XLOOKUP(Final_Sans_VGE[[#This Row],[ppn_z]],tbl_Historique_Final[[#This Row],[ppn_z]],tbl_Historique_Final[[#This Row],[date_modif]])=Final_Sans_VGE[[#This Row],[date_modif]],
      "Ancien",
      "Modifié"),
   "Nouveau")),"")</f>
        <v/>
      </c>
    </row>
    <row r="7874" spans="24:30" x14ac:dyDescent="0.25">
      <c r="X7874" s="8" t="e">
        <f>IF(Final_Sans_VGE[[#This Row],[ppn_z]]="","",IFERROR(
   IF(_xlfn.XLOOKUP(Final_Sans_VGE[[#This Row],[ppn_z]],tbl_Historique_Final[ppn_z],tbl_Historique_Final[date_modif])=Final_Sans_VGE[[#This Row],[date_modif]],
      "Ancien",
      "Modifié"),
   "Nouveau"))</f>
        <v>#VALUE!</v>
      </c>
      <c r="AD7874" s="1" t="str">
        <f>IFERROR(IF(Final_Sans_VGE[[#This Row],[ppn_z]]="","",IFERROR(
   IF(_xlfn.XLOOKUP(Final_Sans_VGE[[#This Row],[ppn_z]],tbl_Historique_Final[[#This Row],[ppn_z]],tbl_Historique_Final[[#This Row],[date_modif]])=Final_Sans_VGE[[#This Row],[date_modif]],
      "Ancien",
      "Modifié"),
   "Nouveau")),"")</f>
        <v/>
      </c>
    </row>
    <row r="7875" spans="24:30" x14ac:dyDescent="0.25">
      <c r="X7875" s="8" t="e">
        <f>IF(Final_Sans_VGE[[#This Row],[ppn_z]]="","",IFERROR(
   IF(_xlfn.XLOOKUP(Final_Sans_VGE[[#This Row],[ppn_z]],tbl_Historique_Final[ppn_z],tbl_Historique_Final[date_modif])=Final_Sans_VGE[[#This Row],[date_modif]],
      "Ancien",
      "Modifié"),
   "Nouveau"))</f>
        <v>#VALUE!</v>
      </c>
      <c r="AD7875" s="1" t="str">
        <f>IFERROR(IF(Final_Sans_VGE[[#This Row],[ppn_z]]="","",IFERROR(
   IF(_xlfn.XLOOKUP(Final_Sans_VGE[[#This Row],[ppn_z]],tbl_Historique_Final[[#This Row],[ppn_z]],tbl_Historique_Final[[#This Row],[date_modif]])=Final_Sans_VGE[[#This Row],[date_modif]],
      "Ancien",
      "Modifié"),
   "Nouveau")),"")</f>
        <v/>
      </c>
    </row>
    <row r="7876" spans="24:30" x14ac:dyDescent="0.25">
      <c r="X7876" s="8" t="e">
        <f>IF(Final_Sans_VGE[[#This Row],[ppn_z]]="","",IFERROR(
   IF(_xlfn.XLOOKUP(Final_Sans_VGE[[#This Row],[ppn_z]],tbl_Historique_Final[ppn_z],tbl_Historique_Final[date_modif])=Final_Sans_VGE[[#This Row],[date_modif]],
      "Ancien",
      "Modifié"),
   "Nouveau"))</f>
        <v>#VALUE!</v>
      </c>
      <c r="AD7876" s="1" t="str">
        <f>IFERROR(IF(Final_Sans_VGE[[#This Row],[ppn_z]]="","",IFERROR(
   IF(_xlfn.XLOOKUP(Final_Sans_VGE[[#This Row],[ppn_z]],tbl_Historique_Final[[#This Row],[ppn_z]],tbl_Historique_Final[[#This Row],[date_modif]])=Final_Sans_VGE[[#This Row],[date_modif]],
      "Ancien",
      "Modifié"),
   "Nouveau")),"")</f>
        <v/>
      </c>
    </row>
    <row r="7877" spans="24:30" x14ac:dyDescent="0.25">
      <c r="X7877" s="8" t="e">
        <f>IF(Final_Sans_VGE[[#This Row],[ppn_z]]="","",IFERROR(
   IF(_xlfn.XLOOKUP(Final_Sans_VGE[[#This Row],[ppn_z]],tbl_Historique_Final[ppn_z],tbl_Historique_Final[date_modif])=Final_Sans_VGE[[#This Row],[date_modif]],
      "Ancien",
      "Modifié"),
   "Nouveau"))</f>
        <v>#VALUE!</v>
      </c>
      <c r="AD7877" s="1" t="str">
        <f>IFERROR(IF(Final_Sans_VGE[[#This Row],[ppn_z]]="","",IFERROR(
   IF(_xlfn.XLOOKUP(Final_Sans_VGE[[#This Row],[ppn_z]],tbl_Historique_Final[[#This Row],[ppn_z]],tbl_Historique_Final[[#This Row],[date_modif]])=Final_Sans_VGE[[#This Row],[date_modif]],
      "Ancien",
      "Modifié"),
   "Nouveau")),"")</f>
        <v/>
      </c>
    </row>
    <row r="7878" spans="24:30" x14ac:dyDescent="0.25">
      <c r="X7878" s="8" t="e">
        <f>IF(Final_Sans_VGE[[#This Row],[ppn_z]]="","",IFERROR(
   IF(_xlfn.XLOOKUP(Final_Sans_VGE[[#This Row],[ppn_z]],tbl_Historique_Final[ppn_z],tbl_Historique_Final[date_modif])=Final_Sans_VGE[[#This Row],[date_modif]],
      "Ancien",
      "Modifié"),
   "Nouveau"))</f>
        <v>#VALUE!</v>
      </c>
      <c r="AD7878" s="1" t="str">
        <f>IFERROR(IF(Final_Sans_VGE[[#This Row],[ppn_z]]="","",IFERROR(
   IF(_xlfn.XLOOKUP(Final_Sans_VGE[[#This Row],[ppn_z]],tbl_Historique_Final[[#This Row],[ppn_z]],tbl_Historique_Final[[#This Row],[date_modif]])=Final_Sans_VGE[[#This Row],[date_modif]],
      "Ancien",
      "Modifié"),
   "Nouveau")),"")</f>
        <v/>
      </c>
    </row>
    <row r="7879" spans="24:30" x14ac:dyDescent="0.25">
      <c r="X7879" s="8" t="e">
        <f>IF(Final_Sans_VGE[[#This Row],[ppn_z]]="","",IFERROR(
   IF(_xlfn.XLOOKUP(Final_Sans_VGE[[#This Row],[ppn_z]],tbl_Historique_Final[ppn_z],tbl_Historique_Final[date_modif])=Final_Sans_VGE[[#This Row],[date_modif]],
      "Ancien",
      "Modifié"),
   "Nouveau"))</f>
        <v>#VALUE!</v>
      </c>
      <c r="AD7879" s="1" t="str">
        <f>IFERROR(IF(Final_Sans_VGE[[#This Row],[ppn_z]]="","",IFERROR(
   IF(_xlfn.XLOOKUP(Final_Sans_VGE[[#This Row],[ppn_z]],tbl_Historique_Final[[#This Row],[ppn_z]],tbl_Historique_Final[[#This Row],[date_modif]])=Final_Sans_VGE[[#This Row],[date_modif]],
      "Ancien",
      "Modifié"),
   "Nouveau")),"")</f>
        <v/>
      </c>
    </row>
    <row r="7880" spans="24:30" x14ac:dyDescent="0.25">
      <c r="X7880" s="8" t="e">
        <f>IF(Final_Sans_VGE[[#This Row],[ppn_z]]="","",IFERROR(
   IF(_xlfn.XLOOKUP(Final_Sans_VGE[[#This Row],[ppn_z]],tbl_Historique_Final[ppn_z],tbl_Historique_Final[date_modif])=Final_Sans_VGE[[#This Row],[date_modif]],
      "Ancien",
      "Modifié"),
   "Nouveau"))</f>
        <v>#VALUE!</v>
      </c>
      <c r="AD7880" s="1" t="str">
        <f>IFERROR(IF(Final_Sans_VGE[[#This Row],[ppn_z]]="","",IFERROR(
   IF(_xlfn.XLOOKUP(Final_Sans_VGE[[#This Row],[ppn_z]],tbl_Historique_Final[[#This Row],[ppn_z]],tbl_Historique_Final[[#This Row],[date_modif]])=Final_Sans_VGE[[#This Row],[date_modif]],
      "Ancien",
      "Modifié"),
   "Nouveau")),"")</f>
        <v/>
      </c>
    </row>
    <row r="7881" spans="24:30" x14ac:dyDescent="0.25">
      <c r="X7881" s="8" t="e">
        <f>IF(Final_Sans_VGE[[#This Row],[ppn_z]]="","",IFERROR(
   IF(_xlfn.XLOOKUP(Final_Sans_VGE[[#This Row],[ppn_z]],tbl_Historique_Final[ppn_z],tbl_Historique_Final[date_modif])=Final_Sans_VGE[[#This Row],[date_modif]],
      "Ancien",
      "Modifié"),
   "Nouveau"))</f>
        <v>#VALUE!</v>
      </c>
      <c r="AD7881" s="1" t="str">
        <f>IFERROR(IF(Final_Sans_VGE[[#This Row],[ppn_z]]="","",IFERROR(
   IF(_xlfn.XLOOKUP(Final_Sans_VGE[[#This Row],[ppn_z]],tbl_Historique_Final[[#This Row],[ppn_z]],tbl_Historique_Final[[#This Row],[date_modif]])=Final_Sans_VGE[[#This Row],[date_modif]],
      "Ancien",
      "Modifié"),
   "Nouveau")),"")</f>
        <v/>
      </c>
    </row>
    <row r="7882" spans="24:30" x14ac:dyDescent="0.25">
      <c r="X7882" s="8" t="e">
        <f>IF(Final_Sans_VGE[[#This Row],[ppn_z]]="","",IFERROR(
   IF(_xlfn.XLOOKUP(Final_Sans_VGE[[#This Row],[ppn_z]],tbl_Historique_Final[ppn_z],tbl_Historique_Final[date_modif])=Final_Sans_VGE[[#This Row],[date_modif]],
      "Ancien",
      "Modifié"),
   "Nouveau"))</f>
        <v>#VALUE!</v>
      </c>
      <c r="AD7882" s="1" t="str">
        <f>IFERROR(IF(Final_Sans_VGE[[#This Row],[ppn_z]]="","",IFERROR(
   IF(_xlfn.XLOOKUP(Final_Sans_VGE[[#This Row],[ppn_z]],tbl_Historique_Final[[#This Row],[ppn_z]],tbl_Historique_Final[[#This Row],[date_modif]])=Final_Sans_VGE[[#This Row],[date_modif]],
      "Ancien",
      "Modifié"),
   "Nouveau")),"")</f>
        <v/>
      </c>
    </row>
    <row r="7883" spans="24:30" x14ac:dyDescent="0.25">
      <c r="X7883" s="8" t="e">
        <f>IF(Final_Sans_VGE[[#This Row],[ppn_z]]="","",IFERROR(
   IF(_xlfn.XLOOKUP(Final_Sans_VGE[[#This Row],[ppn_z]],tbl_Historique_Final[ppn_z],tbl_Historique_Final[date_modif])=Final_Sans_VGE[[#This Row],[date_modif]],
      "Ancien",
      "Modifié"),
   "Nouveau"))</f>
        <v>#VALUE!</v>
      </c>
      <c r="AD7883" s="1" t="str">
        <f>IFERROR(IF(Final_Sans_VGE[[#This Row],[ppn_z]]="","",IFERROR(
   IF(_xlfn.XLOOKUP(Final_Sans_VGE[[#This Row],[ppn_z]],tbl_Historique_Final[[#This Row],[ppn_z]],tbl_Historique_Final[[#This Row],[date_modif]])=Final_Sans_VGE[[#This Row],[date_modif]],
      "Ancien",
      "Modifié"),
   "Nouveau")),"")</f>
        <v/>
      </c>
    </row>
    <row r="7884" spans="24:30" x14ac:dyDescent="0.25">
      <c r="X7884" s="8" t="e">
        <f>IF(Final_Sans_VGE[[#This Row],[ppn_z]]="","",IFERROR(
   IF(_xlfn.XLOOKUP(Final_Sans_VGE[[#This Row],[ppn_z]],tbl_Historique_Final[ppn_z],tbl_Historique_Final[date_modif])=Final_Sans_VGE[[#This Row],[date_modif]],
      "Ancien",
      "Modifié"),
   "Nouveau"))</f>
        <v>#VALUE!</v>
      </c>
      <c r="AD7884" s="1" t="str">
        <f>IFERROR(IF(Final_Sans_VGE[[#This Row],[ppn_z]]="","",IFERROR(
   IF(_xlfn.XLOOKUP(Final_Sans_VGE[[#This Row],[ppn_z]],tbl_Historique_Final[[#This Row],[ppn_z]],tbl_Historique_Final[[#This Row],[date_modif]])=Final_Sans_VGE[[#This Row],[date_modif]],
      "Ancien",
      "Modifié"),
   "Nouveau")),"")</f>
        <v/>
      </c>
    </row>
    <row r="7885" spans="24:30" x14ac:dyDescent="0.25">
      <c r="X7885" s="8" t="e">
        <f>IF(Final_Sans_VGE[[#This Row],[ppn_z]]="","",IFERROR(
   IF(_xlfn.XLOOKUP(Final_Sans_VGE[[#This Row],[ppn_z]],tbl_Historique_Final[ppn_z],tbl_Historique_Final[date_modif])=Final_Sans_VGE[[#This Row],[date_modif]],
      "Ancien",
      "Modifié"),
   "Nouveau"))</f>
        <v>#VALUE!</v>
      </c>
      <c r="AD7885" s="1" t="str">
        <f>IFERROR(IF(Final_Sans_VGE[[#This Row],[ppn_z]]="","",IFERROR(
   IF(_xlfn.XLOOKUP(Final_Sans_VGE[[#This Row],[ppn_z]],tbl_Historique_Final[[#This Row],[ppn_z]],tbl_Historique_Final[[#This Row],[date_modif]])=Final_Sans_VGE[[#This Row],[date_modif]],
      "Ancien",
      "Modifié"),
   "Nouveau")),"")</f>
        <v/>
      </c>
    </row>
    <row r="7886" spans="24:30" x14ac:dyDescent="0.25">
      <c r="X7886" s="8" t="e">
        <f>IF(Final_Sans_VGE[[#This Row],[ppn_z]]="","",IFERROR(
   IF(_xlfn.XLOOKUP(Final_Sans_VGE[[#This Row],[ppn_z]],tbl_Historique_Final[ppn_z],tbl_Historique_Final[date_modif])=Final_Sans_VGE[[#This Row],[date_modif]],
      "Ancien",
      "Modifié"),
   "Nouveau"))</f>
        <v>#VALUE!</v>
      </c>
      <c r="AD7886" s="1" t="str">
        <f>IFERROR(IF(Final_Sans_VGE[[#This Row],[ppn_z]]="","",IFERROR(
   IF(_xlfn.XLOOKUP(Final_Sans_VGE[[#This Row],[ppn_z]],tbl_Historique_Final[[#This Row],[ppn_z]],tbl_Historique_Final[[#This Row],[date_modif]])=Final_Sans_VGE[[#This Row],[date_modif]],
      "Ancien",
      "Modifié"),
   "Nouveau")),"")</f>
        <v/>
      </c>
    </row>
    <row r="7887" spans="24:30" x14ac:dyDescent="0.25">
      <c r="X7887" s="8" t="e">
        <f>IF(Final_Sans_VGE[[#This Row],[ppn_z]]="","",IFERROR(
   IF(_xlfn.XLOOKUP(Final_Sans_VGE[[#This Row],[ppn_z]],tbl_Historique_Final[ppn_z],tbl_Historique_Final[date_modif])=Final_Sans_VGE[[#This Row],[date_modif]],
      "Ancien",
      "Modifié"),
   "Nouveau"))</f>
        <v>#VALUE!</v>
      </c>
      <c r="AD7887" s="1" t="str">
        <f>IFERROR(IF(Final_Sans_VGE[[#This Row],[ppn_z]]="","",IFERROR(
   IF(_xlfn.XLOOKUP(Final_Sans_VGE[[#This Row],[ppn_z]],tbl_Historique_Final[[#This Row],[ppn_z]],tbl_Historique_Final[[#This Row],[date_modif]])=Final_Sans_VGE[[#This Row],[date_modif]],
      "Ancien",
      "Modifié"),
   "Nouveau")),"")</f>
        <v/>
      </c>
    </row>
    <row r="7888" spans="24:30" x14ac:dyDescent="0.25">
      <c r="X7888" s="8" t="e">
        <f>IF(Final_Sans_VGE[[#This Row],[ppn_z]]="","",IFERROR(
   IF(_xlfn.XLOOKUP(Final_Sans_VGE[[#This Row],[ppn_z]],tbl_Historique_Final[ppn_z],tbl_Historique_Final[date_modif])=Final_Sans_VGE[[#This Row],[date_modif]],
      "Ancien",
      "Modifié"),
   "Nouveau"))</f>
        <v>#VALUE!</v>
      </c>
      <c r="AD7888" s="1" t="str">
        <f>IFERROR(IF(Final_Sans_VGE[[#This Row],[ppn_z]]="","",IFERROR(
   IF(_xlfn.XLOOKUP(Final_Sans_VGE[[#This Row],[ppn_z]],tbl_Historique_Final[[#This Row],[ppn_z]],tbl_Historique_Final[[#This Row],[date_modif]])=Final_Sans_VGE[[#This Row],[date_modif]],
      "Ancien",
      "Modifié"),
   "Nouveau")),"")</f>
        <v/>
      </c>
    </row>
    <row r="7889" spans="24:30" x14ac:dyDescent="0.25">
      <c r="X7889" s="8" t="e">
        <f>IF(Final_Sans_VGE[[#This Row],[ppn_z]]="","",IFERROR(
   IF(_xlfn.XLOOKUP(Final_Sans_VGE[[#This Row],[ppn_z]],tbl_Historique_Final[ppn_z],tbl_Historique_Final[date_modif])=Final_Sans_VGE[[#This Row],[date_modif]],
      "Ancien",
      "Modifié"),
   "Nouveau"))</f>
        <v>#VALUE!</v>
      </c>
      <c r="AD7889" s="1" t="str">
        <f>IFERROR(IF(Final_Sans_VGE[[#This Row],[ppn_z]]="","",IFERROR(
   IF(_xlfn.XLOOKUP(Final_Sans_VGE[[#This Row],[ppn_z]],tbl_Historique_Final[[#This Row],[ppn_z]],tbl_Historique_Final[[#This Row],[date_modif]])=Final_Sans_VGE[[#This Row],[date_modif]],
      "Ancien",
      "Modifié"),
   "Nouveau")),"")</f>
        <v/>
      </c>
    </row>
    <row r="7890" spans="24:30" x14ac:dyDescent="0.25">
      <c r="X7890" s="8" t="e">
        <f>IF(Final_Sans_VGE[[#This Row],[ppn_z]]="","",IFERROR(
   IF(_xlfn.XLOOKUP(Final_Sans_VGE[[#This Row],[ppn_z]],tbl_Historique_Final[ppn_z],tbl_Historique_Final[date_modif])=Final_Sans_VGE[[#This Row],[date_modif]],
      "Ancien",
      "Modifié"),
   "Nouveau"))</f>
        <v>#VALUE!</v>
      </c>
      <c r="AD7890" s="1" t="str">
        <f>IFERROR(IF(Final_Sans_VGE[[#This Row],[ppn_z]]="","",IFERROR(
   IF(_xlfn.XLOOKUP(Final_Sans_VGE[[#This Row],[ppn_z]],tbl_Historique_Final[[#This Row],[ppn_z]],tbl_Historique_Final[[#This Row],[date_modif]])=Final_Sans_VGE[[#This Row],[date_modif]],
      "Ancien",
      "Modifié"),
   "Nouveau")),"")</f>
        <v/>
      </c>
    </row>
    <row r="7891" spans="24:30" x14ac:dyDescent="0.25">
      <c r="X7891" s="8" t="e">
        <f>IF(Final_Sans_VGE[[#This Row],[ppn_z]]="","",IFERROR(
   IF(_xlfn.XLOOKUP(Final_Sans_VGE[[#This Row],[ppn_z]],tbl_Historique_Final[ppn_z],tbl_Historique_Final[date_modif])=Final_Sans_VGE[[#This Row],[date_modif]],
      "Ancien",
      "Modifié"),
   "Nouveau"))</f>
        <v>#VALUE!</v>
      </c>
      <c r="AD7891" s="1" t="str">
        <f>IFERROR(IF(Final_Sans_VGE[[#This Row],[ppn_z]]="","",IFERROR(
   IF(_xlfn.XLOOKUP(Final_Sans_VGE[[#This Row],[ppn_z]],tbl_Historique_Final[[#This Row],[ppn_z]],tbl_Historique_Final[[#This Row],[date_modif]])=Final_Sans_VGE[[#This Row],[date_modif]],
      "Ancien",
      "Modifié"),
   "Nouveau")),"")</f>
        <v/>
      </c>
    </row>
    <row r="7892" spans="24:30" x14ac:dyDescent="0.25">
      <c r="X7892" s="8" t="e">
        <f>IF(Final_Sans_VGE[[#This Row],[ppn_z]]="","",IFERROR(
   IF(_xlfn.XLOOKUP(Final_Sans_VGE[[#This Row],[ppn_z]],tbl_Historique_Final[ppn_z],tbl_Historique_Final[date_modif])=Final_Sans_VGE[[#This Row],[date_modif]],
      "Ancien",
      "Modifié"),
   "Nouveau"))</f>
        <v>#VALUE!</v>
      </c>
      <c r="AD7892" s="1" t="str">
        <f>IFERROR(IF(Final_Sans_VGE[[#This Row],[ppn_z]]="","",IFERROR(
   IF(_xlfn.XLOOKUP(Final_Sans_VGE[[#This Row],[ppn_z]],tbl_Historique_Final[[#This Row],[ppn_z]],tbl_Historique_Final[[#This Row],[date_modif]])=Final_Sans_VGE[[#This Row],[date_modif]],
      "Ancien",
      "Modifié"),
   "Nouveau")),"")</f>
        <v/>
      </c>
    </row>
    <row r="7893" spans="24:30" x14ac:dyDescent="0.25">
      <c r="X7893" s="8" t="e">
        <f>IF(Final_Sans_VGE[[#This Row],[ppn_z]]="","",IFERROR(
   IF(_xlfn.XLOOKUP(Final_Sans_VGE[[#This Row],[ppn_z]],tbl_Historique_Final[ppn_z],tbl_Historique_Final[date_modif])=Final_Sans_VGE[[#This Row],[date_modif]],
      "Ancien",
      "Modifié"),
   "Nouveau"))</f>
        <v>#VALUE!</v>
      </c>
      <c r="AD7893" s="1" t="str">
        <f>IFERROR(IF(Final_Sans_VGE[[#This Row],[ppn_z]]="","",IFERROR(
   IF(_xlfn.XLOOKUP(Final_Sans_VGE[[#This Row],[ppn_z]],tbl_Historique_Final[[#This Row],[ppn_z]],tbl_Historique_Final[[#This Row],[date_modif]])=Final_Sans_VGE[[#This Row],[date_modif]],
      "Ancien",
      "Modifié"),
   "Nouveau")),"")</f>
        <v/>
      </c>
    </row>
    <row r="7894" spans="24:30" x14ac:dyDescent="0.25">
      <c r="X7894" s="8" t="e">
        <f>IF(Final_Sans_VGE[[#This Row],[ppn_z]]="","",IFERROR(
   IF(_xlfn.XLOOKUP(Final_Sans_VGE[[#This Row],[ppn_z]],tbl_Historique_Final[ppn_z],tbl_Historique_Final[date_modif])=Final_Sans_VGE[[#This Row],[date_modif]],
      "Ancien",
      "Modifié"),
   "Nouveau"))</f>
        <v>#VALUE!</v>
      </c>
      <c r="AD7894" s="1" t="str">
        <f>IFERROR(IF(Final_Sans_VGE[[#This Row],[ppn_z]]="","",IFERROR(
   IF(_xlfn.XLOOKUP(Final_Sans_VGE[[#This Row],[ppn_z]],tbl_Historique_Final[[#This Row],[ppn_z]],tbl_Historique_Final[[#This Row],[date_modif]])=Final_Sans_VGE[[#This Row],[date_modif]],
      "Ancien",
      "Modifié"),
   "Nouveau")),"")</f>
        <v/>
      </c>
    </row>
    <row r="7895" spans="24:30" x14ac:dyDescent="0.25">
      <c r="X7895" s="8" t="e">
        <f>IF(Final_Sans_VGE[[#This Row],[ppn_z]]="","",IFERROR(
   IF(_xlfn.XLOOKUP(Final_Sans_VGE[[#This Row],[ppn_z]],tbl_Historique_Final[ppn_z],tbl_Historique_Final[date_modif])=Final_Sans_VGE[[#This Row],[date_modif]],
      "Ancien",
      "Modifié"),
   "Nouveau"))</f>
        <v>#VALUE!</v>
      </c>
      <c r="AD7895" s="1" t="str">
        <f>IFERROR(IF(Final_Sans_VGE[[#This Row],[ppn_z]]="","",IFERROR(
   IF(_xlfn.XLOOKUP(Final_Sans_VGE[[#This Row],[ppn_z]],tbl_Historique_Final[[#This Row],[ppn_z]],tbl_Historique_Final[[#This Row],[date_modif]])=Final_Sans_VGE[[#This Row],[date_modif]],
      "Ancien",
      "Modifié"),
   "Nouveau")),"")</f>
        <v/>
      </c>
    </row>
    <row r="7896" spans="24:30" x14ac:dyDescent="0.25">
      <c r="X7896" s="8" t="e">
        <f>IF(Final_Sans_VGE[[#This Row],[ppn_z]]="","",IFERROR(
   IF(_xlfn.XLOOKUP(Final_Sans_VGE[[#This Row],[ppn_z]],tbl_Historique_Final[ppn_z],tbl_Historique_Final[date_modif])=Final_Sans_VGE[[#This Row],[date_modif]],
      "Ancien",
      "Modifié"),
   "Nouveau"))</f>
        <v>#VALUE!</v>
      </c>
      <c r="AD7896" s="1" t="str">
        <f>IFERROR(IF(Final_Sans_VGE[[#This Row],[ppn_z]]="","",IFERROR(
   IF(_xlfn.XLOOKUP(Final_Sans_VGE[[#This Row],[ppn_z]],tbl_Historique_Final[[#This Row],[ppn_z]],tbl_Historique_Final[[#This Row],[date_modif]])=Final_Sans_VGE[[#This Row],[date_modif]],
      "Ancien",
      "Modifié"),
   "Nouveau")),"")</f>
        <v/>
      </c>
    </row>
    <row r="7897" spans="24:30" x14ac:dyDescent="0.25">
      <c r="X7897" s="8" t="e">
        <f>IF(Final_Sans_VGE[[#This Row],[ppn_z]]="","",IFERROR(
   IF(_xlfn.XLOOKUP(Final_Sans_VGE[[#This Row],[ppn_z]],tbl_Historique_Final[ppn_z],tbl_Historique_Final[date_modif])=Final_Sans_VGE[[#This Row],[date_modif]],
      "Ancien",
      "Modifié"),
   "Nouveau"))</f>
        <v>#VALUE!</v>
      </c>
      <c r="AD7897" s="1" t="str">
        <f>IFERROR(IF(Final_Sans_VGE[[#This Row],[ppn_z]]="","",IFERROR(
   IF(_xlfn.XLOOKUP(Final_Sans_VGE[[#This Row],[ppn_z]],tbl_Historique_Final[[#This Row],[ppn_z]],tbl_Historique_Final[[#This Row],[date_modif]])=Final_Sans_VGE[[#This Row],[date_modif]],
      "Ancien",
      "Modifié"),
   "Nouveau")),"")</f>
        <v/>
      </c>
    </row>
    <row r="7898" spans="24:30" x14ac:dyDescent="0.25">
      <c r="X7898" s="8" t="e">
        <f>IF(Final_Sans_VGE[[#This Row],[ppn_z]]="","",IFERROR(
   IF(_xlfn.XLOOKUP(Final_Sans_VGE[[#This Row],[ppn_z]],tbl_Historique_Final[ppn_z],tbl_Historique_Final[date_modif])=Final_Sans_VGE[[#This Row],[date_modif]],
      "Ancien",
      "Modifié"),
   "Nouveau"))</f>
        <v>#VALUE!</v>
      </c>
      <c r="AD7898" s="1" t="str">
        <f>IFERROR(IF(Final_Sans_VGE[[#This Row],[ppn_z]]="","",IFERROR(
   IF(_xlfn.XLOOKUP(Final_Sans_VGE[[#This Row],[ppn_z]],tbl_Historique_Final[[#This Row],[ppn_z]],tbl_Historique_Final[[#This Row],[date_modif]])=Final_Sans_VGE[[#This Row],[date_modif]],
      "Ancien",
      "Modifié"),
   "Nouveau")),"")</f>
        <v/>
      </c>
    </row>
    <row r="7899" spans="24:30" x14ac:dyDescent="0.25">
      <c r="X7899" s="8" t="e">
        <f>IF(Final_Sans_VGE[[#This Row],[ppn_z]]="","",IFERROR(
   IF(_xlfn.XLOOKUP(Final_Sans_VGE[[#This Row],[ppn_z]],tbl_Historique_Final[ppn_z],tbl_Historique_Final[date_modif])=Final_Sans_VGE[[#This Row],[date_modif]],
      "Ancien",
      "Modifié"),
   "Nouveau"))</f>
        <v>#VALUE!</v>
      </c>
      <c r="AD7899" s="1" t="str">
        <f>IFERROR(IF(Final_Sans_VGE[[#This Row],[ppn_z]]="","",IFERROR(
   IF(_xlfn.XLOOKUP(Final_Sans_VGE[[#This Row],[ppn_z]],tbl_Historique_Final[[#This Row],[ppn_z]],tbl_Historique_Final[[#This Row],[date_modif]])=Final_Sans_VGE[[#This Row],[date_modif]],
      "Ancien",
      "Modifié"),
   "Nouveau")),"")</f>
        <v/>
      </c>
    </row>
    <row r="7900" spans="24:30" x14ac:dyDescent="0.25">
      <c r="X7900" s="8" t="e">
        <f>IF(Final_Sans_VGE[[#This Row],[ppn_z]]="","",IFERROR(
   IF(_xlfn.XLOOKUP(Final_Sans_VGE[[#This Row],[ppn_z]],tbl_Historique_Final[ppn_z],tbl_Historique_Final[date_modif])=Final_Sans_VGE[[#This Row],[date_modif]],
      "Ancien",
      "Modifié"),
   "Nouveau"))</f>
        <v>#VALUE!</v>
      </c>
      <c r="AD7900" s="1" t="str">
        <f>IFERROR(IF(Final_Sans_VGE[[#This Row],[ppn_z]]="","",IFERROR(
   IF(_xlfn.XLOOKUP(Final_Sans_VGE[[#This Row],[ppn_z]],tbl_Historique_Final[[#This Row],[ppn_z]],tbl_Historique_Final[[#This Row],[date_modif]])=Final_Sans_VGE[[#This Row],[date_modif]],
      "Ancien",
      "Modifié"),
   "Nouveau")),"")</f>
        <v/>
      </c>
    </row>
    <row r="7901" spans="24:30" x14ac:dyDescent="0.25">
      <c r="X7901" s="8" t="e">
        <f>IF(Final_Sans_VGE[[#This Row],[ppn_z]]="","",IFERROR(
   IF(_xlfn.XLOOKUP(Final_Sans_VGE[[#This Row],[ppn_z]],tbl_Historique_Final[ppn_z],tbl_Historique_Final[date_modif])=Final_Sans_VGE[[#This Row],[date_modif]],
      "Ancien",
      "Modifié"),
   "Nouveau"))</f>
        <v>#VALUE!</v>
      </c>
      <c r="AD7901" s="1" t="str">
        <f>IFERROR(IF(Final_Sans_VGE[[#This Row],[ppn_z]]="","",IFERROR(
   IF(_xlfn.XLOOKUP(Final_Sans_VGE[[#This Row],[ppn_z]],tbl_Historique_Final[[#This Row],[ppn_z]],tbl_Historique_Final[[#This Row],[date_modif]])=Final_Sans_VGE[[#This Row],[date_modif]],
      "Ancien",
      "Modifié"),
   "Nouveau")),"")</f>
        <v/>
      </c>
    </row>
    <row r="7902" spans="24:30" x14ac:dyDescent="0.25">
      <c r="X7902" s="8" t="e">
        <f>IF(Final_Sans_VGE[[#This Row],[ppn_z]]="","",IFERROR(
   IF(_xlfn.XLOOKUP(Final_Sans_VGE[[#This Row],[ppn_z]],tbl_Historique_Final[ppn_z],tbl_Historique_Final[date_modif])=Final_Sans_VGE[[#This Row],[date_modif]],
      "Ancien",
      "Modifié"),
   "Nouveau"))</f>
        <v>#VALUE!</v>
      </c>
      <c r="AD7902" s="1" t="str">
        <f>IFERROR(IF(Final_Sans_VGE[[#This Row],[ppn_z]]="","",IFERROR(
   IF(_xlfn.XLOOKUP(Final_Sans_VGE[[#This Row],[ppn_z]],tbl_Historique_Final[[#This Row],[ppn_z]],tbl_Historique_Final[[#This Row],[date_modif]])=Final_Sans_VGE[[#This Row],[date_modif]],
      "Ancien",
      "Modifié"),
   "Nouveau")),"")</f>
        <v/>
      </c>
    </row>
    <row r="7903" spans="24:30" x14ac:dyDescent="0.25">
      <c r="X7903" s="8" t="e">
        <f>IF(Final_Sans_VGE[[#This Row],[ppn_z]]="","",IFERROR(
   IF(_xlfn.XLOOKUP(Final_Sans_VGE[[#This Row],[ppn_z]],tbl_Historique_Final[ppn_z],tbl_Historique_Final[date_modif])=Final_Sans_VGE[[#This Row],[date_modif]],
      "Ancien",
      "Modifié"),
   "Nouveau"))</f>
        <v>#VALUE!</v>
      </c>
      <c r="AD7903" s="1" t="str">
        <f>IFERROR(IF(Final_Sans_VGE[[#This Row],[ppn_z]]="","",IFERROR(
   IF(_xlfn.XLOOKUP(Final_Sans_VGE[[#This Row],[ppn_z]],tbl_Historique_Final[[#This Row],[ppn_z]],tbl_Historique_Final[[#This Row],[date_modif]])=Final_Sans_VGE[[#This Row],[date_modif]],
      "Ancien",
      "Modifié"),
   "Nouveau")),"")</f>
        <v/>
      </c>
    </row>
    <row r="7904" spans="24:30" x14ac:dyDescent="0.25">
      <c r="X7904" s="8" t="e">
        <f>IF(Final_Sans_VGE[[#This Row],[ppn_z]]="","",IFERROR(
   IF(_xlfn.XLOOKUP(Final_Sans_VGE[[#This Row],[ppn_z]],tbl_Historique_Final[ppn_z],tbl_Historique_Final[date_modif])=Final_Sans_VGE[[#This Row],[date_modif]],
      "Ancien",
      "Modifié"),
   "Nouveau"))</f>
        <v>#VALUE!</v>
      </c>
      <c r="AD7904" s="1" t="str">
        <f>IFERROR(IF(Final_Sans_VGE[[#This Row],[ppn_z]]="","",IFERROR(
   IF(_xlfn.XLOOKUP(Final_Sans_VGE[[#This Row],[ppn_z]],tbl_Historique_Final[[#This Row],[ppn_z]],tbl_Historique_Final[[#This Row],[date_modif]])=Final_Sans_VGE[[#This Row],[date_modif]],
      "Ancien",
      "Modifié"),
   "Nouveau")),"")</f>
        <v/>
      </c>
    </row>
    <row r="7905" spans="24:30" x14ac:dyDescent="0.25">
      <c r="X7905" s="8" t="e">
        <f>IF(Final_Sans_VGE[[#This Row],[ppn_z]]="","",IFERROR(
   IF(_xlfn.XLOOKUP(Final_Sans_VGE[[#This Row],[ppn_z]],tbl_Historique_Final[ppn_z],tbl_Historique_Final[date_modif])=Final_Sans_VGE[[#This Row],[date_modif]],
      "Ancien",
      "Modifié"),
   "Nouveau"))</f>
        <v>#VALUE!</v>
      </c>
      <c r="AD7905" s="1" t="str">
        <f>IFERROR(IF(Final_Sans_VGE[[#This Row],[ppn_z]]="","",IFERROR(
   IF(_xlfn.XLOOKUP(Final_Sans_VGE[[#This Row],[ppn_z]],tbl_Historique_Final[[#This Row],[ppn_z]],tbl_Historique_Final[[#This Row],[date_modif]])=Final_Sans_VGE[[#This Row],[date_modif]],
      "Ancien",
      "Modifié"),
   "Nouveau")),"")</f>
        <v/>
      </c>
    </row>
    <row r="7906" spans="24:30" x14ac:dyDescent="0.25">
      <c r="X7906" s="8" t="e">
        <f>IF(Final_Sans_VGE[[#This Row],[ppn_z]]="","",IFERROR(
   IF(_xlfn.XLOOKUP(Final_Sans_VGE[[#This Row],[ppn_z]],tbl_Historique_Final[ppn_z],tbl_Historique_Final[date_modif])=Final_Sans_VGE[[#This Row],[date_modif]],
      "Ancien",
      "Modifié"),
   "Nouveau"))</f>
        <v>#VALUE!</v>
      </c>
      <c r="AD7906" s="1" t="str">
        <f>IFERROR(IF(Final_Sans_VGE[[#This Row],[ppn_z]]="","",IFERROR(
   IF(_xlfn.XLOOKUP(Final_Sans_VGE[[#This Row],[ppn_z]],tbl_Historique_Final[[#This Row],[ppn_z]],tbl_Historique_Final[[#This Row],[date_modif]])=Final_Sans_VGE[[#This Row],[date_modif]],
      "Ancien",
      "Modifié"),
   "Nouveau")),"")</f>
        <v/>
      </c>
    </row>
    <row r="7907" spans="24:30" x14ac:dyDescent="0.25">
      <c r="X7907" s="8" t="e">
        <f>IF(Final_Sans_VGE[[#This Row],[ppn_z]]="","",IFERROR(
   IF(_xlfn.XLOOKUP(Final_Sans_VGE[[#This Row],[ppn_z]],tbl_Historique_Final[ppn_z],tbl_Historique_Final[date_modif])=Final_Sans_VGE[[#This Row],[date_modif]],
      "Ancien",
      "Modifié"),
   "Nouveau"))</f>
        <v>#VALUE!</v>
      </c>
      <c r="AD7907" s="1" t="str">
        <f>IFERROR(IF(Final_Sans_VGE[[#This Row],[ppn_z]]="","",IFERROR(
   IF(_xlfn.XLOOKUP(Final_Sans_VGE[[#This Row],[ppn_z]],tbl_Historique_Final[[#This Row],[ppn_z]],tbl_Historique_Final[[#This Row],[date_modif]])=Final_Sans_VGE[[#This Row],[date_modif]],
      "Ancien",
      "Modifié"),
   "Nouveau")),"")</f>
        <v/>
      </c>
    </row>
    <row r="7908" spans="24:30" x14ac:dyDescent="0.25">
      <c r="X7908" s="8" t="e">
        <f>IF(Final_Sans_VGE[[#This Row],[ppn_z]]="","",IFERROR(
   IF(_xlfn.XLOOKUP(Final_Sans_VGE[[#This Row],[ppn_z]],tbl_Historique_Final[ppn_z],tbl_Historique_Final[date_modif])=Final_Sans_VGE[[#This Row],[date_modif]],
      "Ancien",
      "Modifié"),
   "Nouveau"))</f>
        <v>#VALUE!</v>
      </c>
      <c r="AD7908" s="1" t="str">
        <f>IFERROR(IF(Final_Sans_VGE[[#This Row],[ppn_z]]="","",IFERROR(
   IF(_xlfn.XLOOKUP(Final_Sans_VGE[[#This Row],[ppn_z]],tbl_Historique_Final[[#This Row],[ppn_z]],tbl_Historique_Final[[#This Row],[date_modif]])=Final_Sans_VGE[[#This Row],[date_modif]],
      "Ancien",
      "Modifié"),
   "Nouveau")),"")</f>
        <v/>
      </c>
    </row>
    <row r="7909" spans="24:30" x14ac:dyDescent="0.25">
      <c r="X7909" s="8" t="e">
        <f>IF(Final_Sans_VGE[[#This Row],[ppn_z]]="","",IFERROR(
   IF(_xlfn.XLOOKUP(Final_Sans_VGE[[#This Row],[ppn_z]],tbl_Historique_Final[ppn_z],tbl_Historique_Final[date_modif])=Final_Sans_VGE[[#This Row],[date_modif]],
      "Ancien",
      "Modifié"),
   "Nouveau"))</f>
        <v>#VALUE!</v>
      </c>
      <c r="AD7909" s="1" t="str">
        <f>IFERROR(IF(Final_Sans_VGE[[#This Row],[ppn_z]]="","",IFERROR(
   IF(_xlfn.XLOOKUP(Final_Sans_VGE[[#This Row],[ppn_z]],tbl_Historique_Final[[#This Row],[ppn_z]],tbl_Historique_Final[[#This Row],[date_modif]])=Final_Sans_VGE[[#This Row],[date_modif]],
      "Ancien",
      "Modifié"),
   "Nouveau")),"")</f>
        <v/>
      </c>
    </row>
    <row r="7910" spans="24:30" x14ac:dyDescent="0.25">
      <c r="X7910" s="8" t="e">
        <f>IF(Final_Sans_VGE[[#This Row],[ppn_z]]="","",IFERROR(
   IF(_xlfn.XLOOKUP(Final_Sans_VGE[[#This Row],[ppn_z]],tbl_Historique_Final[ppn_z],tbl_Historique_Final[date_modif])=Final_Sans_VGE[[#This Row],[date_modif]],
      "Ancien",
      "Modifié"),
   "Nouveau"))</f>
        <v>#VALUE!</v>
      </c>
      <c r="AD7910" s="1" t="str">
        <f>IFERROR(IF(Final_Sans_VGE[[#This Row],[ppn_z]]="","",IFERROR(
   IF(_xlfn.XLOOKUP(Final_Sans_VGE[[#This Row],[ppn_z]],tbl_Historique_Final[[#This Row],[ppn_z]],tbl_Historique_Final[[#This Row],[date_modif]])=Final_Sans_VGE[[#This Row],[date_modif]],
      "Ancien",
      "Modifié"),
   "Nouveau")),"")</f>
        <v/>
      </c>
    </row>
    <row r="7911" spans="24:30" x14ac:dyDescent="0.25">
      <c r="X7911" s="8" t="e">
        <f>IF(Final_Sans_VGE[[#This Row],[ppn_z]]="","",IFERROR(
   IF(_xlfn.XLOOKUP(Final_Sans_VGE[[#This Row],[ppn_z]],tbl_Historique_Final[ppn_z],tbl_Historique_Final[date_modif])=Final_Sans_VGE[[#This Row],[date_modif]],
      "Ancien",
      "Modifié"),
   "Nouveau"))</f>
        <v>#VALUE!</v>
      </c>
      <c r="AD7911" s="1" t="str">
        <f>IFERROR(IF(Final_Sans_VGE[[#This Row],[ppn_z]]="","",IFERROR(
   IF(_xlfn.XLOOKUP(Final_Sans_VGE[[#This Row],[ppn_z]],tbl_Historique_Final[[#This Row],[ppn_z]],tbl_Historique_Final[[#This Row],[date_modif]])=Final_Sans_VGE[[#This Row],[date_modif]],
      "Ancien",
      "Modifié"),
   "Nouveau")),"")</f>
        <v/>
      </c>
    </row>
    <row r="7912" spans="24:30" x14ac:dyDescent="0.25">
      <c r="X7912" s="8" t="e">
        <f>IF(Final_Sans_VGE[[#This Row],[ppn_z]]="","",IFERROR(
   IF(_xlfn.XLOOKUP(Final_Sans_VGE[[#This Row],[ppn_z]],tbl_Historique_Final[ppn_z],tbl_Historique_Final[date_modif])=Final_Sans_VGE[[#This Row],[date_modif]],
      "Ancien",
      "Modifié"),
   "Nouveau"))</f>
        <v>#VALUE!</v>
      </c>
      <c r="AD7912" s="1" t="str">
        <f>IFERROR(IF(Final_Sans_VGE[[#This Row],[ppn_z]]="","",IFERROR(
   IF(_xlfn.XLOOKUP(Final_Sans_VGE[[#This Row],[ppn_z]],tbl_Historique_Final[[#This Row],[ppn_z]],tbl_Historique_Final[[#This Row],[date_modif]])=Final_Sans_VGE[[#This Row],[date_modif]],
      "Ancien",
      "Modifié"),
   "Nouveau")),"")</f>
        <v/>
      </c>
    </row>
    <row r="7913" spans="24:30" x14ac:dyDescent="0.25">
      <c r="X7913" s="8" t="e">
        <f>IF(Final_Sans_VGE[[#This Row],[ppn_z]]="","",IFERROR(
   IF(_xlfn.XLOOKUP(Final_Sans_VGE[[#This Row],[ppn_z]],tbl_Historique_Final[ppn_z],tbl_Historique_Final[date_modif])=Final_Sans_VGE[[#This Row],[date_modif]],
      "Ancien",
      "Modifié"),
   "Nouveau"))</f>
        <v>#VALUE!</v>
      </c>
      <c r="AD7913" s="1" t="str">
        <f>IFERROR(IF(Final_Sans_VGE[[#This Row],[ppn_z]]="","",IFERROR(
   IF(_xlfn.XLOOKUP(Final_Sans_VGE[[#This Row],[ppn_z]],tbl_Historique_Final[[#This Row],[ppn_z]],tbl_Historique_Final[[#This Row],[date_modif]])=Final_Sans_VGE[[#This Row],[date_modif]],
      "Ancien",
      "Modifié"),
   "Nouveau")),"")</f>
        <v/>
      </c>
    </row>
    <row r="7914" spans="24:30" x14ac:dyDescent="0.25">
      <c r="X7914" s="8" t="e">
        <f>IF(Final_Sans_VGE[[#This Row],[ppn_z]]="","",IFERROR(
   IF(_xlfn.XLOOKUP(Final_Sans_VGE[[#This Row],[ppn_z]],tbl_Historique_Final[ppn_z],tbl_Historique_Final[date_modif])=Final_Sans_VGE[[#This Row],[date_modif]],
      "Ancien",
      "Modifié"),
   "Nouveau"))</f>
        <v>#VALUE!</v>
      </c>
      <c r="AD7914" s="1" t="str">
        <f>IFERROR(IF(Final_Sans_VGE[[#This Row],[ppn_z]]="","",IFERROR(
   IF(_xlfn.XLOOKUP(Final_Sans_VGE[[#This Row],[ppn_z]],tbl_Historique_Final[[#This Row],[ppn_z]],tbl_Historique_Final[[#This Row],[date_modif]])=Final_Sans_VGE[[#This Row],[date_modif]],
      "Ancien",
      "Modifié"),
   "Nouveau")),"")</f>
        <v/>
      </c>
    </row>
    <row r="7915" spans="24:30" x14ac:dyDescent="0.25">
      <c r="X7915" s="8" t="e">
        <f>IF(Final_Sans_VGE[[#This Row],[ppn_z]]="","",IFERROR(
   IF(_xlfn.XLOOKUP(Final_Sans_VGE[[#This Row],[ppn_z]],tbl_Historique_Final[ppn_z],tbl_Historique_Final[date_modif])=Final_Sans_VGE[[#This Row],[date_modif]],
      "Ancien",
      "Modifié"),
   "Nouveau"))</f>
        <v>#VALUE!</v>
      </c>
      <c r="AD7915" s="1" t="str">
        <f>IFERROR(IF(Final_Sans_VGE[[#This Row],[ppn_z]]="","",IFERROR(
   IF(_xlfn.XLOOKUP(Final_Sans_VGE[[#This Row],[ppn_z]],tbl_Historique_Final[[#This Row],[ppn_z]],tbl_Historique_Final[[#This Row],[date_modif]])=Final_Sans_VGE[[#This Row],[date_modif]],
      "Ancien",
      "Modifié"),
   "Nouveau")),"")</f>
        <v/>
      </c>
    </row>
    <row r="7916" spans="24:30" x14ac:dyDescent="0.25">
      <c r="X7916" s="8" t="e">
        <f>IF(Final_Sans_VGE[[#This Row],[ppn_z]]="","",IFERROR(
   IF(_xlfn.XLOOKUP(Final_Sans_VGE[[#This Row],[ppn_z]],tbl_Historique_Final[ppn_z],tbl_Historique_Final[date_modif])=Final_Sans_VGE[[#This Row],[date_modif]],
      "Ancien",
      "Modifié"),
   "Nouveau"))</f>
        <v>#VALUE!</v>
      </c>
      <c r="AD7916" s="1" t="str">
        <f>IFERROR(IF(Final_Sans_VGE[[#This Row],[ppn_z]]="","",IFERROR(
   IF(_xlfn.XLOOKUP(Final_Sans_VGE[[#This Row],[ppn_z]],tbl_Historique_Final[[#This Row],[ppn_z]],tbl_Historique_Final[[#This Row],[date_modif]])=Final_Sans_VGE[[#This Row],[date_modif]],
      "Ancien",
      "Modifié"),
   "Nouveau")),"")</f>
        <v/>
      </c>
    </row>
    <row r="7917" spans="24:30" x14ac:dyDescent="0.25">
      <c r="X7917" s="8" t="e">
        <f>IF(Final_Sans_VGE[[#This Row],[ppn_z]]="","",IFERROR(
   IF(_xlfn.XLOOKUP(Final_Sans_VGE[[#This Row],[ppn_z]],tbl_Historique_Final[ppn_z],tbl_Historique_Final[date_modif])=Final_Sans_VGE[[#This Row],[date_modif]],
      "Ancien",
      "Modifié"),
   "Nouveau"))</f>
        <v>#VALUE!</v>
      </c>
      <c r="AD7917" s="1" t="str">
        <f>IFERROR(IF(Final_Sans_VGE[[#This Row],[ppn_z]]="","",IFERROR(
   IF(_xlfn.XLOOKUP(Final_Sans_VGE[[#This Row],[ppn_z]],tbl_Historique_Final[[#This Row],[ppn_z]],tbl_Historique_Final[[#This Row],[date_modif]])=Final_Sans_VGE[[#This Row],[date_modif]],
      "Ancien",
      "Modifié"),
   "Nouveau")),"")</f>
        <v/>
      </c>
    </row>
    <row r="7918" spans="24:30" x14ac:dyDescent="0.25">
      <c r="X7918" s="8" t="e">
        <f>IF(Final_Sans_VGE[[#This Row],[ppn_z]]="","",IFERROR(
   IF(_xlfn.XLOOKUP(Final_Sans_VGE[[#This Row],[ppn_z]],tbl_Historique_Final[ppn_z],tbl_Historique_Final[date_modif])=Final_Sans_VGE[[#This Row],[date_modif]],
      "Ancien",
      "Modifié"),
   "Nouveau"))</f>
        <v>#VALUE!</v>
      </c>
      <c r="AD7918" s="1" t="str">
        <f>IFERROR(IF(Final_Sans_VGE[[#This Row],[ppn_z]]="","",IFERROR(
   IF(_xlfn.XLOOKUP(Final_Sans_VGE[[#This Row],[ppn_z]],tbl_Historique_Final[[#This Row],[ppn_z]],tbl_Historique_Final[[#This Row],[date_modif]])=Final_Sans_VGE[[#This Row],[date_modif]],
      "Ancien",
      "Modifié"),
   "Nouveau")),"")</f>
        <v/>
      </c>
    </row>
    <row r="7919" spans="24:30" x14ac:dyDescent="0.25">
      <c r="X7919" s="8" t="e">
        <f>IF(Final_Sans_VGE[[#This Row],[ppn_z]]="","",IFERROR(
   IF(_xlfn.XLOOKUP(Final_Sans_VGE[[#This Row],[ppn_z]],tbl_Historique_Final[ppn_z],tbl_Historique_Final[date_modif])=Final_Sans_VGE[[#This Row],[date_modif]],
      "Ancien",
      "Modifié"),
   "Nouveau"))</f>
        <v>#VALUE!</v>
      </c>
      <c r="AD7919" s="1" t="str">
        <f>IFERROR(IF(Final_Sans_VGE[[#This Row],[ppn_z]]="","",IFERROR(
   IF(_xlfn.XLOOKUP(Final_Sans_VGE[[#This Row],[ppn_z]],tbl_Historique_Final[[#This Row],[ppn_z]],tbl_Historique_Final[[#This Row],[date_modif]])=Final_Sans_VGE[[#This Row],[date_modif]],
      "Ancien",
      "Modifié"),
   "Nouveau")),"")</f>
        <v/>
      </c>
    </row>
    <row r="7920" spans="24:30" x14ac:dyDescent="0.25">
      <c r="X7920" s="8" t="e">
        <f>IF(Final_Sans_VGE[[#This Row],[ppn_z]]="","",IFERROR(
   IF(_xlfn.XLOOKUP(Final_Sans_VGE[[#This Row],[ppn_z]],tbl_Historique_Final[ppn_z],tbl_Historique_Final[date_modif])=Final_Sans_VGE[[#This Row],[date_modif]],
      "Ancien",
      "Modifié"),
   "Nouveau"))</f>
        <v>#VALUE!</v>
      </c>
      <c r="AD7920" s="1" t="str">
        <f>IFERROR(IF(Final_Sans_VGE[[#This Row],[ppn_z]]="","",IFERROR(
   IF(_xlfn.XLOOKUP(Final_Sans_VGE[[#This Row],[ppn_z]],tbl_Historique_Final[[#This Row],[ppn_z]],tbl_Historique_Final[[#This Row],[date_modif]])=Final_Sans_VGE[[#This Row],[date_modif]],
      "Ancien",
      "Modifié"),
   "Nouveau")),"")</f>
        <v/>
      </c>
    </row>
    <row r="7921" spans="24:30" x14ac:dyDescent="0.25">
      <c r="X7921" s="8" t="e">
        <f>IF(Final_Sans_VGE[[#This Row],[ppn_z]]="","",IFERROR(
   IF(_xlfn.XLOOKUP(Final_Sans_VGE[[#This Row],[ppn_z]],tbl_Historique_Final[ppn_z],tbl_Historique_Final[date_modif])=Final_Sans_VGE[[#This Row],[date_modif]],
      "Ancien",
      "Modifié"),
   "Nouveau"))</f>
        <v>#VALUE!</v>
      </c>
      <c r="AD7921" s="1" t="str">
        <f>IFERROR(IF(Final_Sans_VGE[[#This Row],[ppn_z]]="","",IFERROR(
   IF(_xlfn.XLOOKUP(Final_Sans_VGE[[#This Row],[ppn_z]],tbl_Historique_Final[[#This Row],[ppn_z]],tbl_Historique_Final[[#This Row],[date_modif]])=Final_Sans_VGE[[#This Row],[date_modif]],
      "Ancien",
      "Modifié"),
   "Nouveau")),"")</f>
        <v/>
      </c>
    </row>
    <row r="7922" spans="24:30" x14ac:dyDescent="0.25">
      <c r="X7922" s="8" t="e">
        <f>IF(Final_Sans_VGE[[#This Row],[ppn_z]]="","",IFERROR(
   IF(_xlfn.XLOOKUP(Final_Sans_VGE[[#This Row],[ppn_z]],tbl_Historique_Final[ppn_z],tbl_Historique_Final[date_modif])=Final_Sans_VGE[[#This Row],[date_modif]],
      "Ancien",
      "Modifié"),
   "Nouveau"))</f>
        <v>#VALUE!</v>
      </c>
      <c r="AD7922" s="1" t="str">
        <f>IFERROR(IF(Final_Sans_VGE[[#This Row],[ppn_z]]="","",IFERROR(
   IF(_xlfn.XLOOKUP(Final_Sans_VGE[[#This Row],[ppn_z]],tbl_Historique_Final[[#This Row],[ppn_z]],tbl_Historique_Final[[#This Row],[date_modif]])=Final_Sans_VGE[[#This Row],[date_modif]],
      "Ancien",
      "Modifié"),
   "Nouveau")),"")</f>
        <v/>
      </c>
    </row>
    <row r="7923" spans="24:30" x14ac:dyDescent="0.25">
      <c r="X7923" s="8" t="e">
        <f>IF(Final_Sans_VGE[[#This Row],[ppn_z]]="","",IFERROR(
   IF(_xlfn.XLOOKUP(Final_Sans_VGE[[#This Row],[ppn_z]],tbl_Historique_Final[ppn_z],tbl_Historique_Final[date_modif])=Final_Sans_VGE[[#This Row],[date_modif]],
      "Ancien",
      "Modifié"),
   "Nouveau"))</f>
        <v>#VALUE!</v>
      </c>
      <c r="AD7923" s="1" t="str">
        <f>IFERROR(IF(Final_Sans_VGE[[#This Row],[ppn_z]]="","",IFERROR(
   IF(_xlfn.XLOOKUP(Final_Sans_VGE[[#This Row],[ppn_z]],tbl_Historique_Final[[#This Row],[ppn_z]],tbl_Historique_Final[[#This Row],[date_modif]])=Final_Sans_VGE[[#This Row],[date_modif]],
      "Ancien",
      "Modifié"),
   "Nouveau")),"")</f>
        <v/>
      </c>
    </row>
    <row r="7924" spans="24:30" x14ac:dyDescent="0.25">
      <c r="X7924" s="8" t="e">
        <f>IF(Final_Sans_VGE[[#This Row],[ppn_z]]="","",IFERROR(
   IF(_xlfn.XLOOKUP(Final_Sans_VGE[[#This Row],[ppn_z]],tbl_Historique_Final[ppn_z],tbl_Historique_Final[date_modif])=Final_Sans_VGE[[#This Row],[date_modif]],
      "Ancien",
      "Modifié"),
   "Nouveau"))</f>
        <v>#VALUE!</v>
      </c>
      <c r="AD7924" s="1" t="str">
        <f>IFERROR(IF(Final_Sans_VGE[[#This Row],[ppn_z]]="","",IFERROR(
   IF(_xlfn.XLOOKUP(Final_Sans_VGE[[#This Row],[ppn_z]],tbl_Historique_Final[[#This Row],[ppn_z]],tbl_Historique_Final[[#This Row],[date_modif]])=Final_Sans_VGE[[#This Row],[date_modif]],
      "Ancien",
      "Modifié"),
   "Nouveau")),"")</f>
        <v/>
      </c>
    </row>
    <row r="7925" spans="24:30" x14ac:dyDescent="0.25">
      <c r="X7925" s="8" t="e">
        <f>IF(Final_Sans_VGE[[#This Row],[ppn_z]]="","",IFERROR(
   IF(_xlfn.XLOOKUP(Final_Sans_VGE[[#This Row],[ppn_z]],tbl_Historique_Final[ppn_z],tbl_Historique_Final[date_modif])=Final_Sans_VGE[[#This Row],[date_modif]],
      "Ancien",
      "Modifié"),
   "Nouveau"))</f>
        <v>#VALUE!</v>
      </c>
      <c r="AD7925" s="1" t="str">
        <f>IFERROR(IF(Final_Sans_VGE[[#This Row],[ppn_z]]="","",IFERROR(
   IF(_xlfn.XLOOKUP(Final_Sans_VGE[[#This Row],[ppn_z]],tbl_Historique_Final[[#This Row],[ppn_z]],tbl_Historique_Final[[#This Row],[date_modif]])=Final_Sans_VGE[[#This Row],[date_modif]],
      "Ancien",
      "Modifié"),
   "Nouveau")),"")</f>
        <v/>
      </c>
    </row>
    <row r="7926" spans="24:30" x14ac:dyDescent="0.25">
      <c r="X7926" s="8" t="e">
        <f>IF(Final_Sans_VGE[[#This Row],[ppn_z]]="","",IFERROR(
   IF(_xlfn.XLOOKUP(Final_Sans_VGE[[#This Row],[ppn_z]],tbl_Historique_Final[ppn_z],tbl_Historique_Final[date_modif])=Final_Sans_VGE[[#This Row],[date_modif]],
      "Ancien",
      "Modifié"),
   "Nouveau"))</f>
        <v>#VALUE!</v>
      </c>
      <c r="AD7926" s="1" t="str">
        <f>IFERROR(IF(Final_Sans_VGE[[#This Row],[ppn_z]]="","",IFERROR(
   IF(_xlfn.XLOOKUP(Final_Sans_VGE[[#This Row],[ppn_z]],tbl_Historique_Final[[#This Row],[ppn_z]],tbl_Historique_Final[[#This Row],[date_modif]])=Final_Sans_VGE[[#This Row],[date_modif]],
      "Ancien",
      "Modifié"),
   "Nouveau")),"")</f>
        <v/>
      </c>
    </row>
    <row r="7927" spans="24:30" x14ac:dyDescent="0.25">
      <c r="X7927" s="8" t="e">
        <f>IF(Final_Sans_VGE[[#This Row],[ppn_z]]="","",IFERROR(
   IF(_xlfn.XLOOKUP(Final_Sans_VGE[[#This Row],[ppn_z]],tbl_Historique_Final[ppn_z],tbl_Historique_Final[date_modif])=Final_Sans_VGE[[#This Row],[date_modif]],
      "Ancien",
      "Modifié"),
   "Nouveau"))</f>
        <v>#VALUE!</v>
      </c>
      <c r="AD7927" s="1" t="str">
        <f>IFERROR(IF(Final_Sans_VGE[[#This Row],[ppn_z]]="","",IFERROR(
   IF(_xlfn.XLOOKUP(Final_Sans_VGE[[#This Row],[ppn_z]],tbl_Historique_Final[[#This Row],[ppn_z]],tbl_Historique_Final[[#This Row],[date_modif]])=Final_Sans_VGE[[#This Row],[date_modif]],
      "Ancien",
      "Modifié"),
   "Nouveau")),"")</f>
        <v/>
      </c>
    </row>
    <row r="7928" spans="24:30" x14ac:dyDescent="0.25">
      <c r="X7928" s="8" t="e">
        <f>IF(Final_Sans_VGE[[#This Row],[ppn_z]]="","",IFERROR(
   IF(_xlfn.XLOOKUP(Final_Sans_VGE[[#This Row],[ppn_z]],tbl_Historique_Final[ppn_z],tbl_Historique_Final[date_modif])=Final_Sans_VGE[[#This Row],[date_modif]],
      "Ancien",
      "Modifié"),
   "Nouveau"))</f>
        <v>#VALUE!</v>
      </c>
      <c r="AD7928" s="1" t="str">
        <f>IFERROR(IF(Final_Sans_VGE[[#This Row],[ppn_z]]="","",IFERROR(
   IF(_xlfn.XLOOKUP(Final_Sans_VGE[[#This Row],[ppn_z]],tbl_Historique_Final[[#This Row],[ppn_z]],tbl_Historique_Final[[#This Row],[date_modif]])=Final_Sans_VGE[[#This Row],[date_modif]],
      "Ancien",
      "Modifié"),
   "Nouveau")),"")</f>
        <v/>
      </c>
    </row>
    <row r="7929" spans="24:30" x14ac:dyDescent="0.25">
      <c r="X7929" s="8" t="e">
        <f>IF(Final_Sans_VGE[[#This Row],[ppn_z]]="","",IFERROR(
   IF(_xlfn.XLOOKUP(Final_Sans_VGE[[#This Row],[ppn_z]],tbl_Historique_Final[ppn_z],tbl_Historique_Final[date_modif])=Final_Sans_VGE[[#This Row],[date_modif]],
      "Ancien",
      "Modifié"),
   "Nouveau"))</f>
        <v>#VALUE!</v>
      </c>
      <c r="AD7929" s="1" t="str">
        <f>IFERROR(IF(Final_Sans_VGE[[#This Row],[ppn_z]]="","",IFERROR(
   IF(_xlfn.XLOOKUP(Final_Sans_VGE[[#This Row],[ppn_z]],tbl_Historique_Final[[#This Row],[ppn_z]],tbl_Historique_Final[[#This Row],[date_modif]])=Final_Sans_VGE[[#This Row],[date_modif]],
      "Ancien",
      "Modifié"),
   "Nouveau")),"")</f>
        <v/>
      </c>
    </row>
    <row r="7930" spans="24:30" x14ac:dyDescent="0.25">
      <c r="X7930" s="8" t="e">
        <f>IF(Final_Sans_VGE[[#This Row],[ppn_z]]="","",IFERROR(
   IF(_xlfn.XLOOKUP(Final_Sans_VGE[[#This Row],[ppn_z]],tbl_Historique_Final[ppn_z],tbl_Historique_Final[date_modif])=Final_Sans_VGE[[#This Row],[date_modif]],
      "Ancien",
      "Modifié"),
   "Nouveau"))</f>
        <v>#VALUE!</v>
      </c>
      <c r="AD7930" s="1" t="str">
        <f>IFERROR(IF(Final_Sans_VGE[[#This Row],[ppn_z]]="","",IFERROR(
   IF(_xlfn.XLOOKUP(Final_Sans_VGE[[#This Row],[ppn_z]],tbl_Historique_Final[[#This Row],[ppn_z]],tbl_Historique_Final[[#This Row],[date_modif]])=Final_Sans_VGE[[#This Row],[date_modif]],
      "Ancien",
      "Modifié"),
   "Nouveau")),"")</f>
        <v/>
      </c>
    </row>
    <row r="7931" spans="24:30" x14ac:dyDescent="0.25">
      <c r="X7931" s="8" t="e">
        <f>IF(Final_Sans_VGE[[#This Row],[ppn_z]]="","",IFERROR(
   IF(_xlfn.XLOOKUP(Final_Sans_VGE[[#This Row],[ppn_z]],tbl_Historique_Final[ppn_z],tbl_Historique_Final[date_modif])=Final_Sans_VGE[[#This Row],[date_modif]],
      "Ancien",
      "Modifié"),
   "Nouveau"))</f>
        <v>#VALUE!</v>
      </c>
      <c r="AD7931" s="1" t="str">
        <f>IFERROR(IF(Final_Sans_VGE[[#This Row],[ppn_z]]="","",IFERROR(
   IF(_xlfn.XLOOKUP(Final_Sans_VGE[[#This Row],[ppn_z]],tbl_Historique_Final[[#This Row],[ppn_z]],tbl_Historique_Final[[#This Row],[date_modif]])=Final_Sans_VGE[[#This Row],[date_modif]],
      "Ancien",
      "Modifié"),
   "Nouveau")),"")</f>
        <v/>
      </c>
    </row>
    <row r="7932" spans="24:30" x14ac:dyDescent="0.25">
      <c r="X7932" s="8" t="e">
        <f>IF(Final_Sans_VGE[[#This Row],[ppn_z]]="","",IFERROR(
   IF(_xlfn.XLOOKUP(Final_Sans_VGE[[#This Row],[ppn_z]],tbl_Historique_Final[ppn_z],tbl_Historique_Final[date_modif])=Final_Sans_VGE[[#This Row],[date_modif]],
      "Ancien",
      "Modifié"),
   "Nouveau"))</f>
        <v>#VALUE!</v>
      </c>
      <c r="AD7932" s="1" t="str">
        <f>IFERROR(IF(Final_Sans_VGE[[#This Row],[ppn_z]]="","",IFERROR(
   IF(_xlfn.XLOOKUP(Final_Sans_VGE[[#This Row],[ppn_z]],tbl_Historique_Final[[#This Row],[ppn_z]],tbl_Historique_Final[[#This Row],[date_modif]])=Final_Sans_VGE[[#This Row],[date_modif]],
      "Ancien",
      "Modifié"),
   "Nouveau")),"")</f>
        <v/>
      </c>
    </row>
    <row r="7933" spans="24:30" x14ac:dyDescent="0.25">
      <c r="X7933" s="8" t="e">
        <f>IF(Final_Sans_VGE[[#This Row],[ppn_z]]="","",IFERROR(
   IF(_xlfn.XLOOKUP(Final_Sans_VGE[[#This Row],[ppn_z]],tbl_Historique_Final[ppn_z],tbl_Historique_Final[date_modif])=Final_Sans_VGE[[#This Row],[date_modif]],
      "Ancien",
      "Modifié"),
   "Nouveau"))</f>
        <v>#VALUE!</v>
      </c>
      <c r="AD7933" s="1" t="str">
        <f>IFERROR(IF(Final_Sans_VGE[[#This Row],[ppn_z]]="","",IFERROR(
   IF(_xlfn.XLOOKUP(Final_Sans_VGE[[#This Row],[ppn_z]],tbl_Historique_Final[[#This Row],[ppn_z]],tbl_Historique_Final[[#This Row],[date_modif]])=Final_Sans_VGE[[#This Row],[date_modif]],
      "Ancien",
      "Modifié"),
   "Nouveau")),"")</f>
        <v/>
      </c>
    </row>
    <row r="7934" spans="24:30" x14ac:dyDescent="0.25">
      <c r="X7934" s="8" t="e">
        <f>IF(Final_Sans_VGE[[#This Row],[ppn_z]]="","",IFERROR(
   IF(_xlfn.XLOOKUP(Final_Sans_VGE[[#This Row],[ppn_z]],tbl_Historique_Final[ppn_z],tbl_Historique_Final[date_modif])=Final_Sans_VGE[[#This Row],[date_modif]],
      "Ancien",
      "Modifié"),
   "Nouveau"))</f>
        <v>#VALUE!</v>
      </c>
      <c r="AD7934" s="1" t="str">
        <f>IFERROR(IF(Final_Sans_VGE[[#This Row],[ppn_z]]="","",IFERROR(
   IF(_xlfn.XLOOKUP(Final_Sans_VGE[[#This Row],[ppn_z]],tbl_Historique_Final[[#This Row],[ppn_z]],tbl_Historique_Final[[#This Row],[date_modif]])=Final_Sans_VGE[[#This Row],[date_modif]],
      "Ancien",
      "Modifié"),
   "Nouveau")),"")</f>
        <v/>
      </c>
    </row>
    <row r="7935" spans="24:30" x14ac:dyDescent="0.25">
      <c r="X7935" s="8" t="e">
        <f>IF(Final_Sans_VGE[[#This Row],[ppn_z]]="","",IFERROR(
   IF(_xlfn.XLOOKUP(Final_Sans_VGE[[#This Row],[ppn_z]],tbl_Historique_Final[ppn_z],tbl_Historique_Final[date_modif])=Final_Sans_VGE[[#This Row],[date_modif]],
      "Ancien",
      "Modifié"),
   "Nouveau"))</f>
        <v>#VALUE!</v>
      </c>
      <c r="AD7935" s="1" t="str">
        <f>IFERROR(IF(Final_Sans_VGE[[#This Row],[ppn_z]]="","",IFERROR(
   IF(_xlfn.XLOOKUP(Final_Sans_VGE[[#This Row],[ppn_z]],tbl_Historique_Final[[#This Row],[ppn_z]],tbl_Historique_Final[[#This Row],[date_modif]])=Final_Sans_VGE[[#This Row],[date_modif]],
      "Ancien",
      "Modifié"),
   "Nouveau")),"")</f>
        <v/>
      </c>
    </row>
    <row r="7936" spans="24:30" x14ac:dyDescent="0.25">
      <c r="X7936" s="8" t="e">
        <f>IF(Final_Sans_VGE[[#This Row],[ppn_z]]="","",IFERROR(
   IF(_xlfn.XLOOKUP(Final_Sans_VGE[[#This Row],[ppn_z]],tbl_Historique_Final[ppn_z],tbl_Historique_Final[date_modif])=Final_Sans_VGE[[#This Row],[date_modif]],
      "Ancien",
      "Modifié"),
   "Nouveau"))</f>
        <v>#VALUE!</v>
      </c>
      <c r="AD7936" s="1" t="str">
        <f>IFERROR(IF(Final_Sans_VGE[[#This Row],[ppn_z]]="","",IFERROR(
   IF(_xlfn.XLOOKUP(Final_Sans_VGE[[#This Row],[ppn_z]],tbl_Historique_Final[[#This Row],[ppn_z]],tbl_Historique_Final[[#This Row],[date_modif]])=Final_Sans_VGE[[#This Row],[date_modif]],
      "Ancien",
      "Modifié"),
   "Nouveau")),"")</f>
        <v/>
      </c>
    </row>
    <row r="7937" spans="24:30" x14ac:dyDescent="0.25">
      <c r="X7937" s="8" t="e">
        <f>IF(Final_Sans_VGE[[#This Row],[ppn_z]]="","",IFERROR(
   IF(_xlfn.XLOOKUP(Final_Sans_VGE[[#This Row],[ppn_z]],tbl_Historique_Final[ppn_z],tbl_Historique_Final[date_modif])=Final_Sans_VGE[[#This Row],[date_modif]],
      "Ancien",
      "Modifié"),
   "Nouveau"))</f>
        <v>#VALUE!</v>
      </c>
      <c r="AD7937" s="1" t="str">
        <f>IFERROR(IF(Final_Sans_VGE[[#This Row],[ppn_z]]="","",IFERROR(
   IF(_xlfn.XLOOKUP(Final_Sans_VGE[[#This Row],[ppn_z]],tbl_Historique_Final[[#This Row],[ppn_z]],tbl_Historique_Final[[#This Row],[date_modif]])=Final_Sans_VGE[[#This Row],[date_modif]],
      "Ancien",
      "Modifié"),
   "Nouveau")),"")</f>
        <v/>
      </c>
    </row>
    <row r="7938" spans="24:30" x14ac:dyDescent="0.25">
      <c r="X7938" s="8" t="e">
        <f>IF(Final_Sans_VGE[[#This Row],[ppn_z]]="","",IFERROR(
   IF(_xlfn.XLOOKUP(Final_Sans_VGE[[#This Row],[ppn_z]],tbl_Historique_Final[ppn_z],tbl_Historique_Final[date_modif])=Final_Sans_VGE[[#This Row],[date_modif]],
      "Ancien",
      "Modifié"),
   "Nouveau"))</f>
        <v>#VALUE!</v>
      </c>
      <c r="AD7938" s="1" t="str">
        <f>IFERROR(IF(Final_Sans_VGE[[#This Row],[ppn_z]]="","",IFERROR(
   IF(_xlfn.XLOOKUP(Final_Sans_VGE[[#This Row],[ppn_z]],tbl_Historique_Final[[#This Row],[ppn_z]],tbl_Historique_Final[[#This Row],[date_modif]])=Final_Sans_VGE[[#This Row],[date_modif]],
      "Ancien",
      "Modifié"),
   "Nouveau")),"")</f>
        <v/>
      </c>
    </row>
    <row r="7939" spans="24:30" x14ac:dyDescent="0.25">
      <c r="X7939" s="8" t="e">
        <f>IF(Final_Sans_VGE[[#This Row],[ppn_z]]="","",IFERROR(
   IF(_xlfn.XLOOKUP(Final_Sans_VGE[[#This Row],[ppn_z]],tbl_Historique_Final[ppn_z],tbl_Historique_Final[date_modif])=Final_Sans_VGE[[#This Row],[date_modif]],
      "Ancien",
      "Modifié"),
   "Nouveau"))</f>
        <v>#VALUE!</v>
      </c>
      <c r="AD7939" s="1" t="str">
        <f>IFERROR(IF(Final_Sans_VGE[[#This Row],[ppn_z]]="","",IFERROR(
   IF(_xlfn.XLOOKUP(Final_Sans_VGE[[#This Row],[ppn_z]],tbl_Historique_Final[[#This Row],[ppn_z]],tbl_Historique_Final[[#This Row],[date_modif]])=Final_Sans_VGE[[#This Row],[date_modif]],
      "Ancien",
      "Modifié"),
   "Nouveau")),"")</f>
        <v/>
      </c>
    </row>
    <row r="7940" spans="24:30" x14ac:dyDescent="0.25">
      <c r="X7940" s="8" t="e">
        <f>IF(Final_Sans_VGE[[#This Row],[ppn_z]]="","",IFERROR(
   IF(_xlfn.XLOOKUP(Final_Sans_VGE[[#This Row],[ppn_z]],tbl_Historique_Final[ppn_z],tbl_Historique_Final[date_modif])=Final_Sans_VGE[[#This Row],[date_modif]],
      "Ancien",
      "Modifié"),
   "Nouveau"))</f>
        <v>#VALUE!</v>
      </c>
      <c r="AD7940" s="1" t="str">
        <f>IFERROR(IF(Final_Sans_VGE[[#This Row],[ppn_z]]="","",IFERROR(
   IF(_xlfn.XLOOKUP(Final_Sans_VGE[[#This Row],[ppn_z]],tbl_Historique_Final[[#This Row],[ppn_z]],tbl_Historique_Final[[#This Row],[date_modif]])=Final_Sans_VGE[[#This Row],[date_modif]],
      "Ancien",
      "Modifié"),
   "Nouveau")),"")</f>
        <v/>
      </c>
    </row>
    <row r="7941" spans="24:30" x14ac:dyDescent="0.25">
      <c r="X7941" s="8" t="e">
        <f>IF(Final_Sans_VGE[[#This Row],[ppn_z]]="","",IFERROR(
   IF(_xlfn.XLOOKUP(Final_Sans_VGE[[#This Row],[ppn_z]],tbl_Historique_Final[ppn_z],tbl_Historique_Final[date_modif])=Final_Sans_VGE[[#This Row],[date_modif]],
      "Ancien",
      "Modifié"),
   "Nouveau"))</f>
        <v>#VALUE!</v>
      </c>
      <c r="AD7941" s="1" t="str">
        <f>IFERROR(IF(Final_Sans_VGE[[#This Row],[ppn_z]]="","",IFERROR(
   IF(_xlfn.XLOOKUP(Final_Sans_VGE[[#This Row],[ppn_z]],tbl_Historique_Final[[#This Row],[ppn_z]],tbl_Historique_Final[[#This Row],[date_modif]])=Final_Sans_VGE[[#This Row],[date_modif]],
      "Ancien",
      "Modifié"),
   "Nouveau")),"")</f>
        <v/>
      </c>
    </row>
    <row r="7942" spans="24:30" x14ac:dyDescent="0.25">
      <c r="X7942" s="8" t="e">
        <f>IF(Final_Sans_VGE[[#This Row],[ppn_z]]="","",IFERROR(
   IF(_xlfn.XLOOKUP(Final_Sans_VGE[[#This Row],[ppn_z]],tbl_Historique_Final[ppn_z],tbl_Historique_Final[date_modif])=Final_Sans_VGE[[#This Row],[date_modif]],
      "Ancien",
      "Modifié"),
   "Nouveau"))</f>
        <v>#VALUE!</v>
      </c>
      <c r="AD7942" s="1" t="str">
        <f>IFERROR(IF(Final_Sans_VGE[[#This Row],[ppn_z]]="","",IFERROR(
   IF(_xlfn.XLOOKUP(Final_Sans_VGE[[#This Row],[ppn_z]],tbl_Historique_Final[[#This Row],[ppn_z]],tbl_Historique_Final[[#This Row],[date_modif]])=Final_Sans_VGE[[#This Row],[date_modif]],
      "Ancien",
      "Modifié"),
   "Nouveau")),"")</f>
        <v/>
      </c>
    </row>
    <row r="7943" spans="24:30" x14ac:dyDescent="0.25">
      <c r="X7943" s="8" t="e">
        <f>IF(Final_Sans_VGE[[#This Row],[ppn_z]]="","",IFERROR(
   IF(_xlfn.XLOOKUP(Final_Sans_VGE[[#This Row],[ppn_z]],tbl_Historique_Final[ppn_z],tbl_Historique_Final[date_modif])=Final_Sans_VGE[[#This Row],[date_modif]],
      "Ancien",
      "Modifié"),
   "Nouveau"))</f>
        <v>#VALUE!</v>
      </c>
      <c r="AD7943" s="1" t="str">
        <f>IFERROR(IF(Final_Sans_VGE[[#This Row],[ppn_z]]="","",IFERROR(
   IF(_xlfn.XLOOKUP(Final_Sans_VGE[[#This Row],[ppn_z]],tbl_Historique_Final[[#This Row],[ppn_z]],tbl_Historique_Final[[#This Row],[date_modif]])=Final_Sans_VGE[[#This Row],[date_modif]],
      "Ancien",
      "Modifié"),
   "Nouveau")),"")</f>
        <v/>
      </c>
    </row>
    <row r="7944" spans="24:30" x14ac:dyDescent="0.25">
      <c r="X7944" s="8" t="e">
        <f>IF(Final_Sans_VGE[[#This Row],[ppn_z]]="","",IFERROR(
   IF(_xlfn.XLOOKUP(Final_Sans_VGE[[#This Row],[ppn_z]],tbl_Historique_Final[ppn_z],tbl_Historique_Final[date_modif])=Final_Sans_VGE[[#This Row],[date_modif]],
      "Ancien",
      "Modifié"),
   "Nouveau"))</f>
        <v>#VALUE!</v>
      </c>
      <c r="AD7944" s="1" t="str">
        <f>IFERROR(IF(Final_Sans_VGE[[#This Row],[ppn_z]]="","",IFERROR(
   IF(_xlfn.XLOOKUP(Final_Sans_VGE[[#This Row],[ppn_z]],tbl_Historique_Final[[#This Row],[ppn_z]],tbl_Historique_Final[[#This Row],[date_modif]])=Final_Sans_VGE[[#This Row],[date_modif]],
      "Ancien",
      "Modifié"),
   "Nouveau")),"")</f>
        <v/>
      </c>
    </row>
    <row r="7945" spans="24:30" x14ac:dyDescent="0.25">
      <c r="X7945" s="8" t="e">
        <f>IF(Final_Sans_VGE[[#This Row],[ppn_z]]="","",IFERROR(
   IF(_xlfn.XLOOKUP(Final_Sans_VGE[[#This Row],[ppn_z]],tbl_Historique_Final[ppn_z],tbl_Historique_Final[date_modif])=Final_Sans_VGE[[#This Row],[date_modif]],
      "Ancien",
      "Modifié"),
   "Nouveau"))</f>
        <v>#VALUE!</v>
      </c>
      <c r="AD7945" s="1" t="str">
        <f>IFERROR(IF(Final_Sans_VGE[[#This Row],[ppn_z]]="","",IFERROR(
   IF(_xlfn.XLOOKUP(Final_Sans_VGE[[#This Row],[ppn_z]],tbl_Historique_Final[[#This Row],[ppn_z]],tbl_Historique_Final[[#This Row],[date_modif]])=Final_Sans_VGE[[#This Row],[date_modif]],
      "Ancien",
      "Modifié"),
   "Nouveau")),"")</f>
        <v/>
      </c>
    </row>
    <row r="7946" spans="24:30" x14ac:dyDescent="0.25">
      <c r="X7946" s="8" t="e">
        <f>IF(Final_Sans_VGE[[#This Row],[ppn_z]]="","",IFERROR(
   IF(_xlfn.XLOOKUP(Final_Sans_VGE[[#This Row],[ppn_z]],tbl_Historique_Final[ppn_z],tbl_Historique_Final[date_modif])=Final_Sans_VGE[[#This Row],[date_modif]],
      "Ancien",
      "Modifié"),
   "Nouveau"))</f>
        <v>#VALUE!</v>
      </c>
      <c r="AD7946" s="1" t="str">
        <f>IFERROR(IF(Final_Sans_VGE[[#This Row],[ppn_z]]="","",IFERROR(
   IF(_xlfn.XLOOKUP(Final_Sans_VGE[[#This Row],[ppn_z]],tbl_Historique_Final[[#This Row],[ppn_z]],tbl_Historique_Final[[#This Row],[date_modif]])=Final_Sans_VGE[[#This Row],[date_modif]],
      "Ancien",
      "Modifié"),
   "Nouveau")),"")</f>
        <v/>
      </c>
    </row>
    <row r="7947" spans="24:30" x14ac:dyDescent="0.25">
      <c r="X7947" s="8" t="e">
        <f>IF(Final_Sans_VGE[[#This Row],[ppn_z]]="","",IFERROR(
   IF(_xlfn.XLOOKUP(Final_Sans_VGE[[#This Row],[ppn_z]],tbl_Historique_Final[ppn_z],tbl_Historique_Final[date_modif])=Final_Sans_VGE[[#This Row],[date_modif]],
      "Ancien",
      "Modifié"),
   "Nouveau"))</f>
        <v>#VALUE!</v>
      </c>
      <c r="AD7947" s="1" t="str">
        <f>IFERROR(IF(Final_Sans_VGE[[#This Row],[ppn_z]]="","",IFERROR(
   IF(_xlfn.XLOOKUP(Final_Sans_VGE[[#This Row],[ppn_z]],tbl_Historique_Final[[#This Row],[ppn_z]],tbl_Historique_Final[[#This Row],[date_modif]])=Final_Sans_VGE[[#This Row],[date_modif]],
      "Ancien",
      "Modifié"),
   "Nouveau")),"")</f>
        <v/>
      </c>
    </row>
    <row r="7948" spans="24:30" x14ac:dyDescent="0.25">
      <c r="X7948" s="8" t="e">
        <f>IF(Final_Sans_VGE[[#This Row],[ppn_z]]="","",IFERROR(
   IF(_xlfn.XLOOKUP(Final_Sans_VGE[[#This Row],[ppn_z]],tbl_Historique_Final[ppn_z],tbl_Historique_Final[date_modif])=Final_Sans_VGE[[#This Row],[date_modif]],
      "Ancien",
      "Modifié"),
   "Nouveau"))</f>
        <v>#VALUE!</v>
      </c>
      <c r="AD7948" s="1" t="str">
        <f>IFERROR(IF(Final_Sans_VGE[[#This Row],[ppn_z]]="","",IFERROR(
   IF(_xlfn.XLOOKUP(Final_Sans_VGE[[#This Row],[ppn_z]],tbl_Historique_Final[[#This Row],[ppn_z]],tbl_Historique_Final[[#This Row],[date_modif]])=Final_Sans_VGE[[#This Row],[date_modif]],
      "Ancien",
      "Modifié"),
   "Nouveau")),"")</f>
        <v/>
      </c>
    </row>
    <row r="7949" spans="24:30" x14ac:dyDescent="0.25">
      <c r="X7949" s="8" t="e">
        <f>IF(Final_Sans_VGE[[#This Row],[ppn_z]]="","",IFERROR(
   IF(_xlfn.XLOOKUP(Final_Sans_VGE[[#This Row],[ppn_z]],tbl_Historique_Final[ppn_z],tbl_Historique_Final[date_modif])=Final_Sans_VGE[[#This Row],[date_modif]],
      "Ancien",
      "Modifié"),
   "Nouveau"))</f>
        <v>#VALUE!</v>
      </c>
      <c r="AD7949" s="1" t="str">
        <f>IFERROR(IF(Final_Sans_VGE[[#This Row],[ppn_z]]="","",IFERROR(
   IF(_xlfn.XLOOKUP(Final_Sans_VGE[[#This Row],[ppn_z]],tbl_Historique_Final[[#This Row],[ppn_z]],tbl_Historique_Final[[#This Row],[date_modif]])=Final_Sans_VGE[[#This Row],[date_modif]],
      "Ancien",
      "Modifié"),
   "Nouveau")),"")</f>
        <v/>
      </c>
    </row>
    <row r="7950" spans="24:30" x14ac:dyDescent="0.25">
      <c r="X7950" s="8" t="e">
        <f>IF(Final_Sans_VGE[[#This Row],[ppn_z]]="","",IFERROR(
   IF(_xlfn.XLOOKUP(Final_Sans_VGE[[#This Row],[ppn_z]],tbl_Historique_Final[ppn_z],tbl_Historique_Final[date_modif])=Final_Sans_VGE[[#This Row],[date_modif]],
      "Ancien",
      "Modifié"),
   "Nouveau"))</f>
        <v>#VALUE!</v>
      </c>
      <c r="AD7950" s="1" t="str">
        <f>IFERROR(IF(Final_Sans_VGE[[#This Row],[ppn_z]]="","",IFERROR(
   IF(_xlfn.XLOOKUP(Final_Sans_VGE[[#This Row],[ppn_z]],tbl_Historique_Final[[#This Row],[ppn_z]],tbl_Historique_Final[[#This Row],[date_modif]])=Final_Sans_VGE[[#This Row],[date_modif]],
      "Ancien",
      "Modifié"),
   "Nouveau")),"")</f>
        <v/>
      </c>
    </row>
    <row r="7951" spans="24:30" x14ac:dyDescent="0.25">
      <c r="X7951" s="8" t="e">
        <f>IF(Final_Sans_VGE[[#This Row],[ppn_z]]="","",IFERROR(
   IF(_xlfn.XLOOKUP(Final_Sans_VGE[[#This Row],[ppn_z]],tbl_Historique_Final[ppn_z],tbl_Historique_Final[date_modif])=Final_Sans_VGE[[#This Row],[date_modif]],
      "Ancien",
      "Modifié"),
   "Nouveau"))</f>
        <v>#VALUE!</v>
      </c>
      <c r="AD7951" s="1" t="str">
        <f>IFERROR(IF(Final_Sans_VGE[[#This Row],[ppn_z]]="","",IFERROR(
   IF(_xlfn.XLOOKUP(Final_Sans_VGE[[#This Row],[ppn_z]],tbl_Historique_Final[[#This Row],[ppn_z]],tbl_Historique_Final[[#This Row],[date_modif]])=Final_Sans_VGE[[#This Row],[date_modif]],
      "Ancien",
      "Modifié"),
   "Nouveau")),"")</f>
        <v/>
      </c>
    </row>
    <row r="7952" spans="24:30" x14ac:dyDescent="0.25">
      <c r="X7952" s="8" t="e">
        <f>IF(Final_Sans_VGE[[#This Row],[ppn_z]]="","",IFERROR(
   IF(_xlfn.XLOOKUP(Final_Sans_VGE[[#This Row],[ppn_z]],tbl_Historique_Final[ppn_z],tbl_Historique_Final[date_modif])=Final_Sans_VGE[[#This Row],[date_modif]],
      "Ancien",
      "Modifié"),
   "Nouveau"))</f>
        <v>#VALUE!</v>
      </c>
      <c r="AD7952" s="1" t="str">
        <f>IFERROR(IF(Final_Sans_VGE[[#This Row],[ppn_z]]="","",IFERROR(
   IF(_xlfn.XLOOKUP(Final_Sans_VGE[[#This Row],[ppn_z]],tbl_Historique_Final[[#This Row],[ppn_z]],tbl_Historique_Final[[#This Row],[date_modif]])=Final_Sans_VGE[[#This Row],[date_modif]],
      "Ancien",
      "Modifié"),
   "Nouveau")),"")</f>
        <v/>
      </c>
    </row>
    <row r="7953" spans="24:30" x14ac:dyDescent="0.25">
      <c r="X7953" s="8" t="e">
        <f>IF(Final_Sans_VGE[[#This Row],[ppn_z]]="","",IFERROR(
   IF(_xlfn.XLOOKUP(Final_Sans_VGE[[#This Row],[ppn_z]],tbl_Historique_Final[ppn_z],tbl_Historique_Final[date_modif])=Final_Sans_VGE[[#This Row],[date_modif]],
      "Ancien",
      "Modifié"),
   "Nouveau"))</f>
        <v>#VALUE!</v>
      </c>
      <c r="AD7953" s="1" t="str">
        <f>IFERROR(IF(Final_Sans_VGE[[#This Row],[ppn_z]]="","",IFERROR(
   IF(_xlfn.XLOOKUP(Final_Sans_VGE[[#This Row],[ppn_z]],tbl_Historique_Final[[#This Row],[ppn_z]],tbl_Historique_Final[[#This Row],[date_modif]])=Final_Sans_VGE[[#This Row],[date_modif]],
      "Ancien",
      "Modifié"),
   "Nouveau")),"")</f>
        <v/>
      </c>
    </row>
    <row r="7954" spans="24:30" x14ac:dyDescent="0.25">
      <c r="X7954" s="8" t="e">
        <f>IF(Final_Sans_VGE[[#This Row],[ppn_z]]="","",IFERROR(
   IF(_xlfn.XLOOKUP(Final_Sans_VGE[[#This Row],[ppn_z]],tbl_Historique_Final[ppn_z],tbl_Historique_Final[date_modif])=Final_Sans_VGE[[#This Row],[date_modif]],
      "Ancien",
      "Modifié"),
   "Nouveau"))</f>
        <v>#VALUE!</v>
      </c>
      <c r="AD7954" s="1" t="str">
        <f>IFERROR(IF(Final_Sans_VGE[[#This Row],[ppn_z]]="","",IFERROR(
   IF(_xlfn.XLOOKUP(Final_Sans_VGE[[#This Row],[ppn_z]],tbl_Historique_Final[[#This Row],[ppn_z]],tbl_Historique_Final[[#This Row],[date_modif]])=Final_Sans_VGE[[#This Row],[date_modif]],
      "Ancien",
      "Modifié"),
   "Nouveau")),"")</f>
        <v/>
      </c>
    </row>
    <row r="7955" spans="24:30" x14ac:dyDescent="0.25">
      <c r="X7955" s="8" t="e">
        <f>IF(Final_Sans_VGE[[#This Row],[ppn_z]]="","",IFERROR(
   IF(_xlfn.XLOOKUP(Final_Sans_VGE[[#This Row],[ppn_z]],tbl_Historique_Final[ppn_z],tbl_Historique_Final[date_modif])=Final_Sans_VGE[[#This Row],[date_modif]],
      "Ancien",
      "Modifié"),
   "Nouveau"))</f>
        <v>#VALUE!</v>
      </c>
      <c r="AD7955" s="1" t="str">
        <f>IFERROR(IF(Final_Sans_VGE[[#This Row],[ppn_z]]="","",IFERROR(
   IF(_xlfn.XLOOKUP(Final_Sans_VGE[[#This Row],[ppn_z]],tbl_Historique_Final[[#This Row],[ppn_z]],tbl_Historique_Final[[#This Row],[date_modif]])=Final_Sans_VGE[[#This Row],[date_modif]],
      "Ancien",
      "Modifié"),
   "Nouveau")),"")</f>
        <v/>
      </c>
    </row>
    <row r="7956" spans="24:30" x14ac:dyDescent="0.25">
      <c r="X7956" s="8" t="e">
        <f>IF(Final_Sans_VGE[[#This Row],[ppn_z]]="","",IFERROR(
   IF(_xlfn.XLOOKUP(Final_Sans_VGE[[#This Row],[ppn_z]],tbl_Historique_Final[ppn_z],tbl_Historique_Final[date_modif])=Final_Sans_VGE[[#This Row],[date_modif]],
      "Ancien",
      "Modifié"),
   "Nouveau"))</f>
        <v>#VALUE!</v>
      </c>
      <c r="AD7956" s="1" t="str">
        <f>IFERROR(IF(Final_Sans_VGE[[#This Row],[ppn_z]]="","",IFERROR(
   IF(_xlfn.XLOOKUP(Final_Sans_VGE[[#This Row],[ppn_z]],tbl_Historique_Final[[#This Row],[ppn_z]],tbl_Historique_Final[[#This Row],[date_modif]])=Final_Sans_VGE[[#This Row],[date_modif]],
      "Ancien",
      "Modifié"),
   "Nouveau")),"")</f>
        <v/>
      </c>
    </row>
    <row r="7957" spans="24:30" x14ac:dyDescent="0.25">
      <c r="X7957" s="8" t="e">
        <f>IF(Final_Sans_VGE[[#This Row],[ppn_z]]="","",IFERROR(
   IF(_xlfn.XLOOKUP(Final_Sans_VGE[[#This Row],[ppn_z]],tbl_Historique_Final[ppn_z],tbl_Historique_Final[date_modif])=Final_Sans_VGE[[#This Row],[date_modif]],
      "Ancien",
      "Modifié"),
   "Nouveau"))</f>
        <v>#VALUE!</v>
      </c>
      <c r="AD7957" s="1" t="str">
        <f>IFERROR(IF(Final_Sans_VGE[[#This Row],[ppn_z]]="","",IFERROR(
   IF(_xlfn.XLOOKUP(Final_Sans_VGE[[#This Row],[ppn_z]],tbl_Historique_Final[[#This Row],[ppn_z]],tbl_Historique_Final[[#This Row],[date_modif]])=Final_Sans_VGE[[#This Row],[date_modif]],
      "Ancien",
      "Modifié"),
   "Nouveau")),"")</f>
        <v/>
      </c>
    </row>
    <row r="7958" spans="24:30" x14ac:dyDescent="0.25">
      <c r="X7958" s="8" t="e">
        <f>IF(Final_Sans_VGE[[#This Row],[ppn_z]]="","",IFERROR(
   IF(_xlfn.XLOOKUP(Final_Sans_VGE[[#This Row],[ppn_z]],tbl_Historique_Final[ppn_z],tbl_Historique_Final[date_modif])=Final_Sans_VGE[[#This Row],[date_modif]],
      "Ancien",
      "Modifié"),
   "Nouveau"))</f>
        <v>#VALUE!</v>
      </c>
      <c r="AD7958" s="1" t="str">
        <f>IFERROR(IF(Final_Sans_VGE[[#This Row],[ppn_z]]="","",IFERROR(
   IF(_xlfn.XLOOKUP(Final_Sans_VGE[[#This Row],[ppn_z]],tbl_Historique_Final[[#This Row],[ppn_z]],tbl_Historique_Final[[#This Row],[date_modif]])=Final_Sans_VGE[[#This Row],[date_modif]],
      "Ancien",
      "Modifié"),
   "Nouveau")),"")</f>
        <v/>
      </c>
    </row>
    <row r="7959" spans="24:30" x14ac:dyDescent="0.25">
      <c r="X7959" s="8" t="e">
        <f>IF(Final_Sans_VGE[[#This Row],[ppn_z]]="","",IFERROR(
   IF(_xlfn.XLOOKUP(Final_Sans_VGE[[#This Row],[ppn_z]],tbl_Historique_Final[ppn_z],tbl_Historique_Final[date_modif])=Final_Sans_VGE[[#This Row],[date_modif]],
      "Ancien",
      "Modifié"),
   "Nouveau"))</f>
        <v>#VALUE!</v>
      </c>
      <c r="AD7959" s="1" t="str">
        <f>IFERROR(IF(Final_Sans_VGE[[#This Row],[ppn_z]]="","",IFERROR(
   IF(_xlfn.XLOOKUP(Final_Sans_VGE[[#This Row],[ppn_z]],tbl_Historique_Final[[#This Row],[ppn_z]],tbl_Historique_Final[[#This Row],[date_modif]])=Final_Sans_VGE[[#This Row],[date_modif]],
      "Ancien",
      "Modifié"),
   "Nouveau")),"")</f>
        <v/>
      </c>
    </row>
    <row r="7960" spans="24:30" x14ac:dyDescent="0.25">
      <c r="X7960" s="8" t="e">
        <f>IF(Final_Sans_VGE[[#This Row],[ppn_z]]="","",IFERROR(
   IF(_xlfn.XLOOKUP(Final_Sans_VGE[[#This Row],[ppn_z]],tbl_Historique_Final[ppn_z],tbl_Historique_Final[date_modif])=Final_Sans_VGE[[#This Row],[date_modif]],
      "Ancien",
      "Modifié"),
   "Nouveau"))</f>
        <v>#VALUE!</v>
      </c>
      <c r="AD7960" s="1" t="str">
        <f>IFERROR(IF(Final_Sans_VGE[[#This Row],[ppn_z]]="","",IFERROR(
   IF(_xlfn.XLOOKUP(Final_Sans_VGE[[#This Row],[ppn_z]],tbl_Historique_Final[[#This Row],[ppn_z]],tbl_Historique_Final[[#This Row],[date_modif]])=Final_Sans_VGE[[#This Row],[date_modif]],
      "Ancien",
      "Modifié"),
   "Nouveau")),"")</f>
        <v/>
      </c>
    </row>
    <row r="7961" spans="24:30" x14ac:dyDescent="0.25">
      <c r="X7961" s="8" t="e">
        <f>IF(Final_Sans_VGE[[#This Row],[ppn_z]]="","",IFERROR(
   IF(_xlfn.XLOOKUP(Final_Sans_VGE[[#This Row],[ppn_z]],tbl_Historique_Final[ppn_z],tbl_Historique_Final[date_modif])=Final_Sans_VGE[[#This Row],[date_modif]],
      "Ancien",
      "Modifié"),
   "Nouveau"))</f>
        <v>#VALUE!</v>
      </c>
      <c r="AD7961" s="1" t="str">
        <f>IFERROR(IF(Final_Sans_VGE[[#This Row],[ppn_z]]="","",IFERROR(
   IF(_xlfn.XLOOKUP(Final_Sans_VGE[[#This Row],[ppn_z]],tbl_Historique_Final[[#This Row],[ppn_z]],tbl_Historique_Final[[#This Row],[date_modif]])=Final_Sans_VGE[[#This Row],[date_modif]],
      "Ancien",
      "Modifié"),
   "Nouveau")),"")</f>
        <v/>
      </c>
    </row>
    <row r="7962" spans="24:30" x14ac:dyDescent="0.25">
      <c r="X7962" s="8" t="e">
        <f>IF(Final_Sans_VGE[[#This Row],[ppn_z]]="","",IFERROR(
   IF(_xlfn.XLOOKUP(Final_Sans_VGE[[#This Row],[ppn_z]],tbl_Historique_Final[ppn_z],tbl_Historique_Final[date_modif])=Final_Sans_VGE[[#This Row],[date_modif]],
      "Ancien",
      "Modifié"),
   "Nouveau"))</f>
        <v>#VALUE!</v>
      </c>
      <c r="AD7962" s="1" t="str">
        <f>IFERROR(IF(Final_Sans_VGE[[#This Row],[ppn_z]]="","",IFERROR(
   IF(_xlfn.XLOOKUP(Final_Sans_VGE[[#This Row],[ppn_z]],tbl_Historique_Final[[#This Row],[ppn_z]],tbl_Historique_Final[[#This Row],[date_modif]])=Final_Sans_VGE[[#This Row],[date_modif]],
      "Ancien",
      "Modifié"),
   "Nouveau")),"")</f>
        <v/>
      </c>
    </row>
    <row r="7963" spans="24:30" x14ac:dyDescent="0.25">
      <c r="X7963" s="8" t="e">
        <f>IF(Final_Sans_VGE[[#This Row],[ppn_z]]="","",IFERROR(
   IF(_xlfn.XLOOKUP(Final_Sans_VGE[[#This Row],[ppn_z]],tbl_Historique_Final[ppn_z],tbl_Historique_Final[date_modif])=Final_Sans_VGE[[#This Row],[date_modif]],
      "Ancien",
      "Modifié"),
   "Nouveau"))</f>
        <v>#VALUE!</v>
      </c>
      <c r="AD7963" s="1" t="str">
        <f>IFERROR(IF(Final_Sans_VGE[[#This Row],[ppn_z]]="","",IFERROR(
   IF(_xlfn.XLOOKUP(Final_Sans_VGE[[#This Row],[ppn_z]],tbl_Historique_Final[[#This Row],[ppn_z]],tbl_Historique_Final[[#This Row],[date_modif]])=Final_Sans_VGE[[#This Row],[date_modif]],
      "Ancien",
      "Modifié"),
   "Nouveau")),"")</f>
        <v/>
      </c>
    </row>
    <row r="7964" spans="24:30" x14ac:dyDescent="0.25">
      <c r="X7964" s="8" t="e">
        <f>IF(Final_Sans_VGE[[#This Row],[ppn_z]]="","",IFERROR(
   IF(_xlfn.XLOOKUP(Final_Sans_VGE[[#This Row],[ppn_z]],tbl_Historique_Final[ppn_z],tbl_Historique_Final[date_modif])=Final_Sans_VGE[[#This Row],[date_modif]],
      "Ancien",
      "Modifié"),
   "Nouveau"))</f>
        <v>#VALUE!</v>
      </c>
      <c r="AD7964" s="1" t="str">
        <f>IFERROR(IF(Final_Sans_VGE[[#This Row],[ppn_z]]="","",IFERROR(
   IF(_xlfn.XLOOKUP(Final_Sans_VGE[[#This Row],[ppn_z]],tbl_Historique_Final[[#This Row],[ppn_z]],tbl_Historique_Final[[#This Row],[date_modif]])=Final_Sans_VGE[[#This Row],[date_modif]],
      "Ancien",
      "Modifié"),
   "Nouveau")),"")</f>
        <v/>
      </c>
    </row>
    <row r="7965" spans="24:30" x14ac:dyDescent="0.25">
      <c r="X7965" s="8" t="e">
        <f>IF(Final_Sans_VGE[[#This Row],[ppn_z]]="","",IFERROR(
   IF(_xlfn.XLOOKUP(Final_Sans_VGE[[#This Row],[ppn_z]],tbl_Historique_Final[ppn_z],tbl_Historique_Final[date_modif])=Final_Sans_VGE[[#This Row],[date_modif]],
      "Ancien",
      "Modifié"),
   "Nouveau"))</f>
        <v>#VALUE!</v>
      </c>
      <c r="AD7965" s="1" t="str">
        <f>IFERROR(IF(Final_Sans_VGE[[#This Row],[ppn_z]]="","",IFERROR(
   IF(_xlfn.XLOOKUP(Final_Sans_VGE[[#This Row],[ppn_z]],tbl_Historique_Final[[#This Row],[ppn_z]],tbl_Historique_Final[[#This Row],[date_modif]])=Final_Sans_VGE[[#This Row],[date_modif]],
      "Ancien",
      "Modifié"),
   "Nouveau")),"")</f>
        <v/>
      </c>
    </row>
    <row r="7966" spans="24:30" x14ac:dyDescent="0.25">
      <c r="X7966" s="8" t="e">
        <f>IF(Final_Sans_VGE[[#This Row],[ppn_z]]="","",IFERROR(
   IF(_xlfn.XLOOKUP(Final_Sans_VGE[[#This Row],[ppn_z]],tbl_Historique_Final[ppn_z],tbl_Historique_Final[date_modif])=Final_Sans_VGE[[#This Row],[date_modif]],
      "Ancien",
      "Modifié"),
   "Nouveau"))</f>
        <v>#VALUE!</v>
      </c>
      <c r="AD7966" s="1" t="str">
        <f>IFERROR(IF(Final_Sans_VGE[[#This Row],[ppn_z]]="","",IFERROR(
   IF(_xlfn.XLOOKUP(Final_Sans_VGE[[#This Row],[ppn_z]],tbl_Historique_Final[[#This Row],[ppn_z]],tbl_Historique_Final[[#This Row],[date_modif]])=Final_Sans_VGE[[#This Row],[date_modif]],
      "Ancien",
      "Modifié"),
   "Nouveau")),"")</f>
        <v/>
      </c>
    </row>
    <row r="7967" spans="24:30" x14ac:dyDescent="0.25">
      <c r="X7967" s="8" t="e">
        <f>IF(Final_Sans_VGE[[#This Row],[ppn_z]]="","",IFERROR(
   IF(_xlfn.XLOOKUP(Final_Sans_VGE[[#This Row],[ppn_z]],tbl_Historique_Final[ppn_z],tbl_Historique_Final[date_modif])=Final_Sans_VGE[[#This Row],[date_modif]],
      "Ancien",
      "Modifié"),
   "Nouveau"))</f>
        <v>#VALUE!</v>
      </c>
      <c r="AD7967" s="1" t="str">
        <f>IFERROR(IF(Final_Sans_VGE[[#This Row],[ppn_z]]="","",IFERROR(
   IF(_xlfn.XLOOKUP(Final_Sans_VGE[[#This Row],[ppn_z]],tbl_Historique_Final[[#This Row],[ppn_z]],tbl_Historique_Final[[#This Row],[date_modif]])=Final_Sans_VGE[[#This Row],[date_modif]],
      "Ancien",
      "Modifié"),
   "Nouveau")),"")</f>
        <v/>
      </c>
    </row>
    <row r="7968" spans="24:30" x14ac:dyDescent="0.25">
      <c r="X7968" s="8" t="e">
        <f>IF(Final_Sans_VGE[[#This Row],[ppn_z]]="","",IFERROR(
   IF(_xlfn.XLOOKUP(Final_Sans_VGE[[#This Row],[ppn_z]],tbl_Historique_Final[ppn_z],tbl_Historique_Final[date_modif])=Final_Sans_VGE[[#This Row],[date_modif]],
      "Ancien",
      "Modifié"),
   "Nouveau"))</f>
        <v>#VALUE!</v>
      </c>
      <c r="AD7968" s="1" t="str">
        <f>IFERROR(IF(Final_Sans_VGE[[#This Row],[ppn_z]]="","",IFERROR(
   IF(_xlfn.XLOOKUP(Final_Sans_VGE[[#This Row],[ppn_z]],tbl_Historique_Final[[#This Row],[ppn_z]],tbl_Historique_Final[[#This Row],[date_modif]])=Final_Sans_VGE[[#This Row],[date_modif]],
      "Ancien",
      "Modifié"),
   "Nouveau")),"")</f>
        <v/>
      </c>
    </row>
    <row r="7969" spans="24:30" x14ac:dyDescent="0.25">
      <c r="X7969" s="8" t="e">
        <f>IF(Final_Sans_VGE[[#This Row],[ppn_z]]="","",IFERROR(
   IF(_xlfn.XLOOKUP(Final_Sans_VGE[[#This Row],[ppn_z]],tbl_Historique_Final[ppn_z],tbl_Historique_Final[date_modif])=Final_Sans_VGE[[#This Row],[date_modif]],
      "Ancien",
      "Modifié"),
   "Nouveau"))</f>
        <v>#VALUE!</v>
      </c>
      <c r="AD7969" s="1" t="str">
        <f>IFERROR(IF(Final_Sans_VGE[[#This Row],[ppn_z]]="","",IFERROR(
   IF(_xlfn.XLOOKUP(Final_Sans_VGE[[#This Row],[ppn_z]],tbl_Historique_Final[[#This Row],[ppn_z]],tbl_Historique_Final[[#This Row],[date_modif]])=Final_Sans_VGE[[#This Row],[date_modif]],
      "Ancien",
      "Modifié"),
   "Nouveau")),"")</f>
        <v/>
      </c>
    </row>
    <row r="7970" spans="24:30" x14ac:dyDescent="0.25">
      <c r="X7970" s="8" t="e">
        <f>IF(Final_Sans_VGE[[#This Row],[ppn_z]]="","",IFERROR(
   IF(_xlfn.XLOOKUP(Final_Sans_VGE[[#This Row],[ppn_z]],tbl_Historique_Final[ppn_z],tbl_Historique_Final[date_modif])=Final_Sans_VGE[[#This Row],[date_modif]],
      "Ancien",
      "Modifié"),
   "Nouveau"))</f>
        <v>#VALUE!</v>
      </c>
      <c r="AD7970" s="1" t="str">
        <f>IFERROR(IF(Final_Sans_VGE[[#This Row],[ppn_z]]="","",IFERROR(
   IF(_xlfn.XLOOKUP(Final_Sans_VGE[[#This Row],[ppn_z]],tbl_Historique_Final[[#This Row],[ppn_z]],tbl_Historique_Final[[#This Row],[date_modif]])=Final_Sans_VGE[[#This Row],[date_modif]],
      "Ancien",
      "Modifié"),
   "Nouveau")),"")</f>
        <v/>
      </c>
    </row>
    <row r="7971" spans="24:30" x14ac:dyDescent="0.25">
      <c r="X7971" s="8" t="e">
        <f>IF(Final_Sans_VGE[[#This Row],[ppn_z]]="","",IFERROR(
   IF(_xlfn.XLOOKUP(Final_Sans_VGE[[#This Row],[ppn_z]],tbl_Historique_Final[ppn_z],tbl_Historique_Final[date_modif])=Final_Sans_VGE[[#This Row],[date_modif]],
      "Ancien",
      "Modifié"),
   "Nouveau"))</f>
        <v>#VALUE!</v>
      </c>
      <c r="AD7971" s="1" t="str">
        <f>IFERROR(IF(Final_Sans_VGE[[#This Row],[ppn_z]]="","",IFERROR(
   IF(_xlfn.XLOOKUP(Final_Sans_VGE[[#This Row],[ppn_z]],tbl_Historique_Final[[#This Row],[ppn_z]],tbl_Historique_Final[[#This Row],[date_modif]])=Final_Sans_VGE[[#This Row],[date_modif]],
      "Ancien",
      "Modifié"),
   "Nouveau")),"")</f>
        <v/>
      </c>
    </row>
    <row r="7972" spans="24:30" x14ac:dyDescent="0.25">
      <c r="X7972" s="8" t="e">
        <f>IF(Final_Sans_VGE[[#This Row],[ppn_z]]="","",IFERROR(
   IF(_xlfn.XLOOKUP(Final_Sans_VGE[[#This Row],[ppn_z]],tbl_Historique_Final[ppn_z],tbl_Historique_Final[date_modif])=Final_Sans_VGE[[#This Row],[date_modif]],
      "Ancien",
      "Modifié"),
   "Nouveau"))</f>
        <v>#VALUE!</v>
      </c>
      <c r="AD7972" s="1" t="str">
        <f>IFERROR(IF(Final_Sans_VGE[[#This Row],[ppn_z]]="","",IFERROR(
   IF(_xlfn.XLOOKUP(Final_Sans_VGE[[#This Row],[ppn_z]],tbl_Historique_Final[[#This Row],[ppn_z]],tbl_Historique_Final[[#This Row],[date_modif]])=Final_Sans_VGE[[#This Row],[date_modif]],
      "Ancien",
      "Modifié"),
   "Nouveau")),"")</f>
        <v/>
      </c>
    </row>
    <row r="7973" spans="24:30" x14ac:dyDescent="0.25">
      <c r="X7973" s="8" t="e">
        <f>IF(Final_Sans_VGE[[#This Row],[ppn_z]]="","",IFERROR(
   IF(_xlfn.XLOOKUP(Final_Sans_VGE[[#This Row],[ppn_z]],tbl_Historique_Final[ppn_z],tbl_Historique_Final[date_modif])=Final_Sans_VGE[[#This Row],[date_modif]],
      "Ancien",
      "Modifié"),
   "Nouveau"))</f>
        <v>#VALUE!</v>
      </c>
      <c r="AD7973" s="1" t="str">
        <f>IFERROR(IF(Final_Sans_VGE[[#This Row],[ppn_z]]="","",IFERROR(
   IF(_xlfn.XLOOKUP(Final_Sans_VGE[[#This Row],[ppn_z]],tbl_Historique_Final[[#This Row],[ppn_z]],tbl_Historique_Final[[#This Row],[date_modif]])=Final_Sans_VGE[[#This Row],[date_modif]],
      "Ancien",
      "Modifié"),
   "Nouveau")),"")</f>
        <v/>
      </c>
    </row>
    <row r="7974" spans="24:30" x14ac:dyDescent="0.25">
      <c r="X7974" s="8" t="e">
        <f>IF(Final_Sans_VGE[[#This Row],[ppn_z]]="","",IFERROR(
   IF(_xlfn.XLOOKUP(Final_Sans_VGE[[#This Row],[ppn_z]],tbl_Historique_Final[ppn_z],tbl_Historique_Final[date_modif])=Final_Sans_VGE[[#This Row],[date_modif]],
      "Ancien",
      "Modifié"),
   "Nouveau"))</f>
        <v>#VALUE!</v>
      </c>
      <c r="AD7974" s="1" t="str">
        <f>IFERROR(IF(Final_Sans_VGE[[#This Row],[ppn_z]]="","",IFERROR(
   IF(_xlfn.XLOOKUP(Final_Sans_VGE[[#This Row],[ppn_z]],tbl_Historique_Final[[#This Row],[ppn_z]],tbl_Historique_Final[[#This Row],[date_modif]])=Final_Sans_VGE[[#This Row],[date_modif]],
      "Ancien",
      "Modifié"),
   "Nouveau")),"")</f>
        <v/>
      </c>
    </row>
    <row r="7975" spans="24:30" x14ac:dyDescent="0.25">
      <c r="X7975" s="8" t="e">
        <f>IF(Final_Sans_VGE[[#This Row],[ppn_z]]="","",IFERROR(
   IF(_xlfn.XLOOKUP(Final_Sans_VGE[[#This Row],[ppn_z]],tbl_Historique_Final[ppn_z],tbl_Historique_Final[date_modif])=Final_Sans_VGE[[#This Row],[date_modif]],
      "Ancien",
      "Modifié"),
   "Nouveau"))</f>
        <v>#VALUE!</v>
      </c>
      <c r="AD7975" s="1" t="str">
        <f>IFERROR(IF(Final_Sans_VGE[[#This Row],[ppn_z]]="","",IFERROR(
   IF(_xlfn.XLOOKUP(Final_Sans_VGE[[#This Row],[ppn_z]],tbl_Historique_Final[[#This Row],[ppn_z]],tbl_Historique_Final[[#This Row],[date_modif]])=Final_Sans_VGE[[#This Row],[date_modif]],
      "Ancien",
      "Modifié"),
   "Nouveau")),"")</f>
        <v/>
      </c>
    </row>
    <row r="7976" spans="24:30" x14ac:dyDescent="0.25">
      <c r="X7976" s="8" t="e">
        <f>IF(Final_Sans_VGE[[#This Row],[ppn_z]]="","",IFERROR(
   IF(_xlfn.XLOOKUP(Final_Sans_VGE[[#This Row],[ppn_z]],tbl_Historique_Final[ppn_z],tbl_Historique_Final[date_modif])=Final_Sans_VGE[[#This Row],[date_modif]],
      "Ancien",
      "Modifié"),
   "Nouveau"))</f>
        <v>#VALUE!</v>
      </c>
      <c r="AD7976" s="1" t="str">
        <f>IFERROR(IF(Final_Sans_VGE[[#This Row],[ppn_z]]="","",IFERROR(
   IF(_xlfn.XLOOKUP(Final_Sans_VGE[[#This Row],[ppn_z]],tbl_Historique_Final[[#This Row],[ppn_z]],tbl_Historique_Final[[#This Row],[date_modif]])=Final_Sans_VGE[[#This Row],[date_modif]],
      "Ancien",
      "Modifié"),
   "Nouveau")),"")</f>
        <v/>
      </c>
    </row>
    <row r="7977" spans="24:30" x14ac:dyDescent="0.25">
      <c r="X7977" s="8" t="e">
        <f>IF(Final_Sans_VGE[[#This Row],[ppn_z]]="","",IFERROR(
   IF(_xlfn.XLOOKUP(Final_Sans_VGE[[#This Row],[ppn_z]],tbl_Historique_Final[ppn_z],tbl_Historique_Final[date_modif])=Final_Sans_VGE[[#This Row],[date_modif]],
      "Ancien",
      "Modifié"),
   "Nouveau"))</f>
        <v>#VALUE!</v>
      </c>
      <c r="AD7977" s="1" t="str">
        <f>IFERROR(IF(Final_Sans_VGE[[#This Row],[ppn_z]]="","",IFERROR(
   IF(_xlfn.XLOOKUP(Final_Sans_VGE[[#This Row],[ppn_z]],tbl_Historique_Final[[#This Row],[ppn_z]],tbl_Historique_Final[[#This Row],[date_modif]])=Final_Sans_VGE[[#This Row],[date_modif]],
      "Ancien",
      "Modifié"),
   "Nouveau")),"")</f>
        <v/>
      </c>
    </row>
    <row r="7978" spans="24:30" x14ac:dyDescent="0.25">
      <c r="X7978" s="8" t="e">
        <f>IF(Final_Sans_VGE[[#This Row],[ppn_z]]="","",IFERROR(
   IF(_xlfn.XLOOKUP(Final_Sans_VGE[[#This Row],[ppn_z]],tbl_Historique_Final[ppn_z],tbl_Historique_Final[date_modif])=Final_Sans_VGE[[#This Row],[date_modif]],
      "Ancien",
      "Modifié"),
   "Nouveau"))</f>
        <v>#VALUE!</v>
      </c>
      <c r="AD7978" s="1" t="str">
        <f>IFERROR(IF(Final_Sans_VGE[[#This Row],[ppn_z]]="","",IFERROR(
   IF(_xlfn.XLOOKUP(Final_Sans_VGE[[#This Row],[ppn_z]],tbl_Historique_Final[[#This Row],[ppn_z]],tbl_Historique_Final[[#This Row],[date_modif]])=Final_Sans_VGE[[#This Row],[date_modif]],
      "Ancien",
      "Modifié"),
   "Nouveau")),"")</f>
        <v/>
      </c>
    </row>
    <row r="7979" spans="24:30" x14ac:dyDescent="0.25">
      <c r="X7979" s="8" t="e">
        <f>IF(Final_Sans_VGE[[#This Row],[ppn_z]]="","",IFERROR(
   IF(_xlfn.XLOOKUP(Final_Sans_VGE[[#This Row],[ppn_z]],tbl_Historique_Final[ppn_z],tbl_Historique_Final[date_modif])=Final_Sans_VGE[[#This Row],[date_modif]],
      "Ancien",
      "Modifié"),
   "Nouveau"))</f>
        <v>#VALUE!</v>
      </c>
      <c r="AD7979" s="1" t="str">
        <f>IFERROR(IF(Final_Sans_VGE[[#This Row],[ppn_z]]="","",IFERROR(
   IF(_xlfn.XLOOKUP(Final_Sans_VGE[[#This Row],[ppn_z]],tbl_Historique_Final[[#This Row],[ppn_z]],tbl_Historique_Final[[#This Row],[date_modif]])=Final_Sans_VGE[[#This Row],[date_modif]],
      "Ancien",
      "Modifié"),
   "Nouveau")),"")</f>
        <v/>
      </c>
    </row>
    <row r="7980" spans="24:30" x14ac:dyDescent="0.25">
      <c r="X7980" s="8" t="e">
        <f>IF(Final_Sans_VGE[[#This Row],[ppn_z]]="","",IFERROR(
   IF(_xlfn.XLOOKUP(Final_Sans_VGE[[#This Row],[ppn_z]],tbl_Historique_Final[ppn_z],tbl_Historique_Final[date_modif])=Final_Sans_VGE[[#This Row],[date_modif]],
      "Ancien",
      "Modifié"),
   "Nouveau"))</f>
        <v>#VALUE!</v>
      </c>
      <c r="AD7980" s="1" t="str">
        <f>IFERROR(IF(Final_Sans_VGE[[#This Row],[ppn_z]]="","",IFERROR(
   IF(_xlfn.XLOOKUP(Final_Sans_VGE[[#This Row],[ppn_z]],tbl_Historique_Final[[#This Row],[ppn_z]],tbl_Historique_Final[[#This Row],[date_modif]])=Final_Sans_VGE[[#This Row],[date_modif]],
      "Ancien",
      "Modifié"),
   "Nouveau")),"")</f>
        <v/>
      </c>
    </row>
    <row r="7981" spans="24:30" x14ac:dyDescent="0.25">
      <c r="X7981" s="8" t="e">
        <f>IF(Final_Sans_VGE[[#This Row],[ppn_z]]="","",IFERROR(
   IF(_xlfn.XLOOKUP(Final_Sans_VGE[[#This Row],[ppn_z]],tbl_Historique_Final[ppn_z],tbl_Historique_Final[date_modif])=Final_Sans_VGE[[#This Row],[date_modif]],
      "Ancien",
      "Modifié"),
   "Nouveau"))</f>
        <v>#VALUE!</v>
      </c>
      <c r="AD7981" s="1" t="str">
        <f>IFERROR(IF(Final_Sans_VGE[[#This Row],[ppn_z]]="","",IFERROR(
   IF(_xlfn.XLOOKUP(Final_Sans_VGE[[#This Row],[ppn_z]],tbl_Historique_Final[[#This Row],[ppn_z]],tbl_Historique_Final[[#This Row],[date_modif]])=Final_Sans_VGE[[#This Row],[date_modif]],
      "Ancien",
      "Modifié"),
   "Nouveau")),"")</f>
        <v/>
      </c>
    </row>
    <row r="7982" spans="24:30" x14ac:dyDescent="0.25">
      <c r="X7982" s="8" t="e">
        <f>IF(Final_Sans_VGE[[#This Row],[ppn_z]]="","",IFERROR(
   IF(_xlfn.XLOOKUP(Final_Sans_VGE[[#This Row],[ppn_z]],tbl_Historique_Final[ppn_z],tbl_Historique_Final[date_modif])=Final_Sans_VGE[[#This Row],[date_modif]],
      "Ancien",
      "Modifié"),
   "Nouveau"))</f>
        <v>#VALUE!</v>
      </c>
      <c r="AD7982" s="1" t="str">
        <f>IFERROR(IF(Final_Sans_VGE[[#This Row],[ppn_z]]="","",IFERROR(
   IF(_xlfn.XLOOKUP(Final_Sans_VGE[[#This Row],[ppn_z]],tbl_Historique_Final[[#This Row],[ppn_z]],tbl_Historique_Final[[#This Row],[date_modif]])=Final_Sans_VGE[[#This Row],[date_modif]],
      "Ancien",
      "Modifié"),
   "Nouveau")),"")</f>
        <v/>
      </c>
    </row>
    <row r="7983" spans="24:30" x14ac:dyDescent="0.25">
      <c r="X7983" s="8" t="e">
        <f>IF(Final_Sans_VGE[[#This Row],[ppn_z]]="","",IFERROR(
   IF(_xlfn.XLOOKUP(Final_Sans_VGE[[#This Row],[ppn_z]],tbl_Historique_Final[ppn_z],tbl_Historique_Final[date_modif])=Final_Sans_VGE[[#This Row],[date_modif]],
      "Ancien",
      "Modifié"),
   "Nouveau"))</f>
        <v>#VALUE!</v>
      </c>
      <c r="AD7983" s="1" t="str">
        <f>IFERROR(IF(Final_Sans_VGE[[#This Row],[ppn_z]]="","",IFERROR(
   IF(_xlfn.XLOOKUP(Final_Sans_VGE[[#This Row],[ppn_z]],tbl_Historique_Final[[#This Row],[ppn_z]],tbl_Historique_Final[[#This Row],[date_modif]])=Final_Sans_VGE[[#This Row],[date_modif]],
      "Ancien",
      "Modifié"),
   "Nouveau")),"")</f>
        <v/>
      </c>
    </row>
    <row r="7984" spans="24:30" x14ac:dyDescent="0.25">
      <c r="X7984" s="8" t="e">
        <f>IF(Final_Sans_VGE[[#This Row],[ppn_z]]="","",IFERROR(
   IF(_xlfn.XLOOKUP(Final_Sans_VGE[[#This Row],[ppn_z]],tbl_Historique_Final[ppn_z],tbl_Historique_Final[date_modif])=Final_Sans_VGE[[#This Row],[date_modif]],
      "Ancien",
      "Modifié"),
   "Nouveau"))</f>
        <v>#VALUE!</v>
      </c>
      <c r="AD7984" s="1" t="str">
        <f>IFERROR(IF(Final_Sans_VGE[[#This Row],[ppn_z]]="","",IFERROR(
   IF(_xlfn.XLOOKUP(Final_Sans_VGE[[#This Row],[ppn_z]],tbl_Historique_Final[[#This Row],[ppn_z]],tbl_Historique_Final[[#This Row],[date_modif]])=Final_Sans_VGE[[#This Row],[date_modif]],
      "Ancien",
      "Modifié"),
   "Nouveau")),"")</f>
        <v/>
      </c>
    </row>
    <row r="7985" spans="24:30" x14ac:dyDescent="0.25">
      <c r="X7985" s="8" t="e">
        <f>IF(Final_Sans_VGE[[#This Row],[ppn_z]]="","",IFERROR(
   IF(_xlfn.XLOOKUP(Final_Sans_VGE[[#This Row],[ppn_z]],tbl_Historique_Final[ppn_z],tbl_Historique_Final[date_modif])=Final_Sans_VGE[[#This Row],[date_modif]],
      "Ancien",
      "Modifié"),
   "Nouveau"))</f>
        <v>#VALUE!</v>
      </c>
      <c r="AD7985" s="1" t="str">
        <f>IFERROR(IF(Final_Sans_VGE[[#This Row],[ppn_z]]="","",IFERROR(
   IF(_xlfn.XLOOKUP(Final_Sans_VGE[[#This Row],[ppn_z]],tbl_Historique_Final[[#This Row],[ppn_z]],tbl_Historique_Final[[#This Row],[date_modif]])=Final_Sans_VGE[[#This Row],[date_modif]],
      "Ancien",
      "Modifié"),
   "Nouveau")),"")</f>
        <v/>
      </c>
    </row>
    <row r="7986" spans="24:30" x14ac:dyDescent="0.25">
      <c r="X7986" s="8" t="e">
        <f>IF(Final_Sans_VGE[[#This Row],[ppn_z]]="","",IFERROR(
   IF(_xlfn.XLOOKUP(Final_Sans_VGE[[#This Row],[ppn_z]],tbl_Historique_Final[ppn_z],tbl_Historique_Final[date_modif])=Final_Sans_VGE[[#This Row],[date_modif]],
      "Ancien",
      "Modifié"),
   "Nouveau"))</f>
        <v>#VALUE!</v>
      </c>
      <c r="AD7986" s="1" t="str">
        <f>IFERROR(IF(Final_Sans_VGE[[#This Row],[ppn_z]]="","",IFERROR(
   IF(_xlfn.XLOOKUP(Final_Sans_VGE[[#This Row],[ppn_z]],tbl_Historique_Final[[#This Row],[ppn_z]],tbl_Historique_Final[[#This Row],[date_modif]])=Final_Sans_VGE[[#This Row],[date_modif]],
      "Ancien",
      "Modifié"),
   "Nouveau")),"")</f>
        <v/>
      </c>
    </row>
    <row r="7987" spans="24:30" x14ac:dyDescent="0.25">
      <c r="X7987" s="8" t="e">
        <f>IF(Final_Sans_VGE[[#This Row],[ppn_z]]="","",IFERROR(
   IF(_xlfn.XLOOKUP(Final_Sans_VGE[[#This Row],[ppn_z]],tbl_Historique_Final[ppn_z],tbl_Historique_Final[date_modif])=Final_Sans_VGE[[#This Row],[date_modif]],
      "Ancien",
      "Modifié"),
   "Nouveau"))</f>
        <v>#VALUE!</v>
      </c>
      <c r="AD7987" s="1" t="str">
        <f>IFERROR(IF(Final_Sans_VGE[[#This Row],[ppn_z]]="","",IFERROR(
   IF(_xlfn.XLOOKUP(Final_Sans_VGE[[#This Row],[ppn_z]],tbl_Historique_Final[[#This Row],[ppn_z]],tbl_Historique_Final[[#This Row],[date_modif]])=Final_Sans_VGE[[#This Row],[date_modif]],
      "Ancien",
      "Modifié"),
   "Nouveau")),"")</f>
        <v/>
      </c>
    </row>
    <row r="7988" spans="24:30" x14ac:dyDescent="0.25">
      <c r="X7988" s="8" t="e">
        <f>IF(Final_Sans_VGE[[#This Row],[ppn_z]]="","",IFERROR(
   IF(_xlfn.XLOOKUP(Final_Sans_VGE[[#This Row],[ppn_z]],tbl_Historique_Final[ppn_z],tbl_Historique_Final[date_modif])=Final_Sans_VGE[[#This Row],[date_modif]],
      "Ancien",
      "Modifié"),
   "Nouveau"))</f>
        <v>#VALUE!</v>
      </c>
      <c r="AD7988" s="1" t="str">
        <f>IFERROR(IF(Final_Sans_VGE[[#This Row],[ppn_z]]="","",IFERROR(
   IF(_xlfn.XLOOKUP(Final_Sans_VGE[[#This Row],[ppn_z]],tbl_Historique_Final[[#This Row],[ppn_z]],tbl_Historique_Final[[#This Row],[date_modif]])=Final_Sans_VGE[[#This Row],[date_modif]],
      "Ancien",
      "Modifié"),
   "Nouveau")),"")</f>
        <v/>
      </c>
    </row>
    <row r="7989" spans="24:30" x14ac:dyDescent="0.25">
      <c r="X7989" s="8" t="e">
        <f>IF(Final_Sans_VGE[[#This Row],[ppn_z]]="","",IFERROR(
   IF(_xlfn.XLOOKUP(Final_Sans_VGE[[#This Row],[ppn_z]],tbl_Historique_Final[ppn_z],tbl_Historique_Final[date_modif])=Final_Sans_VGE[[#This Row],[date_modif]],
      "Ancien",
      "Modifié"),
   "Nouveau"))</f>
        <v>#VALUE!</v>
      </c>
      <c r="AD7989" s="1" t="str">
        <f>IFERROR(IF(Final_Sans_VGE[[#This Row],[ppn_z]]="","",IFERROR(
   IF(_xlfn.XLOOKUP(Final_Sans_VGE[[#This Row],[ppn_z]],tbl_Historique_Final[[#This Row],[ppn_z]],tbl_Historique_Final[[#This Row],[date_modif]])=Final_Sans_VGE[[#This Row],[date_modif]],
      "Ancien",
      "Modifié"),
   "Nouveau")),"")</f>
        <v/>
      </c>
    </row>
    <row r="7990" spans="24:30" x14ac:dyDescent="0.25">
      <c r="X7990" s="8" t="e">
        <f>IF(Final_Sans_VGE[[#This Row],[ppn_z]]="","",IFERROR(
   IF(_xlfn.XLOOKUP(Final_Sans_VGE[[#This Row],[ppn_z]],tbl_Historique_Final[ppn_z],tbl_Historique_Final[date_modif])=Final_Sans_VGE[[#This Row],[date_modif]],
      "Ancien",
      "Modifié"),
   "Nouveau"))</f>
        <v>#VALUE!</v>
      </c>
      <c r="AD7990" s="1" t="str">
        <f>IFERROR(IF(Final_Sans_VGE[[#This Row],[ppn_z]]="","",IFERROR(
   IF(_xlfn.XLOOKUP(Final_Sans_VGE[[#This Row],[ppn_z]],tbl_Historique_Final[[#This Row],[ppn_z]],tbl_Historique_Final[[#This Row],[date_modif]])=Final_Sans_VGE[[#This Row],[date_modif]],
      "Ancien",
      "Modifié"),
   "Nouveau")),"")</f>
        <v/>
      </c>
    </row>
    <row r="7991" spans="24:30" x14ac:dyDescent="0.25">
      <c r="X7991" s="8" t="e">
        <f>IF(Final_Sans_VGE[[#This Row],[ppn_z]]="","",IFERROR(
   IF(_xlfn.XLOOKUP(Final_Sans_VGE[[#This Row],[ppn_z]],tbl_Historique_Final[ppn_z],tbl_Historique_Final[date_modif])=Final_Sans_VGE[[#This Row],[date_modif]],
      "Ancien",
      "Modifié"),
   "Nouveau"))</f>
        <v>#VALUE!</v>
      </c>
      <c r="AD7991" s="1" t="str">
        <f>IFERROR(IF(Final_Sans_VGE[[#This Row],[ppn_z]]="","",IFERROR(
   IF(_xlfn.XLOOKUP(Final_Sans_VGE[[#This Row],[ppn_z]],tbl_Historique_Final[[#This Row],[ppn_z]],tbl_Historique_Final[[#This Row],[date_modif]])=Final_Sans_VGE[[#This Row],[date_modif]],
      "Ancien",
      "Modifié"),
   "Nouveau")),"")</f>
        <v/>
      </c>
    </row>
    <row r="7992" spans="24:30" x14ac:dyDescent="0.25">
      <c r="X7992" s="8" t="e">
        <f>IF(Final_Sans_VGE[[#This Row],[ppn_z]]="","",IFERROR(
   IF(_xlfn.XLOOKUP(Final_Sans_VGE[[#This Row],[ppn_z]],tbl_Historique_Final[ppn_z],tbl_Historique_Final[date_modif])=Final_Sans_VGE[[#This Row],[date_modif]],
      "Ancien",
      "Modifié"),
   "Nouveau"))</f>
        <v>#VALUE!</v>
      </c>
      <c r="AD7992" s="1" t="str">
        <f>IFERROR(IF(Final_Sans_VGE[[#This Row],[ppn_z]]="","",IFERROR(
   IF(_xlfn.XLOOKUP(Final_Sans_VGE[[#This Row],[ppn_z]],tbl_Historique_Final[[#This Row],[ppn_z]],tbl_Historique_Final[[#This Row],[date_modif]])=Final_Sans_VGE[[#This Row],[date_modif]],
      "Ancien",
      "Modifié"),
   "Nouveau")),"")</f>
        <v/>
      </c>
    </row>
    <row r="7993" spans="24:30" x14ac:dyDescent="0.25">
      <c r="X7993" s="8" t="e">
        <f>IF(Final_Sans_VGE[[#This Row],[ppn_z]]="","",IFERROR(
   IF(_xlfn.XLOOKUP(Final_Sans_VGE[[#This Row],[ppn_z]],tbl_Historique_Final[ppn_z],tbl_Historique_Final[date_modif])=Final_Sans_VGE[[#This Row],[date_modif]],
      "Ancien",
      "Modifié"),
   "Nouveau"))</f>
        <v>#VALUE!</v>
      </c>
      <c r="AD7993" s="1" t="str">
        <f>IFERROR(IF(Final_Sans_VGE[[#This Row],[ppn_z]]="","",IFERROR(
   IF(_xlfn.XLOOKUP(Final_Sans_VGE[[#This Row],[ppn_z]],tbl_Historique_Final[[#This Row],[ppn_z]],tbl_Historique_Final[[#This Row],[date_modif]])=Final_Sans_VGE[[#This Row],[date_modif]],
      "Ancien",
      "Modifié"),
   "Nouveau")),"")</f>
        <v/>
      </c>
    </row>
    <row r="7994" spans="24:30" x14ac:dyDescent="0.25">
      <c r="X7994" s="8" t="e">
        <f>IF(Final_Sans_VGE[[#This Row],[ppn_z]]="","",IFERROR(
   IF(_xlfn.XLOOKUP(Final_Sans_VGE[[#This Row],[ppn_z]],tbl_Historique_Final[ppn_z],tbl_Historique_Final[date_modif])=Final_Sans_VGE[[#This Row],[date_modif]],
      "Ancien",
      "Modifié"),
   "Nouveau"))</f>
        <v>#VALUE!</v>
      </c>
      <c r="AD7994" s="1" t="str">
        <f>IFERROR(IF(Final_Sans_VGE[[#This Row],[ppn_z]]="","",IFERROR(
   IF(_xlfn.XLOOKUP(Final_Sans_VGE[[#This Row],[ppn_z]],tbl_Historique_Final[[#This Row],[ppn_z]],tbl_Historique_Final[[#This Row],[date_modif]])=Final_Sans_VGE[[#This Row],[date_modif]],
      "Ancien",
      "Modifié"),
   "Nouveau")),"")</f>
        <v/>
      </c>
    </row>
    <row r="7995" spans="24:30" x14ac:dyDescent="0.25">
      <c r="X7995" s="8" t="e">
        <f>IF(Final_Sans_VGE[[#This Row],[ppn_z]]="","",IFERROR(
   IF(_xlfn.XLOOKUP(Final_Sans_VGE[[#This Row],[ppn_z]],tbl_Historique_Final[ppn_z],tbl_Historique_Final[date_modif])=Final_Sans_VGE[[#This Row],[date_modif]],
      "Ancien",
      "Modifié"),
   "Nouveau"))</f>
        <v>#VALUE!</v>
      </c>
      <c r="AD7995" s="1" t="str">
        <f>IFERROR(IF(Final_Sans_VGE[[#This Row],[ppn_z]]="","",IFERROR(
   IF(_xlfn.XLOOKUP(Final_Sans_VGE[[#This Row],[ppn_z]],tbl_Historique_Final[[#This Row],[ppn_z]],tbl_Historique_Final[[#This Row],[date_modif]])=Final_Sans_VGE[[#This Row],[date_modif]],
      "Ancien",
      "Modifié"),
   "Nouveau")),"")</f>
        <v/>
      </c>
    </row>
    <row r="7996" spans="24:30" x14ac:dyDescent="0.25">
      <c r="X7996" s="8" t="e">
        <f>IF(Final_Sans_VGE[[#This Row],[ppn_z]]="","",IFERROR(
   IF(_xlfn.XLOOKUP(Final_Sans_VGE[[#This Row],[ppn_z]],tbl_Historique_Final[ppn_z],tbl_Historique_Final[date_modif])=Final_Sans_VGE[[#This Row],[date_modif]],
      "Ancien",
      "Modifié"),
   "Nouveau"))</f>
        <v>#VALUE!</v>
      </c>
      <c r="AD7996" s="1" t="str">
        <f>IFERROR(IF(Final_Sans_VGE[[#This Row],[ppn_z]]="","",IFERROR(
   IF(_xlfn.XLOOKUP(Final_Sans_VGE[[#This Row],[ppn_z]],tbl_Historique_Final[[#This Row],[ppn_z]],tbl_Historique_Final[[#This Row],[date_modif]])=Final_Sans_VGE[[#This Row],[date_modif]],
      "Ancien",
      "Modifié"),
   "Nouveau")),"")</f>
        <v/>
      </c>
    </row>
    <row r="7997" spans="24:30" x14ac:dyDescent="0.25">
      <c r="X7997" s="8" t="e">
        <f>IF(Final_Sans_VGE[[#This Row],[ppn_z]]="","",IFERROR(
   IF(_xlfn.XLOOKUP(Final_Sans_VGE[[#This Row],[ppn_z]],tbl_Historique_Final[ppn_z],tbl_Historique_Final[date_modif])=Final_Sans_VGE[[#This Row],[date_modif]],
      "Ancien",
      "Modifié"),
   "Nouveau"))</f>
        <v>#VALUE!</v>
      </c>
      <c r="AD7997" s="1" t="str">
        <f>IFERROR(IF(Final_Sans_VGE[[#This Row],[ppn_z]]="","",IFERROR(
   IF(_xlfn.XLOOKUP(Final_Sans_VGE[[#This Row],[ppn_z]],tbl_Historique_Final[[#This Row],[ppn_z]],tbl_Historique_Final[[#This Row],[date_modif]])=Final_Sans_VGE[[#This Row],[date_modif]],
      "Ancien",
      "Modifié"),
   "Nouveau")),"")</f>
        <v/>
      </c>
    </row>
    <row r="7998" spans="24:30" x14ac:dyDescent="0.25">
      <c r="X7998" s="8" t="e">
        <f>IF(Final_Sans_VGE[[#This Row],[ppn_z]]="","",IFERROR(
   IF(_xlfn.XLOOKUP(Final_Sans_VGE[[#This Row],[ppn_z]],tbl_Historique_Final[ppn_z],tbl_Historique_Final[date_modif])=Final_Sans_VGE[[#This Row],[date_modif]],
      "Ancien",
      "Modifié"),
   "Nouveau"))</f>
        <v>#VALUE!</v>
      </c>
      <c r="AD7998" s="1" t="str">
        <f>IFERROR(IF(Final_Sans_VGE[[#This Row],[ppn_z]]="","",IFERROR(
   IF(_xlfn.XLOOKUP(Final_Sans_VGE[[#This Row],[ppn_z]],tbl_Historique_Final[[#This Row],[ppn_z]],tbl_Historique_Final[[#This Row],[date_modif]])=Final_Sans_VGE[[#This Row],[date_modif]],
      "Ancien",
      "Modifié"),
   "Nouveau")),"")</f>
        <v/>
      </c>
    </row>
    <row r="7999" spans="24:30" x14ac:dyDescent="0.25">
      <c r="X7999" s="8" t="e">
        <f>IF(Final_Sans_VGE[[#This Row],[ppn_z]]="","",IFERROR(
   IF(_xlfn.XLOOKUP(Final_Sans_VGE[[#This Row],[ppn_z]],tbl_Historique_Final[ppn_z],tbl_Historique_Final[date_modif])=Final_Sans_VGE[[#This Row],[date_modif]],
      "Ancien",
      "Modifié"),
   "Nouveau"))</f>
        <v>#VALUE!</v>
      </c>
      <c r="AD7999" s="1" t="str">
        <f>IFERROR(IF(Final_Sans_VGE[[#This Row],[ppn_z]]="","",IFERROR(
   IF(_xlfn.XLOOKUP(Final_Sans_VGE[[#This Row],[ppn_z]],tbl_Historique_Final[[#This Row],[ppn_z]],tbl_Historique_Final[[#This Row],[date_modif]])=Final_Sans_VGE[[#This Row],[date_modif]],
      "Ancien",
      "Modifié"),
   "Nouveau")),"")</f>
        <v/>
      </c>
    </row>
    <row r="8000" spans="24:30" x14ac:dyDescent="0.25">
      <c r="X8000" s="8" t="e">
        <f>IF(Final_Sans_VGE[[#This Row],[ppn_z]]="","",IFERROR(
   IF(_xlfn.XLOOKUP(Final_Sans_VGE[[#This Row],[ppn_z]],tbl_Historique_Final[ppn_z],tbl_Historique_Final[date_modif])=Final_Sans_VGE[[#This Row],[date_modif]],
      "Ancien",
      "Modifié"),
   "Nouveau"))</f>
        <v>#VALUE!</v>
      </c>
      <c r="AD8000" s="1" t="str">
        <f>IFERROR(IF(Final_Sans_VGE[[#This Row],[ppn_z]]="","",IFERROR(
   IF(_xlfn.XLOOKUP(Final_Sans_VGE[[#This Row],[ppn_z]],tbl_Historique_Final[[#This Row],[ppn_z]],tbl_Historique_Final[[#This Row],[date_modif]])=Final_Sans_VGE[[#This Row],[date_modif]],
      "Ancien",
      "Modifié"),
   "Nouveau")),"")</f>
        <v/>
      </c>
    </row>
    <row r="8001" spans="24:30" x14ac:dyDescent="0.25">
      <c r="X8001" s="8" t="e">
        <f>IF(Final_Sans_VGE[[#This Row],[ppn_z]]="","",IFERROR(
   IF(_xlfn.XLOOKUP(Final_Sans_VGE[[#This Row],[ppn_z]],tbl_Historique_Final[ppn_z],tbl_Historique_Final[date_modif])=Final_Sans_VGE[[#This Row],[date_modif]],
      "Ancien",
      "Modifié"),
   "Nouveau"))</f>
        <v>#VALUE!</v>
      </c>
      <c r="AD8001" s="1" t="str">
        <f>IFERROR(IF(Final_Sans_VGE[[#This Row],[ppn_z]]="","",IFERROR(
   IF(_xlfn.XLOOKUP(Final_Sans_VGE[[#This Row],[ppn_z]],tbl_Historique_Final[[#This Row],[ppn_z]],tbl_Historique_Final[[#This Row],[date_modif]])=Final_Sans_VGE[[#This Row],[date_modif]],
      "Ancien",
      "Modifié"),
   "Nouveau")),"")</f>
        <v/>
      </c>
    </row>
    <row r="8002" spans="24:30" x14ac:dyDescent="0.25">
      <c r="X8002" s="8" t="e">
        <f>IF(Final_Sans_VGE[[#This Row],[ppn_z]]="","",IFERROR(
   IF(_xlfn.XLOOKUP(Final_Sans_VGE[[#This Row],[ppn_z]],tbl_Historique_Final[ppn_z],tbl_Historique_Final[date_modif])=Final_Sans_VGE[[#This Row],[date_modif]],
      "Ancien",
      "Modifié"),
   "Nouveau"))</f>
        <v>#VALUE!</v>
      </c>
      <c r="AD8002" s="1" t="str">
        <f>IFERROR(IF(Final_Sans_VGE[[#This Row],[ppn_z]]="","",IFERROR(
   IF(_xlfn.XLOOKUP(Final_Sans_VGE[[#This Row],[ppn_z]],tbl_Historique_Final[[#This Row],[ppn_z]],tbl_Historique_Final[[#This Row],[date_modif]])=Final_Sans_VGE[[#This Row],[date_modif]],
      "Ancien",
      "Modifié"),
   "Nouveau")),"")</f>
        <v/>
      </c>
    </row>
    <row r="8003" spans="24:30" x14ac:dyDescent="0.25">
      <c r="X8003" s="8" t="e">
        <f>IF(Final_Sans_VGE[[#This Row],[ppn_z]]="","",IFERROR(
   IF(_xlfn.XLOOKUP(Final_Sans_VGE[[#This Row],[ppn_z]],tbl_Historique_Final[ppn_z],tbl_Historique_Final[date_modif])=Final_Sans_VGE[[#This Row],[date_modif]],
      "Ancien",
      "Modifié"),
   "Nouveau"))</f>
        <v>#VALUE!</v>
      </c>
      <c r="AD8003" s="1" t="str">
        <f>IFERROR(IF(Final_Sans_VGE[[#This Row],[ppn_z]]="","",IFERROR(
   IF(_xlfn.XLOOKUP(Final_Sans_VGE[[#This Row],[ppn_z]],tbl_Historique_Final[[#This Row],[ppn_z]],tbl_Historique_Final[[#This Row],[date_modif]])=Final_Sans_VGE[[#This Row],[date_modif]],
      "Ancien",
      "Modifié"),
   "Nouveau")),"")</f>
        <v/>
      </c>
    </row>
    <row r="8004" spans="24:30" x14ac:dyDescent="0.25">
      <c r="X8004" s="8" t="e">
        <f>IF(Final_Sans_VGE[[#This Row],[ppn_z]]="","",IFERROR(
   IF(_xlfn.XLOOKUP(Final_Sans_VGE[[#This Row],[ppn_z]],tbl_Historique_Final[ppn_z],tbl_Historique_Final[date_modif])=Final_Sans_VGE[[#This Row],[date_modif]],
      "Ancien",
      "Modifié"),
   "Nouveau"))</f>
        <v>#VALUE!</v>
      </c>
      <c r="AD8004" s="1" t="str">
        <f>IFERROR(IF(Final_Sans_VGE[[#This Row],[ppn_z]]="","",IFERROR(
   IF(_xlfn.XLOOKUP(Final_Sans_VGE[[#This Row],[ppn_z]],tbl_Historique_Final[[#This Row],[ppn_z]],tbl_Historique_Final[[#This Row],[date_modif]])=Final_Sans_VGE[[#This Row],[date_modif]],
      "Ancien",
      "Modifié"),
   "Nouveau")),"")</f>
        <v/>
      </c>
    </row>
    <row r="8005" spans="24:30" x14ac:dyDescent="0.25">
      <c r="X8005" s="8" t="e">
        <f>IF(Final_Sans_VGE[[#This Row],[ppn_z]]="","",IFERROR(
   IF(_xlfn.XLOOKUP(Final_Sans_VGE[[#This Row],[ppn_z]],tbl_Historique_Final[ppn_z],tbl_Historique_Final[date_modif])=Final_Sans_VGE[[#This Row],[date_modif]],
      "Ancien",
      "Modifié"),
   "Nouveau"))</f>
        <v>#VALUE!</v>
      </c>
      <c r="AD8005" s="1" t="str">
        <f>IFERROR(IF(Final_Sans_VGE[[#This Row],[ppn_z]]="","",IFERROR(
   IF(_xlfn.XLOOKUP(Final_Sans_VGE[[#This Row],[ppn_z]],tbl_Historique_Final[[#This Row],[ppn_z]],tbl_Historique_Final[[#This Row],[date_modif]])=Final_Sans_VGE[[#This Row],[date_modif]],
      "Ancien",
      "Modifié"),
   "Nouveau")),"")</f>
        <v/>
      </c>
    </row>
    <row r="8006" spans="24:30" x14ac:dyDescent="0.25">
      <c r="X8006" s="8" t="e">
        <f>IF(Final_Sans_VGE[[#This Row],[ppn_z]]="","",IFERROR(
   IF(_xlfn.XLOOKUP(Final_Sans_VGE[[#This Row],[ppn_z]],tbl_Historique_Final[ppn_z],tbl_Historique_Final[date_modif])=Final_Sans_VGE[[#This Row],[date_modif]],
      "Ancien",
      "Modifié"),
   "Nouveau"))</f>
        <v>#VALUE!</v>
      </c>
      <c r="AD8006" s="1" t="str">
        <f>IFERROR(IF(Final_Sans_VGE[[#This Row],[ppn_z]]="","",IFERROR(
   IF(_xlfn.XLOOKUP(Final_Sans_VGE[[#This Row],[ppn_z]],tbl_Historique_Final[[#This Row],[ppn_z]],tbl_Historique_Final[[#This Row],[date_modif]])=Final_Sans_VGE[[#This Row],[date_modif]],
      "Ancien",
      "Modifié"),
   "Nouveau")),"")</f>
        <v/>
      </c>
    </row>
    <row r="8007" spans="24:30" x14ac:dyDescent="0.25">
      <c r="X8007" s="8" t="e">
        <f>IF(Final_Sans_VGE[[#This Row],[ppn_z]]="","",IFERROR(
   IF(_xlfn.XLOOKUP(Final_Sans_VGE[[#This Row],[ppn_z]],tbl_Historique_Final[ppn_z],tbl_Historique_Final[date_modif])=Final_Sans_VGE[[#This Row],[date_modif]],
      "Ancien",
      "Modifié"),
   "Nouveau"))</f>
        <v>#VALUE!</v>
      </c>
      <c r="AD8007" s="1" t="str">
        <f>IFERROR(IF(Final_Sans_VGE[[#This Row],[ppn_z]]="","",IFERROR(
   IF(_xlfn.XLOOKUP(Final_Sans_VGE[[#This Row],[ppn_z]],tbl_Historique_Final[[#This Row],[ppn_z]],tbl_Historique_Final[[#This Row],[date_modif]])=Final_Sans_VGE[[#This Row],[date_modif]],
      "Ancien",
      "Modifié"),
   "Nouveau")),"")</f>
        <v/>
      </c>
    </row>
    <row r="8008" spans="24:30" x14ac:dyDescent="0.25">
      <c r="X8008" s="8" t="e">
        <f>IF(Final_Sans_VGE[[#This Row],[ppn_z]]="","",IFERROR(
   IF(_xlfn.XLOOKUP(Final_Sans_VGE[[#This Row],[ppn_z]],tbl_Historique_Final[ppn_z],tbl_Historique_Final[date_modif])=Final_Sans_VGE[[#This Row],[date_modif]],
      "Ancien",
      "Modifié"),
   "Nouveau"))</f>
        <v>#VALUE!</v>
      </c>
      <c r="AD8008" s="1" t="str">
        <f>IFERROR(IF(Final_Sans_VGE[[#This Row],[ppn_z]]="","",IFERROR(
   IF(_xlfn.XLOOKUP(Final_Sans_VGE[[#This Row],[ppn_z]],tbl_Historique_Final[[#This Row],[ppn_z]],tbl_Historique_Final[[#This Row],[date_modif]])=Final_Sans_VGE[[#This Row],[date_modif]],
      "Ancien",
      "Modifié"),
   "Nouveau")),"")</f>
        <v/>
      </c>
    </row>
    <row r="8009" spans="24:30" x14ac:dyDescent="0.25">
      <c r="X8009" s="8" t="e">
        <f>IF(Final_Sans_VGE[[#This Row],[ppn_z]]="","",IFERROR(
   IF(_xlfn.XLOOKUP(Final_Sans_VGE[[#This Row],[ppn_z]],tbl_Historique_Final[ppn_z],tbl_Historique_Final[date_modif])=Final_Sans_VGE[[#This Row],[date_modif]],
      "Ancien",
      "Modifié"),
   "Nouveau"))</f>
        <v>#VALUE!</v>
      </c>
      <c r="AD8009" s="1" t="str">
        <f>IFERROR(IF(Final_Sans_VGE[[#This Row],[ppn_z]]="","",IFERROR(
   IF(_xlfn.XLOOKUP(Final_Sans_VGE[[#This Row],[ppn_z]],tbl_Historique_Final[[#This Row],[ppn_z]],tbl_Historique_Final[[#This Row],[date_modif]])=Final_Sans_VGE[[#This Row],[date_modif]],
      "Ancien",
      "Modifié"),
   "Nouveau")),"")</f>
        <v/>
      </c>
    </row>
    <row r="8010" spans="24:30" x14ac:dyDescent="0.25">
      <c r="X8010" s="8" t="e">
        <f>IF(Final_Sans_VGE[[#This Row],[ppn_z]]="","",IFERROR(
   IF(_xlfn.XLOOKUP(Final_Sans_VGE[[#This Row],[ppn_z]],tbl_Historique_Final[ppn_z],tbl_Historique_Final[date_modif])=Final_Sans_VGE[[#This Row],[date_modif]],
      "Ancien",
      "Modifié"),
   "Nouveau"))</f>
        <v>#VALUE!</v>
      </c>
      <c r="AD8010" s="1" t="str">
        <f>IFERROR(IF(Final_Sans_VGE[[#This Row],[ppn_z]]="","",IFERROR(
   IF(_xlfn.XLOOKUP(Final_Sans_VGE[[#This Row],[ppn_z]],tbl_Historique_Final[[#This Row],[ppn_z]],tbl_Historique_Final[[#This Row],[date_modif]])=Final_Sans_VGE[[#This Row],[date_modif]],
      "Ancien",
      "Modifié"),
   "Nouveau")),"")</f>
        <v/>
      </c>
    </row>
    <row r="8011" spans="24:30" x14ac:dyDescent="0.25">
      <c r="X8011" s="8" t="e">
        <f>IF(Final_Sans_VGE[[#This Row],[ppn_z]]="","",IFERROR(
   IF(_xlfn.XLOOKUP(Final_Sans_VGE[[#This Row],[ppn_z]],tbl_Historique_Final[ppn_z],tbl_Historique_Final[date_modif])=Final_Sans_VGE[[#This Row],[date_modif]],
      "Ancien",
      "Modifié"),
   "Nouveau"))</f>
        <v>#VALUE!</v>
      </c>
      <c r="AD8011" s="1" t="str">
        <f>IFERROR(IF(Final_Sans_VGE[[#This Row],[ppn_z]]="","",IFERROR(
   IF(_xlfn.XLOOKUP(Final_Sans_VGE[[#This Row],[ppn_z]],tbl_Historique_Final[[#This Row],[ppn_z]],tbl_Historique_Final[[#This Row],[date_modif]])=Final_Sans_VGE[[#This Row],[date_modif]],
      "Ancien",
      "Modifié"),
   "Nouveau")),"")</f>
        <v/>
      </c>
    </row>
    <row r="8012" spans="24:30" x14ac:dyDescent="0.25">
      <c r="X8012" s="8" t="e">
        <f>IF(Final_Sans_VGE[[#This Row],[ppn_z]]="","",IFERROR(
   IF(_xlfn.XLOOKUP(Final_Sans_VGE[[#This Row],[ppn_z]],tbl_Historique_Final[ppn_z],tbl_Historique_Final[date_modif])=Final_Sans_VGE[[#This Row],[date_modif]],
      "Ancien",
      "Modifié"),
   "Nouveau"))</f>
        <v>#VALUE!</v>
      </c>
      <c r="AD8012" s="1" t="str">
        <f>IFERROR(IF(Final_Sans_VGE[[#This Row],[ppn_z]]="","",IFERROR(
   IF(_xlfn.XLOOKUP(Final_Sans_VGE[[#This Row],[ppn_z]],tbl_Historique_Final[[#This Row],[ppn_z]],tbl_Historique_Final[[#This Row],[date_modif]])=Final_Sans_VGE[[#This Row],[date_modif]],
      "Ancien",
      "Modifié"),
   "Nouveau")),"")</f>
        <v/>
      </c>
    </row>
    <row r="8013" spans="24:30" x14ac:dyDescent="0.25">
      <c r="X8013" s="8" t="e">
        <f>IF(Final_Sans_VGE[[#This Row],[ppn_z]]="","",IFERROR(
   IF(_xlfn.XLOOKUP(Final_Sans_VGE[[#This Row],[ppn_z]],tbl_Historique_Final[ppn_z],tbl_Historique_Final[date_modif])=Final_Sans_VGE[[#This Row],[date_modif]],
      "Ancien",
      "Modifié"),
   "Nouveau"))</f>
        <v>#VALUE!</v>
      </c>
      <c r="AD8013" s="1" t="str">
        <f>IFERROR(IF(Final_Sans_VGE[[#This Row],[ppn_z]]="","",IFERROR(
   IF(_xlfn.XLOOKUP(Final_Sans_VGE[[#This Row],[ppn_z]],tbl_Historique_Final[[#This Row],[ppn_z]],tbl_Historique_Final[[#This Row],[date_modif]])=Final_Sans_VGE[[#This Row],[date_modif]],
      "Ancien",
      "Modifié"),
   "Nouveau")),"")</f>
        <v/>
      </c>
    </row>
    <row r="8014" spans="24:30" x14ac:dyDescent="0.25">
      <c r="X8014" s="8" t="e">
        <f>IF(Final_Sans_VGE[[#This Row],[ppn_z]]="","",IFERROR(
   IF(_xlfn.XLOOKUP(Final_Sans_VGE[[#This Row],[ppn_z]],tbl_Historique_Final[ppn_z],tbl_Historique_Final[date_modif])=Final_Sans_VGE[[#This Row],[date_modif]],
      "Ancien",
      "Modifié"),
   "Nouveau"))</f>
        <v>#VALUE!</v>
      </c>
      <c r="AD8014" s="1" t="str">
        <f>IFERROR(IF(Final_Sans_VGE[[#This Row],[ppn_z]]="","",IFERROR(
   IF(_xlfn.XLOOKUP(Final_Sans_VGE[[#This Row],[ppn_z]],tbl_Historique_Final[[#This Row],[ppn_z]],tbl_Historique_Final[[#This Row],[date_modif]])=Final_Sans_VGE[[#This Row],[date_modif]],
      "Ancien",
      "Modifié"),
   "Nouveau")),"")</f>
        <v/>
      </c>
    </row>
    <row r="8015" spans="24:30" x14ac:dyDescent="0.25">
      <c r="X8015" s="8" t="e">
        <f>IF(Final_Sans_VGE[[#This Row],[ppn_z]]="","",IFERROR(
   IF(_xlfn.XLOOKUP(Final_Sans_VGE[[#This Row],[ppn_z]],tbl_Historique_Final[ppn_z],tbl_Historique_Final[date_modif])=Final_Sans_VGE[[#This Row],[date_modif]],
      "Ancien",
      "Modifié"),
   "Nouveau"))</f>
        <v>#VALUE!</v>
      </c>
      <c r="AD8015" s="1" t="str">
        <f>IFERROR(IF(Final_Sans_VGE[[#This Row],[ppn_z]]="","",IFERROR(
   IF(_xlfn.XLOOKUP(Final_Sans_VGE[[#This Row],[ppn_z]],tbl_Historique_Final[[#This Row],[ppn_z]],tbl_Historique_Final[[#This Row],[date_modif]])=Final_Sans_VGE[[#This Row],[date_modif]],
      "Ancien",
      "Modifié"),
   "Nouveau")),"")</f>
        <v/>
      </c>
    </row>
    <row r="8016" spans="24:30" x14ac:dyDescent="0.25">
      <c r="X8016" s="8" t="e">
        <f>IF(Final_Sans_VGE[[#This Row],[ppn_z]]="","",IFERROR(
   IF(_xlfn.XLOOKUP(Final_Sans_VGE[[#This Row],[ppn_z]],tbl_Historique_Final[ppn_z],tbl_Historique_Final[date_modif])=Final_Sans_VGE[[#This Row],[date_modif]],
      "Ancien",
      "Modifié"),
   "Nouveau"))</f>
        <v>#VALUE!</v>
      </c>
      <c r="AD8016" s="1" t="str">
        <f>IFERROR(IF(Final_Sans_VGE[[#This Row],[ppn_z]]="","",IFERROR(
   IF(_xlfn.XLOOKUP(Final_Sans_VGE[[#This Row],[ppn_z]],tbl_Historique_Final[[#This Row],[ppn_z]],tbl_Historique_Final[[#This Row],[date_modif]])=Final_Sans_VGE[[#This Row],[date_modif]],
      "Ancien",
      "Modifié"),
   "Nouveau")),"")</f>
        <v/>
      </c>
    </row>
    <row r="8017" spans="24:30" x14ac:dyDescent="0.25">
      <c r="X8017" s="8" t="e">
        <f>IF(Final_Sans_VGE[[#This Row],[ppn_z]]="","",IFERROR(
   IF(_xlfn.XLOOKUP(Final_Sans_VGE[[#This Row],[ppn_z]],tbl_Historique_Final[ppn_z],tbl_Historique_Final[date_modif])=Final_Sans_VGE[[#This Row],[date_modif]],
      "Ancien",
      "Modifié"),
   "Nouveau"))</f>
        <v>#VALUE!</v>
      </c>
      <c r="AD8017" s="1" t="str">
        <f>IFERROR(IF(Final_Sans_VGE[[#This Row],[ppn_z]]="","",IFERROR(
   IF(_xlfn.XLOOKUP(Final_Sans_VGE[[#This Row],[ppn_z]],tbl_Historique_Final[[#This Row],[ppn_z]],tbl_Historique_Final[[#This Row],[date_modif]])=Final_Sans_VGE[[#This Row],[date_modif]],
      "Ancien",
      "Modifié"),
   "Nouveau")),"")</f>
        <v/>
      </c>
    </row>
    <row r="8018" spans="24:30" x14ac:dyDescent="0.25">
      <c r="X8018" s="8" t="e">
        <f>IF(Final_Sans_VGE[[#This Row],[ppn_z]]="","",IFERROR(
   IF(_xlfn.XLOOKUP(Final_Sans_VGE[[#This Row],[ppn_z]],tbl_Historique_Final[ppn_z],tbl_Historique_Final[date_modif])=Final_Sans_VGE[[#This Row],[date_modif]],
      "Ancien",
      "Modifié"),
   "Nouveau"))</f>
        <v>#VALUE!</v>
      </c>
      <c r="AD8018" s="1" t="str">
        <f>IFERROR(IF(Final_Sans_VGE[[#This Row],[ppn_z]]="","",IFERROR(
   IF(_xlfn.XLOOKUP(Final_Sans_VGE[[#This Row],[ppn_z]],tbl_Historique_Final[[#This Row],[ppn_z]],tbl_Historique_Final[[#This Row],[date_modif]])=Final_Sans_VGE[[#This Row],[date_modif]],
      "Ancien",
      "Modifié"),
   "Nouveau")),"")</f>
        <v/>
      </c>
    </row>
    <row r="8019" spans="24:30" x14ac:dyDescent="0.25">
      <c r="X8019" s="8" t="e">
        <f>IF(Final_Sans_VGE[[#This Row],[ppn_z]]="","",IFERROR(
   IF(_xlfn.XLOOKUP(Final_Sans_VGE[[#This Row],[ppn_z]],tbl_Historique_Final[ppn_z],tbl_Historique_Final[date_modif])=Final_Sans_VGE[[#This Row],[date_modif]],
      "Ancien",
      "Modifié"),
   "Nouveau"))</f>
        <v>#VALUE!</v>
      </c>
      <c r="AD8019" s="1" t="str">
        <f>IFERROR(IF(Final_Sans_VGE[[#This Row],[ppn_z]]="","",IFERROR(
   IF(_xlfn.XLOOKUP(Final_Sans_VGE[[#This Row],[ppn_z]],tbl_Historique_Final[[#This Row],[ppn_z]],tbl_Historique_Final[[#This Row],[date_modif]])=Final_Sans_VGE[[#This Row],[date_modif]],
      "Ancien",
      "Modifié"),
   "Nouveau")),"")</f>
        <v/>
      </c>
    </row>
    <row r="8020" spans="24:30" x14ac:dyDescent="0.25">
      <c r="X8020" s="8" t="e">
        <f>IF(Final_Sans_VGE[[#This Row],[ppn_z]]="","",IFERROR(
   IF(_xlfn.XLOOKUP(Final_Sans_VGE[[#This Row],[ppn_z]],tbl_Historique_Final[ppn_z],tbl_Historique_Final[date_modif])=Final_Sans_VGE[[#This Row],[date_modif]],
      "Ancien",
      "Modifié"),
   "Nouveau"))</f>
        <v>#VALUE!</v>
      </c>
      <c r="AD8020" s="1" t="str">
        <f>IFERROR(IF(Final_Sans_VGE[[#This Row],[ppn_z]]="","",IFERROR(
   IF(_xlfn.XLOOKUP(Final_Sans_VGE[[#This Row],[ppn_z]],tbl_Historique_Final[[#This Row],[ppn_z]],tbl_Historique_Final[[#This Row],[date_modif]])=Final_Sans_VGE[[#This Row],[date_modif]],
      "Ancien",
      "Modifié"),
   "Nouveau")),"")</f>
        <v/>
      </c>
    </row>
    <row r="8021" spans="24:30" x14ac:dyDescent="0.25">
      <c r="X8021" s="8" t="e">
        <f>IF(Final_Sans_VGE[[#This Row],[ppn_z]]="","",IFERROR(
   IF(_xlfn.XLOOKUP(Final_Sans_VGE[[#This Row],[ppn_z]],tbl_Historique_Final[ppn_z],tbl_Historique_Final[date_modif])=Final_Sans_VGE[[#This Row],[date_modif]],
      "Ancien",
      "Modifié"),
   "Nouveau"))</f>
        <v>#VALUE!</v>
      </c>
      <c r="AD8021" s="1" t="str">
        <f>IFERROR(IF(Final_Sans_VGE[[#This Row],[ppn_z]]="","",IFERROR(
   IF(_xlfn.XLOOKUP(Final_Sans_VGE[[#This Row],[ppn_z]],tbl_Historique_Final[[#This Row],[ppn_z]],tbl_Historique_Final[[#This Row],[date_modif]])=Final_Sans_VGE[[#This Row],[date_modif]],
      "Ancien",
      "Modifié"),
   "Nouveau")),"")</f>
        <v/>
      </c>
    </row>
    <row r="8022" spans="24:30" x14ac:dyDescent="0.25">
      <c r="X8022" s="8" t="e">
        <f>IF(Final_Sans_VGE[[#This Row],[ppn_z]]="","",IFERROR(
   IF(_xlfn.XLOOKUP(Final_Sans_VGE[[#This Row],[ppn_z]],tbl_Historique_Final[ppn_z],tbl_Historique_Final[date_modif])=Final_Sans_VGE[[#This Row],[date_modif]],
      "Ancien",
      "Modifié"),
   "Nouveau"))</f>
        <v>#VALUE!</v>
      </c>
      <c r="AD8022" s="1" t="str">
        <f>IFERROR(IF(Final_Sans_VGE[[#This Row],[ppn_z]]="","",IFERROR(
   IF(_xlfn.XLOOKUP(Final_Sans_VGE[[#This Row],[ppn_z]],tbl_Historique_Final[[#This Row],[ppn_z]],tbl_Historique_Final[[#This Row],[date_modif]])=Final_Sans_VGE[[#This Row],[date_modif]],
      "Ancien",
      "Modifié"),
   "Nouveau")),"")</f>
        <v/>
      </c>
    </row>
    <row r="8023" spans="24:30" x14ac:dyDescent="0.25">
      <c r="X8023" s="8" t="e">
        <f>IF(Final_Sans_VGE[[#This Row],[ppn_z]]="","",IFERROR(
   IF(_xlfn.XLOOKUP(Final_Sans_VGE[[#This Row],[ppn_z]],tbl_Historique_Final[ppn_z],tbl_Historique_Final[date_modif])=Final_Sans_VGE[[#This Row],[date_modif]],
      "Ancien",
      "Modifié"),
   "Nouveau"))</f>
        <v>#VALUE!</v>
      </c>
      <c r="AD8023" s="1" t="str">
        <f>IFERROR(IF(Final_Sans_VGE[[#This Row],[ppn_z]]="","",IFERROR(
   IF(_xlfn.XLOOKUP(Final_Sans_VGE[[#This Row],[ppn_z]],tbl_Historique_Final[[#This Row],[ppn_z]],tbl_Historique_Final[[#This Row],[date_modif]])=Final_Sans_VGE[[#This Row],[date_modif]],
      "Ancien",
      "Modifié"),
   "Nouveau")),"")</f>
        <v/>
      </c>
    </row>
    <row r="8024" spans="24:30" x14ac:dyDescent="0.25">
      <c r="X8024" s="8" t="e">
        <f>IF(Final_Sans_VGE[[#This Row],[ppn_z]]="","",IFERROR(
   IF(_xlfn.XLOOKUP(Final_Sans_VGE[[#This Row],[ppn_z]],tbl_Historique_Final[ppn_z],tbl_Historique_Final[date_modif])=Final_Sans_VGE[[#This Row],[date_modif]],
      "Ancien",
      "Modifié"),
   "Nouveau"))</f>
        <v>#VALUE!</v>
      </c>
      <c r="AD8024" s="1" t="str">
        <f>IFERROR(IF(Final_Sans_VGE[[#This Row],[ppn_z]]="","",IFERROR(
   IF(_xlfn.XLOOKUP(Final_Sans_VGE[[#This Row],[ppn_z]],tbl_Historique_Final[[#This Row],[ppn_z]],tbl_Historique_Final[[#This Row],[date_modif]])=Final_Sans_VGE[[#This Row],[date_modif]],
      "Ancien",
      "Modifié"),
   "Nouveau")),"")</f>
        <v/>
      </c>
    </row>
    <row r="8025" spans="24:30" x14ac:dyDescent="0.25">
      <c r="X8025" s="8" t="e">
        <f>IF(Final_Sans_VGE[[#This Row],[ppn_z]]="","",IFERROR(
   IF(_xlfn.XLOOKUP(Final_Sans_VGE[[#This Row],[ppn_z]],tbl_Historique_Final[ppn_z],tbl_Historique_Final[date_modif])=Final_Sans_VGE[[#This Row],[date_modif]],
      "Ancien",
      "Modifié"),
   "Nouveau"))</f>
        <v>#VALUE!</v>
      </c>
      <c r="AD8025" s="1" t="str">
        <f>IFERROR(IF(Final_Sans_VGE[[#This Row],[ppn_z]]="","",IFERROR(
   IF(_xlfn.XLOOKUP(Final_Sans_VGE[[#This Row],[ppn_z]],tbl_Historique_Final[[#This Row],[ppn_z]],tbl_Historique_Final[[#This Row],[date_modif]])=Final_Sans_VGE[[#This Row],[date_modif]],
      "Ancien",
      "Modifié"),
   "Nouveau")),"")</f>
        <v/>
      </c>
    </row>
    <row r="8026" spans="24:30" x14ac:dyDescent="0.25">
      <c r="X8026" s="8" t="e">
        <f>IF(Final_Sans_VGE[[#This Row],[ppn_z]]="","",IFERROR(
   IF(_xlfn.XLOOKUP(Final_Sans_VGE[[#This Row],[ppn_z]],tbl_Historique_Final[ppn_z],tbl_Historique_Final[date_modif])=Final_Sans_VGE[[#This Row],[date_modif]],
      "Ancien",
      "Modifié"),
   "Nouveau"))</f>
        <v>#VALUE!</v>
      </c>
      <c r="AD8026" s="1" t="str">
        <f>IFERROR(IF(Final_Sans_VGE[[#This Row],[ppn_z]]="","",IFERROR(
   IF(_xlfn.XLOOKUP(Final_Sans_VGE[[#This Row],[ppn_z]],tbl_Historique_Final[[#This Row],[ppn_z]],tbl_Historique_Final[[#This Row],[date_modif]])=Final_Sans_VGE[[#This Row],[date_modif]],
      "Ancien",
      "Modifié"),
   "Nouveau")),"")</f>
        <v/>
      </c>
    </row>
    <row r="8027" spans="24:30" x14ac:dyDescent="0.25">
      <c r="X8027" s="8" t="e">
        <f>IF(Final_Sans_VGE[[#This Row],[ppn_z]]="","",IFERROR(
   IF(_xlfn.XLOOKUP(Final_Sans_VGE[[#This Row],[ppn_z]],tbl_Historique_Final[ppn_z],tbl_Historique_Final[date_modif])=Final_Sans_VGE[[#This Row],[date_modif]],
      "Ancien",
      "Modifié"),
   "Nouveau"))</f>
        <v>#VALUE!</v>
      </c>
      <c r="AD8027" s="1" t="str">
        <f>IFERROR(IF(Final_Sans_VGE[[#This Row],[ppn_z]]="","",IFERROR(
   IF(_xlfn.XLOOKUP(Final_Sans_VGE[[#This Row],[ppn_z]],tbl_Historique_Final[[#This Row],[ppn_z]],tbl_Historique_Final[[#This Row],[date_modif]])=Final_Sans_VGE[[#This Row],[date_modif]],
      "Ancien",
      "Modifié"),
   "Nouveau")),"")</f>
        <v/>
      </c>
    </row>
    <row r="8028" spans="24:30" x14ac:dyDescent="0.25">
      <c r="X8028" s="8" t="e">
        <f>IF(Final_Sans_VGE[[#This Row],[ppn_z]]="","",IFERROR(
   IF(_xlfn.XLOOKUP(Final_Sans_VGE[[#This Row],[ppn_z]],tbl_Historique_Final[ppn_z],tbl_Historique_Final[date_modif])=Final_Sans_VGE[[#This Row],[date_modif]],
      "Ancien",
      "Modifié"),
   "Nouveau"))</f>
        <v>#VALUE!</v>
      </c>
      <c r="AD8028" s="1" t="str">
        <f>IFERROR(IF(Final_Sans_VGE[[#This Row],[ppn_z]]="","",IFERROR(
   IF(_xlfn.XLOOKUP(Final_Sans_VGE[[#This Row],[ppn_z]],tbl_Historique_Final[[#This Row],[ppn_z]],tbl_Historique_Final[[#This Row],[date_modif]])=Final_Sans_VGE[[#This Row],[date_modif]],
      "Ancien",
      "Modifié"),
   "Nouveau")),"")</f>
        <v/>
      </c>
    </row>
    <row r="8029" spans="24:30" x14ac:dyDescent="0.25">
      <c r="X8029" s="8" t="e">
        <f>IF(Final_Sans_VGE[[#This Row],[ppn_z]]="","",IFERROR(
   IF(_xlfn.XLOOKUP(Final_Sans_VGE[[#This Row],[ppn_z]],tbl_Historique_Final[ppn_z],tbl_Historique_Final[date_modif])=Final_Sans_VGE[[#This Row],[date_modif]],
      "Ancien",
      "Modifié"),
   "Nouveau"))</f>
        <v>#VALUE!</v>
      </c>
      <c r="AD8029" s="1" t="str">
        <f>IFERROR(IF(Final_Sans_VGE[[#This Row],[ppn_z]]="","",IFERROR(
   IF(_xlfn.XLOOKUP(Final_Sans_VGE[[#This Row],[ppn_z]],tbl_Historique_Final[[#This Row],[ppn_z]],tbl_Historique_Final[[#This Row],[date_modif]])=Final_Sans_VGE[[#This Row],[date_modif]],
      "Ancien",
      "Modifié"),
   "Nouveau")),"")</f>
        <v/>
      </c>
    </row>
    <row r="8030" spans="24:30" x14ac:dyDescent="0.25">
      <c r="X8030" s="8" t="e">
        <f>IF(Final_Sans_VGE[[#This Row],[ppn_z]]="","",IFERROR(
   IF(_xlfn.XLOOKUP(Final_Sans_VGE[[#This Row],[ppn_z]],tbl_Historique_Final[ppn_z],tbl_Historique_Final[date_modif])=Final_Sans_VGE[[#This Row],[date_modif]],
      "Ancien",
      "Modifié"),
   "Nouveau"))</f>
        <v>#VALUE!</v>
      </c>
      <c r="AD8030" s="1" t="str">
        <f>IFERROR(IF(Final_Sans_VGE[[#This Row],[ppn_z]]="","",IFERROR(
   IF(_xlfn.XLOOKUP(Final_Sans_VGE[[#This Row],[ppn_z]],tbl_Historique_Final[[#This Row],[ppn_z]],tbl_Historique_Final[[#This Row],[date_modif]])=Final_Sans_VGE[[#This Row],[date_modif]],
      "Ancien",
      "Modifié"),
   "Nouveau")),"")</f>
        <v/>
      </c>
    </row>
    <row r="8031" spans="24:30" x14ac:dyDescent="0.25">
      <c r="X8031" s="8" t="e">
        <f>IF(Final_Sans_VGE[[#This Row],[ppn_z]]="","",IFERROR(
   IF(_xlfn.XLOOKUP(Final_Sans_VGE[[#This Row],[ppn_z]],tbl_Historique_Final[ppn_z],tbl_Historique_Final[date_modif])=Final_Sans_VGE[[#This Row],[date_modif]],
      "Ancien",
      "Modifié"),
   "Nouveau"))</f>
        <v>#VALUE!</v>
      </c>
      <c r="AD8031" s="1" t="str">
        <f>IFERROR(IF(Final_Sans_VGE[[#This Row],[ppn_z]]="","",IFERROR(
   IF(_xlfn.XLOOKUP(Final_Sans_VGE[[#This Row],[ppn_z]],tbl_Historique_Final[[#This Row],[ppn_z]],tbl_Historique_Final[[#This Row],[date_modif]])=Final_Sans_VGE[[#This Row],[date_modif]],
      "Ancien",
      "Modifié"),
   "Nouveau")),"")</f>
        <v/>
      </c>
    </row>
    <row r="8032" spans="24:30" x14ac:dyDescent="0.25">
      <c r="X8032" s="8" t="e">
        <f>IF(Final_Sans_VGE[[#This Row],[ppn_z]]="","",IFERROR(
   IF(_xlfn.XLOOKUP(Final_Sans_VGE[[#This Row],[ppn_z]],tbl_Historique_Final[ppn_z],tbl_Historique_Final[date_modif])=Final_Sans_VGE[[#This Row],[date_modif]],
      "Ancien",
      "Modifié"),
   "Nouveau"))</f>
        <v>#VALUE!</v>
      </c>
      <c r="AD8032" s="1" t="str">
        <f>IFERROR(IF(Final_Sans_VGE[[#This Row],[ppn_z]]="","",IFERROR(
   IF(_xlfn.XLOOKUP(Final_Sans_VGE[[#This Row],[ppn_z]],tbl_Historique_Final[[#This Row],[ppn_z]],tbl_Historique_Final[[#This Row],[date_modif]])=Final_Sans_VGE[[#This Row],[date_modif]],
      "Ancien",
      "Modifié"),
   "Nouveau")),"")</f>
        <v/>
      </c>
    </row>
    <row r="8033" spans="24:30" x14ac:dyDescent="0.25">
      <c r="X8033" s="8" t="e">
        <f>IF(Final_Sans_VGE[[#This Row],[ppn_z]]="","",IFERROR(
   IF(_xlfn.XLOOKUP(Final_Sans_VGE[[#This Row],[ppn_z]],tbl_Historique_Final[ppn_z],tbl_Historique_Final[date_modif])=Final_Sans_VGE[[#This Row],[date_modif]],
      "Ancien",
      "Modifié"),
   "Nouveau"))</f>
        <v>#VALUE!</v>
      </c>
      <c r="AD8033" s="1" t="str">
        <f>IFERROR(IF(Final_Sans_VGE[[#This Row],[ppn_z]]="","",IFERROR(
   IF(_xlfn.XLOOKUP(Final_Sans_VGE[[#This Row],[ppn_z]],tbl_Historique_Final[[#This Row],[ppn_z]],tbl_Historique_Final[[#This Row],[date_modif]])=Final_Sans_VGE[[#This Row],[date_modif]],
      "Ancien",
      "Modifié"),
   "Nouveau")),"")</f>
        <v/>
      </c>
    </row>
    <row r="8034" spans="24:30" x14ac:dyDescent="0.25">
      <c r="X8034" s="8" t="e">
        <f>IF(Final_Sans_VGE[[#This Row],[ppn_z]]="","",IFERROR(
   IF(_xlfn.XLOOKUP(Final_Sans_VGE[[#This Row],[ppn_z]],tbl_Historique_Final[ppn_z],tbl_Historique_Final[date_modif])=Final_Sans_VGE[[#This Row],[date_modif]],
      "Ancien",
      "Modifié"),
   "Nouveau"))</f>
        <v>#VALUE!</v>
      </c>
      <c r="AD8034" s="1" t="str">
        <f>IFERROR(IF(Final_Sans_VGE[[#This Row],[ppn_z]]="","",IFERROR(
   IF(_xlfn.XLOOKUP(Final_Sans_VGE[[#This Row],[ppn_z]],tbl_Historique_Final[[#This Row],[ppn_z]],tbl_Historique_Final[[#This Row],[date_modif]])=Final_Sans_VGE[[#This Row],[date_modif]],
      "Ancien",
      "Modifié"),
   "Nouveau")),"")</f>
        <v/>
      </c>
    </row>
    <row r="8035" spans="24:30" x14ac:dyDescent="0.25">
      <c r="X8035" s="8" t="e">
        <f>IF(Final_Sans_VGE[[#This Row],[ppn_z]]="","",IFERROR(
   IF(_xlfn.XLOOKUP(Final_Sans_VGE[[#This Row],[ppn_z]],tbl_Historique_Final[ppn_z],tbl_Historique_Final[date_modif])=Final_Sans_VGE[[#This Row],[date_modif]],
      "Ancien",
      "Modifié"),
   "Nouveau"))</f>
        <v>#VALUE!</v>
      </c>
      <c r="AD8035" s="1" t="str">
        <f>IFERROR(IF(Final_Sans_VGE[[#This Row],[ppn_z]]="","",IFERROR(
   IF(_xlfn.XLOOKUP(Final_Sans_VGE[[#This Row],[ppn_z]],tbl_Historique_Final[[#This Row],[ppn_z]],tbl_Historique_Final[[#This Row],[date_modif]])=Final_Sans_VGE[[#This Row],[date_modif]],
      "Ancien",
      "Modifié"),
   "Nouveau")),"")</f>
        <v/>
      </c>
    </row>
    <row r="8036" spans="24:30" x14ac:dyDescent="0.25">
      <c r="X8036" s="8" t="e">
        <f>IF(Final_Sans_VGE[[#This Row],[ppn_z]]="","",IFERROR(
   IF(_xlfn.XLOOKUP(Final_Sans_VGE[[#This Row],[ppn_z]],tbl_Historique_Final[ppn_z],tbl_Historique_Final[date_modif])=Final_Sans_VGE[[#This Row],[date_modif]],
      "Ancien",
      "Modifié"),
   "Nouveau"))</f>
        <v>#VALUE!</v>
      </c>
      <c r="AD8036" s="1" t="str">
        <f>IFERROR(IF(Final_Sans_VGE[[#This Row],[ppn_z]]="","",IFERROR(
   IF(_xlfn.XLOOKUP(Final_Sans_VGE[[#This Row],[ppn_z]],tbl_Historique_Final[[#This Row],[ppn_z]],tbl_Historique_Final[[#This Row],[date_modif]])=Final_Sans_VGE[[#This Row],[date_modif]],
      "Ancien",
      "Modifié"),
   "Nouveau")),"")</f>
        <v/>
      </c>
    </row>
    <row r="8037" spans="24:30" x14ac:dyDescent="0.25">
      <c r="X8037" s="8" t="e">
        <f>IF(Final_Sans_VGE[[#This Row],[ppn_z]]="","",IFERROR(
   IF(_xlfn.XLOOKUP(Final_Sans_VGE[[#This Row],[ppn_z]],tbl_Historique_Final[ppn_z],tbl_Historique_Final[date_modif])=Final_Sans_VGE[[#This Row],[date_modif]],
      "Ancien",
      "Modifié"),
   "Nouveau"))</f>
        <v>#VALUE!</v>
      </c>
      <c r="AD8037" s="1" t="str">
        <f>IFERROR(IF(Final_Sans_VGE[[#This Row],[ppn_z]]="","",IFERROR(
   IF(_xlfn.XLOOKUP(Final_Sans_VGE[[#This Row],[ppn_z]],tbl_Historique_Final[[#This Row],[ppn_z]],tbl_Historique_Final[[#This Row],[date_modif]])=Final_Sans_VGE[[#This Row],[date_modif]],
      "Ancien",
      "Modifié"),
   "Nouveau")),"")</f>
        <v/>
      </c>
    </row>
    <row r="8038" spans="24:30" x14ac:dyDescent="0.25">
      <c r="X8038" s="8" t="e">
        <f>IF(Final_Sans_VGE[[#This Row],[ppn_z]]="","",IFERROR(
   IF(_xlfn.XLOOKUP(Final_Sans_VGE[[#This Row],[ppn_z]],tbl_Historique_Final[ppn_z],tbl_Historique_Final[date_modif])=Final_Sans_VGE[[#This Row],[date_modif]],
      "Ancien",
      "Modifié"),
   "Nouveau"))</f>
        <v>#VALUE!</v>
      </c>
      <c r="AD8038" s="1" t="str">
        <f>IFERROR(IF(Final_Sans_VGE[[#This Row],[ppn_z]]="","",IFERROR(
   IF(_xlfn.XLOOKUP(Final_Sans_VGE[[#This Row],[ppn_z]],tbl_Historique_Final[[#This Row],[ppn_z]],tbl_Historique_Final[[#This Row],[date_modif]])=Final_Sans_VGE[[#This Row],[date_modif]],
      "Ancien",
      "Modifié"),
   "Nouveau")),"")</f>
        <v/>
      </c>
    </row>
    <row r="8039" spans="24:30" x14ac:dyDescent="0.25">
      <c r="X8039" s="8" t="e">
        <f>IF(Final_Sans_VGE[[#This Row],[ppn_z]]="","",IFERROR(
   IF(_xlfn.XLOOKUP(Final_Sans_VGE[[#This Row],[ppn_z]],tbl_Historique_Final[ppn_z],tbl_Historique_Final[date_modif])=Final_Sans_VGE[[#This Row],[date_modif]],
      "Ancien",
      "Modifié"),
   "Nouveau"))</f>
        <v>#VALUE!</v>
      </c>
      <c r="AD8039" s="1" t="str">
        <f>IFERROR(IF(Final_Sans_VGE[[#This Row],[ppn_z]]="","",IFERROR(
   IF(_xlfn.XLOOKUP(Final_Sans_VGE[[#This Row],[ppn_z]],tbl_Historique_Final[[#This Row],[ppn_z]],tbl_Historique_Final[[#This Row],[date_modif]])=Final_Sans_VGE[[#This Row],[date_modif]],
      "Ancien",
      "Modifié"),
   "Nouveau")),"")</f>
        <v/>
      </c>
    </row>
    <row r="8040" spans="24:30" x14ac:dyDescent="0.25">
      <c r="X8040" s="8" t="e">
        <f>IF(Final_Sans_VGE[[#This Row],[ppn_z]]="","",IFERROR(
   IF(_xlfn.XLOOKUP(Final_Sans_VGE[[#This Row],[ppn_z]],tbl_Historique_Final[ppn_z],tbl_Historique_Final[date_modif])=Final_Sans_VGE[[#This Row],[date_modif]],
      "Ancien",
      "Modifié"),
   "Nouveau"))</f>
        <v>#VALUE!</v>
      </c>
      <c r="AD8040" s="1" t="str">
        <f>IFERROR(IF(Final_Sans_VGE[[#This Row],[ppn_z]]="","",IFERROR(
   IF(_xlfn.XLOOKUP(Final_Sans_VGE[[#This Row],[ppn_z]],tbl_Historique_Final[[#This Row],[ppn_z]],tbl_Historique_Final[[#This Row],[date_modif]])=Final_Sans_VGE[[#This Row],[date_modif]],
      "Ancien",
      "Modifié"),
   "Nouveau")),"")</f>
        <v/>
      </c>
    </row>
    <row r="8041" spans="24:30" x14ac:dyDescent="0.25">
      <c r="X8041" s="8" t="e">
        <f>IF(Final_Sans_VGE[[#This Row],[ppn_z]]="","",IFERROR(
   IF(_xlfn.XLOOKUP(Final_Sans_VGE[[#This Row],[ppn_z]],tbl_Historique_Final[ppn_z],tbl_Historique_Final[date_modif])=Final_Sans_VGE[[#This Row],[date_modif]],
      "Ancien",
      "Modifié"),
   "Nouveau"))</f>
        <v>#VALUE!</v>
      </c>
      <c r="AD8041" s="1" t="str">
        <f>IFERROR(IF(Final_Sans_VGE[[#This Row],[ppn_z]]="","",IFERROR(
   IF(_xlfn.XLOOKUP(Final_Sans_VGE[[#This Row],[ppn_z]],tbl_Historique_Final[[#This Row],[ppn_z]],tbl_Historique_Final[[#This Row],[date_modif]])=Final_Sans_VGE[[#This Row],[date_modif]],
      "Ancien",
      "Modifié"),
   "Nouveau")),"")</f>
        <v/>
      </c>
    </row>
    <row r="8042" spans="24:30" x14ac:dyDescent="0.25">
      <c r="X8042" s="8" t="e">
        <f>IF(Final_Sans_VGE[[#This Row],[ppn_z]]="","",IFERROR(
   IF(_xlfn.XLOOKUP(Final_Sans_VGE[[#This Row],[ppn_z]],tbl_Historique_Final[ppn_z],tbl_Historique_Final[date_modif])=Final_Sans_VGE[[#This Row],[date_modif]],
      "Ancien",
      "Modifié"),
   "Nouveau"))</f>
        <v>#VALUE!</v>
      </c>
      <c r="AD8042" s="1" t="str">
        <f>IFERROR(IF(Final_Sans_VGE[[#This Row],[ppn_z]]="","",IFERROR(
   IF(_xlfn.XLOOKUP(Final_Sans_VGE[[#This Row],[ppn_z]],tbl_Historique_Final[[#This Row],[ppn_z]],tbl_Historique_Final[[#This Row],[date_modif]])=Final_Sans_VGE[[#This Row],[date_modif]],
      "Ancien",
      "Modifié"),
   "Nouveau")),"")</f>
        <v/>
      </c>
    </row>
    <row r="8043" spans="24:30" x14ac:dyDescent="0.25">
      <c r="X8043" s="8" t="e">
        <f>IF(Final_Sans_VGE[[#This Row],[ppn_z]]="","",IFERROR(
   IF(_xlfn.XLOOKUP(Final_Sans_VGE[[#This Row],[ppn_z]],tbl_Historique_Final[ppn_z],tbl_Historique_Final[date_modif])=Final_Sans_VGE[[#This Row],[date_modif]],
      "Ancien",
      "Modifié"),
   "Nouveau"))</f>
        <v>#VALUE!</v>
      </c>
      <c r="AD8043" s="1" t="str">
        <f>IFERROR(IF(Final_Sans_VGE[[#This Row],[ppn_z]]="","",IFERROR(
   IF(_xlfn.XLOOKUP(Final_Sans_VGE[[#This Row],[ppn_z]],tbl_Historique_Final[[#This Row],[ppn_z]],tbl_Historique_Final[[#This Row],[date_modif]])=Final_Sans_VGE[[#This Row],[date_modif]],
      "Ancien",
      "Modifié"),
   "Nouveau")),"")</f>
        <v/>
      </c>
    </row>
    <row r="8044" spans="24:30" x14ac:dyDescent="0.25">
      <c r="X8044" s="8" t="e">
        <f>IF(Final_Sans_VGE[[#This Row],[ppn_z]]="","",IFERROR(
   IF(_xlfn.XLOOKUP(Final_Sans_VGE[[#This Row],[ppn_z]],tbl_Historique_Final[ppn_z],tbl_Historique_Final[date_modif])=Final_Sans_VGE[[#This Row],[date_modif]],
      "Ancien",
      "Modifié"),
   "Nouveau"))</f>
        <v>#VALUE!</v>
      </c>
      <c r="AD8044" s="1" t="str">
        <f>IFERROR(IF(Final_Sans_VGE[[#This Row],[ppn_z]]="","",IFERROR(
   IF(_xlfn.XLOOKUP(Final_Sans_VGE[[#This Row],[ppn_z]],tbl_Historique_Final[[#This Row],[ppn_z]],tbl_Historique_Final[[#This Row],[date_modif]])=Final_Sans_VGE[[#This Row],[date_modif]],
      "Ancien",
      "Modifié"),
   "Nouveau")),"")</f>
        <v/>
      </c>
    </row>
    <row r="8045" spans="24:30" x14ac:dyDescent="0.25">
      <c r="X8045" s="8" t="e">
        <f>IF(Final_Sans_VGE[[#This Row],[ppn_z]]="","",IFERROR(
   IF(_xlfn.XLOOKUP(Final_Sans_VGE[[#This Row],[ppn_z]],tbl_Historique_Final[ppn_z],tbl_Historique_Final[date_modif])=Final_Sans_VGE[[#This Row],[date_modif]],
      "Ancien",
      "Modifié"),
   "Nouveau"))</f>
        <v>#VALUE!</v>
      </c>
      <c r="AD8045" s="1" t="str">
        <f>IFERROR(IF(Final_Sans_VGE[[#This Row],[ppn_z]]="","",IFERROR(
   IF(_xlfn.XLOOKUP(Final_Sans_VGE[[#This Row],[ppn_z]],tbl_Historique_Final[[#This Row],[ppn_z]],tbl_Historique_Final[[#This Row],[date_modif]])=Final_Sans_VGE[[#This Row],[date_modif]],
      "Ancien",
      "Modifié"),
   "Nouveau")),"")</f>
        <v/>
      </c>
    </row>
    <row r="8046" spans="24:30" x14ac:dyDescent="0.25">
      <c r="X8046" s="8" t="e">
        <f>IF(Final_Sans_VGE[[#This Row],[ppn_z]]="","",IFERROR(
   IF(_xlfn.XLOOKUP(Final_Sans_VGE[[#This Row],[ppn_z]],tbl_Historique_Final[ppn_z],tbl_Historique_Final[date_modif])=Final_Sans_VGE[[#This Row],[date_modif]],
      "Ancien",
      "Modifié"),
   "Nouveau"))</f>
        <v>#VALUE!</v>
      </c>
      <c r="AD8046" s="1" t="str">
        <f>IFERROR(IF(Final_Sans_VGE[[#This Row],[ppn_z]]="","",IFERROR(
   IF(_xlfn.XLOOKUP(Final_Sans_VGE[[#This Row],[ppn_z]],tbl_Historique_Final[[#This Row],[ppn_z]],tbl_Historique_Final[[#This Row],[date_modif]])=Final_Sans_VGE[[#This Row],[date_modif]],
      "Ancien",
      "Modifié"),
   "Nouveau")),"")</f>
        <v/>
      </c>
    </row>
    <row r="8047" spans="24:30" x14ac:dyDescent="0.25">
      <c r="X8047" s="8" t="e">
        <f>IF(Final_Sans_VGE[[#This Row],[ppn_z]]="","",IFERROR(
   IF(_xlfn.XLOOKUP(Final_Sans_VGE[[#This Row],[ppn_z]],tbl_Historique_Final[ppn_z],tbl_Historique_Final[date_modif])=Final_Sans_VGE[[#This Row],[date_modif]],
      "Ancien",
      "Modifié"),
   "Nouveau"))</f>
        <v>#VALUE!</v>
      </c>
      <c r="AD8047" s="1" t="str">
        <f>IFERROR(IF(Final_Sans_VGE[[#This Row],[ppn_z]]="","",IFERROR(
   IF(_xlfn.XLOOKUP(Final_Sans_VGE[[#This Row],[ppn_z]],tbl_Historique_Final[[#This Row],[ppn_z]],tbl_Historique_Final[[#This Row],[date_modif]])=Final_Sans_VGE[[#This Row],[date_modif]],
      "Ancien",
      "Modifié"),
   "Nouveau")),"")</f>
        <v/>
      </c>
    </row>
    <row r="8048" spans="24:30" x14ac:dyDescent="0.25">
      <c r="X8048" s="8" t="e">
        <f>IF(Final_Sans_VGE[[#This Row],[ppn_z]]="","",IFERROR(
   IF(_xlfn.XLOOKUP(Final_Sans_VGE[[#This Row],[ppn_z]],tbl_Historique_Final[ppn_z],tbl_Historique_Final[date_modif])=Final_Sans_VGE[[#This Row],[date_modif]],
      "Ancien",
      "Modifié"),
   "Nouveau"))</f>
        <v>#VALUE!</v>
      </c>
      <c r="AD8048" s="1" t="str">
        <f>IFERROR(IF(Final_Sans_VGE[[#This Row],[ppn_z]]="","",IFERROR(
   IF(_xlfn.XLOOKUP(Final_Sans_VGE[[#This Row],[ppn_z]],tbl_Historique_Final[[#This Row],[ppn_z]],tbl_Historique_Final[[#This Row],[date_modif]])=Final_Sans_VGE[[#This Row],[date_modif]],
      "Ancien",
      "Modifié"),
   "Nouveau")),"")</f>
        <v/>
      </c>
    </row>
    <row r="8049" spans="24:30" x14ac:dyDescent="0.25">
      <c r="X8049" s="8" t="e">
        <f>IF(Final_Sans_VGE[[#This Row],[ppn_z]]="","",IFERROR(
   IF(_xlfn.XLOOKUP(Final_Sans_VGE[[#This Row],[ppn_z]],tbl_Historique_Final[ppn_z],tbl_Historique_Final[date_modif])=Final_Sans_VGE[[#This Row],[date_modif]],
      "Ancien",
      "Modifié"),
   "Nouveau"))</f>
        <v>#VALUE!</v>
      </c>
      <c r="AD8049" s="1" t="str">
        <f>IFERROR(IF(Final_Sans_VGE[[#This Row],[ppn_z]]="","",IFERROR(
   IF(_xlfn.XLOOKUP(Final_Sans_VGE[[#This Row],[ppn_z]],tbl_Historique_Final[[#This Row],[ppn_z]],tbl_Historique_Final[[#This Row],[date_modif]])=Final_Sans_VGE[[#This Row],[date_modif]],
      "Ancien",
      "Modifié"),
   "Nouveau")),"")</f>
        <v/>
      </c>
    </row>
    <row r="8050" spans="24:30" x14ac:dyDescent="0.25">
      <c r="X8050" s="8" t="e">
        <f>IF(Final_Sans_VGE[[#This Row],[ppn_z]]="","",IFERROR(
   IF(_xlfn.XLOOKUP(Final_Sans_VGE[[#This Row],[ppn_z]],tbl_Historique_Final[ppn_z],tbl_Historique_Final[date_modif])=Final_Sans_VGE[[#This Row],[date_modif]],
      "Ancien",
      "Modifié"),
   "Nouveau"))</f>
        <v>#VALUE!</v>
      </c>
      <c r="AD8050" s="1" t="str">
        <f>IFERROR(IF(Final_Sans_VGE[[#This Row],[ppn_z]]="","",IFERROR(
   IF(_xlfn.XLOOKUP(Final_Sans_VGE[[#This Row],[ppn_z]],tbl_Historique_Final[[#This Row],[ppn_z]],tbl_Historique_Final[[#This Row],[date_modif]])=Final_Sans_VGE[[#This Row],[date_modif]],
      "Ancien",
      "Modifié"),
   "Nouveau")),"")</f>
        <v/>
      </c>
    </row>
    <row r="8051" spans="24:30" x14ac:dyDescent="0.25">
      <c r="X8051" s="8" t="e">
        <f>IF(Final_Sans_VGE[[#This Row],[ppn_z]]="","",IFERROR(
   IF(_xlfn.XLOOKUP(Final_Sans_VGE[[#This Row],[ppn_z]],tbl_Historique_Final[ppn_z],tbl_Historique_Final[date_modif])=Final_Sans_VGE[[#This Row],[date_modif]],
      "Ancien",
      "Modifié"),
   "Nouveau"))</f>
        <v>#VALUE!</v>
      </c>
      <c r="AD8051" s="1" t="str">
        <f>IFERROR(IF(Final_Sans_VGE[[#This Row],[ppn_z]]="","",IFERROR(
   IF(_xlfn.XLOOKUP(Final_Sans_VGE[[#This Row],[ppn_z]],tbl_Historique_Final[[#This Row],[ppn_z]],tbl_Historique_Final[[#This Row],[date_modif]])=Final_Sans_VGE[[#This Row],[date_modif]],
      "Ancien",
      "Modifié"),
   "Nouveau")),"")</f>
        <v/>
      </c>
    </row>
    <row r="8052" spans="24:30" x14ac:dyDescent="0.25">
      <c r="X8052" s="8" t="e">
        <f>IF(Final_Sans_VGE[[#This Row],[ppn_z]]="","",IFERROR(
   IF(_xlfn.XLOOKUP(Final_Sans_VGE[[#This Row],[ppn_z]],tbl_Historique_Final[ppn_z],tbl_Historique_Final[date_modif])=Final_Sans_VGE[[#This Row],[date_modif]],
      "Ancien",
      "Modifié"),
   "Nouveau"))</f>
        <v>#VALUE!</v>
      </c>
      <c r="AD8052" s="1" t="str">
        <f>IFERROR(IF(Final_Sans_VGE[[#This Row],[ppn_z]]="","",IFERROR(
   IF(_xlfn.XLOOKUP(Final_Sans_VGE[[#This Row],[ppn_z]],tbl_Historique_Final[[#This Row],[ppn_z]],tbl_Historique_Final[[#This Row],[date_modif]])=Final_Sans_VGE[[#This Row],[date_modif]],
      "Ancien",
      "Modifié"),
   "Nouveau")),"")</f>
        <v/>
      </c>
    </row>
    <row r="8053" spans="24:30" x14ac:dyDescent="0.25">
      <c r="X8053" s="8" t="e">
        <f>IF(Final_Sans_VGE[[#This Row],[ppn_z]]="","",IFERROR(
   IF(_xlfn.XLOOKUP(Final_Sans_VGE[[#This Row],[ppn_z]],tbl_Historique_Final[ppn_z],tbl_Historique_Final[date_modif])=Final_Sans_VGE[[#This Row],[date_modif]],
      "Ancien",
      "Modifié"),
   "Nouveau"))</f>
        <v>#VALUE!</v>
      </c>
      <c r="AD8053" s="1" t="str">
        <f>IFERROR(IF(Final_Sans_VGE[[#This Row],[ppn_z]]="","",IFERROR(
   IF(_xlfn.XLOOKUP(Final_Sans_VGE[[#This Row],[ppn_z]],tbl_Historique_Final[[#This Row],[ppn_z]],tbl_Historique_Final[[#This Row],[date_modif]])=Final_Sans_VGE[[#This Row],[date_modif]],
      "Ancien",
      "Modifié"),
   "Nouveau")),"")</f>
        <v/>
      </c>
    </row>
    <row r="8054" spans="24:30" x14ac:dyDescent="0.25">
      <c r="X8054" s="8" t="e">
        <f>IF(Final_Sans_VGE[[#This Row],[ppn_z]]="","",IFERROR(
   IF(_xlfn.XLOOKUP(Final_Sans_VGE[[#This Row],[ppn_z]],tbl_Historique_Final[ppn_z],tbl_Historique_Final[date_modif])=Final_Sans_VGE[[#This Row],[date_modif]],
      "Ancien",
      "Modifié"),
   "Nouveau"))</f>
        <v>#VALUE!</v>
      </c>
      <c r="AD8054" s="1" t="str">
        <f>IFERROR(IF(Final_Sans_VGE[[#This Row],[ppn_z]]="","",IFERROR(
   IF(_xlfn.XLOOKUP(Final_Sans_VGE[[#This Row],[ppn_z]],tbl_Historique_Final[[#This Row],[ppn_z]],tbl_Historique_Final[[#This Row],[date_modif]])=Final_Sans_VGE[[#This Row],[date_modif]],
      "Ancien",
      "Modifié"),
   "Nouveau")),"")</f>
        <v/>
      </c>
    </row>
    <row r="8055" spans="24:30" x14ac:dyDescent="0.25">
      <c r="X8055" s="8" t="e">
        <f>IF(Final_Sans_VGE[[#This Row],[ppn_z]]="","",IFERROR(
   IF(_xlfn.XLOOKUP(Final_Sans_VGE[[#This Row],[ppn_z]],tbl_Historique_Final[ppn_z],tbl_Historique_Final[date_modif])=Final_Sans_VGE[[#This Row],[date_modif]],
      "Ancien",
      "Modifié"),
   "Nouveau"))</f>
        <v>#VALUE!</v>
      </c>
      <c r="AD8055" s="1" t="str">
        <f>IFERROR(IF(Final_Sans_VGE[[#This Row],[ppn_z]]="","",IFERROR(
   IF(_xlfn.XLOOKUP(Final_Sans_VGE[[#This Row],[ppn_z]],tbl_Historique_Final[[#This Row],[ppn_z]],tbl_Historique_Final[[#This Row],[date_modif]])=Final_Sans_VGE[[#This Row],[date_modif]],
      "Ancien",
      "Modifié"),
   "Nouveau")),"")</f>
        <v/>
      </c>
    </row>
    <row r="8056" spans="24:30" x14ac:dyDescent="0.25">
      <c r="X8056" s="8" t="e">
        <f>IF(Final_Sans_VGE[[#This Row],[ppn_z]]="","",IFERROR(
   IF(_xlfn.XLOOKUP(Final_Sans_VGE[[#This Row],[ppn_z]],tbl_Historique_Final[ppn_z],tbl_Historique_Final[date_modif])=Final_Sans_VGE[[#This Row],[date_modif]],
      "Ancien",
      "Modifié"),
   "Nouveau"))</f>
        <v>#VALUE!</v>
      </c>
      <c r="AD8056" s="1" t="str">
        <f>IFERROR(IF(Final_Sans_VGE[[#This Row],[ppn_z]]="","",IFERROR(
   IF(_xlfn.XLOOKUP(Final_Sans_VGE[[#This Row],[ppn_z]],tbl_Historique_Final[[#This Row],[ppn_z]],tbl_Historique_Final[[#This Row],[date_modif]])=Final_Sans_VGE[[#This Row],[date_modif]],
      "Ancien",
      "Modifié"),
   "Nouveau")),"")</f>
        <v/>
      </c>
    </row>
    <row r="8057" spans="24:30" x14ac:dyDescent="0.25">
      <c r="X8057" s="8" t="e">
        <f>IF(Final_Sans_VGE[[#This Row],[ppn_z]]="","",IFERROR(
   IF(_xlfn.XLOOKUP(Final_Sans_VGE[[#This Row],[ppn_z]],tbl_Historique_Final[ppn_z],tbl_Historique_Final[date_modif])=Final_Sans_VGE[[#This Row],[date_modif]],
      "Ancien",
      "Modifié"),
   "Nouveau"))</f>
        <v>#VALUE!</v>
      </c>
      <c r="AD8057" s="1" t="str">
        <f>IFERROR(IF(Final_Sans_VGE[[#This Row],[ppn_z]]="","",IFERROR(
   IF(_xlfn.XLOOKUP(Final_Sans_VGE[[#This Row],[ppn_z]],tbl_Historique_Final[[#This Row],[ppn_z]],tbl_Historique_Final[[#This Row],[date_modif]])=Final_Sans_VGE[[#This Row],[date_modif]],
      "Ancien",
      "Modifié"),
   "Nouveau")),"")</f>
        <v/>
      </c>
    </row>
    <row r="8058" spans="24:30" x14ac:dyDescent="0.25">
      <c r="X8058" s="8" t="e">
        <f>IF(Final_Sans_VGE[[#This Row],[ppn_z]]="","",IFERROR(
   IF(_xlfn.XLOOKUP(Final_Sans_VGE[[#This Row],[ppn_z]],tbl_Historique_Final[ppn_z],tbl_Historique_Final[date_modif])=Final_Sans_VGE[[#This Row],[date_modif]],
      "Ancien",
      "Modifié"),
   "Nouveau"))</f>
        <v>#VALUE!</v>
      </c>
      <c r="AD8058" s="1" t="str">
        <f>IFERROR(IF(Final_Sans_VGE[[#This Row],[ppn_z]]="","",IFERROR(
   IF(_xlfn.XLOOKUP(Final_Sans_VGE[[#This Row],[ppn_z]],tbl_Historique_Final[[#This Row],[ppn_z]],tbl_Historique_Final[[#This Row],[date_modif]])=Final_Sans_VGE[[#This Row],[date_modif]],
      "Ancien",
      "Modifié"),
   "Nouveau")),"")</f>
        <v/>
      </c>
    </row>
    <row r="8059" spans="24:30" x14ac:dyDescent="0.25">
      <c r="X8059" s="8" t="e">
        <f>IF(Final_Sans_VGE[[#This Row],[ppn_z]]="","",IFERROR(
   IF(_xlfn.XLOOKUP(Final_Sans_VGE[[#This Row],[ppn_z]],tbl_Historique_Final[ppn_z],tbl_Historique_Final[date_modif])=Final_Sans_VGE[[#This Row],[date_modif]],
      "Ancien",
      "Modifié"),
   "Nouveau"))</f>
        <v>#VALUE!</v>
      </c>
      <c r="AD8059" s="1" t="str">
        <f>IFERROR(IF(Final_Sans_VGE[[#This Row],[ppn_z]]="","",IFERROR(
   IF(_xlfn.XLOOKUP(Final_Sans_VGE[[#This Row],[ppn_z]],tbl_Historique_Final[[#This Row],[ppn_z]],tbl_Historique_Final[[#This Row],[date_modif]])=Final_Sans_VGE[[#This Row],[date_modif]],
      "Ancien",
      "Modifié"),
   "Nouveau")),"")</f>
        <v/>
      </c>
    </row>
    <row r="8060" spans="24:30" x14ac:dyDescent="0.25">
      <c r="X8060" s="8" t="e">
        <f>IF(Final_Sans_VGE[[#This Row],[ppn_z]]="","",IFERROR(
   IF(_xlfn.XLOOKUP(Final_Sans_VGE[[#This Row],[ppn_z]],tbl_Historique_Final[ppn_z],tbl_Historique_Final[date_modif])=Final_Sans_VGE[[#This Row],[date_modif]],
      "Ancien",
      "Modifié"),
   "Nouveau"))</f>
        <v>#VALUE!</v>
      </c>
      <c r="AD8060" s="1" t="str">
        <f>IFERROR(IF(Final_Sans_VGE[[#This Row],[ppn_z]]="","",IFERROR(
   IF(_xlfn.XLOOKUP(Final_Sans_VGE[[#This Row],[ppn_z]],tbl_Historique_Final[[#This Row],[ppn_z]],tbl_Historique_Final[[#This Row],[date_modif]])=Final_Sans_VGE[[#This Row],[date_modif]],
      "Ancien",
      "Modifié"),
   "Nouveau")),"")</f>
        <v/>
      </c>
    </row>
    <row r="8061" spans="24:30" x14ac:dyDescent="0.25">
      <c r="X8061" s="8" t="e">
        <f>IF(Final_Sans_VGE[[#This Row],[ppn_z]]="","",IFERROR(
   IF(_xlfn.XLOOKUP(Final_Sans_VGE[[#This Row],[ppn_z]],tbl_Historique_Final[ppn_z],tbl_Historique_Final[date_modif])=Final_Sans_VGE[[#This Row],[date_modif]],
      "Ancien",
      "Modifié"),
   "Nouveau"))</f>
        <v>#VALUE!</v>
      </c>
      <c r="AD8061" s="1" t="str">
        <f>IFERROR(IF(Final_Sans_VGE[[#This Row],[ppn_z]]="","",IFERROR(
   IF(_xlfn.XLOOKUP(Final_Sans_VGE[[#This Row],[ppn_z]],tbl_Historique_Final[[#This Row],[ppn_z]],tbl_Historique_Final[[#This Row],[date_modif]])=Final_Sans_VGE[[#This Row],[date_modif]],
      "Ancien",
      "Modifié"),
   "Nouveau")),"")</f>
        <v/>
      </c>
    </row>
    <row r="8062" spans="24:30" x14ac:dyDescent="0.25">
      <c r="X8062" s="8" t="e">
        <f>IF(Final_Sans_VGE[[#This Row],[ppn_z]]="","",IFERROR(
   IF(_xlfn.XLOOKUP(Final_Sans_VGE[[#This Row],[ppn_z]],tbl_Historique_Final[ppn_z],tbl_Historique_Final[date_modif])=Final_Sans_VGE[[#This Row],[date_modif]],
      "Ancien",
      "Modifié"),
   "Nouveau"))</f>
        <v>#VALUE!</v>
      </c>
      <c r="AD8062" s="1" t="str">
        <f>IFERROR(IF(Final_Sans_VGE[[#This Row],[ppn_z]]="","",IFERROR(
   IF(_xlfn.XLOOKUP(Final_Sans_VGE[[#This Row],[ppn_z]],tbl_Historique_Final[[#This Row],[ppn_z]],tbl_Historique_Final[[#This Row],[date_modif]])=Final_Sans_VGE[[#This Row],[date_modif]],
      "Ancien",
      "Modifié"),
   "Nouveau")),"")</f>
        <v/>
      </c>
    </row>
    <row r="8063" spans="24:30" x14ac:dyDescent="0.25">
      <c r="X8063" s="8" t="e">
        <f>IF(Final_Sans_VGE[[#This Row],[ppn_z]]="","",IFERROR(
   IF(_xlfn.XLOOKUP(Final_Sans_VGE[[#This Row],[ppn_z]],tbl_Historique_Final[ppn_z],tbl_Historique_Final[date_modif])=Final_Sans_VGE[[#This Row],[date_modif]],
      "Ancien",
      "Modifié"),
   "Nouveau"))</f>
        <v>#VALUE!</v>
      </c>
      <c r="AD8063" s="1" t="str">
        <f>IFERROR(IF(Final_Sans_VGE[[#This Row],[ppn_z]]="","",IFERROR(
   IF(_xlfn.XLOOKUP(Final_Sans_VGE[[#This Row],[ppn_z]],tbl_Historique_Final[[#This Row],[ppn_z]],tbl_Historique_Final[[#This Row],[date_modif]])=Final_Sans_VGE[[#This Row],[date_modif]],
      "Ancien",
      "Modifié"),
   "Nouveau")),"")</f>
        <v/>
      </c>
    </row>
    <row r="8064" spans="24:30" x14ac:dyDescent="0.25">
      <c r="X8064" s="8" t="e">
        <f>IF(Final_Sans_VGE[[#This Row],[ppn_z]]="","",IFERROR(
   IF(_xlfn.XLOOKUP(Final_Sans_VGE[[#This Row],[ppn_z]],tbl_Historique_Final[ppn_z],tbl_Historique_Final[date_modif])=Final_Sans_VGE[[#This Row],[date_modif]],
      "Ancien",
      "Modifié"),
   "Nouveau"))</f>
        <v>#VALUE!</v>
      </c>
      <c r="AD8064" s="1" t="str">
        <f>IFERROR(IF(Final_Sans_VGE[[#This Row],[ppn_z]]="","",IFERROR(
   IF(_xlfn.XLOOKUP(Final_Sans_VGE[[#This Row],[ppn_z]],tbl_Historique_Final[[#This Row],[ppn_z]],tbl_Historique_Final[[#This Row],[date_modif]])=Final_Sans_VGE[[#This Row],[date_modif]],
      "Ancien",
      "Modifié"),
   "Nouveau")),"")</f>
        <v/>
      </c>
    </row>
    <row r="8065" spans="24:30" x14ac:dyDescent="0.25">
      <c r="X8065" s="8" t="e">
        <f>IF(Final_Sans_VGE[[#This Row],[ppn_z]]="","",IFERROR(
   IF(_xlfn.XLOOKUP(Final_Sans_VGE[[#This Row],[ppn_z]],tbl_Historique_Final[ppn_z],tbl_Historique_Final[date_modif])=Final_Sans_VGE[[#This Row],[date_modif]],
      "Ancien",
      "Modifié"),
   "Nouveau"))</f>
        <v>#VALUE!</v>
      </c>
      <c r="AD8065" s="1" t="str">
        <f>IFERROR(IF(Final_Sans_VGE[[#This Row],[ppn_z]]="","",IFERROR(
   IF(_xlfn.XLOOKUP(Final_Sans_VGE[[#This Row],[ppn_z]],tbl_Historique_Final[[#This Row],[ppn_z]],tbl_Historique_Final[[#This Row],[date_modif]])=Final_Sans_VGE[[#This Row],[date_modif]],
      "Ancien",
      "Modifié"),
   "Nouveau")),"")</f>
        <v/>
      </c>
    </row>
    <row r="8066" spans="24:30" x14ac:dyDescent="0.25">
      <c r="X8066" s="8" t="e">
        <f>IF(Final_Sans_VGE[[#This Row],[ppn_z]]="","",IFERROR(
   IF(_xlfn.XLOOKUP(Final_Sans_VGE[[#This Row],[ppn_z]],tbl_Historique_Final[ppn_z],tbl_Historique_Final[date_modif])=Final_Sans_VGE[[#This Row],[date_modif]],
      "Ancien",
      "Modifié"),
   "Nouveau"))</f>
        <v>#VALUE!</v>
      </c>
      <c r="AD8066" s="1" t="str">
        <f>IFERROR(IF(Final_Sans_VGE[[#This Row],[ppn_z]]="","",IFERROR(
   IF(_xlfn.XLOOKUP(Final_Sans_VGE[[#This Row],[ppn_z]],tbl_Historique_Final[[#This Row],[ppn_z]],tbl_Historique_Final[[#This Row],[date_modif]])=Final_Sans_VGE[[#This Row],[date_modif]],
      "Ancien",
      "Modifié"),
   "Nouveau")),"")</f>
        <v/>
      </c>
    </row>
    <row r="8067" spans="24:30" x14ac:dyDescent="0.25">
      <c r="X8067" s="8" t="e">
        <f>IF(Final_Sans_VGE[[#This Row],[ppn_z]]="","",IFERROR(
   IF(_xlfn.XLOOKUP(Final_Sans_VGE[[#This Row],[ppn_z]],tbl_Historique_Final[ppn_z],tbl_Historique_Final[date_modif])=Final_Sans_VGE[[#This Row],[date_modif]],
      "Ancien",
      "Modifié"),
   "Nouveau"))</f>
        <v>#VALUE!</v>
      </c>
      <c r="AD8067" s="1" t="str">
        <f>IFERROR(IF(Final_Sans_VGE[[#This Row],[ppn_z]]="","",IFERROR(
   IF(_xlfn.XLOOKUP(Final_Sans_VGE[[#This Row],[ppn_z]],tbl_Historique_Final[[#This Row],[ppn_z]],tbl_Historique_Final[[#This Row],[date_modif]])=Final_Sans_VGE[[#This Row],[date_modif]],
      "Ancien",
      "Modifié"),
   "Nouveau")),"")</f>
        <v/>
      </c>
    </row>
    <row r="8068" spans="24:30" x14ac:dyDescent="0.25">
      <c r="X8068" s="8" t="e">
        <f>IF(Final_Sans_VGE[[#This Row],[ppn_z]]="","",IFERROR(
   IF(_xlfn.XLOOKUP(Final_Sans_VGE[[#This Row],[ppn_z]],tbl_Historique_Final[ppn_z],tbl_Historique_Final[date_modif])=Final_Sans_VGE[[#This Row],[date_modif]],
      "Ancien",
      "Modifié"),
   "Nouveau"))</f>
        <v>#VALUE!</v>
      </c>
      <c r="AD8068" s="1" t="str">
        <f>IFERROR(IF(Final_Sans_VGE[[#This Row],[ppn_z]]="","",IFERROR(
   IF(_xlfn.XLOOKUP(Final_Sans_VGE[[#This Row],[ppn_z]],tbl_Historique_Final[[#This Row],[ppn_z]],tbl_Historique_Final[[#This Row],[date_modif]])=Final_Sans_VGE[[#This Row],[date_modif]],
      "Ancien",
      "Modifié"),
   "Nouveau")),"")</f>
        <v/>
      </c>
    </row>
    <row r="8069" spans="24:30" x14ac:dyDescent="0.25">
      <c r="X8069" s="8" t="e">
        <f>IF(Final_Sans_VGE[[#This Row],[ppn_z]]="","",IFERROR(
   IF(_xlfn.XLOOKUP(Final_Sans_VGE[[#This Row],[ppn_z]],tbl_Historique_Final[ppn_z],tbl_Historique_Final[date_modif])=Final_Sans_VGE[[#This Row],[date_modif]],
      "Ancien",
      "Modifié"),
   "Nouveau"))</f>
        <v>#VALUE!</v>
      </c>
      <c r="AD8069" s="1" t="str">
        <f>IFERROR(IF(Final_Sans_VGE[[#This Row],[ppn_z]]="","",IFERROR(
   IF(_xlfn.XLOOKUP(Final_Sans_VGE[[#This Row],[ppn_z]],tbl_Historique_Final[[#This Row],[ppn_z]],tbl_Historique_Final[[#This Row],[date_modif]])=Final_Sans_VGE[[#This Row],[date_modif]],
      "Ancien",
      "Modifié"),
   "Nouveau")),"")</f>
        <v/>
      </c>
    </row>
    <row r="8070" spans="24:30" x14ac:dyDescent="0.25">
      <c r="X8070" s="8" t="e">
        <f>IF(Final_Sans_VGE[[#This Row],[ppn_z]]="","",IFERROR(
   IF(_xlfn.XLOOKUP(Final_Sans_VGE[[#This Row],[ppn_z]],tbl_Historique_Final[ppn_z],tbl_Historique_Final[date_modif])=Final_Sans_VGE[[#This Row],[date_modif]],
      "Ancien",
      "Modifié"),
   "Nouveau"))</f>
        <v>#VALUE!</v>
      </c>
      <c r="AD8070" s="1" t="str">
        <f>IFERROR(IF(Final_Sans_VGE[[#This Row],[ppn_z]]="","",IFERROR(
   IF(_xlfn.XLOOKUP(Final_Sans_VGE[[#This Row],[ppn_z]],tbl_Historique_Final[[#This Row],[ppn_z]],tbl_Historique_Final[[#This Row],[date_modif]])=Final_Sans_VGE[[#This Row],[date_modif]],
      "Ancien",
      "Modifié"),
   "Nouveau")),"")</f>
        <v/>
      </c>
    </row>
    <row r="8071" spans="24:30" x14ac:dyDescent="0.25">
      <c r="X8071" s="8" t="e">
        <f>IF(Final_Sans_VGE[[#This Row],[ppn_z]]="","",IFERROR(
   IF(_xlfn.XLOOKUP(Final_Sans_VGE[[#This Row],[ppn_z]],tbl_Historique_Final[ppn_z],tbl_Historique_Final[date_modif])=Final_Sans_VGE[[#This Row],[date_modif]],
      "Ancien",
      "Modifié"),
   "Nouveau"))</f>
        <v>#VALUE!</v>
      </c>
      <c r="AD8071" s="1" t="str">
        <f>IFERROR(IF(Final_Sans_VGE[[#This Row],[ppn_z]]="","",IFERROR(
   IF(_xlfn.XLOOKUP(Final_Sans_VGE[[#This Row],[ppn_z]],tbl_Historique_Final[[#This Row],[ppn_z]],tbl_Historique_Final[[#This Row],[date_modif]])=Final_Sans_VGE[[#This Row],[date_modif]],
      "Ancien",
      "Modifié"),
   "Nouveau")),"")</f>
        <v/>
      </c>
    </row>
    <row r="8072" spans="24:30" x14ac:dyDescent="0.25">
      <c r="X8072" s="8" t="e">
        <f>IF(Final_Sans_VGE[[#This Row],[ppn_z]]="","",IFERROR(
   IF(_xlfn.XLOOKUP(Final_Sans_VGE[[#This Row],[ppn_z]],tbl_Historique_Final[ppn_z],tbl_Historique_Final[date_modif])=Final_Sans_VGE[[#This Row],[date_modif]],
      "Ancien",
      "Modifié"),
   "Nouveau"))</f>
        <v>#VALUE!</v>
      </c>
      <c r="AD8072" s="1" t="str">
        <f>IFERROR(IF(Final_Sans_VGE[[#This Row],[ppn_z]]="","",IFERROR(
   IF(_xlfn.XLOOKUP(Final_Sans_VGE[[#This Row],[ppn_z]],tbl_Historique_Final[[#This Row],[ppn_z]],tbl_Historique_Final[[#This Row],[date_modif]])=Final_Sans_VGE[[#This Row],[date_modif]],
      "Ancien",
      "Modifié"),
   "Nouveau")),"")</f>
        <v/>
      </c>
    </row>
    <row r="8073" spans="24:30" x14ac:dyDescent="0.25">
      <c r="X8073" s="8" t="e">
        <f>IF(Final_Sans_VGE[[#This Row],[ppn_z]]="","",IFERROR(
   IF(_xlfn.XLOOKUP(Final_Sans_VGE[[#This Row],[ppn_z]],tbl_Historique_Final[ppn_z],tbl_Historique_Final[date_modif])=Final_Sans_VGE[[#This Row],[date_modif]],
      "Ancien",
      "Modifié"),
   "Nouveau"))</f>
        <v>#VALUE!</v>
      </c>
      <c r="AD8073" s="1" t="str">
        <f>IFERROR(IF(Final_Sans_VGE[[#This Row],[ppn_z]]="","",IFERROR(
   IF(_xlfn.XLOOKUP(Final_Sans_VGE[[#This Row],[ppn_z]],tbl_Historique_Final[[#This Row],[ppn_z]],tbl_Historique_Final[[#This Row],[date_modif]])=Final_Sans_VGE[[#This Row],[date_modif]],
      "Ancien",
      "Modifié"),
   "Nouveau")),"")</f>
        <v/>
      </c>
    </row>
    <row r="8074" spans="24:30" x14ac:dyDescent="0.25">
      <c r="X8074" s="8" t="e">
        <f>IF(Final_Sans_VGE[[#This Row],[ppn_z]]="","",IFERROR(
   IF(_xlfn.XLOOKUP(Final_Sans_VGE[[#This Row],[ppn_z]],tbl_Historique_Final[ppn_z],tbl_Historique_Final[date_modif])=Final_Sans_VGE[[#This Row],[date_modif]],
      "Ancien",
      "Modifié"),
   "Nouveau"))</f>
        <v>#VALUE!</v>
      </c>
      <c r="AD8074" s="1" t="str">
        <f>IFERROR(IF(Final_Sans_VGE[[#This Row],[ppn_z]]="","",IFERROR(
   IF(_xlfn.XLOOKUP(Final_Sans_VGE[[#This Row],[ppn_z]],tbl_Historique_Final[[#This Row],[ppn_z]],tbl_Historique_Final[[#This Row],[date_modif]])=Final_Sans_VGE[[#This Row],[date_modif]],
      "Ancien",
      "Modifié"),
   "Nouveau")),"")</f>
        <v/>
      </c>
    </row>
    <row r="8075" spans="24:30" x14ac:dyDescent="0.25">
      <c r="X8075" s="8" t="e">
        <f>IF(Final_Sans_VGE[[#This Row],[ppn_z]]="","",IFERROR(
   IF(_xlfn.XLOOKUP(Final_Sans_VGE[[#This Row],[ppn_z]],tbl_Historique_Final[ppn_z],tbl_Historique_Final[date_modif])=Final_Sans_VGE[[#This Row],[date_modif]],
      "Ancien",
      "Modifié"),
   "Nouveau"))</f>
        <v>#VALUE!</v>
      </c>
      <c r="AD8075" s="1" t="str">
        <f>IFERROR(IF(Final_Sans_VGE[[#This Row],[ppn_z]]="","",IFERROR(
   IF(_xlfn.XLOOKUP(Final_Sans_VGE[[#This Row],[ppn_z]],tbl_Historique_Final[[#This Row],[ppn_z]],tbl_Historique_Final[[#This Row],[date_modif]])=Final_Sans_VGE[[#This Row],[date_modif]],
      "Ancien",
      "Modifié"),
   "Nouveau")),"")</f>
        <v/>
      </c>
    </row>
    <row r="8076" spans="24:30" x14ac:dyDescent="0.25">
      <c r="X8076" s="8" t="e">
        <f>IF(Final_Sans_VGE[[#This Row],[ppn_z]]="","",IFERROR(
   IF(_xlfn.XLOOKUP(Final_Sans_VGE[[#This Row],[ppn_z]],tbl_Historique_Final[ppn_z],tbl_Historique_Final[date_modif])=Final_Sans_VGE[[#This Row],[date_modif]],
      "Ancien",
      "Modifié"),
   "Nouveau"))</f>
        <v>#VALUE!</v>
      </c>
      <c r="AD8076" s="1" t="str">
        <f>IFERROR(IF(Final_Sans_VGE[[#This Row],[ppn_z]]="","",IFERROR(
   IF(_xlfn.XLOOKUP(Final_Sans_VGE[[#This Row],[ppn_z]],tbl_Historique_Final[[#This Row],[ppn_z]],tbl_Historique_Final[[#This Row],[date_modif]])=Final_Sans_VGE[[#This Row],[date_modif]],
      "Ancien",
      "Modifié"),
   "Nouveau")),"")</f>
        <v/>
      </c>
    </row>
    <row r="8077" spans="24:30" x14ac:dyDescent="0.25">
      <c r="X8077" s="8" t="e">
        <f>IF(Final_Sans_VGE[[#This Row],[ppn_z]]="","",IFERROR(
   IF(_xlfn.XLOOKUP(Final_Sans_VGE[[#This Row],[ppn_z]],tbl_Historique_Final[ppn_z],tbl_Historique_Final[date_modif])=Final_Sans_VGE[[#This Row],[date_modif]],
      "Ancien",
      "Modifié"),
   "Nouveau"))</f>
        <v>#VALUE!</v>
      </c>
      <c r="AD8077" s="1" t="str">
        <f>IFERROR(IF(Final_Sans_VGE[[#This Row],[ppn_z]]="","",IFERROR(
   IF(_xlfn.XLOOKUP(Final_Sans_VGE[[#This Row],[ppn_z]],tbl_Historique_Final[[#This Row],[ppn_z]],tbl_Historique_Final[[#This Row],[date_modif]])=Final_Sans_VGE[[#This Row],[date_modif]],
      "Ancien",
      "Modifié"),
   "Nouveau")),"")</f>
        <v/>
      </c>
    </row>
    <row r="8078" spans="24:30" x14ac:dyDescent="0.25">
      <c r="X8078" s="8" t="e">
        <f>IF(Final_Sans_VGE[[#This Row],[ppn_z]]="","",IFERROR(
   IF(_xlfn.XLOOKUP(Final_Sans_VGE[[#This Row],[ppn_z]],tbl_Historique_Final[ppn_z],tbl_Historique_Final[date_modif])=Final_Sans_VGE[[#This Row],[date_modif]],
      "Ancien",
      "Modifié"),
   "Nouveau"))</f>
        <v>#VALUE!</v>
      </c>
      <c r="AD8078" s="1" t="str">
        <f>IFERROR(IF(Final_Sans_VGE[[#This Row],[ppn_z]]="","",IFERROR(
   IF(_xlfn.XLOOKUP(Final_Sans_VGE[[#This Row],[ppn_z]],tbl_Historique_Final[[#This Row],[ppn_z]],tbl_Historique_Final[[#This Row],[date_modif]])=Final_Sans_VGE[[#This Row],[date_modif]],
      "Ancien",
      "Modifié"),
   "Nouveau")),"")</f>
        <v/>
      </c>
    </row>
    <row r="8079" spans="24:30" x14ac:dyDescent="0.25">
      <c r="X8079" s="8" t="e">
        <f>IF(Final_Sans_VGE[[#This Row],[ppn_z]]="","",IFERROR(
   IF(_xlfn.XLOOKUP(Final_Sans_VGE[[#This Row],[ppn_z]],tbl_Historique_Final[ppn_z],tbl_Historique_Final[date_modif])=Final_Sans_VGE[[#This Row],[date_modif]],
      "Ancien",
      "Modifié"),
   "Nouveau"))</f>
        <v>#VALUE!</v>
      </c>
      <c r="AD8079" s="1" t="str">
        <f>IFERROR(IF(Final_Sans_VGE[[#This Row],[ppn_z]]="","",IFERROR(
   IF(_xlfn.XLOOKUP(Final_Sans_VGE[[#This Row],[ppn_z]],tbl_Historique_Final[[#This Row],[ppn_z]],tbl_Historique_Final[[#This Row],[date_modif]])=Final_Sans_VGE[[#This Row],[date_modif]],
      "Ancien",
      "Modifié"),
   "Nouveau")),"")</f>
        <v/>
      </c>
    </row>
    <row r="8080" spans="24:30" x14ac:dyDescent="0.25">
      <c r="X8080" s="8" t="e">
        <f>IF(Final_Sans_VGE[[#This Row],[ppn_z]]="","",IFERROR(
   IF(_xlfn.XLOOKUP(Final_Sans_VGE[[#This Row],[ppn_z]],tbl_Historique_Final[ppn_z],tbl_Historique_Final[date_modif])=Final_Sans_VGE[[#This Row],[date_modif]],
      "Ancien",
      "Modifié"),
   "Nouveau"))</f>
        <v>#VALUE!</v>
      </c>
      <c r="AD8080" s="1" t="str">
        <f>IFERROR(IF(Final_Sans_VGE[[#This Row],[ppn_z]]="","",IFERROR(
   IF(_xlfn.XLOOKUP(Final_Sans_VGE[[#This Row],[ppn_z]],tbl_Historique_Final[[#This Row],[ppn_z]],tbl_Historique_Final[[#This Row],[date_modif]])=Final_Sans_VGE[[#This Row],[date_modif]],
      "Ancien",
      "Modifié"),
   "Nouveau")),"")</f>
        <v/>
      </c>
    </row>
    <row r="8081" spans="24:30" x14ac:dyDescent="0.25">
      <c r="X8081" s="8" t="e">
        <f>IF(Final_Sans_VGE[[#This Row],[ppn_z]]="","",IFERROR(
   IF(_xlfn.XLOOKUP(Final_Sans_VGE[[#This Row],[ppn_z]],tbl_Historique_Final[ppn_z],tbl_Historique_Final[date_modif])=Final_Sans_VGE[[#This Row],[date_modif]],
      "Ancien",
      "Modifié"),
   "Nouveau"))</f>
        <v>#VALUE!</v>
      </c>
      <c r="AD8081" s="1" t="str">
        <f>IFERROR(IF(Final_Sans_VGE[[#This Row],[ppn_z]]="","",IFERROR(
   IF(_xlfn.XLOOKUP(Final_Sans_VGE[[#This Row],[ppn_z]],tbl_Historique_Final[[#This Row],[ppn_z]],tbl_Historique_Final[[#This Row],[date_modif]])=Final_Sans_VGE[[#This Row],[date_modif]],
      "Ancien",
      "Modifié"),
   "Nouveau")),"")</f>
        <v/>
      </c>
    </row>
    <row r="8082" spans="24:30" x14ac:dyDescent="0.25">
      <c r="X8082" s="8" t="e">
        <f>IF(Final_Sans_VGE[[#This Row],[ppn_z]]="","",IFERROR(
   IF(_xlfn.XLOOKUP(Final_Sans_VGE[[#This Row],[ppn_z]],tbl_Historique_Final[ppn_z],tbl_Historique_Final[date_modif])=Final_Sans_VGE[[#This Row],[date_modif]],
      "Ancien",
      "Modifié"),
   "Nouveau"))</f>
        <v>#VALUE!</v>
      </c>
      <c r="AD8082" s="1" t="str">
        <f>IFERROR(IF(Final_Sans_VGE[[#This Row],[ppn_z]]="","",IFERROR(
   IF(_xlfn.XLOOKUP(Final_Sans_VGE[[#This Row],[ppn_z]],tbl_Historique_Final[[#This Row],[ppn_z]],tbl_Historique_Final[[#This Row],[date_modif]])=Final_Sans_VGE[[#This Row],[date_modif]],
      "Ancien",
      "Modifié"),
   "Nouveau")),"")</f>
        <v/>
      </c>
    </row>
    <row r="8083" spans="24:30" x14ac:dyDescent="0.25">
      <c r="X8083" s="8" t="e">
        <f>IF(Final_Sans_VGE[[#This Row],[ppn_z]]="","",IFERROR(
   IF(_xlfn.XLOOKUP(Final_Sans_VGE[[#This Row],[ppn_z]],tbl_Historique_Final[ppn_z],tbl_Historique_Final[date_modif])=Final_Sans_VGE[[#This Row],[date_modif]],
      "Ancien",
      "Modifié"),
   "Nouveau"))</f>
        <v>#VALUE!</v>
      </c>
      <c r="AD8083" s="1" t="str">
        <f>IFERROR(IF(Final_Sans_VGE[[#This Row],[ppn_z]]="","",IFERROR(
   IF(_xlfn.XLOOKUP(Final_Sans_VGE[[#This Row],[ppn_z]],tbl_Historique_Final[[#This Row],[ppn_z]],tbl_Historique_Final[[#This Row],[date_modif]])=Final_Sans_VGE[[#This Row],[date_modif]],
      "Ancien",
      "Modifié"),
   "Nouveau")),"")</f>
        <v/>
      </c>
    </row>
    <row r="8084" spans="24:30" x14ac:dyDescent="0.25">
      <c r="X8084" s="8" t="e">
        <f>IF(Final_Sans_VGE[[#This Row],[ppn_z]]="","",IFERROR(
   IF(_xlfn.XLOOKUP(Final_Sans_VGE[[#This Row],[ppn_z]],tbl_Historique_Final[ppn_z],tbl_Historique_Final[date_modif])=Final_Sans_VGE[[#This Row],[date_modif]],
      "Ancien",
      "Modifié"),
   "Nouveau"))</f>
        <v>#VALUE!</v>
      </c>
      <c r="AD8084" s="1" t="str">
        <f>IFERROR(IF(Final_Sans_VGE[[#This Row],[ppn_z]]="","",IFERROR(
   IF(_xlfn.XLOOKUP(Final_Sans_VGE[[#This Row],[ppn_z]],tbl_Historique_Final[[#This Row],[ppn_z]],tbl_Historique_Final[[#This Row],[date_modif]])=Final_Sans_VGE[[#This Row],[date_modif]],
      "Ancien",
      "Modifié"),
   "Nouveau")),"")</f>
        <v/>
      </c>
    </row>
    <row r="8085" spans="24:30" x14ac:dyDescent="0.25">
      <c r="X8085" s="8" t="e">
        <f>IF(Final_Sans_VGE[[#This Row],[ppn_z]]="","",IFERROR(
   IF(_xlfn.XLOOKUP(Final_Sans_VGE[[#This Row],[ppn_z]],tbl_Historique_Final[ppn_z],tbl_Historique_Final[date_modif])=Final_Sans_VGE[[#This Row],[date_modif]],
      "Ancien",
      "Modifié"),
   "Nouveau"))</f>
        <v>#VALUE!</v>
      </c>
      <c r="AD8085" s="1" t="str">
        <f>IFERROR(IF(Final_Sans_VGE[[#This Row],[ppn_z]]="","",IFERROR(
   IF(_xlfn.XLOOKUP(Final_Sans_VGE[[#This Row],[ppn_z]],tbl_Historique_Final[[#This Row],[ppn_z]],tbl_Historique_Final[[#This Row],[date_modif]])=Final_Sans_VGE[[#This Row],[date_modif]],
      "Ancien",
      "Modifié"),
   "Nouveau")),"")</f>
        <v/>
      </c>
    </row>
    <row r="8086" spans="24:30" x14ac:dyDescent="0.25">
      <c r="X8086" s="8" t="e">
        <f>IF(Final_Sans_VGE[[#This Row],[ppn_z]]="","",IFERROR(
   IF(_xlfn.XLOOKUP(Final_Sans_VGE[[#This Row],[ppn_z]],tbl_Historique_Final[ppn_z],tbl_Historique_Final[date_modif])=Final_Sans_VGE[[#This Row],[date_modif]],
      "Ancien",
      "Modifié"),
   "Nouveau"))</f>
        <v>#VALUE!</v>
      </c>
      <c r="AD8086" s="1" t="str">
        <f>IFERROR(IF(Final_Sans_VGE[[#This Row],[ppn_z]]="","",IFERROR(
   IF(_xlfn.XLOOKUP(Final_Sans_VGE[[#This Row],[ppn_z]],tbl_Historique_Final[[#This Row],[ppn_z]],tbl_Historique_Final[[#This Row],[date_modif]])=Final_Sans_VGE[[#This Row],[date_modif]],
      "Ancien",
      "Modifié"),
   "Nouveau")),"")</f>
        <v/>
      </c>
    </row>
    <row r="8087" spans="24:30" x14ac:dyDescent="0.25">
      <c r="X8087" s="8" t="e">
        <f>IF(Final_Sans_VGE[[#This Row],[ppn_z]]="","",IFERROR(
   IF(_xlfn.XLOOKUP(Final_Sans_VGE[[#This Row],[ppn_z]],tbl_Historique_Final[ppn_z],tbl_Historique_Final[date_modif])=Final_Sans_VGE[[#This Row],[date_modif]],
      "Ancien",
      "Modifié"),
   "Nouveau"))</f>
        <v>#VALUE!</v>
      </c>
      <c r="AD8087" s="1" t="str">
        <f>IFERROR(IF(Final_Sans_VGE[[#This Row],[ppn_z]]="","",IFERROR(
   IF(_xlfn.XLOOKUP(Final_Sans_VGE[[#This Row],[ppn_z]],tbl_Historique_Final[[#This Row],[ppn_z]],tbl_Historique_Final[[#This Row],[date_modif]])=Final_Sans_VGE[[#This Row],[date_modif]],
      "Ancien",
      "Modifié"),
   "Nouveau")),"")</f>
        <v/>
      </c>
    </row>
    <row r="8088" spans="24:30" x14ac:dyDescent="0.25">
      <c r="X8088" s="8" t="e">
        <f>IF(Final_Sans_VGE[[#This Row],[ppn_z]]="","",IFERROR(
   IF(_xlfn.XLOOKUP(Final_Sans_VGE[[#This Row],[ppn_z]],tbl_Historique_Final[ppn_z],tbl_Historique_Final[date_modif])=Final_Sans_VGE[[#This Row],[date_modif]],
      "Ancien",
      "Modifié"),
   "Nouveau"))</f>
        <v>#VALUE!</v>
      </c>
      <c r="AD8088" s="1" t="str">
        <f>IFERROR(IF(Final_Sans_VGE[[#This Row],[ppn_z]]="","",IFERROR(
   IF(_xlfn.XLOOKUP(Final_Sans_VGE[[#This Row],[ppn_z]],tbl_Historique_Final[[#This Row],[ppn_z]],tbl_Historique_Final[[#This Row],[date_modif]])=Final_Sans_VGE[[#This Row],[date_modif]],
      "Ancien",
      "Modifié"),
   "Nouveau")),"")</f>
        <v/>
      </c>
    </row>
    <row r="8089" spans="24:30" x14ac:dyDescent="0.25">
      <c r="X8089" s="8" t="e">
        <f>IF(Final_Sans_VGE[[#This Row],[ppn_z]]="","",IFERROR(
   IF(_xlfn.XLOOKUP(Final_Sans_VGE[[#This Row],[ppn_z]],tbl_Historique_Final[ppn_z],tbl_Historique_Final[date_modif])=Final_Sans_VGE[[#This Row],[date_modif]],
      "Ancien",
      "Modifié"),
   "Nouveau"))</f>
        <v>#VALUE!</v>
      </c>
      <c r="AD8089" s="1" t="str">
        <f>IFERROR(IF(Final_Sans_VGE[[#This Row],[ppn_z]]="","",IFERROR(
   IF(_xlfn.XLOOKUP(Final_Sans_VGE[[#This Row],[ppn_z]],tbl_Historique_Final[[#This Row],[ppn_z]],tbl_Historique_Final[[#This Row],[date_modif]])=Final_Sans_VGE[[#This Row],[date_modif]],
      "Ancien",
      "Modifié"),
   "Nouveau")),"")</f>
        <v/>
      </c>
    </row>
    <row r="8090" spans="24:30" x14ac:dyDescent="0.25">
      <c r="X8090" s="8" t="e">
        <f>IF(Final_Sans_VGE[[#This Row],[ppn_z]]="","",IFERROR(
   IF(_xlfn.XLOOKUP(Final_Sans_VGE[[#This Row],[ppn_z]],tbl_Historique_Final[ppn_z],tbl_Historique_Final[date_modif])=Final_Sans_VGE[[#This Row],[date_modif]],
      "Ancien",
      "Modifié"),
   "Nouveau"))</f>
        <v>#VALUE!</v>
      </c>
      <c r="AD8090" s="1" t="str">
        <f>IFERROR(IF(Final_Sans_VGE[[#This Row],[ppn_z]]="","",IFERROR(
   IF(_xlfn.XLOOKUP(Final_Sans_VGE[[#This Row],[ppn_z]],tbl_Historique_Final[[#This Row],[ppn_z]],tbl_Historique_Final[[#This Row],[date_modif]])=Final_Sans_VGE[[#This Row],[date_modif]],
      "Ancien",
      "Modifié"),
   "Nouveau")),"")</f>
        <v/>
      </c>
    </row>
    <row r="8091" spans="24:30" x14ac:dyDescent="0.25">
      <c r="X8091" s="8" t="e">
        <f>IF(Final_Sans_VGE[[#This Row],[ppn_z]]="","",IFERROR(
   IF(_xlfn.XLOOKUP(Final_Sans_VGE[[#This Row],[ppn_z]],tbl_Historique_Final[ppn_z],tbl_Historique_Final[date_modif])=Final_Sans_VGE[[#This Row],[date_modif]],
      "Ancien",
      "Modifié"),
   "Nouveau"))</f>
        <v>#VALUE!</v>
      </c>
      <c r="AD8091" s="1" t="str">
        <f>IFERROR(IF(Final_Sans_VGE[[#This Row],[ppn_z]]="","",IFERROR(
   IF(_xlfn.XLOOKUP(Final_Sans_VGE[[#This Row],[ppn_z]],tbl_Historique_Final[[#This Row],[ppn_z]],tbl_Historique_Final[[#This Row],[date_modif]])=Final_Sans_VGE[[#This Row],[date_modif]],
      "Ancien",
      "Modifié"),
   "Nouveau")),"")</f>
        <v/>
      </c>
    </row>
    <row r="8092" spans="24:30" x14ac:dyDescent="0.25">
      <c r="X8092" s="8" t="e">
        <f>IF(Final_Sans_VGE[[#This Row],[ppn_z]]="","",IFERROR(
   IF(_xlfn.XLOOKUP(Final_Sans_VGE[[#This Row],[ppn_z]],tbl_Historique_Final[ppn_z],tbl_Historique_Final[date_modif])=Final_Sans_VGE[[#This Row],[date_modif]],
      "Ancien",
      "Modifié"),
   "Nouveau"))</f>
        <v>#VALUE!</v>
      </c>
      <c r="AD8092" s="1" t="str">
        <f>IFERROR(IF(Final_Sans_VGE[[#This Row],[ppn_z]]="","",IFERROR(
   IF(_xlfn.XLOOKUP(Final_Sans_VGE[[#This Row],[ppn_z]],tbl_Historique_Final[[#This Row],[ppn_z]],tbl_Historique_Final[[#This Row],[date_modif]])=Final_Sans_VGE[[#This Row],[date_modif]],
      "Ancien",
      "Modifié"),
   "Nouveau")),"")</f>
        <v/>
      </c>
    </row>
    <row r="8093" spans="24:30" x14ac:dyDescent="0.25">
      <c r="X8093" s="8" t="e">
        <f>IF(Final_Sans_VGE[[#This Row],[ppn_z]]="","",IFERROR(
   IF(_xlfn.XLOOKUP(Final_Sans_VGE[[#This Row],[ppn_z]],tbl_Historique_Final[ppn_z],tbl_Historique_Final[date_modif])=Final_Sans_VGE[[#This Row],[date_modif]],
      "Ancien",
      "Modifié"),
   "Nouveau"))</f>
        <v>#VALUE!</v>
      </c>
      <c r="AD8093" s="1" t="str">
        <f>IFERROR(IF(Final_Sans_VGE[[#This Row],[ppn_z]]="","",IFERROR(
   IF(_xlfn.XLOOKUP(Final_Sans_VGE[[#This Row],[ppn_z]],tbl_Historique_Final[[#This Row],[ppn_z]],tbl_Historique_Final[[#This Row],[date_modif]])=Final_Sans_VGE[[#This Row],[date_modif]],
      "Ancien",
      "Modifié"),
   "Nouveau")),"")</f>
        <v/>
      </c>
    </row>
    <row r="8094" spans="24:30" x14ac:dyDescent="0.25">
      <c r="X8094" s="8" t="e">
        <f>IF(Final_Sans_VGE[[#This Row],[ppn_z]]="","",IFERROR(
   IF(_xlfn.XLOOKUP(Final_Sans_VGE[[#This Row],[ppn_z]],tbl_Historique_Final[ppn_z],tbl_Historique_Final[date_modif])=Final_Sans_VGE[[#This Row],[date_modif]],
      "Ancien",
      "Modifié"),
   "Nouveau"))</f>
        <v>#VALUE!</v>
      </c>
      <c r="AD8094" s="1" t="str">
        <f>IFERROR(IF(Final_Sans_VGE[[#This Row],[ppn_z]]="","",IFERROR(
   IF(_xlfn.XLOOKUP(Final_Sans_VGE[[#This Row],[ppn_z]],tbl_Historique_Final[[#This Row],[ppn_z]],tbl_Historique_Final[[#This Row],[date_modif]])=Final_Sans_VGE[[#This Row],[date_modif]],
      "Ancien",
      "Modifié"),
   "Nouveau")),"")</f>
        <v/>
      </c>
    </row>
    <row r="8095" spans="24:30" x14ac:dyDescent="0.25">
      <c r="X8095" s="8" t="e">
        <f>IF(Final_Sans_VGE[[#This Row],[ppn_z]]="","",IFERROR(
   IF(_xlfn.XLOOKUP(Final_Sans_VGE[[#This Row],[ppn_z]],tbl_Historique_Final[ppn_z],tbl_Historique_Final[date_modif])=Final_Sans_VGE[[#This Row],[date_modif]],
      "Ancien",
      "Modifié"),
   "Nouveau"))</f>
        <v>#VALUE!</v>
      </c>
      <c r="AD8095" s="1" t="str">
        <f>IFERROR(IF(Final_Sans_VGE[[#This Row],[ppn_z]]="","",IFERROR(
   IF(_xlfn.XLOOKUP(Final_Sans_VGE[[#This Row],[ppn_z]],tbl_Historique_Final[[#This Row],[ppn_z]],tbl_Historique_Final[[#This Row],[date_modif]])=Final_Sans_VGE[[#This Row],[date_modif]],
      "Ancien",
      "Modifié"),
   "Nouveau")),"")</f>
        <v/>
      </c>
    </row>
    <row r="8096" spans="24:30" x14ac:dyDescent="0.25">
      <c r="X8096" s="8" t="e">
        <f>IF(Final_Sans_VGE[[#This Row],[ppn_z]]="","",IFERROR(
   IF(_xlfn.XLOOKUP(Final_Sans_VGE[[#This Row],[ppn_z]],tbl_Historique_Final[ppn_z],tbl_Historique_Final[date_modif])=Final_Sans_VGE[[#This Row],[date_modif]],
      "Ancien",
      "Modifié"),
   "Nouveau"))</f>
        <v>#VALUE!</v>
      </c>
      <c r="AD8096" s="1" t="str">
        <f>IFERROR(IF(Final_Sans_VGE[[#This Row],[ppn_z]]="","",IFERROR(
   IF(_xlfn.XLOOKUP(Final_Sans_VGE[[#This Row],[ppn_z]],tbl_Historique_Final[[#This Row],[ppn_z]],tbl_Historique_Final[[#This Row],[date_modif]])=Final_Sans_VGE[[#This Row],[date_modif]],
      "Ancien",
      "Modifié"),
   "Nouveau")),"")</f>
        <v/>
      </c>
    </row>
    <row r="8097" spans="24:30" x14ac:dyDescent="0.25">
      <c r="X8097" s="8" t="e">
        <f>IF(Final_Sans_VGE[[#This Row],[ppn_z]]="","",IFERROR(
   IF(_xlfn.XLOOKUP(Final_Sans_VGE[[#This Row],[ppn_z]],tbl_Historique_Final[ppn_z],tbl_Historique_Final[date_modif])=Final_Sans_VGE[[#This Row],[date_modif]],
      "Ancien",
      "Modifié"),
   "Nouveau"))</f>
        <v>#VALUE!</v>
      </c>
      <c r="AD8097" s="1" t="str">
        <f>IFERROR(IF(Final_Sans_VGE[[#This Row],[ppn_z]]="","",IFERROR(
   IF(_xlfn.XLOOKUP(Final_Sans_VGE[[#This Row],[ppn_z]],tbl_Historique_Final[[#This Row],[ppn_z]],tbl_Historique_Final[[#This Row],[date_modif]])=Final_Sans_VGE[[#This Row],[date_modif]],
      "Ancien",
      "Modifié"),
   "Nouveau")),"")</f>
        <v/>
      </c>
    </row>
    <row r="8098" spans="24:30" x14ac:dyDescent="0.25">
      <c r="X8098" s="8" t="e">
        <f>IF(Final_Sans_VGE[[#This Row],[ppn_z]]="","",IFERROR(
   IF(_xlfn.XLOOKUP(Final_Sans_VGE[[#This Row],[ppn_z]],tbl_Historique_Final[ppn_z],tbl_Historique_Final[date_modif])=Final_Sans_VGE[[#This Row],[date_modif]],
      "Ancien",
      "Modifié"),
   "Nouveau"))</f>
        <v>#VALUE!</v>
      </c>
      <c r="AD8098" s="1" t="str">
        <f>IFERROR(IF(Final_Sans_VGE[[#This Row],[ppn_z]]="","",IFERROR(
   IF(_xlfn.XLOOKUP(Final_Sans_VGE[[#This Row],[ppn_z]],tbl_Historique_Final[[#This Row],[ppn_z]],tbl_Historique_Final[[#This Row],[date_modif]])=Final_Sans_VGE[[#This Row],[date_modif]],
      "Ancien",
      "Modifié"),
   "Nouveau")),"")</f>
        <v/>
      </c>
    </row>
    <row r="8099" spans="24:30" x14ac:dyDescent="0.25">
      <c r="X8099" s="8" t="e">
        <f>IF(Final_Sans_VGE[[#This Row],[ppn_z]]="","",IFERROR(
   IF(_xlfn.XLOOKUP(Final_Sans_VGE[[#This Row],[ppn_z]],tbl_Historique_Final[ppn_z],tbl_Historique_Final[date_modif])=Final_Sans_VGE[[#This Row],[date_modif]],
      "Ancien",
      "Modifié"),
   "Nouveau"))</f>
        <v>#VALUE!</v>
      </c>
      <c r="AD8099" s="1" t="str">
        <f>IFERROR(IF(Final_Sans_VGE[[#This Row],[ppn_z]]="","",IFERROR(
   IF(_xlfn.XLOOKUP(Final_Sans_VGE[[#This Row],[ppn_z]],tbl_Historique_Final[[#This Row],[ppn_z]],tbl_Historique_Final[[#This Row],[date_modif]])=Final_Sans_VGE[[#This Row],[date_modif]],
      "Ancien",
      "Modifié"),
   "Nouveau")),"")</f>
        <v/>
      </c>
    </row>
    <row r="8100" spans="24:30" x14ac:dyDescent="0.25">
      <c r="X8100" s="8" t="e">
        <f>IF(Final_Sans_VGE[[#This Row],[ppn_z]]="","",IFERROR(
   IF(_xlfn.XLOOKUP(Final_Sans_VGE[[#This Row],[ppn_z]],tbl_Historique_Final[ppn_z],tbl_Historique_Final[date_modif])=Final_Sans_VGE[[#This Row],[date_modif]],
      "Ancien",
      "Modifié"),
   "Nouveau"))</f>
        <v>#VALUE!</v>
      </c>
      <c r="AD8100" s="1" t="str">
        <f>IFERROR(IF(Final_Sans_VGE[[#This Row],[ppn_z]]="","",IFERROR(
   IF(_xlfn.XLOOKUP(Final_Sans_VGE[[#This Row],[ppn_z]],tbl_Historique_Final[[#This Row],[ppn_z]],tbl_Historique_Final[[#This Row],[date_modif]])=Final_Sans_VGE[[#This Row],[date_modif]],
      "Ancien",
      "Modifié"),
   "Nouveau")),"")</f>
        <v/>
      </c>
    </row>
    <row r="8101" spans="24:30" x14ac:dyDescent="0.25">
      <c r="X8101" s="8" t="e">
        <f>IF(Final_Sans_VGE[[#This Row],[ppn_z]]="","",IFERROR(
   IF(_xlfn.XLOOKUP(Final_Sans_VGE[[#This Row],[ppn_z]],tbl_Historique_Final[ppn_z],tbl_Historique_Final[date_modif])=Final_Sans_VGE[[#This Row],[date_modif]],
      "Ancien",
      "Modifié"),
   "Nouveau"))</f>
        <v>#VALUE!</v>
      </c>
      <c r="AD8101" s="1" t="str">
        <f>IFERROR(IF(Final_Sans_VGE[[#This Row],[ppn_z]]="","",IFERROR(
   IF(_xlfn.XLOOKUP(Final_Sans_VGE[[#This Row],[ppn_z]],tbl_Historique_Final[[#This Row],[ppn_z]],tbl_Historique_Final[[#This Row],[date_modif]])=Final_Sans_VGE[[#This Row],[date_modif]],
      "Ancien",
      "Modifié"),
   "Nouveau")),"")</f>
        <v/>
      </c>
    </row>
    <row r="8102" spans="24:30" x14ac:dyDescent="0.25">
      <c r="X8102" s="8" t="e">
        <f>IF(Final_Sans_VGE[[#This Row],[ppn_z]]="","",IFERROR(
   IF(_xlfn.XLOOKUP(Final_Sans_VGE[[#This Row],[ppn_z]],tbl_Historique_Final[ppn_z],tbl_Historique_Final[date_modif])=Final_Sans_VGE[[#This Row],[date_modif]],
      "Ancien",
      "Modifié"),
   "Nouveau"))</f>
        <v>#VALUE!</v>
      </c>
      <c r="AD8102" s="1" t="str">
        <f>IFERROR(IF(Final_Sans_VGE[[#This Row],[ppn_z]]="","",IFERROR(
   IF(_xlfn.XLOOKUP(Final_Sans_VGE[[#This Row],[ppn_z]],tbl_Historique_Final[[#This Row],[ppn_z]],tbl_Historique_Final[[#This Row],[date_modif]])=Final_Sans_VGE[[#This Row],[date_modif]],
      "Ancien",
      "Modifié"),
   "Nouveau")),"")</f>
        <v/>
      </c>
    </row>
    <row r="8103" spans="24:30" x14ac:dyDescent="0.25">
      <c r="X8103" s="8" t="e">
        <f>IF(Final_Sans_VGE[[#This Row],[ppn_z]]="","",IFERROR(
   IF(_xlfn.XLOOKUP(Final_Sans_VGE[[#This Row],[ppn_z]],tbl_Historique_Final[ppn_z],tbl_Historique_Final[date_modif])=Final_Sans_VGE[[#This Row],[date_modif]],
      "Ancien",
      "Modifié"),
   "Nouveau"))</f>
        <v>#VALUE!</v>
      </c>
      <c r="AD8103" s="1" t="str">
        <f>IFERROR(IF(Final_Sans_VGE[[#This Row],[ppn_z]]="","",IFERROR(
   IF(_xlfn.XLOOKUP(Final_Sans_VGE[[#This Row],[ppn_z]],tbl_Historique_Final[[#This Row],[ppn_z]],tbl_Historique_Final[[#This Row],[date_modif]])=Final_Sans_VGE[[#This Row],[date_modif]],
      "Ancien",
      "Modifié"),
   "Nouveau")),"")</f>
        <v/>
      </c>
    </row>
    <row r="8104" spans="24:30" x14ac:dyDescent="0.25">
      <c r="X8104" s="8" t="e">
        <f>IF(Final_Sans_VGE[[#This Row],[ppn_z]]="","",IFERROR(
   IF(_xlfn.XLOOKUP(Final_Sans_VGE[[#This Row],[ppn_z]],tbl_Historique_Final[ppn_z],tbl_Historique_Final[date_modif])=Final_Sans_VGE[[#This Row],[date_modif]],
      "Ancien",
      "Modifié"),
   "Nouveau"))</f>
        <v>#VALUE!</v>
      </c>
      <c r="AD8104" s="1" t="str">
        <f>IFERROR(IF(Final_Sans_VGE[[#This Row],[ppn_z]]="","",IFERROR(
   IF(_xlfn.XLOOKUP(Final_Sans_VGE[[#This Row],[ppn_z]],tbl_Historique_Final[[#This Row],[ppn_z]],tbl_Historique_Final[[#This Row],[date_modif]])=Final_Sans_VGE[[#This Row],[date_modif]],
      "Ancien",
      "Modifié"),
   "Nouveau")),"")</f>
        <v/>
      </c>
    </row>
    <row r="8105" spans="24:30" x14ac:dyDescent="0.25">
      <c r="X8105" s="8" t="e">
        <f>IF(Final_Sans_VGE[[#This Row],[ppn_z]]="","",IFERROR(
   IF(_xlfn.XLOOKUP(Final_Sans_VGE[[#This Row],[ppn_z]],tbl_Historique_Final[ppn_z],tbl_Historique_Final[date_modif])=Final_Sans_VGE[[#This Row],[date_modif]],
      "Ancien",
      "Modifié"),
   "Nouveau"))</f>
        <v>#VALUE!</v>
      </c>
      <c r="AD8105" s="1" t="str">
        <f>IFERROR(IF(Final_Sans_VGE[[#This Row],[ppn_z]]="","",IFERROR(
   IF(_xlfn.XLOOKUP(Final_Sans_VGE[[#This Row],[ppn_z]],tbl_Historique_Final[[#This Row],[ppn_z]],tbl_Historique_Final[[#This Row],[date_modif]])=Final_Sans_VGE[[#This Row],[date_modif]],
      "Ancien",
      "Modifié"),
   "Nouveau")),"")</f>
        <v/>
      </c>
    </row>
    <row r="8106" spans="24:30" x14ac:dyDescent="0.25">
      <c r="X8106" s="8" t="e">
        <f>IF(Final_Sans_VGE[[#This Row],[ppn_z]]="","",IFERROR(
   IF(_xlfn.XLOOKUP(Final_Sans_VGE[[#This Row],[ppn_z]],tbl_Historique_Final[ppn_z],tbl_Historique_Final[date_modif])=Final_Sans_VGE[[#This Row],[date_modif]],
      "Ancien",
      "Modifié"),
   "Nouveau"))</f>
        <v>#VALUE!</v>
      </c>
      <c r="AD8106" s="1" t="str">
        <f>IFERROR(IF(Final_Sans_VGE[[#This Row],[ppn_z]]="","",IFERROR(
   IF(_xlfn.XLOOKUP(Final_Sans_VGE[[#This Row],[ppn_z]],tbl_Historique_Final[[#This Row],[ppn_z]],tbl_Historique_Final[[#This Row],[date_modif]])=Final_Sans_VGE[[#This Row],[date_modif]],
      "Ancien",
      "Modifié"),
   "Nouveau")),"")</f>
        <v/>
      </c>
    </row>
    <row r="8107" spans="24:30" x14ac:dyDescent="0.25">
      <c r="X8107" s="8" t="e">
        <f>IF(Final_Sans_VGE[[#This Row],[ppn_z]]="","",IFERROR(
   IF(_xlfn.XLOOKUP(Final_Sans_VGE[[#This Row],[ppn_z]],tbl_Historique_Final[ppn_z],tbl_Historique_Final[date_modif])=Final_Sans_VGE[[#This Row],[date_modif]],
      "Ancien",
      "Modifié"),
   "Nouveau"))</f>
        <v>#VALUE!</v>
      </c>
      <c r="AD8107" s="1" t="str">
        <f>IFERROR(IF(Final_Sans_VGE[[#This Row],[ppn_z]]="","",IFERROR(
   IF(_xlfn.XLOOKUP(Final_Sans_VGE[[#This Row],[ppn_z]],tbl_Historique_Final[[#This Row],[ppn_z]],tbl_Historique_Final[[#This Row],[date_modif]])=Final_Sans_VGE[[#This Row],[date_modif]],
      "Ancien",
      "Modifié"),
   "Nouveau")),"")</f>
        <v/>
      </c>
    </row>
    <row r="8108" spans="24:30" x14ac:dyDescent="0.25">
      <c r="X8108" s="8" t="e">
        <f>IF(Final_Sans_VGE[[#This Row],[ppn_z]]="","",IFERROR(
   IF(_xlfn.XLOOKUP(Final_Sans_VGE[[#This Row],[ppn_z]],tbl_Historique_Final[ppn_z],tbl_Historique_Final[date_modif])=Final_Sans_VGE[[#This Row],[date_modif]],
      "Ancien",
      "Modifié"),
   "Nouveau"))</f>
        <v>#VALUE!</v>
      </c>
      <c r="AD8108" s="1" t="str">
        <f>IFERROR(IF(Final_Sans_VGE[[#This Row],[ppn_z]]="","",IFERROR(
   IF(_xlfn.XLOOKUP(Final_Sans_VGE[[#This Row],[ppn_z]],tbl_Historique_Final[[#This Row],[ppn_z]],tbl_Historique_Final[[#This Row],[date_modif]])=Final_Sans_VGE[[#This Row],[date_modif]],
      "Ancien",
      "Modifié"),
   "Nouveau")),"")</f>
        <v/>
      </c>
    </row>
    <row r="8109" spans="24:30" x14ac:dyDescent="0.25">
      <c r="X8109" s="8" t="e">
        <f>IF(Final_Sans_VGE[[#This Row],[ppn_z]]="","",IFERROR(
   IF(_xlfn.XLOOKUP(Final_Sans_VGE[[#This Row],[ppn_z]],tbl_Historique_Final[ppn_z],tbl_Historique_Final[date_modif])=Final_Sans_VGE[[#This Row],[date_modif]],
      "Ancien",
      "Modifié"),
   "Nouveau"))</f>
        <v>#VALUE!</v>
      </c>
      <c r="AD8109" s="1" t="str">
        <f>IFERROR(IF(Final_Sans_VGE[[#This Row],[ppn_z]]="","",IFERROR(
   IF(_xlfn.XLOOKUP(Final_Sans_VGE[[#This Row],[ppn_z]],tbl_Historique_Final[[#This Row],[ppn_z]],tbl_Historique_Final[[#This Row],[date_modif]])=Final_Sans_VGE[[#This Row],[date_modif]],
      "Ancien",
      "Modifié"),
   "Nouveau")),"")</f>
        <v/>
      </c>
    </row>
    <row r="8110" spans="24:30" x14ac:dyDescent="0.25">
      <c r="X8110" s="8" t="e">
        <f>IF(Final_Sans_VGE[[#This Row],[ppn_z]]="","",IFERROR(
   IF(_xlfn.XLOOKUP(Final_Sans_VGE[[#This Row],[ppn_z]],tbl_Historique_Final[ppn_z],tbl_Historique_Final[date_modif])=Final_Sans_VGE[[#This Row],[date_modif]],
      "Ancien",
      "Modifié"),
   "Nouveau"))</f>
        <v>#VALUE!</v>
      </c>
      <c r="AD8110" s="1" t="str">
        <f>IFERROR(IF(Final_Sans_VGE[[#This Row],[ppn_z]]="","",IFERROR(
   IF(_xlfn.XLOOKUP(Final_Sans_VGE[[#This Row],[ppn_z]],tbl_Historique_Final[[#This Row],[ppn_z]],tbl_Historique_Final[[#This Row],[date_modif]])=Final_Sans_VGE[[#This Row],[date_modif]],
      "Ancien",
      "Modifié"),
   "Nouveau")),"")</f>
        <v/>
      </c>
    </row>
    <row r="8111" spans="24:30" x14ac:dyDescent="0.25">
      <c r="X8111" s="8" t="e">
        <f>IF(Final_Sans_VGE[[#This Row],[ppn_z]]="","",IFERROR(
   IF(_xlfn.XLOOKUP(Final_Sans_VGE[[#This Row],[ppn_z]],tbl_Historique_Final[ppn_z],tbl_Historique_Final[date_modif])=Final_Sans_VGE[[#This Row],[date_modif]],
      "Ancien",
      "Modifié"),
   "Nouveau"))</f>
        <v>#VALUE!</v>
      </c>
      <c r="AD8111" s="1" t="str">
        <f>IFERROR(IF(Final_Sans_VGE[[#This Row],[ppn_z]]="","",IFERROR(
   IF(_xlfn.XLOOKUP(Final_Sans_VGE[[#This Row],[ppn_z]],tbl_Historique_Final[[#This Row],[ppn_z]],tbl_Historique_Final[[#This Row],[date_modif]])=Final_Sans_VGE[[#This Row],[date_modif]],
      "Ancien",
      "Modifié"),
   "Nouveau")),"")</f>
        <v/>
      </c>
    </row>
    <row r="8112" spans="24:30" x14ac:dyDescent="0.25">
      <c r="X8112" s="8" t="e">
        <f>IF(Final_Sans_VGE[[#This Row],[ppn_z]]="","",IFERROR(
   IF(_xlfn.XLOOKUP(Final_Sans_VGE[[#This Row],[ppn_z]],tbl_Historique_Final[ppn_z],tbl_Historique_Final[date_modif])=Final_Sans_VGE[[#This Row],[date_modif]],
      "Ancien",
      "Modifié"),
   "Nouveau"))</f>
        <v>#VALUE!</v>
      </c>
      <c r="AD8112" s="1" t="str">
        <f>IFERROR(IF(Final_Sans_VGE[[#This Row],[ppn_z]]="","",IFERROR(
   IF(_xlfn.XLOOKUP(Final_Sans_VGE[[#This Row],[ppn_z]],tbl_Historique_Final[[#This Row],[ppn_z]],tbl_Historique_Final[[#This Row],[date_modif]])=Final_Sans_VGE[[#This Row],[date_modif]],
      "Ancien",
      "Modifié"),
   "Nouveau")),"")</f>
        <v/>
      </c>
    </row>
    <row r="8113" spans="24:30" x14ac:dyDescent="0.25">
      <c r="X8113" s="8" t="e">
        <f>IF(Final_Sans_VGE[[#This Row],[ppn_z]]="","",IFERROR(
   IF(_xlfn.XLOOKUP(Final_Sans_VGE[[#This Row],[ppn_z]],tbl_Historique_Final[ppn_z],tbl_Historique_Final[date_modif])=Final_Sans_VGE[[#This Row],[date_modif]],
      "Ancien",
      "Modifié"),
   "Nouveau"))</f>
        <v>#VALUE!</v>
      </c>
      <c r="AD8113" s="1" t="str">
        <f>IFERROR(IF(Final_Sans_VGE[[#This Row],[ppn_z]]="","",IFERROR(
   IF(_xlfn.XLOOKUP(Final_Sans_VGE[[#This Row],[ppn_z]],tbl_Historique_Final[[#This Row],[ppn_z]],tbl_Historique_Final[[#This Row],[date_modif]])=Final_Sans_VGE[[#This Row],[date_modif]],
      "Ancien",
      "Modifié"),
   "Nouveau")),"")</f>
        <v/>
      </c>
    </row>
    <row r="8114" spans="24:30" x14ac:dyDescent="0.25">
      <c r="X8114" s="8" t="e">
        <f>IF(Final_Sans_VGE[[#This Row],[ppn_z]]="","",IFERROR(
   IF(_xlfn.XLOOKUP(Final_Sans_VGE[[#This Row],[ppn_z]],tbl_Historique_Final[ppn_z],tbl_Historique_Final[date_modif])=Final_Sans_VGE[[#This Row],[date_modif]],
      "Ancien",
      "Modifié"),
   "Nouveau"))</f>
        <v>#VALUE!</v>
      </c>
      <c r="AD8114" s="1" t="str">
        <f>IFERROR(IF(Final_Sans_VGE[[#This Row],[ppn_z]]="","",IFERROR(
   IF(_xlfn.XLOOKUP(Final_Sans_VGE[[#This Row],[ppn_z]],tbl_Historique_Final[[#This Row],[ppn_z]],tbl_Historique_Final[[#This Row],[date_modif]])=Final_Sans_VGE[[#This Row],[date_modif]],
      "Ancien",
      "Modifié"),
   "Nouveau")),"")</f>
        <v/>
      </c>
    </row>
    <row r="8115" spans="24:30" x14ac:dyDescent="0.25">
      <c r="X8115" s="8" t="e">
        <f>IF(Final_Sans_VGE[[#This Row],[ppn_z]]="","",IFERROR(
   IF(_xlfn.XLOOKUP(Final_Sans_VGE[[#This Row],[ppn_z]],tbl_Historique_Final[ppn_z],tbl_Historique_Final[date_modif])=Final_Sans_VGE[[#This Row],[date_modif]],
      "Ancien",
      "Modifié"),
   "Nouveau"))</f>
        <v>#VALUE!</v>
      </c>
      <c r="AD8115" s="1" t="str">
        <f>IFERROR(IF(Final_Sans_VGE[[#This Row],[ppn_z]]="","",IFERROR(
   IF(_xlfn.XLOOKUP(Final_Sans_VGE[[#This Row],[ppn_z]],tbl_Historique_Final[[#This Row],[ppn_z]],tbl_Historique_Final[[#This Row],[date_modif]])=Final_Sans_VGE[[#This Row],[date_modif]],
      "Ancien",
      "Modifié"),
   "Nouveau")),"")</f>
        <v/>
      </c>
    </row>
    <row r="8116" spans="24:30" x14ac:dyDescent="0.25">
      <c r="X8116" s="8" t="e">
        <f>IF(Final_Sans_VGE[[#This Row],[ppn_z]]="","",IFERROR(
   IF(_xlfn.XLOOKUP(Final_Sans_VGE[[#This Row],[ppn_z]],tbl_Historique_Final[ppn_z],tbl_Historique_Final[date_modif])=Final_Sans_VGE[[#This Row],[date_modif]],
      "Ancien",
      "Modifié"),
   "Nouveau"))</f>
        <v>#VALUE!</v>
      </c>
      <c r="AD8116" s="1" t="str">
        <f>IFERROR(IF(Final_Sans_VGE[[#This Row],[ppn_z]]="","",IFERROR(
   IF(_xlfn.XLOOKUP(Final_Sans_VGE[[#This Row],[ppn_z]],tbl_Historique_Final[[#This Row],[ppn_z]],tbl_Historique_Final[[#This Row],[date_modif]])=Final_Sans_VGE[[#This Row],[date_modif]],
      "Ancien",
      "Modifié"),
   "Nouveau")),"")</f>
        <v/>
      </c>
    </row>
    <row r="8117" spans="24:30" x14ac:dyDescent="0.25">
      <c r="X8117" s="8" t="e">
        <f>IF(Final_Sans_VGE[[#This Row],[ppn_z]]="","",IFERROR(
   IF(_xlfn.XLOOKUP(Final_Sans_VGE[[#This Row],[ppn_z]],tbl_Historique_Final[ppn_z],tbl_Historique_Final[date_modif])=Final_Sans_VGE[[#This Row],[date_modif]],
      "Ancien",
      "Modifié"),
   "Nouveau"))</f>
        <v>#VALUE!</v>
      </c>
      <c r="AD8117" s="1" t="str">
        <f>IFERROR(IF(Final_Sans_VGE[[#This Row],[ppn_z]]="","",IFERROR(
   IF(_xlfn.XLOOKUP(Final_Sans_VGE[[#This Row],[ppn_z]],tbl_Historique_Final[[#This Row],[ppn_z]],tbl_Historique_Final[[#This Row],[date_modif]])=Final_Sans_VGE[[#This Row],[date_modif]],
      "Ancien",
      "Modifié"),
   "Nouveau")),"")</f>
        <v/>
      </c>
    </row>
    <row r="8118" spans="24:30" x14ac:dyDescent="0.25">
      <c r="X8118" s="8" t="e">
        <f>IF(Final_Sans_VGE[[#This Row],[ppn_z]]="","",IFERROR(
   IF(_xlfn.XLOOKUP(Final_Sans_VGE[[#This Row],[ppn_z]],tbl_Historique_Final[ppn_z],tbl_Historique_Final[date_modif])=Final_Sans_VGE[[#This Row],[date_modif]],
      "Ancien",
      "Modifié"),
   "Nouveau"))</f>
        <v>#VALUE!</v>
      </c>
      <c r="AD8118" s="1" t="str">
        <f>IFERROR(IF(Final_Sans_VGE[[#This Row],[ppn_z]]="","",IFERROR(
   IF(_xlfn.XLOOKUP(Final_Sans_VGE[[#This Row],[ppn_z]],tbl_Historique_Final[[#This Row],[ppn_z]],tbl_Historique_Final[[#This Row],[date_modif]])=Final_Sans_VGE[[#This Row],[date_modif]],
      "Ancien",
      "Modifié"),
   "Nouveau")),"")</f>
        <v/>
      </c>
    </row>
    <row r="8119" spans="24:30" x14ac:dyDescent="0.25">
      <c r="X8119" s="8" t="e">
        <f>IF(Final_Sans_VGE[[#This Row],[ppn_z]]="","",IFERROR(
   IF(_xlfn.XLOOKUP(Final_Sans_VGE[[#This Row],[ppn_z]],tbl_Historique_Final[ppn_z],tbl_Historique_Final[date_modif])=Final_Sans_VGE[[#This Row],[date_modif]],
      "Ancien",
      "Modifié"),
   "Nouveau"))</f>
        <v>#VALUE!</v>
      </c>
      <c r="AD8119" s="1" t="str">
        <f>IFERROR(IF(Final_Sans_VGE[[#This Row],[ppn_z]]="","",IFERROR(
   IF(_xlfn.XLOOKUP(Final_Sans_VGE[[#This Row],[ppn_z]],tbl_Historique_Final[[#This Row],[ppn_z]],tbl_Historique_Final[[#This Row],[date_modif]])=Final_Sans_VGE[[#This Row],[date_modif]],
      "Ancien",
      "Modifié"),
   "Nouveau")),"")</f>
        <v/>
      </c>
    </row>
    <row r="8120" spans="24:30" x14ac:dyDescent="0.25">
      <c r="X8120" s="8" t="e">
        <f>IF(Final_Sans_VGE[[#This Row],[ppn_z]]="","",IFERROR(
   IF(_xlfn.XLOOKUP(Final_Sans_VGE[[#This Row],[ppn_z]],tbl_Historique_Final[ppn_z],tbl_Historique_Final[date_modif])=Final_Sans_VGE[[#This Row],[date_modif]],
      "Ancien",
      "Modifié"),
   "Nouveau"))</f>
        <v>#VALUE!</v>
      </c>
      <c r="AD8120" s="1" t="str">
        <f>IFERROR(IF(Final_Sans_VGE[[#This Row],[ppn_z]]="","",IFERROR(
   IF(_xlfn.XLOOKUP(Final_Sans_VGE[[#This Row],[ppn_z]],tbl_Historique_Final[[#This Row],[ppn_z]],tbl_Historique_Final[[#This Row],[date_modif]])=Final_Sans_VGE[[#This Row],[date_modif]],
      "Ancien",
      "Modifié"),
   "Nouveau")),"")</f>
        <v/>
      </c>
    </row>
    <row r="8121" spans="24:30" x14ac:dyDescent="0.25">
      <c r="X8121" s="8" t="e">
        <f>IF(Final_Sans_VGE[[#This Row],[ppn_z]]="","",IFERROR(
   IF(_xlfn.XLOOKUP(Final_Sans_VGE[[#This Row],[ppn_z]],tbl_Historique_Final[ppn_z],tbl_Historique_Final[date_modif])=Final_Sans_VGE[[#This Row],[date_modif]],
      "Ancien",
      "Modifié"),
   "Nouveau"))</f>
        <v>#VALUE!</v>
      </c>
      <c r="AD8121" s="1" t="str">
        <f>IFERROR(IF(Final_Sans_VGE[[#This Row],[ppn_z]]="","",IFERROR(
   IF(_xlfn.XLOOKUP(Final_Sans_VGE[[#This Row],[ppn_z]],tbl_Historique_Final[[#This Row],[ppn_z]],tbl_Historique_Final[[#This Row],[date_modif]])=Final_Sans_VGE[[#This Row],[date_modif]],
      "Ancien",
      "Modifié"),
   "Nouveau")),"")</f>
        <v/>
      </c>
    </row>
    <row r="8122" spans="24:30" x14ac:dyDescent="0.25">
      <c r="X8122" s="8" t="e">
        <f>IF(Final_Sans_VGE[[#This Row],[ppn_z]]="","",IFERROR(
   IF(_xlfn.XLOOKUP(Final_Sans_VGE[[#This Row],[ppn_z]],tbl_Historique_Final[ppn_z],tbl_Historique_Final[date_modif])=Final_Sans_VGE[[#This Row],[date_modif]],
      "Ancien",
      "Modifié"),
   "Nouveau"))</f>
        <v>#VALUE!</v>
      </c>
      <c r="AD8122" s="1" t="str">
        <f>IFERROR(IF(Final_Sans_VGE[[#This Row],[ppn_z]]="","",IFERROR(
   IF(_xlfn.XLOOKUP(Final_Sans_VGE[[#This Row],[ppn_z]],tbl_Historique_Final[[#This Row],[ppn_z]],tbl_Historique_Final[[#This Row],[date_modif]])=Final_Sans_VGE[[#This Row],[date_modif]],
      "Ancien",
      "Modifié"),
   "Nouveau")),"")</f>
        <v/>
      </c>
    </row>
    <row r="8123" spans="24:30" x14ac:dyDescent="0.25">
      <c r="X8123" s="8" t="e">
        <f>IF(Final_Sans_VGE[[#This Row],[ppn_z]]="","",IFERROR(
   IF(_xlfn.XLOOKUP(Final_Sans_VGE[[#This Row],[ppn_z]],tbl_Historique_Final[ppn_z],tbl_Historique_Final[date_modif])=Final_Sans_VGE[[#This Row],[date_modif]],
      "Ancien",
      "Modifié"),
   "Nouveau"))</f>
        <v>#VALUE!</v>
      </c>
      <c r="AD8123" s="1" t="str">
        <f>IFERROR(IF(Final_Sans_VGE[[#This Row],[ppn_z]]="","",IFERROR(
   IF(_xlfn.XLOOKUP(Final_Sans_VGE[[#This Row],[ppn_z]],tbl_Historique_Final[[#This Row],[ppn_z]],tbl_Historique_Final[[#This Row],[date_modif]])=Final_Sans_VGE[[#This Row],[date_modif]],
      "Ancien",
      "Modifié"),
   "Nouveau")),"")</f>
        <v/>
      </c>
    </row>
    <row r="8124" spans="24:30" x14ac:dyDescent="0.25">
      <c r="X8124" s="8" t="e">
        <f>IF(Final_Sans_VGE[[#This Row],[ppn_z]]="","",IFERROR(
   IF(_xlfn.XLOOKUP(Final_Sans_VGE[[#This Row],[ppn_z]],tbl_Historique_Final[ppn_z],tbl_Historique_Final[date_modif])=Final_Sans_VGE[[#This Row],[date_modif]],
      "Ancien",
      "Modifié"),
   "Nouveau"))</f>
        <v>#VALUE!</v>
      </c>
      <c r="AD8124" s="1" t="str">
        <f>IFERROR(IF(Final_Sans_VGE[[#This Row],[ppn_z]]="","",IFERROR(
   IF(_xlfn.XLOOKUP(Final_Sans_VGE[[#This Row],[ppn_z]],tbl_Historique_Final[[#This Row],[ppn_z]],tbl_Historique_Final[[#This Row],[date_modif]])=Final_Sans_VGE[[#This Row],[date_modif]],
      "Ancien",
      "Modifié"),
   "Nouveau")),"")</f>
        <v/>
      </c>
    </row>
    <row r="8125" spans="24:30" x14ac:dyDescent="0.25">
      <c r="X8125" s="8" t="e">
        <f>IF(Final_Sans_VGE[[#This Row],[ppn_z]]="","",IFERROR(
   IF(_xlfn.XLOOKUP(Final_Sans_VGE[[#This Row],[ppn_z]],tbl_Historique_Final[ppn_z],tbl_Historique_Final[date_modif])=Final_Sans_VGE[[#This Row],[date_modif]],
      "Ancien",
      "Modifié"),
   "Nouveau"))</f>
        <v>#VALUE!</v>
      </c>
      <c r="AD8125" s="1" t="str">
        <f>IFERROR(IF(Final_Sans_VGE[[#This Row],[ppn_z]]="","",IFERROR(
   IF(_xlfn.XLOOKUP(Final_Sans_VGE[[#This Row],[ppn_z]],tbl_Historique_Final[[#This Row],[ppn_z]],tbl_Historique_Final[[#This Row],[date_modif]])=Final_Sans_VGE[[#This Row],[date_modif]],
      "Ancien",
      "Modifié"),
   "Nouveau")),"")</f>
        <v/>
      </c>
    </row>
    <row r="8126" spans="24:30" x14ac:dyDescent="0.25">
      <c r="X8126" s="8" t="e">
        <f>IF(Final_Sans_VGE[[#This Row],[ppn_z]]="","",IFERROR(
   IF(_xlfn.XLOOKUP(Final_Sans_VGE[[#This Row],[ppn_z]],tbl_Historique_Final[ppn_z],tbl_Historique_Final[date_modif])=Final_Sans_VGE[[#This Row],[date_modif]],
      "Ancien",
      "Modifié"),
   "Nouveau"))</f>
        <v>#VALUE!</v>
      </c>
      <c r="AD8126" s="1" t="str">
        <f>IFERROR(IF(Final_Sans_VGE[[#This Row],[ppn_z]]="","",IFERROR(
   IF(_xlfn.XLOOKUP(Final_Sans_VGE[[#This Row],[ppn_z]],tbl_Historique_Final[[#This Row],[ppn_z]],tbl_Historique_Final[[#This Row],[date_modif]])=Final_Sans_VGE[[#This Row],[date_modif]],
      "Ancien",
      "Modifié"),
   "Nouveau")),"")</f>
        <v/>
      </c>
    </row>
    <row r="8127" spans="24:30" x14ac:dyDescent="0.25">
      <c r="X8127" s="8" t="e">
        <f>IF(Final_Sans_VGE[[#This Row],[ppn_z]]="","",IFERROR(
   IF(_xlfn.XLOOKUP(Final_Sans_VGE[[#This Row],[ppn_z]],tbl_Historique_Final[ppn_z],tbl_Historique_Final[date_modif])=Final_Sans_VGE[[#This Row],[date_modif]],
      "Ancien",
      "Modifié"),
   "Nouveau"))</f>
        <v>#VALUE!</v>
      </c>
      <c r="AD8127" s="1" t="str">
        <f>IFERROR(IF(Final_Sans_VGE[[#This Row],[ppn_z]]="","",IFERROR(
   IF(_xlfn.XLOOKUP(Final_Sans_VGE[[#This Row],[ppn_z]],tbl_Historique_Final[[#This Row],[ppn_z]],tbl_Historique_Final[[#This Row],[date_modif]])=Final_Sans_VGE[[#This Row],[date_modif]],
      "Ancien",
      "Modifié"),
   "Nouveau")),"")</f>
        <v/>
      </c>
    </row>
    <row r="8128" spans="24:30" x14ac:dyDescent="0.25">
      <c r="X8128" s="8" t="e">
        <f>IF(Final_Sans_VGE[[#This Row],[ppn_z]]="","",IFERROR(
   IF(_xlfn.XLOOKUP(Final_Sans_VGE[[#This Row],[ppn_z]],tbl_Historique_Final[ppn_z],tbl_Historique_Final[date_modif])=Final_Sans_VGE[[#This Row],[date_modif]],
      "Ancien",
      "Modifié"),
   "Nouveau"))</f>
        <v>#VALUE!</v>
      </c>
      <c r="AD8128" s="1" t="str">
        <f>IFERROR(IF(Final_Sans_VGE[[#This Row],[ppn_z]]="","",IFERROR(
   IF(_xlfn.XLOOKUP(Final_Sans_VGE[[#This Row],[ppn_z]],tbl_Historique_Final[[#This Row],[ppn_z]],tbl_Historique_Final[[#This Row],[date_modif]])=Final_Sans_VGE[[#This Row],[date_modif]],
      "Ancien",
      "Modifié"),
   "Nouveau")),"")</f>
        <v/>
      </c>
    </row>
    <row r="8129" spans="24:30" x14ac:dyDescent="0.25">
      <c r="X8129" s="8" t="e">
        <f>IF(Final_Sans_VGE[[#This Row],[ppn_z]]="","",IFERROR(
   IF(_xlfn.XLOOKUP(Final_Sans_VGE[[#This Row],[ppn_z]],tbl_Historique_Final[ppn_z],tbl_Historique_Final[date_modif])=Final_Sans_VGE[[#This Row],[date_modif]],
      "Ancien",
      "Modifié"),
   "Nouveau"))</f>
        <v>#VALUE!</v>
      </c>
      <c r="AD8129" s="1" t="str">
        <f>IFERROR(IF(Final_Sans_VGE[[#This Row],[ppn_z]]="","",IFERROR(
   IF(_xlfn.XLOOKUP(Final_Sans_VGE[[#This Row],[ppn_z]],tbl_Historique_Final[[#This Row],[ppn_z]],tbl_Historique_Final[[#This Row],[date_modif]])=Final_Sans_VGE[[#This Row],[date_modif]],
      "Ancien",
      "Modifié"),
   "Nouveau")),"")</f>
        <v/>
      </c>
    </row>
    <row r="8130" spans="24:30" x14ac:dyDescent="0.25">
      <c r="X8130" s="8" t="e">
        <f>IF(Final_Sans_VGE[[#This Row],[ppn_z]]="","",IFERROR(
   IF(_xlfn.XLOOKUP(Final_Sans_VGE[[#This Row],[ppn_z]],tbl_Historique_Final[ppn_z],tbl_Historique_Final[date_modif])=Final_Sans_VGE[[#This Row],[date_modif]],
      "Ancien",
      "Modifié"),
   "Nouveau"))</f>
        <v>#VALUE!</v>
      </c>
      <c r="AD8130" s="1" t="str">
        <f>IFERROR(IF(Final_Sans_VGE[[#This Row],[ppn_z]]="","",IFERROR(
   IF(_xlfn.XLOOKUP(Final_Sans_VGE[[#This Row],[ppn_z]],tbl_Historique_Final[[#This Row],[ppn_z]],tbl_Historique_Final[[#This Row],[date_modif]])=Final_Sans_VGE[[#This Row],[date_modif]],
      "Ancien",
      "Modifié"),
   "Nouveau")),"")</f>
        <v/>
      </c>
    </row>
    <row r="8131" spans="24:30" x14ac:dyDescent="0.25">
      <c r="X8131" s="8" t="e">
        <f>IF(Final_Sans_VGE[[#This Row],[ppn_z]]="","",IFERROR(
   IF(_xlfn.XLOOKUP(Final_Sans_VGE[[#This Row],[ppn_z]],tbl_Historique_Final[ppn_z],tbl_Historique_Final[date_modif])=Final_Sans_VGE[[#This Row],[date_modif]],
      "Ancien",
      "Modifié"),
   "Nouveau"))</f>
        <v>#VALUE!</v>
      </c>
      <c r="AD8131" s="1" t="str">
        <f>IFERROR(IF(Final_Sans_VGE[[#This Row],[ppn_z]]="","",IFERROR(
   IF(_xlfn.XLOOKUP(Final_Sans_VGE[[#This Row],[ppn_z]],tbl_Historique_Final[[#This Row],[ppn_z]],tbl_Historique_Final[[#This Row],[date_modif]])=Final_Sans_VGE[[#This Row],[date_modif]],
      "Ancien",
      "Modifié"),
   "Nouveau")),"")</f>
        <v/>
      </c>
    </row>
    <row r="8132" spans="24:30" x14ac:dyDescent="0.25">
      <c r="X8132" s="8" t="e">
        <f>IF(Final_Sans_VGE[[#This Row],[ppn_z]]="","",IFERROR(
   IF(_xlfn.XLOOKUP(Final_Sans_VGE[[#This Row],[ppn_z]],tbl_Historique_Final[ppn_z],tbl_Historique_Final[date_modif])=Final_Sans_VGE[[#This Row],[date_modif]],
      "Ancien",
      "Modifié"),
   "Nouveau"))</f>
        <v>#VALUE!</v>
      </c>
      <c r="AD8132" s="1" t="str">
        <f>IFERROR(IF(Final_Sans_VGE[[#This Row],[ppn_z]]="","",IFERROR(
   IF(_xlfn.XLOOKUP(Final_Sans_VGE[[#This Row],[ppn_z]],tbl_Historique_Final[[#This Row],[ppn_z]],tbl_Historique_Final[[#This Row],[date_modif]])=Final_Sans_VGE[[#This Row],[date_modif]],
      "Ancien",
      "Modifié"),
   "Nouveau")),"")</f>
        <v/>
      </c>
    </row>
    <row r="8133" spans="24:30" x14ac:dyDescent="0.25">
      <c r="X8133" s="8" t="e">
        <f>IF(Final_Sans_VGE[[#This Row],[ppn_z]]="","",IFERROR(
   IF(_xlfn.XLOOKUP(Final_Sans_VGE[[#This Row],[ppn_z]],tbl_Historique_Final[ppn_z],tbl_Historique_Final[date_modif])=Final_Sans_VGE[[#This Row],[date_modif]],
      "Ancien",
      "Modifié"),
   "Nouveau"))</f>
        <v>#VALUE!</v>
      </c>
      <c r="AD8133" s="1" t="str">
        <f>IFERROR(IF(Final_Sans_VGE[[#This Row],[ppn_z]]="","",IFERROR(
   IF(_xlfn.XLOOKUP(Final_Sans_VGE[[#This Row],[ppn_z]],tbl_Historique_Final[[#This Row],[ppn_z]],tbl_Historique_Final[[#This Row],[date_modif]])=Final_Sans_VGE[[#This Row],[date_modif]],
      "Ancien",
      "Modifié"),
   "Nouveau")),"")</f>
        <v/>
      </c>
    </row>
    <row r="8134" spans="24:30" x14ac:dyDescent="0.25">
      <c r="X8134" s="8" t="e">
        <f>IF(Final_Sans_VGE[[#This Row],[ppn_z]]="","",IFERROR(
   IF(_xlfn.XLOOKUP(Final_Sans_VGE[[#This Row],[ppn_z]],tbl_Historique_Final[ppn_z],tbl_Historique_Final[date_modif])=Final_Sans_VGE[[#This Row],[date_modif]],
      "Ancien",
      "Modifié"),
   "Nouveau"))</f>
        <v>#VALUE!</v>
      </c>
      <c r="AD8134" s="1" t="str">
        <f>IFERROR(IF(Final_Sans_VGE[[#This Row],[ppn_z]]="","",IFERROR(
   IF(_xlfn.XLOOKUP(Final_Sans_VGE[[#This Row],[ppn_z]],tbl_Historique_Final[[#This Row],[ppn_z]],tbl_Historique_Final[[#This Row],[date_modif]])=Final_Sans_VGE[[#This Row],[date_modif]],
      "Ancien",
      "Modifié"),
   "Nouveau")),"")</f>
        <v/>
      </c>
    </row>
    <row r="8135" spans="24:30" x14ac:dyDescent="0.25">
      <c r="X8135" s="8" t="e">
        <f>IF(Final_Sans_VGE[[#This Row],[ppn_z]]="","",IFERROR(
   IF(_xlfn.XLOOKUP(Final_Sans_VGE[[#This Row],[ppn_z]],tbl_Historique_Final[ppn_z],tbl_Historique_Final[date_modif])=Final_Sans_VGE[[#This Row],[date_modif]],
      "Ancien",
      "Modifié"),
   "Nouveau"))</f>
        <v>#VALUE!</v>
      </c>
      <c r="AD8135" s="1" t="str">
        <f>IFERROR(IF(Final_Sans_VGE[[#This Row],[ppn_z]]="","",IFERROR(
   IF(_xlfn.XLOOKUP(Final_Sans_VGE[[#This Row],[ppn_z]],tbl_Historique_Final[[#This Row],[ppn_z]],tbl_Historique_Final[[#This Row],[date_modif]])=Final_Sans_VGE[[#This Row],[date_modif]],
      "Ancien",
      "Modifié"),
   "Nouveau")),"")</f>
        <v/>
      </c>
    </row>
    <row r="8136" spans="24:30" x14ac:dyDescent="0.25">
      <c r="X8136" s="8" t="e">
        <f>IF(Final_Sans_VGE[[#This Row],[ppn_z]]="","",IFERROR(
   IF(_xlfn.XLOOKUP(Final_Sans_VGE[[#This Row],[ppn_z]],tbl_Historique_Final[ppn_z],tbl_Historique_Final[date_modif])=Final_Sans_VGE[[#This Row],[date_modif]],
      "Ancien",
      "Modifié"),
   "Nouveau"))</f>
        <v>#VALUE!</v>
      </c>
      <c r="AD8136" s="1" t="str">
        <f>IFERROR(IF(Final_Sans_VGE[[#This Row],[ppn_z]]="","",IFERROR(
   IF(_xlfn.XLOOKUP(Final_Sans_VGE[[#This Row],[ppn_z]],tbl_Historique_Final[[#This Row],[ppn_z]],tbl_Historique_Final[[#This Row],[date_modif]])=Final_Sans_VGE[[#This Row],[date_modif]],
      "Ancien",
      "Modifié"),
   "Nouveau")),"")</f>
        <v/>
      </c>
    </row>
    <row r="8137" spans="24:30" x14ac:dyDescent="0.25">
      <c r="X8137" s="8" t="e">
        <f>IF(Final_Sans_VGE[[#This Row],[ppn_z]]="","",IFERROR(
   IF(_xlfn.XLOOKUP(Final_Sans_VGE[[#This Row],[ppn_z]],tbl_Historique_Final[ppn_z],tbl_Historique_Final[date_modif])=Final_Sans_VGE[[#This Row],[date_modif]],
      "Ancien",
      "Modifié"),
   "Nouveau"))</f>
        <v>#VALUE!</v>
      </c>
      <c r="AD8137" s="1" t="str">
        <f>IFERROR(IF(Final_Sans_VGE[[#This Row],[ppn_z]]="","",IFERROR(
   IF(_xlfn.XLOOKUP(Final_Sans_VGE[[#This Row],[ppn_z]],tbl_Historique_Final[[#This Row],[ppn_z]],tbl_Historique_Final[[#This Row],[date_modif]])=Final_Sans_VGE[[#This Row],[date_modif]],
      "Ancien",
      "Modifié"),
   "Nouveau")),"")</f>
        <v/>
      </c>
    </row>
    <row r="8138" spans="24:30" x14ac:dyDescent="0.25">
      <c r="X8138" s="8" t="e">
        <f>IF(Final_Sans_VGE[[#This Row],[ppn_z]]="","",IFERROR(
   IF(_xlfn.XLOOKUP(Final_Sans_VGE[[#This Row],[ppn_z]],tbl_Historique_Final[ppn_z],tbl_Historique_Final[date_modif])=Final_Sans_VGE[[#This Row],[date_modif]],
      "Ancien",
      "Modifié"),
   "Nouveau"))</f>
        <v>#VALUE!</v>
      </c>
      <c r="AD8138" s="1" t="str">
        <f>IFERROR(IF(Final_Sans_VGE[[#This Row],[ppn_z]]="","",IFERROR(
   IF(_xlfn.XLOOKUP(Final_Sans_VGE[[#This Row],[ppn_z]],tbl_Historique_Final[[#This Row],[ppn_z]],tbl_Historique_Final[[#This Row],[date_modif]])=Final_Sans_VGE[[#This Row],[date_modif]],
      "Ancien",
      "Modifié"),
   "Nouveau")),"")</f>
        <v/>
      </c>
    </row>
    <row r="8139" spans="24:30" x14ac:dyDescent="0.25">
      <c r="X8139" s="8" t="e">
        <f>IF(Final_Sans_VGE[[#This Row],[ppn_z]]="","",IFERROR(
   IF(_xlfn.XLOOKUP(Final_Sans_VGE[[#This Row],[ppn_z]],tbl_Historique_Final[ppn_z],tbl_Historique_Final[date_modif])=Final_Sans_VGE[[#This Row],[date_modif]],
      "Ancien",
      "Modifié"),
   "Nouveau"))</f>
        <v>#VALUE!</v>
      </c>
      <c r="AD8139" s="1" t="str">
        <f>IFERROR(IF(Final_Sans_VGE[[#This Row],[ppn_z]]="","",IFERROR(
   IF(_xlfn.XLOOKUP(Final_Sans_VGE[[#This Row],[ppn_z]],tbl_Historique_Final[[#This Row],[ppn_z]],tbl_Historique_Final[[#This Row],[date_modif]])=Final_Sans_VGE[[#This Row],[date_modif]],
      "Ancien",
      "Modifié"),
   "Nouveau")),"")</f>
        <v/>
      </c>
    </row>
    <row r="8140" spans="24:30" x14ac:dyDescent="0.25">
      <c r="X8140" s="8" t="e">
        <f>IF(Final_Sans_VGE[[#This Row],[ppn_z]]="","",IFERROR(
   IF(_xlfn.XLOOKUP(Final_Sans_VGE[[#This Row],[ppn_z]],tbl_Historique_Final[ppn_z],tbl_Historique_Final[date_modif])=Final_Sans_VGE[[#This Row],[date_modif]],
      "Ancien",
      "Modifié"),
   "Nouveau"))</f>
        <v>#VALUE!</v>
      </c>
      <c r="AD8140" s="1" t="str">
        <f>IFERROR(IF(Final_Sans_VGE[[#This Row],[ppn_z]]="","",IFERROR(
   IF(_xlfn.XLOOKUP(Final_Sans_VGE[[#This Row],[ppn_z]],tbl_Historique_Final[[#This Row],[ppn_z]],tbl_Historique_Final[[#This Row],[date_modif]])=Final_Sans_VGE[[#This Row],[date_modif]],
      "Ancien",
      "Modifié"),
   "Nouveau")),"")</f>
        <v/>
      </c>
    </row>
    <row r="8141" spans="24:30" x14ac:dyDescent="0.25">
      <c r="X8141" s="8" t="e">
        <f>IF(Final_Sans_VGE[[#This Row],[ppn_z]]="","",IFERROR(
   IF(_xlfn.XLOOKUP(Final_Sans_VGE[[#This Row],[ppn_z]],tbl_Historique_Final[ppn_z],tbl_Historique_Final[date_modif])=Final_Sans_VGE[[#This Row],[date_modif]],
      "Ancien",
      "Modifié"),
   "Nouveau"))</f>
        <v>#VALUE!</v>
      </c>
      <c r="AD8141" s="1" t="str">
        <f>IFERROR(IF(Final_Sans_VGE[[#This Row],[ppn_z]]="","",IFERROR(
   IF(_xlfn.XLOOKUP(Final_Sans_VGE[[#This Row],[ppn_z]],tbl_Historique_Final[[#This Row],[ppn_z]],tbl_Historique_Final[[#This Row],[date_modif]])=Final_Sans_VGE[[#This Row],[date_modif]],
      "Ancien",
      "Modifié"),
   "Nouveau")),"")</f>
        <v/>
      </c>
    </row>
    <row r="8142" spans="24:30" x14ac:dyDescent="0.25">
      <c r="X8142" s="8" t="e">
        <f>IF(Final_Sans_VGE[[#This Row],[ppn_z]]="","",IFERROR(
   IF(_xlfn.XLOOKUP(Final_Sans_VGE[[#This Row],[ppn_z]],tbl_Historique_Final[ppn_z],tbl_Historique_Final[date_modif])=Final_Sans_VGE[[#This Row],[date_modif]],
      "Ancien",
      "Modifié"),
   "Nouveau"))</f>
        <v>#VALUE!</v>
      </c>
      <c r="AD8142" s="1" t="str">
        <f>IFERROR(IF(Final_Sans_VGE[[#This Row],[ppn_z]]="","",IFERROR(
   IF(_xlfn.XLOOKUP(Final_Sans_VGE[[#This Row],[ppn_z]],tbl_Historique_Final[[#This Row],[ppn_z]],tbl_Historique_Final[[#This Row],[date_modif]])=Final_Sans_VGE[[#This Row],[date_modif]],
      "Ancien",
      "Modifié"),
   "Nouveau")),"")</f>
        <v/>
      </c>
    </row>
    <row r="8143" spans="24:30" x14ac:dyDescent="0.25">
      <c r="X8143" s="8" t="e">
        <f>IF(Final_Sans_VGE[[#This Row],[ppn_z]]="","",IFERROR(
   IF(_xlfn.XLOOKUP(Final_Sans_VGE[[#This Row],[ppn_z]],tbl_Historique_Final[ppn_z],tbl_Historique_Final[date_modif])=Final_Sans_VGE[[#This Row],[date_modif]],
      "Ancien",
      "Modifié"),
   "Nouveau"))</f>
        <v>#VALUE!</v>
      </c>
      <c r="AD8143" s="1" t="str">
        <f>IFERROR(IF(Final_Sans_VGE[[#This Row],[ppn_z]]="","",IFERROR(
   IF(_xlfn.XLOOKUP(Final_Sans_VGE[[#This Row],[ppn_z]],tbl_Historique_Final[[#This Row],[ppn_z]],tbl_Historique_Final[[#This Row],[date_modif]])=Final_Sans_VGE[[#This Row],[date_modif]],
      "Ancien",
      "Modifié"),
   "Nouveau")),"")</f>
        <v/>
      </c>
    </row>
    <row r="8144" spans="24:30" x14ac:dyDescent="0.25">
      <c r="X8144" s="8" t="e">
        <f>IF(Final_Sans_VGE[[#This Row],[ppn_z]]="","",IFERROR(
   IF(_xlfn.XLOOKUP(Final_Sans_VGE[[#This Row],[ppn_z]],tbl_Historique_Final[ppn_z],tbl_Historique_Final[date_modif])=Final_Sans_VGE[[#This Row],[date_modif]],
      "Ancien",
      "Modifié"),
   "Nouveau"))</f>
        <v>#VALUE!</v>
      </c>
      <c r="AD8144" s="1" t="str">
        <f>IFERROR(IF(Final_Sans_VGE[[#This Row],[ppn_z]]="","",IFERROR(
   IF(_xlfn.XLOOKUP(Final_Sans_VGE[[#This Row],[ppn_z]],tbl_Historique_Final[[#This Row],[ppn_z]],tbl_Historique_Final[[#This Row],[date_modif]])=Final_Sans_VGE[[#This Row],[date_modif]],
      "Ancien",
      "Modifié"),
   "Nouveau")),"")</f>
        <v/>
      </c>
    </row>
    <row r="8145" spans="24:30" x14ac:dyDescent="0.25">
      <c r="X8145" s="8" t="e">
        <f>IF(Final_Sans_VGE[[#This Row],[ppn_z]]="","",IFERROR(
   IF(_xlfn.XLOOKUP(Final_Sans_VGE[[#This Row],[ppn_z]],tbl_Historique_Final[ppn_z],tbl_Historique_Final[date_modif])=Final_Sans_VGE[[#This Row],[date_modif]],
      "Ancien",
      "Modifié"),
   "Nouveau"))</f>
        <v>#VALUE!</v>
      </c>
      <c r="AD8145" s="1" t="str">
        <f>IFERROR(IF(Final_Sans_VGE[[#This Row],[ppn_z]]="","",IFERROR(
   IF(_xlfn.XLOOKUP(Final_Sans_VGE[[#This Row],[ppn_z]],tbl_Historique_Final[[#This Row],[ppn_z]],tbl_Historique_Final[[#This Row],[date_modif]])=Final_Sans_VGE[[#This Row],[date_modif]],
      "Ancien",
      "Modifié"),
   "Nouveau")),"")</f>
        <v/>
      </c>
    </row>
    <row r="8146" spans="24:30" x14ac:dyDescent="0.25">
      <c r="X8146" s="8" t="e">
        <f>IF(Final_Sans_VGE[[#This Row],[ppn_z]]="","",IFERROR(
   IF(_xlfn.XLOOKUP(Final_Sans_VGE[[#This Row],[ppn_z]],tbl_Historique_Final[ppn_z],tbl_Historique_Final[date_modif])=Final_Sans_VGE[[#This Row],[date_modif]],
      "Ancien",
      "Modifié"),
   "Nouveau"))</f>
        <v>#VALUE!</v>
      </c>
      <c r="AD8146" s="1" t="str">
        <f>IFERROR(IF(Final_Sans_VGE[[#This Row],[ppn_z]]="","",IFERROR(
   IF(_xlfn.XLOOKUP(Final_Sans_VGE[[#This Row],[ppn_z]],tbl_Historique_Final[[#This Row],[ppn_z]],tbl_Historique_Final[[#This Row],[date_modif]])=Final_Sans_VGE[[#This Row],[date_modif]],
      "Ancien",
      "Modifié"),
   "Nouveau")),"")</f>
        <v/>
      </c>
    </row>
    <row r="8147" spans="24:30" x14ac:dyDescent="0.25">
      <c r="X8147" s="8" t="e">
        <f>IF(Final_Sans_VGE[[#This Row],[ppn_z]]="","",IFERROR(
   IF(_xlfn.XLOOKUP(Final_Sans_VGE[[#This Row],[ppn_z]],tbl_Historique_Final[ppn_z],tbl_Historique_Final[date_modif])=Final_Sans_VGE[[#This Row],[date_modif]],
      "Ancien",
      "Modifié"),
   "Nouveau"))</f>
        <v>#VALUE!</v>
      </c>
      <c r="AD8147" s="1" t="str">
        <f>IFERROR(IF(Final_Sans_VGE[[#This Row],[ppn_z]]="","",IFERROR(
   IF(_xlfn.XLOOKUP(Final_Sans_VGE[[#This Row],[ppn_z]],tbl_Historique_Final[[#This Row],[ppn_z]],tbl_Historique_Final[[#This Row],[date_modif]])=Final_Sans_VGE[[#This Row],[date_modif]],
      "Ancien",
      "Modifié"),
   "Nouveau")),"")</f>
        <v/>
      </c>
    </row>
    <row r="8148" spans="24:30" x14ac:dyDescent="0.25">
      <c r="X8148" s="8" t="e">
        <f>IF(Final_Sans_VGE[[#This Row],[ppn_z]]="","",IFERROR(
   IF(_xlfn.XLOOKUP(Final_Sans_VGE[[#This Row],[ppn_z]],tbl_Historique_Final[ppn_z],tbl_Historique_Final[date_modif])=Final_Sans_VGE[[#This Row],[date_modif]],
      "Ancien",
      "Modifié"),
   "Nouveau"))</f>
        <v>#VALUE!</v>
      </c>
      <c r="AD8148" s="1" t="str">
        <f>IFERROR(IF(Final_Sans_VGE[[#This Row],[ppn_z]]="","",IFERROR(
   IF(_xlfn.XLOOKUP(Final_Sans_VGE[[#This Row],[ppn_z]],tbl_Historique_Final[[#This Row],[ppn_z]],tbl_Historique_Final[[#This Row],[date_modif]])=Final_Sans_VGE[[#This Row],[date_modif]],
      "Ancien",
      "Modifié"),
   "Nouveau")),"")</f>
        <v/>
      </c>
    </row>
    <row r="8149" spans="24:30" x14ac:dyDescent="0.25">
      <c r="X8149" s="8" t="e">
        <f>IF(Final_Sans_VGE[[#This Row],[ppn_z]]="","",IFERROR(
   IF(_xlfn.XLOOKUP(Final_Sans_VGE[[#This Row],[ppn_z]],tbl_Historique_Final[ppn_z],tbl_Historique_Final[date_modif])=Final_Sans_VGE[[#This Row],[date_modif]],
      "Ancien",
      "Modifié"),
   "Nouveau"))</f>
        <v>#VALUE!</v>
      </c>
      <c r="AD8149" s="1" t="str">
        <f>IFERROR(IF(Final_Sans_VGE[[#This Row],[ppn_z]]="","",IFERROR(
   IF(_xlfn.XLOOKUP(Final_Sans_VGE[[#This Row],[ppn_z]],tbl_Historique_Final[[#This Row],[ppn_z]],tbl_Historique_Final[[#This Row],[date_modif]])=Final_Sans_VGE[[#This Row],[date_modif]],
      "Ancien",
      "Modifié"),
   "Nouveau")),"")</f>
        <v/>
      </c>
    </row>
    <row r="8150" spans="24:30" x14ac:dyDescent="0.25">
      <c r="X8150" s="8" t="e">
        <f>IF(Final_Sans_VGE[[#This Row],[ppn_z]]="","",IFERROR(
   IF(_xlfn.XLOOKUP(Final_Sans_VGE[[#This Row],[ppn_z]],tbl_Historique_Final[ppn_z],tbl_Historique_Final[date_modif])=Final_Sans_VGE[[#This Row],[date_modif]],
      "Ancien",
      "Modifié"),
   "Nouveau"))</f>
        <v>#VALUE!</v>
      </c>
      <c r="AD8150" s="1" t="str">
        <f>IFERROR(IF(Final_Sans_VGE[[#This Row],[ppn_z]]="","",IFERROR(
   IF(_xlfn.XLOOKUP(Final_Sans_VGE[[#This Row],[ppn_z]],tbl_Historique_Final[[#This Row],[ppn_z]],tbl_Historique_Final[[#This Row],[date_modif]])=Final_Sans_VGE[[#This Row],[date_modif]],
      "Ancien",
      "Modifié"),
   "Nouveau")),"")</f>
        <v/>
      </c>
    </row>
    <row r="8151" spans="24:30" x14ac:dyDescent="0.25">
      <c r="X8151" s="8" t="e">
        <f>IF(Final_Sans_VGE[[#This Row],[ppn_z]]="","",IFERROR(
   IF(_xlfn.XLOOKUP(Final_Sans_VGE[[#This Row],[ppn_z]],tbl_Historique_Final[ppn_z],tbl_Historique_Final[date_modif])=Final_Sans_VGE[[#This Row],[date_modif]],
      "Ancien",
      "Modifié"),
   "Nouveau"))</f>
        <v>#VALUE!</v>
      </c>
      <c r="AD8151" s="1" t="str">
        <f>IFERROR(IF(Final_Sans_VGE[[#This Row],[ppn_z]]="","",IFERROR(
   IF(_xlfn.XLOOKUP(Final_Sans_VGE[[#This Row],[ppn_z]],tbl_Historique_Final[[#This Row],[ppn_z]],tbl_Historique_Final[[#This Row],[date_modif]])=Final_Sans_VGE[[#This Row],[date_modif]],
      "Ancien",
      "Modifié"),
   "Nouveau")),"")</f>
        <v/>
      </c>
    </row>
    <row r="8152" spans="24:30" x14ac:dyDescent="0.25">
      <c r="X8152" s="8" t="e">
        <f>IF(Final_Sans_VGE[[#This Row],[ppn_z]]="","",IFERROR(
   IF(_xlfn.XLOOKUP(Final_Sans_VGE[[#This Row],[ppn_z]],tbl_Historique_Final[ppn_z],tbl_Historique_Final[date_modif])=Final_Sans_VGE[[#This Row],[date_modif]],
      "Ancien",
      "Modifié"),
   "Nouveau"))</f>
        <v>#VALUE!</v>
      </c>
      <c r="AD8152" s="1" t="str">
        <f>IFERROR(IF(Final_Sans_VGE[[#This Row],[ppn_z]]="","",IFERROR(
   IF(_xlfn.XLOOKUP(Final_Sans_VGE[[#This Row],[ppn_z]],tbl_Historique_Final[[#This Row],[ppn_z]],tbl_Historique_Final[[#This Row],[date_modif]])=Final_Sans_VGE[[#This Row],[date_modif]],
      "Ancien",
      "Modifié"),
   "Nouveau")),"")</f>
        <v/>
      </c>
    </row>
    <row r="8153" spans="24:30" x14ac:dyDescent="0.25">
      <c r="X8153" s="8" t="e">
        <f>IF(Final_Sans_VGE[[#This Row],[ppn_z]]="","",IFERROR(
   IF(_xlfn.XLOOKUP(Final_Sans_VGE[[#This Row],[ppn_z]],tbl_Historique_Final[ppn_z],tbl_Historique_Final[date_modif])=Final_Sans_VGE[[#This Row],[date_modif]],
      "Ancien",
      "Modifié"),
   "Nouveau"))</f>
        <v>#VALUE!</v>
      </c>
      <c r="AD8153" s="1" t="str">
        <f>IFERROR(IF(Final_Sans_VGE[[#This Row],[ppn_z]]="","",IFERROR(
   IF(_xlfn.XLOOKUP(Final_Sans_VGE[[#This Row],[ppn_z]],tbl_Historique_Final[[#This Row],[ppn_z]],tbl_Historique_Final[[#This Row],[date_modif]])=Final_Sans_VGE[[#This Row],[date_modif]],
      "Ancien",
      "Modifié"),
   "Nouveau")),"")</f>
        <v/>
      </c>
    </row>
    <row r="8154" spans="24:30" x14ac:dyDescent="0.25">
      <c r="X8154" s="8" t="e">
        <f>IF(Final_Sans_VGE[[#This Row],[ppn_z]]="","",IFERROR(
   IF(_xlfn.XLOOKUP(Final_Sans_VGE[[#This Row],[ppn_z]],tbl_Historique_Final[ppn_z],tbl_Historique_Final[date_modif])=Final_Sans_VGE[[#This Row],[date_modif]],
      "Ancien",
      "Modifié"),
   "Nouveau"))</f>
        <v>#VALUE!</v>
      </c>
      <c r="AD8154" s="1" t="str">
        <f>IFERROR(IF(Final_Sans_VGE[[#This Row],[ppn_z]]="","",IFERROR(
   IF(_xlfn.XLOOKUP(Final_Sans_VGE[[#This Row],[ppn_z]],tbl_Historique_Final[[#This Row],[ppn_z]],tbl_Historique_Final[[#This Row],[date_modif]])=Final_Sans_VGE[[#This Row],[date_modif]],
      "Ancien",
      "Modifié"),
   "Nouveau")),"")</f>
        <v/>
      </c>
    </row>
    <row r="8155" spans="24:30" x14ac:dyDescent="0.25">
      <c r="X8155" s="8" t="e">
        <f>IF(Final_Sans_VGE[[#This Row],[ppn_z]]="","",IFERROR(
   IF(_xlfn.XLOOKUP(Final_Sans_VGE[[#This Row],[ppn_z]],tbl_Historique_Final[ppn_z],tbl_Historique_Final[date_modif])=Final_Sans_VGE[[#This Row],[date_modif]],
      "Ancien",
      "Modifié"),
   "Nouveau"))</f>
        <v>#VALUE!</v>
      </c>
      <c r="AD8155" s="1" t="str">
        <f>IFERROR(IF(Final_Sans_VGE[[#This Row],[ppn_z]]="","",IFERROR(
   IF(_xlfn.XLOOKUP(Final_Sans_VGE[[#This Row],[ppn_z]],tbl_Historique_Final[[#This Row],[ppn_z]],tbl_Historique_Final[[#This Row],[date_modif]])=Final_Sans_VGE[[#This Row],[date_modif]],
      "Ancien",
      "Modifié"),
   "Nouveau")),"")</f>
        <v/>
      </c>
    </row>
    <row r="8156" spans="24:30" x14ac:dyDescent="0.25">
      <c r="X8156" s="8" t="e">
        <f>IF(Final_Sans_VGE[[#This Row],[ppn_z]]="","",IFERROR(
   IF(_xlfn.XLOOKUP(Final_Sans_VGE[[#This Row],[ppn_z]],tbl_Historique_Final[ppn_z],tbl_Historique_Final[date_modif])=Final_Sans_VGE[[#This Row],[date_modif]],
      "Ancien",
      "Modifié"),
   "Nouveau"))</f>
        <v>#VALUE!</v>
      </c>
      <c r="AD8156" s="1" t="str">
        <f>IFERROR(IF(Final_Sans_VGE[[#This Row],[ppn_z]]="","",IFERROR(
   IF(_xlfn.XLOOKUP(Final_Sans_VGE[[#This Row],[ppn_z]],tbl_Historique_Final[[#This Row],[ppn_z]],tbl_Historique_Final[[#This Row],[date_modif]])=Final_Sans_VGE[[#This Row],[date_modif]],
      "Ancien",
      "Modifié"),
   "Nouveau")),"")</f>
        <v/>
      </c>
    </row>
    <row r="8157" spans="24:30" x14ac:dyDescent="0.25">
      <c r="X8157" s="8" t="e">
        <f>IF(Final_Sans_VGE[[#This Row],[ppn_z]]="","",IFERROR(
   IF(_xlfn.XLOOKUP(Final_Sans_VGE[[#This Row],[ppn_z]],tbl_Historique_Final[ppn_z],tbl_Historique_Final[date_modif])=Final_Sans_VGE[[#This Row],[date_modif]],
      "Ancien",
      "Modifié"),
   "Nouveau"))</f>
        <v>#VALUE!</v>
      </c>
      <c r="AD8157" s="1" t="str">
        <f>IFERROR(IF(Final_Sans_VGE[[#This Row],[ppn_z]]="","",IFERROR(
   IF(_xlfn.XLOOKUP(Final_Sans_VGE[[#This Row],[ppn_z]],tbl_Historique_Final[[#This Row],[ppn_z]],tbl_Historique_Final[[#This Row],[date_modif]])=Final_Sans_VGE[[#This Row],[date_modif]],
      "Ancien",
      "Modifié"),
   "Nouveau")),"")</f>
        <v/>
      </c>
    </row>
    <row r="8158" spans="24:30" x14ac:dyDescent="0.25">
      <c r="X8158" s="8" t="e">
        <f>IF(Final_Sans_VGE[[#This Row],[ppn_z]]="","",IFERROR(
   IF(_xlfn.XLOOKUP(Final_Sans_VGE[[#This Row],[ppn_z]],tbl_Historique_Final[ppn_z],tbl_Historique_Final[date_modif])=Final_Sans_VGE[[#This Row],[date_modif]],
      "Ancien",
      "Modifié"),
   "Nouveau"))</f>
        <v>#VALUE!</v>
      </c>
      <c r="AD8158" s="1" t="str">
        <f>IFERROR(IF(Final_Sans_VGE[[#This Row],[ppn_z]]="","",IFERROR(
   IF(_xlfn.XLOOKUP(Final_Sans_VGE[[#This Row],[ppn_z]],tbl_Historique_Final[[#This Row],[ppn_z]],tbl_Historique_Final[[#This Row],[date_modif]])=Final_Sans_VGE[[#This Row],[date_modif]],
      "Ancien",
      "Modifié"),
   "Nouveau")),"")</f>
        <v/>
      </c>
    </row>
    <row r="8159" spans="24:30" x14ac:dyDescent="0.25">
      <c r="X8159" s="8" t="e">
        <f>IF(Final_Sans_VGE[[#This Row],[ppn_z]]="","",IFERROR(
   IF(_xlfn.XLOOKUP(Final_Sans_VGE[[#This Row],[ppn_z]],tbl_Historique_Final[ppn_z],tbl_Historique_Final[date_modif])=Final_Sans_VGE[[#This Row],[date_modif]],
      "Ancien",
      "Modifié"),
   "Nouveau"))</f>
        <v>#VALUE!</v>
      </c>
      <c r="AD8159" s="1" t="str">
        <f>IFERROR(IF(Final_Sans_VGE[[#This Row],[ppn_z]]="","",IFERROR(
   IF(_xlfn.XLOOKUP(Final_Sans_VGE[[#This Row],[ppn_z]],tbl_Historique_Final[[#This Row],[ppn_z]],tbl_Historique_Final[[#This Row],[date_modif]])=Final_Sans_VGE[[#This Row],[date_modif]],
      "Ancien",
      "Modifié"),
   "Nouveau")),"")</f>
        <v/>
      </c>
    </row>
    <row r="8160" spans="24:30" x14ac:dyDescent="0.25">
      <c r="X8160" s="8" t="e">
        <f>IF(Final_Sans_VGE[[#This Row],[ppn_z]]="","",IFERROR(
   IF(_xlfn.XLOOKUP(Final_Sans_VGE[[#This Row],[ppn_z]],tbl_Historique_Final[ppn_z],tbl_Historique_Final[date_modif])=Final_Sans_VGE[[#This Row],[date_modif]],
      "Ancien",
      "Modifié"),
   "Nouveau"))</f>
        <v>#VALUE!</v>
      </c>
      <c r="AD8160" s="1" t="str">
        <f>IFERROR(IF(Final_Sans_VGE[[#This Row],[ppn_z]]="","",IFERROR(
   IF(_xlfn.XLOOKUP(Final_Sans_VGE[[#This Row],[ppn_z]],tbl_Historique_Final[[#This Row],[ppn_z]],tbl_Historique_Final[[#This Row],[date_modif]])=Final_Sans_VGE[[#This Row],[date_modif]],
      "Ancien",
      "Modifié"),
   "Nouveau")),"")</f>
        <v/>
      </c>
    </row>
    <row r="8161" spans="24:30" x14ac:dyDescent="0.25">
      <c r="X8161" s="8" t="e">
        <f>IF(Final_Sans_VGE[[#This Row],[ppn_z]]="","",IFERROR(
   IF(_xlfn.XLOOKUP(Final_Sans_VGE[[#This Row],[ppn_z]],tbl_Historique_Final[ppn_z],tbl_Historique_Final[date_modif])=Final_Sans_VGE[[#This Row],[date_modif]],
      "Ancien",
      "Modifié"),
   "Nouveau"))</f>
        <v>#VALUE!</v>
      </c>
      <c r="AD8161" s="1" t="str">
        <f>IFERROR(IF(Final_Sans_VGE[[#This Row],[ppn_z]]="","",IFERROR(
   IF(_xlfn.XLOOKUP(Final_Sans_VGE[[#This Row],[ppn_z]],tbl_Historique_Final[[#This Row],[ppn_z]],tbl_Historique_Final[[#This Row],[date_modif]])=Final_Sans_VGE[[#This Row],[date_modif]],
      "Ancien",
      "Modifié"),
   "Nouveau")),"")</f>
        <v/>
      </c>
    </row>
    <row r="8162" spans="24:30" x14ac:dyDescent="0.25">
      <c r="X8162" s="8" t="e">
        <f>IF(Final_Sans_VGE[[#This Row],[ppn_z]]="","",IFERROR(
   IF(_xlfn.XLOOKUP(Final_Sans_VGE[[#This Row],[ppn_z]],tbl_Historique_Final[ppn_z],tbl_Historique_Final[date_modif])=Final_Sans_VGE[[#This Row],[date_modif]],
      "Ancien",
      "Modifié"),
   "Nouveau"))</f>
        <v>#VALUE!</v>
      </c>
      <c r="AD8162" s="1" t="str">
        <f>IFERROR(IF(Final_Sans_VGE[[#This Row],[ppn_z]]="","",IFERROR(
   IF(_xlfn.XLOOKUP(Final_Sans_VGE[[#This Row],[ppn_z]],tbl_Historique_Final[[#This Row],[ppn_z]],tbl_Historique_Final[[#This Row],[date_modif]])=Final_Sans_VGE[[#This Row],[date_modif]],
      "Ancien",
      "Modifié"),
   "Nouveau")),"")</f>
        <v/>
      </c>
    </row>
    <row r="8163" spans="24:30" x14ac:dyDescent="0.25">
      <c r="X8163" s="8" t="e">
        <f>IF(Final_Sans_VGE[[#This Row],[ppn_z]]="","",IFERROR(
   IF(_xlfn.XLOOKUP(Final_Sans_VGE[[#This Row],[ppn_z]],tbl_Historique_Final[ppn_z],tbl_Historique_Final[date_modif])=Final_Sans_VGE[[#This Row],[date_modif]],
      "Ancien",
      "Modifié"),
   "Nouveau"))</f>
        <v>#VALUE!</v>
      </c>
      <c r="AD8163" s="1" t="str">
        <f>IFERROR(IF(Final_Sans_VGE[[#This Row],[ppn_z]]="","",IFERROR(
   IF(_xlfn.XLOOKUP(Final_Sans_VGE[[#This Row],[ppn_z]],tbl_Historique_Final[[#This Row],[ppn_z]],tbl_Historique_Final[[#This Row],[date_modif]])=Final_Sans_VGE[[#This Row],[date_modif]],
      "Ancien",
      "Modifié"),
   "Nouveau")),"")</f>
        <v/>
      </c>
    </row>
    <row r="8164" spans="24:30" x14ac:dyDescent="0.25">
      <c r="X8164" s="8" t="e">
        <f>IF(Final_Sans_VGE[[#This Row],[ppn_z]]="","",IFERROR(
   IF(_xlfn.XLOOKUP(Final_Sans_VGE[[#This Row],[ppn_z]],tbl_Historique_Final[ppn_z],tbl_Historique_Final[date_modif])=Final_Sans_VGE[[#This Row],[date_modif]],
      "Ancien",
      "Modifié"),
   "Nouveau"))</f>
        <v>#VALUE!</v>
      </c>
      <c r="AD8164" s="1" t="str">
        <f>IFERROR(IF(Final_Sans_VGE[[#This Row],[ppn_z]]="","",IFERROR(
   IF(_xlfn.XLOOKUP(Final_Sans_VGE[[#This Row],[ppn_z]],tbl_Historique_Final[[#This Row],[ppn_z]],tbl_Historique_Final[[#This Row],[date_modif]])=Final_Sans_VGE[[#This Row],[date_modif]],
      "Ancien",
      "Modifié"),
   "Nouveau")),"")</f>
        <v/>
      </c>
    </row>
    <row r="8165" spans="24:30" x14ac:dyDescent="0.25">
      <c r="X8165" s="8" t="e">
        <f>IF(Final_Sans_VGE[[#This Row],[ppn_z]]="","",IFERROR(
   IF(_xlfn.XLOOKUP(Final_Sans_VGE[[#This Row],[ppn_z]],tbl_Historique_Final[ppn_z],tbl_Historique_Final[date_modif])=Final_Sans_VGE[[#This Row],[date_modif]],
      "Ancien",
      "Modifié"),
   "Nouveau"))</f>
        <v>#VALUE!</v>
      </c>
      <c r="AD8165" s="1" t="str">
        <f>IFERROR(IF(Final_Sans_VGE[[#This Row],[ppn_z]]="","",IFERROR(
   IF(_xlfn.XLOOKUP(Final_Sans_VGE[[#This Row],[ppn_z]],tbl_Historique_Final[[#This Row],[ppn_z]],tbl_Historique_Final[[#This Row],[date_modif]])=Final_Sans_VGE[[#This Row],[date_modif]],
      "Ancien",
      "Modifié"),
   "Nouveau")),"")</f>
        <v/>
      </c>
    </row>
    <row r="8166" spans="24:30" x14ac:dyDescent="0.25">
      <c r="X8166" s="8" t="e">
        <f>IF(Final_Sans_VGE[[#This Row],[ppn_z]]="","",IFERROR(
   IF(_xlfn.XLOOKUP(Final_Sans_VGE[[#This Row],[ppn_z]],tbl_Historique_Final[ppn_z],tbl_Historique_Final[date_modif])=Final_Sans_VGE[[#This Row],[date_modif]],
      "Ancien",
      "Modifié"),
   "Nouveau"))</f>
        <v>#VALUE!</v>
      </c>
      <c r="AD8166" s="1" t="str">
        <f>IFERROR(IF(Final_Sans_VGE[[#This Row],[ppn_z]]="","",IFERROR(
   IF(_xlfn.XLOOKUP(Final_Sans_VGE[[#This Row],[ppn_z]],tbl_Historique_Final[[#This Row],[ppn_z]],tbl_Historique_Final[[#This Row],[date_modif]])=Final_Sans_VGE[[#This Row],[date_modif]],
      "Ancien",
      "Modifié"),
   "Nouveau")),"")</f>
        <v/>
      </c>
    </row>
    <row r="8167" spans="24:30" x14ac:dyDescent="0.25">
      <c r="X8167" s="8" t="e">
        <f>IF(Final_Sans_VGE[[#This Row],[ppn_z]]="","",IFERROR(
   IF(_xlfn.XLOOKUP(Final_Sans_VGE[[#This Row],[ppn_z]],tbl_Historique_Final[ppn_z],tbl_Historique_Final[date_modif])=Final_Sans_VGE[[#This Row],[date_modif]],
      "Ancien",
      "Modifié"),
   "Nouveau"))</f>
        <v>#VALUE!</v>
      </c>
      <c r="AD8167" s="1" t="str">
        <f>IFERROR(IF(Final_Sans_VGE[[#This Row],[ppn_z]]="","",IFERROR(
   IF(_xlfn.XLOOKUP(Final_Sans_VGE[[#This Row],[ppn_z]],tbl_Historique_Final[[#This Row],[ppn_z]],tbl_Historique_Final[[#This Row],[date_modif]])=Final_Sans_VGE[[#This Row],[date_modif]],
      "Ancien",
      "Modifié"),
   "Nouveau")),"")</f>
        <v/>
      </c>
    </row>
    <row r="8168" spans="24:30" x14ac:dyDescent="0.25">
      <c r="X8168" s="8" t="e">
        <f>IF(Final_Sans_VGE[[#This Row],[ppn_z]]="","",IFERROR(
   IF(_xlfn.XLOOKUP(Final_Sans_VGE[[#This Row],[ppn_z]],tbl_Historique_Final[ppn_z],tbl_Historique_Final[date_modif])=Final_Sans_VGE[[#This Row],[date_modif]],
      "Ancien",
      "Modifié"),
   "Nouveau"))</f>
        <v>#VALUE!</v>
      </c>
      <c r="AD8168" s="1" t="str">
        <f>IFERROR(IF(Final_Sans_VGE[[#This Row],[ppn_z]]="","",IFERROR(
   IF(_xlfn.XLOOKUP(Final_Sans_VGE[[#This Row],[ppn_z]],tbl_Historique_Final[[#This Row],[ppn_z]],tbl_Historique_Final[[#This Row],[date_modif]])=Final_Sans_VGE[[#This Row],[date_modif]],
      "Ancien",
      "Modifié"),
   "Nouveau")),"")</f>
        <v/>
      </c>
    </row>
    <row r="8169" spans="24:30" x14ac:dyDescent="0.25">
      <c r="X8169" s="8" t="e">
        <f>IF(Final_Sans_VGE[[#This Row],[ppn_z]]="","",IFERROR(
   IF(_xlfn.XLOOKUP(Final_Sans_VGE[[#This Row],[ppn_z]],tbl_Historique_Final[ppn_z],tbl_Historique_Final[date_modif])=Final_Sans_VGE[[#This Row],[date_modif]],
      "Ancien",
      "Modifié"),
   "Nouveau"))</f>
        <v>#VALUE!</v>
      </c>
      <c r="AD8169" s="1" t="str">
        <f>IFERROR(IF(Final_Sans_VGE[[#This Row],[ppn_z]]="","",IFERROR(
   IF(_xlfn.XLOOKUP(Final_Sans_VGE[[#This Row],[ppn_z]],tbl_Historique_Final[[#This Row],[ppn_z]],tbl_Historique_Final[[#This Row],[date_modif]])=Final_Sans_VGE[[#This Row],[date_modif]],
      "Ancien",
      "Modifié"),
   "Nouveau")),"")</f>
        <v/>
      </c>
    </row>
    <row r="8170" spans="24:30" x14ac:dyDescent="0.25">
      <c r="X8170" s="8" t="e">
        <f>IF(Final_Sans_VGE[[#This Row],[ppn_z]]="","",IFERROR(
   IF(_xlfn.XLOOKUP(Final_Sans_VGE[[#This Row],[ppn_z]],tbl_Historique_Final[ppn_z],tbl_Historique_Final[date_modif])=Final_Sans_VGE[[#This Row],[date_modif]],
      "Ancien",
      "Modifié"),
   "Nouveau"))</f>
        <v>#VALUE!</v>
      </c>
      <c r="AD8170" s="1" t="str">
        <f>IFERROR(IF(Final_Sans_VGE[[#This Row],[ppn_z]]="","",IFERROR(
   IF(_xlfn.XLOOKUP(Final_Sans_VGE[[#This Row],[ppn_z]],tbl_Historique_Final[[#This Row],[ppn_z]],tbl_Historique_Final[[#This Row],[date_modif]])=Final_Sans_VGE[[#This Row],[date_modif]],
      "Ancien",
      "Modifié"),
   "Nouveau")),"")</f>
        <v/>
      </c>
    </row>
    <row r="8171" spans="24:30" x14ac:dyDescent="0.25">
      <c r="X8171" s="8" t="e">
        <f>IF(Final_Sans_VGE[[#This Row],[ppn_z]]="","",IFERROR(
   IF(_xlfn.XLOOKUP(Final_Sans_VGE[[#This Row],[ppn_z]],tbl_Historique_Final[ppn_z],tbl_Historique_Final[date_modif])=Final_Sans_VGE[[#This Row],[date_modif]],
      "Ancien",
      "Modifié"),
   "Nouveau"))</f>
        <v>#VALUE!</v>
      </c>
      <c r="AD8171" s="1" t="str">
        <f>IFERROR(IF(Final_Sans_VGE[[#This Row],[ppn_z]]="","",IFERROR(
   IF(_xlfn.XLOOKUP(Final_Sans_VGE[[#This Row],[ppn_z]],tbl_Historique_Final[[#This Row],[ppn_z]],tbl_Historique_Final[[#This Row],[date_modif]])=Final_Sans_VGE[[#This Row],[date_modif]],
      "Ancien",
      "Modifié"),
   "Nouveau")),"")</f>
        <v/>
      </c>
    </row>
    <row r="8172" spans="24:30" x14ac:dyDescent="0.25">
      <c r="X8172" s="8" t="e">
        <f>IF(Final_Sans_VGE[[#This Row],[ppn_z]]="","",IFERROR(
   IF(_xlfn.XLOOKUP(Final_Sans_VGE[[#This Row],[ppn_z]],tbl_Historique_Final[ppn_z],tbl_Historique_Final[date_modif])=Final_Sans_VGE[[#This Row],[date_modif]],
      "Ancien",
      "Modifié"),
   "Nouveau"))</f>
        <v>#VALUE!</v>
      </c>
      <c r="AD8172" s="1" t="str">
        <f>IFERROR(IF(Final_Sans_VGE[[#This Row],[ppn_z]]="","",IFERROR(
   IF(_xlfn.XLOOKUP(Final_Sans_VGE[[#This Row],[ppn_z]],tbl_Historique_Final[[#This Row],[ppn_z]],tbl_Historique_Final[[#This Row],[date_modif]])=Final_Sans_VGE[[#This Row],[date_modif]],
      "Ancien",
      "Modifié"),
   "Nouveau")),"")</f>
        <v/>
      </c>
    </row>
    <row r="8173" spans="24:30" x14ac:dyDescent="0.25">
      <c r="X8173" s="8" t="e">
        <f>IF(Final_Sans_VGE[[#This Row],[ppn_z]]="","",IFERROR(
   IF(_xlfn.XLOOKUP(Final_Sans_VGE[[#This Row],[ppn_z]],tbl_Historique_Final[ppn_z],tbl_Historique_Final[date_modif])=Final_Sans_VGE[[#This Row],[date_modif]],
      "Ancien",
      "Modifié"),
   "Nouveau"))</f>
        <v>#VALUE!</v>
      </c>
      <c r="AD8173" s="1" t="str">
        <f>IFERROR(IF(Final_Sans_VGE[[#This Row],[ppn_z]]="","",IFERROR(
   IF(_xlfn.XLOOKUP(Final_Sans_VGE[[#This Row],[ppn_z]],tbl_Historique_Final[[#This Row],[ppn_z]],tbl_Historique_Final[[#This Row],[date_modif]])=Final_Sans_VGE[[#This Row],[date_modif]],
      "Ancien",
      "Modifié"),
   "Nouveau")),"")</f>
        <v/>
      </c>
    </row>
    <row r="8174" spans="24:30" x14ac:dyDescent="0.25">
      <c r="X8174" s="8" t="e">
        <f>IF(Final_Sans_VGE[[#This Row],[ppn_z]]="","",IFERROR(
   IF(_xlfn.XLOOKUP(Final_Sans_VGE[[#This Row],[ppn_z]],tbl_Historique_Final[ppn_z],tbl_Historique_Final[date_modif])=Final_Sans_VGE[[#This Row],[date_modif]],
      "Ancien",
      "Modifié"),
   "Nouveau"))</f>
        <v>#VALUE!</v>
      </c>
      <c r="AD8174" s="1" t="str">
        <f>IFERROR(IF(Final_Sans_VGE[[#This Row],[ppn_z]]="","",IFERROR(
   IF(_xlfn.XLOOKUP(Final_Sans_VGE[[#This Row],[ppn_z]],tbl_Historique_Final[[#This Row],[ppn_z]],tbl_Historique_Final[[#This Row],[date_modif]])=Final_Sans_VGE[[#This Row],[date_modif]],
      "Ancien",
      "Modifié"),
   "Nouveau")),"")</f>
        <v/>
      </c>
    </row>
    <row r="8175" spans="24:30" x14ac:dyDescent="0.25">
      <c r="X8175" s="8" t="e">
        <f>IF(Final_Sans_VGE[[#This Row],[ppn_z]]="","",IFERROR(
   IF(_xlfn.XLOOKUP(Final_Sans_VGE[[#This Row],[ppn_z]],tbl_Historique_Final[ppn_z],tbl_Historique_Final[date_modif])=Final_Sans_VGE[[#This Row],[date_modif]],
      "Ancien",
      "Modifié"),
   "Nouveau"))</f>
        <v>#VALUE!</v>
      </c>
      <c r="AD8175" s="1" t="str">
        <f>IFERROR(IF(Final_Sans_VGE[[#This Row],[ppn_z]]="","",IFERROR(
   IF(_xlfn.XLOOKUP(Final_Sans_VGE[[#This Row],[ppn_z]],tbl_Historique_Final[[#This Row],[ppn_z]],tbl_Historique_Final[[#This Row],[date_modif]])=Final_Sans_VGE[[#This Row],[date_modif]],
      "Ancien",
      "Modifié"),
   "Nouveau")),"")</f>
        <v/>
      </c>
    </row>
    <row r="8176" spans="24:30" x14ac:dyDescent="0.25">
      <c r="X8176" s="8" t="e">
        <f>IF(Final_Sans_VGE[[#This Row],[ppn_z]]="","",IFERROR(
   IF(_xlfn.XLOOKUP(Final_Sans_VGE[[#This Row],[ppn_z]],tbl_Historique_Final[ppn_z],tbl_Historique_Final[date_modif])=Final_Sans_VGE[[#This Row],[date_modif]],
      "Ancien",
      "Modifié"),
   "Nouveau"))</f>
        <v>#VALUE!</v>
      </c>
      <c r="AD8176" s="1" t="str">
        <f>IFERROR(IF(Final_Sans_VGE[[#This Row],[ppn_z]]="","",IFERROR(
   IF(_xlfn.XLOOKUP(Final_Sans_VGE[[#This Row],[ppn_z]],tbl_Historique_Final[[#This Row],[ppn_z]],tbl_Historique_Final[[#This Row],[date_modif]])=Final_Sans_VGE[[#This Row],[date_modif]],
      "Ancien",
      "Modifié"),
   "Nouveau")),"")</f>
        <v/>
      </c>
    </row>
    <row r="8177" spans="24:30" x14ac:dyDescent="0.25">
      <c r="X8177" s="8" t="e">
        <f>IF(Final_Sans_VGE[[#This Row],[ppn_z]]="","",IFERROR(
   IF(_xlfn.XLOOKUP(Final_Sans_VGE[[#This Row],[ppn_z]],tbl_Historique_Final[ppn_z],tbl_Historique_Final[date_modif])=Final_Sans_VGE[[#This Row],[date_modif]],
      "Ancien",
      "Modifié"),
   "Nouveau"))</f>
        <v>#VALUE!</v>
      </c>
      <c r="AD8177" s="1" t="str">
        <f>IFERROR(IF(Final_Sans_VGE[[#This Row],[ppn_z]]="","",IFERROR(
   IF(_xlfn.XLOOKUP(Final_Sans_VGE[[#This Row],[ppn_z]],tbl_Historique_Final[[#This Row],[ppn_z]],tbl_Historique_Final[[#This Row],[date_modif]])=Final_Sans_VGE[[#This Row],[date_modif]],
      "Ancien",
      "Modifié"),
   "Nouveau")),"")</f>
        <v/>
      </c>
    </row>
    <row r="8178" spans="24:30" x14ac:dyDescent="0.25">
      <c r="X8178" s="8" t="e">
        <f>IF(Final_Sans_VGE[[#This Row],[ppn_z]]="","",IFERROR(
   IF(_xlfn.XLOOKUP(Final_Sans_VGE[[#This Row],[ppn_z]],tbl_Historique_Final[ppn_z],tbl_Historique_Final[date_modif])=Final_Sans_VGE[[#This Row],[date_modif]],
      "Ancien",
      "Modifié"),
   "Nouveau"))</f>
        <v>#VALUE!</v>
      </c>
      <c r="AD8178" s="1" t="str">
        <f>IFERROR(IF(Final_Sans_VGE[[#This Row],[ppn_z]]="","",IFERROR(
   IF(_xlfn.XLOOKUP(Final_Sans_VGE[[#This Row],[ppn_z]],tbl_Historique_Final[[#This Row],[ppn_z]],tbl_Historique_Final[[#This Row],[date_modif]])=Final_Sans_VGE[[#This Row],[date_modif]],
      "Ancien",
      "Modifié"),
   "Nouveau")),"")</f>
        <v/>
      </c>
    </row>
    <row r="8179" spans="24:30" x14ac:dyDescent="0.25">
      <c r="X8179" s="8" t="e">
        <f>IF(Final_Sans_VGE[[#This Row],[ppn_z]]="","",IFERROR(
   IF(_xlfn.XLOOKUP(Final_Sans_VGE[[#This Row],[ppn_z]],tbl_Historique_Final[ppn_z],tbl_Historique_Final[date_modif])=Final_Sans_VGE[[#This Row],[date_modif]],
      "Ancien",
      "Modifié"),
   "Nouveau"))</f>
        <v>#VALUE!</v>
      </c>
      <c r="AD8179" s="1" t="str">
        <f>IFERROR(IF(Final_Sans_VGE[[#This Row],[ppn_z]]="","",IFERROR(
   IF(_xlfn.XLOOKUP(Final_Sans_VGE[[#This Row],[ppn_z]],tbl_Historique_Final[[#This Row],[ppn_z]],tbl_Historique_Final[[#This Row],[date_modif]])=Final_Sans_VGE[[#This Row],[date_modif]],
      "Ancien",
      "Modifié"),
   "Nouveau")),"")</f>
        <v/>
      </c>
    </row>
    <row r="8180" spans="24:30" x14ac:dyDescent="0.25">
      <c r="X8180" s="8" t="e">
        <f>IF(Final_Sans_VGE[[#This Row],[ppn_z]]="","",IFERROR(
   IF(_xlfn.XLOOKUP(Final_Sans_VGE[[#This Row],[ppn_z]],tbl_Historique_Final[ppn_z],tbl_Historique_Final[date_modif])=Final_Sans_VGE[[#This Row],[date_modif]],
      "Ancien",
      "Modifié"),
   "Nouveau"))</f>
        <v>#VALUE!</v>
      </c>
      <c r="AD8180" s="1" t="str">
        <f>IFERROR(IF(Final_Sans_VGE[[#This Row],[ppn_z]]="","",IFERROR(
   IF(_xlfn.XLOOKUP(Final_Sans_VGE[[#This Row],[ppn_z]],tbl_Historique_Final[[#This Row],[ppn_z]],tbl_Historique_Final[[#This Row],[date_modif]])=Final_Sans_VGE[[#This Row],[date_modif]],
      "Ancien",
      "Modifié"),
   "Nouveau")),"")</f>
        <v/>
      </c>
    </row>
    <row r="8181" spans="24:30" x14ac:dyDescent="0.25">
      <c r="X8181" s="8" t="e">
        <f>IF(Final_Sans_VGE[[#This Row],[ppn_z]]="","",IFERROR(
   IF(_xlfn.XLOOKUP(Final_Sans_VGE[[#This Row],[ppn_z]],tbl_Historique_Final[ppn_z],tbl_Historique_Final[date_modif])=Final_Sans_VGE[[#This Row],[date_modif]],
      "Ancien",
      "Modifié"),
   "Nouveau"))</f>
        <v>#VALUE!</v>
      </c>
      <c r="AD8181" s="1" t="str">
        <f>IFERROR(IF(Final_Sans_VGE[[#This Row],[ppn_z]]="","",IFERROR(
   IF(_xlfn.XLOOKUP(Final_Sans_VGE[[#This Row],[ppn_z]],tbl_Historique_Final[[#This Row],[ppn_z]],tbl_Historique_Final[[#This Row],[date_modif]])=Final_Sans_VGE[[#This Row],[date_modif]],
      "Ancien",
      "Modifié"),
   "Nouveau")),"")</f>
        <v/>
      </c>
    </row>
    <row r="8182" spans="24:30" x14ac:dyDescent="0.25">
      <c r="X8182" s="8" t="e">
        <f>IF(Final_Sans_VGE[[#This Row],[ppn_z]]="","",IFERROR(
   IF(_xlfn.XLOOKUP(Final_Sans_VGE[[#This Row],[ppn_z]],tbl_Historique_Final[ppn_z],tbl_Historique_Final[date_modif])=Final_Sans_VGE[[#This Row],[date_modif]],
      "Ancien",
      "Modifié"),
   "Nouveau"))</f>
        <v>#VALUE!</v>
      </c>
      <c r="AD8182" s="1" t="str">
        <f>IFERROR(IF(Final_Sans_VGE[[#This Row],[ppn_z]]="","",IFERROR(
   IF(_xlfn.XLOOKUP(Final_Sans_VGE[[#This Row],[ppn_z]],tbl_Historique_Final[[#This Row],[ppn_z]],tbl_Historique_Final[[#This Row],[date_modif]])=Final_Sans_VGE[[#This Row],[date_modif]],
      "Ancien",
      "Modifié"),
   "Nouveau")),"")</f>
        <v/>
      </c>
    </row>
    <row r="8183" spans="24:30" x14ac:dyDescent="0.25">
      <c r="X8183" s="8" t="e">
        <f>IF(Final_Sans_VGE[[#This Row],[ppn_z]]="","",IFERROR(
   IF(_xlfn.XLOOKUP(Final_Sans_VGE[[#This Row],[ppn_z]],tbl_Historique_Final[ppn_z],tbl_Historique_Final[date_modif])=Final_Sans_VGE[[#This Row],[date_modif]],
      "Ancien",
      "Modifié"),
   "Nouveau"))</f>
        <v>#VALUE!</v>
      </c>
      <c r="AD8183" s="1" t="str">
        <f>IFERROR(IF(Final_Sans_VGE[[#This Row],[ppn_z]]="","",IFERROR(
   IF(_xlfn.XLOOKUP(Final_Sans_VGE[[#This Row],[ppn_z]],tbl_Historique_Final[[#This Row],[ppn_z]],tbl_Historique_Final[[#This Row],[date_modif]])=Final_Sans_VGE[[#This Row],[date_modif]],
      "Ancien",
      "Modifié"),
   "Nouveau")),"")</f>
        <v/>
      </c>
    </row>
    <row r="8184" spans="24:30" x14ac:dyDescent="0.25">
      <c r="X8184" s="8" t="e">
        <f>IF(Final_Sans_VGE[[#This Row],[ppn_z]]="","",IFERROR(
   IF(_xlfn.XLOOKUP(Final_Sans_VGE[[#This Row],[ppn_z]],tbl_Historique_Final[ppn_z],tbl_Historique_Final[date_modif])=Final_Sans_VGE[[#This Row],[date_modif]],
      "Ancien",
      "Modifié"),
   "Nouveau"))</f>
        <v>#VALUE!</v>
      </c>
      <c r="AD8184" s="1" t="str">
        <f>IFERROR(IF(Final_Sans_VGE[[#This Row],[ppn_z]]="","",IFERROR(
   IF(_xlfn.XLOOKUP(Final_Sans_VGE[[#This Row],[ppn_z]],tbl_Historique_Final[[#This Row],[ppn_z]],tbl_Historique_Final[[#This Row],[date_modif]])=Final_Sans_VGE[[#This Row],[date_modif]],
      "Ancien",
      "Modifié"),
   "Nouveau")),"")</f>
        <v/>
      </c>
    </row>
    <row r="8185" spans="24:30" x14ac:dyDescent="0.25">
      <c r="X8185" s="8" t="e">
        <f>IF(Final_Sans_VGE[[#This Row],[ppn_z]]="","",IFERROR(
   IF(_xlfn.XLOOKUP(Final_Sans_VGE[[#This Row],[ppn_z]],tbl_Historique_Final[ppn_z],tbl_Historique_Final[date_modif])=Final_Sans_VGE[[#This Row],[date_modif]],
      "Ancien",
      "Modifié"),
   "Nouveau"))</f>
        <v>#VALUE!</v>
      </c>
      <c r="AD8185" s="1" t="str">
        <f>IFERROR(IF(Final_Sans_VGE[[#This Row],[ppn_z]]="","",IFERROR(
   IF(_xlfn.XLOOKUP(Final_Sans_VGE[[#This Row],[ppn_z]],tbl_Historique_Final[[#This Row],[ppn_z]],tbl_Historique_Final[[#This Row],[date_modif]])=Final_Sans_VGE[[#This Row],[date_modif]],
      "Ancien",
      "Modifié"),
   "Nouveau")),"")</f>
        <v/>
      </c>
    </row>
    <row r="8186" spans="24:30" x14ac:dyDescent="0.25">
      <c r="X8186" s="8" t="e">
        <f>IF(Final_Sans_VGE[[#This Row],[ppn_z]]="","",IFERROR(
   IF(_xlfn.XLOOKUP(Final_Sans_VGE[[#This Row],[ppn_z]],tbl_Historique_Final[ppn_z],tbl_Historique_Final[date_modif])=Final_Sans_VGE[[#This Row],[date_modif]],
      "Ancien",
      "Modifié"),
   "Nouveau"))</f>
        <v>#VALUE!</v>
      </c>
      <c r="AD8186" s="1" t="str">
        <f>IFERROR(IF(Final_Sans_VGE[[#This Row],[ppn_z]]="","",IFERROR(
   IF(_xlfn.XLOOKUP(Final_Sans_VGE[[#This Row],[ppn_z]],tbl_Historique_Final[[#This Row],[ppn_z]],tbl_Historique_Final[[#This Row],[date_modif]])=Final_Sans_VGE[[#This Row],[date_modif]],
      "Ancien",
      "Modifié"),
   "Nouveau")),"")</f>
        <v/>
      </c>
    </row>
    <row r="8187" spans="24:30" x14ac:dyDescent="0.25">
      <c r="X8187" s="8" t="e">
        <f>IF(Final_Sans_VGE[[#This Row],[ppn_z]]="","",IFERROR(
   IF(_xlfn.XLOOKUP(Final_Sans_VGE[[#This Row],[ppn_z]],tbl_Historique_Final[ppn_z],tbl_Historique_Final[date_modif])=Final_Sans_VGE[[#This Row],[date_modif]],
      "Ancien",
      "Modifié"),
   "Nouveau"))</f>
        <v>#VALUE!</v>
      </c>
      <c r="AD8187" s="1" t="str">
        <f>IFERROR(IF(Final_Sans_VGE[[#This Row],[ppn_z]]="","",IFERROR(
   IF(_xlfn.XLOOKUP(Final_Sans_VGE[[#This Row],[ppn_z]],tbl_Historique_Final[[#This Row],[ppn_z]],tbl_Historique_Final[[#This Row],[date_modif]])=Final_Sans_VGE[[#This Row],[date_modif]],
      "Ancien",
      "Modifié"),
   "Nouveau")),"")</f>
        <v/>
      </c>
    </row>
    <row r="8188" spans="24:30" x14ac:dyDescent="0.25">
      <c r="X8188" s="8" t="e">
        <f>IF(Final_Sans_VGE[[#This Row],[ppn_z]]="","",IFERROR(
   IF(_xlfn.XLOOKUP(Final_Sans_VGE[[#This Row],[ppn_z]],tbl_Historique_Final[ppn_z],tbl_Historique_Final[date_modif])=Final_Sans_VGE[[#This Row],[date_modif]],
      "Ancien",
      "Modifié"),
   "Nouveau"))</f>
        <v>#VALUE!</v>
      </c>
      <c r="AD8188" s="1" t="str">
        <f>IFERROR(IF(Final_Sans_VGE[[#This Row],[ppn_z]]="","",IFERROR(
   IF(_xlfn.XLOOKUP(Final_Sans_VGE[[#This Row],[ppn_z]],tbl_Historique_Final[[#This Row],[ppn_z]],tbl_Historique_Final[[#This Row],[date_modif]])=Final_Sans_VGE[[#This Row],[date_modif]],
      "Ancien",
      "Modifié"),
   "Nouveau")),"")</f>
        <v/>
      </c>
    </row>
    <row r="8189" spans="24:30" x14ac:dyDescent="0.25">
      <c r="X8189" s="8" t="e">
        <f>IF(Final_Sans_VGE[[#This Row],[ppn_z]]="","",IFERROR(
   IF(_xlfn.XLOOKUP(Final_Sans_VGE[[#This Row],[ppn_z]],tbl_Historique_Final[ppn_z],tbl_Historique_Final[date_modif])=Final_Sans_VGE[[#This Row],[date_modif]],
      "Ancien",
      "Modifié"),
   "Nouveau"))</f>
        <v>#VALUE!</v>
      </c>
      <c r="AD8189" s="1" t="str">
        <f>IFERROR(IF(Final_Sans_VGE[[#This Row],[ppn_z]]="","",IFERROR(
   IF(_xlfn.XLOOKUP(Final_Sans_VGE[[#This Row],[ppn_z]],tbl_Historique_Final[[#This Row],[ppn_z]],tbl_Historique_Final[[#This Row],[date_modif]])=Final_Sans_VGE[[#This Row],[date_modif]],
      "Ancien",
      "Modifié"),
   "Nouveau")),"")</f>
        <v/>
      </c>
    </row>
    <row r="8190" spans="24:30" x14ac:dyDescent="0.25">
      <c r="X8190" s="8" t="e">
        <f>IF(Final_Sans_VGE[[#This Row],[ppn_z]]="","",IFERROR(
   IF(_xlfn.XLOOKUP(Final_Sans_VGE[[#This Row],[ppn_z]],tbl_Historique_Final[ppn_z],tbl_Historique_Final[date_modif])=Final_Sans_VGE[[#This Row],[date_modif]],
      "Ancien",
      "Modifié"),
   "Nouveau"))</f>
        <v>#VALUE!</v>
      </c>
      <c r="AD8190" s="1" t="str">
        <f>IFERROR(IF(Final_Sans_VGE[[#This Row],[ppn_z]]="","",IFERROR(
   IF(_xlfn.XLOOKUP(Final_Sans_VGE[[#This Row],[ppn_z]],tbl_Historique_Final[[#This Row],[ppn_z]],tbl_Historique_Final[[#This Row],[date_modif]])=Final_Sans_VGE[[#This Row],[date_modif]],
      "Ancien",
      "Modifié"),
   "Nouveau")),"")</f>
        <v/>
      </c>
    </row>
    <row r="8191" spans="24:30" x14ac:dyDescent="0.25">
      <c r="X8191" s="8" t="e">
        <f>IF(Final_Sans_VGE[[#This Row],[ppn_z]]="","",IFERROR(
   IF(_xlfn.XLOOKUP(Final_Sans_VGE[[#This Row],[ppn_z]],tbl_Historique_Final[ppn_z],tbl_Historique_Final[date_modif])=Final_Sans_VGE[[#This Row],[date_modif]],
      "Ancien",
      "Modifié"),
   "Nouveau"))</f>
        <v>#VALUE!</v>
      </c>
      <c r="AD8191" s="1" t="str">
        <f>IFERROR(IF(Final_Sans_VGE[[#This Row],[ppn_z]]="","",IFERROR(
   IF(_xlfn.XLOOKUP(Final_Sans_VGE[[#This Row],[ppn_z]],tbl_Historique_Final[[#This Row],[ppn_z]],tbl_Historique_Final[[#This Row],[date_modif]])=Final_Sans_VGE[[#This Row],[date_modif]],
      "Ancien",
      "Modifié"),
   "Nouveau")),"")</f>
        <v/>
      </c>
    </row>
    <row r="8192" spans="24:30" x14ac:dyDescent="0.25">
      <c r="X8192" s="8" t="e">
        <f>IF(Final_Sans_VGE[[#This Row],[ppn_z]]="","",IFERROR(
   IF(_xlfn.XLOOKUP(Final_Sans_VGE[[#This Row],[ppn_z]],tbl_Historique_Final[ppn_z],tbl_Historique_Final[date_modif])=Final_Sans_VGE[[#This Row],[date_modif]],
      "Ancien",
      "Modifié"),
   "Nouveau"))</f>
        <v>#VALUE!</v>
      </c>
      <c r="AD8192" s="1" t="str">
        <f>IFERROR(IF(Final_Sans_VGE[[#This Row],[ppn_z]]="","",IFERROR(
   IF(_xlfn.XLOOKUP(Final_Sans_VGE[[#This Row],[ppn_z]],tbl_Historique_Final[[#This Row],[ppn_z]],tbl_Historique_Final[[#This Row],[date_modif]])=Final_Sans_VGE[[#This Row],[date_modif]],
      "Ancien",
      "Modifié"),
   "Nouveau")),"")</f>
        <v/>
      </c>
    </row>
    <row r="8193" spans="24:30" x14ac:dyDescent="0.25">
      <c r="X8193" s="8" t="e">
        <f>IF(Final_Sans_VGE[[#This Row],[ppn_z]]="","",IFERROR(
   IF(_xlfn.XLOOKUP(Final_Sans_VGE[[#This Row],[ppn_z]],tbl_Historique_Final[ppn_z],tbl_Historique_Final[date_modif])=Final_Sans_VGE[[#This Row],[date_modif]],
      "Ancien",
      "Modifié"),
   "Nouveau"))</f>
        <v>#VALUE!</v>
      </c>
      <c r="AD8193" s="1" t="str">
        <f>IFERROR(IF(Final_Sans_VGE[[#This Row],[ppn_z]]="","",IFERROR(
   IF(_xlfn.XLOOKUP(Final_Sans_VGE[[#This Row],[ppn_z]],tbl_Historique_Final[[#This Row],[ppn_z]],tbl_Historique_Final[[#This Row],[date_modif]])=Final_Sans_VGE[[#This Row],[date_modif]],
      "Ancien",
      "Modifié"),
   "Nouveau")),"")</f>
        <v/>
      </c>
    </row>
    <row r="8194" spans="24:30" x14ac:dyDescent="0.25">
      <c r="X8194" s="8" t="e">
        <f>IF(Final_Sans_VGE[[#This Row],[ppn_z]]="","",IFERROR(
   IF(_xlfn.XLOOKUP(Final_Sans_VGE[[#This Row],[ppn_z]],tbl_Historique_Final[ppn_z],tbl_Historique_Final[date_modif])=Final_Sans_VGE[[#This Row],[date_modif]],
      "Ancien",
      "Modifié"),
   "Nouveau"))</f>
        <v>#VALUE!</v>
      </c>
      <c r="AD8194" s="1" t="str">
        <f>IFERROR(IF(Final_Sans_VGE[[#This Row],[ppn_z]]="","",IFERROR(
   IF(_xlfn.XLOOKUP(Final_Sans_VGE[[#This Row],[ppn_z]],tbl_Historique_Final[[#This Row],[ppn_z]],tbl_Historique_Final[[#This Row],[date_modif]])=Final_Sans_VGE[[#This Row],[date_modif]],
      "Ancien",
      "Modifié"),
   "Nouveau")),"")</f>
        <v/>
      </c>
    </row>
    <row r="8195" spans="24:30" x14ac:dyDescent="0.25">
      <c r="X8195" s="8" t="e">
        <f>IF(Final_Sans_VGE[[#This Row],[ppn_z]]="","",IFERROR(
   IF(_xlfn.XLOOKUP(Final_Sans_VGE[[#This Row],[ppn_z]],tbl_Historique_Final[ppn_z],tbl_Historique_Final[date_modif])=Final_Sans_VGE[[#This Row],[date_modif]],
      "Ancien",
      "Modifié"),
   "Nouveau"))</f>
        <v>#VALUE!</v>
      </c>
      <c r="AD8195" s="1" t="str">
        <f>IFERROR(IF(Final_Sans_VGE[[#This Row],[ppn_z]]="","",IFERROR(
   IF(_xlfn.XLOOKUP(Final_Sans_VGE[[#This Row],[ppn_z]],tbl_Historique_Final[[#This Row],[ppn_z]],tbl_Historique_Final[[#This Row],[date_modif]])=Final_Sans_VGE[[#This Row],[date_modif]],
      "Ancien",
      "Modifié"),
   "Nouveau")),"")</f>
        <v/>
      </c>
    </row>
    <row r="8196" spans="24:30" x14ac:dyDescent="0.25">
      <c r="X8196" s="8" t="e">
        <f>IF(Final_Sans_VGE[[#This Row],[ppn_z]]="","",IFERROR(
   IF(_xlfn.XLOOKUP(Final_Sans_VGE[[#This Row],[ppn_z]],tbl_Historique_Final[ppn_z],tbl_Historique_Final[date_modif])=Final_Sans_VGE[[#This Row],[date_modif]],
      "Ancien",
      "Modifié"),
   "Nouveau"))</f>
        <v>#VALUE!</v>
      </c>
      <c r="AD8196" s="1" t="str">
        <f>IFERROR(IF(Final_Sans_VGE[[#This Row],[ppn_z]]="","",IFERROR(
   IF(_xlfn.XLOOKUP(Final_Sans_VGE[[#This Row],[ppn_z]],tbl_Historique_Final[[#This Row],[ppn_z]],tbl_Historique_Final[[#This Row],[date_modif]])=Final_Sans_VGE[[#This Row],[date_modif]],
      "Ancien",
      "Modifié"),
   "Nouveau")),"")</f>
        <v/>
      </c>
    </row>
    <row r="8197" spans="24:30" x14ac:dyDescent="0.25">
      <c r="X8197" s="8" t="e">
        <f>IF(Final_Sans_VGE[[#This Row],[ppn_z]]="","",IFERROR(
   IF(_xlfn.XLOOKUP(Final_Sans_VGE[[#This Row],[ppn_z]],tbl_Historique_Final[ppn_z],tbl_Historique_Final[date_modif])=Final_Sans_VGE[[#This Row],[date_modif]],
      "Ancien",
      "Modifié"),
   "Nouveau"))</f>
        <v>#VALUE!</v>
      </c>
      <c r="AD8197" s="1" t="str">
        <f>IFERROR(IF(Final_Sans_VGE[[#This Row],[ppn_z]]="","",IFERROR(
   IF(_xlfn.XLOOKUP(Final_Sans_VGE[[#This Row],[ppn_z]],tbl_Historique_Final[[#This Row],[ppn_z]],tbl_Historique_Final[[#This Row],[date_modif]])=Final_Sans_VGE[[#This Row],[date_modif]],
      "Ancien",
      "Modifié"),
   "Nouveau")),"")</f>
        <v/>
      </c>
    </row>
    <row r="8198" spans="24:30" x14ac:dyDescent="0.25">
      <c r="X8198" s="8" t="e">
        <f>IF(Final_Sans_VGE[[#This Row],[ppn_z]]="","",IFERROR(
   IF(_xlfn.XLOOKUP(Final_Sans_VGE[[#This Row],[ppn_z]],tbl_Historique_Final[ppn_z],tbl_Historique_Final[date_modif])=Final_Sans_VGE[[#This Row],[date_modif]],
      "Ancien",
      "Modifié"),
   "Nouveau"))</f>
        <v>#VALUE!</v>
      </c>
      <c r="AD8198" s="1" t="str">
        <f>IFERROR(IF(Final_Sans_VGE[[#This Row],[ppn_z]]="","",IFERROR(
   IF(_xlfn.XLOOKUP(Final_Sans_VGE[[#This Row],[ppn_z]],tbl_Historique_Final[[#This Row],[ppn_z]],tbl_Historique_Final[[#This Row],[date_modif]])=Final_Sans_VGE[[#This Row],[date_modif]],
      "Ancien",
      "Modifié"),
   "Nouveau")),"")</f>
        <v/>
      </c>
    </row>
    <row r="8199" spans="24:30" x14ac:dyDescent="0.25">
      <c r="X8199" s="8" t="e">
        <f>IF(Final_Sans_VGE[[#This Row],[ppn_z]]="","",IFERROR(
   IF(_xlfn.XLOOKUP(Final_Sans_VGE[[#This Row],[ppn_z]],tbl_Historique_Final[ppn_z],tbl_Historique_Final[date_modif])=Final_Sans_VGE[[#This Row],[date_modif]],
      "Ancien",
      "Modifié"),
   "Nouveau"))</f>
        <v>#VALUE!</v>
      </c>
      <c r="AD8199" s="1" t="str">
        <f>IFERROR(IF(Final_Sans_VGE[[#This Row],[ppn_z]]="","",IFERROR(
   IF(_xlfn.XLOOKUP(Final_Sans_VGE[[#This Row],[ppn_z]],tbl_Historique_Final[[#This Row],[ppn_z]],tbl_Historique_Final[[#This Row],[date_modif]])=Final_Sans_VGE[[#This Row],[date_modif]],
      "Ancien",
      "Modifié"),
   "Nouveau")),"")</f>
        <v/>
      </c>
    </row>
    <row r="8200" spans="24:30" x14ac:dyDescent="0.25">
      <c r="X8200" s="8" t="e">
        <f>IF(Final_Sans_VGE[[#This Row],[ppn_z]]="","",IFERROR(
   IF(_xlfn.XLOOKUP(Final_Sans_VGE[[#This Row],[ppn_z]],tbl_Historique_Final[ppn_z],tbl_Historique_Final[date_modif])=Final_Sans_VGE[[#This Row],[date_modif]],
      "Ancien",
      "Modifié"),
   "Nouveau"))</f>
        <v>#VALUE!</v>
      </c>
      <c r="AD8200" s="1" t="str">
        <f>IFERROR(IF(Final_Sans_VGE[[#This Row],[ppn_z]]="","",IFERROR(
   IF(_xlfn.XLOOKUP(Final_Sans_VGE[[#This Row],[ppn_z]],tbl_Historique_Final[[#This Row],[ppn_z]],tbl_Historique_Final[[#This Row],[date_modif]])=Final_Sans_VGE[[#This Row],[date_modif]],
      "Ancien",
      "Modifié"),
   "Nouveau")),"")</f>
        <v/>
      </c>
    </row>
    <row r="8201" spans="24:30" x14ac:dyDescent="0.25">
      <c r="X8201" s="8" t="e">
        <f>IF(Final_Sans_VGE[[#This Row],[ppn_z]]="","",IFERROR(
   IF(_xlfn.XLOOKUP(Final_Sans_VGE[[#This Row],[ppn_z]],tbl_Historique_Final[ppn_z],tbl_Historique_Final[date_modif])=Final_Sans_VGE[[#This Row],[date_modif]],
      "Ancien",
      "Modifié"),
   "Nouveau"))</f>
        <v>#VALUE!</v>
      </c>
      <c r="AD8201" s="1" t="str">
        <f>IFERROR(IF(Final_Sans_VGE[[#This Row],[ppn_z]]="","",IFERROR(
   IF(_xlfn.XLOOKUP(Final_Sans_VGE[[#This Row],[ppn_z]],tbl_Historique_Final[[#This Row],[ppn_z]],tbl_Historique_Final[[#This Row],[date_modif]])=Final_Sans_VGE[[#This Row],[date_modif]],
      "Ancien",
      "Modifié"),
   "Nouveau")),"")</f>
        <v/>
      </c>
    </row>
    <row r="8202" spans="24:30" x14ac:dyDescent="0.25">
      <c r="X8202" s="8" t="e">
        <f>IF(Final_Sans_VGE[[#This Row],[ppn_z]]="","",IFERROR(
   IF(_xlfn.XLOOKUP(Final_Sans_VGE[[#This Row],[ppn_z]],tbl_Historique_Final[ppn_z],tbl_Historique_Final[date_modif])=Final_Sans_VGE[[#This Row],[date_modif]],
      "Ancien",
      "Modifié"),
   "Nouveau"))</f>
        <v>#VALUE!</v>
      </c>
      <c r="AD8202" s="1" t="str">
        <f>IFERROR(IF(Final_Sans_VGE[[#This Row],[ppn_z]]="","",IFERROR(
   IF(_xlfn.XLOOKUP(Final_Sans_VGE[[#This Row],[ppn_z]],tbl_Historique_Final[[#This Row],[ppn_z]],tbl_Historique_Final[[#This Row],[date_modif]])=Final_Sans_VGE[[#This Row],[date_modif]],
      "Ancien",
      "Modifié"),
   "Nouveau")),"")</f>
        <v/>
      </c>
    </row>
    <row r="8203" spans="24:30" x14ac:dyDescent="0.25">
      <c r="X8203" s="8" t="e">
        <f>IF(Final_Sans_VGE[[#This Row],[ppn_z]]="","",IFERROR(
   IF(_xlfn.XLOOKUP(Final_Sans_VGE[[#This Row],[ppn_z]],tbl_Historique_Final[ppn_z],tbl_Historique_Final[date_modif])=Final_Sans_VGE[[#This Row],[date_modif]],
      "Ancien",
      "Modifié"),
   "Nouveau"))</f>
        <v>#VALUE!</v>
      </c>
      <c r="AD8203" s="1" t="str">
        <f>IFERROR(IF(Final_Sans_VGE[[#This Row],[ppn_z]]="","",IFERROR(
   IF(_xlfn.XLOOKUP(Final_Sans_VGE[[#This Row],[ppn_z]],tbl_Historique_Final[[#This Row],[ppn_z]],tbl_Historique_Final[[#This Row],[date_modif]])=Final_Sans_VGE[[#This Row],[date_modif]],
      "Ancien",
      "Modifié"),
   "Nouveau")),"")</f>
        <v/>
      </c>
    </row>
    <row r="8204" spans="24:30" x14ac:dyDescent="0.25">
      <c r="X8204" s="8" t="e">
        <f>IF(Final_Sans_VGE[[#This Row],[ppn_z]]="","",IFERROR(
   IF(_xlfn.XLOOKUP(Final_Sans_VGE[[#This Row],[ppn_z]],tbl_Historique_Final[ppn_z],tbl_Historique_Final[date_modif])=Final_Sans_VGE[[#This Row],[date_modif]],
      "Ancien",
      "Modifié"),
   "Nouveau"))</f>
        <v>#VALUE!</v>
      </c>
      <c r="AD8204" s="1" t="str">
        <f>IFERROR(IF(Final_Sans_VGE[[#This Row],[ppn_z]]="","",IFERROR(
   IF(_xlfn.XLOOKUP(Final_Sans_VGE[[#This Row],[ppn_z]],tbl_Historique_Final[[#This Row],[ppn_z]],tbl_Historique_Final[[#This Row],[date_modif]])=Final_Sans_VGE[[#This Row],[date_modif]],
      "Ancien",
      "Modifié"),
   "Nouveau")),"")</f>
        <v/>
      </c>
    </row>
    <row r="8205" spans="24:30" x14ac:dyDescent="0.25">
      <c r="X8205" s="8" t="e">
        <f>IF(Final_Sans_VGE[[#This Row],[ppn_z]]="","",IFERROR(
   IF(_xlfn.XLOOKUP(Final_Sans_VGE[[#This Row],[ppn_z]],tbl_Historique_Final[ppn_z],tbl_Historique_Final[date_modif])=Final_Sans_VGE[[#This Row],[date_modif]],
      "Ancien",
      "Modifié"),
   "Nouveau"))</f>
        <v>#VALUE!</v>
      </c>
      <c r="AD8205" s="1" t="str">
        <f>IFERROR(IF(Final_Sans_VGE[[#This Row],[ppn_z]]="","",IFERROR(
   IF(_xlfn.XLOOKUP(Final_Sans_VGE[[#This Row],[ppn_z]],tbl_Historique_Final[[#This Row],[ppn_z]],tbl_Historique_Final[[#This Row],[date_modif]])=Final_Sans_VGE[[#This Row],[date_modif]],
      "Ancien",
      "Modifié"),
   "Nouveau")),"")</f>
        <v/>
      </c>
    </row>
    <row r="8206" spans="24:30" x14ac:dyDescent="0.25">
      <c r="X8206" s="8" t="e">
        <f>IF(Final_Sans_VGE[[#This Row],[ppn_z]]="","",IFERROR(
   IF(_xlfn.XLOOKUP(Final_Sans_VGE[[#This Row],[ppn_z]],tbl_Historique_Final[ppn_z],tbl_Historique_Final[date_modif])=Final_Sans_VGE[[#This Row],[date_modif]],
      "Ancien",
      "Modifié"),
   "Nouveau"))</f>
        <v>#VALUE!</v>
      </c>
      <c r="AD8206" s="1" t="str">
        <f>IFERROR(IF(Final_Sans_VGE[[#This Row],[ppn_z]]="","",IFERROR(
   IF(_xlfn.XLOOKUP(Final_Sans_VGE[[#This Row],[ppn_z]],tbl_Historique_Final[[#This Row],[ppn_z]],tbl_Historique_Final[[#This Row],[date_modif]])=Final_Sans_VGE[[#This Row],[date_modif]],
      "Ancien",
      "Modifié"),
   "Nouveau")),"")</f>
        <v/>
      </c>
    </row>
    <row r="8207" spans="24:30" x14ac:dyDescent="0.25">
      <c r="X8207" s="8" t="e">
        <f>IF(Final_Sans_VGE[[#This Row],[ppn_z]]="","",IFERROR(
   IF(_xlfn.XLOOKUP(Final_Sans_VGE[[#This Row],[ppn_z]],tbl_Historique_Final[ppn_z],tbl_Historique_Final[date_modif])=Final_Sans_VGE[[#This Row],[date_modif]],
      "Ancien",
      "Modifié"),
   "Nouveau"))</f>
        <v>#VALUE!</v>
      </c>
      <c r="AD8207" s="1" t="str">
        <f>IFERROR(IF(Final_Sans_VGE[[#This Row],[ppn_z]]="","",IFERROR(
   IF(_xlfn.XLOOKUP(Final_Sans_VGE[[#This Row],[ppn_z]],tbl_Historique_Final[[#This Row],[ppn_z]],tbl_Historique_Final[[#This Row],[date_modif]])=Final_Sans_VGE[[#This Row],[date_modif]],
      "Ancien",
      "Modifié"),
   "Nouveau")),"")</f>
        <v/>
      </c>
    </row>
    <row r="8208" spans="24:30" x14ac:dyDescent="0.25">
      <c r="X8208" s="8" t="e">
        <f>IF(Final_Sans_VGE[[#This Row],[ppn_z]]="","",IFERROR(
   IF(_xlfn.XLOOKUP(Final_Sans_VGE[[#This Row],[ppn_z]],tbl_Historique_Final[ppn_z],tbl_Historique_Final[date_modif])=Final_Sans_VGE[[#This Row],[date_modif]],
      "Ancien",
      "Modifié"),
   "Nouveau"))</f>
        <v>#VALUE!</v>
      </c>
      <c r="AD8208" s="1" t="str">
        <f>IFERROR(IF(Final_Sans_VGE[[#This Row],[ppn_z]]="","",IFERROR(
   IF(_xlfn.XLOOKUP(Final_Sans_VGE[[#This Row],[ppn_z]],tbl_Historique_Final[[#This Row],[ppn_z]],tbl_Historique_Final[[#This Row],[date_modif]])=Final_Sans_VGE[[#This Row],[date_modif]],
      "Ancien",
      "Modifié"),
   "Nouveau")),"")</f>
        <v/>
      </c>
    </row>
    <row r="8209" spans="24:30" x14ac:dyDescent="0.25">
      <c r="X8209" s="8" t="e">
        <f>IF(Final_Sans_VGE[[#This Row],[ppn_z]]="","",IFERROR(
   IF(_xlfn.XLOOKUP(Final_Sans_VGE[[#This Row],[ppn_z]],tbl_Historique_Final[ppn_z],tbl_Historique_Final[date_modif])=Final_Sans_VGE[[#This Row],[date_modif]],
      "Ancien",
      "Modifié"),
   "Nouveau"))</f>
        <v>#VALUE!</v>
      </c>
      <c r="AD8209" s="1" t="str">
        <f>IFERROR(IF(Final_Sans_VGE[[#This Row],[ppn_z]]="","",IFERROR(
   IF(_xlfn.XLOOKUP(Final_Sans_VGE[[#This Row],[ppn_z]],tbl_Historique_Final[[#This Row],[ppn_z]],tbl_Historique_Final[[#This Row],[date_modif]])=Final_Sans_VGE[[#This Row],[date_modif]],
      "Ancien",
      "Modifié"),
   "Nouveau")),"")</f>
        <v/>
      </c>
    </row>
    <row r="8210" spans="24:30" x14ac:dyDescent="0.25">
      <c r="X8210" s="8" t="e">
        <f>IF(Final_Sans_VGE[[#This Row],[ppn_z]]="","",IFERROR(
   IF(_xlfn.XLOOKUP(Final_Sans_VGE[[#This Row],[ppn_z]],tbl_Historique_Final[ppn_z],tbl_Historique_Final[date_modif])=Final_Sans_VGE[[#This Row],[date_modif]],
      "Ancien",
      "Modifié"),
   "Nouveau"))</f>
        <v>#VALUE!</v>
      </c>
      <c r="AD8210" s="1" t="str">
        <f>IFERROR(IF(Final_Sans_VGE[[#This Row],[ppn_z]]="","",IFERROR(
   IF(_xlfn.XLOOKUP(Final_Sans_VGE[[#This Row],[ppn_z]],tbl_Historique_Final[[#This Row],[ppn_z]],tbl_Historique_Final[[#This Row],[date_modif]])=Final_Sans_VGE[[#This Row],[date_modif]],
      "Ancien",
      "Modifié"),
   "Nouveau")),"")</f>
        <v/>
      </c>
    </row>
    <row r="8211" spans="24:30" x14ac:dyDescent="0.25">
      <c r="X8211" s="8" t="e">
        <f>IF(Final_Sans_VGE[[#This Row],[ppn_z]]="","",IFERROR(
   IF(_xlfn.XLOOKUP(Final_Sans_VGE[[#This Row],[ppn_z]],tbl_Historique_Final[ppn_z],tbl_Historique_Final[date_modif])=Final_Sans_VGE[[#This Row],[date_modif]],
      "Ancien",
      "Modifié"),
   "Nouveau"))</f>
        <v>#VALUE!</v>
      </c>
      <c r="AD8211" s="1" t="str">
        <f>IFERROR(IF(Final_Sans_VGE[[#This Row],[ppn_z]]="","",IFERROR(
   IF(_xlfn.XLOOKUP(Final_Sans_VGE[[#This Row],[ppn_z]],tbl_Historique_Final[[#This Row],[ppn_z]],tbl_Historique_Final[[#This Row],[date_modif]])=Final_Sans_VGE[[#This Row],[date_modif]],
      "Ancien",
      "Modifié"),
   "Nouveau")),"")</f>
        <v/>
      </c>
    </row>
    <row r="8212" spans="24:30" x14ac:dyDescent="0.25">
      <c r="X8212" s="8" t="e">
        <f>IF(Final_Sans_VGE[[#This Row],[ppn_z]]="","",IFERROR(
   IF(_xlfn.XLOOKUP(Final_Sans_VGE[[#This Row],[ppn_z]],tbl_Historique_Final[ppn_z],tbl_Historique_Final[date_modif])=Final_Sans_VGE[[#This Row],[date_modif]],
      "Ancien",
      "Modifié"),
   "Nouveau"))</f>
        <v>#VALUE!</v>
      </c>
      <c r="AD8212" s="1" t="str">
        <f>IFERROR(IF(Final_Sans_VGE[[#This Row],[ppn_z]]="","",IFERROR(
   IF(_xlfn.XLOOKUP(Final_Sans_VGE[[#This Row],[ppn_z]],tbl_Historique_Final[[#This Row],[ppn_z]],tbl_Historique_Final[[#This Row],[date_modif]])=Final_Sans_VGE[[#This Row],[date_modif]],
      "Ancien",
      "Modifié"),
   "Nouveau")),"")</f>
        <v/>
      </c>
    </row>
    <row r="8213" spans="24:30" x14ac:dyDescent="0.25">
      <c r="X8213" s="8" t="e">
        <f>IF(Final_Sans_VGE[[#This Row],[ppn_z]]="","",IFERROR(
   IF(_xlfn.XLOOKUP(Final_Sans_VGE[[#This Row],[ppn_z]],tbl_Historique_Final[ppn_z],tbl_Historique_Final[date_modif])=Final_Sans_VGE[[#This Row],[date_modif]],
      "Ancien",
      "Modifié"),
   "Nouveau"))</f>
        <v>#VALUE!</v>
      </c>
      <c r="AD8213" s="1" t="str">
        <f>IFERROR(IF(Final_Sans_VGE[[#This Row],[ppn_z]]="","",IFERROR(
   IF(_xlfn.XLOOKUP(Final_Sans_VGE[[#This Row],[ppn_z]],tbl_Historique_Final[[#This Row],[ppn_z]],tbl_Historique_Final[[#This Row],[date_modif]])=Final_Sans_VGE[[#This Row],[date_modif]],
      "Ancien",
      "Modifié"),
   "Nouveau")),"")</f>
        <v/>
      </c>
    </row>
    <row r="8214" spans="24:30" x14ac:dyDescent="0.25">
      <c r="X8214" s="8" t="e">
        <f>IF(Final_Sans_VGE[[#This Row],[ppn_z]]="","",IFERROR(
   IF(_xlfn.XLOOKUP(Final_Sans_VGE[[#This Row],[ppn_z]],tbl_Historique_Final[ppn_z],tbl_Historique_Final[date_modif])=Final_Sans_VGE[[#This Row],[date_modif]],
      "Ancien",
      "Modifié"),
   "Nouveau"))</f>
        <v>#VALUE!</v>
      </c>
      <c r="AD8214" s="1" t="str">
        <f>IFERROR(IF(Final_Sans_VGE[[#This Row],[ppn_z]]="","",IFERROR(
   IF(_xlfn.XLOOKUP(Final_Sans_VGE[[#This Row],[ppn_z]],tbl_Historique_Final[[#This Row],[ppn_z]],tbl_Historique_Final[[#This Row],[date_modif]])=Final_Sans_VGE[[#This Row],[date_modif]],
      "Ancien",
      "Modifié"),
   "Nouveau")),"")</f>
        <v/>
      </c>
    </row>
    <row r="8215" spans="24:30" x14ac:dyDescent="0.25">
      <c r="X8215" s="8" t="e">
        <f>IF(Final_Sans_VGE[[#This Row],[ppn_z]]="","",IFERROR(
   IF(_xlfn.XLOOKUP(Final_Sans_VGE[[#This Row],[ppn_z]],tbl_Historique_Final[ppn_z],tbl_Historique_Final[date_modif])=Final_Sans_VGE[[#This Row],[date_modif]],
      "Ancien",
      "Modifié"),
   "Nouveau"))</f>
        <v>#VALUE!</v>
      </c>
      <c r="AD8215" s="1" t="str">
        <f>IFERROR(IF(Final_Sans_VGE[[#This Row],[ppn_z]]="","",IFERROR(
   IF(_xlfn.XLOOKUP(Final_Sans_VGE[[#This Row],[ppn_z]],tbl_Historique_Final[[#This Row],[ppn_z]],tbl_Historique_Final[[#This Row],[date_modif]])=Final_Sans_VGE[[#This Row],[date_modif]],
      "Ancien",
      "Modifié"),
   "Nouveau")),"")</f>
        <v/>
      </c>
    </row>
    <row r="8216" spans="24:30" x14ac:dyDescent="0.25">
      <c r="X8216" s="8" t="e">
        <f>IF(Final_Sans_VGE[[#This Row],[ppn_z]]="","",IFERROR(
   IF(_xlfn.XLOOKUP(Final_Sans_VGE[[#This Row],[ppn_z]],tbl_Historique_Final[ppn_z],tbl_Historique_Final[date_modif])=Final_Sans_VGE[[#This Row],[date_modif]],
      "Ancien",
      "Modifié"),
   "Nouveau"))</f>
        <v>#VALUE!</v>
      </c>
      <c r="AD8216" s="1" t="str">
        <f>IFERROR(IF(Final_Sans_VGE[[#This Row],[ppn_z]]="","",IFERROR(
   IF(_xlfn.XLOOKUP(Final_Sans_VGE[[#This Row],[ppn_z]],tbl_Historique_Final[[#This Row],[ppn_z]],tbl_Historique_Final[[#This Row],[date_modif]])=Final_Sans_VGE[[#This Row],[date_modif]],
      "Ancien",
      "Modifié"),
   "Nouveau")),"")</f>
        <v/>
      </c>
    </row>
    <row r="8217" spans="24:30" x14ac:dyDescent="0.25">
      <c r="X8217" s="8" t="e">
        <f>IF(Final_Sans_VGE[[#This Row],[ppn_z]]="","",IFERROR(
   IF(_xlfn.XLOOKUP(Final_Sans_VGE[[#This Row],[ppn_z]],tbl_Historique_Final[ppn_z],tbl_Historique_Final[date_modif])=Final_Sans_VGE[[#This Row],[date_modif]],
      "Ancien",
      "Modifié"),
   "Nouveau"))</f>
        <v>#VALUE!</v>
      </c>
      <c r="AD8217" s="1" t="str">
        <f>IFERROR(IF(Final_Sans_VGE[[#This Row],[ppn_z]]="","",IFERROR(
   IF(_xlfn.XLOOKUP(Final_Sans_VGE[[#This Row],[ppn_z]],tbl_Historique_Final[[#This Row],[ppn_z]],tbl_Historique_Final[[#This Row],[date_modif]])=Final_Sans_VGE[[#This Row],[date_modif]],
      "Ancien",
      "Modifié"),
   "Nouveau")),"")</f>
        <v/>
      </c>
    </row>
    <row r="8218" spans="24:30" x14ac:dyDescent="0.25">
      <c r="X8218" s="8" t="e">
        <f>IF(Final_Sans_VGE[[#This Row],[ppn_z]]="","",IFERROR(
   IF(_xlfn.XLOOKUP(Final_Sans_VGE[[#This Row],[ppn_z]],tbl_Historique_Final[ppn_z],tbl_Historique_Final[date_modif])=Final_Sans_VGE[[#This Row],[date_modif]],
      "Ancien",
      "Modifié"),
   "Nouveau"))</f>
        <v>#VALUE!</v>
      </c>
      <c r="AD8218" s="1" t="str">
        <f>IFERROR(IF(Final_Sans_VGE[[#This Row],[ppn_z]]="","",IFERROR(
   IF(_xlfn.XLOOKUP(Final_Sans_VGE[[#This Row],[ppn_z]],tbl_Historique_Final[[#This Row],[ppn_z]],tbl_Historique_Final[[#This Row],[date_modif]])=Final_Sans_VGE[[#This Row],[date_modif]],
      "Ancien",
      "Modifié"),
   "Nouveau")),"")</f>
        <v/>
      </c>
    </row>
    <row r="8219" spans="24:30" x14ac:dyDescent="0.25">
      <c r="X8219" s="8" t="e">
        <f>IF(Final_Sans_VGE[[#This Row],[ppn_z]]="","",IFERROR(
   IF(_xlfn.XLOOKUP(Final_Sans_VGE[[#This Row],[ppn_z]],tbl_Historique_Final[ppn_z],tbl_Historique_Final[date_modif])=Final_Sans_VGE[[#This Row],[date_modif]],
      "Ancien",
      "Modifié"),
   "Nouveau"))</f>
        <v>#VALUE!</v>
      </c>
      <c r="AD8219" s="1" t="str">
        <f>IFERROR(IF(Final_Sans_VGE[[#This Row],[ppn_z]]="","",IFERROR(
   IF(_xlfn.XLOOKUP(Final_Sans_VGE[[#This Row],[ppn_z]],tbl_Historique_Final[[#This Row],[ppn_z]],tbl_Historique_Final[[#This Row],[date_modif]])=Final_Sans_VGE[[#This Row],[date_modif]],
      "Ancien",
      "Modifié"),
   "Nouveau")),"")</f>
        <v/>
      </c>
    </row>
    <row r="8220" spans="24:30" x14ac:dyDescent="0.25">
      <c r="X8220" s="8" t="e">
        <f>IF(Final_Sans_VGE[[#This Row],[ppn_z]]="","",IFERROR(
   IF(_xlfn.XLOOKUP(Final_Sans_VGE[[#This Row],[ppn_z]],tbl_Historique_Final[ppn_z],tbl_Historique_Final[date_modif])=Final_Sans_VGE[[#This Row],[date_modif]],
      "Ancien",
      "Modifié"),
   "Nouveau"))</f>
        <v>#VALUE!</v>
      </c>
      <c r="AD8220" s="1" t="str">
        <f>IFERROR(IF(Final_Sans_VGE[[#This Row],[ppn_z]]="","",IFERROR(
   IF(_xlfn.XLOOKUP(Final_Sans_VGE[[#This Row],[ppn_z]],tbl_Historique_Final[[#This Row],[ppn_z]],tbl_Historique_Final[[#This Row],[date_modif]])=Final_Sans_VGE[[#This Row],[date_modif]],
      "Ancien",
      "Modifié"),
   "Nouveau")),"")</f>
        <v/>
      </c>
    </row>
    <row r="8221" spans="24:30" x14ac:dyDescent="0.25">
      <c r="X8221" s="8" t="e">
        <f>IF(Final_Sans_VGE[[#This Row],[ppn_z]]="","",IFERROR(
   IF(_xlfn.XLOOKUP(Final_Sans_VGE[[#This Row],[ppn_z]],tbl_Historique_Final[ppn_z],tbl_Historique_Final[date_modif])=Final_Sans_VGE[[#This Row],[date_modif]],
      "Ancien",
      "Modifié"),
   "Nouveau"))</f>
        <v>#VALUE!</v>
      </c>
      <c r="AD8221" s="1" t="str">
        <f>IFERROR(IF(Final_Sans_VGE[[#This Row],[ppn_z]]="","",IFERROR(
   IF(_xlfn.XLOOKUP(Final_Sans_VGE[[#This Row],[ppn_z]],tbl_Historique_Final[[#This Row],[ppn_z]],tbl_Historique_Final[[#This Row],[date_modif]])=Final_Sans_VGE[[#This Row],[date_modif]],
      "Ancien",
      "Modifié"),
   "Nouveau")),"")</f>
        <v/>
      </c>
    </row>
    <row r="8222" spans="24:30" x14ac:dyDescent="0.25">
      <c r="X8222" s="8" t="e">
        <f>IF(Final_Sans_VGE[[#This Row],[ppn_z]]="","",IFERROR(
   IF(_xlfn.XLOOKUP(Final_Sans_VGE[[#This Row],[ppn_z]],tbl_Historique_Final[ppn_z],tbl_Historique_Final[date_modif])=Final_Sans_VGE[[#This Row],[date_modif]],
      "Ancien",
      "Modifié"),
   "Nouveau"))</f>
        <v>#VALUE!</v>
      </c>
      <c r="AD8222" s="1" t="str">
        <f>IFERROR(IF(Final_Sans_VGE[[#This Row],[ppn_z]]="","",IFERROR(
   IF(_xlfn.XLOOKUP(Final_Sans_VGE[[#This Row],[ppn_z]],tbl_Historique_Final[[#This Row],[ppn_z]],tbl_Historique_Final[[#This Row],[date_modif]])=Final_Sans_VGE[[#This Row],[date_modif]],
      "Ancien",
      "Modifié"),
   "Nouveau")),"")</f>
        <v/>
      </c>
    </row>
    <row r="8223" spans="24:30" x14ac:dyDescent="0.25">
      <c r="X8223" s="8" t="e">
        <f>IF(Final_Sans_VGE[[#This Row],[ppn_z]]="","",IFERROR(
   IF(_xlfn.XLOOKUP(Final_Sans_VGE[[#This Row],[ppn_z]],tbl_Historique_Final[ppn_z],tbl_Historique_Final[date_modif])=Final_Sans_VGE[[#This Row],[date_modif]],
      "Ancien",
      "Modifié"),
   "Nouveau"))</f>
        <v>#VALUE!</v>
      </c>
      <c r="AD8223" s="1" t="str">
        <f>IFERROR(IF(Final_Sans_VGE[[#This Row],[ppn_z]]="","",IFERROR(
   IF(_xlfn.XLOOKUP(Final_Sans_VGE[[#This Row],[ppn_z]],tbl_Historique_Final[[#This Row],[ppn_z]],tbl_Historique_Final[[#This Row],[date_modif]])=Final_Sans_VGE[[#This Row],[date_modif]],
      "Ancien",
      "Modifié"),
   "Nouveau")),"")</f>
        <v/>
      </c>
    </row>
    <row r="8224" spans="24:30" x14ac:dyDescent="0.25">
      <c r="X8224" s="8" t="e">
        <f>IF(Final_Sans_VGE[[#This Row],[ppn_z]]="","",IFERROR(
   IF(_xlfn.XLOOKUP(Final_Sans_VGE[[#This Row],[ppn_z]],tbl_Historique_Final[ppn_z],tbl_Historique_Final[date_modif])=Final_Sans_VGE[[#This Row],[date_modif]],
      "Ancien",
      "Modifié"),
   "Nouveau"))</f>
        <v>#VALUE!</v>
      </c>
      <c r="AD8224" s="1" t="str">
        <f>IFERROR(IF(Final_Sans_VGE[[#This Row],[ppn_z]]="","",IFERROR(
   IF(_xlfn.XLOOKUP(Final_Sans_VGE[[#This Row],[ppn_z]],tbl_Historique_Final[[#This Row],[ppn_z]],tbl_Historique_Final[[#This Row],[date_modif]])=Final_Sans_VGE[[#This Row],[date_modif]],
      "Ancien",
      "Modifié"),
   "Nouveau")),"")</f>
        <v/>
      </c>
    </row>
    <row r="8225" spans="24:30" x14ac:dyDescent="0.25">
      <c r="X8225" s="8" t="e">
        <f>IF(Final_Sans_VGE[[#This Row],[ppn_z]]="","",IFERROR(
   IF(_xlfn.XLOOKUP(Final_Sans_VGE[[#This Row],[ppn_z]],tbl_Historique_Final[ppn_z],tbl_Historique_Final[date_modif])=Final_Sans_VGE[[#This Row],[date_modif]],
      "Ancien",
      "Modifié"),
   "Nouveau"))</f>
        <v>#VALUE!</v>
      </c>
      <c r="AD8225" s="1" t="str">
        <f>IFERROR(IF(Final_Sans_VGE[[#This Row],[ppn_z]]="","",IFERROR(
   IF(_xlfn.XLOOKUP(Final_Sans_VGE[[#This Row],[ppn_z]],tbl_Historique_Final[[#This Row],[ppn_z]],tbl_Historique_Final[[#This Row],[date_modif]])=Final_Sans_VGE[[#This Row],[date_modif]],
      "Ancien",
      "Modifié"),
   "Nouveau")),"")</f>
        <v/>
      </c>
    </row>
    <row r="8226" spans="24:30" x14ac:dyDescent="0.25">
      <c r="X8226" s="8" t="e">
        <f>IF(Final_Sans_VGE[[#This Row],[ppn_z]]="","",IFERROR(
   IF(_xlfn.XLOOKUP(Final_Sans_VGE[[#This Row],[ppn_z]],tbl_Historique_Final[ppn_z],tbl_Historique_Final[date_modif])=Final_Sans_VGE[[#This Row],[date_modif]],
      "Ancien",
      "Modifié"),
   "Nouveau"))</f>
        <v>#VALUE!</v>
      </c>
      <c r="AD8226" s="1" t="str">
        <f>IFERROR(IF(Final_Sans_VGE[[#This Row],[ppn_z]]="","",IFERROR(
   IF(_xlfn.XLOOKUP(Final_Sans_VGE[[#This Row],[ppn_z]],tbl_Historique_Final[[#This Row],[ppn_z]],tbl_Historique_Final[[#This Row],[date_modif]])=Final_Sans_VGE[[#This Row],[date_modif]],
      "Ancien",
      "Modifié"),
   "Nouveau")),"")</f>
        <v/>
      </c>
    </row>
    <row r="8227" spans="24:30" x14ac:dyDescent="0.25">
      <c r="X8227" s="8" t="e">
        <f>IF(Final_Sans_VGE[[#This Row],[ppn_z]]="","",IFERROR(
   IF(_xlfn.XLOOKUP(Final_Sans_VGE[[#This Row],[ppn_z]],tbl_Historique_Final[ppn_z],tbl_Historique_Final[date_modif])=Final_Sans_VGE[[#This Row],[date_modif]],
      "Ancien",
      "Modifié"),
   "Nouveau"))</f>
        <v>#VALUE!</v>
      </c>
      <c r="AD8227" s="1" t="str">
        <f>IFERROR(IF(Final_Sans_VGE[[#This Row],[ppn_z]]="","",IFERROR(
   IF(_xlfn.XLOOKUP(Final_Sans_VGE[[#This Row],[ppn_z]],tbl_Historique_Final[[#This Row],[ppn_z]],tbl_Historique_Final[[#This Row],[date_modif]])=Final_Sans_VGE[[#This Row],[date_modif]],
      "Ancien",
      "Modifié"),
   "Nouveau")),"")</f>
        <v/>
      </c>
    </row>
    <row r="8228" spans="24:30" x14ac:dyDescent="0.25">
      <c r="X8228" s="8" t="e">
        <f>IF(Final_Sans_VGE[[#This Row],[ppn_z]]="","",IFERROR(
   IF(_xlfn.XLOOKUP(Final_Sans_VGE[[#This Row],[ppn_z]],tbl_Historique_Final[ppn_z],tbl_Historique_Final[date_modif])=Final_Sans_VGE[[#This Row],[date_modif]],
      "Ancien",
      "Modifié"),
   "Nouveau"))</f>
        <v>#VALUE!</v>
      </c>
      <c r="AD8228" s="1" t="str">
        <f>IFERROR(IF(Final_Sans_VGE[[#This Row],[ppn_z]]="","",IFERROR(
   IF(_xlfn.XLOOKUP(Final_Sans_VGE[[#This Row],[ppn_z]],tbl_Historique_Final[[#This Row],[ppn_z]],tbl_Historique_Final[[#This Row],[date_modif]])=Final_Sans_VGE[[#This Row],[date_modif]],
      "Ancien",
      "Modifié"),
   "Nouveau")),"")</f>
        <v/>
      </c>
    </row>
    <row r="8229" spans="24:30" x14ac:dyDescent="0.25">
      <c r="X8229" s="8" t="e">
        <f>IF(Final_Sans_VGE[[#This Row],[ppn_z]]="","",IFERROR(
   IF(_xlfn.XLOOKUP(Final_Sans_VGE[[#This Row],[ppn_z]],tbl_Historique_Final[ppn_z],tbl_Historique_Final[date_modif])=Final_Sans_VGE[[#This Row],[date_modif]],
      "Ancien",
      "Modifié"),
   "Nouveau"))</f>
        <v>#VALUE!</v>
      </c>
      <c r="AD8229" s="1" t="str">
        <f>IFERROR(IF(Final_Sans_VGE[[#This Row],[ppn_z]]="","",IFERROR(
   IF(_xlfn.XLOOKUP(Final_Sans_VGE[[#This Row],[ppn_z]],tbl_Historique_Final[[#This Row],[ppn_z]],tbl_Historique_Final[[#This Row],[date_modif]])=Final_Sans_VGE[[#This Row],[date_modif]],
      "Ancien",
      "Modifié"),
   "Nouveau")),"")</f>
        <v/>
      </c>
    </row>
    <row r="8230" spans="24:30" x14ac:dyDescent="0.25">
      <c r="X8230" s="8" t="e">
        <f>IF(Final_Sans_VGE[[#This Row],[ppn_z]]="","",IFERROR(
   IF(_xlfn.XLOOKUP(Final_Sans_VGE[[#This Row],[ppn_z]],tbl_Historique_Final[ppn_z],tbl_Historique_Final[date_modif])=Final_Sans_VGE[[#This Row],[date_modif]],
      "Ancien",
      "Modifié"),
   "Nouveau"))</f>
        <v>#VALUE!</v>
      </c>
      <c r="AD8230" s="1" t="str">
        <f>IFERROR(IF(Final_Sans_VGE[[#This Row],[ppn_z]]="","",IFERROR(
   IF(_xlfn.XLOOKUP(Final_Sans_VGE[[#This Row],[ppn_z]],tbl_Historique_Final[[#This Row],[ppn_z]],tbl_Historique_Final[[#This Row],[date_modif]])=Final_Sans_VGE[[#This Row],[date_modif]],
      "Ancien",
      "Modifié"),
   "Nouveau")),"")</f>
        <v/>
      </c>
    </row>
    <row r="8231" spans="24:30" x14ac:dyDescent="0.25">
      <c r="X8231" s="8" t="e">
        <f>IF(Final_Sans_VGE[[#This Row],[ppn_z]]="","",IFERROR(
   IF(_xlfn.XLOOKUP(Final_Sans_VGE[[#This Row],[ppn_z]],tbl_Historique_Final[ppn_z],tbl_Historique_Final[date_modif])=Final_Sans_VGE[[#This Row],[date_modif]],
      "Ancien",
      "Modifié"),
   "Nouveau"))</f>
        <v>#VALUE!</v>
      </c>
      <c r="AD8231" s="1" t="str">
        <f>IFERROR(IF(Final_Sans_VGE[[#This Row],[ppn_z]]="","",IFERROR(
   IF(_xlfn.XLOOKUP(Final_Sans_VGE[[#This Row],[ppn_z]],tbl_Historique_Final[[#This Row],[ppn_z]],tbl_Historique_Final[[#This Row],[date_modif]])=Final_Sans_VGE[[#This Row],[date_modif]],
      "Ancien",
      "Modifié"),
   "Nouveau")),"")</f>
        <v/>
      </c>
    </row>
    <row r="8232" spans="24:30" x14ac:dyDescent="0.25">
      <c r="X8232" s="8" t="e">
        <f>IF(Final_Sans_VGE[[#This Row],[ppn_z]]="","",IFERROR(
   IF(_xlfn.XLOOKUP(Final_Sans_VGE[[#This Row],[ppn_z]],tbl_Historique_Final[ppn_z],tbl_Historique_Final[date_modif])=Final_Sans_VGE[[#This Row],[date_modif]],
      "Ancien",
      "Modifié"),
   "Nouveau"))</f>
        <v>#VALUE!</v>
      </c>
      <c r="AD8232" s="1" t="str">
        <f>IFERROR(IF(Final_Sans_VGE[[#This Row],[ppn_z]]="","",IFERROR(
   IF(_xlfn.XLOOKUP(Final_Sans_VGE[[#This Row],[ppn_z]],tbl_Historique_Final[[#This Row],[ppn_z]],tbl_Historique_Final[[#This Row],[date_modif]])=Final_Sans_VGE[[#This Row],[date_modif]],
      "Ancien",
      "Modifié"),
   "Nouveau")),"")</f>
        <v/>
      </c>
    </row>
    <row r="8233" spans="24:30" x14ac:dyDescent="0.25">
      <c r="X8233" s="8" t="e">
        <f>IF(Final_Sans_VGE[[#This Row],[ppn_z]]="","",IFERROR(
   IF(_xlfn.XLOOKUP(Final_Sans_VGE[[#This Row],[ppn_z]],tbl_Historique_Final[ppn_z],tbl_Historique_Final[date_modif])=Final_Sans_VGE[[#This Row],[date_modif]],
      "Ancien",
      "Modifié"),
   "Nouveau"))</f>
        <v>#VALUE!</v>
      </c>
      <c r="AD8233" s="1" t="str">
        <f>IFERROR(IF(Final_Sans_VGE[[#This Row],[ppn_z]]="","",IFERROR(
   IF(_xlfn.XLOOKUP(Final_Sans_VGE[[#This Row],[ppn_z]],tbl_Historique_Final[[#This Row],[ppn_z]],tbl_Historique_Final[[#This Row],[date_modif]])=Final_Sans_VGE[[#This Row],[date_modif]],
      "Ancien",
      "Modifié"),
   "Nouveau")),"")</f>
        <v/>
      </c>
    </row>
    <row r="8234" spans="24:30" x14ac:dyDescent="0.25">
      <c r="X8234" s="8" t="e">
        <f>IF(Final_Sans_VGE[[#This Row],[ppn_z]]="","",IFERROR(
   IF(_xlfn.XLOOKUP(Final_Sans_VGE[[#This Row],[ppn_z]],tbl_Historique_Final[ppn_z],tbl_Historique_Final[date_modif])=Final_Sans_VGE[[#This Row],[date_modif]],
      "Ancien",
      "Modifié"),
   "Nouveau"))</f>
        <v>#VALUE!</v>
      </c>
      <c r="AD8234" s="1" t="str">
        <f>IFERROR(IF(Final_Sans_VGE[[#This Row],[ppn_z]]="","",IFERROR(
   IF(_xlfn.XLOOKUP(Final_Sans_VGE[[#This Row],[ppn_z]],tbl_Historique_Final[[#This Row],[ppn_z]],tbl_Historique_Final[[#This Row],[date_modif]])=Final_Sans_VGE[[#This Row],[date_modif]],
      "Ancien",
      "Modifié"),
   "Nouveau")),"")</f>
        <v/>
      </c>
    </row>
    <row r="8235" spans="24:30" x14ac:dyDescent="0.25">
      <c r="X8235" s="8" t="e">
        <f>IF(Final_Sans_VGE[[#This Row],[ppn_z]]="","",IFERROR(
   IF(_xlfn.XLOOKUP(Final_Sans_VGE[[#This Row],[ppn_z]],tbl_Historique_Final[ppn_z],tbl_Historique_Final[date_modif])=Final_Sans_VGE[[#This Row],[date_modif]],
      "Ancien",
      "Modifié"),
   "Nouveau"))</f>
        <v>#VALUE!</v>
      </c>
      <c r="AD8235" s="1" t="str">
        <f>IFERROR(IF(Final_Sans_VGE[[#This Row],[ppn_z]]="","",IFERROR(
   IF(_xlfn.XLOOKUP(Final_Sans_VGE[[#This Row],[ppn_z]],tbl_Historique_Final[[#This Row],[ppn_z]],tbl_Historique_Final[[#This Row],[date_modif]])=Final_Sans_VGE[[#This Row],[date_modif]],
      "Ancien",
      "Modifié"),
   "Nouveau")),"")</f>
        <v/>
      </c>
    </row>
    <row r="8236" spans="24:30" x14ac:dyDescent="0.25">
      <c r="X8236" s="8" t="e">
        <f>IF(Final_Sans_VGE[[#This Row],[ppn_z]]="","",IFERROR(
   IF(_xlfn.XLOOKUP(Final_Sans_VGE[[#This Row],[ppn_z]],tbl_Historique_Final[ppn_z],tbl_Historique_Final[date_modif])=Final_Sans_VGE[[#This Row],[date_modif]],
      "Ancien",
      "Modifié"),
   "Nouveau"))</f>
        <v>#VALUE!</v>
      </c>
      <c r="AD8236" s="1" t="str">
        <f>IFERROR(IF(Final_Sans_VGE[[#This Row],[ppn_z]]="","",IFERROR(
   IF(_xlfn.XLOOKUP(Final_Sans_VGE[[#This Row],[ppn_z]],tbl_Historique_Final[[#This Row],[ppn_z]],tbl_Historique_Final[[#This Row],[date_modif]])=Final_Sans_VGE[[#This Row],[date_modif]],
      "Ancien",
      "Modifié"),
   "Nouveau")),"")</f>
        <v/>
      </c>
    </row>
    <row r="8237" spans="24:30" x14ac:dyDescent="0.25">
      <c r="X8237" s="8" t="e">
        <f>IF(Final_Sans_VGE[[#This Row],[ppn_z]]="","",IFERROR(
   IF(_xlfn.XLOOKUP(Final_Sans_VGE[[#This Row],[ppn_z]],tbl_Historique_Final[ppn_z],tbl_Historique_Final[date_modif])=Final_Sans_VGE[[#This Row],[date_modif]],
      "Ancien",
      "Modifié"),
   "Nouveau"))</f>
        <v>#VALUE!</v>
      </c>
      <c r="AD8237" s="1" t="str">
        <f>IFERROR(IF(Final_Sans_VGE[[#This Row],[ppn_z]]="","",IFERROR(
   IF(_xlfn.XLOOKUP(Final_Sans_VGE[[#This Row],[ppn_z]],tbl_Historique_Final[[#This Row],[ppn_z]],tbl_Historique_Final[[#This Row],[date_modif]])=Final_Sans_VGE[[#This Row],[date_modif]],
      "Ancien",
      "Modifié"),
   "Nouveau")),"")</f>
        <v/>
      </c>
    </row>
    <row r="8238" spans="24:30" x14ac:dyDescent="0.25">
      <c r="X8238" s="8" t="e">
        <f>IF(Final_Sans_VGE[[#This Row],[ppn_z]]="","",IFERROR(
   IF(_xlfn.XLOOKUP(Final_Sans_VGE[[#This Row],[ppn_z]],tbl_Historique_Final[ppn_z],tbl_Historique_Final[date_modif])=Final_Sans_VGE[[#This Row],[date_modif]],
      "Ancien",
      "Modifié"),
   "Nouveau"))</f>
        <v>#VALUE!</v>
      </c>
      <c r="AD8238" s="1" t="str">
        <f>IFERROR(IF(Final_Sans_VGE[[#This Row],[ppn_z]]="","",IFERROR(
   IF(_xlfn.XLOOKUP(Final_Sans_VGE[[#This Row],[ppn_z]],tbl_Historique_Final[[#This Row],[ppn_z]],tbl_Historique_Final[[#This Row],[date_modif]])=Final_Sans_VGE[[#This Row],[date_modif]],
      "Ancien",
      "Modifié"),
   "Nouveau")),"")</f>
        <v/>
      </c>
    </row>
    <row r="8239" spans="24:30" x14ac:dyDescent="0.25">
      <c r="X8239" s="8" t="e">
        <f>IF(Final_Sans_VGE[[#This Row],[ppn_z]]="","",IFERROR(
   IF(_xlfn.XLOOKUP(Final_Sans_VGE[[#This Row],[ppn_z]],tbl_Historique_Final[ppn_z],tbl_Historique_Final[date_modif])=Final_Sans_VGE[[#This Row],[date_modif]],
      "Ancien",
      "Modifié"),
   "Nouveau"))</f>
        <v>#VALUE!</v>
      </c>
      <c r="AD8239" s="1" t="str">
        <f>IFERROR(IF(Final_Sans_VGE[[#This Row],[ppn_z]]="","",IFERROR(
   IF(_xlfn.XLOOKUP(Final_Sans_VGE[[#This Row],[ppn_z]],tbl_Historique_Final[[#This Row],[ppn_z]],tbl_Historique_Final[[#This Row],[date_modif]])=Final_Sans_VGE[[#This Row],[date_modif]],
      "Ancien",
      "Modifié"),
   "Nouveau")),"")</f>
        <v/>
      </c>
    </row>
    <row r="8240" spans="24:30" x14ac:dyDescent="0.25">
      <c r="X8240" s="8" t="e">
        <f>IF(Final_Sans_VGE[[#This Row],[ppn_z]]="","",IFERROR(
   IF(_xlfn.XLOOKUP(Final_Sans_VGE[[#This Row],[ppn_z]],tbl_Historique_Final[ppn_z],tbl_Historique_Final[date_modif])=Final_Sans_VGE[[#This Row],[date_modif]],
      "Ancien",
      "Modifié"),
   "Nouveau"))</f>
        <v>#VALUE!</v>
      </c>
      <c r="AD8240" s="1" t="str">
        <f>IFERROR(IF(Final_Sans_VGE[[#This Row],[ppn_z]]="","",IFERROR(
   IF(_xlfn.XLOOKUP(Final_Sans_VGE[[#This Row],[ppn_z]],tbl_Historique_Final[[#This Row],[ppn_z]],tbl_Historique_Final[[#This Row],[date_modif]])=Final_Sans_VGE[[#This Row],[date_modif]],
      "Ancien",
      "Modifié"),
   "Nouveau")),"")</f>
        <v/>
      </c>
    </row>
    <row r="8241" spans="24:30" x14ac:dyDescent="0.25">
      <c r="X8241" s="8" t="e">
        <f>IF(Final_Sans_VGE[[#This Row],[ppn_z]]="","",IFERROR(
   IF(_xlfn.XLOOKUP(Final_Sans_VGE[[#This Row],[ppn_z]],tbl_Historique_Final[ppn_z],tbl_Historique_Final[date_modif])=Final_Sans_VGE[[#This Row],[date_modif]],
      "Ancien",
      "Modifié"),
   "Nouveau"))</f>
        <v>#VALUE!</v>
      </c>
      <c r="AD8241" s="1" t="str">
        <f>IFERROR(IF(Final_Sans_VGE[[#This Row],[ppn_z]]="","",IFERROR(
   IF(_xlfn.XLOOKUP(Final_Sans_VGE[[#This Row],[ppn_z]],tbl_Historique_Final[[#This Row],[ppn_z]],tbl_Historique_Final[[#This Row],[date_modif]])=Final_Sans_VGE[[#This Row],[date_modif]],
      "Ancien",
      "Modifié"),
   "Nouveau")),"")</f>
        <v/>
      </c>
    </row>
    <row r="8242" spans="24:30" x14ac:dyDescent="0.25">
      <c r="X8242" s="8" t="e">
        <f>IF(Final_Sans_VGE[[#This Row],[ppn_z]]="","",IFERROR(
   IF(_xlfn.XLOOKUP(Final_Sans_VGE[[#This Row],[ppn_z]],tbl_Historique_Final[ppn_z],tbl_Historique_Final[date_modif])=Final_Sans_VGE[[#This Row],[date_modif]],
      "Ancien",
      "Modifié"),
   "Nouveau"))</f>
        <v>#VALUE!</v>
      </c>
      <c r="AD8242" s="1" t="str">
        <f>IFERROR(IF(Final_Sans_VGE[[#This Row],[ppn_z]]="","",IFERROR(
   IF(_xlfn.XLOOKUP(Final_Sans_VGE[[#This Row],[ppn_z]],tbl_Historique_Final[[#This Row],[ppn_z]],tbl_Historique_Final[[#This Row],[date_modif]])=Final_Sans_VGE[[#This Row],[date_modif]],
      "Ancien",
      "Modifié"),
   "Nouveau")),"")</f>
        <v/>
      </c>
    </row>
    <row r="8243" spans="24:30" x14ac:dyDescent="0.25">
      <c r="X8243" s="8" t="e">
        <f>IF(Final_Sans_VGE[[#This Row],[ppn_z]]="","",IFERROR(
   IF(_xlfn.XLOOKUP(Final_Sans_VGE[[#This Row],[ppn_z]],tbl_Historique_Final[ppn_z],tbl_Historique_Final[date_modif])=Final_Sans_VGE[[#This Row],[date_modif]],
      "Ancien",
      "Modifié"),
   "Nouveau"))</f>
        <v>#VALUE!</v>
      </c>
      <c r="AD8243" s="1" t="str">
        <f>IFERROR(IF(Final_Sans_VGE[[#This Row],[ppn_z]]="","",IFERROR(
   IF(_xlfn.XLOOKUP(Final_Sans_VGE[[#This Row],[ppn_z]],tbl_Historique_Final[[#This Row],[ppn_z]],tbl_Historique_Final[[#This Row],[date_modif]])=Final_Sans_VGE[[#This Row],[date_modif]],
      "Ancien",
      "Modifié"),
   "Nouveau")),"")</f>
        <v/>
      </c>
    </row>
    <row r="8244" spans="24:30" x14ac:dyDescent="0.25">
      <c r="X8244" s="8" t="e">
        <f>IF(Final_Sans_VGE[[#This Row],[ppn_z]]="","",IFERROR(
   IF(_xlfn.XLOOKUP(Final_Sans_VGE[[#This Row],[ppn_z]],tbl_Historique_Final[ppn_z],tbl_Historique_Final[date_modif])=Final_Sans_VGE[[#This Row],[date_modif]],
      "Ancien",
      "Modifié"),
   "Nouveau"))</f>
        <v>#VALUE!</v>
      </c>
      <c r="AD8244" s="1" t="str">
        <f>IFERROR(IF(Final_Sans_VGE[[#This Row],[ppn_z]]="","",IFERROR(
   IF(_xlfn.XLOOKUP(Final_Sans_VGE[[#This Row],[ppn_z]],tbl_Historique_Final[[#This Row],[ppn_z]],tbl_Historique_Final[[#This Row],[date_modif]])=Final_Sans_VGE[[#This Row],[date_modif]],
      "Ancien",
      "Modifié"),
   "Nouveau")),"")</f>
        <v/>
      </c>
    </row>
    <row r="8245" spans="24:30" x14ac:dyDescent="0.25">
      <c r="X8245" s="8" t="e">
        <f>IF(Final_Sans_VGE[[#This Row],[ppn_z]]="","",IFERROR(
   IF(_xlfn.XLOOKUP(Final_Sans_VGE[[#This Row],[ppn_z]],tbl_Historique_Final[ppn_z],tbl_Historique_Final[date_modif])=Final_Sans_VGE[[#This Row],[date_modif]],
      "Ancien",
      "Modifié"),
   "Nouveau"))</f>
        <v>#VALUE!</v>
      </c>
      <c r="AD8245" s="1" t="str">
        <f>IFERROR(IF(Final_Sans_VGE[[#This Row],[ppn_z]]="","",IFERROR(
   IF(_xlfn.XLOOKUP(Final_Sans_VGE[[#This Row],[ppn_z]],tbl_Historique_Final[[#This Row],[ppn_z]],tbl_Historique_Final[[#This Row],[date_modif]])=Final_Sans_VGE[[#This Row],[date_modif]],
      "Ancien",
      "Modifié"),
   "Nouveau")),"")</f>
        <v/>
      </c>
    </row>
    <row r="8246" spans="24:30" x14ac:dyDescent="0.25">
      <c r="X8246" s="8" t="e">
        <f>IF(Final_Sans_VGE[[#This Row],[ppn_z]]="","",IFERROR(
   IF(_xlfn.XLOOKUP(Final_Sans_VGE[[#This Row],[ppn_z]],tbl_Historique_Final[ppn_z],tbl_Historique_Final[date_modif])=Final_Sans_VGE[[#This Row],[date_modif]],
      "Ancien",
      "Modifié"),
   "Nouveau"))</f>
        <v>#VALUE!</v>
      </c>
      <c r="AD8246" s="1" t="str">
        <f>IFERROR(IF(Final_Sans_VGE[[#This Row],[ppn_z]]="","",IFERROR(
   IF(_xlfn.XLOOKUP(Final_Sans_VGE[[#This Row],[ppn_z]],tbl_Historique_Final[[#This Row],[ppn_z]],tbl_Historique_Final[[#This Row],[date_modif]])=Final_Sans_VGE[[#This Row],[date_modif]],
      "Ancien",
      "Modifié"),
   "Nouveau")),"")</f>
        <v/>
      </c>
    </row>
    <row r="8247" spans="24:30" x14ac:dyDescent="0.25">
      <c r="X8247" s="8" t="e">
        <f>IF(Final_Sans_VGE[[#This Row],[ppn_z]]="","",IFERROR(
   IF(_xlfn.XLOOKUP(Final_Sans_VGE[[#This Row],[ppn_z]],tbl_Historique_Final[ppn_z],tbl_Historique_Final[date_modif])=Final_Sans_VGE[[#This Row],[date_modif]],
      "Ancien",
      "Modifié"),
   "Nouveau"))</f>
        <v>#VALUE!</v>
      </c>
      <c r="AD8247" s="1" t="str">
        <f>IFERROR(IF(Final_Sans_VGE[[#This Row],[ppn_z]]="","",IFERROR(
   IF(_xlfn.XLOOKUP(Final_Sans_VGE[[#This Row],[ppn_z]],tbl_Historique_Final[[#This Row],[ppn_z]],tbl_Historique_Final[[#This Row],[date_modif]])=Final_Sans_VGE[[#This Row],[date_modif]],
      "Ancien",
      "Modifié"),
   "Nouveau")),"")</f>
        <v/>
      </c>
    </row>
    <row r="8248" spans="24:30" x14ac:dyDescent="0.25">
      <c r="X8248" s="8" t="e">
        <f>IF(Final_Sans_VGE[[#This Row],[ppn_z]]="","",IFERROR(
   IF(_xlfn.XLOOKUP(Final_Sans_VGE[[#This Row],[ppn_z]],tbl_Historique_Final[ppn_z],tbl_Historique_Final[date_modif])=Final_Sans_VGE[[#This Row],[date_modif]],
      "Ancien",
      "Modifié"),
   "Nouveau"))</f>
        <v>#VALUE!</v>
      </c>
      <c r="AD8248" s="1" t="str">
        <f>IFERROR(IF(Final_Sans_VGE[[#This Row],[ppn_z]]="","",IFERROR(
   IF(_xlfn.XLOOKUP(Final_Sans_VGE[[#This Row],[ppn_z]],tbl_Historique_Final[[#This Row],[ppn_z]],tbl_Historique_Final[[#This Row],[date_modif]])=Final_Sans_VGE[[#This Row],[date_modif]],
      "Ancien",
      "Modifié"),
   "Nouveau")),"")</f>
        <v/>
      </c>
    </row>
    <row r="8249" spans="24:30" x14ac:dyDescent="0.25">
      <c r="X8249" s="8" t="e">
        <f>IF(Final_Sans_VGE[[#This Row],[ppn_z]]="","",IFERROR(
   IF(_xlfn.XLOOKUP(Final_Sans_VGE[[#This Row],[ppn_z]],tbl_Historique_Final[ppn_z],tbl_Historique_Final[date_modif])=Final_Sans_VGE[[#This Row],[date_modif]],
      "Ancien",
      "Modifié"),
   "Nouveau"))</f>
        <v>#VALUE!</v>
      </c>
      <c r="AD8249" s="1" t="str">
        <f>IFERROR(IF(Final_Sans_VGE[[#This Row],[ppn_z]]="","",IFERROR(
   IF(_xlfn.XLOOKUP(Final_Sans_VGE[[#This Row],[ppn_z]],tbl_Historique_Final[[#This Row],[ppn_z]],tbl_Historique_Final[[#This Row],[date_modif]])=Final_Sans_VGE[[#This Row],[date_modif]],
      "Ancien",
      "Modifié"),
   "Nouveau")),"")</f>
        <v/>
      </c>
    </row>
    <row r="8250" spans="24:30" x14ac:dyDescent="0.25">
      <c r="X8250" s="8" t="e">
        <f>IF(Final_Sans_VGE[[#This Row],[ppn_z]]="","",IFERROR(
   IF(_xlfn.XLOOKUP(Final_Sans_VGE[[#This Row],[ppn_z]],tbl_Historique_Final[ppn_z],tbl_Historique_Final[date_modif])=Final_Sans_VGE[[#This Row],[date_modif]],
      "Ancien",
      "Modifié"),
   "Nouveau"))</f>
        <v>#VALUE!</v>
      </c>
      <c r="AD8250" s="1" t="str">
        <f>IFERROR(IF(Final_Sans_VGE[[#This Row],[ppn_z]]="","",IFERROR(
   IF(_xlfn.XLOOKUP(Final_Sans_VGE[[#This Row],[ppn_z]],tbl_Historique_Final[[#This Row],[ppn_z]],tbl_Historique_Final[[#This Row],[date_modif]])=Final_Sans_VGE[[#This Row],[date_modif]],
      "Ancien",
      "Modifié"),
   "Nouveau")),"")</f>
        <v/>
      </c>
    </row>
    <row r="8251" spans="24:30" x14ac:dyDescent="0.25">
      <c r="X8251" s="8" t="e">
        <f>IF(Final_Sans_VGE[[#This Row],[ppn_z]]="","",IFERROR(
   IF(_xlfn.XLOOKUP(Final_Sans_VGE[[#This Row],[ppn_z]],tbl_Historique_Final[ppn_z],tbl_Historique_Final[date_modif])=Final_Sans_VGE[[#This Row],[date_modif]],
      "Ancien",
      "Modifié"),
   "Nouveau"))</f>
        <v>#VALUE!</v>
      </c>
      <c r="AD8251" s="1" t="str">
        <f>IFERROR(IF(Final_Sans_VGE[[#This Row],[ppn_z]]="","",IFERROR(
   IF(_xlfn.XLOOKUP(Final_Sans_VGE[[#This Row],[ppn_z]],tbl_Historique_Final[[#This Row],[ppn_z]],tbl_Historique_Final[[#This Row],[date_modif]])=Final_Sans_VGE[[#This Row],[date_modif]],
      "Ancien",
      "Modifié"),
   "Nouveau")),"")</f>
        <v/>
      </c>
    </row>
    <row r="8252" spans="24:30" x14ac:dyDescent="0.25">
      <c r="X8252" s="8" t="e">
        <f>IF(Final_Sans_VGE[[#This Row],[ppn_z]]="","",IFERROR(
   IF(_xlfn.XLOOKUP(Final_Sans_VGE[[#This Row],[ppn_z]],tbl_Historique_Final[ppn_z],tbl_Historique_Final[date_modif])=Final_Sans_VGE[[#This Row],[date_modif]],
      "Ancien",
      "Modifié"),
   "Nouveau"))</f>
        <v>#VALUE!</v>
      </c>
      <c r="AD8252" s="1" t="str">
        <f>IFERROR(IF(Final_Sans_VGE[[#This Row],[ppn_z]]="","",IFERROR(
   IF(_xlfn.XLOOKUP(Final_Sans_VGE[[#This Row],[ppn_z]],tbl_Historique_Final[[#This Row],[ppn_z]],tbl_Historique_Final[[#This Row],[date_modif]])=Final_Sans_VGE[[#This Row],[date_modif]],
      "Ancien",
      "Modifié"),
   "Nouveau")),"")</f>
        <v/>
      </c>
    </row>
    <row r="8253" spans="24:30" x14ac:dyDescent="0.25">
      <c r="X8253" s="8" t="e">
        <f>IF(Final_Sans_VGE[[#This Row],[ppn_z]]="","",IFERROR(
   IF(_xlfn.XLOOKUP(Final_Sans_VGE[[#This Row],[ppn_z]],tbl_Historique_Final[ppn_z],tbl_Historique_Final[date_modif])=Final_Sans_VGE[[#This Row],[date_modif]],
      "Ancien",
      "Modifié"),
   "Nouveau"))</f>
        <v>#VALUE!</v>
      </c>
      <c r="AD8253" s="1" t="str">
        <f>IFERROR(IF(Final_Sans_VGE[[#This Row],[ppn_z]]="","",IFERROR(
   IF(_xlfn.XLOOKUP(Final_Sans_VGE[[#This Row],[ppn_z]],tbl_Historique_Final[[#This Row],[ppn_z]],tbl_Historique_Final[[#This Row],[date_modif]])=Final_Sans_VGE[[#This Row],[date_modif]],
      "Ancien",
      "Modifié"),
   "Nouveau")),"")</f>
        <v/>
      </c>
    </row>
    <row r="8254" spans="24:30" x14ac:dyDescent="0.25">
      <c r="X8254" s="8" t="e">
        <f>IF(Final_Sans_VGE[[#This Row],[ppn_z]]="","",IFERROR(
   IF(_xlfn.XLOOKUP(Final_Sans_VGE[[#This Row],[ppn_z]],tbl_Historique_Final[ppn_z],tbl_Historique_Final[date_modif])=Final_Sans_VGE[[#This Row],[date_modif]],
      "Ancien",
      "Modifié"),
   "Nouveau"))</f>
        <v>#VALUE!</v>
      </c>
      <c r="AD8254" s="1" t="str">
        <f>IFERROR(IF(Final_Sans_VGE[[#This Row],[ppn_z]]="","",IFERROR(
   IF(_xlfn.XLOOKUP(Final_Sans_VGE[[#This Row],[ppn_z]],tbl_Historique_Final[[#This Row],[ppn_z]],tbl_Historique_Final[[#This Row],[date_modif]])=Final_Sans_VGE[[#This Row],[date_modif]],
      "Ancien",
      "Modifié"),
   "Nouveau")),"")</f>
        <v/>
      </c>
    </row>
    <row r="8255" spans="24:30" x14ac:dyDescent="0.25">
      <c r="X8255" s="8" t="e">
        <f>IF(Final_Sans_VGE[[#This Row],[ppn_z]]="","",IFERROR(
   IF(_xlfn.XLOOKUP(Final_Sans_VGE[[#This Row],[ppn_z]],tbl_Historique_Final[ppn_z],tbl_Historique_Final[date_modif])=Final_Sans_VGE[[#This Row],[date_modif]],
      "Ancien",
      "Modifié"),
   "Nouveau"))</f>
        <v>#VALUE!</v>
      </c>
      <c r="AD8255" s="1" t="str">
        <f>IFERROR(IF(Final_Sans_VGE[[#This Row],[ppn_z]]="","",IFERROR(
   IF(_xlfn.XLOOKUP(Final_Sans_VGE[[#This Row],[ppn_z]],tbl_Historique_Final[[#This Row],[ppn_z]],tbl_Historique_Final[[#This Row],[date_modif]])=Final_Sans_VGE[[#This Row],[date_modif]],
      "Ancien",
      "Modifié"),
   "Nouveau")),"")</f>
        <v/>
      </c>
    </row>
    <row r="8256" spans="24:30" x14ac:dyDescent="0.25">
      <c r="X8256" s="8" t="e">
        <f>IF(Final_Sans_VGE[[#This Row],[ppn_z]]="","",IFERROR(
   IF(_xlfn.XLOOKUP(Final_Sans_VGE[[#This Row],[ppn_z]],tbl_Historique_Final[ppn_z],tbl_Historique_Final[date_modif])=Final_Sans_VGE[[#This Row],[date_modif]],
      "Ancien",
      "Modifié"),
   "Nouveau"))</f>
        <v>#VALUE!</v>
      </c>
      <c r="AD8256" s="1" t="str">
        <f>IFERROR(IF(Final_Sans_VGE[[#This Row],[ppn_z]]="","",IFERROR(
   IF(_xlfn.XLOOKUP(Final_Sans_VGE[[#This Row],[ppn_z]],tbl_Historique_Final[[#This Row],[ppn_z]],tbl_Historique_Final[[#This Row],[date_modif]])=Final_Sans_VGE[[#This Row],[date_modif]],
      "Ancien",
      "Modifié"),
   "Nouveau")),"")</f>
        <v/>
      </c>
    </row>
    <row r="8257" spans="24:30" x14ac:dyDescent="0.25">
      <c r="X8257" s="8" t="e">
        <f>IF(Final_Sans_VGE[[#This Row],[ppn_z]]="","",IFERROR(
   IF(_xlfn.XLOOKUP(Final_Sans_VGE[[#This Row],[ppn_z]],tbl_Historique_Final[ppn_z],tbl_Historique_Final[date_modif])=Final_Sans_VGE[[#This Row],[date_modif]],
      "Ancien",
      "Modifié"),
   "Nouveau"))</f>
        <v>#VALUE!</v>
      </c>
      <c r="AD8257" s="1" t="str">
        <f>IFERROR(IF(Final_Sans_VGE[[#This Row],[ppn_z]]="","",IFERROR(
   IF(_xlfn.XLOOKUP(Final_Sans_VGE[[#This Row],[ppn_z]],tbl_Historique_Final[[#This Row],[ppn_z]],tbl_Historique_Final[[#This Row],[date_modif]])=Final_Sans_VGE[[#This Row],[date_modif]],
      "Ancien",
      "Modifié"),
   "Nouveau")),"")</f>
        <v/>
      </c>
    </row>
    <row r="8258" spans="24:30" x14ac:dyDescent="0.25">
      <c r="X8258" s="8" t="e">
        <f>IF(Final_Sans_VGE[[#This Row],[ppn_z]]="","",IFERROR(
   IF(_xlfn.XLOOKUP(Final_Sans_VGE[[#This Row],[ppn_z]],tbl_Historique_Final[ppn_z],tbl_Historique_Final[date_modif])=Final_Sans_VGE[[#This Row],[date_modif]],
      "Ancien",
      "Modifié"),
   "Nouveau"))</f>
        <v>#VALUE!</v>
      </c>
      <c r="AD8258" s="1" t="str">
        <f>IFERROR(IF(Final_Sans_VGE[[#This Row],[ppn_z]]="","",IFERROR(
   IF(_xlfn.XLOOKUP(Final_Sans_VGE[[#This Row],[ppn_z]],tbl_Historique_Final[[#This Row],[ppn_z]],tbl_Historique_Final[[#This Row],[date_modif]])=Final_Sans_VGE[[#This Row],[date_modif]],
      "Ancien",
      "Modifié"),
   "Nouveau")),"")</f>
        <v/>
      </c>
    </row>
    <row r="8259" spans="24:30" x14ac:dyDescent="0.25">
      <c r="X8259" s="8" t="e">
        <f>IF(Final_Sans_VGE[[#This Row],[ppn_z]]="","",IFERROR(
   IF(_xlfn.XLOOKUP(Final_Sans_VGE[[#This Row],[ppn_z]],tbl_Historique_Final[ppn_z],tbl_Historique_Final[date_modif])=Final_Sans_VGE[[#This Row],[date_modif]],
      "Ancien",
      "Modifié"),
   "Nouveau"))</f>
        <v>#VALUE!</v>
      </c>
      <c r="AD8259" s="1" t="str">
        <f>IFERROR(IF(Final_Sans_VGE[[#This Row],[ppn_z]]="","",IFERROR(
   IF(_xlfn.XLOOKUP(Final_Sans_VGE[[#This Row],[ppn_z]],tbl_Historique_Final[[#This Row],[ppn_z]],tbl_Historique_Final[[#This Row],[date_modif]])=Final_Sans_VGE[[#This Row],[date_modif]],
      "Ancien",
      "Modifié"),
   "Nouveau")),"")</f>
        <v/>
      </c>
    </row>
    <row r="8260" spans="24:30" x14ac:dyDescent="0.25">
      <c r="X8260" s="8" t="e">
        <f>IF(Final_Sans_VGE[[#This Row],[ppn_z]]="","",IFERROR(
   IF(_xlfn.XLOOKUP(Final_Sans_VGE[[#This Row],[ppn_z]],tbl_Historique_Final[ppn_z],tbl_Historique_Final[date_modif])=Final_Sans_VGE[[#This Row],[date_modif]],
      "Ancien",
      "Modifié"),
   "Nouveau"))</f>
        <v>#VALUE!</v>
      </c>
      <c r="AD8260" s="1" t="str">
        <f>IFERROR(IF(Final_Sans_VGE[[#This Row],[ppn_z]]="","",IFERROR(
   IF(_xlfn.XLOOKUP(Final_Sans_VGE[[#This Row],[ppn_z]],tbl_Historique_Final[[#This Row],[ppn_z]],tbl_Historique_Final[[#This Row],[date_modif]])=Final_Sans_VGE[[#This Row],[date_modif]],
      "Ancien",
      "Modifié"),
   "Nouveau")),"")</f>
        <v/>
      </c>
    </row>
    <row r="8261" spans="24:30" x14ac:dyDescent="0.25">
      <c r="X8261" s="8" t="e">
        <f>IF(Final_Sans_VGE[[#This Row],[ppn_z]]="","",IFERROR(
   IF(_xlfn.XLOOKUP(Final_Sans_VGE[[#This Row],[ppn_z]],tbl_Historique_Final[ppn_z],tbl_Historique_Final[date_modif])=Final_Sans_VGE[[#This Row],[date_modif]],
      "Ancien",
      "Modifié"),
   "Nouveau"))</f>
        <v>#VALUE!</v>
      </c>
      <c r="AD8261" s="1" t="str">
        <f>IFERROR(IF(Final_Sans_VGE[[#This Row],[ppn_z]]="","",IFERROR(
   IF(_xlfn.XLOOKUP(Final_Sans_VGE[[#This Row],[ppn_z]],tbl_Historique_Final[[#This Row],[ppn_z]],tbl_Historique_Final[[#This Row],[date_modif]])=Final_Sans_VGE[[#This Row],[date_modif]],
      "Ancien",
      "Modifié"),
   "Nouveau")),"")</f>
        <v/>
      </c>
    </row>
    <row r="8262" spans="24:30" x14ac:dyDescent="0.25">
      <c r="X8262" s="8" t="e">
        <f>IF(Final_Sans_VGE[[#This Row],[ppn_z]]="","",IFERROR(
   IF(_xlfn.XLOOKUP(Final_Sans_VGE[[#This Row],[ppn_z]],tbl_Historique_Final[ppn_z],tbl_Historique_Final[date_modif])=Final_Sans_VGE[[#This Row],[date_modif]],
      "Ancien",
      "Modifié"),
   "Nouveau"))</f>
        <v>#VALUE!</v>
      </c>
      <c r="AD8262" s="1" t="str">
        <f>IFERROR(IF(Final_Sans_VGE[[#This Row],[ppn_z]]="","",IFERROR(
   IF(_xlfn.XLOOKUP(Final_Sans_VGE[[#This Row],[ppn_z]],tbl_Historique_Final[[#This Row],[ppn_z]],tbl_Historique_Final[[#This Row],[date_modif]])=Final_Sans_VGE[[#This Row],[date_modif]],
      "Ancien",
      "Modifié"),
   "Nouveau")),"")</f>
        <v/>
      </c>
    </row>
    <row r="8263" spans="24:30" x14ac:dyDescent="0.25">
      <c r="X8263" s="8" t="e">
        <f>IF(Final_Sans_VGE[[#This Row],[ppn_z]]="","",IFERROR(
   IF(_xlfn.XLOOKUP(Final_Sans_VGE[[#This Row],[ppn_z]],tbl_Historique_Final[ppn_z],tbl_Historique_Final[date_modif])=Final_Sans_VGE[[#This Row],[date_modif]],
      "Ancien",
      "Modifié"),
   "Nouveau"))</f>
        <v>#VALUE!</v>
      </c>
      <c r="AD8263" s="1" t="str">
        <f>IFERROR(IF(Final_Sans_VGE[[#This Row],[ppn_z]]="","",IFERROR(
   IF(_xlfn.XLOOKUP(Final_Sans_VGE[[#This Row],[ppn_z]],tbl_Historique_Final[[#This Row],[ppn_z]],tbl_Historique_Final[[#This Row],[date_modif]])=Final_Sans_VGE[[#This Row],[date_modif]],
      "Ancien",
      "Modifié"),
   "Nouveau")),"")</f>
        <v/>
      </c>
    </row>
    <row r="8264" spans="24:30" x14ac:dyDescent="0.25">
      <c r="X8264" s="8" t="e">
        <f>IF(Final_Sans_VGE[[#This Row],[ppn_z]]="","",IFERROR(
   IF(_xlfn.XLOOKUP(Final_Sans_VGE[[#This Row],[ppn_z]],tbl_Historique_Final[ppn_z],tbl_Historique_Final[date_modif])=Final_Sans_VGE[[#This Row],[date_modif]],
      "Ancien",
      "Modifié"),
   "Nouveau"))</f>
        <v>#VALUE!</v>
      </c>
      <c r="AD8264" s="1" t="str">
        <f>IFERROR(IF(Final_Sans_VGE[[#This Row],[ppn_z]]="","",IFERROR(
   IF(_xlfn.XLOOKUP(Final_Sans_VGE[[#This Row],[ppn_z]],tbl_Historique_Final[[#This Row],[ppn_z]],tbl_Historique_Final[[#This Row],[date_modif]])=Final_Sans_VGE[[#This Row],[date_modif]],
      "Ancien",
      "Modifié"),
   "Nouveau")),"")</f>
        <v/>
      </c>
    </row>
    <row r="8265" spans="24:30" x14ac:dyDescent="0.25">
      <c r="X8265" s="8" t="e">
        <f>IF(Final_Sans_VGE[[#This Row],[ppn_z]]="","",IFERROR(
   IF(_xlfn.XLOOKUP(Final_Sans_VGE[[#This Row],[ppn_z]],tbl_Historique_Final[ppn_z],tbl_Historique_Final[date_modif])=Final_Sans_VGE[[#This Row],[date_modif]],
      "Ancien",
      "Modifié"),
   "Nouveau"))</f>
        <v>#VALUE!</v>
      </c>
      <c r="AD8265" s="1" t="str">
        <f>IFERROR(IF(Final_Sans_VGE[[#This Row],[ppn_z]]="","",IFERROR(
   IF(_xlfn.XLOOKUP(Final_Sans_VGE[[#This Row],[ppn_z]],tbl_Historique_Final[[#This Row],[ppn_z]],tbl_Historique_Final[[#This Row],[date_modif]])=Final_Sans_VGE[[#This Row],[date_modif]],
      "Ancien",
      "Modifié"),
   "Nouveau")),"")</f>
        <v/>
      </c>
    </row>
    <row r="8266" spans="24:30" x14ac:dyDescent="0.25">
      <c r="X8266" s="8" t="e">
        <f>IF(Final_Sans_VGE[[#This Row],[ppn_z]]="","",IFERROR(
   IF(_xlfn.XLOOKUP(Final_Sans_VGE[[#This Row],[ppn_z]],tbl_Historique_Final[ppn_z],tbl_Historique_Final[date_modif])=Final_Sans_VGE[[#This Row],[date_modif]],
      "Ancien",
      "Modifié"),
   "Nouveau"))</f>
        <v>#VALUE!</v>
      </c>
      <c r="AD8266" s="1" t="str">
        <f>IFERROR(IF(Final_Sans_VGE[[#This Row],[ppn_z]]="","",IFERROR(
   IF(_xlfn.XLOOKUP(Final_Sans_VGE[[#This Row],[ppn_z]],tbl_Historique_Final[[#This Row],[ppn_z]],tbl_Historique_Final[[#This Row],[date_modif]])=Final_Sans_VGE[[#This Row],[date_modif]],
      "Ancien",
      "Modifié"),
   "Nouveau")),"")</f>
        <v/>
      </c>
    </row>
    <row r="8267" spans="24:30" x14ac:dyDescent="0.25">
      <c r="X8267" s="8" t="e">
        <f>IF(Final_Sans_VGE[[#This Row],[ppn_z]]="","",IFERROR(
   IF(_xlfn.XLOOKUP(Final_Sans_VGE[[#This Row],[ppn_z]],tbl_Historique_Final[ppn_z],tbl_Historique_Final[date_modif])=Final_Sans_VGE[[#This Row],[date_modif]],
      "Ancien",
      "Modifié"),
   "Nouveau"))</f>
        <v>#VALUE!</v>
      </c>
      <c r="AD8267" s="1" t="str">
        <f>IFERROR(IF(Final_Sans_VGE[[#This Row],[ppn_z]]="","",IFERROR(
   IF(_xlfn.XLOOKUP(Final_Sans_VGE[[#This Row],[ppn_z]],tbl_Historique_Final[[#This Row],[ppn_z]],tbl_Historique_Final[[#This Row],[date_modif]])=Final_Sans_VGE[[#This Row],[date_modif]],
      "Ancien",
      "Modifié"),
   "Nouveau")),"")</f>
        <v/>
      </c>
    </row>
    <row r="8268" spans="24:30" x14ac:dyDescent="0.25">
      <c r="X8268" s="8" t="e">
        <f>IF(Final_Sans_VGE[[#This Row],[ppn_z]]="","",IFERROR(
   IF(_xlfn.XLOOKUP(Final_Sans_VGE[[#This Row],[ppn_z]],tbl_Historique_Final[ppn_z],tbl_Historique_Final[date_modif])=Final_Sans_VGE[[#This Row],[date_modif]],
      "Ancien",
      "Modifié"),
   "Nouveau"))</f>
        <v>#VALUE!</v>
      </c>
      <c r="AD8268" s="1" t="str">
        <f>IFERROR(IF(Final_Sans_VGE[[#This Row],[ppn_z]]="","",IFERROR(
   IF(_xlfn.XLOOKUP(Final_Sans_VGE[[#This Row],[ppn_z]],tbl_Historique_Final[[#This Row],[ppn_z]],tbl_Historique_Final[[#This Row],[date_modif]])=Final_Sans_VGE[[#This Row],[date_modif]],
      "Ancien",
      "Modifié"),
   "Nouveau")),"")</f>
        <v/>
      </c>
    </row>
    <row r="8269" spans="24:30" x14ac:dyDescent="0.25">
      <c r="X8269" s="8" t="e">
        <f>IF(Final_Sans_VGE[[#This Row],[ppn_z]]="","",IFERROR(
   IF(_xlfn.XLOOKUP(Final_Sans_VGE[[#This Row],[ppn_z]],tbl_Historique_Final[ppn_z],tbl_Historique_Final[date_modif])=Final_Sans_VGE[[#This Row],[date_modif]],
      "Ancien",
      "Modifié"),
   "Nouveau"))</f>
        <v>#VALUE!</v>
      </c>
      <c r="AD8269" s="1" t="str">
        <f>IFERROR(IF(Final_Sans_VGE[[#This Row],[ppn_z]]="","",IFERROR(
   IF(_xlfn.XLOOKUP(Final_Sans_VGE[[#This Row],[ppn_z]],tbl_Historique_Final[[#This Row],[ppn_z]],tbl_Historique_Final[[#This Row],[date_modif]])=Final_Sans_VGE[[#This Row],[date_modif]],
      "Ancien",
      "Modifié"),
   "Nouveau")),"")</f>
        <v/>
      </c>
    </row>
    <row r="8270" spans="24:30" x14ac:dyDescent="0.25">
      <c r="X8270" s="8" t="e">
        <f>IF(Final_Sans_VGE[[#This Row],[ppn_z]]="","",IFERROR(
   IF(_xlfn.XLOOKUP(Final_Sans_VGE[[#This Row],[ppn_z]],tbl_Historique_Final[ppn_z],tbl_Historique_Final[date_modif])=Final_Sans_VGE[[#This Row],[date_modif]],
      "Ancien",
      "Modifié"),
   "Nouveau"))</f>
        <v>#VALUE!</v>
      </c>
      <c r="AD8270" s="1" t="str">
        <f>IFERROR(IF(Final_Sans_VGE[[#This Row],[ppn_z]]="","",IFERROR(
   IF(_xlfn.XLOOKUP(Final_Sans_VGE[[#This Row],[ppn_z]],tbl_Historique_Final[[#This Row],[ppn_z]],tbl_Historique_Final[[#This Row],[date_modif]])=Final_Sans_VGE[[#This Row],[date_modif]],
      "Ancien",
      "Modifié"),
   "Nouveau")),"")</f>
        <v/>
      </c>
    </row>
    <row r="8271" spans="24:30" x14ac:dyDescent="0.25">
      <c r="X8271" s="8" t="e">
        <f>IF(Final_Sans_VGE[[#This Row],[ppn_z]]="","",IFERROR(
   IF(_xlfn.XLOOKUP(Final_Sans_VGE[[#This Row],[ppn_z]],tbl_Historique_Final[ppn_z],tbl_Historique_Final[date_modif])=Final_Sans_VGE[[#This Row],[date_modif]],
      "Ancien",
      "Modifié"),
   "Nouveau"))</f>
        <v>#VALUE!</v>
      </c>
      <c r="AD8271" s="1" t="str">
        <f>IFERROR(IF(Final_Sans_VGE[[#This Row],[ppn_z]]="","",IFERROR(
   IF(_xlfn.XLOOKUP(Final_Sans_VGE[[#This Row],[ppn_z]],tbl_Historique_Final[[#This Row],[ppn_z]],tbl_Historique_Final[[#This Row],[date_modif]])=Final_Sans_VGE[[#This Row],[date_modif]],
      "Ancien",
      "Modifié"),
   "Nouveau")),"")</f>
        <v/>
      </c>
    </row>
    <row r="8272" spans="24:30" x14ac:dyDescent="0.25">
      <c r="X8272" s="8" t="e">
        <f>IF(Final_Sans_VGE[[#This Row],[ppn_z]]="","",IFERROR(
   IF(_xlfn.XLOOKUP(Final_Sans_VGE[[#This Row],[ppn_z]],tbl_Historique_Final[ppn_z],tbl_Historique_Final[date_modif])=Final_Sans_VGE[[#This Row],[date_modif]],
      "Ancien",
      "Modifié"),
   "Nouveau"))</f>
        <v>#VALUE!</v>
      </c>
      <c r="AD8272" s="1" t="str">
        <f>IFERROR(IF(Final_Sans_VGE[[#This Row],[ppn_z]]="","",IFERROR(
   IF(_xlfn.XLOOKUP(Final_Sans_VGE[[#This Row],[ppn_z]],tbl_Historique_Final[[#This Row],[ppn_z]],tbl_Historique_Final[[#This Row],[date_modif]])=Final_Sans_VGE[[#This Row],[date_modif]],
      "Ancien",
      "Modifié"),
   "Nouveau")),"")</f>
        <v/>
      </c>
    </row>
    <row r="8273" spans="24:30" x14ac:dyDescent="0.25">
      <c r="X8273" s="8" t="e">
        <f>IF(Final_Sans_VGE[[#This Row],[ppn_z]]="","",IFERROR(
   IF(_xlfn.XLOOKUP(Final_Sans_VGE[[#This Row],[ppn_z]],tbl_Historique_Final[ppn_z],tbl_Historique_Final[date_modif])=Final_Sans_VGE[[#This Row],[date_modif]],
      "Ancien",
      "Modifié"),
   "Nouveau"))</f>
        <v>#VALUE!</v>
      </c>
      <c r="AD8273" s="1" t="str">
        <f>IFERROR(IF(Final_Sans_VGE[[#This Row],[ppn_z]]="","",IFERROR(
   IF(_xlfn.XLOOKUP(Final_Sans_VGE[[#This Row],[ppn_z]],tbl_Historique_Final[[#This Row],[ppn_z]],tbl_Historique_Final[[#This Row],[date_modif]])=Final_Sans_VGE[[#This Row],[date_modif]],
      "Ancien",
      "Modifié"),
   "Nouveau")),"")</f>
        <v/>
      </c>
    </row>
    <row r="8274" spans="24:30" x14ac:dyDescent="0.25">
      <c r="X8274" s="8" t="e">
        <f>IF(Final_Sans_VGE[[#This Row],[ppn_z]]="","",IFERROR(
   IF(_xlfn.XLOOKUP(Final_Sans_VGE[[#This Row],[ppn_z]],tbl_Historique_Final[ppn_z],tbl_Historique_Final[date_modif])=Final_Sans_VGE[[#This Row],[date_modif]],
      "Ancien",
      "Modifié"),
   "Nouveau"))</f>
        <v>#VALUE!</v>
      </c>
      <c r="AD8274" s="1" t="str">
        <f>IFERROR(IF(Final_Sans_VGE[[#This Row],[ppn_z]]="","",IFERROR(
   IF(_xlfn.XLOOKUP(Final_Sans_VGE[[#This Row],[ppn_z]],tbl_Historique_Final[[#This Row],[ppn_z]],tbl_Historique_Final[[#This Row],[date_modif]])=Final_Sans_VGE[[#This Row],[date_modif]],
      "Ancien",
      "Modifié"),
   "Nouveau")),"")</f>
        <v/>
      </c>
    </row>
    <row r="8275" spans="24:30" x14ac:dyDescent="0.25">
      <c r="X8275" s="8" t="e">
        <f>IF(Final_Sans_VGE[[#This Row],[ppn_z]]="","",IFERROR(
   IF(_xlfn.XLOOKUP(Final_Sans_VGE[[#This Row],[ppn_z]],tbl_Historique_Final[ppn_z],tbl_Historique_Final[date_modif])=Final_Sans_VGE[[#This Row],[date_modif]],
      "Ancien",
      "Modifié"),
   "Nouveau"))</f>
        <v>#VALUE!</v>
      </c>
      <c r="AD8275" s="1" t="str">
        <f>IFERROR(IF(Final_Sans_VGE[[#This Row],[ppn_z]]="","",IFERROR(
   IF(_xlfn.XLOOKUP(Final_Sans_VGE[[#This Row],[ppn_z]],tbl_Historique_Final[[#This Row],[ppn_z]],tbl_Historique_Final[[#This Row],[date_modif]])=Final_Sans_VGE[[#This Row],[date_modif]],
      "Ancien",
      "Modifié"),
   "Nouveau")),"")</f>
        <v/>
      </c>
    </row>
    <row r="8276" spans="24:30" x14ac:dyDescent="0.25">
      <c r="X8276" s="8" t="e">
        <f>IF(Final_Sans_VGE[[#This Row],[ppn_z]]="","",IFERROR(
   IF(_xlfn.XLOOKUP(Final_Sans_VGE[[#This Row],[ppn_z]],tbl_Historique_Final[ppn_z],tbl_Historique_Final[date_modif])=Final_Sans_VGE[[#This Row],[date_modif]],
      "Ancien",
      "Modifié"),
   "Nouveau"))</f>
        <v>#VALUE!</v>
      </c>
      <c r="AD8276" s="1" t="str">
        <f>IFERROR(IF(Final_Sans_VGE[[#This Row],[ppn_z]]="","",IFERROR(
   IF(_xlfn.XLOOKUP(Final_Sans_VGE[[#This Row],[ppn_z]],tbl_Historique_Final[[#This Row],[ppn_z]],tbl_Historique_Final[[#This Row],[date_modif]])=Final_Sans_VGE[[#This Row],[date_modif]],
      "Ancien",
      "Modifié"),
   "Nouveau")),"")</f>
        <v/>
      </c>
    </row>
    <row r="8277" spans="24:30" x14ac:dyDescent="0.25">
      <c r="X8277" s="8" t="e">
        <f>IF(Final_Sans_VGE[[#This Row],[ppn_z]]="","",IFERROR(
   IF(_xlfn.XLOOKUP(Final_Sans_VGE[[#This Row],[ppn_z]],tbl_Historique_Final[ppn_z],tbl_Historique_Final[date_modif])=Final_Sans_VGE[[#This Row],[date_modif]],
      "Ancien",
      "Modifié"),
   "Nouveau"))</f>
        <v>#VALUE!</v>
      </c>
      <c r="AD8277" s="1" t="str">
        <f>IFERROR(IF(Final_Sans_VGE[[#This Row],[ppn_z]]="","",IFERROR(
   IF(_xlfn.XLOOKUP(Final_Sans_VGE[[#This Row],[ppn_z]],tbl_Historique_Final[[#This Row],[ppn_z]],tbl_Historique_Final[[#This Row],[date_modif]])=Final_Sans_VGE[[#This Row],[date_modif]],
      "Ancien",
      "Modifié"),
   "Nouveau")),"")</f>
        <v/>
      </c>
    </row>
    <row r="8278" spans="24:30" x14ac:dyDescent="0.25">
      <c r="X8278" s="8" t="e">
        <f>IF(Final_Sans_VGE[[#This Row],[ppn_z]]="","",IFERROR(
   IF(_xlfn.XLOOKUP(Final_Sans_VGE[[#This Row],[ppn_z]],tbl_Historique_Final[ppn_z],tbl_Historique_Final[date_modif])=Final_Sans_VGE[[#This Row],[date_modif]],
      "Ancien",
      "Modifié"),
   "Nouveau"))</f>
        <v>#VALUE!</v>
      </c>
      <c r="AD8278" s="1" t="str">
        <f>IFERROR(IF(Final_Sans_VGE[[#This Row],[ppn_z]]="","",IFERROR(
   IF(_xlfn.XLOOKUP(Final_Sans_VGE[[#This Row],[ppn_z]],tbl_Historique_Final[[#This Row],[ppn_z]],tbl_Historique_Final[[#This Row],[date_modif]])=Final_Sans_VGE[[#This Row],[date_modif]],
      "Ancien",
      "Modifié"),
   "Nouveau")),"")</f>
        <v/>
      </c>
    </row>
    <row r="8279" spans="24:30" x14ac:dyDescent="0.25">
      <c r="X8279" s="8" t="e">
        <f>IF(Final_Sans_VGE[[#This Row],[ppn_z]]="","",IFERROR(
   IF(_xlfn.XLOOKUP(Final_Sans_VGE[[#This Row],[ppn_z]],tbl_Historique_Final[ppn_z],tbl_Historique_Final[date_modif])=Final_Sans_VGE[[#This Row],[date_modif]],
      "Ancien",
      "Modifié"),
   "Nouveau"))</f>
        <v>#VALUE!</v>
      </c>
      <c r="AD8279" s="1" t="str">
        <f>IFERROR(IF(Final_Sans_VGE[[#This Row],[ppn_z]]="","",IFERROR(
   IF(_xlfn.XLOOKUP(Final_Sans_VGE[[#This Row],[ppn_z]],tbl_Historique_Final[[#This Row],[ppn_z]],tbl_Historique_Final[[#This Row],[date_modif]])=Final_Sans_VGE[[#This Row],[date_modif]],
      "Ancien",
      "Modifié"),
   "Nouveau")),"")</f>
        <v/>
      </c>
    </row>
    <row r="8280" spans="24:30" x14ac:dyDescent="0.25">
      <c r="X8280" s="8" t="e">
        <f>IF(Final_Sans_VGE[[#This Row],[ppn_z]]="","",IFERROR(
   IF(_xlfn.XLOOKUP(Final_Sans_VGE[[#This Row],[ppn_z]],tbl_Historique_Final[ppn_z],tbl_Historique_Final[date_modif])=Final_Sans_VGE[[#This Row],[date_modif]],
      "Ancien",
      "Modifié"),
   "Nouveau"))</f>
        <v>#VALUE!</v>
      </c>
      <c r="AD8280" s="1" t="str">
        <f>IFERROR(IF(Final_Sans_VGE[[#This Row],[ppn_z]]="","",IFERROR(
   IF(_xlfn.XLOOKUP(Final_Sans_VGE[[#This Row],[ppn_z]],tbl_Historique_Final[[#This Row],[ppn_z]],tbl_Historique_Final[[#This Row],[date_modif]])=Final_Sans_VGE[[#This Row],[date_modif]],
      "Ancien",
      "Modifié"),
   "Nouveau")),"")</f>
        <v/>
      </c>
    </row>
    <row r="8281" spans="24:30" x14ac:dyDescent="0.25">
      <c r="X8281" s="8" t="e">
        <f>IF(Final_Sans_VGE[[#This Row],[ppn_z]]="","",IFERROR(
   IF(_xlfn.XLOOKUP(Final_Sans_VGE[[#This Row],[ppn_z]],tbl_Historique_Final[ppn_z],tbl_Historique_Final[date_modif])=Final_Sans_VGE[[#This Row],[date_modif]],
      "Ancien",
      "Modifié"),
   "Nouveau"))</f>
        <v>#VALUE!</v>
      </c>
      <c r="AD8281" s="1" t="str">
        <f>IFERROR(IF(Final_Sans_VGE[[#This Row],[ppn_z]]="","",IFERROR(
   IF(_xlfn.XLOOKUP(Final_Sans_VGE[[#This Row],[ppn_z]],tbl_Historique_Final[[#This Row],[ppn_z]],tbl_Historique_Final[[#This Row],[date_modif]])=Final_Sans_VGE[[#This Row],[date_modif]],
      "Ancien",
      "Modifié"),
   "Nouveau")),"")</f>
        <v/>
      </c>
    </row>
    <row r="8282" spans="24:30" x14ac:dyDescent="0.25">
      <c r="X8282" s="8" t="e">
        <f>IF(Final_Sans_VGE[[#This Row],[ppn_z]]="","",IFERROR(
   IF(_xlfn.XLOOKUP(Final_Sans_VGE[[#This Row],[ppn_z]],tbl_Historique_Final[ppn_z],tbl_Historique_Final[date_modif])=Final_Sans_VGE[[#This Row],[date_modif]],
      "Ancien",
      "Modifié"),
   "Nouveau"))</f>
        <v>#VALUE!</v>
      </c>
      <c r="AD8282" s="1" t="str">
        <f>IFERROR(IF(Final_Sans_VGE[[#This Row],[ppn_z]]="","",IFERROR(
   IF(_xlfn.XLOOKUP(Final_Sans_VGE[[#This Row],[ppn_z]],tbl_Historique_Final[[#This Row],[ppn_z]],tbl_Historique_Final[[#This Row],[date_modif]])=Final_Sans_VGE[[#This Row],[date_modif]],
      "Ancien",
      "Modifié"),
   "Nouveau")),"")</f>
        <v/>
      </c>
    </row>
    <row r="8283" spans="24:30" x14ac:dyDescent="0.25">
      <c r="X8283" s="8" t="e">
        <f>IF(Final_Sans_VGE[[#This Row],[ppn_z]]="","",IFERROR(
   IF(_xlfn.XLOOKUP(Final_Sans_VGE[[#This Row],[ppn_z]],tbl_Historique_Final[ppn_z],tbl_Historique_Final[date_modif])=Final_Sans_VGE[[#This Row],[date_modif]],
      "Ancien",
      "Modifié"),
   "Nouveau"))</f>
        <v>#VALUE!</v>
      </c>
      <c r="AD8283" s="1" t="str">
        <f>IFERROR(IF(Final_Sans_VGE[[#This Row],[ppn_z]]="","",IFERROR(
   IF(_xlfn.XLOOKUP(Final_Sans_VGE[[#This Row],[ppn_z]],tbl_Historique_Final[[#This Row],[ppn_z]],tbl_Historique_Final[[#This Row],[date_modif]])=Final_Sans_VGE[[#This Row],[date_modif]],
      "Ancien",
      "Modifié"),
   "Nouveau")),"")</f>
        <v/>
      </c>
    </row>
    <row r="8284" spans="24:30" x14ac:dyDescent="0.25">
      <c r="X8284" s="8" t="e">
        <f>IF(Final_Sans_VGE[[#This Row],[ppn_z]]="","",IFERROR(
   IF(_xlfn.XLOOKUP(Final_Sans_VGE[[#This Row],[ppn_z]],tbl_Historique_Final[ppn_z],tbl_Historique_Final[date_modif])=Final_Sans_VGE[[#This Row],[date_modif]],
      "Ancien",
      "Modifié"),
   "Nouveau"))</f>
        <v>#VALUE!</v>
      </c>
      <c r="AD8284" s="1" t="str">
        <f>IFERROR(IF(Final_Sans_VGE[[#This Row],[ppn_z]]="","",IFERROR(
   IF(_xlfn.XLOOKUP(Final_Sans_VGE[[#This Row],[ppn_z]],tbl_Historique_Final[[#This Row],[ppn_z]],tbl_Historique_Final[[#This Row],[date_modif]])=Final_Sans_VGE[[#This Row],[date_modif]],
      "Ancien",
      "Modifié"),
   "Nouveau")),"")</f>
        <v/>
      </c>
    </row>
    <row r="8285" spans="24:30" x14ac:dyDescent="0.25">
      <c r="X8285" s="8" t="e">
        <f>IF(Final_Sans_VGE[[#This Row],[ppn_z]]="","",IFERROR(
   IF(_xlfn.XLOOKUP(Final_Sans_VGE[[#This Row],[ppn_z]],tbl_Historique_Final[ppn_z],tbl_Historique_Final[date_modif])=Final_Sans_VGE[[#This Row],[date_modif]],
      "Ancien",
      "Modifié"),
   "Nouveau"))</f>
        <v>#VALUE!</v>
      </c>
      <c r="AD8285" s="1" t="str">
        <f>IFERROR(IF(Final_Sans_VGE[[#This Row],[ppn_z]]="","",IFERROR(
   IF(_xlfn.XLOOKUP(Final_Sans_VGE[[#This Row],[ppn_z]],tbl_Historique_Final[[#This Row],[ppn_z]],tbl_Historique_Final[[#This Row],[date_modif]])=Final_Sans_VGE[[#This Row],[date_modif]],
      "Ancien",
      "Modifié"),
   "Nouveau")),"")</f>
        <v/>
      </c>
    </row>
    <row r="8286" spans="24:30" x14ac:dyDescent="0.25">
      <c r="X8286" s="8" t="e">
        <f>IF(Final_Sans_VGE[[#This Row],[ppn_z]]="","",IFERROR(
   IF(_xlfn.XLOOKUP(Final_Sans_VGE[[#This Row],[ppn_z]],tbl_Historique_Final[ppn_z],tbl_Historique_Final[date_modif])=Final_Sans_VGE[[#This Row],[date_modif]],
      "Ancien",
      "Modifié"),
   "Nouveau"))</f>
        <v>#VALUE!</v>
      </c>
      <c r="AD8286" s="1" t="str">
        <f>IFERROR(IF(Final_Sans_VGE[[#This Row],[ppn_z]]="","",IFERROR(
   IF(_xlfn.XLOOKUP(Final_Sans_VGE[[#This Row],[ppn_z]],tbl_Historique_Final[[#This Row],[ppn_z]],tbl_Historique_Final[[#This Row],[date_modif]])=Final_Sans_VGE[[#This Row],[date_modif]],
      "Ancien",
      "Modifié"),
   "Nouveau")),"")</f>
        <v/>
      </c>
    </row>
    <row r="8287" spans="24:30" x14ac:dyDescent="0.25">
      <c r="X8287" s="8" t="e">
        <f>IF(Final_Sans_VGE[[#This Row],[ppn_z]]="","",IFERROR(
   IF(_xlfn.XLOOKUP(Final_Sans_VGE[[#This Row],[ppn_z]],tbl_Historique_Final[ppn_z],tbl_Historique_Final[date_modif])=Final_Sans_VGE[[#This Row],[date_modif]],
      "Ancien",
      "Modifié"),
   "Nouveau"))</f>
        <v>#VALUE!</v>
      </c>
      <c r="AD8287" s="1" t="str">
        <f>IFERROR(IF(Final_Sans_VGE[[#This Row],[ppn_z]]="","",IFERROR(
   IF(_xlfn.XLOOKUP(Final_Sans_VGE[[#This Row],[ppn_z]],tbl_Historique_Final[[#This Row],[ppn_z]],tbl_Historique_Final[[#This Row],[date_modif]])=Final_Sans_VGE[[#This Row],[date_modif]],
      "Ancien",
      "Modifié"),
   "Nouveau")),"")</f>
        <v/>
      </c>
    </row>
    <row r="8288" spans="24:30" x14ac:dyDescent="0.25">
      <c r="X8288" s="8" t="e">
        <f>IF(Final_Sans_VGE[[#This Row],[ppn_z]]="","",IFERROR(
   IF(_xlfn.XLOOKUP(Final_Sans_VGE[[#This Row],[ppn_z]],tbl_Historique_Final[ppn_z],tbl_Historique_Final[date_modif])=Final_Sans_VGE[[#This Row],[date_modif]],
      "Ancien",
      "Modifié"),
   "Nouveau"))</f>
        <v>#VALUE!</v>
      </c>
      <c r="AD8288" s="1" t="str">
        <f>IFERROR(IF(Final_Sans_VGE[[#This Row],[ppn_z]]="","",IFERROR(
   IF(_xlfn.XLOOKUP(Final_Sans_VGE[[#This Row],[ppn_z]],tbl_Historique_Final[[#This Row],[ppn_z]],tbl_Historique_Final[[#This Row],[date_modif]])=Final_Sans_VGE[[#This Row],[date_modif]],
      "Ancien",
      "Modifié"),
   "Nouveau")),"")</f>
        <v/>
      </c>
    </row>
    <row r="8289" spans="24:30" x14ac:dyDescent="0.25">
      <c r="X8289" s="8" t="e">
        <f>IF(Final_Sans_VGE[[#This Row],[ppn_z]]="","",IFERROR(
   IF(_xlfn.XLOOKUP(Final_Sans_VGE[[#This Row],[ppn_z]],tbl_Historique_Final[ppn_z],tbl_Historique_Final[date_modif])=Final_Sans_VGE[[#This Row],[date_modif]],
      "Ancien",
      "Modifié"),
   "Nouveau"))</f>
        <v>#VALUE!</v>
      </c>
      <c r="AD8289" s="1" t="str">
        <f>IFERROR(IF(Final_Sans_VGE[[#This Row],[ppn_z]]="","",IFERROR(
   IF(_xlfn.XLOOKUP(Final_Sans_VGE[[#This Row],[ppn_z]],tbl_Historique_Final[[#This Row],[ppn_z]],tbl_Historique_Final[[#This Row],[date_modif]])=Final_Sans_VGE[[#This Row],[date_modif]],
      "Ancien",
      "Modifié"),
   "Nouveau")),"")</f>
        <v/>
      </c>
    </row>
    <row r="8290" spans="24:30" x14ac:dyDescent="0.25">
      <c r="X8290" s="8" t="e">
        <f>IF(Final_Sans_VGE[[#This Row],[ppn_z]]="","",IFERROR(
   IF(_xlfn.XLOOKUP(Final_Sans_VGE[[#This Row],[ppn_z]],tbl_Historique_Final[ppn_z],tbl_Historique_Final[date_modif])=Final_Sans_VGE[[#This Row],[date_modif]],
      "Ancien",
      "Modifié"),
   "Nouveau"))</f>
        <v>#VALUE!</v>
      </c>
      <c r="AD8290" s="1" t="str">
        <f>IFERROR(IF(Final_Sans_VGE[[#This Row],[ppn_z]]="","",IFERROR(
   IF(_xlfn.XLOOKUP(Final_Sans_VGE[[#This Row],[ppn_z]],tbl_Historique_Final[[#This Row],[ppn_z]],tbl_Historique_Final[[#This Row],[date_modif]])=Final_Sans_VGE[[#This Row],[date_modif]],
      "Ancien",
      "Modifié"),
   "Nouveau")),"")</f>
        <v/>
      </c>
    </row>
    <row r="8291" spans="24:30" x14ac:dyDescent="0.25">
      <c r="X8291" s="8" t="e">
        <f>IF(Final_Sans_VGE[[#This Row],[ppn_z]]="","",IFERROR(
   IF(_xlfn.XLOOKUP(Final_Sans_VGE[[#This Row],[ppn_z]],tbl_Historique_Final[ppn_z],tbl_Historique_Final[date_modif])=Final_Sans_VGE[[#This Row],[date_modif]],
      "Ancien",
      "Modifié"),
   "Nouveau"))</f>
        <v>#VALUE!</v>
      </c>
      <c r="AD8291" s="1" t="str">
        <f>IFERROR(IF(Final_Sans_VGE[[#This Row],[ppn_z]]="","",IFERROR(
   IF(_xlfn.XLOOKUP(Final_Sans_VGE[[#This Row],[ppn_z]],tbl_Historique_Final[[#This Row],[ppn_z]],tbl_Historique_Final[[#This Row],[date_modif]])=Final_Sans_VGE[[#This Row],[date_modif]],
      "Ancien",
      "Modifié"),
   "Nouveau")),"")</f>
        <v/>
      </c>
    </row>
    <row r="8292" spans="24:30" x14ac:dyDescent="0.25">
      <c r="X8292" s="8" t="e">
        <f>IF(Final_Sans_VGE[[#This Row],[ppn_z]]="","",IFERROR(
   IF(_xlfn.XLOOKUP(Final_Sans_VGE[[#This Row],[ppn_z]],tbl_Historique_Final[ppn_z],tbl_Historique_Final[date_modif])=Final_Sans_VGE[[#This Row],[date_modif]],
      "Ancien",
      "Modifié"),
   "Nouveau"))</f>
        <v>#VALUE!</v>
      </c>
      <c r="AD8292" s="1" t="str">
        <f>IFERROR(IF(Final_Sans_VGE[[#This Row],[ppn_z]]="","",IFERROR(
   IF(_xlfn.XLOOKUP(Final_Sans_VGE[[#This Row],[ppn_z]],tbl_Historique_Final[[#This Row],[ppn_z]],tbl_Historique_Final[[#This Row],[date_modif]])=Final_Sans_VGE[[#This Row],[date_modif]],
      "Ancien",
      "Modifié"),
   "Nouveau")),"")</f>
        <v/>
      </c>
    </row>
    <row r="8293" spans="24:30" x14ac:dyDescent="0.25">
      <c r="X8293" s="8" t="e">
        <f>IF(Final_Sans_VGE[[#This Row],[ppn_z]]="","",IFERROR(
   IF(_xlfn.XLOOKUP(Final_Sans_VGE[[#This Row],[ppn_z]],tbl_Historique_Final[ppn_z],tbl_Historique_Final[date_modif])=Final_Sans_VGE[[#This Row],[date_modif]],
      "Ancien",
      "Modifié"),
   "Nouveau"))</f>
        <v>#VALUE!</v>
      </c>
      <c r="AD8293" s="1" t="str">
        <f>IFERROR(IF(Final_Sans_VGE[[#This Row],[ppn_z]]="","",IFERROR(
   IF(_xlfn.XLOOKUP(Final_Sans_VGE[[#This Row],[ppn_z]],tbl_Historique_Final[[#This Row],[ppn_z]],tbl_Historique_Final[[#This Row],[date_modif]])=Final_Sans_VGE[[#This Row],[date_modif]],
      "Ancien",
      "Modifié"),
   "Nouveau")),"")</f>
        <v/>
      </c>
    </row>
    <row r="8294" spans="24:30" x14ac:dyDescent="0.25">
      <c r="X8294" s="8" t="e">
        <f>IF(Final_Sans_VGE[[#This Row],[ppn_z]]="","",IFERROR(
   IF(_xlfn.XLOOKUP(Final_Sans_VGE[[#This Row],[ppn_z]],tbl_Historique_Final[ppn_z],tbl_Historique_Final[date_modif])=Final_Sans_VGE[[#This Row],[date_modif]],
      "Ancien",
      "Modifié"),
   "Nouveau"))</f>
        <v>#VALUE!</v>
      </c>
      <c r="AD8294" s="1" t="str">
        <f>IFERROR(IF(Final_Sans_VGE[[#This Row],[ppn_z]]="","",IFERROR(
   IF(_xlfn.XLOOKUP(Final_Sans_VGE[[#This Row],[ppn_z]],tbl_Historique_Final[[#This Row],[ppn_z]],tbl_Historique_Final[[#This Row],[date_modif]])=Final_Sans_VGE[[#This Row],[date_modif]],
      "Ancien",
      "Modifié"),
   "Nouveau")),"")</f>
        <v/>
      </c>
    </row>
    <row r="8295" spans="24:30" x14ac:dyDescent="0.25">
      <c r="X8295" s="8" t="e">
        <f>IF(Final_Sans_VGE[[#This Row],[ppn_z]]="","",IFERROR(
   IF(_xlfn.XLOOKUP(Final_Sans_VGE[[#This Row],[ppn_z]],tbl_Historique_Final[ppn_z],tbl_Historique_Final[date_modif])=Final_Sans_VGE[[#This Row],[date_modif]],
      "Ancien",
      "Modifié"),
   "Nouveau"))</f>
        <v>#VALUE!</v>
      </c>
      <c r="AD8295" s="1" t="str">
        <f>IFERROR(IF(Final_Sans_VGE[[#This Row],[ppn_z]]="","",IFERROR(
   IF(_xlfn.XLOOKUP(Final_Sans_VGE[[#This Row],[ppn_z]],tbl_Historique_Final[[#This Row],[ppn_z]],tbl_Historique_Final[[#This Row],[date_modif]])=Final_Sans_VGE[[#This Row],[date_modif]],
      "Ancien",
      "Modifié"),
   "Nouveau")),"")</f>
        <v/>
      </c>
    </row>
    <row r="8296" spans="24:30" x14ac:dyDescent="0.25">
      <c r="X8296" s="8" t="e">
        <f>IF(Final_Sans_VGE[[#This Row],[ppn_z]]="","",IFERROR(
   IF(_xlfn.XLOOKUP(Final_Sans_VGE[[#This Row],[ppn_z]],tbl_Historique_Final[ppn_z],tbl_Historique_Final[date_modif])=Final_Sans_VGE[[#This Row],[date_modif]],
      "Ancien",
      "Modifié"),
   "Nouveau"))</f>
        <v>#VALUE!</v>
      </c>
      <c r="AD8296" s="1" t="str">
        <f>IFERROR(IF(Final_Sans_VGE[[#This Row],[ppn_z]]="","",IFERROR(
   IF(_xlfn.XLOOKUP(Final_Sans_VGE[[#This Row],[ppn_z]],tbl_Historique_Final[[#This Row],[ppn_z]],tbl_Historique_Final[[#This Row],[date_modif]])=Final_Sans_VGE[[#This Row],[date_modif]],
      "Ancien",
      "Modifié"),
   "Nouveau")),"")</f>
        <v/>
      </c>
    </row>
    <row r="8297" spans="24:30" x14ac:dyDescent="0.25">
      <c r="X8297" s="8" t="e">
        <f>IF(Final_Sans_VGE[[#This Row],[ppn_z]]="","",IFERROR(
   IF(_xlfn.XLOOKUP(Final_Sans_VGE[[#This Row],[ppn_z]],tbl_Historique_Final[ppn_z],tbl_Historique_Final[date_modif])=Final_Sans_VGE[[#This Row],[date_modif]],
      "Ancien",
      "Modifié"),
   "Nouveau"))</f>
        <v>#VALUE!</v>
      </c>
      <c r="AD8297" s="1" t="str">
        <f>IFERROR(IF(Final_Sans_VGE[[#This Row],[ppn_z]]="","",IFERROR(
   IF(_xlfn.XLOOKUP(Final_Sans_VGE[[#This Row],[ppn_z]],tbl_Historique_Final[[#This Row],[ppn_z]],tbl_Historique_Final[[#This Row],[date_modif]])=Final_Sans_VGE[[#This Row],[date_modif]],
      "Ancien",
      "Modifié"),
   "Nouveau")),"")</f>
        <v/>
      </c>
    </row>
    <row r="8298" spans="24:30" x14ac:dyDescent="0.25">
      <c r="X8298" s="8" t="e">
        <f>IF(Final_Sans_VGE[[#This Row],[ppn_z]]="","",IFERROR(
   IF(_xlfn.XLOOKUP(Final_Sans_VGE[[#This Row],[ppn_z]],tbl_Historique_Final[ppn_z],tbl_Historique_Final[date_modif])=Final_Sans_VGE[[#This Row],[date_modif]],
      "Ancien",
      "Modifié"),
   "Nouveau"))</f>
        <v>#VALUE!</v>
      </c>
      <c r="AD8298" s="1" t="str">
        <f>IFERROR(IF(Final_Sans_VGE[[#This Row],[ppn_z]]="","",IFERROR(
   IF(_xlfn.XLOOKUP(Final_Sans_VGE[[#This Row],[ppn_z]],tbl_Historique_Final[[#This Row],[ppn_z]],tbl_Historique_Final[[#This Row],[date_modif]])=Final_Sans_VGE[[#This Row],[date_modif]],
      "Ancien",
      "Modifié"),
   "Nouveau")),"")</f>
        <v/>
      </c>
    </row>
    <row r="8299" spans="24:30" x14ac:dyDescent="0.25">
      <c r="X8299" s="8" t="e">
        <f>IF(Final_Sans_VGE[[#This Row],[ppn_z]]="","",IFERROR(
   IF(_xlfn.XLOOKUP(Final_Sans_VGE[[#This Row],[ppn_z]],tbl_Historique_Final[ppn_z],tbl_Historique_Final[date_modif])=Final_Sans_VGE[[#This Row],[date_modif]],
      "Ancien",
      "Modifié"),
   "Nouveau"))</f>
        <v>#VALUE!</v>
      </c>
      <c r="AD8299" s="1" t="str">
        <f>IFERROR(IF(Final_Sans_VGE[[#This Row],[ppn_z]]="","",IFERROR(
   IF(_xlfn.XLOOKUP(Final_Sans_VGE[[#This Row],[ppn_z]],tbl_Historique_Final[[#This Row],[ppn_z]],tbl_Historique_Final[[#This Row],[date_modif]])=Final_Sans_VGE[[#This Row],[date_modif]],
      "Ancien",
      "Modifié"),
   "Nouveau")),"")</f>
        <v/>
      </c>
    </row>
    <row r="8300" spans="24:30" x14ac:dyDescent="0.25">
      <c r="X8300" s="8" t="e">
        <f>IF(Final_Sans_VGE[[#This Row],[ppn_z]]="","",IFERROR(
   IF(_xlfn.XLOOKUP(Final_Sans_VGE[[#This Row],[ppn_z]],tbl_Historique_Final[ppn_z],tbl_Historique_Final[date_modif])=Final_Sans_VGE[[#This Row],[date_modif]],
      "Ancien",
      "Modifié"),
   "Nouveau"))</f>
        <v>#VALUE!</v>
      </c>
      <c r="AD8300" s="1" t="str">
        <f>IFERROR(IF(Final_Sans_VGE[[#This Row],[ppn_z]]="","",IFERROR(
   IF(_xlfn.XLOOKUP(Final_Sans_VGE[[#This Row],[ppn_z]],tbl_Historique_Final[[#This Row],[ppn_z]],tbl_Historique_Final[[#This Row],[date_modif]])=Final_Sans_VGE[[#This Row],[date_modif]],
      "Ancien",
      "Modifié"),
   "Nouveau")),"")</f>
        <v/>
      </c>
    </row>
    <row r="8301" spans="24:30" x14ac:dyDescent="0.25">
      <c r="X8301" s="8" t="e">
        <f>IF(Final_Sans_VGE[[#This Row],[ppn_z]]="","",IFERROR(
   IF(_xlfn.XLOOKUP(Final_Sans_VGE[[#This Row],[ppn_z]],tbl_Historique_Final[ppn_z],tbl_Historique_Final[date_modif])=Final_Sans_VGE[[#This Row],[date_modif]],
      "Ancien",
      "Modifié"),
   "Nouveau"))</f>
        <v>#VALUE!</v>
      </c>
      <c r="AD8301" s="1" t="str">
        <f>IFERROR(IF(Final_Sans_VGE[[#This Row],[ppn_z]]="","",IFERROR(
   IF(_xlfn.XLOOKUP(Final_Sans_VGE[[#This Row],[ppn_z]],tbl_Historique_Final[[#This Row],[ppn_z]],tbl_Historique_Final[[#This Row],[date_modif]])=Final_Sans_VGE[[#This Row],[date_modif]],
      "Ancien",
      "Modifié"),
   "Nouveau")),"")</f>
        <v/>
      </c>
    </row>
    <row r="8302" spans="24:30" x14ac:dyDescent="0.25">
      <c r="X8302" s="8" t="e">
        <f>IF(Final_Sans_VGE[[#This Row],[ppn_z]]="","",IFERROR(
   IF(_xlfn.XLOOKUP(Final_Sans_VGE[[#This Row],[ppn_z]],tbl_Historique_Final[ppn_z],tbl_Historique_Final[date_modif])=Final_Sans_VGE[[#This Row],[date_modif]],
      "Ancien",
      "Modifié"),
   "Nouveau"))</f>
        <v>#VALUE!</v>
      </c>
      <c r="AD8302" s="1" t="str">
        <f>IFERROR(IF(Final_Sans_VGE[[#This Row],[ppn_z]]="","",IFERROR(
   IF(_xlfn.XLOOKUP(Final_Sans_VGE[[#This Row],[ppn_z]],tbl_Historique_Final[[#This Row],[ppn_z]],tbl_Historique_Final[[#This Row],[date_modif]])=Final_Sans_VGE[[#This Row],[date_modif]],
      "Ancien",
      "Modifié"),
   "Nouveau")),"")</f>
        <v/>
      </c>
    </row>
    <row r="8303" spans="24:30" x14ac:dyDescent="0.25">
      <c r="X8303" s="8" t="e">
        <f>IF(Final_Sans_VGE[[#This Row],[ppn_z]]="","",IFERROR(
   IF(_xlfn.XLOOKUP(Final_Sans_VGE[[#This Row],[ppn_z]],tbl_Historique_Final[ppn_z],tbl_Historique_Final[date_modif])=Final_Sans_VGE[[#This Row],[date_modif]],
      "Ancien",
      "Modifié"),
   "Nouveau"))</f>
        <v>#VALUE!</v>
      </c>
      <c r="AD8303" s="1" t="str">
        <f>IFERROR(IF(Final_Sans_VGE[[#This Row],[ppn_z]]="","",IFERROR(
   IF(_xlfn.XLOOKUP(Final_Sans_VGE[[#This Row],[ppn_z]],tbl_Historique_Final[[#This Row],[ppn_z]],tbl_Historique_Final[[#This Row],[date_modif]])=Final_Sans_VGE[[#This Row],[date_modif]],
      "Ancien",
      "Modifié"),
   "Nouveau")),"")</f>
        <v/>
      </c>
    </row>
    <row r="8304" spans="24:30" x14ac:dyDescent="0.25">
      <c r="X8304" s="8" t="e">
        <f>IF(Final_Sans_VGE[[#This Row],[ppn_z]]="","",IFERROR(
   IF(_xlfn.XLOOKUP(Final_Sans_VGE[[#This Row],[ppn_z]],tbl_Historique_Final[ppn_z],tbl_Historique_Final[date_modif])=Final_Sans_VGE[[#This Row],[date_modif]],
      "Ancien",
      "Modifié"),
   "Nouveau"))</f>
        <v>#VALUE!</v>
      </c>
      <c r="AD8304" s="1" t="str">
        <f>IFERROR(IF(Final_Sans_VGE[[#This Row],[ppn_z]]="","",IFERROR(
   IF(_xlfn.XLOOKUP(Final_Sans_VGE[[#This Row],[ppn_z]],tbl_Historique_Final[[#This Row],[ppn_z]],tbl_Historique_Final[[#This Row],[date_modif]])=Final_Sans_VGE[[#This Row],[date_modif]],
      "Ancien",
      "Modifié"),
   "Nouveau")),"")</f>
        <v/>
      </c>
    </row>
    <row r="8305" spans="24:30" x14ac:dyDescent="0.25">
      <c r="X8305" s="8" t="e">
        <f>IF(Final_Sans_VGE[[#This Row],[ppn_z]]="","",IFERROR(
   IF(_xlfn.XLOOKUP(Final_Sans_VGE[[#This Row],[ppn_z]],tbl_Historique_Final[ppn_z],tbl_Historique_Final[date_modif])=Final_Sans_VGE[[#This Row],[date_modif]],
      "Ancien",
      "Modifié"),
   "Nouveau"))</f>
        <v>#VALUE!</v>
      </c>
      <c r="AD8305" s="1" t="str">
        <f>IFERROR(IF(Final_Sans_VGE[[#This Row],[ppn_z]]="","",IFERROR(
   IF(_xlfn.XLOOKUP(Final_Sans_VGE[[#This Row],[ppn_z]],tbl_Historique_Final[[#This Row],[ppn_z]],tbl_Historique_Final[[#This Row],[date_modif]])=Final_Sans_VGE[[#This Row],[date_modif]],
      "Ancien",
      "Modifié"),
   "Nouveau")),"")</f>
        <v/>
      </c>
    </row>
    <row r="8306" spans="24:30" x14ac:dyDescent="0.25">
      <c r="X8306" s="8" t="e">
        <f>IF(Final_Sans_VGE[[#This Row],[ppn_z]]="","",IFERROR(
   IF(_xlfn.XLOOKUP(Final_Sans_VGE[[#This Row],[ppn_z]],tbl_Historique_Final[ppn_z],tbl_Historique_Final[date_modif])=Final_Sans_VGE[[#This Row],[date_modif]],
      "Ancien",
      "Modifié"),
   "Nouveau"))</f>
        <v>#VALUE!</v>
      </c>
      <c r="AD8306" s="1" t="str">
        <f>IFERROR(IF(Final_Sans_VGE[[#This Row],[ppn_z]]="","",IFERROR(
   IF(_xlfn.XLOOKUP(Final_Sans_VGE[[#This Row],[ppn_z]],tbl_Historique_Final[[#This Row],[ppn_z]],tbl_Historique_Final[[#This Row],[date_modif]])=Final_Sans_VGE[[#This Row],[date_modif]],
      "Ancien",
      "Modifié"),
   "Nouveau")),"")</f>
        <v/>
      </c>
    </row>
    <row r="8307" spans="24:30" x14ac:dyDescent="0.25">
      <c r="X8307" s="8" t="e">
        <f>IF(Final_Sans_VGE[[#This Row],[ppn_z]]="","",IFERROR(
   IF(_xlfn.XLOOKUP(Final_Sans_VGE[[#This Row],[ppn_z]],tbl_Historique_Final[ppn_z],tbl_Historique_Final[date_modif])=Final_Sans_VGE[[#This Row],[date_modif]],
      "Ancien",
      "Modifié"),
   "Nouveau"))</f>
        <v>#VALUE!</v>
      </c>
      <c r="AD8307" s="1" t="str">
        <f>IFERROR(IF(Final_Sans_VGE[[#This Row],[ppn_z]]="","",IFERROR(
   IF(_xlfn.XLOOKUP(Final_Sans_VGE[[#This Row],[ppn_z]],tbl_Historique_Final[[#This Row],[ppn_z]],tbl_Historique_Final[[#This Row],[date_modif]])=Final_Sans_VGE[[#This Row],[date_modif]],
      "Ancien",
      "Modifié"),
   "Nouveau")),"")</f>
        <v/>
      </c>
    </row>
    <row r="8308" spans="24:30" x14ac:dyDescent="0.25">
      <c r="X8308" s="8" t="e">
        <f>IF(Final_Sans_VGE[[#This Row],[ppn_z]]="","",IFERROR(
   IF(_xlfn.XLOOKUP(Final_Sans_VGE[[#This Row],[ppn_z]],tbl_Historique_Final[ppn_z],tbl_Historique_Final[date_modif])=Final_Sans_VGE[[#This Row],[date_modif]],
      "Ancien",
      "Modifié"),
   "Nouveau"))</f>
        <v>#VALUE!</v>
      </c>
      <c r="AD8308" s="1" t="str">
        <f>IFERROR(IF(Final_Sans_VGE[[#This Row],[ppn_z]]="","",IFERROR(
   IF(_xlfn.XLOOKUP(Final_Sans_VGE[[#This Row],[ppn_z]],tbl_Historique_Final[[#This Row],[ppn_z]],tbl_Historique_Final[[#This Row],[date_modif]])=Final_Sans_VGE[[#This Row],[date_modif]],
      "Ancien",
      "Modifié"),
   "Nouveau")),"")</f>
        <v/>
      </c>
    </row>
    <row r="8309" spans="24:30" x14ac:dyDescent="0.25">
      <c r="X8309" s="8" t="e">
        <f>IF(Final_Sans_VGE[[#This Row],[ppn_z]]="","",IFERROR(
   IF(_xlfn.XLOOKUP(Final_Sans_VGE[[#This Row],[ppn_z]],tbl_Historique_Final[ppn_z],tbl_Historique_Final[date_modif])=Final_Sans_VGE[[#This Row],[date_modif]],
      "Ancien",
      "Modifié"),
   "Nouveau"))</f>
        <v>#VALUE!</v>
      </c>
      <c r="AD8309" s="1" t="str">
        <f>IFERROR(IF(Final_Sans_VGE[[#This Row],[ppn_z]]="","",IFERROR(
   IF(_xlfn.XLOOKUP(Final_Sans_VGE[[#This Row],[ppn_z]],tbl_Historique_Final[[#This Row],[ppn_z]],tbl_Historique_Final[[#This Row],[date_modif]])=Final_Sans_VGE[[#This Row],[date_modif]],
      "Ancien",
      "Modifié"),
   "Nouveau")),"")</f>
        <v/>
      </c>
    </row>
    <row r="8310" spans="24:30" x14ac:dyDescent="0.25">
      <c r="X8310" s="8" t="e">
        <f>IF(Final_Sans_VGE[[#This Row],[ppn_z]]="","",IFERROR(
   IF(_xlfn.XLOOKUP(Final_Sans_VGE[[#This Row],[ppn_z]],tbl_Historique_Final[ppn_z],tbl_Historique_Final[date_modif])=Final_Sans_VGE[[#This Row],[date_modif]],
      "Ancien",
      "Modifié"),
   "Nouveau"))</f>
        <v>#VALUE!</v>
      </c>
      <c r="AD8310" s="1" t="str">
        <f>IFERROR(IF(Final_Sans_VGE[[#This Row],[ppn_z]]="","",IFERROR(
   IF(_xlfn.XLOOKUP(Final_Sans_VGE[[#This Row],[ppn_z]],tbl_Historique_Final[[#This Row],[ppn_z]],tbl_Historique_Final[[#This Row],[date_modif]])=Final_Sans_VGE[[#This Row],[date_modif]],
      "Ancien",
      "Modifié"),
   "Nouveau")),"")</f>
        <v/>
      </c>
    </row>
    <row r="8311" spans="24:30" x14ac:dyDescent="0.25">
      <c r="X8311" s="8" t="e">
        <f>IF(Final_Sans_VGE[[#This Row],[ppn_z]]="","",IFERROR(
   IF(_xlfn.XLOOKUP(Final_Sans_VGE[[#This Row],[ppn_z]],tbl_Historique_Final[ppn_z],tbl_Historique_Final[date_modif])=Final_Sans_VGE[[#This Row],[date_modif]],
      "Ancien",
      "Modifié"),
   "Nouveau"))</f>
        <v>#VALUE!</v>
      </c>
      <c r="AD8311" s="1" t="str">
        <f>IFERROR(IF(Final_Sans_VGE[[#This Row],[ppn_z]]="","",IFERROR(
   IF(_xlfn.XLOOKUP(Final_Sans_VGE[[#This Row],[ppn_z]],tbl_Historique_Final[[#This Row],[ppn_z]],tbl_Historique_Final[[#This Row],[date_modif]])=Final_Sans_VGE[[#This Row],[date_modif]],
      "Ancien",
      "Modifié"),
   "Nouveau")),"")</f>
        <v/>
      </c>
    </row>
    <row r="8312" spans="24:30" x14ac:dyDescent="0.25">
      <c r="X8312" s="8" t="e">
        <f>IF(Final_Sans_VGE[[#This Row],[ppn_z]]="","",IFERROR(
   IF(_xlfn.XLOOKUP(Final_Sans_VGE[[#This Row],[ppn_z]],tbl_Historique_Final[ppn_z],tbl_Historique_Final[date_modif])=Final_Sans_VGE[[#This Row],[date_modif]],
      "Ancien",
      "Modifié"),
   "Nouveau"))</f>
        <v>#VALUE!</v>
      </c>
      <c r="AD8312" s="1" t="str">
        <f>IFERROR(IF(Final_Sans_VGE[[#This Row],[ppn_z]]="","",IFERROR(
   IF(_xlfn.XLOOKUP(Final_Sans_VGE[[#This Row],[ppn_z]],tbl_Historique_Final[[#This Row],[ppn_z]],tbl_Historique_Final[[#This Row],[date_modif]])=Final_Sans_VGE[[#This Row],[date_modif]],
      "Ancien",
      "Modifié"),
   "Nouveau")),"")</f>
        <v/>
      </c>
    </row>
    <row r="8313" spans="24:30" x14ac:dyDescent="0.25">
      <c r="X8313" s="8" t="e">
        <f>IF(Final_Sans_VGE[[#This Row],[ppn_z]]="","",IFERROR(
   IF(_xlfn.XLOOKUP(Final_Sans_VGE[[#This Row],[ppn_z]],tbl_Historique_Final[ppn_z],tbl_Historique_Final[date_modif])=Final_Sans_VGE[[#This Row],[date_modif]],
      "Ancien",
      "Modifié"),
   "Nouveau"))</f>
        <v>#VALUE!</v>
      </c>
      <c r="AD8313" s="1" t="str">
        <f>IFERROR(IF(Final_Sans_VGE[[#This Row],[ppn_z]]="","",IFERROR(
   IF(_xlfn.XLOOKUP(Final_Sans_VGE[[#This Row],[ppn_z]],tbl_Historique_Final[[#This Row],[ppn_z]],tbl_Historique_Final[[#This Row],[date_modif]])=Final_Sans_VGE[[#This Row],[date_modif]],
      "Ancien",
      "Modifié"),
   "Nouveau")),"")</f>
        <v/>
      </c>
    </row>
    <row r="8314" spans="24:30" x14ac:dyDescent="0.25">
      <c r="X8314" s="8" t="e">
        <f>IF(Final_Sans_VGE[[#This Row],[ppn_z]]="","",IFERROR(
   IF(_xlfn.XLOOKUP(Final_Sans_VGE[[#This Row],[ppn_z]],tbl_Historique_Final[ppn_z],tbl_Historique_Final[date_modif])=Final_Sans_VGE[[#This Row],[date_modif]],
      "Ancien",
      "Modifié"),
   "Nouveau"))</f>
        <v>#VALUE!</v>
      </c>
      <c r="AD8314" s="1" t="str">
        <f>IFERROR(IF(Final_Sans_VGE[[#This Row],[ppn_z]]="","",IFERROR(
   IF(_xlfn.XLOOKUP(Final_Sans_VGE[[#This Row],[ppn_z]],tbl_Historique_Final[[#This Row],[ppn_z]],tbl_Historique_Final[[#This Row],[date_modif]])=Final_Sans_VGE[[#This Row],[date_modif]],
      "Ancien",
      "Modifié"),
   "Nouveau")),"")</f>
        <v/>
      </c>
    </row>
    <row r="8315" spans="24:30" x14ac:dyDescent="0.25">
      <c r="X8315" s="8" t="e">
        <f>IF(Final_Sans_VGE[[#This Row],[ppn_z]]="","",IFERROR(
   IF(_xlfn.XLOOKUP(Final_Sans_VGE[[#This Row],[ppn_z]],tbl_Historique_Final[ppn_z],tbl_Historique_Final[date_modif])=Final_Sans_VGE[[#This Row],[date_modif]],
      "Ancien",
      "Modifié"),
   "Nouveau"))</f>
        <v>#VALUE!</v>
      </c>
      <c r="AD8315" s="1" t="str">
        <f>IFERROR(IF(Final_Sans_VGE[[#This Row],[ppn_z]]="","",IFERROR(
   IF(_xlfn.XLOOKUP(Final_Sans_VGE[[#This Row],[ppn_z]],tbl_Historique_Final[[#This Row],[ppn_z]],tbl_Historique_Final[[#This Row],[date_modif]])=Final_Sans_VGE[[#This Row],[date_modif]],
      "Ancien",
      "Modifié"),
   "Nouveau")),"")</f>
        <v/>
      </c>
    </row>
    <row r="8316" spans="24:30" x14ac:dyDescent="0.25">
      <c r="X8316" s="8" t="e">
        <f>IF(Final_Sans_VGE[[#This Row],[ppn_z]]="","",IFERROR(
   IF(_xlfn.XLOOKUP(Final_Sans_VGE[[#This Row],[ppn_z]],tbl_Historique_Final[ppn_z],tbl_Historique_Final[date_modif])=Final_Sans_VGE[[#This Row],[date_modif]],
      "Ancien",
      "Modifié"),
   "Nouveau"))</f>
        <v>#VALUE!</v>
      </c>
      <c r="AD8316" s="1" t="str">
        <f>IFERROR(IF(Final_Sans_VGE[[#This Row],[ppn_z]]="","",IFERROR(
   IF(_xlfn.XLOOKUP(Final_Sans_VGE[[#This Row],[ppn_z]],tbl_Historique_Final[[#This Row],[ppn_z]],tbl_Historique_Final[[#This Row],[date_modif]])=Final_Sans_VGE[[#This Row],[date_modif]],
      "Ancien",
      "Modifié"),
   "Nouveau")),"")</f>
        <v/>
      </c>
    </row>
    <row r="8317" spans="24:30" x14ac:dyDescent="0.25">
      <c r="X8317" s="8" t="e">
        <f>IF(Final_Sans_VGE[[#This Row],[ppn_z]]="","",IFERROR(
   IF(_xlfn.XLOOKUP(Final_Sans_VGE[[#This Row],[ppn_z]],tbl_Historique_Final[ppn_z],tbl_Historique_Final[date_modif])=Final_Sans_VGE[[#This Row],[date_modif]],
      "Ancien",
      "Modifié"),
   "Nouveau"))</f>
        <v>#VALUE!</v>
      </c>
      <c r="AD8317" s="1" t="str">
        <f>IFERROR(IF(Final_Sans_VGE[[#This Row],[ppn_z]]="","",IFERROR(
   IF(_xlfn.XLOOKUP(Final_Sans_VGE[[#This Row],[ppn_z]],tbl_Historique_Final[[#This Row],[ppn_z]],tbl_Historique_Final[[#This Row],[date_modif]])=Final_Sans_VGE[[#This Row],[date_modif]],
      "Ancien",
      "Modifié"),
   "Nouveau")),"")</f>
        <v/>
      </c>
    </row>
    <row r="8318" spans="24:30" x14ac:dyDescent="0.25">
      <c r="X8318" s="8" t="e">
        <f>IF(Final_Sans_VGE[[#This Row],[ppn_z]]="","",IFERROR(
   IF(_xlfn.XLOOKUP(Final_Sans_VGE[[#This Row],[ppn_z]],tbl_Historique_Final[ppn_z],tbl_Historique_Final[date_modif])=Final_Sans_VGE[[#This Row],[date_modif]],
      "Ancien",
      "Modifié"),
   "Nouveau"))</f>
        <v>#VALUE!</v>
      </c>
      <c r="AD8318" s="1" t="str">
        <f>IFERROR(IF(Final_Sans_VGE[[#This Row],[ppn_z]]="","",IFERROR(
   IF(_xlfn.XLOOKUP(Final_Sans_VGE[[#This Row],[ppn_z]],tbl_Historique_Final[[#This Row],[ppn_z]],tbl_Historique_Final[[#This Row],[date_modif]])=Final_Sans_VGE[[#This Row],[date_modif]],
      "Ancien",
      "Modifié"),
   "Nouveau")),"")</f>
        <v/>
      </c>
    </row>
    <row r="8319" spans="24:30" x14ac:dyDescent="0.25">
      <c r="X8319" s="8" t="e">
        <f>IF(Final_Sans_VGE[[#This Row],[ppn_z]]="","",IFERROR(
   IF(_xlfn.XLOOKUP(Final_Sans_VGE[[#This Row],[ppn_z]],tbl_Historique_Final[ppn_z],tbl_Historique_Final[date_modif])=Final_Sans_VGE[[#This Row],[date_modif]],
      "Ancien",
      "Modifié"),
   "Nouveau"))</f>
        <v>#VALUE!</v>
      </c>
      <c r="AD8319" s="1" t="str">
        <f>IFERROR(IF(Final_Sans_VGE[[#This Row],[ppn_z]]="","",IFERROR(
   IF(_xlfn.XLOOKUP(Final_Sans_VGE[[#This Row],[ppn_z]],tbl_Historique_Final[[#This Row],[ppn_z]],tbl_Historique_Final[[#This Row],[date_modif]])=Final_Sans_VGE[[#This Row],[date_modif]],
      "Ancien",
      "Modifié"),
   "Nouveau")),"")</f>
        <v/>
      </c>
    </row>
    <row r="8320" spans="24:30" x14ac:dyDescent="0.25">
      <c r="X8320" s="8" t="e">
        <f>IF(Final_Sans_VGE[[#This Row],[ppn_z]]="","",IFERROR(
   IF(_xlfn.XLOOKUP(Final_Sans_VGE[[#This Row],[ppn_z]],tbl_Historique_Final[ppn_z],tbl_Historique_Final[date_modif])=Final_Sans_VGE[[#This Row],[date_modif]],
      "Ancien",
      "Modifié"),
   "Nouveau"))</f>
        <v>#VALUE!</v>
      </c>
      <c r="AD8320" s="1" t="str">
        <f>IFERROR(IF(Final_Sans_VGE[[#This Row],[ppn_z]]="","",IFERROR(
   IF(_xlfn.XLOOKUP(Final_Sans_VGE[[#This Row],[ppn_z]],tbl_Historique_Final[[#This Row],[ppn_z]],tbl_Historique_Final[[#This Row],[date_modif]])=Final_Sans_VGE[[#This Row],[date_modif]],
      "Ancien",
      "Modifié"),
   "Nouveau")),"")</f>
        <v/>
      </c>
    </row>
    <row r="8321" spans="24:30" x14ac:dyDescent="0.25">
      <c r="X8321" s="8" t="e">
        <f>IF(Final_Sans_VGE[[#This Row],[ppn_z]]="","",IFERROR(
   IF(_xlfn.XLOOKUP(Final_Sans_VGE[[#This Row],[ppn_z]],tbl_Historique_Final[ppn_z],tbl_Historique_Final[date_modif])=Final_Sans_VGE[[#This Row],[date_modif]],
      "Ancien",
      "Modifié"),
   "Nouveau"))</f>
        <v>#VALUE!</v>
      </c>
      <c r="AD8321" s="1" t="str">
        <f>IFERROR(IF(Final_Sans_VGE[[#This Row],[ppn_z]]="","",IFERROR(
   IF(_xlfn.XLOOKUP(Final_Sans_VGE[[#This Row],[ppn_z]],tbl_Historique_Final[[#This Row],[ppn_z]],tbl_Historique_Final[[#This Row],[date_modif]])=Final_Sans_VGE[[#This Row],[date_modif]],
      "Ancien",
      "Modifié"),
   "Nouveau")),"")</f>
        <v/>
      </c>
    </row>
    <row r="8322" spans="24:30" x14ac:dyDescent="0.25">
      <c r="X8322" s="8" t="e">
        <f>IF(Final_Sans_VGE[[#This Row],[ppn_z]]="","",IFERROR(
   IF(_xlfn.XLOOKUP(Final_Sans_VGE[[#This Row],[ppn_z]],tbl_Historique_Final[ppn_z],tbl_Historique_Final[date_modif])=Final_Sans_VGE[[#This Row],[date_modif]],
      "Ancien",
      "Modifié"),
   "Nouveau"))</f>
        <v>#VALUE!</v>
      </c>
      <c r="AD8322" s="1" t="str">
        <f>IFERROR(IF(Final_Sans_VGE[[#This Row],[ppn_z]]="","",IFERROR(
   IF(_xlfn.XLOOKUP(Final_Sans_VGE[[#This Row],[ppn_z]],tbl_Historique_Final[[#This Row],[ppn_z]],tbl_Historique_Final[[#This Row],[date_modif]])=Final_Sans_VGE[[#This Row],[date_modif]],
      "Ancien",
      "Modifié"),
   "Nouveau")),"")</f>
        <v/>
      </c>
    </row>
    <row r="8323" spans="24:30" x14ac:dyDescent="0.25">
      <c r="X8323" s="8" t="e">
        <f>IF(Final_Sans_VGE[[#This Row],[ppn_z]]="","",IFERROR(
   IF(_xlfn.XLOOKUP(Final_Sans_VGE[[#This Row],[ppn_z]],tbl_Historique_Final[ppn_z],tbl_Historique_Final[date_modif])=Final_Sans_VGE[[#This Row],[date_modif]],
      "Ancien",
      "Modifié"),
   "Nouveau"))</f>
        <v>#VALUE!</v>
      </c>
      <c r="AD8323" s="1" t="str">
        <f>IFERROR(IF(Final_Sans_VGE[[#This Row],[ppn_z]]="","",IFERROR(
   IF(_xlfn.XLOOKUP(Final_Sans_VGE[[#This Row],[ppn_z]],tbl_Historique_Final[[#This Row],[ppn_z]],tbl_Historique_Final[[#This Row],[date_modif]])=Final_Sans_VGE[[#This Row],[date_modif]],
      "Ancien",
      "Modifié"),
   "Nouveau")),"")</f>
        <v/>
      </c>
    </row>
    <row r="8324" spans="24:30" x14ac:dyDescent="0.25">
      <c r="X8324" s="8" t="e">
        <f>IF(Final_Sans_VGE[[#This Row],[ppn_z]]="","",IFERROR(
   IF(_xlfn.XLOOKUP(Final_Sans_VGE[[#This Row],[ppn_z]],tbl_Historique_Final[ppn_z],tbl_Historique_Final[date_modif])=Final_Sans_VGE[[#This Row],[date_modif]],
      "Ancien",
      "Modifié"),
   "Nouveau"))</f>
        <v>#VALUE!</v>
      </c>
      <c r="AD8324" s="1" t="str">
        <f>IFERROR(IF(Final_Sans_VGE[[#This Row],[ppn_z]]="","",IFERROR(
   IF(_xlfn.XLOOKUP(Final_Sans_VGE[[#This Row],[ppn_z]],tbl_Historique_Final[[#This Row],[ppn_z]],tbl_Historique_Final[[#This Row],[date_modif]])=Final_Sans_VGE[[#This Row],[date_modif]],
      "Ancien",
      "Modifié"),
   "Nouveau")),"")</f>
        <v/>
      </c>
    </row>
    <row r="8325" spans="24:30" x14ac:dyDescent="0.25">
      <c r="X8325" s="8" t="e">
        <f>IF(Final_Sans_VGE[[#This Row],[ppn_z]]="","",IFERROR(
   IF(_xlfn.XLOOKUP(Final_Sans_VGE[[#This Row],[ppn_z]],tbl_Historique_Final[ppn_z],tbl_Historique_Final[date_modif])=Final_Sans_VGE[[#This Row],[date_modif]],
      "Ancien",
      "Modifié"),
   "Nouveau"))</f>
        <v>#VALUE!</v>
      </c>
      <c r="AD8325" s="1" t="str">
        <f>IFERROR(IF(Final_Sans_VGE[[#This Row],[ppn_z]]="","",IFERROR(
   IF(_xlfn.XLOOKUP(Final_Sans_VGE[[#This Row],[ppn_z]],tbl_Historique_Final[[#This Row],[ppn_z]],tbl_Historique_Final[[#This Row],[date_modif]])=Final_Sans_VGE[[#This Row],[date_modif]],
      "Ancien",
      "Modifié"),
   "Nouveau")),"")</f>
        <v/>
      </c>
    </row>
    <row r="8326" spans="24:30" x14ac:dyDescent="0.25">
      <c r="X8326" s="8" t="e">
        <f>IF(Final_Sans_VGE[[#This Row],[ppn_z]]="","",IFERROR(
   IF(_xlfn.XLOOKUP(Final_Sans_VGE[[#This Row],[ppn_z]],tbl_Historique_Final[ppn_z],tbl_Historique_Final[date_modif])=Final_Sans_VGE[[#This Row],[date_modif]],
      "Ancien",
      "Modifié"),
   "Nouveau"))</f>
        <v>#VALUE!</v>
      </c>
      <c r="AD8326" s="1" t="str">
        <f>IFERROR(IF(Final_Sans_VGE[[#This Row],[ppn_z]]="","",IFERROR(
   IF(_xlfn.XLOOKUP(Final_Sans_VGE[[#This Row],[ppn_z]],tbl_Historique_Final[[#This Row],[ppn_z]],tbl_Historique_Final[[#This Row],[date_modif]])=Final_Sans_VGE[[#This Row],[date_modif]],
      "Ancien",
      "Modifié"),
   "Nouveau")),"")</f>
        <v/>
      </c>
    </row>
    <row r="8327" spans="24:30" x14ac:dyDescent="0.25">
      <c r="X8327" s="8" t="e">
        <f>IF(Final_Sans_VGE[[#This Row],[ppn_z]]="","",IFERROR(
   IF(_xlfn.XLOOKUP(Final_Sans_VGE[[#This Row],[ppn_z]],tbl_Historique_Final[ppn_z],tbl_Historique_Final[date_modif])=Final_Sans_VGE[[#This Row],[date_modif]],
      "Ancien",
      "Modifié"),
   "Nouveau"))</f>
        <v>#VALUE!</v>
      </c>
      <c r="AD8327" s="1" t="str">
        <f>IFERROR(IF(Final_Sans_VGE[[#This Row],[ppn_z]]="","",IFERROR(
   IF(_xlfn.XLOOKUP(Final_Sans_VGE[[#This Row],[ppn_z]],tbl_Historique_Final[[#This Row],[ppn_z]],tbl_Historique_Final[[#This Row],[date_modif]])=Final_Sans_VGE[[#This Row],[date_modif]],
      "Ancien",
      "Modifié"),
   "Nouveau")),"")</f>
        <v/>
      </c>
    </row>
    <row r="8328" spans="24:30" x14ac:dyDescent="0.25">
      <c r="X8328" s="8" t="e">
        <f>IF(Final_Sans_VGE[[#This Row],[ppn_z]]="","",IFERROR(
   IF(_xlfn.XLOOKUP(Final_Sans_VGE[[#This Row],[ppn_z]],tbl_Historique_Final[ppn_z],tbl_Historique_Final[date_modif])=Final_Sans_VGE[[#This Row],[date_modif]],
      "Ancien",
      "Modifié"),
   "Nouveau"))</f>
        <v>#VALUE!</v>
      </c>
      <c r="AD8328" s="1" t="str">
        <f>IFERROR(IF(Final_Sans_VGE[[#This Row],[ppn_z]]="","",IFERROR(
   IF(_xlfn.XLOOKUP(Final_Sans_VGE[[#This Row],[ppn_z]],tbl_Historique_Final[[#This Row],[ppn_z]],tbl_Historique_Final[[#This Row],[date_modif]])=Final_Sans_VGE[[#This Row],[date_modif]],
      "Ancien",
      "Modifié"),
   "Nouveau")),"")</f>
        <v/>
      </c>
    </row>
    <row r="8329" spans="24:30" x14ac:dyDescent="0.25">
      <c r="X8329" s="8" t="e">
        <f>IF(Final_Sans_VGE[[#This Row],[ppn_z]]="","",IFERROR(
   IF(_xlfn.XLOOKUP(Final_Sans_VGE[[#This Row],[ppn_z]],tbl_Historique_Final[ppn_z],tbl_Historique_Final[date_modif])=Final_Sans_VGE[[#This Row],[date_modif]],
      "Ancien",
      "Modifié"),
   "Nouveau"))</f>
        <v>#VALUE!</v>
      </c>
      <c r="AD8329" s="1" t="str">
        <f>IFERROR(IF(Final_Sans_VGE[[#This Row],[ppn_z]]="","",IFERROR(
   IF(_xlfn.XLOOKUP(Final_Sans_VGE[[#This Row],[ppn_z]],tbl_Historique_Final[[#This Row],[ppn_z]],tbl_Historique_Final[[#This Row],[date_modif]])=Final_Sans_VGE[[#This Row],[date_modif]],
      "Ancien",
      "Modifié"),
   "Nouveau")),"")</f>
        <v/>
      </c>
    </row>
    <row r="8330" spans="24:30" x14ac:dyDescent="0.25">
      <c r="X8330" s="8" t="e">
        <f>IF(Final_Sans_VGE[[#This Row],[ppn_z]]="","",IFERROR(
   IF(_xlfn.XLOOKUP(Final_Sans_VGE[[#This Row],[ppn_z]],tbl_Historique_Final[ppn_z],tbl_Historique_Final[date_modif])=Final_Sans_VGE[[#This Row],[date_modif]],
      "Ancien",
      "Modifié"),
   "Nouveau"))</f>
        <v>#VALUE!</v>
      </c>
      <c r="AD8330" s="1" t="str">
        <f>IFERROR(IF(Final_Sans_VGE[[#This Row],[ppn_z]]="","",IFERROR(
   IF(_xlfn.XLOOKUP(Final_Sans_VGE[[#This Row],[ppn_z]],tbl_Historique_Final[[#This Row],[ppn_z]],tbl_Historique_Final[[#This Row],[date_modif]])=Final_Sans_VGE[[#This Row],[date_modif]],
      "Ancien",
      "Modifié"),
   "Nouveau")),"")</f>
        <v/>
      </c>
    </row>
    <row r="8331" spans="24:30" x14ac:dyDescent="0.25">
      <c r="X8331" s="8" t="e">
        <f>IF(Final_Sans_VGE[[#This Row],[ppn_z]]="","",IFERROR(
   IF(_xlfn.XLOOKUP(Final_Sans_VGE[[#This Row],[ppn_z]],tbl_Historique_Final[ppn_z],tbl_Historique_Final[date_modif])=Final_Sans_VGE[[#This Row],[date_modif]],
      "Ancien",
      "Modifié"),
   "Nouveau"))</f>
        <v>#VALUE!</v>
      </c>
      <c r="AD8331" s="1" t="str">
        <f>IFERROR(IF(Final_Sans_VGE[[#This Row],[ppn_z]]="","",IFERROR(
   IF(_xlfn.XLOOKUP(Final_Sans_VGE[[#This Row],[ppn_z]],tbl_Historique_Final[[#This Row],[ppn_z]],tbl_Historique_Final[[#This Row],[date_modif]])=Final_Sans_VGE[[#This Row],[date_modif]],
      "Ancien",
      "Modifié"),
   "Nouveau")),"")</f>
        <v/>
      </c>
    </row>
    <row r="8332" spans="24:30" x14ac:dyDescent="0.25">
      <c r="X8332" s="8" t="e">
        <f>IF(Final_Sans_VGE[[#This Row],[ppn_z]]="","",IFERROR(
   IF(_xlfn.XLOOKUP(Final_Sans_VGE[[#This Row],[ppn_z]],tbl_Historique_Final[ppn_z],tbl_Historique_Final[date_modif])=Final_Sans_VGE[[#This Row],[date_modif]],
      "Ancien",
      "Modifié"),
   "Nouveau"))</f>
        <v>#VALUE!</v>
      </c>
      <c r="AD8332" s="1" t="str">
        <f>IFERROR(IF(Final_Sans_VGE[[#This Row],[ppn_z]]="","",IFERROR(
   IF(_xlfn.XLOOKUP(Final_Sans_VGE[[#This Row],[ppn_z]],tbl_Historique_Final[[#This Row],[ppn_z]],tbl_Historique_Final[[#This Row],[date_modif]])=Final_Sans_VGE[[#This Row],[date_modif]],
      "Ancien",
      "Modifié"),
   "Nouveau")),"")</f>
        <v/>
      </c>
    </row>
    <row r="8333" spans="24:30" x14ac:dyDescent="0.25">
      <c r="X8333" s="8" t="e">
        <f>IF(Final_Sans_VGE[[#This Row],[ppn_z]]="","",IFERROR(
   IF(_xlfn.XLOOKUP(Final_Sans_VGE[[#This Row],[ppn_z]],tbl_Historique_Final[ppn_z],tbl_Historique_Final[date_modif])=Final_Sans_VGE[[#This Row],[date_modif]],
      "Ancien",
      "Modifié"),
   "Nouveau"))</f>
        <v>#VALUE!</v>
      </c>
      <c r="AD8333" s="1" t="str">
        <f>IFERROR(IF(Final_Sans_VGE[[#This Row],[ppn_z]]="","",IFERROR(
   IF(_xlfn.XLOOKUP(Final_Sans_VGE[[#This Row],[ppn_z]],tbl_Historique_Final[[#This Row],[ppn_z]],tbl_Historique_Final[[#This Row],[date_modif]])=Final_Sans_VGE[[#This Row],[date_modif]],
      "Ancien",
      "Modifié"),
   "Nouveau")),"")</f>
        <v/>
      </c>
    </row>
    <row r="8334" spans="24:30" x14ac:dyDescent="0.25">
      <c r="X8334" s="8" t="e">
        <f>IF(Final_Sans_VGE[[#This Row],[ppn_z]]="","",IFERROR(
   IF(_xlfn.XLOOKUP(Final_Sans_VGE[[#This Row],[ppn_z]],tbl_Historique_Final[ppn_z],tbl_Historique_Final[date_modif])=Final_Sans_VGE[[#This Row],[date_modif]],
      "Ancien",
      "Modifié"),
   "Nouveau"))</f>
        <v>#VALUE!</v>
      </c>
      <c r="AD8334" s="1" t="str">
        <f>IFERROR(IF(Final_Sans_VGE[[#This Row],[ppn_z]]="","",IFERROR(
   IF(_xlfn.XLOOKUP(Final_Sans_VGE[[#This Row],[ppn_z]],tbl_Historique_Final[[#This Row],[ppn_z]],tbl_Historique_Final[[#This Row],[date_modif]])=Final_Sans_VGE[[#This Row],[date_modif]],
      "Ancien",
      "Modifié"),
   "Nouveau")),"")</f>
        <v/>
      </c>
    </row>
    <row r="8335" spans="24:30" x14ac:dyDescent="0.25">
      <c r="X8335" s="8" t="e">
        <f>IF(Final_Sans_VGE[[#This Row],[ppn_z]]="","",IFERROR(
   IF(_xlfn.XLOOKUP(Final_Sans_VGE[[#This Row],[ppn_z]],tbl_Historique_Final[ppn_z],tbl_Historique_Final[date_modif])=Final_Sans_VGE[[#This Row],[date_modif]],
      "Ancien",
      "Modifié"),
   "Nouveau"))</f>
        <v>#VALUE!</v>
      </c>
      <c r="AD8335" s="1" t="str">
        <f>IFERROR(IF(Final_Sans_VGE[[#This Row],[ppn_z]]="","",IFERROR(
   IF(_xlfn.XLOOKUP(Final_Sans_VGE[[#This Row],[ppn_z]],tbl_Historique_Final[[#This Row],[ppn_z]],tbl_Historique_Final[[#This Row],[date_modif]])=Final_Sans_VGE[[#This Row],[date_modif]],
      "Ancien",
      "Modifié"),
   "Nouveau")),"")</f>
        <v/>
      </c>
    </row>
    <row r="8336" spans="24:30" x14ac:dyDescent="0.25">
      <c r="X8336" s="8" t="e">
        <f>IF(Final_Sans_VGE[[#This Row],[ppn_z]]="","",IFERROR(
   IF(_xlfn.XLOOKUP(Final_Sans_VGE[[#This Row],[ppn_z]],tbl_Historique_Final[ppn_z],tbl_Historique_Final[date_modif])=Final_Sans_VGE[[#This Row],[date_modif]],
      "Ancien",
      "Modifié"),
   "Nouveau"))</f>
        <v>#VALUE!</v>
      </c>
      <c r="AD8336" s="1" t="str">
        <f>IFERROR(IF(Final_Sans_VGE[[#This Row],[ppn_z]]="","",IFERROR(
   IF(_xlfn.XLOOKUP(Final_Sans_VGE[[#This Row],[ppn_z]],tbl_Historique_Final[[#This Row],[ppn_z]],tbl_Historique_Final[[#This Row],[date_modif]])=Final_Sans_VGE[[#This Row],[date_modif]],
      "Ancien",
      "Modifié"),
   "Nouveau")),"")</f>
        <v/>
      </c>
    </row>
    <row r="8337" spans="24:30" x14ac:dyDescent="0.25">
      <c r="X8337" s="8" t="e">
        <f>IF(Final_Sans_VGE[[#This Row],[ppn_z]]="","",IFERROR(
   IF(_xlfn.XLOOKUP(Final_Sans_VGE[[#This Row],[ppn_z]],tbl_Historique_Final[ppn_z],tbl_Historique_Final[date_modif])=Final_Sans_VGE[[#This Row],[date_modif]],
      "Ancien",
      "Modifié"),
   "Nouveau"))</f>
        <v>#VALUE!</v>
      </c>
      <c r="AD8337" s="1" t="str">
        <f>IFERROR(IF(Final_Sans_VGE[[#This Row],[ppn_z]]="","",IFERROR(
   IF(_xlfn.XLOOKUP(Final_Sans_VGE[[#This Row],[ppn_z]],tbl_Historique_Final[[#This Row],[ppn_z]],tbl_Historique_Final[[#This Row],[date_modif]])=Final_Sans_VGE[[#This Row],[date_modif]],
      "Ancien",
      "Modifié"),
   "Nouveau")),"")</f>
        <v/>
      </c>
    </row>
    <row r="8338" spans="24:30" x14ac:dyDescent="0.25">
      <c r="X8338" s="8" t="e">
        <f>IF(Final_Sans_VGE[[#This Row],[ppn_z]]="","",IFERROR(
   IF(_xlfn.XLOOKUP(Final_Sans_VGE[[#This Row],[ppn_z]],tbl_Historique_Final[ppn_z],tbl_Historique_Final[date_modif])=Final_Sans_VGE[[#This Row],[date_modif]],
      "Ancien",
      "Modifié"),
   "Nouveau"))</f>
        <v>#VALUE!</v>
      </c>
      <c r="AD8338" s="1" t="str">
        <f>IFERROR(IF(Final_Sans_VGE[[#This Row],[ppn_z]]="","",IFERROR(
   IF(_xlfn.XLOOKUP(Final_Sans_VGE[[#This Row],[ppn_z]],tbl_Historique_Final[[#This Row],[ppn_z]],tbl_Historique_Final[[#This Row],[date_modif]])=Final_Sans_VGE[[#This Row],[date_modif]],
      "Ancien",
      "Modifié"),
   "Nouveau")),"")</f>
        <v/>
      </c>
    </row>
    <row r="8339" spans="24:30" x14ac:dyDescent="0.25">
      <c r="X8339" s="8" t="e">
        <f>IF(Final_Sans_VGE[[#This Row],[ppn_z]]="","",IFERROR(
   IF(_xlfn.XLOOKUP(Final_Sans_VGE[[#This Row],[ppn_z]],tbl_Historique_Final[ppn_z],tbl_Historique_Final[date_modif])=Final_Sans_VGE[[#This Row],[date_modif]],
      "Ancien",
      "Modifié"),
   "Nouveau"))</f>
        <v>#VALUE!</v>
      </c>
      <c r="AD8339" s="1" t="str">
        <f>IFERROR(IF(Final_Sans_VGE[[#This Row],[ppn_z]]="","",IFERROR(
   IF(_xlfn.XLOOKUP(Final_Sans_VGE[[#This Row],[ppn_z]],tbl_Historique_Final[[#This Row],[ppn_z]],tbl_Historique_Final[[#This Row],[date_modif]])=Final_Sans_VGE[[#This Row],[date_modif]],
      "Ancien",
      "Modifié"),
   "Nouveau")),"")</f>
        <v/>
      </c>
    </row>
    <row r="8340" spans="24:30" x14ac:dyDescent="0.25">
      <c r="X8340" s="8" t="e">
        <f>IF(Final_Sans_VGE[[#This Row],[ppn_z]]="","",IFERROR(
   IF(_xlfn.XLOOKUP(Final_Sans_VGE[[#This Row],[ppn_z]],tbl_Historique_Final[ppn_z],tbl_Historique_Final[date_modif])=Final_Sans_VGE[[#This Row],[date_modif]],
      "Ancien",
      "Modifié"),
   "Nouveau"))</f>
        <v>#VALUE!</v>
      </c>
      <c r="AD8340" s="1" t="str">
        <f>IFERROR(IF(Final_Sans_VGE[[#This Row],[ppn_z]]="","",IFERROR(
   IF(_xlfn.XLOOKUP(Final_Sans_VGE[[#This Row],[ppn_z]],tbl_Historique_Final[[#This Row],[ppn_z]],tbl_Historique_Final[[#This Row],[date_modif]])=Final_Sans_VGE[[#This Row],[date_modif]],
      "Ancien",
      "Modifié"),
   "Nouveau")),"")</f>
        <v/>
      </c>
    </row>
    <row r="8341" spans="24:30" x14ac:dyDescent="0.25">
      <c r="X8341" s="8" t="e">
        <f>IF(Final_Sans_VGE[[#This Row],[ppn_z]]="","",IFERROR(
   IF(_xlfn.XLOOKUP(Final_Sans_VGE[[#This Row],[ppn_z]],tbl_Historique_Final[ppn_z],tbl_Historique_Final[date_modif])=Final_Sans_VGE[[#This Row],[date_modif]],
      "Ancien",
      "Modifié"),
   "Nouveau"))</f>
        <v>#VALUE!</v>
      </c>
      <c r="AD8341" s="1" t="str">
        <f>IFERROR(IF(Final_Sans_VGE[[#This Row],[ppn_z]]="","",IFERROR(
   IF(_xlfn.XLOOKUP(Final_Sans_VGE[[#This Row],[ppn_z]],tbl_Historique_Final[[#This Row],[ppn_z]],tbl_Historique_Final[[#This Row],[date_modif]])=Final_Sans_VGE[[#This Row],[date_modif]],
      "Ancien",
      "Modifié"),
   "Nouveau")),"")</f>
        <v/>
      </c>
    </row>
    <row r="8342" spans="24:30" x14ac:dyDescent="0.25">
      <c r="X8342" s="8" t="e">
        <f>IF(Final_Sans_VGE[[#This Row],[ppn_z]]="","",IFERROR(
   IF(_xlfn.XLOOKUP(Final_Sans_VGE[[#This Row],[ppn_z]],tbl_Historique_Final[ppn_z],tbl_Historique_Final[date_modif])=Final_Sans_VGE[[#This Row],[date_modif]],
      "Ancien",
      "Modifié"),
   "Nouveau"))</f>
        <v>#VALUE!</v>
      </c>
      <c r="AD8342" s="1" t="str">
        <f>IFERROR(IF(Final_Sans_VGE[[#This Row],[ppn_z]]="","",IFERROR(
   IF(_xlfn.XLOOKUP(Final_Sans_VGE[[#This Row],[ppn_z]],tbl_Historique_Final[[#This Row],[ppn_z]],tbl_Historique_Final[[#This Row],[date_modif]])=Final_Sans_VGE[[#This Row],[date_modif]],
      "Ancien",
      "Modifié"),
   "Nouveau")),"")</f>
        <v/>
      </c>
    </row>
    <row r="8343" spans="24:30" x14ac:dyDescent="0.25">
      <c r="X8343" s="8" t="e">
        <f>IF(Final_Sans_VGE[[#This Row],[ppn_z]]="","",IFERROR(
   IF(_xlfn.XLOOKUP(Final_Sans_VGE[[#This Row],[ppn_z]],tbl_Historique_Final[ppn_z],tbl_Historique_Final[date_modif])=Final_Sans_VGE[[#This Row],[date_modif]],
      "Ancien",
      "Modifié"),
   "Nouveau"))</f>
        <v>#VALUE!</v>
      </c>
      <c r="AD8343" s="1" t="str">
        <f>IFERROR(IF(Final_Sans_VGE[[#This Row],[ppn_z]]="","",IFERROR(
   IF(_xlfn.XLOOKUP(Final_Sans_VGE[[#This Row],[ppn_z]],tbl_Historique_Final[[#This Row],[ppn_z]],tbl_Historique_Final[[#This Row],[date_modif]])=Final_Sans_VGE[[#This Row],[date_modif]],
      "Ancien",
      "Modifié"),
   "Nouveau")),"")</f>
        <v/>
      </c>
    </row>
    <row r="8344" spans="24:30" x14ac:dyDescent="0.25">
      <c r="X8344" s="8" t="e">
        <f>IF(Final_Sans_VGE[[#This Row],[ppn_z]]="","",IFERROR(
   IF(_xlfn.XLOOKUP(Final_Sans_VGE[[#This Row],[ppn_z]],tbl_Historique_Final[ppn_z],tbl_Historique_Final[date_modif])=Final_Sans_VGE[[#This Row],[date_modif]],
      "Ancien",
      "Modifié"),
   "Nouveau"))</f>
        <v>#VALUE!</v>
      </c>
      <c r="AD8344" s="1" t="str">
        <f>IFERROR(IF(Final_Sans_VGE[[#This Row],[ppn_z]]="","",IFERROR(
   IF(_xlfn.XLOOKUP(Final_Sans_VGE[[#This Row],[ppn_z]],tbl_Historique_Final[[#This Row],[ppn_z]],tbl_Historique_Final[[#This Row],[date_modif]])=Final_Sans_VGE[[#This Row],[date_modif]],
      "Ancien",
      "Modifié"),
   "Nouveau")),"")</f>
        <v/>
      </c>
    </row>
    <row r="8345" spans="24:30" x14ac:dyDescent="0.25">
      <c r="X8345" s="8" t="e">
        <f>IF(Final_Sans_VGE[[#This Row],[ppn_z]]="","",IFERROR(
   IF(_xlfn.XLOOKUP(Final_Sans_VGE[[#This Row],[ppn_z]],tbl_Historique_Final[ppn_z],tbl_Historique_Final[date_modif])=Final_Sans_VGE[[#This Row],[date_modif]],
      "Ancien",
      "Modifié"),
   "Nouveau"))</f>
        <v>#VALUE!</v>
      </c>
      <c r="AD8345" s="1" t="str">
        <f>IFERROR(IF(Final_Sans_VGE[[#This Row],[ppn_z]]="","",IFERROR(
   IF(_xlfn.XLOOKUP(Final_Sans_VGE[[#This Row],[ppn_z]],tbl_Historique_Final[[#This Row],[ppn_z]],tbl_Historique_Final[[#This Row],[date_modif]])=Final_Sans_VGE[[#This Row],[date_modif]],
      "Ancien",
      "Modifié"),
   "Nouveau")),"")</f>
        <v/>
      </c>
    </row>
    <row r="8346" spans="24:30" x14ac:dyDescent="0.25">
      <c r="X8346" s="8" t="e">
        <f>IF(Final_Sans_VGE[[#This Row],[ppn_z]]="","",IFERROR(
   IF(_xlfn.XLOOKUP(Final_Sans_VGE[[#This Row],[ppn_z]],tbl_Historique_Final[ppn_z],tbl_Historique_Final[date_modif])=Final_Sans_VGE[[#This Row],[date_modif]],
      "Ancien",
      "Modifié"),
   "Nouveau"))</f>
        <v>#VALUE!</v>
      </c>
      <c r="AD8346" s="1" t="str">
        <f>IFERROR(IF(Final_Sans_VGE[[#This Row],[ppn_z]]="","",IFERROR(
   IF(_xlfn.XLOOKUP(Final_Sans_VGE[[#This Row],[ppn_z]],tbl_Historique_Final[[#This Row],[ppn_z]],tbl_Historique_Final[[#This Row],[date_modif]])=Final_Sans_VGE[[#This Row],[date_modif]],
      "Ancien",
      "Modifié"),
   "Nouveau")),"")</f>
        <v/>
      </c>
    </row>
    <row r="8347" spans="24:30" x14ac:dyDescent="0.25">
      <c r="X8347" s="8" t="e">
        <f>IF(Final_Sans_VGE[[#This Row],[ppn_z]]="","",IFERROR(
   IF(_xlfn.XLOOKUP(Final_Sans_VGE[[#This Row],[ppn_z]],tbl_Historique_Final[ppn_z],tbl_Historique_Final[date_modif])=Final_Sans_VGE[[#This Row],[date_modif]],
      "Ancien",
      "Modifié"),
   "Nouveau"))</f>
        <v>#VALUE!</v>
      </c>
      <c r="AD8347" s="1" t="str">
        <f>IFERROR(IF(Final_Sans_VGE[[#This Row],[ppn_z]]="","",IFERROR(
   IF(_xlfn.XLOOKUP(Final_Sans_VGE[[#This Row],[ppn_z]],tbl_Historique_Final[[#This Row],[ppn_z]],tbl_Historique_Final[[#This Row],[date_modif]])=Final_Sans_VGE[[#This Row],[date_modif]],
      "Ancien",
      "Modifié"),
   "Nouveau")),"")</f>
        <v/>
      </c>
    </row>
    <row r="8348" spans="24:30" x14ac:dyDescent="0.25">
      <c r="X8348" s="8" t="e">
        <f>IF(Final_Sans_VGE[[#This Row],[ppn_z]]="","",IFERROR(
   IF(_xlfn.XLOOKUP(Final_Sans_VGE[[#This Row],[ppn_z]],tbl_Historique_Final[ppn_z],tbl_Historique_Final[date_modif])=Final_Sans_VGE[[#This Row],[date_modif]],
      "Ancien",
      "Modifié"),
   "Nouveau"))</f>
        <v>#VALUE!</v>
      </c>
      <c r="AD8348" s="1" t="str">
        <f>IFERROR(IF(Final_Sans_VGE[[#This Row],[ppn_z]]="","",IFERROR(
   IF(_xlfn.XLOOKUP(Final_Sans_VGE[[#This Row],[ppn_z]],tbl_Historique_Final[[#This Row],[ppn_z]],tbl_Historique_Final[[#This Row],[date_modif]])=Final_Sans_VGE[[#This Row],[date_modif]],
      "Ancien",
      "Modifié"),
   "Nouveau")),"")</f>
        <v/>
      </c>
    </row>
    <row r="8349" spans="24:30" x14ac:dyDescent="0.25">
      <c r="X8349" s="8" t="e">
        <f>IF(Final_Sans_VGE[[#This Row],[ppn_z]]="","",IFERROR(
   IF(_xlfn.XLOOKUP(Final_Sans_VGE[[#This Row],[ppn_z]],tbl_Historique_Final[ppn_z],tbl_Historique_Final[date_modif])=Final_Sans_VGE[[#This Row],[date_modif]],
      "Ancien",
      "Modifié"),
   "Nouveau"))</f>
        <v>#VALUE!</v>
      </c>
      <c r="AD8349" s="1" t="str">
        <f>IFERROR(IF(Final_Sans_VGE[[#This Row],[ppn_z]]="","",IFERROR(
   IF(_xlfn.XLOOKUP(Final_Sans_VGE[[#This Row],[ppn_z]],tbl_Historique_Final[[#This Row],[ppn_z]],tbl_Historique_Final[[#This Row],[date_modif]])=Final_Sans_VGE[[#This Row],[date_modif]],
      "Ancien",
      "Modifié"),
   "Nouveau")),"")</f>
        <v/>
      </c>
    </row>
    <row r="8350" spans="24:30" x14ac:dyDescent="0.25">
      <c r="X8350" s="8" t="e">
        <f>IF(Final_Sans_VGE[[#This Row],[ppn_z]]="","",IFERROR(
   IF(_xlfn.XLOOKUP(Final_Sans_VGE[[#This Row],[ppn_z]],tbl_Historique_Final[ppn_z],tbl_Historique_Final[date_modif])=Final_Sans_VGE[[#This Row],[date_modif]],
      "Ancien",
      "Modifié"),
   "Nouveau"))</f>
        <v>#VALUE!</v>
      </c>
      <c r="AD8350" s="1" t="str">
        <f>IFERROR(IF(Final_Sans_VGE[[#This Row],[ppn_z]]="","",IFERROR(
   IF(_xlfn.XLOOKUP(Final_Sans_VGE[[#This Row],[ppn_z]],tbl_Historique_Final[[#This Row],[ppn_z]],tbl_Historique_Final[[#This Row],[date_modif]])=Final_Sans_VGE[[#This Row],[date_modif]],
      "Ancien",
      "Modifié"),
   "Nouveau")),"")</f>
        <v/>
      </c>
    </row>
    <row r="8351" spans="24:30" x14ac:dyDescent="0.25">
      <c r="X8351" s="8" t="e">
        <f>IF(Final_Sans_VGE[[#This Row],[ppn_z]]="","",IFERROR(
   IF(_xlfn.XLOOKUP(Final_Sans_VGE[[#This Row],[ppn_z]],tbl_Historique_Final[ppn_z],tbl_Historique_Final[date_modif])=Final_Sans_VGE[[#This Row],[date_modif]],
      "Ancien",
      "Modifié"),
   "Nouveau"))</f>
        <v>#VALUE!</v>
      </c>
      <c r="AD8351" s="1" t="str">
        <f>IFERROR(IF(Final_Sans_VGE[[#This Row],[ppn_z]]="","",IFERROR(
   IF(_xlfn.XLOOKUP(Final_Sans_VGE[[#This Row],[ppn_z]],tbl_Historique_Final[[#This Row],[ppn_z]],tbl_Historique_Final[[#This Row],[date_modif]])=Final_Sans_VGE[[#This Row],[date_modif]],
      "Ancien",
      "Modifié"),
   "Nouveau")),"")</f>
        <v/>
      </c>
    </row>
    <row r="8352" spans="24:30" x14ac:dyDescent="0.25">
      <c r="X8352" s="8" t="e">
        <f>IF(Final_Sans_VGE[[#This Row],[ppn_z]]="","",IFERROR(
   IF(_xlfn.XLOOKUP(Final_Sans_VGE[[#This Row],[ppn_z]],tbl_Historique_Final[ppn_z],tbl_Historique_Final[date_modif])=Final_Sans_VGE[[#This Row],[date_modif]],
      "Ancien",
      "Modifié"),
   "Nouveau"))</f>
        <v>#VALUE!</v>
      </c>
      <c r="AD8352" s="1" t="str">
        <f>IFERROR(IF(Final_Sans_VGE[[#This Row],[ppn_z]]="","",IFERROR(
   IF(_xlfn.XLOOKUP(Final_Sans_VGE[[#This Row],[ppn_z]],tbl_Historique_Final[[#This Row],[ppn_z]],tbl_Historique_Final[[#This Row],[date_modif]])=Final_Sans_VGE[[#This Row],[date_modif]],
      "Ancien",
      "Modifié"),
   "Nouveau")),"")</f>
        <v/>
      </c>
    </row>
    <row r="8353" spans="24:30" x14ac:dyDescent="0.25">
      <c r="X8353" s="8" t="e">
        <f>IF(Final_Sans_VGE[[#This Row],[ppn_z]]="","",IFERROR(
   IF(_xlfn.XLOOKUP(Final_Sans_VGE[[#This Row],[ppn_z]],tbl_Historique_Final[ppn_z],tbl_Historique_Final[date_modif])=Final_Sans_VGE[[#This Row],[date_modif]],
      "Ancien",
      "Modifié"),
   "Nouveau"))</f>
        <v>#VALUE!</v>
      </c>
      <c r="AD8353" s="1" t="str">
        <f>IFERROR(IF(Final_Sans_VGE[[#This Row],[ppn_z]]="","",IFERROR(
   IF(_xlfn.XLOOKUP(Final_Sans_VGE[[#This Row],[ppn_z]],tbl_Historique_Final[[#This Row],[ppn_z]],tbl_Historique_Final[[#This Row],[date_modif]])=Final_Sans_VGE[[#This Row],[date_modif]],
      "Ancien",
      "Modifié"),
   "Nouveau")),"")</f>
        <v/>
      </c>
    </row>
    <row r="8354" spans="24:30" x14ac:dyDescent="0.25">
      <c r="X8354" s="8" t="e">
        <f>IF(Final_Sans_VGE[[#This Row],[ppn_z]]="","",IFERROR(
   IF(_xlfn.XLOOKUP(Final_Sans_VGE[[#This Row],[ppn_z]],tbl_Historique_Final[ppn_z],tbl_Historique_Final[date_modif])=Final_Sans_VGE[[#This Row],[date_modif]],
      "Ancien",
      "Modifié"),
   "Nouveau"))</f>
        <v>#VALUE!</v>
      </c>
      <c r="AD8354" s="1" t="str">
        <f>IFERROR(IF(Final_Sans_VGE[[#This Row],[ppn_z]]="","",IFERROR(
   IF(_xlfn.XLOOKUP(Final_Sans_VGE[[#This Row],[ppn_z]],tbl_Historique_Final[[#This Row],[ppn_z]],tbl_Historique_Final[[#This Row],[date_modif]])=Final_Sans_VGE[[#This Row],[date_modif]],
      "Ancien",
      "Modifié"),
   "Nouveau")),"")</f>
        <v/>
      </c>
    </row>
    <row r="8355" spans="24:30" x14ac:dyDescent="0.25">
      <c r="X8355" s="8" t="e">
        <f>IF(Final_Sans_VGE[[#This Row],[ppn_z]]="","",IFERROR(
   IF(_xlfn.XLOOKUP(Final_Sans_VGE[[#This Row],[ppn_z]],tbl_Historique_Final[ppn_z],tbl_Historique_Final[date_modif])=Final_Sans_VGE[[#This Row],[date_modif]],
      "Ancien",
      "Modifié"),
   "Nouveau"))</f>
        <v>#VALUE!</v>
      </c>
      <c r="AD8355" s="1" t="str">
        <f>IFERROR(IF(Final_Sans_VGE[[#This Row],[ppn_z]]="","",IFERROR(
   IF(_xlfn.XLOOKUP(Final_Sans_VGE[[#This Row],[ppn_z]],tbl_Historique_Final[[#This Row],[ppn_z]],tbl_Historique_Final[[#This Row],[date_modif]])=Final_Sans_VGE[[#This Row],[date_modif]],
      "Ancien",
      "Modifié"),
   "Nouveau")),"")</f>
        <v/>
      </c>
    </row>
    <row r="8356" spans="24:30" x14ac:dyDescent="0.25">
      <c r="X8356" s="8" t="e">
        <f>IF(Final_Sans_VGE[[#This Row],[ppn_z]]="","",IFERROR(
   IF(_xlfn.XLOOKUP(Final_Sans_VGE[[#This Row],[ppn_z]],tbl_Historique_Final[ppn_z],tbl_Historique_Final[date_modif])=Final_Sans_VGE[[#This Row],[date_modif]],
      "Ancien",
      "Modifié"),
   "Nouveau"))</f>
        <v>#VALUE!</v>
      </c>
      <c r="AD8356" s="1" t="str">
        <f>IFERROR(IF(Final_Sans_VGE[[#This Row],[ppn_z]]="","",IFERROR(
   IF(_xlfn.XLOOKUP(Final_Sans_VGE[[#This Row],[ppn_z]],tbl_Historique_Final[[#This Row],[ppn_z]],tbl_Historique_Final[[#This Row],[date_modif]])=Final_Sans_VGE[[#This Row],[date_modif]],
      "Ancien",
      "Modifié"),
   "Nouveau")),"")</f>
        <v/>
      </c>
    </row>
    <row r="8357" spans="24:30" x14ac:dyDescent="0.25">
      <c r="X8357" s="8" t="e">
        <f>IF(Final_Sans_VGE[[#This Row],[ppn_z]]="","",IFERROR(
   IF(_xlfn.XLOOKUP(Final_Sans_VGE[[#This Row],[ppn_z]],tbl_Historique_Final[ppn_z],tbl_Historique_Final[date_modif])=Final_Sans_VGE[[#This Row],[date_modif]],
      "Ancien",
      "Modifié"),
   "Nouveau"))</f>
        <v>#VALUE!</v>
      </c>
      <c r="AD8357" s="1" t="str">
        <f>IFERROR(IF(Final_Sans_VGE[[#This Row],[ppn_z]]="","",IFERROR(
   IF(_xlfn.XLOOKUP(Final_Sans_VGE[[#This Row],[ppn_z]],tbl_Historique_Final[[#This Row],[ppn_z]],tbl_Historique_Final[[#This Row],[date_modif]])=Final_Sans_VGE[[#This Row],[date_modif]],
      "Ancien",
      "Modifié"),
   "Nouveau")),"")</f>
        <v/>
      </c>
    </row>
    <row r="8358" spans="24:30" x14ac:dyDescent="0.25">
      <c r="X8358" s="8" t="e">
        <f>IF(Final_Sans_VGE[[#This Row],[ppn_z]]="","",IFERROR(
   IF(_xlfn.XLOOKUP(Final_Sans_VGE[[#This Row],[ppn_z]],tbl_Historique_Final[ppn_z],tbl_Historique_Final[date_modif])=Final_Sans_VGE[[#This Row],[date_modif]],
      "Ancien",
      "Modifié"),
   "Nouveau"))</f>
        <v>#VALUE!</v>
      </c>
      <c r="AD8358" s="1" t="str">
        <f>IFERROR(IF(Final_Sans_VGE[[#This Row],[ppn_z]]="","",IFERROR(
   IF(_xlfn.XLOOKUP(Final_Sans_VGE[[#This Row],[ppn_z]],tbl_Historique_Final[[#This Row],[ppn_z]],tbl_Historique_Final[[#This Row],[date_modif]])=Final_Sans_VGE[[#This Row],[date_modif]],
      "Ancien",
      "Modifié"),
   "Nouveau")),"")</f>
        <v/>
      </c>
    </row>
    <row r="8359" spans="24:30" x14ac:dyDescent="0.25">
      <c r="X8359" s="8" t="e">
        <f>IF(Final_Sans_VGE[[#This Row],[ppn_z]]="","",IFERROR(
   IF(_xlfn.XLOOKUP(Final_Sans_VGE[[#This Row],[ppn_z]],tbl_Historique_Final[ppn_z],tbl_Historique_Final[date_modif])=Final_Sans_VGE[[#This Row],[date_modif]],
      "Ancien",
      "Modifié"),
   "Nouveau"))</f>
        <v>#VALUE!</v>
      </c>
      <c r="AD8359" s="1" t="str">
        <f>IFERROR(IF(Final_Sans_VGE[[#This Row],[ppn_z]]="","",IFERROR(
   IF(_xlfn.XLOOKUP(Final_Sans_VGE[[#This Row],[ppn_z]],tbl_Historique_Final[[#This Row],[ppn_z]],tbl_Historique_Final[[#This Row],[date_modif]])=Final_Sans_VGE[[#This Row],[date_modif]],
      "Ancien",
      "Modifié"),
   "Nouveau")),"")</f>
        <v/>
      </c>
    </row>
    <row r="8360" spans="24:30" x14ac:dyDescent="0.25">
      <c r="X8360" s="8" t="e">
        <f>IF(Final_Sans_VGE[[#This Row],[ppn_z]]="","",IFERROR(
   IF(_xlfn.XLOOKUP(Final_Sans_VGE[[#This Row],[ppn_z]],tbl_Historique_Final[ppn_z],tbl_Historique_Final[date_modif])=Final_Sans_VGE[[#This Row],[date_modif]],
      "Ancien",
      "Modifié"),
   "Nouveau"))</f>
        <v>#VALUE!</v>
      </c>
      <c r="AD8360" s="1" t="str">
        <f>IFERROR(IF(Final_Sans_VGE[[#This Row],[ppn_z]]="","",IFERROR(
   IF(_xlfn.XLOOKUP(Final_Sans_VGE[[#This Row],[ppn_z]],tbl_Historique_Final[[#This Row],[ppn_z]],tbl_Historique_Final[[#This Row],[date_modif]])=Final_Sans_VGE[[#This Row],[date_modif]],
      "Ancien",
      "Modifié"),
   "Nouveau")),"")</f>
        <v/>
      </c>
    </row>
    <row r="8361" spans="24:30" x14ac:dyDescent="0.25">
      <c r="X8361" s="8" t="e">
        <f>IF(Final_Sans_VGE[[#This Row],[ppn_z]]="","",IFERROR(
   IF(_xlfn.XLOOKUP(Final_Sans_VGE[[#This Row],[ppn_z]],tbl_Historique_Final[ppn_z],tbl_Historique_Final[date_modif])=Final_Sans_VGE[[#This Row],[date_modif]],
      "Ancien",
      "Modifié"),
   "Nouveau"))</f>
        <v>#VALUE!</v>
      </c>
      <c r="AD8361" s="1" t="str">
        <f>IFERROR(IF(Final_Sans_VGE[[#This Row],[ppn_z]]="","",IFERROR(
   IF(_xlfn.XLOOKUP(Final_Sans_VGE[[#This Row],[ppn_z]],tbl_Historique_Final[[#This Row],[ppn_z]],tbl_Historique_Final[[#This Row],[date_modif]])=Final_Sans_VGE[[#This Row],[date_modif]],
      "Ancien",
      "Modifié"),
   "Nouveau")),"")</f>
        <v/>
      </c>
    </row>
    <row r="8362" spans="24:30" x14ac:dyDescent="0.25">
      <c r="X8362" s="8" t="e">
        <f>IF(Final_Sans_VGE[[#This Row],[ppn_z]]="","",IFERROR(
   IF(_xlfn.XLOOKUP(Final_Sans_VGE[[#This Row],[ppn_z]],tbl_Historique_Final[ppn_z],tbl_Historique_Final[date_modif])=Final_Sans_VGE[[#This Row],[date_modif]],
      "Ancien",
      "Modifié"),
   "Nouveau"))</f>
        <v>#VALUE!</v>
      </c>
      <c r="AD8362" s="1" t="str">
        <f>IFERROR(IF(Final_Sans_VGE[[#This Row],[ppn_z]]="","",IFERROR(
   IF(_xlfn.XLOOKUP(Final_Sans_VGE[[#This Row],[ppn_z]],tbl_Historique_Final[[#This Row],[ppn_z]],tbl_Historique_Final[[#This Row],[date_modif]])=Final_Sans_VGE[[#This Row],[date_modif]],
      "Ancien",
      "Modifié"),
   "Nouveau")),"")</f>
        <v/>
      </c>
    </row>
    <row r="8363" spans="24:30" x14ac:dyDescent="0.25">
      <c r="X8363" s="8" t="e">
        <f>IF(Final_Sans_VGE[[#This Row],[ppn_z]]="","",IFERROR(
   IF(_xlfn.XLOOKUP(Final_Sans_VGE[[#This Row],[ppn_z]],tbl_Historique_Final[ppn_z],tbl_Historique_Final[date_modif])=Final_Sans_VGE[[#This Row],[date_modif]],
      "Ancien",
      "Modifié"),
   "Nouveau"))</f>
        <v>#VALUE!</v>
      </c>
      <c r="AD8363" s="1" t="str">
        <f>IFERROR(IF(Final_Sans_VGE[[#This Row],[ppn_z]]="","",IFERROR(
   IF(_xlfn.XLOOKUP(Final_Sans_VGE[[#This Row],[ppn_z]],tbl_Historique_Final[[#This Row],[ppn_z]],tbl_Historique_Final[[#This Row],[date_modif]])=Final_Sans_VGE[[#This Row],[date_modif]],
      "Ancien",
      "Modifié"),
   "Nouveau")),"")</f>
        <v/>
      </c>
    </row>
    <row r="8364" spans="24:30" x14ac:dyDescent="0.25">
      <c r="X8364" s="8" t="e">
        <f>IF(Final_Sans_VGE[[#This Row],[ppn_z]]="","",IFERROR(
   IF(_xlfn.XLOOKUP(Final_Sans_VGE[[#This Row],[ppn_z]],tbl_Historique_Final[ppn_z],tbl_Historique_Final[date_modif])=Final_Sans_VGE[[#This Row],[date_modif]],
      "Ancien",
      "Modifié"),
   "Nouveau"))</f>
        <v>#VALUE!</v>
      </c>
      <c r="AD8364" s="1" t="str">
        <f>IFERROR(IF(Final_Sans_VGE[[#This Row],[ppn_z]]="","",IFERROR(
   IF(_xlfn.XLOOKUP(Final_Sans_VGE[[#This Row],[ppn_z]],tbl_Historique_Final[[#This Row],[ppn_z]],tbl_Historique_Final[[#This Row],[date_modif]])=Final_Sans_VGE[[#This Row],[date_modif]],
      "Ancien",
      "Modifié"),
   "Nouveau")),"")</f>
        <v/>
      </c>
    </row>
    <row r="8365" spans="24:30" x14ac:dyDescent="0.25">
      <c r="X8365" s="8" t="e">
        <f>IF(Final_Sans_VGE[[#This Row],[ppn_z]]="","",IFERROR(
   IF(_xlfn.XLOOKUP(Final_Sans_VGE[[#This Row],[ppn_z]],tbl_Historique_Final[ppn_z],tbl_Historique_Final[date_modif])=Final_Sans_VGE[[#This Row],[date_modif]],
      "Ancien",
      "Modifié"),
   "Nouveau"))</f>
        <v>#VALUE!</v>
      </c>
      <c r="AD8365" s="1" t="str">
        <f>IFERROR(IF(Final_Sans_VGE[[#This Row],[ppn_z]]="","",IFERROR(
   IF(_xlfn.XLOOKUP(Final_Sans_VGE[[#This Row],[ppn_z]],tbl_Historique_Final[[#This Row],[ppn_z]],tbl_Historique_Final[[#This Row],[date_modif]])=Final_Sans_VGE[[#This Row],[date_modif]],
      "Ancien",
      "Modifié"),
   "Nouveau")),"")</f>
        <v/>
      </c>
    </row>
    <row r="8366" spans="24:30" x14ac:dyDescent="0.25">
      <c r="X8366" s="8" t="e">
        <f>IF(Final_Sans_VGE[[#This Row],[ppn_z]]="","",IFERROR(
   IF(_xlfn.XLOOKUP(Final_Sans_VGE[[#This Row],[ppn_z]],tbl_Historique_Final[ppn_z],tbl_Historique_Final[date_modif])=Final_Sans_VGE[[#This Row],[date_modif]],
      "Ancien",
      "Modifié"),
   "Nouveau"))</f>
        <v>#VALUE!</v>
      </c>
      <c r="AD8366" s="1" t="str">
        <f>IFERROR(IF(Final_Sans_VGE[[#This Row],[ppn_z]]="","",IFERROR(
   IF(_xlfn.XLOOKUP(Final_Sans_VGE[[#This Row],[ppn_z]],tbl_Historique_Final[[#This Row],[ppn_z]],tbl_Historique_Final[[#This Row],[date_modif]])=Final_Sans_VGE[[#This Row],[date_modif]],
      "Ancien",
      "Modifié"),
   "Nouveau")),"")</f>
        <v/>
      </c>
    </row>
    <row r="8367" spans="24:30" x14ac:dyDescent="0.25">
      <c r="X8367" s="8" t="e">
        <f>IF(Final_Sans_VGE[[#This Row],[ppn_z]]="","",IFERROR(
   IF(_xlfn.XLOOKUP(Final_Sans_VGE[[#This Row],[ppn_z]],tbl_Historique_Final[ppn_z],tbl_Historique_Final[date_modif])=Final_Sans_VGE[[#This Row],[date_modif]],
      "Ancien",
      "Modifié"),
   "Nouveau"))</f>
        <v>#VALUE!</v>
      </c>
      <c r="AD8367" s="1" t="str">
        <f>IFERROR(IF(Final_Sans_VGE[[#This Row],[ppn_z]]="","",IFERROR(
   IF(_xlfn.XLOOKUP(Final_Sans_VGE[[#This Row],[ppn_z]],tbl_Historique_Final[[#This Row],[ppn_z]],tbl_Historique_Final[[#This Row],[date_modif]])=Final_Sans_VGE[[#This Row],[date_modif]],
      "Ancien",
      "Modifié"),
   "Nouveau")),"")</f>
        <v/>
      </c>
    </row>
    <row r="8368" spans="24:30" x14ac:dyDescent="0.25">
      <c r="X8368" s="8" t="e">
        <f>IF(Final_Sans_VGE[[#This Row],[ppn_z]]="","",IFERROR(
   IF(_xlfn.XLOOKUP(Final_Sans_VGE[[#This Row],[ppn_z]],tbl_Historique_Final[ppn_z],tbl_Historique_Final[date_modif])=Final_Sans_VGE[[#This Row],[date_modif]],
      "Ancien",
      "Modifié"),
   "Nouveau"))</f>
        <v>#VALUE!</v>
      </c>
      <c r="AD8368" s="1" t="str">
        <f>IFERROR(IF(Final_Sans_VGE[[#This Row],[ppn_z]]="","",IFERROR(
   IF(_xlfn.XLOOKUP(Final_Sans_VGE[[#This Row],[ppn_z]],tbl_Historique_Final[[#This Row],[ppn_z]],tbl_Historique_Final[[#This Row],[date_modif]])=Final_Sans_VGE[[#This Row],[date_modif]],
      "Ancien",
      "Modifié"),
   "Nouveau")),"")</f>
        <v/>
      </c>
    </row>
    <row r="8369" spans="24:30" x14ac:dyDescent="0.25">
      <c r="X8369" s="8" t="e">
        <f>IF(Final_Sans_VGE[[#This Row],[ppn_z]]="","",IFERROR(
   IF(_xlfn.XLOOKUP(Final_Sans_VGE[[#This Row],[ppn_z]],tbl_Historique_Final[ppn_z],tbl_Historique_Final[date_modif])=Final_Sans_VGE[[#This Row],[date_modif]],
      "Ancien",
      "Modifié"),
   "Nouveau"))</f>
        <v>#VALUE!</v>
      </c>
      <c r="AD8369" s="1" t="str">
        <f>IFERROR(IF(Final_Sans_VGE[[#This Row],[ppn_z]]="","",IFERROR(
   IF(_xlfn.XLOOKUP(Final_Sans_VGE[[#This Row],[ppn_z]],tbl_Historique_Final[[#This Row],[ppn_z]],tbl_Historique_Final[[#This Row],[date_modif]])=Final_Sans_VGE[[#This Row],[date_modif]],
      "Ancien",
      "Modifié"),
   "Nouveau")),"")</f>
        <v/>
      </c>
    </row>
    <row r="8370" spans="24:30" x14ac:dyDescent="0.25">
      <c r="X8370" s="8" t="e">
        <f>IF(Final_Sans_VGE[[#This Row],[ppn_z]]="","",IFERROR(
   IF(_xlfn.XLOOKUP(Final_Sans_VGE[[#This Row],[ppn_z]],tbl_Historique_Final[ppn_z],tbl_Historique_Final[date_modif])=Final_Sans_VGE[[#This Row],[date_modif]],
      "Ancien",
      "Modifié"),
   "Nouveau"))</f>
        <v>#VALUE!</v>
      </c>
      <c r="AD8370" s="1" t="str">
        <f>IFERROR(IF(Final_Sans_VGE[[#This Row],[ppn_z]]="","",IFERROR(
   IF(_xlfn.XLOOKUP(Final_Sans_VGE[[#This Row],[ppn_z]],tbl_Historique_Final[[#This Row],[ppn_z]],tbl_Historique_Final[[#This Row],[date_modif]])=Final_Sans_VGE[[#This Row],[date_modif]],
      "Ancien",
      "Modifié"),
   "Nouveau")),"")</f>
        <v/>
      </c>
    </row>
    <row r="8371" spans="24:30" x14ac:dyDescent="0.25">
      <c r="X8371" s="8" t="e">
        <f>IF(Final_Sans_VGE[[#This Row],[ppn_z]]="","",IFERROR(
   IF(_xlfn.XLOOKUP(Final_Sans_VGE[[#This Row],[ppn_z]],tbl_Historique_Final[ppn_z],tbl_Historique_Final[date_modif])=Final_Sans_VGE[[#This Row],[date_modif]],
      "Ancien",
      "Modifié"),
   "Nouveau"))</f>
        <v>#VALUE!</v>
      </c>
      <c r="AD8371" s="1" t="str">
        <f>IFERROR(IF(Final_Sans_VGE[[#This Row],[ppn_z]]="","",IFERROR(
   IF(_xlfn.XLOOKUP(Final_Sans_VGE[[#This Row],[ppn_z]],tbl_Historique_Final[[#This Row],[ppn_z]],tbl_Historique_Final[[#This Row],[date_modif]])=Final_Sans_VGE[[#This Row],[date_modif]],
      "Ancien",
      "Modifié"),
   "Nouveau")),"")</f>
        <v/>
      </c>
    </row>
    <row r="8372" spans="24:30" x14ac:dyDescent="0.25">
      <c r="X8372" s="8" t="e">
        <f>IF(Final_Sans_VGE[[#This Row],[ppn_z]]="","",IFERROR(
   IF(_xlfn.XLOOKUP(Final_Sans_VGE[[#This Row],[ppn_z]],tbl_Historique_Final[ppn_z],tbl_Historique_Final[date_modif])=Final_Sans_VGE[[#This Row],[date_modif]],
      "Ancien",
      "Modifié"),
   "Nouveau"))</f>
        <v>#VALUE!</v>
      </c>
      <c r="AD8372" s="1" t="str">
        <f>IFERROR(IF(Final_Sans_VGE[[#This Row],[ppn_z]]="","",IFERROR(
   IF(_xlfn.XLOOKUP(Final_Sans_VGE[[#This Row],[ppn_z]],tbl_Historique_Final[[#This Row],[ppn_z]],tbl_Historique_Final[[#This Row],[date_modif]])=Final_Sans_VGE[[#This Row],[date_modif]],
      "Ancien",
      "Modifié"),
   "Nouveau")),"")</f>
        <v/>
      </c>
    </row>
    <row r="8373" spans="24:30" x14ac:dyDescent="0.25">
      <c r="X8373" s="8" t="e">
        <f>IF(Final_Sans_VGE[[#This Row],[ppn_z]]="","",IFERROR(
   IF(_xlfn.XLOOKUP(Final_Sans_VGE[[#This Row],[ppn_z]],tbl_Historique_Final[ppn_z],tbl_Historique_Final[date_modif])=Final_Sans_VGE[[#This Row],[date_modif]],
      "Ancien",
      "Modifié"),
   "Nouveau"))</f>
        <v>#VALUE!</v>
      </c>
      <c r="AD8373" s="1" t="str">
        <f>IFERROR(IF(Final_Sans_VGE[[#This Row],[ppn_z]]="","",IFERROR(
   IF(_xlfn.XLOOKUP(Final_Sans_VGE[[#This Row],[ppn_z]],tbl_Historique_Final[[#This Row],[ppn_z]],tbl_Historique_Final[[#This Row],[date_modif]])=Final_Sans_VGE[[#This Row],[date_modif]],
      "Ancien",
      "Modifié"),
   "Nouveau")),"")</f>
        <v/>
      </c>
    </row>
    <row r="8374" spans="24:30" x14ac:dyDescent="0.25">
      <c r="X8374" s="8" t="e">
        <f>IF(Final_Sans_VGE[[#This Row],[ppn_z]]="","",IFERROR(
   IF(_xlfn.XLOOKUP(Final_Sans_VGE[[#This Row],[ppn_z]],tbl_Historique_Final[ppn_z],tbl_Historique_Final[date_modif])=Final_Sans_VGE[[#This Row],[date_modif]],
      "Ancien",
      "Modifié"),
   "Nouveau"))</f>
        <v>#VALUE!</v>
      </c>
      <c r="AD8374" s="1" t="str">
        <f>IFERROR(IF(Final_Sans_VGE[[#This Row],[ppn_z]]="","",IFERROR(
   IF(_xlfn.XLOOKUP(Final_Sans_VGE[[#This Row],[ppn_z]],tbl_Historique_Final[[#This Row],[ppn_z]],tbl_Historique_Final[[#This Row],[date_modif]])=Final_Sans_VGE[[#This Row],[date_modif]],
      "Ancien",
      "Modifié"),
   "Nouveau")),"")</f>
        <v/>
      </c>
    </row>
    <row r="8375" spans="24:30" x14ac:dyDescent="0.25">
      <c r="X8375" s="8" t="e">
        <f>IF(Final_Sans_VGE[[#This Row],[ppn_z]]="","",IFERROR(
   IF(_xlfn.XLOOKUP(Final_Sans_VGE[[#This Row],[ppn_z]],tbl_Historique_Final[ppn_z],tbl_Historique_Final[date_modif])=Final_Sans_VGE[[#This Row],[date_modif]],
      "Ancien",
      "Modifié"),
   "Nouveau"))</f>
        <v>#VALUE!</v>
      </c>
      <c r="AD8375" s="1" t="str">
        <f>IFERROR(IF(Final_Sans_VGE[[#This Row],[ppn_z]]="","",IFERROR(
   IF(_xlfn.XLOOKUP(Final_Sans_VGE[[#This Row],[ppn_z]],tbl_Historique_Final[[#This Row],[ppn_z]],tbl_Historique_Final[[#This Row],[date_modif]])=Final_Sans_VGE[[#This Row],[date_modif]],
      "Ancien",
      "Modifié"),
   "Nouveau")),"")</f>
        <v/>
      </c>
    </row>
    <row r="8376" spans="24:30" x14ac:dyDescent="0.25">
      <c r="X8376" s="8" t="e">
        <f>IF(Final_Sans_VGE[[#This Row],[ppn_z]]="","",IFERROR(
   IF(_xlfn.XLOOKUP(Final_Sans_VGE[[#This Row],[ppn_z]],tbl_Historique_Final[ppn_z],tbl_Historique_Final[date_modif])=Final_Sans_VGE[[#This Row],[date_modif]],
      "Ancien",
      "Modifié"),
   "Nouveau"))</f>
        <v>#VALUE!</v>
      </c>
      <c r="AD8376" s="1" t="str">
        <f>IFERROR(IF(Final_Sans_VGE[[#This Row],[ppn_z]]="","",IFERROR(
   IF(_xlfn.XLOOKUP(Final_Sans_VGE[[#This Row],[ppn_z]],tbl_Historique_Final[[#This Row],[ppn_z]],tbl_Historique_Final[[#This Row],[date_modif]])=Final_Sans_VGE[[#This Row],[date_modif]],
      "Ancien",
      "Modifié"),
   "Nouveau")),"")</f>
        <v/>
      </c>
    </row>
    <row r="8377" spans="24:30" x14ac:dyDescent="0.25">
      <c r="X8377" s="8" t="e">
        <f>IF(Final_Sans_VGE[[#This Row],[ppn_z]]="","",IFERROR(
   IF(_xlfn.XLOOKUP(Final_Sans_VGE[[#This Row],[ppn_z]],tbl_Historique_Final[ppn_z],tbl_Historique_Final[date_modif])=Final_Sans_VGE[[#This Row],[date_modif]],
      "Ancien",
      "Modifié"),
   "Nouveau"))</f>
        <v>#VALUE!</v>
      </c>
      <c r="AD8377" s="1" t="str">
        <f>IFERROR(IF(Final_Sans_VGE[[#This Row],[ppn_z]]="","",IFERROR(
   IF(_xlfn.XLOOKUP(Final_Sans_VGE[[#This Row],[ppn_z]],tbl_Historique_Final[[#This Row],[ppn_z]],tbl_Historique_Final[[#This Row],[date_modif]])=Final_Sans_VGE[[#This Row],[date_modif]],
      "Ancien",
      "Modifié"),
   "Nouveau")),"")</f>
        <v/>
      </c>
    </row>
    <row r="8378" spans="24:30" x14ac:dyDescent="0.25">
      <c r="X8378" s="8" t="e">
        <f>IF(Final_Sans_VGE[[#This Row],[ppn_z]]="","",IFERROR(
   IF(_xlfn.XLOOKUP(Final_Sans_VGE[[#This Row],[ppn_z]],tbl_Historique_Final[ppn_z],tbl_Historique_Final[date_modif])=Final_Sans_VGE[[#This Row],[date_modif]],
      "Ancien",
      "Modifié"),
   "Nouveau"))</f>
        <v>#VALUE!</v>
      </c>
      <c r="AD8378" s="1" t="str">
        <f>IFERROR(IF(Final_Sans_VGE[[#This Row],[ppn_z]]="","",IFERROR(
   IF(_xlfn.XLOOKUP(Final_Sans_VGE[[#This Row],[ppn_z]],tbl_Historique_Final[[#This Row],[ppn_z]],tbl_Historique_Final[[#This Row],[date_modif]])=Final_Sans_VGE[[#This Row],[date_modif]],
      "Ancien",
      "Modifié"),
   "Nouveau")),"")</f>
        <v/>
      </c>
    </row>
    <row r="8379" spans="24:30" x14ac:dyDescent="0.25">
      <c r="X8379" s="8" t="e">
        <f>IF(Final_Sans_VGE[[#This Row],[ppn_z]]="","",IFERROR(
   IF(_xlfn.XLOOKUP(Final_Sans_VGE[[#This Row],[ppn_z]],tbl_Historique_Final[ppn_z],tbl_Historique_Final[date_modif])=Final_Sans_VGE[[#This Row],[date_modif]],
      "Ancien",
      "Modifié"),
   "Nouveau"))</f>
        <v>#VALUE!</v>
      </c>
      <c r="AD8379" s="1" t="str">
        <f>IFERROR(IF(Final_Sans_VGE[[#This Row],[ppn_z]]="","",IFERROR(
   IF(_xlfn.XLOOKUP(Final_Sans_VGE[[#This Row],[ppn_z]],tbl_Historique_Final[[#This Row],[ppn_z]],tbl_Historique_Final[[#This Row],[date_modif]])=Final_Sans_VGE[[#This Row],[date_modif]],
      "Ancien",
      "Modifié"),
   "Nouveau")),"")</f>
        <v/>
      </c>
    </row>
    <row r="8380" spans="24:30" x14ac:dyDescent="0.25">
      <c r="X8380" s="8" t="e">
        <f>IF(Final_Sans_VGE[[#This Row],[ppn_z]]="","",IFERROR(
   IF(_xlfn.XLOOKUP(Final_Sans_VGE[[#This Row],[ppn_z]],tbl_Historique_Final[ppn_z],tbl_Historique_Final[date_modif])=Final_Sans_VGE[[#This Row],[date_modif]],
      "Ancien",
      "Modifié"),
   "Nouveau"))</f>
        <v>#VALUE!</v>
      </c>
      <c r="AD8380" s="1" t="str">
        <f>IFERROR(IF(Final_Sans_VGE[[#This Row],[ppn_z]]="","",IFERROR(
   IF(_xlfn.XLOOKUP(Final_Sans_VGE[[#This Row],[ppn_z]],tbl_Historique_Final[[#This Row],[ppn_z]],tbl_Historique_Final[[#This Row],[date_modif]])=Final_Sans_VGE[[#This Row],[date_modif]],
      "Ancien",
      "Modifié"),
   "Nouveau")),"")</f>
        <v/>
      </c>
    </row>
    <row r="8381" spans="24:30" x14ac:dyDescent="0.25">
      <c r="X8381" s="8" t="e">
        <f>IF(Final_Sans_VGE[[#This Row],[ppn_z]]="","",IFERROR(
   IF(_xlfn.XLOOKUP(Final_Sans_VGE[[#This Row],[ppn_z]],tbl_Historique_Final[ppn_z],tbl_Historique_Final[date_modif])=Final_Sans_VGE[[#This Row],[date_modif]],
      "Ancien",
      "Modifié"),
   "Nouveau"))</f>
        <v>#VALUE!</v>
      </c>
      <c r="AD8381" s="1" t="str">
        <f>IFERROR(IF(Final_Sans_VGE[[#This Row],[ppn_z]]="","",IFERROR(
   IF(_xlfn.XLOOKUP(Final_Sans_VGE[[#This Row],[ppn_z]],tbl_Historique_Final[[#This Row],[ppn_z]],tbl_Historique_Final[[#This Row],[date_modif]])=Final_Sans_VGE[[#This Row],[date_modif]],
      "Ancien",
      "Modifié"),
   "Nouveau")),"")</f>
        <v/>
      </c>
    </row>
    <row r="8382" spans="24:30" x14ac:dyDescent="0.25">
      <c r="X8382" s="8" t="e">
        <f>IF(Final_Sans_VGE[[#This Row],[ppn_z]]="","",IFERROR(
   IF(_xlfn.XLOOKUP(Final_Sans_VGE[[#This Row],[ppn_z]],tbl_Historique_Final[ppn_z],tbl_Historique_Final[date_modif])=Final_Sans_VGE[[#This Row],[date_modif]],
      "Ancien",
      "Modifié"),
   "Nouveau"))</f>
        <v>#VALUE!</v>
      </c>
      <c r="AD8382" s="1" t="str">
        <f>IFERROR(IF(Final_Sans_VGE[[#This Row],[ppn_z]]="","",IFERROR(
   IF(_xlfn.XLOOKUP(Final_Sans_VGE[[#This Row],[ppn_z]],tbl_Historique_Final[[#This Row],[ppn_z]],tbl_Historique_Final[[#This Row],[date_modif]])=Final_Sans_VGE[[#This Row],[date_modif]],
      "Ancien",
      "Modifié"),
   "Nouveau")),"")</f>
        <v/>
      </c>
    </row>
    <row r="8383" spans="24:30" x14ac:dyDescent="0.25">
      <c r="X8383" s="8" t="e">
        <f>IF(Final_Sans_VGE[[#This Row],[ppn_z]]="","",IFERROR(
   IF(_xlfn.XLOOKUP(Final_Sans_VGE[[#This Row],[ppn_z]],tbl_Historique_Final[ppn_z],tbl_Historique_Final[date_modif])=Final_Sans_VGE[[#This Row],[date_modif]],
      "Ancien",
      "Modifié"),
   "Nouveau"))</f>
        <v>#VALUE!</v>
      </c>
      <c r="AD8383" s="1" t="str">
        <f>IFERROR(IF(Final_Sans_VGE[[#This Row],[ppn_z]]="","",IFERROR(
   IF(_xlfn.XLOOKUP(Final_Sans_VGE[[#This Row],[ppn_z]],tbl_Historique_Final[[#This Row],[ppn_z]],tbl_Historique_Final[[#This Row],[date_modif]])=Final_Sans_VGE[[#This Row],[date_modif]],
      "Ancien",
      "Modifié"),
   "Nouveau")),"")</f>
        <v/>
      </c>
    </row>
    <row r="8384" spans="24:30" x14ac:dyDescent="0.25">
      <c r="X8384" s="8" t="e">
        <f>IF(Final_Sans_VGE[[#This Row],[ppn_z]]="","",IFERROR(
   IF(_xlfn.XLOOKUP(Final_Sans_VGE[[#This Row],[ppn_z]],tbl_Historique_Final[ppn_z],tbl_Historique_Final[date_modif])=Final_Sans_VGE[[#This Row],[date_modif]],
      "Ancien",
      "Modifié"),
   "Nouveau"))</f>
        <v>#VALUE!</v>
      </c>
      <c r="AD8384" s="1" t="str">
        <f>IFERROR(IF(Final_Sans_VGE[[#This Row],[ppn_z]]="","",IFERROR(
   IF(_xlfn.XLOOKUP(Final_Sans_VGE[[#This Row],[ppn_z]],tbl_Historique_Final[[#This Row],[ppn_z]],tbl_Historique_Final[[#This Row],[date_modif]])=Final_Sans_VGE[[#This Row],[date_modif]],
      "Ancien",
      "Modifié"),
   "Nouveau")),"")</f>
        <v/>
      </c>
    </row>
    <row r="8385" spans="24:30" x14ac:dyDescent="0.25">
      <c r="X8385" s="8" t="e">
        <f>IF(Final_Sans_VGE[[#This Row],[ppn_z]]="","",IFERROR(
   IF(_xlfn.XLOOKUP(Final_Sans_VGE[[#This Row],[ppn_z]],tbl_Historique_Final[ppn_z],tbl_Historique_Final[date_modif])=Final_Sans_VGE[[#This Row],[date_modif]],
      "Ancien",
      "Modifié"),
   "Nouveau"))</f>
        <v>#VALUE!</v>
      </c>
      <c r="AD8385" s="1" t="str">
        <f>IFERROR(IF(Final_Sans_VGE[[#This Row],[ppn_z]]="","",IFERROR(
   IF(_xlfn.XLOOKUP(Final_Sans_VGE[[#This Row],[ppn_z]],tbl_Historique_Final[[#This Row],[ppn_z]],tbl_Historique_Final[[#This Row],[date_modif]])=Final_Sans_VGE[[#This Row],[date_modif]],
      "Ancien",
      "Modifié"),
   "Nouveau")),"")</f>
        <v/>
      </c>
    </row>
    <row r="8386" spans="24:30" x14ac:dyDescent="0.25">
      <c r="X8386" s="8" t="e">
        <f>IF(Final_Sans_VGE[[#This Row],[ppn_z]]="","",IFERROR(
   IF(_xlfn.XLOOKUP(Final_Sans_VGE[[#This Row],[ppn_z]],tbl_Historique_Final[ppn_z],tbl_Historique_Final[date_modif])=Final_Sans_VGE[[#This Row],[date_modif]],
      "Ancien",
      "Modifié"),
   "Nouveau"))</f>
        <v>#VALUE!</v>
      </c>
      <c r="AD8386" s="1" t="str">
        <f>IFERROR(IF(Final_Sans_VGE[[#This Row],[ppn_z]]="","",IFERROR(
   IF(_xlfn.XLOOKUP(Final_Sans_VGE[[#This Row],[ppn_z]],tbl_Historique_Final[[#This Row],[ppn_z]],tbl_Historique_Final[[#This Row],[date_modif]])=Final_Sans_VGE[[#This Row],[date_modif]],
      "Ancien",
      "Modifié"),
   "Nouveau")),"")</f>
        <v/>
      </c>
    </row>
    <row r="8387" spans="24:30" x14ac:dyDescent="0.25">
      <c r="X8387" s="8" t="e">
        <f>IF(Final_Sans_VGE[[#This Row],[ppn_z]]="","",IFERROR(
   IF(_xlfn.XLOOKUP(Final_Sans_VGE[[#This Row],[ppn_z]],tbl_Historique_Final[ppn_z],tbl_Historique_Final[date_modif])=Final_Sans_VGE[[#This Row],[date_modif]],
      "Ancien",
      "Modifié"),
   "Nouveau"))</f>
        <v>#VALUE!</v>
      </c>
      <c r="AD8387" s="1" t="str">
        <f>IFERROR(IF(Final_Sans_VGE[[#This Row],[ppn_z]]="","",IFERROR(
   IF(_xlfn.XLOOKUP(Final_Sans_VGE[[#This Row],[ppn_z]],tbl_Historique_Final[[#This Row],[ppn_z]],tbl_Historique_Final[[#This Row],[date_modif]])=Final_Sans_VGE[[#This Row],[date_modif]],
      "Ancien",
      "Modifié"),
   "Nouveau")),"")</f>
        <v/>
      </c>
    </row>
    <row r="8388" spans="24:30" x14ac:dyDescent="0.25">
      <c r="X8388" s="8" t="e">
        <f>IF(Final_Sans_VGE[[#This Row],[ppn_z]]="","",IFERROR(
   IF(_xlfn.XLOOKUP(Final_Sans_VGE[[#This Row],[ppn_z]],tbl_Historique_Final[ppn_z],tbl_Historique_Final[date_modif])=Final_Sans_VGE[[#This Row],[date_modif]],
      "Ancien",
      "Modifié"),
   "Nouveau"))</f>
        <v>#VALUE!</v>
      </c>
      <c r="AD8388" s="1" t="str">
        <f>IFERROR(IF(Final_Sans_VGE[[#This Row],[ppn_z]]="","",IFERROR(
   IF(_xlfn.XLOOKUP(Final_Sans_VGE[[#This Row],[ppn_z]],tbl_Historique_Final[[#This Row],[ppn_z]],tbl_Historique_Final[[#This Row],[date_modif]])=Final_Sans_VGE[[#This Row],[date_modif]],
      "Ancien",
      "Modifié"),
   "Nouveau")),"")</f>
        <v/>
      </c>
    </row>
    <row r="8389" spans="24:30" x14ac:dyDescent="0.25">
      <c r="X8389" s="8" t="e">
        <f>IF(Final_Sans_VGE[[#This Row],[ppn_z]]="","",IFERROR(
   IF(_xlfn.XLOOKUP(Final_Sans_VGE[[#This Row],[ppn_z]],tbl_Historique_Final[ppn_z],tbl_Historique_Final[date_modif])=Final_Sans_VGE[[#This Row],[date_modif]],
      "Ancien",
      "Modifié"),
   "Nouveau"))</f>
        <v>#VALUE!</v>
      </c>
      <c r="AD8389" s="1" t="str">
        <f>IFERROR(IF(Final_Sans_VGE[[#This Row],[ppn_z]]="","",IFERROR(
   IF(_xlfn.XLOOKUP(Final_Sans_VGE[[#This Row],[ppn_z]],tbl_Historique_Final[[#This Row],[ppn_z]],tbl_Historique_Final[[#This Row],[date_modif]])=Final_Sans_VGE[[#This Row],[date_modif]],
      "Ancien",
      "Modifié"),
   "Nouveau")),"")</f>
        <v/>
      </c>
    </row>
    <row r="8390" spans="24:30" x14ac:dyDescent="0.25">
      <c r="X8390" s="8" t="e">
        <f>IF(Final_Sans_VGE[[#This Row],[ppn_z]]="","",IFERROR(
   IF(_xlfn.XLOOKUP(Final_Sans_VGE[[#This Row],[ppn_z]],tbl_Historique_Final[ppn_z],tbl_Historique_Final[date_modif])=Final_Sans_VGE[[#This Row],[date_modif]],
      "Ancien",
      "Modifié"),
   "Nouveau"))</f>
        <v>#VALUE!</v>
      </c>
      <c r="AD8390" s="1" t="str">
        <f>IFERROR(IF(Final_Sans_VGE[[#This Row],[ppn_z]]="","",IFERROR(
   IF(_xlfn.XLOOKUP(Final_Sans_VGE[[#This Row],[ppn_z]],tbl_Historique_Final[[#This Row],[ppn_z]],tbl_Historique_Final[[#This Row],[date_modif]])=Final_Sans_VGE[[#This Row],[date_modif]],
      "Ancien",
      "Modifié"),
   "Nouveau")),"")</f>
        <v/>
      </c>
    </row>
    <row r="8391" spans="24:30" x14ac:dyDescent="0.25">
      <c r="X8391" s="8" t="e">
        <f>IF(Final_Sans_VGE[[#This Row],[ppn_z]]="","",IFERROR(
   IF(_xlfn.XLOOKUP(Final_Sans_VGE[[#This Row],[ppn_z]],tbl_Historique_Final[ppn_z],tbl_Historique_Final[date_modif])=Final_Sans_VGE[[#This Row],[date_modif]],
      "Ancien",
      "Modifié"),
   "Nouveau"))</f>
        <v>#VALUE!</v>
      </c>
      <c r="AD8391" s="1" t="str">
        <f>IFERROR(IF(Final_Sans_VGE[[#This Row],[ppn_z]]="","",IFERROR(
   IF(_xlfn.XLOOKUP(Final_Sans_VGE[[#This Row],[ppn_z]],tbl_Historique_Final[[#This Row],[ppn_z]],tbl_Historique_Final[[#This Row],[date_modif]])=Final_Sans_VGE[[#This Row],[date_modif]],
      "Ancien",
      "Modifié"),
   "Nouveau")),"")</f>
        <v/>
      </c>
    </row>
    <row r="8392" spans="24:30" x14ac:dyDescent="0.25">
      <c r="X8392" s="8" t="e">
        <f>IF(Final_Sans_VGE[[#This Row],[ppn_z]]="","",IFERROR(
   IF(_xlfn.XLOOKUP(Final_Sans_VGE[[#This Row],[ppn_z]],tbl_Historique_Final[ppn_z],tbl_Historique_Final[date_modif])=Final_Sans_VGE[[#This Row],[date_modif]],
      "Ancien",
      "Modifié"),
   "Nouveau"))</f>
        <v>#VALUE!</v>
      </c>
      <c r="AD8392" s="1" t="str">
        <f>IFERROR(IF(Final_Sans_VGE[[#This Row],[ppn_z]]="","",IFERROR(
   IF(_xlfn.XLOOKUP(Final_Sans_VGE[[#This Row],[ppn_z]],tbl_Historique_Final[[#This Row],[ppn_z]],tbl_Historique_Final[[#This Row],[date_modif]])=Final_Sans_VGE[[#This Row],[date_modif]],
      "Ancien",
      "Modifié"),
   "Nouveau")),"")</f>
        <v/>
      </c>
    </row>
    <row r="8393" spans="24:30" x14ac:dyDescent="0.25">
      <c r="X8393" s="8" t="e">
        <f>IF(Final_Sans_VGE[[#This Row],[ppn_z]]="","",IFERROR(
   IF(_xlfn.XLOOKUP(Final_Sans_VGE[[#This Row],[ppn_z]],tbl_Historique_Final[ppn_z],tbl_Historique_Final[date_modif])=Final_Sans_VGE[[#This Row],[date_modif]],
      "Ancien",
      "Modifié"),
   "Nouveau"))</f>
        <v>#VALUE!</v>
      </c>
      <c r="AD8393" s="1" t="str">
        <f>IFERROR(IF(Final_Sans_VGE[[#This Row],[ppn_z]]="","",IFERROR(
   IF(_xlfn.XLOOKUP(Final_Sans_VGE[[#This Row],[ppn_z]],tbl_Historique_Final[[#This Row],[ppn_z]],tbl_Historique_Final[[#This Row],[date_modif]])=Final_Sans_VGE[[#This Row],[date_modif]],
      "Ancien",
      "Modifié"),
   "Nouveau")),"")</f>
        <v/>
      </c>
    </row>
    <row r="8394" spans="24:30" x14ac:dyDescent="0.25">
      <c r="X8394" s="8" t="e">
        <f>IF(Final_Sans_VGE[[#This Row],[ppn_z]]="","",IFERROR(
   IF(_xlfn.XLOOKUP(Final_Sans_VGE[[#This Row],[ppn_z]],tbl_Historique_Final[ppn_z],tbl_Historique_Final[date_modif])=Final_Sans_VGE[[#This Row],[date_modif]],
      "Ancien",
      "Modifié"),
   "Nouveau"))</f>
        <v>#VALUE!</v>
      </c>
      <c r="AD8394" s="1" t="str">
        <f>IFERROR(IF(Final_Sans_VGE[[#This Row],[ppn_z]]="","",IFERROR(
   IF(_xlfn.XLOOKUP(Final_Sans_VGE[[#This Row],[ppn_z]],tbl_Historique_Final[[#This Row],[ppn_z]],tbl_Historique_Final[[#This Row],[date_modif]])=Final_Sans_VGE[[#This Row],[date_modif]],
      "Ancien",
      "Modifié"),
   "Nouveau")),"")</f>
        <v/>
      </c>
    </row>
    <row r="8395" spans="24:30" x14ac:dyDescent="0.25">
      <c r="X8395" s="8" t="e">
        <f>IF(Final_Sans_VGE[[#This Row],[ppn_z]]="","",IFERROR(
   IF(_xlfn.XLOOKUP(Final_Sans_VGE[[#This Row],[ppn_z]],tbl_Historique_Final[ppn_z],tbl_Historique_Final[date_modif])=Final_Sans_VGE[[#This Row],[date_modif]],
      "Ancien",
      "Modifié"),
   "Nouveau"))</f>
        <v>#VALUE!</v>
      </c>
      <c r="AD8395" s="1" t="str">
        <f>IFERROR(IF(Final_Sans_VGE[[#This Row],[ppn_z]]="","",IFERROR(
   IF(_xlfn.XLOOKUP(Final_Sans_VGE[[#This Row],[ppn_z]],tbl_Historique_Final[[#This Row],[ppn_z]],tbl_Historique_Final[[#This Row],[date_modif]])=Final_Sans_VGE[[#This Row],[date_modif]],
      "Ancien",
      "Modifié"),
   "Nouveau")),"")</f>
        <v/>
      </c>
    </row>
    <row r="8396" spans="24:30" x14ac:dyDescent="0.25">
      <c r="X8396" s="8" t="e">
        <f>IF(Final_Sans_VGE[[#This Row],[ppn_z]]="","",IFERROR(
   IF(_xlfn.XLOOKUP(Final_Sans_VGE[[#This Row],[ppn_z]],tbl_Historique_Final[ppn_z],tbl_Historique_Final[date_modif])=Final_Sans_VGE[[#This Row],[date_modif]],
      "Ancien",
      "Modifié"),
   "Nouveau"))</f>
        <v>#VALUE!</v>
      </c>
      <c r="AD8396" s="1" t="str">
        <f>IFERROR(IF(Final_Sans_VGE[[#This Row],[ppn_z]]="","",IFERROR(
   IF(_xlfn.XLOOKUP(Final_Sans_VGE[[#This Row],[ppn_z]],tbl_Historique_Final[[#This Row],[ppn_z]],tbl_Historique_Final[[#This Row],[date_modif]])=Final_Sans_VGE[[#This Row],[date_modif]],
      "Ancien",
      "Modifié"),
   "Nouveau")),"")</f>
        <v/>
      </c>
    </row>
    <row r="8397" spans="24:30" x14ac:dyDescent="0.25">
      <c r="X8397" s="8" t="e">
        <f>IF(Final_Sans_VGE[[#This Row],[ppn_z]]="","",IFERROR(
   IF(_xlfn.XLOOKUP(Final_Sans_VGE[[#This Row],[ppn_z]],tbl_Historique_Final[ppn_z],tbl_Historique_Final[date_modif])=Final_Sans_VGE[[#This Row],[date_modif]],
      "Ancien",
      "Modifié"),
   "Nouveau"))</f>
        <v>#VALUE!</v>
      </c>
      <c r="AD8397" s="1" t="str">
        <f>IFERROR(IF(Final_Sans_VGE[[#This Row],[ppn_z]]="","",IFERROR(
   IF(_xlfn.XLOOKUP(Final_Sans_VGE[[#This Row],[ppn_z]],tbl_Historique_Final[[#This Row],[ppn_z]],tbl_Historique_Final[[#This Row],[date_modif]])=Final_Sans_VGE[[#This Row],[date_modif]],
      "Ancien",
      "Modifié"),
   "Nouveau")),"")</f>
        <v/>
      </c>
    </row>
    <row r="8398" spans="24:30" x14ac:dyDescent="0.25">
      <c r="X8398" s="8" t="e">
        <f>IF(Final_Sans_VGE[[#This Row],[ppn_z]]="","",IFERROR(
   IF(_xlfn.XLOOKUP(Final_Sans_VGE[[#This Row],[ppn_z]],tbl_Historique_Final[ppn_z],tbl_Historique_Final[date_modif])=Final_Sans_VGE[[#This Row],[date_modif]],
      "Ancien",
      "Modifié"),
   "Nouveau"))</f>
        <v>#VALUE!</v>
      </c>
      <c r="AD8398" s="1" t="str">
        <f>IFERROR(IF(Final_Sans_VGE[[#This Row],[ppn_z]]="","",IFERROR(
   IF(_xlfn.XLOOKUP(Final_Sans_VGE[[#This Row],[ppn_z]],tbl_Historique_Final[[#This Row],[ppn_z]],tbl_Historique_Final[[#This Row],[date_modif]])=Final_Sans_VGE[[#This Row],[date_modif]],
      "Ancien",
      "Modifié"),
   "Nouveau")),"")</f>
        <v/>
      </c>
    </row>
    <row r="8399" spans="24:30" x14ac:dyDescent="0.25">
      <c r="X8399" s="8" t="e">
        <f>IF(Final_Sans_VGE[[#This Row],[ppn_z]]="","",IFERROR(
   IF(_xlfn.XLOOKUP(Final_Sans_VGE[[#This Row],[ppn_z]],tbl_Historique_Final[ppn_z],tbl_Historique_Final[date_modif])=Final_Sans_VGE[[#This Row],[date_modif]],
      "Ancien",
      "Modifié"),
   "Nouveau"))</f>
        <v>#VALUE!</v>
      </c>
      <c r="AD8399" s="1" t="str">
        <f>IFERROR(IF(Final_Sans_VGE[[#This Row],[ppn_z]]="","",IFERROR(
   IF(_xlfn.XLOOKUP(Final_Sans_VGE[[#This Row],[ppn_z]],tbl_Historique_Final[[#This Row],[ppn_z]],tbl_Historique_Final[[#This Row],[date_modif]])=Final_Sans_VGE[[#This Row],[date_modif]],
      "Ancien",
      "Modifié"),
   "Nouveau")),"")</f>
        <v/>
      </c>
    </row>
    <row r="8400" spans="24:30" x14ac:dyDescent="0.25">
      <c r="X8400" s="8" t="e">
        <f>IF(Final_Sans_VGE[[#This Row],[ppn_z]]="","",IFERROR(
   IF(_xlfn.XLOOKUP(Final_Sans_VGE[[#This Row],[ppn_z]],tbl_Historique_Final[ppn_z],tbl_Historique_Final[date_modif])=Final_Sans_VGE[[#This Row],[date_modif]],
      "Ancien",
      "Modifié"),
   "Nouveau"))</f>
        <v>#VALUE!</v>
      </c>
      <c r="AD8400" s="1" t="str">
        <f>IFERROR(IF(Final_Sans_VGE[[#This Row],[ppn_z]]="","",IFERROR(
   IF(_xlfn.XLOOKUP(Final_Sans_VGE[[#This Row],[ppn_z]],tbl_Historique_Final[[#This Row],[ppn_z]],tbl_Historique_Final[[#This Row],[date_modif]])=Final_Sans_VGE[[#This Row],[date_modif]],
      "Ancien",
      "Modifié"),
   "Nouveau")),"")</f>
        <v/>
      </c>
    </row>
    <row r="8401" spans="24:30" x14ac:dyDescent="0.25">
      <c r="X8401" s="8" t="e">
        <f>IF(Final_Sans_VGE[[#This Row],[ppn_z]]="","",IFERROR(
   IF(_xlfn.XLOOKUP(Final_Sans_VGE[[#This Row],[ppn_z]],tbl_Historique_Final[ppn_z],tbl_Historique_Final[date_modif])=Final_Sans_VGE[[#This Row],[date_modif]],
      "Ancien",
      "Modifié"),
   "Nouveau"))</f>
        <v>#VALUE!</v>
      </c>
      <c r="AD8401" s="1" t="str">
        <f>IFERROR(IF(Final_Sans_VGE[[#This Row],[ppn_z]]="","",IFERROR(
   IF(_xlfn.XLOOKUP(Final_Sans_VGE[[#This Row],[ppn_z]],tbl_Historique_Final[[#This Row],[ppn_z]],tbl_Historique_Final[[#This Row],[date_modif]])=Final_Sans_VGE[[#This Row],[date_modif]],
      "Ancien",
      "Modifié"),
   "Nouveau")),"")</f>
        <v/>
      </c>
    </row>
    <row r="8402" spans="24:30" x14ac:dyDescent="0.25">
      <c r="X8402" s="8" t="e">
        <f>IF(Final_Sans_VGE[[#This Row],[ppn_z]]="","",IFERROR(
   IF(_xlfn.XLOOKUP(Final_Sans_VGE[[#This Row],[ppn_z]],tbl_Historique_Final[ppn_z],tbl_Historique_Final[date_modif])=Final_Sans_VGE[[#This Row],[date_modif]],
      "Ancien",
      "Modifié"),
   "Nouveau"))</f>
        <v>#VALUE!</v>
      </c>
      <c r="AD8402" s="1" t="str">
        <f>IFERROR(IF(Final_Sans_VGE[[#This Row],[ppn_z]]="","",IFERROR(
   IF(_xlfn.XLOOKUP(Final_Sans_VGE[[#This Row],[ppn_z]],tbl_Historique_Final[[#This Row],[ppn_z]],tbl_Historique_Final[[#This Row],[date_modif]])=Final_Sans_VGE[[#This Row],[date_modif]],
      "Ancien",
      "Modifié"),
   "Nouveau")),"")</f>
        <v/>
      </c>
    </row>
    <row r="8403" spans="24:30" x14ac:dyDescent="0.25">
      <c r="X8403" s="8" t="e">
        <f>IF(Final_Sans_VGE[[#This Row],[ppn_z]]="","",IFERROR(
   IF(_xlfn.XLOOKUP(Final_Sans_VGE[[#This Row],[ppn_z]],tbl_Historique_Final[ppn_z],tbl_Historique_Final[date_modif])=Final_Sans_VGE[[#This Row],[date_modif]],
      "Ancien",
      "Modifié"),
   "Nouveau"))</f>
        <v>#VALUE!</v>
      </c>
      <c r="AD8403" s="1" t="str">
        <f>IFERROR(IF(Final_Sans_VGE[[#This Row],[ppn_z]]="","",IFERROR(
   IF(_xlfn.XLOOKUP(Final_Sans_VGE[[#This Row],[ppn_z]],tbl_Historique_Final[[#This Row],[ppn_z]],tbl_Historique_Final[[#This Row],[date_modif]])=Final_Sans_VGE[[#This Row],[date_modif]],
      "Ancien",
      "Modifié"),
   "Nouveau")),"")</f>
        <v/>
      </c>
    </row>
    <row r="8404" spans="24:30" x14ac:dyDescent="0.25">
      <c r="X8404" s="8" t="e">
        <f>IF(Final_Sans_VGE[[#This Row],[ppn_z]]="","",IFERROR(
   IF(_xlfn.XLOOKUP(Final_Sans_VGE[[#This Row],[ppn_z]],tbl_Historique_Final[ppn_z],tbl_Historique_Final[date_modif])=Final_Sans_VGE[[#This Row],[date_modif]],
      "Ancien",
      "Modifié"),
   "Nouveau"))</f>
        <v>#VALUE!</v>
      </c>
      <c r="AD8404" s="1" t="str">
        <f>IFERROR(IF(Final_Sans_VGE[[#This Row],[ppn_z]]="","",IFERROR(
   IF(_xlfn.XLOOKUP(Final_Sans_VGE[[#This Row],[ppn_z]],tbl_Historique_Final[[#This Row],[ppn_z]],tbl_Historique_Final[[#This Row],[date_modif]])=Final_Sans_VGE[[#This Row],[date_modif]],
      "Ancien",
      "Modifié"),
   "Nouveau")),"")</f>
        <v/>
      </c>
    </row>
    <row r="8405" spans="24:30" x14ac:dyDescent="0.25">
      <c r="X8405" s="8" t="e">
        <f>IF(Final_Sans_VGE[[#This Row],[ppn_z]]="","",IFERROR(
   IF(_xlfn.XLOOKUP(Final_Sans_VGE[[#This Row],[ppn_z]],tbl_Historique_Final[ppn_z],tbl_Historique_Final[date_modif])=Final_Sans_VGE[[#This Row],[date_modif]],
      "Ancien",
      "Modifié"),
   "Nouveau"))</f>
        <v>#VALUE!</v>
      </c>
      <c r="AD8405" s="1" t="str">
        <f>IFERROR(IF(Final_Sans_VGE[[#This Row],[ppn_z]]="","",IFERROR(
   IF(_xlfn.XLOOKUP(Final_Sans_VGE[[#This Row],[ppn_z]],tbl_Historique_Final[[#This Row],[ppn_z]],tbl_Historique_Final[[#This Row],[date_modif]])=Final_Sans_VGE[[#This Row],[date_modif]],
      "Ancien",
      "Modifié"),
   "Nouveau")),"")</f>
        <v/>
      </c>
    </row>
    <row r="8406" spans="24:30" x14ac:dyDescent="0.25">
      <c r="X8406" s="8" t="e">
        <f>IF(Final_Sans_VGE[[#This Row],[ppn_z]]="","",IFERROR(
   IF(_xlfn.XLOOKUP(Final_Sans_VGE[[#This Row],[ppn_z]],tbl_Historique_Final[ppn_z],tbl_Historique_Final[date_modif])=Final_Sans_VGE[[#This Row],[date_modif]],
      "Ancien",
      "Modifié"),
   "Nouveau"))</f>
        <v>#VALUE!</v>
      </c>
      <c r="AD8406" s="1" t="str">
        <f>IFERROR(IF(Final_Sans_VGE[[#This Row],[ppn_z]]="","",IFERROR(
   IF(_xlfn.XLOOKUP(Final_Sans_VGE[[#This Row],[ppn_z]],tbl_Historique_Final[[#This Row],[ppn_z]],tbl_Historique_Final[[#This Row],[date_modif]])=Final_Sans_VGE[[#This Row],[date_modif]],
      "Ancien",
      "Modifié"),
   "Nouveau")),"")</f>
        <v/>
      </c>
    </row>
    <row r="8407" spans="24:30" x14ac:dyDescent="0.25">
      <c r="X8407" s="8" t="e">
        <f>IF(Final_Sans_VGE[[#This Row],[ppn_z]]="","",IFERROR(
   IF(_xlfn.XLOOKUP(Final_Sans_VGE[[#This Row],[ppn_z]],tbl_Historique_Final[ppn_z],tbl_Historique_Final[date_modif])=Final_Sans_VGE[[#This Row],[date_modif]],
      "Ancien",
      "Modifié"),
   "Nouveau"))</f>
        <v>#VALUE!</v>
      </c>
      <c r="AD8407" s="1" t="str">
        <f>IFERROR(IF(Final_Sans_VGE[[#This Row],[ppn_z]]="","",IFERROR(
   IF(_xlfn.XLOOKUP(Final_Sans_VGE[[#This Row],[ppn_z]],tbl_Historique_Final[[#This Row],[ppn_z]],tbl_Historique_Final[[#This Row],[date_modif]])=Final_Sans_VGE[[#This Row],[date_modif]],
      "Ancien",
      "Modifié"),
   "Nouveau")),"")</f>
        <v/>
      </c>
    </row>
    <row r="8408" spans="24:30" x14ac:dyDescent="0.25">
      <c r="X8408" s="8" t="e">
        <f>IF(Final_Sans_VGE[[#This Row],[ppn_z]]="","",IFERROR(
   IF(_xlfn.XLOOKUP(Final_Sans_VGE[[#This Row],[ppn_z]],tbl_Historique_Final[ppn_z],tbl_Historique_Final[date_modif])=Final_Sans_VGE[[#This Row],[date_modif]],
      "Ancien",
      "Modifié"),
   "Nouveau"))</f>
        <v>#VALUE!</v>
      </c>
      <c r="AD8408" s="1" t="str">
        <f>IFERROR(IF(Final_Sans_VGE[[#This Row],[ppn_z]]="","",IFERROR(
   IF(_xlfn.XLOOKUP(Final_Sans_VGE[[#This Row],[ppn_z]],tbl_Historique_Final[[#This Row],[ppn_z]],tbl_Historique_Final[[#This Row],[date_modif]])=Final_Sans_VGE[[#This Row],[date_modif]],
      "Ancien",
      "Modifié"),
   "Nouveau")),"")</f>
        <v/>
      </c>
    </row>
    <row r="8409" spans="24:30" x14ac:dyDescent="0.25">
      <c r="X8409" s="8" t="e">
        <f>IF(Final_Sans_VGE[[#This Row],[ppn_z]]="","",IFERROR(
   IF(_xlfn.XLOOKUP(Final_Sans_VGE[[#This Row],[ppn_z]],tbl_Historique_Final[ppn_z],tbl_Historique_Final[date_modif])=Final_Sans_VGE[[#This Row],[date_modif]],
      "Ancien",
      "Modifié"),
   "Nouveau"))</f>
        <v>#VALUE!</v>
      </c>
      <c r="AD8409" s="1" t="str">
        <f>IFERROR(IF(Final_Sans_VGE[[#This Row],[ppn_z]]="","",IFERROR(
   IF(_xlfn.XLOOKUP(Final_Sans_VGE[[#This Row],[ppn_z]],tbl_Historique_Final[[#This Row],[ppn_z]],tbl_Historique_Final[[#This Row],[date_modif]])=Final_Sans_VGE[[#This Row],[date_modif]],
      "Ancien",
      "Modifié"),
   "Nouveau")),"")</f>
        <v/>
      </c>
    </row>
    <row r="8410" spans="24:30" x14ac:dyDescent="0.25">
      <c r="X8410" s="8" t="e">
        <f>IF(Final_Sans_VGE[[#This Row],[ppn_z]]="","",IFERROR(
   IF(_xlfn.XLOOKUP(Final_Sans_VGE[[#This Row],[ppn_z]],tbl_Historique_Final[ppn_z],tbl_Historique_Final[date_modif])=Final_Sans_VGE[[#This Row],[date_modif]],
      "Ancien",
      "Modifié"),
   "Nouveau"))</f>
        <v>#VALUE!</v>
      </c>
      <c r="AD8410" s="1" t="str">
        <f>IFERROR(IF(Final_Sans_VGE[[#This Row],[ppn_z]]="","",IFERROR(
   IF(_xlfn.XLOOKUP(Final_Sans_VGE[[#This Row],[ppn_z]],tbl_Historique_Final[[#This Row],[ppn_z]],tbl_Historique_Final[[#This Row],[date_modif]])=Final_Sans_VGE[[#This Row],[date_modif]],
      "Ancien",
      "Modifié"),
   "Nouveau")),"")</f>
        <v/>
      </c>
    </row>
    <row r="8411" spans="24:30" x14ac:dyDescent="0.25">
      <c r="X8411" s="8" t="e">
        <f>IF(Final_Sans_VGE[[#This Row],[ppn_z]]="","",IFERROR(
   IF(_xlfn.XLOOKUP(Final_Sans_VGE[[#This Row],[ppn_z]],tbl_Historique_Final[ppn_z],tbl_Historique_Final[date_modif])=Final_Sans_VGE[[#This Row],[date_modif]],
      "Ancien",
      "Modifié"),
   "Nouveau"))</f>
        <v>#VALUE!</v>
      </c>
      <c r="AD8411" s="1" t="str">
        <f>IFERROR(IF(Final_Sans_VGE[[#This Row],[ppn_z]]="","",IFERROR(
   IF(_xlfn.XLOOKUP(Final_Sans_VGE[[#This Row],[ppn_z]],tbl_Historique_Final[[#This Row],[ppn_z]],tbl_Historique_Final[[#This Row],[date_modif]])=Final_Sans_VGE[[#This Row],[date_modif]],
      "Ancien",
      "Modifié"),
   "Nouveau")),"")</f>
        <v/>
      </c>
    </row>
    <row r="8412" spans="24:30" x14ac:dyDescent="0.25">
      <c r="X8412" s="8" t="e">
        <f>IF(Final_Sans_VGE[[#This Row],[ppn_z]]="","",IFERROR(
   IF(_xlfn.XLOOKUP(Final_Sans_VGE[[#This Row],[ppn_z]],tbl_Historique_Final[ppn_z],tbl_Historique_Final[date_modif])=Final_Sans_VGE[[#This Row],[date_modif]],
      "Ancien",
      "Modifié"),
   "Nouveau"))</f>
        <v>#VALUE!</v>
      </c>
      <c r="AD8412" s="1" t="str">
        <f>IFERROR(IF(Final_Sans_VGE[[#This Row],[ppn_z]]="","",IFERROR(
   IF(_xlfn.XLOOKUP(Final_Sans_VGE[[#This Row],[ppn_z]],tbl_Historique_Final[[#This Row],[ppn_z]],tbl_Historique_Final[[#This Row],[date_modif]])=Final_Sans_VGE[[#This Row],[date_modif]],
      "Ancien",
      "Modifié"),
   "Nouveau")),"")</f>
        <v/>
      </c>
    </row>
    <row r="8413" spans="24:30" x14ac:dyDescent="0.25">
      <c r="X8413" s="8" t="e">
        <f>IF(Final_Sans_VGE[[#This Row],[ppn_z]]="","",IFERROR(
   IF(_xlfn.XLOOKUP(Final_Sans_VGE[[#This Row],[ppn_z]],tbl_Historique_Final[ppn_z],tbl_Historique_Final[date_modif])=Final_Sans_VGE[[#This Row],[date_modif]],
      "Ancien",
      "Modifié"),
   "Nouveau"))</f>
        <v>#VALUE!</v>
      </c>
      <c r="AD8413" s="1" t="str">
        <f>IFERROR(IF(Final_Sans_VGE[[#This Row],[ppn_z]]="","",IFERROR(
   IF(_xlfn.XLOOKUP(Final_Sans_VGE[[#This Row],[ppn_z]],tbl_Historique_Final[[#This Row],[ppn_z]],tbl_Historique_Final[[#This Row],[date_modif]])=Final_Sans_VGE[[#This Row],[date_modif]],
      "Ancien",
      "Modifié"),
   "Nouveau")),"")</f>
        <v/>
      </c>
    </row>
    <row r="8414" spans="24:30" x14ac:dyDescent="0.25">
      <c r="X8414" s="8" t="e">
        <f>IF(Final_Sans_VGE[[#This Row],[ppn_z]]="","",IFERROR(
   IF(_xlfn.XLOOKUP(Final_Sans_VGE[[#This Row],[ppn_z]],tbl_Historique_Final[ppn_z],tbl_Historique_Final[date_modif])=Final_Sans_VGE[[#This Row],[date_modif]],
      "Ancien",
      "Modifié"),
   "Nouveau"))</f>
        <v>#VALUE!</v>
      </c>
      <c r="AD8414" s="1" t="str">
        <f>IFERROR(IF(Final_Sans_VGE[[#This Row],[ppn_z]]="","",IFERROR(
   IF(_xlfn.XLOOKUP(Final_Sans_VGE[[#This Row],[ppn_z]],tbl_Historique_Final[[#This Row],[ppn_z]],tbl_Historique_Final[[#This Row],[date_modif]])=Final_Sans_VGE[[#This Row],[date_modif]],
      "Ancien",
      "Modifié"),
   "Nouveau")),"")</f>
        <v/>
      </c>
    </row>
    <row r="8415" spans="24:30" x14ac:dyDescent="0.25">
      <c r="X8415" s="8" t="e">
        <f>IF(Final_Sans_VGE[[#This Row],[ppn_z]]="","",IFERROR(
   IF(_xlfn.XLOOKUP(Final_Sans_VGE[[#This Row],[ppn_z]],tbl_Historique_Final[ppn_z],tbl_Historique_Final[date_modif])=Final_Sans_VGE[[#This Row],[date_modif]],
      "Ancien",
      "Modifié"),
   "Nouveau"))</f>
        <v>#VALUE!</v>
      </c>
      <c r="AD8415" s="1" t="str">
        <f>IFERROR(IF(Final_Sans_VGE[[#This Row],[ppn_z]]="","",IFERROR(
   IF(_xlfn.XLOOKUP(Final_Sans_VGE[[#This Row],[ppn_z]],tbl_Historique_Final[[#This Row],[ppn_z]],tbl_Historique_Final[[#This Row],[date_modif]])=Final_Sans_VGE[[#This Row],[date_modif]],
      "Ancien",
      "Modifié"),
   "Nouveau")),"")</f>
        <v/>
      </c>
    </row>
    <row r="8416" spans="24:30" x14ac:dyDescent="0.25">
      <c r="X8416" s="8" t="e">
        <f>IF(Final_Sans_VGE[[#This Row],[ppn_z]]="","",IFERROR(
   IF(_xlfn.XLOOKUP(Final_Sans_VGE[[#This Row],[ppn_z]],tbl_Historique_Final[ppn_z],tbl_Historique_Final[date_modif])=Final_Sans_VGE[[#This Row],[date_modif]],
      "Ancien",
      "Modifié"),
   "Nouveau"))</f>
        <v>#VALUE!</v>
      </c>
      <c r="AD8416" s="1" t="str">
        <f>IFERROR(IF(Final_Sans_VGE[[#This Row],[ppn_z]]="","",IFERROR(
   IF(_xlfn.XLOOKUP(Final_Sans_VGE[[#This Row],[ppn_z]],tbl_Historique_Final[[#This Row],[ppn_z]],tbl_Historique_Final[[#This Row],[date_modif]])=Final_Sans_VGE[[#This Row],[date_modif]],
      "Ancien",
      "Modifié"),
   "Nouveau")),"")</f>
        <v/>
      </c>
    </row>
    <row r="8417" spans="24:30" x14ac:dyDescent="0.25">
      <c r="X8417" s="8" t="e">
        <f>IF(Final_Sans_VGE[[#This Row],[ppn_z]]="","",IFERROR(
   IF(_xlfn.XLOOKUP(Final_Sans_VGE[[#This Row],[ppn_z]],tbl_Historique_Final[ppn_z],tbl_Historique_Final[date_modif])=Final_Sans_VGE[[#This Row],[date_modif]],
      "Ancien",
      "Modifié"),
   "Nouveau"))</f>
        <v>#VALUE!</v>
      </c>
      <c r="AD8417" s="1" t="str">
        <f>IFERROR(IF(Final_Sans_VGE[[#This Row],[ppn_z]]="","",IFERROR(
   IF(_xlfn.XLOOKUP(Final_Sans_VGE[[#This Row],[ppn_z]],tbl_Historique_Final[[#This Row],[ppn_z]],tbl_Historique_Final[[#This Row],[date_modif]])=Final_Sans_VGE[[#This Row],[date_modif]],
      "Ancien",
      "Modifié"),
   "Nouveau")),"")</f>
        <v/>
      </c>
    </row>
    <row r="8418" spans="24:30" x14ac:dyDescent="0.25">
      <c r="X8418" s="8" t="e">
        <f>IF(Final_Sans_VGE[[#This Row],[ppn_z]]="","",IFERROR(
   IF(_xlfn.XLOOKUP(Final_Sans_VGE[[#This Row],[ppn_z]],tbl_Historique_Final[ppn_z],tbl_Historique_Final[date_modif])=Final_Sans_VGE[[#This Row],[date_modif]],
      "Ancien",
      "Modifié"),
   "Nouveau"))</f>
        <v>#VALUE!</v>
      </c>
      <c r="AD8418" s="1" t="str">
        <f>IFERROR(IF(Final_Sans_VGE[[#This Row],[ppn_z]]="","",IFERROR(
   IF(_xlfn.XLOOKUP(Final_Sans_VGE[[#This Row],[ppn_z]],tbl_Historique_Final[[#This Row],[ppn_z]],tbl_Historique_Final[[#This Row],[date_modif]])=Final_Sans_VGE[[#This Row],[date_modif]],
      "Ancien",
      "Modifié"),
   "Nouveau")),"")</f>
        <v/>
      </c>
    </row>
    <row r="8419" spans="24:30" x14ac:dyDescent="0.25">
      <c r="X8419" s="8" t="e">
        <f>IF(Final_Sans_VGE[[#This Row],[ppn_z]]="","",IFERROR(
   IF(_xlfn.XLOOKUP(Final_Sans_VGE[[#This Row],[ppn_z]],tbl_Historique_Final[ppn_z],tbl_Historique_Final[date_modif])=Final_Sans_VGE[[#This Row],[date_modif]],
      "Ancien",
      "Modifié"),
   "Nouveau"))</f>
        <v>#VALUE!</v>
      </c>
      <c r="AD8419" s="1" t="str">
        <f>IFERROR(IF(Final_Sans_VGE[[#This Row],[ppn_z]]="","",IFERROR(
   IF(_xlfn.XLOOKUP(Final_Sans_VGE[[#This Row],[ppn_z]],tbl_Historique_Final[[#This Row],[ppn_z]],tbl_Historique_Final[[#This Row],[date_modif]])=Final_Sans_VGE[[#This Row],[date_modif]],
      "Ancien",
      "Modifié"),
   "Nouveau")),"")</f>
        <v/>
      </c>
    </row>
    <row r="8420" spans="24:30" x14ac:dyDescent="0.25">
      <c r="X8420" s="8" t="e">
        <f>IF(Final_Sans_VGE[[#This Row],[ppn_z]]="","",IFERROR(
   IF(_xlfn.XLOOKUP(Final_Sans_VGE[[#This Row],[ppn_z]],tbl_Historique_Final[ppn_z],tbl_Historique_Final[date_modif])=Final_Sans_VGE[[#This Row],[date_modif]],
      "Ancien",
      "Modifié"),
   "Nouveau"))</f>
        <v>#VALUE!</v>
      </c>
      <c r="AD8420" s="1" t="str">
        <f>IFERROR(IF(Final_Sans_VGE[[#This Row],[ppn_z]]="","",IFERROR(
   IF(_xlfn.XLOOKUP(Final_Sans_VGE[[#This Row],[ppn_z]],tbl_Historique_Final[[#This Row],[ppn_z]],tbl_Historique_Final[[#This Row],[date_modif]])=Final_Sans_VGE[[#This Row],[date_modif]],
      "Ancien",
      "Modifié"),
   "Nouveau")),"")</f>
        <v/>
      </c>
    </row>
    <row r="8421" spans="24:30" x14ac:dyDescent="0.25">
      <c r="X8421" s="8" t="e">
        <f>IF(Final_Sans_VGE[[#This Row],[ppn_z]]="","",IFERROR(
   IF(_xlfn.XLOOKUP(Final_Sans_VGE[[#This Row],[ppn_z]],tbl_Historique_Final[ppn_z],tbl_Historique_Final[date_modif])=Final_Sans_VGE[[#This Row],[date_modif]],
      "Ancien",
      "Modifié"),
   "Nouveau"))</f>
        <v>#VALUE!</v>
      </c>
      <c r="AD8421" s="1" t="str">
        <f>IFERROR(IF(Final_Sans_VGE[[#This Row],[ppn_z]]="","",IFERROR(
   IF(_xlfn.XLOOKUP(Final_Sans_VGE[[#This Row],[ppn_z]],tbl_Historique_Final[[#This Row],[ppn_z]],tbl_Historique_Final[[#This Row],[date_modif]])=Final_Sans_VGE[[#This Row],[date_modif]],
      "Ancien",
      "Modifié"),
   "Nouveau")),"")</f>
        <v/>
      </c>
    </row>
    <row r="8422" spans="24:30" x14ac:dyDescent="0.25">
      <c r="X8422" s="8" t="e">
        <f>IF(Final_Sans_VGE[[#This Row],[ppn_z]]="","",IFERROR(
   IF(_xlfn.XLOOKUP(Final_Sans_VGE[[#This Row],[ppn_z]],tbl_Historique_Final[ppn_z],tbl_Historique_Final[date_modif])=Final_Sans_VGE[[#This Row],[date_modif]],
      "Ancien",
      "Modifié"),
   "Nouveau"))</f>
        <v>#VALUE!</v>
      </c>
      <c r="AD8422" s="1" t="str">
        <f>IFERROR(IF(Final_Sans_VGE[[#This Row],[ppn_z]]="","",IFERROR(
   IF(_xlfn.XLOOKUP(Final_Sans_VGE[[#This Row],[ppn_z]],tbl_Historique_Final[[#This Row],[ppn_z]],tbl_Historique_Final[[#This Row],[date_modif]])=Final_Sans_VGE[[#This Row],[date_modif]],
      "Ancien",
      "Modifié"),
   "Nouveau")),"")</f>
        <v/>
      </c>
    </row>
    <row r="8423" spans="24:30" x14ac:dyDescent="0.25">
      <c r="X8423" s="8" t="e">
        <f>IF(Final_Sans_VGE[[#This Row],[ppn_z]]="","",IFERROR(
   IF(_xlfn.XLOOKUP(Final_Sans_VGE[[#This Row],[ppn_z]],tbl_Historique_Final[ppn_z],tbl_Historique_Final[date_modif])=Final_Sans_VGE[[#This Row],[date_modif]],
      "Ancien",
      "Modifié"),
   "Nouveau"))</f>
        <v>#VALUE!</v>
      </c>
      <c r="AD8423" s="1" t="str">
        <f>IFERROR(IF(Final_Sans_VGE[[#This Row],[ppn_z]]="","",IFERROR(
   IF(_xlfn.XLOOKUP(Final_Sans_VGE[[#This Row],[ppn_z]],tbl_Historique_Final[[#This Row],[ppn_z]],tbl_Historique_Final[[#This Row],[date_modif]])=Final_Sans_VGE[[#This Row],[date_modif]],
      "Ancien",
      "Modifié"),
   "Nouveau")),"")</f>
        <v/>
      </c>
    </row>
    <row r="8424" spans="24:30" x14ac:dyDescent="0.25">
      <c r="X8424" s="8" t="e">
        <f>IF(Final_Sans_VGE[[#This Row],[ppn_z]]="","",IFERROR(
   IF(_xlfn.XLOOKUP(Final_Sans_VGE[[#This Row],[ppn_z]],tbl_Historique_Final[ppn_z],tbl_Historique_Final[date_modif])=Final_Sans_VGE[[#This Row],[date_modif]],
      "Ancien",
      "Modifié"),
   "Nouveau"))</f>
        <v>#VALUE!</v>
      </c>
      <c r="AD8424" s="1" t="str">
        <f>IFERROR(IF(Final_Sans_VGE[[#This Row],[ppn_z]]="","",IFERROR(
   IF(_xlfn.XLOOKUP(Final_Sans_VGE[[#This Row],[ppn_z]],tbl_Historique_Final[[#This Row],[ppn_z]],tbl_Historique_Final[[#This Row],[date_modif]])=Final_Sans_VGE[[#This Row],[date_modif]],
      "Ancien",
      "Modifié"),
   "Nouveau")),"")</f>
        <v/>
      </c>
    </row>
    <row r="8425" spans="24:30" x14ac:dyDescent="0.25">
      <c r="X8425" s="8" t="e">
        <f>IF(Final_Sans_VGE[[#This Row],[ppn_z]]="","",IFERROR(
   IF(_xlfn.XLOOKUP(Final_Sans_VGE[[#This Row],[ppn_z]],tbl_Historique_Final[ppn_z],tbl_Historique_Final[date_modif])=Final_Sans_VGE[[#This Row],[date_modif]],
      "Ancien",
      "Modifié"),
   "Nouveau"))</f>
        <v>#VALUE!</v>
      </c>
      <c r="AD8425" s="1" t="str">
        <f>IFERROR(IF(Final_Sans_VGE[[#This Row],[ppn_z]]="","",IFERROR(
   IF(_xlfn.XLOOKUP(Final_Sans_VGE[[#This Row],[ppn_z]],tbl_Historique_Final[[#This Row],[ppn_z]],tbl_Historique_Final[[#This Row],[date_modif]])=Final_Sans_VGE[[#This Row],[date_modif]],
      "Ancien",
      "Modifié"),
   "Nouveau")),"")</f>
        <v/>
      </c>
    </row>
    <row r="8426" spans="24:30" x14ac:dyDescent="0.25">
      <c r="X8426" s="8" t="e">
        <f>IF(Final_Sans_VGE[[#This Row],[ppn_z]]="","",IFERROR(
   IF(_xlfn.XLOOKUP(Final_Sans_VGE[[#This Row],[ppn_z]],tbl_Historique_Final[ppn_z],tbl_Historique_Final[date_modif])=Final_Sans_VGE[[#This Row],[date_modif]],
      "Ancien",
      "Modifié"),
   "Nouveau"))</f>
        <v>#VALUE!</v>
      </c>
      <c r="AD8426" s="1" t="str">
        <f>IFERROR(IF(Final_Sans_VGE[[#This Row],[ppn_z]]="","",IFERROR(
   IF(_xlfn.XLOOKUP(Final_Sans_VGE[[#This Row],[ppn_z]],tbl_Historique_Final[[#This Row],[ppn_z]],tbl_Historique_Final[[#This Row],[date_modif]])=Final_Sans_VGE[[#This Row],[date_modif]],
      "Ancien",
      "Modifié"),
   "Nouveau")),"")</f>
        <v/>
      </c>
    </row>
    <row r="8427" spans="24:30" x14ac:dyDescent="0.25">
      <c r="X8427" s="8" t="e">
        <f>IF(Final_Sans_VGE[[#This Row],[ppn_z]]="","",IFERROR(
   IF(_xlfn.XLOOKUP(Final_Sans_VGE[[#This Row],[ppn_z]],tbl_Historique_Final[ppn_z],tbl_Historique_Final[date_modif])=Final_Sans_VGE[[#This Row],[date_modif]],
      "Ancien",
      "Modifié"),
   "Nouveau"))</f>
        <v>#VALUE!</v>
      </c>
      <c r="AD8427" s="1" t="str">
        <f>IFERROR(IF(Final_Sans_VGE[[#This Row],[ppn_z]]="","",IFERROR(
   IF(_xlfn.XLOOKUP(Final_Sans_VGE[[#This Row],[ppn_z]],tbl_Historique_Final[[#This Row],[ppn_z]],tbl_Historique_Final[[#This Row],[date_modif]])=Final_Sans_VGE[[#This Row],[date_modif]],
      "Ancien",
      "Modifié"),
   "Nouveau")),"")</f>
        <v/>
      </c>
    </row>
    <row r="8428" spans="24:30" x14ac:dyDescent="0.25">
      <c r="X8428" s="8" t="e">
        <f>IF(Final_Sans_VGE[[#This Row],[ppn_z]]="","",IFERROR(
   IF(_xlfn.XLOOKUP(Final_Sans_VGE[[#This Row],[ppn_z]],tbl_Historique_Final[ppn_z],tbl_Historique_Final[date_modif])=Final_Sans_VGE[[#This Row],[date_modif]],
      "Ancien",
      "Modifié"),
   "Nouveau"))</f>
        <v>#VALUE!</v>
      </c>
      <c r="AD8428" s="1" t="str">
        <f>IFERROR(IF(Final_Sans_VGE[[#This Row],[ppn_z]]="","",IFERROR(
   IF(_xlfn.XLOOKUP(Final_Sans_VGE[[#This Row],[ppn_z]],tbl_Historique_Final[[#This Row],[ppn_z]],tbl_Historique_Final[[#This Row],[date_modif]])=Final_Sans_VGE[[#This Row],[date_modif]],
      "Ancien",
      "Modifié"),
   "Nouveau")),"")</f>
        <v/>
      </c>
    </row>
    <row r="8429" spans="24:30" x14ac:dyDescent="0.25">
      <c r="X8429" s="8" t="e">
        <f>IF(Final_Sans_VGE[[#This Row],[ppn_z]]="","",IFERROR(
   IF(_xlfn.XLOOKUP(Final_Sans_VGE[[#This Row],[ppn_z]],tbl_Historique_Final[ppn_z],tbl_Historique_Final[date_modif])=Final_Sans_VGE[[#This Row],[date_modif]],
      "Ancien",
      "Modifié"),
   "Nouveau"))</f>
        <v>#VALUE!</v>
      </c>
      <c r="AD8429" s="1" t="str">
        <f>IFERROR(IF(Final_Sans_VGE[[#This Row],[ppn_z]]="","",IFERROR(
   IF(_xlfn.XLOOKUP(Final_Sans_VGE[[#This Row],[ppn_z]],tbl_Historique_Final[[#This Row],[ppn_z]],tbl_Historique_Final[[#This Row],[date_modif]])=Final_Sans_VGE[[#This Row],[date_modif]],
      "Ancien",
      "Modifié"),
   "Nouveau")),"")</f>
        <v/>
      </c>
    </row>
    <row r="8430" spans="24:30" x14ac:dyDescent="0.25">
      <c r="X8430" s="8" t="e">
        <f>IF(Final_Sans_VGE[[#This Row],[ppn_z]]="","",IFERROR(
   IF(_xlfn.XLOOKUP(Final_Sans_VGE[[#This Row],[ppn_z]],tbl_Historique_Final[ppn_z],tbl_Historique_Final[date_modif])=Final_Sans_VGE[[#This Row],[date_modif]],
      "Ancien",
      "Modifié"),
   "Nouveau"))</f>
        <v>#VALUE!</v>
      </c>
      <c r="AD8430" s="1" t="str">
        <f>IFERROR(IF(Final_Sans_VGE[[#This Row],[ppn_z]]="","",IFERROR(
   IF(_xlfn.XLOOKUP(Final_Sans_VGE[[#This Row],[ppn_z]],tbl_Historique_Final[[#This Row],[ppn_z]],tbl_Historique_Final[[#This Row],[date_modif]])=Final_Sans_VGE[[#This Row],[date_modif]],
      "Ancien",
      "Modifié"),
   "Nouveau")),"")</f>
        <v/>
      </c>
    </row>
    <row r="8431" spans="24:30" x14ac:dyDescent="0.25">
      <c r="X8431" s="8" t="e">
        <f>IF(Final_Sans_VGE[[#This Row],[ppn_z]]="","",IFERROR(
   IF(_xlfn.XLOOKUP(Final_Sans_VGE[[#This Row],[ppn_z]],tbl_Historique_Final[ppn_z],tbl_Historique_Final[date_modif])=Final_Sans_VGE[[#This Row],[date_modif]],
      "Ancien",
      "Modifié"),
   "Nouveau"))</f>
        <v>#VALUE!</v>
      </c>
      <c r="AD8431" s="1" t="str">
        <f>IFERROR(IF(Final_Sans_VGE[[#This Row],[ppn_z]]="","",IFERROR(
   IF(_xlfn.XLOOKUP(Final_Sans_VGE[[#This Row],[ppn_z]],tbl_Historique_Final[[#This Row],[ppn_z]],tbl_Historique_Final[[#This Row],[date_modif]])=Final_Sans_VGE[[#This Row],[date_modif]],
      "Ancien",
      "Modifié"),
   "Nouveau")),"")</f>
        <v/>
      </c>
    </row>
    <row r="8432" spans="24:30" x14ac:dyDescent="0.25">
      <c r="X8432" s="8" t="e">
        <f>IF(Final_Sans_VGE[[#This Row],[ppn_z]]="","",IFERROR(
   IF(_xlfn.XLOOKUP(Final_Sans_VGE[[#This Row],[ppn_z]],tbl_Historique_Final[ppn_z],tbl_Historique_Final[date_modif])=Final_Sans_VGE[[#This Row],[date_modif]],
      "Ancien",
      "Modifié"),
   "Nouveau"))</f>
        <v>#VALUE!</v>
      </c>
      <c r="AD8432" s="1" t="str">
        <f>IFERROR(IF(Final_Sans_VGE[[#This Row],[ppn_z]]="","",IFERROR(
   IF(_xlfn.XLOOKUP(Final_Sans_VGE[[#This Row],[ppn_z]],tbl_Historique_Final[[#This Row],[ppn_z]],tbl_Historique_Final[[#This Row],[date_modif]])=Final_Sans_VGE[[#This Row],[date_modif]],
      "Ancien",
      "Modifié"),
   "Nouveau")),"")</f>
        <v/>
      </c>
    </row>
    <row r="8433" spans="24:30" x14ac:dyDescent="0.25">
      <c r="X8433" s="8" t="e">
        <f>IF(Final_Sans_VGE[[#This Row],[ppn_z]]="","",IFERROR(
   IF(_xlfn.XLOOKUP(Final_Sans_VGE[[#This Row],[ppn_z]],tbl_Historique_Final[ppn_z],tbl_Historique_Final[date_modif])=Final_Sans_VGE[[#This Row],[date_modif]],
      "Ancien",
      "Modifié"),
   "Nouveau"))</f>
        <v>#VALUE!</v>
      </c>
      <c r="AD8433" s="1" t="str">
        <f>IFERROR(IF(Final_Sans_VGE[[#This Row],[ppn_z]]="","",IFERROR(
   IF(_xlfn.XLOOKUP(Final_Sans_VGE[[#This Row],[ppn_z]],tbl_Historique_Final[[#This Row],[ppn_z]],tbl_Historique_Final[[#This Row],[date_modif]])=Final_Sans_VGE[[#This Row],[date_modif]],
      "Ancien",
      "Modifié"),
   "Nouveau")),"")</f>
        <v/>
      </c>
    </row>
    <row r="8434" spans="24:30" x14ac:dyDescent="0.25">
      <c r="X8434" s="8" t="e">
        <f>IF(Final_Sans_VGE[[#This Row],[ppn_z]]="","",IFERROR(
   IF(_xlfn.XLOOKUP(Final_Sans_VGE[[#This Row],[ppn_z]],tbl_Historique_Final[ppn_z],tbl_Historique_Final[date_modif])=Final_Sans_VGE[[#This Row],[date_modif]],
      "Ancien",
      "Modifié"),
   "Nouveau"))</f>
        <v>#VALUE!</v>
      </c>
      <c r="AD8434" s="1" t="str">
        <f>IFERROR(IF(Final_Sans_VGE[[#This Row],[ppn_z]]="","",IFERROR(
   IF(_xlfn.XLOOKUP(Final_Sans_VGE[[#This Row],[ppn_z]],tbl_Historique_Final[[#This Row],[ppn_z]],tbl_Historique_Final[[#This Row],[date_modif]])=Final_Sans_VGE[[#This Row],[date_modif]],
      "Ancien",
      "Modifié"),
   "Nouveau")),"")</f>
        <v/>
      </c>
    </row>
    <row r="8435" spans="24:30" x14ac:dyDescent="0.25">
      <c r="X8435" s="8" t="e">
        <f>IF(Final_Sans_VGE[[#This Row],[ppn_z]]="","",IFERROR(
   IF(_xlfn.XLOOKUP(Final_Sans_VGE[[#This Row],[ppn_z]],tbl_Historique_Final[ppn_z],tbl_Historique_Final[date_modif])=Final_Sans_VGE[[#This Row],[date_modif]],
      "Ancien",
      "Modifié"),
   "Nouveau"))</f>
        <v>#VALUE!</v>
      </c>
      <c r="AD8435" s="1" t="str">
        <f>IFERROR(IF(Final_Sans_VGE[[#This Row],[ppn_z]]="","",IFERROR(
   IF(_xlfn.XLOOKUP(Final_Sans_VGE[[#This Row],[ppn_z]],tbl_Historique_Final[[#This Row],[ppn_z]],tbl_Historique_Final[[#This Row],[date_modif]])=Final_Sans_VGE[[#This Row],[date_modif]],
      "Ancien",
      "Modifié"),
   "Nouveau")),"")</f>
        <v/>
      </c>
    </row>
    <row r="8436" spans="24:30" x14ac:dyDescent="0.25">
      <c r="X8436" s="8" t="e">
        <f>IF(Final_Sans_VGE[[#This Row],[ppn_z]]="","",IFERROR(
   IF(_xlfn.XLOOKUP(Final_Sans_VGE[[#This Row],[ppn_z]],tbl_Historique_Final[ppn_z],tbl_Historique_Final[date_modif])=Final_Sans_VGE[[#This Row],[date_modif]],
      "Ancien",
      "Modifié"),
   "Nouveau"))</f>
        <v>#VALUE!</v>
      </c>
      <c r="AD8436" s="1" t="str">
        <f>IFERROR(IF(Final_Sans_VGE[[#This Row],[ppn_z]]="","",IFERROR(
   IF(_xlfn.XLOOKUP(Final_Sans_VGE[[#This Row],[ppn_z]],tbl_Historique_Final[[#This Row],[ppn_z]],tbl_Historique_Final[[#This Row],[date_modif]])=Final_Sans_VGE[[#This Row],[date_modif]],
      "Ancien",
      "Modifié"),
   "Nouveau")),"")</f>
        <v/>
      </c>
    </row>
    <row r="8437" spans="24:30" x14ac:dyDescent="0.25">
      <c r="X8437" s="8" t="e">
        <f>IF(Final_Sans_VGE[[#This Row],[ppn_z]]="","",IFERROR(
   IF(_xlfn.XLOOKUP(Final_Sans_VGE[[#This Row],[ppn_z]],tbl_Historique_Final[ppn_z],tbl_Historique_Final[date_modif])=Final_Sans_VGE[[#This Row],[date_modif]],
      "Ancien",
      "Modifié"),
   "Nouveau"))</f>
        <v>#VALUE!</v>
      </c>
      <c r="AD8437" s="1" t="str">
        <f>IFERROR(IF(Final_Sans_VGE[[#This Row],[ppn_z]]="","",IFERROR(
   IF(_xlfn.XLOOKUP(Final_Sans_VGE[[#This Row],[ppn_z]],tbl_Historique_Final[[#This Row],[ppn_z]],tbl_Historique_Final[[#This Row],[date_modif]])=Final_Sans_VGE[[#This Row],[date_modif]],
      "Ancien",
      "Modifié"),
   "Nouveau")),"")</f>
        <v/>
      </c>
    </row>
    <row r="8438" spans="24:30" x14ac:dyDescent="0.25">
      <c r="X8438" s="8" t="e">
        <f>IF(Final_Sans_VGE[[#This Row],[ppn_z]]="","",IFERROR(
   IF(_xlfn.XLOOKUP(Final_Sans_VGE[[#This Row],[ppn_z]],tbl_Historique_Final[ppn_z],tbl_Historique_Final[date_modif])=Final_Sans_VGE[[#This Row],[date_modif]],
      "Ancien",
      "Modifié"),
   "Nouveau"))</f>
        <v>#VALUE!</v>
      </c>
      <c r="AD8438" s="1" t="str">
        <f>IFERROR(IF(Final_Sans_VGE[[#This Row],[ppn_z]]="","",IFERROR(
   IF(_xlfn.XLOOKUP(Final_Sans_VGE[[#This Row],[ppn_z]],tbl_Historique_Final[[#This Row],[ppn_z]],tbl_Historique_Final[[#This Row],[date_modif]])=Final_Sans_VGE[[#This Row],[date_modif]],
      "Ancien",
      "Modifié"),
   "Nouveau")),"")</f>
        <v/>
      </c>
    </row>
    <row r="8439" spans="24:30" x14ac:dyDescent="0.25">
      <c r="X8439" s="8" t="e">
        <f>IF(Final_Sans_VGE[[#This Row],[ppn_z]]="","",IFERROR(
   IF(_xlfn.XLOOKUP(Final_Sans_VGE[[#This Row],[ppn_z]],tbl_Historique_Final[ppn_z],tbl_Historique_Final[date_modif])=Final_Sans_VGE[[#This Row],[date_modif]],
      "Ancien",
      "Modifié"),
   "Nouveau"))</f>
        <v>#VALUE!</v>
      </c>
      <c r="AD8439" s="1" t="str">
        <f>IFERROR(IF(Final_Sans_VGE[[#This Row],[ppn_z]]="","",IFERROR(
   IF(_xlfn.XLOOKUP(Final_Sans_VGE[[#This Row],[ppn_z]],tbl_Historique_Final[[#This Row],[ppn_z]],tbl_Historique_Final[[#This Row],[date_modif]])=Final_Sans_VGE[[#This Row],[date_modif]],
      "Ancien",
      "Modifié"),
   "Nouveau")),"")</f>
        <v/>
      </c>
    </row>
    <row r="8440" spans="24:30" x14ac:dyDescent="0.25">
      <c r="X8440" s="8" t="e">
        <f>IF(Final_Sans_VGE[[#This Row],[ppn_z]]="","",IFERROR(
   IF(_xlfn.XLOOKUP(Final_Sans_VGE[[#This Row],[ppn_z]],tbl_Historique_Final[ppn_z],tbl_Historique_Final[date_modif])=Final_Sans_VGE[[#This Row],[date_modif]],
      "Ancien",
      "Modifié"),
   "Nouveau"))</f>
        <v>#VALUE!</v>
      </c>
      <c r="AD8440" s="1" t="str">
        <f>IFERROR(IF(Final_Sans_VGE[[#This Row],[ppn_z]]="","",IFERROR(
   IF(_xlfn.XLOOKUP(Final_Sans_VGE[[#This Row],[ppn_z]],tbl_Historique_Final[[#This Row],[ppn_z]],tbl_Historique_Final[[#This Row],[date_modif]])=Final_Sans_VGE[[#This Row],[date_modif]],
      "Ancien",
      "Modifié"),
   "Nouveau")),"")</f>
        <v/>
      </c>
    </row>
    <row r="8441" spans="24:30" x14ac:dyDescent="0.25">
      <c r="X8441" s="8" t="e">
        <f>IF(Final_Sans_VGE[[#This Row],[ppn_z]]="","",IFERROR(
   IF(_xlfn.XLOOKUP(Final_Sans_VGE[[#This Row],[ppn_z]],tbl_Historique_Final[ppn_z],tbl_Historique_Final[date_modif])=Final_Sans_VGE[[#This Row],[date_modif]],
      "Ancien",
      "Modifié"),
   "Nouveau"))</f>
        <v>#VALUE!</v>
      </c>
      <c r="AD8441" s="1" t="str">
        <f>IFERROR(IF(Final_Sans_VGE[[#This Row],[ppn_z]]="","",IFERROR(
   IF(_xlfn.XLOOKUP(Final_Sans_VGE[[#This Row],[ppn_z]],tbl_Historique_Final[[#This Row],[ppn_z]],tbl_Historique_Final[[#This Row],[date_modif]])=Final_Sans_VGE[[#This Row],[date_modif]],
      "Ancien",
      "Modifié"),
   "Nouveau")),"")</f>
        <v/>
      </c>
    </row>
    <row r="8442" spans="24:30" x14ac:dyDescent="0.25">
      <c r="X8442" s="8" t="e">
        <f>IF(Final_Sans_VGE[[#This Row],[ppn_z]]="","",IFERROR(
   IF(_xlfn.XLOOKUP(Final_Sans_VGE[[#This Row],[ppn_z]],tbl_Historique_Final[ppn_z],tbl_Historique_Final[date_modif])=Final_Sans_VGE[[#This Row],[date_modif]],
      "Ancien",
      "Modifié"),
   "Nouveau"))</f>
        <v>#VALUE!</v>
      </c>
      <c r="AD8442" s="1" t="str">
        <f>IFERROR(IF(Final_Sans_VGE[[#This Row],[ppn_z]]="","",IFERROR(
   IF(_xlfn.XLOOKUP(Final_Sans_VGE[[#This Row],[ppn_z]],tbl_Historique_Final[[#This Row],[ppn_z]],tbl_Historique_Final[[#This Row],[date_modif]])=Final_Sans_VGE[[#This Row],[date_modif]],
      "Ancien",
      "Modifié"),
   "Nouveau")),"")</f>
        <v/>
      </c>
    </row>
    <row r="8443" spans="24:30" x14ac:dyDescent="0.25">
      <c r="X8443" s="8" t="e">
        <f>IF(Final_Sans_VGE[[#This Row],[ppn_z]]="","",IFERROR(
   IF(_xlfn.XLOOKUP(Final_Sans_VGE[[#This Row],[ppn_z]],tbl_Historique_Final[ppn_z],tbl_Historique_Final[date_modif])=Final_Sans_VGE[[#This Row],[date_modif]],
      "Ancien",
      "Modifié"),
   "Nouveau"))</f>
        <v>#VALUE!</v>
      </c>
      <c r="AD8443" s="1" t="str">
        <f>IFERROR(IF(Final_Sans_VGE[[#This Row],[ppn_z]]="","",IFERROR(
   IF(_xlfn.XLOOKUP(Final_Sans_VGE[[#This Row],[ppn_z]],tbl_Historique_Final[[#This Row],[ppn_z]],tbl_Historique_Final[[#This Row],[date_modif]])=Final_Sans_VGE[[#This Row],[date_modif]],
      "Ancien",
      "Modifié"),
   "Nouveau")),"")</f>
        <v/>
      </c>
    </row>
    <row r="8444" spans="24:30" x14ac:dyDescent="0.25">
      <c r="X8444" s="8" t="e">
        <f>IF(Final_Sans_VGE[[#This Row],[ppn_z]]="","",IFERROR(
   IF(_xlfn.XLOOKUP(Final_Sans_VGE[[#This Row],[ppn_z]],tbl_Historique_Final[ppn_z],tbl_Historique_Final[date_modif])=Final_Sans_VGE[[#This Row],[date_modif]],
      "Ancien",
      "Modifié"),
   "Nouveau"))</f>
        <v>#VALUE!</v>
      </c>
      <c r="AD8444" s="1" t="str">
        <f>IFERROR(IF(Final_Sans_VGE[[#This Row],[ppn_z]]="","",IFERROR(
   IF(_xlfn.XLOOKUP(Final_Sans_VGE[[#This Row],[ppn_z]],tbl_Historique_Final[[#This Row],[ppn_z]],tbl_Historique_Final[[#This Row],[date_modif]])=Final_Sans_VGE[[#This Row],[date_modif]],
      "Ancien",
      "Modifié"),
   "Nouveau")),"")</f>
        <v/>
      </c>
    </row>
    <row r="8445" spans="24:30" x14ac:dyDescent="0.25">
      <c r="X8445" s="8" t="e">
        <f>IF(Final_Sans_VGE[[#This Row],[ppn_z]]="","",IFERROR(
   IF(_xlfn.XLOOKUP(Final_Sans_VGE[[#This Row],[ppn_z]],tbl_Historique_Final[ppn_z],tbl_Historique_Final[date_modif])=Final_Sans_VGE[[#This Row],[date_modif]],
      "Ancien",
      "Modifié"),
   "Nouveau"))</f>
        <v>#VALUE!</v>
      </c>
      <c r="AD8445" s="1" t="str">
        <f>IFERROR(IF(Final_Sans_VGE[[#This Row],[ppn_z]]="","",IFERROR(
   IF(_xlfn.XLOOKUP(Final_Sans_VGE[[#This Row],[ppn_z]],tbl_Historique_Final[[#This Row],[ppn_z]],tbl_Historique_Final[[#This Row],[date_modif]])=Final_Sans_VGE[[#This Row],[date_modif]],
      "Ancien",
      "Modifié"),
   "Nouveau")),"")</f>
        <v/>
      </c>
    </row>
    <row r="8446" spans="24:30" x14ac:dyDescent="0.25">
      <c r="X8446" s="8" t="e">
        <f>IF(Final_Sans_VGE[[#This Row],[ppn_z]]="","",IFERROR(
   IF(_xlfn.XLOOKUP(Final_Sans_VGE[[#This Row],[ppn_z]],tbl_Historique_Final[ppn_z],tbl_Historique_Final[date_modif])=Final_Sans_VGE[[#This Row],[date_modif]],
      "Ancien",
      "Modifié"),
   "Nouveau"))</f>
        <v>#VALUE!</v>
      </c>
      <c r="AD8446" s="1" t="str">
        <f>IFERROR(IF(Final_Sans_VGE[[#This Row],[ppn_z]]="","",IFERROR(
   IF(_xlfn.XLOOKUP(Final_Sans_VGE[[#This Row],[ppn_z]],tbl_Historique_Final[[#This Row],[ppn_z]],tbl_Historique_Final[[#This Row],[date_modif]])=Final_Sans_VGE[[#This Row],[date_modif]],
      "Ancien",
      "Modifié"),
   "Nouveau")),"")</f>
        <v/>
      </c>
    </row>
    <row r="8447" spans="24:30" x14ac:dyDescent="0.25">
      <c r="X8447" s="8" t="e">
        <f>IF(Final_Sans_VGE[[#This Row],[ppn_z]]="","",IFERROR(
   IF(_xlfn.XLOOKUP(Final_Sans_VGE[[#This Row],[ppn_z]],tbl_Historique_Final[ppn_z],tbl_Historique_Final[date_modif])=Final_Sans_VGE[[#This Row],[date_modif]],
      "Ancien",
      "Modifié"),
   "Nouveau"))</f>
        <v>#VALUE!</v>
      </c>
      <c r="AD8447" s="1" t="str">
        <f>IFERROR(IF(Final_Sans_VGE[[#This Row],[ppn_z]]="","",IFERROR(
   IF(_xlfn.XLOOKUP(Final_Sans_VGE[[#This Row],[ppn_z]],tbl_Historique_Final[[#This Row],[ppn_z]],tbl_Historique_Final[[#This Row],[date_modif]])=Final_Sans_VGE[[#This Row],[date_modif]],
      "Ancien",
      "Modifié"),
   "Nouveau")),"")</f>
        <v/>
      </c>
    </row>
    <row r="8448" spans="24:30" x14ac:dyDescent="0.25">
      <c r="X8448" s="8" t="e">
        <f>IF(Final_Sans_VGE[[#This Row],[ppn_z]]="","",IFERROR(
   IF(_xlfn.XLOOKUP(Final_Sans_VGE[[#This Row],[ppn_z]],tbl_Historique_Final[ppn_z],tbl_Historique_Final[date_modif])=Final_Sans_VGE[[#This Row],[date_modif]],
      "Ancien",
      "Modifié"),
   "Nouveau"))</f>
        <v>#VALUE!</v>
      </c>
      <c r="AD8448" s="1" t="str">
        <f>IFERROR(IF(Final_Sans_VGE[[#This Row],[ppn_z]]="","",IFERROR(
   IF(_xlfn.XLOOKUP(Final_Sans_VGE[[#This Row],[ppn_z]],tbl_Historique_Final[[#This Row],[ppn_z]],tbl_Historique_Final[[#This Row],[date_modif]])=Final_Sans_VGE[[#This Row],[date_modif]],
      "Ancien",
      "Modifié"),
   "Nouveau")),"")</f>
        <v/>
      </c>
    </row>
    <row r="8449" spans="24:30" x14ac:dyDescent="0.25">
      <c r="X8449" s="8" t="e">
        <f>IF(Final_Sans_VGE[[#This Row],[ppn_z]]="","",IFERROR(
   IF(_xlfn.XLOOKUP(Final_Sans_VGE[[#This Row],[ppn_z]],tbl_Historique_Final[ppn_z],tbl_Historique_Final[date_modif])=Final_Sans_VGE[[#This Row],[date_modif]],
      "Ancien",
      "Modifié"),
   "Nouveau"))</f>
        <v>#VALUE!</v>
      </c>
      <c r="AD8449" s="1" t="str">
        <f>IFERROR(IF(Final_Sans_VGE[[#This Row],[ppn_z]]="","",IFERROR(
   IF(_xlfn.XLOOKUP(Final_Sans_VGE[[#This Row],[ppn_z]],tbl_Historique_Final[[#This Row],[ppn_z]],tbl_Historique_Final[[#This Row],[date_modif]])=Final_Sans_VGE[[#This Row],[date_modif]],
      "Ancien",
      "Modifié"),
   "Nouveau")),"")</f>
        <v/>
      </c>
    </row>
    <row r="8450" spans="24:30" x14ac:dyDescent="0.25">
      <c r="X8450" s="8" t="e">
        <f>IF(Final_Sans_VGE[[#This Row],[ppn_z]]="","",IFERROR(
   IF(_xlfn.XLOOKUP(Final_Sans_VGE[[#This Row],[ppn_z]],tbl_Historique_Final[ppn_z],tbl_Historique_Final[date_modif])=Final_Sans_VGE[[#This Row],[date_modif]],
      "Ancien",
      "Modifié"),
   "Nouveau"))</f>
        <v>#VALUE!</v>
      </c>
      <c r="AD8450" s="1" t="str">
        <f>IFERROR(IF(Final_Sans_VGE[[#This Row],[ppn_z]]="","",IFERROR(
   IF(_xlfn.XLOOKUP(Final_Sans_VGE[[#This Row],[ppn_z]],tbl_Historique_Final[[#This Row],[ppn_z]],tbl_Historique_Final[[#This Row],[date_modif]])=Final_Sans_VGE[[#This Row],[date_modif]],
      "Ancien",
      "Modifié"),
   "Nouveau")),"")</f>
        <v/>
      </c>
    </row>
    <row r="8451" spans="24:30" x14ac:dyDescent="0.25">
      <c r="X8451" s="8" t="e">
        <f>IF(Final_Sans_VGE[[#This Row],[ppn_z]]="","",IFERROR(
   IF(_xlfn.XLOOKUP(Final_Sans_VGE[[#This Row],[ppn_z]],tbl_Historique_Final[ppn_z],tbl_Historique_Final[date_modif])=Final_Sans_VGE[[#This Row],[date_modif]],
      "Ancien",
      "Modifié"),
   "Nouveau"))</f>
        <v>#VALUE!</v>
      </c>
      <c r="AD8451" s="1" t="str">
        <f>IFERROR(IF(Final_Sans_VGE[[#This Row],[ppn_z]]="","",IFERROR(
   IF(_xlfn.XLOOKUP(Final_Sans_VGE[[#This Row],[ppn_z]],tbl_Historique_Final[[#This Row],[ppn_z]],tbl_Historique_Final[[#This Row],[date_modif]])=Final_Sans_VGE[[#This Row],[date_modif]],
      "Ancien",
      "Modifié"),
   "Nouveau")),"")</f>
        <v/>
      </c>
    </row>
    <row r="8452" spans="24:30" x14ac:dyDescent="0.25">
      <c r="X8452" s="8" t="e">
        <f>IF(Final_Sans_VGE[[#This Row],[ppn_z]]="","",IFERROR(
   IF(_xlfn.XLOOKUP(Final_Sans_VGE[[#This Row],[ppn_z]],tbl_Historique_Final[ppn_z],tbl_Historique_Final[date_modif])=Final_Sans_VGE[[#This Row],[date_modif]],
      "Ancien",
      "Modifié"),
   "Nouveau"))</f>
        <v>#VALUE!</v>
      </c>
      <c r="AD8452" s="1" t="str">
        <f>IFERROR(IF(Final_Sans_VGE[[#This Row],[ppn_z]]="","",IFERROR(
   IF(_xlfn.XLOOKUP(Final_Sans_VGE[[#This Row],[ppn_z]],tbl_Historique_Final[[#This Row],[ppn_z]],tbl_Historique_Final[[#This Row],[date_modif]])=Final_Sans_VGE[[#This Row],[date_modif]],
      "Ancien",
      "Modifié"),
   "Nouveau")),"")</f>
        <v/>
      </c>
    </row>
    <row r="8453" spans="24:30" x14ac:dyDescent="0.25">
      <c r="X8453" s="8" t="e">
        <f>IF(Final_Sans_VGE[[#This Row],[ppn_z]]="","",IFERROR(
   IF(_xlfn.XLOOKUP(Final_Sans_VGE[[#This Row],[ppn_z]],tbl_Historique_Final[ppn_z],tbl_Historique_Final[date_modif])=Final_Sans_VGE[[#This Row],[date_modif]],
      "Ancien",
      "Modifié"),
   "Nouveau"))</f>
        <v>#VALUE!</v>
      </c>
      <c r="AD8453" s="1" t="str">
        <f>IFERROR(IF(Final_Sans_VGE[[#This Row],[ppn_z]]="","",IFERROR(
   IF(_xlfn.XLOOKUP(Final_Sans_VGE[[#This Row],[ppn_z]],tbl_Historique_Final[[#This Row],[ppn_z]],tbl_Historique_Final[[#This Row],[date_modif]])=Final_Sans_VGE[[#This Row],[date_modif]],
      "Ancien",
      "Modifié"),
   "Nouveau")),"")</f>
        <v/>
      </c>
    </row>
    <row r="8454" spans="24:30" x14ac:dyDescent="0.25">
      <c r="X8454" s="8" t="e">
        <f>IF(Final_Sans_VGE[[#This Row],[ppn_z]]="","",IFERROR(
   IF(_xlfn.XLOOKUP(Final_Sans_VGE[[#This Row],[ppn_z]],tbl_Historique_Final[ppn_z],tbl_Historique_Final[date_modif])=Final_Sans_VGE[[#This Row],[date_modif]],
      "Ancien",
      "Modifié"),
   "Nouveau"))</f>
        <v>#VALUE!</v>
      </c>
      <c r="AD8454" s="1" t="str">
        <f>IFERROR(IF(Final_Sans_VGE[[#This Row],[ppn_z]]="","",IFERROR(
   IF(_xlfn.XLOOKUP(Final_Sans_VGE[[#This Row],[ppn_z]],tbl_Historique_Final[[#This Row],[ppn_z]],tbl_Historique_Final[[#This Row],[date_modif]])=Final_Sans_VGE[[#This Row],[date_modif]],
      "Ancien",
      "Modifié"),
   "Nouveau")),"")</f>
        <v/>
      </c>
    </row>
    <row r="8455" spans="24:30" x14ac:dyDescent="0.25">
      <c r="X8455" s="8" t="e">
        <f>IF(Final_Sans_VGE[[#This Row],[ppn_z]]="","",IFERROR(
   IF(_xlfn.XLOOKUP(Final_Sans_VGE[[#This Row],[ppn_z]],tbl_Historique_Final[ppn_z],tbl_Historique_Final[date_modif])=Final_Sans_VGE[[#This Row],[date_modif]],
      "Ancien",
      "Modifié"),
   "Nouveau"))</f>
        <v>#VALUE!</v>
      </c>
      <c r="AD8455" s="1" t="str">
        <f>IFERROR(IF(Final_Sans_VGE[[#This Row],[ppn_z]]="","",IFERROR(
   IF(_xlfn.XLOOKUP(Final_Sans_VGE[[#This Row],[ppn_z]],tbl_Historique_Final[[#This Row],[ppn_z]],tbl_Historique_Final[[#This Row],[date_modif]])=Final_Sans_VGE[[#This Row],[date_modif]],
      "Ancien",
      "Modifié"),
   "Nouveau")),"")</f>
        <v/>
      </c>
    </row>
    <row r="8456" spans="24:30" x14ac:dyDescent="0.25">
      <c r="X8456" s="8" t="e">
        <f>IF(Final_Sans_VGE[[#This Row],[ppn_z]]="","",IFERROR(
   IF(_xlfn.XLOOKUP(Final_Sans_VGE[[#This Row],[ppn_z]],tbl_Historique_Final[ppn_z],tbl_Historique_Final[date_modif])=Final_Sans_VGE[[#This Row],[date_modif]],
      "Ancien",
      "Modifié"),
   "Nouveau"))</f>
        <v>#VALUE!</v>
      </c>
      <c r="AD8456" s="1" t="str">
        <f>IFERROR(IF(Final_Sans_VGE[[#This Row],[ppn_z]]="","",IFERROR(
   IF(_xlfn.XLOOKUP(Final_Sans_VGE[[#This Row],[ppn_z]],tbl_Historique_Final[[#This Row],[ppn_z]],tbl_Historique_Final[[#This Row],[date_modif]])=Final_Sans_VGE[[#This Row],[date_modif]],
      "Ancien",
      "Modifié"),
   "Nouveau")),"")</f>
        <v/>
      </c>
    </row>
    <row r="8457" spans="24:30" x14ac:dyDescent="0.25">
      <c r="X8457" s="8" t="e">
        <f>IF(Final_Sans_VGE[[#This Row],[ppn_z]]="","",IFERROR(
   IF(_xlfn.XLOOKUP(Final_Sans_VGE[[#This Row],[ppn_z]],tbl_Historique_Final[ppn_z],tbl_Historique_Final[date_modif])=Final_Sans_VGE[[#This Row],[date_modif]],
      "Ancien",
      "Modifié"),
   "Nouveau"))</f>
        <v>#VALUE!</v>
      </c>
      <c r="AD8457" s="1" t="str">
        <f>IFERROR(IF(Final_Sans_VGE[[#This Row],[ppn_z]]="","",IFERROR(
   IF(_xlfn.XLOOKUP(Final_Sans_VGE[[#This Row],[ppn_z]],tbl_Historique_Final[[#This Row],[ppn_z]],tbl_Historique_Final[[#This Row],[date_modif]])=Final_Sans_VGE[[#This Row],[date_modif]],
      "Ancien",
      "Modifié"),
   "Nouveau")),"")</f>
        <v/>
      </c>
    </row>
    <row r="8458" spans="24:30" x14ac:dyDescent="0.25">
      <c r="X8458" s="8" t="e">
        <f>IF(Final_Sans_VGE[[#This Row],[ppn_z]]="","",IFERROR(
   IF(_xlfn.XLOOKUP(Final_Sans_VGE[[#This Row],[ppn_z]],tbl_Historique_Final[ppn_z],tbl_Historique_Final[date_modif])=Final_Sans_VGE[[#This Row],[date_modif]],
      "Ancien",
      "Modifié"),
   "Nouveau"))</f>
        <v>#VALUE!</v>
      </c>
      <c r="AD8458" s="1" t="str">
        <f>IFERROR(IF(Final_Sans_VGE[[#This Row],[ppn_z]]="","",IFERROR(
   IF(_xlfn.XLOOKUP(Final_Sans_VGE[[#This Row],[ppn_z]],tbl_Historique_Final[[#This Row],[ppn_z]],tbl_Historique_Final[[#This Row],[date_modif]])=Final_Sans_VGE[[#This Row],[date_modif]],
      "Ancien",
      "Modifié"),
   "Nouveau")),"")</f>
        <v/>
      </c>
    </row>
    <row r="8459" spans="24:30" x14ac:dyDescent="0.25">
      <c r="X8459" s="8" t="e">
        <f>IF(Final_Sans_VGE[[#This Row],[ppn_z]]="","",IFERROR(
   IF(_xlfn.XLOOKUP(Final_Sans_VGE[[#This Row],[ppn_z]],tbl_Historique_Final[ppn_z],tbl_Historique_Final[date_modif])=Final_Sans_VGE[[#This Row],[date_modif]],
      "Ancien",
      "Modifié"),
   "Nouveau"))</f>
        <v>#VALUE!</v>
      </c>
      <c r="AD8459" s="1" t="str">
        <f>IFERROR(IF(Final_Sans_VGE[[#This Row],[ppn_z]]="","",IFERROR(
   IF(_xlfn.XLOOKUP(Final_Sans_VGE[[#This Row],[ppn_z]],tbl_Historique_Final[[#This Row],[ppn_z]],tbl_Historique_Final[[#This Row],[date_modif]])=Final_Sans_VGE[[#This Row],[date_modif]],
      "Ancien",
      "Modifié"),
   "Nouveau")),"")</f>
        <v/>
      </c>
    </row>
    <row r="8460" spans="24:30" x14ac:dyDescent="0.25">
      <c r="X8460" s="8" t="e">
        <f>IF(Final_Sans_VGE[[#This Row],[ppn_z]]="","",IFERROR(
   IF(_xlfn.XLOOKUP(Final_Sans_VGE[[#This Row],[ppn_z]],tbl_Historique_Final[ppn_z],tbl_Historique_Final[date_modif])=Final_Sans_VGE[[#This Row],[date_modif]],
      "Ancien",
      "Modifié"),
   "Nouveau"))</f>
        <v>#VALUE!</v>
      </c>
      <c r="AD8460" s="1" t="str">
        <f>IFERROR(IF(Final_Sans_VGE[[#This Row],[ppn_z]]="","",IFERROR(
   IF(_xlfn.XLOOKUP(Final_Sans_VGE[[#This Row],[ppn_z]],tbl_Historique_Final[[#This Row],[ppn_z]],tbl_Historique_Final[[#This Row],[date_modif]])=Final_Sans_VGE[[#This Row],[date_modif]],
      "Ancien",
      "Modifié"),
   "Nouveau")),"")</f>
        <v/>
      </c>
    </row>
    <row r="8461" spans="24:30" x14ac:dyDescent="0.25">
      <c r="X8461" s="8" t="e">
        <f>IF(Final_Sans_VGE[[#This Row],[ppn_z]]="","",IFERROR(
   IF(_xlfn.XLOOKUP(Final_Sans_VGE[[#This Row],[ppn_z]],tbl_Historique_Final[ppn_z],tbl_Historique_Final[date_modif])=Final_Sans_VGE[[#This Row],[date_modif]],
      "Ancien",
      "Modifié"),
   "Nouveau"))</f>
        <v>#VALUE!</v>
      </c>
      <c r="AD8461" s="1" t="str">
        <f>IFERROR(IF(Final_Sans_VGE[[#This Row],[ppn_z]]="","",IFERROR(
   IF(_xlfn.XLOOKUP(Final_Sans_VGE[[#This Row],[ppn_z]],tbl_Historique_Final[[#This Row],[ppn_z]],tbl_Historique_Final[[#This Row],[date_modif]])=Final_Sans_VGE[[#This Row],[date_modif]],
      "Ancien",
      "Modifié"),
   "Nouveau")),"")</f>
        <v/>
      </c>
    </row>
    <row r="8462" spans="24:30" x14ac:dyDescent="0.25">
      <c r="X8462" s="8" t="e">
        <f>IF(Final_Sans_VGE[[#This Row],[ppn_z]]="","",IFERROR(
   IF(_xlfn.XLOOKUP(Final_Sans_VGE[[#This Row],[ppn_z]],tbl_Historique_Final[ppn_z],tbl_Historique_Final[date_modif])=Final_Sans_VGE[[#This Row],[date_modif]],
      "Ancien",
      "Modifié"),
   "Nouveau"))</f>
        <v>#VALUE!</v>
      </c>
      <c r="AD8462" s="1" t="str">
        <f>IFERROR(IF(Final_Sans_VGE[[#This Row],[ppn_z]]="","",IFERROR(
   IF(_xlfn.XLOOKUP(Final_Sans_VGE[[#This Row],[ppn_z]],tbl_Historique_Final[[#This Row],[ppn_z]],tbl_Historique_Final[[#This Row],[date_modif]])=Final_Sans_VGE[[#This Row],[date_modif]],
      "Ancien",
      "Modifié"),
   "Nouveau")),"")</f>
        <v/>
      </c>
    </row>
    <row r="8463" spans="24:30" x14ac:dyDescent="0.25">
      <c r="X8463" s="8" t="e">
        <f>IF(Final_Sans_VGE[[#This Row],[ppn_z]]="","",IFERROR(
   IF(_xlfn.XLOOKUP(Final_Sans_VGE[[#This Row],[ppn_z]],tbl_Historique_Final[ppn_z],tbl_Historique_Final[date_modif])=Final_Sans_VGE[[#This Row],[date_modif]],
      "Ancien",
      "Modifié"),
   "Nouveau"))</f>
        <v>#VALUE!</v>
      </c>
      <c r="AD8463" s="1" t="str">
        <f>IFERROR(IF(Final_Sans_VGE[[#This Row],[ppn_z]]="","",IFERROR(
   IF(_xlfn.XLOOKUP(Final_Sans_VGE[[#This Row],[ppn_z]],tbl_Historique_Final[[#This Row],[ppn_z]],tbl_Historique_Final[[#This Row],[date_modif]])=Final_Sans_VGE[[#This Row],[date_modif]],
      "Ancien",
      "Modifié"),
   "Nouveau")),"")</f>
        <v/>
      </c>
    </row>
    <row r="8464" spans="24:30" x14ac:dyDescent="0.25">
      <c r="X8464" s="8" t="e">
        <f>IF(Final_Sans_VGE[[#This Row],[ppn_z]]="","",IFERROR(
   IF(_xlfn.XLOOKUP(Final_Sans_VGE[[#This Row],[ppn_z]],tbl_Historique_Final[ppn_z],tbl_Historique_Final[date_modif])=Final_Sans_VGE[[#This Row],[date_modif]],
      "Ancien",
      "Modifié"),
   "Nouveau"))</f>
        <v>#VALUE!</v>
      </c>
      <c r="AD8464" s="1" t="str">
        <f>IFERROR(IF(Final_Sans_VGE[[#This Row],[ppn_z]]="","",IFERROR(
   IF(_xlfn.XLOOKUP(Final_Sans_VGE[[#This Row],[ppn_z]],tbl_Historique_Final[[#This Row],[ppn_z]],tbl_Historique_Final[[#This Row],[date_modif]])=Final_Sans_VGE[[#This Row],[date_modif]],
      "Ancien",
      "Modifié"),
   "Nouveau")),"")</f>
        <v/>
      </c>
    </row>
    <row r="8465" spans="24:30" x14ac:dyDescent="0.25">
      <c r="X8465" s="8" t="e">
        <f>IF(Final_Sans_VGE[[#This Row],[ppn_z]]="","",IFERROR(
   IF(_xlfn.XLOOKUP(Final_Sans_VGE[[#This Row],[ppn_z]],tbl_Historique_Final[ppn_z],tbl_Historique_Final[date_modif])=Final_Sans_VGE[[#This Row],[date_modif]],
      "Ancien",
      "Modifié"),
   "Nouveau"))</f>
        <v>#VALUE!</v>
      </c>
      <c r="AD8465" s="1" t="str">
        <f>IFERROR(IF(Final_Sans_VGE[[#This Row],[ppn_z]]="","",IFERROR(
   IF(_xlfn.XLOOKUP(Final_Sans_VGE[[#This Row],[ppn_z]],tbl_Historique_Final[[#This Row],[ppn_z]],tbl_Historique_Final[[#This Row],[date_modif]])=Final_Sans_VGE[[#This Row],[date_modif]],
      "Ancien",
      "Modifié"),
   "Nouveau")),"")</f>
        <v/>
      </c>
    </row>
    <row r="8466" spans="24:30" x14ac:dyDescent="0.25">
      <c r="X8466" s="8" t="e">
        <f>IF(Final_Sans_VGE[[#This Row],[ppn_z]]="","",IFERROR(
   IF(_xlfn.XLOOKUP(Final_Sans_VGE[[#This Row],[ppn_z]],tbl_Historique_Final[ppn_z],tbl_Historique_Final[date_modif])=Final_Sans_VGE[[#This Row],[date_modif]],
      "Ancien",
      "Modifié"),
   "Nouveau"))</f>
        <v>#VALUE!</v>
      </c>
      <c r="AD8466" s="1" t="str">
        <f>IFERROR(IF(Final_Sans_VGE[[#This Row],[ppn_z]]="","",IFERROR(
   IF(_xlfn.XLOOKUP(Final_Sans_VGE[[#This Row],[ppn_z]],tbl_Historique_Final[[#This Row],[ppn_z]],tbl_Historique_Final[[#This Row],[date_modif]])=Final_Sans_VGE[[#This Row],[date_modif]],
      "Ancien",
      "Modifié"),
   "Nouveau")),"")</f>
        <v/>
      </c>
    </row>
    <row r="8467" spans="24:30" x14ac:dyDescent="0.25">
      <c r="X8467" s="8" t="e">
        <f>IF(Final_Sans_VGE[[#This Row],[ppn_z]]="","",IFERROR(
   IF(_xlfn.XLOOKUP(Final_Sans_VGE[[#This Row],[ppn_z]],tbl_Historique_Final[ppn_z],tbl_Historique_Final[date_modif])=Final_Sans_VGE[[#This Row],[date_modif]],
      "Ancien",
      "Modifié"),
   "Nouveau"))</f>
        <v>#VALUE!</v>
      </c>
      <c r="AD8467" s="1" t="str">
        <f>IFERROR(IF(Final_Sans_VGE[[#This Row],[ppn_z]]="","",IFERROR(
   IF(_xlfn.XLOOKUP(Final_Sans_VGE[[#This Row],[ppn_z]],tbl_Historique_Final[[#This Row],[ppn_z]],tbl_Historique_Final[[#This Row],[date_modif]])=Final_Sans_VGE[[#This Row],[date_modif]],
      "Ancien",
      "Modifié"),
   "Nouveau")),"")</f>
        <v/>
      </c>
    </row>
    <row r="8468" spans="24:30" x14ac:dyDescent="0.25">
      <c r="X8468" s="8" t="e">
        <f>IF(Final_Sans_VGE[[#This Row],[ppn_z]]="","",IFERROR(
   IF(_xlfn.XLOOKUP(Final_Sans_VGE[[#This Row],[ppn_z]],tbl_Historique_Final[ppn_z],tbl_Historique_Final[date_modif])=Final_Sans_VGE[[#This Row],[date_modif]],
      "Ancien",
      "Modifié"),
   "Nouveau"))</f>
        <v>#VALUE!</v>
      </c>
      <c r="AD8468" s="1" t="str">
        <f>IFERROR(IF(Final_Sans_VGE[[#This Row],[ppn_z]]="","",IFERROR(
   IF(_xlfn.XLOOKUP(Final_Sans_VGE[[#This Row],[ppn_z]],tbl_Historique_Final[[#This Row],[ppn_z]],tbl_Historique_Final[[#This Row],[date_modif]])=Final_Sans_VGE[[#This Row],[date_modif]],
      "Ancien",
      "Modifié"),
   "Nouveau")),"")</f>
        <v/>
      </c>
    </row>
    <row r="8469" spans="24:30" x14ac:dyDescent="0.25">
      <c r="X8469" s="8" t="e">
        <f>IF(Final_Sans_VGE[[#This Row],[ppn_z]]="","",IFERROR(
   IF(_xlfn.XLOOKUP(Final_Sans_VGE[[#This Row],[ppn_z]],tbl_Historique_Final[ppn_z],tbl_Historique_Final[date_modif])=Final_Sans_VGE[[#This Row],[date_modif]],
      "Ancien",
      "Modifié"),
   "Nouveau"))</f>
        <v>#VALUE!</v>
      </c>
      <c r="AD8469" s="1" t="str">
        <f>IFERROR(IF(Final_Sans_VGE[[#This Row],[ppn_z]]="","",IFERROR(
   IF(_xlfn.XLOOKUP(Final_Sans_VGE[[#This Row],[ppn_z]],tbl_Historique_Final[[#This Row],[ppn_z]],tbl_Historique_Final[[#This Row],[date_modif]])=Final_Sans_VGE[[#This Row],[date_modif]],
      "Ancien",
      "Modifié"),
   "Nouveau")),"")</f>
        <v/>
      </c>
    </row>
    <row r="8470" spans="24:30" x14ac:dyDescent="0.25">
      <c r="X8470" s="8" t="e">
        <f>IF(Final_Sans_VGE[[#This Row],[ppn_z]]="","",IFERROR(
   IF(_xlfn.XLOOKUP(Final_Sans_VGE[[#This Row],[ppn_z]],tbl_Historique_Final[ppn_z],tbl_Historique_Final[date_modif])=Final_Sans_VGE[[#This Row],[date_modif]],
      "Ancien",
      "Modifié"),
   "Nouveau"))</f>
        <v>#VALUE!</v>
      </c>
      <c r="AD8470" s="1" t="str">
        <f>IFERROR(IF(Final_Sans_VGE[[#This Row],[ppn_z]]="","",IFERROR(
   IF(_xlfn.XLOOKUP(Final_Sans_VGE[[#This Row],[ppn_z]],tbl_Historique_Final[[#This Row],[ppn_z]],tbl_Historique_Final[[#This Row],[date_modif]])=Final_Sans_VGE[[#This Row],[date_modif]],
      "Ancien",
      "Modifié"),
   "Nouveau")),"")</f>
        <v/>
      </c>
    </row>
    <row r="8471" spans="24:30" x14ac:dyDescent="0.25">
      <c r="X8471" s="8" t="e">
        <f>IF(Final_Sans_VGE[[#This Row],[ppn_z]]="","",IFERROR(
   IF(_xlfn.XLOOKUP(Final_Sans_VGE[[#This Row],[ppn_z]],tbl_Historique_Final[ppn_z],tbl_Historique_Final[date_modif])=Final_Sans_VGE[[#This Row],[date_modif]],
      "Ancien",
      "Modifié"),
   "Nouveau"))</f>
        <v>#VALUE!</v>
      </c>
      <c r="AD8471" s="1" t="str">
        <f>IFERROR(IF(Final_Sans_VGE[[#This Row],[ppn_z]]="","",IFERROR(
   IF(_xlfn.XLOOKUP(Final_Sans_VGE[[#This Row],[ppn_z]],tbl_Historique_Final[[#This Row],[ppn_z]],tbl_Historique_Final[[#This Row],[date_modif]])=Final_Sans_VGE[[#This Row],[date_modif]],
      "Ancien",
      "Modifié"),
   "Nouveau")),"")</f>
        <v/>
      </c>
    </row>
    <row r="8472" spans="24:30" x14ac:dyDescent="0.25">
      <c r="X8472" s="8" t="e">
        <f>IF(Final_Sans_VGE[[#This Row],[ppn_z]]="","",IFERROR(
   IF(_xlfn.XLOOKUP(Final_Sans_VGE[[#This Row],[ppn_z]],tbl_Historique_Final[ppn_z],tbl_Historique_Final[date_modif])=Final_Sans_VGE[[#This Row],[date_modif]],
      "Ancien",
      "Modifié"),
   "Nouveau"))</f>
        <v>#VALUE!</v>
      </c>
      <c r="AD8472" s="1" t="str">
        <f>IFERROR(IF(Final_Sans_VGE[[#This Row],[ppn_z]]="","",IFERROR(
   IF(_xlfn.XLOOKUP(Final_Sans_VGE[[#This Row],[ppn_z]],tbl_Historique_Final[[#This Row],[ppn_z]],tbl_Historique_Final[[#This Row],[date_modif]])=Final_Sans_VGE[[#This Row],[date_modif]],
      "Ancien",
      "Modifié"),
   "Nouveau")),"")</f>
        <v/>
      </c>
    </row>
    <row r="8473" spans="24:30" x14ac:dyDescent="0.25">
      <c r="X8473" s="8" t="e">
        <f>IF(Final_Sans_VGE[[#This Row],[ppn_z]]="","",IFERROR(
   IF(_xlfn.XLOOKUP(Final_Sans_VGE[[#This Row],[ppn_z]],tbl_Historique_Final[ppn_z],tbl_Historique_Final[date_modif])=Final_Sans_VGE[[#This Row],[date_modif]],
      "Ancien",
      "Modifié"),
   "Nouveau"))</f>
        <v>#VALUE!</v>
      </c>
      <c r="AD8473" s="1" t="str">
        <f>IFERROR(IF(Final_Sans_VGE[[#This Row],[ppn_z]]="","",IFERROR(
   IF(_xlfn.XLOOKUP(Final_Sans_VGE[[#This Row],[ppn_z]],tbl_Historique_Final[[#This Row],[ppn_z]],tbl_Historique_Final[[#This Row],[date_modif]])=Final_Sans_VGE[[#This Row],[date_modif]],
      "Ancien",
      "Modifié"),
   "Nouveau")),"")</f>
        <v/>
      </c>
    </row>
    <row r="8474" spans="24:30" x14ac:dyDescent="0.25">
      <c r="X8474" s="8" t="e">
        <f>IF(Final_Sans_VGE[[#This Row],[ppn_z]]="","",IFERROR(
   IF(_xlfn.XLOOKUP(Final_Sans_VGE[[#This Row],[ppn_z]],tbl_Historique_Final[ppn_z],tbl_Historique_Final[date_modif])=Final_Sans_VGE[[#This Row],[date_modif]],
      "Ancien",
      "Modifié"),
   "Nouveau"))</f>
        <v>#VALUE!</v>
      </c>
      <c r="AD8474" s="1" t="str">
        <f>IFERROR(IF(Final_Sans_VGE[[#This Row],[ppn_z]]="","",IFERROR(
   IF(_xlfn.XLOOKUP(Final_Sans_VGE[[#This Row],[ppn_z]],tbl_Historique_Final[[#This Row],[ppn_z]],tbl_Historique_Final[[#This Row],[date_modif]])=Final_Sans_VGE[[#This Row],[date_modif]],
      "Ancien",
      "Modifié"),
   "Nouveau")),"")</f>
        <v/>
      </c>
    </row>
    <row r="8475" spans="24:30" x14ac:dyDescent="0.25">
      <c r="X8475" s="8" t="e">
        <f>IF(Final_Sans_VGE[[#This Row],[ppn_z]]="","",IFERROR(
   IF(_xlfn.XLOOKUP(Final_Sans_VGE[[#This Row],[ppn_z]],tbl_Historique_Final[ppn_z],tbl_Historique_Final[date_modif])=Final_Sans_VGE[[#This Row],[date_modif]],
      "Ancien",
      "Modifié"),
   "Nouveau"))</f>
        <v>#VALUE!</v>
      </c>
      <c r="AD8475" s="1" t="str">
        <f>IFERROR(IF(Final_Sans_VGE[[#This Row],[ppn_z]]="","",IFERROR(
   IF(_xlfn.XLOOKUP(Final_Sans_VGE[[#This Row],[ppn_z]],tbl_Historique_Final[[#This Row],[ppn_z]],tbl_Historique_Final[[#This Row],[date_modif]])=Final_Sans_VGE[[#This Row],[date_modif]],
      "Ancien",
      "Modifié"),
   "Nouveau")),"")</f>
        <v/>
      </c>
    </row>
    <row r="8476" spans="24:30" x14ac:dyDescent="0.25">
      <c r="X8476" s="8" t="e">
        <f>IF(Final_Sans_VGE[[#This Row],[ppn_z]]="","",IFERROR(
   IF(_xlfn.XLOOKUP(Final_Sans_VGE[[#This Row],[ppn_z]],tbl_Historique_Final[ppn_z],tbl_Historique_Final[date_modif])=Final_Sans_VGE[[#This Row],[date_modif]],
      "Ancien",
      "Modifié"),
   "Nouveau"))</f>
        <v>#VALUE!</v>
      </c>
      <c r="AD8476" s="1" t="str">
        <f>IFERROR(IF(Final_Sans_VGE[[#This Row],[ppn_z]]="","",IFERROR(
   IF(_xlfn.XLOOKUP(Final_Sans_VGE[[#This Row],[ppn_z]],tbl_Historique_Final[[#This Row],[ppn_z]],tbl_Historique_Final[[#This Row],[date_modif]])=Final_Sans_VGE[[#This Row],[date_modif]],
      "Ancien",
      "Modifié"),
   "Nouveau")),"")</f>
        <v/>
      </c>
    </row>
    <row r="8477" spans="24:30" x14ac:dyDescent="0.25">
      <c r="X8477" s="8" t="e">
        <f>IF(Final_Sans_VGE[[#This Row],[ppn_z]]="","",IFERROR(
   IF(_xlfn.XLOOKUP(Final_Sans_VGE[[#This Row],[ppn_z]],tbl_Historique_Final[ppn_z],tbl_Historique_Final[date_modif])=Final_Sans_VGE[[#This Row],[date_modif]],
      "Ancien",
      "Modifié"),
   "Nouveau"))</f>
        <v>#VALUE!</v>
      </c>
      <c r="AD8477" s="1" t="str">
        <f>IFERROR(IF(Final_Sans_VGE[[#This Row],[ppn_z]]="","",IFERROR(
   IF(_xlfn.XLOOKUP(Final_Sans_VGE[[#This Row],[ppn_z]],tbl_Historique_Final[[#This Row],[ppn_z]],tbl_Historique_Final[[#This Row],[date_modif]])=Final_Sans_VGE[[#This Row],[date_modif]],
      "Ancien",
      "Modifié"),
   "Nouveau")),"")</f>
        <v/>
      </c>
    </row>
    <row r="8478" spans="24:30" x14ac:dyDescent="0.25">
      <c r="X8478" s="8" t="e">
        <f>IF(Final_Sans_VGE[[#This Row],[ppn_z]]="","",IFERROR(
   IF(_xlfn.XLOOKUP(Final_Sans_VGE[[#This Row],[ppn_z]],tbl_Historique_Final[ppn_z],tbl_Historique_Final[date_modif])=Final_Sans_VGE[[#This Row],[date_modif]],
      "Ancien",
      "Modifié"),
   "Nouveau"))</f>
        <v>#VALUE!</v>
      </c>
      <c r="AD8478" s="1" t="str">
        <f>IFERROR(IF(Final_Sans_VGE[[#This Row],[ppn_z]]="","",IFERROR(
   IF(_xlfn.XLOOKUP(Final_Sans_VGE[[#This Row],[ppn_z]],tbl_Historique_Final[[#This Row],[ppn_z]],tbl_Historique_Final[[#This Row],[date_modif]])=Final_Sans_VGE[[#This Row],[date_modif]],
      "Ancien",
      "Modifié"),
   "Nouveau")),"")</f>
        <v/>
      </c>
    </row>
    <row r="8479" spans="24:30" x14ac:dyDescent="0.25">
      <c r="X8479" s="8" t="e">
        <f>IF(Final_Sans_VGE[[#This Row],[ppn_z]]="","",IFERROR(
   IF(_xlfn.XLOOKUP(Final_Sans_VGE[[#This Row],[ppn_z]],tbl_Historique_Final[ppn_z],tbl_Historique_Final[date_modif])=Final_Sans_VGE[[#This Row],[date_modif]],
      "Ancien",
      "Modifié"),
   "Nouveau"))</f>
        <v>#VALUE!</v>
      </c>
      <c r="AD8479" s="1" t="str">
        <f>IFERROR(IF(Final_Sans_VGE[[#This Row],[ppn_z]]="","",IFERROR(
   IF(_xlfn.XLOOKUP(Final_Sans_VGE[[#This Row],[ppn_z]],tbl_Historique_Final[[#This Row],[ppn_z]],tbl_Historique_Final[[#This Row],[date_modif]])=Final_Sans_VGE[[#This Row],[date_modif]],
      "Ancien",
      "Modifié"),
   "Nouveau")),"")</f>
        <v/>
      </c>
    </row>
    <row r="8480" spans="24:30" x14ac:dyDescent="0.25">
      <c r="X8480" s="8" t="e">
        <f>IF(Final_Sans_VGE[[#This Row],[ppn_z]]="","",IFERROR(
   IF(_xlfn.XLOOKUP(Final_Sans_VGE[[#This Row],[ppn_z]],tbl_Historique_Final[ppn_z],tbl_Historique_Final[date_modif])=Final_Sans_VGE[[#This Row],[date_modif]],
      "Ancien",
      "Modifié"),
   "Nouveau"))</f>
        <v>#VALUE!</v>
      </c>
      <c r="AD8480" s="1" t="str">
        <f>IFERROR(IF(Final_Sans_VGE[[#This Row],[ppn_z]]="","",IFERROR(
   IF(_xlfn.XLOOKUP(Final_Sans_VGE[[#This Row],[ppn_z]],tbl_Historique_Final[[#This Row],[ppn_z]],tbl_Historique_Final[[#This Row],[date_modif]])=Final_Sans_VGE[[#This Row],[date_modif]],
      "Ancien",
      "Modifié"),
   "Nouveau")),"")</f>
        <v/>
      </c>
    </row>
    <row r="8481" spans="24:30" x14ac:dyDescent="0.25">
      <c r="X8481" s="8" t="e">
        <f>IF(Final_Sans_VGE[[#This Row],[ppn_z]]="","",IFERROR(
   IF(_xlfn.XLOOKUP(Final_Sans_VGE[[#This Row],[ppn_z]],tbl_Historique_Final[ppn_z],tbl_Historique_Final[date_modif])=Final_Sans_VGE[[#This Row],[date_modif]],
      "Ancien",
      "Modifié"),
   "Nouveau"))</f>
        <v>#VALUE!</v>
      </c>
      <c r="AD8481" s="1" t="str">
        <f>IFERROR(IF(Final_Sans_VGE[[#This Row],[ppn_z]]="","",IFERROR(
   IF(_xlfn.XLOOKUP(Final_Sans_VGE[[#This Row],[ppn_z]],tbl_Historique_Final[[#This Row],[ppn_z]],tbl_Historique_Final[[#This Row],[date_modif]])=Final_Sans_VGE[[#This Row],[date_modif]],
      "Ancien",
      "Modifié"),
   "Nouveau")),"")</f>
        <v/>
      </c>
    </row>
    <row r="8482" spans="24:30" x14ac:dyDescent="0.25">
      <c r="X8482" s="8" t="e">
        <f>IF(Final_Sans_VGE[[#This Row],[ppn_z]]="","",IFERROR(
   IF(_xlfn.XLOOKUP(Final_Sans_VGE[[#This Row],[ppn_z]],tbl_Historique_Final[ppn_z],tbl_Historique_Final[date_modif])=Final_Sans_VGE[[#This Row],[date_modif]],
      "Ancien",
      "Modifié"),
   "Nouveau"))</f>
        <v>#VALUE!</v>
      </c>
      <c r="AD8482" s="1" t="str">
        <f>IFERROR(IF(Final_Sans_VGE[[#This Row],[ppn_z]]="","",IFERROR(
   IF(_xlfn.XLOOKUP(Final_Sans_VGE[[#This Row],[ppn_z]],tbl_Historique_Final[[#This Row],[ppn_z]],tbl_Historique_Final[[#This Row],[date_modif]])=Final_Sans_VGE[[#This Row],[date_modif]],
      "Ancien",
      "Modifié"),
   "Nouveau")),"")</f>
        <v/>
      </c>
    </row>
    <row r="8483" spans="24:30" x14ac:dyDescent="0.25">
      <c r="X8483" s="8" t="e">
        <f>IF(Final_Sans_VGE[[#This Row],[ppn_z]]="","",IFERROR(
   IF(_xlfn.XLOOKUP(Final_Sans_VGE[[#This Row],[ppn_z]],tbl_Historique_Final[ppn_z],tbl_Historique_Final[date_modif])=Final_Sans_VGE[[#This Row],[date_modif]],
      "Ancien",
      "Modifié"),
   "Nouveau"))</f>
        <v>#VALUE!</v>
      </c>
      <c r="AD8483" s="1" t="str">
        <f>IFERROR(IF(Final_Sans_VGE[[#This Row],[ppn_z]]="","",IFERROR(
   IF(_xlfn.XLOOKUP(Final_Sans_VGE[[#This Row],[ppn_z]],tbl_Historique_Final[[#This Row],[ppn_z]],tbl_Historique_Final[[#This Row],[date_modif]])=Final_Sans_VGE[[#This Row],[date_modif]],
      "Ancien",
      "Modifié"),
   "Nouveau")),"")</f>
        <v/>
      </c>
    </row>
    <row r="8484" spans="24:30" x14ac:dyDescent="0.25">
      <c r="X8484" s="8" t="e">
        <f>IF(Final_Sans_VGE[[#This Row],[ppn_z]]="","",IFERROR(
   IF(_xlfn.XLOOKUP(Final_Sans_VGE[[#This Row],[ppn_z]],tbl_Historique_Final[ppn_z],tbl_Historique_Final[date_modif])=Final_Sans_VGE[[#This Row],[date_modif]],
      "Ancien",
      "Modifié"),
   "Nouveau"))</f>
        <v>#VALUE!</v>
      </c>
      <c r="AD8484" s="1" t="str">
        <f>IFERROR(IF(Final_Sans_VGE[[#This Row],[ppn_z]]="","",IFERROR(
   IF(_xlfn.XLOOKUP(Final_Sans_VGE[[#This Row],[ppn_z]],tbl_Historique_Final[[#This Row],[ppn_z]],tbl_Historique_Final[[#This Row],[date_modif]])=Final_Sans_VGE[[#This Row],[date_modif]],
      "Ancien",
      "Modifié"),
   "Nouveau")),"")</f>
        <v/>
      </c>
    </row>
    <row r="8485" spans="24:30" x14ac:dyDescent="0.25">
      <c r="X8485" s="8" t="e">
        <f>IF(Final_Sans_VGE[[#This Row],[ppn_z]]="","",IFERROR(
   IF(_xlfn.XLOOKUP(Final_Sans_VGE[[#This Row],[ppn_z]],tbl_Historique_Final[ppn_z],tbl_Historique_Final[date_modif])=Final_Sans_VGE[[#This Row],[date_modif]],
      "Ancien",
      "Modifié"),
   "Nouveau"))</f>
        <v>#VALUE!</v>
      </c>
      <c r="AD8485" s="1" t="str">
        <f>IFERROR(IF(Final_Sans_VGE[[#This Row],[ppn_z]]="","",IFERROR(
   IF(_xlfn.XLOOKUP(Final_Sans_VGE[[#This Row],[ppn_z]],tbl_Historique_Final[[#This Row],[ppn_z]],tbl_Historique_Final[[#This Row],[date_modif]])=Final_Sans_VGE[[#This Row],[date_modif]],
      "Ancien",
      "Modifié"),
   "Nouveau")),"")</f>
        <v/>
      </c>
    </row>
    <row r="8486" spans="24:30" x14ac:dyDescent="0.25">
      <c r="X8486" s="8" t="e">
        <f>IF(Final_Sans_VGE[[#This Row],[ppn_z]]="","",IFERROR(
   IF(_xlfn.XLOOKUP(Final_Sans_VGE[[#This Row],[ppn_z]],tbl_Historique_Final[ppn_z],tbl_Historique_Final[date_modif])=Final_Sans_VGE[[#This Row],[date_modif]],
      "Ancien",
      "Modifié"),
   "Nouveau"))</f>
        <v>#VALUE!</v>
      </c>
      <c r="AD8486" s="1" t="str">
        <f>IFERROR(IF(Final_Sans_VGE[[#This Row],[ppn_z]]="","",IFERROR(
   IF(_xlfn.XLOOKUP(Final_Sans_VGE[[#This Row],[ppn_z]],tbl_Historique_Final[[#This Row],[ppn_z]],tbl_Historique_Final[[#This Row],[date_modif]])=Final_Sans_VGE[[#This Row],[date_modif]],
      "Ancien",
      "Modifié"),
   "Nouveau")),"")</f>
        <v/>
      </c>
    </row>
    <row r="8487" spans="24:30" x14ac:dyDescent="0.25">
      <c r="X8487" s="8" t="e">
        <f>IF(Final_Sans_VGE[[#This Row],[ppn_z]]="","",IFERROR(
   IF(_xlfn.XLOOKUP(Final_Sans_VGE[[#This Row],[ppn_z]],tbl_Historique_Final[ppn_z],tbl_Historique_Final[date_modif])=Final_Sans_VGE[[#This Row],[date_modif]],
      "Ancien",
      "Modifié"),
   "Nouveau"))</f>
        <v>#VALUE!</v>
      </c>
      <c r="AD8487" s="1" t="str">
        <f>IFERROR(IF(Final_Sans_VGE[[#This Row],[ppn_z]]="","",IFERROR(
   IF(_xlfn.XLOOKUP(Final_Sans_VGE[[#This Row],[ppn_z]],tbl_Historique_Final[[#This Row],[ppn_z]],tbl_Historique_Final[[#This Row],[date_modif]])=Final_Sans_VGE[[#This Row],[date_modif]],
      "Ancien",
      "Modifié"),
   "Nouveau")),"")</f>
        <v/>
      </c>
    </row>
    <row r="8488" spans="24:30" x14ac:dyDescent="0.25">
      <c r="X8488" s="8" t="e">
        <f>IF(Final_Sans_VGE[[#This Row],[ppn_z]]="","",IFERROR(
   IF(_xlfn.XLOOKUP(Final_Sans_VGE[[#This Row],[ppn_z]],tbl_Historique_Final[ppn_z],tbl_Historique_Final[date_modif])=Final_Sans_VGE[[#This Row],[date_modif]],
      "Ancien",
      "Modifié"),
   "Nouveau"))</f>
        <v>#VALUE!</v>
      </c>
      <c r="AD8488" s="1" t="str">
        <f>IFERROR(IF(Final_Sans_VGE[[#This Row],[ppn_z]]="","",IFERROR(
   IF(_xlfn.XLOOKUP(Final_Sans_VGE[[#This Row],[ppn_z]],tbl_Historique_Final[[#This Row],[ppn_z]],tbl_Historique_Final[[#This Row],[date_modif]])=Final_Sans_VGE[[#This Row],[date_modif]],
      "Ancien",
      "Modifié"),
   "Nouveau")),"")</f>
        <v/>
      </c>
    </row>
    <row r="8489" spans="24:30" x14ac:dyDescent="0.25">
      <c r="X8489" s="8" t="e">
        <f>IF(Final_Sans_VGE[[#This Row],[ppn_z]]="","",IFERROR(
   IF(_xlfn.XLOOKUP(Final_Sans_VGE[[#This Row],[ppn_z]],tbl_Historique_Final[ppn_z],tbl_Historique_Final[date_modif])=Final_Sans_VGE[[#This Row],[date_modif]],
      "Ancien",
      "Modifié"),
   "Nouveau"))</f>
        <v>#VALUE!</v>
      </c>
      <c r="AD8489" s="1" t="str">
        <f>IFERROR(IF(Final_Sans_VGE[[#This Row],[ppn_z]]="","",IFERROR(
   IF(_xlfn.XLOOKUP(Final_Sans_VGE[[#This Row],[ppn_z]],tbl_Historique_Final[[#This Row],[ppn_z]],tbl_Historique_Final[[#This Row],[date_modif]])=Final_Sans_VGE[[#This Row],[date_modif]],
      "Ancien",
      "Modifié"),
   "Nouveau")),"")</f>
        <v/>
      </c>
    </row>
    <row r="8490" spans="24:30" x14ac:dyDescent="0.25">
      <c r="X8490" s="8" t="e">
        <f>IF(Final_Sans_VGE[[#This Row],[ppn_z]]="","",IFERROR(
   IF(_xlfn.XLOOKUP(Final_Sans_VGE[[#This Row],[ppn_z]],tbl_Historique_Final[ppn_z],tbl_Historique_Final[date_modif])=Final_Sans_VGE[[#This Row],[date_modif]],
      "Ancien",
      "Modifié"),
   "Nouveau"))</f>
        <v>#VALUE!</v>
      </c>
      <c r="AD8490" s="1" t="str">
        <f>IFERROR(IF(Final_Sans_VGE[[#This Row],[ppn_z]]="","",IFERROR(
   IF(_xlfn.XLOOKUP(Final_Sans_VGE[[#This Row],[ppn_z]],tbl_Historique_Final[[#This Row],[ppn_z]],tbl_Historique_Final[[#This Row],[date_modif]])=Final_Sans_VGE[[#This Row],[date_modif]],
      "Ancien",
      "Modifié"),
   "Nouveau")),"")</f>
        <v/>
      </c>
    </row>
    <row r="8491" spans="24:30" x14ac:dyDescent="0.25">
      <c r="X8491" s="8" t="e">
        <f>IF(Final_Sans_VGE[[#This Row],[ppn_z]]="","",IFERROR(
   IF(_xlfn.XLOOKUP(Final_Sans_VGE[[#This Row],[ppn_z]],tbl_Historique_Final[ppn_z],tbl_Historique_Final[date_modif])=Final_Sans_VGE[[#This Row],[date_modif]],
      "Ancien",
      "Modifié"),
   "Nouveau"))</f>
        <v>#VALUE!</v>
      </c>
      <c r="AD8491" s="1" t="str">
        <f>IFERROR(IF(Final_Sans_VGE[[#This Row],[ppn_z]]="","",IFERROR(
   IF(_xlfn.XLOOKUP(Final_Sans_VGE[[#This Row],[ppn_z]],tbl_Historique_Final[[#This Row],[ppn_z]],tbl_Historique_Final[[#This Row],[date_modif]])=Final_Sans_VGE[[#This Row],[date_modif]],
      "Ancien",
      "Modifié"),
   "Nouveau")),"")</f>
        <v/>
      </c>
    </row>
    <row r="8492" spans="24:30" x14ac:dyDescent="0.25">
      <c r="X8492" s="8" t="e">
        <f>IF(Final_Sans_VGE[[#This Row],[ppn_z]]="","",IFERROR(
   IF(_xlfn.XLOOKUP(Final_Sans_VGE[[#This Row],[ppn_z]],tbl_Historique_Final[ppn_z],tbl_Historique_Final[date_modif])=Final_Sans_VGE[[#This Row],[date_modif]],
      "Ancien",
      "Modifié"),
   "Nouveau"))</f>
        <v>#VALUE!</v>
      </c>
      <c r="AD8492" s="1" t="str">
        <f>IFERROR(IF(Final_Sans_VGE[[#This Row],[ppn_z]]="","",IFERROR(
   IF(_xlfn.XLOOKUP(Final_Sans_VGE[[#This Row],[ppn_z]],tbl_Historique_Final[[#This Row],[ppn_z]],tbl_Historique_Final[[#This Row],[date_modif]])=Final_Sans_VGE[[#This Row],[date_modif]],
      "Ancien",
      "Modifié"),
   "Nouveau")),"")</f>
        <v/>
      </c>
    </row>
    <row r="8493" spans="24:30" x14ac:dyDescent="0.25">
      <c r="X8493" s="8" t="e">
        <f>IF(Final_Sans_VGE[[#This Row],[ppn_z]]="","",IFERROR(
   IF(_xlfn.XLOOKUP(Final_Sans_VGE[[#This Row],[ppn_z]],tbl_Historique_Final[ppn_z],tbl_Historique_Final[date_modif])=Final_Sans_VGE[[#This Row],[date_modif]],
      "Ancien",
      "Modifié"),
   "Nouveau"))</f>
        <v>#VALUE!</v>
      </c>
      <c r="AD8493" s="1" t="str">
        <f>IFERROR(IF(Final_Sans_VGE[[#This Row],[ppn_z]]="","",IFERROR(
   IF(_xlfn.XLOOKUP(Final_Sans_VGE[[#This Row],[ppn_z]],tbl_Historique_Final[[#This Row],[ppn_z]],tbl_Historique_Final[[#This Row],[date_modif]])=Final_Sans_VGE[[#This Row],[date_modif]],
      "Ancien",
      "Modifié"),
   "Nouveau")),"")</f>
        <v/>
      </c>
    </row>
    <row r="8494" spans="24:30" x14ac:dyDescent="0.25">
      <c r="X8494" s="8" t="e">
        <f>IF(Final_Sans_VGE[[#This Row],[ppn_z]]="","",IFERROR(
   IF(_xlfn.XLOOKUP(Final_Sans_VGE[[#This Row],[ppn_z]],tbl_Historique_Final[ppn_z],tbl_Historique_Final[date_modif])=Final_Sans_VGE[[#This Row],[date_modif]],
      "Ancien",
      "Modifié"),
   "Nouveau"))</f>
        <v>#VALUE!</v>
      </c>
      <c r="AD8494" s="1" t="str">
        <f>IFERROR(IF(Final_Sans_VGE[[#This Row],[ppn_z]]="","",IFERROR(
   IF(_xlfn.XLOOKUP(Final_Sans_VGE[[#This Row],[ppn_z]],tbl_Historique_Final[[#This Row],[ppn_z]],tbl_Historique_Final[[#This Row],[date_modif]])=Final_Sans_VGE[[#This Row],[date_modif]],
      "Ancien",
      "Modifié"),
   "Nouveau")),"")</f>
        <v/>
      </c>
    </row>
    <row r="8495" spans="24:30" x14ac:dyDescent="0.25">
      <c r="X8495" s="8" t="e">
        <f>IF(Final_Sans_VGE[[#This Row],[ppn_z]]="","",IFERROR(
   IF(_xlfn.XLOOKUP(Final_Sans_VGE[[#This Row],[ppn_z]],tbl_Historique_Final[ppn_z],tbl_Historique_Final[date_modif])=Final_Sans_VGE[[#This Row],[date_modif]],
      "Ancien",
      "Modifié"),
   "Nouveau"))</f>
        <v>#VALUE!</v>
      </c>
      <c r="AD8495" s="1" t="str">
        <f>IFERROR(IF(Final_Sans_VGE[[#This Row],[ppn_z]]="","",IFERROR(
   IF(_xlfn.XLOOKUP(Final_Sans_VGE[[#This Row],[ppn_z]],tbl_Historique_Final[[#This Row],[ppn_z]],tbl_Historique_Final[[#This Row],[date_modif]])=Final_Sans_VGE[[#This Row],[date_modif]],
      "Ancien",
      "Modifié"),
   "Nouveau")),"")</f>
        <v/>
      </c>
    </row>
    <row r="8496" spans="24:30" x14ac:dyDescent="0.25">
      <c r="X8496" s="8" t="e">
        <f>IF(Final_Sans_VGE[[#This Row],[ppn_z]]="","",IFERROR(
   IF(_xlfn.XLOOKUP(Final_Sans_VGE[[#This Row],[ppn_z]],tbl_Historique_Final[ppn_z],tbl_Historique_Final[date_modif])=Final_Sans_VGE[[#This Row],[date_modif]],
      "Ancien",
      "Modifié"),
   "Nouveau"))</f>
        <v>#VALUE!</v>
      </c>
      <c r="AD8496" s="1" t="str">
        <f>IFERROR(IF(Final_Sans_VGE[[#This Row],[ppn_z]]="","",IFERROR(
   IF(_xlfn.XLOOKUP(Final_Sans_VGE[[#This Row],[ppn_z]],tbl_Historique_Final[[#This Row],[ppn_z]],tbl_Historique_Final[[#This Row],[date_modif]])=Final_Sans_VGE[[#This Row],[date_modif]],
      "Ancien",
      "Modifié"),
   "Nouveau")),"")</f>
        <v/>
      </c>
    </row>
    <row r="8497" spans="24:30" x14ac:dyDescent="0.25">
      <c r="X8497" s="8" t="e">
        <f>IF(Final_Sans_VGE[[#This Row],[ppn_z]]="","",IFERROR(
   IF(_xlfn.XLOOKUP(Final_Sans_VGE[[#This Row],[ppn_z]],tbl_Historique_Final[ppn_z],tbl_Historique_Final[date_modif])=Final_Sans_VGE[[#This Row],[date_modif]],
      "Ancien",
      "Modifié"),
   "Nouveau"))</f>
        <v>#VALUE!</v>
      </c>
      <c r="AD8497" s="1" t="str">
        <f>IFERROR(IF(Final_Sans_VGE[[#This Row],[ppn_z]]="","",IFERROR(
   IF(_xlfn.XLOOKUP(Final_Sans_VGE[[#This Row],[ppn_z]],tbl_Historique_Final[[#This Row],[ppn_z]],tbl_Historique_Final[[#This Row],[date_modif]])=Final_Sans_VGE[[#This Row],[date_modif]],
      "Ancien",
      "Modifié"),
   "Nouveau")),"")</f>
        <v/>
      </c>
    </row>
    <row r="8498" spans="24:30" x14ac:dyDescent="0.25">
      <c r="X8498" s="8" t="e">
        <f>IF(Final_Sans_VGE[[#This Row],[ppn_z]]="","",IFERROR(
   IF(_xlfn.XLOOKUP(Final_Sans_VGE[[#This Row],[ppn_z]],tbl_Historique_Final[ppn_z],tbl_Historique_Final[date_modif])=Final_Sans_VGE[[#This Row],[date_modif]],
      "Ancien",
      "Modifié"),
   "Nouveau"))</f>
        <v>#VALUE!</v>
      </c>
      <c r="AD8498" s="1" t="str">
        <f>IFERROR(IF(Final_Sans_VGE[[#This Row],[ppn_z]]="","",IFERROR(
   IF(_xlfn.XLOOKUP(Final_Sans_VGE[[#This Row],[ppn_z]],tbl_Historique_Final[[#This Row],[ppn_z]],tbl_Historique_Final[[#This Row],[date_modif]])=Final_Sans_VGE[[#This Row],[date_modif]],
      "Ancien",
      "Modifié"),
   "Nouveau")),"")</f>
        <v/>
      </c>
    </row>
    <row r="8499" spans="24:30" x14ac:dyDescent="0.25">
      <c r="X8499" s="8" t="e">
        <f>IF(Final_Sans_VGE[[#This Row],[ppn_z]]="","",IFERROR(
   IF(_xlfn.XLOOKUP(Final_Sans_VGE[[#This Row],[ppn_z]],tbl_Historique_Final[ppn_z],tbl_Historique_Final[date_modif])=Final_Sans_VGE[[#This Row],[date_modif]],
      "Ancien",
      "Modifié"),
   "Nouveau"))</f>
        <v>#VALUE!</v>
      </c>
      <c r="AD8499" s="1" t="str">
        <f>IFERROR(IF(Final_Sans_VGE[[#This Row],[ppn_z]]="","",IFERROR(
   IF(_xlfn.XLOOKUP(Final_Sans_VGE[[#This Row],[ppn_z]],tbl_Historique_Final[[#This Row],[ppn_z]],tbl_Historique_Final[[#This Row],[date_modif]])=Final_Sans_VGE[[#This Row],[date_modif]],
      "Ancien",
      "Modifié"),
   "Nouveau")),"")</f>
        <v/>
      </c>
    </row>
    <row r="8500" spans="24:30" x14ac:dyDescent="0.25">
      <c r="X8500" s="8" t="e">
        <f>IF(Final_Sans_VGE[[#This Row],[ppn_z]]="","",IFERROR(
   IF(_xlfn.XLOOKUP(Final_Sans_VGE[[#This Row],[ppn_z]],tbl_Historique_Final[ppn_z],tbl_Historique_Final[date_modif])=Final_Sans_VGE[[#This Row],[date_modif]],
      "Ancien",
      "Modifié"),
   "Nouveau"))</f>
        <v>#VALUE!</v>
      </c>
      <c r="AD8500" s="1" t="str">
        <f>IFERROR(IF(Final_Sans_VGE[[#This Row],[ppn_z]]="","",IFERROR(
   IF(_xlfn.XLOOKUP(Final_Sans_VGE[[#This Row],[ppn_z]],tbl_Historique_Final[[#This Row],[ppn_z]],tbl_Historique_Final[[#This Row],[date_modif]])=Final_Sans_VGE[[#This Row],[date_modif]],
      "Ancien",
      "Modifié"),
   "Nouveau")),"")</f>
        <v/>
      </c>
    </row>
    <row r="8501" spans="24:30" x14ac:dyDescent="0.25">
      <c r="X8501" s="8" t="e">
        <f>IF(Final_Sans_VGE[[#This Row],[ppn_z]]="","",IFERROR(
   IF(_xlfn.XLOOKUP(Final_Sans_VGE[[#This Row],[ppn_z]],tbl_Historique_Final[ppn_z],tbl_Historique_Final[date_modif])=Final_Sans_VGE[[#This Row],[date_modif]],
      "Ancien",
      "Modifié"),
   "Nouveau"))</f>
        <v>#VALUE!</v>
      </c>
      <c r="AD8501" s="1" t="str">
        <f>IFERROR(IF(Final_Sans_VGE[[#This Row],[ppn_z]]="","",IFERROR(
   IF(_xlfn.XLOOKUP(Final_Sans_VGE[[#This Row],[ppn_z]],tbl_Historique_Final[[#This Row],[ppn_z]],tbl_Historique_Final[[#This Row],[date_modif]])=Final_Sans_VGE[[#This Row],[date_modif]],
      "Ancien",
      "Modifié"),
   "Nouveau")),"")</f>
        <v/>
      </c>
    </row>
    <row r="8502" spans="24:30" x14ac:dyDescent="0.25">
      <c r="X8502" s="8" t="e">
        <f>IF(Final_Sans_VGE[[#This Row],[ppn_z]]="","",IFERROR(
   IF(_xlfn.XLOOKUP(Final_Sans_VGE[[#This Row],[ppn_z]],tbl_Historique_Final[ppn_z],tbl_Historique_Final[date_modif])=Final_Sans_VGE[[#This Row],[date_modif]],
      "Ancien",
      "Modifié"),
   "Nouveau"))</f>
        <v>#VALUE!</v>
      </c>
      <c r="AD8502" s="1" t="str">
        <f>IFERROR(IF(Final_Sans_VGE[[#This Row],[ppn_z]]="","",IFERROR(
   IF(_xlfn.XLOOKUP(Final_Sans_VGE[[#This Row],[ppn_z]],tbl_Historique_Final[[#This Row],[ppn_z]],tbl_Historique_Final[[#This Row],[date_modif]])=Final_Sans_VGE[[#This Row],[date_modif]],
      "Ancien",
      "Modifié"),
   "Nouveau")),"")</f>
        <v/>
      </c>
    </row>
    <row r="8503" spans="24:30" x14ac:dyDescent="0.25">
      <c r="X8503" s="8" t="e">
        <f>IF(Final_Sans_VGE[[#This Row],[ppn_z]]="","",IFERROR(
   IF(_xlfn.XLOOKUP(Final_Sans_VGE[[#This Row],[ppn_z]],tbl_Historique_Final[ppn_z],tbl_Historique_Final[date_modif])=Final_Sans_VGE[[#This Row],[date_modif]],
      "Ancien",
      "Modifié"),
   "Nouveau"))</f>
        <v>#VALUE!</v>
      </c>
      <c r="AD8503" s="1" t="str">
        <f>IFERROR(IF(Final_Sans_VGE[[#This Row],[ppn_z]]="","",IFERROR(
   IF(_xlfn.XLOOKUP(Final_Sans_VGE[[#This Row],[ppn_z]],tbl_Historique_Final[[#This Row],[ppn_z]],tbl_Historique_Final[[#This Row],[date_modif]])=Final_Sans_VGE[[#This Row],[date_modif]],
      "Ancien",
      "Modifié"),
   "Nouveau")),"")</f>
        <v/>
      </c>
    </row>
    <row r="8504" spans="24:30" x14ac:dyDescent="0.25">
      <c r="X8504" s="8" t="e">
        <f>IF(Final_Sans_VGE[[#This Row],[ppn_z]]="","",IFERROR(
   IF(_xlfn.XLOOKUP(Final_Sans_VGE[[#This Row],[ppn_z]],tbl_Historique_Final[ppn_z],tbl_Historique_Final[date_modif])=Final_Sans_VGE[[#This Row],[date_modif]],
      "Ancien",
      "Modifié"),
   "Nouveau"))</f>
        <v>#VALUE!</v>
      </c>
      <c r="AD8504" s="1" t="str">
        <f>IFERROR(IF(Final_Sans_VGE[[#This Row],[ppn_z]]="","",IFERROR(
   IF(_xlfn.XLOOKUP(Final_Sans_VGE[[#This Row],[ppn_z]],tbl_Historique_Final[[#This Row],[ppn_z]],tbl_Historique_Final[[#This Row],[date_modif]])=Final_Sans_VGE[[#This Row],[date_modif]],
      "Ancien",
      "Modifié"),
   "Nouveau")),"")</f>
        <v/>
      </c>
    </row>
    <row r="8505" spans="24:30" x14ac:dyDescent="0.25">
      <c r="X8505" s="8" t="e">
        <f>IF(Final_Sans_VGE[[#This Row],[ppn_z]]="","",IFERROR(
   IF(_xlfn.XLOOKUP(Final_Sans_VGE[[#This Row],[ppn_z]],tbl_Historique_Final[ppn_z],tbl_Historique_Final[date_modif])=Final_Sans_VGE[[#This Row],[date_modif]],
      "Ancien",
      "Modifié"),
   "Nouveau"))</f>
        <v>#VALUE!</v>
      </c>
      <c r="AD8505" s="1" t="str">
        <f>IFERROR(IF(Final_Sans_VGE[[#This Row],[ppn_z]]="","",IFERROR(
   IF(_xlfn.XLOOKUP(Final_Sans_VGE[[#This Row],[ppn_z]],tbl_Historique_Final[[#This Row],[ppn_z]],tbl_Historique_Final[[#This Row],[date_modif]])=Final_Sans_VGE[[#This Row],[date_modif]],
      "Ancien",
      "Modifié"),
   "Nouveau")),"")</f>
        <v/>
      </c>
    </row>
    <row r="8506" spans="24:30" x14ac:dyDescent="0.25">
      <c r="X8506" s="8" t="e">
        <f>IF(Final_Sans_VGE[[#This Row],[ppn_z]]="","",IFERROR(
   IF(_xlfn.XLOOKUP(Final_Sans_VGE[[#This Row],[ppn_z]],tbl_Historique_Final[ppn_z],tbl_Historique_Final[date_modif])=Final_Sans_VGE[[#This Row],[date_modif]],
      "Ancien",
      "Modifié"),
   "Nouveau"))</f>
        <v>#VALUE!</v>
      </c>
      <c r="AD8506" s="1" t="str">
        <f>IFERROR(IF(Final_Sans_VGE[[#This Row],[ppn_z]]="","",IFERROR(
   IF(_xlfn.XLOOKUP(Final_Sans_VGE[[#This Row],[ppn_z]],tbl_Historique_Final[[#This Row],[ppn_z]],tbl_Historique_Final[[#This Row],[date_modif]])=Final_Sans_VGE[[#This Row],[date_modif]],
      "Ancien",
      "Modifié"),
   "Nouveau")),"")</f>
        <v/>
      </c>
    </row>
    <row r="8507" spans="24:30" x14ac:dyDescent="0.25">
      <c r="X8507" s="8" t="e">
        <f>IF(Final_Sans_VGE[[#This Row],[ppn_z]]="","",IFERROR(
   IF(_xlfn.XLOOKUP(Final_Sans_VGE[[#This Row],[ppn_z]],tbl_Historique_Final[ppn_z],tbl_Historique_Final[date_modif])=Final_Sans_VGE[[#This Row],[date_modif]],
      "Ancien",
      "Modifié"),
   "Nouveau"))</f>
        <v>#VALUE!</v>
      </c>
      <c r="AD8507" s="1" t="str">
        <f>IFERROR(IF(Final_Sans_VGE[[#This Row],[ppn_z]]="","",IFERROR(
   IF(_xlfn.XLOOKUP(Final_Sans_VGE[[#This Row],[ppn_z]],tbl_Historique_Final[[#This Row],[ppn_z]],tbl_Historique_Final[[#This Row],[date_modif]])=Final_Sans_VGE[[#This Row],[date_modif]],
      "Ancien",
      "Modifié"),
   "Nouveau")),"")</f>
        <v/>
      </c>
    </row>
    <row r="8508" spans="24:30" x14ac:dyDescent="0.25">
      <c r="X8508" s="8" t="e">
        <f>IF(Final_Sans_VGE[[#This Row],[ppn_z]]="","",IFERROR(
   IF(_xlfn.XLOOKUP(Final_Sans_VGE[[#This Row],[ppn_z]],tbl_Historique_Final[ppn_z],tbl_Historique_Final[date_modif])=Final_Sans_VGE[[#This Row],[date_modif]],
      "Ancien",
      "Modifié"),
   "Nouveau"))</f>
        <v>#VALUE!</v>
      </c>
      <c r="AD8508" s="1" t="str">
        <f>IFERROR(IF(Final_Sans_VGE[[#This Row],[ppn_z]]="","",IFERROR(
   IF(_xlfn.XLOOKUP(Final_Sans_VGE[[#This Row],[ppn_z]],tbl_Historique_Final[[#This Row],[ppn_z]],tbl_Historique_Final[[#This Row],[date_modif]])=Final_Sans_VGE[[#This Row],[date_modif]],
      "Ancien",
      "Modifié"),
   "Nouveau")),"")</f>
        <v/>
      </c>
    </row>
    <row r="8509" spans="24:30" x14ac:dyDescent="0.25">
      <c r="X8509" s="8" t="e">
        <f>IF(Final_Sans_VGE[[#This Row],[ppn_z]]="","",IFERROR(
   IF(_xlfn.XLOOKUP(Final_Sans_VGE[[#This Row],[ppn_z]],tbl_Historique_Final[ppn_z],tbl_Historique_Final[date_modif])=Final_Sans_VGE[[#This Row],[date_modif]],
      "Ancien",
      "Modifié"),
   "Nouveau"))</f>
        <v>#VALUE!</v>
      </c>
      <c r="AD8509" s="1" t="str">
        <f>IFERROR(IF(Final_Sans_VGE[[#This Row],[ppn_z]]="","",IFERROR(
   IF(_xlfn.XLOOKUP(Final_Sans_VGE[[#This Row],[ppn_z]],tbl_Historique_Final[[#This Row],[ppn_z]],tbl_Historique_Final[[#This Row],[date_modif]])=Final_Sans_VGE[[#This Row],[date_modif]],
      "Ancien",
      "Modifié"),
   "Nouveau")),"")</f>
        <v/>
      </c>
    </row>
    <row r="8510" spans="24:30" x14ac:dyDescent="0.25">
      <c r="X8510" s="8" t="e">
        <f>IF(Final_Sans_VGE[[#This Row],[ppn_z]]="","",IFERROR(
   IF(_xlfn.XLOOKUP(Final_Sans_VGE[[#This Row],[ppn_z]],tbl_Historique_Final[ppn_z],tbl_Historique_Final[date_modif])=Final_Sans_VGE[[#This Row],[date_modif]],
      "Ancien",
      "Modifié"),
   "Nouveau"))</f>
        <v>#VALUE!</v>
      </c>
      <c r="AD8510" s="1" t="str">
        <f>IFERROR(IF(Final_Sans_VGE[[#This Row],[ppn_z]]="","",IFERROR(
   IF(_xlfn.XLOOKUP(Final_Sans_VGE[[#This Row],[ppn_z]],tbl_Historique_Final[[#This Row],[ppn_z]],tbl_Historique_Final[[#This Row],[date_modif]])=Final_Sans_VGE[[#This Row],[date_modif]],
      "Ancien",
      "Modifié"),
   "Nouveau")),"")</f>
        <v/>
      </c>
    </row>
    <row r="8511" spans="24:30" x14ac:dyDescent="0.25">
      <c r="X8511" s="8" t="e">
        <f>IF(Final_Sans_VGE[[#This Row],[ppn_z]]="","",IFERROR(
   IF(_xlfn.XLOOKUP(Final_Sans_VGE[[#This Row],[ppn_z]],tbl_Historique_Final[ppn_z],tbl_Historique_Final[date_modif])=Final_Sans_VGE[[#This Row],[date_modif]],
      "Ancien",
      "Modifié"),
   "Nouveau"))</f>
        <v>#VALUE!</v>
      </c>
      <c r="AD8511" s="1" t="str">
        <f>IFERROR(IF(Final_Sans_VGE[[#This Row],[ppn_z]]="","",IFERROR(
   IF(_xlfn.XLOOKUP(Final_Sans_VGE[[#This Row],[ppn_z]],tbl_Historique_Final[[#This Row],[ppn_z]],tbl_Historique_Final[[#This Row],[date_modif]])=Final_Sans_VGE[[#This Row],[date_modif]],
      "Ancien",
      "Modifié"),
   "Nouveau")),"")</f>
        <v/>
      </c>
    </row>
    <row r="8512" spans="24:30" x14ac:dyDescent="0.25">
      <c r="X8512" s="8" t="e">
        <f>IF(Final_Sans_VGE[[#This Row],[ppn_z]]="","",IFERROR(
   IF(_xlfn.XLOOKUP(Final_Sans_VGE[[#This Row],[ppn_z]],tbl_Historique_Final[ppn_z],tbl_Historique_Final[date_modif])=Final_Sans_VGE[[#This Row],[date_modif]],
      "Ancien",
      "Modifié"),
   "Nouveau"))</f>
        <v>#VALUE!</v>
      </c>
      <c r="AD8512" s="1" t="str">
        <f>IFERROR(IF(Final_Sans_VGE[[#This Row],[ppn_z]]="","",IFERROR(
   IF(_xlfn.XLOOKUP(Final_Sans_VGE[[#This Row],[ppn_z]],tbl_Historique_Final[[#This Row],[ppn_z]],tbl_Historique_Final[[#This Row],[date_modif]])=Final_Sans_VGE[[#This Row],[date_modif]],
      "Ancien",
      "Modifié"),
   "Nouveau")),"")</f>
        <v/>
      </c>
    </row>
    <row r="8513" spans="24:30" x14ac:dyDescent="0.25">
      <c r="X8513" s="8" t="e">
        <f>IF(Final_Sans_VGE[[#This Row],[ppn_z]]="","",IFERROR(
   IF(_xlfn.XLOOKUP(Final_Sans_VGE[[#This Row],[ppn_z]],tbl_Historique_Final[ppn_z],tbl_Historique_Final[date_modif])=Final_Sans_VGE[[#This Row],[date_modif]],
      "Ancien",
      "Modifié"),
   "Nouveau"))</f>
        <v>#VALUE!</v>
      </c>
      <c r="AD8513" s="1" t="str">
        <f>IFERROR(IF(Final_Sans_VGE[[#This Row],[ppn_z]]="","",IFERROR(
   IF(_xlfn.XLOOKUP(Final_Sans_VGE[[#This Row],[ppn_z]],tbl_Historique_Final[[#This Row],[ppn_z]],tbl_Historique_Final[[#This Row],[date_modif]])=Final_Sans_VGE[[#This Row],[date_modif]],
      "Ancien",
      "Modifié"),
   "Nouveau")),"")</f>
        <v/>
      </c>
    </row>
    <row r="8514" spans="24:30" x14ac:dyDescent="0.25">
      <c r="X8514" s="8" t="e">
        <f>IF(Final_Sans_VGE[[#This Row],[ppn_z]]="","",IFERROR(
   IF(_xlfn.XLOOKUP(Final_Sans_VGE[[#This Row],[ppn_z]],tbl_Historique_Final[ppn_z],tbl_Historique_Final[date_modif])=Final_Sans_VGE[[#This Row],[date_modif]],
      "Ancien",
      "Modifié"),
   "Nouveau"))</f>
        <v>#VALUE!</v>
      </c>
      <c r="AD8514" s="1" t="str">
        <f>IFERROR(IF(Final_Sans_VGE[[#This Row],[ppn_z]]="","",IFERROR(
   IF(_xlfn.XLOOKUP(Final_Sans_VGE[[#This Row],[ppn_z]],tbl_Historique_Final[[#This Row],[ppn_z]],tbl_Historique_Final[[#This Row],[date_modif]])=Final_Sans_VGE[[#This Row],[date_modif]],
      "Ancien",
      "Modifié"),
   "Nouveau")),"")</f>
        <v/>
      </c>
    </row>
    <row r="8515" spans="24:30" x14ac:dyDescent="0.25">
      <c r="X8515" s="8" t="e">
        <f>IF(Final_Sans_VGE[[#This Row],[ppn_z]]="","",IFERROR(
   IF(_xlfn.XLOOKUP(Final_Sans_VGE[[#This Row],[ppn_z]],tbl_Historique_Final[ppn_z],tbl_Historique_Final[date_modif])=Final_Sans_VGE[[#This Row],[date_modif]],
      "Ancien",
      "Modifié"),
   "Nouveau"))</f>
        <v>#VALUE!</v>
      </c>
      <c r="AD8515" s="1" t="str">
        <f>IFERROR(IF(Final_Sans_VGE[[#This Row],[ppn_z]]="","",IFERROR(
   IF(_xlfn.XLOOKUP(Final_Sans_VGE[[#This Row],[ppn_z]],tbl_Historique_Final[[#This Row],[ppn_z]],tbl_Historique_Final[[#This Row],[date_modif]])=Final_Sans_VGE[[#This Row],[date_modif]],
      "Ancien",
      "Modifié"),
   "Nouveau")),"")</f>
        <v/>
      </c>
    </row>
    <row r="8516" spans="24:30" x14ac:dyDescent="0.25">
      <c r="X8516" s="8" t="e">
        <f>IF(Final_Sans_VGE[[#This Row],[ppn_z]]="","",IFERROR(
   IF(_xlfn.XLOOKUP(Final_Sans_VGE[[#This Row],[ppn_z]],tbl_Historique_Final[ppn_z],tbl_Historique_Final[date_modif])=Final_Sans_VGE[[#This Row],[date_modif]],
      "Ancien",
      "Modifié"),
   "Nouveau"))</f>
        <v>#VALUE!</v>
      </c>
      <c r="AD8516" s="1" t="str">
        <f>IFERROR(IF(Final_Sans_VGE[[#This Row],[ppn_z]]="","",IFERROR(
   IF(_xlfn.XLOOKUP(Final_Sans_VGE[[#This Row],[ppn_z]],tbl_Historique_Final[[#This Row],[ppn_z]],tbl_Historique_Final[[#This Row],[date_modif]])=Final_Sans_VGE[[#This Row],[date_modif]],
      "Ancien",
      "Modifié"),
   "Nouveau")),"")</f>
        <v/>
      </c>
    </row>
    <row r="8517" spans="24:30" x14ac:dyDescent="0.25">
      <c r="X8517" s="8" t="e">
        <f>IF(Final_Sans_VGE[[#This Row],[ppn_z]]="","",IFERROR(
   IF(_xlfn.XLOOKUP(Final_Sans_VGE[[#This Row],[ppn_z]],tbl_Historique_Final[ppn_z],tbl_Historique_Final[date_modif])=Final_Sans_VGE[[#This Row],[date_modif]],
      "Ancien",
      "Modifié"),
   "Nouveau"))</f>
        <v>#VALUE!</v>
      </c>
      <c r="AD8517" s="1" t="str">
        <f>IFERROR(IF(Final_Sans_VGE[[#This Row],[ppn_z]]="","",IFERROR(
   IF(_xlfn.XLOOKUP(Final_Sans_VGE[[#This Row],[ppn_z]],tbl_Historique_Final[[#This Row],[ppn_z]],tbl_Historique_Final[[#This Row],[date_modif]])=Final_Sans_VGE[[#This Row],[date_modif]],
      "Ancien",
      "Modifié"),
   "Nouveau")),"")</f>
        <v/>
      </c>
    </row>
    <row r="8518" spans="24:30" x14ac:dyDescent="0.25">
      <c r="X8518" s="8" t="e">
        <f>IF(Final_Sans_VGE[[#This Row],[ppn_z]]="","",IFERROR(
   IF(_xlfn.XLOOKUP(Final_Sans_VGE[[#This Row],[ppn_z]],tbl_Historique_Final[ppn_z],tbl_Historique_Final[date_modif])=Final_Sans_VGE[[#This Row],[date_modif]],
      "Ancien",
      "Modifié"),
   "Nouveau"))</f>
        <v>#VALUE!</v>
      </c>
      <c r="AD8518" s="1" t="str">
        <f>IFERROR(IF(Final_Sans_VGE[[#This Row],[ppn_z]]="","",IFERROR(
   IF(_xlfn.XLOOKUP(Final_Sans_VGE[[#This Row],[ppn_z]],tbl_Historique_Final[[#This Row],[ppn_z]],tbl_Historique_Final[[#This Row],[date_modif]])=Final_Sans_VGE[[#This Row],[date_modif]],
      "Ancien",
      "Modifié"),
   "Nouveau")),"")</f>
        <v/>
      </c>
    </row>
    <row r="8519" spans="24:30" x14ac:dyDescent="0.25">
      <c r="X8519" s="8" t="e">
        <f>IF(Final_Sans_VGE[[#This Row],[ppn_z]]="","",IFERROR(
   IF(_xlfn.XLOOKUP(Final_Sans_VGE[[#This Row],[ppn_z]],tbl_Historique_Final[ppn_z],tbl_Historique_Final[date_modif])=Final_Sans_VGE[[#This Row],[date_modif]],
      "Ancien",
      "Modifié"),
   "Nouveau"))</f>
        <v>#VALUE!</v>
      </c>
      <c r="AD8519" s="1" t="str">
        <f>IFERROR(IF(Final_Sans_VGE[[#This Row],[ppn_z]]="","",IFERROR(
   IF(_xlfn.XLOOKUP(Final_Sans_VGE[[#This Row],[ppn_z]],tbl_Historique_Final[[#This Row],[ppn_z]],tbl_Historique_Final[[#This Row],[date_modif]])=Final_Sans_VGE[[#This Row],[date_modif]],
      "Ancien",
      "Modifié"),
   "Nouveau")),"")</f>
        <v/>
      </c>
    </row>
    <row r="8520" spans="24:30" x14ac:dyDescent="0.25">
      <c r="X8520" s="8" t="e">
        <f>IF(Final_Sans_VGE[[#This Row],[ppn_z]]="","",IFERROR(
   IF(_xlfn.XLOOKUP(Final_Sans_VGE[[#This Row],[ppn_z]],tbl_Historique_Final[ppn_z],tbl_Historique_Final[date_modif])=Final_Sans_VGE[[#This Row],[date_modif]],
      "Ancien",
      "Modifié"),
   "Nouveau"))</f>
        <v>#VALUE!</v>
      </c>
      <c r="AD8520" s="1" t="str">
        <f>IFERROR(IF(Final_Sans_VGE[[#This Row],[ppn_z]]="","",IFERROR(
   IF(_xlfn.XLOOKUP(Final_Sans_VGE[[#This Row],[ppn_z]],tbl_Historique_Final[[#This Row],[ppn_z]],tbl_Historique_Final[[#This Row],[date_modif]])=Final_Sans_VGE[[#This Row],[date_modif]],
      "Ancien",
      "Modifié"),
   "Nouveau")),"")</f>
        <v/>
      </c>
    </row>
    <row r="8521" spans="24:30" x14ac:dyDescent="0.25">
      <c r="X8521" s="8" t="e">
        <f>IF(Final_Sans_VGE[[#This Row],[ppn_z]]="","",IFERROR(
   IF(_xlfn.XLOOKUP(Final_Sans_VGE[[#This Row],[ppn_z]],tbl_Historique_Final[ppn_z],tbl_Historique_Final[date_modif])=Final_Sans_VGE[[#This Row],[date_modif]],
      "Ancien",
      "Modifié"),
   "Nouveau"))</f>
        <v>#VALUE!</v>
      </c>
      <c r="AD8521" s="1" t="str">
        <f>IFERROR(IF(Final_Sans_VGE[[#This Row],[ppn_z]]="","",IFERROR(
   IF(_xlfn.XLOOKUP(Final_Sans_VGE[[#This Row],[ppn_z]],tbl_Historique_Final[[#This Row],[ppn_z]],tbl_Historique_Final[[#This Row],[date_modif]])=Final_Sans_VGE[[#This Row],[date_modif]],
      "Ancien",
      "Modifié"),
   "Nouveau")),"")</f>
        <v/>
      </c>
    </row>
    <row r="8522" spans="24:30" x14ac:dyDescent="0.25">
      <c r="X8522" s="8" t="e">
        <f>IF(Final_Sans_VGE[[#This Row],[ppn_z]]="","",IFERROR(
   IF(_xlfn.XLOOKUP(Final_Sans_VGE[[#This Row],[ppn_z]],tbl_Historique_Final[ppn_z],tbl_Historique_Final[date_modif])=Final_Sans_VGE[[#This Row],[date_modif]],
      "Ancien",
      "Modifié"),
   "Nouveau"))</f>
        <v>#VALUE!</v>
      </c>
      <c r="AD8522" s="1" t="str">
        <f>IFERROR(IF(Final_Sans_VGE[[#This Row],[ppn_z]]="","",IFERROR(
   IF(_xlfn.XLOOKUP(Final_Sans_VGE[[#This Row],[ppn_z]],tbl_Historique_Final[[#This Row],[ppn_z]],tbl_Historique_Final[[#This Row],[date_modif]])=Final_Sans_VGE[[#This Row],[date_modif]],
      "Ancien",
      "Modifié"),
   "Nouveau")),"")</f>
        <v/>
      </c>
    </row>
    <row r="8523" spans="24:30" x14ac:dyDescent="0.25">
      <c r="X8523" s="8" t="e">
        <f>IF(Final_Sans_VGE[[#This Row],[ppn_z]]="","",IFERROR(
   IF(_xlfn.XLOOKUP(Final_Sans_VGE[[#This Row],[ppn_z]],tbl_Historique_Final[ppn_z],tbl_Historique_Final[date_modif])=Final_Sans_VGE[[#This Row],[date_modif]],
      "Ancien",
      "Modifié"),
   "Nouveau"))</f>
        <v>#VALUE!</v>
      </c>
      <c r="AD8523" s="1" t="str">
        <f>IFERROR(IF(Final_Sans_VGE[[#This Row],[ppn_z]]="","",IFERROR(
   IF(_xlfn.XLOOKUP(Final_Sans_VGE[[#This Row],[ppn_z]],tbl_Historique_Final[[#This Row],[ppn_z]],tbl_Historique_Final[[#This Row],[date_modif]])=Final_Sans_VGE[[#This Row],[date_modif]],
      "Ancien",
      "Modifié"),
   "Nouveau")),"")</f>
        <v/>
      </c>
    </row>
    <row r="8524" spans="24:30" x14ac:dyDescent="0.25">
      <c r="X8524" s="8" t="e">
        <f>IF(Final_Sans_VGE[[#This Row],[ppn_z]]="","",IFERROR(
   IF(_xlfn.XLOOKUP(Final_Sans_VGE[[#This Row],[ppn_z]],tbl_Historique_Final[ppn_z],tbl_Historique_Final[date_modif])=Final_Sans_VGE[[#This Row],[date_modif]],
      "Ancien",
      "Modifié"),
   "Nouveau"))</f>
        <v>#VALUE!</v>
      </c>
      <c r="AD8524" s="1" t="str">
        <f>IFERROR(IF(Final_Sans_VGE[[#This Row],[ppn_z]]="","",IFERROR(
   IF(_xlfn.XLOOKUP(Final_Sans_VGE[[#This Row],[ppn_z]],tbl_Historique_Final[[#This Row],[ppn_z]],tbl_Historique_Final[[#This Row],[date_modif]])=Final_Sans_VGE[[#This Row],[date_modif]],
      "Ancien",
      "Modifié"),
   "Nouveau")),"")</f>
        <v/>
      </c>
    </row>
    <row r="8525" spans="24:30" x14ac:dyDescent="0.25">
      <c r="X8525" s="8" t="e">
        <f>IF(Final_Sans_VGE[[#This Row],[ppn_z]]="","",IFERROR(
   IF(_xlfn.XLOOKUP(Final_Sans_VGE[[#This Row],[ppn_z]],tbl_Historique_Final[ppn_z],tbl_Historique_Final[date_modif])=Final_Sans_VGE[[#This Row],[date_modif]],
      "Ancien",
      "Modifié"),
   "Nouveau"))</f>
        <v>#VALUE!</v>
      </c>
      <c r="AD8525" s="1" t="str">
        <f>IFERROR(IF(Final_Sans_VGE[[#This Row],[ppn_z]]="","",IFERROR(
   IF(_xlfn.XLOOKUP(Final_Sans_VGE[[#This Row],[ppn_z]],tbl_Historique_Final[[#This Row],[ppn_z]],tbl_Historique_Final[[#This Row],[date_modif]])=Final_Sans_VGE[[#This Row],[date_modif]],
      "Ancien",
      "Modifié"),
   "Nouveau")),"")</f>
        <v/>
      </c>
    </row>
    <row r="8526" spans="24:30" x14ac:dyDescent="0.25">
      <c r="X8526" s="8" t="e">
        <f>IF(Final_Sans_VGE[[#This Row],[ppn_z]]="","",IFERROR(
   IF(_xlfn.XLOOKUP(Final_Sans_VGE[[#This Row],[ppn_z]],tbl_Historique_Final[ppn_z],tbl_Historique_Final[date_modif])=Final_Sans_VGE[[#This Row],[date_modif]],
      "Ancien",
      "Modifié"),
   "Nouveau"))</f>
        <v>#VALUE!</v>
      </c>
      <c r="AD8526" s="1" t="str">
        <f>IFERROR(IF(Final_Sans_VGE[[#This Row],[ppn_z]]="","",IFERROR(
   IF(_xlfn.XLOOKUP(Final_Sans_VGE[[#This Row],[ppn_z]],tbl_Historique_Final[[#This Row],[ppn_z]],tbl_Historique_Final[[#This Row],[date_modif]])=Final_Sans_VGE[[#This Row],[date_modif]],
      "Ancien",
      "Modifié"),
   "Nouveau")),"")</f>
        <v/>
      </c>
    </row>
    <row r="8527" spans="24:30" x14ac:dyDescent="0.25">
      <c r="X8527" s="8" t="e">
        <f>IF(Final_Sans_VGE[[#This Row],[ppn_z]]="","",IFERROR(
   IF(_xlfn.XLOOKUP(Final_Sans_VGE[[#This Row],[ppn_z]],tbl_Historique_Final[ppn_z],tbl_Historique_Final[date_modif])=Final_Sans_VGE[[#This Row],[date_modif]],
      "Ancien",
      "Modifié"),
   "Nouveau"))</f>
        <v>#VALUE!</v>
      </c>
      <c r="AD8527" s="1" t="str">
        <f>IFERROR(IF(Final_Sans_VGE[[#This Row],[ppn_z]]="","",IFERROR(
   IF(_xlfn.XLOOKUP(Final_Sans_VGE[[#This Row],[ppn_z]],tbl_Historique_Final[[#This Row],[ppn_z]],tbl_Historique_Final[[#This Row],[date_modif]])=Final_Sans_VGE[[#This Row],[date_modif]],
      "Ancien",
      "Modifié"),
   "Nouveau")),"")</f>
        <v/>
      </c>
    </row>
    <row r="8528" spans="24:30" x14ac:dyDescent="0.25">
      <c r="X8528" s="8" t="e">
        <f>IF(Final_Sans_VGE[[#This Row],[ppn_z]]="","",IFERROR(
   IF(_xlfn.XLOOKUP(Final_Sans_VGE[[#This Row],[ppn_z]],tbl_Historique_Final[ppn_z],tbl_Historique_Final[date_modif])=Final_Sans_VGE[[#This Row],[date_modif]],
      "Ancien",
      "Modifié"),
   "Nouveau"))</f>
        <v>#VALUE!</v>
      </c>
      <c r="AD8528" s="1" t="str">
        <f>IFERROR(IF(Final_Sans_VGE[[#This Row],[ppn_z]]="","",IFERROR(
   IF(_xlfn.XLOOKUP(Final_Sans_VGE[[#This Row],[ppn_z]],tbl_Historique_Final[[#This Row],[ppn_z]],tbl_Historique_Final[[#This Row],[date_modif]])=Final_Sans_VGE[[#This Row],[date_modif]],
      "Ancien",
      "Modifié"),
   "Nouveau")),"")</f>
        <v/>
      </c>
    </row>
    <row r="8529" spans="24:30" x14ac:dyDescent="0.25">
      <c r="X8529" s="8" t="e">
        <f>IF(Final_Sans_VGE[[#This Row],[ppn_z]]="","",IFERROR(
   IF(_xlfn.XLOOKUP(Final_Sans_VGE[[#This Row],[ppn_z]],tbl_Historique_Final[ppn_z],tbl_Historique_Final[date_modif])=Final_Sans_VGE[[#This Row],[date_modif]],
      "Ancien",
      "Modifié"),
   "Nouveau"))</f>
        <v>#VALUE!</v>
      </c>
      <c r="AD8529" s="1" t="str">
        <f>IFERROR(IF(Final_Sans_VGE[[#This Row],[ppn_z]]="","",IFERROR(
   IF(_xlfn.XLOOKUP(Final_Sans_VGE[[#This Row],[ppn_z]],tbl_Historique_Final[[#This Row],[ppn_z]],tbl_Historique_Final[[#This Row],[date_modif]])=Final_Sans_VGE[[#This Row],[date_modif]],
      "Ancien",
      "Modifié"),
   "Nouveau")),"")</f>
        <v/>
      </c>
    </row>
    <row r="8530" spans="24:30" x14ac:dyDescent="0.25">
      <c r="X8530" s="8" t="e">
        <f>IF(Final_Sans_VGE[[#This Row],[ppn_z]]="","",IFERROR(
   IF(_xlfn.XLOOKUP(Final_Sans_VGE[[#This Row],[ppn_z]],tbl_Historique_Final[ppn_z],tbl_Historique_Final[date_modif])=Final_Sans_VGE[[#This Row],[date_modif]],
      "Ancien",
      "Modifié"),
   "Nouveau"))</f>
        <v>#VALUE!</v>
      </c>
      <c r="AD8530" s="1" t="str">
        <f>IFERROR(IF(Final_Sans_VGE[[#This Row],[ppn_z]]="","",IFERROR(
   IF(_xlfn.XLOOKUP(Final_Sans_VGE[[#This Row],[ppn_z]],tbl_Historique_Final[[#This Row],[ppn_z]],tbl_Historique_Final[[#This Row],[date_modif]])=Final_Sans_VGE[[#This Row],[date_modif]],
      "Ancien",
      "Modifié"),
   "Nouveau")),"")</f>
        <v/>
      </c>
    </row>
    <row r="8531" spans="24:30" x14ac:dyDescent="0.25">
      <c r="X8531" s="8" t="e">
        <f>IF(Final_Sans_VGE[[#This Row],[ppn_z]]="","",IFERROR(
   IF(_xlfn.XLOOKUP(Final_Sans_VGE[[#This Row],[ppn_z]],tbl_Historique_Final[ppn_z],tbl_Historique_Final[date_modif])=Final_Sans_VGE[[#This Row],[date_modif]],
      "Ancien",
      "Modifié"),
   "Nouveau"))</f>
        <v>#VALUE!</v>
      </c>
      <c r="AD8531" s="1" t="str">
        <f>IFERROR(IF(Final_Sans_VGE[[#This Row],[ppn_z]]="","",IFERROR(
   IF(_xlfn.XLOOKUP(Final_Sans_VGE[[#This Row],[ppn_z]],tbl_Historique_Final[[#This Row],[ppn_z]],tbl_Historique_Final[[#This Row],[date_modif]])=Final_Sans_VGE[[#This Row],[date_modif]],
      "Ancien",
      "Modifié"),
   "Nouveau")),"")</f>
        <v/>
      </c>
    </row>
    <row r="8532" spans="24:30" x14ac:dyDescent="0.25">
      <c r="X8532" s="8" t="e">
        <f>IF(Final_Sans_VGE[[#This Row],[ppn_z]]="","",IFERROR(
   IF(_xlfn.XLOOKUP(Final_Sans_VGE[[#This Row],[ppn_z]],tbl_Historique_Final[ppn_z],tbl_Historique_Final[date_modif])=Final_Sans_VGE[[#This Row],[date_modif]],
      "Ancien",
      "Modifié"),
   "Nouveau"))</f>
        <v>#VALUE!</v>
      </c>
      <c r="AD8532" s="1" t="str">
        <f>IFERROR(IF(Final_Sans_VGE[[#This Row],[ppn_z]]="","",IFERROR(
   IF(_xlfn.XLOOKUP(Final_Sans_VGE[[#This Row],[ppn_z]],tbl_Historique_Final[[#This Row],[ppn_z]],tbl_Historique_Final[[#This Row],[date_modif]])=Final_Sans_VGE[[#This Row],[date_modif]],
      "Ancien",
      "Modifié"),
   "Nouveau")),"")</f>
        <v/>
      </c>
    </row>
    <row r="8533" spans="24:30" x14ac:dyDescent="0.25">
      <c r="X8533" s="8" t="e">
        <f>IF(Final_Sans_VGE[[#This Row],[ppn_z]]="","",IFERROR(
   IF(_xlfn.XLOOKUP(Final_Sans_VGE[[#This Row],[ppn_z]],tbl_Historique_Final[ppn_z],tbl_Historique_Final[date_modif])=Final_Sans_VGE[[#This Row],[date_modif]],
      "Ancien",
      "Modifié"),
   "Nouveau"))</f>
        <v>#VALUE!</v>
      </c>
      <c r="AD8533" s="1" t="str">
        <f>IFERROR(IF(Final_Sans_VGE[[#This Row],[ppn_z]]="","",IFERROR(
   IF(_xlfn.XLOOKUP(Final_Sans_VGE[[#This Row],[ppn_z]],tbl_Historique_Final[[#This Row],[ppn_z]],tbl_Historique_Final[[#This Row],[date_modif]])=Final_Sans_VGE[[#This Row],[date_modif]],
      "Ancien",
      "Modifié"),
   "Nouveau")),"")</f>
        <v/>
      </c>
    </row>
    <row r="8534" spans="24:30" x14ac:dyDescent="0.25">
      <c r="X8534" s="8" t="e">
        <f>IF(Final_Sans_VGE[[#This Row],[ppn_z]]="","",IFERROR(
   IF(_xlfn.XLOOKUP(Final_Sans_VGE[[#This Row],[ppn_z]],tbl_Historique_Final[ppn_z],tbl_Historique_Final[date_modif])=Final_Sans_VGE[[#This Row],[date_modif]],
      "Ancien",
      "Modifié"),
   "Nouveau"))</f>
        <v>#VALUE!</v>
      </c>
      <c r="AD8534" s="1" t="str">
        <f>IFERROR(IF(Final_Sans_VGE[[#This Row],[ppn_z]]="","",IFERROR(
   IF(_xlfn.XLOOKUP(Final_Sans_VGE[[#This Row],[ppn_z]],tbl_Historique_Final[[#This Row],[ppn_z]],tbl_Historique_Final[[#This Row],[date_modif]])=Final_Sans_VGE[[#This Row],[date_modif]],
      "Ancien",
      "Modifié"),
   "Nouveau")),"")</f>
        <v/>
      </c>
    </row>
    <row r="8535" spans="24:30" x14ac:dyDescent="0.25">
      <c r="X8535" s="8" t="e">
        <f>IF(Final_Sans_VGE[[#This Row],[ppn_z]]="","",IFERROR(
   IF(_xlfn.XLOOKUP(Final_Sans_VGE[[#This Row],[ppn_z]],tbl_Historique_Final[ppn_z],tbl_Historique_Final[date_modif])=Final_Sans_VGE[[#This Row],[date_modif]],
      "Ancien",
      "Modifié"),
   "Nouveau"))</f>
        <v>#VALUE!</v>
      </c>
      <c r="AD8535" s="1" t="str">
        <f>IFERROR(IF(Final_Sans_VGE[[#This Row],[ppn_z]]="","",IFERROR(
   IF(_xlfn.XLOOKUP(Final_Sans_VGE[[#This Row],[ppn_z]],tbl_Historique_Final[[#This Row],[ppn_z]],tbl_Historique_Final[[#This Row],[date_modif]])=Final_Sans_VGE[[#This Row],[date_modif]],
      "Ancien",
      "Modifié"),
   "Nouveau")),"")</f>
        <v/>
      </c>
    </row>
    <row r="8536" spans="24:30" x14ac:dyDescent="0.25">
      <c r="X8536" s="8" t="e">
        <f>IF(Final_Sans_VGE[[#This Row],[ppn_z]]="","",IFERROR(
   IF(_xlfn.XLOOKUP(Final_Sans_VGE[[#This Row],[ppn_z]],tbl_Historique_Final[ppn_z],tbl_Historique_Final[date_modif])=Final_Sans_VGE[[#This Row],[date_modif]],
      "Ancien",
      "Modifié"),
   "Nouveau"))</f>
        <v>#VALUE!</v>
      </c>
      <c r="AD8536" s="1" t="str">
        <f>IFERROR(IF(Final_Sans_VGE[[#This Row],[ppn_z]]="","",IFERROR(
   IF(_xlfn.XLOOKUP(Final_Sans_VGE[[#This Row],[ppn_z]],tbl_Historique_Final[[#This Row],[ppn_z]],tbl_Historique_Final[[#This Row],[date_modif]])=Final_Sans_VGE[[#This Row],[date_modif]],
      "Ancien",
      "Modifié"),
   "Nouveau")),"")</f>
        <v/>
      </c>
    </row>
    <row r="8537" spans="24:30" x14ac:dyDescent="0.25">
      <c r="X8537" s="8" t="e">
        <f>IF(Final_Sans_VGE[[#This Row],[ppn_z]]="","",IFERROR(
   IF(_xlfn.XLOOKUP(Final_Sans_VGE[[#This Row],[ppn_z]],tbl_Historique_Final[ppn_z],tbl_Historique_Final[date_modif])=Final_Sans_VGE[[#This Row],[date_modif]],
      "Ancien",
      "Modifié"),
   "Nouveau"))</f>
        <v>#VALUE!</v>
      </c>
      <c r="AD8537" s="1" t="str">
        <f>IFERROR(IF(Final_Sans_VGE[[#This Row],[ppn_z]]="","",IFERROR(
   IF(_xlfn.XLOOKUP(Final_Sans_VGE[[#This Row],[ppn_z]],tbl_Historique_Final[[#This Row],[ppn_z]],tbl_Historique_Final[[#This Row],[date_modif]])=Final_Sans_VGE[[#This Row],[date_modif]],
      "Ancien",
      "Modifié"),
   "Nouveau")),"")</f>
        <v/>
      </c>
    </row>
    <row r="8538" spans="24:30" x14ac:dyDescent="0.25">
      <c r="X8538" s="8" t="e">
        <f>IF(Final_Sans_VGE[[#This Row],[ppn_z]]="","",IFERROR(
   IF(_xlfn.XLOOKUP(Final_Sans_VGE[[#This Row],[ppn_z]],tbl_Historique_Final[ppn_z],tbl_Historique_Final[date_modif])=Final_Sans_VGE[[#This Row],[date_modif]],
      "Ancien",
      "Modifié"),
   "Nouveau"))</f>
        <v>#VALUE!</v>
      </c>
      <c r="AD8538" s="1" t="str">
        <f>IFERROR(IF(Final_Sans_VGE[[#This Row],[ppn_z]]="","",IFERROR(
   IF(_xlfn.XLOOKUP(Final_Sans_VGE[[#This Row],[ppn_z]],tbl_Historique_Final[[#This Row],[ppn_z]],tbl_Historique_Final[[#This Row],[date_modif]])=Final_Sans_VGE[[#This Row],[date_modif]],
      "Ancien",
      "Modifié"),
   "Nouveau")),"")</f>
        <v/>
      </c>
    </row>
    <row r="8539" spans="24:30" x14ac:dyDescent="0.25">
      <c r="X8539" s="8" t="e">
        <f>IF(Final_Sans_VGE[[#This Row],[ppn_z]]="","",IFERROR(
   IF(_xlfn.XLOOKUP(Final_Sans_VGE[[#This Row],[ppn_z]],tbl_Historique_Final[ppn_z],tbl_Historique_Final[date_modif])=Final_Sans_VGE[[#This Row],[date_modif]],
      "Ancien",
      "Modifié"),
   "Nouveau"))</f>
        <v>#VALUE!</v>
      </c>
      <c r="AD8539" s="1" t="str">
        <f>IFERROR(IF(Final_Sans_VGE[[#This Row],[ppn_z]]="","",IFERROR(
   IF(_xlfn.XLOOKUP(Final_Sans_VGE[[#This Row],[ppn_z]],tbl_Historique_Final[[#This Row],[ppn_z]],tbl_Historique_Final[[#This Row],[date_modif]])=Final_Sans_VGE[[#This Row],[date_modif]],
      "Ancien",
      "Modifié"),
   "Nouveau")),"")</f>
        <v/>
      </c>
    </row>
    <row r="8540" spans="24:30" x14ac:dyDescent="0.25">
      <c r="X8540" s="8" t="e">
        <f>IF(Final_Sans_VGE[[#This Row],[ppn_z]]="","",IFERROR(
   IF(_xlfn.XLOOKUP(Final_Sans_VGE[[#This Row],[ppn_z]],tbl_Historique_Final[ppn_z],tbl_Historique_Final[date_modif])=Final_Sans_VGE[[#This Row],[date_modif]],
      "Ancien",
      "Modifié"),
   "Nouveau"))</f>
        <v>#VALUE!</v>
      </c>
      <c r="AD8540" s="1" t="str">
        <f>IFERROR(IF(Final_Sans_VGE[[#This Row],[ppn_z]]="","",IFERROR(
   IF(_xlfn.XLOOKUP(Final_Sans_VGE[[#This Row],[ppn_z]],tbl_Historique_Final[[#This Row],[ppn_z]],tbl_Historique_Final[[#This Row],[date_modif]])=Final_Sans_VGE[[#This Row],[date_modif]],
      "Ancien",
      "Modifié"),
   "Nouveau")),"")</f>
        <v/>
      </c>
    </row>
    <row r="8541" spans="24:30" x14ac:dyDescent="0.25">
      <c r="X8541" s="8" t="e">
        <f>IF(Final_Sans_VGE[[#This Row],[ppn_z]]="","",IFERROR(
   IF(_xlfn.XLOOKUP(Final_Sans_VGE[[#This Row],[ppn_z]],tbl_Historique_Final[ppn_z],tbl_Historique_Final[date_modif])=Final_Sans_VGE[[#This Row],[date_modif]],
      "Ancien",
      "Modifié"),
   "Nouveau"))</f>
        <v>#VALUE!</v>
      </c>
      <c r="AD8541" s="1" t="str">
        <f>IFERROR(IF(Final_Sans_VGE[[#This Row],[ppn_z]]="","",IFERROR(
   IF(_xlfn.XLOOKUP(Final_Sans_VGE[[#This Row],[ppn_z]],tbl_Historique_Final[[#This Row],[ppn_z]],tbl_Historique_Final[[#This Row],[date_modif]])=Final_Sans_VGE[[#This Row],[date_modif]],
      "Ancien",
      "Modifié"),
   "Nouveau")),"")</f>
        <v/>
      </c>
    </row>
    <row r="8542" spans="24:30" x14ac:dyDescent="0.25">
      <c r="X8542" s="8" t="e">
        <f>IF(Final_Sans_VGE[[#This Row],[ppn_z]]="","",IFERROR(
   IF(_xlfn.XLOOKUP(Final_Sans_VGE[[#This Row],[ppn_z]],tbl_Historique_Final[ppn_z],tbl_Historique_Final[date_modif])=Final_Sans_VGE[[#This Row],[date_modif]],
      "Ancien",
      "Modifié"),
   "Nouveau"))</f>
        <v>#VALUE!</v>
      </c>
      <c r="AD8542" s="1" t="str">
        <f>IFERROR(IF(Final_Sans_VGE[[#This Row],[ppn_z]]="","",IFERROR(
   IF(_xlfn.XLOOKUP(Final_Sans_VGE[[#This Row],[ppn_z]],tbl_Historique_Final[[#This Row],[ppn_z]],tbl_Historique_Final[[#This Row],[date_modif]])=Final_Sans_VGE[[#This Row],[date_modif]],
      "Ancien",
      "Modifié"),
   "Nouveau")),"")</f>
        <v/>
      </c>
    </row>
    <row r="8543" spans="24:30" x14ac:dyDescent="0.25">
      <c r="X8543" s="8" t="e">
        <f>IF(Final_Sans_VGE[[#This Row],[ppn_z]]="","",IFERROR(
   IF(_xlfn.XLOOKUP(Final_Sans_VGE[[#This Row],[ppn_z]],tbl_Historique_Final[ppn_z],tbl_Historique_Final[date_modif])=Final_Sans_VGE[[#This Row],[date_modif]],
      "Ancien",
      "Modifié"),
   "Nouveau"))</f>
        <v>#VALUE!</v>
      </c>
      <c r="AD8543" s="1" t="str">
        <f>IFERROR(IF(Final_Sans_VGE[[#This Row],[ppn_z]]="","",IFERROR(
   IF(_xlfn.XLOOKUP(Final_Sans_VGE[[#This Row],[ppn_z]],tbl_Historique_Final[[#This Row],[ppn_z]],tbl_Historique_Final[[#This Row],[date_modif]])=Final_Sans_VGE[[#This Row],[date_modif]],
      "Ancien",
      "Modifié"),
   "Nouveau")),"")</f>
        <v/>
      </c>
    </row>
    <row r="8544" spans="24:30" x14ac:dyDescent="0.25">
      <c r="X8544" s="8" t="e">
        <f>IF(Final_Sans_VGE[[#This Row],[ppn_z]]="","",IFERROR(
   IF(_xlfn.XLOOKUP(Final_Sans_VGE[[#This Row],[ppn_z]],tbl_Historique_Final[ppn_z],tbl_Historique_Final[date_modif])=Final_Sans_VGE[[#This Row],[date_modif]],
      "Ancien",
      "Modifié"),
   "Nouveau"))</f>
        <v>#VALUE!</v>
      </c>
      <c r="AD8544" s="1" t="str">
        <f>IFERROR(IF(Final_Sans_VGE[[#This Row],[ppn_z]]="","",IFERROR(
   IF(_xlfn.XLOOKUP(Final_Sans_VGE[[#This Row],[ppn_z]],tbl_Historique_Final[[#This Row],[ppn_z]],tbl_Historique_Final[[#This Row],[date_modif]])=Final_Sans_VGE[[#This Row],[date_modif]],
      "Ancien",
      "Modifié"),
   "Nouveau")),"")</f>
        <v/>
      </c>
    </row>
    <row r="8545" spans="24:30" x14ac:dyDescent="0.25">
      <c r="X8545" s="8" t="e">
        <f>IF(Final_Sans_VGE[[#This Row],[ppn_z]]="","",IFERROR(
   IF(_xlfn.XLOOKUP(Final_Sans_VGE[[#This Row],[ppn_z]],tbl_Historique_Final[ppn_z],tbl_Historique_Final[date_modif])=Final_Sans_VGE[[#This Row],[date_modif]],
      "Ancien",
      "Modifié"),
   "Nouveau"))</f>
        <v>#VALUE!</v>
      </c>
      <c r="AD8545" s="1" t="str">
        <f>IFERROR(IF(Final_Sans_VGE[[#This Row],[ppn_z]]="","",IFERROR(
   IF(_xlfn.XLOOKUP(Final_Sans_VGE[[#This Row],[ppn_z]],tbl_Historique_Final[[#This Row],[ppn_z]],tbl_Historique_Final[[#This Row],[date_modif]])=Final_Sans_VGE[[#This Row],[date_modif]],
      "Ancien",
      "Modifié"),
   "Nouveau")),"")</f>
        <v/>
      </c>
    </row>
    <row r="8546" spans="24:30" x14ac:dyDescent="0.25">
      <c r="X8546" s="8" t="e">
        <f>IF(Final_Sans_VGE[[#This Row],[ppn_z]]="","",IFERROR(
   IF(_xlfn.XLOOKUP(Final_Sans_VGE[[#This Row],[ppn_z]],tbl_Historique_Final[ppn_z],tbl_Historique_Final[date_modif])=Final_Sans_VGE[[#This Row],[date_modif]],
      "Ancien",
      "Modifié"),
   "Nouveau"))</f>
        <v>#VALUE!</v>
      </c>
      <c r="AD8546" s="1" t="str">
        <f>IFERROR(IF(Final_Sans_VGE[[#This Row],[ppn_z]]="","",IFERROR(
   IF(_xlfn.XLOOKUP(Final_Sans_VGE[[#This Row],[ppn_z]],tbl_Historique_Final[[#This Row],[ppn_z]],tbl_Historique_Final[[#This Row],[date_modif]])=Final_Sans_VGE[[#This Row],[date_modif]],
      "Ancien",
      "Modifié"),
   "Nouveau")),"")</f>
        <v/>
      </c>
    </row>
    <row r="8547" spans="24:30" x14ac:dyDescent="0.25">
      <c r="X8547" s="8" t="e">
        <f>IF(Final_Sans_VGE[[#This Row],[ppn_z]]="","",IFERROR(
   IF(_xlfn.XLOOKUP(Final_Sans_VGE[[#This Row],[ppn_z]],tbl_Historique_Final[ppn_z],tbl_Historique_Final[date_modif])=Final_Sans_VGE[[#This Row],[date_modif]],
      "Ancien",
      "Modifié"),
   "Nouveau"))</f>
        <v>#VALUE!</v>
      </c>
      <c r="AD8547" s="1" t="str">
        <f>IFERROR(IF(Final_Sans_VGE[[#This Row],[ppn_z]]="","",IFERROR(
   IF(_xlfn.XLOOKUP(Final_Sans_VGE[[#This Row],[ppn_z]],tbl_Historique_Final[[#This Row],[ppn_z]],tbl_Historique_Final[[#This Row],[date_modif]])=Final_Sans_VGE[[#This Row],[date_modif]],
      "Ancien",
      "Modifié"),
   "Nouveau")),"")</f>
        <v/>
      </c>
    </row>
    <row r="8548" spans="24:30" x14ac:dyDescent="0.25">
      <c r="X8548" s="8" t="e">
        <f>IF(Final_Sans_VGE[[#This Row],[ppn_z]]="","",IFERROR(
   IF(_xlfn.XLOOKUP(Final_Sans_VGE[[#This Row],[ppn_z]],tbl_Historique_Final[ppn_z],tbl_Historique_Final[date_modif])=Final_Sans_VGE[[#This Row],[date_modif]],
      "Ancien",
      "Modifié"),
   "Nouveau"))</f>
        <v>#VALUE!</v>
      </c>
      <c r="AD8548" s="1" t="str">
        <f>IFERROR(IF(Final_Sans_VGE[[#This Row],[ppn_z]]="","",IFERROR(
   IF(_xlfn.XLOOKUP(Final_Sans_VGE[[#This Row],[ppn_z]],tbl_Historique_Final[[#This Row],[ppn_z]],tbl_Historique_Final[[#This Row],[date_modif]])=Final_Sans_VGE[[#This Row],[date_modif]],
      "Ancien",
      "Modifié"),
   "Nouveau")),"")</f>
        <v/>
      </c>
    </row>
    <row r="8549" spans="24:30" x14ac:dyDescent="0.25">
      <c r="X8549" s="8" t="e">
        <f>IF(Final_Sans_VGE[[#This Row],[ppn_z]]="","",IFERROR(
   IF(_xlfn.XLOOKUP(Final_Sans_VGE[[#This Row],[ppn_z]],tbl_Historique_Final[ppn_z],tbl_Historique_Final[date_modif])=Final_Sans_VGE[[#This Row],[date_modif]],
      "Ancien",
      "Modifié"),
   "Nouveau"))</f>
        <v>#VALUE!</v>
      </c>
      <c r="AD8549" s="1" t="str">
        <f>IFERROR(IF(Final_Sans_VGE[[#This Row],[ppn_z]]="","",IFERROR(
   IF(_xlfn.XLOOKUP(Final_Sans_VGE[[#This Row],[ppn_z]],tbl_Historique_Final[[#This Row],[ppn_z]],tbl_Historique_Final[[#This Row],[date_modif]])=Final_Sans_VGE[[#This Row],[date_modif]],
      "Ancien",
      "Modifié"),
   "Nouveau")),"")</f>
        <v/>
      </c>
    </row>
    <row r="8550" spans="24:30" x14ac:dyDescent="0.25">
      <c r="X8550" s="8" t="e">
        <f>IF(Final_Sans_VGE[[#This Row],[ppn_z]]="","",IFERROR(
   IF(_xlfn.XLOOKUP(Final_Sans_VGE[[#This Row],[ppn_z]],tbl_Historique_Final[ppn_z],tbl_Historique_Final[date_modif])=Final_Sans_VGE[[#This Row],[date_modif]],
      "Ancien",
      "Modifié"),
   "Nouveau"))</f>
        <v>#VALUE!</v>
      </c>
      <c r="AD8550" s="1" t="str">
        <f>IFERROR(IF(Final_Sans_VGE[[#This Row],[ppn_z]]="","",IFERROR(
   IF(_xlfn.XLOOKUP(Final_Sans_VGE[[#This Row],[ppn_z]],tbl_Historique_Final[[#This Row],[ppn_z]],tbl_Historique_Final[[#This Row],[date_modif]])=Final_Sans_VGE[[#This Row],[date_modif]],
      "Ancien",
      "Modifié"),
   "Nouveau")),"")</f>
        <v/>
      </c>
    </row>
    <row r="8551" spans="24:30" x14ac:dyDescent="0.25">
      <c r="X8551" s="8" t="e">
        <f>IF(Final_Sans_VGE[[#This Row],[ppn_z]]="","",IFERROR(
   IF(_xlfn.XLOOKUP(Final_Sans_VGE[[#This Row],[ppn_z]],tbl_Historique_Final[ppn_z],tbl_Historique_Final[date_modif])=Final_Sans_VGE[[#This Row],[date_modif]],
      "Ancien",
      "Modifié"),
   "Nouveau"))</f>
        <v>#VALUE!</v>
      </c>
      <c r="AD8551" s="1" t="str">
        <f>IFERROR(IF(Final_Sans_VGE[[#This Row],[ppn_z]]="","",IFERROR(
   IF(_xlfn.XLOOKUP(Final_Sans_VGE[[#This Row],[ppn_z]],tbl_Historique_Final[[#This Row],[ppn_z]],tbl_Historique_Final[[#This Row],[date_modif]])=Final_Sans_VGE[[#This Row],[date_modif]],
      "Ancien",
      "Modifié"),
   "Nouveau")),"")</f>
        <v/>
      </c>
    </row>
    <row r="8552" spans="24:30" x14ac:dyDescent="0.25">
      <c r="X8552" s="8" t="e">
        <f>IF(Final_Sans_VGE[[#This Row],[ppn_z]]="","",IFERROR(
   IF(_xlfn.XLOOKUP(Final_Sans_VGE[[#This Row],[ppn_z]],tbl_Historique_Final[ppn_z],tbl_Historique_Final[date_modif])=Final_Sans_VGE[[#This Row],[date_modif]],
      "Ancien",
      "Modifié"),
   "Nouveau"))</f>
        <v>#VALUE!</v>
      </c>
      <c r="AD8552" s="1" t="str">
        <f>IFERROR(IF(Final_Sans_VGE[[#This Row],[ppn_z]]="","",IFERROR(
   IF(_xlfn.XLOOKUP(Final_Sans_VGE[[#This Row],[ppn_z]],tbl_Historique_Final[[#This Row],[ppn_z]],tbl_Historique_Final[[#This Row],[date_modif]])=Final_Sans_VGE[[#This Row],[date_modif]],
      "Ancien",
      "Modifié"),
   "Nouveau")),"")</f>
        <v/>
      </c>
    </row>
    <row r="8553" spans="24:30" x14ac:dyDescent="0.25">
      <c r="X8553" s="8" t="e">
        <f>IF(Final_Sans_VGE[[#This Row],[ppn_z]]="","",IFERROR(
   IF(_xlfn.XLOOKUP(Final_Sans_VGE[[#This Row],[ppn_z]],tbl_Historique_Final[ppn_z],tbl_Historique_Final[date_modif])=Final_Sans_VGE[[#This Row],[date_modif]],
      "Ancien",
      "Modifié"),
   "Nouveau"))</f>
        <v>#VALUE!</v>
      </c>
      <c r="AD8553" s="1" t="str">
        <f>IFERROR(IF(Final_Sans_VGE[[#This Row],[ppn_z]]="","",IFERROR(
   IF(_xlfn.XLOOKUP(Final_Sans_VGE[[#This Row],[ppn_z]],tbl_Historique_Final[[#This Row],[ppn_z]],tbl_Historique_Final[[#This Row],[date_modif]])=Final_Sans_VGE[[#This Row],[date_modif]],
      "Ancien",
      "Modifié"),
   "Nouveau")),"")</f>
        <v/>
      </c>
    </row>
    <row r="8554" spans="24:30" x14ac:dyDescent="0.25">
      <c r="X8554" s="8" t="e">
        <f>IF(Final_Sans_VGE[[#This Row],[ppn_z]]="","",IFERROR(
   IF(_xlfn.XLOOKUP(Final_Sans_VGE[[#This Row],[ppn_z]],tbl_Historique_Final[ppn_z],tbl_Historique_Final[date_modif])=Final_Sans_VGE[[#This Row],[date_modif]],
      "Ancien",
      "Modifié"),
   "Nouveau"))</f>
        <v>#VALUE!</v>
      </c>
      <c r="AD8554" s="1" t="str">
        <f>IFERROR(IF(Final_Sans_VGE[[#This Row],[ppn_z]]="","",IFERROR(
   IF(_xlfn.XLOOKUP(Final_Sans_VGE[[#This Row],[ppn_z]],tbl_Historique_Final[[#This Row],[ppn_z]],tbl_Historique_Final[[#This Row],[date_modif]])=Final_Sans_VGE[[#This Row],[date_modif]],
      "Ancien",
      "Modifié"),
   "Nouveau")),"")</f>
        <v/>
      </c>
    </row>
    <row r="8555" spans="24:30" x14ac:dyDescent="0.25">
      <c r="X8555" s="8" t="e">
        <f>IF(Final_Sans_VGE[[#This Row],[ppn_z]]="","",IFERROR(
   IF(_xlfn.XLOOKUP(Final_Sans_VGE[[#This Row],[ppn_z]],tbl_Historique_Final[ppn_z],tbl_Historique_Final[date_modif])=Final_Sans_VGE[[#This Row],[date_modif]],
      "Ancien",
      "Modifié"),
   "Nouveau"))</f>
        <v>#VALUE!</v>
      </c>
      <c r="AD8555" s="1" t="str">
        <f>IFERROR(IF(Final_Sans_VGE[[#This Row],[ppn_z]]="","",IFERROR(
   IF(_xlfn.XLOOKUP(Final_Sans_VGE[[#This Row],[ppn_z]],tbl_Historique_Final[[#This Row],[ppn_z]],tbl_Historique_Final[[#This Row],[date_modif]])=Final_Sans_VGE[[#This Row],[date_modif]],
      "Ancien",
      "Modifié"),
   "Nouveau")),"")</f>
        <v/>
      </c>
    </row>
    <row r="8556" spans="24:30" x14ac:dyDescent="0.25">
      <c r="X8556" s="8" t="e">
        <f>IF(Final_Sans_VGE[[#This Row],[ppn_z]]="","",IFERROR(
   IF(_xlfn.XLOOKUP(Final_Sans_VGE[[#This Row],[ppn_z]],tbl_Historique_Final[ppn_z],tbl_Historique_Final[date_modif])=Final_Sans_VGE[[#This Row],[date_modif]],
      "Ancien",
      "Modifié"),
   "Nouveau"))</f>
        <v>#VALUE!</v>
      </c>
      <c r="AD8556" s="1" t="str">
        <f>IFERROR(IF(Final_Sans_VGE[[#This Row],[ppn_z]]="","",IFERROR(
   IF(_xlfn.XLOOKUP(Final_Sans_VGE[[#This Row],[ppn_z]],tbl_Historique_Final[[#This Row],[ppn_z]],tbl_Historique_Final[[#This Row],[date_modif]])=Final_Sans_VGE[[#This Row],[date_modif]],
      "Ancien",
      "Modifié"),
   "Nouveau")),"")</f>
        <v/>
      </c>
    </row>
    <row r="8557" spans="24:30" x14ac:dyDescent="0.25">
      <c r="X8557" s="8" t="e">
        <f>IF(Final_Sans_VGE[[#This Row],[ppn_z]]="","",IFERROR(
   IF(_xlfn.XLOOKUP(Final_Sans_VGE[[#This Row],[ppn_z]],tbl_Historique_Final[ppn_z],tbl_Historique_Final[date_modif])=Final_Sans_VGE[[#This Row],[date_modif]],
      "Ancien",
      "Modifié"),
   "Nouveau"))</f>
        <v>#VALUE!</v>
      </c>
      <c r="AD8557" s="1" t="str">
        <f>IFERROR(IF(Final_Sans_VGE[[#This Row],[ppn_z]]="","",IFERROR(
   IF(_xlfn.XLOOKUP(Final_Sans_VGE[[#This Row],[ppn_z]],tbl_Historique_Final[[#This Row],[ppn_z]],tbl_Historique_Final[[#This Row],[date_modif]])=Final_Sans_VGE[[#This Row],[date_modif]],
      "Ancien",
      "Modifié"),
   "Nouveau")),"")</f>
        <v/>
      </c>
    </row>
    <row r="8558" spans="24:30" x14ac:dyDescent="0.25">
      <c r="X8558" s="8" t="e">
        <f>IF(Final_Sans_VGE[[#This Row],[ppn_z]]="","",IFERROR(
   IF(_xlfn.XLOOKUP(Final_Sans_VGE[[#This Row],[ppn_z]],tbl_Historique_Final[ppn_z],tbl_Historique_Final[date_modif])=Final_Sans_VGE[[#This Row],[date_modif]],
      "Ancien",
      "Modifié"),
   "Nouveau"))</f>
        <v>#VALUE!</v>
      </c>
      <c r="AD8558" s="1" t="str">
        <f>IFERROR(IF(Final_Sans_VGE[[#This Row],[ppn_z]]="","",IFERROR(
   IF(_xlfn.XLOOKUP(Final_Sans_VGE[[#This Row],[ppn_z]],tbl_Historique_Final[[#This Row],[ppn_z]],tbl_Historique_Final[[#This Row],[date_modif]])=Final_Sans_VGE[[#This Row],[date_modif]],
      "Ancien",
      "Modifié"),
   "Nouveau")),"")</f>
        <v/>
      </c>
    </row>
    <row r="8559" spans="24:30" x14ac:dyDescent="0.25">
      <c r="X8559" s="8" t="e">
        <f>IF(Final_Sans_VGE[[#This Row],[ppn_z]]="","",IFERROR(
   IF(_xlfn.XLOOKUP(Final_Sans_VGE[[#This Row],[ppn_z]],tbl_Historique_Final[ppn_z],tbl_Historique_Final[date_modif])=Final_Sans_VGE[[#This Row],[date_modif]],
      "Ancien",
      "Modifié"),
   "Nouveau"))</f>
        <v>#VALUE!</v>
      </c>
      <c r="AD8559" s="1" t="str">
        <f>IFERROR(IF(Final_Sans_VGE[[#This Row],[ppn_z]]="","",IFERROR(
   IF(_xlfn.XLOOKUP(Final_Sans_VGE[[#This Row],[ppn_z]],tbl_Historique_Final[[#This Row],[ppn_z]],tbl_Historique_Final[[#This Row],[date_modif]])=Final_Sans_VGE[[#This Row],[date_modif]],
      "Ancien",
      "Modifié"),
   "Nouveau")),"")</f>
        <v/>
      </c>
    </row>
    <row r="8560" spans="24:30" x14ac:dyDescent="0.25">
      <c r="X8560" s="8" t="e">
        <f>IF(Final_Sans_VGE[[#This Row],[ppn_z]]="","",IFERROR(
   IF(_xlfn.XLOOKUP(Final_Sans_VGE[[#This Row],[ppn_z]],tbl_Historique_Final[ppn_z],tbl_Historique_Final[date_modif])=Final_Sans_VGE[[#This Row],[date_modif]],
      "Ancien",
      "Modifié"),
   "Nouveau"))</f>
        <v>#VALUE!</v>
      </c>
      <c r="AD8560" s="1" t="str">
        <f>IFERROR(IF(Final_Sans_VGE[[#This Row],[ppn_z]]="","",IFERROR(
   IF(_xlfn.XLOOKUP(Final_Sans_VGE[[#This Row],[ppn_z]],tbl_Historique_Final[[#This Row],[ppn_z]],tbl_Historique_Final[[#This Row],[date_modif]])=Final_Sans_VGE[[#This Row],[date_modif]],
      "Ancien",
      "Modifié"),
   "Nouveau")),"")</f>
        <v/>
      </c>
    </row>
    <row r="8561" spans="24:30" x14ac:dyDescent="0.25">
      <c r="X8561" s="8" t="e">
        <f>IF(Final_Sans_VGE[[#This Row],[ppn_z]]="","",IFERROR(
   IF(_xlfn.XLOOKUP(Final_Sans_VGE[[#This Row],[ppn_z]],tbl_Historique_Final[ppn_z],tbl_Historique_Final[date_modif])=Final_Sans_VGE[[#This Row],[date_modif]],
      "Ancien",
      "Modifié"),
   "Nouveau"))</f>
        <v>#VALUE!</v>
      </c>
      <c r="AD8561" s="1" t="str">
        <f>IFERROR(IF(Final_Sans_VGE[[#This Row],[ppn_z]]="","",IFERROR(
   IF(_xlfn.XLOOKUP(Final_Sans_VGE[[#This Row],[ppn_z]],tbl_Historique_Final[[#This Row],[ppn_z]],tbl_Historique_Final[[#This Row],[date_modif]])=Final_Sans_VGE[[#This Row],[date_modif]],
      "Ancien",
      "Modifié"),
   "Nouveau")),"")</f>
        <v/>
      </c>
    </row>
    <row r="8562" spans="24:30" x14ac:dyDescent="0.25">
      <c r="X8562" s="8" t="e">
        <f>IF(Final_Sans_VGE[[#This Row],[ppn_z]]="","",IFERROR(
   IF(_xlfn.XLOOKUP(Final_Sans_VGE[[#This Row],[ppn_z]],tbl_Historique_Final[ppn_z],tbl_Historique_Final[date_modif])=Final_Sans_VGE[[#This Row],[date_modif]],
      "Ancien",
      "Modifié"),
   "Nouveau"))</f>
        <v>#VALUE!</v>
      </c>
      <c r="AD8562" s="1" t="str">
        <f>IFERROR(IF(Final_Sans_VGE[[#This Row],[ppn_z]]="","",IFERROR(
   IF(_xlfn.XLOOKUP(Final_Sans_VGE[[#This Row],[ppn_z]],tbl_Historique_Final[[#This Row],[ppn_z]],tbl_Historique_Final[[#This Row],[date_modif]])=Final_Sans_VGE[[#This Row],[date_modif]],
      "Ancien",
      "Modifié"),
   "Nouveau")),"")</f>
        <v/>
      </c>
    </row>
    <row r="8563" spans="24:30" x14ac:dyDescent="0.25">
      <c r="X8563" s="8" t="e">
        <f>IF(Final_Sans_VGE[[#This Row],[ppn_z]]="","",IFERROR(
   IF(_xlfn.XLOOKUP(Final_Sans_VGE[[#This Row],[ppn_z]],tbl_Historique_Final[ppn_z],tbl_Historique_Final[date_modif])=Final_Sans_VGE[[#This Row],[date_modif]],
      "Ancien",
      "Modifié"),
   "Nouveau"))</f>
        <v>#VALUE!</v>
      </c>
      <c r="AD8563" s="1" t="str">
        <f>IFERROR(IF(Final_Sans_VGE[[#This Row],[ppn_z]]="","",IFERROR(
   IF(_xlfn.XLOOKUP(Final_Sans_VGE[[#This Row],[ppn_z]],tbl_Historique_Final[[#This Row],[ppn_z]],tbl_Historique_Final[[#This Row],[date_modif]])=Final_Sans_VGE[[#This Row],[date_modif]],
      "Ancien",
      "Modifié"),
   "Nouveau")),"")</f>
        <v/>
      </c>
    </row>
    <row r="8564" spans="24:30" x14ac:dyDescent="0.25">
      <c r="X8564" s="8" t="e">
        <f>IF(Final_Sans_VGE[[#This Row],[ppn_z]]="","",IFERROR(
   IF(_xlfn.XLOOKUP(Final_Sans_VGE[[#This Row],[ppn_z]],tbl_Historique_Final[ppn_z],tbl_Historique_Final[date_modif])=Final_Sans_VGE[[#This Row],[date_modif]],
      "Ancien",
      "Modifié"),
   "Nouveau"))</f>
        <v>#VALUE!</v>
      </c>
      <c r="AD8564" s="1" t="str">
        <f>IFERROR(IF(Final_Sans_VGE[[#This Row],[ppn_z]]="","",IFERROR(
   IF(_xlfn.XLOOKUP(Final_Sans_VGE[[#This Row],[ppn_z]],tbl_Historique_Final[[#This Row],[ppn_z]],tbl_Historique_Final[[#This Row],[date_modif]])=Final_Sans_VGE[[#This Row],[date_modif]],
      "Ancien",
      "Modifié"),
   "Nouveau")),"")</f>
        <v/>
      </c>
    </row>
    <row r="8565" spans="24:30" x14ac:dyDescent="0.25">
      <c r="X8565" s="8" t="e">
        <f>IF(Final_Sans_VGE[[#This Row],[ppn_z]]="","",IFERROR(
   IF(_xlfn.XLOOKUP(Final_Sans_VGE[[#This Row],[ppn_z]],tbl_Historique_Final[ppn_z],tbl_Historique_Final[date_modif])=Final_Sans_VGE[[#This Row],[date_modif]],
      "Ancien",
      "Modifié"),
   "Nouveau"))</f>
        <v>#VALUE!</v>
      </c>
      <c r="AD8565" s="1" t="str">
        <f>IFERROR(IF(Final_Sans_VGE[[#This Row],[ppn_z]]="","",IFERROR(
   IF(_xlfn.XLOOKUP(Final_Sans_VGE[[#This Row],[ppn_z]],tbl_Historique_Final[[#This Row],[ppn_z]],tbl_Historique_Final[[#This Row],[date_modif]])=Final_Sans_VGE[[#This Row],[date_modif]],
      "Ancien",
      "Modifié"),
   "Nouveau")),"")</f>
        <v/>
      </c>
    </row>
    <row r="8566" spans="24:30" x14ac:dyDescent="0.25">
      <c r="X8566" s="8" t="e">
        <f>IF(Final_Sans_VGE[[#This Row],[ppn_z]]="","",IFERROR(
   IF(_xlfn.XLOOKUP(Final_Sans_VGE[[#This Row],[ppn_z]],tbl_Historique_Final[ppn_z],tbl_Historique_Final[date_modif])=Final_Sans_VGE[[#This Row],[date_modif]],
      "Ancien",
      "Modifié"),
   "Nouveau"))</f>
        <v>#VALUE!</v>
      </c>
      <c r="AD8566" s="1" t="str">
        <f>IFERROR(IF(Final_Sans_VGE[[#This Row],[ppn_z]]="","",IFERROR(
   IF(_xlfn.XLOOKUP(Final_Sans_VGE[[#This Row],[ppn_z]],tbl_Historique_Final[[#This Row],[ppn_z]],tbl_Historique_Final[[#This Row],[date_modif]])=Final_Sans_VGE[[#This Row],[date_modif]],
      "Ancien",
      "Modifié"),
   "Nouveau")),"")</f>
        <v/>
      </c>
    </row>
    <row r="8567" spans="24:30" x14ac:dyDescent="0.25">
      <c r="X8567" s="8" t="e">
        <f>IF(Final_Sans_VGE[[#This Row],[ppn_z]]="","",IFERROR(
   IF(_xlfn.XLOOKUP(Final_Sans_VGE[[#This Row],[ppn_z]],tbl_Historique_Final[ppn_z],tbl_Historique_Final[date_modif])=Final_Sans_VGE[[#This Row],[date_modif]],
      "Ancien",
      "Modifié"),
   "Nouveau"))</f>
        <v>#VALUE!</v>
      </c>
      <c r="AD8567" s="1" t="str">
        <f>IFERROR(IF(Final_Sans_VGE[[#This Row],[ppn_z]]="","",IFERROR(
   IF(_xlfn.XLOOKUP(Final_Sans_VGE[[#This Row],[ppn_z]],tbl_Historique_Final[[#This Row],[ppn_z]],tbl_Historique_Final[[#This Row],[date_modif]])=Final_Sans_VGE[[#This Row],[date_modif]],
      "Ancien",
      "Modifié"),
   "Nouveau")),"")</f>
        <v/>
      </c>
    </row>
    <row r="8568" spans="24:30" x14ac:dyDescent="0.25">
      <c r="X8568" s="8" t="e">
        <f>IF(Final_Sans_VGE[[#This Row],[ppn_z]]="","",IFERROR(
   IF(_xlfn.XLOOKUP(Final_Sans_VGE[[#This Row],[ppn_z]],tbl_Historique_Final[ppn_z],tbl_Historique_Final[date_modif])=Final_Sans_VGE[[#This Row],[date_modif]],
      "Ancien",
      "Modifié"),
   "Nouveau"))</f>
        <v>#VALUE!</v>
      </c>
      <c r="AD8568" s="1" t="str">
        <f>IFERROR(IF(Final_Sans_VGE[[#This Row],[ppn_z]]="","",IFERROR(
   IF(_xlfn.XLOOKUP(Final_Sans_VGE[[#This Row],[ppn_z]],tbl_Historique_Final[[#This Row],[ppn_z]],tbl_Historique_Final[[#This Row],[date_modif]])=Final_Sans_VGE[[#This Row],[date_modif]],
      "Ancien",
      "Modifié"),
   "Nouveau")),"")</f>
        <v/>
      </c>
    </row>
    <row r="8569" spans="24:30" x14ac:dyDescent="0.25">
      <c r="X8569" s="8" t="e">
        <f>IF(Final_Sans_VGE[[#This Row],[ppn_z]]="","",IFERROR(
   IF(_xlfn.XLOOKUP(Final_Sans_VGE[[#This Row],[ppn_z]],tbl_Historique_Final[ppn_z],tbl_Historique_Final[date_modif])=Final_Sans_VGE[[#This Row],[date_modif]],
      "Ancien",
      "Modifié"),
   "Nouveau"))</f>
        <v>#VALUE!</v>
      </c>
      <c r="AD8569" s="1" t="str">
        <f>IFERROR(IF(Final_Sans_VGE[[#This Row],[ppn_z]]="","",IFERROR(
   IF(_xlfn.XLOOKUP(Final_Sans_VGE[[#This Row],[ppn_z]],tbl_Historique_Final[[#This Row],[ppn_z]],tbl_Historique_Final[[#This Row],[date_modif]])=Final_Sans_VGE[[#This Row],[date_modif]],
      "Ancien",
      "Modifié"),
   "Nouveau")),"")</f>
        <v/>
      </c>
    </row>
    <row r="8570" spans="24:30" x14ac:dyDescent="0.25">
      <c r="X8570" s="8" t="e">
        <f>IF(Final_Sans_VGE[[#This Row],[ppn_z]]="","",IFERROR(
   IF(_xlfn.XLOOKUP(Final_Sans_VGE[[#This Row],[ppn_z]],tbl_Historique_Final[ppn_z],tbl_Historique_Final[date_modif])=Final_Sans_VGE[[#This Row],[date_modif]],
      "Ancien",
      "Modifié"),
   "Nouveau"))</f>
        <v>#VALUE!</v>
      </c>
      <c r="AD8570" s="1" t="str">
        <f>IFERROR(IF(Final_Sans_VGE[[#This Row],[ppn_z]]="","",IFERROR(
   IF(_xlfn.XLOOKUP(Final_Sans_VGE[[#This Row],[ppn_z]],tbl_Historique_Final[[#This Row],[ppn_z]],tbl_Historique_Final[[#This Row],[date_modif]])=Final_Sans_VGE[[#This Row],[date_modif]],
      "Ancien",
      "Modifié"),
   "Nouveau")),"")</f>
        <v/>
      </c>
    </row>
    <row r="8571" spans="24:30" x14ac:dyDescent="0.25">
      <c r="X8571" s="8" t="e">
        <f>IF(Final_Sans_VGE[[#This Row],[ppn_z]]="","",IFERROR(
   IF(_xlfn.XLOOKUP(Final_Sans_VGE[[#This Row],[ppn_z]],tbl_Historique_Final[ppn_z],tbl_Historique_Final[date_modif])=Final_Sans_VGE[[#This Row],[date_modif]],
      "Ancien",
      "Modifié"),
   "Nouveau"))</f>
        <v>#VALUE!</v>
      </c>
      <c r="AD8571" s="1" t="str">
        <f>IFERROR(IF(Final_Sans_VGE[[#This Row],[ppn_z]]="","",IFERROR(
   IF(_xlfn.XLOOKUP(Final_Sans_VGE[[#This Row],[ppn_z]],tbl_Historique_Final[[#This Row],[ppn_z]],tbl_Historique_Final[[#This Row],[date_modif]])=Final_Sans_VGE[[#This Row],[date_modif]],
      "Ancien",
      "Modifié"),
   "Nouveau")),"")</f>
        <v/>
      </c>
    </row>
    <row r="8572" spans="24:30" x14ac:dyDescent="0.25">
      <c r="X8572" s="8" t="e">
        <f>IF(Final_Sans_VGE[[#This Row],[ppn_z]]="","",IFERROR(
   IF(_xlfn.XLOOKUP(Final_Sans_VGE[[#This Row],[ppn_z]],tbl_Historique_Final[ppn_z],tbl_Historique_Final[date_modif])=Final_Sans_VGE[[#This Row],[date_modif]],
      "Ancien",
      "Modifié"),
   "Nouveau"))</f>
        <v>#VALUE!</v>
      </c>
      <c r="AD8572" s="1" t="str">
        <f>IFERROR(IF(Final_Sans_VGE[[#This Row],[ppn_z]]="","",IFERROR(
   IF(_xlfn.XLOOKUP(Final_Sans_VGE[[#This Row],[ppn_z]],tbl_Historique_Final[[#This Row],[ppn_z]],tbl_Historique_Final[[#This Row],[date_modif]])=Final_Sans_VGE[[#This Row],[date_modif]],
      "Ancien",
      "Modifié"),
   "Nouveau")),"")</f>
        <v/>
      </c>
    </row>
    <row r="8573" spans="24:30" x14ac:dyDescent="0.25">
      <c r="X8573" s="8" t="e">
        <f>IF(Final_Sans_VGE[[#This Row],[ppn_z]]="","",IFERROR(
   IF(_xlfn.XLOOKUP(Final_Sans_VGE[[#This Row],[ppn_z]],tbl_Historique_Final[ppn_z],tbl_Historique_Final[date_modif])=Final_Sans_VGE[[#This Row],[date_modif]],
      "Ancien",
      "Modifié"),
   "Nouveau"))</f>
        <v>#VALUE!</v>
      </c>
      <c r="AD8573" s="1" t="str">
        <f>IFERROR(IF(Final_Sans_VGE[[#This Row],[ppn_z]]="","",IFERROR(
   IF(_xlfn.XLOOKUP(Final_Sans_VGE[[#This Row],[ppn_z]],tbl_Historique_Final[[#This Row],[ppn_z]],tbl_Historique_Final[[#This Row],[date_modif]])=Final_Sans_VGE[[#This Row],[date_modif]],
      "Ancien",
      "Modifié"),
   "Nouveau")),"")</f>
        <v/>
      </c>
    </row>
    <row r="8574" spans="24:30" x14ac:dyDescent="0.25">
      <c r="X8574" s="8" t="e">
        <f>IF(Final_Sans_VGE[[#This Row],[ppn_z]]="","",IFERROR(
   IF(_xlfn.XLOOKUP(Final_Sans_VGE[[#This Row],[ppn_z]],tbl_Historique_Final[ppn_z],tbl_Historique_Final[date_modif])=Final_Sans_VGE[[#This Row],[date_modif]],
      "Ancien",
      "Modifié"),
   "Nouveau"))</f>
        <v>#VALUE!</v>
      </c>
      <c r="AD8574" s="1" t="str">
        <f>IFERROR(IF(Final_Sans_VGE[[#This Row],[ppn_z]]="","",IFERROR(
   IF(_xlfn.XLOOKUP(Final_Sans_VGE[[#This Row],[ppn_z]],tbl_Historique_Final[[#This Row],[ppn_z]],tbl_Historique_Final[[#This Row],[date_modif]])=Final_Sans_VGE[[#This Row],[date_modif]],
      "Ancien",
      "Modifié"),
   "Nouveau")),"")</f>
        <v/>
      </c>
    </row>
    <row r="8575" spans="24:30" x14ac:dyDescent="0.25">
      <c r="X8575" s="8" t="e">
        <f>IF(Final_Sans_VGE[[#This Row],[ppn_z]]="","",IFERROR(
   IF(_xlfn.XLOOKUP(Final_Sans_VGE[[#This Row],[ppn_z]],tbl_Historique_Final[ppn_z],tbl_Historique_Final[date_modif])=Final_Sans_VGE[[#This Row],[date_modif]],
      "Ancien",
      "Modifié"),
   "Nouveau"))</f>
        <v>#VALUE!</v>
      </c>
      <c r="AD8575" s="1" t="str">
        <f>IFERROR(IF(Final_Sans_VGE[[#This Row],[ppn_z]]="","",IFERROR(
   IF(_xlfn.XLOOKUP(Final_Sans_VGE[[#This Row],[ppn_z]],tbl_Historique_Final[[#This Row],[ppn_z]],tbl_Historique_Final[[#This Row],[date_modif]])=Final_Sans_VGE[[#This Row],[date_modif]],
      "Ancien",
      "Modifié"),
   "Nouveau")),"")</f>
        <v/>
      </c>
    </row>
    <row r="8576" spans="24:30" x14ac:dyDescent="0.25">
      <c r="X8576" s="8" t="e">
        <f>IF(Final_Sans_VGE[[#This Row],[ppn_z]]="","",IFERROR(
   IF(_xlfn.XLOOKUP(Final_Sans_VGE[[#This Row],[ppn_z]],tbl_Historique_Final[ppn_z],tbl_Historique_Final[date_modif])=Final_Sans_VGE[[#This Row],[date_modif]],
      "Ancien",
      "Modifié"),
   "Nouveau"))</f>
        <v>#VALUE!</v>
      </c>
      <c r="AD8576" s="1" t="str">
        <f>IFERROR(IF(Final_Sans_VGE[[#This Row],[ppn_z]]="","",IFERROR(
   IF(_xlfn.XLOOKUP(Final_Sans_VGE[[#This Row],[ppn_z]],tbl_Historique_Final[[#This Row],[ppn_z]],tbl_Historique_Final[[#This Row],[date_modif]])=Final_Sans_VGE[[#This Row],[date_modif]],
      "Ancien",
      "Modifié"),
   "Nouveau")),"")</f>
        <v/>
      </c>
    </row>
    <row r="8577" spans="24:30" x14ac:dyDescent="0.25">
      <c r="X8577" s="8" t="e">
        <f>IF(Final_Sans_VGE[[#This Row],[ppn_z]]="","",IFERROR(
   IF(_xlfn.XLOOKUP(Final_Sans_VGE[[#This Row],[ppn_z]],tbl_Historique_Final[ppn_z],tbl_Historique_Final[date_modif])=Final_Sans_VGE[[#This Row],[date_modif]],
      "Ancien",
      "Modifié"),
   "Nouveau"))</f>
        <v>#VALUE!</v>
      </c>
      <c r="AD8577" s="1" t="str">
        <f>IFERROR(IF(Final_Sans_VGE[[#This Row],[ppn_z]]="","",IFERROR(
   IF(_xlfn.XLOOKUP(Final_Sans_VGE[[#This Row],[ppn_z]],tbl_Historique_Final[[#This Row],[ppn_z]],tbl_Historique_Final[[#This Row],[date_modif]])=Final_Sans_VGE[[#This Row],[date_modif]],
      "Ancien",
      "Modifié"),
   "Nouveau")),"")</f>
        <v/>
      </c>
    </row>
    <row r="8578" spans="24:30" x14ac:dyDescent="0.25">
      <c r="X8578" s="8" t="e">
        <f>IF(Final_Sans_VGE[[#This Row],[ppn_z]]="","",IFERROR(
   IF(_xlfn.XLOOKUP(Final_Sans_VGE[[#This Row],[ppn_z]],tbl_Historique_Final[ppn_z],tbl_Historique_Final[date_modif])=Final_Sans_VGE[[#This Row],[date_modif]],
      "Ancien",
      "Modifié"),
   "Nouveau"))</f>
        <v>#VALUE!</v>
      </c>
      <c r="AD8578" s="1" t="str">
        <f>IFERROR(IF(Final_Sans_VGE[[#This Row],[ppn_z]]="","",IFERROR(
   IF(_xlfn.XLOOKUP(Final_Sans_VGE[[#This Row],[ppn_z]],tbl_Historique_Final[[#This Row],[ppn_z]],tbl_Historique_Final[[#This Row],[date_modif]])=Final_Sans_VGE[[#This Row],[date_modif]],
      "Ancien",
      "Modifié"),
   "Nouveau")),"")</f>
        <v/>
      </c>
    </row>
    <row r="8579" spans="24:30" x14ac:dyDescent="0.25">
      <c r="X8579" s="8" t="e">
        <f>IF(Final_Sans_VGE[[#This Row],[ppn_z]]="","",IFERROR(
   IF(_xlfn.XLOOKUP(Final_Sans_VGE[[#This Row],[ppn_z]],tbl_Historique_Final[ppn_z],tbl_Historique_Final[date_modif])=Final_Sans_VGE[[#This Row],[date_modif]],
      "Ancien",
      "Modifié"),
   "Nouveau"))</f>
        <v>#VALUE!</v>
      </c>
      <c r="AD8579" s="1" t="str">
        <f>IFERROR(IF(Final_Sans_VGE[[#This Row],[ppn_z]]="","",IFERROR(
   IF(_xlfn.XLOOKUP(Final_Sans_VGE[[#This Row],[ppn_z]],tbl_Historique_Final[[#This Row],[ppn_z]],tbl_Historique_Final[[#This Row],[date_modif]])=Final_Sans_VGE[[#This Row],[date_modif]],
      "Ancien",
      "Modifié"),
   "Nouveau")),"")</f>
        <v/>
      </c>
    </row>
    <row r="8580" spans="24:30" x14ac:dyDescent="0.25">
      <c r="X8580" s="8" t="e">
        <f>IF(Final_Sans_VGE[[#This Row],[ppn_z]]="","",IFERROR(
   IF(_xlfn.XLOOKUP(Final_Sans_VGE[[#This Row],[ppn_z]],tbl_Historique_Final[ppn_z],tbl_Historique_Final[date_modif])=Final_Sans_VGE[[#This Row],[date_modif]],
      "Ancien",
      "Modifié"),
   "Nouveau"))</f>
        <v>#VALUE!</v>
      </c>
      <c r="AD8580" s="1" t="str">
        <f>IFERROR(IF(Final_Sans_VGE[[#This Row],[ppn_z]]="","",IFERROR(
   IF(_xlfn.XLOOKUP(Final_Sans_VGE[[#This Row],[ppn_z]],tbl_Historique_Final[[#This Row],[ppn_z]],tbl_Historique_Final[[#This Row],[date_modif]])=Final_Sans_VGE[[#This Row],[date_modif]],
      "Ancien",
      "Modifié"),
   "Nouveau")),"")</f>
        <v/>
      </c>
    </row>
    <row r="8581" spans="24:30" x14ac:dyDescent="0.25">
      <c r="X8581" s="8" t="e">
        <f>IF(Final_Sans_VGE[[#This Row],[ppn_z]]="","",IFERROR(
   IF(_xlfn.XLOOKUP(Final_Sans_VGE[[#This Row],[ppn_z]],tbl_Historique_Final[ppn_z],tbl_Historique_Final[date_modif])=Final_Sans_VGE[[#This Row],[date_modif]],
      "Ancien",
      "Modifié"),
   "Nouveau"))</f>
        <v>#VALUE!</v>
      </c>
      <c r="AD8581" s="1" t="str">
        <f>IFERROR(IF(Final_Sans_VGE[[#This Row],[ppn_z]]="","",IFERROR(
   IF(_xlfn.XLOOKUP(Final_Sans_VGE[[#This Row],[ppn_z]],tbl_Historique_Final[[#This Row],[ppn_z]],tbl_Historique_Final[[#This Row],[date_modif]])=Final_Sans_VGE[[#This Row],[date_modif]],
      "Ancien",
      "Modifié"),
   "Nouveau")),"")</f>
        <v/>
      </c>
    </row>
    <row r="8582" spans="24:30" x14ac:dyDescent="0.25">
      <c r="X8582" s="8" t="e">
        <f>IF(Final_Sans_VGE[[#This Row],[ppn_z]]="","",IFERROR(
   IF(_xlfn.XLOOKUP(Final_Sans_VGE[[#This Row],[ppn_z]],tbl_Historique_Final[ppn_z],tbl_Historique_Final[date_modif])=Final_Sans_VGE[[#This Row],[date_modif]],
      "Ancien",
      "Modifié"),
   "Nouveau"))</f>
        <v>#VALUE!</v>
      </c>
      <c r="AD8582" s="1" t="str">
        <f>IFERROR(IF(Final_Sans_VGE[[#This Row],[ppn_z]]="","",IFERROR(
   IF(_xlfn.XLOOKUP(Final_Sans_VGE[[#This Row],[ppn_z]],tbl_Historique_Final[[#This Row],[ppn_z]],tbl_Historique_Final[[#This Row],[date_modif]])=Final_Sans_VGE[[#This Row],[date_modif]],
      "Ancien",
      "Modifié"),
   "Nouveau")),"")</f>
        <v/>
      </c>
    </row>
    <row r="8583" spans="24:30" x14ac:dyDescent="0.25">
      <c r="X8583" s="8" t="e">
        <f>IF(Final_Sans_VGE[[#This Row],[ppn_z]]="","",IFERROR(
   IF(_xlfn.XLOOKUP(Final_Sans_VGE[[#This Row],[ppn_z]],tbl_Historique_Final[ppn_z],tbl_Historique_Final[date_modif])=Final_Sans_VGE[[#This Row],[date_modif]],
      "Ancien",
      "Modifié"),
   "Nouveau"))</f>
        <v>#VALUE!</v>
      </c>
      <c r="AD8583" s="1" t="str">
        <f>IFERROR(IF(Final_Sans_VGE[[#This Row],[ppn_z]]="","",IFERROR(
   IF(_xlfn.XLOOKUP(Final_Sans_VGE[[#This Row],[ppn_z]],tbl_Historique_Final[[#This Row],[ppn_z]],tbl_Historique_Final[[#This Row],[date_modif]])=Final_Sans_VGE[[#This Row],[date_modif]],
      "Ancien",
      "Modifié"),
   "Nouveau")),"")</f>
        <v/>
      </c>
    </row>
    <row r="8584" spans="24:30" x14ac:dyDescent="0.25">
      <c r="X8584" s="8" t="e">
        <f>IF(Final_Sans_VGE[[#This Row],[ppn_z]]="","",IFERROR(
   IF(_xlfn.XLOOKUP(Final_Sans_VGE[[#This Row],[ppn_z]],tbl_Historique_Final[ppn_z],tbl_Historique_Final[date_modif])=Final_Sans_VGE[[#This Row],[date_modif]],
      "Ancien",
      "Modifié"),
   "Nouveau"))</f>
        <v>#VALUE!</v>
      </c>
      <c r="AD8584" s="1" t="str">
        <f>IFERROR(IF(Final_Sans_VGE[[#This Row],[ppn_z]]="","",IFERROR(
   IF(_xlfn.XLOOKUP(Final_Sans_VGE[[#This Row],[ppn_z]],tbl_Historique_Final[[#This Row],[ppn_z]],tbl_Historique_Final[[#This Row],[date_modif]])=Final_Sans_VGE[[#This Row],[date_modif]],
      "Ancien",
      "Modifié"),
   "Nouveau")),"")</f>
        <v/>
      </c>
    </row>
    <row r="8585" spans="24:30" x14ac:dyDescent="0.25">
      <c r="X8585" s="8" t="e">
        <f>IF(Final_Sans_VGE[[#This Row],[ppn_z]]="","",IFERROR(
   IF(_xlfn.XLOOKUP(Final_Sans_VGE[[#This Row],[ppn_z]],tbl_Historique_Final[ppn_z],tbl_Historique_Final[date_modif])=Final_Sans_VGE[[#This Row],[date_modif]],
      "Ancien",
      "Modifié"),
   "Nouveau"))</f>
        <v>#VALUE!</v>
      </c>
      <c r="AD8585" s="1" t="str">
        <f>IFERROR(IF(Final_Sans_VGE[[#This Row],[ppn_z]]="","",IFERROR(
   IF(_xlfn.XLOOKUP(Final_Sans_VGE[[#This Row],[ppn_z]],tbl_Historique_Final[[#This Row],[ppn_z]],tbl_Historique_Final[[#This Row],[date_modif]])=Final_Sans_VGE[[#This Row],[date_modif]],
      "Ancien",
      "Modifié"),
   "Nouveau")),"")</f>
        <v/>
      </c>
    </row>
    <row r="8586" spans="24:30" x14ac:dyDescent="0.25">
      <c r="X8586" s="8" t="e">
        <f>IF(Final_Sans_VGE[[#This Row],[ppn_z]]="","",IFERROR(
   IF(_xlfn.XLOOKUP(Final_Sans_VGE[[#This Row],[ppn_z]],tbl_Historique_Final[ppn_z],tbl_Historique_Final[date_modif])=Final_Sans_VGE[[#This Row],[date_modif]],
      "Ancien",
      "Modifié"),
   "Nouveau"))</f>
        <v>#VALUE!</v>
      </c>
      <c r="AD8586" s="1" t="str">
        <f>IFERROR(IF(Final_Sans_VGE[[#This Row],[ppn_z]]="","",IFERROR(
   IF(_xlfn.XLOOKUP(Final_Sans_VGE[[#This Row],[ppn_z]],tbl_Historique_Final[[#This Row],[ppn_z]],tbl_Historique_Final[[#This Row],[date_modif]])=Final_Sans_VGE[[#This Row],[date_modif]],
      "Ancien",
      "Modifié"),
   "Nouveau")),"")</f>
        <v/>
      </c>
    </row>
    <row r="8587" spans="24:30" x14ac:dyDescent="0.25">
      <c r="X8587" s="8" t="e">
        <f>IF(Final_Sans_VGE[[#This Row],[ppn_z]]="","",IFERROR(
   IF(_xlfn.XLOOKUP(Final_Sans_VGE[[#This Row],[ppn_z]],tbl_Historique_Final[ppn_z],tbl_Historique_Final[date_modif])=Final_Sans_VGE[[#This Row],[date_modif]],
      "Ancien",
      "Modifié"),
   "Nouveau"))</f>
        <v>#VALUE!</v>
      </c>
      <c r="AD8587" s="1" t="str">
        <f>IFERROR(IF(Final_Sans_VGE[[#This Row],[ppn_z]]="","",IFERROR(
   IF(_xlfn.XLOOKUP(Final_Sans_VGE[[#This Row],[ppn_z]],tbl_Historique_Final[[#This Row],[ppn_z]],tbl_Historique_Final[[#This Row],[date_modif]])=Final_Sans_VGE[[#This Row],[date_modif]],
      "Ancien",
      "Modifié"),
   "Nouveau")),"")</f>
        <v/>
      </c>
    </row>
    <row r="8588" spans="24:30" x14ac:dyDescent="0.25">
      <c r="X8588" s="8" t="e">
        <f>IF(Final_Sans_VGE[[#This Row],[ppn_z]]="","",IFERROR(
   IF(_xlfn.XLOOKUP(Final_Sans_VGE[[#This Row],[ppn_z]],tbl_Historique_Final[ppn_z],tbl_Historique_Final[date_modif])=Final_Sans_VGE[[#This Row],[date_modif]],
      "Ancien",
      "Modifié"),
   "Nouveau"))</f>
        <v>#VALUE!</v>
      </c>
      <c r="AD8588" s="1" t="str">
        <f>IFERROR(IF(Final_Sans_VGE[[#This Row],[ppn_z]]="","",IFERROR(
   IF(_xlfn.XLOOKUP(Final_Sans_VGE[[#This Row],[ppn_z]],tbl_Historique_Final[[#This Row],[ppn_z]],tbl_Historique_Final[[#This Row],[date_modif]])=Final_Sans_VGE[[#This Row],[date_modif]],
      "Ancien",
      "Modifié"),
   "Nouveau")),"")</f>
        <v/>
      </c>
    </row>
    <row r="8589" spans="24:30" x14ac:dyDescent="0.25">
      <c r="X8589" s="8" t="e">
        <f>IF(Final_Sans_VGE[[#This Row],[ppn_z]]="","",IFERROR(
   IF(_xlfn.XLOOKUP(Final_Sans_VGE[[#This Row],[ppn_z]],tbl_Historique_Final[ppn_z],tbl_Historique_Final[date_modif])=Final_Sans_VGE[[#This Row],[date_modif]],
      "Ancien",
      "Modifié"),
   "Nouveau"))</f>
        <v>#VALUE!</v>
      </c>
      <c r="AD8589" s="1" t="str">
        <f>IFERROR(IF(Final_Sans_VGE[[#This Row],[ppn_z]]="","",IFERROR(
   IF(_xlfn.XLOOKUP(Final_Sans_VGE[[#This Row],[ppn_z]],tbl_Historique_Final[[#This Row],[ppn_z]],tbl_Historique_Final[[#This Row],[date_modif]])=Final_Sans_VGE[[#This Row],[date_modif]],
      "Ancien",
      "Modifié"),
   "Nouveau")),"")</f>
        <v/>
      </c>
    </row>
    <row r="8590" spans="24:30" x14ac:dyDescent="0.25">
      <c r="X8590" s="8" t="e">
        <f>IF(Final_Sans_VGE[[#This Row],[ppn_z]]="","",IFERROR(
   IF(_xlfn.XLOOKUP(Final_Sans_VGE[[#This Row],[ppn_z]],tbl_Historique_Final[ppn_z],tbl_Historique_Final[date_modif])=Final_Sans_VGE[[#This Row],[date_modif]],
      "Ancien",
      "Modifié"),
   "Nouveau"))</f>
        <v>#VALUE!</v>
      </c>
      <c r="AD8590" s="1" t="str">
        <f>IFERROR(IF(Final_Sans_VGE[[#This Row],[ppn_z]]="","",IFERROR(
   IF(_xlfn.XLOOKUP(Final_Sans_VGE[[#This Row],[ppn_z]],tbl_Historique_Final[[#This Row],[ppn_z]],tbl_Historique_Final[[#This Row],[date_modif]])=Final_Sans_VGE[[#This Row],[date_modif]],
      "Ancien",
      "Modifié"),
   "Nouveau")),"")</f>
        <v/>
      </c>
    </row>
    <row r="8591" spans="24:30" x14ac:dyDescent="0.25">
      <c r="X8591" s="8" t="e">
        <f>IF(Final_Sans_VGE[[#This Row],[ppn_z]]="","",IFERROR(
   IF(_xlfn.XLOOKUP(Final_Sans_VGE[[#This Row],[ppn_z]],tbl_Historique_Final[ppn_z],tbl_Historique_Final[date_modif])=Final_Sans_VGE[[#This Row],[date_modif]],
      "Ancien",
      "Modifié"),
   "Nouveau"))</f>
        <v>#VALUE!</v>
      </c>
      <c r="AD8591" s="1" t="str">
        <f>IFERROR(IF(Final_Sans_VGE[[#This Row],[ppn_z]]="","",IFERROR(
   IF(_xlfn.XLOOKUP(Final_Sans_VGE[[#This Row],[ppn_z]],tbl_Historique_Final[[#This Row],[ppn_z]],tbl_Historique_Final[[#This Row],[date_modif]])=Final_Sans_VGE[[#This Row],[date_modif]],
      "Ancien",
      "Modifié"),
   "Nouveau")),"")</f>
        <v/>
      </c>
    </row>
    <row r="8592" spans="24:30" x14ac:dyDescent="0.25">
      <c r="X8592" s="8" t="e">
        <f>IF(Final_Sans_VGE[[#This Row],[ppn_z]]="","",IFERROR(
   IF(_xlfn.XLOOKUP(Final_Sans_VGE[[#This Row],[ppn_z]],tbl_Historique_Final[ppn_z],tbl_Historique_Final[date_modif])=Final_Sans_VGE[[#This Row],[date_modif]],
      "Ancien",
      "Modifié"),
   "Nouveau"))</f>
        <v>#VALUE!</v>
      </c>
      <c r="AD8592" s="1" t="str">
        <f>IFERROR(IF(Final_Sans_VGE[[#This Row],[ppn_z]]="","",IFERROR(
   IF(_xlfn.XLOOKUP(Final_Sans_VGE[[#This Row],[ppn_z]],tbl_Historique_Final[[#This Row],[ppn_z]],tbl_Historique_Final[[#This Row],[date_modif]])=Final_Sans_VGE[[#This Row],[date_modif]],
      "Ancien",
      "Modifié"),
   "Nouveau")),"")</f>
        <v/>
      </c>
    </row>
    <row r="8593" spans="24:30" x14ac:dyDescent="0.25">
      <c r="X8593" s="8" t="e">
        <f>IF(Final_Sans_VGE[[#This Row],[ppn_z]]="","",IFERROR(
   IF(_xlfn.XLOOKUP(Final_Sans_VGE[[#This Row],[ppn_z]],tbl_Historique_Final[ppn_z],tbl_Historique_Final[date_modif])=Final_Sans_VGE[[#This Row],[date_modif]],
      "Ancien",
      "Modifié"),
   "Nouveau"))</f>
        <v>#VALUE!</v>
      </c>
      <c r="AD8593" s="1" t="str">
        <f>IFERROR(IF(Final_Sans_VGE[[#This Row],[ppn_z]]="","",IFERROR(
   IF(_xlfn.XLOOKUP(Final_Sans_VGE[[#This Row],[ppn_z]],tbl_Historique_Final[[#This Row],[ppn_z]],tbl_Historique_Final[[#This Row],[date_modif]])=Final_Sans_VGE[[#This Row],[date_modif]],
      "Ancien",
      "Modifié"),
   "Nouveau")),"")</f>
        <v/>
      </c>
    </row>
    <row r="8594" spans="24:30" x14ac:dyDescent="0.25">
      <c r="X8594" s="8" t="e">
        <f>IF(Final_Sans_VGE[[#This Row],[ppn_z]]="","",IFERROR(
   IF(_xlfn.XLOOKUP(Final_Sans_VGE[[#This Row],[ppn_z]],tbl_Historique_Final[ppn_z],tbl_Historique_Final[date_modif])=Final_Sans_VGE[[#This Row],[date_modif]],
      "Ancien",
      "Modifié"),
   "Nouveau"))</f>
        <v>#VALUE!</v>
      </c>
      <c r="AD8594" s="1" t="str">
        <f>IFERROR(IF(Final_Sans_VGE[[#This Row],[ppn_z]]="","",IFERROR(
   IF(_xlfn.XLOOKUP(Final_Sans_VGE[[#This Row],[ppn_z]],tbl_Historique_Final[[#This Row],[ppn_z]],tbl_Historique_Final[[#This Row],[date_modif]])=Final_Sans_VGE[[#This Row],[date_modif]],
      "Ancien",
      "Modifié"),
   "Nouveau")),"")</f>
        <v/>
      </c>
    </row>
    <row r="8595" spans="24:30" x14ac:dyDescent="0.25">
      <c r="X8595" s="8" t="e">
        <f>IF(Final_Sans_VGE[[#This Row],[ppn_z]]="","",IFERROR(
   IF(_xlfn.XLOOKUP(Final_Sans_VGE[[#This Row],[ppn_z]],tbl_Historique_Final[ppn_z],tbl_Historique_Final[date_modif])=Final_Sans_VGE[[#This Row],[date_modif]],
      "Ancien",
      "Modifié"),
   "Nouveau"))</f>
        <v>#VALUE!</v>
      </c>
      <c r="AD8595" s="1" t="str">
        <f>IFERROR(IF(Final_Sans_VGE[[#This Row],[ppn_z]]="","",IFERROR(
   IF(_xlfn.XLOOKUP(Final_Sans_VGE[[#This Row],[ppn_z]],tbl_Historique_Final[[#This Row],[ppn_z]],tbl_Historique_Final[[#This Row],[date_modif]])=Final_Sans_VGE[[#This Row],[date_modif]],
      "Ancien",
      "Modifié"),
   "Nouveau")),"")</f>
        <v/>
      </c>
    </row>
    <row r="8596" spans="24:30" x14ac:dyDescent="0.25">
      <c r="X8596" s="8" t="e">
        <f>IF(Final_Sans_VGE[[#This Row],[ppn_z]]="","",IFERROR(
   IF(_xlfn.XLOOKUP(Final_Sans_VGE[[#This Row],[ppn_z]],tbl_Historique_Final[ppn_z],tbl_Historique_Final[date_modif])=Final_Sans_VGE[[#This Row],[date_modif]],
      "Ancien",
      "Modifié"),
   "Nouveau"))</f>
        <v>#VALUE!</v>
      </c>
      <c r="AD8596" s="1" t="str">
        <f>IFERROR(IF(Final_Sans_VGE[[#This Row],[ppn_z]]="","",IFERROR(
   IF(_xlfn.XLOOKUP(Final_Sans_VGE[[#This Row],[ppn_z]],tbl_Historique_Final[[#This Row],[ppn_z]],tbl_Historique_Final[[#This Row],[date_modif]])=Final_Sans_VGE[[#This Row],[date_modif]],
      "Ancien",
      "Modifié"),
   "Nouveau")),"")</f>
        <v/>
      </c>
    </row>
    <row r="8597" spans="24:30" x14ac:dyDescent="0.25">
      <c r="X8597" s="8" t="e">
        <f>IF(Final_Sans_VGE[[#This Row],[ppn_z]]="","",IFERROR(
   IF(_xlfn.XLOOKUP(Final_Sans_VGE[[#This Row],[ppn_z]],tbl_Historique_Final[ppn_z],tbl_Historique_Final[date_modif])=Final_Sans_VGE[[#This Row],[date_modif]],
      "Ancien",
      "Modifié"),
   "Nouveau"))</f>
        <v>#VALUE!</v>
      </c>
      <c r="AD8597" s="1" t="str">
        <f>IFERROR(IF(Final_Sans_VGE[[#This Row],[ppn_z]]="","",IFERROR(
   IF(_xlfn.XLOOKUP(Final_Sans_VGE[[#This Row],[ppn_z]],tbl_Historique_Final[[#This Row],[ppn_z]],tbl_Historique_Final[[#This Row],[date_modif]])=Final_Sans_VGE[[#This Row],[date_modif]],
      "Ancien",
      "Modifié"),
   "Nouveau")),"")</f>
        <v/>
      </c>
    </row>
    <row r="8598" spans="24:30" x14ac:dyDescent="0.25">
      <c r="X8598" s="8" t="e">
        <f>IF(Final_Sans_VGE[[#This Row],[ppn_z]]="","",IFERROR(
   IF(_xlfn.XLOOKUP(Final_Sans_VGE[[#This Row],[ppn_z]],tbl_Historique_Final[ppn_z],tbl_Historique_Final[date_modif])=Final_Sans_VGE[[#This Row],[date_modif]],
      "Ancien",
      "Modifié"),
   "Nouveau"))</f>
        <v>#VALUE!</v>
      </c>
      <c r="AD8598" s="1" t="str">
        <f>IFERROR(IF(Final_Sans_VGE[[#This Row],[ppn_z]]="","",IFERROR(
   IF(_xlfn.XLOOKUP(Final_Sans_VGE[[#This Row],[ppn_z]],tbl_Historique_Final[[#This Row],[ppn_z]],tbl_Historique_Final[[#This Row],[date_modif]])=Final_Sans_VGE[[#This Row],[date_modif]],
      "Ancien",
      "Modifié"),
   "Nouveau")),"")</f>
        <v/>
      </c>
    </row>
    <row r="8599" spans="24:30" x14ac:dyDescent="0.25">
      <c r="X8599" s="8" t="e">
        <f>IF(Final_Sans_VGE[[#This Row],[ppn_z]]="","",IFERROR(
   IF(_xlfn.XLOOKUP(Final_Sans_VGE[[#This Row],[ppn_z]],tbl_Historique_Final[ppn_z],tbl_Historique_Final[date_modif])=Final_Sans_VGE[[#This Row],[date_modif]],
      "Ancien",
      "Modifié"),
   "Nouveau"))</f>
        <v>#VALUE!</v>
      </c>
      <c r="AD8599" s="1" t="str">
        <f>IFERROR(IF(Final_Sans_VGE[[#This Row],[ppn_z]]="","",IFERROR(
   IF(_xlfn.XLOOKUP(Final_Sans_VGE[[#This Row],[ppn_z]],tbl_Historique_Final[[#This Row],[ppn_z]],tbl_Historique_Final[[#This Row],[date_modif]])=Final_Sans_VGE[[#This Row],[date_modif]],
      "Ancien",
      "Modifié"),
   "Nouveau")),"")</f>
        <v/>
      </c>
    </row>
    <row r="8600" spans="24:30" x14ac:dyDescent="0.25">
      <c r="X8600" s="8" t="e">
        <f>IF(Final_Sans_VGE[[#This Row],[ppn_z]]="","",IFERROR(
   IF(_xlfn.XLOOKUP(Final_Sans_VGE[[#This Row],[ppn_z]],tbl_Historique_Final[ppn_z],tbl_Historique_Final[date_modif])=Final_Sans_VGE[[#This Row],[date_modif]],
      "Ancien",
      "Modifié"),
   "Nouveau"))</f>
        <v>#VALUE!</v>
      </c>
      <c r="AD8600" s="1" t="str">
        <f>IFERROR(IF(Final_Sans_VGE[[#This Row],[ppn_z]]="","",IFERROR(
   IF(_xlfn.XLOOKUP(Final_Sans_VGE[[#This Row],[ppn_z]],tbl_Historique_Final[[#This Row],[ppn_z]],tbl_Historique_Final[[#This Row],[date_modif]])=Final_Sans_VGE[[#This Row],[date_modif]],
      "Ancien",
      "Modifié"),
   "Nouveau")),"")</f>
        <v/>
      </c>
    </row>
    <row r="8601" spans="24:30" x14ac:dyDescent="0.25">
      <c r="X8601" s="8" t="e">
        <f>IF(Final_Sans_VGE[[#This Row],[ppn_z]]="","",IFERROR(
   IF(_xlfn.XLOOKUP(Final_Sans_VGE[[#This Row],[ppn_z]],tbl_Historique_Final[ppn_z],tbl_Historique_Final[date_modif])=Final_Sans_VGE[[#This Row],[date_modif]],
      "Ancien",
      "Modifié"),
   "Nouveau"))</f>
        <v>#VALUE!</v>
      </c>
      <c r="AD8601" s="1" t="str">
        <f>IFERROR(IF(Final_Sans_VGE[[#This Row],[ppn_z]]="","",IFERROR(
   IF(_xlfn.XLOOKUP(Final_Sans_VGE[[#This Row],[ppn_z]],tbl_Historique_Final[[#This Row],[ppn_z]],tbl_Historique_Final[[#This Row],[date_modif]])=Final_Sans_VGE[[#This Row],[date_modif]],
      "Ancien",
      "Modifié"),
   "Nouveau")),"")</f>
        <v/>
      </c>
    </row>
    <row r="8602" spans="24:30" x14ac:dyDescent="0.25">
      <c r="X8602" s="8" t="e">
        <f>IF(Final_Sans_VGE[[#This Row],[ppn_z]]="","",IFERROR(
   IF(_xlfn.XLOOKUP(Final_Sans_VGE[[#This Row],[ppn_z]],tbl_Historique_Final[ppn_z],tbl_Historique_Final[date_modif])=Final_Sans_VGE[[#This Row],[date_modif]],
      "Ancien",
      "Modifié"),
   "Nouveau"))</f>
        <v>#VALUE!</v>
      </c>
      <c r="AD8602" s="1" t="str">
        <f>IFERROR(IF(Final_Sans_VGE[[#This Row],[ppn_z]]="","",IFERROR(
   IF(_xlfn.XLOOKUP(Final_Sans_VGE[[#This Row],[ppn_z]],tbl_Historique_Final[[#This Row],[ppn_z]],tbl_Historique_Final[[#This Row],[date_modif]])=Final_Sans_VGE[[#This Row],[date_modif]],
      "Ancien",
      "Modifié"),
   "Nouveau")),"")</f>
        <v/>
      </c>
    </row>
    <row r="8603" spans="24:30" x14ac:dyDescent="0.25">
      <c r="X8603" s="8" t="e">
        <f>IF(Final_Sans_VGE[[#This Row],[ppn_z]]="","",IFERROR(
   IF(_xlfn.XLOOKUP(Final_Sans_VGE[[#This Row],[ppn_z]],tbl_Historique_Final[ppn_z],tbl_Historique_Final[date_modif])=Final_Sans_VGE[[#This Row],[date_modif]],
      "Ancien",
      "Modifié"),
   "Nouveau"))</f>
        <v>#VALUE!</v>
      </c>
      <c r="AD8603" s="1" t="str">
        <f>IFERROR(IF(Final_Sans_VGE[[#This Row],[ppn_z]]="","",IFERROR(
   IF(_xlfn.XLOOKUP(Final_Sans_VGE[[#This Row],[ppn_z]],tbl_Historique_Final[[#This Row],[ppn_z]],tbl_Historique_Final[[#This Row],[date_modif]])=Final_Sans_VGE[[#This Row],[date_modif]],
      "Ancien",
      "Modifié"),
   "Nouveau")),"")</f>
        <v/>
      </c>
    </row>
    <row r="8604" spans="24:30" x14ac:dyDescent="0.25">
      <c r="X8604" s="8" t="e">
        <f>IF(Final_Sans_VGE[[#This Row],[ppn_z]]="","",IFERROR(
   IF(_xlfn.XLOOKUP(Final_Sans_VGE[[#This Row],[ppn_z]],tbl_Historique_Final[ppn_z],tbl_Historique_Final[date_modif])=Final_Sans_VGE[[#This Row],[date_modif]],
      "Ancien",
      "Modifié"),
   "Nouveau"))</f>
        <v>#VALUE!</v>
      </c>
      <c r="AD8604" s="1" t="str">
        <f>IFERROR(IF(Final_Sans_VGE[[#This Row],[ppn_z]]="","",IFERROR(
   IF(_xlfn.XLOOKUP(Final_Sans_VGE[[#This Row],[ppn_z]],tbl_Historique_Final[[#This Row],[ppn_z]],tbl_Historique_Final[[#This Row],[date_modif]])=Final_Sans_VGE[[#This Row],[date_modif]],
      "Ancien",
      "Modifié"),
   "Nouveau")),"")</f>
        <v/>
      </c>
    </row>
    <row r="8605" spans="24:30" x14ac:dyDescent="0.25">
      <c r="X8605" s="8" t="e">
        <f>IF(Final_Sans_VGE[[#This Row],[ppn_z]]="","",IFERROR(
   IF(_xlfn.XLOOKUP(Final_Sans_VGE[[#This Row],[ppn_z]],tbl_Historique_Final[ppn_z],tbl_Historique_Final[date_modif])=Final_Sans_VGE[[#This Row],[date_modif]],
      "Ancien",
      "Modifié"),
   "Nouveau"))</f>
        <v>#VALUE!</v>
      </c>
      <c r="AD8605" s="1" t="str">
        <f>IFERROR(IF(Final_Sans_VGE[[#This Row],[ppn_z]]="","",IFERROR(
   IF(_xlfn.XLOOKUP(Final_Sans_VGE[[#This Row],[ppn_z]],tbl_Historique_Final[[#This Row],[ppn_z]],tbl_Historique_Final[[#This Row],[date_modif]])=Final_Sans_VGE[[#This Row],[date_modif]],
      "Ancien",
      "Modifié"),
   "Nouveau")),"")</f>
        <v/>
      </c>
    </row>
    <row r="8606" spans="24:30" x14ac:dyDescent="0.25">
      <c r="X8606" s="8" t="e">
        <f>IF(Final_Sans_VGE[[#This Row],[ppn_z]]="","",IFERROR(
   IF(_xlfn.XLOOKUP(Final_Sans_VGE[[#This Row],[ppn_z]],tbl_Historique_Final[ppn_z],tbl_Historique_Final[date_modif])=Final_Sans_VGE[[#This Row],[date_modif]],
      "Ancien",
      "Modifié"),
   "Nouveau"))</f>
        <v>#VALUE!</v>
      </c>
      <c r="AD8606" s="1" t="str">
        <f>IFERROR(IF(Final_Sans_VGE[[#This Row],[ppn_z]]="","",IFERROR(
   IF(_xlfn.XLOOKUP(Final_Sans_VGE[[#This Row],[ppn_z]],tbl_Historique_Final[[#This Row],[ppn_z]],tbl_Historique_Final[[#This Row],[date_modif]])=Final_Sans_VGE[[#This Row],[date_modif]],
      "Ancien",
      "Modifié"),
   "Nouveau")),"")</f>
        <v/>
      </c>
    </row>
    <row r="8607" spans="24:30" x14ac:dyDescent="0.25">
      <c r="X8607" s="8" t="e">
        <f>IF(Final_Sans_VGE[[#This Row],[ppn_z]]="","",IFERROR(
   IF(_xlfn.XLOOKUP(Final_Sans_VGE[[#This Row],[ppn_z]],tbl_Historique_Final[ppn_z],tbl_Historique_Final[date_modif])=Final_Sans_VGE[[#This Row],[date_modif]],
      "Ancien",
      "Modifié"),
   "Nouveau"))</f>
        <v>#VALUE!</v>
      </c>
      <c r="AD8607" s="1" t="str">
        <f>IFERROR(IF(Final_Sans_VGE[[#This Row],[ppn_z]]="","",IFERROR(
   IF(_xlfn.XLOOKUP(Final_Sans_VGE[[#This Row],[ppn_z]],tbl_Historique_Final[[#This Row],[ppn_z]],tbl_Historique_Final[[#This Row],[date_modif]])=Final_Sans_VGE[[#This Row],[date_modif]],
      "Ancien",
      "Modifié"),
   "Nouveau")),"")</f>
        <v/>
      </c>
    </row>
    <row r="8608" spans="24:30" x14ac:dyDescent="0.25">
      <c r="X8608" s="8" t="e">
        <f>IF(Final_Sans_VGE[[#This Row],[ppn_z]]="","",IFERROR(
   IF(_xlfn.XLOOKUP(Final_Sans_VGE[[#This Row],[ppn_z]],tbl_Historique_Final[ppn_z],tbl_Historique_Final[date_modif])=Final_Sans_VGE[[#This Row],[date_modif]],
      "Ancien",
      "Modifié"),
   "Nouveau"))</f>
        <v>#VALUE!</v>
      </c>
      <c r="AD8608" s="1" t="str">
        <f>IFERROR(IF(Final_Sans_VGE[[#This Row],[ppn_z]]="","",IFERROR(
   IF(_xlfn.XLOOKUP(Final_Sans_VGE[[#This Row],[ppn_z]],tbl_Historique_Final[[#This Row],[ppn_z]],tbl_Historique_Final[[#This Row],[date_modif]])=Final_Sans_VGE[[#This Row],[date_modif]],
      "Ancien",
      "Modifié"),
   "Nouveau")),"")</f>
        <v/>
      </c>
    </row>
    <row r="8609" spans="24:30" x14ac:dyDescent="0.25">
      <c r="X8609" s="8" t="e">
        <f>IF(Final_Sans_VGE[[#This Row],[ppn_z]]="","",IFERROR(
   IF(_xlfn.XLOOKUP(Final_Sans_VGE[[#This Row],[ppn_z]],tbl_Historique_Final[ppn_z],tbl_Historique_Final[date_modif])=Final_Sans_VGE[[#This Row],[date_modif]],
      "Ancien",
      "Modifié"),
   "Nouveau"))</f>
        <v>#VALUE!</v>
      </c>
      <c r="AD8609" s="1" t="str">
        <f>IFERROR(IF(Final_Sans_VGE[[#This Row],[ppn_z]]="","",IFERROR(
   IF(_xlfn.XLOOKUP(Final_Sans_VGE[[#This Row],[ppn_z]],tbl_Historique_Final[[#This Row],[ppn_z]],tbl_Historique_Final[[#This Row],[date_modif]])=Final_Sans_VGE[[#This Row],[date_modif]],
      "Ancien",
      "Modifié"),
   "Nouveau")),"")</f>
        <v/>
      </c>
    </row>
    <row r="8610" spans="24:30" x14ac:dyDescent="0.25">
      <c r="X8610" s="8" t="e">
        <f>IF(Final_Sans_VGE[[#This Row],[ppn_z]]="","",IFERROR(
   IF(_xlfn.XLOOKUP(Final_Sans_VGE[[#This Row],[ppn_z]],tbl_Historique_Final[ppn_z],tbl_Historique_Final[date_modif])=Final_Sans_VGE[[#This Row],[date_modif]],
      "Ancien",
      "Modifié"),
   "Nouveau"))</f>
        <v>#VALUE!</v>
      </c>
      <c r="AD8610" s="1" t="str">
        <f>IFERROR(IF(Final_Sans_VGE[[#This Row],[ppn_z]]="","",IFERROR(
   IF(_xlfn.XLOOKUP(Final_Sans_VGE[[#This Row],[ppn_z]],tbl_Historique_Final[[#This Row],[ppn_z]],tbl_Historique_Final[[#This Row],[date_modif]])=Final_Sans_VGE[[#This Row],[date_modif]],
      "Ancien",
      "Modifié"),
   "Nouveau")),"")</f>
        <v/>
      </c>
    </row>
    <row r="8611" spans="24:30" x14ac:dyDescent="0.25">
      <c r="X8611" s="8" t="e">
        <f>IF(Final_Sans_VGE[[#This Row],[ppn_z]]="","",IFERROR(
   IF(_xlfn.XLOOKUP(Final_Sans_VGE[[#This Row],[ppn_z]],tbl_Historique_Final[ppn_z],tbl_Historique_Final[date_modif])=Final_Sans_VGE[[#This Row],[date_modif]],
      "Ancien",
      "Modifié"),
   "Nouveau"))</f>
        <v>#VALUE!</v>
      </c>
      <c r="AD8611" s="1" t="str">
        <f>IFERROR(IF(Final_Sans_VGE[[#This Row],[ppn_z]]="","",IFERROR(
   IF(_xlfn.XLOOKUP(Final_Sans_VGE[[#This Row],[ppn_z]],tbl_Historique_Final[[#This Row],[ppn_z]],tbl_Historique_Final[[#This Row],[date_modif]])=Final_Sans_VGE[[#This Row],[date_modif]],
      "Ancien",
      "Modifié"),
   "Nouveau")),"")</f>
        <v/>
      </c>
    </row>
    <row r="8612" spans="24:30" x14ac:dyDescent="0.25">
      <c r="X8612" s="8" t="e">
        <f>IF(Final_Sans_VGE[[#This Row],[ppn_z]]="","",IFERROR(
   IF(_xlfn.XLOOKUP(Final_Sans_VGE[[#This Row],[ppn_z]],tbl_Historique_Final[ppn_z],tbl_Historique_Final[date_modif])=Final_Sans_VGE[[#This Row],[date_modif]],
      "Ancien",
      "Modifié"),
   "Nouveau"))</f>
        <v>#VALUE!</v>
      </c>
      <c r="AD8612" s="1" t="str">
        <f>IFERROR(IF(Final_Sans_VGE[[#This Row],[ppn_z]]="","",IFERROR(
   IF(_xlfn.XLOOKUP(Final_Sans_VGE[[#This Row],[ppn_z]],tbl_Historique_Final[[#This Row],[ppn_z]],tbl_Historique_Final[[#This Row],[date_modif]])=Final_Sans_VGE[[#This Row],[date_modif]],
      "Ancien",
      "Modifié"),
   "Nouveau")),"")</f>
        <v/>
      </c>
    </row>
    <row r="8613" spans="24:30" x14ac:dyDescent="0.25">
      <c r="X8613" s="8" t="e">
        <f>IF(Final_Sans_VGE[[#This Row],[ppn_z]]="","",IFERROR(
   IF(_xlfn.XLOOKUP(Final_Sans_VGE[[#This Row],[ppn_z]],tbl_Historique_Final[ppn_z],tbl_Historique_Final[date_modif])=Final_Sans_VGE[[#This Row],[date_modif]],
      "Ancien",
      "Modifié"),
   "Nouveau"))</f>
        <v>#VALUE!</v>
      </c>
      <c r="AD8613" s="1" t="str">
        <f>IFERROR(IF(Final_Sans_VGE[[#This Row],[ppn_z]]="","",IFERROR(
   IF(_xlfn.XLOOKUP(Final_Sans_VGE[[#This Row],[ppn_z]],tbl_Historique_Final[[#This Row],[ppn_z]],tbl_Historique_Final[[#This Row],[date_modif]])=Final_Sans_VGE[[#This Row],[date_modif]],
      "Ancien",
      "Modifié"),
   "Nouveau")),"")</f>
        <v/>
      </c>
    </row>
    <row r="8614" spans="24:30" x14ac:dyDescent="0.25">
      <c r="X8614" s="8" t="e">
        <f>IF(Final_Sans_VGE[[#This Row],[ppn_z]]="","",IFERROR(
   IF(_xlfn.XLOOKUP(Final_Sans_VGE[[#This Row],[ppn_z]],tbl_Historique_Final[ppn_z],tbl_Historique_Final[date_modif])=Final_Sans_VGE[[#This Row],[date_modif]],
      "Ancien",
      "Modifié"),
   "Nouveau"))</f>
        <v>#VALUE!</v>
      </c>
      <c r="AD8614" s="1" t="str">
        <f>IFERROR(IF(Final_Sans_VGE[[#This Row],[ppn_z]]="","",IFERROR(
   IF(_xlfn.XLOOKUP(Final_Sans_VGE[[#This Row],[ppn_z]],tbl_Historique_Final[[#This Row],[ppn_z]],tbl_Historique_Final[[#This Row],[date_modif]])=Final_Sans_VGE[[#This Row],[date_modif]],
      "Ancien",
      "Modifié"),
   "Nouveau")),"")</f>
        <v/>
      </c>
    </row>
    <row r="8615" spans="24:30" x14ac:dyDescent="0.25">
      <c r="X8615" s="8" t="e">
        <f>IF(Final_Sans_VGE[[#This Row],[ppn_z]]="","",IFERROR(
   IF(_xlfn.XLOOKUP(Final_Sans_VGE[[#This Row],[ppn_z]],tbl_Historique_Final[ppn_z],tbl_Historique_Final[date_modif])=Final_Sans_VGE[[#This Row],[date_modif]],
      "Ancien",
      "Modifié"),
   "Nouveau"))</f>
        <v>#VALUE!</v>
      </c>
      <c r="AD8615" s="1" t="str">
        <f>IFERROR(IF(Final_Sans_VGE[[#This Row],[ppn_z]]="","",IFERROR(
   IF(_xlfn.XLOOKUP(Final_Sans_VGE[[#This Row],[ppn_z]],tbl_Historique_Final[[#This Row],[ppn_z]],tbl_Historique_Final[[#This Row],[date_modif]])=Final_Sans_VGE[[#This Row],[date_modif]],
      "Ancien",
      "Modifié"),
   "Nouveau")),"")</f>
        <v/>
      </c>
    </row>
    <row r="8616" spans="24:30" x14ac:dyDescent="0.25">
      <c r="X8616" s="8" t="e">
        <f>IF(Final_Sans_VGE[[#This Row],[ppn_z]]="","",IFERROR(
   IF(_xlfn.XLOOKUP(Final_Sans_VGE[[#This Row],[ppn_z]],tbl_Historique_Final[ppn_z],tbl_Historique_Final[date_modif])=Final_Sans_VGE[[#This Row],[date_modif]],
      "Ancien",
      "Modifié"),
   "Nouveau"))</f>
        <v>#VALUE!</v>
      </c>
      <c r="AD8616" s="1" t="str">
        <f>IFERROR(IF(Final_Sans_VGE[[#This Row],[ppn_z]]="","",IFERROR(
   IF(_xlfn.XLOOKUP(Final_Sans_VGE[[#This Row],[ppn_z]],tbl_Historique_Final[[#This Row],[ppn_z]],tbl_Historique_Final[[#This Row],[date_modif]])=Final_Sans_VGE[[#This Row],[date_modif]],
      "Ancien",
      "Modifié"),
   "Nouveau")),"")</f>
        <v/>
      </c>
    </row>
    <row r="8617" spans="24:30" x14ac:dyDescent="0.25">
      <c r="X8617" s="8" t="e">
        <f>IF(Final_Sans_VGE[[#This Row],[ppn_z]]="","",IFERROR(
   IF(_xlfn.XLOOKUP(Final_Sans_VGE[[#This Row],[ppn_z]],tbl_Historique_Final[ppn_z],tbl_Historique_Final[date_modif])=Final_Sans_VGE[[#This Row],[date_modif]],
      "Ancien",
      "Modifié"),
   "Nouveau"))</f>
        <v>#VALUE!</v>
      </c>
      <c r="AD8617" s="1" t="str">
        <f>IFERROR(IF(Final_Sans_VGE[[#This Row],[ppn_z]]="","",IFERROR(
   IF(_xlfn.XLOOKUP(Final_Sans_VGE[[#This Row],[ppn_z]],tbl_Historique_Final[[#This Row],[ppn_z]],tbl_Historique_Final[[#This Row],[date_modif]])=Final_Sans_VGE[[#This Row],[date_modif]],
      "Ancien",
      "Modifié"),
   "Nouveau")),"")</f>
        <v/>
      </c>
    </row>
    <row r="8618" spans="24:30" x14ac:dyDescent="0.25">
      <c r="X8618" s="8" t="e">
        <f>IF(Final_Sans_VGE[[#This Row],[ppn_z]]="","",IFERROR(
   IF(_xlfn.XLOOKUP(Final_Sans_VGE[[#This Row],[ppn_z]],tbl_Historique_Final[ppn_z],tbl_Historique_Final[date_modif])=Final_Sans_VGE[[#This Row],[date_modif]],
      "Ancien",
      "Modifié"),
   "Nouveau"))</f>
        <v>#VALUE!</v>
      </c>
      <c r="AD8618" s="1" t="str">
        <f>IFERROR(IF(Final_Sans_VGE[[#This Row],[ppn_z]]="","",IFERROR(
   IF(_xlfn.XLOOKUP(Final_Sans_VGE[[#This Row],[ppn_z]],tbl_Historique_Final[[#This Row],[ppn_z]],tbl_Historique_Final[[#This Row],[date_modif]])=Final_Sans_VGE[[#This Row],[date_modif]],
      "Ancien",
      "Modifié"),
   "Nouveau")),"")</f>
        <v/>
      </c>
    </row>
    <row r="8619" spans="24:30" x14ac:dyDescent="0.25">
      <c r="X8619" s="8" t="e">
        <f>IF(Final_Sans_VGE[[#This Row],[ppn_z]]="","",IFERROR(
   IF(_xlfn.XLOOKUP(Final_Sans_VGE[[#This Row],[ppn_z]],tbl_Historique_Final[ppn_z],tbl_Historique_Final[date_modif])=Final_Sans_VGE[[#This Row],[date_modif]],
      "Ancien",
      "Modifié"),
   "Nouveau"))</f>
        <v>#VALUE!</v>
      </c>
      <c r="AD8619" s="1" t="str">
        <f>IFERROR(IF(Final_Sans_VGE[[#This Row],[ppn_z]]="","",IFERROR(
   IF(_xlfn.XLOOKUP(Final_Sans_VGE[[#This Row],[ppn_z]],tbl_Historique_Final[[#This Row],[ppn_z]],tbl_Historique_Final[[#This Row],[date_modif]])=Final_Sans_VGE[[#This Row],[date_modif]],
      "Ancien",
      "Modifié"),
   "Nouveau")),"")</f>
        <v/>
      </c>
    </row>
    <row r="8620" spans="24:30" x14ac:dyDescent="0.25">
      <c r="X8620" s="8" t="e">
        <f>IF(Final_Sans_VGE[[#This Row],[ppn_z]]="","",IFERROR(
   IF(_xlfn.XLOOKUP(Final_Sans_VGE[[#This Row],[ppn_z]],tbl_Historique_Final[ppn_z],tbl_Historique_Final[date_modif])=Final_Sans_VGE[[#This Row],[date_modif]],
      "Ancien",
      "Modifié"),
   "Nouveau"))</f>
        <v>#VALUE!</v>
      </c>
      <c r="AD8620" s="1" t="str">
        <f>IFERROR(IF(Final_Sans_VGE[[#This Row],[ppn_z]]="","",IFERROR(
   IF(_xlfn.XLOOKUP(Final_Sans_VGE[[#This Row],[ppn_z]],tbl_Historique_Final[[#This Row],[ppn_z]],tbl_Historique_Final[[#This Row],[date_modif]])=Final_Sans_VGE[[#This Row],[date_modif]],
      "Ancien",
      "Modifié"),
   "Nouveau")),"")</f>
        <v/>
      </c>
    </row>
    <row r="8621" spans="24:30" x14ac:dyDescent="0.25">
      <c r="X8621" s="8" t="e">
        <f>IF(Final_Sans_VGE[[#This Row],[ppn_z]]="","",IFERROR(
   IF(_xlfn.XLOOKUP(Final_Sans_VGE[[#This Row],[ppn_z]],tbl_Historique_Final[ppn_z],tbl_Historique_Final[date_modif])=Final_Sans_VGE[[#This Row],[date_modif]],
      "Ancien",
      "Modifié"),
   "Nouveau"))</f>
        <v>#VALUE!</v>
      </c>
      <c r="AD8621" s="1" t="str">
        <f>IFERROR(IF(Final_Sans_VGE[[#This Row],[ppn_z]]="","",IFERROR(
   IF(_xlfn.XLOOKUP(Final_Sans_VGE[[#This Row],[ppn_z]],tbl_Historique_Final[[#This Row],[ppn_z]],tbl_Historique_Final[[#This Row],[date_modif]])=Final_Sans_VGE[[#This Row],[date_modif]],
      "Ancien",
      "Modifié"),
   "Nouveau")),"")</f>
        <v/>
      </c>
    </row>
    <row r="8622" spans="24:30" x14ac:dyDescent="0.25">
      <c r="X8622" s="8" t="e">
        <f>IF(Final_Sans_VGE[[#This Row],[ppn_z]]="","",IFERROR(
   IF(_xlfn.XLOOKUP(Final_Sans_VGE[[#This Row],[ppn_z]],tbl_Historique_Final[ppn_z],tbl_Historique_Final[date_modif])=Final_Sans_VGE[[#This Row],[date_modif]],
      "Ancien",
      "Modifié"),
   "Nouveau"))</f>
        <v>#VALUE!</v>
      </c>
      <c r="AD8622" s="1" t="str">
        <f>IFERROR(IF(Final_Sans_VGE[[#This Row],[ppn_z]]="","",IFERROR(
   IF(_xlfn.XLOOKUP(Final_Sans_VGE[[#This Row],[ppn_z]],tbl_Historique_Final[[#This Row],[ppn_z]],tbl_Historique_Final[[#This Row],[date_modif]])=Final_Sans_VGE[[#This Row],[date_modif]],
      "Ancien",
      "Modifié"),
   "Nouveau")),"")</f>
        <v/>
      </c>
    </row>
    <row r="8623" spans="24:30" x14ac:dyDescent="0.25">
      <c r="X8623" s="8" t="e">
        <f>IF(Final_Sans_VGE[[#This Row],[ppn_z]]="","",IFERROR(
   IF(_xlfn.XLOOKUP(Final_Sans_VGE[[#This Row],[ppn_z]],tbl_Historique_Final[ppn_z],tbl_Historique_Final[date_modif])=Final_Sans_VGE[[#This Row],[date_modif]],
      "Ancien",
      "Modifié"),
   "Nouveau"))</f>
        <v>#VALUE!</v>
      </c>
      <c r="AD8623" s="1" t="str">
        <f>IFERROR(IF(Final_Sans_VGE[[#This Row],[ppn_z]]="","",IFERROR(
   IF(_xlfn.XLOOKUP(Final_Sans_VGE[[#This Row],[ppn_z]],tbl_Historique_Final[[#This Row],[ppn_z]],tbl_Historique_Final[[#This Row],[date_modif]])=Final_Sans_VGE[[#This Row],[date_modif]],
      "Ancien",
      "Modifié"),
   "Nouveau")),"")</f>
        <v/>
      </c>
    </row>
    <row r="8624" spans="24:30" x14ac:dyDescent="0.25">
      <c r="X8624" s="8" t="e">
        <f>IF(Final_Sans_VGE[[#This Row],[ppn_z]]="","",IFERROR(
   IF(_xlfn.XLOOKUP(Final_Sans_VGE[[#This Row],[ppn_z]],tbl_Historique_Final[ppn_z],tbl_Historique_Final[date_modif])=Final_Sans_VGE[[#This Row],[date_modif]],
      "Ancien",
      "Modifié"),
   "Nouveau"))</f>
        <v>#VALUE!</v>
      </c>
      <c r="AD8624" s="1" t="str">
        <f>IFERROR(IF(Final_Sans_VGE[[#This Row],[ppn_z]]="","",IFERROR(
   IF(_xlfn.XLOOKUP(Final_Sans_VGE[[#This Row],[ppn_z]],tbl_Historique_Final[[#This Row],[ppn_z]],tbl_Historique_Final[[#This Row],[date_modif]])=Final_Sans_VGE[[#This Row],[date_modif]],
      "Ancien",
      "Modifié"),
   "Nouveau")),"")</f>
        <v/>
      </c>
    </row>
    <row r="8625" spans="24:30" x14ac:dyDescent="0.25">
      <c r="X8625" s="8" t="e">
        <f>IF(Final_Sans_VGE[[#This Row],[ppn_z]]="","",IFERROR(
   IF(_xlfn.XLOOKUP(Final_Sans_VGE[[#This Row],[ppn_z]],tbl_Historique_Final[ppn_z],tbl_Historique_Final[date_modif])=Final_Sans_VGE[[#This Row],[date_modif]],
      "Ancien",
      "Modifié"),
   "Nouveau"))</f>
        <v>#VALUE!</v>
      </c>
      <c r="AD8625" s="1" t="str">
        <f>IFERROR(IF(Final_Sans_VGE[[#This Row],[ppn_z]]="","",IFERROR(
   IF(_xlfn.XLOOKUP(Final_Sans_VGE[[#This Row],[ppn_z]],tbl_Historique_Final[[#This Row],[ppn_z]],tbl_Historique_Final[[#This Row],[date_modif]])=Final_Sans_VGE[[#This Row],[date_modif]],
      "Ancien",
      "Modifié"),
   "Nouveau")),"")</f>
        <v/>
      </c>
    </row>
    <row r="8626" spans="24:30" x14ac:dyDescent="0.25">
      <c r="X8626" s="8" t="e">
        <f>IF(Final_Sans_VGE[[#This Row],[ppn_z]]="","",IFERROR(
   IF(_xlfn.XLOOKUP(Final_Sans_VGE[[#This Row],[ppn_z]],tbl_Historique_Final[ppn_z],tbl_Historique_Final[date_modif])=Final_Sans_VGE[[#This Row],[date_modif]],
      "Ancien",
      "Modifié"),
   "Nouveau"))</f>
        <v>#VALUE!</v>
      </c>
      <c r="AD8626" s="1" t="str">
        <f>IFERROR(IF(Final_Sans_VGE[[#This Row],[ppn_z]]="","",IFERROR(
   IF(_xlfn.XLOOKUP(Final_Sans_VGE[[#This Row],[ppn_z]],tbl_Historique_Final[[#This Row],[ppn_z]],tbl_Historique_Final[[#This Row],[date_modif]])=Final_Sans_VGE[[#This Row],[date_modif]],
      "Ancien",
      "Modifié"),
   "Nouveau")),"")</f>
        <v/>
      </c>
    </row>
    <row r="8627" spans="24:30" x14ac:dyDescent="0.25">
      <c r="X8627" s="8" t="e">
        <f>IF(Final_Sans_VGE[[#This Row],[ppn_z]]="","",IFERROR(
   IF(_xlfn.XLOOKUP(Final_Sans_VGE[[#This Row],[ppn_z]],tbl_Historique_Final[ppn_z],tbl_Historique_Final[date_modif])=Final_Sans_VGE[[#This Row],[date_modif]],
      "Ancien",
      "Modifié"),
   "Nouveau"))</f>
        <v>#VALUE!</v>
      </c>
      <c r="AD8627" s="1" t="str">
        <f>IFERROR(IF(Final_Sans_VGE[[#This Row],[ppn_z]]="","",IFERROR(
   IF(_xlfn.XLOOKUP(Final_Sans_VGE[[#This Row],[ppn_z]],tbl_Historique_Final[[#This Row],[ppn_z]],tbl_Historique_Final[[#This Row],[date_modif]])=Final_Sans_VGE[[#This Row],[date_modif]],
      "Ancien",
      "Modifié"),
   "Nouveau")),"")</f>
        <v/>
      </c>
    </row>
    <row r="8628" spans="24:30" x14ac:dyDescent="0.25">
      <c r="X8628" s="8" t="e">
        <f>IF(Final_Sans_VGE[[#This Row],[ppn_z]]="","",IFERROR(
   IF(_xlfn.XLOOKUP(Final_Sans_VGE[[#This Row],[ppn_z]],tbl_Historique_Final[ppn_z],tbl_Historique_Final[date_modif])=Final_Sans_VGE[[#This Row],[date_modif]],
      "Ancien",
      "Modifié"),
   "Nouveau"))</f>
        <v>#VALUE!</v>
      </c>
      <c r="AD8628" s="1" t="str">
        <f>IFERROR(IF(Final_Sans_VGE[[#This Row],[ppn_z]]="","",IFERROR(
   IF(_xlfn.XLOOKUP(Final_Sans_VGE[[#This Row],[ppn_z]],tbl_Historique_Final[[#This Row],[ppn_z]],tbl_Historique_Final[[#This Row],[date_modif]])=Final_Sans_VGE[[#This Row],[date_modif]],
      "Ancien",
      "Modifié"),
   "Nouveau")),"")</f>
        <v/>
      </c>
    </row>
    <row r="8629" spans="24:30" x14ac:dyDescent="0.25">
      <c r="X8629" s="8" t="e">
        <f>IF(Final_Sans_VGE[[#This Row],[ppn_z]]="","",IFERROR(
   IF(_xlfn.XLOOKUP(Final_Sans_VGE[[#This Row],[ppn_z]],tbl_Historique_Final[ppn_z],tbl_Historique_Final[date_modif])=Final_Sans_VGE[[#This Row],[date_modif]],
      "Ancien",
      "Modifié"),
   "Nouveau"))</f>
        <v>#VALUE!</v>
      </c>
      <c r="AD8629" s="1" t="str">
        <f>IFERROR(IF(Final_Sans_VGE[[#This Row],[ppn_z]]="","",IFERROR(
   IF(_xlfn.XLOOKUP(Final_Sans_VGE[[#This Row],[ppn_z]],tbl_Historique_Final[[#This Row],[ppn_z]],tbl_Historique_Final[[#This Row],[date_modif]])=Final_Sans_VGE[[#This Row],[date_modif]],
      "Ancien",
      "Modifié"),
   "Nouveau")),"")</f>
        <v/>
      </c>
    </row>
    <row r="8630" spans="24:30" x14ac:dyDescent="0.25">
      <c r="X8630" s="8" t="e">
        <f>IF(Final_Sans_VGE[[#This Row],[ppn_z]]="","",IFERROR(
   IF(_xlfn.XLOOKUP(Final_Sans_VGE[[#This Row],[ppn_z]],tbl_Historique_Final[ppn_z],tbl_Historique_Final[date_modif])=Final_Sans_VGE[[#This Row],[date_modif]],
      "Ancien",
      "Modifié"),
   "Nouveau"))</f>
        <v>#VALUE!</v>
      </c>
      <c r="AD8630" s="1" t="str">
        <f>IFERROR(IF(Final_Sans_VGE[[#This Row],[ppn_z]]="","",IFERROR(
   IF(_xlfn.XLOOKUP(Final_Sans_VGE[[#This Row],[ppn_z]],tbl_Historique_Final[[#This Row],[ppn_z]],tbl_Historique_Final[[#This Row],[date_modif]])=Final_Sans_VGE[[#This Row],[date_modif]],
      "Ancien",
      "Modifié"),
   "Nouveau")),"")</f>
        <v/>
      </c>
    </row>
    <row r="8631" spans="24:30" x14ac:dyDescent="0.25">
      <c r="X8631" s="8" t="e">
        <f>IF(Final_Sans_VGE[[#This Row],[ppn_z]]="","",IFERROR(
   IF(_xlfn.XLOOKUP(Final_Sans_VGE[[#This Row],[ppn_z]],tbl_Historique_Final[ppn_z],tbl_Historique_Final[date_modif])=Final_Sans_VGE[[#This Row],[date_modif]],
      "Ancien",
      "Modifié"),
   "Nouveau"))</f>
        <v>#VALUE!</v>
      </c>
      <c r="AD8631" s="1" t="str">
        <f>IFERROR(IF(Final_Sans_VGE[[#This Row],[ppn_z]]="","",IFERROR(
   IF(_xlfn.XLOOKUP(Final_Sans_VGE[[#This Row],[ppn_z]],tbl_Historique_Final[[#This Row],[ppn_z]],tbl_Historique_Final[[#This Row],[date_modif]])=Final_Sans_VGE[[#This Row],[date_modif]],
      "Ancien",
      "Modifié"),
   "Nouveau")),"")</f>
        <v/>
      </c>
    </row>
    <row r="8632" spans="24:30" x14ac:dyDescent="0.25">
      <c r="X8632" s="8" t="e">
        <f>IF(Final_Sans_VGE[[#This Row],[ppn_z]]="","",IFERROR(
   IF(_xlfn.XLOOKUP(Final_Sans_VGE[[#This Row],[ppn_z]],tbl_Historique_Final[ppn_z],tbl_Historique_Final[date_modif])=Final_Sans_VGE[[#This Row],[date_modif]],
      "Ancien",
      "Modifié"),
   "Nouveau"))</f>
        <v>#VALUE!</v>
      </c>
      <c r="AD8632" s="1" t="str">
        <f>IFERROR(IF(Final_Sans_VGE[[#This Row],[ppn_z]]="","",IFERROR(
   IF(_xlfn.XLOOKUP(Final_Sans_VGE[[#This Row],[ppn_z]],tbl_Historique_Final[[#This Row],[ppn_z]],tbl_Historique_Final[[#This Row],[date_modif]])=Final_Sans_VGE[[#This Row],[date_modif]],
      "Ancien",
      "Modifié"),
   "Nouveau")),"")</f>
        <v/>
      </c>
    </row>
    <row r="8633" spans="24:30" x14ac:dyDescent="0.25">
      <c r="X8633" s="8" t="e">
        <f>IF(Final_Sans_VGE[[#This Row],[ppn_z]]="","",IFERROR(
   IF(_xlfn.XLOOKUP(Final_Sans_VGE[[#This Row],[ppn_z]],tbl_Historique_Final[ppn_z],tbl_Historique_Final[date_modif])=Final_Sans_VGE[[#This Row],[date_modif]],
      "Ancien",
      "Modifié"),
   "Nouveau"))</f>
        <v>#VALUE!</v>
      </c>
      <c r="AD8633" s="1" t="str">
        <f>IFERROR(IF(Final_Sans_VGE[[#This Row],[ppn_z]]="","",IFERROR(
   IF(_xlfn.XLOOKUP(Final_Sans_VGE[[#This Row],[ppn_z]],tbl_Historique_Final[[#This Row],[ppn_z]],tbl_Historique_Final[[#This Row],[date_modif]])=Final_Sans_VGE[[#This Row],[date_modif]],
      "Ancien",
      "Modifié"),
   "Nouveau")),"")</f>
        <v/>
      </c>
    </row>
    <row r="8634" spans="24:30" x14ac:dyDescent="0.25">
      <c r="X8634" s="8" t="e">
        <f>IF(Final_Sans_VGE[[#This Row],[ppn_z]]="","",IFERROR(
   IF(_xlfn.XLOOKUP(Final_Sans_VGE[[#This Row],[ppn_z]],tbl_Historique_Final[ppn_z],tbl_Historique_Final[date_modif])=Final_Sans_VGE[[#This Row],[date_modif]],
      "Ancien",
      "Modifié"),
   "Nouveau"))</f>
        <v>#VALUE!</v>
      </c>
      <c r="AD8634" s="1" t="str">
        <f>IFERROR(IF(Final_Sans_VGE[[#This Row],[ppn_z]]="","",IFERROR(
   IF(_xlfn.XLOOKUP(Final_Sans_VGE[[#This Row],[ppn_z]],tbl_Historique_Final[[#This Row],[ppn_z]],tbl_Historique_Final[[#This Row],[date_modif]])=Final_Sans_VGE[[#This Row],[date_modif]],
      "Ancien",
      "Modifié"),
   "Nouveau")),"")</f>
        <v/>
      </c>
    </row>
    <row r="8635" spans="24:30" x14ac:dyDescent="0.25">
      <c r="X8635" s="8" t="e">
        <f>IF(Final_Sans_VGE[[#This Row],[ppn_z]]="","",IFERROR(
   IF(_xlfn.XLOOKUP(Final_Sans_VGE[[#This Row],[ppn_z]],tbl_Historique_Final[ppn_z],tbl_Historique_Final[date_modif])=Final_Sans_VGE[[#This Row],[date_modif]],
      "Ancien",
      "Modifié"),
   "Nouveau"))</f>
        <v>#VALUE!</v>
      </c>
      <c r="AD8635" s="1" t="str">
        <f>IFERROR(IF(Final_Sans_VGE[[#This Row],[ppn_z]]="","",IFERROR(
   IF(_xlfn.XLOOKUP(Final_Sans_VGE[[#This Row],[ppn_z]],tbl_Historique_Final[[#This Row],[ppn_z]],tbl_Historique_Final[[#This Row],[date_modif]])=Final_Sans_VGE[[#This Row],[date_modif]],
      "Ancien",
      "Modifié"),
   "Nouveau")),"")</f>
        <v/>
      </c>
    </row>
    <row r="8636" spans="24:30" x14ac:dyDescent="0.25">
      <c r="X8636" s="8" t="e">
        <f>IF(Final_Sans_VGE[[#This Row],[ppn_z]]="","",IFERROR(
   IF(_xlfn.XLOOKUP(Final_Sans_VGE[[#This Row],[ppn_z]],tbl_Historique_Final[ppn_z],tbl_Historique_Final[date_modif])=Final_Sans_VGE[[#This Row],[date_modif]],
      "Ancien",
      "Modifié"),
   "Nouveau"))</f>
        <v>#VALUE!</v>
      </c>
      <c r="AD8636" s="1" t="str">
        <f>IFERROR(IF(Final_Sans_VGE[[#This Row],[ppn_z]]="","",IFERROR(
   IF(_xlfn.XLOOKUP(Final_Sans_VGE[[#This Row],[ppn_z]],tbl_Historique_Final[[#This Row],[ppn_z]],tbl_Historique_Final[[#This Row],[date_modif]])=Final_Sans_VGE[[#This Row],[date_modif]],
      "Ancien",
      "Modifié"),
   "Nouveau")),"")</f>
        <v/>
      </c>
    </row>
    <row r="8637" spans="24:30" x14ac:dyDescent="0.25">
      <c r="X8637" s="8" t="e">
        <f>IF(Final_Sans_VGE[[#This Row],[ppn_z]]="","",IFERROR(
   IF(_xlfn.XLOOKUP(Final_Sans_VGE[[#This Row],[ppn_z]],tbl_Historique_Final[ppn_z],tbl_Historique_Final[date_modif])=Final_Sans_VGE[[#This Row],[date_modif]],
      "Ancien",
      "Modifié"),
   "Nouveau"))</f>
        <v>#VALUE!</v>
      </c>
      <c r="AD8637" s="1" t="str">
        <f>IFERROR(IF(Final_Sans_VGE[[#This Row],[ppn_z]]="","",IFERROR(
   IF(_xlfn.XLOOKUP(Final_Sans_VGE[[#This Row],[ppn_z]],tbl_Historique_Final[[#This Row],[ppn_z]],tbl_Historique_Final[[#This Row],[date_modif]])=Final_Sans_VGE[[#This Row],[date_modif]],
      "Ancien",
      "Modifié"),
   "Nouveau")),"")</f>
        <v/>
      </c>
    </row>
    <row r="8638" spans="24:30" x14ac:dyDescent="0.25">
      <c r="X8638" s="8" t="e">
        <f>IF(Final_Sans_VGE[[#This Row],[ppn_z]]="","",IFERROR(
   IF(_xlfn.XLOOKUP(Final_Sans_VGE[[#This Row],[ppn_z]],tbl_Historique_Final[ppn_z],tbl_Historique_Final[date_modif])=Final_Sans_VGE[[#This Row],[date_modif]],
      "Ancien",
      "Modifié"),
   "Nouveau"))</f>
        <v>#VALUE!</v>
      </c>
      <c r="AD8638" s="1" t="str">
        <f>IFERROR(IF(Final_Sans_VGE[[#This Row],[ppn_z]]="","",IFERROR(
   IF(_xlfn.XLOOKUP(Final_Sans_VGE[[#This Row],[ppn_z]],tbl_Historique_Final[[#This Row],[ppn_z]],tbl_Historique_Final[[#This Row],[date_modif]])=Final_Sans_VGE[[#This Row],[date_modif]],
      "Ancien",
      "Modifié"),
   "Nouveau")),"")</f>
        <v/>
      </c>
    </row>
    <row r="8639" spans="24:30" x14ac:dyDescent="0.25">
      <c r="X8639" s="8" t="e">
        <f>IF(Final_Sans_VGE[[#This Row],[ppn_z]]="","",IFERROR(
   IF(_xlfn.XLOOKUP(Final_Sans_VGE[[#This Row],[ppn_z]],tbl_Historique_Final[ppn_z],tbl_Historique_Final[date_modif])=Final_Sans_VGE[[#This Row],[date_modif]],
      "Ancien",
      "Modifié"),
   "Nouveau"))</f>
        <v>#VALUE!</v>
      </c>
      <c r="AD8639" s="1" t="str">
        <f>IFERROR(IF(Final_Sans_VGE[[#This Row],[ppn_z]]="","",IFERROR(
   IF(_xlfn.XLOOKUP(Final_Sans_VGE[[#This Row],[ppn_z]],tbl_Historique_Final[[#This Row],[ppn_z]],tbl_Historique_Final[[#This Row],[date_modif]])=Final_Sans_VGE[[#This Row],[date_modif]],
      "Ancien",
      "Modifié"),
   "Nouveau")),"")</f>
        <v/>
      </c>
    </row>
    <row r="8640" spans="24:30" x14ac:dyDescent="0.25">
      <c r="X8640" s="8" t="e">
        <f>IF(Final_Sans_VGE[[#This Row],[ppn_z]]="","",IFERROR(
   IF(_xlfn.XLOOKUP(Final_Sans_VGE[[#This Row],[ppn_z]],tbl_Historique_Final[ppn_z],tbl_Historique_Final[date_modif])=Final_Sans_VGE[[#This Row],[date_modif]],
      "Ancien",
      "Modifié"),
   "Nouveau"))</f>
        <v>#VALUE!</v>
      </c>
      <c r="AD8640" s="1" t="str">
        <f>IFERROR(IF(Final_Sans_VGE[[#This Row],[ppn_z]]="","",IFERROR(
   IF(_xlfn.XLOOKUP(Final_Sans_VGE[[#This Row],[ppn_z]],tbl_Historique_Final[[#This Row],[ppn_z]],tbl_Historique_Final[[#This Row],[date_modif]])=Final_Sans_VGE[[#This Row],[date_modif]],
      "Ancien",
      "Modifié"),
   "Nouveau")),"")</f>
        <v/>
      </c>
    </row>
    <row r="8641" spans="24:30" x14ac:dyDescent="0.25">
      <c r="X8641" s="8" t="e">
        <f>IF(Final_Sans_VGE[[#This Row],[ppn_z]]="","",IFERROR(
   IF(_xlfn.XLOOKUP(Final_Sans_VGE[[#This Row],[ppn_z]],tbl_Historique_Final[ppn_z],tbl_Historique_Final[date_modif])=Final_Sans_VGE[[#This Row],[date_modif]],
      "Ancien",
      "Modifié"),
   "Nouveau"))</f>
        <v>#VALUE!</v>
      </c>
      <c r="AD8641" s="1" t="str">
        <f>IFERROR(IF(Final_Sans_VGE[[#This Row],[ppn_z]]="","",IFERROR(
   IF(_xlfn.XLOOKUP(Final_Sans_VGE[[#This Row],[ppn_z]],tbl_Historique_Final[[#This Row],[ppn_z]],tbl_Historique_Final[[#This Row],[date_modif]])=Final_Sans_VGE[[#This Row],[date_modif]],
      "Ancien",
      "Modifié"),
   "Nouveau")),"")</f>
        <v/>
      </c>
    </row>
    <row r="8642" spans="24:30" x14ac:dyDescent="0.25">
      <c r="X8642" s="8" t="e">
        <f>IF(Final_Sans_VGE[[#This Row],[ppn_z]]="","",IFERROR(
   IF(_xlfn.XLOOKUP(Final_Sans_VGE[[#This Row],[ppn_z]],tbl_Historique_Final[ppn_z],tbl_Historique_Final[date_modif])=Final_Sans_VGE[[#This Row],[date_modif]],
      "Ancien",
      "Modifié"),
   "Nouveau"))</f>
        <v>#VALUE!</v>
      </c>
      <c r="AD8642" s="1" t="str">
        <f>IFERROR(IF(Final_Sans_VGE[[#This Row],[ppn_z]]="","",IFERROR(
   IF(_xlfn.XLOOKUP(Final_Sans_VGE[[#This Row],[ppn_z]],tbl_Historique_Final[[#This Row],[ppn_z]],tbl_Historique_Final[[#This Row],[date_modif]])=Final_Sans_VGE[[#This Row],[date_modif]],
      "Ancien",
      "Modifié"),
   "Nouveau")),"")</f>
        <v/>
      </c>
    </row>
    <row r="8643" spans="24:30" x14ac:dyDescent="0.25">
      <c r="X8643" s="8" t="e">
        <f>IF(Final_Sans_VGE[[#This Row],[ppn_z]]="","",IFERROR(
   IF(_xlfn.XLOOKUP(Final_Sans_VGE[[#This Row],[ppn_z]],tbl_Historique_Final[ppn_z],tbl_Historique_Final[date_modif])=Final_Sans_VGE[[#This Row],[date_modif]],
      "Ancien",
      "Modifié"),
   "Nouveau"))</f>
        <v>#VALUE!</v>
      </c>
      <c r="AD8643" s="1" t="str">
        <f>IFERROR(IF(Final_Sans_VGE[[#This Row],[ppn_z]]="","",IFERROR(
   IF(_xlfn.XLOOKUP(Final_Sans_VGE[[#This Row],[ppn_z]],tbl_Historique_Final[[#This Row],[ppn_z]],tbl_Historique_Final[[#This Row],[date_modif]])=Final_Sans_VGE[[#This Row],[date_modif]],
      "Ancien",
      "Modifié"),
   "Nouveau")),"")</f>
        <v/>
      </c>
    </row>
    <row r="8644" spans="24:30" x14ac:dyDescent="0.25">
      <c r="X8644" s="8" t="e">
        <f>IF(Final_Sans_VGE[[#This Row],[ppn_z]]="","",IFERROR(
   IF(_xlfn.XLOOKUP(Final_Sans_VGE[[#This Row],[ppn_z]],tbl_Historique_Final[ppn_z],tbl_Historique_Final[date_modif])=Final_Sans_VGE[[#This Row],[date_modif]],
      "Ancien",
      "Modifié"),
   "Nouveau"))</f>
        <v>#VALUE!</v>
      </c>
      <c r="AD8644" s="1" t="str">
        <f>IFERROR(IF(Final_Sans_VGE[[#This Row],[ppn_z]]="","",IFERROR(
   IF(_xlfn.XLOOKUP(Final_Sans_VGE[[#This Row],[ppn_z]],tbl_Historique_Final[[#This Row],[ppn_z]],tbl_Historique_Final[[#This Row],[date_modif]])=Final_Sans_VGE[[#This Row],[date_modif]],
      "Ancien",
      "Modifié"),
   "Nouveau")),"")</f>
        <v/>
      </c>
    </row>
    <row r="8645" spans="24:30" x14ac:dyDescent="0.25">
      <c r="X8645" s="8" t="e">
        <f>IF(Final_Sans_VGE[[#This Row],[ppn_z]]="","",IFERROR(
   IF(_xlfn.XLOOKUP(Final_Sans_VGE[[#This Row],[ppn_z]],tbl_Historique_Final[ppn_z],tbl_Historique_Final[date_modif])=Final_Sans_VGE[[#This Row],[date_modif]],
      "Ancien",
      "Modifié"),
   "Nouveau"))</f>
        <v>#VALUE!</v>
      </c>
      <c r="AD8645" s="1" t="str">
        <f>IFERROR(IF(Final_Sans_VGE[[#This Row],[ppn_z]]="","",IFERROR(
   IF(_xlfn.XLOOKUP(Final_Sans_VGE[[#This Row],[ppn_z]],tbl_Historique_Final[[#This Row],[ppn_z]],tbl_Historique_Final[[#This Row],[date_modif]])=Final_Sans_VGE[[#This Row],[date_modif]],
      "Ancien",
      "Modifié"),
   "Nouveau")),"")</f>
        <v/>
      </c>
    </row>
    <row r="8646" spans="24:30" x14ac:dyDescent="0.25">
      <c r="X8646" s="8" t="e">
        <f>IF(Final_Sans_VGE[[#This Row],[ppn_z]]="","",IFERROR(
   IF(_xlfn.XLOOKUP(Final_Sans_VGE[[#This Row],[ppn_z]],tbl_Historique_Final[ppn_z],tbl_Historique_Final[date_modif])=Final_Sans_VGE[[#This Row],[date_modif]],
      "Ancien",
      "Modifié"),
   "Nouveau"))</f>
        <v>#VALUE!</v>
      </c>
      <c r="AD8646" s="1" t="str">
        <f>IFERROR(IF(Final_Sans_VGE[[#This Row],[ppn_z]]="","",IFERROR(
   IF(_xlfn.XLOOKUP(Final_Sans_VGE[[#This Row],[ppn_z]],tbl_Historique_Final[[#This Row],[ppn_z]],tbl_Historique_Final[[#This Row],[date_modif]])=Final_Sans_VGE[[#This Row],[date_modif]],
      "Ancien",
      "Modifié"),
   "Nouveau")),"")</f>
        <v/>
      </c>
    </row>
    <row r="8647" spans="24:30" x14ac:dyDescent="0.25">
      <c r="X8647" s="8" t="e">
        <f>IF(Final_Sans_VGE[[#This Row],[ppn_z]]="","",IFERROR(
   IF(_xlfn.XLOOKUP(Final_Sans_VGE[[#This Row],[ppn_z]],tbl_Historique_Final[ppn_z],tbl_Historique_Final[date_modif])=Final_Sans_VGE[[#This Row],[date_modif]],
      "Ancien",
      "Modifié"),
   "Nouveau"))</f>
        <v>#VALUE!</v>
      </c>
      <c r="AD8647" s="1" t="str">
        <f>IFERROR(IF(Final_Sans_VGE[[#This Row],[ppn_z]]="","",IFERROR(
   IF(_xlfn.XLOOKUP(Final_Sans_VGE[[#This Row],[ppn_z]],tbl_Historique_Final[[#This Row],[ppn_z]],tbl_Historique_Final[[#This Row],[date_modif]])=Final_Sans_VGE[[#This Row],[date_modif]],
      "Ancien",
      "Modifié"),
   "Nouveau")),"")</f>
        <v/>
      </c>
    </row>
    <row r="8648" spans="24:30" x14ac:dyDescent="0.25">
      <c r="X8648" s="8" t="e">
        <f>IF(Final_Sans_VGE[[#This Row],[ppn_z]]="","",IFERROR(
   IF(_xlfn.XLOOKUP(Final_Sans_VGE[[#This Row],[ppn_z]],tbl_Historique_Final[ppn_z],tbl_Historique_Final[date_modif])=Final_Sans_VGE[[#This Row],[date_modif]],
      "Ancien",
      "Modifié"),
   "Nouveau"))</f>
        <v>#VALUE!</v>
      </c>
      <c r="AD8648" s="1" t="str">
        <f>IFERROR(IF(Final_Sans_VGE[[#This Row],[ppn_z]]="","",IFERROR(
   IF(_xlfn.XLOOKUP(Final_Sans_VGE[[#This Row],[ppn_z]],tbl_Historique_Final[[#This Row],[ppn_z]],tbl_Historique_Final[[#This Row],[date_modif]])=Final_Sans_VGE[[#This Row],[date_modif]],
      "Ancien",
      "Modifié"),
   "Nouveau")),"")</f>
        <v/>
      </c>
    </row>
    <row r="8649" spans="24:30" x14ac:dyDescent="0.25">
      <c r="X8649" s="8" t="e">
        <f>IF(Final_Sans_VGE[[#This Row],[ppn_z]]="","",IFERROR(
   IF(_xlfn.XLOOKUP(Final_Sans_VGE[[#This Row],[ppn_z]],tbl_Historique_Final[ppn_z],tbl_Historique_Final[date_modif])=Final_Sans_VGE[[#This Row],[date_modif]],
      "Ancien",
      "Modifié"),
   "Nouveau"))</f>
        <v>#VALUE!</v>
      </c>
      <c r="AD8649" s="1" t="str">
        <f>IFERROR(IF(Final_Sans_VGE[[#This Row],[ppn_z]]="","",IFERROR(
   IF(_xlfn.XLOOKUP(Final_Sans_VGE[[#This Row],[ppn_z]],tbl_Historique_Final[[#This Row],[ppn_z]],tbl_Historique_Final[[#This Row],[date_modif]])=Final_Sans_VGE[[#This Row],[date_modif]],
      "Ancien",
      "Modifié"),
   "Nouveau")),"")</f>
        <v/>
      </c>
    </row>
    <row r="8650" spans="24:30" x14ac:dyDescent="0.25">
      <c r="X8650" s="8" t="e">
        <f>IF(Final_Sans_VGE[[#This Row],[ppn_z]]="","",IFERROR(
   IF(_xlfn.XLOOKUP(Final_Sans_VGE[[#This Row],[ppn_z]],tbl_Historique_Final[ppn_z],tbl_Historique_Final[date_modif])=Final_Sans_VGE[[#This Row],[date_modif]],
      "Ancien",
      "Modifié"),
   "Nouveau"))</f>
        <v>#VALUE!</v>
      </c>
      <c r="AD8650" s="1" t="str">
        <f>IFERROR(IF(Final_Sans_VGE[[#This Row],[ppn_z]]="","",IFERROR(
   IF(_xlfn.XLOOKUP(Final_Sans_VGE[[#This Row],[ppn_z]],tbl_Historique_Final[[#This Row],[ppn_z]],tbl_Historique_Final[[#This Row],[date_modif]])=Final_Sans_VGE[[#This Row],[date_modif]],
      "Ancien",
      "Modifié"),
   "Nouveau")),"")</f>
        <v/>
      </c>
    </row>
    <row r="8651" spans="24:30" x14ac:dyDescent="0.25">
      <c r="X8651" s="8" t="e">
        <f>IF(Final_Sans_VGE[[#This Row],[ppn_z]]="","",IFERROR(
   IF(_xlfn.XLOOKUP(Final_Sans_VGE[[#This Row],[ppn_z]],tbl_Historique_Final[ppn_z],tbl_Historique_Final[date_modif])=Final_Sans_VGE[[#This Row],[date_modif]],
      "Ancien",
      "Modifié"),
   "Nouveau"))</f>
        <v>#VALUE!</v>
      </c>
      <c r="AD8651" s="1" t="str">
        <f>IFERROR(IF(Final_Sans_VGE[[#This Row],[ppn_z]]="","",IFERROR(
   IF(_xlfn.XLOOKUP(Final_Sans_VGE[[#This Row],[ppn_z]],tbl_Historique_Final[[#This Row],[ppn_z]],tbl_Historique_Final[[#This Row],[date_modif]])=Final_Sans_VGE[[#This Row],[date_modif]],
      "Ancien",
      "Modifié"),
   "Nouveau")),"")</f>
        <v/>
      </c>
    </row>
    <row r="8652" spans="24:30" x14ac:dyDescent="0.25">
      <c r="X8652" s="8" t="e">
        <f>IF(Final_Sans_VGE[[#This Row],[ppn_z]]="","",IFERROR(
   IF(_xlfn.XLOOKUP(Final_Sans_VGE[[#This Row],[ppn_z]],tbl_Historique_Final[ppn_z],tbl_Historique_Final[date_modif])=Final_Sans_VGE[[#This Row],[date_modif]],
      "Ancien",
      "Modifié"),
   "Nouveau"))</f>
        <v>#VALUE!</v>
      </c>
      <c r="AD8652" s="1" t="str">
        <f>IFERROR(IF(Final_Sans_VGE[[#This Row],[ppn_z]]="","",IFERROR(
   IF(_xlfn.XLOOKUP(Final_Sans_VGE[[#This Row],[ppn_z]],tbl_Historique_Final[[#This Row],[ppn_z]],tbl_Historique_Final[[#This Row],[date_modif]])=Final_Sans_VGE[[#This Row],[date_modif]],
      "Ancien",
      "Modifié"),
   "Nouveau")),"")</f>
        <v/>
      </c>
    </row>
    <row r="8653" spans="24:30" x14ac:dyDescent="0.25">
      <c r="X8653" s="8" t="e">
        <f>IF(Final_Sans_VGE[[#This Row],[ppn_z]]="","",IFERROR(
   IF(_xlfn.XLOOKUP(Final_Sans_VGE[[#This Row],[ppn_z]],tbl_Historique_Final[ppn_z],tbl_Historique_Final[date_modif])=Final_Sans_VGE[[#This Row],[date_modif]],
      "Ancien",
      "Modifié"),
   "Nouveau"))</f>
        <v>#VALUE!</v>
      </c>
      <c r="AD8653" s="1" t="str">
        <f>IFERROR(IF(Final_Sans_VGE[[#This Row],[ppn_z]]="","",IFERROR(
   IF(_xlfn.XLOOKUP(Final_Sans_VGE[[#This Row],[ppn_z]],tbl_Historique_Final[[#This Row],[ppn_z]],tbl_Historique_Final[[#This Row],[date_modif]])=Final_Sans_VGE[[#This Row],[date_modif]],
      "Ancien",
      "Modifié"),
   "Nouveau")),"")</f>
        <v/>
      </c>
    </row>
    <row r="8654" spans="24:30" x14ac:dyDescent="0.25">
      <c r="X8654" s="8" t="e">
        <f>IF(Final_Sans_VGE[[#This Row],[ppn_z]]="","",IFERROR(
   IF(_xlfn.XLOOKUP(Final_Sans_VGE[[#This Row],[ppn_z]],tbl_Historique_Final[ppn_z],tbl_Historique_Final[date_modif])=Final_Sans_VGE[[#This Row],[date_modif]],
      "Ancien",
      "Modifié"),
   "Nouveau"))</f>
        <v>#VALUE!</v>
      </c>
      <c r="AD8654" s="1" t="str">
        <f>IFERROR(IF(Final_Sans_VGE[[#This Row],[ppn_z]]="","",IFERROR(
   IF(_xlfn.XLOOKUP(Final_Sans_VGE[[#This Row],[ppn_z]],tbl_Historique_Final[[#This Row],[ppn_z]],tbl_Historique_Final[[#This Row],[date_modif]])=Final_Sans_VGE[[#This Row],[date_modif]],
      "Ancien",
      "Modifié"),
   "Nouveau")),"")</f>
        <v/>
      </c>
    </row>
    <row r="8655" spans="24:30" x14ac:dyDescent="0.25">
      <c r="X8655" s="8" t="e">
        <f>IF(Final_Sans_VGE[[#This Row],[ppn_z]]="","",IFERROR(
   IF(_xlfn.XLOOKUP(Final_Sans_VGE[[#This Row],[ppn_z]],tbl_Historique_Final[ppn_z],tbl_Historique_Final[date_modif])=Final_Sans_VGE[[#This Row],[date_modif]],
      "Ancien",
      "Modifié"),
   "Nouveau"))</f>
        <v>#VALUE!</v>
      </c>
      <c r="AD8655" s="1" t="str">
        <f>IFERROR(IF(Final_Sans_VGE[[#This Row],[ppn_z]]="","",IFERROR(
   IF(_xlfn.XLOOKUP(Final_Sans_VGE[[#This Row],[ppn_z]],tbl_Historique_Final[[#This Row],[ppn_z]],tbl_Historique_Final[[#This Row],[date_modif]])=Final_Sans_VGE[[#This Row],[date_modif]],
      "Ancien",
      "Modifié"),
   "Nouveau")),"")</f>
        <v/>
      </c>
    </row>
    <row r="8656" spans="24:30" x14ac:dyDescent="0.25">
      <c r="X8656" s="8" t="e">
        <f>IF(Final_Sans_VGE[[#This Row],[ppn_z]]="","",IFERROR(
   IF(_xlfn.XLOOKUP(Final_Sans_VGE[[#This Row],[ppn_z]],tbl_Historique_Final[ppn_z],tbl_Historique_Final[date_modif])=Final_Sans_VGE[[#This Row],[date_modif]],
      "Ancien",
      "Modifié"),
   "Nouveau"))</f>
        <v>#VALUE!</v>
      </c>
      <c r="AD8656" s="1" t="str">
        <f>IFERROR(IF(Final_Sans_VGE[[#This Row],[ppn_z]]="","",IFERROR(
   IF(_xlfn.XLOOKUP(Final_Sans_VGE[[#This Row],[ppn_z]],tbl_Historique_Final[[#This Row],[ppn_z]],tbl_Historique_Final[[#This Row],[date_modif]])=Final_Sans_VGE[[#This Row],[date_modif]],
      "Ancien",
      "Modifié"),
   "Nouveau")),"")</f>
        <v/>
      </c>
    </row>
    <row r="8657" spans="24:30" x14ac:dyDescent="0.25">
      <c r="X8657" s="8" t="e">
        <f>IF(Final_Sans_VGE[[#This Row],[ppn_z]]="","",IFERROR(
   IF(_xlfn.XLOOKUP(Final_Sans_VGE[[#This Row],[ppn_z]],tbl_Historique_Final[ppn_z],tbl_Historique_Final[date_modif])=Final_Sans_VGE[[#This Row],[date_modif]],
      "Ancien",
      "Modifié"),
   "Nouveau"))</f>
        <v>#VALUE!</v>
      </c>
      <c r="AD8657" s="1" t="str">
        <f>IFERROR(IF(Final_Sans_VGE[[#This Row],[ppn_z]]="","",IFERROR(
   IF(_xlfn.XLOOKUP(Final_Sans_VGE[[#This Row],[ppn_z]],tbl_Historique_Final[[#This Row],[ppn_z]],tbl_Historique_Final[[#This Row],[date_modif]])=Final_Sans_VGE[[#This Row],[date_modif]],
      "Ancien",
      "Modifié"),
   "Nouveau")),"")</f>
        <v/>
      </c>
    </row>
    <row r="8658" spans="24:30" x14ac:dyDescent="0.25">
      <c r="X8658" s="8" t="e">
        <f>IF(Final_Sans_VGE[[#This Row],[ppn_z]]="","",IFERROR(
   IF(_xlfn.XLOOKUP(Final_Sans_VGE[[#This Row],[ppn_z]],tbl_Historique_Final[ppn_z],tbl_Historique_Final[date_modif])=Final_Sans_VGE[[#This Row],[date_modif]],
      "Ancien",
      "Modifié"),
   "Nouveau"))</f>
        <v>#VALUE!</v>
      </c>
      <c r="AD8658" s="1" t="str">
        <f>IFERROR(IF(Final_Sans_VGE[[#This Row],[ppn_z]]="","",IFERROR(
   IF(_xlfn.XLOOKUP(Final_Sans_VGE[[#This Row],[ppn_z]],tbl_Historique_Final[[#This Row],[ppn_z]],tbl_Historique_Final[[#This Row],[date_modif]])=Final_Sans_VGE[[#This Row],[date_modif]],
      "Ancien",
      "Modifié"),
   "Nouveau")),"")</f>
        <v/>
      </c>
    </row>
    <row r="8659" spans="24:30" x14ac:dyDescent="0.25">
      <c r="X8659" s="8" t="e">
        <f>IF(Final_Sans_VGE[[#This Row],[ppn_z]]="","",IFERROR(
   IF(_xlfn.XLOOKUP(Final_Sans_VGE[[#This Row],[ppn_z]],tbl_Historique_Final[ppn_z],tbl_Historique_Final[date_modif])=Final_Sans_VGE[[#This Row],[date_modif]],
      "Ancien",
      "Modifié"),
   "Nouveau"))</f>
        <v>#VALUE!</v>
      </c>
      <c r="AD8659" s="1" t="str">
        <f>IFERROR(IF(Final_Sans_VGE[[#This Row],[ppn_z]]="","",IFERROR(
   IF(_xlfn.XLOOKUP(Final_Sans_VGE[[#This Row],[ppn_z]],tbl_Historique_Final[[#This Row],[ppn_z]],tbl_Historique_Final[[#This Row],[date_modif]])=Final_Sans_VGE[[#This Row],[date_modif]],
      "Ancien",
      "Modifié"),
   "Nouveau")),"")</f>
        <v/>
      </c>
    </row>
    <row r="8660" spans="24:30" x14ac:dyDescent="0.25">
      <c r="X8660" s="8" t="e">
        <f>IF(Final_Sans_VGE[[#This Row],[ppn_z]]="","",IFERROR(
   IF(_xlfn.XLOOKUP(Final_Sans_VGE[[#This Row],[ppn_z]],tbl_Historique_Final[ppn_z],tbl_Historique_Final[date_modif])=Final_Sans_VGE[[#This Row],[date_modif]],
      "Ancien",
      "Modifié"),
   "Nouveau"))</f>
        <v>#VALUE!</v>
      </c>
      <c r="AD8660" s="1" t="str">
        <f>IFERROR(IF(Final_Sans_VGE[[#This Row],[ppn_z]]="","",IFERROR(
   IF(_xlfn.XLOOKUP(Final_Sans_VGE[[#This Row],[ppn_z]],tbl_Historique_Final[[#This Row],[ppn_z]],tbl_Historique_Final[[#This Row],[date_modif]])=Final_Sans_VGE[[#This Row],[date_modif]],
      "Ancien",
      "Modifié"),
   "Nouveau")),"")</f>
        <v/>
      </c>
    </row>
    <row r="8661" spans="24:30" x14ac:dyDescent="0.25">
      <c r="X8661" s="8" t="e">
        <f>IF(Final_Sans_VGE[[#This Row],[ppn_z]]="","",IFERROR(
   IF(_xlfn.XLOOKUP(Final_Sans_VGE[[#This Row],[ppn_z]],tbl_Historique_Final[ppn_z],tbl_Historique_Final[date_modif])=Final_Sans_VGE[[#This Row],[date_modif]],
      "Ancien",
      "Modifié"),
   "Nouveau"))</f>
        <v>#VALUE!</v>
      </c>
      <c r="AD8661" s="1" t="str">
        <f>IFERROR(IF(Final_Sans_VGE[[#This Row],[ppn_z]]="","",IFERROR(
   IF(_xlfn.XLOOKUP(Final_Sans_VGE[[#This Row],[ppn_z]],tbl_Historique_Final[[#This Row],[ppn_z]],tbl_Historique_Final[[#This Row],[date_modif]])=Final_Sans_VGE[[#This Row],[date_modif]],
      "Ancien",
      "Modifié"),
   "Nouveau")),"")</f>
        <v/>
      </c>
    </row>
    <row r="8662" spans="24:30" x14ac:dyDescent="0.25">
      <c r="X8662" s="8" t="e">
        <f>IF(Final_Sans_VGE[[#This Row],[ppn_z]]="","",IFERROR(
   IF(_xlfn.XLOOKUP(Final_Sans_VGE[[#This Row],[ppn_z]],tbl_Historique_Final[ppn_z],tbl_Historique_Final[date_modif])=Final_Sans_VGE[[#This Row],[date_modif]],
      "Ancien",
      "Modifié"),
   "Nouveau"))</f>
        <v>#VALUE!</v>
      </c>
      <c r="AD8662" s="1" t="str">
        <f>IFERROR(IF(Final_Sans_VGE[[#This Row],[ppn_z]]="","",IFERROR(
   IF(_xlfn.XLOOKUP(Final_Sans_VGE[[#This Row],[ppn_z]],tbl_Historique_Final[[#This Row],[ppn_z]],tbl_Historique_Final[[#This Row],[date_modif]])=Final_Sans_VGE[[#This Row],[date_modif]],
      "Ancien",
      "Modifié"),
   "Nouveau")),"")</f>
        <v/>
      </c>
    </row>
    <row r="8663" spans="24:30" x14ac:dyDescent="0.25">
      <c r="X8663" s="8" t="e">
        <f>IF(Final_Sans_VGE[[#This Row],[ppn_z]]="","",IFERROR(
   IF(_xlfn.XLOOKUP(Final_Sans_VGE[[#This Row],[ppn_z]],tbl_Historique_Final[ppn_z],tbl_Historique_Final[date_modif])=Final_Sans_VGE[[#This Row],[date_modif]],
      "Ancien",
      "Modifié"),
   "Nouveau"))</f>
        <v>#VALUE!</v>
      </c>
      <c r="AD8663" s="1" t="str">
        <f>IFERROR(IF(Final_Sans_VGE[[#This Row],[ppn_z]]="","",IFERROR(
   IF(_xlfn.XLOOKUP(Final_Sans_VGE[[#This Row],[ppn_z]],tbl_Historique_Final[[#This Row],[ppn_z]],tbl_Historique_Final[[#This Row],[date_modif]])=Final_Sans_VGE[[#This Row],[date_modif]],
      "Ancien",
      "Modifié"),
   "Nouveau")),"")</f>
        <v/>
      </c>
    </row>
    <row r="8664" spans="24:30" x14ac:dyDescent="0.25">
      <c r="X8664" s="8" t="e">
        <f>IF(Final_Sans_VGE[[#This Row],[ppn_z]]="","",IFERROR(
   IF(_xlfn.XLOOKUP(Final_Sans_VGE[[#This Row],[ppn_z]],tbl_Historique_Final[ppn_z],tbl_Historique_Final[date_modif])=Final_Sans_VGE[[#This Row],[date_modif]],
      "Ancien",
      "Modifié"),
   "Nouveau"))</f>
        <v>#VALUE!</v>
      </c>
      <c r="AD8664" s="1" t="str">
        <f>IFERROR(IF(Final_Sans_VGE[[#This Row],[ppn_z]]="","",IFERROR(
   IF(_xlfn.XLOOKUP(Final_Sans_VGE[[#This Row],[ppn_z]],tbl_Historique_Final[[#This Row],[ppn_z]],tbl_Historique_Final[[#This Row],[date_modif]])=Final_Sans_VGE[[#This Row],[date_modif]],
      "Ancien",
      "Modifié"),
   "Nouveau")),"")</f>
        <v/>
      </c>
    </row>
    <row r="8665" spans="24:30" x14ac:dyDescent="0.25">
      <c r="X8665" s="8" t="e">
        <f>IF(Final_Sans_VGE[[#This Row],[ppn_z]]="","",IFERROR(
   IF(_xlfn.XLOOKUP(Final_Sans_VGE[[#This Row],[ppn_z]],tbl_Historique_Final[ppn_z],tbl_Historique_Final[date_modif])=Final_Sans_VGE[[#This Row],[date_modif]],
      "Ancien",
      "Modifié"),
   "Nouveau"))</f>
        <v>#VALUE!</v>
      </c>
      <c r="AD8665" s="1" t="str">
        <f>IFERROR(IF(Final_Sans_VGE[[#This Row],[ppn_z]]="","",IFERROR(
   IF(_xlfn.XLOOKUP(Final_Sans_VGE[[#This Row],[ppn_z]],tbl_Historique_Final[[#This Row],[ppn_z]],tbl_Historique_Final[[#This Row],[date_modif]])=Final_Sans_VGE[[#This Row],[date_modif]],
      "Ancien",
      "Modifié"),
   "Nouveau")),"")</f>
        <v/>
      </c>
    </row>
    <row r="8666" spans="24:30" x14ac:dyDescent="0.25">
      <c r="X8666" s="8" t="e">
        <f>IF(Final_Sans_VGE[[#This Row],[ppn_z]]="","",IFERROR(
   IF(_xlfn.XLOOKUP(Final_Sans_VGE[[#This Row],[ppn_z]],tbl_Historique_Final[ppn_z],tbl_Historique_Final[date_modif])=Final_Sans_VGE[[#This Row],[date_modif]],
      "Ancien",
      "Modifié"),
   "Nouveau"))</f>
        <v>#VALUE!</v>
      </c>
      <c r="AD8666" s="1" t="str">
        <f>IFERROR(IF(Final_Sans_VGE[[#This Row],[ppn_z]]="","",IFERROR(
   IF(_xlfn.XLOOKUP(Final_Sans_VGE[[#This Row],[ppn_z]],tbl_Historique_Final[[#This Row],[ppn_z]],tbl_Historique_Final[[#This Row],[date_modif]])=Final_Sans_VGE[[#This Row],[date_modif]],
      "Ancien",
      "Modifié"),
   "Nouveau")),"")</f>
        <v/>
      </c>
    </row>
    <row r="8667" spans="24:30" x14ac:dyDescent="0.25">
      <c r="X8667" s="8" t="e">
        <f>IF(Final_Sans_VGE[[#This Row],[ppn_z]]="","",IFERROR(
   IF(_xlfn.XLOOKUP(Final_Sans_VGE[[#This Row],[ppn_z]],tbl_Historique_Final[ppn_z],tbl_Historique_Final[date_modif])=Final_Sans_VGE[[#This Row],[date_modif]],
      "Ancien",
      "Modifié"),
   "Nouveau"))</f>
        <v>#VALUE!</v>
      </c>
      <c r="AD8667" s="1" t="str">
        <f>IFERROR(IF(Final_Sans_VGE[[#This Row],[ppn_z]]="","",IFERROR(
   IF(_xlfn.XLOOKUP(Final_Sans_VGE[[#This Row],[ppn_z]],tbl_Historique_Final[[#This Row],[ppn_z]],tbl_Historique_Final[[#This Row],[date_modif]])=Final_Sans_VGE[[#This Row],[date_modif]],
      "Ancien",
      "Modifié"),
   "Nouveau")),"")</f>
        <v/>
      </c>
    </row>
    <row r="8668" spans="24:30" x14ac:dyDescent="0.25">
      <c r="X8668" s="8" t="e">
        <f>IF(Final_Sans_VGE[[#This Row],[ppn_z]]="","",IFERROR(
   IF(_xlfn.XLOOKUP(Final_Sans_VGE[[#This Row],[ppn_z]],tbl_Historique_Final[ppn_z],tbl_Historique_Final[date_modif])=Final_Sans_VGE[[#This Row],[date_modif]],
      "Ancien",
      "Modifié"),
   "Nouveau"))</f>
        <v>#VALUE!</v>
      </c>
      <c r="AD8668" s="1" t="str">
        <f>IFERROR(IF(Final_Sans_VGE[[#This Row],[ppn_z]]="","",IFERROR(
   IF(_xlfn.XLOOKUP(Final_Sans_VGE[[#This Row],[ppn_z]],tbl_Historique_Final[[#This Row],[ppn_z]],tbl_Historique_Final[[#This Row],[date_modif]])=Final_Sans_VGE[[#This Row],[date_modif]],
      "Ancien",
      "Modifié"),
   "Nouveau")),"")</f>
        <v/>
      </c>
    </row>
    <row r="8669" spans="24:30" x14ac:dyDescent="0.25">
      <c r="X8669" s="8" t="e">
        <f>IF(Final_Sans_VGE[[#This Row],[ppn_z]]="","",IFERROR(
   IF(_xlfn.XLOOKUP(Final_Sans_VGE[[#This Row],[ppn_z]],tbl_Historique_Final[ppn_z],tbl_Historique_Final[date_modif])=Final_Sans_VGE[[#This Row],[date_modif]],
      "Ancien",
      "Modifié"),
   "Nouveau"))</f>
        <v>#VALUE!</v>
      </c>
      <c r="AD8669" s="1" t="str">
        <f>IFERROR(IF(Final_Sans_VGE[[#This Row],[ppn_z]]="","",IFERROR(
   IF(_xlfn.XLOOKUP(Final_Sans_VGE[[#This Row],[ppn_z]],tbl_Historique_Final[[#This Row],[ppn_z]],tbl_Historique_Final[[#This Row],[date_modif]])=Final_Sans_VGE[[#This Row],[date_modif]],
      "Ancien",
      "Modifié"),
   "Nouveau")),"")</f>
        <v/>
      </c>
    </row>
    <row r="8670" spans="24:30" x14ac:dyDescent="0.25">
      <c r="X8670" s="8" t="e">
        <f>IF(Final_Sans_VGE[[#This Row],[ppn_z]]="","",IFERROR(
   IF(_xlfn.XLOOKUP(Final_Sans_VGE[[#This Row],[ppn_z]],tbl_Historique_Final[ppn_z],tbl_Historique_Final[date_modif])=Final_Sans_VGE[[#This Row],[date_modif]],
      "Ancien",
      "Modifié"),
   "Nouveau"))</f>
        <v>#VALUE!</v>
      </c>
      <c r="AD8670" s="1" t="str">
        <f>IFERROR(IF(Final_Sans_VGE[[#This Row],[ppn_z]]="","",IFERROR(
   IF(_xlfn.XLOOKUP(Final_Sans_VGE[[#This Row],[ppn_z]],tbl_Historique_Final[[#This Row],[ppn_z]],tbl_Historique_Final[[#This Row],[date_modif]])=Final_Sans_VGE[[#This Row],[date_modif]],
      "Ancien",
      "Modifié"),
   "Nouveau")),"")</f>
        <v/>
      </c>
    </row>
    <row r="8671" spans="24:30" x14ac:dyDescent="0.25">
      <c r="X8671" s="8" t="e">
        <f>IF(Final_Sans_VGE[[#This Row],[ppn_z]]="","",IFERROR(
   IF(_xlfn.XLOOKUP(Final_Sans_VGE[[#This Row],[ppn_z]],tbl_Historique_Final[ppn_z],tbl_Historique_Final[date_modif])=Final_Sans_VGE[[#This Row],[date_modif]],
      "Ancien",
      "Modifié"),
   "Nouveau"))</f>
        <v>#VALUE!</v>
      </c>
      <c r="AD8671" s="1" t="str">
        <f>IFERROR(IF(Final_Sans_VGE[[#This Row],[ppn_z]]="","",IFERROR(
   IF(_xlfn.XLOOKUP(Final_Sans_VGE[[#This Row],[ppn_z]],tbl_Historique_Final[[#This Row],[ppn_z]],tbl_Historique_Final[[#This Row],[date_modif]])=Final_Sans_VGE[[#This Row],[date_modif]],
      "Ancien",
      "Modifié"),
   "Nouveau")),"")</f>
        <v/>
      </c>
    </row>
    <row r="8672" spans="24:30" x14ac:dyDescent="0.25">
      <c r="X8672" s="8" t="e">
        <f>IF(Final_Sans_VGE[[#This Row],[ppn_z]]="","",IFERROR(
   IF(_xlfn.XLOOKUP(Final_Sans_VGE[[#This Row],[ppn_z]],tbl_Historique_Final[ppn_z],tbl_Historique_Final[date_modif])=Final_Sans_VGE[[#This Row],[date_modif]],
      "Ancien",
      "Modifié"),
   "Nouveau"))</f>
        <v>#VALUE!</v>
      </c>
      <c r="AD8672" s="1" t="str">
        <f>IFERROR(IF(Final_Sans_VGE[[#This Row],[ppn_z]]="","",IFERROR(
   IF(_xlfn.XLOOKUP(Final_Sans_VGE[[#This Row],[ppn_z]],tbl_Historique_Final[[#This Row],[ppn_z]],tbl_Historique_Final[[#This Row],[date_modif]])=Final_Sans_VGE[[#This Row],[date_modif]],
      "Ancien",
      "Modifié"),
   "Nouveau")),"")</f>
        <v/>
      </c>
    </row>
    <row r="8673" spans="24:30" x14ac:dyDescent="0.25">
      <c r="X8673" s="8" t="e">
        <f>IF(Final_Sans_VGE[[#This Row],[ppn_z]]="","",IFERROR(
   IF(_xlfn.XLOOKUP(Final_Sans_VGE[[#This Row],[ppn_z]],tbl_Historique_Final[ppn_z],tbl_Historique_Final[date_modif])=Final_Sans_VGE[[#This Row],[date_modif]],
      "Ancien",
      "Modifié"),
   "Nouveau"))</f>
        <v>#VALUE!</v>
      </c>
      <c r="AD8673" s="1" t="str">
        <f>IFERROR(IF(Final_Sans_VGE[[#This Row],[ppn_z]]="","",IFERROR(
   IF(_xlfn.XLOOKUP(Final_Sans_VGE[[#This Row],[ppn_z]],tbl_Historique_Final[[#This Row],[ppn_z]],tbl_Historique_Final[[#This Row],[date_modif]])=Final_Sans_VGE[[#This Row],[date_modif]],
      "Ancien",
      "Modifié"),
   "Nouveau")),"")</f>
        <v/>
      </c>
    </row>
    <row r="8674" spans="24:30" x14ac:dyDescent="0.25">
      <c r="X8674" s="8" t="e">
        <f>IF(Final_Sans_VGE[[#This Row],[ppn_z]]="","",IFERROR(
   IF(_xlfn.XLOOKUP(Final_Sans_VGE[[#This Row],[ppn_z]],tbl_Historique_Final[ppn_z],tbl_Historique_Final[date_modif])=Final_Sans_VGE[[#This Row],[date_modif]],
      "Ancien",
      "Modifié"),
   "Nouveau"))</f>
        <v>#VALUE!</v>
      </c>
      <c r="AD8674" s="1" t="str">
        <f>IFERROR(IF(Final_Sans_VGE[[#This Row],[ppn_z]]="","",IFERROR(
   IF(_xlfn.XLOOKUP(Final_Sans_VGE[[#This Row],[ppn_z]],tbl_Historique_Final[[#This Row],[ppn_z]],tbl_Historique_Final[[#This Row],[date_modif]])=Final_Sans_VGE[[#This Row],[date_modif]],
      "Ancien",
      "Modifié"),
   "Nouveau")),"")</f>
        <v/>
      </c>
    </row>
    <row r="8675" spans="24:30" x14ac:dyDescent="0.25">
      <c r="X8675" s="8" t="e">
        <f>IF(Final_Sans_VGE[[#This Row],[ppn_z]]="","",IFERROR(
   IF(_xlfn.XLOOKUP(Final_Sans_VGE[[#This Row],[ppn_z]],tbl_Historique_Final[ppn_z],tbl_Historique_Final[date_modif])=Final_Sans_VGE[[#This Row],[date_modif]],
      "Ancien",
      "Modifié"),
   "Nouveau"))</f>
        <v>#VALUE!</v>
      </c>
      <c r="AD8675" s="1" t="str">
        <f>IFERROR(IF(Final_Sans_VGE[[#This Row],[ppn_z]]="","",IFERROR(
   IF(_xlfn.XLOOKUP(Final_Sans_VGE[[#This Row],[ppn_z]],tbl_Historique_Final[[#This Row],[ppn_z]],tbl_Historique_Final[[#This Row],[date_modif]])=Final_Sans_VGE[[#This Row],[date_modif]],
      "Ancien",
      "Modifié"),
   "Nouveau")),"")</f>
        <v/>
      </c>
    </row>
    <row r="8676" spans="24:30" x14ac:dyDescent="0.25">
      <c r="X8676" s="8" t="e">
        <f>IF(Final_Sans_VGE[[#This Row],[ppn_z]]="","",IFERROR(
   IF(_xlfn.XLOOKUP(Final_Sans_VGE[[#This Row],[ppn_z]],tbl_Historique_Final[ppn_z],tbl_Historique_Final[date_modif])=Final_Sans_VGE[[#This Row],[date_modif]],
      "Ancien",
      "Modifié"),
   "Nouveau"))</f>
        <v>#VALUE!</v>
      </c>
      <c r="AD8676" s="1" t="str">
        <f>IFERROR(IF(Final_Sans_VGE[[#This Row],[ppn_z]]="","",IFERROR(
   IF(_xlfn.XLOOKUP(Final_Sans_VGE[[#This Row],[ppn_z]],tbl_Historique_Final[[#This Row],[ppn_z]],tbl_Historique_Final[[#This Row],[date_modif]])=Final_Sans_VGE[[#This Row],[date_modif]],
      "Ancien",
      "Modifié"),
   "Nouveau")),"")</f>
        <v/>
      </c>
    </row>
    <row r="8677" spans="24:30" x14ac:dyDescent="0.25">
      <c r="X8677" s="8" t="e">
        <f>IF(Final_Sans_VGE[[#This Row],[ppn_z]]="","",IFERROR(
   IF(_xlfn.XLOOKUP(Final_Sans_VGE[[#This Row],[ppn_z]],tbl_Historique_Final[ppn_z],tbl_Historique_Final[date_modif])=Final_Sans_VGE[[#This Row],[date_modif]],
      "Ancien",
      "Modifié"),
   "Nouveau"))</f>
        <v>#VALUE!</v>
      </c>
      <c r="AD8677" s="1" t="str">
        <f>IFERROR(IF(Final_Sans_VGE[[#This Row],[ppn_z]]="","",IFERROR(
   IF(_xlfn.XLOOKUP(Final_Sans_VGE[[#This Row],[ppn_z]],tbl_Historique_Final[[#This Row],[ppn_z]],tbl_Historique_Final[[#This Row],[date_modif]])=Final_Sans_VGE[[#This Row],[date_modif]],
      "Ancien",
      "Modifié"),
   "Nouveau")),"")</f>
        <v/>
      </c>
    </row>
    <row r="8678" spans="24:30" x14ac:dyDescent="0.25">
      <c r="X8678" s="8" t="e">
        <f>IF(Final_Sans_VGE[[#This Row],[ppn_z]]="","",IFERROR(
   IF(_xlfn.XLOOKUP(Final_Sans_VGE[[#This Row],[ppn_z]],tbl_Historique_Final[ppn_z],tbl_Historique_Final[date_modif])=Final_Sans_VGE[[#This Row],[date_modif]],
      "Ancien",
      "Modifié"),
   "Nouveau"))</f>
        <v>#VALUE!</v>
      </c>
      <c r="AD8678" s="1" t="str">
        <f>IFERROR(IF(Final_Sans_VGE[[#This Row],[ppn_z]]="","",IFERROR(
   IF(_xlfn.XLOOKUP(Final_Sans_VGE[[#This Row],[ppn_z]],tbl_Historique_Final[[#This Row],[ppn_z]],tbl_Historique_Final[[#This Row],[date_modif]])=Final_Sans_VGE[[#This Row],[date_modif]],
      "Ancien",
      "Modifié"),
   "Nouveau")),"")</f>
        <v/>
      </c>
    </row>
    <row r="8679" spans="24:30" x14ac:dyDescent="0.25">
      <c r="X8679" s="8" t="e">
        <f>IF(Final_Sans_VGE[[#This Row],[ppn_z]]="","",IFERROR(
   IF(_xlfn.XLOOKUP(Final_Sans_VGE[[#This Row],[ppn_z]],tbl_Historique_Final[ppn_z],tbl_Historique_Final[date_modif])=Final_Sans_VGE[[#This Row],[date_modif]],
      "Ancien",
      "Modifié"),
   "Nouveau"))</f>
        <v>#VALUE!</v>
      </c>
      <c r="AD8679" s="1" t="str">
        <f>IFERROR(IF(Final_Sans_VGE[[#This Row],[ppn_z]]="","",IFERROR(
   IF(_xlfn.XLOOKUP(Final_Sans_VGE[[#This Row],[ppn_z]],tbl_Historique_Final[[#This Row],[ppn_z]],tbl_Historique_Final[[#This Row],[date_modif]])=Final_Sans_VGE[[#This Row],[date_modif]],
      "Ancien",
      "Modifié"),
   "Nouveau")),"")</f>
        <v/>
      </c>
    </row>
    <row r="8680" spans="24:30" x14ac:dyDescent="0.25">
      <c r="X8680" s="8" t="e">
        <f>IF(Final_Sans_VGE[[#This Row],[ppn_z]]="","",IFERROR(
   IF(_xlfn.XLOOKUP(Final_Sans_VGE[[#This Row],[ppn_z]],tbl_Historique_Final[ppn_z],tbl_Historique_Final[date_modif])=Final_Sans_VGE[[#This Row],[date_modif]],
      "Ancien",
      "Modifié"),
   "Nouveau"))</f>
        <v>#VALUE!</v>
      </c>
      <c r="AD8680" s="1" t="str">
        <f>IFERROR(IF(Final_Sans_VGE[[#This Row],[ppn_z]]="","",IFERROR(
   IF(_xlfn.XLOOKUP(Final_Sans_VGE[[#This Row],[ppn_z]],tbl_Historique_Final[[#This Row],[ppn_z]],tbl_Historique_Final[[#This Row],[date_modif]])=Final_Sans_VGE[[#This Row],[date_modif]],
      "Ancien",
      "Modifié"),
   "Nouveau")),"")</f>
        <v/>
      </c>
    </row>
    <row r="8681" spans="24:30" x14ac:dyDescent="0.25">
      <c r="X8681" s="8" t="e">
        <f>IF(Final_Sans_VGE[[#This Row],[ppn_z]]="","",IFERROR(
   IF(_xlfn.XLOOKUP(Final_Sans_VGE[[#This Row],[ppn_z]],tbl_Historique_Final[ppn_z],tbl_Historique_Final[date_modif])=Final_Sans_VGE[[#This Row],[date_modif]],
      "Ancien",
      "Modifié"),
   "Nouveau"))</f>
        <v>#VALUE!</v>
      </c>
      <c r="AD8681" s="1" t="str">
        <f>IFERROR(IF(Final_Sans_VGE[[#This Row],[ppn_z]]="","",IFERROR(
   IF(_xlfn.XLOOKUP(Final_Sans_VGE[[#This Row],[ppn_z]],tbl_Historique_Final[[#This Row],[ppn_z]],tbl_Historique_Final[[#This Row],[date_modif]])=Final_Sans_VGE[[#This Row],[date_modif]],
      "Ancien",
      "Modifié"),
   "Nouveau")),"")</f>
        <v/>
      </c>
    </row>
    <row r="8682" spans="24:30" x14ac:dyDescent="0.25">
      <c r="X8682" s="8" t="e">
        <f>IF(Final_Sans_VGE[[#This Row],[ppn_z]]="","",IFERROR(
   IF(_xlfn.XLOOKUP(Final_Sans_VGE[[#This Row],[ppn_z]],tbl_Historique_Final[ppn_z],tbl_Historique_Final[date_modif])=Final_Sans_VGE[[#This Row],[date_modif]],
      "Ancien",
      "Modifié"),
   "Nouveau"))</f>
        <v>#VALUE!</v>
      </c>
      <c r="AD8682" s="1" t="str">
        <f>IFERROR(IF(Final_Sans_VGE[[#This Row],[ppn_z]]="","",IFERROR(
   IF(_xlfn.XLOOKUP(Final_Sans_VGE[[#This Row],[ppn_z]],tbl_Historique_Final[[#This Row],[ppn_z]],tbl_Historique_Final[[#This Row],[date_modif]])=Final_Sans_VGE[[#This Row],[date_modif]],
      "Ancien",
      "Modifié"),
   "Nouveau")),"")</f>
        <v/>
      </c>
    </row>
    <row r="8683" spans="24:30" x14ac:dyDescent="0.25">
      <c r="X8683" s="8" t="e">
        <f>IF(Final_Sans_VGE[[#This Row],[ppn_z]]="","",IFERROR(
   IF(_xlfn.XLOOKUP(Final_Sans_VGE[[#This Row],[ppn_z]],tbl_Historique_Final[ppn_z],tbl_Historique_Final[date_modif])=Final_Sans_VGE[[#This Row],[date_modif]],
      "Ancien",
      "Modifié"),
   "Nouveau"))</f>
        <v>#VALUE!</v>
      </c>
      <c r="AD8683" s="1" t="str">
        <f>IFERROR(IF(Final_Sans_VGE[[#This Row],[ppn_z]]="","",IFERROR(
   IF(_xlfn.XLOOKUP(Final_Sans_VGE[[#This Row],[ppn_z]],tbl_Historique_Final[[#This Row],[ppn_z]],tbl_Historique_Final[[#This Row],[date_modif]])=Final_Sans_VGE[[#This Row],[date_modif]],
      "Ancien",
      "Modifié"),
   "Nouveau")),"")</f>
        <v/>
      </c>
    </row>
    <row r="8684" spans="24:30" x14ac:dyDescent="0.25">
      <c r="X8684" s="8" t="e">
        <f>IF(Final_Sans_VGE[[#This Row],[ppn_z]]="","",IFERROR(
   IF(_xlfn.XLOOKUP(Final_Sans_VGE[[#This Row],[ppn_z]],tbl_Historique_Final[ppn_z],tbl_Historique_Final[date_modif])=Final_Sans_VGE[[#This Row],[date_modif]],
      "Ancien",
      "Modifié"),
   "Nouveau"))</f>
        <v>#VALUE!</v>
      </c>
      <c r="AD8684" s="1" t="str">
        <f>IFERROR(IF(Final_Sans_VGE[[#This Row],[ppn_z]]="","",IFERROR(
   IF(_xlfn.XLOOKUP(Final_Sans_VGE[[#This Row],[ppn_z]],tbl_Historique_Final[[#This Row],[ppn_z]],tbl_Historique_Final[[#This Row],[date_modif]])=Final_Sans_VGE[[#This Row],[date_modif]],
      "Ancien",
      "Modifié"),
   "Nouveau")),"")</f>
        <v/>
      </c>
    </row>
    <row r="8685" spans="24:30" x14ac:dyDescent="0.25">
      <c r="X8685" s="8" t="e">
        <f>IF(Final_Sans_VGE[[#This Row],[ppn_z]]="","",IFERROR(
   IF(_xlfn.XLOOKUP(Final_Sans_VGE[[#This Row],[ppn_z]],tbl_Historique_Final[ppn_z],tbl_Historique_Final[date_modif])=Final_Sans_VGE[[#This Row],[date_modif]],
      "Ancien",
      "Modifié"),
   "Nouveau"))</f>
        <v>#VALUE!</v>
      </c>
      <c r="AD8685" s="1" t="str">
        <f>IFERROR(IF(Final_Sans_VGE[[#This Row],[ppn_z]]="","",IFERROR(
   IF(_xlfn.XLOOKUP(Final_Sans_VGE[[#This Row],[ppn_z]],tbl_Historique_Final[[#This Row],[ppn_z]],tbl_Historique_Final[[#This Row],[date_modif]])=Final_Sans_VGE[[#This Row],[date_modif]],
      "Ancien",
      "Modifié"),
   "Nouveau")),"")</f>
        <v/>
      </c>
    </row>
    <row r="8686" spans="24:30" x14ac:dyDescent="0.25">
      <c r="X8686" s="8" t="e">
        <f>IF(Final_Sans_VGE[[#This Row],[ppn_z]]="","",IFERROR(
   IF(_xlfn.XLOOKUP(Final_Sans_VGE[[#This Row],[ppn_z]],tbl_Historique_Final[ppn_z],tbl_Historique_Final[date_modif])=Final_Sans_VGE[[#This Row],[date_modif]],
      "Ancien",
      "Modifié"),
   "Nouveau"))</f>
        <v>#VALUE!</v>
      </c>
      <c r="AD8686" s="1" t="str">
        <f>IFERROR(IF(Final_Sans_VGE[[#This Row],[ppn_z]]="","",IFERROR(
   IF(_xlfn.XLOOKUP(Final_Sans_VGE[[#This Row],[ppn_z]],tbl_Historique_Final[[#This Row],[ppn_z]],tbl_Historique_Final[[#This Row],[date_modif]])=Final_Sans_VGE[[#This Row],[date_modif]],
      "Ancien",
      "Modifié"),
   "Nouveau")),"")</f>
        <v/>
      </c>
    </row>
    <row r="8687" spans="24:30" x14ac:dyDescent="0.25">
      <c r="X8687" s="8" t="e">
        <f>IF(Final_Sans_VGE[[#This Row],[ppn_z]]="","",IFERROR(
   IF(_xlfn.XLOOKUP(Final_Sans_VGE[[#This Row],[ppn_z]],tbl_Historique_Final[ppn_z],tbl_Historique_Final[date_modif])=Final_Sans_VGE[[#This Row],[date_modif]],
      "Ancien",
      "Modifié"),
   "Nouveau"))</f>
        <v>#VALUE!</v>
      </c>
      <c r="AD8687" s="1" t="str">
        <f>IFERROR(IF(Final_Sans_VGE[[#This Row],[ppn_z]]="","",IFERROR(
   IF(_xlfn.XLOOKUP(Final_Sans_VGE[[#This Row],[ppn_z]],tbl_Historique_Final[[#This Row],[ppn_z]],tbl_Historique_Final[[#This Row],[date_modif]])=Final_Sans_VGE[[#This Row],[date_modif]],
      "Ancien",
      "Modifié"),
   "Nouveau")),"")</f>
        <v/>
      </c>
    </row>
    <row r="8688" spans="24:30" x14ac:dyDescent="0.25">
      <c r="X8688" s="8" t="e">
        <f>IF(Final_Sans_VGE[[#This Row],[ppn_z]]="","",IFERROR(
   IF(_xlfn.XLOOKUP(Final_Sans_VGE[[#This Row],[ppn_z]],tbl_Historique_Final[ppn_z],tbl_Historique_Final[date_modif])=Final_Sans_VGE[[#This Row],[date_modif]],
      "Ancien",
      "Modifié"),
   "Nouveau"))</f>
        <v>#VALUE!</v>
      </c>
      <c r="AD8688" s="1" t="str">
        <f>IFERROR(IF(Final_Sans_VGE[[#This Row],[ppn_z]]="","",IFERROR(
   IF(_xlfn.XLOOKUP(Final_Sans_VGE[[#This Row],[ppn_z]],tbl_Historique_Final[[#This Row],[ppn_z]],tbl_Historique_Final[[#This Row],[date_modif]])=Final_Sans_VGE[[#This Row],[date_modif]],
      "Ancien",
      "Modifié"),
   "Nouveau")),"")</f>
        <v/>
      </c>
    </row>
    <row r="8689" spans="24:30" x14ac:dyDescent="0.25">
      <c r="X8689" s="8" t="e">
        <f>IF(Final_Sans_VGE[[#This Row],[ppn_z]]="","",IFERROR(
   IF(_xlfn.XLOOKUP(Final_Sans_VGE[[#This Row],[ppn_z]],tbl_Historique_Final[ppn_z],tbl_Historique_Final[date_modif])=Final_Sans_VGE[[#This Row],[date_modif]],
      "Ancien",
      "Modifié"),
   "Nouveau"))</f>
        <v>#VALUE!</v>
      </c>
      <c r="AD8689" s="1" t="str">
        <f>IFERROR(IF(Final_Sans_VGE[[#This Row],[ppn_z]]="","",IFERROR(
   IF(_xlfn.XLOOKUP(Final_Sans_VGE[[#This Row],[ppn_z]],tbl_Historique_Final[[#This Row],[ppn_z]],tbl_Historique_Final[[#This Row],[date_modif]])=Final_Sans_VGE[[#This Row],[date_modif]],
      "Ancien",
      "Modifié"),
   "Nouveau")),"")</f>
        <v/>
      </c>
    </row>
    <row r="8690" spans="24:30" x14ac:dyDescent="0.25">
      <c r="X8690" s="8" t="e">
        <f>IF(Final_Sans_VGE[[#This Row],[ppn_z]]="","",IFERROR(
   IF(_xlfn.XLOOKUP(Final_Sans_VGE[[#This Row],[ppn_z]],tbl_Historique_Final[ppn_z],tbl_Historique_Final[date_modif])=Final_Sans_VGE[[#This Row],[date_modif]],
      "Ancien",
      "Modifié"),
   "Nouveau"))</f>
        <v>#VALUE!</v>
      </c>
      <c r="AD8690" s="1" t="str">
        <f>IFERROR(IF(Final_Sans_VGE[[#This Row],[ppn_z]]="","",IFERROR(
   IF(_xlfn.XLOOKUP(Final_Sans_VGE[[#This Row],[ppn_z]],tbl_Historique_Final[[#This Row],[ppn_z]],tbl_Historique_Final[[#This Row],[date_modif]])=Final_Sans_VGE[[#This Row],[date_modif]],
      "Ancien",
      "Modifié"),
   "Nouveau")),"")</f>
        <v/>
      </c>
    </row>
    <row r="8691" spans="24:30" x14ac:dyDescent="0.25">
      <c r="X8691" s="8" t="e">
        <f>IF(Final_Sans_VGE[[#This Row],[ppn_z]]="","",IFERROR(
   IF(_xlfn.XLOOKUP(Final_Sans_VGE[[#This Row],[ppn_z]],tbl_Historique_Final[ppn_z],tbl_Historique_Final[date_modif])=Final_Sans_VGE[[#This Row],[date_modif]],
      "Ancien",
      "Modifié"),
   "Nouveau"))</f>
        <v>#VALUE!</v>
      </c>
      <c r="AD8691" s="1" t="str">
        <f>IFERROR(IF(Final_Sans_VGE[[#This Row],[ppn_z]]="","",IFERROR(
   IF(_xlfn.XLOOKUP(Final_Sans_VGE[[#This Row],[ppn_z]],tbl_Historique_Final[[#This Row],[ppn_z]],tbl_Historique_Final[[#This Row],[date_modif]])=Final_Sans_VGE[[#This Row],[date_modif]],
      "Ancien",
      "Modifié"),
   "Nouveau")),"")</f>
        <v/>
      </c>
    </row>
    <row r="8692" spans="24:30" x14ac:dyDescent="0.25">
      <c r="X8692" s="8" t="e">
        <f>IF(Final_Sans_VGE[[#This Row],[ppn_z]]="","",IFERROR(
   IF(_xlfn.XLOOKUP(Final_Sans_VGE[[#This Row],[ppn_z]],tbl_Historique_Final[ppn_z],tbl_Historique_Final[date_modif])=Final_Sans_VGE[[#This Row],[date_modif]],
      "Ancien",
      "Modifié"),
   "Nouveau"))</f>
        <v>#VALUE!</v>
      </c>
      <c r="AD8692" s="1" t="str">
        <f>IFERROR(IF(Final_Sans_VGE[[#This Row],[ppn_z]]="","",IFERROR(
   IF(_xlfn.XLOOKUP(Final_Sans_VGE[[#This Row],[ppn_z]],tbl_Historique_Final[[#This Row],[ppn_z]],tbl_Historique_Final[[#This Row],[date_modif]])=Final_Sans_VGE[[#This Row],[date_modif]],
      "Ancien",
      "Modifié"),
   "Nouveau")),"")</f>
        <v/>
      </c>
    </row>
    <row r="8693" spans="24:30" x14ac:dyDescent="0.25">
      <c r="X8693" s="8" t="e">
        <f>IF(Final_Sans_VGE[[#This Row],[ppn_z]]="","",IFERROR(
   IF(_xlfn.XLOOKUP(Final_Sans_VGE[[#This Row],[ppn_z]],tbl_Historique_Final[ppn_z],tbl_Historique_Final[date_modif])=Final_Sans_VGE[[#This Row],[date_modif]],
      "Ancien",
      "Modifié"),
   "Nouveau"))</f>
        <v>#VALUE!</v>
      </c>
      <c r="AD8693" s="1" t="str">
        <f>IFERROR(IF(Final_Sans_VGE[[#This Row],[ppn_z]]="","",IFERROR(
   IF(_xlfn.XLOOKUP(Final_Sans_VGE[[#This Row],[ppn_z]],tbl_Historique_Final[[#This Row],[ppn_z]],tbl_Historique_Final[[#This Row],[date_modif]])=Final_Sans_VGE[[#This Row],[date_modif]],
      "Ancien",
      "Modifié"),
   "Nouveau")),"")</f>
        <v/>
      </c>
    </row>
    <row r="8694" spans="24:30" x14ac:dyDescent="0.25">
      <c r="X8694" s="8" t="e">
        <f>IF(Final_Sans_VGE[[#This Row],[ppn_z]]="","",IFERROR(
   IF(_xlfn.XLOOKUP(Final_Sans_VGE[[#This Row],[ppn_z]],tbl_Historique_Final[ppn_z],tbl_Historique_Final[date_modif])=Final_Sans_VGE[[#This Row],[date_modif]],
      "Ancien",
      "Modifié"),
   "Nouveau"))</f>
        <v>#VALUE!</v>
      </c>
      <c r="AD8694" s="1" t="str">
        <f>IFERROR(IF(Final_Sans_VGE[[#This Row],[ppn_z]]="","",IFERROR(
   IF(_xlfn.XLOOKUP(Final_Sans_VGE[[#This Row],[ppn_z]],tbl_Historique_Final[[#This Row],[ppn_z]],tbl_Historique_Final[[#This Row],[date_modif]])=Final_Sans_VGE[[#This Row],[date_modif]],
      "Ancien",
      "Modifié"),
   "Nouveau")),"")</f>
        <v/>
      </c>
    </row>
    <row r="8695" spans="24:30" x14ac:dyDescent="0.25">
      <c r="X8695" s="8" t="e">
        <f>IF(Final_Sans_VGE[[#This Row],[ppn_z]]="","",IFERROR(
   IF(_xlfn.XLOOKUP(Final_Sans_VGE[[#This Row],[ppn_z]],tbl_Historique_Final[ppn_z],tbl_Historique_Final[date_modif])=Final_Sans_VGE[[#This Row],[date_modif]],
      "Ancien",
      "Modifié"),
   "Nouveau"))</f>
        <v>#VALUE!</v>
      </c>
      <c r="AD8695" s="1" t="str">
        <f>IFERROR(IF(Final_Sans_VGE[[#This Row],[ppn_z]]="","",IFERROR(
   IF(_xlfn.XLOOKUP(Final_Sans_VGE[[#This Row],[ppn_z]],tbl_Historique_Final[[#This Row],[ppn_z]],tbl_Historique_Final[[#This Row],[date_modif]])=Final_Sans_VGE[[#This Row],[date_modif]],
      "Ancien",
      "Modifié"),
   "Nouveau")),"")</f>
        <v/>
      </c>
    </row>
    <row r="8696" spans="24:30" x14ac:dyDescent="0.25">
      <c r="X8696" s="8" t="e">
        <f>IF(Final_Sans_VGE[[#This Row],[ppn_z]]="","",IFERROR(
   IF(_xlfn.XLOOKUP(Final_Sans_VGE[[#This Row],[ppn_z]],tbl_Historique_Final[ppn_z],tbl_Historique_Final[date_modif])=Final_Sans_VGE[[#This Row],[date_modif]],
      "Ancien",
      "Modifié"),
   "Nouveau"))</f>
        <v>#VALUE!</v>
      </c>
      <c r="AD8696" s="1" t="str">
        <f>IFERROR(IF(Final_Sans_VGE[[#This Row],[ppn_z]]="","",IFERROR(
   IF(_xlfn.XLOOKUP(Final_Sans_VGE[[#This Row],[ppn_z]],tbl_Historique_Final[[#This Row],[ppn_z]],tbl_Historique_Final[[#This Row],[date_modif]])=Final_Sans_VGE[[#This Row],[date_modif]],
      "Ancien",
      "Modifié"),
   "Nouveau")),"")</f>
        <v/>
      </c>
    </row>
    <row r="8697" spans="24:30" x14ac:dyDescent="0.25">
      <c r="X8697" s="8" t="e">
        <f>IF(Final_Sans_VGE[[#This Row],[ppn_z]]="","",IFERROR(
   IF(_xlfn.XLOOKUP(Final_Sans_VGE[[#This Row],[ppn_z]],tbl_Historique_Final[ppn_z],tbl_Historique_Final[date_modif])=Final_Sans_VGE[[#This Row],[date_modif]],
      "Ancien",
      "Modifié"),
   "Nouveau"))</f>
        <v>#VALUE!</v>
      </c>
      <c r="AD8697" s="1" t="str">
        <f>IFERROR(IF(Final_Sans_VGE[[#This Row],[ppn_z]]="","",IFERROR(
   IF(_xlfn.XLOOKUP(Final_Sans_VGE[[#This Row],[ppn_z]],tbl_Historique_Final[[#This Row],[ppn_z]],tbl_Historique_Final[[#This Row],[date_modif]])=Final_Sans_VGE[[#This Row],[date_modif]],
      "Ancien",
      "Modifié"),
   "Nouveau")),"")</f>
        <v/>
      </c>
    </row>
    <row r="8698" spans="24:30" x14ac:dyDescent="0.25">
      <c r="X8698" s="8" t="e">
        <f>IF(Final_Sans_VGE[[#This Row],[ppn_z]]="","",IFERROR(
   IF(_xlfn.XLOOKUP(Final_Sans_VGE[[#This Row],[ppn_z]],tbl_Historique_Final[ppn_z],tbl_Historique_Final[date_modif])=Final_Sans_VGE[[#This Row],[date_modif]],
      "Ancien",
      "Modifié"),
   "Nouveau"))</f>
        <v>#VALUE!</v>
      </c>
      <c r="AD8698" s="1" t="str">
        <f>IFERROR(IF(Final_Sans_VGE[[#This Row],[ppn_z]]="","",IFERROR(
   IF(_xlfn.XLOOKUP(Final_Sans_VGE[[#This Row],[ppn_z]],tbl_Historique_Final[[#This Row],[ppn_z]],tbl_Historique_Final[[#This Row],[date_modif]])=Final_Sans_VGE[[#This Row],[date_modif]],
      "Ancien",
      "Modifié"),
   "Nouveau")),"")</f>
        <v/>
      </c>
    </row>
    <row r="8699" spans="24:30" x14ac:dyDescent="0.25">
      <c r="X8699" s="8" t="e">
        <f>IF(Final_Sans_VGE[[#This Row],[ppn_z]]="","",IFERROR(
   IF(_xlfn.XLOOKUP(Final_Sans_VGE[[#This Row],[ppn_z]],tbl_Historique_Final[ppn_z],tbl_Historique_Final[date_modif])=Final_Sans_VGE[[#This Row],[date_modif]],
      "Ancien",
      "Modifié"),
   "Nouveau"))</f>
        <v>#VALUE!</v>
      </c>
      <c r="AD8699" s="1" t="str">
        <f>IFERROR(IF(Final_Sans_VGE[[#This Row],[ppn_z]]="","",IFERROR(
   IF(_xlfn.XLOOKUP(Final_Sans_VGE[[#This Row],[ppn_z]],tbl_Historique_Final[[#This Row],[ppn_z]],tbl_Historique_Final[[#This Row],[date_modif]])=Final_Sans_VGE[[#This Row],[date_modif]],
      "Ancien",
      "Modifié"),
   "Nouveau")),"")</f>
        <v/>
      </c>
    </row>
    <row r="8700" spans="24:30" x14ac:dyDescent="0.25">
      <c r="X8700" s="8" t="e">
        <f>IF(Final_Sans_VGE[[#This Row],[ppn_z]]="","",IFERROR(
   IF(_xlfn.XLOOKUP(Final_Sans_VGE[[#This Row],[ppn_z]],tbl_Historique_Final[ppn_z],tbl_Historique_Final[date_modif])=Final_Sans_VGE[[#This Row],[date_modif]],
      "Ancien",
      "Modifié"),
   "Nouveau"))</f>
        <v>#VALUE!</v>
      </c>
      <c r="AD8700" s="1" t="str">
        <f>IFERROR(IF(Final_Sans_VGE[[#This Row],[ppn_z]]="","",IFERROR(
   IF(_xlfn.XLOOKUP(Final_Sans_VGE[[#This Row],[ppn_z]],tbl_Historique_Final[[#This Row],[ppn_z]],tbl_Historique_Final[[#This Row],[date_modif]])=Final_Sans_VGE[[#This Row],[date_modif]],
      "Ancien",
      "Modifié"),
   "Nouveau")),"")</f>
        <v/>
      </c>
    </row>
    <row r="8701" spans="24:30" x14ac:dyDescent="0.25">
      <c r="X8701" s="8" t="e">
        <f>IF(Final_Sans_VGE[[#This Row],[ppn_z]]="","",IFERROR(
   IF(_xlfn.XLOOKUP(Final_Sans_VGE[[#This Row],[ppn_z]],tbl_Historique_Final[ppn_z],tbl_Historique_Final[date_modif])=Final_Sans_VGE[[#This Row],[date_modif]],
      "Ancien",
      "Modifié"),
   "Nouveau"))</f>
        <v>#VALUE!</v>
      </c>
      <c r="AD8701" s="1" t="str">
        <f>IFERROR(IF(Final_Sans_VGE[[#This Row],[ppn_z]]="","",IFERROR(
   IF(_xlfn.XLOOKUP(Final_Sans_VGE[[#This Row],[ppn_z]],tbl_Historique_Final[[#This Row],[ppn_z]],tbl_Historique_Final[[#This Row],[date_modif]])=Final_Sans_VGE[[#This Row],[date_modif]],
      "Ancien",
      "Modifié"),
   "Nouveau")),"")</f>
        <v/>
      </c>
    </row>
    <row r="8702" spans="24:30" x14ac:dyDescent="0.25">
      <c r="X8702" s="8" t="e">
        <f>IF(Final_Sans_VGE[[#This Row],[ppn_z]]="","",IFERROR(
   IF(_xlfn.XLOOKUP(Final_Sans_VGE[[#This Row],[ppn_z]],tbl_Historique_Final[ppn_z],tbl_Historique_Final[date_modif])=Final_Sans_VGE[[#This Row],[date_modif]],
      "Ancien",
      "Modifié"),
   "Nouveau"))</f>
        <v>#VALUE!</v>
      </c>
      <c r="AD8702" s="1" t="str">
        <f>IFERROR(IF(Final_Sans_VGE[[#This Row],[ppn_z]]="","",IFERROR(
   IF(_xlfn.XLOOKUP(Final_Sans_VGE[[#This Row],[ppn_z]],tbl_Historique_Final[[#This Row],[ppn_z]],tbl_Historique_Final[[#This Row],[date_modif]])=Final_Sans_VGE[[#This Row],[date_modif]],
      "Ancien",
      "Modifié"),
   "Nouveau")),"")</f>
        <v/>
      </c>
    </row>
    <row r="8703" spans="24:30" x14ac:dyDescent="0.25">
      <c r="X8703" s="8" t="e">
        <f>IF(Final_Sans_VGE[[#This Row],[ppn_z]]="","",IFERROR(
   IF(_xlfn.XLOOKUP(Final_Sans_VGE[[#This Row],[ppn_z]],tbl_Historique_Final[ppn_z],tbl_Historique_Final[date_modif])=Final_Sans_VGE[[#This Row],[date_modif]],
      "Ancien",
      "Modifié"),
   "Nouveau"))</f>
        <v>#VALUE!</v>
      </c>
      <c r="AD8703" s="1" t="str">
        <f>IFERROR(IF(Final_Sans_VGE[[#This Row],[ppn_z]]="","",IFERROR(
   IF(_xlfn.XLOOKUP(Final_Sans_VGE[[#This Row],[ppn_z]],tbl_Historique_Final[[#This Row],[ppn_z]],tbl_Historique_Final[[#This Row],[date_modif]])=Final_Sans_VGE[[#This Row],[date_modif]],
      "Ancien",
      "Modifié"),
   "Nouveau")),"")</f>
        <v/>
      </c>
    </row>
    <row r="8704" spans="24:30" x14ac:dyDescent="0.25">
      <c r="X8704" s="8" t="e">
        <f>IF(Final_Sans_VGE[[#This Row],[ppn_z]]="","",IFERROR(
   IF(_xlfn.XLOOKUP(Final_Sans_VGE[[#This Row],[ppn_z]],tbl_Historique_Final[ppn_z],tbl_Historique_Final[date_modif])=Final_Sans_VGE[[#This Row],[date_modif]],
      "Ancien",
      "Modifié"),
   "Nouveau"))</f>
        <v>#VALUE!</v>
      </c>
      <c r="AD8704" s="1" t="str">
        <f>IFERROR(IF(Final_Sans_VGE[[#This Row],[ppn_z]]="","",IFERROR(
   IF(_xlfn.XLOOKUP(Final_Sans_VGE[[#This Row],[ppn_z]],tbl_Historique_Final[[#This Row],[ppn_z]],tbl_Historique_Final[[#This Row],[date_modif]])=Final_Sans_VGE[[#This Row],[date_modif]],
      "Ancien",
      "Modifié"),
   "Nouveau")),"")</f>
        <v/>
      </c>
    </row>
    <row r="8705" spans="24:30" x14ac:dyDescent="0.25">
      <c r="X8705" s="8" t="e">
        <f>IF(Final_Sans_VGE[[#This Row],[ppn_z]]="","",IFERROR(
   IF(_xlfn.XLOOKUP(Final_Sans_VGE[[#This Row],[ppn_z]],tbl_Historique_Final[ppn_z],tbl_Historique_Final[date_modif])=Final_Sans_VGE[[#This Row],[date_modif]],
      "Ancien",
      "Modifié"),
   "Nouveau"))</f>
        <v>#VALUE!</v>
      </c>
      <c r="AD8705" s="1" t="str">
        <f>IFERROR(IF(Final_Sans_VGE[[#This Row],[ppn_z]]="","",IFERROR(
   IF(_xlfn.XLOOKUP(Final_Sans_VGE[[#This Row],[ppn_z]],tbl_Historique_Final[[#This Row],[ppn_z]],tbl_Historique_Final[[#This Row],[date_modif]])=Final_Sans_VGE[[#This Row],[date_modif]],
      "Ancien",
      "Modifié"),
   "Nouveau")),"")</f>
        <v/>
      </c>
    </row>
    <row r="8706" spans="24:30" x14ac:dyDescent="0.25">
      <c r="X8706" s="8" t="e">
        <f>IF(Final_Sans_VGE[[#This Row],[ppn_z]]="","",IFERROR(
   IF(_xlfn.XLOOKUP(Final_Sans_VGE[[#This Row],[ppn_z]],tbl_Historique_Final[ppn_z],tbl_Historique_Final[date_modif])=Final_Sans_VGE[[#This Row],[date_modif]],
      "Ancien",
      "Modifié"),
   "Nouveau"))</f>
        <v>#VALUE!</v>
      </c>
      <c r="AD8706" s="1" t="str">
        <f>IFERROR(IF(Final_Sans_VGE[[#This Row],[ppn_z]]="","",IFERROR(
   IF(_xlfn.XLOOKUP(Final_Sans_VGE[[#This Row],[ppn_z]],tbl_Historique_Final[[#This Row],[ppn_z]],tbl_Historique_Final[[#This Row],[date_modif]])=Final_Sans_VGE[[#This Row],[date_modif]],
      "Ancien",
      "Modifié"),
   "Nouveau")),"")</f>
        <v/>
      </c>
    </row>
    <row r="8707" spans="24:30" x14ac:dyDescent="0.25">
      <c r="X8707" s="8" t="e">
        <f>IF(Final_Sans_VGE[[#This Row],[ppn_z]]="","",IFERROR(
   IF(_xlfn.XLOOKUP(Final_Sans_VGE[[#This Row],[ppn_z]],tbl_Historique_Final[ppn_z],tbl_Historique_Final[date_modif])=Final_Sans_VGE[[#This Row],[date_modif]],
      "Ancien",
      "Modifié"),
   "Nouveau"))</f>
        <v>#VALUE!</v>
      </c>
      <c r="AD8707" s="1" t="str">
        <f>IFERROR(IF(Final_Sans_VGE[[#This Row],[ppn_z]]="","",IFERROR(
   IF(_xlfn.XLOOKUP(Final_Sans_VGE[[#This Row],[ppn_z]],tbl_Historique_Final[[#This Row],[ppn_z]],tbl_Historique_Final[[#This Row],[date_modif]])=Final_Sans_VGE[[#This Row],[date_modif]],
      "Ancien",
      "Modifié"),
   "Nouveau")),"")</f>
        <v/>
      </c>
    </row>
    <row r="8708" spans="24:30" x14ac:dyDescent="0.25">
      <c r="X8708" s="8" t="e">
        <f>IF(Final_Sans_VGE[[#This Row],[ppn_z]]="","",IFERROR(
   IF(_xlfn.XLOOKUP(Final_Sans_VGE[[#This Row],[ppn_z]],tbl_Historique_Final[ppn_z],tbl_Historique_Final[date_modif])=Final_Sans_VGE[[#This Row],[date_modif]],
      "Ancien",
      "Modifié"),
   "Nouveau"))</f>
        <v>#VALUE!</v>
      </c>
      <c r="AD8708" s="1" t="str">
        <f>IFERROR(IF(Final_Sans_VGE[[#This Row],[ppn_z]]="","",IFERROR(
   IF(_xlfn.XLOOKUP(Final_Sans_VGE[[#This Row],[ppn_z]],tbl_Historique_Final[[#This Row],[ppn_z]],tbl_Historique_Final[[#This Row],[date_modif]])=Final_Sans_VGE[[#This Row],[date_modif]],
      "Ancien",
      "Modifié"),
   "Nouveau")),"")</f>
        <v/>
      </c>
    </row>
    <row r="8709" spans="24:30" x14ac:dyDescent="0.25">
      <c r="X8709" s="8" t="e">
        <f>IF(Final_Sans_VGE[[#This Row],[ppn_z]]="","",IFERROR(
   IF(_xlfn.XLOOKUP(Final_Sans_VGE[[#This Row],[ppn_z]],tbl_Historique_Final[ppn_z],tbl_Historique_Final[date_modif])=Final_Sans_VGE[[#This Row],[date_modif]],
      "Ancien",
      "Modifié"),
   "Nouveau"))</f>
        <v>#VALUE!</v>
      </c>
      <c r="AD8709" s="1" t="str">
        <f>IFERROR(IF(Final_Sans_VGE[[#This Row],[ppn_z]]="","",IFERROR(
   IF(_xlfn.XLOOKUP(Final_Sans_VGE[[#This Row],[ppn_z]],tbl_Historique_Final[[#This Row],[ppn_z]],tbl_Historique_Final[[#This Row],[date_modif]])=Final_Sans_VGE[[#This Row],[date_modif]],
      "Ancien",
      "Modifié"),
   "Nouveau")),"")</f>
        <v/>
      </c>
    </row>
    <row r="8710" spans="24:30" x14ac:dyDescent="0.25">
      <c r="X8710" s="8" t="e">
        <f>IF(Final_Sans_VGE[[#This Row],[ppn_z]]="","",IFERROR(
   IF(_xlfn.XLOOKUP(Final_Sans_VGE[[#This Row],[ppn_z]],tbl_Historique_Final[ppn_z],tbl_Historique_Final[date_modif])=Final_Sans_VGE[[#This Row],[date_modif]],
      "Ancien",
      "Modifié"),
   "Nouveau"))</f>
        <v>#VALUE!</v>
      </c>
      <c r="AD8710" s="1" t="str">
        <f>IFERROR(IF(Final_Sans_VGE[[#This Row],[ppn_z]]="","",IFERROR(
   IF(_xlfn.XLOOKUP(Final_Sans_VGE[[#This Row],[ppn_z]],tbl_Historique_Final[[#This Row],[ppn_z]],tbl_Historique_Final[[#This Row],[date_modif]])=Final_Sans_VGE[[#This Row],[date_modif]],
      "Ancien",
      "Modifié"),
   "Nouveau")),"")</f>
        <v/>
      </c>
    </row>
    <row r="8711" spans="24:30" x14ac:dyDescent="0.25">
      <c r="X8711" s="8" t="e">
        <f>IF(Final_Sans_VGE[[#This Row],[ppn_z]]="","",IFERROR(
   IF(_xlfn.XLOOKUP(Final_Sans_VGE[[#This Row],[ppn_z]],tbl_Historique_Final[ppn_z],tbl_Historique_Final[date_modif])=Final_Sans_VGE[[#This Row],[date_modif]],
      "Ancien",
      "Modifié"),
   "Nouveau"))</f>
        <v>#VALUE!</v>
      </c>
      <c r="AD8711" s="1" t="str">
        <f>IFERROR(IF(Final_Sans_VGE[[#This Row],[ppn_z]]="","",IFERROR(
   IF(_xlfn.XLOOKUP(Final_Sans_VGE[[#This Row],[ppn_z]],tbl_Historique_Final[[#This Row],[ppn_z]],tbl_Historique_Final[[#This Row],[date_modif]])=Final_Sans_VGE[[#This Row],[date_modif]],
      "Ancien",
      "Modifié"),
   "Nouveau")),"")</f>
        <v/>
      </c>
    </row>
    <row r="8712" spans="24:30" x14ac:dyDescent="0.25">
      <c r="X8712" s="8" t="e">
        <f>IF(Final_Sans_VGE[[#This Row],[ppn_z]]="","",IFERROR(
   IF(_xlfn.XLOOKUP(Final_Sans_VGE[[#This Row],[ppn_z]],tbl_Historique_Final[ppn_z],tbl_Historique_Final[date_modif])=Final_Sans_VGE[[#This Row],[date_modif]],
      "Ancien",
      "Modifié"),
   "Nouveau"))</f>
        <v>#VALUE!</v>
      </c>
      <c r="AD8712" s="1" t="str">
        <f>IFERROR(IF(Final_Sans_VGE[[#This Row],[ppn_z]]="","",IFERROR(
   IF(_xlfn.XLOOKUP(Final_Sans_VGE[[#This Row],[ppn_z]],tbl_Historique_Final[[#This Row],[ppn_z]],tbl_Historique_Final[[#This Row],[date_modif]])=Final_Sans_VGE[[#This Row],[date_modif]],
      "Ancien",
      "Modifié"),
   "Nouveau")),"")</f>
        <v/>
      </c>
    </row>
    <row r="8713" spans="24:30" x14ac:dyDescent="0.25">
      <c r="X8713" s="8" t="e">
        <f>IF(Final_Sans_VGE[[#This Row],[ppn_z]]="","",IFERROR(
   IF(_xlfn.XLOOKUP(Final_Sans_VGE[[#This Row],[ppn_z]],tbl_Historique_Final[ppn_z],tbl_Historique_Final[date_modif])=Final_Sans_VGE[[#This Row],[date_modif]],
      "Ancien",
      "Modifié"),
   "Nouveau"))</f>
        <v>#VALUE!</v>
      </c>
      <c r="AD8713" s="1" t="str">
        <f>IFERROR(IF(Final_Sans_VGE[[#This Row],[ppn_z]]="","",IFERROR(
   IF(_xlfn.XLOOKUP(Final_Sans_VGE[[#This Row],[ppn_z]],tbl_Historique_Final[[#This Row],[ppn_z]],tbl_Historique_Final[[#This Row],[date_modif]])=Final_Sans_VGE[[#This Row],[date_modif]],
      "Ancien",
      "Modifié"),
   "Nouveau")),"")</f>
        <v/>
      </c>
    </row>
    <row r="8714" spans="24:30" x14ac:dyDescent="0.25">
      <c r="X8714" s="8" t="e">
        <f>IF(Final_Sans_VGE[[#This Row],[ppn_z]]="","",IFERROR(
   IF(_xlfn.XLOOKUP(Final_Sans_VGE[[#This Row],[ppn_z]],tbl_Historique_Final[ppn_z],tbl_Historique_Final[date_modif])=Final_Sans_VGE[[#This Row],[date_modif]],
      "Ancien",
      "Modifié"),
   "Nouveau"))</f>
        <v>#VALUE!</v>
      </c>
      <c r="AD8714" s="1" t="str">
        <f>IFERROR(IF(Final_Sans_VGE[[#This Row],[ppn_z]]="","",IFERROR(
   IF(_xlfn.XLOOKUP(Final_Sans_VGE[[#This Row],[ppn_z]],tbl_Historique_Final[[#This Row],[ppn_z]],tbl_Historique_Final[[#This Row],[date_modif]])=Final_Sans_VGE[[#This Row],[date_modif]],
      "Ancien",
      "Modifié"),
   "Nouveau")),"")</f>
        <v/>
      </c>
    </row>
    <row r="8715" spans="24:30" x14ac:dyDescent="0.25">
      <c r="X8715" s="8" t="e">
        <f>IF(Final_Sans_VGE[[#This Row],[ppn_z]]="","",IFERROR(
   IF(_xlfn.XLOOKUP(Final_Sans_VGE[[#This Row],[ppn_z]],tbl_Historique_Final[ppn_z],tbl_Historique_Final[date_modif])=Final_Sans_VGE[[#This Row],[date_modif]],
      "Ancien",
      "Modifié"),
   "Nouveau"))</f>
        <v>#VALUE!</v>
      </c>
      <c r="AD8715" s="1" t="str">
        <f>IFERROR(IF(Final_Sans_VGE[[#This Row],[ppn_z]]="","",IFERROR(
   IF(_xlfn.XLOOKUP(Final_Sans_VGE[[#This Row],[ppn_z]],tbl_Historique_Final[[#This Row],[ppn_z]],tbl_Historique_Final[[#This Row],[date_modif]])=Final_Sans_VGE[[#This Row],[date_modif]],
      "Ancien",
      "Modifié"),
   "Nouveau")),"")</f>
        <v/>
      </c>
    </row>
    <row r="8716" spans="24:30" x14ac:dyDescent="0.25">
      <c r="X8716" s="8" t="e">
        <f>IF(Final_Sans_VGE[[#This Row],[ppn_z]]="","",IFERROR(
   IF(_xlfn.XLOOKUP(Final_Sans_VGE[[#This Row],[ppn_z]],tbl_Historique_Final[ppn_z],tbl_Historique_Final[date_modif])=Final_Sans_VGE[[#This Row],[date_modif]],
      "Ancien",
      "Modifié"),
   "Nouveau"))</f>
        <v>#VALUE!</v>
      </c>
      <c r="AD8716" s="1" t="str">
        <f>IFERROR(IF(Final_Sans_VGE[[#This Row],[ppn_z]]="","",IFERROR(
   IF(_xlfn.XLOOKUP(Final_Sans_VGE[[#This Row],[ppn_z]],tbl_Historique_Final[[#This Row],[ppn_z]],tbl_Historique_Final[[#This Row],[date_modif]])=Final_Sans_VGE[[#This Row],[date_modif]],
      "Ancien",
      "Modifié"),
   "Nouveau")),"")</f>
        <v/>
      </c>
    </row>
    <row r="8717" spans="24:30" x14ac:dyDescent="0.25">
      <c r="X8717" s="8" t="e">
        <f>IF(Final_Sans_VGE[[#This Row],[ppn_z]]="","",IFERROR(
   IF(_xlfn.XLOOKUP(Final_Sans_VGE[[#This Row],[ppn_z]],tbl_Historique_Final[ppn_z],tbl_Historique_Final[date_modif])=Final_Sans_VGE[[#This Row],[date_modif]],
      "Ancien",
      "Modifié"),
   "Nouveau"))</f>
        <v>#VALUE!</v>
      </c>
      <c r="AD8717" s="1" t="str">
        <f>IFERROR(IF(Final_Sans_VGE[[#This Row],[ppn_z]]="","",IFERROR(
   IF(_xlfn.XLOOKUP(Final_Sans_VGE[[#This Row],[ppn_z]],tbl_Historique_Final[[#This Row],[ppn_z]],tbl_Historique_Final[[#This Row],[date_modif]])=Final_Sans_VGE[[#This Row],[date_modif]],
      "Ancien",
      "Modifié"),
   "Nouveau")),"")</f>
        <v/>
      </c>
    </row>
    <row r="8718" spans="24:30" x14ac:dyDescent="0.25">
      <c r="X8718" s="8" t="e">
        <f>IF(Final_Sans_VGE[[#This Row],[ppn_z]]="","",IFERROR(
   IF(_xlfn.XLOOKUP(Final_Sans_VGE[[#This Row],[ppn_z]],tbl_Historique_Final[ppn_z],tbl_Historique_Final[date_modif])=Final_Sans_VGE[[#This Row],[date_modif]],
      "Ancien",
      "Modifié"),
   "Nouveau"))</f>
        <v>#VALUE!</v>
      </c>
      <c r="AD8718" s="1" t="str">
        <f>IFERROR(IF(Final_Sans_VGE[[#This Row],[ppn_z]]="","",IFERROR(
   IF(_xlfn.XLOOKUP(Final_Sans_VGE[[#This Row],[ppn_z]],tbl_Historique_Final[[#This Row],[ppn_z]],tbl_Historique_Final[[#This Row],[date_modif]])=Final_Sans_VGE[[#This Row],[date_modif]],
      "Ancien",
      "Modifié"),
   "Nouveau")),"")</f>
        <v/>
      </c>
    </row>
    <row r="8719" spans="24:30" x14ac:dyDescent="0.25">
      <c r="X8719" s="8" t="e">
        <f>IF(Final_Sans_VGE[[#This Row],[ppn_z]]="","",IFERROR(
   IF(_xlfn.XLOOKUP(Final_Sans_VGE[[#This Row],[ppn_z]],tbl_Historique_Final[ppn_z],tbl_Historique_Final[date_modif])=Final_Sans_VGE[[#This Row],[date_modif]],
      "Ancien",
      "Modifié"),
   "Nouveau"))</f>
        <v>#VALUE!</v>
      </c>
      <c r="AD8719" s="1" t="str">
        <f>IFERROR(IF(Final_Sans_VGE[[#This Row],[ppn_z]]="","",IFERROR(
   IF(_xlfn.XLOOKUP(Final_Sans_VGE[[#This Row],[ppn_z]],tbl_Historique_Final[[#This Row],[ppn_z]],tbl_Historique_Final[[#This Row],[date_modif]])=Final_Sans_VGE[[#This Row],[date_modif]],
      "Ancien",
      "Modifié"),
   "Nouveau")),"")</f>
        <v/>
      </c>
    </row>
    <row r="8720" spans="24:30" x14ac:dyDescent="0.25">
      <c r="X8720" s="8" t="e">
        <f>IF(Final_Sans_VGE[[#This Row],[ppn_z]]="","",IFERROR(
   IF(_xlfn.XLOOKUP(Final_Sans_VGE[[#This Row],[ppn_z]],tbl_Historique_Final[ppn_z],tbl_Historique_Final[date_modif])=Final_Sans_VGE[[#This Row],[date_modif]],
      "Ancien",
      "Modifié"),
   "Nouveau"))</f>
        <v>#VALUE!</v>
      </c>
      <c r="AD8720" s="1" t="str">
        <f>IFERROR(IF(Final_Sans_VGE[[#This Row],[ppn_z]]="","",IFERROR(
   IF(_xlfn.XLOOKUP(Final_Sans_VGE[[#This Row],[ppn_z]],tbl_Historique_Final[[#This Row],[ppn_z]],tbl_Historique_Final[[#This Row],[date_modif]])=Final_Sans_VGE[[#This Row],[date_modif]],
      "Ancien",
      "Modifié"),
   "Nouveau")),"")</f>
        <v/>
      </c>
    </row>
    <row r="8721" spans="24:30" x14ac:dyDescent="0.25">
      <c r="X8721" s="8" t="e">
        <f>IF(Final_Sans_VGE[[#This Row],[ppn_z]]="","",IFERROR(
   IF(_xlfn.XLOOKUP(Final_Sans_VGE[[#This Row],[ppn_z]],tbl_Historique_Final[ppn_z],tbl_Historique_Final[date_modif])=Final_Sans_VGE[[#This Row],[date_modif]],
      "Ancien",
      "Modifié"),
   "Nouveau"))</f>
        <v>#VALUE!</v>
      </c>
      <c r="AD8721" s="1" t="str">
        <f>IFERROR(IF(Final_Sans_VGE[[#This Row],[ppn_z]]="","",IFERROR(
   IF(_xlfn.XLOOKUP(Final_Sans_VGE[[#This Row],[ppn_z]],tbl_Historique_Final[[#This Row],[ppn_z]],tbl_Historique_Final[[#This Row],[date_modif]])=Final_Sans_VGE[[#This Row],[date_modif]],
      "Ancien",
      "Modifié"),
   "Nouveau")),"")</f>
        <v/>
      </c>
    </row>
    <row r="8722" spans="24:30" x14ac:dyDescent="0.25">
      <c r="X8722" s="8" t="e">
        <f>IF(Final_Sans_VGE[[#This Row],[ppn_z]]="","",IFERROR(
   IF(_xlfn.XLOOKUP(Final_Sans_VGE[[#This Row],[ppn_z]],tbl_Historique_Final[ppn_z],tbl_Historique_Final[date_modif])=Final_Sans_VGE[[#This Row],[date_modif]],
      "Ancien",
      "Modifié"),
   "Nouveau"))</f>
        <v>#VALUE!</v>
      </c>
      <c r="AD8722" s="1" t="str">
        <f>IFERROR(IF(Final_Sans_VGE[[#This Row],[ppn_z]]="","",IFERROR(
   IF(_xlfn.XLOOKUP(Final_Sans_VGE[[#This Row],[ppn_z]],tbl_Historique_Final[[#This Row],[ppn_z]],tbl_Historique_Final[[#This Row],[date_modif]])=Final_Sans_VGE[[#This Row],[date_modif]],
      "Ancien",
      "Modifié"),
   "Nouveau")),"")</f>
        <v/>
      </c>
    </row>
    <row r="8723" spans="24:30" x14ac:dyDescent="0.25">
      <c r="X8723" s="8" t="e">
        <f>IF(Final_Sans_VGE[[#This Row],[ppn_z]]="","",IFERROR(
   IF(_xlfn.XLOOKUP(Final_Sans_VGE[[#This Row],[ppn_z]],tbl_Historique_Final[ppn_z],tbl_Historique_Final[date_modif])=Final_Sans_VGE[[#This Row],[date_modif]],
      "Ancien",
      "Modifié"),
   "Nouveau"))</f>
        <v>#VALUE!</v>
      </c>
      <c r="AD8723" s="1" t="str">
        <f>IFERROR(IF(Final_Sans_VGE[[#This Row],[ppn_z]]="","",IFERROR(
   IF(_xlfn.XLOOKUP(Final_Sans_VGE[[#This Row],[ppn_z]],tbl_Historique_Final[[#This Row],[ppn_z]],tbl_Historique_Final[[#This Row],[date_modif]])=Final_Sans_VGE[[#This Row],[date_modif]],
      "Ancien",
      "Modifié"),
   "Nouveau")),"")</f>
        <v/>
      </c>
    </row>
    <row r="8724" spans="24:30" x14ac:dyDescent="0.25">
      <c r="X8724" s="8" t="e">
        <f>IF(Final_Sans_VGE[[#This Row],[ppn_z]]="","",IFERROR(
   IF(_xlfn.XLOOKUP(Final_Sans_VGE[[#This Row],[ppn_z]],tbl_Historique_Final[ppn_z],tbl_Historique_Final[date_modif])=Final_Sans_VGE[[#This Row],[date_modif]],
      "Ancien",
      "Modifié"),
   "Nouveau"))</f>
        <v>#VALUE!</v>
      </c>
      <c r="AD8724" s="1" t="str">
        <f>IFERROR(IF(Final_Sans_VGE[[#This Row],[ppn_z]]="","",IFERROR(
   IF(_xlfn.XLOOKUP(Final_Sans_VGE[[#This Row],[ppn_z]],tbl_Historique_Final[[#This Row],[ppn_z]],tbl_Historique_Final[[#This Row],[date_modif]])=Final_Sans_VGE[[#This Row],[date_modif]],
      "Ancien",
      "Modifié"),
   "Nouveau")),"")</f>
        <v/>
      </c>
    </row>
    <row r="8725" spans="24:30" x14ac:dyDescent="0.25">
      <c r="X8725" s="8" t="e">
        <f>IF(Final_Sans_VGE[[#This Row],[ppn_z]]="","",IFERROR(
   IF(_xlfn.XLOOKUP(Final_Sans_VGE[[#This Row],[ppn_z]],tbl_Historique_Final[ppn_z],tbl_Historique_Final[date_modif])=Final_Sans_VGE[[#This Row],[date_modif]],
      "Ancien",
      "Modifié"),
   "Nouveau"))</f>
        <v>#VALUE!</v>
      </c>
      <c r="AD8725" s="1" t="str">
        <f>IFERROR(IF(Final_Sans_VGE[[#This Row],[ppn_z]]="","",IFERROR(
   IF(_xlfn.XLOOKUP(Final_Sans_VGE[[#This Row],[ppn_z]],tbl_Historique_Final[[#This Row],[ppn_z]],tbl_Historique_Final[[#This Row],[date_modif]])=Final_Sans_VGE[[#This Row],[date_modif]],
      "Ancien",
      "Modifié"),
   "Nouveau")),"")</f>
        <v/>
      </c>
    </row>
    <row r="8726" spans="24:30" x14ac:dyDescent="0.25">
      <c r="X8726" s="8" t="e">
        <f>IF(Final_Sans_VGE[[#This Row],[ppn_z]]="","",IFERROR(
   IF(_xlfn.XLOOKUP(Final_Sans_VGE[[#This Row],[ppn_z]],tbl_Historique_Final[ppn_z],tbl_Historique_Final[date_modif])=Final_Sans_VGE[[#This Row],[date_modif]],
      "Ancien",
      "Modifié"),
   "Nouveau"))</f>
        <v>#VALUE!</v>
      </c>
      <c r="AD8726" s="1" t="str">
        <f>IFERROR(IF(Final_Sans_VGE[[#This Row],[ppn_z]]="","",IFERROR(
   IF(_xlfn.XLOOKUP(Final_Sans_VGE[[#This Row],[ppn_z]],tbl_Historique_Final[[#This Row],[ppn_z]],tbl_Historique_Final[[#This Row],[date_modif]])=Final_Sans_VGE[[#This Row],[date_modif]],
      "Ancien",
      "Modifié"),
   "Nouveau")),"")</f>
        <v/>
      </c>
    </row>
    <row r="8727" spans="24:30" x14ac:dyDescent="0.25">
      <c r="X8727" s="8" t="e">
        <f>IF(Final_Sans_VGE[[#This Row],[ppn_z]]="","",IFERROR(
   IF(_xlfn.XLOOKUP(Final_Sans_VGE[[#This Row],[ppn_z]],tbl_Historique_Final[ppn_z],tbl_Historique_Final[date_modif])=Final_Sans_VGE[[#This Row],[date_modif]],
      "Ancien",
      "Modifié"),
   "Nouveau"))</f>
        <v>#VALUE!</v>
      </c>
      <c r="AD8727" s="1" t="str">
        <f>IFERROR(IF(Final_Sans_VGE[[#This Row],[ppn_z]]="","",IFERROR(
   IF(_xlfn.XLOOKUP(Final_Sans_VGE[[#This Row],[ppn_z]],tbl_Historique_Final[[#This Row],[ppn_z]],tbl_Historique_Final[[#This Row],[date_modif]])=Final_Sans_VGE[[#This Row],[date_modif]],
      "Ancien",
      "Modifié"),
   "Nouveau")),"")</f>
        <v/>
      </c>
    </row>
    <row r="8728" spans="24:30" x14ac:dyDescent="0.25">
      <c r="X8728" s="8" t="e">
        <f>IF(Final_Sans_VGE[[#This Row],[ppn_z]]="","",IFERROR(
   IF(_xlfn.XLOOKUP(Final_Sans_VGE[[#This Row],[ppn_z]],tbl_Historique_Final[ppn_z],tbl_Historique_Final[date_modif])=Final_Sans_VGE[[#This Row],[date_modif]],
      "Ancien",
      "Modifié"),
   "Nouveau"))</f>
        <v>#VALUE!</v>
      </c>
      <c r="AD8728" s="1" t="str">
        <f>IFERROR(IF(Final_Sans_VGE[[#This Row],[ppn_z]]="","",IFERROR(
   IF(_xlfn.XLOOKUP(Final_Sans_VGE[[#This Row],[ppn_z]],tbl_Historique_Final[[#This Row],[ppn_z]],tbl_Historique_Final[[#This Row],[date_modif]])=Final_Sans_VGE[[#This Row],[date_modif]],
      "Ancien",
      "Modifié"),
   "Nouveau")),"")</f>
        <v/>
      </c>
    </row>
    <row r="8729" spans="24:30" x14ac:dyDescent="0.25">
      <c r="X8729" s="8" t="e">
        <f>IF(Final_Sans_VGE[[#This Row],[ppn_z]]="","",IFERROR(
   IF(_xlfn.XLOOKUP(Final_Sans_VGE[[#This Row],[ppn_z]],tbl_Historique_Final[ppn_z],tbl_Historique_Final[date_modif])=Final_Sans_VGE[[#This Row],[date_modif]],
      "Ancien",
      "Modifié"),
   "Nouveau"))</f>
        <v>#VALUE!</v>
      </c>
      <c r="AD8729" s="1" t="str">
        <f>IFERROR(IF(Final_Sans_VGE[[#This Row],[ppn_z]]="","",IFERROR(
   IF(_xlfn.XLOOKUP(Final_Sans_VGE[[#This Row],[ppn_z]],tbl_Historique_Final[[#This Row],[ppn_z]],tbl_Historique_Final[[#This Row],[date_modif]])=Final_Sans_VGE[[#This Row],[date_modif]],
      "Ancien",
      "Modifié"),
   "Nouveau")),"")</f>
        <v/>
      </c>
    </row>
    <row r="8730" spans="24:30" x14ac:dyDescent="0.25">
      <c r="X8730" s="8" t="e">
        <f>IF(Final_Sans_VGE[[#This Row],[ppn_z]]="","",IFERROR(
   IF(_xlfn.XLOOKUP(Final_Sans_VGE[[#This Row],[ppn_z]],tbl_Historique_Final[ppn_z],tbl_Historique_Final[date_modif])=Final_Sans_VGE[[#This Row],[date_modif]],
      "Ancien",
      "Modifié"),
   "Nouveau"))</f>
        <v>#VALUE!</v>
      </c>
      <c r="AD8730" s="1" t="str">
        <f>IFERROR(IF(Final_Sans_VGE[[#This Row],[ppn_z]]="","",IFERROR(
   IF(_xlfn.XLOOKUP(Final_Sans_VGE[[#This Row],[ppn_z]],tbl_Historique_Final[[#This Row],[ppn_z]],tbl_Historique_Final[[#This Row],[date_modif]])=Final_Sans_VGE[[#This Row],[date_modif]],
      "Ancien",
      "Modifié"),
   "Nouveau")),"")</f>
        <v/>
      </c>
    </row>
    <row r="8731" spans="24:30" x14ac:dyDescent="0.25">
      <c r="X8731" s="8" t="e">
        <f>IF(Final_Sans_VGE[[#This Row],[ppn_z]]="","",IFERROR(
   IF(_xlfn.XLOOKUP(Final_Sans_VGE[[#This Row],[ppn_z]],tbl_Historique_Final[ppn_z],tbl_Historique_Final[date_modif])=Final_Sans_VGE[[#This Row],[date_modif]],
      "Ancien",
      "Modifié"),
   "Nouveau"))</f>
        <v>#VALUE!</v>
      </c>
      <c r="AD8731" s="1" t="str">
        <f>IFERROR(IF(Final_Sans_VGE[[#This Row],[ppn_z]]="","",IFERROR(
   IF(_xlfn.XLOOKUP(Final_Sans_VGE[[#This Row],[ppn_z]],tbl_Historique_Final[[#This Row],[ppn_z]],tbl_Historique_Final[[#This Row],[date_modif]])=Final_Sans_VGE[[#This Row],[date_modif]],
      "Ancien",
      "Modifié"),
   "Nouveau")),"")</f>
        <v/>
      </c>
    </row>
    <row r="8732" spans="24:30" x14ac:dyDescent="0.25">
      <c r="X8732" s="8" t="e">
        <f>IF(Final_Sans_VGE[[#This Row],[ppn_z]]="","",IFERROR(
   IF(_xlfn.XLOOKUP(Final_Sans_VGE[[#This Row],[ppn_z]],tbl_Historique_Final[ppn_z],tbl_Historique_Final[date_modif])=Final_Sans_VGE[[#This Row],[date_modif]],
      "Ancien",
      "Modifié"),
   "Nouveau"))</f>
        <v>#VALUE!</v>
      </c>
      <c r="AD8732" s="1" t="str">
        <f>IFERROR(IF(Final_Sans_VGE[[#This Row],[ppn_z]]="","",IFERROR(
   IF(_xlfn.XLOOKUP(Final_Sans_VGE[[#This Row],[ppn_z]],tbl_Historique_Final[[#This Row],[ppn_z]],tbl_Historique_Final[[#This Row],[date_modif]])=Final_Sans_VGE[[#This Row],[date_modif]],
      "Ancien",
      "Modifié"),
   "Nouveau")),"")</f>
        <v/>
      </c>
    </row>
    <row r="8733" spans="24:30" x14ac:dyDescent="0.25">
      <c r="X8733" s="8" t="e">
        <f>IF(Final_Sans_VGE[[#This Row],[ppn_z]]="","",IFERROR(
   IF(_xlfn.XLOOKUP(Final_Sans_VGE[[#This Row],[ppn_z]],tbl_Historique_Final[ppn_z],tbl_Historique_Final[date_modif])=Final_Sans_VGE[[#This Row],[date_modif]],
      "Ancien",
      "Modifié"),
   "Nouveau"))</f>
        <v>#VALUE!</v>
      </c>
      <c r="AD8733" s="1" t="str">
        <f>IFERROR(IF(Final_Sans_VGE[[#This Row],[ppn_z]]="","",IFERROR(
   IF(_xlfn.XLOOKUP(Final_Sans_VGE[[#This Row],[ppn_z]],tbl_Historique_Final[[#This Row],[ppn_z]],tbl_Historique_Final[[#This Row],[date_modif]])=Final_Sans_VGE[[#This Row],[date_modif]],
      "Ancien",
      "Modifié"),
   "Nouveau")),"")</f>
        <v/>
      </c>
    </row>
    <row r="8734" spans="24:30" x14ac:dyDescent="0.25">
      <c r="X8734" s="8" t="e">
        <f>IF(Final_Sans_VGE[[#This Row],[ppn_z]]="","",IFERROR(
   IF(_xlfn.XLOOKUP(Final_Sans_VGE[[#This Row],[ppn_z]],tbl_Historique_Final[ppn_z],tbl_Historique_Final[date_modif])=Final_Sans_VGE[[#This Row],[date_modif]],
      "Ancien",
      "Modifié"),
   "Nouveau"))</f>
        <v>#VALUE!</v>
      </c>
      <c r="AD8734" s="1" t="str">
        <f>IFERROR(IF(Final_Sans_VGE[[#This Row],[ppn_z]]="","",IFERROR(
   IF(_xlfn.XLOOKUP(Final_Sans_VGE[[#This Row],[ppn_z]],tbl_Historique_Final[[#This Row],[ppn_z]],tbl_Historique_Final[[#This Row],[date_modif]])=Final_Sans_VGE[[#This Row],[date_modif]],
      "Ancien",
      "Modifié"),
   "Nouveau")),"")</f>
        <v/>
      </c>
    </row>
    <row r="8735" spans="24:30" x14ac:dyDescent="0.25">
      <c r="X8735" s="8" t="e">
        <f>IF(Final_Sans_VGE[[#This Row],[ppn_z]]="","",IFERROR(
   IF(_xlfn.XLOOKUP(Final_Sans_VGE[[#This Row],[ppn_z]],tbl_Historique_Final[ppn_z],tbl_Historique_Final[date_modif])=Final_Sans_VGE[[#This Row],[date_modif]],
      "Ancien",
      "Modifié"),
   "Nouveau"))</f>
        <v>#VALUE!</v>
      </c>
      <c r="AD8735" s="1" t="str">
        <f>IFERROR(IF(Final_Sans_VGE[[#This Row],[ppn_z]]="","",IFERROR(
   IF(_xlfn.XLOOKUP(Final_Sans_VGE[[#This Row],[ppn_z]],tbl_Historique_Final[[#This Row],[ppn_z]],tbl_Historique_Final[[#This Row],[date_modif]])=Final_Sans_VGE[[#This Row],[date_modif]],
      "Ancien",
      "Modifié"),
   "Nouveau")),"")</f>
        <v/>
      </c>
    </row>
    <row r="8736" spans="24:30" x14ac:dyDescent="0.25">
      <c r="X8736" s="8" t="e">
        <f>IF(Final_Sans_VGE[[#This Row],[ppn_z]]="","",IFERROR(
   IF(_xlfn.XLOOKUP(Final_Sans_VGE[[#This Row],[ppn_z]],tbl_Historique_Final[ppn_z],tbl_Historique_Final[date_modif])=Final_Sans_VGE[[#This Row],[date_modif]],
      "Ancien",
      "Modifié"),
   "Nouveau"))</f>
        <v>#VALUE!</v>
      </c>
      <c r="AD8736" s="1" t="str">
        <f>IFERROR(IF(Final_Sans_VGE[[#This Row],[ppn_z]]="","",IFERROR(
   IF(_xlfn.XLOOKUP(Final_Sans_VGE[[#This Row],[ppn_z]],tbl_Historique_Final[[#This Row],[ppn_z]],tbl_Historique_Final[[#This Row],[date_modif]])=Final_Sans_VGE[[#This Row],[date_modif]],
      "Ancien",
      "Modifié"),
   "Nouveau")),"")</f>
        <v/>
      </c>
    </row>
    <row r="8737" spans="24:30" x14ac:dyDescent="0.25">
      <c r="X8737" s="8" t="e">
        <f>IF(Final_Sans_VGE[[#This Row],[ppn_z]]="","",IFERROR(
   IF(_xlfn.XLOOKUP(Final_Sans_VGE[[#This Row],[ppn_z]],tbl_Historique_Final[ppn_z],tbl_Historique_Final[date_modif])=Final_Sans_VGE[[#This Row],[date_modif]],
      "Ancien",
      "Modifié"),
   "Nouveau"))</f>
        <v>#VALUE!</v>
      </c>
      <c r="AD8737" s="1" t="str">
        <f>IFERROR(IF(Final_Sans_VGE[[#This Row],[ppn_z]]="","",IFERROR(
   IF(_xlfn.XLOOKUP(Final_Sans_VGE[[#This Row],[ppn_z]],tbl_Historique_Final[[#This Row],[ppn_z]],tbl_Historique_Final[[#This Row],[date_modif]])=Final_Sans_VGE[[#This Row],[date_modif]],
      "Ancien",
      "Modifié"),
   "Nouveau")),"")</f>
        <v/>
      </c>
    </row>
    <row r="8738" spans="24:30" x14ac:dyDescent="0.25">
      <c r="X8738" s="8" t="e">
        <f>IF(Final_Sans_VGE[[#This Row],[ppn_z]]="","",IFERROR(
   IF(_xlfn.XLOOKUP(Final_Sans_VGE[[#This Row],[ppn_z]],tbl_Historique_Final[ppn_z],tbl_Historique_Final[date_modif])=Final_Sans_VGE[[#This Row],[date_modif]],
      "Ancien",
      "Modifié"),
   "Nouveau"))</f>
        <v>#VALUE!</v>
      </c>
      <c r="AD8738" s="1" t="str">
        <f>IFERROR(IF(Final_Sans_VGE[[#This Row],[ppn_z]]="","",IFERROR(
   IF(_xlfn.XLOOKUP(Final_Sans_VGE[[#This Row],[ppn_z]],tbl_Historique_Final[[#This Row],[ppn_z]],tbl_Historique_Final[[#This Row],[date_modif]])=Final_Sans_VGE[[#This Row],[date_modif]],
      "Ancien",
      "Modifié"),
   "Nouveau")),"")</f>
        <v/>
      </c>
    </row>
    <row r="8739" spans="24:30" x14ac:dyDescent="0.25">
      <c r="X8739" s="8" t="e">
        <f>IF(Final_Sans_VGE[[#This Row],[ppn_z]]="","",IFERROR(
   IF(_xlfn.XLOOKUP(Final_Sans_VGE[[#This Row],[ppn_z]],tbl_Historique_Final[ppn_z],tbl_Historique_Final[date_modif])=Final_Sans_VGE[[#This Row],[date_modif]],
      "Ancien",
      "Modifié"),
   "Nouveau"))</f>
        <v>#VALUE!</v>
      </c>
      <c r="AD8739" s="1" t="str">
        <f>IFERROR(IF(Final_Sans_VGE[[#This Row],[ppn_z]]="","",IFERROR(
   IF(_xlfn.XLOOKUP(Final_Sans_VGE[[#This Row],[ppn_z]],tbl_Historique_Final[[#This Row],[ppn_z]],tbl_Historique_Final[[#This Row],[date_modif]])=Final_Sans_VGE[[#This Row],[date_modif]],
      "Ancien",
      "Modifié"),
   "Nouveau")),"")</f>
        <v/>
      </c>
    </row>
    <row r="8740" spans="24:30" x14ac:dyDescent="0.25">
      <c r="X8740" s="8" t="e">
        <f>IF(Final_Sans_VGE[[#This Row],[ppn_z]]="","",IFERROR(
   IF(_xlfn.XLOOKUP(Final_Sans_VGE[[#This Row],[ppn_z]],tbl_Historique_Final[ppn_z],tbl_Historique_Final[date_modif])=Final_Sans_VGE[[#This Row],[date_modif]],
      "Ancien",
      "Modifié"),
   "Nouveau"))</f>
        <v>#VALUE!</v>
      </c>
      <c r="AD8740" s="1" t="str">
        <f>IFERROR(IF(Final_Sans_VGE[[#This Row],[ppn_z]]="","",IFERROR(
   IF(_xlfn.XLOOKUP(Final_Sans_VGE[[#This Row],[ppn_z]],tbl_Historique_Final[[#This Row],[ppn_z]],tbl_Historique_Final[[#This Row],[date_modif]])=Final_Sans_VGE[[#This Row],[date_modif]],
      "Ancien",
      "Modifié"),
   "Nouveau")),"")</f>
        <v/>
      </c>
    </row>
    <row r="8741" spans="24:30" x14ac:dyDescent="0.25">
      <c r="X8741" s="8" t="e">
        <f>IF(Final_Sans_VGE[[#This Row],[ppn_z]]="","",IFERROR(
   IF(_xlfn.XLOOKUP(Final_Sans_VGE[[#This Row],[ppn_z]],tbl_Historique_Final[ppn_z],tbl_Historique_Final[date_modif])=Final_Sans_VGE[[#This Row],[date_modif]],
      "Ancien",
      "Modifié"),
   "Nouveau"))</f>
        <v>#VALUE!</v>
      </c>
      <c r="AD8741" s="1" t="str">
        <f>IFERROR(IF(Final_Sans_VGE[[#This Row],[ppn_z]]="","",IFERROR(
   IF(_xlfn.XLOOKUP(Final_Sans_VGE[[#This Row],[ppn_z]],tbl_Historique_Final[[#This Row],[ppn_z]],tbl_Historique_Final[[#This Row],[date_modif]])=Final_Sans_VGE[[#This Row],[date_modif]],
      "Ancien",
      "Modifié"),
   "Nouveau")),"")</f>
        <v/>
      </c>
    </row>
    <row r="8742" spans="24:30" x14ac:dyDescent="0.25">
      <c r="X8742" s="8" t="e">
        <f>IF(Final_Sans_VGE[[#This Row],[ppn_z]]="","",IFERROR(
   IF(_xlfn.XLOOKUP(Final_Sans_VGE[[#This Row],[ppn_z]],tbl_Historique_Final[ppn_z],tbl_Historique_Final[date_modif])=Final_Sans_VGE[[#This Row],[date_modif]],
      "Ancien",
      "Modifié"),
   "Nouveau"))</f>
        <v>#VALUE!</v>
      </c>
      <c r="AD8742" s="1" t="str">
        <f>IFERROR(IF(Final_Sans_VGE[[#This Row],[ppn_z]]="","",IFERROR(
   IF(_xlfn.XLOOKUP(Final_Sans_VGE[[#This Row],[ppn_z]],tbl_Historique_Final[[#This Row],[ppn_z]],tbl_Historique_Final[[#This Row],[date_modif]])=Final_Sans_VGE[[#This Row],[date_modif]],
      "Ancien",
      "Modifié"),
   "Nouveau")),"")</f>
        <v/>
      </c>
    </row>
    <row r="8743" spans="24:30" x14ac:dyDescent="0.25">
      <c r="X8743" s="8" t="e">
        <f>IF(Final_Sans_VGE[[#This Row],[ppn_z]]="","",IFERROR(
   IF(_xlfn.XLOOKUP(Final_Sans_VGE[[#This Row],[ppn_z]],tbl_Historique_Final[ppn_z],tbl_Historique_Final[date_modif])=Final_Sans_VGE[[#This Row],[date_modif]],
      "Ancien",
      "Modifié"),
   "Nouveau"))</f>
        <v>#VALUE!</v>
      </c>
      <c r="AD8743" s="1" t="str">
        <f>IFERROR(IF(Final_Sans_VGE[[#This Row],[ppn_z]]="","",IFERROR(
   IF(_xlfn.XLOOKUP(Final_Sans_VGE[[#This Row],[ppn_z]],tbl_Historique_Final[[#This Row],[ppn_z]],tbl_Historique_Final[[#This Row],[date_modif]])=Final_Sans_VGE[[#This Row],[date_modif]],
      "Ancien",
      "Modifié"),
   "Nouveau")),"")</f>
        <v/>
      </c>
    </row>
    <row r="8744" spans="24:30" x14ac:dyDescent="0.25">
      <c r="X8744" s="8" t="e">
        <f>IF(Final_Sans_VGE[[#This Row],[ppn_z]]="","",IFERROR(
   IF(_xlfn.XLOOKUP(Final_Sans_VGE[[#This Row],[ppn_z]],tbl_Historique_Final[ppn_z],tbl_Historique_Final[date_modif])=Final_Sans_VGE[[#This Row],[date_modif]],
      "Ancien",
      "Modifié"),
   "Nouveau"))</f>
        <v>#VALUE!</v>
      </c>
      <c r="AD8744" s="1" t="str">
        <f>IFERROR(IF(Final_Sans_VGE[[#This Row],[ppn_z]]="","",IFERROR(
   IF(_xlfn.XLOOKUP(Final_Sans_VGE[[#This Row],[ppn_z]],tbl_Historique_Final[[#This Row],[ppn_z]],tbl_Historique_Final[[#This Row],[date_modif]])=Final_Sans_VGE[[#This Row],[date_modif]],
      "Ancien",
      "Modifié"),
   "Nouveau")),"")</f>
        <v/>
      </c>
    </row>
    <row r="8745" spans="24:30" x14ac:dyDescent="0.25">
      <c r="X8745" s="8" t="e">
        <f>IF(Final_Sans_VGE[[#This Row],[ppn_z]]="","",IFERROR(
   IF(_xlfn.XLOOKUP(Final_Sans_VGE[[#This Row],[ppn_z]],tbl_Historique_Final[ppn_z],tbl_Historique_Final[date_modif])=Final_Sans_VGE[[#This Row],[date_modif]],
      "Ancien",
      "Modifié"),
   "Nouveau"))</f>
        <v>#VALUE!</v>
      </c>
      <c r="AD8745" s="1" t="str">
        <f>IFERROR(IF(Final_Sans_VGE[[#This Row],[ppn_z]]="","",IFERROR(
   IF(_xlfn.XLOOKUP(Final_Sans_VGE[[#This Row],[ppn_z]],tbl_Historique_Final[[#This Row],[ppn_z]],tbl_Historique_Final[[#This Row],[date_modif]])=Final_Sans_VGE[[#This Row],[date_modif]],
      "Ancien",
      "Modifié"),
   "Nouveau")),"")</f>
        <v/>
      </c>
    </row>
    <row r="8746" spans="24:30" x14ac:dyDescent="0.25">
      <c r="X8746" s="8" t="e">
        <f>IF(Final_Sans_VGE[[#This Row],[ppn_z]]="","",IFERROR(
   IF(_xlfn.XLOOKUP(Final_Sans_VGE[[#This Row],[ppn_z]],tbl_Historique_Final[ppn_z],tbl_Historique_Final[date_modif])=Final_Sans_VGE[[#This Row],[date_modif]],
      "Ancien",
      "Modifié"),
   "Nouveau"))</f>
        <v>#VALUE!</v>
      </c>
      <c r="AD8746" s="1" t="str">
        <f>IFERROR(IF(Final_Sans_VGE[[#This Row],[ppn_z]]="","",IFERROR(
   IF(_xlfn.XLOOKUP(Final_Sans_VGE[[#This Row],[ppn_z]],tbl_Historique_Final[[#This Row],[ppn_z]],tbl_Historique_Final[[#This Row],[date_modif]])=Final_Sans_VGE[[#This Row],[date_modif]],
      "Ancien",
      "Modifié"),
   "Nouveau")),"")</f>
        <v/>
      </c>
    </row>
    <row r="8747" spans="24:30" x14ac:dyDescent="0.25">
      <c r="X8747" s="8" t="e">
        <f>IF(Final_Sans_VGE[[#This Row],[ppn_z]]="","",IFERROR(
   IF(_xlfn.XLOOKUP(Final_Sans_VGE[[#This Row],[ppn_z]],tbl_Historique_Final[ppn_z],tbl_Historique_Final[date_modif])=Final_Sans_VGE[[#This Row],[date_modif]],
      "Ancien",
      "Modifié"),
   "Nouveau"))</f>
        <v>#VALUE!</v>
      </c>
      <c r="AD8747" s="1" t="str">
        <f>IFERROR(IF(Final_Sans_VGE[[#This Row],[ppn_z]]="","",IFERROR(
   IF(_xlfn.XLOOKUP(Final_Sans_VGE[[#This Row],[ppn_z]],tbl_Historique_Final[[#This Row],[ppn_z]],tbl_Historique_Final[[#This Row],[date_modif]])=Final_Sans_VGE[[#This Row],[date_modif]],
      "Ancien",
      "Modifié"),
   "Nouveau")),"")</f>
        <v/>
      </c>
    </row>
    <row r="8748" spans="24:30" x14ac:dyDescent="0.25">
      <c r="X8748" s="8" t="e">
        <f>IF(Final_Sans_VGE[[#This Row],[ppn_z]]="","",IFERROR(
   IF(_xlfn.XLOOKUP(Final_Sans_VGE[[#This Row],[ppn_z]],tbl_Historique_Final[ppn_z],tbl_Historique_Final[date_modif])=Final_Sans_VGE[[#This Row],[date_modif]],
      "Ancien",
      "Modifié"),
   "Nouveau"))</f>
        <v>#VALUE!</v>
      </c>
      <c r="AD8748" s="1" t="str">
        <f>IFERROR(IF(Final_Sans_VGE[[#This Row],[ppn_z]]="","",IFERROR(
   IF(_xlfn.XLOOKUP(Final_Sans_VGE[[#This Row],[ppn_z]],tbl_Historique_Final[[#This Row],[ppn_z]],tbl_Historique_Final[[#This Row],[date_modif]])=Final_Sans_VGE[[#This Row],[date_modif]],
      "Ancien",
      "Modifié"),
   "Nouveau")),"")</f>
        <v/>
      </c>
    </row>
    <row r="8749" spans="24:30" x14ac:dyDescent="0.25">
      <c r="X8749" s="8" t="e">
        <f>IF(Final_Sans_VGE[[#This Row],[ppn_z]]="","",IFERROR(
   IF(_xlfn.XLOOKUP(Final_Sans_VGE[[#This Row],[ppn_z]],tbl_Historique_Final[ppn_z],tbl_Historique_Final[date_modif])=Final_Sans_VGE[[#This Row],[date_modif]],
      "Ancien",
      "Modifié"),
   "Nouveau"))</f>
        <v>#VALUE!</v>
      </c>
      <c r="AD8749" s="1" t="str">
        <f>IFERROR(IF(Final_Sans_VGE[[#This Row],[ppn_z]]="","",IFERROR(
   IF(_xlfn.XLOOKUP(Final_Sans_VGE[[#This Row],[ppn_z]],tbl_Historique_Final[[#This Row],[ppn_z]],tbl_Historique_Final[[#This Row],[date_modif]])=Final_Sans_VGE[[#This Row],[date_modif]],
      "Ancien",
      "Modifié"),
   "Nouveau")),"")</f>
        <v/>
      </c>
    </row>
    <row r="8750" spans="24:30" x14ac:dyDescent="0.25">
      <c r="X8750" s="8" t="e">
        <f>IF(Final_Sans_VGE[[#This Row],[ppn_z]]="","",IFERROR(
   IF(_xlfn.XLOOKUP(Final_Sans_VGE[[#This Row],[ppn_z]],tbl_Historique_Final[ppn_z],tbl_Historique_Final[date_modif])=Final_Sans_VGE[[#This Row],[date_modif]],
      "Ancien",
      "Modifié"),
   "Nouveau"))</f>
        <v>#VALUE!</v>
      </c>
      <c r="AD8750" s="1" t="str">
        <f>IFERROR(IF(Final_Sans_VGE[[#This Row],[ppn_z]]="","",IFERROR(
   IF(_xlfn.XLOOKUP(Final_Sans_VGE[[#This Row],[ppn_z]],tbl_Historique_Final[[#This Row],[ppn_z]],tbl_Historique_Final[[#This Row],[date_modif]])=Final_Sans_VGE[[#This Row],[date_modif]],
      "Ancien",
      "Modifié"),
   "Nouveau")),"")</f>
        <v/>
      </c>
    </row>
    <row r="8751" spans="24:30" x14ac:dyDescent="0.25">
      <c r="X8751" s="8" t="e">
        <f>IF(Final_Sans_VGE[[#This Row],[ppn_z]]="","",IFERROR(
   IF(_xlfn.XLOOKUP(Final_Sans_VGE[[#This Row],[ppn_z]],tbl_Historique_Final[ppn_z],tbl_Historique_Final[date_modif])=Final_Sans_VGE[[#This Row],[date_modif]],
      "Ancien",
      "Modifié"),
   "Nouveau"))</f>
        <v>#VALUE!</v>
      </c>
      <c r="AD8751" s="1" t="str">
        <f>IFERROR(IF(Final_Sans_VGE[[#This Row],[ppn_z]]="","",IFERROR(
   IF(_xlfn.XLOOKUP(Final_Sans_VGE[[#This Row],[ppn_z]],tbl_Historique_Final[[#This Row],[ppn_z]],tbl_Historique_Final[[#This Row],[date_modif]])=Final_Sans_VGE[[#This Row],[date_modif]],
      "Ancien",
      "Modifié"),
   "Nouveau")),"")</f>
        <v/>
      </c>
    </row>
    <row r="8752" spans="24:30" x14ac:dyDescent="0.25">
      <c r="X8752" s="8" t="e">
        <f>IF(Final_Sans_VGE[[#This Row],[ppn_z]]="","",IFERROR(
   IF(_xlfn.XLOOKUP(Final_Sans_VGE[[#This Row],[ppn_z]],tbl_Historique_Final[ppn_z],tbl_Historique_Final[date_modif])=Final_Sans_VGE[[#This Row],[date_modif]],
      "Ancien",
      "Modifié"),
   "Nouveau"))</f>
        <v>#VALUE!</v>
      </c>
      <c r="AD8752" s="1" t="str">
        <f>IFERROR(IF(Final_Sans_VGE[[#This Row],[ppn_z]]="","",IFERROR(
   IF(_xlfn.XLOOKUP(Final_Sans_VGE[[#This Row],[ppn_z]],tbl_Historique_Final[[#This Row],[ppn_z]],tbl_Historique_Final[[#This Row],[date_modif]])=Final_Sans_VGE[[#This Row],[date_modif]],
      "Ancien",
      "Modifié"),
   "Nouveau")),"")</f>
        <v/>
      </c>
    </row>
    <row r="8753" spans="24:30" x14ac:dyDescent="0.25">
      <c r="X8753" s="8" t="e">
        <f>IF(Final_Sans_VGE[[#This Row],[ppn_z]]="","",IFERROR(
   IF(_xlfn.XLOOKUP(Final_Sans_VGE[[#This Row],[ppn_z]],tbl_Historique_Final[ppn_z],tbl_Historique_Final[date_modif])=Final_Sans_VGE[[#This Row],[date_modif]],
      "Ancien",
      "Modifié"),
   "Nouveau"))</f>
        <v>#VALUE!</v>
      </c>
      <c r="AD8753" s="1" t="str">
        <f>IFERROR(IF(Final_Sans_VGE[[#This Row],[ppn_z]]="","",IFERROR(
   IF(_xlfn.XLOOKUP(Final_Sans_VGE[[#This Row],[ppn_z]],tbl_Historique_Final[[#This Row],[ppn_z]],tbl_Historique_Final[[#This Row],[date_modif]])=Final_Sans_VGE[[#This Row],[date_modif]],
      "Ancien",
      "Modifié"),
   "Nouveau")),"")</f>
        <v/>
      </c>
    </row>
    <row r="8754" spans="24:30" x14ac:dyDescent="0.25">
      <c r="X8754" s="8" t="e">
        <f>IF(Final_Sans_VGE[[#This Row],[ppn_z]]="","",IFERROR(
   IF(_xlfn.XLOOKUP(Final_Sans_VGE[[#This Row],[ppn_z]],tbl_Historique_Final[ppn_z],tbl_Historique_Final[date_modif])=Final_Sans_VGE[[#This Row],[date_modif]],
      "Ancien",
      "Modifié"),
   "Nouveau"))</f>
        <v>#VALUE!</v>
      </c>
      <c r="AD8754" s="1" t="str">
        <f>IFERROR(IF(Final_Sans_VGE[[#This Row],[ppn_z]]="","",IFERROR(
   IF(_xlfn.XLOOKUP(Final_Sans_VGE[[#This Row],[ppn_z]],tbl_Historique_Final[[#This Row],[ppn_z]],tbl_Historique_Final[[#This Row],[date_modif]])=Final_Sans_VGE[[#This Row],[date_modif]],
      "Ancien",
      "Modifié"),
   "Nouveau")),"")</f>
        <v/>
      </c>
    </row>
    <row r="8755" spans="24:30" x14ac:dyDescent="0.25">
      <c r="X8755" s="8" t="e">
        <f>IF(Final_Sans_VGE[[#This Row],[ppn_z]]="","",IFERROR(
   IF(_xlfn.XLOOKUP(Final_Sans_VGE[[#This Row],[ppn_z]],tbl_Historique_Final[ppn_z],tbl_Historique_Final[date_modif])=Final_Sans_VGE[[#This Row],[date_modif]],
      "Ancien",
      "Modifié"),
   "Nouveau"))</f>
        <v>#VALUE!</v>
      </c>
      <c r="AD8755" s="1" t="str">
        <f>IFERROR(IF(Final_Sans_VGE[[#This Row],[ppn_z]]="","",IFERROR(
   IF(_xlfn.XLOOKUP(Final_Sans_VGE[[#This Row],[ppn_z]],tbl_Historique_Final[[#This Row],[ppn_z]],tbl_Historique_Final[[#This Row],[date_modif]])=Final_Sans_VGE[[#This Row],[date_modif]],
      "Ancien",
      "Modifié"),
   "Nouveau")),"")</f>
        <v/>
      </c>
    </row>
    <row r="8756" spans="24:30" x14ac:dyDescent="0.25">
      <c r="X8756" s="8" t="e">
        <f>IF(Final_Sans_VGE[[#This Row],[ppn_z]]="","",IFERROR(
   IF(_xlfn.XLOOKUP(Final_Sans_VGE[[#This Row],[ppn_z]],tbl_Historique_Final[ppn_z],tbl_Historique_Final[date_modif])=Final_Sans_VGE[[#This Row],[date_modif]],
      "Ancien",
      "Modifié"),
   "Nouveau"))</f>
        <v>#VALUE!</v>
      </c>
      <c r="AD8756" s="1" t="str">
        <f>IFERROR(IF(Final_Sans_VGE[[#This Row],[ppn_z]]="","",IFERROR(
   IF(_xlfn.XLOOKUP(Final_Sans_VGE[[#This Row],[ppn_z]],tbl_Historique_Final[[#This Row],[ppn_z]],tbl_Historique_Final[[#This Row],[date_modif]])=Final_Sans_VGE[[#This Row],[date_modif]],
      "Ancien",
      "Modifié"),
   "Nouveau")),"")</f>
        <v/>
      </c>
    </row>
    <row r="8757" spans="24:30" x14ac:dyDescent="0.25">
      <c r="X8757" s="8" t="e">
        <f>IF(Final_Sans_VGE[[#This Row],[ppn_z]]="","",IFERROR(
   IF(_xlfn.XLOOKUP(Final_Sans_VGE[[#This Row],[ppn_z]],tbl_Historique_Final[ppn_z],tbl_Historique_Final[date_modif])=Final_Sans_VGE[[#This Row],[date_modif]],
      "Ancien",
      "Modifié"),
   "Nouveau"))</f>
        <v>#VALUE!</v>
      </c>
      <c r="AD8757" s="1" t="str">
        <f>IFERROR(IF(Final_Sans_VGE[[#This Row],[ppn_z]]="","",IFERROR(
   IF(_xlfn.XLOOKUP(Final_Sans_VGE[[#This Row],[ppn_z]],tbl_Historique_Final[[#This Row],[ppn_z]],tbl_Historique_Final[[#This Row],[date_modif]])=Final_Sans_VGE[[#This Row],[date_modif]],
      "Ancien",
      "Modifié"),
   "Nouveau")),"")</f>
        <v/>
      </c>
    </row>
    <row r="8758" spans="24:30" x14ac:dyDescent="0.25">
      <c r="X8758" s="8" t="e">
        <f>IF(Final_Sans_VGE[[#This Row],[ppn_z]]="","",IFERROR(
   IF(_xlfn.XLOOKUP(Final_Sans_VGE[[#This Row],[ppn_z]],tbl_Historique_Final[ppn_z],tbl_Historique_Final[date_modif])=Final_Sans_VGE[[#This Row],[date_modif]],
      "Ancien",
      "Modifié"),
   "Nouveau"))</f>
        <v>#VALUE!</v>
      </c>
      <c r="AD8758" s="1" t="str">
        <f>IFERROR(IF(Final_Sans_VGE[[#This Row],[ppn_z]]="","",IFERROR(
   IF(_xlfn.XLOOKUP(Final_Sans_VGE[[#This Row],[ppn_z]],tbl_Historique_Final[[#This Row],[ppn_z]],tbl_Historique_Final[[#This Row],[date_modif]])=Final_Sans_VGE[[#This Row],[date_modif]],
      "Ancien",
      "Modifié"),
   "Nouveau")),"")</f>
        <v/>
      </c>
    </row>
    <row r="8759" spans="24:30" x14ac:dyDescent="0.25">
      <c r="X8759" s="8" t="e">
        <f>IF(Final_Sans_VGE[[#This Row],[ppn_z]]="","",IFERROR(
   IF(_xlfn.XLOOKUP(Final_Sans_VGE[[#This Row],[ppn_z]],tbl_Historique_Final[ppn_z],tbl_Historique_Final[date_modif])=Final_Sans_VGE[[#This Row],[date_modif]],
      "Ancien",
      "Modifié"),
   "Nouveau"))</f>
        <v>#VALUE!</v>
      </c>
      <c r="AD8759" s="1" t="str">
        <f>IFERROR(IF(Final_Sans_VGE[[#This Row],[ppn_z]]="","",IFERROR(
   IF(_xlfn.XLOOKUP(Final_Sans_VGE[[#This Row],[ppn_z]],tbl_Historique_Final[[#This Row],[ppn_z]],tbl_Historique_Final[[#This Row],[date_modif]])=Final_Sans_VGE[[#This Row],[date_modif]],
      "Ancien",
      "Modifié"),
   "Nouveau")),"")</f>
        <v/>
      </c>
    </row>
    <row r="8760" spans="24:30" x14ac:dyDescent="0.25">
      <c r="X8760" s="8" t="e">
        <f>IF(Final_Sans_VGE[[#This Row],[ppn_z]]="","",IFERROR(
   IF(_xlfn.XLOOKUP(Final_Sans_VGE[[#This Row],[ppn_z]],tbl_Historique_Final[ppn_z],tbl_Historique_Final[date_modif])=Final_Sans_VGE[[#This Row],[date_modif]],
      "Ancien",
      "Modifié"),
   "Nouveau"))</f>
        <v>#VALUE!</v>
      </c>
      <c r="AD8760" s="1" t="str">
        <f>IFERROR(IF(Final_Sans_VGE[[#This Row],[ppn_z]]="","",IFERROR(
   IF(_xlfn.XLOOKUP(Final_Sans_VGE[[#This Row],[ppn_z]],tbl_Historique_Final[[#This Row],[ppn_z]],tbl_Historique_Final[[#This Row],[date_modif]])=Final_Sans_VGE[[#This Row],[date_modif]],
      "Ancien",
      "Modifié"),
   "Nouveau")),"")</f>
        <v/>
      </c>
    </row>
    <row r="8761" spans="24:30" x14ac:dyDescent="0.25">
      <c r="X8761" s="8" t="e">
        <f>IF(Final_Sans_VGE[[#This Row],[ppn_z]]="","",IFERROR(
   IF(_xlfn.XLOOKUP(Final_Sans_VGE[[#This Row],[ppn_z]],tbl_Historique_Final[ppn_z],tbl_Historique_Final[date_modif])=Final_Sans_VGE[[#This Row],[date_modif]],
      "Ancien",
      "Modifié"),
   "Nouveau"))</f>
        <v>#VALUE!</v>
      </c>
      <c r="AD8761" s="1" t="str">
        <f>IFERROR(IF(Final_Sans_VGE[[#This Row],[ppn_z]]="","",IFERROR(
   IF(_xlfn.XLOOKUP(Final_Sans_VGE[[#This Row],[ppn_z]],tbl_Historique_Final[[#This Row],[ppn_z]],tbl_Historique_Final[[#This Row],[date_modif]])=Final_Sans_VGE[[#This Row],[date_modif]],
      "Ancien",
      "Modifié"),
   "Nouveau")),"")</f>
        <v/>
      </c>
    </row>
    <row r="8762" spans="24:30" x14ac:dyDescent="0.25">
      <c r="X8762" s="8" t="e">
        <f>IF(Final_Sans_VGE[[#This Row],[ppn_z]]="","",IFERROR(
   IF(_xlfn.XLOOKUP(Final_Sans_VGE[[#This Row],[ppn_z]],tbl_Historique_Final[ppn_z],tbl_Historique_Final[date_modif])=Final_Sans_VGE[[#This Row],[date_modif]],
      "Ancien",
      "Modifié"),
   "Nouveau"))</f>
        <v>#VALUE!</v>
      </c>
      <c r="AD8762" s="1" t="str">
        <f>IFERROR(IF(Final_Sans_VGE[[#This Row],[ppn_z]]="","",IFERROR(
   IF(_xlfn.XLOOKUP(Final_Sans_VGE[[#This Row],[ppn_z]],tbl_Historique_Final[[#This Row],[ppn_z]],tbl_Historique_Final[[#This Row],[date_modif]])=Final_Sans_VGE[[#This Row],[date_modif]],
      "Ancien",
      "Modifié"),
   "Nouveau")),"")</f>
        <v/>
      </c>
    </row>
    <row r="8763" spans="24:30" x14ac:dyDescent="0.25">
      <c r="X8763" s="8" t="e">
        <f>IF(Final_Sans_VGE[[#This Row],[ppn_z]]="","",IFERROR(
   IF(_xlfn.XLOOKUP(Final_Sans_VGE[[#This Row],[ppn_z]],tbl_Historique_Final[ppn_z],tbl_Historique_Final[date_modif])=Final_Sans_VGE[[#This Row],[date_modif]],
      "Ancien",
      "Modifié"),
   "Nouveau"))</f>
        <v>#VALUE!</v>
      </c>
      <c r="AD8763" s="1" t="str">
        <f>IFERROR(IF(Final_Sans_VGE[[#This Row],[ppn_z]]="","",IFERROR(
   IF(_xlfn.XLOOKUP(Final_Sans_VGE[[#This Row],[ppn_z]],tbl_Historique_Final[[#This Row],[ppn_z]],tbl_Historique_Final[[#This Row],[date_modif]])=Final_Sans_VGE[[#This Row],[date_modif]],
      "Ancien",
      "Modifié"),
   "Nouveau")),"")</f>
        <v/>
      </c>
    </row>
    <row r="8764" spans="24:30" x14ac:dyDescent="0.25">
      <c r="X8764" s="8" t="e">
        <f>IF(Final_Sans_VGE[[#This Row],[ppn_z]]="","",IFERROR(
   IF(_xlfn.XLOOKUP(Final_Sans_VGE[[#This Row],[ppn_z]],tbl_Historique_Final[ppn_z],tbl_Historique_Final[date_modif])=Final_Sans_VGE[[#This Row],[date_modif]],
      "Ancien",
      "Modifié"),
   "Nouveau"))</f>
        <v>#VALUE!</v>
      </c>
      <c r="AD8764" s="1" t="str">
        <f>IFERROR(IF(Final_Sans_VGE[[#This Row],[ppn_z]]="","",IFERROR(
   IF(_xlfn.XLOOKUP(Final_Sans_VGE[[#This Row],[ppn_z]],tbl_Historique_Final[[#This Row],[ppn_z]],tbl_Historique_Final[[#This Row],[date_modif]])=Final_Sans_VGE[[#This Row],[date_modif]],
      "Ancien",
      "Modifié"),
   "Nouveau")),"")</f>
        <v/>
      </c>
    </row>
    <row r="8765" spans="24:30" x14ac:dyDescent="0.25">
      <c r="X8765" s="8" t="e">
        <f>IF(Final_Sans_VGE[[#This Row],[ppn_z]]="","",IFERROR(
   IF(_xlfn.XLOOKUP(Final_Sans_VGE[[#This Row],[ppn_z]],tbl_Historique_Final[ppn_z],tbl_Historique_Final[date_modif])=Final_Sans_VGE[[#This Row],[date_modif]],
      "Ancien",
      "Modifié"),
   "Nouveau"))</f>
        <v>#VALUE!</v>
      </c>
      <c r="AD8765" s="1" t="str">
        <f>IFERROR(IF(Final_Sans_VGE[[#This Row],[ppn_z]]="","",IFERROR(
   IF(_xlfn.XLOOKUP(Final_Sans_VGE[[#This Row],[ppn_z]],tbl_Historique_Final[[#This Row],[ppn_z]],tbl_Historique_Final[[#This Row],[date_modif]])=Final_Sans_VGE[[#This Row],[date_modif]],
      "Ancien",
      "Modifié"),
   "Nouveau")),"")</f>
        <v/>
      </c>
    </row>
    <row r="8766" spans="24:30" x14ac:dyDescent="0.25">
      <c r="X8766" s="8" t="e">
        <f>IF(Final_Sans_VGE[[#This Row],[ppn_z]]="","",IFERROR(
   IF(_xlfn.XLOOKUP(Final_Sans_VGE[[#This Row],[ppn_z]],tbl_Historique_Final[ppn_z],tbl_Historique_Final[date_modif])=Final_Sans_VGE[[#This Row],[date_modif]],
      "Ancien",
      "Modifié"),
   "Nouveau"))</f>
        <v>#VALUE!</v>
      </c>
      <c r="AD8766" s="1" t="str">
        <f>IFERROR(IF(Final_Sans_VGE[[#This Row],[ppn_z]]="","",IFERROR(
   IF(_xlfn.XLOOKUP(Final_Sans_VGE[[#This Row],[ppn_z]],tbl_Historique_Final[[#This Row],[ppn_z]],tbl_Historique_Final[[#This Row],[date_modif]])=Final_Sans_VGE[[#This Row],[date_modif]],
      "Ancien",
      "Modifié"),
   "Nouveau")),"")</f>
        <v/>
      </c>
    </row>
    <row r="8767" spans="24:30" x14ac:dyDescent="0.25">
      <c r="X8767" s="8" t="e">
        <f>IF(Final_Sans_VGE[[#This Row],[ppn_z]]="","",IFERROR(
   IF(_xlfn.XLOOKUP(Final_Sans_VGE[[#This Row],[ppn_z]],tbl_Historique_Final[ppn_z],tbl_Historique_Final[date_modif])=Final_Sans_VGE[[#This Row],[date_modif]],
      "Ancien",
      "Modifié"),
   "Nouveau"))</f>
        <v>#VALUE!</v>
      </c>
      <c r="AD8767" s="1" t="str">
        <f>IFERROR(IF(Final_Sans_VGE[[#This Row],[ppn_z]]="","",IFERROR(
   IF(_xlfn.XLOOKUP(Final_Sans_VGE[[#This Row],[ppn_z]],tbl_Historique_Final[[#This Row],[ppn_z]],tbl_Historique_Final[[#This Row],[date_modif]])=Final_Sans_VGE[[#This Row],[date_modif]],
      "Ancien",
      "Modifié"),
   "Nouveau")),"")</f>
        <v/>
      </c>
    </row>
    <row r="8768" spans="24:30" x14ac:dyDescent="0.25">
      <c r="X8768" s="8" t="e">
        <f>IF(Final_Sans_VGE[[#This Row],[ppn_z]]="","",IFERROR(
   IF(_xlfn.XLOOKUP(Final_Sans_VGE[[#This Row],[ppn_z]],tbl_Historique_Final[ppn_z],tbl_Historique_Final[date_modif])=Final_Sans_VGE[[#This Row],[date_modif]],
      "Ancien",
      "Modifié"),
   "Nouveau"))</f>
        <v>#VALUE!</v>
      </c>
      <c r="AD8768" s="1" t="str">
        <f>IFERROR(IF(Final_Sans_VGE[[#This Row],[ppn_z]]="","",IFERROR(
   IF(_xlfn.XLOOKUP(Final_Sans_VGE[[#This Row],[ppn_z]],tbl_Historique_Final[[#This Row],[ppn_z]],tbl_Historique_Final[[#This Row],[date_modif]])=Final_Sans_VGE[[#This Row],[date_modif]],
      "Ancien",
      "Modifié"),
   "Nouveau")),"")</f>
        <v/>
      </c>
    </row>
    <row r="8769" spans="24:30" x14ac:dyDescent="0.25">
      <c r="X8769" s="8" t="e">
        <f>IF(Final_Sans_VGE[[#This Row],[ppn_z]]="","",IFERROR(
   IF(_xlfn.XLOOKUP(Final_Sans_VGE[[#This Row],[ppn_z]],tbl_Historique_Final[ppn_z],tbl_Historique_Final[date_modif])=Final_Sans_VGE[[#This Row],[date_modif]],
      "Ancien",
      "Modifié"),
   "Nouveau"))</f>
        <v>#VALUE!</v>
      </c>
      <c r="AD8769" s="1" t="str">
        <f>IFERROR(IF(Final_Sans_VGE[[#This Row],[ppn_z]]="","",IFERROR(
   IF(_xlfn.XLOOKUP(Final_Sans_VGE[[#This Row],[ppn_z]],tbl_Historique_Final[[#This Row],[ppn_z]],tbl_Historique_Final[[#This Row],[date_modif]])=Final_Sans_VGE[[#This Row],[date_modif]],
      "Ancien",
      "Modifié"),
   "Nouveau")),"")</f>
        <v/>
      </c>
    </row>
    <row r="8770" spans="24:30" x14ac:dyDescent="0.25">
      <c r="X8770" s="8" t="e">
        <f>IF(Final_Sans_VGE[[#This Row],[ppn_z]]="","",IFERROR(
   IF(_xlfn.XLOOKUP(Final_Sans_VGE[[#This Row],[ppn_z]],tbl_Historique_Final[ppn_z],tbl_Historique_Final[date_modif])=Final_Sans_VGE[[#This Row],[date_modif]],
      "Ancien",
      "Modifié"),
   "Nouveau"))</f>
        <v>#VALUE!</v>
      </c>
      <c r="AD8770" s="1" t="str">
        <f>IFERROR(IF(Final_Sans_VGE[[#This Row],[ppn_z]]="","",IFERROR(
   IF(_xlfn.XLOOKUP(Final_Sans_VGE[[#This Row],[ppn_z]],tbl_Historique_Final[[#This Row],[ppn_z]],tbl_Historique_Final[[#This Row],[date_modif]])=Final_Sans_VGE[[#This Row],[date_modif]],
      "Ancien",
      "Modifié"),
   "Nouveau")),"")</f>
        <v/>
      </c>
    </row>
    <row r="8771" spans="24:30" x14ac:dyDescent="0.25">
      <c r="X8771" s="8" t="e">
        <f>IF(Final_Sans_VGE[[#This Row],[ppn_z]]="","",IFERROR(
   IF(_xlfn.XLOOKUP(Final_Sans_VGE[[#This Row],[ppn_z]],tbl_Historique_Final[ppn_z],tbl_Historique_Final[date_modif])=Final_Sans_VGE[[#This Row],[date_modif]],
      "Ancien",
      "Modifié"),
   "Nouveau"))</f>
        <v>#VALUE!</v>
      </c>
      <c r="AD8771" s="1" t="str">
        <f>IFERROR(IF(Final_Sans_VGE[[#This Row],[ppn_z]]="","",IFERROR(
   IF(_xlfn.XLOOKUP(Final_Sans_VGE[[#This Row],[ppn_z]],tbl_Historique_Final[[#This Row],[ppn_z]],tbl_Historique_Final[[#This Row],[date_modif]])=Final_Sans_VGE[[#This Row],[date_modif]],
      "Ancien",
      "Modifié"),
   "Nouveau")),"")</f>
        <v/>
      </c>
    </row>
    <row r="8772" spans="24:30" x14ac:dyDescent="0.25">
      <c r="X8772" s="8" t="e">
        <f>IF(Final_Sans_VGE[[#This Row],[ppn_z]]="","",IFERROR(
   IF(_xlfn.XLOOKUP(Final_Sans_VGE[[#This Row],[ppn_z]],tbl_Historique_Final[ppn_z],tbl_Historique_Final[date_modif])=Final_Sans_VGE[[#This Row],[date_modif]],
      "Ancien",
      "Modifié"),
   "Nouveau"))</f>
        <v>#VALUE!</v>
      </c>
      <c r="AD8772" s="1" t="str">
        <f>IFERROR(IF(Final_Sans_VGE[[#This Row],[ppn_z]]="","",IFERROR(
   IF(_xlfn.XLOOKUP(Final_Sans_VGE[[#This Row],[ppn_z]],tbl_Historique_Final[[#This Row],[ppn_z]],tbl_Historique_Final[[#This Row],[date_modif]])=Final_Sans_VGE[[#This Row],[date_modif]],
      "Ancien",
      "Modifié"),
   "Nouveau")),"")</f>
        <v/>
      </c>
    </row>
    <row r="8773" spans="24:30" x14ac:dyDescent="0.25">
      <c r="X8773" s="8" t="e">
        <f>IF(Final_Sans_VGE[[#This Row],[ppn_z]]="","",IFERROR(
   IF(_xlfn.XLOOKUP(Final_Sans_VGE[[#This Row],[ppn_z]],tbl_Historique_Final[ppn_z],tbl_Historique_Final[date_modif])=Final_Sans_VGE[[#This Row],[date_modif]],
      "Ancien",
      "Modifié"),
   "Nouveau"))</f>
        <v>#VALUE!</v>
      </c>
      <c r="AD8773" s="1" t="str">
        <f>IFERROR(IF(Final_Sans_VGE[[#This Row],[ppn_z]]="","",IFERROR(
   IF(_xlfn.XLOOKUP(Final_Sans_VGE[[#This Row],[ppn_z]],tbl_Historique_Final[[#This Row],[ppn_z]],tbl_Historique_Final[[#This Row],[date_modif]])=Final_Sans_VGE[[#This Row],[date_modif]],
      "Ancien",
      "Modifié"),
   "Nouveau")),"")</f>
        <v/>
      </c>
    </row>
    <row r="8774" spans="24:30" x14ac:dyDescent="0.25">
      <c r="X8774" s="8" t="e">
        <f>IF(Final_Sans_VGE[[#This Row],[ppn_z]]="","",IFERROR(
   IF(_xlfn.XLOOKUP(Final_Sans_VGE[[#This Row],[ppn_z]],tbl_Historique_Final[ppn_z],tbl_Historique_Final[date_modif])=Final_Sans_VGE[[#This Row],[date_modif]],
      "Ancien",
      "Modifié"),
   "Nouveau"))</f>
        <v>#VALUE!</v>
      </c>
      <c r="AD8774" s="1" t="str">
        <f>IFERROR(IF(Final_Sans_VGE[[#This Row],[ppn_z]]="","",IFERROR(
   IF(_xlfn.XLOOKUP(Final_Sans_VGE[[#This Row],[ppn_z]],tbl_Historique_Final[[#This Row],[ppn_z]],tbl_Historique_Final[[#This Row],[date_modif]])=Final_Sans_VGE[[#This Row],[date_modif]],
      "Ancien",
      "Modifié"),
   "Nouveau")),"")</f>
        <v/>
      </c>
    </row>
    <row r="8775" spans="24:30" x14ac:dyDescent="0.25">
      <c r="X8775" s="8" t="e">
        <f>IF(Final_Sans_VGE[[#This Row],[ppn_z]]="","",IFERROR(
   IF(_xlfn.XLOOKUP(Final_Sans_VGE[[#This Row],[ppn_z]],tbl_Historique_Final[ppn_z],tbl_Historique_Final[date_modif])=Final_Sans_VGE[[#This Row],[date_modif]],
      "Ancien",
      "Modifié"),
   "Nouveau"))</f>
        <v>#VALUE!</v>
      </c>
      <c r="AD8775" s="1" t="str">
        <f>IFERROR(IF(Final_Sans_VGE[[#This Row],[ppn_z]]="","",IFERROR(
   IF(_xlfn.XLOOKUP(Final_Sans_VGE[[#This Row],[ppn_z]],tbl_Historique_Final[[#This Row],[ppn_z]],tbl_Historique_Final[[#This Row],[date_modif]])=Final_Sans_VGE[[#This Row],[date_modif]],
      "Ancien",
      "Modifié"),
   "Nouveau")),"")</f>
        <v/>
      </c>
    </row>
    <row r="8776" spans="24:30" x14ac:dyDescent="0.25">
      <c r="X8776" s="8" t="e">
        <f>IF(Final_Sans_VGE[[#This Row],[ppn_z]]="","",IFERROR(
   IF(_xlfn.XLOOKUP(Final_Sans_VGE[[#This Row],[ppn_z]],tbl_Historique_Final[ppn_z],tbl_Historique_Final[date_modif])=Final_Sans_VGE[[#This Row],[date_modif]],
      "Ancien",
      "Modifié"),
   "Nouveau"))</f>
        <v>#VALUE!</v>
      </c>
      <c r="AD8776" s="1" t="str">
        <f>IFERROR(IF(Final_Sans_VGE[[#This Row],[ppn_z]]="","",IFERROR(
   IF(_xlfn.XLOOKUP(Final_Sans_VGE[[#This Row],[ppn_z]],tbl_Historique_Final[[#This Row],[ppn_z]],tbl_Historique_Final[[#This Row],[date_modif]])=Final_Sans_VGE[[#This Row],[date_modif]],
      "Ancien",
      "Modifié"),
   "Nouveau")),"")</f>
        <v/>
      </c>
    </row>
    <row r="8777" spans="24:30" x14ac:dyDescent="0.25">
      <c r="X8777" s="8" t="e">
        <f>IF(Final_Sans_VGE[[#This Row],[ppn_z]]="","",IFERROR(
   IF(_xlfn.XLOOKUP(Final_Sans_VGE[[#This Row],[ppn_z]],tbl_Historique_Final[ppn_z],tbl_Historique_Final[date_modif])=Final_Sans_VGE[[#This Row],[date_modif]],
      "Ancien",
      "Modifié"),
   "Nouveau"))</f>
        <v>#VALUE!</v>
      </c>
      <c r="AD8777" s="1" t="str">
        <f>IFERROR(IF(Final_Sans_VGE[[#This Row],[ppn_z]]="","",IFERROR(
   IF(_xlfn.XLOOKUP(Final_Sans_VGE[[#This Row],[ppn_z]],tbl_Historique_Final[[#This Row],[ppn_z]],tbl_Historique_Final[[#This Row],[date_modif]])=Final_Sans_VGE[[#This Row],[date_modif]],
      "Ancien",
      "Modifié"),
   "Nouveau")),"")</f>
        <v/>
      </c>
    </row>
    <row r="8778" spans="24:30" x14ac:dyDescent="0.25">
      <c r="X8778" s="8" t="e">
        <f>IF(Final_Sans_VGE[[#This Row],[ppn_z]]="","",IFERROR(
   IF(_xlfn.XLOOKUP(Final_Sans_VGE[[#This Row],[ppn_z]],tbl_Historique_Final[ppn_z],tbl_Historique_Final[date_modif])=Final_Sans_VGE[[#This Row],[date_modif]],
      "Ancien",
      "Modifié"),
   "Nouveau"))</f>
        <v>#VALUE!</v>
      </c>
      <c r="AD8778" s="1" t="str">
        <f>IFERROR(IF(Final_Sans_VGE[[#This Row],[ppn_z]]="","",IFERROR(
   IF(_xlfn.XLOOKUP(Final_Sans_VGE[[#This Row],[ppn_z]],tbl_Historique_Final[[#This Row],[ppn_z]],tbl_Historique_Final[[#This Row],[date_modif]])=Final_Sans_VGE[[#This Row],[date_modif]],
      "Ancien",
      "Modifié"),
   "Nouveau")),"")</f>
        <v/>
      </c>
    </row>
    <row r="8779" spans="24:30" x14ac:dyDescent="0.25">
      <c r="X8779" s="8" t="e">
        <f>IF(Final_Sans_VGE[[#This Row],[ppn_z]]="","",IFERROR(
   IF(_xlfn.XLOOKUP(Final_Sans_VGE[[#This Row],[ppn_z]],tbl_Historique_Final[ppn_z],tbl_Historique_Final[date_modif])=Final_Sans_VGE[[#This Row],[date_modif]],
      "Ancien",
      "Modifié"),
   "Nouveau"))</f>
        <v>#VALUE!</v>
      </c>
      <c r="AD8779" s="1" t="str">
        <f>IFERROR(IF(Final_Sans_VGE[[#This Row],[ppn_z]]="","",IFERROR(
   IF(_xlfn.XLOOKUP(Final_Sans_VGE[[#This Row],[ppn_z]],tbl_Historique_Final[[#This Row],[ppn_z]],tbl_Historique_Final[[#This Row],[date_modif]])=Final_Sans_VGE[[#This Row],[date_modif]],
      "Ancien",
      "Modifié"),
   "Nouveau")),"")</f>
        <v/>
      </c>
    </row>
    <row r="8780" spans="24:30" x14ac:dyDescent="0.25">
      <c r="X8780" s="8" t="e">
        <f>IF(Final_Sans_VGE[[#This Row],[ppn_z]]="","",IFERROR(
   IF(_xlfn.XLOOKUP(Final_Sans_VGE[[#This Row],[ppn_z]],tbl_Historique_Final[ppn_z],tbl_Historique_Final[date_modif])=Final_Sans_VGE[[#This Row],[date_modif]],
      "Ancien",
      "Modifié"),
   "Nouveau"))</f>
        <v>#VALUE!</v>
      </c>
      <c r="AD8780" s="1" t="str">
        <f>IFERROR(IF(Final_Sans_VGE[[#This Row],[ppn_z]]="","",IFERROR(
   IF(_xlfn.XLOOKUP(Final_Sans_VGE[[#This Row],[ppn_z]],tbl_Historique_Final[[#This Row],[ppn_z]],tbl_Historique_Final[[#This Row],[date_modif]])=Final_Sans_VGE[[#This Row],[date_modif]],
      "Ancien",
      "Modifié"),
   "Nouveau")),"")</f>
        <v/>
      </c>
    </row>
    <row r="8781" spans="24:30" x14ac:dyDescent="0.25">
      <c r="X8781" s="8" t="e">
        <f>IF(Final_Sans_VGE[[#This Row],[ppn_z]]="","",IFERROR(
   IF(_xlfn.XLOOKUP(Final_Sans_VGE[[#This Row],[ppn_z]],tbl_Historique_Final[ppn_z],tbl_Historique_Final[date_modif])=Final_Sans_VGE[[#This Row],[date_modif]],
      "Ancien",
      "Modifié"),
   "Nouveau"))</f>
        <v>#VALUE!</v>
      </c>
      <c r="AD8781" s="1" t="str">
        <f>IFERROR(IF(Final_Sans_VGE[[#This Row],[ppn_z]]="","",IFERROR(
   IF(_xlfn.XLOOKUP(Final_Sans_VGE[[#This Row],[ppn_z]],tbl_Historique_Final[[#This Row],[ppn_z]],tbl_Historique_Final[[#This Row],[date_modif]])=Final_Sans_VGE[[#This Row],[date_modif]],
      "Ancien",
      "Modifié"),
   "Nouveau")),"")</f>
        <v/>
      </c>
    </row>
    <row r="8782" spans="24:30" x14ac:dyDescent="0.25">
      <c r="X8782" s="8" t="e">
        <f>IF(Final_Sans_VGE[[#This Row],[ppn_z]]="","",IFERROR(
   IF(_xlfn.XLOOKUP(Final_Sans_VGE[[#This Row],[ppn_z]],tbl_Historique_Final[ppn_z],tbl_Historique_Final[date_modif])=Final_Sans_VGE[[#This Row],[date_modif]],
      "Ancien",
      "Modifié"),
   "Nouveau"))</f>
        <v>#VALUE!</v>
      </c>
      <c r="AD8782" s="1" t="str">
        <f>IFERROR(IF(Final_Sans_VGE[[#This Row],[ppn_z]]="","",IFERROR(
   IF(_xlfn.XLOOKUP(Final_Sans_VGE[[#This Row],[ppn_z]],tbl_Historique_Final[[#This Row],[ppn_z]],tbl_Historique_Final[[#This Row],[date_modif]])=Final_Sans_VGE[[#This Row],[date_modif]],
      "Ancien",
      "Modifié"),
   "Nouveau")),"")</f>
        <v/>
      </c>
    </row>
    <row r="8783" spans="24:30" x14ac:dyDescent="0.25">
      <c r="X8783" s="8" t="e">
        <f>IF(Final_Sans_VGE[[#This Row],[ppn_z]]="","",IFERROR(
   IF(_xlfn.XLOOKUP(Final_Sans_VGE[[#This Row],[ppn_z]],tbl_Historique_Final[ppn_z],tbl_Historique_Final[date_modif])=Final_Sans_VGE[[#This Row],[date_modif]],
      "Ancien",
      "Modifié"),
   "Nouveau"))</f>
        <v>#VALUE!</v>
      </c>
      <c r="AD8783" s="1" t="str">
        <f>IFERROR(IF(Final_Sans_VGE[[#This Row],[ppn_z]]="","",IFERROR(
   IF(_xlfn.XLOOKUP(Final_Sans_VGE[[#This Row],[ppn_z]],tbl_Historique_Final[[#This Row],[ppn_z]],tbl_Historique_Final[[#This Row],[date_modif]])=Final_Sans_VGE[[#This Row],[date_modif]],
      "Ancien",
      "Modifié"),
   "Nouveau")),"")</f>
        <v/>
      </c>
    </row>
    <row r="8784" spans="24:30" x14ac:dyDescent="0.25">
      <c r="X8784" s="8" t="e">
        <f>IF(Final_Sans_VGE[[#This Row],[ppn_z]]="","",IFERROR(
   IF(_xlfn.XLOOKUP(Final_Sans_VGE[[#This Row],[ppn_z]],tbl_Historique_Final[ppn_z],tbl_Historique_Final[date_modif])=Final_Sans_VGE[[#This Row],[date_modif]],
      "Ancien",
      "Modifié"),
   "Nouveau"))</f>
        <v>#VALUE!</v>
      </c>
      <c r="AD8784" s="1" t="str">
        <f>IFERROR(IF(Final_Sans_VGE[[#This Row],[ppn_z]]="","",IFERROR(
   IF(_xlfn.XLOOKUP(Final_Sans_VGE[[#This Row],[ppn_z]],tbl_Historique_Final[[#This Row],[ppn_z]],tbl_Historique_Final[[#This Row],[date_modif]])=Final_Sans_VGE[[#This Row],[date_modif]],
      "Ancien",
      "Modifié"),
   "Nouveau")),"")</f>
        <v/>
      </c>
    </row>
    <row r="8785" spans="24:30" x14ac:dyDescent="0.25">
      <c r="X8785" s="8" t="e">
        <f>IF(Final_Sans_VGE[[#This Row],[ppn_z]]="","",IFERROR(
   IF(_xlfn.XLOOKUP(Final_Sans_VGE[[#This Row],[ppn_z]],tbl_Historique_Final[ppn_z],tbl_Historique_Final[date_modif])=Final_Sans_VGE[[#This Row],[date_modif]],
      "Ancien",
      "Modifié"),
   "Nouveau"))</f>
        <v>#VALUE!</v>
      </c>
      <c r="AD8785" s="1" t="str">
        <f>IFERROR(IF(Final_Sans_VGE[[#This Row],[ppn_z]]="","",IFERROR(
   IF(_xlfn.XLOOKUP(Final_Sans_VGE[[#This Row],[ppn_z]],tbl_Historique_Final[[#This Row],[ppn_z]],tbl_Historique_Final[[#This Row],[date_modif]])=Final_Sans_VGE[[#This Row],[date_modif]],
      "Ancien",
      "Modifié"),
   "Nouveau")),"")</f>
        <v/>
      </c>
    </row>
    <row r="8786" spans="24:30" x14ac:dyDescent="0.25">
      <c r="X8786" s="8" t="e">
        <f>IF(Final_Sans_VGE[[#This Row],[ppn_z]]="","",IFERROR(
   IF(_xlfn.XLOOKUP(Final_Sans_VGE[[#This Row],[ppn_z]],tbl_Historique_Final[ppn_z],tbl_Historique_Final[date_modif])=Final_Sans_VGE[[#This Row],[date_modif]],
      "Ancien",
      "Modifié"),
   "Nouveau"))</f>
        <v>#VALUE!</v>
      </c>
      <c r="AD8786" s="1" t="str">
        <f>IFERROR(IF(Final_Sans_VGE[[#This Row],[ppn_z]]="","",IFERROR(
   IF(_xlfn.XLOOKUP(Final_Sans_VGE[[#This Row],[ppn_z]],tbl_Historique_Final[[#This Row],[ppn_z]],tbl_Historique_Final[[#This Row],[date_modif]])=Final_Sans_VGE[[#This Row],[date_modif]],
      "Ancien",
      "Modifié"),
   "Nouveau")),"")</f>
        <v/>
      </c>
    </row>
    <row r="8787" spans="24:30" x14ac:dyDescent="0.25">
      <c r="X8787" s="8" t="e">
        <f>IF(Final_Sans_VGE[[#This Row],[ppn_z]]="","",IFERROR(
   IF(_xlfn.XLOOKUP(Final_Sans_VGE[[#This Row],[ppn_z]],tbl_Historique_Final[ppn_z],tbl_Historique_Final[date_modif])=Final_Sans_VGE[[#This Row],[date_modif]],
      "Ancien",
      "Modifié"),
   "Nouveau"))</f>
        <v>#VALUE!</v>
      </c>
      <c r="AD8787" s="1" t="str">
        <f>IFERROR(IF(Final_Sans_VGE[[#This Row],[ppn_z]]="","",IFERROR(
   IF(_xlfn.XLOOKUP(Final_Sans_VGE[[#This Row],[ppn_z]],tbl_Historique_Final[[#This Row],[ppn_z]],tbl_Historique_Final[[#This Row],[date_modif]])=Final_Sans_VGE[[#This Row],[date_modif]],
      "Ancien",
      "Modifié"),
   "Nouveau")),"")</f>
        <v/>
      </c>
    </row>
    <row r="8788" spans="24:30" x14ac:dyDescent="0.25">
      <c r="X8788" s="8" t="e">
        <f>IF(Final_Sans_VGE[[#This Row],[ppn_z]]="","",IFERROR(
   IF(_xlfn.XLOOKUP(Final_Sans_VGE[[#This Row],[ppn_z]],tbl_Historique_Final[ppn_z],tbl_Historique_Final[date_modif])=Final_Sans_VGE[[#This Row],[date_modif]],
      "Ancien",
      "Modifié"),
   "Nouveau"))</f>
        <v>#VALUE!</v>
      </c>
      <c r="AD8788" s="1" t="str">
        <f>IFERROR(IF(Final_Sans_VGE[[#This Row],[ppn_z]]="","",IFERROR(
   IF(_xlfn.XLOOKUP(Final_Sans_VGE[[#This Row],[ppn_z]],tbl_Historique_Final[[#This Row],[ppn_z]],tbl_Historique_Final[[#This Row],[date_modif]])=Final_Sans_VGE[[#This Row],[date_modif]],
      "Ancien",
      "Modifié"),
   "Nouveau")),"")</f>
        <v/>
      </c>
    </row>
    <row r="8789" spans="24:30" x14ac:dyDescent="0.25">
      <c r="X8789" s="8" t="e">
        <f>IF(Final_Sans_VGE[[#This Row],[ppn_z]]="","",IFERROR(
   IF(_xlfn.XLOOKUP(Final_Sans_VGE[[#This Row],[ppn_z]],tbl_Historique_Final[ppn_z],tbl_Historique_Final[date_modif])=Final_Sans_VGE[[#This Row],[date_modif]],
      "Ancien",
      "Modifié"),
   "Nouveau"))</f>
        <v>#VALUE!</v>
      </c>
      <c r="AD8789" s="1" t="str">
        <f>IFERROR(IF(Final_Sans_VGE[[#This Row],[ppn_z]]="","",IFERROR(
   IF(_xlfn.XLOOKUP(Final_Sans_VGE[[#This Row],[ppn_z]],tbl_Historique_Final[[#This Row],[ppn_z]],tbl_Historique_Final[[#This Row],[date_modif]])=Final_Sans_VGE[[#This Row],[date_modif]],
      "Ancien",
      "Modifié"),
   "Nouveau")),"")</f>
        <v/>
      </c>
    </row>
    <row r="8790" spans="24:30" x14ac:dyDescent="0.25">
      <c r="X8790" s="8" t="e">
        <f>IF(Final_Sans_VGE[[#This Row],[ppn_z]]="","",IFERROR(
   IF(_xlfn.XLOOKUP(Final_Sans_VGE[[#This Row],[ppn_z]],tbl_Historique_Final[ppn_z],tbl_Historique_Final[date_modif])=Final_Sans_VGE[[#This Row],[date_modif]],
      "Ancien",
      "Modifié"),
   "Nouveau"))</f>
        <v>#VALUE!</v>
      </c>
      <c r="AD8790" s="1" t="str">
        <f>IFERROR(IF(Final_Sans_VGE[[#This Row],[ppn_z]]="","",IFERROR(
   IF(_xlfn.XLOOKUP(Final_Sans_VGE[[#This Row],[ppn_z]],tbl_Historique_Final[[#This Row],[ppn_z]],tbl_Historique_Final[[#This Row],[date_modif]])=Final_Sans_VGE[[#This Row],[date_modif]],
      "Ancien",
      "Modifié"),
   "Nouveau")),"")</f>
        <v/>
      </c>
    </row>
    <row r="8791" spans="24:30" x14ac:dyDescent="0.25">
      <c r="X8791" s="8" t="e">
        <f>IF(Final_Sans_VGE[[#This Row],[ppn_z]]="","",IFERROR(
   IF(_xlfn.XLOOKUP(Final_Sans_VGE[[#This Row],[ppn_z]],tbl_Historique_Final[ppn_z],tbl_Historique_Final[date_modif])=Final_Sans_VGE[[#This Row],[date_modif]],
      "Ancien",
      "Modifié"),
   "Nouveau"))</f>
        <v>#VALUE!</v>
      </c>
      <c r="AD8791" s="1" t="str">
        <f>IFERROR(IF(Final_Sans_VGE[[#This Row],[ppn_z]]="","",IFERROR(
   IF(_xlfn.XLOOKUP(Final_Sans_VGE[[#This Row],[ppn_z]],tbl_Historique_Final[[#This Row],[ppn_z]],tbl_Historique_Final[[#This Row],[date_modif]])=Final_Sans_VGE[[#This Row],[date_modif]],
      "Ancien",
      "Modifié"),
   "Nouveau")),"")</f>
        <v/>
      </c>
    </row>
    <row r="8792" spans="24:30" x14ac:dyDescent="0.25">
      <c r="X8792" s="8" t="e">
        <f>IF(Final_Sans_VGE[[#This Row],[ppn_z]]="","",IFERROR(
   IF(_xlfn.XLOOKUP(Final_Sans_VGE[[#This Row],[ppn_z]],tbl_Historique_Final[ppn_z],tbl_Historique_Final[date_modif])=Final_Sans_VGE[[#This Row],[date_modif]],
      "Ancien",
      "Modifié"),
   "Nouveau"))</f>
        <v>#VALUE!</v>
      </c>
      <c r="AD8792" s="1" t="str">
        <f>IFERROR(IF(Final_Sans_VGE[[#This Row],[ppn_z]]="","",IFERROR(
   IF(_xlfn.XLOOKUP(Final_Sans_VGE[[#This Row],[ppn_z]],tbl_Historique_Final[[#This Row],[ppn_z]],tbl_Historique_Final[[#This Row],[date_modif]])=Final_Sans_VGE[[#This Row],[date_modif]],
      "Ancien",
      "Modifié"),
   "Nouveau")),"")</f>
        <v/>
      </c>
    </row>
    <row r="8793" spans="24:30" x14ac:dyDescent="0.25">
      <c r="X8793" s="8" t="e">
        <f>IF(Final_Sans_VGE[[#This Row],[ppn_z]]="","",IFERROR(
   IF(_xlfn.XLOOKUP(Final_Sans_VGE[[#This Row],[ppn_z]],tbl_Historique_Final[ppn_z],tbl_Historique_Final[date_modif])=Final_Sans_VGE[[#This Row],[date_modif]],
      "Ancien",
      "Modifié"),
   "Nouveau"))</f>
        <v>#VALUE!</v>
      </c>
      <c r="AD8793" s="1" t="str">
        <f>IFERROR(IF(Final_Sans_VGE[[#This Row],[ppn_z]]="","",IFERROR(
   IF(_xlfn.XLOOKUP(Final_Sans_VGE[[#This Row],[ppn_z]],tbl_Historique_Final[[#This Row],[ppn_z]],tbl_Historique_Final[[#This Row],[date_modif]])=Final_Sans_VGE[[#This Row],[date_modif]],
      "Ancien",
      "Modifié"),
   "Nouveau")),"")</f>
        <v/>
      </c>
    </row>
    <row r="8794" spans="24:30" x14ac:dyDescent="0.25">
      <c r="X8794" s="8" t="e">
        <f>IF(Final_Sans_VGE[[#This Row],[ppn_z]]="","",IFERROR(
   IF(_xlfn.XLOOKUP(Final_Sans_VGE[[#This Row],[ppn_z]],tbl_Historique_Final[ppn_z],tbl_Historique_Final[date_modif])=Final_Sans_VGE[[#This Row],[date_modif]],
      "Ancien",
      "Modifié"),
   "Nouveau"))</f>
        <v>#VALUE!</v>
      </c>
      <c r="AD8794" s="1" t="str">
        <f>IFERROR(IF(Final_Sans_VGE[[#This Row],[ppn_z]]="","",IFERROR(
   IF(_xlfn.XLOOKUP(Final_Sans_VGE[[#This Row],[ppn_z]],tbl_Historique_Final[[#This Row],[ppn_z]],tbl_Historique_Final[[#This Row],[date_modif]])=Final_Sans_VGE[[#This Row],[date_modif]],
      "Ancien",
      "Modifié"),
   "Nouveau")),"")</f>
        <v/>
      </c>
    </row>
    <row r="8795" spans="24:30" x14ac:dyDescent="0.25">
      <c r="X8795" s="8" t="e">
        <f>IF(Final_Sans_VGE[[#This Row],[ppn_z]]="","",IFERROR(
   IF(_xlfn.XLOOKUP(Final_Sans_VGE[[#This Row],[ppn_z]],tbl_Historique_Final[ppn_z],tbl_Historique_Final[date_modif])=Final_Sans_VGE[[#This Row],[date_modif]],
      "Ancien",
      "Modifié"),
   "Nouveau"))</f>
        <v>#VALUE!</v>
      </c>
      <c r="AD8795" s="1" t="str">
        <f>IFERROR(IF(Final_Sans_VGE[[#This Row],[ppn_z]]="","",IFERROR(
   IF(_xlfn.XLOOKUP(Final_Sans_VGE[[#This Row],[ppn_z]],tbl_Historique_Final[[#This Row],[ppn_z]],tbl_Historique_Final[[#This Row],[date_modif]])=Final_Sans_VGE[[#This Row],[date_modif]],
      "Ancien",
      "Modifié"),
   "Nouveau")),"")</f>
        <v/>
      </c>
    </row>
    <row r="8796" spans="24:30" x14ac:dyDescent="0.25">
      <c r="X8796" s="8" t="e">
        <f>IF(Final_Sans_VGE[[#This Row],[ppn_z]]="","",IFERROR(
   IF(_xlfn.XLOOKUP(Final_Sans_VGE[[#This Row],[ppn_z]],tbl_Historique_Final[ppn_z],tbl_Historique_Final[date_modif])=Final_Sans_VGE[[#This Row],[date_modif]],
      "Ancien",
      "Modifié"),
   "Nouveau"))</f>
        <v>#VALUE!</v>
      </c>
      <c r="AD8796" s="1" t="str">
        <f>IFERROR(IF(Final_Sans_VGE[[#This Row],[ppn_z]]="","",IFERROR(
   IF(_xlfn.XLOOKUP(Final_Sans_VGE[[#This Row],[ppn_z]],tbl_Historique_Final[[#This Row],[ppn_z]],tbl_Historique_Final[[#This Row],[date_modif]])=Final_Sans_VGE[[#This Row],[date_modif]],
      "Ancien",
      "Modifié"),
   "Nouveau")),"")</f>
        <v/>
      </c>
    </row>
    <row r="8797" spans="24:30" x14ac:dyDescent="0.25">
      <c r="X8797" s="8" t="e">
        <f>IF(Final_Sans_VGE[[#This Row],[ppn_z]]="","",IFERROR(
   IF(_xlfn.XLOOKUP(Final_Sans_VGE[[#This Row],[ppn_z]],tbl_Historique_Final[ppn_z],tbl_Historique_Final[date_modif])=Final_Sans_VGE[[#This Row],[date_modif]],
      "Ancien",
      "Modifié"),
   "Nouveau"))</f>
        <v>#VALUE!</v>
      </c>
      <c r="AD8797" s="1" t="str">
        <f>IFERROR(IF(Final_Sans_VGE[[#This Row],[ppn_z]]="","",IFERROR(
   IF(_xlfn.XLOOKUP(Final_Sans_VGE[[#This Row],[ppn_z]],tbl_Historique_Final[[#This Row],[ppn_z]],tbl_Historique_Final[[#This Row],[date_modif]])=Final_Sans_VGE[[#This Row],[date_modif]],
      "Ancien",
      "Modifié"),
   "Nouveau")),"")</f>
        <v/>
      </c>
    </row>
    <row r="8798" spans="24:30" x14ac:dyDescent="0.25">
      <c r="X8798" s="8" t="e">
        <f>IF(Final_Sans_VGE[[#This Row],[ppn_z]]="","",IFERROR(
   IF(_xlfn.XLOOKUP(Final_Sans_VGE[[#This Row],[ppn_z]],tbl_Historique_Final[ppn_z],tbl_Historique_Final[date_modif])=Final_Sans_VGE[[#This Row],[date_modif]],
      "Ancien",
      "Modifié"),
   "Nouveau"))</f>
        <v>#VALUE!</v>
      </c>
      <c r="AD8798" s="1" t="str">
        <f>IFERROR(IF(Final_Sans_VGE[[#This Row],[ppn_z]]="","",IFERROR(
   IF(_xlfn.XLOOKUP(Final_Sans_VGE[[#This Row],[ppn_z]],tbl_Historique_Final[[#This Row],[ppn_z]],tbl_Historique_Final[[#This Row],[date_modif]])=Final_Sans_VGE[[#This Row],[date_modif]],
      "Ancien",
      "Modifié"),
   "Nouveau")),"")</f>
        <v/>
      </c>
    </row>
    <row r="8799" spans="24:30" x14ac:dyDescent="0.25">
      <c r="X8799" s="8" t="e">
        <f>IF(Final_Sans_VGE[[#This Row],[ppn_z]]="","",IFERROR(
   IF(_xlfn.XLOOKUP(Final_Sans_VGE[[#This Row],[ppn_z]],tbl_Historique_Final[ppn_z],tbl_Historique_Final[date_modif])=Final_Sans_VGE[[#This Row],[date_modif]],
      "Ancien",
      "Modifié"),
   "Nouveau"))</f>
        <v>#VALUE!</v>
      </c>
      <c r="AD8799" s="1" t="str">
        <f>IFERROR(IF(Final_Sans_VGE[[#This Row],[ppn_z]]="","",IFERROR(
   IF(_xlfn.XLOOKUP(Final_Sans_VGE[[#This Row],[ppn_z]],tbl_Historique_Final[[#This Row],[ppn_z]],tbl_Historique_Final[[#This Row],[date_modif]])=Final_Sans_VGE[[#This Row],[date_modif]],
      "Ancien",
      "Modifié"),
   "Nouveau")),"")</f>
        <v/>
      </c>
    </row>
    <row r="8800" spans="24:30" x14ac:dyDescent="0.25">
      <c r="X8800" s="8" t="e">
        <f>IF(Final_Sans_VGE[[#This Row],[ppn_z]]="","",IFERROR(
   IF(_xlfn.XLOOKUP(Final_Sans_VGE[[#This Row],[ppn_z]],tbl_Historique_Final[ppn_z],tbl_Historique_Final[date_modif])=Final_Sans_VGE[[#This Row],[date_modif]],
      "Ancien",
      "Modifié"),
   "Nouveau"))</f>
        <v>#VALUE!</v>
      </c>
      <c r="AD8800" s="1" t="str">
        <f>IFERROR(IF(Final_Sans_VGE[[#This Row],[ppn_z]]="","",IFERROR(
   IF(_xlfn.XLOOKUP(Final_Sans_VGE[[#This Row],[ppn_z]],tbl_Historique_Final[[#This Row],[ppn_z]],tbl_Historique_Final[[#This Row],[date_modif]])=Final_Sans_VGE[[#This Row],[date_modif]],
      "Ancien",
      "Modifié"),
   "Nouveau")),"")</f>
        <v/>
      </c>
    </row>
    <row r="8801" spans="24:30" x14ac:dyDescent="0.25">
      <c r="X8801" s="8" t="e">
        <f>IF(Final_Sans_VGE[[#This Row],[ppn_z]]="","",IFERROR(
   IF(_xlfn.XLOOKUP(Final_Sans_VGE[[#This Row],[ppn_z]],tbl_Historique_Final[ppn_z],tbl_Historique_Final[date_modif])=Final_Sans_VGE[[#This Row],[date_modif]],
      "Ancien",
      "Modifié"),
   "Nouveau"))</f>
        <v>#VALUE!</v>
      </c>
      <c r="AD8801" s="1" t="str">
        <f>IFERROR(IF(Final_Sans_VGE[[#This Row],[ppn_z]]="","",IFERROR(
   IF(_xlfn.XLOOKUP(Final_Sans_VGE[[#This Row],[ppn_z]],tbl_Historique_Final[[#This Row],[ppn_z]],tbl_Historique_Final[[#This Row],[date_modif]])=Final_Sans_VGE[[#This Row],[date_modif]],
      "Ancien",
      "Modifié"),
   "Nouveau")),"")</f>
        <v/>
      </c>
    </row>
    <row r="8802" spans="24:30" x14ac:dyDescent="0.25">
      <c r="X8802" s="8" t="e">
        <f>IF(Final_Sans_VGE[[#This Row],[ppn_z]]="","",IFERROR(
   IF(_xlfn.XLOOKUP(Final_Sans_VGE[[#This Row],[ppn_z]],tbl_Historique_Final[ppn_z],tbl_Historique_Final[date_modif])=Final_Sans_VGE[[#This Row],[date_modif]],
      "Ancien",
      "Modifié"),
   "Nouveau"))</f>
        <v>#VALUE!</v>
      </c>
      <c r="AD8802" s="1" t="str">
        <f>IFERROR(IF(Final_Sans_VGE[[#This Row],[ppn_z]]="","",IFERROR(
   IF(_xlfn.XLOOKUP(Final_Sans_VGE[[#This Row],[ppn_z]],tbl_Historique_Final[[#This Row],[ppn_z]],tbl_Historique_Final[[#This Row],[date_modif]])=Final_Sans_VGE[[#This Row],[date_modif]],
      "Ancien",
      "Modifié"),
   "Nouveau")),"")</f>
        <v/>
      </c>
    </row>
    <row r="8803" spans="24:30" x14ac:dyDescent="0.25">
      <c r="X8803" s="8" t="e">
        <f>IF(Final_Sans_VGE[[#This Row],[ppn_z]]="","",IFERROR(
   IF(_xlfn.XLOOKUP(Final_Sans_VGE[[#This Row],[ppn_z]],tbl_Historique_Final[ppn_z],tbl_Historique_Final[date_modif])=Final_Sans_VGE[[#This Row],[date_modif]],
      "Ancien",
      "Modifié"),
   "Nouveau"))</f>
        <v>#VALUE!</v>
      </c>
      <c r="AD8803" s="1" t="str">
        <f>IFERROR(IF(Final_Sans_VGE[[#This Row],[ppn_z]]="","",IFERROR(
   IF(_xlfn.XLOOKUP(Final_Sans_VGE[[#This Row],[ppn_z]],tbl_Historique_Final[[#This Row],[ppn_z]],tbl_Historique_Final[[#This Row],[date_modif]])=Final_Sans_VGE[[#This Row],[date_modif]],
      "Ancien",
      "Modifié"),
   "Nouveau")),"")</f>
        <v/>
      </c>
    </row>
    <row r="8804" spans="24:30" x14ac:dyDescent="0.25">
      <c r="X8804" s="8" t="e">
        <f>IF(Final_Sans_VGE[[#This Row],[ppn_z]]="","",IFERROR(
   IF(_xlfn.XLOOKUP(Final_Sans_VGE[[#This Row],[ppn_z]],tbl_Historique_Final[ppn_z],tbl_Historique_Final[date_modif])=Final_Sans_VGE[[#This Row],[date_modif]],
      "Ancien",
      "Modifié"),
   "Nouveau"))</f>
        <v>#VALUE!</v>
      </c>
      <c r="AD8804" s="1" t="str">
        <f>IFERROR(IF(Final_Sans_VGE[[#This Row],[ppn_z]]="","",IFERROR(
   IF(_xlfn.XLOOKUP(Final_Sans_VGE[[#This Row],[ppn_z]],tbl_Historique_Final[[#This Row],[ppn_z]],tbl_Historique_Final[[#This Row],[date_modif]])=Final_Sans_VGE[[#This Row],[date_modif]],
      "Ancien",
      "Modifié"),
   "Nouveau")),"")</f>
        <v/>
      </c>
    </row>
    <row r="8805" spans="24:30" x14ac:dyDescent="0.25">
      <c r="X8805" s="8" t="e">
        <f>IF(Final_Sans_VGE[[#This Row],[ppn_z]]="","",IFERROR(
   IF(_xlfn.XLOOKUP(Final_Sans_VGE[[#This Row],[ppn_z]],tbl_Historique_Final[ppn_z],tbl_Historique_Final[date_modif])=Final_Sans_VGE[[#This Row],[date_modif]],
      "Ancien",
      "Modifié"),
   "Nouveau"))</f>
        <v>#VALUE!</v>
      </c>
      <c r="AD8805" s="1" t="str">
        <f>IFERROR(IF(Final_Sans_VGE[[#This Row],[ppn_z]]="","",IFERROR(
   IF(_xlfn.XLOOKUP(Final_Sans_VGE[[#This Row],[ppn_z]],tbl_Historique_Final[[#This Row],[ppn_z]],tbl_Historique_Final[[#This Row],[date_modif]])=Final_Sans_VGE[[#This Row],[date_modif]],
      "Ancien",
      "Modifié"),
   "Nouveau")),"")</f>
        <v/>
      </c>
    </row>
    <row r="8806" spans="24:30" x14ac:dyDescent="0.25">
      <c r="X8806" s="8" t="e">
        <f>IF(Final_Sans_VGE[[#This Row],[ppn_z]]="","",IFERROR(
   IF(_xlfn.XLOOKUP(Final_Sans_VGE[[#This Row],[ppn_z]],tbl_Historique_Final[ppn_z],tbl_Historique_Final[date_modif])=Final_Sans_VGE[[#This Row],[date_modif]],
      "Ancien",
      "Modifié"),
   "Nouveau"))</f>
        <v>#VALUE!</v>
      </c>
      <c r="AD8806" s="1" t="str">
        <f>IFERROR(IF(Final_Sans_VGE[[#This Row],[ppn_z]]="","",IFERROR(
   IF(_xlfn.XLOOKUP(Final_Sans_VGE[[#This Row],[ppn_z]],tbl_Historique_Final[[#This Row],[ppn_z]],tbl_Historique_Final[[#This Row],[date_modif]])=Final_Sans_VGE[[#This Row],[date_modif]],
      "Ancien",
      "Modifié"),
   "Nouveau")),"")</f>
        <v/>
      </c>
    </row>
    <row r="8807" spans="24:30" x14ac:dyDescent="0.25">
      <c r="X8807" s="8" t="e">
        <f>IF(Final_Sans_VGE[[#This Row],[ppn_z]]="","",IFERROR(
   IF(_xlfn.XLOOKUP(Final_Sans_VGE[[#This Row],[ppn_z]],tbl_Historique_Final[ppn_z],tbl_Historique_Final[date_modif])=Final_Sans_VGE[[#This Row],[date_modif]],
      "Ancien",
      "Modifié"),
   "Nouveau"))</f>
        <v>#VALUE!</v>
      </c>
      <c r="AD8807" s="1" t="str">
        <f>IFERROR(IF(Final_Sans_VGE[[#This Row],[ppn_z]]="","",IFERROR(
   IF(_xlfn.XLOOKUP(Final_Sans_VGE[[#This Row],[ppn_z]],tbl_Historique_Final[[#This Row],[ppn_z]],tbl_Historique_Final[[#This Row],[date_modif]])=Final_Sans_VGE[[#This Row],[date_modif]],
      "Ancien",
      "Modifié"),
   "Nouveau")),"")</f>
        <v/>
      </c>
    </row>
    <row r="8808" spans="24:30" x14ac:dyDescent="0.25">
      <c r="X8808" s="8" t="e">
        <f>IF(Final_Sans_VGE[[#This Row],[ppn_z]]="","",IFERROR(
   IF(_xlfn.XLOOKUP(Final_Sans_VGE[[#This Row],[ppn_z]],tbl_Historique_Final[ppn_z],tbl_Historique_Final[date_modif])=Final_Sans_VGE[[#This Row],[date_modif]],
      "Ancien",
      "Modifié"),
   "Nouveau"))</f>
        <v>#VALUE!</v>
      </c>
      <c r="AD8808" s="1" t="str">
        <f>IFERROR(IF(Final_Sans_VGE[[#This Row],[ppn_z]]="","",IFERROR(
   IF(_xlfn.XLOOKUP(Final_Sans_VGE[[#This Row],[ppn_z]],tbl_Historique_Final[[#This Row],[ppn_z]],tbl_Historique_Final[[#This Row],[date_modif]])=Final_Sans_VGE[[#This Row],[date_modif]],
      "Ancien",
      "Modifié"),
   "Nouveau")),"")</f>
        <v/>
      </c>
    </row>
    <row r="8809" spans="24:30" x14ac:dyDescent="0.25">
      <c r="X8809" s="8" t="e">
        <f>IF(Final_Sans_VGE[[#This Row],[ppn_z]]="","",IFERROR(
   IF(_xlfn.XLOOKUP(Final_Sans_VGE[[#This Row],[ppn_z]],tbl_Historique_Final[ppn_z],tbl_Historique_Final[date_modif])=Final_Sans_VGE[[#This Row],[date_modif]],
      "Ancien",
      "Modifié"),
   "Nouveau"))</f>
        <v>#VALUE!</v>
      </c>
      <c r="AD8809" s="1" t="str">
        <f>IFERROR(IF(Final_Sans_VGE[[#This Row],[ppn_z]]="","",IFERROR(
   IF(_xlfn.XLOOKUP(Final_Sans_VGE[[#This Row],[ppn_z]],tbl_Historique_Final[[#This Row],[ppn_z]],tbl_Historique_Final[[#This Row],[date_modif]])=Final_Sans_VGE[[#This Row],[date_modif]],
      "Ancien",
      "Modifié"),
   "Nouveau")),"")</f>
        <v/>
      </c>
    </row>
    <row r="8810" spans="24:30" x14ac:dyDescent="0.25">
      <c r="X8810" s="8" t="e">
        <f>IF(Final_Sans_VGE[[#This Row],[ppn_z]]="","",IFERROR(
   IF(_xlfn.XLOOKUP(Final_Sans_VGE[[#This Row],[ppn_z]],tbl_Historique_Final[ppn_z],tbl_Historique_Final[date_modif])=Final_Sans_VGE[[#This Row],[date_modif]],
      "Ancien",
      "Modifié"),
   "Nouveau"))</f>
        <v>#VALUE!</v>
      </c>
      <c r="AD8810" s="1" t="str">
        <f>IFERROR(IF(Final_Sans_VGE[[#This Row],[ppn_z]]="","",IFERROR(
   IF(_xlfn.XLOOKUP(Final_Sans_VGE[[#This Row],[ppn_z]],tbl_Historique_Final[[#This Row],[ppn_z]],tbl_Historique_Final[[#This Row],[date_modif]])=Final_Sans_VGE[[#This Row],[date_modif]],
      "Ancien",
      "Modifié"),
   "Nouveau")),"")</f>
        <v/>
      </c>
    </row>
    <row r="8811" spans="24:30" x14ac:dyDescent="0.25">
      <c r="X8811" s="8" t="e">
        <f>IF(Final_Sans_VGE[[#This Row],[ppn_z]]="","",IFERROR(
   IF(_xlfn.XLOOKUP(Final_Sans_VGE[[#This Row],[ppn_z]],tbl_Historique_Final[ppn_z],tbl_Historique_Final[date_modif])=Final_Sans_VGE[[#This Row],[date_modif]],
      "Ancien",
      "Modifié"),
   "Nouveau"))</f>
        <v>#VALUE!</v>
      </c>
      <c r="AD8811" s="1" t="str">
        <f>IFERROR(IF(Final_Sans_VGE[[#This Row],[ppn_z]]="","",IFERROR(
   IF(_xlfn.XLOOKUP(Final_Sans_VGE[[#This Row],[ppn_z]],tbl_Historique_Final[[#This Row],[ppn_z]],tbl_Historique_Final[[#This Row],[date_modif]])=Final_Sans_VGE[[#This Row],[date_modif]],
      "Ancien",
      "Modifié"),
   "Nouveau")),"")</f>
        <v/>
      </c>
    </row>
    <row r="8812" spans="24:30" x14ac:dyDescent="0.25">
      <c r="X8812" s="8" t="e">
        <f>IF(Final_Sans_VGE[[#This Row],[ppn_z]]="","",IFERROR(
   IF(_xlfn.XLOOKUP(Final_Sans_VGE[[#This Row],[ppn_z]],tbl_Historique_Final[ppn_z],tbl_Historique_Final[date_modif])=Final_Sans_VGE[[#This Row],[date_modif]],
      "Ancien",
      "Modifié"),
   "Nouveau"))</f>
        <v>#VALUE!</v>
      </c>
      <c r="AD8812" s="1" t="str">
        <f>IFERROR(IF(Final_Sans_VGE[[#This Row],[ppn_z]]="","",IFERROR(
   IF(_xlfn.XLOOKUP(Final_Sans_VGE[[#This Row],[ppn_z]],tbl_Historique_Final[[#This Row],[ppn_z]],tbl_Historique_Final[[#This Row],[date_modif]])=Final_Sans_VGE[[#This Row],[date_modif]],
      "Ancien",
      "Modifié"),
   "Nouveau")),"")</f>
        <v/>
      </c>
    </row>
    <row r="8813" spans="24:30" x14ac:dyDescent="0.25">
      <c r="X8813" s="8" t="e">
        <f>IF(Final_Sans_VGE[[#This Row],[ppn_z]]="","",IFERROR(
   IF(_xlfn.XLOOKUP(Final_Sans_VGE[[#This Row],[ppn_z]],tbl_Historique_Final[ppn_z],tbl_Historique_Final[date_modif])=Final_Sans_VGE[[#This Row],[date_modif]],
      "Ancien",
      "Modifié"),
   "Nouveau"))</f>
        <v>#VALUE!</v>
      </c>
      <c r="AD8813" s="1" t="str">
        <f>IFERROR(IF(Final_Sans_VGE[[#This Row],[ppn_z]]="","",IFERROR(
   IF(_xlfn.XLOOKUP(Final_Sans_VGE[[#This Row],[ppn_z]],tbl_Historique_Final[[#This Row],[ppn_z]],tbl_Historique_Final[[#This Row],[date_modif]])=Final_Sans_VGE[[#This Row],[date_modif]],
      "Ancien",
      "Modifié"),
   "Nouveau")),"")</f>
        <v/>
      </c>
    </row>
    <row r="8814" spans="24:30" x14ac:dyDescent="0.25">
      <c r="X8814" s="8" t="e">
        <f>IF(Final_Sans_VGE[[#This Row],[ppn_z]]="","",IFERROR(
   IF(_xlfn.XLOOKUP(Final_Sans_VGE[[#This Row],[ppn_z]],tbl_Historique_Final[ppn_z],tbl_Historique_Final[date_modif])=Final_Sans_VGE[[#This Row],[date_modif]],
      "Ancien",
      "Modifié"),
   "Nouveau"))</f>
        <v>#VALUE!</v>
      </c>
      <c r="AD8814" s="1" t="str">
        <f>IFERROR(IF(Final_Sans_VGE[[#This Row],[ppn_z]]="","",IFERROR(
   IF(_xlfn.XLOOKUP(Final_Sans_VGE[[#This Row],[ppn_z]],tbl_Historique_Final[[#This Row],[ppn_z]],tbl_Historique_Final[[#This Row],[date_modif]])=Final_Sans_VGE[[#This Row],[date_modif]],
      "Ancien",
      "Modifié"),
   "Nouveau")),"")</f>
        <v/>
      </c>
    </row>
    <row r="8815" spans="24:30" x14ac:dyDescent="0.25">
      <c r="X8815" s="8" t="e">
        <f>IF(Final_Sans_VGE[[#This Row],[ppn_z]]="","",IFERROR(
   IF(_xlfn.XLOOKUP(Final_Sans_VGE[[#This Row],[ppn_z]],tbl_Historique_Final[ppn_z],tbl_Historique_Final[date_modif])=Final_Sans_VGE[[#This Row],[date_modif]],
      "Ancien",
      "Modifié"),
   "Nouveau"))</f>
        <v>#VALUE!</v>
      </c>
      <c r="AD8815" s="1" t="str">
        <f>IFERROR(IF(Final_Sans_VGE[[#This Row],[ppn_z]]="","",IFERROR(
   IF(_xlfn.XLOOKUP(Final_Sans_VGE[[#This Row],[ppn_z]],tbl_Historique_Final[[#This Row],[ppn_z]],tbl_Historique_Final[[#This Row],[date_modif]])=Final_Sans_VGE[[#This Row],[date_modif]],
      "Ancien",
      "Modifié"),
   "Nouveau")),"")</f>
        <v/>
      </c>
    </row>
    <row r="8816" spans="24:30" x14ac:dyDescent="0.25">
      <c r="X8816" s="8" t="e">
        <f>IF(Final_Sans_VGE[[#This Row],[ppn_z]]="","",IFERROR(
   IF(_xlfn.XLOOKUP(Final_Sans_VGE[[#This Row],[ppn_z]],tbl_Historique_Final[ppn_z],tbl_Historique_Final[date_modif])=Final_Sans_VGE[[#This Row],[date_modif]],
      "Ancien",
      "Modifié"),
   "Nouveau"))</f>
        <v>#VALUE!</v>
      </c>
      <c r="AD8816" s="1" t="str">
        <f>IFERROR(IF(Final_Sans_VGE[[#This Row],[ppn_z]]="","",IFERROR(
   IF(_xlfn.XLOOKUP(Final_Sans_VGE[[#This Row],[ppn_z]],tbl_Historique_Final[[#This Row],[ppn_z]],tbl_Historique_Final[[#This Row],[date_modif]])=Final_Sans_VGE[[#This Row],[date_modif]],
      "Ancien",
      "Modifié"),
   "Nouveau")),"")</f>
        <v/>
      </c>
    </row>
    <row r="8817" spans="24:30" x14ac:dyDescent="0.25">
      <c r="X8817" s="8" t="e">
        <f>IF(Final_Sans_VGE[[#This Row],[ppn_z]]="","",IFERROR(
   IF(_xlfn.XLOOKUP(Final_Sans_VGE[[#This Row],[ppn_z]],tbl_Historique_Final[ppn_z],tbl_Historique_Final[date_modif])=Final_Sans_VGE[[#This Row],[date_modif]],
      "Ancien",
      "Modifié"),
   "Nouveau"))</f>
        <v>#VALUE!</v>
      </c>
      <c r="AD8817" s="1" t="str">
        <f>IFERROR(IF(Final_Sans_VGE[[#This Row],[ppn_z]]="","",IFERROR(
   IF(_xlfn.XLOOKUP(Final_Sans_VGE[[#This Row],[ppn_z]],tbl_Historique_Final[[#This Row],[ppn_z]],tbl_Historique_Final[[#This Row],[date_modif]])=Final_Sans_VGE[[#This Row],[date_modif]],
      "Ancien",
      "Modifié"),
   "Nouveau")),"")</f>
        <v/>
      </c>
    </row>
    <row r="8818" spans="24:30" x14ac:dyDescent="0.25">
      <c r="X8818" s="8" t="e">
        <f>IF(Final_Sans_VGE[[#This Row],[ppn_z]]="","",IFERROR(
   IF(_xlfn.XLOOKUP(Final_Sans_VGE[[#This Row],[ppn_z]],tbl_Historique_Final[ppn_z],tbl_Historique_Final[date_modif])=Final_Sans_VGE[[#This Row],[date_modif]],
      "Ancien",
      "Modifié"),
   "Nouveau"))</f>
        <v>#VALUE!</v>
      </c>
      <c r="AD8818" s="1" t="str">
        <f>IFERROR(IF(Final_Sans_VGE[[#This Row],[ppn_z]]="","",IFERROR(
   IF(_xlfn.XLOOKUP(Final_Sans_VGE[[#This Row],[ppn_z]],tbl_Historique_Final[[#This Row],[ppn_z]],tbl_Historique_Final[[#This Row],[date_modif]])=Final_Sans_VGE[[#This Row],[date_modif]],
      "Ancien",
      "Modifié"),
   "Nouveau")),"")</f>
        <v/>
      </c>
    </row>
    <row r="8819" spans="24:30" x14ac:dyDescent="0.25">
      <c r="X8819" s="8" t="e">
        <f>IF(Final_Sans_VGE[[#This Row],[ppn_z]]="","",IFERROR(
   IF(_xlfn.XLOOKUP(Final_Sans_VGE[[#This Row],[ppn_z]],tbl_Historique_Final[ppn_z],tbl_Historique_Final[date_modif])=Final_Sans_VGE[[#This Row],[date_modif]],
      "Ancien",
      "Modifié"),
   "Nouveau"))</f>
        <v>#VALUE!</v>
      </c>
      <c r="AD8819" s="1" t="str">
        <f>IFERROR(IF(Final_Sans_VGE[[#This Row],[ppn_z]]="","",IFERROR(
   IF(_xlfn.XLOOKUP(Final_Sans_VGE[[#This Row],[ppn_z]],tbl_Historique_Final[[#This Row],[ppn_z]],tbl_Historique_Final[[#This Row],[date_modif]])=Final_Sans_VGE[[#This Row],[date_modif]],
      "Ancien",
      "Modifié"),
   "Nouveau")),"")</f>
        <v/>
      </c>
    </row>
    <row r="8820" spans="24:30" x14ac:dyDescent="0.25">
      <c r="X8820" s="8" t="e">
        <f>IF(Final_Sans_VGE[[#This Row],[ppn_z]]="","",IFERROR(
   IF(_xlfn.XLOOKUP(Final_Sans_VGE[[#This Row],[ppn_z]],tbl_Historique_Final[ppn_z],tbl_Historique_Final[date_modif])=Final_Sans_VGE[[#This Row],[date_modif]],
      "Ancien",
      "Modifié"),
   "Nouveau"))</f>
        <v>#VALUE!</v>
      </c>
      <c r="AD8820" s="1" t="str">
        <f>IFERROR(IF(Final_Sans_VGE[[#This Row],[ppn_z]]="","",IFERROR(
   IF(_xlfn.XLOOKUP(Final_Sans_VGE[[#This Row],[ppn_z]],tbl_Historique_Final[[#This Row],[ppn_z]],tbl_Historique_Final[[#This Row],[date_modif]])=Final_Sans_VGE[[#This Row],[date_modif]],
      "Ancien",
      "Modifié"),
   "Nouveau")),"")</f>
        <v/>
      </c>
    </row>
    <row r="8821" spans="24:30" x14ac:dyDescent="0.25">
      <c r="X8821" s="8" t="e">
        <f>IF(Final_Sans_VGE[[#This Row],[ppn_z]]="","",IFERROR(
   IF(_xlfn.XLOOKUP(Final_Sans_VGE[[#This Row],[ppn_z]],tbl_Historique_Final[ppn_z],tbl_Historique_Final[date_modif])=Final_Sans_VGE[[#This Row],[date_modif]],
      "Ancien",
      "Modifié"),
   "Nouveau"))</f>
        <v>#VALUE!</v>
      </c>
      <c r="AD8821" s="1" t="str">
        <f>IFERROR(IF(Final_Sans_VGE[[#This Row],[ppn_z]]="","",IFERROR(
   IF(_xlfn.XLOOKUP(Final_Sans_VGE[[#This Row],[ppn_z]],tbl_Historique_Final[[#This Row],[ppn_z]],tbl_Historique_Final[[#This Row],[date_modif]])=Final_Sans_VGE[[#This Row],[date_modif]],
      "Ancien",
      "Modifié"),
   "Nouveau")),"")</f>
        <v/>
      </c>
    </row>
    <row r="8822" spans="24:30" x14ac:dyDescent="0.25">
      <c r="X8822" s="8" t="e">
        <f>IF(Final_Sans_VGE[[#This Row],[ppn_z]]="","",IFERROR(
   IF(_xlfn.XLOOKUP(Final_Sans_VGE[[#This Row],[ppn_z]],tbl_Historique_Final[ppn_z],tbl_Historique_Final[date_modif])=Final_Sans_VGE[[#This Row],[date_modif]],
      "Ancien",
      "Modifié"),
   "Nouveau"))</f>
        <v>#VALUE!</v>
      </c>
      <c r="AD8822" s="1" t="str">
        <f>IFERROR(IF(Final_Sans_VGE[[#This Row],[ppn_z]]="","",IFERROR(
   IF(_xlfn.XLOOKUP(Final_Sans_VGE[[#This Row],[ppn_z]],tbl_Historique_Final[[#This Row],[ppn_z]],tbl_Historique_Final[[#This Row],[date_modif]])=Final_Sans_VGE[[#This Row],[date_modif]],
      "Ancien",
      "Modifié"),
   "Nouveau")),"")</f>
        <v/>
      </c>
    </row>
    <row r="8823" spans="24:30" x14ac:dyDescent="0.25">
      <c r="X8823" s="8" t="e">
        <f>IF(Final_Sans_VGE[[#This Row],[ppn_z]]="","",IFERROR(
   IF(_xlfn.XLOOKUP(Final_Sans_VGE[[#This Row],[ppn_z]],tbl_Historique_Final[ppn_z],tbl_Historique_Final[date_modif])=Final_Sans_VGE[[#This Row],[date_modif]],
      "Ancien",
      "Modifié"),
   "Nouveau"))</f>
        <v>#VALUE!</v>
      </c>
      <c r="AD8823" s="1" t="str">
        <f>IFERROR(IF(Final_Sans_VGE[[#This Row],[ppn_z]]="","",IFERROR(
   IF(_xlfn.XLOOKUP(Final_Sans_VGE[[#This Row],[ppn_z]],tbl_Historique_Final[[#This Row],[ppn_z]],tbl_Historique_Final[[#This Row],[date_modif]])=Final_Sans_VGE[[#This Row],[date_modif]],
      "Ancien",
      "Modifié"),
   "Nouveau")),"")</f>
        <v/>
      </c>
    </row>
    <row r="8824" spans="24:30" x14ac:dyDescent="0.25">
      <c r="X8824" s="8" t="e">
        <f>IF(Final_Sans_VGE[[#This Row],[ppn_z]]="","",IFERROR(
   IF(_xlfn.XLOOKUP(Final_Sans_VGE[[#This Row],[ppn_z]],tbl_Historique_Final[ppn_z],tbl_Historique_Final[date_modif])=Final_Sans_VGE[[#This Row],[date_modif]],
      "Ancien",
      "Modifié"),
   "Nouveau"))</f>
        <v>#VALUE!</v>
      </c>
      <c r="AD8824" s="1" t="str">
        <f>IFERROR(IF(Final_Sans_VGE[[#This Row],[ppn_z]]="","",IFERROR(
   IF(_xlfn.XLOOKUP(Final_Sans_VGE[[#This Row],[ppn_z]],tbl_Historique_Final[[#This Row],[ppn_z]],tbl_Historique_Final[[#This Row],[date_modif]])=Final_Sans_VGE[[#This Row],[date_modif]],
      "Ancien",
      "Modifié"),
   "Nouveau")),"")</f>
        <v/>
      </c>
    </row>
    <row r="8825" spans="24:30" x14ac:dyDescent="0.25">
      <c r="X8825" s="8" t="e">
        <f>IF(Final_Sans_VGE[[#This Row],[ppn_z]]="","",IFERROR(
   IF(_xlfn.XLOOKUP(Final_Sans_VGE[[#This Row],[ppn_z]],tbl_Historique_Final[ppn_z],tbl_Historique_Final[date_modif])=Final_Sans_VGE[[#This Row],[date_modif]],
      "Ancien",
      "Modifié"),
   "Nouveau"))</f>
        <v>#VALUE!</v>
      </c>
      <c r="AD8825" s="1" t="str">
        <f>IFERROR(IF(Final_Sans_VGE[[#This Row],[ppn_z]]="","",IFERROR(
   IF(_xlfn.XLOOKUP(Final_Sans_VGE[[#This Row],[ppn_z]],tbl_Historique_Final[[#This Row],[ppn_z]],tbl_Historique_Final[[#This Row],[date_modif]])=Final_Sans_VGE[[#This Row],[date_modif]],
      "Ancien",
      "Modifié"),
   "Nouveau")),"")</f>
        <v/>
      </c>
    </row>
    <row r="8826" spans="24:30" x14ac:dyDescent="0.25">
      <c r="X8826" s="8" t="e">
        <f>IF(Final_Sans_VGE[[#This Row],[ppn_z]]="","",IFERROR(
   IF(_xlfn.XLOOKUP(Final_Sans_VGE[[#This Row],[ppn_z]],tbl_Historique_Final[ppn_z],tbl_Historique_Final[date_modif])=Final_Sans_VGE[[#This Row],[date_modif]],
      "Ancien",
      "Modifié"),
   "Nouveau"))</f>
        <v>#VALUE!</v>
      </c>
      <c r="AD8826" s="1" t="str">
        <f>IFERROR(IF(Final_Sans_VGE[[#This Row],[ppn_z]]="","",IFERROR(
   IF(_xlfn.XLOOKUP(Final_Sans_VGE[[#This Row],[ppn_z]],tbl_Historique_Final[[#This Row],[ppn_z]],tbl_Historique_Final[[#This Row],[date_modif]])=Final_Sans_VGE[[#This Row],[date_modif]],
      "Ancien",
      "Modifié"),
   "Nouveau")),"")</f>
        <v/>
      </c>
    </row>
    <row r="8827" spans="24:30" x14ac:dyDescent="0.25">
      <c r="X8827" s="8" t="e">
        <f>IF(Final_Sans_VGE[[#This Row],[ppn_z]]="","",IFERROR(
   IF(_xlfn.XLOOKUP(Final_Sans_VGE[[#This Row],[ppn_z]],tbl_Historique_Final[ppn_z],tbl_Historique_Final[date_modif])=Final_Sans_VGE[[#This Row],[date_modif]],
      "Ancien",
      "Modifié"),
   "Nouveau"))</f>
        <v>#VALUE!</v>
      </c>
      <c r="AD8827" s="1" t="str">
        <f>IFERROR(IF(Final_Sans_VGE[[#This Row],[ppn_z]]="","",IFERROR(
   IF(_xlfn.XLOOKUP(Final_Sans_VGE[[#This Row],[ppn_z]],tbl_Historique_Final[[#This Row],[ppn_z]],tbl_Historique_Final[[#This Row],[date_modif]])=Final_Sans_VGE[[#This Row],[date_modif]],
      "Ancien",
      "Modifié"),
   "Nouveau")),"")</f>
        <v/>
      </c>
    </row>
    <row r="8828" spans="24:30" x14ac:dyDescent="0.25">
      <c r="X8828" s="8" t="e">
        <f>IF(Final_Sans_VGE[[#This Row],[ppn_z]]="","",IFERROR(
   IF(_xlfn.XLOOKUP(Final_Sans_VGE[[#This Row],[ppn_z]],tbl_Historique_Final[ppn_z],tbl_Historique_Final[date_modif])=Final_Sans_VGE[[#This Row],[date_modif]],
      "Ancien",
      "Modifié"),
   "Nouveau"))</f>
        <v>#VALUE!</v>
      </c>
      <c r="AD8828" s="1" t="str">
        <f>IFERROR(IF(Final_Sans_VGE[[#This Row],[ppn_z]]="","",IFERROR(
   IF(_xlfn.XLOOKUP(Final_Sans_VGE[[#This Row],[ppn_z]],tbl_Historique_Final[[#This Row],[ppn_z]],tbl_Historique_Final[[#This Row],[date_modif]])=Final_Sans_VGE[[#This Row],[date_modif]],
      "Ancien",
      "Modifié"),
   "Nouveau")),"")</f>
        <v/>
      </c>
    </row>
    <row r="8829" spans="24:30" x14ac:dyDescent="0.25">
      <c r="X8829" s="8" t="e">
        <f>IF(Final_Sans_VGE[[#This Row],[ppn_z]]="","",IFERROR(
   IF(_xlfn.XLOOKUP(Final_Sans_VGE[[#This Row],[ppn_z]],tbl_Historique_Final[ppn_z],tbl_Historique_Final[date_modif])=Final_Sans_VGE[[#This Row],[date_modif]],
      "Ancien",
      "Modifié"),
   "Nouveau"))</f>
        <v>#VALUE!</v>
      </c>
      <c r="AD8829" s="1" t="str">
        <f>IFERROR(IF(Final_Sans_VGE[[#This Row],[ppn_z]]="","",IFERROR(
   IF(_xlfn.XLOOKUP(Final_Sans_VGE[[#This Row],[ppn_z]],tbl_Historique_Final[[#This Row],[ppn_z]],tbl_Historique_Final[[#This Row],[date_modif]])=Final_Sans_VGE[[#This Row],[date_modif]],
      "Ancien",
      "Modifié"),
   "Nouveau")),"")</f>
        <v/>
      </c>
    </row>
    <row r="8830" spans="24:30" x14ac:dyDescent="0.25">
      <c r="X8830" s="8" t="e">
        <f>IF(Final_Sans_VGE[[#This Row],[ppn_z]]="","",IFERROR(
   IF(_xlfn.XLOOKUP(Final_Sans_VGE[[#This Row],[ppn_z]],tbl_Historique_Final[ppn_z],tbl_Historique_Final[date_modif])=Final_Sans_VGE[[#This Row],[date_modif]],
      "Ancien",
      "Modifié"),
   "Nouveau"))</f>
        <v>#VALUE!</v>
      </c>
      <c r="AD8830" s="1" t="str">
        <f>IFERROR(IF(Final_Sans_VGE[[#This Row],[ppn_z]]="","",IFERROR(
   IF(_xlfn.XLOOKUP(Final_Sans_VGE[[#This Row],[ppn_z]],tbl_Historique_Final[[#This Row],[ppn_z]],tbl_Historique_Final[[#This Row],[date_modif]])=Final_Sans_VGE[[#This Row],[date_modif]],
      "Ancien",
      "Modifié"),
   "Nouveau")),"")</f>
        <v/>
      </c>
    </row>
    <row r="8831" spans="24:30" x14ac:dyDescent="0.25">
      <c r="X8831" s="8" t="e">
        <f>IF(Final_Sans_VGE[[#This Row],[ppn_z]]="","",IFERROR(
   IF(_xlfn.XLOOKUP(Final_Sans_VGE[[#This Row],[ppn_z]],tbl_Historique_Final[ppn_z],tbl_Historique_Final[date_modif])=Final_Sans_VGE[[#This Row],[date_modif]],
      "Ancien",
      "Modifié"),
   "Nouveau"))</f>
        <v>#VALUE!</v>
      </c>
      <c r="AD8831" s="1" t="str">
        <f>IFERROR(IF(Final_Sans_VGE[[#This Row],[ppn_z]]="","",IFERROR(
   IF(_xlfn.XLOOKUP(Final_Sans_VGE[[#This Row],[ppn_z]],tbl_Historique_Final[[#This Row],[ppn_z]],tbl_Historique_Final[[#This Row],[date_modif]])=Final_Sans_VGE[[#This Row],[date_modif]],
      "Ancien",
      "Modifié"),
   "Nouveau")),"")</f>
        <v/>
      </c>
    </row>
    <row r="8832" spans="24:30" x14ac:dyDescent="0.25">
      <c r="X8832" s="8" t="e">
        <f>IF(Final_Sans_VGE[[#This Row],[ppn_z]]="","",IFERROR(
   IF(_xlfn.XLOOKUP(Final_Sans_VGE[[#This Row],[ppn_z]],tbl_Historique_Final[ppn_z],tbl_Historique_Final[date_modif])=Final_Sans_VGE[[#This Row],[date_modif]],
      "Ancien",
      "Modifié"),
   "Nouveau"))</f>
        <v>#VALUE!</v>
      </c>
      <c r="AD8832" s="1" t="str">
        <f>IFERROR(IF(Final_Sans_VGE[[#This Row],[ppn_z]]="","",IFERROR(
   IF(_xlfn.XLOOKUP(Final_Sans_VGE[[#This Row],[ppn_z]],tbl_Historique_Final[[#This Row],[ppn_z]],tbl_Historique_Final[[#This Row],[date_modif]])=Final_Sans_VGE[[#This Row],[date_modif]],
      "Ancien",
      "Modifié"),
   "Nouveau")),"")</f>
        <v/>
      </c>
    </row>
    <row r="8833" spans="24:30" x14ac:dyDescent="0.25">
      <c r="X8833" s="8" t="e">
        <f>IF(Final_Sans_VGE[[#This Row],[ppn_z]]="","",IFERROR(
   IF(_xlfn.XLOOKUP(Final_Sans_VGE[[#This Row],[ppn_z]],tbl_Historique_Final[ppn_z],tbl_Historique_Final[date_modif])=Final_Sans_VGE[[#This Row],[date_modif]],
      "Ancien",
      "Modifié"),
   "Nouveau"))</f>
        <v>#VALUE!</v>
      </c>
      <c r="AD8833" s="1" t="str">
        <f>IFERROR(IF(Final_Sans_VGE[[#This Row],[ppn_z]]="","",IFERROR(
   IF(_xlfn.XLOOKUP(Final_Sans_VGE[[#This Row],[ppn_z]],tbl_Historique_Final[[#This Row],[ppn_z]],tbl_Historique_Final[[#This Row],[date_modif]])=Final_Sans_VGE[[#This Row],[date_modif]],
      "Ancien",
      "Modifié"),
   "Nouveau")),"")</f>
        <v/>
      </c>
    </row>
    <row r="8834" spans="24:30" x14ac:dyDescent="0.25">
      <c r="X8834" s="8" t="e">
        <f>IF(Final_Sans_VGE[[#This Row],[ppn_z]]="","",IFERROR(
   IF(_xlfn.XLOOKUP(Final_Sans_VGE[[#This Row],[ppn_z]],tbl_Historique_Final[ppn_z],tbl_Historique_Final[date_modif])=Final_Sans_VGE[[#This Row],[date_modif]],
      "Ancien",
      "Modifié"),
   "Nouveau"))</f>
        <v>#VALUE!</v>
      </c>
      <c r="AD8834" s="1" t="str">
        <f>IFERROR(IF(Final_Sans_VGE[[#This Row],[ppn_z]]="","",IFERROR(
   IF(_xlfn.XLOOKUP(Final_Sans_VGE[[#This Row],[ppn_z]],tbl_Historique_Final[[#This Row],[ppn_z]],tbl_Historique_Final[[#This Row],[date_modif]])=Final_Sans_VGE[[#This Row],[date_modif]],
      "Ancien",
      "Modifié"),
   "Nouveau")),"")</f>
        <v/>
      </c>
    </row>
    <row r="8835" spans="24:30" x14ac:dyDescent="0.25">
      <c r="X8835" s="8" t="e">
        <f>IF(Final_Sans_VGE[[#This Row],[ppn_z]]="","",IFERROR(
   IF(_xlfn.XLOOKUP(Final_Sans_VGE[[#This Row],[ppn_z]],tbl_Historique_Final[ppn_z],tbl_Historique_Final[date_modif])=Final_Sans_VGE[[#This Row],[date_modif]],
      "Ancien",
      "Modifié"),
   "Nouveau"))</f>
        <v>#VALUE!</v>
      </c>
      <c r="AD8835" s="1" t="str">
        <f>IFERROR(IF(Final_Sans_VGE[[#This Row],[ppn_z]]="","",IFERROR(
   IF(_xlfn.XLOOKUP(Final_Sans_VGE[[#This Row],[ppn_z]],tbl_Historique_Final[[#This Row],[ppn_z]],tbl_Historique_Final[[#This Row],[date_modif]])=Final_Sans_VGE[[#This Row],[date_modif]],
      "Ancien",
      "Modifié"),
   "Nouveau")),"")</f>
        <v/>
      </c>
    </row>
    <row r="8836" spans="24:30" x14ac:dyDescent="0.25">
      <c r="X8836" s="8" t="e">
        <f>IF(Final_Sans_VGE[[#This Row],[ppn_z]]="","",IFERROR(
   IF(_xlfn.XLOOKUP(Final_Sans_VGE[[#This Row],[ppn_z]],tbl_Historique_Final[ppn_z],tbl_Historique_Final[date_modif])=Final_Sans_VGE[[#This Row],[date_modif]],
      "Ancien",
      "Modifié"),
   "Nouveau"))</f>
        <v>#VALUE!</v>
      </c>
      <c r="AD8836" s="1" t="str">
        <f>IFERROR(IF(Final_Sans_VGE[[#This Row],[ppn_z]]="","",IFERROR(
   IF(_xlfn.XLOOKUP(Final_Sans_VGE[[#This Row],[ppn_z]],tbl_Historique_Final[[#This Row],[ppn_z]],tbl_Historique_Final[[#This Row],[date_modif]])=Final_Sans_VGE[[#This Row],[date_modif]],
      "Ancien",
      "Modifié"),
   "Nouveau")),"")</f>
        <v/>
      </c>
    </row>
    <row r="8837" spans="24:30" x14ac:dyDescent="0.25">
      <c r="X8837" s="8" t="e">
        <f>IF(Final_Sans_VGE[[#This Row],[ppn_z]]="","",IFERROR(
   IF(_xlfn.XLOOKUP(Final_Sans_VGE[[#This Row],[ppn_z]],tbl_Historique_Final[ppn_z],tbl_Historique_Final[date_modif])=Final_Sans_VGE[[#This Row],[date_modif]],
      "Ancien",
      "Modifié"),
   "Nouveau"))</f>
        <v>#VALUE!</v>
      </c>
      <c r="AD8837" s="1" t="str">
        <f>IFERROR(IF(Final_Sans_VGE[[#This Row],[ppn_z]]="","",IFERROR(
   IF(_xlfn.XLOOKUP(Final_Sans_VGE[[#This Row],[ppn_z]],tbl_Historique_Final[[#This Row],[ppn_z]],tbl_Historique_Final[[#This Row],[date_modif]])=Final_Sans_VGE[[#This Row],[date_modif]],
      "Ancien",
      "Modifié"),
   "Nouveau")),"")</f>
        <v/>
      </c>
    </row>
    <row r="8838" spans="24:30" x14ac:dyDescent="0.25">
      <c r="X8838" s="8" t="e">
        <f>IF(Final_Sans_VGE[[#This Row],[ppn_z]]="","",IFERROR(
   IF(_xlfn.XLOOKUP(Final_Sans_VGE[[#This Row],[ppn_z]],tbl_Historique_Final[ppn_z],tbl_Historique_Final[date_modif])=Final_Sans_VGE[[#This Row],[date_modif]],
      "Ancien",
      "Modifié"),
   "Nouveau"))</f>
        <v>#VALUE!</v>
      </c>
      <c r="AD8838" s="1" t="str">
        <f>IFERROR(IF(Final_Sans_VGE[[#This Row],[ppn_z]]="","",IFERROR(
   IF(_xlfn.XLOOKUP(Final_Sans_VGE[[#This Row],[ppn_z]],tbl_Historique_Final[[#This Row],[ppn_z]],tbl_Historique_Final[[#This Row],[date_modif]])=Final_Sans_VGE[[#This Row],[date_modif]],
      "Ancien",
      "Modifié"),
   "Nouveau")),"")</f>
        <v/>
      </c>
    </row>
    <row r="8839" spans="24:30" x14ac:dyDescent="0.25">
      <c r="X8839" s="8" t="e">
        <f>IF(Final_Sans_VGE[[#This Row],[ppn_z]]="","",IFERROR(
   IF(_xlfn.XLOOKUP(Final_Sans_VGE[[#This Row],[ppn_z]],tbl_Historique_Final[ppn_z],tbl_Historique_Final[date_modif])=Final_Sans_VGE[[#This Row],[date_modif]],
      "Ancien",
      "Modifié"),
   "Nouveau"))</f>
        <v>#VALUE!</v>
      </c>
      <c r="AD8839" s="1" t="str">
        <f>IFERROR(IF(Final_Sans_VGE[[#This Row],[ppn_z]]="","",IFERROR(
   IF(_xlfn.XLOOKUP(Final_Sans_VGE[[#This Row],[ppn_z]],tbl_Historique_Final[[#This Row],[ppn_z]],tbl_Historique_Final[[#This Row],[date_modif]])=Final_Sans_VGE[[#This Row],[date_modif]],
      "Ancien",
      "Modifié"),
   "Nouveau")),"")</f>
        <v/>
      </c>
    </row>
    <row r="8840" spans="24:30" x14ac:dyDescent="0.25">
      <c r="X8840" s="8" t="e">
        <f>IF(Final_Sans_VGE[[#This Row],[ppn_z]]="","",IFERROR(
   IF(_xlfn.XLOOKUP(Final_Sans_VGE[[#This Row],[ppn_z]],tbl_Historique_Final[ppn_z],tbl_Historique_Final[date_modif])=Final_Sans_VGE[[#This Row],[date_modif]],
      "Ancien",
      "Modifié"),
   "Nouveau"))</f>
        <v>#VALUE!</v>
      </c>
      <c r="AD8840" s="1" t="str">
        <f>IFERROR(IF(Final_Sans_VGE[[#This Row],[ppn_z]]="","",IFERROR(
   IF(_xlfn.XLOOKUP(Final_Sans_VGE[[#This Row],[ppn_z]],tbl_Historique_Final[[#This Row],[ppn_z]],tbl_Historique_Final[[#This Row],[date_modif]])=Final_Sans_VGE[[#This Row],[date_modif]],
      "Ancien",
      "Modifié"),
   "Nouveau")),"")</f>
        <v/>
      </c>
    </row>
    <row r="8841" spans="24:30" x14ac:dyDescent="0.25">
      <c r="X8841" s="8" t="e">
        <f>IF(Final_Sans_VGE[[#This Row],[ppn_z]]="","",IFERROR(
   IF(_xlfn.XLOOKUP(Final_Sans_VGE[[#This Row],[ppn_z]],tbl_Historique_Final[ppn_z],tbl_Historique_Final[date_modif])=Final_Sans_VGE[[#This Row],[date_modif]],
      "Ancien",
      "Modifié"),
   "Nouveau"))</f>
        <v>#VALUE!</v>
      </c>
      <c r="AD8841" s="1" t="str">
        <f>IFERROR(IF(Final_Sans_VGE[[#This Row],[ppn_z]]="","",IFERROR(
   IF(_xlfn.XLOOKUP(Final_Sans_VGE[[#This Row],[ppn_z]],tbl_Historique_Final[[#This Row],[ppn_z]],tbl_Historique_Final[[#This Row],[date_modif]])=Final_Sans_VGE[[#This Row],[date_modif]],
      "Ancien",
      "Modifié"),
   "Nouveau")),"")</f>
        <v/>
      </c>
    </row>
    <row r="8842" spans="24:30" x14ac:dyDescent="0.25">
      <c r="X8842" s="8" t="e">
        <f>IF(Final_Sans_VGE[[#This Row],[ppn_z]]="","",IFERROR(
   IF(_xlfn.XLOOKUP(Final_Sans_VGE[[#This Row],[ppn_z]],tbl_Historique_Final[ppn_z],tbl_Historique_Final[date_modif])=Final_Sans_VGE[[#This Row],[date_modif]],
      "Ancien",
      "Modifié"),
   "Nouveau"))</f>
        <v>#VALUE!</v>
      </c>
      <c r="AD8842" s="1" t="str">
        <f>IFERROR(IF(Final_Sans_VGE[[#This Row],[ppn_z]]="","",IFERROR(
   IF(_xlfn.XLOOKUP(Final_Sans_VGE[[#This Row],[ppn_z]],tbl_Historique_Final[[#This Row],[ppn_z]],tbl_Historique_Final[[#This Row],[date_modif]])=Final_Sans_VGE[[#This Row],[date_modif]],
      "Ancien",
      "Modifié"),
   "Nouveau")),"")</f>
        <v/>
      </c>
    </row>
    <row r="8843" spans="24:30" x14ac:dyDescent="0.25">
      <c r="X8843" s="8" t="e">
        <f>IF(Final_Sans_VGE[[#This Row],[ppn_z]]="","",IFERROR(
   IF(_xlfn.XLOOKUP(Final_Sans_VGE[[#This Row],[ppn_z]],tbl_Historique_Final[ppn_z],tbl_Historique_Final[date_modif])=Final_Sans_VGE[[#This Row],[date_modif]],
      "Ancien",
      "Modifié"),
   "Nouveau"))</f>
        <v>#VALUE!</v>
      </c>
      <c r="AD8843" s="1" t="str">
        <f>IFERROR(IF(Final_Sans_VGE[[#This Row],[ppn_z]]="","",IFERROR(
   IF(_xlfn.XLOOKUP(Final_Sans_VGE[[#This Row],[ppn_z]],tbl_Historique_Final[[#This Row],[ppn_z]],tbl_Historique_Final[[#This Row],[date_modif]])=Final_Sans_VGE[[#This Row],[date_modif]],
      "Ancien",
      "Modifié"),
   "Nouveau")),"")</f>
        <v/>
      </c>
    </row>
    <row r="8844" spans="24:30" x14ac:dyDescent="0.25">
      <c r="X8844" s="8" t="e">
        <f>IF(Final_Sans_VGE[[#This Row],[ppn_z]]="","",IFERROR(
   IF(_xlfn.XLOOKUP(Final_Sans_VGE[[#This Row],[ppn_z]],tbl_Historique_Final[ppn_z],tbl_Historique_Final[date_modif])=Final_Sans_VGE[[#This Row],[date_modif]],
      "Ancien",
      "Modifié"),
   "Nouveau"))</f>
        <v>#VALUE!</v>
      </c>
      <c r="AD8844" s="1" t="str">
        <f>IFERROR(IF(Final_Sans_VGE[[#This Row],[ppn_z]]="","",IFERROR(
   IF(_xlfn.XLOOKUP(Final_Sans_VGE[[#This Row],[ppn_z]],tbl_Historique_Final[[#This Row],[ppn_z]],tbl_Historique_Final[[#This Row],[date_modif]])=Final_Sans_VGE[[#This Row],[date_modif]],
      "Ancien",
      "Modifié"),
   "Nouveau")),"")</f>
        <v/>
      </c>
    </row>
    <row r="8845" spans="24:30" x14ac:dyDescent="0.25">
      <c r="X8845" s="8" t="e">
        <f>IF(Final_Sans_VGE[[#This Row],[ppn_z]]="","",IFERROR(
   IF(_xlfn.XLOOKUP(Final_Sans_VGE[[#This Row],[ppn_z]],tbl_Historique_Final[ppn_z],tbl_Historique_Final[date_modif])=Final_Sans_VGE[[#This Row],[date_modif]],
      "Ancien",
      "Modifié"),
   "Nouveau"))</f>
        <v>#VALUE!</v>
      </c>
      <c r="AD8845" s="1" t="str">
        <f>IFERROR(IF(Final_Sans_VGE[[#This Row],[ppn_z]]="","",IFERROR(
   IF(_xlfn.XLOOKUP(Final_Sans_VGE[[#This Row],[ppn_z]],tbl_Historique_Final[[#This Row],[ppn_z]],tbl_Historique_Final[[#This Row],[date_modif]])=Final_Sans_VGE[[#This Row],[date_modif]],
      "Ancien",
      "Modifié"),
   "Nouveau")),"")</f>
        <v/>
      </c>
    </row>
    <row r="8846" spans="24:30" x14ac:dyDescent="0.25">
      <c r="X8846" s="8" t="e">
        <f>IF(Final_Sans_VGE[[#This Row],[ppn_z]]="","",IFERROR(
   IF(_xlfn.XLOOKUP(Final_Sans_VGE[[#This Row],[ppn_z]],tbl_Historique_Final[ppn_z],tbl_Historique_Final[date_modif])=Final_Sans_VGE[[#This Row],[date_modif]],
      "Ancien",
      "Modifié"),
   "Nouveau"))</f>
        <v>#VALUE!</v>
      </c>
      <c r="AD8846" s="1" t="str">
        <f>IFERROR(IF(Final_Sans_VGE[[#This Row],[ppn_z]]="","",IFERROR(
   IF(_xlfn.XLOOKUP(Final_Sans_VGE[[#This Row],[ppn_z]],tbl_Historique_Final[[#This Row],[ppn_z]],tbl_Historique_Final[[#This Row],[date_modif]])=Final_Sans_VGE[[#This Row],[date_modif]],
      "Ancien",
      "Modifié"),
   "Nouveau")),"")</f>
        <v/>
      </c>
    </row>
    <row r="8847" spans="24:30" x14ac:dyDescent="0.25">
      <c r="X8847" s="8" t="e">
        <f>IF(Final_Sans_VGE[[#This Row],[ppn_z]]="","",IFERROR(
   IF(_xlfn.XLOOKUP(Final_Sans_VGE[[#This Row],[ppn_z]],tbl_Historique_Final[ppn_z],tbl_Historique_Final[date_modif])=Final_Sans_VGE[[#This Row],[date_modif]],
      "Ancien",
      "Modifié"),
   "Nouveau"))</f>
        <v>#VALUE!</v>
      </c>
      <c r="AD8847" s="1" t="str">
        <f>IFERROR(IF(Final_Sans_VGE[[#This Row],[ppn_z]]="","",IFERROR(
   IF(_xlfn.XLOOKUP(Final_Sans_VGE[[#This Row],[ppn_z]],tbl_Historique_Final[[#This Row],[ppn_z]],tbl_Historique_Final[[#This Row],[date_modif]])=Final_Sans_VGE[[#This Row],[date_modif]],
      "Ancien",
      "Modifié"),
   "Nouveau")),"")</f>
        <v/>
      </c>
    </row>
    <row r="8848" spans="24:30" x14ac:dyDescent="0.25">
      <c r="X8848" s="8" t="e">
        <f>IF(Final_Sans_VGE[[#This Row],[ppn_z]]="","",IFERROR(
   IF(_xlfn.XLOOKUP(Final_Sans_VGE[[#This Row],[ppn_z]],tbl_Historique_Final[ppn_z],tbl_Historique_Final[date_modif])=Final_Sans_VGE[[#This Row],[date_modif]],
      "Ancien",
      "Modifié"),
   "Nouveau"))</f>
        <v>#VALUE!</v>
      </c>
      <c r="AD8848" s="1" t="str">
        <f>IFERROR(IF(Final_Sans_VGE[[#This Row],[ppn_z]]="","",IFERROR(
   IF(_xlfn.XLOOKUP(Final_Sans_VGE[[#This Row],[ppn_z]],tbl_Historique_Final[[#This Row],[ppn_z]],tbl_Historique_Final[[#This Row],[date_modif]])=Final_Sans_VGE[[#This Row],[date_modif]],
      "Ancien",
      "Modifié"),
   "Nouveau")),"")</f>
        <v/>
      </c>
    </row>
    <row r="8849" spans="24:30" x14ac:dyDescent="0.25">
      <c r="X8849" s="8" t="e">
        <f>IF(Final_Sans_VGE[[#This Row],[ppn_z]]="","",IFERROR(
   IF(_xlfn.XLOOKUP(Final_Sans_VGE[[#This Row],[ppn_z]],tbl_Historique_Final[ppn_z],tbl_Historique_Final[date_modif])=Final_Sans_VGE[[#This Row],[date_modif]],
      "Ancien",
      "Modifié"),
   "Nouveau"))</f>
        <v>#VALUE!</v>
      </c>
      <c r="AD8849" s="1" t="str">
        <f>IFERROR(IF(Final_Sans_VGE[[#This Row],[ppn_z]]="","",IFERROR(
   IF(_xlfn.XLOOKUP(Final_Sans_VGE[[#This Row],[ppn_z]],tbl_Historique_Final[[#This Row],[ppn_z]],tbl_Historique_Final[[#This Row],[date_modif]])=Final_Sans_VGE[[#This Row],[date_modif]],
      "Ancien",
      "Modifié"),
   "Nouveau")),"")</f>
        <v/>
      </c>
    </row>
    <row r="8850" spans="24:30" x14ac:dyDescent="0.25">
      <c r="X8850" s="8" t="e">
        <f>IF(Final_Sans_VGE[[#This Row],[ppn_z]]="","",IFERROR(
   IF(_xlfn.XLOOKUP(Final_Sans_VGE[[#This Row],[ppn_z]],tbl_Historique_Final[ppn_z],tbl_Historique_Final[date_modif])=Final_Sans_VGE[[#This Row],[date_modif]],
      "Ancien",
      "Modifié"),
   "Nouveau"))</f>
        <v>#VALUE!</v>
      </c>
      <c r="AD8850" s="1" t="str">
        <f>IFERROR(IF(Final_Sans_VGE[[#This Row],[ppn_z]]="","",IFERROR(
   IF(_xlfn.XLOOKUP(Final_Sans_VGE[[#This Row],[ppn_z]],tbl_Historique_Final[[#This Row],[ppn_z]],tbl_Historique_Final[[#This Row],[date_modif]])=Final_Sans_VGE[[#This Row],[date_modif]],
      "Ancien",
      "Modifié"),
   "Nouveau")),"")</f>
        <v/>
      </c>
    </row>
    <row r="8851" spans="24:30" x14ac:dyDescent="0.25">
      <c r="X8851" s="8" t="e">
        <f>IF(Final_Sans_VGE[[#This Row],[ppn_z]]="","",IFERROR(
   IF(_xlfn.XLOOKUP(Final_Sans_VGE[[#This Row],[ppn_z]],tbl_Historique_Final[ppn_z],tbl_Historique_Final[date_modif])=Final_Sans_VGE[[#This Row],[date_modif]],
      "Ancien",
      "Modifié"),
   "Nouveau"))</f>
        <v>#VALUE!</v>
      </c>
      <c r="AD8851" s="1" t="str">
        <f>IFERROR(IF(Final_Sans_VGE[[#This Row],[ppn_z]]="","",IFERROR(
   IF(_xlfn.XLOOKUP(Final_Sans_VGE[[#This Row],[ppn_z]],tbl_Historique_Final[[#This Row],[ppn_z]],tbl_Historique_Final[[#This Row],[date_modif]])=Final_Sans_VGE[[#This Row],[date_modif]],
      "Ancien",
      "Modifié"),
   "Nouveau")),"")</f>
        <v/>
      </c>
    </row>
    <row r="8852" spans="24:30" x14ac:dyDescent="0.25">
      <c r="X8852" s="8" t="e">
        <f>IF(Final_Sans_VGE[[#This Row],[ppn_z]]="","",IFERROR(
   IF(_xlfn.XLOOKUP(Final_Sans_VGE[[#This Row],[ppn_z]],tbl_Historique_Final[ppn_z],tbl_Historique_Final[date_modif])=Final_Sans_VGE[[#This Row],[date_modif]],
      "Ancien",
      "Modifié"),
   "Nouveau"))</f>
        <v>#VALUE!</v>
      </c>
      <c r="AD8852" s="1" t="str">
        <f>IFERROR(IF(Final_Sans_VGE[[#This Row],[ppn_z]]="","",IFERROR(
   IF(_xlfn.XLOOKUP(Final_Sans_VGE[[#This Row],[ppn_z]],tbl_Historique_Final[[#This Row],[ppn_z]],tbl_Historique_Final[[#This Row],[date_modif]])=Final_Sans_VGE[[#This Row],[date_modif]],
      "Ancien",
      "Modifié"),
   "Nouveau")),"")</f>
        <v/>
      </c>
    </row>
    <row r="8853" spans="24:30" x14ac:dyDescent="0.25">
      <c r="X8853" s="8" t="e">
        <f>IF(Final_Sans_VGE[[#This Row],[ppn_z]]="","",IFERROR(
   IF(_xlfn.XLOOKUP(Final_Sans_VGE[[#This Row],[ppn_z]],tbl_Historique_Final[ppn_z],tbl_Historique_Final[date_modif])=Final_Sans_VGE[[#This Row],[date_modif]],
      "Ancien",
      "Modifié"),
   "Nouveau"))</f>
        <v>#VALUE!</v>
      </c>
      <c r="AD8853" s="1" t="str">
        <f>IFERROR(IF(Final_Sans_VGE[[#This Row],[ppn_z]]="","",IFERROR(
   IF(_xlfn.XLOOKUP(Final_Sans_VGE[[#This Row],[ppn_z]],tbl_Historique_Final[[#This Row],[ppn_z]],tbl_Historique_Final[[#This Row],[date_modif]])=Final_Sans_VGE[[#This Row],[date_modif]],
      "Ancien",
      "Modifié"),
   "Nouveau")),"")</f>
        <v/>
      </c>
    </row>
    <row r="8854" spans="24:30" x14ac:dyDescent="0.25">
      <c r="X8854" s="8" t="e">
        <f>IF(Final_Sans_VGE[[#This Row],[ppn_z]]="","",IFERROR(
   IF(_xlfn.XLOOKUP(Final_Sans_VGE[[#This Row],[ppn_z]],tbl_Historique_Final[ppn_z],tbl_Historique_Final[date_modif])=Final_Sans_VGE[[#This Row],[date_modif]],
      "Ancien",
      "Modifié"),
   "Nouveau"))</f>
        <v>#VALUE!</v>
      </c>
      <c r="AD8854" s="1" t="str">
        <f>IFERROR(IF(Final_Sans_VGE[[#This Row],[ppn_z]]="","",IFERROR(
   IF(_xlfn.XLOOKUP(Final_Sans_VGE[[#This Row],[ppn_z]],tbl_Historique_Final[[#This Row],[ppn_z]],tbl_Historique_Final[[#This Row],[date_modif]])=Final_Sans_VGE[[#This Row],[date_modif]],
      "Ancien",
      "Modifié"),
   "Nouveau")),"")</f>
        <v/>
      </c>
    </row>
    <row r="8855" spans="24:30" x14ac:dyDescent="0.25">
      <c r="X8855" s="8" t="e">
        <f>IF(Final_Sans_VGE[[#This Row],[ppn_z]]="","",IFERROR(
   IF(_xlfn.XLOOKUP(Final_Sans_VGE[[#This Row],[ppn_z]],tbl_Historique_Final[ppn_z],tbl_Historique_Final[date_modif])=Final_Sans_VGE[[#This Row],[date_modif]],
      "Ancien",
      "Modifié"),
   "Nouveau"))</f>
        <v>#VALUE!</v>
      </c>
      <c r="AD8855" s="1" t="str">
        <f>IFERROR(IF(Final_Sans_VGE[[#This Row],[ppn_z]]="","",IFERROR(
   IF(_xlfn.XLOOKUP(Final_Sans_VGE[[#This Row],[ppn_z]],tbl_Historique_Final[[#This Row],[ppn_z]],tbl_Historique_Final[[#This Row],[date_modif]])=Final_Sans_VGE[[#This Row],[date_modif]],
      "Ancien",
      "Modifié"),
   "Nouveau")),"")</f>
        <v/>
      </c>
    </row>
    <row r="8856" spans="24:30" x14ac:dyDescent="0.25">
      <c r="X8856" s="8" t="e">
        <f>IF(Final_Sans_VGE[[#This Row],[ppn_z]]="","",IFERROR(
   IF(_xlfn.XLOOKUP(Final_Sans_VGE[[#This Row],[ppn_z]],tbl_Historique_Final[ppn_z],tbl_Historique_Final[date_modif])=Final_Sans_VGE[[#This Row],[date_modif]],
      "Ancien",
      "Modifié"),
   "Nouveau"))</f>
        <v>#VALUE!</v>
      </c>
      <c r="AD8856" s="1" t="str">
        <f>IFERROR(IF(Final_Sans_VGE[[#This Row],[ppn_z]]="","",IFERROR(
   IF(_xlfn.XLOOKUP(Final_Sans_VGE[[#This Row],[ppn_z]],tbl_Historique_Final[[#This Row],[ppn_z]],tbl_Historique_Final[[#This Row],[date_modif]])=Final_Sans_VGE[[#This Row],[date_modif]],
      "Ancien",
      "Modifié"),
   "Nouveau")),"")</f>
        <v/>
      </c>
    </row>
    <row r="8857" spans="24:30" x14ac:dyDescent="0.25">
      <c r="X8857" s="8" t="e">
        <f>IF(Final_Sans_VGE[[#This Row],[ppn_z]]="","",IFERROR(
   IF(_xlfn.XLOOKUP(Final_Sans_VGE[[#This Row],[ppn_z]],tbl_Historique_Final[ppn_z],tbl_Historique_Final[date_modif])=Final_Sans_VGE[[#This Row],[date_modif]],
      "Ancien",
      "Modifié"),
   "Nouveau"))</f>
        <v>#VALUE!</v>
      </c>
      <c r="AD8857" s="1" t="str">
        <f>IFERROR(IF(Final_Sans_VGE[[#This Row],[ppn_z]]="","",IFERROR(
   IF(_xlfn.XLOOKUP(Final_Sans_VGE[[#This Row],[ppn_z]],tbl_Historique_Final[[#This Row],[ppn_z]],tbl_Historique_Final[[#This Row],[date_modif]])=Final_Sans_VGE[[#This Row],[date_modif]],
      "Ancien",
      "Modifié"),
   "Nouveau")),"")</f>
        <v/>
      </c>
    </row>
    <row r="8858" spans="24:30" x14ac:dyDescent="0.25">
      <c r="X8858" s="8" t="e">
        <f>IF(Final_Sans_VGE[[#This Row],[ppn_z]]="","",IFERROR(
   IF(_xlfn.XLOOKUP(Final_Sans_VGE[[#This Row],[ppn_z]],tbl_Historique_Final[ppn_z],tbl_Historique_Final[date_modif])=Final_Sans_VGE[[#This Row],[date_modif]],
      "Ancien",
      "Modifié"),
   "Nouveau"))</f>
        <v>#VALUE!</v>
      </c>
      <c r="AD8858" s="1" t="str">
        <f>IFERROR(IF(Final_Sans_VGE[[#This Row],[ppn_z]]="","",IFERROR(
   IF(_xlfn.XLOOKUP(Final_Sans_VGE[[#This Row],[ppn_z]],tbl_Historique_Final[[#This Row],[ppn_z]],tbl_Historique_Final[[#This Row],[date_modif]])=Final_Sans_VGE[[#This Row],[date_modif]],
      "Ancien",
      "Modifié"),
   "Nouveau")),"")</f>
        <v/>
      </c>
    </row>
    <row r="8859" spans="24:30" x14ac:dyDescent="0.25">
      <c r="X8859" s="8" t="e">
        <f>IF(Final_Sans_VGE[[#This Row],[ppn_z]]="","",IFERROR(
   IF(_xlfn.XLOOKUP(Final_Sans_VGE[[#This Row],[ppn_z]],tbl_Historique_Final[ppn_z],tbl_Historique_Final[date_modif])=Final_Sans_VGE[[#This Row],[date_modif]],
      "Ancien",
      "Modifié"),
   "Nouveau"))</f>
        <v>#VALUE!</v>
      </c>
      <c r="AD8859" s="1" t="str">
        <f>IFERROR(IF(Final_Sans_VGE[[#This Row],[ppn_z]]="","",IFERROR(
   IF(_xlfn.XLOOKUP(Final_Sans_VGE[[#This Row],[ppn_z]],tbl_Historique_Final[[#This Row],[ppn_z]],tbl_Historique_Final[[#This Row],[date_modif]])=Final_Sans_VGE[[#This Row],[date_modif]],
      "Ancien",
      "Modifié"),
   "Nouveau")),"")</f>
        <v/>
      </c>
    </row>
    <row r="8860" spans="24:30" x14ac:dyDescent="0.25">
      <c r="X8860" s="8" t="e">
        <f>IF(Final_Sans_VGE[[#This Row],[ppn_z]]="","",IFERROR(
   IF(_xlfn.XLOOKUP(Final_Sans_VGE[[#This Row],[ppn_z]],tbl_Historique_Final[ppn_z],tbl_Historique_Final[date_modif])=Final_Sans_VGE[[#This Row],[date_modif]],
      "Ancien",
      "Modifié"),
   "Nouveau"))</f>
        <v>#VALUE!</v>
      </c>
      <c r="AD8860" s="1" t="str">
        <f>IFERROR(IF(Final_Sans_VGE[[#This Row],[ppn_z]]="","",IFERROR(
   IF(_xlfn.XLOOKUP(Final_Sans_VGE[[#This Row],[ppn_z]],tbl_Historique_Final[[#This Row],[ppn_z]],tbl_Historique_Final[[#This Row],[date_modif]])=Final_Sans_VGE[[#This Row],[date_modif]],
      "Ancien",
      "Modifié"),
   "Nouveau")),"")</f>
        <v/>
      </c>
    </row>
    <row r="8861" spans="24:30" x14ac:dyDescent="0.25">
      <c r="X8861" s="8" t="e">
        <f>IF(Final_Sans_VGE[[#This Row],[ppn_z]]="","",IFERROR(
   IF(_xlfn.XLOOKUP(Final_Sans_VGE[[#This Row],[ppn_z]],tbl_Historique_Final[ppn_z],tbl_Historique_Final[date_modif])=Final_Sans_VGE[[#This Row],[date_modif]],
      "Ancien",
      "Modifié"),
   "Nouveau"))</f>
        <v>#VALUE!</v>
      </c>
      <c r="AD8861" s="1" t="str">
        <f>IFERROR(IF(Final_Sans_VGE[[#This Row],[ppn_z]]="","",IFERROR(
   IF(_xlfn.XLOOKUP(Final_Sans_VGE[[#This Row],[ppn_z]],tbl_Historique_Final[[#This Row],[ppn_z]],tbl_Historique_Final[[#This Row],[date_modif]])=Final_Sans_VGE[[#This Row],[date_modif]],
      "Ancien",
      "Modifié"),
   "Nouveau")),"")</f>
        <v/>
      </c>
    </row>
    <row r="8862" spans="24:30" x14ac:dyDescent="0.25">
      <c r="X8862" s="8" t="e">
        <f>IF(Final_Sans_VGE[[#This Row],[ppn_z]]="","",IFERROR(
   IF(_xlfn.XLOOKUP(Final_Sans_VGE[[#This Row],[ppn_z]],tbl_Historique_Final[ppn_z],tbl_Historique_Final[date_modif])=Final_Sans_VGE[[#This Row],[date_modif]],
      "Ancien",
      "Modifié"),
   "Nouveau"))</f>
        <v>#VALUE!</v>
      </c>
      <c r="AD8862" s="1" t="str">
        <f>IFERROR(IF(Final_Sans_VGE[[#This Row],[ppn_z]]="","",IFERROR(
   IF(_xlfn.XLOOKUP(Final_Sans_VGE[[#This Row],[ppn_z]],tbl_Historique_Final[[#This Row],[ppn_z]],tbl_Historique_Final[[#This Row],[date_modif]])=Final_Sans_VGE[[#This Row],[date_modif]],
      "Ancien",
      "Modifié"),
   "Nouveau")),"")</f>
        <v/>
      </c>
    </row>
    <row r="8863" spans="24:30" x14ac:dyDescent="0.25">
      <c r="X8863" s="8" t="e">
        <f>IF(Final_Sans_VGE[[#This Row],[ppn_z]]="","",IFERROR(
   IF(_xlfn.XLOOKUP(Final_Sans_VGE[[#This Row],[ppn_z]],tbl_Historique_Final[ppn_z],tbl_Historique_Final[date_modif])=Final_Sans_VGE[[#This Row],[date_modif]],
      "Ancien",
      "Modifié"),
   "Nouveau"))</f>
        <v>#VALUE!</v>
      </c>
      <c r="AD8863" s="1" t="str">
        <f>IFERROR(IF(Final_Sans_VGE[[#This Row],[ppn_z]]="","",IFERROR(
   IF(_xlfn.XLOOKUP(Final_Sans_VGE[[#This Row],[ppn_z]],tbl_Historique_Final[[#This Row],[ppn_z]],tbl_Historique_Final[[#This Row],[date_modif]])=Final_Sans_VGE[[#This Row],[date_modif]],
      "Ancien",
      "Modifié"),
   "Nouveau")),"")</f>
        <v/>
      </c>
    </row>
    <row r="8864" spans="24:30" x14ac:dyDescent="0.25">
      <c r="X8864" s="8" t="e">
        <f>IF(Final_Sans_VGE[[#This Row],[ppn_z]]="","",IFERROR(
   IF(_xlfn.XLOOKUP(Final_Sans_VGE[[#This Row],[ppn_z]],tbl_Historique_Final[ppn_z],tbl_Historique_Final[date_modif])=Final_Sans_VGE[[#This Row],[date_modif]],
      "Ancien",
      "Modifié"),
   "Nouveau"))</f>
        <v>#VALUE!</v>
      </c>
      <c r="AD8864" s="1" t="str">
        <f>IFERROR(IF(Final_Sans_VGE[[#This Row],[ppn_z]]="","",IFERROR(
   IF(_xlfn.XLOOKUP(Final_Sans_VGE[[#This Row],[ppn_z]],tbl_Historique_Final[[#This Row],[ppn_z]],tbl_Historique_Final[[#This Row],[date_modif]])=Final_Sans_VGE[[#This Row],[date_modif]],
      "Ancien",
      "Modifié"),
   "Nouveau")),"")</f>
        <v/>
      </c>
    </row>
    <row r="8865" spans="24:30" x14ac:dyDescent="0.25">
      <c r="X8865" s="8" t="e">
        <f>IF(Final_Sans_VGE[[#This Row],[ppn_z]]="","",IFERROR(
   IF(_xlfn.XLOOKUP(Final_Sans_VGE[[#This Row],[ppn_z]],tbl_Historique_Final[ppn_z],tbl_Historique_Final[date_modif])=Final_Sans_VGE[[#This Row],[date_modif]],
      "Ancien",
      "Modifié"),
   "Nouveau"))</f>
        <v>#VALUE!</v>
      </c>
      <c r="AD8865" s="1" t="str">
        <f>IFERROR(IF(Final_Sans_VGE[[#This Row],[ppn_z]]="","",IFERROR(
   IF(_xlfn.XLOOKUP(Final_Sans_VGE[[#This Row],[ppn_z]],tbl_Historique_Final[[#This Row],[ppn_z]],tbl_Historique_Final[[#This Row],[date_modif]])=Final_Sans_VGE[[#This Row],[date_modif]],
      "Ancien",
      "Modifié"),
   "Nouveau")),"")</f>
        <v/>
      </c>
    </row>
    <row r="8866" spans="24:30" x14ac:dyDescent="0.25">
      <c r="X8866" s="8" t="e">
        <f>IF(Final_Sans_VGE[[#This Row],[ppn_z]]="","",IFERROR(
   IF(_xlfn.XLOOKUP(Final_Sans_VGE[[#This Row],[ppn_z]],tbl_Historique_Final[ppn_z],tbl_Historique_Final[date_modif])=Final_Sans_VGE[[#This Row],[date_modif]],
      "Ancien",
      "Modifié"),
   "Nouveau"))</f>
        <v>#VALUE!</v>
      </c>
      <c r="AD8866" s="1" t="str">
        <f>IFERROR(IF(Final_Sans_VGE[[#This Row],[ppn_z]]="","",IFERROR(
   IF(_xlfn.XLOOKUP(Final_Sans_VGE[[#This Row],[ppn_z]],tbl_Historique_Final[[#This Row],[ppn_z]],tbl_Historique_Final[[#This Row],[date_modif]])=Final_Sans_VGE[[#This Row],[date_modif]],
      "Ancien",
      "Modifié"),
   "Nouveau")),"")</f>
        <v/>
      </c>
    </row>
    <row r="8867" spans="24:30" x14ac:dyDescent="0.25">
      <c r="X8867" s="8" t="e">
        <f>IF(Final_Sans_VGE[[#This Row],[ppn_z]]="","",IFERROR(
   IF(_xlfn.XLOOKUP(Final_Sans_VGE[[#This Row],[ppn_z]],tbl_Historique_Final[ppn_z],tbl_Historique_Final[date_modif])=Final_Sans_VGE[[#This Row],[date_modif]],
      "Ancien",
      "Modifié"),
   "Nouveau"))</f>
        <v>#VALUE!</v>
      </c>
      <c r="AD8867" s="1" t="str">
        <f>IFERROR(IF(Final_Sans_VGE[[#This Row],[ppn_z]]="","",IFERROR(
   IF(_xlfn.XLOOKUP(Final_Sans_VGE[[#This Row],[ppn_z]],tbl_Historique_Final[[#This Row],[ppn_z]],tbl_Historique_Final[[#This Row],[date_modif]])=Final_Sans_VGE[[#This Row],[date_modif]],
      "Ancien",
      "Modifié"),
   "Nouveau")),"")</f>
        <v/>
      </c>
    </row>
    <row r="8868" spans="24:30" x14ac:dyDescent="0.25">
      <c r="X8868" s="8" t="e">
        <f>IF(Final_Sans_VGE[[#This Row],[ppn_z]]="","",IFERROR(
   IF(_xlfn.XLOOKUP(Final_Sans_VGE[[#This Row],[ppn_z]],tbl_Historique_Final[ppn_z],tbl_Historique_Final[date_modif])=Final_Sans_VGE[[#This Row],[date_modif]],
      "Ancien",
      "Modifié"),
   "Nouveau"))</f>
        <v>#VALUE!</v>
      </c>
      <c r="AD8868" s="1" t="str">
        <f>IFERROR(IF(Final_Sans_VGE[[#This Row],[ppn_z]]="","",IFERROR(
   IF(_xlfn.XLOOKUP(Final_Sans_VGE[[#This Row],[ppn_z]],tbl_Historique_Final[[#This Row],[ppn_z]],tbl_Historique_Final[[#This Row],[date_modif]])=Final_Sans_VGE[[#This Row],[date_modif]],
      "Ancien",
      "Modifié"),
   "Nouveau")),"")</f>
        <v/>
      </c>
    </row>
    <row r="8869" spans="24:30" x14ac:dyDescent="0.25">
      <c r="X8869" s="8" t="e">
        <f>IF(Final_Sans_VGE[[#This Row],[ppn_z]]="","",IFERROR(
   IF(_xlfn.XLOOKUP(Final_Sans_VGE[[#This Row],[ppn_z]],tbl_Historique_Final[ppn_z],tbl_Historique_Final[date_modif])=Final_Sans_VGE[[#This Row],[date_modif]],
      "Ancien",
      "Modifié"),
   "Nouveau"))</f>
        <v>#VALUE!</v>
      </c>
      <c r="AD8869" s="1" t="str">
        <f>IFERROR(IF(Final_Sans_VGE[[#This Row],[ppn_z]]="","",IFERROR(
   IF(_xlfn.XLOOKUP(Final_Sans_VGE[[#This Row],[ppn_z]],tbl_Historique_Final[[#This Row],[ppn_z]],tbl_Historique_Final[[#This Row],[date_modif]])=Final_Sans_VGE[[#This Row],[date_modif]],
      "Ancien",
      "Modifié"),
   "Nouveau")),"")</f>
        <v/>
      </c>
    </row>
    <row r="8870" spans="24:30" x14ac:dyDescent="0.25">
      <c r="X8870" s="8" t="e">
        <f>IF(Final_Sans_VGE[[#This Row],[ppn_z]]="","",IFERROR(
   IF(_xlfn.XLOOKUP(Final_Sans_VGE[[#This Row],[ppn_z]],tbl_Historique_Final[ppn_z],tbl_Historique_Final[date_modif])=Final_Sans_VGE[[#This Row],[date_modif]],
      "Ancien",
      "Modifié"),
   "Nouveau"))</f>
        <v>#VALUE!</v>
      </c>
      <c r="AD8870" s="1" t="str">
        <f>IFERROR(IF(Final_Sans_VGE[[#This Row],[ppn_z]]="","",IFERROR(
   IF(_xlfn.XLOOKUP(Final_Sans_VGE[[#This Row],[ppn_z]],tbl_Historique_Final[[#This Row],[ppn_z]],tbl_Historique_Final[[#This Row],[date_modif]])=Final_Sans_VGE[[#This Row],[date_modif]],
      "Ancien",
      "Modifié"),
   "Nouveau")),"")</f>
        <v/>
      </c>
    </row>
    <row r="8871" spans="24:30" x14ac:dyDescent="0.25">
      <c r="X8871" s="8" t="e">
        <f>IF(Final_Sans_VGE[[#This Row],[ppn_z]]="","",IFERROR(
   IF(_xlfn.XLOOKUP(Final_Sans_VGE[[#This Row],[ppn_z]],tbl_Historique_Final[ppn_z],tbl_Historique_Final[date_modif])=Final_Sans_VGE[[#This Row],[date_modif]],
      "Ancien",
      "Modifié"),
   "Nouveau"))</f>
        <v>#VALUE!</v>
      </c>
      <c r="AD8871" s="1" t="str">
        <f>IFERROR(IF(Final_Sans_VGE[[#This Row],[ppn_z]]="","",IFERROR(
   IF(_xlfn.XLOOKUP(Final_Sans_VGE[[#This Row],[ppn_z]],tbl_Historique_Final[[#This Row],[ppn_z]],tbl_Historique_Final[[#This Row],[date_modif]])=Final_Sans_VGE[[#This Row],[date_modif]],
      "Ancien",
      "Modifié"),
   "Nouveau")),"")</f>
        <v/>
      </c>
    </row>
    <row r="8872" spans="24:30" x14ac:dyDescent="0.25">
      <c r="X8872" s="8" t="e">
        <f>IF(Final_Sans_VGE[[#This Row],[ppn_z]]="","",IFERROR(
   IF(_xlfn.XLOOKUP(Final_Sans_VGE[[#This Row],[ppn_z]],tbl_Historique_Final[ppn_z],tbl_Historique_Final[date_modif])=Final_Sans_VGE[[#This Row],[date_modif]],
      "Ancien",
      "Modifié"),
   "Nouveau"))</f>
        <v>#VALUE!</v>
      </c>
      <c r="AD8872" s="1" t="str">
        <f>IFERROR(IF(Final_Sans_VGE[[#This Row],[ppn_z]]="","",IFERROR(
   IF(_xlfn.XLOOKUP(Final_Sans_VGE[[#This Row],[ppn_z]],tbl_Historique_Final[[#This Row],[ppn_z]],tbl_Historique_Final[[#This Row],[date_modif]])=Final_Sans_VGE[[#This Row],[date_modif]],
      "Ancien",
      "Modifié"),
   "Nouveau")),"")</f>
        <v/>
      </c>
    </row>
    <row r="8873" spans="24:30" x14ac:dyDescent="0.25">
      <c r="X8873" s="8" t="e">
        <f>IF(Final_Sans_VGE[[#This Row],[ppn_z]]="","",IFERROR(
   IF(_xlfn.XLOOKUP(Final_Sans_VGE[[#This Row],[ppn_z]],tbl_Historique_Final[ppn_z],tbl_Historique_Final[date_modif])=Final_Sans_VGE[[#This Row],[date_modif]],
      "Ancien",
      "Modifié"),
   "Nouveau"))</f>
        <v>#VALUE!</v>
      </c>
      <c r="AD8873" s="1" t="str">
        <f>IFERROR(IF(Final_Sans_VGE[[#This Row],[ppn_z]]="","",IFERROR(
   IF(_xlfn.XLOOKUP(Final_Sans_VGE[[#This Row],[ppn_z]],tbl_Historique_Final[[#This Row],[ppn_z]],tbl_Historique_Final[[#This Row],[date_modif]])=Final_Sans_VGE[[#This Row],[date_modif]],
      "Ancien",
      "Modifié"),
   "Nouveau")),"")</f>
        <v/>
      </c>
    </row>
    <row r="8874" spans="24:30" x14ac:dyDescent="0.25">
      <c r="X8874" s="8" t="e">
        <f>IF(Final_Sans_VGE[[#This Row],[ppn_z]]="","",IFERROR(
   IF(_xlfn.XLOOKUP(Final_Sans_VGE[[#This Row],[ppn_z]],tbl_Historique_Final[ppn_z],tbl_Historique_Final[date_modif])=Final_Sans_VGE[[#This Row],[date_modif]],
      "Ancien",
      "Modifié"),
   "Nouveau"))</f>
        <v>#VALUE!</v>
      </c>
      <c r="AD8874" s="1" t="str">
        <f>IFERROR(IF(Final_Sans_VGE[[#This Row],[ppn_z]]="","",IFERROR(
   IF(_xlfn.XLOOKUP(Final_Sans_VGE[[#This Row],[ppn_z]],tbl_Historique_Final[[#This Row],[ppn_z]],tbl_Historique_Final[[#This Row],[date_modif]])=Final_Sans_VGE[[#This Row],[date_modif]],
      "Ancien",
      "Modifié"),
   "Nouveau")),"")</f>
        <v/>
      </c>
    </row>
    <row r="8875" spans="24:30" x14ac:dyDescent="0.25">
      <c r="X8875" s="8" t="e">
        <f>IF(Final_Sans_VGE[[#This Row],[ppn_z]]="","",IFERROR(
   IF(_xlfn.XLOOKUP(Final_Sans_VGE[[#This Row],[ppn_z]],tbl_Historique_Final[ppn_z],tbl_Historique_Final[date_modif])=Final_Sans_VGE[[#This Row],[date_modif]],
      "Ancien",
      "Modifié"),
   "Nouveau"))</f>
        <v>#VALUE!</v>
      </c>
      <c r="AD8875" s="1" t="str">
        <f>IFERROR(IF(Final_Sans_VGE[[#This Row],[ppn_z]]="","",IFERROR(
   IF(_xlfn.XLOOKUP(Final_Sans_VGE[[#This Row],[ppn_z]],tbl_Historique_Final[[#This Row],[ppn_z]],tbl_Historique_Final[[#This Row],[date_modif]])=Final_Sans_VGE[[#This Row],[date_modif]],
      "Ancien",
      "Modifié"),
   "Nouveau")),"")</f>
        <v/>
      </c>
    </row>
    <row r="8876" spans="24:30" x14ac:dyDescent="0.25">
      <c r="X8876" s="8" t="e">
        <f>IF(Final_Sans_VGE[[#This Row],[ppn_z]]="","",IFERROR(
   IF(_xlfn.XLOOKUP(Final_Sans_VGE[[#This Row],[ppn_z]],tbl_Historique_Final[ppn_z],tbl_Historique_Final[date_modif])=Final_Sans_VGE[[#This Row],[date_modif]],
      "Ancien",
      "Modifié"),
   "Nouveau"))</f>
        <v>#VALUE!</v>
      </c>
      <c r="AD8876" s="1" t="str">
        <f>IFERROR(IF(Final_Sans_VGE[[#This Row],[ppn_z]]="","",IFERROR(
   IF(_xlfn.XLOOKUP(Final_Sans_VGE[[#This Row],[ppn_z]],tbl_Historique_Final[[#This Row],[ppn_z]],tbl_Historique_Final[[#This Row],[date_modif]])=Final_Sans_VGE[[#This Row],[date_modif]],
      "Ancien",
      "Modifié"),
   "Nouveau")),"")</f>
        <v/>
      </c>
    </row>
    <row r="8877" spans="24:30" x14ac:dyDescent="0.25">
      <c r="X8877" s="8" t="e">
        <f>IF(Final_Sans_VGE[[#This Row],[ppn_z]]="","",IFERROR(
   IF(_xlfn.XLOOKUP(Final_Sans_VGE[[#This Row],[ppn_z]],tbl_Historique_Final[ppn_z],tbl_Historique_Final[date_modif])=Final_Sans_VGE[[#This Row],[date_modif]],
      "Ancien",
      "Modifié"),
   "Nouveau"))</f>
        <v>#VALUE!</v>
      </c>
      <c r="AD8877" s="1" t="str">
        <f>IFERROR(IF(Final_Sans_VGE[[#This Row],[ppn_z]]="","",IFERROR(
   IF(_xlfn.XLOOKUP(Final_Sans_VGE[[#This Row],[ppn_z]],tbl_Historique_Final[[#This Row],[ppn_z]],tbl_Historique_Final[[#This Row],[date_modif]])=Final_Sans_VGE[[#This Row],[date_modif]],
      "Ancien",
      "Modifié"),
   "Nouveau")),"")</f>
        <v/>
      </c>
    </row>
    <row r="8878" spans="24:30" x14ac:dyDescent="0.25">
      <c r="X8878" s="8" t="e">
        <f>IF(Final_Sans_VGE[[#This Row],[ppn_z]]="","",IFERROR(
   IF(_xlfn.XLOOKUP(Final_Sans_VGE[[#This Row],[ppn_z]],tbl_Historique_Final[ppn_z],tbl_Historique_Final[date_modif])=Final_Sans_VGE[[#This Row],[date_modif]],
      "Ancien",
      "Modifié"),
   "Nouveau"))</f>
        <v>#VALUE!</v>
      </c>
      <c r="AD8878" s="1" t="str">
        <f>IFERROR(IF(Final_Sans_VGE[[#This Row],[ppn_z]]="","",IFERROR(
   IF(_xlfn.XLOOKUP(Final_Sans_VGE[[#This Row],[ppn_z]],tbl_Historique_Final[[#This Row],[ppn_z]],tbl_Historique_Final[[#This Row],[date_modif]])=Final_Sans_VGE[[#This Row],[date_modif]],
      "Ancien",
      "Modifié"),
   "Nouveau")),"")</f>
        <v/>
      </c>
    </row>
    <row r="8879" spans="24:30" x14ac:dyDescent="0.25">
      <c r="X8879" s="8" t="e">
        <f>IF(Final_Sans_VGE[[#This Row],[ppn_z]]="","",IFERROR(
   IF(_xlfn.XLOOKUP(Final_Sans_VGE[[#This Row],[ppn_z]],tbl_Historique_Final[ppn_z],tbl_Historique_Final[date_modif])=Final_Sans_VGE[[#This Row],[date_modif]],
      "Ancien",
      "Modifié"),
   "Nouveau"))</f>
        <v>#VALUE!</v>
      </c>
      <c r="AD8879" s="1" t="str">
        <f>IFERROR(IF(Final_Sans_VGE[[#This Row],[ppn_z]]="","",IFERROR(
   IF(_xlfn.XLOOKUP(Final_Sans_VGE[[#This Row],[ppn_z]],tbl_Historique_Final[[#This Row],[ppn_z]],tbl_Historique_Final[[#This Row],[date_modif]])=Final_Sans_VGE[[#This Row],[date_modif]],
      "Ancien",
      "Modifié"),
   "Nouveau")),"")</f>
        <v/>
      </c>
    </row>
    <row r="8880" spans="24:30" x14ac:dyDescent="0.25">
      <c r="X8880" s="8" t="e">
        <f>IF(Final_Sans_VGE[[#This Row],[ppn_z]]="","",IFERROR(
   IF(_xlfn.XLOOKUP(Final_Sans_VGE[[#This Row],[ppn_z]],tbl_Historique_Final[ppn_z],tbl_Historique_Final[date_modif])=Final_Sans_VGE[[#This Row],[date_modif]],
      "Ancien",
      "Modifié"),
   "Nouveau"))</f>
        <v>#VALUE!</v>
      </c>
      <c r="AD8880" s="1" t="str">
        <f>IFERROR(IF(Final_Sans_VGE[[#This Row],[ppn_z]]="","",IFERROR(
   IF(_xlfn.XLOOKUP(Final_Sans_VGE[[#This Row],[ppn_z]],tbl_Historique_Final[[#This Row],[ppn_z]],tbl_Historique_Final[[#This Row],[date_modif]])=Final_Sans_VGE[[#This Row],[date_modif]],
      "Ancien",
      "Modifié"),
   "Nouveau")),"")</f>
        <v/>
      </c>
    </row>
    <row r="8881" spans="24:30" x14ac:dyDescent="0.25">
      <c r="X8881" s="8" t="e">
        <f>IF(Final_Sans_VGE[[#This Row],[ppn_z]]="","",IFERROR(
   IF(_xlfn.XLOOKUP(Final_Sans_VGE[[#This Row],[ppn_z]],tbl_Historique_Final[ppn_z],tbl_Historique_Final[date_modif])=Final_Sans_VGE[[#This Row],[date_modif]],
      "Ancien",
      "Modifié"),
   "Nouveau"))</f>
        <v>#VALUE!</v>
      </c>
      <c r="AD8881" s="1" t="str">
        <f>IFERROR(IF(Final_Sans_VGE[[#This Row],[ppn_z]]="","",IFERROR(
   IF(_xlfn.XLOOKUP(Final_Sans_VGE[[#This Row],[ppn_z]],tbl_Historique_Final[[#This Row],[ppn_z]],tbl_Historique_Final[[#This Row],[date_modif]])=Final_Sans_VGE[[#This Row],[date_modif]],
      "Ancien",
      "Modifié"),
   "Nouveau")),"")</f>
        <v/>
      </c>
    </row>
    <row r="8882" spans="24:30" x14ac:dyDescent="0.25">
      <c r="X8882" s="8" t="e">
        <f>IF(Final_Sans_VGE[[#This Row],[ppn_z]]="","",IFERROR(
   IF(_xlfn.XLOOKUP(Final_Sans_VGE[[#This Row],[ppn_z]],tbl_Historique_Final[ppn_z],tbl_Historique_Final[date_modif])=Final_Sans_VGE[[#This Row],[date_modif]],
      "Ancien",
      "Modifié"),
   "Nouveau"))</f>
        <v>#VALUE!</v>
      </c>
      <c r="AD8882" s="1" t="str">
        <f>IFERROR(IF(Final_Sans_VGE[[#This Row],[ppn_z]]="","",IFERROR(
   IF(_xlfn.XLOOKUP(Final_Sans_VGE[[#This Row],[ppn_z]],tbl_Historique_Final[[#This Row],[ppn_z]],tbl_Historique_Final[[#This Row],[date_modif]])=Final_Sans_VGE[[#This Row],[date_modif]],
      "Ancien",
      "Modifié"),
   "Nouveau")),"")</f>
        <v/>
      </c>
    </row>
    <row r="8883" spans="24:30" x14ac:dyDescent="0.25">
      <c r="X8883" s="8" t="e">
        <f>IF(Final_Sans_VGE[[#This Row],[ppn_z]]="","",IFERROR(
   IF(_xlfn.XLOOKUP(Final_Sans_VGE[[#This Row],[ppn_z]],tbl_Historique_Final[ppn_z],tbl_Historique_Final[date_modif])=Final_Sans_VGE[[#This Row],[date_modif]],
      "Ancien",
      "Modifié"),
   "Nouveau"))</f>
        <v>#VALUE!</v>
      </c>
      <c r="AD8883" s="1" t="str">
        <f>IFERROR(IF(Final_Sans_VGE[[#This Row],[ppn_z]]="","",IFERROR(
   IF(_xlfn.XLOOKUP(Final_Sans_VGE[[#This Row],[ppn_z]],tbl_Historique_Final[[#This Row],[ppn_z]],tbl_Historique_Final[[#This Row],[date_modif]])=Final_Sans_VGE[[#This Row],[date_modif]],
      "Ancien",
      "Modifié"),
   "Nouveau")),"")</f>
        <v/>
      </c>
    </row>
    <row r="8884" spans="24:30" x14ac:dyDescent="0.25">
      <c r="X8884" s="8" t="e">
        <f>IF(Final_Sans_VGE[[#This Row],[ppn_z]]="","",IFERROR(
   IF(_xlfn.XLOOKUP(Final_Sans_VGE[[#This Row],[ppn_z]],tbl_Historique_Final[ppn_z],tbl_Historique_Final[date_modif])=Final_Sans_VGE[[#This Row],[date_modif]],
      "Ancien",
      "Modifié"),
   "Nouveau"))</f>
        <v>#VALUE!</v>
      </c>
      <c r="AD8884" s="1" t="str">
        <f>IFERROR(IF(Final_Sans_VGE[[#This Row],[ppn_z]]="","",IFERROR(
   IF(_xlfn.XLOOKUP(Final_Sans_VGE[[#This Row],[ppn_z]],tbl_Historique_Final[[#This Row],[ppn_z]],tbl_Historique_Final[[#This Row],[date_modif]])=Final_Sans_VGE[[#This Row],[date_modif]],
      "Ancien",
      "Modifié"),
   "Nouveau")),"")</f>
        <v/>
      </c>
    </row>
    <row r="8885" spans="24:30" x14ac:dyDescent="0.25">
      <c r="X8885" s="8" t="e">
        <f>IF(Final_Sans_VGE[[#This Row],[ppn_z]]="","",IFERROR(
   IF(_xlfn.XLOOKUP(Final_Sans_VGE[[#This Row],[ppn_z]],tbl_Historique_Final[ppn_z],tbl_Historique_Final[date_modif])=Final_Sans_VGE[[#This Row],[date_modif]],
      "Ancien",
      "Modifié"),
   "Nouveau"))</f>
        <v>#VALUE!</v>
      </c>
      <c r="AD8885" s="1" t="str">
        <f>IFERROR(IF(Final_Sans_VGE[[#This Row],[ppn_z]]="","",IFERROR(
   IF(_xlfn.XLOOKUP(Final_Sans_VGE[[#This Row],[ppn_z]],tbl_Historique_Final[[#This Row],[ppn_z]],tbl_Historique_Final[[#This Row],[date_modif]])=Final_Sans_VGE[[#This Row],[date_modif]],
      "Ancien",
      "Modifié"),
   "Nouveau")),"")</f>
        <v/>
      </c>
    </row>
    <row r="8886" spans="24:30" x14ac:dyDescent="0.25">
      <c r="X8886" s="8" t="e">
        <f>IF(Final_Sans_VGE[[#This Row],[ppn_z]]="","",IFERROR(
   IF(_xlfn.XLOOKUP(Final_Sans_VGE[[#This Row],[ppn_z]],tbl_Historique_Final[ppn_z],tbl_Historique_Final[date_modif])=Final_Sans_VGE[[#This Row],[date_modif]],
      "Ancien",
      "Modifié"),
   "Nouveau"))</f>
        <v>#VALUE!</v>
      </c>
      <c r="AD8886" s="1" t="str">
        <f>IFERROR(IF(Final_Sans_VGE[[#This Row],[ppn_z]]="","",IFERROR(
   IF(_xlfn.XLOOKUP(Final_Sans_VGE[[#This Row],[ppn_z]],tbl_Historique_Final[[#This Row],[ppn_z]],tbl_Historique_Final[[#This Row],[date_modif]])=Final_Sans_VGE[[#This Row],[date_modif]],
      "Ancien",
      "Modifié"),
   "Nouveau")),"")</f>
        <v/>
      </c>
    </row>
    <row r="8887" spans="24:30" x14ac:dyDescent="0.25">
      <c r="X8887" s="8" t="e">
        <f>IF(Final_Sans_VGE[[#This Row],[ppn_z]]="","",IFERROR(
   IF(_xlfn.XLOOKUP(Final_Sans_VGE[[#This Row],[ppn_z]],tbl_Historique_Final[ppn_z],tbl_Historique_Final[date_modif])=Final_Sans_VGE[[#This Row],[date_modif]],
      "Ancien",
      "Modifié"),
   "Nouveau"))</f>
        <v>#VALUE!</v>
      </c>
      <c r="AD8887" s="1" t="str">
        <f>IFERROR(IF(Final_Sans_VGE[[#This Row],[ppn_z]]="","",IFERROR(
   IF(_xlfn.XLOOKUP(Final_Sans_VGE[[#This Row],[ppn_z]],tbl_Historique_Final[[#This Row],[ppn_z]],tbl_Historique_Final[[#This Row],[date_modif]])=Final_Sans_VGE[[#This Row],[date_modif]],
      "Ancien",
      "Modifié"),
   "Nouveau")),"")</f>
        <v/>
      </c>
    </row>
    <row r="8888" spans="24:30" x14ac:dyDescent="0.25">
      <c r="X8888" s="8" t="e">
        <f>IF(Final_Sans_VGE[[#This Row],[ppn_z]]="","",IFERROR(
   IF(_xlfn.XLOOKUP(Final_Sans_VGE[[#This Row],[ppn_z]],tbl_Historique_Final[ppn_z],tbl_Historique_Final[date_modif])=Final_Sans_VGE[[#This Row],[date_modif]],
      "Ancien",
      "Modifié"),
   "Nouveau"))</f>
        <v>#VALUE!</v>
      </c>
      <c r="AD8888" s="1" t="str">
        <f>IFERROR(IF(Final_Sans_VGE[[#This Row],[ppn_z]]="","",IFERROR(
   IF(_xlfn.XLOOKUP(Final_Sans_VGE[[#This Row],[ppn_z]],tbl_Historique_Final[[#This Row],[ppn_z]],tbl_Historique_Final[[#This Row],[date_modif]])=Final_Sans_VGE[[#This Row],[date_modif]],
      "Ancien",
      "Modifié"),
   "Nouveau")),"")</f>
        <v/>
      </c>
    </row>
    <row r="8889" spans="24:30" x14ac:dyDescent="0.25">
      <c r="X8889" s="8" t="e">
        <f>IF(Final_Sans_VGE[[#This Row],[ppn_z]]="","",IFERROR(
   IF(_xlfn.XLOOKUP(Final_Sans_VGE[[#This Row],[ppn_z]],tbl_Historique_Final[ppn_z],tbl_Historique_Final[date_modif])=Final_Sans_VGE[[#This Row],[date_modif]],
      "Ancien",
      "Modifié"),
   "Nouveau"))</f>
        <v>#VALUE!</v>
      </c>
      <c r="AD8889" s="1" t="str">
        <f>IFERROR(IF(Final_Sans_VGE[[#This Row],[ppn_z]]="","",IFERROR(
   IF(_xlfn.XLOOKUP(Final_Sans_VGE[[#This Row],[ppn_z]],tbl_Historique_Final[[#This Row],[ppn_z]],tbl_Historique_Final[[#This Row],[date_modif]])=Final_Sans_VGE[[#This Row],[date_modif]],
      "Ancien",
      "Modifié"),
   "Nouveau")),"")</f>
        <v/>
      </c>
    </row>
    <row r="8890" spans="24:30" x14ac:dyDescent="0.25">
      <c r="X8890" s="8" t="e">
        <f>IF(Final_Sans_VGE[[#This Row],[ppn_z]]="","",IFERROR(
   IF(_xlfn.XLOOKUP(Final_Sans_VGE[[#This Row],[ppn_z]],tbl_Historique_Final[ppn_z],tbl_Historique_Final[date_modif])=Final_Sans_VGE[[#This Row],[date_modif]],
      "Ancien",
      "Modifié"),
   "Nouveau"))</f>
        <v>#VALUE!</v>
      </c>
      <c r="AD8890" s="1" t="str">
        <f>IFERROR(IF(Final_Sans_VGE[[#This Row],[ppn_z]]="","",IFERROR(
   IF(_xlfn.XLOOKUP(Final_Sans_VGE[[#This Row],[ppn_z]],tbl_Historique_Final[[#This Row],[ppn_z]],tbl_Historique_Final[[#This Row],[date_modif]])=Final_Sans_VGE[[#This Row],[date_modif]],
      "Ancien",
      "Modifié"),
   "Nouveau")),"")</f>
        <v/>
      </c>
    </row>
    <row r="8891" spans="24:30" x14ac:dyDescent="0.25">
      <c r="X8891" s="8" t="e">
        <f>IF(Final_Sans_VGE[[#This Row],[ppn_z]]="","",IFERROR(
   IF(_xlfn.XLOOKUP(Final_Sans_VGE[[#This Row],[ppn_z]],tbl_Historique_Final[ppn_z],tbl_Historique_Final[date_modif])=Final_Sans_VGE[[#This Row],[date_modif]],
      "Ancien",
      "Modifié"),
   "Nouveau"))</f>
        <v>#VALUE!</v>
      </c>
      <c r="AD8891" s="1" t="str">
        <f>IFERROR(IF(Final_Sans_VGE[[#This Row],[ppn_z]]="","",IFERROR(
   IF(_xlfn.XLOOKUP(Final_Sans_VGE[[#This Row],[ppn_z]],tbl_Historique_Final[[#This Row],[ppn_z]],tbl_Historique_Final[[#This Row],[date_modif]])=Final_Sans_VGE[[#This Row],[date_modif]],
      "Ancien",
      "Modifié"),
   "Nouveau")),"")</f>
        <v/>
      </c>
    </row>
    <row r="8892" spans="24:30" x14ac:dyDescent="0.25">
      <c r="X8892" s="8" t="e">
        <f>IF(Final_Sans_VGE[[#This Row],[ppn_z]]="","",IFERROR(
   IF(_xlfn.XLOOKUP(Final_Sans_VGE[[#This Row],[ppn_z]],tbl_Historique_Final[ppn_z],tbl_Historique_Final[date_modif])=Final_Sans_VGE[[#This Row],[date_modif]],
      "Ancien",
      "Modifié"),
   "Nouveau"))</f>
        <v>#VALUE!</v>
      </c>
      <c r="AD8892" s="1" t="str">
        <f>IFERROR(IF(Final_Sans_VGE[[#This Row],[ppn_z]]="","",IFERROR(
   IF(_xlfn.XLOOKUP(Final_Sans_VGE[[#This Row],[ppn_z]],tbl_Historique_Final[[#This Row],[ppn_z]],tbl_Historique_Final[[#This Row],[date_modif]])=Final_Sans_VGE[[#This Row],[date_modif]],
      "Ancien",
      "Modifié"),
   "Nouveau")),"")</f>
        <v/>
      </c>
    </row>
    <row r="8893" spans="24:30" x14ac:dyDescent="0.25">
      <c r="X8893" s="8" t="e">
        <f>IF(Final_Sans_VGE[[#This Row],[ppn_z]]="","",IFERROR(
   IF(_xlfn.XLOOKUP(Final_Sans_VGE[[#This Row],[ppn_z]],tbl_Historique_Final[ppn_z],tbl_Historique_Final[date_modif])=Final_Sans_VGE[[#This Row],[date_modif]],
      "Ancien",
      "Modifié"),
   "Nouveau"))</f>
        <v>#VALUE!</v>
      </c>
      <c r="AD8893" s="1" t="str">
        <f>IFERROR(IF(Final_Sans_VGE[[#This Row],[ppn_z]]="","",IFERROR(
   IF(_xlfn.XLOOKUP(Final_Sans_VGE[[#This Row],[ppn_z]],tbl_Historique_Final[[#This Row],[ppn_z]],tbl_Historique_Final[[#This Row],[date_modif]])=Final_Sans_VGE[[#This Row],[date_modif]],
      "Ancien",
      "Modifié"),
   "Nouveau")),"")</f>
        <v/>
      </c>
    </row>
    <row r="8894" spans="24:30" x14ac:dyDescent="0.25">
      <c r="X8894" s="8" t="e">
        <f>IF(Final_Sans_VGE[[#This Row],[ppn_z]]="","",IFERROR(
   IF(_xlfn.XLOOKUP(Final_Sans_VGE[[#This Row],[ppn_z]],tbl_Historique_Final[ppn_z],tbl_Historique_Final[date_modif])=Final_Sans_VGE[[#This Row],[date_modif]],
      "Ancien",
      "Modifié"),
   "Nouveau"))</f>
        <v>#VALUE!</v>
      </c>
      <c r="AD8894" s="1" t="str">
        <f>IFERROR(IF(Final_Sans_VGE[[#This Row],[ppn_z]]="","",IFERROR(
   IF(_xlfn.XLOOKUP(Final_Sans_VGE[[#This Row],[ppn_z]],tbl_Historique_Final[[#This Row],[ppn_z]],tbl_Historique_Final[[#This Row],[date_modif]])=Final_Sans_VGE[[#This Row],[date_modif]],
      "Ancien",
      "Modifié"),
   "Nouveau")),"")</f>
        <v/>
      </c>
    </row>
    <row r="8895" spans="24:30" x14ac:dyDescent="0.25">
      <c r="X8895" s="8" t="e">
        <f>IF(Final_Sans_VGE[[#This Row],[ppn_z]]="","",IFERROR(
   IF(_xlfn.XLOOKUP(Final_Sans_VGE[[#This Row],[ppn_z]],tbl_Historique_Final[ppn_z],tbl_Historique_Final[date_modif])=Final_Sans_VGE[[#This Row],[date_modif]],
      "Ancien",
      "Modifié"),
   "Nouveau"))</f>
        <v>#VALUE!</v>
      </c>
      <c r="AD8895" s="1" t="str">
        <f>IFERROR(IF(Final_Sans_VGE[[#This Row],[ppn_z]]="","",IFERROR(
   IF(_xlfn.XLOOKUP(Final_Sans_VGE[[#This Row],[ppn_z]],tbl_Historique_Final[[#This Row],[ppn_z]],tbl_Historique_Final[[#This Row],[date_modif]])=Final_Sans_VGE[[#This Row],[date_modif]],
      "Ancien",
      "Modifié"),
   "Nouveau")),"")</f>
        <v/>
      </c>
    </row>
    <row r="8896" spans="24:30" x14ac:dyDescent="0.25">
      <c r="X8896" s="8" t="e">
        <f>IF(Final_Sans_VGE[[#This Row],[ppn_z]]="","",IFERROR(
   IF(_xlfn.XLOOKUP(Final_Sans_VGE[[#This Row],[ppn_z]],tbl_Historique_Final[ppn_z],tbl_Historique_Final[date_modif])=Final_Sans_VGE[[#This Row],[date_modif]],
      "Ancien",
      "Modifié"),
   "Nouveau"))</f>
        <v>#VALUE!</v>
      </c>
      <c r="AD8896" s="1" t="str">
        <f>IFERROR(IF(Final_Sans_VGE[[#This Row],[ppn_z]]="","",IFERROR(
   IF(_xlfn.XLOOKUP(Final_Sans_VGE[[#This Row],[ppn_z]],tbl_Historique_Final[[#This Row],[ppn_z]],tbl_Historique_Final[[#This Row],[date_modif]])=Final_Sans_VGE[[#This Row],[date_modif]],
      "Ancien",
      "Modifié"),
   "Nouveau")),"")</f>
        <v/>
      </c>
    </row>
    <row r="8897" spans="24:30" x14ac:dyDescent="0.25">
      <c r="X8897" s="8" t="e">
        <f>IF(Final_Sans_VGE[[#This Row],[ppn_z]]="","",IFERROR(
   IF(_xlfn.XLOOKUP(Final_Sans_VGE[[#This Row],[ppn_z]],tbl_Historique_Final[ppn_z],tbl_Historique_Final[date_modif])=Final_Sans_VGE[[#This Row],[date_modif]],
      "Ancien",
      "Modifié"),
   "Nouveau"))</f>
        <v>#VALUE!</v>
      </c>
      <c r="AD8897" s="1" t="str">
        <f>IFERROR(IF(Final_Sans_VGE[[#This Row],[ppn_z]]="","",IFERROR(
   IF(_xlfn.XLOOKUP(Final_Sans_VGE[[#This Row],[ppn_z]],tbl_Historique_Final[[#This Row],[ppn_z]],tbl_Historique_Final[[#This Row],[date_modif]])=Final_Sans_VGE[[#This Row],[date_modif]],
      "Ancien",
      "Modifié"),
   "Nouveau")),"")</f>
        <v/>
      </c>
    </row>
    <row r="8898" spans="24:30" x14ac:dyDescent="0.25">
      <c r="X8898" s="8" t="e">
        <f>IF(Final_Sans_VGE[[#This Row],[ppn_z]]="","",IFERROR(
   IF(_xlfn.XLOOKUP(Final_Sans_VGE[[#This Row],[ppn_z]],tbl_Historique_Final[ppn_z],tbl_Historique_Final[date_modif])=Final_Sans_VGE[[#This Row],[date_modif]],
      "Ancien",
      "Modifié"),
   "Nouveau"))</f>
        <v>#VALUE!</v>
      </c>
      <c r="AD8898" s="1" t="str">
        <f>IFERROR(IF(Final_Sans_VGE[[#This Row],[ppn_z]]="","",IFERROR(
   IF(_xlfn.XLOOKUP(Final_Sans_VGE[[#This Row],[ppn_z]],tbl_Historique_Final[[#This Row],[ppn_z]],tbl_Historique_Final[[#This Row],[date_modif]])=Final_Sans_VGE[[#This Row],[date_modif]],
      "Ancien",
      "Modifié"),
   "Nouveau")),"")</f>
        <v/>
      </c>
    </row>
    <row r="8899" spans="24:30" x14ac:dyDescent="0.25">
      <c r="X8899" s="8" t="e">
        <f>IF(Final_Sans_VGE[[#This Row],[ppn_z]]="","",IFERROR(
   IF(_xlfn.XLOOKUP(Final_Sans_VGE[[#This Row],[ppn_z]],tbl_Historique_Final[ppn_z],tbl_Historique_Final[date_modif])=Final_Sans_VGE[[#This Row],[date_modif]],
      "Ancien",
      "Modifié"),
   "Nouveau"))</f>
        <v>#VALUE!</v>
      </c>
      <c r="AD8899" s="1" t="str">
        <f>IFERROR(IF(Final_Sans_VGE[[#This Row],[ppn_z]]="","",IFERROR(
   IF(_xlfn.XLOOKUP(Final_Sans_VGE[[#This Row],[ppn_z]],tbl_Historique_Final[[#This Row],[ppn_z]],tbl_Historique_Final[[#This Row],[date_modif]])=Final_Sans_VGE[[#This Row],[date_modif]],
      "Ancien",
      "Modifié"),
   "Nouveau")),"")</f>
        <v/>
      </c>
    </row>
    <row r="8900" spans="24:30" x14ac:dyDescent="0.25">
      <c r="X8900" s="8" t="e">
        <f>IF(Final_Sans_VGE[[#This Row],[ppn_z]]="","",IFERROR(
   IF(_xlfn.XLOOKUP(Final_Sans_VGE[[#This Row],[ppn_z]],tbl_Historique_Final[ppn_z],tbl_Historique_Final[date_modif])=Final_Sans_VGE[[#This Row],[date_modif]],
      "Ancien",
      "Modifié"),
   "Nouveau"))</f>
        <v>#VALUE!</v>
      </c>
      <c r="AD8900" s="1" t="str">
        <f>IFERROR(IF(Final_Sans_VGE[[#This Row],[ppn_z]]="","",IFERROR(
   IF(_xlfn.XLOOKUP(Final_Sans_VGE[[#This Row],[ppn_z]],tbl_Historique_Final[[#This Row],[ppn_z]],tbl_Historique_Final[[#This Row],[date_modif]])=Final_Sans_VGE[[#This Row],[date_modif]],
      "Ancien",
      "Modifié"),
   "Nouveau")),"")</f>
        <v/>
      </c>
    </row>
    <row r="8901" spans="24:30" x14ac:dyDescent="0.25">
      <c r="X8901" s="8" t="e">
        <f>IF(Final_Sans_VGE[[#This Row],[ppn_z]]="","",IFERROR(
   IF(_xlfn.XLOOKUP(Final_Sans_VGE[[#This Row],[ppn_z]],tbl_Historique_Final[ppn_z],tbl_Historique_Final[date_modif])=Final_Sans_VGE[[#This Row],[date_modif]],
      "Ancien",
      "Modifié"),
   "Nouveau"))</f>
        <v>#VALUE!</v>
      </c>
      <c r="AD8901" s="1" t="str">
        <f>IFERROR(IF(Final_Sans_VGE[[#This Row],[ppn_z]]="","",IFERROR(
   IF(_xlfn.XLOOKUP(Final_Sans_VGE[[#This Row],[ppn_z]],tbl_Historique_Final[[#This Row],[ppn_z]],tbl_Historique_Final[[#This Row],[date_modif]])=Final_Sans_VGE[[#This Row],[date_modif]],
      "Ancien",
      "Modifié"),
   "Nouveau")),"")</f>
        <v/>
      </c>
    </row>
    <row r="8902" spans="24:30" x14ac:dyDescent="0.25">
      <c r="X8902" s="8" t="e">
        <f>IF(Final_Sans_VGE[[#This Row],[ppn_z]]="","",IFERROR(
   IF(_xlfn.XLOOKUP(Final_Sans_VGE[[#This Row],[ppn_z]],tbl_Historique_Final[ppn_z],tbl_Historique_Final[date_modif])=Final_Sans_VGE[[#This Row],[date_modif]],
      "Ancien",
      "Modifié"),
   "Nouveau"))</f>
        <v>#VALUE!</v>
      </c>
      <c r="AD8902" s="1" t="str">
        <f>IFERROR(IF(Final_Sans_VGE[[#This Row],[ppn_z]]="","",IFERROR(
   IF(_xlfn.XLOOKUP(Final_Sans_VGE[[#This Row],[ppn_z]],tbl_Historique_Final[[#This Row],[ppn_z]],tbl_Historique_Final[[#This Row],[date_modif]])=Final_Sans_VGE[[#This Row],[date_modif]],
      "Ancien",
      "Modifié"),
   "Nouveau")),"")</f>
        <v/>
      </c>
    </row>
    <row r="8903" spans="24:30" x14ac:dyDescent="0.25">
      <c r="X8903" s="8" t="e">
        <f>IF(Final_Sans_VGE[[#This Row],[ppn_z]]="","",IFERROR(
   IF(_xlfn.XLOOKUP(Final_Sans_VGE[[#This Row],[ppn_z]],tbl_Historique_Final[ppn_z],tbl_Historique_Final[date_modif])=Final_Sans_VGE[[#This Row],[date_modif]],
      "Ancien",
      "Modifié"),
   "Nouveau"))</f>
        <v>#VALUE!</v>
      </c>
      <c r="AD8903" s="1" t="str">
        <f>IFERROR(IF(Final_Sans_VGE[[#This Row],[ppn_z]]="","",IFERROR(
   IF(_xlfn.XLOOKUP(Final_Sans_VGE[[#This Row],[ppn_z]],tbl_Historique_Final[[#This Row],[ppn_z]],tbl_Historique_Final[[#This Row],[date_modif]])=Final_Sans_VGE[[#This Row],[date_modif]],
      "Ancien",
      "Modifié"),
   "Nouveau")),"")</f>
        <v/>
      </c>
    </row>
    <row r="8904" spans="24:30" x14ac:dyDescent="0.25">
      <c r="X8904" s="8" t="e">
        <f>IF(Final_Sans_VGE[[#This Row],[ppn_z]]="","",IFERROR(
   IF(_xlfn.XLOOKUP(Final_Sans_VGE[[#This Row],[ppn_z]],tbl_Historique_Final[ppn_z],tbl_Historique_Final[date_modif])=Final_Sans_VGE[[#This Row],[date_modif]],
      "Ancien",
      "Modifié"),
   "Nouveau"))</f>
        <v>#VALUE!</v>
      </c>
      <c r="AD8904" s="1" t="str">
        <f>IFERROR(IF(Final_Sans_VGE[[#This Row],[ppn_z]]="","",IFERROR(
   IF(_xlfn.XLOOKUP(Final_Sans_VGE[[#This Row],[ppn_z]],tbl_Historique_Final[[#This Row],[ppn_z]],tbl_Historique_Final[[#This Row],[date_modif]])=Final_Sans_VGE[[#This Row],[date_modif]],
      "Ancien",
      "Modifié"),
   "Nouveau")),"")</f>
        <v/>
      </c>
    </row>
    <row r="8905" spans="24:30" x14ac:dyDescent="0.25">
      <c r="X8905" s="8" t="e">
        <f>IF(Final_Sans_VGE[[#This Row],[ppn_z]]="","",IFERROR(
   IF(_xlfn.XLOOKUP(Final_Sans_VGE[[#This Row],[ppn_z]],tbl_Historique_Final[ppn_z],tbl_Historique_Final[date_modif])=Final_Sans_VGE[[#This Row],[date_modif]],
      "Ancien",
      "Modifié"),
   "Nouveau"))</f>
        <v>#VALUE!</v>
      </c>
      <c r="AD8905" s="1" t="str">
        <f>IFERROR(IF(Final_Sans_VGE[[#This Row],[ppn_z]]="","",IFERROR(
   IF(_xlfn.XLOOKUP(Final_Sans_VGE[[#This Row],[ppn_z]],tbl_Historique_Final[[#This Row],[ppn_z]],tbl_Historique_Final[[#This Row],[date_modif]])=Final_Sans_VGE[[#This Row],[date_modif]],
      "Ancien",
      "Modifié"),
   "Nouveau")),"")</f>
        <v/>
      </c>
    </row>
    <row r="8906" spans="24:30" x14ac:dyDescent="0.25">
      <c r="X8906" s="8" t="e">
        <f>IF(Final_Sans_VGE[[#This Row],[ppn_z]]="","",IFERROR(
   IF(_xlfn.XLOOKUP(Final_Sans_VGE[[#This Row],[ppn_z]],tbl_Historique_Final[ppn_z],tbl_Historique_Final[date_modif])=Final_Sans_VGE[[#This Row],[date_modif]],
      "Ancien",
      "Modifié"),
   "Nouveau"))</f>
        <v>#VALUE!</v>
      </c>
      <c r="AD8906" s="1" t="str">
        <f>IFERROR(IF(Final_Sans_VGE[[#This Row],[ppn_z]]="","",IFERROR(
   IF(_xlfn.XLOOKUP(Final_Sans_VGE[[#This Row],[ppn_z]],tbl_Historique_Final[[#This Row],[ppn_z]],tbl_Historique_Final[[#This Row],[date_modif]])=Final_Sans_VGE[[#This Row],[date_modif]],
      "Ancien",
      "Modifié"),
   "Nouveau")),"")</f>
        <v/>
      </c>
    </row>
    <row r="8907" spans="24:30" x14ac:dyDescent="0.25">
      <c r="X8907" s="8" t="e">
        <f>IF(Final_Sans_VGE[[#This Row],[ppn_z]]="","",IFERROR(
   IF(_xlfn.XLOOKUP(Final_Sans_VGE[[#This Row],[ppn_z]],tbl_Historique_Final[ppn_z],tbl_Historique_Final[date_modif])=Final_Sans_VGE[[#This Row],[date_modif]],
      "Ancien",
      "Modifié"),
   "Nouveau"))</f>
        <v>#VALUE!</v>
      </c>
      <c r="AD8907" s="1" t="str">
        <f>IFERROR(IF(Final_Sans_VGE[[#This Row],[ppn_z]]="","",IFERROR(
   IF(_xlfn.XLOOKUP(Final_Sans_VGE[[#This Row],[ppn_z]],tbl_Historique_Final[[#This Row],[ppn_z]],tbl_Historique_Final[[#This Row],[date_modif]])=Final_Sans_VGE[[#This Row],[date_modif]],
      "Ancien",
      "Modifié"),
   "Nouveau")),"")</f>
        <v/>
      </c>
    </row>
    <row r="8908" spans="24:30" x14ac:dyDescent="0.25">
      <c r="X8908" s="8" t="e">
        <f>IF(Final_Sans_VGE[[#This Row],[ppn_z]]="","",IFERROR(
   IF(_xlfn.XLOOKUP(Final_Sans_VGE[[#This Row],[ppn_z]],tbl_Historique_Final[ppn_z],tbl_Historique_Final[date_modif])=Final_Sans_VGE[[#This Row],[date_modif]],
      "Ancien",
      "Modifié"),
   "Nouveau"))</f>
        <v>#VALUE!</v>
      </c>
      <c r="AD8908" s="1" t="str">
        <f>IFERROR(IF(Final_Sans_VGE[[#This Row],[ppn_z]]="","",IFERROR(
   IF(_xlfn.XLOOKUP(Final_Sans_VGE[[#This Row],[ppn_z]],tbl_Historique_Final[[#This Row],[ppn_z]],tbl_Historique_Final[[#This Row],[date_modif]])=Final_Sans_VGE[[#This Row],[date_modif]],
      "Ancien",
      "Modifié"),
   "Nouveau")),"")</f>
        <v/>
      </c>
    </row>
    <row r="8909" spans="24:30" x14ac:dyDescent="0.25">
      <c r="X8909" s="8" t="e">
        <f>IF(Final_Sans_VGE[[#This Row],[ppn_z]]="","",IFERROR(
   IF(_xlfn.XLOOKUP(Final_Sans_VGE[[#This Row],[ppn_z]],tbl_Historique_Final[ppn_z],tbl_Historique_Final[date_modif])=Final_Sans_VGE[[#This Row],[date_modif]],
      "Ancien",
      "Modifié"),
   "Nouveau"))</f>
        <v>#VALUE!</v>
      </c>
      <c r="AD8909" s="1" t="str">
        <f>IFERROR(IF(Final_Sans_VGE[[#This Row],[ppn_z]]="","",IFERROR(
   IF(_xlfn.XLOOKUP(Final_Sans_VGE[[#This Row],[ppn_z]],tbl_Historique_Final[[#This Row],[ppn_z]],tbl_Historique_Final[[#This Row],[date_modif]])=Final_Sans_VGE[[#This Row],[date_modif]],
      "Ancien",
      "Modifié"),
   "Nouveau")),"")</f>
        <v/>
      </c>
    </row>
    <row r="8910" spans="24:30" x14ac:dyDescent="0.25">
      <c r="X8910" s="8" t="e">
        <f>IF(Final_Sans_VGE[[#This Row],[ppn_z]]="","",IFERROR(
   IF(_xlfn.XLOOKUP(Final_Sans_VGE[[#This Row],[ppn_z]],tbl_Historique_Final[ppn_z],tbl_Historique_Final[date_modif])=Final_Sans_VGE[[#This Row],[date_modif]],
      "Ancien",
      "Modifié"),
   "Nouveau"))</f>
        <v>#VALUE!</v>
      </c>
      <c r="AD8910" s="1" t="str">
        <f>IFERROR(IF(Final_Sans_VGE[[#This Row],[ppn_z]]="","",IFERROR(
   IF(_xlfn.XLOOKUP(Final_Sans_VGE[[#This Row],[ppn_z]],tbl_Historique_Final[[#This Row],[ppn_z]],tbl_Historique_Final[[#This Row],[date_modif]])=Final_Sans_VGE[[#This Row],[date_modif]],
      "Ancien",
      "Modifié"),
   "Nouveau")),"")</f>
        <v/>
      </c>
    </row>
    <row r="8911" spans="24:30" x14ac:dyDescent="0.25">
      <c r="X8911" s="8" t="e">
        <f>IF(Final_Sans_VGE[[#This Row],[ppn_z]]="","",IFERROR(
   IF(_xlfn.XLOOKUP(Final_Sans_VGE[[#This Row],[ppn_z]],tbl_Historique_Final[ppn_z],tbl_Historique_Final[date_modif])=Final_Sans_VGE[[#This Row],[date_modif]],
      "Ancien",
      "Modifié"),
   "Nouveau"))</f>
        <v>#VALUE!</v>
      </c>
      <c r="AD8911" s="1" t="str">
        <f>IFERROR(IF(Final_Sans_VGE[[#This Row],[ppn_z]]="","",IFERROR(
   IF(_xlfn.XLOOKUP(Final_Sans_VGE[[#This Row],[ppn_z]],tbl_Historique_Final[[#This Row],[ppn_z]],tbl_Historique_Final[[#This Row],[date_modif]])=Final_Sans_VGE[[#This Row],[date_modif]],
      "Ancien",
      "Modifié"),
   "Nouveau")),"")</f>
        <v/>
      </c>
    </row>
    <row r="8912" spans="24:30" x14ac:dyDescent="0.25">
      <c r="X8912" s="8" t="e">
        <f>IF(Final_Sans_VGE[[#This Row],[ppn_z]]="","",IFERROR(
   IF(_xlfn.XLOOKUP(Final_Sans_VGE[[#This Row],[ppn_z]],tbl_Historique_Final[ppn_z],tbl_Historique_Final[date_modif])=Final_Sans_VGE[[#This Row],[date_modif]],
      "Ancien",
      "Modifié"),
   "Nouveau"))</f>
        <v>#VALUE!</v>
      </c>
      <c r="AD8912" s="1" t="str">
        <f>IFERROR(IF(Final_Sans_VGE[[#This Row],[ppn_z]]="","",IFERROR(
   IF(_xlfn.XLOOKUP(Final_Sans_VGE[[#This Row],[ppn_z]],tbl_Historique_Final[[#This Row],[ppn_z]],tbl_Historique_Final[[#This Row],[date_modif]])=Final_Sans_VGE[[#This Row],[date_modif]],
      "Ancien",
      "Modifié"),
   "Nouveau")),"")</f>
        <v/>
      </c>
    </row>
    <row r="8913" spans="24:30" x14ac:dyDescent="0.25">
      <c r="X8913" s="8" t="e">
        <f>IF(Final_Sans_VGE[[#This Row],[ppn_z]]="","",IFERROR(
   IF(_xlfn.XLOOKUP(Final_Sans_VGE[[#This Row],[ppn_z]],tbl_Historique_Final[ppn_z],tbl_Historique_Final[date_modif])=Final_Sans_VGE[[#This Row],[date_modif]],
      "Ancien",
      "Modifié"),
   "Nouveau"))</f>
        <v>#VALUE!</v>
      </c>
      <c r="AD8913" s="1" t="str">
        <f>IFERROR(IF(Final_Sans_VGE[[#This Row],[ppn_z]]="","",IFERROR(
   IF(_xlfn.XLOOKUP(Final_Sans_VGE[[#This Row],[ppn_z]],tbl_Historique_Final[[#This Row],[ppn_z]],tbl_Historique_Final[[#This Row],[date_modif]])=Final_Sans_VGE[[#This Row],[date_modif]],
      "Ancien",
      "Modifié"),
   "Nouveau")),"")</f>
        <v/>
      </c>
    </row>
    <row r="8914" spans="24:30" x14ac:dyDescent="0.25">
      <c r="X8914" s="8" t="e">
        <f>IF(Final_Sans_VGE[[#This Row],[ppn_z]]="","",IFERROR(
   IF(_xlfn.XLOOKUP(Final_Sans_VGE[[#This Row],[ppn_z]],tbl_Historique_Final[ppn_z],tbl_Historique_Final[date_modif])=Final_Sans_VGE[[#This Row],[date_modif]],
      "Ancien",
      "Modifié"),
   "Nouveau"))</f>
        <v>#VALUE!</v>
      </c>
      <c r="AD8914" s="1" t="str">
        <f>IFERROR(IF(Final_Sans_VGE[[#This Row],[ppn_z]]="","",IFERROR(
   IF(_xlfn.XLOOKUP(Final_Sans_VGE[[#This Row],[ppn_z]],tbl_Historique_Final[[#This Row],[ppn_z]],tbl_Historique_Final[[#This Row],[date_modif]])=Final_Sans_VGE[[#This Row],[date_modif]],
      "Ancien",
      "Modifié"),
   "Nouveau")),"")</f>
        <v/>
      </c>
    </row>
    <row r="8915" spans="24:30" x14ac:dyDescent="0.25">
      <c r="X8915" s="8" t="e">
        <f>IF(Final_Sans_VGE[[#This Row],[ppn_z]]="","",IFERROR(
   IF(_xlfn.XLOOKUP(Final_Sans_VGE[[#This Row],[ppn_z]],tbl_Historique_Final[ppn_z],tbl_Historique_Final[date_modif])=Final_Sans_VGE[[#This Row],[date_modif]],
      "Ancien",
      "Modifié"),
   "Nouveau"))</f>
        <v>#VALUE!</v>
      </c>
      <c r="AD8915" s="1" t="str">
        <f>IFERROR(IF(Final_Sans_VGE[[#This Row],[ppn_z]]="","",IFERROR(
   IF(_xlfn.XLOOKUP(Final_Sans_VGE[[#This Row],[ppn_z]],tbl_Historique_Final[[#This Row],[ppn_z]],tbl_Historique_Final[[#This Row],[date_modif]])=Final_Sans_VGE[[#This Row],[date_modif]],
      "Ancien",
      "Modifié"),
   "Nouveau")),"")</f>
        <v/>
      </c>
    </row>
    <row r="8916" spans="24:30" x14ac:dyDescent="0.25">
      <c r="X8916" s="8" t="e">
        <f>IF(Final_Sans_VGE[[#This Row],[ppn_z]]="","",IFERROR(
   IF(_xlfn.XLOOKUP(Final_Sans_VGE[[#This Row],[ppn_z]],tbl_Historique_Final[ppn_z],tbl_Historique_Final[date_modif])=Final_Sans_VGE[[#This Row],[date_modif]],
      "Ancien",
      "Modifié"),
   "Nouveau"))</f>
        <v>#VALUE!</v>
      </c>
      <c r="AD8916" s="1" t="str">
        <f>IFERROR(IF(Final_Sans_VGE[[#This Row],[ppn_z]]="","",IFERROR(
   IF(_xlfn.XLOOKUP(Final_Sans_VGE[[#This Row],[ppn_z]],tbl_Historique_Final[[#This Row],[ppn_z]],tbl_Historique_Final[[#This Row],[date_modif]])=Final_Sans_VGE[[#This Row],[date_modif]],
      "Ancien",
      "Modifié"),
   "Nouveau")),"")</f>
        <v/>
      </c>
    </row>
    <row r="8917" spans="24:30" x14ac:dyDescent="0.25">
      <c r="X8917" s="8" t="e">
        <f>IF(Final_Sans_VGE[[#This Row],[ppn_z]]="","",IFERROR(
   IF(_xlfn.XLOOKUP(Final_Sans_VGE[[#This Row],[ppn_z]],tbl_Historique_Final[ppn_z],tbl_Historique_Final[date_modif])=Final_Sans_VGE[[#This Row],[date_modif]],
      "Ancien",
      "Modifié"),
   "Nouveau"))</f>
        <v>#VALUE!</v>
      </c>
      <c r="AD8917" s="1" t="str">
        <f>IFERROR(IF(Final_Sans_VGE[[#This Row],[ppn_z]]="","",IFERROR(
   IF(_xlfn.XLOOKUP(Final_Sans_VGE[[#This Row],[ppn_z]],tbl_Historique_Final[[#This Row],[ppn_z]],tbl_Historique_Final[[#This Row],[date_modif]])=Final_Sans_VGE[[#This Row],[date_modif]],
      "Ancien",
      "Modifié"),
   "Nouveau")),"")</f>
        <v/>
      </c>
    </row>
    <row r="8918" spans="24:30" x14ac:dyDescent="0.25">
      <c r="X8918" s="8" t="e">
        <f>IF(Final_Sans_VGE[[#This Row],[ppn_z]]="","",IFERROR(
   IF(_xlfn.XLOOKUP(Final_Sans_VGE[[#This Row],[ppn_z]],tbl_Historique_Final[ppn_z],tbl_Historique_Final[date_modif])=Final_Sans_VGE[[#This Row],[date_modif]],
      "Ancien",
      "Modifié"),
   "Nouveau"))</f>
        <v>#VALUE!</v>
      </c>
      <c r="AD8918" s="1" t="str">
        <f>IFERROR(IF(Final_Sans_VGE[[#This Row],[ppn_z]]="","",IFERROR(
   IF(_xlfn.XLOOKUP(Final_Sans_VGE[[#This Row],[ppn_z]],tbl_Historique_Final[[#This Row],[ppn_z]],tbl_Historique_Final[[#This Row],[date_modif]])=Final_Sans_VGE[[#This Row],[date_modif]],
      "Ancien",
      "Modifié"),
   "Nouveau")),"")</f>
        <v/>
      </c>
    </row>
    <row r="8919" spans="24:30" x14ac:dyDescent="0.25">
      <c r="X8919" s="8" t="e">
        <f>IF(Final_Sans_VGE[[#This Row],[ppn_z]]="","",IFERROR(
   IF(_xlfn.XLOOKUP(Final_Sans_VGE[[#This Row],[ppn_z]],tbl_Historique_Final[ppn_z],tbl_Historique_Final[date_modif])=Final_Sans_VGE[[#This Row],[date_modif]],
      "Ancien",
      "Modifié"),
   "Nouveau"))</f>
        <v>#VALUE!</v>
      </c>
      <c r="AD8919" s="1" t="str">
        <f>IFERROR(IF(Final_Sans_VGE[[#This Row],[ppn_z]]="","",IFERROR(
   IF(_xlfn.XLOOKUP(Final_Sans_VGE[[#This Row],[ppn_z]],tbl_Historique_Final[[#This Row],[ppn_z]],tbl_Historique_Final[[#This Row],[date_modif]])=Final_Sans_VGE[[#This Row],[date_modif]],
      "Ancien",
      "Modifié"),
   "Nouveau")),"")</f>
        <v/>
      </c>
    </row>
    <row r="8920" spans="24:30" x14ac:dyDescent="0.25">
      <c r="X8920" s="8" t="e">
        <f>IF(Final_Sans_VGE[[#This Row],[ppn_z]]="","",IFERROR(
   IF(_xlfn.XLOOKUP(Final_Sans_VGE[[#This Row],[ppn_z]],tbl_Historique_Final[ppn_z],tbl_Historique_Final[date_modif])=Final_Sans_VGE[[#This Row],[date_modif]],
      "Ancien",
      "Modifié"),
   "Nouveau"))</f>
        <v>#VALUE!</v>
      </c>
      <c r="AD8920" s="1" t="str">
        <f>IFERROR(IF(Final_Sans_VGE[[#This Row],[ppn_z]]="","",IFERROR(
   IF(_xlfn.XLOOKUP(Final_Sans_VGE[[#This Row],[ppn_z]],tbl_Historique_Final[[#This Row],[ppn_z]],tbl_Historique_Final[[#This Row],[date_modif]])=Final_Sans_VGE[[#This Row],[date_modif]],
      "Ancien",
      "Modifié"),
   "Nouveau")),"")</f>
        <v/>
      </c>
    </row>
    <row r="8921" spans="24:30" x14ac:dyDescent="0.25">
      <c r="X8921" s="8" t="e">
        <f>IF(Final_Sans_VGE[[#This Row],[ppn_z]]="","",IFERROR(
   IF(_xlfn.XLOOKUP(Final_Sans_VGE[[#This Row],[ppn_z]],tbl_Historique_Final[ppn_z],tbl_Historique_Final[date_modif])=Final_Sans_VGE[[#This Row],[date_modif]],
      "Ancien",
      "Modifié"),
   "Nouveau"))</f>
        <v>#VALUE!</v>
      </c>
      <c r="AD8921" s="1" t="str">
        <f>IFERROR(IF(Final_Sans_VGE[[#This Row],[ppn_z]]="","",IFERROR(
   IF(_xlfn.XLOOKUP(Final_Sans_VGE[[#This Row],[ppn_z]],tbl_Historique_Final[[#This Row],[ppn_z]],tbl_Historique_Final[[#This Row],[date_modif]])=Final_Sans_VGE[[#This Row],[date_modif]],
      "Ancien",
      "Modifié"),
   "Nouveau")),"")</f>
        <v/>
      </c>
    </row>
    <row r="8922" spans="24:30" x14ac:dyDescent="0.25">
      <c r="X8922" s="8" t="e">
        <f>IF(Final_Sans_VGE[[#This Row],[ppn_z]]="","",IFERROR(
   IF(_xlfn.XLOOKUP(Final_Sans_VGE[[#This Row],[ppn_z]],tbl_Historique_Final[ppn_z],tbl_Historique_Final[date_modif])=Final_Sans_VGE[[#This Row],[date_modif]],
      "Ancien",
      "Modifié"),
   "Nouveau"))</f>
        <v>#VALUE!</v>
      </c>
      <c r="AD8922" s="1" t="str">
        <f>IFERROR(IF(Final_Sans_VGE[[#This Row],[ppn_z]]="","",IFERROR(
   IF(_xlfn.XLOOKUP(Final_Sans_VGE[[#This Row],[ppn_z]],tbl_Historique_Final[[#This Row],[ppn_z]],tbl_Historique_Final[[#This Row],[date_modif]])=Final_Sans_VGE[[#This Row],[date_modif]],
      "Ancien",
      "Modifié"),
   "Nouveau")),"")</f>
        <v/>
      </c>
    </row>
    <row r="8923" spans="24:30" x14ac:dyDescent="0.25">
      <c r="X8923" s="8" t="e">
        <f>IF(Final_Sans_VGE[[#This Row],[ppn_z]]="","",IFERROR(
   IF(_xlfn.XLOOKUP(Final_Sans_VGE[[#This Row],[ppn_z]],tbl_Historique_Final[ppn_z],tbl_Historique_Final[date_modif])=Final_Sans_VGE[[#This Row],[date_modif]],
      "Ancien",
      "Modifié"),
   "Nouveau"))</f>
        <v>#VALUE!</v>
      </c>
      <c r="AD8923" s="1" t="str">
        <f>IFERROR(IF(Final_Sans_VGE[[#This Row],[ppn_z]]="","",IFERROR(
   IF(_xlfn.XLOOKUP(Final_Sans_VGE[[#This Row],[ppn_z]],tbl_Historique_Final[[#This Row],[ppn_z]],tbl_Historique_Final[[#This Row],[date_modif]])=Final_Sans_VGE[[#This Row],[date_modif]],
      "Ancien",
      "Modifié"),
   "Nouveau")),"")</f>
        <v/>
      </c>
    </row>
    <row r="8924" spans="24:30" x14ac:dyDescent="0.25">
      <c r="X8924" s="8" t="e">
        <f>IF(Final_Sans_VGE[[#This Row],[ppn_z]]="","",IFERROR(
   IF(_xlfn.XLOOKUP(Final_Sans_VGE[[#This Row],[ppn_z]],tbl_Historique_Final[ppn_z],tbl_Historique_Final[date_modif])=Final_Sans_VGE[[#This Row],[date_modif]],
      "Ancien",
      "Modifié"),
   "Nouveau"))</f>
        <v>#VALUE!</v>
      </c>
      <c r="AD8924" s="1" t="str">
        <f>IFERROR(IF(Final_Sans_VGE[[#This Row],[ppn_z]]="","",IFERROR(
   IF(_xlfn.XLOOKUP(Final_Sans_VGE[[#This Row],[ppn_z]],tbl_Historique_Final[[#This Row],[ppn_z]],tbl_Historique_Final[[#This Row],[date_modif]])=Final_Sans_VGE[[#This Row],[date_modif]],
      "Ancien",
      "Modifié"),
   "Nouveau")),"")</f>
        <v/>
      </c>
    </row>
    <row r="8925" spans="24:30" x14ac:dyDescent="0.25">
      <c r="X8925" s="8" t="e">
        <f>IF(Final_Sans_VGE[[#This Row],[ppn_z]]="","",IFERROR(
   IF(_xlfn.XLOOKUP(Final_Sans_VGE[[#This Row],[ppn_z]],tbl_Historique_Final[ppn_z],tbl_Historique_Final[date_modif])=Final_Sans_VGE[[#This Row],[date_modif]],
      "Ancien",
      "Modifié"),
   "Nouveau"))</f>
        <v>#VALUE!</v>
      </c>
      <c r="AD8925" s="1" t="str">
        <f>IFERROR(IF(Final_Sans_VGE[[#This Row],[ppn_z]]="","",IFERROR(
   IF(_xlfn.XLOOKUP(Final_Sans_VGE[[#This Row],[ppn_z]],tbl_Historique_Final[[#This Row],[ppn_z]],tbl_Historique_Final[[#This Row],[date_modif]])=Final_Sans_VGE[[#This Row],[date_modif]],
      "Ancien",
      "Modifié"),
   "Nouveau")),"")</f>
        <v/>
      </c>
    </row>
    <row r="8926" spans="24:30" x14ac:dyDescent="0.25">
      <c r="X8926" s="8" t="e">
        <f>IF(Final_Sans_VGE[[#This Row],[ppn_z]]="","",IFERROR(
   IF(_xlfn.XLOOKUP(Final_Sans_VGE[[#This Row],[ppn_z]],tbl_Historique_Final[ppn_z],tbl_Historique_Final[date_modif])=Final_Sans_VGE[[#This Row],[date_modif]],
      "Ancien",
      "Modifié"),
   "Nouveau"))</f>
        <v>#VALUE!</v>
      </c>
      <c r="AD8926" s="1" t="str">
        <f>IFERROR(IF(Final_Sans_VGE[[#This Row],[ppn_z]]="","",IFERROR(
   IF(_xlfn.XLOOKUP(Final_Sans_VGE[[#This Row],[ppn_z]],tbl_Historique_Final[[#This Row],[ppn_z]],tbl_Historique_Final[[#This Row],[date_modif]])=Final_Sans_VGE[[#This Row],[date_modif]],
      "Ancien",
      "Modifié"),
   "Nouveau")),"")</f>
        <v/>
      </c>
    </row>
    <row r="8927" spans="24:30" x14ac:dyDescent="0.25">
      <c r="X8927" s="8" t="e">
        <f>IF(Final_Sans_VGE[[#This Row],[ppn_z]]="","",IFERROR(
   IF(_xlfn.XLOOKUP(Final_Sans_VGE[[#This Row],[ppn_z]],tbl_Historique_Final[ppn_z],tbl_Historique_Final[date_modif])=Final_Sans_VGE[[#This Row],[date_modif]],
      "Ancien",
      "Modifié"),
   "Nouveau"))</f>
        <v>#VALUE!</v>
      </c>
      <c r="AD8927" s="1" t="str">
        <f>IFERROR(IF(Final_Sans_VGE[[#This Row],[ppn_z]]="","",IFERROR(
   IF(_xlfn.XLOOKUP(Final_Sans_VGE[[#This Row],[ppn_z]],tbl_Historique_Final[[#This Row],[ppn_z]],tbl_Historique_Final[[#This Row],[date_modif]])=Final_Sans_VGE[[#This Row],[date_modif]],
      "Ancien",
      "Modifié"),
   "Nouveau")),"")</f>
        <v/>
      </c>
    </row>
    <row r="8928" spans="24:30" x14ac:dyDescent="0.25">
      <c r="X8928" s="8" t="e">
        <f>IF(Final_Sans_VGE[[#This Row],[ppn_z]]="","",IFERROR(
   IF(_xlfn.XLOOKUP(Final_Sans_VGE[[#This Row],[ppn_z]],tbl_Historique_Final[ppn_z],tbl_Historique_Final[date_modif])=Final_Sans_VGE[[#This Row],[date_modif]],
      "Ancien",
      "Modifié"),
   "Nouveau"))</f>
        <v>#VALUE!</v>
      </c>
      <c r="AD8928" s="1" t="str">
        <f>IFERROR(IF(Final_Sans_VGE[[#This Row],[ppn_z]]="","",IFERROR(
   IF(_xlfn.XLOOKUP(Final_Sans_VGE[[#This Row],[ppn_z]],tbl_Historique_Final[[#This Row],[ppn_z]],tbl_Historique_Final[[#This Row],[date_modif]])=Final_Sans_VGE[[#This Row],[date_modif]],
      "Ancien",
      "Modifié"),
   "Nouveau")),"")</f>
        <v/>
      </c>
    </row>
    <row r="8929" spans="24:30" x14ac:dyDescent="0.25">
      <c r="X8929" s="8" t="e">
        <f>IF(Final_Sans_VGE[[#This Row],[ppn_z]]="","",IFERROR(
   IF(_xlfn.XLOOKUP(Final_Sans_VGE[[#This Row],[ppn_z]],tbl_Historique_Final[ppn_z],tbl_Historique_Final[date_modif])=Final_Sans_VGE[[#This Row],[date_modif]],
      "Ancien",
      "Modifié"),
   "Nouveau"))</f>
        <v>#VALUE!</v>
      </c>
      <c r="AD8929" s="1" t="str">
        <f>IFERROR(IF(Final_Sans_VGE[[#This Row],[ppn_z]]="","",IFERROR(
   IF(_xlfn.XLOOKUP(Final_Sans_VGE[[#This Row],[ppn_z]],tbl_Historique_Final[[#This Row],[ppn_z]],tbl_Historique_Final[[#This Row],[date_modif]])=Final_Sans_VGE[[#This Row],[date_modif]],
      "Ancien",
      "Modifié"),
   "Nouveau")),"")</f>
        <v/>
      </c>
    </row>
    <row r="8930" spans="24:30" x14ac:dyDescent="0.25">
      <c r="X8930" s="8" t="e">
        <f>IF(Final_Sans_VGE[[#This Row],[ppn_z]]="","",IFERROR(
   IF(_xlfn.XLOOKUP(Final_Sans_VGE[[#This Row],[ppn_z]],tbl_Historique_Final[ppn_z],tbl_Historique_Final[date_modif])=Final_Sans_VGE[[#This Row],[date_modif]],
      "Ancien",
      "Modifié"),
   "Nouveau"))</f>
        <v>#VALUE!</v>
      </c>
      <c r="AD8930" s="1" t="str">
        <f>IFERROR(IF(Final_Sans_VGE[[#This Row],[ppn_z]]="","",IFERROR(
   IF(_xlfn.XLOOKUP(Final_Sans_VGE[[#This Row],[ppn_z]],tbl_Historique_Final[[#This Row],[ppn_z]],tbl_Historique_Final[[#This Row],[date_modif]])=Final_Sans_VGE[[#This Row],[date_modif]],
      "Ancien",
      "Modifié"),
   "Nouveau")),"")</f>
        <v/>
      </c>
    </row>
    <row r="8931" spans="24:30" x14ac:dyDescent="0.25">
      <c r="X8931" s="8" t="e">
        <f>IF(Final_Sans_VGE[[#This Row],[ppn_z]]="","",IFERROR(
   IF(_xlfn.XLOOKUP(Final_Sans_VGE[[#This Row],[ppn_z]],tbl_Historique_Final[ppn_z],tbl_Historique_Final[date_modif])=Final_Sans_VGE[[#This Row],[date_modif]],
      "Ancien",
      "Modifié"),
   "Nouveau"))</f>
        <v>#VALUE!</v>
      </c>
      <c r="AD8931" s="1" t="str">
        <f>IFERROR(IF(Final_Sans_VGE[[#This Row],[ppn_z]]="","",IFERROR(
   IF(_xlfn.XLOOKUP(Final_Sans_VGE[[#This Row],[ppn_z]],tbl_Historique_Final[[#This Row],[ppn_z]],tbl_Historique_Final[[#This Row],[date_modif]])=Final_Sans_VGE[[#This Row],[date_modif]],
      "Ancien",
      "Modifié"),
   "Nouveau")),"")</f>
        <v/>
      </c>
    </row>
    <row r="8932" spans="24:30" x14ac:dyDescent="0.25">
      <c r="X8932" s="8" t="e">
        <f>IF(Final_Sans_VGE[[#This Row],[ppn_z]]="","",IFERROR(
   IF(_xlfn.XLOOKUP(Final_Sans_VGE[[#This Row],[ppn_z]],tbl_Historique_Final[ppn_z],tbl_Historique_Final[date_modif])=Final_Sans_VGE[[#This Row],[date_modif]],
      "Ancien",
      "Modifié"),
   "Nouveau"))</f>
        <v>#VALUE!</v>
      </c>
      <c r="AD8932" s="1" t="str">
        <f>IFERROR(IF(Final_Sans_VGE[[#This Row],[ppn_z]]="","",IFERROR(
   IF(_xlfn.XLOOKUP(Final_Sans_VGE[[#This Row],[ppn_z]],tbl_Historique_Final[[#This Row],[ppn_z]],tbl_Historique_Final[[#This Row],[date_modif]])=Final_Sans_VGE[[#This Row],[date_modif]],
      "Ancien",
      "Modifié"),
   "Nouveau")),"")</f>
        <v/>
      </c>
    </row>
    <row r="8933" spans="24:30" x14ac:dyDescent="0.25">
      <c r="X8933" s="8" t="e">
        <f>IF(Final_Sans_VGE[[#This Row],[ppn_z]]="","",IFERROR(
   IF(_xlfn.XLOOKUP(Final_Sans_VGE[[#This Row],[ppn_z]],tbl_Historique_Final[ppn_z],tbl_Historique_Final[date_modif])=Final_Sans_VGE[[#This Row],[date_modif]],
      "Ancien",
      "Modifié"),
   "Nouveau"))</f>
        <v>#VALUE!</v>
      </c>
      <c r="AD8933" s="1" t="str">
        <f>IFERROR(IF(Final_Sans_VGE[[#This Row],[ppn_z]]="","",IFERROR(
   IF(_xlfn.XLOOKUP(Final_Sans_VGE[[#This Row],[ppn_z]],tbl_Historique_Final[[#This Row],[ppn_z]],tbl_Historique_Final[[#This Row],[date_modif]])=Final_Sans_VGE[[#This Row],[date_modif]],
      "Ancien",
      "Modifié"),
   "Nouveau")),"")</f>
        <v/>
      </c>
    </row>
    <row r="8934" spans="24:30" x14ac:dyDescent="0.25">
      <c r="X8934" s="8" t="e">
        <f>IF(Final_Sans_VGE[[#This Row],[ppn_z]]="","",IFERROR(
   IF(_xlfn.XLOOKUP(Final_Sans_VGE[[#This Row],[ppn_z]],tbl_Historique_Final[ppn_z],tbl_Historique_Final[date_modif])=Final_Sans_VGE[[#This Row],[date_modif]],
      "Ancien",
      "Modifié"),
   "Nouveau"))</f>
        <v>#VALUE!</v>
      </c>
      <c r="AD8934" s="1" t="str">
        <f>IFERROR(IF(Final_Sans_VGE[[#This Row],[ppn_z]]="","",IFERROR(
   IF(_xlfn.XLOOKUP(Final_Sans_VGE[[#This Row],[ppn_z]],tbl_Historique_Final[[#This Row],[ppn_z]],tbl_Historique_Final[[#This Row],[date_modif]])=Final_Sans_VGE[[#This Row],[date_modif]],
      "Ancien",
      "Modifié"),
   "Nouveau")),"")</f>
        <v/>
      </c>
    </row>
    <row r="8935" spans="24:30" x14ac:dyDescent="0.25">
      <c r="X8935" s="8" t="e">
        <f>IF(Final_Sans_VGE[[#This Row],[ppn_z]]="","",IFERROR(
   IF(_xlfn.XLOOKUP(Final_Sans_VGE[[#This Row],[ppn_z]],tbl_Historique_Final[ppn_z],tbl_Historique_Final[date_modif])=Final_Sans_VGE[[#This Row],[date_modif]],
      "Ancien",
      "Modifié"),
   "Nouveau"))</f>
        <v>#VALUE!</v>
      </c>
      <c r="AD8935" s="1" t="str">
        <f>IFERROR(IF(Final_Sans_VGE[[#This Row],[ppn_z]]="","",IFERROR(
   IF(_xlfn.XLOOKUP(Final_Sans_VGE[[#This Row],[ppn_z]],tbl_Historique_Final[[#This Row],[ppn_z]],tbl_Historique_Final[[#This Row],[date_modif]])=Final_Sans_VGE[[#This Row],[date_modif]],
      "Ancien",
      "Modifié"),
   "Nouveau")),"")</f>
        <v/>
      </c>
    </row>
    <row r="8936" spans="24:30" x14ac:dyDescent="0.25">
      <c r="X8936" s="8" t="e">
        <f>IF(Final_Sans_VGE[[#This Row],[ppn_z]]="","",IFERROR(
   IF(_xlfn.XLOOKUP(Final_Sans_VGE[[#This Row],[ppn_z]],tbl_Historique_Final[ppn_z],tbl_Historique_Final[date_modif])=Final_Sans_VGE[[#This Row],[date_modif]],
      "Ancien",
      "Modifié"),
   "Nouveau"))</f>
        <v>#VALUE!</v>
      </c>
      <c r="AD8936" s="1" t="str">
        <f>IFERROR(IF(Final_Sans_VGE[[#This Row],[ppn_z]]="","",IFERROR(
   IF(_xlfn.XLOOKUP(Final_Sans_VGE[[#This Row],[ppn_z]],tbl_Historique_Final[[#This Row],[ppn_z]],tbl_Historique_Final[[#This Row],[date_modif]])=Final_Sans_VGE[[#This Row],[date_modif]],
      "Ancien",
      "Modifié"),
   "Nouveau")),"")</f>
        <v/>
      </c>
    </row>
    <row r="8937" spans="24:30" x14ac:dyDescent="0.25">
      <c r="X8937" s="8" t="e">
        <f>IF(Final_Sans_VGE[[#This Row],[ppn_z]]="","",IFERROR(
   IF(_xlfn.XLOOKUP(Final_Sans_VGE[[#This Row],[ppn_z]],tbl_Historique_Final[ppn_z],tbl_Historique_Final[date_modif])=Final_Sans_VGE[[#This Row],[date_modif]],
      "Ancien",
      "Modifié"),
   "Nouveau"))</f>
        <v>#VALUE!</v>
      </c>
      <c r="AD8937" s="1" t="str">
        <f>IFERROR(IF(Final_Sans_VGE[[#This Row],[ppn_z]]="","",IFERROR(
   IF(_xlfn.XLOOKUP(Final_Sans_VGE[[#This Row],[ppn_z]],tbl_Historique_Final[[#This Row],[ppn_z]],tbl_Historique_Final[[#This Row],[date_modif]])=Final_Sans_VGE[[#This Row],[date_modif]],
      "Ancien",
      "Modifié"),
   "Nouveau")),"")</f>
        <v/>
      </c>
    </row>
    <row r="8938" spans="24:30" x14ac:dyDescent="0.25">
      <c r="X8938" s="8" t="e">
        <f>IF(Final_Sans_VGE[[#This Row],[ppn_z]]="","",IFERROR(
   IF(_xlfn.XLOOKUP(Final_Sans_VGE[[#This Row],[ppn_z]],tbl_Historique_Final[ppn_z],tbl_Historique_Final[date_modif])=Final_Sans_VGE[[#This Row],[date_modif]],
      "Ancien",
      "Modifié"),
   "Nouveau"))</f>
        <v>#VALUE!</v>
      </c>
      <c r="AD8938" s="1" t="str">
        <f>IFERROR(IF(Final_Sans_VGE[[#This Row],[ppn_z]]="","",IFERROR(
   IF(_xlfn.XLOOKUP(Final_Sans_VGE[[#This Row],[ppn_z]],tbl_Historique_Final[[#This Row],[ppn_z]],tbl_Historique_Final[[#This Row],[date_modif]])=Final_Sans_VGE[[#This Row],[date_modif]],
      "Ancien",
      "Modifié"),
   "Nouveau")),"")</f>
        <v/>
      </c>
    </row>
    <row r="8939" spans="24:30" x14ac:dyDescent="0.25">
      <c r="X8939" s="8" t="e">
        <f>IF(Final_Sans_VGE[[#This Row],[ppn_z]]="","",IFERROR(
   IF(_xlfn.XLOOKUP(Final_Sans_VGE[[#This Row],[ppn_z]],tbl_Historique_Final[ppn_z],tbl_Historique_Final[date_modif])=Final_Sans_VGE[[#This Row],[date_modif]],
      "Ancien",
      "Modifié"),
   "Nouveau"))</f>
        <v>#VALUE!</v>
      </c>
      <c r="AD8939" s="1" t="str">
        <f>IFERROR(IF(Final_Sans_VGE[[#This Row],[ppn_z]]="","",IFERROR(
   IF(_xlfn.XLOOKUP(Final_Sans_VGE[[#This Row],[ppn_z]],tbl_Historique_Final[[#This Row],[ppn_z]],tbl_Historique_Final[[#This Row],[date_modif]])=Final_Sans_VGE[[#This Row],[date_modif]],
      "Ancien",
      "Modifié"),
   "Nouveau")),"")</f>
        <v/>
      </c>
    </row>
    <row r="8940" spans="24:30" x14ac:dyDescent="0.25">
      <c r="X8940" s="8" t="e">
        <f>IF(Final_Sans_VGE[[#This Row],[ppn_z]]="","",IFERROR(
   IF(_xlfn.XLOOKUP(Final_Sans_VGE[[#This Row],[ppn_z]],tbl_Historique_Final[ppn_z],tbl_Historique_Final[date_modif])=Final_Sans_VGE[[#This Row],[date_modif]],
      "Ancien",
      "Modifié"),
   "Nouveau"))</f>
        <v>#VALUE!</v>
      </c>
      <c r="AD8940" s="1" t="str">
        <f>IFERROR(IF(Final_Sans_VGE[[#This Row],[ppn_z]]="","",IFERROR(
   IF(_xlfn.XLOOKUP(Final_Sans_VGE[[#This Row],[ppn_z]],tbl_Historique_Final[[#This Row],[ppn_z]],tbl_Historique_Final[[#This Row],[date_modif]])=Final_Sans_VGE[[#This Row],[date_modif]],
      "Ancien",
      "Modifié"),
   "Nouveau")),"")</f>
        <v/>
      </c>
    </row>
    <row r="8941" spans="24:30" x14ac:dyDescent="0.25">
      <c r="X8941" s="8" t="e">
        <f>IF(Final_Sans_VGE[[#This Row],[ppn_z]]="","",IFERROR(
   IF(_xlfn.XLOOKUP(Final_Sans_VGE[[#This Row],[ppn_z]],tbl_Historique_Final[ppn_z],tbl_Historique_Final[date_modif])=Final_Sans_VGE[[#This Row],[date_modif]],
      "Ancien",
      "Modifié"),
   "Nouveau"))</f>
        <v>#VALUE!</v>
      </c>
      <c r="AD8941" s="1" t="str">
        <f>IFERROR(IF(Final_Sans_VGE[[#This Row],[ppn_z]]="","",IFERROR(
   IF(_xlfn.XLOOKUP(Final_Sans_VGE[[#This Row],[ppn_z]],tbl_Historique_Final[[#This Row],[ppn_z]],tbl_Historique_Final[[#This Row],[date_modif]])=Final_Sans_VGE[[#This Row],[date_modif]],
      "Ancien",
      "Modifié"),
   "Nouveau")),"")</f>
        <v/>
      </c>
    </row>
    <row r="8942" spans="24:30" x14ac:dyDescent="0.25">
      <c r="X8942" s="8" t="e">
        <f>IF(Final_Sans_VGE[[#This Row],[ppn_z]]="","",IFERROR(
   IF(_xlfn.XLOOKUP(Final_Sans_VGE[[#This Row],[ppn_z]],tbl_Historique_Final[ppn_z],tbl_Historique_Final[date_modif])=Final_Sans_VGE[[#This Row],[date_modif]],
      "Ancien",
      "Modifié"),
   "Nouveau"))</f>
        <v>#VALUE!</v>
      </c>
      <c r="AD8942" s="1" t="str">
        <f>IFERROR(IF(Final_Sans_VGE[[#This Row],[ppn_z]]="","",IFERROR(
   IF(_xlfn.XLOOKUP(Final_Sans_VGE[[#This Row],[ppn_z]],tbl_Historique_Final[[#This Row],[ppn_z]],tbl_Historique_Final[[#This Row],[date_modif]])=Final_Sans_VGE[[#This Row],[date_modif]],
      "Ancien",
      "Modifié"),
   "Nouveau")),"")</f>
        <v/>
      </c>
    </row>
    <row r="8943" spans="24:30" x14ac:dyDescent="0.25">
      <c r="X8943" s="8" t="e">
        <f>IF(Final_Sans_VGE[[#This Row],[ppn_z]]="","",IFERROR(
   IF(_xlfn.XLOOKUP(Final_Sans_VGE[[#This Row],[ppn_z]],tbl_Historique_Final[ppn_z],tbl_Historique_Final[date_modif])=Final_Sans_VGE[[#This Row],[date_modif]],
      "Ancien",
      "Modifié"),
   "Nouveau"))</f>
        <v>#VALUE!</v>
      </c>
      <c r="AD8943" s="1" t="str">
        <f>IFERROR(IF(Final_Sans_VGE[[#This Row],[ppn_z]]="","",IFERROR(
   IF(_xlfn.XLOOKUP(Final_Sans_VGE[[#This Row],[ppn_z]],tbl_Historique_Final[[#This Row],[ppn_z]],tbl_Historique_Final[[#This Row],[date_modif]])=Final_Sans_VGE[[#This Row],[date_modif]],
      "Ancien",
      "Modifié"),
   "Nouveau")),"")</f>
        <v/>
      </c>
    </row>
    <row r="8944" spans="24:30" x14ac:dyDescent="0.25">
      <c r="X8944" s="8" t="e">
        <f>IF(Final_Sans_VGE[[#This Row],[ppn_z]]="","",IFERROR(
   IF(_xlfn.XLOOKUP(Final_Sans_VGE[[#This Row],[ppn_z]],tbl_Historique_Final[ppn_z],tbl_Historique_Final[date_modif])=Final_Sans_VGE[[#This Row],[date_modif]],
      "Ancien",
      "Modifié"),
   "Nouveau"))</f>
        <v>#VALUE!</v>
      </c>
      <c r="AD8944" s="1" t="str">
        <f>IFERROR(IF(Final_Sans_VGE[[#This Row],[ppn_z]]="","",IFERROR(
   IF(_xlfn.XLOOKUP(Final_Sans_VGE[[#This Row],[ppn_z]],tbl_Historique_Final[[#This Row],[ppn_z]],tbl_Historique_Final[[#This Row],[date_modif]])=Final_Sans_VGE[[#This Row],[date_modif]],
      "Ancien",
      "Modifié"),
   "Nouveau")),"")</f>
        <v/>
      </c>
    </row>
    <row r="8945" spans="24:30" x14ac:dyDescent="0.25">
      <c r="X8945" s="8" t="e">
        <f>IF(Final_Sans_VGE[[#This Row],[ppn_z]]="","",IFERROR(
   IF(_xlfn.XLOOKUP(Final_Sans_VGE[[#This Row],[ppn_z]],tbl_Historique_Final[ppn_z],tbl_Historique_Final[date_modif])=Final_Sans_VGE[[#This Row],[date_modif]],
      "Ancien",
      "Modifié"),
   "Nouveau"))</f>
        <v>#VALUE!</v>
      </c>
      <c r="AD8945" s="1" t="str">
        <f>IFERROR(IF(Final_Sans_VGE[[#This Row],[ppn_z]]="","",IFERROR(
   IF(_xlfn.XLOOKUP(Final_Sans_VGE[[#This Row],[ppn_z]],tbl_Historique_Final[[#This Row],[ppn_z]],tbl_Historique_Final[[#This Row],[date_modif]])=Final_Sans_VGE[[#This Row],[date_modif]],
      "Ancien",
      "Modifié"),
   "Nouveau")),"")</f>
        <v/>
      </c>
    </row>
    <row r="8946" spans="24:30" x14ac:dyDescent="0.25">
      <c r="X8946" s="8" t="e">
        <f>IF(Final_Sans_VGE[[#This Row],[ppn_z]]="","",IFERROR(
   IF(_xlfn.XLOOKUP(Final_Sans_VGE[[#This Row],[ppn_z]],tbl_Historique_Final[ppn_z],tbl_Historique_Final[date_modif])=Final_Sans_VGE[[#This Row],[date_modif]],
      "Ancien",
      "Modifié"),
   "Nouveau"))</f>
        <v>#VALUE!</v>
      </c>
      <c r="AD8946" s="1" t="str">
        <f>IFERROR(IF(Final_Sans_VGE[[#This Row],[ppn_z]]="","",IFERROR(
   IF(_xlfn.XLOOKUP(Final_Sans_VGE[[#This Row],[ppn_z]],tbl_Historique_Final[[#This Row],[ppn_z]],tbl_Historique_Final[[#This Row],[date_modif]])=Final_Sans_VGE[[#This Row],[date_modif]],
      "Ancien",
      "Modifié"),
   "Nouveau")),"")</f>
        <v/>
      </c>
    </row>
    <row r="8947" spans="24:30" x14ac:dyDescent="0.25">
      <c r="X8947" s="8" t="e">
        <f>IF(Final_Sans_VGE[[#This Row],[ppn_z]]="","",IFERROR(
   IF(_xlfn.XLOOKUP(Final_Sans_VGE[[#This Row],[ppn_z]],tbl_Historique_Final[ppn_z],tbl_Historique_Final[date_modif])=Final_Sans_VGE[[#This Row],[date_modif]],
      "Ancien",
      "Modifié"),
   "Nouveau"))</f>
        <v>#VALUE!</v>
      </c>
      <c r="AD8947" s="1" t="str">
        <f>IFERROR(IF(Final_Sans_VGE[[#This Row],[ppn_z]]="","",IFERROR(
   IF(_xlfn.XLOOKUP(Final_Sans_VGE[[#This Row],[ppn_z]],tbl_Historique_Final[[#This Row],[ppn_z]],tbl_Historique_Final[[#This Row],[date_modif]])=Final_Sans_VGE[[#This Row],[date_modif]],
      "Ancien",
      "Modifié"),
   "Nouveau")),"")</f>
        <v/>
      </c>
    </row>
    <row r="8948" spans="24:30" x14ac:dyDescent="0.25">
      <c r="X8948" s="8" t="e">
        <f>IF(Final_Sans_VGE[[#This Row],[ppn_z]]="","",IFERROR(
   IF(_xlfn.XLOOKUP(Final_Sans_VGE[[#This Row],[ppn_z]],tbl_Historique_Final[ppn_z],tbl_Historique_Final[date_modif])=Final_Sans_VGE[[#This Row],[date_modif]],
      "Ancien",
      "Modifié"),
   "Nouveau"))</f>
        <v>#VALUE!</v>
      </c>
      <c r="AD8948" s="1" t="str">
        <f>IFERROR(IF(Final_Sans_VGE[[#This Row],[ppn_z]]="","",IFERROR(
   IF(_xlfn.XLOOKUP(Final_Sans_VGE[[#This Row],[ppn_z]],tbl_Historique_Final[[#This Row],[ppn_z]],tbl_Historique_Final[[#This Row],[date_modif]])=Final_Sans_VGE[[#This Row],[date_modif]],
      "Ancien",
      "Modifié"),
   "Nouveau")),"")</f>
        <v/>
      </c>
    </row>
    <row r="8949" spans="24:30" x14ac:dyDescent="0.25">
      <c r="X8949" s="8" t="e">
        <f>IF(Final_Sans_VGE[[#This Row],[ppn_z]]="","",IFERROR(
   IF(_xlfn.XLOOKUP(Final_Sans_VGE[[#This Row],[ppn_z]],tbl_Historique_Final[ppn_z],tbl_Historique_Final[date_modif])=Final_Sans_VGE[[#This Row],[date_modif]],
      "Ancien",
      "Modifié"),
   "Nouveau"))</f>
        <v>#VALUE!</v>
      </c>
      <c r="AD8949" s="1" t="str">
        <f>IFERROR(IF(Final_Sans_VGE[[#This Row],[ppn_z]]="","",IFERROR(
   IF(_xlfn.XLOOKUP(Final_Sans_VGE[[#This Row],[ppn_z]],tbl_Historique_Final[[#This Row],[ppn_z]],tbl_Historique_Final[[#This Row],[date_modif]])=Final_Sans_VGE[[#This Row],[date_modif]],
      "Ancien",
      "Modifié"),
   "Nouveau")),"")</f>
        <v/>
      </c>
    </row>
    <row r="8950" spans="24:30" x14ac:dyDescent="0.25">
      <c r="X8950" s="8" t="e">
        <f>IF(Final_Sans_VGE[[#This Row],[ppn_z]]="","",IFERROR(
   IF(_xlfn.XLOOKUP(Final_Sans_VGE[[#This Row],[ppn_z]],tbl_Historique_Final[ppn_z],tbl_Historique_Final[date_modif])=Final_Sans_VGE[[#This Row],[date_modif]],
      "Ancien",
      "Modifié"),
   "Nouveau"))</f>
        <v>#VALUE!</v>
      </c>
      <c r="AD8950" s="1" t="str">
        <f>IFERROR(IF(Final_Sans_VGE[[#This Row],[ppn_z]]="","",IFERROR(
   IF(_xlfn.XLOOKUP(Final_Sans_VGE[[#This Row],[ppn_z]],tbl_Historique_Final[[#This Row],[ppn_z]],tbl_Historique_Final[[#This Row],[date_modif]])=Final_Sans_VGE[[#This Row],[date_modif]],
      "Ancien",
      "Modifié"),
   "Nouveau")),"")</f>
        <v/>
      </c>
    </row>
    <row r="8951" spans="24:30" x14ac:dyDescent="0.25">
      <c r="X8951" s="8" t="e">
        <f>IF(Final_Sans_VGE[[#This Row],[ppn_z]]="","",IFERROR(
   IF(_xlfn.XLOOKUP(Final_Sans_VGE[[#This Row],[ppn_z]],tbl_Historique_Final[ppn_z],tbl_Historique_Final[date_modif])=Final_Sans_VGE[[#This Row],[date_modif]],
      "Ancien",
      "Modifié"),
   "Nouveau"))</f>
        <v>#VALUE!</v>
      </c>
      <c r="AD8951" s="1" t="str">
        <f>IFERROR(IF(Final_Sans_VGE[[#This Row],[ppn_z]]="","",IFERROR(
   IF(_xlfn.XLOOKUP(Final_Sans_VGE[[#This Row],[ppn_z]],tbl_Historique_Final[[#This Row],[ppn_z]],tbl_Historique_Final[[#This Row],[date_modif]])=Final_Sans_VGE[[#This Row],[date_modif]],
      "Ancien",
      "Modifié"),
   "Nouveau")),"")</f>
        <v/>
      </c>
    </row>
    <row r="8952" spans="24:30" x14ac:dyDescent="0.25">
      <c r="X8952" s="8" t="e">
        <f>IF(Final_Sans_VGE[[#This Row],[ppn_z]]="","",IFERROR(
   IF(_xlfn.XLOOKUP(Final_Sans_VGE[[#This Row],[ppn_z]],tbl_Historique_Final[ppn_z],tbl_Historique_Final[date_modif])=Final_Sans_VGE[[#This Row],[date_modif]],
      "Ancien",
      "Modifié"),
   "Nouveau"))</f>
        <v>#VALUE!</v>
      </c>
      <c r="AD8952" s="1" t="str">
        <f>IFERROR(IF(Final_Sans_VGE[[#This Row],[ppn_z]]="","",IFERROR(
   IF(_xlfn.XLOOKUP(Final_Sans_VGE[[#This Row],[ppn_z]],tbl_Historique_Final[[#This Row],[ppn_z]],tbl_Historique_Final[[#This Row],[date_modif]])=Final_Sans_VGE[[#This Row],[date_modif]],
      "Ancien",
      "Modifié"),
   "Nouveau")),"")</f>
        <v/>
      </c>
    </row>
    <row r="8953" spans="24:30" x14ac:dyDescent="0.25">
      <c r="X8953" s="8" t="e">
        <f>IF(Final_Sans_VGE[[#This Row],[ppn_z]]="","",IFERROR(
   IF(_xlfn.XLOOKUP(Final_Sans_VGE[[#This Row],[ppn_z]],tbl_Historique_Final[ppn_z],tbl_Historique_Final[date_modif])=Final_Sans_VGE[[#This Row],[date_modif]],
      "Ancien",
      "Modifié"),
   "Nouveau"))</f>
        <v>#VALUE!</v>
      </c>
      <c r="AD8953" s="1" t="str">
        <f>IFERROR(IF(Final_Sans_VGE[[#This Row],[ppn_z]]="","",IFERROR(
   IF(_xlfn.XLOOKUP(Final_Sans_VGE[[#This Row],[ppn_z]],tbl_Historique_Final[[#This Row],[ppn_z]],tbl_Historique_Final[[#This Row],[date_modif]])=Final_Sans_VGE[[#This Row],[date_modif]],
      "Ancien",
      "Modifié"),
   "Nouveau")),"")</f>
        <v/>
      </c>
    </row>
    <row r="8954" spans="24:30" x14ac:dyDescent="0.25">
      <c r="X8954" s="8" t="e">
        <f>IF(Final_Sans_VGE[[#This Row],[ppn_z]]="","",IFERROR(
   IF(_xlfn.XLOOKUP(Final_Sans_VGE[[#This Row],[ppn_z]],tbl_Historique_Final[ppn_z],tbl_Historique_Final[date_modif])=Final_Sans_VGE[[#This Row],[date_modif]],
      "Ancien",
      "Modifié"),
   "Nouveau"))</f>
        <v>#VALUE!</v>
      </c>
      <c r="AD8954" s="1" t="str">
        <f>IFERROR(IF(Final_Sans_VGE[[#This Row],[ppn_z]]="","",IFERROR(
   IF(_xlfn.XLOOKUP(Final_Sans_VGE[[#This Row],[ppn_z]],tbl_Historique_Final[[#This Row],[ppn_z]],tbl_Historique_Final[[#This Row],[date_modif]])=Final_Sans_VGE[[#This Row],[date_modif]],
      "Ancien",
      "Modifié"),
   "Nouveau")),"")</f>
        <v/>
      </c>
    </row>
    <row r="8955" spans="24:30" x14ac:dyDescent="0.25">
      <c r="X8955" s="8" t="e">
        <f>IF(Final_Sans_VGE[[#This Row],[ppn_z]]="","",IFERROR(
   IF(_xlfn.XLOOKUP(Final_Sans_VGE[[#This Row],[ppn_z]],tbl_Historique_Final[ppn_z],tbl_Historique_Final[date_modif])=Final_Sans_VGE[[#This Row],[date_modif]],
      "Ancien",
      "Modifié"),
   "Nouveau"))</f>
        <v>#VALUE!</v>
      </c>
      <c r="AD8955" s="1" t="str">
        <f>IFERROR(IF(Final_Sans_VGE[[#This Row],[ppn_z]]="","",IFERROR(
   IF(_xlfn.XLOOKUP(Final_Sans_VGE[[#This Row],[ppn_z]],tbl_Historique_Final[[#This Row],[ppn_z]],tbl_Historique_Final[[#This Row],[date_modif]])=Final_Sans_VGE[[#This Row],[date_modif]],
      "Ancien",
      "Modifié"),
   "Nouveau")),"")</f>
        <v/>
      </c>
    </row>
    <row r="8956" spans="24:30" x14ac:dyDescent="0.25">
      <c r="X8956" s="8" t="e">
        <f>IF(Final_Sans_VGE[[#This Row],[ppn_z]]="","",IFERROR(
   IF(_xlfn.XLOOKUP(Final_Sans_VGE[[#This Row],[ppn_z]],tbl_Historique_Final[ppn_z],tbl_Historique_Final[date_modif])=Final_Sans_VGE[[#This Row],[date_modif]],
      "Ancien",
      "Modifié"),
   "Nouveau"))</f>
        <v>#VALUE!</v>
      </c>
      <c r="AD8956" s="1" t="str">
        <f>IFERROR(IF(Final_Sans_VGE[[#This Row],[ppn_z]]="","",IFERROR(
   IF(_xlfn.XLOOKUP(Final_Sans_VGE[[#This Row],[ppn_z]],tbl_Historique_Final[[#This Row],[ppn_z]],tbl_Historique_Final[[#This Row],[date_modif]])=Final_Sans_VGE[[#This Row],[date_modif]],
      "Ancien",
      "Modifié"),
   "Nouveau")),"")</f>
        <v/>
      </c>
    </row>
    <row r="8957" spans="24:30" x14ac:dyDescent="0.25">
      <c r="X8957" s="8" t="e">
        <f>IF(Final_Sans_VGE[[#This Row],[ppn_z]]="","",IFERROR(
   IF(_xlfn.XLOOKUP(Final_Sans_VGE[[#This Row],[ppn_z]],tbl_Historique_Final[ppn_z],tbl_Historique_Final[date_modif])=Final_Sans_VGE[[#This Row],[date_modif]],
      "Ancien",
      "Modifié"),
   "Nouveau"))</f>
        <v>#VALUE!</v>
      </c>
      <c r="AD8957" s="1" t="str">
        <f>IFERROR(IF(Final_Sans_VGE[[#This Row],[ppn_z]]="","",IFERROR(
   IF(_xlfn.XLOOKUP(Final_Sans_VGE[[#This Row],[ppn_z]],tbl_Historique_Final[[#This Row],[ppn_z]],tbl_Historique_Final[[#This Row],[date_modif]])=Final_Sans_VGE[[#This Row],[date_modif]],
      "Ancien",
      "Modifié"),
   "Nouveau")),"")</f>
        <v/>
      </c>
    </row>
    <row r="8958" spans="24:30" x14ac:dyDescent="0.25">
      <c r="X8958" s="8" t="e">
        <f>IF(Final_Sans_VGE[[#This Row],[ppn_z]]="","",IFERROR(
   IF(_xlfn.XLOOKUP(Final_Sans_VGE[[#This Row],[ppn_z]],tbl_Historique_Final[ppn_z],tbl_Historique_Final[date_modif])=Final_Sans_VGE[[#This Row],[date_modif]],
      "Ancien",
      "Modifié"),
   "Nouveau"))</f>
        <v>#VALUE!</v>
      </c>
      <c r="AD8958" s="1" t="str">
        <f>IFERROR(IF(Final_Sans_VGE[[#This Row],[ppn_z]]="","",IFERROR(
   IF(_xlfn.XLOOKUP(Final_Sans_VGE[[#This Row],[ppn_z]],tbl_Historique_Final[[#This Row],[ppn_z]],tbl_Historique_Final[[#This Row],[date_modif]])=Final_Sans_VGE[[#This Row],[date_modif]],
      "Ancien",
      "Modifié"),
   "Nouveau")),"")</f>
        <v/>
      </c>
    </row>
    <row r="8959" spans="24:30" x14ac:dyDescent="0.25">
      <c r="X8959" s="8" t="e">
        <f>IF(Final_Sans_VGE[[#This Row],[ppn_z]]="","",IFERROR(
   IF(_xlfn.XLOOKUP(Final_Sans_VGE[[#This Row],[ppn_z]],tbl_Historique_Final[ppn_z],tbl_Historique_Final[date_modif])=Final_Sans_VGE[[#This Row],[date_modif]],
      "Ancien",
      "Modifié"),
   "Nouveau"))</f>
        <v>#VALUE!</v>
      </c>
      <c r="AD8959" s="1" t="str">
        <f>IFERROR(IF(Final_Sans_VGE[[#This Row],[ppn_z]]="","",IFERROR(
   IF(_xlfn.XLOOKUP(Final_Sans_VGE[[#This Row],[ppn_z]],tbl_Historique_Final[[#This Row],[ppn_z]],tbl_Historique_Final[[#This Row],[date_modif]])=Final_Sans_VGE[[#This Row],[date_modif]],
      "Ancien",
      "Modifié"),
   "Nouveau")),"")</f>
        <v/>
      </c>
    </row>
    <row r="8960" spans="24:30" x14ac:dyDescent="0.25">
      <c r="X8960" s="8" t="e">
        <f>IF(Final_Sans_VGE[[#This Row],[ppn_z]]="","",IFERROR(
   IF(_xlfn.XLOOKUP(Final_Sans_VGE[[#This Row],[ppn_z]],tbl_Historique_Final[ppn_z],tbl_Historique_Final[date_modif])=Final_Sans_VGE[[#This Row],[date_modif]],
      "Ancien",
      "Modifié"),
   "Nouveau"))</f>
        <v>#VALUE!</v>
      </c>
      <c r="AD8960" s="1" t="str">
        <f>IFERROR(IF(Final_Sans_VGE[[#This Row],[ppn_z]]="","",IFERROR(
   IF(_xlfn.XLOOKUP(Final_Sans_VGE[[#This Row],[ppn_z]],tbl_Historique_Final[[#This Row],[ppn_z]],tbl_Historique_Final[[#This Row],[date_modif]])=Final_Sans_VGE[[#This Row],[date_modif]],
      "Ancien",
      "Modifié"),
   "Nouveau")),"")</f>
        <v/>
      </c>
    </row>
    <row r="8961" spans="24:30" x14ac:dyDescent="0.25">
      <c r="X8961" s="8" t="e">
        <f>IF(Final_Sans_VGE[[#This Row],[ppn_z]]="","",IFERROR(
   IF(_xlfn.XLOOKUP(Final_Sans_VGE[[#This Row],[ppn_z]],tbl_Historique_Final[ppn_z],tbl_Historique_Final[date_modif])=Final_Sans_VGE[[#This Row],[date_modif]],
      "Ancien",
      "Modifié"),
   "Nouveau"))</f>
        <v>#VALUE!</v>
      </c>
      <c r="AD8961" s="1" t="str">
        <f>IFERROR(IF(Final_Sans_VGE[[#This Row],[ppn_z]]="","",IFERROR(
   IF(_xlfn.XLOOKUP(Final_Sans_VGE[[#This Row],[ppn_z]],tbl_Historique_Final[[#This Row],[ppn_z]],tbl_Historique_Final[[#This Row],[date_modif]])=Final_Sans_VGE[[#This Row],[date_modif]],
      "Ancien",
      "Modifié"),
   "Nouveau")),"")</f>
        <v/>
      </c>
    </row>
    <row r="8962" spans="24:30" x14ac:dyDescent="0.25">
      <c r="X8962" s="8" t="e">
        <f>IF(Final_Sans_VGE[[#This Row],[ppn_z]]="","",IFERROR(
   IF(_xlfn.XLOOKUP(Final_Sans_VGE[[#This Row],[ppn_z]],tbl_Historique_Final[ppn_z],tbl_Historique_Final[date_modif])=Final_Sans_VGE[[#This Row],[date_modif]],
      "Ancien",
      "Modifié"),
   "Nouveau"))</f>
        <v>#VALUE!</v>
      </c>
      <c r="AD8962" s="1" t="str">
        <f>IFERROR(IF(Final_Sans_VGE[[#This Row],[ppn_z]]="","",IFERROR(
   IF(_xlfn.XLOOKUP(Final_Sans_VGE[[#This Row],[ppn_z]],tbl_Historique_Final[[#This Row],[ppn_z]],tbl_Historique_Final[[#This Row],[date_modif]])=Final_Sans_VGE[[#This Row],[date_modif]],
      "Ancien",
      "Modifié"),
   "Nouveau")),"")</f>
        <v/>
      </c>
    </row>
    <row r="8963" spans="24:30" x14ac:dyDescent="0.25">
      <c r="X8963" s="8" t="e">
        <f>IF(Final_Sans_VGE[[#This Row],[ppn_z]]="","",IFERROR(
   IF(_xlfn.XLOOKUP(Final_Sans_VGE[[#This Row],[ppn_z]],tbl_Historique_Final[ppn_z],tbl_Historique_Final[date_modif])=Final_Sans_VGE[[#This Row],[date_modif]],
      "Ancien",
      "Modifié"),
   "Nouveau"))</f>
        <v>#VALUE!</v>
      </c>
      <c r="AD8963" s="1" t="str">
        <f>IFERROR(IF(Final_Sans_VGE[[#This Row],[ppn_z]]="","",IFERROR(
   IF(_xlfn.XLOOKUP(Final_Sans_VGE[[#This Row],[ppn_z]],tbl_Historique_Final[[#This Row],[ppn_z]],tbl_Historique_Final[[#This Row],[date_modif]])=Final_Sans_VGE[[#This Row],[date_modif]],
      "Ancien",
      "Modifié"),
   "Nouveau")),"")</f>
        <v/>
      </c>
    </row>
    <row r="8964" spans="24:30" x14ac:dyDescent="0.25">
      <c r="X8964" s="8" t="e">
        <f>IF(Final_Sans_VGE[[#This Row],[ppn_z]]="","",IFERROR(
   IF(_xlfn.XLOOKUP(Final_Sans_VGE[[#This Row],[ppn_z]],tbl_Historique_Final[ppn_z],tbl_Historique_Final[date_modif])=Final_Sans_VGE[[#This Row],[date_modif]],
      "Ancien",
      "Modifié"),
   "Nouveau"))</f>
        <v>#VALUE!</v>
      </c>
      <c r="AD8964" s="1" t="str">
        <f>IFERROR(IF(Final_Sans_VGE[[#This Row],[ppn_z]]="","",IFERROR(
   IF(_xlfn.XLOOKUP(Final_Sans_VGE[[#This Row],[ppn_z]],tbl_Historique_Final[[#This Row],[ppn_z]],tbl_Historique_Final[[#This Row],[date_modif]])=Final_Sans_VGE[[#This Row],[date_modif]],
      "Ancien",
      "Modifié"),
   "Nouveau")),"")</f>
        <v/>
      </c>
    </row>
    <row r="8965" spans="24:30" x14ac:dyDescent="0.25">
      <c r="X8965" s="8" t="e">
        <f>IF(Final_Sans_VGE[[#This Row],[ppn_z]]="","",IFERROR(
   IF(_xlfn.XLOOKUP(Final_Sans_VGE[[#This Row],[ppn_z]],tbl_Historique_Final[ppn_z],tbl_Historique_Final[date_modif])=Final_Sans_VGE[[#This Row],[date_modif]],
      "Ancien",
      "Modifié"),
   "Nouveau"))</f>
        <v>#VALUE!</v>
      </c>
      <c r="AD8965" s="1" t="str">
        <f>IFERROR(IF(Final_Sans_VGE[[#This Row],[ppn_z]]="","",IFERROR(
   IF(_xlfn.XLOOKUP(Final_Sans_VGE[[#This Row],[ppn_z]],tbl_Historique_Final[[#This Row],[ppn_z]],tbl_Historique_Final[[#This Row],[date_modif]])=Final_Sans_VGE[[#This Row],[date_modif]],
      "Ancien",
      "Modifié"),
   "Nouveau")),"")</f>
        <v/>
      </c>
    </row>
    <row r="8966" spans="24:30" x14ac:dyDescent="0.25">
      <c r="X8966" s="8" t="e">
        <f>IF(Final_Sans_VGE[[#This Row],[ppn_z]]="","",IFERROR(
   IF(_xlfn.XLOOKUP(Final_Sans_VGE[[#This Row],[ppn_z]],tbl_Historique_Final[ppn_z],tbl_Historique_Final[date_modif])=Final_Sans_VGE[[#This Row],[date_modif]],
      "Ancien",
      "Modifié"),
   "Nouveau"))</f>
        <v>#VALUE!</v>
      </c>
      <c r="AD8966" s="1" t="str">
        <f>IFERROR(IF(Final_Sans_VGE[[#This Row],[ppn_z]]="","",IFERROR(
   IF(_xlfn.XLOOKUP(Final_Sans_VGE[[#This Row],[ppn_z]],tbl_Historique_Final[[#This Row],[ppn_z]],tbl_Historique_Final[[#This Row],[date_modif]])=Final_Sans_VGE[[#This Row],[date_modif]],
      "Ancien",
      "Modifié"),
   "Nouveau")),"")</f>
        <v/>
      </c>
    </row>
    <row r="8967" spans="24:30" x14ac:dyDescent="0.25">
      <c r="X8967" s="8" t="e">
        <f>IF(Final_Sans_VGE[[#This Row],[ppn_z]]="","",IFERROR(
   IF(_xlfn.XLOOKUP(Final_Sans_VGE[[#This Row],[ppn_z]],tbl_Historique_Final[ppn_z],tbl_Historique_Final[date_modif])=Final_Sans_VGE[[#This Row],[date_modif]],
      "Ancien",
      "Modifié"),
   "Nouveau"))</f>
        <v>#VALUE!</v>
      </c>
      <c r="AD8967" s="1" t="str">
        <f>IFERROR(IF(Final_Sans_VGE[[#This Row],[ppn_z]]="","",IFERROR(
   IF(_xlfn.XLOOKUP(Final_Sans_VGE[[#This Row],[ppn_z]],tbl_Historique_Final[[#This Row],[ppn_z]],tbl_Historique_Final[[#This Row],[date_modif]])=Final_Sans_VGE[[#This Row],[date_modif]],
      "Ancien",
      "Modifié"),
   "Nouveau")),"")</f>
        <v/>
      </c>
    </row>
    <row r="8968" spans="24:30" x14ac:dyDescent="0.25">
      <c r="X8968" s="8" t="e">
        <f>IF(Final_Sans_VGE[[#This Row],[ppn_z]]="","",IFERROR(
   IF(_xlfn.XLOOKUP(Final_Sans_VGE[[#This Row],[ppn_z]],tbl_Historique_Final[ppn_z],tbl_Historique_Final[date_modif])=Final_Sans_VGE[[#This Row],[date_modif]],
      "Ancien",
      "Modifié"),
   "Nouveau"))</f>
        <v>#VALUE!</v>
      </c>
      <c r="AD8968" s="1" t="str">
        <f>IFERROR(IF(Final_Sans_VGE[[#This Row],[ppn_z]]="","",IFERROR(
   IF(_xlfn.XLOOKUP(Final_Sans_VGE[[#This Row],[ppn_z]],tbl_Historique_Final[[#This Row],[ppn_z]],tbl_Historique_Final[[#This Row],[date_modif]])=Final_Sans_VGE[[#This Row],[date_modif]],
      "Ancien",
      "Modifié"),
   "Nouveau")),"")</f>
        <v/>
      </c>
    </row>
    <row r="8969" spans="24:30" x14ac:dyDescent="0.25">
      <c r="X8969" s="8" t="e">
        <f>IF(Final_Sans_VGE[[#This Row],[ppn_z]]="","",IFERROR(
   IF(_xlfn.XLOOKUP(Final_Sans_VGE[[#This Row],[ppn_z]],tbl_Historique_Final[ppn_z],tbl_Historique_Final[date_modif])=Final_Sans_VGE[[#This Row],[date_modif]],
      "Ancien",
      "Modifié"),
   "Nouveau"))</f>
        <v>#VALUE!</v>
      </c>
      <c r="AD8969" s="1" t="str">
        <f>IFERROR(IF(Final_Sans_VGE[[#This Row],[ppn_z]]="","",IFERROR(
   IF(_xlfn.XLOOKUP(Final_Sans_VGE[[#This Row],[ppn_z]],tbl_Historique_Final[[#This Row],[ppn_z]],tbl_Historique_Final[[#This Row],[date_modif]])=Final_Sans_VGE[[#This Row],[date_modif]],
      "Ancien",
      "Modifié"),
   "Nouveau")),"")</f>
        <v/>
      </c>
    </row>
    <row r="8970" spans="24:30" x14ac:dyDescent="0.25">
      <c r="X8970" s="8" t="e">
        <f>IF(Final_Sans_VGE[[#This Row],[ppn_z]]="","",IFERROR(
   IF(_xlfn.XLOOKUP(Final_Sans_VGE[[#This Row],[ppn_z]],tbl_Historique_Final[ppn_z],tbl_Historique_Final[date_modif])=Final_Sans_VGE[[#This Row],[date_modif]],
      "Ancien",
      "Modifié"),
   "Nouveau"))</f>
        <v>#VALUE!</v>
      </c>
      <c r="AD8970" s="1" t="str">
        <f>IFERROR(IF(Final_Sans_VGE[[#This Row],[ppn_z]]="","",IFERROR(
   IF(_xlfn.XLOOKUP(Final_Sans_VGE[[#This Row],[ppn_z]],tbl_Historique_Final[[#This Row],[ppn_z]],tbl_Historique_Final[[#This Row],[date_modif]])=Final_Sans_VGE[[#This Row],[date_modif]],
      "Ancien",
      "Modifié"),
   "Nouveau")),"")</f>
        <v/>
      </c>
    </row>
    <row r="8971" spans="24:30" x14ac:dyDescent="0.25">
      <c r="X8971" s="8" t="e">
        <f>IF(Final_Sans_VGE[[#This Row],[ppn_z]]="","",IFERROR(
   IF(_xlfn.XLOOKUP(Final_Sans_VGE[[#This Row],[ppn_z]],tbl_Historique_Final[ppn_z],tbl_Historique_Final[date_modif])=Final_Sans_VGE[[#This Row],[date_modif]],
      "Ancien",
      "Modifié"),
   "Nouveau"))</f>
        <v>#VALUE!</v>
      </c>
      <c r="AD8971" s="1" t="str">
        <f>IFERROR(IF(Final_Sans_VGE[[#This Row],[ppn_z]]="","",IFERROR(
   IF(_xlfn.XLOOKUP(Final_Sans_VGE[[#This Row],[ppn_z]],tbl_Historique_Final[[#This Row],[ppn_z]],tbl_Historique_Final[[#This Row],[date_modif]])=Final_Sans_VGE[[#This Row],[date_modif]],
      "Ancien",
      "Modifié"),
   "Nouveau")),"")</f>
        <v/>
      </c>
    </row>
    <row r="8972" spans="24:30" x14ac:dyDescent="0.25">
      <c r="X8972" s="8" t="e">
        <f>IF(Final_Sans_VGE[[#This Row],[ppn_z]]="","",IFERROR(
   IF(_xlfn.XLOOKUP(Final_Sans_VGE[[#This Row],[ppn_z]],tbl_Historique_Final[ppn_z],tbl_Historique_Final[date_modif])=Final_Sans_VGE[[#This Row],[date_modif]],
      "Ancien",
      "Modifié"),
   "Nouveau"))</f>
        <v>#VALUE!</v>
      </c>
      <c r="AD8972" s="1" t="str">
        <f>IFERROR(IF(Final_Sans_VGE[[#This Row],[ppn_z]]="","",IFERROR(
   IF(_xlfn.XLOOKUP(Final_Sans_VGE[[#This Row],[ppn_z]],tbl_Historique_Final[[#This Row],[ppn_z]],tbl_Historique_Final[[#This Row],[date_modif]])=Final_Sans_VGE[[#This Row],[date_modif]],
      "Ancien",
      "Modifié"),
   "Nouveau")),"")</f>
        <v/>
      </c>
    </row>
    <row r="8973" spans="24:30" x14ac:dyDescent="0.25">
      <c r="X8973" s="8" t="e">
        <f>IF(Final_Sans_VGE[[#This Row],[ppn_z]]="","",IFERROR(
   IF(_xlfn.XLOOKUP(Final_Sans_VGE[[#This Row],[ppn_z]],tbl_Historique_Final[ppn_z],tbl_Historique_Final[date_modif])=Final_Sans_VGE[[#This Row],[date_modif]],
      "Ancien",
      "Modifié"),
   "Nouveau"))</f>
        <v>#VALUE!</v>
      </c>
      <c r="AD8973" s="1" t="str">
        <f>IFERROR(IF(Final_Sans_VGE[[#This Row],[ppn_z]]="","",IFERROR(
   IF(_xlfn.XLOOKUP(Final_Sans_VGE[[#This Row],[ppn_z]],tbl_Historique_Final[[#This Row],[ppn_z]],tbl_Historique_Final[[#This Row],[date_modif]])=Final_Sans_VGE[[#This Row],[date_modif]],
      "Ancien",
      "Modifié"),
   "Nouveau")),"")</f>
        <v/>
      </c>
    </row>
    <row r="8974" spans="24:30" x14ac:dyDescent="0.25">
      <c r="X8974" s="8" t="e">
        <f>IF(Final_Sans_VGE[[#This Row],[ppn_z]]="","",IFERROR(
   IF(_xlfn.XLOOKUP(Final_Sans_VGE[[#This Row],[ppn_z]],tbl_Historique_Final[ppn_z],tbl_Historique_Final[date_modif])=Final_Sans_VGE[[#This Row],[date_modif]],
      "Ancien",
      "Modifié"),
   "Nouveau"))</f>
        <v>#VALUE!</v>
      </c>
      <c r="AD8974" s="1" t="str">
        <f>IFERROR(IF(Final_Sans_VGE[[#This Row],[ppn_z]]="","",IFERROR(
   IF(_xlfn.XLOOKUP(Final_Sans_VGE[[#This Row],[ppn_z]],tbl_Historique_Final[[#This Row],[ppn_z]],tbl_Historique_Final[[#This Row],[date_modif]])=Final_Sans_VGE[[#This Row],[date_modif]],
      "Ancien",
      "Modifié"),
   "Nouveau")),"")</f>
        <v/>
      </c>
    </row>
    <row r="8975" spans="24:30" x14ac:dyDescent="0.25">
      <c r="X8975" s="8" t="e">
        <f>IF(Final_Sans_VGE[[#This Row],[ppn_z]]="","",IFERROR(
   IF(_xlfn.XLOOKUP(Final_Sans_VGE[[#This Row],[ppn_z]],tbl_Historique_Final[ppn_z],tbl_Historique_Final[date_modif])=Final_Sans_VGE[[#This Row],[date_modif]],
      "Ancien",
      "Modifié"),
   "Nouveau"))</f>
        <v>#VALUE!</v>
      </c>
      <c r="AD8975" s="1" t="str">
        <f>IFERROR(IF(Final_Sans_VGE[[#This Row],[ppn_z]]="","",IFERROR(
   IF(_xlfn.XLOOKUP(Final_Sans_VGE[[#This Row],[ppn_z]],tbl_Historique_Final[[#This Row],[ppn_z]],tbl_Historique_Final[[#This Row],[date_modif]])=Final_Sans_VGE[[#This Row],[date_modif]],
      "Ancien",
      "Modifié"),
   "Nouveau")),"")</f>
        <v/>
      </c>
    </row>
    <row r="8976" spans="24:30" x14ac:dyDescent="0.25">
      <c r="X8976" s="8" t="e">
        <f>IF(Final_Sans_VGE[[#This Row],[ppn_z]]="","",IFERROR(
   IF(_xlfn.XLOOKUP(Final_Sans_VGE[[#This Row],[ppn_z]],tbl_Historique_Final[ppn_z],tbl_Historique_Final[date_modif])=Final_Sans_VGE[[#This Row],[date_modif]],
      "Ancien",
      "Modifié"),
   "Nouveau"))</f>
        <v>#VALUE!</v>
      </c>
      <c r="AD8976" s="1" t="str">
        <f>IFERROR(IF(Final_Sans_VGE[[#This Row],[ppn_z]]="","",IFERROR(
   IF(_xlfn.XLOOKUP(Final_Sans_VGE[[#This Row],[ppn_z]],tbl_Historique_Final[[#This Row],[ppn_z]],tbl_Historique_Final[[#This Row],[date_modif]])=Final_Sans_VGE[[#This Row],[date_modif]],
      "Ancien",
      "Modifié"),
   "Nouveau")),"")</f>
        <v/>
      </c>
    </row>
    <row r="8977" spans="24:30" x14ac:dyDescent="0.25">
      <c r="X8977" s="8" t="e">
        <f>IF(Final_Sans_VGE[[#This Row],[ppn_z]]="","",IFERROR(
   IF(_xlfn.XLOOKUP(Final_Sans_VGE[[#This Row],[ppn_z]],tbl_Historique_Final[ppn_z],tbl_Historique_Final[date_modif])=Final_Sans_VGE[[#This Row],[date_modif]],
      "Ancien",
      "Modifié"),
   "Nouveau"))</f>
        <v>#VALUE!</v>
      </c>
      <c r="AD8977" s="1" t="str">
        <f>IFERROR(IF(Final_Sans_VGE[[#This Row],[ppn_z]]="","",IFERROR(
   IF(_xlfn.XLOOKUP(Final_Sans_VGE[[#This Row],[ppn_z]],tbl_Historique_Final[[#This Row],[ppn_z]],tbl_Historique_Final[[#This Row],[date_modif]])=Final_Sans_VGE[[#This Row],[date_modif]],
      "Ancien",
      "Modifié"),
   "Nouveau")),"")</f>
        <v/>
      </c>
    </row>
    <row r="8978" spans="24:30" x14ac:dyDescent="0.25">
      <c r="X8978" s="8" t="e">
        <f>IF(Final_Sans_VGE[[#This Row],[ppn_z]]="","",IFERROR(
   IF(_xlfn.XLOOKUP(Final_Sans_VGE[[#This Row],[ppn_z]],tbl_Historique_Final[ppn_z],tbl_Historique_Final[date_modif])=Final_Sans_VGE[[#This Row],[date_modif]],
      "Ancien",
      "Modifié"),
   "Nouveau"))</f>
        <v>#VALUE!</v>
      </c>
      <c r="AD8978" s="1" t="str">
        <f>IFERROR(IF(Final_Sans_VGE[[#This Row],[ppn_z]]="","",IFERROR(
   IF(_xlfn.XLOOKUP(Final_Sans_VGE[[#This Row],[ppn_z]],tbl_Historique_Final[[#This Row],[ppn_z]],tbl_Historique_Final[[#This Row],[date_modif]])=Final_Sans_VGE[[#This Row],[date_modif]],
      "Ancien",
      "Modifié"),
   "Nouveau")),"")</f>
        <v/>
      </c>
    </row>
    <row r="8979" spans="24:30" x14ac:dyDescent="0.25">
      <c r="X8979" s="8" t="e">
        <f>IF(Final_Sans_VGE[[#This Row],[ppn_z]]="","",IFERROR(
   IF(_xlfn.XLOOKUP(Final_Sans_VGE[[#This Row],[ppn_z]],tbl_Historique_Final[ppn_z],tbl_Historique_Final[date_modif])=Final_Sans_VGE[[#This Row],[date_modif]],
      "Ancien",
      "Modifié"),
   "Nouveau"))</f>
        <v>#VALUE!</v>
      </c>
      <c r="AD8979" s="1" t="str">
        <f>IFERROR(IF(Final_Sans_VGE[[#This Row],[ppn_z]]="","",IFERROR(
   IF(_xlfn.XLOOKUP(Final_Sans_VGE[[#This Row],[ppn_z]],tbl_Historique_Final[[#This Row],[ppn_z]],tbl_Historique_Final[[#This Row],[date_modif]])=Final_Sans_VGE[[#This Row],[date_modif]],
      "Ancien",
      "Modifié"),
   "Nouveau")),"")</f>
        <v/>
      </c>
    </row>
    <row r="8980" spans="24:30" x14ac:dyDescent="0.25">
      <c r="X8980" s="8" t="e">
        <f>IF(Final_Sans_VGE[[#This Row],[ppn_z]]="","",IFERROR(
   IF(_xlfn.XLOOKUP(Final_Sans_VGE[[#This Row],[ppn_z]],tbl_Historique_Final[ppn_z],tbl_Historique_Final[date_modif])=Final_Sans_VGE[[#This Row],[date_modif]],
      "Ancien",
      "Modifié"),
   "Nouveau"))</f>
        <v>#VALUE!</v>
      </c>
      <c r="AD8980" s="1" t="str">
        <f>IFERROR(IF(Final_Sans_VGE[[#This Row],[ppn_z]]="","",IFERROR(
   IF(_xlfn.XLOOKUP(Final_Sans_VGE[[#This Row],[ppn_z]],tbl_Historique_Final[[#This Row],[ppn_z]],tbl_Historique_Final[[#This Row],[date_modif]])=Final_Sans_VGE[[#This Row],[date_modif]],
      "Ancien",
      "Modifié"),
   "Nouveau")),"")</f>
        <v/>
      </c>
    </row>
    <row r="8981" spans="24:30" x14ac:dyDescent="0.25">
      <c r="X8981" s="8" t="e">
        <f>IF(Final_Sans_VGE[[#This Row],[ppn_z]]="","",IFERROR(
   IF(_xlfn.XLOOKUP(Final_Sans_VGE[[#This Row],[ppn_z]],tbl_Historique_Final[ppn_z],tbl_Historique_Final[date_modif])=Final_Sans_VGE[[#This Row],[date_modif]],
      "Ancien",
      "Modifié"),
   "Nouveau"))</f>
        <v>#VALUE!</v>
      </c>
      <c r="AD8981" s="1" t="str">
        <f>IFERROR(IF(Final_Sans_VGE[[#This Row],[ppn_z]]="","",IFERROR(
   IF(_xlfn.XLOOKUP(Final_Sans_VGE[[#This Row],[ppn_z]],tbl_Historique_Final[[#This Row],[ppn_z]],tbl_Historique_Final[[#This Row],[date_modif]])=Final_Sans_VGE[[#This Row],[date_modif]],
      "Ancien",
      "Modifié"),
   "Nouveau")),"")</f>
        <v/>
      </c>
    </row>
    <row r="8982" spans="24:30" x14ac:dyDescent="0.25">
      <c r="X8982" s="8" t="e">
        <f>IF(Final_Sans_VGE[[#This Row],[ppn_z]]="","",IFERROR(
   IF(_xlfn.XLOOKUP(Final_Sans_VGE[[#This Row],[ppn_z]],tbl_Historique_Final[ppn_z],tbl_Historique_Final[date_modif])=Final_Sans_VGE[[#This Row],[date_modif]],
      "Ancien",
      "Modifié"),
   "Nouveau"))</f>
        <v>#VALUE!</v>
      </c>
      <c r="AD8982" s="1" t="str">
        <f>IFERROR(IF(Final_Sans_VGE[[#This Row],[ppn_z]]="","",IFERROR(
   IF(_xlfn.XLOOKUP(Final_Sans_VGE[[#This Row],[ppn_z]],tbl_Historique_Final[[#This Row],[ppn_z]],tbl_Historique_Final[[#This Row],[date_modif]])=Final_Sans_VGE[[#This Row],[date_modif]],
      "Ancien",
      "Modifié"),
   "Nouveau")),"")</f>
        <v/>
      </c>
    </row>
    <row r="8983" spans="24:30" x14ac:dyDescent="0.25">
      <c r="X8983" s="8" t="e">
        <f>IF(Final_Sans_VGE[[#This Row],[ppn_z]]="","",IFERROR(
   IF(_xlfn.XLOOKUP(Final_Sans_VGE[[#This Row],[ppn_z]],tbl_Historique_Final[ppn_z],tbl_Historique_Final[date_modif])=Final_Sans_VGE[[#This Row],[date_modif]],
      "Ancien",
      "Modifié"),
   "Nouveau"))</f>
        <v>#VALUE!</v>
      </c>
      <c r="AD8983" s="1" t="str">
        <f>IFERROR(IF(Final_Sans_VGE[[#This Row],[ppn_z]]="","",IFERROR(
   IF(_xlfn.XLOOKUP(Final_Sans_VGE[[#This Row],[ppn_z]],tbl_Historique_Final[[#This Row],[ppn_z]],tbl_Historique_Final[[#This Row],[date_modif]])=Final_Sans_VGE[[#This Row],[date_modif]],
      "Ancien",
      "Modifié"),
   "Nouveau")),"")</f>
        <v/>
      </c>
    </row>
    <row r="8984" spans="24:30" x14ac:dyDescent="0.25">
      <c r="X8984" s="8" t="e">
        <f>IF(Final_Sans_VGE[[#This Row],[ppn_z]]="","",IFERROR(
   IF(_xlfn.XLOOKUP(Final_Sans_VGE[[#This Row],[ppn_z]],tbl_Historique_Final[ppn_z],tbl_Historique_Final[date_modif])=Final_Sans_VGE[[#This Row],[date_modif]],
      "Ancien",
      "Modifié"),
   "Nouveau"))</f>
        <v>#VALUE!</v>
      </c>
      <c r="AD8984" s="1" t="str">
        <f>IFERROR(IF(Final_Sans_VGE[[#This Row],[ppn_z]]="","",IFERROR(
   IF(_xlfn.XLOOKUP(Final_Sans_VGE[[#This Row],[ppn_z]],tbl_Historique_Final[[#This Row],[ppn_z]],tbl_Historique_Final[[#This Row],[date_modif]])=Final_Sans_VGE[[#This Row],[date_modif]],
      "Ancien",
      "Modifié"),
   "Nouveau")),"")</f>
        <v/>
      </c>
    </row>
    <row r="8985" spans="24:30" x14ac:dyDescent="0.25">
      <c r="X8985" s="8" t="e">
        <f>IF(Final_Sans_VGE[[#This Row],[ppn_z]]="","",IFERROR(
   IF(_xlfn.XLOOKUP(Final_Sans_VGE[[#This Row],[ppn_z]],tbl_Historique_Final[ppn_z],tbl_Historique_Final[date_modif])=Final_Sans_VGE[[#This Row],[date_modif]],
      "Ancien",
      "Modifié"),
   "Nouveau"))</f>
        <v>#VALUE!</v>
      </c>
      <c r="AD8985" s="1" t="str">
        <f>IFERROR(IF(Final_Sans_VGE[[#This Row],[ppn_z]]="","",IFERROR(
   IF(_xlfn.XLOOKUP(Final_Sans_VGE[[#This Row],[ppn_z]],tbl_Historique_Final[[#This Row],[ppn_z]],tbl_Historique_Final[[#This Row],[date_modif]])=Final_Sans_VGE[[#This Row],[date_modif]],
      "Ancien",
      "Modifié"),
   "Nouveau")),"")</f>
        <v/>
      </c>
    </row>
    <row r="8986" spans="24:30" x14ac:dyDescent="0.25">
      <c r="X8986" s="8" t="e">
        <f>IF(Final_Sans_VGE[[#This Row],[ppn_z]]="","",IFERROR(
   IF(_xlfn.XLOOKUP(Final_Sans_VGE[[#This Row],[ppn_z]],tbl_Historique_Final[ppn_z],tbl_Historique_Final[date_modif])=Final_Sans_VGE[[#This Row],[date_modif]],
      "Ancien",
      "Modifié"),
   "Nouveau"))</f>
        <v>#VALUE!</v>
      </c>
      <c r="AD8986" s="1" t="str">
        <f>IFERROR(IF(Final_Sans_VGE[[#This Row],[ppn_z]]="","",IFERROR(
   IF(_xlfn.XLOOKUP(Final_Sans_VGE[[#This Row],[ppn_z]],tbl_Historique_Final[[#This Row],[ppn_z]],tbl_Historique_Final[[#This Row],[date_modif]])=Final_Sans_VGE[[#This Row],[date_modif]],
      "Ancien",
      "Modifié"),
   "Nouveau")),"")</f>
        <v/>
      </c>
    </row>
    <row r="8987" spans="24:30" x14ac:dyDescent="0.25">
      <c r="X8987" s="8" t="e">
        <f>IF(Final_Sans_VGE[[#This Row],[ppn_z]]="","",IFERROR(
   IF(_xlfn.XLOOKUP(Final_Sans_VGE[[#This Row],[ppn_z]],tbl_Historique_Final[ppn_z],tbl_Historique_Final[date_modif])=Final_Sans_VGE[[#This Row],[date_modif]],
      "Ancien",
      "Modifié"),
   "Nouveau"))</f>
        <v>#VALUE!</v>
      </c>
      <c r="AD8987" s="1" t="str">
        <f>IFERROR(IF(Final_Sans_VGE[[#This Row],[ppn_z]]="","",IFERROR(
   IF(_xlfn.XLOOKUP(Final_Sans_VGE[[#This Row],[ppn_z]],tbl_Historique_Final[[#This Row],[ppn_z]],tbl_Historique_Final[[#This Row],[date_modif]])=Final_Sans_VGE[[#This Row],[date_modif]],
      "Ancien",
      "Modifié"),
   "Nouveau")),"")</f>
        <v/>
      </c>
    </row>
    <row r="8988" spans="24:30" x14ac:dyDescent="0.25">
      <c r="X8988" s="8" t="e">
        <f>IF(Final_Sans_VGE[[#This Row],[ppn_z]]="","",IFERROR(
   IF(_xlfn.XLOOKUP(Final_Sans_VGE[[#This Row],[ppn_z]],tbl_Historique_Final[ppn_z],tbl_Historique_Final[date_modif])=Final_Sans_VGE[[#This Row],[date_modif]],
      "Ancien",
      "Modifié"),
   "Nouveau"))</f>
        <v>#VALUE!</v>
      </c>
      <c r="AD8988" s="1" t="str">
        <f>IFERROR(IF(Final_Sans_VGE[[#This Row],[ppn_z]]="","",IFERROR(
   IF(_xlfn.XLOOKUP(Final_Sans_VGE[[#This Row],[ppn_z]],tbl_Historique_Final[[#This Row],[ppn_z]],tbl_Historique_Final[[#This Row],[date_modif]])=Final_Sans_VGE[[#This Row],[date_modif]],
      "Ancien",
      "Modifié"),
   "Nouveau")),"")</f>
        <v/>
      </c>
    </row>
    <row r="8989" spans="24:30" x14ac:dyDescent="0.25">
      <c r="X8989" s="8" t="e">
        <f>IF(Final_Sans_VGE[[#This Row],[ppn_z]]="","",IFERROR(
   IF(_xlfn.XLOOKUP(Final_Sans_VGE[[#This Row],[ppn_z]],tbl_Historique_Final[ppn_z],tbl_Historique_Final[date_modif])=Final_Sans_VGE[[#This Row],[date_modif]],
      "Ancien",
      "Modifié"),
   "Nouveau"))</f>
        <v>#VALUE!</v>
      </c>
      <c r="AD8989" s="1" t="str">
        <f>IFERROR(IF(Final_Sans_VGE[[#This Row],[ppn_z]]="","",IFERROR(
   IF(_xlfn.XLOOKUP(Final_Sans_VGE[[#This Row],[ppn_z]],tbl_Historique_Final[[#This Row],[ppn_z]],tbl_Historique_Final[[#This Row],[date_modif]])=Final_Sans_VGE[[#This Row],[date_modif]],
      "Ancien",
      "Modifié"),
   "Nouveau")),"")</f>
        <v/>
      </c>
    </row>
    <row r="8990" spans="24:30" x14ac:dyDescent="0.25">
      <c r="X8990" s="8" t="e">
        <f>IF(Final_Sans_VGE[[#This Row],[ppn_z]]="","",IFERROR(
   IF(_xlfn.XLOOKUP(Final_Sans_VGE[[#This Row],[ppn_z]],tbl_Historique_Final[ppn_z],tbl_Historique_Final[date_modif])=Final_Sans_VGE[[#This Row],[date_modif]],
      "Ancien",
      "Modifié"),
   "Nouveau"))</f>
        <v>#VALUE!</v>
      </c>
      <c r="AD8990" s="1" t="str">
        <f>IFERROR(IF(Final_Sans_VGE[[#This Row],[ppn_z]]="","",IFERROR(
   IF(_xlfn.XLOOKUP(Final_Sans_VGE[[#This Row],[ppn_z]],tbl_Historique_Final[[#This Row],[ppn_z]],tbl_Historique_Final[[#This Row],[date_modif]])=Final_Sans_VGE[[#This Row],[date_modif]],
      "Ancien",
      "Modifié"),
   "Nouveau")),"")</f>
        <v/>
      </c>
    </row>
    <row r="8991" spans="24:30" x14ac:dyDescent="0.25">
      <c r="X8991" s="8" t="e">
        <f>IF(Final_Sans_VGE[[#This Row],[ppn_z]]="","",IFERROR(
   IF(_xlfn.XLOOKUP(Final_Sans_VGE[[#This Row],[ppn_z]],tbl_Historique_Final[ppn_z],tbl_Historique_Final[date_modif])=Final_Sans_VGE[[#This Row],[date_modif]],
      "Ancien",
      "Modifié"),
   "Nouveau"))</f>
        <v>#VALUE!</v>
      </c>
      <c r="AD8991" s="1" t="str">
        <f>IFERROR(IF(Final_Sans_VGE[[#This Row],[ppn_z]]="","",IFERROR(
   IF(_xlfn.XLOOKUP(Final_Sans_VGE[[#This Row],[ppn_z]],tbl_Historique_Final[[#This Row],[ppn_z]],tbl_Historique_Final[[#This Row],[date_modif]])=Final_Sans_VGE[[#This Row],[date_modif]],
      "Ancien",
      "Modifié"),
   "Nouveau")),"")</f>
        <v/>
      </c>
    </row>
    <row r="8992" spans="24:30" x14ac:dyDescent="0.25">
      <c r="X8992" s="8" t="e">
        <f>IF(Final_Sans_VGE[[#This Row],[ppn_z]]="","",IFERROR(
   IF(_xlfn.XLOOKUP(Final_Sans_VGE[[#This Row],[ppn_z]],tbl_Historique_Final[ppn_z],tbl_Historique_Final[date_modif])=Final_Sans_VGE[[#This Row],[date_modif]],
      "Ancien",
      "Modifié"),
   "Nouveau"))</f>
        <v>#VALUE!</v>
      </c>
      <c r="AD8992" s="1" t="str">
        <f>IFERROR(IF(Final_Sans_VGE[[#This Row],[ppn_z]]="","",IFERROR(
   IF(_xlfn.XLOOKUP(Final_Sans_VGE[[#This Row],[ppn_z]],tbl_Historique_Final[[#This Row],[ppn_z]],tbl_Historique_Final[[#This Row],[date_modif]])=Final_Sans_VGE[[#This Row],[date_modif]],
      "Ancien",
      "Modifié"),
   "Nouveau")),"")</f>
        <v/>
      </c>
    </row>
    <row r="8993" spans="24:30" x14ac:dyDescent="0.25">
      <c r="X8993" s="8" t="e">
        <f>IF(Final_Sans_VGE[[#This Row],[ppn_z]]="","",IFERROR(
   IF(_xlfn.XLOOKUP(Final_Sans_VGE[[#This Row],[ppn_z]],tbl_Historique_Final[ppn_z],tbl_Historique_Final[date_modif])=Final_Sans_VGE[[#This Row],[date_modif]],
      "Ancien",
      "Modifié"),
   "Nouveau"))</f>
        <v>#VALUE!</v>
      </c>
      <c r="AD8993" s="1" t="str">
        <f>IFERROR(IF(Final_Sans_VGE[[#This Row],[ppn_z]]="","",IFERROR(
   IF(_xlfn.XLOOKUP(Final_Sans_VGE[[#This Row],[ppn_z]],tbl_Historique_Final[[#This Row],[ppn_z]],tbl_Historique_Final[[#This Row],[date_modif]])=Final_Sans_VGE[[#This Row],[date_modif]],
      "Ancien",
      "Modifié"),
   "Nouveau")),"")</f>
        <v/>
      </c>
    </row>
    <row r="8994" spans="24:30" x14ac:dyDescent="0.25">
      <c r="X8994" s="8" t="e">
        <f>IF(Final_Sans_VGE[[#This Row],[ppn_z]]="","",IFERROR(
   IF(_xlfn.XLOOKUP(Final_Sans_VGE[[#This Row],[ppn_z]],tbl_Historique_Final[ppn_z],tbl_Historique_Final[date_modif])=Final_Sans_VGE[[#This Row],[date_modif]],
      "Ancien",
      "Modifié"),
   "Nouveau"))</f>
        <v>#VALUE!</v>
      </c>
      <c r="AD8994" s="1" t="str">
        <f>IFERROR(IF(Final_Sans_VGE[[#This Row],[ppn_z]]="","",IFERROR(
   IF(_xlfn.XLOOKUP(Final_Sans_VGE[[#This Row],[ppn_z]],tbl_Historique_Final[[#This Row],[ppn_z]],tbl_Historique_Final[[#This Row],[date_modif]])=Final_Sans_VGE[[#This Row],[date_modif]],
      "Ancien",
      "Modifié"),
   "Nouveau")),"")</f>
        <v/>
      </c>
    </row>
    <row r="8995" spans="24:30" x14ac:dyDescent="0.25">
      <c r="X8995" s="8" t="e">
        <f>IF(Final_Sans_VGE[[#This Row],[ppn_z]]="","",IFERROR(
   IF(_xlfn.XLOOKUP(Final_Sans_VGE[[#This Row],[ppn_z]],tbl_Historique_Final[ppn_z],tbl_Historique_Final[date_modif])=Final_Sans_VGE[[#This Row],[date_modif]],
      "Ancien",
      "Modifié"),
   "Nouveau"))</f>
        <v>#VALUE!</v>
      </c>
      <c r="AD8995" s="1" t="str">
        <f>IFERROR(IF(Final_Sans_VGE[[#This Row],[ppn_z]]="","",IFERROR(
   IF(_xlfn.XLOOKUP(Final_Sans_VGE[[#This Row],[ppn_z]],tbl_Historique_Final[[#This Row],[ppn_z]],tbl_Historique_Final[[#This Row],[date_modif]])=Final_Sans_VGE[[#This Row],[date_modif]],
      "Ancien",
      "Modifié"),
   "Nouveau")),"")</f>
        <v/>
      </c>
    </row>
    <row r="8996" spans="24:30" x14ac:dyDescent="0.25">
      <c r="X8996" s="8" t="e">
        <f>IF(Final_Sans_VGE[[#This Row],[ppn_z]]="","",IFERROR(
   IF(_xlfn.XLOOKUP(Final_Sans_VGE[[#This Row],[ppn_z]],tbl_Historique_Final[ppn_z],tbl_Historique_Final[date_modif])=Final_Sans_VGE[[#This Row],[date_modif]],
      "Ancien",
      "Modifié"),
   "Nouveau"))</f>
        <v>#VALUE!</v>
      </c>
      <c r="AD8996" s="1" t="str">
        <f>IFERROR(IF(Final_Sans_VGE[[#This Row],[ppn_z]]="","",IFERROR(
   IF(_xlfn.XLOOKUP(Final_Sans_VGE[[#This Row],[ppn_z]],tbl_Historique_Final[[#This Row],[ppn_z]],tbl_Historique_Final[[#This Row],[date_modif]])=Final_Sans_VGE[[#This Row],[date_modif]],
      "Ancien",
      "Modifié"),
   "Nouveau")),"")</f>
        <v/>
      </c>
    </row>
    <row r="8997" spans="24:30" x14ac:dyDescent="0.25">
      <c r="X8997" s="8" t="e">
        <f>IF(Final_Sans_VGE[[#This Row],[ppn_z]]="","",IFERROR(
   IF(_xlfn.XLOOKUP(Final_Sans_VGE[[#This Row],[ppn_z]],tbl_Historique_Final[ppn_z],tbl_Historique_Final[date_modif])=Final_Sans_VGE[[#This Row],[date_modif]],
      "Ancien",
      "Modifié"),
   "Nouveau"))</f>
        <v>#VALUE!</v>
      </c>
      <c r="AD8997" s="1" t="str">
        <f>IFERROR(IF(Final_Sans_VGE[[#This Row],[ppn_z]]="","",IFERROR(
   IF(_xlfn.XLOOKUP(Final_Sans_VGE[[#This Row],[ppn_z]],tbl_Historique_Final[[#This Row],[ppn_z]],tbl_Historique_Final[[#This Row],[date_modif]])=Final_Sans_VGE[[#This Row],[date_modif]],
      "Ancien",
      "Modifié"),
   "Nouveau")),"")</f>
        <v/>
      </c>
    </row>
    <row r="8998" spans="24:30" x14ac:dyDescent="0.25">
      <c r="X8998" s="8" t="e">
        <f>IF(Final_Sans_VGE[[#This Row],[ppn_z]]="","",IFERROR(
   IF(_xlfn.XLOOKUP(Final_Sans_VGE[[#This Row],[ppn_z]],tbl_Historique_Final[ppn_z],tbl_Historique_Final[date_modif])=Final_Sans_VGE[[#This Row],[date_modif]],
      "Ancien",
      "Modifié"),
   "Nouveau"))</f>
        <v>#VALUE!</v>
      </c>
      <c r="AD8998" s="1" t="str">
        <f>IFERROR(IF(Final_Sans_VGE[[#This Row],[ppn_z]]="","",IFERROR(
   IF(_xlfn.XLOOKUP(Final_Sans_VGE[[#This Row],[ppn_z]],tbl_Historique_Final[[#This Row],[ppn_z]],tbl_Historique_Final[[#This Row],[date_modif]])=Final_Sans_VGE[[#This Row],[date_modif]],
      "Ancien",
      "Modifié"),
   "Nouveau")),"")</f>
        <v/>
      </c>
    </row>
    <row r="8999" spans="24:30" x14ac:dyDescent="0.25">
      <c r="X8999" s="8" t="e">
        <f>IF(Final_Sans_VGE[[#This Row],[ppn_z]]="","",IFERROR(
   IF(_xlfn.XLOOKUP(Final_Sans_VGE[[#This Row],[ppn_z]],tbl_Historique_Final[ppn_z],tbl_Historique_Final[date_modif])=Final_Sans_VGE[[#This Row],[date_modif]],
      "Ancien",
      "Modifié"),
   "Nouveau"))</f>
        <v>#VALUE!</v>
      </c>
      <c r="AD8999" s="1" t="str">
        <f>IFERROR(IF(Final_Sans_VGE[[#This Row],[ppn_z]]="","",IFERROR(
   IF(_xlfn.XLOOKUP(Final_Sans_VGE[[#This Row],[ppn_z]],tbl_Historique_Final[[#This Row],[ppn_z]],tbl_Historique_Final[[#This Row],[date_modif]])=Final_Sans_VGE[[#This Row],[date_modif]],
      "Ancien",
      "Modifié"),
   "Nouveau")),"")</f>
        <v/>
      </c>
    </row>
    <row r="9000" spans="24:30" x14ac:dyDescent="0.25">
      <c r="X9000" s="8" t="e">
        <f>IF(Final_Sans_VGE[[#This Row],[ppn_z]]="","",IFERROR(
   IF(_xlfn.XLOOKUP(Final_Sans_VGE[[#This Row],[ppn_z]],tbl_Historique_Final[ppn_z],tbl_Historique_Final[date_modif])=Final_Sans_VGE[[#This Row],[date_modif]],
      "Ancien",
      "Modifié"),
   "Nouveau"))</f>
        <v>#VALUE!</v>
      </c>
      <c r="AD9000" s="1" t="str">
        <f>IFERROR(IF(Final_Sans_VGE[[#This Row],[ppn_z]]="","",IFERROR(
   IF(_xlfn.XLOOKUP(Final_Sans_VGE[[#This Row],[ppn_z]],tbl_Historique_Final[[#This Row],[ppn_z]],tbl_Historique_Final[[#This Row],[date_modif]])=Final_Sans_VGE[[#This Row],[date_modif]],
      "Ancien",
      "Modifié"),
   "Nouveau")),"")</f>
        <v/>
      </c>
    </row>
    <row r="9001" spans="24:30" x14ac:dyDescent="0.25">
      <c r="X9001" s="8" t="e">
        <f>IF(Final_Sans_VGE[[#This Row],[ppn_z]]="","",IFERROR(
   IF(_xlfn.XLOOKUP(Final_Sans_VGE[[#This Row],[ppn_z]],tbl_Historique_Final[ppn_z],tbl_Historique_Final[date_modif])=Final_Sans_VGE[[#This Row],[date_modif]],
      "Ancien",
      "Modifié"),
   "Nouveau"))</f>
        <v>#VALUE!</v>
      </c>
      <c r="AD9001" s="1" t="str">
        <f>IFERROR(IF(Final_Sans_VGE[[#This Row],[ppn_z]]="","",IFERROR(
   IF(_xlfn.XLOOKUP(Final_Sans_VGE[[#This Row],[ppn_z]],tbl_Historique_Final[[#This Row],[ppn_z]],tbl_Historique_Final[[#This Row],[date_modif]])=Final_Sans_VGE[[#This Row],[date_modif]],
      "Ancien",
      "Modifié"),
   "Nouveau")),"")</f>
        <v/>
      </c>
    </row>
    <row r="9002" spans="24:30" x14ac:dyDescent="0.25">
      <c r="X9002" s="8" t="e">
        <f>IF(Final_Sans_VGE[[#This Row],[ppn_z]]="","",IFERROR(
   IF(_xlfn.XLOOKUP(Final_Sans_VGE[[#This Row],[ppn_z]],tbl_Historique_Final[ppn_z],tbl_Historique_Final[date_modif])=Final_Sans_VGE[[#This Row],[date_modif]],
      "Ancien",
      "Modifié"),
   "Nouveau"))</f>
        <v>#VALUE!</v>
      </c>
      <c r="AD9002" s="1" t="str">
        <f>IFERROR(IF(Final_Sans_VGE[[#This Row],[ppn_z]]="","",IFERROR(
   IF(_xlfn.XLOOKUP(Final_Sans_VGE[[#This Row],[ppn_z]],tbl_Historique_Final[[#This Row],[ppn_z]],tbl_Historique_Final[[#This Row],[date_modif]])=Final_Sans_VGE[[#This Row],[date_modif]],
      "Ancien",
      "Modifié"),
   "Nouveau")),"")</f>
        <v/>
      </c>
    </row>
    <row r="9003" spans="24:30" x14ac:dyDescent="0.25">
      <c r="X9003" s="8" t="e">
        <f>IF(Final_Sans_VGE[[#This Row],[ppn_z]]="","",IFERROR(
   IF(_xlfn.XLOOKUP(Final_Sans_VGE[[#This Row],[ppn_z]],tbl_Historique_Final[ppn_z],tbl_Historique_Final[date_modif])=Final_Sans_VGE[[#This Row],[date_modif]],
      "Ancien",
      "Modifié"),
   "Nouveau"))</f>
        <v>#VALUE!</v>
      </c>
      <c r="AD9003" s="1" t="str">
        <f>IFERROR(IF(Final_Sans_VGE[[#This Row],[ppn_z]]="","",IFERROR(
   IF(_xlfn.XLOOKUP(Final_Sans_VGE[[#This Row],[ppn_z]],tbl_Historique_Final[[#This Row],[ppn_z]],tbl_Historique_Final[[#This Row],[date_modif]])=Final_Sans_VGE[[#This Row],[date_modif]],
      "Ancien",
      "Modifié"),
   "Nouveau")),"")</f>
        <v/>
      </c>
    </row>
    <row r="9004" spans="24:30" x14ac:dyDescent="0.25">
      <c r="X9004" s="8" t="e">
        <f>IF(Final_Sans_VGE[[#This Row],[ppn_z]]="","",IFERROR(
   IF(_xlfn.XLOOKUP(Final_Sans_VGE[[#This Row],[ppn_z]],tbl_Historique_Final[ppn_z],tbl_Historique_Final[date_modif])=Final_Sans_VGE[[#This Row],[date_modif]],
      "Ancien",
      "Modifié"),
   "Nouveau"))</f>
        <v>#VALUE!</v>
      </c>
      <c r="AD9004" s="1" t="str">
        <f>IFERROR(IF(Final_Sans_VGE[[#This Row],[ppn_z]]="","",IFERROR(
   IF(_xlfn.XLOOKUP(Final_Sans_VGE[[#This Row],[ppn_z]],tbl_Historique_Final[[#This Row],[ppn_z]],tbl_Historique_Final[[#This Row],[date_modif]])=Final_Sans_VGE[[#This Row],[date_modif]],
      "Ancien",
      "Modifié"),
   "Nouveau")),"")</f>
        <v/>
      </c>
    </row>
    <row r="9005" spans="24:30" x14ac:dyDescent="0.25">
      <c r="X9005" s="8" t="e">
        <f>IF(Final_Sans_VGE[[#This Row],[ppn_z]]="","",IFERROR(
   IF(_xlfn.XLOOKUP(Final_Sans_VGE[[#This Row],[ppn_z]],tbl_Historique_Final[ppn_z],tbl_Historique_Final[date_modif])=Final_Sans_VGE[[#This Row],[date_modif]],
      "Ancien",
      "Modifié"),
   "Nouveau"))</f>
        <v>#VALUE!</v>
      </c>
      <c r="AD9005" s="1" t="str">
        <f>IFERROR(IF(Final_Sans_VGE[[#This Row],[ppn_z]]="","",IFERROR(
   IF(_xlfn.XLOOKUP(Final_Sans_VGE[[#This Row],[ppn_z]],tbl_Historique_Final[[#This Row],[ppn_z]],tbl_Historique_Final[[#This Row],[date_modif]])=Final_Sans_VGE[[#This Row],[date_modif]],
      "Ancien",
      "Modifié"),
   "Nouveau")),"")</f>
        <v/>
      </c>
    </row>
    <row r="9006" spans="24:30" x14ac:dyDescent="0.25">
      <c r="X9006" s="8" t="e">
        <f>IF(Final_Sans_VGE[[#This Row],[ppn_z]]="","",IFERROR(
   IF(_xlfn.XLOOKUP(Final_Sans_VGE[[#This Row],[ppn_z]],tbl_Historique_Final[ppn_z],tbl_Historique_Final[date_modif])=Final_Sans_VGE[[#This Row],[date_modif]],
      "Ancien",
      "Modifié"),
   "Nouveau"))</f>
        <v>#VALUE!</v>
      </c>
      <c r="AD9006" s="1" t="str">
        <f>IFERROR(IF(Final_Sans_VGE[[#This Row],[ppn_z]]="","",IFERROR(
   IF(_xlfn.XLOOKUP(Final_Sans_VGE[[#This Row],[ppn_z]],tbl_Historique_Final[[#This Row],[ppn_z]],tbl_Historique_Final[[#This Row],[date_modif]])=Final_Sans_VGE[[#This Row],[date_modif]],
      "Ancien",
      "Modifié"),
   "Nouveau")),"")</f>
        <v/>
      </c>
    </row>
    <row r="9007" spans="24:30" x14ac:dyDescent="0.25">
      <c r="X9007" s="8" t="e">
        <f>IF(Final_Sans_VGE[[#This Row],[ppn_z]]="","",IFERROR(
   IF(_xlfn.XLOOKUP(Final_Sans_VGE[[#This Row],[ppn_z]],tbl_Historique_Final[ppn_z],tbl_Historique_Final[date_modif])=Final_Sans_VGE[[#This Row],[date_modif]],
      "Ancien",
      "Modifié"),
   "Nouveau"))</f>
        <v>#VALUE!</v>
      </c>
      <c r="AD9007" s="1" t="str">
        <f>IFERROR(IF(Final_Sans_VGE[[#This Row],[ppn_z]]="","",IFERROR(
   IF(_xlfn.XLOOKUP(Final_Sans_VGE[[#This Row],[ppn_z]],tbl_Historique_Final[[#This Row],[ppn_z]],tbl_Historique_Final[[#This Row],[date_modif]])=Final_Sans_VGE[[#This Row],[date_modif]],
      "Ancien",
      "Modifié"),
   "Nouveau")),"")</f>
        <v/>
      </c>
    </row>
    <row r="9008" spans="24:30" x14ac:dyDescent="0.25">
      <c r="X9008" s="8" t="e">
        <f>IF(Final_Sans_VGE[[#This Row],[ppn_z]]="","",IFERROR(
   IF(_xlfn.XLOOKUP(Final_Sans_VGE[[#This Row],[ppn_z]],tbl_Historique_Final[ppn_z],tbl_Historique_Final[date_modif])=Final_Sans_VGE[[#This Row],[date_modif]],
      "Ancien",
      "Modifié"),
   "Nouveau"))</f>
        <v>#VALUE!</v>
      </c>
      <c r="AD9008" s="1" t="str">
        <f>IFERROR(IF(Final_Sans_VGE[[#This Row],[ppn_z]]="","",IFERROR(
   IF(_xlfn.XLOOKUP(Final_Sans_VGE[[#This Row],[ppn_z]],tbl_Historique_Final[[#This Row],[ppn_z]],tbl_Historique_Final[[#This Row],[date_modif]])=Final_Sans_VGE[[#This Row],[date_modif]],
      "Ancien",
      "Modifié"),
   "Nouveau")),"")</f>
        <v/>
      </c>
    </row>
    <row r="9009" spans="24:30" x14ac:dyDescent="0.25">
      <c r="X9009" s="8" t="e">
        <f>IF(Final_Sans_VGE[[#This Row],[ppn_z]]="","",IFERROR(
   IF(_xlfn.XLOOKUP(Final_Sans_VGE[[#This Row],[ppn_z]],tbl_Historique_Final[ppn_z],tbl_Historique_Final[date_modif])=Final_Sans_VGE[[#This Row],[date_modif]],
      "Ancien",
      "Modifié"),
   "Nouveau"))</f>
        <v>#VALUE!</v>
      </c>
      <c r="AD9009" s="1" t="str">
        <f>IFERROR(IF(Final_Sans_VGE[[#This Row],[ppn_z]]="","",IFERROR(
   IF(_xlfn.XLOOKUP(Final_Sans_VGE[[#This Row],[ppn_z]],tbl_Historique_Final[[#This Row],[ppn_z]],tbl_Historique_Final[[#This Row],[date_modif]])=Final_Sans_VGE[[#This Row],[date_modif]],
      "Ancien",
      "Modifié"),
   "Nouveau")),"")</f>
        <v/>
      </c>
    </row>
    <row r="9010" spans="24:30" x14ac:dyDescent="0.25">
      <c r="X9010" s="8" t="e">
        <f>IF(Final_Sans_VGE[[#This Row],[ppn_z]]="","",IFERROR(
   IF(_xlfn.XLOOKUP(Final_Sans_VGE[[#This Row],[ppn_z]],tbl_Historique_Final[ppn_z],tbl_Historique_Final[date_modif])=Final_Sans_VGE[[#This Row],[date_modif]],
      "Ancien",
      "Modifié"),
   "Nouveau"))</f>
        <v>#VALUE!</v>
      </c>
      <c r="AD9010" s="1" t="str">
        <f>IFERROR(IF(Final_Sans_VGE[[#This Row],[ppn_z]]="","",IFERROR(
   IF(_xlfn.XLOOKUP(Final_Sans_VGE[[#This Row],[ppn_z]],tbl_Historique_Final[[#This Row],[ppn_z]],tbl_Historique_Final[[#This Row],[date_modif]])=Final_Sans_VGE[[#This Row],[date_modif]],
      "Ancien",
      "Modifié"),
   "Nouveau")),"")</f>
        <v/>
      </c>
    </row>
    <row r="9011" spans="24:30" x14ac:dyDescent="0.25">
      <c r="X9011" s="8" t="e">
        <f>IF(Final_Sans_VGE[[#This Row],[ppn_z]]="","",IFERROR(
   IF(_xlfn.XLOOKUP(Final_Sans_VGE[[#This Row],[ppn_z]],tbl_Historique_Final[ppn_z],tbl_Historique_Final[date_modif])=Final_Sans_VGE[[#This Row],[date_modif]],
      "Ancien",
      "Modifié"),
   "Nouveau"))</f>
        <v>#VALUE!</v>
      </c>
      <c r="AD9011" s="1" t="str">
        <f>IFERROR(IF(Final_Sans_VGE[[#This Row],[ppn_z]]="","",IFERROR(
   IF(_xlfn.XLOOKUP(Final_Sans_VGE[[#This Row],[ppn_z]],tbl_Historique_Final[[#This Row],[ppn_z]],tbl_Historique_Final[[#This Row],[date_modif]])=Final_Sans_VGE[[#This Row],[date_modif]],
      "Ancien",
      "Modifié"),
   "Nouveau")),"")</f>
        <v/>
      </c>
    </row>
    <row r="9012" spans="24:30" x14ac:dyDescent="0.25">
      <c r="X9012" s="8" t="e">
        <f>IF(Final_Sans_VGE[[#This Row],[ppn_z]]="","",IFERROR(
   IF(_xlfn.XLOOKUP(Final_Sans_VGE[[#This Row],[ppn_z]],tbl_Historique_Final[ppn_z],tbl_Historique_Final[date_modif])=Final_Sans_VGE[[#This Row],[date_modif]],
      "Ancien",
      "Modifié"),
   "Nouveau"))</f>
        <v>#VALUE!</v>
      </c>
      <c r="AD9012" s="1" t="str">
        <f>IFERROR(IF(Final_Sans_VGE[[#This Row],[ppn_z]]="","",IFERROR(
   IF(_xlfn.XLOOKUP(Final_Sans_VGE[[#This Row],[ppn_z]],tbl_Historique_Final[[#This Row],[ppn_z]],tbl_Historique_Final[[#This Row],[date_modif]])=Final_Sans_VGE[[#This Row],[date_modif]],
      "Ancien",
      "Modifié"),
   "Nouveau")),"")</f>
        <v/>
      </c>
    </row>
    <row r="9013" spans="24:30" x14ac:dyDescent="0.25">
      <c r="X9013" s="8" t="e">
        <f>IF(Final_Sans_VGE[[#This Row],[ppn_z]]="","",IFERROR(
   IF(_xlfn.XLOOKUP(Final_Sans_VGE[[#This Row],[ppn_z]],tbl_Historique_Final[ppn_z],tbl_Historique_Final[date_modif])=Final_Sans_VGE[[#This Row],[date_modif]],
      "Ancien",
      "Modifié"),
   "Nouveau"))</f>
        <v>#VALUE!</v>
      </c>
      <c r="AD9013" s="1" t="str">
        <f>IFERROR(IF(Final_Sans_VGE[[#This Row],[ppn_z]]="","",IFERROR(
   IF(_xlfn.XLOOKUP(Final_Sans_VGE[[#This Row],[ppn_z]],tbl_Historique_Final[[#This Row],[ppn_z]],tbl_Historique_Final[[#This Row],[date_modif]])=Final_Sans_VGE[[#This Row],[date_modif]],
      "Ancien",
      "Modifié"),
   "Nouveau")),"")</f>
        <v/>
      </c>
    </row>
    <row r="9014" spans="24:30" x14ac:dyDescent="0.25">
      <c r="X9014" s="8" t="e">
        <f>IF(Final_Sans_VGE[[#This Row],[ppn_z]]="","",IFERROR(
   IF(_xlfn.XLOOKUP(Final_Sans_VGE[[#This Row],[ppn_z]],tbl_Historique_Final[ppn_z],tbl_Historique_Final[date_modif])=Final_Sans_VGE[[#This Row],[date_modif]],
      "Ancien",
      "Modifié"),
   "Nouveau"))</f>
        <v>#VALUE!</v>
      </c>
      <c r="AD9014" s="1" t="str">
        <f>IFERROR(IF(Final_Sans_VGE[[#This Row],[ppn_z]]="","",IFERROR(
   IF(_xlfn.XLOOKUP(Final_Sans_VGE[[#This Row],[ppn_z]],tbl_Historique_Final[[#This Row],[ppn_z]],tbl_Historique_Final[[#This Row],[date_modif]])=Final_Sans_VGE[[#This Row],[date_modif]],
      "Ancien",
      "Modifié"),
   "Nouveau")),"")</f>
        <v/>
      </c>
    </row>
    <row r="9015" spans="24:30" x14ac:dyDescent="0.25">
      <c r="X9015" s="8" t="e">
        <f>IF(Final_Sans_VGE[[#This Row],[ppn_z]]="","",IFERROR(
   IF(_xlfn.XLOOKUP(Final_Sans_VGE[[#This Row],[ppn_z]],tbl_Historique_Final[ppn_z],tbl_Historique_Final[date_modif])=Final_Sans_VGE[[#This Row],[date_modif]],
      "Ancien",
      "Modifié"),
   "Nouveau"))</f>
        <v>#VALUE!</v>
      </c>
      <c r="AD9015" s="1" t="str">
        <f>IFERROR(IF(Final_Sans_VGE[[#This Row],[ppn_z]]="","",IFERROR(
   IF(_xlfn.XLOOKUP(Final_Sans_VGE[[#This Row],[ppn_z]],tbl_Historique_Final[[#This Row],[ppn_z]],tbl_Historique_Final[[#This Row],[date_modif]])=Final_Sans_VGE[[#This Row],[date_modif]],
      "Ancien",
      "Modifié"),
   "Nouveau")),"")</f>
        <v/>
      </c>
    </row>
    <row r="9016" spans="24:30" x14ac:dyDescent="0.25">
      <c r="X9016" s="8" t="e">
        <f>IF(Final_Sans_VGE[[#This Row],[ppn_z]]="","",IFERROR(
   IF(_xlfn.XLOOKUP(Final_Sans_VGE[[#This Row],[ppn_z]],tbl_Historique_Final[ppn_z],tbl_Historique_Final[date_modif])=Final_Sans_VGE[[#This Row],[date_modif]],
      "Ancien",
      "Modifié"),
   "Nouveau"))</f>
        <v>#VALUE!</v>
      </c>
      <c r="AD9016" s="1" t="str">
        <f>IFERROR(IF(Final_Sans_VGE[[#This Row],[ppn_z]]="","",IFERROR(
   IF(_xlfn.XLOOKUP(Final_Sans_VGE[[#This Row],[ppn_z]],tbl_Historique_Final[[#This Row],[ppn_z]],tbl_Historique_Final[[#This Row],[date_modif]])=Final_Sans_VGE[[#This Row],[date_modif]],
      "Ancien",
      "Modifié"),
   "Nouveau")),"")</f>
        <v/>
      </c>
    </row>
    <row r="9017" spans="24:30" x14ac:dyDescent="0.25">
      <c r="X9017" s="8" t="e">
        <f>IF(Final_Sans_VGE[[#This Row],[ppn_z]]="","",IFERROR(
   IF(_xlfn.XLOOKUP(Final_Sans_VGE[[#This Row],[ppn_z]],tbl_Historique_Final[ppn_z],tbl_Historique_Final[date_modif])=Final_Sans_VGE[[#This Row],[date_modif]],
      "Ancien",
      "Modifié"),
   "Nouveau"))</f>
        <v>#VALUE!</v>
      </c>
      <c r="AD9017" s="1" t="str">
        <f>IFERROR(IF(Final_Sans_VGE[[#This Row],[ppn_z]]="","",IFERROR(
   IF(_xlfn.XLOOKUP(Final_Sans_VGE[[#This Row],[ppn_z]],tbl_Historique_Final[[#This Row],[ppn_z]],tbl_Historique_Final[[#This Row],[date_modif]])=Final_Sans_VGE[[#This Row],[date_modif]],
      "Ancien",
      "Modifié"),
   "Nouveau")),"")</f>
        <v/>
      </c>
    </row>
    <row r="9018" spans="24:30" x14ac:dyDescent="0.25">
      <c r="X9018" s="8" t="e">
        <f>IF(Final_Sans_VGE[[#This Row],[ppn_z]]="","",IFERROR(
   IF(_xlfn.XLOOKUP(Final_Sans_VGE[[#This Row],[ppn_z]],tbl_Historique_Final[ppn_z],tbl_Historique_Final[date_modif])=Final_Sans_VGE[[#This Row],[date_modif]],
      "Ancien",
      "Modifié"),
   "Nouveau"))</f>
        <v>#VALUE!</v>
      </c>
      <c r="AD9018" s="1" t="str">
        <f>IFERROR(IF(Final_Sans_VGE[[#This Row],[ppn_z]]="","",IFERROR(
   IF(_xlfn.XLOOKUP(Final_Sans_VGE[[#This Row],[ppn_z]],tbl_Historique_Final[[#This Row],[ppn_z]],tbl_Historique_Final[[#This Row],[date_modif]])=Final_Sans_VGE[[#This Row],[date_modif]],
      "Ancien",
      "Modifié"),
   "Nouveau")),"")</f>
        <v/>
      </c>
    </row>
    <row r="9019" spans="24:30" x14ac:dyDescent="0.25">
      <c r="X9019" s="8" t="e">
        <f>IF(Final_Sans_VGE[[#This Row],[ppn_z]]="","",IFERROR(
   IF(_xlfn.XLOOKUP(Final_Sans_VGE[[#This Row],[ppn_z]],tbl_Historique_Final[ppn_z],tbl_Historique_Final[date_modif])=Final_Sans_VGE[[#This Row],[date_modif]],
      "Ancien",
      "Modifié"),
   "Nouveau"))</f>
        <v>#VALUE!</v>
      </c>
      <c r="AD9019" s="1" t="str">
        <f>IFERROR(IF(Final_Sans_VGE[[#This Row],[ppn_z]]="","",IFERROR(
   IF(_xlfn.XLOOKUP(Final_Sans_VGE[[#This Row],[ppn_z]],tbl_Historique_Final[[#This Row],[ppn_z]],tbl_Historique_Final[[#This Row],[date_modif]])=Final_Sans_VGE[[#This Row],[date_modif]],
      "Ancien",
      "Modifié"),
   "Nouveau")),"")</f>
        <v/>
      </c>
    </row>
    <row r="9020" spans="24:30" x14ac:dyDescent="0.25">
      <c r="X9020" s="8" t="e">
        <f>IF(Final_Sans_VGE[[#This Row],[ppn_z]]="","",IFERROR(
   IF(_xlfn.XLOOKUP(Final_Sans_VGE[[#This Row],[ppn_z]],tbl_Historique_Final[ppn_z],tbl_Historique_Final[date_modif])=Final_Sans_VGE[[#This Row],[date_modif]],
      "Ancien",
      "Modifié"),
   "Nouveau"))</f>
        <v>#VALUE!</v>
      </c>
      <c r="AD9020" s="1" t="str">
        <f>IFERROR(IF(Final_Sans_VGE[[#This Row],[ppn_z]]="","",IFERROR(
   IF(_xlfn.XLOOKUP(Final_Sans_VGE[[#This Row],[ppn_z]],tbl_Historique_Final[[#This Row],[ppn_z]],tbl_Historique_Final[[#This Row],[date_modif]])=Final_Sans_VGE[[#This Row],[date_modif]],
      "Ancien",
      "Modifié"),
   "Nouveau")),"")</f>
        <v/>
      </c>
    </row>
    <row r="9021" spans="24:30" x14ac:dyDescent="0.25">
      <c r="X9021" s="8" t="e">
        <f>IF(Final_Sans_VGE[[#This Row],[ppn_z]]="","",IFERROR(
   IF(_xlfn.XLOOKUP(Final_Sans_VGE[[#This Row],[ppn_z]],tbl_Historique_Final[ppn_z],tbl_Historique_Final[date_modif])=Final_Sans_VGE[[#This Row],[date_modif]],
      "Ancien",
      "Modifié"),
   "Nouveau"))</f>
        <v>#VALUE!</v>
      </c>
      <c r="AD9021" s="1" t="str">
        <f>IFERROR(IF(Final_Sans_VGE[[#This Row],[ppn_z]]="","",IFERROR(
   IF(_xlfn.XLOOKUP(Final_Sans_VGE[[#This Row],[ppn_z]],tbl_Historique_Final[[#This Row],[ppn_z]],tbl_Historique_Final[[#This Row],[date_modif]])=Final_Sans_VGE[[#This Row],[date_modif]],
      "Ancien",
      "Modifié"),
   "Nouveau")),"")</f>
        <v/>
      </c>
    </row>
    <row r="9022" spans="24:30" x14ac:dyDescent="0.25">
      <c r="X9022" s="8" t="e">
        <f>IF(Final_Sans_VGE[[#This Row],[ppn_z]]="","",IFERROR(
   IF(_xlfn.XLOOKUP(Final_Sans_VGE[[#This Row],[ppn_z]],tbl_Historique_Final[ppn_z],tbl_Historique_Final[date_modif])=Final_Sans_VGE[[#This Row],[date_modif]],
      "Ancien",
      "Modifié"),
   "Nouveau"))</f>
        <v>#VALUE!</v>
      </c>
      <c r="AD9022" s="1" t="str">
        <f>IFERROR(IF(Final_Sans_VGE[[#This Row],[ppn_z]]="","",IFERROR(
   IF(_xlfn.XLOOKUP(Final_Sans_VGE[[#This Row],[ppn_z]],tbl_Historique_Final[[#This Row],[ppn_z]],tbl_Historique_Final[[#This Row],[date_modif]])=Final_Sans_VGE[[#This Row],[date_modif]],
      "Ancien",
      "Modifié"),
   "Nouveau")),"")</f>
        <v/>
      </c>
    </row>
    <row r="9023" spans="24:30" x14ac:dyDescent="0.25">
      <c r="X9023" s="8" t="e">
        <f>IF(Final_Sans_VGE[[#This Row],[ppn_z]]="","",IFERROR(
   IF(_xlfn.XLOOKUP(Final_Sans_VGE[[#This Row],[ppn_z]],tbl_Historique_Final[ppn_z],tbl_Historique_Final[date_modif])=Final_Sans_VGE[[#This Row],[date_modif]],
      "Ancien",
      "Modifié"),
   "Nouveau"))</f>
        <v>#VALUE!</v>
      </c>
      <c r="AD9023" s="1" t="str">
        <f>IFERROR(IF(Final_Sans_VGE[[#This Row],[ppn_z]]="","",IFERROR(
   IF(_xlfn.XLOOKUP(Final_Sans_VGE[[#This Row],[ppn_z]],tbl_Historique_Final[[#This Row],[ppn_z]],tbl_Historique_Final[[#This Row],[date_modif]])=Final_Sans_VGE[[#This Row],[date_modif]],
      "Ancien",
      "Modifié"),
   "Nouveau")),"")</f>
        <v/>
      </c>
    </row>
    <row r="9024" spans="24:30" x14ac:dyDescent="0.25">
      <c r="X9024" s="8" t="e">
        <f>IF(Final_Sans_VGE[[#This Row],[ppn_z]]="","",IFERROR(
   IF(_xlfn.XLOOKUP(Final_Sans_VGE[[#This Row],[ppn_z]],tbl_Historique_Final[ppn_z],tbl_Historique_Final[date_modif])=Final_Sans_VGE[[#This Row],[date_modif]],
      "Ancien",
      "Modifié"),
   "Nouveau"))</f>
        <v>#VALUE!</v>
      </c>
      <c r="AD9024" s="1" t="str">
        <f>IFERROR(IF(Final_Sans_VGE[[#This Row],[ppn_z]]="","",IFERROR(
   IF(_xlfn.XLOOKUP(Final_Sans_VGE[[#This Row],[ppn_z]],tbl_Historique_Final[[#This Row],[ppn_z]],tbl_Historique_Final[[#This Row],[date_modif]])=Final_Sans_VGE[[#This Row],[date_modif]],
      "Ancien",
      "Modifié"),
   "Nouveau")),"")</f>
        <v/>
      </c>
    </row>
    <row r="9025" spans="24:30" x14ac:dyDescent="0.25">
      <c r="X9025" s="8" t="e">
        <f>IF(Final_Sans_VGE[[#This Row],[ppn_z]]="","",IFERROR(
   IF(_xlfn.XLOOKUP(Final_Sans_VGE[[#This Row],[ppn_z]],tbl_Historique_Final[ppn_z],tbl_Historique_Final[date_modif])=Final_Sans_VGE[[#This Row],[date_modif]],
      "Ancien",
      "Modifié"),
   "Nouveau"))</f>
        <v>#VALUE!</v>
      </c>
      <c r="AD9025" s="1" t="str">
        <f>IFERROR(IF(Final_Sans_VGE[[#This Row],[ppn_z]]="","",IFERROR(
   IF(_xlfn.XLOOKUP(Final_Sans_VGE[[#This Row],[ppn_z]],tbl_Historique_Final[[#This Row],[ppn_z]],tbl_Historique_Final[[#This Row],[date_modif]])=Final_Sans_VGE[[#This Row],[date_modif]],
      "Ancien",
      "Modifié"),
   "Nouveau")),"")</f>
        <v/>
      </c>
    </row>
    <row r="9026" spans="24:30" x14ac:dyDescent="0.25">
      <c r="X9026" s="8" t="e">
        <f>IF(Final_Sans_VGE[[#This Row],[ppn_z]]="","",IFERROR(
   IF(_xlfn.XLOOKUP(Final_Sans_VGE[[#This Row],[ppn_z]],tbl_Historique_Final[ppn_z],tbl_Historique_Final[date_modif])=Final_Sans_VGE[[#This Row],[date_modif]],
      "Ancien",
      "Modifié"),
   "Nouveau"))</f>
        <v>#VALUE!</v>
      </c>
      <c r="AD9026" s="1" t="str">
        <f>IFERROR(IF(Final_Sans_VGE[[#This Row],[ppn_z]]="","",IFERROR(
   IF(_xlfn.XLOOKUP(Final_Sans_VGE[[#This Row],[ppn_z]],tbl_Historique_Final[[#This Row],[ppn_z]],tbl_Historique_Final[[#This Row],[date_modif]])=Final_Sans_VGE[[#This Row],[date_modif]],
      "Ancien",
      "Modifié"),
   "Nouveau")),"")</f>
        <v/>
      </c>
    </row>
    <row r="9027" spans="24:30" x14ac:dyDescent="0.25">
      <c r="X9027" s="8" t="e">
        <f>IF(Final_Sans_VGE[[#This Row],[ppn_z]]="","",IFERROR(
   IF(_xlfn.XLOOKUP(Final_Sans_VGE[[#This Row],[ppn_z]],tbl_Historique_Final[ppn_z],tbl_Historique_Final[date_modif])=Final_Sans_VGE[[#This Row],[date_modif]],
      "Ancien",
      "Modifié"),
   "Nouveau"))</f>
        <v>#VALUE!</v>
      </c>
      <c r="AD9027" s="1" t="str">
        <f>IFERROR(IF(Final_Sans_VGE[[#This Row],[ppn_z]]="","",IFERROR(
   IF(_xlfn.XLOOKUP(Final_Sans_VGE[[#This Row],[ppn_z]],tbl_Historique_Final[[#This Row],[ppn_z]],tbl_Historique_Final[[#This Row],[date_modif]])=Final_Sans_VGE[[#This Row],[date_modif]],
      "Ancien",
      "Modifié"),
   "Nouveau")),"")</f>
        <v/>
      </c>
    </row>
    <row r="9028" spans="24:30" x14ac:dyDescent="0.25">
      <c r="X9028" s="8" t="e">
        <f>IF(Final_Sans_VGE[[#This Row],[ppn_z]]="","",IFERROR(
   IF(_xlfn.XLOOKUP(Final_Sans_VGE[[#This Row],[ppn_z]],tbl_Historique_Final[ppn_z],tbl_Historique_Final[date_modif])=Final_Sans_VGE[[#This Row],[date_modif]],
      "Ancien",
      "Modifié"),
   "Nouveau"))</f>
        <v>#VALUE!</v>
      </c>
      <c r="AD9028" s="1" t="str">
        <f>IFERROR(IF(Final_Sans_VGE[[#This Row],[ppn_z]]="","",IFERROR(
   IF(_xlfn.XLOOKUP(Final_Sans_VGE[[#This Row],[ppn_z]],tbl_Historique_Final[[#This Row],[ppn_z]],tbl_Historique_Final[[#This Row],[date_modif]])=Final_Sans_VGE[[#This Row],[date_modif]],
      "Ancien",
      "Modifié"),
   "Nouveau")),"")</f>
        <v/>
      </c>
    </row>
    <row r="9029" spans="24:30" x14ac:dyDescent="0.25">
      <c r="X9029" s="8" t="e">
        <f>IF(Final_Sans_VGE[[#This Row],[ppn_z]]="","",IFERROR(
   IF(_xlfn.XLOOKUP(Final_Sans_VGE[[#This Row],[ppn_z]],tbl_Historique_Final[ppn_z],tbl_Historique_Final[date_modif])=Final_Sans_VGE[[#This Row],[date_modif]],
      "Ancien",
      "Modifié"),
   "Nouveau"))</f>
        <v>#VALUE!</v>
      </c>
      <c r="AD9029" s="1" t="str">
        <f>IFERROR(IF(Final_Sans_VGE[[#This Row],[ppn_z]]="","",IFERROR(
   IF(_xlfn.XLOOKUP(Final_Sans_VGE[[#This Row],[ppn_z]],tbl_Historique_Final[[#This Row],[ppn_z]],tbl_Historique_Final[[#This Row],[date_modif]])=Final_Sans_VGE[[#This Row],[date_modif]],
      "Ancien",
      "Modifié"),
   "Nouveau")),"")</f>
        <v/>
      </c>
    </row>
    <row r="9030" spans="24:30" x14ac:dyDescent="0.25">
      <c r="X9030" s="8" t="e">
        <f>IF(Final_Sans_VGE[[#This Row],[ppn_z]]="","",IFERROR(
   IF(_xlfn.XLOOKUP(Final_Sans_VGE[[#This Row],[ppn_z]],tbl_Historique_Final[ppn_z],tbl_Historique_Final[date_modif])=Final_Sans_VGE[[#This Row],[date_modif]],
      "Ancien",
      "Modifié"),
   "Nouveau"))</f>
        <v>#VALUE!</v>
      </c>
      <c r="AD9030" s="1" t="str">
        <f>IFERROR(IF(Final_Sans_VGE[[#This Row],[ppn_z]]="","",IFERROR(
   IF(_xlfn.XLOOKUP(Final_Sans_VGE[[#This Row],[ppn_z]],tbl_Historique_Final[[#This Row],[ppn_z]],tbl_Historique_Final[[#This Row],[date_modif]])=Final_Sans_VGE[[#This Row],[date_modif]],
      "Ancien",
      "Modifié"),
   "Nouveau")),"")</f>
        <v/>
      </c>
    </row>
    <row r="9031" spans="24:30" x14ac:dyDescent="0.25">
      <c r="X9031" s="8" t="e">
        <f>IF(Final_Sans_VGE[[#This Row],[ppn_z]]="","",IFERROR(
   IF(_xlfn.XLOOKUP(Final_Sans_VGE[[#This Row],[ppn_z]],tbl_Historique_Final[ppn_z],tbl_Historique_Final[date_modif])=Final_Sans_VGE[[#This Row],[date_modif]],
      "Ancien",
      "Modifié"),
   "Nouveau"))</f>
        <v>#VALUE!</v>
      </c>
      <c r="AD9031" s="1" t="str">
        <f>IFERROR(IF(Final_Sans_VGE[[#This Row],[ppn_z]]="","",IFERROR(
   IF(_xlfn.XLOOKUP(Final_Sans_VGE[[#This Row],[ppn_z]],tbl_Historique_Final[[#This Row],[ppn_z]],tbl_Historique_Final[[#This Row],[date_modif]])=Final_Sans_VGE[[#This Row],[date_modif]],
      "Ancien",
      "Modifié"),
   "Nouveau")),"")</f>
        <v/>
      </c>
    </row>
    <row r="9032" spans="24:30" x14ac:dyDescent="0.25">
      <c r="X9032" s="8" t="e">
        <f>IF(Final_Sans_VGE[[#This Row],[ppn_z]]="","",IFERROR(
   IF(_xlfn.XLOOKUP(Final_Sans_VGE[[#This Row],[ppn_z]],tbl_Historique_Final[ppn_z],tbl_Historique_Final[date_modif])=Final_Sans_VGE[[#This Row],[date_modif]],
      "Ancien",
      "Modifié"),
   "Nouveau"))</f>
        <v>#VALUE!</v>
      </c>
      <c r="AD9032" s="1" t="str">
        <f>IFERROR(IF(Final_Sans_VGE[[#This Row],[ppn_z]]="","",IFERROR(
   IF(_xlfn.XLOOKUP(Final_Sans_VGE[[#This Row],[ppn_z]],tbl_Historique_Final[[#This Row],[ppn_z]],tbl_Historique_Final[[#This Row],[date_modif]])=Final_Sans_VGE[[#This Row],[date_modif]],
      "Ancien",
      "Modifié"),
   "Nouveau")),"")</f>
        <v/>
      </c>
    </row>
    <row r="9033" spans="24:30" x14ac:dyDescent="0.25">
      <c r="X9033" s="8" t="e">
        <f>IF(Final_Sans_VGE[[#This Row],[ppn_z]]="","",IFERROR(
   IF(_xlfn.XLOOKUP(Final_Sans_VGE[[#This Row],[ppn_z]],tbl_Historique_Final[ppn_z],tbl_Historique_Final[date_modif])=Final_Sans_VGE[[#This Row],[date_modif]],
      "Ancien",
      "Modifié"),
   "Nouveau"))</f>
        <v>#VALUE!</v>
      </c>
      <c r="AD9033" s="1" t="str">
        <f>IFERROR(IF(Final_Sans_VGE[[#This Row],[ppn_z]]="","",IFERROR(
   IF(_xlfn.XLOOKUP(Final_Sans_VGE[[#This Row],[ppn_z]],tbl_Historique_Final[[#This Row],[ppn_z]],tbl_Historique_Final[[#This Row],[date_modif]])=Final_Sans_VGE[[#This Row],[date_modif]],
      "Ancien",
      "Modifié"),
   "Nouveau")),"")</f>
        <v/>
      </c>
    </row>
    <row r="9034" spans="24:30" x14ac:dyDescent="0.25">
      <c r="X9034" s="8" t="e">
        <f>IF(Final_Sans_VGE[[#This Row],[ppn_z]]="","",IFERROR(
   IF(_xlfn.XLOOKUP(Final_Sans_VGE[[#This Row],[ppn_z]],tbl_Historique_Final[ppn_z],tbl_Historique_Final[date_modif])=Final_Sans_VGE[[#This Row],[date_modif]],
      "Ancien",
      "Modifié"),
   "Nouveau"))</f>
        <v>#VALUE!</v>
      </c>
      <c r="AD9034" s="1" t="str">
        <f>IFERROR(IF(Final_Sans_VGE[[#This Row],[ppn_z]]="","",IFERROR(
   IF(_xlfn.XLOOKUP(Final_Sans_VGE[[#This Row],[ppn_z]],tbl_Historique_Final[[#This Row],[ppn_z]],tbl_Historique_Final[[#This Row],[date_modif]])=Final_Sans_VGE[[#This Row],[date_modif]],
      "Ancien",
      "Modifié"),
   "Nouveau")),"")</f>
        <v/>
      </c>
    </row>
    <row r="9035" spans="24:30" x14ac:dyDescent="0.25">
      <c r="X9035" s="8" t="e">
        <f>IF(Final_Sans_VGE[[#This Row],[ppn_z]]="","",IFERROR(
   IF(_xlfn.XLOOKUP(Final_Sans_VGE[[#This Row],[ppn_z]],tbl_Historique_Final[ppn_z],tbl_Historique_Final[date_modif])=Final_Sans_VGE[[#This Row],[date_modif]],
      "Ancien",
      "Modifié"),
   "Nouveau"))</f>
        <v>#VALUE!</v>
      </c>
      <c r="AD9035" s="1" t="str">
        <f>IFERROR(IF(Final_Sans_VGE[[#This Row],[ppn_z]]="","",IFERROR(
   IF(_xlfn.XLOOKUP(Final_Sans_VGE[[#This Row],[ppn_z]],tbl_Historique_Final[[#This Row],[ppn_z]],tbl_Historique_Final[[#This Row],[date_modif]])=Final_Sans_VGE[[#This Row],[date_modif]],
      "Ancien",
      "Modifié"),
   "Nouveau")),"")</f>
        <v/>
      </c>
    </row>
    <row r="9036" spans="24:30" x14ac:dyDescent="0.25">
      <c r="X9036" s="8" t="e">
        <f>IF(Final_Sans_VGE[[#This Row],[ppn_z]]="","",IFERROR(
   IF(_xlfn.XLOOKUP(Final_Sans_VGE[[#This Row],[ppn_z]],tbl_Historique_Final[ppn_z],tbl_Historique_Final[date_modif])=Final_Sans_VGE[[#This Row],[date_modif]],
      "Ancien",
      "Modifié"),
   "Nouveau"))</f>
        <v>#VALUE!</v>
      </c>
      <c r="AD9036" s="1" t="str">
        <f>IFERROR(IF(Final_Sans_VGE[[#This Row],[ppn_z]]="","",IFERROR(
   IF(_xlfn.XLOOKUP(Final_Sans_VGE[[#This Row],[ppn_z]],tbl_Historique_Final[[#This Row],[ppn_z]],tbl_Historique_Final[[#This Row],[date_modif]])=Final_Sans_VGE[[#This Row],[date_modif]],
      "Ancien",
      "Modifié"),
   "Nouveau")),"")</f>
        <v/>
      </c>
    </row>
    <row r="9037" spans="24:30" x14ac:dyDescent="0.25">
      <c r="X9037" s="8" t="e">
        <f>IF(Final_Sans_VGE[[#This Row],[ppn_z]]="","",IFERROR(
   IF(_xlfn.XLOOKUP(Final_Sans_VGE[[#This Row],[ppn_z]],tbl_Historique_Final[ppn_z],tbl_Historique_Final[date_modif])=Final_Sans_VGE[[#This Row],[date_modif]],
      "Ancien",
      "Modifié"),
   "Nouveau"))</f>
        <v>#VALUE!</v>
      </c>
      <c r="AD9037" s="1" t="str">
        <f>IFERROR(IF(Final_Sans_VGE[[#This Row],[ppn_z]]="","",IFERROR(
   IF(_xlfn.XLOOKUP(Final_Sans_VGE[[#This Row],[ppn_z]],tbl_Historique_Final[[#This Row],[ppn_z]],tbl_Historique_Final[[#This Row],[date_modif]])=Final_Sans_VGE[[#This Row],[date_modif]],
      "Ancien",
      "Modifié"),
   "Nouveau")),"")</f>
        <v/>
      </c>
    </row>
    <row r="9038" spans="24:30" x14ac:dyDescent="0.25">
      <c r="X9038" s="8" t="e">
        <f>IF(Final_Sans_VGE[[#This Row],[ppn_z]]="","",IFERROR(
   IF(_xlfn.XLOOKUP(Final_Sans_VGE[[#This Row],[ppn_z]],tbl_Historique_Final[ppn_z],tbl_Historique_Final[date_modif])=Final_Sans_VGE[[#This Row],[date_modif]],
      "Ancien",
      "Modifié"),
   "Nouveau"))</f>
        <v>#VALUE!</v>
      </c>
      <c r="AD9038" s="1" t="str">
        <f>IFERROR(IF(Final_Sans_VGE[[#This Row],[ppn_z]]="","",IFERROR(
   IF(_xlfn.XLOOKUP(Final_Sans_VGE[[#This Row],[ppn_z]],tbl_Historique_Final[[#This Row],[ppn_z]],tbl_Historique_Final[[#This Row],[date_modif]])=Final_Sans_VGE[[#This Row],[date_modif]],
      "Ancien",
      "Modifié"),
   "Nouveau")),"")</f>
        <v/>
      </c>
    </row>
    <row r="9039" spans="24:30" x14ac:dyDescent="0.25">
      <c r="X9039" s="8" t="e">
        <f>IF(Final_Sans_VGE[[#This Row],[ppn_z]]="","",IFERROR(
   IF(_xlfn.XLOOKUP(Final_Sans_VGE[[#This Row],[ppn_z]],tbl_Historique_Final[ppn_z],tbl_Historique_Final[date_modif])=Final_Sans_VGE[[#This Row],[date_modif]],
      "Ancien",
      "Modifié"),
   "Nouveau"))</f>
        <v>#VALUE!</v>
      </c>
      <c r="AD9039" s="1" t="str">
        <f>IFERROR(IF(Final_Sans_VGE[[#This Row],[ppn_z]]="","",IFERROR(
   IF(_xlfn.XLOOKUP(Final_Sans_VGE[[#This Row],[ppn_z]],tbl_Historique_Final[[#This Row],[ppn_z]],tbl_Historique_Final[[#This Row],[date_modif]])=Final_Sans_VGE[[#This Row],[date_modif]],
      "Ancien",
      "Modifié"),
   "Nouveau")),"")</f>
        <v/>
      </c>
    </row>
    <row r="9040" spans="24:30" x14ac:dyDescent="0.25">
      <c r="X9040" s="8" t="e">
        <f>IF(Final_Sans_VGE[[#This Row],[ppn_z]]="","",IFERROR(
   IF(_xlfn.XLOOKUP(Final_Sans_VGE[[#This Row],[ppn_z]],tbl_Historique_Final[ppn_z],tbl_Historique_Final[date_modif])=Final_Sans_VGE[[#This Row],[date_modif]],
      "Ancien",
      "Modifié"),
   "Nouveau"))</f>
        <v>#VALUE!</v>
      </c>
      <c r="AD9040" s="1" t="str">
        <f>IFERROR(IF(Final_Sans_VGE[[#This Row],[ppn_z]]="","",IFERROR(
   IF(_xlfn.XLOOKUP(Final_Sans_VGE[[#This Row],[ppn_z]],tbl_Historique_Final[[#This Row],[ppn_z]],tbl_Historique_Final[[#This Row],[date_modif]])=Final_Sans_VGE[[#This Row],[date_modif]],
      "Ancien",
      "Modifié"),
   "Nouveau")),"")</f>
        <v/>
      </c>
    </row>
    <row r="9041" spans="24:30" x14ac:dyDescent="0.25">
      <c r="X9041" s="8" t="e">
        <f>IF(Final_Sans_VGE[[#This Row],[ppn_z]]="","",IFERROR(
   IF(_xlfn.XLOOKUP(Final_Sans_VGE[[#This Row],[ppn_z]],tbl_Historique_Final[ppn_z],tbl_Historique_Final[date_modif])=Final_Sans_VGE[[#This Row],[date_modif]],
      "Ancien",
      "Modifié"),
   "Nouveau"))</f>
        <v>#VALUE!</v>
      </c>
      <c r="AD9041" s="1" t="str">
        <f>IFERROR(IF(Final_Sans_VGE[[#This Row],[ppn_z]]="","",IFERROR(
   IF(_xlfn.XLOOKUP(Final_Sans_VGE[[#This Row],[ppn_z]],tbl_Historique_Final[[#This Row],[ppn_z]],tbl_Historique_Final[[#This Row],[date_modif]])=Final_Sans_VGE[[#This Row],[date_modif]],
      "Ancien",
      "Modifié"),
   "Nouveau")),"")</f>
        <v/>
      </c>
    </row>
    <row r="9042" spans="24:30" x14ac:dyDescent="0.25">
      <c r="X9042" s="8" t="e">
        <f>IF(Final_Sans_VGE[[#This Row],[ppn_z]]="","",IFERROR(
   IF(_xlfn.XLOOKUP(Final_Sans_VGE[[#This Row],[ppn_z]],tbl_Historique_Final[ppn_z],tbl_Historique_Final[date_modif])=Final_Sans_VGE[[#This Row],[date_modif]],
      "Ancien",
      "Modifié"),
   "Nouveau"))</f>
        <v>#VALUE!</v>
      </c>
      <c r="AD9042" s="1" t="str">
        <f>IFERROR(IF(Final_Sans_VGE[[#This Row],[ppn_z]]="","",IFERROR(
   IF(_xlfn.XLOOKUP(Final_Sans_VGE[[#This Row],[ppn_z]],tbl_Historique_Final[[#This Row],[ppn_z]],tbl_Historique_Final[[#This Row],[date_modif]])=Final_Sans_VGE[[#This Row],[date_modif]],
      "Ancien",
      "Modifié"),
   "Nouveau")),"")</f>
        <v/>
      </c>
    </row>
    <row r="9043" spans="24:30" x14ac:dyDescent="0.25">
      <c r="X9043" s="8" t="e">
        <f>IF(Final_Sans_VGE[[#This Row],[ppn_z]]="","",IFERROR(
   IF(_xlfn.XLOOKUP(Final_Sans_VGE[[#This Row],[ppn_z]],tbl_Historique_Final[ppn_z],tbl_Historique_Final[date_modif])=Final_Sans_VGE[[#This Row],[date_modif]],
      "Ancien",
      "Modifié"),
   "Nouveau"))</f>
        <v>#VALUE!</v>
      </c>
      <c r="AD9043" s="1" t="str">
        <f>IFERROR(IF(Final_Sans_VGE[[#This Row],[ppn_z]]="","",IFERROR(
   IF(_xlfn.XLOOKUP(Final_Sans_VGE[[#This Row],[ppn_z]],tbl_Historique_Final[[#This Row],[ppn_z]],tbl_Historique_Final[[#This Row],[date_modif]])=Final_Sans_VGE[[#This Row],[date_modif]],
      "Ancien",
      "Modifié"),
   "Nouveau")),"")</f>
        <v/>
      </c>
    </row>
    <row r="9044" spans="24:30" x14ac:dyDescent="0.25">
      <c r="X9044" s="8" t="e">
        <f>IF(Final_Sans_VGE[[#This Row],[ppn_z]]="","",IFERROR(
   IF(_xlfn.XLOOKUP(Final_Sans_VGE[[#This Row],[ppn_z]],tbl_Historique_Final[ppn_z],tbl_Historique_Final[date_modif])=Final_Sans_VGE[[#This Row],[date_modif]],
      "Ancien",
      "Modifié"),
   "Nouveau"))</f>
        <v>#VALUE!</v>
      </c>
      <c r="AD9044" s="1" t="str">
        <f>IFERROR(IF(Final_Sans_VGE[[#This Row],[ppn_z]]="","",IFERROR(
   IF(_xlfn.XLOOKUP(Final_Sans_VGE[[#This Row],[ppn_z]],tbl_Historique_Final[[#This Row],[ppn_z]],tbl_Historique_Final[[#This Row],[date_modif]])=Final_Sans_VGE[[#This Row],[date_modif]],
      "Ancien",
      "Modifié"),
   "Nouveau")),"")</f>
        <v/>
      </c>
    </row>
    <row r="9045" spans="24:30" x14ac:dyDescent="0.25">
      <c r="X9045" s="8" t="e">
        <f>IF(Final_Sans_VGE[[#This Row],[ppn_z]]="","",IFERROR(
   IF(_xlfn.XLOOKUP(Final_Sans_VGE[[#This Row],[ppn_z]],tbl_Historique_Final[ppn_z],tbl_Historique_Final[date_modif])=Final_Sans_VGE[[#This Row],[date_modif]],
      "Ancien",
      "Modifié"),
   "Nouveau"))</f>
        <v>#VALUE!</v>
      </c>
      <c r="AD9045" s="1" t="str">
        <f>IFERROR(IF(Final_Sans_VGE[[#This Row],[ppn_z]]="","",IFERROR(
   IF(_xlfn.XLOOKUP(Final_Sans_VGE[[#This Row],[ppn_z]],tbl_Historique_Final[[#This Row],[ppn_z]],tbl_Historique_Final[[#This Row],[date_modif]])=Final_Sans_VGE[[#This Row],[date_modif]],
      "Ancien",
      "Modifié"),
   "Nouveau")),"")</f>
        <v/>
      </c>
    </row>
    <row r="9046" spans="24:30" x14ac:dyDescent="0.25">
      <c r="X9046" s="8" t="e">
        <f>IF(Final_Sans_VGE[[#This Row],[ppn_z]]="","",IFERROR(
   IF(_xlfn.XLOOKUP(Final_Sans_VGE[[#This Row],[ppn_z]],tbl_Historique_Final[ppn_z],tbl_Historique_Final[date_modif])=Final_Sans_VGE[[#This Row],[date_modif]],
      "Ancien",
      "Modifié"),
   "Nouveau"))</f>
        <v>#VALUE!</v>
      </c>
      <c r="AD9046" s="1" t="str">
        <f>IFERROR(IF(Final_Sans_VGE[[#This Row],[ppn_z]]="","",IFERROR(
   IF(_xlfn.XLOOKUP(Final_Sans_VGE[[#This Row],[ppn_z]],tbl_Historique_Final[[#This Row],[ppn_z]],tbl_Historique_Final[[#This Row],[date_modif]])=Final_Sans_VGE[[#This Row],[date_modif]],
      "Ancien",
      "Modifié"),
   "Nouveau")),"")</f>
        <v/>
      </c>
    </row>
    <row r="9047" spans="24:30" x14ac:dyDescent="0.25">
      <c r="X9047" s="8" t="e">
        <f>IF(Final_Sans_VGE[[#This Row],[ppn_z]]="","",IFERROR(
   IF(_xlfn.XLOOKUP(Final_Sans_VGE[[#This Row],[ppn_z]],tbl_Historique_Final[ppn_z],tbl_Historique_Final[date_modif])=Final_Sans_VGE[[#This Row],[date_modif]],
      "Ancien",
      "Modifié"),
   "Nouveau"))</f>
        <v>#VALUE!</v>
      </c>
      <c r="AD9047" s="1" t="str">
        <f>IFERROR(IF(Final_Sans_VGE[[#This Row],[ppn_z]]="","",IFERROR(
   IF(_xlfn.XLOOKUP(Final_Sans_VGE[[#This Row],[ppn_z]],tbl_Historique_Final[[#This Row],[ppn_z]],tbl_Historique_Final[[#This Row],[date_modif]])=Final_Sans_VGE[[#This Row],[date_modif]],
      "Ancien",
      "Modifié"),
   "Nouveau")),"")</f>
        <v/>
      </c>
    </row>
    <row r="9048" spans="24:30" x14ac:dyDescent="0.25">
      <c r="X9048" s="8" t="e">
        <f>IF(Final_Sans_VGE[[#This Row],[ppn_z]]="","",IFERROR(
   IF(_xlfn.XLOOKUP(Final_Sans_VGE[[#This Row],[ppn_z]],tbl_Historique_Final[ppn_z],tbl_Historique_Final[date_modif])=Final_Sans_VGE[[#This Row],[date_modif]],
      "Ancien",
      "Modifié"),
   "Nouveau"))</f>
        <v>#VALUE!</v>
      </c>
      <c r="AD9048" s="1" t="str">
        <f>IFERROR(IF(Final_Sans_VGE[[#This Row],[ppn_z]]="","",IFERROR(
   IF(_xlfn.XLOOKUP(Final_Sans_VGE[[#This Row],[ppn_z]],tbl_Historique_Final[[#This Row],[ppn_z]],tbl_Historique_Final[[#This Row],[date_modif]])=Final_Sans_VGE[[#This Row],[date_modif]],
      "Ancien",
      "Modifié"),
   "Nouveau")),"")</f>
        <v/>
      </c>
    </row>
    <row r="9049" spans="24:30" x14ac:dyDescent="0.25">
      <c r="X9049" s="8" t="e">
        <f>IF(Final_Sans_VGE[[#This Row],[ppn_z]]="","",IFERROR(
   IF(_xlfn.XLOOKUP(Final_Sans_VGE[[#This Row],[ppn_z]],tbl_Historique_Final[ppn_z],tbl_Historique_Final[date_modif])=Final_Sans_VGE[[#This Row],[date_modif]],
      "Ancien",
      "Modifié"),
   "Nouveau"))</f>
        <v>#VALUE!</v>
      </c>
      <c r="AD9049" s="1" t="str">
        <f>IFERROR(IF(Final_Sans_VGE[[#This Row],[ppn_z]]="","",IFERROR(
   IF(_xlfn.XLOOKUP(Final_Sans_VGE[[#This Row],[ppn_z]],tbl_Historique_Final[[#This Row],[ppn_z]],tbl_Historique_Final[[#This Row],[date_modif]])=Final_Sans_VGE[[#This Row],[date_modif]],
      "Ancien",
      "Modifié"),
   "Nouveau")),"")</f>
        <v/>
      </c>
    </row>
    <row r="9050" spans="24:30" x14ac:dyDescent="0.25">
      <c r="X9050" s="8" t="e">
        <f>IF(Final_Sans_VGE[[#This Row],[ppn_z]]="","",IFERROR(
   IF(_xlfn.XLOOKUP(Final_Sans_VGE[[#This Row],[ppn_z]],tbl_Historique_Final[ppn_z],tbl_Historique_Final[date_modif])=Final_Sans_VGE[[#This Row],[date_modif]],
      "Ancien",
      "Modifié"),
   "Nouveau"))</f>
        <v>#VALUE!</v>
      </c>
      <c r="AD9050" s="1" t="str">
        <f>IFERROR(IF(Final_Sans_VGE[[#This Row],[ppn_z]]="","",IFERROR(
   IF(_xlfn.XLOOKUP(Final_Sans_VGE[[#This Row],[ppn_z]],tbl_Historique_Final[[#This Row],[ppn_z]],tbl_Historique_Final[[#This Row],[date_modif]])=Final_Sans_VGE[[#This Row],[date_modif]],
      "Ancien",
      "Modifié"),
   "Nouveau")),"")</f>
        <v/>
      </c>
    </row>
    <row r="9051" spans="24:30" x14ac:dyDescent="0.25">
      <c r="X9051" s="8" t="e">
        <f>IF(Final_Sans_VGE[[#This Row],[ppn_z]]="","",IFERROR(
   IF(_xlfn.XLOOKUP(Final_Sans_VGE[[#This Row],[ppn_z]],tbl_Historique_Final[ppn_z],tbl_Historique_Final[date_modif])=Final_Sans_VGE[[#This Row],[date_modif]],
      "Ancien",
      "Modifié"),
   "Nouveau"))</f>
        <v>#VALUE!</v>
      </c>
      <c r="AD9051" s="1" t="str">
        <f>IFERROR(IF(Final_Sans_VGE[[#This Row],[ppn_z]]="","",IFERROR(
   IF(_xlfn.XLOOKUP(Final_Sans_VGE[[#This Row],[ppn_z]],tbl_Historique_Final[[#This Row],[ppn_z]],tbl_Historique_Final[[#This Row],[date_modif]])=Final_Sans_VGE[[#This Row],[date_modif]],
      "Ancien",
      "Modifié"),
   "Nouveau")),"")</f>
        <v/>
      </c>
    </row>
    <row r="9052" spans="24:30" x14ac:dyDescent="0.25">
      <c r="X9052" s="8" t="e">
        <f>IF(Final_Sans_VGE[[#This Row],[ppn_z]]="","",IFERROR(
   IF(_xlfn.XLOOKUP(Final_Sans_VGE[[#This Row],[ppn_z]],tbl_Historique_Final[ppn_z],tbl_Historique_Final[date_modif])=Final_Sans_VGE[[#This Row],[date_modif]],
      "Ancien",
      "Modifié"),
   "Nouveau"))</f>
        <v>#VALUE!</v>
      </c>
      <c r="AD9052" s="1" t="str">
        <f>IFERROR(IF(Final_Sans_VGE[[#This Row],[ppn_z]]="","",IFERROR(
   IF(_xlfn.XLOOKUP(Final_Sans_VGE[[#This Row],[ppn_z]],tbl_Historique_Final[[#This Row],[ppn_z]],tbl_Historique_Final[[#This Row],[date_modif]])=Final_Sans_VGE[[#This Row],[date_modif]],
      "Ancien",
      "Modifié"),
   "Nouveau")),"")</f>
        <v/>
      </c>
    </row>
    <row r="9053" spans="24:30" x14ac:dyDescent="0.25">
      <c r="X9053" s="8" t="e">
        <f>IF(Final_Sans_VGE[[#This Row],[ppn_z]]="","",IFERROR(
   IF(_xlfn.XLOOKUP(Final_Sans_VGE[[#This Row],[ppn_z]],tbl_Historique_Final[ppn_z],tbl_Historique_Final[date_modif])=Final_Sans_VGE[[#This Row],[date_modif]],
      "Ancien",
      "Modifié"),
   "Nouveau"))</f>
        <v>#VALUE!</v>
      </c>
      <c r="AD9053" s="1" t="str">
        <f>IFERROR(IF(Final_Sans_VGE[[#This Row],[ppn_z]]="","",IFERROR(
   IF(_xlfn.XLOOKUP(Final_Sans_VGE[[#This Row],[ppn_z]],tbl_Historique_Final[[#This Row],[ppn_z]],tbl_Historique_Final[[#This Row],[date_modif]])=Final_Sans_VGE[[#This Row],[date_modif]],
      "Ancien",
      "Modifié"),
   "Nouveau")),"")</f>
        <v/>
      </c>
    </row>
    <row r="9054" spans="24:30" x14ac:dyDescent="0.25">
      <c r="X9054" s="8" t="e">
        <f>IF(Final_Sans_VGE[[#This Row],[ppn_z]]="","",IFERROR(
   IF(_xlfn.XLOOKUP(Final_Sans_VGE[[#This Row],[ppn_z]],tbl_Historique_Final[ppn_z],tbl_Historique_Final[date_modif])=Final_Sans_VGE[[#This Row],[date_modif]],
      "Ancien",
      "Modifié"),
   "Nouveau"))</f>
        <v>#VALUE!</v>
      </c>
      <c r="AD9054" s="1" t="str">
        <f>IFERROR(IF(Final_Sans_VGE[[#This Row],[ppn_z]]="","",IFERROR(
   IF(_xlfn.XLOOKUP(Final_Sans_VGE[[#This Row],[ppn_z]],tbl_Historique_Final[[#This Row],[ppn_z]],tbl_Historique_Final[[#This Row],[date_modif]])=Final_Sans_VGE[[#This Row],[date_modif]],
      "Ancien",
      "Modifié"),
   "Nouveau")),"")</f>
        <v/>
      </c>
    </row>
    <row r="9055" spans="24:30" x14ac:dyDescent="0.25">
      <c r="X9055" s="8" t="e">
        <f>IF(Final_Sans_VGE[[#This Row],[ppn_z]]="","",IFERROR(
   IF(_xlfn.XLOOKUP(Final_Sans_VGE[[#This Row],[ppn_z]],tbl_Historique_Final[ppn_z],tbl_Historique_Final[date_modif])=Final_Sans_VGE[[#This Row],[date_modif]],
      "Ancien",
      "Modifié"),
   "Nouveau"))</f>
        <v>#VALUE!</v>
      </c>
      <c r="AD9055" s="1" t="str">
        <f>IFERROR(IF(Final_Sans_VGE[[#This Row],[ppn_z]]="","",IFERROR(
   IF(_xlfn.XLOOKUP(Final_Sans_VGE[[#This Row],[ppn_z]],tbl_Historique_Final[[#This Row],[ppn_z]],tbl_Historique_Final[[#This Row],[date_modif]])=Final_Sans_VGE[[#This Row],[date_modif]],
      "Ancien",
      "Modifié"),
   "Nouveau")),"")</f>
        <v/>
      </c>
    </row>
    <row r="9056" spans="24:30" x14ac:dyDescent="0.25">
      <c r="X9056" s="8" t="e">
        <f>IF(Final_Sans_VGE[[#This Row],[ppn_z]]="","",IFERROR(
   IF(_xlfn.XLOOKUP(Final_Sans_VGE[[#This Row],[ppn_z]],tbl_Historique_Final[ppn_z],tbl_Historique_Final[date_modif])=Final_Sans_VGE[[#This Row],[date_modif]],
      "Ancien",
      "Modifié"),
   "Nouveau"))</f>
        <v>#VALUE!</v>
      </c>
      <c r="AD9056" s="1" t="str">
        <f>IFERROR(IF(Final_Sans_VGE[[#This Row],[ppn_z]]="","",IFERROR(
   IF(_xlfn.XLOOKUP(Final_Sans_VGE[[#This Row],[ppn_z]],tbl_Historique_Final[[#This Row],[ppn_z]],tbl_Historique_Final[[#This Row],[date_modif]])=Final_Sans_VGE[[#This Row],[date_modif]],
      "Ancien",
      "Modifié"),
   "Nouveau")),"")</f>
        <v/>
      </c>
    </row>
    <row r="9057" spans="24:30" x14ac:dyDescent="0.25">
      <c r="X9057" s="8" t="e">
        <f>IF(Final_Sans_VGE[[#This Row],[ppn_z]]="","",IFERROR(
   IF(_xlfn.XLOOKUP(Final_Sans_VGE[[#This Row],[ppn_z]],tbl_Historique_Final[ppn_z],tbl_Historique_Final[date_modif])=Final_Sans_VGE[[#This Row],[date_modif]],
      "Ancien",
      "Modifié"),
   "Nouveau"))</f>
        <v>#VALUE!</v>
      </c>
      <c r="AD9057" s="1" t="str">
        <f>IFERROR(IF(Final_Sans_VGE[[#This Row],[ppn_z]]="","",IFERROR(
   IF(_xlfn.XLOOKUP(Final_Sans_VGE[[#This Row],[ppn_z]],tbl_Historique_Final[[#This Row],[ppn_z]],tbl_Historique_Final[[#This Row],[date_modif]])=Final_Sans_VGE[[#This Row],[date_modif]],
      "Ancien",
      "Modifié"),
   "Nouveau")),"")</f>
        <v/>
      </c>
    </row>
    <row r="9058" spans="24:30" x14ac:dyDescent="0.25">
      <c r="X9058" s="8" t="e">
        <f>IF(Final_Sans_VGE[[#This Row],[ppn_z]]="","",IFERROR(
   IF(_xlfn.XLOOKUP(Final_Sans_VGE[[#This Row],[ppn_z]],tbl_Historique_Final[ppn_z],tbl_Historique_Final[date_modif])=Final_Sans_VGE[[#This Row],[date_modif]],
      "Ancien",
      "Modifié"),
   "Nouveau"))</f>
        <v>#VALUE!</v>
      </c>
      <c r="AD9058" s="1" t="str">
        <f>IFERROR(IF(Final_Sans_VGE[[#This Row],[ppn_z]]="","",IFERROR(
   IF(_xlfn.XLOOKUP(Final_Sans_VGE[[#This Row],[ppn_z]],tbl_Historique_Final[[#This Row],[ppn_z]],tbl_Historique_Final[[#This Row],[date_modif]])=Final_Sans_VGE[[#This Row],[date_modif]],
      "Ancien",
      "Modifié"),
   "Nouveau")),"")</f>
        <v/>
      </c>
    </row>
    <row r="9059" spans="24:30" x14ac:dyDescent="0.25">
      <c r="X9059" s="8" t="e">
        <f>IF(Final_Sans_VGE[[#This Row],[ppn_z]]="","",IFERROR(
   IF(_xlfn.XLOOKUP(Final_Sans_VGE[[#This Row],[ppn_z]],tbl_Historique_Final[ppn_z],tbl_Historique_Final[date_modif])=Final_Sans_VGE[[#This Row],[date_modif]],
      "Ancien",
      "Modifié"),
   "Nouveau"))</f>
        <v>#VALUE!</v>
      </c>
      <c r="AD9059" s="1" t="str">
        <f>IFERROR(IF(Final_Sans_VGE[[#This Row],[ppn_z]]="","",IFERROR(
   IF(_xlfn.XLOOKUP(Final_Sans_VGE[[#This Row],[ppn_z]],tbl_Historique_Final[[#This Row],[ppn_z]],tbl_Historique_Final[[#This Row],[date_modif]])=Final_Sans_VGE[[#This Row],[date_modif]],
      "Ancien",
      "Modifié"),
   "Nouveau")),"")</f>
        <v/>
      </c>
    </row>
    <row r="9060" spans="24:30" x14ac:dyDescent="0.25">
      <c r="X9060" s="8" t="e">
        <f>IF(Final_Sans_VGE[[#This Row],[ppn_z]]="","",IFERROR(
   IF(_xlfn.XLOOKUP(Final_Sans_VGE[[#This Row],[ppn_z]],tbl_Historique_Final[ppn_z],tbl_Historique_Final[date_modif])=Final_Sans_VGE[[#This Row],[date_modif]],
      "Ancien",
      "Modifié"),
   "Nouveau"))</f>
        <v>#VALUE!</v>
      </c>
      <c r="AD9060" s="1" t="str">
        <f>IFERROR(IF(Final_Sans_VGE[[#This Row],[ppn_z]]="","",IFERROR(
   IF(_xlfn.XLOOKUP(Final_Sans_VGE[[#This Row],[ppn_z]],tbl_Historique_Final[[#This Row],[ppn_z]],tbl_Historique_Final[[#This Row],[date_modif]])=Final_Sans_VGE[[#This Row],[date_modif]],
      "Ancien",
      "Modifié"),
   "Nouveau")),"")</f>
        <v/>
      </c>
    </row>
    <row r="9061" spans="24:30" x14ac:dyDescent="0.25">
      <c r="X9061" s="8" t="e">
        <f>IF(Final_Sans_VGE[[#This Row],[ppn_z]]="","",IFERROR(
   IF(_xlfn.XLOOKUP(Final_Sans_VGE[[#This Row],[ppn_z]],tbl_Historique_Final[ppn_z],tbl_Historique_Final[date_modif])=Final_Sans_VGE[[#This Row],[date_modif]],
      "Ancien",
      "Modifié"),
   "Nouveau"))</f>
        <v>#VALUE!</v>
      </c>
      <c r="AD9061" s="1" t="str">
        <f>IFERROR(IF(Final_Sans_VGE[[#This Row],[ppn_z]]="","",IFERROR(
   IF(_xlfn.XLOOKUP(Final_Sans_VGE[[#This Row],[ppn_z]],tbl_Historique_Final[[#This Row],[ppn_z]],tbl_Historique_Final[[#This Row],[date_modif]])=Final_Sans_VGE[[#This Row],[date_modif]],
      "Ancien",
      "Modifié"),
   "Nouveau")),"")</f>
        <v/>
      </c>
    </row>
    <row r="9062" spans="24:30" x14ac:dyDescent="0.25">
      <c r="X9062" s="8" t="e">
        <f>IF(Final_Sans_VGE[[#This Row],[ppn_z]]="","",IFERROR(
   IF(_xlfn.XLOOKUP(Final_Sans_VGE[[#This Row],[ppn_z]],tbl_Historique_Final[ppn_z],tbl_Historique_Final[date_modif])=Final_Sans_VGE[[#This Row],[date_modif]],
      "Ancien",
      "Modifié"),
   "Nouveau"))</f>
        <v>#VALUE!</v>
      </c>
      <c r="AD9062" s="1" t="str">
        <f>IFERROR(IF(Final_Sans_VGE[[#This Row],[ppn_z]]="","",IFERROR(
   IF(_xlfn.XLOOKUP(Final_Sans_VGE[[#This Row],[ppn_z]],tbl_Historique_Final[[#This Row],[ppn_z]],tbl_Historique_Final[[#This Row],[date_modif]])=Final_Sans_VGE[[#This Row],[date_modif]],
      "Ancien",
      "Modifié"),
   "Nouveau")),"")</f>
        <v/>
      </c>
    </row>
    <row r="9063" spans="24:30" x14ac:dyDescent="0.25">
      <c r="X9063" s="8" t="e">
        <f>IF(Final_Sans_VGE[[#This Row],[ppn_z]]="","",IFERROR(
   IF(_xlfn.XLOOKUP(Final_Sans_VGE[[#This Row],[ppn_z]],tbl_Historique_Final[ppn_z],tbl_Historique_Final[date_modif])=Final_Sans_VGE[[#This Row],[date_modif]],
      "Ancien",
      "Modifié"),
   "Nouveau"))</f>
        <v>#VALUE!</v>
      </c>
      <c r="AD9063" s="1" t="str">
        <f>IFERROR(IF(Final_Sans_VGE[[#This Row],[ppn_z]]="","",IFERROR(
   IF(_xlfn.XLOOKUP(Final_Sans_VGE[[#This Row],[ppn_z]],tbl_Historique_Final[[#This Row],[ppn_z]],tbl_Historique_Final[[#This Row],[date_modif]])=Final_Sans_VGE[[#This Row],[date_modif]],
      "Ancien",
      "Modifié"),
   "Nouveau")),"")</f>
        <v/>
      </c>
    </row>
    <row r="9064" spans="24:30" x14ac:dyDescent="0.25">
      <c r="X9064" s="8" t="e">
        <f>IF(Final_Sans_VGE[[#This Row],[ppn_z]]="","",IFERROR(
   IF(_xlfn.XLOOKUP(Final_Sans_VGE[[#This Row],[ppn_z]],tbl_Historique_Final[ppn_z],tbl_Historique_Final[date_modif])=Final_Sans_VGE[[#This Row],[date_modif]],
      "Ancien",
      "Modifié"),
   "Nouveau"))</f>
        <v>#VALUE!</v>
      </c>
      <c r="AD9064" s="1" t="str">
        <f>IFERROR(IF(Final_Sans_VGE[[#This Row],[ppn_z]]="","",IFERROR(
   IF(_xlfn.XLOOKUP(Final_Sans_VGE[[#This Row],[ppn_z]],tbl_Historique_Final[[#This Row],[ppn_z]],tbl_Historique_Final[[#This Row],[date_modif]])=Final_Sans_VGE[[#This Row],[date_modif]],
      "Ancien",
      "Modifié"),
   "Nouveau")),"")</f>
        <v/>
      </c>
    </row>
    <row r="9065" spans="24:30" x14ac:dyDescent="0.25">
      <c r="X9065" s="8" t="e">
        <f>IF(Final_Sans_VGE[[#This Row],[ppn_z]]="","",IFERROR(
   IF(_xlfn.XLOOKUP(Final_Sans_VGE[[#This Row],[ppn_z]],tbl_Historique_Final[ppn_z],tbl_Historique_Final[date_modif])=Final_Sans_VGE[[#This Row],[date_modif]],
      "Ancien",
      "Modifié"),
   "Nouveau"))</f>
        <v>#VALUE!</v>
      </c>
      <c r="AD9065" s="1" t="str">
        <f>IFERROR(IF(Final_Sans_VGE[[#This Row],[ppn_z]]="","",IFERROR(
   IF(_xlfn.XLOOKUP(Final_Sans_VGE[[#This Row],[ppn_z]],tbl_Historique_Final[[#This Row],[ppn_z]],tbl_Historique_Final[[#This Row],[date_modif]])=Final_Sans_VGE[[#This Row],[date_modif]],
      "Ancien",
      "Modifié"),
   "Nouveau")),"")</f>
        <v/>
      </c>
    </row>
    <row r="9066" spans="24:30" x14ac:dyDescent="0.25">
      <c r="X9066" s="8" t="e">
        <f>IF(Final_Sans_VGE[[#This Row],[ppn_z]]="","",IFERROR(
   IF(_xlfn.XLOOKUP(Final_Sans_VGE[[#This Row],[ppn_z]],tbl_Historique_Final[ppn_z],tbl_Historique_Final[date_modif])=Final_Sans_VGE[[#This Row],[date_modif]],
      "Ancien",
      "Modifié"),
   "Nouveau"))</f>
        <v>#VALUE!</v>
      </c>
      <c r="AD9066" s="1" t="str">
        <f>IFERROR(IF(Final_Sans_VGE[[#This Row],[ppn_z]]="","",IFERROR(
   IF(_xlfn.XLOOKUP(Final_Sans_VGE[[#This Row],[ppn_z]],tbl_Historique_Final[[#This Row],[ppn_z]],tbl_Historique_Final[[#This Row],[date_modif]])=Final_Sans_VGE[[#This Row],[date_modif]],
      "Ancien",
      "Modifié"),
   "Nouveau")),"")</f>
        <v/>
      </c>
    </row>
    <row r="9067" spans="24:30" x14ac:dyDescent="0.25">
      <c r="X9067" s="8" t="e">
        <f>IF(Final_Sans_VGE[[#This Row],[ppn_z]]="","",IFERROR(
   IF(_xlfn.XLOOKUP(Final_Sans_VGE[[#This Row],[ppn_z]],tbl_Historique_Final[ppn_z],tbl_Historique_Final[date_modif])=Final_Sans_VGE[[#This Row],[date_modif]],
      "Ancien",
      "Modifié"),
   "Nouveau"))</f>
        <v>#VALUE!</v>
      </c>
      <c r="AD9067" s="1" t="str">
        <f>IFERROR(IF(Final_Sans_VGE[[#This Row],[ppn_z]]="","",IFERROR(
   IF(_xlfn.XLOOKUP(Final_Sans_VGE[[#This Row],[ppn_z]],tbl_Historique_Final[[#This Row],[ppn_z]],tbl_Historique_Final[[#This Row],[date_modif]])=Final_Sans_VGE[[#This Row],[date_modif]],
      "Ancien",
      "Modifié"),
   "Nouveau")),"")</f>
        <v/>
      </c>
    </row>
    <row r="9068" spans="24:30" x14ac:dyDescent="0.25">
      <c r="X9068" s="8" t="e">
        <f>IF(Final_Sans_VGE[[#This Row],[ppn_z]]="","",IFERROR(
   IF(_xlfn.XLOOKUP(Final_Sans_VGE[[#This Row],[ppn_z]],tbl_Historique_Final[ppn_z],tbl_Historique_Final[date_modif])=Final_Sans_VGE[[#This Row],[date_modif]],
      "Ancien",
      "Modifié"),
   "Nouveau"))</f>
        <v>#VALUE!</v>
      </c>
      <c r="AD9068" s="1" t="str">
        <f>IFERROR(IF(Final_Sans_VGE[[#This Row],[ppn_z]]="","",IFERROR(
   IF(_xlfn.XLOOKUP(Final_Sans_VGE[[#This Row],[ppn_z]],tbl_Historique_Final[[#This Row],[ppn_z]],tbl_Historique_Final[[#This Row],[date_modif]])=Final_Sans_VGE[[#This Row],[date_modif]],
      "Ancien",
      "Modifié"),
   "Nouveau")),"")</f>
        <v/>
      </c>
    </row>
    <row r="9069" spans="24:30" x14ac:dyDescent="0.25">
      <c r="X9069" s="8" t="e">
        <f>IF(Final_Sans_VGE[[#This Row],[ppn_z]]="","",IFERROR(
   IF(_xlfn.XLOOKUP(Final_Sans_VGE[[#This Row],[ppn_z]],tbl_Historique_Final[ppn_z],tbl_Historique_Final[date_modif])=Final_Sans_VGE[[#This Row],[date_modif]],
      "Ancien",
      "Modifié"),
   "Nouveau"))</f>
        <v>#VALUE!</v>
      </c>
      <c r="AD9069" s="1" t="str">
        <f>IFERROR(IF(Final_Sans_VGE[[#This Row],[ppn_z]]="","",IFERROR(
   IF(_xlfn.XLOOKUP(Final_Sans_VGE[[#This Row],[ppn_z]],tbl_Historique_Final[[#This Row],[ppn_z]],tbl_Historique_Final[[#This Row],[date_modif]])=Final_Sans_VGE[[#This Row],[date_modif]],
      "Ancien",
      "Modifié"),
   "Nouveau")),"")</f>
        <v/>
      </c>
    </row>
    <row r="9070" spans="24:30" x14ac:dyDescent="0.25">
      <c r="X9070" s="8" t="e">
        <f>IF(Final_Sans_VGE[[#This Row],[ppn_z]]="","",IFERROR(
   IF(_xlfn.XLOOKUP(Final_Sans_VGE[[#This Row],[ppn_z]],tbl_Historique_Final[ppn_z],tbl_Historique_Final[date_modif])=Final_Sans_VGE[[#This Row],[date_modif]],
      "Ancien",
      "Modifié"),
   "Nouveau"))</f>
        <v>#VALUE!</v>
      </c>
      <c r="AD9070" s="1" t="str">
        <f>IFERROR(IF(Final_Sans_VGE[[#This Row],[ppn_z]]="","",IFERROR(
   IF(_xlfn.XLOOKUP(Final_Sans_VGE[[#This Row],[ppn_z]],tbl_Historique_Final[[#This Row],[ppn_z]],tbl_Historique_Final[[#This Row],[date_modif]])=Final_Sans_VGE[[#This Row],[date_modif]],
      "Ancien",
      "Modifié"),
   "Nouveau")),"")</f>
        <v/>
      </c>
    </row>
    <row r="9071" spans="24:30" x14ac:dyDescent="0.25">
      <c r="X9071" s="8" t="e">
        <f>IF(Final_Sans_VGE[[#This Row],[ppn_z]]="","",IFERROR(
   IF(_xlfn.XLOOKUP(Final_Sans_VGE[[#This Row],[ppn_z]],tbl_Historique_Final[ppn_z],tbl_Historique_Final[date_modif])=Final_Sans_VGE[[#This Row],[date_modif]],
      "Ancien",
      "Modifié"),
   "Nouveau"))</f>
        <v>#VALUE!</v>
      </c>
      <c r="AD9071" s="1" t="str">
        <f>IFERROR(IF(Final_Sans_VGE[[#This Row],[ppn_z]]="","",IFERROR(
   IF(_xlfn.XLOOKUP(Final_Sans_VGE[[#This Row],[ppn_z]],tbl_Historique_Final[[#This Row],[ppn_z]],tbl_Historique_Final[[#This Row],[date_modif]])=Final_Sans_VGE[[#This Row],[date_modif]],
      "Ancien",
      "Modifié"),
   "Nouveau")),"")</f>
        <v/>
      </c>
    </row>
    <row r="9072" spans="24:30" x14ac:dyDescent="0.25">
      <c r="X9072" s="8" t="e">
        <f>IF(Final_Sans_VGE[[#This Row],[ppn_z]]="","",IFERROR(
   IF(_xlfn.XLOOKUP(Final_Sans_VGE[[#This Row],[ppn_z]],tbl_Historique_Final[ppn_z],tbl_Historique_Final[date_modif])=Final_Sans_VGE[[#This Row],[date_modif]],
      "Ancien",
      "Modifié"),
   "Nouveau"))</f>
        <v>#VALUE!</v>
      </c>
      <c r="AD9072" s="1" t="str">
        <f>IFERROR(IF(Final_Sans_VGE[[#This Row],[ppn_z]]="","",IFERROR(
   IF(_xlfn.XLOOKUP(Final_Sans_VGE[[#This Row],[ppn_z]],tbl_Historique_Final[[#This Row],[ppn_z]],tbl_Historique_Final[[#This Row],[date_modif]])=Final_Sans_VGE[[#This Row],[date_modif]],
      "Ancien",
      "Modifié"),
   "Nouveau")),"")</f>
        <v/>
      </c>
    </row>
    <row r="9073" spans="24:30" x14ac:dyDescent="0.25">
      <c r="X9073" s="8" t="e">
        <f>IF(Final_Sans_VGE[[#This Row],[ppn_z]]="","",IFERROR(
   IF(_xlfn.XLOOKUP(Final_Sans_VGE[[#This Row],[ppn_z]],tbl_Historique_Final[ppn_z],tbl_Historique_Final[date_modif])=Final_Sans_VGE[[#This Row],[date_modif]],
      "Ancien",
      "Modifié"),
   "Nouveau"))</f>
        <v>#VALUE!</v>
      </c>
      <c r="AD9073" s="1" t="str">
        <f>IFERROR(IF(Final_Sans_VGE[[#This Row],[ppn_z]]="","",IFERROR(
   IF(_xlfn.XLOOKUP(Final_Sans_VGE[[#This Row],[ppn_z]],tbl_Historique_Final[[#This Row],[ppn_z]],tbl_Historique_Final[[#This Row],[date_modif]])=Final_Sans_VGE[[#This Row],[date_modif]],
      "Ancien",
      "Modifié"),
   "Nouveau")),"")</f>
        <v/>
      </c>
    </row>
    <row r="9074" spans="24:30" x14ac:dyDescent="0.25">
      <c r="X9074" s="8" t="e">
        <f>IF(Final_Sans_VGE[[#This Row],[ppn_z]]="","",IFERROR(
   IF(_xlfn.XLOOKUP(Final_Sans_VGE[[#This Row],[ppn_z]],tbl_Historique_Final[ppn_z],tbl_Historique_Final[date_modif])=Final_Sans_VGE[[#This Row],[date_modif]],
      "Ancien",
      "Modifié"),
   "Nouveau"))</f>
        <v>#VALUE!</v>
      </c>
      <c r="AD9074" s="1" t="str">
        <f>IFERROR(IF(Final_Sans_VGE[[#This Row],[ppn_z]]="","",IFERROR(
   IF(_xlfn.XLOOKUP(Final_Sans_VGE[[#This Row],[ppn_z]],tbl_Historique_Final[[#This Row],[ppn_z]],tbl_Historique_Final[[#This Row],[date_modif]])=Final_Sans_VGE[[#This Row],[date_modif]],
      "Ancien",
      "Modifié"),
   "Nouveau")),"")</f>
        <v/>
      </c>
    </row>
    <row r="9075" spans="24:30" x14ac:dyDescent="0.25">
      <c r="X9075" s="8" t="e">
        <f>IF(Final_Sans_VGE[[#This Row],[ppn_z]]="","",IFERROR(
   IF(_xlfn.XLOOKUP(Final_Sans_VGE[[#This Row],[ppn_z]],tbl_Historique_Final[ppn_z],tbl_Historique_Final[date_modif])=Final_Sans_VGE[[#This Row],[date_modif]],
      "Ancien",
      "Modifié"),
   "Nouveau"))</f>
        <v>#VALUE!</v>
      </c>
      <c r="AD9075" s="1" t="str">
        <f>IFERROR(IF(Final_Sans_VGE[[#This Row],[ppn_z]]="","",IFERROR(
   IF(_xlfn.XLOOKUP(Final_Sans_VGE[[#This Row],[ppn_z]],tbl_Historique_Final[[#This Row],[ppn_z]],tbl_Historique_Final[[#This Row],[date_modif]])=Final_Sans_VGE[[#This Row],[date_modif]],
      "Ancien",
      "Modifié"),
   "Nouveau")),"")</f>
        <v/>
      </c>
    </row>
    <row r="9076" spans="24:30" x14ac:dyDescent="0.25">
      <c r="X9076" s="8" t="e">
        <f>IF(Final_Sans_VGE[[#This Row],[ppn_z]]="","",IFERROR(
   IF(_xlfn.XLOOKUP(Final_Sans_VGE[[#This Row],[ppn_z]],tbl_Historique_Final[ppn_z],tbl_Historique_Final[date_modif])=Final_Sans_VGE[[#This Row],[date_modif]],
      "Ancien",
      "Modifié"),
   "Nouveau"))</f>
        <v>#VALUE!</v>
      </c>
      <c r="AD9076" s="1" t="str">
        <f>IFERROR(IF(Final_Sans_VGE[[#This Row],[ppn_z]]="","",IFERROR(
   IF(_xlfn.XLOOKUP(Final_Sans_VGE[[#This Row],[ppn_z]],tbl_Historique_Final[[#This Row],[ppn_z]],tbl_Historique_Final[[#This Row],[date_modif]])=Final_Sans_VGE[[#This Row],[date_modif]],
      "Ancien",
      "Modifié"),
   "Nouveau")),"")</f>
        <v/>
      </c>
    </row>
    <row r="9077" spans="24:30" x14ac:dyDescent="0.25">
      <c r="X9077" s="8" t="e">
        <f>IF(Final_Sans_VGE[[#This Row],[ppn_z]]="","",IFERROR(
   IF(_xlfn.XLOOKUP(Final_Sans_VGE[[#This Row],[ppn_z]],tbl_Historique_Final[ppn_z],tbl_Historique_Final[date_modif])=Final_Sans_VGE[[#This Row],[date_modif]],
      "Ancien",
      "Modifié"),
   "Nouveau"))</f>
        <v>#VALUE!</v>
      </c>
      <c r="AD9077" s="1" t="str">
        <f>IFERROR(IF(Final_Sans_VGE[[#This Row],[ppn_z]]="","",IFERROR(
   IF(_xlfn.XLOOKUP(Final_Sans_VGE[[#This Row],[ppn_z]],tbl_Historique_Final[[#This Row],[ppn_z]],tbl_Historique_Final[[#This Row],[date_modif]])=Final_Sans_VGE[[#This Row],[date_modif]],
      "Ancien",
      "Modifié"),
   "Nouveau")),"")</f>
        <v/>
      </c>
    </row>
    <row r="9078" spans="24:30" x14ac:dyDescent="0.25">
      <c r="X9078" s="8" t="e">
        <f>IF(Final_Sans_VGE[[#This Row],[ppn_z]]="","",IFERROR(
   IF(_xlfn.XLOOKUP(Final_Sans_VGE[[#This Row],[ppn_z]],tbl_Historique_Final[ppn_z],tbl_Historique_Final[date_modif])=Final_Sans_VGE[[#This Row],[date_modif]],
      "Ancien",
      "Modifié"),
   "Nouveau"))</f>
        <v>#VALUE!</v>
      </c>
      <c r="AD9078" s="1" t="str">
        <f>IFERROR(IF(Final_Sans_VGE[[#This Row],[ppn_z]]="","",IFERROR(
   IF(_xlfn.XLOOKUP(Final_Sans_VGE[[#This Row],[ppn_z]],tbl_Historique_Final[[#This Row],[ppn_z]],tbl_Historique_Final[[#This Row],[date_modif]])=Final_Sans_VGE[[#This Row],[date_modif]],
      "Ancien",
      "Modifié"),
   "Nouveau")),"")</f>
        <v/>
      </c>
    </row>
    <row r="9079" spans="24:30" x14ac:dyDescent="0.25">
      <c r="X9079" s="8" t="e">
        <f>IF(Final_Sans_VGE[[#This Row],[ppn_z]]="","",IFERROR(
   IF(_xlfn.XLOOKUP(Final_Sans_VGE[[#This Row],[ppn_z]],tbl_Historique_Final[ppn_z],tbl_Historique_Final[date_modif])=Final_Sans_VGE[[#This Row],[date_modif]],
      "Ancien",
      "Modifié"),
   "Nouveau"))</f>
        <v>#VALUE!</v>
      </c>
      <c r="AD9079" s="1" t="str">
        <f>IFERROR(IF(Final_Sans_VGE[[#This Row],[ppn_z]]="","",IFERROR(
   IF(_xlfn.XLOOKUP(Final_Sans_VGE[[#This Row],[ppn_z]],tbl_Historique_Final[[#This Row],[ppn_z]],tbl_Historique_Final[[#This Row],[date_modif]])=Final_Sans_VGE[[#This Row],[date_modif]],
      "Ancien",
      "Modifié"),
   "Nouveau")),"")</f>
        <v/>
      </c>
    </row>
    <row r="9080" spans="24:30" x14ac:dyDescent="0.25">
      <c r="X9080" s="8" t="e">
        <f>IF(Final_Sans_VGE[[#This Row],[ppn_z]]="","",IFERROR(
   IF(_xlfn.XLOOKUP(Final_Sans_VGE[[#This Row],[ppn_z]],tbl_Historique_Final[ppn_z],tbl_Historique_Final[date_modif])=Final_Sans_VGE[[#This Row],[date_modif]],
      "Ancien",
      "Modifié"),
   "Nouveau"))</f>
        <v>#VALUE!</v>
      </c>
      <c r="AD9080" s="1" t="str">
        <f>IFERROR(IF(Final_Sans_VGE[[#This Row],[ppn_z]]="","",IFERROR(
   IF(_xlfn.XLOOKUP(Final_Sans_VGE[[#This Row],[ppn_z]],tbl_Historique_Final[[#This Row],[ppn_z]],tbl_Historique_Final[[#This Row],[date_modif]])=Final_Sans_VGE[[#This Row],[date_modif]],
      "Ancien",
      "Modifié"),
   "Nouveau")),"")</f>
        <v/>
      </c>
    </row>
    <row r="9081" spans="24:30" x14ac:dyDescent="0.25">
      <c r="X9081" s="8" t="e">
        <f>IF(Final_Sans_VGE[[#This Row],[ppn_z]]="","",IFERROR(
   IF(_xlfn.XLOOKUP(Final_Sans_VGE[[#This Row],[ppn_z]],tbl_Historique_Final[ppn_z],tbl_Historique_Final[date_modif])=Final_Sans_VGE[[#This Row],[date_modif]],
      "Ancien",
      "Modifié"),
   "Nouveau"))</f>
        <v>#VALUE!</v>
      </c>
      <c r="AD9081" s="1" t="str">
        <f>IFERROR(IF(Final_Sans_VGE[[#This Row],[ppn_z]]="","",IFERROR(
   IF(_xlfn.XLOOKUP(Final_Sans_VGE[[#This Row],[ppn_z]],tbl_Historique_Final[[#This Row],[ppn_z]],tbl_Historique_Final[[#This Row],[date_modif]])=Final_Sans_VGE[[#This Row],[date_modif]],
      "Ancien",
      "Modifié"),
   "Nouveau")),"")</f>
        <v/>
      </c>
    </row>
    <row r="9082" spans="24:30" x14ac:dyDescent="0.25">
      <c r="X9082" s="8" t="e">
        <f>IF(Final_Sans_VGE[[#This Row],[ppn_z]]="","",IFERROR(
   IF(_xlfn.XLOOKUP(Final_Sans_VGE[[#This Row],[ppn_z]],tbl_Historique_Final[ppn_z],tbl_Historique_Final[date_modif])=Final_Sans_VGE[[#This Row],[date_modif]],
      "Ancien",
      "Modifié"),
   "Nouveau"))</f>
        <v>#VALUE!</v>
      </c>
      <c r="AD9082" s="1" t="str">
        <f>IFERROR(IF(Final_Sans_VGE[[#This Row],[ppn_z]]="","",IFERROR(
   IF(_xlfn.XLOOKUP(Final_Sans_VGE[[#This Row],[ppn_z]],tbl_Historique_Final[[#This Row],[ppn_z]],tbl_Historique_Final[[#This Row],[date_modif]])=Final_Sans_VGE[[#This Row],[date_modif]],
      "Ancien",
      "Modifié"),
   "Nouveau")),"")</f>
        <v/>
      </c>
    </row>
    <row r="9083" spans="24:30" x14ac:dyDescent="0.25">
      <c r="X9083" s="8" t="e">
        <f>IF(Final_Sans_VGE[[#This Row],[ppn_z]]="","",IFERROR(
   IF(_xlfn.XLOOKUP(Final_Sans_VGE[[#This Row],[ppn_z]],tbl_Historique_Final[ppn_z],tbl_Historique_Final[date_modif])=Final_Sans_VGE[[#This Row],[date_modif]],
      "Ancien",
      "Modifié"),
   "Nouveau"))</f>
        <v>#VALUE!</v>
      </c>
      <c r="AD9083" s="1" t="str">
        <f>IFERROR(IF(Final_Sans_VGE[[#This Row],[ppn_z]]="","",IFERROR(
   IF(_xlfn.XLOOKUP(Final_Sans_VGE[[#This Row],[ppn_z]],tbl_Historique_Final[[#This Row],[ppn_z]],tbl_Historique_Final[[#This Row],[date_modif]])=Final_Sans_VGE[[#This Row],[date_modif]],
      "Ancien",
      "Modifié"),
   "Nouveau")),"")</f>
        <v/>
      </c>
    </row>
    <row r="9084" spans="24:30" x14ac:dyDescent="0.25">
      <c r="X9084" s="8" t="e">
        <f>IF(Final_Sans_VGE[[#This Row],[ppn_z]]="","",IFERROR(
   IF(_xlfn.XLOOKUP(Final_Sans_VGE[[#This Row],[ppn_z]],tbl_Historique_Final[ppn_z],tbl_Historique_Final[date_modif])=Final_Sans_VGE[[#This Row],[date_modif]],
      "Ancien",
      "Modifié"),
   "Nouveau"))</f>
        <v>#VALUE!</v>
      </c>
      <c r="AD9084" s="1" t="str">
        <f>IFERROR(IF(Final_Sans_VGE[[#This Row],[ppn_z]]="","",IFERROR(
   IF(_xlfn.XLOOKUP(Final_Sans_VGE[[#This Row],[ppn_z]],tbl_Historique_Final[[#This Row],[ppn_z]],tbl_Historique_Final[[#This Row],[date_modif]])=Final_Sans_VGE[[#This Row],[date_modif]],
      "Ancien",
      "Modifié"),
   "Nouveau")),"")</f>
        <v/>
      </c>
    </row>
    <row r="9085" spans="24:30" x14ac:dyDescent="0.25">
      <c r="X9085" s="8" t="e">
        <f>IF(Final_Sans_VGE[[#This Row],[ppn_z]]="","",IFERROR(
   IF(_xlfn.XLOOKUP(Final_Sans_VGE[[#This Row],[ppn_z]],tbl_Historique_Final[ppn_z],tbl_Historique_Final[date_modif])=Final_Sans_VGE[[#This Row],[date_modif]],
      "Ancien",
      "Modifié"),
   "Nouveau"))</f>
        <v>#VALUE!</v>
      </c>
      <c r="AD9085" s="1" t="str">
        <f>IFERROR(IF(Final_Sans_VGE[[#This Row],[ppn_z]]="","",IFERROR(
   IF(_xlfn.XLOOKUP(Final_Sans_VGE[[#This Row],[ppn_z]],tbl_Historique_Final[[#This Row],[ppn_z]],tbl_Historique_Final[[#This Row],[date_modif]])=Final_Sans_VGE[[#This Row],[date_modif]],
      "Ancien",
      "Modifié"),
   "Nouveau")),"")</f>
        <v/>
      </c>
    </row>
    <row r="9086" spans="24:30" x14ac:dyDescent="0.25">
      <c r="X9086" s="8" t="e">
        <f>IF(Final_Sans_VGE[[#This Row],[ppn_z]]="","",IFERROR(
   IF(_xlfn.XLOOKUP(Final_Sans_VGE[[#This Row],[ppn_z]],tbl_Historique_Final[ppn_z],tbl_Historique_Final[date_modif])=Final_Sans_VGE[[#This Row],[date_modif]],
      "Ancien",
      "Modifié"),
   "Nouveau"))</f>
        <v>#VALUE!</v>
      </c>
      <c r="AD9086" s="1" t="str">
        <f>IFERROR(IF(Final_Sans_VGE[[#This Row],[ppn_z]]="","",IFERROR(
   IF(_xlfn.XLOOKUP(Final_Sans_VGE[[#This Row],[ppn_z]],tbl_Historique_Final[[#This Row],[ppn_z]],tbl_Historique_Final[[#This Row],[date_modif]])=Final_Sans_VGE[[#This Row],[date_modif]],
      "Ancien",
      "Modifié"),
   "Nouveau")),"")</f>
        <v/>
      </c>
    </row>
    <row r="9087" spans="24:30" x14ac:dyDescent="0.25">
      <c r="X9087" s="8" t="e">
        <f>IF(Final_Sans_VGE[[#This Row],[ppn_z]]="","",IFERROR(
   IF(_xlfn.XLOOKUP(Final_Sans_VGE[[#This Row],[ppn_z]],tbl_Historique_Final[ppn_z],tbl_Historique_Final[date_modif])=Final_Sans_VGE[[#This Row],[date_modif]],
      "Ancien",
      "Modifié"),
   "Nouveau"))</f>
        <v>#VALUE!</v>
      </c>
      <c r="AD9087" s="1" t="str">
        <f>IFERROR(IF(Final_Sans_VGE[[#This Row],[ppn_z]]="","",IFERROR(
   IF(_xlfn.XLOOKUP(Final_Sans_VGE[[#This Row],[ppn_z]],tbl_Historique_Final[[#This Row],[ppn_z]],tbl_Historique_Final[[#This Row],[date_modif]])=Final_Sans_VGE[[#This Row],[date_modif]],
      "Ancien",
      "Modifié"),
   "Nouveau")),"")</f>
        <v/>
      </c>
    </row>
    <row r="9088" spans="24:30" x14ac:dyDescent="0.25">
      <c r="X9088" s="8" t="e">
        <f>IF(Final_Sans_VGE[[#This Row],[ppn_z]]="","",IFERROR(
   IF(_xlfn.XLOOKUP(Final_Sans_VGE[[#This Row],[ppn_z]],tbl_Historique_Final[ppn_z],tbl_Historique_Final[date_modif])=Final_Sans_VGE[[#This Row],[date_modif]],
      "Ancien",
      "Modifié"),
   "Nouveau"))</f>
        <v>#VALUE!</v>
      </c>
      <c r="AD9088" s="1" t="str">
        <f>IFERROR(IF(Final_Sans_VGE[[#This Row],[ppn_z]]="","",IFERROR(
   IF(_xlfn.XLOOKUP(Final_Sans_VGE[[#This Row],[ppn_z]],tbl_Historique_Final[[#This Row],[ppn_z]],tbl_Historique_Final[[#This Row],[date_modif]])=Final_Sans_VGE[[#This Row],[date_modif]],
      "Ancien",
      "Modifié"),
   "Nouveau")),"")</f>
        <v/>
      </c>
    </row>
    <row r="9089" spans="24:30" x14ac:dyDescent="0.25">
      <c r="X9089" s="8" t="e">
        <f>IF(Final_Sans_VGE[[#This Row],[ppn_z]]="","",IFERROR(
   IF(_xlfn.XLOOKUP(Final_Sans_VGE[[#This Row],[ppn_z]],tbl_Historique_Final[ppn_z],tbl_Historique_Final[date_modif])=Final_Sans_VGE[[#This Row],[date_modif]],
      "Ancien",
      "Modifié"),
   "Nouveau"))</f>
        <v>#VALUE!</v>
      </c>
      <c r="AD9089" s="1" t="str">
        <f>IFERROR(IF(Final_Sans_VGE[[#This Row],[ppn_z]]="","",IFERROR(
   IF(_xlfn.XLOOKUP(Final_Sans_VGE[[#This Row],[ppn_z]],tbl_Historique_Final[[#This Row],[ppn_z]],tbl_Historique_Final[[#This Row],[date_modif]])=Final_Sans_VGE[[#This Row],[date_modif]],
      "Ancien",
      "Modifié"),
   "Nouveau")),"")</f>
        <v/>
      </c>
    </row>
    <row r="9090" spans="24:30" x14ac:dyDescent="0.25">
      <c r="X9090" s="8" t="e">
        <f>IF(Final_Sans_VGE[[#This Row],[ppn_z]]="","",IFERROR(
   IF(_xlfn.XLOOKUP(Final_Sans_VGE[[#This Row],[ppn_z]],tbl_Historique_Final[ppn_z],tbl_Historique_Final[date_modif])=Final_Sans_VGE[[#This Row],[date_modif]],
      "Ancien",
      "Modifié"),
   "Nouveau"))</f>
        <v>#VALUE!</v>
      </c>
      <c r="AD9090" s="1" t="str">
        <f>IFERROR(IF(Final_Sans_VGE[[#This Row],[ppn_z]]="","",IFERROR(
   IF(_xlfn.XLOOKUP(Final_Sans_VGE[[#This Row],[ppn_z]],tbl_Historique_Final[[#This Row],[ppn_z]],tbl_Historique_Final[[#This Row],[date_modif]])=Final_Sans_VGE[[#This Row],[date_modif]],
      "Ancien",
      "Modifié"),
   "Nouveau")),"")</f>
        <v/>
      </c>
    </row>
    <row r="9091" spans="24:30" x14ac:dyDescent="0.25">
      <c r="X9091" s="8" t="e">
        <f>IF(Final_Sans_VGE[[#This Row],[ppn_z]]="","",IFERROR(
   IF(_xlfn.XLOOKUP(Final_Sans_VGE[[#This Row],[ppn_z]],tbl_Historique_Final[ppn_z],tbl_Historique_Final[date_modif])=Final_Sans_VGE[[#This Row],[date_modif]],
      "Ancien",
      "Modifié"),
   "Nouveau"))</f>
        <v>#VALUE!</v>
      </c>
      <c r="AD9091" s="1" t="str">
        <f>IFERROR(IF(Final_Sans_VGE[[#This Row],[ppn_z]]="","",IFERROR(
   IF(_xlfn.XLOOKUP(Final_Sans_VGE[[#This Row],[ppn_z]],tbl_Historique_Final[[#This Row],[ppn_z]],tbl_Historique_Final[[#This Row],[date_modif]])=Final_Sans_VGE[[#This Row],[date_modif]],
      "Ancien",
      "Modifié"),
   "Nouveau")),"")</f>
        <v/>
      </c>
    </row>
    <row r="9092" spans="24:30" x14ac:dyDescent="0.25">
      <c r="X9092" s="8" t="e">
        <f>IF(Final_Sans_VGE[[#This Row],[ppn_z]]="","",IFERROR(
   IF(_xlfn.XLOOKUP(Final_Sans_VGE[[#This Row],[ppn_z]],tbl_Historique_Final[ppn_z],tbl_Historique_Final[date_modif])=Final_Sans_VGE[[#This Row],[date_modif]],
      "Ancien",
      "Modifié"),
   "Nouveau"))</f>
        <v>#VALUE!</v>
      </c>
      <c r="AD9092" s="1" t="str">
        <f>IFERROR(IF(Final_Sans_VGE[[#This Row],[ppn_z]]="","",IFERROR(
   IF(_xlfn.XLOOKUP(Final_Sans_VGE[[#This Row],[ppn_z]],tbl_Historique_Final[[#This Row],[ppn_z]],tbl_Historique_Final[[#This Row],[date_modif]])=Final_Sans_VGE[[#This Row],[date_modif]],
      "Ancien",
      "Modifié"),
   "Nouveau")),"")</f>
        <v/>
      </c>
    </row>
    <row r="9093" spans="24:30" x14ac:dyDescent="0.25">
      <c r="X9093" s="8" t="e">
        <f>IF(Final_Sans_VGE[[#This Row],[ppn_z]]="","",IFERROR(
   IF(_xlfn.XLOOKUP(Final_Sans_VGE[[#This Row],[ppn_z]],tbl_Historique_Final[ppn_z],tbl_Historique_Final[date_modif])=Final_Sans_VGE[[#This Row],[date_modif]],
      "Ancien",
      "Modifié"),
   "Nouveau"))</f>
        <v>#VALUE!</v>
      </c>
      <c r="AD9093" s="1" t="str">
        <f>IFERROR(IF(Final_Sans_VGE[[#This Row],[ppn_z]]="","",IFERROR(
   IF(_xlfn.XLOOKUP(Final_Sans_VGE[[#This Row],[ppn_z]],tbl_Historique_Final[[#This Row],[ppn_z]],tbl_Historique_Final[[#This Row],[date_modif]])=Final_Sans_VGE[[#This Row],[date_modif]],
      "Ancien",
      "Modifié"),
   "Nouveau")),"")</f>
        <v/>
      </c>
    </row>
    <row r="9094" spans="24:30" x14ac:dyDescent="0.25">
      <c r="X9094" s="8" t="e">
        <f>IF(Final_Sans_VGE[[#This Row],[ppn_z]]="","",IFERROR(
   IF(_xlfn.XLOOKUP(Final_Sans_VGE[[#This Row],[ppn_z]],tbl_Historique_Final[ppn_z],tbl_Historique_Final[date_modif])=Final_Sans_VGE[[#This Row],[date_modif]],
      "Ancien",
      "Modifié"),
   "Nouveau"))</f>
        <v>#VALUE!</v>
      </c>
      <c r="AD9094" s="1" t="str">
        <f>IFERROR(IF(Final_Sans_VGE[[#This Row],[ppn_z]]="","",IFERROR(
   IF(_xlfn.XLOOKUP(Final_Sans_VGE[[#This Row],[ppn_z]],tbl_Historique_Final[[#This Row],[ppn_z]],tbl_Historique_Final[[#This Row],[date_modif]])=Final_Sans_VGE[[#This Row],[date_modif]],
      "Ancien",
      "Modifié"),
   "Nouveau")),"")</f>
        <v/>
      </c>
    </row>
    <row r="9095" spans="24:30" x14ac:dyDescent="0.25">
      <c r="X9095" s="8" t="e">
        <f>IF(Final_Sans_VGE[[#This Row],[ppn_z]]="","",IFERROR(
   IF(_xlfn.XLOOKUP(Final_Sans_VGE[[#This Row],[ppn_z]],tbl_Historique_Final[ppn_z],tbl_Historique_Final[date_modif])=Final_Sans_VGE[[#This Row],[date_modif]],
      "Ancien",
      "Modifié"),
   "Nouveau"))</f>
        <v>#VALUE!</v>
      </c>
      <c r="AD9095" s="1" t="str">
        <f>IFERROR(IF(Final_Sans_VGE[[#This Row],[ppn_z]]="","",IFERROR(
   IF(_xlfn.XLOOKUP(Final_Sans_VGE[[#This Row],[ppn_z]],tbl_Historique_Final[[#This Row],[ppn_z]],tbl_Historique_Final[[#This Row],[date_modif]])=Final_Sans_VGE[[#This Row],[date_modif]],
      "Ancien",
      "Modifié"),
   "Nouveau")),"")</f>
        <v/>
      </c>
    </row>
    <row r="9096" spans="24:30" x14ac:dyDescent="0.25">
      <c r="X9096" s="8" t="e">
        <f>IF(Final_Sans_VGE[[#This Row],[ppn_z]]="","",IFERROR(
   IF(_xlfn.XLOOKUP(Final_Sans_VGE[[#This Row],[ppn_z]],tbl_Historique_Final[ppn_z],tbl_Historique_Final[date_modif])=Final_Sans_VGE[[#This Row],[date_modif]],
      "Ancien",
      "Modifié"),
   "Nouveau"))</f>
        <v>#VALUE!</v>
      </c>
      <c r="AD9096" s="1" t="str">
        <f>IFERROR(IF(Final_Sans_VGE[[#This Row],[ppn_z]]="","",IFERROR(
   IF(_xlfn.XLOOKUP(Final_Sans_VGE[[#This Row],[ppn_z]],tbl_Historique_Final[[#This Row],[ppn_z]],tbl_Historique_Final[[#This Row],[date_modif]])=Final_Sans_VGE[[#This Row],[date_modif]],
      "Ancien",
      "Modifié"),
   "Nouveau")),"")</f>
        <v/>
      </c>
    </row>
    <row r="9097" spans="24:30" x14ac:dyDescent="0.25">
      <c r="X9097" s="8" t="e">
        <f>IF(Final_Sans_VGE[[#This Row],[ppn_z]]="","",IFERROR(
   IF(_xlfn.XLOOKUP(Final_Sans_VGE[[#This Row],[ppn_z]],tbl_Historique_Final[ppn_z],tbl_Historique_Final[date_modif])=Final_Sans_VGE[[#This Row],[date_modif]],
      "Ancien",
      "Modifié"),
   "Nouveau"))</f>
        <v>#VALUE!</v>
      </c>
      <c r="AD9097" s="1" t="str">
        <f>IFERROR(IF(Final_Sans_VGE[[#This Row],[ppn_z]]="","",IFERROR(
   IF(_xlfn.XLOOKUP(Final_Sans_VGE[[#This Row],[ppn_z]],tbl_Historique_Final[[#This Row],[ppn_z]],tbl_Historique_Final[[#This Row],[date_modif]])=Final_Sans_VGE[[#This Row],[date_modif]],
      "Ancien",
      "Modifié"),
   "Nouveau")),"")</f>
        <v/>
      </c>
    </row>
    <row r="9098" spans="24:30" x14ac:dyDescent="0.25">
      <c r="X9098" s="8" t="e">
        <f>IF(Final_Sans_VGE[[#This Row],[ppn_z]]="","",IFERROR(
   IF(_xlfn.XLOOKUP(Final_Sans_VGE[[#This Row],[ppn_z]],tbl_Historique_Final[ppn_z],tbl_Historique_Final[date_modif])=Final_Sans_VGE[[#This Row],[date_modif]],
      "Ancien",
      "Modifié"),
   "Nouveau"))</f>
        <v>#VALUE!</v>
      </c>
      <c r="AD9098" s="1" t="str">
        <f>IFERROR(IF(Final_Sans_VGE[[#This Row],[ppn_z]]="","",IFERROR(
   IF(_xlfn.XLOOKUP(Final_Sans_VGE[[#This Row],[ppn_z]],tbl_Historique_Final[[#This Row],[ppn_z]],tbl_Historique_Final[[#This Row],[date_modif]])=Final_Sans_VGE[[#This Row],[date_modif]],
      "Ancien",
      "Modifié"),
   "Nouveau")),"")</f>
        <v/>
      </c>
    </row>
    <row r="9099" spans="24:30" x14ac:dyDescent="0.25">
      <c r="X9099" s="8" t="e">
        <f>IF(Final_Sans_VGE[[#This Row],[ppn_z]]="","",IFERROR(
   IF(_xlfn.XLOOKUP(Final_Sans_VGE[[#This Row],[ppn_z]],tbl_Historique_Final[ppn_z],tbl_Historique_Final[date_modif])=Final_Sans_VGE[[#This Row],[date_modif]],
      "Ancien",
      "Modifié"),
   "Nouveau"))</f>
        <v>#VALUE!</v>
      </c>
      <c r="AD9099" s="1" t="str">
        <f>IFERROR(IF(Final_Sans_VGE[[#This Row],[ppn_z]]="","",IFERROR(
   IF(_xlfn.XLOOKUP(Final_Sans_VGE[[#This Row],[ppn_z]],tbl_Historique_Final[[#This Row],[ppn_z]],tbl_Historique_Final[[#This Row],[date_modif]])=Final_Sans_VGE[[#This Row],[date_modif]],
      "Ancien",
      "Modifié"),
   "Nouveau")),"")</f>
        <v/>
      </c>
    </row>
    <row r="9100" spans="24:30" x14ac:dyDescent="0.25">
      <c r="X9100" s="8" t="e">
        <f>IF(Final_Sans_VGE[[#This Row],[ppn_z]]="","",IFERROR(
   IF(_xlfn.XLOOKUP(Final_Sans_VGE[[#This Row],[ppn_z]],tbl_Historique_Final[ppn_z],tbl_Historique_Final[date_modif])=Final_Sans_VGE[[#This Row],[date_modif]],
      "Ancien",
      "Modifié"),
   "Nouveau"))</f>
        <v>#VALUE!</v>
      </c>
      <c r="AD9100" s="1" t="str">
        <f>IFERROR(IF(Final_Sans_VGE[[#This Row],[ppn_z]]="","",IFERROR(
   IF(_xlfn.XLOOKUP(Final_Sans_VGE[[#This Row],[ppn_z]],tbl_Historique_Final[[#This Row],[ppn_z]],tbl_Historique_Final[[#This Row],[date_modif]])=Final_Sans_VGE[[#This Row],[date_modif]],
      "Ancien",
      "Modifié"),
   "Nouveau")),"")</f>
        <v/>
      </c>
    </row>
    <row r="9101" spans="24:30" x14ac:dyDescent="0.25">
      <c r="X9101" s="8" t="e">
        <f>IF(Final_Sans_VGE[[#This Row],[ppn_z]]="","",IFERROR(
   IF(_xlfn.XLOOKUP(Final_Sans_VGE[[#This Row],[ppn_z]],tbl_Historique_Final[ppn_z],tbl_Historique_Final[date_modif])=Final_Sans_VGE[[#This Row],[date_modif]],
      "Ancien",
      "Modifié"),
   "Nouveau"))</f>
        <v>#VALUE!</v>
      </c>
      <c r="AD9101" s="1" t="str">
        <f>IFERROR(IF(Final_Sans_VGE[[#This Row],[ppn_z]]="","",IFERROR(
   IF(_xlfn.XLOOKUP(Final_Sans_VGE[[#This Row],[ppn_z]],tbl_Historique_Final[[#This Row],[ppn_z]],tbl_Historique_Final[[#This Row],[date_modif]])=Final_Sans_VGE[[#This Row],[date_modif]],
      "Ancien",
      "Modifié"),
   "Nouveau")),"")</f>
        <v/>
      </c>
    </row>
    <row r="9102" spans="24:30" x14ac:dyDescent="0.25">
      <c r="X9102" s="8" t="e">
        <f>IF(Final_Sans_VGE[[#This Row],[ppn_z]]="","",IFERROR(
   IF(_xlfn.XLOOKUP(Final_Sans_VGE[[#This Row],[ppn_z]],tbl_Historique_Final[ppn_z],tbl_Historique_Final[date_modif])=Final_Sans_VGE[[#This Row],[date_modif]],
      "Ancien",
      "Modifié"),
   "Nouveau"))</f>
        <v>#VALUE!</v>
      </c>
      <c r="AD9102" s="1" t="str">
        <f>IFERROR(IF(Final_Sans_VGE[[#This Row],[ppn_z]]="","",IFERROR(
   IF(_xlfn.XLOOKUP(Final_Sans_VGE[[#This Row],[ppn_z]],tbl_Historique_Final[[#This Row],[ppn_z]],tbl_Historique_Final[[#This Row],[date_modif]])=Final_Sans_VGE[[#This Row],[date_modif]],
      "Ancien",
      "Modifié"),
   "Nouveau")),"")</f>
        <v/>
      </c>
    </row>
    <row r="9103" spans="24:30" x14ac:dyDescent="0.25">
      <c r="X9103" s="8" t="e">
        <f>IF(Final_Sans_VGE[[#This Row],[ppn_z]]="","",IFERROR(
   IF(_xlfn.XLOOKUP(Final_Sans_VGE[[#This Row],[ppn_z]],tbl_Historique_Final[ppn_z],tbl_Historique_Final[date_modif])=Final_Sans_VGE[[#This Row],[date_modif]],
      "Ancien",
      "Modifié"),
   "Nouveau"))</f>
        <v>#VALUE!</v>
      </c>
      <c r="AD9103" s="1" t="str">
        <f>IFERROR(IF(Final_Sans_VGE[[#This Row],[ppn_z]]="","",IFERROR(
   IF(_xlfn.XLOOKUP(Final_Sans_VGE[[#This Row],[ppn_z]],tbl_Historique_Final[[#This Row],[ppn_z]],tbl_Historique_Final[[#This Row],[date_modif]])=Final_Sans_VGE[[#This Row],[date_modif]],
      "Ancien",
      "Modifié"),
   "Nouveau")),"")</f>
        <v/>
      </c>
    </row>
    <row r="9104" spans="24:30" x14ac:dyDescent="0.25">
      <c r="X9104" s="8" t="e">
        <f>IF(Final_Sans_VGE[[#This Row],[ppn_z]]="","",IFERROR(
   IF(_xlfn.XLOOKUP(Final_Sans_VGE[[#This Row],[ppn_z]],tbl_Historique_Final[ppn_z],tbl_Historique_Final[date_modif])=Final_Sans_VGE[[#This Row],[date_modif]],
      "Ancien",
      "Modifié"),
   "Nouveau"))</f>
        <v>#VALUE!</v>
      </c>
      <c r="AD9104" s="1" t="str">
        <f>IFERROR(IF(Final_Sans_VGE[[#This Row],[ppn_z]]="","",IFERROR(
   IF(_xlfn.XLOOKUP(Final_Sans_VGE[[#This Row],[ppn_z]],tbl_Historique_Final[[#This Row],[ppn_z]],tbl_Historique_Final[[#This Row],[date_modif]])=Final_Sans_VGE[[#This Row],[date_modif]],
      "Ancien",
      "Modifié"),
   "Nouveau")),"")</f>
        <v/>
      </c>
    </row>
    <row r="9105" spans="24:30" x14ac:dyDescent="0.25">
      <c r="X9105" s="8" t="e">
        <f>IF(Final_Sans_VGE[[#This Row],[ppn_z]]="","",IFERROR(
   IF(_xlfn.XLOOKUP(Final_Sans_VGE[[#This Row],[ppn_z]],tbl_Historique_Final[ppn_z],tbl_Historique_Final[date_modif])=Final_Sans_VGE[[#This Row],[date_modif]],
      "Ancien",
      "Modifié"),
   "Nouveau"))</f>
        <v>#VALUE!</v>
      </c>
      <c r="AD9105" s="1" t="str">
        <f>IFERROR(IF(Final_Sans_VGE[[#This Row],[ppn_z]]="","",IFERROR(
   IF(_xlfn.XLOOKUP(Final_Sans_VGE[[#This Row],[ppn_z]],tbl_Historique_Final[[#This Row],[ppn_z]],tbl_Historique_Final[[#This Row],[date_modif]])=Final_Sans_VGE[[#This Row],[date_modif]],
      "Ancien",
      "Modifié"),
   "Nouveau")),"")</f>
        <v/>
      </c>
    </row>
    <row r="9106" spans="24:30" x14ac:dyDescent="0.25">
      <c r="X9106" s="8" t="e">
        <f>IF(Final_Sans_VGE[[#This Row],[ppn_z]]="","",IFERROR(
   IF(_xlfn.XLOOKUP(Final_Sans_VGE[[#This Row],[ppn_z]],tbl_Historique_Final[ppn_z],tbl_Historique_Final[date_modif])=Final_Sans_VGE[[#This Row],[date_modif]],
      "Ancien",
      "Modifié"),
   "Nouveau"))</f>
        <v>#VALUE!</v>
      </c>
      <c r="AD9106" s="1" t="str">
        <f>IFERROR(IF(Final_Sans_VGE[[#This Row],[ppn_z]]="","",IFERROR(
   IF(_xlfn.XLOOKUP(Final_Sans_VGE[[#This Row],[ppn_z]],tbl_Historique_Final[[#This Row],[ppn_z]],tbl_Historique_Final[[#This Row],[date_modif]])=Final_Sans_VGE[[#This Row],[date_modif]],
      "Ancien",
      "Modifié"),
   "Nouveau")),"")</f>
        <v/>
      </c>
    </row>
    <row r="9107" spans="24:30" x14ac:dyDescent="0.25">
      <c r="X9107" s="8" t="e">
        <f>IF(Final_Sans_VGE[[#This Row],[ppn_z]]="","",IFERROR(
   IF(_xlfn.XLOOKUP(Final_Sans_VGE[[#This Row],[ppn_z]],tbl_Historique_Final[ppn_z],tbl_Historique_Final[date_modif])=Final_Sans_VGE[[#This Row],[date_modif]],
      "Ancien",
      "Modifié"),
   "Nouveau"))</f>
        <v>#VALUE!</v>
      </c>
      <c r="AD9107" s="1" t="str">
        <f>IFERROR(IF(Final_Sans_VGE[[#This Row],[ppn_z]]="","",IFERROR(
   IF(_xlfn.XLOOKUP(Final_Sans_VGE[[#This Row],[ppn_z]],tbl_Historique_Final[[#This Row],[ppn_z]],tbl_Historique_Final[[#This Row],[date_modif]])=Final_Sans_VGE[[#This Row],[date_modif]],
      "Ancien",
      "Modifié"),
   "Nouveau")),"")</f>
        <v/>
      </c>
    </row>
    <row r="9108" spans="24:30" x14ac:dyDescent="0.25">
      <c r="X9108" s="8" t="e">
        <f>IF(Final_Sans_VGE[[#This Row],[ppn_z]]="","",IFERROR(
   IF(_xlfn.XLOOKUP(Final_Sans_VGE[[#This Row],[ppn_z]],tbl_Historique_Final[ppn_z],tbl_Historique_Final[date_modif])=Final_Sans_VGE[[#This Row],[date_modif]],
      "Ancien",
      "Modifié"),
   "Nouveau"))</f>
        <v>#VALUE!</v>
      </c>
      <c r="AD9108" s="1" t="str">
        <f>IFERROR(IF(Final_Sans_VGE[[#This Row],[ppn_z]]="","",IFERROR(
   IF(_xlfn.XLOOKUP(Final_Sans_VGE[[#This Row],[ppn_z]],tbl_Historique_Final[[#This Row],[ppn_z]],tbl_Historique_Final[[#This Row],[date_modif]])=Final_Sans_VGE[[#This Row],[date_modif]],
      "Ancien",
      "Modifié"),
   "Nouveau")),"")</f>
        <v/>
      </c>
    </row>
    <row r="9109" spans="24:30" x14ac:dyDescent="0.25">
      <c r="X9109" s="8" t="e">
        <f>IF(Final_Sans_VGE[[#This Row],[ppn_z]]="","",IFERROR(
   IF(_xlfn.XLOOKUP(Final_Sans_VGE[[#This Row],[ppn_z]],tbl_Historique_Final[ppn_z],tbl_Historique_Final[date_modif])=Final_Sans_VGE[[#This Row],[date_modif]],
      "Ancien",
      "Modifié"),
   "Nouveau"))</f>
        <v>#VALUE!</v>
      </c>
      <c r="AD9109" s="1" t="str">
        <f>IFERROR(IF(Final_Sans_VGE[[#This Row],[ppn_z]]="","",IFERROR(
   IF(_xlfn.XLOOKUP(Final_Sans_VGE[[#This Row],[ppn_z]],tbl_Historique_Final[[#This Row],[ppn_z]],tbl_Historique_Final[[#This Row],[date_modif]])=Final_Sans_VGE[[#This Row],[date_modif]],
      "Ancien",
      "Modifié"),
   "Nouveau")),"")</f>
        <v/>
      </c>
    </row>
    <row r="9110" spans="24:30" x14ac:dyDescent="0.25">
      <c r="X9110" s="8" t="e">
        <f>IF(Final_Sans_VGE[[#This Row],[ppn_z]]="","",IFERROR(
   IF(_xlfn.XLOOKUP(Final_Sans_VGE[[#This Row],[ppn_z]],tbl_Historique_Final[ppn_z],tbl_Historique_Final[date_modif])=Final_Sans_VGE[[#This Row],[date_modif]],
      "Ancien",
      "Modifié"),
   "Nouveau"))</f>
        <v>#VALUE!</v>
      </c>
      <c r="AD9110" s="1" t="str">
        <f>IFERROR(IF(Final_Sans_VGE[[#This Row],[ppn_z]]="","",IFERROR(
   IF(_xlfn.XLOOKUP(Final_Sans_VGE[[#This Row],[ppn_z]],tbl_Historique_Final[[#This Row],[ppn_z]],tbl_Historique_Final[[#This Row],[date_modif]])=Final_Sans_VGE[[#This Row],[date_modif]],
      "Ancien",
      "Modifié"),
   "Nouveau")),"")</f>
        <v/>
      </c>
    </row>
    <row r="9111" spans="24:30" x14ac:dyDescent="0.25">
      <c r="X9111" s="8" t="e">
        <f>IF(Final_Sans_VGE[[#This Row],[ppn_z]]="","",IFERROR(
   IF(_xlfn.XLOOKUP(Final_Sans_VGE[[#This Row],[ppn_z]],tbl_Historique_Final[ppn_z],tbl_Historique_Final[date_modif])=Final_Sans_VGE[[#This Row],[date_modif]],
      "Ancien",
      "Modifié"),
   "Nouveau"))</f>
        <v>#VALUE!</v>
      </c>
      <c r="AD9111" s="1" t="str">
        <f>IFERROR(IF(Final_Sans_VGE[[#This Row],[ppn_z]]="","",IFERROR(
   IF(_xlfn.XLOOKUP(Final_Sans_VGE[[#This Row],[ppn_z]],tbl_Historique_Final[[#This Row],[ppn_z]],tbl_Historique_Final[[#This Row],[date_modif]])=Final_Sans_VGE[[#This Row],[date_modif]],
      "Ancien",
      "Modifié"),
   "Nouveau")),"")</f>
        <v/>
      </c>
    </row>
    <row r="9112" spans="24:30" x14ac:dyDescent="0.25">
      <c r="X9112" s="8" t="e">
        <f>IF(Final_Sans_VGE[[#This Row],[ppn_z]]="","",IFERROR(
   IF(_xlfn.XLOOKUP(Final_Sans_VGE[[#This Row],[ppn_z]],tbl_Historique_Final[ppn_z],tbl_Historique_Final[date_modif])=Final_Sans_VGE[[#This Row],[date_modif]],
      "Ancien",
      "Modifié"),
   "Nouveau"))</f>
        <v>#VALUE!</v>
      </c>
      <c r="AD9112" s="1" t="str">
        <f>IFERROR(IF(Final_Sans_VGE[[#This Row],[ppn_z]]="","",IFERROR(
   IF(_xlfn.XLOOKUP(Final_Sans_VGE[[#This Row],[ppn_z]],tbl_Historique_Final[[#This Row],[ppn_z]],tbl_Historique_Final[[#This Row],[date_modif]])=Final_Sans_VGE[[#This Row],[date_modif]],
      "Ancien",
      "Modifié"),
   "Nouveau")),"")</f>
        <v/>
      </c>
    </row>
    <row r="9113" spans="24:30" x14ac:dyDescent="0.25">
      <c r="X9113" s="8" t="e">
        <f>IF(Final_Sans_VGE[[#This Row],[ppn_z]]="","",IFERROR(
   IF(_xlfn.XLOOKUP(Final_Sans_VGE[[#This Row],[ppn_z]],tbl_Historique_Final[ppn_z],tbl_Historique_Final[date_modif])=Final_Sans_VGE[[#This Row],[date_modif]],
      "Ancien",
      "Modifié"),
   "Nouveau"))</f>
        <v>#VALUE!</v>
      </c>
      <c r="AD9113" s="1" t="str">
        <f>IFERROR(IF(Final_Sans_VGE[[#This Row],[ppn_z]]="","",IFERROR(
   IF(_xlfn.XLOOKUP(Final_Sans_VGE[[#This Row],[ppn_z]],tbl_Historique_Final[[#This Row],[ppn_z]],tbl_Historique_Final[[#This Row],[date_modif]])=Final_Sans_VGE[[#This Row],[date_modif]],
      "Ancien",
      "Modifié"),
   "Nouveau")),"")</f>
        <v/>
      </c>
    </row>
    <row r="9114" spans="24:30" x14ac:dyDescent="0.25">
      <c r="X9114" s="8" t="e">
        <f>IF(Final_Sans_VGE[[#This Row],[ppn_z]]="","",IFERROR(
   IF(_xlfn.XLOOKUP(Final_Sans_VGE[[#This Row],[ppn_z]],tbl_Historique_Final[ppn_z],tbl_Historique_Final[date_modif])=Final_Sans_VGE[[#This Row],[date_modif]],
      "Ancien",
      "Modifié"),
   "Nouveau"))</f>
        <v>#VALUE!</v>
      </c>
      <c r="AD9114" s="1" t="str">
        <f>IFERROR(IF(Final_Sans_VGE[[#This Row],[ppn_z]]="","",IFERROR(
   IF(_xlfn.XLOOKUP(Final_Sans_VGE[[#This Row],[ppn_z]],tbl_Historique_Final[[#This Row],[ppn_z]],tbl_Historique_Final[[#This Row],[date_modif]])=Final_Sans_VGE[[#This Row],[date_modif]],
      "Ancien",
      "Modifié"),
   "Nouveau")),"")</f>
        <v/>
      </c>
    </row>
    <row r="9115" spans="24:30" x14ac:dyDescent="0.25">
      <c r="X9115" s="8" t="e">
        <f>IF(Final_Sans_VGE[[#This Row],[ppn_z]]="","",IFERROR(
   IF(_xlfn.XLOOKUP(Final_Sans_VGE[[#This Row],[ppn_z]],tbl_Historique_Final[ppn_z],tbl_Historique_Final[date_modif])=Final_Sans_VGE[[#This Row],[date_modif]],
      "Ancien",
      "Modifié"),
   "Nouveau"))</f>
        <v>#VALUE!</v>
      </c>
      <c r="AD9115" s="1" t="str">
        <f>IFERROR(IF(Final_Sans_VGE[[#This Row],[ppn_z]]="","",IFERROR(
   IF(_xlfn.XLOOKUP(Final_Sans_VGE[[#This Row],[ppn_z]],tbl_Historique_Final[[#This Row],[ppn_z]],tbl_Historique_Final[[#This Row],[date_modif]])=Final_Sans_VGE[[#This Row],[date_modif]],
      "Ancien",
      "Modifié"),
   "Nouveau")),"")</f>
        <v/>
      </c>
    </row>
    <row r="9116" spans="24:30" x14ac:dyDescent="0.25">
      <c r="X9116" s="8" t="e">
        <f>IF(Final_Sans_VGE[[#This Row],[ppn_z]]="","",IFERROR(
   IF(_xlfn.XLOOKUP(Final_Sans_VGE[[#This Row],[ppn_z]],tbl_Historique_Final[ppn_z],tbl_Historique_Final[date_modif])=Final_Sans_VGE[[#This Row],[date_modif]],
      "Ancien",
      "Modifié"),
   "Nouveau"))</f>
        <v>#VALUE!</v>
      </c>
      <c r="AD9116" s="1" t="str">
        <f>IFERROR(IF(Final_Sans_VGE[[#This Row],[ppn_z]]="","",IFERROR(
   IF(_xlfn.XLOOKUP(Final_Sans_VGE[[#This Row],[ppn_z]],tbl_Historique_Final[[#This Row],[ppn_z]],tbl_Historique_Final[[#This Row],[date_modif]])=Final_Sans_VGE[[#This Row],[date_modif]],
      "Ancien",
      "Modifié"),
   "Nouveau")),"")</f>
        <v/>
      </c>
    </row>
    <row r="9117" spans="24:30" x14ac:dyDescent="0.25">
      <c r="X9117" s="8" t="e">
        <f>IF(Final_Sans_VGE[[#This Row],[ppn_z]]="","",IFERROR(
   IF(_xlfn.XLOOKUP(Final_Sans_VGE[[#This Row],[ppn_z]],tbl_Historique_Final[ppn_z],tbl_Historique_Final[date_modif])=Final_Sans_VGE[[#This Row],[date_modif]],
      "Ancien",
      "Modifié"),
   "Nouveau"))</f>
        <v>#VALUE!</v>
      </c>
      <c r="AD9117" s="1" t="str">
        <f>IFERROR(IF(Final_Sans_VGE[[#This Row],[ppn_z]]="","",IFERROR(
   IF(_xlfn.XLOOKUP(Final_Sans_VGE[[#This Row],[ppn_z]],tbl_Historique_Final[[#This Row],[ppn_z]],tbl_Historique_Final[[#This Row],[date_modif]])=Final_Sans_VGE[[#This Row],[date_modif]],
      "Ancien",
      "Modifié"),
   "Nouveau")),"")</f>
        <v/>
      </c>
    </row>
    <row r="9118" spans="24:30" x14ac:dyDescent="0.25">
      <c r="X9118" s="8" t="e">
        <f>IF(Final_Sans_VGE[[#This Row],[ppn_z]]="","",IFERROR(
   IF(_xlfn.XLOOKUP(Final_Sans_VGE[[#This Row],[ppn_z]],tbl_Historique_Final[ppn_z],tbl_Historique_Final[date_modif])=Final_Sans_VGE[[#This Row],[date_modif]],
      "Ancien",
      "Modifié"),
   "Nouveau"))</f>
        <v>#VALUE!</v>
      </c>
      <c r="AD9118" s="1" t="str">
        <f>IFERROR(IF(Final_Sans_VGE[[#This Row],[ppn_z]]="","",IFERROR(
   IF(_xlfn.XLOOKUP(Final_Sans_VGE[[#This Row],[ppn_z]],tbl_Historique_Final[[#This Row],[ppn_z]],tbl_Historique_Final[[#This Row],[date_modif]])=Final_Sans_VGE[[#This Row],[date_modif]],
      "Ancien",
      "Modifié"),
   "Nouveau")),"")</f>
        <v/>
      </c>
    </row>
    <row r="9119" spans="24:30" x14ac:dyDescent="0.25">
      <c r="X9119" s="8" t="e">
        <f>IF(Final_Sans_VGE[[#This Row],[ppn_z]]="","",IFERROR(
   IF(_xlfn.XLOOKUP(Final_Sans_VGE[[#This Row],[ppn_z]],tbl_Historique_Final[ppn_z],tbl_Historique_Final[date_modif])=Final_Sans_VGE[[#This Row],[date_modif]],
      "Ancien",
      "Modifié"),
   "Nouveau"))</f>
        <v>#VALUE!</v>
      </c>
      <c r="AD9119" s="1" t="str">
        <f>IFERROR(IF(Final_Sans_VGE[[#This Row],[ppn_z]]="","",IFERROR(
   IF(_xlfn.XLOOKUP(Final_Sans_VGE[[#This Row],[ppn_z]],tbl_Historique_Final[[#This Row],[ppn_z]],tbl_Historique_Final[[#This Row],[date_modif]])=Final_Sans_VGE[[#This Row],[date_modif]],
      "Ancien",
      "Modifié"),
   "Nouveau")),"")</f>
        <v/>
      </c>
    </row>
    <row r="9120" spans="24:30" x14ac:dyDescent="0.25">
      <c r="X9120" s="8" t="e">
        <f>IF(Final_Sans_VGE[[#This Row],[ppn_z]]="","",IFERROR(
   IF(_xlfn.XLOOKUP(Final_Sans_VGE[[#This Row],[ppn_z]],tbl_Historique_Final[ppn_z],tbl_Historique_Final[date_modif])=Final_Sans_VGE[[#This Row],[date_modif]],
      "Ancien",
      "Modifié"),
   "Nouveau"))</f>
        <v>#VALUE!</v>
      </c>
      <c r="AD9120" s="1" t="str">
        <f>IFERROR(IF(Final_Sans_VGE[[#This Row],[ppn_z]]="","",IFERROR(
   IF(_xlfn.XLOOKUP(Final_Sans_VGE[[#This Row],[ppn_z]],tbl_Historique_Final[[#This Row],[ppn_z]],tbl_Historique_Final[[#This Row],[date_modif]])=Final_Sans_VGE[[#This Row],[date_modif]],
      "Ancien",
      "Modifié"),
   "Nouveau")),"")</f>
        <v/>
      </c>
    </row>
    <row r="9121" spans="24:30" x14ac:dyDescent="0.25">
      <c r="X9121" s="8" t="e">
        <f>IF(Final_Sans_VGE[[#This Row],[ppn_z]]="","",IFERROR(
   IF(_xlfn.XLOOKUP(Final_Sans_VGE[[#This Row],[ppn_z]],tbl_Historique_Final[ppn_z],tbl_Historique_Final[date_modif])=Final_Sans_VGE[[#This Row],[date_modif]],
      "Ancien",
      "Modifié"),
   "Nouveau"))</f>
        <v>#VALUE!</v>
      </c>
      <c r="AD9121" s="1" t="str">
        <f>IFERROR(IF(Final_Sans_VGE[[#This Row],[ppn_z]]="","",IFERROR(
   IF(_xlfn.XLOOKUP(Final_Sans_VGE[[#This Row],[ppn_z]],tbl_Historique_Final[[#This Row],[ppn_z]],tbl_Historique_Final[[#This Row],[date_modif]])=Final_Sans_VGE[[#This Row],[date_modif]],
      "Ancien",
      "Modifié"),
   "Nouveau")),"")</f>
        <v/>
      </c>
    </row>
    <row r="9122" spans="24:30" x14ac:dyDescent="0.25">
      <c r="X9122" s="8" t="e">
        <f>IF(Final_Sans_VGE[[#This Row],[ppn_z]]="","",IFERROR(
   IF(_xlfn.XLOOKUP(Final_Sans_VGE[[#This Row],[ppn_z]],tbl_Historique_Final[ppn_z],tbl_Historique_Final[date_modif])=Final_Sans_VGE[[#This Row],[date_modif]],
      "Ancien",
      "Modifié"),
   "Nouveau"))</f>
        <v>#VALUE!</v>
      </c>
      <c r="AD9122" s="1" t="str">
        <f>IFERROR(IF(Final_Sans_VGE[[#This Row],[ppn_z]]="","",IFERROR(
   IF(_xlfn.XLOOKUP(Final_Sans_VGE[[#This Row],[ppn_z]],tbl_Historique_Final[[#This Row],[ppn_z]],tbl_Historique_Final[[#This Row],[date_modif]])=Final_Sans_VGE[[#This Row],[date_modif]],
      "Ancien",
      "Modifié"),
   "Nouveau")),"")</f>
        <v/>
      </c>
    </row>
    <row r="9123" spans="24:30" x14ac:dyDescent="0.25">
      <c r="X9123" s="8" t="e">
        <f>IF(Final_Sans_VGE[[#This Row],[ppn_z]]="","",IFERROR(
   IF(_xlfn.XLOOKUP(Final_Sans_VGE[[#This Row],[ppn_z]],tbl_Historique_Final[ppn_z],tbl_Historique_Final[date_modif])=Final_Sans_VGE[[#This Row],[date_modif]],
      "Ancien",
      "Modifié"),
   "Nouveau"))</f>
        <v>#VALUE!</v>
      </c>
      <c r="AD9123" s="1" t="str">
        <f>IFERROR(IF(Final_Sans_VGE[[#This Row],[ppn_z]]="","",IFERROR(
   IF(_xlfn.XLOOKUP(Final_Sans_VGE[[#This Row],[ppn_z]],tbl_Historique_Final[[#This Row],[ppn_z]],tbl_Historique_Final[[#This Row],[date_modif]])=Final_Sans_VGE[[#This Row],[date_modif]],
      "Ancien",
      "Modifié"),
   "Nouveau")),"")</f>
        <v/>
      </c>
    </row>
    <row r="9124" spans="24:30" x14ac:dyDescent="0.25">
      <c r="X9124" s="8" t="e">
        <f>IF(Final_Sans_VGE[[#This Row],[ppn_z]]="","",IFERROR(
   IF(_xlfn.XLOOKUP(Final_Sans_VGE[[#This Row],[ppn_z]],tbl_Historique_Final[ppn_z],tbl_Historique_Final[date_modif])=Final_Sans_VGE[[#This Row],[date_modif]],
      "Ancien",
      "Modifié"),
   "Nouveau"))</f>
        <v>#VALUE!</v>
      </c>
      <c r="AD9124" s="1" t="str">
        <f>IFERROR(IF(Final_Sans_VGE[[#This Row],[ppn_z]]="","",IFERROR(
   IF(_xlfn.XLOOKUP(Final_Sans_VGE[[#This Row],[ppn_z]],tbl_Historique_Final[[#This Row],[ppn_z]],tbl_Historique_Final[[#This Row],[date_modif]])=Final_Sans_VGE[[#This Row],[date_modif]],
      "Ancien",
      "Modifié"),
   "Nouveau")),"")</f>
        <v/>
      </c>
    </row>
    <row r="9125" spans="24:30" x14ac:dyDescent="0.25">
      <c r="X9125" s="8" t="e">
        <f>IF(Final_Sans_VGE[[#This Row],[ppn_z]]="","",IFERROR(
   IF(_xlfn.XLOOKUP(Final_Sans_VGE[[#This Row],[ppn_z]],tbl_Historique_Final[ppn_z],tbl_Historique_Final[date_modif])=Final_Sans_VGE[[#This Row],[date_modif]],
      "Ancien",
      "Modifié"),
   "Nouveau"))</f>
        <v>#VALUE!</v>
      </c>
      <c r="AD9125" s="1" t="str">
        <f>IFERROR(IF(Final_Sans_VGE[[#This Row],[ppn_z]]="","",IFERROR(
   IF(_xlfn.XLOOKUP(Final_Sans_VGE[[#This Row],[ppn_z]],tbl_Historique_Final[[#This Row],[ppn_z]],tbl_Historique_Final[[#This Row],[date_modif]])=Final_Sans_VGE[[#This Row],[date_modif]],
      "Ancien",
      "Modifié"),
   "Nouveau")),"")</f>
        <v/>
      </c>
    </row>
    <row r="9126" spans="24:30" x14ac:dyDescent="0.25">
      <c r="X9126" s="8" t="e">
        <f>IF(Final_Sans_VGE[[#This Row],[ppn_z]]="","",IFERROR(
   IF(_xlfn.XLOOKUP(Final_Sans_VGE[[#This Row],[ppn_z]],tbl_Historique_Final[ppn_z],tbl_Historique_Final[date_modif])=Final_Sans_VGE[[#This Row],[date_modif]],
      "Ancien",
      "Modifié"),
   "Nouveau"))</f>
        <v>#VALUE!</v>
      </c>
      <c r="AD9126" s="1" t="str">
        <f>IFERROR(IF(Final_Sans_VGE[[#This Row],[ppn_z]]="","",IFERROR(
   IF(_xlfn.XLOOKUP(Final_Sans_VGE[[#This Row],[ppn_z]],tbl_Historique_Final[[#This Row],[ppn_z]],tbl_Historique_Final[[#This Row],[date_modif]])=Final_Sans_VGE[[#This Row],[date_modif]],
      "Ancien",
      "Modifié"),
   "Nouveau")),"")</f>
        <v/>
      </c>
    </row>
    <row r="9127" spans="24:30" x14ac:dyDescent="0.25">
      <c r="X9127" s="8" t="e">
        <f>IF(Final_Sans_VGE[[#This Row],[ppn_z]]="","",IFERROR(
   IF(_xlfn.XLOOKUP(Final_Sans_VGE[[#This Row],[ppn_z]],tbl_Historique_Final[ppn_z],tbl_Historique_Final[date_modif])=Final_Sans_VGE[[#This Row],[date_modif]],
      "Ancien",
      "Modifié"),
   "Nouveau"))</f>
        <v>#VALUE!</v>
      </c>
      <c r="AD9127" s="1" t="str">
        <f>IFERROR(IF(Final_Sans_VGE[[#This Row],[ppn_z]]="","",IFERROR(
   IF(_xlfn.XLOOKUP(Final_Sans_VGE[[#This Row],[ppn_z]],tbl_Historique_Final[[#This Row],[ppn_z]],tbl_Historique_Final[[#This Row],[date_modif]])=Final_Sans_VGE[[#This Row],[date_modif]],
      "Ancien",
      "Modifié"),
   "Nouveau")),"")</f>
        <v/>
      </c>
    </row>
    <row r="9128" spans="24:30" x14ac:dyDescent="0.25">
      <c r="X9128" s="8" t="e">
        <f>IF(Final_Sans_VGE[[#This Row],[ppn_z]]="","",IFERROR(
   IF(_xlfn.XLOOKUP(Final_Sans_VGE[[#This Row],[ppn_z]],tbl_Historique_Final[ppn_z],tbl_Historique_Final[date_modif])=Final_Sans_VGE[[#This Row],[date_modif]],
      "Ancien",
      "Modifié"),
   "Nouveau"))</f>
        <v>#VALUE!</v>
      </c>
      <c r="AD9128" s="1" t="str">
        <f>IFERROR(IF(Final_Sans_VGE[[#This Row],[ppn_z]]="","",IFERROR(
   IF(_xlfn.XLOOKUP(Final_Sans_VGE[[#This Row],[ppn_z]],tbl_Historique_Final[[#This Row],[ppn_z]],tbl_Historique_Final[[#This Row],[date_modif]])=Final_Sans_VGE[[#This Row],[date_modif]],
      "Ancien",
      "Modifié"),
   "Nouveau")),"")</f>
        <v/>
      </c>
    </row>
    <row r="9129" spans="24:30" x14ac:dyDescent="0.25">
      <c r="X9129" s="8" t="e">
        <f>IF(Final_Sans_VGE[[#This Row],[ppn_z]]="","",IFERROR(
   IF(_xlfn.XLOOKUP(Final_Sans_VGE[[#This Row],[ppn_z]],tbl_Historique_Final[ppn_z],tbl_Historique_Final[date_modif])=Final_Sans_VGE[[#This Row],[date_modif]],
      "Ancien",
      "Modifié"),
   "Nouveau"))</f>
        <v>#VALUE!</v>
      </c>
      <c r="AD9129" s="1" t="str">
        <f>IFERROR(IF(Final_Sans_VGE[[#This Row],[ppn_z]]="","",IFERROR(
   IF(_xlfn.XLOOKUP(Final_Sans_VGE[[#This Row],[ppn_z]],tbl_Historique_Final[[#This Row],[ppn_z]],tbl_Historique_Final[[#This Row],[date_modif]])=Final_Sans_VGE[[#This Row],[date_modif]],
      "Ancien",
      "Modifié"),
   "Nouveau")),"")</f>
        <v/>
      </c>
    </row>
    <row r="9130" spans="24:30" x14ac:dyDescent="0.25">
      <c r="X9130" s="8" t="e">
        <f>IF(Final_Sans_VGE[[#This Row],[ppn_z]]="","",IFERROR(
   IF(_xlfn.XLOOKUP(Final_Sans_VGE[[#This Row],[ppn_z]],tbl_Historique_Final[ppn_z],tbl_Historique_Final[date_modif])=Final_Sans_VGE[[#This Row],[date_modif]],
      "Ancien",
      "Modifié"),
   "Nouveau"))</f>
        <v>#VALUE!</v>
      </c>
      <c r="AD9130" s="1" t="str">
        <f>IFERROR(IF(Final_Sans_VGE[[#This Row],[ppn_z]]="","",IFERROR(
   IF(_xlfn.XLOOKUP(Final_Sans_VGE[[#This Row],[ppn_z]],tbl_Historique_Final[[#This Row],[ppn_z]],tbl_Historique_Final[[#This Row],[date_modif]])=Final_Sans_VGE[[#This Row],[date_modif]],
      "Ancien",
      "Modifié"),
   "Nouveau")),"")</f>
        <v/>
      </c>
    </row>
    <row r="9131" spans="24:30" x14ac:dyDescent="0.25">
      <c r="X9131" s="8" t="e">
        <f>IF(Final_Sans_VGE[[#This Row],[ppn_z]]="","",IFERROR(
   IF(_xlfn.XLOOKUP(Final_Sans_VGE[[#This Row],[ppn_z]],tbl_Historique_Final[ppn_z],tbl_Historique_Final[date_modif])=Final_Sans_VGE[[#This Row],[date_modif]],
      "Ancien",
      "Modifié"),
   "Nouveau"))</f>
        <v>#VALUE!</v>
      </c>
      <c r="AD9131" s="1" t="str">
        <f>IFERROR(IF(Final_Sans_VGE[[#This Row],[ppn_z]]="","",IFERROR(
   IF(_xlfn.XLOOKUP(Final_Sans_VGE[[#This Row],[ppn_z]],tbl_Historique_Final[[#This Row],[ppn_z]],tbl_Historique_Final[[#This Row],[date_modif]])=Final_Sans_VGE[[#This Row],[date_modif]],
      "Ancien",
      "Modifié"),
   "Nouveau")),"")</f>
        <v/>
      </c>
    </row>
    <row r="9132" spans="24:30" x14ac:dyDescent="0.25">
      <c r="X9132" s="8" t="e">
        <f>IF(Final_Sans_VGE[[#This Row],[ppn_z]]="","",IFERROR(
   IF(_xlfn.XLOOKUP(Final_Sans_VGE[[#This Row],[ppn_z]],tbl_Historique_Final[ppn_z],tbl_Historique_Final[date_modif])=Final_Sans_VGE[[#This Row],[date_modif]],
      "Ancien",
      "Modifié"),
   "Nouveau"))</f>
        <v>#VALUE!</v>
      </c>
      <c r="AD9132" s="1" t="str">
        <f>IFERROR(IF(Final_Sans_VGE[[#This Row],[ppn_z]]="","",IFERROR(
   IF(_xlfn.XLOOKUP(Final_Sans_VGE[[#This Row],[ppn_z]],tbl_Historique_Final[[#This Row],[ppn_z]],tbl_Historique_Final[[#This Row],[date_modif]])=Final_Sans_VGE[[#This Row],[date_modif]],
      "Ancien",
      "Modifié"),
   "Nouveau")),"")</f>
        <v/>
      </c>
    </row>
    <row r="9133" spans="24:30" x14ac:dyDescent="0.25">
      <c r="X9133" s="8" t="e">
        <f>IF(Final_Sans_VGE[[#This Row],[ppn_z]]="","",IFERROR(
   IF(_xlfn.XLOOKUP(Final_Sans_VGE[[#This Row],[ppn_z]],tbl_Historique_Final[ppn_z],tbl_Historique_Final[date_modif])=Final_Sans_VGE[[#This Row],[date_modif]],
      "Ancien",
      "Modifié"),
   "Nouveau"))</f>
        <v>#VALUE!</v>
      </c>
      <c r="AD9133" s="1" t="str">
        <f>IFERROR(IF(Final_Sans_VGE[[#This Row],[ppn_z]]="","",IFERROR(
   IF(_xlfn.XLOOKUP(Final_Sans_VGE[[#This Row],[ppn_z]],tbl_Historique_Final[[#This Row],[ppn_z]],tbl_Historique_Final[[#This Row],[date_modif]])=Final_Sans_VGE[[#This Row],[date_modif]],
      "Ancien",
      "Modifié"),
   "Nouveau")),"")</f>
        <v/>
      </c>
    </row>
    <row r="9134" spans="24:30" x14ac:dyDescent="0.25">
      <c r="X9134" s="8" t="e">
        <f>IF(Final_Sans_VGE[[#This Row],[ppn_z]]="","",IFERROR(
   IF(_xlfn.XLOOKUP(Final_Sans_VGE[[#This Row],[ppn_z]],tbl_Historique_Final[ppn_z],tbl_Historique_Final[date_modif])=Final_Sans_VGE[[#This Row],[date_modif]],
      "Ancien",
      "Modifié"),
   "Nouveau"))</f>
        <v>#VALUE!</v>
      </c>
      <c r="AD9134" s="1" t="str">
        <f>IFERROR(IF(Final_Sans_VGE[[#This Row],[ppn_z]]="","",IFERROR(
   IF(_xlfn.XLOOKUP(Final_Sans_VGE[[#This Row],[ppn_z]],tbl_Historique_Final[[#This Row],[ppn_z]],tbl_Historique_Final[[#This Row],[date_modif]])=Final_Sans_VGE[[#This Row],[date_modif]],
      "Ancien",
      "Modifié"),
   "Nouveau")),"")</f>
        <v/>
      </c>
    </row>
    <row r="9135" spans="24:30" x14ac:dyDescent="0.25">
      <c r="X9135" s="8" t="e">
        <f>IF(Final_Sans_VGE[[#This Row],[ppn_z]]="","",IFERROR(
   IF(_xlfn.XLOOKUP(Final_Sans_VGE[[#This Row],[ppn_z]],tbl_Historique_Final[ppn_z],tbl_Historique_Final[date_modif])=Final_Sans_VGE[[#This Row],[date_modif]],
      "Ancien",
      "Modifié"),
   "Nouveau"))</f>
        <v>#VALUE!</v>
      </c>
      <c r="AD9135" s="1" t="str">
        <f>IFERROR(IF(Final_Sans_VGE[[#This Row],[ppn_z]]="","",IFERROR(
   IF(_xlfn.XLOOKUP(Final_Sans_VGE[[#This Row],[ppn_z]],tbl_Historique_Final[[#This Row],[ppn_z]],tbl_Historique_Final[[#This Row],[date_modif]])=Final_Sans_VGE[[#This Row],[date_modif]],
      "Ancien",
      "Modifié"),
   "Nouveau")),"")</f>
        <v/>
      </c>
    </row>
    <row r="9136" spans="24:30" x14ac:dyDescent="0.25">
      <c r="X9136" s="8" t="e">
        <f>IF(Final_Sans_VGE[[#This Row],[ppn_z]]="","",IFERROR(
   IF(_xlfn.XLOOKUP(Final_Sans_VGE[[#This Row],[ppn_z]],tbl_Historique_Final[ppn_z],tbl_Historique_Final[date_modif])=Final_Sans_VGE[[#This Row],[date_modif]],
      "Ancien",
      "Modifié"),
   "Nouveau"))</f>
        <v>#VALUE!</v>
      </c>
      <c r="AD9136" s="1" t="str">
        <f>IFERROR(IF(Final_Sans_VGE[[#This Row],[ppn_z]]="","",IFERROR(
   IF(_xlfn.XLOOKUP(Final_Sans_VGE[[#This Row],[ppn_z]],tbl_Historique_Final[[#This Row],[ppn_z]],tbl_Historique_Final[[#This Row],[date_modif]])=Final_Sans_VGE[[#This Row],[date_modif]],
      "Ancien",
      "Modifié"),
   "Nouveau")),"")</f>
        <v/>
      </c>
    </row>
    <row r="9137" spans="24:30" x14ac:dyDescent="0.25">
      <c r="X9137" s="8" t="e">
        <f>IF(Final_Sans_VGE[[#This Row],[ppn_z]]="","",IFERROR(
   IF(_xlfn.XLOOKUP(Final_Sans_VGE[[#This Row],[ppn_z]],tbl_Historique_Final[ppn_z],tbl_Historique_Final[date_modif])=Final_Sans_VGE[[#This Row],[date_modif]],
      "Ancien",
      "Modifié"),
   "Nouveau"))</f>
        <v>#VALUE!</v>
      </c>
      <c r="AD9137" s="1" t="str">
        <f>IFERROR(IF(Final_Sans_VGE[[#This Row],[ppn_z]]="","",IFERROR(
   IF(_xlfn.XLOOKUP(Final_Sans_VGE[[#This Row],[ppn_z]],tbl_Historique_Final[[#This Row],[ppn_z]],tbl_Historique_Final[[#This Row],[date_modif]])=Final_Sans_VGE[[#This Row],[date_modif]],
      "Ancien",
      "Modifié"),
   "Nouveau")),"")</f>
        <v/>
      </c>
    </row>
    <row r="9138" spans="24:30" x14ac:dyDescent="0.25">
      <c r="X9138" s="8" t="e">
        <f>IF(Final_Sans_VGE[[#This Row],[ppn_z]]="","",IFERROR(
   IF(_xlfn.XLOOKUP(Final_Sans_VGE[[#This Row],[ppn_z]],tbl_Historique_Final[ppn_z],tbl_Historique_Final[date_modif])=Final_Sans_VGE[[#This Row],[date_modif]],
      "Ancien",
      "Modifié"),
   "Nouveau"))</f>
        <v>#VALUE!</v>
      </c>
      <c r="AD9138" s="1" t="str">
        <f>IFERROR(IF(Final_Sans_VGE[[#This Row],[ppn_z]]="","",IFERROR(
   IF(_xlfn.XLOOKUP(Final_Sans_VGE[[#This Row],[ppn_z]],tbl_Historique_Final[[#This Row],[ppn_z]],tbl_Historique_Final[[#This Row],[date_modif]])=Final_Sans_VGE[[#This Row],[date_modif]],
      "Ancien",
      "Modifié"),
   "Nouveau")),"")</f>
        <v/>
      </c>
    </row>
    <row r="9139" spans="24:30" x14ac:dyDescent="0.25">
      <c r="X9139" s="8" t="e">
        <f>IF(Final_Sans_VGE[[#This Row],[ppn_z]]="","",IFERROR(
   IF(_xlfn.XLOOKUP(Final_Sans_VGE[[#This Row],[ppn_z]],tbl_Historique_Final[ppn_z],tbl_Historique_Final[date_modif])=Final_Sans_VGE[[#This Row],[date_modif]],
      "Ancien",
      "Modifié"),
   "Nouveau"))</f>
        <v>#VALUE!</v>
      </c>
      <c r="AD9139" s="1" t="str">
        <f>IFERROR(IF(Final_Sans_VGE[[#This Row],[ppn_z]]="","",IFERROR(
   IF(_xlfn.XLOOKUP(Final_Sans_VGE[[#This Row],[ppn_z]],tbl_Historique_Final[[#This Row],[ppn_z]],tbl_Historique_Final[[#This Row],[date_modif]])=Final_Sans_VGE[[#This Row],[date_modif]],
      "Ancien",
      "Modifié"),
   "Nouveau")),"")</f>
        <v/>
      </c>
    </row>
    <row r="9140" spans="24:30" x14ac:dyDescent="0.25">
      <c r="X9140" s="8" t="e">
        <f>IF(Final_Sans_VGE[[#This Row],[ppn_z]]="","",IFERROR(
   IF(_xlfn.XLOOKUP(Final_Sans_VGE[[#This Row],[ppn_z]],tbl_Historique_Final[ppn_z],tbl_Historique_Final[date_modif])=Final_Sans_VGE[[#This Row],[date_modif]],
      "Ancien",
      "Modifié"),
   "Nouveau"))</f>
        <v>#VALUE!</v>
      </c>
      <c r="AD9140" s="1" t="str">
        <f>IFERROR(IF(Final_Sans_VGE[[#This Row],[ppn_z]]="","",IFERROR(
   IF(_xlfn.XLOOKUP(Final_Sans_VGE[[#This Row],[ppn_z]],tbl_Historique_Final[[#This Row],[ppn_z]],tbl_Historique_Final[[#This Row],[date_modif]])=Final_Sans_VGE[[#This Row],[date_modif]],
      "Ancien",
      "Modifié"),
   "Nouveau")),"")</f>
        <v/>
      </c>
    </row>
    <row r="9141" spans="24:30" x14ac:dyDescent="0.25">
      <c r="X9141" s="8" t="e">
        <f>IF(Final_Sans_VGE[[#This Row],[ppn_z]]="","",IFERROR(
   IF(_xlfn.XLOOKUP(Final_Sans_VGE[[#This Row],[ppn_z]],tbl_Historique_Final[ppn_z],tbl_Historique_Final[date_modif])=Final_Sans_VGE[[#This Row],[date_modif]],
      "Ancien",
      "Modifié"),
   "Nouveau"))</f>
        <v>#VALUE!</v>
      </c>
      <c r="AD9141" s="1" t="str">
        <f>IFERROR(IF(Final_Sans_VGE[[#This Row],[ppn_z]]="","",IFERROR(
   IF(_xlfn.XLOOKUP(Final_Sans_VGE[[#This Row],[ppn_z]],tbl_Historique_Final[[#This Row],[ppn_z]],tbl_Historique_Final[[#This Row],[date_modif]])=Final_Sans_VGE[[#This Row],[date_modif]],
      "Ancien",
      "Modifié"),
   "Nouveau")),"")</f>
        <v/>
      </c>
    </row>
    <row r="9142" spans="24:30" x14ac:dyDescent="0.25">
      <c r="X9142" s="8" t="e">
        <f>IF(Final_Sans_VGE[[#This Row],[ppn_z]]="","",IFERROR(
   IF(_xlfn.XLOOKUP(Final_Sans_VGE[[#This Row],[ppn_z]],tbl_Historique_Final[ppn_z],tbl_Historique_Final[date_modif])=Final_Sans_VGE[[#This Row],[date_modif]],
      "Ancien",
      "Modifié"),
   "Nouveau"))</f>
        <v>#VALUE!</v>
      </c>
      <c r="AD9142" s="1" t="str">
        <f>IFERROR(IF(Final_Sans_VGE[[#This Row],[ppn_z]]="","",IFERROR(
   IF(_xlfn.XLOOKUP(Final_Sans_VGE[[#This Row],[ppn_z]],tbl_Historique_Final[[#This Row],[ppn_z]],tbl_Historique_Final[[#This Row],[date_modif]])=Final_Sans_VGE[[#This Row],[date_modif]],
      "Ancien",
      "Modifié"),
   "Nouveau")),"")</f>
        <v/>
      </c>
    </row>
    <row r="9143" spans="24:30" x14ac:dyDescent="0.25">
      <c r="X9143" s="8" t="e">
        <f>IF(Final_Sans_VGE[[#This Row],[ppn_z]]="","",IFERROR(
   IF(_xlfn.XLOOKUP(Final_Sans_VGE[[#This Row],[ppn_z]],tbl_Historique_Final[ppn_z],tbl_Historique_Final[date_modif])=Final_Sans_VGE[[#This Row],[date_modif]],
      "Ancien",
      "Modifié"),
   "Nouveau"))</f>
        <v>#VALUE!</v>
      </c>
      <c r="AD9143" s="1" t="str">
        <f>IFERROR(IF(Final_Sans_VGE[[#This Row],[ppn_z]]="","",IFERROR(
   IF(_xlfn.XLOOKUP(Final_Sans_VGE[[#This Row],[ppn_z]],tbl_Historique_Final[[#This Row],[ppn_z]],tbl_Historique_Final[[#This Row],[date_modif]])=Final_Sans_VGE[[#This Row],[date_modif]],
      "Ancien",
      "Modifié"),
   "Nouveau")),"")</f>
        <v/>
      </c>
    </row>
    <row r="9144" spans="24:30" x14ac:dyDescent="0.25">
      <c r="X9144" s="8" t="e">
        <f>IF(Final_Sans_VGE[[#This Row],[ppn_z]]="","",IFERROR(
   IF(_xlfn.XLOOKUP(Final_Sans_VGE[[#This Row],[ppn_z]],tbl_Historique_Final[ppn_z],tbl_Historique_Final[date_modif])=Final_Sans_VGE[[#This Row],[date_modif]],
      "Ancien",
      "Modifié"),
   "Nouveau"))</f>
        <v>#VALUE!</v>
      </c>
      <c r="AD9144" s="1" t="str">
        <f>IFERROR(IF(Final_Sans_VGE[[#This Row],[ppn_z]]="","",IFERROR(
   IF(_xlfn.XLOOKUP(Final_Sans_VGE[[#This Row],[ppn_z]],tbl_Historique_Final[[#This Row],[ppn_z]],tbl_Historique_Final[[#This Row],[date_modif]])=Final_Sans_VGE[[#This Row],[date_modif]],
      "Ancien",
      "Modifié"),
   "Nouveau")),"")</f>
        <v/>
      </c>
    </row>
    <row r="9145" spans="24:30" x14ac:dyDescent="0.25">
      <c r="X9145" s="8" t="e">
        <f>IF(Final_Sans_VGE[[#This Row],[ppn_z]]="","",IFERROR(
   IF(_xlfn.XLOOKUP(Final_Sans_VGE[[#This Row],[ppn_z]],tbl_Historique_Final[ppn_z],tbl_Historique_Final[date_modif])=Final_Sans_VGE[[#This Row],[date_modif]],
      "Ancien",
      "Modifié"),
   "Nouveau"))</f>
        <v>#VALUE!</v>
      </c>
      <c r="AD9145" s="1" t="str">
        <f>IFERROR(IF(Final_Sans_VGE[[#This Row],[ppn_z]]="","",IFERROR(
   IF(_xlfn.XLOOKUP(Final_Sans_VGE[[#This Row],[ppn_z]],tbl_Historique_Final[[#This Row],[ppn_z]],tbl_Historique_Final[[#This Row],[date_modif]])=Final_Sans_VGE[[#This Row],[date_modif]],
      "Ancien",
      "Modifié"),
   "Nouveau")),"")</f>
        <v/>
      </c>
    </row>
    <row r="9146" spans="24:30" x14ac:dyDescent="0.25">
      <c r="X9146" s="8" t="e">
        <f>IF(Final_Sans_VGE[[#This Row],[ppn_z]]="","",IFERROR(
   IF(_xlfn.XLOOKUP(Final_Sans_VGE[[#This Row],[ppn_z]],tbl_Historique_Final[ppn_z],tbl_Historique_Final[date_modif])=Final_Sans_VGE[[#This Row],[date_modif]],
      "Ancien",
      "Modifié"),
   "Nouveau"))</f>
        <v>#VALUE!</v>
      </c>
      <c r="AD9146" s="1" t="str">
        <f>IFERROR(IF(Final_Sans_VGE[[#This Row],[ppn_z]]="","",IFERROR(
   IF(_xlfn.XLOOKUP(Final_Sans_VGE[[#This Row],[ppn_z]],tbl_Historique_Final[[#This Row],[ppn_z]],tbl_Historique_Final[[#This Row],[date_modif]])=Final_Sans_VGE[[#This Row],[date_modif]],
      "Ancien",
      "Modifié"),
   "Nouveau")),"")</f>
        <v/>
      </c>
    </row>
    <row r="9147" spans="24:30" x14ac:dyDescent="0.25">
      <c r="X9147" s="8" t="e">
        <f>IF(Final_Sans_VGE[[#This Row],[ppn_z]]="","",IFERROR(
   IF(_xlfn.XLOOKUP(Final_Sans_VGE[[#This Row],[ppn_z]],tbl_Historique_Final[ppn_z],tbl_Historique_Final[date_modif])=Final_Sans_VGE[[#This Row],[date_modif]],
      "Ancien",
      "Modifié"),
   "Nouveau"))</f>
        <v>#VALUE!</v>
      </c>
      <c r="AD9147" s="1" t="str">
        <f>IFERROR(IF(Final_Sans_VGE[[#This Row],[ppn_z]]="","",IFERROR(
   IF(_xlfn.XLOOKUP(Final_Sans_VGE[[#This Row],[ppn_z]],tbl_Historique_Final[[#This Row],[ppn_z]],tbl_Historique_Final[[#This Row],[date_modif]])=Final_Sans_VGE[[#This Row],[date_modif]],
      "Ancien",
      "Modifié"),
   "Nouveau")),"")</f>
        <v/>
      </c>
    </row>
    <row r="9148" spans="24:30" x14ac:dyDescent="0.25">
      <c r="X9148" s="8" t="e">
        <f>IF(Final_Sans_VGE[[#This Row],[ppn_z]]="","",IFERROR(
   IF(_xlfn.XLOOKUP(Final_Sans_VGE[[#This Row],[ppn_z]],tbl_Historique_Final[ppn_z],tbl_Historique_Final[date_modif])=Final_Sans_VGE[[#This Row],[date_modif]],
      "Ancien",
      "Modifié"),
   "Nouveau"))</f>
        <v>#VALUE!</v>
      </c>
      <c r="AD9148" s="1" t="str">
        <f>IFERROR(IF(Final_Sans_VGE[[#This Row],[ppn_z]]="","",IFERROR(
   IF(_xlfn.XLOOKUP(Final_Sans_VGE[[#This Row],[ppn_z]],tbl_Historique_Final[[#This Row],[ppn_z]],tbl_Historique_Final[[#This Row],[date_modif]])=Final_Sans_VGE[[#This Row],[date_modif]],
      "Ancien",
      "Modifié"),
   "Nouveau")),"")</f>
        <v/>
      </c>
    </row>
    <row r="9149" spans="24:30" x14ac:dyDescent="0.25">
      <c r="X9149" s="8" t="e">
        <f>IF(Final_Sans_VGE[[#This Row],[ppn_z]]="","",IFERROR(
   IF(_xlfn.XLOOKUP(Final_Sans_VGE[[#This Row],[ppn_z]],tbl_Historique_Final[ppn_z],tbl_Historique_Final[date_modif])=Final_Sans_VGE[[#This Row],[date_modif]],
      "Ancien",
      "Modifié"),
   "Nouveau"))</f>
        <v>#VALUE!</v>
      </c>
      <c r="AD9149" s="1" t="str">
        <f>IFERROR(IF(Final_Sans_VGE[[#This Row],[ppn_z]]="","",IFERROR(
   IF(_xlfn.XLOOKUP(Final_Sans_VGE[[#This Row],[ppn_z]],tbl_Historique_Final[[#This Row],[ppn_z]],tbl_Historique_Final[[#This Row],[date_modif]])=Final_Sans_VGE[[#This Row],[date_modif]],
      "Ancien",
      "Modifié"),
   "Nouveau")),"")</f>
        <v/>
      </c>
    </row>
    <row r="9150" spans="24:30" x14ac:dyDescent="0.25">
      <c r="X9150" s="8" t="e">
        <f>IF(Final_Sans_VGE[[#This Row],[ppn_z]]="","",IFERROR(
   IF(_xlfn.XLOOKUP(Final_Sans_VGE[[#This Row],[ppn_z]],tbl_Historique_Final[ppn_z],tbl_Historique_Final[date_modif])=Final_Sans_VGE[[#This Row],[date_modif]],
      "Ancien",
      "Modifié"),
   "Nouveau"))</f>
        <v>#VALUE!</v>
      </c>
      <c r="AD9150" s="1" t="str">
        <f>IFERROR(IF(Final_Sans_VGE[[#This Row],[ppn_z]]="","",IFERROR(
   IF(_xlfn.XLOOKUP(Final_Sans_VGE[[#This Row],[ppn_z]],tbl_Historique_Final[[#This Row],[ppn_z]],tbl_Historique_Final[[#This Row],[date_modif]])=Final_Sans_VGE[[#This Row],[date_modif]],
      "Ancien",
      "Modifié"),
   "Nouveau")),"")</f>
        <v/>
      </c>
    </row>
    <row r="9151" spans="24:30" x14ac:dyDescent="0.25">
      <c r="X9151" s="8" t="e">
        <f>IF(Final_Sans_VGE[[#This Row],[ppn_z]]="","",IFERROR(
   IF(_xlfn.XLOOKUP(Final_Sans_VGE[[#This Row],[ppn_z]],tbl_Historique_Final[ppn_z],tbl_Historique_Final[date_modif])=Final_Sans_VGE[[#This Row],[date_modif]],
      "Ancien",
      "Modifié"),
   "Nouveau"))</f>
        <v>#VALUE!</v>
      </c>
      <c r="AD9151" s="1" t="str">
        <f>IFERROR(IF(Final_Sans_VGE[[#This Row],[ppn_z]]="","",IFERROR(
   IF(_xlfn.XLOOKUP(Final_Sans_VGE[[#This Row],[ppn_z]],tbl_Historique_Final[[#This Row],[ppn_z]],tbl_Historique_Final[[#This Row],[date_modif]])=Final_Sans_VGE[[#This Row],[date_modif]],
      "Ancien",
      "Modifié"),
   "Nouveau")),"")</f>
        <v/>
      </c>
    </row>
    <row r="9152" spans="24:30" x14ac:dyDescent="0.25">
      <c r="X9152" s="8" t="e">
        <f>IF(Final_Sans_VGE[[#This Row],[ppn_z]]="","",IFERROR(
   IF(_xlfn.XLOOKUP(Final_Sans_VGE[[#This Row],[ppn_z]],tbl_Historique_Final[ppn_z],tbl_Historique_Final[date_modif])=Final_Sans_VGE[[#This Row],[date_modif]],
      "Ancien",
      "Modifié"),
   "Nouveau"))</f>
        <v>#VALUE!</v>
      </c>
      <c r="AD9152" s="1" t="str">
        <f>IFERROR(IF(Final_Sans_VGE[[#This Row],[ppn_z]]="","",IFERROR(
   IF(_xlfn.XLOOKUP(Final_Sans_VGE[[#This Row],[ppn_z]],tbl_Historique_Final[[#This Row],[ppn_z]],tbl_Historique_Final[[#This Row],[date_modif]])=Final_Sans_VGE[[#This Row],[date_modif]],
      "Ancien",
      "Modifié"),
   "Nouveau")),"")</f>
        <v/>
      </c>
    </row>
    <row r="9153" spans="24:30" x14ac:dyDescent="0.25">
      <c r="X9153" s="8" t="e">
        <f>IF(Final_Sans_VGE[[#This Row],[ppn_z]]="","",IFERROR(
   IF(_xlfn.XLOOKUP(Final_Sans_VGE[[#This Row],[ppn_z]],tbl_Historique_Final[ppn_z],tbl_Historique_Final[date_modif])=Final_Sans_VGE[[#This Row],[date_modif]],
      "Ancien",
      "Modifié"),
   "Nouveau"))</f>
        <v>#VALUE!</v>
      </c>
      <c r="AD9153" s="1" t="str">
        <f>IFERROR(IF(Final_Sans_VGE[[#This Row],[ppn_z]]="","",IFERROR(
   IF(_xlfn.XLOOKUP(Final_Sans_VGE[[#This Row],[ppn_z]],tbl_Historique_Final[[#This Row],[ppn_z]],tbl_Historique_Final[[#This Row],[date_modif]])=Final_Sans_VGE[[#This Row],[date_modif]],
      "Ancien",
      "Modifié"),
   "Nouveau")),"")</f>
        <v/>
      </c>
    </row>
    <row r="9154" spans="24:30" x14ac:dyDescent="0.25">
      <c r="X9154" s="8" t="e">
        <f>IF(Final_Sans_VGE[[#This Row],[ppn_z]]="","",IFERROR(
   IF(_xlfn.XLOOKUP(Final_Sans_VGE[[#This Row],[ppn_z]],tbl_Historique_Final[ppn_z],tbl_Historique_Final[date_modif])=Final_Sans_VGE[[#This Row],[date_modif]],
      "Ancien",
      "Modifié"),
   "Nouveau"))</f>
        <v>#VALUE!</v>
      </c>
      <c r="AD9154" s="1" t="str">
        <f>IFERROR(IF(Final_Sans_VGE[[#This Row],[ppn_z]]="","",IFERROR(
   IF(_xlfn.XLOOKUP(Final_Sans_VGE[[#This Row],[ppn_z]],tbl_Historique_Final[[#This Row],[ppn_z]],tbl_Historique_Final[[#This Row],[date_modif]])=Final_Sans_VGE[[#This Row],[date_modif]],
      "Ancien",
      "Modifié"),
   "Nouveau")),"")</f>
        <v/>
      </c>
    </row>
    <row r="9155" spans="24:30" x14ac:dyDescent="0.25">
      <c r="X9155" s="8" t="e">
        <f>IF(Final_Sans_VGE[[#This Row],[ppn_z]]="","",IFERROR(
   IF(_xlfn.XLOOKUP(Final_Sans_VGE[[#This Row],[ppn_z]],tbl_Historique_Final[ppn_z],tbl_Historique_Final[date_modif])=Final_Sans_VGE[[#This Row],[date_modif]],
      "Ancien",
      "Modifié"),
   "Nouveau"))</f>
        <v>#VALUE!</v>
      </c>
      <c r="AD9155" s="1" t="str">
        <f>IFERROR(IF(Final_Sans_VGE[[#This Row],[ppn_z]]="","",IFERROR(
   IF(_xlfn.XLOOKUP(Final_Sans_VGE[[#This Row],[ppn_z]],tbl_Historique_Final[[#This Row],[ppn_z]],tbl_Historique_Final[[#This Row],[date_modif]])=Final_Sans_VGE[[#This Row],[date_modif]],
      "Ancien",
      "Modifié"),
   "Nouveau")),"")</f>
        <v/>
      </c>
    </row>
    <row r="9156" spans="24:30" x14ac:dyDescent="0.25">
      <c r="X9156" s="8" t="e">
        <f>IF(Final_Sans_VGE[[#This Row],[ppn_z]]="","",IFERROR(
   IF(_xlfn.XLOOKUP(Final_Sans_VGE[[#This Row],[ppn_z]],tbl_Historique_Final[ppn_z],tbl_Historique_Final[date_modif])=Final_Sans_VGE[[#This Row],[date_modif]],
      "Ancien",
      "Modifié"),
   "Nouveau"))</f>
        <v>#VALUE!</v>
      </c>
      <c r="AD9156" s="1" t="str">
        <f>IFERROR(IF(Final_Sans_VGE[[#This Row],[ppn_z]]="","",IFERROR(
   IF(_xlfn.XLOOKUP(Final_Sans_VGE[[#This Row],[ppn_z]],tbl_Historique_Final[[#This Row],[ppn_z]],tbl_Historique_Final[[#This Row],[date_modif]])=Final_Sans_VGE[[#This Row],[date_modif]],
      "Ancien",
      "Modifié"),
   "Nouveau")),"")</f>
        <v/>
      </c>
    </row>
    <row r="9157" spans="24:30" x14ac:dyDescent="0.25">
      <c r="X9157" s="8" t="e">
        <f>IF(Final_Sans_VGE[[#This Row],[ppn_z]]="","",IFERROR(
   IF(_xlfn.XLOOKUP(Final_Sans_VGE[[#This Row],[ppn_z]],tbl_Historique_Final[ppn_z],tbl_Historique_Final[date_modif])=Final_Sans_VGE[[#This Row],[date_modif]],
      "Ancien",
      "Modifié"),
   "Nouveau"))</f>
        <v>#VALUE!</v>
      </c>
      <c r="AD9157" s="1" t="str">
        <f>IFERROR(IF(Final_Sans_VGE[[#This Row],[ppn_z]]="","",IFERROR(
   IF(_xlfn.XLOOKUP(Final_Sans_VGE[[#This Row],[ppn_z]],tbl_Historique_Final[[#This Row],[ppn_z]],tbl_Historique_Final[[#This Row],[date_modif]])=Final_Sans_VGE[[#This Row],[date_modif]],
      "Ancien",
      "Modifié"),
   "Nouveau")),"")</f>
        <v/>
      </c>
    </row>
    <row r="9158" spans="24:30" x14ac:dyDescent="0.25">
      <c r="X9158" s="8" t="e">
        <f>IF(Final_Sans_VGE[[#This Row],[ppn_z]]="","",IFERROR(
   IF(_xlfn.XLOOKUP(Final_Sans_VGE[[#This Row],[ppn_z]],tbl_Historique_Final[ppn_z],tbl_Historique_Final[date_modif])=Final_Sans_VGE[[#This Row],[date_modif]],
      "Ancien",
      "Modifié"),
   "Nouveau"))</f>
        <v>#VALUE!</v>
      </c>
      <c r="AD9158" s="1" t="str">
        <f>IFERROR(IF(Final_Sans_VGE[[#This Row],[ppn_z]]="","",IFERROR(
   IF(_xlfn.XLOOKUP(Final_Sans_VGE[[#This Row],[ppn_z]],tbl_Historique_Final[[#This Row],[ppn_z]],tbl_Historique_Final[[#This Row],[date_modif]])=Final_Sans_VGE[[#This Row],[date_modif]],
      "Ancien",
      "Modifié"),
   "Nouveau")),"")</f>
        <v/>
      </c>
    </row>
    <row r="9159" spans="24:30" x14ac:dyDescent="0.25">
      <c r="X9159" s="8" t="e">
        <f>IF(Final_Sans_VGE[[#This Row],[ppn_z]]="","",IFERROR(
   IF(_xlfn.XLOOKUP(Final_Sans_VGE[[#This Row],[ppn_z]],tbl_Historique_Final[ppn_z],tbl_Historique_Final[date_modif])=Final_Sans_VGE[[#This Row],[date_modif]],
      "Ancien",
      "Modifié"),
   "Nouveau"))</f>
        <v>#VALUE!</v>
      </c>
      <c r="AD9159" s="1" t="str">
        <f>IFERROR(IF(Final_Sans_VGE[[#This Row],[ppn_z]]="","",IFERROR(
   IF(_xlfn.XLOOKUP(Final_Sans_VGE[[#This Row],[ppn_z]],tbl_Historique_Final[[#This Row],[ppn_z]],tbl_Historique_Final[[#This Row],[date_modif]])=Final_Sans_VGE[[#This Row],[date_modif]],
      "Ancien",
      "Modifié"),
   "Nouveau")),"")</f>
        <v/>
      </c>
    </row>
    <row r="9160" spans="24:30" x14ac:dyDescent="0.25">
      <c r="X9160" s="8" t="e">
        <f>IF(Final_Sans_VGE[[#This Row],[ppn_z]]="","",IFERROR(
   IF(_xlfn.XLOOKUP(Final_Sans_VGE[[#This Row],[ppn_z]],tbl_Historique_Final[ppn_z],tbl_Historique_Final[date_modif])=Final_Sans_VGE[[#This Row],[date_modif]],
      "Ancien",
      "Modifié"),
   "Nouveau"))</f>
        <v>#VALUE!</v>
      </c>
      <c r="AD9160" s="1" t="str">
        <f>IFERROR(IF(Final_Sans_VGE[[#This Row],[ppn_z]]="","",IFERROR(
   IF(_xlfn.XLOOKUP(Final_Sans_VGE[[#This Row],[ppn_z]],tbl_Historique_Final[[#This Row],[ppn_z]],tbl_Historique_Final[[#This Row],[date_modif]])=Final_Sans_VGE[[#This Row],[date_modif]],
      "Ancien",
      "Modifié"),
   "Nouveau")),"")</f>
        <v/>
      </c>
    </row>
    <row r="9161" spans="24:30" x14ac:dyDescent="0.25">
      <c r="X9161" s="8" t="e">
        <f>IF(Final_Sans_VGE[[#This Row],[ppn_z]]="","",IFERROR(
   IF(_xlfn.XLOOKUP(Final_Sans_VGE[[#This Row],[ppn_z]],tbl_Historique_Final[ppn_z],tbl_Historique_Final[date_modif])=Final_Sans_VGE[[#This Row],[date_modif]],
      "Ancien",
      "Modifié"),
   "Nouveau"))</f>
        <v>#VALUE!</v>
      </c>
      <c r="AD9161" s="1" t="str">
        <f>IFERROR(IF(Final_Sans_VGE[[#This Row],[ppn_z]]="","",IFERROR(
   IF(_xlfn.XLOOKUP(Final_Sans_VGE[[#This Row],[ppn_z]],tbl_Historique_Final[[#This Row],[ppn_z]],tbl_Historique_Final[[#This Row],[date_modif]])=Final_Sans_VGE[[#This Row],[date_modif]],
      "Ancien",
      "Modifié"),
   "Nouveau")),"")</f>
        <v/>
      </c>
    </row>
    <row r="9162" spans="24:30" x14ac:dyDescent="0.25">
      <c r="X9162" s="8" t="e">
        <f>IF(Final_Sans_VGE[[#This Row],[ppn_z]]="","",IFERROR(
   IF(_xlfn.XLOOKUP(Final_Sans_VGE[[#This Row],[ppn_z]],tbl_Historique_Final[ppn_z],tbl_Historique_Final[date_modif])=Final_Sans_VGE[[#This Row],[date_modif]],
      "Ancien",
      "Modifié"),
   "Nouveau"))</f>
        <v>#VALUE!</v>
      </c>
      <c r="AD9162" s="1" t="str">
        <f>IFERROR(IF(Final_Sans_VGE[[#This Row],[ppn_z]]="","",IFERROR(
   IF(_xlfn.XLOOKUP(Final_Sans_VGE[[#This Row],[ppn_z]],tbl_Historique_Final[[#This Row],[ppn_z]],tbl_Historique_Final[[#This Row],[date_modif]])=Final_Sans_VGE[[#This Row],[date_modif]],
      "Ancien",
      "Modifié"),
   "Nouveau")),"")</f>
        <v/>
      </c>
    </row>
    <row r="9163" spans="24:30" x14ac:dyDescent="0.25">
      <c r="X9163" s="8" t="e">
        <f>IF(Final_Sans_VGE[[#This Row],[ppn_z]]="","",IFERROR(
   IF(_xlfn.XLOOKUP(Final_Sans_VGE[[#This Row],[ppn_z]],tbl_Historique_Final[ppn_z],tbl_Historique_Final[date_modif])=Final_Sans_VGE[[#This Row],[date_modif]],
      "Ancien",
      "Modifié"),
   "Nouveau"))</f>
        <v>#VALUE!</v>
      </c>
      <c r="AD9163" s="1" t="str">
        <f>IFERROR(IF(Final_Sans_VGE[[#This Row],[ppn_z]]="","",IFERROR(
   IF(_xlfn.XLOOKUP(Final_Sans_VGE[[#This Row],[ppn_z]],tbl_Historique_Final[[#This Row],[ppn_z]],tbl_Historique_Final[[#This Row],[date_modif]])=Final_Sans_VGE[[#This Row],[date_modif]],
      "Ancien",
      "Modifié"),
   "Nouveau")),"")</f>
        <v/>
      </c>
    </row>
    <row r="9164" spans="24:30" x14ac:dyDescent="0.25">
      <c r="X9164" s="8" t="e">
        <f>IF(Final_Sans_VGE[[#This Row],[ppn_z]]="","",IFERROR(
   IF(_xlfn.XLOOKUP(Final_Sans_VGE[[#This Row],[ppn_z]],tbl_Historique_Final[ppn_z],tbl_Historique_Final[date_modif])=Final_Sans_VGE[[#This Row],[date_modif]],
      "Ancien",
      "Modifié"),
   "Nouveau"))</f>
        <v>#VALUE!</v>
      </c>
      <c r="AD9164" s="1" t="str">
        <f>IFERROR(IF(Final_Sans_VGE[[#This Row],[ppn_z]]="","",IFERROR(
   IF(_xlfn.XLOOKUP(Final_Sans_VGE[[#This Row],[ppn_z]],tbl_Historique_Final[[#This Row],[ppn_z]],tbl_Historique_Final[[#This Row],[date_modif]])=Final_Sans_VGE[[#This Row],[date_modif]],
      "Ancien",
      "Modifié"),
   "Nouveau")),"")</f>
        <v/>
      </c>
    </row>
    <row r="9165" spans="24:30" x14ac:dyDescent="0.25">
      <c r="X9165" s="8" t="e">
        <f>IF(Final_Sans_VGE[[#This Row],[ppn_z]]="","",IFERROR(
   IF(_xlfn.XLOOKUP(Final_Sans_VGE[[#This Row],[ppn_z]],tbl_Historique_Final[ppn_z],tbl_Historique_Final[date_modif])=Final_Sans_VGE[[#This Row],[date_modif]],
      "Ancien",
      "Modifié"),
   "Nouveau"))</f>
        <v>#VALUE!</v>
      </c>
      <c r="AD9165" s="1" t="str">
        <f>IFERROR(IF(Final_Sans_VGE[[#This Row],[ppn_z]]="","",IFERROR(
   IF(_xlfn.XLOOKUP(Final_Sans_VGE[[#This Row],[ppn_z]],tbl_Historique_Final[[#This Row],[ppn_z]],tbl_Historique_Final[[#This Row],[date_modif]])=Final_Sans_VGE[[#This Row],[date_modif]],
      "Ancien",
      "Modifié"),
   "Nouveau")),"")</f>
        <v/>
      </c>
    </row>
    <row r="9166" spans="24:30" x14ac:dyDescent="0.25">
      <c r="X9166" s="8" t="e">
        <f>IF(Final_Sans_VGE[[#This Row],[ppn_z]]="","",IFERROR(
   IF(_xlfn.XLOOKUP(Final_Sans_VGE[[#This Row],[ppn_z]],tbl_Historique_Final[ppn_z],tbl_Historique_Final[date_modif])=Final_Sans_VGE[[#This Row],[date_modif]],
      "Ancien",
      "Modifié"),
   "Nouveau"))</f>
        <v>#VALUE!</v>
      </c>
      <c r="AD9166" s="1" t="str">
        <f>IFERROR(IF(Final_Sans_VGE[[#This Row],[ppn_z]]="","",IFERROR(
   IF(_xlfn.XLOOKUP(Final_Sans_VGE[[#This Row],[ppn_z]],tbl_Historique_Final[[#This Row],[ppn_z]],tbl_Historique_Final[[#This Row],[date_modif]])=Final_Sans_VGE[[#This Row],[date_modif]],
      "Ancien",
      "Modifié"),
   "Nouveau")),"")</f>
        <v/>
      </c>
    </row>
    <row r="9167" spans="24:30" x14ac:dyDescent="0.25">
      <c r="X9167" s="8" t="e">
        <f>IF(Final_Sans_VGE[[#This Row],[ppn_z]]="","",IFERROR(
   IF(_xlfn.XLOOKUP(Final_Sans_VGE[[#This Row],[ppn_z]],tbl_Historique_Final[ppn_z],tbl_Historique_Final[date_modif])=Final_Sans_VGE[[#This Row],[date_modif]],
      "Ancien",
      "Modifié"),
   "Nouveau"))</f>
        <v>#VALUE!</v>
      </c>
      <c r="AD9167" s="1" t="str">
        <f>IFERROR(IF(Final_Sans_VGE[[#This Row],[ppn_z]]="","",IFERROR(
   IF(_xlfn.XLOOKUP(Final_Sans_VGE[[#This Row],[ppn_z]],tbl_Historique_Final[[#This Row],[ppn_z]],tbl_Historique_Final[[#This Row],[date_modif]])=Final_Sans_VGE[[#This Row],[date_modif]],
      "Ancien",
      "Modifié"),
   "Nouveau")),"")</f>
        <v/>
      </c>
    </row>
    <row r="9168" spans="24:30" x14ac:dyDescent="0.25">
      <c r="X9168" s="8" t="e">
        <f>IF(Final_Sans_VGE[[#This Row],[ppn_z]]="","",IFERROR(
   IF(_xlfn.XLOOKUP(Final_Sans_VGE[[#This Row],[ppn_z]],tbl_Historique_Final[ppn_z],tbl_Historique_Final[date_modif])=Final_Sans_VGE[[#This Row],[date_modif]],
      "Ancien",
      "Modifié"),
   "Nouveau"))</f>
        <v>#VALUE!</v>
      </c>
      <c r="AD9168" s="1" t="str">
        <f>IFERROR(IF(Final_Sans_VGE[[#This Row],[ppn_z]]="","",IFERROR(
   IF(_xlfn.XLOOKUP(Final_Sans_VGE[[#This Row],[ppn_z]],tbl_Historique_Final[[#This Row],[ppn_z]],tbl_Historique_Final[[#This Row],[date_modif]])=Final_Sans_VGE[[#This Row],[date_modif]],
      "Ancien",
      "Modifié"),
   "Nouveau")),"")</f>
        <v/>
      </c>
    </row>
    <row r="9169" spans="24:30" x14ac:dyDescent="0.25">
      <c r="X9169" s="8" t="e">
        <f>IF(Final_Sans_VGE[[#This Row],[ppn_z]]="","",IFERROR(
   IF(_xlfn.XLOOKUP(Final_Sans_VGE[[#This Row],[ppn_z]],tbl_Historique_Final[ppn_z],tbl_Historique_Final[date_modif])=Final_Sans_VGE[[#This Row],[date_modif]],
      "Ancien",
      "Modifié"),
   "Nouveau"))</f>
        <v>#VALUE!</v>
      </c>
      <c r="AD9169" s="1" t="str">
        <f>IFERROR(IF(Final_Sans_VGE[[#This Row],[ppn_z]]="","",IFERROR(
   IF(_xlfn.XLOOKUP(Final_Sans_VGE[[#This Row],[ppn_z]],tbl_Historique_Final[[#This Row],[ppn_z]],tbl_Historique_Final[[#This Row],[date_modif]])=Final_Sans_VGE[[#This Row],[date_modif]],
      "Ancien",
      "Modifié"),
   "Nouveau")),"")</f>
        <v/>
      </c>
    </row>
    <row r="9170" spans="24:30" x14ac:dyDescent="0.25">
      <c r="X9170" s="8" t="e">
        <f>IF(Final_Sans_VGE[[#This Row],[ppn_z]]="","",IFERROR(
   IF(_xlfn.XLOOKUP(Final_Sans_VGE[[#This Row],[ppn_z]],tbl_Historique_Final[ppn_z],tbl_Historique_Final[date_modif])=Final_Sans_VGE[[#This Row],[date_modif]],
      "Ancien",
      "Modifié"),
   "Nouveau"))</f>
        <v>#VALUE!</v>
      </c>
      <c r="AD9170" s="1" t="str">
        <f>IFERROR(IF(Final_Sans_VGE[[#This Row],[ppn_z]]="","",IFERROR(
   IF(_xlfn.XLOOKUP(Final_Sans_VGE[[#This Row],[ppn_z]],tbl_Historique_Final[[#This Row],[ppn_z]],tbl_Historique_Final[[#This Row],[date_modif]])=Final_Sans_VGE[[#This Row],[date_modif]],
      "Ancien",
      "Modifié"),
   "Nouveau")),"")</f>
        <v/>
      </c>
    </row>
    <row r="9171" spans="24:30" x14ac:dyDescent="0.25">
      <c r="X9171" s="8" t="e">
        <f>IF(Final_Sans_VGE[[#This Row],[ppn_z]]="","",IFERROR(
   IF(_xlfn.XLOOKUP(Final_Sans_VGE[[#This Row],[ppn_z]],tbl_Historique_Final[ppn_z],tbl_Historique_Final[date_modif])=Final_Sans_VGE[[#This Row],[date_modif]],
      "Ancien",
      "Modifié"),
   "Nouveau"))</f>
        <v>#VALUE!</v>
      </c>
      <c r="AD9171" s="1" t="str">
        <f>IFERROR(IF(Final_Sans_VGE[[#This Row],[ppn_z]]="","",IFERROR(
   IF(_xlfn.XLOOKUP(Final_Sans_VGE[[#This Row],[ppn_z]],tbl_Historique_Final[[#This Row],[ppn_z]],tbl_Historique_Final[[#This Row],[date_modif]])=Final_Sans_VGE[[#This Row],[date_modif]],
      "Ancien",
      "Modifié"),
   "Nouveau")),"")</f>
        <v/>
      </c>
    </row>
    <row r="9172" spans="24:30" x14ac:dyDescent="0.25">
      <c r="X9172" s="8" t="e">
        <f>IF(Final_Sans_VGE[[#This Row],[ppn_z]]="","",IFERROR(
   IF(_xlfn.XLOOKUP(Final_Sans_VGE[[#This Row],[ppn_z]],tbl_Historique_Final[ppn_z],tbl_Historique_Final[date_modif])=Final_Sans_VGE[[#This Row],[date_modif]],
      "Ancien",
      "Modifié"),
   "Nouveau"))</f>
        <v>#VALUE!</v>
      </c>
      <c r="AD9172" s="1" t="str">
        <f>IFERROR(IF(Final_Sans_VGE[[#This Row],[ppn_z]]="","",IFERROR(
   IF(_xlfn.XLOOKUP(Final_Sans_VGE[[#This Row],[ppn_z]],tbl_Historique_Final[[#This Row],[ppn_z]],tbl_Historique_Final[[#This Row],[date_modif]])=Final_Sans_VGE[[#This Row],[date_modif]],
      "Ancien",
      "Modifié"),
   "Nouveau")),"")</f>
        <v/>
      </c>
    </row>
    <row r="9173" spans="24:30" x14ac:dyDescent="0.25">
      <c r="X9173" s="8" t="e">
        <f>IF(Final_Sans_VGE[[#This Row],[ppn_z]]="","",IFERROR(
   IF(_xlfn.XLOOKUP(Final_Sans_VGE[[#This Row],[ppn_z]],tbl_Historique_Final[ppn_z],tbl_Historique_Final[date_modif])=Final_Sans_VGE[[#This Row],[date_modif]],
      "Ancien",
      "Modifié"),
   "Nouveau"))</f>
        <v>#VALUE!</v>
      </c>
      <c r="AD9173" s="1" t="str">
        <f>IFERROR(IF(Final_Sans_VGE[[#This Row],[ppn_z]]="","",IFERROR(
   IF(_xlfn.XLOOKUP(Final_Sans_VGE[[#This Row],[ppn_z]],tbl_Historique_Final[[#This Row],[ppn_z]],tbl_Historique_Final[[#This Row],[date_modif]])=Final_Sans_VGE[[#This Row],[date_modif]],
      "Ancien",
      "Modifié"),
   "Nouveau")),"")</f>
        <v/>
      </c>
    </row>
    <row r="9174" spans="24:30" x14ac:dyDescent="0.25">
      <c r="X9174" s="8" t="e">
        <f>IF(Final_Sans_VGE[[#This Row],[ppn_z]]="","",IFERROR(
   IF(_xlfn.XLOOKUP(Final_Sans_VGE[[#This Row],[ppn_z]],tbl_Historique_Final[ppn_z],tbl_Historique_Final[date_modif])=Final_Sans_VGE[[#This Row],[date_modif]],
      "Ancien",
      "Modifié"),
   "Nouveau"))</f>
        <v>#VALUE!</v>
      </c>
      <c r="AD9174" s="1" t="str">
        <f>IFERROR(IF(Final_Sans_VGE[[#This Row],[ppn_z]]="","",IFERROR(
   IF(_xlfn.XLOOKUP(Final_Sans_VGE[[#This Row],[ppn_z]],tbl_Historique_Final[[#This Row],[ppn_z]],tbl_Historique_Final[[#This Row],[date_modif]])=Final_Sans_VGE[[#This Row],[date_modif]],
      "Ancien",
      "Modifié"),
   "Nouveau")),"")</f>
        <v/>
      </c>
    </row>
    <row r="9175" spans="24:30" x14ac:dyDescent="0.25">
      <c r="X9175" s="8" t="e">
        <f>IF(Final_Sans_VGE[[#This Row],[ppn_z]]="","",IFERROR(
   IF(_xlfn.XLOOKUP(Final_Sans_VGE[[#This Row],[ppn_z]],tbl_Historique_Final[ppn_z],tbl_Historique_Final[date_modif])=Final_Sans_VGE[[#This Row],[date_modif]],
      "Ancien",
      "Modifié"),
   "Nouveau"))</f>
        <v>#VALUE!</v>
      </c>
      <c r="AD9175" s="1" t="str">
        <f>IFERROR(IF(Final_Sans_VGE[[#This Row],[ppn_z]]="","",IFERROR(
   IF(_xlfn.XLOOKUP(Final_Sans_VGE[[#This Row],[ppn_z]],tbl_Historique_Final[[#This Row],[ppn_z]],tbl_Historique_Final[[#This Row],[date_modif]])=Final_Sans_VGE[[#This Row],[date_modif]],
      "Ancien",
      "Modifié"),
   "Nouveau")),"")</f>
        <v/>
      </c>
    </row>
    <row r="9176" spans="24:30" x14ac:dyDescent="0.25">
      <c r="X9176" s="8" t="e">
        <f>IF(Final_Sans_VGE[[#This Row],[ppn_z]]="","",IFERROR(
   IF(_xlfn.XLOOKUP(Final_Sans_VGE[[#This Row],[ppn_z]],tbl_Historique_Final[ppn_z],tbl_Historique_Final[date_modif])=Final_Sans_VGE[[#This Row],[date_modif]],
      "Ancien",
      "Modifié"),
   "Nouveau"))</f>
        <v>#VALUE!</v>
      </c>
      <c r="AD9176" s="1" t="str">
        <f>IFERROR(IF(Final_Sans_VGE[[#This Row],[ppn_z]]="","",IFERROR(
   IF(_xlfn.XLOOKUP(Final_Sans_VGE[[#This Row],[ppn_z]],tbl_Historique_Final[[#This Row],[ppn_z]],tbl_Historique_Final[[#This Row],[date_modif]])=Final_Sans_VGE[[#This Row],[date_modif]],
      "Ancien",
      "Modifié"),
   "Nouveau")),"")</f>
        <v/>
      </c>
    </row>
    <row r="9177" spans="24:30" x14ac:dyDescent="0.25">
      <c r="X9177" s="8" t="e">
        <f>IF(Final_Sans_VGE[[#This Row],[ppn_z]]="","",IFERROR(
   IF(_xlfn.XLOOKUP(Final_Sans_VGE[[#This Row],[ppn_z]],tbl_Historique_Final[ppn_z],tbl_Historique_Final[date_modif])=Final_Sans_VGE[[#This Row],[date_modif]],
      "Ancien",
      "Modifié"),
   "Nouveau"))</f>
        <v>#VALUE!</v>
      </c>
      <c r="AD9177" s="1" t="str">
        <f>IFERROR(IF(Final_Sans_VGE[[#This Row],[ppn_z]]="","",IFERROR(
   IF(_xlfn.XLOOKUP(Final_Sans_VGE[[#This Row],[ppn_z]],tbl_Historique_Final[[#This Row],[ppn_z]],tbl_Historique_Final[[#This Row],[date_modif]])=Final_Sans_VGE[[#This Row],[date_modif]],
      "Ancien",
      "Modifié"),
   "Nouveau")),"")</f>
        <v/>
      </c>
    </row>
    <row r="9178" spans="24:30" x14ac:dyDescent="0.25">
      <c r="X9178" s="8" t="e">
        <f>IF(Final_Sans_VGE[[#This Row],[ppn_z]]="","",IFERROR(
   IF(_xlfn.XLOOKUP(Final_Sans_VGE[[#This Row],[ppn_z]],tbl_Historique_Final[ppn_z],tbl_Historique_Final[date_modif])=Final_Sans_VGE[[#This Row],[date_modif]],
      "Ancien",
      "Modifié"),
   "Nouveau"))</f>
        <v>#VALUE!</v>
      </c>
      <c r="AD9178" s="1" t="str">
        <f>IFERROR(IF(Final_Sans_VGE[[#This Row],[ppn_z]]="","",IFERROR(
   IF(_xlfn.XLOOKUP(Final_Sans_VGE[[#This Row],[ppn_z]],tbl_Historique_Final[[#This Row],[ppn_z]],tbl_Historique_Final[[#This Row],[date_modif]])=Final_Sans_VGE[[#This Row],[date_modif]],
      "Ancien",
      "Modifié"),
   "Nouveau")),"")</f>
        <v/>
      </c>
    </row>
    <row r="9179" spans="24:30" x14ac:dyDescent="0.25">
      <c r="X9179" s="8" t="e">
        <f>IF(Final_Sans_VGE[[#This Row],[ppn_z]]="","",IFERROR(
   IF(_xlfn.XLOOKUP(Final_Sans_VGE[[#This Row],[ppn_z]],tbl_Historique_Final[ppn_z],tbl_Historique_Final[date_modif])=Final_Sans_VGE[[#This Row],[date_modif]],
      "Ancien",
      "Modifié"),
   "Nouveau"))</f>
        <v>#VALUE!</v>
      </c>
      <c r="AD9179" s="1" t="str">
        <f>IFERROR(IF(Final_Sans_VGE[[#This Row],[ppn_z]]="","",IFERROR(
   IF(_xlfn.XLOOKUP(Final_Sans_VGE[[#This Row],[ppn_z]],tbl_Historique_Final[[#This Row],[ppn_z]],tbl_Historique_Final[[#This Row],[date_modif]])=Final_Sans_VGE[[#This Row],[date_modif]],
      "Ancien",
      "Modifié"),
   "Nouveau")),"")</f>
        <v/>
      </c>
    </row>
    <row r="9180" spans="24:30" x14ac:dyDescent="0.25">
      <c r="X9180" s="8" t="e">
        <f>IF(Final_Sans_VGE[[#This Row],[ppn_z]]="","",IFERROR(
   IF(_xlfn.XLOOKUP(Final_Sans_VGE[[#This Row],[ppn_z]],tbl_Historique_Final[ppn_z],tbl_Historique_Final[date_modif])=Final_Sans_VGE[[#This Row],[date_modif]],
      "Ancien",
      "Modifié"),
   "Nouveau"))</f>
        <v>#VALUE!</v>
      </c>
      <c r="AD9180" s="1" t="str">
        <f>IFERROR(IF(Final_Sans_VGE[[#This Row],[ppn_z]]="","",IFERROR(
   IF(_xlfn.XLOOKUP(Final_Sans_VGE[[#This Row],[ppn_z]],tbl_Historique_Final[[#This Row],[ppn_z]],tbl_Historique_Final[[#This Row],[date_modif]])=Final_Sans_VGE[[#This Row],[date_modif]],
      "Ancien",
      "Modifié"),
   "Nouveau")),"")</f>
        <v/>
      </c>
    </row>
    <row r="9181" spans="24:30" x14ac:dyDescent="0.25">
      <c r="X9181" s="8" t="e">
        <f>IF(Final_Sans_VGE[[#This Row],[ppn_z]]="","",IFERROR(
   IF(_xlfn.XLOOKUP(Final_Sans_VGE[[#This Row],[ppn_z]],tbl_Historique_Final[ppn_z],tbl_Historique_Final[date_modif])=Final_Sans_VGE[[#This Row],[date_modif]],
      "Ancien",
      "Modifié"),
   "Nouveau"))</f>
        <v>#VALUE!</v>
      </c>
      <c r="AD9181" s="1" t="str">
        <f>IFERROR(IF(Final_Sans_VGE[[#This Row],[ppn_z]]="","",IFERROR(
   IF(_xlfn.XLOOKUP(Final_Sans_VGE[[#This Row],[ppn_z]],tbl_Historique_Final[[#This Row],[ppn_z]],tbl_Historique_Final[[#This Row],[date_modif]])=Final_Sans_VGE[[#This Row],[date_modif]],
      "Ancien",
      "Modifié"),
   "Nouveau")),"")</f>
        <v/>
      </c>
    </row>
    <row r="9182" spans="24:30" x14ac:dyDescent="0.25">
      <c r="X9182" s="8" t="e">
        <f>IF(Final_Sans_VGE[[#This Row],[ppn_z]]="","",IFERROR(
   IF(_xlfn.XLOOKUP(Final_Sans_VGE[[#This Row],[ppn_z]],tbl_Historique_Final[ppn_z],tbl_Historique_Final[date_modif])=Final_Sans_VGE[[#This Row],[date_modif]],
      "Ancien",
      "Modifié"),
   "Nouveau"))</f>
        <v>#VALUE!</v>
      </c>
      <c r="AD9182" s="1" t="str">
        <f>IFERROR(IF(Final_Sans_VGE[[#This Row],[ppn_z]]="","",IFERROR(
   IF(_xlfn.XLOOKUP(Final_Sans_VGE[[#This Row],[ppn_z]],tbl_Historique_Final[[#This Row],[ppn_z]],tbl_Historique_Final[[#This Row],[date_modif]])=Final_Sans_VGE[[#This Row],[date_modif]],
      "Ancien",
      "Modifié"),
   "Nouveau")),"")</f>
        <v/>
      </c>
    </row>
    <row r="9183" spans="24:30" x14ac:dyDescent="0.25">
      <c r="X9183" s="8" t="e">
        <f>IF(Final_Sans_VGE[[#This Row],[ppn_z]]="","",IFERROR(
   IF(_xlfn.XLOOKUP(Final_Sans_VGE[[#This Row],[ppn_z]],tbl_Historique_Final[ppn_z],tbl_Historique_Final[date_modif])=Final_Sans_VGE[[#This Row],[date_modif]],
      "Ancien",
      "Modifié"),
   "Nouveau"))</f>
        <v>#VALUE!</v>
      </c>
      <c r="AD9183" s="1" t="str">
        <f>IFERROR(IF(Final_Sans_VGE[[#This Row],[ppn_z]]="","",IFERROR(
   IF(_xlfn.XLOOKUP(Final_Sans_VGE[[#This Row],[ppn_z]],tbl_Historique_Final[[#This Row],[ppn_z]],tbl_Historique_Final[[#This Row],[date_modif]])=Final_Sans_VGE[[#This Row],[date_modif]],
      "Ancien",
      "Modifié"),
   "Nouveau")),"")</f>
        <v/>
      </c>
    </row>
    <row r="9184" spans="24:30" x14ac:dyDescent="0.25">
      <c r="X9184" s="8" t="e">
        <f>IF(Final_Sans_VGE[[#This Row],[ppn_z]]="","",IFERROR(
   IF(_xlfn.XLOOKUP(Final_Sans_VGE[[#This Row],[ppn_z]],tbl_Historique_Final[ppn_z],tbl_Historique_Final[date_modif])=Final_Sans_VGE[[#This Row],[date_modif]],
      "Ancien",
      "Modifié"),
   "Nouveau"))</f>
        <v>#VALUE!</v>
      </c>
      <c r="AD9184" s="1" t="str">
        <f>IFERROR(IF(Final_Sans_VGE[[#This Row],[ppn_z]]="","",IFERROR(
   IF(_xlfn.XLOOKUP(Final_Sans_VGE[[#This Row],[ppn_z]],tbl_Historique_Final[[#This Row],[ppn_z]],tbl_Historique_Final[[#This Row],[date_modif]])=Final_Sans_VGE[[#This Row],[date_modif]],
      "Ancien",
      "Modifié"),
   "Nouveau")),"")</f>
        <v/>
      </c>
    </row>
    <row r="9185" spans="24:30" x14ac:dyDescent="0.25">
      <c r="X9185" s="8" t="e">
        <f>IF(Final_Sans_VGE[[#This Row],[ppn_z]]="","",IFERROR(
   IF(_xlfn.XLOOKUP(Final_Sans_VGE[[#This Row],[ppn_z]],tbl_Historique_Final[ppn_z],tbl_Historique_Final[date_modif])=Final_Sans_VGE[[#This Row],[date_modif]],
      "Ancien",
      "Modifié"),
   "Nouveau"))</f>
        <v>#VALUE!</v>
      </c>
      <c r="AD9185" s="1" t="str">
        <f>IFERROR(IF(Final_Sans_VGE[[#This Row],[ppn_z]]="","",IFERROR(
   IF(_xlfn.XLOOKUP(Final_Sans_VGE[[#This Row],[ppn_z]],tbl_Historique_Final[[#This Row],[ppn_z]],tbl_Historique_Final[[#This Row],[date_modif]])=Final_Sans_VGE[[#This Row],[date_modif]],
      "Ancien",
      "Modifié"),
   "Nouveau")),"")</f>
        <v/>
      </c>
    </row>
    <row r="9186" spans="24:30" x14ac:dyDescent="0.25">
      <c r="X9186" s="8" t="e">
        <f>IF(Final_Sans_VGE[[#This Row],[ppn_z]]="","",IFERROR(
   IF(_xlfn.XLOOKUP(Final_Sans_VGE[[#This Row],[ppn_z]],tbl_Historique_Final[ppn_z],tbl_Historique_Final[date_modif])=Final_Sans_VGE[[#This Row],[date_modif]],
      "Ancien",
      "Modifié"),
   "Nouveau"))</f>
        <v>#VALUE!</v>
      </c>
      <c r="AD9186" s="1" t="str">
        <f>IFERROR(IF(Final_Sans_VGE[[#This Row],[ppn_z]]="","",IFERROR(
   IF(_xlfn.XLOOKUP(Final_Sans_VGE[[#This Row],[ppn_z]],tbl_Historique_Final[[#This Row],[ppn_z]],tbl_Historique_Final[[#This Row],[date_modif]])=Final_Sans_VGE[[#This Row],[date_modif]],
      "Ancien",
      "Modifié"),
   "Nouveau")),"")</f>
        <v/>
      </c>
    </row>
    <row r="9187" spans="24:30" x14ac:dyDescent="0.25">
      <c r="X9187" s="8" t="e">
        <f>IF(Final_Sans_VGE[[#This Row],[ppn_z]]="","",IFERROR(
   IF(_xlfn.XLOOKUP(Final_Sans_VGE[[#This Row],[ppn_z]],tbl_Historique_Final[ppn_z],tbl_Historique_Final[date_modif])=Final_Sans_VGE[[#This Row],[date_modif]],
      "Ancien",
      "Modifié"),
   "Nouveau"))</f>
        <v>#VALUE!</v>
      </c>
      <c r="AD9187" s="1" t="str">
        <f>IFERROR(IF(Final_Sans_VGE[[#This Row],[ppn_z]]="","",IFERROR(
   IF(_xlfn.XLOOKUP(Final_Sans_VGE[[#This Row],[ppn_z]],tbl_Historique_Final[[#This Row],[ppn_z]],tbl_Historique_Final[[#This Row],[date_modif]])=Final_Sans_VGE[[#This Row],[date_modif]],
      "Ancien",
      "Modifié"),
   "Nouveau")),"")</f>
        <v/>
      </c>
    </row>
    <row r="9188" spans="24:30" x14ac:dyDescent="0.25">
      <c r="X9188" s="8" t="e">
        <f>IF(Final_Sans_VGE[[#This Row],[ppn_z]]="","",IFERROR(
   IF(_xlfn.XLOOKUP(Final_Sans_VGE[[#This Row],[ppn_z]],tbl_Historique_Final[ppn_z],tbl_Historique_Final[date_modif])=Final_Sans_VGE[[#This Row],[date_modif]],
      "Ancien",
      "Modifié"),
   "Nouveau"))</f>
        <v>#VALUE!</v>
      </c>
      <c r="AD9188" s="1" t="str">
        <f>IFERROR(IF(Final_Sans_VGE[[#This Row],[ppn_z]]="","",IFERROR(
   IF(_xlfn.XLOOKUP(Final_Sans_VGE[[#This Row],[ppn_z]],tbl_Historique_Final[[#This Row],[ppn_z]],tbl_Historique_Final[[#This Row],[date_modif]])=Final_Sans_VGE[[#This Row],[date_modif]],
      "Ancien",
      "Modifié"),
   "Nouveau")),"")</f>
        <v/>
      </c>
    </row>
    <row r="9189" spans="24:30" x14ac:dyDescent="0.25">
      <c r="X9189" s="8" t="e">
        <f>IF(Final_Sans_VGE[[#This Row],[ppn_z]]="","",IFERROR(
   IF(_xlfn.XLOOKUP(Final_Sans_VGE[[#This Row],[ppn_z]],tbl_Historique_Final[ppn_z],tbl_Historique_Final[date_modif])=Final_Sans_VGE[[#This Row],[date_modif]],
      "Ancien",
      "Modifié"),
   "Nouveau"))</f>
        <v>#VALUE!</v>
      </c>
      <c r="AD9189" s="1" t="str">
        <f>IFERROR(IF(Final_Sans_VGE[[#This Row],[ppn_z]]="","",IFERROR(
   IF(_xlfn.XLOOKUP(Final_Sans_VGE[[#This Row],[ppn_z]],tbl_Historique_Final[[#This Row],[ppn_z]],tbl_Historique_Final[[#This Row],[date_modif]])=Final_Sans_VGE[[#This Row],[date_modif]],
      "Ancien",
      "Modifié"),
   "Nouveau")),"")</f>
        <v/>
      </c>
    </row>
    <row r="9190" spans="24:30" x14ac:dyDescent="0.25">
      <c r="X9190" s="8" t="e">
        <f>IF(Final_Sans_VGE[[#This Row],[ppn_z]]="","",IFERROR(
   IF(_xlfn.XLOOKUP(Final_Sans_VGE[[#This Row],[ppn_z]],tbl_Historique_Final[ppn_z],tbl_Historique_Final[date_modif])=Final_Sans_VGE[[#This Row],[date_modif]],
      "Ancien",
      "Modifié"),
   "Nouveau"))</f>
        <v>#VALUE!</v>
      </c>
      <c r="AD9190" s="1" t="str">
        <f>IFERROR(IF(Final_Sans_VGE[[#This Row],[ppn_z]]="","",IFERROR(
   IF(_xlfn.XLOOKUP(Final_Sans_VGE[[#This Row],[ppn_z]],tbl_Historique_Final[[#This Row],[ppn_z]],tbl_Historique_Final[[#This Row],[date_modif]])=Final_Sans_VGE[[#This Row],[date_modif]],
      "Ancien",
      "Modifié"),
   "Nouveau")),"")</f>
        <v/>
      </c>
    </row>
    <row r="9191" spans="24:30" x14ac:dyDescent="0.25">
      <c r="X9191" s="8" t="e">
        <f>IF(Final_Sans_VGE[[#This Row],[ppn_z]]="","",IFERROR(
   IF(_xlfn.XLOOKUP(Final_Sans_VGE[[#This Row],[ppn_z]],tbl_Historique_Final[ppn_z],tbl_Historique_Final[date_modif])=Final_Sans_VGE[[#This Row],[date_modif]],
      "Ancien",
      "Modifié"),
   "Nouveau"))</f>
        <v>#VALUE!</v>
      </c>
      <c r="AD9191" s="1" t="str">
        <f>IFERROR(IF(Final_Sans_VGE[[#This Row],[ppn_z]]="","",IFERROR(
   IF(_xlfn.XLOOKUP(Final_Sans_VGE[[#This Row],[ppn_z]],tbl_Historique_Final[[#This Row],[ppn_z]],tbl_Historique_Final[[#This Row],[date_modif]])=Final_Sans_VGE[[#This Row],[date_modif]],
      "Ancien",
      "Modifié"),
   "Nouveau")),"")</f>
        <v/>
      </c>
    </row>
    <row r="9192" spans="24:30" x14ac:dyDescent="0.25">
      <c r="X9192" s="8" t="e">
        <f>IF(Final_Sans_VGE[[#This Row],[ppn_z]]="","",IFERROR(
   IF(_xlfn.XLOOKUP(Final_Sans_VGE[[#This Row],[ppn_z]],tbl_Historique_Final[ppn_z],tbl_Historique_Final[date_modif])=Final_Sans_VGE[[#This Row],[date_modif]],
      "Ancien",
      "Modifié"),
   "Nouveau"))</f>
        <v>#VALUE!</v>
      </c>
      <c r="AD9192" s="1" t="str">
        <f>IFERROR(IF(Final_Sans_VGE[[#This Row],[ppn_z]]="","",IFERROR(
   IF(_xlfn.XLOOKUP(Final_Sans_VGE[[#This Row],[ppn_z]],tbl_Historique_Final[[#This Row],[ppn_z]],tbl_Historique_Final[[#This Row],[date_modif]])=Final_Sans_VGE[[#This Row],[date_modif]],
      "Ancien",
      "Modifié"),
   "Nouveau")),"")</f>
        <v/>
      </c>
    </row>
    <row r="9193" spans="24:30" x14ac:dyDescent="0.25">
      <c r="X9193" s="8" t="e">
        <f>IF(Final_Sans_VGE[[#This Row],[ppn_z]]="","",IFERROR(
   IF(_xlfn.XLOOKUP(Final_Sans_VGE[[#This Row],[ppn_z]],tbl_Historique_Final[ppn_z],tbl_Historique_Final[date_modif])=Final_Sans_VGE[[#This Row],[date_modif]],
      "Ancien",
      "Modifié"),
   "Nouveau"))</f>
        <v>#VALUE!</v>
      </c>
      <c r="AD9193" s="1" t="str">
        <f>IFERROR(IF(Final_Sans_VGE[[#This Row],[ppn_z]]="","",IFERROR(
   IF(_xlfn.XLOOKUP(Final_Sans_VGE[[#This Row],[ppn_z]],tbl_Historique_Final[[#This Row],[ppn_z]],tbl_Historique_Final[[#This Row],[date_modif]])=Final_Sans_VGE[[#This Row],[date_modif]],
      "Ancien",
      "Modifié"),
   "Nouveau")),"")</f>
        <v/>
      </c>
    </row>
    <row r="9194" spans="24:30" x14ac:dyDescent="0.25">
      <c r="X9194" s="8" t="e">
        <f>IF(Final_Sans_VGE[[#This Row],[ppn_z]]="","",IFERROR(
   IF(_xlfn.XLOOKUP(Final_Sans_VGE[[#This Row],[ppn_z]],tbl_Historique_Final[ppn_z],tbl_Historique_Final[date_modif])=Final_Sans_VGE[[#This Row],[date_modif]],
      "Ancien",
      "Modifié"),
   "Nouveau"))</f>
        <v>#VALUE!</v>
      </c>
      <c r="AD9194" s="1" t="str">
        <f>IFERROR(IF(Final_Sans_VGE[[#This Row],[ppn_z]]="","",IFERROR(
   IF(_xlfn.XLOOKUP(Final_Sans_VGE[[#This Row],[ppn_z]],tbl_Historique_Final[[#This Row],[ppn_z]],tbl_Historique_Final[[#This Row],[date_modif]])=Final_Sans_VGE[[#This Row],[date_modif]],
      "Ancien",
      "Modifié"),
   "Nouveau")),"")</f>
        <v/>
      </c>
    </row>
    <row r="9195" spans="24:30" x14ac:dyDescent="0.25">
      <c r="X9195" s="8" t="e">
        <f>IF(Final_Sans_VGE[[#This Row],[ppn_z]]="","",IFERROR(
   IF(_xlfn.XLOOKUP(Final_Sans_VGE[[#This Row],[ppn_z]],tbl_Historique_Final[ppn_z],tbl_Historique_Final[date_modif])=Final_Sans_VGE[[#This Row],[date_modif]],
      "Ancien",
      "Modifié"),
   "Nouveau"))</f>
        <v>#VALUE!</v>
      </c>
      <c r="AD9195" s="1" t="str">
        <f>IFERROR(IF(Final_Sans_VGE[[#This Row],[ppn_z]]="","",IFERROR(
   IF(_xlfn.XLOOKUP(Final_Sans_VGE[[#This Row],[ppn_z]],tbl_Historique_Final[[#This Row],[ppn_z]],tbl_Historique_Final[[#This Row],[date_modif]])=Final_Sans_VGE[[#This Row],[date_modif]],
      "Ancien",
      "Modifié"),
   "Nouveau")),"")</f>
        <v/>
      </c>
    </row>
    <row r="9196" spans="24:30" x14ac:dyDescent="0.25">
      <c r="X9196" s="8" t="e">
        <f>IF(Final_Sans_VGE[[#This Row],[ppn_z]]="","",IFERROR(
   IF(_xlfn.XLOOKUP(Final_Sans_VGE[[#This Row],[ppn_z]],tbl_Historique_Final[ppn_z],tbl_Historique_Final[date_modif])=Final_Sans_VGE[[#This Row],[date_modif]],
      "Ancien",
      "Modifié"),
   "Nouveau"))</f>
        <v>#VALUE!</v>
      </c>
      <c r="AD9196" s="1" t="str">
        <f>IFERROR(IF(Final_Sans_VGE[[#This Row],[ppn_z]]="","",IFERROR(
   IF(_xlfn.XLOOKUP(Final_Sans_VGE[[#This Row],[ppn_z]],tbl_Historique_Final[[#This Row],[ppn_z]],tbl_Historique_Final[[#This Row],[date_modif]])=Final_Sans_VGE[[#This Row],[date_modif]],
      "Ancien",
      "Modifié"),
   "Nouveau")),"")</f>
        <v/>
      </c>
    </row>
    <row r="9197" spans="24:30" x14ac:dyDescent="0.25">
      <c r="X9197" s="8" t="e">
        <f>IF(Final_Sans_VGE[[#This Row],[ppn_z]]="","",IFERROR(
   IF(_xlfn.XLOOKUP(Final_Sans_VGE[[#This Row],[ppn_z]],tbl_Historique_Final[ppn_z],tbl_Historique_Final[date_modif])=Final_Sans_VGE[[#This Row],[date_modif]],
      "Ancien",
      "Modifié"),
   "Nouveau"))</f>
        <v>#VALUE!</v>
      </c>
      <c r="AD9197" s="1" t="str">
        <f>IFERROR(IF(Final_Sans_VGE[[#This Row],[ppn_z]]="","",IFERROR(
   IF(_xlfn.XLOOKUP(Final_Sans_VGE[[#This Row],[ppn_z]],tbl_Historique_Final[[#This Row],[ppn_z]],tbl_Historique_Final[[#This Row],[date_modif]])=Final_Sans_VGE[[#This Row],[date_modif]],
      "Ancien",
      "Modifié"),
   "Nouveau")),"")</f>
        <v/>
      </c>
    </row>
    <row r="9198" spans="24:30" x14ac:dyDescent="0.25">
      <c r="X9198" s="8" t="e">
        <f>IF(Final_Sans_VGE[[#This Row],[ppn_z]]="","",IFERROR(
   IF(_xlfn.XLOOKUP(Final_Sans_VGE[[#This Row],[ppn_z]],tbl_Historique_Final[ppn_z],tbl_Historique_Final[date_modif])=Final_Sans_VGE[[#This Row],[date_modif]],
      "Ancien",
      "Modifié"),
   "Nouveau"))</f>
        <v>#VALUE!</v>
      </c>
      <c r="AD9198" s="1" t="str">
        <f>IFERROR(IF(Final_Sans_VGE[[#This Row],[ppn_z]]="","",IFERROR(
   IF(_xlfn.XLOOKUP(Final_Sans_VGE[[#This Row],[ppn_z]],tbl_Historique_Final[[#This Row],[ppn_z]],tbl_Historique_Final[[#This Row],[date_modif]])=Final_Sans_VGE[[#This Row],[date_modif]],
      "Ancien",
      "Modifié"),
   "Nouveau")),"")</f>
        <v/>
      </c>
    </row>
    <row r="9199" spans="24:30" x14ac:dyDescent="0.25">
      <c r="X9199" s="8" t="e">
        <f>IF(Final_Sans_VGE[[#This Row],[ppn_z]]="","",IFERROR(
   IF(_xlfn.XLOOKUP(Final_Sans_VGE[[#This Row],[ppn_z]],tbl_Historique_Final[ppn_z],tbl_Historique_Final[date_modif])=Final_Sans_VGE[[#This Row],[date_modif]],
      "Ancien",
      "Modifié"),
   "Nouveau"))</f>
        <v>#VALUE!</v>
      </c>
      <c r="AD9199" s="1" t="str">
        <f>IFERROR(IF(Final_Sans_VGE[[#This Row],[ppn_z]]="","",IFERROR(
   IF(_xlfn.XLOOKUP(Final_Sans_VGE[[#This Row],[ppn_z]],tbl_Historique_Final[[#This Row],[ppn_z]],tbl_Historique_Final[[#This Row],[date_modif]])=Final_Sans_VGE[[#This Row],[date_modif]],
      "Ancien",
      "Modifié"),
   "Nouveau")),"")</f>
        <v/>
      </c>
    </row>
    <row r="9200" spans="24:30" x14ac:dyDescent="0.25">
      <c r="X9200" s="8" t="e">
        <f>IF(Final_Sans_VGE[[#This Row],[ppn_z]]="","",IFERROR(
   IF(_xlfn.XLOOKUP(Final_Sans_VGE[[#This Row],[ppn_z]],tbl_Historique_Final[ppn_z],tbl_Historique_Final[date_modif])=Final_Sans_VGE[[#This Row],[date_modif]],
      "Ancien",
      "Modifié"),
   "Nouveau"))</f>
        <v>#VALUE!</v>
      </c>
      <c r="AD9200" s="1" t="str">
        <f>IFERROR(IF(Final_Sans_VGE[[#This Row],[ppn_z]]="","",IFERROR(
   IF(_xlfn.XLOOKUP(Final_Sans_VGE[[#This Row],[ppn_z]],tbl_Historique_Final[[#This Row],[ppn_z]],tbl_Historique_Final[[#This Row],[date_modif]])=Final_Sans_VGE[[#This Row],[date_modif]],
      "Ancien",
      "Modifié"),
   "Nouveau")),"")</f>
        <v/>
      </c>
    </row>
    <row r="9201" spans="24:30" x14ac:dyDescent="0.25">
      <c r="X9201" s="8" t="e">
        <f>IF(Final_Sans_VGE[[#This Row],[ppn_z]]="","",IFERROR(
   IF(_xlfn.XLOOKUP(Final_Sans_VGE[[#This Row],[ppn_z]],tbl_Historique_Final[ppn_z],tbl_Historique_Final[date_modif])=Final_Sans_VGE[[#This Row],[date_modif]],
      "Ancien",
      "Modifié"),
   "Nouveau"))</f>
        <v>#VALUE!</v>
      </c>
      <c r="AD9201" s="1" t="str">
        <f>IFERROR(IF(Final_Sans_VGE[[#This Row],[ppn_z]]="","",IFERROR(
   IF(_xlfn.XLOOKUP(Final_Sans_VGE[[#This Row],[ppn_z]],tbl_Historique_Final[[#This Row],[ppn_z]],tbl_Historique_Final[[#This Row],[date_modif]])=Final_Sans_VGE[[#This Row],[date_modif]],
      "Ancien",
      "Modifié"),
   "Nouveau")),"")</f>
        <v/>
      </c>
    </row>
    <row r="9202" spans="24:30" x14ac:dyDescent="0.25">
      <c r="X9202" s="8" t="e">
        <f>IF(Final_Sans_VGE[[#This Row],[ppn_z]]="","",IFERROR(
   IF(_xlfn.XLOOKUP(Final_Sans_VGE[[#This Row],[ppn_z]],tbl_Historique_Final[ppn_z],tbl_Historique_Final[date_modif])=Final_Sans_VGE[[#This Row],[date_modif]],
      "Ancien",
      "Modifié"),
   "Nouveau"))</f>
        <v>#VALUE!</v>
      </c>
      <c r="AD9202" s="1" t="str">
        <f>IFERROR(IF(Final_Sans_VGE[[#This Row],[ppn_z]]="","",IFERROR(
   IF(_xlfn.XLOOKUP(Final_Sans_VGE[[#This Row],[ppn_z]],tbl_Historique_Final[[#This Row],[ppn_z]],tbl_Historique_Final[[#This Row],[date_modif]])=Final_Sans_VGE[[#This Row],[date_modif]],
      "Ancien",
      "Modifié"),
   "Nouveau")),"")</f>
        <v/>
      </c>
    </row>
    <row r="9203" spans="24:30" x14ac:dyDescent="0.25">
      <c r="X9203" s="8" t="e">
        <f>IF(Final_Sans_VGE[[#This Row],[ppn_z]]="","",IFERROR(
   IF(_xlfn.XLOOKUP(Final_Sans_VGE[[#This Row],[ppn_z]],tbl_Historique_Final[ppn_z],tbl_Historique_Final[date_modif])=Final_Sans_VGE[[#This Row],[date_modif]],
      "Ancien",
      "Modifié"),
   "Nouveau"))</f>
        <v>#VALUE!</v>
      </c>
      <c r="AD9203" s="1" t="str">
        <f>IFERROR(IF(Final_Sans_VGE[[#This Row],[ppn_z]]="","",IFERROR(
   IF(_xlfn.XLOOKUP(Final_Sans_VGE[[#This Row],[ppn_z]],tbl_Historique_Final[[#This Row],[ppn_z]],tbl_Historique_Final[[#This Row],[date_modif]])=Final_Sans_VGE[[#This Row],[date_modif]],
      "Ancien",
      "Modifié"),
   "Nouveau")),"")</f>
        <v/>
      </c>
    </row>
    <row r="9204" spans="24:30" x14ac:dyDescent="0.25">
      <c r="X9204" s="8" t="e">
        <f>IF(Final_Sans_VGE[[#This Row],[ppn_z]]="","",IFERROR(
   IF(_xlfn.XLOOKUP(Final_Sans_VGE[[#This Row],[ppn_z]],tbl_Historique_Final[ppn_z],tbl_Historique_Final[date_modif])=Final_Sans_VGE[[#This Row],[date_modif]],
      "Ancien",
      "Modifié"),
   "Nouveau"))</f>
        <v>#VALUE!</v>
      </c>
      <c r="AD9204" s="1" t="str">
        <f>IFERROR(IF(Final_Sans_VGE[[#This Row],[ppn_z]]="","",IFERROR(
   IF(_xlfn.XLOOKUP(Final_Sans_VGE[[#This Row],[ppn_z]],tbl_Historique_Final[[#This Row],[ppn_z]],tbl_Historique_Final[[#This Row],[date_modif]])=Final_Sans_VGE[[#This Row],[date_modif]],
      "Ancien",
      "Modifié"),
   "Nouveau")),"")</f>
        <v/>
      </c>
    </row>
    <row r="9205" spans="24:30" x14ac:dyDescent="0.25">
      <c r="X9205" s="8" t="e">
        <f>IF(Final_Sans_VGE[[#This Row],[ppn_z]]="","",IFERROR(
   IF(_xlfn.XLOOKUP(Final_Sans_VGE[[#This Row],[ppn_z]],tbl_Historique_Final[ppn_z],tbl_Historique_Final[date_modif])=Final_Sans_VGE[[#This Row],[date_modif]],
      "Ancien",
      "Modifié"),
   "Nouveau"))</f>
        <v>#VALUE!</v>
      </c>
      <c r="AD9205" s="1" t="str">
        <f>IFERROR(IF(Final_Sans_VGE[[#This Row],[ppn_z]]="","",IFERROR(
   IF(_xlfn.XLOOKUP(Final_Sans_VGE[[#This Row],[ppn_z]],tbl_Historique_Final[[#This Row],[ppn_z]],tbl_Historique_Final[[#This Row],[date_modif]])=Final_Sans_VGE[[#This Row],[date_modif]],
      "Ancien",
      "Modifié"),
   "Nouveau")),"")</f>
        <v/>
      </c>
    </row>
    <row r="9206" spans="24:30" x14ac:dyDescent="0.25">
      <c r="X9206" s="8" t="e">
        <f>IF(Final_Sans_VGE[[#This Row],[ppn_z]]="","",IFERROR(
   IF(_xlfn.XLOOKUP(Final_Sans_VGE[[#This Row],[ppn_z]],tbl_Historique_Final[ppn_z],tbl_Historique_Final[date_modif])=Final_Sans_VGE[[#This Row],[date_modif]],
      "Ancien",
      "Modifié"),
   "Nouveau"))</f>
        <v>#VALUE!</v>
      </c>
      <c r="AD9206" s="1" t="str">
        <f>IFERROR(IF(Final_Sans_VGE[[#This Row],[ppn_z]]="","",IFERROR(
   IF(_xlfn.XLOOKUP(Final_Sans_VGE[[#This Row],[ppn_z]],tbl_Historique_Final[[#This Row],[ppn_z]],tbl_Historique_Final[[#This Row],[date_modif]])=Final_Sans_VGE[[#This Row],[date_modif]],
      "Ancien",
      "Modifié"),
   "Nouveau")),"")</f>
        <v/>
      </c>
    </row>
    <row r="9207" spans="24:30" x14ac:dyDescent="0.25">
      <c r="X9207" s="8" t="e">
        <f>IF(Final_Sans_VGE[[#This Row],[ppn_z]]="","",IFERROR(
   IF(_xlfn.XLOOKUP(Final_Sans_VGE[[#This Row],[ppn_z]],tbl_Historique_Final[ppn_z],tbl_Historique_Final[date_modif])=Final_Sans_VGE[[#This Row],[date_modif]],
      "Ancien",
      "Modifié"),
   "Nouveau"))</f>
        <v>#VALUE!</v>
      </c>
      <c r="AD9207" s="1" t="str">
        <f>IFERROR(IF(Final_Sans_VGE[[#This Row],[ppn_z]]="","",IFERROR(
   IF(_xlfn.XLOOKUP(Final_Sans_VGE[[#This Row],[ppn_z]],tbl_Historique_Final[[#This Row],[ppn_z]],tbl_Historique_Final[[#This Row],[date_modif]])=Final_Sans_VGE[[#This Row],[date_modif]],
      "Ancien",
      "Modifié"),
   "Nouveau")),"")</f>
        <v/>
      </c>
    </row>
    <row r="9208" spans="24:30" x14ac:dyDescent="0.25">
      <c r="X9208" s="8" t="e">
        <f>IF(Final_Sans_VGE[[#This Row],[ppn_z]]="","",IFERROR(
   IF(_xlfn.XLOOKUP(Final_Sans_VGE[[#This Row],[ppn_z]],tbl_Historique_Final[ppn_z],tbl_Historique_Final[date_modif])=Final_Sans_VGE[[#This Row],[date_modif]],
      "Ancien",
      "Modifié"),
   "Nouveau"))</f>
        <v>#VALUE!</v>
      </c>
      <c r="AD9208" s="1" t="str">
        <f>IFERROR(IF(Final_Sans_VGE[[#This Row],[ppn_z]]="","",IFERROR(
   IF(_xlfn.XLOOKUP(Final_Sans_VGE[[#This Row],[ppn_z]],tbl_Historique_Final[[#This Row],[ppn_z]],tbl_Historique_Final[[#This Row],[date_modif]])=Final_Sans_VGE[[#This Row],[date_modif]],
      "Ancien",
      "Modifié"),
   "Nouveau")),"")</f>
        <v/>
      </c>
    </row>
    <row r="9209" spans="24:30" x14ac:dyDescent="0.25">
      <c r="X9209" s="8" t="e">
        <f>IF(Final_Sans_VGE[[#This Row],[ppn_z]]="","",IFERROR(
   IF(_xlfn.XLOOKUP(Final_Sans_VGE[[#This Row],[ppn_z]],tbl_Historique_Final[ppn_z],tbl_Historique_Final[date_modif])=Final_Sans_VGE[[#This Row],[date_modif]],
      "Ancien",
      "Modifié"),
   "Nouveau"))</f>
        <v>#VALUE!</v>
      </c>
      <c r="AD9209" s="1" t="str">
        <f>IFERROR(IF(Final_Sans_VGE[[#This Row],[ppn_z]]="","",IFERROR(
   IF(_xlfn.XLOOKUP(Final_Sans_VGE[[#This Row],[ppn_z]],tbl_Historique_Final[[#This Row],[ppn_z]],tbl_Historique_Final[[#This Row],[date_modif]])=Final_Sans_VGE[[#This Row],[date_modif]],
      "Ancien",
      "Modifié"),
   "Nouveau")),"")</f>
        <v/>
      </c>
    </row>
    <row r="9210" spans="24:30" x14ac:dyDescent="0.25">
      <c r="X9210" s="8" t="e">
        <f>IF(Final_Sans_VGE[[#This Row],[ppn_z]]="","",IFERROR(
   IF(_xlfn.XLOOKUP(Final_Sans_VGE[[#This Row],[ppn_z]],tbl_Historique_Final[ppn_z],tbl_Historique_Final[date_modif])=Final_Sans_VGE[[#This Row],[date_modif]],
      "Ancien",
      "Modifié"),
   "Nouveau"))</f>
        <v>#VALUE!</v>
      </c>
      <c r="AD9210" s="1" t="str">
        <f>IFERROR(IF(Final_Sans_VGE[[#This Row],[ppn_z]]="","",IFERROR(
   IF(_xlfn.XLOOKUP(Final_Sans_VGE[[#This Row],[ppn_z]],tbl_Historique_Final[[#This Row],[ppn_z]],tbl_Historique_Final[[#This Row],[date_modif]])=Final_Sans_VGE[[#This Row],[date_modif]],
      "Ancien",
      "Modifié"),
   "Nouveau")),"")</f>
        <v/>
      </c>
    </row>
    <row r="9211" spans="24:30" x14ac:dyDescent="0.25">
      <c r="X9211" s="8" t="e">
        <f>IF(Final_Sans_VGE[[#This Row],[ppn_z]]="","",IFERROR(
   IF(_xlfn.XLOOKUP(Final_Sans_VGE[[#This Row],[ppn_z]],tbl_Historique_Final[ppn_z],tbl_Historique_Final[date_modif])=Final_Sans_VGE[[#This Row],[date_modif]],
      "Ancien",
      "Modifié"),
   "Nouveau"))</f>
        <v>#VALUE!</v>
      </c>
      <c r="AD9211" s="1" t="str">
        <f>IFERROR(IF(Final_Sans_VGE[[#This Row],[ppn_z]]="","",IFERROR(
   IF(_xlfn.XLOOKUP(Final_Sans_VGE[[#This Row],[ppn_z]],tbl_Historique_Final[[#This Row],[ppn_z]],tbl_Historique_Final[[#This Row],[date_modif]])=Final_Sans_VGE[[#This Row],[date_modif]],
      "Ancien",
      "Modifié"),
   "Nouveau")),"")</f>
        <v/>
      </c>
    </row>
    <row r="9212" spans="24:30" x14ac:dyDescent="0.25">
      <c r="X9212" s="8" t="e">
        <f>IF(Final_Sans_VGE[[#This Row],[ppn_z]]="","",IFERROR(
   IF(_xlfn.XLOOKUP(Final_Sans_VGE[[#This Row],[ppn_z]],tbl_Historique_Final[ppn_z],tbl_Historique_Final[date_modif])=Final_Sans_VGE[[#This Row],[date_modif]],
      "Ancien",
      "Modifié"),
   "Nouveau"))</f>
        <v>#VALUE!</v>
      </c>
      <c r="AD9212" s="1" t="str">
        <f>IFERROR(IF(Final_Sans_VGE[[#This Row],[ppn_z]]="","",IFERROR(
   IF(_xlfn.XLOOKUP(Final_Sans_VGE[[#This Row],[ppn_z]],tbl_Historique_Final[[#This Row],[ppn_z]],tbl_Historique_Final[[#This Row],[date_modif]])=Final_Sans_VGE[[#This Row],[date_modif]],
      "Ancien",
      "Modifié"),
   "Nouveau")),"")</f>
        <v/>
      </c>
    </row>
    <row r="9213" spans="24:30" x14ac:dyDescent="0.25">
      <c r="X9213" s="8" t="e">
        <f>IF(Final_Sans_VGE[[#This Row],[ppn_z]]="","",IFERROR(
   IF(_xlfn.XLOOKUP(Final_Sans_VGE[[#This Row],[ppn_z]],tbl_Historique_Final[ppn_z],tbl_Historique_Final[date_modif])=Final_Sans_VGE[[#This Row],[date_modif]],
      "Ancien",
      "Modifié"),
   "Nouveau"))</f>
        <v>#VALUE!</v>
      </c>
      <c r="AD9213" s="1" t="str">
        <f>IFERROR(IF(Final_Sans_VGE[[#This Row],[ppn_z]]="","",IFERROR(
   IF(_xlfn.XLOOKUP(Final_Sans_VGE[[#This Row],[ppn_z]],tbl_Historique_Final[[#This Row],[ppn_z]],tbl_Historique_Final[[#This Row],[date_modif]])=Final_Sans_VGE[[#This Row],[date_modif]],
      "Ancien",
      "Modifié"),
   "Nouveau")),"")</f>
        <v/>
      </c>
    </row>
    <row r="9214" spans="24:30" x14ac:dyDescent="0.25">
      <c r="X9214" s="8" t="e">
        <f>IF(Final_Sans_VGE[[#This Row],[ppn_z]]="","",IFERROR(
   IF(_xlfn.XLOOKUP(Final_Sans_VGE[[#This Row],[ppn_z]],tbl_Historique_Final[ppn_z],tbl_Historique_Final[date_modif])=Final_Sans_VGE[[#This Row],[date_modif]],
      "Ancien",
      "Modifié"),
   "Nouveau"))</f>
        <v>#VALUE!</v>
      </c>
      <c r="AD9214" s="1" t="str">
        <f>IFERROR(IF(Final_Sans_VGE[[#This Row],[ppn_z]]="","",IFERROR(
   IF(_xlfn.XLOOKUP(Final_Sans_VGE[[#This Row],[ppn_z]],tbl_Historique_Final[[#This Row],[ppn_z]],tbl_Historique_Final[[#This Row],[date_modif]])=Final_Sans_VGE[[#This Row],[date_modif]],
      "Ancien",
      "Modifié"),
   "Nouveau")),"")</f>
        <v/>
      </c>
    </row>
    <row r="9215" spans="24:30" x14ac:dyDescent="0.25">
      <c r="X9215" s="8" t="e">
        <f>IF(Final_Sans_VGE[[#This Row],[ppn_z]]="","",IFERROR(
   IF(_xlfn.XLOOKUP(Final_Sans_VGE[[#This Row],[ppn_z]],tbl_Historique_Final[ppn_z],tbl_Historique_Final[date_modif])=Final_Sans_VGE[[#This Row],[date_modif]],
      "Ancien",
      "Modifié"),
   "Nouveau"))</f>
        <v>#VALUE!</v>
      </c>
      <c r="AD9215" s="1" t="str">
        <f>IFERROR(IF(Final_Sans_VGE[[#This Row],[ppn_z]]="","",IFERROR(
   IF(_xlfn.XLOOKUP(Final_Sans_VGE[[#This Row],[ppn_z]],tbl_Historique_Final[[#This Row],[ppn_z]],tbl_Historique_Final[[#This Row],[date_modif]])=Final_Sans_VGE[[#This Row],[date_modif]],
      "Ancien",
      "Modifié"),
   "Nouveau")),"")</f>
        <v/>
      </c>
    </row>
    <row r="9216" spans="24:30" x14ac:dyDescent="0.25">
      <c r="X9216" s="8" t="e">
        <f>IF(Final_Sans_VGE[[#This Row],[ppn_z]]="","",IFERROR(
   IF(_xlfn.XLOOKUP(Final_Sans_VGE[[#This Row],[ppn_z]],tbl_Historique_Final[ppn_z],tbl_Historique_Final[date_modif])=Final_Sans_VGE[[#This Row],[date_modif]],
      "Ancien",
      "Modifié"),
   "Nouveau"))</f>
        <v>#VALUE!</v>
      </c>
      <c r="AD9216" s="1" t="str">
        <f>IFERROR(IF(Final_Sans_VGE[[#This Row],[ppn_z]]="","",IFERROR(
   IF(_xlfn.XLOOKUP(Final_Sans_VGE[[#This Row],[ppn_z]],tbl_Historique_Final[[#This Row],[ppn_z]],tbl_Historique_Final[[#This Row],[date_modif]])=Final_Sans_VGE[[#This Row],[date_modif]],
      "Ancien",
      "Modifié"),
   "Nouveau")),"")</f>
        <v/>
      </c>
    </row>
    <row r="9217" spans="24:30" x14ac:dyDescent="0.25">
      <c r="X9217" s="8" t="e">
        <f>IF(Final_Sans_VGE[[#This Row],[ppn_z]]="","",IFERROR(
   IF(_xlfn.XLOOKUP(Final_Sans_VGE[[#This Row],[ppn_z]],tbl_Historique_Final[ppn_z],tbl_Historique_Final[date_modif])=Final_Sans_VGE[[#This Row],[date_modif]],
      "Ancien",
      "Modifié"),
   "Nouveau"))</f>
        <v>#VALUE!</v>
      </c>
      <c r="AD9217" s="1" t="str">
        <f>IFERROR(IF(Final_Sans_VGE[[#This Row],[ppn_z]]="","",IFERROR(
   IF(_xlfn.XLOOKUP(Final_Sans_VGE[[#This Row],[ppn_z]],tbl_Historique_Final[[#This Row],[ppn_z]],tbl_Historique_Final[[#This Row],[date_modif]])=Final_Sans_VGE[[#This Row],[date_modif]],
      "Ancien",
      "Modifié"),
   "Nouveau")),"")</f>
        <v/>
      </c>
    </row>
    <row r="9218" spans="24:30" x14ac:dyDescent="0.25">
      <c r="X9218" s="8" t="e">
        <f>IF(Final_Sans_VGE[[#This Row],[ppn_z]]="","",IFERROR(
   IF(_xlfn.XLOOKUP(Final_Sans_VGE[[#This Row],[ppn_z]],tbl_Historique_Final[ppn_z],tbl_Historique_Final[date_modif])=Final_Sans_VGE[[#This Row],[date_modif]],
      "Ancien",
      "Modifié"),
   "Nouveau"))</f>
        <v>#VALUE!</v>
      </c>
      <c r="AD9218" s="1" t="str">
        <f>IFERROR(IF(Final_Sans_VGE[[#This Row],[ppn_z]]="","",IFERROR(
   IF(_xlfn.XLOOKUP(Final_Sans_VGE[[#This Row],[ppn_z]],tbl_Historique_Final[[#This Row],[ppn_z]],tbl_Historique_Final[[#This Row],[date_modif]])=Final_Sans_VGE[[#This Row],[date_modif]],
      "Ancien",
      "Modifié"),
   "Nouveau")),"")</f>
        <v/>
      </c>
    </row>
    <row r="9219" spans="24:30" x14ac:dyDescent="0.25">
      <c r="X9219" s="8" t="e">
        <f>IF(Final_Sans_VGE[[#This Row],[ppn_z]]="","",IFERROR(
   IF(_xlfn.XLOOKUP(Final_Sans_VGE[[#This Row],[ppn_z]],tbl_Historique_Final[ppn_z],tbl_Historique_Final[date_modif])=Final_Sans_VGE[[#This Row],[date_modif]],
      "Ancien",
      "Modifié"),
   "Nouveau"))</f>
        <v>#VALUE!</v>
      </c>
      <c r="AD9219" s="1" t="str">
        <f>IFERROR(IF(Final_Sans_VGE[[#This Row],[ppn_z]]="","",IFERROR(
   IF(_xlfn.XLOOKUP(Final_Sans_VGE[[#This Row],[ppn_z]],tbl_Historique_Final[[#This Row],[ppn_z]],tbl_Historique_Final[[#This Row],[date_modif]])=Final_Sans_VGE[[#This Row],[date_modif]],
      "Ancien",
      "Modifié"),
   "Nouveau")),"")</f>
        <v/>
      </c>
    </row>
    <row r="9220" spans="24:30" x14ac:dyDescent="0.25">
      <c r="X9220" s="8" t="e">
        <f>IF(Final_Sans_VGE[[#This Row],[ppn_z]]="","",IFERROR(
   IF(_xlfn.XLOOKUP(Final_Sans_VGE[[#This Row],[ppn_z]],tbl_Historique_Final[ppn_z],tbl_Historique_Final[date_modif])=Final_Sans_VGE[[#This Row],[date_modif]],
      "Ancien",
      "Modifié"),
   "Nouveau"))</f>
        <v>#VALUE!</v>
      </c>
      <c r="AD9220" s="1" t="str">
        <f>IFERROR(IF(Final_Sans_VGE[[#This Row],[ppn_z]]="","",IFERROR(
   IF(_xlfn.XLOOKUP(Final_Sans_VGE[[#This Row],[ppn_z]],tbl_Historique_Final[[#This Row],[ppn_z]],tbl_Historique_Final[[#This Row],[date_modif]])=Final_Sans_VGE[[#This Row],[date_modif]],
      "Ancien",
      "Modifié"),
   "Nouveau")),"")</f>
        <v/>
      </c>
    </row>
    <row r="9221" spans="24:30" x14ac:dyDescent="0.25">
      <c r="X9221" s="8" t="e">
        <f>IF(Final_Sans_VGE[[#This Row],[ppn_z]]="","",IFERROR(
   IF(_xlfn.XLOOKUP(Final_Sans_VGE[[#This Row],[ppn_z]],tbl_Historique_Final[ppn_z],tbl_Historique_Final[date_modif])=Final_Sans_VGE[[#This Row],[date_modif]],
      "Ancien",
      "Modifié"),
   "Nouveau"))</f>
        <v>#VALUE!</v>
      </c>
      <c r="AD9221" s="1" t="str">
        <f>IFERROR(IF(Final_Sans_VGE[[#This Row],[ppn_z]]="","",IFERROR(
   IF(_xlfn.XLOOKUP(Final_Sans_VGE[[#This Row],[ppn_z]],tbl_Historique_Final[[#This Row],[ppn_z]],tbl_Historique_Final[[#This Row],[date_modif]])=Final_Sans_VGE[[#This Row],[date_modif]],
      "Ancien",
      "Modifié"),
   "Nouveau")),"")</f>
        <v/>
      </c>
    </row>
    <row r="9222" spans="24:30" x14ac:dyDescent="0.25">
      <c r="X9222" s="8" t="e">
        <f>IF(Final_Sans_VGE[[#This Row],[ppn_z]]="","",IFERROR(
   IF(_xlfn.XLOOKUP(Final_Sans_VGE[[#This Row],[ppn_z]],tbl_Historique_Final[ppn_z],tbl_Historique_Final[date_modif])=Final_Sans_VGE[[#This Row],[date_modif]],
      "Ancien",
      "Modifié"),
   "Nouveau"))</f>
        <v>#VALUE!</v>
      </c>
      <c r="AD9222" s="1" t="str">
        <f>IFERROR(IF(Final_Sans_VGE[[#This Row],[ppn_z]]="","",IFERROR(
   IF(_xlfn.XLOOKUP(Final_Sans_VGE[[#This Row],[ppn_z]],tbl_Historique_Final[[#This Row],[ppn_z]],tbl_Historique_Final[[#This Row],[date_modif]])=Final_Sans_VGE[[#This Row],[date_modif]],
      "Ancien",
      "Modifié"),
   "Nouveau")),"")</f>
        <v/>
      </c>
    </row>
    <row r="9223" spans="24:30" x14ac:dyDescent="0.25">
      <c r="X9223" s="8" t="e">
        <f>IF(Final_Sans_VGE[[#This Row],[ppn_z]]="","",IFERROR(
   IF(_xlfn.XLOOKUP(Final_Sans_VGE[[#This Row],[ppn_z]],tbl_Historique_Final[ppn_z],tbl_Historique_Final[date_modif])=Final_Sans_VGE[[#This Row],[date_modif]],
      "Ancien",
      "Modifié"),
   "Nouveau"))</f>
        <v>#VALUE!</v>
      </c>
      <c r="AD9223" s="1" t="str">
        <f>IFERROR(IF(Final_Sans_VGE[[#This Row],[ppn_z]]="","",IFERROR(
   IF(_xlfn.XLOOKUP(Final_Sans_VGE[[#This Row],[ppn_z]],tbl_Historique_Final[[#This Row],[ppn_z]],tbl_Historique_Final[[#This Row],[date_modif]])=Final_Sans_VGE[[#This Row],[date_modif]],
      "Ancien",
      "Modifié"),
   "Nouveau")),"")</f>
        <v/>
      </c>
    </row>
    <row r="9224" spans="24:30" x14ac:dyDescent="0.25">
      <c r="X9224" s="8" t="e">
        <f>IF(Final_Sans_VGE[[#This Row],[ppn_z]]="","",IFERROR(
   IF(_xlfn.XLOOKUP(Final_Sans_VGE[[#This Row],[ppn_z]],tbl_Historique_Final[ppn_z],tbl_Historique_Final[date_modif])=Final_Sans_VGE[[#This Row],[date_modif]],
      "Ancien",
      "Modifié"),
   "Nouveau"))</f>
        <v>#VALUE!</v>
      </c>
      <c r="AD9224" s="1" t="str">
        <f>IFERROR(IF(Final_Sans_VGE[[#This Row],[ppn_z]]="","",IFERROR(
   IF(_xlfn.XLOOKUP(Final_Sans_VGE[[#This Row],[ppn_z]],tbl_Historique_Final[[#This Row],[ppn_z]],tbl_Historique_Final[[#This Row],[date_modif]])=Final_Sans_VGE[[#This Row],[date_modif]],
      "Ancien",
      "Modifié"),
   "Nouveau")),"")</f>
        <v/>
      </c>
    </row>
    <row r="9225" spans="24:30" x14ac:dyDescent="0.25">
      <c r="X9225" s="8" t="e">
        <f>IF(Final_Sans_VGE[[#This Row],[ppn_z]]="","",IFERROR(
   IF(_xlfn.XLOOKUP(Final_Sans_VGE[[#This Row],[ppn_z]],tbl_Historique_Final[ppn_z],tbl_Historique_Final[date_modif])=Final_Sans_VGE[[#This Row],[date_modif]],
      "Ancien",
      "Modifié"),
   "Nouveau"))</f>
        <v>#VALUE!</v>
      </c>
      <c r="AD9225" s="1" t="str">
        <f>IFERROR(IF(Final_Sans_VGE[[#This Row],[ppn_z]]="","",IFERROR(
   IF(_xlfn.XLOOKUP(Final_Sans_VGE[[#This Row],[ppn_z]],tbl_Historique_Final[[#This Row],[ppn_z]],tbl_Historique_Final[[#This Row],[date_modif]])=Final_Sans_VGE[[#This Row],[date_modif]],
      "Ancien",
      "Modifié"),
   "Nouveau")),"")</f>
        <v/>
      </c>
    </row>
    <row r="9226" spans="24:30" x14ac:dyDescent="0.25">
      <c r="X9226" s="8" t="e">
        <f>IF(Final_Sans_VGE[[#This Row],[ppn_z]]="","",IFERROR(
   IF(_xlfn.XLOOKUP(Final_Sans_VGE[[#This Row],[ppn_z]],tbl_Historique_Final[ppn_z],tbl_Historique_Final[date_modif])=Final_Sans_VGE[[#This Row],[date_modif]],
      "Ancien",
      "Modifié"),
   "Nouveau"))</f>
        <v>#VALUE!</v>
      </c>
      <c r="AD9226" s="1" t="str">
        <f>IFERROR(IF(Final_Sans_VGE[[#This Row],[ppn_z]]="","",IFERROR(
   IF(_xlfn.XLOOKUP(Final_Sans_VGE[[#This Row],[ppn_z]],tbl_Historique_Final[[#This Row],[ppn_z]],tbl_Historique_Final[[#This Row],[date_modif]])=Final_Sans_VGE[[#This Row],[date_modif]],
      "Ancien",
      "Modifié"),
   "Nouveau")),"")</f>
        <v/>
      </c>
    </row>
    <row r="9227" spans="24:30" x14ac:dyDescent="0.25">
      <c r="X9227" s="8" t="e">
        <f>IF(Final_Sans_VGE[[#This Row],[ppn_z]]="","",IFERROR(
   IF(_xlfn.XLOOKUP(Final_Sans_VGE[[#This Row],[ppn_z]],tbl_Historique_Final[ppn_z],tbl_Historique_Final[date_modif])=Final_Sans_VGE[[#This Row],[date_modif]],
      "Ancien",
      "Modifié"),
   "Nouveau"))</f>
        <v>#VALUE!</v>
      </c>
      <c r="AD9227" s="1" t="str">
        <f>IFERROR(IF(Final_Sans_VGE[[#This Row],[ppn_z]]="","",IFERROR(
   IF(_xlfn.XLOOKUP(Final_Sans_VGE[[#This Row],[ppn_z]],tbl_Historique_Final[[#This Row],[ppn_z]],tbl_Historique_Final[[#This Row],[date_modif]])=Final_Sans_VGE[[#This Row],[date_modif]],
      "Ancien",
      "Modifié"),
   "Nouveau")),"")</f>
        <v/>
      </c>
    </row>
    <row r="9228" spans="24:30" x14ac:dyDescent="0.25">
      <c r="X9228" s="8" t="e">
        <f>IF(Final_Sans_VGE[[#This Row],[ppn_z]]="","",IFERROR(
   IF(_xlfn.XLOOKUP(Final_Sans_VGE[[#This Row],[ppn_z]],tbl_Historique_Final[ppn_z],tbl_Historique_Final[date_modif])=Final_Sans_VGE[[#This Row],[date_modif]],
      "Ancien",
      "Modifié"),
   "Nouveau"))</f>
        <v>#VALUE!</v>
      </c>
      <c r="AD9228" s="1" t="str">
        <f>IFERROR(IF(Final_Sans_VGE[[#This Row],[ppn_z]]="","",IFERROR(
   IF(_xlfn.XLOOKUP(Final_Sans_VGE[[#This Row],[ppn_z]],tbl_Historique_Final[[#This Row],[ppn_z]],tbl_Historique_Final[[#This Row],[date_modif]])=Final_Sans_VGE[[#This Row],[date_modif]],
      "Ancien",
      "Modifié"),
   "Nouveau")),"")</f>
        <v/>
      </c>
    </row>
    <row r="9229" spans="24:30" x14ac:dyDescent="0.25">
      <c r="X9229" s="8" t="e">
        <f>IF(Final_Sans_VGE[[#This Row],[ppn_z]]="","",IFERROR(
   IF(_xlfn.XLOOKUP(Final_Sans_VGE[[#This Row],[ppn_z]],tbl_Historique_Final[ppn_z],tbl_Historique_Final[date_modif])=Final_Sans_VGE[[#This Row],[date_modif]],
      "Ancien",
      "Modifié"),
   "Nouveau"))</f>
        <v>#VALUE!</v>
      </c>
      <c r="AD9229" s="1" t="str">
        <f>IFERROR(IF(Final_Sans_VGE[[#This Row],[ppn_z]]="","",IFERROR(
   IF(_xlfn.XLOOKUP(Final_Sans_VGE[[#This Row],[ppn_z]],tbl_Historique_Final[[#This Row],[ppn_z]],tbl_Historique_Final[[#This Row],[date_modif]])=Final_Sans_VGE[[#This Row],[date_modif]],
      "Ancien",
      "Modifié"),
   "Nouveau")),"")</f>
        <v/>
      </c>
    </row>
    <row r="9230" spans="24:30" x14ac:dyDescent="0.25">
      <c r="X9230" s="8" t="e">
        <f>IF(Final_Sans_VGE[[#This Row],[ppn_z]]="","",IFERROR(
   IF(_xlfn.XLOOKUP(Final_Sans_VGE[[#This Row],[ppn_z]],tbl_Historique_Final[ppn_z],tbl_Historique_Final[date_modif])=Final_Sans_VGE[[#This Row],[date_modif]],
      "Ancien",
      "Modifié"),
   "Nouveau"))</f>
        <v>#VALUE!</v>
      </c>
      <c r="AD9230" s="1" t="str">
        <f>IFERROR(IF(Final_Sans_VGE[[#This Row],[ppn_z]]="","",IFERROR(
   IF(_xlfn.XLOOKUP(Final_Sans_VGE[[#This Row],[ppn_z]],tbl_Historique_Final[[#This Row],[ppn_z]],tbl_Historique_Final[[#This Row],[date_modif]])=Final_Sans_VGE[[#This Row],[date_modif]],
      "Ancien",
      "Modifié"),
   "Nouveau")),"")</f>
        <v/>
      </c>
    </row>
    <row r="9231" spans="24:30" x14ac:dyDescent="0.25">
      <c r="X9231" s="8" t="e">
        <f>IF(Final_Sans_VGE[[#This Row],[ppn_z]]="","",IFERROR(
   IF(_xlfn.XLOOKUP(Final_Sans_VGE[[#This Row],[ppn_z]],tbl_Historique_Final[ppn_z],tbl_Historique_Final[date_modif])=Final_Sans_VGE[[#This Row],[date_modif]],
      "Ancien",
      "Modifié"),
   "Nouveau"))</f>
        <v>#VALUE!</v>
      </c>
      <c r="AD9231" s="1" t="str">
        <f>IFERROR(IF(Final_Sans_VGE[[#This Row],[ppn_z]]="","",IFERROR(
   IF(_xlfn.XLOOKUP(Final_Sans_VGE[[#This Row],[ppn_z]],tbl_Historique_Final[[#This Row],[ppn_z]],tbl_Historique_Final[[#This Row],[date_modif]])=Final_Sans_VGE[[#This Row],[date_modif]],
      "Ancien",
      "Modifié"),
   "Nouveau")),"")</f>
        <v/>
      </c>
    </row>
    <row r="9232" spans="24:30" x14ac:dyDescent="0.25">
      <c r="X9232" s="8" t="e">
        <f>IF(Final_Sans_VGE[[#This Row],[ppn_z]]="","",IFERROR(
   IF(_xlfn.XLOOKUP(Final_Sans_VGE[[#This Row],[ppn_z]],tbl_Historique_Final[ppn_z],tbl_Historique_Final[date_modif])=Final_Sans_VGE[[#This Row],[date_modif]],
      "Ancien",
      "Modifié"),
   "Nouveau"))</f>
        <v>#VALUE!</v>
      </c>
      <c r="AD9232" s="1" t="str">
        <f>IFERROR(IF(Final_Sans_VGE[[#This Row],[ppn_z]]="","",IFERROR(
   IF(_xlfn.XLOOKUP(Final_Sans_VGE[[#This Row],[ppn_z]],tbl_Historique_Final[[#This Row],[ppn_z]],tbl_Historique_Final[[#This Row],[date_modif]])=Final_Sans_VGE[[#This Row],[date_modif]],
      "Ancien",
      "Modifié"),
   "Nouveau")),"")</f>
        <v/>
      </c>
    </row>
    <row r="9233" spans="24:30" x14ac:dyDescent="0.25">
      <c r="X9233" s="8" t="e">
        <f>IF(Final_Sans_VGE[[#This Row],[ppn_z]]="","",IFERROR(
   IF(_xlfn.XLOOKUP(Final_Sans_VGE[[#This Row],[ppn_z]],tbl_Historique_Final[ppn_z],tbl_Historique_Final[date_modif])=Final_Sans_VGE[[#This Row],[date_modif]],
      "Ancien",
      "Modifié"),
   "Nouveau"))</f>
        <v>#VALUE!</v>
      </c>
      <c r="AD9233" s="1" t="str">
        <f>IFERROR(IF(Final_Sans_VGE[[#This Row],[ppn_z]]="","",IFERROR(
   IF(_xlfn.XLOOKUP(Final_Sans_VGE[[#This Row],[ppn_z]],tbl_Historique_Final[[#This Row],[ppn_z]],tbl_Historique_Final[[#This Row],[date_modif]])=Final_Sans_VGE[[#This Row],[date_modif]],
      "Ancien",
      "Modifié"),
   "Nouveau")),"")</f>
        <v/>
      </c>
    </row>
    <row r="9234" spans="24:30" x14ac:dyDescent="0.25">
      <c r="X9234" s="8" t="e">
        <f>IF(Final_Sans_VGE[[#This Row],[ppn_z]]="","",IFERROR(
   IF(_xlfn.XLOOKUP(Final_Sans_VGE[[#This Row],[ppn_z]],tbl_Historique_Final[ppn_z],tbl_Historique_Final[date_modif])=Final_Sans_VGE[[#This Row],[date_modif]],
      "Ancien",
      "Modifié"),
   "Nouveau"))</f>
        <v>#VALUE!</v>
      </c>
      <c r="AD9234" s="1" t="str">
        <f>IFERROR(IF(Final_Sans_VGE[[#This Row],[ppn_z]]="","",IFERROR(
   IF(_xlfn.XLOOKUP(Final_Sans_VGE[[#This Row],[ppn_z]],tbl_Historique_Final[[#This Row],[ppn_z]],tbl_Historique_Final[[#This Row],[date_modif]])=Final_Sans_VGE[[#This Row],[date_modif]],
      "Ancien",
      "Modifié"),
   "Nouveau")),"")</f>
        <v/>
      </c>
    </row>
    <row r="9235" spans="24:30" x14ac:dyDescent="0.25">
      <c r="X9235" s="8" t="e">
        <f>IF(Final_Sans_VGE[[#This Row],[ppn_z]]="","",IFERROR(
   IF(_xlfn.XLOOKUP(Final_Sans_VGE[[#This Row],[ppn_z]],tbl_Historique_Final[ppn_z],tbl_Historique_Final[date_modif])=Final_Sans_VGE[[#This Row],[date_modif]],
      "Ancien",
      "Modifié"),
   "Nouveau"))</f>
        <v>#VALUE!</v>
      </c>
      <c r="AD9235" s="1" t="str">
        <f>IFERROR(IF(Final_Sans_VGE[[#This Row],[ppn_z]]="","",IFERROR(
   IF(_xlfn.XLOOKUP(Final_Sans_VGE[[#This Row],[ppn_z]],tbl_Historique_Final[[#This Row],[ppn_z]],tbl_Historique_Final[[#This Row],[date_modif]])=Final_Sans_VGE[[#This Row],[date_modif]],
      "Ancien",
      "Modifié"),
   "Nouveau")),"")</f>
        <v/>
      </c>
    </row>
    <row r="9236" spans="24:30" x14ac:dyDescent="0.25">
      <c r="X9236" s="8" t="e">
        <f>IF(Final_Sans_VGE[[#This Row],[ppn_z]]="","",IFERROR(
   IF(_xlfn.XLOOKUP(Final_Sans_VGE[[#This Row],[ppn_z]],tbl_Historique_Final[ppn_z],tbl_Historique_Final[date_modif])=Final_Sans_VGE[[#This Row],[date_modif]],
      "Ancien",
      "Modifié"),
   "Nouveau"))</f>
        <v>#VALUE!</v>
      </c>
      <c r="AD9236" s="1" t="str">
        <f>IFERROR(IF(Final_Sans_VGE[[#This Row],[ppn_z]]="","",IFERROR(
   IF(_xlfn.XLOOKUP(Final_Sans_VGE[[#This Row],[ppn_z]],tbl_Historique_Final[[#This Row],[ppn_z]],tbl_Historique_Final[[#This Row],[date_modif]])=Final_Sans_VGE[[#This Row],[date_modif]],
      "Ancien",
      "Modifié"),
   "Nouveau")),"")</f>
        <v/>
      </c>
    </row>
    <row r="9237" spans="24:30" x14ac:dyDescent="0.25">
      <c r="X9237" s="8" t="e">
        <f>IF(Final_Sans_VGE[[#This Row],[ppn_z]]="","",IFERROR(
   IF(_xlfn.XLOOKUP(Final_Sans_VGE[[#This Row],[ppn_z]],tbl_Historique_Final[ppn_z],tbl_Historique_Final[date_modif])=Final_Sans_VGE[[#This Row],[date_modif]],
      "Ancien",
      "Modifié"),
   "Nouveau"))</f>
        <v>#VALUE!</v>
      </c>
      <c r="AD9237" s="1" t="str">
        <f>IFERROR(IF(Final_Sans_VGE[[#This Row],[ppn_z]]="","",IFERROR(
   IF(_xlfn.XLOOKUP(Final_Sans_VGE[[#This Row],[ppn_z]],tbl_Historique_Final[[#This Row],[ppn_z]],tbl_Historique_Final[[#This Row],[date_modif]])=Final_Sans_VGE[[#This Row],[date_modif]],
      "Ancien",
      "Modifié"),
   "Nouveau")),"")</f>
        <v/>
      </c>
    </row>
    <row r="9238" spans="24:30" x14ac:dyDescent="0.25">
      <c r="X9238" s="8" t="e">
        <f>IF(Final_Sans_VGE[[#This Row],[ppn_z]]="","",IFERROR(
   IF(_xlfn.XLOOKUP(Final_Sans_VGE[[#This Row],[ppn_z]],tbl_Historique_Final[ppn_z],tbl_Historique_Final[date_modif])=Final_Sans_VGE[[#This Row],[date_modif]],
      "Ancien",
      "Modifié"),
   "Nouveau"))</f>
        <v>#VALUE!</v>
      </c>
      <c r="AD9238" s="1" t="str">
        <f>IFERROR(IF(Final_Sans_VGE[[#This Row],[ppn_z]]="","",IFERROR(
   IF(_xlfn.XLOOKUP(Final_Sans_VGE[[#This Row],[ppn_z]],tbl_Historique_Final[[#This Row],[ppn_z]],tbl_Historique_Final[[#This Row],[date_modif]])=Final_Sans_VGE[[#This Row],[date_modif]],
      "Ancien",
      "Modifié"),
   "Nouveau")),"")</f>
        <v/>
      </c>
    </row>
    <row r="9239" spans="24:30" x14ac:dyDescent="0.25">
      <c r="X9239" s="8" t="e">
        <f>IF(Final_Sans_VGE[[#This Row],[ppn_z]]="","",IFERROR(
   IF(_xlfn.XLOOKUP(Final_Sans_VGE[[#This Row],[ppn_z]],tbl_Historique_Final[ppn_z],tbl_Historique_Final[date_modif])=Final_Sans_VGE[[#This Row],[date_modif]],
      "Ancien",
      "Modifié"),
   "Nouveau"))</f>
        <v>#VALUE!</v>
      </c>
      <c r="AD9239" s="1" t="str">
        <f>IFERROR(IF(Final_Sans_VGE[[#This Row],[ppn_z]]="","",IFERROR(
   IF(_xlfn.XLOOKUP(Final_Sans_VGE[[#This Row],[ppn_z]],tbl_Historique_Final[[#This Row],[ppn_z]],tbl_Historique_Final[[#This Row],[date_modif]])=Final_Sans_VGE[[#This Row],[date_modif]],
      "Ancien",
      "Modifié"),
   "Nouveau")),"")</f>
        <v/>
      </c>
    </row>
    <row r="9240" spans="24:30" x14ac:dyDescent="0.25">
      <c r="X9240" s="8" t="e">
        <f>IF(Final_Sans_VGE[[#This Row],[ppn_z]]="","",IFERROR(
   IF(_xlfn.XLOOKUP(Final_Sans_VGE[[#This Row],[ppn_z]],tbl_Historique_Final[ppn_z],tbl_Historique_Final[date_modif])=Final_Sans_VGE[[#This Row],[date_modif]],
      "Ancien",
      "Modifié"),
   "Nouveau"))</f>
        <v>#VALUE!</v>
      </c>
      <c r="AD9240" s="1" t="str">
        <f>IFERROR(IF(Final_Sans_VGE[[#This Row],[ppn_z]]="","",IFERROR(
   IF(_xlfn.XLOOKUP(Final_Sans_VGE[[#This Row],[ppn_z]],tbl_Historique_Final[[#This Row],[ppn_z]],tbl_Historique_Final[[#This Row],[date_modif]])=Final_Sans_VGE[[#This Row],[date_modif]],
      "Ancien",
      "Modifié"),
   "Nouveau")),"")</f>
        <v/>
      </c>
    </row>
    <row r="9241" spans="24:30" x14ac:dyDescent="0.25">
      <c r="X9241" s="8" t="e">
        <f>IF(Final_Sans_VGE[[#This Row],[ppn_z]]="","",IFERROR(
   IF(_xlfn.XLOOKUP(Final_Sans_VGE[[#This Row],[ppn_z]],tbl_Historique_Final[ppn_z],tbl_Historique_Final[date_modif])=Final_Sans_VGE[[#This Row],[date_modif]],
      "Ancien",
      "Modifié"),
   "Nouveau"))</f>
        <v>#VALUE!</v>
      </c>
      <c r="AD9241" s="1" t="str">
        <f>IFERROR(IF(Final_Sans_VGE[[#This Row],[ppn_z]]="","",IFERROR(
   IF(_xlfn.XLOOKUP(Final_Sans_VGE[[#This Row],[ppn_z]],tbl_Historique_Final[[#This Row],[ppn_z]],tbl_Historique_Final[[#This Row],[date_modif]])=Final_Sans_VGE[[#This Row],[date_modif]],
      "Ancien",
      "Modifié"),
   "Nouveau")),"")</f>
        <v/>
      </c>
    </row>
    <row r="9242" spans="24:30" x14ac:dyDescent="0.25">
      <c r="X9242" s="8" t="e">
        <f>IF(Final_Sans_VGE[[#This Row],[ppn_z]]="","",IFERROR(
   IF(_xlfn.XLOOKUP(Final_Sans_VGE[[#This Row],[ppn_z]],tbl_Historique_Final[ppn_z],tbl_Historique_Final[date_modif])=Final_Sans_VGE[[#This Row],[date_modif]],
      "Ancien",
      "Modifié"),
   "Nouveau"))</f>
        <v>#VALUE!</v>
      </c>
      <c r="AD9242" s="1" t="str">
        <f>IFERROR(IF(Final_Sans_VGE[[#This Row],[ppn_z]]="","",IFERROR(
   IF(_xlfn.XLOOKUP(Final_Sans_VGE[[#This Row],[ppn_z]],tbl_Historique_Final[[#This Row],[ppn_z]],tbl_Historique_Final[[#This Row],[date_modif]])=Final_Sans_VGE[[#This Row],[date_modif]],
      "Ancien",
      "Modifié"),
   "Nouveau")),"")</f>
        <v/>
      </c>
    </row>
    <row r="9243" spans="24:30" x14ac:dyDescent="0.25">
      <c r="X9243" s="8" t="e">
        <f>IF(Final_Sans_VGE[[#This Row],[ppn_z]]="","",IFERROR(
   IF(_xlfn.XLOOKUP(Final_Sans_VGE[[#This Row],[ppn_z]],tbl_Historique_Final[ppn_z],tbl_Historique_Final[date_modif])=Final_Sans_VGE[[#This Row],[date_modif]],
      "Ancien",
      "Modifié"),
   "Nouveau"))</f>
        <v>#VALUE!</v>
      </c>
      <c r="AD9243" s="1" t="str">
        <f>IFERROR(IF(Final_Sans_VGE[[#This Row],[ppn_z]]="","",IFERROR(
   IF(_xlfn.XLOOKUP(Final_Sans_VGE[[#This Row],[ppn_z]],tbl_Historique_Final[[#This Row],[ppn_z]],tbl_Historique_Final[[#This Row],[date_modif]])=Final_Sans_VGE[[#This Row],[date_modif]],
      "Ancien",
      "Modifié"),
   "Nouveau")),"")</f>
        <v/>
      </c>
    </row>
    <row r="9244" spans="24:30" x14ac:dyDescent="0.25">
      <c r="X9244" s="8" t="e">
        <f>IF(Final_Sans_VGE[[#This Row],[ppn_z]]="","",IFERROR(
   IF(_xlfn.XLOOKUP(Final_Sans_VGE[[#This Row],[ppn_z]],tbl_Historique_Final[ppn_z],tbl_Historique_Final[date_modif])=Final_Sans_VGE[[#This Row],[date_modif]],
      "Ancien",
      "Modifié"),
   "Nouveau"))</f>
        <v>#VALUE!</v>
      </c>
      <c r="AD9244" s="1" t="str">
        <f>IFERROR(IF(Final_Sans_VGE[[#This Row],[ppn_z]]="","",IFERROR(
   IF(_xlfn.XLOOKUP(Final_Sans_VGE[[#This Row],[ppn_z]],tbl_Historique_Final[[#This Row],[ppn_z]],tbl_Historique_Final[[#This Row],[date_modif]])=Final_Sans_VGE[[#This Row],[date_modif]],
      "Ancien",
      "Modifié"),
   "Nouveau")),"")</f>
        <v/>
      </c>
    </row>
    <row r="9245" spans="24:30" x14ac:dyDescent="0.25">
      <c r="X9245" s="8" t="e">
        <f>IF(Final_Sans_VGE[[#This Row],[ppn_z]]="","",IFERROR(
   IF(_xlfn.XLOOKUP(Final_Sans_VGE[[#This Row],[ppn_z]],tbl_Historique_Final[ppn_z],tbl_Historique_Final[date_modif])=Final_Sans_VGE[[#This Row],[date_modif]],
      "Ancien",
      "Modifié"),
   "Nouveau"))</f>
        <v>#VALUE!</v>
      </c>
      <c r="AD9245" s="1" t="str">
        <f>IFERROR(IF(Final_Sans_VGE[[#This Row],[ppn_z]]="","",IFERROR(
   IF(_xlfn.XLOOKUP(Final_Sans_VGE[[#This Row],[ppn_z]],tbl_Historique_Final[[#This Row],[ppn_z]],tbl_Historique_Final[[#This Row],[date_modif]])=Final_Sans_VGE[[#This Row],[date_modif]],
      "Ancien",
      "Modifié"),
   "Nouveau")),"")</f>
        <v/>
      </c>
    </row>
    <row r="9246" spans="24:30" x14ac:dyDescent="0.25">
      <c r="X9246" s="8" t="e">
        <f>IF(Final_Sans_VGE[[#This Row],[ppn_z]]="","",IFERROR(
   IF(_xlfn.XLOOKUP(Final_Sans_VGE[[#This Row],[ppn_z]],tbl_Historique_Final[ppn_z],tbl_Historique_Final[date_modif])=Final_Sans_VGE[[#This Row],[date_modif]],
      "Ancien",
      "Modifié"),
   "Nouveau"))</f>
        <v>#VALUE!</v>
      </c>
      <c r="AD9246" s="1" t="str">
        <f>IFERROR(IF(Final_Sans_VGE[[#This Row],[ppn_z]]="","",IFERROR(
   IF(_xlfn.XLOOKUP(Final_Sans_VGE[[#This Row],[ppn_z]],tbl_Historique_Final[[#This Row],[ppn_z]],tbl_Historique_Final[[#This Row],[date_modif]])=Final_Sans_VGE[[#This Row],[date_modif]],
      "Ancien",
      "Modifié"),
   "Nouveau")),"")</f>
        <v/>
      </c>
    </row>
    <row r="9247" spans="24:30" x14ac:dyDescent="0.25">
      <c r="X9247" s="8" t="e">
        <f>IF(Final_Sans_VGE[[#This Row],[ppn_z]]="","",IFERROR(
   IF(_xlfn.XLOOKUP(Final_Sans_VGE[[#This Row],[ppn_z]],tbl_Historique_Final[ppn_z],tbl_Historique_Final[date_modif])=Final_Sans_VGE[[#This Row],[date_modif]],
      "Ancien",
      "Modifié"),
   "Nouveau"))</f>
        <v>#VALUE!</v>
      </c>
      <c r="AD9247" s="1" t="str">
        <f>IFERROR(IF(Final_Sans_VGE[[#This Row],[ppn_z]]="","",IFERROR(
   IF(_xlfn.XLOOKUP(Final_Sans_VGE[[#This Row],[ppn_z]],tbl_Historique_Final[[#This Row],[ppn_z]],tbl_Historique_Final[[#This Row],[date_modif]])=Final_Sans_VGE[[#This Row],[date_modif]],
      "Ancien",
      "Modifié"),
   "Nouveau")),"")</f>
        <v/>
      </c>
    </row>
    <row r="9248" spans="24:30" x14ac:dyDescent="0.25">
      <c r="X9248" s="8" t="e">
        <f>IF(Final_Sans_VGE[[#This Row],[ppn_z]]="","",IFERROR(
   IF(_xlfn.XLOOKUP(Final_Sans_VGE[[#This Row],[ppn_z]],tbl_Historique_Final[ppn_z],tbl_Historique_Final[date_modif])=Final_Sans_VGE[[#This Row],[date_modif]],
      "Ancien",
      "Modifié"),
   "Nouveau"))</f>
        <v>#VALUE!</v>
      </c>
      <c r="AD9248" s="1" t="str">
        <f>IFERROR(IF(Final_Sans_VGE[[#This Row],[ppn_z]]="","",IFERROR(
   IF(_xlfn.XLOOKUP(Final_Sans_VGE[[#This Row],[ppn_z]],tbl_Historique_Final[[#This Row],[ppn_z]],tbl_Historique_Final[[#This Row],[date_modif]])=Final_Sans_VGE[[#This Row],[date_modif]],
      "Ancien",
      "Modifié"),
   "Nouveau")),"")</f>
        <v/>
      </c>
    </row>
    <row r="9249" spans="24:30" x14ac:dyDescent="0.25">
      <c r="X9249" s="8" t="e">
        <f>IF(Final_Sans_VGE[[#This Row],[ppn_z]]="","",IFERROR(
   IF(_xlfn.XLOOKUP(Final_Sans_VGE[[#This Row],[ppn_z]],tbl_Historique_Final[ppn_z],tbl_Historique_Final[date_modif])=Final_Sans_VGE[[#This Row],[date_modif]],
      "Ancien",
      "Modifié"),
   "Nouveau"))</f>
        <v>#VALUE!</v>
      </c>
      <c r="AD9249" s="1" t="str">
        <f>IFERROR(IF(Final_Sans_VGE[[#This Row],[ppn_z]]="","",IFERROR(
   IF(_xlfn.XLOOKUP(Final_Sans_VGE[[#This Row],[ppn_z]],tbl_Historique_Final[[#This Row],[ppn_z]],tbl_Historique_Final[[#This Row],[date_modif]])=Final_Sans_VGE[[#This Row],[date_modif]],
      "Ancien",
      "Modifié"),
   "Nouveau")),"")</f>
        <v/>
      </c>
    </row>
    <row r="9250" spans="24:30" x14ac:dyDescent="0.25">
      <c r="X9250" s="8" t="e">
        <f>IF(Final_Sans_VGE[[#This Row],[ppn_z]]="","",IFERROR(
   IF(_xlfn.XLOOKUP(Final_Sans_VGE[[#This Row],[ppn_z]],tbl_Historique_Final[ppn_z],tbl_Historique_Final[date_modif])=Final_Sans_VGE[[#This Row],[date_modif]],
      "Ancien",
      "Modifié"),
   "Nouveau"))</f>
        <v>#VALUE!</v>
      </c>
      <c r="AD9250" s="1" t="str">
        <f>IFERROR(IF(Final_Sans_VGE[[#This Row],[ppn_z]]="","",IFERROR(
   IF(_xlfn.XLOOKUP(Final_Sans_VGE[[#This Row],[ppn_z]],tbl_Historique_Final[[#This Row],[ppn_z]],tbl_Historique_Final[[#This Row],[date_modif]])=Final_Sans_VGE[[#This Row],[date_modif]],
      "Ancien",
      "Modifié"),
   "Nouveau")),"")</f>
        <v/>
      </c>
    </row>
    <row r="9251" spans="24:30" x14ac:dyDescent="0.25">
      <c r="X9251" s="8" t="e">
        <f>IF(Final_Sans_VGE[[#This Row],[ppn_z]]="","",IFERROR(
   IF(_xlfn.XLOOKUP(Final_Sans_VGE[[#This Row],[ppn_z]],tbl_Historique_Final[ppn_z],tbl_Historique_Final[date_modif])=Final_Sans_VGE[[#This Row],[date_modif]],
      "Ancien",
      "Modifié"),
   "Nouveau"))</f>
        <v>#VALUE!</v>
      </c>
      <c r="AD9251" s="1" t="str">
        <f>IFERROR(IF(Final_Sans_VGE[[#This Row],[ppn_z]]="","",IFERROR(
   IF(_xlfn.XLOOKUP(Final_Sans_VGE[[#This Row],[ppn_z]],tbl_Historique_Final[[#This Row],[ppn_z]],tbl_Historique_Final[[#This Row],[date_modif]])=Final_Sans_VGE[[#This Row],[date_modif]],
      "Ancien",
      "Modifié"),
   "Nouveau")),"")</f>
        <v/>
      </c>
    </row>
    <row r="9252" spans="24:30" x14ac:dyDescent="0.25">
      <c r="X9252" s="8" t="e">
        <f>IF(Final_Sans_VGE[[#This Row],[ppn_z]]="","",IFERROR(
   IF(_xlfn.XLOOKUP(Final_Sans_VGE[[#This Row],[ppn_z]],tbl_Historique_Final[ppn_z],tbl_Historique_Final[date_modif])=Final_Sans_VGE[[#This Row],[date_modif]],
      "Ancien",
      "Modifié"),
   "Nouveau"))</f>
        <v>#VALUE!</v>
      </c>
      <c r="AD9252" s="1" t="str">
        <f>IFERROR(IF(Final_Sans_VGE[[#This Row],[ppn_z]]="","",IFERROR(
   IF(_xlfn.XLOOKUP(Final_Sans_VGE[[#This Row],[ppn_z]],tbl_Historique_Final[[#This Row],[ppn_z]],tbl_Historique_Final[[#This Row],[date_modif]])=Final_Sans_VGE[[#This Row],[date_modif]],
      "Ancien",
      "Modifié"),
   "Nouveau")),"")</f>
        <v/>
      </c>
    </row>
    <row r="9253" spans="24:30" x14ac:dyDescent="0.25">
      <c r="X9253" s="8" t="e">
        <f>IF(Final_Sans_VGE[[#This Row],[ppn_z]]="","",IFERROR(
   IF(_xlfn.XLOOKUP(Final_Sans_VGE[[#This Row],[ppn_z]],tbl_Historique_Final[ppn_z],tbl_Historique_Final[date_modif])=Final_Sans_VGE[[#This Row],[date_modif]],
      "Ancien",
      "Modifié"),
   "Nouveau"))</f>
        <v>#VALUE!</v>
      </c>
      <c r="AD9253" s="1" t="str">
        <f>IFERROR(IF(Final_Sans_VGE[[#This Row],[ppn_z]]="","",IFERROR(
   IF(_xlfn.XLOOKUP(Final_Sans_VGE[[#This Row],[ppn_z]],tbl_Historique_Final[[#This Row],[ppn_z]],tbl_Historique_Final[[#This Row],[date_modif]])=Final_Sans_VGE[[#This Row],[date_modif]],
      "Ancien",
      "Modifié"),
   "Nouveau")),"")</f>
        <v/>
      </c>
    </row>
    <row r="9254" spans="24:30" x14ac:dyDescent="0.25">
      <c r="X9254" s="8" t="e">
        <f>IF(Final_Sans_VGE[[#This Row],[ppn_z]]="","",IFERROR(
   IF(_xlfn.XLOOKUP(Final_Sans_VGE[[#This Row],[ppn_z]],tbl_Historique_Final[ppn_z],tbl_Historique_Final[date_modif])=Final_Sans_VGE[[#This Row],[date_modif]],
      "Ancien",
      "Modifié"),
   "Nouveau"))</f>
        <v>#VALUE!</v>
      </c>
      <c r="AD9254" s="1" t="str">
        <f>IFERROR(IF(Final_Sans_VGE[[#This Row],[ppn_z]]="","",IFERROR(
   IF(_xlfn.XLOOKUP(Final_Sans_VGE[[#This Row],[ppn_z]],tbl_Historique_Final[[#This Row],[ppn_z]],tbl_Historique_Final[[#This Row],[date_modif]])=Final_Sans_VGE[[#This Row],[date_modif]],
      "Ancien",
      "Modifié"),
   "Nouveau")),"")</f>
        <v/>
      </c>
    </row>
    <row r="9255" spans="24:30" x14ac:dyDescent="0.25">
      <c r="X9255" s="8" t="e">
        <f>IF(Final_Sans_VGE[[#This Row],[ppn_z]]="","",IFERROR(
   IF(_xlfn.XLOOKUP(Final_Sans_VGE[[#This Row],[ppn_z]],tbl_Historique_Final[ppn_z],tbl_Historique_Final[date_modif])=Final_Sans_VGE[[#This Row],[date_modif]],
      "Ancien",
      "Modifié"),
   "Nouveau"))</f>
        <v>#VALUE!</v>
      </c>
      <c r="AD9255" s="1" t="str">
        <f>IFERROR(IF(Final_Sans_VGE[[#This Row],[ppn_z]]="","",IFERROR(
   IF(_xlfn.XLOOKUP(Final_Sans_VGE[[#This Row],[ppn_z]],tbl_Historique_Final[[#This Row],[ppn_z]],tbl_Historique_Final[[#This Row],[date_modif]])=Final_Sans_VGE[[#This Row],[date_modif]],
      "Ancien",
      "Modifié"),
   "Nouveau")),"")</f>
        <v/>
      </c>
    </row>
    <row r="9256" spans="24:30" x14ac:dyDescent="0.25">
      <c r="X9256" s="8" t="e">
        <f>IF(Final_Sans_VGE[[#This Row],[ppn_z]]="","",IFERROR(
   IF(_xlfn.XLOOKUP(Final_Sans_VGE[[#This Row],[ppn_z]],tbl_Historique_Final[ppn_z],tbl_Historique_Final[date_modif])=Final_Sans_VGE[[#This Row],[date_modif]],
      "Ancien",
      "Modifié"),
   "Nouveau"))</f>
        <v>#VALUE!</v>
      </c>
      <c r="AD9256" s="1" t="str">
        <f>IFERROR(IF(Final_Sans_VGE[[#This Row],[ppn_z]]="","",IFERROR(
   IF(_xlfn.XLOOKUP(Final_Sans_VGE[[#This Row],[ppn_z]],tbl_Historique_Final[[#This Row],[ppn_z]],tbl_Historique_Final[[#This Row],[date_modif]])=Final_Sans_VGE[[#This Row],[date_modif]],
      "Ancien",
      "Modifié"),
   "Nouveau")),"")</f>
        <v/>
      </c>
    </row>
    <row r="9257" spans="24:30" x14ac:dyDescent="0.25">
      <c r="X9257" s="8" t="e">
        <f>IF(Final_Sans_VGE[[#This Row],[ppn_z]]="","",IFERROR(
   IF(_xlfn.XLOOKUP(Final_Sans_VGE[[#This Row],[ppn_z]],tbl_Historique_Final[ppn_z],tbl_Historique_Final[date_modif])=Final_Sans_VGE[[#This Row],[date_modif]],
      "Ancien",
      "Modifié"),
   "Nouveau"))</f>
        <v>#VALUE!</v>
      </c>
      <c r="AD9257" s="1" t="str">
        <f>IFERROR(IF(Final_Sans_VGE[[#This Row],[ppn_z]]="","",IFERROR(
   IF(_xlfn.XLOOKUP(Final_Sans_VGE[[#This Row],[ppn_z]],tbl_Historique_Final[[#This Row],[ppn_z]],tbl_Historique_Final[[#This Row],[date_modif]])=Final_Sans_VGE[[#This Row],[date_modif]],
      "Ancien",
      "Modifié"),
   "Nouveau")),"")</f>
        <v/>
      </c>
    </row>
    <row r="9258" spans="24:30" x14ac:dyDescent="0.25">
      <c r="X9258" s="8" t="e">
        <f>IF(Final_Sans_VGE[[#This Row],[ppn_z]]="","",IFERROR(
   IF(_xlfn.XLOOKUP(Final_Sans_VGE[[#This Row],[ppn_z]],tbl_Historique_Final[ppn_z],tbl_Historique_Final[date_modif])=Final_Sans_VGE[[#This Row],[date_modif]],
      "Ancien",
      "Modifié"),
   "Nouveau"))</f>
        <v>#VALUE!</v>
      </c>
      <c r="AD9258" s="1" t="str">
        <f>IFERROR(IF(Final_Sans_VGE[[#This Row],[ppn_z]]="","",IFERROR(
   IF(_xlfn.XLOOKUP(Final_Sans_VGE[[#This Row],[ppn_z]],tbl_Historique_Final[[#This Row],[ppn_z]],tbl_Historique_Final[[#This Row],[date_modif]])=Final_Sans_VGE[[#This Row],[date_modif]],
      "Ancien",
      "Modifié"),
   "Nouveau")),"")</f>
        <v/>
      </c>
    </row>
    <row r="9259" spans="24:30" x14ac:dyDescent="0.25">
      <c r="X9259" s="8" t="e">
        <f>IF(Final_Sans_VGE[[#This Row],[ppn_z]]="","",IFERROR(
   IF(_xlfn.XLOOKUP(Final_Sans_VGE[[#This Row],[ppn_z]],tbl_Historique_Final[ppn_z],tbl_Historique_Final[date_modif])=Final_Sans_VGE[[#This Row],[date_modif]],
      "Ancien",
      "Modifié"),
   "Nouveau"))</f>
        <v>#VALUE!</v>
      </c>
      <c r="AD9259" s="1" t="str">
        <f>IFERROR(IF(Final_Sans_VGE[[#This Row],[ppn_z]]="","",IFERROR(
   IF(_xlfn.XLOOKUP(Final_Sans_VGE[[#This Row],[ppn_z]],tbl_Historique_Final[[#This Row],[ppn_z]],tbl_Historique_Final[[#This Row],[date_modif]])=Final_Sans_VGE[[#This Row],[date_modif]],
      "Ancien",
      "Modifié"),
   "Nouveau")),"")</f>
        <v/>
      </c>
    </row>
    <row r="9260" spans="24:30" x14ac:dyDescent="0.25">
      <c r="X9260" s="8" t="e">
        <f>IF(Final_Sans_VGE[[#This Row],[ppn_z]]="","",IFERROR(
   IF(_xlfn.XLOOKUP(Final_Sans_VGE[[#This Row],[ppn_z]],tbl_Historique_Final[ppn_z],tbl_Historique_Final[date_modif])=Final_Sans_VGE[[#This Row],[date_modif]],
      "Ancien",
      "Modifié"),
   "Nouveau"))</f>
        <v>#VALUE!</v>
      </c>
      <c r="AD9260" s="1" t="str">
        <f>IFERROR(IF(Final_Sans_VGE[[#This Row],[ppn_z]]="","",IFERROR(
   IF(_xlfn.XLOOKUP(Final_Sans_VGE[[#This Row],[ppn_z]],tbl_Historique_Final[[#This Row],[ppn_z]],tbl_Historique_Final[[#This Row],[date_modif]])=Final_Sans_VGE[[#This Row],[date_modif]],
      "Ancien",
      "Modifié"),
   "Nouveau")),"")</f>
        <v/>
      </c>
    </row>
    <row r="9261" spans="24:30" x14ac:dyDescent="0.25">
      <c r="X9261" s="8" t="e">
        <f>IF(Final_Sans_VGE[[#This Row],[ppn_z]]="","",IFERROR(
   IF(_xlfn.XLOOKUP(Final_Sans_VGE[[#This Row],[ppn_z]],tbl_Historique_Final[ppn_z],tbl_Historique_Final[date_modif])=Final_Sans_VGE[[#This Row],[date_modif]],
      "Ancien",
      "Modifié"),
   "Nouveau"))</f>
        <v>#VALUE!</v>
      </c>
      <c r="AD9261" s="1" t="str">
        <f>IFERROR(IF(Final_Sans_VGE[[#This Row],[ppn_z]]="","",IFERROR(
   IF(_xlfn.XLOOKUP(Final_Sans_VGE[[#This Row],[ppn_z]],tbl_Historique_Final[[#This Row],[ppn_z]],tbl_Historique_Final[[#This Row],[date_modif]])=Final_Sans_VGE[[#This Row],[date_modif]],
      "Ancien",
      "Modifié"),
   "Nouveau")),"")</f>
        <v/>
      </c>
    </row>
    <row r="9262" spans="24:30" x14ac:dyDescent="0.25">
      <c r="X9262" s="8" t="e">
        <f>IF(Final_Sans_VGE[[#This Row],[ppn_z]]="","",IFERROR(
   IF(_xlfn.XLOOKUP(Final_Sans_VGE[[#This Row],[ppn_z]],tbl_Historique_Final[ppn_z],tbl_Historique_Final[date_modif])=Final_Sans_VGE[[#This Row],[date_modif]],
      "Ancien",
      "Modifié"),
   "Nouveau"))</f>
        <v>#VALUE!</v>
      </c>
      <c r="AD9262" s="1" t="str">
        <f>IFERROR(IF(Final_Sans_VGE[[#This Row],[ppn_z]]="","",IFERROR(
   IF(_xlfn.XLOOKUP(Final_Sans_VGE[[#This Row],[ppn_z]],tbl_Historique_Final[[#This Row],[ppn_z]],tbl_Historique_Final[[#This Row],[date_modif]])=Final_Sans_VGE[[#This Row],[date_modif]],
      "Ancien",
      "Modifié"),
   "Nouveau")),"")</f>
        <v/>
      </c>
    </row>
    <row r="9263" spans="24:30" x14ac:dyDescent="0.25">
      <c r="X9263" s="8" t="e">
        <f>IF(Final_Sans_VGE[[#This Row],[ppn_z]]="","",IFERROR(
   IF(_xlfn.XLOOKUP(Final_Sans_VGE[[#This Row],[ppn_z]],tbl_Historique_Final[ppn_z],tbl_Historique_Final[date_modif])=Final_Sans_VGE[[#This Row],[date_modif]],
      "Ancien",
      "Modifié"),
   "Nouveau"))</f>
        <v>#VALUE!</v>
      </c>
      <c r="AD9263" s="1" t="str">
        <f>IFERROR(IF(Final_Sans_VGE[[#This Row],[ppn_z]]="","",IFERROR(
   IF(_xlfn.XLOOKUP(Final_Sans_VGE[[#This Row],[ppn_z]],tbl_Historique_Final[[#This Row],[ppn_z]],tbl_Historique_Final[[#This Row],[date_modif]])=Final_Sans_VGE[[#This Row],[date_modif]],
      "Ancien",
      "Modifié"),
   "Nouveau")),"")</f>
        <v/>
      </c>
    </row>
    <row r="9264" spans="24:30" x14ac:dyDescent="0.25">
      <c r="X9264" s="8" t="e">
        <f>IF(Final_Sans_VGE[[#This Row],[ppn_z]]="","",IFERROR(
   IF(_xlfn.XLOOKUP(Final_Sans_VGE[[#This Row],[ppn_z]],tbl_Historique_Final[ppn_z],tbl_Historique_Final[date_modif])=Final_Sans_VGE[[#This Row],[date_modif]],
      "Ancien",
      "Modifié"),
   "Nouveau"))</f>
        <v>#VALUE!</v>
      </c>
      <c r="AD9264" s="1" t="str">
        <f>IFERROR(IF(Final_Sans_VGE[[#This Row],[ppn_z]]="","",IFERROR(
   IF(_xlfn.XLOOKUP(Final_Sans_VGE[[#This Row],[ppn_z]],tbl_Historique_Final[[#This Row],[ppn_z]],tbl_Historique_Final[[#This Row],[date_modif]])=Final_Sans_VGE[[#This Row],[date_modif]],
      "Ancien",
      "Modifié"),
   "Nouveau")),"")</f>
        <v/>
      </c>
    </row>
    <row r="9265" spans="24:30" x14ac:dyDescent="0.25">
      <c r="X9265" s="8" t="e">
        <f>IF(Final_Sans_VGE[[#This Row],[ppn_z]]="","",IFERROR(
   IF(_xlfn.XLOOKUP(Final_Sans_VGE[[#This Row],[ppn_z]],tbl_Historique_Final[ppn_z],tbl_Historique_Final[date_modif])=Final_Sans_VGE[[#This Row],[date_modif]],
      "Ancien",
      "Modifié"),
   "Nouveau"))</f>
        <v>#VALUE!</v>
      </c>
      <c r="AD9265" s="1" t="str">
        <f>IFERROR(IF(Final_Sans_VGE[[#This Row],[ppn_z]]="","",IFERROR(
   IF(_xlfn.XLOOKUP(Final_Sans_VGE[[#This Row],[ppn_z]],tbl_Historique_Final[[#This Row],[ppn_z]],tbl_Historique_Final[[#This Row],[date_modif]])=Final_Sans_VGE[[#This Row],[date_modif]],
      "Ancien",
      "Modifié"),
   "Nouveau")),"")</f>
        <v/>
      </c>
    </row>
    <row r="9266" spans="24:30" x14ac:dyDescent="0.25">
      <c r="X9266" s="8" t="e">
        <f>IF(Final_Sans_VGE[[#This Row],[ppn_z]]="","",IFERROR(
   IF(_xlfn.XLOOKUP(Final_Sans_VGE[[#This Row],[ppn_z]],tbl_Historique_Final[ppn_z],tbl_Historique_Final[date_modif])=Final_Sans_VGE[[#This Row],[date_modif]],
      "Ancien",
      "Modifié"),
   "Nouveau"))</f>
        <v>#VALUE!</v>
      </c>
      <c r="AD9266" s="1" t="str">
        <f>IFERROR(IF(Final_Sans_VGE[[#This Row],[ppn_z]]="","",IFERROR(
   IF(_xlfn.XLOOKUP(Final_Sans_VGE[[#This Row],[ppn_z]],tbl_Historique_Final[[#This Row],[ppn_z]],tbl_Historique_Final[[#This Row],[date_modif]])=Final_Sans_VGE[[#This Row],[date_modif]],
      "Ancien",
      "Modifié"),
   "Nouveau")),"")</f>
        <v/>
      </c>
    </row>
    <row r="9267" spans="24:30" x14ac:dyDescent="0.25">
      <c r="X9267" s="8" t="e">
        <f>IF(Final_Sans_VGE[[#This Row],[ppn_z]]="","",IFERROR(
   IF(_xlfn.XLOOKUP(Final_Sans_VGE[[#This Row],[ppn_z]],tbl_Historique_Final[ppn_z],tbl_Historique_Final[date_modif])=Final_Sans_VGE[[#This Row],[date_modif]],
      "Ancien",
      "Modifié"),
   "Nouveau"))</f>
        <v>#VALUE!</v>
      </c>
      <c r="AD9267" s="1" t="str">
        <f>IFERROR(IF(Final_Sans_VGE[[#This Row],[ppn_z]]="","",IFERROR(
   IF(_xlfn.XLOOKUP(Final_Sans_VGE[[#This Row],[ppn_z]],tbl_Historique_Final[[#This Row],[ppn_z]],tbl_Historique_Final[[#This Row],[date_modif]])=Final_Sans_VGE[[#This Row],[date_modif]],
      "Ancien",
      "Modifié"),
   "Nouveau")),"")</f>
        <v/>
      </c>
    </row>
    <row r="9268" spans="24:30" x14ac:dyDescent="0.25">
      <c r="X9268" s="8" t="e">
        <f>IF(Final_Sans_VGE[[#This Row],[ppn_z]]="","",IFERROR(
   IF(_xlfn.XLOOKUP(Final_Sans_VGE[[#This Row],[ppn_z]],tbl_Historique_Final[ppn_z],tbl_Historique_Final[date_modif])=Final_Sans_VGE[[#This Row],[date_modif]],
      "Ancien",
      "Modifié"),
   "Nouveau"))</f>
        <v>#VALUE!</v>
      </c>
      <c r="AD9268" s="1" t="str">
        <f>IFERROR(IF(Final_Sans_VGE[[#This Row],[ppn_z]]="","",IFERROR(
   IF(_xlfn.XLOOKUP(Final_Sans_VGE[[#This Row],[ppn_z]],tbl_Historique_Final[[#This Row],[ppn_z]],tbl_Historique_Final[[#This Row],[date_modif]])=Final_Sans_VGE[[#This Row],[date_modif]],
      "Ancien",
      "Modifié"),
   "Nouveau")),"")</f>
        <v/>
      </c>
    </row>
    <row r="9269" spans="24:30" x14ac:dyDescent="0.25">
      <c r="X9269" s="8" t="e">
        <f>IF(Final_Sans_VGE[[#This Row],[ppn_z]]="","",IFERROR(
   IF(_xlfn.XLOOKUP(Final_Sans_VGE[[#This Row],[ppn_z]],tbl_Historique_Final[ppn_z],tbl_Historique_Final[date_modif])=Final_Sans_VGE[[#This Row],[date_modif]],
      "Ancien",
      "Modifié"),
   "Nouveau"))</f>
        <v>#VALUE!</v>
      </c>
      <c r="AD9269" s="1" t="str">
        <f>IFERROR(IF(Final_Sans_VGE[[#This Row],[ppn_z]]="","",IFERROR(
   IF(_xlfn.XLOOKUP(Final_Sans_VGE[[#This Row],[ppn_z]],tbl_Historique_Final[[#This Row],[ppn_z]],tbl_Historique_Final[[#This Row],[date_modif]])=Final_Sans_VGE[[#This Row],[date_modif]],
      "Ancien",
      "Modifié"),
   "Nouveau")),"")</f>
        <v/>
      </c>
    </row>
    <row r="9270" spans="24:30" x14ac:dyDescent="0.25">
      <c r="X9270" s="8" t="e">
        <f>IF(Final_Sans_VGE[[#This Row],[ppn_z]]="","",IFERROR(
   IF(_xlfn.XLOOKUP(Final_Sans_VGE[[#This Row],[ppn_z]],tbl_Historique_Final[ppn_z],tbl_Historique_Final[date_modif])=Final_Sans_VGE[[#This Row],[date_modif]],
      "Ancien",
      "Modifié"),
   "Nouveau"))</f>
        <v>#VALUE!</v>
      </c>
      <c r="AD9270" s="1" t="str">
        <f>IFERROR(IF(Final_Sans_VGE[[#This Row],[ppn_z]]="","",IFERROR(
   IF(_xlfn.XLOOKUP(Final_Sans_VGE[[#This Row],[ppn_z]],tbl_Historique_Final[[#This Row],[ppn_z]],tbl_Historique_Final[[#This Row],[date_modif]])=Final_Sans_VGE[[#This Row],[date_modif]],
      "Ancien",
      "Modifié"),
   "Nouveau")),"")</f>
        <v/>
      </c>
    </row>
    <row r="9271" spans="24:30" x14ac:dyDescent="0.25">
      <c r="X9271" s="8" t="e">
        <f>IF(Final_Sans_VGE[[#This Row],[ppn_z]]="","",IFERROR(
   IF(_xlfn.XLOOKUP(Final_Sans_VGE[[#This Row],[ppn_z]],tbl_Historique_Final[ppn_z],tbl_Historique_Final[date_modif])=Final_Sans_VGE[[#This Row],[date_modif]],
      "Ancien",
      "Modifié"),
   "Nouveau"))</f>
        <v>#VALUE!</v>
      </c>
      <c r="AD9271" s="1" t="str">
        <f>IFERROR(IF(Final_Sans_VGE[[#This Row],[ppn_z]]="","",IFERROR(
   IF(_xlfn.XLOOKUP(Final_Sans_VGE[[#This Row],[ppn_z]],tbl_Historique_Final[[#This Row],[ppn_z]],tbl_Historique_Final[[#This Row],[date_modif]])=Final_Sans_VGE[[#This Row],[date_modif]],
      "Ancien",
      "Modifié"),
   "Nouveau")),"")</f>
        <v/>
      </c>
    </row>
    <row r="9272" spans="24:30" x14ac:dyDescent="0.25">
      <c r="X9272" s="8" t="e">
        <f>IF(Final_Sans_VGE[[#This Row],[ppn_z]]="","",IFERROR(
   IF(_xlfn.XLOOKUP(Final_Sans_VGE[[#This Row],[ppn_z]],tbl_Historique_Final[ppn_z],tbl_Historique_Final[date_modif])=Final_Sans_VGE[[#This Row],[date_modif]],
      "Ancien",
      "Modifié"),
   "Nouveau"))</f>
        <v>#VALUE!</v>
      </c>
      <c r="AD9272" s="1" t="str">
        <f>IFERROR(IF(Final_Sans_VGE[[#This Row],[ppn_z]]="","",IFERROR(
   IF(_xlfn.XLOOKUP(Final_Sans_VGE[[#This Row],[ppn_z]],tbl_Historique_Final[[#This Row],[ppn_z]],tbl_Historique_Final[[#This Row],[date_modif]])=Final_Sans_VGE[[#This Row],[date_modif]],
      "Ancien",
      "Modifié"),
   "Nouveau")),"")</f>
        <v/>
      </c>
    </row>
    <row r="9273" spans="24:30" x14ac:dyDescent="0.25">
      <c r="X9273" s="8" t="e">
        <f>IF(Final_Sans_VGE[[#This Row],[ppn_z]]="","",IFERROR(
   IF(_xlfn.XLOOKUP(Final_Sans_VGE[[#This Row],[ppn_z]],tbl_Historique_Final[ppn_z],tbl_Historique_Final[date_modif])=Final_Sans_VGE[[#This Row],[date_modif]],
      "Ancien",
      "Modifié"),
   "Nouveau"))</f>
        <v>#VALUE!</v>
      </c>
      <c r="AD9273" s="1" t="str">
        <f>IFERROR(IF(Final_Sans_VGE[[#This Row],[ppn_z]]="","",IFERROR(
   IF(_xlfn.XLOOKUP(Final_Sans_VGE[[#This Row],[ppn_z]],tbl_Historique_Final[[#This Row],[ppn_z]],tbl_Historique_Final[[#This Row],[date_modif]])=Final_Sans_VGE[[#This Row],[date_modif]],
      "Ancien",
      "Modifié"),
   "Nouveau")),"")</f>
        <v/>
      </c>
    </row>
    <row r="9274" spans="24:30" x14ac:dyDescent="0.25">
      <c r="X9274" s="8" t="e">
        <f>IF(Final_Sans_VGE[[#This Row],[ppn_z]]="","",IFERROR(
   IF(_xlfn.XLOOKUP(Final_Sans_VGE[[#This Row],[ppn_z]],tbl_Historique_Final[ppn_z],tbl_Historique_Final[date_modif])=Final_Sans_VGE[[#This Row],[date_modif]],
      "Ancien",
      "Modifié"),
   "Nouveau"))</f>
        <v>#VALUE!</v>
      </c>
      <c r="AD9274" s="1" t="str">
        <f>IFERROR(IF(Final_Sans_VGE[[#This Row],[ppn_z]]="","",IFERROR(
   IF(_xlfn.XLOOKUP(Final_Sans_VGE[[#This Row],[ppn_z]],tbl_Historique_Final[[#This Row],[ppn_z]],tbl_Historique_Final[[#This Row],[date_modif]])=Final_Sans_VGE[[#This Row],[date_modif]],
      "Ancien",
      "Modifié"),
   "Nouveau")),"")</f>
        <v/>
      </c>
    </row>
    <row r="9275" spans="24:30" x14ac:dyDescent="0.25">
      <c r="X9275" s="8" t="e">
        <f>IF(Final_Sans_VGE[[#This Row],[ppn_z]]="","",IFERROR(
   IF(_xlfn.XLOOKUP(Final_Sans_VGE[[#This Row],[ppn_z]],tbl_Historique_Final[ppn_z],tbl_Historique_Final[date_modif])=Final_Sans_VGE[[#This Row],[date_modif]],
      "Ancien",
      "Modifié"),
   "Nouveau"))</f>
        <v>#VALUE!</v>
      </c>
      <c r="AD9275" s="1" t="str">
        <f>IFERROR(IF(Final_Sans_VGE[[#This Row],[ppn_z]]="","",IFERROR(
   IF(_xlfn.XLOOKUP(Final_Sans_VGE[[#This Row],[ppn_z]],tbl_Historique_Final[[#This Row],[ppn_z]],tbl_Historique_Final[[#This Row],[date_modif]])=Final_Sans_VGE[[#This Row],[date_modif]],
      "Ancien",
      "Modifié"),
   "Nouveau")),"")</f>
        <v/>
      </c>
    </row>
    <row r="9276" spans="24:30" x14ac:dyDescent="0.25">
      <c r="X9276" s="8" t="e">
        <f>IF(Final_Sans_VGE[[#This Row],[ppn_z]]="","",IFERROR(
   IF(_xlfn.XLOOKUP(Final_Sans_VGE[[#This Row],[ppn_z]],tbl_Historique_Final[ppn_z],tbl_Historique_Final[date_modif])=Final_Sans_VGE[[#This Row],[date_modif]],
      "Ancien",
      "Modifié"),
   "Nouveau"))</f>
        <v>#VALUE!</v>
      </c>
      <c r="AD9276" s="1" t="str">
        <f>IFERROR(IF(Final_Sans_VGE[[#This Row],[ppn_z]]="","",IFERROR(
   IF(_xlfn.XLOOKUP(Final_Sans_VGE[[#This Row],[ppn_z]],tbl_Historique_Final[[#This Row],[ppn_z]],tbl_Historique_Final[[#This Row],[date_modif]])=Final_Sans_VGE[[#This Row],[date_modif]],
      "Ancien",
      "Modifié"),
   "Nouveau")),"")</f>
        <v/>
      </c>
    </row>
    <row r="9277" spans="24:30" x14ac:dyDescent="0.25">
      <c r="X9277" s="8" t="e">
        <f>IF(Final_Sans_VGE[[#This Row],[ppn_z]]="","",IFERROR(
   IF(_xlfn.XLOOKUP(Final_Sans_VGE[[#This Row],[ppn_z]],tbl_Historique_Final[ppn_z],tbl_Historique_Final[date_modif])=Final_Sans_VGE[[#This Row],[date_modif]],
      "Ancien",
      "Modifié"),
   "Nouveau"))</f>
        <v>#VALUE!</v>
      </c>
      <c r="AD9277" s="1" t="str">
        <f>IFERROR(IF(Final_Sans_VGE[[#This Row],[ppn_z]]="","",IFERROR(
   IF(_xlfn.XLOOKUP(Final_Sans_VGE[[#This Row],[ppn_z]],tbl_Historique_Final[[#This Row],[ppn_z]],tbl_Historique_Final[[#This Row],[date_modif]])=Final_Sans_VGE[[#This Row],[date_modif]],
      "Ancien",
      "Modifié"),
   "Nouveau")),"")</f>
        <v/>
      </c>
    </row>
    <row r="9278" spans="24:30" x14ac:dyDescent="0.25">
      <c r="X9278" s="8" t="e">
        <f>IF(Final_Sans_VGE[[#This Row],[ppn_z]]="","",IFERROR(
   IF(_xlfn.XLOOKUP(Final_Sans_VGE[[#This Row],[ppn_z]],tbl_Historique_Final[ppn_z],tbl_Historique_Final[date_modif])=Final_Sans_VGE[[#This Row],[date_modif]],
      "Ancien",
      "Modifié"),
   "Nouveau"))</f>
        <v>#VALUE!</v>
      </c>
      <c r="AD9278" s="1" t="str">
        <f>IFERROR(IF(Final_Sans_VGE[[#This Row],[ppn_z]]="","",IFERROR(
   IF(_xlfn.XLOOKUP(Final_Sans_VGE[[#This Row],[ppn_z]],tbl_Historique_Final[[#This Row],[ppn_z]],tbl_Historique_Final[[#This Row],[date_modif]])=Final_Sans_VGE[[#This Row],[date_modif]],
      "Ancien",
      "Modifié"),
   "Nouveau")),"")</f>
        <v/>
      </c>
    </row>
    <row r="9279" spans="24:30" x14ac:dyDescent="0.25">
      <c r="X9279" s="8" t="e">
        <f>IF(Final_Sans_VGE[[#This Row],[ppn_z]]="","",IFERROR(
   IF(_xlfn.XLOOKUP(Final_Sans_VGE[[#This Row],[ppn_z]],tbl_Historique_Final[ppn_z],tbl_Historique_Final[date_modif])=Final_Sans_VGE[[#This Row],[date_modif]],
      "Ancien",
      "Modifié"),
   "Nouveau"))</f>
        <v>#VALUE!</v>
      </c>
      <c r="AD9279" s="1" t="str">
        <f>IFERROR(IF(Final_Sans_VGE[[#This Row],[ppn_z]]="","",IFERROR(
   IF(_xlfn.XLOOKUP(Final_Sans_VGE[[#This Row],[ppn_z]],tbl_Historique_Final[[#This Row],[ppn_z]],tbl_Historique_Final[[#This Row],[date_modif]])=Final_Sans_VGE[[#This Row],[date_modif]],
      "Ancien",
      "Modifié"),
   "Nouveau")),"")</f>
        <v/>
      </c>
    </row>
    <row r="9280" spans="24:30" x14ac:dyDescent="0.25">
      <c r="X9280" s="8" t="e">
        <f>IF(Final_Sans_VGE[[#This Row],[ppn_z]]="","",IFERROR(
   IF(_xlfn.XLOOKUP(Final_Sans_VGE[[#This Row],[ppn_z]],tbl_Historique_Final[ppn_z],tbl_Historique_Final[date_modif])=Final_Sans_VGE[[#This Row],[date_modif]],
      "Ancien",
      "Modifié"),
   "Nouveau"))</f>
        <v>#VALUE!</v>
      </c>
      <c r="AD9280" s="1" t="str">
        <f>IFERROR(IF(Final_Sans_VGE[[#This Row],[ppn_z]]="","",IFERROR(
   IF(_xlfn.XLOOKUP(Final_Sans_VGE[[#This Row],[ppn_z]],tbl_Historique_Final[[#This Row],[ppn_z]],tbl_Historique_Final[[#This Row],[date_modif]])=Final_Sans_VGE[[#This Row],[date_modif]],
      "Ancien",
      "Modifié"),
   "Nouveau")),"")</f>
        <v/>
      </c>
    </row>
    <row r="9281" spans="24:30" x14ac:dyDescent="0.25">
      <c r="X9281" s="8" t="e">
        <f>IF(Final_Sans_VGE[[#This Row],[ppn_z]]="","",IFERROR(
   IF(_xlfn.XLOOKUP(Final_Sans_VGE[[#This Row],[ppn_z]],tbl_Historique_Final[ppn_z],tbl_Historique_Final[date_modif])=Final_Sans_VGE[[#This Row],[date_modif]],
      "Ancien",
      "Modifié"),
   "Nouveau"))</f>
        <v>#VALUE!</v>
      </c>
      <c r="AD9281" s="1" t="str">
        <f>IFERROR(IF(Final_Sans_VGE[[#This Row],[ppn_z]]="","",IFERROR(
   IF(_xlfn.XLOOKUP(Final_Sans_VGE[[#This Row],[ppn_z]],tbl_Historique_Final[[#This Row],[ppn_z]],tbl_Historique_Final[[#This Row],[date_modif]])=Final_Sans_VGE[[#This Row],[date_modif]],
      "Ancien",
      "Modifié"),
   "Nouveau")),"")</f>
        <v/>
      </c>
    </row>
    <row r="9282" spans="24:30" x14ac:dyDescent="0.25">
      <c r="X9282" s="8" t="e">
        <f>IF(Final_Sans_VGE[[#This Row],[ppn_z]]="","",IFERROR(
   IF(_xlfn.XLOOKUP(Final_Sans_VGE[[#This Row],[ppn_z]],tbl_Historique_Final[ppn_z],tbl_Historique_Final[date_modif])=Final_Sans_VGE[[#This Row],[date_modif]],
      "Ancien",
      "Modifié"),
   "Nouveau"))</f>
        <v>#VALUE!</v>
      </c>
      <c r="AD9282" s="1" t="str">
        <f>IFERROR(IF(Final_Sans_VGE[[#This Row],[ppn_z]]="","",IFERROR(
   IF(_xlfn.XLOOKUP(Final_Sans_VGE[[#This Row],[ppn_z]],tbl_Historique_Final[[#This Row],[ppn_z]],tbl_Historique_Final[[#This Row],[date_modif]])=Final_Sans_VGE[[#This Row],[date_modif]],
      "Ancien",
      "Modifié"),
   "Nouveau")),"")</f>
        <v/>
      </c>
    </row>
    <row r="9283" spans="24:30" x14ac:dyDescent="0.25">
      <c r="X9283" s="8" t="e">
        <f>IF(Final_Sans_VGE[[#This Row],[ppn_z]]="","",IFERROR(
   IF(_xlfn.XLOOKUP(Final_Sans_VGE[[#This Row],[ppn_z]],tbl_Historique_Final[ppn_z],tbl_Historique_Final[date_modif])=Final_Sans_VGE[[#This Row],[date_modif]],
      "Ancien",
      "Modifié"),
   "Nouveau"))</f>
        <v>#VALUE!</v>
      </c>
      <c r="AD9283" s="1" t="str">
        <f>IFERROR(IF(Final_Sans_VGE[[#This Row],[ppn_z]]="","",IFERROR(
   IF(_xlfn.XLOOKUP(Final_Sans_VGE[[#This Row],[ppn_z]],tbl_Historique_Final[[#This Row],[ppn_z]],tbl_Historique_Final[[#This Row],[date_modif]])=Final_Sans_VGE[[#This Row],[date_modif]],
      "Ancien",
      "Modifié"),
   "Nouveau")),"")</f>
        <v/>
      </c>
    </row>
    <row r="9284" spans="24:30" x14ac:dyDescent="0.25">
      <c r="X9284" s="8" t="e">
        <f>IF(Final_Sans_VGE[[#This Row],[ppn_z]]="","",IFERROR(
   IF(_xlfn.XLOOKUP(Final_Sans_VGE[[#This Row],[ppn_z]],tbl_Historique_Final[ppn_z],tbl_Historique_Final[date_modif])=Final_Sans_VGE[[#This Row],[date_modif]],
      "Ancien",
      "Modifié"),
   "Nouveau"))</f>
        <v>#VALUE!</v>
      </c>
      <c r="AD9284" s="1" t="str">
        <f>IFERROR(IF(Final_Sans_VGE[[#This Row],[ppn_z]]="","",IFERROR(
   IF(_xlfn.XLOOKUP(Final_Sans_VGE[[#This Row],[ppn_z]],tbl_Historique_Final[[#This Row],[ppn_z]],tbl_Historique_Final[[#This Row],[date_modif]])=Final_Sans_VGE[[#This Row],[date_modif]],
      "Ancien",
      "Modifié"),
   "Nouveau")),"")</f>
        <v/>
      </c>
    </row>
    <row r="9285" spans="24:30" x14ac:dyDescent="0.25">
      <c r="X9285" s="8" t="e">
        <f>IF(Final_Sans_VGE[[#This Row],[ppn_z]]="","",IFERROR(
   IF(_xlfn.XLOOKUP(Final_Sans_VGE[[#This Row],[ppn_z]],tbl_Historique_Final[ppn_z],tbl_Historique_Final[date_modif])=Final_Sans_VGE[[#This Row],[date_modif]],
      "Ancien",
      "Modifié"),
   "Nouveau"))</f>
        <v>#VALUE!</v>
      </c>
      <c r="AD9285" s="1" t="str">
        <f>IFERROR(IF(Final_Sans_VGE[[#This Row],[ppn_z]]="","",IFERROR(
   IF(_xlfn.XLOOKUP(Final_Sans_VGE[[#This Row],[ppn_z]],tbl_Historique_Final[[#This Row],[ppn_z]],tbl_Historique_Final[[#This Row],[date_modif]])=Final_Sans_VGE[[#This Row],[date_modif]],
      "Ancien",
      "Modifié"),
   "Nouveau")),"")</f>
        <v/>
      </c>
    </row>
    <row r="9286" spans="24:30" x14ac:dyDescent="0.25">
      <c r="X9286" s="8" t="e">
        <f>IF(Final_Sans_VGE[[#This Row],[ppn_z]]="","",IFERROR(
   IF(_xlfn.XLOOKUP(Final_Sans_VGE[[#This Row],[ppn_z]],tbl_Historique_Final[ppn_z],tbl_Historique_Final[date_modif])=Final_Sans_VGE[[#This Row],[date_modif]],
      "Ancien",
      "Modifié"),
   "Nouveau"))</f>
        <v>#VALUE!</v>
      </c>
      <c r="AD9286" s="1" t="str">
        <f>IFERROR(IF(Final_Sans_VGE[[#This Row],[ppn_z]]="","",IFERROR(
   IF(_xlfn.XLOOKUP(Final_Sans_VGE[[#This Row],[ppn_z]],tbl_Historique_Final[[#This Row],[ppn_z]],tbl_Historique_Final[[#This Row],[date_modif]])=Final_Sans_VGE[[#This Row],[date_modif]],
      "Ancien",
      "Modifié"),
   "Nouveau")),"")</f>
        <v/>
      </c>
    </row>
    <row r="9287" spans="24:30" x14ac:dyDescent="0.25">
      <c r="X9287" s="8" t="e">
        <f>IF(Final_Sans_VGE[[#This Row],[ppn_z]]="","",IFERROR(
   IF(_xlfn.XLOOKUP(Final_Sans_VGE[[#This Row],[ppn_z]],tbl_Historique_Final[ppn_z],tbl_Historique_Final[date_modif])=Final_Sans_VGE[[#This Row],[date_modif]],
      "Ancien",
      "Modifié"),
   "Nouveau"))</f>
        <v>#VALUE!</v>
      </c>
      <c r="AD9287" s="1" t="str">
        <f>IFERROR(IF(Final_Sans_VGE[[#This Row],[ppn_z]]="","",IFERROR(
   IF(_xlfn.XLOOKUP(Final_Sans_VGE[[#This Row],[ppn_z]],tbl_Historique_Final[[#This Row],[ppn_z]],tbl_Historique_Final[[#This Row],[date_modif]])=Final_Sans_VGE[[#This Row],[date_modif]],
      "Ancien",
      "Modifié"),
   "Nouveau")),"")</f>
        <v/>
      </c>
    </row>
    <row r="9288" spans="24:30" x14ac:dyDescent="0.25">
      <c r="X9288" s="8" t="e">
        <f>IF(Final_Sans_VGE[[#This Row],[ppn_z]]="","",IFERROR(
   IF(_xlfn.XLOOKUP(Final_Sans_VGE[[#This Row],[ppn_z]],tbl_Historique_Final[ppn_z],tbl_Historique_Final[date_modif])=Final_Sans_VGE[[#This Row],[date_modif]],
      "Ancien",
      "Modifié"),
   "Nouveau"))</f>
        <v>#VALUE!</v>
      </c>
      <c r="AD9288" s="1" t="str">
        <f>IFERROR(IF(Final_Sans_VGE[[#This Row],[ppn_z]]="","",IFERROR(
   IF(_xlfn.XLOOKUP(Final_Sans_VGE[[#This Row],[ppn_z]],tbl_Historique_Final[[#This Row],[ppn_z]],tbl_Historique_Final[[#This Row],[date_modif]])=Final_Sans_VGE[[#This Row],[date_modif]],
      "Ancien",
      "Modifié"),
   "Nouveau")),"")</f>
        <v/>
      </c>
    </row>
    <row r="9289" spans="24:30" x14ac:dyDescent="0.25">
      <c r="X9289" s="8" t="e">
        <f>IF(Final_Sans_VGE[[#This Row],[ppn_z]]="","",IFERROR(
   IF(_xlfn.XLOOKUP(Final_Sans_VGE[[#This Row],[ppn_z]],tbl_Historique_Final[ppn_z],tbl_Historique_Final[date_modif])=Final_Sans_VGE[[#This Row],[date_modif]],
      "Ancien",
      "Modifié"),
   "Nouveau"))</f>
        <v>#VALUE!</v>
      </c>
      <c r="AD9289" s="1" t="str">
        <f>IFERROR(IF(Final_Sans_VGE[[#This Row],[ppn_z]]="","",IFERROR(
   IF(_xlfn.XLOOKUP(Final_Sans_VGE[[#This Row],[ppn_z]],tbl_Historique_Final[[#This Row],[ppn_z]],tbl_Historique_Final[[#This Row],[date_modif]])=Final_Sans_VGE[[#This Row],[date_modif]],
      "Ancien",
      "Modifié"),
   "Nouveau")),"")</f>
        <v/>
      </c>
    </row>
    <row r="9290" spans="24:30" x14ac:dyDescent="0.25">
      <c r="X9290" s="8" t="e">
        <f>IF(Final_Sans_VGE[[#This Row],[ppn_z]]="","",IFERROR(
   IF(_xlfn.XLOOKUP(Final_Sans_VGE[[#This Row],[ppn_z]],tbl_Historique_Final[ppn_z],tbl_Historique_Final[date_modif])=Final_Sans_VGE[[#This Row],[date_modif]],
      "Ancien",
      "Modifié"),
   "Nouveau"))</f>
        <v>#VALUE!</v>
      </c>
      <c r="AD9290" s="1" t="str">
        <f>IFERROR(IF(Final_Sans_VGE[[#This Row],[ppn_z]]="","",IFERROR(
   IF(_xlfn.XLOOKUP(Final_Sans_VGE[[#This Row],[ppn_z]],tbl_Historique_Final[[#This Row],[ppn_z]],tbl_Historique_Final[[#This Row],[date_modif]])=Final_Sans_VGE[[#This Row],[date_modif]],
      "Ancien",
      "Modifié"),
   "Nouveau")),"")</f>
        <v/>
      </c>
    </row>
    <row r="9291" spans="24:30" x14ac:dyDescent="0.25">
      <c r="X9291" s="8" t="e">
        <f>IF(Final_Sans_VGE[[#This Row],[ppn_z]]="","",IFERROR(
   IF(_xlfn.XLOOKUP(Final_Sans_VGE[[#This Row],[ppn_z]],tbl_Historique_Final[ppn_z],tbl_Historique_Final[date_modif])=Final_Sans_VGE[[#This Row],[date_modif]],
      "Ancien",
      "Modifié"),
   "Nouveau"))</f>
        <v>#VALUE!</v>
      </c>
      <c r="AD9291" s="1" t="str">
        <f>IFERROR(IF(Final_Sans_VGE[[#This Row],[ppn_z]]="","",IFERROR(
   IF(_xlfn.XLOOKUP(Final_Sans_VGE[[#This Row],[ppn_z]],tbl_Historique_Final[[#This Row],[ppn_z]],tbl_Historique_Final[[#This Row],[date_modif]])=Final_Sans_VGE[[#This Row],[date_modif]],
      "Ancien",
      "Modifié"),
   "Nouveau")),"")</f>
        <v/>
      </c>
    </row>
    <row r="9292" spans="24:30" x14ac:dyDescent="0.25">
      <c r="X9292" s="8" t="e">
        <f>IF(Final_Sans_VGE[[#This Row],[ppn_z]]="","",IFERROR(
   IF(_xlfn.XLOOKUP(Final_Sans_VGE[[#This Row],[ppn_z]],tbl_Historique_Final[ppn_z],tbl_Historique_Final[date_modif])=Final_Sans_VGE[[#This Row],[date_modif]],
      "Ancien",
      "Modifié"),
   "Nouveau"))</f>
        <v>#VALUE!</v>
      </c>
      <c r="AD9292" s="1" t="str">
        <f>IFERROR(IF(Final_Sans_VGE[[#This Row],[ppn_z]]="","",IFERROR(
   IF(_xlfn.XLOOKUP(Final_Sans_VGE[[#This Row],[ppn_z]],tbl_Historique_Final[[#This Row],[ppn_z]],tbl_Historique_Final[[#This Row],[date_modif]])=Final_Sans_VGE[[#This Row],[date_modif]],
      "Ancien",
      "Modifié"),
   "Nouveau")),"")</f>
        <v/>
      </c>
    </row>
    <row r="9293" spans="24:30" x14ac:dyDescent="0.25">
      <c r="X9293" s="8" t="e">
        <f>IF(Final_Sans_VGE[[#This Row],[ppn_z]]="","",IFERROR(
   IF(_xlfn.XLOOKUP(Final_Sans_VGE[[#This Row],[ppn_z]],tbl_Historique_Final[ppn_z],tbl_Historique_Final[date_modif])=Final_Sans_VGE[[#This Row],[date_modif]],
      "Ancien",
      "Modifié"),
   "Nouveau"))</f>
        <v>#VALUE!</v>
      </c>
      <c r="AD9293" s="1" t="str">
        <f>IFERROR(IF(Final_Sans_VGE[[#This Row],[ppn_z]]="","",IFERROR(
   IF(_xlfn.XLOOKUP(Final_Sans_VGE[[#This Row],[ppn_z]],tbl_Historique_Final[[#This Row],[ppn_z]],tbl_Historique_Final[[#This Row],[date_modif]])=Final_Sans_VGE[[#This Row],[date_modif]],
      "Ancien",
      "Modifié"),
   "Nouveau")),"")</f>
        <v/>
      </c>
    </row>
    <row r="9294" spans="24:30" x14ac:dyDescent="0.25">
      <c r="X9294" s="8" t="e">
        <f>IF(Final_Sans_VGE[[#This Row],[ppn_z]]="","",IFERROR(
   IF(_xlfn.XLOOKUP(Final_Sans_VGE[[#This Row],[ppn_z]],tbl_Historique_Final[ppn_z],tbl_Historique_Final[date_modif])=Final_Sans_VGE[[#This Row],[date_modif]],
      "Ancien",
      "Modifié"),
   "Nouveau"))</f>
        <v>#VALUE!</v>
      </c>
      <c r="AD9294" s="1" t="str">
        <f>IFERROR(IF(Final_Sans_VGE[[#This Row],[ppn_z]]="","",IFERROR(
   IF(_xlfn.XLOOKUP(Final_Sans_VGE[[#This Row],[ppn_z]],tbl_Historique_Final[[#This Row],[ppn_z]],tbl_Historique_Final[[#This Row],[date_modif]])=Final_Sans_VGE[[#This Row],[date_modif]],
      "Ancien",
      "Modifié"),
   "Nouveau")),"")</f>
        <v/>
      </c>
    </row>
    <row r="9295" spans="24:30" x14ac:dyDescent="0.25">
      <c r="X9295" s="8" t="e">
        <f>IF(Final_Sans_VGE[[#This Row],[ppn_z]]="","",IFERROR(
   IF(_xlfn.XLOOKUP(Final_Sans_VGE[[#This Row],[ppn_z]],tbl_Historique_Final[ppn_z],tbl_Historique_Final[date_modif])=Final_Sans_VGE[[#This Row],[date_modif]],
      "Ancien",
      "Modifié"),
   "Nouveau"))</f>
        <v>#VALUE!</v>
      </c>
      <c r="AD9295" s="1" t="str">
        <f>IFERROR(IF(Final_Sans_VGE[[#This Row],[ppn_z]]="","",IFERROR(
   IF(_xlfn.XLOOKUP(Final_Sans_VGE[[#This Row],[ppn_z]],tbl_Historique_Final[[#This Row],[ppn_z]],tbl_Historique_Final[[#This Row],[date_modif]])=Final_Sans_VGE[[#This Row],[date_modif]],
      "Ancien",
      "Modifié"),
   "Nouveau")),"")</f>
        <v/>
      </c>
    </row>
    <row r="9296" spans="24:30" x14ac:dyDescent="0.25">
      <c r="X9296" s="8" t="e">
        <f>IF(Final_Sans_VGE[[#This Row],[ppn_z]]="","",IFERROR(
   IF(_xlfn.XLOOKUP(Final_Sans_VGE[[#This Row],[ppn_z]],tbl_Historique_Final[ppn_z],tbl_Historique_Final[date_modif])=Final_Sans_VGE[[#This Row],[date_modif]],
      "Ancien",
      "Modifié"),
   "Nouveau"))</f>
        <v>#VALUE!</v>
      </c>
      <c r="AD9296" s="1" t="str">
        <f>IFERROR(IF(Final_Sans_VGE[[#This Row],[ppn_z]]="","",IFERROR(
   IF(_xlfn.XLOOKUP(Final_Sans_VGE[[#This Row],[ppn_z]],tbl_Historique_Final[[#This Row],[ppn_z]],tbl_Historique_Final[[#This Row],[date_modif]])=Final_Sans_VGE[[#This Row],[date_modif]],
      "Ancien",
      "Modifié"),
   "Nouveau")),"")</f>
        <v/>
      </c>
    </row>
    <row r="9297" spans="24:30" x14ac:dyDescent="0.25">
      <c r="X9297" s="8" t="e">
        <f>IF(Final_Sans_VGE[[#This Row],[ppn_z]]="","",IFERROR(
   IF(_xlfn.XLOOKUP(Final_Sans_VGE[[#This Row],[ppn_z]],tbl_Historique_Final[ppn_z],tbl_Historique_Final[date_modif])=Final_Sans_VGE[[#This Row],[date_modif]],
      "Ancien",
      "Modifié"),
   "Nouveau"))</f>
        <v>#VALUE!</v>
      </c>
      <c r="AD9297" s="1" t="str">
        <f>IFERROR(IF(Final_Sans_VGE[[#This Row],[ppn_z]]="","",IFERROR(
   IF(_xlfn.XLOOKUP(Final_Sans_VGE[[#This Row],[ppn_z]],tbl_Historique_Final[[#This Row],[ppn_z]],tbl_Historique_Final[[#This Row],[date_modif]])=Final_Sans_VGE[[#This Row],[date_modif]],
      "Ancien",
      "Modifié"),
   "Nouveau")),"")</f>
        <v/>
      </c>
    </row>
    <row r="9298" spans="24:30" x14ac:dyDescent="0.25">
      <c r="X9298" s="8" t="e">
        <f>IF(Final_Sans_VGE[[#This Row],[ppn_z]]="","",IFERROR(
   IF(_xlfn.XLOOKUP(Final_Sans_VGE[[#This Row],[ppn_z]],tbl_Historique_Final[ppn_z],tbl_Historique_Final[date_modif])=Final_Sans_VGE[[#This Row],[date_modif]],
      "Ancien",
      "Modifié"),
   "Nouveau"))</f>
        <v>#VALUE!</v>
      </c>
      <c r="AD9298" s="1" t="str">
        <f>IFERROR(IF(Final_Sans_VGE[[#This Row],[ppn_z]]="","",IFERROR(
   IF(_xlfn.XLOOKUP(Final_Sans_VGE[[#This Row],[ppn_z]],tbl_Historique_Final[[#This Row],[ppn_z]],tbl_Historique_Final[[#This Row],[date_modif]])=Final_Sans_VGE[[#This Row],[date_modif]],
      "Ancien",
      "Modifié"),
   "Nouveau")),"")</f>
        <v/>
      </c>
    </row>
    <row r="9299" spans="24:30" x14ac:dyDescent="0.25">
      <c r="X9299" s="8" t="e">
        <f>IF(Final_Sans_VGE[[#This Row],[ppn_z]]="","",IFERROR(
   IF(_xlfn.XLOOKUP(Final_Sans_VGE[[#This Row],[ppn_z]],tbl_Historique_Final[ppn_z],tbl_Historique_Final[date_modif])=Final_Sans_VGE[[#This Row],[date_modif]],
      "Ancien",
      "Modifié"),
   "Nouveau"))</f>
        <v>#VALUE!</v>
      </c>
      <c r="AD9299" s="1" t="str">
        <f>IFERROR(IF(Final_Sans_VGE[[#This Row],[ppn_z]]="","",IFERROR(
   IF(_xlfn.XLOOKUP(Final_Sans_VGE[[#This Row],[ppn_z]],tbl_Historique_Final[[#This Row],[ppn_z]],tbl_Historique_Final[[#This Row],[date_modif]])=Final_Sans_VGE[[#This Row],[date_modif]],
      "Ancien",
      "Modifié"),
   "Nouveau")),"")</f>
        <v/>
      </c>
    </row>
    <row r="9300" spans="24:30" x14ac:dyDescent="0.25">
      <c r="X9300" s="8" t="e">
        <f>IF(Final_Sans_VGE[[#This Row],[ppn_z]]="","",IFERROR(
   IF(_xlfn.XLOOKUP(Final_Sans_VGE[[#This Row],[ppn_z]],tbl_Historique_Final[ppn_z],tbl_Historique_Final[date_modif])=Final_Sans_VGE[[#This Row],[date_modif]],
      "Ancien",
      "Modifié"),
   "Nouveau"))</f>
        <v>#VALUE!</v>
      </c>
      <c r="AD9300" s="1" t="str">
        <f>IFERROR(IF(Final_Sans_VGE[[#This Row],[ppn_z]]="","",IFERROR(
   IF(_xlfn.XLOOKUP(Final_Sans_VGE[[#This Row],[ppn_z]],tbl_Historique_Final[[#This Row],[ppn_z]],tbl_Historique_Final[[#This Row],[date_modif]])=Final_Sans_VGE[[#This Row],[date_modif]],
      "Ancien",
      "Modifié"),
   "Nouveau")),"")</f>
        <v/>
      </c>
    </row>
    <row r="9301" spans="24:30" x14ac:dyDescent="0.25">
      <c r="X9301" s="8" t="e">
        <f>IF(Final_Sans_VGE[[#This Row],[ppn_z]]="","",IFERROR(
   IF(_xlfn.XLOOKUP(Final_Sans_VGE[[#This Row],[ppn_z]],tbl_Historique_Final[ppn_z],tbl_Historique_Final[date_modif])=Final_Sans_VGE[[#This Row],[date_modif]],
      "Ancien",
      "Modifié"),
   "Nouveau"))</f>
        <v>#VALUE!</v>
      </c>
      <c r="AD9301" s="1" t="str">
        <f>IFERROR(IF(Final_Sans_VGE[[#This Row],[ppn_z]]="","",IFERROR(
   IF(_xlfn.XLOOKUP(Final_Sans_VGE[[#This Row],[ppn_z]],tbl_Historique_Final[[#This Row],[ppn_z]],tbl_Historique_Final[[#This Row],[date_modif]])=Final_Sans_VGE[[#This Row],[date_modif]],
      "Ancien",
      "Modifié"),
   "Nouveau")),"")</f>
        <v/>
      </c>
    </row>
    <row r="9302" spans="24:30" x14ac:dyDescent="0.25">
      <c r="X9302" s="8" t="e">
        <f>IF(Final_Sans_VGE[[#This Row],[ppn_z]]="","",IFERROR(
   IF(_xlfn.XLOOKUP(Final_Sans_VGE[[#This Row],[ppn_z]],tbl_Historique_Final[ppn_z],tbl_Historique_Final[date_modif])=Final_Sans_VGE[[#This Row],[date_modif]],
      "Ancien",
      "Modifié"),
   "Nouveau"))</f>
        <v>#VALUE!</v>
      </c>
      <c r="AD9302" s="1" t="str">
        <f>IFERROR(IF(Final_Sans_VGE[[#This Row],[ppn_z]]="","",IFERROR(
   IF(_xlfn.XLOOKUP(Final_Sans_VGE[[#This Row],[ppn_z]],tbl_Historique_Final[[#This Row],[ppn_z]],tbl_Historique_Final[[#This Row],[date_modif]])=Final_Sans_VGE[[#This Row],[date_modif]],
      "Ancien",
      "Modifié"),
   "Nouveau")),"")</f>
        <v/>
      </c>
    </row>
    <row r="9303" spans="24:30" x14ac:dyDescent="0.25">
      <c r="X9303" s="8" t="e">
        <f>IF(Final_Sans_VGE[[#This Row],[ppn_z]]="","",IFERROR(
   IF(_xlfn.XLOOKUP(Final_Sans_VGE[[#This Row],[ppn_z]],tbl_Historique_Final[ppn_z],tbl_Historique_Final[date_modif])=Final_Sans_VGE[[#This Row],[date_modif]],
      "Ancien",
      "Modifié"),
   "Nouveau"))</f>
        <v>#VALUE!</v>
      </c>
      <c r="AD9303" s="1" t="str">
        <f>IFERROR(IF(Final_Sans_VGE[[#This Row],[ppn_z]]="","",IFERROR(
   IF(_xlfn.XLOOKUP(Final_Sans_VGE[[#This Row],[ppn_z]],tbl_Historique_Final[[#This Row],[ppn_z]],tbl_Historique_Final[[#This Row],[date_modif]])=Final_Sans_VGE[[#This Row],[date_modif]],
      "Ancien",
      "Modifié"),
   "Nouveau")),"")</f>
        <v/>
      </c>
    </row>
    <row r="9304" spans="24:30" x14ac:dyDescent="0.25">
      <c r="X9304" s="8" t="e">
        <f>IF(Final_Sans_VGE[[#This Row],[ppn_z]]="","",IFERROR(
   IF(_xlfn.XLOOKUP(Final_Sans_VGE[[#This Row],[ppn_z]],tbl_Historique_Final[ppn_z],tbl_Historique_Final[date_modif])=Final_Sans_VGE[[#This Row],[date_modif]],
      "Ancien",
      "Modifié"),
   "Nouveau"))</f>
        <v>#VALUE!</v>
      </c>
      <c r="AD9304" s="1" t="str">
        <f>IFERROR(IF(Final_Sans_VGE[[#This Row],[ppn_z]]="","",IFERROR(
   IF(_xlfn.XLOOKUP(Final_Sans_VGE[[#This Row],[ppn_z]],tbl_Historique_Final[[#This Row],[ppn_z]],tbl_Historique_Final[[#This Row],[date_modif]])=Final_Sans_VGE[[#This Row],[date_modif]],
      "Ancien",
      "Modifié"),
   "Nouveau")),"")</f>
        <v/>
      </c>
    </row>
    <row r="9305" spans="24:30" x14ac:dyDescent="0.25">
      <c r="X9305" s="8" t="e">
        <f>IF(Final_Sans_VGE[[#This Row],[ppn_z]]="","",IFERROR(
   IF(_xlfn.XLOOKUP(Final_Sans_VGE[[#This Row],[ppn_z]],tbl_Historique_Final[ppn_z],tbl_Historique_Final[date_modif])=Final_Sans_VGE[[#This Row],[date_modif]],
      "Ancien",
      "Modifié"),
   "Nouveau"))</f>
        <v>#VALUE!</v>
      </c>
      <c r="AD9305" s="1" t="str">
        <f>IFERROR(IF(Final_Sans_VGE[[#This Row],[ppn_z]]="","",IFERROR(
   IF(_xlfn.XLOOKUP(Final_Sans_VGE[[#This Row],[ppn_z]],tbl_Historique_Final[[#This Row],[ppn_z]],tbl_Historique_Final[[#This Row],[date_modif]])=Final_Sans_VGE[[#This Row],[date_modif]],
      "Ancien",
      "Modifié"),
   "Nouveau")),"")</f>
        <v/>
      </c>
    </row>
    <row r="9306" spans="24:30" x14ac:dyDescent="0.25">
      <c r="X9306" s="8" t="e">
        <f>IF(Final_Sans_VGE[[#This Row],[ppn_z]]="","",IFERROR(
   IF(_xlfn.XLOOKUP(Final_Sans_VGE[[#This Row],[ppn_z]],tbl_Historique_Final[ppn_z],tbl_Historique_Final[date_modif])=Final_Sans_VGE[[#This Row],[date_modif]],
      "Ancien",
      "Modifié"),
   "Nouveau"))</f>
        <v>#VALUE!</v>
      </c>
      <c r="AD9306" s="1" t="str">
        <f>IFERROR(IF(Final_Sans_VGE[[#This Row],[ppn_z]]="","",IFERROR(
   IF(_xlfn.XLOOKUP(Final_Sans_VGE[[#This Row],[ppn_z]],tbl_Historique_Final[[#This Row],[ppn_z]],tbl_Historique_Final[[#This Row],[date_modif]])=Final_Sans_VGE[[#This Row],[date_modif]],
      "Ancien",
      "Modifié"),
   "Nouveau")),"")</f>
        <v/>
      </c>
    </row>
    <row r="9307" spans="24:30" x14ac:dyDescent="0.25">
      <c r="X9307" s="8" t="e">
        <f>IF(Final_Sans_VGE[[#This Row],[ppn_z]]="","",IFERROR(
   IF(_xlfn.XLOOKUP(Final_Sans_VGE[[#This Row],[ppn_z]],tbl_Historique_Final[ppn_z],tbl_Historique_Final[date_modif])=Final_Sans_VGE[[#This Row],[date_modif]],
      "Ancien",
      "Modifié"),
   "Nouveau"))</f>
        <v>#VALUE!</v>
      </c>
      <c r="AD9307" s="1" t="str">
        <f>IFERROR(IF(Final_Sans_VGE[[#This Row],[ppn_z]]="","",IFERROR(
   IF(_xlfn.XLOOKUP(Final_Sans_VGE[[#This Row],[ppn_z]],tbl_Historique_Final[[#This Row],[ppn_z]],tbl_Historique_Final[[#This Row],[date_modif]])=Final_Sans_VGE[[#This Row],[date_modif]],
      "Ancien",
      "Modifié"),
   "Nouveau")),"")</f>
        <v/>
      </c>
    </row>
    <row r="9308" spans="24:30" x14ac:dyDescent="0.25">
      <c r="X9308" s="8" t="e">
        <f>IF(Final_Sans_VGE[[#This Row],[ppn_z]]="","",IFERROR(
   IF(_xlfn.XLOOKUP(Final_Sans_VGE[[#This Row],[ppn_z]],tbl_Historique_Final[ppn_z],tbl_Historique_Final[date_modif])=Final_Sans_VGE[[#This Row],[date_modif]],
      "Ancien",
      "Modifié"),
   "Nouveau"))</f>
        <v>#VALUE!</v>
      </c>
      <c r="AD9308" s="1" t="str">
        <f>IFERROR(IF(Final_Sans_VGE[[#This Row],[ppn_z]]="","",IFERROR(
   IF(_xlfn.XLOOKUP(Final_Sans_VGE[[#This Row],[ppn_z]],tbl_Historique_Final[[#This Row],[ppn_z]],tbl_Historique_Final[[#This Row],[date_modif]])=Final_Sans_VGE[[#This Row],[date_modif]],
      "Ancien",
      "Modifié"),
   "Nouveau")),"")</f>
        <v/>
      </c>
    </row>
    <row r="9309" spans="24:30" x14ac:dyDescent="0.25">
      <c r="X9309" s="8" t="e">
        <f>IF(Final_Sans_VGE[[#This Row],[ppn_z]]="","",IFERROR(
   IF(_xlfn.XLOOKUP(Final_Sans_VGE[[#This Row],[ppn_z]],tbl_Historique_Final[ppn_z],tbl_Historique_Final[date_modif])=Final_Sans_VGE[[#This Row],[date_modif]],
      "Ancien",
      "Modifié"),
   "Nouveau"))</f>
        <v>#VALUE!</v>
      </c>
      <c r="AD9309" s="1" t="str">
        <f>IFERROR(IF(Final_Sans_VGE[[#This Row],[ppn_z]]="","",IFERROR(
   IF(_xlfn.XLOOKUP(Final_Sans_VGE[[#This Row],[ppn_z]],tbl_Historique_Final[[#This Row],[ppn_z]],tbl_Historique_Final[[#This Row],[date_modif]])=Final_Sans_VGE[[#This Row],[date_modif]],
      "Ancien",
      "Modifié"),
   "Nouveau")),"")</f>
        <v/>
      </c>
    </row>
    <row r="9310" spans="24:30" x14ac:dyDescent="0.25">
      <c r="X9310" s="8" t="e">
        <f>IF(Final_Sans_VGE[[#This Row],[ppn_z]]="","",IFERROR(
   IF(_xlfn.XLOOKUP(Final_Sans_VGE[[#This Row],[ppn_z]],tbl_Historique_Final[ppn_z],tbl_Historique_Final[date_modif])=Final_Sans_VGE[[#This Row],[date_modif]],
      "Ancien",
      "Modifié"),
   "Nouveau"))</f>
        <v>#VALUE!</v>
      </c>
      <c r="AD9310" s="1" t="str">
        <f>IFERROR(IF(Final_Sans_VGE[[#This Row],[ppn_z]]="","",IFERROR(
   IF(_xlfn.XLOOKUP(Final_Sans_VGE[[#This Row],[ppn_z]],tbl_Historique_Final[[#This Row],[ppn_z]],tbl_Historique_Final[[#This Row],[date_modif]])=Final_Sans_VGE[[#This Row],[date_modif]],
      "Ancien",
      "Modifié"),
   "Nouveau")),"")</f>
        <v/>
      </c>
    </row>
    <row r="9311" spans="24:30" x14ac:dyDescent="0.25">
      <c r="X9311" s="8" t="e">
        <f>IF(Final_Sans_VGE[[#This Row],[ppn_z]]="","",IFERROR(
   IF(_xlfn.XLOOKUP(Final_Sans_VGE[[#This Row],[ppn_z]],tbl_Historique_Final[ppn_z],tbl_Historique_Final[date_modif])=Final_Sans_VGE[[#This Row],[date_modif]],
      "Ancien",
      "Modifié"),
   "Nouveau"))</f>
        <v>#VALUE!</v>
      </c>
      <c r="AD9311" s="1" t="str">
        <f>IFERROR(IF(Final_Sans_VGE[[#This Row],[ppn_z]]="","",IFERROR(
   IF(_xlfn.XLOOKUP(Final_Sans_VGE[[#This Row],[ppn_z]],tbl_Historique_Final[[#This Row],[ppn_z]],tbl_Historique_Final[[#This Row],[date_modif]])=Final_Sans_VGE[[#This Row],[date_modif]],
      "Ancien",
      "Modifié"),
   "Nouveau")),"")</f>
        <v/>
      </c>
    </row>
    <row r="9312" spans="24:30" x14ac:dyDescent="0.25">
      <c r="X9312" s="8" t="e">
        <f>IF(Final_Sans_VGE[[#This Row],[ppn_z]]="","",IFERROR(
   IF(_xlfn.XLOOKUP(Final_Sans_VGE[[#This Row],[ppn_z]],tbl_Historique_Final[ppn_z],tbl_Historique_Final[date_modif])=Final_Sans_VGE[[#This Row],[date_modif]],
      "Ancien",
      "Modifié"),
   "Nouveau"))</f>
        <v>#VALUE!</v>
      </c>
      <c r="AD9312" s="1" t="str">
        <f>IFERROR(IF(Final_Sans_VGE[[#This Row],[ppn_z]]="","",IFERROR(
   IF(_xlfn.XLOOKUP(Final_Sans_VGE[[#This Row],[ppn_z]],tbl_Historique_Final[[#This Row],[ppn_z]],tbl_Historique_Final[[#This Row],[date_modif]])=Final_Sans_VGE[[#This Row],[date_modif]],
      "Ancien",
      "Modifié"),
   "Nouveau")),"")</f>
        <v/>
      </c>
    </row>
    <row r="9313" spans="24:30" x14ac:dyDescent="0.25">
      <c r="X9313" s="8" t="e">
        <f>IF(Final_Sans_VGE[[#This Row],[ppn_z]]="","",IFERROR(
   IF(_xlfn.XLOOKUP(Final_Sans_VGE[[#This Row],[ppn_z]],tbl_Historique_Final[ppn_z],tbl_Historique_Final[date_modif])=Final_Sans_VGE[[#This Row],[date_modif]],
      "Ancien",
      "Modifié"),
   "Nouveau"))</f>
        <v>#VALUE!</v>
      </c>
      <c r="AD9313" s="1" t="str">
        <f>IFERROR(IF(Final_Sans_VGE[[#This Row],[ppn_z]]="","",IFERROR(
   IF(_xlfn.XLOOKUP(Final_Sans_VGE[[#This Row],[ppn_z]],tbl_Historique_Final[[#This Row],[ppn_z]],tbl_Historique_Final[[#This Row],[date_modif]])=Final_Sans_VGE[[#This Row],[date_modif]],
      "Ancien",
      "Modifié"),
   "Nouveau")),"")</f>
        <v/>
      </c>
    </row>
    <row r="9314" spans="24:30" x14ac:dyDescent="0.25">
      <c r="X9314" s="8" t="e">
        <f>IF(Final_Sans_VGE[[#This Row],[ppn_z]]="","",IFERROR(
   IF(_xlfn.XLOOKUP(Final_Sans_VGE[[#This Row],[ppn_z]],tbl_Historique_Final[ppn_z],tbl_Historique_Final[date_modif])=Final_Sans_VGE[[#This Row],[date_modif]],
      "Ancien",
      "Modifié"),
   "Nouveau"))</f>
        <v>#VALUE!</v>
      </c>
      <c r="AD9314" s="1" t="str">
        <f>IFERROR(IF(Final_Sans_VGE[[#This Row],[ppn_z]]="","",IFERROR(
   IF(_xlfn.XLOOKUP(Final_Sans_VGE[[#This Row],[ppn_z]],tbl_Historique_Final[[#This Row],[ppn_z]],tbl_Historique_Final[[#This Row],[date_modif]])=Final_Sans_VGE[[#This Row],[date_modif]],
      "Ancien",
      "Modifié"),
   "Nouveau")),"")</f>
        <v/>
      </c>
    </row>
    <row r="9315" spans="24:30" x14ac:dyDescent="0.25">
      <c r="X9315" s="8" t="e">
        <f>IF(Final_Sans_VGE[[#This Row],[ppn_z]]="","",IFERROR(
   IF(_xlfn.XLOOKUP(Final_Sans_VGE[[#This Row],[ppn_z]],tbl_Historique_Final[ppn_z],tbl_Historique_Final[date_modif])=Final_Sans_VGE[[#This Row],[date_modif]],
      "Ancien",
      "Modifié"),
   "Nouveau"))</f>
        <v>#VALUE!</v>
      </c>
      <c r="AD9315" s="1" t="str">
        <f>IFERROR(IF(Final_Sans_VGE[[#This Row],[ppn_z]]="","",IFERROR(
   IF(_xlfn.XLOOKUP(Final_Sans_VGE[[#This Row],[ppn_z]],tbl_Historique_Final[[#This Row],[ppn_z]],tbl_Historique_Final[[#This Row],[date_modif]])=Final_Sans_VGE[[#This Row],[date_modif]],
      "Ancien",
      "Modifié"),
   "Nouveau")),"")</f>
        <v/>
      </c>
    </row>
    <row r="9316" spans="24:30" x14ac:dyDescent="0.25">
      <c r="X9316" s="8" t="e">
        <f>IF(Final_Sans_VGE[[#This Row],[ppn_z]]="","",IFERROR(
   IF(_xlfn.XLOOKUP(Final_Sans_VGE[[#This Row],[ppn_z]],tbl_Historique_Final[ppn_z],tbl_Historique_Final[date_modif])=Final_Sans_VGE[[#This Row],[date_modif]],
      "Ancien",
      "Modifié"),
   "Nouveau"))</f>
        <v>#VALUE!</v>
      </c>
      <c r="AD9316" s="1" t="str">
        <f>IFERROR(IF(Final_Sans_VGE[[#This Row],[ppn_z]]="","",IFERROR(
   IF(_xlfn.XLOOKUP(Final_Sans_VGE[[#This Row],[ppn_z]],tbl_Historique_Final[[#This Row],[ppn_z]],tbl_Historique_Final[[#This Row],[date_modif]])=Final_Sans_VGE[[#This Row],[date_modif]],
      "Ancien",
      "Modifié"),
   "Nouveau")),"")</f>
        <v/>
      </c>
    </row>
    <row r="9317" spans="24:30" x14ac:dyDescent="0.25">
      <c r="X9317" s="8" t="e">
        <f>IF(Final_Sans_VGE[[#This Row],[ppn_z]]="","",IFERROR(
   IF(_xlfn.XLOOKUP(Final_Sans_VGE[[#This Row],[ppn_z]],tbl_Historique_Final[ppn_z],tbl_Historique_Final[date_modif])=Final_Sans_VGE[[#This Row],[date_modif]],
      "Ancien",
      "Modifié"),
   "Nouveau"))</f>
        <v>#VALUE!</v>
      </c>
      <c r="AD9317" s="1" t="str">
        <f>IFERROR(IF(Final_Sans_VGE[[#This Row],[ppn_z]]="","",IFERROR(
   IF(_xlfn.XLOOKUP(Final_Sans_VGE[[#This Row],[ppn_z]],tbl_Historique_Final[[#This Row],[ppn_z]],tbl_Historique_Final[[#This Row],[date_modif]])=Final_Sans_VGE[[#This Row],[date_modif]],
      "Ancien",
      "Modifié"),
   "Nouveau")),"")</f>
        <v/>
      </c>
    </row>
    <row r="9318" spans="24:30" x14ac:dyDescent="0.25">
      <c r="X9318" s="8" t="e">
        <f>IF(Final_Sans_VGE[[#This Row],[ppn_z]]="","",IFERROR(
   IF(_xlfn.XLOOKUP(Final_Sans_VGE[[#This Row],[ppn_z]],tbl_Historique_Final[ppn_z],tbl_Historique_Final[date_modif])=Final_Sans_VGE[[#This Row],[date_modif]],
      "Ancien",
      "Modifié"),
   "Nouveau"))</f>
        <v>#VALUE!</v>
      </c>
      <c r="AD9318" s="1" t="str">
        <f>IFERROR(IF(Final_Sans_VGE[[#This Row],[ppn_z]]="","",IFERROR(
   IF(_xlfn.XLOOKUP(Final_Sans_VGE[[#This Row],[ppn_z]],tbl_Historique_Final[[#This Row],[ppn_z]],tbl_Historique_Final[[#This Row],[date_modif]])=Final_Sans_VGE[[#This Row],[date_modif]],
      "Ancien",
      "Modifié"),
   "Nouveau")),"")</f>
        <v/>
      </c>
    </row>
    <row r="9319" spans="24:30" x14ac:dyDescent="0.25">
      <c r="X9319" s="8" t="e">
        <f>IF(Final_Sans_VGE[[#This Row],[ppn_z]]="","",IFERROR(
   IF(_xlfn.XLOOKUP(Final_Sans_VGE[[#This Row],[ppn_z]],tbl_Historique_Final[ppn_z],tbl_Historique_Final[date_modif])=Final_Sans_VGE[[#This Row],[date_modif]],
      "Ancien",
      "Modifié"),
   "Nouveau"))</f>
        <v>#VALUE!</v>
      </c>
      <c r="AD9319" s="1" t="str">
        <f>IFERROR(IF(Final_Sans_VGE[[#This Row],[ppn_z]]="","",IFERROR(
   IF(_xlfn.XLOOKUP(Final_Sans_VGE[[#This Row],[ppn_z]],tbl_Historique_Final[[#This Row],[ppn_z]],tbl_Historique_Final[[#This Row],[date_modif]])=Final_Sans_VGE[[#This Row],[date_modif]],
      "Ancien",
      "Modifié"),
   "Nouveau")),"")</f>
        <v/>
      </c>
    </row>
    <row r="9320" spans="24:30" x14ac:dyDescent="0.25">
      <c r="X9320" s="8" t="e">
        <f>IF(Final_Sans_VGE[[#This Row],[ppn_z]]="","",IFERROR(
   IF(_xlfn.XLOOKUP(Final_Sans_VGE[[#This Row],[ppn_z]],tbl_Historique_Final[ppn_z],tbl_Historique_Final[date_modif])=Final_Sans_VGE[[#This Row],[date_modif]],
      "Ancien",
      "Modifié"),
   "Nouveau"))</f>
        <v>#VALUE!</v>
      </c>
      <c r="AD9320" s="1" t="str">
        <f>IFERROR(IF(Final_Sans_VGE[[#This Row],[ppn_z]]="","",IFERROR(
   IF(_xlfn.XLOOKUP(Final_Sans_VGE[[#This Row],[ppn_z]],tbl_Historique_Final[[#This Row],[ppn_z]],tbl_Historique_Final[[#This Row],[date_modif]])=Final_Sans_VGE[[#This Row],[date_modif]],
      "Ancien",
      "Modifié"),
   "Nouveau")),"")</f>
        <v/>
      </c>
    </row>
    <row r="9321" spans="24:30" x14ac:dyDescent="0.25">
      <c r="X9321" s="8" t="e">
        <f>IF(Final_Sans_VGE[[#This Row],[ppn_z]]="","",IFERROR(
   IF(_xlfn.XLOOKUP(Final_Sans_VGE[[#This Row],[ppn_z]],tbl_Historique_Final[ppn_z],tbl_Historique_Final[date_modif])=Final_Sans_VGE[[#This Row],[date_modif]],
      "Ancien",
      "Modifié"),
   "Nouveau"))</f>
        <v>#VALUE!</v>
      </c>
      <c r="AD9321" s="1" t="str">
        <f>IFERROR(IF(Final_Sans_VGE[[#This Row],[ppn_z]]="","",IFERROR(
   IF(_xlfn.XLOOKUP(Final_Sans_VGE[[#This Row],[ppn_z]],tbl_Historique_Final[[#This Row],[ppn_z]],tbl_Historique_Final[[#This Row],[date_modif]])=Final_Sans_VGE[[#This Row],[date_modif]],
      "Ancien",
      "Modifié"),
   "Nouveau")),"")</f>
        <v/>
      </c>
    </row>
    <row r="9322" spans="24:30" x14ac:dyDescent="0.25">
      <c r="X9322" s="8" t="e">
        <f>IF(Final_Sans_VGE[[#This Row],[ppn_z]]="","",IFERROR(
   IF(_xlfn.XLOOKUP(Final_Sans_VGE[[#This Row],[ppn_z]],tbl_Historique_Final[ppn_z],tbl_Historique_Final[date_modif])=Final_Sans_VGE[[#This Row],[date_modif]],
      "Ancien",
      "Modifié"),
   "Nouveau"))</f>
        <v>#VALUE!</v>
      </c>
      <c r="AD9322" s="1" t="str">
        <f>IFERROR(IF(Final_Sans_VGE[[#This Row],[ppn_z]]="","",IFERROR(
   IF(_xlfn.XLOOKUP(Final_Sans_VGE[[#This Row],[ppn_z]],tbl_Historique_Final[[#This Row],[ppn_z]],tbl_Historique_Final[[#This Row],[date_modif]])=Final_Sans_VGE[[#This Row],[date_modif]],
      "Ancien",
      "Modifié"),
   "Nouveau")),"")</f>
        <v/>
      </c>
    </row>
    <row r="9323" spans="24:30" x14ac:dyDescent="0.25">
      <c r="X9323" s="8" t="e">
        <f>IF(Final_Sans_VGE[[#This Row],[ppn_z]]="","",IFERROR(
   IF(_xlfn.XLOOKUP(Final_Sans_VGE[[#This Row],[ppn_z]],tbl_Historique_Final[ppn_z],tbl_Historique_Final[date_modif])=Final_Sans_VGE[[#This Row],[date_modif]],
      "Ancien",
      "Modifié"),
   "Nouveau"))</f>
        <v>#VALUE!</v>
      </c>
      <c r="AD9323" s="1" t="str">
        <f>IFERROR(IF(Final_Sans_VGE[[#This Row],[ppn_z]]="","",IFERROR(
   IF(_xlfn.XLOOKUP(Final_Sans_VGE[[#This Row],[ppn_z]],tbl_Historique_Final[[#This Row],[ppn_z]],tbl_Historique_Final[[#This Row],[date_modif]])=Final_Sans_VGE[[#This Row],[date_modif]],
      "Ancien",
      "Modifié"),
   "Nouveau")),"")</f>
        <v/>
      </c>
    </row>
    <row r="9324" spans="24:30" x14ac:dyDescent="0.25">
      <c r="X9324" s="8" t="e">
        <f>IF(Final_Sans_VGE[[#This Row],[ppn_z]]="","",IFERROR(
   IF(_xlfn.XLOOKUP(Final_Sans_VGE[[#This Row],[ppn_z]],tbl_Historique_Final[ppn_z],tbl_Historique_Final[date_modif])=Final_Sans_VGE[[#This Row],[date_modif]],
      "Ancien",
      "Modifié"),
   "Nouveau"))</f>
        <v>#VALUE!</v>
      </c>
      <c r="AD9324" s="1" t="str">
        <f>IFERROR(IF(Final_Sans_VGE[[#This Row],[ppn_z]]="","",IFERROR(
   IF(_xlfn.XLOOKUP(Final_Sans_VGE[[#This Row],[ppn_z]],tbl_Historique_Final[[#This Row],[ppn_z]],tbl_Historique_Final[[#This Row],[date_modif]])=Final_Sans_VGE[[#This Row],[date_modif]],
      "Ancien",
      "Modifié"),
   "Nouveau")),"")</f>
        <v/>
      </c>
    </row>
    <row r="9325" spans="24:30" x14ac:dyDescent="0.25">
      <c r="X9325" s="8" t="e">
        <f>IF(Final_Sans_VGE[[#This Row],[ppn_z]]="","",IFERROR(
   IF(_xlfn.XLOOKUP(Final_Sans_VGE[[#This Row],[ppn_z]],tbl_Historique_Final[ppn_z],tbl_Historique_Final[date_modif])=Final_Sans_VGE[[#This Row],[date_modif]],
      "Ancien",
      "Modifié"),
   "Nouveau"))</f>
        <v>#VALUE!</v>
      </c>
      <c r="AD9325" s="1" t="str">
        <f>IFERROR(IF(Final_Sans_VGE[[#This Row],[ppn_z]]="","",IFERROR(
   IF(_xlfn.XLOOKUP(Final_Sans_VGE[[#This Row],[ppn_z]],tbl_Historique_Final[[#This Row],[ppn_z]],tbl_Historique_Final[[#This Row],[date_modif]])=Final_Sans_VGE[[#This Row],[date_modif]],
      "Ancien",
      "Modifié"),
   "Nouveau")),"")</f>
        <v/>
      </c>
    </row>
    <row r="9326" spans="24:30" x14ac:dyDescent="0.25">
      <c r="X9326" s="8" t="e">
        <f>IF(Final_Sans_VGE[[#This Row],[ppn_z]]="","",IFERROR(
   IF(_xlfn.XLOOKUP(Final_Sans_VGE[[#This Row],[ppn_z]],tbl_Historique_Final[ppn_z],tbl_Historique_Final[date_modif])=Final_Sans_VGE[[#This Row],[date_modif]],
      "Ancien",
      "Modifié"),
   "Nouveau"))</f>
        <v>#VALUE!</v>
      </c>
      <c r="AD9326" s="1" t="str">
        <f>IFERROR(IF(Final_Sans_VGE[[#This Row],[ppn_z]]="","",IFERROR(
   IF(_xlfn.XLOOKUP(Final_Sans_VGE[[#This Row],[ppn_z]],tbl_Historique_Final[[#This Row],[ppn_z]],tbl_Historique_Final[[#This Row],[date_modif]])=Final_Sans_VGE[[#This Row],[date_modif]],
      "Ancien",
      "Modifié"),
   "Nouveau")),"")</f>
        <v/>
      </c>
    </row>
    <row r="9327" spans="24:30" x14ac:dyDescent="0.25">
      <c r="X9327" s="8" t="e">
        <f>IF(Final_Sans_VGE[[#This Row],[ppn_z]]="","",IFERROR(
   IF(_xlfn.XLOOKUP(Final_Sans_VGE[[#This Row],[ppn_z]],tbl_Historique_Final[ppn_z],tbl_Historique_Final[date_modif])=Final_Sans_VGE[[#This Row],[date_modif]],
      "Ancien",
      "Modifié"),
   "Nouveau"))</f>
        <v>#VALUE!</v>
      </c>
      <c r="AD9327" s="1" t="str">
        <f>IFERROR(IF(Final_Sans_VGE[[#This Row],[ppn_z]]="","",IFERROR(
   IF(_xlfn.XLOOKUP(Final_Sans_VGE[[#This Row],[ppn_z]],tbl_Historique_Final[[#This Row],[ppn_z]],tbl_Historique_Final[[#This Row],[date_modif]])=Final_Sans_VGE[[#This Row],[date_modif]],
      "Ancien",
      "Modifié"),
   "Nouveau")),"")</f>
        <v/>
      </c>
    </row>
    <row r="9328" spans="24:30" x14ac:dyDescent="0.25">
      <c r="X9328" s="8" t="e">
        <f>IF(Final_Sans_VGE[[#This Row],[ppn_z]]="","",IFERROR(
   IF(_xlfn.XLOOKUP(Final_Sans_VGE[[#This Row],[ppn_z]],tbl_Historique_Final[ppn_z],tbl_Historique_Final[date_modif])=Final_Sans_VGE[[#This Row],[date_modif]],
      "Ancien",
      "Modifié"),
   "Nouveau"))</f>
        <v>#VALUE!</v>
      </c>
      <c r="AD9328" s="1" t="str">
        <f>IFERROR(IF(Final_Sans_VGE[[#This Row],[ppn_z]]="","",IFERROR(
   IF(_xlfn.XLOOKUP(Final_Sans_VGE[[#This Row],[ppn_z]],tbl_Historique_Final[[#This Row],[ppn_z]],tbl_Historique_Final[[#This Row],[date_modif]])=Final_Sans_VGE[[#This Row],[date_modif]],
      "Ancien",
      "Modifié"),
   "Nouveau")),"")</f>
        <v/>
      </c>
    </row>
    <row r="9329" spans="24:30" x14ac:dyDescent="0.25">
      <c r="X9329" s="8" t="e">
        <f>IF(Final_Sans_VGE[[#This Row],[ppn_z]]="","",IFERROR(
   IF(_xlfn.XLOOKUP(Final_Sans_VGE[[#This Row],[ppn_z]],tbl_Historique_Final[ppn_z],tbl_Historique_Final[date_modif])=Final_Sans_VGE[[#This Row],[date_modif]],
      "Ancien",
      "Modifié"),
   "Nouveau"))</f>
        <v>#VALUE!</v>
      </c>
      <c r="AD9329" s="1" t="str">
        <f>IFERROR(IF(Final_Sans_VGE[[#This Row],[ppn_z]]="","",IFERROR(
   IF(_xlfn.XLOOKUP(Final_Sans_VGE[[#This Row],[ppn_z]],tbl_Historique_Final[[#This Row],[ppn_z]],tbl_Historique_Final[[#This Row],[date_modif]])=Final_Sans_VGE[[#This Row],[date_modif]],
      "Ancien",
      "Modifié"),
   "Nouveau")),"")</f>
        <v/>
      </c>
    </row>
    <row r="9330" spans="24:30" x14ac:dyDescent="0.25">
      <c r="X9330" s="8" t="e">
        <f>IF(Final_Sans_VGE[[#This Row],[ppn_z]]="","",IFERROR(
   IF(_xlfn.XLOOKUP(Final_Sans_VGE[[#This Row],[ppn_z]],tbl_Historique_Final[ppn_z],tbl_Historique_Final[date_modif])=Final_Sans_VGE[[#This Row],[date_modif]],
      "Ancien",
      "Modifié"),
   "Nouveau"))</f>
        <v>#VALUE!</v>
      </c>
      <c r="AD9330" s="1" t="str">
        <f>IFERROR(IF(Final_Sans_VGE[[#This Row],[ppn_z]]="","",IFERROR(
   IF(_xlfn.XLOOKUP(Final_Sans_VGE[[#This Row],[ppn_z]],tbl_Historique_Final[[#This Row],[ppn_z]],tbl_Historique_Final[[#This Row],[date_modif]])=Final_Sans_VGE[[#This Row],[date_modif]],
      "Ancien",
      "Modifié"),
   "Nouveau")),"")</f>
        <v/>
      </c>
    </row>
    <row r="9331" spans="24:30" x14ac:dyDescent="0.25">
      <c r="X9331" s="8" t="e">
        <f>IF(Final_Sans_VGE[[#This Row],[ppn_z]]="","",IFERROR(
   IF(_xlfn.XLOOKUP(Final_Sans_VGE[[#This Row],[ppn_z]],tbl_Historique_Final[ppn_z],tbl_Historique_Final[date_modif])=Final_Sans_VGE[[#This Row],[date_modif]],
      "Ancien",
      "Modifié"),
   "Nouveau"))</f>
        <v>#VALUE!</v>
      </c>
      <c r="AD9331" s="1" t="str">
        <f>IFERROR(IF(Final_Sans_VGE[[#This Row],[ppn_z]]="","",IFERROR(
   IF(_xlfn.XLOOKUP(Final_Sans_VGE[[#This Row],[ppn_z]],tbl_Historique_Final[[#This Row],[ppn_z]],tbl_Historique_Final[[#This Row],[date_modif]])=Final_Sans_VGE[[#This Row],[date_modif]],
      "Ancien",
      "Modifié"),
   "Nouveau")),"")</f>
        <v/>
      </c>
    </row>
    <row r="9332" spans="24:30" x14ac:dyDescent="0.25">
      <c r="X9332" s="8" t="e">
        <f>IF(Final_Sans_VGE[[#This Row],[ppn_z]]="","",IFERROR(
   IF(_xlfn.XLOOKUP(Final_Sans_VGE[[#This Row],[ppn_z]],tbl_Historique_Final[ppn_z],tbl_Historique_Final[date_modif])=Final_Sans_VGE[[#This Row],[date_modif]],
      "Ancien",
      "Modifié"),
   "Nouveau"))</f>
        <v>#VALUE!</v>
      </c>
      <c r="AD9332" s="1" t="str">
        <f>IFERROR(IF(Final_Sans_VGE[[#This Row],[ppn_z]]="","",IFERROR(
   IF(_xlfn.XLOOKUP(Final_Sans_VGE[[#This Row],[ppn_z]],tbl_Historique_Final[[#This Row],[ppn_z]],tbl_Historique_Final[[#This Row],[date_modif]])=Final_Sans_VGE[[#This Row],[date_modif]],
      "Ancien",
      "Modifié"),
   "Nouveau")),"")</f>
        <v/>
      </c>
    </row>
    <row r="9333" spans="24:30" x14ac:dyDescent="0.25">
      <c r="X9333" s="8" t="e">
        <f>IF(Final_Sans_VGE[[#This Row],[ppn_z]]="","",IFERROR(
   IF(_xlfn.XLOOKUP(Final_Sans_VGE[[#This Row],[ppn_z]],tbl_Historique_Final[ppn_z],tbl_Historique_Final[date_modif])=Final_Sans_VGE[[#This Row],[date_modif]],
      "Ancien",
      "Modifié"),
   "Nouveau"))</f>
        <v>#VALUE!</v>
      </c>
      <c r="AD9333" s="1" t="str">
        <f>IFERROR(IF(Final_Sans_VGE[[#This Row],[ppn_z]]="","",IFERROR(
   IF(_xlfn.XLOOKUP(Final_Sans_VGE[[#This Row],[ppn_z]],tbl_Historique_Final[[#This Row],[ppn_z]],tbl_Historique_Final[[#This Row],[date_modif]])=Final_Sans_VGE[[#This Row],[date_modif]],
      "Ancien",
      "Modifié"),
   "Nouveau")),"")</f>
        <v/>
      </c>
    </row>
    <row r="9334" spans="24:30" x14ac:dyDescent="0.25">
      <c r="X9334" s="8" t="e">
        <f>IF(Final_Sans_VGE[[#This Row],[ppn_z]]="","",IFERROR(
   IF(_xlfn.XLOOKUP(Final_Sans_VGE[[#This Row],[ppn_z]],tbl_Historique_Final[ppn_z],tbl_Historique_Final[date_modif])=Final_Sans_VGE[[#This Row],[date_modif]],
      "Ancien",
      "Modifié"),
   "Nouveau"))</f>
        <v>#VALUE!</v>
      </c>
      <c r="AD9334" s="1" t="str">
        <f>IFERROR(IF(Final_Sans_VGE[[#This Row],[ppn_z]]="","",IFERROR(
   IF(_xlfn.XLOOKUP(Final_Sans_VGE[[#This Row],[ppn_z]],tbl_Historique_Final[[#This Row],[ppn_z]],tbl_Historique_Final[[#This Row],[date_modif]])=Final_Sans_VGE[[#This Row],[date_modif]],
      "Ancien",
      "Modifié"),
   "Nouveau")),"")</f>
        <v/>
      </c>
    </row>
    <row r="9335" spans="24:30" x14ac:dyDescent="0.25">
      <c r="X9335" s="8" t="e">
        <f>IF(Final_Sans_VGE[[#This Row],[ppn_z]]="","",IFERROR(
   IF(_xlfn.XLOOKUP(Final_Sans_VGE[[#This Row],[ppn_z]],tbl_Historique_Final[ppn_z],tbl_Historique_Final[date_modif])=Final_Sans_VGE[[#This Row],[date_modif]],
      "Ancien",
      "Modifié"),
   "Nouveau"))</f>
        <v>#VALUE!</v>
      </c>
      <c r="AD9335" s="1" t="str">
        <f>IFERROR(IF(Final_Sans_VGE[[#This Row],[ppn_z]]="","",IFERROR(
   IF(_xlfn.XLOOKUP(Final_Sans_VGE[[#This Row],[ppn_z]],tbl_Historique_Final[[#This Row],[ppn_z]],tbl_Historique_Final[[#This Row],[date_modif]])=Final_Sans_VGE[[#This Row],[date_modif]],
      "Ancien",
      "Modifié"),
   "Nouveau")),"")</f>
        <v/>
      </c>
    </row>
    <row r="9336" spans="24:30" x14ac:dyDescent="0.25">
      <c r="X9336" s="8" t="e">
        <f>IF(Final_Sans_VGE[[#This Row],[ppn_z]]="","",IFERROR(
   IF(_xlfn.XLOOKUP(Final_Sans_VGE[[#This Row],[ppn_z]],tbl_Historique_Final[ppn_z],tbl_Historique_Final[date_modif])=Final_Sans_VGE[[#This Row],[date_modif]],
      "Ancien",
      "Modifié"),
   "Nouveau"))</f>
        <v>#VALUE!</v>
      </c>
      <c r="AD9336" s="1" t="str">
        <f>IFERROR(IF(Final_Sans_VGE[[#This Row],[ppn_z]]="","",IFERROR(
   IF(_xlfn.XLOOKUP(Final_Sans_VGE[[#This Row],[ppn_z]],tbl_Historique_Final[[#This Row],[ppn_z]],tbl_Historique_Final[[#This Row],[date_modif]])=Final_Sans_VGE[[#This Row],[date_modif]],
      "Ancien",
      "Modifié"),
   "Nouveau")),"")</f>
        <v/>
      </c>
    </row>
    <row r="9337" spans="24:30" x14ac:dyDescent="0.25">
      <c r="X9337" s="8" t="e">
        <f>IF(Final_Sans_VGE[[#This Row],[ppn_z]]="","",IFERROR(
   IF(_xlfn.XLOOKUP(Final_Sans_VGE[[#This Row],[ppn_z]],tbl_Historique_Final[ppn_z],tbl_Historique_Final[date_modif])=Final_Sans_VGE[[#This Row],[date_modif]],
      "Ancien",
      "Modifié"),
   "Nouveau"))</f>
        <v>#VALUE!</v>
      </c>
      <c r="AD9337" s="1" t="str">
        <f>IFERROR(IF(Final_Sans_VGE[[#This Row],[ppn_z]]="","",IFERROR(
   IF(_xlfn.XLOOKUP(Final_Sans_VGE[[#This Row],[ppn_z]],tbl_Historique_Final[[#This Row],[ppn_z]],tbl_Historique_Final[[#This Row],[date_modif]])=Final_Sans_VGE[[#This Row],[date_modif]],
      "Ancien",
      "Modifié"),
   "Nouveau")),"")</f>
        <v/>
      </c>
    </row>
    <row r="9338" spans="24:30" x14ac:dyDescent="0.25">
      <c r="X9338" s="8" t="e">
        <f>IF(Final_Sans_VGE[[#This Row],[ppn_z]]="","",IFERROR(
   IF(_xlfn.XLOOKUP(Final_Sans_VGE[[#This Row],[ppn_z]],tbl_Historique_Final[ppn_z],tbl_Historique_Final[date_modif])=Final_Sans_VGE[[#This Row],[date_modif]],
      "Ancien",
      "Modifié"),
   "Nouveau"))</f>
        <v>#VALUE!</v>
      </c>
      <c r="AD9338" s="1" t="str">
        <f>IFERROR(IF(Final_Sans_VGE[[#This Row],[ppn_z]]="","",IFERROR(
   IF(_xlfn.XLOOKUP(Final_Sans_VGE[[#This Row],[ppn_z]],tbl_Historique_Final[[#This Row],[ppn_z]],tbl_Historique_Final[[#This Row],[date_modif]])=Final_Sans_VGE[[#This Row],[date_modif]],
      "Ancien",
      "Modifié"),
   "Nouveau")),"")</f>
        <v/>
      </c>
    </row>
    <row r="9339" spans="24:30" x14ac:dyDescent="0.25">
      <c r="X9339" s="8" t="e">
        <f>IF(Final_Sans_VGE[[#This Row],[ppn_z]]="","",IFERROR(
   IF(_xlfn.XLOOKUP(Final_Sans_VGE[[#This Row],[ppn_z]],tbl_Historique_Final[ppn_z],tbl_Historique_Final[date_modif])=Final_Sans_VGE[[#This Row],[date_modif]],
      "Ancien",
      "Modifié"),
   "Nouveau"))</f>
        <v>#VALUE!</v>
      </c>
      <c r="AD9339" s="1" t="str">
        <f>IFERROR(IF(Final_Sans_VGE[[#This Row],[ppn_z]]="","",IFERROR(
   IF(_xlfn.XLOOKUP(Final_Sans_VGE[[#This Row],[ppn_z]],tbl_Historique_Final[[#This Row],[ppn_z]],tbl_Historique_Final[[#This Row],[date_modif]])=Final_Sans_VGE[[#This Row],[date_modif]],
      "Ancien",
      "Modifié"),
   "Nouveau")),"")</f>
        <v/>
      </c>
    </row>
    <row r="9340" spans="24:30" x14ac:dyDescent="0.25">
      <c r="X9340" s="8" t="e">
        <f>IF(Final_Sans_VGE[[#This Row],[ppn_z]]="","",IFERROR(
   IF(_xlfn.XLOOKUP(Final_Sans_VGE[[#This Row],[ppn_z]],tbl_Historique_Final[ppn_z],tbl_Historique_Final[date_modif])=Final_Sans_VGE[[#This Row],[date_modif]],
      "Ancien",
      "Modifié"),
   "Nouveau"))</f>
        <v>#VALUE!</v>
      </c>
      <c r="AD9340" s="1" t="str">
        <f>IFERROR(IF(Final_Sans_VGE[[#This Row],[ppn_z]]="","",IFERROR(
   IF(_xlfn.XLOOKUP(Final_Sans_VGE[[#This Row],[ppn_z]],tbl_Historique_Final[[#This Row],[ppn_z]],tbl_Historique_Final[[#This Row],[date_modif]])=Final_Sans_VGE[[#This Row],[date_modif]],
      "Ancien",
      "Modifié"),
   "Nouveau")),"")</f>
        <v/>
      </c>
    </row>
    <row r="9341" spans="24:30" x14ac:dyDescent="0.25">
      <c r="X9341" s="8" t="e">
        <f>IF(Final_Sans_VGE[[#This Row],[ppn_z]]="","",IFERROR(
   IF(_xlfn.XLOOKUP(Final_Sans_VGE[[#This Row],[ppn_z]],tbl_Historique_Final[ppn_z],tbl_Historique_Final[date_modif])=Final_Sans_VGE[[#This Row],[date_modif]],
      "Ancien",
      "Modifié"),
   "Nouveau"))</f>
        <v>#VALUE!</v>
      </c>
      <c r="AD9341" s="1" t="str">
        <f>IFERROR(IF(Final_Sans_VGE[[#This Row],[ppn_z]]="","",IFERROR(
   IF(_xlfn.XLOOKUP(Final_Sans_VGE[[#This Row],[ppn_z]],tbl_Historique_Final[[#This Row],[ppn_z]],tbl_Historique_Final[[#This Row],[date_modif]])=Final_Sans_VGE[[#This Row],[date_modif]],
      "Ancien",
      "Modifié"),
   "Nouveau")),"")</f>
        <v/>
      </c>
    </row>
    <row r="9342" spans="24:30" x14ac:dyDescent="0.25">
      <c r="X9342" s="8" t="e">
        <f>IF(Final_Sans_VGE[[#This Row],[ppn_z]]="","",IFERROR(
   IF(_xlfn.XLOOKUP(Final_Sans_VGE[[#This Row],[ppn_z]],tbl_Historique_Final[ppn_z],tbl_Historique_Final[date_modif])=Final_Sans_VGE[[#This Row],[date_modif]],
      "Ancien",
      "Modifié"),
   "Nouveau"))</f>
        <v>#VALUE!</v>
      </c>
      <c r="AD9342" s="1" t="str">
        <f>IFERROR(IF(Final_Sans_VGE[[#This Row],[ppn_z]]="","",IFERROR(
   IF(_xlfn.XLOOKUP(Final_Sans_VGE[[#This Row],[ppn_z]],tbl_Historique_Final[[#This Row],[ppn_z]],tbl_Historique_Final[[#This Row],[date_modif]])=Final_Sans_VGE[[#This Row],[date_modif]],
      "Ancien",
      "Modifié"),
   "Nouveau")),"")</f>
        <v/>
      </c>
    </row>
    <row r="9343" spans="24:30" x14ac:dyDescent="0.25">
      <c r="X9343" s="8" t="e">
        <f>IF(Final_Sans_VGE[[#This Row],[ppn_z]]="","",IFERROR(
   IF(_xlfn.XLOOKUP(Final_Sans_VGE[[#This Row],[ppn_z]],tbl_Historique_Final[ppn_z],tbl_Historique_Final[date_modif])=Final_Sans_VGE[[#This Row],[date_modif]],
      "Ancien",
      "Modifié"),
   "Nouveau"))</f>
        <v>#VALUE!</v>
      </c>
      <c r="AD9343" s="1" t="str">
        <f>IFERROR(IF(Final_Sans_VGE[[#This Row],[ppn_z]]="","",IFERROR(
   IF(_xlfn.XLOOKUP(Final_Sans_VGE[[#This Row],[ppn_z]],tbl_Historique_Final[[#This Row],[ppn_z]],tbl_Historique_Final[[#This Row],[date_modif]])=Final_Sans_VGE[[#This Row],[date_modif]],
      "Ancien",
      "Modifié"),
   "Nouveau")),"")</f>
        <v/>
      </c>
    </row>
    <row r="9344" spans="24:30" x14ac:dyDescent="0.25">
      <c r="X9344" s="8" t="e">
        <f>IF(Final_Sans_VGE[[#This Row],[ppn_z]]="","",IFERROR(
   IF(_xlfn.XLOOKUP(Final_Sans_VGE[[#This Row],[ppn_z]],tbl_Historique_Final[ppn_z],tbl_Historique_Final[date_modif])=Final_Sans_VGE[[#This Row],[date_modif]],
      "Ancien",
      "Modifié"),
   "Nouveau"))</f>
        <v>#VALUE!</v>
      </c>
      <c r="AD9344" s="1" t="str">
        <f>IFERROR(IF(Final_Sans_VGE[[#This Row],[ppn_z]]="","",IFERROR(
   IF(_xlfn.XLOOKUP(Final_Sans_VGE[[#This Row],[ppn_z]],tbl_Historique_Final[[#This Row],[ppn_z]],tbl_Historique_Final[[#This Row],[date_modif]])=Final_Sans_VGE[[#This Row],[date_modif]],
      "Ancien",
      "Modifié"),
   "Nouveau")),"")</f>
        <v/>
      </c>
    </row>
    <row r="9345" spans="24:30" x14ac:dyDescent="0.25">
      <c r="X9345" s="8" t="e">
        <f>IF(Final_Sans_VGE[[#This Row],[ppn_z]]="","",IFERROR(
   IF(_xlfn.XLOOKUP(Final_Sans_VGE[[#This Row],[ppn_z]],tbl_Historique_Final[ppn_z],tbl_Historique_Final[date_modif])=Final_Sans_VGE[[#This Row],[date_modif]],
      "Ancien",
      "Modifié"),
   "Nouveau"))</f>
        <v>#VALUE!</v>
      </c>
      <c r="AD9345" s="1" t="str">
        <f>IFERROR(IF(Final_Sans_VGE[[#This Row],[ppn_z]]="","",IFERROR(
   IF(_xlfn.XLOOKUP(Final_Sans_VGE[[#This Row],[ppn_z]],tbl_Historique_Final[[#This Row],[ppn_z]],tbl_Historique_Final[[#This Row],[date_modif]])=Final_Sans_VGE[[#This Row],[date_modif]],
      "Ancien",
      "Modifié"),
   "Nouveau")),"")</f>
        <v/>
      </c>
    </row>
    <row r="9346" spans="24:30" x14ac:dyDescent="0.25">
      <c r="X9346" s="8" t="e">
        <f>IF(Final_Sans_VGE[[#This Row],[ppn_z]]="","",IFERROR(
   IF(_xlfn.XLOOKUP(Final_Sans_VGE[[#This Row],[ppn_z]],tbl_Historique_Final[ppn_z],tbl_Historique_Final[date_modif])=Final_Sans_VGE[[#This Row],[date_modif]],
      "Ancien",
      "Modifié"),
   "Nouveau"))</f>
        <v>#VALUE!</v>
      </c>
      <c r="AD9346" s="1" t="str">
        <f>IFERROR(IF(Final_Sans_VGE[[#This Row],[ppn_z]]="","",IFERROR(
   IF(_xlfn.XLOOKUP(Final_Sans_VGE[[#This Row],[ppn_z]],tbl_Historique_Final[[#This Row],[ppn_z]],tbl_Historique_Final[[#This Row],[date_modif]])=Final_Sans_VGE[[#This Row],[date_modif]],
      "Ancien",
      "Modifié"),
   "Nouveau")),"")</f>
        <v/>
      </c>
    </row>
    <row r="9347" spans="24:30" x14ac:dyDescent="0.25">
      <c r="X9347" s="8" t="e">
        <f>IF(Final_Sans_VGE[[#This Row],[ppn_z]]="","",IFERROR(
   IF(_xlfn.XLOOKUP(Final_Sans_VGE[[#This Row],[ppn_z]],tbl_Historique_Final[ppn_z],tbl_Historique_Final[date_modif])=Final_Sans_VGE[[#This Row],[date_modif]],
      "Ancien",
      "Modifié"),
   "Nouveau"))</f>
        <v>#VALUE!</v>
      </c>
      <c r="AD9347" s="1" t="str">
        <f>IFERROR(IF(Final_Sans_VGE[[#This Row],[ppn_z]]="","",IFERROR(
   IF(_xlfn.XLOOKUP(Final_Sans_VGE[[#This Row],[ppn_z]],tbl_Historique_Final[[#This Row],[ppn_z]],tbl_Historique_Final[[#This Row],[date_modif]])=Final_Sans_VGE[[#This Row],[date_modif]],
      "Ancien",
      "Modifié"),
   "Nouveau")),"")</f>
        <v/>
      </c>
    </row>
    <row r="9348" spans="24:30" x14ac:dyDescent="0.25">
      <c r="X9348" s="8" t="e">
        <f>IF(Final_Sans_VGE[[#This Row],[ppn_z]]="","",IFERROR(
   IF(_xlfn.XLOOKUP(Final_Sans_VGE[[#This Row],[ppn_z]],tbl_Historique_Final[ppn_z],tbl_Historique_Final[date_modif])=Final_Sans_VGE[[#This Row],[date_modif]],
      "Ancien",
      "Modifié"),
   "Nouveau"))</f>
        <v>#VALUE!</v>
      </c>
      <c r="AD9348" s="1" t="str">
        <f>IFERROR(IF(Final_Sans_VGE[[#This Row],[ppn_z]]="","",IFERROR(
   IF(_xlfn.XLOOKUP(Final_Sans_VGE[[#This Row],[ppn_z]],tbl_Historique_Final[[#This Row],[ppn_z]],tbl_Historique_Final[[#This Row],[date_modif]])=Final_Sans_VGE[[#This Row],[date_modif]],
      "Ancien",
      "Modifié"),
   "Nouveau")),"")</f>
        <v/>
      </c>
    </row>
    <row r="9349" spans="24:30" x14ac:dyDescent="0.25">
      <c r="X9349" s="8" t="e">
        <f>IF(Final_Sans_VGE[[#This Row],[ppn_z]]="","",IFERROR(
   IF(_xlfn.XLOOKUP(Final_Sans_VGE[[#This Row],[ppn_z]],tbl_Historique_Final[ppn_z],tbl_Historique_Final[date_modif])=Final_Sans_VGE[[#This Row],[date_modif]],
      "Ancien",
      "Modifié"),
   "Nouveau"))</f>
        <v>#VALUE!</v>
      </c>
      <c r="AD9349" s="1" t="str">
        <f>IFERROR(IF(Final_Sans_VGE[[#This Row],[ppn_z]]="","",IFERROR(
   IF(_xlfn.XLOOKUP(Final_Sans_VGE[[#This Row],[ppn_z]],tbl_Historique_Final[[#This Row],[ppn_z]],tbl_Historique_Final[[#This Row],[date_modif]])=Final_Sans_VGE[[#This Row],[date_modif]],
      "Ancien",
      "Modifié"),
   "Nouveau")),"")</f>
        <v/>
      </c>
    </row>
    <row r="9350" spans="24:30" x14ac:dyDescent="0.25">
      <c r="X9350" s="8" t="e">
        <f>IF(Final_Sans_VGE[[#This Row],[ppn_z]]="","",IFERROR(
   IF(_xlfn.XLOOKUP(Final_Sans_VGE[[#This Row],[ppn_z]],tbl_Historique_Final[ppn_z],tbl_Historique_Final[date_modif])=Final_Sans_VGE[[#This Row],[date_modif]],
      "Ancien",
      "Modifié"),
   "Nouveau"))</f>
        <v>#VALUE!</v>
      </c>
      <c r="AD9350" s="1" t="str">
        <f>IFERROR(IF(Final_Sans_VGE[[#This Row],[ppn_z]]="","",IFERROR(
   IF(_xlfn.XLOOKUP(Final_Sans_VGE[[#This Row],[ppn_z]],tbl_Historique_Final[[#This Row],[ppn_z]],tbl_Historique_Final[[#This Row],[date_modif]])=Final_Sans_VGE[[#This Row],[date_modif]],
      "Ancien",
      "Modifié"),
   "Nouveau")),"")</f>
        <v/>
      </c>
    </row>
    <row r="9351" spans="24:30" x14ac:dyDescent="0.25">
      <c r="X9351" s="8" t="e">
        <f>IF(Final_Sans_VGE[[#This Row],[ppn_z]]="","",IFERROR(
   IF(_xlfn.XLOOKUP(Final_Sans_VGE[[#This Row],[ppn_z]],tbl_Historique_Final[ppn_z],tbl_Historique_Final[date_modif])=Final_Sans_VGE[[#This Row],[date_modif]],
      "Ancien",
      "Modifié"),
   "Nouveau"))</f>
        <v>#VALUE!</v>
      </c>
      <c r="AD9351" s="1" t="str">
        <f>IFERROR(IF(Final_Sans_VGE[[#This Row],[ppn_z]]="","",IFERROR(
   IF(_xlfn.XLOOKUP(Final_Sans_VGE[[#This Row],[ppn_z]],tbl_Historique_Final[[#This Row],[ppn_z]],tbl_Historique_Final[[#This Row],[date_modif]])=Final_Sans_VGE[[#This Row],[date_modif]],
      "Ancien",
      "Modifié"),
   "Nouveau")),"")</f>
        <v/>
      </c>
    </row>
    <row r="9352" spans="24:30" x14ac:dyDescent="0.25">
      <c r="X9352" s="8" t="e">
        <f>IF(Final_Sans_VGE[[#This Row],[ppn_z]]="","",IFERROR(
   IF(_xlfn.XLOOKUP(Final_Sans_VGE[[#This Row],[ppn_z]],tbl_Historique_Final[ppn_z],tbl_Historique_Final[date_modif])=Final_Sans_VGE[[#This Row],[date_modif]],
      "Ancien",
      "Modifié"),
   "Nouveau"))</f>
        <v>#VALUE!</v>
      </c>
      <c r="AD9352" s="1" t="str">
        <f>IFERROR(IF(Final_Sans_VGE[[#This Row],[ppn_z]]="","",IFERROR(
   IF(_xlfn.XLOOKUP(Final_Sans_VGE[[#This Row],[ppn_z]],tbl_Historique_Final[[#This Row],[ppn_z]],tbl_Historique_Final[[#This Row],[date_modif]])=Final_Sans_VGE[[#This Row],[date_modif]],
      "Ancien",
      "Modifié"),
   "Nouveau")),"")</f>
        <v/>
      </c>
    </row>
    <row r="9353" spans="24:30" x14ac:dyDescent="0.25">
      <c r="X9353" s="8" t="e">
        <f>IF(Final_Sans_VGE[[#This Row],[ppn_z]]="","",IFERROR(
   IF(_xlfn.XLOOKUP(Final_Sans_VGE[[#This Row],[ppn_z]],tbl_Historique_Final[ppn_z],tbl_Historique_Final[date_modif])=Final_Sans_VGE[[#This Row],[date_modif]],
      "Ancien",
      "Modifié"),
   "Nouveau"))</f>
        <v>#VALUE!</v>
      </c>
      <c r="AD9353" s="1" t="str">
        <f>IFERROR(IF(Final_Sans_VGE[[#This Row],[ppn_z]]="","",IFERROR(
   IF(_xlfn.XLOOKUP(Final_Sans_VGE[[#This Row],[ppn_z]],tbl_Historique_Final[[#This Row],[ppn_z]],tbl_Historique_Final[[#This Row],[date_modif]])=Final_Sans_VGE[[#This Row],[date_modif]],
      "Ancien",
      "Modifié"),
   "Nouveau")),"")</f>
        <v/>
      </c>
    </row>
    <row r="9354" spans="24:30" x14ac:dyDescent="0.25">
      <c r="X9354" s="8" t="e">
        <f>IF(Final_Sans_VGE[[#This Row],[ppn_z]]="","",IFERROR(
   IF(_xlfn.XLOOKUP(Final_Sans_VGE[[#This Row],[ppn_z]],tbl_Historique_Final[ppn_z],tbl_Historique_Final[date_modif])=Final_Sans_VGE[[#This Row],[date_modif]],
      "Ancien",
      "Modifié"),
   "Nouveau"))</f>
        <v>#VALUE!</v>
      </c>
      <c r="AD9354" s="1" t="str">
        <f>IFERROR(IF(Final_Sans_VGE[[#This Row],[ppn_z]]="","",IFERROR(
   IF(_xlfn.XLOOKUP(Final_Sans_VGE[[#This Row],[ppn_z]],tbl_Historique_Final[[#This Row],[ppn_z]],tbl_Historique_Final[[#This Row],[date_modif]])=Final_Sans_VGE[[#This Row],[date_modif]],
      "Ancien",
      "Modifié"),
   "Nouveau")),"")</f>
        <v/>
      </c>
    </row>
    <row r="9355" spans="24:30" x14ac:dyDescent="0.25">
      <c r="X9355" s="8" t="e">
        <f>IF(Final_Sans_VGE[[#This Row],[ppn_z]]="","",IFERROR(
   IF(_xlfn.XLOOKUP(Final_Sans_VGE[[#This Row],[ppn_z]],tbl_Historique_Final[ppn_z],tbl_Historique_Final[date_modif])=Final_Sans_VGE[[#This Row],[date_modif]],
      "Ancien",
      "Modifié"),
   "Nouveau"))</f>
        <v>#VALUE!</v>
      </c>
      <c r="AD9355" s="1" t="str">
        <f>IFERROR(IF(Final_Sans_VGE[[#This Row],[ppn_z]]="","",IFERROR(
   IF(_xlfn.XLOOKUP(Final_Sans_VGE[[#This Row],[ppn_z]],tbl_Historique_Final[[#This Row],[ppn_z]],tbl_Historique_Final[[#This Row],[date_modif]])=Final_Sans_VGE[[#This Row],[date_modif]],
      "Ancien",
      "Modifié"),
   "Nouveau")),"")</f>
        <v/>
      </c>
    </row>
    <row r="9356" spans="24:30" x14ac:dyDescent="0.25">
      <c r="X9356" s="8" t="e">
        <f>IF(Final_Sans_VGE[[#This Row],[ppn_z]]="","",IFERROR(
   IF(_xlfn.XLOOKUP(Final_Sans_VGE[[#This Row],[ppn_z]],tbl_Historique_Final[ppn_z],tbl_Historique_Final[date_modif])=Final_Sans_VGE[[#This Row],[date_modif]],
      "Ancien",
      "Modifié"),
   "Nouveau"))</f>
        <v>#VALUE!</v>
      </c>
      <c r="AD9356" s="1" t="str">
        <f>IFERROR(IF(Final_Sans_VGE[[#This Row],[ppn_z]]="","",IFERROR(
   IF(_xlfn.XLOOKUP(Final_Sans_VGE[[#This Row],[ppn_z]],tbl_Historique_Final[[#This Row],[ppn_z]],tbl_Historique_Final[[#This Row],[date_modif]])=Final_Sans_VGE[[#This Row],[date_modif]],
      "Ancien",
      "Modifié"),
   "Nouveau")),"")</f>
        <v/>
      </c>
    </row>
    <row r="9357" spans="24:30" x14ac:dyDescent="0.25">
      <c r="X9357" s="8" t="e">
        <f>IF(Final_Sans_VGE[[#This Row],[ppn_z]]="","",IFERROR(
   IF(_xlfn.XLOOKUP(Final_Sans_VGE[[#This Row],[ppn_z]],tbl_Historique_Final[ppn_z],tbl_Historique_Final[date_modif])=Final_Sans_VGE[[#This Row],[date_modif]],
      "Ancien",
      "Modifié"),
   "Nouveau"))</f>
        <v>#VALUE!</v>
      </c>
      <c r="AD9357" s="1" t="str">
        <f>IFERROR(IF(Final_Sans_VGE[[#This Row],[ppn_z]]="","",IFERROR(
   IF(_xlfn.XLOOKUP(Final_Sans_VGE[[#This Row],[ppn_z]],tbl_Historique_Final[[#This Row],[ppn_z]],tbl_Historique_Final[[#This Row],[date_modif]])=Final_Sans_VGE[[#This Row],[date_modif]],
      "Ancien",
      "Modifié"),
   "Nouveau")),"")</f>
        <v/>
      </c>
    </row>
    <row r="9358" spans="24:30" x14ac:dyDescent="0.25">
      <c r="X9358" s="8" t="e">
        <f>IF(Final_Sans_VGE[[#This Row],[ppn_z]]="","",IFERROR(
   IF(_xlfn.XLOOKUP(Final_Sans_VGE[[#This Row],[ppn_z]],tbl_Historique_Final[ppn_z],tbl_Historique_Final[date_modif])=Final_Sans_VGE[[#This Row],[date_modif]],
      "Ancien",
      "Modifié"),
   "Nouveau"))</f>
        <v>#VALUE!</v>
      </c>
      <c r="AD9358" s="1" t="str">
        <f>IFERROR(IF(Final_Sans_VGE[[#This Row],[ppn_z]]="","",IFERROR(
   IF(_xlfn.XLOOKUP(Final_Sans_VGE[[#This Row],[ppn_z]],tbl_Historique_Final[[#This Row],[ppn_z]],tbl_Historique_Final[[#This Row],[date_modif]])=Final_Sans_VGE[[#This Row],[date_modif]],
      "Ancien",
      "Modifié"),
   "Nouveau")),"")</f>
        <v/>
      </c>
    </row>
    <row r="9359" spans="24:30" x14ac:dyDescent="0.25">
      <c r="X9359" s="8" t="e">
        <f>IF(Final_Sans_VGE[[#This Row],[ppn_z]]="","",IFERROR(
   IF(_xlfn.XLOOKUP(Final_Sans_VGE[[#This Row],[ppn_z]],tbl_Historique_Final[ppn_z],tbl_Historique_Final[date_modif])=Final_Sans_VGE[[#This Row],[date_modif]],
      "Ancien",
      "Modifié"),
   "Nouveau"))</f>
        <v>#VALUE!</v>
      </c>
      <c r="AD9359" s="1" t="str">
        <f>IFERROR(IF(Final_Sans_VGE[[#This Row],[ppn_z]]="","",IFERROR(
   IF(_xlfn.XLOOKUP(Final_Sans_VGE[[#This Row],[ppn_z]],tbl_Historique_Final[[#This Row],[ppn_z]],tbl_Historique_Final[[#This Row],[date_modif]])=Final_Sans_VGE[[#This Row],[date_modif]],
      "Ancien",
      "Modifié"),
   "Nouveau")),"")</f>
        <v/>
      </c>
    </row>
    <row r="9360" spans="24:30" x14ac:dyDescent="0.25">
      <c r="X9360" s="8" t="e">
        <f>IF(Final_Sans_VGE[[#This Row],[ppn_z]]="","",IFERROR(
   IF(_xlfn.XLOOKUP(Final_Sans_VGE[[#This Row],[ppn_z]],tbl_Historique_Final[ppn_z],tbl_Historique_Final[date_modif])=Final_Sans_VGE[[#This Row],[date_modif]],
      "Ancien",
      "Modifié"),
   "Nouveau"))</f>
        <v>#VALUE!</v>
      </c>
      <c r="AD9360" s="1" t="str">
        <f>IFERROR(IF(Final_Sans_VGE[[#This Row],[ppn_z]]="","",IFERROR(
   IF(_xlfn.XLOOKUP(Final_Sans_VGE[[#This Row],[ppn_z]],tbl_Historique_Final[[#This Row],[ppn_z]],tbl_Historique_Final[[#This Row],[date_modif]])=Final_Sans_VGE[[#This Row],[date_modif]],
      "Ancien",
      "Modifié"),
   "Nouveau")),"")</f>
        <v/>
      </c>
    </row>
    <row r="9361" spans="24:30" x14ac:dyDescent="0.25">
      <c r="X9361" s="8" t="e">
        <f>IF(Final_Sans_VGE[[#This Row],[ppn_z]]="","",IFERROR(
   IF(_xlfn.XLOOKUP(Final_Sans_VGE[[#This Row],[ppn_z]],tbl_Historique_Final[ppn_z],tbl_Historique_Final[date_modif])=Final_Sans_VGE[[#This Row],[date_modif]],
      "Ancien",
      "Modifié"),
   "Nouveau"))</f>
        <v>#VALUE!</v>
      </c>
      <c r="AD9361" s="1" t="str">
        <f>IFERROR(IF(Final_Sans_VGE[[#This Row],[ppn_z]]="","",IFERROR(
   IF(_xlfn.XLOOKUP(Final_Sans_VGE[[#This Row],[ppn_z]],tbl_Historique_Final[[#This Row],[ppn_z]],tbl_Historique_Final[[#This Row],[date_modif]])=Final_Sans_VGE[[#This Row],[date_modif]],
      "Ancien",
      "Modifié"),
   "Nouveau")),"")</f>
        <v/>
      </c>
    </row>
    <row r="9362" spans="24:30" x14ac:dyDescent="0.25">
      <c r="X9362" s="8" t="e">
        <f>IF(Final_Sans_VGE[[#This Row],[ppn_z]]="","",IFERROR(
   IF(_xlfn.XLOOKUP(Final_Sans_VGE[[#This Row],[ppn_z]],tbl_Historique_Final[ppn_z],tbl_Historique_Final[date_modif])=Final_Sans_VGE[[#This Row],[date_modif]],
      "Ancien",
      "Modifié"),
   "Nouveau"))</f>
        <v>#VALUE!</v>
      </c>
      <c r="AD9362" s="1" t="str">
        <f>IFERROR(IF(Final_Sans_VGE[[#This Row],[ppn_z]]="","",IFERROR(
   IF(_xlfn.XLOOKUP(Final_Sans_VGE[[#This Row],[ppn_z]],tbl_Historique_Final[[#This Row],[ppn_z]],tbl_Historique_Final[[#This Row],[date_modif]])=Final_Sans_VGE[[#This Row],[date_modif]],
      "Ancien",
      "Modifié"),
   "Nouveau")),"")</f>
        <v/>
      </c>
    </row>
    <row r="9363" spans="24:30" x14ac:dyDescent="0.25">
      <c r="X9363" s="8" t="e">
        <f>IF(Final_Sans_VGE[[#This Row],[ppn_z]]="","",IFERROR(
   IF(_xlfn.XLOOKUP(Final_Sans_VGE[[#This Row],[ppn_z]],tbl_Historique_Final[ppn_z],tbl_Historique_Final[date_modif])=Final_Sans_VGE[[#This Row],[date_modif]],
      "Ancien",
      "Modifié"),
   "Nouveau"))</f>
        <v>#VALUE!</v>
      </c>
      <c r="AD9363" s="1" t="str">
        <f>IFERROR(IF(Final_Sans_VGE[[#This Row],[ppn_z]]="","",IFERROR(
   IF(_xlfn.XLOOKUP(Final_Sans_VGE[[#This Row],[ppn_z]],tbl_Historique_Final[[#This Row],[ppn_z]],tbl_Historique_Final[[#This Row],[date_modif]])=Final_Sans_VGE[[#This Row],[date_modif]],
      "Ancien",
      "Modifié"),
   "Nouveau")),"")</f>
        <v/>
      </c>
    </row>
    <row r="9364" spans="24:30" x14ac:dyDescent="0.25">
      <c r="X9364" s="8" t="e">
        <f>IF(Final_Sans_VGE[[#This Row],[ppn_z]]="","",IFERROR(
   IF(_xlfn.XLOOKUP(Final_Sans_VGE[[#This Row],[ppn_z]],tbl_Historique_Final[ppn_z],tbl_Historique_Final[date_modif])=Final_Sans_VGE[[#This Row],[date_modif]],
      "Ancien",
      "Modifié"),
   "Nouveau"))</f>
        <v>#VALUE!</v>
      </c>
      <c r="AD9364" s="1" t="str">
        <f>IFERROR(IF(Final_Sans_VGE[[#This Row],[ppn_z]]="","",IFERROR(
   IF(_xlfn.XLOOKUP(Final_Sans_VGE[[#This Row],[ppn_z]],tbl_Historique_Final[[#This Row],[ppn_z]],tbl_Historique_Final[[#This Row],[date_modif]])=Final_Sans_VGE[[#This Row],[date_modif]],
      "Ancien",
      "Modifié"),
   "Nouveau")),"")</f>
        <v/>
      </c>
    </row>
    <row r="9365" spans="24:30" x14ac:dyDescent="0.25">
      <c r="X9365" s="8" t="e">
        <f>IF(Final_Sans_VGE[[#This Row],[ppn_z]]="","",IFERROR(
   IF(_xlfn.XLOOKUP(Final_Sans_VGE[[#This Row],[ppn_z]],tbl_Historique_Final[ppn_z],tbl_Historique_Final[date_modif])=Final_Sans_VGE[[#This Row],[date_modif]],
      "Ancien",
      "Modifié"),
   "Nouveau"))</f>
        <v>#VALUE!</v>
      </c>
      <c r="AD9365" s="1" t="str">
        <f>IFERROR(IF(Final_Sans_VGE[[#This Row],[ppn_z]]="","",IFERROR(
   IF(_xlfn.XLOOKUP(Final_Sans_VGE[[#This Row],[ppn_z]],tbl_Historique_Final[[#This Row],[ppn_z]],tbl_Historique_Final[[#This Row],[date_modif]])=Final_Sans_VGE[[#This Row],[date_modif]],
      "Ancien",
      "Modifié"),
   "Nouveau")),"")</f>
        <v/>
      </c>
    </row>
    <row r="9366" spans="24:30" x14ac:dyDescent="0.25">
      <c r="X9366" s="8" t="e">
        <f>IF(Final_Sans_VGE[[#This Row],[ppn_z]]="","",IFERROR(
   IF(_xlfn.XLOOKUP(Final_Sans_VGE[[#This Row],[ppn_z]],tbl_Historique_Final[ppn_z],tbl_Historique_Final[date_modif])=Final_Sans_VGE[[#This Row],[date_modif]],
      "Ancien",
      "Modifié"),
   "Nouveau"))</f>
        <v>#VALUE!</v>
      </c>
      <c r="AD9366" s="1" t="str">
        <f>IFERROR(IF(Final_Sans_VGE[[#This Row],[ppn_z]]="","",IFERROR(
   IF(_xlfn.XLOOKUP(Final_Sans_VGE[[#This Row],[ppn_z]],tbl_Historique_Final[[#This Row],[ppn_z]],tbl_Historique_Final[[#This Row],[date_modif]])=Final_Sans_VGE[[#This Row],[date_modif]],
      "Ancien",
      "Modifié"),
   "Nouveau")),"")</f>
        <v/>
      </c>
    </row>
    <row r="9367" spans="24:30" x14ac:dyDescent="0.25">
      <c r="X9367" s="8" t="e">
        <f>IF(Final_Sans_VGE[[#This Row],[ppn_z]]="","",IFERROR(
   IF(_xlfn.XLOOKUP(Final_Sans_VGE[[#This Row],[ppn_z]],tbl_Historique_Final[ppn_z],tbl_Historique_Final[date_modif])=Final_Sans_VGE[[#This Row],[date_modif]],
      "Ancien",
      "Modifié"),
   "Nouveau"))</f>
        <v>#VALUE!</v>
      </c>
      <c r="AD9367" s="1" t="str">
        <f>IFERROR(IF(Final_Sans_VGE[[#This Row],[ppn_z]]="","",IFERROR(
   IF(_xlfn.XLOOKUP(Final_Sans_VGE[[#This Row],[ppn_z]],tbl_Historique_Final[[#This Row],[ppn_z]],tbl_Historique_Final[[#This Row],[date_modif]])=Final_Sans_VGE[[#This Row],[date_modif]],
      "Ancien",
      "Modifié"),
   "Nouveau")),"")</f>
        <v/>
      </c>
    </row>
    <row r="9368" spans="24:30" x14ac:dyDescent="0.25">
      <c r="X9368" s="8" t="e">
        <f>IF(Final_Sans_VGE[[#This Row],[ppn_z]]="","",IFERROR(
   IF(_xlfn.XLOOKUP(Final_Sans_VGE[[#This Row],[ppn_z]],tbl_Historique_Final[ppn_z],tbl_Historique_Final[date_modif])=Final_Sans_VGE[[#This Row],[date_modif]],
      "Ancien",
      "Modifié"),
   "Nouveau"))</f>
        <v>#VALUE!</v>
      </c>
      <c r="AD9368" s="1" t="str">
        <f>IFERROR(IF(Final_Sans_VGE[[#This Row],[ppn_z]]="","",IFERROR(
   IF(_xlfn.XLOOKUP(Final_Sans_VGE[[#This Row],[ppn_z]],tbl_Historique_Final[[#This Row],[ppn_z]],tbl_Historique_Final[[#This Row],[date_modif]])=Final_Sans_VGE[[#This Row],[date_modif]],
      "Ancien",
      "Modifié"),
   "Nouveau")),"")</f>
        <v/>
      </c>
    </row>
    <row r="9369" spans="24:30" x14ac:dyDescent="0.25">
      <c r="X9369" s="8" t="e">
        <f>IF(Final_Sans_VGE[[#This Row],[ppn_z]]="","",IFERROR(
   IF(_xlfn.XLOOKUP(Final_Sans_VGE[[#This Row],[ppn_z]],tbl_Historique_Final[ppn_z],tbl_Historique_Final[date_modif])=Final_Sans_VGE[[#This Row],[date_modif]],
      "Ancien",
      "Modifié"),
   "Nouveau"))</f>
        <v>#VALUE!</v>
      </c>
      <c r="AD9369" s="1" t="str">
        <f>IFERROR(IF(Final_Sans_VGE[[#This Row],[ppn_z]]="","",IFERROR(
   IF(_xlfn.XLOOKUP(Final_Sans_VGE[[#This Row],[ppn_z]],tbl_Historique_Final[[#This Row],[ppn_z]],tbl_Historique_Final[[#This Row],[date_modif]])=Final_Sans_VGE[[#This Row],[date_modif]],
      "Ancien",
      "Modifié"),
   "Nouveau")),"")</f>
        <v/>
      </c>
    </row>
    <row r="9370" spans="24:30" x14ac:dyDescent="0.25">
      <c r="X9370" s="8" t="e">
        <f>IF(Final_Sans_VGE[[#This Row],[ppn_z]]="","",IFERROR(
   IF(_xlfn.XLOOKUP(Final_Sans_VGE[[#This Row],[ppn_z]],tbl_Historique_Final[ppn_z],tbl_Historique_Final[date_modif])=Final_Sans_VGE[[#This Row],[date_modif]],
      "Ancien",
      "Modifié"),
   "Nouveau"))</f>
        <v>#VALUE!</v>
      </c>
      <c r="AD9370" s="1" t="str">
        <f>IFERROR(IF(Final_Sans_VGE[[#This Row],[ppn_z]]="","",IFERROR(
   IF(_xlfn.XLOOKUP(Final_Sans_VGE[[#This Row],[ppn_z]],tbl_Historique_Final[[#This Row],[ppn_z]],tbl_Historique_Final[[#This Row],[date_modif]])=Final_Sans_VGE[[#This Row],[date_modif]],
      "Ancien",
      "Modifié"),
   "Nouveau")),"")</f>
        <v/>
      </c>
    </row>
    <row r="9371" spans="24:30" x14ac:dyDescent="0.25">
      <c r="X9371" s="8" t="e">
        <f>IF(Final_Sans_VGE[[#This Row],[ppn_z]]="","",IFERROR(
   IF(_xlfn.XLOOKUP(Final_Sans_VGE[[#This Row],[ppn_z]],tbl_Historique_Final[ppn_z],tbl_Historique_Final[date_modif])=Final_Sans_VGE[[#This Row],[date_modif]],
      "Ancien",
      "Modifié"),
   "Nouveau"))</f>
        <v>#VALUE!</v>
      </c>
      <c r="AD9371" s="1" t="str">
        <f>IFERROR(IF(Final_Sans_VGE[[#This Row],[ppn_z]]="","",IFERROR(
   IF(_xlfn.XLOOKUP(Final_Sans_VGE[[#This Row],[ppn_z]],tbl_Historique_Final[[#This Row],[ppn_z]],tbl_Historique_Final[[#This Row],[date_modif]])=Final_Sans_VGE[[#This Row],[date_modif]],
      "Ancien",
      "Modifié"),
   "Nouveau")),"")</f>
        <v/>
      </c>
    </row>
    <row r="9372" spans="24:30" x14ac:dyDescent="0.25">
      <c r="X9372" s="8" t="e">
        <f>IF(Final_Sans_VGE[[#This Row],[ppn_z]]="","",IFERROR(
   IF(_xlfn.XLOOKUP(Final_Sans_VGE[[#This Row],[ppn_z]],tbl_Historique_Final[ppn_z],tbl_Historique_Final[date_modif])=Final_Sans_VGE[[#This Row],[date_modif]],
      "Ancien",
      "Modifié"),
   "Nouveau"))</f>
        <v>#VALUE!</v>
      </c>
      <c r="AD9372" s="1" t="str">
        <f>IFERROR(IF(Final_Sans_VGE[[#This Row],[ppn_z]]="","",IFERROR(
   IF(_xlfn.XLOOKUP(Final_Sans_VGE[[#This Row],[ppn_z]],tbl_Historique_Final[[#This Row],[ppn_z]],tbl_Historique_Final[[#This Row],[date_modif]])=Final_Sans_VGE[[#This Row],[date_modif]],
      "Ancien",
      "Modifié"),
   "Nouveau")),"")</f>
        <v/>
      </c>
    </row>
    <row r="9373" spans="24:30" x14ac:dyDescent="0.25">
      <c r="X9373" s="8" t="e">
        <f>IF(Final_Sans_VGE[[#This Row],[ppn_z]]="","",IFERROR(
   IF(_xlfn.XLOOKUP(Final_Sans_VGE[[#This Row],[ppn_z]],tbl_Historique_Final[ppn_z],tbl_Historique_Final[date_modif])=Final_Sans_VGE[[#This Row],[date_modif]],
      "Ancien",
      "Modifié"),
   "Nouveau"))</f>
        <v>#VALUE!</v>
      </c>
      <c r="AD9373" s="1" t="str">
        <f>IFERROR(IF(Final_Sans_VGE[[#This Row],[ppn_z]]="","",IFERROR(
   IF(_xlfn.XLOOKUP(Final_Sans_VGE[[#This Row],[ppn_z]],tbl_Historique_Final[[#This Row],[ppn_z]],tbl_Historique_Final[[#This Row],[date_modif]])=Final_Sans_VGE[[#This Row],[date_modif]],
      "Ancien",
      "Modifié"),
   "Nouveau")),"")</f>
        <v/>
      </c>
    </row>
    <row r="9374" spans="24:30" x14ac:dyDescent="0.25">
      <c r="X9374" s="8" t="e">
        <f>IF(Final_Sans_VGE[[#This Row],[ppn_z]]="","",IFERROR(
   IF(_xlfn.XLOOKUP(Final_Sans_VGE[[#This Row],[ppn_z]],tbl_Historique_Final[ppn_z],tbl_Historique_Final[date_modif])=Final_Sans_VGE[[#This Row],[date_modif]],
      "Ancien",
      "Modifié"),
   "Nouveau"))</f>
        <v>#VALUE!</v>
      </c>
      <c r="AD9374" s="1" t="str">
        <f>IFERROR(IF(Final_Sans_VGE[[#This Row],[ppn_z]]="","",IFERROR(
   IF(_xlfn.XLOOKUP(Final_Sans_VGE[[#This Row],[ppn_z]],tbl_Historique_Final[[#This Row],[ppn_z]],tbl_Historique_Final[[#This Row],[date_modif]])=Final_Sans_VGE[[#This Row],[date_modif]],
      "Ancien",
      "Modifié"),
   "Nouveau")),"")</f>
        <v/>
      </c>
    </row>
    <row r="9375" spans="24:30" x14ac:dyDescent="0.25">
      <c r="X9375" s="8" t="e">
        <f>IF(Final_Sans_VGE[[#This Row],[ppn_z]]="","",IFERROR(
   IF(_xlfn.XLOOKUP(Final_Sans_VGE[[#This Row],[ppn_z]],tbl_Historique_Final[ppn_z],tbl_Historique_Final[date_modif])=Final_Sans_VGE[[#This Row],[date_modif]],
      "Ancien",
      "Modifié"),
   "Nouveau"))</f>
        <v>#VALUE!</v>
      </c>
      <c r="AD9375" s="1" t="str">
        <f>IFERROR(IF(Final_Sans_VGE[[#This Row],[ppn_z]]="","",IFERROR(
   IF(_xlfn.XLOOKUP(Final_Sans_VGE[[#This Row],[ppn_z]],tbl_Historique_Final[[#This Row],[ppn_z]],tbl_Historique_Final[[#This Row],[date_modif]])=Final_Sans_VGE[[#This Row],[date_modif]],
      "Ancien",
      "Modifié"),
   "Nouveau")),"")</f>
        <v/>
      </c>
    </row>
    <row r="9376" spans="24:30" x14ac:dyDescent="0.25">
      <c r="X9376" s="8" t="e">
        <f>IF(Final_Sans_VGE[[#This Row],[ppn_z]]="","",IFERROR(
   IF(_xlfn.XLOOKUP(Final_Sans_VGE[[#This Row],[ppn_z]],tbl_Historique_Final[ppn_z],tbl_Historique_Final[date_modif])=Final_Sans_VGE[[#This Row],[date_modif]],
      "Ancien",
      "Modifié"),
   "Nouveau"))</f>
        <v>#VALUE!</v>
      </c>
      <c r="AD9376" s="1" t="str">
        <f>IFERROR(IF(Final_Sans_VGE[[#This Row],[ppn_z]]="","",IFERROR(
   IF(_xlfn.XLOOKUP(Final_Sans_VGE[[#This Row],[ppn_z]],tbl_Historique_Final[[#This Row],[ppn_z]],tbl_Historique_Final[[#This Row],[date_modif]])=Final_Sans_VGE[[#This Row],[date_modif]],
      "Ancien",
      "Modifié"),
   "Nouveau")),"")</f>
        <v/>
      </c>
    </row>
    <row r="9377" spans="24:30" x14ac:dyDescent="0.25">
      <c r="X9377" s="8" t="e">
        <f>IF(Final_Sans_VGE[[#This Row],[ppn_z]]="","",IFERROR(
   IF(_xlfn.XLOOKUP(Final_Sans_VGE[[#This Row],[ppn_z]],tbl_Historique_Final[ppn_z],tbl_Historique_Final[date_modif])=Final_Sans_VGE[[#This Row],[date_modif]],
      "Ancien",
      "Modifié"),
   "Nouveau"))</f>
        <v>#VALUE!</v>
      </c>
      <c r="AD9377" s="1" t="str">
        <f>IFERROR(IF(Final_Sans_VGE[[#This Row],[ppn_z]]="","",IFERROR(
   IF(_xlfn.XLOOKUP(Final_Sans_VGE[[#This Row],[ppn_z]],tbl_Historique_Final[[#This Row],[ppn_z]],tbl_Historique_Final[[#This Row],[date_modif]])=Final_Sans_VGE[[#This Row],[date_modif]],
      "Ancien",
      "Modifié"),
   "Nouveau")),"")</f>
        <v/>
      </c>
    </row>
    <row r="9378" spans="24:30" x14ac:dyDescent="0.25">
      <c r="X9378" s="8" t="e">
        <f>IF(Final_Sans_VGE[[#This Row],[ppn_z]]="","",IFERROR(
   IF(_xlfn.XLOOKUP(Final_Sans_VGE[[#This Row],[ppn_z]],tbl_Historique_Final[ppn_z],tbl_Historique_Final[date_modif])=Final_Sans_VGE[[#This Row],[date_modif]],
      "Ancien",
      "Modifié"),
   "Nouveau"))</f>
        <v>#VALUE!</v>
      </c>
      <c r="AD9378" s="1" t="str">
        <f>IFERROR(IF(Final_Sans_VGE[[#This Row],[ppn_z]]="","",IFERROR(
   IF(_xlfn.XLOOKUP(Final_Sans_VGE[[#This Row],[ppn_z]],tbl_Historique_Final[[#This Row],[ppn_z]],tbl_Historique_Final[[#This Row],[date_modif]])=Final_Sans_VGE[[#This Row],[date_modif]],
      "Ancien",
      "Modifié"),
   "Nouveau")),"")</f>
        <v/>
      </c>
    </row>
    <row r="9379" spans="24:30" x14ac:dyDescent="0.25">
      <c r="X9379" s="8" t="e">
        <f>IF(Final_Sans_VGE[[#This Row],[ppn_z]]="","",IFERROR(
   IF(_xlfn.XLOOKUP(Final_Sans_VGE[[#This Row],[ppn_z]],tbl_Historique_Final[ppn_z],tbl_Historique_Final[date_modif])=Final_Sans_VGE[[#This Row],[date_modif]],
      "Ancien",
      "Modifié"),
   "Nouveau"))</f>
        <v>#VALUE!</v>
      </c>
      <c r="AD9379" s="1" t="str">
        <f>IFERROR(IF(Final_Sans_VGE[[#This Row],[ppn_z]]="","",IFERROR(
   IF(_xlfn.XLOOKUP(Final_Sans_VGE[[#This Row],[ppn_z]],tbl_Historique_Final[[#This Row],[ppn_z]],tbl_Historique_Final[[#This Row],[date_modif]])=Final_Sans_VGE[[#This Row],[date_modif]],
      "Ancien",
      "Modifié"),
   "Nouveau")),"")</f>
        <v/>
      </c>
    </row>
    <row r="9380" spans="24:30" x14ac:dyDescent="0.25">
      <c r="X9380" s="8" t="e">
        <f>IF(Final_Sans_VGE[[#This Row],[ppn_z]]="","",IFERROR(
   IF(_xlfn.XLOOKUP(Final_Sans_VGE[[#This Row],[ppn_z]],tbl_Historique_Final[ppn_z],tbl_Historique_Final[date_modif])=Final_Sans_VGE[[#This Row],[date_modif]],
      "Ancien",
      "Modifié"),
   "Nouveau"))</f>
        <v>#VALUE!</v>
      </c>
      <c r="AD9380" s="1" t="str">
        <f>IFERROR(IF(Final_Sans_VGE[[#This Row],[ppn_z]]="","",IFERROR(
   IF(_xlfn.XLOOKUP(Final_Sans_VGE[[#This Row],[ppn_z]],tbl_Historique_Final[[#This Row],[ppn_z]],tbl_Historique_Final[[#This Row],[date_modif]])=Final_Sans_VGE[[#This Row],[date_modif]],
      "Ancien",
      "Modifié"),
   "Nouveau")),"")</f>
        <v/>
      </c>
    </row>
    <row r="9381" spans="24:30" x14ac:dyDescent="0.25">
      <c r="X9381" s="8" t="e">
        <f>IF(Final_Sans_VGE[[#This Row],[ppn_z]]="","",IFERROR(
   IF(_xlfn.XLOOKUP(Final_Sans_VGE[[#This Row],[ppn_z]],tbl_Historique_Final[ppn_z],tbl_Historique_Final[date_modif])=Final_Sans_VGE[[#This Row],[date_modif]],
      "Ancien",
      "Modifié"),
   "Nouveau"))</f>
        <v>#VALUE!</v>
      </c>
      <c r="AD9381" s="1" t="str">
        <f>IFERROR(IF(Final_Sans_VGE[[#This Row],[ppn_z]]="","",IFERROR(
   IF(_xlfn.XLOOKUP(Final_Sans_VGE[[#This Row],[ppn_z]],tbl_Historique_Final[[#This Row],[ppn_z]],tbl_Historique_Final[[#This Row],[date_modif]])=Final_Sans_VGE[[#This Row],[date_modif]],
      "Ancien",
      "Modifié"),
   "Nouveau")),"")</f>
        <v/>
      </c>
    </row>
    <row r="9382" spans="24:30" x14ac:dyDescent="0.25">
      <c r="X9382" s="8" t="e">
        <f>IF(Final_Sans_VGE[[#This Row],[ppn_z]]="","",IFERROR(
   IF(_xlfn.XLOOKUP(Final_Sans_VGE[[#This Row],[ppn_z]],tbl_Historique_Final[ppn_z],tbl_Historique_Final[date_modif])=Final_Sans_VGE[[#This Row],[date_modif]],
      "Ancien",
      "Modifié"),
   "Nouveau"))</f>
        <v>#VALUE!</v>
      </c>
      <c r="AD9382" s="1" t="str">
        <f>IFERROR(IF(Final_Sans_VGE[[#This Row],[ppn_z]]="","",IFERROR(
   IF(_xlfn.XLOOKUP(Final_Sans_VGE[[#This Row],[ppn_z]],tbl_Historique_Final[[#This Row],[ppn_z]],tbl_Historique_Final[[#This Row],[date_modif]])=Final_Sans_VGE[[#This Row],[date_modif]],
      "Ancien",
      "Modifié"),
   "Nouveau")),"")</f>
        <v/>
      </c>
    </row>
    <row r="9383" spans="24:30" x14ac:dyDescent="0.25">
      <c r="X9383" s="8" t="e">
        <f>IF(Final_Sans_VGE[[#This Row],[ppn_z]]="","",IFERROR(
   IF(_xlfn.XLOOKUP(Final_Sans_VGE[[#This Row],[ppn_z]],tbl_Historique_Final[ppn_z],tbl_Historique_Final[date_modif])=Final_Sans_VGE[[#This Row],[date_modif]],
      "Ancien",
      "Modifié"),
   "Nouveau"))</f>
        <v>#VALUE!</v>
      </c>
      <c r="AD9383" s="1" t="str">
        <f>IFERROR(IF(Final_Sans_VGE[[#This Row],[ppn_z]]="","",IFERROR(
   IF(_xlfn.XLOOKUP(Final_Sans_VGE[[#This Row],[ppn_z]],tbl_Historique_Final[[#This Row],[ppn_z]],tbl_Historique_Final[[#This Row],[date_modif]])=Final_Sans_VGE[[#This Row],[date_modif]],
      "Ancien",
      "Modifié"),
   "Nouveau")),"")</f>
        <v/>
      </c>
    </row>
    <row r="9384" spans="24:30" x14ac:dyDescent="0.25">
      <c r="X9384" s="8" t="e">
        <f>IF(Final_Sans_VGE[[#This Row],[ppn_z]]="","",IFERROR(
   IF(_xlfn.XLOOKUP(Final_Sans_VGE[[#This Row],[ppn_z]],tbl_Historique_Final[ppn_z],tbl_Historique_Final[date_modif])=Final_Sans_VGE[[#This Row],[date_modif]],
      "Ancien",
      "Modifié"),
   "Nouveau"))</f>
        <v>#VALUE!</v>
      </c>
      <c r="AD9384" s="1" t="str">
        <f>IFERROR(IF(Final_Sans_VGE[[#This Row],[ppn_z]]="","",IFERROR(
   IF(_xlfn.XLOOKUP(Final_Sans_VGE[[#This Row],[ppn_z]],tbl_Historique_Final[[#This Row],[ppn_z]],tbl_Historique_Final[[#This Row],[date_modif]])=Final_Sans_VGE[[#This Row],[date_modif]],
      "Ancien",
      "Modifié"),
   "Nouveau")),"")</f>
        <v/>
      </c>
    </row>
    <row r="9385" spans="24:30" x14ac:dyDescent="0.25">
      <c r="X9385" s="8" t="e">
        <f>IF(Final_Sans_VGE[[#This Row],[ppn_z]]="","",IFERROR(
   IF(_xlfn.XLOOKUP(Final_Sans_VGE[[#This Row],[ppn_z]],tbl_Historique_Final[ppn_z],tbl_Historique_Final[date_modif])=Final_Sans_VGE[[#This Row],[date_modif]],
      "Ancien",
      "Modifié"),
   "Nouveau"))</f>
        <v>#VALUE!</v>
      </c>
      <c r="AD9385" s="1" t="str">
        <f>IFERROR(IF(Final_Sans_VGE[[#This Row],[ppn_z]]="","",IFERROR(
   IF(_xlfn.XLOOKUP(Final_Sans_VGE[[#This Row],[ppn_z]],tbl_Historique_Final[[#This Row],[ppn_z]],tbl_Historique_Final[[#This Row],[date_modif]])=Final_Sans_VGE[[#This Row],[date_modif]],
      "Ancien",
      "Modifié"),
   "Nouveau")),"")</f>
        <v/>
      </c>
    </row>
    <row r="9386" spans="24:30" x14ac:dyDescent="0.25">
      <c r="X9386" s="8" t="e">
        <f>IF(Final_Sans_VGE[[#This Row],[ppn_z]]="","",IFERROR(
   IF(_xlfn.XLOOKUP(Final_Sans_VGE[[#This Row],[ppn_z]],tbl_Historique_Final[ppn_z],tbl_Historique_Final[date_modif])=Final_Sans_VGE[[#This Row],[date_modif]],
      "Ancien",
      "Modifié"),
   "Nouveau"))</f>
        <v>#VALUE!</v>
      </c>
      <c r="AD9386" s="1" t="str">
        <f>IFERROR(IF(Final_Sans_VGE[[#This Row],[ppn_z]]="","",IFERROR(
   IF(_xlfn.XLOOKUP(Final_Sans_VGE[[#This Row],[ppn_z]],tbl_Historique_Final[[#This Row],[ppn_z]],tbl_Historique_Final[[#This Row],[date_modif]])=Final_Sans_VGE[[#This Row],[date_modif]],
      "Ancien",
      "Modifié"),
   "Nouveau")),"")</f>
        <v/>
      </c>
    </row>
    <row r="9387" spans="24:30" x14ac:dyDescent="0.25">
      <c r="X9387" s="8" t="e">
        <f>IF(Final_Sans_VGE[[#This Row],[ppn_z]]="","",IFERROR(
   IF(_xlfn.XLOOKUP(Final_Sans_VGE[[#This Row],[ppn_z]],tbl_Historique_Final[ppn_z],tbl_Historique_Final[date_modif])=Final_Sans_VGE[[#This Row],[date_modif]],
      "Ancien",
      "Modifié"),
   "Nouveau"))</f>
        <v>#VALUE!</v>
      </c>
      <c r="AD9387" s="1" t="str">
        <f>IFERROR(IF(Final_Sans_VGE[[#This Row],[ppn_z]]="","",IFERROR(
   IF(_xlfn.XLOOKUP(Final_Sans_VGE[[#This Row],[ppn_z]],tbl_Historique_Final[[#This Row],[ppn_z]],tbl_Historique_Final[[#This Row],[date_modif]])=Final_Sans_VGE[[#This Row],[date_modif]],
      "Ancien",
      "Modifié"),
   "Nouveau")),"")</f>
        <v/>
      </c>
    </row>
    <row r="9388" spans="24:30" x14ac:dyDescent="0.25">
      <c r="X9388" s="8" t="e">
        <f>IF(Final_Sans_VGE[[#This Row],[ppn_z]]="","",IFERROR(
   IF(_xlfn.XLOOKUP(Final_Sans_VGE[[#This Row],[ppn_z]],tbl_Historique_Final[ppn_z],tbl_Historique_Final[date_modif])=Final_Sans_VGE[[#This Row],[date_modif]],
      "Ancien",
      "Modifié"),
   "Nouveau"))</f>
        <v>#VALUE!</v>
      </c>
      <c r="AD9388" s="1" t="str">
        <f>IFERROR(IF(Final_Sans_VGE[[#This Row],[ppn_z]]="","",IFERROR(
   IF(_xlfn.XLOOKUP(Final_Sans_VGE[[#This Row],[ppn_z]],tbl_Historique_Final[[#This Row],[ppn_z]],tbl_Historique_Final[[#This Row],[date_modif]])=Final_Sans_VGE[[#This Row],[date_modif]],
      "Ancien",
      "Modifié"),
   "Nouveau")),"")</f>
        <v/>
      </c>
    </row>
    <row r="9389" spans="24:30" x14ac:dyDescent="0.25">
      <c r="X9389" s="8" t="e">
        <f>IF(Final_Sans_VGE[[#This Row],[ppn_z]]="","",IFERROR(
   IF(_xlfn.XLOOKUP(Final_Sans_VGE[[#This Row],[ppn_z]],tbl_Historique_Final[ppn_z],tbl_Historique_Final[date_modif])=Final_Sans_VGE[[#This Row],[date_modif]],
      "Ancien",
      "Modifié"),
   "Nouveau"))</f>
        <v>#VALUE!</v>
      </c>
      <c r="AD9389" s="1" t="str">
        <f>IFERROR(IF(Final_Sans_VGE[[#This Row],[ppn_z]]="","",IFERROR(
   IF(_xlfn.XLOOKUP(Final_Sans_VGE[[#This Row],[ppn_z]],tbl_Historique_Final[[#This Row],[ppn_z]],tbl_Historique_Final[[#This Row],[date_modif]])=Final_Sans_VGE[[#This Row],[date_modif]],
      "Ancien",
      "Modifié"),
   "Nouveau")),"")</f>
        <v/>
      </c>
    </row>
    <row r="9390" spans="24:30" x14ac:dyDescent="0.25">
      <c r="X9390" s="8" t="e">
        <f>IF(Final_Sans_VGE[[#This Row],[ppn_z]]="","",IFERROR(
   IF(_xlfn.XLOOKUP(Final_Sans_VGE[[#This Row],[ppn_z]],tbl_Historique_Final[ppn_z],tbl_Historique_Final[date_modif])=Final_Sans_VGE[[#This Row],[date_modif]],
      "Ancien",
      "Modifié"),
   "Nouveau"))</f>
        <v>#VALUE!</v>
      </c>
      <c r="AD9390" s="1" t="str">
        <f>IFERROR(IF(Final_Sans_VGE[[#This Row],[ppn_z]]="","",IFERROR(
   IF(_xlfn.XLOOKUP(Final_Sans_VGE[[#This Row],[ppn_z]],tbl_Historique_Final[[#This Row],[ppn_z]],tbl_Historique_Final[[#This Row],[date_modif]])=Final_Sans_VGE[[#This Row],[date_modif]],
      "Ancien",
      "Modifié"),
   "Nouveau")),"")</f>
        <v/>
      </c>
    </row>
    <row r="9391" spans="24:30" x14ac:dyDescent="0.25">
      <c r="X9391" s="8" t="e">
        <f>IF(Final_Sans_VGE[[#This Row],[ppn_z]]="","",IFERROR(
   IF(_xlfn.XLOOKUP(Final_Sans_VGE[[#This Row],[ppn_z]],tbl_Historique_Final[ppn_z],tbl_Historique_Final[date_modif])=Final_Sans_VGE[[#This Row],[date_modif]],
      "Ancien",
      "Modifié"),
   "Nouveau"))</f>
        <v>#VALUE!</v>
      </c>
      <c r="AD9391" s="1" t="str">
        <f>IFERROR(IF(Final_Sans_VGE[[#This Row],[ppn_z]]="","",IFERROR(
   IF(_xlfn.XLOOKUP(Final_Sans_VGE[[#This Row],[ppn_z]],tbl_Historique_Final[[#This Row],[ppn_z]],tbl_Historique_Final[[#This Row],[date_modif]])=Final_Sans_VGE[[#This Row],[date_modif]],
      "Ancien",
      "Modifié"),
   "Nouveau")),"")</f>
        <v/>
      </c>
    </row>
    <row r="9392" spans="24:30" x14ac:dyDescent="0.25">
      <c r="X9392" s="8" t="e">
        <f>IF(Final_Sans_VGE[[#This Row],[ppn_z]]="","",IFERROR(
   IF(_xlfn.XLOOKUP(Final_Sans_VGE[[#This Row],[ppn_z]],tbl_Historique_Final[ppn_z],tbl_Historique_Final[date_modif])=Final_Sans_VGE[[#This Row],[date_modif]],
      "Ancien",
      "Modifié"),
   "Nouveau"))</f>
        <v>#VALUE!</v>
      </c>
      <c r="AD9392" s="1" t="str">
        <f>IFERROR(IF(Final_Sans_VGE[[#This Row],[ppn_z]]="","",IFERROR(
   IF(_xlfn.XLOOKUP(Final_Sans_VGE[[#This Row],[ppn_z]],tbl_Historique_Final[[#This Row],[ppn_z]],tbl_Historique_Final[[#This Row],[date_modif]])=Final_Sans_VGE[[#This Row],[date_modif]],
      "Ancien",
      "Modifié"),
   "Nouveau")),"")</f>
        <v/>
      </c>
    </row>
    <row r="9393" spans="24:30" x14ac:dyDescent="0.25">
      <c r="X9393" s="8" t="e">
        <f>IF(Final_Sans_VGE[[#This Row],[ppn_z]]="","",IFERROR(
   IF(_xlfn.XLOOKUP(Final_Sans_VGE[[#This Row],[ppn_z]],tbl_Historique_Final[ppn_z],tbl_Historique_Final[date_modif])=Final_Sans_VGE[[#This Row],[date_modif]],
      "Ancien",
      "Modifié"),
   "Nouveau"))</f>
        <v>#VALUE!</v>
      </c>
      <c r="AD9393" s="1" t="str">
        <f>IFERROR(IF(Final_Sans_VGE[[#This Row],[ppn_z]]="","",IFERROR(
   IF(_xlfn.XLOOKUP(Final_Sans_VGE[[#This Row],[ppn_z]],tbl_Historique_Final[[#This Row],[ppn_z]],tbl_Historique_Final[[#This Row],[date_modif]])=Final_Sans_VGE[[#This Row],[date_modif]],
      "Ancien",
      "Modifié"),
   "Nouveau")),"")</f>
        <v/>
      </c>
    </row>
    <row r="9394" spans="24:30" x14ac:dyDescent="0.25">
      <c r="X9394" s="8" t="e">
        <f>IF(Final_Sans_VGE[[#This Row],[ppn_z]]="","",IFERROR(
   IF(_xlfn.XLOOKUP(Final_Sans_VGE[[#This Row],[ppn_z]],tbl_Historique_Final[ppn_z],tbl_Historique_Final[date_modif])=Final_Sans_VGE[[#This Row],[date_modif]],
      "Ancien",
      "Modifié"),
   "Nouveau"))</f>
        <v>#VALUE!</v>
      </c>
      <c r="AD9394" s="1" t="str">
        <f>IFERROR(IF(Final_Sans_VGE[[#This Row],[ppn_z]]="","",IFERROR(
   IF(_xlfn.XLOOKUP(Final_Sans_VGE[[#This Row],[ppn_z]],tbl_Historique_Final[[#This Row],[ppn_z]],tbl_Historique_Final[[#This Row],[date_modif]])=Final_Sans_VGE[[#This Row],[date_modif]],
      "Ancien",
      "Modifié"),
   "Nouveau")),"")</f>
        <v/>
      </c>
    </row>
    <row r="9395" spans="24:30" x14ac:dyDescent="0.25">
      <c r="X9395" s="8" t="e">
        <f>IF(Final_Sans_VGE[[#This Row],[ppn_z]]="","",IFERROR(
   IF(_xlfn.XLOOKUP(Final_Sans_VGE[[#This Row],[ppn_z]],tbl_Historique_Final[ppn_z],tbl_Historique_Final[date_modif])=Final_Sans_VGE[[#This Row],[date_modif]],
      "Ancien",
      "Modifié"),
   "Nouveau"))</f>
        <v>#VALUE!</v>
      </c>
      <c r="AD9395" s="1" t="str">
        <f>IFERROR(IF(Final_Sans_VGE[[#This Row],[ppn_z]]="","",IFERROR(
   IF(_xlfn.XLOOKUP(Final_Sans_VGE[[#This Row],[ppn_z]],tbl_Historique_Final[[#This Row],[ppn_z]],tbl_Historique_Final[[#This Row],[date_modif]])=Final_Sans_VGE[[#This Row],[date_modif]],
      "Ancien",
      "Modifié"),
   "Nouveau")),"")</f>
        <v/>
      </c>
    </row>
    <row r="9396" spans="24:30" x14ac:dyDescent="0.25">
      <c r="X9396" s="8" t="e">
        <f>IF(Final_Sans_VGE[[#This Row],[ppn_z]]="","",IFERROR(
   IF(_xlfn.XLOOKUP(Final_Sans_VGE[[#This Row],[ppn_z]],tbl_Historique_Final[ppn_z],tbl_Historique_Final[date_modif])=Final_Sans_VGE[[#This Row],[date_modif]],
      "Ancien",
      "Modifié"),
   "Nouveau"))</f>
        <v>#VALUE!</v>
      </c>
      <c r="AD9396" s="1" t="str">
        <f>IFERROR(IF(Final_Sans_VGE[[#This Row],[ppn_z]]="","",IFERROR(
   IF(_xlfn.XLOOKUP(Final_Sans_VGE[[#This Row],[ppn_z]],tbl_Historique_Final[[#This Row],[ppn_z]],tbl_Historique_Final[[#This Row],[date_modif]])=Final_Sans_VGE[[#This Row],[date_modif]],
      "Ancien",
      "Modifié"),
   "Nouveau")),"")</f>
        <v/>
      </c>
    </row>
    <row r="9397" spans="24:30" x14ac:dyDescent="0.25">
      <c r="X9397" s="8" t="e">
        <f>IF(Final_Sans_VGE[[#This Row],[ppn_z]]="","",IFERROR(
   IF(_xlfn.XLOOKUP(Final_Sans_VGE[[#This Row],[ppn_z]],tbl_Historique_Final[ppn_z],tbl_Historique_Final[date_modif])=Final_Sans_VGE[[#This Row],[date_modif]],
      "Ancien",
      "Modifié"),
   "Nouveau"))</f>
        <v>#VALUE!</v>
      </c>
      <c r="AD9397" s="1" t="str">
        <f>IFERROR(IF(Final_Sans_VGE[[#This Row],[ppn_z]]="","",IFERROR(
   IF(_xlfn.XLOOKUP(Final_Sans_VGE[[#This Row],[ppn_z]],tbl_Historique_Final[[#This Row],[ppn_z]],tbl_Historique_Final[[#This Row],[date_modif]])=Final_Sans_VGE[[#This Row],[date_modif]],
      "Ancien",
      "Modifié"),
   "Nouveau")),"")</f>
        <v/>
      </c>
    </row>
    <row r="9398" spans="24:30" x14ac:dyDescent="0.25">
      <c r="X9398" s="8" t="e">
        <f>IF(Final_Sans_VGE[[#This Row],[ppn_z]]="","",IFERROR(
   IF(_xlfn.XLOOKUP(Final_Sans_VGE[[#This Row],[ppn_z]],tbl_Historique_Final[ppn_z],tbl_Historique_Final[date_modif])=Final_Sans_VGE[[#This Row],[date_modif]],
      "Ancien",
      "Modifié"),
   "Nouveau"))</f>
        <v>#VALUE!</v>
      </c>
      <c r="AD9398" s="1" t="str">
        <f>IFERROR(IF(Final_Sans_VGE[[#This Row],[ppn_z]]="","",IFERROR(
   IF(_xlfn.XLOOKUP(Final_Sans_VGE[[#This Row],[ppn_z]],tbl_Historique_Final[[#This Row],[ppn_z]],tbl_Historique_Final[[#This Row],[date_modif]])=Final_Sans_VGE[[#This Row],[date_modif]],
      "Ancien",
      "Modifié"),
   "Nouveau")),"")</f>
        <v/>
      </c>
    </row>
    <row r="9399" spans="24:30" x14ac:dyDescent="0.25">
      <c r="X9399" s="8" t="e">
        <f>IF(Final_Sans_VGE[[#This Row],[ppn_z]]="","",IFERROR(
   IF(_xlfn.XLOOKUP(Final_Sans_VGE[[#This Row],[ppn_z]],tbl_Historique_Final[ppn_z],tbl_Historique_Final[date_modif])=Final_Sans_VGE[[#This Row],[date_modif]],
      "Ancien",
      "Modifié"),
   "Nouveau"))</f>
        <v>#VALUE!</v>
      </c>
      <c r="AD9399" s="1" t="str">
        <f>IFERROR(IF(Final_Sans_VGE[[#This Row],[ppn_z]]="","",IFERROR(
   IF(_xlfn.XLOOKUP(Final_Sans_VGE[[#This Row],[ppn_z]],tbl_Historique_Final[[#This Row],[ppn_z]],tbl_Historique_Final[[#This Row],[date_modif]])=Final_Sans_VGE[[#This Row],[date_modif]],
      "Ancien",
      "Modifié"),
   "Nouveau")),"")</f>
        <v/>
      </c>
    </row>
    <row r="9400" spans="24:30" x14ac:dyDescent="0.25">
      <c r="X9400" s="8" t="e">
        <f>IF(Final_Sans_VGE[[#This Row],[ppn_z]]="","",IFERROR(
   IF(_xlfn.XLOOKUP(Final_Sans_VGE[[#This Row],[ppn_z]],tbl_Historique_Final[ppn_z],tbl_Historique_Final[date_modif])=Final_Sans_VGE[[#This Row],[date_modif]],
      "Ancien",
      "Modifié"),
   "Nouveau"))</f>
        <v>#VALUE!</v>
      </c>
      <c r="AD9400" s="1" t="str">
        <f>IFERROR(IF(Final_Sans_VGE[[#This Row],[ppn_z]]="","",IFERROR(
   IF(_xlfn.XLOOKUP(Final_Sans_VGE[[#This Row],[ppn_z]],tbl_Historique_Final[[#This Row],[ppn_z]],tbl_Historique_Final[[#This Row],[date_modif]])=Final_Sans_VGE[[#This Row],[date_modif]],
      "Ancien",
      "Modifié"),
   "Nouveau")),"")</f>
        <v/>
      </c>
    </row>
    <row r="9401" spans="24:30" x14ac:dyDescent="0.25">
      <c r="X9401" s="8" t="e">
        <f>IF(Final_Sans_VGE[[#This Row],[ppn_z]]="","",IFERROR(
   IF(_xlfn.XLOOKUP(Final_Sans_VGE[[#This Row],[ppn_z]],tbl_Historique_Final[ppn_z],tbl_Historique_Final[date_modif])=Final_Sans_VGE[[#This Row],[date_modif]],
      "Ancien",
      "Modifié"),
   "Nouveau"))</f>
        <v>#VALUE!</v>
      </c>
      <c r="AD9401" s="1" t="str">
        <f>IFERROR(IF(Final_Sans_VGE[[#This Row],[ppn_z]]="","",IFERROR(
   IF(_xlfn.XLOOKUP(Final_Sans_VGE[[#This Row],[ppn_z]],tbl_Historique_Final[[#This Row],[ppn_z]],tbl_Historique_Final[[#This Row],[date_modif]])=Final_Sans_VGE[[#This Row],[date_modif]],
      "Ancien",
      "Modifié"),
   "Nouveau")),"")</f>
        <v/>
      </c>
    </row>
    <row r="9402" spans="24:30" x14ac:dyDescent="0.25">
      <c r="X9402" s="8" t="e">
        <f>IF(Final_Sans_VGE[[#This Row],[ppn_z]]="","",IFERROR(
   IF(_xlfn.XLOOKUP(Final_Sans_VGE[[#This Row],[ppn_z]],tbl_Historique_Final[ppn_z],tbl_Historique_Final[date_modif])=Final_Sans_VGE[[#This Row],[date_modif]],
      "Ancien",
      "Modifié"),
   "Nouveau"))</f>
        <v>#VALUE!</v>
      </c>
      <c r="AD9402" s="1" t="str">
        <f>IFERROR(IF(Final_Sans_VGE[[#This Row],[ppn_z]]="","",IFERROR(
   IF(_xlfn.XLOOKUP(Final_Sans_VGE[[#This Row],[ppn_z]],tbl_Historique_Final[[#This Row],[ppn_z]],tbl_Historique_Final[[#This Row],[date_modif]])=Final_Sans_VGE[[#This Row],[date_modif]],
      "Ancien",
      "Modifié"),
   "Nouveau")),"")</f>
        <v/>
      </c>
    </row>
    <row r="9403" spans="24:30" x14ac:dyDescent="0.25">
      <c r="X9403" s="8" t="e">
        <f>IF(Final_Sans_VGE[[#This Row],[ppn_z]]="","",IFERROR(
   IF(_xlfn.XLOOKUP(Final_Sans_VGE[[#This Row],[ppn_z]],tbl_Historique_Final[ppn_z],tbl_Historique_Final[date_modif])=Final_Sans_VGE[[#This Row],[date_modif]],
      "Ancien",
      "Modifié"),
   "Nouveau"))</f>
        <v>#VALUE!</v>
      </c>
      <c r="AD9403" s="1" t="str">
        <f>IFERROR(IF(Final_Sans_VGE[[#This Row],[ppn_z]]="","",IFERROR(
   IF(_xlfn.XLOOKUP(Final_Sans_VGE[[#This Row],[ppn_z]],tbl_Historique_Final[[#This Row],[ppn_z]],tbl_Historique_Final[[#This Row],[date_modif]])=Final_Sans_VGE[[#This Row],[date_modif]],
      "Ancien",
      "Modifié"),
   "Nouveau")),"")</f>
        <v/>
      </c>
    </row>
    <row r="9404" spans="24:30" x14ac:dyDescent="0.25">
      <c r="X9404" s="8" t="e">
        <f>IF(Final_Sans_VGE[[#This Row],[ppn_z]]="","",IFERROR(
   IF(_xlfn.XLOOKUP(Final_Sans_VGE[[#This Row],[ppn_z]],tbl_Historique_Final[ppn_z],tbl_Historique_Final[date_modif])=Final_Sans_VGE[[#This Row],[date_modif]],
      "Ancien",
      "Modifié"),
   "Nouveau"))</f>
        <v>#VALUE!</v>
      </c>
      <c r="AD9404" s="1" t="str">
        <f>IFERROR(IF(Final_Sans_VGE[[#This Row],[ppn_z]]="","",IFERROR(
   IF(_xlfn.XLOOKUP(Final_Sans_VGE[[#This Row],[ppn_z]],tbl_Historique_Final[[#This Row],[ppn_z]],tbl_Historique_Final[[#This Row],[date_modif]])=Final_Sans_VGE[[#This Row],[date_modif]],
      "Ancien",
      "Modifié"),
   "Nouveau")),"")</f>
        <v/>
      </c>
    </row>
    <row r="9405" spans="24:30" x14ac:dyDescent="0.25">
      <c r="X9405" s="8" t="e">
        <f>IF(Final_Sans_VGE[[#This Row],[ppn_z]]="","",IFERROR(
   IF(_xlfn.XLOOKUP(Final_Sans_VGE[[#This Row],[ppn_z]],tbl_Historique_Final[ppn_z],tbl_Historique_Final[date_modif])=Final_Sans_VGE[[#This Row],[date_modif]],
      "Ancien",
      "Modifié"),
   "Nouveau"))</f>
        <v>#VALUE!</v>
      </c>
      <c r="AD9405" s="1" t="str">
        <f>IFERROR(IF(Final_Sans_VGE[[#This Row],[ppn_z]]="","",IFERROR(
   IF(_xlfn.XLOOKUP(Final_Sans_VGE[[#This Row],[ppn_z]],tbl_Historique_Final[[#This Row],[ppn_z]],tbl_Historique_Final[[#This Row],[date_modif]])=Final_Sans_VGE[[#This Row],[date_modif]],
      "Ancien",
      "Modifié"),
   "Nouveau")),"")</f>
        <v/>
      </c>
    </row>
    <row r="9406" spans="24:30" x14ac:dyDescent="0.25">
      <c r="X9406" s="8" t="e">
        <f>IF(Final_Sans_VGE[[#This Row],[ppn_z]]="","",IFERROR(
   IF(_xlfn.XLOOKUP(Final_Sans_VGE[[#This Row],[ppn_z]],tbl_Historique_Final[ppn_z],tbl_Historique_Final[date_modif])=Final_Sans_VGE[[#This Row],[date_modif]],
      "Ancien",
      "Modifié"),
   "Nouveau"))</f>
        <v>#VALUE!</v>
      </c>
      <c r="AD9406" s="1" t="str">
        <f>IFERROR(IF(Final_Sans_VGE[[#This Row],[ppn_z]]="","",IFERROR(
   IF(_xlfn.XLOOKUP(Final_Sans_VGE[[#This Row],[ppn_z]],tbl_Historique_Final[[#This Row],[ppn_z]],tbl_Historique_Final[[#This Row],[date_modif]])=Final_Sans_VGE[[#This Row],[date_modif]],
      "Ancien",
      "Modifié"),
   "Nouveau")),"")</f>
        <v/>
      </c>
    </row>
    <row r="9407" spans="24:30" x14ac:dyDescent="0.25">
      <c r="X9407" s="8" t="e">
        <f>IF(Final_Sans_VGE[[#This Row],[ppn_z]]="","",IFERROR(
   IF(_xlfn.XLOOKUP(Final_Sans_VGE[[#This Row],[ppn_z]],tbl_Historique_Final[ppn_z],tbl_Historique_Final[date_modif])=Final_Sans_VGE[[#This Row],[date_modif]],
      "Ancien",
      "Modifié"),
   "Nouveau"))</f>
        <v>#VALUE!</v>
      </c>
      <c r="AD9407" s="1" t="str">
        <f>IFERROR(IF(Final_Sans_VGE[[#This Row],[ppn_z]]="","",IFERROR(
   IF(_xlfn.XLOOKUP(Final_Sans_VGE[[#This Row],[ppn_z]],tbl_Historique_Final[[#This Row],[ppn_z]],tbl_Historique_Final[[#This Row],[date_modif]])=Final_Sans_VGE[[#This Row],[date_modif]],
      "Ancien",
      "Modifié"),
   "Nouveau")),"")</f>
        <v/>
      </c>
    </row>
    <row r="9408" spans="24:30" x14ac:dyDescent="0.25">
      <c r="X9408" s="8" t="e">
        <f>IF(Final_Sans_VGE[[#This Row],[ppn_z]]="","",IFERROR(
   IF(_xlfn.XLOOKUP(Final_Sans_VGE[[#This Row],[ppn_z]],tbl_Historique_Final[ppn_z],tbl_Historique_Final[date_modif])=Final_Sans_VGE[[#This Row],[date_modif]],
      "Ancien",
      "Modifié"),
   "Nouveau"))</f>
        <v>#VALUE!</v>
      </c>
      <c r="AD9408" s="1" t="str">
        <f>IFERROR(IF(Final_Sans_VGE[[#This Row],[ppn_z]]="","",IFERROR(
   IF(_xlfn.XLOOKUP(Final_Sans_VGE[[#This Row],[ppn_z]],tbl_Historique_Final[[#This Row],[ppn_z]],tbl_Historique_Final[[#This Row],[date_modif]])=Final_Sans_VGE[[#This Row],[date_modif]],
      "Ancien",
      "Modifié"),
   "Nouveau")),"")</f>
        <v/>
      </c>
    </row>
    <row r="9409" spans="24:30" x14ac:dyDescent="0.25">
      <c r="X9409" s="8" t="e">
        <f>IF(Final_Sans_VGE[[#This Row],[ppn_z]]="","",IFERROR(
   IF(_xlfn.XLOOKUP(Final_Sans_VGE[[#This Row],[ppn_z]],tbl_Historique_Final[ppn_z],tbl_Historique_Final[date_modif])=Final_Sans_VGE[[#This Row],[date_modif]],
      "Ancien",
      "Modifié"),
   "Nouveau"))</f>
        <v>#VALUE!</v>
      </c>
      <c r="AD9409" s="1" t="str">
        <f>IFERROR(IF(Final_Sans_VGE[[#This Row],[ppn_z]]="","",IFERROR(
   IF(_xlfn.XLOOKUP(Final_Sans_VGE[[#This Row],[ppn_z]],tbl_Historique_Final[[#This Row],[ppn_z]],tbl_Historique_Final[[#This Row],[date_modif]])=Final_Sans_VGE[[#This Row],[date_modif]],
      "Ancien",
      "Modifié"),
   "Nouveau")),"")</f>
        <v/>
      </c>
    </row>
    <row r="9410" spans="24:30" x14ac:dyDescent="0.25">
      <c r="X9410" s="8" t="e">
        <f>IF(Final_Sans_VGE[[#This Row],[ppn_z]]="","",IFERROR(
   IF(_xlfn.XLOOKUP(Final_Sans_VGE[[#This Row],[ppn_z]],tbl_Historique_Final[ppn_z],tbl_Historique_Final[date_modif])=Final_Sans_VGE[[#This Row],[date_modif]],
      "Ancien",
      "Modifié"),
   "Nouveau"))</f>
        <v>#VALUE!</v>
      </c>
      <c r="AD9410" s="1" t="str">
        <f>IFERROR(IF(Final_Sans_VGE[[#This Row],[ppn_z]]="","",IFERROR(
   IF(_xlfn.XLOOKUP(Final_Sans_VGE[[#This Row],[ppn_z]],tbl_Historique_Final[[#This Row],[ppn_z]],tbl_Historique_Final[[#This Row],[date_modif]])=Final_Sans_VGE[[#This Row],[date_modif]],
      "Ancien",
      "Modifié"),
   "Nouveau")),"")</f>
        <v/>
      </c>
    </row>
    <row r="9411" spans="24:30" x14ac:dyDescent="0.25">
      <c r="X9411" s="8" t="e">
        <f>IF(Final_Sans_VGE[[#This Row],[ppn_z]]="","",IFERROR(
   IF(_xlfn.XLOOKUP(Final_Sans_VGE[[#This Row],[ppn_z]],tbl_Historique_Final[ppn_z],tbl_Historique_Final[date_modif])=Final_Sans_VGE[[#This Row],[date_modif]],
      "Ancien",
      "Modifié"),
   "Nouveau"))</f>
        <v>#VALUE!</v>
      </c>
      <c r="AD9411" s="1" t="str">
        <f>IFERROR(IF(Final_Sans_VGE[[#This Row],[ppn_z]]="","",IFERROR(
   IF(_xlfn.XLOOKUP(Final_Sans_VGE[[#This Row],[ppn_z]],tbl_Historique_Final[[#This Row],[ppn_z]],tbl_Historique_Final[[#This Row],[date_modif]])=Final_Sans_VGE[[#This Row],[date_modif]],
      "Ancien",
      "Modifié"),
   "Nouveau")),"")</f>
        <v/>
      </c>
    </row>
    <row r="9412" spans="24:30" x14ac:dyDescent="0.25">
      <c r="X9412" s="8" t="e">
        <f>IF(Final_Sans_VGE[[#This Row],[ppn_z]]="","",IFERROR(
   IF(_xlfn.XLOOKUP(Final_Sans_VGE[[#This Row],[ppn_z]],tbl_Historique_Final[ppn_z],tbl_Historique_Final[date_modif])=Final_Sans_VGE[[#This Row],[date_modif]],
      "Ancien",
      "Modifié"),
   "Nouveau"))</f>
        <v>#VALUE!</v>
      </c>
      <c r="AD9412" s="1" t="str">
        <f>IFERROR(IF(Final_Sans_VGE[[#This Row],[ppn_z]]="","",IFERROR(
   IF(_xlfn.XLOOKUP(Final_Sans_VGE[[#This Row],[ppn_z]],tbl_Historique_Final[[#This Row],[ppn_z]],tbl_Historique_Final[[#This Row],[date_modif]])=Final_Sans_VGE[[#This Row],[date_modif]],
      "Ancien",
      "Modifié"),
   "Nouveau")),"")</f>
        <v/>
      </c>
    </row>
    <row r="9413" spans="24:30" x14ac:dyDescent="0.25">
      <c r="X9413" s="8" t="e">
        <f>IF(Final_Sans_VGE[[#This Row],[ppn_z]]="","",IFERROR(
   IF(_xlfn.XLOOKUP(Final_Sans_VGE[[#This Row],[ppn_z]],tbl_Historique_Final[ppn_z],tbl_Historique_Final[date_modif])=Final_Sans_VGE[[#This Row],[date_modif]],
      "Ancien",
      "Modifié"),
   "Nouveau"))</f>
        <v>#VALUE!</v>
      </c>
      <c r="AD9413" s="1" t="str">
        <f>IFERROR(IF(Final_Sans_VGE[[#This Row],[ppn_z]]="","",IFERROR(
   IF(_xlfn.XLOOKUP(Final_Sans_VGE[[#This Row],[ppn_z]],tbl_Historique_Final[[#This Row],[ppn_z]],tbl_Historique_Final[[#This Row],[date_modif]])=Final_Sans_VGE[[#This Row],[date_modif]],
      "Ancien",
      "Modifié"),
   "Nouveau")),"")</f>
        <v/>
      </c>
    </row>
    <row r="9414" spans="24:30" x14ac:dyDescent="0.25">
      <c r="X9414" s="8" t="e">
        <f>IF(Final_Sans_VGE[[#This Row],[ppn_z]]="","",IFERROR(
   IF(_xlfn.XLOOKUP(Final_Sans_VGE[[#This Row],[ppn_z]],tbl_Historique_Final[ppn_z],tbl_Historique_Final[date_modif])=Final_Sans_VGE[[#This Row],[date_modif]],
      "Ancien",
      "Modifié"),
   "Nouveau"))</f>
        <v>#VALUE!</v>
      </c>
      <c r="AD9414" s="1" t="str">
        <f>IFERROR(IF(Final_Sans_VGE[[#This Row],[ppn_z]]="","",IFERROR(
   IF(_xlfn.XLOOKUP(Final_Sans_VGE[[#This Row],[ppn_z]],tbl_Historique_Final[[#This Row],[ppn_z]],tbl_Historique_Final[[#This Row],[date_modif]])=Final_Sans_VGE[[#This Row],[date_modif]],
      "Ancien",
      "Modifié"),
   "Nouveau")),"")</f>
        <v/>
      </c>
    </row>
    <row r="9415" spans="24:30" x14ac:dyDescent="0.25">
      <c r="X9415" s="8" t="e">
        <f>IF(Final_Sans_VGE[[#This Row],[ppn_z]]="","",IFERROR(
   IF(_xlfn.XLOOKUP(Final_Sans_VGE[[#This Row],[ppn_z]],tbl_Historique_Final[ppn_z],tbl_Historique_Final[date_modif])=Final_Sans_VGE[[#This Row],[date_modif]],
      "Ancien",
      "Modifié"),
   "Nouveau"))</f>
        <v>#VALUE!</v>
      </c>
      <c r="AD9415" s="1" t="str">
        <f>IFERROR(IF(Final_Sans_VGE[[#This Row],[ppn_z]]="","",IFERROR(
   IF(_xlfn.XLOOKUP(Final_Sans_VGE[[#This Row],[ppn_z]],tbl_Historique_Final[[#This Row],[ppn_z]],tbl_Historique_Final[[#This Row],[date_modif]])=Final_Sans_VGE[[#This Row],[date_modif]],
      "Ancien",
      "Modifié"),
   "Nouveau")),"")</f>
        <v/>
      </c>
    </row>
    <row r="9416" spans="24:30" x14ac:dyDescent="0.25">
      <c r="X9416" s="8" t="e">
        <f>IF(Final_Sans_VGE[[#This Row],[ppn_z]]="","",IFERROR(
   IF(_xlfn.XLOOKUP(Final_Sans_VGE[[#This Row],[ppn_z]],tbl_Historique_Final[ppn_z],tbl_Historique_Final[date_modif])=Final_Sans_VGE[[#This Row],[date_modif]],
      "Ancien",
      "Modifié"),
   "Nouveau"))</f>
        <v>#VALUE!</v>
      </c>
      <c r="AD9416" s="1" t="str">
        <f>IFERROR(IF(Final_Sans_VGE[[#This Row],[ppn_z]]="","",IFERROR(
   IF(_xlfn.XLOOKUP(Final_Sans_VGE[[#This Row],[ppn_z]],tbl_Historique_Final[[#This Row],[ppn_z]],tbl_Historique_Final[[#This Row],[date_modif]])=Final_Sans_VGE[[#This Row],[date_modif]],
      "Ancien",
      "Modifié"),
   "Nouveau")),"")</f>
        <v/>
      </c>
    </row>
    <row r="9417" spans="24:30" x14ac:dyDescent="0.25">
      <c r="X9417" s="8" t="e">
        <f>IF(Final_Sans_VGE[[#This Row],[ppn_z]]="","",IFERROR(
   IF(_xlfn.XLOOKUP(Final_Sans_VGE[[#This Row],[ppn_z]],tbl_Historique_Final[ppn_z],tbl_Historique_Final[date_modif])=Final_Sans_VGE[[#This Row],[date_modif]],
      "Ancien",
      "Modifié"),
   "Nouveau"))</f>
        <v>#VALUE!</v>
      </c>
      <c r="AD9417" s="1" t="str">
        <f>IFERROR(IF(Final_Sans_VGE[[#This Row],[ppn_z]]="","",IFERROR(
   IF(_xlfn.XLOOKUP(Final_Sans_VGE[[#This Row],[ppn_z]],tbl_Historique_Final[[#This Row],[ppn_z]],tbl_Historique_Final[[#This Row],[date_modif]])=Final_Sans_VGE[[#This Row],[date_modif]],
      "Ancien",
      "Modifié"),
   "Nouveau")),"")</f>
        <v/>
      </c>
    </row>
    <row r="9418" spans="24:30" x14ac:dyDescent="0.25">
      <c r="X9418" s="8" t="e">
        <f>IF(Final_Sans_VGE[[#This Row],[ppn_z]]="","",IFERROR(
   IF(_xlfn.XLOOKUP(Final_Sans_VGE[[#This Row],[ppn_z]],tbl_Historique_Final[ppn_z],tbl_Historique_Final[date_modif])=Final_Sans_VGE[[#This Row],[date_modif]],
      "Ancien",
      "Modifié"),
   "Nouveau"))</f>
        <v>#VALUE!</v>
      </c>
      <c r="AD9418" s="1" t="str">
        <f>IFERROR(IF(Final_Sans_VGE[[#This Row],[ppn_z]]="","",IFERROR(
   IF(_xlfn.XLOOKUP(Final_Sans_VGE[[#This Row],[ppn_z]],tbl_Historique_Final[[#This Row],[ppn_z]],tbl_Historique_Final[[#This Row],[date_modif]])=Final_Sans_VGE[[#This Row],[date_modif]],
      "Ancien",
      "Modifié"),
   "Nouveau")),"")</f>
        <v/>
      </c>
    </row>
    <row r="9419" spans="24:30" x14ac:dyDescent="0.25">
      <c r="X9419" s="8" t="e">
        <f>IF(Final_Sans_VGE[[#This Row],[ppn_z]]="","",IFERROR(
   IF(_xlfn.XLOOKUP(Final_Sans_VGE[[#This Row],[ppn_z]],tbl_Historique_Final[ppn_z],tbl_Historique_Final[date_modif])=Final_Sans_VGE[[#This Row],[date_modif]],
      "Ancien",
      "Modifié"),
   "Nouveau"))</f>
        <v>#VALUE!</v>
      </c>
      <c r="AD9419" s="1" t="str">
        <f>IFERROR(IF(Final_Sans_VGE[[#This Row],[ppn_z]]="","",IFERROR(
   IF(_xlfn.XLOOKUP(Final_Sans_VGE[[#This Row],[ppn_z]],tbl_Historique_Final[[#This Row],[ppn_z]],tbl_Historique_Final[[#This Row],[date_modif]])=Final_Sans_VGE[[#This Row],[date_modif]],
      "Ancien",
      "Modifié"),
   "Nouveau")),"")</f>
        <v/>
      </c>
    </row>
    <row r="9420" spans="24:30" x14ac:dyDescent="0.25">
      <c r="X9420" s="8" t="e">
        <f>IF(Final_Sans_VGE[[#This Row],[ppn_z]]="","",IFERROR(
   IF(_xlfn.XLOOKUP(Final_Sans_VGE[[#This Row],[ppn_z]],tbl_Historique_Final[ppn_z],tbl_Historique_Final[date_modif])=Final_Sans_VGE[[#This Row],[date_modif]],
      "Ancien",
      "Modifié"),
   "Nouveau"))</f>
        <v>#VALUE!</v>
      </c>
      <c r="AD9420" s="1" t="str">
        <f>IFERROR(IF(Final_Sans_VGE[[#This Row],[ppn_z]]="","",IFERROR(
   IF(_xlfn.XLOOKUP(Final_Sans_VGE[[#This Row],[ppn_z]],tbl_Historique_Final[[#This Row],[ppn_z]],tbl_Historique_Final[[#This Row],[date_modif]])=Final_Sans_VGE[[#This Row],[date_modif]],
      "Ancien",
      "Modifié"),
   "Nouveau")),"")</f>
        <v/>
      </c>
    </row>
    <row r="9421" spans="24:30" x14ac:dyDescent="0.25">
      <c r="X9421" s="8" t="e">
        <f>IF(Final_Sans_VGE[[#This Row],[ppn_z]]="","",IFERROR(
   IF(_xlfn.XLOOKUP(Final_Sans_VGE[[#This Row],[ppn_z]],tbl_Historique_Final[ppn_z],tbl_Historique_Final[date_modif])=Final_Sans_VGE[[#This Row],[date_modif]],
      "Ancien",
      "Modifié"),
   "Nouveau"))</f>
        <v>#VALUE!</v>
      </c>
      <c r="AD9421" s="1" t="str">
        <f>IFERROR(IF(Final_Sans_VGE[[#This Row],[ppn_z]]="","",IFERROR(
   IF(_xlfn.XLOOKUP(Final_Sans_VGE[[#This Row],[ppn_z]],tbl_Historique_Final[[#This Row],[ppn_z]],tbl_Historique_Final[[#This Row],[date_modif]])=Final_Sans_VGE[[#This Row],[date_modif]],
      "Ancien",
      "Modifié"),
   "Nouveau")),"")</f>
        <v/>
      </c>
    </row>
    <row r="9422" spans="24:30" x14ac:dyDescent="0.25">
      <c r="X9422" s="8" t="e">
        <f>IF(Final_Sans_VGE[[#This Row],[ppn_z]]="","",IFERROR(
   IF(_xlfn.XLOOKUP(Final_Sans_VGE[[#This Row],[ppn_z]],tbl_Historique_Final[ppn_z],tbl_Historique_Final[date_modif])=Final_Sans_VGE[[#This Row],[date_modif]],
      "Ancien",
      "Modifié"),
   "Nouveau"))</f>
        <v>#VALUE!</v>
      </c>
      <c r="AD9422" s="1" t="str">
        <f>IFERROR(IF(Final_Sans_VGE[[#This Row],[ppn_z]]="","",IFERROR(
   IF(_xlfn.XLOOKUP(Final_Sans_VGE[[#This Row],[ppn_z]],tbl_Historique_Final[[#This Row],[ppn_z]],tbl_Historique_Final[[#This Row],[date_modif]])=Final_Sans_VGE[[#This Row],[date_modif]],
      "Ancien",
      "Modifié"),
   "Nouveau")),"")</f>
        <v/>
      </c>
    </row>
    <row r="9423" spans="24:30" x14ac:dyDescent="0.25">
      <c r="X9423" s="8" t="e">
        <f>IF(Final_Sans_VGE[[#This Row],[ppn_z]]="","",IFERROR(
   IF(_xlfn.XLOOKUP(Final_Sans_VGE[[#This Row],[ppn_z]],tbl_Historique_Final[ppn_z],tbl_Historique_Final[date_modif])=Final_Sans_VGE[[#This Row],[date_modif]],
      "Ancien",
      "Modifié"),
   "Nouveau"))</f>
        <v>#VALUE!</v>
      </c>
      <c r="AD9423" s="1" t="str">
        <f>IFERROR(IF(Final_Sans_VGE[[#This Row],[ppn_z]]="","",IFERROR(
   IF(_xlfn.XLOOKUP(Final_Sans_VGE[[#This Row],[ppn_z]],tbl_Historique_Final[[#This Row],[ppn_z]],tbl_Historique_Final[[#This Row],[date_modif]])=Final_Sans_VGE[[#This Row],[date_modif]],
      "Ancien",
      "Modifié"),
   "Nouveau")),"")</f>
        <v/>
      </c>
    </row>
    <row r="9424" spans="24:30" x14ac:dyDescent="0.25">
      <c r="X9424" s="8" t="e">
        <f>IF(Final_Sans_VGE[[#This Row],[ppn_z]]="","",IFERROR(
   IF(_xlfn.XLOOKUP(Final_Sans_VGE[[#This Row],[ppn_z]],tbl_Historique_Final[ppn_z],tbl_Historique_Final[date_modif])=Final_Sans_VGE[[#This Row],[date_modif]],
      "Ancien",
      "Modifié"),
   "Nouveau"))</f>
        <v>#VALUE!</v>
      </c>
      <c r="AD9424" s="1" t="str">
        <f>IFERROR(IF(Final_Sans_VGE[[#This Row],[ppn_z]]="","",IFERROR(
   IF(_xlfn.XLOOKUP(Final_Sans_VGE[[#This Row],[ppn_z]],tbl_Historique_Final[[#This Row],[ppn_z]],tbl_Historique_Final[[#This Row],[date_modif]])=Final_Sans_VGE[[#This Row],[date_modif]],
      "Ancien",
      "Modifié"),
   "Nouveau")),"")</f>
        <v/>
      </c>
    </row>
    <row r="9425" spans="24:30" x14ac:dyDescent="0.25">
      <c r="X9425" s="8" t="e">
        <f>IF(Final_Sans_VGE[[#This Row],[ppn_z]]="","",IFERROR(
   IF(_xlfn.XLOOKUP(Final_Sans_VGE[[#This Row],[ppn_z]],tbl_Historique_Final[ppn_z],tbl_Historique_Final[date_modif])=Final_Sans_VGE[[#This Row],[date_modif]],
      "Ancien",
      "Modifié"),
   "Nouveau"))</f>
        <v>#VALUE!</v>
      </c>
      <c r="AD9425" s="1" t="str">
        <f>IFERROR(IF(Final_Sans_VGE[[#This Row],[ppn_z]]="","",IFERROR(
   IF(_xlfn.XLOOKUP(Final_Sans_VGE[[#This Row],[ppn_z]],tbl_Historique_Final[[#This Row],[ppn_z]],tbl_Historique_Final[[#This Row],[date_modif]])=Final_Sans_VGE[[#This Row],[date_modif]],
      "Ancien",
      "Modifié"),
   "Nouveau")),"")</f>
        <v/>
      </c>
    </row>
    <row r="9426" spans="24:30" x14ac:dyDescent="0.25">
      <c r="X9426" s="8" t="e">
        <f>IF(Final_Sans_VGE[[#This Row],[ppn_z]]="","",IFERROR(
   IF(_xlfn.XLOOKUP(Final_Sans_VGE[[#This Row],[ppn_z]],tbl_Historique_Final[ppn_z],tbl_Historique_Final[date_modif])=Final_Sans_VGE[[#This Row],[date_modif]],
      "Ancien",
      "Modifié"),
   "Nouveau"))</f>
        <v>#VALUE!</v>
      </c>
      <c r="AD9426" s="1" t="str">
        <f>IFERROR(IF(Final_Sans_VGE[[#This Row],[ppn_z]]="","",IFERROR(
   IF(_xlfn.XLOOKUP(Final_Sans_VGE[[#This Row],[ppn_z]],tbl_Historique_Final[[#This Row],[ppn_z]],tbl_Historique_Final[[#This Row],[date_modif]])=Final_Sans_VGE[[#This Row],[date_modif]],
      "Ancien",
      "Modifié"),
   "Nouveau")),"")</f>
        <v/>
      </c>
    </row>
    <row r="9427" spans="24:30" x14ac:dyDescent="0.25">
      <c r="X9427" s="8" t="e">
        <f>IF(Final_Sans_VGE[[#This Row],[ppn_z]]="","",IFERROR(
   IF(_xlfn.XLOOKUP(Final_Sans_VGE[[#This Row],[ppn_z]],tbl_Historique_Final[ppn_z],tbl_Historique_Final[date_modif])=Final_Sans_VGE[[#This Row],[date_modif]],
      "Ancien",
      "Modifié"),
   "Nouveau"))</f>
        <v>#VALUE!</v>
      </c>
      <c r="AD9427" s="1" t="str">
        <f>IFERROR(IF(Final_Sans_VGE[[#This Row],[ppn_z]]="","",IFERROR(
   IF(_xlfn.XLOOKUP(Final_Sans_VGE[[#This Row],[ppn_z]],tbl_Historique_Final[[#This Row],[ppn_z]],tbl_Historique_Final[[#This Row],[date_modif]])=Final_Sans_VGE[[#This Row],[date_modif]],
      "Ancien",
      "Modifié"),
   "Nouveau")),"")</f>
        <v/>
      </c>
    </row>
    <row r="9428" spans="24:30" x14ac:dyDescent="0.25">
      <c r="X9428" s="8" t="e">
        <f>IF(Final_Sans_VGE[[#This Row],[ppn_z]]="","",IFERROR(
   IF(_xlfn.XLOOKUP(Final_Sans_VGE[[#This Row],[ppn_z]],tbl_Historique_Final[ppn_z],tbl_Historique_Final[date_modif])=Final_Sans_VGE[[#This Row],[date_modif]],
      "Ancien",
      "Modifié"),
   "Nouveau"))</f>
        <v>#VALUE!</v>
      </c>
      <c r="AD9428" s="1" t="str">
        <f>IFERROR(IF(Final_Sans_VGE[[#This Row],[ppn_z]]="","",IFERROR(
   IF(_xlfn.XLOOKUP(Final_Sans_VGE[[#This Row],[ppn_z]],tbl_Historique_Final[[#This Row],[ppn_z]],tbl_Historique_Final[[#This Row],[date_modif]])=Final_Sans_VGE[[#This Row],[date_modif]],
      "Ancien",
      "Modifié"),
   "Nouveau")),"")</f>
        <v/>
      </c>
    </row>
    <row r="9429" spans="24:30" x14ac:dyDescent="0.25">
      <c r="X9429" s="8" t="e">
        <f>IF(Final_Sans_VGE[[#This Row],[ppn_z]]="","",IFERROR(
   IF(_xlfn.XLOOKUP(Final_Sans_VGE[[#This Row],[ppn_z]],tbl_Historique_Final[ppn_z],tbl_Historique_Final[date_modif])=Final_Sans_VGE[[#This Row],[date_modif]],
      "Ancien",
      "Modifié"),
   "Nouveau"))</f>
        <v>#VALUE!</v>
      </c>
      <c r="AD9429" s="1" t="str">
        <f>IFERROR(IF(Final_Sans_VGE[[#This Row],[ppn_z]]="","",IFERROR(
   IF(_xlfn.XLOOKUP(Final_Sans_VGE[[#This Row],[ppn_z]],tbl_Historique_Final[[#This Row],[ppn_z]],tbl_Historique_Final[[#This Row],[date_modif]])=Final_Sans_VGE[[#This Row],[date_modif]],
      "Ancien",
      "Modifié"),
   "Nouveau")),"")</f>
        <v/>
      </c>
    </row>
    <row r="9430" spans="24:30" x14ac:dyDescent="0.25">
      <c r="X9430" s="8" t="e">
        <f>IF(Final_Sans_VGE[[#This Row],[ppn_z]]="","",IFERROR(
   IF(_xlfn.XLOOKUP(Final_Sans_VGE[[#This Row],[ppn_z]],tbl_Historique_Final[ppn_z],tbl_Historique_Final[date_modif])=Final_Sans_VGE[[#This Row],[date_modif]],
      "Ancien",
      "Modifié"),
   "Nouveau"))</f>
        <v>#VALUE!</v>
      </c>
      <c r="AD9430" s="1" t="str">
        <f>IFERROR(IF(Final_Sans_VGE[[#This Row],[ppn_z]]="","",IFERROR(
   IF(_xlfn.XLOOKUP(Final_Sans_VGE[[#This Row],[ppn_z]],tbl_Historique_Final[[#This Row],[ppn_z]],tbl_Historique_Final[[#This Row],[date_modif]])=Final_Sans_VGE[[#This Row],[date_modif]],
      "Ancien",
      "Modifié"),
   "Nouveau")),"")</f>
        <v/>
      </c>
    </row>
    <row r="9431" spans="24:30" x14ac:dyDescent="0.25">
      <c r="X9431" s="8" t="e">
        <f>IF(Final_Sans_VGE[[#This Row],[ppn_z]]="","",IFERROR(
   IF(_xlfn.XLOOKUP(Final_Sans_VGE[[#This Row],[ppn_z]],tbl_Historique_Final[ppn_z],tbl_Historique_Final[date_modif])=Final_Sans_VGE[[#This Row],[date_modif]],
      "Ancien",
      "Modifié"),
   "Nouveau"))</f>
        <v>#VALUE!</v>
      </c>
      <c r="AD9431" s="1" t="str">
        <f>IFERROR(IF(Final_Sans_VGE[[#This Row],[ppn_z]]="","",IFERROR(
   IF(_xlfn.XLOOKUP(Final_Sans_VGE[[#This Row],[ppn_z]],tbl_Historique_Final[[#This Row],[ppn_z]],tbl_Historique_Final[[#This Row],[date_modif]])=Final_Sans_VGE[[#This Row],[date_modif]],
      "Ancien",
      "Modifié"),
   "Nouveau")),"")</f>
        <v/>
      </c>
    </row>
    <row r="9432" spans="24:30" x14ac:dyDescent="0.25">
      <c r="X9432" s="8" t="e">
        <f>IF(Final_Sans_VGE[[#This Row],[ppn_z]]="","",IFERROR(
   IF(_xlfn.XLOOKUP(Final_Sans_VGE[[#This Row],[ppn_z]],tbl_Historique_Final[ppn_z],tbl_Historique_Final[date_modif])=Final_Sans_VGE[[#This Row],[date_modif]],
      "Ancien",
      "Modifié"),
   "Nouveau"))</f>
        <v>#VALUE!</v>
      </c>
      <c r="AD9432" s="1" t="str">
        <f>IFERROR(IF(Final_Sans_VGE[[#This Row],[ppn_z]]="","",IFERROR(
   IF(_xlfn.XLOOKUP(Final_Sans_VGE[[#This Row],[ppn_z]],tbl_Historique_Final[[#This Row],[ppn_z]],tbl_Historique_Final[[#This Row],[date_modif]])=Final_Sans_VGE[[#This Row],[date_modif]],
      "Ancien",
      "Modifié"),
   "Nouveau")),"")</f>
        <v/>
      </c>
    </row>
    <row r="9433" spans="24:30" x14ac:dyDescent="0.25">
      <c r="X9433" s="8" t="e">
        <f>IF(Final_Sans_VGE[[#This Row],[ppn_z]]="","",IFERROR(
   IF(_xlfn.XLOOKUP(Final_Sans_VGE[[#This Row],[ppn_z]],tbl_Historique_Final[ppn_z],tbl_Historique_Final[date_modif])=Final_Sans_VGE[[#This Row],[date_modif]],
      "Ancien",
      "Modifié"),
   "Nouveau"))</f>
        <v>#VALUE!</v>
      </c>
      <c r="AD9433" s="1" t="str">
        <f>IFERROR(IF(Final_Sans_VGE[[#This Row],[ppn_z]]="","",IFERROR(
   IF(_xlfn.XLOOKUP(Final_Sans_VGE[[#This Row],[ppn_z]],tbl_Historique_Final[[#This Row],[ppn_z]],tbl_Historique_Final[[#This Row],[date_modif]])=Final_Sans_VGE[[#This Row],[date_modif]],
      "Ancien",
      "Modifié"),
   "Nouveau")),"")</f>
        <v/>
      </c>
    </row>
    <row r="9434" spans="24:30" x14ac:dyDescent="0.25">
      <c r="X9434" s="8" t="e">
        <f>IF(Final_Sans_VGE[[#This Row],[ppn_z]]="","",IFERROR(
   IF(_xlfn.XLOOKUP(Final_Sans_VGE[[#This Row],[ppn_z]],tbl_Historique_Final[ppn_z],tbl_Historique_Final[date_modif])=Final_Sans_VGE[[#This Row],[date_modif]],
      "Ancien",
      "Modifié"),
   "Nouveau"))</f>
        <v>#VALUE!</v>
      </c>
      <c r="AD9434" s="1" t="str">
        <f>IFERROR(IF(Final_Sans_VGE[[#This Row],[ppn_z]]="","",IFERROR(
   IF(_xlfn.XLOOKUP(Final_Sans_VGE[[#This Row],[ppn_z]],tbl_Historique_Final[[#This Row],[ppn_z]],tbl_Historique_Final[[#This Row],[date_modif]])=Final_Sans_VGE[[#This Row],[date_modif]],
      "Ancien",
      "Modifié"),
   "Nouveau")),"")</f>
        <v/>
      </c>
    </row>
    <row r="9435" spans="24:30" x14ac:dyDescent="0.25">
      <c r="X9435" s="8" t="e">
        <f>IF(Final_Sans_VGE[[#This Row],[ppn_z]]="","",IFERROR(
   IF(_xlfn.XLOOKUP(Final_Sans_VGE[[#This Row],[ppn_z]],tbl_Historique_Final[ppn_z],tbl_Historique_Final[date_modif])=Final_Sans_VGE[[#This Row],[date_modif]],
      "Ancien",
      "Modifié"),
   "Nouveau"))</f>
        <v>#VALUE!</v>
      </c>
      <c r="AD9435" s="1" t="str">
        <f>IFERROR(IF(Final_Sans_VGE[[#This Row],[ppn_z]]="","",IFERROR(
   IF(_xlfn.XLOOKUP(Final_Sans_VGE[[#This Row],[ppn_z]],tbl_Historique_Final[[#This Row],[ppn_z]],tbl_Historique_Final[[#This Row],[date_modif]])=Final_Sans_VGE[[#This Row],[date_modif]],
      "Ancien",
      "Modifié"),
   "Nouveau")),"")</f>
        <v/>
      </c>
    </row>
    <row r="9436" spans="24:30" x14ac:dyDescent="0.25">
      <c r="X9436" s="8" t="e">
        <f>IF(Final_Sans_VGE[[#This Row],[ppn_z]]="","",IFERROR(
   IF(_xlfn.XLOOKUP(Final_Sans_VGE[[#This Row],[ppn_z]],tbl_Historique_Final[ppn_z],tbl_Historique_Final[date_modif])=Final_Sans_VGE[[#This Row],[date_modif]],
      "Ancien",
      "Modifié"),
   "Nouveau"))</f>
        <v>#VALUE!</v>
      </c>
      <c r="AD9436" s="1" t="str">
        <f>IFERROR(IF(Final_Sans_VGE[[#This Row],[ppn_z]]="","",IFERROR(
   IF(_xlfn.XLOOKUP(Final_Sans_VGE[[#This Row],[ppn_z]],tbl_Historique_Final[[#This Row],[ppn_z]],tbl_Historique_Final[[#This Row],[date_modif]])=Final_Sans_VGE[[#This Row],[date_modif]],
      "Ancien",
      "Modifié"),
   "Nouveau")),"")</f>
        <v/>
      </c>
    </row>
    <row r="9437" spans="24:30" x14ac:dyDescent="0.25">
      <c r="X9437" s="8" t="e">
        <f>IF(Final_Sans_VGE[[#This Row],[ppn_z]]="","",IFERROR(
   IF(_xlfn.XLOOKUP(Final_Sans_VGE[[#This Row],[ppn_z]],tbl_Historique_Final[ppn_z],tbl_Historique_Final[date_modif])=Final_Sans_VGE[[#This Row],[date_modif]],
      "Ancien",
      "Modifié"),
   "Nouveau"))</f>
        <v>#VALUE!</v>
      </c>
      <c r="AD9437" s="1" t="str">
        <f>IFERROR(IF(Final_Sans_VGE[[#This Row],[ppn_z]]="","",IFERROR(
   IF(_xlfn.XLOOKUP(Final_Sans_VGE[[#This Row],[ppn_z]],tbl_Historique_Final[[#This Row],[ppn_z]],tbl_Historique_Final[[#This Row],[date_modif]])=Final_Sans_VGE[[#This Row],[date_modif]],
      "Ancien",
      "Modifié"),
   "Nouveau")),"")</f>
        <v/>
      </c>
    </row>
    <row r="9438" spans="24:30" x14ac:dyDescent="0.25">
      <c r="X9438" s="8" t="e">
        <f>IF(Final_Sans_VGE[[#This Row],[ppn_z]]="","",IFERROR(
   IF(_xlfn.XLOOKUP(Final_Sans_VGE[[#This Row],[ppn_z]],tbl_Historique_Final[ppn_z],tbl_Historique_Final[date_modif])=Final_Sans_VGE[[#This Row],[date_modif]],
      "Ancien",
      "Modifié"),
   "Nouveau"))</f>
        <v>#VALUE!</v>
      </c>
      <c r="AD9438" s="1" t="str">
        <f>IFERROR(IF(Final_Sans_VGE[[#This Row],[ppn_z]]="","",IFERROR(
   IF(_xlfn.XLOOKUP(Final_Sans_VGE[[#This Row],[ppn_z]],tbl_Historique_Final[[#This Row],[ppn_z]],tbl_Historique_Final[[#This Row],[date_modif]])=Final_Sans_VGE[[#This Row],[date_modif]],
      "Ancien",
      "Modifié"),
   "Nouveau")),"")</f>
        <v/>
      </c>
    </row>
    <row r="9439" spans="24:30" x14ac:dyDescent="0.25">
      <c r="X9439" s="8" t="e">
        <f>IF(Final_Sans_VGE[[#This Row],[ppn_z]]="","",IFERROR(
   IF(_xlfn.XLOOKUP(Final_Sans_VGE[[#This Row],[ppn_z]],tbl_Historique_Final[ppn_z],tbl_Historique_Final[date_modif])=Final_Sans_VGE[[#This Row],[date_modif]],
      "Ancien",
      "Modifié"),
   "Nouveau"))</f>
        <v>#VALUE!</v>
      </c>
      <c r="AD9439" s="1" t="str">
        <f>IFERROR(IF(Final_Sans_VGE[[#This Row],[ppn_z]]="","",IFERROR(
   IF(_xlfn.XLOOKUP(Final_Sans_VGE[[#This Row],[ppn_z]],tbl_Historique_Final[[#This Row],[ppn_z]],tbl_Historique_Final[[#This Row],[date_modif]])=Final_Sans_VGE[[#This Row],[date_modif]],
      "Ancien",
      "Modifié"),
   "Nouveau")),"")</f>
        <v/>
      </c>
    </row>
    <row r="9440" spans="24:30" x14ac:dyDescent="0.25">
      <c r="X9440" s="8" t="e">
        <f>IF(Final_Sans_VGE[[#This Row],[ppn_z]]="","",IFERROR(
   IF(_xlfn.XLOOKUP(Final_Sans_VGE[[#This Row],[ppn_z]],tbl_Historique_Final[ppn_z],tbl_Historique_Final[date_modif])=Final_Sans_VGE[[#This Row],[date_modif]],
      "Ancien",
      "Modifié"),
   "Nouveau"))</f>
        <v>#VALUE!</v>
      </c>
      <c r="AD9440" s="1" t="str">
        <f>IFERROR(IF(Final_Sans_VGE[[#This Row],[ppn_z]]="","",IFERROR(
   IF(_xlfn.XLOOKUP(Final_Sans_VGE[[#This Row],[ppn_z]],tbl_Historique_Final[[#This Row],[ppn_z]],tbl_Historique_Final[[#This Row],[date_modif]])=Final_Sans_VGE[[#This Row],[date_modif]],
      "Ancien",
      "Modifié"),
   "Nouveau")),"")</f>
        <v/>
      </c>
    </row>
    <row r="9441" spans="24:30" x14ac:dyDescent="0.25">
      <c r="X9441" s="8" t="e">
        <f>IF(Final_Sans_VGE[[#This Row],[ppn_z]]="","",IFERROR(
   IF(_xlfn.XLOOKUP(Final_Sans_VGE[[#This Row],[ppn_z]],tbl_Historique_Final[ppn_z],tbl_Historique_Final[date_modif])=Final_Sans_VGE[[#This Row],[date_modif]],
      "Ancien",
      "Modifié"),
   "Nouveau"))</f>
        <v>#VALUE!</v>
      </c>
      <c r="AD9441" s="1" t="str">
        <f>IFERROR(IF(Final_Sans_VGE[[#This Row],[ppn_z]]="","",IFERROR(
   IF(_xlfn.XLOOKUP(Final_Sans_VGE[[#This Row],[ppn_z]],tbl_Historique_Final[[#This Row],[ppn_z]],tbl_Historique_Final[[#This Row],[date_modif]])=Final_Sans_VGE[[#This Row],[date_modif]],
      "Ancien",
      "Modifié"),
   "Nouveau")),"")</f>
        <v/>
      </c>
    </row>
    <row r="9442" spans="24:30" x14ac:dyDescent="0.25">
      <c r="X9442" s="8" t="e">
        <f>IF(Final_Sans_VGE[[#This Row],[ppn_z]]="","",IFERROR(
   IF(_xlfn.XLOOKUP(Final_Sans_VGE[[#This Row],[ppn_z]],tbl_Historique_Final[ppn_z],tbl_Historique_Final[date_modif])=Final_Sans_VGE[[#This Row],[date_modif]],
      "Ancien",
      "Modifié"),
   "Nouveau"))</f>
        <v>#VALUE!</v>
      </c>
      <c r="AD9442" s="1" t="str">
        <f>IFERROR(IF(Final_Sans_VGE[[#This Row],[ppn_z]]="","",IFERROR(
   IF(_xlfn.XLOOKUP(Final_Sans_VGE[[#This Row],[ppn_z]],tbl_Historique_Final[[#This Row],[ppn_z]],tbl_Historique_Final[[#This Row],[date_modif]])=Final_Sans_VGE[[#This Row],[date_modif]],
      "Ancien",
      "Modifié"),
   "Nouveau")),"")</f>
        <v/>
      </c>
    </row>
    <row r="9443" spans="24:30" x14ac:dyDescent="0.25">
      <c r="X9443" s="8" t="e">
        <f>IF(Final_Sans_VGE[[#This Row],[ppn_z]]="","",IFERROR(
   IF(_xlfn.XLOOKUP(Final_Sans_VGE[[#This Row],[ppn_z]],tbl_Historique_Final[ppn_z],tbl_Historique_Final[date_modif])=Final_Sans_VGE[[#This Row],[date_modif]],
      "Ancien",
      "Modifié"),
   "Nouveau"))</f>
        <v>#VALUE!</v>
      </c>
      <c r="AD9443" s="1" t="str">
        <f>IFERROR(IF(Final_Sans_VGE[[#This Row],[ppn_z]]="","",IFERROR(
   IF(_xlfn.XLOOKUP(Final_Sans_VGE[[#This Row],[ppn_z]],tbl_Historique_Final[[#This Row],[ppn_z]],tbl_Historique_Final[[#This Row],[date_modif]])=Final_Sans_VGE[[#This Row],[date_modif]],
      "Ancien",
      "Modifié"),
   "Nouveau")),"")</f>
        <v/>
      </c>
    </row>
    <row r="9444" spans="24:30" x14ac:dyDescent="0.25">
      <c r="X9444" s="8" t="e">
        <f>IF(Final_Sans_VGE[[#This Row],[ppn_z]]="","",IFERROR(
   IF(_xlfn.XLOOKUP(Final_Sans_VGE[[#This Row],[ppn_z]],tbl_Historique_Final[ppn_z],tbl_Historique_Final[date_modif])=Final_Sans_VGE[[#This Row],[date_modif]],
      "Ancien",
      "Modifié"),
   "Nouveau"))</f>
        <v>#VALUE!</v>
      </c>
      <c r="AD9444" s="1" t="str">
        <f>IFERROR(IF(Final_Sans_VGE[[#This Row],[ppn_z]]="","",IFERROR(
   IF(_xlfn.XLOOKUP(Final_Sans_VGE[[#This Row],[ppn_z]],tbl_Historique_Final[[#This Row],[ppn_z]],tbl_Historique_Final[[#This Row],[date_modif]])=Final_Sans_VGE[[#This Row],[date_modif]],
      "Ancien",
      "Modifié"),
   "Nouveau")),"")</f>
        <v/>
      </c>
    </row>
    <row r="9445" spans="24:30" x14ac:dyDescent="0.25">
      <c r="X9445" s="8" t="e">
        <f>IF(Final_Sans_VGE[[#This Row],[ppn_z]]="","",IFERROR(
   IF(_xlfn.XLOOKUP(Final_Sans_VGE[[#This Row],[ppn_z]],tbl_Historique_Final[ppn_z],tbl_Historique_Final[date_modif])=Final_Sans_VGE[[#This Row],[date_modif]],
      "Ancien",
      "Modifié"),
   "Nouveau"))</f>
        <v>#VALUE!</v>
      </c>
      <c r="AD9445" s="1" t="str">
        <f>IFERROR(IF(Final_Sans_VGE[[#This Row],[ppn_z]]="","",IFERROR(
   IF(_xlfn.XLOOKUP(Final_Sans_VGE[[#This Row],[ppn_z]],tbl_Historique_Final[[#This Row],[ppn_z]],tbl_Historique_Final[[#This Row],[date_modif]])=Final_Sans_VGE[[#This Row],[date_modif]],
      "Ancien",
      "Modifié"),
   "Nouveau")),"")</f>
        <v/>
      </c>
    </row>
    <row r="9446" spans="24:30" x14ac:dyDescent="0.25">
      <c r="X9446" s="8" t="e">
        <f>IF(Final_Sans_VGE[[#This Row],[ppn_z]]="","",IFERROR(
   IF(_xlfn.XLOOKUP(Final_Sans_VGE[[#This Row],[ppn_z]],tbl_Historique_Final[ppn_z],tbl_Historique_Final[date_modif])=Final_Sans_VGE[[#This Row],[date_modif]],
      "Ancien",
      "Modifié"),
   "Nouveau"))</f>
        <v>#VALUE!</v>
      </c>
      <c r="AD9446" s="1" t="str">
        <f>IFERROR(IF(Final_Sans_VGE[[#This Row],[ppn_z]]="","",IFERROR(
   IF(_xlfn.XLOOKUP(Final_Sans_VGE[[#This Row],[ppn_z]],tbl_Historique_Final[[#This Row],[ppn_z]],tbl_Historique_Final[[#This Row],[date_modif]])=Final_Sans_VGE[[#This Row],[date_modif]],
      "Ancien",
      "Modifié"),
   "Nouveau")),"")</f>
        <v/>
      </c>
    </row>
    <row r="9447" spans="24:30" x14ac:dyDescent="0.25">
      <c r="X9447" s="8" t="e">
        <f>IF(Final_Sans_VGE[[#This Row],[ppn_z]]="","",IFERROR(
   IF(_xlfn.XLOOKUP(Final_Sans_VGE[[#This Row],[ppn_z]],tbl_Historique_Final[ppn_z],tbl_Historique_Final[date_modif])=Final_Sans_VGE[[#This Row],[date_modif]],
      "Ancien",
      "Modifié"),
   "Nouveau"))</f>
        <v>#VALUE!</v>
      </c>
      <c r="AD9447" s="1" t="str">
        <f>IFERROR(IF(Final_Sans_VGE[[#This Row],[ppn_z]]="","",IFERROR(
   IF(_xlfn.XLOOKUP(Final_Sans_VGE[[#This Row],[ppn_z]],tbl_Historique_Final[[#This Row],[ppn_z]],tbl_Historique_Final[[#This Row],[date_modif]])=Final_Sans_VGE[[#This Row],[date_modif]],
      "Ancien",
      "Modifié"),
   "Nouveau")),"")</f>
        <v/>
      </c>
    </row>
    <row r="9448" spans="24:30" x14ac:dyDescent="0.25">
      <c r="X9448" s="8" t="e">
        <f>IF(Final_Sans_VGE[[#This Row],[ppn_z]]="","",IFERROR(
   IF(_xlfn.XLOOKUP(Final_Sans_VGE[[#This Row],[ppn_z]],tbl_Historique_Final[ppn_z],tbl_Historique_Final[date_modif])=Final_Sans_VGE[[#This Row],[date_modif]],
      "Ancien",
      "Modifié"),
   "Nouveau"))</f>
        <v>#VALUE!</v>
      </c>
      <c r="AD9448" s="1" t="str">
        <f>IFERROR(IF(Final_Sans_VGE[[#This Row],[ppn_z]]="","",IFERROR(
   IF(_xlfn.XLOOKUP(Final_Sans_VGE[[#This Row],[ppn_z]],tbl_Historique_Final[[#This Row],[ppn_z]],tbl_Historique_Final[[#This Row],[date_modif]])=Final_Sans_VGE[[#This Row],[date_modif]],
      "Ancien",
      "Modifié"),
   "Nouveau")),"")</f>
        <v/>
      </c>
    </row>
    <row r="9449" spans="24:30" x14ac:dyDescent="0.25">
      <c r="X9449" s="8" t="e">
        <f>IF(Final_Sans_VGE[[#This Row],[ppn_z]]="","",IFERROR(
   IF(_xlfn.XLOOKUP(Final_Sans_VGE[[#This Row],[ppn_z]],tbl_Historique_Final[ppn_z],tbl_Historique_Final[date_modif])=Final_Sans_VGE[[#This Row],[date_modif]],
      "Ancien",
      "Modifié"),
   "Nouveau"))</f>
        <v>#VALUE!</v>
      </c>
      <c r="AD9449" s="1" t="str">
        <f>IFERROR(IF(Final_Sans_VGE[[#This Row],[ppn_z]]="","",IFERROR(
   IF(_xlfn.XLOOKUP(Final_Sans_VGE[[#This Row],[ppn_z]],tbl_Historique_Final[[#This Row],[ppn_z]],tbl_Historique_Final[[#This Row],[date_modif]])=Final_Sans_VGE[[#This Row],[date_modif]],
      "Ancien",
      "Modifié"),
   "Nouveau")),"")</f>
        <v/>
      </c>
    </row>
    <row r="9450" spans="24:30" x14ac:dyDescent="0.25">
      <c r="X9450" s="8" t="e">
        <f>IF(Final_Sans_VGE[[#This Row],[ppn_z]]="","",IFERROR(
   IF(_xlfn.XLOOKUP(Final_Sans_VGE[[#This Row],[ppn_z]],tbl_Historique_Final[ppn_z],tbl_Historique_Final[date_modif])=Final_Sans_VGE[[#This Row],[date_modif]],
      "Ancien",
      "Modifié"),
   "Nouveau"))</f>
        <v>#VALUE!</v>
      </c>
      <c r="AD9450" s="1" t="str">
        <f>IFERROR(IF(Final_Sans_VGE[[#This Row],[ppn_z]]="","",IFERROR(
   IF(_xlfn.XLOOKUP(Final_Sans_VGE[[#This Row],[ppn_z]],tbl_Historique_Final[[#This Row],[ppn_z]],tbl_Historique_Final[[#This Row],[date_modif]])=Final_Sans_VGE[[#This Row],[date_modif]],
      "Ancien",
      "Modifié"),
   "Nouveau")),"")</f>
        <v/>
      </c>
    </row>
    <row r="9451" spans="24:30" x14ac:dyDescent="0.25">
      <c r="X9451" s="8" t="e">
        <f>IF(Final_Sans_VGE[[#This Row],[ppn_z]]="","",IFERROR(
   IF(_xlfn.XLOOKUP(Final_Sans_VGE[[#This Row],[ppn_z]],tbl_Historique_Final[ppn_z],tbl_Historique_Final[date_modif])=Final_Sans_VGE[[#This Row],[date_modif]],
      "Ancien",
      "Modifié"),
   "Nouveau"))</f>
        <v>#VALUE!</v>
      </c>
      <c r="AD9451" s="1" t="str">
        <f>IFERROR(IF(Final_Sans_VGE[[#This Row],[ppn_z]]="","",IFERROR(
   IF(_xlfn.XLOOKUP(Final_Sans_VGE[[#This Row],[ppn_z]],tbl_Historique_Final[[#This Row],[ppn_z]],tbl_Historique_Final[[#This Row],[date_modif]])=Final_Sans_VGE[[#This Row],[date_modif]],
      "Ancien",
      "Modifié"),
   "Nouveau")),"")</f>
        <v/>
      </c>
    </row>
    <row r="9452" spans="24:30" x14ac:dyDescent="0.25">
      <c r="X9452" s="8" t="e">
        <f>IF(Final_Sans_VGE[[#This Row],[ppn_z]]="","",IFERROR(
   IF(_xlfn.XLOOKUP(Final_Sans_VGE[[#This Row],[ppn_z]],tbl_Historique_Final[ppn_z],tbl_Historique_Final[date_modif])=Final_Sans_VGE[[#This Row],[date_modif]],
      "Ancien",
      "Modifié"),
   "Nouveau"))</f>
        <v>#VALUE!</v>
      </c>
      <c r="AD9452" s="1" t="str">
        <f>IFERROR(IF(Final_Sans_VGE[[#This Row],[ppn_z]]="","",IFERROR(
   IF(_xlfn.XLOOKUP(Final_Sans_VGE[[#This Row],[ppn_z]],tbl_Historique_Final[[#This Row],[ppn_z]],tbl_Historique_Final[[#This Row],[date_modif]])=Final_Sans_VGE[[#This Row],[date_modif]],
      "Ancien",
      "Modifié"),
   "Nouveau")),"")</f>
        <v/>
      </c>
    </row>
    <row r="9453" spans="24:30" x14ac:dyDescent="0.25">
      <c r="X9453" s="8" t="e">
        <f>IF(Final_Sans_VGE[[#This Row],[ppn_z]]="","",IFERROR(
   IF(_xlfn.XLOOKUP(Final_Sans_VGE[[#This Row],[ppn_z]],tbl_Historique_Final[ppn_z],tbl_Historique_Final[date_modif])=Final_Sans_VGE[[#This Row],[date_modif]],
      "Ancien",
      "Modifié"),
   "Nouveau"))</f>
        <v>#VALUE!</v>
      </c>
      <c r="AD9453" s="1" t="str">
        <f>IFERROR(IF(Final_Sans_VGE[[#This Row],[ppn_z]]="","",IFERROR(
   IF(_xlfn.XLOOKUP(Final_Sans_VGE[[#This Row],[ppn_z]],tbl_Historique_Final[[#This Row],[ppn_z]],tbl_Historique_Final[[#This Row],[date_modif]])=Final_Sans_VGE[[#This Row],[date_modif]],
      "Ancien",
      "Modifié"),
   "Nouveau")),"")</f>
        <v/>
      </c>
    </row>
    <row r="9454" spans="24:30" x14ac:dyDescent="0.25">
      <c r="X9454" s="8" t="e">
        <f>IF(Final_Sans_VGE[[#This Row],[ppn_z]]="","",IFERROR(
   IF(_xlfn.XLOOKUP(Final_Sans_VGE[[#This Row],[ppn_z]],tbl_Historique_Final[ppn_z],tbl_Historique_Final[date_modif])=Final_Sans_VGE[[#This Row],[date_modif]],
      "Ancien",
      "Modifié"),
   "Nouveau"))</f>
        <v>#VALUE!</v>
      </c>
      <c r="AD9454" s="1" t="str">
        <f>IFERROR(IF(Final_Sans_VGE[[#This Row],[ppn_z]]="","",IFERROR(
   IF(_xlfn.XLOOKUP(Final_Sans_VGE[[#This Row],[ppn_z]],tbl_Historique_Final[[#This Row],[ppn_z]],tbl_Historique_Final[[#This Row],[date_modif]])=Final_Sans_VGE[[#This Row],[date_modif]],
      "Ancien",
      "Modifié"),
   "Nouveau")),"")</f>
        <v/>
      </c>
    </row>
    <row r="9455" spans="24:30" x14ac:dyDescent="0.25">
      <c r="X9455" s="8" t="e">
        <f>IF(Final_Sans_VGE[[#This Row],[ppn_z]]="","",IFERROR(
   IF(_xlfn.XLOOKUP(Final_Sans_VGE[[#This Row],[ppn_z]],tbl_Historique_Final[ppn_z],tbl_Historique_Final[date_modif])=Final_Sans_VGE[[#This Row],[date_modif]],
      "Ancien",
      "Modifié"),
   "Nouveau"))</f>
        <v>#VALUE!</v>
      </c>
      <c r="AD9455" s="1" t="str">
        <f>IFERROR(IF(Final_Sans_VGE[[#This Row],[ppn_z]]="","",IFERROR(
   IF(_xlfn.XLOOKUP(Final_Sans_VGE[[#This Row],[ppn_z]],tbl_Historique_Final[[#This Row],[ppn_z]],tbl_Historique_Final[[#This Row],[date_modif]])=Final_Sans_VGE[[#This Row],[date_modif]],
      "Ancien",
      "Modifié"),
   "Nouveau")),"")</f>
        <v/>
      </c>
    </row>
    <row r="9456" spans="24:30" x14ac:dyDescent="0.25">
      <c r="X9456" s="8" t="e">
        <f>IF(Final_Sans_VGE[[#This Row],[ppn_z]]="","",IFERROR(
   IF(_xlfn.XLOOKUP(Final_Sans_VGE[[#This Row],[ppn_z]],tbl_Historique_Final[ppn_z],tbl_Historique_Final[date_modif])=Final_Sans_VGE[[#This Row],[date_modif]],
      "Ancien",
      "Modifié"),
   "Nouveau"))</f>
        <v>#VALUE!</v>
      </c>
      <c r="AD9456" s="1" t="str">
        <f>IFERROR(IF(Final_Sans_VGE[[#This Row],[ppn_z]]="","",IFERROR(
   IF(_xlfn.XLOOKUP(Final_Sans_VGE[[#This Row],[ppn_z]],tbl_Historique_Final[[#This Row],[ppn_z]],tbl_Historique_Final[[#This Row],[date_modif]])=Final_Sans_VGE[[#This Row],[date_modif]],
      "Ancien",
      "Modifié"),
   "Nouveau")),"")</f>
        <v/>
      </c>
    </row>
    <row r="9457" spans="24:30" x14ac:dyDescent="0.25">
      <c r="X9457" s="8" t="e">
        <f>IF(Final_Sans_VGE[[#This Row],[ppn_z]]="","",IFERROR(
   IF(_xlfn.XLOOKUP(Final_Sans_VGE[[#This Row],[ppn_z]],tbl_Historique_Final[ppn_z],tbl_Historique_Final[date_modif])=Final_Sans_VGE[[#This Row],[date_modif]],
      "Ancien",
      "Modifié"),
   "Nouveau"))</f>
        <v>#VALUE!</v>
      </c>
      <c r="AD9457" s="1" t="str">
        <f>IFERROR(IF(Final_Sans_VGE[[#This Row],[ppn_z]]="","",IFERROR(
   IF(_xlfn.XLOOKUP(Final_Sans_VGE[[#This Row],[ppn_z]],tbl_Historique_Final[[#This Row],[ppn_z]],tbl_Historique_Final[[#This Row],[date_modif]])=Final_Sans_VGE[[#This Row],[date_modif]],
      "Ancien",
      "Modifié"),
   "Nouveau")),"")</f>
        <v/>
      </c>
    </row>
    <row r="9458" spans="24:30" x14ac:dyDescent="0.25">
      <c r="X9458" s="8" t="e">
        <f>IF(Final_Sans_VGE[[#This Row],[ppn_z]]="","",IFERROR(
   IF(_xlfn.XLOOKUP(Final_Sans_VGE[[#This Row],[ppn_z]],tbl_Historique_Final[ppn_z],tbl_Historique_Final[date_modif])=Final_Sans_VGE[[#This Row],[date_modif]],
      "Ancien",
      "Modifié"),
   "Nouveau"))</f>
        <v>#VALUE!</v>
      </c>
      <c r="AD9458" s="1" t="str">
        <f>IFERROR(IF(Final_Sans_VGE[[#This Row],[ppn_z]]="","",IFERROR(
   IF(_xlfn.XLOOKUP(Final_Sans_VGE[[#This Row],[ppn_z]],tbl_Historique_Final[[#This Row],[ppn_z]],tbl_Historique_Final[[#This Row],[date_modif]])=Final_Sans_VGE[[#This Row],[date_modif]],
      "Ancien",
      "Modifié"),
   "Nouveau")),"")</f>
        <v/>
      </c>
    </row>
    <row r="9459" spans="24:30" x14ac:dyDescent="0.25">
      <c r="X9459" s="8" t="e">
        <f>IF(Final_Sans_VGE[[#This Row],[ppn_z]]="","",IFERROR(
   IF(_xlfn.XLOOKUP(Final_Sans_VGE[[#This Row],[ppn_z]],tbl_Historique_Final[ppn_z],tbl_Historique_Final[date_modif])=Final_Sans_VGE[[#This Row],[date_modif]],
      "Ancien",
      "Modifié"),
   "Nouveau"))</f>
        <v>#VALUE!</v>
      </c>
      <c r="AD9459" s="1" t="str">
        <f>IFERROR(IF(Final_Sans_VGE[[#This Row],[ppn_z]]="","",IFERROR(
   IF(_xlfn.XLOOKUP(Final_Sans_VGE[[#This Row],[ppn_z]],tbl_Historique_Final[[#This Row],[ppn_z]],tbl_Historique_Final[[#This Row],[date_modif]])=Final_Sans_VGE[[#This Row],[date_modif]],
      "Ancien",
      "Modifié"),
   "Nouveau")),"")</f>
        <v/>
      </c>
    </row>
    <row r="9460" spans="24:30" x14ac:dyDescent="0.25">
      <c r="X9460" s="8" t="e">
        <f>IF(Final_Sans_VGE[[#This Row],[ppn_z]]="","",IFERROR(
   IF(_xlfn.XLOOKUP(Final_Sans_VGE[[#This Row],[ppn_z]],tbl_Historique_Final[ppn_z],tbl_Historique_Final[date_modif])=Final_Sans_VGE[[#This Row],[date_modif]],
      "Ancien",
      "Modifié"),
   "Nouveau"))</f>
        <v>#VALUE!</v>
      </c>
      <c r="AD9460" s="1" t="str">
        <f>IFERROR(IF(Final_Sans_VGE[[#This Row],[ppn_z]]="","",IFERROR(
   IF(_xlfn.XLOOKUP(Final_Sans_VGE[[#This Row],[ppn_z]],tbl_Historique_Final[[#This Row],[ppn_z]],tbl_Historique_Final[[#This Row],[date_modif]])=Final_Sans_VGE[[#This Row],[date_modif]],
      "Ancien",
      "Modifié"),
   "Nouveau")),"")</f>
        <v/>
      </c>
    </row>
    <row r="9461" spans="24:30" x14ac:dyDescent="0.25">
      <c r="X9461" s="8" t="e">
        <f>IF(Final_Sans_VGE[[#This Row],[ppn_z]]="","",IFERROR(
   IF(_xlfn.XLOOKUP(Final_Sans_VGE[[#This Row],[ppn_z]],tbl_Historique_Final[ppn_z],tbl_Historique_Final[date_modif])=Final_Sans_VGE[[#This Row],[date_modif]],
      "Ancien",
      "Modifié"),
   "Nouveau"))</f>
        <v>#VALUE!</v>
      </c>
      <c r="AD9461" s="1" t="str">
        <f>IFERROR(IF(Final_Sans_VGE[[#This Row],[ppn_z]]="","",IFERROR(
   IF(_xlfn.XLOOKUP(Final_Sans_VGE[[#This Row],[ppn_z]],tbl_Historique_Final[[#This Row],[ppn_z]],tbl_Historique_Final[[#This Row],[date_modif]])=Final_Sans_VGE[[#This Row],[date_modif]],
      "Ancien",
      "Modifié"),
   "Nouveau")),"")</f>
        <v/>
      </c>
    </row>
    <row r="9462" spans="24:30" x14ac:dyDescent="0.25">
      <c r="X9462" s="8" t="e">
        <f>IF(Final_Sans_VGE[[#This Row],[ppn_z]]="","",IFERROR(
   IF(_xlfn.XLOOKUP(Final_Sans_VGE[[#This Row],[ppn_z]],tbl_Historique_Final[ppn_z],tbl_Historique_Final[date_modif])=Final_Sans_VGE[[#This Row],[date_modif]],
      "Ancien",
      "Modifié"),
   "Nouveau"))</f>
        <v>#VALUE!</v>
      </c>
      <c r="AD9462" s="1" t="str">
        <f>IFERROR(IF(Final_Sans_VGE[[#This Row],[ppn_z]]="","",IFERROR(
   IF(_xlfn.XLOOKUP(Final_Sans_VGE[[#This Row],[ppn_z]],tbl_Historique_Final[[#This Row],[ppn_z]],tbl_Historique_Final[[#This Row],[date_modif]])=Final_Sans_VGE[[#This Row],[date_modif]],
      "Ancien",
      "Modifié"),
   "Nouveau")),"")</f>
        <v/>
      </c>
    </row>
    <row r="9463" spans="24:30" x14ac:dyDescent="0.25">
      <c r="X9463" s="8" t="e">
        <f>IF(Final_Sans_VGE[[#This Row],[ppn_z]]="","",IFERROR(
   IF(_xlfn.XLOOKUP(Final_Sans_VGE[[#This Row],[ppn_z]],tbl_Historique_Final[ppn_z],tbl_Historique_Final[date_modif])=Final_Sans_VGE[[#This Row],[date_modif]],
      "Ancien",
      "Modifié"),
   "Nouveau"))</f>
        <v>#VALUE!</v>
      </c>
      <c r="AD9463" s="1" t="str">
        <f>IFERROR(IF(Final_Sans_VGE[[#This Row],[ppn_z]]="","",IFERROR(
   IF(_xlfn.XLOOKUP(Final_Sans_VGE[[#This Row],[ppn_z]],tbl_Historique_Final[[#This Row],[ppn_z]],tbl_Historique_Final[[#This Row],[date_modif]])=Final_Sans_VGE[[#This Row],[date_modif]],
      "Ancien",
      "Modifié"),
   "Nouveau")),"")</f>
        <v/>
      </c>
    </row>
    <row r="9464" spans="24:30" x14ac:dyDescent="0.25">
      <c r="X9464" s="8" t="e">
        <f>IF(Final_Sans_VGE[[#This Row],[ppn_z]]="","",IFERROR(
   IF(_xlfn.XLOOKUP(Final_Sans_VGE[[#This Row],[ppn_z]],tbl_Historique_Final[ppn_z],tbl_Historique_Final[date_modif])=Final_Sans_VGE[[#This Row],[date_modif]],
      "Ancien",
      "Modifié"),
   "Nouveau"))</f>
        <v>#VALUE!</v>
      </c>
      <c r="AD9464" s="1" t="str">
        <f>IFERROR(IF(Final_Sans_VGE[[#This Row],[ppn_z]]="","",IFERROR(
   IF(_xlfn.XLOOKUP(Final_Sans_VGE[[#This Row],[ppn_z]],tbl_Historique_Final[[#This Row],[ppn_z]],tbl_Historique_Final[[#This Row],[date_modif]])=Final_Sans_VGE[[#This Row],[date_modif]],
      "Ancien",
      "Modifié"),
   "Nouveau")),"")</f>
        <v/>
      </c>
    </row>
    <row r="9465" spans="24:30" x14ac:dyDescent="0.25">
      <c r="X9465" s="8" t="e">
        <f>IF(Final_Sans_VGE[[#This Row],[ppn_z]]="","",IFERROR(
   IF(_xlfn.XLOOKUP(Final_Sans_VGE[[#This Row],[ppn_z]],tbl_Historique_Final[ppn_z],tbl_Historique_Final[date_modif])=Final_Sans_VGE[[#This Row],[date_modif]],
      "Ancien",
      "Modifié"),
   "Nouveau"))</f>
        <v>#VALUE!</v>
      </c>
      <c r="AD9465" s="1" t="str">
        <f>IFERROR(IF(Final_Sans_VGE[[#This Row],[ppn_z]]="","",IFERROR(
   IF(_xlfn.XLOOKUP(Final_Sans_VGE[[#This Row],[ppn_z]],tbl_Historique_Final[[#This Row],[ppn_z]],tbl_Historique_Final[[#This Row],[date_modif]])=Final_Sans_VGE[[#This Row],[date_modif]],
      "Ancien",
      "Modifié"),
   "Nouveau")),"")</f>
        <v/>
      </c>
    </row>
    <row r="9466" spans="24:30" x14ac:dyDescent="0.25">
      <c r="X9466" s="8" t="e">
        <f>IF(Final_Sans_VGE[[#This Row],[ppn_z]]="","",IFERROR(
   IF(_xlfn.XLOOKUP(Final_Sans_VGE[[#This Row],[ppn_z]],tbl_Historique_Final[ppn_z],tbl_Historique_Final[date_modif])=Final_Sans_VGE[[#This Row],[date_modif]],
      "Ancien",
      "Modifié"),
   "Nouveau"))</f>
        <v>#VALUE!</v>
      </c>
      <c r="AD9466" s="1" t="str">
        <f>IFERROR(IF(Final_Sans_VGE[[#This Row],[ppn_z]]="","",IFERROR(
   IF(_xlfn.XLOOKUP(Final_Sans_VGE[[#This Row],[ppn_z]],tbl_Historique_Final[[#This Row],[ppn_z]],tbl_Historique_Final[[#This Row],[date_modif]])=Final_Sans_VGE[[#This Row],[date_modif]],
      "Ancien",
      "Modifié"),
   "Nouveau")),"")</f>
        <v/>
      </c>
    </row>
    <row r="9467" spans="24:30" x14ac:dyDescent="0.25">
      <c r="X9467" s="8" t="e">
        <f>IF(Final_Sans_VGE[[#This Row],[ppn_z]]="","",IFERROR(
   IF(_xlfn.XLOOKUP(Final_Sans_VGE[[#This Row],[ppn_z]],tbl_Historique_Final[ppn_z],tbl_Historique_Final[date_modif])=Final_Sans_VGE[[#This Row],[date_modif]],
      "Ancien",
      "Modifié"),
   "Nouveau"))</f>
        <v>#VALUE!</v>
      </c>
      <c r="AD9467" s="1" t="str">
        <f>IFERROR(IF(Final_Sans_VGE[[#This Row],[ppn_z]]="","",IFERROR(
   IF(_xlfn.XLOOKUP(Final_Sans_VGE[[#This Row],[ppn_z]],tbl_Historique_Final[[#This Row],[ppn_z]],tbl_Historique_Final[[#This Row],[date_modif]])=Final_Sans_VGE[[#This Row],[date_modif]],
      "Ancien",
      "Modifié"),
   "Nouveau")),"")</f>
        <v/>
      </c>
    </row>
    <row r="9468" spans="24:30" x14ac:dyDescent="0.25">
      <c r="X9468" s="8" t="e">
        <f>IF(Final_Sans_VGE[[#This Row],[ppn_z]]="","",IFERROR(
   IF(_xlfn.XLOOKUP(Final_Sans_VGE[[#This Row],[ppn_z]],tbl_Historique_Final[ppn_z],tbl_Historique_Final[date_modif])=Final_Sans_VGE[[#This Row],[date_modif]],
      "Ancien",
      "Modifié"),
   "Nouveau"))</f>
        <v>#VALUE!</v>
      </c>
      <c r="AD9468" s="1" t="str">
        <f>IFERROR(IF(Final_Sans_VGE[[#This Row],[ppn_z]]="","",IFERROR(
   IF(_xlfn.XLOOKUP(Final_Sans_VGE[[#This Row],[ppn_z]],tbl_Historique_Final[[#This Row],[ppn_z]],tbl_Historique_Final[[#This Row],[date_modif]])=Final_Sans_VGE[[#This Row],[date_modif]],
      "Ancien",
      "Modifié"),
   "Nouveau")),"")</f>
        <v/>
      </c>
    </row>
    <row r="9469" spans="24:30" x14ac:dyDescent="0.25">
      <c r="X9469" s="8" t="e">
        <f>IF(Final_Sans_VGE[[#This Row],[ppn_z]]="","",IFERROR(
   IF(_xlfn.XLOOKUP(Final_Sans_VGE[[#This Row],[ppn_z]],tbl_Historique_Final[ppn_z],tbl_Historique_Final[date_modif])=Final_Sans_VGE[[#This Row],[date_modif]],
      "Ancien",
      "Modifié"),
   "Nouveau"))</f>
        <v>#VALUE!</v>
      </c>
      <c r="AD9469" s="1" t="str">
        <f>IFERROR(IF(Final_Sans_VGE[[#This Row],[ppn_z]]="","",IFERROR(
   IF(_xlfn.XLOOKUP(Final_Sans_VGE[[#This Row],[ppn_z]],tbl_Historique_Final[[#This Row],[ppn_z]],tbl_Historique_Final[[#This Row],[date_modif]])=Final_Sans_VGE[[#This Row],[date_modif]],
      "Ancien",
      "Modifié"),
   "Nouveau")),"")</f>
        <v/>
      </c>
    </row>
    <row r="9470" spans="24:30" x14ac:dyDescent="0.25">
      <c r="X9470" s="8" t="e">
        <f>IF(Final_Sans_VGE[[#This Row],[ppn_z]]="","",IFERROR(
   IF(_xlfn.XLOOKUP(Final_Sans_VGE[[#This Row],[ppn_z]],tbl_Historique_Final[ppn_z],tbl_Historique_Final[date_modif])=Final_Sans_VGE[[#This Row],[date_modif]],
      "Ancien",
      "Modifié"),
   "Nouveau"))</f>
        <v>#VALUE!</v>
      </c>
      <c r="AD9470" s="1" t="str">
        <f>IFERROR(IF(Final_Sans_VGE[[#This Row],[ppn_z]]="","",IFERROR(
   IF(_xlfn.XLOOKUP(Final_Sans_VGE[[#This Row],[ppn_z]],tbl_Historique_Final[[#This Row],[ppn_z]],tbl_Historique_Final[[#This Row],[date_modif]])=Final_Sans_VGE[[#This Row],[date_modif]],
      "Ancien",
      "Modifié"),
   "Nouveau")),"")</f>
        <v/>
      </c>
    </row>
    <row r="9471" spans="24:30" x14ac:dyDescent="0.25">
      <c r="X9471" s="8" t="e">
        <f>IF(Final_Sans_VGE[[#This Row],[ppn_z]]="","",IFERROR(
   IF(_xlfn.XLOOKUP(Final_Sans_VGE[[#This Row],[ppn_z]],tbl_Historique_Final[ppn_z],tbl_Historique_Final[date_modif])=Final_Sans_VGE[[#This Row],[date_modif]],
      "Ancien",
      "Modifié"),
   "Nouveau"))</f>
        <v>#VALUE!</v>
      </c>
      <c r="AD9471" s="1" t="str">
        <f>IFERROR(IF(Final_Sans_VGE[[#This Row],[ppn_z]]="","",IFERROR(
   IF(_xlfn.XLOOKUP(Final_Sans_VGE[[#This Row],[ppn_z]],tbl_Historique_Final[[#This Row],[ppn_z]],tbl_Historique_Final[[#This Row],[date_modif]])=Final_Sans_VGE[[#This Row],[date_modif]],
      "Ancien",
      "Modifié"),
   "Nouveau")),"")</f>
        <v/>
      </c>
    </row>
    <row r="9472" spans="24:30" x14ac:dyDescent="0.25">
      <c r="X9472" s="8" t="e">
        <f>IF(Final_Sans_VGE[[#This Row],[ppn_z]]="","",IFERROR(
   IF(_xlfn.XLOOKUP(Final_Sans_VGE[[#This Row],[ppn_z]],tbl_Historique_Final[ppn_z],tbl_Historique_Final[date_modif])=Final_Sans_VGE[[#This Row],[date_modif]],
      "Ancien",
      "Modifié"),
   "Nouveau"))</f>
        <v>#VALUE!</v>
      </c>
      <c r="AD9472" s="1" t="str">
        <f>IFERROR(IF(Final_Sans_VGE[[#This Row],[ppn_z]]="","",IFERROR(
   IF(_xlfn.XLOOKUP(Final_Sans_VGE[[#This Row],[ppn_z]],tbl_Historique_Final[[#This Row],[ppn_z]],tbl_Historique_Final[[#This Row],[date_modif]])=Final_Sans_VGE[[#This Row],[date_modif]],
      "Ancien",
      "Modifié"),
   "Nouveau")),"")</f>
        <v/>
      </c>
    </row>
    <row r="9473" spans="24:30" x14ac:dyDescent="0.25">
      <c r="X9473" s="8" t="e">
        <f>IF(Final_Sans_VGE[[#This Row],[ppn_z]]="","",IFERROR(
   IF(_xlfn.XLOOKUP(Final_Sans_VGE[[#This Row],[ppn_z]],tbl_Historique_Final[ppn_z],tbl_Historique_Final[date_modif])=Final_Sans_VGE[[#This Row],[date_modif]],
      "Ancien",
      "Modifié"),
   "Nouveau"))</f>
        <v>#VALUE!</v>
      </c>
      <c r="AD9473" s="1" t="str">
        <f>IFERROR(IF(Final_Sans_VGE[[#This Row],[ppn_z]]="","",IFERROR(
   IF(_xlfn.XLOOKUP(Final_Sans_VGE[[#This Row],[ppn_z]],tbl_Historique_Final[[#This Row],[ppn_z]],tbl_Historique_Final[[#This Row],[date_modif]])=Final_Sans_VGE[[#This Row],[date_modif]],
      "Ancien",
      "Modifié"),
   "Nouveau")),"")</f>
        <v/>
      </c>
    </row>
    <row r="9474" spans="24:30" x14ac:dyDescent="0.25">
      <c r="X9474" s="8" t="e">
        <f>IF(Final_Sans_VGE[[#This Row],[ppn_z]]="","",IFERROR(
   IF(_xlfn.XLOOKUP(Final_Sans_VGE[[#This Row],[ppn_z]],tbl_Historique_Final[ppn_z],tbl_Historique_Final[date_modif])=Final_Sans_VGE[[#This Row],[date_modif]],
      "Ancien",
      "Modifié"),
   "Nouveau"))</f>
        <v>#VALUE!</v>
      </c>
      <c r="AD9474" s="1" t="str">
        <f>IFERROR(IF(Final_Sans_VGE[[#This Row],[ppn_z]]="","",IFERROR(
   IF(_xlfn.XLOOKUP(Final_Sans_VGE[[#This Row],[ppn_z]],tbl_Historique_Final[[#This Row],[ppn_z]],tbl_Historique_Final[[#This Row],[date_modif]])=Final_Sans_VGE[[#This Row],[date_modif]],
      "Ancien",
      "Modifié"),
   "Nouveau")),"")</f>
        <v/>
      </c>
    </row>
    <row r="9475" spans="24:30" x14ac:dyDescent="0.25">
      <c r="X9475" s="8" t="e">
        <f>IF(Final_Sans_VGE[[#This Row],[ppn_z]]="","",IFERROR(
   IF(_xlfn.XLOOKUP(Final_Sans_VGE[[#This Row],[ppn_z]],tbl_Historique_Final[ppn_z],tbl_Historique_Final[date_modif])=Final_Sans_VGE[[#This Row],[date_modif]],
      "Ancien",
      "Modifié"),
   "Nouveau"))</f>
        <v>#VALUE!</v>
      </c>
      <c r="AD9475" s="1" t="str">
        <f>IFERROR(IF(Final_Sans_VGE[[#This Row],[ppn_z]]="","",IFERROR(
   IF(_xlfn.XLOOKUP(Final_Sans_VGE[[#This Row],[ppn_z]],tbl_Historique_Final[[#This Row],[ppn_z]],tbl_Historique_Final[[#This Row],[date_modif]])=Final_Sans_VGE[[#This Row],[date_modif]],
      "Ancien",
      "Modifié"),
   "Nouveau")),"")</f>
        <v/>
      </c>
    </row>
    <row r="9476" spans="24:30" x14ac:dyDescent="0.25">
      <c r="X9476" s="8" t="e">
        <f>IF(Final_Sans_VGE[[#This Row],[ppn_z]]="","",IFERROR(
   IF(_xlfn.XLOOKUP(Final_Sans_VGE[[#This Row],[ppn_z]],tbl_Historique_Final[ppn_z],tbl_Historique_Final[date_modif])=Final_Sans_VGE[[#This Row],[date_modif]],
      "Ancien",
      "Modifié"),
   "Nouveau"))</f>
        <v>#VALUE!</v>
      </c>
      <c r="AD9476" s="1" t="str">
        <f>IFERROR(IF(Final_Sans_VGE[[#This Row],[ppn_z]]="","",IFERROR(
   IF(_xlfn.XLOOKUP(Final_Sans_VGE[[#This Row],[ppn_z]],tbl_Historique_Final[[#This Row],[ppn_z]],tbl_Historique_Final[[#This Row],[date_modif]])=Final_Sans_VGE[[#This Row],[date_modif]],
      "Ancien",
      "Modifié"),
   "Nouveau")),"")</f>
        <v/>
      </c>
    </row>
    <row r="9477" spans="24:30" x14ac:dyDescent="0.25">
      <c r="X9477" s="8" t="e">
        <f>IF(Final_Sans_VGE[[#This Row],[ppn_z]]="","",IFERROR(
   IF(_xlfn.XLOOKUP(Final_Sans_VGE[[#This Row],[ppn_z]],tbl_Historique_Final[ppn_z],tbl_Historique_Final[date_modif])=Final_Sans_VGE[[#This Row],[date_modif]],
      "Ancien",
      "Modifié"),
   "Nouveau"))</f>
        <v>#VALUE!</v>
      </c>
      <c r="AD9477" s="1" t="str">
        <f>IFERROR(IF(Final_Sans_VGE[[#This Row],[ppn_z]]="","",IFERROR(
   IF(_xlfn.XLOOKUP(Final_Sans_VGE[[#This Row],[ppn_z]],tbl_Historique_Final[[#This Row],[ppn_z]],tbl_Historique_Final[[#This Row],[date_modif]])=Final_Sans_VGE[[#This Row],[date_modif]],
      "Ancien",
      "Modifié"),
   "Nouveau")),"")</f>
        <v/>
      </c>
    </row>
    <row r="9478" spans="24:30" x14ac:dyDescent="0.25">
      <c r="X9478" s="8" t="e">
        <f>IF(Final_Sans_VGE[[#This Row],[ppn_z]]="","",IFERROR(
   IF(_xlfn.XLOOKUP(Final_Sans_VGE[[#This Row],[ppn_z]],tbl_Historique_Final[ppn_z],tbl_Historique_Final[date_modif])=Final_Sans_VGE[[#This Row],[date_modif]],
      "Ancien",
      "Modifié"),
   "Nouveau"))</f>
        <v>#VALUE!</v>
      </c>
      <c r="AD9478" s="1" t="str">
        <f>IFERROR(IF(Final_Sans_VGE[[#This Row],[ppn_z]]="","",IFERROR(
   IF(_xlfn.XLOOKUP(Final_Sans_VGE[[#This Row],[ppn_z]],tbl_Historique_Final[[#This Row],[ppn_z]],tbl_Historique_Final[[#This Row],[date_modif]])=Final_Sans_VGE[[#This Row],[date_modif]],
      "Ancien",
      "Modifié"),
   "Nouveau")),"")</f>
        <v/>
      </c>
    </row>
    <row r="9479" spans="24:30" x14ac:dyDescent="0.25">
      <c r="X9479" s="8" t="e">
        <f>IF(Final_Sans_VGE[[#This Row],[ppn_z]]="","",IFERROR(
   IF(_xlfn.XLOOKUP(Final_Sans_VGE[[#This Row],[ppn_z]],tbl_Historique_Final[ppn_z],tbl_Historique_Final[date_modif])=Final_Sans_VGE[[#This Row],[date_modif]],
      "Ancien",
      "Modifié"),
   "Nouveau"))</f>
        <v>#VALUE!</v>
      </c>
      <c r="AD9479" s="1" t="str">
        <f>IFERROR(IF(Final_Sans_VGE[[#This Row],[ppn_z]]="","",IFERROR(
   IF(_xlfn.XLOOKUP(Final_Sans_VGE[[#This Row],[ppn_z]],tbl_Historique_Final[[#This Row],[ppn_z]],tbl_Historique_Final[[#This Row],[date_modif]])=Final_Sans_VGE[[#This Row],[date_modif]],
      "Ancien",
      "Modifié"),
   "Nouveau")),"")</f>
        <v/>
      </c>
    </row>
    <row r="9480" spans="24:30" x14ac:dyDescent="0.25">
      <c r="X9480" s="8" t="e">
        <f>IF(Final_Sans_VGE[[#This Row],[ppn_z]]="","",IFERROR(
   IF(_xlfn.XLOOKUP(Final_Sans_VGE[[#This Row],[ppn_z]],tbl_Historique_Final[ppn_z],tbl_Historique_Final[date_modif])=Final_Sans_VGE[[#This Row],[date_modif]],
      "Ancien",
      "Modifié"),
   "Nouveau"))</f>
        <v>#VALUE!</v>
      </c>
      <c r="AD9480" s="1" t="str">
        <f>IFERROR(IF(Final_Sans_VGE[[#This Row],[ppn_z]]="","",IFERROR(
   IF(_xlfn.XLOOKUP(Final_Sans_VGE[[#This Row],[ppn_z]],tbl_Historique_Final[[#This Row],[ppn_z]],tbl_Historique_Final[[#This Row],[date_modif]])=Final_Sans_VGE[[#This Row],[date_modif]],
      "Ancien",
      "Modifié"),
   "Nouveau")),"")</f>
        <v/>
      </c>
    </row>
    <row r="9481" spans="24:30" x14ac:dyDescent="0.25">
      <c r="X9481" s="8" t="e">
        <f>IF(Final_Sans_VGE[[#This Row],[ppn_z]]="","",IFERROR(
   IF(_xlfn.XLOOKUP(Final_Sans_VGE[[#This Row],[ppn_z]],tbl_Historique_Final[ppn_z],tbl_Historique_Final[date_modif])=Final_Sans_VGE[[#This Row],[date_modif]],
      "Ancien",
      "Modifié"),
   "Nouveau"))</f>
        <v>#VALUE!</v>
      </c>
      <c r="AD9481" s="1" t="str">
        <f>IFERROR(IF(Final_Sans_VGE[[#This Row],[ppn_z]]="","",IFERROR(
   IF(_xlfn.XLOOKUP(Final_Sans_VGE[[#This Row],[ppn_z]],tbl_Historique_Final[[#This Row],[ppn_z]],tbl_Historique_Final[[#This Row],[date_modif]])=Final_Sans_VGE[[#This Row],[date_modif]],
      "Ancien",
      "Modifié"),
   "Nouveau")),"")</f>
        <v/>
      </c>
    </row>
    <row r="9482" spans="24:30" x14ac:dyDescent="0.25">
      <c r="X9482" s="8" t="e">
        <f>IF(Final_Sans_VGE[[#This Row],[ppn_z]]="","",IFERROR(
   IF(_xlfn.XLOOKUP(Final_Sans_VGE[[#This Row],[ppn_z]],tbl_Historique_Final[ppn_z],tbl_Historique_Final[date_modif])=Final_Sans_VGE[[#This Row],[date_modif]],
      "Ancien",
      "Modifié"),
   "Nouveau"))</f>
        <v>#VALUE!</v>
      </c>
      <c r="AD9482" s="1" t="str">
        <f>IFERROR(IF(Final_Sans_VGE[[#This Row],[ppn_z]]="","",IFERROR(
   IF(_xlfn.XLOOKUP(Final_Sans_VGE[[#This Row],[ppn_z]],tbl_Historique_Final[[#This Row],[ppn_z]],tbl_Historique_Final[[#This Row],[date_modif]])=Final_Sans_VGE[[#This Row],[date_modif]],
      "Ancien",
      "Modifié"),
   "Nouveau")),"")</f>
        <v/>
      </c>
    </row>
    <row r="9483" spans="24:30" x14ac:dyDescent="0.25">
      <c r="X9483" s="8" t="e">
        <f>IF(Final_Sans_VGE[[#This Row],[ppn_z]]="","",IFERROR(
   IF(_xlfn.XLOOKUP(Final_Sans_VGE[[#This Row],[ppn_z]],tbl_Historique_Final[ppn_z],tbl_Historique_Final[date_modif])=Final_Sans_VGE[[#This Row],[date_modif]],
      "Ancien",
      "Modifié"),
   "Nouveau"))</f>
        <v>#VALUE!</v>
      </c>
      <c r="AD9483" s="1" t="str">
        <f>IFERROR(IF(Final_Sans_VGE[[#This Row],[ppn_z]]="","",IFERROR(
   IF(_xlfn.XLOOKUP(Final_Sans_VGE[[#This Row],[ppn_z]],tbl_Historique_Final[[#This Row],[ppn_z]],tbl_Historique_Final[[#This Row],[date_modif]])=Final_Sans_VGE[[#This Row],[date_modif]],
      "Ancien",
      "Modifié"),
   "Nouveau")),"")</f>
        <v/>
      </c>
    </row>
    <row r="9484" spans="24:30" x14ac:dyDescent="0.25">
      <c r="X9484" s="8" t="e">
        <f>IF(Final_Sans_VGE[[#This Row],[ppn_z]]="","",IFERROR(
   IF(_xlfn.XLOOKUP(Final_Sans_VGE[[#This Row],[ppn_z]],tbl_Historique_Final[ppn_z],tbl_Historique_Final[date_modif])=Final_Sans_VGE[[#This Row],[date_modif]],
      "Ancien",
      "Modifié"),
   "Nouveau"))</f>
        <v>#VALUE!</v>
      </c>
      <c r="AD9484" s="1" t="str">
        <f>IFERROR(IF(Final_Sans_VGE[[#This Row],[ppn_z]]="","",IFERROR(
   IF(_xlfn.XLOOKUP(Final_Sans_VGE[[#This Row],[ppn_z]],tbl_Historique_Final[[#This Row],[ppn_z]],tbl_Historique_Final[[#This Row],[date_modif]])=Final_Sans_VGE[[#This Row],[date_modif]],
      "Ancien",
      "Modifié"),
   "Nouveau")),"")</f>
        <v/>
      </c>
    </row>
    <row r="9485" spans="24:30" x14ac:dyDescent="0.25">
      <c r="X9485" s="8" t="e">
        <f>IF(Final_Sans_VGE[[#This Row],[ppn_z]]="","",IFERROR(
   IF(_xlfn.XLOOKUP(Final_Sans_VGE[[#This Row],[ppn_z]],tbl_Historique_Final[ppn_z],tbl_Historique_Final[date_modif])=Final_Sans_VGE[[#This Row],[date_modif]],
      "Ancien",
      "Modifié"),
   "Nouveau"))</f>
        <v>#VALUE!</v>
      </c>
      <c r="AD9485" s="1" t="str">
        <f>IFERROR(IF(Final_Sans_VGE[[#This Row],[ppn_z]]="","",IFERROR(
   IF(_xlfn.XLOOKUP(Final_Sans_VGE[[#This Row],[ppn_z]],tbl_Historique_Final[[#This Row],[ppn_z]],tbl_Historique_Final[[#This Row],[date_modif]])=Final_Sans_VGE[[#This Row],[date_modif]],
      "Ancien",
      "Modifié"),
   "Nouveau")),"")</f>
        <v/>
      </c>
    </row>
    <row r="9486" spans="24:30" x14ac:dyDescent="0.25">
      <c r="X9486" s="8" t="e">
        <f>IF(Final_Sans_VGE[[#This Row],[ppn_z]]="","",IFERROR(
   IF(_xlfn.XLOOKUP(Final_Sans_VGE[[#This Row],[ppn_z]],tbl_Historique_Final[ppn_z],tbl_Historique_Final[date_modif])=Final_Sans_VGE[[#This Row],[date_modif]],
      "Ancien",
      "Modifié"),
   "Nouveau"))</f>
        <v>#VALUE!</v>
      </c>
      <c r="AD9486" s="1" t="str">
        <f>IFERROR(IF(Final_Sans_VGE[[#This Row],[ppn_z]]="","",IFERROR(
   IF(_xlfn.XLOOKUP(Final_Sans_VGE[[#This Row],[ppn_z]],tbl_Historique_Final[[#This Row],[ppn_z]],tbl_Historique_Final[[#This Row],[date_modif]])=Final_Sans_VGE[[#This Row],[date_modif]],
      "Ancien",
      "Modifié"),
   "Nouveau")),"")</f>
        <v/>
      </c>
    </row>
    <row r="9487" spans="24:30" x14ac:dyDescent="0.25">
      <c r="X9487" s="8" t="e">
        <f>IF(Final_Sans_VGE[[#This Row],[ppn_z]]="","",IFERROR(
   IF(_xlfn.XLOOKUP(Final_Sans_VGE[[#This Row],[ppn_z]],tbl_Historique_Final[ppn_z],tbl_Historique_Final[date_modif])=Final_Sans_VGE[[#This Row],[date_modif]],
      "Ancien",
      "Modifié"),
   "Nouveau"))</f>
        <v>#VALUE!</v>
      </c>
      <c r="AD9487" s="1" t="str">
        <f>IFERROR(IF(Final_Sans_VGE[[#This Row],[ppn_z]]="","",IFERROR(
   IF(_xlfn.XLOOKUP(Final_Sans_VGE[[#This Row],[ppn_z]],tbl_Historique_Final[[#This Row],[ppn_z]],tbl_Historique_Final[[#This Row],[date_modif]])=Final_Sans_VGE[[#This Row],[date_modif]],
      "Ancien",
      "Modifié"),
   "Nouveau")),"")</f>
        <v/>
      </c>
    </row>
    <row r="9488" spans="24:30" x14ac:dyDescent="0.25">
      <c r="X9488" s="8" t="e">
        <f>IF(Final_Sans_VGE[[#This Row],[ppn_z]]="","",IFERROR(
   IF(_xlfn.XLOOKUP(Final_Sans_VGE[[#This Row],[ppn_z]],tbl_Historique_Final[ppn_z],tbl_Historique_Final[date_modif])=Final_Sans_VGE[[#This Row],[date_modif]],
      "Ancien",
      "Modifié"),
   "Nouveau"))</f>
        <v>#VALUE!</v>
      </c>
      <c r="AD9488" s="1" t="str">
        <f>IFERROR(IF(Final_Sans_VGE[[#This Row],[ppn_z]]="","",IFERROR(
   IF(_xlfn.XLOOKUP(Final_Sans_VGE[[#This Row],[ppn_z]],tbl_Historique_Final[[#This Row],[ppn_z]],tbl_Historique_Final[[#This Row],[date_modif]])=Final_Sans_VGE[[#This Row],[date_modif]],
      "Ancien",
      "Modifié"),
   "Nouveau")),"")</f>
        <v/>
      </c>
    </row>
    <row r="9489" spans="24:30" x14ac:dyDescent="0.25">
      <c r="X9489" s="8" t="e">
        <f>IF(Final_Sans_VGE[[#This Row],[ppn_z]]="","",IFERROR(
   IF(_xlfn.XLOOKUP(Final_Sans_VGE[[#This Row],[ppn_z]],tbl_Historique_Final[ppn_z],tbl_Historique_Final[date_modif])=Final_Sans_VGE[[#This Row],[date_modif]],
      "Ancien",
      "Modifié"),
   "Nouveau"))</f>
        <v>#VALUE!</v>
      </c>
      <c r="AD9489" s="1" t="str">
        <f>IFERROR(IF(Final_Sans_VGE[[#This Row],[ppn_z]]="","",IFERROR(
   IF(_xlfn.XLOOKUP(Final_Sans_VGE[[#This Row],[ppn_z]],tbl_Historique_Final[[#This Row],[ppn_z]],tbl_Historique_Final[[#This Row],[date_modif]])=Final_Sans_VGE[[#This Row],[date_modif]],
      "Ancien",
      "Modifié"),
   "Nouveau")),"")</f>
        <v/>
      </c>
    </row>
    <row r="9490" spans="24:30" x14ac:dyDescent="0.25">
      <c r="X9490" s="8" t="e">
        <f>IF(Final_Sans_VGE[[#This Row],[ppn_z]]="","",IFERROR(
   IF(_xlfn.XLOOKUP(Final_Sans_VGE[[#This Row],[ppn_z]],tbl_Historique_Final[ppn_z],tbl_Historique_Final[date_modif])=Final_Sans_VGE[[#This Row],[date_modif]],
      "Ancien",
      "Modifié"),
   "Nouveau"))</f>
        <v>#VALUE!</v>
      </c>
      <c r="AD9490" s="1" t="str">
        <f>IFERROR(IF(Final_Sans_VGE[[#This Row],[ppn_z]]="","",IFERROR(
   IF(_xlfn.XLOOKUP(Final_Sans_VGE[[#This Row],[ppn_z]],tbl_Historique_Final[[#This Row],[ppn_z]],tbl_Historique_Final[[#This Row],[date_modif]])=Final_Sans_VGE[[#This Row],[date_modif]],
      "Ancien",
      "Modifié"),
   "Nouveau")),"")</f>
        <v/>
      </c>
    </row>
    <row r="9491" spans="24:30" x14ac:dyDescent="0.25">
      <c r="X9491" s="8" t="e">
        <f>IF(Final_Sans_VGE[[#This Row],[ppn_z]]="","",IFERROR(
   IF(_xlfn.XLOOKUP(Final_Sans_VGE[[#This Row],[ppn_z]],tbl_Historique_Final[ppn_z],tbl_Historique_Final[date_modif])=Final_Sans_VGE[[#This Row],[date_modif]],
      "Ancien",
      "Modifié"),
   "Nouveau"))</f>
        <v>#VALUE!</v>
      </c>
      <c r="AD9491" s="1" t="str">
        <f>IFERROR(IF(Final_Sans_VGE[[#This Row],[ppn_z]]="","",IFERROR(
   IF(_xlfn.XLOOKUP(Final_Sans_VGE[[#This Row],[ppn_z]],tbl_Historique_Final[[#This Row],[ppn_z]],tbl_Historique_Final[[#This Row],[date_modif]])=Final_Sans_VGE[[#This Row],[date_modif]],
      "Ancien",
      "Modifié"),
   "Nouveau")),"")</f>
        <v/>
      </c>
    </row>
    <row r="9492" spans="24:30" x14ac:dyDescent="0.25">
      <c r="X9492" s="8" t="e">
        <f>IF(Final_Sans_VGE[[#This Row],[ppn_z]]="","",IFERROR(
   IF(_xlfn.XLOOKUP(Final_Sans_VGE[[#This Row],[ppn_z]],tbl_Historique_Final[ppn_z],tbl_Historique_Final[date_modif])=Final_Sans_VGE[[#This Row],[date_modif]],
      "Ancien",
      "Modifié"),
   "Nouveau"))</f>
        <v>#VALUE!</v>
      </c>
      <c r="AD9492" s="1" t="str">
        <f>IFERROR(IF(Final_Sans_VGE[[#This Row],[ppn_z]]="","",IFERROR(
   IF(_xlfn.XLOOKUP(Final_Sans_VGE[[#This Row],[ppn_z]],tbl_Historique_Final[[#This Row],[ppn_z]],tbl_Historique_Final[[#This Row],[date_modif]])=Final_Sans_VGE[[#This Row],[date_modif]],
      "Ancien",
      "Modifié"),
   "Nouveau")),"")</f>
        <v/>
      </c>
    </row>
    <row r="9493" spans="24:30" x14ac:dyDescent="0.25">
      <c r="X9493" s="8" t="e">
        <f>IF(Final_Sans_VGE[[#This Row],[ppn_z]]="","",IFERROR(
   IF(_xlfn.XLOOKUP(Final_Sans_VGE[[#This Row],[ppn_z]],tbl_Historique_Final[ppn_z],tbl_Historique_Final[date_modif])=Final_Sans_VGE[[#This Row],[date_modif]],
      "Ancien",
      "Modifié"),
   "Nouveau"))</f>
        <v>#VALUE!</v>
      </c>
      <c r="AD9493" s="1" t="str">
        <f>IFERROR(IF(Final_Sans_VGE[[#This Row],[ppn_z]]="","",IFERROR(
   IF(_xlfn.XLOOKUP(Final_Sans_VGE[[#This Row],[ppn_z]],tbl_Historique_Final[[#This Row],[ppn_z]],tbl_Historique_Final[[#This Row],[date_modif]])=Final_Sans_VGE[[#This Row],[date_modif]],
      "Ancien",
      "Modifié"),
   "Nouveau")),"")</f>
        <v/>
      </c>
    </row>
    <row r="9494" spans="24:30" x14ac:dyDescent="0.25">
      <c r="X9494" s="8" t="e">
        <f>IF(Final_Sans_VGE[[#This Row],[ppn_z]]="","",IFERROR(
   IF(_xlfn.XLOOKUP(Final_Sans_VGE[[#This Row],[ppn_z]],tbl_Historique_Final[ppn_z],tbl_Historique_Final[date_modif])=Final_Sans_VGE[[#This Row],[date_modif]],
      "Ancien",
      "Modifié"),
   "Nouveau"))</f>
        <v>#VALUE!</v>
      </c>
      <c r="AD9494" s="1" t="str">
        <f>IFERROR(IF(Final_Sans_VGE[[#This Row],[ppn_z]]="","",IFERROR(
   IF(_xlfn.XLOOKUP(Final_Sans_VGE[[#This Row],[ppn_z]],tbl_Historique_Final[[#This Row],[ppn_z]],tbl_Historique_Final[[#This Row],[date_modif]])=Final_Sans_VGE[[#This Row],[date_modif]],
      "Ancien",
      "Modifié"),
   "Nouveau")),"")</f>
        <v/>
      </c>
    </row>
    <row r="9495" spans="24:30" x14ac:dyDescent="0.25">
      <c r="X9495" s="8" t="e">
        <f>IF(Final_Sans_VGE[[#This Row],[ppn_z]]="","",IFERROR(
   IF(_xlfn.XLOOKUP(Final_Sans_VGE[[#This Row],[ppn_z]],tbl_Historique_Final[ppn_z],tbl_Historique_Final[date_modif])=Final_Sans_VGE[[#This Row],[date_modif]],
      "Ancien",
      "Modifié"),
   "Nouveau"))</f>
        <v>#VALUE!</v>
      </c>
      <c r="AD9495" s="1" t="str">
        <f>IFERROR(IF(Final_Sans_VGE[[#This Row],[ppn_z]]="","",IFERROR(
   IF(_xlfn.XLOOKUP(Final_Sans_VGE[[#This Row],[ppn_z]],tbl_Historique_Final[[#This Row],[ppn_z]],tbl_Historique_Final[[#This Row],[date_modif]])=Final_Sans_VGE[[#This Row],[date_modif]],
      "Ancien",
      "Modifié"),
   "Nouveau")),"")</f>
        <v/>
      </c>
    </row>
    <row r="9496" spans="24:30" x14ac:dyDescent="0.25">
      <c r="X9496" s="8" t="e">
        <f>IF(Final_Sans_VGE[[#This Row],[ppn_z]]="","",IFERROR(
   IF(_xlfn.XLOOKUP(Final_Sans_VGE[[#This Row],[ppn_z]],tbl_Historique_Final[ppn_z],tbl_Historique_Final[date_modif])=Final_Sans_VGE[[#This Row],[date_modif]],
      "Ancien",
      "Modifié"),
   "Nouveau"))</f>
        <v>#VALUE!</v>
      </c>
      <c r="AD9496" s="1" t="str">
        <f>IFERROR(IF(Final_Sans_VGE[[#This Row],[ppn_z]]="","",IFERROR(
   IF(_xlfn.XLOOKUP(Final_Sans_VGE[[#This Row],[ppn_z]],tbl_Historique_Final[[#This Row],[ppn_z]],tbl_Historique_Final[[#This Row],[date_modif]])=Final_Sans_VGE[[#This Row],[date_modif]],
      "Ancien",
      "Modifié"),
   "Nouveau")),"")</f>
        <v/>
      </c>
    </row>
    <row r="9497" spans="24:30" x14ac:dyDescent="0.25">
      <c r="X9497" s="8" t="e">
        <f>IF(Final_Sans_VGE[[#This Row],[ppn_z]]="","",IFERROR(
   IF(_xlfn.XLOOKUP(Final_Sans_VGE[[#This Row],[ppn_z]],tbl_Historique_Final[ppn_z],tbl_Historique_Final[date_modif])=Final_Sans_VGE[[#This Row],[date_modif]],
      "Ancien",
      "Modifié"),
   "Nouveau"))</f>
        <v>#VALUE!</v>
      </c>
      <c r="AD9497" s="1" t="str">
        <f>IFERROR(IF(Final_Sans_VGE[[#This Row],[ppn_z]]="","",IFERROR(
   IF(_xlfn.XLOOKUP(Final_Sans_VGE[[#This Row],[ppn_z]],tbl_Historique_Final[[#This Row],[ppn_z]],tbl_Historique_Final[[#This Row],[date_modif]])=Final_Sans_VGE[[#This Row],[date_modif]],
      "Ancien",
      "Modifié"),
   "Nouveau")),"")</f>
        <v/>
      </c>
    </row>
    <row r="9498" spans="24:30" x14ac:dyDescent="0.25">
      <c r="X9498" s="8" t="e">
        <f>IF(Final_Sans_VGE[[#This Row],[ppn_z]]="","",IFERROR(
   IF(_xlfn.XLOOKUP(Final_Sans_VGE[[#This Row],[ppn_z]],tbl_Historique_Final[ppn_z],tbl_Historique_Final[date_modif])=Final_Sans_VGE[[#This Row],[date_modif]],
      "Ancien",
      "Modifié"),
   "Nouveau"))</f>
        <v>#VALUE!</v>
      </c>
      <c r="AD9498" s="1" t="str">
        <f>IFERROR(IF(Final_Sans_VGE[[#This Row],[ppn_z]]="","",IFERROR(
   IF(_xlfn.XLOOKUP(Final_Sans_VGE[[#This Row],[ppn_z]],tbl_Historique_Final[[#This Row],[ppn_z]],tbl_Historique_Final[[#This Row],[date_modif]])=Final_Sans_VGE[[#This Row],[date_modif]],
      "Ancien",
      "Modifié"),
   "Nouveau")),"")</f>
        <v/>
      </c>
    </row>
    <row r="9499" spans="24:30" x14ac:dyDescent="0.25">
      <c r="X9499" s="8" t="e">
        <f>IF(Final_Sans_VGE[[#This Row],[ppn_z]]="","",IFERROR(
   IF(_xlfn.XLOOKUP(Final_Sans_VGE[[#This Row],[ppn_z]],tbl_Historique_Final[ppn_z],tbl_Historique_Final[date_modif])=Final_Sans_VGE[[#This Row],[date_modif]],
      "Ancien",
      "Modifié"),
   "Nouveau"))</f>
        <v>#VALUE!</v>
      </c>
      <c r="AD9499" s="1" t="str">
        <f>IFERROR(IF(Final_Sans_VGE[[#This Row],[ppn_z]]="","",IFERROR(
   IF(_xlfn.XLOOKUP(Final_Sans_VGE[[#This Row],[ppn_z]],tbl_Historique_Final[[#This Row],[ppn_z]],tbl_Historique_Final[[#This Row],[date_modif]])=Final_Sans_VGE[[#This Row],[date_modif]],
      "Ancien",
      "Modifié"),
   "Nouveau")),"")</f>
        <v/>
      </c>
    </row>
    <row r="9500" spans="24:30" x14ac:dyDescent="0.25">
      <c r="X9500" s="8" t="e">
        <f>IF(Final_Sans_VGE[[#This Row],[ppn_z]]="","",IFERROR(
   IF(_xlfn.XLOOKUP(Final_Sans_VGE[[#This Row],[ppn_z]],tbl_Historique_Final[ppn_z],tbl_Historique_Final[date_modif])=Final_Sans_VGE[[#This Row],[date_modif]],
      "Ancien",
      "Modifié"),
   "Nouveau"))</f>
        <v>#VALUE!</v>
      </c>
      <c r="AD9500" s="1" t="str">
        <f>IFERROR(IF(Final_Sans_VGE[[#This Row],[ppn_z]]="","",IFERROR(
   IF(_xlfn.XLOOKUP(Final_Sans_VGE[[#This Row],[ppn_z]],tbl_Historique_Final[[#This Row],[ppn_z]],tbl_Historique_Final[[#This Row],[date_modif]])=Final_Sans_VGE[[#This Row],[date_modif]],
      "Ancien",
      "Modifié"),
   "Nouveau")),"")</f>
        <v/>
      </c>
    </row>
    <row r="9501" spans="24:30" x14ac:dyDescent="0.25">
      <c r="X9501" s="8" t="e">
        <f>IF(Final_Sans_VGE[[#This Row],[ppn_z]]="","",IFERROR(
   IF(_xlfn.XLOOKUP(Final_Sans_VGE[[#This Row],[ppn_z]],tbl_Historique_Final[ppn_z],tbl_Historique_Final[date_modif])=Final_Sans_VGE[[#This Row],[date_modif]],
      "Ancien",
      "Modifié"),
   "Nouveau"))</f>
        <v>#VALUE!</v>
      </c>
      <c r="AD9501" s="1" t="str">
        <f>IFERROR(IF(Final_Sans_VGE[[#This Row],[ppn_z]]="","",IFERROR(
   IF(_xlfn.XLOOKUP(Final_Sans_VGE[[#This Row],[ppn_z]],tbl_Historique_Final[[#This Row],[ppn_z]],tbl_Historique_Final[[#This Row],[date_modif]])=Final_Sans_VGE[[#This Row],[date_modif]],
      "Ancien",
      "Modifié"),
   "Nouveau")),"")</f>
        <v/>
      </c>
    </row>
    <row r="9502" spans="24:30" x14ac:dyDescent="0.25">
      <c r="X9502" s="8" t="e">
        <f>IF(Final_Sans_VGE[[#This Row],[ppn_z]]="","",IFERROR(
   IF(_xlfn.XLOOKUP(Final_Sans_VGE[[#This Row],[ppn_z]],tbl_Historique_Final[ppn_z],tbl_Historique_Final[date_modif])=Final_Sans_VGE[[#This Row],[date_modif]],
      "Ancien",
      "Modifié"),
   "Nouveau"))</f>
        <v>#VALUE!</v>
      </c>
      <c r="AD9502" s="1" t="str">
        <f>IFERROR(IF(Final_Sans_VGE[[#This Row],[ppn_z]]="","",IFERROR(
   IF(_xlfn.XLOOKUP(Final_Sans_VGE[[#This Row],[ppn_z]],tbl_Historique_Final[[#This Row],[ppn_z]],tbl_Historique_Final[[#This Row],[date_modif]])=Final_Sans_VGE[[#This Row],[date_modif]],
      "Ancien",
      "Modifié"),
   "Nouveau")),"")</f>
        <v/>
      </c>
    </row>
    <row r="9503" spans="24:30" x14ac:dyDescent="0.25">
      <c r="X9503" s="8" t="e">
        <f>IF(Final_Sans_VGE[[#This Row],[ppn_z]]="","",IFERROR(
   IF(_xlfn.XLOOKUP(Final_Sans_VGE[[#This Row],[ppn_z]],tbl_Historique_Final[ppn_z],tbl_Historique_Final[date_modif])=Final_Sans_VGE[[#This Row],[date_modif]],
      "Ancien",
      "Modifié"),
   "Nouveau"))</f>
        <v>#VALUE!</v>
      </c>
      <c r="AD9503" s="1" t="str">
        <f>IFERROR(IF(Final_Sans_VGE[[#This Row],[ppn_z]]="","",IFERROR(
   IF(_xlfn.XLOOKUP(Final_Sans_VGE[[#This Row],[ppn_z]],tbl_Historique_Final[[#This Row],[ppn_z]],tbl_Historique_Final[[#This Row],[date_modif]])=Final_Sans_VGE[[#This Row],[date_modif]],
      "Ancien",
      "Modifié"),
   "Nouveau")),"")</f>
        <v/>
      </c>
    </row>
    <row r="9504" spans="24:30" x14ac:dyDescent="0.25">
      <c r="X9504" s="8" t="e">
        <f>IF(Final_Sans_VGE[[#This Row],[ppn_z]]="","",IFERROR(
   IF(_xlfn.XLOOKUP(Final_Sans_VGE[[#This Row],[ppn_z]],tbl_Historique_Final[ppn_z],tbl_Historique_Final[date_modif])=Final_Sans_VGE[[#This Row],[date_modif]],
      "Ancien",
      "Modifié"),
   "Nouveau"))</f>
        <v>#VALUE!</v>
      </c>
      <c r="AD9504" s="1" t="str">
        <f>IFERROR(IF(Final_Sans_VGE[[#This Row],[ppn_z]]="","",IFERROR(
   IF(_xlfn.XLOOKUP(Final_Sans_VGE[[#This Row],[ppn_z]],tbl_Historique_Final[[#This Row],[ppn_z]],tbl_Historique_Final[[#This Row],[date_modif]])=Final_Sans_VGE[[#This Row],[date_modif]],
      "Ancien",
      "Modifié"),
   "Nouveau")),"")</f>
        <v/>
      </c>
    </row>
    <row r="9505" spans="24:30" x14ac:dyDescent="0.25">
      <c r="X9505" s="8" t="e">
        <f>IF(Final_Sans_VGE[[#This Row],[ppn_z]]="","",IFERROR(
   IF(_xlfn.XLOOKUP(Final_Sans_VGE[[#This Row],[ppn_z]],tbl_Historique_Final[ppn_z],tbl_Historique_Final[date_modif])=Final_Sans_VGE[[#This Row],[date_modif]],
      "Ancien",
      "Modifié"),
   "Nouveau"))</f>
        <v>#VALUE!</v>
      </c>
      <c r="AD9505" s="1" t="str">
        <f>IFERROR(IF(Final_Sans_VGE[[#This Row],[ppn_z]]="","",IFERROR(
   IF(_xlfn.XLOOKUP(Final_Sans_VGE[[#This Row],[ppn_z]],tbl_Historique_Final[[#This Row],[ppn_z]],tbl_Historique_Final[[#This Row],[date_modif]])=Final_Sans_VGE[[#This Row],[date_modif]],
      "Ancien",
      "Modifié"),
   "Nouveau")),"")</f>
        <v/>
      </c>
    </row>
    <row r="9506" spans="24:30" x14ac:dyDescent="0.25">
      <c r="X9506" s="8" t="e">
        <f>IF(Final_Sans_VGE[[#This Row],[ppn_z]]="","",IFERROR(
   IF(_xlfn.XLOOKUP(Final_Sans_VGE[[#This Row],[ppn_z]],tbl_Historique_Final[ppn_z],tbl_Historique_Final[date_modif])=Final_Sans_VGE[[#This Row],[date_modif]],
      "Ancien",
      "Modifié"),
   "Nouveau"))</f>
        <v>#VALUE!</v>
      </c>
      <c r="AD9506" s="1" t="str">
        <f>IFERROR(IF(Final_Sans_VGE[[#This Row],[ppn_z]]="","",IFERROR(
   IF(_xlfn.XLOOKUP(Final_Sans_VGE[[#This Row],[ppn_z]],tbl_Historique_Final[[#This Row],[ppn_z]],tbl_Historique_Final[[#This Row],[date_modif]])=Final_Sans_VGE[[#This Row],[date_modif]],
      "Ancien",
      "Modifié"),
   "Nouveau")),"")</f>
        <v/>
      </c>
    </row>
    <row r="9507" spans="24:30" x14ac:dyDescent="0.25">
      <c r="X9507" s="8" t="e">
        <f>IF(Final_Sans_VGE[[#This Row],[ppn_z]]="","",IFERROR(
   IF(_xlfn.XLOOKUP(Final_Sans_VGE[[#This Row],[ppn_z]],tbl_Historique_Final[ppn_z],tbl_Historique_Final[date_modif])=Final_Sans_VGE[[#This Row],[date_modif]],
      "Ancien",
      "Modifié"),
   "Nouveau"))</f>
        <v>#VALUE!</v>
      </c>
      <c r="AD9507" s="1" t="str">
        <f>IFERROR(IF(Final_Sans_VGE[[#This Row],[ppn_z]]="","",IFERROR(
   IF(_xlfn.XLOOKUP(Final_Sans_VGE[[#This Row],[ppn_z]],tbl_Historique_Final[[#This Row],[ppn_z]],tbl_Historique_Final[[#This Row],[date_modif]])=Final_Sans_VGE[[#This Row],[date_modif]],
      "Ancien",
      "Modifié"),
   "Nouveau")),"")</f>
        <v/>
      </c>
    </row>
    <row r="9508" spans="24:30" x14ac:dyDescent="0.25">
      <c r="X9508" s="8" t="e">
        <f>IF(Final_Sans_VGE[[#This Row],[ppn_z]]="","",IFERROR(
   IF(_xlfn.XLOOKUP(Final_Sans_VGE[[#This Row],[ppn_z]],tbl_Historique_Final[ppn_z],tbl_Historique_Final[date_modif])=Final_Sans_VGE[[#This Row],[date_modif]],
      "Ancien",
      "Modifié"),
   "Nouveau"))</f>
        <v>#VALUE!</v>
      </c>
      <c r="AD9508" s="1" t="str">
        <f>IFERROR(IF(Final_Sans_VGE[[#This Row],[ppn_z]]="","",IFERROR(
   IF(_xlfn.XLOOKUP(Final_Sans_VGE[[#This Row],[ppn_z]],tbl_Historique_Final[[#This Row],[ppn_z]],tbl_Historique_Final[[#This Row],[date_modif]])=Final_Sans_VGE[[#This Row],[date_modif]],
      "Ancien",
      "Modifié"),
   "Nouveau")),"")</f>
        <v/>
      </c>
    </row>
    <row r="9509" spans="24:30" x14ac:dyDescent="0.25">
      <c r="X9509" s="8" t="e">
        <f>IF(Final_Sans_VGE[[#This Row],[ppn_z]]="","",IFERROR(
   IF(_xlfn.XLOOKUP(Final_Sans_VGE[[#This Row],[ppn_z]],tbl_Historique_Final[ppn_z],tbl_Historique_Final[date_modif])=Final_Sans_VGE[[#This Row],[date_modif]],
      "Ancien",
      "Modifié"),
   "Nouveau"))</f>
        <v>#VALUE!</v>
      </c>
      <c r="AD9509" s="1" t="str">
        <f>IFERROR(IF(Final_Sans_VGE[[#This Row],[ppn_z]]="","",IFERROR(
   IF(_xlfn.XLOOKUP(Final_Sans_VGE[[#This Row],[ppn_z]],tbl_Historique_Final[[#This Row],[ppn_z]],tbl_Historique_Final[[#This Row],[date_modif]])=Final_Sans_VGE[[#This Row],[date_modif]],
      "Ancien",
      "Modifié"),
   "Nouveau")),"")</f>
        <v/>
      </c>
    </row>
    <row r="9510" spans="24:30" x14ac:dyDescent="0.25">
      <c r="X9510" s="8" t="e">
        <f>IF(Final_Sans_VGE[[#This Row],[ppn_z]]="","",IFERROR(
   IF(_xlfn.XLOOKUP(Final_Sans_VGE[[#This Row],[ppn_z]],tbl_Historique_Final[ppn_z],tbl_Historique_Final[date_modif])=Final_Sans_VGE[[#This Row],[date_modif]],
      "Ancien",
      "Modifié"),
   "Nouveau"))</f>
        <v>#VALUE!</v>
      </c>
      <c r="AD9510" s="1" t="str">
        <f>IFERROR(IF(Final_Sans_VGE[[#This Row],[ppn_z]]="","",IFERROR(
   IF(_xlfn.XLOOKUP(Final_Sans_VGE[[#This Row],[ppn_z]],tbl_Historique_Final[[#This Row],[ppn_z]],tbl_Historique_Final[[#This Row],[date_modif]])=Final_Sans_VGE[[#This Row],[date_modif]],
      "Ancien",
      "Modifié"),
   "Nouveau")),"")</f>
        <v/>
      </c>
    </row>
    <row r="9511" spans="24:30" x14ac:dyDescent="0.25">
      <c r="X9511" s="8" t="e">
        <f>IF(Final_Sans_VGE[[#This Row],[ppn_z]]="","",IFERROR(
   IF(_xlfn.XLOOKUP(Final_Sans_VGE[[#This Row],[ppn_z]],tbl_Historique_Final[ppn_z],tbl_Historique_Final[date_modif])=Final_Sans_VGE[[#This Row],[date_modif]],
      "Ancien",
      "Modifié"),
   "Nouveau"))</f>
        <v>#VALUE!</v>
      </c>
      <c r="AD9511" s="1" t="str">
        <f>IFERROR(IF(Final_Sans_VGE[[#This Row],[ppn_z]]="","",IFERROR(
   IF(_xlfn.XLOOKUP(Final_Sans_VGE[[#This Row],[ppn_z]],tbl_Historique_Final[[#This Row],[ppn_z]],tbl_Historique_Final[[#This Row],[date_modif]])=Final_Sans_VGE[[#This Row],[date_modif]],
      "Ancien",
      "Modifié"),
   "Nouveau")),"")</f>
        <v/>
      </c>
    </row>
    <row r="9512" spans="24:30" x14ac:dyDescent="0.25">
      <c r="X9512" s="8" t="e">
        <f>IF(Final_Sans_VGE[[#This Row],[ppn_z]]="","",IFERROR(
   IF(_xlfn.XLOOKUP(Final_Sans_VGE[[#This Row],[ppn_z]],tbl_Historique_Final[ppn_z],tbl_Historique_Final[date_modif])=Final_Sans_VGE[[#This Row],[date_modif]],
      "Ancien",
      "Modifié"),
   "Nouveau"))</f>
        <v>#VALUE!</v>
      </c>
      <c r="AD9512" s="1" t="str">
        <f>IFERROR(IF(Final_Sans_VGE[[#This Row],[ppn_z]]="","",IFERROR(
   IF(_xlfn.XLOOKUP(Final_Sans_VGE[[#This Row],[ppn_z]],tbl_Historique_Final[[#This Row],[ppn_z]],tbl_Historique_Final[[#This Row],[date_modif]])=Final_Sans_VGE[[#This Row],[date_modif]],
      "Ancien",
      "Modifié"),
   "Nouveau")),"")</f>
        <v/>
      </c>
    </row>
    <row r="9513" spans="24:30" x14ac:dyDescent="0.25">
      <c r="X9513" s="8" t="e">
        <f>IF(Final_Sans_VGE[[#This Row],[ppn_z]]="","",IFERROR(
   IF(_xlfn.XLOOKUP(Final_Sans_VGE[[#This Row],[ppn_z]],tbl_Historique_Final[ppn_z],tbl_Historique_Final[date_modif])=Final_Sans_VGE[[#This Row],[date_modif]],
      "Ancien",
      "Modifié"),
   "Nouveau"))</f>
        <v>#VALUE!</v>
      </c>
      <c r="AD9513" s="1" t="str">
        <f>IFERROR(IF(Final_Sans_VGE[[#This Row],[ppn_z]]="","",IFERROR(
   IF(_xlfn.XLOOKUP(Final_Sans_VGE[[#This Row],[ppn_z]],tbl_Historique_Final[[#This Row],[ppn_z]],tbl_Historique_Final[[#This Row],[date_modif]])=Final_Sans_VGE[[#This Row],[date_modif]],
      "Ancien",
      "Modifié"),
   "Nouveau")),"")</f>
        <v/>
      </c>
    </row>
    <row r="9514" spans="24:30" x14ac:dyDescent="0.25">
      <c r="X9514" s="8" t="e">
        <f>IF(Final_Sans_VGE[[#This Row],[ppn_z]]="","",IFERROR(
   IF(_xlfn.XLOOKUP(Final_Sans_VGE[[#This Row],[ppn_z]],tbl_Historique_Final[ppn_z],tbl_Historique_Final[date_modif])=Final_Sans_VGE[[#This Row],[date_modif]],
      "Ancien",
      "Modifié"),
   "Nouveau"))</f>
        <v>#VALUE!</v>
      </c>
      <c r="AD9514" s="1" t="str">
        <f>IFERROR(IF(Final_Sans_VGE[[#This Row],[ppn_z]]="","",IFERROR(
   IF(_xlfn.XLOOKUP(Final_Sans_VGE[[#This Row],[ppn_z]],tbl_Historique_Final[[#This Row],[ppn_z]],tbl_Historique_Final[[#This Row],[date_modif]])=Final_Sans_VGE[[#This Row],[date_modif]],
      "Ancien",
      "Modifié"),
   "Nouveau")),"")</f>
        <v/>
      </c>
    </row>
    <row r="9515" spans="24:30" x14ac:dyDescent="0.25">
      <c r="X9515" s="8" t="e">
        <f>IF(Final_Sans_VGE[[#This Row],[ppn_z]]="","",IFERROR(
   IF(_xlfn.XLOOKUP(Final_Sans_VGE[[#This Row],[ppn_z]],tbl_Historique_Final[ppn_z],tbl_Historique_Final[date_modif])=Final_Sans_VGE[[#This Row],[date_modif]],
      "Ancien",
      "Modifié"),
   "Nouveau"))</f>
        <v>#VALUE!</v>
      </c>
      <c r="AD9515" s="1" t="str">
        <f>IFERROR(IF(Final_Sans_VGE[[#This Row],[ppn_z]]="","",IFERROR(
   IF(_xlfn.XLOOKUP(Final_Sans_VGE[[#This Row],[ppn_z]],tbl_Historique_Final[[#This Row],[ppn_z]],tbl_Historique_Final[[#This Row],[date_modif]])=Final_Sans_VGE[[#This Row],[date_modif]],
      "Ancien",
      "Modifié"),
   "Nouveau")),"")</f>
        <v/>
      </c>
    </row>
    <row r="9516" spans="24:30" x14ac:dyDescent="0.25">
      <c r="X9516" s="8" t="e">
        <f>IF(Final_Sans_VGE[[#This Row],[ppn_z]]="","",IFERROR(
   IF(_xlfn.XLOOKUP(Final_Sans_VGE[[#This Row],[ppn_z]],tbl_Historique_Final[ppn_z],tbl_Historique_Final[date_modif])=Final_Sans_VGE[[#This Row],[date_modif]],
      "Ancien",
      "Modifié"),
   "Nouveau"))</f>
        <v>#VALUE!</v>
      </c>
      <c r="AD9516" s="1" t="str">
        <f>IFERROR(IF(Final_Sans_VGE[[#This Row],[ppn_z]]="","",IFERROR(
   IF(_xlfn.XLOOKUP(Final_Sans_VGE[[#This Row],[ppn_z]],tbl_Historique_Final[[#This Row],[ppn_z]],tbl_Historique_Final[[#This Row],[date_modif]])=Final_Sans_VGE[[#This Row],[date_modif]],
      "Ancien",
      "Modifié"),
   "Nouveau")),"")</f>
        <v/>
      </c>
    </row>
    <row r="9517" spans="24:30" x14ac:dyDescent="0.25">
      <c r="X9517" s="8" t="e">
        <f>IF(Final_Sans_VGE[[#This Row],[ppn_z]]="","",IFERROR(
   IF(_xlfn.XLOOKUP(Final_Sans_VGE[[#This Row],[ppn_z]],tbl_Historique_Final[ppn_z],tbl_Historique_Final[date_modif])=Final_Sans_VGE[[#This Row],[date_modif]],
      "Ancien",
      "Modifié"),
   "Nouveau"))</f>
        <v>#VALUE!</v>
      </c>
      <c r="AD9517" s="1" t="str">
        <f>IFERROR(IF(Final_Sans_VGE[[#This Row],[ppn_z]]="","",IFERROR(
   IF(_xlfn.XLOOKUP(Final_Sans_VGE[[#This Row],[ppn_z]],tbl_Historique_Final[[#This Row],[ppn_z]],tbl_Historique_Final[[#This Row],[date_modif]])=Final_Sans_VGE[[#This Row],[date_modif]],
      "Ancien",
      "Modifié"),
   "Nouveau")),"")</f>
        <v/>
      </c>
    </row>
    <row r="9518" spans="24:30" x14ac:dyDescent="0.25">
      <c r="X9518" s="8" t="e">
        <f>IF(Final_Sans_VGE[[#This Row],[ppn_z]]="","",IFERROR(
   IF(_xlfn.XLOOKUP(Final_Sans_VGE[[#This Row],[ppn_z]],tbl_Historique_Final[ppn_z],tbl_Historique_Final[date_modif])=Final_Sans_VGE[[#This Row],[date_modif]],
      "Ancien",
      "Modifié"),
   "Nouveau"))</f>
        <v>#VALUE!</v>
      </c>
      <c r="AD9518" s="1" t="str">
        <f>IFERROR(IF(Final_Sans_VGE[[#This Row],[ppn_z]]="","",IFERROR(
   IF(_xlfn.XLOOKUP(Final_Sans_VGE[[#This Row],[ppn_z]],tbl_Historique_Final[[#This Row],[ppn_z]],tbl_Historique_Final[[#This Row],[date_modif]])=Final_Sans_VGE[[#This Row],[date_modif]],
      "Ancien",
      "Modifié"),
   "Nouveau")),"")</f>
        <v/>
      </c>
    </row>
    <row r="9519" spans="24:30" x14ac:dyDescent="0.25">
      <c r="X9519" s="8" t="e">
        <f>IF(Final_Sans_VGE[[#This Row],[ppn_z]]="","",IFERROR(
   IF(_xlfn.XLOOKUP(Final_Sans_VGE[[#This Row],[ppn_z]],tbl_Historique_Final[ppn_z],tbl_Historique_Final[date_modif])=Final_Sans_VGE[[#This Row],[date_modif]],
      "Ancien",
      "Modifié"),
   "Nouveau"))</f>
        <v>#VALUE!</v>
      </c>
      <c r="AD9519" s="1" t="str">
        <f>IFERROR(IF(Final_Sans_VGE[[#This Row],[ppn_z]]="","",IFERROR(
   IF(_xlfn.XLOOKUP(Final_Sans_VGE[[#This Row],[ppn_z]],tbl_Historique_Final[[#This Row],[ppn_z]],tbl_Historique_Final[[#This Row],[date_modif]])=Final_Sans_VGE[[#This Row],[date_modif]],
      "Ancien",
      "Modifié"),
   "Nouveau")),"")</f>
        <v/>
      </c>
    </row>
    <row r="9520" spans="24:30" x14ac:dyDescent="0.25">
      <c r="X9520" s="8" t="e">
        <f>IF(Final_Sans_VGE[[#This Row],[ppn_z]]="","",IFERROR(
   IF(_xlfn.XLOOKUP(Final_Sans_VGE[[#This Row],[ppn_z]],tbl_Historique_Final[ppn_z],tbl_Historique_Final[date_modif])=Final_Sans_VGE[[#This Row],[date_modif]],
      "Ancien",
      "Modifié"),
   "Nouveau"))</f>
        <v>#VALUE!</v>
      </c>
      <c r="AD9520" s="1" t="str">
        <f>IFERROR(IF(Final_Sans_VGE[[#This Row],[ppn_z]]="","",IFERROR(
   IF(_xlfn.XLOOKUP(Final_Sans_VGE[[#This Row],[ppn_z]],tbl_Historique_Final[[#This Row],[ppn_z]],tbl_Historique_Final[[#This Row],[date_modif]])=Final_Sans_VGE[[#This Row],[date_modif]],
      "Ancien",
      "Modifié"),
   "Nouveau")),"")</f>
        <v/>
      </c>
    </row>
    <row r="9521" spans="24:30" x14ac:dyDescent="0.25">
      <c r="X9521" s="8" t="e">
        <f>IF(Final_Sans_VGE[[#This Row],[ppn_z]]="","",IFERROR(
   IF(_xlfn.XLOOKUP(Final_Sans_VGE[[#This Row],[ppn_z]],tbl_Historique_Final[ppn_z],tbl_Historique_Final[date_modif])=Final_Sans_VGE[[#This Row],[date_modif]],
      "Ancien",
      "Modifié"),
   "Nouveau"))</f>
        <v>#VALUE!</v>
      </c>
      <c r="AD9521" s="1" t="str">
        <f>IFERROR(IF(Final_Sans_VGE[[#This Row],[ppn_z]]="","",IFERROR(
   IF(_xlfn.XLOOKUP(Final_Sans_VGE[[#This Row],[ppn_z]],tbl_Historique_Final[[#This Row],[ppn_z]],tbl_Historique_Final[[#This Row],[date_modif]])=Final_Sans_VGE[[#This Row],[date_modif]],
      "Ancien",
      "Modifié"),
   "Nouveau")),"")</f>
        <v/>
      </c>
    </row>
    <row r="9522" spans="24:30" x14ac:dyDescent="0.25">
      <c r="X9522" s="8" t="e">
        <f>IF(Final_Sans_VGE[[#This Row],[ppn_z]]="","",IFERROR(
   IF(_xlfn.XLOOKUP(Final_Sans_VGE[[#This Row],[ppn_z]],tbl_Historique_Final[ppn_z],tbl_Historique_Final[date_modif])=Final_Sans_VGE[[#This Row],[date_modif]],
      "Ancien",
      "Modifié"),
   "Nouveau"))</f>
        <v>#VALUE!</v>
      </c>
      <c r="AD9522" s="1" t="str">
        <f>IFERROR(IF(Final_Sans_VGE[[#This Row],[ppn_z]]="","",IFERROR(
   IF(_xlfn.XLOOKUP(Final_Sans_VGE[[#This Row],[ppn_z]],tbl_Historique_Final[[#This Row],[ppn_z]],tbl_Historique_Final[[#This Row],[date_modif]])=Final_Sans_VGE[[#This Row],[date_modif]],
      "Ancien",
      "Modifié"),
   "Nouveau")),"")</f>
        <v/>
      </c>
    </row>
    <row r="9523" spans="24:30" x14ac:dyDescent="0.25">
      <c r="X9523" s="8" t="e">
        <f>IF(Final_Sans_VGE[[#This Row],[ppn_z]]="","",IFERROR(
   IF(_xlfn.XLOOKUP(Final_Sans_VGE[[#This Row],[ppn_z]],tbl_Historique_Final[ppn_z],tbl_Historique_Final[date_modif])=Final_Sans_VGE[[#This Row],[date_modif]],
      "Ancien",
      "Modifié"),
   "Nouveau"))</f>
        <v>#VALUE!</v>
      </c>
      <c r="AD9523" s="1" t="str">
        <f>IFERROR(IF(Final_Sans_VGE[[#This Row],[ppn_z]]="","",IFERROR(
   IF(_xlfn.XLOOKUP(Final_Sans_VGE[[#This Row],[ppn_z]],tbl_Historique_Final[[#This Row],[ppn_z]],tbl_Historique_Final[[#This Row],[date_modif]])=Final_Sans_VGE[[#This Row],[date_modif]],
      "Ancien",
      "Modifié"),
   "Nouveau")),"")</f>
        <v/>
      </c>
    </row>
    <row r="9524" spans="24:30" x14ac:dyDescent="0.25">
      <c r="X9524" s="8" t="e">
        <f>IF(Final_Sans_VGE[[#This Row],[ppn_z]]="","",IFERROR(
   IF(_xlfn.XLOOKUP(Final_Sans_VGE[[#This Row],[ppn_z]],tbl_Historique_Final[ppn_z],tbl_Historique_Final[date_modif])=Final_Sans_VGE[[#This Row],[date_modif]],
      "Ancien",
      "Modifié"),
   "Nouveau"))</f>
        <v>#VALUE!</v>
      </c>
      <c r="AD9524" s="1" t="str">
        <f>IFERROR(IF(Final_Sans_VGE[[#This Row],[ppn_z]]="","",IFERROR(
   IF(_xlfn.XLOOKUP(Final_Sans_VGE[[#This Row],[ppn_z]],tbl_Historique_Final[[#This Row],[ppn_z]],tbl_Historique_Final[[#This Row],[date_modif]])=Final_Sans_VGE[[#This Row],[date_modif]],
      "Ancien",
      "Modifié"),
   "Nouveau")),"")</f>
        <v/>
      </c>
    </row>
    <row r="9525" spans="24:30" x14ac:dyDescent="0.25">
      <c r="X9525" s="8" t="e">
        <f>IF(Final_Sans_VGE[[#This Row],[ppn_z]]="","",IFERROR(
   IF(_xlfn.XLOOKUP(Final_Sans_VGE[[#This Row],[ppn_z]],tbl_Historique_Final[ppn_z],tbl_Historique_Final[date_modif])=Final_Sans_VGE[[#This Row],[date_modif]],
      "Ancien",
      "Modifié"),
   "Nouveau"))</f>
        <v>#VALUE!</v>
      </c>
      <c r="AD9525" s="1" t="str">
        <f>IFERROR(IF(Final_Sans_VGE[[#This Row],[ppn_z]]="","",IFERROR(
   IF(_xlfn.XLOOKUP(Final_Sans_VGE[[#This Row],[ppn_z]],tbl_Historique_Final[[#This Row],[ppn_z]],tbl_Historique_Final[[#This Row],[date_modif]])=Final_Sans_VGE[[#This Row],[date_modif]],
      "Ancien",
      "Modifié"),
   "Nouveau")),"")</f>
        <v/>
      </c>
    </row>
    <row r="9526" spans="24:30" x14ac:dyDescent="0.25">
      <c r="X9526" s="8" t="e">
        <f>IF(Final_Sans_VGE[[#This Row],[ppn_z]]="","",IFERROR(
   IF(_xlfn.XLOOKUP(Final_Sans_VGE[[#This Row],[ppn_z]],tbl_Historique_Final[ppn_z],tbl_Historique_Final[date_modif])=Final_Sans_VGE[[#This Row],[date_modif]],
      "Ancien",
      "Modifié"),
   "Nouveau"))</f>
        <v>#VALUE!</v>
      </c>
      <c r="AD9526" s="1" t="str">
        <f>IFERROR(IF(Final_Sans_VGE[[#This Row],[ppn_z]]="","",IFERROR(
   IF(_xlfn.XLOOKUP(Final_Sans_VGE[[#This Row],[ppn_z]],tbl_Historique_Final[[#This Row],[ppn_z]],tbl_Historique_Final[[#This Row],[date_modif]])=Final_Sans_VGE[[#This Row],[date_modif]],
      "Ancien",
      "Modifié"),
   "Nouveau")),"")</f>
        <v/>
      </c>
    </row>
    <row r="9527" spans="24:30" x14ac:dyDescent="0.25">
      <c r="X9527" s="8" t="e">
        <f>IF(Final_Sans_VGE[[#This Row],[ppn_z]]="","",IFERROR(
   IF(_xlfn.XLOOKUP(Final_Sans_VGE[[#This Row],[ppn_z]],tbl_Historique_Final[ppn_z],tbl_Historique_Final[date_modif])=Final_Sans_VGE[[#This Row],[date_modif]],
      "Ancien",
      "Modifié"),
   "Nouveau"))</f>
        <v>#VALUE!</v>
      </c>
      <c r="AD9527" s="1" t="str">
        <f>IFERROR(IF(Final_Sans_VGE[[#This Row],[ppn_z]]="","",IFERROR(
   IF(_xlfn.XLOOKUP(Final_Sans_VGE[[#This Row],[ppn_z]],tbl_Historique_Final[[#This Row],[ppn_z]],tbl_Historique_Final[[#This Row],[date_modif]])=Final_Sans_VGE[[#This Row],[date_modif]],
      "Ancien",
      "Modifié"),
   "Nouveau")),"")</f>
        <v/>
      </c>
    </row>
    <row r="9528" spans="24:30" x14ac:dyDescent="0.25">
      <c r="X9528" s="8" t="e">
        <f>IF(Final_Sans_VGE[[#This Row],[ppn_z]]="","",IFERROR(
   IF(_xlfn.XLOOKUP(Final_Sans_VGE[[#This Row],[ppn_z]],tbl_Historique_Final[ppn_z],tbl_Historique_Final[date_modif])=Final_Sans_VGE[[#This Row],[date_modif]],
      "Ancien",
      "Modifié"),
   "Nouveau"))</f>
        <v>#VALUE!</v>
      </c>
      <c r="AD9528" s="1" t="str">
        <f>IFERROR(IF(Final_Sans_VGE[[#This Row],[ppn_z]]="","",IFERROR(
   IF(_xlfn.XLOOKUP(Final_Sans_VGE[[#This Row],[ppn_z]],tbl_Historique_Final[[#This Row],[ppn_z]],tbl_Historique_Final[[#This Row],[date_modif]])=Final_Sans_VGE[[#This Row],[date_modif]],
      "Ancien",
      "Modifié"),
   "Nouveau")),"")</f>
        <v/>
      </c>
    </row>
    <row r="9529" spans="24:30" x14ac:dyDescent="0.25">
      <c r="X9529" s="8" t="e">
        <f>IF(Final_Sans_VGE[[#This Row],[ppn_z]]="","",IFERROR(
   IF(_xlfn.XLOOKUP(Final_Sans_VGE[[#This Row],[ppn_z]],tbl_Historique_Final[ppn_z],tbl_Historique_Final[date_modif])=Final_Sans_VGE[[#This Row],[date_modif]],
      "Ancien",
      "Modifié"),
   "Nouveau"))</f>
        <v>#VALUE!</v>
      </c>
      <c r="AD9529" s="1" t="str">
        <f>IFERROR(IF(Final_Sans_VGE[[#This Row],[ppn_z]]="","",IFERROR(
   IF(_xlfn.XLOOKUP(Final_Sans_VGE[[#This Row],[ppn_z]],tbl_Historique_Final[[#This Row],[ppn_z]],tbl_Historique_Final[[#This Row],[date_modif]])=Final_Sans_VGE[[#This Row],[date_modif]],
      "Ancien",
      "Modifié"),
   "Nouveau")),"")</f>
        <v/>
      </c>
    </row>
    <row r="9530" spans="24:30" x14ac:dyDescent="0.25">
      <c r="X9530" s="8" t="e">
        <f>IF(Final_Sans_VGE[[#This Row],[ppn_z]]="","",IFERROR(
   IF(_xlfn.XLOOKUP(Final_Sans_VGE[[#This Row],[ppn_z]],tbl_Historique_Final[ppn_z],tbl_Historique_Final[date_modif])=Final_Sans_VGE[[#This Row],[date_modif]],
      "Ancien",
      "Modifié"),
   "Nouveau"))</f>
        <v>#VALUE!</v>
      </c>
      <c r="AD9530" s="1" t="str">
        <f>IFERROR(IF(Final_Sans_VGE[[#This Row],[ppn_z]]="","",IFERROR(
   IF(_xlfn.XLOOKUP(Final_Sans_VGE[[#This Row],[ppn_z]],tbl_Historique_Final[[#This Row],[ppn_z]],tbl_Historique_Final[[#This Row],[date_modif]])=Final_Sans_VGE[[#This Row],[date_modif]],
      "Ancien",
      "Modifié"),
   "Nouveau")),"")</f>
        <v/>
      </c>
    </row>
    <row r="9531" spans="24:30" x14ac:dyDescent="0.25">
      <c r="X9531" s="8" t="e">
        <f>IF(Final_Sans_VGE[[#This Row],[ppn_z]]="","",IFERROR(
   IF(_xlfn.XLOOKUP(Final_Sans_VGE[[#This Row],[ppn_z]],tbl_Historique_Final[ppn_z],tbl_Historique_Final[date_modif])=Final_Sans_VGE[[#This Row],[date_modif]],
      "Ancien",
      "Modifié"),
   "Nouveau"))</f>
        <v>#VALUE!</v>
      </c>
      <c r="AD9531" s="1" t="str">
        <f>IFERROR(IF(Final_Sans_VGE[[#This Row],[ppn_z]]="","",IFERROR(
   IF(_xlfn.XLOOKUP(Final_Sans_VGE[[#This Row],[ppn_z]],tbl_Historique_Final[[#This Row],[ppn_z]],tbl_Historique_Final[[#This Row],[date_modif]])=Final_Sans_VGE[[#This Row],[date_modif]],
      "Ancien",
      "Modifié"),
   "Nouveau")),"")</f>
        <v/>
      </c>
    </row>
    <row r="9532" spans="24:30" x14ac:dyDescent="0.25">
      <c r="X9532" s="8" t="e">
        <f>IF(Final_Sans_VGE[[#This Row],[ppn_z]]="","",IFERROR(
   IF(_xlfn.XLOOKUP(Final_Sans_VGE[[#This Row],[ppn_z]],tbl_Historique_Final[ppn_z],tbl_Historique_Final[date_modif])=Final_Sans_VGE[[#This Row],[date_modif]],
      "Ancien",
      "Modifié"),
   "Nouveau"))</f>
        <v>#VALUE!</v>
      </c>
      <c r="AD9532" s="1" t="str">
        <f>IFERROR(IF(Final_Sans_VGE[[#This Row],[ppn_z]]="","",IFERROR(
   IF(_xlfn.XLOOKUP(Final_Sans_VGE[[#This Row],[ppn_z]],tbl_Historique_Final[[#This Row],[ppn_z]],tbl_Historique_Final[[#This Row],[date_modif]])=Final_Sans_VGE[[#This Row],[date_modif]],
      "Ancien",
      "Modifié"),
   "Nouveau")),"")</f>
        <v/>
      </c>
    </row>
    <row r="9533" spans="24:30" x14ac:dyDescent="0.25">
      <c r="X9533" s="8" t="e">
        <f>IF(Final_Sans_VGE[[#This Row],[ppn_z]]="","",IFERROR(
   IF(_xlfn.XLOOKUP(Final_Sans_VGE[[#This Row],[ppn_z]],tbl_Historique_Final[ppn_z],tbl_Historique_Final[date_modif])=Final_Sans_VGE[[#This Row],[date_modif]],
      "Ancien",
      "Modifié"),
   "Nouveau"))</f>
        <v>#VALUE!</v>
      </c>
      <c r="AD9533" s="1" t="str">
        <f>IFERROR(IF(Final_Sans_VGE[[#This Row],[ppn_z]]="","",IFERROR(
   IF(_xlfn.XLOOKUP(Final_Sans_VGE[[#This Row],[ppn_z]],tbl_Historique_Final[[#This Row],[ppn_z]],tbl_Historique_Final[[#This Row],[date_modif]])=Final_Sans_VGE[[#This Row],[date_modif]],
      "Ancien",
      "Modifié"),
   "Nouveau")),"")</f>
        <v/>
      </c>
    </row>
    <row r="9534" spans="24:30" x14ac:dyDescent="0.25">
      <c r="X9534" s="8" t="e">
        <f>IF(Final_Sans_VGE[[#This Row],[ppn_z]]="","",IFERROR(
   IF(_xlfn.XLOOKUP(Final_Sans_VGE[[#This Row],[ppn_z]],tbl_Historique_Final[ppn_z],tbl_Historique_Final[date_modif])=Final_Sans_VGE[[#This Row],[date_modif]],
      "Ancien",
      "Modifié"),
   "Nouveau"))</f>
        <v>#VALUE!</v>
      </c>
      <c r="AD9534" s="1" t="str">
        <f>IFERROR(IF(Final_Sans_VGE[[#This Row],[ppn_z]]="","",IFERROR(
   IF(_xlfn.XLOOKUP(Final_Sans_VGE[[#This Row],[ppn_z]],tbl_Historique_Final[[#This Row],[ppn_z]],tbl_Historique_Final[[#This Row],[date_modif]])=Final_Sans_VGE[[#This Row],[date_modif]],
      "Ancien",
      "Modifié"),
   "Nouveau")),"")</f>
        <v/>
      </c>
    </row>
    <row r="9535" spans="24:30" x14ac:dyDescent="0.25">
      <c r="X9535" s="8" t="e">
        <f>IF(Final_Sans_VGE[[#This Row],[ppn_z]]="","",IFERROR(
   IF(_xlfn.XLOOKUP(Final_Sans_VGE[[#This Row],[ppn_z]],tbl_Historique_Final[ppn_z],tbl_Historique_Final[date_modif])=Final_Sans_VGE[[#This Row],[date_modif]],
      "Ancien",
      "Modifié"),
   "Nouveau"))</f>
        <v>#VALUE!</v>
      </c>
      <c r="AD9535" s="1" t="str">
        <f>IFERROR(IF(Final_Sans_VGE[[#This Row],[ppn_z]]="","",IFERROR(
   IF(_xlfn.XLOOKUP(Final_Sans_VGE[[#This Row],[ppn_z]],tbl_Historique_Final[[#This Row],[ppn_z]],tbl_Historique_Final[[#This Row],[date_modif]])=Final_Sans_VGE[[#This Row],[date_modif]],
      "Ancien",
      "Modifié"),
   "Nouveau")),"")</f>
        <v/>
      </c>
    </row>
    <row r="9536" spans="24:30" x14ac:dyDescent="0.25">
      <c r="X9536" s="8" t="e">
        <f>IF(Final_Sans_VGE[[#This Row],[ppn_z]]="","",IFERROR(
   IF(_xlfn.XLOOKUP(Final_Sans_VGE[[#This Row],[ppn_z]],tbl_Historique_Final[ppn_z],tbl_Historique_Final[date_modif])=Final_Sans_VGE[[#This Row],[date_modif]],
      "Ancien",
      "Modifié"),
   "Nouveau"))</f>
        <v>#VALUE!</v>
      </c>
      <c r="AD9536" s="1" t="str">
        <f>IFERROR(IF(Final_Sans_VGE[[#This Row],[ppn_z]]="","",IFERROR(
   IF(_xlfn.XLOOKUP(Final_Sans_VGE[[#This Row],[ppn_z]],tbl_Historique_Final[[#This Row],[ppn_z]],tbl_Historique_Final[[#This Row],[date_modif]])=Final_Sans_VGE[[#This Row],[date_modif]],
      "Ancien",
      "Modifié"),
   "Nouveau")),"")</f>
        <v/>
      </c>
    </row>
    <row r="9537" spans="24:30" x14ac:dyDescent="0.25">
      <c r="X9537" s="8" t="e">
        <f>IF(Final_Sans_VGE[[#This Row],[ppn_z]]="","",IFERROR(
   IF(_xlfn.XLOOKUP(Final_Sans_VGE[[#This Row],[ppn_z]],tbl_Historique_Final[ppn_z],tbl_Historique_Final[date_modif])=Final_Sans_VGE[[#This Row],[date_modif]],
      "Ancien",
      "Modifié"),
   "Nouveau"))</f>
        <v>#VALUE!</v>
      </c>
      <c r="AD9537" s="1" t="str">
        <f>IFERROR(IF(Final_Sans_VGE[[#This Row],[ppn_z]]="","",IFERROR(
   IF(_xlfn.XLOOKUP(Final_Sans_VGE[[#This Row],[ppn_z]],tbl_Historique_Final[[#This Row],[ppn_z]],tbl_Historique_Final[[#This Row],[date_modif]])=Final_Sans_VGE[[#This Row],[date_modif]],
      "Ancien",
      "Modifié"),
   "Nouveau")),"")</f>
        <v/>
      </c>
    </row>
    <row r="9538" spans="24:30" x14ac:dyDescent="0.25">
      <c r="X9538" s="8" t="e">
        <f>IF(Final_Sans_VGE[[#This Row],[ppn_z]]="","",IFERROR(
   IF(_xlfn.XLOOKUP(Final_Sans_VGE[[#This Row],[ppn_z]],tbl_Historique_Final[ppn_z],tbl_Historique_Final[date_modif])=Final_Sans_VGE[[#This Row],[date_modif]],
      "Ancien",
      "Modifié"),
   "Nouveau"))</f>
        <v>#VALUE!</v>
      </c>
      <c r="AD9538" s="1" t="str">
        <f>IFERROR(IF(Final_Sans_VGE[[#This Row],[ppn_z]]="","",IFERROR(
   IF(_xlfn.XLOOKUP(Final_Sans_VGE[[#This Row],[ppn_z]],tbl_Historique_Final[[#This Row],[ppn_z]],tbl_Historique_Final[[#This Row],[date_modif]])=Final_Sans_VGE[[#This Row],[date_modif]],
      "Ancien",
      "Modifié"),
   "Nouveau")),"")</f>
        <v/>
      </c>
    </row>
    <row r="9539" spans="24:30" x14ac:dyDescent="0.25">
      <c r="X9539" s="8" t="e">
        <f>IF(Final_Sans_VGE[[#This Row],[ppn_z]]="","",IFERROR(
   IF(_xlfn.XLOOKUP(Final_Sans_VGE[[#This Row],[ppn_z]],tbl_Historique_Final[ppn_z],tbl_Historique_Final[date_modif])=Final_Sans_VGE[[#This Row],[date_modif]],
      "Ancien",
      "Modifié"),
   "Nouveau"))</f>
        <v>#VALUE!</v>
      </c>
      <c r="AD9539" s="1" t="str">
        <f>IFERROR(IF(Final_Sans_VGE[[#This Row],[ppn_z]]="","",IFERROR(
   IF(_xlfn.XLOOKUP(Final_Sans_VGE[[#This Row],[ppn_z]],tbl_Historique_Final[[#This Row],[ppn_z]],tbl_Historique_Final[[#This Row],[date_modif]])=Final_Sans_VGE[[#This Row],[date_modif]],
      "Ancien",
      "Modifié"),
   "Nouveau")),"")</f>
        <v/>
      </c>
    </row>
    <row r="9540" spans="24:30" x14ac:dyDescent="0.25">
      <c r="X9540" s="8" t="e">
        <f>IF(Final_Sans_VGE[[#This Row],[ppn_z]]="","",IFERROR(
   IF(_xlfn.XLOOKUP(Final_Sans_VGE[[#This Row],[ppn_z]],tbl_Historique_Final[ppn_z],tbl_Historique_Final[date_modif])=Final_Sans_VGE[[#This Row],[date_modif]],
      "Ancien",
      "Modifié"),
   "Nouveau"))</f>
        <v>#VALUE!</v>
      </c>
      <c r="AD9540" s="1" t="str">
        <f>IFERROR(IF(Final_Sans_VGE[[#This Row],[ppn_z]]="","",IFERROR(
   IF(_xlfn.XLOOKUP(Final_Sans_VGE[[#This Row],[ppn_z]],tbl_Historique_Final[[#This Row],[ppn_z]],tbl_Historique_Final[[#This Row],[date_modif]])=Final_Sans_VGE[[#This Row],[date_modif]],
      "Ancien",
      "Modifié"),
   "Nouveau")),"")</f>
        <v/>
      </c>
    </row>
    <row r="9541" spans="24:30" x14ac:dyDescent="0.25">
      <c r="X9541" s="8" t="e">
        <f>IF(Final_Sans_VGE[[#This Row],[ppn_z]]="","",IFERROR(
   IF(_xlfn.XLOOKUP(Final_Sans_VGE[[#This Row],[ppn_z]],tbl_Historique_Final[ppn_z],tbl_Historique_Final[date_modif])=Final_Sans_VGE[[#This Row],[date_modif]],
      "Ancien",
      "Modifié"),
   "Nouveau"))</f>
        <v>#VALUE!</v>
      </c>
      <c r="AD9541" s="1" t="str">
        <f>IFERROR(IF(Final_Sans_VGE[[#This Row],[ppn_z]]="","",IFERROR(
   IF(_xlfn.XLOOKUP(Final_Sans_VGE[[#This Row],[ppn_z]],tbl_Historique_Final[[#This Row],[ppn_z]],tbl_Historique_Final[[#This Row],[date_modif]])=Final_Sans_VGE[[#This Row],[date_modif]],
      "Ancien",
      "Modifié"),
   "Nouveau")),"")</f>
        <v/>
      </c>
    </row>
    <row r="9542" spans="24:30" x14ac:dyDescent="0.25">
      <c r="X9542" s="8" t="e">
        <f>IF(Final_Sans_VGE[[#This Row],[ppn_z]]="","",IFERROR(
   IF(_xlfn.XLOOKUP(Final_Sans_VGE[[#This Row],[ppn_z]],tbl_Historique_Final[ppn_z],tbl_Historique_Final[date_modif])=Final_Sans_VGE[[#This Row],[date_modif]],
      "Ancien",
      "Modifié"),
   "Nouveau"))</f>
        <v>#VALUE!</v>
      </c>
      <c r="AD9542" s="1" t="str">
        <f>IFERROR(IF(Final_Sans_VGE[[#This Row],[ppn_z]]="","",IFERROR(
   IF(_xlfn.XLOOKUP(Final_Sans_VGE[[#This Row],[ppn_z]],tbl_Historique_Final[[#This Row],[ppn_z]],tbl_Historique_Final[[#This Row],[date_modif]])=Final_Sans_VGE[[#This Row],[date_modif]],
      "Ancien",
      "Modifié"),
   "Nouveau")),"")</f>
        <v/>
      </c>
    </row>
    <row r="9543" spans="24:30" x14ac:dyDescent="0.25">
      <c r="X9543" s="8" t="e">
        <f>IF(Final_Sans_VGE[[#This Row],[ppn_z]]="","",IFERROR(
   IF(_xlfn.XLOOKUP(Final_Sans_VGE[[#This Row],[ppn_z]],tbl_Historique_Final[ppn_z],tbl_Historique_Final[date_modif])=Final_Sans_VGE[[#This Row],[date_modif]],
      "Ancien",
      "Modifié"),
   "Nouveau"))</f>
        <v>#VALUE!</v>
      </c>
      <c r="AD9543" s="1" t="str">
        <f>IFERROR(IF(Final_Sans_VGE[[#This Row],[ppn_z]]="","",IFERROR(
   IF(_xlfn.XLOOKUP(Final_Sans_VGE[[#This Row],[ppn_z]],tbl_Historique_Final[[#This Row],[ppn_z]],tbl_Historique_Final[[#This Row],[date_modif]])=Final_Sans_VGE[[#This Row],[date_modif]],
      "Ancien",
      "Modifié"),
   "Nouveau")),"")</f>
        <v/>
      </c>
    </row>
    <row r="9544" spans="24:30" x14ac:dyDescent="0.25">
      <c r="X9544" s="8" t="e">
        <f>IF(Final_Sans_VGE[[#This Row],[ppn_z]]="","",IFERROR(
   IF(_xlfn.XLOOKUP(Final_Sans_VGE[[#This Row],[ppn_z]],tbl_Historique_Final[ppn_z],tbl_Historique_Final[date_modif])=Final_Sans_VGE[[#This Row],[date_modif]],
      "Ancien",
      "Modifié"),
   "Nouveau"))</f>
        <v>#VALUE!</v>
      </c>
      <c r="AD9544" s="1" t="str">
        <f>IFERROR(IF(Final_Sans_VGE[[#This Row],[ppn_z]]="","",IFERROR(
   IF(_xlfn.XLOOKUP(Final_Sans_VGE[[#This Row],[ppn_z]],tbl_Historique_Final[[#This Row],[ppn_z]],tbl_Historique_Final[[#This Row],[date_modif]])=Final_Sans_VGE[[#This Row],[date_modif]],
      "Ancien",
      "Modifié"),
   "Nouveau")),"")</f>
        <v/>
      </c>
    </row>
    <row r="9545" spans="24:30" x14ac:dyDescent="0.25">
      <c r="X9545" s="8" t="e">
        <f>IF(Final_Sans_VGE[[#This Row],[ppn_z]]="","",IFERROR(
   IF(_xlfn.XLOOKUP(Final_Sans_VGE[[#This Row],[ppn_z]],tbl_Historique_Final[ppn_z],tbl_Historique_Final[date_modif])=Final_Sans_VGE[[#This Row],[date_modif]],
      "Ancien",
      "Modifié"),
   "Nouveau"))</f>
        <v>#VALUE!</v>
      </c>
      <c r="AD9545" s="1" t="str">
        <f>IFERROR(IF(Final_Sans_VGE[[#This Row],[ppn_z]]="","",IFERROR(
   IF(_xlfn.XLOOKUP(Final_Sans_VGE[[#This Row],[ppn_z]],tbl_Historique_Final[[#This Row],[ppn_z]],tbl_Historique_Final[[#This Row],[date_modif]])=Final_Sans_VGE[[#This Row],[date_modif]],
      "Ancien",
      "Modifié"),
   "Nouveau")),"")</f>
        <v/>
      </c>
    </row>
    <row r="9546" spans="24:30" x14ac:dyDescent="0.25">
      <c r="X9546" s="8" t="e">
        <f>IF(Final_Sans_VGE[[#This Row],[ppn_z]]="","",IFERROR(
   IF(_xlfn.XLOOKUP(Final_Sans_VGE[[#This Row],[ppn_z]],tbl_Historique_Final[ppn_z],tbl_Historique_Final[date_modif])=Final_Sans_VGE[[#This Row],[date_modif]],
      "Ancien",
      "Modifié"),
   "Nouveau"))</f>
        <v>#VALUE!</v>
      </c>
      <c r="AD9546" s="1" t="str">
        <f>IFERROR(IF(Final_Sans_VGE[[#This Row],[ppn_z]]="","",IFERROR(
   IF(_xlfn.XLOOKUP(Final_Sans_VGE[[#This Row],[ppn_z]],tbl_Historique_Final[[#This Row],[ppn_z]],tbl_Historique_Final[[#This Row],[date_modif]])=Final_Sans_VGE[[#This Row],[date_modif]],
      "Ancien",
      "Modifié"),
   "Nouveau")),"")</f>
        <v/>
      </c>
    </row>
    <row r="9547" spans="24:30" x14ac:dyDescent="0.25">
      <c r="X9547" s="8" t="e">
        <f>IF(Final_Sans_VGE[[#This Row],[ppn_z]]="","",IFERROR(
   IF(_xlfn.XLOOKUP(Final_Sans_VGE[[#This Row],[ppn_z]],tbl_Historique_Final[ppn_z],tbl_Historique_Final[date_modif])=Final_Sans_VGE[[#This Row],[date_modif]],
      "Ancien",
      "Modifié"),
   "Nouveau"))</f>
        <v>#VALUE!</v>
      </c>
      <c r="AD9547" s="1" t="str">
        <f>IFERROR(IF(Final_Sans_VGE[[#This Row],[ppn_z]]="","",IFERROR(
   IF(_xlfn.XLOOKUP(Final_Sans_VGE[[#This Row],[ppn_z]],tbl_Historique_Final[[#This Row],[ppn_z]],tbl_Historique_Final[[#This Row],[date_modif]])=Final_Sans_VGE[[#This Row],[date_modif]],
      "Ancien",
      "Modifié"),
   "Nouveau")),"")</f>
        <v/>
      </c>
    </row>
    <row r="9548" spans="24:30" x14ac:dyDescent="0.25">
      <c r="X9548" s="8" t="e">
        <f>IF(Final_Sans_VGE[[#This Row],[ppn_z]]="","",IFERROR(
   IF(_xlfn.XLOOKUP(Final_Sans_VGE[[#This Row],[ppn_z]],tbl_Historique_Final[ppn_z],tbl_Historique_Final[date_modif])=Final_Sans_VGE[[#This Row],[date_modif]],
      "Ancien",
      "Modifié"),
   "Nouveau"))</f>
        <v>#VALUE!</v>
      </c>
      <c r="AD9548" s="1" t="str">
        <f>IFERROR(IF(Final_Sans_VGE[[#This Row],[ppn_z]]="","",IFERROR(
   IF(_xlfn.XLOOKUP(Final_Sans_VGE[[#This Row],[ppn_z]],tbl_Historique_Final[[#This Row],[ppn_z]],tbl_Historique_Final[[#This Row],[date_modif]])=Final_Sans_VGE[[#This Row],[date_modif]],
      "Ancien",
      "Modifié"),
   "Nouveau")),"")</f>
        <v/>
      </c>
    </row>
    <row r="9549" spans="24:30" x14ac:dyDescent="0.25">
      <c r="X9549" s="8" t="e">
        <f>IF(Final_Sans_VGE[[#This Row],[ppn_z]]="","",IFERROR(
   IF(_xlfn.XLOOKUP(Final_Sans_VGE[[#This Row],[ppn_z]],tbl_Historique_Final[ppn_z],tbl_Historique_Final[date_modif])=Final_Sans_VGE[[#This Row],[date_modif]],
      "Ancien",
      "Modifié"),
   "Nouveau"))</f>
        <v>#VALUE!</v>
      </c>
      <c r="AD9549" s="1" t="str">
        <f>IFERROR(IF(Final_Sans_VGE[[#This Row],[ppn_z]]="","",IFERROR(
   IF(_xlfn.XLOOKUP(Final_Sans_VGE[[#This Row],[ppn_z]],tbl_Historique_Final[[#This Row],[ppn_z]],tbl_Historique_Final[[#This Row],[date_modif]])=Final_Sans_VGE[[#This Row],[date_modif]],
      "Ancien",
      "Modifié"),
   "Nouveau")),"")</f>
        <v/>
      </c>
    </row>
    <row r="9550" spans="24:30" x14ac:dyDescent="0.25">
      <c r="X9550" s="8" t="e">
        <f>IF(Final_Sans_VGE[[#This Row],[ppn_z]]="","",IFERROR(
   IF(_xlfn.XLOOKUP(Final_Sans_VGE[[#This Row],[ppn_z]],tbl_Historique_Final[ppn_z],tbl_Historique_Final[date_modif])=Final_Sans_VGE[[#This Row],[date_modif]],
      "Ancien",
      "Modifié"),
   "Nouveau"))</f>
        <v>#VALUE!</v>
      </c>
      <c r="AD9550" s="1" t="str">
        <f>IFERROR(IF(Final_Sans_VGE[[#This Row],[ppn_z]]="","",IFERROR(
   IF(_xlfn.XLOOKUP(Final_Sans_VGE[[#This Row],[ppn_z]],tbl_Historique_Final[[#This Row],[ppn_z]],tbl_Historique_Final[[#This Row],[date_modif]])=Final_Sans_VGE[[#This Row],[date_modif]],
      "Ancien",
      "Modifié"),
   "Nouveau")),"")</f>
        <v/>
      </c>
    </row>
    <row r="9551" spans="24:30" x14ac:dyDescent="0.25">
      <c r="X9551" s="8" t="e">
        <f>IF(Final_Sans_VGE[[#This Row],[ppn_z]]="","",IFERROR(
   IF(_xlfn.XLOOKUP(Final_Sans_VGE[[#This Row],[ppn_z]],tbl_Historique_Final[ppn_z],tbl_Historique_Final[date_modif])=Final_Sans_VGE[[#This Row],[date_modif]],
      "Ancien",
      "Modifié"),
   "Nouveau"))</f>
        <v>#VALUE!</v>
      </c>
      <c r="AD9551" s="1" t="str">
        <f>IFERROR(IF(Final_Sans_VGE[[#This Row],[ppn_z]]="","",IFERROR(
   IF(_xlfn.XLOOKUP(Final_Sans_VGE[[#This Row],[ppn_z]],tbl_Historique_Final[[#This Row],[ppn_z]],tbl_Historique_Final[[#This Row],[date_modif]])=Final_Sans_VGE[[#This Row],[date_modif]],
      "Ancien",
      "Modifié"),
   "Nouveau")),"")</f>
        <v/>
      </c>
    </row>
    <row r="9552" spans="24:30" x14ac:dyDescent="0.25">
      <c r="X9552" s="8" t="e">
        <f>IF(Final_Sans_VGE[[#This Row],[ppn_z]]="","",IFERROR(
   IF(_xlfn.XLOOKUP(Final_Sans_VGE[[#This Row],[ppn_z]],tbl_Historique_Final[ppn_z],tbl_Historique_Final[date_modif])=Final_Sans_VGE[[#This Row],[date_modif]],
      "Ancien",
      "Modifié"),
   "Nouveau"))</f>
        <v>#VALUE!</v>
      </c>
      <c r="AD9552" s="1" t="str">
        <f>IFERROR(IF(Final_Sans_VGE[[#This Row],[ppn_z]]="","",IFERROR(
   IF(_xlfn.XLOOKUP(Final_Sans_VGE[[#This Row],[ppn_z]],tbl_Historique_Final[[#This Row],[ppn_z]],tbl_Historique_Final[[#This Row],[date_modif]])=Final_Sans_VGE[[#This Row],[date_modif]],
      "Ancien",
      "Modifié"),
   "Nouveau")),"")</f>
        <v/>
      </c>
    </row>
    <row r="9553" spans="24:30" x14ac:dyDescent="0.25">
      <c r="X9553" s="8" t="e">
        <f>IF(Final_Sans_VGE[[#This Row],[ppn_z]]="","",IFERROR(
   IF(_xlfn.XLOOKUP(Final_Sans_VGE[[#This Row],[ppn_z]],tbl_Historique_Final[ppn_z],tbl_Historique_Final[date_modif])=Final_Sans_VGE[[#This Row],[date_modif]],
      "Ancien",
      "Modifié"),
   "Nouveau"))</f>
        <v>#VALUE!</v>
      </c>
      <c r="AD9553" s="1" t="str">
        <f>IFERROR(IF(Final_Sans_VGE[[#This Row],[ppn_z]]="","",IFERROR(
   IF(_xlfn.XLOOKUP(Final_Sans_VGE[[#This Row],[ppn_z]],tbl_Historique_Final[[#This Row],[ppn_z]],tbl_Historique_Final[[#This Row],[date_modif]])=Final_Sans_VGE[[#This Row],[date_modif]],
      "Ancien",
      "Modifié"),
   "Nouveau")),"")</f>
        <v/>
      </c>
    </row>
    <row r="9554" spans="24:30" x14ac:dyDescent="0.25">
      <c r="X9554" s="8" t="e">
        <f>IF(Final_Sans_VGE[[#This Row],[ppn_z]]="","",IFERROR(
   IF(_xlfn.XLOOKUP(Final_Sans_VGE[[#This Row],[ppn_z]],tbl_Historique_Final[ppn_z],tbl_Historique_Final[date_modif])=Final_Sans_VGE[[#This Row],[date_modif]],
      "Ancien",
      "Modifié"),
   "Nouveau"))</f>
        <v>#VALUE!</v>
      </c>
      <c r="AD9554" s="1" t="str">
        <f>IFERROR(IF(Final_Sans_VGE[[#This Row],[ppn_z]]="","",IFERROR(
   IF(_xlfn.XLOOKUP(Final_Sans_VGE[[#This Row],[ppn_z]],tbl_Historique_Final[[#This Row],[ppn_z]],tbl_Historique_Final[[#This Row],[date_modif]])=Final_Sans_VGE[[#This Row],[date_modif]],
      "Ancien",
      "Modifié"),
   "Nouveau")),"")</f>
        <v/>
      </c>
    </row>
    <row r="9555" spans="24:30" x14ac:dyDescent="0.25">
      <c r="X9555" s="8" t="e">
        <f>IF(Final_Sans_VGE[[#This Row],[ppn_z]]="","",IFERROR(
   IF(_xlfn.XLOOKUP(Final_Sans_VGE[[#This Row],[ppn_z]],tbl_Historique_Final[ppn_z],tbl_Historique_Final[date_modif])=Final_Sans_VGE[[#This Row],[date_modif]],
      "Ancien",
      "Modifié"),
   "Nouveau"))</f>
        <v>#VALUE!</v>
      </c>
      <c r="AD9555" s="1" t="str">
        <f>IFERROR(IF(Final_Sans_VGE[[#This Row],[ppn_z]]="","",IFERROR(
   IF(_xlfn.XLOOKUP(Final_Sans_VGE[[#This Row],[ppn_z]],tbl_Historique_Final[[#This Row],[ppn_z]],tbl_Historique_Final[[#This Row],[date_modif]])=Final_Sans_VGE[[#This Row],[date_modif]],
      "Ancien",
      "Modifié"),
   "Nouveau")),"")</f>
        <v/>
      </c>
    </row>
    <row r="9556" spans="24:30" x14ac:dyDescent="0.25">
      <c r="X9556" s="8" t="e">
        <f>IF(Final_Sans_VGE[[#This Row],[ppn_z]]="","",IFERROR(
   IF(_xlfn.XLOOKUP(Final_Sans_VGE[[#This Row],[ppn_z]],tbl_Historique_Final[ppn_z],tbl_Historique_Final[date_modif])=Final_Sans_VGE[[#This Row],[date_modif]],
      "Ancien",
      "Modifié"),
   "Nouveau"))</f>
        <v>#VALUE!</v>
      </c>
      <c r="AD9556" s="1" t="str">
        <f>IFERROR(IF(Final_Sans_VGE[[#This Row],[ppn_z]]="","",IFERROR(
   IF(_xlfn.XLOOKUP(Final_Sans_VGE[[#This Row],[ppn_z]],tbl_Historique_Final[[#This Row],[ppn_z]],tbl_Historique_Final[[#This Row],[date_modif]])=Final_Sans_VGE[[#This Row],[date_modif]],
      "Ancien",
      "Modifié"),
   "Nouveau")),"")</f>
        <v/>
      </c>
    </row>
    <row r="9557" spans="24:30" x14ac:dyDescent="0.25">
      <c r="X9557" s="8" t="e">
        <f>IF(Final_Sans_VGE[[#This Row],[ppn_z]]="","",IFERROR(
   IF(_xlfn.XLOOKUP(Final_Sans_VGE[[#This Row],[ppn_z]],tbl_Historique_Final[ppn_z],tbl_Historique_Final[date_modif])=Final_Sans_VGE[[#This Row],[date_modif]],
      "Ancien",
      "Modifié"),
   "Nouveau"))</f>
        <v>#VALUE!</v>
      </c>
      <c r="AD9557" s="1" t="str">
        <f>IFERROR(IF(Final_Sans_VGE[[#This Row],[ppn_z]]="","",IFERROR(
   IF(_xlfn.XLOOKUP(Final_Sans_VGE[[#This Row],[ppn_z]],tbl_Historique_Final[[#This Row],[ppn_z]],tbl_Historique_Final[[#This Row],[date_modif]])=Final_Sans_VGE[[#This Row],[date_modif]],
      "Ancien",
      "Modifié"),
   "Nouveau")),"")</f>
        <v/>
      </c>
    </row>
    <row r="9558" spans="24:30" x14ac:dyDescent="0.25">
      <c r="X9558" s="8" t="e">
        <f>IF(Final_Sans_VGE[[#This Row],[ppn_z]]="","",IFERROR(
   IF(_xlfn.XLOOKUP(Final_Sans_VGE[[#This Row],[ppn_z]],tbl_Historique_Final[ppn_z],tbl_Historique_Final[date_modif])=Final_Sans_VGE[[#This Row],[date_modif]],
      "Ancien",
      "Modifié"),
   "Nouveau"))</f>
        <v>#VALUE!</v>
      </c>
      <c r="AD9558" s="1" t="str">
        <f>IFERROR(IF(Final_Sans_VGE[[#This Row],[ppn_z]]="","",IFERROR(
   IF(_xlfn.XLOOKUP(Final_Sans_VGE[[#This Row],[ppn_z]],tbl_Historique_Final[[#This Row],[ppn_z]],tbl_Historique_Final[[#This Row],[date_modif]])=Final_Sans_VGE[[#This Row],[date_modif]],
      "Ancien",
      "Modifié"),
   "Nouveau")),"")</f>
        <v/>
      </c>
    </row>
    <row r="9559" spans="24:30" x14ac:dyDescent="0.25">
      <c r="X9559" s="8" t="e">
        <f>IF(Final_Sans_VGE[[#This Row],[ppn_z]]="","",IFERROR(
   IF(_xlfn.XLOOKUP(Final_Sans_VGE[[#This Row],[ppn_z]],tbl_Historique_Final[ppn_z],tbl_Historique_Final[date_modif])=Final_Sans_VGE[[#This Row],[date_modif]],
      "Ancien",
      "Modifié"),
   "Nouveau"))</f>
        <v>#VALUE!</v>
      </c>
      <c r="AD9559" s="1" t="str">
        <f>IFERROR(IF(Final_Sans_VGE[[#This Row],[ppn_z]]="","",IFERROR(
   IF(_xlfn.XLOOKUP(Final_Sans_VGE[[#This Row],[ppn_z]],tbl_Historique_Final[[#This Row],[ppn_z]],tbl_Historique_Final[[#This Row],[date_modif]])=Final_Sans_VGE[[#This Row],[date_modif]],
      "Ancien",
      "Modifié"),
   "Nouveau")),"")</f>
        <v/>
      </c>
    </row>
    <row r="9560" spans="24:30" x14ac:dyDescent="0.25">
      <c r="X9560" s="8" t="e">
        <f>IF(Final_Sans_VGE[[#This Row],[ppn_z]]="","",IFERROR(
   IF(_xlfn.XLOOKUP(Final_Sans_VGE[[#This Row],[ppn_z]],tbl_Historique_Final[ppn_z],tbl_Historique_Final[date_modif])=Final_Sans_VGE[[#This Row],[date_modif]],
      "Ancien",
      "Modifié"),
   "Nouveau"))</f>
        <v>#VALUE!</v>
      </c>
      <c r="AD9560" s="1" t="str">
        <f>IFERROR(IF(Final_Sans_VGE[[#This Row],[ppn_z]]="","",IFERROR(
   IF(_xlfn.XLOOKUP(Final_Sans_VGE[[#This Row],[ppn_z]],tbl_Historique_Final[[#This Row],[ppn_z]],tbl_Historique_Final[[#This Row],[date_modif]])=Final_Sans_VGE[[#This Row],[date_modif]],
      "Ancien",
      "Modifié"),
   "Nouveau")),"")</f>
        <v/>
      </c>
    </row>
    <row r="9561" spans="24:30" x14ac:dyDescent="0.25">
      <c r="X9561" s="8" t="e">
        <f>IF(Final_Sans_VGE[[#This Row],[ppn_z]]="","",IFERROR(
   IF(_xlfn.XLOOKUP(Final_Sans_VGE[[#This Row],[ppn_z]],tbl_Historique_Final[ppn_z],tbl_Historique_Final[date_modif])=Final_Sans_VGE[[#This Row],[date_modif]],
      "Ancien",
      "Modifié"),
   "Nouveau"))</f>
        <v>#VALUE!</v>
      </c>
      <c r="AD9561" s="1" t="str">
        <f>IFERROR(IF(Final_Sans_VGE[[#This Row],[ppn_z]]="","",IFERROR(
   IF(_xlfn.XLOOKUP(Final_Sans_VGE[[#This Row],[ppn_z]],tbl_Historique_Final[[#This Row],[ppn_z]],tbl_Historique_Final[[#This Row],[date_modif]])=Final_Sans_VGE[[#This Row],[date_modif]],
      "Ancien",
      "Modifié"),
   "Nouveau")),"")</f>
        <v/>
      </c>
    </row>
    <row r="9562" spans="24:30" x14ac:dyDescent="0.25">
      <c r="X9562" s="8" t="e">
        <f>IF(Final_Sans_VGE[[#This Row],[ppn_z]]="","",IFERROR(
   IF(_xlfn.XLOOKUP(Final_Sans_VGE[[#This Row],[ppn_z]],tbl_Historique_Final[ppn_z],tbl_Historique_Final[date_modif])=Final_Sans_VGE[[#This Row],[date_modif]],
      "Ancien",
      "Modifié"),
   "Nouveau"))</f>
        <v>#VALUE!</v>
      </c>
      <c r="AD9562" s="1" t="str">
        <f>IFERROR(IF(Final_Sans_VGE[[#This Row],[ppn_z]]="","",IFERROR(
   IF(_xlfn.XLOOKUP(Final_Sans_VGE[[#This Row],[ppn_z]],tbl_Historique_Final[[#This Row],[ppn_z]],tbl_Historique_Final[[#This Row],[date_modif]])=Final_Sans_VGE[[#This Row],[date_modif]],
      "Ancien",
      "Modifié"),
   "Nouveau")),"")</f>
        <v/>
      </c>
    </row>
    <row r="9563" spans="24:30" x14ac:dyDescent="0.25">
      <c r="X9563" s="8" t="e">
        <f>IF(Final_Sans_VGE[[#This Row],[ppn_z]]="","",IFERROR(
   IF(_xlfn.XLOOKUP(Final_Sans_VGE[[#This Row],[ppn_z]],tbl_Historique_Final[ppn_z],tbl_Historique_Final[date_modif])=Final_Sans_VGE[[#This Row],[date_modif]],
      "Ancien",
      "Modifié"),
   "Nouveau"))</f>
        <v>#VALUE!</v>
      </c>
      <c r="AD9563" s="1" t="str">
        <f>IFERROR(IF(Final_Sans_VGE[[#This Row],[ppn_z]]="","",IFERROR(
   IF(_xlfn.XLOOKUP(Final_Sans_VGE[[#This Row],[ppn_z]],tbl_Historique_Final[[#This Row],[ppn_z]],tbl_Historique_Final[[#This Row],[date_modif]])=Final_Sans_VGE[[#This Row],[date_modif]],
      "Ancien",
      "Modifié"),
   "Nouveau")),"")</f>
        <v/>
      </c>
    </row>
    <row r="9564" spans="24:30" x14ac:dyDescent="0.25">
      <c r="X9564" s="8" t="e">
        <f>IF(Final_Sans_VGE[[#This Row],[ppn_z]]="","",IFERROR(
   IF(_xlfn.XLOOKUP(Final_Sans_VGE[[#This Row],[ppn_z]],tbl_Historique_Final[ppn_z],tbl_Historique_Final[date_modif])=Final_Sans_VGE[[#This Row],[date_modif]],
      "Ancien",
      "Modifié"),
   "Nouveau"))</f>
        <v>#VALUE!</v>
      </c>
      <c r="AD9564" s="1" t="str">
        <f>IFERROR(IF(Final_Sans_VGE[[#This Row],[ppn_z]]="","",IFERROR(
   IF(_xlfn.XLOOKUP(Final_Sans_VGE[[#This Row],[ppn_z]],tbl_Historique_Final[[#This Row],[ppn_z]],tbl_Historique_Final[[#This Row],[date_modif]])=Final_Sans_VGE[[#This Row],[date_modif]],
      "Ancien",
      "Modifié"),
   "Nouveau")),"")</f>
        <v/>
      </c>
    </row>
    <row r="9565" spans="24:30" x14ac:dyDescent="0.25">
      <c r="X9565" s="8" t="e">
        <f>IF(Final_Sans_VGE[[#This Row],[ppn_z]]="","",IFERROR(
   IF(_xlfn.XLOOKUP(Final_Sans_VGE[[#This Row],[ppn_z]],tbl_Historique_Final[ppn_z],tbl_Historique_Final[date_modif])=Final_Sans_VGE[[#This Row],[date_modif]],
      "Ancien",
      "Modifié"),
   "Nouveau"))</f>
        <v>#VALUE!</v>
      </c>
      <c r="AD9565" s="1" t="str">
        <f>IFERROR(IF(Final_Sans_VGE[[#This Row],[ppn_z]]="","",IFERROR(
   IF(_xlfn.XLOOKUP(Final_Sans_VGE[[#This Row],[ppn_z]],tbl_Historique_Final[[#This Row],[ppn_z]],tbl_Historique_Final[[#This Row],[date_modif]])=Final_Sans_VGE[[#This Row],[date_modif]],
      "Ancien",
      "Modifié"),
   "Nouveau")),"")</f>
        <v/>
      </c>
    </row>
    <row r="9566" spans="24:30" x14ac:dyDescent="0.25">
      <c r="X9566" s="8" t="e">
        <f>IF(Final_Sans_VGE[[#This Row],[ppn_z]]="","",IFERROR(
   IF(_xlfn.XLOOKUP(Final_Sans_VGE[[#This Row],[ppn_z]],tbl_Historique_Final[ppn_z],tbl_Historique_Final[date_modif])=Final_Sans_VGE[[#This Row],[date_modif]],
      "Ancien",
      "Modifié"),
   "Nouveau"))</f>
        <v>#VALUE!</v>
      </c>
      <c r="AD9566" s="1" t="str">
        <f>IFERROR(IF(Final_Sans_VGE[[#This Row],[ppn_z]]="","",IFERROR(
   IF(_xlfn.XLOOKUP(Final_Sans_VGE[[#This Row],[ppn_z]],tbl_Historique_Final[[#This Row],[ppn_z]],tbl_Historique_Final[[#This Row],[date_modif]])=Final_Sans_VGE[[#This Row],[date_modif]],
      "Ancien",
      "Modifié"),
   "Nouveau")),"")</f>
        <v/>
      </c>
    </row>
    <row r="9567" spans="24:30" x14ac:dyDescent="0.25">
      <c r="X9567" s="8" t="e">
        <f>IF(Final_Sans_VGE[[#This Row],[ppn_z]]="","",IFERROR(
   IF(_xlfn.XLOOKUP(Final_Sans_VGE[[#This Row],[ppn_z]],tbl_Historique_Final[ppn_z],tbl_Historique_Final[date_modif])=Final_Sans_VGE[[#This Row],[date_modif]],
      "Ancien",
      "Modifié"),
   "Nouveau"))</f>
        <v>#VALUE!</v>
      </c>
      <c r="AD9567" s="1" t="str">
        <f>IFERROR(IF(Final_Sans_VGE[[#This Row],[ppn_z]]="","",IFERROR(
   IF(_xlfn.XLOOKUP(Final_Sans_VGE[[#This Row],[ppn_z]],tbl_Historique_Final[[#This Row],[ppn_z]],tbl_Historique_Final[[#This Row],[date_modif]])=Final_Sans_VGE[[#This Row],[date_modif]],
      "Ancien",
      "Modifié"),
   "Nouveau")),"")</f>
        <v/>
      </c>
    </row>
    <row r="9568" spans="24:30" x14ac:dyDescent="0.25">
      <c r="X9568" s="8" t="e">
        <f>IF(Final_Sans_VGE[[#This Row],[ppn_z]]="","",IFERROR(
   IF(_xlfn.XLOOKUP(Final_Sans_VGE[[#This Row],[ppn_z]],tbl_Historique_Final[ppn_z],tbl_Historique_Final[date_modif])=Final_Sans_VGE[[#This Row],[date_modif]],
      "Ancien",
      "Modifié"),
   "Nouveau"))</f>
        <v>#VALUE!</v>
      </c>
      <c r="AD9568" s="1" t="str">
        <f>IFERROR(IF(Final_Sans_VGE[[#This Row],[ppn_z]]="","",IFERROR(
   IF(_xlfn.XLOOKUP(Final_Sans_VGE[[#This Row],[ppn_z]],tbl_Historique_Final[[#This Row],[ppn_z]],tbl_Historique_Final[[#This Row],[date_modif]])=Final_Sans_VGE[[#This Row],[date_modif]],
      "Ancien",
      "Modifié"),
   "Nouveau")),"")</f>
        <v/>
      </c>
    </row>
    <row r="9569" spans="24:30" x14ac:dyDescent="0.25">
      <c r="X9569" s="8" t="e">
        <f>IF(Final_Sans_VGE[[#This Row],[ppn_z]]="","",IFERROR(
   IF(_xlfn.XLOOKUP(Final_Sans_VGE[[#This Row],[ppn_z]],tbl_Historique_Final[ppn_z],tbl_Historique_Final[date_modif])=Final_Sans_VGE[[#This Row],[date_modif]],
      "Ancien",
      "Modifié"),
   "Nouveau"))</f>
        <v>#VALUE!</v>
      </c>
      <c r="AD9569" s="1" t="str">
        <f>IFERROR(IF(Final_Sans_VGE[[#This Row],[ppn_z]]="","",IFERROR(
   IF(_xlfn.XLOOKUP(Final_Sans_VGE[[#This Row],[ppn_z]],tbl_Historique_Final[[#This Row],[ppn_z]],tbl_Historique_Final[[#This Row],[date_modif]])=Final_Sans_VGE[[#This Row],[date_modif]],
      "Ancien",
      "Modifié"),
   "Nouveau")),"")</f>
        <v/>
      </c>
    </row>
    <row r="9570" spans="24:30" x14ac:dyDescent="0.25">
      <c r="X9570" s="8" t="e">
        <f>IF(Final_Sans_VGE[[#This Row],[ppn_z]]="","",IFERROR(
   IF(_xlfn.XLOOKUP(Final_Sans_VGE[[#This Row],[ppn_z]],tbl_Historique_Final[ppn_z],tbl_Historique_Final[date_modif])=Final_Sans_VGE[[#This Row],[date_modif]],
      "Ancien",
      "Modifié"),
   "Nouveau"))</f>
        <v>#VALUE!</v>
      </c>
      <c r="AD9570" s="1" t="str">
        <f>IFERROR(IF(Final_Sans_VGE[[#This Row],[ppn_z]]="","",IFERROR(
   IF(_xlfn.XLOOKUP(Final_Sans_VGE[[#This Row],[ppn_z]],tbl_Historique_Final[[#This Row],[ppn_z]],tbl_Historique_Final[[#This Row],[date_modif]])=Final_Sans_VGE[[#This Row],[date_modif]],
      "Ancien",
      "Modifié"),
   "Nouveau")),"")</f>
        <v/>
      </c>
    </row>
    <row r="9571" spans="24:30" x14ac:dyDescent="0.25">
      <c r="X9571" s="8" t="e">
        <f>IF(Final_Sans_VGE[[#This Row],[ppn_z]]="","",IFERROR(
   IF(_xlfn.XLOOKUP(Final_Sans_VGE[[#This Row],[ppn_z]],tbl_Historique_Final[ppn_z],tbl_Historique_Final[date_modif])=Final_Sans_VGE[[#This Row],[date_modif]],
      "Ancien",
      "Modifié"),
   "Nouveau"))</f>
        <v>#VALUE!</v>
      </c>
      <c r="AD9571" s="1" t="str">
        <f>IFERROR(IF(Final_Sans_VGE[[#This Row],[ppn_z]]="","",IFERROR(
   IF(_xlfn.XLOOKUP(Final_Sans_VGE[[#This Row],[ppn_z]],tbl_Historique_Final[[#This Row],[ppn_z]],tbl_Historique_Final[[#This Row],[date_modif]])=Final_Sans_VGE[[#This Row],[date_modif]],
      "Ancien",
      "Modifié"),
   "Nouveau")),"")</f>
        <v/>
      </c>
    </row>
    <row r="9572" spans="24:30" x14ac:dyDescent="0.25">
      <c r="X9572" s="8" t="e">
        <f>IF(Final_Sans_VGE[[#This Row],[ppn_z]]="","",IFERROR(
   IF(_xlfn.XLOOKUP(Final_Sans_VGE[[#This Row],[ppn_z]],tbl_Historique_Final[ppn_z],tbl_Historique_Final[date_modif])=Final_Sans_VGE[[#This Row],[date_modif]],
      "Ancien",
      "Modifié"),
   "Nouveau"))</f>
        <v>#VALUE!</v>
      </c>
      <c r="AD9572" s="1" t="str">
        <f>IFERROR(IF(Final_Sans_VGE[[#This Row],[ppn_z]]="","",IFERROR(
   IF(_xlfn.XLOOKUP(Final_Sans_VGE[[#This Row],[ppn_z]],tbl_Historique_Final[[#This Row],[ppn_z]],tbl_Historique_Final[[#This Row],[date_modif]])=Final_Sans_VGE[[#This Row],[date_modif]],
      "Ancien",
      "Modifié"),
   "Nouveau")),"")</f>
        <v/>
      </c>
    </row>
    <row r="9573" spans="24:30" x14ac:dyDescent="0.25">
      <c r="X9573" s="8" t="e">
        <f>IF(Final_Sans_VGE[[#This Row],[ppn_z]]="","",IFERROR(
   IF(_xlfn.XLOOKUP(Final_Sans_VGE[[#This Row],[ppn_z]],tbl_Historique_Final[ppn_z],tbl_Historique_Final[date_modif])=Final_Sans_VGE[[#This Row],[date_modif]],
      "Ancien",
      "Modifié"),
   "Nouveau"))</f>
        <v>#VALUE!</v>
      </c>
      <c r="AD9573" s="1" t="str">
        <f>IFERROR(IF(Final_Sans_VGE[[#This Row],[ppn_z]]="","",IFERROR(
   IF(_xlfn.XLOOKUP(Final_Sans_VGE[[#This Row],[ppn_z]],tbl_Historique_Final[[#This Row],[ppn_z]],tbl_Historique_Final[[#This Row],[date_modif]])=Final_Sans_VGE[[#This Row],[date_modif]],
      "Ancien",
      "Modifié"),
   "Nouveau")),"")</f>
        <v/>
      </c>
    </row>
    <row r="9574" spans="24:30" x14ac:dyDescent="0.25">
      <c r="X9574" s="8" t="e">
        <f>IF(Final_Sans_VGE[[#This Row],[ppn_z]]="","",IFERROR(
   IF(_xlfn.XLOOKUP(Final_Sans_VGE[[#This Row],[ppn_z]],tbl_Historique_Final[ppn_z],tbl_Historique_Final[date_modif])=Final_Sans_VGE[[#This Row],[date_modif]],
      "Ancien",
      "Modifié"),
   "Nouveau"))</f>
        <v>#VALUE!</v>
      </c>
      <c r="AD9574" s="1" t="str">
        <f>IFERROR(IF(Final_Sans_VGE[[#This Row],[ppn_z]]="","",IFERROR(
   IF(_xlfn.XLOOKUP(Final_Sans_VGE[[#This Row],[ppn_z]],tbl_Historique_Final[[#This Row],[ppn_z]],tbl_Historique_Final[[#This Row],[date_modif]])=Final_Sans_VGE[[#This Row],[date_modif]],
      "Ancien",
      "Modifié"),
   "Nouveau")),"")</f>
        <v/>
      </c>
    </row>
    <row r="9575" spans="24:30" x14ac:dyDescent="0.25">
      <c r="X9575" s="8" t="e">
        <f>IF(Final_Sans_VGE[[#This Row],[ppn_z]]="","",IFERROR(
   IF(_xlfn.XLOOKUP(Final_Sans_VGE[[#This Row],[ppn_z]],tbl_Historique_Final[ppn_z],tbl_Historique_Final[date_modif])=Final_Sans_VGE[[#This Row],[date_modif]],
      "Ancien",
      "Modifié"),
   "Nouveau"))</f>
        <v>#VALUE!</v>
      </c>
      <c r="AD9575" s="1" t="str">
        <f>IFERROR(IF(Final_Sans_VGE[[#This Row],[ppn_z]]="","",IFERROR(
   IF(_xlfn.XLOOKUP(Final_Sans_VGE[[#This Row],[ppn_z]],tbl_Historique_Final[[#This Row],[ppn_z]],tbl_Historique_Final[[#This Row],[date_modif]])=Final_Sans_VGE[[#This Row],[date_modif]],
      "Ancien",
      "Modifié"),
   "Nouveau")),"")</f>
        <v/>
      </c>
    </row>
    <row r="9576" spans="24:30" x14ac:dyDescent="0.25">
      <c r="X9576" s="8" t="e">
        <f>IF(Final_Sans_VGE[[#This Row],[ppn_z]]="","",IFERROR(
   IF(_xlfn.XLOOKUP(Final_Sans_VGE[[#This Row],[ppn_z]],tbl_Historique_Final[ppn_z],tbl_Historique_Final[date_modif])=Final_Sans_VGE[[#This Row],[date_modif]],
      "Ancien",
      "Modifié"),
   "Nouveau"))</f>
        <v>#VALUE!</v>
      </c>
      <c r="AD9576" s="1" t="str">
        <f>IFERROR(IF(Final_Sans_VGE[[#This Row],[ppn_z]]="","",IFERROR(
   IF(_xlfn.XLOOKUP(Final_Sans_VGE[[#This Row],[ppn_z]],tbl_Historique_Final[[#This Row],[ppn_z]],tbl_Historique_Final[[#This Row],[date_modif]])=Final_Sans_VGE[[#This Row],[date_modif]],
      "Ancien",
      "Modifié"),
   "Nouveau")),"")</f>
        <v/>
      </c>
    </row>
    <row r="9577" spans="24:30" x14ac:dyDescent="0.25">
      <c r="X9577" s="8" t="e">
        <f>IF(Final_Sans_VGE[[#This Row],[ppn_z]]="","",IFERROR(
   IF(_xlfn.XLOOKUP(Final_Sans_VGE[[#This Row],[ppn_z]],tbl_Historique_Final[ppn_z],tbl_Historique_Final[date_modif])=Final_Sans_VGE[[#This Row],[date_modif]],
      "Ancien",
      "Modifié"),
   "Nouveau"))</f>
        <v>#VALUE!</v>
      </c>
      <c r="AD9577" s="1" t="str">
        <f>IFERROR(IF(Final_Sans_VGE[[#This Row],[ppn_z]]="","",IFERROR(
   IF(_xlfn.XLOOKUP(Final_Sans_VGE[[#This Row],[ppn_z]],tbl_Historique_Final[[#This Row],[ppn_z]],tbl_Historique_Final[[#This Row],[date_modif]])=Final_Sans_VGE[[#This Row],[date_modif]],
      "Ancien",
      "Modifié"),
   "Nouveau")),"")</f>
        <v/>
      </c>
    </row>
    <row r="9578" spans="24:30" x14ac:dyDescent="0.25">
      <c r="X9578" s="8" t="e">
        <f>IF(Final_Sans_VGE[[#This Row],[ppn_z]]="","",IFERROR(
   IF(_xlfn.XLOOKUP(Final_Sans_VGE[[#This Row],[ppn_z]],tbl_Historique_Final[ppn_z],tbl_Historique_Final[date_modif])=Final_Sans_VGE[[#This Row],[date_modif]],
      "Ancien",
      "Modifié"),
   "Nouveau"))</f>
        <v>#VALUE!</v>
      </c>
      <c r="AD9578" s="1" t="str">
        <f>IFERROR(IF(Final_Sans_VGE[[#This Row],[ppn_z]]="","",IFERROR(
   IF(_xlfn.XLOOKUP(Final_Sans_VGE[[#This Row],[ppn_z]],tbl_Historique_Final[[#This Row],[ppn_z]],tbl_Historique_Final[[#This Row],[date_modif]])=Final_Sans_VGE[[#This Row],[date_modif]],
      "Ancien",
      "Modifié"),
   "Nouveau")),"")</f>
        <v/>
      </c>
    </row>
    <row r="9579" spans="24:30" x14ac:dyDescent="0.25">
      <c r="X9579" s="8" t="e">
        <f>IF(Final_Sans_VGE[[#This Row],[ppn_z]]="","",IFERROR(
   IF(_xlfn.XLOOKUP(Final_Sans_VGE[[#This Row],[ppn_z]],tbl_Historique_Final[ppn_z],tbl_Historique_Final[date_modif])=Final_Sans_VGE[[#This Row],[date_modif]],
      "Ancien",
      "Modifié"),
   "Nouveau"))</f>
        <v>#VALUE!</v>
      </c>
      <c r="AD9579" s="1" t="str">
        <f>IFERROR(IF(Final_Sans_VGE[[#This Row],[ppn_z]]="","",IFERROR(
   IF(_xlfn.XLOOKUP(Final_Sans_VGE[[#This Row],[ppn_z]],tbl_Historique_Final[[#This Row],[ppn_z]],tbl_Historique_Final[[#This Row],[date_modif]])=Final_Sans_VGE[[#This Row],[date_modif]],
      "Ancien",
      "Modifié"),
   "Nouveau")),"")</f>
        <v/>
      </c>
    </row>
    <row r="9580" spans="24:30" x14ac:dyDescent="0.25">
      <c r="X9580" s="8" t="e">
        <f>IF(Final_Sans_VGE[[#This Row],[ppn_z]]="","",IFERROR(
   IF(_xlfn.XLOOKUP(Final_Sans_VGE[[#This Row],[ppn_z]],tbl_Historique_Final[ppn_z],tbl_Historique_Final[date_modif])=Final_Sans_VGE[[#This Row],[date_modif]],
      "Ancien",
      "Modifié"),
   "Nouveau"))</f>
        <v>#VALUE!</v>
      </c>
      <c r="AD9580" s="1" t="str">
        <f>IFERROR(IF(Final_Sans_VGE[[#This Row],[ppn_z]]="","",IFERROR(
   IF(_xlfn.XLOOKUP(Final_Sans_VGE[[#This Row],[ppn_z]],tbl_Historique_Final[[#This Row],[ppn_z]],tbl_Historique_Final[[#This Row],[date_modif]])=Final_Sans_VGE[[#This Row],[date_modif]],
      "Ancien",
      "Modifié"),
   "Nouveau")),"")</f>
        <v/>
      </c>
    </row>
    <row r="9581" spans="24:30" x14ac:dyDescent="0.25">
      <c r="X9581" s="8" t="e">
        <f>IF(Final_Sans_VGE[[#This Row],[ppn_z]]="","",IFERROR(
   IF(_xlfn.XLOOKUP(Final_Sans_VGE[[#This Row],[ppn_z]],tbl_Historique_Final[ppn_z],tbl_Historique_Final[date_modif])=Final_Sans_VGE[[#This Row],[date_modif]],
      "Ancien",
      "Modifié"),
   "Nouveau"))</f>
        <v>#VALUE!</v>
      </c>
      <c r="AD9581" s="1" t="str">
        <f>IFERROR(IF(Final_Sans_VGE[[#This Row],[ppn_z]]="","",IFERROR(
   IF(_xlfn.XLOOKUP(Final_Sans_VGE[[#This Row],[ppn_z]],tbl_Historique_Final[[#This Row],[ppn_z]],tbl_Historique_Final[[#This Row],[date_modif]])=Final_Sans_VGE[[#This Row],[date_modif]],
      "Ancien",
      "Modifié"),
   "Nouveau")),"")</f>
        <v/>
      </c>
    </row>
    <row r="9582" spans="24:30" x14ac:dyDescent="0.25">
      <c r="X9582" s="8" t="e">
        <f>IF(Final_Sans_VGE[[#This Row],[ppn_z]]="","",IFERROR(
   IF(_xlfn.XLOOKUP(Final_Sans_VGE[[#This Row],[ppn_z]],tbl_Historique_Final[ppn_z],tbl_Historique_Final[date_modif])=Final_Sans_VGE[[#This Row],[date_modif]],
      "Ancien",
      "Modifié"),
   "Nouveau"))</f>
        <v>#VALUE!</v>
      </c>
      <c r="AD9582" s="1" t="str">
        <f>IFERROR(IF(Final_Sans_VGE[[#This Row],[ppn_z]]="","",IFERROR(
   IF(_xlfn.XLOOKUP(Final_Sans_VGE[[#This Row],[ppn_z]],tbl_Historique_Final[[#This Row],[ppn_z]],tbl_Historique_Final[[#This Row],[date_modif]])=Final_Sans_VGE[[#This Row],[date_modif]],
      "Ancien",
      "Modifié"),
   "Nouveau")),"")</f>
        <v/>
      </c>
    </row>
    <row r="9583" spans="24:30" x14ac:dyDescent="0.25">
      <c r="X9583" s="8" t="e">
        <f>IF(Final_Sans_VGE[[#This Row],[ppn_z]]="","",IFERROR(
   IF(_xlfn.XLOOKUP(Final_Sans_VGE[[#This Row],[ppn_z]],tbl_Historique_Final[ppn_z],tbl_Historique_Final[date_modif])=Final_Sans_VGE[[#This Row],[date_modif]],
      "Ancien",
      "Modifié"),
   "Nouveau"))</f>
        <v>#VALUE!</v>
      </c>
      <c r="AD9583" s="1" t="str">
        <f>IFERROR(IF(Final_Sans_VGE[[#This Row],[ppn_z]]="","",IFERROR(
   IF(_xlfn.XLOOKUP(Final_Sans_VGE[[#This Row],[ppn_z]],tbl_Historique_Final[[#This Row],[ppn_z]],tbl_Historique_Final[[#This Row],[date_modif]])=Final_Sans_VGE[[#This Row],[date_modif]],
      "Ancien",
      "Modifié"),
   "Nouveau")),"")</f>
        <v/>
      </c>
    </row>
    <row r="9584" spans="24:30" x14ac:dyDescent="0.25">
      <c r="X9584" s="8" t="e">
        <f>IF(Final_Sans_VGE[[#This Row],[ppn_z]]="","",IFERROR(
   IF(_xlfn.XLOOKUP(Final_Sans_VGE[[#This Row],[ppn_z]],tbl_Historique_Final[ppn_z],tbl_Historique_Final[date_modif])=Final_Sans_VGE[[#This Row],[date_modif]],
      "Ancien",
      "Modifié"),
   "Nouveau"))</f>
        <v>#VALUE!</v>
      </c>
      <c r="AD9584" s="1" t="str">
        <f>IFERROR(IF(Final_Sans_VGE[[#This Row],[ppn_z]]="","",IFERROR(
   IF(_xlfn.XLOOKUP(Final_Sans_VGE[[#This Row],[ppn_z]],tbl_Historique_Final[[#This Row],[ppn_z]],tbl_Historique_Final[[#This Row],[date_modif]])=Final_Sans_VGE[[#This Row],[date_modif]],
      "Ancien",
      "Modifié"),
   "Nouveau")),"")</f>
        <v/>
      </c>
    </row>
    <row r="9585" spans="24:30" x14ac:dyDescent="0.25">
      <c r="X9585" s="8" t="e">
        <f>IF(Final_Sans_VGE[[#This Row],[ppn_z]]="","",IFERROR(
   IF(_xlfn.XLOOKUP(Final_Sans_VGE[[#This Row],[ppn_z]],tbl_Historique_Final[ppn_z],tbl_Historique_Final[date_modif])=Final_Sans_VGE[[#This Row],[date_modif]],
      "Ancien",
      "Modifié"),
   "Nouveau"))</f>
        <v>#VALUE!</v>
      </c>
      <c r="AD9585" s="1" t="str">
        <f>IFERROR(IF(Final_Sans_VGE[[#This Row],[ppn_z]]="","",IFERROR(
   IF(_xlfn.XLOOKUP(Final_Sans_VGE[[#This Row],[ppn_z]],tbl_Historique_Final[[#This Row],[ppn_z]],tbl_Historique_Final[[#This Row],[date_modif]])=Final_Sans_VGE[[#This Row],[date_modif]],
      "Ancien",
      "Modifié"),
   "Nouveau")),"")</f>
        <v/>
      </c>
    </row>
    <row r="9586" spans="24:30" x14ac:dyDescent="0.25">
      <c r="X9586" s="8" t="e">
        <f>IF(Final_Sans_VGE[[#This Row],[ppn_z]]="","",IFERROR(
   IF(_xlfn.XLOOKUP(Final_Sans_VGE[[#This Row],[ppn_z]],tbl_Historique_Final[ppn_z],tbl_Historique_Final[date_modif])=Final_Sans_VGE[[#This Row],[date_modif]],
      "Ancien",
      "Modifié"),
   "Nouveau"))</f>
        <v>#VALUE!</v>
      </c>
      <c r="AD9586" s="1" t="str">
        <f>IFERROR(IF(Final_Sans_VGE[[#This Row],[ppn_z]]="","",IFERROR(
   IF(_xlfn.XLOOKUP(Final_Sans_VGE[[#This Row],[ppn_z]],tbl_Historique_Final[[#This Row],[ppn_z]],tbl_Historique_Final[[#This Row],[date_modif]])=Final_Sans_VGE[[#This Row],[date_modif]],
      "Ancien",
      "Modifié"),
   "Nouveau")),"")</f>
        <v/>
      </c>
    </row>
    <row r="9587" spans="24:30" x14ac:dyDescent="0.25">
      <c r="X9587" s="8" t="e">
        <f>IF(Final_Sans_VGE[[#This Row],[ppn_z]]="","",IFERROR(
   IF(_xlfn.XLOOKUP(Final_Sans_VGE[[#This Row],[ppn_z]],tbl_Historique_Final[ppn_z],tbl_Historique_Final[date_modif])=Final_Sans_VGE[[#This Row],[date_modif]],
      "Ancien",
      "Modifié"),
   "Nouveau"))</f>
        <v>#VALUE!</v>
      </c>
      <c r="AD9587" s="1" t="str">
        <f>IFERROR(IF(Final_Sans_VGE[[#This Row],[ppn_z]]="","",IFERROR(
   IF(_xlfn.XLOOKUP(Final_Sans_VGE[[#This Row],[ppn_z]],tbl_Historique_Final[[#This Row],[ppn_z]],tbl_Historique_Final[[#This Row],[date_modif]])=Final_Sans_VGE[[#This Row],[date_modif]],
      "Ancien",
      "Modifié"),
   "Nouveau")),"")</f>
        <v/>
      </c>
    </row>
    <row r="9588" spans="24:30" x14ac:dyDescent="0.25">
      <c r="X9588" s="8" t="e">
        <f>IF(Final_Sans_VGE[[#This Row],[ppn_z]]="","",IFERROR(
   IF(_xlfn.XLOOKUP(Final_Sans_VGE[[#This Row],[ppn_z]],tbl_Historique_Final[ppn_z],tbl_Historique_Final[date_modif])=Final_Sans_VGE[[#This Row],[date_modif]],
      "Ancien",
      "Modifié"),
   "Nouveau"))</f>
        <v>#VALUE!</v>
      </c>
      <c r="AD9588" s="1" t="str">
        <f>IFERROR(IF(Final_Sans_VGE[[#This Row],[ppn_z]]="","",IFERROR(
   IF(_xlfn.XLOOKUP(Final_Sans_VGE[[#This Row],[ppn_z]],tbl_Historique_Final[[#This Row],[ppn_z]],tbl_Historique_Final[[#This Row],[date_modif]])=Final_Sans_VGE[[#This Row],[date_modif]],
      "Ancien",
      "Modifié"),
   "Nouveau")),"")</f>
        <v/>
      </c>
    </row>
    <row r="9589" spans="24:30" x14ac:dyDescent="0.25">
      <c r="X9589" s="8" t="e">
        <f>IF(Final_Sans_VGE[[#This Row],[ppn_z]]="","",IFERROR(
   IF(_xlfn.XLOOKUP(Final_Sans_VGE[[#This Row],[ppn_z]],tbl_Historique_Final[ppn_z],tbl_Historique_Final[date_modif])=Final_Sans_VGE[[#This Row],[date_modif]],
      "Ancien",
      "Modifié"),
   "Nouveau"))</f>
        <v>#VALUE!</v>
      </c>
      <c r="AD9589" s="1" t="str">
        <f>IFERROR(IF(Final_Sans_VGE[[#This Row],[ppn_z]]="","",IFERROR(
   IF(_xlfn.XLOOKUP(Final_Sans_VGE[[#This Row],[ppn_z]],tbl_Historique_Final[[#This Row],[ppn_z]],tbl_Historique_Final[[#This Row],[date_modif]])=Final_Sans_VGE[[#This Row],[date_modif]],
      "Ancien",
      "Modifié"),
   "Nouveau")),"")</f>
        <v/>
      </c>
    </row>
    <row r="9590" spans="24:30" x14ac:dyDescent="0.25">
      <c r="X9590" s="8" t="e">
        <f>IF(Final_Sans_VGE[[#This Row],[ppn_z]]="","",IFERROR(
   IF(_xlfn.XLOOKUP(Final_Sans_VGE[[#This Row],[ppn_z]],tbl_Historique_Final[ppn_z],tbl_Historique_Final[date_modif])=Final_Sans_VGE[[#This Row],[date_modif]],
      "Ancien",
      "Modifié"),
   "Nouveau"))</f>
        <v>#VALUE!</v>
      </c>
      <c r="AD9590" s="1" t="str">
        <f>IFERROR(IF(Final_Sans_VGE[[#This Row],[ppn_z]]="","",IFERROR(
   IF(_xlfn.XLOOKUP(Final_Sans_VGE[[#This Row],[ppn_z]],tbl_Historique_Final[[#This Row],[ppn_z]],tbl_Historique_Final[[#This Row],[date_modif]])=Final_Sans_VGE[[#This Row],[date_modif]],
      "Ancien",
      "Modifié"),
   "Nouveau")),"")</f>
        <v/>
      </c>
    </row>
    <row r="9591" spans="24:30" x14ac:dyDescent="0.25">
      <c r="X9591" s="8" t="e">
        <f>IF(Final_Sans_VGE[[#This Row],[ppn_z]]="","",IFERROR(
   IF(_xlfn.XLOOKUP(Final_Sans_VGE[[#This Row],[ppn_z]],tbl_Historique_Final[ppn_z],tbl_Historique_Final[date_modif])=Final_Sans_VGE[[#This Row],[date_modif]],
      "Ancien",
      "Modifié"),
   "Nouveau"))</f>
        <v>#VALUE!</v>
      </c>
      <c r="AD9591" s="1" t="str">
        <f>IFERROR(IF(Final_Sans_VGE[[#This Row],[ppn_z]]="","",IFERROR(
   IF(_xlfn.XLOOKUP(Final_Sans_VGE[[#This Row],[ppn_z]],tbl_Historique_Final[[#This Row],[ppn_z]],tbl_Historique_Final[[#This Row],[date_modif]])=Final_Sans_VGE[[#This Row],[date_modif]],
      "Ancien",
      "Modifié"),
   "Nouveau")),"")</f>
        <v/>
      </c>
    </row>
    <row r="9592" spans="24:30" x14ac:dyDescent="0.25">
      <c r="X9592" s="8" t="e">
        <f>IF(Final_Sans_VGE[[#This Row],[ppn_z]]="","",IFERROR(
   IF(_xlfn.XLOOKUP(Final_Sans_VGE[[#This Row],[ppn_z]],tbl_Historique_Final[ppn_z],tbl_Historique_Final[date_modif])=Final_Sans_VGE[[#This Row],[date_modif]],
      "Ancien",
      "Modifié"),
   "Nouveau"))</f>
        <v>#VALUE!</v>
      </c>
      <c r="AD9592" s="1" t="str">
        <f>IFERROR(IF(Final_Sans_VGE[[#This Row],[ppn_z]]="","",IFERROR(
   IF(_xlfn.XLOOKUP(Final_Sans_VGE[[#This Row],[ppn_z]],tbl_Historique_Final[[#This Row],[ppn_z]],tbl_Historique_Final[[#This Row],[date_modif]])=Final_Sans_VGE[[#This Row],[date_modif]],
      "Ancien",
      "Modifié"),
   "Nouveau")),"")</f>
        <v/>
      </c>
    </row>
    <row r="9593" spans="24:30" x14ac:dyDescent="0.25">
      <c r="X9593" s="8" t="e">
        <f>IF(Final_Sans_VGE[[#This Row],[ppn_z]]="","",IFERROR(
   IF(_xlfn.XLOOKUP(Final_Sans_VGE[[#This Row],[ppn_z]],tbl_Historique_Final[ppn_z],tbl_Historique_Final[date_modif])=Final_Sans_VGE[[#This Row],[date_modif]],
      "Ancien",
      "Modifié"),
   "Nouveau"))</f>
        <v>#VALUE!</v>
      </c>
      <c r="AD9593" s="1" t="str">
        <f>IFERROR(IF(Final_Sans_VGE[[#This Row],[ppn_z]]="","",IFERROR(
   IF(_xlfn.XLOOKUP(Final_Sans_VGE[[#This Row],[ppn_z]],tbl_Historique_Final[[#This Row],[ppn_z]],tbl_Historique_Final[[#This Row],[date_modif]])=Final_Sans_VGE[[#This Row],[date_modif]],
      "Ancien",
      "Modifié"),
   "Nouveau")),"")</f>
        <v/>
      </c>
    </row>
    <row r="9594" spans="24:30" x14ac:dyDescent="0.25">
      <c r="X9594" s="8" t="e">
        <f>IF(Final_Sans_VGE[[#This Row],[ppn_z]]="","",IFERROR(
   IF(_xlfn.XLOOKUP(Final_Sans_VGE[[#This Row],[ppn_z]],tbl_Historique_Final[ppn_z],tbl_Historique_Final[date_modif])=Final_Sans_VGE[[#This Row],[date_modif]],
      "Ancien",
      "Modifié"),
   "Nouveau"))</f>
        <v>#VALUE!</v>
      </c>
      <c r="AD9594" s="1" t="str">
        <f>IFERROR(IF(Final_Sans_VGE[[#This Row],[ppn_z]]="","",IFERROR(
   IF(_xlfn.XLOOKUP(Final_Sans_VGE[[#This Row],[ppn_z]],tbl_Historique_Final[[#This Row],[ppn_z]],tbl_Historique_Final[[#This Row],[date_modif]])=Final_Sans_VGE[[#This Row],[date_modif]],
      "Ancien",
      "Modifié"),
   "Nouveau")),"")</f>
        <v/>
      </c>
    </row>
    <row r="9595" spans="24:30" x14ac:dyDescent="0.25">
      <c r="X9595" s="8" t="e">
        <f>IF(Final_Sans_VGE[[#This Row],[ppn_z]]="","",IFERROR(
   IF(_xlfn.XLOOKUP(Final_Sans_VGE[[#This Row],[ppn_z]],tbl_Historique_Final[ppn_z],tbl_Historique_Final[date_modif])=Final_Sans_VGE[[#This Row],[date_modif]],
      "Ancien",
      "Modifié"),
   "Nouveau"))</f>
        <v>#VALUE!</v>
      </c>
      <c r="AD9595" s="1" t="str">
        <f>IFERROR(IF(Final_Sans_VGE[[#This Row],[ppn_z]]="","",IFERROR(
   IF(_xlfn.XLOOKUP(Final_Sans_VGE[[#This Row],[ppn_z]],tbl_Historique_Final[[#This Row],[ppn_z]],tbl_Historique_Final[[#This Row],[date_modif]])=Final_Sans_VGE[[#This Row],[date_modif]],
      "Ancien",
      "Modifié"),
   "Nouveau")),"")</f>
        <v/>
      </c>
    </row>
    <row r="9596" spans="24:30" x14ac:dyDescent="0.25">
      <c r="X9596" s="8" t="e">
        <f>IF(Final_Sans_VGE[[#This Row],[ppn_z]]="","",IFERROR(
   IF(_xlfn.XLOOKUP(Final_Sans_VGE[[#This Row],[ppn_z]],tbl_Historique_Final[ppn_z],tbl_Historique_Final[date_modif])=Final_Sans_VGE[[#This Row],[date_modif]],
      "Ancien",
      "Modifié"),
   "Nouveau"))</f>
        <v>#VALUE!</v>
      </c>
      <c r="AD9596" s="1" t="str">
        <f>IFERROR(IF(Final_Sans_VGE[[#This Row],[ppn_z]]="","",IFERROR(
   IF(_xlfn.XLOOKUP(Final_Sans_VGE[[#This Row],[ppn_z]],tbl_Historique_Final[[#This Row],[ppn_z]],tbl_Historique_Final[[#This Row],[date_modif]])=Final_Sans_VGE[[#This Row],[date_modif]],
      "Ancien",
      "Modifié"),
   "Nouveau")),"")</f>
        <v/>
      </c>
    </row>
    <row r="9597" spans="24:30" x14ac:dyDescent="0.25">
      <c r="X9597" s="8" t="e">
        <f>IF(Final_Sans_VGE[[#This Row],[ppn_z]]="","",IFERROR(
   IF(_xlfn.XLOOKUP(Final_Sans_VGE[[#This Row],[ppn_z]],tbl_Historique_Final[ppn_z],tbl_Historique_Final[date_modif])=Final_Sans_VGE[[#This Row],[date_modif]],
      "Ancien",
      "Modifié"),
   "Nouveau"))</f>
        <v>#VALUE!</v>
      </c>
      <c r="AD9597" s="1" t="str">
        <f>IFERROR(IF(Final_Sans_VGE[[#This Row],[ppn_z]]="","",IFERROR(
   IF(_xlfn.XLOOKUP(Final_Sans_VGE[[#This Row],[ppn_z]],tbl_Historique_Final[[#This Row],[ppn_z]],tbl_Historique_Final[[#This Row],[date_modif]])=Final_Sans_VGE[[#This Row],[date_modif]],
      "Ancien",
      "Modifié"),
   "Nouveau")),"")</f>
        <v/>
      </c>
    </row>
    <row r="9598" spans="24:30" x14ac:dyDescent="0.25">
      <c r="X9598" s="8" t="e">
        <f>IF(Final_Sans_VGE[[#This Row],[ppn_z]]="","",IFERROR(
   IF(_xlfn.XLOOKUP(Final_Sans_VGE[[#This Row],[ppn_z]],tbl_Historique_Final[ppn_z],tbl_Historique_Final[date_modif])=Final_Sans_VGE[[#This Row],[date_modif]],
      "Ancien",
      "Modifié"),
   "Nouveau"))</f>
        <v>#VALUE!</v>
      </c>
      <c r="AD9598" s="1" t="str">
        <f>IFERROR(IF(Final_Sans_VGE[[#This Row],[ppn_z]]="","",IFERROR(
   IF(_xlfn.XLOOKUP(Final_Sans_VGE[[#This Row],[ppn_z]],tbl_Historique_Final[[#This Row],[ppn_z]],tbl_Historique_Final[[#This Row],[date_modif]])=Final_Sans_VGE[[#This Row],[date_modif]],
      "Ancien",
      "Modifié"),
   "Nouveau")),"")</f>
        <v/>
      </c>
    </row>
    <row r="9599" spans="24:30" x14ac:dyDescent="0.25">
      <c r="X9599" s="8" t="e">
        <f>IF(Final_Sans_VGE[[#This Row],[ppn_z]]="","",IFERROR(
   IF(_xlfn.XLOOKUP(Final_Sans_VGE[[#This Row],[ppn_z]],tbl_Historique_Final[ppn_z],tbl_Historique_Final[date_modif])=Final_Sans_VGE[[#This Row],[date_modif]],
      "Ancien",
      "Modifié"),
   "Nouveau"))</f>
        <v>#VALUE!</v>
      </c>
      <c r="AD9599" s="1" t="str">
        <f>IFERROR(IF(Final_Sans_VGE[[#This Row],[ppn_z]]="","",IFERROR(
   IF(_xlfn.XLOOKUP(Final_Sans_VGE[[#This Row],[ppn_z]],tbl_Historique_Final[[#This Row],[ppn_z]],tbl_Historique_Final[[#This Row],[date_modif]])=Final_Sans_VGE[[#This Row],[date_modif]],
      "Ancien",
      "Modifié"),
   "Nouveau")),"")</f>
        <v/>
      </c>
    </row>
    <row r="9600" spans="24:30" x14ac:dyDescent="0.25">
      <c r="X9600" s="8" t="e">
        <f>IF(Final_Sans_VGE[[#This Row],[ppn_z]]="","",IFERROR(
   IF(_xlfn.XLOOKUP(Final_Sans_VGE[[#This Row],[ppn_z]],tbl_Historique_Final[ppn_z],tbl_Historique_Final[date_modif])=Final_Sans_VGE[[#This Row],[date_modif]],
      "Ancien",
      "Modifié"),
   "Nouveau"))</f>
        <v>#VALUE!</v>
      </c>
      <c r="AD9600" s="1" t="str">
        <f>IFERROR(IF(Final_Sans_VGE[[#This Row],[ppn_z]]="","",IFERROR(
   IF(_xlfn.XLOOKUP(Final_Sans_VGE[[#This Row],[ppn_z]],tbl_Historique_Final[[#This Row],[ppn_z]],tbl_Historique_Final[[#This Row],[date_modif]])=Final_Sans_VGE[[#This Row],[date_modif]],
      "Ancien",
      "Modifié"),
   "Nouveau")),"")</f>
        <v/>
      </c>
    </row>
    <row r="9601" spans="24:30" x14ac:dyDescent="0.25">
      <c r="X9601" s="8" t="e">
        <f>IF(Final_Sans_VGE[[#This Row],[ppn_z]]="","",IFERROR(
   IF(_xlfn.XLOOKUP(Final_Sans_VGE[[#This Row],[ppn_z]],tbl_Historique_Final[ppn_z],tbl_Historique_Final[date_modif])=Final_Sans_VGE[[#This Row],[date_modif]],
      "Ancien",
      "Modifié"),
   "Nouveau"))</f>
        <v>#VALUE!</v>
      </c>
      <c r="AD9601" s="1" t="str">
        <f>IFERROR(IF(Final_Sans_VGE[[#This Row],[ppn_z]]="","",IFERROR(
   IF(_xlfn.XLOOKUP(Final_Sans_VGE[[#This Row],[ppn_z]],tbl_Historique_Final[[#This Row],[ppn_z]],tbl_Historique_Final[[#This Row],[date_modif]])=Final_Sans_VGE[[#This Row],[date_modif]],
      "Ancien",
      "Modifié"),
   "Nouveau")),"")</f>
        <v/>
      </c>
    </row>
    <row r="9602" spans="24:30" x14ac:dyDescent="0.25">
      <c r="X9602" s="8" t="e">
        <f>IF(Final_Sans_VGE[[#This Row],[ppn_z]]="","",IFERROR(
   IF(_xlfn.XLOOKUP(Final_Sans_VGE[[#This Row],[ppn_z]],tbl_Historique_Final[ppn_z],tbl_Historique_Final[date_modif])=Final_Sans_VGE[[#This Row],[date_modif]],
      "Ancien",
      "Modifié"),
   "Nouveau"))</f>
        <v>#VALUE!</v>
      </c>
      <c r="AD9602" s="1" t="str">
        <f>IFERROR(IF(Final_Sans_VGE[[#This Row],[ppn_z]]="","",IFERROR(
   IF(_xlfn.XLOOKUP(Final_Sans_VGE[[#This Row],[ppn_z]],tbl_Historique_Final[[#This Row],[ppn_z]],tbl_Historique_Final[[#This Row],[date_modif]])=Final_Sans_VGE[[#This Row],[date_modif]],
      "Ancien",
      "Modifié"),
   "Nouveau")),"")</f>
        <v/>
      </c>
    </row>
    <row r="9603" spans="24:30" x14ac:dyDescent="0.25">
      <c r="X9603" s="8" t="e">
        <f>IF(Final_Sans_VGE[[#This Row],[ppn_z]]="","",IFERROR(
   IF(_xlfn.XLOOKUP(Final_Sans_VGE[[#This Row],[ppn_z]],tbl_Historique_Final[ppn_z],tbl_Historique_Final[date_modif])=Final_Sans_VGE[[#This Row],[date_modif]],
      "Ancien",
      "Modifié"),
   "Nouveau"))</f>
        <v>#VALUE!</v>
      </c>
      <c r="AD9603" s="1" t="str">
        <f>IFERROR(IF(Final_Sans_VGE[[#This Row],[ppn_z]]="","",IFERROR(
   IF(_xlfn.XLOOKUP(Final_Sans_VGE[[#This Row],[ppn_z]],tbl_Historique_Final[[#This Row],[ppn_z]],tbl_Historique_Final[[#This Row],[date_modif]])=Final_Sans_VGE[[#This Row],[date_modif]],
      "Ancien",
      "Modifié"),
   "Nouveau")),"")</f>
        <v/>
      </c>
    </row>
    <row r="9604" spans="24:30" x14ac:dyDescent="0.25">
      <c r="X9604" s="8" t="e">
        <f>IF(Final_Sans_VGE[[#This Row],[ppn_z]]="","",IFERROR(
   IF(_xlfn.XLOOKUP(Final_Sans_VGE[[#This Row],[ppn_z]],tbl_Historique_Final[ppn_z],tbl_Historique_Final[date_modif])=Final_Sans_VGE[[#This Row],[date_modif]],
      "Ancien",
      "Modifié"),
   "Nouveau"))</f>
        <v>#VALUE!</v>
      </c>
      <c r="AD9604" s="1" t="str">
        <f>IFERROR(IF(Final_Sans_VGE[[#This Row],[ppn_z]]="","",IFERROR(
   IF(_xlfn.XLOOKUP(Final_Sans_VGE[[#This Row],[ppn_z]],tbl_Historique_Final[[#This Row],[ppn_z]],tbl_Historique_Final[[#This Row],[date_modif]])=Final_Sans_VGE[[#This Row],[date_modif]],
      "Ancien",
      "Modifié"),
   "Nouveau")),"")</f>
        <v/>
      </c>
    </row>
    <row r="9605" spans="24:30" x14ac:dyDescent="0.25">
      <c r="X9605" s="8" t="e">
        <f>IF(Final_Sans_VGE[[#This Row],[ppn_z]]="","",IFERROR(
   IF(_xlfn.XLOOKUP(Final_Sans_VGE[[#This Row],[ppn_z]],tbl_Historique_Final[ppn_z],tbl_Historique_Final[date_modif])=Final_Sans_VGE[[#This Row],[date_modif]],
      "Ancien",
      "Modifié"),
   "Nouveau"))</f>
        <v>#VALUE!</v>
      </c>
      <c r="AD9605" s="1" t="str">
        <f>IFERROR(IF(Final_Sans_VGE[[#This Row],[ppn_z]]="","",IFERROR(
   IF(_xlfn.XLOOKUP(Final_Sans_VGE[[#This Row],[ppn_z]],tbl_Historique_Final[[#This Row],[ppn_z]],tbl_Historique_Final[[#This Row],[date_modif]])=Final_Sans_VGE[[#This Row],[date_modif]],
      "Ancien",
      "Modifié"),
   "Nouveau")),"")</f>
        <v/>
      </c>
    </row>
    <row r="9606" spans="24:30" x14ac:dyDescent="0.25">
      <c r="X9606" s="8" t="e">
        <f>IF(Final_Sans_VGE[[#This Row],[ppn_z]]="","",IFERROR(
   IF(_xlfn.XLOOKUP(Final_Sans_VGE[[#This Row],[ppn_z]],tbl_Historique_Final[ppn_z],tbl_Historique_Final[date_modif])=Final_Sans_VGE[[#This Row],[date_modif]],
      "Ancien",
      "Modifié"),
   "Nouveau"))</f>
        <v>#VALUE!</v>
      </c>
      <c r="AD9606" s="1" t="str">
        <f>IFERROR(IF(Final_Sans_VGE[[#This Row],[ppn_z]]="","",IFERROR(
   IF(_xlfn.XLOOKUP(Final_Sans_VGE[[#This Row],[ppn_z]],tbl_Historique_Final[[#This Row],[ppn_z]],tbl_Historique_Final[[#This Row],[date_modif]])=Final_Sans_VGE[[#This Row],[date_modif]],
      "Ancien",
      "Modifié"),
   "Nouveau")),"")</f>
        <v/>
      </c>
    </row>
    <row r="9607" spans="24:30" x14ac:dyDescent="0.25">
      <c r="X9607" s="8" t="e">
        <f>IF(Final_Sans_VGE[[#This Row],[ppn_z]]="","",IFERROR(
   IF(_xlfn.XLOOKUP(Final_Sans_VGE[[#This Row],[ppn_z]],tbl_Historique_Final[ppn_z],tbl_Historique_Final[date_modif])=Final_Sans_VGE[[#This Row],[date_modif]],
      "Ancien",
      "Modifié"),
   "Nouveau"))</f>
        <v>#VALUE!</v>
      </c>
      <c r="AD9607" s="1" t="str">
        <f>IFERROR(IF(Final_Sans_VGE[[#This Row],[ppn_z]]="","",IFERROR(
   IF(_xlfn.XLOOKUP(Final_Sans_VGE[[#This Row],[ppn_z]],tbl_Historique_Final[[#This Row],[ppn_z]],tbl_Historique_Final[[#This Row],[date_modif]])=Final_Sans_VGE[[#This Row],[date_modif]],
      "Ancien",
      "Modifié"),
   "Nouveau")),"")</f>
        <v/>
      </c>
    </row>
    <row r="9608" spans="24:30" x14ac:dyDescent="0.25">
      <c r="X9608" s="8" t="e">
        <f>IF(Final_Sans_VGE[[#This Row],[ppn_z]]="","",IFERROR(
   IF(_xlfn.XLOOKUP(Final_Sans_VGE[[#This Row],[ppn_z]],tbl_Historique_Final[ppn_z],tbl_Historique_Final[date_modif])=Final_Sans_VGE[[#This Row],[date_modif]],
      "Ancien",
      "Modifié"),
   "Nouveau"))</f>
        <v>#VALUE!</v>
      </c>
      <c r="AD9608" s="1" t="str">
        <f>IFERROR(IF(Final_Sans_VGE[[#This Row],[ppn_z]]="","",IFERROR(
   IF(_xlfn.XLOOKUP(Final_Sans_VGE[[#This Row],[ppn_z]],tbl_Historique_Final[[#This Row],[ppn_z]],tbl_Historique_Final[[#This Row],[date_modif]])=Final_Sans_VGE[[#This Row],[date_modif]],
      "Ancien",
      "Modifié"),
   "Nouveau")),"")</f>
        <v/>
      </c>
    </row>
    <row r="9609" spans="24:30" x14ac:dyDescent="0.25">
      <c r="X9609" s="8" t="e">
        <f>IF(Final_Sans_VGE[[#This Row],[ppn_z]]="","",IFERROR(
   IF(_xlfn.XLOOKUP(Final_Sans_VGE[[#This Row],[ppn_z]],tbl_Historique_Final[ppn_z],tbl_Historique_Final[date_modif])=Final_Sans_VGE[[#This Row],[date_modif]],
      "Ancien",
      "Modifié"),
   "Nouveau"))</f>
        <v>#VALUE!</v>
      </c>
      <c r="AD9609" s="1" t="str">
        <f>IFERROR(IF(Final_Sans_VGE[[#This Row],[ppn_z]]="","",IFERROR(
   IF(_xlfn.XLOOKUP(Final_Sans_VGE[[#This Row],[ppn_z]],tbl_Historique_Final[[#This Row],[ppn_z]],tbl_Historique_Final[[#This Row],[date_modif]])=Final_Sans_VGE[[#This Row],[date_modif]],
      "Ancien",
      "Modifié"),
   "Nouveau")),"")</f>
        <v/>
      </c>
    </row>
    <row r="9610" spans="24:30" x14ac:dyDescent="0.25">
      <c r="X9610" s="8" t="e">
        <f>IF(Final_Sans_VGE[[#This Row],[ppn_z]]="","",IFERROR(
   IF(_xlfn.XLOOKUP(Final_Sans_VGE[[#This Row],[ppn_z]],tbl_Historique_Final[ppn_z],tbl_Historique_Final[date_modif])=Final_Sans_VGE[[#This Row],[date_modif]],
      "Ancien",
      "Modifié"),
   "Nouveau"))</f>
        <v>#VALUE!</v>
      </c>
      <c r="AD9610" s="1" t="str">
        <f>IFERROR(IF(Final_Sans_VGE[[#This Row],[ppn_z]]="","",IFERROR(
   IF(_xlfn.XLOOKUP(Final_Sans_VGE[[#This Row],[ppn_z]],tbl_Historique_Final[[#This Row],[ppn_z]],tbl_Historique_Final[[#This Row],[date_modif]])=Final_Sans_VGE[[#This Row],[date_modif]],
      "Ancien",
      "Modifié"),
   "Nouveau")),"")</f>
        <v/>
      </c>
    </row>
    <row r="9611" spans="24:30" x14ac:dyDescent="0.25">
      <c r="X9611" s="8" t="e">
        <f>IF(Final_Sans_VGE[[#This Row],[ppn_z]]="","",IFERROR(
   IF(_xlfn.XLOOKUP(Final_Sans_VGE[[#This Row],[ppn_z]],tbl_Historique_Final[ppn_z],tbl_Historique_Final[date_modif])=Final_Sans_VGE[[#This Row],[date_modif]],
      "Ancien",
      "Modifié"),
   "Nouveau"))</f>
        <v>#VALUE!</v>
      </c>
      <c r="AD9611" s="1" t="str">
        <f>IFERROR(IF(Final_Sans_VGE[[#This Row],[ppn_z]]="","",IFERROR(
   IF(_xlfn.XLOOKUP(Final_Sans_VGE[[#This Row],[ppn_z]],tbl_Historique_Final[[#This Row],[ppn_z]],tbl_Historique_Final[[#This Row],[date_modif]])=Final_Sans_VGE[[#This Row],[date_modif]],
      "Ancien",
      "Modifié"),
   "Nouveau")),"")</f>
        <v/>
      </c>
    </row>
    <row r="9612" spans="24:30" x14ac:dyDescent="0.25">
      <c r="X9612" s="8" t="e">
        <f>IF(Final_Sans_VGE[[#This Row],[ppn_z]]="","",IFERROR(
   IF(_xlfn.XLOOKUP(Final_Sans_VGE[[#This Row],[ppn_z]],tbl_Historique_Final[ppn_z],tbl_Historique_Final[date_modif])=Final_Sans_VGE[[#This Row],[date_modif]],
      "Ancien",
      "Modifié"),
   "Nouveau"))</f>
        <v>#VALUE!</v>
      </c>
      <c r="AD9612" s="1" t="str">
        <f>IFERROR(IF(Final_Sans_VGE[[#This Row],[ppn_z]]="","",IFERROR(
   IF(_xlfn.XLOOKUP(Final_Sans_VGE[[#This Row],[ppn_z]],tbl_Historique_Final[[#This Row],[ppn_z]],tbl_Historique_Final[[#This Row],[date_modif]])=Final_Sans_VGE[[#This Row],[date_modif]],
      "Ancien",
      "Modifié"),
   "Nouveau")),"")</f>
        <v/>
      </c>
    </row>
    <row r="9613" spans="24:30" x14ac:dyDescent="0.25">
      <c r="X9613" s="8" t="e">
        <f>IF(Final_Sans_VGE[[#This Row],[ppn_z]]="","",IFERROR(
   IF(_xlfn.XLOOKUP(Final_Sans_VGE[[#This Row],[ppn_z]],tbl_Historique_Final[ppn_z],tbl_Historique_Final[date_modif])=Final_Sans_VGE[[#This Row],[date_modif]],
      "Ancien",
      "Modifié"),
   "Nouveau"))</f>
        <v>#VALUE!</v>
      </c>
      <c r="AD9613" s="1" t="str">
        <f>IFERROR(IF(Final_Sans_VGE[[#This Row],[ppn_z]]="","",IFERROR(
   IF(_xlfn.XLOOKUP(Final_Sans_VGE[[#This Row],[ppn_z]],tbl_Historique_Final[[#This Row],[ppn_z]],tbl_Historique_Final[[#This Row],[date_modif]])=Final_Sans_VGE[[#This Row],[date_modif]],
      "Ancien",
      "Modifié"),
   "Nouveau")),"")</f>
        <v/>
      </c>
    </row>
    <row r="9614" spans="24:30" x14ac:dyDescent="0.25">
      <c r="X9614" s="8" t="e">
        <f>IF(Final_Sans_VGE[[#This Row],[ppn_z]]="","",IFERROR(
   IF(_xlfn.XLOOKUP(Final_Sans_VGE[[#This Row],[ppn_z]],tbl_Historique_Final[ppn_z],tbl_Historique_Final[date_modif])=Final_Sans_VGE[[#This Row],[date_modif]],
      "Ancien",
      "Modifié"),
   "Nouveau"))</f>
        <v>#VALUE!</v>
      </c>
      <c r="AD9614" s="1" t="str">
        <f>IFERROR(IF(Final_Sans_VGE[[#This Row],[ppn_z]]="","",IFERROR(
   IF(_xlfn.XLOOKUP(Final_Sans_VGE[[#This Row],[ppn_z]],tbl_Historique_Final[[#This Row],[ppn_z]],tbl_Historique_Final[[#This Row],[date_modif]])=Final_Sans_VGE[[#This Row],[date_modif]],
      "Ancien",
      "Modifié"),
   "Nouveau")),"")</f>
        <v/>
      </c>
    </row>
    <row r="9615" spans="24:30" x14ac:dyDescent="0.25">
      <c r="X9615" s="8" t="e">
        <f>IF(Final_Sans_VGE[[#This Row],[ppn_z]]="","",IFERROR(
   IF(_xlfn.XLOOKUP(Final_Sans_VGE[[#This Row],[ppn_z]],tbl_Historique_Final[ppn_z],tbl_Historique_Final[date_modif])=Final_Sans_VGE[[#This Row],[date_modif]],
      "Ancien",
      "Modifié"),
   "Nouveau"))</f>
        <v>#VALUE!</v>
      </c>
      <c r="AD9615" s="1" t="str">
        <f>IFERROR(IF(Final_Sans_VGE[[#This Row],[ppn_z]]="","",IFERROR(
   IF(_xlfn.XLOOKUP(Final_Sans_VGE[[#This Row],[ppn_z]],tbl_Historique_Final[[#This Row],[ppn_z]],tbl_Historique_Final[[#This Row],[date_modif]])=Final_Sans_VGE[[#This Row],[date_modif]],
      "Ancien",
      "Modifié"),
   "Nouveau")),"")</f>
        <v/>
      </c>
    </row>
    <row r="9616" spans="24:30" x14ac:dyDescent="0.25">
      <c r="X9616" s="8" t="e">
        <f>IF(Final_Sans_VGE[[#This Row],[ppn_z]]="","",IFERROR(
   IF(_xlfn.XLOOKUP(Final_Sans_VGE[[#This Row],[ppn_z]],tbl_Historique_Final[ppn_z],tbl_Historique_Final[date_modif])=Final_Sans_VGE[[#This Row],[date_modif]],
      "Ancien",
      "Modifié"),
   "Nouveau"))</f>
        <v>#VALUE!</v>
      </c>
      <c r="AD9616" s="1" t="str">
        <f>IFERROR(IF(Final_Sans_VGE[[#This Row],[ppn_z]]="","",IFERROR(
   IF(_xlfn.XLOOKUP(Final_Sans_VGE[[#This Row],[ppn_z]],tbl_Historique_Final[[#This Row],[ppn_z]],tbl_Historique_Final[[#This Row],[date_modif]])=Final_Sans_VGE[[#This Row],[date_modif]],
      "Ancien",
      "Modifié"),
   "Nouveau")),"")</f>
        <v/>
      </c>
    </row>
    <row r="9617" spans="24:30" x14ac:dyDescent="0.25">
      <c r="X9617" s="8" t="e">
        <f>IF(Final_Sans_VGE[[#This Row],[ppn_z]]="","",IFERROR(
   IF(_xlfn.XLOOKUP(Final_Sans_VGE[[#This Row],[ppn_z]],tbl_Historique_Final[ppn_z],tbl_Historique_Final[date_modif])=Final_Sans_VGE[[#This Row],[date_modif]],
      "Ancien",
      "Modifié"),
   "Nouveau"))</f>
        <v>#VALUE!</v>
      </c>
      <c r="AD9617" s="1" t="str">
        <f>IFERROR(IF(Final_Sans_VGE[[#This Row],[ppn_z]]="","",IFERROR(
   IF(_xlfn.XLOOKUP(Final_Sans_VGE[[#This Row],[ppn_z]],tbl_Historique_Final[[#This Row],[ppn_z]],tbl_Historique_Final[[#This Row],[date_modif]])=Final_Sans_VGE[[#This Row],[date_modif]],
      "Ancien",
      "Modifié"),
   "Nouveau")),"")</f>
        <v/>
      </c>
    </row>
    <row r="9618" spans="24:30" x14ac:dyDescent="0.25">
      <c r="X9618" s="8" t="e">
        <f>IF(Final_Sans_VGE[[#This Row],[ppn_z]]="","",IFERROR(
   IF(_xlfn.XLOOKUP(Final_Sans_VGE[[#This Row],[ppn_z]],tbl_Historique_Final[ppn_z],tbl_Historique_Final[date_modif])=Final_Sans_VGE[[#This Row],[date_modif]],
      "Ancien",
      "Modifié"),
   "Nouveau"))</f>
        <v>#VALUE!</v>
      </c>
      <c r="AD9618" s="1" t="str">
        <f>IFERROR(IF(Final_Sans_VGE[[#This Row],[ppn_z]]="","",IFERROR(
   IF(_xlfn.XLOOKUP(Final_Sans_VGE[[#This Row],[ppn_z]],tbl_Historique_Final[[#This Row],[ppn_z]],tbl_Historique_Final[[#This Row],[date_modif]])=Final_Sans_VGE[[#This Row],[date_modif]],
      "Ancien",
      "Modifié"),
   "Nouveau")),"")</f>
        <v/>
      </c>
    </row>
    <row r="9619" spans="24:30" x14ac:dyDescent="0.25">
      <c r="X9619" s="8" t="e">
        <f>IF(Final_Sans_VGE[[#This Row],[ppn_z]]="","",IFERROR(
   IF(_xlfn.XLOOKUP(Final_Sans_VGE[[#This Row],[ppn_z]],tbl_Historique_Final[ppn_z],tbl_Historique_Final[date_modif])=Final_Sans_VGE[[#This Row],[date_modif]],
      "Ancien",
      "Modifié"),
   "Nouveau"))</f>
        <v>#VALUE!</v>
      </c>
      <c r="AD9619" s="1" t="str">
        <f>IFERROR(IF(Final_Sans_VGE[[#This Row],[ppn_z]]="","",IFERROR(
   IF(_xlfn.XLOOKUP(Final_Sans_VGE[[#This Row],[ppn_z]],tbl_Historique_Final[[#This Row],[ppn_z]],tbl_Historique_Final[[#This Row],[date_modif]])=Final_Sans_VGE[[#This Row],[date_modif]],
      "Ancien",
      "Modifié"),
   "Nouveau")),"")</f>
        <v/>
      </c>
    </row>
    <row r="9620" spans="24:30" x14ac:dyDescent="0.25">
      <c r="X9620" s="8" t="e">
        <f>IF(Final_Sans_VGE[[#This Row],[ppn_z]]="","",IFERROR(
   IF(_xlfn.XLOOKUP(Final_Sans_VGE[[#This Row],[ppn_z]],tbl_Historique_Final[ppn_z],tbl_Historique_Final[date_modif])=Final_Sans_VGE[[#This Row],[date_modif]],
      "Ancien",
      "Modifié"),
   "Nouveau"))</f>
        <v>#VALUE!</v>
      </c>
      <c r="AD9620" s="1" t="str">
        <f>IFERROR(IF(Final_Sans_VGE[[#This Row],[ppn_z]]="","",IFERROR(
   IF(_xlfn.XLOOKUP(Final_Sans_VGE[[#This Row],[ppn_z]],tbl_Historique_Final[[#This Row],[ppn_z]],tbl_Historique_Final[[#This Row],[date_modif]])=Final_Sans_VGE[[#This Row],[date_modif]],
      "Ancien",
      "Modifié"),
   "Nouveau")),"")</f>
        <v/>
      </c>
    </row>
    <row r="9621" spans="24:30" x14ac:dyDescent="0.25">
      <c r="X9621" s="8" t="e">
        <f>IF(Final_Sans_VGE[[#This Row],[ppn_z]]="","",IFERROR(
   IF(_xlfn.XLOOKUP(Final_Sans_VGE[[#This Row],[ppn_z]],tbl_Historique_Final[ppn_z],tbl_Historique_Final[date_modif])=Final_Sans_VGE[[#This Row],[date_modif]],
      "Ancien",
      "Modifié"),
   "Nouveau"))</f>
        <v>#VALUE!</v>
      </c>
      <c r="AD9621" s="1" t="str">
        <f>IFERROR(IF(Final_Sans_VGE[[#This Row],[ppn_z]]="","",IFERROR(
   IF(_xlfn.XLOOKUP(Final_Sans_VGE[[#This Row],[ppn_z]],tbl_Historique_Final[[#This Row],[ppn_z]],tbl_Historique_Final[[#This Row],[date_modif]])=Final_Sans_VGE[[#This Row],[date_modif]],
      "Ancien",
      "Modifié"),
   "Nouveau")),"")</f>
        <v/>
      </c>
    </row>
    <row r="9622" spans="24:30" x14ac:dyDescent="0.25">
      <c r="X9622" s="8" t="e">
        <f>IF(Final_Sans_VGE[[#This Row],[ppn_z]]="","",IFERROR(
   IF(_xlfn.XLOOKUP(Final_Sans_VGE[[#This Row],[ppn_z]],tbl_Historique_Final[ppn_z],tbl_Historique_Final[date_modif])=Final_Sans_VGE[[#This Row],[date_modif]],
      "Ancien",
      "Modifié"),
   "Nouveau"))</f>
        <v>#VALUE!</v>
      </c>
      <c r="AD9622" s="1" t="str">
        <f>IFERROR(IF(Final_Sans_VGE[[#This Row],[ppn_z]]="","",IFERROR(
   IF(_xlfn.XLOOKUP(Final_Sans_VGE[[#This Row],[ppn_z]],tbl_Historique_Final[[#This Row],[ppn_z]],tbl_Historique_Final[[#This Row],[date_modif]])=Final_Sans_VGE[[#This Row],[date_modif]],
      "Ancien",
      "Modifié"),
   "Nouveau")),"")</f>
        <v/>
      </c>
    </row>
    <row r="9623" spans="24:30" x14ac:dyDescent="0.25">
      <c r="X9623" s="8" t="e">
        <f>IF(Final_Sans_VGE[[#This Row],[ppn_z]]="","",IFERROR(
   IF(_xlfn.XLOOKUP(Final_Sans_VGE[[#This Row],[ppn_z]],tbl_Historique_Final[ppn_z],tbl_Historique_Final[date_modif])=Final_Sans_VGE[[#This Row],[date_modif]],
      "Ancien",
      "Modifié"),
   "Nouveau"))</f>
        <v>#VALUE!</v>
      </c>
      <c r="AD9623" s="1" t="str">
        <f>IFERROR(IF(Final_Sans_VGE[[#This Row],[ppn_z]]="","",IFERROR(
   IF(_xlfn.XLOOKUP(Final_Sans_VGE[[#This Row],[ppn_z]],tbl_Historique_Final[[#This Row],[ppn_z]],tbl_Historique_Final[[#This Row],[date_modif]])=Final_Sans_VGE[[#This Row],[date_modif]],
      "Ancien",
      "Modifié"),
   "Nouveau")),"")</f>
        <v/>
      </c>
    </row>
    <row r="9624" spans="24:30" x14ac:dyDescent="0.25">
      <c r="X9624" s="8" t="e">
        <f>IF(Final_Sans_VGE[[#This Row],[ppn_z]]="","",IFERROR(
   IF(_xlfn.XLOOKUP(Final_Sans_VGE[[#This Row],[ppn_z]],tbl_Historique_Final[ppn_z],tbl_Historique_Final[date_modif])=Final_Sans_VGE[[#This Row],[date_modif]],
      "Ancien",
      "Modifié"),
   "Nouveau"))</f>
        <v>#VALUE!</v>
      </c>
      <c r="AD9624" s="1" t="str">
        <f>IFERROR(IF(Final_Sans_VGE[[#This Row],[ppn_z]]="","",IFERROR(
   IF(_xlfn.XLOOKUP(Final_Sans_VGE[[#This Row],[ppn_z]],tbl_Historique_Final[[#This Row],[ppn_z]],tbl_Historique_Final[[#This Row],[date_modif]])=Final_Sans_VGE[[#This Row],[date_modif]],
      "Ancien",
      "Modifié"),
   "Nouveau")),"")</f>
        <v/>
      </c>
    </row>
    <row r="9625" spans="24:30" x14ac:dyDescent="0.25">
      <c r="X9625" s="8" t="e">
        <f>IF(Final_Sans_VGE[[#This Row],[ppn_z]]="","",IFERROR(
   IF(_xlfn.XLOOKUP(Final_Sans_VGE[[#This Row],[ppn_z]],tbl_Historique_Final[ppn_z],tbl_Historique_Final[date_modif])=Final_Sans_VGE[[#This Row],[date_modif]],
      "Ancien",
      "Modifié"),
   "Nouveau"))</f>
        <v>#VALUE!</v>
      </c>
      <c r="AD9625" s="1" t="str">
        <f>IFERROR(IF(Final_Sans_VGE[[#This Row],[ppn_z]]="","",IFERROR(
   IF(_xlfn.XLOOKUP(Final_Sans_VGE[[#This Row],[ppn_z]],tbl_Historique_Final[[#This Row],[ppn_z]],tbl_Historique_Final[[#This Row],[date_modif]])=Final_Sans_VGE[[#This Row],[date_modif]],
      "Ancien",
      "Modifié"),
   "Nouveau")),"")</f>
        <v/>
      </c>
    </row>
    <row r="9626" spans="24:30" x14ac:dyDescent="0.25">
      <c r="X9626" s="8" t="e">
        <f>IF(Final_Sans_VGE[[#This Row],[ppn_z]]="","",IFERROR(
   IF(_xlfn.XLOOKUP(Final_Sans_VGE[[#This Row],[ppn_z]],tbl_Historique_Final[ppn_z],tbl_Historique_Final[date_modif])=Final_Sans_VGE[[#This Row],[date_modif]],
      "Ancien",
      "Modifié"),
   "Nouveau"))</f>
        <v>#VALUE!</v>
      </c>
      <c r="AD9626" s="1" t="str">
        <f>IFERROR(IF(Final_Sans_VGE[[#This Row],[ppn_z]]="","",IFERROR(
   IF(_xlfn.XLOOKUP(Final_Sans_VGE[[#This Row],[ppn_z]],tbl_Historique_Final[[#This Row],[ppn_z]],tbl_Historique_Final[[#This Row],[date_modif]])=Final_Sans_VGE[[#This Row],[date_modif]],
      "Ancien",
      "Modifié"),
   "Nouveau")),"")</f>
        <v/>
      </c>
    </row>
    <row r="9627" spans="24:30" x14ac:dyDescent="0.25">
      <c r="X9627" s="8" t="e">
        <f>IF(Final_Sans_VGE[[#This Row],[ppn_z]]="","",IFERROR(
   IF(_xlfn.XLOOKUP(Final_Sans_VGE[[#This Row],[ppn_z]],tbl_Historique_Final[ppn_z],tbl_Historique_Final[date_modif])=Final_Sans_VGE[[#This Row],[date_modif]],
      "Ancien",
      "Modifié"),
   "Nouveau"))</f>
        <v>#VALUE!</v>
      </c>
      <c r="AD9627" s="1" t="str">
        <f>IFERROR(IF(Final_Sans_VGE[[#This Row],[ppn_z]]="","",IFERROR(
   IF(_xlfn.XLOOKUP(Final_Sans_VGE[[#This Row],[ppn_z]],tbl_Historique_Final[[#This Row],[ppn_z]],tbl_Historique_Final[[#This Row],[date_modif]])=Final_Sans_VGE[[#This Row],[date_modif]],
      "Ancien",
      "Modifié"),
   "Nouveau")),"")</f>
        <v/>
      </c>
    </row>
    <row r="9628" spans="24:30" x14ac:dyDescent="0.25">
      <c r="X9628" s="8" t="e">
        <f>IF(Final_Sans_VGE[[#This Row],[ppn_z]]="","",IFERROR(
   IF(_xlfn.XLOOKUP(Final_Sans_VGE[[#This Row],[ppn_z]],tbl_Historique_Final[ppn_z],tbl_Historique_Final[date_modif])=Final_Sans_VGE[[#This Row],[date_modif]],
      "Ancien",
      "Modifié"),
   "Nouveau"))</f>
        <v>#VALUE!</v>
      </c>
      <c r="AD9628" s="1" t="str">
        <f>IFERROR(IF(Final_Sans_VGE[[#This Row],[ppn_z]]="","",IFERROR(
   IF(_xlfn.XLOOKUP(Final_Sans_VGE[[#This Row],[ppn_z]],tbl_Historique_Final[[#This Row],[ppn_z]],tbl_Historique_Final[[#This Row],[date_modif]])=Final_Sans_VGE[[#This Row],[date_modif]],
      "Ancien",
      "Modifié"),
   "Nouveau")),"")</f>
        <v/>
      </c>
    </row>
    <row r="9629" spans="24:30" x14ac:dyDescent="0.25">
      <c r="X9629" s="8" t="e">
        <f>IF(Final_Sans_VGE[[#This Row],[ppn_z]]="","",IFERROR(
   IF(_xlfn.XLOOKUP(Final_Sans_VGE[[#This Row],[ppn_z]],tbl_Historique_Final[ppn_z],tbl_Historique_Final[date_modif])=Final_Sans_VGE[[#This Row],[date_modif]],
      "Ancien",
      "Modifié"),
   "Nouveau"))</f>
        <v>#VALUE!</v>
      </c>
      <c r="AD9629" s="1" t="str">
        <f>IFERROR(IF(Final_Sans_VGE[[#This Row],[ppn_z]]="","",IFERROR(
   IF(_xlfn.XLOOKUP(Final_Sans_VGE[[#This Row],[ppn_z]],tbl_Historique_Final[[#This Row],[ppn_z]],tbl_Historique_Final[[#This Row],[date_modif]])=Final_Sans_VGE[[#This Row],[date_modif]],
      "Ancien",
      "Modifié"),
   "Nouveau")),"")</f>
        <v/>
      </c>
    </row>
    <row r="9630" spans="24:30" x14ac:dyDescent="0.25">
      <c r="X9630" s="8" t="e">
        <f>IF(Final_Sans_VGE[[#This Row],[ppn_z]]="","",IFERROR(
   IF(_xlfn.XLOOKUP(Final_Sans_VGE[[#This Row],[ppn_z]],tbl_Historique_Final[ppn_z],tbl_Historique_Final[date_modif])=Final_Sans_VGE[[#This Row],[date_modif]],
      "Ancien",
      "Modifié"),
   "Nouveau"))</f>
        <v>#VALUE!</v>
      </c>
      <c r="AD9630" s="1" t="str">
        <f>IFERROR(IF(Final_Sans_VGE[[#This Row],[ppn_z]]="","",IFERROR(
   IF(_xlfn.XLOOKUP(Final_Sans_VGE[[#This Row],[ppn_z]],tbl_Historique_Final[[#This Row],[ppn_z]],tbl_Historique_Final[[#This Row],[date_modif]])=Final_Sans_VGE[[#This Row],[date_modif]],
      "Ancien",
      "Modifié"),
   "Nouveau")),"")</f>
        <v/>
      </c>
    </row>
    <row r="9631" spans="24:30" x14ac:dyDescent="0.25">
      <c r="X9631" s="8" t="e">
        <f>IF(Final_Sans_VGE[[#This Row],[ppn_z]]="","",IFERROR(
   IF(_xlfn.XLOOKUP(Final_Sans_VGE[[#This Row],[ppn_z]],tbl_Historique_Final[ppn_z],tbl_Historique_Final[date_modif])=Final_Sans_VGE[[#This Row],[date_modif]],
      "Ancien",
      "Modifié"),
   "Nouveau"))</f>
        <v>#VALUE!</v>
      </c>
      <c r="AD9631" s="1" t="str">
        <f>IFERROR(IF(Final_Sans_VGE[[#This Row],[ppn_z]]="","",IFERROR(
   IF(_xlfn.XLOOKUP(Final_Sans_VGE[[#This Row],[ppn_z]],tbl_Historique_Final[[#This Row],[ppn_z]],tbl_Historique_Final[[#This Row],[date_modif]])=Final_Sans_VGE[[#This Row],[date_modif]],
      "Ancien",
      "Modifié"),
   "Nouveau")),"")</f>
        <v/>
      </c>
    </row>
    <row r="9632" spans="24:30" x14ac:dyDescent="0.25">
      <c r="X9632" s="8" t="e">
        <f>IF(Final_Sans_VGE[[#This Row],[ppn_z]]="","",IFERROR(
   IF(_xlfn.XLOOKUP(Final_Sans_VGE[[#This Row],[ppn_z]],tbl_Historique_Final[ppn_z],tbl_Historique_Final[date_modif])=Final_Sans_VGE[[#This Row],[date_modif]],
      "Ancien",
      "Modifié"),
   "Nouveau"))</f>
        <v>#VALUE!</v>
      </c>
      <c r="AD9632" s="1" t="str">
        <f>IFERROR(IF(Final_Sans_VGE[[#This Row],[ppn_z]]="","",IFERROR(
   IF(_xlfn.XLOOKUP(Final_Sans_VGE[[#This Row],[ppn_z]],tbl_Historique_Final[[#This Row],[ppn_z]],tbl_Historique_Final[[#This Row],[date_modif]])=Final_Sans_VGE[[#This Row],[date_modif]],
      "Ancien",
      "Modifié"),
   "Nouveau")),"")</f>
        <v/>
      </c>
    </row>
    <row r="9633" spans="24:30" x14ac:dyDescent="0.25">
      <c r="X9633" s="8" t="e">
        <f>IF(Final_Sans_VGE[[#This Row],[ppn_z]]="","",IFERROR(
   IF(_xlfn.XLOOKUP(Final_Sans_VGE[[#This Row],[ppn_z]],tbl_Historique_Final[ppn_z],tbl_Historique_Final[date_modif])=Final_Sans_VGE[[#This Row],[date_modif]],
      "Ancien",
      "Modifié"),
   "Nouveau"))</f>
        <v>#VALUE!</v>
      </c>
      <c r="AD9633" s="1" t="str">
        <f>IFERROR(IF(Final_Sans_VGE[[#This Row],[ppn_z]]="","",IFERROR(
   IF(_xlfn.XLOOKUP(Final_Sans_VGE[[#This Row],[ppn_z]],tbl_Historique_Final[[#This Row],[ppn_z]],tbl_Historique_Final[[#This Row],[date_modif]])=Final_Sans_VGE[[#This Row],[date_modif]],
      "Ancien",
      "Modifié"),
   "Nouveau")),"")</f>
        <v/>
      </c>
    </row>
    <row r="9634" spans="24:30" x14ac:dyDescent="0.25">
      <c r="X9634" s="8" t="e">
        <f>IF(Final_Sans_VGE[[#This Row],[ppn_z]]="","",IFERROR(
   IF(_xlfn.XLOOKUP(Final_Sans_VGE[[#This Row],[ppn_z]],tbl_Historique_Final[ppn_z],tbl_Historique_Final[date_modif])=Final_Sans_VGE[[#This Row],[date_modif]],
      "Ancien",
      "Modifié"),
   "Nouveau"))</f>
        <v>#VALUE!</v>
      </c>
      <c r="AD9634" s="1" t="str">
        <f>IFERROR(IF(Final_Sans_VGE[[#This Row],[ppn_z]]="","",IFERROR(
   IF(_xlfn.XLOOKUP(Final_Sans_VGE[[#This Row],[ppn_z]],tbl_Historique_Final[[#This Row],[ppn_z]],tbl_Historique_Final[[#This Row],[date_modif]])=Final_Sans_VGE[[#This Row],[date_modif]],
      "Ancien",
      "Modifié"),
   "Nouveau")),"")</f>
        <v/>
      </c>
    </row>
    <row r="9635" spans="24:30" x14ac:dyDescent="0.25">
      <c r="X9635" s="8" t="e">
        <f>IF(Final_Sans_VGE[[#This Row],[ppn_z]]="","",IFERROR(
   IF(_xlfn.XLOOKUP(Final_Sans_VGE[[#This Row],[ppn_z]],tbl_Historique_Final[ppn_z],tbl_Historique_Final[date_modif])=Final_Sans_VGE[[#This Row],[date_modif]],
      "Ancien",
      "Modifié"),
   "Nouveau"))</f>
        <v>#VALUE!</v>
      </c>
      <c r="AD9635" s="1" t="str">
        <f>IFERROR(IF(Final_Sans_VGE[[#This Row],[ppn_z]]="","",IFERROR(
   IF(_xlfn.XLOOKUP(Final_Sans_VGE[[#This Row],[ppn_z]],tbl_Historique_Final[[#This Row],[ppn_z]],tbl_Historique_Final[[#This Row],[date_modif]])=Final_Sans_VGE[[#This Row],[date_modif]],
      "Ancien",
      "Modifié"),
   "Nouveau")),"")</f>
        <v/>
      </c>
    </row>
    <row r="9636" spans="24:30" x14ac:dyDescent="0.25">
      <c r="X9636" s="8" t="e">
        <f>IF(Final_Sans_VGE[[#This Row],[ppn_z]]="","",IFERROR(
   IF(_xlfn.XLOOKUP(Final_Sans_VGE[[#This Row],[ppn_z]],tbl_Historique_Final[ppn_z],tbl_Historique_Final[date_modif])=Final_Sans_VGE[[#This Row],[date_modif]],
      "Ancien",
      "Modifié"),
   "Nouveau"))</f>
        <v>#VALUE!</v>
      </c>
      <c r="AD9636" s="1" t="str">
        <f>IFERROR(IF(Final_Sans_VGE[[#This Row],[ppn_z]]="","",IFERROR(
   IF(_xlfn.XLOOKUP(Final_Sans_VGE[[#This Row],[ppn_z]],tbl_Historique_Final[[#This Row],[ppn_z]],tbl_Historique_Final[[#This Row],[date_modif]])=Final_Sans_VGE[[#This Row],[date_modif]],
      "Ancien",
      "Modifié"),
   "Nouveau")),"")</f>
        <v/>
      </c>
    </row>
    <row r="9637" spans="24:30" x14ac:dyDescent="0.25">
      <c r="X9637" s="8" t="e">
        <f>IF(Final_Sans_VGE[[#This Row],[ppn_z]]="","",IFERROR(
   IF(_xlfn.XLOOKUP(Final_Sans_VGE[[#This Row],[ppn_z]],tbl_Historique_Final[ppn_z],tbl_Historique_Final[date_modif])=Final_Sans_VGE[[#This Row],[date_modif]],
      "Ancien",
      "Modifié"),
   "Nouveau"))</f>
        <v>#VALUE!</v>
      </c>
      <c r="AD9637" s="1" t="str">
        <f>IFERROR(IF(Final_Sans_VGE[[#This Row],[ppn_z]]="","",IFERROR(
   IF(_xlfn.XLOOKUP(Final_Sans_VGE[[#This Row],[ppn_z]],tbl_Historique_Final[[#This Row],[ppn_z]],tbl_Historique_Final[[#This Row],[date_modif]])=Final_Sans_VGE[[#This Row],[date_modif]],
      "Ancien",
      "Modifié"),
   "Nouveau")),"")</f>
        <v/>
      </c>
    </row>
    <row r="9638" spans="24:30" x14ac:dyDescent="0.25">
      <c r="X9638" s="8" t="e">
        <f>IF(Final_Sans_VGE[[#This Row],[ppn_z]]="","",IFERROR(
   IF(_xlfn.XLOOKUP(Final_Sans_VGE[[#This Row],[ppn_z]],tbl_Historique_Final[ppn_z],tbl_Historique_Final[date_modif])=Final_Sans_VGE[[#This Row],[date_modif]],
      "Ancien",
      "Modifié"),
   "Nouveau"))</f>
        <v>#VALUE!</v>
      </c>
      <c r="AD9638" s="1" t="str">
        <f>IFERROR(IF(Final_Sans_VGE[[#This Row],[ppn_z]]="","",IFERROR(
   IF(_xlfn.XLOOKUP(Final_Sans_VGE[[#This Row],[ppn_z]],tbl_Historique_Final[[#This Row],[ppn_z]],tbl_Historique_Final[[#This Row],[date_modif]])=Final_Sans_VGE[[#This Row],[date_modif]],
      "Ancien",
      "Modifié"),
   "Nouveau")),"")</f>
        <v/>
      </c>
    </row>
    <row r="9639" spans="24:30" x14ac:dyDescent="0.25">
      <c r="X9639" s="8" t="e">
        <f>IF(Final_Sans_VGE[[#This Row],[ppn_z]]="","",IFERROR(
   IF(_xlfn.XLOOKUP(Final_Sans_VGE[[#This Row],[ppn_z]],tbl_Historique_Final[ppn_z],tbl_Historique_Final[date_modif])=Final_Sans_VGE[[#This Row],[date_modif]],
      "Ancien",
      "Modifié"),
   "Nouveau"))</f>
        <v>#VALUE!</v>
      </c>
      <c r="AD9639" s="1" t="str">
        <f>IFERROR(IF(Final_Sans_VGE[[#This Row],[ppn_z]]="","",IFERROR(
   IF(_xlfn.XLOOKUP(Final_Sans_VGE[[#This Row],[ppn_z]],tbl_Historique_Final[[#This Row],[ppn_z]],tbl_Historique_Final[[#This Row],[date_modif]])=Final_Sans_VGE[[#This Row],[date_modif]],
      "Ancien",
      "Modifié"),
   "Nouveau")),"")</f>
        <v/>
      </c>
    </row>
    <row r="9640" spans="24:30" x14ac:dyDescent="0.25">
      <c r="X9640" s="8" t="e">
        <f>IF(Final_Sans_VGE[[#This Row],[ppn_z]]="","",IFERROR(
   IF(_xlfn.XLOOKUP(Final_Sans_VGE[[#This Row],[ppn_z]],tbl_Historique_Final[ppn_z],tbl_Historique_Final[date_modif])=Final_Sans_VGE[[#This Row],[date_modif]],
      "Ancien",
      "Modifié"),
   "Nouveau"))</f>
        <v>#VALUE!</v>
      </c>
      <c r="AD9640" s="1" t="str">
        <f>IFERROR(IF(Final_Sans_VGE[[#This Row],[ppn_z]]="","",IFERROR(
   IF(_xlfn.XLOOKUP(Final_Sans_VGE[[#This Row],[ppn_z]],tbl_Historique_Final[[#This Row],[ppn_z]],tbl_Historique_Final[[#This Row],[date_modif]])=Final_Sans_VGE[[#This Row],[date_modif]],
      "Ancien",
      "Modifié"),
   "Nouveau")),"")</f>
        <v/>
      </c>
    </row>
    <row r="9641" spans="24:30" x14ac:dyDescent="0.25">
      <c r="X9641" s="8" t="e">
        <f>IF(Final_Sans_VGE[[#This Row],[ppn_z]]="","",IFERROR(
   IF(_xlfn.XLOOKUP(Final_Sans_VGE[[#This Row],[ppn_z]],tbl_Historique_Final[ppn_z],tbl_Historique_Final[date_modif])=Final_Sans_VGE[[#This Row],[date_modif]],
      "Ancien",
      "Modifié"),
   "Nouveau"))</f>
        <v>#VALUE!</v>
      </c>
      <c r="AD9641" s="1" t="str">
        <f>IFERROR(IF(Final_Sans_VGE[[#This Row],[ppn_z]]="","",IFERROR(
   IF(_xlfn.XLOOKUP(Final_Sans_VGE[[#This Row],[ppn_z]],tbl_Historique_Final[[#This Row],[ppn_z]],tbl_Historique_Final[[#This Row],[date_modif]])=Final_Sans_VGE[[#This Row],[date_modif]],
      "Ancien",
      "Modifié"),
   "Nouveau")),"")</f>
        <v/>
      </c>
    </row>
    <row r="9642" spans="24:30" x14ac:dyDescent="0.25">
      <c r="X9642" s="8" t="e">
        <f>IF(Final_Sans_VGE[[#This Row],[ppn_z]]="","",IFERROR(
   IF(_xlfn.XLOOKUP(Final_Sans_VGE[[#This Row],[ppn_z]],tbl_Historique_Final[ppn_z],tbl_Historique_Final[date_modif])=Final_Sans_VGE[[#This Row],[date_modif]],
      "Ancien",
      "Modifié"),
   "Nouveau"))</f>
        <v>#VALUE!</v>
      </c>
      <c r="AD9642" s="1" t="str">
        <f>IFERROR(IF(Final_Sans_VGE[[#This Row],[ppn_z]]="","",IFERROR(
   IF(_xlfn.XLOOKUP(Final_Sans_VGE[[#This Row],[ppn_z]],tbl_Historique_Final[[#This Row],[ppn_z]],tbl_Historique_Final[[#This Row],[date_modif]])=Final_Sans_VGE[[#This Row],[date_modif]],
      "Ancien",
      "Modifié"),
   "Nouveau")),"")</f>
        <v/>
      </c>
    </row>
    <row r="9643" spans="24:30" x14ac:dyDescent="0.25">
      <c r="X9643" s="8" t="e">
        <f>IF(Final_Sans_VGE[[#This Row],[ppn_z]]="","",IFERROR(
   IF(_xlfn.XLOOKUP(Final_Sans_VGE[[#This Row],[ppn_z]],tbl_Historique_Final[ppn_z],tbl_Historique_Final[date_modif])=Final_Sans_VGE[[#This Row],[date_modif]],
      "Ancien",
      "Modifié"),
   "Nouveau"))</f>
        <v>#VALUE!</v>
      </c>
      <c r="AD9643" s="1" t="str">
        <f>IFERROR(IF(Final_Sans_VGE[[#This Row],[ppn_z]]="","",IFERROR(
   IF(_xlfn.XLOOKUP(Final_Sans_VGE[[#This Row],[ppn_z]],tbl_Historique_Final[[#This Row],[ppn_z]],tbl_Historique_Final[[#This Row],[date_modif]])=Final_Sans_VGE[[#This Row],[date_modif]],
      "Ancien",
      "Modifié"),
   "Nouveau")),"")</f>
        <v/>
      </c>
    </row>
    <row r="9644" spans="24:30" x14ac:dyDescent="0.25">
      <c r="X9644" s="8" t="e">
        <f>IF(Final_Sans_VGE[[#This Row],[ppn_z]]="","",IFERROR(
   IF(_xlfn.XLOOKUP(Final_Sans_VGE[[#This Row],[ppn_z]],tbl_Historique_Final[ppn_z],tbl_Historique_Final[date_modif])=Final_Sans_VGE[[#This Row],[date_modif]],
      "Ancien",
      "Modifié"),
   "Nouveau"))</f>
        <v>#VALUE!</v>
      </c>
      <c r="AD9644" s="1" t="str">
        <f>IFERROR(IF(Final_Sans_VGE[[#This Row],[ppn_z]]="","",IFERROR(
   IF(_xlfn.XLOOKUP(Final_Sans_VGE[[#This Row],[ppn_z]],tbl_Historique_Final[[#This Row],[ppn_z]],tbl_Historique_Final[[#This Row],[date_modif]])=Final_Sans_VGE[[#This Row],[date_modif]],
      "Ancien",
      "Modifié"),
   "Nouveau")),"")</f>
        <v/>
      </c>
    </row>
    <row r="9645" spans="24:30" x14ac:dyDescent="0.25">
      <c r="X9645" s="8" t="e">
        <f>IF(Final_Sans_VGE[[#This Row],[ppn_z]]="","",IFERROR(
   IF(_xlfn.XLOOKUP(Final_Sans_VGE[[#This Row],[ppn_z]],tbl_Historique_Final[ppn_z],tbl_Historique_Final[date_modif])=Final_Sans_VGE[[#This Row],[date_modif]],
      "Ancien",
      "Modifié"),
   "Nouveau"))</f>
        <v>#VALUE!</v>
      </c>
      <c r="AD9645" s="1" t="str">
        <f>IFERROR(IF(Final_Sans_VGE[[#This Row],[ppn_z]]="","",IFERROR(
   IF(_xlfn.XLOOKUP(Final_Sans_VGE[[#This Row],[ppn_z]],tbl_Historique_Final[[#This Row],[ppn_z]],tbl_Historique_Final[[#This Row],[date_modif]])=Final_Sans_VGE[[#This Row],[date_modif]],
      "Ancien",
      "Modifié"),
   "Nouveau")),"")</f>
        <v/>
      </c>
    </row>
    <row r="9646" spans="24:30" x14ac:dyDescent="0.25">
      <c r="X9646" s="8" t="e">
        <f>IF(Final_Sans_VGE[[#This Row],[ppn_z]]="","",IFERROR(
   IF(_xlfn.XLOOKUP(Final_Sans_VGE[[#This Row],[ppn_z]],tbl_Historique_Final[ppn_z],tbl_Historique_Final[date_modif])=Final_Sans_VGE[[#This Row],[date_modif]],
      "Ancien",
      "Modifié"),
   "Nouveau"))</f>
        <v>#VALUE!</v>
      </c>
      <c r="AD9646" s="1" t="str">
        <f>IFERROR(IF(Final_Sans_VGE[[#This Row],[ppn_z]]="","",IFERROR(
   IF(_xlfn.XLOOKUP(Final_Sans_VGE[[#This Row],[ppn_z]],tbl_Historique_Final[[#This Row],[ppn_z]],tbl_Historique_Final[[#This Row],[date_modif]])=Final_Sans_VGE[[#This Row],[date_modif]],
      "Ancien",
      "Modifié"),
   "Nouveau")),"")</f>
        <v/>
      </c>
    </row>
    <row r="9647" spans="24:30" x14ac:dyDescent="0.25">
      <c r="X9647" s="8" t="e">
        <f>IF(Final_Sans_VGE[[#This Row],[ppn_z]]="","",IFERROR(
   IF(_xlfn.XLOOKUP(Final_Sans_VGE[[#This Row],[ppn_z]],tbl_Historique_Final[ppn_z],tbl_Historique_Final[date_modif])=Final_Sans_VGE[[#This Row],[date_modif]],
      "Ancien",
      "Modifié"),
   "Nouveau"))</f>
        <v>#VALUE!</v>
      </c>
      <c r="AD9647" s="1" t="str">
        <f>IFERROR(IF(Final_Sans_VGE[[#This Row],[ppn_z]]="","",IFERROR(
   IF(_xlfn.XLOOKUP(Final_Sans_VGE[[#This Row],[ppn_z]],tbl_Historique_Final[[#This Row],[ppn_z]],tbl_Historique_Final[[#This Row],[date_modif]])=Final_Sans_VGE[[#This Row],[date_modif]],
      "Ancien",
      "Modifié"),
   "Nouveau")),"")</f>
        <v/>
      </c>
    </row>
    <row r="9648" spans="24:30" x14ac:dyDescent="0.25">
      <c r="X9648" s="8" t="e">
        <f>IF(Final_Sans_VGE[[#This Row],[ppn_z]]="","",IFERROR(
   IF(_xlfn.XLOOKUP(Final_Sans_VGE[[#This Row],[ppn_z]],tbl_Historique_Final[ppn_z],tbl_Historique_Final[date_modif])=Final_Sans_VGE[[#This Row],[date_modif]],
      "Ancien",
      "Modifié"),
   "Nouveau"))</f>
        <v>#VALUE!</v>
      </c>
      <c r="AD9648" s="1" t="str">
        <f>IFERROR(IF(Final_Sans_VGE[[#This Row],[ppn_z]]="","",IFERROR(
   IF(_xlfn.XLOOKUP(Final_Sans_VGE[[#This Row],[ppn_z]],tbl_Historique_Final[[#This Row],[ppn_z]],tbl_Historique_Final[[#This Row],[date_modif]])=Final_Sans_VGE[[#This Row],[date_modif]],
      "Ancien",
      "Modifié"),
   "Nouveau")),"")</f>
        <v/>
      </c>
    </row>
    <row r="9649" spans="24:30" x14ac:dyDescent="0.25">
      <c r="X9649" s="8" t="e">
        <f>IF(Final_Sans_VGE[[#This Row],[ppn_z]]="","",IFERROR(
   IF(_xlfn.XLOOKUP(Final_Sans_VGE[[#This Row],[ppn_z]],tbl_Historique_Final[ppn_z],tbl_Historique_Final[date_modif])=Final_Sans_VGE[[#This Row],[date_modif]],
      "Ancien",
      "Modifié"),
   "Nouveau"))</f>
        <v>#VALUE!</v>
      </c>
      <c r="AD9649" s="1" t="str">
        <f>IFERROR(IF(Final_Sans_VGE[[#This Row],[ppn_z]]="","",IFERROR(
   IF(_xlfn.XLOOKUP(Final_Sans_VGE[[#This Row],[ppn_z]],tbl_Historique_Final[[#This Row],[ppn_z]],tbl_Historique_Final[[#This Row],[date_modif]])=Final_Sans_VGE[[#This Row],[date_modif]],
      "Ancien",
      "Modifié"),
   "Nouveau")),"")</f>
        <v/>
      </c>
    </row>
    <row r="9650" spans="24:30" x14ac:dyDescent="0.25">
      <c r="X9650" s="8" t="e">
        <f>IF(Final_Sans_VGE[[#This Row],[ppn_z]]="","",IFERROR(
   IF(_xlfn.XLOOKUP(Final_Sans_VGE[[#This Row],[ppn_z]],tbl_Historique_Final[ppn_z],tbl_Historique_Final[date_modif])=Final_Sans_VGE[[#This Row],[date_modif]],
      "Ancien",
      "Modifié"),
   "Nouveau"))</f>
        <v>#VALUE!</v>
      </c>
      <c r="AD9650" s="1" t="str">
        <f>IFERROR(IF(Final_Sans_VGE[[#This Row],[ppn_z]]="","",IFERROR(
   IF(_xlfn.XLOOKUP(Final_Sans_VGE[[#This Row],[ppn_z]],tbl_Historique_Final[[#This Row],[ppn_z]],tbl_Historique_Final[[#This Row],[date_modif]])=Final_Sans_VGE[[#This Row],[date_modif]],
      "Ancien",
      "Modifié"),
   "Nouveau")),"")</f>
        <v/>
      </c>
    </row>
    <row r="9651" spans="24:30" x14ac:dyDescent="0.25">
      <c r="X9651" s="8" t="e">
        <f>IF(Final_Sans_VGE[[#This Row],[ppn_z]]="","",IFERROR(
   IF(_xlfn.XLOOKUP(Final_Sans_VGE[[#This Row],[ppn_z]],tbl_Historique_Final[ppn_z],tbl_Historique_Final[date_modif])=Final_Sans_VGE[[#This Row],[date_modif]],
      "Ancien",
      "Modifié"),
   "Nouveau"))</f>
        <v>#VALUE!</v>
      </c>
      <c r="AD9651" s="1" t="str">
        <f>IFERROR(IF(Final_Sans_VGE[[#This Row],[ppn_z]]="","",IFERROR(
   IF(_xlfn.XLOOKUP(Final_Sans_VGE[[#This Row],[ppn_z]],tbl_Historique_Final[[#This Row],[ppn_z]],tbl_Historique_Final[[#This Row],[date_modif]])=Final_Sans_VGE[[#This Row],[date_modif]],
      "Ancien",
      "Modifié"),
   "Nouveau")),"")</f>
        <v/>
      </c>
    </row>
    <row r="9652" spans="24:30" x14ac:dyDescent="0.25">
      <c r="X9652" s="8" t="e">
        <f>IF(Final_Sans_VGE[[#This Row],[ppn_z]]="","",IFERROR(
   IF(_xlfn.XLOOKUP(Final_Sans_VGE[[#This Row],[ppn_z]],tbl_Historique_Final[ppn_z],tbl_Historique_Final[date_modif])=Final_Sans_VGE[[#This Row],[date_modif]],
      "Ancien",
      "Modifié"),
   "Nouveau"))</f>
        <v>#VALUE!</v>
      </c>
      <c r="AD9652" s="1" t="str">
        <f>IFERROR(IF(Final_Sans_VGE[[#This Row],[ppn_z]]="","",IFERROR(
   IF(_xlfn.XLOOKUP(Final_Sans_VGE[[#This Row],[ppn_z]],tbl_Historique_Final[[#This Row],[ppn_z]],tbl_Historique_Final[[#This Row],[date_modif]])=Final_Sans_VGE[[#This Row],[date_modif]],
      "Ancien",
      "Modifié"),
   "Nouveau")),"")</f>
        <v/>
      </c>
    </row>
    <row r="9653" spans="24:30" x14ac:dyDescent="0.25">
      <c r="X9653" s="8" t="e">
        <f>IF(Final_Sans_VGE[[#This Row],[ppn_z]]="","",IFERROR(
   IF(_xlfn.XLOOKUP(Final_Sans_VGE[[#This Row],[ppn_z]],tbl_Historique_Final[ppn_z],tbl_Historique_Final[date_modif])=Final_Sans_VGE[[#This Row],[date_modif]],
      "Ancien",
      "Modifié"),
   "Nouveau"))</f>
        <v>#VALUE!</v>
      </c>
      <c r="AD9653" s="1" t="str">
        <f>IFERROR(IF(Final_Sans_VGE[[#This Row],[ppn_z]]="","",IFERROR(
   IF(_xlfn.XLOOKUP(Final_Sans_VGE[[#This Row],[ppn_z]],tbl_Historique_Final[[#This Row],[ppn_z]],tbl_Historique_Final[[#This Row],[date_modif]])=Final_Sans_VGE[[#This Row],[date_modif]],
      "Ancien",
      "Modifié"),
   "Nouveau")),"")</f>
        <v/>
      </c>
    </row>
    <row r="9654" spans="24:30" x14ac:dyDescent="0.25">
      <c r="X9654" s="8" t="e">
        <f>IF(Final_Sans_VGE[[#This Row],[ppn_z]]="","",IFERROR(
   IF(_xlfn.XLOOKUP(Final_Sans_VGE[[#This Row],[ppn_z]],tbl_Historique_Final[ppn_z],tbl_Historique_Final[date_modif])=Final_Sans_VGE[[#This Row],[date_modif]],
      "Ancien",
      "Modifié"),
   "Nouveau"))</f>
        <v>#VALUE!</v>
      </c>
      <c r="AD9654" s="1" t="str">
        <f>IFERROR(IF(Final_Sans_VGE[[#This Row],[ppn_z]]="","",IFERROR(
   IF(_xlfn.XLOOKUP(Final_Sans_VGE[[#This Row],[ppn_z]],tbl_Historique_Final[[#This Row],[ppn_z]],tbl_Historique_Final[[#This Row],[date_modif]])=Final_Sans_VGE[[#This Row],[date_modif]],
      "Ancien",
      "Modifié"),
   "Nouveau")),"")</f>
        <v/>
      </c>
    </row>
    <row r="9655" spans="24:30" x14ac:dyDescent="0.25">
      <c r="X9655" s="8" t="e">
        <f>IF(Final_Sans_VGE[[#This Row],[ppn_z]]="","",IFERROR(
   IF(_xlfn.XLOOKUP(Final_Sans_VGE[[#This Row],[ppn_z]],tbl_Historique_Final[ppn_z],tbl_Historique_Final[date_modif])=Final_Sans_VGE[[#This Row],[date_modif]],
      "Ancien",
      "Modifié"),
   "Nouveau"))</f>
        <v>#VALUE!</v>
      </c>
      <c r="AD9655" s="1" t="str">
        <f>IFERROR(IF(Final_Sans_VGE[[#This Row],[ppn_z]]="","",IFERROR(
   IF(_xlfn.XLOOKUP(Final_Sans_VGE[[#This Row],[ppn_z]],tbl_Historique_Final[[#This Row],[ppn_z]],tbl_Historique_Final[[#This Row],[date_modif]])=Final_Sans_VGE[[#This Row],[date_modif]],
      "Ancien",
      "Modifié"),
   "Nouveau")),"")</f>
        <v/>
      </c>
    </row>
    <row r="9656" spans="24:30" x14ac:dyDescent="0.25">
      <c r="X9656" s="8" t="e">
        <f>IF(Final_Sans_VGE[[#This Row],[ppn_z]]="","",IFERROR(
   IF(_xlfn.XLOOKUP(Final_Sans_VGE[[#This Row],[ppn_z]],tbl_Historique_Final[ppn_z],tbl_Historique_Final[date_modif])=Final_Sans_VGE[[#This Row],[date_modif]],
      "Ancien",
      "Modifié"),
   "Nouveau"))</f>
        <v>#VALUE!</v>
      </c>
      <c r="AD9656" s="1" t="str">
        <f>IFERROR(IF(Final_Sans_VGE[[#This Row],[ppn_z]]="","",IFERROR(
   IF(_xlfn.XLOOKUP(Final_Sans_VGE[[#This Row],[ppn_z]],tbl_Historique_Final[[#This Row],[ppn_z]],tbl_Historique_Final[[#This Row],[date_modif]])=Final_Sans_VGE[[#This Row],[date_modif]],
      "Ancien",
      "Modifié"),
   "Nouveau")),"")</f>
        <v/>
      </c>
    </row>
    <row r="9657" spans="24:30" x14ac:dyDescent="0.25">
      <c r="X9657" s="8" t="e">
        <f>IF(Final_Sans_VGE[[#This Row],[ppn_z]]="","",IFERROR(
   IF(_xlfn.XLOOKUP(Final_Sans_VGE[[#This Row],[ppn_z]],tbl_Historique_Final[ppn_z],tbl_Historique_Final[date_modif])=Final_Sans_VGE[[#This Row],[date_modif]],
      "Ancien",
      "Modifié"),
   "Nouveau"))</f>
        <v>#VALUE!</v>
      </c>
      <c r="AD9657" s="1" t="str">
        <f>IFERROR(IF(Final_Sans_VGE[[#This Row],[ppn_z]]="","",IFERROR(
   IF(_xlfn.XLOOKUP(Final_Sans_VGE[[#This Row],[ppn_z]],tbl_Historique_Final[[#This Row],[ppn_z]],tbl_Historique_Final[[#This Row],[date_modif]])=Final_Sans_VGE[[#This Row],[date_modif]],
      "Ancien",
      "Modifié"),
   "Nouveau")),"")</f>
        <v/>
      </c>
    </row>
    <row r="9658" spans="24:30" x14ac:dyDescent="0.25">
      <c r="X9658" s="8" t="e">
        <f>IF(Final_Sans_VGE[[#This Row],[ppn_z]]="","",IFERROR(
   IF(_xlfn.XLOOKUP(Final_Sans_VGE[[#This Row],[ppn_z]],tbl_Historique_Final[ppn_z],tbl_Historique_Final[date_modif])=Final_Sans_VGE[[#This Row],[date_modif]],
      "Ancien",
      "Modifié"),
   "Nouveau"))</f>
        <v>#VALUE!</v>
      </c>
      <c r="AD9658" s="1" t="str">
        <f>IFERROR(IF(Final_Sans_VGE[[#This Row],[ppn_z]]="","",IFERROR(
   IF(_xlfn.XLOOKUP(Final_Sans_VGE[[#This Row],[ppn_z]],tbl_Historique_Final[[#This Row],[ppn_z]],tbl_Historique_Final[[#This Row],[date_modif]])=Final_Sans_VGE[[#This Row],[date_modif]],
      "Ancien",
      "Modifié"),
   "Nouveau")),"")</f>
        <v/>
      </c>
    </row>
    <row r="9659" spans="24:30" x14ac:dyDescent="0.25">
      <c r="X9659" s="8" t="e">
        <f>IF(Final_Sans_VGE[[#This Row],[ppn_z]]="","",IFERROR(
   IF(_xlfn.XLOOKUP(Final_Sans_VGE[[#This Row],[ppn_z]],tbl_Historique_Final[ppn_z],tbl_Historique_Final[date_modif])=Final_Sans_VGE[[#This Row],[date_modif]],
      "Ancien",
      "Modifié"),
   "Nouveau"))</f>
        <v>#VALUE!</v>
      </c>
      <c r="AD9659" s="1" t="str">
        <f>IFERROR(IF(Final_Sans_VGE[[#This Row],[ppn_z]]="","",IFERROR(
   IF(_xlfn.XLOOKUP(Final_Sans_VGE[[#This Row],[ppn_z]],tbl_Historique_Final[[#This Row],[ppn_z]],tbl_Historique_Final[[#This Row],[date_modif]])=Final_Sans_VGE[[#This Row],[date_modif]],
      "Ancien",
      "Modifié"),
   "Nouveau")),"")</f>
        <v/>
      </c>
    </row>
    <row r="9660" spans="24:30" x14ac:dyDescent="0.25">
      <c r="X9660" s="8" t="e">
        <f>IF(Final_Sans_VGE[[#This Row],[ppn_z]]="","",IFERROR(
   IF(_xlfn.XLOOKUP(Final_Sans_VGE[[#This Row],[ppn_z]],tbl_Historique_Final[ppn_z],tbl_Historique_Final[date_modif])=Final_Sans_VGE[[#This Row],[date_modif]],
      "Ancien",
      "Modifié"),
   "Nouveau"))</f>
        <v>#VALUE!</v>
      </c>
      <c r="AD9660" s="1" t="str">
        <f>IFERROR(IF(Final_Sans_VGE[[#This Row],[ppn_z]]="","",IFERROR(
   IF(_xlfn.XLOOKUP(Final_Sans_VGE[[#This Row],[ppn_z]],tbl_Historique_Final[[#This Row],[ppn_z]],tbl_Historique_Final[[#This Row],[date_modif]])=Final_Sans_VGE[[#This Row],[date_modif]],
      "Ancien",
      "Modifié"),
   "Nouveau")),"")</f>
        <v/>
      </c>
    </row>
    <row r="9661" spans="24:30" x14ac:dyDescent="0.25">
      <c r="X9661" s="8" t="e">
        <f>IF(Final_Sans_VGE[[#This Row],[ppn_z]]="","",IFERROR(
   IF(_xlfn.XLOOKUP(Final_Sans_VGE[[#This Row],[ppn_z]],tbl_Historique_Final[ppn_z],tbl_Historique_Final[date_modif])=Final_Sans_VGE[[#This Row],[date_modif]],
      "Ancien",
      "Modifié"),
   "Nouveau"))</f>
        <v>#VALUE!</v>
      </c>
      <c r="AD9661" s="1" t="str">
        <f>IFERROR(IF(Final_Sans_VGE[[#This Row],[ppn_z]]="","",IFERROR(
   IF(_xlfn.XLOOKUP(Final_Sans_VGE[[#This Row],[ppn_z]],tbl_Historique_Final[[#This Row],[ppn_z]],tbl_Historique_Final[[#This Row],[date_modif]])=Final_Sans_VGE[[#This Row],[date_modif]],
      "Ancien",
      "Modifié"),
   "Nouveau")),"")</f>
        <v/>
      </c>
    </row>
    <row r="9662" spans="24:30" x14ac:dyDescent="0.25">
      <c r="X9662" s="8" t="e">
        <f>IF(Final_Sans_VGE[[#This Row],[ppn_z]]="","",IFERROR(
   IF(_xlfn.XLOOKUP(Final_Sans_VGE[[#This Row],[ppn_z]],tbl_Historique_Final[ppn_z],tbl_Historique_Final[date_modif])=Final_Sans_VGE[[#This Row],[date_modif]],
      "Ancien",
      "Modifié"),
   "Nouveau"))</f>
        <v>#VALUE!</v>
      </c>
      <c r="AD9662" s="1" t="str">
        <f>IFERROR(IF(Final_Sans_VGE[[#This Row],[ppn_z]]="","",IFERROR(
   IF(_xlfn.XLOOKUP(Final_Sans_VGE[[#This Row],[ppn_z]],tbl_Historique_Final[[#This Row],[ppn_z]],tbl_Historique_Final[[#This Row],[date_modif]])=Final_Sans_VGE[[#This Row],[date_modif]],
      "Ancien",
      "Modifié"),
   "Nouveau")),"")</f>
        <v/>
      </c>
    </row>
    <row r="9663" spans="24:30" x14ac:dyDescent="0.25">
      <c r="X9663" s="8" t="e">
        <f>IF(Final_Sans_VGE[[#This Row],[ppn_z]]="","",IFERROR(
   IF(_xlfn.XLOOKUP(Final_Sans_VGE[[#This Row],[ppn_z]],tbl_Historique_Final[ppn_z],tbl_Historique_Final[date_modif])=Final_Sans_VGE[[#This Row],[date_modif]],
      "Ancien",
      "Modifié"),
   "Nouveau"))</f>
        <v>#VALUE!</v>
      </c>
      <c r="AD9663" s="1" t="str">
        <f>IFERROR(IF(Final_Sans_VGE[[#This Row],[ppn_z]]="","",IFERROR(
   IF(_xlfn.XLOOKUP(Final_Sans_VGE[[#This Row],[ppn_z]],tbl_Historique_Final[[#This Row],[ppn_z]],tbl_Historique_Final[[#This Row],[date_modif]])=Final_Sans_VGE[[#This Row],[date_modif]],
      "Ancien",
      "Modifié"),
   "Nouveau")),"")</f>
        <v/>
      </c>
    </row>
    <row r="9664" spans="24:30" x14ac:dyDescent="0.25">
      <c r="X9664" s="8" t="e">
        <f>IF(Final_Sans_VGE[[#This Row],[ppn_z]]="","",IFERROR(
   IF(_xlfn.XLOOKUP(Final_Sans_VGE[[#This Row],[ppn_z]],tbl_Historique_Final[ppn_z],tbl_Historique_Final[date_modif])=Final_Sans_VGE[[#This Row],[date_modif]],
      "Ancien",
      "Modifié"),
   "Nouveau"))</f>
        <v>#VALUE!</v>
      </c>
      <c r="AD9664" s="1" t="str">
        <f>IFERROR(IF(Final_Sans_VGE[[#This Row],[ppn_z]]="","",IFERROR(
   IF(_xlfn.XLOOKUP(Final_Sans_VGE[[#This Row],[ppn_z]],tbl_Historique_Final[[#This Row],[ppn_z]],tbl_Historique_Final[[#This Row],[date_modif]])=Final_Sans_VGE[[#This Row],[date_modif]],
      "Ancien",
      "Modifié"),
   "Nouveau")),"")</f>
        <v/>
      </c>
    </row>
    <row r="9665" spans="24:30" x14ac:dyDescent="0.25">
      <c r="X9665" s="8" t="e">
        <f>IF(Final_Sans_VGE[[#This Row],[ppn_z]]="","",IFERROR(
   IF(_xlfn.XLOOKUP(Final_Sans_VGE[[#This Row],[ppn_z]],tbl_Historique_Final[ppn_z],tbl_Historique_Final[date_modif])=Final_Sans_VGE[[#This Row],[date_modif]],
      "Ancien",
      "Modifié"),
   "Nouveau"))</f>
        <v>#VALUE!</v>
      </c>
      <c r="AD9665" s="1" t="str">
        <f>IFERROR(IF(Final_Sans_VGE[[#This Row],[ppn_z]]="","",IFERROR(
   IF(_xlfn.XLOOKUP(Final_Sans_VGE[[#This Row],[ppn_z]],tbl_Historique_Final[[#This Row],[ppn_z]],tbl_Historique_Final[[#This Row],[date_modif]])=Final_Sans_VGE[[#This Row],[date_modif]],
      "Ancien",
      "Modifié"),
   "Nouveau")),"")</f>
        <v/>
      </c>
    </row>
    <row r="9666" spans="24:30" x14ac:dyDescent="0.25">
      <c r="X9666" s="8" t="e">
        <f>IF(Final_Sans_VGE[[#This Row],[ppn_z]]="","",IFERROR(
   IF(_xlfn.XLOOKUP(Final_Sans_VGE[[#This Row],[ppn_z]],tbl_Historique_Final[ppn_z],tbl_Historique_Final[date_modif])=Final_Sans_VGE[[#This Row],[date_modif]],
      "Ancien",
      "Modifié"),
   "Nouveau"))</f>
        <v>#VALUE!</v>
      </c>
      <c r="AD9666" s="1" t="str">
        <f>IFERROR(IF(Final_Sans_VGE[[#This Row],[ppn_z]]="","",IFERROR(
   IF(_xlfn.XLOOKUP(Final_Sans_VGE[[#This Row],[ppn_z]],tbl_Historique_Final[[#This Row],[ppn_z]],tbl_Historique_Final[[#This Row],[date_modif]])=Final_Sans_VGE[[#This Row],[date_modif]],
      "Ancien",
      "Modifié"),
   "Nouveau")),"")</f>
        <v/>
      </c>
    </row>
    <row r="9667" spans="24:30" x14ac:dyDescent="0.25">
      <c r="X9667" s="8" t="e">
        <f>IF(Final_Sans_VGE[[#This Row],[ppn_z]]="","",IFERROR(
   IF(_xlfn.XLOOKUP(Final_Sans_VGE[[#This Row],[ppn_z]],tbl_Historique_Final[ppn_z],tbl_Historique_Final[date_modif])=Final_Sans_VGE[[#This Row],[date_modif]],
      "Ancien",
      "Modifié"),
   "Nouveau"))</f>
        <v>#VALUE!</v>
      </c>
      <c r="AD9667" s="1" t="str">
        <f>IFERROR(IF(Final_Sans_VGE[[#This Row],[ppn_z]]="","",IFERROR(
   IF(_xlfn.XLOOKUP(Final_Sans_VGE[[#This Row],[ppn_z]],tbl_Historique_Final[[#This Row],[ppn_z]],tbl_Historique_Final[[#This Row],[date_modif]])=Final_Sans_VGE[[#This Row],[date_modif]],
      "Ancien",
      "Modifié"),
   "Nouveau")),"")</f>
        <v/>
      </c>
    </row>
    <row r="9668" spans="24:30" x14ac:dyDescent="0.25">
      <c r="X9668" s="8" t="e">
        <f>IF(Final_Sans_VGE[[#This Row],[ppn_z]]="","",IFERROR(
   IF(_xlfn.XLOOKUP(Final_Sans_VGE[[#This Row],[ppn_z]],tbl_Historique_Final[ppn_z],tbl_Historique_Final[date_modif])=Final_Sans_VGE[[#This Row],[date_modif]],
      "Ancien",
      "Modifié"),
   "Nouveau"))</f>
        <v>#VALUE!</v>
      </c>
      <c r="AD9668" s="1" t="str">
        <f>IFERROR(IF(Final_Sans_VGE[[#This Row],[ppn_z]]="","",IFERROR(
   IF(_xlfn.XLOOKUP(Final_Sans_VGE[[#This Row],[ppn_z]],tbl_Historique_Final[[#This Row],[ppn_z]],tbl_Historique_Final[[#This Row],[date_modif]])=Final_Sans_VGE[[#This Row],[date_modif]],
      "Ancien",
      "Modifié"),
   "Nouveau")),"")</f>
        <v/>
      </c>
    </row>
    <row r="9669" spans="24:30" x14ac:dyDescent="0.25">
      <c r="X9669" s="8" t="e">
        <f>IF(Final_Sans_VGE[[#This Row],[ppn_z]]="","",IFERROR(
   IF(_xlfn.XLOOKUP(Final_Sans_VGE[[#This Row],[ppn_z]],tbl_Historique_Final[ppn_z],tbl_Historique_Final[date_modif])=Final_Sans_VGE[[#This Row],[date_modif]],
      "Ancien",
      "Modifié"),
   "Nouveau"))</f>
        <v>#VALUE!</v>
      </c>
      <c r="AD9669" s="1" t="str">
        <f>IFERROR(IF(Final_Sans_VGE[[#This Row],[ppn_z]]="","",IFERROR(
   IF(_xlfn.XLOOKUP(Final_Sans_VGE[[#This Row],[ppn_z]],tbl_Historique_Final[[#This Row],[ppn_z]],tbl_Historique_Final[[#This Row],[date_modif]])=Final_Sans_VGE[[#This Row],[date_modif]],
      "Ancien",
      "Modifié"),
   "Nouveau")),"")</f>
        <v/>
      </c>
    </row>
    <row r="9670" spans="24:30" x14ac:dyDescent="0.25">
      <c r="X9670" s="8" t="e">
        <f>IF(Final_Sans_VGE[[#This Row],[ppn_z]]="","",IFERROR(
   IF(_xlfn.XLOOKUP(Final_Sans_VGE[[#This Row],[ppn_z]],tbl_Historique_Final[ppn_z],tbl_Historique_Final[date_modif])=Final_Sans_VGE[[#This Row],[date_modif]],
      "Ancien",
      "Modifié"),
   "Nouveau"))</f>
        <v>#VALUE!</v>
      </c>
      <c r="AD9670" s="1" t="str">
        <f>IFERROR(IF(Final_Sans_VGE[[#This Row],[ppn_z]]="","",IFERROR(
   IF(_xlfn.XLOOKUP(Final_Sans_VGE[[#This Row],[ppn_z]],tbl_Historique_Final[[#This Row],[ppn_z]],tbl_Historique_Final[[#This Row],[date_modif]])=Final_Sans_VGE[[#This Row],[date_modif]],
      "Ancien",
      "Modifié"),
   "Nouveau")),"")</f>
        <v/>
      </c>
    </row>
    <row r="9671" spans="24:30" x14ac:dyDescent="0.25">
      <c r="X9671" s="8" t="e">
        <f>IF(Final_Sans_VGE[[#This Row],[ppn_z]]="","",IFERROR(
   IF(_xlfn.XLOOKUP(Final_Sans_VGE[[#This Row],[ppn_z]],tbl_Historique_Final[ppn_z],tbl_Historique_Final[date_modif])=Final_Sans_VGE[[#This Row],[date_modif]],
      "Ancien",
      "Modifié"),
   "Nouveau"))</f>
        <v>#VALUE!</v>
      </c>
      <c r="AD9671" s="1" t="str">
        <f>IFERROR(IF(Final_Sans_VGE[[#This Row],[ppn_z]]="","",IFERROR(
   IF(_xlfn.XLOOKUP(Final_Sans_VGE[[#This Row],[ppn_z]],tbl_Historique_Final[[#This Row],[ppn_z]],tbl_Historique_Final[[#This Row],[date_modif]])=Final_Sans_VGE[[#This Row],[date_modif]],
      "Ancien",
      "Modifié"),
   "Nouveau")),"")</f>
        <v/>
      </c>
    </row>
    <row r="9672" spans="24:30" x14ac:dyDescent="0.25">
      <c r="X9672" s="8" t="e">
        <f>IF(Final_Sans_VGE[[#This Row],[ppn_z]]="","",IFERROR(
   IF(_xlfn.XLOOKUP(Final_Sans_VGE[[#This Row],[ppn_z]],tbl_Historique_Final[ppn_z],tbl_Historique_Final[date_modif])=Final_Sans_VGE[[#This Row],[date_modif]],
      "Ancien",
      "Modifié"),
   "Nouveau"))</f>
        <v>#VALUE!</v>
      </c>
      <c r="AD9672" s="1" t="str">
        <f>IFERROR(IF(Final_Sans_VGE[[#This Row],[ppn_z]]="","",IFERROR(
   IF(_xlfn.XLOOKUP(Final_Sans_VGE[[#This Row],[ppn_z]],tbl_Historique_Final[[#This Row],[ppn_z]],tbl_Historique_Final[[#This Row],[date_modif]])=Final_Sans_VGE[[#This Row],[date_modif]],
      "Ancien",
      "Modifié"),
   "Nouveau")),"")</f>
        <v/>
      </c>
    </row>
    <row r="9673" spans="24:30" x14ac:dyDescent="0.25">
      <c r="X9673" s="8" t="e">
        <f>IF(Final_Sans_VGE[[#This Row],[ppn_z]]="","",IFERROR(
   IF(_xlfn.XLOOKUP(Final_Sans_VGE[[#This Row],[ppn_z]],tbl_Historique_Final[ppn_z],tbl_Historique_Final[date_modif])=Final_Sans_VGE[[#This Row],[date_modif]],
      "Ancien",
      "Modifié"),
   "Nouveau"))</f>
        <v>#VALUE!</v>
      </c>
      <c r="AD9673" s="1" t="str">
        <f>IFERROR(IF(Final_Sans_VGE[[#This Row],[ppn_z]]="","",IFERROR(
   IF(_xlfn.XLOOKUP(Final_Sans_VGE[[#This Row],[ppn_z]],tbl_Historique_Final[[#This Row],[ppn_z]],tbl_Historique_Final[[#This Row],[date_modif]])=Final_Sans_VGE[[#This Row],[date_modif]],
      "Ancien",
      "Modifié"),
   "Nouveau")),"")</f>
        <v/>
      </c>
    </row>
    <row r="9674" spans="24:30" x14ac:dyDescent="0.25">
      <c r="X9674" s="8" t="e">
        <f>IF(Final_Sans_VGE[[#This Row],[ppn_z]]="","",IFERROR(
   IF(_xlfn.XLOOKUP(Final_Sans_VGE[[#This Row],[ppn_z]],tbl_Historique_Final[ppn_z],tbl_Historique_Final[date_modif])=Final_Sans_VGE[[#This Row],[date_modif]],
      "Ancien",
      "Modifié"),
   "Nouveau"))</f>
        <v>#VALUE!</v>
      </c>
      <c r="AD9674" s="1" t="str">
        <f>IFERROR(IF(Final_Sans_VGE[[#This Row],[ppn_z]]="","",IFERROR(
   IF(_xlfn.XLOOKUP(Final_Sans_VGE[[#This Row],[ppn_z]],tbl_Historique_Final[[#This Row],[ppn_z]],tbl_Historique_Final[[#This Row],[date_modif]])=Final_Sans_VGE[[#This Row],[date_modif]],
      "Ancien",
      "Modifié"),
   "Nouveau")),"")</f>
        <v/>
      </c>
    </row>
    <row r="9675" spans="24:30" x14ac:dyDescent="0.25">
      <c r="X9675" s="8" t="e">
        <f>IF(Final_Sans_VGE[[#This Row],[ppn_z]]="","",IFERROR(
   IF(_xlfn.XLOOKUP(Final_Sans_VGE[[#This Row],[ppn_z]],tbl_Historique_Final[ppn_z],tbl_Historique_Final[date_modif])=Final_Sans_VGE[[#This Row],[date_modif]],
      "Ancien",
      "Modifié"),
   "Nouveau"))</f>
        <v>#VALUE!</v>
      </c>
      <c r="AD9675" s="1" t="str">
        <f>IFERROR(IF(Final_Sans_VGE[[#This Row],[ppn_z]]="","",IFERROR(
   IF(_xlfn.XLOOKUP(Final_Sans_VGE[[#This Row],[ppn_z]],tbl_Historique_Final[[#This Row],[ppn_z]],tbl_Historique_Final[[#This Row],[date_modif]])=Final_Sans_VGE[[#This Row],[date_modif]],
      "Ancien",
      "Modifié"),
   "Nouveau")),"")</f>
        <v/>
      </c>
    </row>
    <row r="9676" spans="24:30" x14ac:dyDescent="0.25">
      <c r="X9676" s="8" t="e">
        <f>IF(Final_Sans_VGE[[#This Row],[ppn_z]]="","",IFERROR(
   IF(_xlfn.XLOOKUP(Final_Sans_VGE[[#This Row],[ppn_z]],tbl_Historique_Final[ppn_z],tbl_Historique_Final[date_modif])=Final_Sans_VGE[[#This Row],[date_modif]],
      "Ancien",
      "Modifié"),
   "Nouveau"))</f>
        <v>#VALUE!</v>
      </c>
      <c r="AD9676" s="1" t="str">
        <f>IFERROR(IF(Final_Sans_VGE[[#This Row],[ppn_z]]="","",IFERROR(
   IF(_xlfn.XLOOKUP(Final_Sans_VGE[[#This Row],[ppn_z]],tbl_Historique_Final[[#This Row],[ppn_z]],tbl_Historique_Final[[#This Row],[date_modif]])=Final_Sans_VGE[[#This Row],[date_modif]],
      "Ancien",
      "Modifié"),
   "Nouveau")),"")</f>
        <v/>
      </c>
    </row>
    <row r="9677" spans="24:30" x14ac:dyDescent="0.25">
      <c r="X9677" s="8" t="e">
        <f>IF(Final_Sans_VGE[[#This Row],[ppn_z]]="","",IFERROR(
   IF(_xlfn.XLOOKUP(Final_Sans_VGE[[#This Row],[ppn_z]],tbl_Historique_Final[ppn_z],tbl_Historique_Final[date_modif])=Final_Sans_VGE[[#This Row],[date_modif]],
      "Ancien",
      "Modifié"),
   "Nouveau"))</f>
        <v>#VALUE!</v>
      </c>
      <c r="AD9677" s="1" t="str">
        <f>IFERROR(IF(Final_Sans_VGE[[#This Row],[ppn_z]]="","",IFERROR(
   IF(_xlfn.XLOOKUP(Final_Sans_VGE[[#This Row],[ppn_z]],tbl_Historique_Final[[#This Row],[ppn_z]],tbl_Historique_Final[[#This Row],[date_modif]])=Final_Sans_VGE[[#This Row],[date_modif]],
      "Ancien",
      "Modifié"),
   "Nouveau")),"")</f>
        <v/>
      </c>
    </row>
    <row r="9678" spans="24:30" x14ac:dyDescent="0.25">
      <c r="X9678" s="8" t="e">
        <f>IF(Final_Sans_VGE[[#This Row],[ppn_z]]="","",IFERROR(
   IF(_xlfn.XLOOKUP(Final_Sans_VGE[[#This Row],[ppn_z]],tbl_Historique_Final[ppn_z],tbl_Historique_Final[date_modif])=Final_Sans_VGE[[#This Row],[date_modif]],
      "Ancien",
      "Modifié"),
   "Nouveau"))</f>
        <v>#VALUE!</v>
      </c>
      <c r="AD9678" s="1" t="str">
        <f>IFERROR(IF(Final_Sans_VGE[[#This Row],[ppn_z]]="","",IFERROR(
   IF(_xlfn.XLOOKUP(Final_Sans_VGE[[#This Row],[ppn_z]],tbl_Historique_Final[[#This Row],[ppn_z]],tbl_Historique_Final[[#This Row],[date_modif]])=Final_Sans_VGE[[#This Row],[date_modif]],
      "Ancien",
      "Modifié"),
   "Nouveau")),"")</f>
        <v/>
      </c>
    </row>
    <row r="9679" spans="24:30" x14ac:dyDescent="0.25">
      <c r="X9679" s="8" t="e">
        <f>IF(Final_Sans_VGE[[#This Row],[ppn_z]]="","",IFERROR(
   IF(_xlfn.XLOOKUP(Final_Sans_VGE[[#This Row],[ppn_z]],tbl_Historique_Final[ppn_z],tbl_Historique_Final[date_modif])=Final_Sans_VGE[[#This Row],[date_modif]],
      "Ancien",
      "Modifié"),
   "Nouveau"))</f>
        <v>#VALUE!</v>
      </c>
      <c r="AD9679" s="1" t="str">
        <f>IFERROR(IF(Final_Sans_VGE[[#This Row],[ppn_z]]="","",IFERROR(
   IF(_xlfn.XLOOKUP(Final_Sans_VGE[[#This Row],[ppn_z]],tbl_Historique_Final[[#This Row],[ppn_z]],tbl_Historique_Final[[#This Row],[date_modif]])=Final_Sans_VGE[[#This Row],[date_modif]],
      "Ancien",
      "Modifié"),
   "Nouveau")),"")</f>
        <v/>
      </c>
    </row>
    <row r="9680" spans="24:30" x14ac:dyDescent="0.25">
      <c r="X9680" s="8" t="e">
        <f>IF(Final_Sans_VGE[[#This Row],[ppn_z]]="","",IFERROR(
   IF(_xlfn.XLOOKUP(Final_Sans_VGE[[#This Row],[ppn_z]],tbl_Historique_Final[ppn_z],tbl_Historique_Final[date_modif])=Final_Sans_VGE[[#This Row],[date_modif]],
      "Ancien",
      "Modifié"),
   "Nouveau"))</f>
        <v>#VALUE!</v>
      </c>
      <c r="AD9680" s="1" t="str">
        <f>IFERROR(IF(Final_Sans_VGE[[#This Row],[ppn_z]]="","",IFERROR(
   IF(_xlfn.XLOOKUP(Final_Sans_VGE[[#This Row],[ppn_z]],tbl_Historique_Final[[#This Row],[ppn_z]],tbl_Historique_Final[[#This Row],[date_modif]])=Final_Sans_VGE[[#This Row],[date_modif]],
      "Ancien",
      "Modifié"),
   "Nouveau")),"")</f>
        <v/>
      </c>
    </row>
    <row r="9681" spans="24:30" x14ac:dyDescent="0.25">
      <c r="X9681" s="8" t="e">
        <f>IF(Final_Sans_VGE[[#This Row],[ppn_z]]="","",IFERROR(
   IF(_xlfn.XLOOKUP(Final_Sans_VGE[[#This Row],[ppn_z]],tbl_Historique_Final[ppn_z],tbl_Historique_Final[date_modif])=Final_Sans_VGE[[#This Row],[date_modif]],
      "Ancien",
      "Modifié"),
   "Nouveau"))</f>
        <v>#VALUE!</v>
      </c>
      <c r="AD9681" s="1" t="str">
        <f>IFERROR(IF(Final_Sans_VGE[[#This Row],[ppn_z]]="","",IFERROR(
   IF(_xlfn.XLOOKUP(Final_Sans_VGE[[#This Row],[ppn_z]],tbl_Historique_Final[[#This Row],[ppn_z]],tbl_Historique_Final[[#This Row],[date_modif]])=Final_Sans_VGE[[#This Row],[date_modif]],
      "Ancien",
      "Modifié"),
   "Nouveau")),"")</f>
        <v/>
      </c>
    </row>
    <row r="9682" spans="24:30" x14ac:dyDescent="0.25">
      <c r="X9682" s="8" t="e">
        <f>IF(Final_Sans_VGE[[#This Row],[ppn_z]]="","",IFERROR(
   IF(_xlfn.XLOOKUP(Final_Sans_VGE[[#This Row],[ppn_z]],tbl_Historique_Final[ppn_z],tbl_Historique_Final[date_modif])=Final_Sans_VGE[[#This Row],[date_modif]],
      "Ancien",
      "Modifié"),
   "Nouveau"))</f>
        <v>#VALUE!</v>
      </c>
      <c r="AD9682" s="1" t="str">
        <f>IFERROR(IF(Final_Sans_VGE[[#This Row],[ppn_z]]="","",IFERROR(
   IF(_xlfn.XLOOKUP(Final_Sans_VGE[[#This Row],[ppn_z]],tbl_Historique_Final[[#This Row],[ppn_z]],tbl_Historique_Final[[#This Row],[date_modif]])=Final_Sans_VGE[[#This Row],[date_modif]],
      "Ancien",
      "Modifié"),
   "Nouveau")),"")</f>
        <v/>
      </c>
    </row>
    <row r="9683" spans="24:30" x14ac:dyDescent="0.25">
      <c r="X9683" s="8" t="e">
        <f>IF(Final_Sans_VGE[[#This Row],[ppn_z]]="","",IFERROR(
   IF(_xlfn.XLOOKUP(Final_Sans_VGE[[#This Row],[ppn_z]],tbl_Historique_Final[ppn_z],tbl_Historique_Final[date_modif])=Final_Sans_VGE[[#This Row],[date_modif]],
      "Ancien",
      "Modifié"),
   "Nouveau"))</f>
        <v>#VALUE!</v>
      </c>
      <c r="AD9683" s="1" t="str">
        <f>IFERROR(IF(Final_Sans_VGE[[#This Row],[ppn_z]]="","",IFERROR(
   IF(_xlfn.XLOOKUP(Final_Sans_VGE[[#This Row],[ppn_z]],tbl_Historique_Final[[#This Row],[ppn_z]],tbl_Historique_Final[[#This Row],[date_modif]])=Final_Sans_VGE[[#This Row],[date_modif]],
      "Ancien",
      "Modifié"),
   "Nouveau")),"")</f>
        <v/>
      </c>
    </row>
    <row r="9684" spans="24:30" x14ac:dyDescent="0.25">
      <c r="X9684" s="8" t="e">
        <f>IF(Final_Sans_VGE[[#This Row],[ppn_z]]="","",IFERROR(
   IF(_xlfn.XLOOKUP(Final_Sans_VGE[[#This Row],[ppn_z]],tbl_Historique_Final[ppn_z],tbl_Historique_Final[date_modif])=Final_Sans_VGE[[#This Row],[date_modif]],
      "Ancien",
      "Modifié"),
   "Nouveau"))</f>
        <v>#VALUE!</v>
      </c>
      <c r="AD9684" s="1" t="str">
        <f>IFERROR(IF(Final_Sans_VGE[[#This Row],[ppn_z]]="","",IFERROR(
   IF(_xlfn.XLOOKUP(Final_Sans_VGE[[#This Row],[ppn_z]],tbl_Historique_Final[[#This Row],[ppn_z]],tbl_Historique_Final[[#This Row],[date_modif]])=Final_Sans_VGE[[#This Row],[date_modif]],
      "Ancien",
      "Modifié"),
   "Nouveau")),"")</f>
        <v/>
      </c>
    </row>
    <row r="9685" spans="24:30" x14ac:dyDescent="0.25">
      <c r="X9685" s="8" t="e">
        <f>IF(Final_Sans_VGE[[#This Row],[ppn_z]]="","",IFERROR(
   IF(_xlfn.XLOOKUP(Final_Sans_VGE[[#This Row],[ppn_z]],tbl_Historique_Final[ppn_z],tbl_Historique_Final[date_modif])=Final_Sans_VGE[[#This Row],[date_modif]],
      "Ancien",
      "Modifié"),
   "Nouveau"))</f>
        <v>#VALUE!</v>
      </c>
      <c r="AD9685" s="1" t="str">
        <f>IFERROR(IF(Final_Sans_VGE[[#This Row],[ppn_z]]="","",IFERROR(
   IF(_xlfn.XLOOKUP(Final_Sans_VGE[[#This Row],[ppn_z]],tbl_Historique_Final[[#This Row],[ppn_z]],tbl_Historique_Final[[#This Row],[date_modif]])=Final_Sans_VGE[[#This Row],[date_modif]],
      "Ancien",
      "Modifié"),
   "Nouveau")),"")</f>
        <v/>
      </c>
    </row>
    <row r="9686" spans="24:30" x14ac:dyDescent="0.25">
      <c r="X9686" s="8" t="e">
        <f>IF(Final_Sans_VGE[[#This Row],[ppn_z]]="","",IFERROR(
   IF(_xlfn.XLOOKUP(Final_Sans_VGE[[#This Row],[ppn_z]],tbl_Historique_Final[ppn_z],tbl_Historique_Final[date_modif])=Final_Sans_VGE[[#This Row],[date_modif]],
      "Ancien",
      "Modifié"),
   "Nouveau"))</f>
        <v>#VALUE!</v>
      </c>
      <c r="AD9686" s="1" t="str">
        <f>IFERROR(IF(Final_Sans_VGE[[#This Row],[ppn_z]]="","",IFERROR(
   IF(_xlfn.XLOOKUP(Final_Sans_VGE[[#This Row],[ppn_z]],tbl_Historique_Final[[#This Row],[ppn_z]],tbl_Historique_Final[[#This Row],[date_modif]])=Final_Sans_VGE[[#This Row],[date_modif]],
      "Ancien",
      "Modifié"),
   "Nouveau")),"")</f>
        <v/>
      </c>
    </row>
    <row r="9687" spans="24:30" x14ac:dyDescent="0.25">
      <c r="X9687" s="8" t="e">
        <f>IF(Final_Sans_VGE[[#This Row],[ppn_z]]="","",IFERROR(
   IF(_xlfn.XLOOKUP(Final_Sans_VGE[[#This Row],[ppn_z]],tbl_Historique_Final[ppn_z],tbl_Historique_Final[date_modif])=Final_Sans_VGE[[#This Row],[date_modif]],
      "Ancien",
      "Modifié"),
   "Nouveau"))</f>
        <v>#VALUE!</v>
      </c>
      <c r="AD9687" s="1" t="str">
        <f>IFERROR(IF(Final_Sans_VGE[[#This Row],[ppn_z]]="","",IFERROR(
   IF(_xlfn.XLOOKUP(Final_Sans_VGE[[#This Row],[ppn_z]],tbl_Historique_Final[[#This Row],[ppn_z]],tbl_Historique_Final[[#This Row],[date_modif]])=Final_Sans_VGE[[#This Row],[date_modif]],
      "Ancien",
      "Modifié"),
   "Nouveau")),"")</f>
        <v/>
      </c>
    </row>
    <row r="9688" spans="24:30" x14ac:dyDescent="0.25">
      <c r="X9688" s="8" t="e">
        <f>IF(Final_Sans_VGE[[#This Row],[ppn_z]]="","",IFERROR(
   IF(_xlfn.XLOOKUP(Final_Sans_VGE[[#This Row],[ppn_z]],tbl_Historique_Final[ppn_z],tbl_Historique_Final[date_modif])=Final_Sans_VGE[[#This Row],[date_modif]],
      "Ancien",
      "Modifié"),
   "Nouveau"))</f>
        <v>#VALUE!</v>
      </c>
      <c r="AD9688" s="1" t="str">
        <f>IFERROR(IF(Final_Sans_VGE[[#This Row],[ppn_z]]="","",IFERROR(
   IF(_xlfn.XLOOKUP(Final_Sans_VGE[[#This Row],[ppn_z]],tbl_Historique_Final[[#This Row],[ppn_z]],tbl_Historique_Final[[#This Row],[date_modif]])=Final_Sans_VGE[[#This Row],[date_modif]],
      "Ancien",
      "Modifié"),
   "Nouveau")),"")</f>
        <v/>
      </c>
    </row>
    <row r="9689" spans="24:30" x14ac:dyDescent="0.25">
      <c r="X9689" s="8" t="e">
        <f>IF(Final_Sans_VGE[[#This Row],[ppn_z]]="","",IFERROR(
   IF(_xlfn.XLOOKUP(Final_Sans_VGE[[#This Row],[ppn_z]],tbl_Historique_Final[ppn_z],tbl_Historique_Final[date_modif])=Final_Sans_VGE[[#This Row],[date_modif]],
      "Ancien",
      "Modifié"),
   "Nouveau"))</f>
        <v>#VALUE!</v>
      </c>
      <c r="AD9689" s="1" t="str">
        <f>IFERROR(IF(Final_Sans_VGE[[#This Row],[ppn_z]]="","",IFERROR(
   IF(_xlfn.XLOOKUP(Final_Sans_VGE[[#This Row],[ppn_z]],tbl_Historique_Final[[#This Row],[ppn_z]],tbl_Historique_Final[[#This Row],[date_modif]])=Final_Sans_VGE[[#This Row],[date_modif]],
      "Ancien",
      "Modifié"),
   "Nouveau")),"")</f>
        <v/>
      </c>
    </row>
    <row r="9690" spans="24:30" x14ac:dyDescent="0.25">
      <c r="X9690" s="8" t="e">
        <f>IF(Final_Sans_VGE[[#This Row],[ppn_z]]="","",IFERROR(
   IF(_xlfn.XLOOKUP(Final_Sans_VGE[[#This Row],[ppn_z]],tbl_Historique_Final[ppn_z],tbl_Historique_Final[date_modif])=Final_Sans_VGE[[#This Row],[date_modif]],
      "Ancien",
      "Modifié"),
   "Nouveau"))</f>
        <v>#VALUE!</v>
      </c>
      <c r="AD9690" s="1" t="str">
        <f>IFERROR(IF(Final_Sans_VGE[[#This Row],[ppn_z]]="","",IFERROR(
   IF(_xlfn.XLOOKUP(Final_Sans_VGE[[#This Row],[ppn_z]],tbl_Historique_Final[[#This Row],[ppn_z]],tbl_Historique_Final[[#This Row],[date_modif]])=Final_Sans_VGE[[#This Row],[date_modif]],
      "Ancien",
      "Modifié"),
   "Nouveau")),"")</f>
        <v/>
      </c>
    </row>
    <row r="9691" spans="24:30" x14ac:dyDescent="0.25">
      <c r="X9691" s="8" t="e">
        <f>IF(Final_Sans_VGE[[#This Row],[ppn_z]]="","",IFERROR(
   IF(_xlfn.XLOOKUP(Final_Sans_VGE[[#This Row],[ppn_z]],tbl_Historique_Final[ppn_z],tbl_Historique_Final[date_modif])=Final_Sans_VGE[[#This Row],[date_modif]],
      "Ancien",
      "Modifié"),
   "Nouveau"))</f>
        <v>#VALUE!</v>
      </c>
      <c r="AD9691" s="1" t="str">
        <f>IFERROR(IF(Final_Sans_VGE[[#This Row],[ppn_z]]="","",IFERROR(
   IF(_xlfn.XLOOKUP(Final_Sans_VGE[[#This Row],[ppn_z]],tbl_Historique_Final[[#This Row],[ppn_z]],tbl_Historique_Final[[#This Row],[date_modif]])=Final_Sans_VGE[[#This Row],[date_modif]],
      "Ancien",
      "Modifié"),
   "Nouveau")),"")</f>
        <v/>
      </c>
    </row>
    <row r="9692" spans="24:30" x14ac:dyDescent="0.25">
      <c r="X9692" s="8" t="e">
        <f>IF(Final_Sans_VGE[[#This Row],[ppn_z]]="","",IFERROR(
   IF(_xlfn.XLOOKUP(Final_Sans_VGE[[#This Row],[ppn_z]],tbl_Historique_Final[ppn_z],tbl_Historique_Final[date_modif])=Final_Sans_VGE[[#This Row],[date_modif]],
      "Ancien",
      "Modifié"),
   "Nouveau"))</f>
        <v>#VALUE!</v>
      </c>
      <c r="AD9692" s="1" t="str">
        <f>IFERROR(IF(Final_Sans_VGE[[#This Row],[ppn_z]]="","",IFERROR(
   IF(_xlfn.XLOOKUP(Final_Sans_VGE[[#This Row],[ppn_z]],tbl_Historique_Final[[#This Row],[ppn_z]],tbl_Historique_Final[[#This Row],[date_modif]])=Final_Sans_VGE[[#This Row],[date_modif]],
      "Ancien",
      "Modifié"),
   "Nouveau")),"")</f>
        <v/>
      </c>
    </row>
    <row r="9693" spans="24:30" x14ac:dyDescent="0.25">
      <c r="X9693" s="8" t="e">
        <f>IF(Final_Sans_VGE[[#This Row],[ppn_z]]="","",IFERROR(
   IF(_xlfn.XLOOKUP(Final_Sans_VGE[[#This Row],[ppn_z]],tbl_Historique_Final[ppn_z],tbl_Historique_Final[date_modif])=Final_Sans_VGE[[#This Row],[date_modif]],
      "Ancien",
      "Modifié"),
   "Nouveau"))</f>
        <v>#VALUE!</v>
      </c>
      <c r="AD9693" s="1" t="str">
        <f>IFERROR(IF(Final_Sans_VGE[[#This Row],[ppn_z]]="","",IFERROR(
   IF(_xlfn.XLOOKUP(Final_Sans_VGE[[#This Row],[ppn_z]],tbl_Historique_Final[[#This Row],[ppn_z]],tbl_Historique_Final[[#This Row],[date_modif]])=Final_Sans_VGE[[#This Row],[date_modif]],
      "Ancien",
      "Modifié"),
   "Nouveau")),"")</f>
        <v/>
      </c>
    </row>
    <row r="9694" spans="24:30" x14ac:dyDescent="0.25">
      <c r="X9694" s="8" t="e">
        <f>IF(Final_Sans_VGE[[#This Row],[ppn_z]]="","",IFERROR(
   IF(_xlfn.XLOOKUP(Final_Sans_VGE[[#This Row],[ppn_z]],tbl_Historique_Final[ppn_z],tbl_Historique_Final[date_modif])=Final_Sans_VGE[[#This Row],[date_modif]],
      "Ancien",
      "Modifié"),
   "Nouveau"))</f>
        <v>#VALUE!</v>
      </c>
      <c r="AD9694" s="1" t="str">
        <f>IFERROR(IF(Final_Sans_VGE[[#This Row],[ppn_z]]="","",IFERROR(
   IF(_xlfn.XLOOKUP(Final_Sans_VGE[[#This Row],[ppn_z]],tbl_Historique_Final[[#This Row],[ppn_z]],tbl_Historique_Final[[#This Row],[date_modif]])=Final_Sans_VGE[[#This Row],[date_modif]],
      "Ancien",
      "Modifié"),
   "Nouveau")),"")</f>
        <v/>
      </c>
    </row>
    <row r="9695" spans="24:30" x14ac:dyDescent="0.25">
      <c r="X9695" s="8" t="e">
        <f>IF(Final_Sans_VGE[[#This Row],[ppn_z]]="","",IFERROR(
   IF(_xlfn.XLOOKUP(Final_Sans_VGE[[#This Row],[ppn_z]],tbl_Historique_Final[ppn_z],tbl_Historique_Final[date_modif])=Final_Sans_VGE[[#This Row],[date_modif]],
      "Ancien",
      "Modifié"),
   "Nouveau"))</f>
        <v>#VALUE!</v>
      </c>
      <c r="AD9695" s="1" t="str">
        <f>IFERROR(IF(Final_Sans_VGE[[#This Row],[ppn_z]]="","",IFERROR(
   IF(_xlfn.XLOOKUP(Final_Sans_VGE[[#This Row],[ppn_z]],tbl_Historique_Final[[#This Row],[ppn_z]],tbl_Historique_Final[[#This Row],[date_modif]])=Final_Sans_VGE[[#This Row],[date_modif]],
      "Ancien",
      "Modifié"),
   "Nouveau")),"")</f>
        <v/>
      </c>
    </row>
    <row r="9696" spans="24:30" x14ac:dyDescent="0.25">
      <c r="X9696" s="8" t="e">
        <f>IF(Final_Sans_VGE[[#This Row],[ppn_z]]="","",IFERROR(
   IF(_xlfn.XLOOKUP(Final_Sans_VGE[[#This Row],[ppn_z]],tbl_Historique_Final[ppn_z],tbl_Historique_Final[date_modif])=Final_Sans_VGE[[#This Row],[date_modif]],
      "Ancien",
      "Modifié"),
   "Nouveau"))</f>
        <v>#VALUE!</v>
      </c>
      <c r="AD9696" s="1" t="str">
        <f>IFERROR(IF(Final_Sans_VGE[[#This Row],[ppn_z]]="","",IFERROR(
   IF(_xlfn.XLOOKUP(Final_Sans_VGE[[#This Row],[ppn_z]],tbl_Historique_Final[[#This Row],[ppn_z]],tbl_Historique_Final[[#This Row],[date_modif]])=Final_Sans_VGE[[#This Row],[date_modif]],
      "Ancien",
      "Modifié"),
   "Nouveau")),"")</f>
        <v/>
      </c>
    </row>
    <row r="9697" spans="24:30" x14ac:dyDescent="0.25">
      <c r="X9697" s="8" t="e">
        <f>IF(Final_Sans_VGE[[#This Row],[ppn_z]]="","",IFERROR(
   IF(_xlfn.XLOOKUP(Final_Sans_VGE[[#This Row],[ppn_z]],tbl_Historique_Final[ppn_z],tbl_Historique_Final[date_modif])=Final_Sans_VGE[[#This Row],[date_modif]],
      "Ancien",
      "Modifié"),
   "Nouveau"))</f>
        <v>#VALUE!</v>
      </c>
      <c r="AD9697" s="1" t="str">
        <f>IFERROR(IF(Final_Sans_VGE[[#This Row],[ppn_z]]="","",IFERROR(
   IF(_xlfn.XLOOKUP(Final_Sans_VGE[[#This Row],[ppn_z]],tbl_Historique_Final[[#This Row],[ppn_z]],tbl_Historique_Final[[#This Row],[date_modif]])=Final_Sans_VGE[[#This Row],[date_modif]],
      "Ancien",
      "Modifié"),
   "Nouveau")),"")</f>
        <v/>
      </c>
    </row>
    <row r="9698" spans="24:30" x14ac:dyDescent="0.25">
      <c r="X9698" s="8" t="e">
        <f>IF(Final_Sans_VGE[[#This Row],[ppn_z]]="","",IFERROR(
   IF(_xlfn.XLOOKUP(Final_Sans_VGE[[#This Row],[ppn_z]],tbl_Historique_Final[ppn_z],tbl_Historique_Final[date_modif])=Final_Sans_VGE[[#This Row],[date_modif]],
      "Ancien",
      "Modifié"),
   "Nouveau"))</f>
        <v>#VALUE!</v>
      </c>
      <c r="AD9698" s="1" t="str">
        <f>IFERROR(IF(Final_Sans_VGE[[#This Row],[ppn_z]]="","",IFERROR(
   IF(_xlfn.XLOOKUP(Final_Sans_VGE[[#This Row],[ppn_z]],tbl_Historique_Final[[#This Row],[ppn_z]],tbl_Historique_Final[[#This Row],[date_modif]])=Final_Sans_VGE[[#This Row],[date_modif]],
      "Ancien",
      "Modifié"),
   "Nouveau")),"")</f>
        <v/>
      </c>
    </row>
    <row r="9699" spans="24:30" x14ac:dyDescent="0.25">
      <c r="X9699" s="8" t="e">
        <f>IF(Final_Sans_VGE[[#This Row],[ppn_z]]="","",IFERROR(
   IF(_xlfn.XLOOKUP(Final_Sans_VGE[[#This Row],[ppn_z]],tbl_Historique_Final[ppn_z],tbl_Historique_Final[date_modif])=Final_Sans_VGE[[#This Row],[date_modif]],
      "Ancien",
      "Modifié"),
   "Nouveau"))</f>
        <v>#VALUE!</v>
      </c>
      <c r="AD9699" s="1" t="str">
        <f>IFERROR(IF(Final_Sans_VGE[[#This Row],[ppn_z]]="","",IFERROR(
   IF(_xlfn.XLOOKUP(Final_Sans_VGE[[#This Row],[ppn_z]],tbl_Historique_Final[[#This Row],[ppn_z]],tbl_Historique_Final[[#This Row],[date_modif]])=Final_Sans_VGE[[#This Row],[date_modif]],
      "Ancien",
      "Modifié"),
   "Nouveau")),"")</f>
        <v/>
      </c>
    </row>
    <row r="9700" spans="24:30" x14ac:dyDescent="0.25">
      <c r="X9700" s="8" t="e">
        <f>IF(Final_Sans_VGE[[#This Row],[ppn_z]]="","",IFERROR(
   IF(_xlfn.XLOOKUP(Final_Sans_VGE[[#This Row],[ppn_z]],tbl_Historique_Final[ppn_z],tbl_Historique_Final[date_modif])=Final_Sans_VGE[[#This Row],[date_modif]],
      "Ancien",
      "Modifié"),
   "Nouveau"))</f>
        <v>#VALUE!</v>
      </c>
      <c r="AD9700" s="1" t="str">
        <f>IFERROR(IF(Final_Sans_VGE[[#This Row],[ppn_z]]="","",IFERROR(
   IF(_xlfn.XLOOKUP(Final_Sans_VGE[[#This Row],[ppn_z]],tbl_Historique_Final[[#This Row],[ppn_z]],tbl_Historique_Final[[#This Row],[date_modif]])=Final_Sans_VGE[[#This Row],[date_modif]],
      "Ancien",
      "Modifié"),
   "Nouveau")),"")</f>
        <v/>
      </c>
    </row>
    <row r="9701" spans="24:30" x14ac:dyDescent="0.25">
      <c r="X9701" s="8" t="e">
        <f>IF(Final_Sans_VGE[[#This Row],[ppn_z]]="","",IFERROR(
   IF(_xlfn.XLOOKUP(Final_Sans_VGE[[#This Row],[ppn_z]],tbl_Historique_Final[ppn_z],tbl_Historique_Final[date_modif])=Final_Sans_VGE[[#This Row],[date_modif]],
      "Ancien",
      "Modifié"),
   "Nouveau"))</f>
        <v>#VALUE!</v>
      </c>
      <c r="AD9701" s="1" t="str">
        <f>IFERROR(IF(Final_Sans_VGE[[#This Row],[ppn_z]]="","",IFERROR(
   IF(_xlfn.XLOOKUP(Final_Sans_VGE[[#This Row],[ppn_z]],tbl_Historique_Final[[#This Row],[ppn_z]],tbl_Historique_Final[[#This Row],[date_modif]])=Final_Sans_VGE[[#This Row],[date_modif]],
      "Ancien",
      "Modifié"),
   "Nouveau")),"")</f>
        <v/>
      </c>
    </row>
    <row r="9702" spans="24:30" x14ac:dyDescent="0.25">
      <c r="X9702" s="8" t="e">
        <f>IF(Final_Sans_VGE[[#This Row],[ppn_z]]="","",IFERROR(
   IF(_xlfn.XLOOKUP(Final_Sans_VGE[[#This Row],[ppn_z]],tbl_Historique_Final[ppn_z],tbl_Historique_Final[date_modif])=Final_Sans_VGE[[#This Row],[date_modif]],
      "Ancien",
      "Modifié"),
   "Nouveau"))</f>
        <v>#VALUE!</v>
      </c>
      <c r="AD9702" s="1" t="str">
        <f>IFERROR(IF(Final_Sans_VGE[[#This Row],[ppn_z]]="","",IFERROR(
   IF(_xlfn.XLOOKUP(Final_Sans_VGE[[#This Row],[ppn_z]],tbl_Historique_Final[[#This Row],[ppn_z]],tbl_Historique_Final[[#This Row],[date_modif]])=Final_Sans_VGE[[#This Row],[date_modif]],
      "Ancien",
      "Modifié"),
   "Nouveau")),"")</f>
        <v/>
      </c>
    </row>
    <row r="9703" spans="24:30" x14ac:dyDescent="0.25">
      <c r="X9703" s="8" t="e">
        <f>IF(Final_Sans_VGE[[#This Row],[ppn_z]]="","",IFERROR(
   IF(_xlfn.XLOOKUP(Final_Sans_VGE[[#This Row],[ppn_z]],tbl_Historique_Final[ppn_z],tbl_Historique_Final[date_modif])=Final_Sans_VGE[[#This Row],[date_modif]],
      "Ancien",
      "Modifié"),
   "Nouveau"))</f>
        <v>#VALUE!</v>
      </c>
      <c r="AD9703" s="1" t="str">
        <f>IFERROR(IF(Final_Sans_VGE[[#This Row],[ppn_z]]="","",IFERROR(
   IF(_xlfn.XLOOKUP(Final_Sans_VGE[[#This Row],[ppn_z]],tbl_Historique_Final[[#This Row],[ppn_z]],tbl_Historique_Final[[#This Row],[date_modif]])=Final_Sans_VGE[[#This Row],[date_modif]],
      "Ancien",
      "Modifié"),
   "Nouveau")),"")</f>
        <v/>
      </c>
    </row>
    <row r="9704" spans="24:30" x14ac:dyDescent="0.25">
      <c r="X9704" s="8" t="e">
        <f>IF(Final_Sans_VGE[[#This Row],[ppn_z]]="","",IFERROR(
   IF(_xlfn.XLOOKUP(Final_Sans_VGE[[#This Row],[ppn_z]],tbl_Historique_Final[ppn_z],tbl_Historique_Final[date_modif])=Final_Sans_VGE[[#This Row],[date_modif]],
      "Ancien",
      "Modifié"),
   "Nouveau"))</f>
        <v>#VALUE!</v>
      </c>
      <c r="AD9704" s="1" t="str">
        <f>IFERROR(IF(Final_Sans_VGE[[#This Row],[ppn_z]]="","",IFERROR(
   IF(_xlfn.XLOOKUP(Final_Sans_VGE[[#This Row],[ppn_z]],tbl_Historique_Final[[#This Row],[ppn_z]],tbl_Historique_Final[[#This Row],[date_modif]])=Final_Sans_VGE[[#This Row],[date_modif]],
      "Ancien",
      "Modifié"),
   "Nouveau")),"")</f>
        <v/>
      </c>
    </row>
    <row r="9705" spans="24:30" x14ac:dyDescent="0.25">
      <c r="X9705" s="8" t="e">
        <f>IF(Final_Sans_VGE[[#This Row],[ppn_z]]="","",IFERROR(
   IF(_xlfn.XLOOKUP(Final_Sans_VGE[[#This Row],[ppn_z]],tbl_Historique_Final[ppn_z],tbl_Historique_Final[date_modif])=Final_Sans_VGE[[#This Row],[date_modif]],
      "Ancien",
      "Modifié"),
   "Nouveau"))</f>
        <v>#VALUE!</v>
      </c>
      <c r="AD9705" s="1" t="str">
        <f>IFERROR(IF(Final_Sans_VGE[[#This Row],[ppn_z]]="","",IFERROR(
   IF(_xlfn.XLOOKUP(Final_Sans_VGE[[#This Row],[ppn_z]],tbl_Historique_Final[[#This Row],[ppn_z]],tbl_Historique_Final[[#This Row],[date_modif]])=Final_Sans_VGE[[#This Row],[date_modif]],
      "Ancien",
      "Modifié"),
   "Nouveau")),"")</f>
        <v/>
      </c>
    </row>
    <row r="9706" spans="24:30" x14ac:dyDescent="0.25">
      <c r="X9706" s="8" t="e">
        <f>IF(Final_Sans_VGE[[#This Row],[ppn_z]]="","",IFERROR(
   IF(_xlfn.XLOOKUP(Final_Sans_VGE[[#This Row],[ppn_z]],tbl_Historique_Final[ppn_z],tbl_Historique_Final[date_modif])=Final_Sans_VGE[[#This Row],[date_modif]],
      "Ancien",
      "Modifié"),
   "Nouveau"))</f>
        <v>#VALUE!</v>
      </c>
      <c r="AD9706" s="1" t="str">
        <f>IFERROR(IF(Final_Sans_VGE[[#This Row],[ppn_z]]="","",IFERROR(
   IF(_xlfn.XLOOKUP(Final_Sans_VGE[[#This Row],[ppn_z]],tbl_Historique_Final[[#This Row],[ppn_z]],tbl_Historique_Final[[#This Row],[date_modif]])=Final_Sans_VGE[[#This Row],[date_modif]],
      "Ancien",
      "Modifié"),
   "Nouveau")),"")</f>
        <v/>
      </c>
    </row>
    <row r="9707" spans="24:30" x14ac:dyDescent="0.25">
      <c r="X9707" s="8" t="e">
        <f>IF(Final_Sans_VGE[[#This Row],[ppn_z]]="","",IFERROR(
   IF(_xlfn.XLOOKUP(Final_Sans_VGE[[#This Row],[ppn_z]],tbl_Historique_Final[ppn_z],tbl_Historique_Final[date_modif])=Final_Sans_VGE[[#This Row],[date_modif]],
      "Ancien",
      "Modifié"),
   "Nouveau"))</f>
        <v>#VALUE!</v>
      </c>
      <c r="AD9707" s="1" t="str">
        <f>IFERROR(IF(Final_Sans_VGE[[#This Row],[ppn_z]]="","",IFERROR(
   IF(_xlfn.XLOOKUP(Final_Sans_VGE[[#This Row],[ppn_z]],tbl_Historique_Final[[#This Row],[ppn_z]],tbl_Historique_Final[[#This Row],[date_modif]])=Final_Sans_VGE[[#This Row],[date_modif]],
      "Ancien",
      "Modifié"),
   "Nouveau")),"")</f>
        <v/>
      </c>
    </row>
    <row r="9708" spans="24:30" x14ac:dyDescent="0.25">
      <c r="X9708" s="8" t="e">
        <f>IF(Final_Sans_VGE[[#This Row],[ppn_z]]="","",IFERROR(
   IF(_xlfn.XLOOKUP(Final_Sans_VGE[[#This Row],[ppn_z]],tbl_Historique_Final[ppn_z],tbl_Historique_Final[date_modif])=Final_Sans_VGE[[#This Row],[date_modif]],
      "Ancien",
      "Modifié"),
   "Nouveau"))</f>
        <v>#VALUE!</v>
      </c>
      <c r="AD9708" s="1" t="str">
        <f>IFERROR(IF(Final_Sans_VGE[[#This Row],[ppn_z]]="","",IFERROR(
   IF(_xlfn.XLOOKUP(Final_Sans_VGE[[#This Row],[ppn_z]],tbl_Historique_Final[[#This Row],[ppn_z]],tbl_Historique_Final[[#This Row],[date_modif]])=Final_Sans_VGE[[#This Row],[date_modif]],
      "Ancien",
      "Modifié"),
   "Nouveau")),"")</f>
        <v/>
      </c>
    </row>
    <row r="9709" spans="24:30" x14ac:dyDescent="0.25">
      <c r="X9709" s="8" t="e">
        <f>IF(Final_Sans_VGE[[#This Row],[ppn_z]]="","",IFERROR(
   IF(_xlfn.XLOOKUP(Final_Sans_VGE[[#This Row],[ppn_z]],tbl_Historique_Final[ppn_z],tbl_Historique_Final[date_modif])=Final_Sans_VGE[[#This Row],[date_modif]],
      "Ancien",
      "Modifié"),
   "Nouveau"))</f>
        <v>#VALUE!</v>
      </c>
      <c r="AD9709" s="1" t="str">
        <f>IFERROR(IF(Final_Sans_VGE[[#This Row],[ppn_z]]="","",IFERROR(
   IF(_xlfn.XLOOKUP(Final_Sans_VGE[[#This Row],[ppn_z]],tbl_Historique_Final[[#This Row],[ppn_z]],tbl_Historique_Final[[#This Row],[date_modif]])=Final_Sans_VGE[[#This Row],[date_modif]],
      "Ancien",
      "Modifié"),
   "Nouveau")),"")</f>
        <v/>
      </c>
    </row>
    <row r="9710" spans="24:30" x14ac:dyDescent="0.25">
      <c r="X9710" s="8" t="e">
        <f>IF(Final_Sans_VGE[[#This Row],[ppn_z]]="","",IFERROR(
   IF(_xlfn.XLOOKUP(Final_Sans_VGE[[#This Row],[ppn_z]],tbl_Historique_Final[ppn_z],tbl_Historique_Final[date_modif])=Final_Sans_VGE[[#This Row],[date_modif]],
      "Ancien",
      "Modifié"),
   "Nouveau"))</f>
        <v>#VALUE!</v>
      </c>
      <c r="AD9710" s="1" t="str">
        <f>IFERROR(IF(Final_Sans_VGE[[#This Row],[ppn_z]]="","",IFERROR(
   IF(_xlfn.XLOOKUP(Final_Sans_VGE[[#This Row],[ppn_z]],tbl_Historique_Final[[#This Row],[ppn_z]],tbl_Historique_Final[[#This Row],[date_modif]])=Final_Sans_VGE[[#This Row],[date_modif]],
      "Ancien",
      "Modifié"),
   "Nouveau")),"")</f>
        <v/>
      </c>
    </row>
    <row r="9711" spans="24:30" x14ac:dyDescent="0.25">
      <c r="X9711" s="8" t="e">
        <f>IF(Final_Sans_VGE[[#This Row],[ppn_z]]="","",IFERROR(
   IF(_xlfn.XLOOKUP(Final_Sans_VGE[[#This Row],[ppn_z]],tbl_Historique_Final[ppn_z],tbl_Historique_Final[date_modif])=Final_Sans_VGE[[#This Row],[date_modif]],
      "Ancien",
      "Modifié"),
   "Nouveau"))</f>
        <v>#VALUE!</v>
      </c>
      <c r="AD9711" s="1" t="str">
        <f>IFERROR(IF(Final_Sans_VGE[[#This Row],[ppn_z]]="","",IFERROR(
   IF(_xlfn.XLOOKUP(Final_Sans_VGE[[#This Row],[ppn_z]],tbl_Historique_Final[[#This Row],[ppn_z]],tbl_Historique_Final[[#This Row],[date_modif]])=Final_Sans_VGE[[#This Row],[date_modif]],
      "Ancien",
      "Modifié"),
   "Nouveau")),"")</f>
        <v/>
      </c>
    </row>
    <row r="9712" spans="24:30" x14ac:dyDescent="0.25">
      <c r="X9712" s="8" t="e">
        <f>IF(Final_Sans_VGE[[#This Row],[ppn_z]]="","",IFERROR(
   IF(_xlfn.XLOOKUP(Final_Sans_VGE[[#This Row],[ppn_z]],tbl_Historique_Final[ppn_z],tbl_Historique_Final[date_modif])=Final_Sans_VGE[[#This Row],[date_modif]],
      "Ancien",
      "Modifié"),
   "Nouveau"))</f>
        <v>#VALUE!</v>
      </c>
      <c r="AD9712" s="1" t="str">
        <f>IFERROR(IF(Final_Sans_VGE[[#This Row],[ppn_z]]="","",IFERROR(
   IF(_xlfn.XLOOKUP(Final_Sans_VGE[[#This Row],[ppn_z]],tbl_Historique_Final[[#This Row],[ppn_z]],tbl_Historique_Final[[#This Row],[date_modif]])=Final_Sans_VGE[[#This Row],[date_modif]],
      "Ancien",
      "Modifié"),
   "Nouveau")),"")</f>
        <v/>
      </c>
    </row>
    <row r="9713" spans="24:30" x14ac:dyDescent="0.25">
      <c r="X9713" s="8" t="e">
        <f>IF(Final_Sans_VGE[[#This Row],[ppn_z]]="","",IFERROR(
   IF(_xlfn.XLOOKUP(Final_Sans_VGE[[#This Row],[ppn_z]],tbl_Historique_Final[ppn_z],tbl_Historique_Final[date_modif])=Final_Sans_VGE[[#This Row],[date_modif]],
      "Ancien",
      "Modifié"),
   "Nouveau"))</f>
        <v>#VALUE!</v>
      </c>
      <c r="AD9713" s="1" t="str">
        <f>IFERROR(IF(Final_Sans_VGE[[#This Row],[ppn_z]]="","",IFERROR(
   IF(_xlfn.XLOOKUP(Final_Sans_VGE[[#This Row],[ppn_z]],tbl_Historique_Final[[#This Row],[ppn_z]],tbl_Historique_Final[[#This Row],[date_modif]])=Final_Sans_VGE[[#This Row],[date_modif]],
      "Ancien",
      "Modifié"),
   "Nouveau")),"")</f>
        <v/>
      </c>
    </row>
    <row r="9714" spans="24:30" x14ac:dyDescent="0.25">
      <c r="X9714" s="8" t="e">
        <f>IF(Final_Sans_VGE[[#This Row],[ppn_z]]="","",IFERROR(
   IF(_xlfn.XLOOKUP(Final_Sans_VGE[[#This Row],[ppn_z]],tbl_Historique_Final[ppn_z],tbl_Historique_Final[date_modif])=Final_Sans_VGE[[#This Row],[date_modif]],
      "Ancien",
      "Modifié"),
   "Nouveau"))</f>
        <v>#VALUE!</v>
      </c>
      <c r="AD9714" s="1" t="str">
        <f>IFERROR(IF(Final_Sans_VGE[[#This Row],[ppn_z]]="","",IFERROR(
   IF(_xlfn.XLOOKUP(Final_Sans_VGE[[#This Row],[ppn_z]],tbl_Historique_Final[[#This Row],[ppn_z]],tbl_Historique_Final[[#This Row],[date_modif]])=Final_Sans_VGE[[#This Row],[date_modif]],
      "Ancien",
      "Modifié"),
   "Nouveau")),"")</f>
        <v/>
      </c>
    </row>
    <row r="9715" spans="24:30" x14ac:dyDescent="0.25">
      <c r="X9715" s="8" t="e">
        <f>IF(Final_Sans_VGE[[#This Row],[ppn_z]]="","",IFERROR(
   IF(_xlfn.XLOOKUP(Final_Sans_VGE[[#This Row],[ppn_z]],tbl_Historique_Final[ppn_z],tbl_Historique_Final[date_modif])=Final_Sans_VGE[[#This Row],[date_modif]],
      "Ancien",
      "Modifié"),
   "Nouveau"))</f>
        <v>#VALUE!</v>
      </c>
      <c r="AD9715" s="1" t="str">
        <f>IFERROR(IF(Final_Sans_VGE[[#This Row],[ppn_z]]="","",IFERROR(
   IF(_xlfn.XLOOKUP(Final_Sans_VGE[[#This Row],[ppn_z]],tbl_Historique_Final[[#This Row],[ppn_z]],tbl_Historique_Final[[#This Row],[date_modif]])=Final_Sans_VGE[[#This Row],[date_modif]],
      "Ancien",
      "Modifié"),
   "Nouveau")),"")</f>
        <v/>
      </c>
    </row>
    <row r="9716" spans="24:30" x14ac:dyDescent="0.25">
      <c r="X9716" s="8" t="e">
        <f>IF(Final_Sans_VGE[[#This Row],[ppn_z]]="","",IFERROR(
   IF(_xlfn.XLOOKUP(Final_Sans_VGE[[#This Row],[ppn_z]],tbl_Historique_Final[ppn_z],tbl_Historique_Final[date_modif])=Final_Sans_VGE[[#This Row],[date_modif]],
      "Ancien",
      "Modifié"),
   "Nouveau"))</f>
        <v>#VALUE!</v>
      </c>
      <c r="AD9716" s="1" t="str">
        <f>IFERROR(IF(Final_Sans_VGE[[#This Row],[ppn_z]]="","",IFERROR(
   IF(_xlfn.XLOOKUP(Final_Sans_VGE[[#This Row],[ppn_z]],tbl_Historique_Final[[#This Row],[ppn_z]],tbl_Historique_Final[[#This Row],[date_modif]])=Final_Sans_VGE[[#This Row],[date_modif]],
      "Ancien",
      "Modifié"),
   "Nouveau")),"")</f>
        <v/>
      </c>
    </row>
    <row r="9717" spans="24:30" x14ac:dyDescent="0.25">
      <c r="X9717" s="8" t="e">
        <f>IF(Final_Sans_VGE[[#This Row],[ppn_z]]="","",IFERROR(
   IF(_xlfn.XLOOKUP(Final_Sans_VGE[[#This Row],[ppn_z]],tbl_Historique_Final[ppn_z],tbl_Historique_Final[date_modif])=Final_Sans_VGE[[#This Row],[date_modif]],
      "Ancien",
      "Modifié"),
   "Nouveau"))</f>
        <v>#VALUE!</v>
      </c>
      <c r="AD9717" s="1" t="str">
        <f>IFERROR(IF(Final_Sans_VGE[[#This Row],[ppn_z]]="","",IFERROR(
   IF(_xlfn.XLOOKUP(Final_Sans_VGE[[#This Row],[ppn_z]],tbl_Historique_Final[[#This Row],[ppn_z]],tbl_Historique_Final[[#This Row],[date_modif]])=Final_Sans_VGE[[#This Row],[date_modif]],
      "Ancien",
      "Modifié"),
   "Nouveau")),"")</f>
        <v/>
      </c>
    </row>
    <row r="9718" spans="24:30" x14ac:dyDescent="0.25">
      <c r="X9718" s="8" t="e">
        <f>IF(Final_Sans_VGE[[#This Row],[ppn_z]]="","",IFERROR(
   IF(_xlfn.XLOOKUP(Final_Sans_VGE[[#This Row],[ppn_z]],tbl_Historique_Final[ppn_z],tbl_Historique_Final[date_modif])=Final_Sans_VGE[[#This Row],[date_modif]],
      "Ancien",
      "Modifié"),
   "Nouveau"))</f>
        <v>#VALUE!</v>
      </c>
      <c r="AD9718" s="1" t="str">
        <f>IFERROR(IF(Final_Sans_VGE[[#This Row],[ppn_z]]="","",IFERROR(
   IF(_xlfn.XLOOKUP(Final_Sans_VGE[[#This Row],[ppn_z]],tbl_Historique_Final[[#This Row],[ppn_z]],tbl_Historique_Final[[#This Row],[date_modif]])=Final_Sans_VGE[[#This Row],[date_modif]],
      "Ancien",
      "Modifié"),
   "Nouveau")),"")</f>
        <v/>
      </c>
    </row>
    <row r="9719" spans="24:30" x14ac:dyDescent="0.25">
      <c r="X9719" s="8" t="e">
        <f>IF(Final_Sans_VGE[[#This Row],[ppn_z]]="","",IFERROR(
   IF(_xlfn.XLOOKUP(Final_Sans_VGE[[#This Row],[ppn_z]],tbl_Historique_Final[ppn_z],tbl_Historique_Final[date_modif])=Final_Sans_VGE[[#This Row],[date_modif]],
      "Ancien",
      "Modifié"),
   "Nouveau"))</f>
        <v>#VALUE!</v>
      </c>
      <c r="AD9719" s="1" t="str">
        <f>IFERROR(IF(Final_Sans_VGE[[#This Row],[ppn_z]]="","",IFERROR(
   IF(_xlfn.XLOOKUP(Final_Sans_VGE[[#This Row],[ppn_z]],tbl_Historique_Final[[#This Row],[ppn_z]],tbl_Historique_Final[[#This Row],[date_modif]])=Final_Sans_VGE[[#This Row],[date_modif]],
      "Ancien",
      "Modifié"),
   "Nouveau")),"")</f>
        <v/>
      </c>
    </row>
    <row r="9720" spans="24:30" x14ac:dyDescent="0.25">
      <c r="X9720" s="8" t="e">
        <f>IF(Final_Sans_VGE[[#This Row],[ppn_z]]="","",IFERROR(
   IF(_xlfn.XLOOKUP(Final_Sans_VGE[[#This Row],[ppn_z]],tbl_Historique_Final[ppn_z],tbl_Historique_Final[date_modif])=Final_Sans_VGE[[#This Row],[date_modif]],
      "Ancien",
      "Modifié"),
   "Nouveau"))</f>
        <v>#VALUE!</v>
      </c>
      <c r="AD9720" s="1" t="str">
        <f>IFERROR(IF(Final_Sans_VGE[[#This Row],[ppn_z]]="","",IFERROR(
   IF(_xlfn.XLOOKUP(Final_Sans_VGE[[#This Row],[ppn_z]],tbl_Historique_Final[[#This Row],[ppn_z]],tbl_Historique_Final[[#This Row],[date_modif]])=Final_Sans_VGE[[#This Row],[date_modif]],
      "Ancien",
      "Modifié"),
   "Nouveau")),"")</f>
        <v/>
      </c>
    </row>
    <row r="9721" spans="24:30" x14ac:dyDescent="0.25">
      <c r="X9721" s="8" t="e">
        <f>IF(Final_Sans_VGE[[#This Row],[ppn_z]]="","",IFERROR(
   IF(_xlfn.XLOOKUP(Final_Sans_VGE[[#This Row],[ppn_z]],tbl_Historique_Final[ppn_z],tbl_Historique_Final[date_modif])=Final_Sans_VGE[[#This Row],[date_modif]],
      "Ancien",
      "Modifié"),
   "Nouveau"))</f>
        <v>#VALUE!</v>
      </c>
      <c r="AD9721" s="1" t="str">
        <f>IFERROR(IF(Final_Sans_VGE[[#This Row],[ppn_z]]="","",IFERROR(
   IF(_xlfn.XLOOKUP(Final_Sans_VGE[[#This Row],[ppn_z]],tbl_Historique_Final[[#This Row],[ppn_z]],tbl_Historique_Final[[#This Row],[date_modif]])=Final_Sans_VGE[[#This Row],[date_modif]],
      "Ancien",
      "Modifié"),
   "Nouveau")),"")</f>
        <v/>
      </c>
    </row>
    <row r="9722" spans="24:30" x14ac:dyDescent="0.25">
      <c r="X9722" s="8" t="e">
        <f>IF(Final_Sans_VGE[[#This Row],[ppn_z]]="","",IFERROR(
   IF(_xlfn.XLOOKUP(Final_Sans_VGE[[#This Row],[ppn_z]],tbl_Historique_Final[ppn_z],tbl_Historique_Final[date_modif])=Final_Sans_VGE[[#This Row],[date_modif]],
      "Ancien",
      "Modifié"),
   "Nouveau"))</f>
        <v>#VALUE!</v>
      </c>
      <c r="AD9722" s="1" t="str">
        <f>IFERROR(IF(Final_Sans_VGE[[#This Row],[ppn_z]]="","",IFERROR(
   IF(_xlfn.XLOOKUP(Final_Sans_VGE[[#This Row],[ppn_z]],tbl_Historique_Final[[#This Row],[ppn_z]],tbl_Historique_Final[[#This Row],[date_modif]])=Final_Sans_VGE[[#This Row],[date_modif]],
      "Ancien",
      "Modifié"),
   "Nouveau")),"")</f>
        <v/>
      </c>
    </row>
    <row r="9723" spans="24:30" x14ac:dyDescent="0.25">
      <c r="X9723" s="8" t="e">
        <f>IF(Final_Sans_VGE[[#This Row],[ppn_z]]="","",IFERROR(
   IF(_xlfn.XLOOKUP(Final_Sans_VGE[[#This Row],[ppn_z]],tbl_Historique_Final[ppn_z],tbl_Historique_Final[date_modif])=Final_Sans_VGE[[#This Row],[date_modif]],
      "Ancien",
      "Modifié"),
   "Nouveau"))</f>
        <v>#VALUE!</v>
      </c>
      <c r="AD9723" s="1" t="str">
        <f>IFERROR(IF(Final_Sans_VGE[[#This Row],[ppn_z]]="","",IFERROR(
   IF(_xlfn.XLOOKUP(Final_Sans_VGE[[#This Row],[ppn_z]],tbl_Historique_Final[[#This Row],[ppn_z]],tbl_Historique_Final[[#This Row],[date_modif]])=Final_Sans_VGE[[#This Row],[date_modif]],
      "Ancien",
      "Modifié"),
   "Nouveau")),"")</f>
        <v/>
      </c>
    </row>
    <row r="9724" spans="24:30" x14ac:dyDescent="0.25">
      <c r="X9724" s="8" t="e">
        <f>IF(Final_Sans_VGE[[#This Row],[ppn_z]]="","",IFERROR(
   IF(_xlfn.XLOOKUP(Final_Sans_VGE[[#This Row],[ppn_z]],tbl_Historique_Final[ppn_z],tbl_Historique_Final[date_modif])=Final_Sans_VGE[[#This Row],[date_modif]],
      "Ancien",
      "Modifié"),
   "Nouveau"))</f>
        <v>#VALUE!</v>
      </c>
      <c r="AD9724" s="1" t="str">
        <f>IFERROR(IF(Final_Sans_VGE[[#This Row],[ppn_z]]="","",IFERROR(
   IF(_xlfn.XLOOKUP(Final_Sans_VGE[[#This Row],[ppn_z]],tbl_Historique_Final[[#This Row],[ppn_z]],tbl_Historique_Final[[#This Row],[date_modif]])=Final_Sans_VGE[[#This Row],[date_modif]],
      "Ancien",
      "Modifié"),
   "Nouveau")),"")</f>
        <v/>
      </c>
    </row>
    <row r="9725" spans="24:30" x14ac:dyDescent="0.25">
      <c r="X9725" s="8" t="e">
        <f>IF(Final_Sans_VGE[[#This Row],[ppn_z]]="","",IFERROR(
   IF(_xlfn.XLOOKUP(Final_Sans_VGE[[#This Row],[ppn_z]],tbl_Historique_Final[ppn_z],tbl_Historique_Final[date_modif])=Final_Sans_VGE[[#This Row],[date_modif]],
      "Ancien",
      "Modifié"),
   "Nouveau"))</f>
        <v>#VALUE!</v>
      </c>
      <c r="AD9725" s="1" t="str">
        <f>IFERROR(IF(Final_Sans_VGE[[#This Row],[ppn_z]]="","",IFERROR(
   IF(_xlfn.XLOOKUP(Final_Sans_VGE[[#This Row],[ppn_z]],tbl_Historique_Final[[#This Row],[ppn_z]],tbl_Historique_Final[[#This Row],[date_modif]])=Final_Sans_VGE[[#This Row],[date_modif]],
      "Ancien",
      "Modifié"),
   "Nouveau")),"")</f>
        <v/>
      </c>
    </row>
    <row r="9726" spans="24:30" x14ac:dyDescent="0.25">
      <c r="X9726" s="8" t="e">
        <f>IF(Final_Sans_VGE[[#This Row],[ppn_z]]="","",IFERROR(
   IF(_xlfn.XLOOKUP(Final_Sans_VGE[[#This Row],[ppn_z]],tbl_Historique_Final[ppn_z],tbl_Historique_Final[date_modif])=Final_Sans_VGE[[#This Row],[date_modif]],
      "Ancien",
      "Modifié"),
   "Nouveau"))</f>
        <v>#VALUE!</v>
      </c>
      <c r="AD9726" s="1" t="str">
        <f>IFERROR(IF(Final_Sans_VGE[[#This Row],[ppn_z]]="","",IFERROR(
   IF(_xlfn.XLOOKUP(Final_Sans_VGE[[#This Row],[ppn_z]],tbl_Historique_Final[[#This Row],[ppn_z]],tbl_Historique_Final[[#This Row],[date_modif]])=Final_Sans_VGE[[#This Row],[date_modif]],
      "Ancien",
      "Modifié"),
   "Nouveau")),"")</f>
        <v/>
      </c>
    </row>
    <row r="9727" spans="24:30" x14ac:dyDescent="0.25">
      <c r="X9727" s="8" t="e">
        <f>IF(Final_Sans_VGE[[#This Row],[ppn_z]]="","",IFERROR(
   IF(_xlfn.XLOOKUP(Final_Sans_VGE[[#This Row],[ppn_z]],tbl_Historique_Final[ppn_z],tbl_Historique_Final[date_modif])=Final_Sans_VGE[[#This Row],[date_modif]],
      "Ancien",
      "Modifié"),
   "Nouveau"))</f>
        <v>#VALUE!</v>
      </c>
      <c r="AD9727" s="1" t="str">
        <f>IFERROR(IF(Final_Sans_VGE[[#This Row],[ppn_z]]="","",IFERROR(
   IF(_xlfn.XLOOKUP(Final_Sans_VGE[[#This Row],[ppn_z]],tbl_Historique_Final[[#This Row],[ppn_z]],tbl_Historique_Final[[#This Row],[date_modif]])=Final_Sans_VGE[[#This Row],[date_modif]],
      "Ancien",
      "Modifié"),
   "Nouveau")),"")</f>
        <v/>
      </c>
    </row>
    <row r="9728" spans="24:30" x14ac:dyDescent="0.25">
      <c r="X9728" s="8" t="e">
        <f>IF(Final_Sans_VGE[[#This Row],[ppn_z]]="","",IFERROR(
   IF(_xlfn.XLOOKUP(Final_Sans_VGE[[#This Row],[ppn_z]],tbl_Historique_Final[ppn_z],tbl_Historique_Final[date_modif])=Final_Sans_VGE[[#This Row],[date_modif]],
      "Ancien",
      "Modifié"),
   "Nouveau"))</f>
        <v>#VALUE!</v>
      </c>
      <c r="AD9728" s="1" t="str">
        <f>IFERROR(IF(Final_Sans_VGE[[#This Row],[ppn_z]]="","",IFERROR(
   IF(_xlfn.XLOOKUP(Final_Sans_VGE[[#This Row],[ppn_z]],tbl_Historique_Final[[#This Row],[ppn_z]],tbl_Historique_Final[[#This Row],[date_modif]])=Final_Sans_VGE[[#This Row],[date_modif]],
      "Ancien",
      "Modifié"),
   "Nouveau")),"")</f>
        <v/>
      </c>
    </row>
    <row r="9729" spans="24:30" x14ac:dyDescent="0.25">
      <c r="X9729" s="8" t="e">
        <f>IF(Final_Sans_VGE[[#This Row],[ppn_z]]="","",IFERROR(
   IF(_xlfn.XLOOKUP(Final_Sans_VGE[[#This Row],[ppn_z]],tbl_Historique_Final[ppn_z],tbl_Historique_Final[date_modif])=Final_Sans_VGE[[#This Row],[date_modif]],
      "Ancien",
      "Modifié"),
   "Nouveau"))</f>
        <v>#VALUE!</v>
      </c>
      <c r="AD9729" s="1" t="str">
        <f>IFERROR(IF(Final_Sans_VGE[[#This Row],[ppn_z]]="","",IFERROR(
   IF(_xlfn.XLOOKUP(Final_Sans_VGE[[#This Row],[ppn_z]],tbl_Historique_Final[[#This Row],[ppn_z]],tbl_Historique_Final[[#This Row],[date_modif]])=Final_Sans_VGE[[#This Row],[date_modif]],
      "Ancien",
      "Modifié"),
   "Nouveau")),"")</f>
        <v/>
      </c>
    </row>
    <row r="9730" spans="24:30" x14ac:dyDescent="0.25">
      <c r="X9730" s="8" t="e">
        <f>IF(Final_Sans_VGE[[#This Row],[ppn_z]]="","",IFERROR(
   IF(_xlfn.XLOOKUP(Final_Sans_VGE[[#This Row],[ppn_z]],tbl_Historique_Final[ppn_z],tbl_Historique_Final[date_modif])=Final_Sans_VGE[[#This Row],[date_modif]],
      "Ancien",
      "Modifié"),
   "Nouveau"))</f>
        <v>#VALUE!</v>
      </c>
      <c r="AD9730" s="1" t="str">
        <f>IFERROR(IF(Final_Sans_VGE[[#This Row],[ppn_z]]="","",IFERROR(
   IF(_xlfn.XLOOKUP(Final_Sans_VGE[[#This Row],[ppn_z]],tbl_Historique_Final[[#This Row],[ppn_z]],tbl_Historique_Final[[#This Row],[date_modif]])=Final_Sans_VGE[[#This Row],[date_modif]],
      "Ancien",
      "Modifié"),
   "Nouveau")),"")</f>
        <v/>
      </c>
    </row>
    <row r="9731" spans="24:30" x14ac:dyDescent="0.25">
      <c r="X9731" s="8" t="e">
        <f>IF(Final_Sans_VGE[[#This Row],[ppn_z]]="","",IFERROR(
   IF(_xlfn.XLOOKUP(Final_Sans_VGE[[#This Row],[ppn_z]],tbl_Historique_Final[ppn_z],tbl_Historique_Final[date_modif])=Final_Sans_VGE[[#This Row],[date_modif]],
      "Ancien",
      "Modifié"),
   "Nouveau"))</f>
        <v>#VALUE!</v>
      </c>
      <c r="AD9731" s="1" t="str">
        <f>IFERROR(IF(Final_Sans_VGE[[#This Row],[ppn_z]]="","",IFERROR(
   IF(_xlfn.XLOOKUP(Final_Sans_VGE[[#This Row],[ppn_z]],tbl_Historique_Final[[#This Row],[ppn_z]],tbl_Historique_Final[[#This Row],[date_modif]])=Final_Sans_VGE[[#This Row],[date_modif]],
      "Ancien",
      "Modifié"),
   "Nouveau")),"")</f>
        <v/>
      </c>
    </row>
    <row r="9732" spans="24:30" x14ac:dyDescent="0.25">
      <c r="X9732" s="8" t="e">
        <f>IF(Final_Sans_VGE[[#This Row],[ppn_z]]="","",IFERROR(
   IF(_xlfn.XLOOKUP(Final_Sans_VGE[[#This Row],[ppn_z]],tbl_Historique_Final[ppn_z],tbl_Historique_Final[date_modif])=Final_Sans_VGE[[#This Row],[date_modif]],
      "Ancien",
      "Modifié"),
   "Nouveau"))</f>
        <v>#VALUE!</v>
      </c>
      <c r="AD9732" s="1" t="str">
        <f>IFERROR(IF(Final_Sans_VGE[[#This Row],[ppn_z]]="","",IFERROR(
   IF(_xlfn.XLOOKUP(Final_Sans_VGE[[#This Row],[ppn_z]],tbl_Historique_Final[[#This Row],[ppn_z]],tbl_Historique_Final[[#This Row],[date_modif]])=Final_Sans_VGE[[#This Row],[date_modif]],
      "Ancien",
      "Modifié"),
   "Nouveau")),"")</f>
        <v/>
      </c>
    </row>
    <row r="9733" spans="24:30" x14ac:dyDescent="0.25">
      <c r="X9733" s="8" t="e">
        <f>IF(Final_Sans_VGE[[#This Row],[ppn_z]]="","",IFERROR(
   IF(_xlfn.XLOOKUP(Final_Sans_VGE[[#This Row],[ppn_z]],tbl_Historique_Final[ppn_z],tbl_Historique_Final[date_modif])=Final_Sans_VGE[[#This Row],[date_modif]],
      "Ancien",
      "Modifié"),
   "Nouveau"))</f>
        <v>#VALUE!</v>
      </c>
      <c r="AD9733" s="1" t="str">
        <f>IFERROR(IF(Final_Sans_VGE[[#This Row],[ppn_z]]="","",IFERROR(
   IF(_xlfn.XLOOKUP(Final_Sans_VGE[[#This Row],[ppn_z]],tbl_Historique_Final[[#This Row],[ppn_z]],tbl_Historique_Final[[#This Row],[date_modif]])=Final_Sans_VGE[[#This Row],[date_modif]],
      "Ancien",
      "Modifié"),
   "Nouveau")),"")</f>
        <v/>
      </c>
    </row>
    <row r="9734" spans="24:30" x14ac:dyDescent="0.25">
      <c r="X9734" s="8" t="e">
        <f>IF(Final_Sans_VGE[[#This Row],[ppn_z]]="","",IFERROR(
   IF(_xlfn.XLOOKUP(Final_Sans_VGE[[#This Row],[ppn_z]],tbl_Historique_Final[ppn_z],tbl_Historique_Final[date_modif])=Final_Sans_VGE[[#This Row],[date_modif]],
      "Ancien",
      "Modifié"),
   "Nouveau"))</f>
        <v>#VALUE!</v>
      </c>
      <c r="AD9734" s="1" t="str">
        <f>IFERROR(IF(Final_Sans_VGE[[#This Row],[ppn_z]]="","",IFERROR(
   IF(_xlfn.XLOOKUP(Final_Sans_VGE[[#This Row],[ppn_z]],tbl_Historique_Final[[#This Row],[ppn_z]],tbl_Historique_Final[[#This Row],[date_modif]])=Final_Sans_VGE[[#This Row],[date_modif]],
      "Ancien",
      "Modifié"),
   "Nouveau")),"")</f>
        <v/>
      </c>
    </row>
    <row r="9735" spans="24:30" x14ac:dyDescent="0.25">
      <c r="X9735" s="8" t="e">
        <f>IF(Final_Sans_VGE[[#This Row],[ppn_z]]="","",IFERROR(
   IF(_xlfn.XLOOKUP(Final_Sans_VGE[[#This Row],[ppn_z]],tbl_Historique_Final[ppn_z],tbl_Historique_Final[date_modif])=Final_Sans_VGE[[#This Row],[date_modif]],
      "Ancien",
      "Modifié"),
   "Nouveau"))</f>
        <v>#VALUE!</v>
      </c>
      <c r="AD9735" s="1" t="str">
        <f>IFERROR(IF(Final_Sans_VGE[[#This Row],[ppn_z]]="","",IFERROR(
   IF(_xlfn.XLOOKUP(Final_Sans_VGE[[#This Row],[ppn_z]],tbl_Historique_Final[[#This Row],[ppn_z]],tbl_Historique_Final[[#This Row],[date_modif]])=Final_Sans_VGE[[#This Row],[date_modif]],
      "Ancien",
      "Modifié"),
   "Nouveau")),"")</f>
        <v/>
      </c>
    </row>
    <row r="9736" spans="24:30" x14ac:dyDescent="0.25">
      <c r="X9736" s="8" t="e">
        <f>IF(Final_Sans_VGE[[#This Row],[ppn_z]]="","",IFERROR(
   IF(_xlfn.XLOOKUP(Final_Sans_VGE[[#This Row],[ppn_z]],tbl_Historique_Final[ppn_z],tbl_Historique_Final[date_modif])=Final_Sans_VGE[[#This Row],[date_modif]],
      "Ancien",
      "Modifié"),
   "Nouveau"))</f>
        <v>#VALUE!</v>
      </c>
      <c r="AD9736" s="1" t="str">
        <f>IFERROR(IF(Final_Sans_VGE[[#This Row],[ppn_z]]="","",IFERROR(
   IF(_xlfn.XLOOKUP(Final_Sans_VGE[[#This Row],[ppn_z]],tbl_Historique_Final[[#This Row],[ppn_z]],tbl_Historique_Final[[#This Row],[date_modif]])=Final_Sans_VGE[[#This Row],[date_modif]],
      "Ancien",
      "Modifié"),
   "Nouveau")),"")</f>
        <v/>
      </c>
    </row>
    <row r="9737" spans="24:30" x14ac:dyDescent="0.25">
      <c r="X9737" s="8" t="e">
        <f>IF(Final_Sans_VGE[[#This Row],[ppn_z]]="","",IFERROR(
   IF(_xlfn.XLOOKUP(Final_Sans_VGE[[#This Row],[ppn_z]],tbl_Historique_Final[ppn_z],tbl_Historique_Final[date_modif])=Final_Sans_VGE[[#This Row],[date_modif]],
      "Ancien",
      "Modifié"),
   "Nouveau"))</f>
        <v>#VALUE!</v>
      </c>
      <c r="AD9737" s="1" t="str">
        <f>IFERROR(IF(Final_Sans_VGE[[#This Row],[ppn_z]]="","",IFERROR(
   IF(_xlfn.XLOOKUP(Final_Sans_VGE[[#This Row],[ppn_z]],tbl_Historique_Final[[#This Row],[ppn_z]],tbl_Historique_Final[[#This Row],[date_modif]])=Final_Sans_VGE[[#This Row],[date_modif]],
      "Ancien",
      "Modifié"),
   "Nouveau")),"")</f>
        <v/>
      </c>
    </row>
    <row r="9738" spans="24:30" x14ac:dyDescent="0.25">
      <c r="X9738" s="8" t="e">
        <f>IF(Final_Sans_VGE[[#This Row],[ppn_z]]="","",IFERROR(
   IF(_xlfn.XLOOKUP(Final_Sans_VGE[[#This Row],[ppn_z]],tbl_Historique_Final[ppn_z],tbl_Historique_Final[date_modif])=Final_Sans_VGE[[#This Row],[date_modif]],
      "Ancien",
      "Modifié"),
   "Nouveau"))</f>
        <v>#VALUE!</v>
      </c>
      <c r="AD9738" s="1" t="str">
        <f>IFERROR(IF(Final_Sans_VGE[[#This Row],[ppn_z]]="","",IFERROR(
   IF(_xlfn.XLOOKUP(Final_Sans_VGE[[#This Row],[ppn_z]],tbl_Historique_Final[[#This Row],[ppn_z]],tbl_Historique_Final[[#This Row],[date_modif]])=Final_Sans_VGE[[#This Row],[date_modif]],
      "Ancien",
      "Modifié"),
   "Nouveau")),"")</f>
        <v/>
      </c>
    </row>
    <row r="9739" spans="24:30" x14ac:dyDescent="0.25">
      <c r="X9739" s="8" t="e">
        <f>IF(Final_Sans_VGE[[#This Row],[ppn_z]]="","",IFERROR(
   IF(_xlfn.XLOOKUP(Final_Sans_VGE[[#This Row],[ppn_z]],tbl_Historique_Final[ppn_z],tbl_Historique_Final[date_modif])=Final_Sans_VGE[[#This Row],[date_modif]],
      "Ancien",
      "Modifié"),
   "Nouveau"))</f>
        <v>#VALUE!</v>
      </c>
      <c r="AD9739" s="1" t="str">
        <f>IFERROR(IF(Final_Sans_VGE[[#This Row],[ppn_z]]="","",IFERROR(
   IF(_xlfn.XLOOKUP(Final_Sans_VGE[[#This Row],[ppn_z]],tbl_Historique_Final[[#This Row],[ppn_z]],tbl_Historique_Final[[#This Row],[date_modif]])=Final_Sans_VGE[[#This Row],[date_modif]],
      "Ancien",
      "Modifié"),
   "Nouveau")),"")</f>
        <v/>
      </c>
    </row>
    <row r="9740" spans="24:30" x14ac:dyDescent="0.25">
      <c r="X9740" s="8" t="e">
        <f>IF(Final_Sans_VGE[[#This Row],[ppn_z]]="","",IFERROR(
   IF(_xlfn.XLOOKUP(Final_Sans_VGE[[#This Row],[ppn_z]],tbl_Historique_Final[ppn_z],tbl_Historique_Final[date_modif])=Final_Sans_VGE[[#This Row],[date_modif]],
      "Ancien",
      "Modifié"),
   "Nouveau"))</f>
        <v>#VALUE!</v>
      </c>
      <c r="AD9740" s="1" t="str">
        <f>IFERROR(IF(Final_Sans_VGE[[#This Row],[ppn_z]]="","",IFERROR(
   IF(_xlfn.XLOOKUP(Final_Sans_VGE[[#This Row],[ppn_z]],tbl_Historique_Final[[#This Row],[ppn_z]],tbl_Historique_Final[[#This Row],[date_modif]])=Final_Sans_VGE[[#This Row],[date_modif]],
      "Ancien",
      "Modifié"),
   "Nouveau")),"")</f>
        <v/>
      </c>
    </row>
    <row r="9741" spans="24:30" x14ac:dyDescent="0.25">
      <c r="X9741" s="8" t="e">
        <f>IF(Final_Sans_VGE[[#This Row],[ppn_z]]="","",IFERROR(
   IF(_xlfn.XLOOKUP(Final_Sans_VGE[[#This Row],[ppn_z]],tbl_Historique_Final[ppn_z],tbl_Historique_Final[date_modif])=Final_Sans_VGE[[#This Row],[date_modif]],
      "Ancien",
      "Modifié"),
   "Nouveau"))</f>
        <v>#VALUE!</v>
      </c>
      <c r="AD9741" s="1" t="str">
        <f>IFERROR(IF(Final_Sans_VGE[[#This Row],[ppn_z]]="","",IFERROR(
   IF(_xlfn.XLOOKUP(Final_Sans_VGE[[#This Row],[ppn_z]],tbl_Historique_Final[[#This Row],[ppn_z]],tbl_Historique_Final[[#This Row],[date_modif]])=Final_Sans_VGE[[#This Row],[date_modif]],
      "Ancien",
      "Modifié"),
   "Nouveau")),"")</f>
        <v/>
      </c>
    </row>
    <row r="9742" spans="24:30" x14ac:dyDescent="0.25">
      <c r="X9742" s="8" t="e">
        <f>IF(Final_Sans_VGE[[#This Row],[ppn_z]]="","",IFERROR(
   IF(_xlfn.XLOOKUP(Final_Sans_VGE[[#This Row],[ppn_z]],tbl_Historique_Final[ppn_z],tbl_Historique_Final[date_modif])=Final_Sans_VGE[[#This Row],[date_modif]],
      "Ancien",
      "Modifié"),
   "Nouveau"))</f>
        <v>#VALUE!</v>
      </c>
      <c r="AD9742" s="1" t="str">
        <f>IFERROR(IF(Final_Sans_VGE[[#This Row],[ppn_z]]="","",IFERROR(
   IF(_xlfn.XLOOKUP(Final_Sans_VGE[[#This Row],[ppn_z]],tbl_Historique_Final[[#This Row],[ppn_z]],tbl_Historique_Final[[#This Row],[date_modif]])=Final_Sans_VGE[[#This Row],[date_modif]],
      "Ancien",
      "Modifié"),
   "Nouveau")),"")</f>
        <v/>
      </c>
    </row>
    <row r="9743" spans="24:30" x14ac:dyDescent="0.25">
      <c r="X9743" s="8" t="e">
        <f>IF(Final_Sans_VGE[[#This Row],[ppn_z]]="","",IFERROR(
   IF(_xlfn.XLOOKUP(Final_Sans_VGE[[#This Row],[ppn_z]],tbl_Historique_Final[ppn_z],tbl_Historique_Final[date_modif])=Final_Sans_VGE[[#This Row],[date_modif]],
      "Ancien",
      "Modifié"),
   "Nouveau"))</f>
        <v>#VALUE!</v>
      </c>
      <c r="AD9743" s="1" t="str">
        <f>IFERROR(IF(Final_Sans_VGE[[#This Row],[ppn_z]]="","",IFERROR(
   IF(_xlfn.XLOOKUP(Final_Sans_VGE[[#This Row],[ppn_z]],tbl_Historique_Final[[#This Row],[ppn_z]],tbl_Historique_Final[[#This Row],[date_modif]])=Final_Sans_VGE[[#This Row],[date_modif]],
      "Ancien",
      "Modifié"),
   "Nouveau")),"")</f>
        <v/>
      </c>
    </row>
    <row r="9744" spans="24:30" x14ac:dyDescent="0.25">
      <c r="X9744" s="8" t="e">
        <f>IF(Final_Sans_VGE[[#This Row],[ppn_z]]="","",IFERROR(
   IF(_xlfn.XLOOKUP(Final_Sans_VGE[[#This Row],[ppn_z]],tbl_Historique_Final[ppn_z],tbl_Historique_Final[date_modif])=Final_Sans_VGE[[#This Row],[date_modif]],
      "Ancien",
      "Modifié"),
   "Nouveau"))</f>
        <v>#VALUE!</v>
      </c>
      <c r="AD9744" s="1" t="str">
        <f>IFERROR(IF(Final_Sans_VGE[[#This Row],[ppn_z]]="","",IFERROR(
   IF(_xlfn.XLOOKUP(Final_Sans_VGE[[#This Row],[ppn_z]],tbl_Historique_Final[[#This Row],[ppn_z]],tbl_Historique_Final[[#This Row],[date_modif]])=Final_Sans_VGE[[#This Row],[date_modif]],
      "Ancien",
      "Modifié"),
   "Nouveau")),"")</f>
        <v/>
      </c>
    </row>
    <row r="9745" spans="24:30" x14ac:dyDescent="0.25">
      <c r="X9745" s="8" t="e">
        <f>IF(Final_Sans_VGE[[#This Row],[ppn_z]]="","",IFERROR(
   IF(_xlfn.XLOOKUP(Final_Sans_VGE[[#This Row],[ppn_z]],tbl_Historique_Final[ppn_z],tbl_Historique_Final[date_modif])=Final_Sans_VGE[[#This Row],[date_modif]],
      "Ancien",
      "Modifié"),
   "Nouveau"))</f>
        <v>#VALUE!</v>
      </c>
      <c r="AD9745" s="1" t="str">
        <f>IFERROR(IF(Final_Sans_VGE[[#This Row],[ppn_z]]="","",IFERROR(
   IF(_xlfn.XLOOKUP(Final_Sans_VGE[[#This Row],[ppn_z]],tbl_Historique_Final[[#This Row],[ppn_z]],tbl_Historique_Final[[#This Row],[date_modif]])=Final_Sans_VGE[[#This Row],[date_modif]],
      "Ancien",
      "Modifié"),
   "Nouveau")),"")</f>
        <v/>
      </c>
    </row>
    <row r="9746" spans="24:30" x14ac:dyDescent="0.25">
      <c r="X9746" s="8" t="e">
        <f>IF(Final_Sans_VGE[[#This Row],[ppn_z]]="","",IFERROR(
   IF(_xlfn.XLOOKUP(Final_Sans_VGE[[#This Row],[ppn_z]],tbl_Historique_Final[ppn_z],tbl_Historique_Final[date_modif])=Final_Sans_VGE[[#This Row],[date_modif]],
      "Ancien",
      "Modifié"),
   "Nouveau"))</f>
        <v>#VALUE!</v>
      </c>
      <c r="AD9746" s="1" t="str">
        <f>IFERROR(IF(Final_Sans_VGE[[#This Row],[ppn_z]]="","",IFERROR(
   IF(_xlfn.XLOOKUP(Final_Sans_VGE[[#This Row],[ppn_z]],tbl_Historique_Final[[#This Row],[ppn_z]],tbl_Historique_Final[[#This Row],[date_modif]])=Final_Sans_VGE[[#This Row],[date_modif]],
      "Ancien",
      "Modifié"),
   "Nouveau")),"")</f>
        <v/>
      </c>
    </row>
    <row r="9747" spans="24:30" x14ac:dyDescent="0.25">
      <c r="X9747" s="8" t="e">
        <f>IF(Final_Sans_VGE[[#This Row],[ppn_z]]="","",IFERROR(
   IF(_xlfn.XLOOKUP(Final_Sans_VGE[[#This Row],[ppn_z]],tbl_Historique_Final[ppn_z],tbl_Historique_Final[date_modif])=Final_Sans_VGE[[#This Row],[date_modif]],
      "Ancien",
      "Modifié"),
   "Nouveau"))</f>
        <v>#VALUE!</v>
      </c>
      <c r="AD9747" s="1" t="str">
        <f>IFERROR(IF(Final_Sans_VGE[[#This Row],[ppn_z]]="","",IFERROR(
   IF(_xlfn.XLOOKUP(Final_Sans_VGE[[#This Row],[ppn_z]],tbl_Historique_Final[[#This Row],[ppn_z]],tbl_Historique_Final[[#This Row],[date_modif]])=Final_Sans_VGE[[#This Row],[date_modif]],
      "Ancien",
      "Modifié"),
   "Nouveau")),"")</f>
        <v/>
      </c>
    </row>
    <row r="9748" spans="24:30" x14ac:dyDescent="0.25">
      <c r="X9748" s="8" t="e">
        <f>IF(Final_Sans_VGE[[#This Row],[ppn_z]]="","",IFERROR(
   IF(_xlfn.XLOOKUP(Final_Sans_VGE[[#This Row],[ppn_z]],tbl_Historique_Final[ppn_z],tbl_Historique_Final[date_modif])=Final_Sans_VGE[[#This Row],[date_modif]],
      "Ancien",
      "Modifié"),
   "Nouveau"))</f>
        <v>#VALUE!</v>
      </c>
      <c r="AD9748" s="1" t="str">
        <f>IFERROR(IF(Final_Sans_VGE[[#This Row],[ppn_z]]="","",IFERROR(
   IF(_xlfn.XLOOKUP(Final_Sans_VGE[[#This Row],[ppn_z]],tbl_Historique_Final[[#This Row],[ppn_z]],tbl_Historique_Final[[#This Row],[date_modif]])=Final_Sans_VGE[[#This Row],[date_modif]],
      "Ancien",
      "Modifié"),
   "Nouveau")),"")</f>
        <v/>
      </c>
    </row>
    <row r="9749" spans="24:30" x14ac:dyDescent="0.25">
      <c r="X9749" s="8" t="e">
        <f>IF(Final_Sans_VGE[[#This Row],[ppn_z]]="","",IFERROR(
   IF(_xlfn.XLOOKUP(Final_Sans_VGE[[#This Row],[ppn_z]],tbl_Historique_Final[ppn_z],tbl_Historique_Final[date_modif])=Final_Sans_VGE[[#This Row],[date_modif]],
      "Ancien",
      "Modifié"),
   "Nouveau"))</f>
        <v>#VALUE!</v>
      </c>
      <c r="AD9749" s="1" t="str">
        <f>IFERROR(IF(Final_Sans_VGE[[#This Row],[ppn_z]]="","",IFERROR(
   IF(_xlfn.XLOOKUP(Final_Sans_VGE[[#This Row],[ppn_z]],tbl_Historique_Final[[#This Row],[ppn_z]],tbl_Historique_Final[[#This Row],[date_modif]])=Final_Sans_VGE[[#This Row],[date_modif]],
      "Ancien",
      "Modifié"),
   "Nouveau")),"")</f>
        <v/>
      </c>
    </row>
    <row r="9750" spans="24:30" x14ac:dyDescent="0.25">
      <c r="X9750" s="8" t="e">
        <f>IF(Final_Sans_VGE[[#This Row],[ppn_z]]="","",IFERROR(
   IF(_xlfn.XLOOKUP(Final_Sans_VGE[[#This Row],[ppn_z]],tbl_Historique_Final[ppn_z],tbl_Historique_Final[date_modif])=Final_Sans_VGE[[#This Row],[date_modif]],
      "Ancien",
      "Modifié"),
   "Nouveau"))</f>
        <v>#VALUE!</v>
      </c>
      <c r="AD9750" s="1" t="str">
        <f>IFERROR(IF(Final_Sans_VGE[[#This Row],[ppn_z]]="","",IFERROR(
   IF(_xlfn.XLOOKUP(Final_Sans_VGE[[#This Row],[ppn_z]],tbl_Historique_Final[[#This Row],[ppn_z]],tbl_Historique_Final[[#This Row],[date_modif]])=Final_Sans_VGE[[#This Row],[date_modif]],
      "Ancien",
      "Modifié"),
   "Nouveau")),"")</f>
        <v/>
      </c>
    </row>
    <row r="9751" spans="24:30" x14ac:dyDescent="0.25">
      <c r="X9751" s="8" t="e">
        <f>IF(Final_Sans_VGE[[#This Row],[ppn_z]]="","",IFERROR(
   IF(_xlfn.XLOOKUP(Final_Sans_VGE[[#This Row],[ppn_z]],tbl_Historique_Final[ppn_z],tbl_Historique_Final[date_modif])=Final_Sans_VGE[[#This Row],[date_modif]],
      "Ancien",
      "Modifié"),
   "Nouveau"))</f>
        <v>#VALUE!</v>
      </c>
      <c r="AD9751" s="1" t="str">
        <f>IFERROR(IF(Final_Sans_VGE[[#This Row],[ppn_z]]="","",IFERROR(
   IF(_xlfn.XLOOKUP(Final_Sans_VGE[[#This Row],[ppn_z]],tbl_Historique_Final[[#This Row],[ppn_z]],tbl_Historique_Final[[#This Row],[date_modif]])=Final_Sans_VGE[[#This Row],[date_modif]],
      "Ancien",
      "Modifié"),
   "Nouveau")),"")</f>
        <v/>
      </c>
    </row>
    <row r="9752" spans="24:30" x14ac:dyDescent="0.25">
      <c r="X9752" s="8" t="e">
        <f>IF(Final_Sans_VGE[[#This Row],[ppn_z]]="","",IFERROR(
   IF(_xlfn.XLOOKUP(Final_Sans_VGE[[#This Row],[ppn_z]],tbl_Historique_Final[ppn_z],tbl_Historique_Final[date_modif])=Final_Sans_VGE[[#This Row],[date_modif]],
      "Ancien",
      "Modifié"),
   "Nouveau"))</f>
        <v>#VALUE!</v>
      </c>
      <c r="AD9752" s="1" t="str">
        <f>IFERROR(IF(Final_Sans_VGE[[#This Row],[ppn_z]]="","",IFERROR(
   IF(_xlfn.XLOOKUP(Final_Sans_VGE[[#This Row],[ppn_z]],tbl_Historique_Final[[#This Row],[ppn_z]],tbl_Historique_Final[[#This Row],[date_modif]])=Final_Sans_VGE[[#This Row],[date_modif]],
      "Ancien",
      "Modifié"),
   "Nouveau")),"")</f>
        <v/>
      </c>
    </row>
    <row r="9753" spans="24:30" x14ac:dyDescent="0.25">
      <c r="X9753" s="8" t="e">
        <f>IF(Final_Sans_VGE[[#This Row],[ppn_z]]="","",IFERROR(
   IF(_xlfn.XLOOKUP(Final_Sans_VGE[[#This Row],[ppn_z]],tbl_Historique_Final[ppn_z],tbl_Historique_Final[date_modif])=Final_Sans_VGE[[#This Row],[date_modif]],
      "Ancien",
      "Modifié"),
   "Nouveau"))</f>
        <v>#VALUE!</v>
      </c>
      <c r="AD9753" s="1" t="str">
        <f>IFERROR(IF(Final_Sans_VGE[[#This Row],[ppn_z]]="","",IFERROR(
   IF(_xlfn.XLOOKUP(Final_Sans_VGE[[#This Row],[ppn_z]],tbl_Historique_Final[[#This Row],[ppn_z]],tbl_Historique_Final[[#This Row],[date_modif]])=Final_Sans_VGE[[#This Row],[date_modif]],
      "Ancien",
      "Modifié"),
   "Nouveau")),"")</f>
        <v/>
      </c>
    </row>
    <row r="9754" spans="24:30" x14ac:dyDescent="0.25">
      <c r="X9754" s="8" t="e">
        <f>IF(Final_Sans_VGE[[#This Row],[ppn_z]]="","",IFERROR(
   IF(_xlfn.XLOOKUP(Final_Sans_VGE[[#This Row],[ppn_z]],tbl_Historique_Final[ppn_z],tbl_Historique_Final[date_modif])=Final_Sans_VGE[[#This Row],[date_modif]],
      "Ancien",
      "Modifié"),
   "Nouveau"))</f>
        <v>#VALUE!</v>
      </c>
      <c r="AD9754" s="1" t="str">
        <f>IFERROR(IF(Final_Sans_VGE[[#This Row],[ppn_z]]="","",IFERROR(
   IF(_xlfn.XLOOKUP(Final_Sans_VGE[[#This Row],[ppn_z]],tbl_Historique_Final[[#This Row],[ppn_z]],tbl_Historique_Final[[#This Row],[date_modif]])=Final_Sans_VGE[[#This Row],[date_modif]],
      "Ancien",
      "Modifié"),
   "Nouveau")),"")</f>
        <v/>
      </c>
    </row>
    <row r="9755" spans="24:30" x14ac:dyDescent="0.25">
      <c r="X9755" s="8" t="e">
        <f>IF(Final_Sans_VGE[[#This Row],[ppn_z]]="","",IFERROR(
   IF(_xlfn.XLOOKUP(Final_Sans_VGE[[#This Row],[ppn_z]],tbl_Historique_Final[ppn_z],tbl_Historique_Final[date_modif])=Final_Sans_VGE[[#This Row],[date_modif]],
      "Ancien",
      "Modifié"),
   "Nouveau"))</f>
        <v>#VALUE!</v>
      </c>
      <c r="AD9755" s="1" t="str">
        <f>IFERROR(IF(Final_Sans_VGE[[#This Row],[ppn_z]]="","",IFERROR(
   IF(_xlfn.XLOOKUP(Final_Sans_VGE[[#This Row],[ppn_z]],tbl_Historique_Final[[#This Row],[ppn_z]],tbl_Historique_Final[[#This Row],[date_modif]])=Final_Sans_VGE[[#This Row],[date_modif]],
      "Ancien",
      "Modifié"),
   "Nouveau")),"")</f>
        <v/>
      </c>
    </row>
    <row r="9756" spans="24:30" x14ac:dyDescent="0.25">
      <c r="X9756" s="8" t="e">
        <f>IF(Final_Sans_VGE[[#This Row],[ppn_z]]="","",IFERROR(
   IF(_xlfn.XLOOKUP(Final_Sans_VGE[[#This Row],[ppn_z]],tbl_Historique_Final[ppn_z],tbl_Historique_Final[date_modif])=Final_Sans_VGE[[#This Row],[date_modif]],
      "Ancien",
      "Modifié"),
   "Nouveau"))</f>
        <v>#VALUE!</v>
      </c>
      <c r="AD9756" s="1" t="str">
        <f>IFERROR(IF(Final_Sans_VGE[[#This Row],[ppn_z]]="","",IFERROR(
   IF(_xlfn.XLOOKUP(Final_Sans_VGE[[#This Row],[ppn_z]],tbl_Historique_Final[[#This Row],[ppn_z]],tbl_Historique_Final[[#This Row],[date_modif]])=Final_Sans_VGE[[#This Row],[date_modif]],
      "Ancien",
      "Modifié"),
   "Nouveau")),"")</f>
        <v/>
      </c>
    </row>
    <row r="9757" spans="24:30" x14ac:dyDescent="0.25">
      <c r="X9757" s="8" t="e">
        <f>IF(Final_Sans_VGE[[#This Row],[ppn_z]]="","",IFERROR(
   IF(_xlfn.XLOOKUP(Final_Sans_VGE[[#This Row],[ppn_z]],tbl_Historique_Final[ppn_z],tbl_Historique_Final[date_modif])=Final_Sans_VGE[[#This Row],[date_modif]],
      "Ancien",
      "Modifié"),
   "Nouveau"))</f>
        <v>#VALUE!</v>
      </c>
      <c r="AD9757" s="1" t="str">
        <f>IFERROR(IF(Final_Sans_VGE[[#This Row],[ppn_z]]="","",IFERROR(
   IF(_xlfn.XLOOKUP(Final_Sans_VGE[[#This Row],[ppn_z]],tbl_Historique_Final[[#This Row],[ppn_z]],tbl_Historique_Final[[#This Row],[date_modif]])=Final_Sans_VGE[[#This Row],[date_modif]],
      "Ancien",
      "Modifié"),
   "Nouveau")),"")</f>
        <v/>
      </c>
    </row>
    <row r="9758" spans="24:30" x14ac:dyDescent="0.25">
      <c r="X9758" s="8" t="e">
        <f>IF(Final_Sans_VGE[[#This Row],[ppn_z]]="","",IFERROR(
   IF(_xlfn.XLOOKUP(Final_Sans_VGE[[#This Row],[ppn_z]],tbl_Historique_Final[ppn_z],tbl_Historique_Final[date_modif])=Final_Sans_VGE[[#This Row],[date_modif]],
      "Ancien",
      "Modifié"),
   "Nouveau"))</f>
        <v>#VALUE!</v>
      </c>
      <c r="AD9758" s="1" t="str">
        <f>IFERROR(IF(Final_Sans_VGE[[#This Row],[ppn_z]]="","",IFERROR(
   IF(_xlfn.XLOOKUP(Final_Sans_VGE[[#This Row],[ppn_z]],tbl_Historique_Final[[#This Row],[ppn_z]],tbl_Historique_Final[[#This Row],[date_modif]])=Final_Sans_VGE[[#This Row],[date_modif]],
      "Ancien",
      "Modifié"),
   "Nouveau")),"")</f>
        <v/>
      </c>
    </row>
    <row r="9759" spans="24:30" x14ac:dyDescent="0.25">
      <c r="X9759" s="8" t="e">
        <f>IF(Final_Sans_VGE[[#This Row],[ppn_z]]="","",IFERROR(
   IF(_xlfn.XLOOKUP(Final_Sans_VGE[[#This Row],[ppn_z]],tbl_Historique_Final[ppn_z],tbl_Historique_Final[date_modif])=Final_Sans_VGE[[#This Row],[date_modif]],
      "Ancien",
      "Modifié"),
   "Nouveau"))</f>
        <v>#VALUE!</v>
      </c>
      <c r="AD9759" s="1" t="str">
        <f>IFERROR(IF(Final_Sans_VGE[[#This Row],[ppn_z]]="","",IFERROR(
   IF(_xlfn.XLOOKUP(Final_Sans_VGE[[#This Row],[ppn_z]],tbl_Historique_Final[[#This Row],[ppn_z]],tbl_Historique_Final[[#This Row],[date_modif]])=Final_Sans_VGE[[#This Row],[date_modif]],
      "Ancien",
      "Modifié"),
   "Nouveau")),"")</f>
        <v/>
      </c>
    </row>
    <row r="9760" spans="24:30" x14ac:dyDescent="0.25">
      <c r="X9760" s="8" t="e">
        <f>IF(Final_Sans_VGE[[#This Row],[ppn_z]]="","",IFERROR(
   IF(_xlfn.XLOOKUP(Final_Sans_VGE[[#This Row],[ppn_z]],tbl_Historique_Final[ppn_z],tbl_Historique_Final[date_modif])=Final_Sans_VGE[[#This Row],[date_modif]],
      "Ancien",
      "Modifié"),
   "Nouveau"))</f>
        <v>#VALUE!</v>
      </c>
      <c r="AD9760" s="1" t="str">
        <f>IFERROR(IF(Final_Sans_VGE[[#This Row],[ppn_z]]="","",IFERROR(
   IF(_xlfn.XLOOKUP(Final_Sans_VGE[[#This Row],[ppn_z]],tbl_Historique_Final[[#This Row],[ppn_z]],tbl_Historique_Final[[#This Row],[date_modif]])=Final_Sans_VGE[[#This Row],[date_modif]],
      "Ancien",
      "Modifié"),
   "Nouveau")),"")</f>
        <v/>
      </c>
    </row>
    <row r="9761" spans="24:30" x14ac:dyDescent="0.25">
      <c r="X9761" s="8" t="e">
        <f>IF(Final_Sans_VGE[[#This Row],[ppn_z]]="","",IFERROR(
   IF(_xlfn.XLOOKUP(Final_Sans_VGE[[#This Row],[ppn_z]],tbl_Historique_Final[ppn_z],tbl_Historique_Final[date_modif])=Final_Sans_VGE[[#This Row],[date_modif]],
      "Ancien",
      "Modifié"),
   "Nouveau"))</f>
        <v>#VALUE!</v>
      </c>
      <c r="AD9761" s="1" t="str">
        <f>IFERROR(IF(Final_Sans_VGE[[#This Row],[ppn_z]]="","",IFERROR(
   IF(_xlfn.XLOOKUP(Final_Sans_VGE[[#This Row],[ppn_z]],tbl_Historique_Final[[#This Row],[ppn_z]],tbl_Historique_Final[[#This Row],[date_modif]])=Final_Sans_VGE[[#This Row],[date_modif]],
      "Ancien",
      "Modifié"),
   "Nouveau")),"")</f>
        <v/>
      </c>
    </row>
    <row r="9762" spans="24:30" x14ac:dyDescent="0.25">
      <c r="X9762" s="8" t="e">
        <f>IF(Final_Sans_VGE[[#This Row],[ppn_z]]="","",IFERROR(
   IF(_xlfn.XLOOKUP(Final_Sans_VGE[[#This Row],[ppn_z]],tbl_Historique_Final[ppn_z],tbl_Historique_Final[date_modif])=Final_Sans_VGE[[#This Row],[date_modif]],
      "Ancien",
      "Modifié"),
   "Nouveau"))</f>
        <v>#VALUE!</v>
      </c>
      <c r="AD9762" s="1" t="str">
        <f>IFERROR(IF(Final_Sans_VGE[[#This Row],[ppn_z]]="","",IFERROR(
   IF(_xlfn.XLOOKUP(Final_Sans_VGE[[#This Row],[ppn_z]],tbl_Historique_Final[[#This Row],[ppn_z]],tbl_Historique_Final[[#This Row],[date_modif]])=Final_Sans_VGE[[#This Row],[date_modif]],
      "Ancien",
      "Modifié"),
   "Nouveau")),"")</f>
        <v/>
      </c>
    </row>
    <row r="9763" spans="24:30" x14ac:dyDescent="0.25">
      <c r="X9763" s="8" t="e">
        <f>IF(Final_Sans_VGE[[#This Row],[ppn_z]]="","",IFERROR(
   IF(_xlfn.XLOOKUP(Final_Sans_VGE[[#This Row],[ppn_z]],tbl_Historique_Final[ppn_z],tbl_Historique_Final[date_modif])=Final_Sans_VGE[[#This Row],[date_modif]],
      "Ancien",
      "Modifié"),
   "Nouveau"))</f>
        <v>#VALUE!</v>
      </c>
      <c r="AD9763" s="1" t="str">
        <f>IFERROR(IF(Final_Sans_VGE[[#This Row],[ppn_z]]="","",IFERROR(
   IF(_xlfn.XLOOKUP(Final_Sans_VGE[[#This Row],[ppn_z]],tbl_Historique_Final[[#This Row],[ppn_z]],tbl_Historique_Final[[#This Row],[date_modif]])=Final_Sans_VGE[[#This Row],[date_modif]],
      "Ancien",
      "Modifié"),
   "Nouveau")),"")</f>
        <v/>
      </c>
    </row>
    <row r="9764" spans="24:30" x14ac:dyDescent="0.25">
      <c r="X9764" s="8" t="e">
        <f>IF(Final_Sans_VGE[[#This Row],[ppn_z]]="","",IFERROR(
   IF(_xlfn.XLOOKUP(Final_Sans_VGE[[#This Row],[ppn_z]],tbl_Historique_Final[ppn_z],tbl_Historique_Final[date_modif])=Final_Sans_VGE[[#This Row],[date_modif]],
      "Ancien",
      "Modifié"),
   "Nouveau"))</f>
        <v>#VALUE!</v>
      </c>
      <c r="AD9764" s="1" t="str">
        <f>IFERROR(IF(Final_Sans_VGE[[#This Row],[ppn_z]]="","",IFERROR(
   IF(_xlfn.XLOOKUP(Final_Sans_VGE[[#This Row],[ppn_z]],tbl_Historique_Final[[#This Row],[ppn_z]],tbl_Historique_Final[[#This Row],[date_modif]])=Final_Sans_VGE[[#This Row],[date_modif]],
      "Ancien",
      "Modifié"),
   "Nouveau")),"")</f>
        <v/>
      </c>
    </row>
    <row r="9765" spans="24:30" x14ac:dyDescent="0.25">
      <c r="X9765" s="8" t="e">
        <f>IF(Final_Sans_VGE[[#This Row],[ppn_z]]="","",IFERROR(
   IF(_xlfn.XLOOKUP(Final_Sans_VGE[[#This Row],[ppn_z]],tbl_Historique_Final[ppn_z],tbl_Historique_Final[date_modif])=Final_Sans_VGE[[#This Row],[date_modif]],
      "Ancien",
      "Modifié"),
   "Nouveau"))</f>
        <v>#VALUE!</v>
      </c>
      <c r="AD9765" s="1" t="str">
        <f>IFERROR(IF(Final_Sans_VGE[[#This Row],[ppn_z]]="","",IFERROR(
   IF(_xlfn.XLOOKUP(Final_Sans_VGE[[#This Row],[ppn_z]],tbl_Historique_Final[[#This Row],[ppn_z]],tbl_Historique_Final[[#This Row],[date_modif]])=Final_Sans_VGE[[#This Row],[date_modif]],
      "Ancien",
      "Modifié"),
   "Nouveau")),"")</f>
        <v/>
      </c>
    </row>
    <row r="9766" spans="24:30" x14ac:dyDescent="0.25">
      <c r="X9766" s="8" t="e">
        <f>IF(Final_Sans_VGE[[#This Row],[ppn_z]]="","",IFERROR(
   IF(_xlfn.XLOOKUP(Final_Sans_VGE[[#This Row],[ppn_z]],tbl_Historique_Final[ppn_z],tbl_Historique_Final[date_modif])=Final_Sans_VGE[[#This Row],[date_modif]],
      "Ancien",
      "Modifié"),
   "Nouveau"))</f>
        <v>#VALUE!</v>
      </c>
      <c r="AD9766" s="1" t="str">
        <f>IFERROR(IF(Final_Sans_VGE[[#This Row],[ppn_z]]="","",IFERROR(
   IF(_xlfn.XLOOKUP(Final_Sans_VGE[[#This Row],[ppn_z]],tbl_Historique_Final[[#This Row],[ppn_z]],tbl_Historique_Final[[#This Row],[date_modif]])=Final_Sans_VGE[[#This Row],[date_modif]],
      "Ancien",
      "Modifié"),
   "Nouveau")),"")</f>
        <v/>
      </c>
    </row>
    <row r="9767" spans="24:30" x14ac:dyDescent="0.25">
      <c r="X9767" s="8" t="e">
        <f>IF(Final_Sans_VGE[[#This Row],[ppn_z]]="","",IFERROR(
   IF(_xlfn.XLOOKUP(Final_Sans_VGE[[#This Row],[ppn_z]],tbl_Historique_Final[ppn_z],tbl_Historique_Final[date_modif])=Final_Sans_VGE[[#This Row],[date_modif]],
      "Ancien",
      "Modifié"),
   "Nouveau"))</f>
        <v>#VALUE!</v>
      </c>
      <c r="AD9767" s="1" t="str">
        <f>IFERROR(IF(Final_Sans_VGE[[#This Row],[ppn_z]]="","",IFERROR(
   IF(_xlfn.XLOOKUP(Final_Sans_VGE[[#This Row],[ppn_z]],tbl_Historique_Final[[#This Row],[ppn_z]],tbl_Historique_Final[[#This Row],[date_modif]])=Final_Sans_VGE[[#This Row],[date_modif]],
      "Ancien",
      "Modifié"),
   "Nouveau")),"")</f>
        <v/>
      </c>
    </row>
    <row r="9768" spans="24:30" x14ac:dyDescent="0.25">
      <c r="X9768" s="8" t="e">
        <f>IF(Final_Sans_VGE[[#This Row],[ppn_z]]="","",IFERROR(
   IF(_xlfn.XLOOKUP(Final_Sans_VGE[[#This Row],[ppn_z]],tbl_Historique_Final[ppn_z],tbl_Historique_Final[date_modif])=Final_Sans_VGE[[#This Row],[date_modif]],
      "Ancien",
      "Modifié"),
   "Nouveau"))</f>
        <v>#VALUE!</v>
      </c>
      <c r="AD9768" s="1" t="str">
        <f>IFERROR(IF(Final_Sans_VGE[[#This Row],[ppn_z]]="","",IFERROR(
   IF(_xlfn.XLOOKUP(Final_Sans_VGE[[#This Row],[ppn_z]],tbl_Historique_Final[[#This Row],[ppn_z]],tbl_Historique_Final[[#This Row],[date_modif]])=Final_Sans_VGE[[#This Row],[date_modif]],
      "Ancien",
      "Modifié"),
   "Nouveau")),"")</f>
        <v/>
      </c>
    </row>
    <row r="9769" spans="24:30" x14ac:dyDescent="0.25">
      <c r="X9769" s="8" t="e">
        <f>IF(Final_Sans_VGE[[#This Row],[ppn_z]]="","",IFERROR(
   IF(_xlfn.XLOOKUP(Final_Sans_VGE[[#This Row],[ppn_z]],tbl_Historique_Final[ppn_z],tbl_Historique_Final[date_modif])=Final_Sans_VGE[[#This Row],[date_modif]],
      "Ancien",
      "Modifié"),
   "Nouveau"))</f>
        <v>#VALUE!</v>
      </c>
      <c r="AD9769" s="1" t="str">
        <f>IFERROR(IF(Final_Sans_VGE[[#This Row],[ppn_z]]="","",IFERROR(
   IF(_xlfn.XLOOKUP(Final_Sans_VGE[[#This Row],[ppn_z]],tbl_Historique_Final[[#This Row],[ppn_z]],tbl_Historique_Final[[#This Row],[date_modif]])=Final_Sans_VGE[[#This Row],[date_modif]],
      "Ancien",
      "Modifié"),
   "Nouveau")),"")</f>
        <v/>
      </c>
    </row>
    <row r="9770" spans="24:30" x14ac:dyDescent="0.25">
      <c r="X9770" s="8" t="e">
        <f>IF(Final_Sans_VGE[[#This Row],[ppn_z]]="","",IFERROR(
   IF(_xlfn.XLOOKUP(Final_Sans_VGE[[#This Row],[ppn_z]],tbl_Historique_Final[ppn_z],tbl_Historique_Final[date_modif])=Final_Sans_VGE[[#This Row],[date_modif]],
      "Ancien",
      "Modifié"),
   "Nouveau"))</f>
        <v>#VALUE!</v>
      </c>
      <c r="AD9770" s="1" t="str">
        <f>IFERROR(IF(Final_Sans_VGE[[#This Row],[ppn_z]]="","",IFERROR(
   IF(_xlfn.XLOOKUP(Final_Sans_VGE[[#This Row],[ppn_z]],tbl_Historique_Final[[#This Row],[ppn_z]],tbl_Historique_Final[[#This Row],[date_modif]])=Final_Sans_VGE[[#This Row],[date_modif]],
      "Ancien",
      "Modifié"),
   "Nouveau")),"")</f>
        <v/>
      </c>
    </row>
    <row r="9771" spans="24:30" x14ac:dyDescent="0.25">
      <c r="X9771" s="8" t="e">
        <f>IF(Final_Sans_VGE[[#This Row],[ppn_z]]="","",IFERROR(
   IF(_xlfn.XLOOKUP(Final_Sans_VGE[[#This Row],[ppn_z]],tbl_Historique_Final[ppn_z],tbl_Historique_Final[date_modif])=Final_Sans_VGE[[#This Row],[date_modif]],
      "Ancien",
      "Modifié"),
   "Nouveau"))</f>
        <v>#VALUE!</v>
      </c>
      <c r="AD9771" s="1" t="str">
        <f>IFERROR(IF(Final_Sans_VGE[[#This Row],[ppn_z]]="","",IFERROR(
   IF(_xlfn.XLOOKUP(Final_Sans_VGE[[#This Row],[ppn_z]],tbl_Historique_Final[[#This Row],[ppn_z]],tbl_Historique_Final[[#This Row],[date_modif]])=Final_Sans_VGE[[#This Row],[date_modif]],
      "Ancien",
      "Modifié"),
   "Nouveau")),"")</f>
        <v/>
      </c>
    </row>
    <row r="9772" spans="24:30" x14ac:dyDescent="0.25">
      <c r="X9772" s="8" t="e">
        <f>IF(Final_Sans_VGE[[#This Row],[ppn_z]]="","",IFERROR(
   IF(_xlfn.XLOOKUP(Final_Sans_VGE[[#This Row],[ppn_z]],tbl_Historique_Final[ppn_z],tbl_Historique_Final[date_modif])=Final_Sans_VGE[[#This Row],[date_modif]],
      "Ancien",
      "Modifié"),
   "Nouveau"))</f>
        <v>#VALUE!</v>
      </c>
      <c r="AD9772" s="1" t="str">
        <f>IFERROR(IF(Final_Sans_VGE[[#This Row],[ppn_z]]="","",IFERROR(
   IF(_xlfn.XLOOKUP(Final_Sans_VGE[[#This Row],[ppn_z]],tbl_Historique_Final[[#This Row],[ppn_z]],tbl_Historique_Final[[#This Row],[date_modif]])=Final_Sans_VGE[[#This Row],[date_modif]],
      "Ancien",
      "Modifié"),
   "Nouveau")),"")</f>
        <v/>
      </c>
    </row>
    <row r="9773" spans="24:30" x14ac:dyDescent="0.25">
      <c r="X9773" s="8" t="e">
        <f>IF(Final_Sans_VGE[[#This Row],[ppn_z]]="","",IFERROR(
   IF(_xlfn.XLOOKUP(Final_Sans_VGE[[#This Row],[ppn_z]],tbl_Historique_Final[ppn_z],tbl_Historique_Final[date_modif])=Final_Sans_VGE[[#This Row],[date_modif]],
      "Ancien",
      "Modifié"),
   "Nouveau"))</f>
        <v>#VALUE!</v>
      </c>
      <c r="AD9773" s="1" t="str">
        <f>IFERROR(IF(Final_Sans_VGE[[#This Row],[ppn_z]]="","",IFERROR(
   IF(_xlfn.XLOOKUP(Final_Sans_VGE[[#This Row],[ppn_z]],tbl_Historique_Final[[#This Row],[ppn_z]],tbl_Historique_Final[[#This Row],[date_modif]])=Final_Sans_VGE[[#This Row],[date_modif]],
      "Ancien",
      "Modifié"),
   "Nouveau")),"")</f>
        <v/>
      </c>
    </row>
    <row r="9774" spans="24:30" x14ac:dyDescent="0.25">
      <c r="X9774" s="8" t="e">
        <f>IF(Final_Sans_VGE[[#This Row],[ppn_z]]="","",IFERROR(
   IF(_xlfn.XLOOKUP(Final_Sans_VGE[[#This Row],[ppn_z]],tbl_Historique_Final[ppn_z],tbl_Historique_Final[date_modif])=Final_Sans_VGE[[#This Row],[date_modif]],
      "Ancien",
      "Modifié"),
   "Nouveau"))</f>
        <v>#VALUE!</v>
      </c>
      <c r="AD9774" s="1" t="str">
        <f>IFERROR(IF(Final_Sans_VGE[[#This Row],[ppn_z]]="","",IFERROR(
   IF(_xlfn.XLOOKUP(Final_Sans_VGE[[#This Row],[ppn_z]],tbl_Historique_Final[[#This Row],[ppn_z]],tbl_Historique_Final[[#This Row],[date_modif]])=Final_Sans_VGE[[#This Row],[date_modif]],
      "Ancien",
      "Modifié"),
   "Nouveau")),"")</f>
        <v/>
      </c>
    </row>
    <row r="9775" spans="24:30" x14ac:dyDescent="0.25">
      <c r="X9775" s="8" t="e">
        <f>IF(Final_Sans_VGE[[#This Row],[ppn_z]]="","",IFERROR(
   IF(_xlfn.XLOOKUP(Final_Sans_VGE[[#This Row],[ppn_z]],tbl_Historique_Final[ppn_z],tbl_Historique_Final[date_modif])=Final_Sans_VGE[[#This Row],[date_modif]],
      "Ancien",
      "Modifié"),
   "Nouveau"))</f>
        <v>#VALUE!</v>
      </c>
      <c r="AD9775" s="1" t="str">
        <f>IFERROR(IF(Final_Sans_VGE[[#This Row],[ppn_z]]="","",IFERROR(
   IF(_xlfn.XLOOKUP(Final_Sans_VGE[[#This Row],[ppn_z]],tbl_Historique_Final[[#This Row],[ppn_z]],tbl_Historique_Final[[#This Row],[date_modif]])=Final_Sans_VGE[[#This Row],[date_modif]],
      "Ancien",
      "Modifié"),
   "Nouveau")),"")</f>
        <v/>
      </c>
    </row>
    <row r="9776" spans="24:30" x14ac:dyDescent="0.25">
      <c r="X9776" s="8" t="e">
        <f>IF(Final_Sans_VGE[[#This Row],[ppn_z]]="","",IFERROR(
   IF(_xlfn.XLOOKUP(Final_Sans_VGE[[#This Row],[ppn_z]],tbl_Historique_Final[ppn_z],tbl_Historique_Final[date_modif])=Final_Sans_VGE[[#This Row],[date_modif]],
      "Ancien",
      "Modifié"),
   "Nouveau"))</f>
        <v>#VALUE!</v>
      </c>
      <c r="AD9776" s="1" t="str">
        <f>IFERROR(IF(Final_Sans_VGE[[#This Row],[ppn_z]]="","",IFERROR(
   IF(_xlfn.XLOOKUP(Final_Sans_VGE[[#This Row],[ppn_z]],tbl_Historique_Final[[#This Row],[ppn_z]],tbl_Historique_Final[[#This Row],[date_modif]])=Final_Sans_VGE[[#This Row],[date_modif]],
      "Ancien",
      "Modifié"),
   "Nouveau")),"")</f>
        <v/>
      </c>
    </row>
    <row r="9777" spans="24:30" x14ac:dyDescent="0.25">
      <c r="X9777" s="8" t="e">
        <f>IF(Final_Sans_VGE[[#This Row],[ppn_z]]="","",IFERROR(
   IF(_xlfn.XLOOKUP(Final_Sans_VGE[[#This Row],[ppn_z]],tbl_Historique_Final[ppn_z],tbl_Historique_Final[date_modif])=Final_Sans_VGE[[#This Row],[date_modif]],
      "Ancien",
      "Modifié"),
   "Nouveau"))</f>
        <v>#VALUE!</v>
      </c>
      <c r="AD9777" s="1" t="str">
        <f>IFERROR(IF(Final_Sans_VGE[[#This Row],[ppn_z]]="","",IFERROR(
   IF(_xlfn.XLOOKUP(Final_Sans_VGE[[#This Row],[ppn_z]],tbl_Historique_Final[[#This Row],[ppn_z]],tbl_Historique_Final[[#This Row],[date_modif]])=Final_Sans_VGE[[#This Row],[date_modif]],
      "Ancien",
      "Modifié"),
   "Nouveau")),"")</f>
        <v/>
      </c>
    </row>
    <row r="9778" spans="24:30" x14ac:dyDescent="0.25">
      <c r="X9778" s="8" t="e">
        <f>IF(Final_Sans_VGE[[#This Row],[ppn_z]]="","",IFERROR(
   IF(_xlfn.XLOOKUP(Final_Sans_VGE[[#This Row],[ppn_z]],tbl_Historique_Final[ppn_z],tbl_Historique_Final[date_modif])=Final_Sans_VGE[[#This Row],[date_modif]],
      "Ancien",
      "Modifié"),
   "Nouveau"))</f>
        <v>#VALUE!</v>
      </c>
      <c r="AD9778" s="1" t="str">
        <f>IFERROR(IF(Final_Sans_VGE[[#This Row],[ppn_z]]="","",IFERROR(
   IF(_xlfn.XLOOKUP(Final_Sans_VGE[[#This Row],[ppn_z]],tbl_Historique_Final[[#This Row],[ppn_z]],tbl_Historique_Final[[#This Row],[date_modif]])=Final_Sans_VGE[[#This Row],[date_modif]],
      "Ancien",
      "Modifié"),
   "Nouveau")),"")</f>
        <v/>
      </c>
    </row>
    <row r="9779" spans="24:30" x14ac:dyDescent="0.25">
      <c r="X9779" s="8" t="e">
        <f>IF(Final_Sans_VGE[[#This Row],[ppn_z]]="","",IFERROR(
   IF(_xlfn.XLOOKUP(Final_Sans_VGE[[#This Row],[ppn_z]],tbl_Historique_Final[ppn_z],tbl_Historique_Final[date_modif])=Final_Sans_VGE[[#This Row],[date_modif]],
      "Ancien",
      "Modifié"),
   "Nouveau"))</f>
        <v>#VALUE!</v>
      </c>
      <c r="AD9779" s="1" t="str">
        <f>IFERROR(IF(Final_Sans_VGE[[#This Row],[ppn_z]]="","",IFERROR(
   IF(_xlfn.XLOOKUP(Final_Sans_VGE[[#This Row],[ppn_z]],tbl_Historique_Final[[#This Row],[ppn_z]],tbl_Historique_Final[[#This Row],[date_modif]])=Final_Sans_VGE[[#This Row],[date_modif]],
      "Ancien",
      "Modifié"),
   "Nouveau")),"")</f>
        <v/>
      </c>
    </row>
    <row r="9780" spans="24:30" x14ac:dyDescent="0.25">
      <c r="X9780" s="8" t="e">
        <f>IF(Final_Sans_VGE[[#This Row],[ppn_z]]="","",IFERROR(
   IF(_xlfn.XLOOKUP(Final_Sans_VGE[[#This Row],[ppn_z]],tbl_Historique_Final[ppn_z],tbl_Historique_Final[date_modif])=Final_Sans_VGE[[#This Row],[date_modif]],
      "Ancien",
      "Modifié"),
   "Nouveau"))</f>
        <v>#VALUE!</v>
      </c>
      <c r="AD9780" s="1" t="str">
        <f>IFERROR(IF(Final_Sans_VGE[[#This Row],[ppn_z]]="","",IFERROR(
   IF(_xlfn.XLOOKUP(Final_Sans_VGE[[#This Row],[ppn_z]],tbl_Historique_Final[[#This Row],[ppn_z]],tbl_Historique_Final[[#This Row],[date_modif]])=Final_Sans_VGE[[#This Row],[date_modif]],
      "Ancien",
      "Modifié"),
   "Nouveau")),"")</f>
        <v/>
      </c>
    </row>
    <row r="9781" spans="24:30" x14ac:dyDescent="0.25">
      <c r="X9781" s="8" t="e">
        <f>IF(Final_Sans_VGE[[#This Row],[ppn_z]]="","",IFERROR(
   IF(_xlfn.XLOOKUP(Final_Sans_VGE[[#This Row],[ppn_z]],tbl_Historique_Final[ppn_z],tbl_Historique_Final[date_modif])=Final_Sans_VGE[[#This Row],[date_modif]],
      "Ancien",
      "Modifié"),
   "Nouveau"))</f>
        <v>#VALUE!</v>
      </c>
      <c r="AD9781" s="1" t="str">
        <f>IFERROR(IF(Final_Sans_VGE[[#This Row],[ppn_z]]="","",IFERROR(
   IF(_xlfn.XLOOKUP(Final_Sans_VGE[[#This Row],[ppn_z]],tbl_Historique_Final[[#This Row],[ppn_z]],tbl_Historique_Final[[#This Row],[date_modif]])=Final_Sans_VGE[[#This Row],[date_modif]],
      "Ancien",
      "Modifié"),
   "Nouveau")),"")</f>
        <v/>
      </c>
    </row>
    <row r="9782" spans="24:30" x14ac:dyDescent="0.25">
      <c r="X9782" s="8" t="e">
        <f>IF(Final_Sans_VGE[[#This Row],[ppn_z]]="","",IFERROR(
   IF(_xlfn.XLOOKUP(Final_Sans_VGE[[#This Row],[ppn_z]],tbl_Historique_Final[ppn_z],tbl_Historique_Final[date_modif])=Final_Sans_VGE[[#This Row],[date_modif]],
      "Ancien",
      "Modifié"),
   "Nouveau"))</f>
        <v>#VALUE!</v>
      </c>
      <c r="AD9782" s="1" t="str">
        <f>IFERROR(IF(Final_Sans_VGE[[#This Row],[ppn_z]]="","",IFERROR(
   IF(_xlfn.XLOOKUP(Final_Sans_VGE[[#This Row],[ppn_z]],tbl_Historique_Final[[#This Row],[ppn_z]],tbl_Historique_Final[[#This Row],[date_modif]])=Final_Sans_VGE[[#This Row],[date_modif]],
      "Ancien",
      "Modifié"),
   "Nouveau")),"")</f>
        <v/>
      </c>
    </row>
    <row r="9783" spans="24:30" x14ac:dyDescent="0.25">
      <c r="X9783" s="8" t="e">
        <f>IF(Final_Sans_VGE[[#This Row],[ppn_z]]="","",IFERROR(
   IF(_xlfn.XLOOKUP(Final_Sans_VGE[[#This Row],[ppn_z]],tbl_Historique_Final[ppn_z],tbl_Historique_Final[date_modif])=Final_Sans_VGE[[#This Row],[date_modif]],
      "Ancien",
      "Modifié"),
   "Nouveau"))</f>
        <v>#VALUE!</v>
      </c>
      <c r="AD9783" s="1" t="str">
        <f>IFERROR(IF(Final_Sans_VGE[[#This Row],[ppn_z]]="","",IFERROR(
   IF(_xlfn.XLOOKUP(Final_Sans_VGE[[#This Row],[ppn_z]],tbl_Historique_Final[[#This Row],[ppn_z]],tbl_Historique_Final[[#This Row],[date_modif]])=Final_Sans_VGE[[#This Row],[date_modif]],
      "Ancien",
      "Modifié"),
   "Nouveau")),"")</f>
        <v/>
      </c>
    </row>
    <row r="9784" spans="24:30" x14ac:dyDescent="0.25">
      <c r="X9784" s="8" t="e">
        <f>IF(Final_Sans_VGE[[#This Row],[ppn_z]]="","",IFERROR(
   IF(_xlfn.XLOOKUP(Final_Sans_VGE[[#This Row],[ppn_z]],tbl_Historique_Final[ppn_z],tbl_Historique_Final[date_modif])=Final_Sans_VGE[[#This Row],[date_modif]],
      "Ancien",
      "Modifié"),
   "Nouveau"))</f>
        <v>#VALUE!</v>
      </c>
      <c r="AD9784" s="1" t="str">
        <f>IFERROR(IF(Final_Sans_VGE[[#This Row],[ppn_z]]="","",IFERROR(
   IF(_xlfn.XLOOKUP(Final_Sans_VGE[[#This Row],[ppn_z]],tbl_Historique_Final[[#This Row],[ppn_z]],tbl_Historique_Final[[#This Row],[date_modif]])=Final_Sans_VGE[[#This Row],[date_modif]],
      "Ancien",
      "Modifié"),
   "Nouveau")),"")</f>
        <v/>
      </c>
    </row>
    <row r="9785" spans="24:30" x14ac:dyDescent="0.25">
      <c r="X9785" s="8" t="e">
        <f>IF(Final_Sans_VGE[[#This Row],[ppn_z]]="","",IFERROR(
   IF(_xlfn.XLOOKUP(Final_Sans_VGE[[#This Row],[ppn_z]],tbl_Historique_Final[ppn_z],tbl_Historique_Final[date_modif])=Final_Sans_VGE[[#This Row],[date_modif]],
      "Ancien",
      "Modifié"),
   "Nouveau"))</f>
        <v>#VALUE!</v>
      </c>
      <c r="AD9785" s="1" t="str">
        <f>IFERROR(IF(Final_Sans_VGE[[#This Row],[ppn_z]]="","",IFERROR(
   IF(_xlfn.XLOOKUP(Final_Sans_VGE[[#This Row],[ppn_z]],tbl_Historique_Final[[#This Row],[ppn_z]],tbl_Historique_Final[[#This Row],[date_modif]])=Final_Sans_VGE[[#This Row],[date_modif]],
      "Ancien",
      "Modifié"),
   "Nouveau")),"")</f>
        <v/>
      </c>
    </row>
    <row r="9786" spans="24:30" x14ac:dyDescent="0.25">
      <c r="X9786" s="8" t="e">
        <f>IF(Final_Sans_VGE[[#This Row],[ppn_z]]="","",IFERROR(
   IF(_xlfn.XLOOKUP(Final_Sans_VGE[[#This Row],[ppn_z]],tbl_Historique_Final[ppn_z],tbl_Historique_Final[date_modif])=Final_Sans_VGE[[#This Row],[date_modif]],
      "Ancien",
      "Modifié"),
   "Nouveau"))</f>
        <v>#VALUE!</v>
      </c>
      <c r="AD9786" s="1" t="str">
        <f>IFERROR(IF(Final_Sans_VGE[[#This Row],[ppn_z]]="","",IFERROR(
   IF(_xlfn.XLOOKUP(Final_Sans_VGE[[#This Row],[ppn_z]],tbl_Historique_Final[[#This Row],[ppn_z]],tbl_Historique_Final[[#This Row],[date_modif]])=Final_Sans_VGE[[#This Row],[date_modif]],
      "Ancien",
      "Modifié"),
   "Nouveau")),"")</f>
        <v/>
      </c>
    </row>
    <row r="9787" spans="24:30" x14ac:dyDescent="0.25">
      <c r="X9787" s="8" t="e">
        <f>IF(Final_Sans_VGE[[#This Row],[ppn_z]]="","",IFERROR(
   IF(_xlfn.XLOOKUP(Final_Sans_VGE[[#This Row],[ppn_z]],tbl_Historique_Final[ppn_z],tbl_Historique_Final[date_modif])=Final_Sans_VGE[[#This Row],[date_modif]],
      "Ancien",
      "Modifié"),
   "Nouveau"))</f>
        <v>#VALUE!</v>
      </c>
      <c r="AD9787" s="1" t="str">
        <f>IFERROR(IF(Final_Sans_VGE[[#This Row],[ppn_z]]="","",IFERROR(
   IF(_xlfn.XLOOKUP(Final_Sans_VGE[[#This Row],[ppn_z]],tbl_Historique_Final[[#This Row],[ppn_z]],tbl_Historique_Final[[#This Row],[date_modif]])=Final_Sans_VGE[[#This Row],[date_modif]],
      "Ancien",
      "Modifié"),
   "Nouveau")),"")</f>
        <v/>
      </c>
    </row>
    <row r="9788" spans="24:30" x14ac:dyDescent="0.25">
      <c r="X9788" s="8" t="e">
        <f>IF(Final_Sans_VGE[[#This Row],[ppn_z]]="","",IFERROR(
   IF(_xlfn.XLOOKUP(Final_Sans_VGE[[#This Row],[ppn_z]],tbl_Historique_Final[ppn_z],tbl_Historique_Final[date_modif])=Final_Sans_VGE[[#This Row],[date_modif]],
      "Ancien",
      "Modifié"),
   "Nouveau"))</f>
        <v>#VALUE!</v>
      </c>
      <c r="AD9788" s="1" t="str">
        <f>IFERROR(IF(Final_Sans_VGE[[#This Row],[ppn_z]]="","",IFERROR(
   IF(_xlfn.XLOOKUP(Final_Sans_VGE[[#This Row],[ppn_z]],tbl_Historique_Final[[#This Row],[ppn_z]],tbl_Historique_Final[[#This Row],[date_modif]])=Final_Sans_VGE[[#This Row],[date_modif]],
      "Ancien",
      "Modifié"),
   "Nouveau")),"")</f>
        <v/>
      </c>
    </row>
    <row r="9789" spans="24:30" x14ac:dyDescent="0.25">
      <c r="X9789" s="8" t="e">
        <f>IF(Final_Sans_VGE[[#This Row],[ppn_z]]="","",IFERROR(
   IF(_xlfn.XLOOKUP(Final_Sans_VGE[[#This Row],[ppn_z]],tbl_Historique_Final[ppn_z],tbl_Historique_Final[date_modif])=Final_Sans_VGE[[#This Row],[date_modif]],
      "Ancien",
      "Modifié"),
   "Nouveau"))</f>
        <v>#VALUE!</v>
      </c>
      <c r="AD9789" s="1" t="str">
        <f>IFERROR(IF(Final_Sans_VGE[[#This Row],[ppn_z]]="","",IFERROR(
   IF(_xlfn.XLOOKUP(Final_Sans_VGE[[#This Row],[ppn_z]],tbl_Historique_Final[[#This Row],[ppn_z]],tbl_Historique_Final[[#This Row],[date_modif]])=Final_Sans_VGE[[#This Row],[date_modif]],
      "Ancien",
      "Modifié"),
   "Nouveau")),"")</f>
        <v/>
      </c>
    </row>
    <row r="9790" spans="24:30" x14ac:dyDescent="0.25">
      <c r="X9790" s="8" t="e">
        <f>IF(Final_Sans_VGE[[#This Row],[ppn_z]]="","",IFERROR(
   IF(_xlfn.XLOOKUP(Final_Sans_VGE[[#This Row],[ppn_z]],tbl_Historique_Final[ppn_z],tbl_Historique_Final[date_modif])=Final_Sans_VGE[[#This Row],[date_modif]],
      "Ancien",
      "Modifié"),
   "Nouveau"))</f>
        <v>#VALUE!</v>
      </c>
      <c r="AD9790" s="1" t="str">
        <f>IFERROR(IF(Final_Sans_VGE[[#This Row],[ppn_z]]="","",IFERROR(
   IF(_xlfn.XLOOKUP(Final_Sans_VGE[[#This Row],[ppn_z]],tbl_Historique_Final[[#This Row],[ppn_z]],tbl_Historique_Final[[#This Row],[date_modif]])=Final_Sans_VGE[[#This Row],[date_modif]],
      "Ancien",
      "Modifié"),
   "Nouveau")),"")</f>
        <v/>
      </c>
    </row>
    <row r="9791" spans="24:30" x14ac:dyDescent="0.25">
      <c r="X9791" s="8" t="e">
        <f>IF(Final_Sans_VGE[[#This Row],[ppn_z]]="","",IFERROR(
   IF(_xlfn.XLOOKUP(Final_Sans_VGE[[#This Row],[ppn_z]],tbl_Historique_Final[ppn_z],tbl_Historique_Final[date_modif])=Final_Sans_VGE[[#This Row],[date_modif]],
      "Ancien",
      "Modifié"),
   "Nouveau"))</f>
        <v>#VALUE!</v>
      </c>
      <c r="AD9791" s="1" t="str">
        <f>IFERROR(IF(Final_Sans_VGE[[#This Row],[ppn_z]]="","",IFERROR(
   IF(_xlfn.XLOOKUP(Final_Sans_VGE[[#This Row],[ppn_z]],tbl_Historique_Final[[#This Row],[ppn_z]],tbl_Historique_Final[[#This Row],[date_modif]])=Final_Sans_VGE[[#This Row],[date_modif]],
      "Ancien",
      "Modifié"),
   "Nouveau")),"")</f>
        <v/>
      </c>
    </row>
    <row r="9792" spans="24:30" x14ac:dyDescent="0.25">
      <c r="X9792" s="8" t="e">
        <f>IF(Final_Sans_VGE[[#This Row],[ppn_z]]="","",IFERROR(
   IF(_xlfn.XLOOKUP(Final_Sans_VGE[[#This Row],[ppn_z]],tbl_Historique_Final[ppn_z],tbl_Historique_Final[date_modif])=Final_Sans_VGE[[#This Row],[date_modif]],
      "Ancien",
      "Modifié"),
   "Nouveau"))</f>
        <v>#VALUE!</v>
      </c>
      <c r="AD9792" s="1" t="str">
        <f>IFERROR(IF(Final_Sans_VGE[[#This Row],[ppn_z]]="","",IFERROR(
   IF(_xlfn.XLOOKUP(Final_Sans_VGE[[#This Row],[ppn_z]],tbl_Historique_Final[[#This Row],[ppn_z]],tbl_Historique_Final[[#This Row],[date_modif]])=Final_Sans_VGE[[#This Row],[date_modif]],
      "Ancien",
      "Modifié"),
   "Nouveau")),"")</f>
        <v/>
      </c>
    </row>
    <row r="9793" spans="24:30" x14ac:dyDescent="0.25">
      <c r="X9793" s="8" t="e">
        <f>IF(Final_Sans_VGE[[#This Row],[ppn_z]]="","",IFERROR(
   IF(_xlfn.XLOOKUP(Final_Sans_VGE[[#This Row],[ppn_z]],tbl_Historique_Final[ppn_z],tbl_Historique_Final[date_modif])=Final_Sans_VGE[[#This Row],[date_modif]],
      "Ancien",
      "Modifié"),
   "Nouveau"))</f>
        <v>#VALUE!</v>
      </c>
      <c r="AD9793" s="1" t="str">
        <f>IFERROR(IF(Final_Sans_VGE[[#This Row],[ppn_z]]="","",IFERROR(
   IF(_xlfn.XLOOKUP(Final_Sans_VGE[[#This Row],[ppn_z]],tbl_Historique_Final[[#This Row],[ppn_z]],tbl_Historique_Final[[#This Row],[date_modif]])=Final_Sans_VGE[[#This Row],[date_modif]],
      "Ancien",
      "Modifié"),
   "Nouveau")),"")</f>
        <v/>
      </c>
    </row>
    <row r="9794" spans="24:30" x14ac:dyDescent="0.25">
      <c r="X9794" s="8" t="e">
        <f>IF(Final_Sans_VGE[[#This Row],[ppn_z]]="","",IFERROR(
   IF(_xlfn.XLOOKUP(Final_Sans_VGE[[#This Row],[ppn_z]],tbl_Historique_Final[ppn_z],tbl_Historique_Final[date_modif])=Final_Sans_VGE[[#This Row],[date_modif]],
      "Ancien",
      "Modifié"),
   "Nouveau"))</f>
        <v>#VALUE!</v>
      </c>
      <c r="AD9794" s="1" t="str">
        <f>IFERROR(IF(Final_Sans_VGE[[#This Row],[ppn_z]]="","",IFERROR(
   IF(_xlfn.XLOOKUP(Final_Sans_VGE[[#This Row],[ppn_z]],tbl_Historique_Final[[#This Row],[ppn_z]],tbl_Historique_Final[[#This Row],[date_modif]])=Final_Sans_VGE[[#This Row],[date_modif]],
      "Ancien",
      "Modifié"),
   "Nouveau")),"")</f>
        <v/>
      </c>
    </row>
    <row r="9795" spans="24:30" x14ac:dyDescent="0.25">
      <c r="X9795" s="8" t="e">
        <f>IF(Final_Sans_VGE[[#This Row],[ppn_z]]="","",IFERROR(
   IF(_xlfn.XLOOKUP(Final_Sans_VGE[[#This Row],[ppn_z]],tbl_Historique_Final[ppn_z],tbl_Historique_Final[date_modif])=Final_Sans_VGE[[#This Row],[date_modif]],
      "Ancien",
      "Modifié"),
   "Nouveau"))</f>
        <v>#VALUE!</v>
      </c>
      <c r="AD9795" s="1" t="str">
        <f>IFERROR(IF(Final_Sans_VGE[[#This Row],[ppn_z]]="","",IFERROR(
   IF(_xlfn.XLOOKUP(Final_Sans_VGE[[#This Row],[ppn_z]],tbl_Historique_Final[[#This Row],[ppn_z]],tbl_Historique_Final[[#This Row],[date_modif]])=Final_Sans_VGE[[#This Row],[date_modif]],
      "Ancien",
      "Modifié"),
   "Nouveau")),"")</f>
        <v/>
      </c>
    </row>
    <row r="9796" spans="24:30" x14ac:dyDescent="0.25">
      <c r="X9796" s="8" t="e">
        <f>IF(Final_Sans_VGE[[#This Row],[ppn_z]]="","",IFERROR(
   IF(_xlfn.XLOOKUP(Final_Sans_VGE[[#This Row],[ppn_z]],tbl_Historique_Final[ppn_z],tbl_Historique_Final[date_modif])=Final_Sans_VGE[[#This Row],[date_modif]],
      "Ancien",
      "Modifié"),
   "Nouveau"))</f>
        <v>#VALUE!</v>
      </c>
      <c r="AD9796" s="1" t="str">
        <f>IFERROR(IF(Final_Sans_VGE[[#This Row],[ppn_z]]="","",IFERROR(
   IF(_xlfn.XLOOKUP(Final_Sans_VGE[[#This Row],[ppn_z]],tbl_Historique_Final[[#This Row],[ppn_z]],tbl_Historique_Final[[#This Row],[date_modif]])=Final_Sans_VGE[[#This Row],[date_modif]],
      "Ancien",
      "Modifié"),
   "Nouveau")),"")</f>
        <v/>
      </c>
    </row>
    <row r="9797" spans="24:30" x14ac:dyDescent="0.25">
      <c r="X9797" s="8" t="e">
        <f>IF(Final_Sans_VGE[[#This Row],[ppn_z]]="","",IFERROR(
   IF(_xlfn.XLOOKUP(Final_Sans_VGE[[#This Row],[ppn_z]],tbl_Historique_Final[ppn_z],tbl_Historique_Final[date_modif])=Final_Sans_VGE[[#This Row],[date_modif]],
      "Ancien",
      "Modifié"),
   "Nouveau"))</f>
        <v>#VALUE!</v>
      </c>
      <c r="AD9797" s="1" t="str">
        <f>IFERROR(IF(Final_Sans_VGE[[#This Row],[ppn_z]]="","",IFERROR(
   IF(_xlfn.XLOOKUP(Final_Sans_VGE[[#This Row],[ppn_z]],tbl_Historique_Final[[#This Row],[ppn_z]],tbl_Historique_Final[[#This Row],[date_modif]])=Final_Sans_VGE[[#This Row],[date_modif]],
      "Ancien",
      "Modifié"),
   "Nouveau")),"")</f>
        <v/>
      </c>
    </row>
    <row r="9798" spans="24:30" x14ac:dyDescent="0.25">
      <c r="X9798" s="8" t="e">
        <f>IF(Final_Sans_VGE[[#This Row],[ppn_z]]="","",IFERROR(
   IF(_xlfn.XLOOKUP(Final_Sans_VGE[[#This Row],[ppn_z]],tbl_Historique_Final[ppn_z],tbl_Historique_Final[date_modif])=Final_Sans_VGE[[#This Row],[date_modif]],
      "Ancien",
      "Modifié"),
   "Nouveau"))</f>
        <v>#VALUE!</v>
      </c>
      <c r="AD9798" s="1" t="str">
        <f>IFERROR(IF(Final_Sans_VGE[[#This Row],[ppn_z]]="","",IFERROR(
   IF(_xlfn.XLOOKUP(Final_Sans_VGE[[#This Row],[ppn_z]],tbl_Historique_Final[[#This Row],[ppn_z]],tbl_Historique_Final[[#This Row],[date_modif]])=Final_Sans_VGE[[#This Row],[date_modif]],
      "Ancien",
      "Modifié"),
   "Nouveau")),"")</f>
        <v/>
      </c>
    </row>
    <row r="9799" spans="24:30" x14ac:dyDescent="0.25">
      <c r="X9799" s="8" t="e">
        <f>IF(Final_Sans_VGE[[#This Row],[ppn_z]]="","",IFERROR(
   IF(_xlfn.XLOOKUP(Final_Sans_VGE[[#This Row],[ppn_z]],tbl_Historique_Final[ppn_z],tbl_Historique_Final[date_modif])=Final_Sans_VGE[[#This Row],[date_modif]],
      "Ancien",
      "Modifié"),
   "Nouveau"))</f>
        <v>#VALUE!</v>
      </c>
      <c r="AD9799" s="1" t="str">
        <f>IFERROR(IF(Final_Sans_VGE[[#This Row],[ppn_z]]="","",IFERROR(
   IF(_xlfn.XLOOKUP(Final_Sans_VGE[[#This Row],[ppn_z]],tbl_Historique_Final[[#This Row],[ppn_z]],tbl_Historique_Final[[#This Row],[date_modif]])=Final_Sans_VGE[[#This Row],[date_modif]],
      "Ancien",
      "Modifié"),
   "Nouveau")),"")</f>
        <v/>
      </c>
    </row>
    <row r="9800" spans="24:30" x14ac:dyDescent="0.25">
      <c r="X9800" s="8" t="e">
        <f>IF(Final_Sans_VGE[[#This Row],[ppn_z]]="","",IFERROR(
   IF(_xlfn.XLOOKUP(Final_Sans_VGE[[#This Row],[ppn_z]],tbl_Historique_Final[ppn_z],tbl_Historique_Final[date_modif])=Final_Sans_VGE[[#This Row],[date_modif]],
      "Ancien",
      "Modifié"),
   "Nouveau"))</f>
        <v>#VALUE!</v>
      </c>
      <c r="AD9800" s="1" t="str">
        <f>IFERROR(IF(Final_Sans_VGE[[#This Row],[ppn_z]]="","",IFERROR(
   IF(_xlfn.XLOOKUP(Final_Sans_VGE[[#This Row],[ppn_z]],tbl_Historique_Final[[#This Row],[ppn_z]],tbl_Historique_Final[[#This Row],[date_modif]])=Final_Sans_VGE[[#This Row],[date_modif]],
      "Ancien",
      "Modifié"),
   "Nouveau")),"")</f>
        <v/>
      </c>
    </row>
    <row r="9801" spans="24:30" x14ac:dyDescent="0.25">
      <c r="X9801" s="8" t="e">
        <f>IF(Final_Sans_VGE[[#This Row],[ppn_z]]="","",IFERROR(
   IF(_xlfn.XLOOKUP(Final_Sans_VGE[[#This Row],[ppn_z]],tbl_Historique_Final[ppn_z],tbl_Historique_Final[date_modif])=Final_Sans_VGE[[#This Row],[date_modif]],
      "Ancien",
      "Modifié"),
   "Nouveau"))</f>
        <v>#VALUE!</v>
      </c>
      <c r="AD9801" s="1" t="str">
        <f>IFERROR(IF(Final_Sans_VGE[[#This Row],[ppn_z]]="","",IFERROR(
   IF(_xlfn.XLOOKUP(Final_Sans_VGE[[#This Row],[ppn_z]],tbl_Historique_Final[[#This Row],[ppn_z]],tbl_Historique_Final[[#This Row],[date_modif]])=Final_Sans_VGE[[#This Row],[date_modif]],
      "Ancien",
      "Modifié"),
   "Nouveau")),"")</f>
        <v/>
      </c>
    </row>
    <row r="9802" spans="24:30" x14ac:dyDescent="0.25">
      <c r="X9802" s="8" t="e">
        <f>IF(Final_Sans_VGE[[#This Row],[ppn_z]]="","",IFERROR(
   IF(_xlfn.XLOOKUP(Final_Sans_VGE[[#This Row],[ppn_z]],tbl_Historique_Final[ppn_z],tbl_Historique_Final[date_modif])=Final_Sans_VGE[[#This Row],[date_modif]],
      "Ancien",
      "Modifié"),
   "Nouveau"))</f>
        <v>#VALUE!</v>
      </c>
      <c r="AD9802" s="1" t="str">
        <f>IFERROR(IF(Final_Sans_VGE[[#This Row],[ppn_z]]="","",IFERROR(
   IF(_xlfn.XLOOKUP(Final_Sans_VGE[[#This Row],[ppn_z]],tbl_Historique_Final[[#This Row],[ppn_z]],tbl_Historique_Final[[#This Row],[date_modif]])=Final_Sans_VGE[[#This Row],[date_modif]],
      "Ancien",
      "Modifié"),
   "Nouveau")),"")</f>
        <v/>
      </c>
    </row>
    <row r="9803" spans="24:30" x14ac:dyDescent="0.25">
      <c r="X9803" s="8" t="e">
        <f>IF(Final_Sans_VGE[[#This Row],[ppn_z]]="","",IFERROR(
   IF(_xlfn.XLOOKUP(Final_Sans_VGE[[#This Row],[ppn_z]],tbl_Historique_Final[ppn_z],tbl_Historique_Final[date_modif])=Final_Sans_VGE[[#This Row],[date_modif]],
      "Ancien",
      "Modifié"),
   "Nouveau"))</f>
        <v>#VALUE!</v>
      </c>
      <c r="AD9803" s="1" t="str">
        <f>IFERROR(IF(Final_Sans_VGE[[#This Row],[ppn_z]]="","",IFERROR(
   IF(_xlfn.XLOOKUP(Final_Sans_VGE[[#This Row],[ppn_z]],tbl_Historique_Final[[#This Row],[ppn_z]],tbl_Historique_Final[[#This Row],[date_modif]])=Final_Sans_VGE[[#This Row],[date_modif]],
      "Ancien",
      "Modifié"),
   "Nouveau")),"")</f>
        <v/>
      </c>
    </row>
    <row r="9804" spans="24:30" x14ac:dyDescent="0.25">
      <c r="X9804" s="8" t="e">
        <f>IF(Final_Sans_VGE[[#This Row],[ppn_z]]="","",IFERROR(
   IF(_xlfn.XLOOKUP(Final_Sans_VGE[[#This Row],[ppn_z]],tbl_Historique_Final[ppn_z],tbl_Historique_Final[date_modif])=Final_Sans_VGE[[#This Row],[date_modif]],
      "Ancien",
      "Modifié"),
   "Nouveau"))</f>
        <v>#VALUE!</v>
      </c>
      <c r="AD9804" s="1" t="str">
        <f>IFERROR(IF(Final_Sans_VGE[[#This Row],[ppn_z]]="","",IFERROR(
   IF(_xlfn.XLOOKUP(Final_Sans_VGE[[#This Row],[ppn_z]],tbl_Historique_Final[[#This Row],[ppn_z]],tbl_Historique_Final[[#This Row],[date_modif]])=Final_Sans_VGE[[#This Row],[date_modif]],
      "Ancien",
      "Modifié"),
   "Nouveau")),"")</f>
        <v/>
      </c>
    </row>
    <row r="9805" spans="24:30" x14ac:dyDescent="0.25">
      <c r="X9805" s="8" t="e">
        <f>IF(Final_Sans_VGE[[#This Row],[ppn_z]]="","",IFERROR(
   IF(_xlfn.XLOOKUP(Final_Sans_VGE[[#This Row],[ppn_z]],tbl_Historique_Final[ppn_z],tbl_Historique_Final[date_modif])=Final_Sans_VGE[[#This Row],[date_modif]],
      "Ancien",
      "Modifié"),
   "Nouveau"))</f>
        <v>#VALUE!</v>
      </c>
      <c r="AD9805" s="1" t="str">
        <f>IFERROR(IF(Final_Sans_VGE[[#This Row],[ppn_z]]="","",IFERROR(
   IF(_xlfn.XLOOKUP(Final_Sans_VGE[[#This Row],[ppn_z]],tbl_Historique_Final[[#This Row],[ppn_z]],tbl_Historique_Final[[#This Row],[date_modif]])=Final_Sans_VGE[[#This Row],[date_modif]],
      "Ancien",
      "Modifié"),
   "Nouveau")),"")</f>
        <v/>
      </c>
    </row>
    <row r="9806" spans="24:30" x14ac:dyDescent="0.25">
      <c r="X9806" s="8" t="e">
        <f>IF(Final_Sans_VGE[[#This Row],[ppn_z]]="","",IFERROR(
   IF(_xlfn.XLOOKUP(Final_Sans_VGE[[#This Row],[ppn_z]],tbl_Historique_Final[ppn_z],tbl_Historique_Final[date_modif])=Final_Sans_VGE[[#This Row],[date_modif]],
      "Ancien",
      "Modifié"),
   "Nouveau"))</f>
        <v>#VALUE!</v>
      </c>
      <c r="AD9806" s="1" t="str">
        <f>IFERROR(IF(Final_Sans_VGE[[#This Row],[ppn_z]]="","",IFERROR(
   IF(_xlfn.XLOOKUP(Final_Sans_VGE[[#This Row],[ppn_z]],tbl_Historique_Final[[#This Row],[ppn_z]],tbl_Historique_Final[[#This Row],[date_modif]])=Final_Sans_VGE[[#This Row],[date_modif]],
      "Ancien",
      "Modifié"),
   "Nouveau")),"")</f>
        <v/>
      </c>
    </row>
    <row r="9807" spans="24:30" x14ac:dyDescent="0.25">
      <c r="X9807" s="8" t="e">
        <f>IF(Final_Sans_VGE[[#This Row],[ppn_z]]="","",IFERROR(
   IF(_xlfn.XLOOKUP(Final_Sans_VGE[[#This Row],[ppn_z]],tbl_Historique_Final[ppn_z],tbl_Historique_Final[date_modif])=Final_Sans_VGE[[#This Row],[date_modif]],
      "Ancien",
      "Modifié"),
   "Nouveau"))</f>
        <v>#VALUE!</v>
      </c>
      <c r="AD9807" s="1" t="str">
        <f>IFERROR(IF(Final_Sans_VGE[[#This Row],[ppn_z]]="","",IFERROR(
   IF(_xlfn.XLOOKUP(Final_Sans_VGE[[#This Row],[ppn_z]],tbl_Historique_Final[[#This Row],[ppn_z]],tbl_Historique_Final[[#This Row],[date_modif]])=Final_Sans_VGE[[#This Row],[date_modif]],
      "Ancien",
      "Modifié"),
   "Nouveau")),"")</f>
        <v/>
      </c>
    </row>
    <row r="9808" spans="24:30" x14ac:dyDescent="0.25">
      <c r="X9808" s="8" t="e">
        <f>IF(Final_Sans_VGE[[#This Row],[ppn_z]]="","",IFERROR(
   IF(_xlfn.XLOOKUP(Final_Sans_VGE[[#This Row],[ppn_z]],tbl_Historique_Final[ppn_z],tbl_Historique_Final[date_modif])=Final_Sans_VGE[[#This Row],[date_modif]],
      "Ancien",
      "Modifié"),
   "Nouveau"))</f>
        <v>#VALUE!</v>
      </c>
      <c r="AD9808" s="1" t="str">
        <f>IFERROR(IF(Final_Sans_VGE[[#This Row],[ppn_z]]="","",IFERROR(
   IF(_xlfn.XLOOKUP(Final_Sans_VGE[[#This Row],[ppn_z]],tbl_Historique_Final[[#This Row],[ppn_z]],tbl_Historique_Final[[#This Row],[date_modif]])=Final_Sans_VGE[[#This Row],[date_modif]],
      "Ancien",
      "Modifié"),
   "Nouveau")),"")</f>
        <v/>
      </c>
    </row>
    <row r="9809" spans="24:30" x14ac:dyDescent="0.25">
      <c r="X9809" s="8" t="e">
        <f>IF(Final_Sans_VGE[[#This Row],[ppn_z]]="","",IFERROR(
   IF(_xlfn.XLOOKUP(Final_Sans_VGE[[#This Row],[ppn_z]],tbl_Historique_Final[ppn_z],tbl_Historique_Final[date_modif])=Final_Sans_VGE[[#This Row],[date_modif]],
      "Ancien",
      "Modifié"),
   "Nouveau"))</f>
        <v>#VALUE!</v>
      </c>
      <c r="AD9809" s="1" t="str">
        <f>IFERROR(IF(Final_Sans_VGE[[#This Row],[ppn_z]]="","",IFERROR(
   IF(_xlfn.XLOOKUP(Final_Sans_VGE[[#This Row],[ppn_z]],tbl_Historique_Final[[#This Row],[ppn_z]],tbl_Historique_Final[[#This Row],[date_modif]])=Final_Sans_VGE[[#This Row],[date_modif]],
      "Ancien",
      "Modifié"),
   "Nouveau")),"")</f>
        <v/>
      </c>
    </row>
    <row r="9810" spans="24:30" x14ac:dyDescent="0.25">
      <c r="X9810" s="8" t="e">
        <f>IF(Final_Sans_VGE[[#This Row],[ppn_z]]="","",IFERROR(
   IF(_xlfn.XLOOKUP(Final_Sans_VGE[[#This Row],[ppn_z]],tbl_Historique_Final[ppn_z],tbl_Historique_Final[date_modif])=Final_Sans_VGE[[#This Row],[date_modif]],
      "Ancien",
      "Modifié"),
   "Nouveau"))</f>
        <v>#VALUE!</v>
      </c>
      <c r="AD9810" s="1" t="str">
        <f>IFERROR(IF(Final_Sans_VGE[[#This Row],[ppn_z]]="","",IFERROR(
   IF(_xlfn.XLOOKUP(Final_Sans_VGE[[#This Row],[ppn_z]],tbl_Historique_Final[[#This Row],[ppn_z]],tbl_Historique_Final[[#This Row],[date_modif]])=Final_Sans_VGE[[#This Row],[date_modif]],
      "Ancien",
      "Modifié"),
   "Nouveau")),"")</f>
        <v/>
      </c>
    </row>
    <row r="9811" spans="24:30" x14ac:dyDescent="0.25">
      <c r="X9811" s="8" t="e">
        <f>IF(Final_Sans_VGE[[#This Row],[ppn_z]]="","",IFERROR(
   IF(_xlfn.XLOOKUP(Final_Sans_VGE[[#This Row],[ppn_z]],tbl_Historique_Final[ppn_z],tbl_Historique_Final[date_modif])=Final_Sans_VGE[[#This Row],[date_modif]],
      "Ancien",
      "Modifié"),
   "Nouveau"))</f>
        <v>#VALUE!</v>
      </c>
      <c r="AD9811" s="1" t="str">
        <f>IFERROR(IF(Final_Sans_VGE[[#This Row],[ppn_z]]="","",IFERROR(
   IF(_xlfn.XLOOKUP(Final_Sans_VGE[[#This Row],[ppn_z]],tbl_Historique_Final[[#This Row],[ppn_z]],tbl_Historique_Final[[#This Row],[date_modif]])=Final_Sans_VGE[[#This Row],[date_modif]],
      "Ancien",
      "Modifié"),
   "Nouveau")),"")</f>
        <v/>
      </c>
    </row>
    <row r="9812" spans="24:30" x14ac:dyDescent="0.25">
      <c r="X9812" s="8" t="e">
        <f>IF(Final_Sans_VGE[[#This Row],[ppn_z]]="","",IFERROR(
   IF(_xlfn.XLOOKUP(Final_Sans_VGE[[#This Row],[ppn_z]],tbl_Historique_Final[ppn_z],tbl_Historique_Final[date_modif])=Final_Sans_VGE[[#This Row],[date_modif]],
      "Ancien",
      "Modifié"),
   "Nouveau"))</f>
        <v>#VALUE!</v>
      </c>
      <c r="AD9812" s="1" t="str">
        <f>IFERROR(IF(Final_Sans_VGE[[#This Row],[ppn_z]]="","",IFERROR(
   IF(_xlfn.XLOOKUP(Final_Sans_VGE[[#This Row],[ppn_z]],tbl_Historique_Final[[#This Row],[ppn_z]],tbl_Historique_Final[[#This Row],[date_modif]])=Final_Sans_VGE[[#This Row],[date_modif]],
      "Ancien",
      "Modifié"),
   "Nouveau")),"")</f>
        <v/>
      </c>
    </row>
    <row r="9813" spans="24:30" x14ac:dyDescent="0.25">
      <c r="X9813" s="8" t="e">
        <f>IF(Final_Sans_VGE[[#This Row],[ppn_z]]="","",IFERROR(
   IF(_xlfn.XLOOKUP(Final_Sans_VGE[[#This Row],[ppn_z]],tbl_Historique_Final[ppn_z],tbl_Historique_Final[date_modif])=Final_Sans_VGE[[#This Row],[date_modif]],
      "Ancien",
      "Modifié"),
   "Nouveau"))</f>
        <v>#VALUE!</v>
      </c>
      <c r="AD9813" s="1" t="str">
        <f>IFERROR(IF(Final_Sans_VGE[[#This Row],[ppn_z]]="","",IFERROR(
   IF(_xlfn.XLOOKUP(Final_Sans_VGE[[#This Row],[ppn_z]],tbl_Historique_Final[[#This Row],[ppn_z]],tbl_Historique_Final[[#This Row],[date_modif]])=Final_Sans_VGE[[#This Row],[date_modif]],
      "Ancien",
      "Modifié"),
   "Nouveau")),"")</f>
        <v/>
      </c>
    </row>
    <row r="9814" spans="24:30" x14ac:dyDescent="0.25">
      <c r="X9814" s="8" t="e">
        <f>IF(Final_Sans_VGE[[#This Row],[ppn_z]]="","",IFERROR(
   IF(_xlfn.XLOOKUP(Final_Sans_VGE[[#This Row],[ppn_z]],tbl_Historique_Final[ppn_z],tbl_Historique_Final[date_modif])=Final_Sans_VGE[[#This Row],[date_modif]],
      "Ancien",
      "Modifié"),
   "Nouveau"))</f>
        <v>#VALUE!</v>
      </c>
      <c r="AD9814" s="1" t="str">
        <f>IFERROR(IF(Final_Sans_VGE[[#This Row],[ppn_z]]="","",IFERROR(
   IF(_xlfn.XLOOKUP(Final_Sans_VGE[[#This Row],[ppn_z]],tbl_Historique_Final[[#This Row],[ppn_z]],tbl_Historique_Final[[#This Row],[date_modif]])=Final_Sans_VGE[[#This Row],[date_modif]],
      "Ancien",
      "Modifié"),
   "Nouveau")),"")</f>
        <v/>
      </c>
    </row>
    <row r="9815" spans="24:30" x14ac:dyDescent="0.25">
      <c r="X9815" s="8" t="e">
        <f>IF(Final_Sans_VGE[[#This Row],[ppn_z]]="","",IFERROR(
   IF(_xlfn.XLOOKUP(Final_Sans_VGE[[#This Row],[ppn_z]],tbl_Historique_Final[ppn_z],tbl_Historique_Final[date_modif])=Final_Sans_VGE[[#This Row],[date_modif]],
      "Ancien",
      "Modifié"),
   "Nouveau"))</f>
        <v>#VALUE!</v>
      </c>
      <c r="AD9815" s="1" t="str">
        <f>IFERROR(IF(Final_Sans_VGE[[#This Row],[ppn_z]]="","",IFERROR(
   IF(_xlfn.XLOOKUP(Final_Sans_VGE[[#This Row],[ppn_z]],tbl_Historique_Final[[#This Row],[ppn_z]],tbl_Historique_Final[[#This Row],[date_modif]])=Final_Sans_VGE[[#This Row],[date_modif]],
      "Ancien",
      "Modifié"),
   "Nouveau")),"")</f>
        <v/>
      </c>
    </row>
    <row r="9816" spans="24:30" x14ac:dyDescent="0.25">
      <c r="X9816" s="8" t="e">
        <f>IF(Final_Sans_VGE[[#This Row],[ppn_z]]="","",IFERROR(
   IF(_xlfn.XLOOKUP(Final_Sans_VGE[[#This Row],[ppn_z]],tbl_Historique_Final[ppn_z],tbl_Historique_Final[date_modif])=Final_Sans_VGE[[#This Row],[date_modif]],
      "Ancien",
      "Modifié"),
   "Nouveau"))</f>
        <v>#VALUE!</v>
      </c>
      <c r="AD9816" s="1" t="str">
        <f>IFERROR(IF(Final_Sans_VGE[[#This Row],[ppn_z]]="","",IFERROR(
   IF(_xlfn.XLOOKUP(Final_Sans_VGE[[#This Row],[ppn_z]],tbl_Historique_Final[[#This Row],[ppn_z]],tbl_Historique_Final[[#This Row],[date_modif]])=Final_Sans_VGE[[#This Row],[date_modif]],
      "Ancien",
      "Modifié"),
   "Nouveau")),"")</f>
        <v/>
      </c>
    </row>
    <row r="9817" spans="24:30" x14ac:dyDescent="0.25">
      <c r="X9817" s="8" t="e">
        <f>IF(Final_Sans_VGE[[#This Row],[ppn_z]]="","",IFERROR(
   IF(_xlfn.XLOOKUP(Final_Sans_VGE[[#This Row],[ppn_z]],tbl_Historique_Final[ppn_z],tbl_Historique_Final[date_modif])=Final_Sans_VGE[[#This Row],[date_modif]],
      "Ancien",
      "Modifié"),
   "Nouveau"))</f>
        <v>#VALUE!</v>
      </c>
      <c r="AD9817" s="1" t="str">
        <f>IFERROR(IF(Final_Sans_VGE[[#This Row],[ppn_z]]="","",IFERROR(
   IF(_xlfn.XLOOKUP(Final_Sans_VGE[[#This Row],[ppn_z]],tbl_Historique_Final[[#This Row],[ppn_z]],tbl_Historique_Final[[#This Row],[date_modif]])=Final_Sans_VGE[[#This Row],[date_modif]],
      "Ancien",
      "Modifié"),
   "Nouveau")),"")</f>
        <v/>
      </c>
    </row>
    <row r="9818" spans="24:30" x14ac:dyDescent="0.25">
      <c r="X9818" s="8" t="e">
        <f>IF(Final_Sans_VGE[[#This Row],[ppn_z]]="","",IFERROR(
   IF(_xlfn.XLOOKUP(Final_Sans_VGE[[#This Row],[ppn_z]],tbl_Historique_Final[ppn_z],tbl_Historique_Final[date_modif])=Final_Sans_VGE[[#This Row],[date_modif]],
      "Ancien",
      "Modifié"),
   "Nouveau"))</f>
        <v>#VALUE!</v>
      </c>
      <c r="AD9818" s="1" t="str">
        <f>IFERROR(IF(Final_Sans_VGE[[#This Row],[ppn_z]]="","",IFERROR(
   IF(_xlfn.XLOOKUP(Final_Sans_VGE[[#This Row],[ppn_z]],tbl_Historique_Final[[#This Row],[ppn_z]],tbl_Historique_Final[[#This Row],[date_modif]])=Final_Sans_VGE[[#This Row],[date_modif]],
      "Ancien",
      "Modifié"),
   "Nouveau")),"")</f>
        <v/>
      </c>
    </row>
    <row r="9819" spans="24:30" x14ac:dyDescent="0.25">
      <c r="X9819" s="8" t="e">
        <f>IF(Final_Sans_VGE[[#This Row],[ppn_z]]="","",IFERROR(
   IF(_xlfn.XLOOKUP(Final_Sans_VGE[[#This Row],[ppn_z]],tbl_Historique_Final[ppn_z],tbl_Historique_Final[date_modif])=Final_Sans_VGE[[#This Row],[date_modif]],
      "Ancien",
      "Modifié"),
   "Nouveau"))</f>
        <v>#VALUE!</v>
      </c>
      <c r="AD9819" s="1" t="str">
        <f>IFERROR(IF(Final_Sans_VGE[[#This Row],[ppn_z]]="","",IFERROR(
   IF(_xlfn.XLOOKUP(Final_Sans_VGE[[#This Row],[ppn_z]],tbl_Historique_Final[[#This Row],[ppn_z]],tbl_Historique_Final[[#This Row],[date_modif]])=Final_Sans_VGE[[#This Row],[date_modif]],
      "Ancien",
      "Modifié"),
   "Nouveau")),"")</f>
        <v/>
      </c>
    </row>
    <row r="9820" spans="24:30" x14ac:dyDescent="0.25">
      <c r="X9820" s="8" t="e">
        <f>IF(Final_Sans_VGE[[#This Row],[ppn_z]]="","",IFERROR(
   IF(_xlfn.XLOOKUP(Final_Sans_VGE[[#This Row],[ppn_z]],tbl_Historique_Final[ppn_z],tbl_Historique_Final[date_modif])=Final_Sans_VGE[[#This Row],[date_modif]],
      "Ancien",
      "Modifié"),
   "Nouveau"))</f>
        <v>#VALUE!</v>
      </c>
      <c r="AD9820" s="1" t="str">
        <f>IFERROR(IF(Final_Sans_VGE[[#This Row],[ppn_z]]="","",IFERROR(
   IF(_xlfn.XLOOKUP(Final_Sans_VGE[[#This Row],[ppn_z]],tbl_Historique_Final[[#This Row],[ppn_z]],tbl_Historique_Final[[#This Row],[date_modif]])=Final_Sans_VGE[[#This Row],[date_modif]],
      "Ancien",
      "Modifié"),
   "Nouveau")),"")</f>
        <v/>
      </c>
    </row>
    <row r="9821" spans="24:30" x14ac:dyDescent="0.25">
      <c r="X9821" s="8" t="e">
        <f>IF(Final_Sans_VGE[[#This Row],[ppn_z]]="","",IFERROR(
   IF(_xlfn.XLOOKUP(Final_Sans_VGE[[#This Row],[ppn_z]],tbl_Historique_Final[ppn_z],tbl_Historique_Final[date_modif])=Final_Sans_VGE[[#This Row],[date_modif]],
      "Ancien",
      "Modifié"),
   "Nouveau"))</f>
        <v>#VALUE!</v>
      </c>
      <c r="AD9821" s="1" t="str">
        <f>IFERROR(IF(Final_Sans_VGE[[#This Row],[ppn_z]]="","",IFERROR(
   IF(_xlfn.XLOOKUP(Final_Sans_VGE[[#This Row],[ppn_z]],tbl_Historique_Final[[#This Row],[ppn_z]],tbl_Historique_Final[[#This Row],[date_modif]])=Final_Sans_VGE[[#This Row],[date_modif]],
      "Ancien",
      "Modifié"),
   "Nouveau")),"")</f>
        <v/>
      </c>
    </row>
    <row r="9822" spans="24:30" x14ac:dyDescent="0.25">
      <c r="X9822" s="8" t="e">
        <f>IF(Final_Sans_VGE[[#This Row],[ppn_z]]="","",IFERROR(
   IF(_xlfn.XLOOKUP(Final_Sans_VGE[[#This Row],[ppn_z]],tbl_Historique_Final[ppn_z],tbl_Historique_Final[date_modif])=Final_Sans_VGE[[#This Row],[date_modif]],
      "Ancien",
      "Modifié"),
   "Nouveau"))</f>
        <v>#VALUE!</v>
      </c>
      <c r="AD9822" s="1" t="str">
        <f>IFERROR(IF(Final_Sans_VGE[[#This Row],[ppn_z]]="","",IFERROR(
   IF(_xlfn.XLOOKUP(Final_Sans_VGE[[#This Row],[ppn_z]],tbl_Historique_Final[[#This Row],[ppn_z]],tbl_Historique_Final[[#This Row],[date_modif]])=Final_Sans_VGE[[#This Row],[date_modif]],
      "Ancien",
      "Modifié"),
   "Nouveau")),"")</f>
        <v/>
      </c>
    </row>
    <row r="9823" spans="24:30" x14ac:dyDescent="0.25">
      <c r="X9823" s="8" t="e">
        <f>IF(Final_Sans_VGE[[#This Row],[ppn_z]]="","",IFERROR(
   IF(_xlfn.XLOOKUP(Final_Sans_VGE[[#This Row],[ppn_z]],tbl_Historique_Final[ppn_z],tbl_Historique_Final[date_modif])=Final_Sans_VGE[[#This Row],[date_modif]],
      "Ancien",
      "Modifié"),
   "Nouveau"))</f>
        <v>#VALUE!</v>
      </c>
      <c r="AD9823" s="1" t="str">
        <f>IFERROR(IF(Final_Sans_VGE[[#This Row],[ppn_z]]="","",IFERROR(
   IF(_xlfn.XLOOKUP(Final_Sans_VGE[[#This Row],[ppn_z]],tbl_Historique_Final[[#This Row],[ppn_z]],tbl_Historique_Final[[#This Row],[date_modif]])=Final_Sans_VGE[[#This Row],[date_modif]],
      "Ancien",
      "Modifié"),
   "Nouveau")),"")</f>
        <v/>
      </c>
    </row>
    <row r="9824" spans="24:30" x14ac:dyDescent="0.25">
      <c r="X9824" s="8" t="e">
        <f>IF(Final_Sans_VGE[[#This Row],[ppn_z]]="","",IFERROR(
   IF(_xlfn.XLOOKUP(Final_Sans_VGE[[#This Row],[ppn_z]],tbl_Historique_Final[ppn_z],tbl_Historique_Final[date_modif])=Final_Sans_VGE[[#This Row],[date_modif]],
      "Ancien",
      "Modifié"),
   "Nouveau"))</f>
        <v>#VALUE!</v>
      </c>
      <c r="AD9824" s="1" t="str">
        <f>IFERROR(IF(Final_Sans_VGE[[#This Row],[ppn_z]]="","",IFERROR(
   IF(_xlfn.XLOOKUP(Final_Sans_VGE[[#This Row],[ppn_z]],tbl_Historique_Final[[#This Row],[ppn_z]],tbl_Historique_Final[[#This Row],[date_modif]])=Final_Sans_VGE[[#This Row],[date_modif]],
      "Ancien",
      "Modifié"),
   "Nouveau")),"")</f>
        <v/>
      </c>
    </row>
    <row r="9825" spans="24:30" x14ac:dyDescent="0.25">
      <c r="X9825" s="8" t="e">
        <f>IF(Final_Sans_VGE[[#This Row],[ppn_z]]="","",IFERROR(
   IF(_xlfn.XLOOKUP(Final_Sans_VGE[[#This Row],[ppn_z]],tbl_Historique_Final[ppn_z],tbl_Historique_Final[date_modif])=Final_Sans_VGE[[#This Row],[date_modif]],
      "Ancien",
      "Modifié"),
   "Nouveau"))</f>
        <v>#VALUE!</v>
      </c>
      <c r="AD9825" s="1" t="str">
        <f>IFERROR(IF(Final_Sans_VGE[[#This Row],[ppn_z]]="","",IFERROR(
   IF(_xlfn.XLOOKUP(Final_Sans_VGE[[#This Row],[ppn_z]],tbl_Historique_Final[[#This Row],[ppn_z]],tbl_Historique_Final[[#This Row],[date_modif]])=Final_Sans_VGE[[#This Row],[date_modif]],
      "Ancien",
      "Modifié"),
   "Nouveau")),"")</f>
        <v/>
      </c>
    </row>
    <row r="9826" spans="24:30" x14ac:dyDescent="0.25">
      <c r="X9826" s="8" t="e">
        <f>IF(Final_Sans_VGE[[#This Row],[ppn_z]]="","",IFERROR(
   IF(_xlfn.XLOOKUP(Final_Sans_VGE[[#This Row],[ppn_z]],tbl_Historique_Final[ppn_z],tbl_Historique_Final[date_modif])=Final_Sans_VGE[[#This Row],[date_modif]],
      "Ancien",
      "Modifié"),
   "Nouveau"))</f>
        <v>#VALUE!</v>
      </c>
      <c r="AD9826" s="1" t="str">
        <f>IFERROR(IF(Final_Sans_VGE[[#This Row],[ppn_z]]="","",IFERROR(
   IF(_xlfn.XLOOKUP(Final_Sans_VGE[[#This Row],[ppn_z]],tbl_Historique_Final[[#This Row],[ppn_z]],tbl_Historique_Final[[#This Row],[date_modif]])=Final_Sans_VGE[[#This Row],[date_modif]],
      "Ancien",
      "Modifié"),
   "Nouveau")),"")</f>
        <v/>
      </c>
    </row>
    <row r="9827" spans="24:30" x14ac:dyDescent="0.25">
      <c r="X9827" s="8" t="e">
        <f>IF(Final_Sans_VGE[[#This Row],[ppn_z]]="","",IFERROR(
   IF(_xlfn.XLOOKUP(Final_Sans_VGE[[#This Row],[ppn_z]],tbl_Historique_Final[ppn_z],tbl_Historique_Final[date_modif])=Final_Sans_VGE[[#This Row],[date_modif]],
      "Ancien",
      "Modifié"),
   "Nouveau"))</f>
        <v>#VALUE!</v>
      </c>
      <c r="AD9827" s="1" t="str">
        <f>IFERROR(IF(Final_Sans_VGE[[#This Row],[ppn_z]]="","",IFERROR(
   IF(_xlfn.XLOOKUP(Final_Sans_VGE[[#This Row],[ppn_z]],tbl_Historique_Final[[#This Row],[ppn_z]],tbl_Historique_Final[[#This Row],[date_modif]])=Final_Sans_VGE[[#This Row],[date_modif]],
      "Ancien",
      "Modifié"),
   "Nouveau")),"")</f>
        <v/>
      </c>
    </row>
    <row r="9828" spans="24:30" x14ac:dyDescent="0.25">
      <c r="X9828" s="8" t="e">
        <f>IF(Final_Sans_VGE[[#This Row],[ppn_z]]="","",IFERROR(
   IF(_xlfn.XLOOKUP(Final_Sans_VGE[[#This Row],[ppn_z]],tbl_Historique_Final[ppn_z],tbl_Historique_Final[date_modif])=Final_Sans_VGE[[#This Row],[date_modif]],
      "Ancien",
      "Modifié"),
   "Nouveau"))</f>
        <v>#VALUE!</v>
      </c>
      <c r="AD9828" s="1" t="str">
        <f>IFERROR(IF(Final_Sans_VGE[[#This Row],[ppn_z]]="","",IFERROR(
   IF(_xlfn.XLOOKUP(Final_Sans_VGE[[#This Row],[ppn_z]],tbl_Historique_Final[[#This Row],[ppn_z]],tbl_Historique_Final[[#This Row],[date_modif]])=Final_Sans_VGE[[#This Row],[date_modif]],
      "Ancien",
      "Modifié"),
   "Nouveau")),"")</f>
        <v/>
      </c>
    </row>
    <row r="9829" spans="24:30" x14ac:dyDescent="0.25">
      <c r="X9829" s="8" t="e">
        <f>IF(Final_Sans_VGE[[#This Row],[ppn_z]]="","",IFERROR(
   IF(_xlfn.XLOOKUP(Final_Sans_VGE[[#This Row],[ppn_z]],tbl_Historique_Final[ppn_z],tbl_Historique_Final[date_modif])=Final_Sans_VGE[[#This Row],[date_modif]],
      "Ancien",
      "Modifié"),
   "Nouveau"))</f>
        <v>#VALUE!</v>
      </c>
      <c r="AD9829" s="1" t="str">
        <f>IFERROR(IF(Final_Sans_VGE[[#This Row],[ppn_z]]="","",IFERROR(
   IF(_xlfn.XLOOKUP(Final_Sans_VGE[[#This Row],[ppn_z]],tbl_Historique_Final[[#This Row],[ppn_z]],tbl_Historique_Final[[#This Row],[date_modif]])=Final_Sans_VGE[[#This Row],[date_modif]],
      "Ancien",
      "Modifié"),
   "Nouveau")),"")</f>
        <v/>
      </c>
    </row>
    <row r="9830" spans="24:30" x14ac:dyDescent="0.25">
      <c r="X9830" s="8" t="e">
        <f>IF(Final_Sans_VGE[[#This Row],[ppn_z]]="","",IFERROR(
   IF(_xlfn.XLOOKUP(Final_Sans_VGE[[#This Row],[ppn_z]],tbl_Historique_Final[ppn_z],tbl_Historique_Final[date_modif])=Final_Sans_VGE[[#This Row],[date_modif]],
      "Ancien",
      "Modifié"),
   "Nouveau"))</f>
        <v>#VALUE!</v>
      </c>
      <c r="AD9830" s="1" t="str">
        <f>IFERROR(IF(Final_Sans_VGE[[#This Row],[ppn_z]]="","",IFERROR(
   IF(_xlfn.XLOOKUP(Final_Sans_VGE[[#This Row],[ppn_z]],tbl_Historique_Final[[#This Row],[ppn_z]],tbl_Historique_Final[[#This Row],[date_modif]])=Final_Sans_VGE[[#This Row],[date_modif]],
      "Ancien",
      "Modifié"),
   "Nouveau")),"")</f>
        <v/>
      </c>
    </row>
    <row r="9831" spans="24:30" x14ac:dyDescent="0.25">
      <c r="X9831" s="8" t="e">
        <f>IF(Final_Sans_VGE[[#This Row],[ppn_z]]="","",IFERROR(
   IF(_xlfn.XLOOKUP(Final_Sans_VGE[[#This Row],[ppn_z]],tbl_Historique_Final[ppn_z],tbl_Historique_Final[date_modif])=Final_Sans_VGE[[#This Row],[date_modif]],
      "Ancien",
      "Modifié"),
   "Nouveau"))</f>
        <v>#VALUE!</v>
      </c>
      <c r="AD9831" s="1" t="str">
        <f>IFERROR(IF(Final_Sans_VGE[[#This Row],[ppn_z]]="","",IFERROR(
   IF(_xlfn.XLOOKUP(Final_Sans_VGE[[#This Row],[ppn_z]],tbl_Historique_Final[[#This Row],[ppn_z]],tbl_Historique_Final[[#This Row],[date_modif]])=Final_Sans_VGE[[#This Row],[date_modif]],
      "Ancien",
      "Modifié"),
   "Nouveau")),"")</f>
        <v/>
      </c>
    </row>
    <row r="9832" spans="24:30" x14ac:dyDescent="0.25">
      <c r="X9832" s="8" t="e">
        <f>IF(Final_Sans_VGE[[#This Row],[ppn_z]]="","",IFERROR(
   IF(_xlfn.XLOOKUP(Final_Sans_VGE[[#This Row],[ppn_z]],tbl_Historique_Final[ppn_z],tbl_Historique_Final[date_modif])=Final_Sans_VGE[[#This Row],[date_modif]],
      "Ancien",
      "Modifié"),
   "Nouveau"))</f>
        <v>#VALUE!</v>
      </c>
      <c r="AD9832" s="1" t="str">
        <f>IFERROR(IF(Final_Sans_VGE[[#This Row],[ppn_z]]="","",IFERROR(
   IF(_xlfn.XLOOKUP(Final_Sans_VGE[[#This Row],[ppn_z]],tbl_Historique_Final[[#This Row],[ppn_z]],tbl_Historique_Final[[#This Row],[date_modif]])=Final_Sans_VGE[[#This Row],[date_modif]],
      "Ancien",
      "Modifié"),
   "Nouveau")),"")</f>
        <v/>
      </c>
    </row>
    <row r="9833" spans="24:30" x14ac:dyDescent="0.25">
      <c r="X9833" s="8" t="e">
        <f>IF(Final_Sans_VGE[[#This Row],[ppn_z]]="","",IFERROR(
   IF(_xlfn.XLOOKUP(Final_Sans_VGE[[#This Row],[ppn_z]],tbl_Historique_Final[ppn_z],tbl_Historique_Final[date_modif])=Final_Sans_VGE[[#This Row],[date_modif]],
      "Ancien",
      "Modifié"),
   "Nouveau"))</f>
        <v>#VALUE!</v>
      </c>
      <c r="AD9833" s="1" t="str">
        <f>IFERROR(IF(Final_Sans_VGE[[#This Row],[ppn_z]]="","",IFERROR(
   IF(_xlfn.XLOOKUP(Final_Sans_VGE[[#This Row],[ppn_z]],tbl_Historique_Final[[#This Row],[ppn_z]],tbl_Historique_Final[[#This Row],[date_modif]])=Final_Sans_VGE[[#This Row],[date_modif]],
      "Ancien",
      "Modifié"),
   "Nouveau")),"")</f>
        <v/>
      </c>
    </row>
    <row r="9834" spans="24:30" x14ac:dyDescent="0.25">
      <c r="X9834" s="8" t="e">
        <f>IF(Final_Sans_VGE[[#This Row],[ppn_z]]="","",IFERROR(
   IF(_xlfn.XLOOKUP(Final_Sans_VGE[[#This Row],[ppn_z]],tbl_Historique_Final[ppn_z],tbl_Historique_Final[date_modif])=Final_Sans_VGE[[#This Row],[date_modif]],
      "Ancien",
      "Modifié"),
   "Nouveau"))</f>
        <v>#VALUE!</v>
      </c>
      <c r="AD9834" s="1" t="str">
        <f>IFERROR(IF(Final_Sans_VGE[[#This Row],[ppn_z]]="","",IFERROR(
   IF(_xlfn.XLOOKUP(Final_Sans_VGE[[#This Row],[ppn_z]],tbl_Historique_Final[[#This Row],[ppn_z]],tbl_Historique_Final[[#This Row],[date_modif]])=Final_Sans_VGE[[#This Row],[date_modif]],
      "Ancien",
      "Modifié"),
   "Nouveau")),"")</f>
        <v/>
      </c>
    </row>
    <row r="9835" spans="24:30" x14ac:dyDescent="0.25">
      <c r="X9835" s="8" t="e">
        <f>IF(Final_Sans_VGE[[#This Row],[ppn_z]]="","",IFERROR(
   IF(_xlfn.XLOOKUP(Final_Sans_VGE[[#This Row],[ppn_z]],tbl_Historique_Final[ppn_z],tbl_Historique_Final[date_modif])=Final_Sans_VGE[[#This Row],[date_modif]],
      "Ancien",
      "Modifié"),
   "Nouveau"))</f>
        <v>#VALUE!</v>
      </c>
      <c r="AD9835" s="1" t="str">
        <f>IFERROR(IF(Final_Sans_VGE[[#This Row],[ppn_z]]="","",IFERROR(
   IF(_xlfn.XLOOKUP(Final_Sans_VGE[[#This Row],[ppn_z]],tbl_Historique_Final[[#This Row],[ppn_z]],tbl_Historique_Final[[#This Row],[date_modif]])=Final_Sans_VGE[[#This Row],[date_modif]],
      "Ancien",
      "Modifié"),
   "Nouveau")),"")</f>
        <v/>
      </c>
    </row>
    <row r="9836" spans="24:30" x14ac:dyDescent="0.25">
      <c r="X9836" s="8" t="e">
        <f>IF(Final_Sans_VGE[[#This Row],[ppn_z]]="","",IFERROR(
   IF(_xlfn.XLOOKUP(Final_Sans_VGE[[#This Row],[ppn_z]],tbl_Historique_Final[ppn_z],tbl_Historique_Final[date_modif])=Final_Sans_VGE[[#This Row],[date_modif]],
      "Ancien",
      "Modifié"),
   "Nouveau"))</f>
        <v>#VALUE!</v>
      </c>
      <c r="AD9836" s="1" t="str">
        <f>IFERROR(IF(Final_Sans_VGE[[#This Row],[ppn_z]]="","",IFERROR(
   IF(_xlfn.XLOOKUP(Final_Sans_VGE[[#This Row],[ppn_z]],tbl_Historique_Final[[#This Row],[ppn_z]],tbl_Historique_Final[[#This Row],[date_modif]])=Final_Sans_VGE[[#This Row],[date_modif]],
      "Ancien",
      "Modifié"),
   "Nouveau")),"")</f>
        <v/>
      </c>
    </row>
    <row r="9837" spans="24:30" x14ac:dyDescent="0.25">
      <c r="X9837" s="8" t="e">
        <f>IF(Final_Sans_VGE[[#This Row],[ppn_z]]="","",IFERROR(
   IF(_xlfn.XLOOKUP(Final_Sans_VGE[[#This Row],[ppn_z]],tbl_Historique_Final[ppn_z],tbl_Historique_Final[date_modif])=Final_Sans_VGE[[#This Row],[date_modif]],
      "Ancien",
      "Modifié"),
   "Nouveau"))</f>
        <v>#VALUE!</v>
      </c>
      <c r="AD9837" s="1" t="str">
        <f>IFERROR(IF(Final_Sans_VGE[[#This Row],[ppn_z]]="","",IFERROR(
   IF(_xlfn.XLOOKUP(Final_Sans_VGE[[#This Row],[ppn_z]],tbl_Historique_Final[[#This Row],[ppn_z]],tbl_Historique_Final[[#This Row],[date_modif]])=Final_Sans_VGE[[#This Row],[date_modif]],
      "Ancien",
      "Modifié"),
   "Nouveau")),"")</f>
        <v/>
      </c>
    </row>
    <row r="9838" spans="24:30" x14ac:dyDescent="0.25">
      <c r="X9838" s="8" t="e">
        <f>IF(Final_Sans_VGE[[#This Row],[ppn_z]]="","",IFERROR(
   IF(_xlfn.XLOOKUP(Final_Sans_VGE[[#This Row],[ppn_z]],tbl_Historique_Final[ppn_z],tbl_Historique_Final[date_modif])=Final_Sans_VGE[[#This Row],[date_modif]],
      "Ancien",
      "Modifié"),
   "Nouveau"))</f>
        <v>#VALUE!</v>
      </c>
      <c r="AD9838" s="1" t="str">
        <f>IFERROR(IF(Final_Sans_VGE[[#This Row],[ppn_z]]="","",IFERROR(
   IF(_xlfn.XLOOKUP(Final_Sans_VGE[[#This Row],[ppn_z]],tbl_Historique_Final[[#This Row],[ppn_z]],tbl_Historique_Final[[#This Row],[date_modif]])=Final_Sans_VGE[[#This Row],[date_modif]],
      "Ancien",
      "Modifié"),
   "Nouveau")),"")</f>
        <v/>
      </c>
    </row>
    <row r="9839" spans="24:30" x14ac:dyDescent="0.25">
      <c r="X9839" s="8" t="e">
        <f>IF(Final_Sans_VGE[[#This Row],[ppn_z]]="","",IFERROR(
   IF(_xlfn.XLOOKUP(Final_Sans_VGE[[#This Row],[ppn_z]],tbl_Historique_Final[ppn_z],tbl_Historique_Final[date_modif])=Final_Sans_VGE[[#This Row],[date_modif]],
      "Ancien",
      "Modifié"),
   "Nouveau"))</f>
        <v>#VALUE!</v>
      </c>
      <c r="AD9839" s="1" t="str">
        <f>IFERROR(IF(Final_Sans_VGE[[#This Row],[ppn_z]]="","",IFERROR(
   IF(_xlfn.XLOOKUP(Final_Sans_VGE[[#This Row],[ppn_z]],tbl_Historique_Final[[#This Row],[ppn_z]],tbl_Historique_Final[[#This Row],[date_modif]])=Final_Sans_VGE[[#This Row],[date_modif]],
      "Ancien",
      "Modifié"),
   "Nouveau")),"")</f>
        <v/>
      </c>
    </row>
    <row r="9840" spans="24:30" x14ac:dyDescent="0.25">
      <c r="X9840" s="8" t="e">
        <f>IF(Final_Sans_VGE[[#This Row],[ppn_z]]="","",IFERROR(
   IF(_xlfn.XLOOKUP(Final_Sans_VGE[[#This Row],[ppn_z]],tbl_Historique_Final[ppn_z],tbl_Historique_Final[date_modif])=Final_Sans_VGE[[#This Row],[date_modif]],
      "Ancien",
      "Modifié"),
   "Nouveau"))</f>
        <v>#VALUE!</v>
      </c>
      <c r="AD9840" s="1" t="str">
        <f>IFERROR(IF(Final_Sans_VGE[[#This Row],[ppn_z]]="","",IFERROR(
   IF(_xlfn.XLOOKUP(Final_Sans_VGE[[#This Row],[ppn_z]],tbl_Historique_Final[[#This Row],[ppn_z]],tbl_Historique_Final[[#This Row],[date_modif]])=Final_Sans_VGE[[#This Row],[date_modif]],
      "Ancien",
      "Modifié"),
   "Nouveau")),"")</f>
        <v/>
      </c>
    </row>
    <row r="9841" spans="24:30" x14ac:dyDescent="0.25">
      <c r="X9841" s="8" t="e">
        <f>IF(Final_Sans_VGE[[#This Row],[ppn_z]]="","",IFERROR(
   IF(_xlfn.XLOOKUP(Final_Sans_VGE[[#This Row],[ppn_z]],tbl_Historique_Final[ppn_z],tbl_Historique_Final[date_modif])=Final_Sans_VGE[[#This Row],[date_modif]],
      "Ancien",
      "Modifié"),
   "Nouveau"))</f>
        <v>#VALUE!</v>
      </c>
      <c r="AD9841" s="1" t="str">
        <f>IFERROR(IF(Final_Sans_VGE[[#This Row],[ppn_z]]="","",IFERROR(
   IF(_xlfn.XLOOKUP(Final_Sans_VGE[[#This Row],[ppn_z]],tbl_Historique_Final[[#This Row],[ppn_z]],tbl_Historique_Final[[#This Row],[date_modif]])=Final_Sans_VGE[[#This Row],[date_modif]],
      "Ancien",
      "Modifié"),
   "Nouveau")),"")</f>
        <v/>
      </c>
    </row>
    <row r="9842" spans="24:30" x14ac:dyDescent="0.25">
      <c r="X9842" s="8" t="e">
        <f>IF(Final_Sans_VGE[[#This Row],[ppn_z]]="","",IFERROR(
   IF(_xlfn.XLOOKUP(Final_Sans_VGE[[#This Row],[ppn_z]],tbl_Historique_Final[ppn_z],tbl_Historique_Final[date_modif])=Final_Sans_VGE[[#This Row],[date_modif]],
      "Ancien",
      "Modifié"),
   "Nouveau"))</f>
        <v>#VALUE!</v>
      </c>
      <c r="AD9842" s="1" t="str">
        <f>IFERROR(IF(Final_Sans_VGE[[#This Row],[ppn_z]]="","",IFERROR(
   IF(_xlfn.XLOOKUP(Final_Sans_VGE[[#This Row],[ppn_z]],tbl_Historique_Final[[#This Row],[ppn_z]],tbl_Historique_Final[[#This Row],[date_modif]])=Final_Sans_VGE[[#This Row],[date_modif]],
      "Ancien",
      "Modifié"),
   "Nouveau")),"")</f>
        <v/>
      </c>
    </row>
    <row r="9843" spans="24:30" x14ac:dyDescent="0.25">
      <c r="X9843" s="8" t="e">
        <f>IF(Final_Sans_VGE[[#This Row],[ppn_z]]="","",IFERROR(
   IF(_xlfn.XLOOKUP(Final_Sans_VGE[[#This Row],[ppn_z]],tbl_Historique_Final[ppn_z],tbl_Historique_Final[date_modif])=Final_Sans_VGE[[#This Row],[date_modif]],
      "Ancien",
      "Modifié"),
   "Nouveau"))</f>
        <v>#VALUE!</v>
      </c>
      <c r="AD9843" s="1" t="str">
        <f>IFERROR(IF(Final_Sans_VGE[[#This Row],[ppn_z]]="","",IFERROR(
   IF(_xlfn.XLOOKUP(Final_Sans_VGE[[#This Row],[ppn_z]],tbl_Historique_Final[[#This Row],[ppn_z]],tbl_Historique_Final[[#This Row],[date_modif]])=Final_Sans_VGE[[#This Row],[date_modif]],
      "Ancien",
      "Modifié"),
   "Nouveau")),"")</f>
        <v/>
      </c>
    </row>
    <row r="9844" spans="24:30" x14ac:dyDescent="0.25">
      <c r="X9844" s="8" t="e">
        <f>IF(Final_Sans_VGE[[#This Row],[ppn_z]]="","",IFERROR(
   IF(_xlfn.XLOOKUP(Final_Sans_VGE[[#This Row],[ppn_z]],tbl_Historique_Final[ppn_z],tbl_Historique_Final[date_modif])=Final_Sans_VGE[[#This Row],[date_modif]],
      "Ancien",
      "Modifié"),
   "Nouveau"))</f>
        <v>#VALUE!</v>
      </c>
      <c r="AD9844" s="1" t="str">
        <f>IFERROR(IF(Final_Sans_VGE[[#This Row],[ppn_z]]="","",IFERROR(
   IF(_xlfn.XLOOKUP(Final_Sans_VGE[[#This Row],[ppn_z]],tbl_Historique_Final[[#This Row],[ppn_z]],tbl_Historique_Final[[#This Row],[date_modif]])=Final_Sans_VGE[[#This Row],[date_modif]],
      "Ancien",
      "Modifié"),
   "Nouveau")),"")</f>
        <v/>
      </c>
    </row>
    <row r="9845" spans="24:30" x14ac:dyDescent="0.25">
      <c r="X9845" s="8" t="e">
        <f>IF(Final_Sans_VGE[[#This Row],[ppn_z]]="","",IFERROR(
   IF(_xlfn.XLOOKUP(Final_Sans_VGE[[#This Row],[ppn_z]],tbl_Historique_Final[ppn_z],tbl_Historique_Final[date_modif])=Final_Sans_VGE[[#This Row],[date_modif]],
      "Ancien",
      "Modifié"),
   "Nouveau"))</f>
        <v>#VALUE!</v>
      </c>
      <c r="AD9845" s="1" t="str">
        <f>IFERROR(IF(Final_Sans_VGE[[#This Row],[ppn_z]]="","",IFERROR(
   IF(_xlfn.XLOOKUP(Final_Sans_VGE[[#This Row],[ppn_z]],tbl_Historique_Final[[#This Row],[ppn_z]],tbl_Historique_Final[[#This Row],[date_modif]])=Final_Sans_VGE[[#This Row],[date_modif]],
      "Ancien",
      "Modifié"),
   "Nouveau")),"")</f>
        <v/>
      </c>
    </row>
    <row r="9846" spans="24:30" x14ac:dyDescent="0.25">
      <c r="X9846" s="8" t="e">
        <f>IF(Final_Sans_VGE[[#This Row],[ppn_z]]="","",IFERROR(
   IF(_xlfn.XLOOKUP(Final_Sans_VGE[[#This Row],[ppn_z]],tbl_Historique_Final[ppn_z],tbl_Historique_Final[date_modif])=Final_Sans_VGE[[#This Row],[date_modif]],
      "Ancien",
      "Modifié"),
   "Nouveau"))</f>
        <v>#VALUE!</v>
      </c>
      <c r="AD9846" s="1" t="str">
        <f>IFERROR(IF(Final_Sans_VGE[[#This Row],[ppn_z]]="","",IFERROR(
   IF(_xlfn.XLOOKUP(Final_Sans_VGE[[#This Row],[ppn_z]],tbl_Historique_Final[[#This Row],[ppn_z]],tbl_Historique_Final[[#This Row],[date_modif]])=Final_Sans_VGE[[#This Row],[date_modif]],
      "Ancien",
      "Modifié"),
   "Nouveau")),"")</f>
        <v/>
      </c>
    </row>
    <row r="9847" spans="24:30" x14ac:dyDescent="0.25">
      <c r="X9847" s="8" t="e">
        <f>IF(Final_Sans_VGE[[#This Row],[ppn_z]]="","",IFERROR(
   IF(_xlfn.XLOOKUP(Final_Sans_VGE[[#This Row],[ppn_z]],tbl_Historique_Final[ppn_z],tbl_Historique_Final[date_modif])=Final_Sans_VGE[[#This Row],[date_modif]],
      "Ancien",
      "Modifié"),
   "Nouveau"))</f>
        <v>#VALUE!</v>
      </c>
      <c r="AD9847" s="1" t="str">
        <f>IFERROR(IF(Final_Sans_VGE[[#This Row],[ppn_z]]="","",IFERROR(
   IF(_xlfn.XLOOKUP(Final_Sans_VGE[[#This Row],[ppn_z]],tbl_Historique_Final[[#This Row],[ppn_z]],tbl_Historique_Final[[#This Row],[date_modif]])=Final_Sans_VGE[[#This Row],[date_modif]],
      "Ancien",
      "Modifié"),
   "Nouveau")),"")</f>
        <v/>
      </c>
    </row>
    <row r="9848" spans="24:30" x14ac:dyDescent="0.25">
      <c r="X9848" s="8" t="e">
        <f>IF(Final_Sans_VGE[[#This Row],[ppn_z]]="","",IFERROR(
   IF(_xlfn.XLOOKUP(Final_Sans_VGE[[#This Row],[ppn_z]],tbl_Historique_Final[ppn_z],tbl_Historique_Final[date_modif])=Final_Sans_VGE[[#This Row],[date_modif]],
      "Ancien",
      "Modifié"),
   "Nouveau"))</f>
        <v>#VALUE!</v>
      </c>
      <c r="AD9848" s="1" t="str">
        <f>IFERROR(IF(Final_Sans_VGE[[#This Row],[ppn_z]]="","",IFERROR(
   IF(_xlfn.XLOOKUP(Final_Sans_VGE[[#This Row],[ppn_z]],tbl_Historique_Final[[#This Row],[ppn_z]],tbl_Historique_Final[[#This Row],[date_modif]])=Final_Sans_VGE[[#This Row],[date_modif]],
      "Ancien",
      "Modifié"),
   "Nouveau")),"")</f>
        <v/>
      </c>
    </row>
    <row r="9849" spans="24:30" x14ac:dyDescent="0.25">
      <c r="X9849" s="8" t="e">
        <f>IF(Final_Sans_VGE[[#This Row],[ppn_z]]="","",IFERROR(
   IF(_xlfn.XLOOKUP(Final_Sans_VGE[[#This Row],[ppn_z]],tbl_Historique_Final[ppn_z],tbl_Historique_Final[date_modif])=Final_Sans_VGE[[#This Row],[date_modif]],
      "Ancien",
      "Modifié"),
   "Nouveau"))</f>
        <v>#VALUE!</v>
      </c>
      <c r="AD9849" s="1" t="str">
        <f>IFERROR(IF(Final_Sans_VGE[[#This Row],[ppn_z]]="","",IFERROR(
   IF(_xlfn.XLOOKUP(Final_Sans_VGE[[#This Row],[ppn_z]],tbl_Historique_Final[[#This Row],[ppn_z]],tbl_Historique_Final[[#This Row],[date_modif]])=Final_Sans_VGE[[#This Row],[date_modif]],
      "Ancien",
      "Modifié"),
   "Nouveau")),"")</f>
        <v/>
      </c>
    </row>
    <row r="9850" spans="24:30" x14ac:dyDescent="0.25">
      <c r="X9850" s="8" t="e">
        <f>IF(Final_Sans_VGE[[#This Row],[ppn_z]]="","",IFERROR(
   IF(_xlfn.XLOOKUP(Final_Sans_VGE[[#This Row],[ppn_z]],tbl_Historique_Final[ppn_z],tbl_Historique_Final[date_modif])=Final_Sans_VGE[[#This Row],[date_modif]],
      "Ancien",
      "Modifié"),
   "Nouveau"))</f>
        <v>#VALUE!</v>
      </c>
      <c r="AD9850" s="1" t="str">
        <f>IFERROR(IF(Final_Sans_VGE[[#This Row],[ppn_z]]="","",IFERROR(
   IF(_xlfn.XLOOKUP(Final_Sans_VGE[[#This Row],[ppn_z]],tbl_Historique_Final[[#This Row],[ppn_z]],tbl_Historique_Final[[#This Row],[date_modif]])=Final_Sans_VGE[[#This Row],[date_modif]],
      "Ancien",
      "Modifié"),
   "Nouveau")),"")</f>
        <v/>
      </c>
    </row>
    <row r="9851" spans="24:30" x14ac:dyDescent="0.25">
      <c r="X9851" s="8" t="e">
        <f>IF(Final_Sans_VGE[[#This Row],[ppn_z]]="","",IFERROR(
   IF(_xlfn.XLOOKUP(Final_Sans_VGE[[#This Row],[ppn_z]],tbl_Historique_Final[ppn_z],tbl_Historique_Final[date_modif])=Final_Sans_VGE[[#This Row],[date_modif]],
      "Ancien",
      "Modifié"),
   "Nouveau"))</f>
        <v>#VALUE!</v>
      </c>
      <c r="AD9851" s="1" t="str">
        <f>IFERROR(IF(Final_Sans_VGE[[#This Row],[ppn_z]]="","",IFERROR(
   IF(_xlfn.XLOOKUP(Final_Sans_VGE[[#This Row],[ppn_z]],tbl_Historique_Final[[#This Row],[ppn_z]],tbl_Historique_Final[[#This Row],[date_modif]])=Final_Sans_VGE[[#This Row],[date_modif]],
      "Ancien",
      "Modifié"),
   "Nouveau")),"")</f>
        <v/>
      </c>
    </row>
    <row r="9852" spans="24:30" x14ac:dyDescent="0.25">
      <c r="X9852" s="8" t="e">
        <f>IF(Final_Sans_VGE[[#This Row],[ppn_z]]="","",IFERROR(
   IF(_xlfn.XLOOKUP(Final_Sans_VGE[[#This Row],[ppn_z]],tbl_Historique_Final[ppn_z],tbl_Historique_Final[date_modif])=Final_Sans_VGE[[#This Row],[date_modif]],
      "Ancien",
      "Modifié"),
   "Nouveau"))</f>
        <v>#VALUE!</v>
      </c>
      <c r="AD9852" s="1" t="str">
        <f>IFERROR(IF(Final_Sans_VGE[[#This Row],[ppn_z]]="","",IFERROR(
   IF(_xlfn.XLOOKUP(Final_Sans_VGE[[#This Row],[ppn_z]],tbl_Historique_Final[[#This Row],[ppn_z]],tbl_Historique_Final[[#This Row],[date_modif]])=Final_Sans_VGE[[#This Row],[date_modif]],
      "Ancien",
      "Modifié"),
   "Nouveau")),"")</f>
        <v/>
      </c>
    </row>
    <row r="9853" spans="24:30" x14ac:dyDescent="0.25">
      <c r="X9853" s="8" t="e">
        <f>IF(Final_Sans_VGE[[#This Row],[ppn_z]]="","",IFERROR(
   IF(_xlfn.XLOOKUP(Final_Sans_VGE[[#This Row],[ppn_z]],tbl_Historique_Final[ppn_z],tbl_Historique_Final[date_modif])=Final_Sans_VGE[[#This Row],[date_modif]],
      "Ancien",
      "Modifié"),
   "Nouveau"))</f>
        <v>#VALUE!</v>
      </c>
      <c r="AD9853" s="1" t="str">
        <f>IFERROR(IF(Final_Sans_VGE[[#This Row],[ppn_z]]="","",IFERROR(
   IF(_xlfn.XLOOKUP(Final_Sans_VGE[[#This Row],[ppn_z]],tbl_Historique_Final[[#This Row],[ppn_z]],tbl_Historique_Final[[#This Row],[date_modif]])=Final_Sans_VGE[[#This Row],[date_modif]],
      "Ancien",
      "Modifié"),
   "Nouveau")),"")</f>
        <v/>
      </c>
    </row>
    <row r="9854" spans="24:30" x14ac:dyDescent="0.25">
      <c r="X9854" s="8" t="e">
        <f>IF(Final_Sans_VGE[[#This Row],[ppn_z]]="","",IFERROR(
   IF(_xlfn.XLOOKUP(Final_Sans_VGE[[#This Row],[ppn_z]],tbl_Historique_Final[ppn_z],tbl_Historique_Final[date_modif])=Final_Sans_VGE[[#This Row],[date_modif]],
      "Ancien",
      "Modifié"),
   "Nouveau"))</f>
        <v>#VALUE!</v>
      </c>
      <c r="AD9854" s="1" t="str">
        <f>IFERROR(IF(Final_Sans_VGE[[#This Row],[ppn_z]]="","",IFERROR(
   IF(_xlfn.XLOOKUP(Final_Sans_VGE[[#This Row],[ppn_z]],tbl_Historique_Final[[#This Row],[ppn_z]],tbl_Historique_Final[[#This Row],[date_modif]])=Final_Sans_VGE[[#This Row],[date_modif]],
      "Ancien",
      "Modifié"),
   "Nouveau")),"")</f>
        <v/>
      </c>
    </row>
    <row r="9855" spans="24:30" x14ac:dyDescent="0.25">
      <c r="X9855" s="8" t="e">
        <f>IF(Final_Sans_VGE[[#This Row],[ppn_z]]="","",IFERROR(
   IF(_xlfn.XLOOKUP(Final_Sans_VGE[[#This Row],[ppn_z]],tbl_Historique_Final[ppn_z],tbl_Historique_Final[date_modif])=Final_Sans_VGE[[#This Row],[date_modif]],
      "Ancien",
      "Modifié"),
   "Nouveau"))</f>
        <v>#VALUE!</v>
      </c>
      <c r="AD9855" s="1" t="str">
        <f>IFERROR(IF(Final_Sans_VGE[[#This Row],[ppn_z]]="","",IFERROR(
   IF(_xlfn.XLOOKUP(Final_Sans_VGE[[#This Row],[ppn_z]],tbl_Historique_Final[[#This Row],[ppn_z]],tbl_Historique_Final[[#This Row],[date_modif]])=Final_Sans_VGE[[#This Row],[date_modif]],
      "Ancien",
      "Modifié"),
   "Nouveau")),"")</f>
        <v/>
      </c>
    </row>
    <row r="9856" spans="24:30" x14ac:dyDescent="0.25">
      <c r="X9856" s="8" t="e">
        <f>IF(Final_Sans_VGE[[#This Row],[ppn_z]]="","",IFERROR(
   IF(_xlfn.XLOOKUP(Final_Sans_VGE[[#This Row],[ppn_z]],tbl_Historique_Final[ppn_z],tbl_Historique_Final[date_modif])=Final_Sans_VGE[[#This Row],[date_modif]],
      "Ancien",
      "Modifié"),
   "Nouveau"))</f>
        <v>#VALUE!</v>
      </c>
      <c r="AD9856" s="1" t="str">
        <f>IFERROR(IF(Final_Sans_VGE[[#This Row],[ppn_z]]="","",IFERROR(
   IF(_xlfn.XLOOKUP(Final_Sans_VGE[[#This Row],[ppn_z]],tbl_Historique_Final[[#This Row],[ppn_z]],tbl_Historique_Final[[#This Row],[date_modif]])=Final_Sans_VGE[[#This Row],[date_modif]],
      "Ancien",
      "Modifié"),
   "Nouveau")),"")</f>
        <v/>
      </c>
    </row>
    <row r="9857" spans="24:30" x14ac:dyDescent="0.25">
      <c r="X9857" s="8" t="e">
        <f>IF(Final_Sans_VGE[[#This Row],[ppn_z]]="","",IFERROR(
   IF(_xlfn.XLOOKUP(Final_Sans_VGE[[#This Row],[ppn_z]],tbl_Historique_Final[ppn_z],tbl_Historique_Final[date_modif])=Final_Sans_VGE[[#This Row],[date_modif]],
      "Ancien",
      "Modifié"),
   "Nouveau"))</f>
        <v>#VALUE!</v>
      </c>
      <c r="AD9857" s="1" t="str">
        <f>IFERROR(IF(Final_Sans_VGE[[#This Row],[ppn_z]]="","",IFERROR(
   IF(_xlfn.XLOOKUP(Final_Sans_VGE[[#This Row],[ppn_z]],tbl_Historique_Final[[#This Row],[ppn_z]],tbl_Historique_Final[[#This Row],[date_modif]])=Final_Sans_VGE[[#This Row],[date_modif]],
      "Ancien",
      "Modifié"),
   "Nouveau")),"")</f>
        <v/>
      </c>
    </row>
    <row r="9858" spans="24:30" x14ac:dyDescent="0.25">
      <c r="X9858" s="8" t="e">
        <f>IF(Final_Sans_VGE[[#This Row],[ppn_z]]="","",IFERROR(
   IF(_xlfn.XLOOKUP(Final_Sans_VGE[[#This Row],[ppn_z]],tbl_Historique_Final[ppn_z],tbl_Historique_Final[date_modif])=Final_Sans_VGE[[#This Row],[date_modif]],
      "Ancien",
      "Modifié"),
   "Nouveau"))</f>
        <v>#VALUE!</v>
      </c>
      <c r="AD9858" s="1" t="str">
        <f>IFERROR(IF(Final_Sans_VGE[[#This Row],[ppn_z]]="","",IFERROR(
   IF(_xlfn.XLOOKUP(Final_Sans_VGE[[#This Row],[ppn_z]],tbl_Historique_Final[[#This Row],[ppn_z]],tbl_Historique_Final[[#This Row],[date_modif]])=Final_Sans_VGE[[#This Row],[date_modif]],
      "Ancien",
      "Modifié"),
   "Nouveau")),"")</f>
        <v/>
      </c>
    </row>
    <row r="9859" spans="24:30" x14ac:dyDescent="0.25">
      <c r="X9859" s="8" t="e">
        <f>IF(Final_Sans_VGE[[#This Row],[ppn_z]]="","",IFERROR(
   IF(_xlfn.XLOOKUP(Final_Sans_VGE[[#This Row],[ppn_z]],tbl_Historique_Final[ppn_z],tbl_Historique_Final[date_modif])=Final_Sans_VGE[[#This Row],[date_modif]],
      "Ancien",
      "Modifié"),
   "Nouveau"))</f>
        <v>#VALUE!</v>
      </c>
      <c r="AD9859" s="1" t="str">
        <f>IFERROR(IF(Final_Sans_VGE[[#This Row],[ppn_z]]="","",IFERROR(
   IF(_xlfn.XLOOKUP(Final_Sans_VGE[[#This Row],[ppn_z]],tbl_Historique_Final[[#This Row],[ppn_z]],tbl_Historique_Final[[#This Row],[date_modif]])=Final_Sans_VGE[[#This Row],[date_modif]],
      "Ancien",
      "Modifié"),
   "Nouveau")),"")</f>
        <v/>
      </c>
    </row>
    <row r="9860" spans="24:30" x14ac:dyDescent="0.25">
      <c r="X9860" s="8" t="e">
        <f>IF(Final_Sans_VGE[[#This Row],[ppn_z]]="","",IFERROR(
   IF(_xlfn.XLOOKUP(Final_Sans_VGE[[#This Row],[ppn_z]],tbl_Historique_Final[ppn_z],tbl_Historique_Final[date_modif])=Final_Sans_VGE[[#This Row],[date_modif]],
      "Ancien",
      "Modifié"),
   "Nouveau"))</f>
        <v>#VALUE!</v>
      </c>
      <c r="AD9860" s="1" t="str">
        <f>IFERROR(IF(Final_Sans_VGE[[#This Row],[ppn_z]]="","",IFERROR(
   IF(_xlfn.XLOOKUP(Final_Sans_VGE[[#This Row],[ppn_z]],tbl_Historique_Final[[#This Row],[ppn_z]],tbl_Historique_Final[[#This Row],[date_modif]])=Final_Sans_VGE[[#This Row],[date_modif]],
      "Ancien",
      "Modifié"),
   "Nouveau")),"")</f>
        <v/>
      </c>
    </row>
    <row r="9861" spans="24:30" x14ac:dyDescent="0.25">
      <c r="X9861" s="8" t="e">
        <f>IF(Final_Sans_VGE[[#This Row],[ppn_z]]="","",IFERROR(
   IF(_xlfn.XLOOKUP(Final_Sans_VGE[[#This Row],[ppn_z]],tbl_Historique_Final[ppn_z],tbl_Historique_Final[date_modif])=Final_Sans_VGE[[#This Row],[date_modif]],
      "Ancien",
      "Modifié"),
   "Nouveau"))</f>
        <v>#VALUE!</v>
      </c>
      <c r="AD9861" s="1" t="str">
        <f>IFERROR(IF(Final_Sans_VGE[[#This Row],[ppn_z]]="","",IFERROR(
   IF(_xlfn.XLOOKUP(Final_Sans_VGE[[#This Row],[ppn_z]],tbl_Historique_Final[[#This Row],[ppn_z]],tbl_Historique_Final[[#This Row],[date_modif]])=Final_Sans_VGE[[#This Row],[date_modif]],
      "Ancien",
      "Modifié"),
   "Nouveau")),"")</f>
        <v/>
      </c>
    </row>
    <row r="9862" spans="24:30" x14ac:dyDescent="0.25">
      <c r="X9862" s="8" t="e">
        <f>IF(Final_Sans_VGE[[#This Row],[ppn_z]]="","",IFERROR(
   IF(_xlfn.XLOOKUP(Final_Sans_VGE[[#This Row],[ppn_z]],tbl_Historique_Final[ppn_z],tbl_Historique_Final[date_modif])=Final_Sans_VGE[[#This Row],[date_modif]],
      "Ancien",
      "Modifié"),
   "Nouveau"))</f>
        <v>#VALUE!</v>
      </c>
      <c r="AD9862" s="1" t="str">
        <f>IFERROR(IF(Final_Sans_VGE[[#This Row],[ppn_z]]="","",IFERROR(
   IF(_xlfn.XLOOKUP(Final_Sans_VGE[[#This Row],[ppn_z]],tbl_Historique_Final[[#This Row],[ppn_z]],tbl_Historique_Final[[#This Row],[date_modif]])=Final_Sans_VGE[[#This Row],[date_modif]],
      "Ancien",
      "Modifié"),
   "Nouveau")),"")</f>
        <v/>
      </c>
    </row>
    <row r="9863" spans="24:30" x14ac:dyDescent="0.25">
      <c r="X9863" s="8" t="e">
        <f>IF(Final_Sans_VGE[[#This Row],[ppn_z]]="","",IFERROR(
   IF(_xlfn.XLOOKUP(Final_Sans_VGE[[#This Row],[ppn_z]],tbl_Historique_Final[ppn_z],tbl_Historique_Final[date_modif])=Final_Sans_VGE[[#This Row],[date_modif]],
      "Ancien",
      "Modifié"),
   "Nouveau"))</f>
        <v>#VALUE!</v>
      </c>
      <c r="AD9863" s="1" t="str">
        <f>IFERROR(IF(Final_Sans_VGE[[#This Row],[ppn_z]]="","",IFERROR(
   IF(_xlfn.XLOOKUP(Final_Sans_VGE[[#This Row],[ppn_z]],tbl_Historique_Final[[#This Row],[ppn_z]],tbl_Historique_Final[[#This Row],[date_modif]])=Final_Sans_VGE[[#This Row],[date_modif]],
      "Ancien",
      "Modifié"),
   "Nouveau")),"")</f>
        <v/>
      </c>
    </row>
    <row r="9864" spans="24:30" x14ac:dyDescent="0.25">
      <c r="X9864" s="8" t="e">
        <f>IF(Final_Sans_VGE[[#This Row],[ppn_z]]="","",IFERROR(
   IF(_xlfn.XLOOKUP(Final_Sans_VGE[[#This Row],[ppn_z]],tbl_Historique_Final[ppn_z],tbl_Historique_Final[date_modif])=Final_Sans_VGE[[#This Row],[date_modif]],
      "Ancien",
      "Modifié"),
   "Nouveau"))</f>
        <v>#VALUE!</v>
      </c>
      <c r="AD9864" s="1" t="str">
        <f>IFERROR(IF(Final_Sans_VGE[[#This Row],[ppn_z]]="","",IFERROR(
   IF(_xlfn.XLOOKUP(Final_Sans_VGE[[#This Row],[ppn_z]],tbl_Historique_Final[[#This Row],[ppn_z]],tbl_Historique_Final[[#This Row],[date_modif]])=Final_Sans_VGE[[#This Row],[date_modif]],
      "Ancien",
      "Modifié"),
   "Nouveau")),"")</f>
        <v/>
      </c>
    </row>
    <row r="9865" spans="24:30" x14ac:dyDescent="0.25">
      <c r="X9865" s="8" t="e">
        <f>IF(Final_Sans_VGE[[#This Row],[ppn_z]]="","",IFERROR(
   IF(_xlfn.XLOOKUP(Final_Sans_VGE[[#This Row],[ppn_z]],tbl_Historique_Final[ppn_z],tbl_Historique_Final[date_modif])=Final_Sans_VGE[[#This Row],[date_modif]],
      "Ancien",
      "Modifié"),
   "Nouveau"))</f>
        <v>#VALUE!</v>
      </c>
      <c r="AD9865" s="1" t="str">
        <f>IFERROR(IF(Final_Sans_VGE[[#This Row],[ppn_z]]="","",IFERROR(
   IF(_xlfn.XLOOKUP(Final_Sans_VGE[[#This Row],[ppn_z]],tbl_Historique_Final[[#This Row],[ppn_z]],tbl_Historique_Final[[#This Row],[date_modif]])=Final_Sans_VGE[[#This Row],[date_modif]],
      "Ancien",
      "Modifié"),
   "Nouveau")),"")</f>
        <v/>
      </c>
    </row>
    <row r="9866" spans="24:30" x14ac:dyDescent="0.25">
      <c r="X9866" s="8" t="e">
        <f>IF(Final_Sans_VGE[[#This Row],[ppn_z]]="","",IFERROR(
   IF(_xlfn.XLOOKUP(Final_Sans_VGE[[#This Row],[ppn_z]],tbl_Historique_Final[ppn_z],tbl_Historique_Final[date_modif])=Final_Sans_VGE[[#This Row],[date_modif]],
      "Ancien",
      "Modifié"),
   "Nouveau"))</f>
        <v>#VALUE!</v>
      </c>
      <c r="AD9866" s="1" t="str">
        <f>IFERROR(IF(Final_Sans_VGE[[#This Row],[ppn_z]]="","",IFERROR(
   IF(_xlfn.XLOOKUP(Final_Sans_VGE[[#This Row],[ppn_z]],tbl_Historique_Final[[#This Row],[ppn_z]],tbl_Historique_Final[[#This Row],[date_modif]])=Final_Sans_VGE[[#This Row],[date_modif]],
      "Ancien",
      "Modifié"),
   "Nouveau")),"")</f>
        <v/>
      </c>
    </row>
    <row r="9867" spans="24:30" x14ac:dyDescent="0.25">
      <c r="X9867" s="8" t="e">
        <f>IF(Final_Sans_VGE[[#This Row],[ppn_z]]="","",IFERROR(
   IF(_xlfn.XLOOKUP(Final_Sans_VGE[[#This Row],[ppn_z]],tbl_Historique_Final[ppn_z],tbl_Historique_Final[date_modif])=Final_Sans_VGE[[#This Row],[date_modif]],
      "Ancien",
      "Modifié"),
   "Nouveau"))</f>
        <v>#VALUE!</v>
      </c>
      <c r="AD9867" s="1" t="str">
        <f>IFERROR(IF(Final_Sans_VGE[[#This Row],[ppn_z]]="","",IFERROR(
   IF(_xlfn.XLOOKUP(Final_Sans_VGE[[#This Row],[ppn_z]],tbl_Historique_Final[[#This Row],[ppn_z]],tbl_Historique_Final[[#This Row],[date_modif]])=Final_Sans_VGE[[#This Row],[date_modif]],
      "Ancien",
      "Modifié"),
   "Nouveau")),"")</f>
        <v/>
      </c>
    </row>
    <row r="9868" spans="24:30" x14ac:dyDescent="0.25">
      <c r="X9868" s="8" t="e">
        <f>IF(Final_Sans_VGE[[#This Row],[ppn_z]]="","",IFERROR(
   IF(_xlfn.XLOOKUP(Final_Sans_VGE[[#This Row],[ppn_z]],tbl_Historique_Final[ppn_z],tbl_Historique_Final[date_modif])=Final_Sans_VGE[[#This Row],[date_modif]],
      "Ancien",
      "Modifié"),
   "Nouveau"))</f>
        <v>#VALUE!</v>
      </c>
      <c r="AD9868" s="1" t="str">
        <f>IFERROR(IF(Final_Sans_VGE[[#This Row],[ppn_z]]="","",IFERROR(
   IF(_xlfn.XLOOKUP(Final_Sans_VGE[[#This Row],[ppn_z]],tbl_Historique_Final[[#This Row],[ppn_z]],tbl_Historique_Final[[#This Row],[date_modif]])=Final_Sans_VGE[[#This Row],[date_modif]],
      "Ancien",
      "Modifié"),
   "Nouveau")),"")</f>
        <v/>
      </c>
    </row>
    <row r="9869" spans="24:30" x14ac:dyDescent="0.25">
      <c r="X9869" s="8" t="e">
        <f>IF(Final_Sans_VGE[[#This Row],[ppn_z]]="","",IFERROR(
   IF(_xlfn.XLOOKUP(Final_Sans_VGE[[#This Row],[ppn_z]],tbl_Historique_Final[ppn_z],tbl_Historique_Final[date_modif])=Final_Sans_VGE[[#This Row],[date_modif]],
      "Ancien",
      "Modifié"),
   "Nouveau"))</f>
        <v>#VALUE!</v>
      </c>
      <c r="AD9869" s="1" t="str">
        <f>IFERROR(IF(Final_Sans_VGE[[#This Row],[ppn_z]]="","",IFERROR(
   IF(_xlfn.XLOOKUP(Final_Sans_VGE[[#This Row],[ppn_z]],tbl_Historique_Final[[#This Row],[ppn_z]],tbl_Historique_Final[[#This Row],[date_modif]])=Final_Sans_VGE[[#This Row],[date_modif]],
      "Ancien",
      "Modifié"),
   "Nouveau")),"")</f>
        <v/>
      </c>
    </row>
    <row r="9870" spans="24:30" x14ac:dyDescent="0.25">
      <c r="X9870" s="8" t="e">
        <f>IF(Final_Sans_VGE[[#This Row],[ppn_z]]="","",IFERROR(
   IF(_xlfn.XLOOKUP(Final_Sans_VGE[[#This Row],[ppn_z]],tbl_Historique_Final[ppn_z],tbl_Historique_Final[date_modif])=Final_Sans_VGE[[#This Row],[date_modif]],
      "Ancien",
      "Modifié"),
   "Nouveau"))</f>
        <v>#VALUE!</v>
      </c>
      <c r="AD9870" s="1" t="str">
        <f>IFERROR(IF(Final_Sans_VGE[[#This Row],[ppn_z]]="","",IFERROR(
   IF(_xlfn.XLOOKUP(Final_Sans_VGE[[#This Row],[ppn_z]],tbl_Historique_Final[[#This Row],[ppn_z]],tbl_Historique_Final[[#This Row],[date_modif]])=Final_Sans_VGE[[#This Row],[date_modif]],
      "Ancien",
      "Modifié"),
   "Nouveau")),"")</f>
        <v/>
      </c>
    </row>
    <row r="9871" spans="24:30" x14ac:dyDescent="0.25">
      <c r="X9871" s="8" t="e">
        <f>IF(Final_Sans_VGE[[#This Row],[ppn_z]]="","",IFERROR(
   IF(_xlfn.XLOOKUP(Final_Sans_VGE[[#This Row],[ppn_z]],tbl_Historique_Final[ppn_z],tbl_Historique_Final[date_modif])=Final_Sans_VGE[[#This Row],[date_modif]],
      "Ancien",
      "Modifié"),
   "Nouveau"))</f>
        <v>#VALUE!</v>
      </c>
      <c r="AD9871" s="1" t="str">
        <f>IFERROR(IF(Final_Sans_VGE[[#This Row],[ppn_z]]="","",IFERROR(
   IF(_xlfn.XLOOKUP(Final_Sans_VGE[[#This Row],[ppn_z]],tbl_Historique_Final[[#This Row],[ppn_z]],tbl_Historique_Final[[#This Row],[date_modif]])=Final_Sans_VGE[[#This Row],[date_modif]],
      "Ancien",
      "Modifié"),
   "Nouveau")),"")</f>
        <v/>
      </c>
    </row>
    <row r="9872" spans="24:30" x14ac:dyDescent="0.25">
      <c r="X9872" s="8" t="e">
        <f>IF(Final_Sans_VGE[[#This Row],[ppn_z]]="","",IFERROR(
   IF(_xlfn.XLOOKUP(Final_Sans_VGE[[#This Row],[ppn_z]],tbl_Historique_Final[ppn_z],tbl_Historique_Final[date_modif])=Final_Sans_VGE[[#This Row],[date_modif]],
      "Ancien",
      "Modifié"),
   "Nouveau"))</f>
        <v>#VALUE!</v>
      </c>
      <c r="AD9872" s="1" t="str">
        <f>IFERROR(IF(Final_Sans_VGE[[#This Row],[ppn_z]]="","",IFERROR(
   IF(_xlfn.XLOOKUP(Final_Sans_VGE[[#This Row],[ppn_z]],tbl_Historique_Final[[#This Row],[ppn_z]],tbl_Historique_Final[[#This Row],[date_modif]])=Final_Sans_VGE[[#This Row],[date_modif]],
      "Ancien",
      "Modifié"),
   "Nouveau")),"")</f>
        <v/>
      </c>
    </row>
    <row r="9873" spans="24:30" x14ac:dyDescent="0.25">
      <c r="X9873" s="8" t="e">
        <f>IF(Final_Sans_VGE[[#This Row],[ppn_z]]="","",IFERROR(
   IF(_xlfn.XLOOKUP(Final_Sans_VGE[[#This Row],[ppn_z]],tbl_Historique_Final[ppn_z],tbl_Historique_Final[date_modif])=Final_Sans_VGE[[#This Row],[date_modif]],
      "Ancien",
      "Modifié"),
   "Nouveau"))</f>
        <v>#VALUE!</v>
      </c>
      <c r="AD9873" s="1" t="str">
        <f>IFERROR(IF(Final_Sans_VGE[[#This Row],[ppn_z]]="","",IFERROR(
   IF(_xlfn.XLOOKUP(Final_Sans_VGE[[#This Row],[ppn_z]],tbl_Historique_Final[[#This Row],[ppn_z]],tbl_Historique_Final[[#This Row],[date_modif]])=Final_Sans_VGE[[#This Row],[date_modif]],
      "Ancien",
      "Modifié"),
   "Nouveau")),"")</f>
        <v/>
      </c>
    </row>
    <row r="9874" spans="24:30" x14ac:dyDescent="0.25">
      <c r="X9874" s="8" t="e">
        <f>IF(Final_Sans_VGE[[#This Row],[ppn_z]]="","",IFERROR(
   IF(_xlfn.XLOOKUP(Final_Sans_VGE[[#This Row],[ppn_z]],tbl_Historique_Final[ppn_z],tbl_Historique_Final[date_modif])=Final_Sans_VGE[[#This Row],[date_modif]],
      "Ancien",
      "Modifié"),
   "Nouveau"))</f>
        <v>#VALUE!</v>
      </c>
      <c r="AD9874" s="1" t="str">
        <f>IFERROR(IF(Final_Sans_VGE[[#This Row],[ppn_z]]="","",IFERROR(
   IF(_xlfn.XLOOKUP(Final_Sans_VGE[[#This Row],[ppn_z]],tbl_Historique_Final[[#This Row],[ppn_z]],tbl_Historique_Final[[#This Row],[date_modif]])=Final_Sans_VGE[[#This Row],[date_modif]],
      "Ancien",
      "Modifié"),
   "Nouveau")),"")</f>
        <v/>
      </c>
    </row>
    <row r="9875" spans="24:30" x14ac:dyDescent="0.25">
      <c r="X9875" s="8" t="e">
        <f>IF(Final_Sans_VGE[[#This Row],[ppn_z]]="","",IFERROR(
   IF(_xlfn.XLOOKUP(Final_Sans_VGE[[#This Row],[ppn_z]],tbl_Historique_Final[ppn_z],tbl_Historique_Final[date_modif])=Final_Sans_VGE[[#This Row],[date_modif]],
      "Ancien",
      "Modifié"),
   "Nouveau"))</f>
        <v>#VALUE!</v>
      </c>
      <c r="AD9875" s="1" t="str">
        <f>IFERROR(IF(Final_Sans_VGE[[#This Row],[ppn_z]]="","",IFERROR(
   IF(_xlfn.XLOOKUP(Final_Sans_VGE[[#This Row],[ppn_z]],tbl_Historique_Final[[#This Row],[ppn_z]],tbl_Historique_Final[[#This Row],[date_modif]])=Final_Sans_VGE[[#This Row],[date_modif]],
      "Ancien",
      "Modifié"),
   "Nouveau")),"")</f>
        <v/>
      </c>
    </row>
    <row r="9876" spans="24:30" x14ac:dyDescent="0.25">
      <c r="X9876" s="8" t="e">
        <f>IF(Final_Sans_VGE[[#This Row],[ppn_z]]="","",IFERROR(
   IF(_xlfn.XLOOKUP(Final_Sans_VGE[[#This Row],[ppn_z]],tbl_Historique_Final[ppn_z],tbl_Historique_Final[date_modif])=Final_Sans_VGE[[#This Row],[date_modif]],
      "Ancien",
      "Modifié"),
   "Nouveau"))</f>
        <v>#VALUE!</v>
      </c>
      <c r="AD9876" s="1" t="str">
        <f>IFERROR(IF(Final_Sans_VGE[[#This Row],[ppn_z]]="","",IFERROR(
   IF(_xlfn.XLOOKUP(Final_Sans_VGE[[#This Row],[ppn_z]],tbl_Historique_Final[[#This Row],[ppn_z]],tbl_Historique_Final[[#This Row],[date_modif]])=Final_Sans_VGE[[#This Row],[date_modif]],
      "Ancien",
      "Modifié"),
   "Nouveau")),"")</f>
        <v/>
      </c>
    </row>
    <row r="9877" spans="24:30" x14ac:dyDescent="0.25">
      <c r="X9877" s="8" t="e">
        <f>IF(Final_Sans_VGE[[#This Row],[ppn_z]]="","",IFERROR(
   IF(_xlfn.XLOOKUP(Final_Sans_VGE[[#This Row],[ppn_z]],tbl_Historique_Final[ppn_z],tbl_Historique_Final[date_modif])=Final_Sans_VGE[[#This Row],[date_modif]],
      "Ancien",
      "Modifié"),
   "Nouveau"))</f>
        <v>#VALUE!</v>
      </c>
      <c r="AD9877" s="1" t="str">
        <f>IFERROR(IF(Final_Sans_VGE[[#This Row],[ppn_z]]="","",IFERROR(
   IF(_xlfn.XLOOKUP(Final_Sans_VGE[[#This Row],[ppn_z]],tbl_Historique_Final[[#This Row],[ppn_z]],tbl_Historique_Final[[#This Row],[date_modif]])=Final_Sans_VGE[[#This Row],[date_modif]],
      "Ancien",
      "Modifié"),
   "Nouveau")),"")</f>
        <v/>
      </c>
    </row>
    <row r="9878" spans="24:30" x14ac:dyDescent="0.25">
      <c r="X9878" s="8" t="e">
        <f>IF(Final_Sans_VGE[[#This Row],[ppn_z]]="","",IFERROR(
   IF(_xlfn.XLOOKUP(Final_Sans_VGE[[#This Row],[ppn_z]],tbl_Historique_Final[ppn_z],tbl_Historique_Final[date_modif])=Final_Sans_VGE[[#This Row],[date_modif]],
      "Ancien",
      "Modifié"),
   "Nouveau"))</f>
        <v>#VALUE!</v>
      </c>
      <c r="AD9878" s="1" t="str">
        <f>IFERROR(IF(Final_Sans_VGE[[#This Row],[ppn_z]]="","",IFERROR(
   IF(_xlfn.XLOOKUP(Final_Sans_VGE[[#This Row],[ppn_z]],tbl_Historique_Final[[#This Row],[ppn_z]],tbl_Historique_Final[[#This Row],[date_modif]])=Final_Sans_VGE[[#This Row],[date_modif]],
      "Ancien",
      "Modifié"),
   "Nouveau")),"")</f>
        <v/>
      </c>
    </row>
    <row r="9879" spans="24:30" x14ac:dyDescent="0.25">
      <c r="X9879" s="8" t="e">
        <f>IF(Final_Sans_VGE[[#This Row],[ppn_z]]="","",IFERROR(
   IF(_xlfn.XLOOKUP(Final_Sans_VGE[[#This Row],[ppn_z]],tbl_Historique_Final[ppn_z],tbl_Historique_Final[date_modif])=Final_Sans_VGE[[#This Row],[date_modif]],
      "Ancien",
      "Modifié"),
   "Nouveau"))</f>
        <v>#VALUE!</v>
      </c>
      <c r="AD9879" s="1" t="str">
        <f>IFERROR(IF(Final_Sans_VGE[[#This Row],[ppn_z]]="","",IFERROR(
   IF(_xlfn.XLOOKUP(Final_Sans_VGE[[#This Row],[ppn_z]],tbl_Historique_Final[[#This Row],[ppn_z]],tbl_Historique_Final[[#This Row],[date_modif]])=Final_Sans_VGE[[#This Row],[date_modif]],
      "Ancien",
      "Modifié"),
   "Nouveau")),"")</f>
        <v/>
      </c>
    </row>
    <row r="9880" spans="24:30" x14ac:dyDescent="0.25">
      <c r="X9880" s="8" t="e">
        <f>IF(Final_Sans_VGE[[#This Row],[ppn_z]]="","",IFERROR(
   IF(_xlfn.XLOOKUP(Final_Sans_VGE[[#This Row],[ppn_z]],tbl_Historique_Final[ppn_z],tbl_Historique_Final[date_modif])=Final_Sans_VGE[[#This Row],[date_modif]],
      "Ancien",
      "Modifié"),
   "Nouveau"))</f>
        <v>#VALUE!</v>
      </c>
      <c r="AD9880" s="1" t="str">
        <f>IFERROR(IF(Final_Sans_VGE[[#This Row],[ppn_z]]="","",IFERROR(
   IF(_xlfn.XLOOKUP(Final_Sans_VGE[[#This Row],[ppn_z]],tbl_Historique_Final[[#This Row],[ppn_z]],tbl_Historique_Final[[#This Row],[date_modif]])=Final_Sans_VGE[[#This Row],[date_modif]],
      "Ancien",
      "Modifié"),
   "Nouveau")),"")</f>
        <v/>
      </c>
    </row>
    <row r="9881" spans="24:30" x14ac:dyDescent="0.25">
      <c r="X9881" s="8" t="e">
        <f>IF(Final_Sans_VGE[[#This Row],[ppn_z]]="","",IFERROR(
   IF(_xlfn.XLOOKUP(Final_Sans_VGE[[#This Row],[ppn_z]],tbl_Historique_Final[ppn_z],tbl_Historique_Final[date_modif])=Final_Sans_VGE[[#This Row],[date_modif]],
      "Ancien",
      "Modifié"),
   "Nouveau"))</f>
        <v>#VALUE!</v>
      </c>
      <c r="AD9881" s="1" t="str">
        <f>IFERROR(IF(Final_Sans_VGE[[#This Row],[ppn_z]]="","",IFERROR(
   IF(_xlfn.XLOOKUP(Final_Sans_VGE[[#This Row],[ppn_z]],tbl_Historique_Final[[#This Row],[ppn_z]],tbl_Historique_Final[[#This Row],[date_modif]])=Final_Sans_VGE[[#This Row],[date_modif]],
      "Ancien",
      "Modifié"),
   "Nouveau")),"")</f>
        <v/>
      </c>
    </row>
    <row r="9882" spans="24:30" x14ac:dyDescent="0.25">
      <c r="X9882" s="8" t="e">
        <f>IF(Final_Sans_VGE[[#This Row],[ppn_z]]="","",IFERROR(
   IF(_xlfn.XLOOKUP(Final_Sans_VGE[[#This Row],[ppn_z]],tbl_Historique_Final[ppn_z],tbl_Historique_Final[date_modif])=Final_Sans_VGE[[#This Row],[date_modif]],
      "Ancien",
      "Modifié"),
   "Nouveau"))</f>
        <v>#VALUE!</v>
      </c>
      <c r="AD9882" s="1" t="str">
        <f>IFERROR(IF(Final_Sans_VGE[[#This Row],[ppn_z]]="","",IFERROR(
   IF(_xlfn.XLOOKUP(Final_Sans_VGE[[#This Row],[ppn_z]],tbl_Historique_Final[[#This Row],[ppn_z]],tbl_Historique_Final[[#This Row],[date_modif]])=Final_Sans_VGE[[#This Row],[date_modif]],
      "Ancien",
      "Modifié"),
   "Nouveau")),"")</f>
        <v/>
      </c>
    </row>
    <row r="9883" spans="24:30" x14ac:dyDescent="0.25">
      <c r="X9883" s="8" t="e">
        <f>IF(Final_Sans_VGE[[#This Row],[ppn_z]]="","",IFERROR(
   IF(_xlfn.XLOOKUP(Final_Sans_VGE[[#This Row],[ppn_z]],tbl_Historique_Final[ppn_z],tbl_Historique_Final[date_modif])=Final_Sans_VGE[[#This Row],[date_modif]],
      "Ancien",
      "Modifié"),
   "Nouveau"))</f>
        <v>#VALUE!</v>
      </c>
      <c r="AD9883" s="1" t="str">
        <f>IFERROR(IF(Final_Sans_VGE[[#This Row],[ppn_z]]="","",IFERROR(
   IF(_xlfn.XLOOKUP(Final_Sans_VGE[[#This Row],[ppn_z]],tbl_Historique_Final[[#This Row],[ppn_z]],tbl_Historique_Final[[#This Row],[date_modif]])=Final_Sans_VGE[[#This Row],[date_modif]],
      "Ancien",
      "Modifié"),
   "Nouveau")),"")</f>
        <v/>
      </c>
    </row>
    <row r="9884" spans="24:30" x14ac:dyDescent="0.25">
      <c r="X9884" s="8" t="e">
        <f>IF(Final_Sans_VGE[[#This Row],[ppn_z]]="","",IFERROR(
   IF(_xlfn.XLOOKUP(Final_Sans_VGE[[#This Row],[ppn_z]],tbl_Historique_Final[ppn_z],tbl_Historique_Final[date_modif])=Final_Sans_VGE[[#This Row],[date_modif]],
      "Ancien",
      "Modifié"),
   "Nouveau"))</f>
        <v>#VALUE!</v>
      </c>
      <c r="AD9884" s="1" t="str">
        <f>IFERROR(IF(Final_Sans_VGE[[#This Row],[ppn_z]]="","",IFERROR(
   IF(_xlfn.XLOOKUP(Final_Sans_VGE[[#This Row],[ppn_z]],tbl_Historique_Final[[#This Row],[ppn_z]],tbl_Historique_Final[[#This Row],[date_modif]])=Final_Sans_VGE[[#This Row],[date_modif]],
      "Ancien",
      "Modifié"),
   "Nouveau")),"")</f>
        <v/>
      </c>
    </row>
    <row r="9885" spans="24:30" x14ac:dyDescent="0.25">
      <c r="X9885" s="8" t="e">
        <f>IF(Final_Sans_VGE[[#This Row],[ppn_z]]="","",IFERROR(
   IF(_xlfn.XLOOKUP(Final_Sans_VGE[[#This Row],[ppn_z]],tbl_Historique_Final[ppn_z],tbl_Historique_Final[date_modif])=Final_Sans_VGE[[#This Row],[date_modif]],
      "Ancien",
      "Modifié"),
   "Nouveau"))</f>
        <v>#VALUE!</v>
      </c>
      <c r="AD9885" s="1" t="str">
        <f>IFERROR(IF(Final_Sans_VGE[[#This Row],[ppn_z]]="","",IFERROR(
   IF(_xlfn.XLOOKUP(Final_Sans_VGE[[#This Row],[ppn_z]],tbl_Historique_Final[[#This Row],[ppn_z]],tbl_Historique_Final[[#This Row],[date_modif]])=Final_Sans_VGE[[#This Row],[date_modif]],
      "Ancien",
      "Modifié"),
   "Nouveau")),"")</f>
        <v/>
      </c>
    </row>
    <row r="9886" spans="24:30" x14ac:dyDescent="0.25">
      <c r="X9886" s="8" t="e">
        <f>IF(Final_Sans_VGE[[#This Row],[ppn_z]]="","",IFERROR(
   IF(_xlfn.XLOOKUP(Final_Sans_VGE[[#This Row],[ppn_z]],tbl_Historique_Final[ppn_z],tbl_Historique_Final[date_modif])=Final_Sans_VGE[[#This Row],[date_modif]],
      "Ancien",
      "Modifié"),
   "Nouveau"))</f>
        <v>#VALUE!</v>
      </c>
      <c r="AD9886" s="1" t="str">
        <f>IFERROR(IF(Final_Sans_VGE[[#This Row],[ppn_z]]="","",IFERROR(
   IF(_xlfn.XLOOKUP(Final_Sans_VGE[[#This Row],[ppn_z]],tbl_Historique_Final[[#This Row],[ppn_z]],tbl_Historique_Final[[#This Row],[date_modif]])=Final_Sans_VGE[[#This Row],[date_modif]],
      "Ancien",
      "Modifié"),
   "Nouveau")),"")</f>
        <v/>
      </c>
    </row>
    <row r="9887" spans="24:30" x14ac:dyDescent="0.25">
      <c r="X9887" s="8" t="e">
        <f>IF(Final_Sans_VGE[[#This Row],[ppn_z]]="","",IFERROR(
   IF(_xlfn.XLOOKUP(Final_Sans_VGE[[#This Row],[ppn_z]],tbl_Historique_Final[ppn_z],tbl_Historique_Final[date_modif])=Final_Sans_VGE[[#This Row],[date_modif]],
      "Ancien",
      "Modifié"),
   "Nouveau"))</f>
        <v>#VALUE!</v>
      </c>
      <c r="AD9887" s="1" t="str">
        <f>IFERROR(IF(Final_Sans_VGE[[#This Row],[ppn_z]]="","",IFERROR(
   IF(_xlfn.XLOOKUP(Final_Sans_VGE[[#This Row],[ppn_z]],tbl_Historique_Final[[#This Row],[ppn_z]],tbl_Historique_Final[[#This Row],[date_modif]])=Final_Sans_VGE[[#This Row],[date_modif]],
      "Ancien",
      "Modifié"),
   "Nouveau")),"")</f>
        <v/>
      </c>
    </row>
    <row r="9888" spans="24:30" x14ac:dyDescent="0.25">
      <c r="X9888" s="8" t="e">
        <f>IF(Final_Sans_VGE[[#This Row],[ppn_z]]="","",IFERROR(
   IF(_xlfn.XLOOKUP(Final_Sans_VGE[[#This Row],[ppn_z]],tbl_Historique_Final[ppn_z],tbl_Historique_Final[date_modif])=Final_Sans_VGE[[#This Row],[date_modif]],
      "Ancien",
      "Modifié"),
   "Nouveau"))</f>
        <v>#VALUE!</v>
      </c>
      <c r="AD9888" s="1" t="str">
        <f>IFERROR(IF(Final_Sans_VGE[[#This Row],[ppn_z]]="","",IFERROR(
   IF(_xlfn.XLOOKUP(Final_Sans_VGE[[#This Row],[ppn_z]],tbl_Historique_Final[[#This Row],[ppn_z]],tbl_Historique_Final[[#This Row],[date_modif]])=Final_Sans_VGE[[#This Row],[date_modif]],
      "Ancien",
      "Modifié"),
   "Nouveau")),"")</f>
        <v/>
      </c>
    </row>
    <row r="9889" spans="24:30" x14ac:dyDescent="0.25">
      <c r="X9889" s="8" t="e">
        <f>IF(Final_Sans_VGE[[#This Row],[ppn_z]]="","",IFERROR(
   IF(_xlfn.XLOOKUP(Final_Sans_VGE[[#This Row],[ppn_z]],tbl_Historique_Final[ppn_z],tbl_Historique_Final[date_modif])=Final_Sans_VGE[[#This Row],[date_modif]],
      "Ancien",
      "Modifié"),
   "Nouveau"))</f>
        <v>#VALUE!</v>
      </c>
      <c r="AD9889" s="1" t="str">
        <f>IFERROR(IF(Final_Sans_VGE[[#This Row],[ppn_z]]="","",IFERROR(
   IF(_xlfn.XLOOKUP(Final_Sans_VGE[[#This Row],[ppn_z]],tbl_Historique_Final[[#This Row],[ppn_z]],tbl_Historique_Final[[#This Row],[date_modif]])=Final_Sans_VGE[[#This Row],[date_modif]],
      "Ancien",
      "Modifié"),
   "Nouveau")),"")</f>
        <v/>
      </c>
    </row>
    <row r="9890" spans="24:30" x14ac:dyDescent="0.25">
      <c r="X9890" s="8" t="e">
        <f>IF(Final_Sans_VGE[[#This Row],[ppn_z]]="","",IFERROR(
   IF(_xlfn.XLOOKUP(Final_Sans_VGE[[#This Row],[ppn_z]],tbl_Historique_Final[ppn_z],tbl_Historique_Final[date_modif])=Final_Sans_VGE[[#This Row],[date_modif]],
      "Ancien",
      "Modifié"),
   "Nouveau"))</f>
        <v>#VALUE!</v>
      </c>
      <c r="AD9890" s="1" t="str">
        <f>IFERROR(IF(Final_Sans_VGE[[#This Row],[ppn_z]]="","",IFERROR(
   IF(_xlfn.XLOOKUP(Final_Sans_VGE[[#This Row],[ppn_z]],tbl_Historique_Final[[#This Row],[ppn_z]],tbl_Historique_Final[[#This Row],[date_modif]])=Final_Sans_VGE[[#This Row],[date_modif]],
      "Ancien",
      "Modifié"),
   "Nouveau")),"")</f>
        <v/>
      </c>
    </row>
    <row r="9891" spans="24:30" x14ac:dyDescent="0.25">
      <c r="X9891" s="8" t="e">
        <f>IF(Final_Sans_VGE[[#This Row],[ppn_z]]="","",IFERROR(
   IF(_xlfn.XLOOKUP(Final_Sans_VGE[[#This Row],[ppn_z]],tbl_Historique_Final[ppn_z],tbl_Historique_Final[date_modif])=Final_Sans_VGE[[#This Row],[date_modif]],
      "Ancien",
      "Modifié"),
   "Nouveau"))</f>
        <v>#VALUE!</v>
      </c>
      <c r="AD9891" s="1" t="str">
        <f>IFERROR(IF(Final_Sans_VGE[[#This Row],[ppn_z]]="","",IFERROR(
   IF(_xlfn.XLOOKUP(Final_Sans_VGE[[#This Row],[ppn_z]],tbl_Historique_Final[[#This Row],[ppn_z]],tbl_Historique_Final[[#This Row],[date_modif]])=Final_Sans_VGE[[#This Row],[date_modif]],
      "Ancien",
      "Modifié"),
   "Nouveau")),"")</f>
        <v/>
      </c>
    </row>
    <row r="9892" spans="24:30" x14ac:dyDescent="0.25">
      <c r="X9892" s="8" t="e">
        <f>IF(Final_Sans_VGE[[#This Row],[ppn_z]]="","",IFERROR(
   IF(_xlfn.XLOOKUP(Final_Sans_VGE[[#This Row],[ppn_z]],tbl_Historique_Final[ppn_z],tbl_Historique_Final[date_modif])=Final_Sans_VGE[[#This Row],[date_modif]],
      "Ancien",
      "Modifié"),
   "Nouveau"))</f>
        <v>#VALUE!</v>
      </c>
      <c r="AD9892" s="1" t="str">
        <f>IFERROR(IF(Final_Sans_VGE[[#This Row],[ppn_z]]="","",IFERROR(
   IF(_xlfn.XLOOKUP(Final_Sans_VGE[[#This Row],[ppn_z]],tbl_Historique_Final[[#This Row],[ppn_z]],tbl_Historique_Final[[#This Row],[date_modif]])=Final_Sans_VGE[[#This Row],[date_modif]],
      "Ancien",
      "Modifié"),
   "Nouveau")),"")</f>
        <v/>
      </c>
    </row>
    <row r="9893" spans="24:30" x14ac:dyDescent="0.25">
      <c r="X9893" s="8" t="e">
        <f>IF(Final_Sans_VGE[[#This Row],[ppn_z]]="","",IFERROR(
   IF(_xlfn.XLOOKUP(Final_Sans_VGE[[#This Row],[ppn_z]],tbl_Historique_Final[ppn_z],tbl_Historique_Final[date_modif])=Final_Sans_VGE[[#This Row],[date_modif]],
      "Ancien",
      "Modifié"),
   "Nouveau"))</f>
        <v>#VALUE!</v>
      </c>
      <c r="AD9893" s="1" t="str">
        <f>IFERROR(IF(Final_Sans_VGE[[#This Row],[ppn_z]]="","",IFERROR(
   IF(_xlfn.XLOOKUP(Final_Sans_VGE[[#This Row],[ppn_z]],tbl_Historique_Final[[#This Row],[ppn_z]],tbl_Historique_Final[[#This Row],[date_modif]])=Final_Sans_VGE[[#This Row],[date_modif]],
      "Ancien",
      "Modifié"),
   "Nouveau")),"")</f>
        <v/>
      </c>
    </row>
    <row r="9894" spans="24:30" x14ac:dyDescent="0.25">
      <c r="X9894" s="8" t="e">
        <f>IF(Final_Sans_VGE[[#This Row],[ppn_z]]="","",IFERROR(
   IF(_xlfn.XLOOKUP(Final_Sans_VGE[[#This Row],[ppn_z]],tbl_Historique_Final[ppn_z],tbl_Historique_Final[date_modif])=Final_Sans_VGE[[#This Row],[date_modif]],
      "Ancien",
      "Modifié"),
   "Nouveau"))</f>
        <v>#VALUE!</v>
      </c>
      <c r="AD9894" s="1" t="str">
        <f>IFERROR(IF(Final_Sans_VGE[[#This Row],[ppn_z]]="","",IFERROR(
   IF(_xlfn.XLOOKUP(Final_Sans_VGE[[#This Row],[ppn_z]],tbl_Historique_Final[[#This Row],[ppn_z]],tbl_Historique_Final[[#This Row],[date_modif]])=Final_Sans_VGE[[#This Row],[date_modif]],
      "Ancien",
      "Modifié"),
   "Nouveau")),"")</f>
        <v/>
      </c>
    </row>
    <row r="9895" spans="24:30" x14ac:dyDescent="0.25">
      <c r="X9895" s="8" t="e">
        <f>IF(Final_Sans_VGE[[#This Row],[ppn_z]]="","",IFERROR(
   IF(_xlfn.XLOOKUP(Final_Sans_VGE[[#This Row],[ppn_z]],tbl_Historique_Final[ppn_z],tbl_Historique_Final[date_modif])=Final_Sans_VGE[[#This Row],[date_modif]],
      "Ancien",
      "Modifié"),
   "Nouveau"))</f>
        <v>#VALUE!</v>
      </c>
      <c r="AD9895" s="1" t="str">
        <f>IFERROR(IF(Final_Sans_VGE[[#This Row],[ppn_z]]="","",IFERROR(
   IF(_xlfn.XLOOKUP(Final_Sans_VGE[[#This Row],[ppn_z]],tbl_Historique_Final[[#This Row],[ppn_z]],tbl_Historique_Final[[#This Row],[date_modif]])=Final_Sans_VGE[[#This Row],[date_modif]],
      "Ancien",
      "Modifié"),
   "Nouveau")),"")</f>
        <v/>
      </c>
    </row>
    <row r="9896" spans="24:30" x14ac:dyDescent="0.25">
      <c r="X9896" s="8" t="e">
        <f>IF(Final_Sans_VGE[[#This Row],[ppn_z]]="","",IFERROR(
   IF(_xlfn.XLOOKUP(Final_Sans_VGE[[#This Row],[ppn_z]],tbl_Historique_Final[ppn_z],tbl_Historique_Final[date_modif])=Final_Sans_VGE[[#This Row],[date_modif]],
      "Ancien",
      "Modifié"),
   "Nouveau"))</f>
        <v>#VALUE!</v>
      </c>
      <c r="AD9896" s="1" t="str">
        <f>IFERROR(IF(Final_Sans_VGE[[#This Row],[ppn_z]]="","",IFERROR(
   IF(_xlfn.XLOOKUP(Final_Sans_VGE[[#This Row],[ppn_z]],tbl_Historique_Final[[#This Row],[ppn_z]],tbl_Historique_Final[[#This Row],[date_modif]])=Final_Sans_VGE[[#This Row],[date_modif]],
      "Ancien",
      "Modifié"),
   "Nouveau")),"")</f>
        <v/>
      </c>
    </row>
    <row r="9897" spans="24:30" x14ac:dyDescent="0.25">
      <c r="X9897" s="8" t="e">
        <f>IF(Final_Sans_VGE[[#This Row],[ppn_z]]="","",IFERROR(
   IF(_xlfn.XLOOKUP(Final_Sans_VGE[[#This Row],[ppn_z]],tbl_Historique_Final[ppn_z],tbl_Historique_Final[date_modif])=Final_Sans_VGE[[#This Row],[date_modif]],
      "Ancien",
      "Modifié"),
   "Nouveau"))</f>
        <v>#VALUE!</v>
      </c>
      <c r="AD9897" s="1" t="str">
        <f>IFERROR(IF(Final_Sans_VGE[[#This Row],[ppn_z]]="","",IFERROR(
   IF(_xlfn.XLOOKUP(Final_Sans_VGE[[#This Row],[ppn_z]],tbl_Historique_Final[[#This Row],[ppn_z]],tbl_Historique_Final[[#This Row],[date_modif]])=Final_Sans_VGE[[#This Row],[date_modif]],
      "Ancien",
      "Modifié"),
   "Nouveau")),"")</f>
        <v/>
      </c>
    </row>
    <row r="9898" spans="24:30" x14ac:dyDescent="0.25">
      <c r="X9898" s="8" t="e">
        <f>IF(Final_Sans_VGE[[#This Row],[ppn_z]]="","",IFERROR(
   IF(_xlfn.XLOOKUP(Final_Sans_VGE[[#This Row],[ppn_z]],tbl_Historique_Final[ppn_z],tbl_Historique_Final[date_modif])=Final_Sans_VGE[[#This Row],[date_modif]],
      "Ancien",
      "Modifié"),
   "Nouveau"))</f>
        <v>#VALUE!</v>
      </c>
      <c r="AD9898" s="1" t="str">
        <f>IFERROR(IF(Final_Sans_VGE[[#This Row],[ppn_z]]="","",IFERROR(
   IF(_xlfn.XLOOKUP(Final_Sans_VGE[[#This Row],[ppn_z]],tbl_Historique_Final[[#This Row],[ppn_z]],tbl_Historique_Final[[#This Row],[date_modif]])=Final_Sans_VGE[[#This Row],[date_modif]],
      "Ancien",
      "Modifié"),
   "Nouveau")),"")</f>
        <v/>
      </c>
    </row>
    <row r="9899" spans="24:30" x14ac:dyDescent="0.25">
      <c r="X9899" s="8" t="e">
        <f>IF(Final_Sans_VGE[[#This Row],[ppn_z]]="","",IFERROR(
   IF(_xlfn.XLOOKUP(Final_Sans_VGE[[#This Row],[ppn_z]],tbl_Historique_Final[ppn_z],tbl_Historique_Final[date_modif])=Final_Sans_VGE[[#This Row],[date_modif]],
      "Ancien",
      "Modifié"),
   "Nouveau"))</f>
        <v>#VALUE!</v>
      </c>
      <c r="AD9899" s="1" t="str">
        <f>IFERROR(IF(Final_Sans_VGE[[#This Row],[ppn_z]]="","",IFERROR(
   IF(_xlfn.XLOOKUP(Final_Sans_VGE[[#This Row],[ppn_z]],tbl_Historique_Final[[#This Row],[ppn_z]],tbl_Historique_Final[[#This Row],[date_modif]])=Final_Sans_VGE[[#This Row],[date_modif]],
      "Ancien",
      "Modifié"),
   "Nouveau")),"")</f>
        <v/>
      </c>
    </row>
    <row r="9900" spans="24:30" x14ac:dyDescent="0.25">
      <c r="X9900" s="8" t="e">
        <f>IF(Final_Sans_VGE[[#This Row],[ppn_z]]="","",IFERROR(
   IF(_xlfn.XLOOKUP(Final_Sans_VGE[[#This Row],[ppn_z]],tbl_Historique_Final[ppn_z],tbl_Historique_Final[date_modif])=Final_Sans_VGE[[#This Row],[date_modif]],
      "Ancien",
      "Modifié"),
   "Nouveau"))</f>
        <v>#VALUE!</v>
      </c>
      <c r="AD9900" s="1" t="str">
        <f>IFERROR(IF(Final_Sans_VGE[[#This Row],[ppn_z]]="","",IFERROR(
   IF(_xlfn.XLOOKUP(Final_Sans_VGE[[#This Row],[ppn_z]],tbl_Historique_Final[[#This Row],[ppn_z]],tbl_Historique_Final[[#This Row],[date_modif]])=Final_Sans_VGE[[#This Row],[date_modif]],
      "Ancien",
      "Modifié"),
   "Nouveau")),"")</f>
        <v/>
      </c>
    </row>
    <row r="9901" spans="24:30" x14ac:dyDescent="0.25">
      <c r="X9901" s="8" t="e">
        <f>IF(Final_Sans_VGE[[#This Row],[ppn_z]]="","",IFERROR(
   IF(_xlfn.XLOOKUP(Final_Sans_VGE[[#This Row],[ppn_z]],tbl_Historique_Final[ppn_z],tbl_Historique_Final[date_modif])=Final_Sans_VGE[[#This Row],[date_modif]],
      "Ancien",
      "Modifié"),
   "Nouveau"))</f>
        <v>#VALUE!</v>
      </c>
      <c r="AD9901" s="1" t="str">
        <f>IFERROR(IF(Final_Sans_VGE[[#This Row],[ppn_z]]="","",IFERROR(
   IF(_xlfn.XLOOKUP(Final_Sans_VGE[[#This Row],[ppn_z]],tbl_Historique_Final[[#This Row],[ppn_z]],tbl_Historique_Final[[#This Row],[date_modif]])=Final_Sans_VGE[[#This Row],[date_modif]],
      "Ancien",
      "Modifié"),
   "Nouveau")),"")</f>
        <v/>
      </c>
    </row>
    <row r="9902" spans="24:30" x14ac:dyDescent="0.25">
      <c r="X9902" s="8" t="e">
        <f>IF(Final_Sans_VGE[[#This Row],[ppn_z]]="","",IFERROR(
   IF(_xlfn.XLOOKUP(Final_Sans_VGE[[#This Row],[ppn_z]],tbl_Historique_Final[ppn_z],tbl_Historique_Final[date_modif])=Final_Sans_VGE[[#This Row],[date_modif]],
      "Ancien",
      "Modifié"),
   "Nouveau"))</f>
        <v>#VALUE!</v>
      </c>
      <c r="AD9902" s="1" t="str">
        <f>IFERROR(IF(Final_Sans_VGE[[#This Row],[ppn_z]]="","",IFERROR(
   IF(_xlfn.XLOOKUP(Final_Sans_VGE[[#This Row],[ppn_z]],tbl_Historique_Final[[#This Row],[ppn_z]],tbl_Historique_Final[[#This Row],[date_modif]])=Final_Sans_VGE[[#This Row],[date_modif]],
      "Ancien",
      "Modifié"),
   "Nouveau")),"")</f>
        <v/>
      </c>
    </row>
    <row r="9903" spans="24:30" x14ac:dyDescent="0.25">
      <c r="X9903" s="8" t="e">
        <f>IF(Final_Sans_VGE[[#This Row],[ppn_z]]="","",IFERROR(
   IF(_xlfn.XLOOKUP(Final_Sans_VGE[[#This Row],[ppn_z]],tbl_Historique_Final[ppn_z],tbl_Historique_Final[date_modif])=Final_Sans_VGE[[#This Row],[date_modif]],
      "Ancien",
      "Modifié"),
   "Nouveau"))</f>
        <v>#VALUE!</v>
      </c>
      <c r="AD9903" s="1" t="str">
        <f>IFERROR(IF(Final_Sans_VGE[[#This Row],[ppn_z]]="","",IFERROR(
   IF(_xlfn.XLOOKUP(Final_Sans_VGE[[#This Row],[ppn_z]],tbl_Historique_Final[[#This Row],[ppn_z]],tbl_Historique_Final[[#This Row],[date_modif]])=Final_Sans_VGE[[#This Row],[date_modif]],
      "Ancien",
      "Modifié"),
   "Nouveau")),"")</f>
        <v/>
      </c>
    </row>
    <row r="9904" spans="24:30" x14ac:dyDescent="0.25">
      <c r="X9904" s="8" t="e">
        <f>IF(Final_Sans_VGE[[#This Row],[ppn_z]]="","",IFERROR(
   IF(_xlfn.XLOOKUP(Final_Sans_VGE[[#This Row],[ppn_z]],tbl_Historique_Final[ppn_z],tbl_Historique_Final[date_modif])=Final_Sans_VGE[[#This Row],[date_modif]],
      "Ancien",
      "Modifié"),
   "Nouveau"))</f>
        <v>#VALUE!</v>
      </c>
      <c r="AD9904" s="1" t="str">
        <f>IFERROR(IF(Final_Sans_VGE[[#This Row],[ppn_z]]="","",IFERROR(
   IF(_xlfn.XLOOKUP(Final_Sans_VGE[[#This Row],[ppn_z]],tbl_Historique_Final[[#This Row],[ppn_z]],tbl_Historique_Final[[#This Row],[date_modif]])=Final_Sans_VGE[[#This Row],[date_modif]],
      "Ancien",
      "Modifié"),
   "Nouveau")),"")</f>
        <v/>
      </c>
    </row>
    <row r="9905" spans="24:30" x14ac:dyDescent="0.25">
      <c r="X9905" s="8" t="e">
        <f>IF(Final_Sans_VGE[[#This Row],[ppn_z]]="","",IFERROR(
   IF(_xlfn.XLOOKUP(Final_Sans_VGE[[#This Row],[ppn_z]],tbl_Historique_Final[ppn_z],tbl_Historique_Final[date_modif])=Final_Sans_VGE[[#This Row],[date_modif]],
      "Ancien",
      "Modifié"),
   "Nouveau"))</f>
        <v>#VALUE!</v>
      </c>
      <c r="AD9905" s="1" t="str">
        <f>IFERROR(IF(Final_Sans_VGE[[#This Row],[ppn_z]]="","",IFERROR(
   IF(_xlfn.XLOOKUP(Final_Sans_VGE[[#This Row],[ppn_z]],tbl_Historique_Final[[#This Row],[ppn_z]],tbl_Historique_Final[[#This Row],[date_modif]])=Final_Sans_VGE[[#This Row],[date_modif]],
      "Ancien",
      "Modifié"),
   "Nouveau")),"")</f>
        <v/>
      </c>
    </row>
    <row r="9906" spans="24:30" x14ac:dyDescent="0.25">
      <c r="X9906" s="8" t="e">
        <f>IF(Final_Sans_VGE[[#This Row],[ppn_z]]="","",IFERROR(
   IF(_xlfn.XLOOKUP(Final_Sans_VGE[[#This Row],[ppn_z]],tbl_Historique_Final[ppn_z],tbl_Historique_Final[date_modif])=Final_Sans_VGE[[#This Row],[date_modif]],
      "Ancien",
      "Modifié"),
   "Nouveau"))</f>
        <v>#VALUE!</v>
      </c>
      <c r="AD9906" s="1" t="str">
        <f>IFERROR(IF(Final_Sans_VGE[[#This Row],[ppn_z]]="","",IFERROR(
   IF(_xlfn.XLOOKUP(Final_Sans_VGE[[#This Row],[ppn_z]],tbl_Historique_Final[[#This Row],[ppn_z]],tbl_Historique_Final[[#This Row],[date_modif]])=Final_Sans_VGE[[#This Row],[date_modif]],
      "Ancien",
      "Modifié"),
   "Nouveau")),"")</f>
        <v/>
      </c>
    </row>
    <row r="9907" spans="24:30" x14ac:dyDescent="0.25">
      <c r="X9907" s="8" t="e">
        <f>IF(Final_Sans_VGE[[#This Row],[ppn_z]]="","",IFERROR(
   IF(_xlfn.XLOOKUP(Final_Sans_VGE[[#This Row],[ppn_z]],tbl_Historique_Final[ppn_z],tbl_Historique_Final[date_modif])=Final_Sans_VGE[[#This Row],[date_modif]],
      "Ancien",
      "Modifié"),
   "Nouveau"))</f>
        <v>#VALUE!</v>
      </c>
      <c r="AD9907" s="1" t="str">
        <f>IFERROR(IF(Final_Sans_VGE[[#This Row],[ppn_z]]="","",IFERROR(
   IF(_xlfn.XLOOKUP(Final_Sans_VGE[[#This Row],[ppn_z]],tbl_Historique_Final[[#This Row],[ppn_z]],tbl_Historique_Final[[#This Row],[date_modif]])=Final_Sans_VGE[[#This Row],[date_modif]],
      "Ancien",
      "Modifié"),
   "Nouveau")),"")</f>
        <v/>
      </c>
    </row>
    <row r="9908" spans="24:30" x14ac:dyDescent="0.25">
      <c r="X9908" s="8" t="e">
        <f>IF(Final_Sans_VGE[[#This Row],[ppn_z]]="","",IFERROR(
   IF(_xlfn.XLOOKUP(Final_Sans_VGE[[#This Row],[ppn_z]],tbl_Historique_Final[ppn_z],tbl_Historique_Final[date_modif])=Final_Sans_VGE[[#This Row],[date_modif]],
      "Ancien",
      "Modifié"),
   "Nouveau"))</f>
        <v>#VALUE!</v>
      </c>
      <c r="AD9908" s="1" t="str">
        <f>IFERROR(IF(Final_Sans_VGE[[#This Row],[ppn_z]]="","",IFERROR(
   IF(_xlfn.XLOOKUP(Final_Sans_VGE[[#This Row],[ppn_z]],tbl_Historique_Final[[#This Row],[ppn_z]],tbl_Historique_Final[[#This Row],[date_modif]])=Final_Sans_VGE[[#This Row],[date_modif]],
      "Ancien",
      "Modifié"),
   "Nouveau")),"")</f>
        <v/>
      </c>
    </row>
    <row r="9909" spans="24:30" x14ac:dyDescent="0.25">
      <c r="X9909" s="8" t="e">
        <f>IF(Final_Sans_VGE[[#This Row],[ppn_z]]="","",IFERROR(
   IF(_xlfn.XLOOKUP(Final_Sans_VGE[[#This Row],[ppn_z]],tbl_Historique_Final[ppn_z],tbl_Historique_Final[date_modif])=Final_Sans_VGE[[#This Row],[date_modif]],
      "Ancien",
      "Modifié"),
   "Nouveau"))</f>
        <v>#VALUE!</v>
      </c>
      <c r="AD9909" s="1" t="str">
        <f>IFERROR(IF(Final_Sans_VGE[[#This Row],[ppn_z]]="","",IFERROR(
   IF(_xlfn.XLOOKUP(Final_Sans_VGE[[#This Row],[ppn_z]],tbl_Historique_Final[[#This Row],[ppn_z]],tbl_Historique_Final[[#This Row],[date_modif]])=Final_Sans_VGE[[#This Row],[date_modif]],
      "Ancien",
      "Modifié"),
   "Nouveau")),"")</f>
        <v/>
      </c>
    </row>
    <row r="9910" spans="24:30" x14ac:dyDescent="0.25">
      <c r="X9910" s="8" t="e">
        <f>IF(Final_Sans_VGE[[#This Row],[ppn_z]]="","",IFERROR(
   IF(_xlfn.XLOOKUP(Final_Sans_VGE[[#This Row],[ppn_z]],tbl_Historique_Final[ppn_z],tbl_Historique_Final[date_modif])=Final_Sans_VGE[[#This Row],[date_modif]],
      "Ancien",
      "Modifié"),
   "Nouveau"))</f>
        <v>#VALUE!</v>
      </c>
      <c r="AD9910" s="1" t="str">
        <f>IFERROR(IF(Final_Sans_VGE[[#This Row],[ppn_z]]="","",IFERROR(
   IF(_xlfn.XLOOKUP(Final_Sans_VGE[[#This Row],[ppn_z]],tbl_Historique_Final[[#This Row],[ppn_z]],tbl_Historique_Final[[#This Row],[date_modif]])=Final_Sans_VGE[[#This Row],[date_modif]],
      "Ancien",
      "Modifié"),
   "Nouveau")),"")</f>
        <v/>
      </c>
    </row>
    <row r="9911" spans="24:30" x14ac:dyDescent="0.25">
      <c r="X9911" s="8" t="e">
        <f>IF(Final_Sans_VGE[[#This Row],[ppn_z]]="","",IFERROR(
   IF(_xlfn.XLOOKUP(Final_Sans_VGE[[#This Row],[ppn_z]],tbl_Historique_Final[ppn_z],tbl_Historique_Final[date_modif])=Final_Sans_VGE[[#This Row],[date_modif]],
      "Ancien",
      "Modifié"),
   "Nouveau"))</f>
        <v>#VALUE!</v>
      </c>
      <c r="AD9911" s="1" t="str">
        <f>IFERROR(IF(Final_Sans_VGE[[#This Row],[ppn_z]]="","",IFERROR(
   IF(_xlfn.XLOOKUP(Final_Sans_VGE[[#This Row],[ppn_z]],tbl_Historique_Final[[#This Row],[ppn_z]],tbl_Historique_Final[[#This Row],[date_modif]])=Final_Sans_VGE[[#This Row],[date_modif]],
      "Ancien",
      "Modifié"),
   "Nouveau")),"")</f>
        <v/>
      </c>
    </row>
    <row r="9912" spans="24:30" x14ac:dyDescent="0.25">
      <c r="X9912" s="8" t="e">
        <f>IF(Final_Sans_VGE[[#This Row],[ppn_z]]="","",IFERROR(
   IF(_xlfn.XLOOKUP(Final_Sans_VGE[[#This Row],[ppn_z]],tbl_Historique_Final[ppn_z],tbl_Historique_Final[date_modif])=Final_Sans_VGE[[#This Row],[date_modif]],
      "Ancien",
      "Modifié"),
   "Nouveau"))</f>
        <v>#VALUE!</v>
      </c>
      <c r="AD9912" s="1" t="str">
        <f>IFERROR(IF(Final_Sans_VGE[[#This Row],[ppn_z]]="","",IFERROR(
   IF(_xlfn.XLOOKUP(Final_Sans_VGE[[#This Row],[ppn_z]],tbl_Historique_Final[[#This Row],[ppn_z]],tbl_Historique_Final[[#This Row],[date_modif]])=Final_Sans_VGE[[#This Row],[date_modif]],
      "Ancien",
      "Modifié"),
   "Nouveau")),"")</f>
        <v/>
      </c>
    </row>
    <row r="9913" spans="24:30" x14ac:dyDescent="0.25">
      <c r="X9913" s="8" t="e">
        <f>IF(Final_Sans_VGE[[#This Row],[ppn_z]]="","",IFERROR(
   IF(_xlfn.XLOOKUP(Final_Sans_VGE[[#This Row],[ppn_z]],tbl_Historique_Final[ppn_z],tbl_Historique_Final[date_modif])=Final_Sans_VGE[[#This Row],[date_modif]],
      "Ancien",
      "Modifié"),
   "Nouveau"))</f>
        <v>#VALUE!</v>
      </c>
      <c r="AD9913" s="1" t="str">
        <f>IFERROR(IF(Final_Sans_VGE[[#This Row],[ppn_z]]="","",IFERROR(
   IF(_xlfn.XLOOKUP(Final_Sans_VGE[[#This Row],[ppn_z]],tbl_Historique_Final[[#This Row],[ppn_z]],tbl_Historique_Final[[#This Row],[date_modif]])=Final_Sans_VGE[[#This Row],[date_modif]],
      "Ancien",
      "Modifié"),
   "Nouveau")),"")</f>
        <v/>
      </c>
    </row>
    <row r="9914" spans="24:30" x14ac:dyDescent="0.25">
      <c r="X9914" s="8" t="e">
        <f>IF(Final_Sans_VGE[[#This Row],[ppn_z]]="","",IFERROR(
   IF(_xlfn.XLOOKUP(Final_Sans_VGE[[#This Row],[ppn_z]],tbl_Historique_Final[ppn_z],tbl_Historique_Final[date_modif])=Final_Sans_VGE[[#This Row],[date_modif]],
      "Ancien",
      "Modifié"),
   "Nouveau"))</f>
        <v>#VALUE!</v>
      </c>
      <c r="AD9914" s="1" t="str">
        <f>IFERROR(IF(Final_Sans_VGE[[#This Row],[ppn_z]]="","",IFERROR(
   IF(_xlfn.XLOOKUP(Final_Sans_VGE[[#This Row],[ppn_z]],tbl_Historique_Final[[#This Row],[ppn_z]],tbl_Historique_Final[[#This Row],[date_modif]])=Final_Sans_VGE[[#This Row],[date_modif]],
      "Ancien",
      "Modifié"),
   "Nouveau")),"")</f>
        <v/>
      </c>
    </row>
    <row r="9915" spans="24:30" x14ac:dyDescent="0.25">
      <c r="X9915" s="8" t="e">
        <f>IF(Final_Sans_VGE[[#This Row],[ppn_z]]="","",IFERROR(
   IF(_xlfn.XLOOKUP(Final_Sans_VGE[[#This Row],[ppn_z]],tbl_Historique_Final[ppn_z],tbl_Historique_Final[date_modif])=Final_Sans_VGE[[#This Row],[date_modif]],
      "Ancien",
      "Modifié"),
   "Nouveau"))</f>
        <v>#VALUE!</v>
      </c>
      <c r="AD9915" s="1" t="str">
        <f>IFERROR(IF(Final_Sans_VGE[[#This Row],[ppn_z]]="","",IFERROR(
   IF(_xlfn.XLOOKUP(Final_Sans_VGE[[#This Row],[ppn_z]],tbl_Historique_Final[[#This Row],[ppn_z]],tbl_Historique_Final[[#This Row],[date_modif]])=Final_Sans_VGE[[#This Row],[date_modif]],
      "Ancien",
      "Modifié"),
   "Nouveau")),"")</f>
        <v/>
      </c>
    </row>
    <row r="9916" spans="24:30" x14ac:dyDescent="0.25">
      <c r="X9916" s="8" t="e">
        <f>IF(Final_Sans_VGE[[#This Row],[ppn_z]]="","",IFERROR(
   IF(_xlfn.XLOOKUP(Final_Sans_VGE[[#This Row],[ppn_z]],tbl_Historique_Final[ppn_z],tbl_Historique_Final[date_modif])=Final_Sans_VGE[[#This Row],[date_modif]],
      "Ancien",
      "Modifié"),
   "Nouveau"))</f>
        <v>#VALUE!</v>
      </c>
      <c r="AD9916" s="1" t="str">
        <f>IFERROR(IF(Final_Sans_VGE[[#This Row],[ppn_z]]="","",IFERROR(
   IF(_xlfn.XLOOKUP(Final_Sans_VGE[[#This Row],[ppn_z]],tbl_Historique_Final[[#This Row],[ppn_z]],tbl_Historique_Final[[#This Row],[date_modif]])=Final_Sans_VGE[[#This Row],[date_modif]],
      "Ancien",
      "Modifié"),
   "Nouveau")),"")</f>
        <v/>
      </c>
    </row>
    <row r="9917" spans="24:30" x14ac:dyDescent="0.25">
      <c r="X9917" s="8" t="e">
        <f>IF(Final_Sans_VGE[[#This Row],[ppn_z]]="","",IFERROR(
   IF(_xlfn.XLOOKUP(Final_Sans_VGE[[#This Row],[ppn_z]],tbl_Historique_Final[ppn_z],tbl_Historique_Final[date_modif])=Final_Sans_VGE[[#This Row],[date_modif]],
      "Ancien",
      "Modifié"),
   "Nouveau"))</f>
        <v>#VALUE!</v>
      </c>
      <c r="AD9917" s="1" t="str">
        <f>IFERROR(IF(Final_Sans_VGE[[#This Row],[ppn_z]]="","",IFERROR(
   IF(_xlfn.XLOOKUP(Final_Sans_VGE[[#This Row],[ppn_z]],tbl_Historique_Final[[#This Row],[ppn_z]],tbl_Historique_Final[[#This Row],[date_modif]])=Final_Sans_VGE[[#This Row],[date_modif]],
      "Ancien",
      "Modifié"),
   "Nouveau")),"")</f>
        <v/>
      </c>
    </row>
    <row r="9918" spans="24:30" x14ac:dyDescent="0.25">
      <c r="X9918" s="8" t="e">
        <f>IF(Final_Sans_VGE[[#This Row],[ppn_z]]="","",IFERROR(
   IF(_xlfn.XLOOKUP(Final_Sans_VGE[[#This Row],[ppn_z]],tbl_Historique_Final[ppn_z],tbl_Historique_Final[date_modif])=Final_Sans_VGE[[#This Row],[date_modif]],
      "Ancien",
      "Modifié"),
   "Nouveau"))</f>
        <v>#VALUE!</v>
      </c>
      <c r="AD9918" s="1" t="str">
        <f>IFERROR(IF(Final_Sans_VGE[[#This Row],[ppn_z]]="","",IFERROR(
   IF(_xlfn.XLOOKUP(Final_Sans_VGE[[#This Row],[ppn_z]],tbl_Historique_Final[[#This Row],[ppn_z]],tbl_Historique_Final[[#This Row],[date_modif]])=Final_Sans_VGE[[#This Row],[date_modif]],
      "Ancien",
      "Modifié"),
   "Nouveau")),"")</f>
        <v/>
      </c>
    </row>
    <row r="9919" spans="24:30" x14ac:dyDescent="0.25">
      <c r="X9919" s="8" t="e">
        <f>IF(Final_Sans_VGE[[#This Row],[ppn_z]]="","",IFERROR(
   IF(_xlfn.XLOOKUP(Final_Sans_VGE[[#This Row],[ppn_z]],tbl_Historique_Final[ppn_z],tbl_Historique_Final[date_modif])=Final_Sans_VGE[[#This Row],[date_modif]],
      "Ancien",
      "Modifié"),
   "Nouveau"))</f>
        <v>#VALUE!</v>
      </c>
      <c r="AD9919" s="1" t="str">
        <f>IFERROR(IF(Final_Sans_VGE[[#This Row],[ppn_z]]="","",IFERROR(
   IF(_xlfn.XLOOKUP(Final_Sans_VGE[[#This Row],[ppn_z]],tbl_Historique_Final[[#This Row],[ppn_z]],tbl_Historique_Final[[#This Row],[date_modif]])=Final_Sans_VGE[[#This Row],[date_modif]],
      "Ancien",
      "Modifié"),
   "Nouveau")),"")</f>
        <v/>
      </c>
    </row>
    <row r="9920" spans="24:30" x14ac:dyDescent="0.25">
      <c r="X9920" s="8" t="e">
        <f>IF(Final_Sans_VGE[[#This Row],[ppn_z]]="","",IFERROR(
   IF(_xlfn.XLOOKUP(Final_Sans_VGE[[#This Row],[ppn_z]],tbl_Historique_Final[ppn_z],tbl_Historique_Final[date_modif])=Final_Sans_VGE[[#This Row],[date_modif]],
      "Ancien",
      "Modifié"),
   "Nouveau"))</f>
        <v>#VALUE!</v>
      </c>
      <c r="AD9920" s="1" t="str">
        <f>IFERROR(IF(Final_Sans_VGE[[#This Row],[ppn_z]]="","",IFERROR(
   IF(_xlfn.XLOOKUP(Final_Sans_VGE[[#This Row],[ppn_z]],tbl_Historique_Final[[#This Row],[ppn_z]],tbl_Historique_Final[[#This Row],[date_modif]])=Final_Sans_VGE[[#This Row],[date_modif]],
      "Ancien",
      "Modifié"),
   "Nouveau")),"")</f>
        <v/>
      </c>
    </row>
    <row r="9921" spans="24:30" x14ac:dyDescent="0.25">
      <c r="X9921" s="8" t="e">
        <f>IF(Final_Sans_VGE[[#This Row],[ppn_z]]="","",IFERROR(
   IF(_xlfn.XLOOKUP(Final_Sans_VGE[[#This Row],[ppn_z]],tbl_Historique_Final[ppn_z],tbl_Historique_Final[date_modif])=Final_Sans_VGE[[#This Row],[date_modif]],
      "Ancien",
      "Modifié"),
   "Nouveau"))</f>
        <v>#VALUE!</v>
      </c>
      <c r="AD9921" s="1" t="str">
        <f>IFERROR(IF(Final_Sans_VGE[[#This Row],[ppn_z]]="","",IFERROR(
   IF(_xlfn.XLOOKUP(Final_Sans_VGE[[#This Row],[ppn_z]],tbl_Historique_Final[[#This Row],[ppn_z]],tbl_Historique_Final[[#This Row],[date_modif]])=Final_Sans_VGE[[#This Row],[date_modif]],
      "Ancien",
      "Modifié"),
   "Nouveau")),"")</f>
        <v/>
      </c>
    </row>
    <row r="9922" spans="24:30" x14ac:dyDescent="0.25">
      <c r="X9922" s="8" t="e">
        <f>IF(Final_Sans_VGE[[#This Row],[ppn_z]]="","",IFERROR(
   IF(_xlfn.XLOOKUP(Final_Sans_VGE[[#This Row],[ppn_z]],tbl_Historique_Final[ppn_z],tbl_Historique_Final[date_modif])=Final_Sans_VGE[[#This Row],[date_modif]],
      "Ancien",
      "Modifié"),
   "Nouveau"))</f>
        <v>#VALUE!</v>
      </c>
      <c r="AD9922" s="1" t="str">
        <f>IFERROR(IF(Final_Sans_VGE[[#This Row],[ppn_z]]="","",IFERROR(
   IF(_xlfn.XLOOKUP(Final_Sans_VGE[[#This Row],[ppn_z]],tbl_Historique_Final[[#This Row],[ppn_z]],tbl_Historique_Final[[#This Row],[date_modif]])=Final_Sans_VGE[[#This Row],[date_modif]],
      "Ancien",
      "Modifié"),
   "Nouveau")),"")</f>
        <v/>
      </c>
    </row>
    <row r="9923" spans="24:30" x14ac:dyDescent="0.25">
      <c r="X9923" s="8" t="e">
        <f>IF(Final_Sans_VGE[[#This Row],[ppn_z]]="","",IFERROR(
   IF(_xlfn.XLOOKUP(Final_Sans_VGE[[#This Row],[ppn_z]],tbl_Historique_Final[ppn_z],tbl_Historique_Final[date_modif])=Final_Sans_VGE[[#This Row],[date_modif]],
      "Ancien",
      "Modifié"),
   "Nouveau"))</f>
        <v>#VALUE!</v>
      </c>
      <c r="AD9923" s="1" t="str">
        <f>IFERROR(IF(Final_Sans_VGE[[#This Row],[ppn_z]]="","",IFERROR(
   IF(_xlfn.XLOOKUP(Final_Sans_VGE[[#This Row],[ppn_z]],tbl_Historique_Final[[#This Row],[ppn_z]],tbl_Historique_Final[[#This Row],[date_modif]])=Final_Sans_VGE[[#This Row],[date_modif]],
      "Ancien",
      "Modifié"),
   "Nouveau")),"")</f>
        <v/>
      </c>
    </row>
    <row r="9924" spans="24:30" x14ac:dyDescent="0.25">
      <c r="X9924" s="8" t="e">
        <f>IF(Final_Sans_VGE[[#This Row],[ppn_z]]="","",IFERROR(
   IF(_xlfn.XLOOKUP(Final_Sans_VGE[[#This Row],[ppn_z]],tbl_Historique_Final[ppn_z],tbl_Historique_Final[date_modif])=Final_Sans_VGE[[#This Row],[date_modif]],
      "Ancien",
      "Modifié"),
   "Nouveau"))</f>
        <v>#VALUE!</v>
      </c>
      <c r="AD9924" s="1" t="str">
        <f>IFERROR(IF(Final_Sans_VGE[[#This Row],[ppn_z]]="","",IFERROR(
   IF(_xlfn.XLOOKUP(Final_Sans_VGE[[#This Row],[ppn_z]],tbl_Historique_Final[[#This Row],[ppn_z]],tbl_Historique_Final[[#This Row],[date_modif]])=Final_Sans_VGE[[#This Row],[date_modif]],
      "Ancien",
      "Modifié"),
   "Nouveau")),"")</f>
        <v/>
      </c>
    </row>
    <row r="9925" spans="24:30" x14ac:dyDescent="0.25">
      <c r="X9925" s="8" t="e">
        <f>IF(Final_Sans_VGE[[#This Row],[ppn_z]]="","",IFERROR(
   IF(_xlfn.XLOOKUP(Final_Sans_VGE[[#This Row],[ppn_z]],tbl_Historique_Final[ppn_z],tbl_Historique_Final[date_modif])=Final_Sans_VGE[[#This Row],[date_modif]],
      "Ancien",
      "Modifié"),
   "Nouveau"))</f>
        <v>#VALUE!</v>
      </c>
      <c r="AD9925" s="1" t="str">
        <f>IFERROR(IF(Final_Sans_VGE[[#This Row],[ppn_z]]="","",IFERROR(
   IF(_xlfn.XLOOKUP(Final_Sans_VGE[[#This Row],[ppn_z]],tbl_Historique_Final[[#This Row],[ppn_z]],tbl_Historique_Final[[#This Row],[date_modif]])=Final_Sans_VGE[[#This Row],[date_modif]],
      "Ancien",
      "Modifié"),
   "Nouveau")),"")</f>
        <v/>
      </c>
    </row>
    <row r="9926" spans="24:30" x14ac:dyDescent="0.25">
      <c r="X9926" s="8" t="e">
        <f>IF(Final_Sans_VGE[[#This Row],[ppn_z]]="","",IFERROR(
   IF(_xlfn.XLOOKUP(Final_Sans_VGE[[#This Row],[ppn_z]],tbl_Historique_Final[ppn_z],tbl_Historique_Final[date_modif])=Final_Sans_VGE[[#This Row],[date_modif]],
      "Ancien",
      "Modifié"),
   "Nouveau"))</f>
        <v>#VALUE!</v>
      </c>
      <c r="AD9926" s="1" t="str">
        <f>IFERROR(IF(Final_Sans_VGE[[#This Row],[ppn_z]]="","",IFERROR(
   IF(_xlfn.XLOOKUP(Final_Sans_VGE[[#This Row],[ppn_z]],tbl_Historique_Final[[#This Row],[ppn_z]],tbl_Historique_Final[[#This Row],[date_modif]])=Final_Sans_VGE[[#This Row],[date_modif]],
      "Ancien",
      "Modifié"),
   "Nouveau")),"")</f>
        <v/>
      </c>
    </row>
    <row r="9927" spans="24:30" x14ac:dyDescent="0.25">
      <c r="X9927" s="8" t="e">
        <f>IF(Final_Sans_VGE[[#This Row],[ppn_z]]="","",IFERROR(
   IF(_xlfn.XLOOKUP(Final_Sans_VGE[[#This Row],[ppn_z]],tbl_Historique_Final[ppn_z],tbl_Historique_Final[date_modif])=Final_Sans_VGE[[#This Row],[date_modif]],
      "Ancien",
      "Modifié"),
   "Nouveau"))</f>
        <v>#VALUE!</v>
      </c>
      <c r="AD9927" s="1" t="str">
        <f>IFERROR(IF(Final_Sans_VGE[[#This Row],[ppn_z]]="","",IFERROR(
   IF(_xlfn.XLOOKUP(Final_Sans_VGE[[#This Row],[ppn_z]],tbl_Historique_Final[[#This Row],[ppn_z]],tbl_Historique_Final[[#This Row],[date_modif]])=Final_Sans_VGE[[#This Row],[date_modif]],
      "Ancien",
      "Modifié"),
   "Nouveau")),"")</f>
        <v/>
      </c>
    </row>
    <row r="9928" spans="24:30" x14ac:dyDescent="0.25">
      <c r="X9928" s="8" t="e">
        <f>IF(Final_Sans_VGE[[#This Row],[ppn_z]]="","",IFERROR(
   IF(_xlfn.XLOOKUP(Final_Sans_VGE[[#This Row],[ppn_z]],tbl_Historique_Final[ppn_z],tbl_Historique_Final[date_modif])=Final_Sans_VGE[[#This Row],[date_modif]],
      "Ancien",
      "Modifié"),
   "Nouveau"))</f>
        <v>#VALUE!</v>
      </c>
      <c r="AD9928" s="1" t="str">
        <f>IFERROR(IF(Final_Sans_VGE[[#This Row],[ppn_z]]="","",IFERROR(
   IF(_xlfn.XLOOKUP(Final_Sans_VGE[[#This Row],[ppn_z]],tbl_Historique_Final[[#This Row],[ppn_z]],tbl_Historique_Final[[#This Row],[date_modif]])=Final_Sans_VGE[[#This Row],[date_modif]],
      "Ancien",
      "Modifié"),
   "Nouveau")),"")</f>
        <v/>
      </c>
    </row>
    <row r="9929" spans="24:30" x14ac:dyDescent="0.25">
      <c r="X9929" s="8" t="e">
        <f>IF(Final_Sans_VGE[[#This Row],[ppn_z]]="","",IFERROR(
   IF(_xlfn.XLOOKUP(Final_Sans_VGE[[#This Row],[ppn_z]],tbl_Historique_Final[ppn_z],tbl_Historique_Final[date_modif])=Final_Sans_VGE[[#This Row],[date_modif]],
      "Ancien",
      "Modifié"),
   "Nouveau"))</f>
        <v>#VALUE!</v>
      </c>
      <c r="AD9929" s="1" t="str">
        <f>IFERROR(IF(Final_Sans_VGE[[#This Row],[ppn_z]]="","",IFERROR(
   IF(_xlfn.XLOOKUP(Final_Sans_VGE[[#This Row],[ppn_z]],tbl_Historique_Final[[#This Row],[ppn_z]],tbl_Historique_Final[[#This Row],[date_modif]])=Final_Sans_VGE[[#This Row],[date_modif]],
      "Ancien",
      "Modifié"),
   "Nouveau")),"")</f>
        <v/>
      </c>
    </row>
    <row r="9930" spans="24:30" x14ac:dyDescent="0.25">
      <c r="X9930" s="8" t="e">
        <f>IF(Final_Sans_VGE[[#This Row],[ppn_z]]="","",IFERROR(
   IF(_xlfn.XLOOKUP(Final_Sans_VGE[[#This Row],[ppn_z]],tbl_Historique_Final[ppn_z],tbl_Historique_Final[date_modif])=Final_Sans_VGE[[#This Row],[date_modif]],
      "Ancien",
      "Modifié"),
   "Nouveau"))</f>
        <v>#VALUE!</v>
      </c>
      <c r="AD9930" s="1" t="str">
        <f>IFERROR(IF(Final_Sans_VGE[[#This Row],[ppn_z]]="","",IFERROR(
   IF(_xlfn.XLOOKUP(Final_Sans_VGE[[#This Row],[ppn_z]],tbl_Historique_Final[[#This Row],[ppn_z]],tbl_Historique_Final[[#This Row],[date_modif]])=Final_Sans_VGE[[#This Row],[date_modif]],
      "Ancien",
      "Modifié"),
   "Nouveau")),"")</f>
        <v/>
      </c>
    </row>
    <row r="9931" spans="24:30" x14ac:dyDescent="0.25">
      <c r="X9931" s="8" t="e">
        <f>IF(Final_Sans_VGE[[#This Row],[ppn_z]]="","",IFERROR(
   IF(_xlfn.XLOOKUP(Final_Sans_VGE[[#This Row],[ppn_z]],tbl_Historique_Final[ppn_z],tbl_Historique_Final[date_modif])=Final_Sans_VGE[[#This Row],[date_modif]],
      "Ancien",
      "Modifié"),
   "Nouveau"))</f>
        <v>#VALUE!</v>
      </c>
      <c r="AD9931" s="1" t="str">
        <f>IFERROR(IF(Final_Sans_VGE[[#This Row],[ppn_z]]="","",IFERROR(
   IF(_xlfn.XLOOKUP(Final_Sans_VGE[[#This Row],[ppn_z]],tbl_Historique_Final[[#This Row],[ppn_z]],tbl_Historique_Final[[#This Row],[date_modif]])=Final_Sans_VGE[[#This Row],[date_modif]],
      "Ancien",
      "Modifié"),
   "Nouveau")),"")</f>
        <v/>
      </c>
    </row>
    <row r="9932" spans="24:30" x14ac:dyDescent="0.25">
      <c r="X9932" s="8" t="e">
        <f>IF(Final_Sans_VGE[[#This Row],[ppn_z]]="","",IFERROR(
   IF(_xlfn.XLOOKUP(Final_Sans_VGE[[#This Row],[ppn_z]],tbl_Historique_Final[ppn_z],tbl_Historique_Final[date_modif])=Final_Sans_VGE[[#This Row],[date_modif]],
      "Ancien",
      "Modifié"),
   "Nouveau"))</f>
        <v>#VALUE!</v>
      </c>
      <c r="AD9932" s="1" t="str">
        <f>IFERROR(IF(Final_Sans_VGE[[#This Row],[ppn_z]]="","",IFERROR(
   IF(_xlfn.XLOOKUP(Final_Sans_VGE[[#This Row],[ppn_z]],tbl_Historique_Final[[#This Row],[ppn_z]],tbl_Historique_Final[[#This Row],[date_modif]])=Final_Sans_VGE[[#This Row],[date_modif]],
      "Ancien",
      "Modifié"),
   "Nouveau")),"")</f>
        <v/>
      </c>
    </row>
    <row r="9933" spans="24:30" x14ac:dyDescent="0.25">
      <c r="X9933" s="8" t="e">
        <f>IF(Final_Sans_VGE[[#This Row],[ppn_z]]="","",IFERROR(
   IF(_xlfn.XLOOKUP(Final_Sans_VGE[[#This Row],[ppn_z]],tbl_Historique_Final[ppn_z],tbl_Historique_Final[date_modif])=Final_Sans_VGE[[#This Row],[date_modif]],
      "Ancien",
      "Modifié"),
   "Nouveau"))</f>
        <v>#VALUE!</v>
      </c>
      <c r="AD9933" s="1" t="str">
        <f>IFERROR(IF(Final_Sans_VGE[[#This Row],[ppn_z]]="","",IFERROR(
   IF(_xlfn.XLOOKUP(Final_Sans_VGE[[#This Row],[ppn_z]],tbl_Historique_Final[[#This Row],[ppn_z]],tbl_Historique_Final[[#This Row],[date_modif]])=Final_Sans_VGE[[#This Row],[date_modif]],
      "Ancien",
      "Modifié"),
   "Nouveau")),"")</f>
        <v/>
      </c>
    </row>
    <row r="9934" spans="24:30" x14ac:dyDescent="0.25">
      <c r="X9934" s="8" t="e">
        <f>IF(Final_Sans_VGE[[#This Row],[ppn_z]]="","",IFERROR(
   IF(_xlfn.XLOOKUP(Final_Sans_VGE[[#This Row],[ppn_z]],tbl_Historique_Final[ppn_z],tbl_Historique_Final[date_modif])=Final_Sans_VGE[[#This Row],[date_modif]],
      "Ancien",
      "Modifié"),
   "Nouveau"))</f>
        <v>#VALUE!</v>
      </c>
      <c r="AD9934" s="1" t="str">
        <f>IFERROR(IF(Final_Sans_VGE[[#This Row],[ppn_z]]="","",IFERROR(
   IF(_xlfn.XLOOKUP(Final_Sans_VGE[[#This Row],[ppn_z]],tbl_Historique_Final[[#This Row],[ppn_z]],tbl_Historique_Final[[#This Row],[date_modif]])=Final_Sans_VGE[[#This Row],[date_modif]],
      "Ancien",
      "Modifié"),
   "Nouveau")),"")</f>
        <v/>
      </c>
    </row>
    <row r="9935" spans="24:30" x14ac:dyDescent="0.25">
      <c r="X9935" s="8" t="e">
        <f>IF(Final_Sans_VGE[[#This Row],[ppn_z]]="","",IFERROR(
   IF(_xlfn.XLOOKUP(Final_Sans_VGE[[#This Row],[ppn_z]],tbl_Historique_Final[ppn_z],tbl_Historique_Final[date_modif])=Final_Sans_VGE[[#This Row],[date_modif]],
      "Ancien",
      "Modifié"),
   "Nouveau"))</f>
        <v>#VALUE!</v>
      </c>
      <c r="AD9935" s="1" t="str">
        <f>IFERROR(IF(Final_Sans_VGE[[#This Row],[ppn_z]]="","",IFERROR(
   IF(_xlfn.XLOOKUP(Final_Sans_VGE[[#This Row],[ppn_z]],tbl_Historique_Final[[#This Row],[ppn_z]],tbl_Historique_Final[[#This Row],[date_modif]])=Final_Sans_VGE[[#This Row],[date_modif]],
      "Ancien",
      "Modifié"),
   "Nouveau")),"")</f>
        <v/>
      </c>
    </row>
    <row r="9936" spans="24:30" x14ac:dyDescent="0.25">
      <c r="X9936" s="8" t="e">
        <f>IF(Final_Sans_VGE[[#This Row],[ppn_z]]="","",IFERROR(
   IF(_xlfn.XLOOKUP(Final_Sans_VGE[[#This Row],[ppn_z]],tbl_Historique_Final[ppn_z],tbl_Historique_Final[date_modif])=Final_Sans_VGE[[#This Row],[date_modif]],
      "Ancien",
      "Modifié"),
   "Nouveau"))</f>
        <v>#VALUE!</v>
      </c>
      <c r="AD9936" s="1" t="str">
        <f>IFERROR(IF(Final_Sans_VGE[[#This Row],[ppn_z]]="","",IFERROR(
   IF(_xlfn.XLOOKUP(Final_Sans_VGE[[#This Row],[ppn_z]],tbl_Historique_Final[[#This Row],[ppn_z]],tbl_Historique_Final[[#This Row],[date_modif]])=Final_Sans_VGE[[#This Row],[date_modif]],
      "Ancien",
      "Modifié"),
   "Nouveau")),"")</f>
        <v/>
      </c>
    </row>
    <row r="9937" spans="24:30" x14ac:dyDescent="0.25">
      <c r="X9937" s="8" t="e">
        <f>IF(Final_Sans_VGE[[#This Row],[ppn_z]]="","",IFERROR(
   IF(_xlfn.XLOOKUP(Final_Sans_VGE[[#This Row],[ppn_z]],tbl_Historique_Final[ppn_z],tbl_Historique_Final[date_modif])=Final_Sans_VGE[[#This Row],[date_modif]],
      "Ancien",
      "Modifié"),
   "Nouveau"))</f>
        <v>#VALUE!</v>
      </c>
      <c r="AD9937" s="1" t="str">
        <f>IFERROR(IF(Final_Sans_VGE[[#This Row],[ppn_z]]="","",IFERROR(
   IF(_xlfn.XLOOKUP(Final_Sans_VGE[[#This Row],[ppn_z]],tbl_Historique_Final[[#This Row],[ppn_z]],tbl_Historique_Final[[#This Row],[date_modif]])=Final_Sans_VGE[[#This Row],[date_modif]],
      "Ancien",
      "Modifié"),
   "Nouveau")),"")</f>
        <v/>
      </c>
    </row>
    <row r="9938" spans="24:30" x14ac:dyDescent="0.25">
      <c r="X9938" s="8" t="e">
        <f>IF(Final_Sans_VGE[[#This Row],[ppn_z]]="","",IFERROR(
   IF(_xlfn.XLOOKUP(Final_Sans_VGE[[#This Row],[ppn_z]],tbl_Historique_Final[ppn_z],tbl_Historique_Final[date_modif])=Final_Sans_VGE[[#This Row],[date_modif]],
      "Ancien",
      "Modifié"),
   "Nouveau"))</f>
        <v>#VALUE!</v>
      </c>
      <c r="AD9938" s="1" t="str">
        <f>IFERROR(IF(Final_Sans_VGE[[#This Row],[ppn_z]]="","",IFERROR(
   IF(_xlfn.XLOOKUP(Final_Sans_VGE[[#This Row],[ppn_z]],tbl_Historique_Final[[#This Row],[ppn_z]],tbl_Historique_Final[[#This Row],[date_modif]])=Final_Sans_VGE[[#This Row],[date_modif]],
      "Ancien",
      "Modifié"),
   "Nouveau")),"")</f>
        <v/>
      </c>
    </row>
    <row r="9939" spans="24:30" x14ac:dyDescent="0.25">
      <c r="X9939" s="8" t="e">
        <f>IF(Final_Sans_VGE[[#This Row],[ppn_z]]="","",IFERROR(
   IF(_xlfn.XLOOKUP(Final_Sans_VGE[[#This Row],[ppn_z]],tbl_Historique_Final[ppn_z],tbl_Historique_Final[date_modif])=Final_Sans_VGE[[#This Row],[date_modif]],
      "Ancien",
      "Modifié"),
   "Nouveau"))</f>
        <v>#VALUE!</v>
      </c>
      <c r="AD9939" s="1" t="str">
        <f>IFERROR(IF(Final_Sans_VGE[[#This Row],[ppn_z]]="","",IFERROR(
   IF(_xlfn.XLOOKUP(Final_Sans_VGE[[#This Row],[ppn_z]],tbl_Historique_Final[[#This Row],[ppn_z]],tbl_Historique_Final[[#This Row],[date_modif]])=Final_Sans_VGE[[#This Row],[date_modif]],
      "Ancien",
      "Modifié"),
   "Nouveau")),"")</f>
        <v/>
      </c>
    </row>
    <row r="9940" spans="24:30" x14ac:dyDescent="0.25">
      <c r="X9940" s="8" t="e">
        <f>IF(Final_Sans_VGE[[#This Row],[ppn_z]]="","",IFERROR(
   IF(_xlfn.XLOOKUP(Final_Sans_VGE[[#This Row],[ppn_z]],tbl_Historique_Final[ppn_z],tbl_Historique_Final[date_modif])=Final_Sans_VGE[[#This Row],[date_modif]],
      "Ancien",
      "Modifié"),
   "Nouveau"))</f>
        <v>#VALUE!</v>
      </c>
      <c r="AD9940" s="1" t="str">
        <f>IFERROR(IF(Final_Sans_VGE[[#This Row],[ppn_z]]="","",IFERROR(
   IF(_xlfn.XLOOKUP(Final_Sans_VGE[[#This Row],[ppn_z]],tbl_Historique_Final[[#This Row],[ppn_z]],tbl_Historique_Final[[#This Row],[date_modif]])=Final_Sans_VGE[[#This Row],[date_modif]],
      "Ancien",
      "Modifié"),
   "Nouveau")),"")</f>
        <v/>
      </c>
    </row>
    <row r="9941" spans="24:30" x14ac:dyDescent="0.25">
      <c r="X9941" s="8" t="e">
        <f>IF(Final_Sans_VGE[[#This Row],[ppn_z]]="","",IFERROR(
   IF(_xlfn.XLOOKUP(Final_Sans_VGE[[#This Row],[ppn_z]],tbl_Historique_Final[ppn_z],tbl_Historique_Final[date_modif])=Final_Sans_VGE[[#This Row],[date_modif]],
      "Ancien",
      "Modifié"),
   "Nouveau"))</f>
        <v>#VALUE!</v>
      </c>
      <c r="AD9941" s="1" t="str">
        <f>IFERROR(IF(Final_Sans_VGE[[#This Row],[ppn_z]]="","",IFERROR(
   IF(_xlfn.XLOOKUP(Final_Sans_VGE[[#This Row],[ppn_z]],tbl_Historique_Final[[#This Row],[ppn_z]],tbl_Historique_Final[[#This Row],[date_modif]])=Final_Sans_VGE[[#This Row],[date_modif]],
      "Ancien",
      "Modifié"),
   "Nouveau")),"")</f>
        <v/>
      </c>
    </row>
    <row r="9942" spans="24:30" x14ac:dyDescent="0.25">
      <c r="X9942" s="8" t="e">
        <f>IF(Final_Sans_VGE[[#This Row],[ppn_z]]="","",IFERROR(
   IF(_xlfn.XLOOKUP(Final_Sans_VGE[[#This Row],[ppn_z]],tbl_Historique_Final[ppn_z],tbl_Historique_Final[date_modif])=Final_Sans_VGE[[#This Row],[date_modif]],
      "Ancien",
      "Modifié"),
   "Nouveau"))</f>
        <v>#VALUE!</v>
      </c>
      <c r="AD9942" s="1" t="str">
        <f>IFERROR(IF(Final_Sans_VGE[[#This Row],[ppn_z]]="","",IFERROR(
   IF(_xlfn.XLOOKUP(Final_Sans_VGE[[#This Row],[ppn_z]],tbl_Historique_Final[[#This Row],[ppn_z]],tbl_Historique_Final[[#This Row],[date_modif]])=Final_Sans_VGE[[#This Row],[date_modif]],
      "Ancien",
      "Modifié"),
   "Nouveau")),"")</f>
        <v/>
      </c>
    </row>
    <row r="9943" spans="24:30" x14ac:dyDescent="0.25">
      <c r="X9943" s="8" t="e">
        <f>IF(Final_Sans_VGE[[#This Row],[ppn_z]]="","",IFERROR(
   IF(_xlfn.XLOOKUP(Final_Sans_VGE[[#This Row],[ppn_z]],tbl_Historique_Final[ppn_z],tbl_Historique_Final[date_modif])=Final_Sans_VGE[[#This Row],[date_modif]],
      "Ancien",
      "Modifié"),
   "Nouveau"))</f>
        <v>#VALUE!</v>
      </c>
      <c r="AD9943" s="1" t="str">
        <f>IFERROR(IF(Final_Sans_VGE[[#This Row],[ppn_z]]="","",IFERROR(
   IF(_xlfn.XLOOKUP(Final_Sans_VGE[[#This Row],[ppn_z]],tbl_Historique_Final[[#This Row],[ppn_z]],tbl_Historique_Final[[#This Row],[date_modif]])=Final_Sans_VGE[[#This Row],[date_modif]],
      "Ancien",
      "Modifié"),
   "Nouveau")),"")</f>
        <v/>
      </c>
    </row>
    <row r="9944" spans="24:30" x14ac:dyDescent="0.25">
      <c r="X9944" s="8" t="e">
        <f>IF(Final_Sans_VGE[[#This Row],[ppn_z]]="","",IFERROR(
   IF(_xlfn.XLOOKUP(Final_Sans_VGE[[#This Row],[ppn_z]],tbl_Historique_Final[ppn_z],tbl_Historique_Final[date_modif])=Final_Sans_VGE[[#This Row],[date_modif]],
      "Ancien",
      "Modifié"),
   "Nouveau"))</f>
        <v>#VALUE!</v>
      </c>
      <c r="AD9944" s="1" t="str">
        <f>IFERROR(IF(Final_Sans_VGE[[#This Row],[ppn_z]]="","",IFERROR(
   IF(_xlfn.XLOOKUP(Final_Sans_VGE[[#This Row],[ppn_z]],tbl_Historique_Final[[#This Row],[ppn_z]],tbl_Historique_Final[[#This Row],[date_modif]])=Final_Sans_VGE[[#This Row],[date_modif]],
      "Ancien",
      "Modifié"),
   "Nouveau")),"")</f>
        <v/>
      </c>
    </row>
    <row r="9945" spans="24:30" x14ac:dyDescent="0.25">
      <c r="X9945" s="8" t="e">
        <f>IF(Final_Sans_VGE[[#This Row],[ppn_z]]="","",IFERROR(
   IF(_xlfn.XLOOKUP(Final_Sans_VGE[[#This Row],[ppn_z]],tbl_Historique_Final[ppn_z],tbl_Historique_Final[date_modif])=Final_Sans_VGE[[#This Row],[date_modif]],
      "Ancien",
      "Modifié"),
   "Nouveau"))</f>
        <v>#VALUE!</v>
      </c>
      <c r="AD9945" s="1" t="str">
        <f>IFERROR(IF(Final_Sans_VGE[[#This Row],[ppn_z]]="","",IFERROR(
   IF(_xlfn.XLOOKUP(Final_Sans_VGE[[#This Row],[ppn_z]],tbl_Historique_Final[[#This Row],[ppn_z]],tbl_Historique_Final[[#This Row],[date_modif]])=Final_Sans_VGE[[#This Row],[date_modif]],
      "Ancien",
      "Modifié"),
   "Nouveau")),"")</f>
        <v/>
      </c>
    </row>
    <row r="9946" spans="24:30" x14ac:dyDescent="0.25">
      <c r="X9946" s="8" t="e">
        <f>IF(Final_Sans_VGE[[#This Row],[ppn_z]]="","",IFERROR(
   IF(_xlfn.XLOOKUP(Final_Sans_VGE[[#This Row],[ppn_z]],tbl_Historique_Final[ppn_z],tbl_Historique_Final[date_modif])=Final_Sans_VGE[[#This Row],[date_modif]],
      "Ancien",
      "Modifié"),
   "Nouveau"))</f>
        <v>#VALUE!</v>
      </c>
      <c r="AD9946" s="1" t="str">
        <f>IFERROR(IF(Final_Sans_VGE[[#This Row],[ppn_z]]="","",IFERROR(
   IF(_xlfn.XLOOKUP(Final_Sans_VGE[[#This Row],[ppn_z]],tbl_Historique_Final[[#This Row],[ppn_z]],tbl_Historique_Final[[#This Row],[date_modif]])=Final_Sans_VGE[[#This Row],[date_modif]],
      "Ancien",
      "Modifié"),
   "Nouveau")),"")</f>
        <v/>
      </c>
    </row>
    <row r="9947" spans="24:30" x14ac:dyDescent="0.25">
      <c r="X9947" s="8" t="e">
        <f>IF(Final_Sans_VGE[[#This Row],[ppn_z]]="","",IFERROR(
   IF(_xlfn.XLOOKUP(Final_Sans_VGE[[#This Row],[ppn_z]],tbl_Historique_Final[ppn_z],tbl_Historique_Final[date_modif])=Final_Sans_VGE[[#This Row],[date_modif]],
      "Ancien",
      "Modifié"),
   "Nouveau"))</f>
        <v>#VALUE!</v>
      </c>
      <c r="AD9947" s="1" t="str">
        <f>IFERROR(IF(Final_Sans_VGE[[#This Row],[ppn_z]]="","",IFERROR(
   IF(_xlfn.XLOOKUP(Final_Sans_VGE[[#This Row],[ppn_z]],tbl_Historique_Final[[#This Row],[ppn_z]],tbl_Historique_Final[[#This Row],[date_modif]])=Final_Sans_VGE[[#This Row],[date_modif]],
      "Ancien",
      "Modifié"),
   "Nouveau")),"")</f>
        <v/>
      </c>
    </row>
    <row r="9948" spans="24:30" x14ac:dyDescent="0.25">
      <c r="X9948" s="8" t="e">
        <f>IF(Final_Sans_VGE[[#This Row],[ppn_z]]="","",IFERROR(
   IF(_xlfn.XLOOKUP(Final_Sans_VGE[[#This Row],[ppn_z]],tbl_Historique_Final[ppn_z],tbl_Historique_Final[date_modif])=Final_Sans_VGE[[#This Row],[date_modif]],
      "Ancien",
      "Modifié"),
   "Nouveau"))</f>
        <v>#VALUE!</v>
      </c>
      <c r="AD9948" s="1" t="str">
        <f>IFERROR(IF(Final_Sans_VGE[[#This Row],[ppn_z]]="","",IFERROR(
   IF(_xlfn.XLOOKUP(Final_Sans_VGE[[#This Row],[ppn_z]],tbl_Historique_Final[[#This Row],[ppn_z]],tbl_Historique_Final[[#This Row],[date_modif]])=Final_Sans_VGE[[#This Row],[date_modif]],
      "Ancien",
      "Modifié"),
   "Nouveau")),"")</f>
        <v/>
      </c>
    </row>
    <row r="9949" spans="24:30" x14ac:dyDescent="0.25">
      <c r="X9949" s="8" t="e">
        <f>IF(Final_Sans_VGE[[#This Row],[ppn_z]]="","",IFERROR(
   IF(_xlfn.XLOOKUP(Final_Sans_VGE[[#This Row],[ppn_z]],tbl_Historique_Final[ppn_z],tbl_Historique_Final[date_modif])=Final_Sans_VGE[[#This Row],[date_modif]],
      "Ancien",
      "Modifié"),
   "Nouveau"))</f>
        <v>#VALUE!</v>
      </c>
      <c r="AD9949" s="1" t="str">
        <f>IFERROR(IF(Final_Sans_VGE[[#This Row],[ppn_z]]="","",IFERROR(
   IF(_xlfn.XLOOKUP(Final_Sans_VGE[[#This Row],[ppn_z]],tbl_Historique_Final[[#This Row],[ppn_z]],tbl_Historique_Final[[#This Row],[date_modif]])=Final_Sans_VGE[[#This Row],[date_modif]],
      "Ancien",
      "Modifié"),
   "Nouveau")),"")</f>
        <v/>
      </c>
    </row>
    <row r="9950" spans="24:30" x14ac:dyDescent="0.25">
      <c r="X9950" s="8" t="e">
        <f>IF(Final_Sans_VGE[[#This Row],[ppn_z]]="","",IFERROR(
   IF(_xlfn.XLOOKUP(Final_Sans_VGE[[#This Row],[ppn_z]],tbl_Historique_Final[ppn_z],tbl_Historique_Final[date_modif])=Final_Sans_VGE[[#This Row],[date_modif]],
      "Ancien",
      "Modifié"),
   "Nouveau"))</f>
        <v>#VALUE!</v>
      </c>
      <c r="AD9950" s="1" t="str">
        <f>IFERROR(IF(Final_Sans_VGE[[#This Row],[ppn_z]]="","",IFERROR(
   IF(_xlfn.XLOOKUP(Final_Sans_VGE[[#This Row],[ppn_z]],tbl_Historique_Final[[#This Row],[ppn_z]],tbl_Historique_Final[[#This Row],[date_modif]])=Final_Sans_VGE[[#This Row],[date_modif]],
      "Ancien",
      "Modifié"),
   "Nouveau")),"")</f>
        <v/>
      </c>
    </row>
    <row r="9951" spans="24:30" x14ac:dyDescent="0.25">
      <c r="X9951" s="8" t="e">
        <f>IF(Final_Sans_VGE[[#This Row],[ppn_z]]="","",IFERROR(
   IF(_xlfn.XLOOKUP(Final_Sans_VGE[[#This Row],[ppn_z]],tbl_Historique_Final[ppn_z],tbl_Historique_Final[date_modif])=Final_Sans_VGE[[#This Row],[date_modif]],
      "Ancien",
      "Modifié"),
   "Nouveau"))</f>
        <v>#VALUE!</v>
      </c>
      <c r="AD9951" s="1" t="str">
        <f>IFERROR(IF(Final_Sans_VGE[[#This Row],[ppn_z]]="","",IFERROR(
   IF(_xlfn.XLOOKUP(Final_Sans_VGE[[#This Row],[ppn_z]],tbl_Historique_Final[[#This Row],[ppn_z]],tbl_Historique_Final[[#This Row],[date_modif]])=Final_Sans_VGE[[#This Row],[date_modif]],
      "Ancien",
      "Modifié"),
   "Nouveau")),"")</f>
        <v/>
      </c>
    </row>
    <row r="9952" spans="24:30" x14ac:dyDescent="0.25">
      <c r="X9952" s="8" t="e">
        <f>IF(Final_Sans_VGE[[#This Row],[ppn_z]]="","",IFERROR(
   IF(_xlfn.XLOOKUP(Final_Sans_VGE[[#This Row],[ppn_z]],tbl_Historique_Final[ppn_z],tbl_Historique_Final[date_modif])=Final_Sans_VGE[[#This Row],[date_modif]],
      "Ancien",
      "Modifié"),
   "Nouveau"))</f>
        <v>#VALUE!</v>
      </c>
      <c r="AD9952" s="1" t="str">
        <f>IFERROR(IF(Final_Sans_VGE[[#This Row],[ppn_z]]="","",IFERROR(
   IF(_xlfn.XLOOKUP(Final_Sans_VGE[[#This Row],[ppn_z]],tbl_Historique_Final[[#This Row],[ppn_z]],tbl_Historique_Final[[#This Row],[date_modif]])=Final_Sans_VGE[[#This Row],[date_modif]],
      "Ancien",
      "Modifié"),
   "Nouveau")),"")</f>
        <v/>
      </c>
    </row>
    <row r="9953" spans="24:30" x14ac:dyDescent="0.25">
      <c r="X9953" s="8" t="e">
        <f>IF(Final_Sans_VGE[[#This Row],[ppn_z]]="","",IFERROR(
   IF(_xlfn.XLOOKUP(Final_Sans_VGE[[#This Row],[ppn_z]],tbl_Historique_Final[ppn_z],tbl_Historique_Final[date_modif])=Final_Sans_VGE[[#This Row],[date_modif]],
      "Ancien",
      "Modifié"),
   "Nouveau"))</f>
        <v>#VALUE!</v>
      </c>
      <c r="AD9953" s="1" t="str">
        <f>IFERROR(IF(Final_Sans_VGE[[#This Row],[ppn_z]]="","",IFERROR(
   IF(_xlfn.XLOOKUP(Final_Sans_VGE[[#This Row],[ppn_z]],tbl_Historique_Final[[#This Row],[ppn_z]],tbl_Historique_Final[[#This Row],[date_modif]])=Final_Sans_VGE[[#This Row],[date_modif]],
      "Ancien",
      "Modifié"),
   "Nouveau")),"")</f>
        <v/>
      </c>
    </row>
    <row r="9954" spans="24:30" x14ac:dyDescent="0.25">
      <c r="X9954" s="8" t="e">
        <f>IF(Final_Sans_VGE[[#This Row],[ppn_z]]="","",IFERROR(
   IF(_xlfn.XLOOKUP(Final_Sans_VGE[[#This Row],[ppn_z]],tbl_Historique_Final[ppn_z],tbl_Historique_Final[date_modif])=Final_Sans_VGE[[#This Row],[date_modif]],
      "Ancien",
      "Modifié"),
   "Nouveau"))</f>
        <v>#VALUE!</v>
      </c>
      <c r="AD9954" s="1" t="str">
        <f>IFERROR(IF(Final_Sans_VGE[[#This Row],[ppn_z]]="","",IFERROR(
   IF(_xlfn.XLOOKUP(Final_Sans_VGE[[#This Row],[ppn_z]],tbl_Historique_Final[[#This Row],[ppn_z]],tbl_Historique_Final[[#This Row],[date_modif]])=Final_Sans_VGE[[#This Row],[date_modif]],
      "Ancien",
      "Modifié"),
   "Nouveau")),"")</f>
        <v/>
      </c>
    </row>
    <row r="9955" spans="24:30" x14ac:dyDescent="0.25">
      <c r="X9955" s="8" t="e">
        <f>IF(Final_Sans_VGE[[#This Row],[ppn_z]]="","",IFERROR(
   IF(_xlfn.XLOOKUP(Final_Sans_VGE[[#This Row],[ppn_z]],tbl_Historique_Final[ppn_z],tbl_Historique_Final[date_modif])=Final_Sans_VGE[[#This Row],[date_modif]],
      "Ancien",
      "Modifié"),
   "Nouveau"))</f>
        <v>#VALUE!</v>
      </c>
      <c r="AD9955" s="1" t="str">
        <f>IFERROR(IF(Final_Sans_VGE[[#This Row],[ppn_z]]="","",IFERROR(
   IF(_xlfn.XLOOKUP(Final_Sans_VGE[[#This Row],[ppn_z]],tbl_Historique_Final[[#This Row],[ppn_z]],tbl_Historique_Final[[#This Row],[date_modif]])=Final_Sans_VGE[[#This Row],[date_modif]],
      "Ancien",
      "Modifié"),
   "Nouveau")),"")</f>
        <v/>
      </c>
    </row>
    <row r="9956" spans="24:30" x14ac:dyDescent="0.25">
      <c r="X9956" s="8" t="e">
        <f>IF(Final_Sans_VGE[[#This Row],[ppn_z]]="","",IFERROR(
   IF(_xlfn.XLOOKUP(Final_Sans_VGE[[#This Row],[ppn_z]],tbl_Historique_Final[ppn_z],tbl_Historique_Final[date_modif])=Final_Sans_VGE[[#This Row],[date_modif]],
      "Ancien",
      "Modifié"),
   "Nouveau"))</f>
        <v>#VALUE!</v>
      </c>
      <c r="AD9956" s="1" t="str">
        <f>IFERROR(IF(Final_Sans_VGE[[#This Row],[ppn_z]]="","",IFERROR(
   IF(_xlfn.XLOOKUP(Final_Sans_VGE[[#This Row],[ppn_z]],tbl_Historique_Final[[#This Row],[ppn_z]],tbl_Historique_Final[[#This Row],[date_modif]])=Final_Sans_VGE[[#This Row],[date_modif]],
      "Ancien",
      "Modifié"),
   "Nouveau")),"")</f>
        <v/>
      </c>
    </row>
    <row r="9957" spans="24:30" x14ac:dyDescent="0.25">
      <c r="X9957" s="8" t="e">
        <f>IF(Final_Sans_VGE[[#This Row],[ppn_z]]="","",IFERROR(
   IF(_xlfn.XLOOKUP(Final_Sans_VGE[[#This Row],[ppn_z]],tbl_Historique_Final[ppn_z],tbl_Historique_Final[date_modif])=Final_Sans_VGE[[#This Row],[date_modif]],
      "Ancien",
      "Modifié"),
   "Nouveau"))</f>
        <v>#VALUE!</v>
      </c>
      <c r="AD9957" s="1" t="str">
        <f>IFERROR(IF(Final_Sans_VGE[[#This Row],[ppn_z]]="","",IFERROR(
   IF(_xlfn.XLOOKUP(Final_Sans_VGE[[#This Row],[ppn_z]],tbl_Historique_Final[[#This Row],[ppn_z]],tbl_Historique_Final[[#This Row],[date_modif]])=Final_Sans_VGE[[#This Row],[date_modif]],
      "Ancien",
      "Modifié"),
   "Nouveau")),"")</f>
        <v/>
      </c>
    </row>
    <row r="9958" spans="24:30" x14ac:dyDescent="0.25">
      <c r="X9958" s="8" t="e">
        <f>IF(Final_Sans_VGE[[#This Row],[ppn_z]]="","",IFERROR(
   IF(_xlfn.XLOOKUP(Final_Sans_VGE[[#This Row],[ppn_z]],tbl_Historique_Final[ppn_z],tbl_Historique_Final[date_modif])=Final_Sans_VGE[[#This Row],[date_modif]],
      "Ancien",
      "Modifié"),
   "Nouveau"))</f>
        <v>#VALUE!</v>
      </c>
      <c r="AD9958" s="1" t="str">
        <f>IFERROR(IF(Final_Sans_VGE[[#This Row],[ppn_z]]="","",IFERROR(
   IF(_xlfn.XLOOKUP(Final_Sans_VGE[[#This Row],[ppn_z]],tbl_Historique_Final[[#This Row],[ppn_z]],tbl_Historique_Final[[#This Row],[date_modif]])=Final_Sans_VGE[[#This Row],[date_modif]],
      "Ancien",
      "Modifié"),
   "Nouveau")),"")</f>
        <v/>
      </c>
    </row>
    <row r="9959" spans="24:30" x14ac:dyDescent="0.25">
      <c r="X9959" s="8" t="e">
        <f>IF(Final_Sans_VGE[[#This Row],[ppn_z]]="","",IFERROR(
   IF(_xlfn.XLOOKUP(Final_Sans_VGE[[#This Row],[ppn_z]],tbl_Historique_Final[ppn_z],tbl_Historique_Final[date_modif])=Final_Sans_VGE[[#This Row],[date_modif]],
      "Ancien",
      "Modifié"),
   "Nouveau"))</f>
        <v>#VALUE!</v>
      </c>
      <c r="AD9959" s="1" t="str">
        <f>IFERROR(IF(Final_Sans_VGE[[#This Row],[ppn_z]]="","",IFERROR(
   IF(_xlfn.XLOOKUP(Final_Sans_VGE[[#This Row],[ppn_z]],tbl_Historique_Final[[#This Row],[ppn_z]],tbl_Historique_Final[[#This Row],[date_modif]])=Final_Sans_VGE[[#This Row],[date_modif]],
      "Ancien",
      "Modifié"),
   "Nouveau")),"")</f>
        <v/>
      </c>
    </row>
    <row r="9960" spans="24:30" x14ac:dyDescent="0.25">
      <c r="X9960" s="8" t="e">
        <f>IF(Final_Sans_VGE[[#This Row],[ppn_z]]="","",IFERROR(
   IF(_xlfn.XLOOKUP(Final_Sans_VGE[[#This Row],[ppn_z]],tbl_Historique_Final[ppn_z],tbl_Historique_Final[date_modif])=Final_Sans_VGE[[#This Row],[date_modif]],
      "Ancien",
      "Modifié"),
   "Nouveau"))</f>
        <v>#VALUE!</v>
      </c>
      <c r="AD9960" s="1" t="str">
        <f>IFERROR(IF(Final_Sans_VGE[[#This Row],[ppn_z]]="","",IFERROR(
   IF(_xlfn.XLOOKUP(Final_Sans_VGE[[#This Row],[ppn_z]],tbl_Historique_Final[[#This Row],[ppn_z]],tbl_Historique_Final[[#This Row],[date_modif]])=Final_Sans_VGE[[#This Row],[date_modif]],
      "Ancien",
      "Modifié"),
   "Nouveau")),"")</f>
        <v/>
      </c>
    </row>
    <row r="9961" spans="24:30" x14ac:dyDescent="0.25">
      <c r="X9961" s="8" t="e">
        <f>IF(Final_Sans_VGE[[#This Row],[ppn_z]]="","",IFERROR(
   IF(_xlfn.XLOOKUP(Final_Sans_VGE[[#This Row],[ppn_z]],tbl_Historique_Final[ppn_z],tbl_Historique_Final[date_modif])=Final_Sans_VGE[[#This Row],[date_modif]],
      "Ancien",
      "Modifié"),
   "Nouveau"))</f>
        <v>#VALUE!</v>
      </c>
      <c r="AD9961" s="1" t="str">
        <f>IFERROR(IF(Final_Sans_VGE[[#This Row],[ppn_z]]="","",IFERROR(
   IF(_xlfn.XLOOKUP(Final_Sans_VGE[[#This Row],[ppn_z]],tbl_Historique_Final[[#This Row],[ppn_z]],tbl_Historique_Final[[#This Row],[date_modif]])=Final_Sans_VGE[[#This Row],[date_modif]],
      "Ancien",
      "Modifié"),
   "Nouveau")),"")</f>
        <v/>
      </c>
    </row>
    <row r="9962" spans="24:30" x14ac:dyDescent="0.25">
      <c r="X9962" s="8" t="e">
        <f>IF(Final_Sans_VGE[[#This Row],[ppn_z]]="","",IFERROR(
   IF(_xlfn.XLOOKUP(Final_Sans_VGE[[#This Row],[ppn_z]],tbl_Historique_Final[ppn_z],tbl_Historique_Final[date_modif])=Final_Sans_VGE[[#This Row],[date_modif]],
      "Ancien",
      "Modifié"),
   "Nouveau"))</f>
        <v>#VALUE!</v>
      </c>
      <c r="AD9962" s="1" t="str">
        <f>IFERROR(IF(Final_Sans_VGE[[#This Row],[ppn_z]]="","",IFERROR(
   IF(_xlfn.XLOOKUP(Final_Sans_VGE[[#This Row],[ppn_z]],tbl_Historique_Final[[#This Row],[ppn_z]],tbl_Historique_Final[[#This Row],[date_modif]])=Final_Sans_VGE[[#This Row],[date_modif]],
      "Ancien",
      "Modifié"),
   "Nouveau")),"")</f>
        <v/>
      </c>
    </row>
    <row r="9963" spans="24:30" x14ac:dyDescent="0.25">
      <c r="X9963" s="8" t="e">
        <f>IF(Final_Sans_VGE[[#This Row],[ppn_z]]="","",IFERROR(
   IF(_xlfn.XLOOKUP(Final_Sans_VGE[[#This Row],[ppn_z]],tbl_Historique_Final[ppn_z],tbl_Historique_Final[date_modif])=Final_Sans_VGE[[#This Row],[date_modif]],
      "Ancien",
      "Modifié"),
   "Nouveau"))</f>
        <v>#VALUE!</v>
      </c>
      <c r="AD9963" s="1" t="str">
        <f>IFERROR(IF(Final_Sans_VGE[[#This Row],[ppn_z]]="","",IFERROR(
   IF(_xlfn.XLOOKUP(Final_Sans_VGE[[#This Row],[ppn_z]],tbl_Historique_Final[[#This Row],[ppn_z]],tbl_Historique_Final[[#This Row],[date_modif]])=Final_Sans_VGE[[#This Row],[date_modif]],
      "Ancien",
      "Modifié"),
   "Nouveau")),"")</f>
        <v/>
      </c>
    </row>
    <row r="9964" spans="24:30" x14ac:dyDescent="0.25">
      <c r="X9964" s="8" t="e">
        <f>IF(Final_Sans_VGE[[#This Row],[ppn_z]]="","",IFERROR(
   IF(_xlfn.XLOOKUP(Final_Sans_VGE[[#This Row],[ppn_z]],tbl_Historique_Final[ppn_z],tbl_Historique_Final[date_modif])=Final_Sans_VGE[[#This Row],[date_modif]],
      "Ancien",
      "Modifié"),
   "Nouveau"))</f>
        <v>#VALUE!</v>
      </c>
      <c r="AD9964" s="1" t="str">
        <f>IFERROR(IF(Final_Sans_VGE[[#This Row],[ppn_z]]="","",IFERROR(
   IF(_xlfn.XLOOKUP(Final_Sans_VGE[[#This Row],[ppn_z]],tbl_Historique_Final[[#This Row],[ppn_z]],tbl_Historique_Final[[#This Row],[date_modif]])=Final_Sans_VGE[[#This Row],[date_modif]],
      "Ancien",
      "Modifié"),
   "Nouveau")),"")</f>
        <v/>
      </c>
    </row>
    <row r="9965" spans="24:30" x14ac:dyDescent="0.25">
      <c r="X9965" s="8" t="e">
        <f>IF(Final_Sans_VGE[[#This Row],[ppn_z]]="","",IFERROR(
   IF(_xlfn.XLOOKUP(Final_Sans_VGE[[#This Row],[ppn_z]],tbl_Historique_Final[ppn_z],tbl_Historique_Final[date_modif])=Final_Sans_VGE[[#This Row],[date_modif]],
      "Ancien",
      "Modifié"),
   "Nouveau"))</f>
        <v>#VALUE!</v>
      </c>
      <c r="AD9965" s="1" t="str">
        <f>IFERROR(IF(Final_Sans_VGE[[#This Row],[ppn_z]]="","",IFERROR(
   IF(_xlfn.XLOOKUP(Final_Sans_VGE[[#This Row],[ppn_z]],tbl_Historique_Final[[#This Row],[ppn_z]],tbl_Historique_Final[[#This Row],[date_modif]])=Final_Sans_VGE[[#This Row],[date_modif]],
      "Ancien",
      "Modifié"),
   "Nouveau")),"")</f>
        <v/>
      </c>
    </row>
    <row r="9966" spans="24:30" x14ac:dyDescent="0.25">
      <c r="X9966" s="8" t="e">
        <f>IF(Final_Sans_VGE[[#This Row],[ppn_z]]="","",IFERROR(
   IF(_xlfn.XLOOKUP(Final_Sans_VGE[[#This Row],[ppn_z]],tbl_Historique_Final[ppn_z],tbl_Historique_Final[date_modif])=Final_Sans_VGE[[#This Row],[date_modif]],
      "Ancien",
      "Modifié"),
   "Nouveau"))</f>
        <v>#VALUE!</v>
      </c>
      <c r="AD9966" s="1" t="str">
        <f>IFERROR(IF(Final_Sans_VGE[[#This Row],[ppn_z]]="","",IFERROR(
   IF(_xlfn.XLOOKUP(Final_Sans_VGE[[#This Row],[ppn_z]],tbl_Historique_Final[[#This Row],[ppn_z]],tbl_Historique_Final[[#This Row],[date_modif]])=Final_Sans_VGE[[#This Row],[date_modif]],
      "Ancien",
      "Modifié"),
   "Nouveau")),"")</f>
        <v/>
      </c>
    </row>
    <row r="9967" spans="24:30" x14ac:dyDescent="0.25">
      <c r="X9967" s="8" t="e">
        <f>IF(Final_Sans_VGE[[#This Row],[ppn_z]]="","",IFERROR(
   IF(_xlfn.XLOOKUP(Final_Sans_VGE[[#This Row],[ppn_z]],tbl_Historique_Final[ppn_z],tbl_Historique_Final[date_modif])=Final_Sans_VGE[[#This Row],[date_modif]],
      "Ancien",
      "Modifié"),
   "Nouveau"))</f>
        <v>#VALUE!</v>
      </c>
      <c r="AD9967" s="1" t="str">
        <f>IFERROR(IF(Final_Sans_VGE[[#This Row],[ppn_z]]="","",IFERROR(
   IF(_xlfn.XLOOKUP(Final_Sans_VGE[[#This Row],[ppn_z]],tbl_Historique_Final[[#This Row],[ppn_z]],tbl_Historique_Final[[#This Row],[date_modif]])=Final_Sans_VGE[[#This Row],[date_modif]],
      "Ancien",
      "Modifié"),
   "Nouveau")),"")</f>
        <v/>
      </c>
    </row>
    <row r="9968" spans="24:30" x14ac:dyDescent="0.25">
      <c r="X9968" s="8" t="e">
        <f>IF(Final_Sans_VGE[[#This Row],[ppn_z]]="","",IFERROR(
   IF(_xlfn.XLOOKUP(Final_Sans_VGE[[#This Row],[ppn_z]],tbl_Historique_Final[ppn_z],tbl_Historique_Final[date_modif])=Final_Sans_VGE[[#This Row],[date_modif]],
      "Ancien",
      "Modifié"),
   "Nouveau"))</f>
        <v>#VALUE!</v>
      </c>
      <c r="AD9968" s="1" t="str">
        <f>IFERROR(IF(Final_Sans_VGE[[#This Row],[ppn_z]]="","",IFERROR(
   IF(_xlfn.XLOOKUP(Final_Sans_VGE[[#This Row],[ppn_z]],tbl_Historique_Final[[#This Row],[ppn_z]],tbl_Historique_Final[[#This Row],[date_modif]])=Final_Sans_VGE[[#This Row],[date_modif]],
      "Ancien",
      "Modifié"),
   "Nouveau")),"")</f>
        <v/>
      </c>
    </row>
    <row r="9969" spans="24:30" x14ac:dyDescent="0.25">
      <c r="X9969" s="8" t="e">
        <f>IF(Final_Sans_VGE[[#This Row],[ppn_z]]="","",IFERROR(
   IF(_xlfn.XLOOKUP(Final_Sans_VGE[[#This Row],[ppn_z]],tbl_Historique_Final[ppn_z],tbl_Historique_Final[date_modif])=Final_Sans_VGE[[#This Row],[date_modif]],
      "Ancien",
      "Modifié"),
   "Nouveau"))</f>
        <v>#VALUE!</v>
      </c>
      <c r="AD9969" s="1" t="str">
        <f>IFERROR(IF(Final_Sans_VGE[[#This Row],[ppn_z]]="","",IFERROR(
   IF(_xlfn.XLOOKUP(Final_Sans_VGE[[#This Row],[ppn_z]],tbl_Historique_Final[[#This Row],[ppn_z]],tbl_Historique_Final[[#This Row],[date_modif]])=Final_Sans_VGE[[#This Row],[date_modif]],
      "Ancien",
      "Modifié"),
   "Nouveau")),"")</f>
        <v/>
      </c>
    </row>
    <row r="9970" spans="24:30" x14ac:dyDescent="0.25">
      <c r="X9970" s="8" t="e">
        <f>IF(Final_Sans_VGE[[#This Row],[ppn_z]]="","",IFERROR(
   IF(_xlfn.XLOOKUP(Final_Sans_VGE[[#This Row],[ppn_z]],tbl_Historique_Final[ppn_z],tbl_Historique_Final[date_modif])=Final_Sans_VGE[[#This Row],[date_modif]],
      "Ancien",
      "Modifié"),
   "Nouveau"))</f>
        <v>#VALUE!</v>
      </c>
      <c r="AD9970" s="1" t="str">
        <f>IFERROR(IF(Final_Sans_VGE[[#This Row],[ppn_z]]="","",IFERROR(
   IF(_xlfn.XLOOKUP(Final_Sans_VGE[[#This Row],[ppn_z]],tbl_Historique_Final[[#This Row],[ppn_z]],tbl_Historique_Final[[#This Row],[date_modif]])=Final_Sans_VGE[[#This Row],[date_modif]],
      "Ancien",
      "Modifié"),
   "Nouveau")),"")</f>
        <v/>
      </c>
    </row>
    <row r="9971" spans="24:30" x14ac:dyDescent="0.25">
      <c r="X9971" s="8" t="e">
        <f>IF(Final_Sans_VGE[[#This Row],[ppn_z]]="","",IFERROR(
   IF(_xlfn.XLOOKUP(Final_Sans_VGE[[#This Row],[ppn_z]],tbl_Historique_Final[ppn_z],tbl_Historique_Final[date_modif])=Final_Sans_VGE[[#This Row],[date_modif]],
      "Ancien",
      "Modifié"),
   "Nouveau"))</f>
        <v>#VALUE!</v>
      </c>
      <c r="AD9971" s="1" t="str">
        <f>IFERROR(IF(Final_Sans_VGE[[#This Row],[ppn_z]]="","",IFERROR(
   IF(_xlfn.XLOOKUP(Final_Sans_VGE[[#This Row],[ppn_z]],tbl_Historique_Final[[#This Row],[ppn_z]],tbl_Historique_Final[[#This Row],[date_modif]])=Final_Sans_VGE[[#This Row],[date_modif]],
      "Ancien",
      "Modifié"),
   "Nouveau")),"")</f>
        <v/>
      </c>
    </row>
    <row r="9972" spans="24:30" x14ac:dyDescent="0.25">
      <c r="X9972" s="8" t="e">
        <f>IF(Final_Sans_VGE[[#This Row],[ppn_z]]="","",IFERROR(
   IF(_xlfn.XLOOKUP(Final_Sans_VGE[[#This Row],[ppn_z]],tbl_Historique_Final[ppn_z],tbl_Historique_Final[date_modif])=Final_Sans_VGE[[#This Row],[date_modif]],
      "Ancien",
      "Modifié"),
   "Nouveau"))</f>
        <v>#VALUE!</v>
      </c>
      <c r="AD9972" s="1" t="str">
        <f>IFERROR(IF(Final_Sans_VGE[[#This Row],[ppn_z]]="","",IFERROR(
   IF(_xlfn.XLOOKUP(Final_Sans_VGE[[#This Row],[ppn_z]],tbl_Historique_Final[[#This Row],[ppn_z]],tbl_Historique_Final[[#This Row],[date_modif]])=Final_Sans_VGE[[#This Row],[date_modif]],
      "Ancien",
      "Modifié"),
   "Nouveau")),"")</f>
        <v/>
      </c>
    </row>
    <row r="9973" spans="24:30" x14ac:dyDescent="0.25">
      <c r="X9973" s="8" t="e">
        <f>IF(Final_Sans_VGE[[#This Row],[ppn_z]]="","",IFERROR(
   IF(_xlfn.XLOOKUP(Final_Sans_VGE[[#This Row],[ppn_z]],tbl_Historique_Final[ppn_z],tbl_Historique_Final[date_modif])=Final_Sans_VGE[[#This Row],[date_modif]],
      "Ancien",
      "Modifié"),
   "Nouveau"))</f>
        <v>#VALUE!</v>
      </c>
      <c r="AD9973" s="1" t="str">
        <f>IFERROR(IF(Final_Sans_VGE[[#This Row],[ppn_z]]="","",IFERROR(
   IF(_xlfn.XLOOKUP(Final_Sans_VGE[[#This Row],[ppn_z]],tbl_Historique_Final[[#This Row],[ppn_z]],tbl_Historique_Final[[#This Row],[date_modif]])=Final_Sans_VGE[[#This Row],[date_modif]],
      "Ancien",
      "Modifié"),
   "Nouveau")),"")</f>
        <v/>
      </c>
    </row>
    <row r="9974" spans="24:30" x14ac:dyDescent="0.25">
      <c r="X9974" s="8" t="e">
        <f>IF(Final_Sans_VGE[[#This Row],[ppn_z]]="","",IFERROR(
   IF(_xlfn.XLOOKUP(Final_Sans_VGE[[#This Row],[ppn_z]],tbl_Historique_Final[ppn_z],tbl_Historique_Final[date_modif])=Final_Sans_VGE[[#This Row],[date_modif]],
      "Ancien",
      "Modifié"),
   "Nouveau"))</f>
        <v>#VALUE!</v>
      </c>
      <c r="AD9974" s="1" t="str">
        <f>IFERROR(IF(Final_Sans_VGE[[#This Row],[ppn_z]]="","",IFERROR(
   IF(_xlfn.XLOOKUP(Final_Sans_VGE[[#This Row],[ppn_z]],tbl_Historique_Final[[#This Row],[ppn_z]],tbl_Historique_Final[[#This Row],[date_modif]])=Final_Sans_VGE[[#This Row],[date_modif]],
      "Ancien",
      "Modifié"),
   "Nouveau")),"")</f>
        <v/>
      </c>
    </row>
    <row r="9975" spans="24:30" x14ac:dyDescent="0.25">
      <c r="X9975" s="8" t="e">
        <f>IF(Final_Sans_VGE[[#This Row],[ppn_z]]="","",IFERROR(
   IF(_xlfn.XLOOKUP(Final_Sans_VGE[[#This Row],[ppn_z]],tbl_Historique_Final[ppn_z],tbl_Historique_Final[date_modif])=Final_Sans_VGE[[#This Row],[date_modif]],
      "Ancien",
      "Modifié"),
   "Nouveau"))</f>
        <v>#VALUE!</v>
      </c>
      <c r="AD9975" s="1" t="str">
        <f>IFERROR(IF(Final_Sans_VGE[[#This Row],[ppn_z]]="","",IFERROR(
   IF(_xlfn.XLOOKUP(Final_Sans_VGE[[#This Row],[ppn_z]],tbl_Historique_Final[[#This Row],[ppn_z]],tbl_Historique_Final[[#This Row],[date_modif]])=Final_Sans_VGE[[#This Row],[date_modif]],
      "Ancien",
      "Modifié"),
   "Nouveau")),"")</f>
        <v/>
      </c>
    </row>
    <row r="9976" spans="24:30" x14ac:dyDescent="0.25">
      <c r="X9976" s="8" t="e">
        <f>IF(Final_Sans_VGE[[#This Row],[ppn_z]]="","",IFERROR(
   IF(_xlfn.XLOOKUP(Final_Sans_VGE[[#This Row],[ppn_z]],tbl_Historique_Final[ppn_z],tbl_Historique_Final[date_modif])=Final_Sans_VGE[[#This Row],[date_modif]],
      "Ancien",
      "Modifié"),
   "Nouveau"))</f>
        <v>#VALUE!</v>
      </c>
      <c r="AD9976" s="1" t="str">
        <f>IFERROR(IF(Final_Sans_VGE[[#This Row],[ppn_z]]="","",IFERROR(
   IF(_xlfn.XLOOKUP(Final_Sans_VGE[[#This Row],[ppn_z]],tbl_Historique_Final[[#This Row],[ppn_z]],tbl_Historique_Final[[#This Row],[date_modif]])=Final_Sans_VGE[[#This Row],[date_modif]],
      "Ancien",
      "Modifié"),
   "Nouveau")),"")</f>
        <v/>
      </c>
    </row>
    <row r="9977" spans="24:30" x14ac:dyDescent="0.25">
      <c r="X9977" s="8" t="e">
        <f>IF(Final_Sans_VGE[[#This Row],[ppn_z]]="","",IFERROR(
   IF(_xlfn.XLOOKUP(Final_Sans_VGE[[#This Row],[ppn_z]],tbl_Historique_Final[ppn_z],tbl_Historique_Final[date_modif])=Final_Sans_VGE[[#This Row],[date_modif]],
      "Ancien",
      "Modifié"),
   "Nouveau"))</f>
        <v>#VALUE!</v>
      </c>
      <c r="AD9977" s="1" t="str">
        <f>IFERROR(IF(Final_Sans_VGE[[#This Row],[ppn_z]]="","",IFERROR(
   IF(_xlfn.XLOOKUP(Final_Sans_VGE[[#This Row],[ppn_z]],tbl_Historique_Final[[#This Row],[ppn_z]],tbl_Historique_Final[[#This Row],[date_modif]])=Final_Sans_VGE[[#This Row],[date_modif]],
      "Ancien",
      "Modifié"),
   "Nouveau")),"")</f>
        <v/>
      </c>
    </row>
    <row r="9978" spans="24:30" x14ac:dyDescent="0.25">
      <c r="X9978" s="8" t="e">
        <f>IF(Final_Sans_VGE[[#This Row],[ppn_z]]="","",IFERROR(
   IF(_xlfn.XLOOKUP(Final_Sans_VGE[[#This Row],[ppn_z]],tbl_Historique_Final[ppn_z],tbl_Historique_Final[date_modif])=Final_Sans_VGE[[#This Row],[date_modif]],
      "Ancien",
      "Modifié"),
   "Nouveau"))</f>
        <v>#VALUE!</v>
      </c>
      <c r="AD9978" s="1" t="str">
        <f>IFERROR(IF(Final_Sans_VGE[[#This Row],[ppn_z]]="","",IFERROR(
   IF(_xlfn.XLOOKUP(Final_Sans_VGE[[#This Row],[ppn_z]],tbl_Historique_Final[[#This Row],[ppn_z]],tbl_Historique_Final[[#This Row],[date_modif]])=Final_Sans_VGE[[#This Row],[date_modif]],
      "Ancien",
      "Modifié"),
   "Nouveau")),"")</f>
        <v/>
      </c>
    </row>
    <row r="9979" spans="24:30" x14ac:dyDescent="0.25">
      <c r="X9979" s="8" t="e">
        <f>IF(Final_Sans_VGE[[#This Row],[ppn_z]]="","",IFERROR(
   IF(_xlfn.XLOOKUP(Final_Sans_VGE[[#This Row],[ppn_z]],tbl_Historique_Final[ppn_z],tbl_Historique_Final[date_modif])=Final_Sans_VGE[[#This Row],[date_modif]],
      "Ancien",
      "Modifié"),
   "Nouveau"))</f>
        <v>#VALUE!</v>
      </c>
      <c r="AD9979" s="1" t="str">
        <f>IFERROR(IF(Final_Sans_VGE[[#This Row],[ppn_z]]="","",IFERROR(
   IF(_xlfn.XLOOKUP(Final_Sans_VGE[[#This Row],[ppn_z]],tbl_Historique_Final[[#This Row],[ppn_z]],tbl_Historique_Final[[#This Row],[date_modif]])=Final_Sans_VGE[[#This Row],[date_modif]],
      "Ancien",
      "Modifié"),
   "Nouveau")),"")</f>
        <v/>
      </c>
    </row>
    <row r="9980" spans="24:30" x14ac:dyDescent="0.25">
      <c r="X9980" s="8" t="e">
        <f>IF(Final_Sans_VGE[[#This Row],[ppn_z]]="","",IFERROR(
   IF(_xlfn.XLOOKUP(Final_Sans_VGE[[#This Row],[ppn_z]],tbl_Historique_Final[ppn_z],tbl_Historique_Final[date_modif])=Final_Sans_VGE[[#This Row],[date_modif]],
      "Ancien",
      "Modifié"),
   "Nouveau"))</f>
        <v>#VALUE!</v>
      </c>
      <c r="AD9980" s="1" t="str">
        <f>IFERROR(IF(Final_Sans_VGE[[#This Row],[ppn_z]]="","",IFERROR(
   IF(_xlfn.XLOOKUP(Final_Sans_VGE[[#This Row],[ppn_z]],tbl_Historique_Final[[#This Row],[ppn_z]],tbl_Historique_Final[[#This Row],[date_modif]])=Final_Sans_VGE[[#This Row],[date_modif]],
      "Ancien",
      "Modifié"),
   "Nouveau")),"")</f>
        <v/>
      </c>
    </row>
    <row r="9981" spans="24:30" x14ac:dyDescent="0.25">
      <c r="X9981" s="8" t="e">
        <f>IF(Final_Sans_VGE[[#This Row],[ppn_z]]="","",IFERROR(
   IF(_xlfn.XLOOKUP(Final_Sans_VGE[[#This Row],[ppn_z]],tbl_Historique_Final[ppn_z],tbl_Historique_Final[date_modif])=Final_Sans_VGE[[#This Row],[date_modif]],
      "Ancien",
      "Modifié"),
   "Nouveau"))</f>
        <v>#VALUE!</v>
      </c>
      <c r="AD9981" s="1" t="str">
        <f>IFERROR(IF(Final_Sans_VGE[[#This Row],[ppn_z]]="","",IFERROR(
   IF(_xlfn.XLOOKUP(Final_Sans_VGE[[#This Row],[ppn_z]],tbl_Historique_Final[[#This Row],[ppn_z]],tbl_Historique_Final[[#This Row],[date_modif]])=Final_Sans_VGE[[#This Row],[date_modif]],
      "Ancien",
      "Modifié"),
   "Nouveau")),"")</f>
        <v/>
      </c>
    </row>
    <row r="9982" spans="24:30" x14ac:dyDescent="0.25">
      <c r="X9982" s="8" t="e">
        <f>IF(Final_Sans_VGE[[#This Row],[ppn_z]]="","",IFERROR(
   IF(_xlfn.XLOOKUP(Final_Sans_VGE[[#This Row],[ppn_z]],tbl_Historique_Final[ppn_z],tbl_Historique_Final[date_modif])=Final_Sans_VGE[[#This Row],[date_modif]],
      "Ancien",
      "Modifié"),
   "Nouveau"))</f>
        <v>#VALUE!</v>
      </c>
      <c r="AD9982" s="1" t="str">
        <f>IFERROR(IF(Final_Sans_VGE[[#This Row],[ppn_z]]="","",IFERROR(
   IF(_xlfn.XLOOKUP(Final_Sans_VGE[[#This Row],[ppn_z]],tbl_Historique_Final[[#This Row],[ppn_z]],tbl_Historique_Final[[#This Row],[date_modif]])=Final_Sans_VGE[[#This Row],[date_modif]],
      "Ancien",
      "Modifié"),
   "Nouveau")),"")</f>
        <v/>
      </c>
    </row>
    <row r="9983" spans="24:30" x14ac:dyDescent="0.25">
      <c r="X9983" s="8" t="e">
        <f>IF(Final_Sans_VGE[[#This Row],[ppn_z]]="","",IFERROR(
   IF(_xlfn.XLOOKUP(Final_Sans_VGE[[#This Row],[ppn_z]],tbl_Historique_Final[ppn_z],tbl_Historique_Final[date_modif])=Final_Sans_VGE[[#This Row],[date_modif]],
      "Ancien",
      "Modifié"),
   "Nouveau"))</f>
        <v>#VALUE!</v>
      </c>
      <c r="AD9983" s="1" t="str">
        <f>IFERROR(IF(Final_Sans_VGE[[#This Row],[ppn_z]]="","",IFERROR(
   IF(_xlfn.XLOOKUP(Final_Sans_VGE[[#This Row],[ppn_z]],tbl_Historique_Final[[#This Row],[ppn_z]],tbl_Historique_Final[[#This Row],[date_modif]])=Final_Sans_VGE[[#This Row],[date_modif]],
      "Ancien",
      "Modifié"),
   "Nouveau")),"")</f>
        <v/>
      </c>
    </row>
    <row r="9984" spans="24:30" x14ac:dyDescent="0.25">
      <c r="X9984" s="8" t="e">
        <f>IF(Final_Sans_VGE[[#This Row],[ppn_z]]="","",IFERROR(
   IF(_xlfn.XLOOKUP(Final_Sans_VGE[[#This Row],[ppn_z]],tbl_Historique_Final[ppn_z],tbl_Historique_Final[date_modif])=Final_Sans_VGE[[#This Row],[date_modif]],
      "Ancien",
      "Modifié"),
   "Nouveau"))</f>
        <v>#VALUE!</v>
      </c>
      <c r="AD9984" s="1" t="str">
        <f>IFERROR(IF(Final_Sans_VGE[[#This Row],[ppn_z]]="","",IFERROR(
   IF(_xlfn.XLOOKUP(Final_Sans_VGE[[#This Row],[ppn_z]],tbl_Historique_Final[[#This Row],[ppn_z]],tbl_Historique_Final[[#This Row],[date_modif]])=Final_Sans_VGE[[#This Row],[date_modif]],
      "Ancien",
      "Modifié"),
   "Nouveau")),"")</f>
        <v/>
      </c>
    </row>
    <row r="9985" spans="24:30" x14ac:dyDescent="0.25">
      <c r="X9985" s="8" t="e">
        <f>IF(Final_Sans_VGE[[#This Row],[ppn_z]]="","",IFERROR(
   IF(_xlfn.XLOOKUP(Final_Sans_VGE[[#This Row],[ppn_z]],tbl_Historique_Final[ppn_z],tbl_Historique_Final[date_modif])=Final_Sans_VGE[[#This Row],[date_modif]],
      "Ancien",
      "Modifié"),
   "Nouveau"))</f>
        <v>#VALUE!</v>
      </c>
      <c r="AD9985" s="1" t="str">
        <f>IFERROR(IF(Final_Sans_VGE[[#This Row],[ppn_z]]="","",IFERROR(
   IF(_xlfn.XLOOKUP(Final_Sans_VGE[[#This Row],[ppn_z]],tbl_Historique_Final[[#This Row],[ppn_z]],tbl_Historique_Final[[#This Row],[date_modif]])=Final_Sans_VGE[[#This Row],[date_modif]],
      "Ancien",
      "Modifié"),
   "Nouveau")),"")</f>
        <v/>
      </c>
    </row>
    <row r="9986" spans="24:30" x14ac:dyDescent="0.25">
      <c r="X9986" s="8" t="e">
        <f>IF(Final_Sans_VGE[[#This Row],[ppn_z]]="","",IFERROR(
   IF(_xlfn.XLOOKUP(Final_Sans_VGE[[#This Row],[ppn_z]],tbl_Historique_Final[ppn_z],tbl_Historique_Final[date_modif])=Final_Sans_VGE[[#This Row],[date_modif]],
      "Ancien",
      "Modifié"),
   "Nouveau"))</f>
        <v>#VALUE!</v>
      </c>
      <c r="AD9986" s="1" t="str">
        <f>IFERROR(IF(Final_Sans_VGE[[#This Row],[ppn_z]]="","",IFERROR(
   IF(_xlfn.XLOOKUP(Final_Sans_VGE[[#This Row],[ppn_z]],tbl_Historique_Final[[#This Row],[ppn_z]],tbl_Historique_Final[[#This Row],[date_modif]])=Final_Sans_VGE[[#This Row],[date_modif]],
      "Ancien",
      "Modifié"),
   "Nouveau")),"")</f>
        <v/>
      </c>
    </row>
    <row r="9987" spans="24:30" x14ac:dyDescent="0.25">
      <c r="X9987" s="8" t="e">
        <f>IF(Final_Sans_VGE[[#This Row],[ppn_z]]="","",IFERROR(
   IF(_xlfn.XLOOKUP(Final_Sans_VGE[[#This Row],[ppn_z]],tbl_Historique_Final[ppn_z],tbl_Historique_Final[date_modif])=Final_Sans_VGE[[#This Row],[date_modif]],
      "Ancien",
      "Modifié"),
   "Nouveau"))</f>
        <v>#VALUE!</v>
      </c>
      <c r="AD9987" s="1" t="str">
        <f>IFERROR(IF(Final_Sans_VGE[[#This Row],[ppn_z]]="","",IFERROR(
   IF(_xlfn.XLOOKUP(Final_Sans_VGE[[#This Row],[ppn_z]],tbl_Historique_Final[[#This Row],[ppn_z]],tbl_Historique_Final[[#This Row],[date_modif]])=Final_Sans_VGE[[#This Row],[date_modif]],
      "Ancien",
      "Modifié"),
   "Nouveau")),"")</f>
        <v/>
      </c>
    </row>
    <row r="9988" spans="24:30" x14ac:dyDescent="0.25">
      <c r="X9988" s="8" t="e">
        <f>IF(Final_Sans_VGE[[#This Row],[ppn_z]]="","",IFERROR(
   IF(_xlfn.XLOOKUP(Final_Sans_VGE[[#This Row],[ppn_z]],tbl_Historique_Final[ppn_z],tbl_Historique_Final[date_modif])=Final_Sans_VGE[[#This Row],[date_modif]],
      "Ancien",
      "Modifié"),
   "Nouveau"))</f>
        <v>#VALUE!</v>
      </c>
      <c r="AD9988" s="1" t="str">
        <f>IFERROR(IF(Final_Sans_VGE[[#This Row],[ppn_z]]="","",IFERROR(
   IF(_xlfn.XLOOKUP(Final_Sans_VGE[[#This Row],[ppn_z]],tbl_Historique_Final[[#This Row],[ppn_z]],tbl_Historique_Final[[#This Row],[date_modif]])=Final_Sans_VGE[[#This Row],[date_modif]],
      "Ancien",
      "Modifié"),
   "Nouveau")),"")</f>
        <v/>
      </c>
    </row>
    <row r="9989" spans="24:30" x14ac:dyDescent="0.25">
      <c r="X9989" s="8" t="e">
        <f>IF(Final_Sans_VGE[[#This Row],[ppn_z]]="","",IFERROR(
   IF(_xlfn.XLOOKUP(Final_Sans_VGE[[#This Row],[ppn_z]],tbl_Historique_Final[ppn_z],tbl_Historique_Final[date_modif])=Final_Sans_VGE[[#This Row],[date_modif]],
      "Ancien",
      "Modifié"),
   "Nouveau"))</f>
        <v>#VALUE!</v>
      </c>
      <c r="AD9989" s="1" t="str">
        <f>IFERROR(IF(Final_Sans_VGE[[#This Row],[ppn_z]]="","",IFERROR(
   IF(_xlfn.XLOOKUP(Final_Sans_VGE[[#This Row],[ppn_z]],tbl_Historique_Final[[#This Row],[ppn_z]],tbl_Historique_Final[[#This Row],[date_modif]])=Final_Sans_VGE[[#This Row],[date_modif]],
      "Ancien",
      "Modifié"),
   "Nouveau")),"")</f>
        <v/>
      </c>
    </row>
    <row r="9990" spans="24:30" x14ac:dyDescent="0.25">
      <c r="X9990" s="8" t="e">
        <f>IF(Final_Sans_VGE[[#This Row],[ppn_z]]="","",IFERROR(
   IF(_xlfn.XLOOKUP(Final_Sans_VGE[[#This Row],[ppn_z]],tbl_Historique_Final[ppn_z],tbl_Historique_Final[date_modif])=Final_Sans_VGE[[#This Row],[date_modif]],
      "Ancien",
      "Modifié"),
   "Nouveau"))</f>
        <v>#VALUE!</v>
      </c>
      <c r="AD9990" s="1" t="str">
        <f>IFERROR(IF(Final_Sans_VGE[[#This Row],[ppn_z]]="","",IFERROR(
   IF(_xlfn.XLOOKUP(Final_Sans_VGE[[#This Row],[ppn_z]],tbl_Historique_Final[[#This Row],[ppn_z]],tbl_Historique_Final[[#This Row],[date_modif]])=Final_Sans_VGE[[#This Row],[date_modif]],
      "Ancien",
      "Modifié"),
   "Nouveau")),"")</f>
        <v/>
      </c>
    </row>
    <row r="9991" spans="24:30" x14ac:dyDescent="0.25">
      <c r="X9991" s="8" t="e">
        <f>IF(Final_Sans_VGE[[#This Row],[ppn_z]]="","",IFERROR(
   IF(_xlfn.XLOOKUP(Final_Sans_VGE[[#This Row],[ppn_z]],tbl_Historique_Final[ppn_z],tbl_Historique_Final[date_modif])=Final_Sans_VGE[[#This Row],[date_modif]],
      "Ancien",
      "Modifié"),
   "Nouveau"))</f>
        <v>#VALUE!</v>
      </c>
      <c r="AD9991" s="1" t="str">
        <f>IFERROR(IF(Final_Sans_VGE[[#This Row],[ppn_z]]="","",IFERROR(
   IF(_xlfn.XLOOKUP(Final_Sans_VGE[[#This Row],[ppn_z]],tbl_Historique_Final[[#This Row],[ppn_z]],tbl_Historique_Final[[#This Row],[date_modif]])=Final_Sans_VGE[[#This Row],[date_modif]],
      "Ancien",
      "Modifié"),
   "Nouveau")),"")</f>
        <v/>
      </c>
    </row>
    <row r="9992" spans="24:30" x14ac:dyDescent="0.25">
      <c r="X9992" s="8" t="e">
        <f>IF(Final_Sans_VGE[[#This Row],[ppn_z]]="","",IFERROR(
   IF(_xlfn.XLOOKUP(Final_Sans_VGE[[#This Row],[ppn_z]],tbl_Historique_Final[ppn_z],tbl_Historique_Final[date_modif])=Final_Sans_VGE[[#This Row],[date_modif]],
      "Ancien",
      "Modifié"),
   "Nouveau"))</f>
        <v>#VALUE!</v>
      </c>
      <c r="AD9992" s="1" t="str">
        <f>IFERROR(IF(Final_Sans_VGE[[#This Row],[ppn_z]]="","",IFERROR(
   IF(_xlfn.XLOOKUP(Final_Sans_VGE[[#This Row],[ppn_z]],tbl_Historique_Final[[#This Row],[ppn_z]],tbl_Historique_Final[[#This Row],[date_modif]])=Final_Sans_VGE[[#This Row],[date_modif]],
      "Ancien",
      "Modifié"),
   "Nouveau")),"")</f>
        <v/>
      </c>
    </row>
    <row r="9993" spans="24:30" x14ac:dyDescent="0.25">
      <c r="X9993" s="8" t="e">
        <f>IF(Final_Sans_VGE[[#This Row],[ppn_z]]="","",IFERROR(
   IF(_xlfn.XLOOKUP(Final_Sans_VGE[[#This Row],[ppn_z]],tbl_Historique_Final[ppn_z],tbl_Historique_Final[date_modif])=Final_Sans_VGE[[#This Row],[date_modif]],
      "Ancien",
      "Modifié"),
   "Nouveau"))</f>
        <v>#VALUE!</v>
      </c>
      <c r="AD9993" s="1" t="str">
        <f>IFERROR(IF(Final_Sans_VGE[[#This Row],[ppn_z]]="","",IFERROR(
   IF(_xlfn.XLOOKUP(Final_Sans_VGE[[#This Row],[ppn_z]],tbl_Historique_Final[[#This Row],[ppn_z]],tbl_Historique_Final[[#This Row],[date_modif]])=Final_Sans_VGE[[#This Row],[date_modif]],
      "Ancien",
      "Modifié"),
   "Nouveau")),"")</f>
        <v/>
      </c>
    </row>
    <row r="9994" spans="24:30" x14ac:dyDescent="0.25">
      <c r="X9994" s="8" t="e">
        <f>IF(Final_Sans_VGE[[#This Row],[ppn_z]]="","",IFERROR(
   IF(_xlfn.XLOOKUP(Final_Sans_VGE[[#This Row],[ppn_z]],tbl_Historique_Final[ppn_z],tbl_Historique_Final[date_modif])=Final_Sans_VGE[[#This Row],[date_modif]],
      "Ancien",
      "Modifié"),
   "Nouveau"))</f>
        <v>#VALUE!</v>
      </c>
      <c r="AD9994" s="1" t="str">
        <f>IFERROR(IF(Final_Sans_VGE[[#This Row],[ppn_z]]="","",IFERROR(
   IF(_xlfn.XLOOKUP(Final_Sans_VGE[[#This Row],[ppn_z]],tbl_Historique_Final[[#This Row],[ppn_z]],tbl_Historique_Final[[#This Row],[date_modif]])=Final_Sans_VGE[[#This Row],[date_modif]],
      "Ancien",
      "Modifié"),
   "Nouveau")),"")</f>
        <v/>
      </c>
    </row>
    <row r="9995" spans="24:30" x14ac:dyDescent="0.25">
      <c r="X9995" s="8" t="e">
        <f>IF(Final_Sans_VGE[[#This Row],[ppn_z]]="","",IFERROR(
   IF(_xlfn.XLOOKUP(Final_Sans_VGE[[#This Row],[ppn_z]],tbl_Historique_Final[ppn_z],tbl_Historique_Final[date_modif])=Final_Sans_VGE[[#This Row],[date_modif]],
      "Ancien",
      "Modifié"),
   "Nouveau"))</f>
        <v>#VALUE!</v>
      </c>
      <c r="AD9995" s="1" t="str">
        <f>IFERROR(IF(Final_Sans_VGE[[#This Row],[ppn_z]]="","",IFERROR(
   IF(_xlfn.XLOOKUP(Final_Sans_VGE[[#This Row],[ppn_z]],tbl_Historique_Final[[#This Row],[ppn_z]],tbl_Historique_Final[[#This Row],[date_modif]])=Final_Sans_VGE[[#This Row],[date_modif]],
      "Ancien",
      "Modifié"),
   "Nouveau")),"")</f>
        <v/>
      </c>
    </row>
    <row r="9996" spans="24:30" x14ac:dyDescent="0.25">
      <c r="X9996" s="8" t="e">
        <f>IF(Final_Sans_VGE[[#This Row],[ppn_z]]="","",IFERROR(
   IF(_xlfn.XLOOKUP(Final_Sans_VGE[[#This Row],[ppn_z]],tbl_Historique_Final[ppn_z],tbl_Historique_Final[date_modif])=Final_Sans_VGE[[#This Row],[date_modif]],
      "Ancien",
      "Modifié"),
   "Nouveau"))</f>
        <v>#VALUE!</v>
      </c>
      <c r="AD9996" s="1" t="str">
        <f>IFERROR(IF(Final_Sans_VGE[[#This Row],[ppn_z]]="","",IFERROR(
   IF(_xlfn.XLOOKUP(Final_Sans_VGE[[#This Row],[ppn_z]],tbl_Historique_Final[[#This Row],[ppn_z]],tbl_Historique_Final[[#This Row],[date_modif]])=Final_Sans_VGE[[#This Row],[date_modif]],
      "Ancien",
      "Modifié"),
   "Nouveau")),"")</f>
        <v/>
      </c>
    </row>
    <row r="9997" spans="24:30" x14ac:dyDescent="0.25">
      <c r="X9997" s="8" t="e">
        <f>IF(Final_Sans_VGE[[#This Row],[ppn_z]]="","",IFERROR(
   IF(_xlfn.XLOOKUP(Final_Sans_VGE[[#This Row],[ppn_z]],tbl_Historique_Final[ppn_z],tbl_Historique_Final[date_modif])=Final_Sans_VGE[[#This Row],[date_modif]],
      "Ancien",
      "Modifié"),
   "Nouveau"))</f>
        <v>#VALUE!</v>
      </c>
      <c r="AD9997" s="1" t="str">
        <f>IFERROR(IF(Final_Sans_VGE[[#This Row],[ppn_z]]="","",IFERROR(
   IF(_xlfn.XLOOKUP(Final_Sans_VGE[[#This Row],[ppn_z]],tbl_Historique_Final[[#This Row],[ppn_z]],tbl_Historique_Final[[#This Row],[date_modif]])=Final_Sans_VGE[[#This Row],[date_modif]],
      "Ancien",
      "Modifié"),
   "Nouveau")),"")</f>
        <v/>
      </c>
    </row>
    <row r="9998" spans="24:30" x14ac:dyDescent="0.25">
      <c r="X9998" s="8" t="e">
        <f>IF(Final_Sans_VGE[[#This Row],[ppn_z]]="","",IFERROR(
   IF(_xlfn.XLOOKUP(Final_Sans_VGE[[#This Row],[ppn_z]],tbl_Historique_Final[ppn_z],tbl_Historique_Final[date_modif])=Final_Sans_VGE[[#This Row],[date_modif]],
      "Ancien",
      "Modifié"),
   "Nouveau"))</f>
        <v>#VALUE!</v>
      </c>
      <c r="AD9998" s="1" t="str">
        <f>IFERROR(IF(Final_Sans_VGE[[#This Row],[ppn_z]]="","",IFERROR(
   IF(_xlfn.XLOOKUP(Final_Sans_VGE[[#This Row],[ppn_z]],tbl_Historique_Final[[#This Row],[ppn_z]],tbl_Historique_Final[[#This Row],[date_modif]])=Final_Sans_VGE[[#This Row],[date_modif]],
      "Ancien",
      "Modifié"),
   "Nouveau")),"")</f>
        <v/>
      </c>
    </row>
    <row r="9999" spans="24:30" x14ac:dyDescent="0.25">
      <c r="X9999" s="8" t="e">
        <f>IF(Final_Sans_VGE[[#This Row],[ppn_z]]="","",IFERROR(
   IF(_xlfn.XLOOKUP(Final_Sans_VGE[[#This Row],[ppn_z]],tbl_Historique_Final[ppn_z],tbl_Historique_Final[date_modif])=Final_Sans_VGE[[#This Row],[date_modif]],
      "Ancien",
      "Modifié"),
   "Nouveau"))</f>
        <v>#VALUE!</v>
      </c>
      <c r="AD9999" s="1" t="str">
        <f>IFERROR(IF(Final_Sans_VGE[[#This Row],[ppn_z]]="","",IFERROR(
   IF(_xlfn.XLOOKUP(Final_Sans_VGE[[#This Row],[ppn_z]],tbl_Historique_Final[[#This Row],[ppn_z]],tbl_Historique_Final[[#This Row],[date_modif]])=Final_Sans_VGE[[#This Row],[date_modif]],
      "Ancien",
      "Modifié"),
   "Nouveau")),"")</f>
        <v/>
      </c>
    </row>
    <row r="10000" spans="24:30" x14ac:dyDescent="0.25">
      <c r="X10000" s="8" t="e">
        <f>IF(Final_Sans_VGE[[#This Row],[ppn_z]]="","",IFERROR(
   IF(_xlfn.XLOOKUP(Final_Sans_VGE[[#This Row],[ppn_z]],tbl_Historique_Final[ppn_z],tbl_Historique_Final[date_modif])=Final_Sans_VGE[[#This Row],[date_modif]],
      "Ancien",
      "Modifié"),
   "Nouveau"))</f>
        <v>#VALUE!</v>
      </c>
      <c r="AD10000" s="1" t="str">
        <f>IFERROR(IF(Final_Sans_VGE[[#This Row],[ppn_z]]="","",IFERROR(
   IF(_xlfn.XLOOKUP(Final_Sans_VGE[[#This Row],[ppn_z]],tbl_Historique_Final[[#This Row],[ppn_z]],tbl_Historique_Final[[#This Row],[date_modif]])=Final_Sans_VGE[[#This Row],[date_modif]],
      "Ancien",
      "Modifié"),
   "Nouveau")),"")</f>
        <v/>
      </c>
    </row>
  </sheetData>
  <phoneticPr fontId="1" type="noConversion"/>
  <conditionalFormatting sqref="R267:R1048576 Q192:Q266">
    <cfRule type="colorScale" priority="4">
      <colorScale>
        <cfvo type="min"/>
        <cfvo type="percentile" val="50"/>
        <cfvo type="max"/>
        <color rgb="FF63BE7B"/>
        <color rgb="FFFFEB84"/>
        <color rgb="FFF8696B"/>
      </colorScale>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41E59-64AB-4802-901B-70EC73CA50E8}">
  <sheetPr codeName="Feuil6">
    <tabColor theme="9"/>
  </sheetPr>
  <dimension ref="A1:R2054"/>
  <sheetViews>
    <sheetView topLeftCell="D1" workbookViewId="0">
      <selection activeCell="E5" sqref="E5"/>
    </sheetView>
  </sheetViews>
  <sheetFormatPr baseColWidth="10" defaultRowHeight="15" x14ac:dyDescent="0.25"/>
  <cols>
    <col min="1" max="1" width="10.7109375" style="5" bestFit="1" customWidth="1"/>
    <col min="2" max="2" width="43.7109375" style="1" bestFit="1" customWidth="1"/>
    <col min="3" max="3" width="14.85546875" style="1" bestFit="1" customWidth="1"/>
    <col min="4" max="4" width="18.7109375" style="1" bestFit="1" customWidth="1"/>
    <col min="5" max="5" width="11.28515625" style="1" bestFit="1" customWidth="1"/>
    <col min="6" max="6" width="26.42578125" style="1" bestFit="1" customWidth="1"/>
    <col min="7" max="7" width="11.140625" style="1" bestFit="1" customWidth="1"/>
    <col min="8" max="8" width="18.42578125" style="2" bestFit="1" customWidth="1"/>
    <col min="9" max="9" width="15.28515625" style="2" bestFit="1" customWidth="1"/>
    <col min="10" max="10" width="15.7109375" style="1" bestFit="1" customWidth="1"/>
    <col min="11" max="11" width="27" style="2" bestFit="1" customWidth="1"/>
    <col min="12" max="12" width="19.140625" style="1" bestFit="1" customWidth="1"/>
    <col min="13" max="13" width="26.85546875" style="1" bestFit="1" customWidth="1"/>
    <col min="14" max="14" width="15.28515625" style="1" bestFit="1" customWidth="1"/>
    <col min="15" max="15" width="15.42578125" style="1" bestFit="1" customWidth="1"/>
    <col min="16" max="16" width="46.140625" style="1" customWidth="1"/>
    <col min="17" max="16384" width="11.42578125" style="1"/>
  </cols>
  <sheetData>
    <row r="1" spans="1:18" x14ac:dyDescent="0.25">
      <c r="A1" s="1" t="s">
        <v>0</v>
      </c>
      <c r="B1" s="1" t="s">
        <v>1</v>
      </c>
      <c r="C1" s="1" t="s">
        <v>2</v>
      </c>
      <c r="D1" s="1" t="s">
        <v>13</v>
      </c>
      <c r="E1" s="1" t="s">
        <v>3</v>
      </c>
      <c r="F1" s="1" t="s">
        <v>19</v>
      </c>
      <c r="G1" s="1" t="s">
        <v>4</v>
      </c>
      <c r="H1" s="2" t="s">
        <v>20</v>
      </c>
      <c r="I1" s="2" t="s">
        <v>21</v>
      </c>
      <c r="J1" s="2" t="s">
        <v>5</v>
      </c>
      <c r="K1" s="2" t="s">
        <v>107</v>
      </c>
      <c r="L1" s="1" t="s">
        <v>7</v>
      </c>
      <c r="M1" s="1" t="s">
        <v>8</v>
      </c>
      <c r="N1" s="1" t="s">
        <v>9</v>
      </c>
      <c r="O1" s="1" t="s">
        <v>6</v>
      </c>
      <c r="P1" s="1" t="s">
        <v>102</v>
      </c>
    </row>
    <row r="2" spans="1:18" ht="60" x14ac:dyDescent="0.25">
      <c r="A2" s="5" t="s">
        <v>170</v>
      </c>
      <c r="B2" s="1" t="s">
        <v>6326</v>
      </c>
      <c r="C2" s="1">
        <v>1937</v>
      </c>
      <c r="J2" s="3">
        <v>45163.636446759258</v>
      </c>
      <c r="K2" s="2" t="s">
        <v>6327</v>
      </c>
      <c r="L2" s="1">
        <v>15</v>
      </c>
      <c r="M2" s="1">
        <v>52</v>
      </c>
      <c r="N2" s="1">
        <v>37</v>
      </c>
      <c r="O2" s="3">
        <v>46233.65914210648</v>
      </c>
      <c r="R2" s="6"/>
    </row>
    <row r="3" spans="1:18" ht="90" x14ac:dyDescent="0.25">
      <c r="A3" s="5" t="s">
        <v>713</v>
      </c>
      <c r="B3" s="1" t="s">
        <v>6328</v>
      </c>
      <c r="C3" s="1">
        <v>1937</v>
      </c>
      <c r="D3" s="1" t="s">
        <v>6329</v>
      </c>
      <c r="E3" s="1">
        <v>1998</v>
      </c>
      <c r="F3" s="1" t="s">
        <v>6331</v>
      </c>
      <c r="G3" s="1" t="s">
        <v>11</v>
      </c>
      <c r="I3" s="2" t="s">
        <v>140</v>
      </c>
      <c r="J3" s="3">
        <v>45421.497094907405</v>
      </c>
      <c r="K3" s="2" t="s">
        <v>6332</v>
      </c>
      <c r="L3" s="1">
        <v>12</v>
      </c>
      <c r="M3" s="1">
        <v>21</v>
      </c>
      <c r="N3" s="1">
        <v>9</v>
      </c>
      <c r="O3" s="3">
        <v>46233.65914210648</v>
      </c>
      <c r="R3" s="6"/>
    </row>
    <row r="4" spans="1:18" ht="75" x14ac:dyDescent="0.25">
      <c r="A4" s="5" t="s">
        <v>173</v>
      </c>
      <c r="B4" s="1" t="s">
        <v>6333</v>
      </c>
      <c r="C4" s="1">
        <v>1981</v>
      </c>
      <c r="G4" s="1" t="s">
        <v>10</v>
      </c>
      <c r="J4" s="3">
        <v>45233.504537037035</v>
      </c>
      <c r="K4" s="2" t="s">
        <v>6334</v>
      </c>
      <c r="L4" s="1">
        <v>1</v>
      </c>
      <c r="M4" s="1">
        <v>1</v>
      </c>
      <c r="N4" s="1">
        <v>0</v>
      </c>
      <c r="O4" s="3">
        <v>46233.65914210648</v>
      </c>
      <c r="R4" s="6"/>
    </row>
    <row r="5" spans="1:18" ht="120" x14ac:dyDescent="0.25">
      <c r="A5" s="5" t="s">
        <v>1490</v>
      </c>
      <c r="B5" s="1" t="s">
        <v>6536</v>
      </c>
      <c r="C5" s="1">
        <v>1958</v>
      </c>
      <c r="G5" s="1" t="s">
        <v>10</v>
      </c>
      <c r="I5" s="2" t="s">
        <v>6537</v>
      </c>
      <c r="J5" s="3">
        <v>45485.437210648146</v>
      </c>
      <c r="K5" s="2" t="s">
        <v>6538</v>
      </c>
      <c r="L5" s="1">
        <v>1</v>
      </c>
      <c r="M5" s="1">
        <v>2</v>
      </c>
      <c r="N5" s="1">
        <v>1</v>
      </c>
      <c r="O5" s="3">
        <v>46233.65914210648</v>
      </c>
      <c r="R5" s="6"/>
    </row>
    <row r="6" spans="1:18" ht="45" x14ac:dyDescent="0.25">
      <c r="A6" s="5" t="s">
        <v>584</v>
      </c>
      <c r="B6" s="1" t="s">
        <v>6337</v>
      </c>
      <c r="C6" s="1">
        <v>1965</v>
      </c>
      <c r="D6" s="1" t="s">
        <v>14</v>
      </c>
      <c r="E6" s="1">
        <v>110</v>
      </c>
      <c r="F6" s="1" t="s">
        <v>6339</v>
      </c>
      <c r="G6" s="1" t="s">
        <v>10</v>
      </c>
      <c r="H6" s="2" t="s">
        <v>6340</v>
      </c>
      <c r="J6" s="3">
        <v>45405.480046296296</v>
      </c>
      <c r="K6" s="2" t="s">
        <v>6341</v>
      </c>
      <c r="L6" s="1">
        <v>10</v>
      </c>
      <c r="M6" s="1">
        <v>14</v>
      </c>
      <c r="N6" s="1">
        <v>4</v>
      </c>
      <c r="O6" s="3">
        <v>46233.65914210648</v>
      </c>
      <c r="R6" s="6"/>
    </row>
    <row r="7" spans="1:18" ht="75" x14ac:dyDescent="0.25">
      <c r="A7" s="5" t="s">
        <v>176</v>
      </c>
      <c r="B7" s="1" t="s">
        <v>6335</v>
      </c>
      <c r="C7" s="1">
        <v>1952</v>
      </c>
      <c r="G7" s="1" t="s">
        <v>10</v>
      </c>
      <c r="J7" s="3">
        <v>45096.747870370367</v>
      </c>
      <c r="K7" s="2" t="s">
        <v>6336</v>
      </c>
      <c r="L7" s="1">
        <v>101</v>
      </c>
      <c r="M7" s="1">
        <v>107</v>
      </c>
      <c r="N7" s="1">
        <v>6</v>
      </c>
      <c r="O7" s="3">
        <v>46233.65914210648</v>
      </c>
    </row>
    <row r="8" spans="1:18" ht="150" x14ac:dyDescent="0.25">
      <c r="A8" s="5" t="s">
        <v>848</v>
      </c>
      <c r="B8" s="1" t="s">
        <v>6446</v>
      </c>
      <c r="C8" s="1">
        <v>1976</v>
      </c>
      <c r="D8" s="1" t="s">
        <v>14</v>
      </c>
      <c r="G8" s="1" t="s">
        <v>10</v>
      </c>
      <c r="H8" s="2" t="s">
        <v>6448</v>
      </c>
      <c r="I8" s="2" t="s">
        <v>6449</v>
      </c>
      <c r="J8" s="3">
        <v>45411.776180555556</v>
      </c>
      <c r="K8" s="2" t="s">
        <v>6450</v>
      </c>
      <c r="L8" s="1">
        <v>1</v>
      </c>
      <c r="M8" s="1">
        <v>1</v>
      </c>
      <c r="N8" s="1">
        <v>0</v>
      </c>
      <c r="O8" s="3">
        <v>46233.65914210648</v>
      </c>
    </row>
    <row r="9" spans="1:18" ht="45" x14ac:dyDescent="0.25">
      <c r="A9" s="5" t="s">
        <v>419</v>
      </c>
      <c r="B9" s="1" t="s">
        <v>6346</v>
      </c>
      <c r="C9" s="1">
        <v>1945</v>
      </c>
      <c r="J9" s="3">
        <v>44445.840127314812</v>
      </c>
      <c r="K9" s="2" t="s">
        <v>6347</v>
      </c>
      <c r="L9" s="1">
        <v>2</v>
      </c>
      <c r="M9" s="1">
        <v>3</v>
      </c>
      <c r="N9" s="1">
        <v>1</v>
      </c>
      <c r="O9" s="3">
        <v>46233.65914210648</v>
      </c>
    </row>
    <row r="10" spans="1:18" ht="45" x14ac:dyDescent="0.25">
      <c r="A10" s="5" t="s">
        <v>179</v>
      </c>
      <c r="B10" s="1" t="s">
        <v>6342</v>
      </c>
      <c r="C10" s="1" t="s">
        <v>12</v>
      </c>
      <c r="G10" s="1" t="s">
        <v>11</v>
      </c>
      <c r="J10" s="3">
        <v>45358.650949074072</v>
      </c>
      <c r="K10" s="2" t="s">
        <v>6343</v>
      </c>
      <c r="L10" s="1">
        <v>1</v>
      </c>
      <c r="M10" s="1">
        <v>1</v>
      </c>
      <c r="N10" s="1">
        <v>0</v>
      </c>
      <c r="O10" s="3">
        <v>46233.65914210648</v>
      </c>
    </row>
    <row r="11" spans="1:18" ht="60" x14ac:dyDescent="0.25">
      <c r="A11" s="5" t="s">
        <v>1277</v>
      </c>
      <c r="B11" s="1" t="s">
        <v>6434</v>
      </c>
      <c r="C11" s="1">
        <v>1949</v>
      </c>
      <c r="D11" s="1" t="s">
        <v>14</v>
      </c>
      <c r="G11" s="1" t="s">
        <v>10</v>
      </c>
      <c r="H11" s="2" t="s">
        <v>140</v>
      </c>
      <c r="I11" s="2" t="s">
        <v>6435</v>
      </c>
      <c r="J11" s="3">
        <v>45406.407418981478</v>
      </c>
      <c r="K11" s="2" t="s">
        <v>6436</v>
      </c>
      <c r="L11" s="1">
        <v>73</v>
      </c>
      <c r="M11" s="1">
        <v>78</v>
      </c>
      <c r="N11" s="1">
        <v>5</v>
      </c>
      <c r="O11" s="3">
        <v>46233.65914210648</v>
      </c>
    </row>
    <row r="12" spans="1:18" ht="45" x14ac:dyDescent="0.25">
      <c r="A12" s="5" t="s">
        <v>608</v>
      </c>
      <c r="B12" s="1" t="s">
        <v>6352</v>
      </c>
      <c r="C12" s="1">
        <v>1908</v>
      </c>
      <c r="D12" s="1" t="s">
        <v>6354</v>
      </c>
      <c r="E12" s="1">
        <v>1990</v>
      </c>
      <c r="F12" s="1" t="s">
        <v>14</v>
      </c>
      <c r="G12" s="1" t="s">
        <v>10</v>
      </c>
      <c r="H12" s="2" t="s">
        <v>6356</v>
      </c>
      <c r="J12" s="3">
        <v>45408.68409722222</v>
      </c>
      <c r="K12" s="2" t="s">
        <v>6357</v>
      </c>
      <c r="L12" s="1">
        <v>5</v>
      </c>
      <c r="M12" s="1">
        <v>6</v>
      </c>
      <c r="N12" s="1">
        <v>1</v>
      </c>
      <c r="O12" s="3">
        <v>46233.65914210648</v>
      </c>
    </row>
    <row r="13" spans="1:18" ht="75" x14ac:dyDescent="0.25">
      <c r="A13" s="5" t="s">
        <v>182</v>
      </c>
      <c r="B13" s="1" t="s">
        <v>6344</v>
      </c>
      <c r="C13" s="1">
        <v>1928</v>
      </c>
      <c r="E13" s="1">
        <v>2008</v>
      </c>
      <c r="J13" s="3">
        <v>44413.648981481485</v>
      </c>
      <c r="K13" s="2" t="s">
        <v>6345</v>
      </c>
      <c r="L13" s="1">
        <v>3</v>
      </c>
      <c r="M13" s="1">
        <v>3</v>
      </c>
      <c r="N13" s="1">
        <v>0</v>
      </c>
      <c r="O13" s="3">
        <v>46233.65914210648</v>
      </c>
    </row>
    <row r="14" spans="1:18" ht="30" x14ac:dyDescent="0.25">
      <c r="A14" s="5" t="s">
        <v>1721</v>
      </c>
      <c r="B14" s="1" t="s">
        <v>6547</v>
      </c>
      <c r="C14" s="1">
        <v>1958</v>
      </c>
      <c r="D14" s="1" t="s">
        <v>6548</v>
      </c>
      <c r="G14" s="1" t="s">
        <v>10</v>
      </c>
      <c r="J14" s="3">
        <v>45574.422615740739</v>
      </c>
      <c r="K14" s="2" t="s">
        <v>6549</v>
      </c>
      <c r="L14" s="1">
        <v>8</v>
      </c>
      <c r="M14" s="1">
        <v>8</v>
      </c>
      <c r="N14" s="1">
        <v>0</v>
      </c>
      <c r="O14" s="3">
        <v>46233.65914210648</v>
      </c>
    </row>
    <row r="15" spans="1:18" x14ac:dyDescent="0.25">
      <c r="A15" s="5" t="s">
        <v>518</v>
      </c>
      <c r="B15" s="1" t="s">
        <v>6365</v>
      </c>
      <c r="C15" s="1">
        <v>1848</v>
      </c>
      <c r="D15" s="1" t="s">
        <v>14</v>
      </c>
      <c r="E15" s="1">
        <v>1904</v>
      </c>
      <c r="F15" s="1" t="s">
        <v>14</v>
      </c>
      <c r="G15" s="1" t="s">
        <v>10</v>
      </c>
      <c r="J15" s="3">
        <v>45383.415150462963</v>
      </c>
      <c r="K15" s="2" t="s">
        <v>130</v>
      </c>
      <c r="L15" s="1">
        <v>12</v>
      </c>
      <c r="M15" s="1">
        <v>15</v>
      </c>
      <c r="N15" s="1">
        <v>3</v>
      </c>
      <c r="O15" s="3">
        <v>46233.65914210648</v>
      </c>
    </row>
    <row r="16" spans="1:18" ht="120" x14ac:dyDescent="0.25">
      <c r="A16" s="5" t="s">
        <v>185</v>
      </c>
      <c r="B16" s="1" t="s">
        <v>6348</v>
      </c>
      <c r="G16" s="1" t="s">
        <v>11</v>
      </c>
      <c r="J16" s="3">
        <v>45344.552222222221</v>
      </c>
      <c r="K16" s="2" t="s">
        <v>6349</v>
      </c>
      <c r="L16" s="1">
        <v>8</v>
      </c>
      <c r="M16" s="1">
        <v>8</v>
      </c>
      <c r="N16" s="1">
        <v>0</v>
      </c>
      <c r="O16" s="3">
        <v>46233.65914210648</v>
      </c>
    </row>
    <row r="17" spans="1:15" x14ac:dyDescent="0.25">
      <c r="A17" s="5" t="s">
        <v>692</v>
      </c>
      <c r="B17" s="1" t="s">
        <v>6372</v>
      </c>
      <c r="C17" s="1">
        <v>1895</v>
      </c>
      <c r="D17" s="1" t="s">
        <v>14</v>
      </c>
      <c r="E17" s="1">
        <v>1981</v>
      </c>
      <c r="F17" s="1" t="s">
        <v>14</v>
      </c>
      <c r="G17" s="1" t="s">
        <v>10</v>
      </c>
      <c r="J17" s="3">
        <v>45416.194212962961</v>
      </c>
      <c r="K17" s="2" t="s">
        <v>6373</v>
      </c>
      <c r="L17" s="1">
        <v>1</v>
      </c>
      <c r="M17" s="1">
        <v>1</v>
      </c>
      <c r="N17" s="1">
        <v>0</v>
      </c>
      <c r="O17" s="3">
        <v>46233.65914210648</v>
      </c>
    </row>
    <row r="18" spans="1:15" ht="75" x14ac:dyDescent="0.25">
      <c r="A18" s="5" t="s">
        <v>188</v>
      </c>
      <c r="B18" s="1" t="s">
        <v>6350</v>
      </c>
      <c r="C18" s="1">
        <v>1939</v>
      </c>
      <c r="G18" s="1" t="s">
        <v>10</v>
      </c>
      <c r="J18" s="3">
        <v>44753.670081018521</v>
      </c>
      <c r="K18" s="2" t="s">
        <v>6351</v>
      </c>
      <c r="L18" s="1">
        <v>27</v>
      </c>
      <c r="M18" s="1">
        <v>35</v>
      </c>
      <c r="N18" s="1">
        <v>8</v>
      </c>
      <c r="O18" s="3">
        <v>46233.65914210648</v>
      </c>
    </row>
    <row r="19" spans="1:15" x14ac:dyDescent="0.25">
      <c r="A19" s="5" t="s">
        <v>1148</v>
      </c>
      <c r="B19" s="1" t="s">
        <v>6461</v>
      </c>
      <c r="C19" s="1">
        <v>1959</v>
      </c>
      <c r="D19" s="1" t="s">
        <v>6462</v>
      </c>
      <c r="G19" s="1" t="s">
        <v>10</v>
      </c>
      <c r="J19" s="3">
        <v>45408.142708333333</v>
      </c>
      <c r="K19" s="2" t="s">
        <v>6463</v>
      </c>
      <c r="L19" s="1">
        <v>25</v>
      </c>
      <c r="M19" s="1">
        <v>38</v>
      </c>
      <c r="N19" s="1">
        <v>13</v>
      </c>
      <c r="O19" s="3">
        <v>46233.65914210648</v>
      </c>
    </row>
    <row r="20" spans="1:15" x14ac:dyDescent="0.25">
      <c r="A20" s="5" t="s">
        <v>386</v>
      </c>
      <c r="B20" s="1" t="s">
        <v>6378</v>
      </c>
      <c r="C20" s="1">
        <v>1922</v>
      </c>
      <c r="D20" s="1" t="s">
        <v>133</v>
      </c>
      <c r="E20" s="1">
        <v>1986</v>
      </c>
      <c r="G20" s="1" t="s">
        <v>10</v>
      </c>
      <c r="J20" s="3">
        <v>45358.520405092589</v>
      </c>
      <c r="K20" s="2" t="s">
        <v>130</v>
      </c>
      <c r="L20" s="1">
        <v>4</v>
      </c>
      <c r="M20" s="1">
        <v>4</v>
      </c>
      <c r="N20" s="1">
        <v>0</v>
      </c>
      <c r="O20" s="3">
        <v>46233.65914210648</v>
      </c>
    </row>
    <row r="21" spans="1:15" ht="60" x14ac:dyDescent="0.25">
      <c r="A21" s="5" t="s">
        <v>191</v>
      </c>
      <c r="B21" s="1" t="s">
        <v>6358</v>
      </c>
      <c r="C21" s="1">
        <v>1543</v>
      </c>
      <c r="E21" s="1">
        <v>1615</v>
      </c>
      <c r="G21" s="1" t="s">
        <v>10</v>
      </c>
      <c r="J21" s="3">
        <v>44386.545138888891</v>
      </c>
      <c r="K21" s="2" t="s">
        <v>6361</v>
      </c>
      <c r="L21" s="1">
        <v>27</v>
      </c>
      <c r="M21" s="1">
        <v>29</v>
      </c>
      <c r="N21" s="1">
        <v>2</v>
      </c>
      <c r="O21" s="3">
        <v>46233.65914210648</v>
      </c>
    </row>
    <row r="22" spans="1:15" x14ac:dyDescent="0.25">
      <c r="A22" s="5" t="s">
        <v>1373</v>
      </c>
      <c r="B22" s="1" t="s">
        <v>6556</v>
      </c>
      <c r="C22" s="1">
        <v>1948</v>
      </c>
      <c r="D22" s="1" t="s">
        <v>163</v>
      </c>
      <c r="J22" s="3">
        <v>45485.437731481485</v>
      </c>
      <c r="K22" s="2" t="s">
        <v>150</v>
      </c>
      <c r="L22" s="1">
        <v>8</v>
      </c>
      <c r="M22" s="1">
        <v>13</v>
      </c>
      <c r="N22" s="1">
        <v>5</v>
      </c>
      <c r="O22" s="3">
        <v>46233.65914210648</v>
      </c>
    </row>
    <row r="23" spans="1:15" x14ac:dyDescent="0.25">
      <c r="A23" s="5" t="s">
        <v>266</v>
      </c>
      <c r="B23" s="1" t="s">
        <v>6383</v>
      </c>
      <c r="C23" s="1">
        <v>1984</v>
      </c>
      <c r="D23" s="1" t="s">
        <v>6384</v>
      </c>
      <c r="G23" s="1" t="s">
        <v>11</v>
      </c>
      <c r="J23" s="3">
        <v>45191.521006944444</v>
      </c>
      <c r="K23" s="2" t="s">
        <v>126</v>
      </c>
      <c r="L23" s="1">
        <v>6</v>
      </c>
      <c r="M23" s="1">
        <v>6</v>
      </c>
      <c r="N23" s="1">
        <v>0</v>
      </c>
      <c r="O23" s="3">
        <v>46233.65914210648</v>
      </c>
    </row>
    <row r="24" spans="1:15" ht="90" x14ac:dyDescent="0.25">
      <c r="A24" s="5" t="s">
        <v>194</v>
      </c>
      <c r="B24" s="1" t="s">
        <v>6362</v>
      </c>
      <c r="C24" s="1">
        <v>1923</v>
      </c>
      <c r="E24" s="1">
        <v>2014</v>
      </c>
      <c r="G24" s="1" t="s">
        <v>10</v>
      </c>
      <c r="J24" s="3">
        <v>45167.696909722225</v>
      </c>
      <c r="K24" s="2" t="s">
        <v>6364</v>
      </c>
      <c r="L24" s="1">
        <v>23</v>
      </c>
      <c r="M24" s="1">
        <v>24</v>
      </c>
      <c r="N24" s="1">
        <v>1</v>
      </c>
      <c r="O24" s="3">
        <v>46233.65914210648</v>
      </c>
    </row>
    <row r="25" spans="1:15" ht="165" x14ac:dyDescent="0.25">
      <c r="A25" s="5" t="s">
        <v>836</v>
      </c>
      <c r="B25" s="1" t="s">
        <v>6468</v>
      </c>
      <c r="C25" s="1">
        <v>1970</v>
      </c>
      <c r="D25" s="1" t="s">
        <v>16</v>
      </c>
      <c r="G25" s="1" t="s">
        <v>11</v>
      </c>
      <c r="J25" s="3">
        <v>45406.80133101852</v>
      </c>
      <c r="K25" s="2" t="s">
        <v>6469</v>
      </c>
      <c r="L25" s="1">
        <v>6</v>
      </c>
      <c r="M25" s="1">
        <v>7</v>
      </c>
      <c r="N25" s="1">
        <v>1</v>
      </c>
      <c r="O25" s="3">
        <v>46233.65914210648</v>
      </c>
    </row>
    <row r="26" spans="1:15" x14ac:dyDescent="0.25">
      <c r="A26" s="5" t="s">
        <v>338</v>
      </c>
      <c r="B26" s="1" t="s">
        <v>6390</v>
      </c>
      <c r="C26" s="1">
        <v>1951</v>
      </c>
      <c r="G26" s="1" t="s">
        <v>11</v>
      </c>
      <c r="J26" s="3">
        <v>45357.974791666667</v>
      </c>
      <c r="K26" s="2" t="s">
        <v>6391</v>
      </c>
      <c r="L26" s="1">
        <v>2</v>
      </c>
      <c r="M26" s="1">
        <v>2</v>
      </c>
      <c r="N26" s="1">
        <v>0</v>
      </c>
      <c r="O26" s="3">
        <v>46233.65914210648</v>
      </c>
    </row>
    <row r="27" spans="1:15" x14ac:dyDescent="0.25">
      <c r="A27" s="5" t="s">
        <v>197</v>
      </c>
      <c r="B27" s="1" t="s">
        <v>6368</v>
      </c>
      <c r="C27" s="1" t="s">
        <v>12</v>
      </c>
      <c r="G27" s="1" t="s">
        <v>10</v>
      </c>
      <c r="J27" s="3">
        <v>45358.849386574075</v>
      </c>
      <c r="K27" s="2" t="s">
        <v>6369</v>
      </c>
      <c r="L27" s="1">
        <v>8</v>
      </c>
      <c r="M27" s="1">
        <v>8</v>
      </c>
      <c r="N27" s="1">
        <v>0</v>
      </c>
      <c r="O27" s="3">
        <v>46233.65914210648</v>
      </c>
    </row>
    <row r="28" spans="1:15" ht="60" x14ac:dyDescent="0.25">
      <c r="A28" s="5" t="s">
        <v>1745</v>
      </c>
      <c r="B28" s="1" t="s">
        <v>6561</v>
      </c>
      <c r="C28" s="1">
        <v>1974</v>
      </c>
      <c r="D28" s="1" t="s">
        <v>6562</v>
      </c>
      <c r="G28" s="1" t="s">
        <v>11</v>
      </c>
      <c r="H28" s="2" t="s">
        <v>10489</v>
      </c>
      <c r="J28" s="3">
        <v>45551.696909722225</v>
      </c>
      <c r="K28" s="2" t="s">
        <v>6563</v>
      </c>
      <c r="L28" s="1">
        <v>8</v>
      </c>
      <c r="M28" s="1">
        <v>13</v>
      </c>
      <c r="N28" s="1">
        <v>5</v>
      </c>
      <c r="O28" s="3">
        <v>46233.65914210648</v>
      </c>
    </row>
    <row r="29" spans="1:15" ht="180" x14ac:dyDescent="0.25">
      <c r="A29" s="5" t="s">
        <v>302</v>
      </c>
      <c r="B29" s="1" t="s">
        <v>6398</v>
      </c>
      <c r="C29" s="1" t="s">
        <v>6399</v>
      </c>
      <c r="G29" s="1" t="s">
        <v>11</v>
      </c>
      <c r="J29" s="3">
        <v>45166.642534722225</v>
      </c>
      <c r="K29" s="2" t="s">
        <v>6400</v>
      </c>
      <c r="L29" s="1">
        <v>1</v>
      </c>
      <c r="M29" s="1">
        <v>3</v>
      </c>
      <c r="N29" s="1">
        <v>2</v>
      </c>
      <c r="O29" s="3">
        <v>46233.65914210648</v>
      </c>
    </row>
    <row r="30" spans="1:15" x14ac:dyDescent="0.25">
      <c r="A30" s="5" t="s">
        <v>200</v>
      </c>
      <c r="B30" s="1" t="s">
        <v>6370</v>
      </c>
      <c r="D30" s="1" t="s">
        <v>6371</v>
      </c>
      <c r="G30" s="1" t="s">
        <v>10</v>
      </c>
      <c r="J30" s="3">
        <v>44720.446516203701</v>
      </c>
      <c r="L30" s="1">
        <v>30</v>
      </c>
      <c r="M30" s="1">
        <v>30</v>
      </c>
      <c r="N30" s="1">
        <v>0</v>
      </c>
      <c r="O30" s="3">
        <v>46233.65914210648</v>
      </c>
    </row>
    <row r="31" spans="1:15" ht="30" x14ac:dyDescent="0.25">
      <c r="A31" s="5" t="s">
        <v>1289</v>
      </c>
      <c r="B31" s="1" t="s">
        <v>6475</v>
      </c>
      <c r="C31" s="1">
        <v>1968</v>
      </c>
      <c r="D31" s="1" t="s">
        <v>14</v>
      </c>
      <c r="J31" s="3">
        <v>45406.602465277778</v>
      </c>
      <c r="K31" s="2" t="s">
        <v>6476</v>
      </c>
      <c r="L31" s="1">
        <v>9</v>
      </c>
      <c r="M31" s="1">
        <v>10</v>
      </c>
      <c r="N31" s="1">
        <v>1</v>
      </c>
      <c r="O31" s="3">
        <v>46233.65914210648</v>
      </c>
    </row>
    <row r="32" spans="1:15" ht="75" x14ac:dyDescent="0.25">
      <c r="A32" s="5" t="s">
        <v>221</v>
      </c>
      <c r="B32" s="1" t="s">
        <v>6392</v>
      </c>
      <c r="C32" s="1">
        <v>1992</v>
      </c>
      <c r="D32" s="1" t="s">
        <v>6393</v>
      </c>
      <c r="G32" s="1" t="s">
        <v>11</v>
      </c>
      <c r="H32" s="2" t="s">
        <v>6394</v>
      </c>
      <c r="J32" s="3">
        <v>45167.606585648151</v>
      </c>
      <c r="K32" s="2" t="s">
        <v>6395</v>
      </c>
      <c r="L32" s="1">
        <v>5</v>
      </c>
      <c r="M32" s="1">
        <v>5</v>
      </c>
      <c r="N32" s="1">
        <v>0</v>
      </c>
      <c r="O32" s="3">
        <v>46233.65914210648</v>
      </c>
    </row>
    <row r="33" spans="1:15" x14ac:dyDescent="0.25">
      <c r="A33" s="5" t="s">
        <v>203</v>
      </c>
      <c r="B33" s="1" t="s">
        <v>6374</v>
      </c>
      <c r="C33" s="1">
        <v>1954</v>
      </c>
      <c r="G33" s="1" t="s">
        <v>10</v>
      </c>
      <c r="J33" s="3">
        <v>44444.163680555554</v>
      </c>
      <c r="K33" s="2" t="s">
        <v>6375</v>
      </c>
      <c r="L33" s="1">
        <v>1</v>
      </c>
      <c r="M33" s="1">
        <v>1</v>
      </c>
      <c r="N33" s="1">
        <v>0</v>
      </c>
      <c r="O33" s="3">
        <v>46233.65914210648</v>
      </c>
    </row>
    <row r="34" spans="1:15" ht="30" x14ac:dyDescent="0.25">
      <c r="A34" s="5" t="s">
        <v>1112</v>
      </c>
      <c r="B34" s="1" t="s">
        <v>6479</v>
      </c>
      <c r="C34" s="1">
        <v>1979</v>
      </c>
      <c r="D34" s="1" t="s">
        <v>14</v>
      </c>
      <c r="G34" s="1" t="s">
        <v>11</v>
      </c>
      <c r="J34" s="3">
        <v>45406.577453703707</v>
      </c>
      <c r="K34" s="2" t="s">
        <v>6480</v>
      </c>
      <c r="L34" s="1">
        <v>22</v>
      </c>
      <c r="M34" s="1">
        <v>22</v>
      </c>
      <c r="N34" s="1">
        <v>0</v>
      </c>
      <c r="O34" s="3">
        <v>46233.65914210648</v>
      </c>
    </row>
    <row r="35" spans="1:15" x14ac:dyDescent="0.25">
      <c r="A35" s="5" t="s">
        <v>206</v>
      </c>
      <c r="B35" s="1" t="s">
        <v>6376</v>
      </c>
      <c r="C35" s="1">
        <v>1965</v>
      </c>
      <c r="G35" s="1" t="s">
        <v>10</v>
      </c>
      <c r="J35" s="3">
        <v>45359.532719907409</v>
      </c>
      <c r="K35" s="2" t="s">
        <v>6377</v>
      </c>
      <c r="L35" s="1">
        <v>4</v>
      </c>
      <c r="M35" s="1">
        <v>4</v>
      </c>
      <c r="N35" s="1">
        <v>0</v>
      </c>
      <c r="O35" s="3">
        <v>46233.65914210648</v>
      </c>
    </row>
    <row r="36" spans="1:15" ht="90" x14ac:dyDescent="0.25">
      <c r="A36" s="5" t="s">
        <v>209</v>
      </c>
      <c r="B36" s="1" t="s">
        <v>6379</v>
      </c>
      <c r="G36" s="1" t="s">
        <v>10</v>
      </c>
      <c r="J36" s="3">
        <v>44441.449849537035</v>
      </c>
      <c r="K36" s="2" t="s">
        <v>6380</v>
      </c>
      <c r="L36" s="1">
        <v>1</v>
      </c>
      <c r="M36" s="1">
        <v>2</v>
      </c>
      <c r="N36" s="1">
        <v>1</v>
      </c>
      <c r="O36" s="3">
        <v>46233.65914210648</v>
      </c>
    </row>
    <row r="37" spans="1:15" ht="135" x14ac:dyDescent="0.25">
      <c r="A37" s="5" t="s">
        <v>212</v>
      </c>
      <c r="B37" s="1" t="s">
        <v>6381</v>
      </c>
      <c r="C37" s="1" t="s">
        <v>12</v>
      </c>
      <c r="G37" s="1" t="s">
        <v>10</v>
      </c>
      <c r="J37" s="3">
        <v>45356.684745370374</v>
      </c>
      <c r="K37" s="2" t="s">
        <v>6382</v>
      </c>
      <c r="L37" s="1">
        <v>1</v>
      </c>
      <c r="M37" s="1">
        <v>1</v>
      </c>
      <c r="N37" s="1">
        <v>0</v>
      </c>
      <c r="O37" s="3">
        <v>46233.65914210648</v>
      </c>
    </row>
    <row r="38" spans="1:15" x14ac:dyDescent="0.25">
      <c r="A38" s="5" t="s">
        <v>251</v>
      </c>
      <c r="B38" s="1" t="s">
        <v>6418</v>
      </c>
      <c r="D38" s="1" t="s">
        <v>153</v>
      </c>
      <c r="G38" s="1" t="s">
        <v>10</v>
      </c>
      <c r="J38" s="3">
        <v>44952.653217592589</v>
      </c>
      <c r="L38" s="1">
        <v>9</v>
      </c>
      <c r="M38" s="1">
        <v>9</v>
      </c>
      <c r="N38" s="1">
        <v>0</v>
      </c>
      <c r="O38" s="3">
        <v>46233.65914210648</v>
      </c>
    </row>
    <row r="39" spans="1:15" x14ac:dyDescent="0.25">
      <c r="A39" s="5" t="s">
        <v>1394</v>
      </c>
      <c r="B39" s="1" t="s">
        <v>6570</v>
      </c>
      <c r="C39" s="1">
        <v>1985</v>
      </c>
      <c r="D39" s="1" t="s">
        <v>14</v>
      </c>
      <c r="G39" s="1" t="s">
        <v>11</v>
      </c>
      <c r="J39" s="3">
        <v>45407.43440972222</v>
      </c>
      <c r="L39" s="1">
        <v>18</v>
      </c>
      <c r="M39" s="1">
        <v>19</v>
      </c>
      <c r="N39" s="1">
        <v>1</v>
      </c>
      <c r="O39" s="3">
        <v>46233.65914210648</v>
      </c>
    </row>
    <row r="40" spans="1:15" ht="45" x14ac:dyDescent="0.25">
      <c r="A40" s="5" t="s">
        <v>215</v>
      </c>
      <c r="B40" s="1" t="s">
        <v>6385</v>
      </c>
      <c r="C40" s="1">
        <v>1914</v>
      </c>
      <c r="E40" s="1">
        <v>2007</v>
      </c>
      <c r="G40" s="1" t="s">
        <v>10</v>
      </c>
      <c r="J40" s="3">
        <v>44461.562604166669</v>
      </c>
      <c r="K40" s="2" t="s">
        <v>6387</v>
      </c>
      <c r="L40" s="1">
        <v>6</v>
      </c>
      <c r="M40" s="1">
        <v>16</v>
      </c>
      <c r="N40" s="1">
        <v>10</v>
      </c>
      <c r="O40" s="3">
        <v>46233.65914210648</v>
      </c>
    </row>
    <row r="41" spans="1:15" ht="30" x14ac:dyDescent="0.25">
      <c r="A41" s="5" t="s">
        <v>329</v>
      </c>
      <c r="B41" s="1" t="s">
        <v>6421</v>
      </c>
      <c r="C41" s="1">
        <v>1985</v>
      </c>
      <c r="D41" s="1" t="s">
        <v>6422</v>
      </c>
      <c r="J41" s="3">
        <v>45133.342557870368</v>
      </c>
      <c r="K41" s="2" t="s">
        <v>6423</v>
      </c>
      <c r="L41" s="1">
        <v>5</v>
      </c>
      <c r="M41" s="1">
        <v>5</v>
      </c>
      <c r="N41" s="1">
        <v>0</v>
      </c>
      <c r="O41" s="3">
        <v>46233.65914210648</v>
      </c>
    </row>
    <row r="42" spans="1:15" ht="240" x14ac:dyDescent="0.25">
      <c r="A42" s="5" t="s">
        <v>218</v>
      </c>
      <c r="B42" s="1" t="s">
        <v>6388</v>
      </c>
      <c r="C42" s="1" t="s">
        <v>12</v>
      </c>
      <c r="G42" s="1" t="s">
        <v>11</v>
      </c>
      <c r="J42" s="3">
        <v>45357.126099537039</v>
      </c>
      <c r="K42" s="2" t="s">
        <v>6389</v>
      </c>
      <c r="L42" s="1">
        <v>2</v>
      </c>
      <c r="M42" s="1">
        <v>4</v>
      </c>
      <c r="N42" s="1">
        <v>2</v>
      </c>
      <c r="O42" s="3">
        <v>46233.65914210648</v>
      </c>
    </row>
    <row r="43" spans="1:15" ht="60" x14ac:dyDescent="0.25">
      <c r="A43" s="5" t="s">
        <v>593</v>
      </c>
      <c r="B43" s="1" t="s">
        <v>6429</v>
      </c>
      <c r="C43" s="1">
        <v>1881</v>
      </c>
      <c r="D43" s="1" t="s">
        <v>6430</v>
      </c>
      <c r="E43" s="1">
        <v>1960</v>
      </c>
      <c r="F43" s="1" t="s">
        <v>14</v>
      </c>
      <c r="G43" s="1" t="s">
        <v>10</v>
      </c>
      <c r="J43" s="3">
        <v>45407.57880787037</v>
      </c>
      <c r="K43" s="2" t="s">
        <v>6431</v>
      </c>
      <c r="L43" s="1">
        <v>12</v>
      </c>
      <c r="M43" s="1">
        <v>14</v>
      </c>
      <c r="N43" s="1">
        <v>2</v>
      </c>
      <c r="O43" s="3">
        <v>46233.65914210648</v>
      </c>
    </row>
    <row r="44" spans="1:15" x14ac:dyDescent="0.25">
      <c r="A44" s="5" t="s">
        <v>989</v>
      </c>
      <c r="B44" s="1" t="s">
        <v>6485</v>
      </c>
      <c r="C44" s="1">
        <v>1974</v>
      </c>
      <c r="D44" s="1" t="s">
        <v>14</v>
      </c>
      <c r="G44" s="1" t="s">
        <v>10</v>
      </c>
      <c r="J44" s="3">
        <v>45409.087106481478</v>
      </c>
      <c r="K44" s="2" t="s">
        <v>6486</v>
      </c>
      <c r="L44" s="1">
        <v>10</v>
      </c>
      <c r="M44" s="1">
        <v>14</v>
      </c>
      <c r="N44" s="1">
        <v>4</v>
      </c>
      <c r="O44" s="3">
        <v>46233.65914210648</v>
      </c>
    </row>
    <row r="45" spans="1:15" ht="135" x14ac:dyDescent="0.25">
      <c r="A45" s="5" t="s">
        <v>224</v>
      </c>
      <c r="B45" s="1" t="s">
        <v>6396</v>
      </c>
      <c r="J45" s="3">
        <v>45359.48978009259</v>
      </c>
      <c r="K45" s="2" t="s">
        <v>6397</v>
      </c>
      <c r="L45" s="1">
        <v>1</v>
      </c>
      <c r="M45" s="1">
        <v>1</v>
      </c>
      <c r="N45" s="1">
        <v>0</v>
      </c>
      <c r="O45" s="3">
        <v>46233.65914210648</v>
      </c>
    </row>
    <row r="46" spans="1:15" x14ac:dyDescent="0.25">
      <c r="A46" s="5" t="s">
        <v>1190</v>
      </c>
      <c r="B46" s="1" t="s">
        <v>6491</v>
      </c>
      <c r="C46" s="1">
        <v>1973</v>
      </c>
      <c r="D46" s="1" t="s">
        <v>14</v>
      </c>
      <c r="G46" s="1" t="s">
        <v>11</v>
      </c>
      <c r="J46" s="3">
        <v>45408.73159722222</v>
      </c>
      <c r="K46" s="2" t="s">
        <v>6492</v>
      </c>
      <c r="L46" s="1">
        <v>28</v>
      </c>
      <c r="M46" s="1">
        <v>32</v>
      </c>
      <c r="N46" s="1">
        <v>4</v>
      </c>
      <c r="O46" s="3">
        <v>46233.65914210648</v>
      </c>
    </row>
    <row r="47" spans="1:15" x14ac:dyDescent="0.25">
      <c r="A47" s="5" t="s">
        <v>956</v>
      </c>
      <c r="B47" s="1" t="s">
        <v>6439</v>
      </c>
      <c r="C47" s="1">
        <v>1983</v>
      </c>
      <c r="D47" s="1" t="s">
        <v>14</v>
      </c>
      <c r="G47" s="1" t="s">
        <v>10</v>
      </c>
      <c r="I47" s="2" t="s">
        <v>6440</v>
      </c>
      <c r="J47" s="3">
        <v>45408.288530092592</v>
      </c>
      <c r="K47" s="2" t="s">
        <v>6441</v>
      </c>
      <c r="L47" s="1">
        <v>11</v>
      </c>
      <c r="M47" s="1">
        <v>11</v>
      </c>
      <c r="N47" s="1">
        <v>0</v>
      </c>
      <c r="O47" s="3">
        <v>46233.65914210648</v>
      </c>
    </row>
    <row r="48" spans="1:15" ht="30" x14ac:dyDescent="0.25">
      <c r="A48" s="5" t="s">
        <v>227</v>
      </c>
      <c r="B48" s="1" t="s">
        <v>6401</v>
      </c>
      <c r="C48" s="1">
        <v>1919</v>
      </c>
      <c r="E48" s="1">
        <v>2007</v>
      </c>
      <c r="G48" s="1" t="s">
        <v>10</v>
      </c>
      <c r="J48" s="3">
        <v>44601.565289351849</v>
      </c>
      <c r="K48" s="2" t="s">
        <v>6402</v>
      </c>
      <c r="L48" s="1">
        <v>2</v>
      </c>
      <c r="M48" s="1">
        <v>2</v>
      </c>
      <c r="N48" s="1">
        <v>0</v>
      </c>
      <c r="O48" s="3">
        <v>46233.65914210648</v>
      </c>
    </row>
    <row r="49" spans="1:15" ht="30" x14ac:dyDescent="0.25">
      <c r="A49" s="5" t="s">
        <v>1235</v>
      </c>
      <c r="B49" s="1" t="s">
        <v>6495</v>
      </c>
      <c r="C49" s="1">
        <v>1984</v>
      </c>
      <c r="D49" s="1" t="s">
        <v>14</v>
      </c>
      <c r="G49" s="1" t="s">
        <v>10</v>
      </c>
      <c r="J49" s="3">
        <v>45409.164907407408</v>
      </c>
      <c r="K49" s="2" t="s">
        <v>6496</v>
      </c>
      <c r="L49" s="1">
        <v>7</v>
      </c>
      <c r="M49" s="1">
        <v>8</v>
      </c>
      <c r="N49" s="1">
        <v>1</v>
      </c>
      <c r="O49" s="3">
        <v>46233.65914210648</v>
      </c>
    </row>
    <row r="50" spans="1:15" ht="75" x14ac:dyDescent="0.25">
      <c r="A50" s="5" t="s">
        <v>230</v>
      </c>
      <c r="B50" s="1" t="s">
        <v>6403</v>
      </c>
      <c r="C50" s="1">
        <v>1983</v>
      </c>
      <c r="G50" s="1" t="s">
        <v>11</v>
      </c>
      <c r="J50" s="3">
        <v>45356.561157407406</v>
      </c>
      <c r="K50" s="2" t="s">
        <v>6404</v>
      </c>
      <c r="L50" s="1">
        <v>3</v>
      </c>
      <c r="M50" s="1">
        <v>3</v>
      </c>
      <c r="N50" s="1">
        <v>0</v>
      </c>
      <c r="O50" s="3">
        <v>46233.65914210648</v>
      </c>
    </row>
    <row r="51" spans="1:15" ht="45" x14ac:dyDescent="0.25">
      <c r="A51" s="5" t="s">
        <v>839</v>
      </c>
      <c r="B51" s="1" t="s">
        <v>6454</v>
      </c>
      <c r="C51" s="1">
        <v>2002</v>
      </c>
      <c r="D51" s="1" t="s">
        <v>14</v>
      </c>
      <c r="G51" s="1" t="s">
        <v>10</v>
      </c>
      <c r="I51" s="2" t="s">
        <v>6455</v>
      </c>
      <c r="J51" s="3">
        <v>45413.445555555554</v>
      </c>
      <c r="K51" s="2" t="s">
        <v>6456</v>
      </c>
      <c r="L51" s="1">
        <v>1</v>
      </c>
      <c r="M51" s="1">
        <v>1</v>
      </c>
      <c r="N51" s="1">
        <v>0</v>
      </c>
      <c r="O51" s="3">
        <v>46233.65914210648</v>
      </c>
    </row>
    <row r="52" spans="1:15" ht="30" x14ac:dyDescent="0.25">
      <c r="A52" s="5" t="s">
        <v>233</v>
      </c>
      <c r="B52" s="1" t="s">
        <v>6405</v>
      </c>
      <c r="C52" s="1">
        <v>1963</v>
      </c>
      <c r="G52" s="1" t="s">
        <v>10</v>
      </c>
      <c r="J52" s="3">
        <v>44952.65320601852</v>
      </c>
      <c r="K52" s="2" t="s">
        <v>6407</v>
      </c>
      <c r="L52" s="1">
        <v>22</v>
      </c>
      <c r="M52" s="1">
        <v>24</v>
      </c>
      <c r="N52" s="1">
        <v>2</v>
      </c>
      <c r="O52" s="3">
        <v>46233.65914210648</v>
      </c>
    </row>
    <row r="53" spans="1:15" ht="60" x14ac:dyDescent="0.25">
      <c r="A53" s="5" t="s">
        <v>1025</v>
      </c>
      <c r="B53" s="1" t="s">
        <v>6501</v>
      </c>
      <c r="C53" s="1">
        <v>1970</v>
      </c>
      <c r="G53" s="1" t="s">
        <v>10</v>
      </c>
      <c r="H53" s="2" t="s">
        <v>6502</v>
      </c>
      <c r="J53" s="3">
        <v>45408.881585648145</v>
      </c>
      <c r="K53" s="2" t="s">
        <v>6503</v>
      </c>
      <c r="L53" s="1">
        <v>38</v>
      </c>
      <c r="M53" s="1">
        <v>62</v>
      </c>
      <c r="N53" s="1">
        <v>24</v>
      </c>
      <c r="O53" s="3">
        <v>46233.65914210648</v>
      </c>
    </row>
    <row r="54" spans="1:15" ht="30" x14ac:dyDescent="0.25">
      <c r="A54" s="5" t="s">
        <v>236</v>
      </c>
      <c r="B54" s="1" t="s">
        <v>6408</v>
      </c>
      <c r="C54" s="1" t="s">
        <v>12</v>
      </c>
      <c r="G54" s="1" t="s">
        <v>11</v>
      </c>
      <c r="J54" s="3">
        <v>45358.198217592595</v>
      </c>
      <c r="K54" s="2" t="s">
        <v>6409</v>
      </c>
      <c r="L54" s="1">
        <v>3</v>
      </c>
      <c r="M54" s="1">
        <v>3</v>
      </c>
      <c r="N54" s="1">
        <v>0</v>
      </c>
      <c r="O54" s="3">
        <v>46233.65914210648</v>
      </c>
    </row>
    <row r="55" spans="1:15" ht="30" x14ac:dyDescent="0.25">
      <c r="A55" s="5" t="s">
        <v>239</v>
      </c>
      <c r="B55" s="1" t="s">
        <v>6410</v>
      </c>
      <c r="C55" s="1">
        <v>1961</v>
      </c>
      <c r="G55" s="1" t="s">
        <v>10</v>
      </c>
      <c r="J55" s="3">
        <v>44714.4371875</v>
      </c>
      <c r="K55" s="2" t="s">
        <v>6411</v>
      </c>
      <c r="L55" s="1">
        <v>2</v>
      </c>
      <c r="M55" s="1">
        <v>2</v>
      </c>
      <c r="N55" s="1">
        <v>0</v>
      </c>
      <c r="O55" s="3">
        <v>46233.65914210648</v>
      </c>
    </row>
    <row r="56" spans="1:15" x14ac:dyDescent="0.25">
      <c r="A56" s="5" t="s">
        <v>1295</v>
      </c>
      <c r="B56" s="1" t="s">
        <v>6506</v>
      </c>
      <c r="C56" s="1">
        <v>1979</v>
      </c>
      <c r="D56" s="1" t="s">
        <v>18</v>
      </c>
      <c r="G56" s="1" t="s">
        <v>10</v>
      </c>
      <c r="J56" s="3">
        <v>45405.964953703704</v>
      </c>
      <c r="K56" s="2" t="s">
        <v>6507</v>
      </c>
      <c r="L56" s="1">
        <v>4</v>
      </c>
      <c r="M56" s="1">
        <v>4</v>
      </c>
      <c r="N56" s="1">
        <v>0</v>
      </c>
      <c r="O56" s="3">
        <v>46233.65914210648</v>
      </c>
    </row>
    <row r="57" spans="1:15" x14ac:dyDescent="0.25">
      <c r="A57" s="5" t="s">
        <v>242</v>
      </c>
      <c r="B57" s="1" t="s">
        <v>6412</v>
      </c>
      <c r="C57" s="1" t="s">
        <v>12</v>
      </c>
      <c r="G57" s="1" t="s">
        <v>10</v>
      </c>
      <c r="J57" s="3">
        <v>44444.196817129632</v>
      </c>
      <c r="K57" s="2" t="s">
        <v>6413</v>
      </c>
      <c r="L57" s="1">
        <v>1</v>
      </c>
      <c r="M57" s="1">
        <v>1</v>
      </c>
      <c r="N57" s="1">
        <v>0</v>
      </c>
      <c r="O57" s="3">
        <v>46233.65914210648</v>
      </c>
    </row>
    <row r="58" spans="1:15" x14ac:dyDescent="0.25">
      <c r="A58" s="5" t="s">
        <v>245</v>
      </c>
      <c r="B58" s="1" t="s">
        <v>6414</v>
      </c>
      <c r="C58" s="1">
        <v>1839</v>
      </c>
      <c r="E58" s="1">
        <v>1910</v>
      </c>
      <c r="G58" s="1" t="s">
        <v>10</v>
      </c>
      <c r="J58" s="3">
        <v>44444.141319444447</v>
      </c>
      <c r="K58" s="2" t="s">
        <v>6417</v>
      </c>
      <c r="L58" s="1">
        <v>6</v>
      </c>
      <c r="M58" s="1">
        <v>7</v>
      </c>
      <c r="N58" s="1">
        <v>1</v>
      </c>
      <c r="O58" s="3">
        <v>46233.65914210648</v>
      </c>
    </row>
    <row r="59" spans="1:15" ht="105" x14ac:dyDescent="0.25">
      <c r="A59" s="5" t="s">
        <v>248</v>
      </c>
      <c r="B59" s="1" t="s">
        <v>6419</v>
      </c>
      <c r="C59" s="1">
        <v>1935</v>
      </c>
      <c r="G59" s="1" t="s">
        <v>11</v>
      </c>
      <c r="J59" s="3">
        <v>45201.696238425924</v>
      </c>
      <c r="K59" s="2" t="s">
        <v>6420</v>
      </c>
      <c r="L59" s="1">
        <v>4</v>
      </c>
      <c r="M59" s="1">
        <v>4</v>
      </c>
      <c r="N59" s="1">
        <v>0</v>
      </c>
      <c r="O59" s="3">
        <v>46233.65914210648</v>
      </c>
    </row>
    <row r="60" spans="1:15" ht="60" x14ac:dyDescent="0.25">
      <c r="A60" s="5" t="s">
        <v>254</v>
      </c>
      <c r="B60" s="1" t="s">
        <v>6424</v>
      </c>
      <c r="C60" s="1">
        <v>1959</v>
      </c>
      <c r="G60" s="1" t="s">
        <v>11</v>
      </c>
      <c r="J60" s="3">
        <v>45345.531898148147</v>
      </c>
      <c r="K60" s="2" t="s">
        <v>6425</v>
      </c>
      <c r="L60" s="1">
        <v>2</v>
      </c>
      <c r="M60" s="1">
        <v>2</v>
      </c>
      <c r="N60" s="1">
        <v>0</v>
      </c>
      <c r="O60" s="3">
        <v>46233.65914210648</v>
      </c>
    </row>
    <row r="61" spans="1:15" x14ac:dyDescent="0.25">
      <c r="A61" s="5" t="s">
        <v>257</v>
      </c>
      <c r="B61" s="1" t="s">
        <v>6426</v>
      </c>
      <c r="C61" s="1">
        <v>1909</v>
      </c>
      <c r="E61" s="1">
        <v>1998</v>
      </c>
      <c r="G61" s="1" t="s">
        <v>11</v>
      </c>
      <c r="J61" s="3">
        <v>44444.170324074075</v>
      </c>
      <c r="K61" s="2" t="s">
        <v>6428</v>
      </c>
      <c r="L61" s="1">
        <v>1</v>
      </c>
      <c r="M61" s="1">
        <v>1</v>
      </c>
      <c r="N61" s="1">
        <v>0</v>
      </c>
      <c r="O61" s="3">
        <v>46233.65914210648</v>
      </c>
    </row>
    <row r="62" spans="1:15" ht="150" x14ac:dyDescent="0.25">
      <c r="A62" s="5" t="s">
        <v>1580</v>
      </c>
      <c r="B62" s="1" t="s">
        <v>6578</v>
      </c>
      <c r="C62" s="1">
        <v>1957</v>
      </c>
      <c r="D62" s="1" t="s">
        <v>6579</v>
      </c>
      <c r="J62" s="3">
        <v>45517.686238425929</v>
      </c>
      <c r="K62" s="2" t="s">
        <v>6580</v>
      </c>
      <c r="L62" s="1">
        <v>8</v>
      </c>
      <c r="M62" s="1">
        <v>8</v>
      </c>
      <c r="N62" s="1">
        <v>0</v>
      </c>
      <c r="O62" s="3">
        <v>46233.65914210648</v>
      </c>
    </row>
    <row r="63" spans="1:15" x14ac:dyDescent="0.25">
      <c r="A63" s="5" t="s">
        <v>260</v>
      </c>
      <c r="B63" s="1" t="s">
        <v>6432</v>
      </c>
      <c r="C63" s="1" t="s">
        <v>12</v>
      </c>
      <c r="G63" s="1" t="s">
        <v>11</v>
      </c>
      <c r="J63" s="3">
        <v>45167.70521990741</v>
      </c>
      <c r="K63" s="2" t="s">
        <v>6433</v>
      </c>
      <c r="L63" s="1">
        <v>7</v>
      </c>
      <c r="M63" s="1">
        <v>8</v>
      </c>
      <c r="N63" s="1">
        <v>1</v>
      </c>
      <c r="O63" s="3">
        <v>46233.65914210648</v>
      </c>
    </row>
    <row r="64" spans="1:15" ht="180" x14ac:dyDescent="0.25">
      <c r="A64" s="5" t="s">
        <v>1184</v>
      </c>
      <c r="B64" s="1" t="s">
        <v>6512</v>
      </c>
      <c r="C64" s="1" t="s">
        <v>12</v>
      </c>
      <c r="G64" s="1" t="s">
        <v>10</v>
      </c>
      <c r="J64" s="3">
        <v>45370.406944444447</v>
      </c>
      <c r="K64" s="2" t="s">
        <v>6513</v>
      </c>
      <c r="L64" s="1">
        <v>17</v>
      </c>
      <c r="M64" s="1">
        <v>22</v>
      </c>
      <c r="N64" s="1">
        <v>5</v>
      </c>
      <c r="O64" s="3">
        <v>46233.65914210648</v>
      </c>
    </row>
    <row r="65" spans="1:15" x14ac:dyDescent="0.25">
      <c r="A65" s="5" t="s">
        <v>263</v>
      </c>
      <c r="B65" s="1" t="s">
        <v>6437</v>
      </c>
      <c r="C65" s="1">
        <v>1975</v>
      </c>
      <c r="G65" s="1" t="s">
        <v>10</v>
      </c>
      <c r="J65" s="3">
        <v>45356.480937499997</v>
      </c>
      <c r="K65" s="2" t="s">
        <v>6438</v>
      </c>
      <c r="L65" s="1">
        <v>1</v>
      </c>
      <c r="M65" s="1">
        <v>1</v>
      </c>
      <c r="N65" s="1">
        <v>0</v>
      </c>
      <c r="O65" s="3">
        <v>46233.65914210648</v>
      </c>
    </row>
    <row r="66" spans="1:15" ht="30" x14ac:dyDescent="0.25">
      <c r="A66" s="5" t="s">
        <v>1292</v>
      </c>
      <c r="B66" s="1" t="s">
        <v>6515</v>
      </c>
      <c r="C66" s="1" t="s">
        <v>12</v>
      </c>
      <c r="D66" s="1" t="s">
        <v>6516</v>
      </c>
      <c r="G66" s="1" t="s">
        <v>11</v>
      </c>
      <c r="J66" s="3">
        <v>45384.09820601852</v>
      </c>
      <c r="K66" s="2" t="s">
        <v>6517</v>
      </c>
      <c r="L66" s="1">
        <v>9</v>
      </c>
      <c r="M66" s="1">
        <v>9</v>
      </c>
      <c r="N66" s="1">
        <v>0</v>
      </c>
      <c r="O66" s="3">
        <v>46233.65914210648</v>
      </c>
    </row>
    <row r="67" spans="1:15" ht="60" x14ac:dyDescent="0.25">
      <c r="A67" s="5" t="s">
        <v>1499</v>
      </c>
      <c r="B67" s="1" t="s">
        <v>6520</v>
      </c>
      <c r="C67" s="1">
        <v>1948</v>
      </c>
      <c r="D67" s="1" t="s">
        <v>14</v>
      </c>
      <c r="G67" s="1" t="s">
        <v>10</v>
      </c>
      <c r="H67" s="2" t="s">
        <v>6521</v>
      </c>
      <c r="I67" s="2" t="s">
        <v>6522</v>
      </c>
      <c r="J67" s="3">
        <v>45574.422233796293</v>
      </c>
      <c r="K67" s="2" t="s">
        <v>6523</v>
      </c>
      <c r="L67" s="1">
        <v>145</v>
      </c>
      <c r="M67" s="1">
        <v>157</v>
      </c>
      <c r="N67" s="1">
        <v>12</v>
      </c>
      <c r="O67" s="3">
        <v>46233.65914210648</v>
      </c>
    </row>
    <row r="68" spans="1:15" x14ac:dyDescent="0.25">
      <c r="A68" s="5" t="s">
        <v>1706</v>
      </c>
      <c r="B68" s="1" t="s">
        <v>6586</v>
      </c>
      <c r="C68" s="1" t="s">
        <v>12</v>
      </c>
      <c r="G68" s="1" t="s">
        <v>11</v>
      </c>
      <c r="J68" s="3">
        <v>45421.49722222222</v>
      </c>
      <c r="K68" s="2" t="s">
        <v>6587</v>
      </c>
      <c r="L68" s="1">
        <v>38</v>
      </c>
      <c r="M68" s="1">
        <v>54</v>
      </c>
      <c r="N68" s="1">
        <v>16</v>
      </c>
      <c r="O68" s="3">
        <v>46233.65914210648</v>
      </c>
    </row>
    <row r="69" spans="1:15" x14ac:dyDescent="0.25">
      <c r="A69" s="5" t="s">
        <v>269</v>
      </c>
      <c r="B69" s="1" t="s">
        <v>6442</v>
      </c>
      <c r="C69" s="1">
        <v>1983</v>
      </c>
      <c r="G69" s="1" t="s">
        <v>10</v>
      </c>
      <c r="J69" s="3">
        <v>45358.688449074078</v>
      </c>
      <c r="K69" s="2" t="s">
        <v>6438</v>
      </c>
      <c r="L69" s="1">
        <v>1</v>
      </c>
      <c r="M69" s="1">
        <v>1</v>
      </c>
      <c r="N69" s="1">
        <v>0</v>
      </c>
      <c r="O69" s="3">
        <v>46233.65914210648</v>
      </c>
    </row>
    <row r="70" spans="1:15" ht="120" x14ac:dyDescent="0.25">
      <c r="A70" s="5" t="s">
        <v>1634</v>
      </c>
      <c r="B70" s="1" t="s">
        <v>6530</v>
      </c>
      <c r="D70" s="1" t="s">
        <v>6531</v>
      </c>
      <c r="G70" s="1" t="s">
        <v>11</v>
      </c>
      <c r="I70" s="2" t="s">
        <v>6455</v>
      </c>
      <c r="J70" s="3">
        <v>45518.691168981481</v>
      </c>
      <c r="K70" s="2" t="s">
        <v>6532</v>
      </c>
      <c r="L70" s="1">
        <v>4</v>
      </c>
      <c r="M70" s="1">
        <v>14</v>
      </c>
      <c r="N70" s="1">
        <v>10</v>
      </c>
      <c r="O70" s="3">
        <v>46233.65914210648</v>
      </c>
    </row>
    <row r="71" spans="1:15" ht="60" x14ac:dyDescent="0.25">
      <c r="A71" s="5" t="s">
        <v>272</v>
      </c>
      <c r="B71" s="1" t="s">
        <v>6443</v>
      </c>
      <c r="C71" s="1">
        <v>1855</v>
      </c>
      <c r="E71" s="1">
        <v>1928</v>
      </c>
      <c r="G71" s="1" t="s">
        <v>10</v>
      </c>
      <c r="J71" s="3">
        <v>44444.141296296293</v>
      </c>
      <c r="K71" s="2" t="s">
        <v>6445</v>
      </c>
      <c r="L71" s="1">
        <v>5</v>
      </c>
      <c r="M71" s="1">
        <v>5</v>
      </c>
      <c r="N71" s="1">
        <v>0</v>
      </c>
      <c r="O71" s="3">
        <v>46233.65914210648</v>
      </c>
    </row>
    <row r="72" spans="1:15" x14ac:dyDescent="0.25">
      <c r="A72" s="5" t="s">
        <v>1574</v>
      </c>
      <c r="B72" s="1" t="s">
        <v>6591</v>
      </c>
      <c r="C72" s="1">
        <v>1866</v>
      </c>
      <c r="D72" s="1" t="s">
        <v>14</v>
      </c>
      <c r="E72" s="1">
        <v>1936</v>
      </c>
      <c r="F72" s="1" t="s">
        <v>14</v>
      </c>
      <c r="G72" s="1" t="s">
        <v>10</v>
      </c>
      <c r="J72" s="3">
        <v>45568.445868055554</v>
      </c>
      <c r="K72" s="2" t="s">
        <v>6592</v>
      </c>
      <c r="L72" s="1">
        <v>2</v>
      </c>
      <c r="M72" s="1">
        <v>2</v>
      </c>
      <c r="N72" s="1">
        <v>0</v>
      </c>
      <c r="O72" s="3">
        <v>46233.65914210648</v>
      </c>
    </row>
    <row r="73" spans="1:15" x14ac:dyDescent="0.25">
      <c r="A73" s="5" t="s">
        <v>275</v>
      </c>
      <c r="B73" s="1" t="s">
        <v>6451</v>
      </c>
      <c r="C73" s="1" t="s">
        <v>12</v>
      </c>
      <c r="G73" s="1" t="s">
        <v>11</v>
      </c>
      <c r="J73" s="3">
        <v>44444.141273148147</v>
      </c>
      <c r="K73" s="2" t="s">
        <v>6413</v>
      </c>
      <c r="L73" s="1">
        <v>1</v>
      </c>
      <c r="M73" s="1">
        <v>1</v>
      </c>
      <c r="N73" s="1">
        <v>0</v>
      </c>
      <c r="O73" s="3">
        <v>46233.65914210648</v>
      </c>
    </row>
    <row r="74" spans="1:15" ht="180" x14ac:dyDescent="0.25">
      <c r="A74" s="5" t="s">
        <v>278</v>
      </c>
      <c r="B74" s="1" t="s">
        <v>6452</v>
      </c>
      <c r="G74" s="1" t="s">
        <v>10</v>
      </c>
      <c r="J74" s="3">
        <v>45135.451689814814</v>
      </c>
      <c r="K74" s="2" t="s">
        <v>6453</v>
      </c>
      <c r="L74" s="1">
        <v>5</v>
      </c>
      <c r="M74" s="1">
        <v>7</v>
      </c>
      <c r="N74" s="1">
        <v>2</v>
      </c>
      <c r="O74" s="3">
        <v>46233.65914210648</v>
      </c>
    </row>
    <row r="75" spans="1:15" ht="105" x14ac:dyDescent="0.25">
      <c r="A75" s="5" t="s">
        <v>1676</v>
      </c>
      <c r="B75" s="1" t="s">
        <v>6600</v>
      </c>
      <c r="C75" s="1">
        <v>1959</v>
      </c>
      <c r="G75" s="1" t="s">
        <v>10</v>
      </c>
      <c r="J75" s="3">
        <v>45525.585717592592</v>
      </c>
      <c r="K75" s="2" t="s">
        <v>6601</v>
      </c>
      <c r="L75" s="1">
        <v>2</v>
      </c>
      <c r="M75" s="1">
        <v>2</v>
      </c>
      <c r="N75" s="1">
        <v>0</v>
      </c>
      <c r="O75" s="3">
        <v>46233.65914210648</v>
      </c>
    </row>
    <row r="76" spans="1:15" ht="45" x14ac:dyDescent="0.25">
      <c r="A76" s="5" t="s">
        <v>281</v>
      </c>
      <c r="B76" s="1" t="s">
        <v>6457</v>
      </c>
      <c r="C76" s="1">
        <v>1946</v>
      </c>
      <c r="E76" s="1">
        <v>2016</v>
      </c>
      <c r="G76" s="1" t="s">
        <v>10</v>
      </c>
      <c r="J76" s="3">
        <v>44538.696886574071</v>
      </c>
      <c r="K76" s="2" t="s">
        <v>6458</v>
      </c>
      <c r="L76" s="1">
        <v>5</v>
      </c>
      <c r="M76" s="1">
        <v>5</v>
      </c>
      <c r="N76" s="1">
        <v>0</v>
      </c>
      <c r="O76" s="3">
        <v>46233.65914210648</v>
      </c>
    </row>
    <row r="77" spans="1:15" ht="225" x14ac:dyDescent="0.25">
      <c r="A77" s="5" t="s">
        <v>284</v>
      </c>
      <c r="B77" s="1" t="s">
        <v>6459</v>
      </c>
      <c r="C77" s="1" t="s">
        <v>12</v>
      </c>
      <c r="G77" s="1" t="s">
        <v>10</v>
      </c>
      <c r="J77" s="3">
        <v>44444.169247685182</v>
      </c>
      <c r="K77" s="2" t="s">
        <v>6460</v>
      </c>
      <c r="L77" s="1">
        <v>1</v>
      </c>
      <c r="M77" s="1">
        <v>1</v>
      </c>
      <c r="N77" s="1">
        <v>0</v>
      </c>
      <c r="O77" s="3">
        <v>46233.65914210648</v>
      </c>
    </row>
    <row r="78" spans="1:15" ht="45" x14ac:dyDescent="0.25">
      <c r="A78" s="5" t="s">
        <v>287</v>
      </c>
      <c r="B78" s="1" t="s">
        <v>6464</v>
      </c>
      <c r="C78" s="1">
        <v>1971</v>
      </c>
      <c r="G78" s="1" t="s">
        <v>11</v>
      </c>
      <c r="J78" s="3">
        <v>44862.481458333335</v>
      </c>
      <c r="K78" s="2" t="s">
        <v>6465</v>
      </c>
      <c r="L78" s="1">
        <v>3</v>
      </c>
      <c r="M78" s="1">
        <v>9</v>
      </c>
      <c r="N78" s="1">
        <v>6</v>
      </c>
      <c r="O78" s="3">
        <v>46233.65914210648</v>
      </c>
    </row>
    <row r="79" spans="1:15" ht="45" x14ac:dyDescent="0.25">
      <c r="A79" s="5" t="s">
        <v>290</v>
      </c>
      <c r="B79" s="1" t="s">
        <v>6466</v>
      </c>
      <c r="C79" s="1">
        <v>1965</v>
      </c>
      <c r="G79" s="1" t="s">
        <v>10</v>
      </c>
      <c r="J79" s="3">
        <v>45154.707951388889</v>
      </c>
      <c r="K79" s="2" t="s">
        <v>6467</v>
      </c>
      <c r="L79" s="1">
        <v>7</v>
      </c>
      <c r="M79" s="1">
        <v>15</v>
      </c>
      <c r="N79" s="1">
        <v>8</v>
      </c>
      <c r="O79" s="3">
        <v>46233.65914210648</v>
      </c>
    </row>
    <row r="80" spans="1:15" x14ac:dyDescent="0.25">
      <c r="A80" s="5" t="s">
        <v>293</v>
      </c>
      <c r="B80" s="1" t="s">
        <v>6470</v>
      </c>
      <c r="C80" s="1" t="s">
        <v>12</v>
      </c>
      <c r="G80" s="1" t="s">
        <v>10</v>
      </c>
      <c r="J80" s="3">
        <v>45357.299733796295</v>
      </c>
      <c r="K80" s="2" t="s">
        <v>6471</v>
      </c>
      <c r="L80" s="1">
        <v>1</v>
      </c>
      <c r="M80" s="1">
        <v>1</v>
      </c>
      <c r="N80" s="1">
        <v>0</v>
      </c>
      <c r="O80" s="3">
        <v>46233.65914210648</v>
      </c>
    </row>
    <row r="81" spans="1:15" ht="195" x14ac:dyDescent="0.25">
      <c r="A81" s="5" t="s">
        <v>296</v>
      </c>
      <c r="B81" s="1" t="s">
        <v>6472</v>
      </c>
      <c r="C81" s="1">
        <v>1936</v>
      </c>
      <c r="E81" s="1">
        <v>2020</v>
      </c>
      <c r="G81" s="1" t="s">
        <v>10</v>
      </c>
      <c r="J81" s="3">
        <v>45030.441111111111</v>
      </c>
      <c r="K81" s="2" t="s">
        <v>6474</v>
      </c>
      <c r="L81" s="1">
        <v>1</v>
      </c>
      <c r="M81" s="1">
        <v>1</v>
      </c>
      <c r="N81" s="1">
        <v>0</v>
      </c>
      <c r="O81" s="3">
        <v>46233.65914210648</v>
      </c>
    </row>
    <row r="82" spans="1:15" ht="75" x14ac:dyDescent="0.25">
      <c r="A82" s="5" t="s">
        <v>299</v>
      </c>
      <c r="B82" s="1" t="s">
        <v>6477</v>
      </c>
      <c r="C82" s="1">
        <v>1976</v>
      </c>
      <c r="G82" s="1" t="s">
        <v>11</v>
      </c>
      <c r="J82" s="3">
        <v>45357.012395833335</v>
      </c>
      <c r="K82" s="2" t="s">
        <v>6478</v>
      </c>
      <c r="L82" s="1">
        <v>1</v>
      </c>
      <c r="M82" s="1">
        <v>1</v>
      </c>
      <c r="N82" s="1">
        <v>0</v>
      </c>
      <c r="O82" s="3">
        <v>46233.65914210648</v>
      </c>
    </row>
    <row r="83" spans="1:15" x14ac:dyDescent="0.25">
      <c r="A83" s="5" t="s">
        <v>305</v>
      </c>
      <c r="B83" s="1" t="s">
        <v>6481</v>
      </c>
      <c r="C83" s="1">
        <v>1978</v>
      </c>
      <c r="G83" s="1" t="s">
        <v>11</v>
      </c>
      <c r="J83" s="3">
        <v>45357.68990740741</v>
      </c>
      <c r="K83" s="2" t="s">
        <v>6483</v>
      </c>
      <c r="L83" s="1">
        <v>2</v>
      </c>
      <c r="M83" s="1">
        <v>3</v>
      </c>
      <c r="N83" s="1">
        <v>1</v>
      </c>
      <c r="O83" s="3">
        <v>46233.65914210648</v>
      </c>
    </row>
    <row r="84" spans="1:15" x14ac:dyDescent="0.25">
      <c r="A84" s="5" t="s">
        <v>308</v>
      </c>
      <c r="B84" s="1" t="s">
        <v>6484</v>
      </c>
      <c r="C84" s="1" t="s">
        <v>12</v>
      </c>
      <c r="J84" s="3">
        <v>45002.486446759256</v>
      </c>
      <c r="L84" s="1">
        <v>1</v>
      </c>
      <c r="M84" s="1">
        <v>1</v>
      </c>
      <c r="N84" s="1">
        <v>0</v>
      </c>
      <c r="O84" s="3">
        <v>46233.65914210648</v>
      </c>
    </row>
    <row r="85" spans="1:15" x14ac:dyDescent="0.25">
      <c r="A85" s="5" t="s">
        <v>311</v>
      </c>
      <c r="B85" s="1" t="s">
        <v>6487</v>
      </c>
      <c r="C85" s="1" t="s">
        <v>12</v>
      </c>
      <c r="G85" s="1" t="s">
        <v>11</v>
      </c>
      <c r="J85" s="3">
        <v>45358.396793981483</v>
      </c>
      <c r="K85" s="2" t="s">
        <v>6488</v>
      </c>
      <c r="L85" s="1">
        <v>1</v>
      </c>
      <c r="M85" s="1">
        <v>1</v>
      </c>
      <c r="N85" s="1">
        <v>0</v>
      </c>
      <c r="O85" s="3">
        <v>46233.65914210648</v>
      </c>
    </row>
    <row r="86" spans="1:15" x14ac:dyDescent="0.25">
      <c r="A86" s="5" t="s">
        <v>314</v>
      </c>
      <c r="B86" s="1" t="s">
        <v>6489</v>
      </c>
      <c r="C86" s="1">
        <v>1959</v>
      </c>
      <c r="G86" s="1" t="s">
        <v>11</v>
      </c>
      <c r="J86" s="3">
        <v>45359.316180555557</v>
      </c>
      <c r="K86" s="2" t="s">
        <v>6490</v>
      </c>
      <c r="L86" s="1">
        <v>1</v>
      </c>
      <c r="M86" s="1">
        <v>1</v>
      </c>
      <c r="N86" s="1">
        <v>0</v>
      </c>
      <c r="O86" s="3">
        <v>46233.65914210648</v>
      </c>
    </row>
    <row r="87" spans="1:15" x14ac:dyDescent="0.25">
      <c r="A87" s="5" t="s">
        <v>317</v>
      </c>
      <c r="B87" s="1" t="s">
        <v>6493</v>
      </c>
      <c r="C87" s="1">
        <v>1900</v>
      </c>
      <c r="E87" s="1">
        <v>1980</v>
      </c>
      <c r="G87" s="1" t="s">
        <v>10</v>
      </c>
      <c r="J87" s="3">
        <v>45019.614606481482</v>
      </c>
      <c r="K87" s="2" t="s">
        <v>6494</v>
      </c>
      <c r="L87" s="1">
        <v>3</v>
      </c>
      <c r="M87" s="1">
        <v>3</v>
      </c>
      <c r="N87" s="1">
        <v>0</v>
      </c>
      <c r="O87" s="3">
        <v>46233.65914210648</v>
      </c>
    </row>
    <row r="88" spans="1:15" ht="75" x14ac:dyDescent="0.25">
      <c r="A88" s="5" t="s">
        <v>320</v>
      </c>
      <c r="B88" s="1" t="s">
        <v>6497</v>
      </c>
      <c r="C88" s="1">
        <v>1995</v>
      </c>
      <c r="G88" s="1" t="s">
        <v>10</v>
      </c>
      <c r="J88" s="3">
        <v>44444.110821759263</v>
      </c>
      <c r="K88" s="2" t="s">
        <v>6498</v>
      </c>
      <c r="L88" s="1">
        <v>1</v>
      </c>
      <c r="M88" s="1">
        <v>1</v>
      </c>
      <c r="N88" s="1">
        <v>0</v>
      </c>
      <c r="O88" s="3">
        <v>46233.65914210648</v>
      </c>
    </row>
    <row r="89" spans="1:15" ht="60" x14ac:dyDescent="0.25">
      <c r="A89" s="5" t="s">
        <v>323</v>
      </c>
      <c r="B89" s="1" t="s">
        <v>6499</v>
      </c>
      <c r="C89" s="1">
        <v>1906</v>
      </c>
      <c r="E89" s="1">
        <v>1966</v>
      </c>
      <c r="G89" s="1" t="s">
        <v>10</v>
      </c>
      <c r="J89" s="3">
        <v>45036.475439814814</v>
      </c>
      <c r="K89" s="2" t="s">
        <v>6500</v>
      </c>
      <c r="L89" s="1">
        <v>2</v>
      </c>
      <c r="M89" s="1">
        <v>2</v>
      </c>
      <c r="N89" s="1">
        <v>0</v>
      </c>
      <c r="O89" s="3">
        <v>46233.65914210648</v>
      </c>
    </row>
    <row r="90" spans="1:15" ht="90" x14ac:dyDescent="0.25">
      <c r="A90" s="5" t="s">
        <v>326</v>
      </c>
      <c r="B90" s="1" t="s">
        <v>6504</v>
      </c>
      <c r="C90" s="1">
        <v>1971</v>
      </c>
      <c r="G90" s="1" t="s">
        <v>11</v>
      </c>
      <c r="J90" s="3">
        <v>45328.540925925925</v>
      </c>
      <c r="K90" s="2" t="s">
        <v>6505</v>
      </c>
      <c r="L90" s="1">
        <v>1</v>
      </c>
      <c r="M90" s="1">
        <v>1</v>
      </c>
      <c r="N90" s="1">
        <v>0</v>
      </c>
      <c r="O90" s="3">
        <v>46233.65914210648</v>
      </c>
    </row>
    <row r="91" spans="1:15" ht="135" x14ac:dyDescent="0.25">
      <c r="A91" s="5" t="s">
        <v>332</v>
      </c>
      <c r="B91" s="1" t="s">
        <v>6508</v>
      </c>
      <c r="C91" s="1">
        <v>1989</v>
      </c>
      <c r="G91" s="1" t="s">
        <v>11</v>
      </c>
      <c r="J91" s="3">
        <v>45209.593368055554</v>
      </c>
      <c r="K91" s="2" t="s">
        <v>6509</v>
      </c>
      <c r="L91" s="1">
        <v>2</v>
      </c>
      <c r="M91" s="1">
        <v>2</v>
      </c>
      <c r="N91" s="1">
        <v>0</v>
      </c>
      <c r="O91" s="3">
        <v>46233.65914210648</v>
      </c>
    </row>
    <row r="92" spans="1:15" ht="30" x14ac:dyDescent="0.25">
      <c r="A92" s="5" t="s">
        <v>335</v>
      </c>
      <c r="B92" s="1" t="s">
        <v>6510</v>
      </c>
      <c r="C92" s="1" t="s">
        <v>12</v>
      </c>
      <c r="G92" s="1" t="s">
        <v>10</v>
      </c>
      <c r="J92" s="3">
        <v>44444.22314814815</v>
      </c>
      <c r="K92" s="2" t="s">
        <v>6511</v>
      </c>
      <c r="L92" s="1">
        <v>1</v>
      </c>
      <c r="M92" s="1">
        <v>1</v>
      </c>
      <c r="N92" s="1">
        <v>0</v>
      </c>
      <c r="O92" s="3">
        <v>46233.65914210648</v>
      </c>
    </row>
    <row r="93" spans="1:15" x14ac:dyDescent="0.25">
      <c r="A93" s="5" t="s">
        <v>341</v>
      </c>
      <c r="B93" s="1" t="s">
        <v>6514</v>
      </c>
      <c r="C93" s="1">
        <v>1947</v>
      </c>
      <c r="E93" s="1">
        <v>2017</v>
      </c>
      <c r="G93" s="1" t="s">
        <v>11</v>
      </c>
      <c r="J93" s="3">
        <v>45357.58021990741</v>
      </c>
      <c r="K93" s="2" t="s">
        <v>126</v>
      </c>
      <c r="L93" s="1">
        <v>1</v>
      </c>
      <c r="M93" s="1">
        <v>1</v>
      </c>
      <c r="N93" s="1">
        <v>0</v>
      </c>
      <c r="O93" s="3">
        <v>46233.65914210648</v>
      </c>
    </row>
    <row r="94" spans="1:15" ht="30" x14ac:dyDescent="0.25">
      <c r="A94" s="5" t="s">
        <v>344</v>
      </c>
      <c r="B94" s="1" t="s">
        <v>6518</v>
      </c>
      <c r="C94" s="1">
        <v>1953</v>
      </c>
      <c r="G94" s="1" t="s">
        <v>10</v>
      </c>
      <c r="J94" s="3">
        <v>44531.664224537039</v>
      </c>
      <c r="K94" s="2" t="s">
        <v>6519</v>
      </c>
      <c r="L94" s="1">
        <v>2</v>
      </c>
      <c r="M94" s="1">
        <v>2</v>
      </c>
      <c r="N94" s="1">
        <v>0</v>
      </c>
      <c r="O94" s="3">
        <v>46233.65914210648</v>
      </c>
    </row>
    <row r="95" spans="1:15" ht="75" x14ac:dyDescent="0.25">
      <c r="A95" s="5" t="s">
        <v>347</v>
      </c>
      <c r="B95" s="1" t="s">
        <v>6524</v>
      </c>
      <c r="C95" s="1" t="s">
        <v>12</v>
      </c>
      <c r="G95" s="1" t="s">
        <v>11</v>
      </c>
      <c r="J95" s="3">
        <v>44444.169166666667</v>
      </c>
      <c r="K95" s="2" t="s">
        <v>6525</v>
      </c>
      <c r="L95" s="1">
        <v>21</v>
      </c>
      <c r="M95" s="1">
        <v>24</v>
      </c>
      <c r="N95" s="1">
        <v>3</v>
      </c>
      <c r="O95" s="3">
        <v>46233.65914210648</v>
      </c>
    </row>
    <row r="96" spans="1:15" x14ac:dyDescent="0.25">
      <c r="A96" s="5" t="s">
        <v>350</v>
      </c>
      <c r="B96" s="1" t="s">
        <v>6526</v>
      </c>
      <c r="C96" s="1">
        <v>1675</v>
      </c>
      <c r="E96" s="1">
        <v>1751</v>
      </c>
      <c r="G96" s="1" t="s">
        <v>10</v>
      </c>
      <c r="J96" s="3">
        <v>45356.505543981482</v>
      </c>
      <c r="K96" s="2" t="s">
        <v>6529</v>
      </c>
      <c r="L96" s="1">
        <v>1</v>
      </c>
      <c r="M96" s="1">
        <v>1</v>
      </c>
      <c r="N96" s="1">
        <v>0</v>
      </c>
      <c r="O96" s="3">
        <v>46233.65914210648</v>
      </c>
    </row>
    <row r="97" spans="1:15" x14ac:dyDescent="0.25">
      <c r="A97" s="5" t="s">
        <v>353</v>
      </c>
      <c r="B97" s="1" t="s">
        <v>6533</v>
      </c>
      <c r="C97" s="1" t="s">
        <v>12</v>
      </c>
      <c r="G97" s="1" t="s">
        <v>10</v>
      </c>
      <c r="J97" s="3">
        <v>45358.47179398148</v>
      </c>
      <c r="K97" s="2" t="s">
        <v>6471</v>
      </c>
      <c r="L97" s="1">
        <v>1</v>
      </c>
      <c r="M97" s="1">
        <v>1</v>
      </c>
      <c r="N97" s="1">
        <v>0</v>
      </c>
      <c r="O97" s="3">
        <v>46233.65914210648</v>
      </c>
    </row>
    <row r="98" spans="1:15" ht="30" x14ac:dyDescent="0.25">
      <c r="A98" s="5" t="s">
        <v>356</v>
      </c>
      <c r="B98" s="1" t="s">
        <v>6534</v>
      </c>
      <c r="C98" s="1">
        <v>1968</v>
      </c>
      <c r="G98" s="1" t="s">
        <v>10</v>
      </c>
      <c r="J98" s="3">
        <v>44444.080254629633</v>
      </c>
      <c r="K98" s="2" t="s">
        <v>6535</v>
      </c>
      <c r="L98" s="1">
        <v>1</v>
      </c>
      <c r="M98" s="1">
        <v>1</v>
      </c>
      <c r="N98" s="1">
        <v>0</v>
      </c>
      <c r="O98" s="3">
        <v>46233.65914210648</v>
      </c>
    </row>
    <row r="99" spans="1:15" x14ac:dyDescent="0.25">
      <c r="A99" s="5" t="s">
        <v>359</v>
      </c>
      <c r="B99" s="1" t="s">
        <v>6539</v>
      </c>
      <c r="C99" s="1">
        <v>1982</v>
      </c>
      <c r="G99" s="1" t="s">
        <v>10</v>
      </c>
      <c r="J99" s="3">
        <v>44444.110821759263</v>
      </c>
      <c r="K99" s="2" t="s">
        <v>6540</v>
      </c>
      <c r="L99" s="1">
        <v>1</v>
      </c>
      <c r="M99" s="1">
        <v>1</v>
      </c>
      <c r="N99" s="1">
        <v>0</v>
      </c>
      <c r="O99" s="3">
        <v>46233.65914210648</v>
      </c>
    </row>
    <row r="100" spans="1:15" ht="45" x14ac:dyDescent="0.25">
      <c r="A100" s="5" t="s">
        <v>362</v>
      </c>
      <c r="B100" s="1" t="s">
        <v>6541</v>
      </c>
      <c r="C100" s="1" t="s">
        <v>6542</v>
      </c>
      <c r="G100" s="1" t="s">
        <v>10</v>
      </c>
      <c r="J100" s="3">
        <v>44444.196828703702</v>
      </c>
      <c r="K100" s="2" t="s">
        <v>6543</v>
      </c>
      <c r="L100" s="1">
        <v>1</v>
      </c>
      <c r="M100" s="1">
        <v>1</v>
      </c>
      <c r="N100" s="1">
        <v>0</v>
      </c>
      <c r="O100" s="3">
        <v>46233.65914210648</v>
      </c>
    </row>
    <row r="101" spans="1:15" x14ac:dyDescent="0.25">
      <c r="A101" s="5" t="s">
        <v>365</v>
      </c>
      <c r="B101" s="1" t="s">
        <v>6544</v>
      </c>
      <c r="C101" s="1">
        <v>1832</v>
      </c>
      <c r="E101" s="1">
        <v>1918</v>
      </c>
      <c r="G101" s="1" t="s">
        <v>10</v>
      </c>
      <c r="J101" s="3">
        <v>45356.632175925923</v>
      </c>
      <c r="K101" s="2" t="s">
        <v>6546</v>
      </c>
      <c r="L101" s="1">
        <v>1</v>
      </c>
      <c r="M101" s="1">
        <v>1</v>
      </c>
      <c r="N101" s="1">
        <v>0</v>
      </c>
      <c r="O101" s="3">
        <v>46233.65914210648</v>
      </c>
    </row>
    <row r="102" spans="1:15" ht="45" x14ac:dyDescent="0.25">
      <c r="A102" s="5" t="s">
        <v>368</v>
      </c>
      <c r="B102" s="1" t="s">
        <v>6550</v>
      </c>
      <c r="C102" s="1" t="s">
        <v>6551</v>
      </c>
      <c r="G102" s="1" t="s">
        <v>11</v>
      </c>
      <c r="J102" s="3">
        <v>45324.654618055552</v>
      </c>
      <c r="K102" s="2" t="s">
        <v>6552</v>
      </c>
      <c r="L102" s="1">
        <v>2</v>
      </c>
      <c r="M102" s="1">
        <v>2</v>
      </c>
      <c r="N102" s="1">
        <v>0</v>
      </c>
      <c r="O102" s="3">
        <v>46233.65914210648</v>
      </c>
    </row>
    <row r="103" spans="1:15" ht="60" x14ac:dyDescent="0.25">
      <c r="A103" s="5" t="s">
        <v>371</v>
      </c>
      <c r="B103" s="1" t="s">
        <v>6553</v>
      </c>
      <c r="C103" s="1" t="s">
        <v>6554</v>
      </c>
      <c r="G103" s="1" t="s">
        <v>10</v>
      </c>
      <c r="J103" s="3">
        <v>44444.141284722224</v>
      </c>
      <c r="K103" s="2" t="s">
        <v>6555</v>
      </c>
      <c r="L103" s="1">
        <v>1</v>
      </c>
      <c r="M103" s="1">
        <v>1</v>
      </c>
      <c r="N103" s="1">
        <v>0</v>
      </c>
      <c r="O103" s="3">
        <v>46233.65914210648</v>
      </c>
    </row>
    <row r="104" spans="1:15" x14ac:dyDescent="0.25">
      <c r="A104" s="5" t="s">
        <v>374</v>
      </c>
      <c r="B104" s="1" t="s">
        <v>6557</v>
      </c>
      <c r="C104" s="1">
        <v>1954</v>
      </c>
      <c r="G104" s="1" t="s">
        <v>10</v>
      </c>
      <c r="J104" s="3">
        <v>44444.169212962966</v>
      </c>
      <c r="K104" s="2" t="s">
        <v>6529</v>
      </c>
      <c r="L104" s="1">
        <v>2</v>
      </c>
      <c r="M104" s="1">
        <v>9</v>
      </c>
      <c r="N104" s="1">
        <v>7</v>
      </c>
      <c r="O104" s="3">
        <v>46233.65914210648</v>
      </c>
    </row>
    <row r="105" spans="1:15" ht="45" x14ac:dyDescent="0.25">
      <c r="A105" s="5" t="s">
        <v>377</v>
      </c>
      <c r="B105" s="1" t="s">
        <v>6558</v>
      </c>
      <c r="C105" s="1">
        <v>1911</v>
      </c>
      <c r="E105" s="1">
        <v>2012</v>
      </c>
      <c r="G105" s="1" t="s">
        <v>10</v>
      </c>
      <c r="J105" s="3">
        <v>45357.65552083333</v>
      </c>
      <c r="K105" s="2" t="s">
        <v>6560</v>
      </c>
      <c r="L105" s="1">
        <v>7</v>
      </c>
      <c r="M105" s="1">
        <v>8</v>
      </c>
      <c r="N105" s="1">
        <v>1</v>
      </c>
      <c r="O105" s="3">
        <v>46233.65914210648</v>
      </c>
    </row>
    <row r="106" spans="1:15" x14ac:dyDescent="0.25">
      <c r="A106" s="5" t="s">
        <v>380</v>
      </c>
      <c r="B106" s="1" t="s">
        <v>6564</v>
      </c>
      <c r="C106" s="1">
        <v>1894</v>
      </c>
      <c r="E106" s="1">
        <v>1916</v>
      </c>
      <c r="G106" s="1" t="s">
        <v>10</v>
      </c>
      <c r="J106" s="3">
        <v>45357.941400462965</v>
      </c>
      <c r="K106" s="2" t="s">
        <v>6567</v>
      </c>
      <c r="L106" s="1">
        <v>1</v>
      </c>
      <c r="M106" s="1">
        <v>1</v>
      </c>
      <c r="N106" s="1">
        <v>0</v>
      </c>
      <c r="O106" s="3">
        <v>46233.65914210648</v>
      </c>
    </row>
    <row r="107" spans="1:15" ht="30" x14ac:dyDescent="0.25">
      <c r="A107" s="5" t="s">
        <v>383</v>
      </c>
      <c r="B107" s="1" t="s">
        <v>6568</v>
      </c>
      <c r="C107" s="1">
        <v>1961</v>
      </c>
      <c r="G107" s="1" t="s">
        <v>11</v>
      </c>
      <c r="J107" s="3">
        <v>44444.196770833332</v>
      </c>
      <c r="K107" s="2" t="s">
        <v>6569</v>
      </c>
      <c r="L107" s="1">
        <v>5</v>
      </c>
      <c r="M107" s="1">
        <v>5</v>
      </c>
      <c r="N107" s="1">
        <v>0</v>
      </c>
      <c r="O107" s="3">
        <v>46233.65914210648</v>
      </c>
    </row>
    <row r="108" spans="1:15" x14ac:dyDescent="0.25">
      <c r="A108" s="5" t="s">
        <v>389</v>
      </c>
      <c r="B108" s="1" t="s">
        <v>6571</v>
      </c>
      <c r="C108" s="1">
        <v>1954</v>
      </c>
      <c r="G108" s="1" t="s">
        <v>10</v>
      </c>
      <c r="J108" s="3">
        <v>45357.489189814813</v>
      </c>
      <c r="K108" s="2" t="s">
        <v>6572</v>
      </c>
      <c r="L108" s="1">
        <v>4</v>
      </c>
      <c r="M108" s="1">
        <v>4</v>
      </c>
      <c r="N108" s="1">
        <v>0</v>
      </c>
      <c r="O108" s="3">
        <v>46233.65914210648</v>
      </c>
    </row>
    <row r="109" spans="1:15" ht="45" x14ac:dyDescent="0.25">
      <c r="A109" s="5" t="s">
        <v>392</v>
      </c>
      <c r="B109" s="1" t="s">
        <v>6573</v>
      </c>
      <c r="C109" s="1" t="s">
        <v>6574</v>
      </c>
      <c r="G109" s="1" t="s">
        <v>11</v>
      </c>
      <c r="J109" s="3">
        <v>44444.080312500002</v>
      </c>
      <c r="K109" s="2" t="s">
        <v>6575</v>
      </c>
      <c r="L109" s="1">
        <v>1</v>
      </c>
      <c r="M109" s="1">
        <v>1</v>
      </c>
      <c r="N109" s="1">
        <v>0</v>
      </c>
      <c r="O109" s="3">
        <v>46233.65914210648</v>
      </c>
    </row>
    <row r="110" spans="1:15" ht="45" x14ac:dyDescent="0.25">
      <c r="A110" s="5" t="s">
        <v>395</v>
      </c>
      <c r="B110" s="1" t="s">
        <v>6576</v>
      </c>
      <c r="C110" s="1" t="s">
        <v>12</v>
      </c>
      <c r="G110" s="1" t="s">
        <v>10</v>
      </c>
      <c r="J110" s="3">
        <v>44444.110798611109</v>
      </c>
      <c r="K110" s="2" t="s">
        <v>6577</v>
      </c>
      <c r="L110" s="1">
        <v>1</v>
      </c>
      <c r="M110" s="1">
        <v>1</v>
      </c>
      <c r="N110" s="1">
        <v>0</v>
      </c>
      <c r="O110" s="3">
        <v>46233.65914210648</v>
      </c>
    </row>
    <row r="111" spans="1:15" x14ac:dyDescent="0.25">
      <c r="A111" s="5" t="s">
        <v>398</v>
      </c>
      <c r="B111" s="1" t="s">
        <v>6581</v>
      </c>
      <c r="C111" s="1">
        <v>1858</v>
      </c>
      <c r="E111" s="1">
        <v>1948</v>
      </c>
      <c r="G111" s="1" t="s">
        <v>11</v>
      </c>
      <c r="J111" s="3">
        <v>45358.617638888885</v>
      </c>
      <c r="K111" s="2" t="s">
        <v>6583</v>
      </c>
      <c r="L111" s="1">
        <v>1</v>
      </c>
      <c r="M111" s="1">
        <v>1</v>
      </c>
      <c r="N111" s="1">
        <v>0</v>
      </c>
      <c r="O111" s="3">
        <v>46233.65914210648</v>
      </c>
    </row>
    <row r="112" spans="1:15" ht="90" x14ac:dyDescent="0.25">
      <c r="A112" s="5" t="s">
        <v>401</v>
      </c>
      <c r="B112" s="1" t="s">
        <v>6584</v>
      </c>
      <c r="C112" s="1">
        <v>1968</v>
      </c>
      <c r="G112" s="1" t="s">
        <v>11</v>
      </c>
      <c r="J112" s="3">
        <v>45358.824525462966</v>
      </c>
      <c r="K112" s="2" t="s">
        <v>6585</v>
      </c>
      <c r="L112" s="1">
        <v>3</v>
      </c>
      <c r="M112" s="1">
        <v>3</v>
      </c>
      <c r="N112" s="1">
        <v>0</v>
      </c>
      <c r="O112" s="3">
        <v>46233.65914210648</v>
      </c>
    </row>
    <row r="113" spans="1:15" x14ac:dyDescent="0.25">
      <c r="A113" s="5" t="s">
        <v>404</v>
      </c>
      <c r="B113" s="1" t="s">
        <v>6588</v>
      </c>
      <c r="C113" s="1" t="s">
        <v>12</v>
      </c>
      <c r="G113" s="1" t="s">
        <v>11</v>
      </c>
      <c r="J113" s="3">
        <v>44444.080335648148</v>
      </c>
      <c r="K113" s="2" t="s">
        <v>6589</v>
      </c>
      <c r="L113" s="1">
        <v>1</v>
      </c>
      <c r="M113" s="1">
        <v>1</v>
      </c>
      <c r="N113" s="1">
        <v>0</v>
      </c>
      <c r="O113" s="3">
        <v>46233.65914210648</v>
      </c>
    </row>
    <row r="114" spans="1:15" x14ac:dyDescent="0.25">
      <c r="A114" s="5" t="s">
        <v>407</v>
      </c>
      <c r="B114" s="1" t="s">
        <v>6590</v>
      </c>
      <c r="C114" s="1" t="s">
        <v>12</v>
      </c>
      <c r="G114" s="1" t="s">
        <v>11</v>
      </c>
      <c r="J114" s="3">
        <v>45359.417581018519</v>
      </c>
      <c r="K114" s="2" t="s">
        <v>126</v>
      </c>
      <c r="L114" s="1">
        <v>2</v>
      </c>
      <c r="M114" s="1">
        <v>2</v>
      </c>
      <c r="N114" s="1">
        <v>0</v>
      </c>
      <c r="O114" s="3">
        <v>46233.65914210648</v>
      </c>
    </row>
    <row r="115" spans="1:15" ht="60" x14ac:dyDescent="0.25">
      <c r="A115" s="5" t="s">
        <v>410</v>
      </c>
      <c r="B115" s="1" t="s">
        <v>6593</v>
      </c>
      <c r="C115" s="1" t="s">
        <v>12</v>
      </c>
      <c r="G115" s="1" t="s">
        <v>11</v>
      </c>
      <c r="J115" s="3">
        <v>44444.110798611109</v>
      </c>
      <c r="K115" s="2" t="s">
        <v>6594</v>
      </c>
      <c r="L115" s="1">
        <v>1</v>
      </c>
      <c r="M115" s="1">
        <v>1</v>
      </c>
      <c r="N115" s="1">
        <v>0</v>
      </c>
      <c r="O115" s="3">
        <v>46233.65914210648</v>
      </c>
    </row>
    <row r="116" spans="1:15" ht="180" x14ac:dyDescent="0.25">
      <c r="A116" s="5" t="s">
        <v>413</v>
      </c>
      <c r="B116" s="1" t="s">
        <v>6595</v>
      </c>
      <c r="C116" s="1" t="s">
        <v>12</v>
      </c>
      <c r="G116" s="1" t="s">
        <v>10</v>
      </c>
      <c r="J116" s="3">
        <v>44444.195659722223</v>
      </c>
      <c r="K116" s="2" t="s">
        <v>6596</v>
      </c>
      <c r="L116" s="1">
        <v>6</v>
      </c>
      <c r="M116" s="1">
        <v>9</v>
      </c>
      <c r="N116" s="1">
        <v>3</v>
      </c>
      <c r="O116" s="3">
        <v>46233.65914210648</v>
      </c>
    </row>
    <row r="117" spans="1:15" x14ac:dyDescent="0.25">
      <c r="A117" s="5" t="s">
        <v>416</v>
      </c>
      <c r="B117" s="1" t="s">
        <v>6597</v>
      </c>
      <c r="C117" s="1" t="s">
        <v>6574</v>
      </c>
      <c r="G117" s="1" t="s">
        <v>11</v>
      </c>
      <c r="J117" s="3">
        <v>44444.196736111109</v>
      </c>
      <c r="K117" s="2" t="s">
        <v>6589</v>
      </c>
      <c r="L117" s="1">
        <v>1</v>
      </c>
      <c r="M117" s="1">
        <v>1</v>
      </c>
      <c r="N117" s="1">
        <v>0</v>
      </c>
      <c r="O117" s="3">
        <v>46233.65914210648</v>
      </c>
    </row>
    <row r="118" spans="1:15" ht="30" x14ac:dyDescent="0.25">
      <c r="A118" s="5" t="s">
        <v>422</v>
      </c>
      <c r="B118" s="1" t="s">
        <v>6598</v>
      </c>
      <c r="C118" s="1">
        <v>1979</v>
      </c>
      <c r="G118" s="1" t="s">
        <v>10</v>
      </c>
      <c r="J118" s="3">
        <v>45265.719212962962</v>
      </c>
      <c r="K118" s="2" t="s">
        <v>6599</v>
      </c>
      <c r="L118" s="1">
        <v>1</v>
      </c>
      <c r="M118" s="1">
        <v>1</v>
      </c>
      <c r="N118" s="1">
        <v>0</v>
      </c>
      <c r="O118" s="3">
        <v>46233.65914210648</v>
      </c>
    </row>
    <row r="119" spans="1:15" x14ac:dyDescent="0.25">
      <c r="A119" s="5" t="s">
        <v>425</v>
      </c>
      <c r="B119" s="1" t="s">
        <v>6602</v>
      </c>
      <c r="C119" s="1" t="s">
        <v>6603</v>
      </c>
      <c r="G119" s="1" t="s">
        <v>11</v>
      </c>
      <c r="J119" s="3">
        <v>44444.141388888886</v>
      </c>
      <c r="K119" s="2" t="s">
        <v>6589</v>
      </c>
      <c r="L119" s="1">
        <v>1</v>
      </c>
      <c r="M119" s="1">
        <v>1</v>
      </c>
      <c r="N119" s="1">
        <v>0</v>
      </c>
      <c r="O119" s="3">
        <v>46233.65914210648</v>
      </c>
    </row>
    <row r="120" spans="1:15" ht="30" x14ac:dyDescent="0.25">
      <c r="A120" s="5" t="s">
        <v>428</v>
      </c>
      <c r="B120" s="1" t="s">
        <v>6604</v>
      </c>
      <c r="C120" s="1" t="s">
        <v>152</v>
      </c>
      <c r="G120" s="1" t="s">
        <v>11</v>
      </c>
      <c r="J120" s="3">
        <v>45356.801354166666</v>
      </c>
      <c r="K120" s="2" t="s">
        <v>6605</v>
      </c>
      <c r="L120" s="1">
        <v>4</v>
      </c>
      <c r="M120" s="1">
        <v>4</v>
      </c>
      <c r="N120" s="1">
        <v>0</v>
      </c>
      <c r="O120" s="3">
        <v>46233.65914210648</v>
      </c>
    </row>
    <row r="121" spans="1:15" x14ac:dyDescent="0.25">
      <c r="A121" s="5" t="s">
        <v>431</v>
      </c>
      <c r="B121" s="1" t="s">
        <v>6606</v>
      </c>
      <c r="C121" s="1">
        <v>1903</v>
      </c>
      <c r="E121" s="1">
        <v>1970</v>
      </c>
      <c r="G121" s="1" t="s">
        <v>10</v>
      </c>
      <c r="J121" s="3">
        <v>45357.149675925924</v>
      </c>
      <c r="K121" s="2" t="s">
        <v>6529</v>
      </c>
      <c r="L121" s="1">
        <v>1</v>
      </c>
      <c r="M121" s="1">
        <v>1</v>
      </c>
      <c r="N121" s="1">
        <v>0</v>
      </c>
      <c r="O121" s="3">
        <v>46233.65914210648</v>
      </c>
    </row>
    <row r="122" spans="1:15" x14ac:dyDescent="0.25">
      <c r="A122" s="5" t="s">
        <v>434</v>
      </c>
      <c r="B122" s="1" t="s">
        <v>6608</v>
      </c>
      <c r="C122" s="1">
        <v>1973</v>
      </c>
      <c r="G122" s="1" t="s">
        <v>11</v>
      </c>
      <c r="J122" s="3">
        <v>45341.633379629631</v>
      </c>
      <c r="K122" s="2" t="s">
        <v>130</v>
      </c>
      <c r="L122" s="1">
        <v>2</v>
      </c>
      <c r="M122" s="1">
        <v>2</v>
      </c>
      <c r="N122" s="1">
        <v>0</v>
      </c>
      <c r="O122" s="3">
        <v>46233.65914210648</v>
      </c>
    </row>
    <row r="123" spans="1:15" x14ac:dyDescent="0.25">
      <c r="A123" s="5" t="s">
        <v>437</v>
      </c>
      <c r="B123" s="1" t="s">
        <v>6609</v>
      </c>
      <c r="C123" s="1" t="s">
        <v>6554</v>
      </c>
      <c r="G123" s="1" t="s">
        <v>10</v>
      </c>
      <c r="J123" s="3">
        <v>44444.196793981479</v>
      </c>
      <c r="K123" s="2" t="s">
        <v>126</v>
      </c>
      <c r="L123" s="1">
        <v>1</v>
      </c>
      <c r="M123" s="1">
        <v>1</v>
      </c>
      <c r="N123" s="1">
        <v>0</v>
      </c>
      <c r="O123" s="3">
        <v>46233.65914210648</v>
      </c>
    </row>
    <row r="124" spans="1:15" x14ac:dyDescent="0.25">
      <c r="A124" s="5" t="s">
        <v>440</v>
      </c>
      <c r="B124" s="1" t="s">
        <v>6610</v>
      </c>
      <c r="C124" s="1" t="s">
        <v>12</v>
      </c>
      <c r="G124" s="1" t="s">
        <v>11</v>
      </c>
      <c r="J124" s="3">
        <v>45358.571805555555</v>
      </c>
      <c r="K124" s="2" t="s">
        <v>6471</v>
      </c>
      <c r="L124" s="1">
        <v>1</v>
      </c>
      <c r="M124" s="1">
        <v>1</v>
      </c>
      <c r="N124" s="1">
        <v>0</v>
      </c>
      <c r="O124" s="3">
        <v>46233.65914210648</v>
      </c>
    </row>
    <row r="125" spans="1:15" ht="60" x14ac:dyDescent="0.25">
      <c r="A125" s="5" t="s">
        <v>443</v>
      </c>
      <c r="B125" s="1" t="s">
        <v>6611</v>
      </c>
      <c r="C125" s="1" t="s">
        <v>6554</v>
      </c>
      <c r="G125" s="1" t="s">
        <v>11</v>
      </c>
      <c r="J125" s="3">
        <v>44444.169317129628</v>
      </c>
      <c r="K125" s="2" t="s">
        <v>6612</v>
      </c>
      <c r="L125" s="1">
        <v>1</v>
      </c>
      <c r="M125" s="1">
        <v>1</v>
      </c>
      <c r="N125" s="1">
        <v>0</v>
      </c>
      <c r="O125" s="3">
        <v>46233.65914210648</v>
      </c>
    </row>
    <row r="126" spans="1:15" x14ac:dyDescent="0.25">
      <c r="A126" s="5" t="s">
        <v>446</v>
      </c>
      <c r="B126" s="1" t="s">
        <v>6613</v>
      </c>
      <c r="C126" s="1">
        <v>1954</v>
      </c>
      <c r="G126" s="1" t="s">
        <v>11</v>
      </c>
      <c r="J126" s="3">
        <v>45341.622245370374</v>
      </c>
      <c r="K126" s="2" t="s">
        <v>130</v>
      </c>
      <c r="L126" s="1">
        <v>1</v>
      </c>
      <c r="M126" s="1">
        <v>1</v>
      </c>
      <c r="N126" s="1">
        <v>0</v>
      </c>
      <c r="O126" s="3">
        <v>46233.65914210648</v>
      </c>
    </row>
    <row r="127" spans="1:15" ht="75" x14ac:dyDescent="0.25">
      <c r="A127" s="5" t="s">
        <v>449</v>
      </c>
      <c r="B127" s="1" t="s">
        <v>6614</v>
      </c>
      <c r="C127" s="1">
        <v>1836</v>
      </c>
      <c r="E127" s="1">
        <v>1920</v>
      </c>
      <c r="G127" s="1" t="s">
        <v>10</v>
      </c>
      <c r="J127" s="3">
        <v>45358.339849537035</v>
      </c>
      <c r="K127" s="2" t="s">
        <v>6616</v>
      </c>
      <c r="L127" s="1">
        <v>3</v>
      </c>
      <c r="M127" s="1">
        <v>3</v>
      </c>
      <c r="N127" s="1">
        <v>0</v>
      </c>
      <c r="O127" s="3">
        <v>46233.65914210648</v>
      </c>
    </row>
    <row r="128" spans="1:15" ht="75" x14ac:dyDescent="0.25">
      <c r="A128" s="5" t="s">
        <v>452</v>
      </c>
      <c r="B128" s="1" t="s">
        <v>6617</v>
      </c>
      <c r="C128" s="1">
        <v>1963</v>
      </c>
      <c r="J128" s="3">
        <v>45254.460185185184</v>
      </c>
      <c r="K128" s="2" t="s">
        <v>6618</v>
      </c>
      <c r="L128" s="1">
        <v>36</v>
      </c>
      <c r="M128" s="1">
        <v>37</v>
      </c>
      <c r="N128" s="1">
        <v>1</v>
      </c>
      <c r="O128" s="3">
        <v>46233.65914210648</v>
      </c>
    </row>
    <row r="129" spans="1:15" ht="300" x14ac:dyDescent="0.25">
      <c r="A129" s="5" t="s">
        <v>455</v>
      </c>
      <c r="B129" s="1" t="s">
        <v>6619</v>
      </c>
      <c r="C129" s="1">
        <v>1956</v>
      </c>
      <c r="G129" s="1" t="s">
        <v>10</v>
      </c>
      <c r="J129" s="3">
        <v>44444.141296296293</v>
      </c>
      <c r="K129" s="2" t="s">
        <v>6620</v>
      </c>
      <c r="L129" s="1">
        <v>3</v>
      </c>
      <c r="M129" s="1">
        <v>3</v>
      </c>
      <c r="N129" s="1">
        <v>0</v>
      </c>
      <c r="O129" s="3">
        <v>46233.65914210648</v>
      </c>
    </row>
    <row r="130" spans="1:15" ht="60" x14ac:dyDescent="0.25">
      <c r="A130" s="5" t="s">
        <v>458</v>
      </c>
      <c r="B130" s="1" t="s">
        <v>6621</v>
      </c>
      <c r="C130" s="1" t="s">
        <v>6554</v>
      </c>
      <c r="G130" s="1" t="s">
        <v>11</v>
      </c>
      <c r="J130" s="3">
        <v>44444.141319444447</v>
      </c>
      <c r="K130" s="2" t="s">
        <v>6622</v>
      </c>
      <c r="L130" s="1">
        <v>2</v>
      </c>
      <c r="M130" s="1">
        <v>2</v>
      </c>
      <c r="N130" s="1">
        <v>0</v>
      </c>
      <c r="O130" s="3">
        <v>46233.65914210648</v>
      </c>
    </row>
    <row r="131" spans="1:15" ht="60" x14ac:dyDescent="0.25">
      <c r="A131" s="5" t="s">
        <v>461</v>
      </c>
      <c r="B131" s="1" t="s">
        <v>6623</v>
      </c>
      <c r="C131" s="1">
        <v>1924</v>
      </c>
      <c r="G131" s="1" t="s">
        <v>10</v>
      </c>
      <c r="J131" s="3">
        <v>44592.733958333331</v>
      </c>
      <c r="K131" s="2" t="s">
        <v>6624</v>
      </c>
      <c r="L131" s="1">
        <v>1</v>
      </c>
      <c r="M131" s="1">
        <v>1</v>
      </c>
      <c r="N131" s="1">
        <v>0</v>
      </c>
      <c r="O131" s="3">
        <v>46233.65914210648</v>
      </c>
    </row>
    <row r="132" spans="1:15" x14ac:dyDescent="0.25">
      <c r="A132" s="5" t="s">
        <v>464</v>
      </c>
      <c r="B132" s="1" t="s">
        <v>6625</v>
      </c>
      <c r="C132" s="1">
        <v>1920</v>
      </c>
      <c r="E132" s="1">
        <v>2014</v>
      </c>
      <c r="G132" s="1" t="s">
        <v>11</v>
      </c>
      <c r="J132" s="3">
        <v>45358.891053240739</v>
      </c>
      <c r="K132" s="2" t="s">
        <v>6626</v>
      </c>
      <c r="L132" s="1">
        <v>8</v>
      </c>
      <c r="M132" s="1">
        <v>8</v>
      </c>
      <c r="N132" s="1">
        <v>0</v>
      </c>
      <c r="O132" s="3">
        <v>46233.65914210648</v>
      </c>
    </row>
    <row r="133" spans="1:15" ht="210" x14ac:dyDescent="0.25">
      <c r="A133" s="5" t="s">
        <v>467</v>
      </c>
      <c r="B133" s="1" t="s">
        <v>6627</v>
      </c>
      <c r="C133" s="1">
        <v>1996</v>
      </c>
      <c r="G133" s="1" t="s">
        <v>10</v>
      </c>
      <c r="J133" s="3">
        <v>44444.141226851854</v>
      </c>
      <c r="K133" s="2" t="s">
        <v>6628</v>
      </c>
      <c r="L133" s="1">
        <v>3</v>
      </c>
      <c r="M133" s="1">
        <v>8</v>
      </c>
      <c r="N133" s="1">
        <v>5</v>
      </c>
      <c r="O133" s="3">
        <v>46233.65914210648</v>
      </c>
    </row>
    <row r="134" spans="1:15" ht="60" x14ac:dyDescent="0.25">
      <c r="A134" s="5" t="s">
        <v>470</v>
      </c>
      <c r="B134" s="1" t="s">
        <v>6629</v>
      </c>
      <c r="C134" s="1" t="s">
        <v>12</v>
      </c>
      <c r="G134" s="1" t="s">
        <v>10</v>
      </c>
      <c r="J134" s="3">
        <v>45345.629618055558</v>
      </c>
      <c r="K134" s="2" t="s">
        <v>6630</v>
      </c>
      <c r="L134" s="1">
        <v>21</v>
      </c>
      <c r="M134" s="1">
        <v>25</v>
      </c>
      <c r="N134" s="1">
        <v>4</v>
      </c>
      <c r="O134" s="3">
        <v>46233.65914210648</v>
      </c>
    </row>
    <row r="135" spans="1:15" ht="75" x14ac:dyDescent="0.25">
      <c r="A135" s="5" t="s">
        <v>473</v>
      </c>
      <c r="B135" s="1" t="s">
        <v>6631</v>
      </c>
      <c r="C135" s="1" t="s">
        <v>12</v>
      </c>
      <c r="G135" s="1" t="s">
        <v>10</v>
      </c>
      <c r="J135" s="3">
        <v>44539.611932870372</v>
      </c>
      <c r="K135" s="2" t="s">
        <v>6632</v>
      </c>
      <c r="L135" s="1">
        <v>1</v>
      </c>
      <c r="M135" s="1">
        <v>1</v>
      </c>
      <c r="N135" s="1">
        <v>0</v>
      </c>
      <c r="O135" s="3">
        <v>46233.65914210648</v>
      </c>
    </row>
    <row r="136" spans="1:15" x14ac:dyDescent="0.25">
      <c r="A136" s="5" t="s">
        <v>476</v>
      </c>
      <c r="B136" s="1" t="s">
        <v>6633</v>
      </c>
      <c r="C136" s="1">
        <v>1908</v>
      </c>
      <c r="E136" s="1">
        <v>1981</v>
      </c>
      <c r="G136" s="1" t="s">
        <v>10</v>
      </c>
      <c r="J136" s="3">
        <v>45356.659363425926</v>
      </c>
      <c r="K136" s="2" t="s">
        <v>6634</v>
      </c>
      <c r="L136" s="1">
        <v>1</v>
      </c>
      <c r="M136" s="1">
        <v>2</v>
      </c>
      <c r="N136" s="1">
        <v>1</v>
      </c>
      <c r="O136" s="3">
        <v>46233.65914210648</v>
      </c>
    </row>
    <row r="137" spans="1:15" ht="75" x14ac:dyDescent="0.25">
      <c r="A137" s="5" t="s">
        <v>479</v>
      </c>
      <c r="B137" s="1" t="s">
        <v>6635</v>
      </c>
      <c r="C137" s="1" t="s">
        <v>12</v>
      </c>
      <c r="G137" s="1" t="s">
        <v>11</v>
      </c>
      <c r="J137" s="3">
        <v>45357.557997685188</v>
      </c>
      <c r="K137" s="2" t="s">
        <v>6636</v>
      </c>
      <c r="L137" s="1">
        <v>2</v>
      </c>
      <c r="M137" s="1">
        <v>2</v>
      </c>
      <c r="N137" s="1">
        <v>0</v>
      </c>
      <c r="O137" s="3">
        <v>46233.65914210648</v>
      </c>
    </row>
    <row r="138" spans="1:15" x14ac:dyDescent="0.25">
      <c r="A138" s="5" t="s">
        <v>482</v>
      </c>
      <c r="B138" s="1" t="s">
        <v>6637</v>
      </c>
      <c r="C138" s="1" t="s">
        <v>12</v>
      </c>
      <c r="G138" s="1" t="s">
        <v>10</v>
      </c>
      <c r="J138" s="3">
        <v>45358.891064814816</v>
      </c>
      <c r="K138" s="2" t="s">
        <v>6638</v>
      </c>
      <c r="L138" s="1">
        <v>8</v>
      </c>
      <c r="M138" s="1">
        <v>10</v>
      </c>
      <c r="N138" s="1">
        <v>2</v>
      </c>
      <c r="O138" s="3">
        <v>46233.65914210648</v>
      </c>
    </row>
    <row r="139" spans="1:15" ht="45" x14ac:dyDescent="0.25">
      <c r="A139" s="5" t="s">
        <v>485</v>
      </c>
      <c r="B139" s="1" t="s">
        <v>6639</v>
      </c>
      <c r="C139" s="1">
        <v>1744</v>
      </c>
      <c r="E139" s="1">
        <v>1822</v>
      </c>
      <c r="G139" s="1" t="s">
        <v>10</v>
      </c>
      <c r="J139" s="3">
        <v>45357.453206018516</v>
      </c>
      <c r="K139" s="2" t="s">
        <v>6642</v>
      </c>
      <c r="L139" s="1">
        <v>1</v>
      </c>
      <c r="M139" s="1">
        <v>1</v>
      </c>
      <c r="N139" s="1">
        <v>0</v>
      </c>
      <c r="O139" s="3">
        <v>46233.65914210648</v>
      </c>
    </row>
    <row r="140" spans="1:15" ht="285" x14ac:dyDescent="0.25">
      <c r="A140" s="5" t="s">
        <v>488</v>
      </c>
      <c r="B140" s="1" t="s">
        <v>6643</v>
      </c>
      <c r="C140" s="1" t="s">
        <v>12</v>
      </c>
      <c r="G140" s="1" t="s">
        <v>11</v>
      </c>
      <c r="J140" s="3">
        <v>44444.196782407409</v>
      </c>
      <c r="K140" s="2" t="s">
        <v>6644</v>
      </c>
      <c r="L140" s="1">
        <v>1</v>
      </c>
      <c r="M140" s="1">
        <v>1</v>
      </c>
      <c r="N140" s="1">
        <v>0</v>
      </c>
      <c r="O140" s="3">
        <v>46233.65914210648</v>
      </c>
    </row>
    <row r="141" spans="1:15" ht="60" x14ac:dyDescent="0.25">
      <c r="A141" s="5" t="s">
        <v>491</v>
      </c>
      <c r="B141" s="1" t="s">
        <v>6645</v>
      </c>
      <c r="C141" s="1" t="s">
        <v>6554</v>
      </c>
      <c r="G141" s="1" t="s">
        <v>11</v>
      </c>
      <c r="J141" s="3">
        <v>44444.080289351848</v>
      </c>
      <c r="K141" s="2" t="s">
        <v>6646</v>
      </c>
      <c r="L141" s="1">
        <v>2</v>
      </c>
      <c r="M141" s="1">
        <v>2</v>
      </c>
      <c r="N141" s="1">
        <v>0</v>
      </c>
      <c r="O141" s="3">
        <v>46233.65914210648</v>
      </c>
    </row>
    <row r="142" spans="1:15" ht="30" x14ac:dyDescent="0.25">
      <c r="A142" s="5" t="s">
        <v>494</v>
      </c>
      <c r="B142" s="1" t="s">
        <v>6647</v>
      </c>
      <c r="C142" s="1" t="s">
        <v>12</v>
      </c>
      <c r="G142" s="1" t="s">
        <v>11</v>
      </c>
      <c r="J142" s="3">
        <v>44444.196747685186</v>
      </c>
      <c r="K142" s="2" t="s">
        <v>6648</v>
      </c>
      <c r="L142" s="1">
        <v>1</v>
      </c>
      <c r="M142" s="1">
        <v>1</v>
      </c>
      <c r="N142" s="1">
        <v>0</v>
      </c>
      <c r="O142" s="3">
        <v>46233.65914210648</v>
      </c>
    </row>
    <row r="143" spans="1:15" x14ac:dyDescent="0.25">
      <c r="A143" s="5" t="s">
        <v>497</v>
      </c>
      <c r="B143" s="1" t="s">
        <v>6649</v>
      </c>
      <c r="C143" s="1" t="s">
        <v>12</v>
      </c>
      <c r="J143" s="3">
        <v>45344.558275462965</v>
      </c>
      <c r="K143" s="2" t="s">
        <v>6650</v>
      </c>
      <c r="L143" s="1">
        <v>19</v>
      </c>
      <c r="M143" s="1">
        <v>19</v>
      </c>
      <c r="N143" s="1">
        <v>0</v>
      </c>
      <c r="O143" s="3">
        <v>46233.65914210648</v>
      </c>
    </row>
    <row r="144" spans="1:15" x14ac:dyDescent="0.25">
      <c r="A144" s="5" t="s">
        <v>500</v>
      </c>
      <c r="B144" s="1" t="s">
        <v>6651</v>
      </c>
      <c r="C144" s="1">
        <v>1890</v>
      </c>
      <c r="E144" s="1">
        <v>1999</v>
      </c>
      <c r="J144" s="3">
        <v>45361.526273148149</v>
      </c>
      <c r="L144" s="1">
        <v>5</v>
      </c>
      <c r="M144" s="1">
        <v>5</v>
      </c>
      <c r="N144" s="1">
        <v>0</v>
      </c>
      <c r="O144" s="3">
        <v>46233.65914210648</v>
      </c>
    </row>
    <row r="145" spans="1:15" ht="60" x14ac:dyDescent="0.25">
      <c r="A145" s="5" t="s">
        <v>503</v>
      </c>
      <c r="B145" s="1" t="s">
        <v>6653</v>
      </c>
      <c r="C145" s="1" t="s">
        <v>6554</v>
      </c>
      <c r="G145" s="1" t="s">
        <v>11</v>
      </c>
      <c r="J145" s="3">
        <v>44444.110925925925</v>
      </c>
      <c r="K145" s="2" t="s">
        <v>6654</v>
      </c>
      <c r="L145" s="1">
        <v>1</v>
      </c>
      <c r="M145" s="1">
        <v>1</v>
      </c>
      <c r="N145" s="1">
        <v>0</v>
      </c>
      <c r="O145" s="3">
        <v>46233.65914210648</v>
      </c>
    </row>
    <row r="146" spans="1:15" x14ac:dyDescent="0.25">
      <c r="A146" s="5" t="s">
        <v>506</v>
      </c>
      <c r="B146" s="1" t="s">
        <v>6655</v>
      </c>
      <c r="C146" s="1">
        <v>1940</v>
      </c>
      <c r="E146" s="1">
        <v>2014</v>
      </c>
      <c r="G146" s="1" t="s">
        <v>10</v>
      </c>
      <c r="J146" s="3">
        <v>45361.839699074073</v>
      </c>
      <c r="K146" s="2" t="s">
        <v>126</v>
      </c>
      <c r="L146" s="1">
        <v>1</v>
      </c>
      <c r="M146" s="1">
        <v>1</v>
      </c>
      <c r="N146" s="1">
        <v>0</v>
      </c>
      <c r="O146" s="3">
        <v>46233.65914210648</v>
      </c>
    </row>
    <row r="147" spans="1:15" x14ac:dyDescent="0.25">
      <c r="A147" s="5" t="s">
        <v>509</v>
      </c>
      <c r="B147" s="1" t="s">
        <v>6656</v>
      </c>
      <c r="C147" s="1">
        <v>1994</v>
      </c>
      <c r="G147" s="1" t="s">
        <v>10</v>
      </c>
      <c r="J147" s="3">
        <v>45357.631585648145</v>
      </c>
      <c r="K147" s="2" t="s">
        <v>126</v>
      </c>
      <c r="L147" s="1">
        <v>2</v>
      </c>
      <c r="M147" s="1">
        <v>3</v>
      </c>
      <c r="N147" s="1">
        <v>1</v>
      </c>
      <c r="O147" s="3">
        <v>46233.65914210648</v>
      </c>
    </row>
    <row r="148" spans="1:15" ht="180" x14ac:dyDescent="0.25">
      <c r="A148" s="5" t="s">
        <v>512</v>
      </c>
      <c r="B148" s="1" t="s">
        <v>6657</v>
      </c>
      <c r="C148" s="1" t="s">
        <v>12</v>
      </c>
      <c r="G148" s="1" t="s">
        <v>10</v>
      </c>
      <c r="J148" s="3">
        <v>44444.222060185188</v>
      </c>
      <c r="K148" s="2" t="s">
        <v>6658</v>
      </c>
      <c r="L148" s="1">
        <v>3</v>
      </c>
      <c r="M148" s="1">
        <v>3</v>
      </c>
      <c r="N148" s="1">
        <v>0</v>
      </c>
      <c r="O148" s="3">
        <v>46233.65914210648</v>
      </c>
    </row>
    <row r="149" spans="1:15" ht="45" x14ac:dyDescent="0.25">
      <c r="A149" s="5" t="s">
        <v>515</v>
      </c>
      <c r="B149" s="1" t="s">
        <v>6659</v>
      </c>
      <c r="C149" s="1">
        <v>1956</v>
      </c>
      <c r="G149" s="1" t="s">
        <v>10</v>
      </c>
      <c r="J149" s="3">
        <v>44444.08016203704</v>
      </c>
      <c r="K149" s="2" t="s">
        <v>6660</v>
      </c>
      <c r="L149" s="1">
        <v>4</v>
      </c>
      <c r="M149" s="1">
        <v>4</v>
      </c>
      <c r="N149" s="1">
        <v>0</v>
      </c>
      <c r="O149" s="3">
        <v>46233.65914210648</v>
      </c>
    </row>
    <row r="150" spans="1:15" ht="45" x14ac:dyDescent="0.25">
      <c r="A150" s="5" t="s">
        <v>521</v>
      </c>
      <c r="B150" s="1" t="s">
        <v>6661</v>
      </c>
      <c r="C150" s="1">
        <v>1962</v>
      </c>
      <c r="G150" s="1" t="s">
        <v>10</v>
      </c>
      <c r="J150" s="3">
        <v>45258.052268518521</v>
      </c>
      <c r="K150" s="2" t="s">
        <v>6662</v>
      </c>
      <c r="L150" s="1">
        <v>16</v>
      </c>
      <c r="M150" s="1">
        <v>20</v>
      </c>
      <c r="N150" s="1">
        <v>4</v>
      </c>
      <c r="O150" s="3">
        <v>46233.65914210648</v>
      </c>
    </row>
    <row r="151" spans="1:15" ht="45" x14ac:dyDescent="0.25">
      <c r="A151" s="5" t="s">
        <v>524</v>
      </c>
      <c r="B151" s="1" t="s">
        <v>6663</v>
      </c>
      <c r="C151" s="1" t="s">
        <v>6554</v>
      </c>
      <c r="G151" s="1" t="s">
        <v>11</v>
      </c>
      <c r="J151" s="3">
        <v>44444.08011574074</v>
      </c>
      <c r="K151" s="2" t="s">
        <v>6664</v>
      </c>
      <c r="L151" s="1">
        <v>1</v>
      </c>
      <c r="M151" s="1">
        <v>1</v>
      </c>
      <c r="N151" s="1">
        <v>0</v>
      </c>
      <c r="O151" s="3">
        <v>46233.65914210648</v>
      </c>
    </row>
    <row r="152" spans="1:15" ht="60" x14ac:dyDescent="0.25">
      <c r="A152" s="5" t="s">
        <v>527</v>
      </c>
      <c r="B152" s="1" t="s">
        <v>6665</v>
      </c>
      <c r="C152" s="1">
        <v>1654</v>
      </c>
      <c r="E152" s="1">
        <v>1718</v>
      </c>
      <c r="G152" s="1" t="s">
        <v>10</v>
      </c>
      <c r="J152" s="3">
        <v>45385.541168981479</v>
      </c>
      <c r="K152" s="2" t="s">
        <v>6668</v>
      </c>
      <c r="L152" s="1">
        <v>3</v>
      </c>
      <c r="M152" s="1">
        <v>3</v>
      </c>
      <c r="N152" s="1">
        <v>0</v>
      </c>
      <c r="O152" s="3">
        <v>46233.65914210648</v>
      </c>
    </row>
    <row r="153" spans="1:15" ht="120" x14ac:dyDescent="0.25">
      <c r="A153" s="5" t="s">
        <v>530</v>
      </c>
      <c r="B153" s="1" t="s">
        <v>6669</v>
      </c>
      <c r="C153" s="1">
        <v>1987</v>
      </c>
      <c r="G153" s="1" t="s">
        <v>11</v>
      </c>
      <c r="J153" s="3">
        <v>44444.169282407405</v>
      </c>
      <c r="K153" s="2" t="s">
        <v>6670</v>
      </c>
      <c r="L153" s="1">
        <v>1</v>
      </c>
      <c r="M153" s="1">
        <v>3</v>
      </c>
      <c r="N153" s="1">
        <v>2</v>
      </c>
      <c r="O153" s="3">
        <v>46233.65914210648</v>
      </c>
    </row>
    <row r="154" spans="1:15" x14ac:dyDescent="0.25">
      <c r="A154" s="5" t="s">
        <v>533</v>
      </c>
      <c r="B154" s="1" t="s">
        <v>6671</v>
      </c>
      <c r="C154" s="1" t="s">
        <v>12</v>
      </c>
      <c r="G154" s="1" t="s">
        <v>10</v>
      </c>
      <c r="J154" s="3">
        <v>44444.080324074072</v>
      </c>
      <c r="K154" s="2" t="s">
        <v>6672</v>
      </c>
      <c r="L154" s="1">
        <v>1</v>
      </c>
      <c r="M154" s="1">
        <v>1</v>
      </c>
      <c r="N154" s="1">
        <v>0</v>
      </c>
      <c r="O154" s="3">
        <v>46233.65914210648</v>
      </c>
    </row>
    <row r="155" spans="1:15" x14ac:dyDescent="0.25">
      <c r="A155" s="5" t="s">
        <v>536</v>
      </c>
      <c r="B155" s="1" t="s">
        <v>6673</v>
      </c>
      <c r="C155" s="1" t="s">
        <v>12</v>
      </c>
      <c r="G155" s="1" t="s">
        <v>11</v>
      </c>
      <c r="J155" s="3">
        <v>45351.470011574071</v>
      </c>
      <c r="K155" s="2" t="s">
        <v>6674</v>
      </c>
      <c r="L155" s="1">
        <v>1</v>
      </c>
      <c r="M155" s="1">
        <v>1</v>
      </c>
      <c r="N155" s="1">
        <v>0</v>
      </c>
      <c r="O155" s="3">
        <v>46233.65914210648</v>
      </c>
    </row>
    <row r="156" spans="1:15" ht="45" x14ac:dyDescent="0.25">
      <c r="A156" s="5" t="s">
        <v>539</v>
      </c>
      <c r="B156" s="1" t="s">
        <v>6675</v>
      </c>
      <c r="C156" s="1">
        <v>1885</v>
      </c>
      <c r="E156" s="1">
        <v>1954</v>
      </c>
      <c r="G156" s="1" t="s">
        <v>10</v>
      </c>
      <c r="J156" s="3">
        <v>45386.563321759262</v>
      </c>
      <c r="K156" s="2" t="s">
        <v>6677</v>
      </c>
      <c r="L156" s="1">
        <v>1</v>
      </c>
      <c r="M156" s="1">
        <v>1</v>
      </c>
      <c r="N156" s="1">
        <v>0</v>
      </c>
      <c r="O156" s="3">
        <v>46233.65914210648</v>
      </c>
    </row>
    <row r="157" spans="1:15" x14ac:dyDescent="0.25">
      <c r="A157" s="5" t="s">
        <v>542</v>
      </c>
      <c r="B157" s="1" t="s">
        <v>6678</v>
      </c>
      <c r="C157" s="1">
        <v>1972</v>
      </c>
      <c r="G157" s="1" t="s">
        <v>10</v>
      </c>
      <c r="J157" s="3">
        <v>45173.490451388891</v>
      </c>
      <c r="K157" s="2" t="s">
        <v>6679</v>
      </c>
      <c r="L157" s="1">
        <v>1</v>
      </c>
      <c r="M157" s="1">
        <v>1</v>
      </c>
      <c r="N157" s="1">
        <v>0</v>
      </c>
      <c r="O157" s="3">
        <v>46233.65914210648</v>
      </c>
    </row>
    <row r="158" spans="1:15" x14ac:dyDescent="0.25">
      <c r="A158" s="5" t="s">
        <v>545</v>
      </c>
      <c r="B158" s="1" t="s">
        <v>6680</v>
      </c>
      <c r="C158" s="1">
        <v>1946</v>
      </c>
      <c r="G158" s="1" t="s">
        <v>10</v>
      </c>
      <c r="J158" s="3">
        <v>45357.680196759262</v>
      </c>
      <c r="K158" s="2" t="s">
        <v>6681</v>
      </c>
      <c r="L158" s="1">
        <v>3</v>
      </c>
      <c r="M158" s="1">
        <v>3</v>
      </c>
      <c r="N158" s="1">
        <v>0</v>
      </c>
      <c r="O158" s="3">
        <v>46233.65914210648</v>
      </c>
    </row>
    <row r="159" spans="1:15" x14ac:dyDescent="0.25">
      <c r="A159" s="5" t="s">
        <v>548</v>
      </c>
      <c r="B159" s="1" t="s">
        <v>6682</v>
      </c>
      <c r="C159" s="1">
        <v>1832</v>
      </c>
      <c r="E159" s="1">
        <v>1921</v>
      </c>
      <c r="G159" s="1" t="s">
        <v>10</v>
      </c>
      <c r="J159" s="3">
        <v>45388.278564814813</v>
      </c>
      <c r="L159" s="1">
        <v>3</v>
      </c>
      <c r="M159" s="1">
        <v>3</v>
      </c>
      <c r="N159" s="1">
        <v>0</v>
      </c>
      <c r="O159" s="3">
        <v>46233.65914210648</v>
      </c>
    </row>
    <row r="160" spans="1:15" ht="30" x14ac:dyDescent="0.25">
      <c r="A160" s="5" t="s">
        <v>551</v>
      </c>
      <c r="B160" s="1" t="s">
        <v>6684</v>
      </c>
      <c r="C160" s="1">
        <v>2005</v>
      </c>
      <c r="G160" s="1" t="s">
        <v>111</v>
      </c>
      <c r="J160" s="3">
        <v>45327.496331018519</v>
      </c>
      <c r="K160" s="2" t="s">
        <v>6685</v>
      </c>
      <c r="L160" s="1">
        <v>1</v>
      </c>
      <c r="M160" s="1">
        <v>1</v>
      </c>
      <c r="N160" s="1">
        <v>0</v>
      </c>
      <c r="O160" s="3">
        <v>46233.65914210648</v>
      </c>
    </row>
    <row r="161" spans="1:15" ht="135" x14ac:dyDescent="0.25">
      <c r="A161" s="5" t="s">
        <v>554</v>
      </c>
      <c r="B161" s="1" t="s">
        <v>6686</v>
      </c>
      <c r="C161" s="1" t="s">
        <v>12</v>
      </c>
      <c r="G161" s="1" t="s">
        <v>10</v>
      </c>
      <c r="J161" s="3">
        <v>44444.141250000001</v>
      </c>
      <c r="K161" s="2" t="s">
        <v>6687</v>
      </c>
      <c r="L161" s="1">
        <v>5</v>
      </c>
      <c r="M161" s="1">
        <v>5</v>
      </c>
      <c r="N161" s="1">
        <v>0</v>
      </c>
      <c r="O161" s="3">
        <v>46233.65914210648</v>
      </c>
    </row>
    <row r="162" spans="1:15" ht="60" x14ac:dyDescent="0.25">
      <c r="A162" s="5" t="s">
        <v>557</v>
      </c>
      <c r="B162" s="1" t="s">
        <v>6688</v>
      </c>
      <c r="C162" s="1" t="s">
        <v>12</v>
      </c>
      <c r="G162" s="1" t="s">
        <v>10</v>
      </c>
      <c r="J162" s="3">
        <v>44444.196886574071</v>
      </c>
      <c r="K162" s="2" t="s">
        <v>6689</v>
      </c>
      <c r="L162" s="1">
        <v>5</v>
      </c>
      <c r="M162" s="1">
        <v>6</v>
      </c>
      <c r="N162" s="1">
        <v>1</v>
      </c>
      <c r="O162" s="3">
        <v>46233.65914210648</v>
      </c>
    </row>
    <row r="163" spans="1:15" x14ac:dyDescent="0.25">
      <c r="A163" s="5" t="s">
        <v>560</v>
      </c>
      <c r="B163" s="1" t="s">
        <v>6690</v>
      </c>
      <c r="C163" s="1">
        <v>1942</v>
      </c>
      <c r="G163" s="1" t="s">
        <v>10</v>
      </c>
      <c r="J163" s="3">
        <v>45357.609340277777</v>
      </c>
      <c r="K163" s="2" t="s">
        <v>6691</v>
      </c>
      <c r="L163" s="1">
        <v>2</v>
      </c>
      <c r="M163" s="1">
        <v>2</v>
      </c>
      <c r="N163" s="1">
        <v>0</v>
      </c>
      <c r="O163" s="3">
        <v>46233.65914210648</v>
      </c>
    </row>
    <row r="164" spans="1:15" ht="45" x14ac:dyDescent="0.25">
      <c r="A164" s="5" t="s">
        <v>563</v>
      </c>
      <c r="B164" s="1" t="s">
        <v>6692</v>
      </c>
      <c r="C164" s="1">
        <v>1926</v>
      </c>
      <c r="E164" s="1">
        <v>2006</v>
      </c>
      <c r="G164" s="1" t="s">
        <v>11</v>
      </c>
      <c r="J164" s="3">
        <v>45394.49523148148</v>
      </c>
      <c r="K164" s="2" t="s">
        <v>6695</v>
      </c>
      <c r="L164" s="1">
        <v>6</v>
      </c>
      <c r="M164" s="1">
        <v>6</v>
      </c>
      <c r="N164" s="1">
        <v>0</v>
      </c>
      <c r="O164" s="3">
        <v>46233.65914210648</v>
      </c>
    </row>
    <row r="165" spans="1:15" ht="45" x14ac:dyDescent="0.25">
      <c r="A165" s="5" t="s">
        <v>566</v>
      </c>
      <c r="B165" s="1" t="s">
        <v>6696</v>
      </c>
      <c r="C165" s="1" t="s">
        <v>12</v>
      </c>
      <c r="G165" s="1" t="s">
        <v>10</v>
      </c>
      <c r="J165" s="3">
        <v>45357.346875000003</v>
      </c>
      <c r="K165" s="2" t="s">
        <v>6697</v>
      </c>
      <c r="L165" s="1">
        <v>1</v>
      </c>
      <c r="M165" s="1">
        <v>3</v>
      </c>
      <c r="N165" s="1">
        <v>2</v>
      </c>
      <c r="O165" s="3">
        <v>46233.65914210648</v>
      </c>
    </row>
    <row r="166" spans="1:15" ht="60" x14ac:dyDescent="0.25">
      <c r="A166" s="5" t="s">
        <v>569</v>
      </c>
      <c r="B166" s="1" t="s">
        <v>6698</v>
      </c>
      <c r="C166" s="1" t="s">
        <v>6554</v>
      </c>
      <c r="G166" s="1" t="s">
        <v>10</v>
      </c>
      <c r="J166" s="3">
        <v>44444.169236111113</v>
      </c>
      <c r="K166" s="2" t="s">
        <v>6699</v>
      </c>
      <c r="L166" s="1">
        <v>1</v>
      </c>
      <c r="M166" s="1">
        <v>1</v>
      </c>
      <c r="N166" s="1">
        <v>0</v>
      </c>
      <c r="O166" s="3">
        <v>46233.65914210648</v>
      </c>
    </row>
    <row r="167" spans="1:15" x14ac:dyDescent="0.25">
      <c r="A167" s="5" t="s">
        <v>572</v>
      </c>
      <c r="B167" s="1" t="s">
        <v>6700</v>
      </c>
      <c r="C167" s="1" t="s">
        <v>12</v>
      </c>
      <c r="G167" s="1" t="s">
        <v>11</v>
      </c>
      <c r="J167" s="3">
        <v>45358.003819444442</v>
      </c>
      <c r="K167" s="2" t="s">
        <v>6701</v>
      </c>
      <c r="L167" s="1">
        <v>2</v>
      </c>
      <c r="M167" s="1">
        <v>2</v>
      </c>
      <c r="N167" s="1">
        <v>0</v>
      </c>
      <c r="O167" s="3">
        <v>46233.65914210648</v>
      </c>
    </row>
    <row r="168" spans="1:15" ht="60" x14ac:dyDescent="0.25">
      <c r="A168" s="5" t="s">
        <v>575</v>
      </c>
      <c r="B168" s="1" t="s">
        <v>6702</v>
      </c>
      <c r="C168" s="1">
        <v>1910</v>
      </c>
      <c r="E168" s="1">
        <v>1975</v>
      </c>
      <c r="G168" s="1" t="s">
        <v>10</v>
      </c>
      <c r="J168" s="3">
        <v>45401.504131944443</v>
      </c>
      <c r="K168" s="2" t="s">
        <v>6703</v>
      </c>
      <c r="L168" s="1">
        <v>1</v>
      </c>
      <c r="M168" s="1">
        <v>1</v>
      </c>
      <c r="N168" s="1">
        <v>0</v>
      </c>
      <c r="O168" s="3">
        <v>46233.65914210648</v>
      </c>
    </row>
    <row r="169" spans="1:15" ht="45" x14ac:dyDescent="0.25">
      <c r="A169" s="5" t="s">
        <v>578</v>
      </c>
      <c r="B169" s="1" t="s">
        <v>6704</v>
      </c>
      <c r="C169" s="1" t="s">
        <v>12</v>
      </c>
      <c r="G169" s="1" t="s">
        <v>10</v>
      </c>
      <c r="J169" s="3">
        <v>45040.666828703703</v>
      </c>
      <c r="K169" s="2" t="s">
        <v>6705</v>
      </c>
      <c r="L169" s="1">
        <v>1</v>
      </c>
      <c r="M169" s="1">
        <v>1</v>
      </c>
      <c r="N169" s="1">
        <v>0</v>
      </c>
      <c r="O169" s="3">
        <v>46233.65914210648</v>
      </c>
    </row>
    <row r="170" spans="1:15" ht="60" x14ac:dyDescent="0.25">
      <c r="A170" s="5" t="s">
        <v>581</v>
      </c>
      <c r="B170" s="1" t="s">
        <v>6706</v>
      </c>
      <c r="C170" s="1" t="s">
        <v>12</v>
      </c>
      <c r="G170" s="1" t="s">
        <v>11</v>
      </c>
      <c r="J170" s="3">
        <v>44444.196793981479</v>
      </c>
      <c r="K170" s="2" t="s">
        <v>6707</v>
      </c>
      <c r="L170" s="1">
        <v>3</v>
      </c>
      <c r="M170" s="1">
        <v>4</v>
      </c>
      <c r="N170" s="1">
        <v>1</v>
      </c>
      <c r="O170" s="3">
        <v>46233.65914210648</v>
      </c>
    </row>
    <row r="171" spans="1:15" ht="60" x14ac:dyDescent="0.25">
      <c r="A171" s="5" t="s">
        <v>587</v>
      </c>
      <c r="B171" s="1" t="s">
        <v>6708</v>
      </c>
      <c r="C171" s="1" t="s">
        <v>6554</v>
      </c>
      <c r="G171" s="1" t="s">
        <v>10</v>
      </c>
      <c r="J171" s="3">
        <v>44444.196840277778</v>
      </c>
      <c r="K171" s="2" t="s">
        <v>6699</v>
      </c>
      <c r="L171" s="1">
        <v>1</v>
      </c>
      <c r="M171" s="1">
        <v>1</v>
      </c>
      <c r="N171" s="1">
        <v>0</v>
      </c>
      <c r="O171" s="3">
        <v>46233.65914210648</v>
      </c>
    </row>
    <row r="172" spans="1:15" ht="30" x14ac:dyDescent="0.25">
      <c r="A172" s="5" t="s">
        <v>590</v>
      </c>
      <c r="B172" s="1" t="s">
        <v>6709</v>
      </c>
      <c r="C172" s="1" t="s">
        <v>12</v>
      </c>
      <c r="G172" s="1" t="s">
        <v>11</v>
      </c>
      <c r="J172" s="3">
        <v>45356.834641203706</v>
      </c>
      <c r="K172" s="2" t="s">
        <v>6710</v>
      </c>
      <c r="L172" s="1">
        <v>1</v>
      </c>
      <c r="M172" s="1">
        <v>1</v>
      </c>
      <c r="N172" s="1">
        <v>0</v>
      </c>
      <c r="O172" s="3">
        <v>46233.65914210648</v>
      </c>
    </row>
    <row r="173" spans="1:15" ht="210" x14ac:dyDescent="0.25">
      <c r="A173" s="5" t="s">
        <v>596</v>
      </c>
      <c r="B173" s="1" t="s">
        <v>6711</v>
      </c>
      <c r="C173" s="1">
        <v>1948</v>
      </c>
      <c r="G173" s="1" t="s">
        <v>10</v>
      </c>
      <c r="J173" s="3">
        <v>45357.976099537038</v>
      </c>
      <c r="K173" s="2" t="s">
        <v>6712</v>
      </c>
      <c r="L173" s="1">
        <v>1</v>
      </c>
      <c r="M173" s="1">
        <v>3</v>
      </c>
      <c r="N173" s="1">
        <v>2</v>
      </c>
      <c r="O173" s="3">
        <v>46233.65914210648</v>
      </c>
    </row>
    <row r="174" spans="1:15" x14ac:dyDescent="0.25">
      <c r="A174" s="5" t="s">
        <v>599</v>
      </c>
      <c r="B174" s="1" t="s">
        <v>6713</v>
      </c>
      <c r="C174" s="1" t="s">
        <v>12</v>
      </c>
      <c r="G174" s="1" t="s">
        <v>10</v>
      </c>
      <c r="J174" s="3">
        <v>44444.22315972222</v>
      </c>
      <c r="K174" s="2" t="s">
        <v>6714</v>
      </c>
      <c r="L174" s="1">
        <v>1</v>
      </c>
      <c r="M174" s="1">
        <v>1</v>
      </c>
      <c r="N174" s="1">
        <v>0</v>
      </c>
      <c r="O174" s="3">
        <v>46233.65914210648</v>
      </c>
    </row>
    <row r="175" spans="1:15" ht="60" x14ac:dyDescent="0.25">
      <c r="A175" s="5" t="s">
        <v>602</v>
      </c>
      <c r="B175" s="1" t="s">
        <v>6715</v>
      </c>
      <c r="C175" s="1" t="s">
        <v>6554</v>
      </c>
      <c r="G175" s="1" t="s">
        <v>11</v>
      </c>
      <c r="J175" s="3">
        <v>44444.141226851854</v>
      </c>
      <c r="K175" s="2" t="s">
        <v>6716</v>
      </c>
      <c r="L175" s="1">
        <v>2</v>
      </c>
      <c r="M175" s="1">
        <v>2</v>
      </c>
      <c r="N175" s="1">
        <v>0</v>
      </c>
      <c r="O175" s="3">
        <v>46233.65914210648</v>
      </c>
    </row>
    <row r="176" spans="1:15" x14ac:dyDescent="0.25">
      <c r="A176" s="5" t="s">
        <v>605</v>
      </c>
      <c r="B176" s="1" t="s">
        <v>6717</v>
      </c>
      <c r="C176" s="1">
        <v>1968</v>
      </c>
      <c r="J176" s="3">
        <v>45236.696273148147</v>
      </c>
      <c r="K176" s="2" t="s">
        <v>6718</v>
      </c>
      <c r="L176" s="1">
        <v>4</v>
      </c>
      <c r="M176" s="1">
        <v>4</v>
      </c>
      <c r="N176" s="1">
        <v>0</v>
      </c>
      <c r="O176" s="3">
        <v>46233.65914210648</v>
      </c>
    </row>
    <row r="177" spans="1:15" x14ac:dyDescent="0.25">
      <c r="A177" s="5" t="s">
        <v>611</v>
      </c>
      <c r="B177" s="1" t="s">
        <v>6719</v>
      </c>
      <c r="C177" s="1" t="s">
        <v>12</v>
      </c>
      <c r="G177" s="1" t="s">
        <v>11</v>
      </c>
      <c r="J177" s="3">
        <v>44444.195648148147</v>
      </c>
      <c r="K177" s="2" t="s">
        <v>6413</v>
      </c>
      <c r="L177" s="1">
        <v>1</v>
      </c>
      <c r="M177" s="1">
        <v>1</v>
      </c>
      <c r="N177" s="1">
        <v>0</v>
      </c>
      <c r="O177" s="3">
        <v>46233.65914210648</v>
      </c>
    </row>
    <row r="178" spans="1:15" ht="60" x14ac:dyDescent="0.25">
      <c r="A178" s="5" t="s">
        <v>614</v>
      </c>
      <c r="B178" s="1" t="s">
        <v>6720</v>
      </c>
      <c r="C178" s="1" t="s">
        <v>12</v>
      </c>
      <c r="G178" s="1" t="s">
        <v>10</v>
      </c>
      <c r="J178" s="3">
        <v>45331.664120370369</v>
      </c>
      <c r="K178" s="2" t="s">
        <v>6721</v>
      </c>
      <c r="L178" s="1">
        <v>2</v>
      </c>
      <c r="M178" s="1">
        <v>2</v>
      </c>
      <c r="N178" s="1">
        <v>0</v>
      </c>
      <c r="O178" s="3">
        <v>46233.65914210648</v>
      </c>
    </row>
    <row r="179" spans="1:15" x14ac:dyDescent="0.25">
      <c r="A179" s="5" t="s">
        <v>617</v>
      </c>
      <c r="B179" s="1" t="s">
        <v>6722</v>
      </c>
      <c r="C179" s="1" t="s">
        <v>12</v>
      </c>
      <c r="G179" s="1" t="s">
        <v>11</v>
      </c>
      <c r="J179" s="3">
        <v>44444.080196759256</v>
      </c>
      <c r="K179" s="2" t="s">
        <v>6413</v>
      </c>
      <c r="L179" s="1">
        <v>1</v>
      </c>
      <c r="M179" s="1">
        <v>1</v>
      </c>
      <c r="N179" s="1">
        <v>0</v>
      </c>
      <c r="O179" s="3">
        <v>46233.65914210648</v>
      </c>
    </row>
    <row r="180" spans="1:15" x14ac:dyDescent="0.25">
      <c r="A180" s="5" t="s">
        <v>620</v>
      </c>
      <c r="B180" s="1" t="s">
        <v>6723</v>
      </c>
      <c r="C180" s="1">
        <v>1980</v>
      </c>
      <c r="G180" s="1" t="s">
        <v>10</v>
      </c>
      <c r="J180" s="3">
        <v>45338.415358796294</v>
      </c>
      <c r="K180" s="2" t="s">
        <v>6369</v>
      </c>
      <c r="L180" s="1">
        <v>1</v>
      </c>
      <c r="M180" s="1">
        <v>1</v>
      </c>
      <c r="N180" s="1">
        <v>0</v>
      </c>
      <c r="O180" s="3">
        <v>46233.65914210648</v>
      </c>
    </row>
    <row r="181" spans="1:15" ht="60" x14ac:dyDescent="0.25">
      <c r="A181" s="5" t="s">
        <v>623</v>
      </c>
      <c r="B181" s="1" t="s">
        <v>6724</v>
      </c>
      <c r="C181" s="1">
        <v>1930</v>
      </c>
      <c r="E181" s="1">
        <v>2021</v>
      </c>
      <c r="G181" s="1" t="s">
        <v>11</v>
      </c>
      <c r="J181" s="3">
        <v>45412.290023148147</v>
      </c>
      <c r="K181" s="2" t="s">
        <v>6725</v>
      </c>
      <c r="L181" s="1">
        <v>1</v>
      </c>
      <c r="M181" s="1">
        <v>1</v>
      </c>
      <c r="N181" s="1">
        <v>0</v>
      </c>
      <c r="O181" s="3">
        <v>46233.65914210648</v>
      </c>
    </row>
    <row r="182" spans="1:15" ht="60" x14ac:dyDescent="0.25">
      <c r="A182" s="5" t="s">
        <v>626</v>
      </c>
      <c r="B182" s="1" t="s">
        <v>6726</v>
      </c>
      <c r="C182" s="1" t="s">
        <v>12</v>
      </c>
      <c r="G182" s="1" t="s">
        <v>10</v>
      </c>
      <c r="J182" s="3">
        <v>45330.399594907409</v>
      </c>
      <c r="K182" s="2" t="s">
        <v>6727</v>
      </c>
      <c r="L182" s="1">
        <v>1</v>
      </c>
      <c r="M182" s="1">
        <v>1</v>
      </c>
      <c r="N182" s="1">
        <v>0</v>
      </c>
      <c r="O182" s="3">
        <v>46233.65914210648</v>
      </c>
    </row>
    <row r="183" spans="1:15" x14ac:dyDescent="0.25">
      <c r="A183" s="5" t="s">
        <v>629</v>
      </c>
      <c r="B183" s="1" t="s">
        <v>6728</v>
      </c>
      <c r="C183" s="1">
        <v>1844</v>
      </c>
      <c r="E183" s="1">
        <v>1888</v>
      </c>
      <c r="G183" s="1" t="s">
        <v>10</v>
      </c>
      <c r="J183" s="3">
        <v>45412.80537037037</v>
      </c>
      <c r="K183" s="2" t="s">
        <v>6730</v>
      </c>
      <c r="L183" s="1">
        <v>0</v>
      </c>
      <c r="M183" s="1">
        <v>2</v>
      </c>
      <c r="N183" s="1">
        <v>2</v>
      </c>
      <c r="O183" s="3">
        <v>46233.65914210648</v>
      </c>
    </row>
    <row r="184" spans="1:15" ht="105" x14ac:dyDescent="0.25">
      <c r="A184" s="5" t="s">
        <v>632</v>
      </c>
      <c r="B184" s="1" t="s">
        <v>6731</v>
      </c>
      <c r="C184" s="1">
        <v>1946</v>
      </c>
      <c r="J184" s="3">
        <v>45251.632175925923</v>
      </c>
      <c r="K184" s="2" t="s">
        <v>6732</v>
      </c>
      <c r="L184" s="1">
        <v>10</v>
      </c>
      <c r="M184" s="1">
        <v>20</v>
      </c>
      <c r="N184" s="1">
        <v>10</v>
      </c>
      <c r="O184" s="3">
        <v>46233.65914210648</v>
      </c>
    </row>
    <row r="185" spans="1:15" x14ac:dyDescent="0.25">
      <c r="A185" s="5" t="s">
        <v>635</v>
      </c>
      <c r="B185" s="1" t="s">
        <v>6733</v>
      </c>
      <c r="C185" s="1" t="s">
        <v>12</v>
      </c>
      <c r="G185" s="1" t="s">
        <v>11</v>
      </c>
      <c r="J185" s="3">
        <v>44444.169189814813</v>
      </c>
      <c r="K185" s="2" t="s">
        <v>6413</v>
      </c>
      <c r="L185" s="1">
        <v>1</v>
      </c>
      <c r="M185" s="1">
        <v>1</v>
      </c>
      <c r="N185" s="1">
        <v>0</v>
      </c>
      <c r="O185" s="3">
        <v>46233.65914210648</v>
      </c>
    </row>
    <row r="186" spans="1:15" ht="255" x14ac:dyDescent="0.25">
      <c r="A186" s="5" t="s">
        <v>638</v>
      </c>
      <c r="B186" s="1" t="s">
        <v>6734</v>
      </c>
      <c r="C186" s="1">
        <v>1944</v>
      </c>
      <c r="G186" s="1" t="s">
        <v>10</v>
      </c>
      <c r="J186" s="3">
        <v>44441.449872685182</v>
      </c>
      <c r="K186" s="2" t="s">
        <v>6736</v>
      </c>
      <c r="L186" s="1">
        <v>8</v>
      </c>
      <c r="M186" s="1">
        <v>9</v>
      </c>
      <c r="N186" s="1">
        <v>1</v>
      </c>
      <c r="O186" s="3">
        <v>46233.65914210648</v>
      </c>
    </row>
    <row r="187" spans="1:15" x14ac:dyDescent="0.25">
      <c r="A187" s="5" t="s">
        <v>641</v>
      </c>
      <c r="B187" s="1" t="s">
        <v>6737</v>
      </c>
      <c r="C187" s="1" t="s">
        <v>12</v>
      </c>
      <c r="G187" s="1" t="s">
        <v>11</v>
      </c>
      <c r="J187" s="3">
        <v>45357.213472222225</v>
      </c>
      <c r="K187" s="2" t="s">
        <v>6738</v>
      </c>
      <c r="L187" s="1">
        <v>4</v>
      </c>
      <c r="M187" s="1">
        <v>5</v>
      </c>
      <c r="N187" s="1">
        <v>1</v>
      </c>
      <c r="O187" s="3">
        <v>46233.65914210648</v>
      </c>
    </row>
    <row r="188" spans="1:15" ht="30" x14ac:dyDescent="0.25">
      <c r="A188" s="5" t="s">
        <v>644</v>
      </c>
      <c r="B188" s="1" t="s">
        <v>6739</v>
      </c>
      <c r="C188" s="1" t="s">
        <v>152</v>
      </c>
      <c r="E188" s="1">
        <v>1955</v>
      </c>
      <c r="G188" s="1" t="s">
        <v>10</v>
      </c>
      <c r="J188" s="3">
        <v>45414.728865740741</v>
      </c>
      <c r="K188" s="2" t="s">
        <v>6740</v>
      </c>
      <c r="L188" s="1">
        <v>4</v>
      </c>
      <c r="M188" s="1">
        <v>4</v>
      </c>
      <c r="N188" s="1">
        <v>0</v>
      </c>
      <c r="O188" s="3">
        <v>46233.65914210648</v>
      </c>
    </row>
    <row r="189" spans="1:15" ht="90" x14ac:dyDescent="0.25">
      <c r="A189" s="5" t="s">
        <v>647</v>
      </c>
      <c r="B189" s="1" t="s">
        <v>6741</v>
      </c>
      <c r="C189" s="1">
        <v>1981</v>
      </c>
      <c r="G189" s="1" t="s">
        <v>10</v>
      </c>
      <c r="J189" s="3">
        <v>44376.491574074076</v>
      </c>
      <c r="K189" s="2" t="s">
        <v>6742</v>
      </c>
      <c r="L189" s="1">
        <v>3</v>
      </c>
      <c r="M189" s="1">
        <v>5</v>
      </c>
      <c r="N189" s="1">
        <v>2</v>
      </c>
      <c r="O189" s="3">
        <v>46233.65914210648</v>
      </c>
    </row>
    <row r="190" spans="1:15" ht="90" x14ac:dyDescent="0.25">
      <c r="A190" s="5" t="s">
        <v>650</v>
      </c>
      <c r="B190" s="1" t="s">
        <v>6743</v>
      </c>
      <c r="C190" s="1">
        <v>1991</v>
      </c>
      <c r="G190" s="1" t="s">
        <v>11</v>
      </c>
      <c r="J190" s="3">
        <v>44812.440763888888</v>
      </c>
      <c r="K190" s="2" t="s">
        <v>6744</v>
      </c>
      <c r="L190" s="1">
        <v>2</v>
      </c>
      <c r="M190" s="1">
        <v>4</v>
      </c>
      <c r="N190" s="1">
        <v>2</v>
      </c>
      <c r="O190" s="3">
        <v>46233.65914210648</v>
      </c>
    </row>
    <row r="191" spans="1:15" x14ac:dyDescent="0.25">
      <c r="A191" s="5" t="s">
        <v>653</v>
      </c>
      <c r="B191" s="1" t="s">
        <v>6745</v>
      </c>
      <c r="C191" s="1">
        <v>1925</v>
      </c>
      <c r="E191" s="1">
        <v>2018</v>
      </c>
      <c r="G191" s="1" t="s">
        <v>10</v>
      </c>
      <c r="J191" s="3">
        <v>45414.742824074077</v>
      </c>
      <c r="K191" s="2" t="s">
        <v>6747</v>
      </c>
      <c r="L191" s="1">
        <v>2</v>
      </c>
      <c r="M191" s="1">
        <v>2</v>
      </c>
      <c r="N191" s="1">
        <v>0</v>
      </c>
      <c r="O191" s="3">
        <v>46233.65914210648</v>
      </c>
    </row>
    <row r="192" spans="1:15" ht="105" x14ac:dyDescent="0.25">
      <c r="A192" s="5" t="s">
        <v>656</v>
      </c>
      <c r="B192" s="1" t="s">
        <v>6748</v>
      </c>
      <c r="C192" s="1" t="s">
        <v>12</v>
      </c>
      <c r="G192" s="1" t="s">
        <v>11</v>
      </c>
      <c r="J192" s="3">
        <v>45345.51834490741</v>
      </c>
      <c r="K192" s="2" t="s">
        <v>6749</v>
      </c>
      <c r="L192" s="1">
        <v>2</v>
      </c>
      <c r="M192" s="1">
        <v>2</v>
      </c>
      <c r="N192" s="1">
        <v>0</v>
      </c>
      <c r="O192" s="3">
        <v>46233.65914210648</v>
      </c>
    </row>
    <row r="193" spans="1:15" x14ac:dyDescent="0.25">
      <c r="A193" s="5" t="s">
        <v>659</v>
      </c>
      <c r="B193" s="1" t="s">
        <v>6750</v>
      </c>
      <c r="C193" s="1">
        <v>1936</v>
      </c>
      <c r="G193" s="1" t="s">
        <v>10</v>
      </c>
      <c r="J193" s="3">
        <v>45357.235752314817</v>
      </c>
      <c r="K193" s="2" t="s">
        <v>6357</v>
      </c>
      <c r="L193" s="1">
        <v>6</v>
      </c>
      <c r="M193" s="1">
        <v>6</v>
      </c>
      <c r="N193" s="1">
        <v>0</v>
      </c>
      <c r="O193" s="3">
        <v>46233.65914210648</v>
      </c>
    </row>
    <row r="194" spans="1:15" ht="45" x14ac:dyDescent="0.25">
      <c r="A194" s="5" t="s">
        <v>662</v>
      </c>
      <c r="B194" s="1" t="s">
        <v>6751</v>
      </c>
      <c r="C194" s="1" t="s">
        <v>6603</v>
      </c>
      <c r="G194" s="1" t="s">
        <v>10</v>
      </c>
      <c r="J194" s="3">
        <v>45351.467118055552</v>
      </c>
      <c r="K194" s="2" t="s">
        <v>6752</v>
      </c>
      <c r="L194" s="1">
        <v>2</v>
      </c>
      <c r="M194" s="1">
        <v>2</v>
      </c>
      <c r="N194" s="1">
        <v>0</v>
      </c>
      <c r="O194" s="3">
        <v>46233.65914210648</v>
      </c>
    </row>
    <row r="195" spans="1:15" x14ac:dyDescent="0.25">
      <c r="A195" s="5" t="s">
        <v>665</v>
      </c>
      <c r="B195" s="1" t="s">
        <v>6753</v>
      </c>
      <c r="C195" s="1">
        <v>1874</v>
      </c>
      <c r="E195" s="1">
        <v>1965</v>
      </c>
      <c r="G195" s="1" t="s">
        <v>10</v>
      </c>
      <c r="J195" s="3">
        <v>45415.341435185182</v>
      </c>
      <c r="K195" s="2" t="s">
        <v>6373</v>
      </c>
      <c r="L195" s="1">
        <v>2</v>
      </c>
      <c r="M195" s="1">
        <v>2</v>
      </c>
      <c r="N195" s="1">
        <v>0</v>
      </c>
      <c r="O195" s="3">
        <v>46233.65914210648</v>
      </c>
    </row>
    <row r="196" spans="1:15" ht="30" x14ac:dyDescent="0.25">
      <c r="A196" s="5" t="s">
        <v>668</v>
      </c>
      <c r="B196" s="1" t="s">
        <v>6755</v>
      </c>
      <c r="C196" s="1">
        <v>1938</v>
      </c>
      <c r="G196" s="1" t="s">
        <v>10</v>
      </c>
      <c r="J196" s="3">
        <v>45359.442430555559</v>
      </c>
      <c r="K196" s="2" t="s">
        <v>6756</v>
      </c>
      <c r="L196" s="1">
        <v>5</v>
      </c>
      <c r="M196" s="1">
        <v>6</v>
      </c>
      <c r="N196" s="1">
        <v>1</v>
      </c>
      <c r="O196" s="3">
        <v>46233.65914210648</v>
      </c>
    </row>
    <row r="197" spans="1:15" ht="45" x14ac:dyDescent="0.25">
      <c r="A197" s="5" t="s">
        <v>671</v>
      </c>
      <c r="B197" s="1" t="s">
        <v>6757</v>
      </c>
      <c r="C197" s="1" t="s">
        <v>12</v>
      </c>
      <c r="G197" s="1" t="s">
        <v>11</v>
      </c>
      <c r="J197" s="3">
        <v>44538.654918981483</v>
      </c>
      <c r="K197" s="2" t="s">
        <v>6758</v>
      </c>
      <c r="L197" s="1">
        <v>2</v>
      </c>
      <c r="M197" s="1">
        <v>3</v>
      </c>
      <c r="N197" s="1">
        <v>1</v>
      </c>
      <c r="O197" s="3">
        <v>46233.65914210648</v>
      </c>
    </row>
    <row r="198" spans="1:15" ht="45" x14ac:dyDescent="0.25">
      <c r="A198" s="5" t="s">
        <v>674</v>
      </c>
      <c r="B198" s="1" t="s">
        <v>6759</v>
      </c>
      <c r="C198" s="1" t="s">
        <v>12</v>
      </c>
      <c r="G198" s="1" t="s">
        <v>10</v>
      </c>
      <c r="J198" s="3">
        <v>45357.651006944441</v>
      </c>
      <c r="K198" s="2" t="s">
        <v>6760</v>
      </c>
      <c r="L198" s="1">
        <v>4</v>
      </c>
      <c r="M198" s="1">
        <v>4</v>
      </c>
      <c r="N198" s="1">
        <v>0</v>
      </c>
      <c r="O198" s="3">
        <v>46233.65914210648</v>
      </c>
    </row>
    <row r="199" spans="1:15" ht="30" x14ac:dyDescent="0.25">
      <c r="A199" s="5" t="s">
        <v>677</v>
      </c>
      <c r="B199" s="1" t="s">
        <v>6761</v>
      </c>
      <c r="C199" s="1">
        <v>1909</v>
      </c>
      <c r="E199" s="1">
        <v>1987</v>
      </c>
      <c r="G199" s="1" t="s">
        <v>10</v>
      </c>
      <c r="J199" s="3">
        <v>45415.363634259258</v>
      </c>
      <c r="K199" s="2" t="s">
        <v>6762</v>
      </c>
      <c r="L199" s="1">
        <v>1</v>
      </c>
      <c r="M199" s="1">
        <v>1</v>
      </c>
      <c r="N199" s="1">
        <v>0</v>
      </c>
      <c r="O199" s="3">
        <v>46233.65914210648</v>
      </c>
    </row>
    <row r="200" spans="1:15" x14ac:dyDescent="0.25">
      <c r="A200" s="5" t="s">
        <v>680</v>
      </c>
      <c r="B200" s="1" t="s">
        <v>6763</v>
      </c>
      <c r="C200" s="1" t="s">
        <v>12</v>
      </c>
      <c r="G200" s="1" t="s">
        <v>10</v>
      </c>
      <c r="J200" s="3">
        <v>45357.326041666667</v>
      </c>
      <c r="K200" s="2" t="s">
        <v>6650</v>
      </c>
      <c r="L200" s="1">
        <v>7</v>
      </c>
      <c r="M200" s="1">
        <v>7</v>
      </c>
      <c r="N200" s="1">
        <v>0</v>
      </c>
      <c r="O200" s="3">
        <v>46233.65914210648</v>
      </c>
    </row>
    <row r="201" spans="1:15" ht="30" x14ac:dyDescent="0.25">
      <c r="A201" s="5" t="s">
        <v>683</v>
      </c>
      <c r="B201" s="1" t="s">
        <v>6764</v>
      </c>
      <c r="C201" s="1">
        <v>1988</v>
      </c>
      <c r="G201" s="1" t="s">
        <v>10</v>
      </c>
      <c r="J201" s="3">
        <v>44539.610162037039</v>
      </c>
      <c r="K201" s="2" t="s">
        <v>6765</v>
      </c>
      <c r="L201" s="1">
        <v>1</v>
      </c>
      <c r="M201" s="1">
        <v>1</v>
      </c>
      <c r="N201" s="1">
        <v>0</v>
      </c>
      <c r="O201" s="3">
        <v>46233.65914210648</v>
      </c>
    </row>
    <row r="202" spans="1:15" ht="30" x14ac:dyDescent="0.25">
      <c r="A202" s="5" t="s">
        <v>686</v>
      </c>
      <c r="B202" s="1" t="s">
        <v>6766</v>
      </c>
      <c r="C202" s="1">
        <v>1786</v>
      </c>
      <c r="E202" s="1">
        <v>1867</v>
      </c>
      <c r="G202" s="1" t="s">
        <v>10</v>
      </c>
      <c r="J202" s="3">
        <v>45415.394224537034</v>
      </c>
      <c r="K202" s="2" t="s">
        <v>6769</v>
      </c>
      <c r="L202" s="1">
        <v>1</v>
      </c>
      <c r="M202" s="1">
        <v>1</v>
      </c>
      <c r="N202" s="1">
        <v>0</v>
      </c>
      <c r="O202" s="3">
        <v>46233.65914210648</v>
      </c>
    </row>
    <row r="203" spans="1:15" x14ac:dyDescent="0.25">
      <c r="A203" s="5" t="s">
        <v>689</v>
      </c>
      <c r="B203" s="1" t="s">
        <v>6770</v>
      </c>
      <c r="C203" s="1">
        <v>1965</v>
      </c>
      <c r="G203" s="1" t="s">
        <v>10</v>
      </c>
      <c r="J203" s="3">
        <v>45303.517777777779</v>
      </c>
      <c r="K203" s="2" t="s">
        <v>6771</v>
      </c>
      <c r="L203" s="1">
        <v>10</v>
      </c>
      <c r="M203" s="1">
        <v>11</v>
      </c>
      <c r="N203" s="1">
        <v>1</v>
      </c>
      <c r="O203" s="3">
        <v>46233.65914210648</v>
      </c>
    </row>
    <row r="204" spans="1:15" ht="30" x14ac:dyDescent="0.25">
      <c r="A204" s="5" t="s">
        <v>695</v>
      </c>
      <c r="B204" s="1" t="s">
        <v>6772</v>
      </c>
      <c r="C204" s="1" t="s">
        <v>12</v>
      </c>
      <c r="G204" s="1" t="s">
        <v>11</v>
      </c>
      <c r="J204" s="3">
        <v>45345.391273148147</v>
      </c>
      <c r="K204" s="2" t="s">
        <v>6773</v>
      </c>
      <c r="L204" s="1">
        <v>5</v>
      </c>
      <c r="M204" s="1">
        <v>5</v>
      </c>
      <c r="N204" s="1">
        <v>0</v>
      </c>
      <c r="O204" s="3">
        <v>46233.65914210648</v>
      </c>
    </row>
    <row r="205" spans="1:15" x14ac:dyDescent="0.25">
      <c r="A205" s="5" t="s">
        <v>698</v>
      </c>
      <c r="B205" s="1" t="s">
        <v>6774</v>
      </c>
      <c r="C205" s="1">
        <v>1957</v>
      </c>
      <c r="E205" s="1">
        <v>1996</v>
      </c>
      <c r="G205" s="1" t="s">
        <v>10</v>
      </c>
      <c r="J205" s="3">
        <v>45417.027546296296</v>
      </c>
      <c r="K205" s="2" t="s">
        <v>6775</v>
      </c>
      <c r="L205" s="1">
        <v>1</v>
      </c>
      <c r="M205" s="1">
        <v>1</v>
      </c>
      <c r="N205" s="1">
        <v>0</v>
      </c>
      <c r="O205" s="3">
        <v>46233.65914210648</v>
      </c>
    </row>
    <row r="206" spans="1:15" x14ac:dyDescent="0.25">
      <c r="A206" s="5" t="s">
        <v>701</v>
      </c>
      <c r="B206" s="1" t="s">
        <v>6776</v>
      </c>
      <c r="C206" s="1">
        <v>1937</v>
      </c>
      <c r="E206" s="1">
        <v>2022</v>
      </c>
      <c r="G206" s="1" t="s">
        <v>11</v>
      </c>
      <c r="J206" s="3">
        <v>45417.037256944444</v>
      </c>
      <c r="K206" s="2" t="s">
        <v>6777</v>
      </c>
      <c r="L206" s="1">
        <v>2</v>
      </c>
      <c r="M206" s="1">
        <v>2</v>
      </c>
      <c r="N206" s="1">
        <v>0</v>
      </c>
      <c r="O206" s="3">
        <v>46233.65914210648</v>
      </c>
    </row>
    <row r="207" spans="1:15" x14ac:dyDescent="0.25">
      <c r="A207" s="5" t="s">
        <v>704</v>
      </c>
      <c r="B207" s="1" t="s">
        <v>6778</v>
      </c>
      <c r="C207" s="1">
        <v>1893</v>
      </c>
      <c r="G207" s="1" t="s">
        <v>10</v>
      </c>
      <c r="J207" s="3">
        <v>45358.012094907404</v>
      </c>
      <c r="K207" s="2" t="s">
        <v>6369</v>
      </c>
      <c r="L207" s="1">
        <v>1</v>
      </c>
      <c r="M207" s="1">
        <v>1</v>
      </c>
      <c r="N207" s="1">
        <v>0</v>
      </c>
      <c r="O207" s="3">
        <v>46233.65914210648</v>
      </c>
    </row>
    <row r="208" spans="1:15" x14ac:dyDescent="0.25">
      <c r="A208" s="5" t="s">
        <v>707</v>
      </c>
      <c r="B208" s="1" t="s">
        <v>6780</v>
      </c>
      <c r="C208" s="1" t="s">
        <v>12</v>
      </c>
      <c r="G208" s="1" t="s">
        <v>11</v>
      </c>
      <c r="J208" s="3">
        <v>45357.387118055558</v>
      </c>
      <c r="K208" s="2" t="s">
        <v>6781</v>
      </c>
      <c r="L208" s="1">
        <v>1</v>
      </c>
      <c r="M208" s="1">
        <v>1</v>
      </c>
      <c r="N208" s="1">
        <v>0</v>
      </c>
      <c r="O208" s="3">
        <v>46233.65914210648</v>
      </c>
    </row>
    <row r="209" spans="1:15" ht="45" x14ac:dyDescent="0.25">
      <c r="A209" s="5" t="s">
        <v>710</v>
      </c>
      <c r="B209" s="1" t="s">
        <v>6782</v>
      </c>
      <c r="C209" s="1">
        <v>1865</v>
      </c>
      <c r="E209" s="1">
        <v>1939</v>
      </c>
      <c r="G209" s="1" t="s">
        <v>10</v>
      </c>
      <c r="J209" s="3">
        <v>45419.52412037037</v>
      </c>
      <c r="K209" s="2" t="s">
        <v>6784</v>
      </c>
      <c r="L209" s="1">
        <v>13</v>
      </c>
      <c r="M209" s="1">
        <v>15</v>
      </c>
      <c r="N209" s="1">
        <v>2</v>
      </c>
      <c r="O209" s="3">
        <v>46233.65914210648</v>
      </c>
    </row>
    <row r="210" spans="1:15" ht="60" x14ac:dyDescent="0.25">
      <c r="A210" s="5" t="s">
        <v>716</v>
      </c>
      <c r="B210" s="1" t="s">
        <v>6785</v>
      </c>
      <c r="G210" s="1" t="s">
        <v>11</v>
      </c>
      <c r="J210" s="3">
        <v>45313.480856481481</v>
      </c>
      <c r="K210" s="2" t="s">
        <v>6786</v>
      </c>
      <c r="L210" s="1">
        <v>4</v>
      </c>
      <c r="M210" s="1">
        <v>12</v>
      </c>
      <c r="N210" s="1">
        <v>8</v>
      </c>
      <c r="O210" s="3">
        <v>46233.65914210648</v>
      </c>
    </row>
    <row r="211" spans="1:15" ht="60" x14ac:dyDescent="0.25">
      <c r="A211" s="5" t="s">
        <v>719</v>
      </c>
      <c r="B211" s="1" t="s">
        <v>6787</v>
      </c>
      <c r="C211" s="1" t="s">
        <v>12</v>
      </c>
      <c r="G211" s="1" t="s">
        <v>10</v>
      </c>
      <c r="J211" s="3">
        <v>45324.608842592592</v>
      </c>
      <c r="K211" s="2" t="s">
        <v>6788</v>
      </c>
      <c r="L211" s="1">
        <v>3</v>
      </c>
      <c r="M211" s="1">
        <v>3</v>
      </c>
      <c r="N211" s="1">
        <v>0</v>
      </c>
      <c r="O211" s="3">
        <v>46233.65914210648</v>
      </c>
    </row>
    <row r="212" spans="1:15" ht="120" x14ac:dyDescent="0.25">
      <c r="A212" s="5" t="s">
        <v>722</v>
      </c>
      <c r="B212" s="1" t="s">
        <v>6789</v>
      </c>
      <c r="C212" s="1">
        <v>1938</v>
      </c>
      <c r="J212" s="3">
        <v>45329.368055555555</v>
      </c>
      <c r="K212" s="2" t="s">
        <v>6790</v>
      </c>
      <c r="L212" s="1">
        <v>3</v>
      </c>
      <c r="M212" s="1">
        <v>3</v>
      </c>
      <c r="N212" s="1">
        <v>0</v>
      </c>
      <c r="O212" s="3">
        <v>46233.65914210648</v>
      </c>
    </row>
    <row r="213" spans="1:15" x14ac:dyDescent="0.25">
      <c r="A213" s="5" t="s">
        <v>725</v>
      </c>
      <c r="B213" s="1" t="s">
        <v>6791</v>
      </c>
      <c r="C213" s="1">
        <v>1849</v>
      </c>
      <c r="E213" s="1">
        <v>1997</v>
      </c>
      <c r="J213" s="3">
        <v>45441.399942129632</v>
      </c>
      <c r="L213" s="1">
        <v>1</v>
      </c>
      <c r="M213" s="1">
        <v>1</v>
      </c>
      <c r="N213" s="1">
        <v>0</v>
      </c>
      <c r="O213" s="3">
        <v>46233.65914210648</v>
      </c>
    </row>
    <row r="214" spans="1:15" x14ac:dyDescent="0.25">
      <c r="A214" s="5" t="s">
        <v>728</v>
      </c>
      <c r="B214" s="1" t="s">
        <v>6794</v>
      </c>
      <c r="C214" s="1" t="s">
        <v>12</v>
      </c>
      <c r="G214" s="1" t="s">
        <v>11</v>
      </c>
      <c r="J214" s="3">
        <v>45356.5625</v>
      </c>
      <c r="K214" s="2" t="s">
        <v>6701</v>
      </c>
      <c r="L214" s="1">
        <v>1</v>
      </c>
      <c r="M214" s="1">
        <v>2</v>
      </c>
      <c r="N214" s="1">
        <v>1</v>
      </c>
      <c r="O214" s="3">
        <v>46233.65914210648</v>
      </c>
    </row>
    <row r="215" spans="1:15" ht="45" x14ac:dyDescent="0.25">
      <c r="A215" s="5" t="s">
        <v>731</v>
      </c>
      <c r="B215" s="1" t="s">
        <v>6795</v>
      </c>
      <c r="C215" s="1" t="s">
        <v>12</v>
      </c>
      <c r="G215" s="1" t="s">
        <v>10</v>
      </c>
      <c r="J215" s="3">
        <v>45338.666620370372</v>
      </c>
      <c r="K215" s="2" t="s">
        <v>6796</v>
      </c>
      <c r="L215" s="1">
        <v>1</v>
      </c>
      <c r="M215" s="1">
        <v>1</v>
      </c>
      <c r="N215" s="1">
        <v>0</v>
      </c>
      <c r="O215" s="3">
        <v>46233.65914210648</v>
      </c>
    </row>
    <row r="216" spans="1:15" ht="45" x14ac:dyDescent="0.25">
      <c r="A216" s="5" t="s">
        <v>734</v>
      </c>
      <c r="B216" s="1" t="s">
        <v>6797</v>
      </c>
      <c r="C216" s="1" t="s">
        <v>12</v>
      </c>
      <c r="G216" s="1" t="s">
        <v>11</v>
      </c>
      <c r="J216" s="3">
        <v>45356.967997685184</v>
      </c>
      <c r="K216" s="2" t="s">
        <v>6798</v>
      </c>
      <c r="L216" s="1">
        <v>1</v>
      </c>
      <c r="M216" s="1">
        <v>1</v>
      </c>
      <c r="N216" s="1">
        <v>0</v>
      </c>
      <c r="O216" s="3">
        <v>46233.65914210648</v>
      </c>
    </row>
    <row r="217" spans="1:15" ht="30" x14ac:dyDescent="0.25">
      <c r="A217" s="5" t="s">
        <v>737</v>
      </c>
      <c r="B217" s="1" t="s">
        <v>6799</v>
      </c>
      <c r="C217" s="1">
        <v>1931</v>
      </c>
      <c r="E217" s="1">
        <v>2020</v>
      </c>
      <c r="G217" s="1" t="s">
        <v>10</v>
      </c>
      <c r="J217" s="3">
        <v>45455.715787037036</v>
      </c>
      <c r="K217" s="2" t="s">
        <v>6800</v>
      </c>
      <c r="L217" s="1">
        <v>1</v>
      </c>
      <c r="M217" s="1">
        <v>1</v>
      </c>
      <c r="N217" s="1">
        <v>0</v>
      </c>
      <c r="O217" s="3">
        <v>46233.65914210648</v>
      </c>
    </row>
    <row r="218" spans="1:15" x14ac:dyDescent="0.25">
      <c r="A218" s="5" t="s">
        <v>740</v>
      </c>
      <c r="B218" s="1" t="s">
        <v>6801</v>
      </c>
      <c r="C218" s="1" t="s">
        <v>12</v>
      </c>
      <c r="G218" s="1" t="s">
        <v>10</v>
      </c>
      <c r="J218" s="3">
        <v>45358.324560185189</v>
      </c>
      <c r="K218" s="2" t="s">
        <v>6438</v>
      </c>
      <c r="L218" s="1">
        <v>1</v>
      </c>
      <c r="M218" s="1">
        <v>1</v>
      </c>
      <c r="N218" s="1">
        <v>0</v>
      </c>
      <c r="O218" s="3">
        <v>46233.65914210648</v>
      </c>
    </row>
    <row r="219" spans="1:15" ht="30" x14ac:dyDescent="0.25">
      <c r="A219" s="5" t="s">
        <v>743</v>
      </c>
      <c r="B219" s="1" t="s">
        <v>6802</v>
      </c>
      <c r="C219" s="1">
        <v>1818</v>
      </c>
      <c r="E219" s="1">
        <v>1888</v>
      </c>
      <c r="G219" s="1" t="s">
        <v>10</v>
      </c>
      <c r="J219" s="3">
        <v>45461.568958333337</v>
      </c>
      <c r="K219" s="2" t="s">
        <v>6804</v>
      </c>
      <c r="L219" s="1">
        <v>8</v>
      </c>
      <c r="M219" s="1">
        <v>9</v>
      </c>
      <c r="N219" s="1">
        <v>1</v>
      </c>
      <c r="O219" s="3">
        <v>46233.65914210648</v>
      </c>
    </row>
    <row r="220" spans="1:15" ht="105" x14ac:dyDescent="0.25">
      <c r="A220" s="5" t="s">
        <v>746</v>
      </c>
      <c r="B220" s="1" t="s">
        <v>6805</v>
      </c>
      <c r="C220" s="1">
        <v>1956</v>
      </c>
      <c r="G220" s="1" t="s">
        <v>10</v>
      </c>
      <c r="J220" s="3">
        <v>45352.71497685185</v>
      </c>
      <c r="K220" s="2" t="s">
        <v>6806</v>
      </c>
      <c r="L220" s="1">
        <v>2</v>
      </c>
      <c r="M220" s="1">
        <v>2</v>
      </c>
      <c r="N220" s="1">
        <v>0</v>
      </c>
      <c r="O220" s="3">
        <v>46233.65914210648</v>
      </c>
    </row>
    <row r="221" spans="1:15" ht="120" x14ac:dyDescent="0.25">
      <c r="A221" s="5" t="s">
        <v>749</v>
      </c>
      <c r="B221" s="1" t="s">
        <v>6807</v>
      </c>
      <c r="C221" s="1" t="s">
        <v>12</v>
      </c>
      <c r="G221" s="1" t="s">
        <v>10</v>
      </c>
      <c r="J221" s="3">
        <v>45331.666932870372</v>
      </c>
      <c r="K221" s="2" t="s">
        <v>6808</v>
      </c>
      <c r="L221" s="1">
        <v>3</v>
      </c>
      <c r="M221" s="1">
        <v>3</v>
      </c>
      <c r="N221" s="1">
        <v>0</v>
      </c>
      <c r="O221" s="3">
        <v>46233.65914210648</v>
      </c>
    </row>
    <row r="222" spans="1:15" ht="90" x14ac:dyDescent="0.25">
      <c r="A222" s="5" t="s">
        <v>752</v>
      </c>
      <c r="B222" s="1" t="s">
        <v>6809</v>
      </c>
      <c r="C222" s="1">
        <v>1962</v>
      </c>
      <c r="G222" s="1" t="s">
        <v>10</v>
      </c>
      <c r="J222" s="3">
        <v>45357.384375000001</v>
      </c>
      <c r="K222" s="2" t="s">
        <v>6810</v>
      </c>
      <c r="L222" s="1">
        <v>4</v>
      </c>
      <c r="M222" s="1">
        <v>4</v>
      </c>
      <c r="N222" s="1">
        <v>0</v>
      </c>
      <c r="O222" s="3">
        <v>46233.65914210648</v>
      </c>
    </row>
    <row r="223" spans="1:15" ht="60" x14ac:dyDescent="0.25">
      <c r="A223" s="5" t="s">
        <v>755</v>
      </c>
      <c r="B223" s="1" t="s">
        <v>6811</v>
      </c>
      <c r="C223" s="1">
        <v>1938</v>
      </c>
      <c r="E223" s="1">
        <v>2020</v>
      </c>
      <c r="G223" s="1" t="s">
        <v>10</v>
      </c>
      <c r="J223" s="3">
        <v>45468.134930555556</v>
      </c>
      <c r="K223" s="2" t="s">
        <v>6812</v>
      </c>
      <c r="L223" s="1">
        <v>73</v>
      </c>
      <c r="M223" s="1">
        <v>74</v>
      </c>
      <c r="N223" s="1">
        <v>1</v>
      </c>
      <c r="O223" s="3">
        <v>46233.65914210648</v>
      </c>
    </row>
    <row r="224" spans="1:15" x14ac:dyDescent="0.25">
      <c r="A224" s="5" t="s">
        <v>758</v>
      </c>
      <c r="B224" s="1" t="s">
        <v>6813</v>
      </c>
      <c r="C224" s="1">
        <v>1977</v>
      </c>
      <c r="G224" s="1" t="s">
        <v>10</v>
      </c>
      <c r="J224" s="3">
        <v>45338.410428240742</v>
      </c>
      <c r="K224" s="2" t="s">
        <v>6369</v>
      </c>
      <c r="L224" s="1">
        <v>1</v>
      </c>
      <c r="M224" s="1">
        <v>1</v>
      </c>
      <c r="N224" s="1">
        <v>0</v>
      </c>
      <c r="O224" s="3">
        <v>46233.65914210648</v>
      </c>
    </row>
    <row r="225" spans="1:15" x14ac:dyDescent="0.25">
      <c r="A225" s="5" t="s">
        <v>761</v>
      </c>
      <c r="B225" s="1" t="s">
        <v>6814</v>
      </c>
      <c r="C225" s="1">
        <v>1976</v>
      </c>
      <c r="G225" s="1" t="s">
        <v>10</v>
      </c>
      <c r="J225" s="3">
        <v>45338.413460648146</v>
      </c>
      <c r="K225" s="2" t="s">
        <v>6369</v>
      </c>
      <c r="L225" s="1">
        <v>1</v>
      </c>
      <c r="M225" s="1">
        <v>1</v>
      </c>
      <c r="N225" s="1">
        <v>0</v>
      </c>
      <c r="O225" s="3">
        <v>46233.65914210648</v>
      </c>
    </row>
    <row r="226" spans="1:15" ht="75" x14ac:dyDescent="0.25">
      <c r="A226" s="5" t="s">
        <v>764</v>
      </c>
      <c r="B226" s="1" t="s">
        <v>6815</v>
      </c>
      <c r="C226" s="1">
        <v>1892</v>
      </c>
      <c r="E226" s="1">
        <v>1972</v>
      </c>
      <c r="J226" s="3">
        <v>45485.469085648147</v>
      </c>
      <c r="K226" s="2" t="s">
        <v>6817</v>
      </c>
      <c r="L226" s="1">
        <v>1</v>
      </c>
      <c r="M226" s="1">
        <v>1</v>
      </c>
      <c r="N226" s="1">
        <v>0</v>
      </c>
      <c r="O226" s="3">
        <v>46233.65914210648</v>
      </c>
    </row>
    <row r="227" spans="1:15" ht="90" x14ac:dyDescent="0.25">
      <c r="A227" s="5" t="s">
        <v>767</v>
      </c>
      <c r="B227" s="1" t="s">
        <v>6818</v>
      </c>
      <c r="C227" s="1" t="s">
        <v>12</v>
      </c>
      <c r="G227" s="1" t="s">
        <v>10</v>
      </c>
      <c r="J227" s="3">
        <v>45357.255196759259</v>
      </c>
      <c r="K227" s="2" t="s">
        <v>6819</v>
      </c>
      <c r="L227" s="1">
        <v>1</v>
      </c>
      <c r="M227" s="1">
        <v>1</v>
      </c>
      <c r="N227" s="1">
        <v>0</v>
      </c>
      <c r="O227" s="3">
        <v>46233.65914210648</v>
      </c>
    </row>
    <row r="228" spans="1:15" ht="75" x14ac:dyDescent="0.25">
      <c r="A228" s="5" t="s">
        <v>770</v>
      </c>
      <c r="B228" s="1" t="s">
        <v>6820</v>
      </c>
      <c r="C228" s="1" t="s">
        <v>12</v>
      </c>
      <c r="G228" s="1" t="s">
        <v>10</v>
      </c>
      <c r="J228" s="3">
        <v>45344.542361111111</v>
      </c>
      <c r="K228" s="2" t="s">
        <v>6821</v>
      </c>
      <c r="L228" s="1">
        <v>1</v>
      </c>
      <c r="M228" s="1">
        <v>1</v>
      </c>
      <c r="N228" s="1">
        <v>0</v>
      </c>
      <c r="O228" s="3">
        <v>46233.65914210648</v>
      </c>
    </row>
    <row r="229" spans="1:15" x14ac:dyDescent="0.25">
      <c r="A229" s="5" t="s">
        <v>773</v>
      </c>
      <c r="B229" s="1" t="s">
        <v>6822</v>
      </c>
      <c r="C229" s="1">
        <v>1970</v>
      </c>
      <c r="G229" s="1" t="s">
        <v>10</v>
      </c>
      <c r="J229" s="3">
        <v>45357.680185185185</v>
      </c>
      <c r="K229" s="2" t="s">
        <v>6823</v>
      </c>
      <c r="L229" s="1">
        <v>3</v>
      </c>
      <c r="M229" s="1">
        <v>3</v>
      </c>
      <c r="N229" s="1">
        <v>0</v>
      </c>
      <c r="O229" s="3">
        <v>46233.65914210648</v>
      </c>
    </row>
    <row r="230" spans="1:15" ht="60" x14ac:dyDescent="0.25">
      <c r="A230" s="5" t="s">
        <v>776</v>
      </c>
      <c r="B230" s="1" t="s">
        <v>6824</v>
      </c>
      <c r="C230" s="1" t="s">
        <v>12</v>
      </c>
      <c r="G230" s="1" t="s">
        <v>10</v>
      </c>
      <c r="J230" s="3">
        <v>45358.292615740742</v>
      </c>
      <c r="K230" s="2" t="s">
        <v>6825</v>
      </c>
      <c r="L230" s="1">
        <v>1</v>
      </c>
      <c r="M230" s="1">
        <v>1</v>
      </c>
      <c r="N230" s="1">
        <v>0</v>
      </c>
      <c r="O230" s="3">
        <v>46233.65914210648</v>
      </c>
    </row>
    <row r="231" spans="1:15" x14ac:dyDescent="0.25">
      <c r="A231" s="5" t="s">
        <v>779</v>
      </c>
      <c r="B231" s="1" t="s">
        <v>6826</v>
      </c>
      <c r="C231" s="1" t="s">
        <v>12</v>
      </c>
      <c r="G231" s="1" t="s">
        <v>10</v>
      </c>
      <c r="J231" s="3">
        <v>45358.571793981479</v>
      </c>
      <c r="K231" s="2" t="s">
        <v>6827</v>
      </c>
      <c r="L231" s="1">
        <v>1</v>
      </c>
      <c r="M231" s="1">
        <v>1</v>
      </c>
      <c r="N231" s="1">
        <v>0</v>
      </c>
      <c r="O231" s="3">
        <v>46233.65914210648</v>
      </c>
    </row>
    <row r="232" spans="1:15" x14ac:dyDescent="0.25">
      <c r="A232" s="5" t="s">
        <v>782</v>
      </c>
      <c r="B232" s="1" t="s">
        <v>6828</v>
      </c>
      <c r="C232" s="1">
        <v>1967</v>
      </c>
      <c r="G232" s="1" t="s">
        <v>11</v>
      </c>
      <c r="J232" s="3">
        <v>45359.309236111112</v>
      </c>
      <c r="K232" s="2" t="s">
        <v>6829</v>
      </c>
      <c r="L232" s="1">
        <v>1</v>
      </c>
      <c r="M232" s="1">
        <v>1</v>
      </c>
      <c r="N232" s="1">
        <v>0</v>
      </c>
      <c r="O232" s="3">
        <v>46233.65914210648</v>
      </c>
    </row>
    <row r="233" spans="1:15" x14ac:dyDescent="0.25">
      <c r="A233" s="5" t="s">
        <v>785</v>
      </c>
      <c r="B233" s="1" t="s">
        <v>6830</v>
      </c>
      <c r="C233" s="1" t="s">
        <v>12</v>
      </c>
      <c r="G233" s="1" t="s">
        <v>10</v>
      </c>
      <c r="J233" s="3">
        <v>45349.396956018521</v>
      </c>
      <c r="L233" s="1">
        <v>1</v>
      </c>
      <c r="M233" s="1">
        <v>1</v>
      </c>
      <c r="N233" s="1">
        <v>0</v>
      </c>
      <c r="O233" s="3">
        <v>46233.65914210648</v>
      </c>
    </row>
    <row r="234" spans="1:15" ht="45" x14ac:dyDescent="0.25">
      <c r="A234" s="5" t="s">
        <v>788</v>
      </c>
      <c r="B234" s="1" t="s">
        <v>6831</v>
      </c>
      <c r="C234" s="1" t="s">
        <v>12</v>
      </c>
      <c r="G234" s="1" t="s">
        <v>11</v>
      </c>
      <c r="J234" s="3">
        <v>45349.47792824074</v>
      </c>
      <c r="K234" s="2" t="s">
        <v>6832</v>
      </c>
      <c r="L234" s="1">
        <v>1</v>
      </c>
      <c r="M234" s="1">
        <v>1</v>
      </c>
      <c r="N234" s="1">
        <v>0</v>
      </c>
      <c r="O234" s="3">
        <v>46233.65914210648</v>
      </c>
    </row>
    <row r="235" spans="1:15" x14ac:dyDescent="0.25">
      <c r="A235" s="5" t="s">
        <v>791</v>
      </c>
      <c r="B235" s="1" t="s">
        <v>6833</v>
      </c>
      <c r="C235" s="1" t="s">
        <v>12</v>
      </c>
      <c r="G235" s="1" t="s">
        <v>10</v>
      </c>
      <c r="J235" s="3">
        <v>45350.447638888887</v>
      </c>
      <c r="K235" s="2" t="s">
        <v>125</v>
      </c>
      <c r="L235" s="1">
        <v>1</v>
      </c>
      <c r="M235" s="1">
        <v>1</v>
      </c>
      <c r="N235" s="1">
        <v>0</v>
      </c>
      <c r="O235" s="3">
        <v>46233.65914210648</v>
      </c>
    </row>
    <row r="236" spans="1:15" x14ac:dyDescent="0.25">
      <c r="A236" s="5" t="s">
        <v>794</v>
      </c>
      <c r="B236" s="1" t="s">
        <v>6834</v>
      </c>
      <c r="C236" s="1" t="s">
        <v>12</v>
      </c>
      <c r="G236" s="1" t="s">
        <v>11</v>
      </c>
      <c r="J236" s="3">
        <v>45357.345486111109</v>
      </c>
      <c r="K236" s="2" t="s">
        <v>6835</v>
      </c>
      <c r="L236" s="1">
        <v>2</v>
      </c>
      <c r="M236" s="1">
        <v>2</v>
      </c>
      <c r="N236" s="1">
        <v>0</v>
      </c>
      <c r="O236" s="3">
        <v>46233.65914210648</v>
      </c>
    </row>
    <row r="237" spans="1:15" ht="60" x14ac:dyDescent="0.25">
      <c r="A237" s="5" t="s">
        <v>797</v>
      </c>
      <c r="B237" s="1" t="s">
        <v>6836</v>
      </c>
      <c r="C237" s="1" t="s">
        <v>12</v>
      </c>
      <c r="G237" s="1" t="s">
        <v>11</v>
      </c>
      <c r="J237" s="3">
        <v>45351.469525462962</v>
      </c>
      <c r="K237" s="2" t="s">
        <v>6837</v>
      </c>
      <c r="L237" s="1">
        <v>2</v>
      </c>
      <c r="M237" s="1">
        <v>2</v>
      </c>
      <c r="N237" s="1">
        <v>0</v>
      </c>
      <c r="O237" s="3">
        <v>46233.65914210648</v>
      </c>
    </row>
    <row r="238" spans="1:15" x14ac:dyDescent="0.25">
      <c r="A238" s="5" t="s">
        <v>800</v>
      </c>
      <c r="B238" s="1" t="s">
        <v>6838</v>
      </c>
      <c r="C238" s="1" t="s">
        <v>12</v>
      </c>
      <c r="G238" s="1" t="s">
        <v>11</v>
      </c>
      <c r="J238" s="3">
        <v>45356.617291666669</v>
      </c>
      <c r="K238" s="2" t="s">
        <v>6839</v>
      </c>
      <c r="L238" s="1">
        <v>1</v>
      </c>
      <c r="M238" s="1">
        <v>1</v>
      </c>
      <c r="N238" s="1">
        <v>0</v>
      </c>
      <c r="O238" s="3">
        <v>46233.65914210648</v>
      </c>
    </row>
    <row r="239" spans="1:15" ht="30" x14ac:dyDescent="0.25">
      <c r="A239" s="5" t="s">
        <v>803</v>
      </c>
      <c r="B239" s="1" t="s">
        <v>6840</v>
      </c>
      <c r="C239" s="1" t="s">
        <v>12</v>
      </c>
      <c r="G239" s="1" t="s">
        <v>111</v>
      </c>
      <c r="J239" s="3">
        <v>45358.155150462961</v>
      </c>
      <c r="K239" s="2" t="s">
        <v>6841</v>
      </c>
      <c r="L239" s="1">
        <v>2</v>
      </c>
      <c r="M239" s="1">
        <v>2</v>
      </c>
      <c r="N239" s="1">
        <v>0</v>
      </c>
      <c r="O239" s="3">
        <v>46233.65914210648</v>
      </c>
    </row>
    <row r="240" spans="1:15" ht="60" x14ac:dyDescent="0.25">
      <c r="A240" s="5" t="s">
        <v>806</v>
      </c>
      <c r="B240" s="1" t="s">
        <v>6842</v>
      </c>
      <c r="C240" s="1" t="s">
        <v>12</v>
      </c>
      <c r="G240" s="1" t="s">
        <v>11</v>
      </c>
      <c r="J240" s="3">
        <v>45358.42459490741</v>
      </c>
      <c r="K240" s="2" t="s">
        <v>6843</v>
      </c>
      <c r="L240" s="1">
        <v>1</v>
      </c>
      <c r="M240" s="1">
        <v>2</v>
      </c>
      <c r="N240" s="1">
        <v>1</v>
      </c>
      <c r="O240" s="3">
        <v>46233.65914210648</v>
      </c>
    </row>
    <row r="241" spans="1:15" ht="30" x14ac:dyDescent="0.25">
      <c r="A241" s="5" t="s">
        <v>809</v>
      </c>
      <c r="B241" s="1" t="s">
        <v>6844</v>
      </c>
      <c r="C241" s="1">
        <v>1970</v>
      </c>
      <c r="G241" s="1" t="s">
        <v>11</v>
      </c>
      <c r="J241" s="3">
        <v>45359.1953587963</v>
      </c>
      <c r="K241" s="2" t="s">
        <v>6845</v>
      </c>
      <c r="L241" s="1">
        <v>6</v>
      </c>
      <c r="M241" s="1">
        <v>6</v>
      </c>
      <c r="N241" s="1">
        <v>0</v>
      </c>
      <c r="O241" s="3">
        <v>46233.65914210648</v>
      </c>
    </row>
    <row r="242" spans="1:15" x14ac:dyDescent="0.25">
      <c r="A242" s="5" t="s">
        <v>812</v>
      </c>
      <c r="B242" s="1" t="s">
        <v>6846</v>
      </c>
      <c r="C242" s="1">
        <v>1957</v>
      </c>
      <c r="G242" s="1" t="s">
        <v>11</v>
      </c>
      <c r="J242" s="3">
        <v>45357.344085648147</v>
      </c>
      <c r="K242" s="2" t="s">
        <v>6847</v>
      </c>
      <c r="L242" s="1">
        <v>4</v>
      </c>
      <c r="M242" s="1">
        <v>6</v>
      </c>
      <c r="N242" s="1">
        <v>2</v>
      </c>
      <c r="O242" s="3">
        <v>46233.65914210648</v>
      </c>
    </row>
    <row r="243" spans="1:15" x14ac:dyDescent="0.25">
      <c r="A243" s="5" t="s">
        <v>815</v>
      </c>
      <c r="B243" s="1" t="s">
        <v>6848</v>
      </c>
      <c r="C243" s="1">
        <v>1906</v>
      </c>
      <c r="J243" s="3">
        <v>45183.396921296298</v>
      </c>
      <c r="L243" s="1">
        <v>6</v>
      </c>
      <c r="M243" s="1">
        <v>7</v>
      </c>
      <c r="N243" s="1">
        <v>1</v>
      </c>
      <c r="O243" s="3">
        <v>46233.65914210648</v>
      </c>
    </row>
    <row r="244" spans="1:15" x14ac:dyDescent="0.25">
      <c r="A244" s="5" t="s">
        <v>818</v>
      </c>
      <c r="B244" s="1" t="s">
        <v>6849</v>
      </c>
      <c r="C244" s="1">
        <v>1969</v>
      </c>
      <c r="J244" s="3">
        <v>45182.46297453704</v>
      </c>
      <c r="L244" s="1">
        <v>0</v>
      </c>
      <c r="M244" s="1">
        <v>1</v>
      </c>
      <c r="N244" s="1">
        <v>1</v>
      </c>
      <c r="O244" s="3">
        <v>46233.65914210648</v>
      </c>
    </row>
    <row r="245" spans="1:15" ht="30" x14ac:dyDescent="0.25">
      <c r="A245" s="5" t="s">
        <v>821</v>
      </c>
      <c r="B245" s="1" t="s">
        <v>6850</v>
      </c>
      <c r="C245" s="1">
        <v>1966</v>
      </c>
      <c r="G245" s="1" t="s">
        <v>10</v>
      </c>
      <c r="J245" s="3">
        <v>45357.470381944448</v>
      </c>
      <c r="K245" s="2" t="s">
        <v>6851</v>
      </c>
      <c r="L245" s="1">
        <v>1</v>
      </c>
      <c r="M245" s="1">
        <v>1</v>
      </c>
      <c r="N245" s="1">
        <v>0</v>
      </c>
      <c r="O245" s="3">
        <v>46233.65914210648</v>
      </c>
    </row>
    <row r="246" spans="1:15" x14ac:dyDescent="0.25">
      <c r="A246" s="5" t="s">
        <v>824</v>
      </c>
      <c r="B246" s="1" t="s">
        <v>6852</v>
      </c>
      <c r="C246" s="1" t="s">
        <v>12</v>
      </c>
      <c r="G246" s="1" t="s">
        <v>10</v>
      </c>
      <c r="J246" s="3">
        <v>45357.502743055556</v>
      </c>
      <c r="L246" s="1">
        <v>5</v>
      </c>
      <c r="M246" s="1">
        <v>5</v>
      </c>
      <c r="N246" s="1">
        <v>0</v>
      </c>
      <c r="O246" s="3">
        <v>46233.65914210648</v>
      </c>
    </row>
    <row r="247" spans="1:15" x14ac:dyDescent="0.25">
      <c r="A247" s="5" t="s">
        <v>827</v>
      </c>
      <c r="B247" s="1" t="s">
        <v>6853</v>
      </c>
      <c r="J247" s="3">
        <v>45183.370300925926</v>
      </c>
      <c r="L247" s="1">
        <v>4</v>
      </c>
      <c r="M247" s="1">
        <v>4</v>
      </c>
      <c r="N247" s="1">
        <v>0</v>
      </c>
      <c r="O247" s="3">
        <v>46233.65914210648</v>
      </c>
    </row>
    <row r="248" spans="1:15" ht="105" x14ac:dyDescent="0.25">
      <c r="A248" s="5" t="s">
        <v>830</v>
      </c>
      <c r="B248" s="1" t="s">
        <v>6854</v>
      </c>
      <c r="C248" s="1" t="s">
        <v>12</v>
      </c>
      <c r="G248" s="1" t="s">
        <v>11</v>
      </c>
      <c r="J248" s="3">
        <v>45386.14943287037</v>
      </c>
      <c r="K248" s="2" t="s">
        <v>6855</v>
      </c>
      <c r="L248" s="1">
        <v>1</v>
      </c>
      <c r="M248" s="1">
        <v>1</v>
      </c>
      <c r="N248" s="1">
        <v>0</v>
      </c>
      <c r="O248" s="3">
        <v>46233.65914210648</v>
      </c>
    </row>
    <row r="249" spans="1:15" ht="30" x14ac:dyDescent="0.25">
      <c r="A249" s="5" t="s">
        <v>833</v>
      </c>
      <c r="B249" s="1" t="s">
        <v>6856</v>
      </c>
      <c r="C249" s="1" t="s">
        <v>12</v>
      </c>
      <c r="G249" s="1" t="s">
        <v>11</v>
      </c>
      <c r="J249" s="3">
        <v>45385.312002314815</v>
      </c>
      <c r="K249" s="2" t="s">
        <v>6857</v>
      </c>
      <c r="L249" s="1">
        <v>1</v>
      </c>
      <c r="M249" s="1">
        <v>1</v>
      </c>
      <c r="N249" s="1">
        <v>0</v>
      </c>
      <c r="O249" s="3">
        <v>46233.65914210648</v>
      </c>
    </row>
    <row r="250" spans="1:15" ht="45" x14ac:dyDescent="0.25">
      <c r="A250" s="5" t="s">
        <v>842</v>
      </c>
      <c r="B250" s="1" t="s">
        <v>6858</v>
      </c>
      <c r="C250" s="1">
        <v>1942</v>
      </c>
      <c r="G250" s="1" t="s">
        <v>10</v>
      </c>
      <c r="J250" s="3">
        <v>45404.598379629628</v>
      </c>
      <c r="K250" s="2" t="s">
        <v>6859</v>
      </c>
      <c r="L250" s="1">
        <v>4</v>
      </c>
      <c r="M250" s="1">
        <v>7</v>
      </c>
      <c r="N250" s="1">
        <v>3</v>
      </c>
      <c r="O250" s="3">
        <v>46233.65914210648</v>
      </c>
    </row>
    <row r="251" spans="1:15" ht="60" x14ac:dyDescent="0.25">
      <c r="A251" s="5" t="s">
        <v>845</v>
      </c>
      <c r="B251" s="1" t="s">
        <v>6860</v>
      </c>
      <c r="C251" s="1">
        <v>1941</v>
      </c>
      <c r="G251" s="1" t="s">
        <v>11</v>
      </c>
      <c r="J251" s="3">
        <v>45412.198344907411</v>
      </c>
      <c r="K251" s="2" t="s">
        <v>6861</v>
      </c>
      <c r="L251" s="1">
        <v>1</v>
      </c>
      <c r="M251" s="1">
        <v>1</v>
      </c>
      <c r="N251" s="1">
        <v>0</v>
      </c>
      <c r="O251" s="3">
        <v>46233.65914210648</v>
      </c>
    </row>
    <row r="252" spans="1:15" ht="45" x14ac:dyDescent="0.25">
      <c r="A252" s="5" t="s">
        <v>851</v>
      </c>
      <c r="B252" s="1" t="s">
        <v>6862</v>
      </c>
      <c r="C252" s="1" t="s">
        <v>6554</v>
      </c>
      <c r="G252" s="1" t="s">
        <v>11</v>
      </c>
      <c r="J252" s="3">
        <v>45412.652557870373</v>
      </c>
      <c r="K252" s="2" t="s">
        <v>6863</v>
      </c>
      <c r="L252" s="1">
        <v>4</v>
      </c>
      <c r="M252" s="1">
        <v>4</v>
      </c>
      <c r="N252" s="1">
        <v>0</v>
      </c>
      <c r="O252" s="3">
        <v>46233.65914210648</v>
      </c>
    </row>
    <row r="253" spans="1:15" x14ac:dyDescent="0.25">
      <c r="A253" s="5" t="s">
        <v>854</v>
      </c>
      <c r="B253" s="1" t="s">
        <v>6864</v>
      </c>
      <c r="C253" s="1">
        <v>1960</v>
      </c>
      <c r="J253" s="3">
        <v>45407.445706018516</v>
      </c>
      <c r="K253" s="2" t="s">
        <v>6438</v>
      </c>
      <c r="L253" s="1">
        <v>5</v>
      </c>
      <c r="M253" s="1">
        <v>5</v>
      </c>
      <c r="N253" s="1">
        <v>0</v>
      </c>
      <c r="O253" s="3">
        <v>46233.65914210648</v>
      </c>
    </row>
    <row r="254" spans="1:15" ht="45" x14ac:dyDescent="0.25">
      <c r="A254" s="5" t="s">
        <v>857</v>
      </c>
      <c r="B254" s="1" t="s">
        <v>6865</v>
      </c>
      <c r="G254" s="1" t="s">
        <v>10</v>
      </c>
      <c r="J254" s="3">
        <v>45387.413819444446</v>
      </c>
      <c r="K254" s="2" t="s">
        <v>6866</v>
      </c>
      <c r="L254" s="1">
        <v>11</v>
      </c>
      <c r="M254" s="1">
        <v>15</v>
      </c>
      <c r="N254" s="1">
        <v>4</v>
      </c>
      <c r="O254" s="3">
        <v>46233.65914210648</v>
      </c>
    </row>
    <row r="255" spans="1:15" ht="75" x14ac:dyDescent="0.25">
      <c r="A255" s="5" t="s">
        <v>860</v>
      </c>
      <c r="B255" s="1" t="s">
        <v>6867</v>
      </c>
      <c r="C255" s="1" t="s">
        <v>12</v>
      </c>
      <c r="G255" s="1" t="s">
        <v>10</v>
      </c>
      <c r="J255" s="3">
        <v>45383.666655092595</v>
      </c>
      <c r="K255" s="2" t="s">
        <v>6868</v>
      </c>
      <c r="L255" s="1">
        <v>1</v>
      </c>
      <c r="M255" s="1">
        <v>1</v>
      </c>
      <c r="N255" s="1">
        <v>0</v>
      </c>
      <c r="O255" s="3">
        <v>46233.65914210648</v>
      </c>
    </row>
    <row r="256" spans="1:15" ht="45" x14ac:dyDescent="0.25">
      <c r="A256" s="5" t="s">
        <v>863</v>
      </c>
      <c r="B256" s="1" t="s">
        <v>6869</v>
      </c>
      <c r="C256" s="1" t="s">
        <v>12</v>
      </c>
      <c r="G256" s="1" t="s">
        <v>10</v>
      </c>
      <c r="J256" s="3">
        <v>45361.031400462962</v>
      </c>
      <c r="K256" s="2" t="s">
        <v>6870</v>
      </c>
      <c r="L256" s="1">
        <v>0</v>
      </c>
      <c r="M256" s="1">
        <v>0</v>
      </c>
      <c r="N256" s="1">
        <v>0</v>
      </c>
      <c r="O256" s="3">
        <v>46233.65914210648</v>
      </c>
    </row>
    <row r="257" spans="1:15" x14ac:dyDescent="0.25">
      <c r="A257" s="5" t="s">
        <v>866</v>
      </c>
      <c r="B257" s="1" t="s">
        <v>6871</v>
      </c>
      <c r="C257" s="1" t="s">
        <v>12</v>
      </c>
      <c r="G257" s="1" t="s">
        <v>11</v>
      </c>
      <c r="J257" s="3">
        <v>45411.955335648148</v>
      </c>
      <c r="K257" s="2" t="s">
        <v>6872</v>
      </c>
      <c r="L257" s="1">
        <v>1</v>
      </c>
      <c r="M257" s="1">
        <v>1</v>
      </c>
      <c r="N257" s="1">
        <v>0</v>
      </c>
      <c r="O257" s="3">
        <v>46233.65914210648</v>
      </c>
    </row>
    <row r="258" spans="1:15" ht="105" x14ac:dyDescent="0.25">
      <c r="A258" s="5" t="s">
        <v>869</v>
      </c>
      <c r="B258" s="1" t="s">
        <v>6873</v>
      </c>
      <c r="C258" s="1">
        <v>1952</v>
      </c>
      <c r="G258" s="1" t="s">
        <v>10</v>
      </c>
      <c r="J258" s="3">
        <v>45363.546620370369</v>
      </c>
      <c r="K258" s="2" t="s">
        <v>6874</v>
      </c>
      <c r="L258" s="1">
        <v>1</v>
      </c>
      <c r="M258" s="1">
        <v>1</v>
      </c>
      <c r="N258" s="1">
        <v>0</v>
      </c>
      <c r="O258" s="3">
        <v>46233.65914210648</v>
      </c>
    </row>
    <row r="259" spans="1:15" ht="45" x14ac:dyDescent="0.25">
      <c r="A259" s="5" t="s">
        <v>872</v>
      </c>
      <c r="B259" s="1" t="s">
        <v>6875</v>
      </c>
      <c r="C259" s="1" t="s">
        <v>12</v>
      </c>
      <c r="G259" s="1" t="s">
        <v>10</v>
      </c>
      <c r="J259" s="3">
        <v>45383.879062499997</v>
      </c>
      <c r="K259" s="2" t="s">
        <v>6876</v>
      </c>
      <c r="L259" s="1">
        <v>1</v>
      </c>
      <c r="M259" s="1">
        <v>2</v>
      </c>
      <c r="N259" s="1">
        <v>1</v>
      </c>
      <c r="O259" s="3">
        <v>46233.65914210648</v>
      </c>
    </row>
    <row r="260" spans="1:15" ht="30" x14ac:dyDescent="0.25">
      <c r="A260" s="5" t="s">
        <v>875</v>
      </c>
      <c r="B260" s="1" t="s">
        <v>6877</v>
      </c>
      <c r="C260" s="1">
        <v>1954</v>
      </c>
      <c r="J260" s="3">
        <v>45362.763460648152</v>
      </c>
      <c r="K260" s="2" t="s">
        <v>6878</v>
      </c>
      <c r="L260" s="1">
        <v>19</v>
      </c>
      <c r="M260" s="1">
        <v>19</v>
      </c>
      <c r="N260" s="1">
        <v>0</v>
      </c>
      <c r="O260" s="3">
        <v>46233.65914210648</v>
      </c>
    </row>
    <row r="261" spans="1:15" x14ac:dyDescent="0.25">
      <c r="A261" s="5" t="s">
        <v>878</v>
      </c>
      <c r="B261" s="1" t="s">
        <v>6879</v>
      </c>
      <c r="C261" s="1">
        <v>1979</v>
      </c>
      <c r="G261" s="1" t="s">
        <v>10</v>
      </c>
      <c r="J261" s="3">
        <v>45358.107939814814</v>
      </c>
      <c r="K261" s="2" t="s">
        <v>6775</v>
      </c>
      <c r="L261" s="1">
        <v>2</v>
      </c>
      <c r="M261" s="1">
        <v>3</v>
      </c>
      <c r="N261" s="1">
        <v>1</v>
      </c>
      <c r="O261" s="3">
        <v>46233.65914210648</v>
      </c>
    </row>
    <row r="262" spans="1:15" x14ac:dyDescent="0.25">
      <c r="A262" s="5" t="s">
        <v>881</v>
      </c>
      <c r="B262" s="1" t="s">
        <v>6880</v>
      </c>
      <c r="C262" s="1">
        <v>1995</v>
      </c>
      <c r="G262" s="1" t="s">
        <v>11</v>
      </c>
      <c r="J262" s="3">
        <v>45390.733888888892</v>
      </c>
      <c r="K262" s="2" t="s">
        <v>126</v>
      </c>
      <c r="L262" s="1">
        <v>1</v>
      </c>
      <c r="M262" s="1">
        <v>2</v>
      </c>
      <c r="N262" s="1">
        <v>1</v>
      </c>
      <c r="O262" s="3">
        <v>46233.65914210648</v>
      </c>
    </row>
    <row r="263" spans="1:15" ht="45" x14ac:dyDescent="0.25">
      <c r="A263" s="5" t="s">
        <v>884</v>
      </c>
      <c r="B263" s="1" t="s">
        <v>6881</v>
      </c>
      <c r="C263" s="1" t="s">
        <v>12</v>
      </c>
      <c r="G263" s="1" t="s">
        <v>11</v>
      </c>
      <c r="J263" s="3">
        <v>45383.734652777777</v>
      </c>
      <c r="K263" s="2" t="s">
        <v>6882</v>
      </c>
      <c r="L263" s="1">
        <v>1</v>
      </c>
      <c r="M263" s="1">
        <v>1</v>
      </c>
      <c r="N263" s="1">
        <v>0</v>
      </c>
      <c r="O263" s="3">
        <v>46233.65914210648</v>
      </c>
    </row>
    <row r="264" spans="1:15" x14ac:dyDescent="0.25">
      <c r="A264" s="5" t="s">
        <v>887</v>
      </c>
      <c r="B264" s="1" t="s">
        <v>6883</v>
      </c>
      <c r="C264" s="1" t="s">
        <v>12</v>
      </c>
      <c r="G264" s="1" t="s">
        <v>11</v>
      </c>
      <c r="J264" s="3">
        <v>45357.344074074077</v>
      </c>
      <c r="L264" s="1">
        <v>4</v>
      </c>
      <c r="M264" s="1">
        <v>5</v>
      </c>
      <c r="N264" s="1">
        <v>1</v>
      </c>
      <c r="O264" s="3">
        <v>46233.65914210648</v>
      </c>
    </row>
    <row r="265" spans="1:15" ht="30" x14ac:dyDescent="0.25">
      <c r="A265" s="5" t="s">
        <v>890</v>
      </c>
      <c r="B265" s="1" t="s">
        <v>6884</v>
      </c>
      <c r="C265" s="1" t="s">
        <v>12</v>
      </c>
      <c r="G265" s="1" t="s">
        <v>11</v>
      </c>
      <c r="J265" s="3">
        <v>45383.393009259256</v>
      </c>
      <c r="K265" s="2" t="s">
        <v>6885</v>
      </c>
      <c r="L265" s="1">
        <v>3</v>
      </c>
      <c r="M265" s="1">
        <v>3</v>
      </c>
      <c r="N265" s="1">
        <v>0</v>
      </c>
      <c r="O265" s="3">
        <v>46233.65914210648</v>
      </c>
    </row>
    <row r="266" spans="1:15" x14ac:dyDescent="0.25">
      <c r="A266" s="5" t="s">
        <v>893</v>
      </c>
      <c r="B266" s="1" t="s">
        <v>6886</v>
      </c>
      <c r="C266" s="1" t="s">
        <v>6887</v>
      </c>
      <c r="G266" s="1" t="s">
        <v>11</v>
      </c>
      <c r="J266" s="3">
        <v>45383.563877314817</v>
      </c>
      <c r="K266" s="2" t="s">
        <v>150</v>
      </c>
      <c r="L266" s="1">
        <v>1</v>
      </c>
      <c r="M266" s="1">
        <v>1</v>
      </c>
      <c r="N266" s="1">
        <v>0</v>
      </c>
      <c r="O266" s="3">
        <v>46233.65914210648</v>
      </c>
    </row>
    <row r="267" spans="1:15" ht="45" x14ac:dyDescent="0.25">
      <c r="A267" s="5" t="s">
        <v>896</v>
      </c>
      <c r="B267" s="1" t="s">
        <v>6888</v>
      </c>
      <c r="C267" s="1">
        <v>1966</v>
      </c>
      <c r="G267" s="1" t="s">
        <v>10</v>
      </c>
      <c r="J267" s="3">
        <v>45383.684675925928</v>
      </c>
      <c r="K267" s="2" t="s">
        <v>6889</v>
      </c>
      <c r="L267" s="1">
        <v>5</v>
      </c>
      <c r="M267" s="1">
        <v>5</v>
      </c>
      <c r="N267" s="1">
        <v>0</v>
      </c>
      <c r="O267" s="3">
        <v>46233.65914210648</v>
      </c>
    </row>
    <row r="268" spans="1:15" x14ac:dyDescent="0.25">
      <c r="A268" s="5" t="s">
        <v>899</v>
      </c>
      <c r="B268" s="1" t="s">
        <v>6890</v>
      </c>
      <c r="C268" s="1">
        <v>1935</v>
      </c>
      <c r="G268" s="1" t="s">
        <v>11</v>
      </c>
      <c r="J268" s="3">
        <v>45357.384375000001</v>
      </c>
      <c r="L268" s="1">
        <v>1</v>
      </c>
      <c r="M268" s="1">
        <v>1</v>
      </c>
      <c r="N268" s="1">
        <v>0</v>
      </c>
      <c r="O268" s="3">
        <v>46233.65914210648</v>
      </c>
    </row>
    <row r="269" spans="1:15" x14ac:dyDescent="0.25">
      <c r="A269" s="5" t="s">
        <v>902</v>
      </c>
      <c r="B269" s="1" t="s">
        <v>6891</v>
      </c>
      <c r="C269" s="1" t="s">
        <v>12</v>
      </c>
      <c r="G269" s="1" t="s">
        <v>10</v>
      </c>
      <c r="J269" s="3">
        <v>45401.500127314815</v>
      </c>
      <c r="K269" s="2" t="s">
        <v>6892</v>
      </c>
      <c r="L269" s="1">
        <v>1</v>
      </c>
      <c r="M269" s="1">
        <v>1</v>
      </c>
      <c r="N269" s="1">
        <v>0</v>
      </c>
      <c r="O269" s="3">
        <v>46233.65914210648</v>
      </c>
    </row>
    <row r="270" spans="1:15" x14ac:dyDescent="0.25">
      <c r="A270" s="5" t="s">
        <v>905</v>
      </c>
      <c r="B270" s="1" t="s">
        <v>6893</v>
      </c>
      <c r="C270" s="1">
        <v>1949</v>
      </c>
      <c r="G270" s="1" t="s">
        <v>10</v>
      </c>
      <c r="J270" s="3">
        <v>45384.00953703704</v>
      </c>
      <c r="K270" s="2" t="s">
        <v>6894</v>
      </c>
      <c r="L270" s="1">
        <v>4</v>
      </c>
      <c r="M270" s="1">
        <v>4</v>
      </c>
      <c r="N270" s="1">
        <v>0</v>
      </c>
      <c r="O270" s="3">
        <v>46233.65914210648</v>
      </c>
    </row>
    <row r="271" spans="1:15" x14ac:dyDescent="0.25">
      <c r="A271" s="5" t="s">
        <v>908</v>
      </c>
      <c r="B271" s="1" t="s">
        <v>6895</v>
      </c>
      <c r="C271" s="1">
        <v>1986</v>
      </c>
      <c r="G271" s="1" t="s">
        <v>10</v>
      </c>
      <c r="J271" s="3">
        <v>45411.990046296298</v>
      </c>
      <c r="K271" s="2" t="s">
        <v>126</v>
      </c>
      <c r="L271" s="1">
        <v>1</v>
      </c>
      <c r="M271" s="1">
        <v>1</v>
      </c>
      <c r="N271" s="1">
        <v>0</v>
      </c>
      <c r="O271" s="3">
        <v>46233.65914210648</v>
      </c>
    </row>
    <row r="272" spans="1:15" x14ac:dyDescent="0.25">
      <c r="A272" s="5" t="s">
        <v>911</v>
      </c>
      <c r="B272" s="1" t="s">
        <v>6896</v>
      </c>
      <c r="C272" s="1" t="s">
        <v>12</v>
      </c>
      <c r="G272" s="1" t="s">
        <v>10</v>
      </c>
      <c r="J272" s="3">
        <v>45358.968969907408</v>
      </c>
      <c r="L272" s="1">
        <v>1</v>
      </c>
      <c r="M272" s="1">
        <v>1</v>
      </c>
      <c r="N272" s="1">
        <v>0</v>
      </c>
      <c r="O272" s="3">
        <v>46233.65914210648</v>
      </c>
    </row>
    <row r="273" spans="1:15" ht="60" x14ac:dyDescent="0.25">
      <c r="A273" s="5" t="s">
        <v>914</v>
      </c>
      <c r="B273" s="1" t="s">
        <v>6897</v>
      </c>
      <c r="C273" s="1" t="s">
        <v>6887</v>
      </c>
      <c r="G273" s="1" t="s">
        <v>11</v>
      </c>
      <c r="J273" s="3">
        <v>45412.287199074075</v>
      </c>
      <c r="K273" s="2" t="s">
        <v>6898</v>
      </c>
      <c r="L273" s="1">
        <v>1</v>
      </c>
      <c r="M273" s="1">
        <v>1</v>
      </c>
      <c r="N273" s="1">
        <v>0</v>
      </c>
      <c r="O273" s="3">
        <v>46233.65914210648</v>
      </c>
    </row>
    <row r="274" spans="1:15" x14ac:dyDescent="0.25">
      <c r="A274" s="5" t="s">
        <v>917</v>
      </c>
      <c r="B274" s="1" t="s">
        <v>6899</v>
      </c>
      <c r="C274" s="1" t="s">
        <v>12</v>
      </c>
      <c r="G274" s="1" t="s">
        <v>10</v>
      </c>
      <c r="J274" s="3">
        <v>45411.731736111113</v>
      </c>
      <c r="K274" s="2" t="s">
        <v>6369</v>
      </c>
      <c r="L274" s="1">
        <v>1</v>
      </c>
      <c r="M274" s="1">
        <v>1</v>
      </c>
      <c r="N274" s="1">
        <v>0</v>
      </c>
      <c r="O274" s="3">
        <v>46233.65914210648</v>
      </c>
    </row>
    <row r="275" spans="1:15" x14ac:dyDescent="0.25">
      <c r="A275" s="5" t="s">
        <v>920</v>
      </c>
      <c r="B275" s="1" t="s">
        <v>6900</v>
      </c>
      <c r="C275" s="1" t="s">
        <v>12</v>
      </c>
      <c r="G275" s="1" t="s">
        <v>11</v>
      </c>
      <c r="J275" s="3">
        <v>45362.60497685185</v>
      </c>
      <c r="K275" s="2" t="s">
        <v>134</v>
      </c>
      <c r="L275" s="1">
        <v>1</v>
      </c>
      <c r="M275" s="1">
        <v>2</v>
      </c>
      <c r="N275" s="1">
        <v>1</v>
      </c>
      <c r="O275" s="3">
        <v>46233.65914210648</v>
      </c>
    </row>
    <row r="276" spans="1:15" ht="45" x14ac:dyDescent="0.25">
      <c r="A276" s="5" t="s">
        <v>923</v>
      </c>
      <c r="B276" s="1" t="s">
        <v>6901</v>
      </c>
      <c r="C276" s="1" t="s">
        <v>12</v>
      </c>
      <c r="G276" s="1" t="s">
        <v>10</v>
      </c>
      <c r="J276" s="3">
        <v>45359.409247685187</v>
      </c>
      <c r="K276" s="2" t="s">
        <v>6902</v>
      </c>
      <c r="L276" s="1">
        <v>2</v>
      </c>
      <c r="M276" s="1">
        <v>3</v>
      </c>
      <c r="N276" s="1">
        <v>1</v>
      </c>
      <c r="O276" s="3">
        <v>46233.65914210648</v>
      </c>
    </row>
    <row r="277" spans="1:15" x14ac:dyDescent="0.25">
      <c r="A277" s="5" t="s">
        <v>926</v>
      </c>
      <c r="B277" s="1" t="s">
        <v>6903</v>
      </c>
      <c r="C277" s="1" t="s">
        <v>12</v>
      </c>
      <c r="G277" s="1" t="s">
        <v>11</v>
      </c>
      <c r="J277" s="3">
        <v>45383.568020833336</v>
      </c>
      <c r="K277" s="2" t="s">
        <v>6904</v>
      </c>
      <c r="L277" s="1">
        <v>1</v>
      </c>
      <c r="M277" s="1">
        <v>1</v>
      </c>
      <c r="N277" s="1">
        <v>0</v>
      </c>
      <c r="O277" s="3">
        <v>46233.65914210648</v>
      </c>
    </row>
    <row r="278" spans="1:15" x14ac:dyDescent="0.25">
      <c r="A278" s="5" t="s">
        <v>929</v>
      </c>
      <c r="B278" s="1" t="s">
        <v>6905</v>
      </c>
      <c r="C278" s="1" t="s">
        <v>12</v>
      </c>
      <c r="G278" s="1" t="s">
        <v>10</v>
      </c>
      <c r="J278" s="3">
        <v>45383.819386574076</v>
      </c>
      <c r="K278" s="2" t="s">
        <v>6906</v>
      </c>
      <c r="L278" s="1">
        <v>1</v>
      </c>
      <c r="M278" s="1">
        <v>1</v>
      </c>
      <c r="N278" s="1">
        <v>0</v>
      </c>
      <c r="O278" s="3">
        <v>46233.65914210648</v>
      </c>
    </row>
    <row r="279" spans="1:15" ht="60" x14ac:dyDescent="0.25">
      <c r="A279" s="5" t="s">
        <v>932</v>
      </c>
      <c r="B279" s="1" t="s">
        <v>6907</v>
      </c>
      <c r="C279" s="1" t="s">
        <v>12</v>
      </c>
      <c r="G279" s="1" t="s">
        <v>11</v>
      </c>
      <c r="J279" s="3">
        <v>45362.721643518518</v>
      </c>
      <c r="K279" s="2" t="s">
        <v>6908</v>
      </c>
      <c r="L279" s="1">
        <v>2</v>
      </c>
      <c r="M279" s="1">
        <v>2</v>
      </c>
      <c r="N279" s="1">
        <v>0</v>
      </c>
      <c r="O279" s="3">
        <v>46233.65914210648</v>
      </c>
    </row>
    <row r="280" spans="1:15" ht="30" x14ac:dyDescent="0.25">
      <c r="A280" s="5" t="s">
        <v>935</v>
      </c>
      <c r="B280" s="1" t="s">
        <v>6909</v>
      </c>
      <c r="C280" s="1" t="s">
        <v>12</v>
      </c>
      <c r="G280" s="1" t="s">
        <v>10</v>
      </c>
      <c r="J280" s="3">
        <v>45388.032731481479</v>
      </c>
      <c r="K280" s="2" t="s">
        <v>6910</v>
      </c>
      <c r="L280" s="1">
        <v>1</v>
      </c>
      <c r="M280" s="1">
        <v>1</v>
      </c>
      <c r="N280" s="1">
        <v>0</v>
      </c>
      <c r="O280" s="3">
        <v>46233.65914210648</v>
      </c>
    </row>
    <row r="281" spans="1:15" ht="60" x14ac:dyDescent="0.25">
      <c r="A281" s="5" t="s">
        <v>938</v>
      </c>
      <c r="B281" s="1" t="s">
        <v>6911</v>
      </c>
      <c r="C281" s="1" t="s">
        <v>12</v>
      </c>
      <c r="G281" s="1" t="s">
        <v>10</v>
      </c>
      <c r="J281" s="3">
        <v>45384.399583333332</v>
      </c>
      <c r="K281" s="2" t="s">
        <v>6912</v>
      </c>
      <c r="L281" s="1">
        <v>10</v>
      </c>
      <c r="M281" s="1">
        <v>10</v>
      </c>
      <c r="N281" s="1">
        <v>0</v>
      </c>
      <c r="O281" s="3">
        <v>46233.65914210648</v>
      </c>
    </row>
    <row r="282" spans="1:15" x14ac:dyDescent="0.25">
      <c r="A282" s="5" t="s">
        <v>941</v>
      </c>
      <c r="B282" s="1" t="s">
        <v>6913</v>
      </c>
      <c r="C282" s="1" t="s">
        <v>12</v>
      </c>
      <c r="G282" s="1" t="s">
        <v>11</v>
      </c>
      <c r="J282" s="3">
        <v>45383.569432870368</v>
      </c>
      <c r="K282" s="2" t="s">
        <v>6914</v>
      </c>
      <c r="L282" s="1">
        <v>2</v>
      </c>
      <c r="M282" s="1">
        <v>2</v>
      </c>
      <c r="N282" s="1">
        <v>0</v>
      </c>
      <c r="O282" s="3">
        <v>46233.65914210648</v>
      </c>
    </row>
    <row r="283" spans="1:15" x14ac:dyDescent="0.25">
      <c r="A283" s="5" t="s">
        <v>944</v>
      </c>
      <c r="B283" s="1" t="s">
        <v>6915</v>
      </c>
      <c r="C283" s="1">
        <v>1989</v>
      </c>
      <c r="G283" s="1" t="s">
        <v>10</v>
      </c>
      <c r="J283" s="3">
        <v>45393.715983796297</v>
      </c>
      <c r="K283" s="2" t="s">
        <v>6916</v>
      </c>
      <c r="L283" s="1">
        <v>8</v>
      </c>
      <c r="M283" s="1">
        <v>8</v>
      </c>
      <c r="N283" s="1">
        <v>0</v>
      </c>
      <c r="O283" s="3">
        <v>46233.65914210648</v>
      </c>
    </row>
    <row r="284" spans="1:15" x14ac:dyDescent="0.25">
      <c r="A284" s="5" t="s">
        <v>947</v>
      </c>
      <c r="B284" s="1" t="s">
        <v>6917</v>
      </c>
      <c r="C284" s="1">
        <v>2002</v>
      </c>
      <c r="J284" s="3">
        <v>45356.973541666666</v>
      </c>
      <c r="L284" s="1">
        <v>2</v>
      </c>
      <c r="M284" s="1">
        <v>2</v>
      </c>
      <c r="N284" s="1">
        <v>0</v>
      </c>
      <c r="O284" s="3">
        <v>46233.65914210648</v>
      </c>
    </row>
    <row r="285" spans="1:15" ht="75" x14ac:dyDescent="0.25">
      <c r="A285" s="5" t="s">
        <v>950</v>
      </c>
      <c r="B285" s="1" t="s">
        <v>6918</v>
      </c>
      <c r="C285" s="1">
        <v>1957</v>
      </c>
      <c r="G285" s="1" t="s">
        <v>10</v>
      </c>
      <c r="J285" s="3">
        <v>45414.46366898148</v>
      </c>
      <c r="K285" s="2" t="s">
        <v>6919</v>
      </c>
      <c r="L285" s="1">
        <v>1</v>
      </c>
      <c r="M285" s="1">
        <v>1</v>
      </c>
      <c r="N285" s="1">
        <v>0</v>
      </c>
      <c r="O285" s="3">
        <v>46233.65914210648</v>
      </c>
    </row>
    <row r="286" spans="1:15" x14ac:dyDescent="0.25">
      <c r="A286" s="5" t="s">
        <v>953</v>
      </c>
      <c r="B286" s="1" t="s">
        <v>6920</v>
      </c>
      <c r="C286" s="1" t="s">
        <v>12</v>
      </c>
      <c r="G286" s="1" t="s">
        <v>11</v>
      </c>
      <c r="J286" s="3">
        <v>45357.362719907411</v>
      </c>
      <c r="K286" s="2" t="s">
        <v>6921</v>
      </c>
      <c r="L286" s="1">
        <v>2</v>
      </c>
      <c r="M286" s="1">
        <v>2</v>
      </c>
      <c r="N286" s="1">
        <v>0</v>
      </c>
      <c r="O286" s="3">
        <v>46233.65914210648</v>
      </c>
    </row>
    <row r="287" spans="1:15" ht="30" x14ac:dyDescent="0.25">
      <c r="A287" s="5" t="s">
        <v>959</v>
      </c>
      <c r="B287" s="1" t="s">
        <v>6922</v>
      </c>
      <c r="C287" s="1">
        <v>1943</v>
      </c>
      <c r="G287" s="1" t="s">
        <v>10</v>
      </c>
      <c r="J287" s="3">
        <v>45359.292534722219</v>
      </c>
      <c r="K287" s="2" t="s">
        <v>6923</v>
      </c>
      <c r="L287" s="1">
        <v>3</v>
      </c>
      <c r="M287" s="1">
        <v>3</v>
      </c>
      <c r="N287" s="1">
        <v>0</v>
      </c>
      <c r="O287" s="3">
        <v>46233.65914210648</v>
      </c>
    </row>
    <row r="288" spans="1:15" ht="30" x14ac:dyDescent="0.25">
      <c r="A288" s="5" t="s">
        <v>962</v>
      </c>
      <c r="B288" s="1" t="s">
        <v>6924</v>
      </c>
      <c r="C288" s="1" t="s">
        <v>12</v>
      </c>
      <c r="G288" s="1" t="s">
        <v>10</v>
      </c>
      <c r="J288" s="3">
        <v>45359.471724537034</v>
      </c>
      <c r="K288" s="2" t="s">
        <v>6925</v>
      </c>
      <c r="L288" s="1">
        <v>1</v>
      </c>
      <c r="M288" s="1">
        <v>1</v>
      </c>
      <c r="N288" s="1">
        <v>0</v>
      </c>
      <c r="O288" s="3">
        <v>46233.65914210648</v>
      </c>
    </row>
    <row r="289" spans="1:15" x14ac:dyDescent="0.25">
      <c r="A289" s="5" t="s">
        <v>965</v>
      </c>
      <c r="B289" s="1" t="s">
        <v>6926</v>
      </c>
      <c r="C289" s="1" t="s">
        <v>12</v>
      </c>
      <c r="G289" s="1" t="s">
        <v>10</v>
      </c>
      <c r="J289" s="3">
        <v>45383.82340277778</v>
      </c>
      <c r="K289" s="2" t="s">
        <v>6927</v>
      </c>
      <c r="L289" s="1">
        <v>2</v>
      </c>
      <c r="M289" s="1">
        <v>2</v>
      </c>
      <c r="N289" s="1">
        <v>0</v>
      </c>
      <c r="O289" s="3">
        <v>46233.65914210648</v>
      </c>
    </row>
    <row r="290" spans="1:15" x14ac:dyDescent="0.25">
      <c r="A290" s="5" t="s">
        <v>968</v>
      </c>
      <c r="B290" s="1" t="s">
        <v>6928</v>
      </c>
      <c r="C290" s="1" t="s">
        <v>12</v>
      </c>
      <c r="G290" s="1" t="s">
        <v>10</v>
      </c>
      <c r="J290" s="3">
        <v>45356.644004629627</v>
      </c>
      <c r="K290" s="2" t="s">
        <v>6929</v>
      </c>
      <c r="L290" s="1">
        <v>2</v>
      </c>
      <c r="M290" s="1">
        <v>2</v>
      </c>
      <c r="N290" s="1">
        <v>0</v>
      </c>
      <c r="O290" s="3">
        <v>46233.65914210648</v>
      </c>
    </row>
    <row r="291" spans="1:15" ht="135" x14ac:dyDescent="0.25">
      <c r="A291" s="5" t="s">
        <v>971</v>
      </c>
      <c r="B291" s="1" t="s">
        <v>6930</v>
      </c>
      <c r="C291" s="1">
        <v>1946</v>
      </c>
      <c r="G291" s="1" t="s">
        <v>11</v>
      </c>
      <c r="J291" s="3">
        <v>45406.589884259258</v>
      </c>
      <c r="K291" s="2" t="s">
        <v>6931</v>
      </c>
      <c r="L291" s="1">
        <v>1</v>
      </c>
      <c r="M291" s="1">
        <v>1</v>
      </c>
      <c r="N291" s="1">
        <v>0</v>
      </c>
      <c r="O291" s="3">
        <v>46233.65914210648</v>
      </c>
    </row>
    <row r="292" spans="1:15" ht="45" x14ac:dyDescent="0.25">
      <c r="A292" s="5" t="s">
        <v>974</v>
      </c>
      <c r="B292" s="1" t="s">
        <v>6932</v>
      </c>
      <c r="C292" s="1" t="s">
        <v>12</v>
      </c>
      <c r="G292" s="1" t="s">
        <v>10</v>
      </c>
      <c r="J292" s="3">
        <v>45356.614351851851</v>
      </c>
      <c r="K292" s="2" t="s">
        <v>6933</v>
      </c>
      <c r="L292" s="1">
        <v>1</v>
      </c>
      <c r="M292" s="1">
        <v>2</v>
      </c>
      <c r="N292" s="1">
        <v>1</v>
      </c>
      <c r="O292" s="3">
        <v>46233.65914210648</v>
      </c>
    </row>
    <row r="293" spans="1:15" x14ac:dyDescent="0.25">
      <c r="A293" s="5" t="s">
        <v>977</v>
      </c>
      <c r="B293" s="1" t="s">
        <v>6934</v>
      </c>
      <c r="C293" s="1">
        <v>1969</v>
      </c>
      <c r="G293" s="1" t="s">
        <v>10</v>
      </c>
      <c r="J293" s="3">
        <v>45357.453229166669</v>
      </c>
      <c r="K293" s="2" t="s">
        <v>6935</v>
      </c>
      <c r="L293" s="1">
        <v>4</v>
      </c>
      <c r="M293" s="1">
        <v>4</v>
      </c>
      <c r="N293" s="1">
        <v>0</v>
      </c>
      <c r="O293" s="3">
        <v>46233.65914210648</v>
      </c>
    </row>
    <row r="294" spans="1:15" x14ac:dyDescent="0.25">
      <c r="A294" s="5" t="s">
        <v>980</v>
      </c>
      <c r="B294" s="1" t="s">
        <v>6936</v>
      </c>
      <c r="C294" s="1" t="s">
        <v>12</v>
      </c>
      <c r="G294" s="1" t="s">
        <v>10</v>
      </c>
      <c r="J294" s="3">
        <v>45358.517638888887</v>
      </c>
      <c r="K294" s="2" t="s">
        <v>6937</v>
      </c>
      <c r="L294" s="1">
        <v>2</v>
      </c>
      <c r="M294" s="1">
        <v>2</v>
      </c>
      <c r="N294" s="1">
        <v>0</v>
      </c>
      <c r="O294" s="3">
        <v>46233.65914210648</v>
      </c>
    </row>
    <row r="295" spans="1:15" x14ac:dyDescent="0.25">
      <c r="A295" s="5" t="s">
        <v>983</v>
      </c>
      <c r="B295" s="1" t="s">
        <v>6938</v>
      </c>
      <c r="C295" s="1" t="s">
        <v>12</v>
      </c>
      <c r="G295" s="1" t="s">
        <v>11</v>
      </c>
      <c r="J295" s="3">
        <v>45384.067881944444</v>
      </c>
      <c r="K295" s="2" t="s">
        <v>6939</v>
      </c>
      <c r="L295" s="1">
        <v>1</v>
      </c>
      <c r="M295" s="1">
        <v>1</v>
      </c>
      <c r="N295" s="1">
        <v>0</v>
      </c>
      <c r="O295" s="3">
        <v>46233.65914210648</v>
      </c>
    </row>
    <row r="296" spans="1:15" ht="30" x14ac:dyDescent="0.25">
      <c r="A296" s="5" t="s">
        <v>986</v>
      </c>
      <c r="B296" s="1" t="s">
        <v>6940</v>
      </c>
      <c r="C296" s="1">
        <v>1996</v>
      </c>
      <c r="G296" s="1" t="s">
        <v>10</v>
      </c>
      <c r="J296" s="3">
        <v>45356.761087962965</v>
      </c>
      <c r="K296" s="2" t="s">
        <v>6941</v>
      </c>
      <c r="L296" s="1">
        <v>1</v>
      </c>
      <c r="M296" s="1">
        <v>1</v>
      </c>
      <c r="N296" s="1">
        <v>0</v>
      </c>
      <c r="O296" s="3">
        <v>46233.65914210648</v>
      </c>
    </row>
    <row r="297" spans="1:15" ht="30" x14ac:dyDescent="0.25">
      <c r="A297" s="5" t="s">
        <v>992</v>
      </c>
      <c r="B297" s="1" t="s">
        <v>6942</v>
      </c>
      <c r="C297" s="1">
        <v>1967</v>
      </c>
      <c r="G297" s="1" t="s">
        <v>10</v>
      </c>
      <c r="J297" s="3">
        <v>45358.327337962961</v>
      </c>
      <c r="K297" s="2" t="s">
        <v>6943</v>
      </c>
      <c r="L297" s="1">
        <v>1</v>
      </c>
      <c r="M297" s="1">
        <v>1</v>
      </c>
      <c r="N297" s="1">
        <v>0</v>
      </c>
      <c r="O297" s="3">
        <v>46233.65914210648</v>
      </c>
    </row>
    <row r="298" spans="1:15" ht="45" x14ac:dyDescent="0.25">
      <c r="A298" s="5" t="s">
        <v>995</v>
      </c>
      <c r="B298" s="1" t="s">
        <v>6944</v>
      </c>
      <c r="C298" s="1" t="s">
        <v>12</v>
      </c>
      <c r="G298" s="1" t="s">
        <v>11</v>
      </c>
      <c r="J298" s="3">
        <v>45377.630416666667</v>
      </c>
      <c r="K298" s="2" t="s">
        <v>6945</v>
      </c>
      <c r="L298" s="1">
        <v>1</v>
      </c>
      <c r="M298" s="1">
        <v>1</v>
      </c>
      <c r="N298" s="1">
        <v>0</v>
      </c>
      <c r="O298" s="3">
        <v>46233.65914210648</v>
      </c>
    </row>
    <row r="299" spans="1:15" ht="75" x14ac:dyDescent="0.25">
      <c r="A299" s="5" t="s">
        <v>998</v>
      </c>
      <c r="B299" s="1" t="s">
        <v>6946</v>
      </c>
      <c r="C299" s="1" t="s">
        <v>12</v>
      </c>
      <c r="G299" s="1" t="s">
        <v>11</v>
      </c>
      <c r="J299" s="3">
        <v>45356.905439814815</v>
      </c>
      <c r="K299" s="2" t="s">
        <v>6947</v>
      </c>
      <c r="L299" s="1">
        <v>1</v>
      </c>
      <c r="M299" s="1">
        <v>1</v>
      </c>
      <c r="N299" s="1">
        <v>0</v>
      </c>
      <c r="O299" s="3">
        <v>46233.65914210648</v>
      </c>
    </row>
    <row r="300" spans="1:15" ht="45" x14ac:dyDescent="0.25">
      <c r="A300" s="5" t="s">
        <v>1001</v>
      </c>
      <c r="B300" s="1" t="s">
        <v>6948</v>
      </c>
      <c r="C300" s="1">
        <v>1984</v>
      </c>
      <c r="G300" s="1" t="s">
        <v>11</v>
      </c>
      <c r="J300" s="3">
        <v>45384.132916666669</v>
      </c>
      <c r="K300" s="2" t="s">
        <v>6949</v>
      </c>
      <c r="L300" s="1">
        <v>6</v>
      </c>
      <c r="M300" s="1">
        <v>6</v>
      </c>
      <c r="N300" s="1">
        <v>0</v>
      </c>
      <c r="O300" s="3">
        <v>46233.65914210648</v>
      </c>
    </row>
    <row r="301" spans="1:15" x14ac:dyDescent="0.25">
      <c r="A301" s="5" t="s">
        <v>1004</v>
      </c>
      <c r="B301" s="1" t="s">
        <v>6950</v>
      </c>
      <c r="C301" s="1" t="s">
        <v>12</v>
      </c>
      <c r="G301" s="1" t="s">
        <v>11</v>
      </c>
      <c r="J301" s="3">
        <v>45356.632164351853</v>
      </c>
      <c r="K301" s="2" t="s">
        <v>6951</v>
      </c>
      <c r="L301" s="1">
        <v>1</v>
      </c>
      <c r="M301" s="1">
        <v>1</v>
      </c>
      <c r="N301" s="1">
        <v>0</v>
      </c>
      <c r="O301" s="3">
        <v>46233.65914210648</v>
      </c>
    </row>
    <row r="302" spans="1:15" ht="165" x14ac:dyDescent="0.25">
      <c r="A302" s="5" t="s">
        <v>1007</v>
      </c>
      <c r="B302" s="1" t="s">
        <v>6952</v>
      </c>
      <c r="C302" s="1">
        <v>1951</v>
      </c>
      <c r="G302" s="1" t="s">
        <v>10</v>
      </c>
      <c r="J302" s="3">
        <v>45357.21230324074</v>
      </c>
      <c r="K302" s="2" t="s">
        <v>6953</v>
      </c>
      <c r="L302" s="1">
        <v>2</v>
      </c>
      <c r="M302" s="1">
        <v>2</v>
      </c>
      <c r="N302" s="1">
        <v>0</v>
      </c>
      <c r="O302" s="3">
        <v>46233.65914210648</v>
      </c>
    </row>
    <row r="303" spans="1:15" ht="30" x14ac:dyDescent="0.25">
      <c r="A303" s="5" t="s">
        <v>1010</v>
      </c>
      <c r="B303" s="1" t="s">
        <v>6954</v>
      </c>
      <c r="C303" s="1" t="s">
        <v>12</v>
      </c>
      <c r="G303" s="1" t="s">
        <v>11</v>
      </c>
      <c r="J303" s="3">
        <v>45362.004988425928</v>
      </c>
      <c r="K303" s="2" t="s">
        <v>6955</v>
      </c>
      <c r="L303" s="1">
        <v>1</v>
      </c>
      <c r="M303" s="1">
        <v>1</v>
      </c>
      <c r="N303" s="1">
        <v>0</v>
      </c>
      <c r="O303" s="3">
        <v>46233.65914210648</v>
      </c>
    </row>
    <row r="304" spans="1:15" ht="75" x14ac:dyDescent="0.25">
      <c r="A304" s="5" t="s">
        <v>1013</v>
      </c>
      <c r="B304" s="1" t="s">
        <v>6956</v>
      </c>
      <c r="C304" s="1" t="s">
        <v>12</v>
      </c>
      <c r="G304" s="1" t="s">
        <v>10</v>
      </c>
      <c r="J304" s="3">
        <v>45359.444675925923</v>
      </c>
      <c r="K304" s="2" t="s">
        <v>6957</v>
      </c>
      <c r="L304" s="1">
        <v>2</v>
      </c>
      <c r="M304" s="1">
        <v>2</v>
      </c>
      <c r="N304" s="1">
        <v>0</v>
      </c>
      <c r="O304" s="3">
        <v>46233.65914210648</v>
      </c>
    </row>
    <row r="305" spans="1:15" x14ac:dyDescent="0.25">
      <c r="A305" s="5" t="s">
        <v>1016</v>
      </c>
      <c r="B305" s="1" t="s">
        <v>6958</v>
      </c>
      <c r="C305" s="1">
        <v>1989</v>
      </c>
      <c r="G305" s="1" t="s">
        <v>11</v>
      </c>
      <c r="J305" s="3">
        <v>45385.648090277777</v>
      </c>
      <c r="K305" s="2" t="s">
        <v>6959</v>
      </c>
      <c r="L305" s="1">
        <v>2</v>
      </c>
      <c r="M305" s="1">
        <v>2</v>
      </c>
      <c r="N305" s="1">
        <v>0</v>
      </c>
      <c r="O305" s="3">
        <v>46233.65914210648</v>
      </c>
    </row>
    <row r="306" spans="1:15" ht="120" x14ac:dyDescent="0.25">
      <c r="A306" s="5" t="s">
        <v>1019</v>
      </c>
      <c r="B306" s="1" t="s">
        <v>6960</v>
      </c>
      <c r="C306" s="1" t="s">
        <v>12</v>
      </c>
      <c r="G306" s="1" t="s">
        <v>11</v>
      </c>
      <c r="J306" s="3">
        <v>45359.457499999997</v>
      </c>
      <c r="K306" s="2" t="s">
        <v>6961</v>
      </c>
      <c r="L306" s="1">
        <v>1</v>
      </c>
      <c r="M306" s="1">
        <v>1</v>
      </c>
      <c r="N306" s="1">
        <v>0</v>
      </c>
      <c r="O306" s="3">
        <v>46233.65914210648</v>
      </c>
    </row>
    <row r="307" spans="1:15" ht="45" x14ac:dyDescent="0.25">
      <c r="A307" s="5" t="s">
        <v>1022</v>
      </c>
      <c r="B307" s="1" t="s">
        <v>6962</v>
      </c>
      <c r="C307" s="1" t="s">
        <v>12</v>
      </c>
      <c r="G307" s="1" t="s">
        <v>11</v>
      </c>
      <c r="J307" s="3">
        <v>45357.372743055559</v>
      </c>
      <c r="K307" s="2" t="s">
        <v>6963</v>
      </c>
      <c r="L307" s="1">
        <v>2</v>
      </c>
      <c r="M307" s="1">
        <v>2</v>
      </c>
      <c r="N307" s="1">
        <v>0</v>
      </c>
      <c r="O307" s="3">
        <v>46233.65914210648</v>
      </c>
    </row>
    <row r="308" spans="1:15" ht="30" x14ac:dyDescent="0.25">
      <c r="A308" s="5" t="s">
        <v>1028</v>
      </c>
      <c r="B308" s="1" t="s">
        <v>6964</v>
      </c>
      <c r="C308" s="1" t="s">
        <v>12</v>
      </c>
      <c r="G308" s="1" t="s">
        <v>10</v>
      </c>
      <c r="J308" s="3">
        <v>45357.627569444441</v>
      </c>
      <c r="K308" s="2" t="s">
        <v>6965</v>
      </c>
      <c r="L308" s="1">
        <v>1</v>
      </c>
      <c r="M308" s="1">
        <v>1</v>
      </c>
      <c r="N308" s="1">
        <v>0</v>
      </c>
      <c r="O308" s="3">
        <v>46233.65914210648</v>
      </c>
    </row>
    <row r="309" spans="1:15" ht="45" x14ac:dyDescent="0.25">
      <c r="A309" s="5" t="s">
        <v>1031</v>
      </c>
      <c r="B309" s="1" t="s">
        <v>6966</v>
      </c>
      <c r="C309" s="1" t="s">
        <v>12</v>
      </c>
      <c r="G309" s="1" t="s">
        <v>11</v>
      </c>
      <c r="J309" s="3">
        <v>45392.522604166668</v>
      </c>
      <c r="K309" s="2" t="s">
        <v>6967</v>
      </c>
      <c r="L309" s="1">
        <v>1</v>
      </c>
      <c r="M309" s="1">
        <v>1</v>
      </c>
      <c r="N309" s="1">
        <v>0</v>
      </c>
      <c r="O309" s="3">
        <v>46233.65914210648</v>
      </c>
    </row>
    <row r="310" spans="1:15" x14ac:dyDescent="0.25">
      <c r="A310" s="5" t="s">
        <v>1034</v>
      </c>
      <c r="B310" s="1" t="s">
        <v>6968</v>
      </c>
      <c r="C310" s="1">
        <v>1970</v>
      </c>
      <c r="G310" s="1" t="s">
        <v>11</v>
      </c>
      <c r="J310" s="3">
        <v>45409.446851851855</v>
      </c>
      <c r="K310" s="2" t="s">
        <v>6969</v>
      </c>
      <c r="L310" s="1">
        <v>17</v>
      </c>
      <c r="M310" s="1">
        <v>17</v>
      </c>
      <c r="N310" s="1">
        <v>0</v>
      </c>
      <c r="O310" s="3">
        <v>46233.65914210648</v>
      </c>
    </row>
    <row r="311" spans="1:15" ht="45" x14ac:dyDescent="0.25">
      <c r="A311" s="5" t="s">
        <v>1037</v>
      </c>
      <c r="B311" s="1" t="s">
        <v>6970</v>
      </c>
      <c r="C311" s="1" t="s">
        <v>12</v>
      </c>
      <c r="G311" s="1" t="s">
        <v>11</v>
      </c>
      <c r="J311" s="3">
        <v>45359.471817129626</v>
      </c>
      <c r="K311" s="2" t="s">
        <v>6971</v>
      </c>
      <c r="L311" s="1">
        <v>1</v>
      </c>
      <c r="M311" s="1">
        <v>1</v>
      </c>
      <c r="N311" s="1">
        <v>0</v>
      </c>
      <c r="O311" s="3">
        <v>46233.65914210648</v>
      </c>
    </row>
    <row r="312" spans="1:15" x14ac:dyDescent="0.25">
      <c r="A312" s="5" t="s">
        <v>1040</v>
      </c>
      <c r="B312" s="1" t="s">
        <v>6972</v>
      </c>
      <c r="C312" s="1" t="s">
        <v>12</v>
      </c>
      <c r="G312" s="1" t="s">
        <v>11</v>
      </c>
      <c r="J312" s="3">
        <v>45412.387384259258</v>
      </c>
      <c r="K312" s="2" t="s">
        <v>6973</v>
      </c>
      <c r="L312" s="1">
        <v>1</v>
      </c>
      <c r="M312" s="1">
        <v>1</v>
      </c>
      <c r="N312" s="1">
        <v>0</v>
      </c>
      <c r="O312" s="3">
        <v>46233.65914210648</v>
      </c>
    </row>
    <row r="313" spans="1:15" ht="90" x14ac:dyDescent="0.25">
      <c r="A313" s="5" t="s">
        <v>1043</v>
      </c>
      <c r="B313" s="1" t="s">
        <v>6974</v>
      </c>
      <c r="C313" s="1" t="s">
        <v>6554</v>
      </c>
      <c r="G313" s="1" t="s">
        <v>11</v>
      </c>
      <c r="J313" s="3">
        <v>45359.530358796299</v>
      </c>
      <c r="K313" s="2" t="s">
        <v>6975</v>
      </c>
      <c r="L313" s="1">
        <v>3</v>
      </c>
      <c r="M313" s="1">
        <v>4</v>
      </c>
      <c r="N313" s="1">
        <v>1</v>
      </c>
      <c r="O313" s="3">
        <v>46233.65914210648</v>
      </c>
    </row>
    <row r="314" spans="1:15" x14ac:dyDescent="0.25">
      <c r="A314" s="5" t="s">
        <v>1046</v>
      </c>
      <c r="B314" s="1" t="s">
        <v>6976</v>
      </c>
      <c r="C314" s="1" t="s">
        <v>12</v>
      </c>
      <c r="G314" s="1" t="s">
        <v>10</v>
      </c>
      <c r="J314" s="3">
        <v>45365.910486111112</v>
      </c>
      <c r="K314" s="2" t="s">
        <v>126</v>
      </c>
      <c r="L314" s="1">
        <v>2</v>
      </c>
      <c r="M314" s="1">
        <v>2</v>
      </c>
      <c r="N314" s="1">
        <v>0</v>
      </c>
      <c r="O314" s="3">
        <v>46233.65914210648</v>
      </c>
    </row>
    <row r="315" spans="1:15" x14ac:dyDescent="0.25">
      <c r="A315" s="5" t="s">
        <v>1049</v>
      </c>
      <c r="B315" s="1" t="s">
        <v>6977</v>
      </c>
      <c r="C315" s="1" t="s">
        <v>12</v>
      </c>
      <c r="G315" s="1" t="s">
        <v>10</v>
      </c>
      <c r="J315" s="3">
        <v>45359.803657407407</v>
      </c>
      <c r="K315" s="2" t="s">
        <v>6978</v>
      </c>
      <c r="L315" s="1">
        <v>3</v>
      </c>
      <c r="M315" s="1">
        <v>3</v>
      </c>
      <c r="N315" s="1">
        <v>0</v>
      </c>
      <c r="O315" s="3">
        <v>46233.65914210648</v>
      </c>
    </row>
    <row r="316" spans="1:15" ht="135" x14ac:dyDescent="0.25">
      <c r="A316" s="5" t="s">
        <v>1052</v>
      </c>
      <c r="B316" s="1" t="s">
        <v>6979</v>
      </c>
      <c r="G316" s="1" t="s">
        <v>10</v>
      </c>
      <c r="J316" s="3">
        <v>45400.586770833332</v>
      </c>
      <c r="K316" s="2" t="s">
        <v>6980</v>
      </c>
      <c r="L316" s="1">
        <v>3</v>
      </c>
      <c r="M316" s="1">
        <v>6</v>
      </c>
      <c r="N316" s="1">
        <v>3</v>
      </c>
      <c r="O316" s="3">
        <v>46233.65914210648</v>
      </c>
    </row>
    <row r="317" spans="1:15" ht="45" x14ac:dyDescent="0.25">
      <c r="A317" s="5" t="s">
        <v>1055</v>
      </c>
      <c r="B317" s="1" t="s">
        <v>6981</v>
      </c>
      <c r="C317" s="1" t="s">
        <v>12</v>
      </c>
      <c r="G317" s="1" t="s">
        <v>10</v>
      </c>
      <c r="J317" s="3">
        <v>45359.945324074077</v>
      </c>
      <c r="K317" s="2" t="s">
        <v>6982</v>
      </c>
      <c r="L317" s="1">
        <v>1</v>
      </c>
      <c r="M317" s="1">
        <v>1</v>
      </c>
      <c r="N317" s="1">
        <v>0</v>
      </c>
      <c r="O317" s="3">
        <v>46233.65914210648</v>
      </c>
    </row>
    <row r="318" spans="1:15" ht="45" x14ac:dyDescent="0.25">
      <c r="A318" s="5" t="s">
        <v>1058</v>
      </c>
      <c r="B318" s="1" t="s">
        <v>6983</v>
      </c>
      <c r="C318" s="1" t="s">
        <v>12</v>
      </c>
      <c r="G318" s="1" t="s">
        <v>10</v>
      </c>
      <c r="J318" s="3">
        <v>45406.567881944444</v>
      </c>
      <c r="K318" s="2" t="s">
        <v>6984</v>
      </c>
      <c r="L318" s="1">
        <v>7</v>
      </c>
      <c r="M318" s="1">
        <v>8</v>
      </c>
      <c r="N318" s="1">
        <v>1</v>
      </c>
      <c r="O318" s="3">
        <v>46233.65914210648</v>
      </c>
    </row>
    <row r="319" spans="1:15" x14ac:dyDescent="0.25">
      <c r="A319" s="5" t="s">
        <v>1061</v>
      </c>
      <c r="B319" s="1" t="s">
        <v>6985</v>
      </c>
      <c r="C319" s="1">
        <v>1970</v>
      </c>
      <c r="G319" s="1" t="s">
        <v>10</v>
      </c>
      <c r="J319" s="3">
        <v>45359.981423611112</v>
      </c>
      <c r="K319" s="2" t="s">
        <v>6986</v>
      </c>
      <c r="L319" s="1">
        <v>5</v>
      </c>
      <c r="M319" s="1">
        <v>5</v>
      </c>
      <c r="N319" s="1">
        <v>0</v>
      </c>
      <c r="O319" s="3">
        <v>46233.65914210648</v>
      </c>
    </row>
    <row r="320" spans="1:15" ht="105" x14ac:dyDescent="0.25">
      <c r="A320" s="5" t="s">
        <v>1064</v>
      </c>
      <c r="B320" s="1" t="s">
        <v>6987</v>
      </c>
      <c r="C320" s="1">
        <v>1965</v>
      </c>
      <c r="G320" s="1" t="s">
        <v>10</v>
      </c>
      <c r="J320" s="3">
        <v>45384.522685185184</v>
      </c>
      <c r="K320" s="2" t="s">
        <v>6988</v>
      </c>
      <c r="L320" s="1">
        <v>4</v>
      </c>
      <c r="M320" s="1">
        <v>5</v>
      </c>
      <c r="N320" s="1">
        <v>1</v>
      </c>
      <c r="O320" s="3">
        <v>46233.65914210648</v>
      </c>
    </row>
    <row r="321" spans="1:15" x14ac:dyDescent="0.25">
      <c r="A321" s="5" t="s">
        <v>1067</v>
      </c>
      <c r="B321" s="1" t="s">
        <v>6989</v>
      </c>
      <c r="C321" s="1">
        <v>1962</v>
      </c>
      <c r="G321" s="1" t="s">
        <v>11</v>
      </c>
      <c r="J321" s="3">
        <v>45360.155034722222</v>
      </c>
      <c r="K321" s="2" t="s">
        <v>126</v>
      </c>
      <c r="L321" s="1">
        <v>2</v>
      </c>
      <c r="M321" s="1">
        <v>2</v>
      </c>
      <c r="N321" s="1">
        <v>0</v>
      </c>
      <c r="O321" s="3">
        <v>46233.65914210648</v>
      </c>
    </row>
    <row r="322" spans="1:15" x14ac:dyDescent="0.25">
      <c r="A322" s="5" t="s">
        <v>1070</v>
      </c>
      <c r="B322" s="1" t="s">
        <v>6990</v>
      </c>
      <c r="C322" s="1" t="s">
        <v>12</v>
      </c>
      <c r="G322" s="1" t="s">
        <v>11</v>
      </c>
      <c r="J322" s="3">
        <v>45393.708645833336</v>
      </c>
      <c r="K322" s="2" t="s">
        <v>126</v>
      </c>
      <c r="L322" s="1">
        <v>1</v>
      </c>
      <c r="M322" s="1">
        <v>2</v>
      </c>
      <c r="N322" s="1">
        <v>1</v>
      </c>
      <c r="O322" s="3">
        <v>46233.65914210648</v>
      </c>
    </row>
    <row r="323" spans="1:15" x14ac:dyDescent="0.25">
      <c r="A323" s="5" t="s">
        <v>1073</v>
      </c>
      <c r="B323" s="1" t="s">
        <v>6991</v>
      </c>
      <c r="C323" s="1">
        <v>1949</v>
      </c>
      <c r="G323" s="1" t="s">
        <v>10</v>
      </c>
      <c r="J323" s="3">
        <v>45360.217511574076</v>
      </c>
      <c r="K323" s="2" t="s">
        <v>126</v>
      </c>
      <c r="L323" s="1">
        <v>2</v>
      </c>
      <c r="M323" s="1">
        <v>2</v>
      </c>
      <c r="N323" s="1">
        <v>0</v>
      </c>
      <c r="O323" s="3">
        <v>46233.65914210648</v>
      </c>
    </row>
    <row r="324" spans="1:15" x14ac:dyDescent="0.25">
      <c r="A324" s="5" t="s">
        <v>1076</v>
      </c>
      <c r="B324" s="1" t="s">
        <v>6992</v>
      </c>
      <c r="C324" s="1" t="s">
        <v>12</v>
      </c>
      <c r="G324" s="1" t="s">
        <v>11</v>
      </c>
      <c r="J324" s="3">
        <v>45384.568993055553</v>
      </c>
      <c r="K324" s="2" t="s">
        <v>6993</v>
      </c>
      <c r="L324" s="1">
        <v>1</v>
      </c>
      <c r="M324" s="1">
        <v>1</v>
      </c>
      <c r="N324" s="1">
        <v>0</v>
      </c>
      <c r="O324" s="3">
        <v>46233.65914210648</v>
      </c>
    </row>
    <row r="325" spans="1:15" x14ac:dyDescent="0.25">
      <c r="A325" s="5" t="s">
        <v>1079</v>
      </c>
      <c r="B325" s="1" t="s">
        <v>6994</v>
      </c>
      <c r="C325" s="1" t="s">
        <v>12</v>
      </c>
      <c r="G325" s="1" t="s">
        <v>11</v>
      </c>
      <c r="J325" s="3">
        <v>45360.278634259259</v>
      </c>
      <c r="K325" s="2" t="s">
        <v>6781</v>
      </c>
      <c r="L325" s="1">
        <v>1</v>
      </c>
      <c r="M325" s="1">
        <v>1</v>
      </c>
      <c r="N325" s="1">
        <v>0</v>
      </c>
      <c r="O325" s="3">
        <v>46233.65914210648</v>
      </c>
    </row>
    <row r="326" spans="1:15" ht="30" x14ac:dyDescent="0.25">
      <c r="A326" s="5" t="s">
        <v>1082</v>
      </c>
      <c r="B326" s="1" t="s">
        <v>6995</v>
      </c>
      <c r="C326" s="1">
        <v>1998</v>
      </c>
      <c r="G326" s="1" t="s">
        <v>11</v>
      </c>
      <c r="J326" s="3">
        <v>45385.522465277776</v>
      </c>
      <c r="K326" s="2" t="s">
        <v>6996</v>
      </c>
      <c r="L326" s="1">
        <v>3</v>
      </c>
      <c r="M326" s="1">
        <v>3</v>
      </c>
      <c r="N326" s="1">
        <v>0</v>
      </c>
      <c r="O326" s="3">
        <v>46233.65914210648</v>
      </c>
    </row>
    <row r="327" spans="1:15" ht="60" x14ac:dyDescent="0.25">
      <c r="A327" s="5" t="s">
        <v>1085</v>
      </c>
      <c r="B327" s="1" t="s">
        <v>6997</v>
      </c>
      <c r="C327" s="1">
        <v>1999</v>
      </c>
      <c r="G327" s="1" t="s">
        <v>11</v>
      </c>
      <c r="J327" s="3">
        <v>45360.956388888888</v>
      </c>
      <c r="K327" s="2" t="s">
        <v>6998</v>
      </c>
      <c r="L327" s="1">
        <v>3</v>
      </c>
      <c r="M327" s="1">
        <v>3</v>
      </c>
      <c r="N327" s="1">
        <v>0</v>
      </c>
      <c r="O327" s="3">
        <v>46233.65914210648</v>
      </c>
    </row>
    <row r="328" spans="1:15" x14ac:dyDescent="0.25">
      <c r="A328" s="5" t="s">
        <v>1088</v>
      </c>
      <c r="B328" s="1" t="s">
        <v>6999</v>
      </c>
      <c r="C328" s="1" t="s">
        <v>12</v>
      </c>
      <c r="G328" s="1" t="s">
        <v>10</v>
      </c>
      <c r="J328" s="3">
        <v>45391.527650462966</v>
      </c>
      <c r="K328" s="2" t="s">
        <v>6638</v>
      </c>
      <c r="L328" s="1">
        <v>8</v>
      </c>
      <c r="M328" s="1">
        <v>8</v>
      </c>
      <c r="N328" s="1">
        <v>0</v>
      </c>
      <c r="O328" s="3">
        <v>46233.65914210648</v>
      </c>
    </row>
    <row r="329" spans="1:15" ht="45" x14ac:dyDescent="0.25">
      <c r="A329" s="5" t="s">
        <v>1091</v>
      </c>
      <c r="B329" s="1" t="s">
        <v>7000</v>
      </c>
      <c r="C329" s="1" t="s">
        <v>12</v>
      </c>
      <c r="G329" s="1" t="s">
        <v>10</v>
      </c>
      <c r="J329" s="3">
        <v>45362.801099537035</v>
      </c>
      <c r="K329" s="2" t="s">
        <v>7001</v>
      </c>
      <c r="L329" s="1">
        <v>1</v>
      </c>
      <c r="M329" s="1">
        <v>1</v>
      </c>
      <c r="N329" s="1">
        <v>0</v>
      </c>
      <c r="O329" s="3">
        <v>46233.65914210648</v>
      </c>
    </row>
    <row r="330" spans="1:15" x14ac:dyDescent="0.25">
      <c r="A330" s="5" t="s">
        <v>1094</v>
      </c>
      <c r="B330" s="1" t="s">
        <v>7002</v>
      </c>
      <c r="C330" s="1">
        <v>1967</v>
      </c>
      <c r="G330" s="1" t="s">
        <v>10</v>
      </c>
      <c r="J330" s="3">
        <v>45361.300787037035</v>
      </c>
      <c r="K330" s="2" t="s">
        <v>126</v>
      </c>
      <c r="L330" s="1">
        <v>5</v>
      </c>
      <c r="M330" s="1">
        <v>8</v>
      </c>
      <c r="N330" s="1">
        <v>3</v>
      </c>
      <c r="O330" s="3">
        <v>46233.65914210648</v>
      </c>
    </row>
    <row r="331" spans="1:15" ht="90" x14ac:dyDescent="0.25">
      <c r="A331" s="5" t="s">
        <v>1097</v>
      </c>
      <c r="B331" s="1" t="s">
        <v>7003</v>
      </c>
      <c r="C331" s="1" t="s">
        <v>7004</v>
      </c>
      <c r="G331" s="1" t="s">
        <v>10</v>
      </c>
      <c r="J331" s="3">
        <v>45385.63559027778</v>
      </c>
      <c r="K331" s="2" t="s">
        <v>7005</v>
      </c>
      <c r="L331" s="1">
        <v>2</v>
      </c>
      <c r="M331" s="1">
        <v>2</v>
      </c>
      <c r="N331" s="1">
        <v>0</v>
      </c>
      <c r="O331" s="3">
        <v>46233.65914210648</v>
      </c>
    </row>
    <row r="332" spans="1:15" x14ac:dyDescent="0.25">
      <c r="A332" s="5" t="s">
        <v>1100</v>
      </c>
      <c r="B332" s="1" t="s">
        <v>7006</v>
      </c>
      <c r="C332" s="1">
        <v>1925</v>
      </c>
      <c r="G332" s="1" t="s">
        <v>10</v>
      </c>
      <c r="J332" s="3">
        <v>45361.466111111113</v>
      </c>
      <c r="K332" s="2" t="s">
        <v>144</v>
      </c>
      <c r="L332" s="1">
        <v>2</v>
      </c>
      <c r="M332" s="1">
        <v>2</v>
      </c>
      <c r="N332" s="1">
        <v>0</v>
      </c>
      <c r="O332" s="3">
        <v>46233.65914210648</v>
      </c>
    </row>
    <row r="333" spans="1:15" x14ac:dyDescent="0.25">
      <c r="A333" s="5" t="s">
        <v>1103</v>
      </c>
      <c r="B333" s="1" t="s">
        <v>7007</v>
      </c>
      <c r="C333" s="1" t="s">
        <v>12</v>
      </c>
      <c r="G333" s="1" t="s">
        <v>10</v>
      </c>
      <c r="J333" s="3">
        <v>45361.679988425924</v>
      </c>
      <c r="K333" s="2" t="s">
        <v>7008</v>
      </c>
      <c r="L333" s="1">
        <v>1</v>
      </c>
      <c r="M333" s="1">
        <v>1</v>
      </c>
      <c r="N333" s="1">
        <v>0</v>
      </c>
      <c r="O333" s="3">
        <v>46233.65914210648</v>
      </c>
    </row>
    <row r="334" spans="1:15" x14ac:dyDescent="0.25">
      <c r="A334" s="5" t="s">
        <v>1106</v>
      </c>
      <c r="B334" s="1" t="s">
        <v>7009</v>
      </c>
      <c r="C334" s="1">
        <v>1973</v>
      </c>
      <c r="G334" s="1" t="s">
        <v>11</v>
      </c>
      <c r="J334" s="3">
        <v>45384.592581018522</v>
      </c>
      <c r="K334" s="2" t="s">
        <v>6438</v>
      </c>
      <c r="L334" s="1">
        <v>7</v>
      </c>
      <c r="M334" s="1">
        <v>8</v>
      </c>
      <c r="N334" s="1">
        <v>1</v>
      </c>
      <c r="O334" s="3">
        <v>46233.65914210648</v>
      </c>
    </row>
    <row r="335" spans="1:15" x14ac:dyDescent="0.25">
      <c r="A335" s="5" t="s">
        <v>1109</v>
      </c>
      <c r="B335" s="1" t="s">
        <v>7010</v>
      </c>
      <c r="C335" s="1">
        <v>1981</v>
      </c>
      <c r="J335" s="3">
        <v>45358.196817129632</v>
      </c>
      <c r="L335" s="1">
        <v>5</v>
      </c>
      <c r="M335" s="1">
        <v>6</v>
      </c>
      <c r="N335" s="1">
        <v>1</v>
      </c>
      <c r="O335" s="3">
        <v>46233.65914210648</v>
      </c>
    </row>
    <row r="336" spans="1:15" x14ac:dyDescent="0.25">
      <c r="A336" s="5" t="s">
        <v>1115</v>
      </c>
      <c r="B336" s="1" t="s">
        <v>7011</v>
      </c>
      <c r="C336" s="1">
        <v>1986</v>
      </c>
      <c r="J336" s="3">
        <v>45358.682881944442</v>
      </c>
      <c r="L336" s="1">
        <v>1</v>
      </c>
      <c r="M336" s="1">
        <v>1</v>
      </c>
      <c r="N336" s="1">
        <v>0</v>
      </c>
      <c r="O336" s="3">
        <v>46233.65914210648</v>
      </c>
    </row>
    <row r="337" spans="1:15" x14ac:dyDescent="0.25">
      <c r="A337" s="5" t="s">
        <v>1118</v>
      </c>
      <c r="B337" s="1" t="s">
        <v>7012</v>
      </c>
      <c r="C337" s="1" t="s">
        <v>12</v>
      </c>
      <c r="G337" s="1" t="s">
        <v>10</v>
      </c>
      <c r="J337" s="3">
        <v>45383.866539351853</v>
      </c>
      <c r="K337" s="2" t="s">
        <v>6589</v>
      </c>
      <c r="L337" s="1">
        <v>1</v>
      </c>
      <c r="M337" s="1">
        <v>1</v>
      </c>
      <c r="N337" s="1">
        <v>0</v>
      </c>
      <c r="O337" s="3">
        <v>46233.65914210648</v>
      </c>
    </row>
    <row r="338" spans="1:15" x14ac:dyDescent="0.25">
      <c r="A338" s="5" t="s">
        <v>1121</v>
      </c>
      <c r="B338" s="1" t="s">
        <v>7013</v>
      </c>
      <c r="C338" s="1">
        <v>2005</v>
      </c>
      <c r="J338" s="3">
        <v>45358.094050925924</v>
      </c>
      <c r="L338" s="1">
        <v>3</v>
      </c>
      <c r="M338" s="1">
        <v>3</v>
      </c>
      <c r="N338" s="1">
        <v>0</v>
      </c>
      <c r="O338" s="3">
        <v>46233.65914210648</v>
      </c>
    </row>
    <row r="339" spans="1:15" ht="45" x14ac:dyDescent="0.25">
      <c r="A339" s="5" t="s">
        <v>1124</v>
      </c>
      <c r="B339" s="1" t="s">
        <v>7014</v>
      </c>
      <c r="C339" s="1" t="s">
        <v>12</v>
      </c>
      <c r="G339" s="1" t="s">
        <v>10</v>
      </c>
      <c r="J339" s="3">
        <v>45412.491423611114</v>
      </c>
      <c r="K339" s="2" t="s">
        <v>7015</v>
      </c>
      <c r="L339" s="1">
        <v>1</v>
      </c>
      <c r="M339" s="1">
        <v>1</v>
      </c>
      <c r="N339" s="1">
        <v>0</v>
      </c>
      <c r="O339" s="3">
        <v>46233.65914210648</v>
      </c>
    </row>
    <row r="340" spans="1:15" ht="45" x14ac:dyDescent="0.25">
      <c r="A340" s="5" t="s">
        <v>1127</v>
      </c>
      <c r="B340" s="1" t="s">
        <v>7016</v>
      </c>
      <c r="C340" s="1" t="s">
        <v>12</v>
      </c>
      <c r="G340" s="1" t="s">
        <v>11</v>
      </c>
      <c r="J340" s="3">
        <v>45362.379988425928</v>
      </c>
      <c r="K340" s="2" t="s">
        <v>7017</v>
      </c>
      <c r="L340" s="1">
        <v>2</v>
      </c>
      <c r="M340" s="1">
        <v>2</v>
      </c>
      <c r="N340" s="1">
        <v>0</v>
      </c>
      <c r="O340" s="3">
        <v>46233.65914210648</v>
      </c>
    </row>
    <row r="341" spans="1:15" ht="45" x14ac:dyDescent="0.25">
      <c r="A341" s="5" t="s">
        <v>1130</v>
      </c>
      <c r="B341" s="1" t="s">
        <v>7018</v>
      </c>
      <c r="C341" s="1" t="s">
        <v>12</v>
      </c>
      <c r="G341" s="1" t="s">
        <v>10</v>
      </c>
      <c r="J341" s="3">
        <v>45412.552256944444</v>
      </c>
      <c r="K341" s="2" t="s">
        <v>7019</v>
      </c>
      <c r="L341" s="1">
        <v>1</v>
      </c>
      <c r="M341" s="1">
        <v>1</v>
      </c>
      <c r="N341" s="1">
        <v>0</v>
      </c>
      <c r="O341" s="3">
        <v>46233.65914210648</v>
      </c>
    </row>
    <row r="342" spans="1:15" ht="105" x14ac:dyDescent="0.25">
      <c r="A342" s="5" t="s">
        <v>1133</v>
      </c>
      <c r="B342" s="1" t="s">
        <v>7020</v>
      </c>
      <c r="C342" s="1" t="s">
        <v>12</v>
      </c>
      <c r="G342" s="1" t="s">
        <v>11</v>
      </c>
      <c r="J342" s="3">
        <v>45408.57167824074</v>
      </c>
      <c r="K342" s="2" t="s">
        <v>7021</v>
      </c>
      <c r="L342" s="1">
        <v>2</v>
      </c>
      <c r="M342" s="1">
        <v>2</v>
      </c>
      <c r="N342" s="1">
        <v>0</v>
      </c>
      <c r="O342" s="3">
        <v>46233.65914210648</v>
      </c>
    </row>
    <row r="343" spans="1:15" ht="75" x14ac:dyDescent="0.25">
      <c r="A343" s="5" t="s">
        <v>1136</v>
      </c>
      <c r="B343" s="1" t="s">
        <v>7022</v>
      </c>
      <c r="C343" s="1" t="s">
        <v>12</v>
      </c>
      <c r="G343" s="1" t="s">
        <v>10</v>
      </c>
      <c r="J343" s="3">
        <v>45413.2425</v>
      </c>
      <c r="K343" s="2" t="s">
        <v>7023</v>
      </c>
      <c r="L343" s="1">
        <v>2</v>
      </c>
      <c r="M343" s="1">
        <v>3</v>
      </c>
      <c r="N343" s="1">
        <v>1</v>
      </c>
      <c r="O343" s="3">
        <v>46233.65914210648</v>
      </c>
    </row>
    <row r="344" spans="1:15" ht="75" x14ac:dyDescent="0.25">
      <c r="A344" s="5" t="s">
        <v>1139</v>
      </c>
      <c r="B344" s="1" t="s">
        <v>7024</v>
      </c>
      <c r="C344" s="1" t="s">
        <v>12</v>
      </c>
      <c r="G344" s="1" t="s">
        <v>11</v>
      </c>
      <c r="J344" s="3">
        <v>45373.363194444442</v>
      </c>
      <c r="K344" s="2" t="s">
        <v>7025</v>
      </c>
      <c r="L344" s="1">
        <v>1</v>
      </c>
      <c r="M344" s="1">
        <v>1</v>
      </c>
      <c r="N344" s="1">
        <v>0</v>
      </c>
      <c r="O344" s="3">
        <v>46233.65914210648</v>
      </c>
    </row>
    <row r="345" spans="1:15" x14ac:dyDescent="0.25">
      <c r="A345" s="5" t="s">
        <v>1142</v>
      </c>
      <c r="B345" s="1" t="s">
        <v>7026</v>
      </c>
      <c r="C345" s="1" t="s">
        <v>12</v>
      </c>
      <c r="G345" s="1" t="s">
        <v>10</v>
      </c>
      <c r="J345" s="3">
        <v>45363.052187499998</v>
      </c>
      <c r="K345" s="2" t="s">
        <v>7027</v>
      </c>
      <c r="L345" s="1">
        <v>2</v>
      </c>
      <c r="M345" s="1">
        <v>2</v>
      </c>
      <c r="N345" s="1">
        <v>0</v>
      </c>
      <c r="O345" s="3">
        <v>46233.65914210648</v>
      </c>
    </row>
    <row r="346" spans="1:15" x14ac:dyDescent="0.25">
      <c r="A346" s="5" t="s">
        <v>1145</v>
      </c>
      <c r="B346" s="1" t="s">
        <v>7028</v>
      </c>
      <c r="C346" s="1">
        <v>1936</v>
      </c>
      <c r="J346" s="3">
        <v>45357.905324074076</v>
      </c>
      <c r="L346" s="1">
        <v>3</v>
      </c>
      <c r="M346" s="1">
        <v>3</v>
      </c>
      <c r="N346" s="1">
        <v>0</v>
      </c>
      <c r="O346" s="3">
        <v>46233.65914210648</v>
      </c>
    </row>
    <row r="347" spans="1:15" x14ac:dyDescent="0.25">
      <c r="A347" s="5" t="s">
        <v>1151</v>
      </c>
      <c r="B347" s="1" t="s">
        <v>7029</v>
      </c>
      <c r="C347" s="1" t="s">
        <v>12</v>
      </c>
      <c r="G347" s="1" t="s">
        <v>10</v>
      </c>
      <c r="J347" s="3">
        <v>45363.713287037041</v>
      </c>
      <c r="K347" s="2" t="s">
        <v>6935</v>
      </c>
      <c r="L347" s="1">
        <v>1</v>
      </c>
      <c r="M347" s="1">
        <v>1</v>
      </c>
      <c r="N347" s="1">
        <v>0</v>
      </c>
      <c r="O347" s="3">
        <v>46233.65914210648</v>
      </c>
    </row>
    <row r="348" spans="1:15" ht="60" x14ac:dyDescent="0.25">
      <c r="A348" s="5" t="s">
        <v>1154</v>
      </c>
      <c r="B348" s="1" t="s">
        <v>7030</v>
      </c>
      <c r="C348" s="1">
        <v>1991</v>
      </c>
      <c r="G348" s="1" t="s">
        <v>10</v>
      </c>
      <c r="J348" s="3">
        <v>45414.460925925923</v>
      </c>
      <c r="K348" s="2" t="s">
        <v>7031</v>
      </c>
      <c r="L348" s="1">
        <v>1</v>
      </c>
      <c r="M348" s="1">
        <v>1</v>
      </c>
      <c r="N348" s="1">
        <v>0</v>
      </c>
      <c r="O348" s="3">
        <v>46233.65914210648</v>
      </c>
    </row>
    <row r="349" spans="1:15" x14ac:dyDescent="0.25">
      <c r="A349" s="5" t="s">
        <v>1157</v>
      </c>
      <c r="B349" s="1" t="s">
        <v>7032</v>
      </c>
      <c r="C349" s="1">
        <v>1891</v>
      </c>
      <c r="J349" s="3">
        <v>45358.044016203705</v>
      </c>
      <c r="L349" s="1">
        <v>1</v>
      </c>
      <c r="M349" s="1">
        <v>1</v>
      </c>
      <c r="N349" s="1">
        <v>0</v>
      </c>
      <c r="O349" s="3">
        <v>46233.65914210648</v>
      </c>
    </row>
    <row r="350" spans="1:15" ht="135" x14ac:dyDescent="0.25">
      <c r="A350" s="5" t="s">
        <v>1160</v>
      </c>
      <c r="B350" s="1" t="s">
        <v>7034</v>
      </c>
      <c r="C350" s="1" t="s">
        <v>12</v>
      </c>
      <c r="G350" s="1" t="s">
        <v>10</v>
      </c>
      <c r="J350" s="3">
        <v>45406.532280092593</v>
      </c>
      <c r="K350" s="2" t="s">
        <v>7035</v>
      </c>
      <c r="L350" s="1">
        <v>11</v>
      </c>
      <c r="M350" s="1">
        <v>12</v>
      </c>
      <c r="N350" s="1">
        <v>1</v>
      </c>
      <c r="O350" s="3">
        <v>46233.65914210648</v>
      </c>
    </row>
    <row r="351" spans="1:15" ht="30" x14ac:dyDescent="0.25">
      <c r="A351" s="5" t="s">
        <v>1163</v>
      </c>
      <c r="B351" s="1" t="s">
        <v>7036</v>
      </c>
      <c r="C351" s="1" t="s">
        <v>12</v>
      </c>
      <c r="G351" s="1" t="s">
        <v>10</v>
      </c>
      <c r="J351" s="3">
        <v>45364.070219907408</v>
      </c>
      <c r="K351" s="2" t="s">
        <v>7037</v>
      </c>
      <c r="L351" s="1">
        <v>6</v>
      </c>
      <c r="M351" s="1">
        <v>7</v>
      </c>
      <c r="N351" s="1">
        <v>1</v>
      </c>
      <c r="O351" s="3">
        <v>46233.65914210648</v>
      </c>
    </row>
    <row r="352" spans="1:15" ht="90" x14ac:dyDescent="0.25">
      <c r="A352" s="5" t="s">
        <v>1166</v>
      </c>
      <c r="B352" s="1" t="s">
        <v>7038</v>
      </c>
      <c r="C352" s="1" t="s">
        <v>12</v>
      </c>
      <c r="G352" s="1" t="s">
        <v>10</v>
      </c>
      <c r="J352" s="3">
        <v>45387.456342592595</v>
      </c>
      <c r="K352" s="2" t="s">
        <v>7039</v>
      </c>
      <c r="L352" s="1">
        <v>1</v>
      </c>
      <c r="M352" s="1">
        <v>1</v>
      </c>
      <c r="N352" s="1">
        <v>0</v>
      </c>
      <c r="O352" s="3">
        <v>46233.65914210648</v>
      </c>
    </row>
    <row r="353" spans="1:15" ht="105" x14ac:dyDescent="0.25">
      <c r="A353" s="5" t="s">
        <v>1169</v>
      </c>
      <c r="B353" s="1" t="s">
        <v>7040</v>
      </c>
      <c r="C353" s="1">
        <v>1961</v>
      </c>
      <c r="G353" s="1" t="s">
        <v>11</v>
      </c>
      <c r="J353" s="3">
        <v>45364.352210648147</v>
      </c>
      <c r="K353" s="2" t="s">
        <v>7041</v>
      </c>
      <c r="L353" s="1">
        <v>1</v>
      </c>
      <c r="M353" s="1">
        <v>1</v>
      </c>
      <c r="N353" s="1">
        <v>0</v>
      </c>
      <c r="O353" s="3">
        <v>46233.65914210648</v>
      </c>
    </row>
    <row r="354" spans="1:15" ht="30" x14ac:dyDescent="0.25">
      <c r="A354" s="5" t="s">
        <v>1172</v>
      </c>
      <c r="B354" s="1" t="s">
        <v>7042</v>
      </c>
      <c r="C354" s="1" t="s">
        <v>12</v>
      </c>
      <c r="G354" s="1" t="s">
        <v>11</v>
      </c>
      <c r="J354" s="3">
        <v>45365.147997685184</v>
      </c>
      <c r="K354" s="2" t="s">
        <v>7043</v>
      </c>
      <c r="L354" s="1">
        <v>1</v>
      </c>
      <c r="M354" s="1">
        <v>2</v>
      </c>
      <c r="N354" s="1">
        <v>1</v>
      </c>
      <c r="O354" s="3">
        <v>46233.65914210648</v>
      </c>
    </row>
    <row r="355" spans="1:15" ht="315" x14ac:dyDescent="0.25">
      <c r="A355" s="5" t="s">
        <v>1175</v>
      </c>
      <c r="B355" s="1" t="s">
        <v>7044</v>
      </c>
      <c r="C355" s="1" t="s">
        <v>12</v>
      </c>
      <c r="G355" s="1" t="s">
        <v>10</v>
      </c>
      <c r="J355" s="3">
        <v>45384.024780092594</v>
      </c>
      <c r="K355" s="2" t="s">
        <v>7045</v>
      </c>
      <c r="L355" s="1">
        <v>2</v>
      </c>
      <c r="M355" s="1">
        <v>3</v>
      </c>
      <c r="N355" s="1">
        <v>1</v>
      </c>
      <c r="O355" s="3">
        <v>46233.65914210648</v>
      </c>
    </row>
    <row r="356" spans="1:15" x14ac:dyDescent="0.25">
      <c r="A356" s="5" t="s">
        <v>1178</v>
      </c>
      <c r="B356" s="1" t="s">
        <v>7046</v>
      </c>
      <c r="C356" s="1">
        <v>1996</v>
      </c>
      <c r="J356" s="3">
        <v>45358.691238425927</v>
      </c>
      <c r="L356" s="1">
        <v>4</v>
      </c>
      <c r="M356" s="1">
        <v>4</v>
      </c>
      <c r="N356" s="1">
        <v>0</v>
      </c>
      <c r="O356" s="3">
        <v>46233.65914210648</v>
      </c>
    </row>
    <row r="357" spans="1:15" x14ac:dyDescent="0.25">
      <c r="A357" s="5" t="s">
        <v>1181</v>
      </c>
      <c r="B357" s="1" t="s">
        <v>7047</v>
      </c>
      <c r="C357" s="1">
        <v>1953</v>
      </c>
      <c r="G357" s="1" t="s">
        <v>11</v>
      </c>
      <c r="J357" s="3">
        <v>45370.350949074076</v>
      </c>
      <c r="K357" s="2" t="s">
        <v>7048</v>
      </c>
      <c r="L357" s="1">
        <v>1</v>
      </c>
      <c r="M357" s="1">
        <v>1</v>
      </c>
      <c r="N357" s="1">
        <v>0</v>
      </c>
      <c r="O357" s="3">
        <v>46233.65914210648</v>
      </c>
    </row>
    <row r="358" spans="1:15" x14ac:dyDescent="0.25">
      <c r="A358" s="5" t="s">
        <v>1187</v>
      </c>
      <c r="B358" s="1" t="s">
        <v>7049</v>
      </c>
      <c r="C358" s="1">
        <v>1977</v>
      </c>
      <c r="G358" s="1" t="s">
        <v>10</v>
      </c>
      <c r="J358" s="3">
        <v>45377.444768518515</v>
      </c>
      <c r="K358" s="2" t="s">
        <v>7050</v>
      </c>
      <c r="L358" s="1">
        <v>14</v>
      </c>
      <c r="M358" s="1">
        <v>14</v>
      </c>
      <c r="N358" s="1">
        <v>0</v>
      </c>
      <c r="O358" s="3">
        <v>46233.65914210648</v>
      </c>
    </row>
    <row r="359" spans="1:15" x14ac:dyDescent="0.25">
      <c r="A359" s="5" t="s">
        <v>1193</v>
      </c>
      <c r="B359" s="1" t="s">
        <v>7051</v>
      </c>
      <c r="C359" s="1" t="s">
        <v>12</v>
      </c>
      <c r="G359" s="1" t="s">
        <v>11</v>
      </c>
      <c r="J359" s="3">
        <v>45377.467118055552</v>
      </c>
      <c r="L359" s="1">
        <v>1</v>
      </c>
      <c r="M359" s="1">
        <v>1</v>
      </c>
      <c r="N359" s="1">
        <v>0</v>
      </c>
      <c r="O359" s="3">
        <v>46233.65914210648</v>
      </c>
    </row>
    <row r="360" spans="1:15" x14ac:dyDescent="0.25">
      <c r="A360" s="5" t="s">
        <v>1196</v>
      </c>
      <c r="B360" s="1" t="s">
        <v>7052</v>
      </c>
      <c r="C360" s="1" t="s">
        <v>12</v>
      </c>
      <c r="G360" s="1" t="s">
        <v>11</v>
      </c>
      <c r="J360" s="3">
        <v>45386.525810185187</v>
      </c>
      <c r="K360" s="2" t="s">
        <v>126</v>
      </c>
      <c r="L360" s="1">
        <v>1</v>
      </c>
      <c r="M360" s="1">
        <v>1</v>
      </c>
      <c r="N360" s="1">
        <v>0</v>
      </c>
      <c r="O360" s="3">
        <v>46233.65914210648</v>
      </c>
    </row>
    <row r="361" spans="1:15" ht="60" x14ac:dyDescent="0.25">
      <c r="A361" s="5" t="s">
        <v>1199</v>
      </c>
      <c r="B361" s="1" t="s">
        <v>7053</v>
      </c>
      <c r="C361" s="1">
        <v>1982</v>
      </c>
      <c r="G361" s="1" t="s">
        <v>10</v>
      </c>
      <c r="J361" s="3">
        <v>45398.528726851851</v>
      </c>
      <c r="K361" s="2" t="s">
        <v>7054</v>
      </c>
      <c r="L361" s="1">
        <v>1</v>
      </c>
      <c r="M361" s="1">
        <v>1</v>
      </c>
      <c r="N361" s="1">
        <v>0</v>
      </c>
      <c r="O361" s="3">
        <v>46233.65914210648</v>
      </c>
    </row>
    <row r="362" spans="1:15" ht="105" x14ac:dyDescent="0.25">
      <c r="A362" s="5" t="s">
        <v>1202</v>
      </c>
      <c r="B362" s="1" t="s">
        <v>7055</v>
      </c>
      <c r="C362" s="1" t="s">
        <v>12</v>
      </c>
      <c r="G362" s="1" t="s">
        <v>11</v>
      </c>
      <c r="J362" s="3">
        <v>45383.465266203704</v>
      </c>
      <c r="K362" s="2" t="s">
        <v>7056</v>
      </c>
      <c r="L362" s="1">
        <v>1</v>
      </c>
      <c r="M362" s="1">
        <v>1</v>
      </c>
      <c r="N362" s="1">
        <v>0</v>
      </c>
      <c r="O362" s="3">
        <v>46233.65914210648</v>
      </c>
    </row>
    <row r="363" spans="1:15" ht="120" x14ac:dyDescent="0.25">
      <c r="A363" s="5" t="s">
        <v>1205</v>
      </c>
      <c r="B363" s="1" t="s">
        <v>7057</v>
      </c>
      <c r="C363" s="1">
        <v>1994</v>
      </c>
      <c r="G363" s="1" t="s">
        <v>10</v>
      </c>
      <c r="J363" s="3">
        <v>45412.846979166665</v>
      </c>
      <c r="K363" s="2" t="s">
        <v>7058</v>
      </c>
      <c r="L363" s="1">
        <v>1</v>
      </c>
      <c r="M363" s="1">
        <v>1</v>
      </c>
      <c r="N363" s="1">
        <v>0</v>
      </c>
      <c r="O363" s="3">
        <v>46233.65914210648</v>
      </c>
    </row>
    <row r="364" spans="1:15" ht="60" x14ac:dyDescent="0.25">
      <c r="A364" s="5" t="s">
        <v>1208</v>
      </c>
      <c r="B364" s="1" t="s">
        <v>7059</v>
      </c>
      <c r="C364" s="1" t="s">
        <v>6554</v>
      </c>
      <c r="G364" s="1" t="s">
        <v>11</v>
      </c>
      <c r="J364" s="3">
        <v>45383.476423611108</v>
      </c>
      <c r="K364" s="2" t="s">
        <v>7060</v>
      </c>
      <c r="L364" s="1">
        <v>1</v>
      </c>
      <c r="M364" s="1">
        <v>1</v>
      </c>
      <c r="N364" s="1">
        <v>0</v>
      </c>
      <c r="O364" s="3">
        <v>46233.65914210648</v>
      </c>
    </row>
    <row r="365" spans="1:15" x14ac:dyDescent="0.25">
      <c r="A365" s="5" t="s">
        <v>1211</v>
      </c>
      <c r="B365" s="1" t="s">
        <v>7061</v>
      </c>
      <c r="C365" s="1" t="s">
        <v>12</v>
      </c>
      <c r="G365" s="1" t="s">
        <v>11</v>
      </c>
      <c r="J365" s="3">
        <v>45413.012349537035</v>
      </c>
      <c r="K365" s="2" t="s">
        <v>7062</v>
      </c>
      <c r="L365" s="1">
        <v>1</v>
      </c>
      <c r="M365" s="1">
        <v>1</v>
      </c>
      <c r="N365" s="1">
        <v>0</v>
      </c>
      <c r="O365" s="3">
        <v>46233.65914210648</v>
      </c>
    </row>
    <row r="366" spans="1:15" ht="75" x14ac:dyDescent="0.25">
      <c r="A366" s="5" t="s">
        <v>1214</v>
      </c>
      <c r="B366" s="1" t="s">
        <v>7063</v>
      </c>
      <c r="C366" s="1" t="s">
        <v>12</v>
      </c>
      <c r="G366" s="1" t="s">
        <v>10</v>
      </c>
      <c r="J366" s="3">
        <v>45383.497233796297</v>
      </c>
      <c r="K366" s="2" t="s">
        <v>7064</v>
      </c>
      <c r="L366" s="1">
        <v>1</v>
      </c>
      <c r="M366" s="1">
        <v>1</v>
      </c>
      <c r="N366" s="1">
        <v>0</v>
      </c>
      <c r="O366" s="3">
        <v>46233.65914210648</v>
      </c>
    </row>
    <row r="367" spans="1:15" x14ac:dyDescent="0.25">
      <c r="A367" s="5" t="s">
        <v>1217</v>
      </c>
      <c r="B367" s="1" t="s">
        <v>7065</v>
      </c>
      <c r="C367" s="1" t="s">
        <v>12</v>
      </c>
      <c r="G367" s="1" t="s">
        <v>11</v>
      </c>
      <c r="J367" s="3">
        <v>45393.484363425923</v>
      </c>
      <c r="K367" s="2" t="s">
        <v>7066</v>
      </c>
      <c r="L367" s="1">
        <v>7</v>
      </c>
      <c r="M367" s="1">
        <v>9</v>
      </c>
      <c r="N367" s="1">
        <v>2</v>
      </c>
      <c r="O367" s="3">
        <v>46233.65914210648</v>
      </c>
    </row>
    <row r="368" spans="1:15" x14ac:dyDescent="0.25">
      <c r="A368" s="5" t="s">
        <v>1220</v>
      </c>
      <c r="B368" s="1" t="s">
        <v>7067</v>
      </c>
      <c r="C368" s="1">
        <v>1948</v>
      </c>
      <c r="G368" s="1" t="s">
        <v>10</v>
      </c>
      <c r="J368" s="3">
        <v>45383.656875000001</v>
      </c>
      <c r="K368" s="2" t="s">
        <v>7068</v>
      </c>
      <c r="L368" s="1">
        <v>3</v>
      </c>
      <c r="M368" s="1">
        <v>4</v>
      </c>
      <c r="N368" s="1">
        <v>1</v>
      </c>
      <c r="O368" s="3">
        <v>46233.65914210648</v>
      </c>
    </row>
    <row r="369" spans="1:15" x14ac:dyDescent="0.25">
      <c r="A369" s="5" t="s">
        <v>1223</v>
      </c>
      <c r="B369" s="1" t="s">
        <v>7069</v>
      </c>
      <c r="C369" s="1">
        <v>1990</v>
      </c>
      <c r="J369" s="3">
        <v>45357.270462962966</v>
      </c>
      <c r="L369" s="1">
        <v>12</v>
      </c>
      <c r="M369" s="1">
        <v>12</v>
      </c>
      <c r="N369" s="1">
        <v>0</v>
      </c>
      <c r="O369" s="3">
        <v>46233.65914210648</v>
      </c>
    </row>
    <row r="370" spans="1:15" ht="120" x14ac:dyDescent="0.25">
      <c r="A370" s="5" t="s">
        <v>1226</v>
      </c>
      <c r="B370" s="1" t="s">
        <v>7070</v>
      </c>
      <c r="C370" s="1">
        <v>1974</v>
      </c>
      <c r="G370" s="1" t="s">
        <v>10</v>
      </c>
      <c r="J370" s="3">
        <v>45391.489884259259</v>
      </c>
      <c r="K370" s="2" t="s">
        <v>7071</v>
      </c>
      <c r="L370" s="1">
        <v>1</v>
      </c>
      <c r="M370" s="1">
        <v>1</v>
      </c>
      <c r="N370" s="1">
        <v>0</v>
      </c>
      <c r="O370" s="3">
        <v>46233.65914210648</v>
      </c>
    </row>
    <row r="371" spans="1:15" ht="90" x14ac:dyDescent="0.25">
      <c r="A371" s="5" t="s">
        <v>1229</v>
      </c>
      <c r="B371" s="1" t="s">
        <v>7072</v>
      </c>
      <c r="C371" s="1" t="s">
        <v>12</v>
      </c>
      <c r="G371" s="1" t="s">
        <v>10</v>
      </c>
      <c r="J371" s="3">
        <v>45412.458113425928</v>
      </c>
      <c r="K371" s="2" t="s">
        <v>7073</v>
      </c>
      <c r="L371" s="1">
        <v>1</v>
      </c>
      <c r="M371" s="1">
        <v>1</v>
      </c>
      <c r="N371" s="1">
        <v>0</v>
      </c>
      <c r="O371" s="3">
        <v>46233.65914210648</v>
      </c>
    </row>
    <row r="372" spans="1:15" ht="30" x14ac:dyDescent="0.25">
      <c r="A372" s="5" t="s">
        <v>1232</v>
      </c>
      <c r="B372" s="1" t="s">
        <v>7074</v>
      </c>
      <c r="C372" s="1">
        <v>1980</v>
      </c>
      <c r="G372" s="1" t="s">
        <v>11</v>
      </c>
      <c r="J372" s="3">
        <v>45383.62773148148</v>
      </c>
      <c r="K372" s="2" t="s">
        <v>7075</v>
      </c>
      <c r="L372" s="1">
        <v>1</v>
      </c>
      <c r="M372" s="1">
        <v>1</v>
      </c>
      <c r="N372" s="1">
        <v>0</v>
      </c>
      <c r="O372" s="3">
        <v>46233.65914210648</v>
      </c>
    </row>
    <row r="373" spans="1:15" x14ac:dyDescent="0.25">
      <c r="A373" s="5" t="s">
        <v>1238</v>
      </c>
      <c r="B373" s="1" t="s">
        <v>7076</v>
      </c>
      <c r="C373" s="1">
        <v>1987</v>
      </c>
      <c r="G373" s="1" t="s">
        <v>10</v>
      </c>
      <c r="J373" s="3">
        <v>45384.438483796293</v>
      </c>
      <c r="K373" s="2" t="s">
        <v>7077</v>
      </c>
      <c r="L373" s="1">
        <v>2</v>
      </c>
      <c r="M373" s="1">
        <v>2</v>
      </c>
      <c r="N373" s="1">
        <v>0</v>
      </c>
      <c r="O373" s="3">
        <v>46233.65914210648</v>
      </c>
    </row>
    <row r="374" spans="1:15" x14ac:dyDescent="0.25">
      <c r="A374" s="5" t="s">
        <v>1241</v>
      </c>
      <c r="B374" s="1" t="s">
        <v>7078</v>
      </c>
      <c r="C374" s="1" t="s">
        <v>12</v>
      </c>
      <c r="G374" s="1" t="s">
        <v>10</v>
      </c>
      <c r="J374" s="3">
        <v>45387.681041666663</v>
      </c>
      <c r="K374" s="2" t="s">
        <v>7079</v>
      </c>
      <c r="L374" s="1">
        <v>1</v>
      </c>
      <c r="M374" s="1">
        <v>1</v>
      </c>
      <c r="N374" s="1">
        <v>0</v>
      </c>
      <c r="O374" s="3">
        <v>46233.65914210648</v>
      </c>
    </row>
    <row r="375" spans="1:15" x14ac:dyDescent="0.25">
      <c r="A375" s="5" t="s">
        <v>1244</v>
      </c>
      <c r="B375" s="1" t="s">
        <v>7080</v>
      </c>
      <c r="C375" s="1">
        <v>2005</v>
      </c>
      <c r="J375" s="3">
        <v>45356.513877314814</v>
      </c>
      <c r="L375" s="1">
        <v>10</v>
      </c>
      <c r="M375" s="1">
        <v>10</v>
      </c>
      <c r="N375" s="1">
        <v>0</v>
      </c>
      <c r="O375" s="3">
        <v>46233.65914210648</v>
      </c>
    </row>
    <row r="376" spans="1:15" x14ac:dyDescent="0.25">
      <c r="A376" s="5" t="s">
        <v>1247</v>
      </c>
      <c r="B376" s="1" t="s">
        <v>7081</v>
      </c>
      <c r="C376" s="1" t="s">
        <v>12</v>
      </c>
      <c r="G376" s="1" t="s">
        <v>10</v>
      </c>
      <c r="J376" s="3">
        <v>45387.683912037035</v>
      </c>
      <c r="K376" s="2" t="s">
        <v>7082</v>
      </c>
      <c r="L376" s="1">
        <v>1</v>
      </c>
      <c r="M376" s="1">
        <v>1</v>
      </c>
      <c r="N376" s="1">
        <v>0</v>
      </c>
      <c r="O376" s="3">
        <v>46233.65914210648</v>
      </c>
    </row>
    <row r="377" spans="1:15" ht="30" x14ac:dyDescent="0.25">
      <c r="A377" s="5" t="s">
        <v>1250</v>
      </c>
      <c r="B377" s="1" t="s">
        <v>7083</v>
      </c>
      <c r="C377" s="1" t="s">
        <v>12</v>
      </c>
      <c r="G377" s="1" t="s">
        <v>11</v>
      </c>
      <c r="J377" s="3">
        <v>45383.693020833336</v>
      </c>
      <c r="K377" s="2" t="s">
        <v>7084</v>
      </c>
      <c r="L377" s="1">
        <v>2</v>
      </c>
      <c r="M377" s="1">
        <v>2</v>
      </c>
      <c r="N377" s="1">
        <v>0</v>
      </c>
      <c r="O377" s="3">
        <v>46233.65914210648</v>
      </c>
    </row>
    <row r="378" spans="1:15" ht="60" x14ac:dyDescent="0.25">
      <c r="A378" s="5" t="s">
        <v>1253</v>
      </c>
      <c r="B378" s="1" t="s">
        <v>7085</v>
      </c>
      <c r="C378" s="1" t="s">
        <v>12</v>
      </c>
      <c r="G378" s="1" t="s">
        <v>11</v>
      </c>
      <c r="J378" s="3">
        <v>45383.719386574077</v>
      </c>
      <c r="K378" s="2" t="s">
        <v>7086</v>
      </c>
      <c r="L378" s="1">
        <v>1</v>
      </c>
      <c r="M378" s="1">
        <v>1</v>
      </c>
      <c r="N378" s="1">
        <v>0</v>
      </c>
      <c r="O378" s="3">
        <v>46233.65914210648</v>
      </c>
    </row>
    <row r="379" spans="1:15" ht="30" x14ac:dyDescent="0.25">
      <c r="A379" s="5" t="s">
        <v>1256</v>
      </c>
      <c r="B379" s="1" t="s">
        <v>7087</v>
      </c>
      <c r="C379" s="1" t="s">
        <v>12</v>
      </c>
      <c r="G379" s="1" t="s">
        <v>10</v>
      </c>
      <c r="J379" s="3">
        <v>45384.681516203702</v>
      </c>
      <c r="K379" s="2" t="s">
        <v>7088</v>
      </c>
      <c r="L379" s="1">
        <v>1</v>
      </c>
      <c r="M379" s="1">
        <v>1</v>
      </c>
      <c r="N379" s="1">
        <v>0</v>
      </c>
      <c r="O379" s="3">
        <v>46233.65914210648</v>
      </c>
    </row>
    <row r="380" spans="1:15" x14ac:dyDescent="0.25">
      <c r="A380" s="5" t="s">
        <v>1259</v>
      </c>
      <c r="B380" s="1" t="s">
        <v>7089</v>
      </c>
      <c r="C380" s="1">
        <v>2009</v>
      </c>
      <c r="J380" s="3">
        <v>45357.946921296294</v>
      </c>
      <c r="L380" s="1">
        <v>1</v>
      </c>
      <c r="M380" s="1">
        <v>1</v>
      </c>
      <c r="N380" s="1">
        <v>0</v>
      </c>
      <c r="O380" s="3">
        <v>46233.65914210648</v>
      </c>
    </row>
    <row r="381" spans="1:15" ht="165" x14ac:dyDescent="0.25">
      <c r="A381" s="5" t="s">
        <v>1262</v>
      </c>
      <c r="B381" s="1" t="s">
        <v>7091</v>
      </c>
      <c r="G381" s="1" t="s">
        <v>11</v>
      </c>
      <c r="J381" s="3">
        <v>45412.439988425926</v>
      </c>
      <c r="K381" s="2" t="s">
        <v>7092</v>
      </c>
      <c r="L381" s="1">
        <v>0</v>
      </c>
      <c r="M381" s="1">
        <v>0</v>
      </c>
      <c r="N381" s="1">
        <v>0</v>
      </c>
      <c r="O381" s="3">
        <v>46233.65914210648</v>
      </c>
    </row>
    <row r="382" spans="1:15" x14ac:dyDescent="0.25">
      <c r="A382" s="5" t="s">
        <v>1265</v>
      </c>
      <c r="B382" s="1" t="s">
        <v>7093</v>
      </c>
      <c r="C382" s="1">
        <v>2006</v>
      </c>
      <c r="J382" s="3">
        <v>45356.485243055555</v>
      </c>
      <c r="L382" s="1">
        <v>1</v>
      </c>
      <c r="M382" s="1">
        <v>1</v>
      </c>
      <c r="N382" s="1">
        <v>0</v>
      </c>
      <c r="O382" s="3">
        <v>46233.65914210648</v>
      </c>
    </row>
    <row r="383" spans="1:15" x14ac:dyDescent="0.25">
      <c r="A383" s="5" t="s">
        <v>1268</v>
      </c>
      <c r="B383" s="1" t="s">
        <v>7094</v>
      </c>
      <c r="C383" s="1">
        <v>1994</v>
      </c>
      <c r="G383" s="1" t="s">
        <v>11</v>
      </c>
      <c r="J383" s="3">
        <v>45383.804097222222</v>
      </c>
      <c r="K383" s="2" t="s">
        <v>126</v>
      </c>
      <c r="L383" s="1">
        <v>1</v>
      </c>
      <c r="M383" s="1">
        <v>1</v>
      </c>
      <c r="N383" s="1">
        <v>0</v>
      </c>
      <c r="O383" s="3">
        <v>46233.65914210648</v>
      </c>
    </row>
    <row r="384" spans="1:15" x14ac:dyDescent="0.25">
      <c r="A384" s="5" t="s">
        <v>1271</v>
      </c>
      <c r="B384" s="1" t="s">
        <v>7095</v>
      </c>
      <c r="C384" s="1">
        <v>2011</v>
      </c>
      <c r="J384" s="3">
        <v>45356.54446759259</v>
      </c>
      <c r="L384" s="1">
        <v>1</v>
      </c>
      <c r="M384" s="1">
        <v>1</v>
      </c>
      <c r="N384" s="1">
        <v>0</v>
      </c>
      <c r="O384" s="3">
        <v>46233.65914210648</v>
      </c>
    </row>
    <row r="385" spans="1:15" x14ac:dyDescent="0.25">
      <c r="A385" s="5" t="s">
        <v>1274</v>
      </c>
      <c r="B385" s="1" t="s">
        <v>7097</v>
      </c>
      <c r="C385" s="1" t="s">
        <v>12</v>
      </c>
      <c r="G385" s="1" t="s">
        <v>11</v>
      </c>
      <c r="J385" s="3">
        <v>45384.524236111109</v>
      </c>
      <c r="K385" s="2" t="s">
        <v>7098</v>
      </c>
      <c r="L385" s="1">
        <v>1</v>
      </c>
      <c r="M385" s="1">
        <v>1</v>
      </c>
      <c r="N385" s="1">
        <v>0</v>
      </c>
      <c r="O385" s="3">
        <v>46233.65914210648</v>
      </c>
    </row>
    <row r="386" spans="1:15" x14ac:dyDescent="0.25">
      <c r="A386" s="5" t="s">
        <v>1280</v>
      </c>
      <c r="B386" s="1" t="s">
        <v>7099</v>
      </c>
      <c r="C386" s="1" t="s">
        <v>12</v>
      </c>
      <c r="G386" s="1" t="s">
        <v>10</v>
      </c>
      <c r="J386" s="3">
        <v>45383.829074074078</v>
      </c>
      <c r="L386" s="1">
        <v>6</v>
      </c>
      <c r="M386" s="1">
        <v>8</v>
      </c>
      <c r="N386" s="1">
        <v>2</v>
      </c>
      <c r="O386" s="3">
        <v>46233.65914210648</v>
      </c>
    </row>
    <row r="387" spans="1:15" ht="75" x14ac:dyDescent="0.25">
      <c r="A387" s="5" t="s">
        <v>1283</v>
      </c>
      <c r="B387" s="1" t="s">
        <v>7100</v>
      </c>
      <c r="C387" s="1" t="s">
        <v>12</v>
      </c>
      <c r="G387" s="1" t="s">
        <v>11</v>
      </c>
      <c r="J387" s="3">
        <v>45383.937326388892</v>
      </c>
      <c r="K387" s="2" t="s">
        <v>7101</v>
      </c>
      <c r="L387" s="1">
        <v>1</v>
      </c>
      <c r="M387" s="1">
        <v>1</v>
      </c>
      <c r="N387" s="1">
        <v>0</v>
      </c>
      <c r="O387" s="3">
        <v>46233.65914210648</v>
      </c>
    </row>
    <row r="388" spans="1:15" x14ac:dyDescent="0.25">
      <c r="A388" s="5" t="s">
        <v>1286</v>
      </c>
      <c r="B388" s="1" t="s">
        <v>7102</v>
      </c>
      <c r="C388" s="1" t="s">
        <v>12</v>
      </c>
      <c r="G388" s="1" t="s">
        <v>11</v>
      </c>
      <c r="J388" s="3">
        <v>45383.97619212963</v>
      </c>
      <c r="K388" s="2" t="s">
        <v>7103</v>
      </c>
      <c r="L388" s="1">
        <v>1</v>
      </c>
      <c r="M388" s="1">
        <v>1</v>
      </c>
      <c r="N388" s="1">
        <v>0</v>
      </c>
      <c r="O388" s="3">
        <v>46233.65914210648</v>
      </c>
    </row>
    <row r="389" spans="1:15" ht="60" x14ac:dyDescent="0.25">
      <c r="A389" s="5" t="s">
        <v>1298</v>
      </c>
      <c r="B389" s="1" t="s">
        <v>7104</v>
      </c>
      <c r="C389" s="1">
        <v>1952</v>
      </c>
      <c r="G389" s="1" t="s">
        <v>10</v>
      </c>
      <c r="J389" s="3">
        <v>45387.074421296296</v>
      </c>
      <c r="K389" s="2" t="s">
        <v>7105</v>
      </c>
      <c r="L389" s="1">
        <v>1</v>
      </c>
      <c r="M389" s="1">
        <v>4</v>
      </c>
      <c r="N389" s="1">
        <v>3</v>
      </c>
      <c r="O389" s="3">
        <v>46233.65914210648</v>
      </c>
    </row>
    <row r="390" spans="1:15" ht="105" x14ac:dyDescent="0.25">
      <c r="A390" s="5" t="s">
        <v>1301</v>
      </c>
      <c r="B390" s="1" t="s">
        <v>7106</v>
      </c>
      <c r="C390" s="1" t="s">
        <v>12</v>
      </c>
      <c r="J390" s="3">
        <v>45392.423414351855</v>
      </c>
      <c r="K390" s="2" t="s">
        <v>7107</v>
      </c>
      <c r="L390" s="1">
        <v>2</v>
      </c>
      <c r="M390" s="1">
        <v>4</v>
      </c>
      <c r="N390" s="1">
        <v>2</v>
      </c>
      <c r="O390" s="3">
        <v>46233.65914210648</v>
      </c>
    </row>
    <row r="391" spans="1:15" x14ac:dyDescent="0.25">
      <c r="A391" s="5" t="s">
        <v>1304</v>
      </c>
      <c r="B391" s="1" t="s">
        <v>7108</v>
      </c>
      <c r="C391" s="1">
        <v>1936</v>
      </c>
      <c r="G391" s="1" t="s">
        <v>10</v>
      </c>
      <c r="J391" s="3">
        <v>45386.767476851855</v>
      </c>
      <c r="K391" s="2" t="s">
        <v>7109</v>
      </c>
      <c r="L391" s="1">
        <v>3</v>
      </c>
      <c r="M391" s="1">
        <v>3</v>
      </c>
      <c r="N391" s="1">
        <v>0</v>
      </c>
      <c r="O391" s="3">
        <v>46233.65914210648</v>
      </c>
    </row>
    <row r="392" spans="1:15" x14ac:dyDescent="0.25">
      <c r="A392" s="5" t="s">
        <v>1307</v>
      </c>
      <c r="B392" s="1" t="s">
        <v>7110</v>
      </c>
      <c r="C392" s="1">
        <v>2019</v>
      </c>
      <c r="J392" s="3">
        <v>45362.124421296299</v>
      </c>
      <c r="L392" s="1">
        <v>1</v>
      </c>
      <c r="M392" s="1">
        <v>1</v>
      </c>
      <c r="N392" s="1">
        <v>0</v>
      </c>
      <c r="O392" s="3">
        <v>46233.65914210648</v>
      </c>
    </row>
    <row r="393" spans="1:15" ht="45" x14ac:dyDescent="0.25">
      <c r="A393" s="5" t="s">
        <v>1310</v>
      </c>
      <c r="B393" s="1" t="s">
        <v>7111</v>
      </c>
      <c r="C393" s="1" t="s">
        <v>12</v>
      </c>
      <c r="G393" s="1" t="s">
        <v>10</v>
      </c>
      <c r="J393" s="3">
        <v>45406.567048611112</v>
      </c>
      <c r="K393" s="2" t="s">
        <v>7112</v>
      </c>
      <c r="L393" s="1">
        <v>2</v>
      </c>
      <c r="M393" s="1">
        <v>3</v>
      </c>
      <c r="N393" s="1">
        <v>1</v>
      </c>
      <c r="O393" s="3">
        <v>46233.65914210648</v>
      </c>
    </row>
    <row r="394" spans="1:15" x14ac:dyDescent="0.25">
      <c r="A394" s="5" t="s">
        <v>1313</v>
      </c>
      <c r="B394" s="1" t="s">
        <v>7113</v>
      </c>
      <c r="C394" s="1">
        <v>1975</v>
      </c>
      <c r="G394" s="1" t="s">
        <v>11</v>
      </c>
      <c r="J394" s="3">
        <v>45385.378634259258</v>
      </c>
      <c r="K394" s="2" t="s">
        <v>7114</v>
      </c>
      <c r="L394" s="1">
        <v>2</v>
      </c>
      <c r="M394" s="1">
        <v>3</v>
      </c>
      <c r="N394" s="1">
        <v>1</v>
      </c>
      <c r="O394" s="3">
        <v>46233.65914210648</v>
      </c>
    </row>
    <row r="395" spans="1:15" x14ac:dyDescent="0.25">
      <c r="A395" s="5" t="s">
        <v>1316</v>
      </c>
      <c r="B395" s="1" t="s">
        <v>7115</v>
      </c>
      <c r="C395" s="1">
        <v>2014</v>
      </c>
      <c r="J395" s="3">
        <v>45362.318865740737</v>
      </c>
      <c r="L395" s="1">
        <v>1</v>
      </c>
      <c r="M395" s="1">
        <v>1</v>
      </c>
      <c r="N395" s="1">
        <v>0</v>
      </c>
      <c r="O395" s="3">
        <v>46233.65914210648</v>
      </c>
    </row>
    <row r="396" spans="1:15" x14ac:dyDescent="0.25">
      <c r="A396" s="5" t="s">
        <v>1319</v>
      </c>
      <c r="B396" s="1" t="s">
        <v>7116</v>
      </c>
      <c r="C396" s="1" t="s">
        <v>12</v>
      </c>
      <c r="G396" s="1" t="s">
        <v>10</v>
      </c>
      <c r="J396" s="3">
        <v>45385.420335648145</v>
      </c>
      <c r="L396" s="1">
        <v>1</v>
      </c>
      <c r="M396" s="1">
        <v>1</v>
      </c>
      <c r="N396" s="1">
        <v>0</v>
      </c>
      <c r="O396" s="3">
        <v>46233.65914210648</v>
      </c>
    </row>
    <row r="397" spans="1:15" ht="165" x14ac:dyDescent="0.25">
      <c r="A397" s="5" t="s">
        <v>1322</v>
      </c>
      <c r="B397" s="1" t="s">
        <v>7117</v>
      </c>
      <c r="C397" s="1" t="s">
        <v>7004</v>
      </c>
      <c r="G397" s="1" t="s">
        <v>11</v>
      </c>
      <c r="J397" s="3">
        <v>45407.453611111108</v>
      </c>
      <c r="K397" s="2" t="s">
        <v>7118</v>
      </c>
      <c r="L397" s="1">
        <v>1</v>
      </c>
      <c r="M397" s="1">
        <v>1</v>
      </c>
      <c r="N397" s="1">
        <v>0</v>
      </c>
      <c r="O397" s="3">
        <v>46233.65914210648</v>
      </c>
    </row>
    <row r="398" spans="1:15" ht="45" x14ac:dyDescent="0.25">
      <c r="A398" s="5" t="s">
        <v>1325</v>
      </c>
      <c r="B398" s="1" t="s">
        <v>7119</v>
      </c>
      <c r="C398" s="1" t="s">
        <v>12</v>
      </c>
      <c r="G398" s="1" t="s">
        <v>10</v>
      </c>
      <c r="J398" s="3">
        <v>45391.681319444448</v>
      </c>
      <c r="K398" s="2" t="s">
        <v>7120</v>
      </c>
      <c r="L398" s="1">
        <v>2</v>
      </c>
      <c r="M398" s="1">
        <v>5</v>
      </c>
      <c r="N398" s="1">
        <v>3</v>
      </c>
      <c r="O398" s="3">
        <v>46233.65914210648</v>
      </c>
    </row>
    <row r="399" spans="1:15" x14ac:dyDescent="0.25">
      <c r="A399" s="5" t="s">
        <v>1328</v>
      </c>
      <c r="B399" s="1" t="s">
        <v>7121</v>
      </c>
      <c r="C399" s="1">
        <v>1941</v>
      </c>
      <c r="G399" s="1" t="s">
        <v>11</v>
      </c>
      <c r="J399" s="3">
        <v>45392.317430555559</v>
      </c>
      <c r="K399" s="2" t="s">
        <v>7122</v>
      </c>
      <c r="L399" s="1">
        <v>1</v>
      </c>
      <c r="M399" s="1">
        <v>1</v>
      </c>
      <c r="N399" s="1">
        <v>0</v>
      </c>
      <c r="O399" s="3">
        <v>46233.65914210648</v>
      </c>
    </row>
    <row r="400" spans="1:15" ht="90" x14ac:dyDescent="0.25">
      <c r="A400" s="5" t="s">
        <v>1331</v>
      </c>
      <c r="B400" s="1" t="s">
        <v>7123</v>
      </c>
      <c r="C400" s="1">
        <v>1969</v>
      </c>
      <c r="G400" s="1" t="s">
        <v>10</v>
      </c>
      <c r="J400" s="3">
        <v>45407.440196759257</v>
      </c>
      <c r="K400" s="2" t="s">
        <v>7124</v>
      </c>
      <c r="L400" s="1">
        <v>1</v>
      </c>
      <c r="M400" s="1">
        <v>1</v>
      </c>
      <c r="N400" s="1">
        <v>0</v>
      </c>
      <c r="O400" s="3">
        <v>46233.65914210648</v>
      </c>
    </row>
    <row r="401" spans="1:15" ht="30" x14ac:dyDescent="0.25">
      <c r="A401" s="5" t="s">
        <v>1334</v>
      </c>
      <c r="B401" s="1" t="s">
        <v>7125</v>
      </c>
      <c r="C401" s="1" t="s">
        <v>12</v>
      </c>
      <c r="G401" s="1" t="s">
        <v>10</v>
      </c>
      <c r="J401" s="3">
        <v>45390.184108796297</v>
      </c>
      <c r="K401" s="2" t="s">
        <v>7126</v>
      </c>
      <c r="L401" s="1">
        <v>1</v>
      </c>
      <c r="M401" s="1">
        <v>2</v>
      </c>
      <c r="N401" s="1">
        <v>1</v>
      </c>
      <c r="O401" s="3">
        <v>46233.65914210648</v>
      </c>
    </row>
    <row r="402" spans="1:15" x14ac:dyDescent="0.25">
      <c r="A402" s="5" t="s">
        <v>1337</v>
      </c>
      <c r="B402" s="1" t="s">
        <v>7127</v>
      </c>
      <c r="C402" s="1">
        <v>1977</v>
      </c>
      <c r="J402" s="3">
        <v>45366.220208333332</v>
      </c>
      <c r="L402" s="1">
        <v>2</v>
      </c>
      <c r="M402" s="1">
        <v>2</v>
      </c>
      <c r="N402" s="1">
        <v>0</v>
      </c>
      <c r="O402" s="3">
        <v>46233.65914210648</v>
      </c>
    </row>
    <row r="403" spans="1:15" ht="75" x14ac:dyDescent="0.25">
      <c r="A403" s="5" t="s">
        <v>1340</v>
      </c>
      <c r="B403" s="1" t="s">
        <v>7128</v>
      </c>
      <c r="C403" s="1" t="s">
        <v>12</v>
      </c>
      <c r="G403" s="1" t="s">
        <v>10</v>
      </c>
      <c r="J403" s="3">
        <v>45388.409108796295</v>
      </c>
      <c r="K403" s="2" t="s">
        <v>7129</v>
      </c>
      <c r="L403" s="1">
        <v>1</v>
      </c>
      <c r="M403" s="1">
        <v>2</v>
      </c>
      <c r="N403" s="1">
        <v>1</v>
      </c>
      <c r="O403" s="3">
        <v>46233.65914210648</v>
      </c>
    </row>
    <row r="404" spans="1:15" x14ac:dyDescent="0.25">
      <c r="A404" s="5" t="s">
        <v>1343</v>
      </c>
      <c r="B404" s="1" t="s">
        <v>7130</v>
      </c>
      <c r="J404" s="3">
        <v>45363.730590277781</v>
      </c>
      <c r="L404" s="1">
        <v>18</v>
      </c>
      <c r="M404" s="1">
        <v>19</v>
      </c>
      <c r="N404" s="1">
        <v>1</v>
      </c>
      <c r="O404" s="3">
        <v>46233.65914210648</v>
      </c>
    </row>
    <row r="405" spans="1:15" x14ac:dyDescent="0.25">
      <c r="A405" s="5" t="s">
        <v>1346</v>
      </c>
      <c r="B405" s="1" t="s">
        <v>7131</v>
      </c>
      <c r="C405" s="1">
        <v>1966</v>
      </c>
      <c r="G405" s="1" t="s">
        <v>10</v>
      </c>
      <c r="J405" s="3">
        <v>45407.448449074072</v>
      </c>
      <c r="K405" s="2" t="s">
        <v>7132</v>
      </c>
      <c r="L405" s="1">
        <v>1</v>
      </c>
      <c r="M405" s="1">
        <v>1</v>
      </c>
      <c r="N405" s="1">
        <v>0</v>
      </c>
      <c r="O405" s="3">
        <v>46233.65914210648</v>
      </c>
    </row>
    <row r="406" spans="1:15" ht="120" x14ac:dyDescent="0.25">
      <c r="A406" s="5" t="s">
        <v>1349</v>
      </c>
      <c r="B406" s="1" t="s">
        <v>7133</v>
      </c>
      <c r="C406" s="1" t="s">
        <v>12</v>
      </c>
      <c r="G406" s="1" t="s">
        <v>10</v>
      </c>
      <c r="J406" s="3">
        <v>45412.82199074074</v>
      </c>
      <c r="K406" s="2" t="s">
        <v>7134</v>
      </c>
      <c r="L406" s="1">
        <v>2</v>
      </c>
      <c r="M406" s="1">
        <v>3</v>
      </c>
      <c r="N406" s="1">
        <v>1</v>
      </c>
      <c r="O406" s="3">
        <v>46233.65914210648</v>
      </c>
    </row>
    <row r="407" spans="1:15" x14ac:dyDescent="0.25">
      <c r="A407" s="5" t="s">
        <v>1352</v>
      </c>
      <c r="B407" s="1" t="s">
        <v>7135</v>
      </c>
      <c r="C407" s="1">
        <v>1992</v>
      </c>
      <c r="G407" s="1" t="s">
        <v>11</v>
      </c>
      <c r="J407" s="3">
        <v>45390.83966435185</v>
      </c>
      <c r="L407" s="1">
        <v>1</v>
      </c>
      <c r="M407" s="1">
        <v>1</v>
      </c>
      <c r="N407" s="1">
        <v>0</v>
      </c>
      <c r="O407" s="3">
        <v>46233.65914210648</v>
      </c>
    </row>
    <row r="408" spans="1:15" ht="120" x14ac:dyDescent="0.25">
      <c r="A408" s="5" t="s">
        <v>1355</v>
      </c>
      <c r="B408" s="1" t="s">
        <v>7136</v>
      </c>
      <c r="C408" s="1" t="s">
        <v>12</v>
      </c>
      <c r="G408" s="1" t="s">
        <v>11</v>
      </c>
      <c r="J408" s="3">
        <v>45471.442303240743</v>
      </c>
      <c r="K408" s="2" t="s">
        <v>7137</v>
      </c>
      <c r="L408" s="1">
        <v>1</v>
      </c>
      <c r="M408" s="1">
        <v>1</v>
      </c>
      <c r="N408" s="1">
        <v>0</v>
      </c>
      <c r="O408" s="3">
        <v>46233.65914210648</v>
      </c>
    </row>
    <row r="409" spans="1:15" ht="30" x14ac:dyDescent="0.25">
      <c r="A409" s="5" t="s">
        <v>1358</v>
      </c>
      <c r="B409" s="1" t="s">
        <v>7138</v>
      </c>
      <c r="C409" s="1" t="s">
        <v>12</v>
      </c>
      <c r="G409" s="1" t="s">
        <v>10</v>
      </c>
      <c r="J409" s="3">
        <v>45450.43136574074</v>
      </c>
      <c r="K409" s="2" t="s">
        <v>7139</v>
      </c>
      <c r="L409" s="1">
        <v>1</v>
      </c>
      <c r="M409" s="1">
        <v>1</v>
      </c>
      <c r="N409" s="1">
        <v>0</v>
      </c>
      <c r="O409" s="3">
        <v>46233.65914210648</v>
      </c>
    </row>
    <row r="410" spans="1:15" ht="60" x14ac:dyDescent="0.25">
      <c r="A410" s="5" t="s">
        <v>1361</v>
      </c>
      <c r="B410" s="1" t="s">
        <v>7140</v>
      </c>
      <c r="C410" s="1" t="s">
        <v>12</v>
      </c>
      <c r="G410" s="1" t="s">
        <v>11</v>
      </c>
      <c r="J410" s="3">
        <v>45416.810879629629</v>
      </c>
      <c r="K410" s="2" t="s">
        <v>7141</v>
      </c>
      <c r="L410" s="1">
        <v>1</v>
      </c>
      <c r="M410" s="1">
        <v>1</v>
      </c>
      <c r="N410" s="1">
        <v>0</v>
      </c>
      <c r="O410" s="3">
        <v>46233.65914210648</v>
      </c>
    </row>
    <row r="411" spans="1:15" x14ac:dyDescent="0.25">
      <c r="A411" s="5" t="s">
        <v>1364</v>
      </c>
      <c r="B411" s="1" t="s">
        <v>7142</v>
      </c>
      <c r="C411" s="1" t="s">
        <v>12</v>
      </c>
      <c r="G411" s="1" t="s">
        <v>11</v>
      </c>
      <c r="J411" s="3">
        <v>45499.403680555559</v>
      </c>
      <c r="K411" s="2" t="s">
        <v>7143</v>
      </c>
      <c r="L411" s="1">
        <v>1</v>
      </c>
      <c r="M411" s="1">
        <v>2</v>
      </c>
      <c r="N411" s="1">
        <v>1</v>
      </c>
      <c r="O411" s="3">
        <v>46233.65914210648</v>
      </c>
    </row>
    <row r="412" spans="1:15" ht="45" x14ac:dyDescent="0.25">
      <c r="A412" s="5" t="s">
        <v>1367</v>
      </c>
      <c r="B412" s="1" t="s">
        <v>7144</v>
      </c>
      <c r="C412" s="1">
        <v>1946</v>
      </c>
      <c r="G412" s="1" t="s">
        <v>10</v>
      </c>
      <c r="J412" s="3">
        <v>45513.67083333333</v>
      </c>
      <c r="K412" s="2" t="s">
        <v>7145</v>
      </c>
      <c r="L412" s="1">
        <v>1</v>
      </c>
      <c r="M412" s="1">
        <v>1</v>
      </c>
      <c r="N412" s="1">
        <v>0</v>
      </c>
      <c r="O412" s="3">
        <v>46233.65914210648</v>
      </c>
    </row>
    <row r="413" spans="1:15" x14ac:dyDescent="0.25">
      <c r="A413" s="5" t="s">
        <v>1370</v>
      </c>
      <c r="B413" s="1" t="s">
        <v>7146</v>
      </c>
      <c r="C413" s="1">
        <v>1975</v>
      </c>
      <c r="G413" s="1" t="s">
        <v>10</v>
      </c>
      <c r="J413" s="3">
        <v>45415.07472222222</v>
      </c>
      <c r="K413" s="2" t="s">
        <v>130</v>
      </c>
      <c r="L413" s="1">
        <v>9</v>
      </c>
      <c r="M413" s="1">
        <v>9</v>
      </c>
      <c r="N413" s="1">
        <v>0</v>
      </c>
      <c r="O413" s="3">
        <v>46233.65914210648</v>
      </c>
    </row>
    <row r="414" spans="1:15" ht="30" x14ac:dyDescent="0.25">
      <c r="A414" s="5" t="s">
        <v>1376</v>
      </c>
      <c r="B414" s="1" t="s">
        <v>7147</v>
      </c>
      <c r="C414" s="1" t="s">
        <v>12</v>
      </c>
      <c r="G414" s="1" t="s">
        <v>11</v>
      </c>
      <c r="J414" s="3">
        <v>45419.495428240742</v>
      </c>
      <c r="K414" s="2" t="s">
        <v>7148</v>
      </c>
      <c r="L414" s="1">
        <v>0</v>
      </c>
      <c r="M414" s="1">
        <v>0</v>
      </c>
      <c r="N414" s="1">
        <v>0</v>
      </c>
      <c r="O414" s="3">
        <v>46233.65914210648</v>
      </c>
    </row>
    <row r="415" spans="1:15" x14ac:dyDescent="0.25">
      <c r="A415" s="5" t="s">
        <v>1379</v>
      </c>
      <c r="B415" s="1" t="s">
        <v>7149</v>
      </c>
      <c r="C415" s="1" t="s">
        <v>12</v>
      </c>
      <c r="G415" s="1" t="s">
        <v>11</v>
      </c>
      <c r="J415" s="3">
        <v>45457.659513888888</v>
      </c>
      <c r="K415" s="2" t="s">
        <v>7150</v>
      </c>
      <c r="L415" s="1">
        <v>1</v>
      </c>
      <c r="M415" s="1">
        <v>1</v>
      </c>
      <c r="N415" s="1">
        <v>0</v>
      </c>
      <c r="O415" s="3">
        <v>46233.65914210648</v>
      </c>
    </row>
    <row r="416" spans="1:15" ht="105" x14ac:dyDescent="0.25">
      <c r="A416" s="5" t="s">
        <v>1382</v>
      </c>
      <c r="B416" s="1" t="s">
        <v>7151</v>
      </c>
      <c r="C416" s="1">
        <v>1956</v>
      </c>
      <c r="G416" s="1" t="s">
        <v>10</v>
      </c>
      <c r="J416" s="3">
        <v>45471.423761574071</v>
      </c>
      <c r="K416" s="2" t="s">
        <v>7152</v>
      </c>
      <c r="L416" s="1">
        <v>5</v>
      </c>
      <c r="M416" s="1">
        <v>8</v>
      </c>
      <c r="N416" s="1">
        <v>3</v>
      </c>
      <c r="O416" s="3">
        <v>46233.65914210648</v>
      </c>
    </row>
    <row r="417" spans="1:15" ht="60" x14ac:dyDescent="0.25">
      <c r="A417" s="5" t="s">
        <v>1385</v>
      </c>
      <c r="B417" s="1" t="s">
        <v>7153</v>
      </c>
      <c r="C417" s="1" t="s">
        <v>12</v>
      </c>
      <c r="G417" s="1" t="s">
        <v>11</v>
      </c>
      <c r="J417" s="3">
        <v>45416.065069444441</v>
      </c>
      <c r="K417" s="2" t="s">
        <v>7154</v>
      </c>
      <c r="L417" s="1">
        <v>1</v>
      </c>
      <c r="M417" s="1">
        <v>1</v>
      </c>
      <c r="N417" s="1">
        <v>0</v>
      </c>
      <c r="O417" s="3">
        <v>46233.65914210648</v>
      </c>
    </row>
    <row r="418" spans="1:15" x14ac:dyDescent="0.25">
      <c r="A418" s="5" t="s">
        <v>1388</v>
      </c>
      <c r="B418" s="1" t="s">
        <v>7155</v>
      </c>
      <c r="C418" s="1" t="s">
        <v>12</v>
      </c>
      <c r="G418" s="1" t="s">
        <v>10</v>
      </c>
      <c r="J418" s="3">
        <v>45415.416412037041</v>
      </c>
      <c r="K418" s="2" t="s">
        <v>7156</v>
      </c>
      <c r="L418" s="1">
        <v>6</v>
      </c>
      <c r="M418" s="1">
        <v>8</v>
      </c>
      <c r="N418" s="1">
        <v>2</v>
      </c>
      <c r="O418" s="3">
        <v>46233.65914210648</v>
      </c>
    </row>
    <row r="419" spans="1:15" ht="90" x14ac:dyDescent="0.25">
      <c r="A419" s="5" t="s">
        <v>1391</v>
      </c>
      <c r="B419" s="1" t="s">
        <v>7157</v>
      </c>
      <c r="C419" s="1" t="s">
        <v>12</v>
      </c>
      <c r="G419" s="1" t="s">
        <v>10</v>
      </c>
      <c r="J419" s="3">
        <v>45495.516284722224</v>
      </c>
      <c r="K419" s="2" t="s">
        <v>7158</v>
      </c>
      <c r="L419" s="1">
        <v>5</v>
      </c>
      <c r="M419" s="1">
        <v>5</v>
      </c>
      <c r="N419" s="1">
        <v>0</v>
      </c>
      <c r="O419" s="3">
        <v>46233.65914210648</v>
      </c>
    </row>
    <row r="420" spans="1:15" ht="30" x14ac:dyDescent="0.25">
      <c r="A420" s="5" t="s">
        <v>1397</v>
      </c>
      <c r="B420" s="1" t="s">
        <v>7159</v>
      </c>
      <c r="C420" s="1">
        <v>1983</v>
      </c>
      <c r="G420" s="1" t="s">
        <v>11</v>
      </c>
      <c r="J420" s="3">
        <v>45490.578067129631</v>
      </c>
      <c r="K420" s="2" t="s">
        <v>7160</v>
      </c>
      <c r="L420" s="1">
        <v>6</v>
      </c>
      <c r="M420" s="1">
        <v>6</v>
      </c>
      <c r="N420" s="1">
        <v>0</v>
      </c>
      <c r="O420" s="3">
        <v>46233.65914210648</v>
      </c>
    </row>
    <row r="421" spans="1:15" ht="30" x14ac:dyDescent="0.25">
      <c r="A421" s="5" t="s">
        <v>1400</v>
      </c>
      <c r="B421" s="1" t="s">
        <v>7161</v>
      </c>
      <c r="C421" s="1" t="s">
        <v>12</v>
      </c>
      <c r="G421" s="1" t="s">
        <v>11</v>
      </c>
      <c r="J421" s="3">
        <v>45416.077557870369</v>
      </c>
      <c r="K421" s="2" t="s">
        <v>7162</v>
      </c>
      <c r="L421" s="1">
        <v>1</v>
      </c>
      <c r="M421" s="1">
        <v>1</v>
      </c>
      <c r="N421" s="1">
        <v>0</v>
      </c>
      <c r="O421" s="3">
        <v>46233.65914210648</v>
      </c>
    </row>
    <row r="422" spans="1:15" x14ac:dyDescent="0.25">
      <c r="A422" s="5" t="s">
        <v>1403</v>
      </c>
      <c r="B422" s="1" t="s">
        <v>7163</v>
      </c>
      <c r="C422" s="1">
        <v>1898</v>
      </c>
      <c r="J422" s="3">
        <v>45384.096817129626</v>
      </c>
      <c r="L422" s="1">
        <v>1</v>
      </c>
      <c r="M422" s="1">
        <v>1</v>
      </c>
      <c r="N422" s="1">
        <v>0</v>
      </c>
      <c r="O422" s="3">
        <v>46233.65914210648</v>
      </c>
    </row>
    <row r="423" spans="1:15" x14ac:dyDescent="0.25">
      <c r="A423" s="5" t="s">
        <v>1406</v>
      </c>
      <c r="B423" s="1" t="s">
        <v>7165</v>
      </c>
      <c r="C423" s="1" t="s">
        <v>12</v>
      </c>
      <c r="G423" s="1" t="s">
        <v>11</v>
      </c>
      <c r="J423" s="3">
        <v>45415.788645833331</v>
      </c>
      <c r="K423" s="2" t="s">
        <v>162</v>
      </c>
      <c r="L423" s="1">
        <v>12</v>
      </c>
      <c r="M423" s="1">
        <v>18</v>
      </c>
      <c r="N423" s="1">
        <v>6</v>
      </c>
      <c r="O423" s="3">
        <v>46233.65914210648</v>
      </c>
    </row>
    <row r="424" spans="1:15" ht="45" x14ac:dyDescent="0.25">
      <c r="A424" s="5" t="s">
        <v>1409</v>
      </c>
      <c r="B424" s="1" t="s">
        <v>7166</v>
      </c>
      <c r="C424" s="1">
        <v>1949</v>
      </c>
      <c r="G424" s="1" t="s">
        <v>10</v>
      </c>
      <c r="J424" s="3">
        <v>45457.66165509259</v>
      </c>
      <c r="K424" s="2" t="s">
        <v>7167</v>
      </c>
      <c r="L424" s="1">
        <v>1</v>
      </c>
      <c r="M424" s="1">
        <v>1</v>
      </c>
      <c r="N424" s="1">
        <v>0</v>
      </c>
      <c r="O424" s="3">
        <v>46233.65914210648</v>
      </c>
    </row>
    <row r="425" spans="1:15" ht="45" x14ac:dyDescent="0.25">
      <c r="A425" s="5" t="s">
        <v>1412</v>
      </c>
      <c r="B425" s="1" t="s">
        <v>7168</v>
      </c>
      <c r="C425" s="1" t="s">
        <v>152</v>
      </c>
      <c r="G425" s="1" t="s">
        <v>11</v>
      </c>
      <c r="J425" s="3">
        <v>45416.620625000003</v>
      </c>
      <c r="K425" s="2" t="s">
        <v>7169</v>
      </c>
      <c r="L425" s="1">
        <v>6</v>
      </c>
      <c r="M425" s="1">
        <v>11</v>
      </c>
      <c r="N425" s="1">
        <v>5</v>
      </c>
      <c r="O425" s="3">
        <v>46233.65914210648</v>
      </c>
    </row>
    <row r="426" spans="1:15" x14ac:dyDescent="0.25">
      <c r="A426" s="5" t="s">
        <v>1415</v>
      </c>
      <c r="B426" s="1" t="s">
        <v>7170</v>
      </c>
      <c r="C426" s="1">
        <v>1991</v>
      </c>
      <c r="J426" s="3">
        <v>45384.153784722221</v>
      </c>
      <c r="L426" s="1">
        <v>1</v>
      </c>
      <c r="M426" s="1">
        <v>1</v>
      </c>
      <c r="N426" s="1">
        <v>0</v>
      </c>
      <c r="O426" s="3">
        <v>46233.65914210648</v>
      </c>
    </row>
    <row r="427" spans="1:15" ht="75" x14ac:dyDescent="0.25">
      <c r="A427" s="5" t="s">
        <v>1418</v>
      </c>
      <c r="B427" s="1" t="s">
        <v>7171</v>
      </c>
      <c r="C427" s="1">
        <v>1912</v>
      </c>
      <c r="E427" s="1">
        <v>2009</v>
      </c>
      <c r="G427" s="1" t="s">
        <v>10</v>
      </c>
      <c r="J427" s="3">
        <v>45523.474293981482</v>
      </c>
      <c r="K427" s="2" t="s">
        <v>7173</v>
      </c>
      <c r="L427" s="1">
        <v>1</v>
      </c>
      <c r="M427" s="1">
        <v>1</v>
      </c>
      <c r="N427" s="1">
        <v>0</v>
      </c>
      <c r="O427" s="3">
        <v>46233.65914210648</v>
      </c>
    </row>
    <row r="428" spans="1:15" ht="30" x14ac:dyDescent="0.25">
      <c r="A428" s="5" t="s">
        <v>1421</v>
      </c>
      <c r="B428" s="1" t="s">
        <v>7174</v>
      </c>
      <c r="C428" s="1">
        <v>1951</v>
      </c>
      <c r="G428" s="1" t="s">
        <v>10</v>
      </c>
      <c r="J428" s="3">
        <v>45426.395312499997</v>
      </c>
      <c r="K428" s="2" t="s">
        <v>7175</v>
      </c>
      <c r="L428" s="1">
        <v>2</v>
      </c>
      <c r="M428" s="1">
        <v>2</v>
      </c>
      <c r="N428" s="1">
        <v>0</v>
      </c>
      <c r="O428" s="3">
        <v>46233.65914210648</v>
      </c>
    </row>
    <row r="429" spans="1:15" x14ac:dyDescent="0.25">
      <c r="A429" s="5" t="s">
        <v>1424</v>
      </c>
      <c r="B429" s="1" t="s">
        <v>7176</v>
      </c>
      <c r="C429" s="1">
        <v>1853</v>
      </c>
      <c r="J429" s="3">
        <v>45384.385694444441</v>
      </c>
      <c r="L429" s="1">
        <v>2</v>
      </c>
      <c r="M429" s="1">
        <v>3</v>
      </c>
      <c r="N429" s="1">
        <v>1</v>
      </c>
      <c r="O429" s="3">
        <v>46233.65914210648</v>
      </c>
    </row>
    <row r="430" spans="1:15" ht="60" x14ac:dyDescent="0.25">
      <c r="A430" s="5" t="s">
        <v>1427</v>
      </c>
      <c r="B430" s="1" t="s">
        <v>7178</v>
      </c>
      <c r="C430" s="1" t="s">
        <v>12</v>
      </c>
      <c r="G430" s="1" t="s">
        <v>11</v>
      </c>
      <c r="J430" s="3">
        <v>45464.414803240739</v>
      </c>
      <c r="K430" s="2" t="s">
        <v>7179</v>
      </c>
      <c r="L430" s="1">
        <v>1</v>
      </c>
      <c r="M430" s="1">
        <v>1</v>
      </c>
      <c r="N430" s="1">
        <v>0</v>
      </c>
      <c r="O430" s="3">
        <v>46233.65914210648</v>
      </c>
    </row>
    <row r="431" spans="1:15" ht="75" x14ac:dyDescent="0.25">
      <c r="A431" s="5" t="s">
        <v>1430</v>
      </c>
      <c r="B431" s="1" t="s">
        <v>7180</v>
      </c>
      <c r="C431" s="1">
        <v>1964</v>
      </c>
      <c r="G431" s="1" t="s">
        <v>10</v>
      </c>
      <c r="J431" s="3">
        <v>45416.981724537036</v>
      </c>
      <c r="K431" s="2" t="s">
        <v>7181</v>
      </c>
      <c r="L431" s="1">
        <v>57</v>
      </c>
      <c r="M431" s="1">
        <v>63</v>
      </c>
      <c r="N431" s="1">
        <v>6</v>
      </c>
      <c r="O431" s="3">
        <v>46233.65914210648</v>
      </c>
    </row>
    <row r="432" spans="1:15" x14ac:dyDescent="0.25">
      <c r="A432" s="5" t="s">
        <v>1433</v>
      </c>
      <c r="B432" s="1" t="s">
        <v>7182</v>
      </c>
      <c r="C432" s="1">
        <v>2021</v>
      </c>
      <c r="J432" s="3">
        <v>45384.434305555558</v>
      </c>
      <c r="L432" s="1">
        <v>1</v>
      </c>
      <c r="M432" s="1">
        <v>1</v>
      </c>
      <c r="N432" s="1">
        <v>0</v>
      </c>
      <c r="O432" s="3">
        <v>46233.65914210648</v>
      </c>
    </row>
    <row r="433" spans="1:15" ht="105" x14ac:dyDescent="0.25">
      <c r="A433" s="5" t="s">
        <v>1436</v>
      </c>
      <c r="B433" s="1" t="s">
        <v>7183</v>
      </c>
      <c r="C433" s="1" t="s">
        <v>12</v>
      </c>
      <c r="G433" s="1" t="s">
        <v>11</v>
      </c>
      <c r="J433" s="3">
        <v>45441.493923611109</v>
      </c>
      <c r="K433" s="2" t="s">
        <v>7184</v>
      </c>
      <c r="L433" s="1">
        <v>1</v>
      </c>
      <c r="M433" s="1">
        <v>1</v>
      </c>
      <c r="N433" s="1">
        <v>0</v>
      </c>
      <c r="O433" s="3">
        <v>46233.65914210648</v>
      </c>
    </row>
    <row r="434" spans="1:15" ht="45" x14ac:dyDescent="0.25">
      <c r="A434" s="5" t="s">
        <v>1439</v>
      </c>
      <c r="B434" s="1" t="s">
        <v>7185</v>
      </c>
      <c r="C434" s="1">
        <v>1962</v>
      </c>
      <c r="G434" s="1" t="s">
        <v>10</v>
      </c>
      <c r="J434" s="3">
        <v>45414.720613425925</v>
      </c>
      <c r="K434" s="2" t="s">
        <v>7186</v>
      </c>
      <c r="L434" s="1">
        <v>1</v>
      </c>
      <c r="M434" s="1">
        <v>1</v>
      </c>
      <c r="N434" s="1">
        <v>0</v>
      </c>
      <c r="O434" s="3">
        <v>46233.65914210648</v>
      </c>
    </row>
    <row r="435" spans="1:15" ht="45" x14ac:dyDescent="0.25">
      <c r="A435" s="5" t="s">
        <v>1442</v>
      </c>
      <c r="B435" s="1" t="s">
        <v>7187</v>
      </c>
      <c r="C435" s="1" t="s">
        <v>12</v>
      </c>
      <c r="G435" s="1" t="s">
        <v>10</v>
      </c>
      <c r="J435" s="3">
        <v>45560.377604166664</v>
      </c>
      <c r="K435" s="2" t="s">
        <v>7188</v>
      </c>
      <c r="L435" s="1">
        <v>38</v>
      </c>
      <c r="M435" s="1">
        <v>38</v>
      </c>
      <c r="N435" s="1">
        <v>0</v>
      </c>
      <c r="O435" s="3">
        <v>46233.65914210648</v>
      </c>
    </row>
    <row r="436" spans="1:15" ht="30" x14ac:dyDescent="0.25">
      <c r="A436" s="5" t="s">
        <v>1445</v>
      </c>
      <c r="B436" s="1" t="s">
        <v>7189</v>
      </c>
      <c r="C436" s="1" t="s">
        <v>12</v>
      </c>
      <c r="G436" s="1" t="s">
        <v>10</v>
      </c>
      <c r="J436" s="3">
        <v>45416.15116898148</v>
      </c>
      <c r="K436" s="2" t="s">
        <v>7190</v>
      </c>
      <c r="L436" s="1">
        <v>1</v>
      </c>
      <c r="M436" s="1">
        <v>1</v>
      </c>
      <c r="N436" s="1">
        <v>0</v>
      </c>
      <c r="O436" s="3">
        <v>46233.65914210648</v>
      </c>
    </row>
    <row r="437" spans="1:15" ht="75" x14ac:dyDescent="0.25">
      <c r="A437" s="5" t="s">
        <v>1448</v>
      </c>
      <c r="B437" s="1" t="s">
        <v>7191</v>
      </c>
      <c r="C437" s="1" t="s">
        <v>12</v>
      </c>
      <c r="G437" s="1" t="s">
        <v>11</v>
      </c>
      <c r="J437" s="3">
        <v>45490.583541666667</v>
      </c>
      <c r="K437" s="2" t="s">
        <v>7192</v>
      </c>
      <c r="L437" s="1">
        <v>2</v>
      </c>
      <c r="M437" s="1">
        <v>2</v>
      </c>
      <c r="N437" s="1">
        <v>0</v>
      </c>
      <c r="O437" s="3">
        <v>46233.65914210648</v>
      </c>
    </row>
    <row r="438" spans="1:15" ht="195" x14ac:dyDescent="0.25">
      <c r="A438" s="5" t="s">
        <v>1451</v>
      </c>
      <c r="B438" s="1" t="s">
        <v>7193</v>
      </c>
      <c r="G438" s="1" t="s">
        <v>10</v>
      </c>
      <c r="J438" s="3">
        <v>45539.376597222225</v>
      </c>
      <c r="K438" s="2" t="s">
        <v>7194</v>
      </c>
      <c r="L438" s="1">
        <v>6</v>
      </c>
      <c r="M438" s="1">
        <v>9</v>
      </c>
      <c r="N438" s="1">
        <v>3</v>
      </c>
      <c r="O438" s="3">
        <v>46233.65914210648</v>
      </c>
    </row>
    <row r="439" spans="1:15" x14ac:dyDescent="0.25">
      <c r="A439" s="5" t="s">
        <v>1454</v>
      </c>
      <c r="B439" s="1" t="s">
        <v>7195</v>
      </c>
      <c r="C439" s="1">
        <v>2016</v>
      </c>
      <c r="J439" s="3">
        <v>45385.062037037038</v>
      </c>
      <c r="L439" s="1">
        <v>1</v>
      </c>
      <c r="M439" s="1">
        <v>1</v>
      </c>
      <c r="N439" s="1">
        <v>0</v>
      </c>
      <c r="O439" s="3">
        <v>46233.65914210648</v>
      </c>
    </row>
    <row r="440" spans="1:15" ht="75" x14ac:dyDescent="0.25">
      <c r="A440" s="5" t="s">
        <v>1457</v>
      </c>
      <c r="B440" s="1" t="s">
        <v>7196</v>
      </c>
      <c r="G440" s="1" t="s">
        <v>11</v>
      </c>
      <c r="J440" s="3">
        <v>45558.373078703706</v>
      </c>
      <c r="K440" s="2" t="s">
        <v>7197</v>
      </c>
      <c r="L440" s="1">
        <v>1</v>
      </c>
      <c r="M440" s="1">
        <v>1</v>
      </c>
      <c r="N440" s="1">
        <v>0</v>
      </c>
      <c r="O440" s="3">
        <v>46233.65914210648</v>
      </c>
    </row>
    <row r="441" spans="1:15" x14ac:dyDescent="0.25">
      <c r="A441" s="5" t="s">
        <v>1460</v>
      </c>
      <c r="B441" s="1" t="s">
        <v>7198</v>
      </c>
      <c r="C441" s="1" t="s">
        <v>12</v>
      </c>
      <c r="G441" s="1" t="s">
        <v>10</v>
      </c>
      <c r="J441" s="3">
        <v>45415.121898148151</v>
      </c>
      <c r="K441" s="2" t="s">
        <v>150</v>
      </c>
      <c r="L441" s="1">
        <v>9</v>
      </c>
      <c r="M441" s="1">
        <v>9</v>
      </c>
      <c r="N441" s="1">
        <v>0</v>
      </c>
      <c r="O441" s="3">
        <v>46233.65914210648</v>
      </c>
    </row>
    <row r="442" spans="1:15" ht="45" x14ac:dyDescent="0.25">
      <c r="A442" s="5" t="s">
        <v>1463</v>
      </c>
      <c r="B442" s="1" t="s">
        <v>7199</v>
      </c>
      <c r="C442" s="1">
        <v>1967</v>
      </c>
      <c r="G442" s="1" t="s">
        <v>10</v>
      </c>
      <c r="J442" s="3">
        <v>45416.349745370368</v>
      </c>
      <c r="K442" s="2" t="s">
        <v>7200</v>
      </c>
      <c r="L442" s="1">
        <v>5</v>
      </c>
      <c r="M442" s="1">
        <v>5</v>
      </c>
      <c r="N442" s="1">
        <v>0</v>
      </c>
      <c r="O442" s="3">
        <v>46233.65914210648</v>
      </c>
    </row>
    <row r="443" spans="1:15" ht="30" x14ac:dyDescent="0.25">
      <c r="A443" s="5" t="s">
        <v>1466</v>
      </c>
      <c r="B443" s="1" t="s">
        <v>7201</v>
      </c>
      <c r="C443" s="1" t="s">
        <v>12</v>
      </c>
      <c r="G443" s="1" t="s">
        <v>10</v>
      </c>
      <c r="J443" s="3">
        <v>45519.461851851855</v>
      </c>
      <c r="K443" s="2" t="s">
        <v>7202</v>
      </c>
      <c r="L443" s="1">
        <v>1</v>
      </c>
      <c r="M443" s="1">
        <v>1</v>
      </c>
      <c r="N443" s="1">
        <v>0</v>
      </c>
      <c r="O443" s="3">
        <v>46233.65914210648</v>
      </c>
    </row>
    <row r="444" spans="1:15" x14ac:dyDescent="0.25">
      <c r="A444" s="5" t="s">
        <v>1469</v>
      </c>
      <c r="B444" s="1" t="s">
        <v>7203</v>
      </c>
      <c r="C444" s="1" t="s">
        <v>12</v>
      </c>
      <c r="G444" s="1" t="s">
        <v>11</v>
      </c>
      <c r="J444" s="3">
        <v>45412.385509259257</v>
      </c>
      <c r="L444" s="1">
        <v>1</v>
      </c>
      <c r="M444" s="1">
        <v>1</v>
      </c>
      <c r="N444" s="1">
        <v>0</v>
      </c>
      <c r="O444" s="3">
        <v>46233.65914210648</v>
      </c>
    </row>
    <row r="445" spans="1:15" ht="60" x14ac:dyDescent="0.25">
      <c r="A445" s="5" t="s">
        <v>1472</v>
      </c>
      <c r="B445" s="1" t="s">
        <v>7204</v>
      </c>
      <c r="C445" s="1">
        <v>1966</v>
      </c>
      <c r="G445" s="1" t="s">
        <v>10</v>
      </c>
      <c r="J445" s="3">
        <v>45525.582187499997</v>
      </c>
      <c r="K445" s="2" t="s">
        <v>7205</v>
      </c>
      <c r="L445" s="1">
        <v>8</v>
      </c>
      <c r="M445" s="1">
        <v>11</v>
      </c>
      <c r="N445" s="1">
        <v>3</v>
      </c>
      <c r="O445" s="3">
        <v>46233.65914210648</v>
      </c>
    </row>
    <row r="446" spans="1:15" ht="45" x14ac:dyDescent="0.25">
      <c r="A446" s="5" t="s">
        <v>1475</v>
      </c>
      <c r="B446" s="1" t="s">
        <v>7206</v>
      </c>
      <c r="C446" s="1">
        <v>1974</v>
      </c>
      <c r="G446" s="1" t="s">
        <v>11</v>
      </c>
      <c r="J446" s="3">
        <v>45470.420613425929</v>
      </c>
      <c r="K446" s="2" t="s">
        <v>7207</v>
      </c>
      <c r="L446" s="1">
        <v>3</v>
      </c>
      <c r="M446" s="1">
        <v>3</v>
      </c>
      <c r="N446" s="1">
        <v>0</v>
      </c>
      <c r="O446" s="3">
        <v>46233.65914210648</v>
      </c>
    </row>
    <row r="447" spans="1:15" x14ac:dyDescent="0.25">
      <c r="A447" s="5" t="s">
        <v>1478</v>
      </c>
      <c r="B447" s="1" t="s">
        <v>7208</v>
      </c>
      <c r="C447" s="1">
        <v>1951</v>
      </c>
      <c r="G447" s="1" t="s">
        <v>11</v>
      </c>
      <c r="J447" s="3">
        <v>45416.926145833335</v>
      </c>
      <c r="K447" s="2" t="s">
        <v>7209</v>
      </c>
      <c r="L447" s="1">
        <v>3</v>
      </c>
      <c r="M447" s="1">
        <v>3</v>
      </c>
      <c r="N447" s="1">
        <v>0</v>
      </c>
      <c r="O447" s="3">
        <v>46233.65914210648</v>
      </c>
    </row>
    <row r="448" spans="1:15" x14ac:dyDescent="0.25">
      <c r="A448" s="5" t="s">
        <v>1481</v>
      </c>
      <c r="B448" s="1" t="s">
        <v>7210</v>
      </c>
      <c r="C448" s="1">
        <v>2022</v>
      </c>
      <c r="J448" s="3">
        <v>45386.484016203707</v>
      </c>
      <c r="L448" s="1">
        <v>2</v>
      </c>
      <c r="M448" s="1">
        <v>2</v>
      </c>
      <c r="N448" s="1">
        <v>0</v>
      </c>
      <c r="O448" s="3">
        <v>46233.65914210648</v>
      </c>
    </row>
    <row r="449" spans="1:15" x14ac:dyDescent="0.25">
      <c r="A449" s="5" t="s">
        <v>1484</v>
      </c>
      <c r="B449" s="1" t="s">
        <v>7211</v>
      </c>
      <c r="C449" s="1">
        <v>1992</v>
      </c>
      <c r="G449" s="1" t="s">
        <v>11</v>
      </c>
      <c r="J449" s="3">
        <v>45490.683425925927</v>
      </c>
      <c r="K449" s="2" t="s">
        <v>6490</v>
      </c>
      <c r="L449" s="1">
        <v>1</v>
      </c>
      <c r="M449" s="1">
        <v>1</v>
      </c>
      <c r="N449" s="1">
        <v>0</v>
      </c>
      <c r="O449" s="3">
        <v>46233.65914210648</v>
      </c>
    </row>
    <row r="450" spans="1:15" ht="45" x14ac:dyDescent="0.25">
      <c r="A450" s="5" t="s">
        <v>1487</v>
      </c>
      <c r="B450" s="1" t="s">
        <v>7212</v>
      </c>
      <c r="G450" s="1" t="s">
        <v>10</v>
      </c>
      <c r="J450" s="3">
        <v>45415.665520833332</v>
      </c>
      <c r="K450" s="2" t="s">
        <v>7213</v>
      </c>
      <c r="L450" s="1">
        <v>1</v>
      </c>
      <c r="M450" s="1">
        <v>1</v>
      </c>
      <c r="N450" s="1">
        <v>0</v>
      </c>
      <c r="O450" s="3">
        <v>46233.65914210648</v>
      </c>
    </row>
    <row r="451" spans="1:15" x14ac:dyDescent="0.25">
      <c r="A451" s="5" t="s">
        <v>1493</v>
      </c>
      <c r="B451" s="1" t="s">
        <v>7214</v>
      </c>
      <c r="C451" s="1">
        <v>1908</v>
      </c>
      <c r="J451" s="3">
        <v>45386.563321759262</v>
      </c>
      <c r="L451" s="1">
        <v>2</v>
      </c>
      <c r="M451" s="1">
        <v>2</v>
      </c>
      <c r="N451" s="1">
        <v>0</v>
      </c>
      <c r="O451" s="3">
        <v>46233.65914210648</v>
      </c>
    </row>
    <row r="452" spans="1:15" x14ac:dyDescent="0.25">
      <c r="A452" s="5" t="s">
        <v>1496</v>
      </c>
      <c r="B452" s="1" t="s">
        <v>7215</v>
      </c>
      <c r="C452" s="1" t="s">
        <v>12</v>
      </c>
      <c r="G452" s="1" t="s">
        <v>10</v>
      </c>
      <c r="J452" s="3">
        <v>45422.576550925929</v>
      </c>
      <c r="K452" s="2" t="s">
        <v>6438</v>
      </c>
      <c r="L452" s="1">
        <v>1</v>
      </c>
      <c r="M452" s="1">
        <v>1</v>
      </c>
      <c r="N452" s="1">
        <v>0</v>
      </c>
      <c r="O452" s="3">
        <v>46233.65914210648</v>
      </c>
    </row>
    <row r="453" spans="1:15" ht="75" x14ac:dyDescent="0.25">
      <c r="A453" s="5" t="s">
        <v>1502</v>
      </c>
      <c r="B453" s="1" t="s">
        <v>7216</v>
      </c>
      <c r="C453" s="1" t="s">
        <v>12</v>
      </c>
      <c r="G453" s="1" t="s">
        <v>10</v>
      </c>
      <c r="J453" s="3">
        <v>45416.174756944441</v>
      </c>
      <c r="K453" s="2" t="s">
        <v>7217</v>
      </c>
      <c r="L453" s="1">
        <v>2</v>
      </c>
      <c r="M453" s="1">
        <v>2</v>
      </c>
      <c r="N453" s="1">
        <v>0</v>
      </c>
      <c r="O453" s="3">
        <v>46233.65914210648</v>
      </c>
    </row>
    <row r="454" spans="1:15" ht="45" x14ac:dyDescent="0.25">
      <c r="A454" s="5" t="s">
        <v>1505</v>
      </c>
      <c r="B454" s="1" t="s">
        <v>7218</v>
      </c>
      <c r="C454" s="1">
        <v>2004</v>
      </c>
      <c r="G454" s="1" t="s">
        <v>10</v>
      </c>
      <c r="J454" s="3">
        <v>45416.119189814817</v>
      </c>
      <c r="K454" s="2" t="s">
        <v>7220</v>
      </c>
      <c r="L454" s="1">
        <v>1</v>
      </c>
      <c r="M454" s="1">
        <v>1</v>
      </c>
      <c r="N454" s="1">
        <v>0</v>
      </c>
      <c r="O454" s="3">
        <v>46233.65914210648</v>
      </c>
    </row>
    <row r="455" spans="1:15" x14ac:dyDescent="0.25">
      <c r="A455" s="5" t="s">
        <v>1508</v>
      </c>
      <c r="B455" s="1" t="s">
        <v>7221</v>
      </c>
      <c r="C455" s="1" t="s">
        <v>12</v>
      </c>
      <c r="G455" s="1" t="s">
        <v>11</v>
      </c>
      <c r="J455" s="3">
        <v>45412.903923611113</v>
      </c>
      <c r="L455" s="1">
        <v>1</v>
      </c>
      <c r="M455" s="1">
        <v>1</v>
      </c>
      <c r="N455" s="1">
        <v>0</v>
      </c>
      <c r="O455" s="3">
        <v>46233.65914210648</v>
      </c>
    </row>
    <row r="456" spans="1:15" x14ac:dyDescent="0.25">
      <c r="A456" s="5" t="s">
        <v>1511</v>
      </c>
      <c r="B456" s="1" t="s">
        <v>7222</v>
      </c>
      <c r="C456" s="1">
        <v>1993</v>
      </c>
      <c r="G456" s="1" t="s">
        <v>11</v>
      </c>
      <c r="J456" s="3">
        <v>45468.678043981483</v>
      </c>
      <c r="K456" s="2" t="s">
        <v>7223</v>
      </c>
      <c r="L456" s="1">
        <v>2</v>
      </c>
      <c r="M456" s="1">
        <v>2</v>
      </c>
      <c r="N456" s="1">
        <v>0</v>
      </c>
      <c r="O456" s="3">
        <v>46233.65914210648</v>
      </c>
    </row>
    <row r="457" spans="1:15" x14ac:dyDescent="0.25">
      <c r="A457" s="5" t="s">
        <v>1514</v>
      </c>
      <c r="B457" s="1" t="s">
        <v>7224</v>
      </c>
      <c r="C457" s="1" t="s">
        <v>12</v>
      </c>
      <c r="G457" s="1" t="s">
        <v>11</v>
      </c>
      <c r="J457" s="3">
        <v>45416.415034722224</v>
      </c>
      <c r="K457" s="2" t="s">
        <v>7225</v>
      </c>
      <c r="L457" s="1">
        <v>2</v>
      </c>
      <c r="M457" s="1">
        <v>2</v>
      </c>
      <c r="N457" s="1">
        <v>0</v>
      </c>
      <c r="O457" s="3">
        <v>46233.65914210648</v>
      </c>
    </row>
    <row r="458" spans="1:15" x14ac:dyDescent="0.25">
      <c r="A458" s="5" t="s">
        <v>1517</v>
      </c>
      <c r="B458" s="1" t="s">
        <v>7226</v>
      </c>
      <c r="J458" s="3">
        <v>45386.487662037034</v>
      </c>
      <c r="L458" s="1">
        <v>1</v>
      </c>
      <c r="M458" s="1">
        <v>1</v>
      </c>
      <c r="N458" s="1">
        <v>0</v>
      </c>
      <c r="O458" s="3">
        <v>46233.65914210648</v>
      </c>
    </row>
    <row r="459" spans="1:15" ht="30" x14ac:dyDescent="0.25">
      <c r="A459" s="5" t="s">
        <v>1520</v>
      </c>
      <c r="B459" s="1" t="s">
        <v>7227</v>
      </c>
      <c r="C459" s="1" t="s">
        <v>12</v>
      </c>
      <c r="G459" s="1" t="s">
        <v>10</v>
      </c>
      <c r="J459" s="3">
        <v>45447.388113425928</v>
      </c>
      <c r="K459" s="2" t="s">
        <v>7228</v>
      </c>
      <c r="L459" s="1">
        <v>1</v>
      </c>
      <c r="M459" s="1">
        <v>1</v>
      </c>
      <c r="N459" s="1">
        <v>0</v>
      </c>
      <c r="O459" s="3">
        <v>46233.65914210648</v>
      </c>
    </row>
    <row r="460" spans="1:15" x14ac:dyDescent="0.25">
      <c r="A460" s="5" t="s">
        <v>1523</v>
      </c>
      <c r="B460" s="1" t="s">
        <v>7229</v>
      </c>
      <c r="C460" s="1" t="s">
        <v>6554</v>
      </c>
      <c r="G460" s="1" t="s">
        <v>11</v>
      </c>
      <c r="J460" s="3">
        <v>45413.196956018517</v>
      </c>
      <c r="L460" s="1">
        <v>1</v>
      </c>
      <c r="M460" s="1">
        <v>1</v>
      </c>
      <c r="N460" s="1">
        <v>0</v>
      </c>
      <c r="O460" s="3">
        <v>46233.65914210648</v>
      </c>
    </row>
    <row r="461" spans="1:15" x14ac:dyDescent="0.25">
      <c r="A461" s="5" t="s">
        <v>1526</v>
      </c>
      <c r="B461" s="1" t="s">
        <v>7230</v>
      </c>
      <c r="C461" s="1">
        <v>1974</v>
      </c>
      <c r="G461" s="1" t="s">
        <v>10</v>
      </c>
      <c r="J461" s="3">
        <v>45457.33084490741</v>
      </c>
      <c r="K461" s="2" t="s">
        <v>7231</v>
      </c>
      <c r="L461" s="1">
        <v>1</v>
      </c>
      <c r="M461" s="1">
        <v>1</v>
      </c>
      <c r="N461" s="1">
        <v>0</v>
      </c>
      <c r="O461" s="3">
        <v>46233.65914210648</v>
      </c>
    </row>
    <row r="462" spans="1:15" ht="45" x14ac:dyDescent="0.25">
      <c r="A462" s="5" t="s">
        <v>1529</v>
      </c>
      <c r="B462" s="1" t="s">
        <v>7232</v>
      </c>
      <c r="C462" s="1">
        <v>1985</v>
      </c>
      <c r="J462" s="3">
        <v>45574.326273148145</v>
      </c>
      <c r="K462" s="2" t="s">
        <v>7233</v>
      </c>
      <c r="L462" s="1">
        <v>3</v>
      </c>
      <c r="M462" s="1">
        <v>8</v>
      </c>
      <c r="N462" s="1">
        <v>5</v>
      </c>
      <c r="O462" s="3">
        <v>46233.65914210648</v>
      </c>
    </row>
    <row r="463" spans="1:15" x14ac:dyDescent="0.25">
      <c r="A463" s="5" t="s">
        <v>1532</v>
      </c>
      <c r="B463" s="1" t="s">
        <v>7234</v>
      </c>
      <c r="C463" s="1">
        <v>1972</v>
      </c>
      <c r="G463" s="1" t="s">
        <v>11</v>
      </c>
      <c r="J463" s="3">
        <v>45414.919189814813</v>
      </c>
      <c r="K463" s="2" t="s">
        <v>6781</v>
      </c>
      <c r="L463" s="1">
        <v>6</v>
      </c>
      <c r="M463" s="1">
        <v>6</v>
      </c>
      <c r="N463" s="1">
        <v>0</v>
      </c>
      <c r="O463" s="3">
        <v>46233.65914210648</v>
      </c>
    </row>
    <row r="464" spans="1:15" ht="45" x14ac:dyDescent="0.25">
      <c r="A464" s="5" t="s">
        <v>1535</v>
      </c>
      <c r="B464" s="1" t="s">
        <v>7235</v>
      </c>
      <c r="C464" s="1">
        <v>1992</v>
      </c>
      <c r="G464" s="1" t="s">
        <v>10</v>
      </c>
      <c r="J464" s="3">
        <v>45415.816446759258</v>
      </c>
      <c r="K464" s="2" t="s">
        <v>7236</v>
      </c>
      <c r="L464" s="1">
        <v>1</v>
      </c>
      <c r="M464" s="1">
        <v>3</v>
      </c>
      <c r="N464" s="1">
        <v>2</v>
      </c>
      <c r="O464" s="3">
        <v>46233.65914210648</v>
      </c>
    </row>
    <row r="465" spans="1:15" ht="120" x14ac:dyDescent="0.25">
      <c r="A465" s="5" t="s">
        <v>1538</v>
      </c>
      <c r="B465" s="1" t="s">
        <v>7237</v>
      </c>
      <c r="C465" s="1" t="s">
        <v>12</v>
      </c>
      <c r="G465" s="1" t="s">
        <v>10</v>
      </c>
      <c r="J465" s="3">
        <v>45414.470439814817</v>
      </c>
      <c r="K465" s="2" t="s">
        <v>7238</v>
      </c>
      <c r="L465" s="1">
        <v>1</v>
      </c>
      <c r="M465" s="1">
        <v>1</v>
      </c>
      <c r="N465" s="1">
        <v>0</v>
      </c>
      <c r="O465" s="3">
        <v>46233.65914210648</v>
      </c>
    </row>
    <row r="466" spans="1:15" ht="60" x14ac:dyDescent="0.25">
      <c r="A466" s="5" t="s">
        <v>1541</v>
      </c>
      <c r="B466" s="1" t="s">
        <v>7239</v>
      </c>
      <c r="C466" s="1" t="s">
        <v>12</v>
      </c>
      <c r="G466" s="1" t="s">
        <v>10</v>
      </c>
      <c r="J466" s="3">
        <v>45450.435914351852</v>
      </c>
      <c r="K466" s="2" t="s">
        <v>7240</v>
      </c>
      <c r="L466" s="1">
        <v>1</v>
      </c>
      <c r="M466" s="1">
        <v>1</v>
      </c>
      <c r="N466" s="1">
        <v>0</v>
      </c>
      <c r="O466" s="3">
        <v>46233.65914210648</v>
      </c>
    </row>
    <row r="467" spans="1:15" ht="60" x14ac:dyDescent="0.25">
      <c r="A467" s="5" t="s">
        <v>1544</v>
      </c>
      <c r="B467" s="1" t="s">
        <v>7241</v>
      </c>
      <c r="C467" s="1">
        <v>1965</v>
      </c>
      <c r="G467" s="1" t="s">
        <v>10</v>
      </c>
      <c r="J467" s="3">
        <v>45414.816435185188</v>
      </c>
      <c r="K467" s="2" t="s">
        <v>7242</v>
      </c>
      <c r="L467" s="1">
        <v>3</v>
      </c>
      <c r="M467" s="1">
        <v>3</v>
      </c>
      <c r="N467" s="1">
        <v>0</v>
      </c>
      <c r="O467" s="3">
        <v>46233.65914210648</v>
      </c>
    </row>
    <row r="468" spans="1:15" ht="45" x14ac:dyDescent="0.25">
      <c r="A468" s="5" t="s">
        <v>1547</v>
      </c>
      <c r="B468" s="1" t="s">
        <v>7243</v>
      </c>
      <c r="G468" s="1" t="s">
        <v>11</v>
      </c>
      <c r="J468" s="3">
        <v>45471.423182870371</v>
      </c>
      <c r="K468" s="2" t="s">
        <v>7244</v>
      </c>
      <c r="L468" s="1">
        <v>2</v>
      </c>
      <c r="M468" s="1">
        <v>8</v>
      </c>
      <c r="N468" s="1">
        <v>6</v>
      </c>
      <c r="O468" s="3">
        <v>46233.65914210648</v>
      </c>
    </row>
    <row r="469" spans="1:15" ht="90" x14ac:dyDescent="0.25">
      <c r="A469" s="5" t="s">
        <v>1550</v>
      </c>
      <c r="B469" s="1" t="s">
        <v>7245</v>
      </c>
      <c r="C469" s="1">
        <v>1981</v>
      </c>
      <c r="E469" s="1">
        <v>2021</v>
      </c>
      <c r="G469" s="1" t="s">
        <v>11</v>
      </c>
      <c r="J469" s="3">
        <v>45560.489872685182</v>
      </c>
      <c r="K469" s="2" t="s">
        <v>7246</v>
      </c>
      <c r="L469" s="1">
        <v>1</v>
      </c>
      <c r="M469" s="1">
        <v>1</v>
      </c>
      <c r="N469" s="1">
        <v>0</v>
      </c>
      <c r="O469" s="3">
        <v>46233.65914210648</v>
      </c>
    </row>
    <row r="470" spans="1:15" x14ac:dyDescent="0.25">
      <c r="A470" s="5" t="s">
        <v>1553</v>
      </c>
      <c r="B470" s="1" t="s">
        <v>7247</v>
      </c>
      <c r="C470" s="1" t="s">
        <v>12</v>
      </c>
      <c r="G470" s="1" t="s">
        <v>10</v>
      </c>
      <c r="J470" s="3">
        <v>45414.849756944444</v>
      </c>
      <c r="K470" s="2" t="s">
        <v>7248</v>
      </c>
      <c r="L470" s="1">
        <v>2</v>
      </c>
      <c r="M470" s="1">
        <v>2</v>
      </c>
      <c r="N470" s="1">
        <v>0</v>
      </c>
      <c r="O470" s="3">
        <v>46233.65914210648</v>
      </c>
    </row>
    <row r="471" spans="1:15" ht="90" x14ac:dyDescent="0.25">
      <c r="A471" s="5" t="s">
        <v>1556</v>
      </c>
      <c r="B471" s="1" t="s">
        <v>7249</v>
      </c>
      <c r="C471" s="1">
        <v>1990</v>
      </c>
      <c r="G471" s="1" t="s">
        <v>11</v>
      </c>
      <c r="J471" s="3">
        <v>45415.332962962966</v>
      </c>
      <c r="K471" s="2" t="s">
        <v>7250</v>
      </c>
      <c r="L471" s="1">
        <v>1</v>
      </c>
      <c r="M471" s="1">
        <v>1</v>
      </c>
      <c r="N471" s="1">
        <v>0</v>
      </c>
      <c r="O471" s="3">
        <v>46233.65914210648</v>
      </c>
    </row>
    <row r="472" spans="1:15" x14ac:dyDescent="0.25">
      <c r="A472" s="5" t="s">
        <v>1559</v>
      </c>
      <c r="B472" s="1" t="s">
        <v>7251</v>
      </c>
      <c r="C472" s="1">
        <v>1962</v>
      </c>
      <c r="G472" s="1" t="s">
        <v>10</v>
      </c>
      <c r="J472" s="3">
        <v>45414.858113425929</v>
      </c>
      <c r="K472" s="2" t="s">
        <v>7252</v>
      </c>
      <c r="L472" s="1">
        <v>1</v>
      </c>
      <c r="M472" s="1">
        <v>1</v>
      </c>
      <c r="N472" s="1">
        <v>0</v>
      </c>
      <c r="O472" s="3">
        <v>46233.65914210648</v>
      </c>
    </row>
    <row r="473" spans="1:15" ht="75" x14ac:dyDescent="0.25">
      <c r="A473" s="5" t="s">
        <v>1562</v>
      </c>
      <c r="B473" s="1" t="s">
        <v>7253</v>
      </c>
      <c r="C473" s="1" t="s">
        <v>12</v>
      </c>
      <c r="G473" s="1" t="s">
        <v>11</v>
      </c>
      <c r="J473" s="3">
        <v>45560.597129629627</v>
      </c>
      <c r="K473" s="2" t="s">
        <v>7254</v>
      </c>
      <c r="L473" s="1">
        <v>1</v>
      </c>
      <c r="M473" s="1">
        <v>1</v>
      </c>
      <c r="N473" s="1">
        <v>0</v>
      </c>
      <c r="O473" s="3">
        <v>46233.65914210648</v>
      </c>
    </row>
    <row r="474" spans="1:15" ht="90" x14ac:dyDescent="0.25">
      <c r="A474" s="5" t="s">
        <v>1565</v>
      </c>
      <c r="B474" s="1" t="s">
        <v>7255</v>
      </c>
      <c r="C474" s="1" t="s">
        <v>12</v>
      </c>
      <c r="G474" s="1" t="s">
        <v>11</v>
      </c>
      <c r="J474" s="3">
        <v>45414.877337962964</v>
      </c>
      <c r="K474" s="2" t="s">
        <v>7256</v>
      </c>
      <c r="L474" s="1">
        <v>1</v>
      </c>
      <c r="M474" s="1">
        <v>1</v>
      </c>
      <c r="N474" s="1">
        <v>0</v>
      </c>
      <c r="O474" s="3">
        <v>46233.65914210648</v>
      </c>
    </row>
    <row r="475" spans="1:15" ht="75" x14ac:dyDescent="0.25">
      <c r="A475" s="5" t="s">
        <v>1568</v>
      </c>
      <c r="B475" s="1" t="s">
        <v>7257</v>
      </c>
      <c r="C475" s="1">
        <v>1990</v>
      </c>
      <c r="J475" s="3">
        <v>45520.531087962961</v>
      </c>
      <c r="K475" s="2" t="s">
        <v>7258</v>
      </c>
      <c r="L475" s="1">
        <v>4</v>
      </c>
      <c r="M475" s="1">
        <v>5</v>
      </c>
      <c r="N475" s="1">
        <v>1</v>
      </c>
      <c r="O475" s="3">
        <v>46233.65914210648</v>
      </c>
    </row>
    <row r="476" spans="1:15" x14ac:dyDescent="0.25">
      <c r="A476" s="5" t="s">
        <v>1571</v>
      </c>
      <c r="B476" s="1" t="s">
        <v>7259</v>
      </c>
      <c r="C476" s="1" t="s">
        <v>12</v>
      </c>
      <c r="G476" s="1" t="s">
        <v>10</v>
      </c>
      <c r="J476" s="3">
        <v>45414.903958333336</v>
      </c>
      <c r="L476" s="1">
        <v>5</v>
      </c>
      <c r="M476" s="1">
        <v>5</v>
      </c>
      <c r="N476" s="1">
        <v>0</v>
      </c>
      <c r="O476" s="3">
        <v>46233.65914210648</v>
      </c>
    </row>
    <row r="477" spans="1:15" x14ac:dyDescent="0.25">
      <c r="A477" s="5" t="s">
        <v>1577</v>
      </c>
      <c r="B477" s="1" t="s">
        <v>7260</v>
      </c>
      <c r="C477" s="1">
        <v>1892</v>
      </c>
      <c r="J477" s="3">
        <v>45397.628796296296</v>
      </c>
      <c r="L477" s="1">
        <v>8</v>
      </c>
      <c r="M477" s="1">
        <v>8</v>
      </c>
      <c r="N477" s="1">
        <v>0</v>
      </c>
      <c r="O477" s="3">
        <v>46233.65914210648</v>
      </c>
    </row>
    <row r="478" spans="1:15" ht="225" x14ac:dyDescent="0.25">
      <c r="A478" s="5" t="s">
        <v>1583</v>
      </c>
      <c r="B478" s="1" t="s">
        <v>7261</v>
      </c>
      <c r="C478" s="1" t="s">
        <v>12</v>
      </c>
      <c r="G478" s="1" t="s">
        <v>11</v>
      </c>
      <c r="J478" s="3">
        <v>45414.944189814814</v>
      </c>
      <c r="K478" s="2" t="s">
        <v>7262</v>
      </c>
      <c r="L478" s="1">
        <v>1</v>
      </c>
      <c r="M478" s="1">
        <v>1</v>
      </c>
      <c r="N478" s="1">
        <v>0</v>
      </c>
      <c r="O478" s="3">
        <v>46233.65914210648</v>
      </c>
    </row>
    <row r="479" spans="1:15" x14ac:dyDescent="0.25">
      <c r="A479" s="5" t="s">
        <v>1586</v>
      </c>
      <c r="B479" s="1" t="s">
        <v>7263</v>
      </c>
      <c r="C479" s="1" t="s">
        <v>12</v>
      </c>
      <c r="G479" s="1" t="s">
        <v>10</v>
      </c>
      <c r="J479" s="3">
        <v>45415.490081018521</v>
      </c>
      <c r="K479" s="2" t="s">
        <v>6438</v>
      </c>
      <c r="L479" s="1">
        <v>1</v>
      </c>
      <c r="M479" s="1">
        <v>1</v>
      </c>
      <c r="N479" s="1">
        <v>0</v>
      </c>
      <c r="O479" s="3">
        <v>46233.65914210648</v>
      </c>
    </row>
    <row r="480" spans="1:15" x14ac:dyDescent="0.25">
      <c r="A480" s="5" t="s">
        <v>1589</v>
      </c>
      <c r="B480" s="1" t="s">
        <v>7264</v>
      </c>
      <c r="C480" s="1">
        <v>2024</v>
      </c>
      <c r="J480" s="3">
        <v>45397.629074074073</v>
      </c>
      <c r="L480" s="1">
        <v>1</v>
      </c>
      <c r="M480" s="1">
        <v>1</v>
      </c>
      <c r="N480" s="1">
        <v>0</v>
      </c>
      <c r="O480" s="3">
        <v>46233.65914210648</v>
      </c>
    </row>
    <row r="481" spans="1:15" ht="60" x14ac:dyDescent="0.25">
      <c r="A481" s="5" t="s">
        <v>1592</v>
      </c>
      <c r="B481" s="1" t="s">
        <v>7265</v>
      </c>
      <c r="C481" s="1">
        <v>1978</v>
      </c>
      <c r="G481" s="1" t="s">
        <v>10</v>
      </c>
      <c r="J481" s="3">
        <v>45574.617696759262</v>
      </c>
      <c r="K481" s="2" t="s">
        <v>7266</v>
      </c>
      <c r="L481" s="1">
        <v>4</v>
      </c>
      <c r="M481" s="1">
        <v>4</v>
      </c>
      <c r="N481" s="1">
        <v>0</v>
      </c>
      <c r="O481" s="3">
        <v>46233.65914210648</v>
      </c>
    </row>
    <row r="482" spans="1:15" ht="30" x14ac:dyDescent="0.25">
      <c r="A482" s="5" t="s">
        <v>1595</v>
      </c>
      <c r="B482" s="1" t="s">
        <v>7267</v>
      </c>
      <c r="C482" s="1">
        <v>1972</v>
      </c>
      <c r="G482" s="1" t="s">
        <v>10</v>
      </c>
      <c r="J482" s="3">
        <v>45414.945636574077</v>
      </c>
      <c r="K482" s="2" t="s">
        <v>7268</v>
      </c>
      <c r="L482" s="1">
        <v>7</v>
      </c>
      <c r="M482" s="1">
        <v>9</v>
      </c>
      <c r="N482" s="1">
        <v>2</v>
      </c>
      <c r="O482" s="3">
        <v>46233.65914210648</v>
      </c>
    </row>
    <row r="483" spans="1:15" x14ac:dyDescent="0.25">
      <c r="A483" s="5" t="s">
        <v>1598</v>
      </c>
      <c r="B483" s="1" t="s">
        <v>7269</v>
      </c>
      <c r="C483" s="1" t="s">
        <v>12</v>
      </c>
      <c r="G483" s="1" t="s">
        <v>11</v>
      </c>
      <c r="J483" s="3">
        <v>45485.475451388891</v>
      </c>
      <c r="K483" s="2" t="s">
        <v>7270</v>
      </c>
      <c r="L483" s="1">
        <v>1</v>
      </c>
      <c r="M483" s="1">
        <v>1</v>
      </c>
      <c r="N483" s="1">
        <v>0</v>
      </c>
      <c r="O483" s="3">
        <v>46233.65914210648</v>
      </c>
    </row>
    <row r="484" spans="1:15" x14ac:dyDescent="0.25">
      <c r="A484" s="5" t="s">
        <v>1601</v>
      </c>
      <c r="B484" s="1" t="s">
        <v>7271</v>
      </c>
      <c r="C484" s="1">
        <v>1933</v>
      </c>
      <c r="J484" s="3">
        <v>45397.629988425928</v>
      </c>
      <c r="L484" s="1">
        <v>2</v>
      </c>
      <c r="M484" s="1">
        <v>2</v>
      </c>
      <c r="N484" s="1">
        <v>0</v>
      </c>
      <c r="O484" s="3">
        <v>46233.65914210648</v>
      </c>
    </row>
    <row r="485" spans="1:15" ht="60" x14ac:dyDescent="0.25">
      <c r="A485" s="5" t="s">
        <v>1604</v>
      </c>
      <c r="B485" s="1" t="s">
        <v>7273</v>
      </c>
      <c r="C485" s="1">
        <v>1977</v>
      </c>
      <c r="G485" s="1" t="s">
        <v>10</v>
      </c>
      <c r="J485" s="3">
        <v>45551.694976851853</v>
      </c>
      <c r="K485" s="2" t="s">
        <v>7274</v>
      </c>
      <c r="L485" s="1">
        <v>1</v>
      </c>
      <c r="M485" s="1">
        <v>1</v>
      </c>
      <c r="N485" s="1">
        <v>0</v>
      </c>
      <c r="O485" s="3">
        <v>46233.65914210648</v>
      </c>
    </row>
    <row r="486" spans="1:15" ht="60" x14ac:dyDescent="0.25">
      <c r="A486" s="5" t="s">
        <v>1607</v>
      </c>
      <c r="B486" s="1" t="s">
        <v>7275</v>
      </c>
      <c r="C486" s="1">
        <v>1958</v>
      </c>
      <c r="G486" s="1" t="s">
        <v>10</v>
      </c>
      <c r="J486" s="3">
        <v>45484.435717592591</v>
      </c>
      <c r="K486" s="2" t="s">
        <v>7276</v>
      </c>
      <c r="L486" s="1">
        <v>1</v>
      </c>
      <c r="M486" s="1">
        <v>2</v>
      </c>
      <c r="N486" s="1">
        <v>1</v>
      </c>
      <c r="O486" s="3">
        <v>46233.65914210648</v>
      </c>
    </row>
    <row r="487" spans="1:15" ht="45" x14ac:dyDescent="0.25">
      <c r="A487" s="5" t="s">
        <v>1610</v>
      </c>
      <c r="B487" s="1" t="s">
        <v>7277</v>
      </c>
      <c r="C487" s="1">
        <v>1956</v>
      </c>
      <c r="G487" s="1" t="s">
        <v>10</v>
      </c>
      <c r="J487" s="3">
        <v>45415.430266203701</v>
      </c>
      <c r="K487" s="2" t="s">
        <v>7278</v>
      </c>
      <c r="L487" s="1">
        <v>3</v>
      </c>
      <c r="M487" s="1">
        <v>4</v>
      </c>
      <c r="N487" s="1">
        <v>1</v>
      </c>
      <c r="O487" s="3">
        <v>46233.65914210648</v>
      </c>
    </row>
    <row r="488" spans="1:15" ht="45" x14ac:dyDescent="0.25">
      <c r="A488" s="5" t="s">
        <v>1613</v>
      </c>
      <c r="B488" s="1" t="s">
        <v>7279</v>
      </c>
      <c r="C488" s="1" t="s">
        <v>12</v>
      </c>
      <c r="G488" s="1" t="s">
        <v>11</v>
      </c>
      <c r="J488" s="3">
        <v>45415.149745370371</v>
      </c>
      <c r="K488" s="2" t="s">
        <v>7280</v>
      </c>
      <c r="L488" s="1">
        <v>5</v>
      </c>
      <c r="M488" s="1">
        <v>5</v>
      </c>
      <c r="N488" s="1">
        <v>0</v>
      </c>
      <c r="O488" s="3">
        <v>46233.65914210648</v>
      </c>
    </row>
    <row r="489" spans="1:15" x14ac:dyDescent="0.25">
      <c r="A489" s="5" t="s">
        <v>1616</v>
      </c>
      <c r="B489" s="1" t="s">
        <v>7281</v>
      </c>
      <c r="C489" s="1">
        <v>1956</v>
      </c>
      <c r="G489" s="1" t="s">
        <v>11</v>
      </c>
      <c r="J489" s="3">
        <v>45485.435428240744</v>
      </c>
      <c r="K489" s="2" t="s">
        <v>150</v>
      </c>
      <c r="L489" s="1">
        <v>22</v>
      </c>
      <c r="M489" s="1">
        <v>33</v>
      </c>
      <c r="N489" s="1">
        <v>11</v>
      </c>
      <c r="O489" s="3">
        <v>46233.65914210648</v>
      </c>
    </row>
    <row r="490" spans="1:15" ht="30" x14ac:dyDescent="0.25">
      <c r="A490" s="5" t="s">
        <v>1619</v>
      </c>
      <c r="B490" s="1" t="s">
        <v>7282</v>
      </c>
      <c r="C490" s="1" t="s">
        <v>12</v>
      </c>
      <c r="G490" s="1" t="s">
        <v>11</v>
      </c>
      <c r="J490" s="3">
        <v>45415.181701388887</v>
      </c>
      <c r="K490" s="2" t="s">
        <v>7283</v>
      </c>
      <c r="L490" s="1">
        <v>10</v>
      </c>
      <c r="M490" s="1">
        <v>11</v>
      </c>
      <c r="N490" s="1">
        <v>1</v>
      </c>
      <c r="O490" s="3">
        <v>46233.65914210648</v>
      </c>
    </row>
    <row r="491" spans="1:15" ht="75" x14ac:dyDescent="0.25">
      <c r="A491" s="5" t="s">
        <v>1622</v>
      </c>
      <c r="B491" s="1" t="s">
        <v>7284</v>
      </c>
      <c r="C491" s="1">
        <v>1978</v>
      </c>
      <c r="G491" s="1" t="s">
        <v>11</v>
      </c>
      <c r="J491" s="3">
        <v>45517.425578703704</v>
      </c>
      <c r="K491" s="2" t="s">
        <v>7285</v>
      </c>
      <c r="L491" s="1">
        <v>1</v>
      </c>
      <c r="M491" s="1">
        <v>1</v>
      </c>
      <c r="N491" s="1">
        <v>0</v>
      </c>
      <c r="O491" s="3">
        <v>46233.65914210648</v>
      </c>
    </row>
    <row r="492" spans="1:15" ht="30" x14ac:dyDescent="0.25">
      <c r="A492" s="5" t="s">
        <v>1625</v>
      </c>
      <c r="B492" s="1" t="s">
        <v>7286</v>
      </c>
      <c r="C492" s="1">
        <v>1964</v>
      </c>
      <c r="G492" s="1" t="s">
        <v>10</v>
      </c>
      <c r="J492" s="3">
        <v>45415.334317129629</v>
      </c>
      <c r="K492" s="2" t="s">
        <v>7287</v>
      </c>
      <c r="L492" s="1">
        <v>7</v>
      </c>
      <c r="M492" s="1">
        <v>8</v>
      </c>
      <c r="N492" s="1">
        <v>1</v>
      </c>
      <c r="O492" s="3">
        <v>46233.65914210648</v>
      </c>
    </row>
    <row r="493" spans="1:15" x14ac:dyDescent="0.25">
      <c r="A493" s="5" t="s">
        <v>1628</v>
      </c>
      <c r="B493" s="1" t="s">
        <v>7288</v>
      </c>
      <c r="C493" s="1">
        <v>1963</v>
      </c>
      <c r="G493" s="1" t="s">
        <v>10</v>
      </c>
      <c r="J493" s="3">
        <v>45416.690046296295</v>
      </c>
      <c r="K493" s="2" t="s">
        <v>7289</v>
      </c>
      <c r="L493" s="1">
        <v>0</v>
      </c>
      <c r="M493" s="1">
        <v>1</v>
      </c>
      <c r="N493" s="1">
        <v>1</v>
      </c>
      <c r="O493" s="3">
        <v>46233.65914210648</v>
      </c>
    </row>
    <row r="494" spans="1:15" x14ac:dyDescent="0.25">
      <c r="A494" s="5" t="s">
        <v>1631</v>
      </c>
      <c r="B494" s="1" t="s">
        <v>7290</v>
      </c>
      <c r="C494" s="1">
        <v>1950</v>
      </c>
      <c r="G494" s="1" t="s">
        <v>11</v>
      </c>
      <c r="J494" s="3">
        <v>45415.363634259258</v>
      </c>
      <c r="L494" s="1">
        <v>1</v>
      </c>
      <c r="M494" s="1">
        <v>1</v>
      </c>
      <c r="N494" s="1">
        <v>0</v>
      </c>
      <c r="O494" s="3">
        <v>46233.65914210648</v>
      </c>
    </row>
    <row r="495" spans="1:15" ht="45" x14ac:dyDescent="0.25">
      <c r="A495" s="5" t="s">
        <v>1637</v>
      </c>
      <c r="B495" s="1" t="s">
        <v>7292</v>
      </c>
      <c r="C495" s="1" t="s">
        <v>12</v>
      </c>
      <c r="G495" s="1" t="s">
        <v>10</v>
      </c>
      <c r="J495" s="3">
        <v>45547.58861111111</v>
      </c>
      <c r="K495" s="2" t="s">
        <v>7293</v>
      </c>
      <c r="L495" s="1">
        <v>1</v>
      </c>
      <c r="M495" s="1">
        <v>1</v>
      </c>
      <c r="N495" s="1">
        <v>0</v>
      </c>
      <c r="O495" s="3">
        <v>46233.65914210648</v>
      </c>
    </row>
    <row r="496" spans="1:15" x14ac:dyDescent="0.25">
      <c r="A496" s="5" t="s">
        <v>1640</v>
      </c>
      <c r="B496" s="1" t="s">
        <v>7294</v>
      </c>
      <c r="C496" s="1" t="s">
        <v>12</v>
      </c>
      <c r="G496" s="1" t="s">
        <v>11</v>
      </c>
      <c r="J496" s="3">
        <v>45548.406851851854</v>
      </c>
      <c r="K496" s="2" t="s">
        <v>7295</v>
      </c>
      <c r="L496" s="1">
        <v>1</v>
      </c>
      <c r="M496" s="1">
        <v>1</v>
      </c>
      <c r="N496" s="1">
        <v>0</v>
      </c>
      <c r="O496" s="3">
        <v>46233.65914210648</v>
      </c>
    </row>
    <row r="497" spans="1:15" ht="30" x14ac:dyDescent="0.25">
      <c r="A497" s="5" t="s">
        <v>1643</v>
      </c>
      <c r="B497" s="1" t="s">
        <v>7296</v>
      </c>
      <c r="C497" s="1">
        <v>1959</v>
      </c>
      <c r="G497" s="1" t="s">
        <v>10</v>
      </c>
      <c r="J497" s="3">
        <v>45517.561157407406</v>
      </c>
      <c r="K497" s="2" t="s">
        <v>7297</v>
      </c>
      <c r="L497" s="1">
        <v>3</v>
      </c>
      <c r="M497" s="1">
        <v>3</v>
      </c>
      <c r="N497" s="1">
        <v>0</v>
      </c>
      <c r="O497" s="3">
        <v>46233.65914210648</v>
      </c>
    </row>
    <row r="498" spans="1:15" ht="75" x14ac:dyDescent="0.25">
      <c r="A498" s="5" t="s">
        <v>1646</v>
      </c>
      <c r="B498" s="1" t="s">
        <v>7298</v>
      </c>
      <c r="C498" s="1" t="s">
        <v>12</v>
      </c>
      <c r="G498" s="1" t="s">
        <v>10</v>
      </c>
      <c r="J498" s="3">
        <v>45415.513622685183</v>
      </c>
      <c r="K498" s="2" t="s">
        <v>7299</v>
      </c>
      <c r="L498" s="1">
        <v>1</v>
      </c>
      <c r="M498" s="1">
        <v>1</v>
      </c>
      <c r="N498" s="1">
        <v>0</v>
      </c>
      <c r="O498" s="3">
        <v>46233.65914210648</v>
      </c>
    </row>
    <row r="499" spans="1:15" ht="45" x14ac:dyDescent="0.25">
      <c r="A499" s="5" t="s">
        <v>1649</v>
      </c>
      <c r="B499" s="1" t="s">
        <v>7300</v>
      </c>
      <c r="C499" s="1" t="s">
        <v>12</v>
      </c>
      <c r="G499" s="1" t="s">
        <v>11</v>
      </c>
      <c r="J499" s="3">
        <v>45447.405717592592</v>
      </c>
      <c r="K499" s="2" t="s">
        <v>7301</v>
      </c>
      <c r="L499" s="1">
        <v>1</v>
      </c>
      <c r="M499" s="1">
        <v>1</v>
      </c>
      <c r="N499" s="1">
        <v>0</v>
      </c>
      <c r="O499" s="3">
        <v>46233.65914210648</v>
      </c>
    </row>
    <row r="500" spans="1:15" x14ac:dyDescent="0.25">
      <c r="A500" s="5" t="s">
        <v>1652</v>
      </c>
      <c r="B500" s="1" t="s">
        <v>7302</v>
      </c>
      <c r="C500" s="1" t="s">
        <v>12</v>
      </c>
      <c r="G500" s="1" t="s">
        <v>11</v>
      </c>
      <c r="J500" s="3">
        <v>45415.558333333334</v>
      </c>
      <c r="L500" s="1">
        <v>1</v>
      </c>
      <c r="M500" s="1">
        <v>1</v>
      </c>
      <c r="N500" s="1">
        <v>0</v>
      </c>
      <c r="O500" s="3">
        <v>46233.65914210648</v>
      </c>
    </row>
    <row r="501" spans="1:15" x14ac:dyDescent="0.25">
      <c r="A501" s="5" t="s">
        <v>1655</v>
      </c>
      <c r="B501" s="1" t="s">
        <v>7303</v>
      </c>
      <c r="C501" s="1" t="s">
        <v>12</v>
      </c>
      <c r="G501" s="1" t="s">
        <v>10</v>
      </c>
      <c r="J501" s="3">
        <v>45415.576180555552</v>
      </c>
      <c r="K501" s="2" t="s">
        <v>6438</v>
      </c>
      <c r="L501" s="1">
        <v>4</v>
      </c>
      <c r="M501" s="1">
        <v>5</v>
      </c>
      <c r="N501" s="1">
        <v>1</v>
      </c>
      <c r="O501" s="3">
        <v>46233.65914210648</v>
      </c>
    </row>
    <row r="502" spans="1:15" ht="30" x14ac:dyDescent="0.25">
      <c r="A502" s="5" t="s">
        <v>1658</v>
      </c>
      <c r="B502" s="1" t="s">
        <v>7304</v>
      </c>
      <c r="C502" s="1" t="s">
        <v>12</v>
      </c>
      <c r="G502" s="1" t="s">
        <v>10</v>
      </c>
      <c r="J502" s="3">
        <v>45415.573391203703</v>
      </c>
      <c r="K502" s="2" t="s">
        <v>7305</v>
      </c>
      <c r="L502" s="1">
        <v>2</v>
      </c>
      <c r="M502" s="1">
        <v>2</v>
      </c>
      <c r="N502" s="1">
        <v>0</v>
      </c>
      <c r="O502" s="3">
        <v>46233.65914210648</v>
      </c>
    </row>
    <row r="503" spans="1:15" ht="45" x14ac:dyDescent="0.25">
      <c r="A503" s="5" t="s">
        <v>1661</v>
      </c>
      <c r="B503" s="1" t="s">
        <v>7306</v>
      </c>
      <c r="C503" s="1">
        <v>1969</v>
      </c>
      <c r="G503" s="1" t="s">
        <v>10</v>
      </c>
      <c r="J503" s="3">
        <v>45575.448298611111</v>
      </c>
      <c r="K503" s="2" t="s">
        <v>7307</v>
      </c>
      <c r="L503" s="1">
        <v>1</v>
      </c>
      <c r="M503" s="1">
        <v>1</v>
      </c>
      <c r="N503" s="1">
        <v>0</v>
      </c>
      <c r="O503" s="3">
        <v>46233.65914210648</v>
      </c>
    </row>
    <row r="504" spans="1:15" ht="90" x14ac:dyDescent="0.25">
      <c r="A504" s="5" t="s">
        <v>1664</v>
      </c>
      <c r="B504" s="1" t="s">
        <v>7308</v>
      </c>
      <c r="C504" s="1" t="s">
        <v>12</v>
      </c>
      <c r="G504" s="1" t="s">
        <v>11</v>
      </c>
      <c r="J504" s="3">
        <v>45416.474791666667</v>
      </c>
      <c r="K504" s="2" t="s">
        <v>7309</v>
      </c>
      <c r="L504" s="1">
        <v>5</v>
      </c>
      <c r="M504" s="1">
        <v>10</v>
      </c>
      <c r="N504" s="1">
        <v>5</v>
      </c>
      <c r="O504" s="3">
        <v>46233.65914210648</v>
      </c>
    </row>
    <row r="505" spans="1:15" ht="75" x14ac:dyDescent="0.25">
      <c r="A505" s="5" t="s">
        <v>1667</v>
      </c>
      <c r="B505" s="1" t="s">
        <v>7310</v>
      </c>
      <c r="C505" s="1">
        <v>1999</v>
      </c>
      <c r="G505" s="1" t="s">
        <v>11</v>
      </c>
      <c r="J505" s="3">
        <v>45415.603888888887</v>
      </c>
      <c r="K505" s="2" t="s">
        <v>7311</v>
      </c>
      <c r="L505" s="1">
        <v>1</v>
      </c>
      <c r="M505" s="1">
        <v>1</v>
      </c>
      <c r="N505" s="1">
        <v>0</v>
      </c>
      <c r="O505" s="3">
        <v>46233.65914210648</v>
      </c>
    </row>
    <row r="506" spans="1:15" x14ac:dyDescent="0.25">
      <c r="A506" s="5" t="s">
        <v>1670</v>
      </c>
      <c r="B506" s="1" t="s">
        <v>7312</v>
      </c>
      <c r="C506" s="1" t="s">
        <v>12</v>
      </c>
      <c r="G506" s="1" t="s">
        <v>11</v>
      </c>
      <c r="J506" s="3">
        <v>45416.738645833335</v>
      </c>
      <c r="K506" s="2" t="s">
        <v>6738</v>
      </c>
      <c r="L506" s="1">
        <v>2</v>
      </c>
      <c r="M506" s="1">
        <v>2</v>
      </c>
      <c r="N506" s="1">
        <v>0</v>
      </c>
      <c r="O506" s="3">
        <v>46233.65914210648</v>
      </c>
    </row>
    <row r="507" spans="1:15" x14ac:dyDescent="0.25">
      <c r="A507" s="5" t="s">
        <v>1673</v>
      </c>
      <c r="B507" s="1" t="s">
        <v>7313</v>
      </c>
      <c r="C507" s="1">
        <v>1968</v>
      </c>
      <c r="G507" s="1" t="s">
        <v>10</v>
      </c>
      <c r="J507" s="3">
        <v>45415.671435185184</v>
      </c>
      <c r="K507" s="2" t="s">
        <v>7314</v>
      </c>
      <c r="L507" s="1">
        <v>1</v>
      </c>
      <c r="M507" s="1">
        <v>1</v>
      </c>
      <c r="N507" s="1">
        <v>0</v>
      </c>
      <c r="O507" s="3">
        <v>46233.65914210648</v>
      </c>
    </row>
    <row r="508" spans="1:15" ht="45" x14ac:dyDescent="0.25">
      <c r="A508" s="5" t="s">
        <v>1679</v>
      </c>
      <c r="B508" s="1" t="s">
        <v>7315</v>
      </c>
      <c r="C508" s="1" t="s">
        <v>12</v>
      </c>
      <c r="G508" s="1" t="s">
        <v>10</v>
      </c>
      <c r="J508" s="3">
        <v>45513.433842592596</v>
      </c>
      <c r="K508" s="2" t="s">
        <v>7316</v>
      </c>
      <c r="L508" s="1">
        <v>3</v>
      </c>
      <c r="M508" s="1">
        <v>3</v>
      </c>
      <c r="N508" s="1">
        <v>0</v>
      </c>
      <c r="O508" s="3">
        <v>46233.65914210648</v>
      </c>
    </row>
    <row r="509" spans="1:15" x14ac:dyDescent="0.25">
      <c r="A509" s="5" t="s">
        <v>1682</v>
      </c>
      <c r="B509" s="1" t="s">
        <v>7317</v>
      </c>
      <c r="C509" s="1" t="s">
        <v>12</v>
      </c>
      <c r="G509" s="1" t="s">
        <v>11</v>
      </c>
      <c r="J509" s="3">
        <v>45499.402986111112</v>
      </c>
      <c r="K509" s="2" t="s">
        <v>7209</v>
      </c>
      <c r="L509" s="1">
        <v>1</v>
      </c>
      <c r="M509" s="1">
        <v>1</v>
      </c>
      <c r="N509" s="1">
        <v>0</v>
      </c>
      <c r="O509" s="3">
        <v>46233.65914210648</v>
      </c>
    </row>
    <row r="510" spans="1:15" x14ac:dyDescent="0.25">
      <c r="A510" s="5" t="s">
        <v>1685</v>
      </c>
      <c r="B510" s="1" t="s">
        <v>7318</v>
      </c>
      <c r="C510" s="1">
        <v>1923</v>
      </c>
      <c r="G510" s="1" t="s">
        <v>10</v>
      </c>
      <c r="J510" s="3">
        <v>45415.840011574073</v>
      </c>
      <c r="K510" s="2" t="s">
        <v>7319</v>
      </c>
      <c r="L510" s="1">
        <v>1</v>
      </c>
      <c r="M510" s="1">
        <v>1</v>
      </c>
      <c r="N510" s="1">
        <v>0</v>
      </c>
      <c r="O510" s="3">
        <v>46233.65914210648</v>
      </c>
    </row>
    <row r="511" spans="1:15" ht="105" x14ac:dyDescent="0.25">
      <c r="A511" s="5" t="s">
        <v>1688</v>
      </c>
      <c r="B511" s="1" t="s">
        <v>7320</v>
      </c>
      <c r="C511" s="1">
        <v>1941</v>
      </c>
      <c r="G511" s="1" t="s">
        <v>11</v>
      </c>
      <c r="J511" s="3">
        <v>45551.694710648146</v>
      </c>
      <c r="K511" s="2" t="s">
        <v>7321</v>
      </c>
      <c r="L511" s="1">
        <v>1</v>
      </c>
      <c r="M511" s="1">
        <v>1</v>
      </c>
      <c r="N511" s="1">
        <v>0</v>
      </c>
      <c r="O511" s="3">
        <v>46233.65914210648</v>
      </c>
    </row>
    <row r="512" spans="1:15" x14ac:dyDescent="0.25">
      <c r="A512" s="5" t="s">
        <v>1691</v>
      </c>
      <c r="B512" s="1" t="s">
        <v>7322</v>
      </c>
      <c r="C512" s="1" t="s">
        <v>6887</v>
      </c>
      <c r="G512" s="1" t="s">
        <v>11</v>
      </c>
      <c r="J512" s="3">
        <v>45415.877511574072</v>
      </c>
      <c r="K512" s="2" t="s">
        <v>7323</v>
      </c>
      <c r="L512" s="1">
        <v>1</v>
      </c>
      <c r="M512" s="1">
        <v>1</v>
      </c>
      <c r="N512" s="1">
        <v>0</v>
      </c>
      <c r="O512" s="3">
        <v>46233.65914210648</v>
      </c>
    </row>
    <row r="513" spans="1:15" ht="240" x14ac:dyDescent="0.25">
      <c r="A513" s="5" t="s">
        <v>1694</v>
      </c>
      <c r="B513" s="1" t="s">
        <v>7324</v>
      </c>
      <c r="C513" s="1">
        <v>1974</v>
      </c>
      <c r="G513" s="1" t="s">
        <v>11</v>
      </c>
      <c r="J513" s="3">
        <v>45559.510949074072</v>
      </c>
      <c r="K513" s="2" t="s">
        <v>7325</v>
      </c>
      <c r="L513" s="1">
        <v>79</v>
      </c>
      <c r="M513" s="1">
        <v>84</v>
      </c>
      <c r="N513" s="1">
        <v>5</v>
      </c>
      <c r="O513" s="3">
        <v>46233.65914210648</v>
      </c>
    </row>
    <row r="514" spans="1:15" ht="45" x14ac:dyDescent="0.25">
      <c r="A514" s="5" t="s">
        <v>1697</v>
      </c>
      <c r="B514" s="1" t="s">
        <v>7326</v>
      </c>
      <c r="C514" s="1">
        <v>1937</v>
      </c>
      <c r="G514" s="1" t="s">
        <v>11</v>
      </c>
      <c r="J514" s="3">
        <v>45415.923368055555</v>
      </c>
      <c r="K514" s="2" t="s">
        <v>7327</v>
      </c>
      <c r="L514" s="1">
        <v>12</v>
      </c>
      <c r="M514" s="1">
        <v>12</v>
      </c>
      <c r="N514" s="1">
        <v>0</v>
      </c>
      <c r="O514" s="3">
        <v>46233.65914210648</v>
      </c>
    </row>
    <row r="515" spans="1:15" x14ac:dyDescent="0.25">
      <c r="A515" s="5" t="s">
        <v>1700</v>
      </c>
      <c r="B515" s="1" t="s">
        <v>7328</v>
      </c>
      <c r="C515" s="1" t="s">
        <v>12</v>
      </c>
      <c r="G515" s="1" t="s">
        <v>10</v>
      </c>
      <c r="J515" s="3">
        <v>45416.010775462964</v>
      </c>
      <c r="K515" s="2" t="s">
        <v>125</v>
      </c>
      <c r="L515" s="1">
        <v>3</v>
      </c>
      <c r="M515" s="1">
        <v>3</v>
      </c>
      <c r="N515" s="1">
        <v>0</v>
      </c>
      <c r="O515" s="3">
        <v>46233.65914210648</v>
      </c>
    </row>
    <row r="516" spans="1:15" x14ac:dyDescent="0.25">
      <c r="A516" s="5" t="s">
        <v>1703</v>
      </c>
      <c r="B516" s="1" t="s">
        <v>7329</v>
      </c>
      <c r="C516" s="1" t="s">
        <v>12</v>
      </c>
      <c r="G516" s="1" t="s">
        <v>10</v>
      </c>
      <c r="J516" s="3">
        <v>45416.113692129627</v>
      </c>
      <c r="K516" s="2" t="s">
        <v>7330</v>
      </c>
      <c r="L516" s="1">
        <v>2</v>
      </c>
      <c r="M516" s="1">
        <v>2</v>
      </c>
      <c r="N516" s="1">
        <v>0</v>
      </c>
      <c r="O516" s="3">
        <v>46233.65914210648</v>
      </c>
    </row>
    <row r="517" spans="1:15" x14ac:dyDescent="0.25">
      <c r="A517" s="5" t="s">
        <v>1709</v>
      </c>
      <c r="B517" s="1" t="s">
        <v>7331</v>
      </c>
      <c r="C517" s="1" t="s">
        <v>12</v>
      </c>
      <c r="G517" s="1" t="s">
        <v>10</v>
      </c>
      <c r="J517" s="3">
        <v>45416.069212962961</v>
      </c>
      <c r="K517" s="2" t="s">
        <v>6438</v>
      </c>
      <c r="L517" s="1">
        <v>3</v>
      </c>
      <c r="M517" s="1">
        <v>4</v>
      </c>
      <c r="N517" s="1">
        <v>1</v>
      </c>
      <c r="O517" s="3">
        <v>46233.65914210648</v>
      </c>
    </row>
    <row r="518" spans="1:15" x14ac:dyDescent="0.25">
      <c r="A518" s="5" t="s">
        <v>1712</v>
      </c>
      <c r="B518" s="1" t="s">
        <v>7332</v>
      </c>
      <c r="C518" s="1">
        <v>1947</v>
      </c>
      <c r="G518" s="1" t="s">
        <v>10</v>
      </c>
      <c r="J518" s="3">
        <v>45443.418854166666</v>
      </c>
      <c r="K518" s="2" t="s">
        <v>6438</v>
      </c>
      <c r="L518" s="1">
        <v>1</v>
      </c>
      <c r="M518" s="1">
        <v>2</v>
      </c>
      <c r="N518" s="1">
        <v>1</v>
      </c>
      <c r="O518" s="3">
        <v>46233.65914210648</v>
      </c>
    </row>
    <row r="519" spans="1:15" ht="180" x14ac:dyDescent="0.25">
      <c r="A519" s="5" t="s">
        <v>1715</v>
      </c>
      <c r="B519" s="1" t="s">
        <v>7333</v>
      </c>
      <c r="C519" s="1">
        <v>1985</v>
      </c>
      <c r="G519" s="1" t="s">
        <v>10</v>
      </c>
      <c r="J519" s="3">
        <v>45416.260868055557</v>
      </c>
      <c r="K519" s="2" t="s">
        <v>7334</v>
      </c>
      <c r="L519" s="1">
        <v>2</v>
      </c>
      <c r="M519" s="1">
        <v>2</v>
      </c>
      <c r="N519" s="1">
        <v>0</v>
      </c>
      <c r="O519" s="3">
        <v>46233.65914210648</v>
      </c>
    </row>
    <row r="520" spans="1:15" x14ac:dyDescent="0.25">
      <c r="A520" s="5" t="s">
        <v>1718</v>
      </c>
      <c r="B520" s="1" t="s">
        <v>7335</v>
      </c>
      <c r="C520" s="1">
        <v>1943</v>
      </c>
      <c r="G520" s="1" t="s">
        <v>10</v>
      </c>
      <c r="J520" s="3">
        <v>45416.078946759262</v>
      </c>
      <c r="K520" s="2" t="s">
        <v>7336</v>
      </c>
      <c r="L520" s="1">
        <v>2</v>
      </c>
      <c r="M520" s="1">
        <v>2</v>
      </c>
      <c r="N520" s="1">
        <v>0</v>
      </c>
      <c r="O520" s="3">
        <v>46233.65914210648</v>
      </c>
    </row>
    <row r="521" spans="1:15" x14ac:dyDescent="0.25">
      <c r="A521" s="5" t="s">
        <v>1724</v>
      </c>
      <c r="B521" s="1" t="s">
        <v>7337</v>
      </c>
      <c r="C521" s="1">
        <v>2001</v>
      </c>
      <c r="J521" s="3">
        <v>45411.99560185185</v>
      </c>
      <c r="L521" s="1">
        <v>1</v>
      </c>
      <c r="M521" s="1">
        <v>2</v>
      </c>
      <c r="N521" s="1">
        <v>1</v>
      </c>
      <c r="O521" s="3">
        <v>46233.65914210648</v>
      </c>
    </row>
    <row r="522" spans="1:15" x14ac:dyDescent="0.25">
      <c r="A522" s="5" t="s">
        <v>1727</v>
      </c>
      <c r="B522" s="1" t="s">
        <v>7338</v>
      </c>
      <c r="C522" s="1">
        <v>1927</v>
      </c>
      <c r="G522" s="1" t="s">
        <v>10</v>
      </c>
      <c r="J522" s="3">
        <v>45416.453958333332</v>
      </c>
      <c r="K522" s="2" t="s">
        <v>7339</v>
      </c>
      <c r="L522" s="1">
        <v>1</v>
      </c>
      <c r="M522" s="1">
        <v>1</v>
      </c>
      <c r="N522" s="1">
        <v>0</v>
      </c>
      <c r="O522" s="3">
        <v>46233.65914210648</v>
      </c>
    </row>
    <row r="523" spans="1:15" ht="180" x14ac:dyDescent="0.25">
      <c r="A523" s="5" t="s">
        <v>1730</v>
      </c>
      <c r="B523" s="1" t="s">
        <v>7340</v>
      </c>
      <c r="C523" s="1" t="s">
        <v>12</v>
      </c>
      <c r="G523" s="1" t="s">
        <v>11</v>
      </c>
      <c r="J523" s="3">
        <v>45416.167766203704</v>
      </c>
      <c r="K523" s="2" t="s">
        <v>7341</v>
      </c>
      <c r="L523" s="1">
        <v>1</v>
      </c>
      <c r="M523" s="1">
        <v>1</v>
      </c>
      <c r="N523" s="1">
        <v>0</v>
      </c>
      <c r="O523" s="3">
        <v>46233.65914210648</v>
      </c>
    </row>
    <row r="524" spans="1:15" ht="45" x14ac:dyDescent="0.25">
      <c r="A524" s="5" t="s">
        <v>1733</v>
      </c>
      <c r="B524" s="1" t="s">
        <v>7342</v>
      </c>
      <c r="C524" s="1" t="s">
        <v>12</v>
      </c>
      <c r="G524" s="1" t="s">
        <v>10</v>
      </c>
      <c r="J524" s="3">
        <v>45447.385601851849</v>
      </c>
      <c r="K524" s="2" t="s">
        <v>7343</v>
      </c>
      <c r="L524" s="1">
        <v>1</v>
      </c>
      <c r="M524" s="1">
        <v>1</v>
      </c>
      <c r="N524" s="1">
        <v>0</v>
      </c>
      <c r="O524" s="3">
        <v>46233.65914210648</v>
      </c>
    </row>
    <row r="525" spans="1:15" ht="45" x14ac:dyDescent="0.25">
      <c r="A525" s="5" t="s">
        <v>1736</v>
      </c>
      <c r="B525" s="1" t="s">
        <v>7344</v>
      </c>
      <c r="C525" s="1">
        <v>1990</v>
      </c>
      <c r="G525" s="1" t="s">
        <v>11</v>
      </c>
      <c r="J525" s="3">
        <v>45416.659490740742</v>
      </c>
      <c r="K525" s="2" t="s">
        <v>7345</v>
      </c>
      <c r="L525" s="1">
        <v>1</v>
      </c>
      <c r="M525" s="1">
        <v>3</v>
      </c>
      <c r="N525" s="1">
        <v>2</v>
      </c>
      <c r="O525" s="3">
        <v>46233.65914210648</v>
      </c>
    </row>
    <row r="526" spans="1:15" ht="30" x14ac:dyDescent="0.25">
      <c r="A526" s="5" t="s">
        <v>1739</v>
      </c>
      <c r="B526" s="1" t="s">
        <v>7346</v>
      </c>
      <c r="C526" s="1">
        <v>1985</v>
      </c>
      <c r="G526" s="1" t="s">
        <v>11</v>
      </c>
      <c r="J526" s="3">
        <v>45495.517523148148</v>
      </c>
      <c r="K526" s="2" t="s">
        <v>7347</v>
      </c>
      <c r="L526" s="1">
        <v>2</v>
      </c>
      <c r="M526" s="1">
        <v>2</v>
      </c>
      <c r="N526" s="1">
        <v>0</v>
      </c>
      <c r="O526" s="3">
        <v>46233.65914210648</v>
      </c>
    </row>
    <row r="527" spans="1:15" x14ac:dyDescent="0.25">
      <c r="A527" s="5" t="s">
        <v>1742</v>
      </c>
      <c r="B527" s="1" t="s">
        <v>7348</v>
      </c>
      <c r="C527" s="1">
        <v>1963</v>
      </c>
      <c r="G527" s="1" t="s">
        <v>10</v>
      </c>
      <c r="J527" s="3">
        <v>45416.319131944445</v>
      </c>
      <c r="L527" s="1">
        <v>1</v>
      </c>
      <c r="M527" s="1">
        <v>1</v>
      </c>
      <c r="N527" s="1">
        <v>0</v>
      </c>
      <c r="O527" s="3">
        <v>46233.65914210648</v>
      </c>
    </row>
    <row r="528" spans="1:15" x14ac:dyDescent="0.25">
      <c r="A528" s="5" t="s">
        <v>1748</v>
      </c>
      <c r="B528" s="1" t="s">
        <v>7349</v>
      </c>
      <c r="C528" s="1" t="s">
        <v>12</v>
      </c>
      <c r="G528" s="1" t="s">
        <v>10</v>
      </c>
      <c r="J528" s="3">
        <v>45416.346979166665</v>
      </c>
      <c r="K528" s="2" t="s">
        <v>7350</v>
      </c>
      <c r="L528" s="1">
        <v>1</v>
      </c>
      <c r="M528" s="1">
        <v>1</v>
      </c>
      <c r="N528" s="1">
        <v>0</v>
      </c>
      <c r="O528" s="3">
        <v>46233.65914210648</v>
      </c>
    </row>
    <row r="529" spans="1:15" x14ac:dyDescent="0.25">
      <c r="A529" s="5" t="s">
        <v>1751</v>
      </c>
      <c r="B529" s="1" t="s">
        <v>7351</v>
      </c>
      <c r="C529" s="1">
        <v>2023</v>
      </c>
      <c r="J529" s="3">
        <v>45412.642847222225</v>
      </c>
      <c r="L529" s="1">
        <v>1</v>
      </c>
      <c r="M529" s="1">
        <v>1</v>
      </c>
      <c r="N529" s="1">
        <v>0</v>
      </c>
      <c r="O529" s="3">
        <v>46233.65914210648</v>
      </c>
    </row>
    <row r="530" spans="1:15" ht="75" x14ac:dyDescent="0.25">
      <c r="A530" s="5" t="s">
        <v>1754</v>
      </c>
      <c r="B530" s="1" t="s">
        <v>7352</v>
      </c>
      <c r="C530" s="1">
        <v>1954</v>
      </c>
      <c r="G530" s="1" t="s">
        <v>10</v>
      </c>
      <c r="J530" s="3">
        <v>45548.406643518516</v>
      </c>
      <c r="K530" s="2" t="s">
        <v>7353</v>
      </c>
      <c r="L530" s="1">
        <v>4</v>
      </c>
      <c r="M530" s="1">
        <v>4</v>
      </c>
      <c r="N530" s="1">
        <v>0</v>
      </c>
      <c r="O530" s="3">
        <v>46233.65914210648</v>
      </c>
    </row>
    <row r="531" spans="1:15" x14ac:dyDescent="0.25">
      <c r="A531" s="5" t="s">
        <v>1757</v>
      </c>
      <c r="B531" s="1" t="s">
        <v>7354</v>
      </c>
      <c r="C531" s="1">
        <v>1994</v>
      </c>
      <c r="G531" s="1" t="s">
        <v>10</v>
      </c>
      <c r="J531" s="3">
        <v>45416.346979166665</v>
      </c>
      <c r="L531" s="1">
        <v>2</v>
      </c>
      <c r="M531" s="1">
        <v>2</v>
      </c>
      <c r="N531" s="1">
        <v>0</v>
      </c>
      <c r="O531" s="3">
        <v>46233.65914210648</v>
      </c>
    </row>
    <row r="532" spans="1:15" x14ac:dyDescent="0.25">
      <c r="A532" s="5" t="s">
        <v>1760</v>
      </c>
      <c r="B532" s="1" t="s">
        <v>7355</v>
      </c>
      <c r="J532" s="3">
        <v>45411.781712962962</v>
      </c>
      <c r="L532" s="1">
        <v>8</v>
      </c>
      <c r="M532" s="1">
        <v>11</v>
      </c>
      <c r="N532" s="1">
        <v>3</v>
      </c>
      <c r="O532" s="3">
        <v>46233.65914210648</v>
      </c>
    </row>
    <row r="533" spans="1:15" ht="75" x14ac:dyDescent="0.25">
      <c r="A533" s="5" t="s">
        <v>1763</v>
      </c>
      <c r="B533" s="1" t="s">
        <v>7356</v>
      </c>
      <c r="C533" s="1" t="s">
        <v>12</v>
      </c>
      <c r="G533" s="1" t="s">
        <v>10</v>
      </c>
      <c r="J533" s="3">
        <v>45455.716793981483</v>
      </c>
      <c r="K533" s="2" t="s">
        <v>7357</v>
      </c>
      <c r="L533" s="1">
        <v>1</v>
      </c>
      <c r="M533" s="1">
        <v>1</v>
      </c>
      <c r="N533" s="1">
        <v>0</v>
      </c>
      <c r="O533" s="3">
        <v>46233.65914210648</v>
      </c>
    </row>
    <row r="534" spans="1:15" x14ac:dyDescent="0.25">
      <c r="A534" s="5" t="s">
        <v>1766</v>
      </c>
      <c r="B534" s="1" t="s">
        <v>7358</v>
      </c>
      <c r="C534" s="1" t="s">
        <v>12</v>
      </c>
      <c r="G534" s="1" t="s">
        <v>10</v>
      </c>
      <c r="J534" s="3">
        <v>45416.395578703705</v>
      </c>
      <c r="K534" s="2" t="s">
        <v>7359</v>
      </c>
      <c r="L534" s="1">
        <v>2</v>
      </c>
      <c r="M534" s="1">
        <v>4</v>
      </c>
      <c r="N534" s="1">
        <v>2</v>
      </c>
      <c r="O534" s="3">
        <v>46233.65914210648</v>
      </c>
    </row>
    <row r="535" spans="1:15" x14ac:dyDescent="0.25">
      <c r="A535" s="5" t="s">
        <v>1769</v>
      </c>
      <c r="B535" s="1" t="s">
        <v>7360</v>
      </c>
      <c r="C535" s="1">
        <v>1922</v>
      </c>
      <c r="J535" s="3">
        <v>45412.644212962965</v>
      </c>
      <c r="L535" s="1">
        <v>3</v>
      </c>
      <c r="M535" s="1">
        <v>3</v>
      </c>
      <c r="N535" s="1">
        <v>0</v>
      </c>
      <c r="O535" s="3">
        <v>46233.65914210648</v>
      </c>
    </row>
    <row r="536" spans="1:15" x14ac:dyDescent="0.25">
      <c r="A536" s="5" t="s">
        <v>1772</v>
      </c>
      <c r="B536" s="1" t="s">
        <v>7361</v>
      </c>
      <c r="C536" s="1" t="s">
        <v>12</v>
      </c>
      <c r="G536" s="1" t="s">
        <v>10</v>
      </c>
      <c r="J536" s="3">
        <v>45416.985752314817</v>
      </c>
      <c r="K536" s="2" t="s">
        <v>7362</v>
      </c>
      <c r="L536" s="1">
        <v>1</v>
      </c>
      <c r="M536" s="1">
        <v>1</v>
      </c>
      <c r="N536" s="1">
        <v>0</v>
      </c>
      <c r="O536" s="3">
        <v>46233.65914210648</v>
      </c>
    </row>
    <row r="537" spans="1:15" x14ac:dyDescent="0.25">
      <c r="A537" s="5" t="s">
        <v>1775</v>
      </c>
      <c r="B537" s="1" t="s">
        <v>7363</v>
      </c>
      <c r="C537" s="1">
        <v>1983</v>
      </c>
      <c r="G537" s="1" t="s">
        <v>10</v>
      </c>
      <c r="J537" s="3">
        <v>45567.694594907407</v>
      </c>
      <c r="K537" s="2" t="s">
        <v>130</v>
      </c>
      <c r="L537" s="1">
        <v>1</v>
      </c>
      <c r="M537" s="1">
        <v>1</v>
      </c>
      <c r="N537" s="1">
        <v>0</v>
      </c>
      <c r="O537" s="3">
        <v>46233.65914210648</v>
      </c>
    </row>
    <row r="538" spans="1:15" x14ac:dyDescent="0.25">
      <c r="A538" s="5" t="s">
        <v>1778</v>
      </c>
      <c r="B538" s="1" t="s">
        <v>7364</v>
      </c>
      <c r="C538" s="1">
        <v>1987</v>
      </c>
      <c r="J538" s="3">
        <v>45412.705335648148</v>
      </c>
      <c r="L538" s="1">
        <v>2</v>
      </c>
      <c r="M538" s="1">
        <v>2</v>
      </c>
      <c r="N538" s="1">
        <v>0</v>
      </c>
      <c r="O538" s="3">
        <v>46233.65914210648</v>
      </c>
    </row>
    <row r="539" spans="1:15" ht="45" x14ac:dyDescent="0.25">
      <c r="A539" s="5" t="s">
        <v>1781</v>
      </c>
      <c r="B539" s="1" t="s">
        <v>7365</v>
      </c>
      <c r="C539" s="1">
        <v>1970</v>
      </c>
      <c r="G539" s="1" t="s">
        <v>10</v>
      </c>
      <c r="J539" s="3">
        <v>45417.024756944447</v>
      </c>
      <c r="K539" s="2" t="s">
        <v>7366</v>
      </c>
      <c r="L539" s="1">
        <v>1</v>
      </c>
      <c r="M539" s="1">
        <v>1</v>
      </c>
      <c r="N539" s="1">
        <v>0</v>
      </c>
      <c r="O539" s="3">
        <v>46233.65914210648</v>
      </c>
    </row>
    <row r="540" spans="1:15" ht="60" x14ac:dyDescent="0.25">
      <c r="A540" s="5" t="s">
        <v>1784</v>
      </c>
      <c r="B540" s="1" t="s">
        <v>7367</v>
      </c>
      <c r="C540" s="1">
        <v>1999</v>
      </c>
      <c r="G540" s="1" t="s">
        <v>11</v>
      </c>
      <c r="J540" s="3">
        <v>45537.477141203701</v>
      </c>
      <c r="K540" s="2" t="s">
        <v>7368</v>
      </c>
      <c r="L540" s="1">
        <v>1</v>
      </c>
      <c r="M540" s="1">
        <v>1</v>
      </c>
      <c r="N540" s="1">
        <v>0</v>
      </c>
      <c r="O540" s="3">
        <v>46233.65914210648</v>
      </c>
    </row>
    <row r="541" spans="1:15" ht="45" x14ac:dyDescent="0.25">
      <c r="A541" s="5" t="s">
        <v>1787</v>
      </c>
      <c r="B541" s="1" t="s">
        <v>7369</v>
      </c>
      <c r="C541" s="1">
        <v>1956</v>
      </c>
      <c r="G541" s="1" t="s">
        <v>10</v>
      </c>
      <c r="J541" s="3">
        <v>45519.466851851852</v>
      </c>
      <c r="K541" s="2" t="s">
        <v>7370</v>
      </c>
      <c r="L541" s="1">
        <v>2</v>
      </c>
      <c r="M541" s="1">
        <v>4</v>
      </c>
      <c r="N541" s="1">
        <v>2</v>
      </c>
      <c r="O541" s="3">
        <v>46233.65914210648</v>
      </c>
    </row>
    <row r="542" spans="1:15" x14ac:dyDescent="0.25">
      <c r="A542" s="5" t="s">
        <v>1790</v>
      </c>
      <c r="B542" s="1" t="s">
        <v>7371</v>
      </c>
      <c r="C542" s="1" t="s">
        <v>12</v>
      </c>
      <c r="G542" s="1" t="s">
        <v>10</v>
      </c>
      <c r="J542" s="3">
        <v>45416.653946759259</v>
      </c>
      <c r="L542" s="1">
        <v>4</v>
      </c>
      <c r="M542" s="1">
        <v>4</v>
      </c>
      <c r="N542" s="1">
        <v>0</v>
      </c>
      <c r="O542" s="3">
        <v>46233.65914210648</v>
      </c>
    </row>
    <row r="543" spans="1:15" ht="90" x14ac:dyDescent="0.25">
      <c r="A543" s="5" t="s">
        <v>1793</v>
      </c>
      <c r="B543" s="1" t="s">
        <v>7372</v>
      </c>
      <c r="C543" s="1">
        <v>1965</v>
      </c>
      <c r="G543" s="1" t="s">
        <v>10</v>
      </c>
      <c r="J543" s="3">
        <v>45485.436076388891</v>
      </c>
      <c r="K543" s="2" t="s">
        <v>7373</v>
      </c>
      <c r="L543" s="1">
        <v>3</v>
      </c>
      <c r="M543" s="1">
        <v>5</v>
      </c>
      <c r="N543" s="1">
        <v>2</v>
      </c>
      <c r="O543" s="3">
        <v>46233.65914210648</v>
      </c>
    </row>
    <row r="544" spans="1:15" ht="225" x14ac:dyDescent="0.25">
      <c r="A544" s="5" t="s">
        <v>1796</v>
      </c>
      <c r="B544" s="1" t="s">
        <v>7374</v>
      </c>
      <c r="C544" s="1">
        <v>1976</v>
      </c>
      <c r="D544" s="1" t="s">
        <v>14</v>
      </c>
      <c r="G544" s="1" t="s">
        <v>11</v>
      </c>
      <c r="J544" s="3">
        <v>45416.693912037037</v>
      </c>
      <c r="K544" s="2" t="s">
        <v>7375</v>
      </c>
      <c r="L544" s="1">
        <v>11</v>
      </c>
      <c r="M544" s="1">
        <v>11</v>
      </c>
      <c r="N544" s="1">
        <v>0</v>
      </c>
      <c r="O544" s="3">
        <v>46233.65914210648</v>
      </c>
    </row>
    <row r="545" spans="1:15" ht="45" x14ac:dyDescent="0.25">
      <c r="A545" s="5" t="s">
        <v>1799</v>
      </c>
      <c r="B545" s="1" t="s">
        <v>7376</v>
      </c>
      <c r="C545" s="1" t="s">
        <v>12</v>
      </c>
      <c r="G545" s="1" t="s">
        <v>11</v>
      </c>
      <c r="J545" s="3">
        <v>45534.596574074072</v>
      </c>
      <c r="K545" s="2" t="s">
        <v>7377</v>
      </c>
      <c r="L545" s="1">
        <v>1</v>
      </c>
      <c r="M545" s="1">
        <v>1</v>
      </c>
      <c r="N545" s="1">
        <v>0</v>
      </c>
      <c r="O545" s="3">
        <v>46233.65914210648</v>
      </c>
    </row>
    <row r="546" spans="1:15" ht="30" x14ac:dyDescent="0.25">
      <c r="A546" s="5" t="s">
        <v>1802</v>
      </c>
      <c r="B546" s="1" t="s">
        <v>7378</v>
      </c>
      <c r="C546" s="1" t="s">
        <v>12</v>
      </c>
      <c r="G546" s="1" t="s">
        <v>11</v>
      </c>
      <c r="J546" s="3">
        <v>45504.491701388892</v>
      </c>
      <c r="K546" s="2" t="s">
        <v>7379</v>
      </c>
      <c r="L546" s="1">
        <v>1</v>
      </c>
      <c r="M546" s="1">
        <v>1</v>
      </c>
      <c r="N546" s="1">
        <v>0</v>
      </c>
      <c r="O546" s="3">
        <v>46233.65914210648</v>
      </c>
    </row>
    <row r="547" spans="1:15" x14ac:dyDescent="0.25">
      <c r="A547" s="5" t="s">
        <v>1805</v>
      </c>
      <c r="B547" s="1" t="s">
        <v>7380</v>
      </c>
      <c r="C547" s="1" t="s">
        <v>12</v>
      </c>
      <c r="G547" s="1" t="s">
        <v>11</v>
      </c>
      <c r="J547" s="3">
        <v>45416.792858796296</v>
      </c>
      <c r="L547" s="1">
        <v>1</v>
      </c>
      <c r="M547" s="1">
        <v>1</v>
      </c>
      <c r="N547" s="1">
        <v>0</v>
      </c>
      <c r="O547" s="3">
        <v>46233.65914210648</v>
      </c>
    </row>
    <row r="548" spans="1:15" ht="45" x14ac:dyDescent="0.25">
      <c r="A548" s="5" t="s">
        <v>1808</v>
      </c>
      <c r="B548" s="1" t="s">
        <v>7381</v>
      </c>
      <c r="C548" s="1" t="s">
        <v>12</v>
      </c>
      <c r="G548" s="1" t="s">
        <v>10</v>
      </c>
      <c r="J548" s="3">
        <v>45449.454594907409</v>
      </c>
      <c r="K548" s="2" t="s">
        <v>7382</v>
      </c>
      <c r="L548" s="1">
        <v>3</v>
      </c>
      <c r="M548" s="1">
        <v>3</v>
      </c>
      <c r="N548" s="1">
        <v>0</v>
      </c>
      <c r="O548" s="3">
        <v>46233.65914210648</v>
      </c>
    </row>
    <row r="549" spans="1:15" ht="30" x14ac:dyDescent="0.25">
      <c r="A549" s="5" t="s">
        <v>1811</v>
      </c>
      <c r="B549" s="1" t="s">
        <v>7383</v>
      </c>
      <c r="C549" s="1" t="s">
        <v>12</v>
      </c>
      <c r="G549" s="1" t="s">
        <v>11</v>
      </c>
      <c r="J549" s="3">
        <v>45416.856631944444</v>
      </c>
      <c r="K549" s="2" t="s">
        <v>7384</v>
      </c>
      <c r="L549" s="1">
        <v>6</v>
      </c>
      <c r="M549" s="1">
        <v>8</v>
      </c>
      <c r="N549" s="1">
        <v>2</v>
      </c>
      <c r="O549" s="3">
        <v>46233.65914210648</v>
      </c>
    </row>
    <row r="550" spans="1:15" x14ac:dyDescent="0.25">
      <c r="A550" s="5" t="s">
        <v>1814</v>
      </c>
      <c r="B550" s="1" t="s">
        <v>7385</v>
      </c>
      <c r="J550" s="3">
        <v>45434.58394675926</v>
      </c>
      <c r="K550" s="2" t="s">
        <v>7386</v>
      </c>
      <c r="L550" s="1">
        <v>3</v>
      </c>
      <c r="M550" s="1">
        <v>3</v>
      </c>
      <c r="N550" s="1">
        <v>0</v>
      </c>
      <c r="O550" s="3">
        <v>46233.65914210648</v>
      </c>
    </row>
    <row r="551" spans="1:15" ht="30" x14ac:dyDescent="0.25">
      <c r="A551" s="5" t="s">
        <v>1817</v>
      </c>
      <c r="B551" s="1" t="s">
        <v>7387</v>
      </c>
      <c r="C551" s="1" t="s">
        <v>12</v>
      </c>
      <c r="G551" s="1" t="s">
        <v>11</v>
      </c>
      <c r="J551" s="3">
        <v>45428.364444444444</v>
      </c>
      <c r="K551" s="2" t="s">
        <v>7388</v>
      </c>
      <c r="L551" s="1">
        <v>1</v>
      </c>
      <c r="M551" s="1">
        <v>1</v>
      </c>
      <c r="N551" s="1">
        <v>0</v>
      </c>
      <c r="O551" s="3">
        <v>46233.65914210648</v>
      </c>
    </row>
    <row r="552" spans="1:15" ht="60" x14ac:dyDescent="0.25">
      <c r="A552" s="5" t="s">
        <v>1820</v>
      </c>
      <c r="B552" s="1" t="s">
        <v>7389</v>
      </c>
      <c r="C552" s="1">
        <v>1964</v>
      </c>
      <c r="G552" s="1" t="s">
        <v>11</v>
      </c>
      <c r="J552" s="3">
        <v>45525.582592592589</v>
      </c>
      <c r="K552" s="2" t="s">
        <v>7390</v>
      </c>
      <c r="L552" s="1">
        <v>3</v>
      </c>
      <c r="M552" s="1">
        <v>6</v>
      </c>
      <c r="N552" s="1">
        <v>3</v>
      </c>
      <c r="O552" s="3">
        <v>46233.65914210648</v>
      </c>
    </row>
    <row r="553" spans="1:15" x14ac:dyDescent="0.25">
      <c r="A553" s="5" t="s">
        <v>1823</v>
      </c>
      <c r="B553" s="1" t="s">
        <v>7391</v>
      </c>
      <c r="C553" s="1">
        <v>1963</v>
      </c>
      <c r="J553" s="3">
        <v>45414.753958333335</v>
      </c>
      <c r="L553" s="1">
        <v>9</v>
      </c>
      <c r="M553" s="1">
        <v>9</v>
      </c>
      <c r="N553" s="1">
        <v>0</v>
      </c>
      <c r="O553" s="3">
        <v>46233.65914210648</v>
      </c>
    </row>
    <row r="554" spans="1:15" ht="30" x14ac:dyDescent="0.25">
      <c r="A554" s="5" t="s">
        <v>1826</v>
      </c>
      <c r="B554" s="1" t="s">
        <v>7392</v>
      </c>
      <c r="C554" s="1" t="s">
        <v>12</v>
      </c>
      <c r="G554" s="1" t="s">
        <v>10</v>
      </c>
      <c r="J554" s="3">
        <v>45567.686388888891</v>
      </c>
      <c r="K554" s="2" t="s">
        <v>7393</v>
      </c>
      <c r="L554" s="1">
        <v>1</v>
      </c>
      <c r="M554" s="1">
        <v>1</v>
      </c>
      <c r="N554" s="1">
        <v>0</v>
      </c>
      <c r="O554" s="3">
        <v>46233.65914210648</v>
      </c>
    </row>
    <row r="555" spans="1:15" x14ac:dyDescent="0.25">
      <c r="A555" s="5" t="s">
        <v>1829</v>
      </c>
      <c r="B555" s="1" t="s">
        <v>7394</v>
      </c>
      <c r="C555" s="1" t="s">
        <v>12</v>
      </c>
      <c r="G555" s="1" t="s">
        <v>11</v>
      </c>
      <c r="J555" s="3">
        <v>45531.472685185188</v>
      </c>
      <c r="K555" s="2" t="s">
        <v>7395</v>
      </c>
      <c r="L555" s="1">
        <v>2</v>
      </c>
      <c r="M555" s="1">
        <v>3</v>
      </c>
      <c r="N555" s="1">
        <v>1</v>
      </c>
      <c r="O555" s="3">
        <v>46233.65914210648</v>
      </c>
    </row>
    <row r="556" spans="1:15" ht="45" x14ac:dyDescent="0.25">
      <c r="A556" s="5" t="s">
        <v>1832</v>
      </c>
      <c r="B556" s="1" t="s">
        <v>7396</v>
      </c>
      <c r="C556" s="1">
        <v>1693</v>
      </c>
      <c r="D556" s="1" t="s">
        <v>14</v>
      </c>
      <c r="E556" s="1">
        <v>1756</v>
      </c>
      <c r="F556" s="1" t="s">
        <v>7399</v>
      </c>
      <c r="G556" s="1" t="s">
        <v>10</v>
      </c>
      <c r="J556" s="3">
        <v>45573.705543981479</v>
      </c>
      <c r="K556" s="2" t="s">
        <v>7400</v>
      </c>
      <c r="L556" s="1">
        <v>1</v>
      </c>
      <c r="M556" s="1">
        <v>1</v>
      </c>
      <c r="N556" s="1">
        <v>0</v>
      </c>
      <c r="O556" s="3">
        <v>46233.65914210648</v>
      </c>
    </row>
    <row r="557" spans="1:15" x14ac:dyDescent="0.25">
      <c r="A557" s="5" t="s">
        <v>1835</v>
      </c>
      <c r="B557" s="1" t="s">
        <v>7401</v>
      </c>
      <c r="C557" s="1">
        <v>2015</v>
      </c>
      <c r="J557" s="3">
        <v>45414.851134259261</v>
      </c>
      <c r="L557" s="1">
        <v>3</v>
      </c>
      <c r="M557" s="1">
        <v>3</v>
      </c>
      <c r="N557" s="1">
        <v>0</v>
      </c>
      <c r="O557" s="3">
        <v>46233.65914210648</v>
      </c>
    </row>
    <row r="558" spans="1:15" x14ac:dyDescent="0.25">
      <c r="A558" s="5" t="s">
        <v>1838</v>
      </c>
      <c r="B558" s="1" t="s">
        <v>7402</v>
      </c>
      <c r="C558" s="1">
        <v>1984</v>
      </c>
      <c r="G558" s="1" t="s">
        <v>10</v>
      </c>
      <c r="J558" s="3">
        <v>45417.033078703702</v>
      </c>
      <c r="K558" s="2" t="s">
        <v>6369</v>
      </c>
      <c r="L558" s="1">
        <v>3</v>
      </c>
      <c r="M558" s="1">
        <v>3</v>
      </c>
      <c r="N558" s="1">
        <v>0</v>
      </c>
      <c r="O558" s="3">
        <v>46233.65914210648</v>
      </c>
    </row>
    <row r="559" spans="1:15" ht="30" x14ac:dyDescent="0.25">
      <c r="A559" s="5" t="s">
        <v>1841</v>
      </c>
      <c r="B559" s="1" t="s">
        <v>7403</v>
      </c>
      <c r="C559" s="1">
        <v>1940</v>
      </c>
      <c r="G559" s="1" t="s">
        <v>10</v>
      </c>
      <c r="J559" s="3">
        <v>45538.577048611114</v>
      </c>
      <c r="K559" s="2" t="s">
        <v>7404</v>
      </c>
      <c r="L559" s="1">
        <v>23</v>
      </c>
      <c r="M559" s="1">
        <v>35</v>
      </c>
      <c r="N559" s="1">
        <v>12</v>
      </c>
      <c r="O559" s="3">
        <v>46233.65914210648</v>
      </c>
    </row>
    <row r="560" spans="1:15" ht="45" x14ac:dyDescent="0.25">
      <c r="A560" s="5" t="s">
        <v>1844</v>
      </c>
      <c r="B560" s="1" t="s">
        <v>7405</v>
      </c>
      <c r="C560" s="1" t="s">
        <v>7406</v>
      </c>
      <c r="G560" s="1" t="s">
        <v>11</v>
      </c>
      <c r="J560" s="3">
        <v>45418.303819444445</v>
      </c>
      <c r="K560" s="2" t="s">
        <v>7407</v>
      </c>
      <c r="L560" s="1">
        <v>1</v>
      </c>
      <c r="M560" s="1">
        <v>1</v>
      </c>
      <c r="N560" s="1">
        <v>0</v>
      </c>
      <c r="O560" s="3">
        <v>46233.65914210648</v>
      </c>
    </row>
    <row r="561" spans="1:15" ht="60" x14ac:dyDescent="0.25">
      <c r="A561" s="5" t="s">
        <v>1847</v>
      </c>
      <c r="B561" s="1" t="s">
        <v>7408</v>
      </c>
      <c r="C561" s="1">
        <v>1966</v>
      </c>
      <c r="G561" s="1" t="s">
        <v>10</v>
      </c>
      <c r="J561" s="3">
        <v>45483.374814814815</v>
      </c>
      <c r="K561" s="2" t="s">
        <v>7409</v>
      </c>
      <c r="L561" s="1">
        <v>1</v>
      </c>
      <c r="M561" s="1">
        <v>3</v>
      </c>
      <c r="N561" s="1">
        <v>2</v>
      </c>
      <c r="O561" s="3">
        <v>46233.65914210648</v>
      </c>
    </row>
    <row r="562" spans="1:15" ht="45" x14ac:dyDescent="0.25">
      <c r="A562" s="5" t="s">
        <v>1850</v>
      </c>
      <c r="B562" s="1" t="s">
        <v>7410</v>
      </c>
      <c r="C562" s="1" t="s">
        <v>12</v>
      </c>
      <c r="G562" s="1" t="s">
        <v>10</v>
      </c>
      <c r="J562" s="3">
        <v>45519.485844907409</v>
      </c>
      <c r="K562" s="2" t="s">
        <v>7411</v>
      </c>
      <c r="L562" s="1">
        <v>2</v>
      </c>
      <c r="M562" s="1">
        <v>2</v>
      </c>
      <c r="N562" s="1">
        <v>0</v>
      </c>
      <c r="O562" s="3">
        <v>46233.65914210648</v>
      </c>
    </row>
    <row r="563" spans="1:15" x14ac:dyDescent="0.25">
      <c r="A563" s="5" t="s">
        <v>1853</v>
      </c>
      <c r="B563" s="1" t="s">
        <v>7412</v>
      </c>
      <c r="C563" s="1">
        <v>1974</v>
      </c>
      <c r="G563" s="1" t="s">
        <v>10</v>
      </c>
      <c r="J563" s="3">
        <v>45421.517488425925</v>
      </c>
      <c r="L563" s="1">
        <v>24</v>
      </c>
      <c r="M563" s="1">
        <v>33</v>
      </c>
      <c r="N563" s="1">
        <v>9</v>
      </c>
      <c r="O563" s="3">
        <v>46233.65914210648</v>
      </c>
    </row>
    <row r="564" spans="1:15" ht="30" x14ac:dyDescent="0.25">
      <c r="A564" s="5" t="s">
        <v>1856</v>
      </c>
      <c r="B564" s="1" t="s">
        <v>7413</v>
      </c>
      <c r="C564" s="1" t="s">
        <v>12</v>
      </c>
      <c r="G564" s="1" t="s">
        <v>11</v>
      </c>
      <c r="J564" s="3">
        <v>45428.369201388887</v>
      </c>
      <c r="K564" s="2" t="s">
        <v>7388</v>
      </c>
      <c r="L564" s="1">
        <v>1</v>
      </c>
      <c r="M564" s="1">
        <v>1</v>
      </c>
      <c r="N564" s="1">
        <v>0</v>
      </c>
      <c r="O564" s="3">
        <v>46233.65914210648</v>
      </c>
    </row>
    <row r="565" spans="1:15" x14ac:dyDescent="0.25">
      <c r="A565" s="5" t="s">
        <v>1859</v>
      </c>
      <c r="B565" s="1" t="s">
        <v>7414</v>
      </c>
      <c r="C565" s="1">
        <v>1967</v>
      </c>
      <c r="J565" s="3">
        <v>45415.095613425925</v>
      </c>
      <c r="L565" s="1">
        <v>1</v>
      </c>
      <c r="M565" s="1">
        <v>1</v>
      </c>
      <c r="N565" s="1">
        <v>0</v>
      </c>
      <c r="O565" s="3">
        <v>46233.65914210648</v>
      </c>
    </row>
    <row r="566" spans="1:15" ht="75" x14ac:dyDescent="0.25">
      <c r="A566" s="5" t="s">
        <v>1862</v>
      </c>
      <c r="B566" s="1" t="s">
        <v>7415</v>
      </c>
      <c r="C566" s="1" t="s">
        <v>12</v>
      </c>
      <c r="G566" s="1" t="s">
        <v>10</v>
      </c>
      <c r="J566" s="3">
        <v>45450.40221064815</v>
      </c>
      <c r="K566" s="2" t="s">
        <v>7416</v>
      </c>
      <c r="L566" s="1">
        <v>1</v>
      </c>
      <c r="M566" s="1">
        <v>2</v>
      </c>
      <c r="N566" s="1">
        <v>1</v>
      </c>
      <c r="O566" s="3">
        <v>46233.65914210648</v>
      </c>
    </row>
    <row r="567" spans="1:15" x14ac:dyDescent="0.25">
      <c r="A567" s="5" t="s">
        <v>1865</v>
      </c>
      <c r="B567" s="1" t="s">
        <v>7417</v>
      </c>
      <c r="G567" s="1" t="s">
        <v>11</v>
      </c>
      <c r="J567" s="3">
        <v>45421.517476851855</v>
      </c>
      <c r="L567" s="1">
        <v>14</v>
      </c>
      <c r="M567" s="1">
        <v>14</v>
      </c>
      <c r="N567" s="1">
        <v>0</v>
      </c>
      <c r="O567" s="3">
        <v>46233.65914210648</v>
      </c>
    </row>
    <row r="568" spans="1:15" x14ac:dyDescent="0.25">
      <c r="A568" s="5" t="s">
        <v>1868</v>
      </c>
      <c r="B568" s="1" t="s">
        <v>7418</v>
      </c>
      <c r="J568" s="3">
        <v>45414.731759259259</v>
      </c>
      <c r="L568" s="1">
        <v>3</v>
      </c>
      <c r="M568" s="1">
        <v>4</v>
      </c>
      <c r="N568" s="1">
        <v>1</v>
      </c>
      <c r="O568" s="3">
        <v>46233.65914210648</v>
      </c>
    </row>
    <row r="569" spans="1:15" ht="60" x14ac:dyDescent="0.25">
      <c r="A569" s="5" t="s">
        <v>1871</v>
      </c>
      <c r="B569" s="1" t="s">
        <v>7419</v>
      </c>
      <c r="C569" s="1" t="s">
        <v>12</v>
      </c>
      <c r="G569" s="1" t="s">
        <v>10</v>
      </c>
      <c r="J569" s="3">
        <v>45527.768252314818</v>
      </c>
      <c r="K569" s="2" t="s">
        <v>7420</v>
      </c>
      <c r="L569" s="1">
        <v>2</v>
      </c>
      <c r="M569" s="1">
        <v>2</v>
      </c>
      <c r="N569" s="1">
        <v>0</v>
      </c>
      <c r="O569" s="3">
        <v>46233.65914210648</v>
      </c>
    </row>
    <row r="570" spans="1:15" x14ac:dyDescent="0.25">
      <c r="A570" s="5" t="s">
        <v>1874</v>
      </c>
      <c r="B570" s="1" t="s">
        <v>7421</v>
      </c>
      <c r="C570" s="1">
        <v>2006</v>
      </c>
      <c r="J570" s="3">
        <v>45415.170578703706</v>
      </c>
      <c r="L570" s="1">
        <v>4</v>
      </c>
      <c r="M570" s="1">
        <v>4</v>
      </c>
      <c r="N570" s="1">
        <v>0</v>
      </c>
      <c r="O570" s="3">
        <v>46233.65914210648</v>
      </c>
    </row>
    <row r="571" spans="1:15" x14ac:dyDescent="0.25">
      <c r="A571" s="5" t="s">
        <v>1877</v>
      </c>
      <c r="B571" s="1" t="s">
        <v>7422</v>
      </c>
      <c r="C571" s="1" t="s">
        <v>12</v>
      </c>
      <c r="G571" s="1" t="s">
        <v>10</v>
      </c>
      <c r="J571" s="3">
        <v>45441.385937500003</v>
      </c>
      <c r="L571" s="1">
        <v>1</v>
      </c>
      <c r="M571" s="1">
        <v>1</v>
      </c>
      <c r="N571" s="1">
        <v>0</v>
      </c>
      <c r="O571" s="3">
        <v>46233.65914210648</v>
      </c>
    </row>
    <row r="572" spans="1:15" x14ac:dyDescent="0.25">
      <c r="A572" s="5" t="s">
        <v>1880</v>
      </c>
      <c r="B572" s="1" t="s">
        <v>7423</v>
      </c>
      <c r="C572" s="1">
        <v>1985</v>
      </c>
      <c r="J572" s="3">
        <v>45415.301145833335</v>
      </c>
      <c r="L572" s="1">
        <v>3</v>
      </c>
      <c r="M572" s="1">
        <v>3</v>
      </c>
      <c r="N572" s="1">
        <v>0</v>
      </c>
      <c r="O572" s="3">
        <v>46233.65914210648</v>
      </c>
    </row>
    <row r="573" spans="1:15" ht="135" x14ac:dyDescent="0.25">
      <c r="A573" s="5" t="s">
        <v>1883</v>
      </c>
      <c r="B573" s="1" t="s">
        <v>7424</v>
      </c>
      <c r="C573" s="1">
        <v>1997</v>
      </c>
      <c r="G573" s="1" t="s">
        <v>10</v>
      </c>
      <c r="J573" s="3">
        <v>45575.572199074071</v>
      </c>
      <c r="K573" s="2" t="s">
        <v>7425</v>
      </c>
      <c r="L573" s="1">
        <v>1</v>
      </c>
      <c r="M573" s="1">
        <v>1</v>
      </c>
      <c r="N573" s="1">
        <v>0</v>
      </c>
      <c r="O573" s="3">
        <v>46233.65914210648</v>
      </c>
    </row>
    <row r="574" spans="1:15" ht="60" x14ac:dyDescent="0.25">
      <c r="A574" s="5" t="s">
        <v>1886</v>
      </c>
      <c r="B574" s="1" t="s">
        <v>7426</v>
      </c>
      <c r="C574" s="1" t="s">
        <v>12</v>
      </c>
      <c r="G574" s="1" t="s">
        <v>10</v>
      </c>
      <c r="J574" s="3">
        <v>45485.478182870371</v>
      </c>
      <c r="K574" s="2" t="s">
        <v>7427</v>
      </c>
      <c r="L574" s="1">
        <v>1</v>
      </c>
      <c r="M574" s="1">
        <v>1</v>
      </c>
      <c r="N574" s="1">
        <v>0</v>
      </c>
      <c r="O574" s="3">
        <v>46233.65914210648</v>
      </c>
    </row>
    <row r="575" spans="1:15" x14ac:dyDescent="0.25">
      <c r="A575" s="5" t="s">
        <v>1889</v>
      </c>
      <c r="B575" s="1" t="s">
        <v>7428</v>
      </c>
      <c r="C575" s="1" t="s">
        <v>12</v>
      </c>
      <c r="J575" s="3">
        <v>45416.746886574074</v>
      </c>
      <c r="K575" s="2" t="s">
        <v>7429</v>
      </c>
      <c r="L575" s="1">
        <v>2</v>
      </c>
      <c r="M575" s="1">
        <v>3</v>
      </c>
      <c r="N575" s="1">
        <v>1</v>
      </c>
      <c r="O575" s="3">
        <v>46233.65914210648</v>
      </c>
    </row>
    <row r="576" spans="1:15" x14ac:dyDescent="0.25">
      <c r="A576" s="5" t="s">
        <v>1892</v>
      </c>
      <c r="B576" s="1" t="s">
        <v>7430</v>
      </c>
      <c r="C576" s="1">
        <v>2014</v>
      </c>
      <c r="J576" s="3">
        <v>45415.358055555553</v>
      </c>
      <c r="L576" s="1">
        <v>1</v>
      </c>
      <c r="M576" s="1">
        <v>1</v>
      </c>
      <c r="N576" s="1">
        <v>0</v>
      </c>
      <c r="O576" s="3">
        <v>46233.65914210648</v>
      </c>
    </row>
    <row r="577" spans="1:15" ht="75" x14ac:dyDescent="0.25">
      <c r="A577" s="5" t="s">
        <v>1895</v>
      </c>
      <c r="B577" s="1" t="s">
        <v>7431</v>
      </c>
      <c r="G577" s="1" t="s">
        <v>11</v>
      </c>
      <c r="J577" s="3">
        <v>45569.370520833334</v>
      </c>
      <c r="K577" s="2" t="s">
        <v>7432</v>
      </c>
      <c r="L577" s="1">
        <v>4</v>
      </c>
      <c r="M577" s="1">
        <v>6</v>
      </c>
      <c r="N577" s="1">
        <v>2</v>
      </c>
      <c r="O577" s="3">
        <v>46233.65914210648</v>
      </c>
    </row>
    <row r="578" spans="1:15" ht="60" x14ac:dyDescent="0.25">
      <c r="A578" s="5" t="s">
        <v>1898</v>
      </c>
      <c r="B578" s="1" t="s">
        <v>7433</v>
      </c>
      <c r="C578" s="1">
        <v>1970</v>
      </c>
      <c r="G578" s="1" t="s">
        <v>11</v>
      </c>
      <c r="J578" s="3">
        <v>45567.682939814818</v>
      </c>
      <c r="K578" s="2" t="s">
        <v>7434</v>
      </c>
      <c r="L578" s="1">
        <v>1</v>
      </c>
      <c r="M578" s="1">
        <v>1</v>
      </c>
      <c r="N578" s="1">
        <v>0</v>
      </c>
      <c r="O578" s="3">
        <v>46233.65914210648</v>
      </c>
    </row>
    <row r="579" spans="1:15" ht="45" x14ac:dyDescent="0.25">
      <c r="A579" s="5" t="s">
        <v>1901</v>
      </c>
      <c r="B579" s="1" t="s">
        <v>7435</v>
      </c>
      <c r="C579" s="1">
        <v>1863</v>
      </c>
      <c r="D579" s="1" t="s">
        <v>7437</v>
      </c>
      <c r="E579" s="1" t="s">
        <v>12</v>
      </c>
      <c r="G579" s="1" t="s">
        <v>11</v>
      </c>
      <c r="J579" s="3">
        <v>45771.366122685184</v>
      </c>
      <c r="K579" s="2" t="s">
        <v>7438</v>
      </c>
      <c r="L579" s="1">
        <v>8</v>
      </c>
      <c r="M579" s="1">
        <v>8</v>
      </c>
      <c r="N579" s="1">
        <v>0</v>
      </c>
      <c r="O579" s="3">
        <v>46233.65914210648</v>
      </c>
    </row>
    <row r="580" spans="1:15" ht="45" x14ac:dyDescent="0.25">
      <c r="A580" s="5" t="s">
        <v>1904</v>
      </c>
      <c r="B580" s="1" t="s">
        <v>7439</v>
      </c>
      <c r="C580" s="1" t="s">
        <v>12</v>
      </c>
      <c r="G580" s="1" t="s">
        <v>11</v>
      </c>
      <c r="J580" s="3">
        <v>45686.511782407404</v>
      </c>
      <c r="K580" s="2" t="s">
        <v>7440</v>
      </c>
      <c r="L580" s="1">
        <v>2</v>
      </c>
      <c r="M580" s="1">
        <v>3</v>
      </c>
      <c r="N580" s="1">
        <v>1</v>
      </c>
      <c r="O580" s="3">
        <v>46233.65914210648</v>
      </c>
    </row>
    <row r="581" spans="1:15" x14ac:dyDescent="0.25">
      <c r="A581" s="5" t="s">
        <v>1907</v>
      </c>
      <c r="B581" s="1" t="s">
        <v>7441</v>
      </c>
      <c r="C581" s="1">
        <v>1999</v>
      </c>
      <c r="J581" s="3">
        <v>45415.584490740737</v>
      </c>
      <c r="L581" s="1">
        <v>1</v>
      </c>
      <c r="M581" s="1">
        <v>1</v>
      </c>
      <c r="N581" s="1">
        <v>0</v>
      </c>
      <c r="O581" s="3">
        <v>46233.65914210648</v>
      </c>
    </row>
    <row r="582" spans="1:15" ht="30" x14ac:dyDescent="0.25">
      <c r="A582" s="5" t="s">
        <v>1910</v>
      </c>
      <c r="B582" s="1" t="s">
        <v>7442</v>
      </c>
      <c r="C582" s="1" t="s">
        <v>12</v>
      </c>
      <c r="G582" s="1" t="s">
        <v>11</v>
      </c>
      <c r="J582" s="3">
        <v>45749.641782407409</v>
      </c>
      <c r="K582" s="2" t="s">
        <v>7443</v>
      </c>
      <c r="L582" s="1">
        <v>1</v>
      </c>
      <c r="M582" s="1">
        <v>1</v>
      </c>
      <c r="N582" s="1">
        <v>0</v>
      </c>
      <c r="O582" s="3">
        <v>46233.65914210648</v>
      </c>
    </row>
    <row r="583" spans="1:15" ht="180" x14ac:dyDescent="0.25">
      <c r="A583" s="5" t="s">
        <v>1913</v>
      </c>
      <c r="B583" s="1" t="s">
        <v>7444</v>
      </c>
      <c r="G583" s="1" t="s">
        <v>11</v>
      </c>
      <c r="J583" s="3">
        <v>45624.448113425926</v>
      </c>
      <c r="K583" s="2" t="s">
        <v>7445</v>
      </c>
      <c r="L583" s="1">
        <v>3</v>
      </c>
      <c r="M583" s="1">
        <v>4</v>
      </c>
      <c r="N583" s="1">
        <v>1</v>
      </c>
      <c r="O583" s="3">
        <v>46233.65914210648</v>
      </c>
    </row>
    <row r="584" spans="1:15" x14ac:dyDescent="0.25">
      <c r="A584" s="5" t="s">
        <v>1916</v>
      </c>
      <c r="B584" s="1" t="s">
        <v>7446</v>
      </c>
      <c r="C584" s="1" t="s">
        <v>12</v>
      </c>
      <c r="G584" s="1" t="s">
        <v>10</v>
      </c>
      <c r="J584" s="3">
        <v>45581.398217592592</v>
      </c>
      <c r="K584" s="2" t="s">
        <v>7447</v>
      </c>
      <c r="L584" s="1">
        <v>1</v>
      </c>
      <c r="M584" s="1">
        <v>1</v>
      </c>
      <c r="N584" s="1">
        <v>0</v>
      </c>
      <c r="O584" s="3">
        <v>46233.65914210648</v>
      </c>
    </row>
    <row r="585" spans="1:15" x14ac:dyDescent="0.25">
      <c r="A585" s="5" t="s">
        <v>1919</v>
      </c>
      <c r="B585" s="1" t="s">
        <v>7448</v>
      </c>
      <c r="C585" s="1">
        <v>1878</v>
      </c>
      <c r="J585" s="3">
        <v>45415.730347222219</v>
      </c>
      <c r="L585" s="1">
        <v>1</v>
      </c>
      <c r="M585" s="1">
        <v>1</v>
      </c>
      <c r="N585" s="1">
        <v>0</v>
      </c>
      <c r="O585" s="3">
        <v>46233.65914210648</v>
      </c>
    </row>
    <row r="586" spans="1:15" ht="300" x14ac:dyDescent="0.25">
      <c r="A586" s="5" t="s">
        <v>1922</v>
      </c>
      <c r="B586" s="1" t="s">
        <v>7449</v>
      </c>
      <c r="G586" s="1" t="s">
        <v>10</v>
      </c>
      <c r="J586" s="3">
        <v>45625.351157407407</v>
      </c>
      <c r="K586" s="2" t="s">
        <v>7450</v>
      </c>
      <c r="L586" s="1">
        <v>1</v>
      </c>
      <c r="M586" s="1">
        <v>2</v>
      </c>
      <c r="N586" s="1">
        <v>1</v>
      </c>
      <c r="O586" s="3">
        <v>46233.65914210648</v>
      </c>
    </row>
    <row r="587" spans="1:15" ht="45" x14ac:dyDescent="0.25">
      <c r="A587" s="5" t="s">
        <v>1925</v>
      </c>
      <c r="B587" s="1" t="s">
        <v>7451</v>
      </c>
      <c r="C587" s="1">
        <v>1940</v>
      </c>
      <c r="G587" s="1" t="s">
        <v>10</v>
      </c>
      <c r="H587" s="2" t="s">
        <v>7452</v>
      </c>
      <c r="I587" s="2" t="s">
        <v>140</v>
      </c>
      <c r="J587" s="3">
        <v>45681.685798611114</v>
      </c>
      <c r="K587" s="2" t="s">
        <v>7453</v>
      </c>
      <c r="L587" s="1">
        <v>30</v>
      </c>
      <c r="M587" s="1">
        <v>51</v>
      </c>
      <c r="N587" s="1">
        <v>21</v>
      </c>
      <c r="O587" s="3">
        <v>46233.65914210648</v>
      </c>
    </row>
    <row r="588" spans="1:15" x14ac:dyDescent="0.25">
      <c r="A588" s="5" t="s">
        <v>1928</v>
      </c>
      <c r="B588" s="1" t="s">
        <v>7454</v>
      </c>
      <c r="C588" s="1">
        <v>1974</v>
      </c>
      <c r="G588" s="1" t="s">
        <v>10</v>
      </c>
      <c r="J588" s="3">
        <v>45680.436041666668</v>
      </c>
      <c r="K588" s="2" t="s">
        <v>7455</v>
      </c>
      <c r="L588" s="1">
        <v>3</v>
      </c>
      <c r="M588" s="1">
        <v>3</v>
      </c>
      <c r="N588" s="1">
        <v>0</v>
      </c>
      <c r="O588" s="3">
        <v>46233.65914210648</v>
      </c>
    </row>
    <row r="589" spans="1:15" ht="60" x14ac:dyDescent="0.25">
      <c r="A589" s="5" t="s">
        <v>1931</v>
      </c>
      <c r="B589" s="1" t="s">
        <v>7456</v>
      </c>
      <c r="G589" s="1" t="s">
        <v>10</v>
      </c>
      <c r="J589" s="3">
        <v>45636.624374999999</v>
      </c>
      <c r="K589" s="2" t="s">
        <v>7457</v>
      </c>
      <c r="L589" s="1">
        <v>1</v>
      </c>
      <c r="M589" s="1">
        <v>1</v>
      </c>
      <c r="N589" s="1">
        <v>0</v>
      </c>
      <c r="O589" s="3">
        <v>46233.65914210648</v>
      </c>
    </row>
    <row r="590" spans="1:15" x14ac:dyDescent="0.25">
      <c r="A590" s="5" t="s">
        <v>1934</v>
      </c>
      <c r="B590" s="1" t="s">
        <v>7458</v>
      </c>
      <c r="C590" s="1">
        <v>1729</v>
      </c>
      <c r="D590" s="1" t="s">
        <v>14</v>
      </c>
      <c r="E590" s="1">
        <v>1801</v>
      </c>
      <c r="F590" s="1" t="s">
        <v>14</v>
      </c>
      <c r="G590" s="1" t="s">
        <v>10</v>
      </c>
      <c r="J590" s="3">
        <v>45597.686273148145</v>
      </c>
      <c r="K590" s="2" t="s">
        <v>7461</v>
      </c>
      <c r="L590" s="1">
        <v>1</v>
      </c>
      <c r="M590" s="1">
        <v>1</v>
      </c>
      <c r="N590" s="1">
        <v>0</v>
      </c>
      <c r="O590" s="3">
        <v>46233.65914210648</v>
      </c>
    </row>
    <row r="591" spans="1:15" ht="30" x14ac:dyDescent="0.25">
      <c r="A591" s="5" t="s">
        <v>1937</v>
      </c>
      <c r="B591" s="1" t="s">
        <v>7462</v>
      </c>
      <c r="C591" s="1">
        <v>1882</v>
      </c>
      <c r="E591" s="1">
        <v>1919</v>
      </c>
      <c r="G591" s="1" t="s">
        <v>10</v>
      </c>
      <c r="J591" s="3">
        <v>45762.70171296296</v>
      </c>
      <c r="K591" s="2" t="s">
        <v>7464</v>
      </c>
      <c r="L591" s="1">
        <v>1</v>
      </c>
      <c r="M591" s="1">
        <v>1</v>
      </c>
      <c r="N591" s="1">
        <v>0</v>
      </c>
      <c r="O591" s="3">
        <v>46233.65914210648</v>
      </c>
    </row>
    <row r="592" spans="1:15" x14ac:dyDescent="0.25">
      <c r="A592" s="5" t="s">
        <v>1940</v>
      </c>
      <c r="B592" s="1" t="s">
        <v>7465</v>
      </c>
      <c r="G592" s="1" t="s">
        <v>11</v>
      </c>
      <c r="J592" s="3">
        <v>45471.42496527778</v>
      </c>
      <c r="L592" s="1">
        <v>2</v>
      </c>
      <c r="M592" s="1">
        <v>10</v>
      </c>
      <c r="N592" s="1">
        <v>8</v>
      </c>
      <c r="O592" s="3">
        <v>46233.65914210648</v>
      </c>
    </row>
    <row r="593" spans="1:15" ht="30" x14ac:dyDescent="0.25">
      <c r="A593" s="5" t="s">
        <v>1943</v>
      </c>
      <c r="B593" s="1" t="s">
        <v>7466</v>
      </c>
      <c r="C593" s="1">
        <v>1706</v>
      </c>
      <c r="E593" s="1">
        <v>1776</v>
      </c>
      <c r="G593" s="1" t="s">
        <v>10</v>
      </c>
      <c r="J593" s="3">
        <v>45810.392696759256</v>
      </c>
      <c r="K593" s="2" t="s">
        <v>7469</v>
      </c>
      <c r="L593" s="1">
        <v>1</v>
      </c>
      <c r="M593" s="1">
        <v>1</v>
      </c>
      <c r="N593" s="1">
        <v>0</v>
      </c>
      <c r="O593" s="3">
        <v>46233.65914210648</v>
      </c>
    </row>
    <row r="594" spans="1:15" ht="75" x14ac:dyDescent="0.25">
      <c r="A594" s="5" t="s">
        <v>1946</v>
      </c>
      <c r="B594" s="1" t="s">
        <v>7470</v>
      </c>
      <c r="C594" s="1">
        <v>1945</v>
      </c>
      <c r="J594" s="3">
        <v>45670.453055555554</v>
      </c>
      <c r="K594" s="2" t="s">
        <v>7471</v>
      </c>
      <c r="L594" s="1">
        <v>125</v>
      </c>
      <c r="M594" s="1">
        <v>135</v>
      </c>
      <c r="N594" s="1">
        <v>10</v>
      </c>
      <c r="O594" s="3">
        <v>46233.65914210648</v>
      </c>
    </row>
    <row r="595" spans="1:15" ht="30" x14ac:dyDescent="0.25">
      <c r="A595" s="5" t="s">
        <v>1949</v>
      </c>
      <c r="B595" s="1" t="s">
        <v>7472</v>
      </c>
      <c r="C595" s="1" t="s">
        <v>12</v>
      </c>
      <c r="G595" s="1" t="s">
        <v>11</v>
      </c>
      <c r="J595" s="3">
        <v>45670.490046296298</v>
      </c>
      <c r="K595" s="2" t="s">
        <v>7473</v>
      </c>
      <c r="L595" s="1">
        <v>2</v>
      </c>
      <c r="M595" s="1">
        <v>2</v>
      </c>
      <c r="N595" s="1">
        <v>0</v>
      </c>
      <c r="O595" s="3">
        <v>46233.65914210648</v>
      </c>
    </row>
    <row r="596" spans="1:15" x14ac:dyDescent="0.25">
      <c r="A596" s="5" t="s">
        <v>1952</v>
      </c>
      <c r="B596" s="1" t="s">
        <v>7474</v>
      </c>
      <c r="C596" s="1" t="s">
        <v>12</v>
      </c>
      <c r="G596" s="1" t="s">
        <v>11</v>
      </c>
      <c r="J596" s="3">
        <v>45483.425451388888</v>
      </c>
      <c r="L596" s="1">
        <v>3</v>
      </c>
      <c r="M596" s="1">
        <v>3</v>
      </c>
      <c r="N596" s="1">
        <v>0</v>
      </c>
      <c r="O596" s="3">
        <v>46233.65914210648</v>
      </c>
    </row>
    <row r="597" spans="1:15" ht="120" x14ac:dyDescent="0.25">
      <c r="A597" s="5" t="s">
        <v>1955</v>
      </c>
      <c r="B597" s="1" t="s">
        <v>7475</v>
      </c>
      <c r="C597" s="1" t="s">
        <v>12</v>
      </c>
      <c r="G597" s="1" t="s">
        <v>10</v>
      </c>
      <c r="J597" s="3">
        <v>45624.588622685187</v>
      </c>
      <c r="K597" s="2" t="s">
        <v>7476</v>
      </c>
      <c r="L597" s="1">
        <v>1</v>
      </c>
      <c r="M597" s="1">
        <v>1</v>
      </c>
      <c r="N597" s="1">
        <v>0</v>
      </c>
      <c r="O597" s="3">
        <v>46233.65914210648</v>
      </c>
    </row>
    <row r="598" spans="1:15" ht="45" x14ac:dyDescent="0.25">
      <c r="A598" s="5" t="s">
        <v>1958</v>
      </c>
      <c r="B598" s="1" t="s">
        <v>7477</v>
      </c>
      <c r="C598" s="1" t="s">
        <v>7478</v>
      </c>
      <c r="E598" s="1">
        <v>1970</v>
      </c>
      <c r="G598" s="1" t="s">
        <v>10</v>
      </c>
      <c r="J598" s="3">
        <v>45678.615081018521</v>
      </c>
      <c r="K598" s="2" t="s">
        <v>7479</v>
      </c>
      <c r="L598" s="1">
        <v>1</v>
      </c>
      <c r="M598" s="1">
        <v>1</v>
      </c>
      <c r="N598" s="1">
        <v>0</v>
      </c>
      <c r="O598" s="3">
        <v>46233.65914210648</v>
      </c>
    </row>
    <row r="599" spans="1:15" ht="30" x14ac:dyDescent="0.25">
      <c r="A599" s="5" t="s">
        <v>1961</v>
      </c>
      <c r="B599" s="1" t="s">
        <v>7480</v>
      </c>
      <c r="C599" s="1">
        <v>1977</v>
      </c>
      <c r="G599" s="1" t="s">
        <v>10</v>
      </c>
      <c r="J599" s="3">
        <v>45624.380694444444</v>
      </c>
      <c r="K599" s="2" t="s">
        <v>7481</v>
      </c>
      <c r="L599" s="1">
        <v>2</v>
      </c>
      <c r="M599" s="1">
        <v>2</v>
      </c>
      <c r="N599" s="1">
        <v>0</v>
      </c>
      <c r="O599" s="3">
        <v>46233.65914210648</v>
      </c>
    </row>
    <row r="600" spans="1:15" ht="409.5" x14ac:dyDescent="0.25">
      <c r="A600" s="5" t="s">
        <v>1964</v>
      </c>
      <c r="B600" s="1" t="s">
        <v>7482</v>
      </c>
      <c r="C600" s="1">
        <v>1832</v>
      </c>
      <c r="E600" s="1">
        <v>1909</v>
      </c>
      <c r="G600" s="1" t="s">
        <v>10</v>
      </c>
      <c r="J600" s="3">
        <v>45763.397662037038</v>
      </c>
      <c r="K600" s="2" t="s">
        <v>7483</v>
      </c>
      <c r="L600" s="1">
        <v>1</v>
      </c>
      <c r="M600" s="1">
        <v>1</v>
      </c>
      <c r="N600" s="1">
        <v>0</v>
      </c>
      <c r="O600" s="3">
        <v>46233.65914210648</v>
      </c>
    </row>
    <row r="601" spans="1:15" ht="90" x14ac:dyDescent="0.25">
      <c r="A601" s="5" t="s">
        <v>1967</v>
      </c>
      <c r="B601" s="1" t="s">
        <v>7484</v>
      </c>
      <c r="C601" s="1" t="s">
        <v>12</v>
      </c>
      <c r="G601" s="1" t="s">
        <v>10</v>
      </c>
      <c r="J601" s="3">
        <v>45630.405636574076</v>
      </c>
      <c r="K601" s="2" t="s">
        <v>7485</v>
      </c>
      <c r="L601" s="1">
        <v>2</v>
      </c>
      <c r="M601" s="1">
        <v>3</v>
      </c>
      <c r="N601" s="1">
        <v>1</v>
      </c>
      <c r="O601" s="3">
        <v>46233.65914210648</v>
      </c>
    </row>
    <row r="602" spans="1:15" ht="45" x14ac:dyDescent="0.25">
      <c r="A602" s="5" t="s">
        <v>1970</v>
      </c>
      <c r="B602" s="1" t="s">
        <v>7486</v>
      </c>
      <c r="C602" s="1" t="s">
        <v>12</v>
      </c>
      <c r="J602" s="3">
        <v>45786.47111111111</v>
      </c>
      <c r="K602" s="2" t="s">
        <v>7487</v>
      </c>
      <c r="L602" s="1">
        <v>3</v>
      </c>
      <c r="M602" s="1">
        <v>3</v>
      </c>
      <c r="N602" s="1">
        <v>0</v>
      </c>
      <c r="O602" s="3">
        <v>46233.65914210648</v>
      </c>
    </row>
    <row r="603" spans="1:15" x14ac:dyDescent="0.25">
      <c r="A603" s="5" t="s">
        <v>1973</v>
      </c>
      <c r="B603" s="1" t="s">
        <v>7488</v>
      </c>
      <c r="C603" s="1">
        <v>1978</v>
      </c>
      <c r="J603" s="3">
        <v>45803.432129629633</v>
      </c>
      <c r="K603" s="2" t="s">
        <v>7489</v>
      </c>
      <c r="L603" s="1">
        <v>2</v>
      </c>
      <c r="M603" s="1">
        <v>2</v>
      </c>
      <c r="N603" s="1">
        <v>0</v>
      </c>
      <c r="O603" s="3">
        <v>46233.65914210648</v>
      </c>
    </row>
    <row r="604" spans="1:15" x14ac:dyDescent="0.25">
      <c r="A604" s="5" t="s">
        <v>1976</v>
      </c>
      <c r="B604" s="1" t="s">
        <v>7490</v>
      </c>
      <c r="C604" s="1" t="s">
        <v>12</v>
      </c>
      <c r="G604" s="1" t="s">
        <v>10</v>
      </c>
      <c r="J604" s="3">
        <v>45699.641145833331</v>
      </c>
      <c r="K604" s="2" t="s">
        <v>6771</v>
      </c>
      <c r="L604" s="1">
        <v>1</v>
      </c>
      <c r="M604" s="1">
        <v>1</v>
      </c>
      <c r="N604" s="1">
        <v>0</v>
      </c>
      <c r="O604" s="3">
        <v>46233.65914210648</v>
      </c>
    </row>
    <row r="605" spans="1:15" x14ac:dyDescent="0.25">
      <c r="A605" s="5" t="s">
        <v>1979</v>
      </c>
      <c r="B605" s="1" t="s">
        <v>7491</v>
      </c>
      <c r="C605" s="1">
        <v>2009</v>
      </c>
      <c r="J605" s="3">
        <v>45416.256712962961</v>
      </c>
      <c r="L605" s="1">
        <v>13</v>
      </c>
      <c r="M605" s="1">
        <v>14</v>
      </c>
      <c r="N605" s="1">
        <v>1</v>
      </c>
      <c r="O605" s="3">
        <v>46233.65914210648</v>
      </c>
    </row>
    <row r="606" spans="1:15" x14ac:dyDescent="0.25">
      <c r="A606" s="5" t="s">
        <v>1982</v>
      </c>
      <c r="B606" s="1" t="s">
        <v>7492</v>
      </c>
      <c r="C606" s="1">
        <v>1865</v>
      </c>
      <c r="E606" s="1">
        <v>1924</v>
      </c>
      <c r="G606" s="1" t="s">
        <v>10</v>
      </c>
      <c r="J606" s="3">
        <v>45723.389861111114</v>
      </c>
      <c r="K606" s="2" t="s">
        <v>6638</v>
      </c>
      <c r="L606" s="1">
        <v>1</v>
      </c>
      <c r="M606" s="1">
        <v>1</v>
      </c>
      <c r="N606" s="1">
        <v>0</v>
      </c>
      <c r="O606" s="3">
        <v>46233.65914210648</v>
      </c>
    </row>
    <row r="607" spans="1:15" x14ac:dyDescent="0.25">
      <c r="A607" s="5" t="s">
        <v>1985</v>
      </c>
      <c r="B607" s="1" t="s">
        <v>7493</v>
      </c>
      <c r="C607" s="1" t="s">
        <v>12</v>
      </c>
      <c r="G607" s="1" t="s">
        <v>10</v>
      </c>
      <c r="J607" s="3">
        <v>45668.513483796298</v>
      </c>
      <c r="K607" s="2" t="s">
        <v>7494</v>
      </c>
      <c r="L607" s="1">
        <v>0</v>
      </c>
      <c r="M607" s="1">
        <v>4</v>
      </c>
      <c r="N607" s="1">
        <v>4</v>
      </c>
      <c r="O607" s="3">
        <v>46233.65914210648</v>
      </c>
    </row>
    <row r="608" spans="1:15" ht="105" x14ac:dyDescent="0.25">
      <c r="A608" s="5" t="s">
        <v>1988</v>
      </c>
      <c r="B608" s="1" t="s">
        <v>7495</v>
      </c>
      <c r="C608" s="1">
        <v>1869</v>
      </c>
      <c r="D608" s="1" t="s">
        <v>14</v>
      </c>
      <c r="E608" s="1">
        <v>1944</v>
      </c>
      <c r="F608" s="1" t="s">
        <v>7497</v>
      </c>
      <c r="G608" s="1" t="s">
        <v>10</v>
      </c>
      <c r="J608" s="3">
        <v>45762.406365740739</v>
      </c>
      <c r="K608" s="2" t="s">
        <v>7498</v>
      </c>
      <c r="L608" s="1">
        <v>11</v>
      </c>
      <c r="M608" s="1">
        <v>13</v>
      </c>
      <c r="N608" s="1">
        <v>2</v>
      </c>
      <c r="O608" s="3">
        <v>46233.65914210648</v>
      </c>
    </row>
    <row r="609" spans="1:15" ht="30" x14ac:dyDescent="0.25">
      <c r="A609" s="5" t="s">
        <v>1991</v>
      </c>
      <c r="B609" s="1" t="s">
        <v>7499</v>
      </c>
      <c r="C609" s="1" t="s">
        <v>12</v>
      </c>
      <c r="G609" s="1" t="s">
        <v>10</v>
      </c>
      <c r="J609" s="3">
        <v>45804.679062499999</v>
      </c>
      <c r="K609" s="2" t="s">
        <v>7500</v>
      </c>
      <c r="L609" s="1">
        <v>1</v>
      </c>
      <c r="M609" s="1">
        <v>1</v>
      </c>
      <c r="N609" s="1">
        <v>0</v>
      </c>
      <c r="O609" s="3">
        <v>46233.65914210648</v>
      </c>
    </row>
    <row r="610" spans="1:15" ht="45" x14ac:dyDescent="0.25">
      <c r="A610" s="5" t="s">
        <v>1994</v>
      </c>
      <c r="B610" s="1" t="s">
        <v>7501</v>
      </c>
      <c r="C610" s="1" t="s">
        <v>12</v>
      </c>
      <c r="G610" s="1" t="s">
        <v>11</v>
      </c>
      <c r="J610" s="3">
        <v>45580.456921296296</v>
      </c>
      <c r="K610" s="2" t="s">
        <v>7502</v>
      </c>
      <c r="L610" s="1">
        <v>1</v>
      </c>
      <c r="M610" s="1">
        <v>1</v>
      </c>
      <c r="N610" s="1">
        <v>0</v>
      </c>
      <c r="O610" s="3">
        <v>46233.65914210648</v>
      </c>
    </row>
    <row r="611" spans="1:15" ht="75" x14ac:dyDescent="0.25">
      <c r="A611" s="5" t="s">
        <v>1997</v>
      </c>
      <c r="B611" s="1" t="s">
        <v>7503</v>
      </c>
      <c r="C611" s="1" t="s">
        <v>12</v>
      </c>
      <c r="G611" s="1" t="s">
        <v>11</v>
      </c>
      <c r="J611" s="3">
        <v>45607.622685185182</v>
      </c>
      <c r="K611" s="2" t="s">
        <v>7504</v>
      </c>
      <c r="L611" s="1">
        <v>1</v>
      </c>
      <c r="M611" s="1">
        <v>1</v>
      </c>
      <c r="N611" s="1">
        <v>0</v>
      </c>
      <c r="O611" s="3">
        <v>46233.65914210648</v>
      </c>
    </row>
    <row r="612" spans="1:15" ht="60" x14ac:dyDescent="0.25">
      <c r="A612" s="5" t="s">
        <v>2000</v>
      </c>
      <c r="B612" s="1" t="s">
        <v>7505</v>
      </c>
      <c r="C612" s="1">
        <v>1917</v>
      </c>
      <c r="D612" s="1" t="s">
        <v>155</v>
      </c>
      <c r="E612" s="1">
        <v>1967</v>
      </c>
      <c r="F612" s="1" t="s">
        <v>14</v>
      </c>
      <c r="G612" s="1" t="s">
        <v>10</v>
      </c>
      <c r="I612" s="2" t="s">
        <v>7507</v>
      </c>
      <c r="J612" s="3">
        <v>45793.565659722219</v>
      </c>
      <c r="K612" s="2" t="s">
        <v>7508</v>
      </c>
      <c r="L612" s="1">
        <v>7</v>
      </c>
      <c r="M612" s="1">
        <v>12</v>
      </c>
      <c r="N612" s="1">
        <v>5</v>
      </c>
      <c r="O612" s="3">
        <v>46233.65914210648</v>
      </c>
    </row>
    <row r="613" spans="1:15" x14ac:dyDescent="0.25">
      <c r="A613" s="5" t="s">
        <v>2003</v>
      </c>
      <c r="B613" s="1" t="s">
        <v>7509</v>
      </c>
      <c r="C613" s="1">
        <v>1970</v>
      </c>
      <c r="G613" s="1" t="s">
        <v>10</v>
      </c>
      <c r="J613" s="3">
        <v>45636.657627314817</v>
      </c>
      <c r="K613" s="2" t="s">
        <v>7494</v>
      </c>
      <c r="L613" s="1">
        <v>4</v>
      </c>
      <c r="M613" s="1">
        <v>18</v>
      </c>
      <c r="N613" s="1">
        <v>14</v>
      </c>
      <c r="O613" s="3">
        <v>46233.65914210648</v>
      </c>
    </row>
    <row r="614" spans="1:15" x14ac:dyDescent="0.25">
      <c r="A614" s="5" t="s">
        <v>2006</v>
      </c>
      <c r="B614" s="1" t="s">
        <v>7510</v>
      </c>
      <c r="C614" s="1">
        <v>1976</v>
      </c>
      <c r="G614" s="1" t="s">
        <v>11</v>
      </c>
      <c r="J614" s="3">
        <v>45510.473136574074</v>
      </c>
      <c r="L614" s="1">
        <v>1</v>
      </c>
      <c r="M614" s="1">
        <v>1</v>
      </c>
      <c r="N614" s="1">
        <v>0</v>
      </c>
      <c r="O614" s="3">
        <v>46233.65914210648</v>
      </c>
    </row>
    <row r="615" spans="1:15" ht="105" x14ac:dyDescent="0.25">
      <c r="A615" s="5" t="s">
        <v>2009</v>
      </c>
      <c r="B615" s="1" t="s">
        <v>7511</v>
      </c>
      <c r="J615" s="3">
        <v>45785.470775462964</v>
      </c>
      <c r="K615" s="2" t="s">
        <v>7512</v>
      </c>
      <c r="L615" s="1">
        <v>1</v>
      </c>
      <c r="M615" s="1">
        <v>1</v>
      </c>
      <c r="N615" s="1">
        <v>0</v>
      </c>
      <c r="O615" s="3">
        <v>46233.65914210648</v>
      </c>
    </row>
    <row r="616" spans="1:15" ht="45" x14ac:dyDescent="0.25">
      <c r="A616" s="5" t="s">
        <v>2012</v>
      </c>
      <c r="B616" s="1" t="s">
        <v>7513</v>
      </c>
      <c r="C616" s="1">
        <v>1952</v>
      </c>
      <c r="G616" s="1" t="s">
        <v>10</v>
      </c>
      <c r="J616" s="3">
        <v>45735.473993055559</v>
      </c>
      <c r="K616" s="2" t="s">
        <v>7514</v>
      </c>
      <c r="L616" s="1">
        <v>1</v>
      </c>
      <c r="M616" s="1">
        <v>1</v>
      </c>
      <c r="N616" s="1">
        <v>0</v>
      </c>
      <c r="O616" s="3">
        <v>46233.65914210648</v>
      </c>
    </row>
    <row r="617" spans="1:15" ht="45" x14ac:dyDescent="0.25">
      <c r="A617" s="5" t="s">
        <v>2015</v>
      </c>
      <c r="B617" s="1" t="s">
        <v>7515</v>
      </c>
      <c r="C617" s="1">
        <v>1948</v>
      </c>
      <c r="D617" s="1" t="s">
        <v>14</v>
      </c>
      <c r="J617" s="3">
        <v>45630.622499999998</v>
      </c>
      <c r="K617" s="2" t="s">
        <v>7516</v>
      </c>
      <c r="L617" s="1">
        <v>47</v>
      </c>
      <c r="M617" s="1">
        <v>50</v>
      </c>
      <c r="N617" s="1">
        <v>3</v>
      </c>
      <c r="O617" s="3">
        <v>46233.65914210648</v>
      </c>
    </row>
    <row r="618" spans="1:15" x14ac:dyDescent="0.25">
      <c r="A618" s="5" t="s">
        <v>2018</v>
      </c>
      <c r="B618" s="1" t="s">
        <v>7517</v>
      </c>
      <c r="C618" s="1">
        <v>1982</v>
      </c>
      <c r="J618" s="3">
        <v>45416.581736111111</v>
      </c>
      <c r="L618" s="1">
        <v>1</v>
      </c>
      <c r="M618" s="1">
        <v>3</v>
      </c>
      <c r="N618" s="1">
        <v>2</v>
      </c>
      <c r="O618" s="3">
        <v>46233.65914210648</v>
      </c>
    </row>
    <row r="619" spans="1:15" ht="30" x14ac:dyDescent="0.25">
      <c r="A619" s="5" t="s">
        <v>2021</v>
      </c>
      <c r="B619" s="1" t="s">
        <v>7518</v>
      </c>
      <c r="C619" s="1">
        <v>1894</v>
      </c>
      <c r="D619" s="1" t="s">
        <v>14</v>
      </c>
      <c r="E619" s="1">
        <v>1955</v>
      </c>
      <c r="G619" s="1" t="s">
        <v>10</v>
      </c>
      <c r="H619" s="2" t="s">
        <v>140</v>
      </c>
      <c r="J619" s="3">
        <v>45636.657569444447</v>
      </c>
      <c r="K619" s="2" t="s">
        <v>7519</v>
      </c>
      <c r="L619" s="1">
        <v>23</v>
      </c>
      <c r="M619" s="1">
        <v>23</v>
      </c>
      <c r="N619" s="1">
        <v>0</v>
      </c>
      <c r="O619" s="3">
        <v>46233.65914210648</v>
      </c>
    </row>
    <row r="620" spans="1:15" ht="30" x14ac:dyDescent="0.25">
      <c r="A620" s="5" t="s">
        <v>2024</v>
      </c>
      <c r="B620" s="1" t="s">
        <v>7520</v>
      </c>
      <c r="C620" s="1">
        <v>1980</v>
      </c>
      <c r="G620" s="1" t="s">
        <v>11</v>
      </c>
      <c r="J620" s="3">
        <v>45811.406712962962</v>
      </c>
      <c r="K620" s="2" t="s">
        <v>7521</v>
      </c>
      <c r="L620" s="1">
        <v>1</v>
      </c>
      <c r="M620" s="1">
        <v>1</v>
      </c>
      <c r="N620" s="1">
        <v>0</v>
      </c>
      <c r="O620" s="3">
        <v>46233.65914210648</v>
      </c>
    </row>
    <row r="621" spans="1:15" x14ac:dyDescent="0.25">
      <c r="A621" s="5" t="s">
        <v>2027</v>
      </c>
      <c r="B621" s="1" t="s">
        <v>7522</v>
      </c>
      <c r="C621" s="1">
        <v>1985</v>
      </c>
      <c r="G621" s="1" t="s">
        <v>11</v>
      </c>
      <c r="J621" s="3">
        <v>45785.569502314815</v>
      </c>
      <c r="K621" s="2" t="s">
        <v>7523</v>
      </c>
      <c r="L621" s="1">
        <v>1</v>
      </c>
      <c r="M621" s="1">
        <v>1</v>
      </c>
      <c r="N621" s="1">
        <v>0</v>
      </c>
      <c r="O621" s="3">
        <v>46233.65914210648</v>
      </c>
    </row>
    <row r="622" spans="1:15" x14ac:dyDescent="0.25">
      <c r="A622" s="5" t="s">
        <v>2030</v>
      </c>
      <c r="B622" s="1" t="s">
        <v>7524</v>
      </c>
      <c r="C622" s="1">
        <v>1965</v>
      </c>
      <c r="D622" s="1" t="s">
        <v>14</v>
      </c>
      <c r="G622" s="1" t="s">
        <v>10</v>
      </c>
      <c r="J622" s="3">
        <v>45625.361481481479</v>
      </c>
      <c r="K622" s="2" t="s">
        <v>7525</v>
      </c>
      <c r="L622" s="1">
        <v>24</v>
      </c>
      <c r="M622" s="1">
        <v>24</v>
      </c>
      <c r="N622" s="1">
        <v>0</v>
      </c>
      <c r="O622" s="3">
        <v>46233.65914210648</v>
      </c>
    </row>
    <row r="623" spans="1:15" ht="30" x14ac:dyDescent="0.25">
      <c r="A623" s="5" t="s">
        <v>2033</v>
      </c>
      <c r="B623" s="1" t="s">
        <v>7526</v>
      </c>
      <c r="C623" s="1">
        <v>1904</v>
      </c>
      <c r="E623" s="1">
        <v>1984</v>
      </c>
      <c r="G623" s="1" t="s">
        <v>10</v>
      </c>
      <c r="J623" s="3">
        <v>45678.6252662037</v>
      </c>
      <c r="K623" s="2" t="s">
        <v>7527</v>
      </c>
      <c r="L623" s="1">
        <v>1</v>
      </c>
      <c r="M623" s="1">
        <v>1</v>
      </c>
      <c r="N623" s="1">
        <v>0</v>
      </c>
      <c r="O623" s="3">
        <v>46233.65914210648</v>
      </c>
    </row>
    <row r="624" spans="1:15" x14ac:dyDescent="0.25">
      <c r="A624" s="5" t="s">
        <v>2036</v>
      </c>
      <c r="B624" s="1" t="s">
        <v>7528</v>
      </c>
      <c r="C624" s="1">
        <v>1948</v>
      </c>
      <c r="G624" s="1" t="s">
        <v>10</v>
      </c>
      <c r="J624" s="3">
        <v>45625.390011574076</v>
      </c>
      <c r="K624" s="2" t="s">
        <v>7529</v>
      </c>
      <c r="L624" s="1">
        <v>1</v>
      </c>
      <c r="M624" s="1">
        <v>1</v>
      </c>
      <c r="N624" s="1">
        <v>0</v>
      </c>
      <c r="O624" s="3">
        <v>46233.65914210648</v>
      </c>
    </row>
    <row r="625" spans="1:15" ht="120" x14ac:dyDescent="0.25">
      <c r="A625" s="5" t="s">
        <v>2039</v>
      </c>
      <c r="B625" s="1" t="s">
        <v>7530</v>
      </c>
      <c r="G625" s="1" t="s">
        <v>11</v>
      </c>
      <c r="J625" s="3">
        <v>45624.41165509259</v>
      </c>
      <c r="K625" s="2" t="s">
        <v>7531</v>
      </c>
      <c r="L625" s="1">
        <v>2</v>
      </c>
      <c r="M625" s="1">
        <v>2</v>
      </c>
      <c r="N625" s="1">
        <v>0</v>
      </c>
      <c r="O625" s="3">
        <v>46233.65914210648</v>
      </c>
    </row>
    <row r="626" spans="1:15" x14ac:dyDescent="0.25">
      <c r="A626" s="5" t="s">
        <v>2042</v>
      </c>
      <c r="B626" s="1" t="s">
        <v>7532</v>
      </c>
      <c r="C626" s="1">
        <v>1950</v>
      </c>
      <c r="J626" s="3">
        <v>45416.6952662037</v>
      </c>
      <c r="L626" s="1">
        <v>4</v>
      </c>
      <c r="M626" s="1">
        <v>4</v>
      </c>
      <c r="N626" s="1">
        <v>0</v>
      </c>
      <c r="O626" s="3">
        <v>46233.65914210648</v>
      </c>
    </row>
    <row r="627" spans="1:15" ht="210" x14ac:dyDescent="0.25">
      <c r="A627" s="5" t="s">
        <v>2045</v>
      </c>
      <c r="B627" s="1" t="s">
        <v>7533</v>
      </c>
      <c r="C627" s="1">
        <v>1947</v>
      </c>
      <c r="I627" s="2" t="s">
        <v>7534</v>
      </c>
      <c r="J627" s="3">
        <v>45629.460266203707</v>
      </c>
      <c r="K627" s="2" t="s">
        <v>7535</v>
      </c>
      <c r="L627" s="1">
        <v>2</v>
      </c>
      <c r="M627" s="1">
        <v>2</v>
      </c>
      <c r="N627" s="1">
        <v>0</v>
      </c>
      <c r="O627" s="3">
        <v>46233.65914210648</v>
      </c>
    </row>
    <row r="628" spans="1:15" x14ac:dyDescent="0.25">
      <c r="A628" s="5" t="s">
        <v>2048</v>
      </c>
      <c r="B628" s="1" t="s">
        <v>7536</v>
      </c>
      <c r="C628" s="1" t="s">
        <v>12</v>
      </c>
      <c r="G628" s="1" t="s">
        <v>10</v>
      </c>
      <c r="J628" s="3">
        <v>45769.610439814816</v>
      </c>
      <c r="K628" s="2" t="s">
        <v>7537</v>
      </c>
      <c r="L628" s="1">
        <v>0</v>
      </c>
      <c r="M628" s="1">
        <v>0</v>
      </c>
      <c r="N628" s="1">
        <v>0</v>
      </c>
      <c r="O628" s="3">
        <v>46233.65914210648</v>
      </c>
    </row>
    <row r="629" spans="1:15" ht="120" x14ac:dyDescent="0.25">
      <c r="A629" s="5" t="s">
        <v>2051</v>
      </c>
      <c r="B629" s="1" t="s">
        <v>7538</v>
      </c>
      <c r="C629" s="1" t="s">
        <v>12</v>
      </c>
      <c r="G629" s="1" t="s">
        <v>11</v>
      </c>
      <c r="J629" s="3">
        <v>45631.330775462964</v>
      </c>
      <c r="K629" s="2" t="s">
        <v>7539</v>
      </c>
      <c r="L629" s="1">
        <v>1</v>
      </c>
      <c r="M629" s="1">
        <v>1</v>
      </c>
      <c r="N629" s="1">
        <v>0</v>
      </c>
      <c r="O629" s="3">
        <v>46233.65914210648</v>
      </c>
    </row>
    <row r="630" spans="1:15" ht="60" x14ac:dyDescent="0.25">
      <c r="A630" s="5" t="s">
        <v>2054</v>
      </c>
      <c r="B630" s="1" t="s">
        <v>7540</v>
      </c>
      <c r="C630" s="1" t="s">
        <v>12</v>
      </c>
      <c r="G630" s="1" t="s">
        <v>10</v>
      </c>
      <c r="J630" s="3">
        <v>45791.693692129629</v>
      </c>
      <c r="K630" s="2" t="s">
        <v>7541</v>
      </c>
      <c r="L630" s="1">
        <v>3</v>
      </c>
      <c r="M630" s="1">
        <v>3</v>
      </c>
      <c r="N630" s="1">
        <v>0</v>
      </c>
      <c r="O630" s="3">
        <v>46233.65914210648</v>
      </c>
    </row>
    <row r="631" spans="1:15" x14ac:dyDescent="0.25">
      <c r="A631" s="5" t="s">
        <v>2057</v>
      </c>
      <c r="B631" s="1" t="s">
        <v>7542</v>
      </c>
      <c r="C631" s="1" t="s">
        <v>12</v>
      </c>
      <c r="G631" s="1" t="s">
        <v>11</v>
      </c>
      <c r="J631" s="3">
        <v>45580.393263888887</v>
      </c>
      <c r="K631" s="2" t="s">
        <v>7543</v>
      </c>
      <c r="L631" s="1">
        <v>3</v>
      </c>
      <c r="M631" s="1">
        <v>4</v>
      </c>
      <c r="N631" s="1">
        <v>1</v>
      </c>
      <c r="O631" s="3">
        <v>46233.65914210648</v>
      </c>
    </row>
    <row r="632" spans="1:15" x14ac:dyDescent="0.25">
      <c r="A632" s="5" t="s">
        <v>2060</v>
      </c>
      <c r="B632" s="1" t="s">
        <v>7544</v>
      </c>
      <c r="C632" s="1">
        <v>1988</v>
      </c>
      <c r="J632" s="3">
        <v>45416.782939814817</v>
      </c>
      <c r="L632" s="1">
        <v>20</v>
      </c>
      <c r="M632" s="1">
        <v>21</v>
      </c>
      <c r="N632" s="1">
        <v>1</v>
      </c>
      <c r="O632" s="3">
        <v>46233.65914210648</v>
      </c>
    </row>
    <row r="633" spans="1:15" ht="120" x14ac:dyDescent="0.25">
      <c r="A633" s="5" t="s">
        <v>2063</v>
      </c>
      <c r="B633" s="1" t="s">
        <v>7545</v>
      </c>
      <c r="C633" s="1">
        <v>2013</v>
      </c>
      <c r="J633" s="3">
        <v>45785.46980324074</v>
      </c>
      <c r="K633" s="2" t="s">
        <v>7547</v>
      </c>
      <c r="L633" s="1">
        <v>1</v>
      </c>
      <c r="M633" s="1">
        <v>1</v>
      </c>
      <c r="N633" s="1">
        <v>0</v>
      </c>
      <c r="O633" s="3">
        <v>46233.65914210648</v>
      </c>
    </row>
    <row r="634" spans="1:15" ht="165" x14ac:dyDescent="0.25">
      <c r="A634" s="5" t="s">
        <v>2066</v>
      </c>
      <c r="B634" s="1" t="s">
        <v>7548</v>
      </c>
      <c r="C634" s="1">
        <v>1978</v>
      </c>
      <c r="D634" s="1" t="s">
        <v>14</v>
      </c>
      <c r="G634" s="1" t="s">
        <v>10</v>
      </c>
      <c r="H634" s="2" t="s">
        <v>7549</v>
      </c>
      <c r="J634" s="3">
        <v>45668.43136574074</v>
      </c>
      <c r="K634" s="2" t="s">
        <v>7550</v>
      </c>
      <c r="L634" s="1">
        <v>8</v>
      </c>
      <c r="M634" s="1">
        <v>14</v>
      </c>
      <c r="N634" s="1">
        <v>6</v>
      </c>
      <c r="O634" s="3">
        <v>46233.65914210648</v>
      </c>
    </row>
    <row r="635" spans="1:15" ht="30" x14ac:dyDescent="0.25">
      <c r="A635" s="5" t="s">
        <v>2069</v>
      </c>
      <c r="B635" s="1" t="s">
        <v>7551</v>
      </c>
      <c r="C635" s="1">
        <v>1912</v>
      </c>
      <c r="E635" s="1">
        <v>1979</v>
      </c>
      <c r="G635" s="1" t="s">
        <v>10</v>
      </c>
      <c r="J635" s="3">
        <v>45636.648692129631</v>
      </c>
      <c r="K635" s="2" t="s">
        <v>7552</v>
      </c>
      <c r="L635" s="1">
        <v>2</v>
      </c>
      <c r="M635" s="1">
        <v>2</v>
      </c>
      <c r="N635" s="1">
        <v>0</v>
      </c>
      <c r="O635" s="3">
        <v>46233.65914210648</v>
      </c>
    </row>
    <row r="636" spans="1:15" ht="75" x14ac:dyDescent="0.25">
      <c r="A636" s="5" t="s">
        <v>2072</v>
      </c>
      <c r="B636" s="1" t="s">
        <v>7553</v>
      </c>
      <c r="C636" s="1" t="s">
        <v>12</v>
      </c>
      <c r="G636" s="1" t="s">
        <v>10</v>
      </c>
      <c r="J636" s="3">
        <v>45581.401273148149</v>
      </c>
      <c r="K636" s="2" t="s">
        <v>7554</v>
      </c>
      <c r="L636" s="1">
        <v>1</v>
      </c>
      <c r="M636" s="1">
        <v>1</v>
      </c>
      <c r="N636" s="1">
        <v>0</v>
      </c>
      <c r="O636" s="3">
        <v>46233.65914210648</v>
      </c>
    </row>
    <row r="637" spans="1:15" ht="30" x14ac:dyDescent="0.25">
      <c r="A637" s="5" t="s">
        <v>2075</v>
      </c>
      <c r="B637" s="1" t="s">
        <v>7555</v>
      </c>
      <c r="C637" s="1">
        <v>1894</v>
      </c>
      <c r="E637" s="1">
        <v>1966</v>
      </c>
      <c r="G637" s="1" t="s">
        <v>10</v>
      </c>
      <c r="J637" s="3">
        <v>45763.490555555552</v>
      </c>
      <c r="K637" s="2" t="s">
        <v>7556</v>
      </c>
      <c r="L637" s="1">
        <v>1</v>
      </c>
      <c r="M637" s="1">
        <v>1</v>
      </c>
      <c r="N637" s="1">
        <v>0</v>
      </c>
      <c r="O637" s="3">
        <v>46233.65914210648</v>
      </c>
    </row>
    <row r="638" spans="1:15" ht="60" x14ac:dyDescent="0.25">
      <c r="A638" s="5" t="s">
        <v>2078</v>
      </c>
      <c r="B638" s="1" t="s">
        <v>7557</v>
      </c>
      <c r="C638" s="1">
        <v>1786</v>
      </c>
      <c r="E638" s="1">
        <v>1854</v>
      </c>
      <c r="G638" s="1" t="s">
        <v>10</v>
      </c>
      <c r="J638" s="3">
        <v>45810.389282407406</v>
      </c>
      <c r="K638" s="2" t="s">
        <v>7559</v>
      </c>
      <c r="L638" s="1">
        <v>1</v>
      </c>
      <c r="M638" s="1">
        <v>1</v>
      </c>
      <c r="N638" s="1">
        <v>0</v>
      </c>
      <c r="O638" s="3">
        <v>46233.65914210648</v>
      </c>
    </row>
    <row r="639" spans="1:15" x14ac:dyDescent="0.25">
      <c r="A639" s="5" t="s">
        <v>2081</v>
      </c>
      <c r="B639" s="1" t="s">
        <v>7560</v>
      </c>
      <c r="J639" s="3">
        <v>45416.426180555558</v>
      </c>
      <c r="L639" s="1">
        <v>1</v>
      </c>
      <c r="M639" s="1">
        <v>1</v>
      </c>
      <c r="N639" s="1">
        <v>0</v>
      </c>
      <c r="O639" s="3">
        <v>46233.65914210648</v>
      </c>
    </row>
    <row r="640" spans="1:15" ht="75" x14ac:dyDescent="0.25">
      <c r="A640" s="5" t="s">
        <v>2084</v>
      </c>
      <c r="B640" s="1" t="s">
        <v>7561</v>
      </c>
      <c r="C640" s="1">
        <v>1947</v>
      </c>
      <c r="G640" s="1" t="s">
        <v>10</v>
      </c>
      <c r="J640" s="3">
        <v>45747.501064814816</v>
      </c>
      <c r="K640" s="2" t="s">
        <v>7562</v>
      </c>
      <c r="L640" s="1">
        <v>5</v>
      </c>
      <c r="M640" s="1">
        <v>5</v>
      </c>
      <c r="N640" s="1">
        <v>0</v>
      </c>
      <c r="O640" s="3">
        <v>46233.65914210648</v>
      </c>
    </row>
    <row r="641" spans="1:15" ht="30" x14ac:dyDescent="0.25">
      <c r="A641" s="5" t="s">
        <v>2087</v>
      </c>
      <c r="B641" s="1" t="s">
        <v>7563</v>
      </c>
      <c r="C641" s="1">
        <v>1943</v>
      </c>
      <c r="E641" s="1">
        <v>2024</v>
      </c>
      <c r="G641" s="1" t="s">
        <v>10</v>
      </c>
      <c r="J641" s="3">
        <v>45664.460995370369</v>
      </c>
      <c r="K641" s="2" t="s">
        <v>7564</v>
      </c>
      <c r="L641" s="1">
        <v>1</v>
      </c>
      <c r="M641" s="1">
        <v>1</v>
      </c>
      <c r="N641" s="1">
        <v>0</v>
      </c>
      <c r="O641" s="3">
        <v>46233.65914210648</v>
      </c>
    </row>
    <row r="642" spans="1:15" ht="45" x14ac:dyDescent="0.25">
      <c r="A642" s="5" t="s">
        <v>2090</v>
      </c>
      <c r="B642" s="1" t="s">
        <v>7565</v>
      </c>
      <c r="C642" s="1">
        <v>1865</v>
      </c>
      <c r="E642" s="1">
        <v>1937</v>
      </c>
      <c r="J642" s="3">
        <v>45756.404907407406</v>
      </c>
      <c r="K642" s="2" t="s">
        <v>7566</v>
      </c>
      <c r="L642" s="1">
        <v>4</v>
      </c>
      <c r="M642" s="1">
        <v>4</v>
      </c>
      <c r="N642" s="1">
        <v>0</v>
      </c>
      <c r="O642" s="3">
        <v>46233.65914210648</v>
      </c>
    </row>
    <row r="643" spans="1:15" ht="45" x14ac:dyDescent="0.25">
      <c r="A643" s="5" t="s">
        <v>2093</v>
      </c>
      <c r="B643" s="1" t="s">
        <v>7567</v>
      </c>
      <c r="C643" s="1">
        <v>1978</v>
      </c>
      <c r="D643" s="1" t="s">
        <v>14</v>
      </c>
      <c r="G643" s="1" t="s">
        <v>10</v>
      </c>
      <c r="H643" s="2" t="s">
        <v>7568</v>
      </c>
      <c r="J643" s="3">
        <v>45791.392557870371</v>
      </c>
      <c r="K643" s="2" t="s">
        <v>7569</v>
      </c>
      <c r="L643" s="1">
        <v>38</v>
      </c>
      <c r="M643" s="1">
        <v>40</v>
      </c>
      <c r="N643" s="1">
        <v>2</v>
      </c>
      <c r="O643" s="3">
        <v>46233.65914210648</v>
      </c>
    </row>
    <row r="644" spans="1:15" ht="30" x14ac:dyDescent="0.25">
      <c r="A644" s="5" t="s">
        <v>2096</v>
      </c>
      <c r="B644" s="1" t="s">
        <v>7570</v>
      </c>
      <c r="C644" s="1" t="s">
        <v>12</v>
      </c>
      <c r="G644" s="1" t="s">
        <v>10</v>
      </c>
      <c r="J644" s="3">
        <v>45714.587372685186</v>
      </c>
      <c r="K644" s="2" t="s">
        <v>7571</v>
      </c>
      <c r="L644" s="1">
        <v>1</v>
      </c>
      <c r="M644" s="1">
        <v>1</v>
      </c>
      <c r="N644" s="1">
        <v>0</v>
      </c>
      <c r="O644" s="3">
        <v>46233.65914210648</v>
      </c>
    </row>
    <row r="645" spans="1:15" ht="45" x14ac:dyDescent="0.25">
      <c r="A645" s="5" t="s">
        <v>2099</v>
      </c>
      <c r="B645" s="1" t="s">
        <v>7572</v>
      </c>
      <c r="C645" s="1">
        <v>1902</v>
      </c>
      <c r="E645" s="1">
        <v>1983</v>
      </c>
      <c r="G645" s="1" t="s">
        <v>10</v>
      </c>
      <c r="J645" s="3">
        <v>45749.489988425928</v>
      </c>
      <c r="K645" s="2" t="s">
        <v>7573</v>
      </c>
      <c r="L645" s="1">
        <v>7</v>
      </c>
      <c r="M645" s="1">
        <v>7</v>
      </c>
      <c r="N645" s="1">
        <v>0</v>
      </c>
      <c r="O645" s="3">
        <v>46233.65914210648</v>
      </c>
    </row>
    <row r="646" spans="1:15" x14ac:dyDescent="0.25">
      <c r="A646" s="5" t="s">
        <v>2102</v>
      </c>
      <c r="B646" s="1" t="s">
        <v>7574</v>
      </c>
      <c r="C646" s="1">
        <v>2004</v>
      </c>
      <c r="J646" s="3">
        <v>45417.063657407409</v>
      </c>
      <c r="L646" s="1">
        <v>11</v>
      </c>
      <c r="M646" s="1">
        <v>11</v>
      </c>
      <c r="N646" s="1">
        <v>0</v>
      </c>
      <c r="O646" s="3">
        <v>46233.65914210648</v>
      </c>
    </row>
    <row r="647" spans="1:15" ht="45" x14ac:dyDescent="0.25">
      <c r="A647" s="5" t="s">
        <v>2105</v>
      </c>
      <c r="B647" s="1" t="s">
        <v>7575</v>
      </c>
      <c r="C647" s="1">
        <v>1990</v>
      </c>
      <c r="J647" s="3">
        <v>45785.470532407409</v>
      </c>
      <c r="K647" s="2" t="s">
        <v>7576</v>
      </c>
      <c r="L647" s="1">
        <v>1</v>
      </c>
      <c r="M647" s="1">
        <v>1</v>
      </c>
      <c r="N647" s="1">
        <v>0</v>
      </c>
      <c r="O647" s="3">
        <v>46233.65914210648</v>
      </c>
    </row>
    <row r="648" spans="1:15" ht="60" x14ac:dyDescent="0.25">
      <c r="A648" s="5" t="s">
        <v>2108</v>
      </c>
      <c r="B648" s="1" t="s">
        <v>7577</v>
      </c>
      <c r="C648" s="1">
        <v>1991</v>
      </c>
      <c r="G648" s="1" t="s">
        <v>11</v>
      </c>
      <c r="J648" s="3">
        <v>45777.961678240739</v>
      </c>
      <c r="K648" s="2" t="s">
        <v>7578</v>
      </c>
      <c r="L648" s="1">
        <v>2</v>
      </c>
      <c r="M648" s="1">
        <v>2</v>
      </c>
      <c r="N648" s="1">
        <v>0</v>
      </c>
      <c r="O648" s="3">
        <v>46233.65914210648</v>
      </c>
    </row>
    <row r="649" spans="1:15" ht="180" x14ac:dyDescent="0.25">
      <c r="A649" s="5" t="s">
        <v>2111</v>
      </c>
      <c r="B649" s="1" t="s">
        <v>7579</v>
      </c>
      <c r="C649" s="1">
        <v>1853</v>
      </c>
      <c r="E649" s="1">
        <v>1919</v>
      </c>
      <c r="G649" s="1" t="s">
        <v>10</v>
      </c>
      <c r="J649" s="3">
        <v>45763.385613425926</v>
      </c>
      <c r="K649" s="2" t="s">
        <v>7580</v>
      </c>
      <c r="L649" s="1">
        <v>1</v>
      </c>
      <c r="M649" s="1">
        <v>1</v>
      </c>
      <c r="N649" s="1">
        <v>0</v>
      </c>
      <c r="O649" s="3">
        <v>46233.65914210648</v>
      </c>
    </row>
    <row r="650" spans="1:15" ht="30" x14ac:dyDescent="0.25">
      <c r="A650" s="5" t="s">
        <v>2114</v>
      </c>
      <c r="B650" s="1" t="s">
        <v>7581</v>
      </c>
      <c r="C650" s="1" t="s">
        <v>12</v>
      </c>
      <c r="G650" s="1" t="s">
        <v>11</v>
      </c>
      <c r="J650" s="3">
        <v>45580.453900462962</v>
      </c>
      <c r="K650" s="2" t="s">
        <v>7582</v>
      </c>
      <c r="L650" s="1">
        <v>2</v>
      </c>
      <c r="M650" s="1">
        <v>2</v>
      </c>
      <c r="N650" s="1">
        <v>0</v>
      </c>
      <c r="O650" s="3">
        <v>46233.65914210648</v>
      </c>
    </row>
    <row r="651" spans="1:15" x14ac:dyDescent="0.25">
      <c r="A651" s="5" t="s">
        <v>2117</v>
      </c>
      <c r="B651" s="1" t="s">
        <v>7583</v>
      </c>
      <c r="J651" s="3">
        <v>45416.694236111114</v>
      </c>
      <c r="L651" s="1">
        <v>0</v>
      </c>
      <c r="M651" s="1">
        <v>0</v>
      </c>
      <c r="N651" s="1">
        <v>0</v>
      </c>
      <c r="O651" s="3">
        <v>46233.65914210648</v>
      </c>
    </row>
    <row r="652" spans="1:15" ht="45" x14ac:dyDescent="0.25">
      <c r="A652" s="5" t="s">
        <v>2120</v>
      </c>
      <c r="B652" s="1" t="s">
        <v>7584</v>
      </c>
      <c r="C652" s="1">
        <v>1962</v>
      </c>
      <c r="G652" s="1" t="s">
        <v>10</v>
      </c>
      <c r="J652" s="3">
        <v>45642.606226851851</v>
      </c>
      <c r="K652" s="2" t="s">
        <v>7585</v>
      </c>
      <c r="L652" s="1">
        <v>1</v>
      </c>
      <c r="M652" s="1">
        <v>1</v>
      </c>
      <c r="N652" s="1">
        <v>0</v>
      </c>
      <c r="O652" s="3">
        <v>46233.65914210648</v>
      </c>
    </row>
    <row r="653" spans="1:15" ht="45" x14ac:dyDescent="0.25">
      <c r="A653" s="5" t="s">
        <v>2123</v>
      </c>
      <c r="B653" s="1" t="s">
        <v>7586</v>
      </c>
      <c r="C653" s="1">
        <v>1825</v>
      </c>
      <c r="E653" s="1">
        <v>1896</v>
      </c>
      <c r="G653" s="1" t="s">
        <v>10</v>
      </c>
      <c r="J653" s="3">
        <v>45754.3671412037</v>
      </c>
      <c r="K653" s="2" t="s">
        <v>7589</v>
      </c>
      <c r="L653" s="1">
        <v>4</v>
      </c>
      <c r="M653" s="1">
        <v>5</v>
      </c>
      <c r="N653" s="1">
        <v>1</v>
      </c>
      <c r="O653" s="3">
        <v>46233.65914210648</v>
      </c>
    </row>
    <row r="654" spans="1:15" x14ac:dyDescent="0.25">
      <c r="A654" s="5" t="s">
        <v>2126</v>
      </c>
      <c r="B654" s="1" t="s">
        <v>7590</v>
      </c>
      <c r="C654" s="1">
        <v>1981</v>
      </c>
      <c r="G654" s="1" t="s">
        <v>11</v>
      </c>
      <c r="J654" s="3">
        <v>45630.500775462962</v>
      </c>
      <c r="K654" s="2" t="s">
        <v>7591</v>
      </c>
      <c r="L654" s="1">
        <v>1</v>
      </c>
      <c r="M654" s="1">
        <v>5</v>
      </c>
      <c r="N654" s="1">
        <v>4</v>
      </c>
      <c r="O654" s="3">
        <v>46233.65914210648</v>
      </c>
    </row>
    <row r="655" spans="1:15" ht="30" x14ac:dyDescent="0.25">
      <c r="A655" s="5" t="s">
        <v>2129</v>
      </c>
      <c r="B655" s="1" t="s">
        <v>7592</v>
      </c>
      <c r="C655" s="1">
        <v>1958</v>
      </c>
      <c r="G655" s="1" t="s">
        <v>10</v>
      </c>
      <c r="J655" s="3">
        <v>45636.657418981478</v>
      </c>
      <c r="K655" s="2" t="s">
        <v>7593</v>
      </c>
      <c r="L655" s="1">
        <v>22</v>
      </c>
      <c r="M655" s="1">
        <v>31</v>
      </c>
      <c r="N655" s="1">
        <v>9</v>
      </c>
      <c r="O655" s="3">
        <v>46233.65914210648</v>
      </c>
    </row>
    <row r="656" spans="1:15" ht="30" x14ac:dyDescent="0.25">
      <c r="A656" s="5" t="s">
        <v>2132</v>
      </c>
      <c r="B656" s="1" t="s">
        <v>7594</v>
      </c>
      <c r="J656" s="3">
        <v>45762.697094907409</v>
      </c>
      <c r="K656" s="2" t="s">
        <v>7595</v>
      </c>
      <c r="L656" s="1">
        <v>1</v>
      </c>
      <c r="M656" s="1">
        <v>1</v>
      </c>
      <c r="N656" s="1">
        <v>0</v>
      </c>
      <c r="O656" s="3">
        <v>46233.65914210648</v>
      </c>
    </row>
    <row r="657" spans="1:15" x14ac:dyDescent="0.25">
      <c r="A657" s="5" t="s">
        <v>2135</v>
      </c>
      <c r="B657" s="1" t="s">
        <v>7596</v>
      </c>
      <c r="C657" s="1">
        <v>1965</v>
      </c>
      <c r="G657" s="1" t="s">
        <v>11</v>
      </c>
      <c r="J657" s="3">
        <v>45668.523182870369</v>
      </c>
      <c r="K657" s="2" t="s">
        <v>144</v>
      </c>
      <c r="L657" s="1">
        <v>0</v>
      </c>
      <c r="M657" s="1">
        <v>11</v>
      </c>
      <c r="N657" s="1">
        <v>11</v>
      </c>
      <c r="O657" s="3">
        <v>46233.65914210648</v>
      </c>
    </row>
    <row r="658" spans="1:15" ht="105" x14ac:dyDescent="0.25">
      <c r="A658" s="5" t="s">
        <v>2138</v>
      </c>
      <c r="B658" s="1" t="s">
        <v>7597</v>
      </c>
      <c r="C658" s="1" t="s">
        <v>12</v>
      </c>
      <c r="G658" s="1" t="s">
        <v>11</v>
      </c>
      <c r="J658" s="3">
        <v>45624.592476851853</v>
      </c>
      <c r="K658" s="2" t="s">
        <v>7598</v>
      </c>
      <c r="L658" s="1">
        <v>1</v>
      </c>
      <c r="M658" s="1">
        <v>1</v>
      </c>
      <c r="N658" s="1">
        <v>0</v>
      </c>
      <c r="O658" s="3">
        <v>46233.65914210648</v>
      </c>
    </row>
    <row r="659" spans="1:15" x14ac:dyDescent="0.25">
      <c r="A659" s="5" t="s">
        <v>2141</v>
      </c>
      <c r="B659" s="1" t="s">
        <v>7599</v>
      </c>
      <c r="C659" s="1" t="s">
        <v>12</v>
      </c>
      <c r="G659" s="1" t="s">
        <v>11</v>
      </c>
      <c r="J659" s="3">
        <v>45580.512777777774</v>
      </c>
      <c r="K659" s="2" t="s">
        <v>7543</v>
      </c>
      <c r="L659" s="1">
        <v>2</v>
      </c>
      <c r="M659" s="1">
        <v>2</v>
      </c>
      <c r="N659" s="1">
        <v>0</v>
      </c>
      <c r="O659" s="3">
        <v>46233.65914210648</v>
      </c>
    </row>
    <row r="660" spans="1:15" x14ac:dyDescent="0.25">
      <c r="A660" s="5" t="s">
        <v>2144</v>
      </c>
      <c r="B660" s="1" t="s">
        <v>7600</v>
      </c>
      <c r="C660" s="1">
        <v>2001</v>
      </c>
      <c r="J660" s="3">
        <v>45436.446643518517</v>
      </c>
      <c r="L660" s="1">
        <v>1</v>
      </c>
      <c r="M660" s="1">
        <v>1</v>
      </c>
      <c r="N660" s="1">
        <v>0</v>
      </c>
      <c r="O660" s="3">
        <v>46233.65914210648</v>
      </c>
    </row>
    <row r="661" spans="1:15" ht="285" x14ac:dyDescent="0.25">
      <c r="A661" s="5" t="s">
        <v>2147</v>
      </c>
      <c r="B661" s="1" t="s">
        <v>7601</v>
      </c>
      <c r="C661" s="1" t="s">
        <v>7004</v>
      </c>
      <c r="E661" s="1">
        <v>1919</v>
      </c>
      <c r="G661" s="1" t="s">
        <v>10</v>
      </c>
      <c r="J661" s="3">
        <v>45762.442175925928</v>
      </c>
      <c r="K661" s="2" t="s">
        <v>7602</v>
      </c>
      <c r="L661" s="1">
        <v>1</v>
      </c>
      <c r="M661" s="1">
        <v>1</v>
      </c>
      <c r="N661" s="1">
        <v>0</v>
      </c>
      <c r="O661" s="3">
        <v>46233.65914210648</v>
      </c>
    </row>
    <row r="662" spans="1:15" ht="60" x14ac:dyDescent="0.25">
      <c r="A662" s="5" t="s">
        <v>2150</v>
      </c>
      <c r="B662" s="1" t="s">
        <v>7603</v>
      </c>
      <c r="C662" s="1">
        <v>1967</v>
      </c>
      <c r="D662" s="1" t="s">
        <v>7604</v>
      </c>
      <c r="G662" s="1" t="s">
        <v>10</v>
      </c>
      <c r="H662" s="2" t="s">
        <v>7605</v>
      </c>
      <c r="I662" s="2" t="s">
        <v>7606</v>
      </c>
      <c r="J662" s="3">
        <v>45805.396469907406</v>
      </c>
      <c r="K662" s="2" t="s">
        <v>7607</v>
      </c>
      <c r="L662" s="1">
        <v>146</v>
      </c>
      <c r="M662" s="1">
        <v>189</v>
      </c>
      <c r="N662" s="1">
        <v>43</v>
      </c>
      <c r="O662" s="3">
        <v>46233.65914210648</v>
      </c>
    </row>
    <row r="663" spans="1:15" ht="30" x14ac:dyDescent="0.25">
      <c r="A663" s="5" t="s">
        <v>2153</v>
      </c>
      <c r="B663" s="1" t="s">
        <v>7608</v>
      </c>
      <c r="C663" s="1">
        <v>1959</v>
      </c>
      <c r="G663" s="1" t="s">
        <v>10</v>
      </c>
      <c r="J663" s="3">
        <v>45575.583993055552</v>
      </c>
      <c r="K663" s="2" t="s">
        <v>7609</v>
      </c>
      <c r="L663" s="1">
        <v>4</v>
      </c>
      <c r="M663" s="1">
        <v>5</v>
      </c>
      <c r="N663" s="1">
        <v>1</v>
      </c>
      <c r="O663" s="3">
        <v>46233.65914210648</v>
      </c>
    </row>
    <row r="664" spans="1:15" ht="90" x14ac:dyDescent="0.25">
      <c r="A664" s="5" t="s">
        <v>2156</v>
      </c>
      <c r="B664" s="1" t="s">
        <v>7610</v>
      </c>
      <c r="C664" s="1">
        <v>1989</v>
      </c>
      <c r="J664" s="3">
        <v>45730.397361111114</v>
      </c>
      <c r="K664" s="2" t="s">
        <v>7611</v>
      </c>
      <c r="L664" s="1">
        <v>1</v>
      </c>
      <c r="M664" s="1">
        <v>1</v>
      </c>
      <c r="N664" s="1">
        <v>0</v>
      </c>
      <c r="O664" s="3">
        <v>46233.65914210648</v>
      </c>
    </row>
    <row r="665" spans="1:15" ht="60" x14ac:dyDescent="0.25">
      <c r="A665" s="5" t="s">
        <v>2159</v>
      </c>
      <c r="B665" s="1" t="s">
        <v>7612</v>
      </c>
      <c r="C665" s="1">
        <v>1962</v>
      </c>
      <c r="G665" s="1" t="s">
        <v>11</v>
      </c>
      <c r="J665" s="3">
        <v>45618.378298611111</v>
      </c>
      <c r="K665" s="2" t="s">
        <v>7613</v>
      </c>
      <c r="L665" s="1">
        <v>1</v>
      </c>
      <c r="M665" s="1">
        <v>1</v>
      </c>
      <c r="N665" s="1">
        <v>0</v>
      </c>
      <c r="O665" s="3">
        <v>46233.65914210648</v>
      </c>
    </row>
    <row r="666" spans="1:15" ht="45" x14ac:dyDescent="0.25">
      <c r="A666" s="5" t="s">
        <v>2162</v>
      </c>
      <c r="B666" s="1" t="s">
        <v>7614</v>
      </c>
      <c r="C666" s="1" t="s">
        <v>12</v>
      </c>
      <c r="G666" s="1" t="s">
        <v>10</v>
      </c>
      <c r="J666" s="3">
        <v>45804.648182870369</v>
      </c>
      <c r="K666" s="2" t="s">
        <v>7615</v>
      </c>
      <c r="L666" s="1">
        <v>1</v>
      </c>
      <c r="M666" s="1">
        <v>1</v>
      </c>
      <c r="N666" s="1">
        <v>0</v>
      </c>
      <c r="O666" s="3">
        <v>46233.65914210648</v>
      </c>
    </row>
    <row r="667" spans="1:15" ht="30" x14ac:dyDescent="0.25">
      <c r="A667" s="5" t="s">
        <v>2165</v>
      </c>
      <c r="B667" s="1" t="s">
        <v>7616</v>
      </c>
      <c r="C667" s="1">
        <v>1959</v>
      </c>
      <c r="G667" s="1" t="s">
        <v>10</v>
      </c>
      <c r="J667" s="3">
        <v>45749.667650462965</v>
      </c>
      <c r="K667" s="2" t="s">
        <v>7617</v>
      </c>
      <c r="L667" s="1">
        <v>2</v>
      </c>
      <c r="M667" s="1">
        <v>2</v>
      </c>
      <c r="N667" s="1">
        <v>0</v>
      </c>
      <c r="O667" s="3">
        <v>46233.65914210648</v>
      </c>
    </row>
    <row r="668" spans="1:15" ht="120" x14ac:dyDescent="0.25">
      <c r="A668" s="5" t="s">
        <v>2168</v>
      </c>
      <c r="B668" s="1" t="s">
        <v>7618</v>
      </c>
      <c r="G668" s="1" t="s">
        <v>11</v>
      </c>
      <c r="J668" s="3">
        <v>45791.466504629629</v>
      </c>
      <c r="K668" s="2" t="s">
        <v>7619</v>
      </c>
      <c r="L668" s="1">
        <v>38</v>
      </c>
      <c r="M668" s="1">
        <v>43</v>
      </c>
      <c r="N668" s="1">
        <v>5</v>
      </c>
      <c r="O668" s="3">
        <v>46233.65914210648</v>
      </c>
    </row>
    <row r="669" spans="1:15" x14ac:dyDescent="0.25">
      <c r="A669" s="5" t="s">
        <v>2171</v>
      </c>
      <c r="B669" s="1" t="s">
        <v>7620</v>
      </c>
      <c r="C669" s="1" t="s">
        <v>12</v>
      </c>
      <c r="G669" s="1" t="s">
        <v>11</v>
      </c>
      <c r="J669" s="3">
        <v>45580.401921296296</v>
      </c>
      <c r="K669" s="2" t="s">
        <v>7543</v>
      </c>
      <c r="L669" s="1">
        <v>3</v>
      </c>
      <c r="M669" s="1">
        <v>3</v>
      </c>
      <c r="N669" s="1">
        <v>0</v>
      </c>
      <c r="O669" s="3">
        <v>46233.65914210648</v>
      </c>
    </row>
    <row r="670" spans="1:15" x14ac:dyDescent="0.25">
      <c r="A670" s="5" t="s">
        <v>2174</v>
      </c>
      <c r="B670" s="1" t="s">
        <v>7621</v>
      </c>
      <c r="C670" s="1">
        <v>1986</v>
      </c>
      <c r="J670" s="3">
        <v>45449.477847222224</v>
      </c>
      <c r="L670" s="1">
        <v>2</v>
      </c>
      <c r="M670" s="1">
        <v>2</v>
      </c>
      <c r="N670" s="1">
        <v>0</v>
      </c>
      <c r="O670" s="3">
        <v>46233.65914210648</v>
      </c>
    </row>
    <row r="671" spans="1:15" ht="30" x14ac:dyDescent="0.25">
      <c r="A671" s="5" t="s">
        <v>2177</v>
      </c>
      <c r="B671" s="1" t="s">
        <v>7622</v>
      </c>
      <c r="C671" s="1">
        <v>1968</v>
      </c>
      <c r="G671" s="1" t="s">
        <v>11</v>
      </c>
      <c r="J671" s="3">
        <v>45775.479270833333</v>
      </c>
      <c r="K671" s="2" t="s">
        <v>7623</v>
      </c>
      <c r="L671" s="1">
        <v>1</v>
      </c>
      <c r="M671" s="1">
        <v>1</v>
      </c>
      <c r="N671" s="1">
        <v>0</v>
      </c>
      <c r="O671" s="3">
        <v>46233.65914210648</v>
      </c>
    </row>
    <row r="672" spans="1:15" ht="90" x14ac:dyDescent="0.25">
      <c r="A672" s="5" t="s">
        <v>2180</v>
      </c>
      <c r="B672" s="1" t="s">
        <v>7624</v>
      </c>
      <c r="C672" s="1">
        <v>1942</v>
      </c>
      <c r="D672" s="1" t="s">
        <v>14</v>
      </c>
      <c r="H672" s="2" t="s">
        <v>140</v>
      </c>
      <c r="I672" s="2" t="s">
        <v>140</v>
      </c>
      <c r="J672" s="3">
        <v>45668.471701388888</v>
      </c>
      <c r="K672" s="2" t="s">
        <v>7625</v>
      </c>
      <c r="L672" s="1">
        <v>87</v>
      </c>
      <c r="M672" s="1">
        <v>118</v>
      </c>
      <c r="N672" s="1">
        <v>31</v>
      </c>
      <c r="O672" s="3">
        <v>46233.65914210648</v>
      </c>
    </row>
    <row r="673" spans="1:15" ht="45" x14ac:dyDescent="0.25">
      <c r="A673" s="5" t="s">
        <v>2183</v>
      </c>
      <c r="B673" s="1" t="s">
        <v>7626</v>
      </c>
      <c r="C673" s="1">
        <v>1919</v>
      </c>
      <c r="D673" s="1" t="s">
        <v>14</v>
      </c>
      <c r="E673" s="1">
        <v>2005</v>
      </c>
      <c r="G673" s="1" t="s">
        <v>10</v>
      </c>
      <c r="H673" s="2" t="s">
        <v>7568</v>
      </c>
      <c r="J673" s="3">
        <v>45678.602187500001</v>
      </c>
      <c r="K673" s="2" t="s">
        <v>6638</v>
      </c>
      <c r="L673" s="1">
        <v>1</v>
      </c>
      <c r="M673" s="1">
        <v>1</v>
      </c>
      <c r="N673" s="1">
        <v>0</v>
      </c>
      <c r="O673" s="3">
        <v>46233.65914210648</v>
      </c>
    </row>
    <row r="674" spans="1:15" x14ac:dyDescent="0.25">
      <c r="A674" s="5" t="s">
        <v>2186</v>
      </c>
      <c r="B674" s="1" t="s">
        <v>7627</v>
      </c>
      <c r="C674" s="1" t="s">
        <v>12</v>
      </c>
      <c r="G674" s="1" t="s">
        <v>11</v>
      </c>
      <c r="J674" s="3">
        <v>45576.453148148146</v>
      </c>
      <c r="L674" s="1">
        <v>1</v>
      </c>
      <c r="M674" s="1">
        <v>1</v>
      </c>
      <c r="N674" s="1">
        <v>0</v>
      </c>
      <c r="O674" s="3">
        <v>46233.65914210648</v>
      </c>
    </row>
    <row r="675" spans="1:15" ht="60" x14ac:dyDescent="0.25">
      <c r="A675" s="5" t="s">
        <v>2189</v>
      </c>
      <c r="B675" s="1" t="s">
        <v>7628</v>
      </c>
      <c r="C675" s="1">
        <v>1956</v>
      </c>
      <c r="D675" s="1" t="s">
        <v>14</v>
      </c>
      <c r="J675" s="3">
        <v>45685.39947916667</v>
      </c>
      <c r="K675" s="2" t="s">
        <v>7629</v>
      </c>
      <c r="L675" s="1">
        <v>54</v>
      </c>
      <c r="M675" s="1">
        <v>68</v>
      </c>
      <c r="N675" s="1">
        <v>14</v>
      </c>
      <c r="O675" s="3">
        <v>46233.65914210648</v>
      </c>
    </row>
    <row r="676" spans="1:15" ht="60" x14ac:dyDescent="0.25">
      <c r="A676" s="5" t="s">
        <v>2192</v>
      </c>
      <c r="B676" s="1" t="s">
        <v>7630</v>
      </c>
      <c r="C676" s="1">
        <v>1962</v>
      </c>
      <c r="G676" s="1" t="s">
        <v>10</v>
      </c>
      <c r="J676" s="3">
        <v>45668.521932870368</v>
      </c>
      <c r="K676" s="2" t="s">
        <v>7631</v>
      </c>
      <c r="L676" s="1">
        <v>2</v>
      </c>
      <c r="M676" s="1">
        <v>10</v>
      </c>
      <c r="N676" s="1">
        <v>8</v>
      </c>
      <c r="O676" s="3">
        <v>46233.65914210648</v>
      </c>
    </row>
    <row r="677" spans="1:15" x14ac:dyDescent="0.25">
      <c r="A677" s="5" t="s">
        <v>2195</v>
      </c>
      <c r="B677" s="1" t="s">
        <v>7632</v>
      </c>
      <c r="C677" s="1" t="s">
        <v>12</v>
      </c>
      <c r="G677" s="1" t="s">
        <v>11</v>
      </c>
      <c r="J677" s="3">
        <v>45580.399872685186</v>
      </c>
      <c r="K677" s="2" t="s">
        <v>7633</v>
      </c>
      <c r="L677" s="1">
        <v>3</v>
      </c>
      <c r="M677" s="1">
        <v>3</v>
      </c>
      <c r="N677" s="1">
        <v>0</v>
      </c>
      <c r="O677" s="3">
        <v>46233.65914210648</v>
      </c>
    </row>
    <row r="678" spans="1:15" ht="75" x14ac:dyDescent="0.25">
      <c r="A678" s="5" t="s">
        <v>2198</v>
      </c>
      <c r="B678" s="1" t="s">
        <v>7634</v>
      </c>
      <c r="G678" s="1" t="s">
        <v>11</v>
      </c>
      <c r="J678" s="3">
        <v>45681.353206018517</v>
      </c>
      <c r="K678" s="2" t="s">
        <v>7635</v>
      </c>
      <c r="L678" s="1">
        <v>2</v>
      </c>
      <c r="M678" s="1">
        <v>12</v>
      </c>
      <c r="N678" s="1">
        <v>10</v>
      </c>
      <c r="O678" s="3">
        <v>46233.65914210648</v>
      </c>
    </row>
    <row r="679" spans="1:15" ht="30" x14ac:dyDescent="0.25">
      <c r="A679" s="5" t="s">
        <v>2201</v>
      </c>
      <c r="B679" s="1" t="s">
        <v>7636</v>
      </c>
      <c r="C679" s="1" t="s">
        <v>12</v>
      </c>
      <c r="G679" s="1" t="s">
        <v>10</v>
      </c>
      <c r="J679" s="3">
        <v>45706.465543981481</v>
      </c>
      <c r="K679" s="2" t="s">
        <v>7637</v>
      </c>
      <c r="L679" s="1">
        <v>1</v>
      </c>
      <c r="M679" s="1">
        <v>1</v>
      </c>
      <c r="N679" s="1">
        <v>0</v>
      </c>
      <c r="O679" s="3">
        <v>46233.65914210648</v>
      </c>
    </row>
    <row r="680" spans="1:15" x14ac:dyDescent="0.25">
      <c r="A680" s="5" t="s">
        <v>2204</v>
      </c>
      <c r="B680" s="1" t="s">
        <v>7638</v>
      </c>
      <c r="C680" s="1">
        <v>1957</v>
      </c>
      <c r="J680" s="3">
        <v>45456.571979166663</v>
      </c>
      <c r="L680" s="1">
        <v>2</v>
      </c>
      <c r="M680" s="1">
        <v>2</v>
      </c>
      <c r="N680" s="1">
        <v>0</v>
      </c>
      <c r="O680" s="3">
        <v>46233.65914210648</v>
      </c>
    </row>
    <row r="681" spans="1:15" x14ac:dyDescent="0.25">
      <c r="A681" s="5" t="s">
        <v>2207</v>
      </c>
      <c r="B681" s="1" t="s">
        <v>7639</v>
      </c>
      <c r="C681" s="1">
        <v>1946</v>
      </c>
      <c r="E681" s="1">
        <v>2022</v>
      </c>
      <c r="G681" s="1" t="s">
        <v>11</v>
      </c>
      <c r="J681" s="3">
        <v>45789.608738425923</v>
      </c>
      <c r="K681" s="2" t="s">
        <v>6490</v>
      </c>
      <c r="L681" s="1">
        <v>1</v>
      </c>
      <c r="M681" s="1">
        <v>1</v>
      </c>
      <c r="N681" s="1">
        <v>0</v>
      </c>
      <c r="O681" s="3">
        <v>46233.65914210648</v>
      </c>
    </row>
    <row r="682" spans="1:15" x14ac:dyDescent="0.25">
      <c r="A682" s="5" t="s">
        <v>2210</v>
      </c>
      <c r="B682" s="1" t="s">
        <v>7640</v>
      </c>
      <c r="C682" s="1" t="s">
        <v>12</v>
      </c>
      <c r="G682" s="1" t="s">
        <v>11</v>
      </c>
      <c r="J682" s="3">
        <v>45580.410949074074</v>
      </c>
      <c r="K682" s="2" t="s">
        <v>7641</v>
      </c>
      <c r="L682" s="1">
        <v>1</v>
      </c>
      <c r="M682" s="1">
        <v>1</v>
      </c>
      <c r="N682" s="1">
        <v>0</v>
      </c>
      <c r="O682" s="3">
        <v>46233.65914210648</v>
      </c>
    </row>
    <row r="683" spans="1:15" ht="30" x14ac:dyDescent="0.25">
      <c r="A683" s="5" t="s">
        <v>2213</v>
      </c>
      <c r="B683" s="1" t="s">
        <v>7642</v>
      </c>
      <c r="C683" s="1" t="s">
        <v>12</v>
      </c>
      <c r="G683" s="1" t="s">
        <v>10</v>
      </c>
      <c r="J683" s="3">
        <v>45790.451504629629</v>
      </c>
      <c r="K683" s="2" t="s">
        <v>7643</v>
      </c>
      <c r="L683" s="1">
        <v>1</v>
      </c>
      <c r="M683" s="1">
        <v>1</v>
      </c>
      <c r="N683" s="1">
        <v>0</v>
      </c>
      <c r="O683" s="3">
        <v>46233.65914210648</v>
      </c>
    </row>
    <row r="684" spans="1:15" x14ac:dyDescent="0.25">
      <c r="A684" s="5" t="s">
        <v>2216</v>
      </c>
      <c r="B684" s="1" t="s">
        <v>7644</v>
      </c>
      <c r="C684" s="1" t="s">
        <v>12</v>
      </c>
      <c r="G684" s="1" t="s">
        <v>10</v>
      </c>
      <c r="J684" s="3">
        <v>45580.412175925929</v>
      </c>
      <c r="K684" s="2" t="s">
        <v>7633</v>
      </c>
      <c r="L684" s="1">
        <v>1</v>
      </c>
      <c r="M684" s="1">
        <v>1</v>
      </c>
      <c r="N684" s="1">
        <v>0</v>
      </c>
      <c r="O684" s="3">
        <v>46233.65914210648</v>
      </c>
    </row>
    <row r="685" spans="1:15" ht="30" x14ac:dyDescent="0.25">
      <c r="A685" s="5" t="s">
        <v>2219</v>
      </c>
      <c r="B685" s="1" t="s">
        <v>7645</v>
      </c>
      <c r="C685" s="1">
        <v>1969</v>
      </c>
      <c r="G685" s="1" t="s">
        <v>11</v>
      </c>
      <c r="J685" s="3">
        <v>45749.642951388887</v>
      </c>
      <c r="K685" s="2" t="s">
        <v>7646</v>
      </c>
      <c r="L685" s="1">
        <v>1</v>
      </c>
      <c r="M685" s="1">
        <v>1</v>
      </c>
      <c r="N685" s="1">
        <v>0</v>
      </c>
      <c r="O685" s="3">
        <v>46233.65914210648</v>
      </c>
    </row>
    <row r="686" spans="1:15" ht="45" x14ac:dyDescent="0.25">
      <c r="A686" s="5" t="s">
        <v>2222</v>
      </c>
      <c r="B686" s="1" t="s">
        <v>7647</v>
      </c>
      <c r="C686" s="1">
        <v>1951</v>
      </c>
      <c r="D686" s="1" t="s">
        <v>14</v>
      </c>
      <c r="E686" s="1">
        <v>2024</v>
      </c>
      <c r="G686" s="1" t="s">
        <v>10</v>
      </c>
      <c r="J686" s="3">
        <v>45663.675069444442</v>
      </c>
      <c r="K686" s="2" t="s">
        <v>7648</v>
      </c>
      <c r="L686" s="1">
        <v>79</v>
      </c>
      <c r="M686" s="1">
        <v>90</v>
      </c>
      <c r="N686" s="1">
        <v>11</v>
      </c>
      <c r="O686" s="3">
        <v>46233.65914210648</v>
      </c>
    </row>
    <row r="687" spans="1:15" ht="30" x14ac:dyDescent="0.25">
      <c r="A687" s="5" t="s">
        <v>2225</v>
      </c>
      <c r="B687" s="1" t="s">
        <v>7649</v>
      </c>
      <c r="C687" s="1" t="s">
        <v>12</v>
      </c>
      <c r="G687" s="1" t="s">
        <v>11</v>
      </c>
      <c r="J687" s="3">
        <v>45580.456585648149</v>
      </c>
      <c r="K687" s="2" t="s">
        <v>7650</v>
      </c>
      <c r="L687" s="1">
        <v>2</v>
      </c>
      <c r="M687" s="1">
        <v>2</v>
      </c>
      <c r="N687" s="1">
        <v>0</v>
      </c>
      <c r="O687" s="3">
        <v>46233.65914210648</v>
      </c>
    </row>
    <row r="688" spans="1:15" ht="285" x14ac:dyDescent="0.25">
      <c r="A688" s="5" t="s">
        <v>2228</v>
      </c>
      <c r="B688" s="1" t="s">
        <v>7651</v>
      </c>
      <c r="C688" s="1">
        <v>1850</v>
      </c>
      <c r="E688" s="1">
        <v>1918</v>
      </c>
      <c r="G688" s="1" t="s">
        <v>10</v>
      </c>
      <c r="J688" s="3">
        <v>45762.412175925929</v>
      </c>
      <c r="K688" s="2" t="s">
        <v>7653</v>
      </c>
      <c r="L688" s="1">
        <v>1</v>
      </c>
      <c r="M688" s="1">
        <v>1</v>
      </c>
      <c r="N688" s="1">
        <v>0</v>
      </c>
      <c r="O688" s="3">
        <v>46233.65914210648</v>
      </c>
    </row>
    <row r="689" spans="1:15" x14ac:dyDescent="0.25">
      <c r="A689" s="5" t="s">
        <v>2231</v>
      </c>
      <c r="B689" s="1" t="s">
        <v>7654</v>
      </c>
      <c r="C689" s="1" t="s">
        <v>12</v>
      </c>
      <c r="G689" s="1" t="s">
        <v>11</v>
      </c>
      <c r="J689" s="3">
        <v>45642.647141203706</v>
      </c>
      <c r="K689" s="2" t="s">
        <v>7655</v>
      </c>
      <c r="L689" s="1">
        <v>1</v>
      </c>
      <c r="M689" s="1">
        <v>1</v>
      </c>
      <c r="N689" s="1">
        <v>0</v>
      </c>
      <c r="O689" s="3">
        <v>46233.65914210648</v>
      </c>
    </row>
    <row r="690" spans="1:15" ht="60" x14ac:dyDescent="0.25">
      <c r="A690" s="5" t="s">
        <v>2234</v>
      </c>
      <c r="B690" s="1" t="s">
        <v>7656</v>
      </c>
      <c r="C690" s="1">
        <v>1957</v>
      </c>
      <c r="D690" s="1" t="s">
        <v>155</v>
      </c>
      <c r="G690" s="1" t="s">
        <v>10</v>
      </c>
      <c r="J690" s="3">
        <v>45624.575624999998</v>
      </c>
      <c r="K690" s="2" t="s">
        <v>7657</v>
      </c>
      <c r="L690" s="1">
        <v>26</v>
      </c>
      <c r="M690" s="1">
        <v>42</v>
      </c>
      <c r="N690" s="1">
        <v>16</v>
      </c>
      <c r="O690" s="3">
        <v>46233.65914210648</v>
      </c>
    </row>
    <row r="691" spans="1:15" ht="30" x14ac:dyDescent="0.25">
      <c r="A691" s="5" t="s">
        <v>2237</v>
      </c>
      <c r="B691" s="1" t="s">
        <v>7658</v>
      </c>
      <c r="C691" s="1" t="s">
        <v>12</v>
      </c>
      <c r="G691" s="1" t="s">
        <v>11</v>
      </c>
      <c r="J691" s="3">
        <v>45580.477372685185</v>
      </c>
      <c r="K691" s="2" t="s">
        <v>7659</v>
      </c>
      <c r="L691" s="1">
        <v>2</v>
      </c>
      <c r="M691" s="1">
        <v>2</v>
      </c>
      <c r="N691" s="1">
        <v>0</v>
      </c>
      <c r="O691" s="3">
        <v>46233.65914210648</v>
      </c>
    </row>
    <row r="692" spans="1:15" x14ac:dyDescent="0.25">
      <c r="A692" s="5" t="s">
        <v>2240</v>
      </c>
      <c r="B692" s="1" t="s">
        <v>7660</v>
      </c>
      <c r="C692" s="1" t="s">
        <v>12</v>
      </c>
      <c r="G692" s="1" t="s">
        <v>11</v>
      </c>
      <c r="J692" s="3">
        <v>45783.678865740738</v>
      </c>
      <c r="K692" s="2" t="s">
        <v>7661</v>
      </c>
      <c r="L692" s="1">
        <v>1</v>
      </c>
      <c r="M692" s="1">
        <v>1</v>
      </c>
      <c r="N692" s="1">
        <v>0</v>
      </c>
      <c r="O692" s="3">
        <v>46233.65914210648</v>
      </c>
    </row>
    <row r="693" spans="1:15" x14ac:dyDescent="0.25">
      <c r="A693" s="5" t="s">
        <v>2243</v>
      </c>
      <c r="B693" s="1" t="s">
        <v>7662</v>
      </c>
      <c r="C693" s="1">
        <v>2019</v>
      </c>
      <c r="J693" s="3">
        <v>45468.655601851853</v>
      </c>
      <c r="L693" s="1">
        <v>1</v>
      </c>
      <c r="M693" s="1">
        <v>2</v>
      </c>
      <c r="N693" s="1">
        <v>1</v>
      </c>
      <c r="O693" s="3">
        <v>46233.65914210648</v>
      </c>
    </row>
    <row r="694" spans="1:15" x14ac:dyDescent="0.25">
      <c r="A694" s="5" t="s">
        <v>2246</v>
      </c>
      <c r="B694" s="1" t="s">
        <v>7663</v>
      </c>
      <c r="C694" s="1" t="s">
        <v>12</v>
      </c>
      <c r="G694" s="1" t="s">
        <v>11</v>
      </c>
      <c r="J694" s="3">
        <v>45674.53875</v>
      </c>
      <c r="K694" s="2" t="s">
        <v>7664</v>
      </c>
      <c r="L694" s="1">
        <v>1</v>
      </c>
      <c r="M694" s="1">
        <v>1</v>
      </c>
      <c r="N694" s="1">
        <v>0</v>
      </c>
      <c r="O694" s="3">
        <v>46233.65914210648</v>
      </c>
    </row>
    <row r="695" spans="1:15" ht="30" x14ac:dyDescent="0.25">
      <c r="A695" s="5" t="s">
        <v>2249</v>
      </c>
      <c r="B695" s="1" t="s">
        <v>7665</v>
      </c>
      <c r="C695" s="1">
        <v>1871</v>
      </c>
      <c r="D695" s="1" t="s">
        <v>14</v>
      </c>
      <c r="E695" s="1">
        <v>1959</v>
      </c>
      <c r="F695" s="1" t="s">
        <v>14</v>
      </c>
      <c r="G695" s="1" t="s">
        <v>10</v>
      </c>
      <c r="J695" s="3">
        <v>45763.484768518516</v>
      </c>
      <c r="K695" s="2" t="s">
        <v>7667</v>
      </c>
      <c r="L695" s="1">
        <v>6</v>
      </c>
      <c r="M695" s="1">
        <v>7</v>
      </c>
      <c r="N695" s="1">
        <v>1</v>
      </c>
      <c r="O695" s="3">
        <v>46233.65914210648</v>
      </c>
    </row>
    <row r="696" spans="1:15" ht="30" x14ac:dyDescent="0.25">
      <c r="A696" s="5" t="s">
        <v>2252</v>
      </c>
      <c r="B696" s="1" t="s">
        <v>7668</v>
      </c>
      <c r="C696" s="1" t="s">
        <v>12</v>
      </c>
      <c r="G696" s="1" t="s">
        <v>11</v>
      </c>
      <c r="J696" s="3">
        <v>45581.358391203707</v>
      </c>
      <c r="K696" s="2" t="s">
        <v>7669</v>
      </c>
      <c r="L696" s="1">
        <v>1</v>
      </c>
      <c r="M696" s="1">
        <v>1</v>
      </c>
      <c r="N696" s="1">
        <v>0</v>
      </c>
      <c r="O696" s="3">
        <v>46233.65914210648</v>
      </c>
    </row>
    <row r="697" spans="1:15" ht="75" x14ac:dyDescent="0.25">
      <c r="A697" s="5" t="s">
        <v>2255</v>
      </c>
      <c r="B697" s="1" t="s">
        <v>7670</v>
      </c>
      <c r="C697" s="1" t="s">
        <v>12</v>
      </c>
      <c r="G697" s="1" t="s">
        <v>11</v>
      </c>
      <c r="J697" s="3">
        <v>45629.468958333331</v>
      </c>
      <c r="K697" s="2" t="s">
        <v>7671</v>
      </c>
      <c r="L697" s="1">
        <v>1</v>
      </c>
      <c r="M697" s="1">
        <v>1</v>
      </c>
      <c r="N697" s="1">
        <v>0</v>
      </c>
      <c r="O697" s="3">
        <v>46233.65914210648</v>
      </c>
    </row>
    <row r="698" spans="1:15" x14ac:dyDescent="0.25">
      <c r="A698" s="5" t="s">
        <v>2258</v>
      </c>
      <c r="B698" s="1" t="s">
        <v>7672</v>
      </c>
      <c r="C698" s="1" t="s">
        <v>12</v>
      </c>
      <c r="G698" s="1" t="s">
        <v>10</v>
      </c>
      <c r="J698" s="3">
        <v>45581.390104166669</v>
      </c>
      <c r="K698" s="2" t="s">
        <v>7633</v>
      </c>
      <c r="L698" s="1">
        <v>2</v>
      </c>
      <c r="M698" s="1">
        <v>2</v>
      </c>
      <c r="N698" s="1">
        <v>0</v>
      </c>
      <c r="O698" s="3">
        <v>46233.65914210648</v>
      </c>
    </row>
    <row r="699" spans="1:15" ht="30" x14ac:dyDescent="0.25">
      <c r="A699" s="5" t="s">
        <v>2261</v>
      </c>
      <c r="B699" s="1" t="s">
        <v>7673</v>
      </c>
      <c r="C699" s="1">
        <v>1871</v>
      </c>
      <c r="D699" s="1" t="s">
        <v>7437</v>
      </c>
      <c r="E699" s="1" t="s">
        <v>12</v>
      </c>
      <c r="G699" s="1" t="s">
        <v>10</v>
      </c>
      <c r="J699" s="3">
        <v>45757.509722222225</v>
      </c>
      <c r="K699" s="2" t="s">
        <v>7674</v>
      </c>
      <c r="L699" s="1">
        <v>4</v>
      </c>
      <c r="M699" s="1">
        <v>4</v>
      </c>
      <c r="N699" s="1">
        <v>0</v>
      </c>
      <c r="O699" s="3">
        <v>46233.65914210648</v>
      </c>
    </row>
    <row r="700" spans="1:15" x14ac:dyDescent="0.25">
      <c r="A700" s="5" t="s">
        <v>2264</v>
      </c>
      <c r="B700" s="1" t="s">
        <v>7675</v>
      </c>
      <c r="C700" s="1" t="s">
        <v>12</v>
      </c>
      <c r="G700" s="1" t="s">
        <v>10</v>
      </c>
      <c r="J700" s="3">
        <v>45621.675925925927</v>
      </c>
      <c r="K700" s="2" t="s">
        <v>7676</v>
      </c>
      <c r="L700" s="1">
        <v>1</v>
      </c>
      <c r="M700" s="1">
        <v>1</v>
      </c>
      <c r="N700" s="1">
        <v>0</v>
      </c>
      <c r="O700" s="3">
        <v>46233.65914210648</v>
      </c>
    </row>
    <row r="701" spans="1:15" ht="45" x14ac:dyDescent="0.25">
      <c r="A701" s="5" t="s">
        <v>2267</v>
      </c>
      <c r="B701" s="1" t="s">
        <v>7677</v>
      </c>
      <c r="C701" s="1" t="s">
        <v>12</v>
      </c>
      <c r="G701" s="1" t="s">
        <v>11</v>
      </c>
      <c r="J701" s="3">
        <v>45581.513657407406</v>
      </c>
      <c r="K701" s="2" t="s">
        <v>7678</v>
      </c>
      <c r="L701" s="1">
        <v>1</v>
      </c>
      <c r="M701" s="1">
        <v>1</v>
      </c>
      <c r="N701" s="1">
        <v>0</v>
      </c>
      <c r="O701" s="3">
        <v>46233.65914210648</v>
      </c>
    </row>
    <row r="702" spans="1:15" ht="60" x14ac:dyDescent="0.25">
      <c r="A702" s="5" t="s">
        <v>2270</v>
      </c>
      <c r="B702" s="1" t="s">
        <v>7679</v>
      </c>
      <c r="C702" s="1" t="s">
        <v>12</v>
      </c>
      <c r="G702" s="1" t="s">
        <v>10</v>
      </c>
      <c r="J702" s="3">
        <v>45581.443252314813</v>
      </c>
      <c r="K702" s="2" t="s">
        <v>7680</v>
      </c>
      <c r="L702" s="1">
        <v>1</v>
      </c>
      <c r="M702" s="1">
        <v>2</v>
      </c>
      <c r="N702" s="1">
        <v>1</v>
      </c>
      <c r="O702" s="3">
        <v>46233.65914210648</v>
      </c>
    </row>
    <row r="703" spans="1:15" ht="30" x14ac:dyDescent="0.25">
      <c r="A703" s="5" t="s">
        <v>2273</v>
      </c>
      <c r="B703" s="1" t="s">
        <v>7681</v>
      </c>
      <c r="C703" s="1" t="s">
        <v>12</v>
      </c>
      <c r="G703" s="1" t="s">
        <v>10</v>
      </c>
      <c r="J703" s="3">
        <v>45625.347916666666</v>
      </c>
      <c r="K703" s="2" t="s">
        <v>7682</v>
      </c>
      <c r="L703" s="1">
        <v>1</v>
      </c>
      <c r="M703" s="1">
        <v>1</v>
      </c>
      <c r="N703" s="1">
        <v>0</v>
      </c>
      <c r="O703" s="3">
        <v>46233.65914210648</v>
      </c>
    </row>
    <row r="704" spans="1:15" ht="75" x14ac:dyDescent="0.25">
      <c r="A704" s="5" t="s">
        <v>2276</v>
      </c>
      <c r="B704" s="1" t="s">
        <v>7683</v>
      </c>
      <c r="C704" s="1" t="s">
        <v>12</v>
      </c>
      <c r="G704" s="1" t="s">
        <v>11</v>
      </c>
      <c r="J704" s="3">
        <v>45699.463425925926</v>
      </c>
      <c r="K704" s="2" t="s">
        <v>7684</v>
      </c>
      <c r="L704" s="1">
        <v>1</v>
      </c>
      <c r="M704" s="1">
        <v>1</v>
      </c>
      <c r="N704" s="1">
        <v>0</v>
      </c>
      <c r="O704" s="3">
        <v>46233.65914210648</v>
      </c>
    </row>
    <row r="705" spans="1:15" x14ac:dyDescent="0.25">
      <c r="A705" s="5" t="s">
        <v>2279</v>
      </c>
      <c r="B705" s="1" t="s">
        <v>7685</v>
      </c>
      <c r="C705" s="1" t="s">
        <v>12</v>
      </c>
      <c r="J705" s="3">
        <v>45485.433564814812</v>
      </c>
      <c r="L705" s="1">
        <v>1</v>
      </c>
      <c r="M705" s="1">
        <v>2</v>
      </c>
      <c r="N705" s="1">
        <v>1</v>
      </c>
      <c r="O705" s="3">
        <v>46233.65914210648</v>
      </c>
    </row>
    <row r="706" spans="1:15" ht="409.5" x14ac:dyDescent="0.25">
      <c r="A706" s="5" t="s">
        <v>2282</v>
      </c>
      <c r="B706" s="1" t="s">
        <v>7686</v>
      </c>
      <c r="C706" s="1">
        <v>1882</v>
      </c>
      <c r="E706" s="1">
        <v>1938</v>
      </c>
      <c r="G706" s="1" t="s">
        <v>10</v>
      </c>
      <c r="J706" s="3">
        <v>45763.392997685187</v>
      </c>
      <c r="K706" s="2" t="s">
        <v>7687</v>
      </c>
      <c r="L706" s="1">
        <v>1</v>
      </c>
      <c r="M706" s="1">
        <v>1</v>
      </c>
      <c r="N706" s="1">
        <v>0</v>
      </c>
      <c r="O706" s="3">
        <v>46233.65914210648</v>
      </c>
    </row>
    <row r="707" spans="1:15" ht="45" x14ac:dyDescent="0.25">
      <c r="A707" s="5" t="s">
        <v>2285</v>
      </c>
      <c r="B707" s="1" t="s">
        <v>7688</v>
      </c>
      <c r="C707" s="1">
        <v>1891</v>
      </c>
      <c r="E707" s="1">
        <v>1962</v>
      </c>
      <c r="G707" s="1" t="s">
        <v>10</v>
      </c>
      <c r="J707" s="3">
        <v>45668.505300925928</v>
      </c>
      <c r="K707" s="2" t="s">
        <v>7689</v>
      </c>
      <c r="L707" s="1">
        <v>48</v>
      </c>
      <c r="M707" s="1">
        <v>51</v>
      </c>
      <c r="N707" s="1">
        <v>3</v>
      </c>
      <c r="O707" s="3">
        <v>46233.65914210648</v>
      </c>
    </row>
    <row r="708" spans="1:15" x14ac:dyDescent="0.25">
      <c r="A708" s="5" t="s">
        <v>2288</v>
      </c>
      <c r="B708" s="1" t="s">
        <v>7690</v>
      </c>
      <c r="C708" s="1">
        <v>1961</v>
      </c>
      <c r="G708" s="1" t="s">
        <v>10</v>
      </c>
      <c r="J708" s="3">
        <v>45621.387083333335</v>
      </c>
      <c r="K708" s="2" t="s">
        <v>6771</v>
      </c>
      <c r="L708" s="1">
        <v>2</v>
      </c>
      <c r="M708" s="1">
        <v>2</v>
      </c>
      <c r="N708" s="1">
        <v>0</v>
      </c>
      <c r="O708" s="3">
        <v>46233.65914210648</v>
      </c>
    </row>
    <row r="709" spans="1:15" ht="30" x14ac:dyDescent="0.25">
      <c r="A709" s="5" t="s">
        <v>2291</v>
      </c>
      <c r="B709" s="1" t="s">
        <v>7691</v>
      </c>
      <c r="C709" s="1">
        <v>2010</v>
      </c>
      <c r="J709" s="3">
        <v>45681.685659722221</v>
      </c>
      <c r="K709" s="2" t="s">
        <v>7693</v>
      </c>
      <c r="L709" s="1">
        <v>1</v>
      </c>
      <c r="M709" s="1">
        <v>1</v>
      </c>
      <c r="N709" s="1">
        <v>0</v>
      </c>
      <c r="O709" s="3">
        <v>46233.65914210648</v>
      </c>
    </row>
    <row r="710" spans="1:15" ht="75" x14ac:dyDescent="0.25">
      <c r="A710" s="5" t="s">
        <v>2294</v>
      </c>
      <c r="B710" s="1" t="s">
        <v>7694</v>
      </c>
      <c r="C710" s="1">
        <v>1803</v>
      </c>
      <c r="E710" s="1">
        <v>1883</v>
      </c>
      <c r="G710" s="1" t="s">
        <v>10</v>
      </c>
      <c r="J710" s="3">
        <v>45636.657835648148</v>
      </c>
      <c r="K710" s="2" t="s">
        <v>7696</v>
      </c>
      <c r="L710" s="1">
        <v>6</v>
      </c>
      <c r="M710" s="1">
        <v>8</v>
      </c>
      <c r="N710" s="1">
        <v>2</v>
      </c>
      <c r="O710" s="3">
        <v>46233.65914210648</v>
      </c>
    </row>
    <row r="711" spans="1:15" ht="45" x14ac:dyDescent="0.25">
      <c r="A711" s="5" t="s">
        <v>2297</v>
      </c>
      <c r="B711" s="1" t="s">
        <v>7697</v>
      </c>
      <c r="C711" s="1">
        <v>1752</v>
      </c>
      <c r="E711" s="1">
        <v>1826</v>
      </c>
      <c r="G711" s="1" t="s">
        <v>10</v>
      </c>
      <c r="J711" s="3">
        <v>45810.394097222219</v>
      </c>
      <c r="K711" s="2" t="s">
        <v>7699</v>
      </c>
      <c r="L711" s="1">
        <v>1</v>
      </c>
      <c r="M711" s="1">
        <v>1</v>
      </c>
      <c r="N711" s="1">
        <v>0</v>
      </c>
      <c r="O711" s="3">
        <v>46233.65914210648</v>
      </c>
    </row>
    <row r="712" spans="1:15" x14ac:dyDescent="0.25">
      <c r="A712" s="5" t="s">
        <v>2300</v>
      </c>
      <c r="B712" s="1" t="s">
        <v>7700</v>
      </c>
      <c r="C712" s="1" t="s">
        <v>12</v>
      </c>
      <c r="G712" s="1" t="s">
        <v>10</v>
      </c>
      <c r="J712" s="3">
        <v>45622.685358796298</v>
      </c>
      <c r="K712" s="2" t="s">
        <v>6417</v>
      </c>
      <c r="L712" s="1">
        <v>3</v>
      </c>
      <c r="M712" s="1">
        <v>3</v>
      </c>
      <c r="N712" s="1">
        <v>0</v>
      </c>
      <c r="O712" s="3">
        <v>46233.65914210648</v>
      </c>
    </row>
    <row r="713" spans="1:15" x14ac:dyDescent="0.25">
      <c r="A713" s="5" t="s">
        <v>2303</v>
      </c>
      <c r="B713" s="1" t="s">
        <v>7701</v>
      </c>
      <c r="C713" s="1">
        <v>1980</v>
      </c>
      <c r="G713" s="1" t="s">
        <v>11</v>
      </c>
      <c r="J713" s="3">
        <v>45623.459930555553</v>
      </c>
      <c r="K713" s="2" t="s">
        <v>7702</v>
      </c>
      <c r="L713" s="1">
        <v>1</v>
      </c>
      <c r="M713" s="1">
        <v>1</v>
      </c>
      <c r="N713" s="1">
        <v>0</v>
      </c>
      <c r="O713" s="3">
        <v>46233.65914210648</v>
      </c>
    </row>
    <row r="714" spans="1:15" ht="60" x14ac:dyDescent="0.25">
      <c r="A714" s="5" t="s">
        <v>2306</v>
      </c>
      <c r="B714" s="1" t="s">
        <v>7703</v>
      </c>
      <c r="C714" s="1" t="s">
        <v>12</v>
      </c>
      <c r="G714" s="1" t="s">
        <v>11</v>
      </c>
      <c r="J714" s="3">
        <v>45686.510231481479</v>
      </c>
      <c r="K714" s="2" t="s">
        <v>7704</v>
      </c>
      <c r="L714" s="1">
        <v>2</v>
      </c>
      <c r="M714" s="1">
        <v>2</v>
      </c>
      <c r="N714" s="1">
        <v>0</v>
      </c>
      <c r="O714" s="3">
        <v>46233.65914210648</v>
      </c>
    </row>
    <row r="715" spans="1:15" ht="90" x14ac:dyDescent="0.25">
      <c r="A715" s="5" t="s">
        <v>2309</v>
      </c>
      <c r="B715" s="1" t="s">
        <v>7705</v>
      </c>
      <c r="C715" s="1" t="s">
        <v>12</v>
      </c>
      <c r="G715" s="1" t="s">
        <v>10</v>
      </c>
      <c r="J715" s="3">
        <v>45625.360717592594</v>
      </c>
      <c r="K715" s="2" t="s">
        <v>7706</v>
      </c>
      <c r="L715" s="1">
        <v>1</v>
      </c>
      <c r="M715" s="1">
        <v>1</v>
      </c>
      <c r="N715" s="1">
        <v>0</v>
      </c>
      <c r="O715" s="3">
        <v>46233.65914210648</v>
      </c>
    </row>
    <row r="716" spans="1:15" x14ac:dyDescent="0.25">
      <c r="A716" s="5" t="s">
        <v>2312</v>
      </c>
      <c r="B716" s="1" t="s">
        <v>7707</v>
      </c>
      <c r="C716" s="1">
        <v>1969</v>
      </c>
      <c r="G716" s="1" t="s">
        <v>10</v>
      </c>
      <c r="J716" s="3">
        <v>45624.389363425929</v>
      </c>
      <c r="K716" s="2" t="s">
        <v>6417</v>
      </c>
      <c r="L716" s="1">
        <v>2</v>
      </c>
      <c r="M716" s="1">
        <v>2</v>
      </c>
      <c r="N716" s="1">
        <v>0</v>
      </c>
      <c r="O716" s="3">
        <v>46233.65914210648</v>
      </c>
    </row>
    <row r="717" spans="1:15" ht="210" x14ac:dyDescent="0.25">
      <c r="A717" s="5" t="s">
        <v>2315</v>
      </c>
      <c r="B717" s="1" t="s">
        <v>7708</v>
      </c>
      <c r="C717" s="1">
        <v>1868</v>
      </c>
      <c r="E717" s="1">
        <v>1942</v>
      </c>
      <c r="G717" s="1" t="s">
        <v>10</v>
      </c>
      <c r="J717" s="3">
        <v>45762.391840277778</v>
      </c>
      <c r="K717" s="2" t="s">
        <v>7710</v>
      </c>
      <c r="L717" s="1">
        <v>1</v>
      </c>
      <c r="M717" s="1">
        <v>1</v>
      </c>
      <c r="N717" s="1">
        <v>0</v>
      </c>
      <c r="O717" s="3">
        <v>46233.65914210648</v>
      </c>
    </row>
    <row r="718" spans="1:15" x14ac:dyDescent="0.25">
      <c r="A718" s="5" t="s">
        <v>2318</v>
      </c>
      <c r="B718" s="1" t="s">
        <v>7711</v>
      </c>
      <c r="C718" s="1">
        <v>1955</v>
      </c>
      <c r="G718" s="1" t="s">
        <v>10</v>
      </c>
      <c r="J718" s="3">
        <v>45681.685486111113</v>
      </c>
      <c r="K718" s="2" t="s">
        <v>7712</v>
      </c>
      <c r="L718" s="1">
        <v>1</v>
      </c>
      <c r="M718" s="1">
        <v>1</v>
      </c>
      <c r="N718" s="1">
        <v>0</v>
      </c>
      <c r="O718" s="3">
        <v>46233.65914210648</v>
      </c>
    </row>
    <row r="719" spans="1:15" ht="45" x14ac:dyDescent="0.25">
      <c r="A719" s="5" t="s">
        <v>2321</v>
      </c>
      <c r="B719" s="1" t="s">
        <v>7713</v>
      </c>
      <c r="C719" s="1" t="s">
        <v>12</v>
      </c>
      <c r="G719" s="1" t="s">
        <v>11</v>
      </c>
      <c r="J719" s="3">
        <v>45624.44771990741</v>
      </c>
      <c r="K719" s="2" t="s">
        <v>7714</v>
      </c>
      <c r="L719" s="1">
        <v>1</v>
      </c>
      <c r="M719" s="1">
        <v>1</v>
      </c>
      <c r="N719" s="1">
        <v>0</v>
      </c>
      <c r="O719" s="3">
        <v>46233.65914210648</v>
      </c>
    </row>
    <row r="720" spans="1:15" ht="60" x14ac:dyDescent="0.25">
      <c r="A720" s="5" t="s">
        <v>2324</v>
      </c>
      <c r="B720" s="1" t="s">
        <v>7715</v>
      </c>
      <c r="C720" s="1" t="s">
        <v>12</v>
      </c>
      <c r="G720" s="1" t="s">
        <v>11</v>
      </c>
      <c r="J720" s="3">
        <v>45730.47446759259</v>
      </c>
      <c r="K720" s="2" t="s">
        <v>7716</v>
      </c>
      <c r="L720" s="1">
        <v>1</v>
      </c>
      <c r="M720" s="1">
        <v>1</v>
      </c>
      <c r="N720" s="1">
        <v>0</v>
      </c>
      <c r="O720" s="3">
        <v>46233.65914210648</v>
      </c>
    </row>
    <row r="721" spans="1:15" ht="45" x14ac:dyDescent="0.25">
      <c r="A721" s="5" t="s">
        <v>2327</v>
      </c>
      <c r="B721" s="1" t="s">
        <v>7717</v>
      </c>
      <c r="C721" s="1">
        <v>1957</v>
      </c>
      <c r="G721" s="1" t="s">
        <v>11</v>
      </c>
      <c r="J721" s="3">
        <v>45707.444594907407</v>
      </c>
      <c r="K721" s="2" t="s">
        <v>7718</v>
      </c>
      <c r="L721" s="1">
        <v>14</v>
      </c>
      <c r="M721" s="1">
        <v>16</v>
      </c>
      <c r="N721" s="1">
        <v>2</v>
      </c>
      <c r="O721" s="3">
        <v>46233.65914210648</v>
      </c>
    </row>
    <row r="722" spans="1:15" ht="30" x14ac:dyDescent="0.25">
      <c r="A722" s="5" t="s">
        <v>2330</v>
      </c>
      <c r="B722" s="1" t="s">
        <v>7719</v>
      </c>
      <c r="C722" s="1" t="s">
        <v>12</v>
      </c>
      <c r="G722" s="1" t="s">
        <v>11</v>
      </c>
      <c r="J722" s="3">
        <v>45687.453368055554</v>
      </c>
      <c r="K722" s="2" t="s">
        <v>7720</v>
      </c>
      <c r="L722" s="1">
        <v>1</v>
      </c>
      <c r="M722" s="1">
        <v>1</v>
      </c>
      <c r="N722" s="1">
        <v>0</v>
      </c>
      <c r="O722" s="3">
        <v>46233.65914210648</v>
      </c>
    </row>
    <row r="723" spans="1:15" ht="120" x14ac:dyDescent="0.25">
      <c r="A723" s="5" t="s">
        <v>2333</v>
      </c>
      <c r="B723" s="1" t="s">
        <v>7721</v>
      </c>
      <c r="G723" s="1" t="s">
        <v>10</v>
      </c>
      <c r="J723" s="3">
        <v>45624.57917824074</v>
      </c>
      <c r="K723" s="2" t="s">
        <v>7722</v>
      </c>
      <c r="L723" s="1">
        <v>1</v>
      </c>
      <c r="M723" s="1">
        <v>1</v>
      </c>
      <c r="N723" s="1">
        <v>0</v>
      </c>
      <c r="O723" s="3">
        <v>46233.65914210648</v>
      </c>
    </row>
    <row r="724" spans="1:15" ht="75" x14ac:dyDescent="0.25">
      <c r="A724" s="5" t="s">
        <v>2336</v>
      </c>
      <c r="B724" s="1" t="s">
        <v>7723</v>
      </c>
      <c r="C724" s="1" t="s">
        <v>12</v>
      </c>
      <c r="G724" s="1" t="s">
        <v>11</v>
      </c>
      <c r="J724" s="3">
        <v>45686.508043981485</v>
      </c>
      <c r="K724" s="2" t="s">
        <v>7724</v>
      </c>
      <c r="L724" s="1">
        <v>2</v>
      </c>
      <c r="M724" s="1">
        <v>2</v>
      </c>
      <c r="N724" s="1">
        <v>0</v>
      </c>
      <c r="O724" s="3">
        <v>46233.65914210648</v>
      </c>
    </row>
    <row r="725" spans="1:15" ht="120" x14ac:dyDescent="0.25">
      <c r="A725" s="5" t="s">
        <v>2339</v>
      </c>
      <c r="B725" s="1" t="s">
        <v>7725</v>
      </c>
      <c r="C725" s="1">
        <v>1953</v>
      </c>
      <c r="G725" s="1" t="s">
        <v>10</v>
      </c>
      <c r="J725" s="3">
        <v>45636.657384259262</v>
      </c>
      <c r="K725" s="2" t="s">
        <v>7726</v>
      </c>
      <c r="L725" s="1">
        <v>45</v>
      </c>
      <c r="M725" s="1">
        <v>59</v>
      </c>
      <c r="N725" s="1">
        <v>14</v>
      </c>
      <c r="O725" s="3">
        <v>46233.65914210648</v>
      </c>
    </row>
    <row r="726" spans="1:15" ht="60" x14ac:dyDescent="0.25">
      <c r="A726" s="5" t="s">
        <v>2342</v>
      </c>
      <c r="B726" s="1" t="s">
        <v>7727</v>
      </c>
      <c r="C726" s="1" t="s">
        <v>12</v>
      </c>
      <c r="G726" s="1" t="s">
        <v>11</v>
      </c>
      <c r="J726" s="3">
        <v>45804.678518518522</v>
      </c>
      <c r="K726" s="2" t="s">
        <v>7728</v>
      </c>
      <c r="L726" s="1">
        <v>1</v>
      </c>
      <c r="M726" s="1">
        <v>1</v>
      </c>
      <c r="N726" s="1">
        <v>0</v>
      </c>
      <c r="O726" s="3">
        <v>46233.65914210648</v>
      </c>
    </row>
    <row r="727" spans="1:15" x14ac:dyDescent="0.25">
      <c r="A727" s="5" t="s">
        <v>2345</v>
      </c>
      <c r="B727" s="1" t="s">
        <v>7729</v>
      </c>
      <c r="C727" s="1">
        <v>1943</v>
      </c>
      <c r="D727" s="1" t="s">
        <v>14</v>
      </c>
      <c r="G727" s="1" t="s">
        <v>11</v>
      </c>
      <c r="J727" s="3">
        <v>45630.550034722219</v>
      </c>
      <c r="K727" s="2" t="s">
        <v>7730</v>
      </c>
      <c r="L727" s="1">
        <v>37</v>
      </c>
      <c r="M727" s="1">
        <v>44</v>
      </c>
      <c r="N727" s="1">
        <v>7</v>
      </c>
      <c r="O727" s="3">
        <v>46233.65914210648</v>
      </c>
    </row>
    <row r="728" spans="1:15" ht="75" x14ac:dyDescent="0.25">
      <c r="A728" s="5" t="s">
        <v>2348</v>
      </c>
      <c r="B728" s="1" t="s">
        <v>7731</v>
      </c>
      <c r="C728" s="1" t="s">
        <v>12</v>
      </c>
      <c r="G728" s="1" t="s">
        <v>10</v>
      </c>
      <c r="J728" s="3">
        <v>45636.657199074078</v>
      </c>
      <c r="K728" s="2" t="s">
        <v>7732</v>
      </c>
      <c r="L728" s="1">
        <v>3</v>
      </c>
      <c r="M728" s="1">
        <v>5</v>
      </c>
      <c r="N728" s="1">
        <v>2</v>
      </c>
      <c r="O728" s="3">
        <v>46233.65914210648</v>
      </c>
    </row>
    <row r="729" spans="1:15" ht="90" x14ac:dyDescent="0.25">
      <c r="A729" s="5" t="s">
        <v>2351</v>
      </c>
      <c r="B729" s="1" t="s">
        <v>7733</v>
      </c>
      <c r="C729" s="1">
        <v>2020</v>
      </c>
      <c r="J729" s="3">
        <v>45734.353032407409</v>
      </c>
      <c r="K729" s="2" t="s">
        <v>7734</v>
      </c>
      <c r="L729" s="1">
        <v>2</v>
      </c>
      <c r="M729" s="1">
        <v>2</v>
      </c>
      <c r="N729" s="1">
        <v>0</v>
      </c>
      <c r="O729" s="3">
        <v>46233.65914210648</v>
      </c>
    </row>
    <row r="730" spans="1:15" x14ac:dyDescent="0.25">
      <c r="A730" s="5" t="s">
        <v>2354</v>
      </c>
      <c r="B730" s="1" t="s">
        <v>7735</v>
      </c>
      <c r="C730" s="1">
        <v>2019</v>
      </c>
      <c r="J730" s="3">
        <v>45513.395405092589</v>
      </c>
      <c r="L730" s="1">
        <v>1</v>
      </c>
      <c r="M730" s="1">
        <v>1</v>
      </c>
      <c r="N730" s="1">
        <v>0</v>
      </c>
      <c r="O730" s="3">
        <v>46233.65914210648</v>
      </c>
    </row>
    <row r="731" spans="1:15" ht="120" x14ac:dyDescent="0.25">
      <c r="A731" s="5" t="s">
        <v>2357</v>
      </c>
      <c r="B731" s="1" t="s">
        <v>7736</v>
      </c>
      <c r="C731" s="1">
        <v>1972</v>
      </c>
      <c r="G731" s="1" t="s">
        <v>10</v>
      </c>
      <c r="J731" s="3">
        <v>45636.636423611111</v>
      </c>
      <c r="K731" s="2" t="s">
        <v>7737</v>
      </c>
      <c r="L731" s="1">
        <v>4</v>
      </c>
      <c r="M731" s="1">
        <v>5</v>
      </c>
      <c r="N731" s="1">
        <v>1</v>
      </c>
      <c r="O731" s="3">
        <v>46233.65914210648</v>
      </c>
    </row>
    <row r="732" spans="1:15" x14ac:dyDescent="0.25">
      <c r="A732" s="5" t="s">
        <v>2360</v>
      </c>
      <c r="B732" s="1" t="s">
        <v>7738</v>
      </c>
      <c r="C732" s="1">
        <v>1959</v>
      </c>
      <c r="G732" s="1" t="s">
        <v>11</v>
      </c>
      <c r="J732" s="3">
        <v>45636.657372685186</v>
      </c>
      <c r="K732" s="2" t="s">
        <v>7739</v>
      </c>
      <c r="L732" s="1">
        <v>19</v>
      </c>
      <c r="M732" s="1">
        <v>22</v>
      </c>
      <c r="N732" s="1">
        <v>3</v>
      </c>
      <c r="O732" s="3">
        <v>46233.65914210648</v>
      </c>
    </row>
    <row r="733" spans="1:15" ht="30" x14ac:dyDescent="0.25">
      <c r="A733" s="5" t="s">
        <v>2363</v>
      </c>
      <c r="B733" s="1" t="s">
        <v>7740</v>
      </c>
      <c r="C733" s="1">
        <v>1981</v>
      </c>
      <c r="D733" s="1" t="s">
        <v>14</v>
      </c>
      <c r="G733" s="1" t="s">
        <v>10</v>
      </c>
      <c r="J733" s="3">
        <v>45636.657777777778</v>
      </c>
      <c r="K733" s="2" t="s">
        <v>7741</v>
      </c>
      <c r="L733" s="1">
        <v>62</v>
      </c>
      <c r="M733" s="1">
        <v>62</v>
      </c>
      <c r="N733" s="1">
        <v>0</v>
      </c>
      <c r="O733" s="3">
        <v>46233.65914210648</v>
      </c>
    </row>
    <row r="734" spans="1:15" ht="90" x14ac:dyDescent="0.25">
      <c r="A734" s="5" t="s">
        <v>2366</v>
      </c>
      <c r="B734" s="1" t="s">
        <v>7742</v>
      </c>
      <c r="G734" s="1" t="s">
        <v>10</v>
      </c>
      <c r="J734" s="3">
        <v>45730.428784722222</v>
      </c>
      <c r="K734" s="2" t="s">
        <v>7743</v>
      </c>
      <c r="L734" s="1">
        <v>9</v>
      </c>
      <c r="M734" s="1">
        <v>10</v>
      </c>
      <c r="N734" s="1">
        <v>1</v>
      </c>
      <c r="O734" s="3">
        <v>46233.65914210648</v>
      </c>
    </row>
    <row r="735" spans="1:15" x14ac:dyDescent="0.25">
      <c r="A735" s="5" t="s">
        <v>2369</v>
      </c>
      <c r="B735" s="1" t="s">
        <v>7744</v>
      </c>
      <c r="C735" s="1" t="s">
        <v>12</v>
      </c>
      <c r="G735" s="1" t="s">
        <v>10</v>
      </c>
      <c r="J735" s="3">
        <v>45631.341828703706</v>
      </c>
      <c r="K735" s="2" t="s">
        <v>7745</v>
      </c>
      <c r="L735" s="1">
        <v>1</v>
      </c>
      <c r="M735" s="1">
        <v>1</v>
      </c>
      <c r="N735" s="1">
        <v>0</v>
      </c>
      <c r="O735" s="3">
        <v>46233.65914210648</v>
      </c>
    </row>
    <row r="736" spans="1:15" x14ac:dyDescent="0.25">
      <c r="A736" s="5" t="s">
        <v>2372</v>
      </c>
      <c r="B736" s="1" t="s">
        <v>7746</v>
      </c>
      <c r="C736" s="1">
        <v>1987</v>
      </c>
      <c r="G736" s="1" t="s">
        <v>11</v>
      </c>
      <c r="J736" s="3">
        <v>45630.500115740739</v>
      </c>
      <c r="K736" s="2" t="s">
        <v>7747</v>
      </c>
      <c r="L736" s="1">
        <v>1</v>
      </c>
      <c r="M736" s="1">
        <v>2</v>
      </c>
      <c r="N736" s="1">
        <v>1</v>
      </c>
      <c r="O736" s="3">
        <v>46233.65914210648</v>
      </c>
    </row>
    <row r="737" spans="1:15" ht="60" x14ac:dyDescent="0.25">
      <c r="A737" s="5" t="s">
        <v>2375</v>
      </c>
      <c r="B737" s="1" t="s">
        <v>7748</v>
      </c>
      <c r="C737" s="1" t="s">
        <v>12</v>
      </c>
      <c r="J737" s="3">
        <v>45737.370034722226</v>
      </c>
      <c r="K737" s="2" t="s">
        <v>7749</v>
      </c>
      <c r="L737" s="1">
        <v>1</v>
      </c>
      <c r="M737" s="1">
        <v>1</v>
      </c>
      <c r="N737" s="1">
        <v>0</v>
      </c>
      <c r="O737" s="3">
        <v>46233.65914210648</v>
      </c>
    </row>
    <row r="738" spans="1:15" ht="60" x14ac:dyDescent="0.25">
      <c r="A738" s="5" t="s">
        <v>2378</v>
      </c>
      <c r="B738" s="1" t="s">
        <v>7750</v>
      </c>
      <c r="C738" s="1" t="s">
        <v>12</v>
      </c>
      <c r="G738" s="1" t="s">
        <v>10</v>
      </c>
      <c r="J738" s="3">
        <v>45791.69326388889</v>
      </c>
      <c r="K738" s="2" t="s">
        <v>7751</v>
      </c>
      <c r="L738" s="1">
        <v>2</v>
      </c>
      <c r="M738" s="1">
        <v>2</v>
      </c>
      <c r="N738" s="1">
        <v>0</v>
      </c>
      <c r="O738" s="3">
        <v>46233.65914210648</v>
      </c>
    </row>
    <row r="739" spans="1:15" ht="60" x14ac:dyDescent="0.25">
      <c r="A739" s="5" t="s">
        <v>2381</v>
      </c>
      <c r="B739" s="1" t="s">
        <v>7752</v>
      </c>
      <c r="C739" s="1">
        <v>1995</v>
      </c>
      <c r="G739" s="1" t="s">
        <v>11</v>
      </c>
      <c r="J739" s="3">
        <v>45630.606400462966</v>
      </c>
      <c r="K739" s="2" t="s">
        <v>7753</v>
      </c>
      <c r="L739" s="1">
        <v>1</v>
      </c>
      <c r="M739" s="1">
        <v>1</v>
      </c>
      <c r="N739" s="1">
        <v>0</v>
      </c>
      <c r="O739" s="3">
        <v>46233.65914210648</v>
      </c>
    </row>
    <row r="740" spans="1:15" x14ac:dyDescent="0.25">
      <c r="A740" s="5" t="s">
        <v>2384</v>
      </c>
      <c r="B740" s="1" t="s">
        <v>7754</v>
      </c>
      <c r="C740" s="1" t="s">
        <v>12</v>
      </c>
      <c r="G740" s="1" t="s">
        <v>11</v>
      </c>
      <c r="J740" s="3">
        <v>45811.408113425925</v>
      </c>
      <c r="K740" s="2" t="s">
        <v>7755</v>
      </c>
      <c r="L740" s="1">
        <v>1</v>
      </c>
      <c r="M740" s="1">
        <v>1</v>
      </c>
      <c r="N740" s="1">
        <v>0</v>
      </c>
      <c r="O740" s="3">
        <v>46233.65914210648</v>
      </c>
    </row>
    <row r="741" spans="1:15" ht="60" x14ac:dyDescent="0.25">
      <c r="A741" s="5" t="s">
        <v>2387</v>
      </c>
      <c r="B741" s="1" t="s">
        <v>7756</v>
      </c>
      <c r="C741" s="1">
        <v>1952</v>
      </c>
      <c r="G741" s="1" t="s">
        <v>10</v>
      </c>
      <c r="J741" s="3">
        <v>45630.637708333335</v>
      </c>
      <c r="K741" s="2" t="s">
        <v>7757</v>
      </c>
      <c r="L741" s="1">
        <v>2</v>
      </c>
      <c r="M741" s="1">
        <v>2</v>
      </c>
      <c r="N741" s="1">
        <v>0</v>
      </c>
      <c r="O741" s="3">
        <v>46233.65914210648</v>
      </c>
    </row>
    <row r="742" spans="1:15" x14ac:dyDescent="0.25">
      <c r="A742" s="5" t="s">
        <v>2390</v>
      </c>
      <c r="B742" s="1" t="s">
        <v>7758</v>
      </c>
      <c r="C742" s="1">
        <v>1843</v>
      </c>
      <c r="D742" s="1" t="s">
        <v>7760</v>
      </c>
      <c r="E742" s="1">
        <v>1917</v>
      </c>
      <c r="F742" s="1" t="s">
        <v>14</v>
      </c>
      <c r="G742" s="1" t="s">
        <v>10</v>
      </c>
      <c r="J742" s="3">
        <v>45799.61451388889</v>
      </c>
      <c r="K742" s="2" t="s">
        <v>7761</v>
      </c>
      <c r="L742" s="1">
        <v>41</v>
      </c>
      <c r="M742" s="1">
        <v>41</v>
      </c>
      <c r="N742" s="1">
        <v>0</v>
      </c>
      <c r="O742" s="3">
        <v>46233.65914210648</v>
      </c>
    </row>
    <row r="743" spans="1:15" ht="30" x14ac:dyDescent="0.25">
      <c r="A743" s="5" t="s">
        <v>2393</v>
      </c>
      <c r="B743" s="1" t="s">
        <v>7762</v>
      </c>
      <c r="C743" s="1" t="s">
        <v>12</v>
      </c>
      <c r="G743" s="1" t="s">
        <v>11</v>
      </c>
      <c r="J743" s="3">
        <v>45730.386076388888</v>
      </c>
      <c r="K743" s="2" t="s">
        <v>7763</v>
      </c>
      <c r="L743" s="1">
        <v>1</v>
      </c>
      <c r="M743" s="1">
        <v>1</v>
      </c>
      <c r="N743" s="1">
        <v>0</v>
      </c>
      <c r="O743" s="3">
        <v>46233.65914210648</v>
      </c>
    </row>
    <row r="744" spans="1:15" ht="75" x14ac:dyDescent="0.25">
      <c r="A744" s="5" t="s">
        <v>2396</v>
      </c>
      <c r="B744" s="1" t="s">
        <v>7764</v>
      </c>
      <c r="C744" s="1">
        <v>1609</v>
      </c>
      <c r="E744" s="1">
        <v>1694</v>
      </c>
      <c r="G744" s="1" t="s">
        <v>10</v>
      </c>
      <c r="J744" s="3">
        <v>45800.591168981482</v>
      </c>
      <c r="K744" s="2" t="s">
        <v>7767</v>
      </c>
      <c r="L744" s="1">
        <v>6</v>
      </c>
      <c r="M744" s="1">
        <v>6</v>
      </c>
      <c r="N744" s="1">
        <v>0</v>
      </c>
      <c r="O744" s="3">
        <v>46233.65914210648</v>
      </c>
    </row>
    <row r="745" spans="1:15" ht="60" x14ac:dyDescent="0.25">
      <c r="A745" s="5" t="s">
        <v>2399</v>
      </c>
      <c r="B745" s="1" t="s">
        <v>7768</v>
      </c>
      <c r="C745" s="1">
        <v>1674</v>
      </c>
      <c r="D745" s="1" t="s">
        <v>7770</v>
      </c>
      <c r="E745" s="1">
        <v>1760</v>
      </c>
      <c r="F745" s="1" t="s">
        <v>14</v>
      </c>
      <c r="G745" s="1" t="s">
        <v>10</v>
      </c>
      <c r="J745" s="3">
        <v>45762.408368055556</v>
      </c>
      <c r="K745" s="2" t="s">
        <v>7772</v>
      </c>
      <c r="L745" s="1">
        <v>14</v>
      </c>
      <c r="M745" s="1">
        <v>14</v>
      </c>
      <c r="N745" s="1">
        <v>0</v>
      </c>
      <c r="O745" s="3">
        <v>46233.65914210648</v>
      </c>
    </row>
    <row r="746" spans="1:15" x14ac:dyDescent="0.25">
      <c r="A746" s="5" t="s">
        <v>2402</v>
      </c>
      <c r="B746" s="1" t="s">
        <v>7773</v>
      </c>
      <c r="C746" s="1">
        <v>1964</v>
      </c>
      <c r="G746" s="1" t="s">
        <v>10</v>
      </c>
      <c r="J746" s="3">
        <v>45636.657199074078</v>
      </c>
      <c r="K746" s="2" t="s">
        <v>6369</v>
      </c>
      <c r="L746" s="1">
        <v>14</v>
      </c>
      <c r="M746" s="1">
        <v>17</v>
      </c>
      <c r="N746" s="1">
        <v>3</v>
      </c>
      <c r="O746" s="3">
        <v>46233.65914210648</v>
      </c>
    </row>
    <row r="747" spans="1:15" ht="60" x14ac:dyDescent="0.25">
      <c r="A747" s="5" t="s">
        <v>2405</v>
      </c>
      <c r="B747" s="1" t="s">
        <v>7774</v>
      </c>
      <c r="C747" s="1" t="s">
        <v>12</v>
      </c>
      <c r="G747" s="1" t="s">
        <v>11</v>
      </c>
      <c r="J747" s="3">
        <v>45751.684374999997</v>
      </c>
      <c r="K747" s="2" t="s">
        <v>7775</v>
      </c>
      <c r="L747" s="1">
        <v>1</v>
      </c>
      <c r="M747" s="1">
        <v>1</v>
      </c>
      <c r="N747" s="1">
        <v>0</v>
      </c>
      <c r="O747" s="3">
        <v>46233.65914210648</v>
      </c>
    </row>
    <row r="748" spans="1:15" x14ac:dyDescent="0.25">
      <c r="A748" s="5" t="s">
        <v>2408</v>
      </c>
      <c r="B748" s="1" t="s">
        <v>7776</v>
      </c>
      <c r="J748" s="3">
        <v>45485.674837962964</v>
      </c>
      <c r="L748" s="1">
        <v>3</v>
      </c>
      <c r="M748" s="1">
        <v>3</v>
      </c>
      <c r="N748" s="1">
        <v>0</v>
      </c>
      <c r="O748" s="3">
        <v>46233.65914210648</v>
      </c>
    </row>
    <row r="749" spans="1:15" ht="30" x14ac:dyDescent="0.25">
      <c r="A749" s="5" t="s">
        <v>2411</v>
      </c>
      <c r="B749" s="1" t="s">
        <v>7777</v>
      </c>
      <c r="C749" s="1" t="s">
        <v>12</v>
      </c>
      <c r="G749" s="1" t="s">
        <v>10</v>
      </c>
      <c r="J749" s="3">
        <v>45761.467511574076</v>
      </c>
      <c r="K749" s="2" t="s">
        <v>7778</v>
      </c>
      <c r="L749" s="1">
        <v>1</v>
      </c>
      <c r="M749" s="1">
        <v>1</v>
      </c>
      <c r="N749" s="1">
        <v>0</v>
      </c>
      <c r="O749" s="3">
        <v>46233.65914210648</v>
      </c>
    </row>
    <row r="750" spans="1:15" ht="45" x14ac:dyDescent="0.25">
      <c r="A750" s="5" t="s">
        <v>2414</v>
      </c>
      <c r="B750" s="1" t="s">
        <v>7779</v>
      </c>
      <c r="C750" s="1">
        <v>1946</v>
      </c>
      <c r="G750" s="1" t="s">
        <v>11</v>
      </c>
      <c r="J750" s="3">
        <v>45699.471782407411</v>
      </c>
      <c r="K750" s="2" t="s">
        <v>7780</v>
      </c>
      <c r="L750" s="1">
        <v>1</v>
      </c>
      <c r="M750" s="1">
        <v>1</v>
      </c>
      <c r="N750" s="1">
        <v>0</v>
      </c>
      <c r="O750" s="3">
        <v>46233.65914210648</v>
      </c>
    </row>
    <row r="751" spans="1:15" ht="75" x14ac:dyDescent="0.25">
      <c r="A751" s="5" t="s">
        <v>2417</v>
      </c>
      <c r="B751" s="1" t="s">
        <v>7781</v>
      </c>
      <c r="C751" s="1" t="s">
        <v>12</v>
      </c>
      <c r="G751" s="1" t="s">
        <v>10</v>
      </c>
      <c r="J751" s="3">
        <v>45722.40185185185</v>
      </c>
      <c r="K751" s="2" t="s">
        <v>7782</v>
      </c>
      <c r="L751" s="1">
        <v>1</v>
      </c>
      <c r="M751" s="1">
        <v>1</v>
      </c>
      <c r="N751" s="1">
        <v>0</v>
      </c>
      <c r="O751" s="3">
        <v>46233.65914210648</v>
      </c>
    </row>
    <row r="752" spans="1:15" ht="180" x14ac:dyDescent="0.25">
      <c r="A752" s="5" t="s">
        <v>2420</v>
      </c>
      <c r="B752" s="1" t="s">
        <v>7783</v>
      </c>
      <c r="C752" s="1">
        <v>1972</v>
      </c>
      <c r="D752" s="1" t="s">
        <v>7784</v>
      </c>
      <c r="G752" s="1" t="s">
        <v>11</v>
      </c>
      <c r="J752" s="3">
        <v>45668.559270833335</v>
      </c>
      <c r="K752" s="2" t="s">
        <v>7785</v>
      </c>
      <c r="L752" s="1">
        <v>30</v>
      </c>
      <c r="M752" s="1">
        <v>31</v>
      </c>
      <c r="N752" s="1">
        <v>1</v>
      </c>
      <c r="O752" s="3">
        <v>46233.65914210648</v>
      </c>
    </row>
    <row r="753" spans="1:15" ht="45" x14ac:dyDescent="0.25">
      <c r="A753" s="5" t="s">
        <v>2423</v>
      </c>
      <c r="B753" s="1" t="s">
        <v>7786</v>
      </c>
      <c r="C753" s="1">
        <v>1980</v>
      </c>
      <c r="G753" s="1" t="s">
        <v>11</v>
      </c>
      <c r="J753" s="3">
        <v>45642.632754629631</v>
      </c>
      <c r="K753" s="2" t="s">
        <v>7787</v>
      </c>
      <c r="L753" s="1">
        <v>3</v>
      </c>
      <c r="M753" s="1">
        <v>3</v>
      </c>
      <c r="N753" s="1">
        <v>0</v>
      </c>
      <c r="O753" s="3">
        <v>46233.65914210648</v>
      </c>
    </row>
    <row r="754" spans="1:15" ht="30" x14ac:dyDescent="0.25">
      <c r="A754" s="5" t="s">
        <v>2426</v>
      </c>
      <c r="B754" s="1" t="s">
        <v>7788</v>
      </c>
      <c r="C754" s="1">
        <v>1828</v>
      </c>
      <c r="E754" s="1" t="s">
        <v>7790</v>
      </c>
      <c r="G754" s="1" t="s">
        <v>10</v>
      </c>
      <c r="J754" s="3">
        <v>45636.657557870371</v>
      </c>
      <c r="K754" s="2" t="s">
        <v>7791</v>
      </c>
      <c r="L754" s="1">
        <v>13</v>
      </c>
      <c r="M754" s="1">
        <v>13</v>
      </c>
      <c r="N754" s="1">
        <v>0</v>
      </c>
      <c r="O754" s="3">
        <v>46233.65914210648</v>
      </c>
    </row>
    <row r="755" spans="1:15" ht="330" x14ac:dyDescent="0.25">
      <c r="A755" s="5" t="s">
        <v>2429</v>
      </c>
      <c r="B755" s="1" t="s">
        <v>7792</v>
      </c>
      <c r="C755" s="1">
        <v>1818</v>
      </c>
      <c r="E755" s="1">
        <v>1880</v>
      </c>
      <c r="G755" s="1" t="s">
        <v>10</v>
      </c>
      <c r="J755" s="3">
        <v>45793.35355324074</v>
      </c>
      <c r="K755" s="2" t="s">
        <v>7794</v>
      </c>
      <c r="L755" s="1">
        <v>1</v>
      </c>
      <c r="M755" s="1">
        <v>1</v>
      </c>
      <c r="N755" s="1">
        <v>0</v>
      </c>
      <c r="O755" s="3">
        <v>46233.65914210648</v>
      </c>
    </row>
    <row r="756" spans="1:15" ht="45" x14ac:dyDescent="0.25">
      <c r="A756" s="5" t="s">
        <v>2432</v>
      </c>
      <c r="B756" s="1" t="s">
        <v>7795</v>
      </c>
      <c r="C756" s="1">
        <v>1864</v>
      </c>
      <c r="E756" s="1">
        <v>1955</v>
      </c>
      <c r="G756" s="1" t="s">
        <v>10</v>
      </c>
      <c r="J756" s="3">
        <v>45636.657569444447</v>
      </c>
      <c r="K756" s="2" t="s">
        <v>7797</v>
      </c>
      <c r="L756" s="1">
        <v>8</v>
      </c>
      <c r="M756" s="1">
        <v>10</v>
      </c>
      <c r="N756" s="1">
        <v>2</v>
      </c>
      <c r="O756" s="3">
        <v>46233.65914210648</v>
      </c>
    </row>
    <row r="757" spans="1:15" ht="300" x14ac:dyDescent="0.25">
      <c r="A757" s="5" t="s">
        <v>2435</v>
      </c>
      <c r="B757" s="1" t="s">
        <v>7798</v>
      </c>
      <c r="C757" s="1">
        <v>1866</v>
      </c>
      <c r="E757" s="1">
        <v>1931</v>
      </c>
      <c r="G757" s="1" t="s">
        <v>10</v>
      </c>
      <c r="J757" s="3">
        <v>45758.509201388886</v>
      </c>
      <c r="K757" s="2" t="s">
        <v>7799</v>
      </c>
      <c r="L757" s="1">
        <v>1</v>
      </c>
      <c r="M757" s="1">
        <v>1</v>
      </c>
      <c r="N757" s="1">
        <v>0</v>
      </c>
      <c r="O757" s="3">
        <v>46233.65914210648</v>
      </c>
    </row>
    <row r="758" spans="1:15" ht="120" x14ac:dyDescent="0.25">
      <c r="A758" s="5" t="s">
        <v>2438</v>
      </c>
      <c r="B758" s="1" t="s">
        <v>7800</v>
      </c>
      <c r="C758" s="1">
        <v>1702</v>
      </c>
      <c r="D758" s="1" t="s">
        <v>14</v>
      </c>
      <c r="E758" s="1">
        <v>1796</v>
      </c>
      <c r="F758" s="1" t="s">
        <v>14</v>
      </c>
      <c r="G758" s="1" t="s">
        <v>10</v>
      </c>
      <c r="J758" s="3">
        <v>45758.643634259257</v>
      </c>
      <c r="K758" s="2" t="s">
        <v>7803</v>
      </c>
      <c r="L758" s="1">
        <v>2</v>
      </c>
      <c r="M758" s="1">
        <v>2</v>
      </c>
      <c r="N758" s="1">
        <v>0</v>
      </c>
      <c r="O758" s="3">
        <v>46233.65914210648</v>
      </c>
    </row>
    <row r="759" spans="1:15" x14ac:dyDescent="0.25">
      <c r="A759" s="5" t="s">
        <v>2441</v>
      </c>
      <c r="B759" s="1" t="s">
        <v>7804</v>
      </c>
      <c r="C759" s="1">
        <v>1959</v>
      </c>
      <c r="G759" s="1" t="s">
        <v>10</v>
      </c>
      <c r="J759" s="3">
        <v>45636.657604166663</v>
      </c>
      <c r="K759" s="2" t="s">
        <v>7805</v>
      </c>
      <c r="L759" s="1">
        <v>12</v>
      </c>
      <c r="M759" s="1">
        <v>16</v>
      </c>
      <c r="N759" s="1">
        <v>4</v>
      </c>
      <c r="O759" s="3">
        <v>46233.65914210648</v>
      </c>
    </row>
    <row r="760" spans="1:15" ht="90" x14ac:dyDescent="0.25">
      <c r="A760" s="5" t="s">
        <v>2444</v>
      </c>
      <c r="B760" s="1" t="s">
        <v>7806</v>
      </c>
      <c r="C760" s="1">
        <v>1974</v>
      </c>
      <c r="G760" s="1" t="s">
        <v>10</v>
      </c>
      <c r="J760" s="3">
        <v>45730.464282407411</v>
      </c>
      <c r="K760" s="2" t="s">
        <v>7807</v>
      </c>
      <c r="L760" s="1">
        <v>1</v>
      </c>
      <c r="M760" s="1">
        <v>1</v>
      </c>
      <c r="N760" s="1">
        <v>0</v>
      </c>
      <c r="O760" s="3">
        <v>46233.65914210648</v>
      </c>
    </row>
    <row r="761" spans="1:15" ht="90" x14ac:dyDescent="0.25">
      <c r="A761" s="5" t="s">
        <v>2447</v>
      </c>
      <c r="B761" s="1" t="s">
        <v>7808</v>
      </c>
      <c r="C761" s="1" t="s">
        <v>12</v>
      </c>
      <c r="G761" s="1" t="s">
        <v>11</v>
      </c>
      <c r="J761" s="3">
        <v>45681.686481481483</v>
      </c>
      <c r="K761" s="2" t="s">
        <v>7809</v>
      </c>
      <c r="L761" s="1">
        <v>1</v>
      </c>
      <c r="M761" s="1">
        <v>1</v>
      </c>
      <c r="N761" s="1">
        <v>0</v>
      </c>
      <c r="O761" s="3">
        <v>46233.65914210648</v>
      </c>
    </row>
    <row r="762" spans="1:15" x14ac:dyDescent="0.25">
      <c r="A762" s="5" t="s">
        <v>2450</v>
      </c>
      <c r="B762" s="1" t="s">
        <v>7810</v>
      </c>
      <c r="C762" s="1">
        <v>1973</v>
      </c>
      <c r="J762" s="3">
        <v>45559.670532407406</v>
      </c>
      <c r="L762" s="1">
        <v>1</v>
      </c>
      <c r="M762" s="1">
        <v>1</v>
      </c>
      <c r="N762" s="1">
        <v>0</v>
      </c>
      <c r="O762" s="3">
        <v>46233.65914210648</v>
      </c>
    </row>
    <row r="763" spans="1:15" ht="30" x14ac:dyDescent="0.25">
      <c r="A763" s="5" t="s">
        <v>2453</v>
      </c>
      <c r="B763" s="1" t="s">
        <v>7811</v>
      </c>
      <c r="C763" s="1">
        <v>1995</v>
      </c>
      <c r="G763" s="1" t="s">
        <v>11</v>
      </c>
      <c r="J763" s="3">
        <v>45698.621805555558</v>
      </c>
      <c r="K763" s="2" t="s">
        <v>7812</v>
      </c>
      <c r="L763" s="1">
        <v>1</v>
      </c>
      <c r="M763" s="1">
        <v>1</v>
      </c>
      <c r="N763" s="1">
        <v>0</v>
      </c>
      <c r="O763" s="3">
        <v>46233.65914210648</v>
      </c>
    </row>
    <row r="764" spans="1:15" ht="30" x14ac:dyDescent="0.25">
      <c r="A764" s="5" t="s">
        <v>2456</v>
      </c>
      <c r="B764" s="1" t="s">
        <v>7813</v>
      </c>
      <c r="C764" s="1" t="s">
        <v>12</v>
      </c>
      <c r="G764" s="1" t="s">
        <v>11</v>
      </c>
      <c r="J764" s="3">
        <v>45777.431226851855</v>
      </c>
      <c r="K764" s="2" t="s">
        <v>7814</v>
      </c>
      <c r="L764" s="1">
        <v>1</v>
      </c>
      <c r="M764" s="1">
        <v>1</v>
      </c>
      <c r="N764" s="1">
        <v>0</v>
      </c>
      <c r="O764" s="3">
        <v>46233.65914210648</v>
      </c>
    </row>
    <row r="765" spans="1:15" ht="90" x14ac:dyDescent="0.25">
      <c r="A765" s="5" t="s">
        <v>2459</v>
      </c>
      <c r="B765" s="1" t="s">
        <v>7815</v>
      </c>
      <c r="C765" s="1">
        <v>1949</v>
      </c>
      <c r="J765" s="3">
        <v>45809.349756944444</v>
      </c>
      <c r="K765" s="2" t="s">
        <v>7816</v>
      </c>
      <c r="L765" s="1">
        <v>24</v>
      </c>
      <c r="M765" s="1">
        <v>25</v>
      </c>
      <c r="N765" s="1">
        <v>1</v>
      </c>
      <c r="O765" s="3">
        <v>46233.65914210648</v>
      </c>
    </row>
    <row r="766" spans="1:15" ht="105" x14ac:dyDescent="0.25">
      <c r="A766" s="5" t="s">
        <v>2462</v>
      </c>
      <c r="B766" s="1" t="s">
        <v>7817</v>
      </c>
      <c r="C766" s="1">
        <v>1972</v>
      </c>
      <c r="J766" s="3">
        <v>45668.431423611109</v>
      </c>
      <c r="K766" s="2" t="s">
        <v>7818</v>
      </c>
      <c r="L766" s="1">
        <v>1</v>
      </c>
      <c r="M766" s="1">
        <v>9</v>
      </c>
      <c r="N766" s="1">
        <v>8</v>
      </c>
      <c r="O766" s="3">
        <v>46233.65914210648</v>
      </c>
    </row>
    <row r="767" spans="1:15" ht="60" x14ac:dyDescent="0.25">
      <c r="A767" s="5" t="s">
        <v>2465</v>
      </c>
      <c r="B767" s="1" t="s">
        <v>7819</v>
      </c>
      <c r="C767" s="1">
        <v>1978</v>
      </c>
      <c r="J767" s="3">
        <v>45636.657222222224</v>
      </c>
      <c r="K767" s="2" t="s">
        <v>7820</v>
      </c>
      <c r="L767" s="1">
        <v>12</v>
      </c>
      <c r="M767" s="1">
        <v>16</v>
      </c>
      <c r="N767" s="1">
        <v>4</v>
      </c>
      <c r="O767" s="3">
        <v>46233.65914210648</v>
      </c>
    </row>
    <row r="768" spans="1:15" x14ac:dyDescent="0.25">
      <c r="A768" s="5" t="s">
        <v>2468</v>
      </c>
      <c r="B768" s="1" t="s">
        <v>7821</v>
      </c>
      <c r="J768" s="3">
        <v>45523.486574074072</v>
      </c>
      <c r="L768" s="1">
        <v>1</v>
      </c>
      <c r="M768" s="1">
        <v>1</v>
      </c>
      <c r="N768" s="1">
        <v>0</v>
      </c>
      <c r="O768" s="3">
        <v>46233.65914210648</v>
      </c>
    </row>
    <row r="769" spans="1:15" ht="30" x14ac:dyDescent="0.25">
      <c r="A769" s="5" t="s">
        <v>2471</v>
      </c>
      <c r="B769" s="1" t="s">
        <v>7822</v>
      </c>
      <c r="C769" s="1">
        <v>1987</v>
      </c>
      <c r="D769" s="1" t="s">
        <v>14</v>
      </c>
      <c r="G769" s="1" t="s">
        <v>10</v>
      </c>
      <c r="H769" s="2" t="s">
        <v>7823</v>
      </c>
      <c r="J769" s="3">
        <v>45786.388009259259</v>
      </c>
      <c r="K769" s="2" t="s">
        <v>7824</v>
      </c>
      <c r="L769" s="1">
        <v>0</v>
      </c>
      <c r="M769" s="1">
        <v>0</v>
      </c>
      <c r="N769" s="1">
        <v>0</v>
      </c>
      <c r="O769" s="3">
        <v>46233.65914210648</v>
      </c>
    </row>
    <row r="770" spans="1:15" x14ac:dyDescent="0.25">
      <c r="A770" s="5" t="s">
        <v>2474</v>
      </c>
      <c r="B770" s="1" t="s">
        <v>7825</v>
      </c>
      <c r="C770" s="1">
        <v>1889</v>
      </c>
      <c r="E770" s="1">
        <v>1974</v>
      </c>
      <c r="G770" s="1" t="s">
        <v>10</v>
      </c>
      <c r="J770" s="3">
        <v>45678.607245370367</v>
      </c>
      <c r="K770" s="2" t="s">
        <v>6638</v>
      </c>
      <c r="L770" s="1">
        <v>1</v>
      </c>
      <c r="M770" s="1">
        <v>1</v>
      </c>
      <c r="N770" s="1">
        <v>0</v>
      </c>
      <c r="O770" s="3">
        <v>46233.65914210648</v>
      </c>
    </row>
    <row r="771" spans="1:15" ht="150" x14ac:dyDescent="0.25">
      <c r="A771" s="5" t="s">
        <v>2477</v>
      </c>
      <c r="B771" s="1" t="s">
        <v>7827</v>
      </c>
      <c r="C771" s="1" t="s">
        <v>12</v>
      </c>
      <c r="G771" s="1" t="s">
        <v>11</v>
      </c>
      <c r="J771" s="3">
        <v>45701.726759259262</v>
      </c>
      <c r="K771" s="2" t="s">
        <v>7828</v>
      </c>
      <c r="L771" s="1">
        <v>2</v>
      </c>
      <c r="M771" s="1">
        <v>2</v>
      </c>
      <c r="N771" s="1">
        <v>0</v>
      </c>
      <c r="O771" s="3">
        <v>46233.65914210648</v>
      </c>
    </row>
    <row r="772" spans="1:15" ht="30" x14ac:dyDescent="0.25">
      <c r="A772" s="5" t="s">
        <v>2480</v>
      </c>
      <c r="B772" s="1" t="s">
        <v>7829</v>
      </c>
      <c r="C772" s="1" t="s">
        <v>12</v>
      </c>
      <c r="G772" s="1" t="s">
        <v>11</v>
      </c>
      <c r="J772" s="3">
        <v>45769.58902777778</v>
      </c>
      <c r="K772" s="2" t="s">
        <v>7830</v>
      </c>
      <c r="L772" s="1">
        <v>1</v>
      </c>
      <c r="M772" s="1">
        <v>1</v>
      </c>
      <c r="N772" s="1">
        <v>0</v>
      </c>
      <c r="O772" s="3">
        <v>46233.65914210648</v>
      </c>
    </row>
    <row r="773" spans="1:15" x14ac:dyDescent="0.25">
      <c r="A773" s="5" t="s">
        <v>2483</v>
      </c>
      <c r="B773" s="1" t="s">
        <v>7831</v>
      </c>
      <c r="C773" s="1">
        <v>2022</v>
      </c>
      <c r="J773" s="3">
        <v>45574.439699074072</v>
      </c>
      <c r="L773" s="1">
        <v>1</v>
      </c>
      <c r="M773" s="1">
        <v>1</v>
      </c>
      <c r="N773" s="1">
        <v>0</v>
      </c>
      <c r="O773" s="3">
        <v>46233.65914210648</v>
      </c>
    </row>
    <row r="774" spans="1:15" ht="45" x14ac:dyDescent="0.25">
      <c r="A774" s="5" t="s">
        <v>2486</v>
      </c>
      <c r="B774" s="1" t="s">
        <v>7832</v>
      </c>
      <c r="C774" s="1" t="s">
        <v>12</v>
      </c>
      <c r="G774" s="1" t="s">
        <v>11</v>
      </c>
      <c r="J774" s="3">
        <v>45804.678796296299</v>
      </c>
      <c r="K774" s="2" t="s">
        <v>7833</v>
      </c>
      <c r="L774" s="1">
        <v>1</v>
      </c>
      <c r="M774" s="1">
        <v>1</v>
      </c>
      <c r="N774" s="1">
        <v>0</v>
      </c>
      <c r="O774" s="3">
        <v>46233.65914210648</v>
      </c>
    </row>
    <row r="775" spans="1:15" ht="60" x14ac:dyDescent="0.25">
      <c r="A775" s="5" t="s">
        <v>2489</v>
      </c>
      <c r="B775" s="1" t="s">
        <v>7834</v>
      </c>
      <c r="C775" s="1" t="s">
        <v>12</v>
      </c>
      <c r="G775" s="1" t="s">
        <v>11</v>
      </c>
      <c r="J775" s="3">
        <v>45891.667326388888</v>
      </c>
      <c r="K775" s="2" t="s">
        <v>7835</v>
      </c>
      <c r="L775" s="1">
        <v>16</v>
      </c>
      <c r="M775" s="1">
        <v>18</v>
      </c>
      <c r="N775" s="1">
        <v>2</v>
      </c>
      <c r="O775" s="3">
        <v>46233.65914210648</v>
      </c>
    </row>
    <row r="776" spans="1:15" ht="45" x14ac:dyDescent="0.25">
      <c r="A776" s="5" t="s">
        <v>2492</v>
      </c>
      <c r="B776" s="1" t="s">
        <v>7836</v>
      </c>
      <c r="C776" s="1">
        <v>1946</v>
      </c>
      <c r="G776" s="1" t="s">
        <v>10</v>
      </c>
      <c r="J776" s="3">
        <v>45936.48269675926</v>
      </c>
      <c r="K776" s="2" t="s">
        <v>7837</v>
      </c>
      <c r="L776" s="1">
        <v>1</v>
      </c>
      <c r="M776" s="1">
        <v>1</v>
      </c>
      <c r="N776" s="1">
        <v>0</v>
      </c>
      <c r="O776" s="3">
        <v>46233.65914210648</v>
      </c>
    </row>
    <row r="777" spans="1:15" x14ac:dyDescent="0.25">
      <c r="A777" s="5" t="s">
        <v>2495</v>
      </c>
      <c r="B777" s="1" t="s">
        <v>7838</v>
      </c>
      <c r="C777" s="1">
        <v>1982</v>
      </c>
      <c r="G777" s="1" t="s">
        <v>10</v>
      </c>
      <c r="J777" s="3">
        <v>45890.659988425927</v>
      </c>
      <c r="K777" s="2" t="s">
        <v>7839</v>
      </c>
      <c r="L777" s="1">
        <v>10</v>
      </c>
      <c r="M777" s="1">
        <v>14</v>
      </c>
      <c r="N777" s="1">
        <v>4</v>
      </c>
      <c r="O777" s="3">
        <v>46233.65914210648</v>
      </c>
    </row>
    <row r="778" spans="1:15" ht="75" x14ac:dyDescent="0.25">
      <c r="A778" s="5" t="s">
        <v>2498</v>
      </c>
      <c r="B778" s="1" t="s">
        <v>7840</v>
      </c>
      <c r="C778" s="1">
        <v>1991</v>
      </c>
      <c r="G778" s="1" t="s">
        <v>10</v>
      </c>
      <c r="J778" s="3">
        <v>45897.581863425927</v>
      </c>
      <c r="K778" s="2" t="s">
        <v>7841</v>
      </c>
      <c r="L778" s="1">
        <v>1</v>
      </c>
      <c r="M778" s="1">
        <v>1</v>
      </c>
      <c r="N778" s="1">
        <v>0</v>
      </c>
      <c r="O778" s="3">
        <v>46233.65914210648</v>
      </c>
    </row>
    <row r="779" spans="1:15" ht="90" x14ac:dyDescent="0.25">
      <c r="A779" s="5" t="s">
        <v>2501</v>
      </c>
      <c r="B779" s="1" t="s">
        <v>7842</v>
      </c>
      <c r="C779" s="1">
        <v>1975</v>
      </c>
      <c r="G779" s="1" t="s">
        <v>11</v>
      </c>
      <c r="J779" s="3">
        <v>45811.412291666667</v>
      </c>
      <c r="K779" s="2" t="s">
        <v>7843</v>
      </c>
      <c r="L779" s="1">
        <v>1</v>
      </c>
      <c r="M779" s="1">
        <v>1</v>
      </c>
      <c r="N779" s="1">
        <v>0</v>
      </c>
      <c r="O779" s="3">
        <v>46233.65914210648</v>
      </c>
    </row>
    <row r="780" spans="1:15" ht="90" x14ac:dyDescent="0.25">
      <c r="A780" s="5" t="s">
        <v>2504</v>
      </c>
      <c r="B780" s="1" t="s">
        <v>7844</v>
      </c>
      <c r="C780" s="1" t="s">
        <v>12</v>
      </c>
      <c r="G780" s="1" t="s">
        <v>11</v>
      </c>
      <c r="J780" s="3">
        <v>45903.47252314815</v>
      </c>
      <c r="K780" s="2" t="s">
        <v>7845</v>
      </c>
      <c r="L780" s="1">
        <v>2</v>
      </c>
      <c r="M780" s="1">
        <v>2</v>
      </c>
      <c r="N780" s="1">
        <v>0</v>
      </c>
      <c r="O780" s="3">
        <v>46233.65914210648</v>
      </c>
    </row>
    <row r="781" spans="1:15" ht="90" x14ac:dyDescent="0.25">
      <c r="A781" s="5" t="s">
        <v>2507</v>
      </c>
      <c r="B781" s="1" t="s">
        <v>7846</v>
      </c>
      <c r="C781" s="1" t="s">
        <v>12</v>
      </c>
      <c r="G781" s="1" t="s">
        <v>10</v>
      </c>
      <c r="J781" s="3">
        <v>45912.345011574071</v>
      </c>
      <c r="K781" s="2" t="s">
        <v>7847</v>
      </c>
      <c r="L781" s="1">
        <v>1</v>
      </c>
      <c r="M781" s="1">
        <v>1</v>
      </c>
      <c r="N781" s="1">
        <v>0</v>
      </c>
      <c r="O781" s="3">
        <v>46233.65914210648</v>
      </c>
    </row>
    <row r="782" spans="1:15" ht="45" x14ac:dyDescent="0.25">
      <c r="A782" s="5" t="s">
        <v>2510</v>
      </c>
      <c r="B782" s="1" t="s">
        <v>7848</v>
      </c>
      <c r="C782" s="1" t="s">
        <v>6554</v>
      </c>
      <c r="G782" s="1" t="s">
        <v>10</v>
      </c>
      <c r="J782" s="3">
        <v>45897.497395833336</v>
      </c>
      <c r="K782" s="2" t="s">
        <v>7849</v>
      </c>
      <c r="L782" s="1">
        <v>1</v>
      </c>
      <c r="M782" s="1">
        <v>1</v>
      </c>
      <c r="N782" s="1">
        <v>0</v>
      </c>
      <c r="O782" s="3">
        <v>46233.65914210648</v>
      </c>
    </row>
    <row r="783" spans="1:15" ht="75" x14ac:dyDescent="0.25">
      <c r="A783" s="5" t="s">
        <v>2513</v>
      </c>
      <c r="B783" s="1" t="s">
        <v>7850</v>
      </c>
      <c r="C783" s="1">
        <v>1982</v>
      </c>
      <c r="G783" s="1" t="s">
        <v>11</v>
      </c>
      <c r="J783" s="3">
        <v>45880.799097222225</v>
      </c>
      <c r="K783" s="2" t="s">
        <v>7851</v>
      </c>
      <c r="L783" s="1">
        <v>7</v>
      </c>
      <c r="M783" s="1">
        <v>8</v>
      </c>
      <c r="N783" s="1">
        <v>1</v>
      </c>
      <c r="O783" s="3">
        <v>46233.65914210648</v>
      </c>
    </row>
    <row r="784" spans="1:15" ht="60" x14ac:dyDescent="0.25">
      <c r="A784" s="5" t="s">
        <v>2516</v>
      </c>
      <c r="B784" s="1" t="s">
        <v>7852</v>
      </c>
      <c r="C784" s="1" t="s">
        <v>12</v>
      </c>
      <c r="G784" s="1" t="s">
        <v>11</v>
      </c>
      <c r="J784" s="3">
        <v>45903.472245370373</v>
      </c>
      <c r="K784" s="2" t="s">
        <v>7853</v>
      </c>
      <c r="L784" s="1">
        <v>3</v>
      </c>
      <c r="M784" s="1">
        <v>3</v>
      </c>
      <c r="N784" s="1">
        <v>0</v>
      </c>
      <c r="O784" s="3">
        <v>46233.65914210648</v>
      </c>
    </row>
    <row r="785" spans="1:15" ht="150" x14ac:dyDescent="0.25">
      <c r="A785" s="5" t="s">
        <v>2519</v>
      </c>
      <c r="B785" s="1" t="s">
        <v>7854</v>
      </c>
      <c r="C785" s="1">
        <v>1975</v>
      </c>
      <c r="G785" s="1" t="s">
        <v>11</v>
      </c>
      <c r="J785" s="3">
        <v>45904.543622685182</v>
      </c>
      <c r="K785" s="2" t="s">
        <v>7855</v>
      </c>
      <c r="L785" s="1">
        <v>2</v>
      </c>
      <c r="M785" s="1">
        <v>8</v>
      </c>
      <c r="N785" s="1">
        <v>6</v>
      </c>
      <c r="O785" s="3">
        <v>46233.65914210648</v>
      </c>
    </row>
    <row r="786" spans="1:15" ht="45" x14ac:dyDescent="0.25">
      <c r="A786" s="5" t="s">
        <v>2522</v>
      </c>
      <c r="B786" s="1" t="s">
        <v>7856</v>
      </c>
      <c r="C786" s="1">
        <v>1979</v>
      </c>
      <c r="D786" s="1" t="s">
        <v>7857</v>
      </c>
      <c r="G786" s="1" t="s">
        <v>10</v>
      </c>
      <c r="J786" s="3">
        <v>45952.502256944441</v>
      </c>
      <c r="K786" s="2" t="s">
        <v>7858</v>
      </c>
      <c r="L786" s="1">
        <v>5</v>
      </c>
      <c r="M786" s="1">
        <v>12</v>
      </c>
      <c r="N786" s="1">
        <v>7</v>
      </c>
      <c r="O786" s="3">
        <v>46233.65914210648</v>
      </c>
    </row>
    <row r="787" spans="1:15" ht="105" x14ac:dyDescent="0.25">
      <c r="A787" s="5" t="s">
        <v>2525</v>
      </c>
      <c r="B787" s="1" t="s">
        <v>7859</v>
      </c>
      <c r="C787" s="1">
        <v>1992</v>
      </c>
      <c r="G787" s="1" t="s">
        <v>10</v>
      </c>
      <c r="J787" s="3">
        <v>45897.49324074074</v>
      </c>
      <c r="K787" s="2" t="s">
        <v>7860</v>
      </c>
      <c r="L787" s="1">
        <v>1</v>
      </c>
      <c r="M787" s="1">
        <v>1</v>
      </c>
      <c r="N787" s="1">
        <v>0</v>
      </c>
      <c r="O787" s="3">
        <v>46233.65914210648</v>
      </c>
    </row>
    <row r="788" spans="1:15" ht="30" x14ac:dyDescent="0.25">
      <c r="A788" s="5" t="s">
        <v>2528</v>
      </c>
      <c r="B788" s="1" t="s">
        <v>7861</v>
      </c>
      <c r="C788" s="1" t="s">
        <v>12</v>
      </c>
      <c r="G788" s="1" t="s">
        <v>11</v>
      </c>
      <c r="J788" s="3">
        <v>45939.407013888886</v>
      </c>
      <c r="K788" s="2" t="s">
        <v>7862</v>
      </c>
      <c r="L788" s="1">
        <v>1</v>
      </c>
      <c r="M788" s="1">
        <v>1</v>
      </c>
      <c r="N788" s="1">
        <v>0</v>
      </c>
      <c r="O788" s="3">
        <v>46233.65914210648</v>
      </c>
    </row>
    <row r="789" spans="1:15" ht="60" x14ac:dyDescent="0.25">
      <c r="A789" s="5" t="s">
        <v>2531</v>
      </c>
      <c r="B789" s="1" t="s">
        <v>7863</v>
      </c>
      <c r="C789" s="1">
        <v>1978</v>
      </c>
      <c r="D789" s="1" t="s">
        <v>14</v>
      </c>
      <c r="G789" s="1" t="s">
        <v>11</v>
      </c>
      <c r="H789" s="2" t="s">
        <v>6448</v>
      </c>
      <c r="I789" s="2" t="s">
        <v>7864</v>
      </c>
      <c r="J789" s="3">
        <v>45842.644155092596</v>
      </c>
      <c r="K789" s="2" t="s">
        <v>7865</v>
      </c>
      <c r="L789" s="1">
        <v>11</v>
      </c>
      <c r="M789" s="1">
        <v>12</v>
      </c>
      <c r="N789" s="1">
        <v>1</v>
      </c>
      <c r="O789" s="3">
        <v>46233.65914210648</v>
      </c>
    </row>
    <row r="790" spans="1:15" ht="135" x14ac:dyDescent="0.25">
      <c r="A790" s="5" t="s">
        <v>2534</v>
      </c>
      <c r="B790" s="1" t="s">
        <v>7866</v>
      </c>
      <c r="C790" s="1" t="s">
        <v>12</v>
      </c>
      <c r="G790" s="1" t="s">
        <v>11</v>
      </c>
      <c r="J790" s="3">
        <v>45902.607291666667</v>
      </c>
      <c r="K790" s="2" t="s">
        <v>7867</v>
      </c>
      <c r="L790" s="1">
        <v>1</v>
      </c>
      <c r="M790" s="1">
        <v>1</v>
      </c>
      <c r="N790" s="1">
        <v>0</v>
      </c>
      <c r="O790" s="3">
        <v>46233.65914210648</v>
      </c>
    </row>
    <row r="791" spans="1:15" x14ac:dyDescent="0.25">
      <c r="A791" s="5" t="s">
        <v>2537</v>
      </c>
      <c r="B791" s="1" t="s">
        <v>7868</v>
      </c>
      <c r="J791" s="3">
        <v>45560.377615740741</v>
      </c>
      <c r="L791" s="1">
        <v>1</v>
      </c>
      <c r="M791" s="1">
        <v>1</v>
      </c>
      <c r="N791" s="1">
        <v>0</v>
      </c>
      <c r="O791" s="3">
        <v>46233.65914210648</v>
      </c>
    </row>
    <row r="792" spans="1:15" ht="90" x14ac:dyDescent="0.25">
      <c r="A792" s="5" t="s">
        <v>2540</v>
      </c>
      <c r="B792" s="1" t="s">
        <v>7869</v>
      </c>
      <c r="C792" s="1">
        <v>1979</v>
      </c>
      <c r="D792" s="1" t="s">
        <v>7870</v>
      </c>
      <c r="G792" s="1" t="s">
        <v>10</v>
      </c>
      <c r="J792" s="3">
        <v>45880.62605324074</v>
      </c>
      <c r="K792" s="2" t="s">
        <v>7871</v>
      </c>
      <c r="L792" s="1">
        <v>19</v>
      </c>
      <c r="M792" s="1">
        <v>21</v>
      </c>
      <c r="N792" s="1">
        <v>2</v>
      </c>
      <c r="O792" s="3">
        <v>46233.65914210648</v>
      </c>
    </row>
    <row r="793" spans="1:15" ht="90" x14ac:dyDescent="0.25">
      <c r="A793" s="5" t="s">
        <v>2543</v>
      </c>
      <c r="B793" s="1" t="s">
        <v>7872</v>
      </c>
      <c r="C793" s="1" t="s">
        <v>12</v>
      </c>
      <c r="G793" s="1" t="s">
        <v>10</v>
      </c>
      <c r="J793" s="3">
        <v>45903.622615740744</v>
      </c>
      <c r="K793" s="2" t="s">
        <v>7873</v>
      </c>
      <c r="L793" s="1">
        <v>1</v>
      </c>
      <c r="M793" s="1">
        <v>1</v>
      </c>
      <c r="N793" s="1">
        <v>0</v>
      </c>
      <c r="O793" s="3">
        <v>46233.65914210648</v>
      </c>
    </row>
    <row r="794" spans="1:15" ht="60" x14ac:dyDescent="0.25">
      <c r="A794" s="5" t="s">
        <v>2546</v>
      </c>
      <c r="B794" s="1" t="s">
        <v>7874</v>
      </c>
      <c r="C794" s="1" t="s">
        <v>131</v>
      </c>
      <c r="G794" s="1" t="s">
        <v>11</v>
      </c>
      <c r="J794" s="3">
        <v>45950.6406712963</v>
      </c>
      <c r="K794" s="2" t="s">
        <v>7875</v>
      </c>
      <c r="L794" s="1">
        <v>1</v>
      </c>
      <c r="M794" s="1">
        <v>2</v>
      </c>
      <c r="N794" s="1">
        <v>1</v>
      </c>
      <c r="O794" s="3">
        <v>46233.65914210648</v>
      </c>
    </row>
    <row r="795" spans="1:15" ht="30" x14ac:dyDescent="0.25">
      <c r="A795" s="5" t="s">
        <v>2549</v>
      </c>
      <c r="B795" s="1" t="s">
        <v>7876</v>
      </c>
      <c r="C795" s="1" t="s">
        <v>12</v>
      </c>
      <c r="G795" s="1" t="s">
        <v>10</v>
      </c>
      <c r="J795" s="3">
        <v>45860.60596064815</v>
      </c>
      <c r="K795" s="2" t="s">
        <v>7877</v>
      </c>
      <c r="L795" s="1">
        <v>1</v>
      </c>
      <c r="M795" s="1">
        <v>1</v>
      </c>
      <c r="N795" s="1">
        <v>0</v>
      </c>
      <c r="O795" s="3">
        <v>46233.65914210648</v>
      </c>
    </row>
    <row r="796" spans="1:15" ht="30" x14ac:dyDescent="0.25">
      <c r="A796" s="5" t="s">
        <v>2552</v>
      </c>
      <c r="B796" s="1" t="s">
        <v>7878</v>
      </c>
      <c r="C796" s="1" t="s">
        <v>12</v>
      </c>
      <c r="G796" s="1" t="s">
        <v>10</v>
      </c>
      <c r="H796" s="2" t="s">
        <v>140</v>
      </c>
      <c r="J796" s="3">
        <v>45842.46199074074</v>
      </c>
      <c r="K796" s="2" t="s">
        <v>7879</v>
      </c>
      <c r="L796" s="1">
        <v>12</v>
      </c>
      <c r="M796" s="1">
        <v>15</v>
      </c>
      <c r="N796" s="1">
        <v>3</v>
      </c>
      <c r="O796" s="3">
        <v>46233.65914210648</v>
      </c>
    </row>
    <row r="797" spans="1:15" ht="75" x14ac:dyDescent="0.25">
      <c r="A797" s="5" t="s">
        <v>2555</v>
      </c>
      <c r="B797" s="1" t="s">
        <v>7880</v>
      </c>
      <c r="C797" s="1">
        <v>1986</v>
      </c>
      <c r="G797" s="1" t="s">
        <v>11</v>
      </c>
      <c r="J797" s="3">
        <v>45944.56758101852</v>
      </c>
      <c r="K797" s="2" t="s">
        <v>7881</v>
      </c>
      <c r="L797" s="1">
        <v>3</v>
      </c>
      <c r="M797" s="1">
        <v>4</v>
      </c>
      <c r="N797" s="1">
        <v>1</v>
      </c>
      <c r="O797" s="3">
        <v>46233.65914210648</v>
      </c>
    </row>
    <row r="798" spans="1:15" ht="105" x14ac:dyDescent="0.25">
      <c r="A798" s="5" t="s">
        <v>2558</v>
      </c>
      <c r="B798" s="1" t="s">
        <v>7882</v>
      </c>
      <c r="C798" s="1">
        <v>1941</v>
      </c>
      <c r="D798" s="1" t="s">
        <v>7883</v>
      </c>
      <c r="G798" s="1" t="s">
        <v>10</v>
      </c>
      <c r="J798" s="3">
        <v>45819.367997685185</v>
      </c>
      <c r="K798" s="2" t="s">
        <v>7884</v>
      </c>
      <c r="L798" s="1">
        <v>31</v>
      </c>
      <c r="M798" s="1">
        <v>46</v>
      </c>
      <c r="N798" s="1">
        <v>15</v>
      </c>
      <c r="O798" s="3">
        <v>46233.65914210648</v>
      </c>
    </row>
    <row r="799" spans="1:15" ht="75" x14ac:dyDescent="0.25">
      <c r="A799" s="5" t="s">
        <v>2561</v>
      </c>
      <c r="B799" s="1" t="s">
        <v>7885</v>
      </c>
      <c r="C799" s="1">
        <v>1940</v>
      </c>
      <c r="D799" s="1" t="s">
        <v>7886</v>
      </c>
      <c r="E799" s="1">
        <v>2021</v>
      </c>
      <c r="F799" s="1" t="s">
        <v>14</v>
      </c>
      <c r="H799" s="2" t="s">
        <v>7887</v>
      </c>
      <c r="I799" s="2" t="s">
        <v>7888</v>
      </c>
      <c r="J799" s="3">
        <v>45842.657986111109</v>
      </c>
      <c r="K799" s="2" t="s">
        <v>7889</v>
      </c>
      <c r="L799" s="1">
        <v>23</v>
      </c>
      <c r="M799" s="1">
        <v>27</v>
      </c>
      <c r="N799" s="1">
        <v>4</v>
      </c>
      <c r="O799" s="3">
        <v>46233.65914210648</v>
      </c>
    </row>
    <row r="800" spans="1:15" ht="45" x14ac:dyDescent="0.25">
      <c r="A800" s="5" t="s">
        <v>2564</v>
      </c>
      <c r="B800" s="1" t="s">
        <v>7890</v>
      </c>
      <c r="C800" s="1">
        <v>1969</v>
      </c>
      <c r="G800" s="1" t="s">
        <v>11</v>
      </c>
      <c r="J800" s="3">
        <v>45904.692002314812</v>
      </c>
      <c r="K800" s="2" t="s">
        <v>7891</v>
      </c>
      <c r="L800" s="1">
        <v>17</v>
      </c>
      <c r="M800" s="1">
        <v>17</v>
      </c>
      <c r="N800" s="1">
        <v>0</v>
      </c>
      <c r="O800" s="3">
        <v>46233.65914210648</v>
      </c>
    </row>
    <row r="801" spans="1:15" ht="45" x14ac:dyDescent="0.25">
      <c r="A801" s="5" t="s">
        <v>2567</v>
      </c>
      <c r="B801" s="1" t="s">
        <v>7892</v>
      </c>
      <c r="C801" s="1">
        <v>1966</v>
      </c>
      <c r="D801" s="1" t="s">
        <v>7893</v>
      </c>
      <c r="G801" s="1" t="s">
        <v>10</v>
      </c>
      <c r="J801" s="3">
        <v>45820.315000000002</v>
      </c>
      <c r="K801" s="2" t="s">
        <v>7894</v>
      </c>
      <c r="L801" s="1">
        <v>79</v>
      </c>
      <c r="M801" s="1">
        <v>89</v>
      </c>
      <c r="N801" s="1">
        <v>10</v>
      </c>
      <c r="O801" s="3">
        <v>46233.65914210648</v>
      </c>
    </row>
    <row r="802" spans="1:15" ht="60" x14ac:dyDescent="0.25">
      <c r="A802" s="5" t="s">
        <v>2570</v>
      </c>
      <c r="B802" s="1" t="s">
        <v>7895</v>
      </c>
      <c r="C802" s="1">
        <v>1970</v>
      </c>
      <c r="G802" s="1" t="s">
        <v>10</v>
      </c>
      <c r="J802" s="3">
        <v>45890.461724537039</v>
      </c>
      <c r="K802" s="2" t="s">
        <v>7896</v>
      </c>
      <c r="L802" s="1">
        <v>6</v>
      </c>
      <c r="M802" s="1">
        <v>6</v>
      </c>
      <c r="N802" s="1">
        <v>0</v>
      </c>
      <c r="O802" s="3">
        <v>46233.65914210648</v>
      </c>
    </row>
    <row r="803" spans="1:15" x14ac:dyDescent="0.25">
      <c r="A803" s="5" t="s">
        <v>2573</v>
      </c>
      <c r="B803" s="1" t="s">
        <v>7897</v>
      </c>
      <c r="C803" s="1">
        <v>2010</v>
      </c>
      <c r="J803" s="3">
        <v>45608.412488425929</v>
      </c>
      <c r="L803" s="1">
        <v>1</v>
      </c>
      <c r="M803" s="1">
        <v>1</v>
      </c>
      <c r="N803" s="1">
        <v>0</v>
      </c>
      <c r="O803" s="3">
        <v>46233.65914210648</v>
      </c>
    </row>
    <row r="804" spans="1:15" ht="165" x14ac:dyDescent="0.25">
      <c r="A804" s="5" t="s">
        <v>2576</v>
      </c>
      <c r="B804" s="1" t="s">
        <v>7898</v>
      </c>
      <c r="C804" s="1">
        <v>1962</v>
      </c>
      <c r="G804" s="1" t="s">
        <v>10</v>
      </c>
      <c r="J804" s="3">
        <v>45903.517118055555</v>
      </c>
      <c r="K804" s="2" t="s">
        <v>7899</v>
      </c>
      <c r="L804" s="1">
        <v>4</v>
      </c>
      <c r="M804" s="1">
        <v>8</v>
      </c>
      <c r="N804" s="1">
        <v>4</v>
      </c>
      <c r="O804" s="3">
        <v>46233.65914210648</v>
      </c>
    </row>
    <row r="805" spans="1:15" ht="45" x14ac:dyDescent="0.25">
      <c r="A805" s="5" t="s">
        <v>2579</v>
      </c>
      <c r="B805" s="1" t="s">
        <v>7900</v>
      </c>
      <c r="C805" s="1">
        <v>1979</v>
      </c>
      <c r="G805" s="1" t="s">
        <v>10</v>
      </c>
      <c r="J805" s="3">
        <v>45917.53392361111</v>
      </c>
      <c r="K805" s="2" t="s">
        <v>7901</v>
      </c>
      <c r="L805" s="1">
        <v>7</v>
      </c>
      <c r="M805" s="1">
        <v>7</v>
      </c>
      <c r="N805" s="1">
        <v>0</v>
      </c>
      <c r="O805" s="3">
        <v>46233.65914210648</v>
      </c>
    </row>
    <row r="806" spans="1:15" ht="90" x14ac:dyDescent="0.25">
      <c r="A806" s="5" t="s">
        <v>2582</v>
      </c>
      <c r="B806" s="1" t="s">
        <v>7902</v>
      </c>
      <c r="C806" s="1" t="s">
        <v>12</v>
      </c>
      <c r="G806" s="1" t="s">
        <v>11</v>
      </c>
      <c r="J806" s="3">
        <v>45957.383449074077</v>
      </c>
      <c r="K806" s="2" t="s">
        <v>7903</v>
      </c>
      <c r="L806" s="1">
        <v>1</v>
      </c>
      <c r="M806" s="1">
        <v>1</v>
      </c>
      <c r="N806" s="1">
        <v>0</v>
      </c>
      <c r="O806" s="3">
        <v>46233.65914210648</v>
      </c>
    </row>
    <row r="807" spans="1:15" ht="105" x14ac:dyDescent="0.25">
      <c r="A807" s="5" t="s">
        <v>2585</v>
      </c>
      <c r="B807" s="1" t="s">
        <v>7904</v>
      </c>
      <c r="C807" s="1" t="s">
        <v>12</v>
      </c>
      <c r="G807" s="1" t="s">
        <v>11</v>
      </c>
      <c r="J807" s="3">
        <v>45957.378645833334</v>
      </c>
      <c r="K807" s="2" t="s">
        <v>7905</v>
      </c>
      <c r="L807" s="1">
        <v>2</v>
      </c>
      <c r="M807" s="1">
        <v>2</v>
      </c>
      <c r="N807" s="1">
        <v>0</v>
      </c>
      <c r="O807" s="3">
        <v>46233.65914210648</v>
      </c>
    </row>
    <row r="808" spans="1:15" ht="105" x14ac:dyDescent="0.25">
      <c r="A808" s="5" t="s">
        <v>2588</v>
      </c>
      <c r="B808" s="1" t="s">
        <v>7906</v>
      </c>
      <c r="C808" s="1">
        <v>2021</v>
      </c>
      <c r="J808" s="3">
        <v>45897.428599537037</v>
      </c>
      <c r="K808" s="2" t="s">
        <v>7907</v>
      </c>
      <c r="L808" s="1">
        <v>1</v>
      </c>
      <c r="M808" s="1">
        <v>1</v>
      </c>
      <c r="N808" s="1">
        <v>0</v>
      </c>
      <c r="O808" s="3">
        <v>46233.65914210648</v>
      </c>
    </row>
    <row r="809" spans="1:15" ht="135" x14ac:dyDescent="0.25">
      <c r="A809" s="5" t="s">
        <v>2591</v>
      </c>
      <c r="B809" s="1" t="s">
        <v>7908</v>
      </c>
      <c r="C809" s="1" t="s">
        <v>12</v>
      </c>
      <c r="G809" s="1" t="s">
        <v>11</v>
      </c>
      <c r="J809" s="3">
        <v>45957.369328703702</v>
      </c>
      <c r="K809" s="2" t="s">
        <v>7909</v>
      </c>
      <c r="L809" s="1">
        <v>1</v>
      </c>
      <c r="M809" s="1">
        <v>1</v>
      </c>
      <c r="N809" s="1">
        <v>0</v>
      </c>
      <c r="O809" s="3">
        <v>46233.65914210648</v>
      </c>
    </row>
    <row r="810" spans="1:15" ht="60" x14ac:dyDescent="0.25">
      <c r="A810" s="5" t="s">
        <v>2594</v>
      </c>
      <c r="B810" s="1" t="s">
        <v>7910</v>
      </c>
      <c r="C810" s="1" t="s">
        <v>12</v>
      </c>
      <c r="G810" s="1" t="s">
        <v>11</v>
      </c>
      <c r="J810" s="3">
        <v>45898.43277777778</v>
      </c>
      <c r="K810" s="2" t="s">
        <v>7911</v>
      </c>
      <c r="L810" s="1">
        <v>1</v>
      </c>
      <c r="M810" s="1">
        <v>1</v>
      </c>
      <c r="N810" s="1">
        <v>0</v>
      </c>
      <c r="O810" s="3">
        <v>46233.65914210648</v>
      </c>
    </row>
    <row r="811" spans="1:15" ht="120" x14ac:dyDescent="0.25">
      <c r="A811" s="5" t="s">
        <v>2597</v>
      </c>
      <c r="B811" s="1" t="s">
        <v>7912</v>
      </c>
      <c r="C811" s="1">
        <v>1956</v>
      </c>
      <c r="G811" s="1" t="s">
        <v>10</v>
      </c>
      <c r="J811" s="3">
        <v>45894.596122685187</v>
      </c>
      <c r="K811" s="2" t="s">
        <v>7913</v>
      </c>
      <c r="L811" s="1">
        <v>27</v>
      </c>
      <c r="M811" s="1">
        <v>29</v>
      </c>
      <c r="N811" s="1">
        <v>2</v>
      </c>
      <c r="O811" s="3">
        <v>46233.65914210648</v>
      </c>
    </row>
    <row r="812" spans="1:15" ht="30" x14ac:dyDescent="0.25">
      <c r="A812" s="5" t="s">
        <v>2600</v>
      </c>
      <c r="B812" s="1" t="s">
        <v>7914</v>
      </c>
      <c r="C812" s="1">
        <v>1949</v>
      </c>
      <c r="D812" s="1" t="s">
        <v>14</v>
      </c>
      <c r="G812" s="1" t="s">
        <v>10</v>
      </c>
      <c r="I812" s="2" t="s">
        <v>140</v>
      </c>
      <c r="J812" s="3">
        <v>45842.60052083333</v>
      </c>
      <c r="K812" s="2" t="s">
        <v>7915</v>
      </c>
      <c r="L812" s="1">
        <v>9</v>
      </c>
      <c r="M812" s="1">
        <v>10</v>
      </c>
      <c r="N812" s="1">
        <v>1</v>
      </c>
      <c r="O812" s="3">
        <v>46233.65914210648</v>
      </c>
    </row>
    <row r="813" spans="1:15" ht="135" x14ac:dyDescent="0.25">
      <c r="A813" s="5" t="s">
        <v>2603</v>
      </c>
      <c r="B813" s="1" t="s">
        <v>7916</v>
      </c>
      <c r="C813" s="1" t="s">
        <v>12</v>
      </c>
      <c r="G813" s="1" t="s">
        <v>11</v>
      </c>
      <c r="J813" s="3">
        <v>45905.32130787037</v>
      </c>
      <c r="K813" s="2" t="s">
        <v>7917</v>
      </c>
      <c r="L813" s="1">
        <v>1</v>
      </c>
      <c r="M813" s="1">
        <v>1</v>
      </c>
      <c r="N813" s="1">
        <v>0</v>
      </c>
      <c r="O813" s="3">
        <v>46233.65914210648</v>
      </c>
    </row>
    <row r="814" spans="1:15" ht="30" x14ac:dyDescent="0.25">
      <c r="A814" s="5" t="s">
        <v>2606</v>
      </c>
      <c r="B814" s="1" t="s">
        <v>7918</v>
      </c>
      <c r="C814" s="1">
        <v>1938</v>
      </c>
      <c r="D814" s="1" t="s">
        <v>14</v>
      </c>
      <c r="G814" s="1" t="s">
        <v>10</v>
      </c>
      <c r="J814" s="3">
        <v>45903.600497685184</v>
      </c>
      <c r="K814" s="2" t="s">
        <v>7919</v>
      </c>
      <c r="L814" s="1">
        <v>5</v>
      </c>
      <c r="M814" s="1">
        <v>13</v>
      </c>
      <c r="N814" s="1">
        <v>8</v>
      </c>
      <c r="O814" s="3">
        <v>46233.65914210648</v>
      </c>
    </row>
    <row r="815" spans="1:15" ht="240" x14ac:dyDescent="0.25">
      <c r="A815" s="5" t="s">
        <v>2609</v>
      </c>
      <c r="B815" s="1" t="s">
        <v>7920</v>
      </c>
      <c r="C815" s="1" t="s">
        <v>12</v>
      </c>
      <c r="G815" s="1" t="s">
        <v>10</v>
      </c>
      <c r="J815" s="3">
        <v>45902.573449074072</v>
      </c>
      <c r="K815" s="2" t="s">
        <v>7921</v>
      </c>
      <c r="L815" s="1">
        <v>5</v>
      </c>
      <c r="M815" s="1">
        <v>5</v>
      </c>
      <c r="N815" s="1">
        <v>0</v>
      </c>
      <c r="O815" s="3">
        <v>46233.65914210648</v>
      </c>
    </row>
    <row r="816" spans="1:15" ht="30" x14ac:dyDescent="0.25">
      <c r="A816" s="5" t="s">
        <v>2612</v>
      </c>
      <c r="B816" s="1" t="s">
        <v>7922</v>
      </c>
      <c r="J816" s="3">
        <v>45918.568356481483</v>
      </c>
      <c r="K816" s="2" t="s">
        <v>7923</v>
      </c>
      <c r="L816" s="1">
        <v>2</v>
      </c>
      <c r="M816" s="1">
        <v>2</v>
      </c>
      <c r="N816" s="1">
        <v>0</v>
      </c>
      <c r="O816" s="3">
        <v>46233.65914210648</v>
      </c>
    </row>
    <row r="817" spans="1:15" x14ac:dyDescent="0.25">
      <c r="A817" s="5" t="s">
        <v>2615</v>
      </c>
      <c r="B817" s="1" t="s">
        <v>7924</v>
      </c>
      <c r="C817" s="1" t="s">
        <v>12</v>
      </c>
      <c r="G817" s="1" t="s">
        <v>11</v>
      </c>
      <c r="J817" s="3">
        <v>45848.624166666668</v>
      </c>
      <c r="K817" s="2" t="s">
        <v>6650</v>
      </c>
      <c r="L817" s="1">
        <v>3</v>
      </c>
      <c r="M817" s="1">
        <v>3</v>
      </c>
      <c r="N817" s="1">
        <v>0</v>
      </c>
      <c r="O817" s="3">
        <v>46233.65914210648</v>
      </c>
    </row>
    <row r="818" spans="1:15" ht="75" x14ac:dyDescent="0.25">
      <c r="A818" s="5" t="s">
        <v>2618</v>
      </c>
      <c r="B818" s="1" t="s">
        <v>7925</v>
      </c>
      <c r="C818" s="1">
        <v>1965</v>
      </c>
      <c r="D818" s="1" t="s">
        <v>7926</v>
      </c>
      <c r="G818" s="1" t="s">
        <v>10</v>
      </c>
      <c r="J818" s="3">
        <v>45916.571203703701</v>
      </c>
      <c r="K818" s="2" t="s">
        <v>7927</v>
      </c>
      <c r="L818" s="1">
        <v>20</v>
      </c>
      <c r="M818" s="1">
        <v>27</v>
      </c>
      <c r="N818" s="1">
        <v>7</v>
      </c>
      <c r="O818" s="3">
        <v>46233.65914210648</v>
      </c>
    </row>
    <row r="819" spans="1:15" ht="195" x14ac:dyDescent="0.25">
      <c r="A819" s="5" t="s">
        <v>2621</v>
      </c>
      <c r="B819" s="1" t="s">
        <v>7928</v>
      </c>
      <c r="C819" s="1" t="s">
        <v>12</v>
      </c>
      <c r="G819" s="1" t="s">
        <v>10</v>
      </c>
      <c r="J819" s="3">
        <v>45903.568252314813</v>
      </c>
      <c r="K819" s="2" t="s">
        <v>7929</v>
      </c>
      <c r="L819" s="1">
        <v>1</v>
      </c>
      <c r="M819" s="1">
        <v>2</v>
      </c>
      <c r="N819" s="1">
        <v>1</v>
      </c>
      <c r="O819" s="3">
        <v>46233.65914210648</v>
      </c>
    </row>
    <row r="820" spans="1:15" ht="60" x14ac:dyDescent="0.25">
      <c r="A820" s="5" t="s">
        <v>2624</v>
      </c>
      <c r="B820" s="1" t="s">
        <v>7930</v>
      </c>
      <c r="G820" s="1" t="s">
        <v>11</v>
      </c>
      <c r="J820" s="3">
        <v>45812.369976851849</v>
      </c>
      <c r="K820" s="2" t="s">
        <v>7931</v>
      </c>
      <c r="L820" s="1">
        <v>3</v>
      </c>
      <c r="M820" s="1">
        <v>6</v>
      </c>
      <c r="N820" s="1">
        <v>3</v>
      </c>
      <c r="O820" s="3">
        <v>46233.65914210648</v>
      </c>
    </row>
    <row r="821" spans="1:15" x14ac:dyDescent="0.25">
      <c r="A821" s="5" t="s">
        <v>2627</v>
      </c>
      <c r="B821" s="1" t="s">
        <v>7932</v>
      </c>
      <c r="C821" s="1">
        <v>2010</v>
      </c>
      <c r="J821" s="3">
        <v>45629.352997685186</v>
      </c>
      <c r="L821" s="1">
        <v>1</v>
      </c>
      <c r="M821" s="1">
        <v>1</v>
      </c>
      <c r="N821" s="1">
        <v>0</v>
      </c>
      <c r="O821" s="3">
        <v>46233.65914210648</v>
      </c>
    </row>
    <row r="822" spans="1:15" ht="45" x14ac:dyDescent="0.25">
      <c r="A822" s="5" t="s">
        <v>2630</v>
      </c>
      <c r="B822" s="1" t="s">
        <v>7933</v>
      </c>
      <c r="C822" s="1">
        <v>1974</v>
      </c>
      <c r="G822" s="1" t="s">
        <v>11</v>
      </c>
      <c r="J822" s="3">
        <v>45894.455150462964</v>
      </c>
      <c r="K822" s="2" t="s">
        <v>7934</v>
      </c>
      <c r="L822" s="1">
        <v>1</v>
      </c>
      <c r="M822" s="1">
        <v>1</v>
      </c>
      <c r="N822" s="1">
        <v>0</v>
      </c>
      <c r="O822" s="3">
        <v>46233.65914210648</v>
      </c>
    </row>
    <row r="823" spans="1:15" ht="45" x14ac:dyDescent="0.25">
      <c r="A823" s="5" t="s">
        <v>2633</v>
      </c>
      <c r="B823" s="1" t="s">
        <v>7935</v>
      </c>
      <c r="C823" s="1">
        <v>1995</v>
      </c>
      <c r="E823" s="1">
        <v>2019</v>
      </c>
      <c r="J823" s="3">
        <v>45875.5703125</v>
      </c>
      <c r="K823" s="2" t="s">
        <v>7936</v>
      </c>
      <c r="L823" s="1">
        <v>5</v>
      </c>
      <c r="M823" s="1">
        <v>7</v>
      </c>
      <c r="N823" s="1">
        <v>2</v>
      </c>
      <c r="O823" s="3">
        <v>46233.65914210648</v>
      </c>
    </row>
    <row r="824" spans="1:15" ht="75" x14ac:dyDescent="0.25">
      <c r="A824" s="5" t="s">
        <v>2636</v>
      </c>
      <c r="B824" s="1" t="s">
        <v>7937</v>
      </c>
      <c r="C824" s="1" t="s">
        <v>12</v>
      </c>
      <c r="G824" s="1" t="s">
        <v>11</v>
      </c>
      <c r="J824" s="3">
        <v>45950.588483796295</v>
      </c>
      <c r="K824" s="2" t="s">
        <v>7938</v>
      </c>
      <c r="L824" s="1">
        <v>1</v>
      </c>
      <c r="M824" s="1">
        <v>1</v>
      </c>
      <c r="N824" s="1">
        <v>0</v>
      </c>
      <c r="O824" s="3">
        <v>46233.65914210648</v>
      </c>
    </row>
    <row r="825" spans="1:15" ht="30" x14ac:dyDescent="0.25">
      <c r="A825" s="5" t="s">
        <v>2639</v>
      </c>
      <c r="B825" s="1" t="s">
        <v>7939</v>
      </c>
      <c r="C825" s="1" t="s">
        <v>12</v>
      </c>
      <c r="G825" s="1" t="s">
        <v>11</v>
      </c>
      <c r="J825" s="3">
        <v>45915.620393518519</v>
      </c>
      <c r="K825" s="2" t="s">
        <v>7940</v>
      </c>
      <c r="L825" s="1">
        <v>7</v>
      </c>
      <c r="M825" s="1">
        <v>7</v>
      </c>
      <c r="N825" s="1">
        <v>0</v>
      </c>
      <c r="O825" s="3">
        <v>46233.65914210648</v>
      </c>
    </row>
    <row r="826" spans="1:15" ht="75" x14ac:dyDescent="0.25">
      <c r="A826" s="5" t="s">
        <v>2642</v>
      </c>
      <c r="B826" s="1" t="s">
        <v>7941</v>
      </c>
      <c r="C826" s="1">
        <v>1939</v>
      </c>
      <c r="D826" s="1" t="s">
        <v>14</v>
      </c>
      <c r="J826" s="3">
        <v>45846.712523148148</v>
      </c>
      <c r="K826" s="2" t="s">
        <v>7942</v>
      </c>
      <c r="L826" s="1">
        <v>32</v>
      </c>
      <c r="M826" s="1">
        <v>33</v>
      </c>
      <c r="N826" s="1">
        <v>1</v>
      </c>
      <c r="O826" s="3">
        <v>46233.65914210648</v>
      </c>
    </row>
    <row r="827" spans="1:15" ht="75" x14ac:dyDescent="0.25">
      <c r="A827" s="5" t="s">
        <v>2645</v>
      </c>
      <c r="B827" s="1" t="s">
        <v>7943</v>
      </c>
      <c r="C827" s="1" t="s">
        <v>12</v>
      </c>
      <c r="G827" s="1" t="s">
        <v>11</v>
      </c>
      <c r="J827" s="3">
        <v>45891.667048611111</v>
      </c>
      <c r="K827" s="2" t="s">
        <v>7944</v>
      </c>
      <c r="L827" s="1">
        <v>8</v>
      </c>
      <c r="M827" s="1">
        <v>12</v>
      </c>
      <c r="N827" s="1">
        <v>4</v>
      </c>
      <c r="O827" s="3">
        <v>46233.65914210648</v>
      </c>
    </row>
    <row r="828" spans="1:15" ht="60" x14ac:dyDescent="0.25">
      <c r="A828" s="5" t="s">
        <v>2648</v>
      </c>
      <c r="B828" s="1" t="s">
        <v>7945</v>
      </c>
      <c r="C828" s="1">
        <v>1958</v>
      </c>
      <c r="G828" s="1" t="s">
        <v>10</v>
      </c>
      <c r="J828" s="3">
        <v>45902.69358796296</v>
      </c>
      <c r="K828" s="2" t="s">
        <v>7946</v>
      </c>
      <c r="L828" s="1">
        <v>6</v>
      </c>
      <c r="M828" s="1">
        <v>6</v>
      </c>
      <c r="N828" s="1">
        <v>0</v>
      </c>
      <c r="O828" s="3">
        <v>46233.65914210648</v>
      </c>
    </row>
    <row r="829" spans="1:15" ht="90" x14ac:dyDescent="0.25">
      <c r="A829" s="5" t="s">
        <v>2651</v>
      </c>
      <c r="B829" s="1" t="s">
        <v>7947</v>
      </c>
      <c r="C829" s="1" t="s">
        <v>12</v>
      </c>
      <c r="G829" s="1" t="s">
        <v>11</v>
      </c>
      <c r="J829" s="3">
        <v>45897.59611111111</v>
      </c>
      <c r="K829" s="2" t="s">
        <v>7948</v>
      </c>
      <c r="L829" s="1">
        <v>1</v>
      </c>
      <c r="M829" s="1">
        <v>1</v>
      </c>
      <c r="N829" s="1">
        <v>0</v>
      </c>
      <c r="O829" s="3">
        <v>46233.65914210648</v>
      </c>
    </row>
    <row r="830" spans="1:15" ht="135" x14ac:dyDescent="0.25">
      <c r="A830" s="5" t="s">
        <v>2654</v>
      </c>
      <c r="B830" s="1" t="s">
        <v>7949</v>
      </c>
      <c r="C830" s="1">
        <v>1979</v>
      </c>
      <c r="G830" s="1" t="s">
        <v>10</v>
      </c>
      <c r="J830" s="3">
        <v>45842.629108796296</v>
      </c>
      <c r="K830" s="2" t="s">
        <v>7950</v>
      </c>
      <c r="L830" s="1">
        <v>9</v>
      </c>
      <c r="M830" s="1">
        <v>15</v>
      </c>
      <c r="N830" s="1">
        <v>6</v>
      </c>
      <c r="O830" s="3">
        <v>46233.65914210648</v>
      </c>
    </row>
    <row r="831" spans="1:15" ht="60" x14ac:dyDescent="0.25">
      <c r="A831" s="5" t="s">
        <v>2657</v>
      </c>
      <c r="B831" s="1" t="s">
        <v>7951</v>
      </c>
      <c r="C831" s="1">
        <v>1985</v>
      </c>
      <c r="G831" s="1" t="s">
        <v>11</v>
      </c>
      <c r="J831" s="3">
        <v>45884.596979166665</v>
      </c>
      <c r="K831" s="2" t="s">
        <v>7952</v>
      </c>
      <c r="L831" s="1">
        <v>20</v>
      </c>
      <c r="M831" s="1">
        <v>20</v>
      </c>
      <c r="N831" s="1">
        <v>0</v>
      </c>
      <c r="O831" s="3">
        <v>46233.65914210648</v>
      </c>
    </row>
    <row r="832" spans="1:15" ht="45" x14ac:dyDescent="0.25">
      <c r="A832" s="5" t="s">
        <v>2660</v>
      </c>
      <c r="B832" s="1" t="s">
        <v>7953</v>
      </c>
      <c r="C832" s="1">
        <v>1929</v>
      </c>
      <c r="D832" s="1" t="s">
        <v>153</v>
      </c>
      <c r="E832" s="1">
        <v>2025</v>
      </c>
      <c r="F832" s="1" t="s">
        <v>14</v>
      </c>
      <c r="H832" s="2" t="s">
        <v>140</v>
      </c>
      <c r="I832" s="2" t="s">
        <v>140</v>
      </c>
      <c r="J832" s="3">
        <v>45936.689259259256</v>
      </c>
      <c r="K832" s="2" t="s">
        <v>7954</v>
      </c>
      <c r="L832" s="1">
        <v>42</v>
      </c>
      <c r="M832" s="1">
        <v>55</v>
      </c>
      <c r="N832" s="1">
        <v>13</v>
      </c>
      <c r="O832" s="3">
        <v>46233.65914210648</v>
      </c>
    </row>
    <row r="833" spans="1:15" ht="120" x14ac:dyDescent="0.25">
      <c r="A833" s="5" t="s">
        <v>2663</v>
      </c>
      <c r="B833" s="1" t="s">
        <v>7955</v>
      </c>
      <c r="C833" s="1" t="s">
        <v>12</v>
      </c>
      <c r="G833" s="1" t="s">
        <v>11</v>
      </c>
      <c r="J833" s="3">
        <v>45905.330914351849</v>
      </c>
      <c r="K833" s="2" t="s">
        <v>7956</v>
      </c>
      <c r="L833" s="1">
        <v>1</v>
      </c>
      <c r="M833" s="1">
        <v>1</v>
      </c>
      <c r="N833" s="1">
        <v>0</v>
      </c>
      <c r="O833" s="3">
        <v>46233.65914210648</v>
      </c>
    </row>
    <row r="834" spans="1:15" ht="60" x14ac:dyDescent="0.25">
      <c r="A834" s="5" t="s">
        <v>2666</v>
      </c>
      <c r="B834" s="1" t="s">
        <v>7957</v>
      </c>
      <c r="C834" s="1">
        <v>1991</v>
      </c>
      <c r="G834" s="1" t="s">
        <v>11</v>
      </c>
      <c r="J834" s="3">
        <v>45847.638252314813</v>
      </c>
      <c r="K834" s="2" t="s">
        <v>7958</v>
      </c>
      <c r="L834" s="1">
        <v>2</v>
      </c>
      <c r="M834" s="1">
        <v>2</v>
      </c>
      <c r="N834" s="1">
        <v>0</v>
      </c>
      <c r="O834" s="3">
        <v>46233.65914210648</v>
      </c>
    </row>
    <row r="835" spans="1:15" ht="45" x14ac:dyDescent="0.25">
      <c r="A835" s="5" t="s">
        <v>2669</v>
      </c>
      <c r="B835" s="1" t="s">
        <v>7959</v>
      </c>
      <c r="C835" s="1">
        <v>1961</v>
      </c>
      <c r="D835" s="1" t="s">
        <v>14</v>
      </c>
      <c r="G835" s="1" t="s">
        <v>10</v>
      </c>
      <c r="J835" s="3">
        <v>45842.598715277774</v>
      </c>
      <c r="K835" s="2" t="s">
        <v>7960</v>
      </c>
      <c r="L835" s="1">
        <v>60</v>
      </c>
      <c r="M835" s="1">
        <v>61</v>
      </c>
      <c r="N835" s="1">
        <v>1</v>
      </c>
      <c r="O835" s="3">
        <v>46233.65914210648</v>
      </c>
    </row>
    <row r="836" spans="1:15" ht="45" x14ac:dyDescent="0.25">
      <c r="A836" s="5" t="s">
        <v>2672</v>
      </c>
      <c r="B836" s="1" t="s">
        <v>7961</v>
      </c>
      <c r="C836" s="1" t="s">
        <v>12</v>
      </c>
      <c r="G836" s="1" t="s">
        <v>10</v>
      </c>
      <c r="J836" s="3">
        <v>45944.531678240739</v>
      </c>
      <c r="K836" s="2" t="s">
        <v>7962</v>
      </c>
      <c r="L836" s="1">
        <v>4</v>
      </c>
      <c r="M836" s="1">
        <v>5</v>
      </c>
      <c r="N836" s="1">
        <v>1</v>
      </c>
      <c r="O836" s="3">
        <v>46233.65914210648</v>
      </c>
    </row>
    <row r="837" spans="1:15" x14ac:dyDescent="0.25">
      <c r="A837" s="5" t="s">
        <v>2675</v>
      </c>
      <c r="B837" s="1" t="s">
        <v>7963</v>
      </c>
      <c r="C837" s="1">
        <v>1989</v>
      </c>
      <c r="J837" s="3">
        <v>45636.400520833333</v>
      </c>
      <c r="L837" s="1">
        <v>1</v>
      </c>
      <c r="M837" s="1">
        <v>1</v>
      </c>
      <c r="N837" s="1">
        <v>0</v>
      </c>
      <c r="O837" s="3">
        <v>46233.65914210648</v>
      </c>
    </row>
    <row r="838" spans="1:15" ht="105" x14ac:dyDescent="0.25">
      <c r="A838" s="5" t="s">
        <v>2678</v>
      </c>
      <c r="B838" s="1" t="s">
        <v>7964</v>
      </c>
      <c r="C838" s="1" t="s">
        <v>12</v>
      </c>
      <c r="G838" s="1" t="s">
        <v>11</v>
      </c>
      <c r="J838" s="3">
        <v>45849.364178240743</v>
      </c>
      <c r="K838" s="2" t="s">
        <v>7965</v>
      </c>
      <c r="L838" s="1">
        <v>3</v>
      </c>
      <c r="M838" s="1">
        <v>3</v>
      </c>
      <c r="N838" s="1">
        <v>0</v>
      </c>
      <c r="O838" s="3">
        <v>46233.65914210648</v>
      </c>
    </row>
    <row r="839" spans="1:15" ht="90" x14ac:dyDescent="0.25">
      <c r="A839" s="5" t="s">
        <v>2681</v>
      </c>
      <c r="B839" s="1" t="s">
        <v>7966</v>
      </c>
      <c r="C839" s="1">
        <v>2001</v>
      </c>
      <c r="J839" s="3">
        <v>45944.342118055552</v>
      </c>
      <c r="K839" s="2" t="s">
        <v>7967</v>
      </c>
      <c r="L839" s="1">
        <v>18</v>
      </c>
      <c r="M839" s="1">
        <v>21</v>
      </c>
      <c r="N839" s="1">
        <v>3</v>
      </c>
      <c r="O839" s="3">
        <v>46233.65914210648</v>
      </c>
    </row>
    <row r="840" spans="1:15" x14ac:dyDescent="0.25">
      <c r="A840" s="5" t="s">
        <v>2684</v>
      </c>
      <c r="B840" s="1" t="s">
        <v>7968</v>
      </c>
      <c r="C840" s="1">
        <v>2012</v>
      </c>
      <c r="J840" s="3">
        <v>45636.458553240744</v>
      </c>
      <c r="L840" s="1">
        <v>1</v>
      </c>
      <c r="M840" s="1">
        <v>1</v>
      </c>
      <c r="N840" s="1">
        <v>0</v>
      </c>
      <c r="O840" s="3">
        <v>46233.65914210648</v>
      </c>
    </row>
    <row r="841" spans="1:15" ht="30" x14ac:dyDescent="0.25">
      <c r="A841" s="5" t="s">
        <v>2687</v>
      </c>
      <c r="B841" s="1" t="s">
        <v>7969</v>
      </c>
      <c r="C841" s="1" t="s">
        <v>12</v>
      </c>
      <c r="G841" s="1" t="s">
        <v>11</v>
      </c>
      <c r="J841" s="3">
        <v>45936.456203703703</v>
      </c>
      <c r="K841" s="2" t="s">
        <v>7970</v>
      </c>
      <c r="L841" s="1">
        <v>1</v>
      </c>
      <c r="M841" s="1">
        <v>1</v>
      </c>
      <c r="N841" s="1">
        <v>0</v>
      </c>
      <c r="O841" s="3">
        <v>46233.65914210648</v>
      </c>
    </row>
    <row r="842" spans="1:15" ht="45" x14ac:dyDescent="0.25">
      <c r="A842" s="5" t="s">
        <v>2690</v>
      </c>
      <c r="B842" s="1" t="s">
        <v>7971</v>
      </c>
      <c r="C842" s="1" t="s">
        <v>12</v>
      </c>
      <c r="G842" s="1" t="s">
        <v>111</v>
      </c>
      <c r="J842" s="3">
        <v>45812.370393518519</v>
      </c>
      <c r="K842" s="2" t="s">
        <v>7972</v>
      </c>
      <c r="L842" s="1">
        <v>1</v>
      </c>
      <c r="M842" s="1">
        <v>2</v>
      </c>
      <c r="N842" s="1">
        <v>1</v>
      </c>
      <c r="O842" s="3">
        <v>46233.65914210648</v>
      </c>
    </row>
    <row r="843" spans="1:15" x14ac:dyDescent="0.25">
      <c r="A843" s="5" t="s">
        <v>2693</v>
      </c>
      <c r="B843" s="1" t="s">
        <v>7973</v>
      </c>
      <c r="J843" s="3">
        <v>45608.439780092594</v>
      </c>
      <c r="L843" s="1">
        <v>1</v>
      </c>
      <c r="M843" s="1">
        <v>1</v>
      </c>
      <c r="N843" s="1">
        <v>0</v>
      </c>
      <c r="O843" s="3">
        <v>46233.65914210648</v>
      </c>
    </row>
    <row r="844" spans="1:15" ht="60" x14ac:dyDescent="0.25">
      <c r="A844" s="5" t="s">
        <v>2696</v>
      </c>
      <c r="B844" s="1" t="s">
        <v>7974</v>
      </c>
      <c r="C844" s="1">
        <v>1985</v>
      </c>
      <c r="G844" s="1" t="s">
        <v>10</v>
      </c>
      <c r="H844" s="2" t="s">
        <v>7975</v>
      </c>
      <c r="J844" s="3">
        <v>45890.647673611114</v>
      </c>
      <c r="K844" s="2" t="s">
        <v>7976</v>
      </c>
      <c r="L844" s="1">
        <v>8</v>
      </c>
      <c r="M844" s="1">
        <v>8</v>
      </c>
      <c r="N844" s="1">
        <v>0</v>
      </c>
      <c r="O844" s="3">
        <v>46233.65914210648</v>
      </c>
    </row>
    <row r="845" spans="1:15" ht="60" x14ac:dyDescent="0.25">
      <c r="A845" s="5" t="s">
        <v>2699</v>
      </c>
      <c r="B845" s="1" t="s">
        <v>7977</v>
      </c>
      <c r="C845" s="1" t="s">
        <v>12</v>
      </c>
      <c r="G845" s="1" t="s">
        <v>11</v>
      </c>
      <c r="J845" s="3">
        <v>45936.462673611109</v>
      </c>
      <c r="K845" s="2" t="s">
        <v>7978</v>
      </c>
      <c r="L845" s="1">
        <v>1</v>
      </c>
      <c r="M845" s="1">
        <v>1</v>
      </c>
      <c r="N845" s="1">
        <v>0</v>
      </c>
      <c r="O845" s="3">
        <v>46233.65914210648</v>
      </c>
    </row>
    <row r="846" spans="1:15" x14ac:dyDescent="0.25">
      <c r="A846" s="5" t="s">
        <v>2702</v>
      </c>
      <c r="B846" s="1" t="s">
        <v>7979</v>
      </c>
      <c r="C846" s="1">
        <v>1992</v>
      </c>
      <c r="J846" s="3">
        <v>45636.497881944444</v>
      </c>
      <c r="L846" s="1">
        <v>1</v>
      </c>
      <c r="M846" s="1">
        <v>1</v>
      </c>
      <c r="N846" s="1">
        <v>0</v>
      </c>
      <c r="O846" s="3">
        <v>46233.65914210648</v>
      </c>
    </row>
    <row r="847" spans="1:15" ht="90" x14ac:dyDescent="0.25">
      <c r="A847" s="5" t="s">
        <v>2705</v>
      </c>
      <c r="B847" s="1" t="s">
        <v>7980</v>
      </c>
      <c r="C847" s="1">
        <v>1979</v>
      </c>
      <c r="G847" s="1" t="s">
        <v>11</v>
      </c>
      <c r="J847" s="3">
        <v>45814.39738425926</v>
      </c>
      <c r="K847" s="2" t="s">
        <v>7981</v>
      </c>
      <c r="L847" s="1">
        <v>1</v>
      </c>
      <c r="M847" s="1">
        <v>2</v>
      </c>
      <c r="N847" s="1">
        <v>1</v>
      </c>
      <c r="O847" s="3">
        <v>46233.65914210648</v>
      </c>
    </row>
    <row r="848" spans="1:15" ht="120" x14ac:dyDescent="0.25">
      <c r="A848" s="5" t="s">
        <v>2708</v>
      </c>
      <c r="B848" s="1" t="s">
        <v>7982</v>
      </c>
      <c r="C848" s="1">
        <v>1982</v>
      </c>
      <c r="G848" s="1" t="s">
        <v>10</v>
      </c>
      <c r="J848" s="3">
        <v>45898.500949074078</v>
      </c>
      <c r="K848" s="2" t="s">
        <v>7983</v>
      </c>
      <c r="L848" s="1">
        <v>1</v>
      </c>
      <c r="M848" s="1">
        <v>1</v>
      </c>
      <c r="N848" s="1">
        <v>0</v>
      </c>
      <c r="O848" s="3">
        <v>46233.65914210648</v>
      </c>
    </row>
    <row r="849" spans="1:15" ht="30" x14ac:dyDescent="0.25">
      <c r="A849" s="5" t="s">
        <v>2711</v>
      </c>
      <c r="B849" s="1" t="s">
        <v>7984</v>
      </c>
      <c r="C849" s="1">
        <v>1965</v>
      </c>
      <c r="D849" s="1" t="s">
        <v>14</v>
      </c>
      <c r="J849" s="3">
        <v>45918.51158564815</v>
      </c>
      <c r="K849" s="2" t="s">
        <v>7985</v>
      </c>
      <c r="L849" s="1">
        <v>39</v>
      </c>
      <c r="M849" s="1">
        <v>41</v>
      </c>
      <c r="N849" s="1">
        <v>2</v>
      </c>
      <c r="O849" s="3">
        <v>46233.65914210648</v>
      </c>
    </row>
    <row r="850" spans="1:15" x14ac:dyDescent="0.25">
      <c r="A850" s="5" t="s">
        <v>2714</v>
      </c>
      <c r="B850" s="1" t="s">
        <v>7986</v>
      </c>
      <c r="J850" s="3">
        <v>45618.543090277781</v>
      </c>
      <c r="L850" s="1">
        <v>1</v>
      </c>
      <c r="M850" s="1">
        <v>1</v>
      </c>
      <c r="N850" s="1">
        <v>0</v>
      </c>
      <c r="O850" s="3">
        <v>46233.65914210648</v>
      </c>
    </row>
    <row r="851" spans="1:15" ht="45" x14ac:dyDescent="0.25">
      <c r="A851" s="5" t="s">
        <v>2717</v>
      </c>
      <c r="B851" s="1" t="s">
        <v>7987</v>
      </c>
      <c r="C851" s="1" t="s">
        <v>12</v>
      </c>
      <c r="G851" s="1" t="s">
        <v>10</v>
      </c>
      <c r="J851" s="3">
        <v>45891.667974537035</v>
      </c>
      <c r="K851" s="2" t="s">
        <v>6870</v>
      </c>
      <c r="L851" s="1">
        <v>9</v>
      </c>
      <c r="M851" s="1">
        <v>13</v>
      </c>
      <c r="N851" s="1">
        <v>4</v>
      </c>
      <c r="O851" s="3">
        <v>46233.65914210648</v>
      </c>
    </row>
    <row r="852" spans="1:15" ht="75" x14ac:dyDescent="0.25">
      <c r="A852" s="5" t="s">
        <v>2720</v>
      </c>
      <c r="B852" s="1" t="s">
        <v>7988</v>
      </c>
      <c r="C852" s="1">
        <v>1970</v>
      </c>
      <c r="G852" s="1" t="s">
        <v>10</v>
      </c>
      <c r="J852" s="3">
        <v>45902.398923611108</v>
      </c>
      <c r="K852" s="2" t="s">
        <v>7989</v>
      </c>
      <c r="L852" s="1">
        <v>1</v>
      </c>
      <c r="M852" s="1">
        <v>1</v>
      </c>
      <c r="N852" s="1">
        <v>0</v>
      </c>
      <c r="O852" s="3">
        <v>46233.65914210648</v>
      </c>
    </row>
    <row r="853" spans="1:15" ht="210" x14ac:dyDescent="0.25">
      <c r="A853" s="5" t="s">
        <v>2723</v>
      </c>
      <c r="B853" s="1" t="s">
        <v>7990</v>
      </c>
      <c r="G853" s="1" t="s">
        <v>11</v>
      </c>
      <c r="J853" s="3">
        <v>45839.567210648151</v>
      </c>
      <c r="K853" s="2" t="s">
        <v>7991</v>
      </c>
      <c r="L853" s="1">
        <v>3</v>
      </c>
      <c r="M853" s="1">
        <v>4</v>
      </c>
      <c r="N853" s="1">
        <v>1</v>
      </c>
      <c r="O853" s="3">
        <v>46233.65914210648</v>
      </c>
    </row>
    <row r="854" spans="1:15" ht="195" x14ac:dyDescent="0.25">
      <c r="A854" s="5" t="s">
        <v>2726</v>
      </c>
      <c r="B854" s="1" t="s">
        <v>7992</v>
      </c>
      <c r="C854" s="1">
        <v>1982</v>
      </c>
      <c r="G854" s="1" t="s">
        <v>11</v>
      </c>
      <c r="J854" s="3">
        <v>45898.602777777778</v>
      </c>
      <c r="K854" s="2" t="s">
        <v>7993</v>
      </c>
      <c r="L854" s="1">
        <v>2</v>
      </c>
      <c r="M854" s="1">
        <v>2</v>
      </c>
      <c r="N854" s="1">
        <v>0</v>
      </c>
      <c r="O854" s="3">
        <v>46233.65914210648</v>
      </c>
    </row>
    <row r="855" spans="1:15" ht="165" x14ac:dyDescent="0.25">
      <c r="A855" s="5" t="s">
        <v>2729</v>
      </c>
      <c r="B855" s="1" t="s">
        <v>7994</v>
      </c>
      <c r="G855" s="1" t="s">
        <v>11</v>
      </c>
      <c r="J855" s="3">
        <v>45840.607106481482</v>
      </c>
      <c r="K855" s="2" t="s">
        <v>7995</v>
      </c>
      <c r="L855" s="1">
        <v>9</v>
      </c>
      <c r="M855" s="1">
        <v>10</v>
      </c>
      <c r="N855" s="1">
        <v>1</v>
      </c>
      <c r="O855" s="3">
        <v>46233.65914210648</v>
      </c>
    </row>
    <row r="856" spans="1:15" x14ac:dyDescent="0.25">
      <c r="A856" s="5" t="s">
        <v>2732</v>
      </c>
      <c r="B856" s="1" t="s">
        <v>7996</v>
      </c>
      <c r="C856" s="1">
        <v>1795</v>
      </c>
      <c r="E856" s="1">
        <v>1888</v>
      </c>
      <c r="G856" s="1" t="s">
        <v>10</v>
      </c>
      <c r="J856" s="3">
        <v>45846.503229166665</v>
      </c>
      <c r="K856" s="2" t="s">
        <v>6986</v>
      </c>
      <c r="L856" s="1">
        <v>24</v>
      </c>
      <c r="M856" s="1">
        <v>24</v>
      </c>
      <c r="N856" s="1">
        <v>0</v>
      </c>
      <c r="O856" s="3">
        <v>46233.65914210648</v>
      </c>
    </row>
    <row r="857" spans="1:15" ht="60" x14ac:dyDescent="0.25">
      <c r="A857" s="5" t="s">
        <v>2735</v>
      </c>
      <c r="B857" s="1" t="s">
        <v>7998</v>
      </c>
      <c r="C857" s="1" t="s">
        <v>12</v>
      </c>
      <c r="G857" s="1" t="s">
        <v>11</v>
      </c>
      <c r="I857" s="2" t="s">
        <v>7999</v>
      </c>
      <c r="J857" s="3">
        <v>45883.524282407408</v>
      </c>
      <c r="K857" s="2" t="s">
        <v>8000</v>
      </c>
      <c r="L857" s="1">
        <v>10</v>
      </c>
      <c r="M857" s="1">
        <v>11</v>
      </c>
      <c r="N857" s="1">
        <v>1</v>
      </c>
      <c r="O857" s="3">
        <v>46233.65914210648</v>
      </c>
    </row>
    <row r="858" spans="1:15" ht="135" x14ac:dyDescent="0.25">
      <c r="A858" s="5" t="s">
        <v>2738</v>
      </c>
      <c r="B858" s="1" t="s">
        <v>8001</v>
      </c>
      <c r="C858" s="1">
        <v>1960</v>
      </c>
      <c r="G858" s="1" t="s">
        <v>10</v>
      </c>
      <c r="J858" s="3">
        <v>45903.603506944448</v>
      </c>
      <c r="K858" s="2" t="s">
        <v>8002</v>
      </c>
      <c r="L858" s="1">
        <v>11</v>
      </c>
      <c r="M858" s="1">
        <v>13</v>
      </c>
      <c r="N858" s="1">
        <v>2</v>
      </c>
      <c r="O858" s="3">
        <v>46233.65914210648</v>
      </c>
    </row>
    <row r="859" spans="1:15" ht="45" x14ac:dyDescent="0.25">
      <c r="A859" s="5" t="s">
        <v>2741</v>
      </c>
      <c r="B859" s="1" t="s">
        <v>8003</v>
      </c>
      <c r="G859" s="1" t="s">
        <v>10</v>
      </c>
      <c r="J859" s="3">
        <v>45932.516134259262</v>
      </c>
      <c r="K859" s="2" t="s">
        <v>8004</v>
      </c>
      <c r="L859" s="1">
        <v>4</v>
      </c>
      <c r="M859" s="1">
        <v>10</v>
      </c>
      <c r="N859" s="1">
        <v>6</v>
      </c>
      <c r="O859" s="3">
        <v>46233.65914210648</v>
      </c>
    </row>
    <row r="860" spans="1:15" ht="120" x14ac:dyDescent="0.25">
      <c r="A860" s="5" t="s">
        <v>2744</v>
      </c>
      <c r="B860" s="1" t="s">
        <v>8005</v>
      </c>
      <c r="C860" s="1" t="s">
        <v>12</v>
      </c>
      <c r="G860" s="1" t="s">
        <v>11</v>
      </c>
      <c r="J860" s="3">
        <v>45848.613564814812</v>
      </c>
      <c r="K860" s="2" t="s">
        <v>8006</v>
      </c>
      <c r="L860" s="1">
        <v>1</v>
      </c>
      <c r="M860" s="1">
        <v>1</v>
      </c>
      <c r="N860" s="1">
        <v>0</v>
      </c>
      <c r="O860" s="3">
        <v>46233.65914210648</v>
      </c>
    </row>
    <row r="861" spans="1:15" ht="60" x14ac:dyDescent="0.25">
      <c r="A861" s="5" t="s">
        <v>2747</v>
      </c>
      <c r="B861" s="1" t="s">
        <v>8007</v>
      </c>
      <c r="C861" s="1" t="s">
        <v>12</v>
      </c>
      <c r="G861" s="1" t="s">
        <v>10</v>
      </c>
      <c r="I861" s="2" t="s">
        <v>8008</v>
      </c>
      <c r="J861" s="3">
        <v>45814.586331018516</v>
      </c>
      <c r="K861" s="2" t="s">
        <v>8009</v>
      </c>
      <c r="L861" s="1">
        <v>7</v>
      </c>
      <c r="M861" s="1">
        <v>7</v>
      </c>
      <c r="N861" s="1">
        <v>0</v>
      </c>
      <c r="O861" s="3">
        <v>46233.65914210648</v>
      </c>
    </row>
    <row r="862" spans="1:15" ht="45" x14ac:dyDescent="0.25">
      <c r="A862" s="5" t="s">
        <v>2750</v>
      </c>
      <c r="B862" s="1" t="s">
        <v>8010</v>
      </c>
      <c r="C862" s="1">
        <v>1905</v>
      </c>
      <c r="J862" s="3">
        <v>45931.603877314818</v>
      </c>
      <c r="K862" s="2" t="s">
        <v>8011</v>
      </c>
      <c r="L862" s="1">
        <v>17</v>
      </c>
      <c r="M862" s="1">
        <v>38</v>
      </c>
      <c r="N862" s="1">
        <v>21</v>
      </c>
      <c r="O862" s="3">
        <v>46233.65914210648</v>
      </c>
    </row>
    <row r="863" spans="1:15" ht="30" x14ac:dyDescent="0.25">
      <c r="A863" s="5" t="s">
        <v>2753</v>
      </c>
      <c r="B863" s="1" t="s">
        <v>8012</v>
      </c>
      <c r="C863" s="1">
        <v>1969</v>
      </c>
      <c r="D863" s="1" t="s">
        <v>135</v>
      </c>
      <c r="G863" s="1" t="s">
        <v>10</v>
      </c>
      <c r="J863" s="3">
        <v>45848.598576388889</v>
      </c>
      <c r="K863" s="2" t="s">
        <v>8013</v>
      </c>
      <c r="L863" s="1">
        <v>83</v>
      </c>
      <c r="M863" s="1">
        <v>83</v>
      </c>
      <c r="N863" s="1">
        <v>0</v>
      </c>
      <c r="O863" s="3">
        <v>46233.65914210648</v>
      </c>
    </row>
    <row r="864" spans="1:15" ht="120" x14ac:dyDescent="0.25">
      <c r="A864" s="5" t="s">
        <v>2756</v>
      </c>
      <c r="B864" s="1" t="s">
        <v>8014</v>
      </c>
      <c r="C864" s="1">
        <v>1967</v>
      </c>
      <c r="D864" s="1" t="s">
        <v>16</v>
      </c>
      <c r="G864" s="1" t="s">
        <v>11</v>
      </c>
      <c r="J864" s="3">
        <v>45944.556620370371</v>
      </c>
      <c r="K864" s="2" t="s">
        <v>8015</v>
      </c>
      <c r="L864" s="1">
        <v>19</v>
      </c>
      <c r="M864" s="1">
        <v>21</v>
      </c>
      <c r="N864" s="1">
        <v>2</v>
      </c>
      <c r="O864" s="3">
        <v>46233.65914210648</v>
      </c>
    </row>
    <row r="865" spans="1:15" x14ac:dyDescent="0.25">
      <c r="A865" s="5" t="s">
        <v>2759</v>
      </c>
      <c r="B865" s="1" t="s">
        <v>8016</v>
      </c>
      <c r="C865" s="1">
        <v>1991</v>
      </c>
      <c r="G865" s="1" t="s">
        <v>10</v>
      </c>
      <c r="J865" s="3">
        <v>45832.674131944441</v>
      </c>
      <c r="K865" s="2" t="s">
        <v>8017</v>
      </c>
      <c r="L865" s="1">
        <v>1</v>
      </c>
      <c r="M865" s="1">
        <v>2</v>
      </c>
      <c r="N865" s="1">
        <v>1</v>
      </c>
      <c r="O865" s="3">
        <v>46233.65914210648</v>
      </c>
    </row>
    <row r="866" spans="1:15" x14ac:dyDescent="0.25">
      <c r="A866" s="5" t="s">
        <v>2762</v>
      </c>
      <c r="B866" s="1" t="s">
        <v>8018</v>
      </c>
      <c r="C866" s="1" t="s">
        <v>12</v>
      </c>
      <c r="G866" s="1" t="s">
        <v>11</v>
      </c>
      <c r="J866" s="3">
        <v>45834.448171296295</v>
      </c>
      <c r="K866" s="2" t="s">
        <v>6781</v>
      </c>
      <c r="L866" s="1">
        <v>2</v>
      </c>
      <c r="M866" s="1">
        <v>2</v>
      </c>
      <c r="N866" s="1">
        <v>0</v>
      </c>
      <c r="O866" s="3">
        <v>46233.65914210648</v>
      </c>
    </row>
    <row r="867" spans="1:15" ht="90" x14ac:dyDescent="0.25">
      <c r="A867" s="5" t="s">
        <v>2765</v>
      </c>
      <c r="B867" s="1" t="s">
        <v>8019</v>
      </c>
      <c r="C867" s="1">
        <v>1970</v>
      </c>
      <c r="D867" s="1" t="s">
        <v>8020</v>
      </c>
      <c r="G867" s="1" t="s">
        <v>11</v>
      </c>
      <c r="H867" s="2" t="s">
        <v>8021</v>
      </c>
      <c r="I867" s="2" t="s">
        <v>140</v>
      </c>
      <c r="J867" s="3">
        <v>45882.799004629633</v>
      </c>
      <c r="K867" s="2" t="s">
        <v>8022</v>
      </c>
      <c r="L867" s="1">
        <v>2</v>
      </c>
      <c r="M867" s="1">
        <v>11</v>
      </c>
      <c r="N867" s="1">
        <v>9</v>
      </c>
      <c r="O867" s="3">
        <v>46233.65914210648</v>
      </c>
    </row>
    <row r="868" spans="1:15" ht="30" x14ac:dyDescent="0.25">
      <c r="A868" s="5" t="s">
        <v>2768</v>
      </c>
      <c r="B868" s="1" t="s">
        <v>8023</v>
      </c>
      <c r="C868" s="1">
        <v>1889</v>
      </c>
      <c r="D868" s="1" t="s">
        <v>8024</v>
      </c>
      <c r="E868" s="1">
        <v>1964</v>
      </c>
      <c r="F868" s="1" t="s">
        <v>8025</v>
      </c>
      <c r="G868" s="1" t="s">
        <v>10</v>
      </c>
      <c r="H868" s="2" t="s">
        <v>110</v>
      </c>
      <c r="J868" s="3">
        <v>45890.562824074077</v>
      </c>
      <c r="K868" s="2" t="s">
        <v>8026</v>
      </c>
      <c r="L868" s="1">
        <v>1</v>
      </c>
      <c r="M868" s="1">
        <v>3</v>
      </c>
      <c r="N868" s="1">
        <v>2</v>
      </c>
      <c r="O868" s="3">
        <v>46233.65914210648</v>
      </c>
    </row>
    <row r="869" spans="1:15" ht="75" x14ac:dyDescent="0.25">
      <c r="A869" s="5" t="s">
        <v>2771</v>
      </c>
      <c r="B869" s="1" t="s">
        <v>8027</v>
      </c>
      <c r="C869" s="1">
        <v>1982</v>
      </c>
      <c r="D869" s="1" t="s">
        <v>7857</v>
      </c>
      <c r="G869" s="1" t="s">
        <v>11</v>
      </c>
      <c r="H869" s="2" t="s">
        <v>8028</v>
      </c>
      <c r="J869" s="3">
        <v>45904.528981481482</v>
      </c>
      <c r="K869" s="2" t="s">
        <v>8029</v>
      </c>
      <c r="L869" s="1">
        <v>2</v>
      </c>
      <c r="M869" s="1">
        <v>2</v>
      </c>
      <c r="N869" s="1">
        <v>0</v>
      </c>
      <c r="O869" s="3">
        <v>46233.65914210648</v>
      </c>
    </row>
    <row r="870" spans="1:15" ht="60" x14ac:dyDescent="0.25">
      <c r="A870" s="5" t="s">
        <v>2774</v>
      </c>
      <c r="B870" s="1" t="s">
        <v>8030</v>
      </c>
      <c r="C870" s="1" t="s">
        <v>12</v>
      </c>
      <c r="G870" s="1" t="s">
        <v>11</v>
      </c>
      <c r="J870" s="3">
        <v>45897.427905092591</v>
      </c>
      <c r="K870" s="2" t="s">
        <v>8031</v>
      </c>
      <c r="L870" s="1">
        <v>0</v>
      </c>
      <c r="M870" s="1">
        <v>0</v>
      </c>
      <c r="N870" s="1">
        <v>0</v>
      </c>
      <c r="O870" s="3">
        <v>46233.65914210648</v>
      </c>
    </row>
    <row r="871" spans="1:15" ht="45" x14ac:dyDescent="0.25">
      <c r="A871" s="5" t="s">
        <v>2777</v>
      </c>
      <c r="B871" s="1" t="s">
        <v>8032</v>
      </c>
      <c r="G871" s="1" t="s">
        <v>11</v>
      </c>
      <c r="J871" s="3">
        <v>45812.371296296296</v>
      </c>
      <c r="K871" s="2" t="s">
        <v>8033</v>
      </c>
      <c r="L871" s="1">
        <v>3</v>
      </c>
      <c r="M871" s="1">
        <v>12</v>
      </c>
      <c r="N871" s="1">
        <v>9</v>
      </c>
      <c r="O871" s="3">
        <v>46233.65914210648</v>
      </c>
    </row>
    <row r="872" spans="1:15" ht="30" x14ac:dyDescent="0.25">
      <c r="A872" s="5" t="s">
        <v>2780</v>
      </c>
      <c r="B872" s="1" t="s">
        <v>8034</v>
      </c>
      <c r="C872" s="1">
        <v>1990</v>
      </c>
      <c r="G872" s="1" t="s">
        <v>10</v>
      </c>
      <c r="J872" s="3">
        <v>45897.589189814818</v>
      </c>
      <c r="K872" s="2" t="s">
        <v>8035</v>
      </c>
      <c r="L872" s="1">
        <v>1</v>
      </c>
      <c r="M872" s="1">
        <v>1</v>
      </c>
      <c r="N872" s="1">
        <v>0</v>
      </c>
      <c r="O872" s="3">
        <v>46233.65914210648</v>
      </c>
    </row>
    <row r="873" spans="1:15" ht="45" x14ac:dyDescent="0.25">
      <c r="A873" s="5" t="s">
        <v>2783</v>
      </c>
      <c r="B873" s="1" t="s">
        <v>8036</v>
      </c>
      <c r="C873" s="1" t="s">
        <v>12</v>
      </c>
      <c r="G873" s="1" t="s">
        <v>11</v>
      </c>
      <c r="J873" s="3">
        <v>45848.623981481483</v>
      </c>
      <c r="K873" s="2" t="s">
        <v>8037</v>
      </c>
      <c r="L873" s="1">
        <v>1</v>
      </c>
      <c r="M873" s="1">
        <v>1</v>
      </c>
      <c r="N873" s="1">
        <v>0</v>
      </c>
      <c r="O873" s="3">
        <v>46233.65914210648</v>
      </c>
    </row>
    <row r="874" spans="1:15" ht="60" x14ac:dyDescent="0.25">
      <c r="A874" s="5" t="s">
        <v>2786</v>
      </c>
      <c r="B874" s="1" t="s">
        <v>8038</v>
      </c>
      <c r="C874" s="1" t="s">
        <v>12</v>
      </c>
      <c r="G874" s="1" t="s">
        <v>11</v>
      </c>
      <c r="J874" s="3">
        <v>45828.41479166667</v>
      </c>
      <c r="K874" s="2" t="s">
        <v>8039</v>
      </c>
      <c r="L874" s="1">
        <v>2</v>
      </c>
      <c r="M874" s="1">
        <v>2</v>
      </c>
      <c r="N874" s="1">
        <v>0</v>
      </c>
      <c r="O874" s="3">
        <v>46233.65914210648</v>
      </c>
    </row>
    <row r="875" spans="1:15" ht="90" x14ac:dyDescent="0.25">
      <c r="A875" s="5" t="s">
        <v>2789</v>
      </c>
      <c r="B875" s="1" t="s">
        <v>8040</v>
      </c>
      <c r="G875" s="1" t="s">
        <v>11</v>
      </c>
      <c r="J875" s="3">
        <v>45630.404479166667</v>
      </c>
      <c r="K875" s="2" t="s">
        <v>8041</v>
      </c>
      <c r="L875" s="1">
        <v>4</v>
      </c>
      <c r="M875" s="1">
        <v>6</v>
      </c>
      <c r="N875" s="1">
        <v>2</v>
      </c>
      <c r="O875" s="3">
        <v>46233.65914210648</v>
      </c>
    </row>
    <row r="876" spans="1:15" ht="90" x14ac:dyDescent="0.25">
      <c r="A876" s="5" t="s">
        <v>2792</v>
      </c>
      <c r="B876" s="1" t="s">
        <v>8042</v>
      </c>
      <c r="C876" s="1" t="s">
        <v>12</v>
      </c>
      <c r="G876" s="1" t="s">
        <v>10</v>
      </c>
      <c r="J876" s="3">
        <v>45890.484120370369</v>
      </c>
      <c r="K876" s="2" t="s">
        <v>8043</v>
      </c>
      <c r="L876" s="1">
        <v>5</v>
      </c>
      <c r="M876" s="1">
        <v>5</v>
      </c>
      <c r="N876" s="1">
        <v>0</v>
      </c>
      <c r="O876" s="3">
        <v>46233.65914210648</v>
      </c>
    </row>
    <row r="877" spans="1:15" x14ac:dyDescent="0.25">
      <c r="A877" s="5" t="s">
        <v>2795</v>
      </c>
      <c r="B877" s="1" t="s">
        <v>8044</v>
      </c>
      <c r="C877" s="1">
        <v>1961</v>
      </c>
      <c r="G877" s="1" t="s">
        <v>10</v>
      </c>
      <c r="J877" s="3">
        <v>45819.799247685187</v>
      </c>
      <c r="K877" s="2" t="s">
        <v>6438</v>
      </c>
      <c r="L877" s="1">
        <v>34</v>
      </c>
      <c r="M877" s="1">
        <v>34</v>
      </c>
      <c r="N877" s="1">
        <v>0</v>
      </c>
      <c r="O877" s="3">
        <v>46233.65914210648</v>
      </c>
    </row>
    <row r="878" spans="1:15" x14ac:dyDescent="0.25">
      <c r="A878" s="5" t="s">
        <v>2798</v>
      </c>
      <c r="B878" s="1" t="s">
        <v>8045</v>
      </c>
      <c r="C878" s="1">
        <v>1966</v>
      </c>
      <c r="G878" s="1" t="s">
        <v>10</v>
      </c>
      <c r="J878" s="3">
        <v>45944.552511574075</v>
      </c>
      <c r="K878" s="2" t="s">
        <v>125</v>
      </c>
      <c r="L878" s="1">
        <v>23</v>
      </c>
      <c r="M878" s="1">
        <v>25</v>
      </c>
      <c r="N878" s="1">
        <v>2</v>
      </c>
      <c r="O878" s="3">
        <v>46233.65914210648</v>
      </c>
    </row>
    <row r="879" spans="1:15" x14ac:dyDescent="0.25">
      <c r="A879" s="5" t="s">
        <v>2801</v>
      </c>
      <c r="B879" s="1" t="s">
        <v>8046</v>
      </c>
      <c r="C879" s="1" t="s">
        <v>12</v>
      </c>
      <c r="G879" s="1" t="s">
        <v>10</v>
      </c>
      <c r="J879" s="3">
        <v>45820.313854166663</v>
      </c>
      <c r="K879" s="2" t="s">
        <v>8047</v>
      </c>
      <c r="L879" s="1">
        <v>6</v>
      </c>
      <c r="M879" s="1">
        <v>9</v>
      </c>
      <c r="N879" s="1">
        <v>3</v>
      </c>
      <c r="O879" s="3">
        <v>46233.65914210648</v>
      </c>
    </row>
    <row r="880" spans="1:15" ht="120" x14ac:dyDescent="0.25">
      <c r="A880" s="5" t="s">
        <v>2804</v>
      </c>
      <c r="B880" s="1" t="s">
        <v>8048</v>
      </c>
      <c r="C880" s="1">
        <v>1997</v>
      </c>
      <c r="G880" s="1" t="s">
        <v>10</v>
      </c>
      <c r="J880" s="3">
        <v>45937.477812500001</v>
      </c>
      <c r="K880" s="2" t="s">
        <v>8049</v>
      </c>
      <c r="L880" s="1">
        <v>1</v>
      </c>
      <c r="M880" s="1">
        <v>1</v>
      </c>
      <c r="N880" s="1">
        <v>0</v>
      </c>
      <c r="O880" s="3">
        <v>46233.65914210648</v>
      </c>
    </row>
    <row r="881" spans="1:15" ht="90" x14ac:dyDescent="0.25">
      <c r="A881" s="5" t="s">
        <v>2807</v>
      </c>
      <c r="B881" s="1" t="s">
        <v>8050</v>
      </c>
      <c r="C881" s="1" t="s">
        <v>12</v>
      </c>
      <c r="G881" s="1" t="s">
        <v>10</v>
      </c>
      <c r="J881" s="3">
        <v>45848.612430555557</v>
      </c>
      <c r="K881" s="2" t="s">
        <v>8051</v>
      </c>
      <c r="L881" s="1">
        <v>1</v>
      </c>
      <c r="M881" s="1">
        <v>1</v>
      </c>
      <c r="N881" s="1">
        <v>0</v>
      </c>
      <c r="O881" s="3">
        <v>46233.65914210648</v>
      </c>
    </row>
    <row r="882" spans="1:15" ht="60" x14ac:dyDescent="0.25">
      <c r="A882" s="5" t="s">
        <v>2810</v>
      </c>
      <c r="B882" s="1" t="s">
        <v>8052</v>
      </c>
      <c r="C882" s="1" t="s">
        <v>12</v>
      </c>
      <c r="G882" s="1" t="s">
        <v>11</v>
      </c>
      <c r="J882" s="3">
        <v>45833.590520833335</v>
      </c>
      <c r="K882" s="2" t="s">
        <v>8053</v>
      </c>
      <c r="L882" s="1">
        <v>2</v>
      </c>
      <c r="M882" s="1">
        <v>2</v>
      </c>
      <c r="N882" s="1">
        <v>0</v>
      </c>
      <c r="O882" s="3">
        <v>46233.65914210648</v>
      </c>
    </row>
    <row r="883" spans="1:15" ht="90" x14ac:dyDescent="0.25">
      <c r="A883" s="5" t="s">
        <v>2813</v>
      </c>
      <c r="B883" s="1" t="s">
        <v>8054</v>
      </c>
      <c r="C883" s="1" t="s">
        <v>12</v>
      </c>
      <c r="D883" s="1" t="s">
        <v>8055</v>
      </c>
      <c r="G883" s="1" t="s">
        <v>10</v>
      </c>
      <c r="H883" s="2" t="s">
        <v>8056</v>
      </c>
      <c r="I883" s="2" t="s">
        <v>8057</v>
      </c>
      <c r="J883" s="3">
        <v>45824.634201388886</v>
      </c>
      <c r="K883" s="2" t="s">
        <v>8058</v>
      </c>
      <c r="L883" s="1">
        <v>44</v>
      </c>
      <c r="M883" s="1">
        <v>47</v>
      </c>
      <c r="N883" s="1">
        <v>3</v>
      </c>
      <c r="O883" s="3">
        <v>46233.65914210648</v>
      </c>
    </row>
    <row r="884" spans="1:15" ht="180" x14ac:dyDescent="0.25">
      <c r="A884" s="5" t="s">
        <v>2816</v>
      </c>
      <c r="B884" s="1" t="s">
        <v>8059</v>
      </c>
      <c r="G884" s="1" t="s">
        <v>11</v>
      </c>
      <c r="J884" s="3">
        <v>45903.588043981479</v>
      </c>
      <c r="K884" s="2" t="s">
        <v>8060</v>
      </c>
      <c r="L884" s="1">
        <v>2</v>
      </c>
      <c r="M884" s="1">
        <v>10</v>
      </c>
      <c r="N884" s="1">
        <v>8</v>
      </c>
      <c r="O884" s="3">
        <v>46233.65914210648</v>
      </c>
    </row>
    <row r="885" spans="1:15" ht="30" x14ac:dyDescent="0.25">
      <c r="A885" s="5" t="s">
        <v>2819</v>
      </c>
      <c r="B885" s="1" t="s">
        <v>8061</v>
      </c>
      <c r="C885" s="1">
        <v>1964</v>
      </c>
      <c r="I885" s="2" t="s">
        <v>140</v>
      </c>
      <c r="J885" s="3">
        <v>45847.645312499997</v>
      </c>
      <c r="K885" s="2" t="s">
        <v>8062</v>
      </c>
      <c r="L885" s="1">
        <v>1</v>
      </c>
      <c r="M885" s="1">
        <v>2</v>
      </c>
      <c r="N885" s="1">
        <v>1</v>
      </c>
      <c r="O885" s="3">
        <v>46233.65914210648</v>
      </c>
    </row>
    <row r="886" spans="1:15" ht="105" x14ac:dyDescent="0.25">
      <c r="A886" s="5" t="s">
        <v>2822</v>
      </c>
      <c r="B886" s="1" t="s">
        <v>8063</v>
      </c>
      <c r="C886" s="1" t="s">
        <v>12</v>
      </c>
      <c r="G886" s="1" t="s">
        <v>11</v>
      </c>
      <c r="J886" s="3">
        <v>45831.34642361111</v>
      </c>
      <c r="K886" s="2" t="s">
        <v>8064</v>
      </c>
      <c r="L886" s="1">
        <v>1</v>
      </c>
      <c r="M886" s="1">
        <v>1</v>
      </c>
      <c r="N886" s="1">
        <v>0</v>
      </c>
      <c r="O886" s="3">
        <v>46233.65914210648</v>
      </c>
    </row>
    <row r="887" spans="1:15" ht="135" x14ac:dyDescent="0.25">
      <c r="A887" s="5" t="s">
        <v>2825</v>
      </c>
      <c r="B887" s="1" t="s">
        <v>8065</v>
      </c>
      <c r="C887" s="1" t="s">
        <v>12</v>
      </c>
      <c r="G887" s="1" t="s">
        <v>11</v>
      </c>
      <c r="H887" s="2" t="s">
        <v>140</v>
      </c>
      <c r="I887" s="2" t="s">
        <v>140</v>
      </c>
      <c r="J887" s="3">
        <v>45894.57675925926</v>
      </c>
      <c r="K887" s="2" t="s">
        <v>8066</v>
      </c>
      <c r="L887" s="1">
        <v>5</v>
      </c>
      <c r="M887" s="1">
        <v>5</v>
      </c>
      <c r="N887" s="1">
        <v>0</v>
      </c>
      <c r="O887" s="3">
        <v>46233.65914210648</v>
      </c>
    </row>
    <row r="888" spans="1:15" ht="60" x14ac:dyDescent="0.25">
      <c r="A888" s="5" t="s">
        <v>2828</v>
      </c>
      <c r="B888" s="1" t="s">
        <v>8067</v>
      </c>
      <c r="C888" s="1">
        <v>1990</v>
      </c>
      <c r="G888" s="1" t="s">
        <v>11</v>
      </c>
      <c r="J888" s="3">
        <v>45897.484791666669</v>
      </c>
      <c r="K888" s="2" t="s">
        <v>8068</v>
      </c>
      <c r="L888" s="1">
        <v>1</v>
      </c>
      <c r="M888" s="1">
        <v>1</v>
      </c>
      <c r="N888" s="1">
        <v>0</v>
      </c>
      <c r="O888" s="3">
        <v>46233.65914210648</v>
      </c>
    </row>
    <row r="889" spans="1:15" ht="30" x14ac:dyDescent="0.25">
      <c r="A889" s="5" t="s">
        <v>2831</v>
      </c>
      <c r="B889" s="1" t="s">
        <v>8069</v>
      </c>
      <c r="C889" s="1">
        <v>1983</v>
      </c>
      <c r="G889" s="1" t="s">
        <v>10</v>
      </c>
      <c r="J889" s="3">
        <v>45833.568414351852</v>
      </c>
      <c r="K889" s="2" t="s">
        <v>8070</v>
      </c>
      <c r="L889" s="1">
        <v>0</v>
      </c>
      <c r="M889" s="1">
        <v>0</v>
      </c>
      <c r="N889" s="1">
        <v>0</v>
      </c>
      <c r="O889" s="3">
        <v>46233.65914210648</v>
      </c>
    </row>
    <row r="890" spans="1:15" ht="75" x14ac:dyDescent="0.25">
      <c r="A890" s="5" t="s">
        <v>2834</v>
      </c>
      <c r="B890" s="1" t="s">
        <v>8071</v>
      </c>
      <c r="C890" s="1" t="s">
        <v>12</v>
      </c>
      <c r="G890" s="1" t="s">
        <v>10</v>
      </c>
      <c r="J890" s="3">
        <v>45903.561956018515</v>
      </c>
      <c r="K890" s="2" t="s">
        <v>8072</v>
      </c>
      <c r="L890" s="1">
        <v>1</v>
      </c>
      <c r="M890" s="1">
        <v>1</v>
      </c>
      <c r="N890" s="1">
        <v>0</v>
      </c>
      <c r="O890" s="3">
        <v>46233.65914210648</v>
      </c>
    </row>
    <row r="891" spans="1:15" ht="105" x14ac:dyDescent="0.25">
      <c r="A891" s="5" t="s">
        <v>2837</v>
      </c>
      <c r="B891" s="1" t="s">
        <v>8073</v>
      </c>
      <c r="C891" s="1">
        <v>1982</v>
      </c>
      <c r="G891" s="1" t="s">
        <v>10</v>
      </c>
      <c r="J891" s="3">
        <v>45896.58216435185</v>
      </c>
      <c r="K891" s="2" t="s">
        <v>8074</v>
      </c>
      <c r="L891" s="1">
        <v>1</v>
      </c>
      <c r="M891" s="1">
        <v>1</v>
      </c>
      <c r="N891" s="1">
        <v>0</v>
      </c>
      <c r="O891" s="3">
        <v>46233.65914210648</v>
      </c>
    </row>
    <row r="892" spans="1:15" ht="60" x14ac:dyDescent="0.25">
      <c r="A892" s="5" t="s">
        <v>2840</v>
      </c>
      <c r="B892" s="1" t="s">
        <v>8075</v>
      </c>
      <c r="C892" s="1" t="s">
        <v>12</v>
      </c>
      <c r="G892" s="1" t="s">
        <v>11</v>
      </c>
      <c r="J892" s="3">
        <v>45890.567743055559</v>
      </c>
      <c r="K892" s="2" t="s">
        <v>8076</v>
      </c>
      <c r="L892" s="1">
        <v>12</v>
      </c>
      <c r="M892" s="1">
        <v>16</v>
      </c>
      <c r="N892" s="1">
        <v>4</v>
      </c>
      <c r="O892" s="3">
        <v>46233.65914210648</v>
      </c>
    </row>
    <row r="893" spans="1:15" x14ac:dyDescent="0.25">
      <c r="A893" s="5" t="s">
        <v>2843</v>
      </c>
      <c r="B893" s="1" t="s">
        <v>8077</v>
      </c>
      <c r="D893" s="1" t="s">
        <v>14</v>
      </c>
      <c r="E893" s="1">
        <v>1980</v>
      </c>
      <c r="J893" s="3">
        <v>45841.456296296295</v>
      </c>
      <c r="K893" s="2" t="s">
        <v>6433</v>
      </c>
      <c r="L893" s="1">
        <v>12</v>
      </c>
      <c r="M893" s="1">
        <v>13</v>
      </c>
      <c r="N893" s="1">
        <v>1</v>
      </c>
      <c r="O893" s="3">
        <v>46233.65914210648</v>
      </c>
    </row>
    <row r="894" spans="1:15" x14ac:dyDescent="0.25">
      <c r="A894" s="5" t="s">
        <v>2846</v>
      </c>
      <c r="B894" s="1" t="s">
        <v>8078</v>
      </c>
      <c r="C894" s="1" t="s">
        <v>12</v>
      </c>
      <c r="G894" s="1" t="s">
        <v>10</v>
      </c>
      <c r="J894" s="3">
        <v>45834.462094907409</v>
      </c>
      <c r="L894" s="1">
        <v>1</v>
      </c>
      <c r="M894" s="1">
        <v>1</v>
      </c>
      <c r="N894" s="1">
        <v>0</v>
      </c>
      <c r="O894" s="3">
        <v>46233.65914210648</v>
      </c>
    </row>
    <row r="895" spans="1:15" ht="30" x14ac:dyDescent="0.25">
      <c r="A895" s="5" t="s">
        <v>2849</v>
      </c>
      <c r="B895" s="1" t="s">
        <v>8079</v>
      </c>
      <c r="C895" s="1">
        <v>1973</v>
      </c>
      <c r="G895" s="1" t="s">
        <v>10</v>
      </c>
      <c r="J895" s="3">
        <v>45890.485046296293</v>
      </c>
      <c r="K895" s="2" t="s">
        <v>8080</v>
      </c>
      <c r="L895" s="1">
        <v>16</v>
      </c>
      <c r="M895" s="1">
        <v>16</v>
      </c>
      <c r="N895" s="1">
        <v>0</v>
      </c>
      <c r="O895" s="3">
        <v>46233.65914210648</v>
      </c>
    </row>
    <row r="896" spans="1:15" x14ac:dyDescent="0.25">
      <c r="A896" s="5" t="s">
        <v>2852</v>
      </c>
      <c r="B896" s="1" t="s">
        <v>8081</v>
      </c>
      <c r="C896" s="1">
        <v>2019</v>
      </c>
      <c r="J896" s="3">
        <v>45672.373078703706</v>
      </c>
      <c r="L896" s="1">
        <v>1</v>
      </c>
      <c r="M896" s="1">
        <v>1</v>
      </c>
      <c r="N896" s="1">
        <v>0</v>
      </c>
      <c r="O896" s="3">
        <v>46233.65914210648</v>
      </c>
    </row>
    <row r="897" spans="1:15" ht="30" x14ac:dyDescent="0.25">
      <c r="A897" s="5" t="s">
        <v>2855</v>
      </c>
      <c r="B897" s="1" t="s">
        <v>8082</v>
      </c>
      <c r="C897" s="1" t="s">
        <v>12</v>
      </c>
      <c r="D897" s="1" t="s">
        <v>6384</v>
      </c>
      <c r="G897" s="1" t="s">
        <v>11</v>
      </c>
      <c r="J897" s="3">
        <v>45846.722615740742</v>
      </c>
      <c r="K897" s="2" t="s">
        <v>8083</v>
      </c>
      <c r="L897" s="1">
        <v>8</v>
      </c>
      <c r="M897" s="1">
        <v>10</v>
      </c>
      <c r="N897" s="1">
        <v>2</v>
      </c>
      <c r="O897" s="3">
        <v>46233.65914210648</v>
      </c>
    </row>
    <row r="898" spans="1:15" x14ac:dyDescent="0.25">
      <c r="A898" s="5" t="s">
        <v>2858</v>
      </c>
      <c r="B898" s="1" t="s">
        <v>8084</v>
      </c>
      <c r="C898" s="1" t="s">
        <v>12</v>
      </c>
      <c r="G898" s="1" t="s">
        <v>11</v>
      </c>
      <c r="J898" s="3">
        <v>45834.479328703703</v>
      </c>
      <c r="K898" s="2" t="s">
        <v>6738</v>
      </c>
      <c r="L898" s="1">
        <v>1</v>
      </c>
      <c r="M898" s="1">
        <v>1</v>
      </c>
      <c r="N898" s="1">
        <v>0</v>
      </c>
      <c r="O898" s="3">
        <v>46233.65914210648</v>
      </c>
    </row>
    <row r="899" spans="1:15" ht="90" x14ac:dyDescent="0.25">
      <c r="A899" s="5" t="s">
        <v>2861</v>
      </c>
      <c r="B899" s="1" t="s">
        <v>8085</v>
      </c>
      <c r="C899" s="1" t="s">
        <v>8086</v>
      </c>
      <c r="G899" s="1" t="s">
        <v>10</v>
      </c>
      <c r="J899" s="3">
        <v>45902.572557870371</v>
      </c>
      <c r="K899" s="2" t="s">
        <v>8087</v>
      </c>
      <c r="L899" s="1">
        <v>9</v>
      </c>
      <c r="M899" s="1">
        <v>9</v>
      </c>
      <c r="N899" s="1">
        <v>0</v>
      </c>
      <c r="O899" s="3">
        <v>46233.65914210648</v>
      </c>
    </row>
    <row r="900" spans="1:15" x14ac:dyDescent="0.25">
      <c r="A900" s="5" t="s">
        <v>2864</v>
      </c>
      <c r="B900" s="1" t="s">
        <v>8088</v>
      </c>
      <c r="C900" s="1">
        <v>2014</v>
      </c>
      <c r="J900" s="3">
        <v>45672.4531712963</v>
      </c>
      <c r="L900" s="1">
        <v>1</v>
      </c>
      <c r="M900" s="1">
        <v>1</v>
      </c>
      <c r="N900" s="1">
        <v>0</v>
      </c>
      <c r="O900" s="3">
        <v>46233.65914210648</v>
      </c>
    </row>
    <row r="901" spans="1:15" ht="30" x14ac:dyDescent="0.25">
      <c r="A901" s="5" t="s">
        <v>2867</v>
      </c>
      <c r="B901" s="1" t="s">
        <v>8089</v>
      </c>
      <c r="C901" s="1">
        <v>1983</v>
      </c>
      <c r="G901" s="1" t="s">
        <v>10</v>
      </c>
      <c r="J901" s="3">
        <v>45847.621550925927</v>
      </c>
      <c r="K901" s="2" t="s">
        <v>8090</v>
      </c>
      <c r="L901" s="1">
        <v>2</v>
      </c>
      <c r="M901" s="1">
        <v>2</v>
      </c>
      <c r="N901" s="1">
        <v>0</v>
      </c>
      <c r="O901" s="3">
        <v>46233.65914210648</v>
      </c>
    </row>
    <row r="902" spans="1:15" ht="30" x14ac:dyDescent="0.25">
      <c r="A902" s="5" t="s">
        <v>2870</v>
      </c>
      <c r="B902" s="1" t="s">
        <v>8091</v>
      </c>
      <c r="C902" s="1">
        <v>1989</v>
      </c>
      <c r="G902" s="1" t="s">
        <v>11</v>
      </c>
      <c r="J902" s="3">
        <v>45834.482233796298</v>
      </c>
      <c r="K902" s="2" t="s">
        <v>8092</v>
      </c>
      <c r="L902" s="1">
        <v>1</v>
      </c>
      <c r="M902" s="1">
        <v>1</v>
      </c>
      <c r="N902" s="1">
        <v>0</v>
      </c>
      <c r="O902" s="3">
        <v>46233.65914210648</v>
      </c>
    </row>
    <row r="903" spans="1:15" ht="90" x14ac:dyDescent="0.25">
      <c r="A903" s="5" t="s">
        <v>2873</v>
      </c>
      <c r="B903" s="1" t="s">
        <v>8093</v>
      </c>
      <c r="C903" s="1">
        <v>1972</v>
      </c>
      <c r="G903" s="1" t="s">
        <v>10</v>
      </c>
      <c r="J903" s="3">
        <v>45842.637187499997</v>
      </c>
      <c r="K903" s="2" t="s">
        <v>8094</v>
      </c>
      <c r="L903" s="1">
        <v>24</v>
      </c>
      <c r="M903" s="1">
        <v>28</v>
      </c>
      <c r="N903" s="1">
        <v>4</v>
      </c>
      <c r="O903" s="3">
        <v>46233.65914210648</v>
      </c>
    </row>
    <row r="904" spans="1:15" x14ac:dyDescent="0.25">
      <c r="A904" s="5" t="s">
        <v>2876</v>
      </c>
      <c r="B904" s="1" t="s">
        <v>8095</v>
      </c>
      <c r="C904" s="1">
        <v>2014</v>
      </c>
      <c r="J904" s="3">
        <v>45672.479097222225</v>
      </c>
      <c r="L904" s="1">
        <v>1</v>
      </c>
      <c r="M904" s="1">
        <v>1</v>
      </c>
      <c r="N904" s="1">
        <v>0</v>
      </c>
      <c r="O904" s="3">
        <v>46233.65914210648</v>
      </c>
    </row>
    <row r="905" spans="1:15" ht="60" x14ac:dyDescent="0.25">
      <c r="A905" s="5" t="s">
        <v>2879</v>
      </c>
      <c r="B905" s="1" t="s">
        <v>8096</v>
      </c>
      <c r="C905" s="1" t="s">
        <v>12</v>
      </c>
      <c r="G905" s="1" t="s">
        <v>10</v>
      </c>
      <c r="J905" s="3">
        <v>45891.666701388887</v>
      </c>
      <c r="K905" s="2" t="s">
        <v>8097</v>
      </c>
      <c r="L905" s="1">
        <v>8</v>
      </c>
      <c r="M905" s="1">
        <v>9</v>
      </c>
      <c r="N905" s="1">
        <v>1</v>
      </c>
      <c r="O905" s="3">
        <v>46233.65914210648</v>
      </c>
    </row>
    <row r="906" spans="1:15" ht="30" x14ac:dyDescent="0.25">
      <c r="A906" s="5" t="s">
        <v>2882</v>
      </c>
      <c r="B906" s="1" t="s">
        <v>8098</v>
      </c>
      <c r="C906" s="1">
        <v>1971</v>
      </c>
      <c r="G906" s="1" t="s">
        <v>10</v>
      </c>
      <c r="J906" s="3">
        <v>45898.414085648146</v>
      </c>
      <c r="K906" s="2" t="s">
        <v>8099</v>
      </c>
      <c r="L906" s="1">
        <v>5</v>
      </c>
      <c r="M906" s="1">
        <v>14</v>
      </c>
      <c r="N906" s="1">
        <v>9</v>
      </c>
      <c r="O906" s="3">
        <v>46233.65914210648</v>
      </c>
    </row>
    <row r="907" spans="1:15" ht="60" x14ac:dyDescent="0.25">
      <c r="A907" s="5" t="s">
        <v>2885</v>
      </c>
      <c r="B907" s="1" t="s">
        <v>8100</v>
      </c>
      <c r="C907" s="1" t="s">
        <v>12</v>
      </c>
      <c r="G907" s="1" t="s">
        <v>11</v>
      </c>
      <c r="J907" s="3">
        <v>45839.585486111115</v>
      </c>
      <c r="K907" s="2" t="s">
        <v>8101</v>
      </c>
      <c r="L907" s="1">
        <v>6</v>
      </c>
      <c r="M907" s="1">
        <v>15</v>
      </c>
      <c r="N907" s="1">
        <v>9</v>
      </c>
      <c r="O907" s="3">
        <v>46233.65914210648</v>
      </c>
    </row>
    <row r="908" spans="1:15" x14ac:dyDescent="0.25">
      <c r="A908" s="5" t="s">
        <v>2888</v>
      </c>
      <c r="B908" s="1" t="s">
        <v>8102</v>
      </c>
      <c r="C908" s="1">
        <v>2003</v>
      </c>
      <c r="J908" s="3">
        <v>45678.483101851853</v>
      </c>
      <c r="L908" s="1">
        <v>1</v>
      </c>
      <c r="M908" s="1">
        <v>1</v>
      </c>
      <c r="N908" s="1">
        <v>0</v>
      </c>
      <c r="O908" s="3">
        <v>46233.65914210648</v>
      </c>
    </row>
    <row r="909" spans="1:15" ht="30" x14ac:dyDescent="0.25">
      <c r="A909" s="5" t="s">
        <v>2891</v>
      </c>
      <c r="B909" s="1" t="s">
        <v>8103</v>
      </c>
      <c r="C909" s="1">
        <v>1986</v>
      </c>
      <c r="E909" s="1">
        <v>2019</v>
      </c>
      <c r="J909" s="3">
        <v>45875.519861111112</v>
      </c>
      <c r="K909" s="2" t="s">
        <v>8104</v>
      </c>
      <c r="L909" s="1">
        <v>4</v>
      </c>
      <c r="M909" s="1">
        <v>7</v>
      </c>
      <c r="N909" s="1">
        <v>3</v>
      </c>
      <c r="O909" s="3">
        <v>46233.65914210648</v>
      </c>
    </row>
    <row r="910" spans="1:15" ht="30" x14ac:dyDescent="0.25">
      <c r="A910" s="5" t="s">
        <v>2894</v>
      </c>
      <c r="B910" s="1" t="s">
        <v>8105</v>
      </c>
      <c r="C910" s="1">
        <v>1973</v>
      </c>
      <c r="G910" s="1" t="s">
        <v>10</v>
      </c>
      <c r="J910" s="3">
        <v>45877.620648148149</v>
      </c>
      <c r="K910" s="2" t="s">
        <v>8106</v>
      </c>
      <c r="L910" s="1">
        <v>1</v>
      </c>
      <c r="M910" s="1">
        <v>1</v>
      </c>
      <c r="N910" s="1">
        <v>0</v>
      </c>
      <c r="O910" s="3">
        <v>46233.65914210648</v>
      </c>
    </row>
    <row r="911" spans="1:15" x14ac:dyDescent="0.25">
      <c r="A911" s="5" t="s">
        <v>2897</v>
      </c>
      <c r="B911" s="1" t="s">
        <v>8107</v>
      </c>
      <c r="C911" s="1">
        <v>1970</v>
      </c>
      <c r="D911" s="1" t="s">
        <v>14</v>
      </c>
      <c r="G911" s="1" t="s">
        <v>10</v>
      </c>
      <c r="J911" s="3">
        <v>45842.457418981481</v>
      </c>
      <c r="K911" s="2" t="s">
        <v>6492</v>
      </c>
      <c r="L911" s="1">
        <v>59</v>
      </c>
      <c r="M911" s="1">
        <v>67</v>
      </c>
      <c r="N911" s="1">
        <v>8</v>
      </c>
      <c r="O911" s="3">
        <v>46233.65914210648</v>
      </c>
    </row>
    <row r="912" spans="1:15" ht="135" x14ac:dyDescent="0.25">
      <c r="A912" s="5" t="s">
        <v>2900</v>
      </c>
      <c r="B912" s="1" t="s">
        <v>8108</v>
      </c>
      <c r="C912" s="1" t="s">
        <v>12</v>
      </c>
      <c r="G912" s="1" t="s">
        <v>11</v>
      </c>
      <c r="J912" s="3">
        <v>45903.505312499998</v>
      </c>
      <c r="K912" s="2" t="s">
        <v>8109</v>
      </c>
      <c r="L912" s="1">
        <v>1</v>
      </c>
      <c r="M912" s="1">
        <v>1</v>
      </c>
      <c r="N912" s="1">
        <v>0</v>
      </c>
      <c r="O912" s="3">
        <v>46233.65914210648</v>
      </c>
    </row>
    <row r="913" spans="1:15" ht="150" x14ac:dyDescent="0.25">
      <c r="A913" s="5" t="s">
        <v>2903</v>
      </c>
      <c r="B913" s="1" t="s">
        <v>8110</v>
      </c>
      <c r="C913" s="1">
        <v>1972</v>
      </c>
      <c r="D913" s="1" t="s">
        <v>8111</v>
      </c>
      <c r="J913" s="3">
        <v>45929.607094907406</v>
      </c>
      <c r="K913" s="2" t="s">
        <v>8112</v>
      </c>
      <c r="L913" s="1">
        <v>66</v>
      </c>
      <c r="M913" s="1">
        <v>70</v>
      </c>
      <c r="N913" s="1">
        <v>4</v>
      </c>
      <c r="O913" s="3">
        <v>46233.65914210648</v>
      </c>
    </row>
    <row r="914" spans="1:15" ht="75" x14ac:dyDescent="0.25">
      <c r="A914" s="5" t="s">
        <v>2906</v>
      </c>
      <c r="B914" s="1" t="s">
        <v>8113</v>
      </c>
      <c r="C914" s="1">
        <v>1943</v>
      </c>
      <c r="D914" s="1" t="s">
        <v>14</v>
      </c>
      <c r="J914" s="3">
        <v>45908.47760416667</v>
      </c>
      <c r="K914" s="2" t="s">
        <v>8114</v>
      </c>
      <c r="L914" s="1">
        <v>8</v>
      </c>
      <c r="M914" s="1">
        <v>10</v>
      </c>
      <c r="N914" s="1">
        <v>2</v>
      </c>
      <c r="O914" s="3">
        <v>46233.65914210648</v>
      </c>
    </row>
    <row r="915" spans="1:15" ht="75" x14ac:dyDescent="0.25">
      <c r="A915" s="5" t="s">
        <v>2909</v>
      </c>
      <c r="B915" s="1" t="s">
        <v>8115</v>
      </c>
      <c r="C915" s="1" t="s">
        <v>12</v>
      </c>
      <c r="G915" s="1" t="s">
        <v>10</v>
      </c>
      <c r="J915" s="3">
        <v>45939.406736111108</v>
      </c>
      <c r="K915" s="2" t="s">
        <v>8116</v>
      </c>
      <c r="L915" s="1">
        <v>1</v>
      </c>
      <c r="M915" s="1">
        <v>1</v>
      </c>
      <c r="N915" s="1">
        <v>0</v>
      </c>
      <c r="O915" s="3">
        <v>46233.65914210648</v>
      </c>
    </row>
    <row r="916" spans="1:15" x14ac:dyDescent="0.25">
      <c r="A916" s="5" t="s">
        <v>2912</v>
      </c>
      <c r="B916" s="1" t="s">
        <v>8117</v>
      </c>
      <c r="C916" s="1">
        <v>1996</v>
      </c>
      <c r="J916" s="3">
        <v>45678.674699074072</v>
      </c>
      <c r="L916" s="1">
        <v>1</v>
      </c>
      <c r="M916" s="1">
        <v>1</v>
      </c>
      <c r="N916" s="1">
        <v>0</v>
      </c>
      <c r="O916" s="3">
        <v>46233.65914210648</v>
      </c>
    </row>
    <row r="917" spans="1:15" ht="210" x14ac:dyDescent="0.25">
      <c r="A917" s="5" t="s">
        <v>2915</v>
      </c>
      <c r="B917" s="1" t="s">
        <v>8118</v>
      </c>
      <c r="C917" s="1">
        <v>1941</v>
      </c>
      <c r="D917" s="1" t="s">
        <v>8119</v>
      </c>
      <c r="G917" s="1" t="s">
        <v>10</v>
      </c>
      <c r="J917" s="3">
        <v>45904.371099537035</v>
      </c>
      <c r="K917" s="2" t="s">
        <v>8120</v>
      </c>
      <c r="L917" s="1">
        <v>42</v>
      </c>
      <c r="M917" s="1">
        <v>42</v>
      </c>
      <c r="N917" s="1">
        <v>0</v>
      </c>
      <c r="O917" s="3">
        <v>46233.65914210648</v>
      </c>
    </row>
    <row r="918" spans="1:15" ht="135" x14ac:dyDescent="0.25">
      <c r="A918" s="5" t="s">
        <v>2918</v>
      </c>
      <c r="B918" s="1" t="s">
        <v>8121</v>
      </c>
      <c r="C918" s="1">
        <v>1958</v>
      </c>
      <c r="E918" s="1">
        <v>2024</v>
      </c>
      <c r="G918" s="1" t="s">
        <v>10</v>
      </c>
      <c r="J918" s="3">
        <v>45849.368981481479</v>
      </c>
      <c r="K918" s="2" t="s">
        <v>8122</v>
      </c>
      <c r="L918" s="1">
        <v>2</v>
      </c>
      <c r="M918" s="1">
        <v>2</v>
      </c>
      <c r="N918" s="1">
        <v>0</v>
      </c>
      <c r="O918" s="3">
        <v>46233.65914210648</v>
      </c>
    </row>
    <row r="919" spans="1:15" ht="30" x14ac:dyDescent="0.25">
      <c r="A919" s="5" t="s">
        <v>2921</v>
      </c>
      <c r="B919" s="1" t="s">
        <v>8123</v>
      </c>
      <c r="C919" s="1" t="s">
        <v>12</v>
      </c>
      <c r="G919" s="1" t="s">
        <v>11</v>
      </c>
      <c r="J919" s="3">
        <v>45909.389236111114</v>
      </c>
      <c r="K919" s="2" t="s">
        <v>8124</v>
      </c>
      <c r="L919" s="1">
        <v>1</v>
      </c>
      <c r="M919" s="1">
        <v>1</v>
      </c>
      <c r="N919" s="1">
        <v>0</v>
      </c>
      <c r="O919" s="3">
        <v>46233.65914210648</v>
      </c>
    </row>
    <row r="920" spans="1:15" x14ac:dyDescent="0.25">
      <c r="A920" s="5" t="s">
        <v>2924</v>
      </c>
      <c r="B920" s="1" t="s">
        <v>8125</v>
      </c>
      <c r="C920" s="1">
        <v>1963</v>
      </c>
      <c r="J920" s="3">
        <v>45680.435995370368</v>
      </c>
      <c r="L920" s="1">
        <v>7</v>
      </c>
      <c r="M920" s="1">
        <v>8</v>
      </c>
      <c r="N920" s="1">
        <v>1</v>
      </c>
      <c r="O920" s="3">
        <v>46233.65914210648</v>
      </c>
    </row>
    <row r="921" spans="1:15" ht="75" x14ac:dyDescent="0.25">
      <c r="A921" s="5" t="s">
        <v>2927</v>
      </c>
      <c r="B921" s="1" t="s">
        <v>8126</v>
      </c>
      <c r="C921" s="1" t="s">
        <v>12</v>
      </c>
      <c r="J921" s="3">
        <v>45890.377627314818</v>
      </c>
      <c r="K921" s="2" t="s">
        <v>8127</v>
      </c>
      <c r="L921" s="1">
        <v>2</v>
      </c>
      <c r="M921" s="1">
        <v>2</v>
      </c>
      <c r="N921" s="1">
        <v>0</v>
      </c>
      <c r="O921" s="3">
        <v>46233.65914210648</v>
      </c>
    </row>
    <row r="922" spans="1:15" ht="45" x14ac:dyDescent="0.25">
      <c r="A922" s="5" t="s">
        <v>2930</v>
      </c>
      <c r="B922" s="1" t="s">
        <v>8128</v>
      </c>
      <c r="C922" s="1">
        <v>1994</v>
      </c>
      <c r="G922" s="1" t="s">
        <v>10</v>
      </c>
      <c r="J922" s="3">
        <v>45944.555393518516</v>
      </c>
      <c r="K922" s="2" t="s">
        <v>8129</v>
      </c>
      <c r="L922" s="1">
        <v>6</v>
      </c>
      <c r="M922" s="1">
        <v>9</v>
      </c>
      <c r="N922" s="1">
        <v>3</v>
      </c>
      <c r="O922" s="3">
        <v>46233.65914210648</v>
      </c>
    </row>
    <row r="923" spans="1:15" x14ac:dyDescent="0.25">
      <c r="A923" s="5" t="s">
        <v>2933</v>
      </c>
      <c r="B923" s="1" t="s">
        <v>8130</v>
      </c>
      <c r="C923" s="1">
        <v>2006</v>
      </c>
      <c r="J923" s="3">
        <v>45681.377685185187</v>
      </c>
      <c r="L923" s="1">
        <v>3</v>
      </c>
      <c r="M923" s="1">
        <v>5</v>
      </c>
      <c r="N923" s="1">
        <v>2</v>
      </c>
      <c r="O923" s="3">
        <v>46233.65914210648</v>
      </c>
    </row>
    <row r="924" spans="1:15" ht="60" x14ac:dyDescent="0.25">
      <c r="A924" s="5" t="s">
        <v>2936</v>
      </c>
      <c r="B924" s="1" t="s">
        <v>8131</v>
      </c>
      <c r="C924" s="1" t="s">
        <v>12</v>
      </c>
      <c r="G924" s="1" t="s">
        <v>11</v>
      </c>
      <c r="J924" s="3">
        <v>45902.610520833332</v>
      </c>
      <c r="K924" s="2" t="s">
        <v>8132</v>
      </c>
      <c r="L924" s="1">
        <v>1</v>
      </c>
      <c r="M924" s="1">
        <v>1</v>
      </c>
      <c r="N924" s="1">
        <v>0</v>
      </c>
      <c r="O924" s="3">
        <v>46233.65914210648</v>
      </c>
    </row>
    <row r="925" spans="1:15" x14ac:dyDescent="0.25">
      <c r="A925" s="5" t="s">
        <v>2939</v>
      </c>
      <c r="B925" s="1" t="s">
        <v>8133</v>
      </c>
      <c r="C925" s="1">
        <v>2011</v>
      </c>
      <c r="J925" s="3">
        <v>45681.478842592594</v>
      </c>
      <c r="L925" s="1">
        <v>1</v>
      </c>
      <c r="M925" s="1">
        <v>1</v>
      </c>
      <c r="N925" s="1">
        <v>0</v>
      </c>
      <c r="O925" s="3">
        <v>46233.65914210648</v>
      </c>
    </row>
    <row r="926" spans="1:15" ht="60" x14ac:dyDescent="0.25">
      <c r="A926" s="5" t="s">
        <v>2942</v>
      </c>
      <c r="B926" s="1" t="s">
        <v>8134</v>
      </c>
      <c r="C926" s="1">
        <v>1976</v>
      </c>
      <c r="G926" s="1" t="s">
        <v>10</v>
      </c>
      <c r="J926" s="3">
        <v>45925.516643518517</v>
      </c>
      <c r="K926" s="2" t="s">
        <v>8135</v>
      </c>
      <c r="L926" s="1">
        <v>4</v>
      </c>
      <c r="M926" s="1">
        <v>8</v>
      </c>
      <c r="N926" s="1">
        <v>4</v>
      </c>
      <c r="O926" s="3">
        <v>46233.65914210648</v>
      </c>
    </row>
    <row r="927" spans="1:15" ht="60" x14ac:dyDescent="0.25">
      <c r="A927" s="5" t="s">
        <v>2945</v>
      </c>
      <c r="B927" s="1" t="s">
        <v>8136</v>
      </c>
      <c r="C927" s="1">
        <v>1976</v>
      </c>
      <c r="G927" s="1" t="s">
        <v>11</v>
      </c>
      <c r="J927" s="3">
        <v>45846.728761574072</v>
      </c>
      <c r="K927" s="2" t="s">
        <v>8137</v>
      </c>
      <c r="L927" s="1">
        <v>26</v>
      </c>
      <c r="M927" s="1">
        <v>26</v>
      </c>
      <c r="N927" s="1">
        <v>0</v>
      </c>
      <c r="O927" s="3">
        <v>46233.65914210648</v>
      </c>
    </row>
    <row r="928" spans="1:15" x14ac:dyDescent="0.25">
      <c r="A928" s="5" t="s">
        <v>2948</v>
      </c>
      <c r="B928" s="1" t="s">
        <v>8138</v>
      </c>
      <c r="C928" s="1" t="s">
        <v>12</v>
      </c>
      <c r="G928" s="1" t="s">
        <v>11</v>
      </c>
      <c r="J928" s="3">
        <v>45919.625254629631</v>
      </c>
      <c r="K928" s="2" t="s">
        <v>8139</v>
      </c>
      <c r="L928" s="1">
        <v>1</v>
      </c>
      <c r="M928" s="1">
        <v>1</v>
      </c>
      <c r="N928" s="1">
        <v>0</v>
      </c>
      <c r="O928" s="3">
        <v>46233.65914210648</v>
      </c>
    </row>
    <row r="929" spans="1:15" ht="135" x14ac:dyDescent="0.25">
      <c r="A929" s="5" t="s">
        <v>2951</v>
      </c>
      <c r="B929" s="1" t="s">
        <v>8140</v>
      </c>
      <c r="C929" s="1" t="s">
        <v>12</v>
      </c>
      <c r="G929" s="1" t="s">
        <v>10</v>
      </c>
      <c r="J929" s="3">
        <v>45910.799189814818</v>
      </c>
      <c r="K929" s="2" t="s">
        <v>8141</v>
      </c>
      <c r="L929" s="1">
        <v>7</v>
      </c>
      <c r="M929" s="1">
        <v>8</v>
      </c>
      <c r="N929" s="1">
        <v>1</v>
      </c>
      <c r="O929" s="3">
        <v>46233.65914210648</v>
      </c>
    </row>
    <row r="930" spans="1:15" ht="90" x14ac:dyDescent="0.25">
      <c r="A930" s="5" t="s">
        <v>2954</v>
      </c>
      <c r="B930" s="1" t="s">
        <v>8142</v>
      </c>
      <c r="C930" s="1" t="s">
        <v>12</v>
      </c>
      <c r="G930" s="1" t="s">
        <v>11</v>
      </c>
      <c r="J930" s="3">
        <v>45848.62599537037</v>
      </c>
      <c r="K930" s="2" t="s">
        <v>8143</v>
      </c>
      <c r="L930" s="1">
        <v>1</v>
      </c>
      <c r="M930" s="1">
        <v>3</v>
      </c>
      <c r="N930" s="1">
        <v>2</v>
      </c>
      <c r="O930" s="3">
        <v>46233.65914210648</v>
      </c>
    </row>
    <row r="931" spans="1:15" ht="150" x14ac:dyDescent="0.25">
      <c r="A931" s="5" t="s">
        <v>2957</v>
      </c>
      <c r="B931" s="1" t="s">
        <v>8144</v>
      </c>
      <c r="C931" s="1" t="s">
        <v>12</v>
      </c>
      <c r="G931" s="1" t="s">
        <v>10</v>
      </c>
      <c r="J931" s="3">
        <v>45860.6012962963</v>
      </c>
      <c r="K931" s="2" t="s">
        <v>8145</v>
      </c>
      <c r="L931" s="1">
        <v>1</v>
      </c>
      <c r="M931" s="1">
        <v>1</v>
      </c>
      <c r="N931" s="1">
        <v>0</v>
      </c>
      <c r="O931" s="3">
        <v>46233.65914210648</v>
      </c>
    </row>
    <row r="932" spans="1:15" ht="30" x14ac:dyDescent="0.25">
      <c r="A932" s="5" t="s">
        <v>2960</v>
      </c>
      <c r="B932" s="1" t="s">
        <v>8146</v>
      </c>
      <c r="C932" s="1">
        <v>1955</v>
      </c>
      <c r="G932" s="1" t="s">
        <v>10</v>
      </c>
      <c r="J932" s="3">
        <v>45848.363865740743</v>
      </c>
      <c r="K932" s="2" t="s">
        <v>8147</v>
      </c>
      <c r="L932" s="1">
        <v>1</v>
      </c>
      <c r="M932" s="1">
        <v>1</v>
      </c>
      <c r="N932" s="1">
        <v>0</v>
      </c>
      <c r="O932" s="3">
        <v>46233.65914210648</v>
      </c>
    </row>
    <row r="933" spans="1:15" ht="60" x14ac:dyDescent="0.25">
      <c r="A933" s="5" t="s">
        <v>2963</v>
      </c>
      <c r="B933" s="1" t="s">
        <v>8148</v>
      </c>
      <c r="C933" s="1" t="s">
        <v>12</v>
      </c>
      <c r="G933" s="1" t="s">
        <v>11</v>
      </c>
      <c r="J933" s="3">
        <v>45897.592407407406</v>
      </c>
      <c r="K933" s="2" t="s">
        <v>8149</v>
      </c>
      <c r="L933" s="1">
        <v>1</v>
      </c>
      <c r="M933" s="1">
        <v>1</v>
      </c>
      <c r="N933" s="1">
        <v>0</v>
      </c>
      <c r="O933" s="3">
        <v>46233.65914210648</v>
      </c>
    </row>
    <row r="934" spans="1:15" ht="120" x14ac:dyDescent="0.25">
      <c r="A934" s="5" t="s">
        <v>2966</v>
      </c>
      <c r="B934" s="1" t="s">
        <v>8150</v>
      </c>
      <c r="C934" s="1" t="s">
        <v>152</v>
      </c>
      <c r="E934" s="1" t="s">
        <v>152</v>
      </c>
      <c r="J934" s="3">
        <v>45952.696574074071</v>
      </c>
      <c r="K934" s="2" t="s">
        <v>8151</v>
      </c>
      <c r="L934" s="1">
        <v>24</v>
      </c>
      <c r="M934" s="1">
        <v>24</v>
      </c>
      <c r="N934" s="1">
        <v>0</v>
      </c>
      <c r="O934" s="3">
        <v>46233.65914210648</v>
      </c>
    </row>
    <row r="935" spans="1:15" x14ac:dyDescent="0.25">
      <c r="A935" s="5" t="s">
        <v>2969</v>
      </c>
      <c r="B935" s="1" t="s">
        <v>8152</v>
      </c>
      <c r="C935" s="1">
        <v>1985</v>
      </c>
      <c r="D935" s="1" t="s">
        <v>8153</v>
      </c>
      <c r="G935" s="1" t="s">
        <v>10</v>
      </c>
      <c r="J935" s="3">
        <v>45848.600856481484</v>
      </c>
      <c r="K935" s="2" t="s">
        <v>126</v>
      </c>
      <c r="L935" s="1">
        <v>2</v>
      </c>
      <c r="M935" s="1">
        <v>2</v>
      </c>
      <c r="N935" s="1">
        <v>0</v>
      </c>
      <c r="O935" s="3">
        <v>46233.65914210648</v>
      </c>
    </row>
    <row r="936" spans="1:15" ht="45" x14ac:dyDescent="0.25">
      <c r="A936" s="5" t="s">
        <v>2972</v>
      </c>
      <c r="B936" s="1" t="s">
        <v>8154</v>
      </c>
      <c r="C936" s="1">
        <v>1831</v>
      </c>
      <c r="E936" s="1">
        <v>1875</v>
      </c>
      <c r="G936" s="1" t="s">
        <v>11</v>
      </c>
      <c r="J936" s="3">
        <v>45926.69390046296</v>
      </c>
      <c r="K936" s="2" t="s">
        <v>8157</v>
      </c>
      <c r="L936" s="1">
        <v>1</v>
      </c>
      <c r="M936" s="1">
        <v>1</v>
      </c>
      <c r="N936" s="1">
        <v>0</v>
      </c>
      <c r="O936" s="3">
        <v>46233.65914210648</v>
      </c>
    </row>
    <row r="937" spans="1:15" x14ac:dyDescent="0.25">
      <c r="A937" s="5" t="s">
        <v>2975</v>
      </c>
      <c r="B937" s="1" t="s">
        <v>8158</v>
      </c>
      <c r="C937" s="1">
        <v>1982</v>
      </c>
      <c r="J937" s="3">
        <v>45685.472037037034</v>
      </c>
      <c r="L937" s="1">
        <v>1</v>
      </c>
      <c r="M937" s="1">
        <v>1</v>
      </c>
      <c r="N937" s="1">
        <v>0</v>
      </c>
      <c r="O937" s="3">
        <v>46233.65914210648</v>
      </c>
    </row>
    <row r="938" spans="1:15" ht="45" x14ac:dyDescent="0.25">
      <c r="A938" s="5" t="s">
        <v>2978</v>
      </c>
      <c r="B938" s="1" t="s">
        <v>8159</v>
      </c>
      <c r="C938" s="1" t="s">
        <v>12</v>
      </c>
      <c r="G938" s="1" t="s">
        <v>11</v>
      </c>
      <c r="J938" s="3">
        <v>45897.586608796293</v>
      </c>
      <c r="K938" s="2" t="s">
        <v>8160</v>
      </c>
      <c r="L938" s="1">
        <v>1</v>
      </c>
      <c r="M938" s="1">
        <v>1</v>
      </c>
      <c r="N938" s="1">
        <v>0</v>
      </c>
      <c r="O938" s="3">
        <v>46233.65914210648</v>
      </c>
    </row>
    <row r="939" spans="1:15" x14ac:dyDescent="0.25">
      <c r="A939" s="5" t="s">
        <v>2981</v>
      </c>
      <c r="B939" s="1" t="s">
        <v>8161</v>
      </c>
      <c r="C939" s="1">
        <v>2017</v>
      </c>
      <c r="J939" s="3">
        <v>45685.652465277781</v>
      </c>
      <c r="L939" s="1">
        <v>1</v>
      </c>
      <c r="M939" s="1">
        <v>1</v>
      </c>
      <c r="N939" s="1">
        <v>0</v>
      </c>
      <c r="O939" s="3">
        <v>46233.65914210648</v>
      </c>
    </row>
    <row r="940" spans="1:15" x14ac:dyDescent="0.25">
      <c r="A940" s="5" t="s">
        <v>2984</v>
      </c>
      <c r="B940" s="1" t="s">
        <v>8162</v>
      </c>
      <c r="C940" s="1">
        <v>1992</v>
      </c>
      <c r="G940" s="1" t="s">
        <v>10</v>
      </c>
      <c r="J940" s="3">
        <v>45897.431145833332</v>
      </c>
      <c r="K940" s="2" t="s">
        <v>158</v>
      </c>
      <c r="L940" s="1">
        <v>3</v>
      </c>
      <c r="M940" s="1">
        <v>3</v>
      </c>
      <c r="N940" s="1">
        <v>0</v>
      </c>
      <c r="O940" s="3">
        <v>46233.65914210648</v>
      </c>
    </row>
    <row r="941" spans="1:15" ht="105" x14ac:dyDescent="0.25">
      <c r="A941" s="5" t="s">
        <v>2987</v>
      </c>
      <c r="B941" s="1" t="s">
        <v>8163</v>
      </c>
      <c r="G941" s="1" t="s">
        <v>10</v>
      </c>
      <c r="J941" s="3">
        <v>45903.517638888887</v>
      </c>
      <c r="K941" s="2" t="s">
        <v>8164</v>
      </c>
      <c r="L941" s="1">
        <v>1</v>
      </c>
      <c r="M941" s="1">
        <v>3</v>
      </c>
      <c r="N941" s="1">
        <v>2</v>
      </c>
      <c r="O941" s="3">
        <v>46233.65914210648</v>
      </c>
    </row>
    <row r="942" spans="1:15" x14ac:dyDescent="0.25">
      <c r="A942" s="5" t="s">
        <v>2990</v>
      </c>
      <c r="B942" s="1" t="s">
        <v>8165</v>
      </c>
      <c r="J942" s="3">
        <v>45636.657604166663</v>
      </c>
      <c r="L942" s="1">
        <v>3</v>
      </c>
      <c r="M942" s="1">
        <v>3</v>
      </c>
      <c r="N942" s="1">
        <v>0</v>
      </c>
      <c r="O942" s="3">
        <v>46233.65914210648</v>
      </c>
    </row>
    <row r="943" spans="1:15" ht="90" x14ac:dyDescent="0.25">
      <c r="A943" s="5" t="s">
        <v>2993</v>
      </c>
      <c r="B943" s="1" t="s">
        <v>8166</v>
      </c>
      <c r="C943" s="1" t="s">
        <v>12</v>
      </c>
      <c r="G943" s="1" t="s">
        <v>10</v>
      </c>
      <c r="J943" s="3">
        <v>45903.439641203702</v>
      </c>
      <c r="K943" s="2" t="s">
        <v>8167</v>
      </c>
      <c r="L943" s="1">
        <v>2</v>
      </c>
      <c r="M943" s="1">
        <v>2</v>
      </c>
      <c r="N943" s="1">
        <v>0</v>
      </c>
      <c r="O943" s="3">
        <v>46233.65914210648</v>
      </c>
    </row>
    <row r="944" spans="1:15" x14ac:dyDescent="0.25">
      <c r="A944" s="5" t="s">
        <v>2996</v>
      </c>
      <c r="B944" s="1" t="s">
        <v>8168</v>
      </c>
      <c r="G944" s="1" t="s">
        <v>11</v>
      </c>
      <c r="J944" s="3">
        <v>45848.62195601852</v>
      </c>
      <c r="L944" s="1">
        <v>9</v>
      </c>
      <c r="M944" s="1">
        <v>10</v>
      </c>
      <c r="N944" s="1">
        <v>1</v>
      </c>
      <c r="O944" s="3">
        <v>46233.65914210648</v>
      </c>
    </row>
    <row r="945" spans="1:15" x14ac:dyDescent="0.25">
      <c r="A945" s="5" t="s">
        <v>2999</v>
      </c>
      <c r="B945" s="1" t="s">
        <v>8169</v>
      </c>
      <c r="C945" s="1" t="s">
        <v>12</v>
      </c>
      <c r="G945" s="1" t="s">
        <v>11</v>
      </c>
      <c r="J945" s="3">
        <v>45877.626770833333</v>
      </c>
      <c r="K945" s="2" t="s">
        <v>8170</v>
      </c>
      <c r="L945" s="1">
        <v>1</v>
      </c>
      <c r="M945" s="1">
        <v>1</v>
      </c>
      <c r="N945" s="1">
        <v>0</v>
      </c>
      <c r="O945" s="3">
        <v>46233.65914210648</v>
      </c>
    </row>
    <row r="946" spans="1:15" ht="60" x14ac:dyDescent="0.25">
      <c r="A946" s="5" t="s">
        <v>3002</v>
      </c>
      <c r="B946" s="1" t="s">
        <v>8171</v>
      </c>
      <c r="C946" s="1" t="s">
        <v>12</v>
      </c>
      <c r="G946" s="1" t="s">
        <v>11</v>
      </c>
      <c r="J946" s="3">
        <v>45897.427442129629</v>
      </c>
      <c r="K946" s="2" t="s">
        <v>8172</v>
      </c>
      <c r="L946" s="1">
        <v>0</v>
      </c>
      <c r="M946" s="1">
        <v>0</v>
      </c>
      <c r="N946" s="1">
        <v>0</v>
      </c>
      <c r="O946" s="3">
        <v>46233.65914210648</v>
      </c>
    </row>
    <row r="947" spans="1:15" ht="30" x14ac:dyDescent="0.25">
      <c r="A947" s="5" t="s">
        <v>3005</v>
      </c>
      <c r="B947" s="1" t="s">
        <v>8173</v>
      </c>
      <c r="C947" s="1">
        <v>1957</v>
      </c>
      <c r="D947" s="1" t="s">
        <v>14</v>
      </c>
      <c r="G947" s="1" t="s">
        <v>10</v>
      </c>
      <c r="J947" s="3">
        <v>45925.361712962964</v>
      </c>
      <c r="K947" s="2" t="s">
        <v>8174</v>
      </c>
      <c r="L947" s="1">
        <v>36</v>
      </c>
      <c r="M947" s="1">
        <v>57</v>
      </c>
      <c r="N947" s="1">
        <v>21</v>
      </c>
      <c r="O947" s="3">
        <v>46233.65914210648</v>
      </c>
    </row>
    <row r="948" spans="1:15" ht="30" x14ac:dyDescent="0.25">
      <c r="A948" s="5" t="s">
        <v>3008</v>
      </c>
      <c r="B948" s="1" t="s">
        <v>8175</v>
      </c>
      <c r="C948" s="1" t="s">
        <v>12</v>
      </c>
      <c r="G948" s="1" t="s">
        <v>10</v>
      </c>
      <c r="J948" s="3">
        <v>45848.625775462962</v>
      </c>
      <c r="K948" s="2" t="s">
        <v>8176</v>
      </c>
      <c r="L948" s="1">
        <v>1</v>
      </c>
      <c r="M948" s="1">
        <v>1</v>
      </c>
      <c r="N948" s="1">
        <v>0</v>
      </c>
      <c r="O948" s="3">
        <v>46233.65914210648</v>
      </c>
    </row>
    <row r="949" spans="1:15" ht="45" x14ac:dyDescent="0.25">
      <c r="A949" s="5" t="s">
        <v>3011</v>
      </c>
      <c r="B949" s="1" t="s">
        <v>8177</v>
      </c>
      <c r="C949" s="1" t="s">
        <v>12</v>
      </c>
      <c r="G949" s="1" t="s">
        <v>10</v>
      </c>
      <c r="J949" s="3">
        <v>45905.325439814813</v>
      </c>
      <c r="K949" s="2" t="s">
        <v>8178</v>
      </c>
      <c r="L949" s="1">
        <v>1</v>
      </c>
      <c r="M949" s="1">
        <v>1</v>
      </c>
      <c r="N949" s="1">
        <v>0</v>
      </c>
      <c r="O949" s="3">
        <v>46233.65914210648</v>
      </c>
    </row>
    <row r="950" spans="1:15" ht="240" x14ac:dyDescent="0.25">
      <c r="A950" s="5" t="s">
        <v>3014</v>
      </c>
      <c r="B950" s="1" t="s">
        <v>8179</v>
      </c>
      <c r="C950" s="1">
        <v>1962</v>
      </c>
      <c r="D950" s="1" t="s">
        <v>14</v>
      </c>
      <c r="H950" s="2" t="s">
        <v>8180</v>
      </c>
      <c r="I950" s="2" t="s">
        <v>8181</v>
      </c>
      <c r="J950" s="3">
        <v>45898.418321759258</v>
      </c>
      <c r="K950" s="2" t="s">
        <v>8182</v>
      </c>
      <c r="L950" s="1">
        <v>15</v>
      </c>
      <c r="M950" s="1">
        <v>30</v>
      </c>
      <c r="N950" s="1">
        <v>15</v>
      </c>
      <c r="O950" s="3">
        <v>46233.65914210648</v>
      </c>
    </row>
    <row r="951" spans="1:15" ht="285" x14ac:dyDescent="0.25">
      <c r="A951" s="5" t="s">
        <v>3017</v>
      </c>
      <c r="B951" s="1" t="s">
        <v>8183</v>
      </c>
      <c r="C951" s="1" t="s">
        <v>12</v>
      </c>
      <c r="G951" s="1" t="s">
        <v>10</v>
      </c>
      <c r="J951" s="3">
        <v>45849.398425925923</v>
      </c>
      <c r="K951" s="2" t="s">
        <v>8184</v>
      </c>
      <c r="L951" s="1">
        <v>10</v>
      </c>
      <c r="M951" s="1">
        <v>15</v>
      </c>
      <c r="N951" s="1">
        <v>5</v>
      </c>
      <c r="O951" s="3">
        <v>46233.65914210648</v>
      </c>
    </row>
    <row r="952" spans="1:15" x14ac:dyDescent="0.25">
      <c r="A952" s="5" t="s">
        <v>3020</v>
      </c>
      <c r="B952" s="1" t="s">
        <v>8185</v>
      </c>
      <c r="C952" s="1" t="s">
        <v>131</v>
      </c>
      <c r="G952" s="1" t="s">
        <v>111</v>
      </c>
      <c r="J952" s="3">
        <v>45874.623831018522</v>
      </c>
      <c r="K952" s="2" t="s">
        <v>8186</v>
      </c>
      <c r="L952" s="1">
        <v>1</v>
      </c>
      <c r="M952" s="1">
        <v>1</v>
      </c>
      <c r="N952" s="1">
        <v>0</v>
      </c>
      <c r="O952" s="3">
        <v>46233.65914210648</v>
      </c>
    </row>
    <row r="953" spans="1:15" ht="45" x14ac:dyDescent="0.25">
      <c r="A953" s="5" t="s">
        <v>3023</v>
      </c>
      <c r="B953" s="1" t="s">
        <v>8187</v>
      </c>
      <c r="C953" s="1" t="s">
        <v>12</v>
      </c>
      <c r="G953" s="1" t="s">
        <v>11</v>
      </c>
      <c r="J953" s="3">
        <v>45897.487453703703</v>
      </c>
      <c r="K953" s="2" t="s">
        <v>8188</v>
      </c>
      <c r="L953" s="1">
        <v>1</v>
      </c>
      <c r="M953" s="1">
        <v>1</v>
      </c>
      <c r="N953" s="1">
        <v>0</v>
      </c>
      <c r="O953" s="3">
        <v>46233.65914210648</v>
      </c>
    </row>
    <row r="954" spans="1:15" x14ac:dyDescent="0.25">
      <c r="A954" s="5" t="s">
        <v>3026</v>
      </c>
      <c r="B954" s="1" t="s">
        <v>8189</v>
      </c>
      <c r="C954" s="1">
        <v>1980</v>
      </c>
      <c r="J954" s="3">
        <v>45706.514282407406</v>
      </c>
      <c r="L954" s="1">
        <v>2</v>
      </c>
      <c r="M954" s="1">
        <v>2</v>
      </c>
      <c r="N954" s="1">
        <v>0</v>
      </c>
      <c r="O954" s="3">
        <v>46233.65914210648</v>
      </c>
    </row>
    <row r="955" spans="1:15" ht="45" x14ac:dyDescent="0.25">
      <c r="A955" s="5" t="s">
        <v>3029</v>
      </c>
      <c r="B955" s="1" t="s">
        <v>8190</v>
      </c>
      <c r="C955" s="1" t="s">
        <v>12</v>
      </c>
      <c r="G955" s="1" t="s">
        <v>10</v>
      </c>
      <c r="J955" s="3">
        <v>45875.635787037034</v>
      </c>
      <c r="K955" s="2" t="s">
        <v>8191</v>
      </c>
      <c r="L955" s="1">
        <v>1</v>
      </c>
      <c r="M955" s="1">
        <v>1</v>
      </c>
      <c r="N955" s="1">
        <v>0</v>
      </c>
      <c r="O955" s="3">
        <v>46233.65914210648</v>
      </c>
    </row>
    <row r="956" spans="1:15" ht="45" x14ac:dyDescent="0.25">
      <c r="A956" s="5" t="s">
        <v>3032</v>
      </c>
      <c r="B956" s="1" t="s">
        <v>8192</v>
      </c>
      <c r="C956" s="1" t="s">
        <v>12</v>
      </c>
      <c r="G956" s="1" t="s">
        <v>11</v>
      </c>
      <c r="J956" s="3">
        <v>45936.401423611111</v>
      </c>
      <c r="K956" s="2" t="s">
        <v>8193</v>
      </c>
      <c r="L956" s="1">
        <v>1</v>
      </c>
      <c r="M956" s="1">
        <v>1</v>
      </c>
      <c r="N956" s="1">
        <v>0</v>
      </c>
      <c r="O956" s="3">
        <v>46233.65914210648</v>
      </c>
    </row>
    <row r="957" spans="1:15" x14ac:dyDescent="0.25">
      <c r="A957" s="5" t="s">
        <v>3035</v>
      </c>
      <c r="B957" s="1" t="s">
        <v>8194</v>
      </c>
      <c r="J957" s="3">
        <v>45668.513483796298</v>
      </c>
      <c r="L957" s="1">
        <v>0</v>
      </c>
      <c r="M957" s="1">
        <v>0</v>
      </c>
      <c r="N957" s="1">
        <v>0</v>
      </c>
      <c r="O957" s="3">
        <v>46233.65914210648</v>
      </c>
    </row>
    <row r="958" spans="1:15" ht="225" x14ac:dyDescent="0.25">
      <c r="A958" s="5" t="s">
        <v>3038</v>
      </c>
      <c r="B958" s="1" t="s">
        <v>8195</v>
      </c>
      <c r="C958" s="1" t="s">
        <v>12</v>
      </c>
      <c r="G958" s="1" t="s">
        <v>11</v>
      </c>
      <c r="J958" s="3">
        <v>45903.579212962963</v>
      </c>
      <c r="K958" s="2" t="s">
        <v>8196</v>
      </c>
      <c r="L958" s="1">
        <v>1</v>
      </c>
      <c r="M958" s="1">
        <v>1</v>
      </c>
      <c r="N958" s="1">
        <v>0</v>
      </c>
      <c r="O958" s="3">
        <v>46233.65914210648</v>
      </c>
    </row>
    <row r="959" spans="1:15" ht="30" x14ac:dyDescent="0.25">
      <c r="A959" s="5" t="s">
        <v>3041</v>
      </c>
      <c r="B959" s="1" t="s">
        <v>8197</v>
      </c>
      <c r="C959" s="1">
        <v>1981</v>
      </c>
      <c r="G959" s="1" t="s">
        <v>11</v>
      </c>
      <c r="J959" s="3">
        <v>45877.638148148151</v>
      </c>
      <c r="K959" s="2" t="s">
        <v>8198</v>
      </c>
      <c r="L959" s="1">
        <v>2</v>
      </c>
      <c r="M959" s="1">
        <v>2</v>
      </c>
      <c r="N959" s="1">
        <v>0</v>
      </c>
      <c r="O959" s="3">
        <v>46233.65914210648</v>
      </c>
    </row>
    <row r="960" spans="1:15" x14ac:dyDescent="0.25">
      <c r="A960" s="5" t="s">
        <v>3044</v>
      </c>
      <c r="B960" s="1" t="s">
        <v>8199</v>
      </c>
      <c r="C960" s="1">
        <v>1999</v>
      </c>
      <c r="J960" s="3">
        <v>45713.451099537036</v>
      </c>
      <c r="L960" s="1">
        <v>1</v>
      </c>
      <c r="M960" s="1">
        <v>1</v>
      </c>
      <c r="N960" s="1">
        <v>0</v>
      </c>
      <c r="O960" s="3">
        <v>46233.65914210648</v>
      </c>
    </row>
    <row r="961" spans="1:15" ht="45" x14ac:dyDescent="0.25">
      <c r="A961" s="5" t="s">
        <v>3047</v>
      </c>
      <c r="B961" s="1" t="s">
        <v>8200</v>
      </c>
      <c r="C961" s="1">
        <v>1992</v>
      </c>
      <c r="G961" s="1" t="s">
        <v>10</v>
      </c>
      <c r="J961" s="3">
        <v>45897.499918981484</v>
      </c>
      <c r="K961" s="2" t="s">
        <v>8201</v>
      </c>
      <c r="L961" s="1">
        <v>1</v>
      </c>
      <c r="M961" s="1">
        <v>1</v>
      </c>
      <c r="N961" s="1">
        <v>0</v>
      </c>
      <c r="O961" s="3">
        <v>46233.65914210648</v>
      </c>
    </row>
    <row r="962" spans="1:15" x14ac:dyDescent="0.25">
      <c r="A962" s="5" t="s">
        <v>3050</v>
      </c>
      <c r="B962" s="1" t="s">
        <v>8202</v>
      </c>
      <c r="C962" s="1">
        <v>1978</v>
      </c>
      <c r="G962" s="1" t="s">
        <v>11</v>
      </c>
      <c r="J962" s="3">
        <v>45880.579328703701</v>
      </c>
      <c r="L962" s="1">
        <v>30</v>
      </c>
      <c r="M962" s="1">
        <v>30</v>
      </c>
      <c r="N962" s="1">
        <v>0</v>
      </c>
      <c r="O962" s="3">
        <v>46233.65914210648</v>
      </c>
    </row>
    <row r="963" spans="1:15" x14ac:dyDescent="0.25">
      <c r="A963" s="5" t="s">
        <v>3053</v>
      </c>
      <c r="B963" s="1" t="s">
        <v>8203</v>
      </c>
      <c r="C963" s="1" t="s">
        <v>12</v>
      </c>
      <c r="G963" s="1" t="s">
        <v>11</v>
      </c>
      <c r="J963" s="3">
        <v>45908.630578703705</v>
      </c>
      <c r="K963" s="2" t="s">
        <v>8204</v>
      </c>
      <c r="L963" s="1">
        <v>1</v>
      </c>
      <c r="M963" s="1">
        <v>1</v>
      </c>
      <c r="N963" s="1">
        <v>0</v>
      </c>
      <c r="O963" s="3">
        <v>46233.65914210648</v>
      </c>
    </row>
    <row r="964" spans="1:15" x14ac:dyDescent="0.25">
      <c r="A964" s="5" t="s">
        <v>3056</v>
      </c>
      <c r="B964" s="1" t="s">
        <v>8205</v>
      </c>
      <c r="C964" s="1">
        <v>1969</v>
      </c>
      <c r="D964" s="1" t="s">
        <v>15</v>
      </c>
      <c r="G964" s="1" t="s">
        <v>10</v>
      </c>
      <c r="J964" s="3">
        <v>45886.344513888886</v>
      </c>
      <c r="K964" s="2" t="s">
        <v>8206</v>
      </c>
      <c r="L964" s="1">
        <v>37</v>
      </c>
      <c r="M964" s="1">
        <v>50</v>
      </c>
      <c r="N964" s="1">
        <v>13</v>
      </c>
      <c r="O964" s="3">
        <v>46233.65914210648</v>
      </c>
    </row>
    <row r="965" spans="1:15" ht="45" x14ac:dyDescent="0.25">
      <c r="A965" s="5" t="s">
        <v>3059</v>
      </c>
      <c r="B965" s="1" t="s">
        <v>8207</v>
      </c>
      <c r="C965" s="1" t="s">
        <v>12</v>
      </c>
      <c r="G965" s="1" t="s">
        <v>10</v>
      </c>
      <c r="J965" s="3">
        <v>45905.314351851855</v>
      </c>
      <c r="K965" s="2" t="s">
        <v>8208</v>
      </c>
      <c r="L965" s="1">
        <v>1</v>
      </c>
      <c r="M965" s="1">
        <v>1</v>
      </c>
      <c r="N965" s="1">
        <v>0</v>
      </c>
      <c r="O965" s="3">
        <v>46233.65914210648</v>
      </c>
    </row>
    <row r="966" spans="1:15" ht="60" x14ac:dyDescent="0.25">
      <c r="A966" s="5" t="s">
        <v>3062</v>
      </c>
      <c r="B966" s="1" t="s">
        <v>8209</v>
      </c>
      <c r="C966" s="1">
        <v>1838</v>
      </c>
      <c r="E966" s="1">
        <v>1895</v>
      </c>
      <c r="G966" s="1" t="s">
        <v>10</v>
      </c>
      <c r="J966" s="3">
        <v>45902.569814814815</v>
      </c>
      <c r="K966" s="2" t="s">
        <v>8211</v>
      </c>
      <c r="L966" s="1">
        <v>1</v>
      </c>
      <c r="M966" s="1">
        <v>1</v>
      </c>
      <c r="N966" s="1">
        <v>0</v>
      </c>
      <c r="O966" s="3">
        <v>46233.65914210648</v>
      </c>
    </row>
    <row r="967" spans="1:15" ht="60" x14ac:dyDescent="0.25">
      <c r="A967" s="5" t="s">
        <v>3065</v>
      </c>
      <c r="B967" s="1" t="s">
        <v>8212</v>
      </c>
      <c r="C967" s="1" t="s">
        <v>12</v>
      </c>
      <c r="G967" s="1" t="s">
        <v>10</v>
      </c>
      <c r="J967" s="3">
        <v>45882.470254629632</v>
      </c>
      <c r="K967" s="2" t="s">
        <v>8213</v>
      </c>
      <c r="L967" s="1">
        <v>40</v>
      </c>
      <c r="M967" s="1">
        <v>54</v>
      </c>
      <c r="N967" s="1">
        <v>14</v>
      </c>
      <c r="O967" s="3">
        <v>46233.65914210648</v>
      </c>
    </row>
    <row r="968" spans="1:15" ht="75" x14ac:dyDescent="0.25">
      <c r="A968" s="5" t="s">
        <v>3068</v>
      </c>
      <c r="B968" s="1" t="s">
        <v>8214</v>
      </c>
      <c r="C968" s="1" t="s">
        <v>12</v>
      </c>
      <c r="G968" s="1" t="s">
        <v>10</v>
      </c>
      <c r="J968" s="3">
        <v>45923.604837962965</v>
      </c>
      <c r="K968" s="2" t="s">
        <v>8215</v>
      </c>
      <c r="L968" s="1">
        <v>7</v>
      </c>
      <c r="M968" s="1">
        <v>10</v>
      </c>
      <c r="N968" s="1">
        <v>3</v>
      </c>
      <c r="O968" s="3">
        <v>46233.65914210648</v>
      </c>
    </row>
    <row r="969" spans="1:15" ht="45" x14ac:dyDescent="0.25">
      <c r="A969" s="5" t="s">
        <v>3071</v>
      </c>
      <c r="B969" s="1" t="s">
        <v>8216</v>
      </c>
      <c r="C969" s="1">
        <v>1993</v>
      </c>
      <c r="G969" s="1" t="s">
        <v>11</v>
      </c>
      <c r="J969" s="3">
        <v>45897.583298611113</v>
      </c>
      <c r="K969" s="2" t="s">
        <v>8217</v>
      </c>
      <c r="L969" s="1">
        <v>1</v>
      </c>
      <c r="M969" s="1">
        <v>1</v>
      </c>
      <c r="N969" s="1">
        <v>0</v>
      </c>
      <c r="O969" s="3">
        <v>46233.65914210648</v>
      </c>
    </row>
    <row r="970" spans="1:15" ht="60" x14ac:dyDescent="0.25">
      <c r="A970" s="5" t="s">
        <v>3074</v>
      </c>
      <c r="B970" s="1" t="s">
        <v>8218</v>
      </c>
      <c r="C970" s="1" t="s">
        <v>12</v>
      </c>
      <c r="G970" s="1" t="s">
        <v>10</v>
      </c>
      <c r="J970" s="3">
        <v>45904.589178240742</v>
      </c>
      <c r="K970" s="2" t="s">
        <v>8219</v>
      </c>
      <c r="L970" s="1">
        <v>1</v>
      </c>
      <c r="M970" s="1">
        <v>1</v>
      </c>
      <c r="N970" s="1">
        <v>0</v>
      </c>
      <c r="O970" s="3">
        <v>46233.65914210648</v>
      </c>
    </row>
    <row r="971" spans="1:15" ht="75" x14ac:dyDescent="0.25">
      <c r="A971" s="5" t="s">
        <v>3077</v>
      </c>
      <c r="B971" s="1" t="s">
        <v>8220</v>
      </c>
      <c r="C971" s="1">
        <v>1973</v>
      </c>
      <c r="D971" s="1" t="s">
        <v>14</v>
      </c>
      <c r="G971" s="1" t="s">
        <v>10</v>
      </c>
      <c r="J971" s="3">
        <v>45885.417939814812</v>
      </c>
      <c r="K971" s="2" t="s">
        <v>8221</v>
      </c>
      <c r="L971" s="1">
        <v>19</v>
      </c>
      <c r="M971" s="1">
        <v>20</v>
      </c>
      <c r="N971" s="1">
        <v>1</v>
      </c>
      <c r="O971" s="3">
        <v>46233.65914210648</v>
      </c>
    </row>
    <row r="972" spans="1:15" ht="45" x14ac:dyDescent="0.25">
      <c r="A972" s="5" t="s">
        <v>3080</v>
      </c>
      <c r="B972" s="1" t="s">
        <v>8222</v>
      </c>
      <c r="C972" s="1" t="s">
        <v>12</v>
      </c>
      <c r="G972" s="1" t="s">
        <v>10</v>
      </c>
      <c r="J972" s="3">
        <v>45902.591874999998</v>
      </c>
      <c r="K972" s="2" t="s">
        <v>8223</v>
      </c>
      <c r="L972" s="1">
        <v>1</v>
      </c>
      <c r="M972" s="1">
        <v>1</v>
      </c>
      <c r="N972" s="1">
        <v>0</v>
      </c>
      <c r="O972" s="3">
        <v>46233.65914210648</v>
      </c>
    </row>
    <row r="973" spans="1:15" ht="75" x14ac:dyDescent="0.25">
      <c r="A973" s="5" t="s">
        <v>3083</v>
      </c>
      <c r="B973" s="1" t="s">
        <v>8224</v>
      </c>
      <c r="C973" s="1">
        <v>1973</v>
      </c>
      <c r="G973" s="1" t="s">
        <v>11</v>
      </c>
      <c r="J973" s="3">
        <v>45915.57576388889</v>
      </c>
      <c r="K973" s="2" t="s">
        <v>8225</v>
      </c>
      <c r="L973" s="1">
        <v>19</v>
      </c>
      <c r="M973" s="1">
        <v>84</v>
      </c>
      <c r="N973" s="1">
        <v>65</v>
      </c>
      <c r="O973" s="3">
        <v>46233.65914210648</v>
      </c>
    </row>
    <row r="974" spans="1:15" ht="75" x14ac:dyDescent="0.25">
      <c r="A974" s="5" t="s">
        <v>3086</v>
      </c>
      <c r="B974" s="1" t="s">
        <v>8226</v>
      </c>
      <c r="C974" s="1">
        <v>1971</v>
      </c>
      <c r="G974" s="1" t="s">
        <v>10</v>
      </c>
      <c r="J974" s="3">
        <v>45957.365127314813</v>
      </c>
      <c r="K974" s="2" t="s">
        <v>8227</v>
      </c>
      <c r="L974" s="1">
        <v>2</v>
      </c>
      <c r="M974" s="1">
        <v>2</v>
      </c>
      <c r="N974" s="1">
        <v>0</v>
      </c>
      <c r="O974" s="3">
        <v>46233.65914210648</v>
      </c>
    </row>
    <row r="975" spans="1:15" x14ac:dyDescent="0.25">
      <c r="A975" s="5" t="s">
        <v>3089</v>
      </c>
      <c r="B975" s="1" t="s">
        <v>8228</v>
      </c>
      <c r="C975" s="1">
        <v>1981</v>
      </c>
      <c r="J975" s="3">
        <v>45748.511678240742</v>
      </c>
      <c r="L975" s="1">
        <v>2</v>
      </c>
      <c r="M975" s="1">
        <v>2</v>
      </c>
      <c r="N975" s="1">
        <v>0</v>
      </c>
      <c r="O975" s="3">
        <v>46233.65914210648</v>
      </c>
    </row>
    <row r="976" spans="1:15" ht="270" x14ac:dyDescent="0.25">
      <c r="A976" s="5" t="s">
        <v>3092</v>
      </c>
      <c r="B976" s="1" t="s">
        <v>8229</v>
      </c>
      <c r="C976" s="1" t="s">
        <v>12</v>
      </c>
      <c r="D976" s="1" t="s">
        <v>14</v>
      </c>
      <c r="G976" s="1" t="s">
        <v>10</v>
      </c>
      <c r="H976" s="2" t="s">
        <v>10490</v>
      </c>
      <c r="I976" s="2" t="s">
        <v>8230</v>
      </c>
      <c r="J976" s="3">
        <v>45918.386979166666</v>
      </c>
      <c r="K976" s="2" t="s">
        <v>8231</v>
      </c>
      <c r="L976" s="1">
        <v>26</v>
      </c>
      <c r="M976" s="1">
        <v>36</v>
      </c>
      <c r="N976" s="1">
        <v>10</v>
      </c>
      <c r="O976" s="3">
        <v>46233.65914210648</v>
      </c>
    </row>
    <row r="977" spans="1:15" ht="120" x14ac:dyDescent="0.25">
      <c r="A977" s="5" t="s">
        <v>3095</v>
      </c>
      <c r="B977" s="1" t="s">
        <v>8232</v>
      </c>
      <c r="C977" s="1">
        <v>1932</v>
      </c>
      <c r="D977" s="1" t="s">
        <v>8234</v>
      </c>
      <c r="E977" s="1">
        <v>2024</v>
      </c>
      <c r="F977" s="1" t="s">
        <v>8235</v>
      </c>
      <c r="G977" s="1" t="s">
        <v>10</v>
      </c>
      <c r="J977" s="3">
        <v>46031.606504629628</v>
      </c>
      <c r="K977" s="2" t="s">
        <v>8236</v>
      </c>
      <c r="L977" s="1">
        <v>154</v>
      </c>
      <c r="M977" s="1">
        <v>158</v>
      </c>
      <c r="N977" s="1">
        <v>4</v>
      </c>
      <c r="O977" s="3">
        <v>46233.65914210648</v>
      </c>
    </row>
    <row r="978" spans="1:15" ht="45" x14ac:dyDescent="0.25">
      <c r="A978" s="5" t="s">
        <v>3098</v>
      </c>
      <c r="B978" s="1" t="s">
        <v>8237</v>
      </c>
      <c r="C978" s="1">
        <v>1989</v>
      </c>
      <c r="D978" s="1" t="s">
        <v>8238</v>
      </c>
      <c r="G978" s="1" t="s">
        <v>11</v>
      </c>
      <c r="J978" s="3">
        <v>45989.418217592596</v>
      </c>
      <c r="K978" s="2" t="s">
        <v>8239</v>
      </c>
      <c r="L978" s="1">
        <v>4</v>
      </c>
      <c r="M978" s="1">
        <v>5</v>
      </c>
      <c r="N978" s="1">
        <v>1</v>
      </c>
      <c r="O978" s="3">
        <v>46233.65914210648</v>
      </c>
    </row>
    <row r="979" spans="1:15" ht="45" x14ac:dyDescent="0.25">
      <c r="A979" s="5" t="s">
        <v>3101</v>
      </c>
      <c r="B979" s="1" t="s">
        <v>8240</v>
      </c>
      <c r="C979" s="1">
        <v>1992</v>
      </c>
      <c r="G979" s="1" t="s">
        <v>10</v>
      </c>
      <c r="J979" s="3">
        <v>45989.473402777781</v>
      </c>
      <c r="K979" s="2" t="s">
        <v>8241</v>
      </c>
      <c r="L979" s="1">
        <v>1</v>
      </c>
      <c r="M979" s="1">
        <v>1</v>
      </c>
      <c r="N979" s="1">
        <v>0</v>
      </c>
      <c r="O979" s="3">
        <v>46233.65914210648</v>
      </c>
    </row>
    <row r="980" spans="1:15" ht="30" x14ac:dyDescent="0.25">
      <c r="A980" s="5" t="s">
        <v>3104</v>
      </c>
      <c r="B980" s="1" t="s">
        <v>8242</v>
      </c>
      <c r="C980" s="1" t="s">
        <v>12</v>
      </c>
      <c r="G980" s="1" t="s">
        <v>10</v>
      </c>
      <c r="J980" s="3">
        <v>46045.334710648145</v>
      </c>
      <c r="K980" s="2" t="s">
        <v>8243</v>
      </c>
      <c r="L980" s="1">
        <v>2</v>
      </c>
      <c r="M980" s="1">
        <v>2</v>
      </c>
      <c r="N980" s="1">
        <v>0</v>
      </c>
      <c r="O980" s="3">
        <v>46233.65914210648</v>
      </c>
    </row>
    <row r="981" spans="1:15" ht="30" x14ac:dyDescent="0.25">
      <c r="A981" s="5" t="s">
        <v>3107</v>
      </c>
      <c r="B981" s="1" t="s">
        <v>8244</v>
      </c>
      <c r="C981" s="1" t="s">
        <v>12</v>
      </c>
      <c r="G981" s="1" t="s">
        <v>11</v>
      </c>
      <c r="J981" s="3">
        <v>46031.558159722219</v>
      </c>
      <c r="K981" s="2" t="s">
        <v>8245</v>
      </c>
      <c r="L981" s="1">
        <v>1</v>
      </c>
      <c r="M981" s="1">
        <v>1</v>
      </c>
      <c r="N981" s="1">
        <v>0</v>
      </c>
      <c r="O981" s="3">
        <v>46233.65914210648</v>
      </c>
    </row>
    <row r="982" spans="1:15" ht="30" x14ac:dyDescent="0.25">
      <c r="A982" s="5" t="s">
        <v>3110</v>
      </c>
      <c r="B982" s="1" t="s">
        <v>8246</v>
      </c>
      <c r="C982" s="1" t="s">
        <v>12</v>
      </c>
      <c r="G982" s="1" t="s">
        <v>10</v>
      </c>
      <c r="J982" s="3">
        <v>46043.574583333335</v>
      </c>
      <c r="K982" s="2" t="s">
        <v>8247</v>
      </c>
      <c r="L982" s="1">
        <v>1</v>
      </c>
      <c r="M982" s="1">
        <v>1</v>
      </c>
      <c r="N982" s="1">
        <v>0</v>
      </c>
      <c r="O982" s="3">
        <v>46233.65914210648</v>
      </c>
    </row>
    <row r="983" spans="1:15" ht="150" x14ac:dyDescent="0.25">
      <c r="A983" s="5" t="s">
        <v>3113</v>
      </c>
      <c r="B983" s="1" t="s">
        <v>8248</v>
      </c>
      <c r="C983" s="1" t="s">
        <v>12</v>
      </c>
      <c r="G983" s="1" t="s">
        <v>11</v>
      </c>
      <c r="J983" s="3">
        <v>46044.597060185188</v>
      </c>
      <c r="K983" s="2" t="s">
        <v>8249</v>
      </c>
      <c r="L983" s="1">
        <v>1</v>
      </c>
      <c r="M983" s="1">
        <v>1</v>
      </c>
      <c r="N983" s="1">
        <v>0</v>
      </c>
      <c r="O983" s="3">
        <v>46233.65914210648</v>
      </c>
    </row>
    <row r="984" spans="1:15" ht="105" x14ac:dyDescent="0.25">
      <c r="A984" s="5" t="s">
        <v>3116</v>
      </c>
      <c r="B984" s="1" t="s">
        <v>8250</v>
      </c>
      <c r="C984" s="1">
        <v>1832</v>
      </c>
      <c r="E984" s="1">
        <v>1892</v>
      </c>
      <c r="J984" s="3">
        <v>45961.464409722219</v>
      </c>
      <c r="K984" s="2" t="s">
        <v>8251</v>
      </c>
      <c r="L984" s="1">
        <v>5</v>
      </c>
      <c r="M984" s="1">
        <v>5</v>
      </c>
      <c r="N984" s="1">
        <v>0</v>
      </c>
      <c r="O984" s="3">
        <v>46233.65914210648</v>
      </c>
    </row>
    <row r="985" spans="1:15" ht="45" x14ac:dyDescent="0.25">
      <c r="A985" s="5" t="s">
        <v>3119</v>
      </c>
      <c r="B985" s="1" t="s">
        <v>8252</v>
      </c>
      <c r="C985" s="1">
        <v>1986</v>
      </c>
      <c r="G985" s="1" t="s">
        <v>11</v>
      </c>
      <c r="J985" s="3">
        <v>45987.58121527778</v>
      </c>
      <c r="K985" s="2" t="s">
        <v>8253</v>
      </c>
      <c r="L985" s="1">
        <v>6</v>
      </c>
      <c r="M985" s="1">
        <v>7</v>
      </c>
      <c r="N985" s="1">
        <v>1</v>
      </c>
      <c r="O985" s="3">
        <v>46233.65914210648</v>
      </c>
    </row>
    <row r="986" spans="1:15" x14ac:dyDescent="0.25">
      <c r="A986" s="5" t="s">
        <v>3122</v>
      </c>
      <c r="B986" s="1" t="s">
        <v>8254</v>
      </c>
      <c r="C986" s="1" t="s">
        <v>12</v>
      </c>
      <c r="G986" s="1" t="s">
        <v>11</v>
      </c>
      <c r="J986" s="3">
        <v>45987.549143518518</v>
      </c>
      <c r="K986" s="2" t="s">
        <v>8255</v>
      </c>
      <c r="L986" s="1">
        <v>1</v>
      </c>
      <c r="M986" s="1">
        <v>1</v>
      </c>
      <c r="N986" s="1">
        <v>0</v>
      </c>
      <c r="O986" s="3">
        <v>46233.65914210648</v>
      </c>
    </row>
    <row r="987" spans="1:15" ht="90" x14ac:dyDescent="0.25">
      <c r="A987" s="5" t="s">
        <v>3125</v>
      </c>
      <c r="B987" s="1" t="s">
        <v>8256</v>
      </c>
      <c r="C987" s="1">
        <v>1976</v>
      </c>
      <c r="D987" s="1" t="s">
        <v>8257</v>
      </c>
      <c r="G987" s="1" t="s">
        <v>11</v>
      </c>
      <c r="J987" s="3">
        <v>46035.471273148149</v>
      </c>
      <c r="K987" s="2" t="s">
        <v>8258</v>
      </c>
      <c r="L987" s="1">
        <v>24</v>
      </c>
      <c r="M987" s="1">
        <v>25</v>
      </c>
      <c r="N987" s="1">
        <v>1</v>
      </c>
      <c r="O987" s="3">
        <v>46233.65914210648</v>
      </c>
    </row>
    <row r="988" spans="1:15" x14ac:dyDescent="0.25">
      <c r="A988" s="5" t="s">
        <v>3128</v>
      </c>
      <c r="B988" s="1" t="s">
        <v>8259</v>
      </c>
      <c r="C988" s="1" t="s">
        <v>12</v>
      </c>
      <c r="G988" s="1" t="s">
        <v>11</v>
      </c>
      <c r="J988" s="3">
        <v>45959.454282407409</v>
      </c>
      <c r="K988" s="2" t="s">
        <v>6369</v>
      </c>
      <c r="L988" s="1">
        <v>7</v>
      </c>
      <c r="M988" s="1">
        <v>8</v>
      </c>
      <c r="N988" s="1">
        <v>1</v>
      </c>
      <c r="O988" s="3">
        <v>46233.65914210648</v>
      </c>
    </row>
    <row r="989" spans="1:15" ht="75" x14ac:dyDescent="0.25">
      <c r="A989" s="5" t="s">
        <v>3131</v>
      </c>
      <c r="B989" s="1" t="s">
        <v>8260</v>
      </c>
      <c r="C989" s="1" t="s">
        <v>152</v>
      </c>
      <c r="E989" s="1" t="s">
        <v>12</v>
      </c>
      <c r="J989" s="3">
        <v>45965.416192129633</v>
      </c>
      <c r="K989" s="2" t="s">
        <v>8261</v>
      </c>
      <c r="L989" s="1">
        <v>2</v>
      </c>
      <c r="M989" s="1">
        <v>2</v>
      </c>
      <c r="N989" s="1">
        <v>0</v>
      </c>
      <c r="O989" s="3">
        <v>46233.65914210648</v>
      </c>
    </row>
    <row r="990" spans="1:15" x14ac:dyDescent="0.25">
      <c r="A990" s="5" t="s">
        <v>3134</v>
      </c>
      <c r="B990" s="1" t="s">
        <v>8262</v>
      </c>
      <c r="C990" s="1" t="s">
        <v>152</v>
      </c>
      <c r="E990" s="1" t="s">
        <v>152</v>
      </c>
      <c r="J990" s="3">
        <v>45961.39435185185</v>
      </c>
      <c r="K990" s="2" t="s">
        <v>8263</v>
      </c>
      <c r="L990" s="1">
        <v>4</v>
      </c>
      <c r="M990" s="1">
        <v>4</v>
      </c>
      <c r="N990" s="1">
        <v>0</v>
      </c>
      <c r="O990" s="3">
        <v>46233.65914210648</v>
      </c>
    </row>
    <row r="991" spans="1:15" ht="225" x14ac:dyDescent="0.25">
      <c r="A991" s="5" t="s">
        <v>3137</v>
      </c>
      <c r="B991" s="1" t="s">
        <v>8264</v>
      </c>
      <c r="C991" s="1">
        <v>1535</v>
      </c>
      <c r="E991" s="1">
        <v>1856</v>
      </c>
      <c r="J991" s="3">
        <v>46045.799386574072</v>
      </c>
      <c r="K991" s="2" t="s">
        <v>8267</v>
      </c>
      <c r="L991" s="1">
        <v>30</v>
      </c>
      <c r="M991" s="1">
        <v>39</v>
      </c>
      <c r="N991" s="1">
        <v>9</v>
      </c>
      <c r="O991" s="3">
        <v>46233.65914210648</v>
      </c>
    </row>
    <row r="992" spans="1:15" x14ac:dyDescent="0.25">
      <c r="A992" s="5" t="s">
        <v>3140</v>
      </c>
      <c r="B992" s="1" t="s">
        <v>8268</v>
      </c>
      <c r="C992" s="1" t="s">
        <v>152</v>
      </c>
      <c r="E992" s="1" t="s">
        <v>152</v>
      </c>
      <c r="J992" s="3">
        <v>45961.545185185183</v>
      </c>
      <c r="K992" s="2" t="s">
        <v>8263</v>
      </c>
      <c r="L992" s="1">
        <v>1</v>
      </c>
      <c r="M992" s="1">
        <v>1</v>
      </c>
      <c r="N992" s="1">
        <v>0</v>
      </c>
      <c r="O992" s="3">
        <v>46233.65914210648</v>
      </c>
    </row>
    <row r="993" spans="1:15" ht="60" x14ac:dyDescent="0.25">
      <c r="A993" s="5" t="s">
        <v>3143</v>
      </c>
      <c r="B993" s="1" t="s">
        <v>8269</v>
      </c>
      <c r="C993" s="1" t="s">
        <v>12</v>
      </c>
      <c r="G993" s="1" t="s">
        <v>10</v>
      </c>
      <c r="J993" s="3">
        <v>46056.445474537039</v>
      </c>
      <c r="K993" s="2" t="s">
        <v>8270</v>
      </c>
      <c r="L993" s="1">
        <v>7</v>
      </c>
      <c r="M993" s="1">
        <v>7</v>
      </c>
      <c r="N993" s="1">
        <v>0</v>
      </c>
      <c r="O993" s="3">
        <v>46233.65914210648</v>
      </c>
    </row>
    <row r="994" spans="1:15" ht="90" x14ac:dyDescent="0.25">
      <c r="A994" s="5" t="s">
        <v>3146</v>
      </c>
      <c r="B994" s="1" t="s">
        <v>8271</v>
      </c>
      <c r="C994" s="1">
        <v>1984</v>
      </c>
      <c r="J994" s="3">
        <v>46051.530995370369</v>
      </c>
      <c r="K994" s="2" t="s">
        <v>8272</v>
      </c>
      <c r="L994" s="1">
        <v>1</v>
      </c>
      <c r="M994" s="1">
        <v>1</v>
      </c>
      <c r="N994" s="1">
        <v>0</v>
      </c>
      <c r="O994" s="3">
        <v>46233.65914210648</v>
      </c>
    </row>
    <row r="995" spans="1:15" ht="105" x14ac:dyDescent="0.25">
      <c r="A995" s="5" t="s">
        <v>3149</v>
      </c>
      <c r="B995" s="1" t="s">
        <v>8273</v>
      </c>
      <c r="C995" s="1">
        <v>1882</v>
      </c>
      <c r="E995" s="1">
        <v>1968</v>
      </c>
      <c r="G995" s="1" t="s">
        <v>10</v>
      </c>
      <c r="J995" s="3">
        <v>46044.606979166667</v>
      </c>
      <c r="K995" s="2" t="s">
        <v>8274</v>
      </c>
      <c r="L995" s="1">
        <v>41</v>
      </c>
      <c r="M995" s="1">
        <v>41</v>
      </c>
      <c r="N995" s="1">
        <v>0</v>
      </c>
      <c r="O995" s="3">
        <v>46233.65914210648</v>
      </c>
    </row>
    <row r="996" spans="1:15" x14ac:dyDescent="0.25">
      <c r="A996" s="5" t="s">
        <v>3152</v>
      </c>
      <c r="B996" s="1" t="s">
        <v>8275</v>
      </c>
      <c r="C996" s="1">
        <v>1990</v>
      </c>
      <c r="G996" s="1" t="s">
        <v>11</v>
      </c>
      <c r="J996" s="3">
        <v>46001.615023148152</v>
      </c>
      <c r="K996" s="2" t="s">
        <v>8276</v>
      </c>
      <c r="L996" s="1">
        <v>1</v>
      </c>
      <c r="M996" s="1">
        <v>1</v>
      </c>
      <c r="N996" s="1">
        <v>0</v>
      </c>
      <c r="O996" s="3">
        <v>46233.65914210648</v>
      </c>
    </row>
    <row r="997" spans="1:15" ht="30" x14ac:dyDescent="0.25">
      <c r="A997" s="5" t="s">
        <v>3155</v>
      </c>
      <c r="B997" s="1" t="s">
        <v>8277</v>
      </c>
      <c r="J997" s="3">
        <v>46042.661481481482</v>
      </c>
      <c r="K997" s="2" t="s">
        <v>8278</v>
      </c>
      <c r="L997" s="1">
        <v>41</v>
      </c>
      <c r="M997" s="1">
        <v>41</v>
      </c>
      <c r="N997" s="1">
        <v>0</v>
      </c>
      <c r="O997" s="3">
        <v>46233.65914210648</v>
      </c>
    </row>
    <row r="998" spans="1:15" ht="105" x14ac:dyDescent="0.25">
      <c r="A998" s="5" t="s">
        <v>3158</v>
      </c>
      <c r="B998" s="1" t="s">
        <v>8279</v>
      </c>
      <c r="C998" s="1">
        <v>1982</v>
      </c>
      <c r="J998" s="3">
        <v>46001.666944444441</v>
      </c>
      <c r="K998" s="2" t="s">
        <v>8280</v>
      </c>
      <c r="L998" s="1">
        <v>1</v>
      </c>
      <c r="M998" s="1">
        <v>1</v>
      </c>
      <c r="N998" s="1">
        <v>0</v>
      </c>
      <c r="O998" s="3">
        <v>46233.65914210648</v>
      </c>
    </row>
    <row r="999" spans="1:15" ht="60" x14ac:dyDescent="0.25">
      <c r="A999" s="5" t="s">
        <v>3161</v>
      </c>
      <c r="B999" s="1" t="s">
        <v>8281</v>
      </c>
      <c r="C999" s="1" t="s">
        <v>12</v>
      </c>
      <c r="G999" s="1" t="s">
        <v>10</v>
      </c>
      <c r="J999" s="3">
        <v>46051.685023148151</v>
      </c>
      <c r="K999" s="2" t="s">
        <v>8282</v>
      </c>
      <c r="L999" s="1">
        <v>40</v>
      </c>
      <c r="M999" s="1">
        <v>41</v>
      </c>
      <c r="N999" s="1">
        <v>1</v>
      </c>
      <c r="O999" s="3">
        <v>46233.65914210648</v>
      </c>
    </row>
    <row r="1000" spans="1:15" ht="45" x14ac:dyDescent="0.25">
      <c r="A1000" s="5" t="s">
        <v>3164</v>
      </c>
      <c r="B1000" s="1" t="s">
        <v>8283</v>
      </c>
      <c r="C1000" s="1">
        <v>1988</v>
      </c>
      <c r="D1000" s="1" t="s">
        <v>160</v>
      </c>
      <c r="G1000" s="1" t="s">
        <v>11</v>
      </c>
      <c r="J1000" s="3">
        <v>45994.443773148145</v>
      </c>
      <c r="K1000" s="2" t="s">
        <v>8284</v>
      </c>
      <c r="L1000" s="1">
        <v>16</v>
      </c>
      <c r="M1000" s="1">
        <v>21</v>
      </c>
      <c r="N1000" s="1">
        <v>5</v>
      </c>
      <c r="O1000" s="3">
        <v>46233.65914210648</v>
      </c>
    </row>
    <row r="1001" spans="1:15" ht="30" x14ac:dyDescent="0.25">
      <c r="A1001" s="5" t="s">
        <v>3167</v>
      </c>
      <c r="B1001" s="1" t="s">
        <v>8285</v>
      </c>
      <c r="J1001" s="3">
        <v>46038.672048611108</v>
      </c>
      <c r="K1001" s="2" t="s">
        <v>8286</v>
      </c>
      <c r="L1001" s="1">
        <v>355</v>
      </c>
      <c r="M1001" s="1">
        <v>444</v>
      </c>
      <c r="N1001" s="1">
        <v>89</v>
      </c>
      <c r="O1001" s="3">
        <v>46233.65914210648</v>
      </c>
    </row>
    <row r="1002" spans="1:15" ht="270" x14ac:dyDescent="0.25">
      <c r="A1002" s="5" t="s">
        <v>3170</v>
      </c>
      <c r="B1002" s="1" t="s">
        <v>8287</v>
      </c>
      <c r="C1002" s="1">
        <v>2000</v>
      </c>
      <c r="J1002" s="3">
        <v>46041.613900462966</v>
      </c>
      <c r="K1002" s="2" t="s">
        <v>8288</v>
      </c>
      <c r="L1002" s="1">
        <v>57</v>
      </c>
      <c r="M1002" s="1">
        <v>59</v>
      </c>
      <c r="N1002" s="1">
        <v>2</v>
      </c>
      <c r="O1002" s="3">
        <v>46233.65914210648</v>
      </c>
    </row>
    <row r="1003" spans="1:15" ht="135" x14ac:dyDescent="0.25">
      <c r="A1003" s="5" t="s">
        <v>3173</v>
      </c>
      <c r="B1003" s="1" t="s">
        <v>8289</v>
      </c>
      <c r="C1003" s="1">
        <v>1951</v>
      </c>
      <c r="G1003" s="1" t="s">
        <v>10</v>
      </c>
      <c r="J1003" s="3">
        <v>45994.41202546296</v>
      </c>
      <c r="K1003" s="2" t="s">
        <v>8290</v>
      </c>
      <c r="L1003" s="1">
        <v>1</v>
      </c>
      <c r="M1003" s="1">
        <v>2</v>
      </c>
      <c r="N1003" s="1">
        <v>1</v>
      </c>
      <c r="O1003" s="3">
        <v>46233.65914210648</v>
      </c>
    </row>
    <row r="1004" spans="1:15" ht="30" x14ac:dyDescent="0.25">
      <c r="A1004" s="5" t="s">
        <v>3176</v>
      </c>
      <c r="B1004" s="1" t="s">
        <v>8291</v>
      </c>
      <c r="C1004" s="1">
        <v>1991</v>
      </c>
      <c r="G1004" s="1" t="s">
        <v>10</v>
      </c>
      <c r="H1004" s="2" t="s">
        <v>140</v>
      </c>
      <c r="J1004" s="3">
        <v>45981.902708333335</v>
      </c>
      <c r="K1004" s="2" t="s">
        <v>8292</v>
      </c>
      <c r="L1004" s="1">
        <v>2</v>
      </c>
      <c r="M1004" s="1">
        <v>47</v>
      </c>
      <c r="N1004" s="1">
        <v>45</v>
      </c>
      <c r="O1004" s="3">
        <v>46233.65914210648</v>
      </c>
    </row>
    <row r="1005" spans="1:15" x14ac:dyDescent="0.25">
      <c r="A1005" s="5" t="s">
        <v>3179</v>
      </c>
      <c r="B1005" s="1" t="s">
        <v>8293</v>
      </c>
      <c r="C1005" s="1">
        <v>1978</v>
      </c>
      <c r="G1005" s="1" t="s">
        <v>11</v>
      </c>
      <c r="J1005" s="3">
        <v>45989.382696759261</v>
      </c>
      <c r="K1005" s="2" t="s">
        <v>8294</v>
      </c>
      <c r="L1005" s="1">
        <v>1</v>
      </c>
      <c r="M1005" s="1">
        <v>1</v>
      </c>
      <c r="N1005" s="1">
        <v>0</v>
      </c>
      <c r="O1005" s="3">
        <v>46233.65914210648</v>
      </c>
    </row>
    <row r="1006" spans="1:15" ht="105" x14ac:dyDescent="0.25">
      <c r="A1006" s="5" t="s">
        <v>3182</v>
      </c>
      <c r="B1006" s="1" t="s">
        <v>8295</v>
      </c>
      <c r="C1006" s="1" t="s">
        <v>12</v>
      </c>
      <c r="G1006" s="1" t="s">
        <v>10</v>
      </c>
      <c r="J1006" s="3">
        <v>46055.535081018519</v>
      </c>
      <c r="K1006" s="2" t="s">
        <v>8296</v>
      </c>
      <c r="L1006" s="1">
        <v>35</v>
      </c>
      <c r="M1006" s="1">
        <v>39</v>
      </c>
      <c r="N1006" s="1">
        <v>4</v>
      </c>
      <c r="O1006" s="3">
        <v>46233.65914210648</v>
      </c>
    </row>
    <row r="1007" spans="1:15" x14ac:dyDescent="0.25">
      <c r="A1007" s="5" t="s">
        <v>3185</v>
      </c>
      <c r="B1007" s="1" t="s">
        <v>8297</v>
      </c>
      <c r="C1007" s="1">
        <v>1920</v>
      </c>
      <c r="J1007" s="3">
        <v>45783.501608796294</v>
      </c>
      <c r="L1007" s="1">
        <v>1</v>
      </c>
      <c r="M1007" s="1">
        <v>1</v>
      </c>
      <c r="N1007" s="1">
        <v>0</v>
      </c>
      <c r="O1007" s="3">
        <v>46233.65914210648</v>
      </c>
    </row>
    <row r="1008" spans="1:15" ht="150" x14ac:dyDescent="0.25">
      <c r="A1008" s="5" t="s">
        <v>3188</v>
      </c>
      <c r="B1008" s="1" t="s">
        <v>8298</v>
      </c>
      <c r="C1008" s="1" t="s">
        <v>12</v>
      </c>
      <c r="G1008" s="1" t="s">
        <v>10</v>
      </c>
      <c r="J1008" s="3">
        <v>46042.647106481483</v>
      </c>
      <c r="K1008" s="2" t="s">
        <v>8299</v>
      </c>
      <c r="L1008" s="1">
        <v>1</v>
      </c>
      <c r="M1008" s="1">
        <v>1</v>
      </c>
      <c r="N1008" s="1">
        <v>0</v>
      </c>
      <c r="O1008" s="3">
        <v>46233.65914210648</v>
      </c>
    </row>
    <row r="1009" spans="1:15" ht="150" x14ac:dyDescent="0.25">
      <c r="A1009" s="5" t="s">
        <v>3191</v>
      </c>
      <c r="B1009" s="1" t="s">
        <v>8300</v>
      </c>
      <c r="C1009" s="1">
        <v>1903</v>
      </c>
      <c r="D1009" s="1" t="s">
        <v>8301</v>
      </c>
      <c r="E1009" s="1">
        <v>1997</v>
      </c>
      <c r="F1009" s="1" t="s">
        <v>8302</v>
      </c>
      <c r="G1009" s="1" t="s">
        <v>11</v>
      </c>
      <c r="J1009" s="3">
        <v>46057.476458333331</v>
      </c>
      <c r="K1009" s="2" t="s">
        <v>8303</v>
      </c>
      <c r="L1009" s="1">
        <v>161</v>
      </c>
      <c r="M1009" s="1">
        <v>192</v>
      </c>
      <c r="N1009" s="1">
        <v>31</v>
      </c>
      <c r="O1009" s="3">
        <v>46233.65914210648</v>
      </c>
    </row>
    <row r="1010" spans="1:15" ht="30" x14ac:dyDescent="0.25">
      <c r="A1010" s="5" t="s">
        <v>3194</v>
      </c>
      <c r="B1010" s="1" t="s">
        <v>8304</v>
      </c>
      <c r="C1010" s="1">
        <v>1853</v>
      </c>
      <c r="D1010" s="1" t="s">
        <v>7857</v>
      </c>
      <c r="E1010" s="1">
        <v>1918</v>
      </c>
      <c r="F1010" s="1" t="s">
        <v>14</v>
      </c>
      <c r="G1010" s="1" t="s">
        <v>10</v>
      </c>
      <c r="I1010" s="2" t="s">
        <v>140</v>
      </c>
      <c r="J1010" s="3">
        <v>46057.488310185188</v>
      </c>
      <c r="K1010" s="2" t="s">
        <v>8305</v>
      </c>
      <c r="L1010" s="1">
        <v>481</v>
      </c>
      <c r="M1010" s="1">
        <v>514</v>
      </c>
      <c r="N1010" s="1">
        <v>33</v>
      </c>
      <c r="O1010" s="3">
        <v>46233.65914210648</v>
      </c>
    </row>
    <row r="1011" spans="1:15" x14ac:dyDescent="0.25">
      <c r="A1011" s="5" t="s">
        <v>3197</v>
      </c>
      <c r="B1011" s="1" t="s">
        <v>8306</v>
      </c>
      <c r="C1011" s="1">
        <v>2023</v>
      </c>
      <c r="J1011" s="3">
        <v>45785.468981481485</v>
      </c>
      <c r="L1011" s="1">
        <v>1</v>
      </c>
      <c r="M1011" s="1">
        <v>1</v>
      </c>
      <c r="N1011" s="1">
        <v>0</v>
      </c>
      <c r="O1011" s="3">
        <v>46233.65914210648</v>
      </c>
    </row>
    <row r="1012" spans="1:15" x14ac:dyDescent="0.25">
      <c r="A1012" s="5" t="s">
        <v>3200</v>
      </c>
      <c r="B1012" s="1" t="s">
        <v>8307</v>
      </c>
      <c r="C1012" s="1" t="s">
        <v>152</v>
      </c>
      <c r="E1012" s="1" t="s">
        <v>152</v>
      </c>
      <c r="J1012" s="3">
        <v>45961.48841435185</v>
      </c>
      <c r="K1012" s="2" t="s">
        <v>8263</v>
      </c>
      <c r="L1012" s="1">
        <v>1</v>
      </c>
      <c r="M1012" s="1">
        <v>1</v>
      </c>
      <c r="N1012" s="1">
        <v>0</v>
      </c>
      <c r="O1012" s="3">
        <v>46233.65914210648</v>
      </c>
    </row>
    <row r="1013" spans="1:15" x14ac:dyDescent="0.25">
      <c r="A1013" s="5" t="s">
        <v>3203</v>
      </c>
      <c r="B1013" s="1" t="s">
        <v>8308</v>
      </c>
      <c r="C1013" s="1" t="s">
        <v>152</v>
      </c>
      <c r="E1013" s="1" t="s">
        <v>152</v>
      </c>
      <c r="J1013" s="3">
        <v>45961.400706018518</v>
      </c>
      <c r="K1013" s="2" t="s">
        <v>8263</v>
      </c>
      <c r="L1013" s="1">
        <v>1</v>
      </c>
      <c r="M1013" s="1">
        <v>1</v>
      </c>
      <c r="N1013" s="1">
        <v>0</v>
      </c>
      <c r="O1013" s="3">
        <v>46233.65914210648</v>
      </c>
    </row>
    <row r="1014" spans="1:15" ht="45" x14ac:dyDescent="0.25">
      <c r="A1014" s="5" t="s">
        <v>3206</v>
      </c>
      <c r="B1014" s="1" t="s">
        <v>8309</v>
      </c>
      <c r="C1014" s="1">
        <v>1998</v>
      </c>
      <c r="G1014" s="1" t="s">
        <v>10</v>
      </c>
      <c r="J1014" s="3">
        <v>45989.400277777779</v>
      </c>
      <c r="K1014" s="2" t="s">
        <v>8310</v>
      </c>
      <c r="L1014" s="1">
        <v>2</v>
      </c>
      <c r="M1014" s="1">
        <v>2</v>
      </c>
      <c r="N1014" s="1">
        <v>0</v>
      </c>
      <c r="O1014" s="3">
        <v>46233.65914210648</v>
      </c>
    </row>
    <row r="1015" spans="1:15" ht="150" x14ac:dyDescent="0.25">
      <c r="A1015" s="5" t="s">
        <v>3209</v>
      </c>
      <c r="B1015" s="1" t="s">
        <v>8311</v>
      </c>
      <c r="C1015" s="1">
        <v>1623</v>
      </c>
      <c r="D1015" s="1" t="s">
        <v>14</v>
      </c>
      <c r="E1015" s="1">
        <v>1687</v>
      </c>
      <c r="F1015" s="1" t="s">
        <v>14</v>
      </c>
      <c r="I1015" s="2" t="s">
        <v>140</v>
      </c>
      <c r="J1015" s="3">
        <v>46057.487638888888</v>
      </c>
      <c r="K1015" s="2" t="s">
        <v>8314</v>
      </c>
      <c r="L1015" s="1">
        <v>105</v>
      </c>
      <c r="M1015" s="1">
        <v>112</v>
      </c>
      <c r="N1015" s="1">
        <v>7</v>
      </c>
      <c r="O1015" s="3">
        <v>46233.65914210648</v>
      </c>
    </row>
    <row r="1016" spans="1:15" ht="225" x14ac:dyDescent="0.25">
      <c r="A1016" s="5" t="s">
        <v>3212</v>
      </c>
      <c r="B1016" s="1" t="s">
        <v>8315</v>
      </c>
      <c r="C1016" s="1">
        <v>1854</v>
      </c>
      <c r="D1016" s="1" t="s">
        <v>14</v>
      </c>
      <c r="E1016" s="1">
        <v>1920</v>
      </c>
      <c r="F1016" s="1" t="s">
        <v>14</v>
      </c>
      <c r="G1016" s="1" t="s">
        <v>10</v>
      </c>
      <c r="H1016" s="2" t="s">
        <v>10491</v>
      </c>
      <c r="I1016" s="2" t="s">
        <v>140</v>
      </c>
      <c r="J1016" s="3">
        <v>46057.488321759258</v>
      </c>
      <c r="K1016" s="2" t="s">
        <v>8316</v>
      </c>
      <c r="L1016" s="1">
        <v>79</v>
      </c>
      <c r="M1016" s="1">
        <v>92</v>
      </c>
      <c r="N1016" s="1">
        <v>13</v>
      </c>
      <c r="O1016" s="3">
        <v>46233.65914210648</v>
      </c>
    </row>
    <row r="1017" spans="1:15" ht="210" x14ac:dyDescent="0.25">
      <c r="A1017" s="5" t="s">
        <v>3215</v>
      </c>
      <c r="B1017" s="1" t="s">
        <v>8317</v>
      </c>
      <c r="C1017" s="1">
        <v>1845</v>
      </c>
      <c r="D1017" s="1" t="s">
        <v>8318</v>
      </c>
      <c r="E1017" s="1">
        <v>1928</v>
      </c>
      <c r="F1017" s="1" t="s">
        <v>14</v>
      </c>
      <c r="G1017" s="1" t="s">
        <v>10</v>
      </c>
      <c r="H1017" s="2" t="s">
        <v>140</v>
      </c>
      <c r="J1017" s="3">
        <v>46057.487337962964</v>
      </c>
      <c r="K1017" s="2" t="s">
        <v>8319</v>
      </c>
      <c r="L1017" s="1">
        <v>21</v>
      </c>
      <c r="M1017" s="1">
        <v>35</v>
      </c>
      <c r="N1017" s="1">
        <v>14</v>
      </c>
      <c r="O1017" s="3">
        <v>46233.65914210648</v>
      </c>
    </row>
    <row r="1018" spans="1:15" ht="45" x14ac:dyDescent="0.25">
      <c r="A1018" s="5" t="s">
        <v>3218</v>
      </c>
      <c r="B1018" s="1" t="s">
        <v>8320</v>
      </c>
      <c r="C1018" s="1">
        <v>1999</v>
      </c>
      <c r="G1018" s="1" t="s">
        <v>10</v>
      </c>
      <c r="J1018" s="3">
        <v>45989.464386574073</v>
      </c>
      <c r="K1018" s="2" t="s">
        <v>8321</v>
      </c>
      <c r="L1018" s="1">
        <v>1</v>
      </c>
      <c r="M1018" s="1">
        <v>1</v>
      </c>
      <c r="N1018" s="1">
        <v>0</v>
      </c>
      <c r="O1018" s="3">
        <v>46233.65914210648</v>
      </c>
    </row>
    <row r="1019" spans="1:15" ht="45" x14ac:dyDescent="0.25">
      <c r="A1019" s="5" t="s">
        <v>3221</v>
      </c>
      <c r="B1019" s="1" t="s">
        <v>8322</v>
      </c>
      <c r="C1019" s="1">
        <v>1973</v>
      </c>
      <c r="D1019" s="1" t="s">
        <v>15</v>
      </c>
      <c r="G1019" s="1" t="s">
        <v>10</v>
      </c>
      <c r="J1019" s="3">
        <v>45994.360902777778</v>
      </c>
      <c r="K1019" s="2" t="s">
        <v>8323</v>
      </c>
      <c r="L1019" s="1">
        <v>1</v>
      </c>
      <c r="M1019" s="1">
        <v>2</v>
      </c>
      <c r="N1019" s="1">
        <v>1</v>
      </c>
      <c r="O1019" s="3">
        <v>46233.65914210648</v>
      </c>
    </row>
    <row r="1020" spans="1:15" ht="240" x14ac:dyDescent="0.25">
      <c r="A1020" s="5" t="s">
        <v>3224</v>
      </c>
      <c r="B1020" s="1" t="s">
        <v>8324</v>
      </c>
      <c r="C1020" s="1">
        <v>1950</v>
      </c>
      <c r="J1020" s="3">
        <v>46052.596631944441</v>
      </c>
      <c r="K1020" s="2" t="s">
        <v>8325</v>
      </c>
      <c r="L1020" s="1">
        <v>71</v>
      </c>
      <c r="M1020" s="1">
        <v>75</v>
      </c>
      <c r="N1020" s="1">
        <v>4</v>
      </c>
      <c r="O1020" s="3">
        <v>46233.65914210648</v>
      </c>
    </row>
    <row r="1021" spans="1:15" ht="30" x14ac:dyDescent="0.25">
      <c r="A1021" s="5" t="s">
        <v>3227</v>
      </c>
      <c r="B1021" s="1" t="s">
        <v>8326</v>
      </c>
      <c r="C1021" s="1">
        <v>1991</v>
      </c>
      <c r="D1021" s="1" t="s">
        <v>8327</v>
      </c>
      <c r="G1021" s="1" t="s">
        <v>10</v>
      </c>
      <c r="J1021" s="3">
        <v>45989.396886574075</v>
      </c>
      <c r="K1021" s="2" t="s">
        <v>8328</v>
      </c>
      <c r="L1021" s="1">
        <v>2</v>
      </c>
      <c r="M1021" s="1">
        <v>2</v>
      </c>
      <c r="N1021" s="1">
        <v>0</v>
      </c>
      <c r="O1021" s="3">
        <v>46233.65914210648</v>
      </c>
    </row>
    <row r="1022" spans="1:15" x14ac:dyDescent="0.25">
      <c r="A1022" s="5" t="s">
        <v>3230</v>
      </c>
      <c r="B1022" s="1" t="s">
        <v>8329</v>
      </c>
      <c r="C1022" s="1" t="s">
        <v>12</v>
      </c>
      <c r="G1022" s="1" t="s">
        <v>11</v>
      </c>
      <c r="J1022" s="3">
        <v>46037.500972222224</v>
      </c>
      <c r="K1022" s="2" t="s">
        <v>8330</v>
      </c>
      <c r="L1022" s="1">
        <v>1</v>
      </c>
      <c r="M1022" s="1">
        <v>1</v>
      </c>
      <c r="N1022" s="1">
        <v>0</v>
      </c>
      <c r="O1022" s="3">
        <v>46233.65914210648</v>
      </c>
    </row>
    <row r="1023" spans="1:15" ht="225" x14ac:dyDescent="0.25">
      <c r="A1023" s="5" t="s">
        <v>3233</v>
      </c>
      <c r="B1023" s="1" t="s">
        <v>8331</v>
      </c>
      <c r="C1023" s="1">
        <v>1856</v>
      </c>
      <c r="E1023" s="1">
        <v>1994</v>
      </c>
      <c r="J1023" s="3">
        <v>46045.634340277778</v>
      </c>
      <c r="K1023" s="2" t="s">
        <v>8332</v>
      </c>
      <c r="L1023" s="1">
        <v>62</v>
      </c>
      <c r="M1023" s="1">
        <v>68</v>
      </c>
      <c r="N1023" s="1">
        <v>6</v>
      </c>
      <c r="O1023" s="3">
        <v>46233.65914210648</v>
      </c>
    </row>
    <row r="1024" spans="1:15" ht="45" x14ac:dyDescent="0.25">
      <c r="A1024" s="5" t="s">
        <v>3236</v>
      </c>
      <c r="B1024" s="1" t="s">
        <v>8333</v>
      </c>
      <c r="C1024" s="1">
        <v>1898</v>
      </c>
      <c r="E1024" s="1">
        <v>1983</v>
      </c>
      <c r="G1024" s="1" t="s">
        <v>10</v>
      </c>
      <c r="J1024" s="3">
        <v>46043.74596064815</v>
      </c>
      <c r="K1024" s="2" t="s">
        <v>8334</v>
      </c>
      <c r="L1024" s="1">
        <v>43</v>
      </c>
      <c r="M1024" s="1">
        <v>43</v>
      </c>
      <c r="N1024" s="1">
        <v>0</v>
      </c>
      <c r="O1024" s="3">
        <v>46233.65914210648</v>
      </c>
    </row>
    <row r="1025" spans="1:15" ht="30" x14ac:dyDescent="0.25">
      <c r="A1025" s="5" t="s">
        <v>3239</v>
      </c>
      <c r="B1025" s="1" t="s">
        <v>8335</v>
      </c>
      <c r="C1025" s="1" t="s">
        <v>12</v>
      </c>
      <c r="G1025" s="1" t="s">
        <v>10</v>
      </c>
      <c r="J1025" s="3">
        <v>46056.452013888891</v>
      </c>
      <c r="K1025" s="2" t="s">
        <v>8336</v>
      </c>
      <c r="L1025" s="1">
        <v>31</v>
      </c>
      <c r="M1025" s="1">
        <v>33</v>
      </c>
      <c r="N1025" s="1">
        <v>2</v>
      </c>
      <c r="O1025" s="3">
        <v>46233.65914210648</v>
      </c>
    </row>
    <row r="1026" spans="1:15" ht="60" x14ac:dyDescent="0.25">
      <c r="A1026" s="5" t="s">
        <v>3242</v>
      </c>
      <c r="B1026" s="1" t="s">
        <v>8337</v>
      </c>
      <c r="C1026" s="1">
        <v>1985</v>
      </c>
      <c r="G1026" s="1" t="s">
        <v>11</v>
      </c>
      <c r="J1026" s="3">
        <v>45994.517928240741</v>
      </c>
      <c r="K1026" s="2" t="s">
        <v>8338</v>
      </c>
      <c r="L1026" s="1">
        <v>1</v>
      </c>
      <c r="M1026" s="1">
        <v>2</v>
      </c>
      <c r="N1026" s="1">
        <v>1</v>
      </c>
      <c r="O1026" s="3">
        <v>46233.65914210648</v>
      </c>
    </row>
    <row r="1027" spans="1:15" ht="45" x14ac:dyDescent="0.25">
      <c r="A1027" s="5" t="s">
        <v>3245</v>
      </c>
      <c r="B1027" s="1" t="s">
        <v>8339</v>
      </c>
      <c r="C1027" s="1" t="s">
        <v>12</v>
      </c>
      <c r="G1027" s="1" t="s">
        <v>11</v>
      </c>
      <c r="J1027" s="3">
        <v>45993.606400462966</v>
      </c>
      <c r="K1027" s="2" t="s">
        <v>8340</v>
      </c>
      <c r="L1027" s="1">
        <v>1</v>
      </c>
      <c r="M1027" s="1">
        <v>1</v>
      </c>
      <c r="N1027" s="1">
        <v>0</v>
      </c>
      <c r="O1027" s="3">
        <v>46233.65914210648</v>
      </c>
    </row>
    <row r="1028" spans="1:15" ht="30" x14ac:dyDescent="0.25">
      <c r="A1028" s="5" t="s">
        <v>3248</v>
      </c>
      <c r="B1028" s="1" t="s">
        <v>8341</v>
      </c>
      <c r="D1028" s="1" t="s">
        <v>14</v>
      </c>
      <c r="G1028" s="1" t="s">
        <v>10</v>
      </c>
      <c r="H1028" s="2" t="s">
        <v>140</v>
      </c>
      <c r="J1028" s="3">
        <v>45903.514282407406</v>
      </c>
      <c r="L1028" s="1">
        <v>8</v>
      </c>
      <c r="M1028" s="1">
        <v>15</v>
      </c>
      <c r="N1028" s="1">
        <v>7</v>
      </c>
      <c r="O1028" s="3">
        <v>46233.65914210648</v>
      </c>
    </row>
    <row r="1029" spans="1:15" ht="60" x14ac:dyDescent="0.25">
      <c r="A1029" s="5" t="s">
        <v>3251</v>
      </c>
      <c r="B1029" s="1" t="s">
        <v>8342</v>
      </c>
      <c r="C1029" s="1">
        <v>1888</v>
      </c>
      <c r="E1029" s="1">
        <v>1960</v>
      </c>
      <c r="G1029" s="1" t="s">
        <v>10</v>
      </c>
      <c r="J1029" s="3">
        <v>46041.68273148148</v>
      </c>
      <c r="K1029" s="2" t="s">
        <v>8343</v>
      </c>
      <c r="L1029" s="1">
        <v>48</v>
      </c>
      <c r="M1029" s="1">
        <v>48</v>
      </c>
      <c r="N1029" s="1">
        <v>0</v>
      </c>
      <c r="O1029" s="3">
        <v>46233.65914210648</v>
      </c>
    </row>
    <row r="1030" spans="1:15" ht="75" x14ac:dyDescent="0.25">
      <c r="A1030" s="5" t="s">
        <v>3254</v>
      </c>
      <c r="B1030" s="1" t="s">
        <v>8344</v>
      </c>
      <c r="D1030" s="1" t="s">
        <v>133</v>
      </c>
      <c r="J1030" s="3">
        <v>45963.382256944446</v>
      </c>
      <c r="K1030" s="2" t="s">
        <v>8345</v>
      </c>
      <c r="L1030" s="1">
        <v>7</v>
      </c>
      <c r="M1030" s="1">
        <v>7</v>
      </c>
      <c r="N1030" s="1">
        <v>0</v>
      </c>
      <c r="O1030" s="3">
        <v>46233.65914210648</v>
      </c>
    </row>
    <row r="1031" spans="1:15" x14ac:dyDescent="0.25">
      <c r="A1031" s="5" t="s">
        <v>3257</v>
      </c>
      <c r="B1031" s="1" t="s">
        <v>8346</v>
      </c>
      <c r="C1031" s="1">
        <v>1976</v>
      </c>
      <c r="J1031" s="3">
        <v>45797.465509259258</v>
      </c>
      <c r="L1031" s="1">
        <v>3</v>
      </c>
      <c r="M1031" s="1">
        <v>3</v>
      </c>
      <c r="N1031" s="1">
        <v>0</v>
      </c>
      <c r="O1031" s="3">
        <v>46233.65914210648</v>
      </c>
    </row>
    <row r="1032" spans="1:15" x14ac:dyDescent="0.25">
      <c r="A1032" s="5" t="s">
        <v>3260</v>
      </c>
      <c r="B1032" s="1" t="s">
        <v>8347</v>
      </c>
      <c r="C1032" s="1">
        <v>1682</v>
      </c>
      <c r="E1032" s="1">
        <v>1757</v>
      </c>
      <c r="G1032" s="1" t="s">
        <v>10</v>
      </c>
      <c r="J1032" s="3">
        <v>46055.551087962966</v>
      </c>
      <c r="K1032" s="2" t="s">
        <v>8350</v>
      </c>
      <c r="L1032" s="1">
        <v>35</v>
      </c>
      <c r="M1032" s="1">
        <v>35</v>
      </c>
      <c r="N1032" s="1">
        <v>0</v>
      </c>
      <c r="O1032" s="3">
        <v>46233.65914210648</v>
      </c>
    </row>
    <row r="1033" spans="1:15" ht="75" x14ac:dyDescent="0.25">
      <c r="A1033" s="5" t="s">
        <v>3263</v>
      </c>
      <c r="B1033" s="1" t="s">
        <v>8351</v>
      </c>
      <c r="C1033" s="1">
        <v>1939</v>
      </c>
      <c r="J1033" s="3">
        <v>46049.375960648147</v>
      </c>
      <c r="K1033" s="2" t="s">
        <v>8352</v>
      </c>
      <c r="L1033" s="1">
        <v>48</v>
      </c>
      <c r="M1033" s="1">
        <v>68</v>
      </c>
      <c r="N1033" s="1">
        <v>20</v>
      </c>
      <c r="O1033" s="3">
        <v>46233.65914210648</v>
      </c>
    </row>
    <row r="1034" spans="1:15" x14ac:dyDescent="0.25">
      <c r="A1034" s="5" t="s">
        <v>3266</v>
      </c>
      <c r="B1034" s="1" t="s">
        <v>8353</v>
      </c>
      <c r="C1034" s="1">
        <v>2015</v>
      </c>
      <c r="J1034" s="3">
        <v>45797.499166666668</v>
      </c>
      <c r="L1034" s="1">
        <v>1</v>
      </c>
      <c r="M1034" s="1">
        <v>1</v>
      </c>
      <c r="N1034" s="1">
        <v>0</v>
      </c>
      <c r="O1034" s="3">
        <v>46233.65914210648</v>
      </c>
    </row>
    <row r="1035" spans="1:15" ht="45" x14ac:dyDescent="0.25">
      <c r="A1035" s="5" t="s">
        <v>3269</v>
      </c>
      <c r="B1035" s="1" t="s">
        <v>8354</v>
      </c>
      <c r="C1035" s="1">
        <v>1994</v>
      </c>
      <c r="G1035" s="1" t="s">
        <v>10</v>
      </c>
      <c r="J1035" s="3">
        <v>45989.40792824074</v>
      </c>
      <c r="K1035" s="2" t="s">
        <v>8355</v>
      </c>
      <c r="L1035" s="1">
        <v>2</v>
      </c>
      <c r="M1035" s="1">
        <v>2</v>
      </c>
      <c r="N1035" s="1">
        <v>0</v>
      </c>
      <c r="O1035" s="3">
        <v>46233.65914210648</v>
      </c>
    </row>
    <row r="1036" spans="1:15" ht="135" x14ac:dyDescent="0.25">
      <c r="A1036" s="5" t="s">
        <v>3272</v>
      </c>
      <c r="B1036" s="1" t="s">
        <v>8356</v>
      </c>
      <c r="C1036" s="1">
        <v>1898</v>
      </c>
      <c r="J1036" s="3">
        <v>46052.735358796293</v>
      </c>
      <c r="K1036" s="2" t="s">
        <v>8357</v>
      </c>
      <c r="L1036" s="1">
        <v>15</v>
      </c>
      <c r="M1036" s="1">
        <v>17</v>
      </c>
      <c r="N1036" s="1">
        <v>2</v>
      </c>
      <c r="O1036" s="3">
        <v>46233.65914210648</v>
      </c>
    </row>
    <row r="1037" spans="1:15" ht="90" x14ac:dyDescent="0.25">
      <c r="A1037" s="5" t="s">
        <v>3275</v>
      </c>
      <c r="B1037" s="1" t="s">
        <v>8358</v>
      </c>
      <c r="C1037" s="1">
        <v>1978</v>
      </c>
      <c r="G1037" s="1" t="s">
        <v>10</v>
      </c>
      <c r="J1037" s="3">
        <v>45994.642256944448</v>
      </c>
      <c r="K1037" s="2" t="s">
        <v>8359</v>
      </c>
      <c r="L1037" s="1">
        <v>4</v>
      </c>
      <c r="M1037" s="1">
        <v>4</v>
      </c>
      <c r="N1037" s="1">
        <v>0</v>
      </c>
      <c r="O1037" s="3">
        <v>46233.65914210648</v>
      </c>
    </row>
    <row r="1038" spans="1:15" ht="45" x14ac:dyDescent="0.25">
      <c r="A1038" s="5" t="s">
        <v>3278</v>
      </c>
      <c r="B1038" s="1" t="s">
        <v>8360</v>
      </c>
      <c r="C1038" s="1" t="s">
        <v>12</v>
      </c>
      <c r="G1038" s="1" t="s">
        <v>11</v>
      </c>
      <c r="J1038" s="3">
        <v>46031.405729166669</v>
      </c>
      <c r="K1038" s="2" t="s">
        <v>8361</v>
      </c>
      <c r="L1038" s="1">
        <v>7</v>
      </c>
      <c r="M1038" s="1">
        <v>7</v>
      </c>
      <c r="N1038" s="1">
        <v>0</v>
      </c>
      <c r="O1038" s="3">
        <v>46233.65914210648</v>
      </c>
    </row>
    <row r="1039" spans="1:15" x14ac:dyDescent="0.25">
      <c r="A1039" s="5" t="s">
        <v>3281</v>
      </c>
      <c r="B1039" s="1" t="s">
        <v>8362</v>
      </c>
      <c r="C1039" s="1" t="s">
        <v>12</v>
      </c>
      <c r="G1039" s="1" t="s">
        <v>10</v>
      </c>
      <c r="J1039" s="3">
        <v>45989.323310185187</v>
      </c>
      <c r="K1039" s="2" t="s">
        <v>6438</v>
      </c>
      <c r="L1039" s="1">
        <v>1</v>
      </c>
      <c r="M1039" s="1">
        <v>1</v>
      </c>
      <c r="N1039" s="1">
        <v>0</v>
      </c>
      <c r="O1039" s="3">
        <v>46233.65914210648</v>
      </c>
    </row>
    <row r="1040" spans="1:15" ht="30" x14ac:dyDescent="0.25">
      <c r="A1040" s="5" t="s">
        <v>3284</v>
      </c>
      <c r="B1040" s="1" t="s">
        <v>8363</v>
      </c>
      <c r="C1040" s="1" t="s">
        <v>12</v>
      </c>
      <c r="G1040" s="1" t="s">
        <v>11</v>
      </c>
      <c r="J1040" s="3">
        <v>46038.593506944446</v>
      </c>
      <c r="K1040" s="2" t="s">
        <v>8364</v>
      </c>
      <c r="L1040" s="1">
        <v>1</v>
      </c>
      <c r="M1040" s="1">
        <v>1</v>
      </c>
      <c r="N1040" s="1">
        <v>0</v>
      </c>
      <c r="O1040" s="3">
        <v>46233.65914210648</v>
      </c>
    </row>
    <row r="1041" spans="1:15" ht="45" x14ac:dyDescent="0.25">
      <c r="A1041" s="5" t="s">
        <v>3287</v>
      </c>
      <c r="B1041" s="1" t="s">
        <v>8365</v>
      </c>
      <c r="C1041" s="1">
        <v>1993</v>
      </c>
      <c r="G1041" s="1" t="s">
        <v>11</v>
      </c>
      <c r="J1041" s="3">
        <v>45989.47216435185</v>
      </c>
      <c r="K1041" s="2" t="s">
        <v>8366</v>
      </c>
      <c r="L1041" s="1">
        <v>1</v>
      </c>
      <c r="M1041" s="1">
        <v>1</v>
      </c>
      <c r="N1041" s="1">
        <v>0</v>
      </c>
      <c r="O1041" s="3">
        <v>46233.65914210648</v>
      </c>
    </row>
    <row r="1042" spans="1:15" ht="135" x14ac:dyDescent="0.25">
      <c r="A1042" s="5" t="s">
        <v>3290</v>
      </c>
      <c r="B1042" s="1" t="s">
        <v>8367</v>
      </c>
      <c r="C1042" s="1">
        <v>1879</v>
      </c>
      <c r="E1042" s="1">
        <v>1965</v>
      </c>
      <c r="G1042" s="1" t="s">
        <v>10</v>
      </c>
      <c r="J1042" s="3">
        <v>46051.67324074074</v>
      </c>
      <c r="K1042" s="2" t="s">
        <v>8369</v>
      </c>
      <c r="L1042" s="1">
        <v>1</v>
      </c>
      <c r="M1042" s="1">
        <v>1</v>
      </c>
      <c r="N1042" s="1">
        <v>0</v>
      </c>
      <c r="O1042" s="3">
        <v>46233.65914210648</v>
      </c>
    </row>
    <row r="1043" spans="1:15" ht="30" x14ac:dyDescent="0.25">
      <c r="A1043" s="5" t="s">
        <v>3293</v>
      </c>
      <c r="B1043" s="1" t="s">
        <v>8370</v>
      </c>
      <c r="C1043" s="1">
        <v>1777</v>
      </c>
      <c r="D1043" s="1" t="s">
        <v>14</v>
      </c>
      <c r="E1043" s="1">
        <v>1857</v>
      </c>
      <c r="F1043" s="1" t="s">
        <v>14</v>
      </c>
      <c r="G1043" s="1" t="s">
        <v>10</v>
      </c>
      <c r="J1043" s="3">
        <v>46057.472916666666</v>
      </c>
      <c r="K1043" s="2" t="s">
        <v>8373</v>
      </c>
      <c r="L1043" s="1">
        <v>22</v>
      </c>
      <c r="M1043" s="1">
        <v>24</v>
      </c>
      <c r="N1043" s="1">
        <v>2</v>
      </c>
      <c r="O1043" s="3">
        <v>46233.65914210648</v>
      </c>
    </row>
    <row r="1044" spans="1:15" ht="150" x14ac:dyDescent="0.25">
      <c r="A1044" s="5" t="s">
        <v>3296</v>
      </c>
      <c r="B1044" s="1" t="s">
        <v>8374</v>
      </c>
      <c r="C1044" s="1">
        <v>1901</v>
      </c>
      <c r="D1044" s="1" t="s">
        <v>8375</v>
      </c>
      <c r="E1044" s="1">
        <v>1998</v>
      </c>
      <c r="F1044" s="1" t="s">
        <v>8376</v>
      </c>
      <c r="G1044" s="1" t="s">
        <v>11</v>
      </c>
      <c r="J1044" s="3">
        <v>46057.488333333335</v>
      </c>
      <c r="K1044" s="2" t="s">
        <v>8377</v>
      </c>
      <c r="L1044" s="1">
        <v>95</v>
      </c>
      <c r="M1044" s="1">
        <v>104</v>
      </c>
      <c r="N1044" s="1">
        <v>9</v>
      </c>
      <c r="O1044" s="3">
        <v>46233.65914210648</v>
      </c>
    </row>
    <row r="1045" spans="1:15" ht="75" x14ac:dyDescent="0.25">
      <c r="A1045" s="5" t="s">
        <v>3299</v>
      </c>
      <c r="B1045" s="1" t="s">
        <v>8378</v>
      </c>
      <c r="C1045" s="1">
        <v>1987</v>
      </c>
      <c r="G1045" s="1" t="s">
        <v>11</v>
      </c>
      <c r="J1045" s="3">
        <v>45994.535196759258</v>
      </c>
      <c r="K1045" s="2" t="s">
        <v>8379</v>
      </c>
      <c r="L1045" s="1">
        <v>6</v>
      </c>
      <c r="M1045" s="1">
        <v>6</v>
      </c>
      <c r="N1045" s="1">
        <v>0</v>
      </c>
      <c r="O1045" s="3">
        <v>46233.65914210648</v>
      </c>
    </row>
    <row r="1046" spans="1:15" ht="45" x14ac:dyDescent="0.25">
      <c r="A1046" s="5" t="s">
        <v>3302</v>
      </c>
      <c r="B1046" s="1" t="s">
        <v>8380</v>
      </c>
      <c r="C1046" s="1">
        <v>1814</v>
      </c>
      <c r="J1046" s="3">
        <v>46037.747071759259</v>
      </c>
      <c r="K1046" s="2" t="s">
        <v>8382</v>
      </c>
      <c r="L1046" s="1">
        <v>540</v>
      </c>
      <c r="M1046" s="1">
        <v>746</v>
      </c>
      <c r="N1046" s="1">
        <v>206</v>
      </c>
      <c r="O1046" s="3">
        <v>46233.65914210648</v>
      </c>
    </row>
    <row r="1047" spans="1:15" x14ac:dyDescent="0.25">
      <c r="A1047" s="5" t="s">
        <v>3305</v>
      </c>
      <c r="B1047" s="1" t="s">
        <v>8383</v>
      </c>
      <c r="C1047" s="1">
        <v>1967</v>
      </c>
      <c r="D1047" s="1" t="s">
        <v>6462</v>
      </c>
      <c r="G1047" s="1" t="s">
        <v>11</v>
      </c>
      <c r="J1047" s="3">
        <v>45987.531168981484</v>
      </c>
      <c r="K1047" s="2" t="s">
        <v>6438</v>
      </c>
      <c r="L1047" s="1">
        <v>7</v>
      </c>
      <c r="M1047" s="1">
        <v>8</v>
      </c>
      <c r="N1047" s="1">
        <v>1</v>
      </c>
      <c r="O1047" s="3">
        <v>46233.65914210648</v>
      </c>
    </row>
    <row r="1048" spans="1:15" ht="60" x14ac:dyDescent="0.25">
      <c r="A1048" s="5" t="s">
        <v>3308</v>
      </c>
      <c r="B1048" s="1" t="s">
        <v>8384</v>
      </c>
      <c r="C1048" s="1">
        <v>1964</v>
      </c>
      <c r="J1048" s="3">
        <v>46051.603796296295</v>
      </c>
      <c r="K1048" s="2" t="s">
        <v>8385</v>
      </c>
      <c r="L1048" s="1">
        <v>3</v>
      </c>
      <c r="M1048" s="1">
        <v>3</v>
      </c>
      <c r="N1048" s="1">
        <v>0</v>
      </c>
      <c r="O1048" s="3">
        <v>46233.65914210648</v>
      </c>
    </row>
    <row r="1049" spans="1:15" ht="225" x14ac:dyDescent="0.25">
      <c r="A1049" s="5" t="s">
        <v>3311</v>
      </c>
      <c r="B1049" s="1" t="s">
        <v>8386</v>
      </c>
      <c r="C1049" s="1">
        <v>1850</v>
      </c>
      <c r="D1049" s="1" t="s">
        <v>14</v>
      </c>
      <c r="E1049" s="1">
        <v>1928</v>
      </c>
      <c r="F1049" s="1" t="s">
        <v>14</v>
      </c>
      <c r="G1049" s="1" t="s">
        <v>10</v>
      </c>
      <c r="J1049" s="3">
        <v>46057.488009259258</v>
      </c>
      <c r="K1049" s="2" t="s">
        <v>8387</v>
      </c>
      <c r="L1049" s="1">
        <v>84</v>
      </c>
      <c r="M1049" s="1">
        <v>86</v>
      </c>
      <c r="N1049" s="1">
        <v>2</v>
      </c>
      <c r="O1049" s="3">
        <v>46233.65914210648</v>
      </c>
    </row>
    <row r="1050" spans="1:15" ht="60" x14ac:dyDescent="0.25">
      <c r="A1050" s="5" t="s">
        <v>3314</v>
      </c>
      <c r="B1050" s="1" t="s">
        <v>8388</v>
      </c>
      <c r="C1050" s="1">
        <v>1940</v>
      </c>
      <c r="D1050" s="1" t="s">
        <v>118</v>
      </c>
      <c r="E1050" s="1">
        <v>2025</v>
      </c>
      <c r="F1050" s="1" t="s">
        <v>8025</v>
      </c>
      <c r="G1050" s="1" t="s">
        <v>10</v>
      </c>
      <c r="I1050" s="2" t="s">
        <v>8389</v>
      </c>
      <c r="J1050" s="3">
        <v>45960.574050925927</v>
      </c>
      <c r="K1050" s="2" t="s">
        <v>8390</v>
      </c>
      <c r="L1050" s="1">
        <v>21</v>
      </c>
      <c r="M1050" s="1">
        <v>38</v>
      </c>
      <c r="N1050" s="1">
        <v>17</v>
      </c>
      <c r="O1050" s="3">
        <v>46233.65914210648</v>
      </c>
    </row>
    <row r="1051" spans="1:15" ht="30" x14ac:dyDescent="0.25">
      <c r="A1051" s="5" t="s">
        <v>3317</v>
      </c>
      <c r="B1051" s="1" t="s">
        <v>8391</v>
      </c>
      <c r="C1051" s="1">
        <v>1964</v>
      </c>
      <c r="E1051" s="1">
        <v>2018</v>
      </c>
      <c r="G1051" s="1" t="s">
        <v>10</v>
      </c>
      <c r="J1051" s="3">
        <v>46050.66002314815</v>
      </c>
      <c r="K1051" s="2" t="s">
        <v>8392</v>
      </c>
      <c r="L1051" s="1">
        <v>1</v>
      </c>
      <c r="M1051" s="1">
        <v>1</v>
      </c>
      <c r="N1051" s="1">
        <v>0</v>
      </c>
      <c r="O1051" s="3">
        <v>46233.65914210648</v>
      </c>
    </row>
    <row r="1052" spans="1:15" ht="165" x14ac:dyDescent="0.25">
      <c r="A1052" s="5" t="s">
        <v>3320</v>
      </c>
      <c r="B1052" s="1" t="s">
        <v>8393</v>
      </c>
      <c r="C1052" s="1" t="s">
        <v>8394</v>
      </c>
      <c r="E1052" s="1">
        <v>1951</v>
      </c>
      <c r="G1052" s="1" t="s">
        <v>10</v>
      </c>
      <c r="J1052" s="3">
        <v>46055.651678240742</v>
      </c>
      <c r="K1052" s="2" t="s">
        <v>8395</v>
      </c>
      <c r="L1052" s="1">
        <v>2</v>
      </c>
      <c r="M1052" s="1">
        <v>2</v>
      </c>
      <c r="N1052" s="1">
        <v>0</v>
      </c>
      <c r="O1052" s="3">
        <v>46233.65914210648</v>
      </c>
    </row>
    <row r="1053" spans="1:15" ht="60" x14ac:dyDescent="0.25">
      <c r="A1053" s="5" t="s">
        <v>3323</v>
      </c>
      <c r="B1053" s="1" t="s">
        <v>8396</v>
      </c>
      <c r="C1053" s="1">
        <v>1844</v>
      </c>
      <c r="E1053" s="1">
        <v>1931</v>
      </c>
      <c r="G1053" s="1" t="s">
        <v>10</v>
      </c>
      <c r="J1053" s="3">
        <v>46055.498645833337</v>
      </c>
      <c r="K1053" s="2" t="s">
        <v>8397</v>
      </c>
      <c r="L1053" s="1">
        <v>44</v>
      </c>
      <c r="M1053" s="1">
        <v>44</v>
      </c>
      <c r="N1053" s="1">
        <v>0</v>
      </c>
      <c r="O1053" s="3">
        <v>46233.65914210648</v>
      </c>
    </row>
    <row r="1054" spans="1:15" ht="90" x14ac:dyDescent="0.25">
      <c r="A1054" s="5" t="s">
        <v>3326</v>
      </c>
      <c r="B1054" s="1" t="s">
        <v>8398</v>
      </c>
      <c r="C1054" s="1">
        <v>1757</v>
      </c>
      <c r="D1054" s="1" t="s">
        <v>14</v>
      </c>
      <c r="E1054" s="1">
        <v>1828</v>
      </c>
      <c r="F1054" s="1" t="s">
        <v>14</v>
      </c>
      <c r="G1054" s="1" t="s">
        <v>10</v>
      </c>
      <c r="J1054" s="3">
        <v>46057.437280092592</v>
      </c>
      <c r="K1054" s="2" t="s">
        <v>8399</v>
      </c>
      <c r="L1054" s="1">
        <v>1</v>
      </c>
      <c r="M1054" s="1">
        <v>7</v>
      </c>
      <c r="N1054" s="1">
        <v>6</v>
      </c>
      <c r="O1054" s="3">
        <v>46233.65914210648</v>
      </c>
    </row>
    <row r="1055" spans="1:15" ht="120" x14ac:dyDescent="0.25">
      <c r="A1055" s="5" t="s">
        <v>3329</v>
      </c>
      <c r="B1055" s="1" t="s">
        <v>8400</v>
      </c>
      <c r="C1055" s="1">
        <v>1863</v>
      </c>
      <c r="D1055" s="1" t="s">
        <v>14</v>
      </c>
      <c r="E1055" s="1">
        <v>1921</v>
      </c>
      <c r="F1055" s="1" t="s">
        <v>8401</v>
      </c>
      <c r="G1055" s="1" t="s">
        <v>10</v>
      </c>
      <c r="H1055" s="2" t="s">
        <v>10492</v>
      </c>
      <c r="J1055" s="3">
        <v>46057.488344907404</v>
      </c>
      <c r="K1055" s="2" t="s">
        <v>8403</v>
      </c>
      <c r="L1055" s="1">
        <v>12</v>
      </c>
      <c r="M1055" s="1">
        <v>13</v>
      </c>
      <c r="N1055" s="1">
        <v>1</v>
      </c>
      <c r="O1055" s="3">
        <v>46233.65914210648</v>
      </c>
    </row>
    <row r="1056" spans="1:15" x14ac:dyDescent="0.25">
      <c r="A1056" s="5" t="s">
        <v>3332</v>
      </c>
      <c r="B1056" s="1" t="s">
        <v>8404</v>
      </c>
      <c r="C1056" s="1">
        <v>1858</v>
      </c>
      <c r="D1056" s="1" t="s">
        <v>14</v>
      </c>
      <c r="E1056" s="1">
        <v>1946</v>
      </c>
      <c r="F1056" s="1" t="s">
        <v>14</v>
      </c>
      <c r="G1056" s="1" t="s">
        <v>10</v>
      </c>
      <c r="J1056" s="3">
        <v>46057.488113425927</v>
      </c>
      <c r="K1056" s="2" t="s">
        <v>6417</v>
      </c>
      <c r="L1056" s="1">
        <v>211</v>
      </c>
      <c r="M1056" s="1">
        <v>221</v>
      </c>
      <c r="N1056" s="1">
        <v>10</v>
      </c>
      <c r="O1056" s="3">
        <v>46233.65914210648</v>
      </c>
    </row>
    <row r="1057" spans="1:15" ht="120" x14ac:dyDescent="0.25">
      <c r="A1057" s="5" t="s">
        <v>3335</v>
      </c>
      <c r="B1057" s="1" t="s">
        <v>8405</v>
      </c>
      <c r="C1057" s="1">
        <v>1972</v>
      </c>
      <c r="G1057" s="1" t="s">
        <v>11</v>
      </c>
      <c r="J1057" s="3">
        <v>45988.600798611114</v>
      </c>
      <c r="K1057" s="2" t="s">
        <v>8406</v>
      </c>
      <c r="L1057" s="1">
        <v>2</v>
      </c>
      <c r="M1057" s="1">
        <v>3</v>
      </c>
      <c r="N1057" s="1">
        <v>1</v>
      </c>
      <c r="O1057" s="3">
        <v>46233.65914210648</v>
      </c>
    </row>
    <row r="1058" spans="1:15" ht="60" x14ac:dyDescent="0.25">
      <c r="A1058" s="5" t="s">
        <v>3338</v>
      </c>
      <c r="B1058" s="1" t="s">
        <v>8407</v>
      </c>
      <c r="C1058" s="1">
        <v>1893</v>
      </c>
      <c r="D1058" s="1" t="s">
        <v>14</v>
      </c>
      <c r="E1058" s="1">
        <v>1968</v>
      </c>
      <c r="F1058" s="1" t="s">
        <v>14</v>
      </c>
      <c r="G1058" s="1" t="s">
        <v>10</v>
      </c>
      <c r="I1058" s="2" t="s">
        <v>140</v>
      </c>
      <c r="J1058" s="3">
        <v>46056.595219907409</v>
      </c>
      <c r="K1058" s="2" t="s">
        <v>8408</v>
      </c>
      <c r="L1058" s="1">
        <v>16</v>
      </c>
      <c r="M1058" s="1">
        <v>19</v>
      </c>
      <c r="N1058" s="1">
        <v>3</v>
      </c>
      <c r="O1058" s="3">
        <v>46233.65914210648</v>
      </c>
    </row>
    <row r="1059" spans="1:15" x14ac:dyDescent="0.25">
      <c r="A1059" s="5" t="s">
        <v>3341</v>
      </c>
      <c r="B1059" s="1" t="s">
        <v>8409</v>
      </c>
      <c r="C1059" s="1" t="s">
        <v>152</v>
      </c>
      <c r="E1059" s="1" t="s">
        <v>152</v>
      </c>
      <c r="J1059" s="3">
        <v>45961.411770833336</v>
      </c>
      <c r="K1059" s="2" t="s">
        <v>6935</v>
      </c>
      <c r="L1059" s="1">
        <v>2</v>
      </c>
      <c r="M1059" s="1">
        <v>2</v>
      </c>
      <c r="N1059" s="1">
        <v>0</v>
      </c>
      <c r="O1059" s="3">
        <v>46233.65914210648</v>
      </c>
    </row>
    <row r="1060" spans="1:15" ht="105" x14ac:dyDescent="0.25">
      <c r="A1060" s="5" t="s">
        <v>3344</v>
      </c>
      <c r="B1060" s="1" t="s">
        <v>8410</v>
      </c>
      <c r="C1060" s="1">
        <v>1806</v>
      </c>
      <c r="D1060" s="1" t="s">
        <v>8412</v>
      </c>
      <c r="E1060" s="1">
        <v>1876</v>
      </c>
      <c r="F1060" s="1" t="s">
        <v>14</v>
      </c>
      <c r="H1060" s="2" t="s">
        <v>110</v>
      </c>
      <c r="J1060" s="3">
        <v>46057.488159722219</v>
      </c>
      <c r="K1060" s="2" t="s">
        <v>8414</v>
      </c>
      <c r="L1060" s="1">
        <v>76</v>
      </c>
      <c r="M1060" s="1">
        <v>89</v>
      </c>
      <c r="N1060" s="1">
        <v>13</v>
      </c>
      <c r="O1060" s="3">
        <v>46233.65914210648</v>
      </c>
    </row>
    <row r="1061" spans="1:15" ht="60" x14ac:dyDescent="0.25">
      <c r="A1061" s="5" t="s">
        <v>3347</v>
      </c>
      <c r="B1061" s="1" t="s">
        <v>8415</v>
      </c>
      <c r="C1061" s="1">
        <v>1879</v>
      </c>
      <c r="J1061" s="3">
        <v>46044.799432870372</v>
      </c>
      <c r="K1061" s="2" t="s">
        <v>8416</v>
      </c>
      <c r="L1061" s="1">
        <v>80</v>
      </c>
      <c r="M1061" s="1">
        <v>93</v>
      </c>
      <c r="N1061" s="1">
        <v>13</v>
      </c>
      <c r="O1061" s="3">
        <v>46233.65914210648</v>
      </c>
    </row>
    <row r="1062" spans="1:15" ht="195" x14ac:dyDescent="0.25">
      <c r="A1062" s="5" t="s">
        <v>3350</v>
      </c>
      <c r="B1062" s="1" t="s">
        <v>8417</v>
      </c>
      <c r="C1062" s="1">
        <v>1946</v>
      </c>
      <c r="G1062" s="1" t="s">
        <v>10</v>
      </c>
      <c r="J1062" s="3">
        <v>46051.649074074077</v>
      </c>
      <c r="K1062" s="2" t="s">
        <v>8418</v>
      </c>
      <c r="L1062" s="1">
        <v>6</v>
      </c>
      <c r="M1062" s="1">
        <v>14</v>
      </c>
      <c r="N1062" s="1">
        <v>8</v>
      </c>
      <c r="O1062" s="3">
        <v>46233.65914210648</v>
      </c>
    </row>
    <row r="1063" spans="1:15" x14ac:dyDescent="0.25">
      <c r="A1063" s="5" t="s">
        <v>3353</v>
      </c>
      <c r="B1063" s="1" t="s">
        <v>8419</v>
      </c>
      <c r="C1063" s="1" t="s">
        <v>12</v>
      </c>
      <c r="G1063" s="1" t="s">
        <v>11</v>
      </c>
      <c r="J1063" s="3">
        <v>46038.599733796298</v>
      </c>
      <c r="K1063" s="2" t="s">
        <v>7543</v>
      </c>
      <c r="L1063" s="1">
        <v>1</v>
      </c>
      <c r="M1063" s="1">
        <v>2</v>
      </c>
      <c r="N1063" s="1">
        <v>1</v>
      </c>
      <c r="O1063" s="3">
        <v>46233.65914210648</v>
      </c>
    </row>
    <row r="1064" spans="1:15" ht="75" x14ac:dyDescent="0.25">
      <c r="A1064" s="5" t="s">
        <v>3356</v>
      </c>
      <c r="B1064" s="1" t="s">
        <v>8420</v>
      </c>
      <c r="C1064" s="1">
        <v>1911</v>
      </c>
      <c r="D1064" s="1" t="s">
        <v>14</v>
      </c>
      <c r="E1064" s="1">
        <v>2004</v>
      </c>
      <c r="F1064" s="1" t="s">
        <v>8421</v>
      </c>
      <c r="G1064" s="1" t="s">
        <v>10</v>
      </c>
      <c r="J1064" s="3">
        <v>46057.488321759258</v>
      </c>
      <c r="K1064" s="2" t="s">
        <v>8422</v>
      </c>
      <c r="L1064" s="1">
        <v>65</v>
      </c>
      <c r="M1064" s="1">
        <v>65</v>
      </c>
      <c r="N1064" s="1">
        <v>0</v>
      </c>
      <c r="O1064" s="3">
        <v>46233.65914210648</v>
      </c>
    </row>
    <row r="1065" spans="1:15" ht="60" x14ac:dyDescent="0.25">
      <c r="A1065" s="5" t="s">
        <v>3359</v>
      </c>
      <c r="B1065" s="1" t="s">
        <v>8423</v>
      </c>
      <c r="C1065" s="1" t="s">
        <v>12</v>
      </c>
      <c r="G1065" s="1" t="s">
        <v>11</v>
      </c>
      <c r="J1065" s="3">
        <v>46055.492083333331</v>
      </c>
      <c r="K1065" s="2" t="s">
        <v>8424</v>
      </c>
      <c r="L1065" s="1">
        <v>49</v>
      </c>
      <c r="M1065" s="1">
        <v>50</v>
      </c>
      <c r="N1065" s="1">
        <v>1</v>
      </c>
      <c r="O1065" s="3">
        <v>46233.65914210648</v>
      </c>
    </row>
    <row r="1066" spans="1:15" ht="45" x14ac:dyDescent="0.25">
      <c r="A1066" s="5" t="s">
        <v>3362</v>
      </c>
      <c r="B1066" s="1" t="s">
        <v>8425</v>
      </c>
      <c r="C1066" s="1">
        <v>1889</v>
      </c>
      <c r="E1066" s="1">
        <v>1947</v>
      </c>
      <c r="G1066" s="1" t="s">
        <v>10</v>
      </c>
      <c r="J1066" s="3">
        <v>46055.695856481485</v>
      </c>
      <c r="K1066" s="2" t="s">
        <v>8426</v>
      </c>
      <c r="L1066" s="1">
        <v>36</v>
      </c>
      <c r="M1066" s="1">
        <v>37</v>
      </c>
      <c r="N1066" s="1">
        <v>1</v>
      </c>
      <c r="O1066" s="3">
        <v>46233.65914210648</v>
      </c>
    </row>
    <row r="1067" spans="1:15" ht="180" x14ac:dyDescent="0.25">
      <c r="A1067" s="5" t="s">
        <v>3365</v>
      </c>
      <c r="B1067" s="1" t="s">
        <v>8427</v>
      </c>
      <c r="C1067" s="1">
        <v>1878</v>
      </c>
      <c r="D1067" s="1" t="s">
        <v>14</v>
      </c>
      <c r="E1067" s="1">
        <v>1967</v>
      </c>
      <c r="F1067" s="1" t="s">
        <v>14</v>
      </c>
      <c r="G1067" s="1" t="s">
        <v>10</v>
      </c>
      <c r="I1067" s="2" t="s">
        <v>140</v>
      </c>
      <c r="J1067" s="3">
        <v>46057.488229166665</v>
      </c>
      <c r="K1067" s="2" t="s">
        <v>8428</v>
      </c>
      <c r="L1067" s="1">
        <v>183</v>
      </c>
      <c r="M1067" s="1">
        <v>188</v>
      </c>
      <c r="N1067" s="1">
        <v>5</v>
      </c>
      <c r="O1067" s="3">
        <v>46233.65914210648</v>
      </c>
    </row>
    <row r="1068" spans="1:15" ht="45" x14ac:dyDescent="0.25">
      <c r="A1068" s="5" t="s">
        <v>3368</v>
      </c>
      <c r="B1068" s="1" t="s">
        <v>8429</v>
      </c>
      <c r="C1068" s="1">
        <v>1809</v>
      </c>
      <c r="D1068" s="1" t="s">
        <v>8431</v>
      </c>
      <c r="E1068" s="1">
        <v>1874</v>
      </c>
      <c r="F1068" s="1" t="s">
        <v>14</v>
      </c>
      <c r="G1068" s="1" t="s">
        <v>10</v>
      </c>
      <c r="J1068" s="3">
        <v>46057.450543981482</v>
      </c>
      <c r="K1068" s="2" t="s">
        <v>8432</v>
      </c>
      <c r="L1068" s="1">
        <v>55</v>
      </c>
      <c r="M1068" s="1">
        <v>55</v>
      </c>
      <c r="N1068" s="1">
        <v>0</v>
      </c>
      <c r="O1068" s="3">
        <v>46233.65914210648</v>
      </c>
    </row>
    <row r="1069" spans="1:15" x14ac:dyDescent="0.25">
      <c r="A1069" s="5" t="s">
        <v>3371</v>
      </c>
      <c r="B1069" s="1" t="s">
        <v>8433</v>
      </c>
      <c r="C1069" s="1" t="s">
        <v>12</v>
      </c>
      <c r="G1069" s="1" t="s">
        <v>11</v>
      </c>
      <c r="J1069" s="3">
        <v>45994.419027777774</v>
      </c>
      <c r="K1069" s="2" t="s">
        <v>144</v>
      </c>
      <c r="L1069" s="1">
        <v>1</v>
      </c>
      <c r="M1069" s="1">
        <v>1</v>
      </c>
      <c r="N1069" s="1">
        <v>0</v>
      </c>
      <c r="O1069" s="3">
        <v>46233.65914210648</v>
      </c>
    </row>
    <row r="1070" spans="1:15" ht="165" x14ac:dyDescent="0.25">
      <c r="A1070" s="5" t="s">
        <v>3374</v>
      </c>
      <c r="B1070" s="1" t="s">
        <v>8434</v>
      </c>
      <c r="C1070" s="1">
        <v>1896</v>
      </c>
      <c r="E1070" s="1">
        <v>1984</v>
      </c>
      <c r="G1070" s="1" t="s">
        <v>10</v>
      </c>
      <c r="J1070" s="3">
        <v>45996.367152777777</v>
      </c>
      <c r="K1070" s="2" t="s">
        <v>8435</v>
      </c>
      <c r="L1070" s="1">
        <v>3</v>
      </c>
      <c r="M1070" s="1">
        <v>3</v>
      </c>
      <c r="N1070" s="1">
        <v>0</v>
      </c>
      <c r="O1070" s="3">
        <v>46233.65914210648</v>
      </c>
    </row>
    <row r="1071" spans="1:15" ht="270" x14ac:dyDescent="0.25">
      <c r="A1071" s="5" t="s">
        <v>3377</v>
      </c>
      <c r="B1071" s="1" t="s">
        <v>8436</v>
      </c>
      <c r="C1071" s="1">
        <v>1906</v>
      </c>
      <c r="E1071" s="1">
        <v>1976</v>
      </c>
      <c r="J1071" s="3">
        <v>46038.579456018517</v>
      </c>
      <c r="K1071" s="2" t="s">
        <v>8437</v>
      </c>
      <c r="L1071" s="1">
        <v>260</v>
      </c>
      <c r="M1071" s="1">
        <v>260</v>
      </c>
      <c r="N1071" s="1">
        <v>0</v>
      </c>
      <c r="O1071" s="3">
        <v>46233.65914210648</v>
      </c>
    </row>
    <row r="1072" spans="1:15" ht="45" x14ac:dyDescent="0.25">
      <c r="A1072" s="5" t="s">
        <v>3380</v>
      </c>
      <c r="B1072" s="1" t="s">
        <v>8438</v>
      </c>
      <c r="C1072" s="1">
        <v>1927</v>
      </c>
      <c r="D1072" s="1" t="s">
        <v>14</v>
      </c>
      <c r="E1072" s="1">
        <v>2020</v>
      </c>
      <c r="F1072" s="1" t="s">
        <v>8439</v>
      </c>
      <c r="G1072" s="1" t="s">
        <v>10</v>
      </c>
      <c r="J1072" s="3">
        <v>46057.488287037035</v>
      </c>
      <c r="K1072" s="2" t="s">
        <v>8440</v>
      </c>
      <c r="L1072" s="1">
        <v>6</v>
      </c>
      <c r="M1072" s="1">
        <v>7</v>
      </c>
      <c r="N1072" s="1">
        <v>1</v>
      </c>
      <c r="O1072" s="3">
        <v>46233.65914210648</v>
      </c>
    </row>
    <row r="1073" spans="1:15" x14ac:dyDescent="0.25">
      <c r="A1073" s="5" t="s">
        <v>3383</v>
      </c>
      <c r="B1073" s="1" t="s">
        <v>8441</v>
      </c>
      <c r="C1073" s="1" t="s">
        <v>7004</v>
      </c>
      <c r="G1073" s="1" t="s">
        <v>10</v>
      </c>
      <c r="J1073" s="3">
        <v>45987.459062499998</v>
      </c>
      <c r="K1073" s="2" t="s">
        <v>6935</v>
      </c>
      <c r="L1073" s="1">
        <v>1</v>
      </c>
      <c r="M1073" s="1">
        <v>1</v>
      </c>
      <c r="N1073" s="1">
        <v>0</v>
      </c>
      <c r="O1073" s="3">
        <v>46233.65914210648</v>
      </c>
    </row>
    <row r="1074" spans="1:15" ht="45" x14ac:dyDescent="0.25">
      <c r="A1074" s="5" t="s">
        <v>3386</v>
      </c>
      <c r="B1074" s="1" t="s">
        <v>8442</v>
      </c>
      <c r="C1074" s="1">
        <v>1947</v>
      </c>
      <c r="G1074" s="1" t="s">
        <v>10</v>
      </c>
      <c r="J1074" s="3">
        <v>46013.608807870369</v>
      </c>
      <c r="K1074" s="2" t="s">
        <v>8443</v>
      </c>
      <c r="L1074" s="1">
        <v>1</v>
      </c>
      <c r="M1074" s="1">
        <v>1</v>
      </c>
      <c r="N1074" s="1">
        <v>0</v>
      </c>
      <c r="O1074" s="3">
        <v>46233.65914210648</v>
      </c>
    </row>
    <row r="1075" spans="1:15" ht="255" x14ac:dyDescent="0.25">
      <c r="A1075" s="5" t="s">
        <v>3389</v>
      </c>
      <c r="B1075" s="1" t="s">
        <v>8444</v>
      </c>
      <c r="C1075" s="1" t="s">
        <v>12</v>
      </c>
      <c r="G1075" s="1" t="s">
        <v>11</v>
      </c>
      <c r="J1075" s="3">
        <v>45994.347326388888</v>
      </c>
      <c r="K1075" s="2" t="s">
        <v>8445</v>
      </c>
      <c r="L1075" s="1">
        <v>12</v>
      </c>
      <c r="M1075" s="1">
        <v>14</v>
      </c>
      <c r="N1075" s="1">
        <v>2</v>
      </c>
      <c r="O1075" s="3">
        <v>46233.65914210648</v>
      </c>
    </row>
    <row r="1076" spans="1:15" ht="90" x14ac:dyDescent="0.25">
      <c r="A1076" s="5" t="s">
        <v>3392</v>
      </c>
      <c r="B1076" s="1" t="s">
        <v>8446</v>
      </c>
      <c r="C1076" s="1" t="s">
        <v>12</v>
      </c>
      <c r="G1076" s="1" t="s">
        <v>11</v>
      </c>
      <c r="J1076" s="3">
        <v>45995.414398148147</v>
      </c>
      <c r="K1076" s="2" t="s">
        <v>8447</v>
      </c>
      <c r="L1076" s="1">
        <v>1</v>
      </c>
      <c r="M1076" s="1">
        <v>1</v>
      </c>
      <c r="N1076" s="1">
        <v>0</v>
      </c>
      <c r="O1076" s="3">
        <v>46233.65914210648</v>
      </c>
    </row>
    <row r="1077" spans="1:15" ht="60" x14ac:dyDescent="0.25">
      <c r="A1077" s="5" t="s">
        <v>3395</v>
      </c>
      <c r="B1077" s="1" t="s">
        <v>8448</v>
      </c>
      <c r="C1077" s="1" t="s">
        <v>152</v>
      </c>
      <c r="E1077" s="1" t="s">
        <v>12</v>
      </c>
      <c r="J1077" s="3">
        <v>45961.534942129627</v>
      </c>
      <c r="K1077" s="2" t="s">
        <v>8449</v>
      </c>
      <c r="L1077" s="1">
        <v>1</v>
      </c>
      <c r="M1077" s="1">
        <v>1</v>
      </c>
      <c r="N1077" s="1">
        <v>0</v>
      </c>
      <c r="O1077" s="3">
        <v>46233.65914210648</v>
      </c>
    </row>
    <row r="1078" spans="1:15" ht="30" x14ac:dyDescent="0.25">
      <c r="A1078" s="5" t="s">
        <v>3398</v>
      </c>
      <c r="B1078" s="1" t="s">
        <v>8450</v>
      </c>
      <c r="C1078" s="1">
        <v>1922</v>
      </c>
      <c r="D1078" s="1" t="s">
        <v>8451</v>
      </c>
      <c r="E1078" s="1">
        <v>2006</v>
      </c>
      <c r="F1078" s="1" t="s">
        <v>7604</v>
      </c>
      <c r="G1078" s="1" t="s">
        <v>11</v>
      </c>
      <c r="J1078" s="3">
        <v>46056.591365740744</v>
      </c>
      <c r="K1078" s="2" t="s">
        <v>8452</v>
      </c>
      <c r="L1078" s="1">
        <v>6</v>
      </c>
      <c r="M1078" s="1">
        <v>6</v>
      </c>
      <c r="N1078" s="1">
        <v>0</v>
      </c>
      <c r="O1078" s="3">
        <v>46233.65914210648</v>
      </c>
    </row>
    <row r="1079" spans="1:15" ht="105" x14ac:dyDescent="0.25">
      <c r="A1079" s="5" t="s">
        <v>3401</v>
      </c>
      <c r="B1079" s="1" t="s">
        <v>8453</v>
      </c>
      <c r="D1079" s="1" t="s">
        <v>8454</v>
      </c>
      <c r="H1079" s="2" t="s">
        <v>10493</v>
      </c>
      <c r="I1079" s="2" t="s">
        <v>140</v>
      </c>
      <c r="J1079" s="3">
        <v>46057.478310185186</v>
      </c>
      <c r="K1079" s="2" t="s">
        <v>8455</v>
      </c>
      <c r="L1079" s="1">
        <v>94</v>
      </c>
      <c r="M1079" s="1">
        <v>137</v>
      </c>
      <c r="N1079" s="1">
        <v>43</v>
      </c>
      <c r="O1079" s="3">
        <v>46233.65914210648</v>
      </c>
    </row>
    <row r="1080" spans="1:15" ht="120" x14ac:dyDescent="0.25">
      <c r="A1080" s="5" t="s">
        <v>3404</v>
      </c>
      <c r="B1080" s="1" t="s">
        <v>8456</v>
      </c>
      <c r="C1080" s="1">
        <v>1828</v>
      </c>
      <c r="D1080" s="1" t="s">
        <v>14</v>
      </c>
      <c r="E1080" s="1">
        <v>1910</v>
      </c>
      <c r="F1080" s="1" t="s">
        <v>8457</v>
      </c>
      <c r="G1080" s="1" t="s">
        <v>10</v>
      </c>
      <c r="H1080" s="2" t="s">
        <v>8458</v>
      </c>
      <c r="I1080" s="2" t="s">
        <v>8459</v>
      </c>
      <c r="J1080" s="3">
        <v>46057.476875</v>
      </c>
      <c r="K1080" s="2" t="s">
        <v>8460</v>
      </c>
      <c r="L1080" s="1">
        <v>323</v>
      </c>
      <c r="M1080" s="1">
        <v>356</v>
      </c>
      <c r="N1080" s="1">
        <v>33</v>
      </c>
      <c r="O1080" s="3">
        <v>46233.65914210648</v>
      </c>
    </row>
    <row r="1081" spans="1:15" ht="45" x14ac:dyDescent="0.25">
      <c r="A1081" s="5" t="s">
        <v>3407</v>
      </c>
      <c r="B1081" s="1" t="s">
        <v>8461</v>
      </c>
      <c r="C1081" s="1">
        <v>1938</v>
      </c>
      <c r="G1081" s="1" t="s">
        <v>11</v>
      </c>
      <c r="J1081" s="3">
        <v>45965.429710648146</v>
      </c>
      <c r="K1081" s="2" t="s">
        <v>8462</v>
      </c>
      <c r="L1081" s="1">
        <v>6</v>
      </c>
      <c r="M1081" s="1">
        <v>6</v>
      </c>
      <c r="N1081" s="1">
        <v>0</v>
      </c>
      <c r="O1081" s="3">
        <v>46233.65914210648</v>
      </c>
    </row>
    <row r="1082" spans="1:15" ht="165" x14ac:dyDescent="0.25">
      <c r="A1082" s="5" t="s">
        <v>3410</v>
      </c>
      <c r="B1082" s="1" t="s">
        <v>8463</v>
      </c>
      <c r="C1082" s="1">
        <v>1918</v>
      </c>
      <c r="D1082" s="1" t="s">
        <v>14</v>
      </c>
      <c r="E1082" s="1">
        <v>1980</v>
      </c>
      <c r="G1082" s="1" t="s">
        <v>10</v>
      </c>
      <c r="H1082" s="2" t="s">
        <v>8464</v>
      </c>
      <c r="J1082" s="3">
        <v>46029.480347222219</v>
      </c>
      <c r="K1082" s="2" t="s">
        <v>8465</v>
      </c>
      <c r="L1082" s="1">
        <v>49</v>
      </c>
      <c r="M1082" s="1">
        <v>55</v>
      </c>
      <c r="N1082" s="1">
        <v>6</v>
      </c>
      <c r="O1082" s="3">
        <v>46233.65914210648</v>
      </c>
    </row>
    <row r="1083" spans="1:15" ht="90" x14ac:dyDescent="0.25">
      <c r="A1083" s="5" t="s">
        <v>3413</v>
      </c>
      <c r="B1083" s="1" t="s">
        <v>8466</v>
      </c>
      <c r="C1083" s="1">
        <v>1942</v>
      </c>
      <c r="E1083" s="1">
        <v>2024</v>
      </c>
      <c r="G1083" s="1" t="s">
        <v>11</v>
      </c>
      <c r="J1083" s="3">
        <v>45994.409942129627</v>
      </c>
      <c r="K1083" s="2" t="s">
        <v>8467</v>
      </c>
      <c r="L1083" s="1">
        <v>5</v>
      </c>
      <c r="M1083" s="1">
        <v>8</v>
      </c>
      <c r="N1083" s="1">
        <v>3</v>
      </c>
      <c r="O1083" s="3">
        <v>46233.65914210648</v>
      </c>
    </row>
    <row r="1084" spans="1:15" ht="120" x14ac:dyDescent="0.25">
      <c r="A1084" s="5" t="s">
        <v>3416</v>
      </c>
      <c r="B1084" s="1" t="s">
        <v>8468</v>
      </c>
      <c r="C1084" s="1">
        <v>1826</v>
      </c>
      <c r="J1084" s="3">
        <v>46051.630682870367</v>
      </c>
      <c r="K1084" s="2" t="s">
        <v>8469</v>
      </c>
      <c r="L1084" s="1">
        <v>54</v>
      </c>
      <c r="M1084" s="1">
        <v>55</v>
      </c>
      <c r="N1084" s="1">
        <v>1</v>
      </c>
      <c r="O1084" s="3">
        <v>46233.65914210648</v>
      </c>
    </row>
    <row r="1085" spans="1:15" ht="120" x14ac:dyDescent="0.25">
      <c r="A1085" s="5" t="s">
        <v>3419</v>
      </c>
      <c r="B1085" s="1" t="s">
        <v>8470</v>
      </c>
      <c r="C1085" s="1">
        <v>1962</v>
      </c>
      <c r="J1085" s="3">
        <v>46045.562256944446</v>
      </c>
      <c r="K1085" s="2" t="s">
        <v>8471</v>
      </c>
      <c r="L1085" s="1">
        <v>0</v>
      </c>
      <c r="M1085" s="1">
        <v>7</v>
      </c>
      <c r="N1085" s="1">
        <v>7</v>
      </c>
      <c r="O1085" s="3">
        <v>46233.65914210648</v>
      </c>
    </row>
    <row r="1086" spans="1:15" x14ac:dyDescent="0.25">
      <c r="A1086" s="5" t="s">
        <v>3422</v>
      </c>
      <c r="B1086" s="1" t="s">
        <v>8472</v>
      </c>
      <c r="C1086" s="1">
        <v>2018</v>
      </c>
      <c r="J1086" s="3">
        <v>45843.43141203704</v>
      </c>
      <c r="L1086" s="1">
        <v>1</v>
      </c>
      <c r="M1086" s="1">
        <v>1</v>
      </c>
      <c r="N1086" s="1">
        <v>0</v>
      </c>
      <c r="O1086" s="3">
        <v>46233.65914210648</v>
      </c>
    </row>
    <row r="1087" spans="1:15" ht="60" x14ac:dyDescent="0.25">
      <c r="A1087" s="5" t="s">
        <v>3425</v>
      </c>
      <c r="B1087" s="1" t="s">
        <v>8473</v>
      </c>
      <c r="C1087" s="1" t="s">
        <v>12</v>
      </c>
      <c r="G1087" s="1" t="s">
        <v>11</v>
      </c>
      <c r="J1087" s="3">
        <v>46009.335578703707</v>
      </c>
      <c r="K1087" s="2" t="s">
        <v>8474</v>
      </c>
      <c r="L1087" s="1">
        <v>1</v>
      </c>
      <c r="M1087" s="1">
        <v>1</v>
      </c>
      <c r="N1087" s="1">
        <v>0</v>
      </c>
      <c r="O1087" s="3">
        <v>46233.65914210648</v>
      </c>
    </row>
    <row r="1088" spans="1:15" ht="75" x14ac:dyDescent="0.25">
      <c r="A1088" s="5" t="s">
        <v>3428</v>
      </c>
      <c r="B1088" s="1" t="s">
        <v>8475</v>
      </c>
      <c r="C1088" s="1" t="s">
        <v>12</v>
      </c>
      <c r="G1088" s="1" t="s">
        <v>10</v>
      </c>
      <c r="J1088" s="3">
        <v>45982.411226851851</v>
      </c>
      <c r="K1088" s="2" t="s">
        <v>8476</v>
      </c>
      <c r="L1088" s="1">
        <v>2</v>
      </c>
      <c r="M1088" s="1">
        <v>2</v>
      </c>
      <c r="N1088" s="1">
        <v>0</v>
      </c>
      <c r="O1088" s="3">
        <v>46233.65914210648</v>
      </c>
    </row>
    <row r="1089" spans="1:15" ht="60" x14ac:dyDescent="0.25">
      <c r="A1089" s="5" t="s">
        <v>3431</v>
      </c>
      <c r="B1089" s="1" t="s">
        <v>8477</v>
      </c>
      <c r="C1089" s="1">
        <v>1888</v>
      </c>
      <c r="E1089" s="1">
        <v>1979</v>
      </c>
      <c r="G1089" s="1" t="s">
        <v>10</v>
      </c>
      <c r="J1089" s="3">
        <v>46057.488402777781</v>
      </c>
      <c r="K1089" s="2" t="s">
        <v>8478</v>
      </c>
      <c r="L1089" s="1">
        <v>57</v>
      </c>
      <c r="M1089" s="1">
        <v>66</v>
      </c>
      <c r="N1089" s="1">
        <v>9</v>
      </c>
      <c r="O1089" s="3">
        <v>46233.65914210648</v>
      </c>
    </row>
    <row r="1090" spans="1:15" ht="120" x14ac:dyDescent="0.25">
      <c r="A1090" s="5" t="s">
        <v>3434</v>
      </c>
      <c r="B1090" s="1" t="s">
        <v>8479</v>
      </c>
      <c r="C1090" s="1">
        <v>1835</v>
      </c>
      <c r="E1090" s="1">
        <v>1918</v>
      </c>
      <c r="G1090" s="1" t="s">
        <v>10</v>
      </c>
      <c r="J1090" s="3">
        <v>46041.621134259258</v>
      </c>
      <c r="K1090" s="2" t="s">
        <v>8481</v>
      </c>
      <c r="L1090" s="1">
        <v>59</v>
      </c>
      <c r="M1090" s="1">
        <v>59</v>
      </c>
      <c r="N1090" s="1">
        <v>0</v>
      </c>
      <c r="O1090" s="3">
        <v>46233.65914210648</v>
      </c>
    </row>
    <row r="1091" spans="1:15" ht="45" x14ac:dyDescent="0.25">
      <c r="A1091" s="5" t="s">
        <v>3437</v>
      </c>
      <c r="B1091" s="1" t="s">
        <v>8482</v>
      </c>
      <c r="C1091" s="1" t="s">
        <v>12</v>
      </c>
      <c r="G1091" s="1" t="s">
        <v>10</v>
      </c>
      <c r="J1091" s="3">
        <v>46051.391458333332</v>
      </c>
      <c r="K1091" s="2" t="s">
        <v>8483</v>
      </c>
      <c r="L1091" s="1">
        <v>10</v>
      </c>
      <c r="M1091" s="1">
        <v>22</v>
      </c>
      <c r="N1091" s="1">
        <v>12</v>
      </c>
      <c r="O1091" s="3">
        <v>46233.65914210648</v>
      </c>
    </row>
    <row r="1092" spans="1:15" ht="60" x14ac:dyDescent="0.25">
      <c r="A1092" s="5" t="s">
        <v>3440</v>
      </c>
      <c r="B1092" s="1" t="s">
        <v>8484</v>
      </c>
      <c r="C1092" s="1">
        <v>1870</v>
      </c>
      <c r="D1092" s="1" t="s">
        <v>14</v>
      </c>
      <c r="E1092" s="1">
        <v>1958</v>
      </c>
      <c r="F1092" s="1" t="s">
        <v>14</v>
      </c>
      <c r="G1092" s="1" t="s">
        <v>10</v>
      </c>
      <c r="J1092" s="3">
        <v>46057.488263888888</v>
      </c>
      <c r="K1092" s="2" t="s">
        <v>8486</v>
      </c>
      <c r="L1092" s="1">
        <v>171</v>
      </c>
      <c r="M1092" s="1">
        <v>194</v>
      </c>
      <c r="N1092" s="1">
        <v>23</v>
      </c>
      <c r="O1092" s="3">
        <v>46233.65914210648</v>
      </c>
    </row>
    <row r="1093" spans="1:15" ht="90" x14ac:dyDescent="0.25">
      <c r="A1093" s="5" t="s">
        <v>3443</v>
      </c>
      <c r="B1093" s="1" t="s">
        <v>8487</v>
      </c>
      <c r="C1093" s="1" t="s">
        <v>12</v>
      </c>
      <c r="G1093" s="1" t="s">
        <v>10</v>
      </c>
      <c r="J1093" s="3">
        <v>45987.473912037036</v>
      </c>
      <c r="K1093" s="2" t="s">
        <v>8488</v>
      </c>
      <c r="L1093" s="1">
        <v>1</v>
      </c>
      <c r="M1093" s="1">
        <v>1</v>
      </c>
      <c r="N1093" s="1">
        <v>0</v>
      </c>
      <c r="O1093" s="3">
        <v>46233.65914210648</v>
      </c>
    </row>
    <row r="1094" spans="1:15" ht="60" x14ac:dyDescent="0.25">
      <c r="A1094" s="5" t="s">
        <v>3446</v>
      </c>
      <c r="B1094" s="1" t="s">
        <v>8489</v>
      </c>
      <c r="C1094" s="1" t="s">
        <v>12</v>
      </c>
      <c r="G1094" s="1" t="s">
        <v>10</v>
      </c>
      <c r="J1094" s="3">
        <v>46042.650196759256</v>
      </c>
      <c r="K1094" s="2" t="s">
        <v>8490</v>
      </c>
      <c r="L1094" s="1">
        <v>3</v>
      </c>
      <c r="M1094" s="1">
        <v>5</v>
      </c>
      <c r="N1094" s="1">
        <v>2</v>
      </c>
      <c r="O1094" s="3">
        <v>46233.65914210648</v>
      </c>
    </row>
    <row r="1095" spans="1:15" ht="60" x14ac:dyDescent="0.25">
      <c r="A1095" s="5" t="s">
        <v>3449</v>
      </c>
      <c r="B1095" s="1" t="s">
        <v>8491</v>
      </c>
      <c r="C1095" s="1">
        <v>1865</v>
      </c>
      <c r="D1095" s="1" t="s">
        <v>14</v>
      </c>
      <c r="E1095" s="1">
        <v>1922</v>
      </c>
      <c r="F1095" s="1" t="s">
        <v>14</v>
      </c>
      <c r="G1095" s="1" t="s">
        <v>10</v>
      </c>
      <c r="H1095" s="2" t="s">
        <v>8492</v>
      </c>
      <c r="I1095" s="2" t="s">
        <v>140</v>
      </c>
      <c r="J1095" s="3">
        <v>46055.487037037034</v>
      </c>
      <c r="K1095" s="2" t="s">
        <v>8493</v>
      </c>
      <c r="L1095" s="1">
        <v>38</v>
      </c>
      <c r="M1095" s="1">
        <v>41</v>
      </c>
      <c r="N1095" s="1">
        <v>3</v>
      </c>
      <c r="O1095" s="3">
        <v>46233.65914210648</v>
      </c>
    </row>
    <row r="1096" spans="1:15" ht="30" x14ac:dyDescent="0.25">
      <c r="A1096" s="5" t="s">
        <v>3452</v>
      </c>
      <c r="B1096" s="1" t="s">
        <v>8494</v>
      </c>
      <c r="C1096" s="1">
        <v>1890</v>
      </c>
      <c r="E1096" s="1">
        <v>1932</v>
      </c>
      <c r="G1096" s="1" t="s">
        <v>10</v>
      </c>
      <c r="J1096" s="3">
        <v>46055.53943287037</v>
      </c>
      <c r="K1096" s="2" t="s">
        <v>8495</v>
      </c>
      <c r="L1096" s="1">
        <v>42</v>
      </c>
      <c r="M1096" s="1">
        <v>42</v>
      </c>
      <c r="N1096" s="1">
        <v>0</v>
      </c>
      <c r="O1096" s="3">
        <v>46233.65914210648</v>
      </c>
    </row>
    <row r="1097" spans="1:15" x14ac:dyDescent="0.25">
      <c r="A1097" s="5" t="s">
        <v>3455</v>
      </c>
      <c r="B1097" s="1" t="s">
        <v>8496</v>
      </c>
      <c r="C1097" s="1">
        <v>1947</v>
      </c>
      <c r="G1097" s="1" t="s">
        <v>10</v>
      </c>
      <c r="J1097" s="3">
        <v>45965.400370370371</v>
      </c>
      <c r="K1097" s="2" t="s">
        <v>7248</v>
      </c>
      <c r="L1097" s="1">
        <v>4</v>
      </c>
      <c r="M1097" s="1">
        <v>4</v>
      </c>
      <c r="N1097" s="1">
        <v>0</v>
      </c>
      <c r="O1097" s="3">
        <v>46233.65914210648</v>
      </c>
    </row>
    <row r="1098" spans="1:15" ht="60" x14ac:dyDescent="0.25">
      <c r="A1098" s="5" t="s">
        <v>3458</v>
      </c>
      <c r="B1098" s="1" t="s">
        <v>8497</v>
      </c>
      <c r="C1098" s="1">
        <v>1853</v>
      </c>
      <c r="E1098" s="1">
        <v>1931</v>
      </c>
      <c r="G1098" s="1" t="s">
        <v>10</v>
      </c>
      <c r="J1098" s="3">
        <v>46052.585312499999</v>
      </c>
      <c r="K1098" s="2" t="s">
        <v>8498</v>
      </c>
      <c r="L1098" s="1">
        <v>53</v>
      </c>
      <c r="M1098" s="1">
        <v>53</v>
      </c>
      <c r="N1098" s="1">
        <v>0</v>
      </c>
      <c r="O1098" s="3">
        <v>46233.65914210648</v>
      </c>
    </row>
    <row r="1099" spans="1:15" x14ac:dyDescent="0.25">
      <c r="A1099" s="5" t="s">
        <v>3461</v>
      </c>
      <c r="B1099" s="1" t="s">
        <v>8499</v>
      </c>
      <c r="C1099" s="1">
        <v>1919</v>
      </c>
      <c r="D1099" s="1" t="s">
        <v>8500</v>
      </c>
      <c r="E1099" s="1">
        <v>2007</v>
      </c>
      <c r="F1099" s="1" t="s">
        <v>14</v>
      </c>
      <c r="J1099" s="3">
        <v>46057.471018518518</v>
      </c>
      <c r="K1099" s="2" t="s">
        <v>8501</v>
      </c>
      <c r="L1099" s="1">
        <v>23</v>
      </c>
      <c r="M1099" s="1">
        <v>23</v>
      </c>
      <c r="N1099" s="1">
        <v>0</v>
      </c>
      <c r="O1099" s="3">
        <v>46233.65914210648</v>
      </c>
    </row>
    <row r="1100" spans="1:15" ht="30" x14ac:dyDescent="0.25">
      <c r="A1100" s="5" t="s">
        <v>3464</v>
      </c>
      <c r="B1100" s="1" t="s">
        <v>8502</v>
      </c>
      <c r="C1100" s="1">
        <v>1965</v>
      </c>
      <c r="G1100" s="1" t="s">
        <v>10</v>
      </c>
      <c r="J1100" s="3">
        <v>45966.511655092596</v>
      </c>
      <c r="K1100" s="2" t="s">
        <v>8503</v>
      </c>
      <c r="L1100" s="1">
        <v>1</v>
      </c>
      <c r="M1100" s="1">
        <v>1</v>
      </c>
      <c r="N1100" s="1">
        <v>0</v>
      </c>
      <c r="O1100" s="3">
        <v>46233.65914210648</v>
      </c>
    </row>
    <row r="1101" spans="1:15" ht="225" x14ac:dyDescent="0.25">
      <c r="A1101" s="5" t="s">
        <v>3467</v>
      </c>
      <c r="B1101" s="1" t="s">
        <v>8504</v>
      </c>
      <c r="C1101" s="1">
        <v>1876</v>
      </c>
      <c r="J1101" s="3">
        <v>46056.71292824074</v>
      </c>
      <c r="K1101" s="2" t="s">
        <v>8505</v>
      </c>
      <c r="L1101" s="1">
        <v>21</v>
      </c>
      <c r="M1101" s="1">
        <v>31</v>
      </c>
      <c r="N1101" s="1">
        <v>10</v>
      </c>
      <c r="O1101" s="3">
        <v>46233.65914210648</v>
      </c>
    </row>
    <row r="1102" spans="1:15" x14ac:dyDescent="0.25">
      <c r="A1102" s="5" t="s">
        <v>3470</v>
      </c>
      <c r="B1102" s="1" t="s">
        <v>8506</v>
      </c>
      <c r="C1102" s="1">
        <v>1986</v>
      </c>
      <c r="G1102" s="1" t="s">
        <v>11</v>
      </c>
      <c r="J1102" s="3">
        <v>45972.471087962964</v>
      </c>
      <c r="K1102" s="2" t="s">
        <v>7523</v>
      </c>
      <c r="L1102" s="1">
        <v>1</v>
      </c>
      <c r="M1102" s="1">
        <v>1</v>
      </c>
      <c r="N1102" s="1">
        <v>0</v>
      </c>
      <c r="O1102" s="3">
        <v>46233.65914210648</v>
      </c>
    </row>
    <row r="1103" spans="1:15" ht="75" x14ac:dyDescent="0.25">
      <c r="A1103" s="5" t="s">
        <v>3473</v>
      </c>
      <c r="B1103" s="1" t="s">
        <v>8507</v>
      </c>
      <c r="C1103" s="1" t="s">
        <v>12</v>
      </c>
      <c r="G1103" s="1" t="s">
        <v>11</v>
      </c>
      <c r="J1103" s="3">
        <v>45987.594317129631</v>
      </c>
      <c r="K1103" s="2" t="s">
        <v>8508</v>
      </c>
      <c r="L1103" s="1">
        <v>1</v>
      </c>
      <c r="M1103" s="1">
        <v>1</v>
      </c>
      <c r="N1103" s="1">
        <v>0</v>
      </c>
      <c r="O1103" s="3">
        <v>46233.65914210648</v>
      </c>
    </row>
    <row r="1104" spans="1:15" ht="30" x14ac:dyDescent="0.25">
      <c r="A1104" s="5" t="s">
        <v>3476</v>
      </c>
      <c r="B1104" s="1" t="s">
        <v>8509</v>
      </c>
      <c r="C1104" s="1" t="s">
        <v>12</v>
      </c>
      <c r="G1104" s="1" t="s">
        <v>11</v>
      </c>
      <c r="J1104" s="3">
        <v>45972.639722222222</v>
      </c>
      <c r="K1104" s="2" t="s">
        <v>8510</v>
      </c>
      <c r="L1104" s="1">
        <v>2</v>
      </c>
      <c r="M1104" s="1">
        <v>2</v>
      </c>
      <c r="N1104" s="1">
        <v>0</v>
      </c>
      <c r="O1104" s="3">
        <v>46233.65914210648</v>
      </c>
    </row>
    <row r="1105" spans="1:15" ht="45" x14ac:dyDescent="0.25">
      <c r="A1105" s="5" t="s">
        <v>3479</v>
      </c>
      <c r="B1105" s="1" t="s">
        <v>8511</v>
      </c>
      <c r="C1105" s="1">
        <v>1993</v>
      </c>
      <c r="G1105" s="1" t="s">
        <v>11</v>
      </c>
      <c r="J1105" s="3">
        <v>45989.400636574072</v>
      </c>
      <c r="K1105" s="2" t="s">
        <v>8512</v>
      </c>
      <c r="L1105" s="1">
        <v>9</v>
      </c>
      <c r="M1105" s="1">
        <v>9</v>
      </c>
      <c r="N1105" s="1">
        <v>0</v>
      </c>
      <c r="O1105" s="3">
        <v>46233.65914210648</v>
      </c>
    </row>
    <row r="1106" spans="1:15" x14ac:dyDescent="0.25">
      <c r="A1106" s="5" t="s">
        <v>3482</v>
      </c>
      <c r="B1106" s="1" t="s">
        <v>8513</v>
      </c>
      <c r="C1106" s="1">
        <v>1947</v>
      </c>
      <c r="G1106" s="1" t="s">
        <v>10</v>
      </c>
      <c r="J1106" s="3">
        <v>45980.7815162037</v>
      </c>
      <c r="K1106" s="2" t="s">
        <v>8350</v>
      </c>
      <c r="L1106" s="1">
        <v>1</v>
      </c>
      <c r="M1106" s="1">
        <v>19</v>
      </c>
      <c r="N1106" s="1">
        <v>18</v>
      </c>
      <c r="O1106" s="3">
        <v>46233.65914210648</v>
      </c>
    </row>
    <row r="1107" spans="1:15" ht="60" x14ac:dyDescent="0.25">
      <c r="A1107" s="5" t="s">
        <v>3485</v>
      </c>
      <c r="B1107" s="1" t="s">
        <v>8514</v>
      </c>
      <c r="G1107" s="1" t="s">
        <v>10</v>
      </c>
      <c r="J1107" s="3">
        <v>45995.415752314817</v>
      </c>
      <c r="K1107" s="2" t="s">
        <v>8515</v>
      </c>
      <c r="L1107" s="1">
        <v>1</v>
      </c>
      <c r="M1107" s="1">
        <v>1</v>
      </c>
      <c r="N1107" s="1">
        <v>0</v>
      </c>
      <c r="O1107" s="3">
        <v>46233.65914210648</v>
      </c>
    </row>
    <row r="1108" spans="1:15" ht="45" x14ac:dyDescent="0.25">
      <c r="A1108" s="5" t="s">
        <v>3488</v>
      </c>
      <c r="B1108" s="1" t="s">
        <v>8516</v>
      </c>
      <c r="C1108" s="1">
        <v>1904</v>
      </c>
      <c r="E1108" s="1">
        <v>1967</v>
      </c>
      <c r="G1108" s="1" t="s">
        <v>10</v>
      </c>
      <c r="J1108" s="3">
        <v>46055.659097222226</v>
      </c>
      <c r="K1108" s="2" t="s">
        <v>8517</v>
      </c>
      <c r="L1108" s="1">
        <v>37</v>
      </c>
      <c r="M1108" s="1">
        <v>46</v>
      </c>
      <c r="N1108" s="1">
        <v>9</v>
      </c>
      <c r="O1108" s="3">
        <v>46233.65914210648</v>
      </c>
    </row>
    <row r="1109" spans="1:15" x14ac:dyDescent="0.25">
      <c r="A1109" s="5" t="s">
        <v>3491</v>
      </c>
      <c r="B1109" s="1" t="s">
        <v>8518</v>
      </c>
      <c r="C1109" s="1" t="s">
        <v>12</v>
      </c>
      <c r="G1109" s="1" t="s">
        <v>11</v>
      </c>
      <c r="J1109" s="3">
        <v>45995.423645833333</v>
      </c>
      <c r="K1109" s="2" t="s">
        <v>8519</v>
      </c>
      <c r="L1109" s="1">
        <v>2</v>
      </c>
      <c r="M1109" s="1">
        <v>2</v>
      </c>
      <c r="N1109" s="1">
        <v>0</v>
      </c>
      <c r="O1109" s="3">
        <v>46233.65914210648</v>
      </c>
    </row>
    <row r="1110" spans="1:15" ht="90" x14ac:dyDescent="0.25">
      <c r="A1110" s="5" t="s">
        <v>3494</v>
      </c>
      <c r="B1110" s="1" t="s">
        <v>8520</v>
      </c>
      <c r="C1110" s="1" t="s">
        <v>12</v>
      </c>
      <c r="G1110" s="1" t="s">
        <v>10</v>
      </c>
      <c r="J1110" s="3">
        <v>45986.683182870373</v>
      </c>
      <c r="K1110" s="2" t="s">
        <v>8521</v>
      </c>
      <c r="L1110" s="1">
        <v>8</v>
      </c>
      <c r="M1110" s="1">
        <v>10</v>
      </c>
      <c r="N1110" s="1">
        <v>2</v>
      </c>
      <c r="O1110" s="3">
        <v>46233.65914210648</v>
      </c>
    </row>
    <row r="1111" spans="1:15" ht="60" x14ac:dyDescent="0.25">
      <c r="A1111" s="5" t="s">
        <v>3497</v>
      </c>
      <c r="B1111" s="1" t="s">
        <v>8522</v>
      </c>
      <c r="C1111" s="1">
        <v>1893</v>
      </c>
      <c r="D1111" s="1" t="s">
        <v>8523</v>
      </c>
      <c r="E1111" s="1">
        <v>1970</v>
      </c>
      <c r="F1111" s="1" t="s">
        <v>14</v>
      </c>
      <c r="J1111" s="3">
        <v>46057.488425925927</v>
      </c>
      <c r="K1111" s="2" t="s">
        <v>8524</v>
      </c>
      <c r="L1111" s="1">
        <v>34</v>
      </c>
      <c r="M1111" s="1">
        <v>35</v>
      </c>
      <c r="N1111" s="1">
        <v>1</v>
      </c>
      <c r="O1111" s="3">
        <v>46233.65914210648</v>
      </c>
    </row>
    <row r="1112" spans="1:15" ht="75" x14ac:dyDescent="0.25">
      <c r="A1112" s="5" t="s">
        <v>3500</v>
      </c>
      <c r="B1112" s="1" t="s">
        <v>8525</v>
      </c>
      <c r="C1112" s="1">
        <v>1945</v>
      </c>
      <c r="D1112" s="1" t="s">
        <v>8526</v>
      </c>
      <c r="G1112" s="1" t="s">
        <v>10</v>
      </c>
      <c r="H1112" s="2" t="s">
        <v>8527</v>
      </c>
      <c r="I1112" s="2" t="s">
        <v>8528</v>
      </c>
      <c r="J1112" s="3">
        <v>46000.633668981478</v>
      </c>
      <c r="K1112" s="2" t="s">
        <v>8529</v>
      </c>
      <c r="L1112" s="1">
        <v>47</v>
      </c>
      <c r="M1112" s="1">
        <v>62</v>
      </c>
      <c r="N1112" s="1">
        <v>15</v>
      </c>
      <c r="O1112" s="3">
        <v>46233.65914210648</v>
      </c>
    </row>
    <row r="1113" spans="1:15" ht="30" x14ac:dyDescent="0.25">
      <c r="A1113" s="5" t="s">
        <v>3503</v>
      </c>
      <c r="B1113" s="1" t="s">
        <v>8530</v>
      </c>
      <c r="C1113" s="1">
        <v>1928</v>
      </c>
      <c r="E1113" s="1">
        <v>2021</v>
      </c>
      <c r="G1113" s="1" t="s">
        <v>10</v>
      </c>
      <c r="J1113" s="3">
        <v>46055.664733796293</v>
      </c>
      <c r="K1113" s="2" t="s">
        <v>8531</v>
      </c>
      <c r="L1113" s="1">
        <v>0</v>
      </c>
      <c r="M1113" s="1">
        <v>0</v>
      </c>
      <c r="N1113" s="1">
        <v>0</v>
      </c>
      <c r="O1113" s="3">
        <v>46233.65914210648</v>
      </c>
    </row>
    <row r="1114" spans="1:15" ht="60" x14ac:dyDescent="0.25">
      <c r="A1114" s="5" t="s">
        <v>3506</v>
      </c>
      <c r="B1114" s="1" t="s">
        <v>8532</v>
      </c>
      <c r="C1114" s="1" t="s">
        <v>12</v>
      </c>
      <c r="G1114" s="1" t="s">
        <v>11</v>
      </c>
      <c r="J1114" s="3">
        <v>46043.620879629627</v>
      </c>
      <c r="K1114" s="2" t="s">
        <v>8533</v>
      </c>
      <c r="L1114" s="1">
        <v>1</v>
      </c>
      <c r="M1114" s="1">
        <v>1</v>
      </c>
      <c r="N1114" s="1">
        <v>0</v>
      </c>
      <c r="O1114" s="3">
        <v>46233.65914210648</v>
      </c>
    </row>
    <row r="1115" spans="1:15" x14ac:dyDescent="0.25">
      <c r="A1115" s="5" t="s">
        <v>3509</v>
      </c>
      <c r="B1115" s="1" t="s">
        <v>8534</v>
      </c>
      <c r="C1115" s="1" t="s">
        <v>152</v>
      </c>
      <c r="J1115" s="3">
        <v>45961.559490740743</v>
      </c>
      <c r="K1115" s="2" t="s">
        <v>8263</v>
      </c>
      <c r="L1115" s="1">
        <v>2</v>
      </c>
      <c r="M1115" s="1">
        <v>2</v>
      </c>
      <c r="N1115" s="1">
        <v>0</v>
      </c>
      <c r="O1115" s="3">
        <v>46233.65914210648</v>
      </c>
    </row>
    <row r="1116" spans="1:15" ht="45" x14ac:dyDescent="0.25">
      <c r="A1116" s="5" t="s">
        <v>3512</v>
      </c>
      <c r="B1116" s="1" t="s">
        <v>8535</v>
      </c>
      <c r="C1116" s="1" t="s">
        <v>12</v>
      </c>
      <c r="G1116" s="1" t="s">
        <v>11</v>
      </c>
      <c r="J1116" s="3">
        <v>45987.583657407406</v>
      </c>
      <c r="K1116" s="2" t="s">
        <v>8536</v>
      </c>
      <c r="L1116" s="1">
        <v>1</v>
      </c>
      <c r="M1116" s="1">
        <v>1</v>
      </c>
      <c r="N1116" s="1">
        <v>0</v>
      </c>
      <c r="O1116" s="3">
        <v>46233.65914210648</v>
      </c>
    </row>
    <row r="1117" spans="1:15" ht="75" x14ac:dyDescent="0.25">
      <c r="A1117" s="5" t="s">
        <v>3515</v>
      </c>
      <c r="B1117" s="1" t="s">
        <v>8537</v>
      </c>
      <c r="C1117" s="1">
        <v>1949</v>
      </c>
      <c r="I1117" s="2" t="s">
        <v>8538</v>
      </c>
      <c r="J1117" s="3">
        <v>45962.79109953704</v>
      </c>
      <c r="K1117" s="2" t="s">
        <v>8539</v>
      </c>
      <c r="L1117" s="1">
        <v>26</v>
      </c>
      <c r="M1117" s="1">
        <v>119</v>
      </c>
      <c r="N1117" s="1">
        <v>93</v>
      </c>
      <c r="O1117" s="3">
        <v>46233.65914210648</v>
      </c>
    </row>
    <row r="1118" spans="1:15" ht="30" x14ac:dyDescent="0.25">
      <c r="A1118" s="5" t="s">
        <v>3518</v>
      </c>
      <c r="B1118" s="1" t="s">
        <v>8540</v>
      </c>
      <c r="C1118" s="1" t="s">
        <v>12</v>
      </c>
      <c r="G1118" s="1" t="s">
        <v>10</v>
      </c>
      <c r="J1118" s="3">
        <v>45987.58520833333</v>
      </c>
      <c r="K1118" s="2" t="s">
        <v>8541</v>
      </c>
      <c r="L1118" s="1">
        <v>1</v>
      </c>
      <c r="M1118" s="1">
        <v>1</v>
      </c>
      <c r="N1118" s="1">
        <v>0</v>
      </c>
      <c r="O1118" s="3">
        <v>46233.65914210648</v>
      </c>
    </row>
    <row r="1119" spans="1:15" x14ac:dyDescent="0.25">
      <c r="A1119" s="5" t="s">
        <v>3521</v>
      </c>
      <c r="B1119" s="1" t="s">
        <v>8542</v>
      </c>
      <c r="C1119" s="1">
        <v>1753</v>
      </c>
      <c r="D1119" s="1" t="s">
        <v>14</v>
      </c>
      <c r="E1119" s="1">
        <v>1826</v>
      </c>
      <c r="F1119" s="1" t="s">
        <v>14</v>
      </c>
      <c r="G1119" s="1" t="s">
        <v>10</v>
      </c>
      <c r="J1119" s="3">
        <v>46057.33630787037</v>
      </c>
      <c r="K1119" s="2" t="s">
        <v>8544</v>
      </c>
      <c r="L1119" s="1">
        <v>2</v>
      </c>
      <c r="M1119" s="1">
        <v>14</v>
      </c>
      <c r="N1119" s="1">
        <v>12</v>
      </c>
      <c r="O1119" s="3">
        <v>46233.65914210648</v>
      </c>
    </row>
    <row r="1120" spans="1:15" ht="105" x14ac:dyDescent="0.25">
      <c r="A1120" s="5" t="s">
        <v>3524</v>
      </c>
      <c r="B1120" s="1" t="s">
        <v>8545</v>
      </c>
      <c r="C1120" s="1">
        <v>1934</v>
      </c>
      <c r="E1120" s="1">
        <v>1964</v>
      </c>
      <c r="J1120" s="3">
        <v>46051.600312499999</v>
      </c>
      <c r="K1120" s="2" t="s">
        <v>8547</v>
      </c>
      <c r="L1120" s="1">
        <v>3</v>
      </c>
      <c r="M1120" s="1">
        <v>3</v>
      </c>
      <c r="N1120" s="1">
        <v>0</v>
      </c>
      <c r="O1120" s="3">
        <v>46233.65914210648</v>
      </c>
    </row>
    <row r="1121" spans="1:15" x14ac:dyDescent="0.25">
      <c r="A1121" s="5" t="s">
        <v>3527</v>
      </c>
      <c r="B1121" s="1" t="s">
        <v>8548</v>
      </c>
      <c r="C1121" s="1">
        <v>2022</v>
      </c>
      <c r="J1121" s="3">
        <v>45867.47587962963</v>
      </c>
      <c r="L1121" s="1">
        <v>1</v>
      </c>
      <c r="M1121" s="1">
        <v>1</v>
      </c>
      <c r="N1121" s="1">
        <v>0</v>
      </c>
      <c r="O1121" s="3">
        <v>46233.65914210648</v>
      </c>
    </row>
    <row r="1122" spans="1:15" ht="45" x14ac:dyDescent="0.25">
      <c r="A1122" s="5" t="s">
        <v>3530</v>
      </c>
      <c r="B1122" s="1" t="s">
        <v>8549</v>
      </c>
      <c r="C1122" s="1">
        <v>1866</v>
      </c>
      <c r="D1122" s="1" t="s">
        <v>6384</v>
      </c>
      <c r="E1122" s="1">
        <v>1932</v>
      </c>
      <c r="F1122" s="1" t="s">
        <v>14</v>
      </c>
      <c r="G1122" s="1" t="s">
        <v>10</v>
      </c>
      <c r="I1122" s="2" t="s">
        <v>140</v>
      </c>
      <c r="J1122" s="3">
        <v>46057.488333333335</v>
      </c>
      <c r="K1122" s="2" t="s">
        <v>8550</v>
      </c>
      <c r="L1122" s="1">
        <v>86</v>
      </c>
      <c r="M1122" s="1">
        <v>116</v>
      </c>
      <c r="N1122" s="1">
        <v>30</v>
      </c>
      <c r="O1122" s="3">
        <v>46233.65914210648</v>
      </c>
    </row>
    <row r="1123" spans="1:15" ht="30" x14ac:dyDescent="0.25">
      <c r="A1123" s="5" t="s">
        <v>3533</v>
      </c>
      <c r="B1123" s="1" t="s">
        <v>8551</v>
      </c>
      <c r="C1123" s="1" t="s">
        <v>12</v>
      </c>
      <c r="G1123" s="1" t="s">
        <v>11</v>
      </c>
      <c r="J1123" s="3">
        <v>45988.314826388887</v>
      </c>
      <c r="K1123" s="2" t="s">
        <v>8552</v>
      </c>
      <c r="L1123" s="1">
        <v>5</v>
      </c>
      <c r="M1123" s="1">
        <v>5</v>
      </c>
      <c r="N1123" s="1">
        <v>0</v>
      </c>
      <c r="O1123" s="3">
        <v>46233.65914210648</v>
      </c>
    </row>
    <row r="1124" spans="1:15" ht="45" x14ac:dyDescent="0.25">
      <c r="A1124" s="5" t="s">
        <v>3536</v>
      </c>
      <c r="B1124" s="1" t="s">
        <v>8553</v>
      </c>
      <c r="C1124" s="1">
        <v>1995</v>
      </c>
      <c r="G1124" s="1" t="s">
        <v>10</v>
      </c>
      <c r="J1124" s="3">
        <v>45989.468310185184</v>
      </c>
      <c r="K1124" s="2" t="s">
        <v>8554</v>
      </c>
      <c r="L1124" s="1">
        <v>1</v>
      </c>
      <c r="M1124" s="1">
        <v>1</v>
      </c>
      <c r="N1124" s="1">
        <v>0</v>
      </c>
      <c r="O1124" s="3">
        <v>46233.65914210648</v>
      </c>
    </row>
    <row r="1125" spans="1:15" x14ac:dyDescent="0.25">
      <c r="A1125" s="5" t="s">
        <v>3539</v>
      </c>
      <c r="B1125" s="1" t="s">
        <v>8555</v>
      </c>
      <c r="C1125" s="1">
        <v>1951</v>
      </c>
      <c r="J1125" s="3">
        <v>45873.382916666669</v>
      </c>
      <c r="L1125" s="1">
        <v>6</v>
      </c>
      <c r="M1125" s="1">
        <v>7</v>
      </c>
      <c r="N1125" s="1">
        <v>1</v>
      </c>
      <c r="O1125" s="3">
        <v>46233.65914210648</v>
      </c>
    </row>
    <row r="1126" spans="1:15" ht="30" x14ac:dyDescent="0.25">
      <c r="A1126" s="5" t="s">
        <v>3542</v>
      </c>
      <c r="B1126" s="1" t="s">
        <v>8556</v>
      </c>
      <c r="C1126" s="1">
        <v>1985</v>
      </c>
      <c r="D1126" s="1" t="s">
        <v>14</v>
      </c>
      <c r="G1126" s="1" t="s">
        <v>10</v>
      </c>
      <c r="J1126" s="3">
        <v>45988.40079861111</v>
      </c>
      <c r="K1126" s="2" t="s">
        <v>8557</v>
      </c>
      <c r="L1126" s="1">
        <v>32</v>
      </c>
      <c r="M1126" s="1">
        <v>36</v>
      </c>
      <c r="N1126" s="1">
        <v>4</v>
      </c>
      <c r="O1126" s="3">
        <v>46233.65914210648</v>
      </c>
    </row>
    <row r="1127" spans="1:15" ht="90" x14ac:dyDescent="0.25">
      <c r="A1127" s="5" t="s">
        <v>3545</v>
      </c>
      <c r="B1127" s="1" t="s">
        <v>8558</v>
      </c>
      <c r="C1127" s="1">
        <v>1948</v>
      </c>
      <c r="E1127" s="1">
        <v>2016</v>
      </c>
      <c r="G1127" s="1" t="s">
        <v>11</v>
      </c>
      <c r="J1127" s="3">
        <v>46051.535451388889</v>
      </c>
      <c r="K1127" s="2" t="s">
        <v>8559</v>
      </c>
      <c r="L1127" s="1">
        <v>16</v>
      </c>
      <c r="M1127" s="1">
        <v>31</v>
      </c>
      <c r="N1127" s="1">
        <v>15</v>
      </c>
      <c r="O1127" s="3">
        <v>46233.65914210648</v>
      </c>
    </row>
    <row r="1128" spans="1:15" x14ac:dyDescent="0.25">
      <c r="A1128" s="5" t="s">
        <v>3548</v>
      </c>
      <c r="B1128" s="1" t="s">
        <v>8560</v>
      </c>
      <c r="C1128" s="1">
        <v>2020</v>
      </c>
      <c r="J1128" s="3">
        <v>45875.48060185185</v>
      </c>
      <c r="L1128" s="1">
        <v>3</v>
      </c>
      <c r="M1128" s="1">
        <v>4</v>
      </c>
      <c r="N1128" s="1">
        <v>1</v>
      </c>
      <c r="O1128" s="3">
        <v>46233.65914210648</v>
      </c>
    </row>
    <row r="1129" spans="1:15" ht="75" x14ac:dyDescent="0.25">
      <c r="A1129" s="5" t="s">
        <v>3551</v>
      </c>
      <c r="B1129" s="1" t="s">
        <v>8561</v>
      </c>
      <c r="C1129" s="1" t="s">
        <v>12</v>
      </c>
      <c r="G1129" s="1" t="s">
        <v>10</v>
      </c>
      <c r="J1129" s="3">
        <v>45994.591539351852</v>
      </c>
      <c r="K1129" s="2" t="s">
        <v>8562</v>
      </c>
      <c r="L1129" s="1">
        <v>1</v>
      </c>
      <c r="M1129" s="1">
        <v>1</v>
      </c>
      <c r="N1129" s="1">
        <v>0</v>
      </c>
      <c r="O1129" s="3">
        <v>46233.65914210648</v>
      </c>
    </row>
    <row r="1130" spans="1:15" ht="135" x14ac:dyDescent="0.25">
      <c r="A1130" s="5" t="s">
        <v>3554</v>
      </c>
      <c r="B1130" s="1" t="s">
        <v>8563</v>
      </c>
      <c r="C1130" s="1" t="s">
        <v>12</v>
      </c>
      <c r="G1130" s="1" t="s">
        <v>11</v>
      </c>
      <c r="J1130" s="3">
        <v>45988.709502314814</v>
      </c>
      <c r="K1130" s="2" t="s">
        <v>8564</v>
      </c>
      <c r="L1130" s="1">
        <v>5</v>
      </c>
      <c r="M1130" s="1">
        <v>5</v>
      </c>
      <c r="N1130" s="1">
        <v>0</v>
      </c>
      <c r="O1130" s="3">
        <v>46233.65914210648</v>
      </c>
    </row>
    <row r="1131" spans="1:15" ht="90" x14ac:dyDescent="0.25">
      <c r="A1131" s="5" t="s">
        <v>3557</v>
      </c>
      <c r="B1131" s="1" t="s">
        <v>8565</v>
      </c>
      <c r="C1131" s="1">
        <v>1740</v>
      </c>
      <c r="D1131" s="1" t="s">
        <v>8567</v>
      </c>
      <c r="E1131" s="1">
        <v>1799</v>
      </c>
      <c r="F1131" s="1" t="s">
        <v>14</v>
      </c>
      <c r="H1131" s="2" t="s">
        <v>140</v>
      </c>
      <c r="I1131" s="2" t="s">
        <v>140</v>
      </c>
      <c r="J1131" s="3">
        <v>46057.48814814815</v>
      </c>
      <c r="K1131" s="2" t="s">
        <v>8569</v>
      </c>
      <c r="L1131" s="1">
        <v>182</v>
      </c>
      <c r="M1131" s="1">
        <v>196</v>
      </c>
      <c r="N1131" s="1">
        <v>14</v>
      </c>
      <c r="O1131" s="3">
        <v>46233.65914210648</v>
      </c>
    </row>
    <row r="1132" spans="1:15" ht="45" x14ac:dyDescent="0.25">
      <c r="A1132" s="5" t="s">
        <v>3560</v>
      </c>
      <c r="B1132" s="1" t="s">
        <v>8570</v>
      </c>
      <c r="C1132" s="1">
        <v>1837</v>
      </c>
      <c r="D1132" s="1" t="s">
        <v>8572</v>
      </c>
      <c r="E1132" s="1">
        <v>1909</v>
      </c>
      <c r="F1132" s="1" t="s">
        <v>8301</v>
      </c>
      <c r="G1132" s="1" t="s">
        <v>10</v>
      </c>
      <c r="J1132" s="3">
        <v>46057.461851851855</v>
      </c>
      <c r="K1132" s="2" t="s">
        <v>8573</v>
      </c>
      <c r="L1132" s="1">
        <v>57</v>
      </c>
      <c r="M1132" s="1">
        <v>57</v>
      </c>
      <c r="N1132" s="1">
        <v>0</v>
      </c>
      <c r="O1132" s="3">
        <v>46233.65914210648</v>
      </c>
    </row>
    <row r="1133" spans="1:15" ht="180" x14ac:dyDescent="0.25">
      <c r="A1133" s="5" t="s">
        <v>3563</v>
      </c>
      <c r="B1133" s="1" t="s">
        <v>8574</v>
      </c>
      <c r="C1133" s="1">
        <v>1936</v>
      </c>
      <c r="G1133" s="1" t="s">
        <v>10</v>
      </c>
      <c r="J1133" s="3">
        <v>45993.386678240742</v>
      </c>
      <c r="K1133" s="2" t="s">
        <v>8575</v>
      </c>
      <c r="L1133" s="1">
        <v>1</v>
      </c>
      <c r="M1133" s="1">
        <v>6</v>
      </c>
      <c r="N1133" s="1">
        <v>5</v>
      </c>
      <c r="O1133" s="3">
        <v>46233.65914210648</v>
      </c>
    </row>
    <row r="1134" spans="1:15" ht="45" x14ac:dyDescent="0.25">
      <c r="A1134" s="5" t="s">
        <v>3566</v>
      </c>
      <c r="B1134" s="1" t="s">
        <v>8576</v>
      </c>
      <c r="C1134" s="1">
        <v>1941</v>
      </c>
      <c r="E1134" s="1">
        <v>1986</v>
      </c>
      <c r="J1134" s="3">
        <v>46037.765439814815</v>
      </c>
      <c r="K1134" s="2" t="s">
        <v>8577</v>
      </c>
      <c r="L1134" s="1">
        <v>95</v>
      </c>
      <c r="M1134" s="1">
        <v>95</v>
      </c>
      <c r="N1134" s="1">
        <v>0</v>
      </c>
      <c r="O1134" s="3">
        <v>46233.65914210648</v>
      </c>
    </row>
    <row r="1135" spans="1:15" ht="105" x14ac:dyDescent="0.25">
      <c r="A1135" s="5" t="s">
        <v>3569</v>
      </c>
      <c r="B1135" s="1" t="s">
        <v>8578</v>
      </c>
      <c r="J1135" s="3">
        <v>46003.59915509259</v>
      </c>
      <c r="K1135" s="2" t="s">
        <v>8579</v>
      </c>
      <c r="L1135" s="1">
        <v>1</v>
      </c>
      <c r="M1135" s="1">
        <v>1</v>
      </c>
      <c r="N1135" s="1">
        <v>0</v>
      </c>
      <c r="O1135" s="3">
        <v>46233.65914210648</v>
      </c>
    </row>
    <row r="1136" spans="1:15" ht="195" x14ac:dyDescent="0.25">
      <c r="A1136" s="5" t="s">
        <v>3572</v>
      </c>
      <c r="B1136" s="1" t="s">
        <v>8580</v>
      </c>
      <c r="C1136" s="1">
        <v>2006</v>
      </c>
      <c r="J1136" s="3">
        <v>46055.68546296296</v>
      </c>
      <c r="K1136" s="2" t="s">
        <v>8581</v>
      </c>
      <c r="L1136" s="1">
        <v>17</v>
      </c>
      <c r="M1136" s="1">
        <v>21</v>
      </c>
      <c r="N1136" s="1">
        <v>4</v>
      </c>
      <c r="O1136" s="3">
        <v>46233.65914210648</v>
      </c>
    </row>
    <row r="1137" spans="1:15" ht="120" x14ac:dyDescent="0.25">
      <c r="A1137" s="5" t="s">
        <v>3575</v>
      </c>
      <c r="B1137" s="1" t="s">
        <v>8582</v>
      </c>
      <c r="C1137" s="1">
        <v>1809</v>
      </c>
      <c r="D1137" s="1" t="s">
        <v>14</v>
      </c>
      <c r="E1137" s="1">
        <v>1872</v>
      </c>
      <c r="F1137" s="1" t="s">
        <v>14</v>
      </c>
      <c r="G1137" s="1" t="s">
        <v>10</v>
      </c>
      <c r="H1137" s="2" t="s">
        <v>140</v>
      </c>
      <c r="I1137" s="2" t="s">
        <v>8583</v>
      </c>
      <c r="J1137" s="3">
        <v>46057.488217592596</v>
      </c>
      <c r="K1137" s="2" t="s">
        <v>8584</v>
      </c>
      <c r="L1137" s="1">
        <v>114</v>
      </c>
      <c r="M1137" s="1">
        <v>115</v>
      </c>
      <c r="N1137" s="1">
        <v>1</v>
      </c>
      <c r="O1137" s="3">
        <v>46233.65914210648</v>
      </c>
    </row>
    <row r="1138" spans="1:15" ht="45" x14ac:dyDescent="0.25">
      <c r="A1138" s="5" t="s">
        <v>3578</v>
      </c>
      <c r="B1138" s="1" t="s">
        <v>8585</v>
      </c>
      <c r="C1138" s="1">
        <v>1992</v>
      </c>
      <c r="G1138" s="1" t="s">
        <v>11</v>
      </c>
      <c r="J1138" s="3">
        <v>45989.405104166668</v>
      </c>
      <c r="K1138" s="2" t="s">
        <v>8586</v>
      </c>
      <c r="L1138" s="1">
        <v>2</v>
      </c>
      <c r="M1138" s="1">
        <v>6</v>
      </c>
      <c r="N1138" s="1">
        <v>4</v>
      </c>
      <c r="O1138" s="3">
        <v>46233.65914210648</v>
      </c>
    </row>
    <row r="1139" spans="1:15" x14ac:dyDescent="0.25">
      <c r="A1139" s="5" t="s">
        <v>3581</v>
      </c>
      <c r="B1139" s="1" t="s">
        <v>8587</v>
      </c>
      <c r="C1139" s="1">
        <v>1971</v>
      </c>
      <c r="G1139" s="1" t="s">
        <v>10</v>
      </c>
      <c r="J1139" s="3">
        <v>46009.349085648151</v>
      </c>
      <c r="K1139" s="2" t="s">
        <v>6438</v>
      </c>
      <c r="L1139" s="1">
        <v>1</v>
      </c>
      <c r="M1139" s="1">
        <v>1</v>
      </c>
      <c r="N1139" s="1">
        <v>0</v>
      </c>
      <c r="O1139" s="3">
        <v>46233.65914210648</v>
      </c>
    </row>
    <row r="1140" spans="1:15" ht="30" x14ac:dyDescent="0.25">
      <c r="A1140" s="5" t="s">
        <v>3584</v>
      </c>
      <c r="B1140" s="1" t="s">
        <v>8588</v>
      </c>
      <c r="C1140" s="1">
        <v>1977</v>
      </c>
      <c r="D1140" s="1" t="s">
        <v>8589</v>
      </c>
      <c r="G1140" s="1" t="s">
        <v>11</v>
      </c>
      <c r="J1140" s="3">
        <v>45994.641030092593</v>
      </c>
      <c r="K1140" s="2" t="s">
        <v>8590</v>
      </c>
      <c r="L1140" s="1">
        <v>8</v>
      </c>
      <c r="M1140" s="1">
        <v>10</v>
      </c>
      <c r="N1140" s="1">
        <v>2</v>
      </c>
      <c r="O1140" s="3">
        <v>46233.65914210648</v>
      </c>
    </row>
    <row r="1141" spans="1:15" ht="90" x14ac:dyDescent="0.25">
      <c r="A1141" s="5" t="s">
        <v>3587</v>
      </c>
      <c r="B1141" s="1" t="s">
        <v>8591</v>
      </c>
      <c r="C1141" s="1">
        <v>1994</v>
      </c>
      <c r="G1141" s="1" t="s">
        <v>11</v>
      </c>
      <c r="J1141" s="3">
        <v>45989.413287037038</v>
      </c>
      <c r="K1141" s="2" t="s">
        <v>8592</v>
      </c>
      <c r="L1141" s="1">
        <v>1</v>
      </c>
      <c r="M1141" s="1">
        <v>1</v>
      </c>
      <c r="N1141" s="1">
        <v>0</v>
      </c>
      <c r="O1141" s="3">
        <v>46233.65914210648</v>
      </c>
    </row>
    <row r="1142" spans="1:15" x14ac:dyDescent="0.25">
      <c r="A1142" s="5" t="s">
        <v>3590</v>
      </c>
      <c r="B1142" s="1" t="s">
        <v>8593</v>
      </c>
      <c r="C1142" s="1" t="s">
        <v>12</v>
      </c>
      <c r="E1142" s="1">
        <v>2015</v>
      </c>
      <c r="G1142" s="1" t="s">
        <v>10</v>
      </c>
      <c r="J1142" s="3">
        <v>46034.400127314817</v>
      </c>
      <c r="K1142" s="2" t="s">
        <v>138</v>
      </c>
      <c r="L1142" s="1">
        <v>1</v>
      </c>
      <c r="M1142" s="1">
        <v>1</v>
      </c>
      <c r="N1142" s="1">
        <v>0</v>
      </c>
      <c r="O1142" s="3">
        <v>46233.65914210648</v>
      </c>
    </row>
    <row r="1143" spans="1:15" ht="45" x14ac:dyDescent="0.25">
      <c r="A1143" s="5" t="s">
        <v>3593</v>
      </c>
      <c r="B1143" s="1" t="s">
        <v>8594</v>
      </c>
      <c r="C1143" s="1" t="s">
        <v>12</v>
      </c>
      <c r="G1143" s="1" t="s">
        <v>11</v>
      </c>
      <c r="J1143" s="3">
        <v>45995.616736111115</v>
      </c>
      <c r="K1143" s="2" t="s">
        <v>8595</v>
      </c>
      <c r="L1143" s="1">
        <v>2</v>
      </c>
      <c r="M1143" s="1">
        <v>2</v>
      </c>
      <c r="N1143" s="1">
        <v>0</v>
      </c>
      <c r="O1143" s="3">
        <v>46233.65914210648</v>
      </c>
    </row>
    <row r="1144" spans="1:15" ht="105" x14ac:dyDescent="0.25">
      <c r="A1144" s="5" t="s">
        <v>3596</v>
      </c>
      <c r="B1144" s="1" t="s">
        <v>8596</v>
      </c>
      <c r="C1144" s="1">
        <v>1946</v>
      </c>
      <c r="G1144" s="1" t="s">
        <v>10</v>
      </c>
      <c r="J1144" s="3">
        <v>46043.776608796295</v>
      </c>
      <c r="K1144" s="2" t="s">
        <v>8597</v>
      </c>
      <c r="L1144" s="1">
        <v>1</v>
      </c>
      <c r="M1144" s="1">
        <v>1</v>
      </c>
      <c r="N1144" s="1">
        <v>0</v>
      </c>
      <c r="O1144" s="3">
        <v>46233.65914210648</v>
      </c>
    </row>
    <row r="1145" spans="1:15" ht="45" x14ac:dyDescent="0.25">
      <c r="A1145" s="5" t="s">
        <v>3599</v>
      </c>
      <c r="B1145" s="1" t="s">
        <v>8598</v>
      </c>
      <c r="C1145" s="1">
        <v>1996</v>
      </c>
      <c r="G1145" s="1" t="s">
        <v>11</v>
      </c>
      <c r="J1145" s="3">
        <v>45989.479861111111</v>
      </c>
      <c r="K1145" s="2" t="s">
        <v>8599</v>
      </c>
      <c r="L1145" s="1">
        <v>1</v>
      </c>
      <c r="M1145" s="1">
        <v>1</v>
      </c>
      <c r="N1145" s="1">
        <v>0</v>
      </c>
      <c r="O1145" s="3">
        <v>46233.65914210648</v>
      </c>
    </row>
    <row r="1146" spans="1:15" ht="90" x14ac:dyDescent="0.25">
      <c r="A1146" s="5" t="s">
        <v>3602</v>
      </c>
      <c r="B1146" s="1" t="s">
        <v>8600</v>
      </c>
      <c r="C1146" s="1">
        <v>1859</v>
      </c>
      <c r="E1146" s="1">
        <v>1931</v>
      </c>
      <c r="G1146" s="1" t="s">
        <v>10</v>
      </c>
      <c r="J1146" s="3">
        <v>46048.79960648148</v>
      </c>
      <c r="K1146" s="2" t="s">
        <v>8601</v>
      </c>
      <c r="L1146" s="1">
        <v>2</v>
      </c>
      <c r="M1146" s="1">
        <v>2</v>
      </c>
      <c r="N1146" s="1">
        <v>0</v>
      </c>
      <c r="O1146" s="3">
        <v>46233.65914210648</v>
      </c>
    </row>
    <row r="1147" spans="1:15" ht="30" x14ac:dyDescent="0.25">
      <c r="A1147" s="5" t="s">
        <v>3605</v>
      </c>
      <c r="B1147" s="1" t="s">
        <v>8602</v>
      </c>
      <c r="C1147" s="1">
        <v>1989</v>
      </c>
      <c r="G1147" s="1" t="s">
        <v>10</v>
      </c>
      <c r="J1147" s="3">
        <v>45994.512650462966</v>
      </c>
      <c r="K1147" s="2" t="s">
        <v>8603</v>
      </c>
      <c r="L1147" s="1">
        <v>1</v>
      </c>
      <c r="M1147" s="1">
        <v>1</v>
      </c>
      <c r="N1147" s="1">
        <v>0</v>
      </c>
      <c r="O1147" s="3">
        <v>46233.65914210648</v>
      </c>
    </row>
    <row r="1148" spans="1:15" ht="60" x14ac:dyDescent="0.25">
      <c r="A1148" s="5" t="s">
        <v>3608</v>
      </c>
      <c r="B1148" s="1" t="s">
        <v>8604</v>
      </c>
      <c r="C1148" s="1">
        <v>1976</v>
      </c>
      <c r="D1148" s="1" t="s">
        <v>8605</v>
      </c>
      <c r="G1148" s="1" t="s">
        <v>10</v>
      </c>
      <c r="H1148" s="2" t="s">
        <v>8606</v>
      </c>
      <c r="J1148" s="3">
        <v>45989.577199074076</v>
      </c>
      <c r="K1148" s="2" t="s">
        <v>8607</v>
      </c>
      <c r="L1148" s="1">
        <v>6</v>
      </c>
      <c r="M1148" s="1">
        <v>16</v>
      </c>
      <c r="N1148" s="1">
        <v>10</v>
      </c>
      <c r="O1148" s="3">
        <v>46233.65914210648</v>
      </c>
    </row>
    <row r="1149" spans="1:15" x14ac:dyDescent="0.25">
      <c r="A1149" s="5" t="s">
        <v>3611</v>
      </c>
      <c r="B1149" s="1" t="s">
        <v>8608</v>
      </c>
      <c r="C1149" s="1" t="s">
        <v>152</v>
      </c>
      <c r="E1149" s="1" t="s">
        <v>152</v>
      </c>
      <c r="J1149" s="3">
        <v>45961.492743055554</v>
      </c>
      <c r="K1149" s="2" t="s">
        <v>8263</v>
      </c>
      <c r="L1149" s="1">
        <v>1</v>
      </c>
      <c r="M1149" s="1">
        <v>1</v>
      </c>
      <c r="N1149" s="1">
        <v>0</v>
      </c>
      <c r="O1149" s="3">
        <v>46233.65914210648</v>
      </c>
    </row>
    <row r="1150" spans="1:15" x14ac:dyDescent="0.25">
      <c r="A1150" s="5" t="s">
        <v>3614</v>
      </c>
      <c r="B1150" s="1" t="s">
        <v>8609</v>
      </c>
      <c r="C1150" s="1">
        <v>1991</v>
      </c>
      <c r="G1150" s="1" t="s">
        <v>111</v>
      </c>
      <c r="J1150" s="3">
        <v>45989.579872685186</v>
      </c>
      <c r="K1150" s="2" t="s">
        <v>6417</v>
      </c>
      <c r="L1150" s="1">
        <v>1</v>
      </c>
      <c r="M1150" s="1">
        <v>1</v>
      </c>
      <c r="N1150" s="1">
        <v>0</v>
      </c>
      <c r="O1150" s="3">
        <v>46233.65914210648</v>
      </c>
    </row>
    <row r="1151" spans="1:15" ht="75" x14ac:dyDescent="0.25">
      <c r="A1151" s="5" t="s">
        <v>3617</v>
      </c>
      <c r="B1151" s="1" t="s">
        <v>8610</v>
      </c>
      <c r="C1151" s="1">
        <v>1939</v>
      </c>
      <c r="E1151" s="1">
        <v>2003</v>
      </c>
      <c r="G1151" s="1" t="s">
        <v>10</v>
      </c>
      <c r="J1151" s="3">
        <v>46056.482847222222</v>
      </c>
      <c r="K1151" s="2" t="s">
        <v>8611</v>
      </c>
      <c r="L1151" s="1">
        <v>51</v>
      </c>
      <c r="M1151" s="1">
        <v>53</v>
      </c>
      <c r="N1151" s="1">
        <v>2</v>
      </c>
      <c r="O1151" s="3">
        <v>46233.65914210648</v>
      </c>
    </row>
    <row r="1152" spans="1:15" x14ac:dyDescent="0.25">
      <c r="A1152" s="5" t="s">
        <v>3620</v>
      </c>
      <c r="B1152" s="1" t="s">
        <v>8612</v>
      </c>
      <c r="C1152" s="1">
        <v>2018</v>
      </c>
      <c r="J1152" s="3">
        <v>45888.344143518516</v>
      </c>
      <c r="L1152" s="1">
        <v>1</v>
      </c>
      <c r="M1152" s="1">
        <v>1</v>
      </c>
      <c r="N1152" s="1">
        <v>0</v>
      </c>
      <c r="O1152" s="3">
        <v>46233.65914210648</v>
      </c>
    </row>
    <row r="1153" spans="1:15" ht="45" x14ac:dyDescent="0.25">
      <c r="A1153" s="5" t="s">
        <v>3623</v>
      </c>
      <c r="B1153" s="1" t="s">
        <v>8613</v>
      </c>
      <c r="C1153" s="1">
        <v>1477</v>
      </c>
      <c r="D1153" s="1" t="s">
        <v>8615</v>
      </c>
      <c r="E1153" s="1">
        <v>1544</v>
      </c>
      <c r="F1153" s="1" t="s">
        <v>8617</v>
      </c>
      <c r="J1153" s="3">
        <v>46057.488391203704</v>
      </c>
      <c r="K1153" s="2" t="s">
        <v>8618</v>
      </c>
      <c r="L1153" s="1">
        <v>2</v>
      </c>
      <c r="M1153" s="1">
        <v>4</v>
      </c>
      <c r="N1153" s="1">
        <v>2</v>
      </c>
      <c r="O1153" s="3">
        <v>46233.65914210648</v>
      </c>
    </row>
    <row r="1154" spans="1:15" ht="45" x14ac:dyDescent="0.25">
      <c r="A1154" s="5" t="s">
        <v>3626</v>
      </c>
      <c r="B1154" s="1" t="s">
        <v>8619</v>
      </c>
      <c r="C1154" s="1">
        <v>1972</v>
      </c>
      <c r="G1154" s="1" t="s">
        <v>11</v>
      </c>
      <c r="J1154" s="3">
        <v>45994.545416666668</v>
      </c>
      <c r="K1154" s="2" t="s">
        <v>8620</v>
      </c>
      <c r="L1154" s="1">
        <v>1</v>
      </c>
      <c r="M1154" s="1">
        <v>1</v>
      </c>
      <c r="N1154" s="1">
        <v>0</v>
      </c>
      <c r="O1154" s="3">
        <v>46233.65914210648</v>
      </c>
    </row>
    <row r="1155" spans="1:15" ht="45" x14ac:dyDescent="0.25">
      <c r="A1155" s="5" t="s">
        <v>3629</v>
      </c>
      <c r="B1155" s="1" t="s">
        <v>8621</v>
      </c>
      <c r="D1155" s="1" t="s">
        <v>8622</v>
      </c>
      <c r="G1155" s="1" t="s">
        <v>11</v>
      </c>
      <c r="J1155" s="3">
        <v>45994.406134259261</v>
      </c>
      <c r="K1155" s="2" t="s">
        <v>8623</v>
      </c>
      <c r="L1155" s="1">
        <v>5</v>
      </c>
      <c r="M1155" s="1">
        <v>5</v>
      </c>
      <c r="N1155" s="1">
        <v>0</v>
      </c>
      <c r="O1155" s="3">
        <v>46233.65914210648</v>
      </c>
    </row>
    <row r="1156" spans="1:15" ht="45" x14ac:dyDescent="0.25">
      <c r="A1156" s="5" t="s">
        <v>3632</v>
      </c>
      <c r="B1156" s="1" t="s">
        <v>8624</v>
      </c>
      <c r="C1156" s="1">
        <v>1694</v>
      </c>
      <c r="D1156" s="1" t="s">
        <v>14</v>
      </c>
      <c r="E1156" s="1">
        <v>1748</v>
      </c>
      <c r="F1156" s="1" t="s">
        <v>14</v>
      </c>
      <c r="G1156" s="1" t="s">
        <v>10</v>
      </c>
      <c r="J1156" s="3">
        <v>46057.488136574073</v>
      </c>
      <c r="K1156" s="2" t="s">
        <v>8626</v>
      </c>
      <c r="L1156" s="1">
        <v>27</v>
      </c>
      <c r="M1156" s="1">
        <v>33</v>
      </c>
      <c r="N1156" s="1">
        <v>6</v>
      </c>
      <c r="O1156" s="3">
        <v>46233.65914210648</v>
      </c>
    </row>
    <row r="1157" spans="1:15" ht="45" x14ac:dyDescent="0.25">
      <c r="A1157" s="5" t="s">
        <v>3635</v>
      </c>
      <c r="B1157" s="1" t="s">
        <v>8627</v>
      </c>
      <c r="C1157" s="1" t="s">
        <v>152</v>
      </c>
      <c r="E1157" s="1" t="s">
        <v>8394</v>
      </c>
      <c r="G1157" s="1" t="s">
        <v>10</v>
      </c>
      <c r="J1157" s="3">
        <v>46031.471805555557</v>
      </c>
      <c r="K1157" s="2" t="s">
        <v>8628</v>
      </c>
      <c r="L1157" s="1">
        <v>1</v>
      </c>
      <c r="M1157" s="1">
        <v>1</v>
      </c>
      <c r="N1157" s="1">
        <v>0</v>
      </c>
      <c r="O1157" s="3">
        <v>46233.65914210648</v>
      </c>
    </row>
    <row r="1158" spans="1:15" ht="135" x14ac:dyDescent="0.25">
      <c r="A1158" s="5" t="s">
        <v>3638</v>
      </c>
      <c r="B1158" s="1" t="s">
        <v>8629</v>
      </c>
      <c r="C1158" s="1">
        <v>1947</v>
      </c>
      <c r="D1158" s="1" t="s">
        <v>8025</v>
      </c>
      <c r="E1158" s="1">
        <v>2000</v>
      </c>
      <c r="F1158" s="1" t="s">
        <v>14</v>
      </c>
      <c r="G1158" s="1" t="s">
        <v>11</v>
      </c>
      <c r="J1158" s="3">
        <v>46041.653298611112</v>
      </c>
      <c r="K1158" s="2" t="s">
        <v>8630</v>
      </c>
      <c r="L1158" s="1">
        <v>66</v>
      </c>
      <c r="M1158" s="1">
        <v>66</v>
      </c>
      <c r="N1158" s="1">
        <v>0</v>
      </c>
      <c r="O1158" s="3">
        <v>46233.65914210648</v>
      </c>
    </row>
    <row r="1159" spans="1:15" ht="345" x14ac:dyDescent="0.25">
      <c r="A1159" s="5" t="s">
        <v>3641</v>
      </c>
      <c r="B1159" s="1" t="s">
        <v>8631</v>
      </c>
      <c r="C1159" s="1">
        <v>1748</v>
      </c>
      <c r="E1159" s="1">
        <v>2006</v>
      </c>
      <c r="J1159" s="3">
        <v>46052.769293981481</v>
      </c>
      <c r="K1159" s="2" t="s">
        <v>8632</v>
      </c>
      <c r="L1159" s="1">
        <v>24</v>
      </c>
      <c r="M1159" s="1">
        <v>35</v>
      </c>
      <c r="N1159" s="1">
        <v>11</v>
      </c>
      <c r="O1159" s="3">
        <v>46233.65914210648</v>
      </c>
    </row>
    <row r="1160" spans="1:15" ht="105" x14ac:dyDescent="0.25">
      <c r="A1160" s="5" t="s">
        <v>3644</v>
      </c>
      <c r="B1160" s="1" t="s">
        <v>8633</v>
      </c>
      <c r="C1160" s="1">
        <v>1949</v>
      </c>
      <c r="G1160" s="1" t="s">
        <v>10</v>
      </c>
      <c r="J1160" s="3">
        <v>46035.447592592594</v>
      </c>
      <c r="K1160" s="2" t="s">
        <v>8634</v>
      </c>
      <c r="L1160" s="1">
        <v>11</v>
      </c>
      <c r="M1160" s="1">
        <v>27</v>
      </c>
      <c r="N1160" s="1">
        <v>16</v>
      </c>
      <c r="O1160" s="3">
        <v>46233.65914210648</v>
      </c>
    </row>
    <row r="1161" spans="1:15" ht="75" x14ac:dyDescent="0.25">
      <c r="A1161" s="5" t="s">
        <v>3647</v>
      </c>
      <c r="B1161" s="1" t="s">
        <v>8635</v>
      </c>
      <c r="C1161" s="1">
        <v>1865</v>
      </c>
      <c r="E1161" s="1">
        <v>1950</v>
      </c>
      <c r="G1161" s="1" t="s">
        <v>10</v>
      </c>
      <c r="J1161" s="3">
        <v>46043.760972222219</v>
      </c>
      <c r="K1161" s="2" t="s">
        <v>8636</v>
      </c>
      <c r="L1161" s="1">
        <v>44</v>
      </c>
      <c r="M1161" s="1">
        <v>45</v>
      </c>
      <c r="N1161" s="1">
        <v>1</v>
      </c>
      <c r="O1161" s="3">
        <v>46233.65914210648</v>
      </c>
    </row>
    <row r="1162" spans="1:15" ht="45" x14ac:dyDescent="0.25">
      <c r="A1162" s="5" t="s">
        <v>3650</v>
      </c>
      <c r="B1162" s="1" t="s">
        <v>8637</v>
      </c>
      <c r="C1162" s="1">
        <v>1966</v>
      </c>
      <c r="G1162" s="1" t="s">
        <v>11</v>
      </c>
      <c r="J1162" s="3">
        <v>45994.610254629632</v>
      </c>
      <c r="K1162" s="2" t="s">
        <v>8638</v>
      </c>
      <c r="L1162" s="1">
        <v>1</v>
      </c>
      <c r="M1162" s="1">
        <v>1</v>
      </c>
      <c r="N1162" s="1">
        <v>0</v>
      </c>
      <c r="O1162" s="3">
        <v>46233.65914210648</v>
      </c>
    </row>
    <row r="1163" spans="1:15" ht="60" x14ac:dyDescent="0.25">
      <c r="A1163" s="5" t="s">
        <v>3653</v>
      </c>
      <c r="B1163" s="1" t="s">
        <v>8639</v>
      </c>
      <c r="C1163" s="1">
        <v>1865</v>
      </c>
      <c r="D1163" s="1" t="s">
        <v>8640</v>
      </c>
      <c r="E1163" s="1">
        <v>1940</v>
      </c>
      <c r="F1163" s="1" t="s">
        <v>14</v>
      </c>
      <c r="G1163" s="1" t="s">
        <v>10</v>
      </c>
      <c r="H1163" s="2" t="s">
        <v>8641</v>
      </c>
      <c r="I1163" s="2" t="s">
        <v>8642</v>
      </c>
      <c r="J1163" s="3">
        <v>46057.488067129627</v>
      </c>
      <c r="K1163" s="2" t="s">
        <v>8643</v>
      </c>
      <c r="L1163" s="1">
        <v>5</v>
      </c>
      <c r="M1163" s="1">
        <v>5</v>
      </c>
      <c r="N1163" s="1">
        <v>0</v>
      </c>
      <c r="O1163" s="3">
        <v>46233.65914210648</v>
      </c>
    </row>
    <row r="1164" spans="1:15" ht="150" x14ac:dyDescent="0.25">
      <c r="A1164" s="5" t="s">
        <v>3656</v>
      </c>
      <c r="B1164" s="1" t="s">
        <v>8644</v>
      </c>
      <c r="C1164" s="1">
        <v>2003</v>
      </c>
      <c r="J1164" s="3">
        <v>46003.60125</v>
      </c>
      <c r="K1164" s="2" t="s">
        <v>8645</v>
      </c>
      <c r="L1164" s="1">
        <v>4</v>
      </c>
      <c r="M1164" s="1">
        <v>4</v>
      </c>
      <c r="N1164" s="1">
        <v>0</v>
      </c>
      <c r="O1164" s="3">
        <v>46233.65914210648</v>
      </c>
    </row>
    <row r="1165" spans="1:15" ht="120" x14ac:dyDescent="0.25">
      <c r="A1165" s="5" t="s">
        <v>3659</v>
      </c>
      <c r="B1165" s="1" t="s">
        <v>8646</v>
      </c>
      <c r="C1165" s="1">
        <v>1536</v>
      </c>
      <c r="J1165" s="3">
        <v>46037.745393518519</v>
      </c>
      <c r="K1165" s="2" t="s">
        <v>8648</v>
      </c>
      <c r="L1165" s="1">
        <v>744</v>
      </c>
      <c r="M1165" s="1">
        <v>811</v>
      </c>
      <c r="N1165" s="1">
        <v>67</v>
      </c>
      <c r="O1165" s="3">
        <v>46233.65914210648</v>
      </c>
    </row>
    <row r="1166" spans="1:15" x14ac:dyDescent="0.25">
      <c r="A1166" s="5" t="s">
        <v>3662</v>
      </c>
      <c r="B1166" s="1" t="s">
        <v>8649</v>
      </c>
      <c r="C1166" s="1">
        <v>1986</v>
      </c>
      <c r="J1166" s="3">
        <v>45895.325810185182</v>
      </c>
      <c r="L1166" s="1">
        <v>0</v>
      </c>
      <c r="M1166" s="1">
        <v>0</v>
      </c>
      <c r="N1166" s="1">
        <v>0</v>
      </c>
      <c r="O1166" s="3">
        <v>46233.65914210648</v>
      </c>
    </row>
    <row r="1167" spans="1:15" ht="75" x14ac:dyDescent="0.25">
      <c r="A1167" s="5" t="s">
        <v>3665</v>
      </c>
      <c r="B1167" s="1" t="s">
        <v>8650</v>
      </c>
      <c r="C1167" s="1">
        <v>1562</v>
      </c>
      <c r="J1167" s="3">
        <v>46037.754479166666</v>
      </c>
      <c r="K1167" s="2" t="s">
        <v>8652</v>
      </c>
      <c r="L1167" s="1">
        <v>647</v>
      </c>
      <c r="M1167" s="1">
        <v>664</v>
      </c>
      <c r="N1167" s="1">
        <v>17</v>
      </c>
      <c r="O1167" s="3">
        <v>46233.65914210648</v>
      </c>
    </row>
    <row r="1168" spans="1:15" x14ac:dyDescent="0.25">
      <c r="A1168" s="5" t="s">
        <v>3668</v>
      </c>
      <c r="B1168" s="1" t="s">
        <v>8653</v>
      </c>
      <c r="C1168" s="1">
        <v>1994</v>
      </c>
      <c r="J1168" s="3">
        <v>45895.478402777779</v>
      </c>
      <c r="L1168" s="1">
        <v>1</v>
      </c>
      <c r="M1168" s="1">
        <v>1</v>
      </c>
      <c r="N1168" s="1">
        <v>0</v>
      </c>
      <c r="O1168" s="3">
        <v>46233.65914210648</v>
      </c>
    </row>
    <row r="1169" spans="1:15" ht="30" x14ac:dyDescent="0.25">
      <c r="A1169" s="5" t="s">
        <v>3671</v>
      </c>
      <c r="B1169" s="1" t="s">
        <v>8654</v>
      </c>
      <c r="C1169" s="1" t="s">
        <v>12</v>
      </c>
      <c r="G1169" s="1" t="s">
        <v>10</v>
      </c>
      <c r="J1169" s="3">
        <v>46009.343761574077</v>
      </c>
      <c r="K1169" s="2" t="s">
        <v>8655</v>
      </c>
      <c r="L1169" s="1">
        <v>1</v>
      </c>
      <c r="M1169" s="1">
        <v>1</v>
      </c>
      <c r="N1169" s="1">
        <v>0</v>
      </c>
      <c r="O1169" s="3">
        <v>46233.65914210648</v>
      </c>
    </row>
    <row r="1170" spans="1:15" x14ac:dyDescent="0.25">
      <c r="A1170" s="5" t="s">
        <v>3674</v>
      </c>
      <c r="B1170" s="1" t="s">
        <v>8656</v>
      </c>
      <c r="C1170" s="1">
        <v>2013</v>
      </c>
      <c r="J1170" s="3">
        <v>45895.488182870373</v>
      </c>
      <c r="L1170" s="1">
        <v>1</v>
      </c>
      <c r="M1170" s="1">
        <v>1</v>
      </c>
      <c r="N1170" s="1">
        <v>0</v>
      </c>
      <c r="O1170" s="3">
        <v>46233.65914210648</v>
      </c>
    </row>
    <row r="1171" spans="1:15" ht="90" x14ac:dyDescent="0.25">
      <c r="A1171" s="5" t="s">
        <v>3677</v>
      </c>
      <c r="B1171" s="1" t="s">
        <v>8657</v>
      </c>
      <c r="C1171" s="1">
        <v>1913</v>
      </c>
      <c r="D1171" s="1" t="s">
        <v>14</v>
      </c>
      <c r="E1171" s="1">
        <v>2000</v>
      </c>
      <c r="F1171" s="1" t="s">
        <v>14</v>
      </c>
      <c r="G1171" s="1" t="s">
        <v>10</v>
      </c>
      <c r="I1171" s="2" t="s">
        <v>140</v>
      </c>
      <c r="J1171" s="3">
        <v>46065.663541666669</v>
      </c>
      <c r="K1171" s="2" t="s">
        <v>8659</v>
      </c>
      <c r="L1171" s="1">
        <v>146</v>
      </c>
      <c r="M1171" s="1">
        <v>170</v>
      </c>
      <c r="N1171" s="1">
        <v>24</v>
      </c>
      <c r="O1171" s="3">
        <v>46233.65914210648</v>
      </c>
    </row>
    <row r="1172" spans="1:15" ht="45" x14ac:dyDescent="0.25">
      <c r="A1172" s="5" t="s">
        <v>3680</v>
      </c>
      <c r="B1172" s="1" t="s">
        <v>8660</v>
      </c>
      <c r="C1172" s="1">
        <v>1818</v>
      </c>
      <c r="D1172" s="1" t="s">
        <v>14</v>
      </c>
      <c r="E1172" s="1">
        <v>1890</v>
      </c>
      <c r="F1172" s="1" t="s">
        <v>14</v>
      </c>
      <c r="G1172" s="1" t="s">
        <v>10</v>
      </c>
      <c r="J1172" s="3">
        <v>46059.646817129629</v>
      </c>
      <c r="K1172" s="2" t="s">
        <v>8661</v>
      </c>
      <c r="L1172" s="1">
        <v>46</v>
      </c>
      <c r="M1172" s="1">
        <v>46</v>
      </c>
      <c r="N1172" s="1">
        <v>0</v>
      </c>
      <c r="O1172" s="3">
        <v>46233.65914210648</v>
      </c>
    </row>
    <row r="1173" spans="1:15" ht="105" x14ac:dyDescent="0.25">
      <c r="A1173" s="5" t="s">
        <v>3683</v>
      </c>
      <c r="B1173" s="1" t="s">
        <v>8662</v>
      </c>
      <c r="C1173" s="1">
        <v>1913</v>
      </c>
      <c r="E1173" s="1">
        <v>1999</v>
      </c>
      <c r="G1173" s="1" t="s">
        <v>10</v>
      </c>
      <c r="J1173" s="3">
        <v>46058.620439814818</v>
      </c>
      <c r="K1173" s="2" t="s">
        <v>8663</v>
      </c>
      <c r="L1173" s="1">
        <v>3</v>
      </c>
      <c r="M1173" s="1">
        <v>3</v>
      </c>
      <c r="N1173" s="1">
        <v>0</v>
      </c>
      <c r="O1173" s="3">
        <v>46233.65914210648</v>
      </c>
    </row>
    <row r="1174" spans="1:15" ht="75" x14ac:dyDescent="0.25">
      <c r="A1174" s="5" t="s">
        <v>3686</v>
      </c>
      <c r="B1174" s="1" t="s">
        <v>8664</v>
      </c>
      <c r="C1174" s="1">
        <v>1883</v>
      </c>
      <c r="E1174" s="1">
        <v>1943</v>
      </c>
      <c r="G1174" s="1" t="s">
        <v>10</v>
      </c>
      <c r="J1174" s="3">
        <v>46097.516724537039</v>
      </c>
      <c r="K1174" s="2" t="s">
        <v>8665</v>
      </c>
      <c r="L1174" s="1">
        <v>38</v>
      </c>
      <c r="M1174" s="1">
        <v>38</v>
      </c>
      <c r="N1174" s="1">
        <v>0</v>
      </c>
      <c r="O1174" s="3">
        <v>46233.65914210648</v>
      </c>
    </row>
    <row r="1175" spans="1:15" ht="30" x14ac:dyDescent="0.25">
      <c r="A1175" s="5" t="s">
        <v>3689</v>
      </c>
      <c r="B1175" s="1" t="s">
        <v>8666</v>
      </c>
      <c r="C1175" s="1">
        <v>1752</v>
      </c>
      <c r="D1175" s="1" t="s">
        <v>14</v>
      </c>
      <c r="E1175" s="1">
        <v>1839</v>
      </c>
      <c r="F1175" s="1" t="s">
        <v>151</v>
      </c>
      <c r="G1175" s="1" t="s">
        <v>10</v>
      </c>
      <c r="J1175" s="3">
        <v>46059.569016203706</v>
      </c>
      <c r="K1175" s="2" t="s">
        <v>8667</v>
      </c>
      <c r="L1175" s="1">
        <v>5</v>
      </c>
      <c r="M1175" s="1">
        <v>5</v>
      </c>
      <c r="N1175" s="1">
        <v>0</v>
      </c>
      <c r="O1175" s="3">
        <v>46233.65914210648</v>
      </c>
    </row>
    <row r="1176" spans="1:15" ht="60" x14ac:dyDescent="0.25">
      <c r="A1176" s="5" t="s">
        <v>3692</v>
      </c>
      <c r="B1176" s="1" t="s">
        <v>8668</v>
      </c>
      <c r="C1176" s="1">
        <v>1948</v>
      </c>
      <c r="J1176" s="3">
        <v>46086.683807870373</v>
      </c>
      <c r="K1176" s="2" t="s">
        <v>8669</v>
      </c>
      <c r="L1176" s="1">
        <v>39</v>
      </c>
      <c r="M1176" s="1">
        <v>39</v>
      </c>
      <c r="N1176" s="1">
        <v>0</v>
      </c>
      <c r="O1176" s="3">
        <v>46233.65914210648</v>
      </c>
    </row>
    <row r="1177" spans="1:15" ht="105" x14ac:dyDescent="0.25">
      <c r="A1177" s="5" t="s">
        <v>3695</v>
      </c>
      <c r="B1177" s="1" t="s">
        <v>8670</v>
      </c>
      <c r="C1177" s="1" t="s">
        <v>12</v>
      </c>
      <c r="G1177" s="1" t="s">
        <v>10</v>
      </c>
      <c r="J1177" s="3">
        <v>46086.703020833331</v>
      </c>
      <c r="K1177" s="2" t="s">
        <v>8671</v>
      </c>
      <c r="L1177" s="1">
        <v>25</v>
      </c>
      <c r="M1177" s="1">
        <v>25</v>
      </c>
      <c r="N1177" s="1">
        <v>0</v>
      </c>
      <c r="O1177" s="3">
        <v>46233.65914210648</v>
      </c>
    </row>
    <row r="1178" spans="1:15" x14ac:dyDescent="0.25">
      <c r="A1178" s="5" t="s">
        <v>3698</v>
      </c>
      <c r="B1178" s="1" t="s">
        <v>8672</v>
      </c>
      <c r="C1178" s="1">
        <v>1917</v>
      </c>
      <c r="E1178" s="1">
        <v>2011</v>
      </c>
      <c r="G1178" s="1" t="s">
        <v>10</v>
      </c>
      <c r="J1178" s="3">
        <v>46077.763124999998</v>
      </c>
      <c r="K1178" s="2" t="s">
        <v>8673</v>
      </c>
      <c r="L1178" s="1">
        <v>27</v>
      </c>
      <c r="M1178" s="1">
        <v>30</v>
      </c>
      <c r="N1178" s="1">
        <v>3</v>
      </c>
      <c r="O1178" s="3">
        <v>46233.65914210648</v>
      </c>
    </row>
    <row r="1179" spans="1:15" x14ac:dyDescent="0.25">
      <c r="A1179" s="5" t="s">
        <v>3701</v>
      </c>
      <c r="B1179" s="1" t="s">
        <v>8674</v>
      </c>
      <c r="C1179" s="1">
        <v>1785</v>
      </c>
      <c r="D1179" s="1" t="s">
        <v>14</v>
      </c>
      <c r="E1179" s="1">
        <v>1854</v>
      </c>
      <c r="F1179" s="1" t="s">
        <v>14</v>
      </c>
      <c r="G1179" s="1" t="s">
        <v>10</v>
      </c>
      <c r="J1179" s="3">
        <v>46065.592349537037</v>
      </c>
      <c r="K1179" s="2" t="s">
        <v>7461</v>
      </c>
      <c r="L1179" s="1">
        <v>56</v>
      </c>
      <c r="M1179" s="1">
        <v>63</v>
      </c>
      <c r="N1179" s="1">
        <v>7</v>
      </c>
      <c r="O1179" s="3">
        <v>46233.65914210648</v>
      </c>
    </row>
    <row r="1180" spans="1:15" ht="90" x14ac:dyDescent="0.25">
      <c r="A1180" s="5" t="s">
        <v>3704</v>
      </c>
      <c r="B1180" s="1" t="s">
        <v>8676</v>
      </c>
      <c r="C1180" s="1">
        <v>1864</v>
      </c>
      <c r="D1180" s="1" t="s">
        <v>14</v>
      </c>
      <c r="E1180" s="1">
        <v>1908</v>
      </c>
      <c r="F1180" s="1" t="s">
        <v>7437</v>
      </c>
      <c r="G1180" s="1" t="s">
        <v>10</v>
      </c>
      <c r="J1180" s="3">
        <v>46059.319953703707</v>
      </c>
      <c r="K1180" s="2" t="s">
        <v>8677</v>
      </c>
      <c r="L1180" s="1">
        <v>27</v>
      </c>
      <c r="M1180" s="1">
        <v>30</v>
      </c>
      <c r="N1180" s="1">
        <v>3</v>
      </c>
      <c r="O1180" s="3">
        <v>46233.65914210648</v>
      </c>
    </row>
    <row r="1181" spans="1:15" ht="45" x14ac:dyDescent="0.25">
      <c r="A1181" s="5" t="s">
        <v>3707</v>
      </c>
      <c r="B1181" s="1" t="s">
        <v>8678</v>
      </c>
      <c r="C1181" s="1">
        <v>2009</v>
      </c>
      <c r="J1181" s="3">
        <v>46070.494062500002</v>
      </c>
      <c r="K1181" s="2" t="s">
        <v>8679</v>
      </c>
      <c r="L1181" s="1">
        <v>2</v>
      </c>
      <c r="M1181" s="1">
        <v>2</v>
      </c>
      <c r="N1181" s="1">
        <v>0</v>
      </c>
      <c r="O1181" s="3">
        <v>46233.65914210648</v>
      </c>
    </row>
    <row r="1182" spans="1:15" ht="30" x14ac:dyDescent="0.25">
      <c r="A1182" s="5" t="s">
        <v>3710</v>
      </c>
      <c r="B1182" s="1" t="s">
        <v>8680</v>
      </c>
      <c r="C1182" s="1">
        <v>1966</v>
      </c>
      <c r="G1182" s="1" t="s">
        <v>10</v>
      </c>
      <c r="J1182" s="3">
        <v>46092.767164351855</v>
      </c>
      <c r="K1182" s="2" t="s">
        <v>8681</v>
      </c>
      <c r="L1182" s="1">
        <v>0</v>
      </c>
      <c r="M1182" s="1">
        <v>1</v>
      </c>
      <c r="N1182" s="1">
        <v>1</v>
      </c>
      <c r="O1182" s="3">
        <v>46233.65914210648</v>
      </c>
    </row>
    <row r="1183" spans="1:15" ht="45" x14ac:dyDescent="0.25">
      <c r="A1183" s="5" t="s">
        <v>3713</v>
      </c>
      <c r="B1183" s="1" t="s">
        <v>8682</v>
      </c>
      <c r="C1183" s="1" t="s">
        <v>12</v>
      </c>
      <c r="G1183" s="1" t="s">
        <v>11</v>
      </c>
      <c r="J1183" s="3">
        <v>46077.630879629629</v>
      </c>
      <c r="K1183" s="2" t="s">
        <v>8683</v>
      </c>
      <c r="L1183" s="1">
        <v>1</v>
      </c>
      <c r="M1183" s="1">
        <v>1</v>
      </c>
      <c r="N1183" s="1">
        <v>0</v>
      </c>
      <c r="O1183" s="3">
        <v>46233.65914210648</v>
      </c>
    </row>
    <row r="1184" spans="1:15" ht="135" x14ac:dyDescent="0.25">
      <c r="A1184" s="5" t="s">
        <v>3716</v>
      </c>
      <c r="B1184" s="1" t="s">
        <v>8684</v>
      </c>
      <c r="C1184" s="1">
        <v>1847</v>
      </c>
      <c r="E1184" s="1">
        <v>2006</v>
      </c>
      <c r="J1184" s="3">
        <v>46057.707812499997</v>
      </c>
      <c r="K1184" s="2" t="s">
        <v>8686</v>
      </c>
      <c r="L1184" s="1">
        <v>1</v>
      </c>
      <c r="M1184" s="1">
        <v>1</v>
      </c>
      <c r="N1184" s="1">
        <v>0</v>
      </c>
      <c r="O1184" s="3">
        <v>46233.65914210648</v>
      </c>
    </row>
    <row r="1185" spans="1:15" ht="195" x14ac:dyDescent="0.25">
      <c r="A1185" s="5" t="s">
        <v>3719</v>
      </c>
      <c r="B1185" s="1" t="s">
        <v>8687</v>
      </c>
      <c r="J1185" s="3">
        <v>46058.59103009259</v>
      </c>
      <c r="K1185" s="2" t="s">
        <v>8688</v>
      </c>
      <c r="L1185" s="1">
        <v>41</v>
      </c>
      <c r="M1185" s="1">
        <v>50</v>
      </c>
      <c r="N1185" s="1">
        <v>9</v>
      </c>
      <c r="O1185" s="3">
        <v>46233.65914210648</v>
      </c>
    </row>
    <row r="1186" spans="1:15" ht="105" x14ac:dyDescent="0.25">
      <c r="A1186" s="5" t="s">
        <v>3722</v>
      </c>
      <c r="B1186" s="1" t="s">
        <v>8689</v>
      </c>
      <c r="C1186" s="1">
        <v>1787</v>
      </c>
      <c r="D1186" s="1" t="s">
        <v>14</v>
      </c>
      <c r="E1186" s="1">
        <v>1851</v>
      </c>
      <c r="F1186" s="1" t="s">
        <v>7437</v>
      </c>
      <c r="G1186" s="1" t="s">
        <v>10</v>
      </c>
      <c r="H1186" s="2" t="s">
        <v>140</v>
      </c>
      <c r="J1186" s="3">
        <v>46079.41002314815</v>
      </c>
      <c r="K1186" s="2" t="s">
        <v>8692</v>
      </c>
      <c r="L1186" s="1">
        <v>9</v>
      </c>
      <c r="M1186" s="1">
        <v>18</v>
      </c>
      <c r="N1186" s="1">
        <v>9</v>
      </c>
      <c r="O1186" s="3">
        <v>46233.65914210648</v>
      </c>
    </row>
    <row r="1187" spans="1:15" ht="30" x14ac:dyDescent="0.25">
      <c r="A1187" s="5" t="s">
        <v>3725</v>
      </c>
      <c r="B1187" s="1" t="s">
        <v>8693</v>
      </c>
      <c r="C1187" s="1">
        <v>1760</v>
      </c>
      <c r="D1187" s="1" t="s">
        <v>14</v>
      </c>
      <c r="E1187" s="1">
        <v>1822</v>
      </c>
      <c r="F1187" s="1" t="s">
        <v>14</v>
      </c>
      <c r="G1187" s="1" t="s">
        <v>10</v>
      </c>
      <c r="H1187" s="2" t="s">
        <v>140</v>
      </c>
      <c r="J1187" s="3">
        <v>46080.642800925925</v>
      </c>
      <c r="K1187" s="2" t="s">
        <v>7461</v>
      </c>
      <c r="L1187" s="1">
        <v>0</v>
      </c>
      <c r="M1187" s="1">
        <v>1</v>
      </c>
      <c r="N1187" s="1">
        <v>1</v>
      </c>
      <c r="O1187" s="3">
        <v>46233.65914210648</v>
      </c>
    </row>
    <row r="1188" spans="1:15" x14ac:dyDescent="0.25">
      <c r="A1188" s="5" t="s">
        <v>3728</v>
      </c>
      <c r="B1188" s="1" t="s">
        <v>8694</v>
      </c>
      <c r="C1188" s="1">
        <v>1911</v>
      </c>
      <c r="D1188" s="1" t="s">
        <v>8695</v>
      </c>
      <c r="E1188" s="1">
        <v>1989</v>
      </c>
      <c r="F1188" s="1" t="s">
        <v>8695</v>
      </c>
      <c r="G1188" s="1" t="s">
        <v>10</v>
      </c>
      <c r="J1188" s="3">
        <v>46098.555844907409</v>
      </c>
      <c r="K1188" s="2" t="s">
        <v>8696</v>
      </c>
      <c r="L1188" s="1">
        <v>14</v>
      </c>
      <c r="M1188" s="1">
        <v>38</v>
      </c>
      <c r="N1188" s="1">
        <v>24</v>
      </c>
      <c r="O1188" s="3">
        <v>46233.65914210648</v>
      </c>
    </row>
    <row r="1189" spans="1:15" ht="30" x14ac:dyDescent="0.25">
      <c r="A1189" s="5" t="s">
        <v>3731</v>
      </c>
      <c r="B1189" s="1" t="s">
        <v>8697</v>
      </c>
      <c r="C1189" s="1">
        <v>1785</v>
      </c>
      <c r="D1189" s="1" t="s">
        <v>8698</v>
      </c>
      <c r="E1189" s="1">
        <v>1869</v>
      </c>
      <c r="G1189" s="1" t="s">
        <v>10</v>
      </c>
      <c r="J1189" s="3">
        <v>46080.601134259261</v>
      </c>
      <c r="K1189" s="2" t="s">
        <v>8699</v>
      </c>
      <c r="L1189" s="1">
        <v>1</v>
      </c>
      <c r="M1189" s="1">
        <v>1</v>
      </c>
      <c r="N1189" s="1">
        <v>0</v>
      </c>
      <c r="O1189" s="3">
        <v>46233.65914210648</v>
      </c>
    </row>
    <row r="1190" spans="1:15" ht="45" x14ac:dyDescent="0.25">
      <c r="A1190" s="5" t="s">
        <v>3734</v>
      </c>
      <c r="B1190" s="1" t="s">
        <v>8700</v>
      </c>
      <c r="C1190" s="1" t="s">
        <v>12</v>
      </c>
      <c r="G1190" s="1" t="s">
        <v>10</v>
      </c>
      <c r="J1190" s="3">
        <v>46071.62704861111</v>
      </c>
      <c r="K1190" s="2" t="s">
        <v>8701</v>
      </c>
      <c r="L1190" s="1">
        <v>1</v>
      </c>
      <c r="M1190" s="1">
        <v>1</v>
      </c>
      <c r="N1190" s="1">
        <v>0</v>
      </c>
      <c r="O1190" s="3">
        <v>46233.65914210648</v>
      </c>
    </row>
    <row r="1191" spans="1:15" x14ac:dyDescent="0.25">
      <c r="A1191" s="5" t="s">
        <v>3737</v>
      </c>
      <c r="B1191" s="1" t="s">
        <v>8702</v>
      </c>
      <c r="C1191" s="1">
        <v>1877</v>
      </c>
      <c r="E1191" s="1">
        <v>1940</v>
      </c>
      <c r="G1191" s="1" t="s">
        <v>10</v>
      </c>
      <c r="J1191" s="3">
        <v>46092.713217592594</v>
      </c>
      <c r="K1191" s="2" t="s">
        <v>8704</v>
      </c>
      <c r="L1191" s="1">
        <v>25</v>
      </c>
      <c r="M1191" s="1">
        <v>25</v>
      </c>
      <c r="N1191" s="1">
        <v>0</v>
      </c>
      <c r="O1191" s="3">
        <v>46233.65914210648</v>
      </c>
    </row>
    <row r="1192" spans="1:15" ht="105" x14ac:dyDescent="0.25">
      <c r="A1192" s="5" t="s">
        <v>3740</v>
      </c>
      <c r="B1192" s="1" t="s">
        <v>8705</v>
      </c>
      <c r="C1192" s="1">
        <v>1926</v>
      </c>
      <c r="J1192" s="3">
        <v>46076.589513888888</v>
      </c>
      <c r="K1192" s="2" t="s">
        <v>8706</v>
      </c>
      <c r="L1192" s="1">
        <v>59</v>
      </c>
      <c r="M1192" s="1">
        <v>64</v>
      </c>
      <c r="N1192" s="1">
        <v>5</v>
      </c>
      <c r="O1192" s="3">
        <v>46233.65914210648</v>
      </c>
    </row>
    <row r="1193" spans="1:15" ht="45" x14ac:dyDescent="0.25">
      <c r="A1193" s="5" t="s">
        <v>3743</v>
      </c>
      <c r="B1193" s="1" t="s">
        <v>8707</v>
      </c>
      <c r="C1193" s="1">
        <v>1843</v>
      </c>
      <c r="E1193" s="1">
        <v>1915</v>
      </c>
      <c r="F1193" s="1" t="s">
        <v>14</v>
      </c>
      <c r="G1193" s="1" t="s">
        <v>10</v>
      </c>
      <c r="J1193" s="3">
        <v>46058.655231481483</v>
      </c>
      <c r="K1193" s="2" t="s">
        <v>8708</v>
      </c>
      <c r="L1193" s="1">
        <v>41</v>
      </c>
      <c r="M1193" s="1">
        <v>43</v>
      </c>
      <c r="N1193" s="1">
        <v>2</v>
      </c>
      <c r="O1193" s="3">
        <v>46233.65914210648</v>
      </c>
    </row>
    <row r="1194" spans="1:15" ht="75" x14ac:dyDescent="0.25">
      <c r="A1194" s="5" t="s">
        <v>3746</v>
      </c>
      <c r="B1194" s="1" t="s">
        <v>8709</v>
      </c>
      <c r="C1194" s="1">
        <v>1851</v>
      </c>
      <c r="E1194" s="1">
        <v>1917</v>
      </c>
      <c r="G1194" s="1" t="s">
        <v>10</v>
      </c>
      <c r="J1194" s="3">
        <v>46097.713125000002</v>
      </c>
      <c r="K1194" s="2" t="s">
        <v>8710</v>
      </c>
      <c r="L1194" s="1">
        <v>1</v>
      </c>
      <c r="M1194" s="1">
        <v>1</v>
      </c>
      <c r="N1194" s="1">
        <v>0</v>
      </c>
      <c r="O1194" s="3">
        <v>46233.65914210648</v>
      </c>
    </row>
    <row r="1195" spans="1:15" ht="30" x14ac:dyDescent="0.25">
      <c r="A1195" s="5" t="s">
        <v>3749</v>
      </c>
      <c r="B1195" s="1" t="s">
        <v>8711</v>
      </c>
      <c r="C1195" s="1">
        <v>1864</v>
      </c>
      <c r="D1195" s="1" t="s">
        <v>7437</v>
      </c>
      <c r="E1195" s="1">
        <v>1923</v>
      </c>
      <c r="F1195" s="1" t="s">
        <v>8301</v>
      </c>
      <c r="G1195" s="1" t="s">
        <v>10</v>
      </c>
      <c r="J1195" s="3">
        <v>46059.653761574074</v>
      </c>
      <c r="K1195" s="2" t="s">
        <v>8712</v>
      </c>
      <c r="L1195" s="1">
        <v>1</v>
      </c>
      <c r="M1195" s="1">
        <v>1</v>
      </c>
      <c r="N1195" s="1">
        <v>0</v>
      </c>
      <c r="O1195" s="3">
        <v>46233.65914210648</v>
      </c>
    </row>
    <row r="1196" spans="1:15" x14ac:dyDescent="0.25">
      <c r="A1196" s="5" t="s">
        <v>3752</v>
      </c>
      <c r="B1196" s="1" t="s">
        <v>8713</v>
      </c>
      <c r="C1196" s="1">
        <v>1979</v>
      </c>
      <c r="G1196" s="1" t="s">
        <v>11</v>
      </c>
      <c r="J1196" s="3">
        <v>46076.376342592594</v>
      </c>
      <c r="K1196" s="2" t="s">
        <v>6738</v>
      </c>
      <c r="L1196" s="1">
        <v>28</v>
      </c>
      <c r="M1196" s="1">
        <v>36</v>
      </c>
      <c r="N1196" s="1">
        <v>8</v>
      </c>
      <c r="O1196" s="3">
        <v>46233.65914210648</v>
      </c>
    </row>
    <row r="1197" spans="1:15" ht="409.5" x14ac:dyDescent="0.25">
      <c r="A1197" s="5" t="s">
        <v>3755</v>
      </c>
      <c r="B1197" s="1" t="s">
        <v>8714</v>
      </c>
      <c r="C1197" s="1">
        <v>1894</v>
      </c>
      <c r="E1197" s="1" t="s">
        <v>12</v>
      </c>
      <c r="G1197" s="1" t="s">
        <v>10</v>
      </c>
      <c r="J1197" s="3">
        <v>46070.501307870371</v>
      </c>
      <c r="K1197" s="2" t="s">
        <v>8715</v>
      </c>
      <c r="L1197" s="1">
        <v>7</v>
      </c>
      <c r="M1197" s="1">
        <v>10</v>
      </c>
      <c r="N1197" s="1">
        <v>3</v>
      </c>
      <c r="O1197" s="3">
        <v>46233.65914210648</v>
      </c>
    </row>
    <row r="1198" spans="1:15" x14ac:dyDescent="0.25">
      <c r="A1198" s="5" t="s">
        <v>3758</v>
      </c>
      <c r="B1198" s="1" t="s">
        <v>8716</v>
      </c>
      <c r="C1198" s="1">
        <v>1979</v>
      </c>
      <c r="G1198" s="1" t="s">
        <v>11</v>
      </c>
      <c r="J1198" s="3">
        <v>46073.602094907408</v>
      </c>
      <c r="K1198" s="2" t="s">
        <v>8717</v>
      </c>
      <c r="L1198" s="1">
        <v>1</v>
      </c>
      <c r="M1198" s="1">
        <v>1</v>
      </c>
      <c r="N1198" s="1">
        <v>0</v>
      </c>
      <c r="O1198" s="3">
        <v>46233.65914210648</v>
      </c>
    </row>
    <row r="1199" spans="1:15" ht="75" x14ac:dyDescent="0.25">
      <c r="A1199" s="5" t="s">
        <v>3761</v>
      </c>
      <c r="B1199" s="1" t="s">
        <v>8718</v>
      </c>
      <c r="C1199" s="1">
        <v>1922</v>
      </c>
      <c r="D1199" s="1" t="s">
        <v>14</v>
      </c>
      <c r="E1199" s="1">
        <v>2003</v>
      </c>
      <c r="G1199" s="1" t="s">
        <v>10</v>
      </c>
      <c r="I1199" s="2" t="s">
        <v>140</v>
      </c>
      <c r="J1199" s="3">
        <v>46097.71738425926</v>
      </c>
      <c r="K1199" s="2" t="s">
        <v>8719</v>
      </c>
      <c r="L1199" s="1">
        <v>2</v>
      </c>
      <c r="M1199" s="1">
        <v>2</v>
      </c>
      <c r="N1199" s="1">
        <v>0</v>
      </c>
      <c r="O1199" s="3">
        <v>46233.65914210648</v>
      </c>
    </row>
    <row r="1200" spans="1:15" ht="105" x14ac:dyDescent="0.25">
      <c r="A1200" s="5" t="s">
        <v>3764</v>
      </c>
      <c r="B1200" s="1" t="s">
        <v>8720</v>
      </c>
      <c r="C1200" s="1">
        <v>1945</v>
      </c>
      <c r="D1200" s="1" t="s">
        <v>16</v>
      </c>
      <c r="G1200" s="1" t="s">
        <v>11</v>
      </c>
      <c r="H1200" s="2" t="s">
        <v>8721</v>
      </c>
      <c r="I1200" s="2" t="s">
        <v>140</v>
      </c>
      <c r="J1200" s="3">
        <v>46070.485590277778</v>
      </c>
      <c r="K1200" s="2" t="s">
        <v>8722</v>
      </c>
      <c r="L1200" s="1">
        <v>12</v>
      </c>
      <c r="M1200" s="1">
        <v>48</v>
      </c>
      <c r="N1200" s="1">
        <v>36</v>
      </c>
      <c r="O1200" s="3">
        <v>46233.65914210648</v>
      </c>
    </row>
    <row r="1201" spans="1:15" ht="30" x14ac:dyDescent="0.25">
      <c r="A1201" s="5" t="s">
        <v>3767</v>
      </c>
      <c r="B1201" s="1" t="s">
        <v>8723</v>
      </c>
      <c r="C1201" s="1">
        <v>1768</v>
      </c>
      <c r="D1201" s="1" t="s">
        <v>14</v>
      </c>
      <c r="E1201" s="1">
        <v>1830</v>
      </c>
      <c r="F1201" s="1" t="s">
        <v>14</v>
      </c>
      <c r="G1201" s="1" t="s">
        <v>10</v>
      </c>
      <c r="H1201" s="2" t="s">
        <v>140</v>
      </c>
      <c r="J1201" s="3">
        <v>46064.633576388886</v>
      </c>
      <c r="K1201" s="2" t="s">
        <v>7461</v>
      </c>
      <c r="L1201" s="1">
        <v>0</v>
      </c>
      <c r="M1201" s="1">
        <v>1</v>
      </c>
      <c r="N1201" s="1">
        <v>1</v>
      </c>
      <c r="O1201" s="3">
        <v>46233.65914210648</v>
      </c>
    </row>
    <row r="1202" spans="1:15" ht="60" x14ac:dyDescent="0.25">
      <c r="A1202" s="5" t="s">
        <v>3770</v>
      </c>
      <c r="B1202" s="1" t="s">
        <v>8726</v>
      </c>
      <c r="C1202" s="1">
        <v>1639</v>
      </c>
      <c r="D1202" s="1" t="s">
        <v>14</v>
      </c>
      <c r="E1202" s="1">
        <v>1709</v>
      </c>
      <c r="F1202" s="1" t="s">
        <v>14</v>
      </c>
      <c r="G1202" s="1" t="s">
        <v>10</v>
      </c>
      <c r="I1202" s="2" t="s">
        <v>140</v>
      </c>
      <c r="J1202" s="3">
        <v>46065.615069444444</v>
      </c>
      <c r="K1202" s="2" t="s">
        <v>8729</v>
      </c>
      <c r="L1202" s="1">
        <v>26</v>
      </c>
      <c r="M1202" s="1">
        <v>28</v>
      </c>
      <c r="N1202" s="1">
        <v>2</v>
      </c>
      <c r="O1202" s="3">
        <v>46233.65914210648</v>
      </c>
    </row>
    <row r="1203" spans="1:15" ht="75" x14ac:dyDescent="0.25">
      <c r="A1203" s="5" t="s">
        <v>3773</v>
      </c>
      <c r="B1203" s="1" t="s">
        <v>8730</v>
      </c>
      <c r="C1203" s="1">
        <v>1938</v>
      </c>
      <c r="D1203" s="1" t="s">
        <v>14</v>
      </c>
      <c r="G1203" s="1" t="s">
        <v>11</v>
      </c>
      <c r="H1203" s="2" t="s">
        <v>8731</v>
      </c>
      <c r="J1203" s="3">
        <v>46090.723402777781</v>
      </c>
      <c r="K1203" s="2" t="s">
        <v>8732</v>
      </c>
      <c r="L1203" s="1">
        <v>15</v>
      </c>
      <c r="M1203" s="1">
        <v>43</v>
      </c>
      <c r="N1203" s="1">
        <v>28</v>
      </c>
      <c r="O1203" s="3">
        <v>46233.65914210648</v>
      </c>
    </row>
    <row r="1204" spans="1:15" x14ac:dyDescent="0.25">
      <c r="A1204" s="5" t="s">
        <v>3776</v>
      </c>
      <c r="B1204" s="1" t="s">
        <v>8733</v>
      </c>
      <c r="C1204" s="1">
        <v>1764</v>
      </c>
      <c r="D1204" s="1" t="s">
        <v>14</v>
      </c>
      <c r="E1204" s="1">
        <v>1846</v>
      </c>
      <c r="F1204" s="1" t="s">
        <v>8736</v>
      </c>
      <c r="G1204" s="1" t="s">
        <v>10</v>
      </c>
      <c r="J1204" s="3">
        <v>46064.632662037038</v>
      </c>
      <c r="K1204" s="2" t="s">
        <v>7461</v>
      </c>
      <c r="L1204" s="1">
        <v>0</v>
      </c>
      <c r="M1204" s="1">
        <v>2</v>
      </c>
      <c r="N1204" s="1">
        <v>2</v>
      </c>
      <c r="O1204" s="3">
        <v>46233.65914210648</v>
      </c>
    </row>
    <row r="1205" spans="1:15" ht="105" x14ac:dyDescent="0.25">
      <c r="A1205" s="5" t="s">
        <v>3779</v>
      </c>
      <c r="B1205" s="1" t="s">
        <v>8737</v>
      </c>
      <c r="C1205" s="1">
        <v>1712</v>
      </c>
      <c r="E1205" s="1">
        <v>1780</v>
      </c>
      <c r="G1205" s="1" t="s">
        <v>10</v>
      </c>
      <c r="J1205" s="3">
        <v>46085.783009259256</v>
      </c>
      <c r="K1205" s="2" t="s">
        <v>8740</v>
      </c>
      <c r="L1205" s="1">
        <v>77</v>
      </c>
      <c r="M1205" s="1">
        <v>81</v>
      </c>
      <c r="N1205" s="1">
        <v>4</v>
      </c>
      <c r="O1205" s="3">
        <v>46233.65914210648</v>
      </c>
    </row>
    <row r="1206" spans="1:15" ht="30" x14ac:dyDescent="0.25">
      <c r="A1206" s="5" t="s">
        <v>3782</v>
      </c>
      <c r="B1206" s="1" t="s">
        <v>8741</v>
      </c>
      <c r="C1206" s="1">
        <v>1956</v>
      </c>
      <c r="G1206" s="1" t="s">
        <v>10</v>
      </c>
      <c r="J1206" s="3">
        <v>46076.799305555556</v>
      </c>
      <c r="K1206" s="2" t="s">
        <v>8742</v>
      </c>
      <c r="L1206" s="1">
        <v>27</v>
      </c>
      <c r="M1206" s="1">
        <v>29</v>
      </c>
      <c r="N1206" s="1">
        <v>2</v>
      </c>
      <c r="O1206" s="3">
        <v>46233.65914210648</v>
      </c>
    </row>
    <row r="1207" spans="1:15" ht="45" x14ac:dyDescent="0.25">
      <c r="A1207" s="5" t="s">
        <v>3785</v>
      </c>
      <c r="B1207" s="1" t="s">
        <v>8743</v>
      </c>
      <c r="C1207" s="1">
        <v>1863</v>
      </c>
      <c r="E1207" s="1">
        <v>1942</v>
      </c>
      <c r="G1207" s="1" t="s">
        <v>10</v>
      </c>
      <c r="J1207" s="3">
        <v>46076.606458333335</v>
      </c>
      <c r="K1207" s="2" t="s">
        <v>8744</v>
      </c>
      <c r="L1207" s="1">
        <v>7</v>
      </c>
      <c r="M1207" s="1">
        <v>9</v>
      </c>
      <c r="N1207" s="1">
        <v>2</v>
      </c>
      <c r="O1207" s="3">
        <v>46233.65914210648</v>
      </c>
    </row>
    <row r="1208" spans="1:15" x14ac:dyDescent="0.25">
      <c r="A1208" s="5" t="s">
        <v>3788</v>
      </c>
      <c r="B1208" s="1" t="s">
        <v>8745</v>
      </c>
      <c r="C1208" s="1" t="s">
        <v>12</v>
      </c>
      <c r="G1208" s="1" t="s">
        <v>10</v>
      </c>
      <c r="J1208" s="3">
        <v>46101.482314814813</v>
      </c>
      <c r="K1208" s="2" t="s">
        <v>6438</v>
      </c>
      <c r="L1208" s="1">
        <v>1</v>
      </c>
      <c r="M1208" s="1">
        <v>1</v>
      </c>
      <c r="N1208" s="1">
        <v>0</v>
      </c>
      <c r="O1208" s="3">
        <v>46233.65914210648</v>
      </c>
    </row>
    <row r="1209" spans="1:15" ht="45" x14ac:dyDescent="0.25">
      <c r="A1209" s="5" t="s">
        <v>3791</v>
      </c>
      <c r="B1209" s="1" t="s">
        <v>8746</v>
      </c>
      <c r="C1209" s="1" t="s">
        <v>12</v>
      </c>
      <c r="G1209" s="1" t="s">
        <v>11</v>
      </c>
      <c r="J1209" s="3">
        <v>46085.584398148145</v>
      </c>
      <c r="K1209" s="2" t="s">
        <v>8747</v>
      </c>
      <c r="L1209" s="1">
        <v>8</v>
      </c>
      <c r="M1209" s="1">
        <v>8</v>
      </c>
      <c r="N1209" s="1">
        <v>0</v>
      </c>
      <c r="O1209" s="3">
        <v>46233.65914210648</v>
      </c>
    </row>
    <row r="1210" spans="1:15" ht="75" x14ac:dyDescent="0.25">
      <c r="A1210" s="5" t="s">
        <v>3794</v>
      </c>
      <c r="B1210" s="1" t="s">
        <v>8748</v>
      </c>
      <c r="C1210" s="1">
        <v>1931</v>
      </c>
      <c r="E1210" s="1">
        <v>1989</v>
      </c>
      <c r="G1210" s="1" t="s">
        <v>10</v>
      </c>
      <c r="J1210" s="3">
        <v>46076.560914351852</v>
      </c>
      <c r="K1210" s="2" t="s">
        <v>8749</v>
      </c>
      <c r="L1210" s="1">
        <v>40</v>
      </c>
      <c r="M1210" s="1">
        <v>41</v>
      </c>
      <c r="N1210" s="1">
        <v>1</v>
      </c>
      <c r="O1210" s="3">
        <v>46233.65914210648</v>
      </c>
    </row>
    <row r="1211" spans="1:15" ht="255" x14ac:dyDescent="0.25">
      <c r="A1211" s="5" t="s">
        <v>3797</v>
      </c>
      <c r="B1211" s="1" t="s">
        <v>8750</v>
      </c>
      <c r="C1211" s="1">
        <v>1541</v>
      </c>
      <c r="J1211" s="3">
        <v>46097.730023148149</v>
      </c>
      <c r="K1211" s="2" t="s">
        <v>8752</v>
      </c>
      <c r="L1211" s="1">
        <v>142</v>
      </c>
      <c r="M1211" s="1">
        <v>152</v>
      </c>
      <c r="N1211" s="1">
        <v>10</v>
      </c>
      <c r="O1211" s="3">
        <v>46233.65914210648</v>
      </c>
    </row>
    <row r="1212" spans="1:15" ht="60" x14ac:dyDescent="0.25">
      <c r="A1212" s="5" t="s">
        <v>3800</v>
      </c>
      <c r="B1212" s="1" t="s">
        <v>8753</v>
      </c>
      <c r="C1212" s="1">
        <v>1956</v>
      </c>
      <c r="D1212" s="1" t="s">
        <v>14</v>
      </c>
      <c r="G1212" s="1" t="s">
        <v>11</v>
      </c>
      <c r="H1212" s="2" t="s">
        <v>10494</v>
      </c>
      <c r="J1212" s="3">
        <v>46058.329548611109</v>
      </c>
      <c r="K1212" s="2" t="s">
        <v>8754</v>
      </c>
      <c r="L1212" s="1">
        <v>16</v>
      </c>
      <c r="M1212" s="1">
        <v>16</v>
      </c>
      <c r="N1212" s="1">
        <v>0</v>
      </c>
      <c r="O1212" s="3">
        <v>46233.65914210648</v>
      </c>
    </row>
    <row r="1213" spans="1:15" ht="105" x14ac:dyDescent="0.25">
      <c r="A1213" s="5" t="s">
        <v>3803</v>
      </c>
      <c r="B1213" s="1" t="s">
        <v>8755</v>
      </c>
      <c r="C1213" s="1">
        <v>1854</v>
      </c>
      <c r="E1213" s="1">
        <v>1930</v>
      </c>
      <c r="G1213" s="1" t="s">
        <v>11</v>
      </c>
      <c r="J1213" s="3">
        <v>46057.487951388888</v>
      </c>
      <c r="K1213" s="2" t="s">
        <v>8756</v>
      </c>
      <c r="L1213" s="1">
        <v>1</v>
      </c>
      <c r="M1213" s="1">
        <v>1</v>
      </c>
      <c r="N1213" s="1">
        <v>0</v>
      </c>
      <c r="O1213" s="3">
        <v>46233.65914210648</v>
      </c>
    </row>
    <row r="1214" spans="1:15" ht="30" x14ac:dyDescent="0.25">
      <c r="A1214" s="5" t="s">
        <v>3806</v>
      </c>
      <c r="B1214" s="1" t="s">
        <v>8757</v>
      </c>
      <c r="C1214" s="1">
        <v>1786</v>
      </c>
      <c r="D1214" s="1" t="s">
        <v>14</v>
      </c>
      <c r="E1214" s="1">
        <v>1836</v>
      </c>
      <c r="F1214" s="1" t="s">
        <v>8758</v>
      </c>
      <c r="G1214" s="1" t="s">
        <v>11</v>
      </c>
      <c r="J1214" s="3">
        <v>46098.548993055556</v>
      </c>
      <c r="K1214" s="2" t="s">
        <v>8759</v>
      </c>
      <c r="L1214" s="1">
        <v>22</v>
      </c>
      <c r="M1214" s="1">
        <v>26</v>
      </c>
      <c r="N1214" s="1">
        <v>4</v>
      </c>
      <c r="O1214" s="3">
        <v>46233.65914210648</v>
      </c>
    </row>
    <row r="1215" spans="1:15" ht="45" x14ac:dyDescent="0.25">
      <c r="A1215" s="5" t="s">
        <v>3809</v>
      </c>
      <c r="B1215" s="1" t="s">
        <v>8760</v>
      </c>
      <c r="C1215" s="1">
        <v>1860</v>
      </c>
      <c r="D1215" s="1" t="s">
        <v>8762</v>
      </c>
      <c r="E1215" s="1">
        <v>1931</v>
      </c>
      <c r="F1215" s="1" t="s">
        <v>14</v>
      </c>
      <c r="G1215" s="1" t="s">
        <v>10</v>
      </c>
      <c r="H1215" s="2" t="s">
        <v>8763</v>
      </c>
      <c r="J1215" s="3">
        <v>46070.38962962963</v>
      </c>
      <c r="K1215" s="2" t="s">
        <v>8764</v>
      </c>
      <c r="L1215" s="1">
        <v>13</v>
      </c>
      <c r="M1215" s="1">
        <v>19</v>
      </c>
      <c r="N1215" s="1">
        <v>6</v>
      </c>
      <c r="O1215" s="3">
        <v>46233.65914210648</v>
      </c>
    </row>
    <row r="1216" spans="1:15" ht="75" x14ac:dyDescent="0.25">
      <c r="A1216" s="5" t="s">
        <v>3812</v>
      </c>
      <c r="B1216" s="1" t="s">
        <v>8765</v>
      </c>
      <c r="C1216" s="1">
        <v>1964</v>
      </c>
      <c r="G1216" s="1" t="s">
        <v>11</v>
      </c>
      <c r="J1216" s="3">
        <v>46090.762337962966</v>
      </c>
      <c r="K1216" s="2" t="s">
        <v>8766</v>
      </c>
      <c r="L1216" s="1">
        <v>28</v>
      </c>
      <c r="M1216" s="1">
        <v>30</v>
      </c>
      <c r="N1216" s="1">
        <v>2</v>
      </c>
      <c r="O1216" s="3">
        <v>46233.65914210648</v>
      </c>
    </row>
    <row r="1217" spans="1:15" ht="60" x14ac:dyDescent="0.25">
      <c r="A1217" s="5" t="s">
        <v>3815</v>
      </c>
      <c r="B1217" s="1" t="s">
        <v>8767</v>
      </c>
      <c r="C1217" s="1" t="s">
        <v>12</v>
      </c>
      <c r="G1217" s="1" t="s">
        <v>10</v>
      </c>
      <c r="J1217" s="3">
        <v>46063.586851851855</v>
      </c>
      <c r="K1217" s="2" t="s">
        <v>8768</v>
      </c>
      <c r="L1217" s="1">
        <v>1</v>
      </c>
      <c r="M1217" s="1">
        <v>1</v>
      </c>
      <c r="N1217" s="1">
        <v>0</v>
      </c>
      <c r="O1217" s="3">
        <v>46233.65914210648</v>
      </c>
    </row>
    <row r="1218" spans="1:15" ht="30" x14ac:dyDescent="0.25">
      <c r="A1218" s="5" t="s">
        <v>3818</v>
      </c>
      <c r="B1218" s="1" t="s">
        <v>8769</v>
      </c>
      <c r="C1218" s="1">
        <v>1820</v>
      </c>
      <c r="D1218" s="1" t="s">
        <v>6384</v>
      </c>
      <c r="E1218" s="1">
        <v>1886</v>
      </c>
      <c r="F1218" s="1" t="s">
        <v>133</v>
      </c>
      <c r="G1218" s="1" t="s">
        <v>10</v>
      </c>
      <c r="J1218" s="3">
        <v>46065.416851851849</v>
      </c>
      <c r="K1218" s="2" t="s">
        <v>8772</v>
      </c>
      <c r="L1218" s="1">
        <v>0</v>
      </c>
      <c r="M1218" s="1">
        <v>0</v>
      </c>
      <c r="N1218" s="1">
        <v>0</v>
      </c>
      <c r="O1218" s="3">
        <v>46233.65914210648</v>
      </c>
    </row>
    <row r="1219" spans="1:15" ht="60" x14ac:dyDescent="0.25">
      <c r="A1219" s="5" t="s">
        <v>3821</v>
      </c>
      <c r="B1219" s="1" t="s">
        <v>8773</v>
      </c>
      <c r="C1219" s="1">
        <v>1930</v>
      </c>
      <c r="D1219" s="1" t="s">
        <v>14</v>
      </c>
      <c r="E1219" s="1">
        <v>2014</v>
      </c>
      <c r="F1219" s="1" t="s">
        <v>14</v>
      </c>
      <c r="G1219" s="1" t="s">
        <v>10</v>
      </c>
      <c r="H1219" s="2" t="s">
        <v>8721</v>
      </c>
      <c r="I1219" s="2" t="s">
        <v>8721</v>
      </c>
      <c r="J1219" s="3">
        <v>46058.45416666667</v>
      </c>
      <c r="K1219" s="2" t="s">
        <v>8774</v>
      </c>
      <c r="L1219" s="1">
        <v>6</v>
      </c>
      <c r="M1219" s="1">
        <v>19</v>
      </c>
      <c r="N1219" s="1">
        <v>13</v>
      </c>
      <c r="O1219" s="3">
        <v>46233.65914210648</v>
      </c>
    </row>
    <row r="1220" spans="1:15" ht="45" x14ac:dyDescent="0.25">
      <c r="A1220" s="5" t="s">
        <v>3824</v>
      </c>
      <c r="B1220" s="1" t="s">
        <v>8775</v>
      </c>
      <c r="C1220" s="1">
        <v>1785</v>
      </c>
      <c r="D1220" s="1" t="s">
        <v>14</v>
      </c>
      <c r="E1220" s="1">
        <v>1865</v>
      </c>
      <c r="F1220" s="1" t="s">
        <v>14</v>
      </c>
      <c r="G1220" s="1" t="s">
        <v>10</v>
      </c>
      <c r="H1220" s="2" t="s">
        <v>8776</v>
      </c>
      <c r="J1220" s="3">
        <v>46080.551574074074</v>
      </c>
      <c r="K1220" s="2" t="s">
        <v>7461</v>
      </c>
      <c r="L1220" s="1">
        <v>1</v>
      </c>
      <c r="M1220" s="1">
        <v>1</v>
      </c>
      <c r="N1220" s="1">
        <v>0</v>
      </c>
      <c r="O1220" s="3">
        <v>46233.65914210648</v>
      </c>
    </row>
    <row r="1221" spans="1:15" ht="60" x14ac:dyDescent="0.25">
      <c r="A1221" s="5" t="s">
        <v>3827</v>
      </c>
      <c r="B1221" s="1" t="s">
        <v>8777</v>
      </c>
      <c r="C1221" s="1">
        <v>1888</v>
      </c>
      <c r="E1221" s="1">
        <v>1951</v>
      </c>
      <c r="G1221" s="1" t="s">
        <v>10</v>
      </c>
      <c r="J1221" s="3">
        <v>46097.712789351855</v>
      </c>
      <c r="K1221" s="2" t="s">
        <v>8778</v>
      </c>
      <c r="L1221" s="1">
        <v>32</v>
      </c>
      <c r="M1221" s="1">
        <v>32</v>
      </c>
      <c r="N1221" s="1">
        <v>0</v>
      </c>
      <c r="O1221" s="3">
        <v>46233.65914210648</v>
      </c>
    </row>
    <row r="1222" spans="1:15" x14ac:dyDescent="0.25">
      <c r="A1222" s="5" t="s">
        <v>3830</v>
      </c>
      <c r="B1222" s="1" t="s">
        <v>8779</v>
      </c>
      <c r="C1222" s="1">
        <v>1786</v>
      </c>
      <c r="D1222" s="1" t="s">
        <v>14</v>
      </c>
      <c r="E1222" s="1">
        <v>1874</v>
      </c>
      <c r="F1222" s="1" t="s">
        <v>14</v>
      </c>
      <c r="G1222" s="1" t="s">
        <v>10</v>
      </c>
      <c r="J1222" s="3">
        <v>46064.632002314815</v>
      </c>
      <c r="K1222" s="2" t="s">
        <v>7461</v>
      </c>
      <c r="L1222" s="1">
        <v>33</v>
      </c>
      <c r="M1222" s="1">
        <v>37</v>
      </c>
      <c r="N1222" s="1">
        <v>4</v>
      </c>
      <c r="O1222" s="3">
        <v>46233.65914210648</v>
      </c>
    </row>
    <row r="1223" spans="1:15" ht="30" x14ac:dyDescent="0.25">
      <c r="A1223" s="5" t="s">
        <v>3833</v>
      </c>
      <c r="B1223" s="1" t="s">
        <v>8780</v>
      </c>
      <c r="C1223" s="1" t="s">
        <v>12</v>
      </c>
      <c r="G1223" s="1" t="s">
        <v>10</v>
      </c>
      <c r="J1223" s="3">
        <v>46091.732824074075</v>
      </c>
      <c r="K1223" s="2" t="s">
        <v>8781</v>
      </c>
      <c r="L1223" s="1">
        <v>29</v>
      </c>
      <c r="M1223" s="1">
        <v>38</v>
      </c>
      <c r="N1223" s="1">
        <v>9</v>
      </c>
      <c r="O1223" s="3">
        <v>46233.65914210648</v>
      </c>
    </row>
    <row r="1224" spans="1:15" ht="75" x14ac:dyDescent="0.25">
      <c r="A1224" s="5" t="s">
        <v>3836</v>
      </c>
      <c r="B1224" s="1" t="s">
        <v>8782</v>
      </c>
      <c r="C1224" s="1" t="s">
        <v>12</v>
      </c>
      <c r="G1224" s="1" t="s">
        <v>10</v>
      </c>
      <c r="J1224" s="3">
        <v>46062.62909722222</v>
      </c>
      <c r="K1224" s="2" t="s">
        <v>8783</v>
      </c>
      <c r="L1224" s="1">
        <v>31</v>
      </c>
      <c r="M1224" s="1">
        <v>44</v>
      </c>
      <c r="N1224" s="1">
        <v>13</v>
      </c>
      <c r="O1224" s="3">
        <v>46233.65914210648</v>
      </c>
    </row>
    <row r="1225" spans="1:15" ht="30" x14ac:dyDescent="0.25">
      <c r="A1225" s="5" t="s">
        <v>3839</v>
      </c>
      <c r="B1225" s="1" t="s">
        <v>8784</v>
      </c>
      <c r="C1225" s="1">
        <v>1902</v>
      </c>
      <c r="E1225" s="1">
        <v>1996</v>
      </c>
      <c r="G1225" s="1" t="s">
        <v>10</v>
      </c>
      <c r="J1225" s="3">
        <v>46086.666041666664</v>
      </c>
      <c r="K1225" s="2" t="s">
        <v>8785</v>
      </c>
      <c r="L1225" s="1">
        <v>2</v>
      </c>
      <c r="M1225" s="1">
        <v>2</v>
      </c>
      <c r="N1225" s="1">
        <v>0</v>
      </c>
      <c r="O1225" s="3">
        <v>46233.65914210648</v>
      </c>
    </row>
    <row r="1226" spans="1:15" ht="150" x14ac:dyDescent="0.25">
      <c r="A1226" s="5" t="s">
        <v>3842</v>
      </c>
      <c r="B1226" s="1" t="s">
        <v>8786</v>
      </c>
      <c r="C1226" s="1" t="s">
        <v>12</v>
      </c>
      <c r="D1226" s="1" t="s">
        <v>15</v>
      </c>
      <c r="G1226" s="1" t="s">
        <v>10</v>
      </c>
      <c r="H1226" s="2" t="s">
        <v>10479</v>
      </c>
      <c r="I1226" s="2" t="s">
        <v>8787</v>
      </c>
      <c r="J1226" s="3">
        <v>45982.621747685182</v>
      </c>
      <c r="K1226" s="2" t="s">
        <v>8788</v>
      </c>
      <c r="L1226" s="1">
        <v>133</v>
      </c>
      <c r="M1226" s="1">
        <v>135</v>
      </c>
      <c r="N1226" s="1">
        <v>2</v>
      </c>
      <c r="O1226" s="3">
        <v>46233.65914210648</v>
      </c>
    </row>
    <row r="1227" spans="1:15" ht="75" x14ac:dyDescent="0.25">
      <c r="A1227" s="5" t="s">
        <v>3845</v>
      </c>
      <c r="B1227" s="1" t="s">
        <v>8789</v>
      </c>
      <c r="C1227" s="1">
        <v>1898</v>
      </c>
      <c r="D1227" s="1" t="s">
        <v>8790</v>
      </c>
      <c r="E1227" s="1">
        <v>1973</v>
      </c>
      <c r="F1227" s="1" t="s">
        <v>14</v>
      </c>
      <c r="G1227" s="1" t="s">
        <v>10</v>
      </c>
      <c r="H1227" s="2" t="s">
        <v>8791</v>
      </c>
      <c r="I1227" s="2" t="s">
        <v>140</v>
      </c>
      <c r="J1227" s="3">
        <v>46070.593541666669</v>
      </c>
      <c r="K1227" s="2" t="s">
        <v>8792</v>
      </c>
      <c r="L1227" s="1">
        <v>100</v>
      </c>
      <c r="M1227" s="1">
        <v>115</v>
      </c>
      <c r="N1227" s="1">
        <v>15</v>
      </c>
      <c r="O1227" s="3">
        <v>46233.65914210648</v>
      </c>
    </row>
    <row r="1228" spans="1:15" x14ac:dyDescent="0.25">
      <c r="A1228" s="5" t="s">
        <v>3848</v>
      </c>
      <c r="B1228" s="1" t="s">
        <v>8793</v>
      </c>
      <c r="C1228" s="1">
        <v>1836</v>
      </c>
      <c r="D1228" s="1" t="s">
        <v>14</v>
      </c>
      <c r="E1228" s="1">
        <v>1931</v>
      </c>
      <c r="F1228" s="1" t="s">
        <v>14</v>
      </c>
      <c r="G1228" s="1" t="s">
        <v>10</v>
      </c>
      <c r="J1228" s="3">
        <v>46056.579097222224</v>
      </c>
      <c r="L1228" s="1">
        <v>23</v>
      </c>
      <c r="M1228" s="1">
        <v>24</v>
      </c>
      <c r="N1228" s="1">
        <v>1</v>
      </c>
      <c r="O1228" s="3">
        <v>46233.65914210648</v>
      </c>
    </row>
    <row r="1229" spans="1:15" ht="150" x14ac:dyDescent="0.25">
      <c r="A1229" s="5" t="s">
        <v>3851</v>
      </c>
      <c r="B1229" s="1" t="s">
        <v>8794</v>
      </c>
      <c r="C1229" s="1">
        <v>1872</v>
      </c>
      <c r="E1229" s="1">
        <v>1942</v>
      </c>
      <c r="G1229" s="1" t="s">
        <v>11</v>
      </c>
      <c r="J1229" s="3">
        <v>46076.598344907405</v>
      </c>
      <c r="K1229" s="2" t="s">
        <v>8795</v>
      </c>
      <c r="L1229" s="1">
        <v>46</v>
      </c>
      <c r="M1229" s="1">
        <v>48</v>
      </c>
      <c r="N1229" s="1">
        <v>2</v>
      </c>
      <c r="O1229" s="3">
        <v>46233.65914210648</v>
      </c>
    </row>
    <row r="1230" spans="1:15" x14ac:dyDescent="0.25">
      <c r="A1230" s="5" t="s">
        <v>3854</v>
      </c>
      <c r="B1230" s="1" t="s">
        <v>8796</v>
      </c>
      <c r="C1230" s="1">
        <v>1849</v>
      </c>
      <c r="J1230" s="3">
        <v>45908.692858796298</v>
      </c>
      <c r="L1230" s="1">
        <v>11</v>
      </c>
      <c r="M1230" s="1">
        <v>11</v>
      </c>
      <c r="N1230" s="1">
        <v>0</v>
      </c>
      <c r="O1230" s="3">
        <v>46233.65914210648</v>
      </c>
    </row>
    <row r="1231" spans="1:15" ht="105" x14ac:dyDescent="0.25">
      <c r="A1231" s="5" t="s">
        <v>3857</v>
      </c>
      <c r="B1231" s="1" t="s">
        <v>8797</v>
      </c>
      <c r="C1231" s="1">
        <v>1961</v>
      </c>
      <c r="G1231" s="1" t="s">
        <v>10</v>
      </c>
      <c r="J1231" s="3">
        <v>46058.609085648146</v>
      </c>
      <c r="K1231" s="2" t="s">
        <v>8798</v>
      </c>
      <c r="L1231" s="1">
        <v>54</v>
      </c>
      <c r="M1231" s="1">
        <v>70</v>
      </c>
      <c r="N1231" s="1">
        <v>16</v>
      </c>
      <c r="O1231" s="3">
        <v>46233.65914210648</v>
      </c>
    </row>
    <row r="1232" spans="1:15" x14ac:dyDescent="0.25">
      <c r="A1232" s="5" t="s">
        <v>3860</v>
      </c>
      <c r="B1232" s="1" t="s">
        <v>8799</v>
      </c>
      <c r="C1232" s="1">
        <v>1796</v>
      </c>
      <c r="D1232" s="1" t="s">
        <v>8800</v>
      </c>
      <c r="E1232" s="1">
        <v>1855</v>
      </c>
      <c r="F1232" s="1" t="s">
        <v>14</v>
      </c>
      <c r="G1232" s="1" t="s">
        <v>10</v>
      </c>
      <c r="J1232" s="3">
        <v>46079.354872685188</v>
      </c>
      <c r="K1232" s="2" t="s">
        <v>7461</v>
      </c>
      <c r="L1232" s="1">
        <v>4</v>
      </c>
      <c r="M1232" s="1">
        <v>5</v>
      </c>
      <c r="N1232" s="1">
        <v>1</v>
      </c>
      <c r="O1232" s="3">
        <v>46233.65914210648</v>
      </c>
    </row>
    <row r="1233" spans="1:15" x14ac:dyDescent="0.25">
      <c r="A1233" s="5" t="s">
        <v>3863</v>
      </c>
      <c r="B1233" s="1" t="s">
        <v>8801</v>
      </c>
      <c r="C1233" s="1">
        <v>1674</v>
      </c>
      <c r="E1233" s="1">
        <v>1739</v>
      </c>
      <c r="G1233" s="1" t="s">
        <v>10</v>
      </c>
      <c r="J1233" s="3">
        <v>46090.745983796296</v>
      </c>
      <c r="K1233" s="2" t="s">
        <v>8803</v>
      </c>
      <c r="L1233" s="1">
        <v>25</v>
      </c>
      <c r="M1233" s="1">
        <v>25</v>
      </c>
      <c r="N1233" s="1">
        <v>0</v>
      </c>
      <c r="O1233" s="3">
        <v>46233.65914210648</v>
      </c>
    </row>
    <row r="1234" spans="1:15" x14ac:dyDescent="0.25">
      <c r="A1234" s="5" t="s">
        <v>3866</v>
      </c>
      <c r="B1234" s="1" t="s">
        <v>8804</v>
      </c>
      <c r="C1234" s="1">
        <v>1891</v>
      </c>
      <c r="D1234" s="1" t="s">
        <v>8805</v>
      </c>
      <c r="E1234" s="1">
        <v>1972</v>
      </c>
      <c r="F1234" s="1" t="s">
        <v>8421</v>
      </c>
      <c r="G1234" s="1" t="s">
        <v>10</v>
      </c>
      <c r="J1234" s="3">
        <v>46057.488298611112</v>
      </c>
      <c r="K1234" s="2" t="s">
        <v>6373</v>
      </c>
      <c r="L1234" s="1">
        <v>15</v>
      </c>
      <c r="M1234" s="1">
        <v>15</v>
      </c>
      <c r="N1234" s="1">
        <v>0</v>
      </c>
      <c r="O1234" s="3">
        <v>46233.65914210648</v>
      </c>
    </row>
    <row r="1235" spans="1:15" ht="45" x14ac:dyDescent="0.25">
      <c r="A1235" s="5" t="s">
        <v>3869</v>
      </c>
      <c r="B1235" s="1" t="s">
        <v>8806</v>
      </c>
      <c r="C1235" s="1" t="s">
        <v>12</v>
      </c>
      <c r="G1235" s="1" t="s">
        <v>11</v>
      </c>
      <c r="J1235" s="3">
        <v>46105.500358796293</v>
      </c>
      <c r="K1235" s="2" t="s">
        <v>8807</v>
      </c>
      <c r="L1235" s="1">
        <v>6</v>
      </c>
      <c r="M1235" s="1">
        <v>6</v>
      </c>
      <c r="N1235" s="1">
        <v>0</v>
      </c>
      <c r="O1235" s="3">
        <v>46233.65914210648</v>
      </c>
    </row>
    <row r="1236" spans="1:15" x14ac:dyDescent="0.25">
      <c r="A1236" s="5" t="s">
        <v>3872</v>
      </c>
      <c r="B1236" s="1" t="s">
        <v>8808</v>
      </c>
      <c r="C1236" s="1">
        <v>1872</v>
      </c>
      <c r="J1236" s="3">
        <v>45912.687893518516</v>
      </c>
      <c r="L1236" s="1">
        <v>21</v>
      </c>
      <c r="M1236" s="1">
        <v>23</v>
      </c>
      <c r="N1236" s="1">
        <v>2</v>
      </c>
      <c r="O1236" s="3">
        <v>46233.65914210648</v>
      </c>
    </row>
    <row r="1237" spans="1:15" ht="45" x14ac:dyDescent="0.25">
      <c r="A1237" s="5" t="s">
        <v>3875</v>
      </c>
      <c r="B1237" s="1" t="s">
        <v>8809</v>
      </c>
      <c r="C1237" s="1">
        <v>1938</v>
      </c>
      <c r="E1237" s="1">
        <v>2018</v>
      </c>
      <c r="G1237" s="1" t="s">
        <v>11</v>
      </c>
      <c r="J1237" s="3">
        <v>46090.799201388887</v>
      </c>
      <c r="K1237" s="2" t="s">
        <v>8810</v>
      </c>
      <c r="L1237" s="1">
        <v>3</v>
      </c>
      <c r="M1237" s="1">
        <v>3</v>
      </c>
      <c r="N1237" s="1">
        <v>0</v>
      </c>
      <c r="O1237" s="3">
        <v>46233.65914210648</v>
      </c>
    </row>
    <row r="1238" spans="1:15" ht="135" x14ac:dyDescent="0.25">
      <c r="A1238" s="5" t="s">
        <v>3878</v>
      </c>
      <c r="B1238" s="1" t="s">
        <v>8811</v>
      </c>
      <c r="C1238" s="1">
        <v>1787</v>
      </c>
      <c r="D1238" s="1" t="s">
        <v>14</v>
      </c>
      <c r="E1238" s="1">
        <v>1856</v>
      </c>
      <c r="F1238" s="1" t="s">
        <v>14</v>
      </c>
      <c r="G1238" s="1" t="s">
        <v>10</v>
      </c>
      <c r="J1238" s="3">
        <v>46080.611203703702</v>
      </c>
      <c r="K1238" s="2" t="s">
        <v>8812</v>
      </c>
      <c r="L1238" s="1">
        <v>5</v>
      </c>
      <c r="M1238" s="1">
        <v>8</v>
      </c>
      <c r="N1238" s="1">
        <v>3</v>
      </c>
      <c r="O1238" s="3">
        <v>46233.65914210648</v>
      </c>
    </row>
    <row r="1239" spans="1:15" ht="135" x14ac:dyDescent="0.25">
      <c r="A1239" s="5" t="s">
        <v>3881</v>
      </c>
      <c r="B1239" s="1" t="s">
        <v>8813</v>
      </c>
      <c r="C1239" s="1">
        <v>1841</v>
      </c>
      <c r="E1239" s="1">
        <v>1914</v>
      </c>
      <c r="G1239" s="1" t="s">
        <v>10</v>
      </c>
      <c r="J1239" s="3">
        <v>46080.390821759262</v>
      </c>
      <c r="K1239" s="2" t="s">
        <v>8815</v>
      </c>
      <c r="L1239" s="1">
        <v>2</v>
      </c>
      <c r="M1239" s="1">
        <v>4</v>
      </c>
      <c r="N1239" s="1">
        <v>2</v>
      </c>
      <c r="O1239" s="3">
        <v>46233.65914210648</v>
      </c>
    </row>
    <row r="1240" spans="1:15" x14ac:dyDescent="0.25">
      <c r="A1240" s="5" t="s">
        <v>3884</v>
      </c>
      <c r="B1240" s="1" t="s">
        <v>8816</v>
      </c>
      <c r="C1240" s="1">
        <v>1902</v>
      </c>
      <c r="D1240" s="1" t="s">
        <v>8817</v>
      </c>
      <c r="E1240" s="1">
        <v>1982</v>
      </c>
      <c r="F1240" s="1" t="s">
        <v>14</v>
      </c>
      <c r="G1240" s="1" t="s">
        <v>10</v>
      </c>
      <c r="J1240" s="3">
        <v>46076.366851851853</v>
      </c>
      <c r="K1240" s="2" t="s">
        <v>8818</v>
      </c>
      <c r="L1240" s="1">
        <v>3</v>
      </c>
      <c r="M1240" s="1">
        <v>5</v>
      </c>
      <c r="N1240" s="1">
        <v>2</v>
      </c>
      <c r="O1240" s="3">
        <v>46233.65914210648</v>
      </c>
    </row>
    <row r="1241" spans="1:15" ht="120" x14ac:dyDescent="0.25">
      <c r="A1241" s="5" t="s">
        <v>3887</v>
      </c>
      <c r="B1241" s="1" t="s">
        <v>8819</v>
      </c>
      <c r="C1241" s="1">
        <v>1903</v>
      </c>
      <c r="E1241" s="1">
        <v>1988</v>
      </c>
      <c r="G1241" s="1" t="s">
        <v>10</v>
      </c>
      <c r="J1241" s="3">
        <v>46085.799062500002</v>
      </c>
      <c r="K1241" s="2" t="s">
        <v>8820</v>
      </c>
      <c r="L1241" s="1">
        <v>9</v>
      </c>
      <c r="M1241" s="1">
        <v>9</v>
      </c>
      <c r="N1241" s="1">
        <v>0</v>
      </c>
      <c r="O1241" s="3">
        <v>46233.65914210648</v>
      </c>
    </row>
    <row r="1242" spans="1:15" x14ac:dyDescent="0.25">
      <c r="A1242" s="5" t="s">
        <v>3890</v>
      </c>
      <c r="B1242" s="1" t="s">
        <v>8821</v>
      </c>
      <c r="C1242" s="1">
        <v>1878</v>
      </c>
      <c r="J1242" s="3">
        <v>45917.423541666663</v>
      </c>
      <c r="L1242" s="1">
        <v>6</v>
      </c>
      <c r="M1242" s="1">
        <v>6</v>
      </c>
      <c r="N1242" s="1">
        <v>0</v>
      </c>
      <c r="O1242" s="3">
        <v>46233.65914210648</v>
      </c>
    </row>
    <row r="1243" spans="1:15" x14ac:dyDescent="0.25">
      <c r="A1243" s="5" t="s">
        <v>3893</v>
      </c>
      <c r="B1243" s="1" t="s">
        <v>8822</v>
      </c>
      <c r="C1243" s="1">
        <v>2001</v>
      </c>
      <c r="G1243" s="1" t="s">
        <v>11</v>
      </c>
      <c r="J1243" s="3">
        <v>46063.46671296296</v>
      </c>
      <c r="K1243" s="2" t="s">
        <v>8823</v>
      </c>
      <c r="L1243" s="1">
        <v>1</v>
      </c>
      <c r="M1243" s="1">
        <v>1</v>
      </c>
      <c r="N1243" s="1">
        <v>0</v>
      </c>
      <c r="O1243" s="3">
        <v>46233.65914210648</v>
      </c>
    </row>
    <row r="1244" spans="1:15" ht="90" x14ac:dyDescent="0.25">
      <c r="A1244" s="5" t="s">
        <v>3896</v>
      </c>
      <c r="B1244" s="1" t="s">
        <v>8824</v>
      </c>
      <c r="C1244" s="1" t="s">
        <v>12</v>
      </c>
      <c r="G1244" s="1" t="s">
        <v>11</v>
      </c>
      <c r="J1244" s="3">
        <v>46085.585497685184</v>
      </c>
      <c r="K1244" s="2" t="s">
        <v>8825</v>
      </c>
      <c r="L1244" s="1">
        <v>1</v>
      </c>
      <c r="M1244" s="1">
        <v>1</v>
      </c>
      <c r="N1244" s="1">
        <v>0</v>
      </c>
      <c r="O1244" s="3">
        <v>46233.65914210648</v>
      </c>
    </row>
    <row r="1245" spans="1:15" x14ac:dyDescent="0.25">
      <c r="A1245" s="5" t="s">
        <v>3899</v>
      </c>
      <c r="B1245" s="1" t="s">
        <v>8826</v>
      </c>
      <c r="C1245" s="1">
        <v>1978</v>
      </c>
      <c r="J1245" s="3">
        <v>45917.43608796296</v>
      </c>
      <c r="L1245" s="1">
        <v>8</v>
      </c>
      <c r="M1245" s="1">
        <v>8</v>
      </c>
      <c r="N1245" s="1">
        <v>0</v>
      </c>
      <c r="O1245" s="3">
        <v>46233.65914210648</v>
      </c>
    </row>
    <row r="1246" spans="1:15" ht="345" x14ac:dyDescent="0.25">
      <c r="A1246" s="5" t="s">
        <v>3902</v>
      </c>
      <c r="B1246" s="1" t="s">
        <v>8827</v>
      </c>
      <c r="C1246" s="1">
        <v>1730</v>
      </c>
      <c r="D1246" s="1" t="s">
        <v>14</v>
      </c>
      <c r="E1246" s="1">
        <v>1804</v>
      </c>
      <c r="F1246" s="1" t="s">
        <v>8318</v>
      </c>
      <c r="G1246" s="1" t="s">
        <v>10</v>
      </c>
      <c r="H1246" s="2" t="s">
        <v>140</v>
      </c>
      <c r="I1246" s="2" t="s">
        <v>140</v>
      </c>
      <c r="J1246" s="3">
        <v>46097.744814814818</v>
      </c>
      <c r="K1246" s="2" t="s">
        <v>8830</v>
      </c>
      <c r="L1246" s="1">
        <v>8</v>
      </c>
      <c r="M1246" s="1">
        <v>8</v>
      </c>
      <c r="N1246" s="1">
        <v>0</v>
      </c>
      <c r="O1246" s="3">
        <v>46233.65914210648</v>
      </c>
    </row>
    <row r="1247" spans="1:15" ht="30" x14ac:dyDescent="0.25">
      <c r="A1247" s="5" t="s">
        <v>3905</v>
      </c>
      <c r="B1247" s="1" t="s">
        <v>8831</v>
      </c>
      <c r="C1247" s="1">
        <v>1778</v>
      </c>
      <c r="D1247" s="1" t="s">
        <v>14</v>
      </c>
      <c r="E1247" s="1">
        <v>1844</v>
      </c>
      <c r="G1247" s="1" t="s">
        <v>10</v>
      </c>
      <c r="J1247" s="3">
        <v>46078.695405092592</v>
      </c>
      <c r="K1247" s="2" t="s">
        <v>8833</v>
      </c>
      <c r="L1247" s="1">
        <v>4</v>
      </c>
      <c r="M1247" s="1">
        <v>5</v>
      </c>
      <c r="N1247" s="1">
        <v>1</v>
      </c>
      <c r="O1247" s="3">
        <v>46233.65914210648</v>
      </c>
    </row>
    <row r="1248" spans="1:15" ht="60" x14ac:dyDescent="0.25">
      <c r="A1248" s="5" t="s">
        <v>3908</v>
      </c>
      <c r="B1248" s="1" t="s">
        <v>8834</v>
      </c>
      <c r="C1248" s="1">
        <v>1872</v>
      </c>
      <c r="E1248" s="1">
        <v>1955</v>
      </c>
      <c r="G1248" s="1" t="s">
        <v>10</v>
      </c>
      <c r="J1248" s="3">
        <v>46086.693530092591</v>
      </c>
      <c r="K1248" s="2" t="s">
        <v>8835</v>
      </c>
      <c r="L1248" s="1">
        <v>33</v>
      </c>
      <c r="M1248" s="1">
        <v>33</v>
      </c>
      <c r="N1248" s="1">
        <v>0</v>
      </c>
      <c r="O1248" s="3">
        <v>46233.65914210648</v>
      </c>
    </row>
    <row r="1249" spans="1:15" x14ac:dyDescent="0.25">
      <c r="A1249" s="5" t="s">
        <v>3911</v>
      </c>
      <c r="B1249" s="1" t="s">
        <v>8836</v>
      </c>
      <c r="C1249" s="1" t="s">
        <v>12</v>
      </c>
      <c r="E1249" s="1" t="s">
        <v>12</v>
      </c>
      <c r="G1249" s="1" t="s">
        <v>11</v>
      </c>
      <c r="J1249" s="3">
        <v>46080.630752314813</v>
      </c>
      <c r="K1249" s="2" t="s">
        <v>8350</v>
      </c>
      <c r="L1249" s="1">
        <v>1</v>
      </c>
      <c r="M1249" s="1">
        <v>1</v>
      </c>
      <c r="N1249" s="1">
        <v>0</v>
      </c>
      <c r="O1249" s="3">
        <v>46233.65914210648</v>
      </c>
    </row>
    <row r="1250" spans="1:15" ht="45" x14ac:dyDescent="0.25">
      <c r="A1250" s="5" t="s">
        <v>3914</v>
      </c>
      <c r="B1250" s="1" t="s">
        <v>8837</v>
      </c>
      <c r="C1250" s="1">
        <v>1949</v>
      </c>
      <c r="D1250" s="1" t="s">
        <v>8838</v>
      </c>
      <c r="G1250" s="1" t="s">
        <v>10</v>
      </c>
      <c r="J1250" s="3">
        <v>46062.472349537034</v>
      </c>
      <c r="K1250" s="2" t="s">
        <v>8839</v>
      </c>
      <c r="L1250" s="1">
        <v>47</v>
      </c>
      <c r="M1250" s="1">
        <v>51</v>
      </c>
      <c r="N1250" s="1">
        <v>4</v>
      </c>
      <c r="O1250" s="3">
        <v>46233.65914210648</v>
      </c>
    </row>
    <row r="1251" spans="1:15" x14ac:dyDescent="0.25">
      <c r="A1251" s="5" t="s">
        <v>3917</v>
      </c>
      <c r="B1251" s="1" t="s">
        <v>8840</v>
      </c>
      <c r="C1251" s="1" t="s">
        <v>12</v>
      </c>
      <c r="G1251" s="1" t="s">
        <v>11</v>
      </c>
      <c r="J1251" s="3">
        <v>46077.667662037034</v>
      </c>
      <c r="K1251" s="2" t="s">
        <v>8841</v>
      </c>
      <c r="L1251" s="1">
        <v>1</v>
      </c>
      <c r="M1251" s="1">
        <v>1</v>
      </c>
      <c r="N1251" s="1">
        <v>0</v>
      </c>
      <c r="O1251" s="3">
        <v>46233.65914210648</v>
      </c>
    </row>
    <row r="1252" spans="1:15" x14ac:dyDescent="0.25">
      <c r="A1252" s="5" t="s">
        <v>3920</v>
      </c>
      <c r="B1252" s="1" t="s">
        <v>8842</v>
      </c>
      <c r="C1252" s="1">
        <v>2010</v>
      </c>
      <c r="J1252" s="3">
        <v>45918.567546296297</v>
      </c>
      <c r="L1252" s="1">
        <v>2</v>
      </c>
      <c r="M1252" s="1">
        <v>2</v>
      </c>
      <c r="N1252" s="1">
        <v>0</v>
      </c>
      <c r="O1252" s="3">
        <v>46233.65914210648</v>
      </c>
    </row>
    <row r="1253" spans="1:15" x14ac:dyDescent="0.25">
      <c r="A1253" s="5" t="s">
        <v>3923</v>
      </c>
      <c r="B1253" s="1" t="s">
        <v>8843</v>
      </c>
      <c r="C1253" s="1">
        <v>1958</v>
      </c>
      <c r="G1253" s="1" t="s">
        <v>10</v>
      </c>
      <c r="J1253" s="3">
        <v>46058.575497685182</v>
      </c>
      <c r="K1253" s="2" t="s">
        <v>6916</v>
      </c>
      <c r="L1253" s="1">
        <v>40</v>
      </c>
      <c r="M1253" s="1">
        <v>40</v>
      </c>
      <c r="N1253" s="1">
        <v>0</v>
      </c>
      <c r="O1253" s="3">
        <v>46233.65914210648</v>
      </c>
    </row>
    <row r="1254" spans="1:15" ht="60" x14ac:dyDescent="0.25">
      <c r="A1254" s="5" t="s">
        <v>3926</v>
      </c>
      <c r="B1254" s="1" t="s">
        <v>8844</v>
      </c>
      <c r="C1254" s="1">
        <v>1923</v>
      </c>
      <c r="D1254" s="1" t="s">
        <v>15</v>
      </c>
      <c r="E1254" s="1">
        <v>2013</v>
      </c>
      <c r="F1254" s="1" t="s">
        <v>8318</v>
      </c>
      <c r="G1254" s="1" t="s">
        <v>10</v>
      </c>
      <c r="I1254" s="2" t="s">
        <v>8230</v>
      </c>
      <c r="J1254" s="3">
        <v>46070.606111111112</v>
      </c>
      <c r="K1254" s="2" t="s">
        <v>8845</v>
      </c>
      <c r="L1254" s="1">
        <v>97</v>
      </c>
      <c r="M1254" s="1">
        <v>101</v>
      </c>
      <c r="N1254" s="1">
        <v>4</v>
      </c>
      <c r="O1254" s="3">
        <v>46233.65914210648</v>
      </c>
    </row>
    <row r="1255" spans="1:15" ht="30" x14ac:dyDescent="0.25">
      <c r="A1255" s="5" t="s">
        <v>3929</v>
      </c>
      <c r="B1255" s="1" t="s">
        <v>8846</v>
      </c>
      <c r="C1255" s="1">
        <v>1747</v>
      </c>
      <c r="D1255" s="1" t="s">
        <v>14</v>
      </c>
      <c r="E1255" s="1">
        <v>1805</v>
      </c>
      <c r="F1255" s="1" t="s">
        <v>14</v>
      </c>
      <c r="G1255" s="1" t="s">
        <v>10</v>
      </c>
      <c r="J1255" s="3">
        <v>46058.44431712963</v>
      </c>
      <c r="K1255" s="2" t="s">
        <v>8849</v>
      </c>
      <c r="L1255" s="1">
        <v>7</v>
      </c>
      <c r="M1255" s="1">
        <v>7</v>
      </c>
      <c r="N1255" s="1">
        <v>0</v>
      </c>
      <c r="O1255" s="3">
        <v>46233.65914210648</v>
      </c>
    </row>
    <row r="1256" spans="1:15" ht="30" x14ac:dyDescent="0.25">
      <c r="A1256" s="5" t="s">
        <v>3932</v>
      </c>
      <c r="B1256" s="1" t="s">
        <v>8850</v>
      </c>
      <c r="C1256" s="1" t="s">
        <v>12</v>
      </c>
      <c r="G1256" s="1" t="s">
        <v>10</v>
      </c>
      <c r="J1256" s="3">
        <v>46094.632048611114</v>
      </c>
      <c r="K1256" s="2" t="s">
        <v>8851</v>
      </c>
      <c r="L1256" s="1">
        <v>1</v>
      </c>
      <c r="M1256" s="1">
        <v>1</v>
      </c>
      <c r="N1256" s="1">
        <v>0</v>
      </c>
      <c r="O1256" s="3">
        <v>46233.65914210648</v>
      </c>
    </row>
    <row r="1257" spans="1:15" ht="60" x14ac:dyDescent="0.25">
      <c r="A1257" s="5" t="s">
        <v>3935</v>
      </c>
      <c r="B1257" s="1" t="s">
        <v>8852</v>
      </c>
      <c r="C1257" s="1" t="s">
        <v>12</v>
      </c>
      <c r="D1257" s="1" t="s">
        <v>14</v>
      </c>
      <c r="G1257" s="1" t="s">
        <v>11</v>
      </c>
      <c r="H1257" s="2" t="s">
        <v>8853</v>
      </c>
      <c r="I1257" s="2" t="s">
        <v>8854</v>
      </c>
      <c r="J1257" s="3">
        <v>46058.610520833332</v>
      </c>
      <c r="K1257" s="2" t="s">
        <v>8855</v>
      </c>
      <c r="L1257" s="1">
        <v>13</v>
      </c>
      <c r="M1257" s="1">
        <v>15</v>
      </c>
      <c r="N1257" s="1">
        <v>2</v>
      </c>
      <c r="O1257" s="3">
        <v>46233.65914210648</v>
      </c>
    </row>
    <row r="1258" spans="1:15" ht="60" x14ac:dyDescent="0.25">
      <c r="A1258" s="5" t="s">
        <v>3938</v>
      </c>
      <c r="B1258" s="1" t="s">
        <v>8856</v>
      </c>
      <c r="C1258" s="1">
        <v>1955</v>
      </c>
      <c r="D1258" s="1" t="s">
        <v>8857</v>
      </c>
      <c r="G1258" s="1" t="s">
        <v>10</v>
      </c>
      <c r="H1258" s="2" t="s">
        <v>140</v>
      </c>
      <c r="J1258" s="3">
        <v>46062.641469907408</v>
      </c>
      <c r="K1258" s="2" t="s">
        <v>8858</v>
      </c>
      <c r="L1258" s="1">
        <v>33</v>
      </c>
      <c r="M1258" s="1">
        <v>39</v>
      </c>
      <c r="N1258" s="1">
        <v>6</v>
      </c>
      <c r="O1258" s="3">
        <v>46233.65914210648</v>
      </c>
    </row>
    <row r="1259" spans="1:15" x14ac:dyDescent="0.25">
      <c r="A1259" s="5" t="s">
        <v>3941</v>
      </c>
      <c r="B1259" s="1" t="s">
        <v>8859</v>
      </c>
      <c r="C1259" s="1">
        <v>1947</v>
      </c>
      <c r="J1259" s="3">
        <v>45925.649733796294</v>
      </c>
      <c r="L1259" s="1">
        <v>14</v>
      </c>
      <c r="M1259" s="1">
        <v>15</v>
      </c>
      <c r="N1259" s="1">
        <v>1</v>
      </c>
      <c r="O1259" s="3">
        <v>46233.65914210648</v>
      </c>
    </row>
    <row r="1260" spans="1:15" ht="30" x14ac:dyDescent="0.25">
      <c r="A1260" s="5" t="s">
        <v>3944</v>
      </c>
      <c r="B1260" s="1" t="s">
        <v>8860</v>
      </c>
      <c r="C1260" s="1">
        <v>1811</v>
      </c>
      <c r="D1260" s="1" t="s">
        <v>14</v>
      </c>
      <c r="E1260" s="1">
        <v>1877</v>
      </c>
      <c r="F1260" s="1" t="s">
        <v>14</v>
      </c>
      <c r="G1260" s="1" t="s">
        <v>10</v>
      </c>
      <c r="J1260" s="3">
        <v>46064.63453703704</v>
      </c>
      <c r="K1260" s="2" t="s">
        <v>8862</v>
      </c>
      <c r="L1260" s="1">
        <v>2</v>
      </c>
      <c r="M1260" s="1">
        <v>2</v>
      </c>
      <c r="N1260" s="1">
        <v>0</v>
      </c>
      <c r="O1260" s="3">
        <v>46233.65914210648</v>
      </c>
    </row>
    <row r="1261" spans="1:15" ht="120" x14ac:dyDescent="0.25">
      <c r="A1261" s="5" t="s">
        <v>3947</v>
      </c>
      <c r="B1261" s="1" t="s">
        <v>8863</v>
      </c>
      <c r="C1261" s="1">
        <v>1883</v>
      </c>
      <c r="E1261" s="1">
        <v>1968</v>
      </c>
      <c r="J1261" s="3">
        <v>46086.674525462964</v>
      </c>
      <c r="K1261" s="2" t="s">
        <v>8864</v>
      </c>
      <c r="L1261" s="1">
        <v>1</v>
      </c>
      <c r="M1261" s="1">
        <v>1</v>
      </c>
      <c r="N1261" s="1">
        <v>0</v>
      </c>
      <c r="O1261" s="3">
        <v>46233.65914210648</v>
      </c>
    </row>
    <row r="1262" spans="1:15" ht="45" x14ac:dyDescent="0.25">
      <c r="A1262" s="5" t="s">
        <v>3950</v>
      </c>
      <c r="B1262" s="1" t="s">
        <v>8865</v>
      </c>
      <c r="C1262" s="1">
        <v>1866</v>
      </c>
      <c r="D1262" s="1" t="s">
        <v>8866</v>
      </c>
      <c r="E1262" s="1">
        <v>1931</v>
      </c>
      <c r="F1262" s="1" t="s">
        <v>135</v>
      </c>
      <c r="G1262" s="1" t="s">
        <v>10</v>
      </c>
      <c r="J1262" s="3">
        <v>46065.611655092594</v>
      </c>
      <c r="K1262" s="2" t="s">
        <v>8867</v>
      </c>
      <c r="L1262" s="1">
        <v>26</v>
      </c>
      <c r="M1262" s="1">
        <v>28</v>
      </c>
      <c r="N1262" s="1">
        <v>2</v>
      </c>
      <c r="O1262" s="3">
        <v>46233.65914210648</v>
      </c>
    </row>
    <row r="1263" spans="1:15" x14ac:dyDescent="0.25">
      <c r="A1263" s="5" t="s">
        <v>3953</v>
      </c>
      <c r="B1263" s="1" t="s">
        <v>8868</v>
      </c>
      <c r="C1263" s="1">
        <v>1996</v>
      </c>
      <c r="J1263" s="3">
        <v>45929.367997685185</v>
      </c>
      <c r="L1263" s="1">
        <v>1</v>
      </c>
      <c r="M1263" s="1">
        <v>1</v>
      </c>
      <c r="N1263" s="1">
        <v>0</v>
      </c>
      <c r="O1263" s="3">
        <v>46233.65914210648</v>
      </c>
    </row>
    <row r="1264" spans="1:15" x14ac:dyDescent="0.25">
      <c r="A1264" s="5" t="s">
        <v>3956</v>
      </c>
      <c r="B1264" s="1" t="s">
        <v>8869</v>
      </c>
      <c r="C1264" s="1">
        <v>1958</v>
      </c>
      <c r="D1264" s="1" t="s">
        <v>14</v>
      </c>
      <c r="G1264" s="1" t="s">
        <v>10</v>
      </c>
      <c r="J1264" s="3">
        <v>46076.574826388889</v>
      </c>
      <c r="K1264" s="2" t="s">
        <v>8870</v>
      </c>
      <c r="L1264" s="1">
        <v>48</v>
      </c>
      <c r="M1264" s="1">
        <v>53</v>
      </c>
      <c r="N1264" s="1">
        <v>5</v>
      </c>
      <c r="O1264" s="3">
        <v>46233.65914210648</v>
      </c>
    </row>
    <row r="1265" spans="1:15" ht="60" x14ac:dyDescent="0.25">
      <c r="A1265" s="5" t="s">
        <v>3959</v>
      </c>
      <c r="B1265" s="1" t="s">
        <v>8871</v>
      </c>
      <c r="C1265" s="1">
        <v>1779</v>
      </c>
      <c r="D1265" s="1" t="s">
        <v>14</v>
      </c>
      <c r="E1265" s="1">
        <v>1854</v>
      </c>
      <c r="F1265" s="1" t="s">
        <v>8736</v>
      </c>
      <c r="G1265" s="1" t="s">
        <v>10</v>
      </c>
      <c r="I1265" s="2" t="s">
        <v>7507</v>
      </c>
      <c r="J1265" s="3">
        <v>46065.626446759263</v>
      </c>
      <c r="K1265" s="2" t="s">
        <v>8873</v>
      </c>
      <c r="L1265" s="1">
        <v>16</v>
      </c>
      <c r="M1265" s="1">
        <v>16</v>
      </c>
      <c r="N1265" s="1">
        <v>0</v>
      </c>
      <c r="O1265" s="3">
        <v>46233.65914210648</v>
      </c>
    </row>
    <row r="1266" spans="1:15" x14ac:dyDescent="0.25">
      <c r="A1266" s="5" t="s">
        <v>3962</v>
      </c>
      <c r="B1266" s="1" t="s">
        <v>8874</v>
      </c>
      <c r="C1266" s="1">
        <v>1995</v>
      </c>
      <c r="J1266" s="3">
        <v>45929.372731481482</v>
      </c>
      <c r="L1266" s="1">
        <v>1</v>
      </c>
      <c r="M1266" s="1">
        <v>1</v>
      </c>
      <c r="N1266" s="1">
        <v>0</v>
      </c>
      <c r="O1266" s="3">
        <v>46233.65914210648</v>
      </c>
    </row>
    <row r="1267" spans="1:15" ht="90" x14ac:dyDescent="0.25">
      <c r="A1267" s="5" t="s">
        <v>3965</v>
      </c>
      <c r="B1267" s="1" t="s">
        <v>8875</v>
      </c>
      <c r="C1267" s="1">
        <v>1989</v>
      </c>
      <c r="G1267" s="1" t="s">
        <v>11</v>
      </c>
      <c r="J1267" s="3">
        <v>46091.452407407407</v>
      </c>
      <c r="K1267" s="2" t="s">
        <v>8876</v>
      </c>
      <c r="L1267" s="1">
        <v>8</v>
      </c>
      <c r="M1267" s="1">
        <v>8</v>
      </c>
      <c r="N1267" s="1">
        <v>0</v>
      </c>
      <c r="O1267" s="3">
        <v>46233.65914210648</v>
      </c>
    </row>
    <row r="1268" spans="1:15" ht="90" x14ac:dyDescent="0.25">
      <c r="A1268" s="5" t="s">
        <v>3968</v>
      </c>
      <c r="B1268" s="1" t="s">
        <v>8877</v>
      </c>
      <c r="C1268" s="1">
        <v>1871</v>
      </c>
      <c r="D1268" s="1" t="s">
        <v>8878</v>
      </c>
      <c r="E1268" s="1">
        <v>1949</v>
      </c>
      <c r="F1268" s="1" t="s">
        <v>14</v>
      </c>
      <c r="G1268" s="1" t="s">
        <v>10</v>
      </c>
      <c r="J1268" s="3">
        <v>46098.61818287037</v>
      </c>
      <c r="K1268" s="2" t="s">
        <v>8879</v>
      </c>
      <c r="L1268" s="1">
        <v>3</v>
      </c>
      <c r="M1268" s="1">
        <v>4</v>
      </c>
      <c r="N1268" s="1">
        <v>1</v>
      </c>
      <c r="O1268" s="3">
        <v>46233.65914210648</v>
      </c>
    </row>
    <row r="1269" spans="1:15" ht="135" x14ac:dyDescent="0.25">
      <c r="A1269" s="5" t="s">
        <v>3971</v>
      </c>
      <c r="B1269" s="1" t="s">
        <v>8880</v>
      </c>
      <c r="C1269" s="1">
        <v>1932</v>
      </c>
      <c r="E1269" s="1">
        <v>1993</v>
      </c>
      <c r="G1269" s="1" t="s">
        <v>10</v>
      </c>
      <c r="J1269" s="3">
        <v>46090.717164351852</v>
      </c>
      <c r="K1269" s="2" t="s">
        <v>8881</v>
      </c>
      <c r="L1269" s="1">
        <v>5</v>
      </c>
      <c r="M1269" s="1">
        <v>5</v>
      </c>
      <c r="N1269" s="1">
        <v>0</v>
      </c>
      <c r="O1269" s="3">
        <v>46233.65914210648</v>
      </c>
    </row>
    <row r="1270" spans="1:15" ht="30" x14ac:dyDescent="0.25">
      <c r="A1270" s="5" t="s">
        <v>3974</v>
      </c>
      <c r="B1270" s="1" t="s">
        <v>8882</v>
      </c>
      <c r="C1270" s="1" t="s">
        <v>12</v>
      </c>
      <c r="G1270" s="1" t="s">
        <v>10</v>
      </c>
      <c r="J1270" s="3">
        <v>46065.363993055558</v>
      </c>
      <c r="K1270" s="2" t="s">
        <v>8883</v>
      </c>
      <c r="L1270" s="1">
        <v>1</v>
      </c>
      <c r="M1270" s="1">
        <v>1</v>
      </c>
      <c r="N1270" s="1">
        <v>0</v>
      </c>
      <c r="O1270" s="3">
        <v>46233.65914210648</v>
      </c>
    </row>
    <row r="1271" spans="1:15" x14ac:dyDescent="0.25">
      <c r="A1271" s="5" t="s">
        <v>3977</v>
      </c>
      <c r="B1271" s="1" t="s">
        <v>8884</v>
      </c>
      <c r="C1271" s="1" t="s">
        <v>12</v>
      </c>
      <c r="G1271" s="1" t="s">
        <v>11</v>
      </c>
      <c r="J1271" s="3">
        <v>46086.678206018521</v>
      </c>
      <c r="K1271" s="2" t="s">
        <v>150</v>
      </c>
      <c r="L1271" s="1">
        <v>25</v>
      </c>
      <c r="M1271" s="1">
        <v>25</v>
      </c>
      <c r="N1271" s="1">
        <v>0</v>
      </c>
      <c r="O1271" s="3">
        <v>46233.65914210648</v>
      </c>
    </row>
    <row r="1272" spans="1:15" ht="45" x14ac:dyDescent="0.25">
      <c r="A1272" s="5" t="s">
        <v>3980</v>
      </c>
      <c r="B1272" s="1" t="s">
        <v>8885</v>
      </c>
      <c r="C1272" s="1">
        <v>1932</v>
      </c>
      <c r="E1272" s="1">
        <v>2008</v>
      </c>
      <c r="G1272" s="1" t="s">
        <v>10</v>
      </c>
      <c r="J1272" s="3">
        <v>46058.710381944446</v>
      </c>
      <c r="K1272" s="2" t="s">
        <v>8886</v>
      </c>
      <c r="L1272" s="1">
        <v>33</v>
      </c>
      <c r="M1272" s="1">
        <v>33</v>
      </c>
      <c r="N1272" s="1">
        <v>0</v>
      </c>
      <c r="O1272" s="3">
        <v>46233.65914210648</v>
      </c>
    </row>
    <row r="1273" spans="1:15" ht="45" x14ac:dyDescent="0.25">
      <c r="A1273" s="5" t="s">
        <v>3983</v>
      </c>
      <c r="B1273" s="1" t="s">
        <v>8887</v>
      </c>
      <c r="C1273" s="1" t="s">
        <v>12</v>
      </c>
      <c r="G1273" s="1" t="s">
        <v>10</v>
      </c>
      <c r="J1273" s="3">
        <v>46059.628900462965</v>
      </c>
      <c r="K1273" s="2" t="s">
        <v>8888</v>
      </c>
      <c r="L1273" s="1">
        <v>1</v>
      </c>
      <c r="M1273" s="1">
        <v>1</v>
      </c>
      <c r="N1273" s="1">
        <v>0</v>
      </c>
      <c r="O1273" s="3">
        <v>46233.65914210648</v>
      </c>
    </row>
    <row r="1274" spans="1:15" ht="240" x14ac:dyDescent="0.25">
      <c r="A1274" s="5" t="s">
        <v>3986</v>
      </c>
      <c r="B1274" s="1" t="s">
        <v>8889</v>
      </c>
      <c r="C1274" s="1">
        <v>1715</v>
      </c>
      <c r="E1274" s="1">
        <v>1763</v>
      </c>
      <c r="G1274" s="1" t="s">
        <v>10</v>
      </c>
      <c r="J1274" s="3">
        <v>46057.487824074073</v>
      </c>
      <c r="K1274" s="2" t="s">
        <v>8892</v>
      </c>
      <c r="L1274" s="1">
        <v>3</v>
      </c>
      <c r="M1274" s="1">
        <v>3</v>
      </c>
      <c r="N1274" s="1">
        <v>0</v>
      </c>
      <c r="O1274" s="3">
        <v>46233.65914210648</v>
      </c>
    </row>
    <row r="1275" spans="1:15" ht="30" x14ac:dyDescent="0.25">
      <c r="A1275" s="5" t="s">
        <v>3989</v>
      </c>
      <c r="B1275" s="1" t="s">
        <v>8893</v>
      </c>
      <c r="C1275" s="1">
        <v>1745</v>
      </c>
      <c r="D1275" s="1" t="s">
        <v>14</v>
      </c>
      <c r="E1275" s="1">
        <v>1829</v>
      </c>
      <c r="F1275" s="1" t="s">
        <v>14</v>
      </c>
      <c r="G1275" s="1" t="s">
        <v>10</v>
      </c>
      <c r="J1275" s="3">
        <v>46062.492939814816</v>
      </c>
      <c r="K1275" s="2" t="s">
        <v>8896</v>
      </c>
      <c r="L1275" s="1">
        <v>2</v>
      </c>
      <c r="M1275" s="1">
        <v>3</v>
      </c>
      <c r="N1275" s="1">
        <v>1</v>
      </c>
      <c r="O1275" s="3">
        <v>46233.65914210648</v>
      </c>
    </row>
    <row r="1276" spans="1:15" ht="75" x14ac:dyDescent="0.25">
      <c r="A1276" s="5" t="s">
        <v>3992</v>
      </c>
      <c r="B1276" s="1" t="s">
        <v>8897</v>
      </c>
      <c r="C1276" s="1">
        <v>1905</v>
      </c>
      <c r="E1276" s="1">
        <v>1978</v>
      </c>
      <c r="G1276" s="1" t="s">
        <v>10</v>
      </c>
      <c r="J1276" s="3">
        <v>46062.626319444447</v>
      </c>
      <c r="K1276" s="2" t="s">
        <v>8898</v>
      </c>
      <c r="L1276" s="1">
        <v>37</v>
      </c>
      <c r="M1276" s="1">
        <v>40</v>
      </c>
      <c r="N1276" s="1">
        <v>3</v>
      </c>
      <c r="O1276" s="3">
        <v>46233.65914210648</v>
      </c>
    </row>
    <row r="1277" spans="1:15" x14ac:dyDescent="0.25">
      <c r="A1277" s="5" t="s">
        <v>3995</v>
      </c>
      <c r="B1277" s="1" t="s">
        <v>8899</v>
      </c>
      <c r="C1277" s="1">
        <v>1850</v>
      </c>
      <c r="D1277" s="1" t="s">
        <v>14</v>
      </c>
      <c r="E1277" s="1">
        <v>1934</v>
      </c>
      <c r="F1277" s="1" t="s">
        <v>14</v>
      </c>
      <c r="G1277" s="1" t="s">
        <v>11</v>
      </c>
      <c r="J1277" s="3">
        <v>46058.446099537039</v>
      </c>
      <c r="K1277" s="2" t="s">
        <v>8900</v>
      </c>
      <c r="L1277" s="1">
        <v>3</v>
      </c>
      <c r="M1277" s="1">
        <v>3</v>
      </c>
      <c r="N1277" s="1">
        <v>0</v>
      </c>
      <c r="O1277" s="3">
        <v>46233.65914210648</v>
      </c>
    </row>
    <row r="1278" spans="1:15" x14ac:dyDescent="0.25">
      <c r="A1278" s="5" t="s">
        <v>3998</v>
      </c>
      <c r="B1278" s="1" t="s">
        <v>8901</v>
      </c>
      <c r="C1278" s="1">
        <v>1791</v>
      </c>
      <c r="D1278" s="1" t="s">
        <v>14</v>
      </c>
      <c r="E1278" s="1">
        <v>1863</v>
      </c>
      <c r="F1278" s="1" t="s">
        <v>14</v>
      </c>
      <c r="G1278" s="1" t="s">
        <v>10</v>
      </c>
      <c r="J1278" s="3">
        <v>46079.367118055554</v>
      </c>
      <c r="K1278" s="2" t="s">
        <v>7461</v>
      </c>
      <c r="L1278" s="1">
        <v>5</v>
      </c>
      <c r="M1278" s="1">
        <v>5</v>
      </c>
      <c r="N1278" s="1">
        <v>0</v>
      </c>
      <c r="O1278" s="3">
        <v>46233.65914210648</v>
      </c>
    </row>
    <row r="1279" spans="1:15" ht="45" x14ac:dyDescent="0.25">
      <c r="A1279" s="5" t="s">
        <v>4001</v>
      </c>
      <c r="B1279" s="1" t="s">
        <v>8903</v>
      </c>
      <c r="C1279" s="1">
        <v>1788</v>
      </c>
      <c r="D1279" s="1" t="s">
        <v>14</v>
      </c>
      <c r="E1279" s="1">
        <v>1868</v>
      </c>
      <c r="F1279" s="1" t="s">
        <v>7437</v>
      </c>
      <c r="G1279" s="1" t="s">
        <v>10</v>
      </c>
      <c r="J1279" s="3">
        <v>46057.54928240741</v>
      </c>
      <c r="K1279" s="2" t="s">
        <v>8905</v>
      </c>
      <c r="L1279" s="1">
        <v>42</v>
      </c>
      <c r="M1279" s="1">
        <v>46</v>
      </c>
      <c r="N1279" s="1">
        <v>4</v>
      </c>
      <c r="O1279" s="3">
        <v>46233.65914210648</v>
      </c>
    </row>
    <row r="1280" spans="1:15" x14ac:dyDescent="0.25">
      <c r="A1280" s="5" t="s">
        <v>4004</v>
      </c>
      <c r="B1280" s="1" t="s">
        <v>8906</v>
      </c>
      <c r="C1280" s="1">
        <v>1845</v>
      </c>
      <c r="E1280" s="1">
        <v>1916</v>
      </c>
      <c r="G1280" s="1" t="s">
        <v>10</v>
      </c>
      <c r="J1280" s="3">
        <v>46057.799189814818</v>
      </c>
      <c r="L1280" s="1">
        <v>1</v>
      </c>
      <c r="M1280" s="1">
        <v>1</v>
      </c>
      <c r="N1280" s="1">
        <v>0</v>
      </c>
      <c r="O1280" s="3">
        <v>46233.65914210648</v>
      </c>
    </row>
    <row r="1281" spans="1:15" ht="30" x14ac:dyDescent="0.25">
      <c r="A1281" s="5" t="s">
        <v>4007</v>
      </c>
      <c r="B1281" s="1" t="s">
        <v>8907</v>
      </c>
      <c r="C1281" s="1">
        <v>1922</v>
      </c>
      <c r="D1281" s="1" t="s">
        <v>14</v>
      </c>
      <c r="E1281" s="1">
        <v>1977</v>
      </c>
      <c r="F1281" s="1" t="s">
        <v>14</v>
      </c>
      <c r="G1281" s="1" t="s">
        <v>10</v>
      </c>
      <c r="H1281" s="2" t="s">
        <v>8028</v>
      </c>
      <c r="J1281" s="3">
        <v>46065.415613425925</v>
      </c>
      <c r="K1281" s="2" t="s">
        <v>8908</v>
      </c>
      <c r="L1281" s="1">
        <v>7</v>
      </c>
      <c r="M1281" s="1">
        <v>8</v>
      </c>
      <c r="N1281" s="1">
        <v>1</v>
      </c>
      <c r="O1281" s="3">
        <v>46233.65914210648</v>
      </c>
    </row>
    <row r="1282" spans="1:15" ht="30" x14ac:dyDescent="0.25">
      <c r="A1282" s="5" t="s">
        <v>4010</v>
      </c>
      <c r="B1282" s="1" t="s">
        <v>8909</v>
      </c>
      <c r="C1282" s="1">
        <v>1801</v>
      </c>
      <c r="D1282" s="1" t="s">
        <v>14</v>
      </c>
      <c r="E1282" s="1">
        <v>1885</v>
      </c>
      <c r="F1282" s="1" t="s">
        <v>14</v>
      </c>
      <c r="G1282" s="1" t="s">
        <v>10</v>
      </c>
      <c r="J1282" s="3">
        <v>46062.539502314816</v>
      </c>
      <c r="K1282" s="2" t="s">
        <v>8910</v>
      </c>
      <c r="L1282" s="1">
        <v>1</v>
      </c>
      <c r="M1282" s="1">
        <v>2</v>
      </c>
      <c r="N1282" s="1">
        <v>1</v>
      </c>
      <c r="O1282" s="3">
        <v>46233.65914210648</v>
      </c>
    </row>
    <row r="1283" spans="1:15" x14ac:dyDescent="0.25">
      <c r="A1283" s="5" t="s">
        <v>4013</v>
      </c>
      <c r="B1283" s="1" t="s">
        <v>8911</v>
      </c>
      <c r="C1283" s="1">
        <v>1857</v>
      </c>
      <c r="D1283" s="1" t="s">
        <v>14</v>
      </c>
      <c r="E1283" s="1">
        <v>1939</v>
      </c>
      <c r="F1283" s="1" t="s">
        <v>14</v>
      </c>
      <c r="G1283" s="1" t="s">
        <v>10</v>
      </c>
      <c r="J1283" s="3">
        <v>46058.403275462966</v>
      </c>
      <c r="L1283" s="1">
        <v>0</v>
      </c>
      <c r="M1283" s="1">
        <v>0</v>
      </c>
      <c r="N1283" s="1">
        <v>0</v>
      </c>
      <c r="O1283" s="3">
        <v>46233.65914210648</v>
      </c>
    </row>
    <row r="1284" spans="1:15" x14ac:dyDescent="0.25">
      <c r="A1284" s="5" t="s">
        <v>4016</v>
      </c>
      <c r="B1284" s="1" t="s">
        <v>8912</v>
      </c>
      <c r="C1284" s="1">
        <v>1757</v>
      </c>
      <c r="D1284" s="1" t="s">
        <v>133</v>
      </c>
      <c r="E1284" s="1">
        <v>1814</v>
      </c>
      <c r="F1284" s="1" t="s">
        <v>133</v>
      </c>
      <c r="G1284" s="1" t="s">
        <v>10</v>
      </c>
      <c r="J1284" s="3">
        <v>46080.566759259258</v>
      </c>
      <c r="K1284" s="2" t="s">
        <v>7461</v>
      </c>
      <c r="L1284" s="1">
        <v>3</v>
      </c>
      <c r="M1284" s="1">
        <v>3</v>
      </c>
      <c r="N1284" s="1">
        <v>0</v>
      </c>
      <c r="O1284" s="3">
        <v>46233.65914210648</v>
      </c>
    </row>
    <row r="1285" spans="1:15" x14ac:dyDescent="0.25">
      <c r="A1285" s="5" t="s">
        <v>4019</v>
      </c>
      <c r="B1285" s="1" t="s">
        <v>8913</v>
      </c>
      <c r="C1285" s="1">
        <v>1785</v>
      </c>
      <c r="D1285" s="1" t="s">
        <v>14</v>
      </c>
      <c r="E1285" s="1">
        <v>1864</v>
      </c>
      <c r="F1285" s="1" t="s">
        <v>8914</v>
      </c>
      <c r="G1285" s="1" t="s">
        <v>10</v>
      </c>
      <c r="J1285" s="3">
        <v>46058.418136574073</v>
      </c>
      <c r="K1285" s="2" t="s">
        <v>7461</v>
      </c>
      <c r="L1285" s="1">
        <v>6</v>
      </c>
      <c r="M1285" s="1">
        <v>11</v>
      </c>
      <c r="N1285" s="1">
        <v>5</v>
      </c>
      <c r="O1285" s="3">
        <v>46233.65914210648</v>
      </c>
    </row>
    <row r="1286" spans="1:15" ht="30" x14ac:dyDescent="0.25">
      <c r="A1286" s="5" t="s">
        <v>4022</v>
      </c>
      <c r="B1286" s="1" t="s">
        <v>8915</v>
      </c>
      <c r="C1286" s="1">
        <v>1755</v>
      </c>
      <c r="D1286" s="1" t="s">
        <v>14</v>
      </c>
      <c r="E1286" s="1">
        <v>1824</v>
      </c>
      <c r="F1286" s="1" t="s">
        <v>14</v>
      </c>
      <c r="G1286" s="1" t="s">
        <v>10</v>
      </c>
      <c r="J1286" s="3">
        <v>46080.609872685185</v>
      </c>
      <c r="K1286" s="2" t="s">
        <v>8918</v>
      </c>
      <c r="L1286" s="1">
        <v>99</v>
      </c>
      <c r="M1286" s="1">
        <v>105</v>
      </c>
      <c r="N1286" s="1">
        <v>6</v>
      </c>
      <c r="O1286" s="3">
        <v>46233.65914210648</v>
      </c>
    </row>
    <row r="1287" spans="1:15" ht="90" x14ac:dyDescent="0.25">
      <c r="A1287" s="5" t="s">
        <v>4025</v>
      </c>
      <c r="B1287" s="1" t="s">
        <v>8919</v>
      </c>
      <c r="C1287" s="1">
        <v>1879</v>
      </c>
      <c r="D1287" s="1" t="s">
        <v>7437</v>
      </c>
      <c r="E1287" s="1">
        <v>1935</v>
      </c>
      <c r="F1287" s="1" t="s">
        <v>8920</v>
      </c>
      <c r="G1287" s="1" t="s">
        <v>10</v>
      </c>
      <c r="H1287" s="2" t="s">
        <v>140</v>
      </c>
      <c r="I1287" s="2" t="s">
        <v>8921</v>
      </c>
      <c r="J1287" s="3">
        <v>46070.381076388891</v>
      </c>
      <c r="K1287" s="2" t="s">
        <v>8922</v>
      </c>
      <c r="L1287" s="1">
        <v>25</v>
      </c>
      <c r="M1287" s="1">
        <v>28</v>
      </c>
      <c r="N1287" s="1">
        <v>3</v>
      </c>
      <c r="O1287" s="3">
        <v>46233.65914210648</v>
      </c>
    </row>
    <row r="1288" spans="1:15" x14ac:dyDescent="0.25">
      <c r="A1288" s="5" t="s">
        <v>4028</v>
      </c>
      <c r="B1288" s="1" t="s">
        <v>8923</v>
      </c>
      <c r="C1288" s="1">
        <v>1898</v>
      </c>
      <c r="D1288" s="1" t="s">
        <v>14</v>
      </c>
      <c r="E1288" s="1">
        <v>1988</v>
      </c>
      <c r="F1288" s="1" t="s">
        <v>14</v>
      </c>
      <c r="G1288" s="1" t="s">
        <v>10</v>
      </c>
      <c r="J1288" s="3">
        <v>46058.441053240742</v>
      </c>
      <c r="L1288" s="1">
        <v>26</v>
      </c>
      <c r="M1288" s="1">
        <v>28</v>
      </c>
      <c r="N1288" s="1">
        <v>2</v>
      </c>
      <c r="O1288" s="3">
        <v>46233.65914210648</v>
      </c>
    </row>
    <row r="1289" spans="1:15" ht="150" x14ac:dyDescent="0.25">
      <c r="A1289" s="5" t="s">
        <v>4031</v>
      </c>
      <c r="B1289" s="1" t="s">
        <v>8924</v>
      </c>
      <c r="C1289" s="1">
        <v>1778</v>
      </c>
      <c r="D1289" s="1" t="s">
        <v>14</v>
      </c>
      <c r="E1289" s="1">
        <v>1842</v>
      </c>
      <c r="F1289" s="1" t="s">
        <v>14</v>
      </c>
      <c r="G1289" s="1" t="s">
        <v>10</v>
      </c>
      <c r="J1289" s="3">
        <v>46065.600069444445</v>
      </c>
      <c r="K1289" s="2" t="s">
        <v>8925</v>
      </c>
      <c r="L1289" s="1">
        <v>18</v>
      </c>
      <c r="M1289" s="1">
        <v>18</v>
      </c>
      <c r="N1289" s="1">
        <v>0</v>
      </c>
      <c r="O1289" s="3">
        <v>46233.65914210648</v>
      </c>
    </row>
    <row r="1290" spans="1:15" x14ac:dyDescent="0.25">
      <c r="A1290" s="5" t="s">
        <v>4034</v>
      </c>
      <c r="B1290" s="1" t="s">
        <v>8926</v>
      </c>
      <c r="C1290" s="1">
        <v>1922</v>
      </c>
      <c r="D1290" s="1" t="s">
        <v>8927</v>
      </c>
      <c r="E1290" s="1">
        <v>1988</v>
      </c>
      <c r="F1290" s="1" t="s">
        <v>14</v>
      </c>
      <c r="G1290" s="1" t="s">
        <v>10</v>
      </c>
      <c r="J1290" s="3">
        <v>46073.661793981482</v>
      </c>
      <c r="K1290" s="2" t="s">
        <v>8928</v>
      </c>
      <c r="L1290" s="1">
        <v>18</v>
      </c>
      <c r="M1290" s="1">
        <v>21</v>
      </c>
      <c r="N1290" s="1">
        <v>3</v>
      </c>
      <c r="O1290" s="3">
        <v>46233.65914210648</v>
      </c>
    </row>
    <row r="1291" spans="1:15" ht="210" x14ac:dyDescent="0.25">
      <c r="A1291" s="5" t="s">
        <v>4037</v>
      </c>
      <c r="B1291" s="1" t="s">
        <v>8929</v>
      </c>
      <c r="C1291" s="1">
        <v>1842</v>
      </c>
      <c r="D1291" s="1" t="s">
        <v>14</v>
      </c>
      <c r="E1291" s="1">
        <v>1924</v>
      </c>
      <c r="F1291" s="1" t="s">
        <v>14</v>
      </c>
      <c r="G1291" s="1" t="s">
        <v>10</v>
      </c>
      <c r="J1291" s="3">
        <v>46058.4453587963</v>
      </c>
      <c r="K1291" s="2" t="s">
        <v>8930</v>
      </c>
      <c r="L1291" s="1">
        <v>33</v>
      </c>
      <c r="M1291" s="1">
        <v>36</v>
      </c>
      <c r="N1291" s="1">
        <v>3</v>
      </c>
      <c r="O1291" s="3">
        <v>46233.65914210648</v>
      </c>
    </row>
    <row r="1292" spans="1:15" x14ac:dyDescent="0.25">
      <c r="A1292" s="5" t="s">
        <v>4040</v>
      </c>
      <c r="B1292" s="1" t="s">
        <v>8931</v>
      </c>
      <c r="C1292" s="1">
        <v>1866</v>
      </c>
      <c r="E1292" s="1">
        <v>1932</v>
      </c>
      <c r="G1292" s="1" t="s">
        <v>10</v>
      </c>
      <c r="J1292" s="3">
        <v>46085.799062500002</v>
      </c>
      <c r="K1292" s="2" t="s">
        <v>8704</v>
      </c>
      <c r="L1292" s="1">
        <v>4</v>
      </c>
      <c r="M1292" s="1">
        <v>4</v>
      </c>
      <c r="N1292" s="1">
        <v>0</v>
      </c>
      <c r="O1292" s="3">
        <v>46233.65914210648</v>
      </c>
    </row>
    <row r="1293" spans="1:15" ht="30" x14ac:dyDescent="0.25">
      <c r="A1293" s="5" t="s">
        <v>4043</v>
      </c>
      <c r="B1293" s="1" t="s">
        <v>8932</v>
      </c>
      <c r="C1293" s="1">
        <v>1737</v>
      </c>
      <c r="D1293" s="1" t="s">
        <v>14</v>
      </c>
      <c r="E1293" s="1">
        <v>1799</v>
      </c>
      <c r="F1293" s="1" t="s">
        <v>14</v>
      </c>
      <c r="G1293" s="1" t="s">
        <v>10</v>
      </c>
      <c r="J1293" s="3">
        <v>46078.468263888892</v>
      </c>
      <c r="K1293" s="2" t="s">
        <v>8934</v>
      </c>
      <c r="L1293" s="1">
        <v>1</v>
      </c>
      <c r="M1293" s="1">
        <v>1</v>
      </c>
      <c r="N1293" s="1">
        <v>0</v>
      </c>
      <c r="O1293" s="3">
        <v>46233.65914210648</v>
      </c>
    </row>
    <row r="1294" spans="1:15" ht="30" x14ac:dyDescent="0.25">
      <c r="A1294" s="5" t="s">
        <v>4046</v>
      </c>
      <c r="B1294" s="1" t="s">
        <v>8935</v>
      </c>
      <c r="C1294" s="1">
        <v>1968</v>
      </c>
      <c r="G1294" s="1" t="s">
        <v>11</v>
      </c>
      <c r="J1294" s="3">
        <v>46090.695381944446</v>
      </c>
      <c r="K1294" s="2" t="s">
        <v>8936</v>
      </c>
      <c r="L1294" s="1">
        <v>1</v>
      </c>
      <c r="M1294" s="1">
        <v>1</v>
      </c>
      <c r="N1294" s="1">
        <v>0</v>
      </c>
      <c r="O1294" s="3">
        <v>46233.65914210648</v>
      </c>
    </row>
    <row r="1295" spans="1:15" ht="120" x14ac:dyDescent="0.25">
      <c r="A1295" s="5" t="s">
        <v>4049</v>
      </c>
      <c r="B1295" s="1" t="s">
        <v>8937</v>
      </c>
      <c r="C1295" s="1" t="s">
        <v>12</v>
      </c>
      <c r="G1295" s="1" t="s">
        <v>10</v>
      </c>
      <c r="J1295" s="3">
        <v>46058.467268518521</v>
      </c>
      <c r="K1295" s="2" t="s">
        <v>8938</v>
      </c>
      <c r="L1295" s="1">
        <v>1</v>
      </c>
      <c r="M1295" s="1">
        <v>1</v>
      </c>
      <c r="N1295" s="1">
        <v>0</v>
      </c>
      <c r="O1295" s="3">
        <v>46233.65914210648</v>
      </c>
    </row>
    <row r="1296" spans="1:15" ht="210" x14ac:dyDescent="0.25">
      <c r="A1296" s="5" t="s">
        <v>4052</v>
      </c>
      <c r="B1296" s="1" t="s">
        <v>8939</v>
      </c>
      <c r="C1296" s="1">
        <v>1917</v>
      </c>
      <c r="E1296" s="1">
        <v>2000</v>
      </c>
      <c r="G1296" s="1" t="s">
        <v>10</v>
      </c>
      <c r="J1296" s="3">
        <v>46062.573645833334</v>
      </c>
      <c r="K1296" s="2" t="s">
        <v>8940</v>
      </c>
      <c r="L1296" s="1">
        <v>2</v>
      </c>
      <c r="M1296" s="1">
        <v>2</v>
      </c>
      <c r="N1296" s="1">
        <v>0</v>
      </c>
      <c r="O1296" s="3">
        <v>46233.65914210648</v>
      </c>
    </row>
    <row r="1297" spans="1:15" ht="120" x14ac:dyDescent="0.25">
      <c r="A1297" s="5" t="s">
        <v>4055</v>
      </c>
      <c r="B1297" s="1" t="s">
        <v>8941</v>
      </c>
      <c r="C1297" s="1">
        <v>1842</v>
      </c>
      <c r="D1297" s="1" t="s">
        <v>7857</v>
      </c>
      <c r="E1297" s="1">
        <v>1920</v>
      </c>
      <c r="F1297" s="1" t="s">
        <v>14</v>
      </c>
      <c r="G1297" s="1" t="s">
        <v>10</v>
      </c>
      <c r="H1297" s="2" t="s">
        <v>140</v>
      </c>
      <c r="I1297" s="2" t="s">
        <v>140</v>
      </c>
      <c r="J1297" s="3">
        <v>46058.594085648147</v>
      </c>
      <c r="K1297" s="2" t="s">
        <v>8942</v>
      </c>
      <c r="L1297" s="1">
        <v>61</v>
      </c>
      <c r="M1297" s="1">
        <v>65</v>
      </c>
      <c r="N1297" s="1">
        <v>4</v>
      </c>
      <c r="O1297" s="3">
        <v>46233.65914210648</v>
      </c>
    </row>
    <row r="1298" spans="1:15" ht="45" x14ac:dyDescent="0.25">
      <c r="A1298" s="5" t="s">
        <v>4058</v>
      </c>
      <c r="B1298" s="1" t="s">
        <v>8943</v>
      </c>
      <c r="C1298" s="1">
        <v>1978</v>
      </c>
      <c r="G1298" s="1" t="s">
        <v>10</v>
      </c>
      <c r="J1298" s="3">
        <v>46105.4997337963</v>
      </c>
      <c r="K1298" s="2" t="s">
        <v>8944</v>
      </c>
      <c r="L1298" s="1">
        <v>13</v>
      </c>
      <c r="M1298" s="1">
        <v>14</v>
      </c>
      <c r="N1298" s="1">
        <v>1</v>
      </c>
      <c r="O1298" s="3">
        <v>46233.65914210648</v>
      </c>
    </row>
    <row r="1299" spans="1:15" x14ac:dyDescent="0.25">
      <c r="A1299" s="5" t="s">
        <v>4061</v>
      </c>
      <c r="B1299" s="1" t="s">
        <v>8945</v>
      </c>
      <c r="C1299" s="1">
        <v>1901</v>
      </c>
      <c r="J1299" s="3">
        <v>45946.701261574075</v>
      </c>
      <c r="L1299" s="1">
        <v>17</v>
      </c>
      <c r="M1299" s="1">
        <v>19</v>
      </c>
      <c r="N1299" s="1">
        <v>2</v>
      </c>
      <c r="O1299" s="3">
        <v>46233.65914210648</v>
      </c>
    </row>
    <row r="1300" spans="1:15" ht="30" x14ac:dyDescent="0.25">
      <c r="A1300" s="5" t="s">
        <v>4064</v>
      </c>
      <c r="B1300" s="1" t="s">
        <v>8946</v>
      </c>
      <c r="C1300" s="1">
        <v>1849</v>
      </c>
      <c r="E1300" s="1">
        <v>1931</v>
      </c>
      <c r="F1300" s="1" t="s">
        <v>14</v>
      </c>
      <c r="G1300" s="1" t="s">
        <v>10</v>
      </c>
      <c r="J1300" s="3">
        <v>46098.624143518522</v>
      </c>
      <c r="K1300" s="2" t="s">
        <v>8947</v>
      </c>
      <c r="L1300" s="1">
        <v>236</v>
      </c>
      <c r="M1300" s="1">
        <v>249</v>
      </c>
      <c r="N1300" s="1">
        <v>13</v>
      </c>
      <c r="O1300" s="3">
        <v>46233.65914210648</v>
      </c>
    </row>
    <row r="1301" spans="1:15" ht="105" x14ac:dyDescent="0.25">
      <c r="A1301" s="5" t="s">
        <v>4067</v>
      </c>
      <c r="B1301" s="1" t="s">
        <v>8948</v>
      </c>
      <c r="C1301" s="1">
        <v>1865</v>
      </c>
      <c r="D1301" s="1" t="s">
        <v>14</v>
      </c>
      <c r="E1301" s="1">
        <v>1958</v>
      </c>
      <c r="F1301" s="1" t="s">
        <v>8376</v>
      </c>
      <c r="G1301" s="1" t="s">
        <v>10</v>
      </c>
      <c r="I1301" s="2" t="s">
        <v>140</v>
      </c>
      <c r="J1301" s="3">
        <v>46059.564317129632</v>
      </c>
      <c r="K1301" s="2" t="s">
        <v>8949</v>
      </c>
      <c r="L1301" s="1">
        <v>67</v>
      </c>
      <c r="M1301" s="1">
        <v>75</v>
      </c>
      <c r="N1301" s="1">
        <v>8</v>
      </c>
      <c r="O1301" s="3">
        <v>46233.65914210648</v>
      </c>
    </row>
    <row r="1302" spans="1:15" ht="60" x14ac:dyDescent="0.25">
      <c r="A1302" s="5" t="s">
        <v>4070</v>
      </c>
      <c r="B1302" s="1" t="s">
        <v>8950</v>
      </c>
      <c r="C1302" s="1">
        <v>1967</v>
      </c>
      <c r="G1302" s="1" t="s">
        <v>11</v>
      </c>
      <c r="J1302" s="3">
        <v>46086.634942129633</v>
      </c>
      <c r="K1302" s="2" t="s">
        <v>8951</v>
      </c>
      <c r="L1302" s="1">
        <v>2</v>
      </c>
      <c r="M1302" s="1">
        <v>2</v>
      </c>
      <c r="N1302" s="1">
        <v>0</v>
      </c>
      <c r="O1302" s="3">
        <v>46233.65914210648</v>
      </c>
    </row>
    <row r="1303" spans="1:15" ht="45" x14ac:dyDescent="0.25">
      <c r="A1303" s="5" t="s">
        <v>4073</v>
      </c>
      <c r="B1303" s="1" t="s">
        <v>8952</v>
      </c>
      <c r="C1303" s="1">
        <v>1790</v>
      </c>
      <c r="D1303" s="1" t="s">
        <v>14</v>
      </c>
      <c r="E1303" s="1">
        <v>1850</v>
      </c>
      <c r="F1303" s="1" t="s">
        <v>14</v>
      </c>
      <c r="G1303" s="1" t="s">
        <v>10</v>
      </c>
      <c r="J1303" s="3">
        <v>46058.615243055552</v>
      </c>
      <c r="K1303" s="2" t="s">
        <v>8954</v>
      </c>
      <c r="L1303" s="1">
        <v>71</v>
      </c>
      <c r="M1303" s="1">
        <v>71</v>
      </c>
      <c r="N1303" s="1">
        <v>0</v>
      </c>
      <c r="O1303" s="3">
        <v>46233.65914210648</v>
      </c>
    </row>
    <row r="1304" spans="1:15" ht="30" x14ac:dyDescent="0.25">
      <c r="A1304" s="5" t="s">
        <v>4076</v>
      </c>
      <c r="B1304" s="1" t="s">
        <v>8955</v>
      </c>
      <c r="C1304" s="1">
        <v>1979</v>
      </c>
      <c r="D1304" s="1" t="s">
        <v>8956</v>
      </c>
      <c r="G1304" s="1" t="s">
        <v>11</v>
      </c>
      <c r="J1304" s="3">
        <v>46090.344097222223</v>
      </c>
      <c r="K1304" s="2" t="s">
        <v>8957</v>
      </c>
      <c r="L1304" s="1">
        <v>53</v>
      </c>
      <c r="M1304" s="1">
        <v>62</v>
      </c>
      <c r="N1304" s="1">
        <v>9</v>
      </c>
      <c r="O1304" s="3">
        <v>46233.65914210648</v>
      </c>
    </row>
    <row r="1305" spans="1:15" ht="45" x14ac:dyDescent="0.25">
      <c r="A1305" s="5" t="s">
        <v>4079</v>
      </c>
      <c r="B1305" s="1" t="s">
        <v>8958</v>
      </c>
      <c r="C1305" s="1">
        <v>1821</v>
      </c>
      <c r="D1305" s="1" t="s">
        <v>14</v>
      </c>
      <c r="E1305" s="1">
        <v>1873</v>
      </c>
      <c r="F1305" s="1" t="s">
        <v>14</v>
      </c>
      <c r="G1305" s="1" t="s">
        <v>10</v>
      </c>
      <c r="J1305" s="3">
        <v>46086.656527777777</v>
      </c>
      <c r="K1305" s="2" t="s">
        <v>8960</v>
      </c>
      <c r="L1305" s="1">
        <v>49</v>
      </c>
      <c r="M1305" s="1">
        <v>50</v>
      </c>
      <c r="N1305" s="1">
        <v>1</v>
      </c>
      <c r="O1305" s="3">
        <v>46233.65914210648</v>
      </c>
    </row>
    <row r="1306" spans="1:15" ht="30" x14ac:dyDescent="0.25">
      <c r="A1306" s="5" t="s">
        <v>4082</v>
      </c>
      <c r="B1306" s="1" t="s">
        <v>8961</v>
      </c>
      <c r="C1306" s="1">
        <v>1838</v>
      </c>
      <c r="D1306" s="1" t="s">
        <v>14</v>
      </c>
      <c r="E1306" s="1">
        <v>1927</v>
      </c>
      <c r="F1306" s="1" t="s">
        <v>14</v>
      </c>
      <c r="G1306" s="1" t="s">
        <v>10</v>
      </c>
      <c r="I1306" s="2" t="s">
        <v>140</v>
      </c>
      <c r="J1306" s="3">
        <v>46058.627534722225</v>
      </c>
      <c r="L1306" s="1">
        <v>82</v>
      </c>
      <c r="M1306" s="1">
        <v>91</v>
      </c>
      <c r="N1306" s="1">
        <v>9</v>
      </c>
      <c r="O1306" s="3">
        <v>46233.65914210648</v>
      </c>
    </row>
    <row r="1307" spans="1:15" ht="45" x14ac:dyDescent="0.25">
      <c r="A1307" s="5" t="s">
        <v>4085</v>
      </c>
      <c r="B1307" s="1" t="s">
        <v>8962</v>
      </c>
      <c r="C1307" s="1" t="s">
        <v>12</v>
      </c>
      <c r="G1307" s="1" t="s">
        <v>10</v>
      </c>
      <c r="I1307" s="2" t="s">
        <v>8008</v>
      </c>
      <c r="J1307" s="3">
        <v>46105.498715277776</v>
      </c>
      <c r="K1307" s="2" t="s">
        <v>8963</v>
      </c>
      <c r="L1307" s="1">
        <v>18</v>
      </c>
      <c r="M1307" s="1">
        <v>18</v>
      </c>
      <c r="N1307" s="1">
        <v>0</v>
      </c>
      <c r="O1307" s="3">
        <v>46233.65914210648</v>
      </c>
    </row>
    <row r="1308" spans="1:15" x14ac:dyDescent="0.25">
      <c r="A1308" s="5" t="s">
        <v>4088</v>
      </c>
      <c r="B1308" s="1" t="s">
        <v>8964</v>
      </c>
      <c r="C1308" s="1">
        <v>1999</v>
      </c>
      <c r="J1308" s="3">
        <v>45953.669965277775</v>
      </c>
      <c r="L1308" s="1">
        <v>2</v>
      </c>
      <c r="M1308" s="1">
        <v>2</v>
      </c>
      <c r="N1308" s="1">
        <v>0</v>
      </c>
      <c r="O1308" s="3">
        <v>46233.65914210648</v>
      </c>
    </row>
    <row r="1309" spans="1:15" x14ac:dyDescent="0.25">
      <c r="A1309" s="5" t="s">
        <v>4091</v>
      </c>
      <c r="B1309" s="1" t="s">
        <v>8965</v>
      </c>
      <c r="C1309" s="1">
        <v>1963</v>
      </c>
      <c r="D1309" s="1" t="s">
        <v>8526</v>
      </c>
      <c r="G1309" s="1" t="s">
        <v>10</v>
      </c>
      <c r="J1309" s="3">
        <v>46080.617893518516</v>
      </c>
      <c r="K1309" s="2" t="s">
        <v>8966</v>
      </c>
      <c r="L1309" s="1">
        <v>4</v>
      </c>
      <c r="M1309" s="1">
        <v>4</v>
      </c>
      <c r="N1309" s="1">
        <v>0</v>
      </c>
      <c r="O1309" s="3">
        <v>46233.65914210648</v>
      </c>
    </row>
    <row r="1310" spans="1:15" ht="120" x14ac:dyDescent="0.25">
      <c r="A1310" s="5" t="s">
        <v>4094</v>
      </c>
      <c r="B1310" s="1" t="s">
        <v>8967</v>
      </c>
      <c r="C1310" s="1">
        <v>1847</v>
      </c>
      <c r="D1310" s="1" t="s">
        <v>8968</v>
      </c>
      <c r="E1310" s="1">
        <v>1920</v>
      </c>
      <c r="F1310" s="1" t="s">
        <v>8301</v>
      </c>
      <c r="G1310" s="1" t="s">
        <v>10</v>
      </c>
      <c r="I1310" s="2" t="s">
        <v>8969</v>
      </c>
      <c r="J1310" s="3">
        <v>46065.657071759262</v>
      </c>
      <c r="K1310" s="2" t="s">
        <v>8970</v>
      </c>
      <c r="L1310" s="1">
        <v>10</v>
      </c>
      <c r="M1310" s="1">
        <v>11</v>
      </c>
      <c r="N1310" s="1">
        <v>1</v>
      </c>
      <c r="O1310" s="3">
        <v>46233.65914210648</v>
      </c>
    </row>
    <row r="1311" spans="1:15" ht="30" x14ac:dyDescent="0.25">
      <c r="A1311" s="5" t="s">
        <v>4097</v>
      </c>
      <c r="B1311" s="1" t="s">
        <v>8971</v>
      </c>
      <c r="C1311" s="1">
        <v>1884</v>
      </c>
      <c r="D1311" s="1" t="s">
        <v>14</v>
      </c>
      <c r="E1311" s="1">
        <v>1942</v>
      </c>
      <c r="F1311" s="1" t="s">
        <v>14</v>
      </c>
      <c r="G1311" s="1" t="s">
        <v>10</v>
      </c>
      <c r="J1311" s="3">
        <v>46059.646585648145</v>
      </c>
      <c r="K1311" s="2" t="s">
        <v>8973</v>
      </c>
      <c r="L1311" s="1">
        <v>5</v>
      </c>
      <c r="M1311" s="1">
        <v>5</v>
      </c>
      <c r="N1311" s="1">
        <v>0</v>
      </c>
      <c r="O1311" s="3">
        <v>46233.65914210648</v>
      </c>
    </row>
    <row r="1312" spans="1:15" ht="60" x14ac:dyDescent="0.25">
      <c r="A1312" s="5" t="s">
        <v>4100</v>
      </c>
      <c r="B1312" s="1" t="s">
        <v>8974</v>
      </c>
      <c r="C1312" s="1" t="s">
        <v>12</v>
      </c>
      <c r="G1312" s="1" t="s">
        <v>10</v>
      </c>
      <c r="J1312" s="3">
        <v>46058.79923611111</v>
      </c>
      <c r="K1312" s="2" t="s">
        <v>8975</v>
      </c>
      <c r="L1312" s="1">
        <v>6</v>
      </c>
      <c r="M1312" s="1">
        <v>6</v>
      </c>
      <c r="N1312" s="1">
        <v>0</v>
      </c>
      <c r="O1312" s="3">
        <v>46233.65914210648</v>
      </c>
    </row>
    <row r="1313" spans="1:15" ht="90" x14ac:dyDescent="0.25">
      <c r="A1313" s="5" t="s">
        <v>4103</v>
      </c>
      <c r="B1313" s="1" t="s">
        <v>8976</v>
      </c>
      <c r="C1313" s="1">
        <v>1940</v>
      </c>
      <c r="D1313" s="1" t="s">
        <v>8025</v>
      </c>
      <c r="E1313" s="1">
        <v>2009</v>
      </c>
      <c r="F1313" s="1" t="s">
        <v>14</v>
      </c>
      <c r="G1313" s="1" t="s">
        <v>10</v>
      </c>
      <c r="H1313" s="2" t="s">
        <v>10480</v>
      </c>
      <c r="I1313" s="2" t="s">
        <v>8977</v>
      </c>
      <c r="J1313" s="3">
        <v>46070.593761574077</v>
      </c>
      <c r="K1313" s="2" t="s">
        <v>8978</v>
      </c>
      <c r="L1313" s="1">
        <v>3</v>
      </c>
      <c r="M1313" s="1">
        <v>5</v>
      </c>
      <c r="N1313" s="1">
        <v>2</v>
      </c>
      <c r="O1313" s="3">
        <v>46233.65914210648</v>
      </c>
    </row>
    <row r="1314" spans="1:15" x14ac:dyDescent="0.25">
      <c r="A1314" s="5" t="s">
        <v>4106</v>
      </c>
      <c r="B1314" s="1" t="s">
        <v>8979</v>
      </c>
      <c r="C1314" s="1" t="s">
        <v>12</v>
      </c>
      <c r="G1314" s="1" t="s">
        <v>11</v>
      </c>
      <c r="J1314" s="3">
        <v>46058.79923611111</v>
      </c>
      <c r="K1314" s="2" t="s">
        <v>8980</v>
      </c>
      <c r="L1314" s="1">
        <v>3</v>
      </c>
      <c r="M1314" s="1">
        <v>3</v>
      </c>
      <c r="N1314" s="1">
        <v>0</v>
      </c>
      <c r="O1314" s="3">
        <v>46233.65914210648</v>
      </c>
    </row>
    <row r="1315" spans="1:15" ht="75" x14ac:dyDescent="0.25">
      <c r="A1315" s="5" t="s">
        <v>4109</v>
      </c>
      <c r="B1315" s="1" t="s">
        <v>8981</v>
      </c>
      <c r="C1315" s="1">
        <v>2018</v>
      </c>
      <c r="J1315" s="3">
        <v>46105.750613425924</v>
      </c>
      <c r="K1315" s="2" t="s">
        <v>8982</v>
      </c>
      <c r="L1315" s="1">
        <v>4</v>
      </c>
      <c r="M1315" s="1">
        <v>5</v>
      </c>
      <c r="N1315" s="1">
        <v>1</v>
      </c>
      <c r="O1315" s="3">
        <v>46233.65914210648</v>
      </c>
    </row>
    <row r="1316" spans="1:15" ht="75" x14ac:dyDescent="0.25">
      <c r="A1316" s="5" t="s">
        <v>4112</v>
      </c>
      <c r="B1316" s="1" t="s">
        <v>8983</v>
      </c>
      <c r="C1316" s="1">
        <v>1795</v>
      </c>
      <c r="D1316" s="1" t="s">
        <v>8984</v>
      </c>
      <c r="E1316" s="1">
        <v>1888</v>
      </c>
      <c r="F1316" s="1" t="s">
        <v>14</v>
      </c>
      <c r="G1316" s="1" t="s">
        <v>10</v>
      </c>
      <c r="J1316" s="3">
        <v>46065.63863425926</v>
      </c>
      <c r="K1316" s="2" t="s">
        <v>8985</v>
      </c>
      <c r="L1316" s="1">
        <v>88</v>
      </c>
      <c r="M1316" s="1">
        <v>91</v>
      </c>
      <c r="N1316" s="1">
        <v>3</v>
      </c>
      <c r="O1316" s="3">
        <v>46233.65914210648</v>
      </c>
    </row>
    <row r="1317" spans="1:15" ht="75" x14ac:dyDescent="0.25">
      <c r="A1317" s="5" t="s">
        <v>4115</v>
      </c>
      <c r="B1317" s="1" t="s">
        <v>8986</v>
      </c>
      <c r="C1317" s="1">
        <v>1869</v>
      </c>
      <c r="D1317" s="1" t="s">
        <v>14</v>
      </c>
      <c r="E1317" s="1">
        <v>1948</v>
      </c>
      <c r="F1317" s="1" t="s">
        <v>14</v>
      </c>
      <c r="G1317" s="1" t="s">
        <v>10</v>
      </c>
      <c r="H1317" s="2" t="s">
        <v>140</v>
      </c>
      <c r="I1317" s="2" t="s">
        <v>8987</v>
      </c>
      <c r="J1317" s="3">
        <v>46065.64167824074</v>
      </c>
      <c r="K1317" s="2" t="s">
        <v>8988</v>
      </c>
      <c r="L1317" s="1">
        <v>174</v>
      </c>
      <c r="M1317" s="1">
        <v>183</v>
      </c>
      <c r="N1317" s="1">
        <v>9</v>
      </c>
      <c r="O1317" s="3">
        <v>46233.65914210648</v>
      </c>
    </row>
    <row r="1318" spans="1:15" x14ac:dyDescent="0.25">
      <c r="A1318" s="5" t="s">
        <v>4118</v>
      </c>
      <c r="B1318" s="1" t="s">
        <v>8989</v>
      </c>
      <c r="C1318" s="1">
        <v>1746</v>
      </c>
      <c r="D1318" s="1" t="s">
        <v>14</v>
      </c>
      <c r="E1318" s="1">
        <v>1814</v>
      </c>
      <c r="F1318" s="1" t="s">
        <v>14</v>
      </c>
      <c r="G1318" s="1" t="s">
        <v>10</v>
      </c>
      <c r="J1318" s="3">
        <v>46070.379236111112</v>
      </c>
      <c r="K1318" s="2" t="s">
        <v>8991</v>
      </c>
      <c r="L1318" s="1">
        <v>2</v>
      </c>
      <c r="M1318" s="1">
        <v>2</v>
      </c>
      <c r="N1318" s="1">
        <v>0</v>
      </c>
      <c r="O1318" s="3">
        <v>46233.65914210648</v>
      </c>
    </row>
    <row r="1319" spans="1:15" ht="90" x14ac:dyDescent="0.25">
      <c r="A1319" s="5" t="s">
        <v>4121</v>
      </c>
      <c r="B1319" s="1" t="s">
        <v>8992</v>
      </c>
      <c r="C1319" s="1">
        <v>1953</v>
      </c>
      <c r="G1319" s="1" t="s">
        <v>10</v>
      </c>
      <c r="J1319" s="3">
        <v>46064.460104166668</v>
      </c>
      <c r="K1319" s="2" t="s">
        <v>8993</v>
      </c>
      <c r="L1319" s="1">
        <v>39</v>
      </c>
      <c r="M1319" s="1">
        <v>41</v>
      </c>
      <c r="N1319" s="1">
        <v>2</v>
      </c>
      <c r="O1319" s="3">
        <v>46233.65914210648</v>
      </c>
    </row>
    <row r="1320" spans="1:15" ht="45" x14ac:dyDescent="0.25">
      <c r="A1320" s="5" t="s">
        <v>4124</v>
      </c>
      <c r="B1320" s="1" t="s">
        <v>8994</v>
      </c>
      <c r="C1320" s="1" t="s">
        <v>12</v>
      </c>
      <c r="G1320" s="1" t="s">
        <v>11</v>
      </c>
      <c r="J1320" s="3">
        <v>46077.66611111111</v>
      </c>
      <c r="K1320" s="2" t="s">
        <v>8995</v>
      </c>
      <c r="L1320" s="1">
        <v>1</v>
      </c>
      <c r="M1320" s="1">
        <v>1</v>
      </c>
      <c r="N1320" s="1">
        <v>0</v>
      </c>
      <c r="O1320" s="3">
        <v>46233.65914210648</v>
      </c>
    </row>
    <row r="1321" spans="1:15" ht="75" x14ac:dyDescent="0.25">
      <c r="A1321" s="5" t="s">
        <v>4127</v>
      </c>
      <c r="B1321" s="1" t="s">
        <v>8996</v>
      </c>
      <c r="C1321" s="1">
        <v>2000</v>
      </c>
      <c r="J1321" s="3">
        <v>46105.665590277778</v>
      </c>
      <c r="K1321" s="2" t="s">
        <v>8997</v>
      </c>
      <c r="L1321" s="1">
        <v>7</v>
      </c>
      <c r="M1321" s="1">
        <v>7</v>
      </c>
      <c r="N1321" s="1">
        <v>0</v>
      </c>
      <c r="O1321" s="3">
        <v>46233.65914210648</v>
      </c>
    </row>
    <row r="1322" spans="1:15" ht="90" x14ac:dyDescent="0.25">
      <c r="A1322" s="5" t="s">
        <v>4130</v>
      </c>
      <c r="B1322" s="1" t="s">
        <v>8998</v>
      </c>
      <c r="C1322" s="1">
        <v>1932</v>
      </c>
      <c r="D1322" s="1" t="s">
        <v>14</v>
      </c>
      <c r="E1322" s="1">
        <v>2023</v>
      </c>
      <c r="F1322" s="1" t="s">
        <v>8999</v>
      </c>
      <c r="G1322" s="1" t="s">
        <v>10</v>
      </c>
      <c r="I1322" s="2" t="s">
        <v>8230</v>
      </c>
      <c r="J1322" s="3">
        <v>46059.644189814811</v>
      </c>
      <c r="K1322" s="2" t="s">
        <v>9000</v>
      </c>
      <c r="L1322" s="1">
        <v>46</v>
      </c>
      <c r="M1322" s="1">
        <v>60</v>
      </c>
      <c r="N1322" s="1">
        <v>14</v>
      </c>
      <c r="O1322" s="3">
        <v>46233.65914210648</v>
      </c>
    </row>
    <row r="1323" spans="1:15" x14ac:dyDescent="0.25">
      <c r="A1323" s="5" t="s">
        <v>4133</v>
      </c>
      <c r="B1323" s="1" t="s">
        <v>9001</v>
      </c>
      <c r="C1323" s="1" t="s">
        <v>12</v>
      </c>
      <c r="G1323" s="1" t="s">
        <v>11</v>
      </c>
      <c r="J1323" s="3">
        <v>46086.346875000003</v>
      </c>
      <c r="K1323" s="2" t="s">
        <v>6438</v>
      </c>
      <c r="L1323" s="1">
        <v>1</v>
      </c>
      <c r="M1323" s="1">
        <v>1</v>
      </c>
      <c r="N1323" s="1">
        <v>0</v>
      </c>
      <c r="O1323" s="3">
        <v>46233.65914210648</v>
      </c>
    </row>
    <row r="1324" spans="1:15" x14ac:dyDescent="0.25">
      <c r="A1324" s="5" t="s">
        <v>4136</v>
      </c>
      <c r="B1324" s="1" t="s">
        <v>9002</v>
      </c>
      <c r="C1324" s="1">
        <v>1927</v>
      </c>
      <c r="E1324" s="1">
        <v>2026</v>
      </c>
      <c r="G1324" s="1" t="s">
        <v>11</v>
      </c>
      <c r="J1324" s="3">
        <v>46080.421481481484</v>
      </c>
      <c r="K1324" s="2" t="s">
        <v>9004</v>
      </c>
      <c r="L1324" s="1">
        <v>1</v>
      </c>
      <c r="M1324" s="1">
        <v>2</v>
      </c>
      <c r="N1324" s="1">
        <v>1</v>
      </c>
      <c r="O1324" s="3">
        <v>46233.65914210648</v>
      </c>
    </row>
    <row r="1325" spans="1:15" x14ac:dyDescent="0.25">
      <c r="A1325" s="5" t="s">
        <v>4139</v>
      </c>
      <c r="B1325" s="1" t="s">
        <v>9005</v>
      </c>
      <c r="J1325" s="3">
        <v>45908.688773148147</v>
      </c>
      <c r="L1325" s="1">
        <v>9</v>
      </c>
      <c r="M1325" s="1">
        <v>10</v>
      </c>
      <c r="N1325" s="1">
        <v>1</v>
      </c>
      <c r="O1325" s="3">
        <v>46233.65914210648</v>
      </c>
    </row>
    <row r="1326" spans="1:15" x14ac:dyDescent="0.25">
      <c r="A1326" s="5" t="s">
        <v>4142</v>
      </c>
      <c r="B1326" s="1" t="s">
        <v>9006</v>
      </c>
      <c r="C1326" s="1" t="s">
        <v>12</v>
      </c>
      <c r="G1326" s="1" t="s">
        <v>11</v>
      </c>
      <c r="J1326" s="3">
        <v>46105.72896990741</v>
      </c>
      <c r="K1326" s="2" t="s">
        <v>150</v>
      </c>
      <c r="L1326" s="1">
        <v>26</v>
      </c>
      <c r="M1326" s="1">
        <v>26</v>
      </c>
      <c r="N1326" s="1">
        <v>0</v>
      </c>
      <c r="O1326" s="3">
        <v>46233.65914210648</v>
      </c>
    </row>
    <row r="1327" spans="1:15" ht="45" x14ac:dyDescent="0.25">
      <c r="A1327" s="5" t="s">
        <v>4145</v>
      </c>
      <c r="B1327" s="1" t="s">
        <v>9007</v>
      </c>
      <c r="C1327" s="1">
        <v>1971</v>
      </c>
      <c r="G1327" s="1" t="s">
        <v>11</v>
      </c>
      <c r="J1327" s="3">
        <v>46064.469618055555</v>
      </c>
      <c r="K1327" s="2" t="s">
        <v>9008</v>
      </c>
      <c r="L1327" s="1">
        <v>1</v>
      </c>
      <c r="M1327" s="1">
        <v>1</v>
      </c>
      <c r="N1327" s="1">
        <v>0</v>
      </c>
      <c r="O1327" s="3">
        <v>46233.65914210648</v>
      </c>
    </row>
    <row r="1328" spans="1:15" ht="45" x14ac:dyDescent="0.25">
      <c r="A1328" s="5" t="s">
        <v>4148</v>
      </c>
      <c r="B1328" s="1" t="s">
        <v>9009</v>
      </c>
      <c r="C1328" s="1">
        <v>1947</v>
      </c>
      <c r="D1328" s="1" t="s">
        <v>14</v>
      </c>
      <c r="J1328" s="3">
        <v>46064.623020833336</v>
      </c>
      <c r="K1328" s="2" t="s">
        <v>9010</v>
      </c>
      <c r="L1328" s="1">
        <v>52</v>
      </c>
      <c r="M1328" s="1">
        <v>53</v>
      </c>
      <c r="N1328" s="1">
        <v>1</v>
      </c>
      <c r="O1328" s="3">
        <v>46233.65914210648</v>
      </c>
    </row>
    <row r="1329" spans="1:15" x14ac:dyDescent="0.25">
      <c r="A1329" s="5" t="s">
        <v>4151</v>
      </c>
      <c r="B1329" s="1" t="s">
        <v>9011</v>
      </c>
      <c r="C1329" s="1" t="s">
        <v>12</v>
      </c>
      <c r="G1329" s="1" t="s">
        <v>10</v>
      </c>
      <c r="J1329" s="3">
        <v>46080.621574074074</v>
      </c>
      <c r="K1329" s="2" t="s">
        <v>9012</v>
      </c>
      <c r="L1329" s="1">
        <v>1</v>
      </c>
      <c r="M1329" s="1">
        <v>1</v>
      </c>
      <c r="N1329" s="1">
        <v>0</v>
      </c>
      <c r="O1329" s="3">
        <v>46233.65914210648</v>
      </c>
    </row>
    <row r="1330" spans="1:15" ht="30" x14ac:dyDescent="0.25">
      <c r="A1330" s="5" t="s">
        <v>4154</v>
      </c>
      <c r="B1330" s="1" t="s">
        <v>9013</v>
      </c>
      <c r="C1330" s="1">
        <v>1883</v>
      </c>
      <c r="D1330" s="1" t="s">
        <v>14</v>
      </c>
      <c r="E1330" s="1">
        <v>1969</v>
      </c>
      <c r="F1330" s="1" t="s">
        <v>14</v>
      </c>
      <c r="G1330" s="1" t="s">
        <v>10</v>
      </c>
      <c r="J1330" s="3">
        <v>46065.799259259256</v>
      </c>
      <c r="K1330" s="2" t="s">
        <v>9014</v>
      </c>
      <c r="L1330" s="1">
        <v>120</v>
      </c>
      <c r="M1330" s="1">
        <v>137</v>
      </c>
      <c r="N1330" s="1">
        <v>17</v>
      </c>
      <c r="O1330" s="3">
        <v>46233.65914210648</v>
      </c>
    </row>
    <row r="1331" spans="1:15" x14ac:dyDescent="0.25">
      <c r="A1331" s="5" t="s">
        <v>4157</v>
      </c>
      <c r="B1331" s="1" t="s">
        <v>9015</v>
      </c>
      <c r="C1331" s="1">
        <v>1800</v>
      </c>
      <c r="D1331" s="1" t="s">
        <v>14</v>
      </c>
      <c r="E1331" s="1">
        <v>1860</v>
      </c>
      <c r="F1331" s="1" t="s">
        <v>14</v>
      </c>
      <c r="G1331" s="1" t="s">
        <v>10</v>
      </c>
      <c r="J1331" s="3">
        <v>46080.382094907407</v>
      </c>
      <c r="K1331" s="2" t="s">
        <v>7461</v>
      </c>
      <c r="L1331" s="1">
        <v>4</v>
      </c>
      <c r="M1331" s="1">
        <v>5</v>
      </c>
      <c r="N1331" s="1">
        <v>1</v>
      </c>
      <c r="O1331" s="3">
        <v>46233.65914210648</v>
      </c>
    </row>
    <row r="1332" spans="1:15" ht="105" x14ac:dyDescent="0.25">
      <c r="A1332" s="5" t="s">
        <v>4160</v>
      </c>
      <c r="B1332" s="1" t="s">
        <v>9017</v>
      </c>
      <c r="C1332" s="1">
        <v>1811</v>
      </c>
      <c r="E1332" s="1">
        <v>1893</v>
      </c>
      <c r="G1332" s="1" t="s">
        <v>10</v>
      </c>
      <c r="J1332" s="3">
        <v>46091.723599537036</v>
      </c>
      <c r="K1332" s="2" t="s">
        <v>9018</v>
      </c>
      <c r="L1332" s="1">
        <v>15</v>
      </c>
      <c r="M1332" s="1">
        <v>18</v>
      </c>
      <c r="N1332" s="1">
        <v>3</v>
      </c>
      <c r="O1332" s="3">
        <v>46233.65914210648</v>
      </c>
    </row>
    <row r="1333" spans="1:15" ht="60" x14ac:dyDescent="0.25">
      <c r="A1333" s="5" t="s">
        <v>4163</v>
      </c>
      <c r="B1333" s="1" t="s">
        <v>9019</v>
      </c>
      <c r="C1333" s="1" t="s">
        <v>12</v>
      </c>
      <c r="G1333" s="1" t="s">
        <v>10</v>
      </c>
      <c r="J1333" s="3">
        <v>46098.752268518518</v>
      </c>
      <c r="K1333" s="2" t="s">
        <v>9020</v>
      </c>
      <c r="L1333" s="1">
        <v>23</v>
      </c>
      <c r="M1333" s="1">
        <v>26</v>
      </c>
      <c r="N1333" s="1">
        <v>3</v>
      </c>
      <c r="O1333" s="3">
        <v>46233.65914210648</v>
      </c>
    </row>
    <row r="1334" spans="1:15" x14ac:dyDescent="0.25">
      <c r="A1334" s="5" t="s">
        <v>4166</v>
      </c>
      <c r="B1334" s="1" t="s">
        <v>9021</v>
      </c>
      <c r="C1334" s="1">
        <v>1873</v>
      </c>
      <c r="E1334" s="1">
        <v>1960</v>
      </c>
      <c r="G1334" s="1" t="s">
        <v>10</v>
      </c>
      <c r="J1334" s="3">
        <v>46098.749097222222</v>
      </c>
      <c r="K1334" s="2" t="s">
        <v>9022</v>
      </c>
      <c r="L1334" s="1">
        <v>34</v>
      </c>
      <c r="M1334" s="1">
        <v>35</v>
      </c>
      <c r="N1334" s="1">
        <v>1</v>
      </c>
      <c r="O1334" s="3">
        <v>46233.65914210648</v>
      </c>
    </row>
    <row r="1335" spans="1:15" ht="75" x14ac:dyDescent="0.25">
      <c r="A1335" s="5" t="s">
        <v>4169</v>
      </c>
      <c r="B1335" s="1" t="s">
        <v>9023</v>
      </c>
      <c r="C1335" s="1" t="s">
        <v>12</v>
      </c>
      <c r="G1335" s="1" t="s">
        <v>11</v>
      </c>
      <c r="J1335" s="3">
        <v>46101.453506944446</v>
      </c>
      <c r="K1335" s="2" t="s">
        <v>9024</v>
      </c>
      <c r="L1335" s="1">
        <v>23</v>
      </c>
      <c r="M1335" s="1">
        <v>23</v>
      </c>
      <c r="N1335" s="1">
        <v>0</v>
      </c>
      <c r="O1335" s="3">
        <v>46233.65914210648</v>
      </c>
    </row>
    <row r="1336" spans="1:15" x14ac:dyDescent="0.25">
      <c r="A1336" s="5" t="s">
        <v>4172</v>
      </c>
      <c r="B1336" s="1" t="s">
        <v>9025</v>
      </c>
      <c r="C1336" s="1" t="s">
        <v>12</v>
      </c>
      <c r="G1336" s="1" t="s">
        <v>10</v>
      </c>
      <c r="J1336" s="3">
        <v>46105.343229166669</v>
      </c>
      <c r="K1336" s="2" t="s">
        <v>6935</v>
      </c>
      <c r="L1336" s="1">
        <v>1</v>
      </c>
      <c r="M1336" s="1">
        <v>1</v>
      </c>
      <c r="N1336" s="1">
        <v>0</v>
      </c>
      <c r="O1336" s="3">
        <v>46233.65914210648</v>
      </c>
    </row>
    <row r="1337" spans="1:15" x14ac:dyDescent="0.25">
      <c r="A1337" s="5" t="s">
        <v>4175</v>
      </c>
      <c r="B1337" s="1" t="s">
        <v>9026</v>
      </c>
      <c r="C1337" s="1" t="s">
        <v>12</v>
      </c>
      <c r="G1337" s="1" t="s">
        <v>10</v>
      </c>
      <c r="J1337" s="3">
        <v>46073.609965277778</v>
      </c>
      <c r="K1337" s="2" t="s">
        <v>150</v>
      </c>
      <c r="L1337" s="1">
        <v>1</v>
      </c>
      <c r="M1337" s="1">
        <v>1</v>
      </c>
      <c r="N1337" s="1">
        <v>0</v>
      </c>
      <c r="O1337" s="3">
        <v>46233.65914210648</v>
      </c>
    </row>
    <row r="1338" spans="1:15" x14ac:dyDescent="0.25">
      <c r="A1338" s="5" t="s">
        <v>4178</v>
      </c>
      <c r="B1338" s="1" t="s">
        <v>9027</v>
      </c>
      <c r="C1338" s="1">
        <v>1776</v>
      </c>
      <c r="D1338" s="1" t="s">
        <v>14</v>
      </c>
      <c r="E1338" s="1">
        <v>1846</v>
      </c>
      <c r="F1338" s="1" t="s">
        <v>8866</v>
      </c>
      <c r="G1338" s="1" t="s">
        <v>10</v>
      </c>
      <c r="J1338" s="3">
        <v>46080.661736111113</v>
      </c>
      <c r="K1338" s="2" t="s">
        <v>7461</v>
      </c>
      <c r="L1338" s="1">
        <v>1</v>
      </c>
      <c r="M1338" s="1">
        <v>1</v>
      </c>
      <c r="N1338" s="1">
        <v>0</v>
      </c>
      <c r="O1338" s="3">
        <v>46233.65914210648</v>
      </c>
    </row>
    <row r="1339" spans="1:15" x14ac:dyDescent="0.25">
      <c r="A1339" s="5" t="s">
        <v>4181</v>
      </c>
      <c r="B1339" s="1" t="s">
        <v>9028</v>
      </c>
      <c r="C1339" s="1" t="s">
        <v>12</v>
      </c>
      <c r="G1339" s="1" t="s">
        <v>10</v>
      </c>
      <c r="J1339" s="3">
        <v>46092.730914351851</v>
      </c>
      <c r="K1339" s="2" t="s">
        <v>8774</v>
      </c>
      <c r="L1339" s="1">
        <v>24</v>
      </c>
      <c r="M1339" s="1">
        <v>24</v>
      </c>
      <c r="N1339" s="1">
        <v>0</v>
      </c>
      <c r="O1339" s="3">
        <v>46233.65914210648</v>
      </c>
    </row>
    <row r="1340" spans="1:15" ht="60" x14ac:dyDescent="0.25">
      <c r="A1340" s="5" t="s">
        <v>4184</v>
      </c>
      <c r="B1340" s="1" t="s">
        <v>9029</v>
      </c>
      <c r="C1340" s="1">
        <v>1833</v>
      </c>
      <c r="D1340" s="1" t="s">
        <v>9031</v>
      </c>
      <c r="F1340" s="1" t="s">
        <v>14</v>
      </c>
      <c r="I1340" s="2" t="s">
        <v>140</v>
      </c>
      <c r="J1340" s="3">
        <v>46057.487939814811</v>
      </c>
      <c r="K1340" s="2" t="s">
        <v>9032</v>
      </c>
      <c r="L1340" s="1">
        <v>6</v>
      </c>
      <c r="M1340" s="1">
        <v>6</v>
      </c>
      <c r="N1340" s="1">
        <v>0</v>
      </c>
      <c r="O1340" s="3">
        <v>46233.65914210648</v>
      </c>
    </row>
    <row r="1341" spans="1:15" ht="45" x14ac:dyDescent="0.25">
      <c r="A1341" s="5" t="s">
        <v>4187</v>
      </c>
      <c r="B1341" s="1" t="s">
        <v>9033</v>
      </c>
      <c r="C1341" s="1">
        <v>1977</v>
      </c>
      <c r="J1341" s="3">
        <v>46105.569050925929</v>
      </c>
      <c r="K1341" s="2" t="s">
        <v>9034</v>
      </c>
      <c r="L1341" s="1">
        <v>1</v>
      </c>
      <c r="M1341" s="1">
        <v>1</v>
      </c>
      <c r="N1341" s="1">
        <v>0</v>
      </c>
      <c r="O1341" s="3">
        <v>46233.65914210648</v>
      </c>
    </row>
    <row r="1342" spans="1:15" ht="45" x14ac:dyDescent="0.25">
      <c r="A1342" s="5" t="s">
        <v>4190</v>
      </c>
      <c r="B1342" s="1" t="s">
        <v>9035</v>
      </c>
      <c r="C1342" s="1">
        <v>1751</v>
      </c>
      <c r="D1342" s="1" t="s">
        <v>14</v>
      </c>
      <c r="E1342" s="1">
        <v>1783</v>
      </c>
      <c r="F1342" s="1" t="s">
        <v>133</v>
      </c>
      <c r="G1342" s="1" t="s">
        <v>10</v>
      </c>
      <c r="J1342" s="3">
        <v>46078.799212962964</v>
      </c>
      <c r="K1342" s="2" t="s">
        <v>9037</v>
      </c>
      <c r="L1342" s="1">
        <v>0</v>
      </c>
      <c r="M1342" s="1">
        <v>0</v>
      </c>
      <c r="N1342" s="1">
        <v>0</v>
      </c>
      <c r="O1342" s="3">
        <v>46233.65914210648</v>
      </c>
    </row>
    <row r="1343" spans="1:15" ht="60" x14ac:dyDescent="0.25">
      <c r="A1343" s="5" t="s">
        <v>4193</v>
      </c>
      <c r="B1343" s="1" t="s">
        <v>9038</v>
      </c>
      <c r="C1343" s="1" t="s">
        <v>12</v>
      </c>
      <c r="G1343" s="1" t="s">
        <v>10</v>
      </c>
      <c r="J1343" s="3">
        <v>46083.498171296298</v>
      </c>
      <c r="K1343" s="2" t="s">
        <v>9039</v>
      </c>
      <c r="L1343" s="1">
        <v>1</v>
      </c>
      <c r="M1343" s="1">
        <v>1</v>
      </c>
      <c r="N1343" s="1">
        <v>0</v>
      </c>
      <c r="O1343" s="3">
        <v>46233.65914210648</v>
      </c>
    </row>
    <row r="1344" spans="1:15" ht="45" x14ac:dyDescent="0.25">
      <c r="A1344" s="5" t="s">
        <v>4196</v>
      </c>
      <c r="B1344" s="1" t="s">
        <v>9040</v>
      </c>
      <c r="C1344" s="1" t="s">
        <v>9041</v>
      </c>
      <c r="G1344" s="1" t="s">
        <v>11</v>
      </c>
      <c r="J1344" s="3">
        <v>46094.629872685182</v>
      </c>
      <c r="K1344" s="2" t="s">
        <v>9042</v>
      </c>
      <c r="L1344" s="1">
        <v>1</v>
      </c>
      <c r="M1344" s="1">
        <v>1</v>
      </c>
      <c r="N1344" s="1">
        <v>0</v>
      </c>
      <c r="O1344" s="3">
        <v>46233.65914210648</v>
      </c>
    </row>
    <row r="1345" spans="1:15" x14ac:dyDescent="0.25">
      <c r="A1345" s="5" t="s">
        <v>4199</v>
      </c>
      <c r="B1345" s="1" t="s">
        <v>9043</v>
      </c>
      <c r="C1345" s="1">
        <v>2025</v>
      </c>
      <c r="J1345" s="3">
        <v>45971.460277777776</v>
      </c>
      <c r="L1345" s="1">
        <v>1</v>
      </c>
      <c r="M1345" s="1">
        <v>1</v>
      </c>
      <c r="N1345" s="1">
        <v>0</v>
      </c>
      <c r="O1345" s="3">
        <v>46233.65914210648</v>
      </c>
    </row>
    <row r="1346" spans="1:15" x14ac:dyDescent="0.25">
      <c r="A1346" s="5" t="s">
        <v>4202</v>
      </c>
      <c r="B1346" s="1" t="s">
        <v>9044</v>
      </c>
      <c r="C1346" s="1" t="s">
        <v>12</v>
      </c>
      <c r="G1346" s="1" t="s">
        <v>10</v>
      </c>
      <c r="J1346" s="3">
        <v>46101.36241898148</v>
      </c>
      <c r="K1346" s="2" t="s">
        <v>9045</v>
      </c>
      <c r="L1346" s="1">
        <v>1</v>
      </c>
      <c r="M1346" s="1">
        <v>1</v>
      </c>
      <c r="N1346" s="1">
        <v>0</v>
      </c>
      <c r="O1346" s="3">
        <v>46233.65914210648</v>
      </c>
    </row>
    <row r="1347" spans="1:15" ht="60" x14ac:dyDescent="0.25">
      <c r="A1347" s="5" t="s">
        <v>4205</v>
      </c>
      <c r="B1347" s="1" t="s">
        <v>9046</v>
      </c>
      <c r="C1347" s="1">
        <v>1903</v>
      </c>
      <c r="D1347" s="1" t="s">
        <v>14</v>
      </c>
      <c r="E1347" s="1">
        <v>1974</v>
      </c>
      <c r="F1347" s="1" t="s">
        <v>14</v>
      </c>
      <c r="G1347" s="1" t="s">
        <v>10</v>
      </c>
      <c r="J1347" s="3">
        <v>46098.615497685183</v>
      </c>
      <c r="K1347" s="2" t="s">
        <v>9047</v>
      </c>
      <c r="L1347" s="1">
        <v>12</v>
      </c>
      <c r="M1347" s="1">
        <v>32</v>
      </c>
      <c r="N1347" s="1">
        <v>20</v>
      </c>
      <c r="O1347" s="3">
        <v>46233.65914210648</v>
      </c>
    </row>
    <row r="1348" spans="1:15" ht="75" x14ac:dyDescent="0.25">
      <c r="A1348" s="5" t="s">
        <v>4208</v>
      </c>
      <c r="B1348" s="1" t="s">
        <v>9048</v>
      </c>
      <c r="C1348" s="1">
        <v>1774</v>
      </c>
      <c r="D1348" s="1" t="s">
        <v>14</v>
      </c>
      <c r="E1348" s="1">
        <v>1837</v>
      </c>
      <c r="F1348" s="1" t="s">
        <v>14</v>
      </c>
      <c r="G1348" s="1" t="s">
        <v>10</v>
      </c>
      <c r="H1348" s="2" t="s">
        <v>10495</v>
      </c>
      <c r="J1348" s="3">
        <v>46064.632418981484</v>
      </c>
      <c r="K1348" s="2" t="s">
        <v>7461</v>
      </c>
      <c r="L1348" s="1">
        <v>3</v>
      </c>
      <c r="M1348" s="1">
        <v>5</v>
      </c>
      <c r="N1348" s="1">
        <v>2</v>
      </c>
      <c r="O1348" s="3">
        <v>46233.65914210648</v>
      </c>
    </row>
    <row r="1349" spans="1:15" ht="120" x14ac:dyDescent="0.25">
      <c r="A1349" s="5" t="s">
        <v>4211</v>
      </c>
      <c r="B1349" s="1" t="s">
        <v>9050</v>
      </c>
      <c r="C1349" s="1">
        <v>1929</v>
      </c>
      <c r="D1349" s="1" t="s">
        <v>8589</v>
      </c>
      <c r="E1349" s="1">
        <v>2024</v>
      </c>
      <c r="G1349" s="1" t="s">
        <v>10</v>
      </c>
      <c r="H1349" s="2" t="s">
        <v>140</v>
      </c>
      <c r="I1349" s="2" t="s">
        <v>9051</v>
      </c>
      <c r="J1349" s="3">
        <v>46070.58699074074</v>
      </c>
      <c r="K1349" s="2" t="s">
        <v>9052</v>
      </c>
      <c r="L1349" s="1">
        <v>0</v>
      </c>
      <c r="M1349" s="1">
        <v>0</v>
      </c>
      <c r="N1349" s="1">
        <v>0</v>
      </c>
      <c r="O1349" s="3">
        <v>46233.65914210648</v>
      </c>
    </row>
    <row r="1350" spans="1:15" x14ac:dyDescent="0.25">
      <c r="A1350" s="5" t="s">
        <v>4214</v>
      </c>
      <c r="B1350" s="1" t="s">
        <v>9053</v>
      </c>
      <c r="C1350" s="1">
        <v>1978</v>
      </c>
      <c r="J1350" s="3">
        <v>45978.353958333333</v>
      </c>
      <c r="L1350" s="1">
        <v>1</v>
      </c>
      <c r="M1350" s="1">
        <v>1</v>
      </c>
      <c r="N1350" s="1">
        <v>0</v>
      </c>
      <c r="O1350" s="3">
        <v>46233.65914210648</v>
      </c>
    </row>
    <row r="1351" spans="1:15" ht="30" x14ac:dyDescent="0.25">
      <c r="A1351" s="5" t="s">
        <v>4217</v>
      </c>
      <c r="B1351" s="1" t="s">
        <v>9054</v>
      </c>
      <c r="C1351" s="1">
        <v>1801</v>
      </c>
      <c r="D1351" s="1" t="s">
        <v>14</v>
      </c>
      <c r="E1351" s="1">
        <v>1876</v>
      </c>
      <c r="F1351" s="1" t="s">
        <v>14</v>
      </c>
      <c r="G1351" s="1" t="s">
        <v>10</v>
      </c>
      <c r="J1351" s="3">
        <v>46064.633333333331</v>
      </c>
      <c r="K1351" s="2" t="s">
        <v>9055</v>
      </c>
      <c r="L1351" s="1">
        <v>7</v>
      </c>
      <c r="M1351" s="1">
        <v>7</v>
      </c>
      <c r="N1351" s="1">
        <v>0</v>
      </c>
      <c r="O1351" s="3">
        <v>46233.65914210648</v>
      </c>
    </row>
    <row r="1352" spans="1:15" ht="30" x14ac:dyDescent="0.25">
      <c r="A1352" s="5" t="s">
        <v>4220</v>
      </c>
      <c r="B1352" s="1" t="s">
        <v>9056</v>
      </c>
      <c r="C1352" s="1">
        <v>1796</v>
      </c>
      <c r="D1352" s="1" t="s">
        <v>14</v>
      </c>
      <c r="E1352" s="1">
        <v>1866</v>
      </c>
      <c r="F1352" s="1" t="s">
        <v>14</v>
      </c>
      <c r="G1352" s="1" t="s">
        <v>10</v>
      </c>
      <c r="J1352" s="3">
        <v>46087.617407407408</v>
      </c>
      <c r="K1352" s="2" t="s">
        <v>9057</v>
      </c>
      <c r="L1352" s="1">
        <v>90</v>
      </c>
      <c r="M1352" s="1">
        <v>90</v>
      </c>
      <c r="N1352" s="1">
        <v>0</v>
      </c>
      <c r="O1352" s="3">
        <v>46233.65914210648</v>
      </c>
    </row>
    <row r="1353" spans="1:15" x14ac:dyDescent="0.25">
      <c r="A1353" s="5" t="s">
        <v>4223</v>
      </c>
      <c r="B1353" s="1" t="s">
        <v>9058</v>
      </c>
      <c r="C1353" s="1">
        <v>1922</v>
      </c>
      <c r="D1353" s="1" t="s">
        <v>9059</v>
      </c>
      <c r="E1353" s="1">
        <v>1996</v>
      </c>
      <c r="F1353" s="1" t="s">
        <v>14</v>
      </c>
      <c r="G1353" s="1" t="s">
        <v>10</v>
      </c>
      <c r="J1353" s="3">
        <v>46076.365532407406</v>
      </c>
      <c r="K1353" s="2" t="s">
        <v>6369</v>
      </c>
      <c r="L1353" s="1">
        <v>10</v>
      </c>
      <c r="M1353" s="1">
        <v>11</v>
      </c>
      <c r="N1353" s="1">
        <v>1</v>
      </c>
      <c r="O1353" s="3">
        <v>46233.65914210648</v>
      </c>
    </row>
    <row r="1354" spans="1:15" ht="105" x14ac:dyDescent="0.25">
      <c r="A1354" s="5" t="s">
        <v>4226</v>
      </c>
      <c r="B1354" s="1" t="s">
        <v>9060</v>
      </c>
      <c r="C1354" s="1">
        <v>1862</v>
      </c>
      <c r="D1354" s="1" t="s">
        <v>8318</v>
      </c>
      <c r="E1354" s="1">
        <v>1928</v>
      </c>
      <c r="F1354" s="1" t="s">
        <v>9062</v>
      </c>
      <c r="G1354" s="1" t="s">
        <v>10</v>
      </c>
      <c r="J1354" s="3">
        <v>46070.37568287037</v>
      </c>
      <c r="K1354" s="2" t="s">
        <v>9063</v>
      </c>
      <c r="L1354" s="1">
        <v>84</v>
      </c>
      <c r="M1354" s="1">
        <v>88</v>
      </c>
      <c r="N1354" s="1">
        <v>4</v>
      </c>
      <c r="O1354" s="3">
        <v>46233.65914210648</v>
      </c>
    </row>
    <row r="1355" spans="1:15" ht="45" x14ac:dyDescent="0.25">
      <c r="A1355" s="5" t="s">
        <v>4229</v>
      </c>
      <c r="B1355" s="1" t="s">
        <v>9064</v>
      </c>
      <c r="C1355" s="1">
        <v>1843</v>
      </c>
      <c r="D1355" s="1" t="s">
        <v>14</v>
      </c>
      <c r="E1355" s="1">
        <v>1925</v>
      </c>
      <c r="F1355" s="1" t="s">
        <v>14</v>
      </c>
      <c r="G1355" s="1" t="s">
        <v>10</v>
      </c>
      <c r="I1355" s="2" t="s">
        <v>140</v>
      </c>
      <c r="J1355" s="3">
        <v>46065.663958333331</v>
      </c>
      <c r="K1355" s="2" t="s">
        <v>9065</v>
      </c>
      <c r="L1355" s="1">
        <v>0</v>
      </c>
      <c r="M1355" s="1">
        <v>1</v>
      </c>
      <c r="N1355" s="1">
        <v>1</v>
      </c>
      <c r="O1355" s="3">
        <v>46233.65914210648</v>
      </c>
    </row>
    <row r="1356" spans="1:15" x14ac:dyDescent="0.25">
      <c r="A1356" s="5" t="s">
        <v>4232</v>
      </c>
      <c r="B1356" s="1" t="s">
        <v>9066</v>
      </c>
      <c r="J1356" s="3">
        <v>45918.567395833335</v>
      </c>
      <c r="L1356" s="1">
        <v>1</v>
      </c>
      <c r="M1356" s="1">
        <v>1</v>
      </c>
      <c r="N1356" s="1">
        <v>0</v>
      </c>
      <c r="O1356" s="3">
        <v>46233.65914210648</v>
      </c>
    </row>
    <row r="1357" spans="1:15" ht="90" x14ac:dyDescent="0.25">
      <c r="A1357" s="5" t="s">
        <v>4235</v>
      </c>
      <c r="B1357" s="1" t="s">
        <v>9067</v>
      </c>
      <c r="C1357" s="1">
        <v>1905</v>
      </c>
      <c r="D1357" s="1" t="s">
        <v>9068</v>
      </c>
      <c r="E1357" s="1">
        <v>1988</v>
      </c>
      <c r="F1357" s="1" t="s">
        <v>14</v>
      </c>
      <c r="G1357" s="1" t="s">
        <v>10</v>
      </c>
      <c r="J1357" s="3">
        <v>46098.799189814818</v>
      </c>
      <c r="K1357" s="2" t="s">
        <v>9069</v>
      </c>
      <c r="L1357" s="1">
        <v>6</v>
      </c>
      <c r="M1357" s="1">
        <v>6</v>
      </c>
      <c r="N1357" s="1">
        <v>0</v>
      </c>
      <c r="O1357" s="3">
        <v>46233.65914210648</v>
      </c>
    </row>
    <row r="1358" spans="1:15" ht="90" x14ac:dyDescent="0.25">
      <c r="A1358" s="5" t="s">
        <v>4238</v>
      </c>
      <c r="B1358" s="1" t="s">
        <v>9070</v>
      </c>
      <c r="C1358" s="1" t="s">
        <v>12</v>
      </c>
      <c r="G1358" s="1" t="s">
        <v>11</v>
      </c>
      <c r="J1358" s="3">
        <v>46076.566435185188</v>
      </c>
      <c r="K1358" s="2" t="s">
        <v>9071</v>
      </c>
      <c r="L1358" s="1">
        <v>29</v>
      </c>
      <c r="M1358" s="1">
        <v>30</v>
      </c>
      <c r="N1358" s="1">
        <v>1</v>
      </c>
      <c r="O1358" s="3">
        <v>46233.65914210648</v>
      </c>
    </row>
    <row r="1359" spans="1:15" ht="30" x14ac:dyDescent="0.25">
      <c r="A1359" s="5" t="s">
        <v>4241</v>
      </c>
      <c r="B1359" s="1" t="s">
        <v>9072</v>
      </c>
      <c r="C1359" s="1">
        <v>1574</v>
      </c>
      <c r="E1359" s="1">
        <v>1632</v>
      </c>
      <c r="J1359" s="3">
        <v>46098.759629629632</v>
      </c>
      <c r="K1359" s="2" t="s">
        <v>9075</v>
      </c>
      <c r="L1359" s="1">
        <v>18</v>
      </c>
      <c r="M1359" s="1">
        <v>19</v>
      </c>
      <c r="N1359" s="1">
        <v>1</v>
      </c>
      <c r="O1359" s="3">
        <v>46233.65914210648</v>
      </c>
    </row>
    <row r="1360" spans="1:15" x14ac:dyDescent="0.25">
      <c r="A1360" s="5" t="s">
        <v>4244</v>
      </c>
      <c r="B1360" s="1" t="s">
        <v>9076</v>
      </c>
      <c r="C1360" s="1">
        <v>1860</v>
      </c>
      <c r="D1360" s="1" t="s">
        <v>14</v>
      </c>
      <c r="E1360" s="1">
        <v>1922</v>
      </c>
      <c r="F1360" s="1" t="s">
        <v>14</v>
      </c>
      <c r="G1360" s="1" t="s">
        <v>10</v>
      </c>
      <c r="J1360" s="3">
        <v>46065.414571759262</v>
      </c>
      <c r="L1360" s="1">
        <v>16</v>
      </c>
      <c r="M1360" s="1">
        <v>18</v>
      </c>
      <c r="N1360" s="1">
        <v>2</v>
      </c>
      <c r="O1360" s="3">
        <v>46233.65914210648</v>
      </c>
    </row>
    <row r="1361" spans="1:15" ht="75" x14ac:dyDescent="0.25">
      <c r="A1361" s="5" t="s">
        <v>4247</v>
      </c>
      <c r="B1361" s="1" t="s">
        <v>9077</v>
      </c>
      <c r="C1361" s="1">
        <v>1976</v>
      </c>
      <c r="G1361" s="1" t="s">
        <v>10</v>
      </c>
      <c r="J1361" s="3">
        <v>46090.688090277778</v>
      </c>
      <c r="K1361" s="2" t="s">
        <v>9078</v>
      </c>
      <c r="L1361" s="1">
        <v>12</v>
      </c>
      <c r="M1361" s="1">
        <v>13</v>
      </c>
      <c r="N1361" s="1">
        <v>1</v>
      </c>
      <c r="O1361" s="3">
        <v>46233.65914210648</v>
      </c>
    </row>
    <row r="1362" spans="1:15" ht="30" x14ac:dyDescent="0.25">
      <c r="A1362" s="5" t="s">
        <v>4250</v>
      </c>
      <c r="B1362" s="1" t="s">
        <v>9079</v>
      </c>
      <c r="C1362" s="1">
        <v>1849</v>
      </c>
      <c r="D1362" s="1" t="s">
        <v>14</v>
      </c>
      <c r="E1362" s="1">
        <v>1918</v>
      </c>
      <c r="F1362" s="1" t="s">
        <v>8968</v>
      </c>
      <c r="G1362" s="1" t="s">
        <v>10</v>
      </c>
      <c r="H1362" s="2" t="s">
        <v>140</v>
      </c>
      <c r="J1362" s="3">
        <v>46065.473564814813</v>
      </c>
      <c r="K1362" s="2" t="s">
        <v>9080</v>
      </c>
      <c r="L1362" s="1">
        <v>4</v>
      </c>
      <c r="M1362" s="1">
        <v>11</v>
      </c>
      <c r="N1362" s="1">
        <v>7</v>
      </c>
      <c r="O1362" s="3">
        <v>46233.65914210648</v>
      </c>
    </row>
    <row r="1363" spans="1:15" ht="105" x14ac:dyDescent="0.25">
      <c r="A1363" s="5" t="s">
        <v>4253</v>
      </c>
      <c r="B1363" s="1" t="s">
        <v>9081</v>
      </c>
      <c r="C1363" s="1">
        <v>1942</v>
      </c>
      <c r="D1363" s="1" t="s">
        <v>114</v>
      </c>
      <c r="G1363" s="1" t="s">
        <v>10</v>
      </c>
      <c r="H1363" s="2" t="s">
        <v>140</v>
      </c>
      <c r="I1363" s="2" t="s">
        <v>9082</v>
      </c>
      <c r="J1363" s="3">
        <v>46091.707858796297</v>
      </c>
      <c r="K1363" s="2" t="s">
        <v>9083</v>
      </c>
      <c r="L1363" s="1">
        <v>22</v>
      </c>
      <c r="M1363" s="1">
        <v>72</v>
      </c>
      <c r="N1363" s="1">
        <v>50</v>
      </c>
      <c r="O1363" s="3">
        <v>46233.65914210648</v>
      </c>
    </row>
    <row r="1364" spans="1:15" x14ac:dyDescent="0.25">
      <c r="A1364" s="5" t="s">
        <v>4256</v>
      </c>
      <c r="B1364" s="1" t="s">
        <v>9084</v>
      </c>
      <c r="C1364" s="1" t="s">
        <v>12</v>
      </c>
      <c r="G1364" s="1" t="s">
        <v>10</v>
      </c>
      <c r="J1364" s="3">
        <v>46101.361331018517</v>
      </c>
      <c r="K1364" s="2" t="s">
        <v>9045</v>
      </c>
      <c r="L1364" s="1">
        <v>2</v>
      </c>
      <c r="M1364" s="1">
        <v>2</v>
      </c>
      <c r="N1364" s="1">
        <v>0</v>
      </c>
      <c r="O1364" s="3">
        <v>46233.65914210648</v>
      </c>
    </row>
    <row r="1365" spans="1:15" ht="60" x14ac:dyDescent="0.25">
      <c r="A1365" s="5" t="s">
        <v>4259</v>
      </c>
      <c r="B1365" s="1" t="s">
        <v>9085</v>
      </c>
      <c r="C1365" s="1">
        <v>1884</v>
      </c>
      <c r="D1365" s="1" t="s">
        <v>9086</v>
      </c>
      <c r="E1365" s="1">
        <v>1957</v>
      </c>
      <c r="F1365" s="1" t="s">
        <v>14</v>
      </c>
      <c r="G1365" s="1" t="s">
        <v>10</v>
      </c>
      <c r="J1365" s="3">
        <v>46098.616597222222</v>
      </c>
      <c r="K1365" s="2" t="s">
        <v>9087</v>
      </c>
      <c r="L1365" s="1">
        <v>37</v>
      </c>
      <c r="M1365" s="1">
        <v>38</v>
      </c>
      <c r="N1365" s="1">
        <v>1</v>
      </c>
      <c r="O1365" s="3">
        <v>46233.65914210648</v>
      </c>
    </row>
    <row r="1366" spans="1:15" x14ac:dyDescent="0.25">
      <c r="A1366" s="5" t="s">
        <v>4262</v>
      </c>
      <c r="B1366" s="1" t="s">
        <v>9088</v>
      </c>
      <c r="C1366" s="1">
        <v>1877</v>
      </c>
      <c r="D1366" s="1" t="s">
        <v>14</v>
      </c>
      <c r="E1366" s="1">
        <v>1950</v>
      </c>
      <c r="F1366" s="1" t="s">
        <v>7604</v>
      </c>
      <c r="G1366" s="1" t="s">
        <v>10</v>
      </c>
      <c r="J1366" s="3">
        <v>46065.615902777776</v>
      </c>
      <c r="L1366" s="1">
        <v>68</v>
      </c>
      <c r="M1366" s="1">
        <v>70</v>
      </c>
      <c r="N1366" s="1">
        <v>2</v>
      </c>
      <c r="O1366" s="3">
        <v>46233.65914210648</v>
      </c>
    </row>
    <row r="1367" spans="1:15" x14ac:dyDescent="0.25">
      <c r="A1367" s="5" t="s">
        <v>4265</v>
      </c>
      <c r="B1367" s="1" t="s">
        <v>9089</v>
      </c>
      <c r="C1367" s="1" t="s">
        <v>9090</v>
      </c>
      <c r="D1367" s="1" t="s">
        <v>133</v>
      </c>
      <c r="E1367" s="1">
        <v>1585</v>
      </c>
      <c r="F1367" s="1" t="s">
        <v>8817</v>
      </c>
      <c r="J1367" s="3">
        <v>46076.536817129629</v>
      </c>
      <c r="K1367" s="2" t="s">
        <v>9092</v>
      </c>
      <c r="L1367" s="1">
        <v>41</v>
      </c>
      <c r="M1367" s="1">
        <v>43</v>
      </c>
      <c r="N1367" s="1">
        <v>2</v>
      </c>
      <c r="O1367" s="3">
        <v>46233.65914210648</v>
      </c>
    </row>
    <row r="1368" spans="1:15" x14ac:dyDescent="0.25">
      <c r="A1368" s="5" t="s">
        <v>4268</v>
      </c>
      <c r="B1368" s="1" t="s">
        <v>9093</v>
      </c>
      <c r="C1368" s="1">
        <v>1762</v>
      </c>
      <c r="D1368" s="1" t="s">
        <v>14</v>
      </c>
      <c r="E1368" s="1">
        <v>1826</v>
      </c>
      <c r="F1368" s="1" t="s">
        <v>14</v>
      </c>
      <c r="G1368" s="1" t="s">
        <v>10</v>
      </c>
      <c r="J1368" s="3">
        <v>46078.41642361111</v>
      </c>
      <c r="K1368" s="2" t="s">
        <v>7461</v>
      </c>
      <c r="L1368" s="1">
        <v>2</v>
      </c>
      <c r="M1368" s="1">
        <v>4</v>
      </c>
      <c r="N1368" s="1">
        <v>2</v>
      </c>
      <c r="O1368" s="3">
        <v>46233.65914210648</v>
      </c>
    </row>
    <row r="1369" spans="1:15" ht="75" x14ac:dyDescent="0.25">
      <c r="A1369" s="5" t="s">
        <v>4271</v>
      </c>
      <c r="B1369" s="1" t="s">
        <v>9095</v>
      </c>
      <c r="C1369" s="1">
        <v>1941</v>
      </c>
      <c r="G1369" s="1" t="s">
        <v>10</v>
      </c>
      <c r="J1369" s="3">
        <v>46097.799317129633</v>
      </c>
      <c r="K1369" s="2" t="s">
        <v>9096</v>
      </c>
      <c r="L1369" s="1">
        <v>31</v>
      </c>
      <c r="M1369" s="1">
        <v>50</v>
      </c>
      <c r="N1369" s="1">
        <v>19</v>
      </c>
      <c r="O1369" s="3">
        <v>46233.65914210648</v>
      </c>
    </row>
    <row r="1370" spans="1:15" x14ac:dyDescent="0.25">
      <c r="A1370" s="5" t="s">
        <v>4274</v>
      </c>
      <c r="B1370" s="1" t="s">
        <v>9097</v>
      </c>
      <c r="C1370" s="1">
        <v>1864</v>
      </c>
      <c r="D1370" s="1" t="s">
        <v>14</v>
      </c>
      <c r="E1370" s="1">
        <v>1893</v>
      </c>
      <c r="F1370" s="1" t="s">
        <v>14</v>
      </c>
      <c r="G1370" s="1" t="s">
        <v>10</v>
      </c>
      <c r="J1370" s="3">
        <v>46065.644212962965</v>
      </c>
      <c r="L1370" s="1">
        <v>6</v>
      </c>
      <c r="M1370" s="1">
        <v>6</v>
      </c>
      <c r="N1370" s="1">
        <v>0</v>
      </c>
      <c r="O1370" s="3">
        <v>46233.65914210648</v>
      </c>
    </row>
    <row r="1371" spans="1:15" ht="105" x14ac:dyDescent="0.25">
      <c r="A1371" s="5" t="s">
        <v>4277</v>
      </c>
      <c r="B1371" s="1" t="s">
        <v>9098</v>
      </c>
      <c r="C1371" s="1" t="s">
        <v>12</v>
      </c>
      <c r="G1371" s="1" t="s">
        <v>11</v>
      </c>
      <c r="J1371" s="3">
        <v>46100.478402777779</v>
      </c>
      <c r="K1371" s="2" t="s">
        <v>9099</v>
      </c>
      <c r="L1371" s="1">
        <v>25</v>
      </c>
      <c r="M1371" s="1">
        <v>27</v>
      </c>
      <c r="N1371" s="1">
        <v>2</v>
      </c>
      <c r="O1371" s="3">
        <v>46233.65914210648</v>
      </c>
    </row>
    <row r="1372" spans="1:15" ht="30" x14ac:dyDescent="0.25">
      <c r="A1372" s="5" t="s">
        <v>4280</v>
      </c>
      <c r="B1372" s="1" t="s">
        <v>9100</v>
      </c>
      <c r="C1372" s="1">
        <v>2007</v>
      </c>
      <c r="J1372" s="3">
        <v>46147.500243055554</v>
      </c>
      <c r="K1372" s="2" t="s">
        <v>9101</v>
      </c>
      <c r="L1372" s="1">
        <v>12</v>
      </c>
      <c r="M1372" s="1">
        <v>12</v>
      </c>
      <c r="N1372" s="1">
        <v>0</v>
      </c>
      <c r="O1372" s="3">
        <v>46233.65914210648</v>
      </c>
    </row>
    <row r="1373" spans="1:15" x14ac:dyDescent="0.25">
      <c r="A1373" s="5" t="s">
        <v>4283</v>
      </c>
      <c r="B1373" s="1" t="s">
        <v>9102</v>
      </c>
      <c r="C1373" s="1">
        <v>2008</v>
      </c>
      <c r="J1373" s="3">
        <v>45988.633888888886</v>
      </c>
      <c r="L1373" s="1">
        <v>1</v>
      </c>
      <c r="M1373" s="1">
        <v>1</v>
      </c>
      <c r="N1373" s="1">
        <v>0</v>
      </c>
      <c r="O1373" s="3">
        <v>46233.65914210648</v>
      </c>
    </row>
    <row r="1374" spans="1:15" x14ac:dyDescent="0.25">
      <c r="A1374" s="5" t="s">
        <v>4286</v>
      </c>
      <c r="B1374" s="1" t="s">
        <v>9103</v>
      </c>
      <c r="C1374" s="1">
        <v>1797</v>
      </c>
      <c r="D1374" s="1" t="s">
        <v>14</v>
      </c>
      <c r="E1374" s="1">
        <v>1876</v>
      </c>
      <c r="F1374" s="1" t="s">
        <v>14</v>
      </c>
      <c r="G1374" s="1" t="s">
        <v>10</v>
      </c>
      <c r="J1374" s="3">
        <v>46138.421712962961</v>
      </c>
      <c r="K1374" s="2" t="s">
        <v>9105</v>
      </c>
      <c r="L1374" s="1">
        <v>2</v>
      </c>
      <c r="M1374" s="1">
        <v>2</v>
      </c>
      <c r="N1374" s="1">
        <v>0</v>
      </c>
      <c r="O1374" s="3">
        <v>46233.65914210648</v>
      </c>
    </row>
    <row r="1375" spans="1:15" ht="180" x14ac:dyDescent="0.25">
      <c r="A1375" s="5" t="s">
        <v>4289</v>
      </c>
      <c r="B1375" s="1" t="s">
        <v>9106</v>
      </c>
      <c r="C1375" s="1">
        <v>2007</v>
      </c>
      <c r="J1375" s="3">
        <v>46147.506898148145</v>
      </c>
      <c r="K1375" s="2" t="s">
        <v>9107</v>
      </c>
      <c r="L1375" s="1">
        <v>4</v>
      </c>
      <c r="M1375" s="1">
        <v>5</v>
      </c>
      <c r="N1375" s="1">
        <v>1</v>
      </c>
      <c r="O1375" s="3">
        <v>46233.65914210648</v>
      </c>
    </row>
    <row r="1376" spans="1:15" x14ac:dyDescent="0.25">
      <c r="A1376" s="5" t="s">
        <v>4292</v>
      </c>
      <c r="B1376" s="1" t="s">
        <v>9108</v>
      </c>
      <c r="C1376" s="1">
        <v>2016</v>
      </c>
      <c r="J1376" s="3">
        <v>45988.635196759256</v>
      </c>
      <c r="L1376" s="1">
        <v>1</v>
      </c>
      <c r="M1376" s="1">
        <v>1</v>
      </c>
      <c r="N1376" s="1">
        <v>0</v>
      </c>
      <c r="O1376" s="3">
        <v>46233.65914210648</v>
      </c>
    </row>
    <row r="1377" spans="1:15" ht="30" x14ac:dyDescent="0.25">
      <c r="A1377" s="5" t="s">
        <v>4295</v>
      </c>
      <c r="B1377" s="1" t="s">
        <v>9109</v>
      </c>
      <c r="C1377" s="1">
        <v>1851</v>
      </c>
      <c r="E1377" s="1">
        <v>1922</v>
      </c>
      <c r="G1377" s="1" t="s">
        <v>10</v>
      </c>
      <c r="J1377" s="3">
        <v>46117.409317129626</v>
      </c>
      <c r="K1377" s="2" t="s">
        <v>9110</v>
      </c>
      <c r="L1377" s="1">
        <v>4</v>
      </c>
      <c r="M1377" s="1">
        <v>5</v>
      </c>
      <c r="N1377" s="1">
        <v>1</v>
      </c>
      <c r="O1377" s="3">
        <v>46233.65914210648</v>
      </c>
    </row>
    <row r="1378" spans="1:15" ht="90" x14ac:dyDescent="0.25">
      <c r="A1378" s="5" t="s">
        <v>4298</v>
      </c>
      <c r="B1378" s="1" t="s">
        <v>9111</v>
      </c>
      <c r="C1378" s="1">
        <v>1971</v>
      </c>
      <c r="D1378" s="1" t="s">
        <v>14</v>
      </c>
      <c r="G1378" s="1" t="s">
        <v>10</v>
      </c>
      <c r="H1378" s="2" t="s">
        <v>140</v>
      </c>
      <c r="J1378" s="3">
        <v>46128.64739583333</v>
      </c>
      <c r="K1378" s="2" t="s">
        <v>9112</v>
      </c>
      <c r="L1378" s="1">
        <v>8</v>
      </c>
      <c r="M1378" s="1">
        <v>15</v>
      </c>
      <c r="N1378" s="1">
        <v>7</v>
      </c>
      <c r="O1378" s="3">
        <v>46233.65914210648</v>
      </c>
    </row>
    <row r="1379" spans="1:15" ht="105" x14ac:dyDescent="0.25">
      <c r="A1379" s="5" t="s">
        <v>4301</v>
      </c>
      <c r="B1379" s="1" t="s">
        <v>9113</v>
      </c>
      <c r="C1379" s="1">
        <v>1964</v>
      </c>
      <c r="D1379" s="1" t="s">
        <v>15</v>
      </c>
      <c r="G1379" s="1" t="s">
        <v>10</v>
      </c>
      <c r="I1379" s="2" t="s">
        <v>140</v>
      </c>
      <c r="J1379" s="3">
        <v>46131.364791666667</v>
      </c>
      <c r="K1379" s="2" t="s">
        <v>9114</v>
      </c>
      <c r="L1379" s="1">
        <v>9</v>
      </c>
      <c r="M1379" s="1">
        <v>141</v>
      </c>
      <c r="N1379" s="1">
        <v>132</v>
      </c>
      <c r="O1379" s="3">
        <v>46233.65914210648</v>
      </c>
    </row>
    <row r="1380" spans="1:15" x14ac:dyDescent="0.25">
      <c r="A1380" s="5" t="s">
        <v>4304</v>
      </c>
      <c r="B1380" s="1" t="s">
        <v>9115</v>
      </c>
      <c r="C1380" s="1">
        <v>1843</v>
      </c>
      <c r="D1380" s="1" t="s">
        <v>14</v>
      </c>
      <c r="E1380" s="1">
        <v>1917</v>
      </c>
      <c r="F1380" s="1" t="s">
        <v>9068</v>
      </c>
      <c r="G1380" s="1" t="s">
        <v>10</v>
      </c>
      <c r="J1380" s="3">
        <v>46070.369027777779</v>
      </c>
      <c r="L1380" s="1">
        <v>34</v>
      </c>
      <c r="M1380" s="1">
        <v>36</v>
      </c>
      <c r="N1380" s="1">
        <v>2</v>
      </c>
      <c r="O1380" s="3">
        <v>46233.65914210648</v>
      </c>
    </row>
    <row r="1381" spans="1:15" ht="120" x14ac:dyDescent="0.25">
      <c r="A1381" s="5" t="s">
        <v>4307</v>
      </c>
      <c r="B1381" s="1" t="s">
        <v>9116</v>
      </c>
      <c r="C1381" s="1">
        <v>1916</v>
      </c>
      <c r="E1381" s="1">
        <v>1989</v>
      </c>
      <c r="J1381" s="3">
        <v>46126.574953703705</v>
      </c>
      <c r="K1381" s="2" t="s">
        <v>9117</v>
      </c>
      <c r="L1381" s="1">
        <v>28</v>
      </c>
      <c r="M1381" s="1">
        <v>37</v>
      </c>
      <c r="N1381" s="1">
        <v>9</v>
      </c>
      <c r="O1381" s="3">
        <v>46233.65914210648</v>
      </c>
    </row>
    <row r="1382" spans="1:15" ht="165" x14ac:dyDescent="0.25">
      <c r="A1382" s="5" t="s">
        <v>4310</v>
      </c>
      <c r="B1382" s="1" t="s">
        <v>9118</v>
      </c>
      <c r="C1382" s="1">
        <v>1813</v>
      </c>
      <c r="D1382" s="1" t="s">
        <v>14</v>
      </c>
      <c r="E1382" s="1">
        <v>1889</v>
      </c>
      <c r="F1382" s="1" t="s">
        <v>8572</v>
      </c>
      <c r="G1382" s="1" t="s">
        <v>10</v>
      </c>
      <c r="H1382" s="2" t="s">
        <v>140</v>
      </c>
      <c r="J1382" s="3">
        <v>46166.382847222223</v>
      </c>
      <c r="K1382" s="2" t="s">
        <v>9120</v>
      </c>
      <c r="L1382" s="1">
        <v>19</v>
      </c>
      <c r="M1382" s="1">
        <v>19</v>
      </c>
      <c r="N1382" s="1">
        <v>0</v>
      </c>
      <c r="O1382" s="3">
        <v>46233.65914210648</v>
      </c>
    </row>
    <row r="1383" spans="1:15" ht="30" x14ac:dyDescent="0.25">
      <c r="A1383" s="5" t="s">
        <v>4313</v>
      </c>
      <c r="B1383" s="1" t="s">
        <v>9121</v>
      </c>
      <c r="C1383" s="1">
        <v>1750</v>
      </c>
      <c r="D1383" s="1" t="s">
        <v>14</v>
      </c>
      <c r="E1383" s="1">
        <v>1826</v>
      </c>
      <c r="F1383" s="1" t="s">
        <v>14</v>
      </c>
      <c r="G1383" s="1" t="s">
        <v>10</v>
      </c>
      <c r="H1383" s="2" t="s">
        <v>140</v>
      </c>
      <c r="J1383" s="3">
        <v>46138.427233796298</v>
      </c>
      <c r="K1383" s="2" t="s">
        <v>9123</v>
      </c>
      <c r="L1383" s="1">
        <v>8</v>
      </c>
      <c r="M1383" s="1">
        <v>9</v>
      </c>
      <c r="N1383" s="1">
        <v>1</v>
      </c>
      <c r="O1383" s="3">
        <v>46233.65914210648</v>
      </c>
    </row>
    <row r="1384" spans="1:15" ht="60" x14ac:dyDescent="0.25">
      <c r="A1384" s="5" t="s">
        <v>4316</v>
      </c>
      <c r="B1384" s="1" t="s">
        <v>9124</v>
      </c>
      <c r="C1384" s="1">
        <v>1963</v>
      </c>
      <c r="D1384" s="1" t="s">
        <v>14</v>
      </c>
      <c r="G1384" s="1" t="s">
        <v>10</v>
      </c>
      <c r="J1384" s="3">
        <v>46153.647592592592</v>
      </c>
      <c r="K1384" s="2" t="s">
        <v>9125</v>
      </c>
      <c r="L1384" s="1">
        <v>45</v>
      </c>
      <c r="M1384" s="1">
        <v>58</v>
      </c>
      <c r="N1384" s="1">
        <v>13</v>
      </c>
      <c r="O1384" s="3">
        <v>46233.65914210648</v>
      </c>
    </row>
    <row r="1385" spans="1:15" ht="165" x14ac:dyDescent="0.25">
      <c r="A1385" s="5" t="s">
        <v>4319</v>
      </c>
      <c r="B1385" s="1" t="s">
        <v>9126</v>
      </c>
      <c r="C1385" s="1">
        <v>1997</v>
      </c>
      <c r="E1385" s="1">
        <v>2005</v>
      </c>
      <c r="J1385" s="3">
        <v>46148.739016203705</v>
      </c>
      <c r="K1385" s="2" t="s">
        <v>9127</v>
      </c>
      <c r="L1385" s="1">
        <v>42</v>
      </c>
      <c r="M1385" s="1">
        <v>64</v>
      </c>
      <c r="N1385" s="1">
        <v>22</v>
      </c>
      <c r="O1385" s="3">
        <v>46233.65914210648</v>
      </c>
    </row>
    <row r="1386" spans="1:15" ht="75" x14ac:dyDescent="0.25">
      <c r="A1386" s="5" t="s">
        <v>4322</v>
      </c>
      <c r="B1386" s="1" t="s">
        <v>9128</v>
      </c>
      <c r="C1386" s="1">
        <v>1798</v>
      </c>
      <c r="D1386" s="1" t="s">
        <v>14</v>
      </c>
      <c r="E1386" s="1">
        <v>1872</v>
      </c>
      <c r="F1386" s="1" t="s">
        <v>8318</v>
      </c>
      <c r="G1386" s="1" t="s">
        <v>10</v>
      </c>
      <c r="H1386" s="2" t="s">
        <v>140</v>
      </c>
      <c r="J1386" s="3">
        <v>46121.728645833333</v>
      </c>
      <c r="K1386" s="2" t="s">
        <v>9130</v>
      </c>
      <c r="L1386" s="1">
        <v>53</v>
      </c>
      <c r="M1386" s="1">
        <v>53</v>
      </c>
      <c r="N1386" s="1">
        <v>0</v>
      </c>
      <c r="O1386" s="3">
        <v>46233.65914210648</v>
      </c>
    </row>
    <row r="1387" spans="1:15" x14ac:dyDescent="0.25">
      <c r="A1387" s="5" t="s">
        <v>4325</v>
      </c>
      <c r="B1387" s="1" t="s">
        <v>9131</v>
      </c>
      <c r="C1387" s="1" t="s">
        <v>12</v>
      </c>
      <c r="G1387" s="1" t="s">
        <v>10</v>
      </c>
      <c r="J1387" s="3">
        <v>46122.767731481479</v>
      </c>
      <c r="K1387" s="2" t="s">
        <v>9132</v>
      </c>
      <c r="L1387" s="1">
        <v>22</v>
      </c>
      <c r="M1387" s="1">
        <v>22</v>
      </c>
      <c r="N1387" s="1">
        <v>0</v>
      </c>
      <c r="O1387" s="3">
        <v>46233.65914210648</v>
      </c>
    </row>
    <row r="1388" spans="1:15" ht="60" x14ac:dyDescent="0.25">
      <c r="A1388" s="5" t="s">
        <v>4328</v>
      </c>
      <c r="B1388" s="1" t="s">
        <v>9133</v>
      </c>
      <c r="C1388" s="1" t="s">
        <v>12</v>
      </c>
      <c r="G1388" s="1" t="s">
        <v>11</v>
      </c>
      <c r="J1388" s="3">
        <v>46136.444201388891</v>
      </c>
      <c r="K1388" s="2" t="s">
        <v>9134</v>
      </c>
      <c r="L1388" s="1">
        <v>1</v>
      </c>
      <c r="M1388" s="1">
        <v>1</v>
      </c>
      <c r="N1388" s="1">
        <v>0</v>
      </c>
      <c r="O1388" s="3">
        <v>46233.65914210648</v>
      </c>
    </row>
    <row r="1389" spans="1:15" ht="180" x14ac:dyDescent="0.25">
      <c r="A1389" s="5" t="s">
        <v>4331</v>
      </c>
      <c r="B1389" s="1" t="s">
        <v>9135</v>
      </c>
      <c r="C1389" s="1">
        <v>2014</v>
      </c>
      <c r="J1389" s="3">
        <v>46170.387800925928</v>
      </c>
      <c r="K1389" s="2" t="s">
        <v>9136</v>
      </c>
      <c r="L1389" s="1">
        <v>1</v>
      </c>
      <c r="M1389" s="1">
        <v>1</v>
      </c>
      <c r="N1389" s="1">
        <v>0</v>
      </c>
      <c r="O1389" s="3">
        <v>46233.65914210648</v>
      </c>
    </row>
    <row r="1390" spans="1:15" x14ac:dyDescent="0.25">
      <c r="A1390" s="5" t="s">
        <v>4334</v>
      </c>
      <c r="B1390" s="1" t="s">
        <v>9137</v>
      </c>
      <c r="C1390" s="1">
        <v>1972</v>
      </c>
      <c r="D1390" s="1" t="s">
        <v>14</v>
      </c>
      <c r="G1390" s="1" t="s">
        <v>11</v>
      </c>
      <c r="J1390" s="3">
        <v>46149.410995370374</v>
      </c>
      <c r="K1390" s="2" t="s">
        <v>9138</v>
      </c>
      <c r="L1390" s="1">
        <v>9</v>
      </c>
      <c r="M1390" s="1">
        <v>10</v>
      </c>
      <c r="N1390" s="1">
        <v>1</v>
      </c>
      <c r="O1390" s="3">
        <v>46233.65914210648</v>
      </c>
    </row>
    <row r="1391" spans="1:15" ht="30" x14ac:dyDescent="0.25">
      <c r="A1391" s="5" t="s">
        <v>4337</v>
      </c>
      <c r="B1391" s="1" t="s">
        <v>9139</v>
      </c>
      <c r="J1391" s="3">
        <v>46141.43409722222</v>
      </c>
      <c r="K1391" s="2" t="s">
        <v>9140</v>
      </c>
      <c r="L1391" s="1">
        <v>41</v>
      </c>
      <c r="M1391" s="1">
        <v>48</v>
      </c>
      <c r="N1391" s="1">
        <v>7</v>
      </c>
      <c r="O1391" s="3">
        <v>46233.65914210648</v>
      </c>
    </row>
    <row r="1392" spans="1:15" ht="120" x14ac:dyDescent="0.25">
      <c r="A1392" s="5" t="s">
        <v>4340</v>
      </c>
      <c r="B1392" s="1" t="s">
        <v>9141</v>
      </c>
      <c r="C1392" s="1">
        <v>1885</v>
      </c>
      <c r="E1392" s="1">
        <v>1973</v>
      </c>
      <c r="G1392" s="1" t="s">
        <v>10</v>
      </c>
      <c r="J1392" s="3">
        <v>46140.351388888892</v>
      </c>
      <c r="K1392" s="2" t="s">
        <v>9142</v>
      </c>
      <c r="L1392" s="1">
        <v>32</v>
      </c>
      <c r="M1392" s="1">
        <v>72</v>
      </c>
      <c r="N1392" s="1">
        <v>40</v>
      </c>
      <c r="O1392" s="3">
        <v>46233.65914210648</v>
      </c>
    </row>
    <row r="1393" spans="1:15" ht="240" x14ac:dyDescent="0.25">
      <c r="A1393" s="5" t="s">
        <v>4343</v>
      </c>
      <c r="B1393" s="1" t="s">
        <v>9143</v>
      </c>
      <c r="C1393" s="1">
        <v>2014</v>
      </c>
      <c r="E1393" s="1">
        <v>2014</v>
      </c>
      <c r="J1393" s="3">
        <v>46147.560196759259</v>
      </c>
      <c r="K1393" s="2" t="s">
        <v>9144</v>
      </c>
      <c r="L1393" s="1">
        <v>1</v>
      </c>
      <c r="M1393" s="1">
        <v>1</v>
      </c>
      <c r="N1393" s="1">
        <v>0</v>
      </c>
      <c r="O1393" s="3">
        <v>46233.65914210648</v>
      </c>
    </row>
    <row r="1394" spans="1:15" ht="225" x14ac:dyDescent="0.25">
      <c r="A1394" s="5" t="s">
        <v>4346</v>
      </c>
      <c r="B1394" s="1" t="s">
        <v>9145</v>
      </c>
      <c r="C1394" s="1">
        <v>2009</v>
      </c>
      <c r="E1394" s="1">
        <v>2013</v>
      </c>
      <c r="J1394" s="3">
        <v>46142.452407407407</v>
      </c>
      <c r="K1394" s="2" t="s">
        <v>9146</v>
      </c>
      <c r="L1394" s="1">
        <v>16</v>
      </c>
      <c r="M1394" s="1">
        <v>17</v>
      </c>
      <c r="N1394" s="1">
        <v>1</v>
      </c>
      <c r="O1394" s="3">
        <v>46233.65914210648</v>
      </c>
    </row>
    <row r="1395" spans="1:15" ht="210" x14ac:dyDescent="0.25">
      <c r="A1395" s="5" t="s">
        <v>4349</v>
      </c>
      <c r="B1395" s="1" t="s">
        <v>9147</v>
      </c>
      <c r="C1395" s="1">
        <v>2014</v>
      </c>
      <c r="E1395" s="1">
        <v>2015</v>
      </c>
      <c r="J1395" s="3">
        <v>46147.539548611108</v>
      </c>
      <c r="K1395" s="2" t="s">
        <v>9148</v>
      </c>
      <c r="L1395" s="1">
        <v>0</v>
      </c>
      <c r="M1395" s="1">
        <v>0</v>
      </c>
      <c r="N1395" s="1">
        <v>0</v>
      </c>
      <c r="O1395" s="3">
        <v>46233.65914210648</v>
      </c>
    </row>
    <row r="1396" spans="1:15" x14ac:dyDescent="0.25">
      <c r="A1396" s="5" t="s">
        <v>4352</v>
      </c>
      <c r="B1396" s="1" t="s">
        <v>9149</v>
      </c>
      <c r="C1396" s="1">
        <v>1856</v>
      </c>
      <c r="D1396" s="1" t="s">
        <v>9150</v>
      </c>
      <c r="E1396" s="1">
        <v>1920</v>
      </c>
      <c r="F1396" s="1" t="s">
        <v>14</v>
      </c>
      <c r="G1396" s="1" t="s">
        <v>11</v>
      </c>
      <c r="J1396" s="3">
        <v>46073.662743055553</v>
      </c>
      <c r="L1396" s="1">
        <v>20</v>
      </c>
      <c r="M1396" s="1">
        <v>22</v>
      </c>
      <c r="N1396" s="1">
        <v>2</v>
      </c>
      <c r="O1396" s="3">
        <v>46233.65914210648</v>
      </c>
    </row>
    <row r="1397" spans="1:15" ht="135" x14ac:dyDescent="0.25">
      <c r="A1397" s="5" t="s">
        <v>4355</v>
      </c>
      <c r="B1397" s="1" t="s">
        <v>9151</v>
      </c>
      <c r="C1397" s="1" t="s">
        <v>12</v>
      </c>
      <c r="G1397" s="1" t="s">
        <v>10</v>
      </c>
      <c r="J1397" s="3">
        <v>46148.583738425928</v>
      </c>
      <c r="K1397" s="2" t="s">
        <v>9152</v>
      </c>
      <c r="L1397" s="1">
        <v>1</v>
      </c>
      <c r="M1397" s="1">
        <v>1</v>
      </c>
      <c r="N1397" s="1">
        <v>0</v>
      </c>
      <c r="O1397" s="3">
        <v>46233.65914210648</v>
      </c>
    </row>
    <row r="1398" spans="1:15" ht="360" x14ac:dyDescent="0.25">
      <c r="A1398" s="5" t="s">
        <v>4358</v>
      </c>
      <c r="B1398" s="1" t="s">
        <v>9153</v>
      </c>
      <c r="C1398" s="1">
        <v>2018</v>
      </c>
      <c r="E1398" s="1">
        <v>2021</v>
      </c>
      <c r="J1398" s="3">
        <v>46147.599849537037</v>
      </c>
      <c r="K1398" s="2" t="s">
        <v>9154</v>
      </c>
      <c r="L1398" s="1">
        <v>0</v>
      </c>
      <c r="M1398" s="1">
        <v>0</v>
      </c>
      <c r="N1398" s="1">
        <v>0</v>
      </c>
      <c r="O1398" s="3">
        <v>46233.65914210648</v>
      </c>
    </row>
    <row r="1399" spans="1:15" ht="75" x14ac:dyDescent="0.25">
      <c r="A1399" s="5" t="s">
        <v>4361</v>
      </c>
      <c r="B1399" s="1" t="s">
        <v>9155</v>
      </c>
      <c r="C1399" s="1">
        <v>1868</v>
      </c>
      <c r="D1399" s="1" t="s">
        <v>14</v>
      </c>
      <c r="E1399" s="1">
        <v>1929</v>
      </c>
      <c r="G1399" s="1" t="s">
        <v>10</v>
      </c>
      <c r="I1399" s="2" t="s">
        <v>140</v>
      </c>
      <c r="J1399" s="3">
        <v>46110.45521990741</v>
      </c>
      <c r="K1399" s="2" t="s">
        <v>9156</v>
      </c>
      <c r="L1399" s="1">
        <v>30</v>
      </c>
      <c r="M1399" s="1">
        <v>31</v>
      </c>
      <c r="N1399" s="1">
        <v>1</v>
      </c>
      <c r="O1399" s="3">
        <v>46233.65914210648</v>
      </c>
    </row>
    <row r="1400" spans="1:15" ht="150" x14ac:dyDescent="0.25">
      <c r="A1400" s="5" t="s">
        <v>4364</v>
      </c>
      <c r="B1400" s="1" t="s">
        <v>9157</v>
      </c>
      <c r="C1400" s="1">
        <v>2002</v>
      </c>
      <c r="E1400" s="1">
        <v>2005</v>
      </c>
      <c r="J1400" s="3">
        <v>46127.710011574076</v>
      </c>
      <c r="K1400" s="2" t="s">
        <v>9158</v>
      </c>
      <c r="L1400" s="1">
        <v>17</v>
      </c>
      <c r="M1400" s="1">
        <v>28</v>
      </c>
      <c r="N1400" s="1">
        <v>11</v>
      </c>
      <c r="O1400" s="3">
        <v>46233.65914210648</v>
      </c>
    </row>
    <row r="1401" spans="1:15" ht="45" x14ac:dyDescent="0.25">
      <c r="A1401" s="5" t="s">
        <v>4367</v>
      </c>
      <c r="B1401" s="1" t="s">
        <v>9159</v>
      </c>
      <c r="C1401" s="1">
        <v>1891</v>
      </c>
      <c r="D1401" s="1" t="s">
        <v>8589</v>
      </c>
      <c r="E1401" s="1">
        <v>1961</v>
      </c>
      <c r="F1401" s="1" t="s">
        <v>14</v>
      </c>
      <c r="G1401" s="1" t="s">
        <v>10</v>
      </c>
      <c r="J1401" s="3">
        <v>46120.665497685186</v>
      </c>
      <c r="K1401" s="2" t="s">
        <v>9160</v>
      </c>
      <c r="L1401" s="1">
        <v>7</v>
      </c>
      <c r="M1401" s="1">
        <v>10</v>
      </c>
      <c r="N1401" s="1">
        <v>3</v>
      </c>
      <c r="O1401" s="3">
        <v>46233.65914210648</v>
      </c>
    </row>
    <row r="1402" spans="1:15" ht="30" x14ac:dyDescent="0.25">
      <c r="A1402" s="5" t="s">
        <v>4370</v>
      </c>
      <c r="B1402" s="1" t="s">
        <v>9161</v>
      </c>
      <c r="C1402" s="1">
        <v>1805</v>
      </c>
      <c r="D1402" s="1" t="s">
        <v>14</v>
      </c>
      <c r="E1402" s="1">
        <v>1859</v>
      </c>
      <c r="F1402" s="1" t="s">
        <v>14</v>
      </c>
      <c r="G1402" s="1" t="s">
        <v>10</v>
      </c>
      <c r="J1402" s="3">
        <v>46136.639560185184</v>
      </c>
      <c r="K1402" s="2" t="s">
        <v>9162</v>
      </c>
      <c r="L1402" s="1">
        <v>28</v>
      </c>
      <c r="M1402" s="1">
        <v>29</v>
      </c>
      <c r="N1402" s="1">
        <v>1</v>
      </c>
      <c r="O1402" s="3">
        <v>46233.65914210648</v>
      </c>
    </row>
    <row r="1403" spans="1:15" x14ac:dyDescent="0.25">
      <c r="A1403" s="5" t="s">
        <v>4373</v>
      </c>
      <c r="B1403" s="1" t="s">
        <v>9163</v>
      </c>
      <c r="C1403" s="1">
        <v>1975</v>
      </c>
      <c r="G1403" s="1" t="s">
        <v>10</v>
      </c>
      <c r="J1403" s="3">
        <v>46136.383634259262</v>
      </c>
      <c r="K1403" s="2" t="s">
        <v>9164</v>
      </c>
      <c r="L1403" s="1">
        <v>1</v>
      </c>
      <c r="M1403" s="1">
        <v>1</v>
      </c>
      <c r="N1403" s="1">
        <v>0</v>
      </c>
      <c r="O1403" s="3">
        <v>46233.65914210648</v>
      </c>
    </row>
    <row r="1404" spans="1:15" ht="225" x14ac:dyDescent="0.25">
      <c r="A1404" s="5" t="s">
        <v>4376</v>
      </c>
      <c r="B1404" s="1" t="s">
        <v>9165</v>
      </c>
      <c r="C1404" s="1">
        <v>1826</v>
      </c>
      <c r="J1404" s="3">
        <v>46124.421817129631</v>
      </c>
      <c r="K1404" s="2" t="s">
        <v>9166</v>
      </c>
      <c r="L1404" s="1">
        <v>466</v>
      </c>
      <c r="M1404" s="1">
        <v>537</v>
      </c>
      <c r="N1404" s="1">
        <v>71</v>
      </c>
      <c r="O1404" s="3">
        <v>46233.65914210648</v>
      </c>
    </row>
    <row r="1405" spans="1:15" ht="30" x14ac:dyDescent="0.25">
      <c r="A1405" s="5" t="s">
        <v>4379</v>
      </c>
      <c r="B1405" s="1" t="s">
        <v>9167</v>
      </c>
      <c r="C1405" s="1">
        <v>1973</v>
      </c>
      <c r="G1405" s="1" t="s">
        <v>11</v>
      </c>
      <c r="J1405" s="3">
        <v>46168.377222222225</v>
      </c>
      <c r="K1405" s="2" t="s">
        <v>9168</v>
      </c>
      <c r="L1405" s="1">
        <v>1</v>
      </c>
      <c r="M1405" s="1">
        <v>1</v>
      </c>
      <c r="N1405" s="1">
        <v>0</v>
      </c>
      <c r="O1405" s="3">
        <v>46233.65914210648</v>
      </c>
    </row>
    <row r="1406" spans="1:15" ht="60" x14ac:dyDescent="0.25">
      <c r="A1406" s="5" t="s">
        <v>4382</v>
      </c>
      <c r="B1406" s="1" t="s">
        <v>9169</v>
      </c>
      <c r="C1406" s="1" t="s">
        <v>12</v>
      </c>
      <c r="G1406" s="1" t="s">
        <v>10</v>
      </c>
      <c r="J1406" s="3">
        <v>46136.441296296296</v>
      </c>
      <c r="K1406" s="2" t="s">
        <v>9170</v>
      </c>
      <c r="L1406" s="1">
        <v>1</v>
      </c>
      <c r="M1406" s="1">
        <v>1</v>
      </c>
      <c r="N1406" s="1">
        <v>0</v>
      </c>
      <c r="O1406" s="3">
        <v>46233.65914210648</v>
      </c>
    </row>
    <row r="1407" spans="1:15" ht="150" x14ac:dyDescent="0.25">
      <c r="A1407" s="5" t="s">
        <v>4385</v>
      </c>
      <c r="B1407" s="1" t="s">
        <v>9171</v>
      </c>
      <c r="C1407" s="1">
        <v>1969</v>
      </c>
      <c r="D1407" s="1" t="s">
        <v>8500</v>
      </c>
      <c r="G1407" s="1" t="s">
        <v>10</v>
      </c>
      <c r="I1407" s="2" t="s">
        <v>10496</v>
      </c>
      <c r="J1407" s="3">
        <v>46138.428622685184</v>
      </c>
      <c r="K1407" s="2" t="s">
        <v>9172</v>
      </c>
      <c r="L1407" s="1">
        <v>7</v>
      </c>
      <c r="M1407" s="1">
        <v>19</v>
      </c>
      <c r="N1407" s="1">
        <v>12</v>
      </c>
      <c r="O1407" s="3">
        <v>46233.65914210648</v>
      </c>
    </row>
    <row r="1408" spans="1:15" ht="45" x14ac:dyDescent="0.25">
      <c r="A1408" s="5" t="s">
        <v>4388</v>
      </c>
      <c r="B1408" s="1" t="s">
        <v>9173</v>
      </c>
      <c r="C1408" s="1" t="s">
        <v>12</v>
      </c>
      <c r="G1408" s="1" t="s">
        <v>11</v>
      </c>
      <c r="J1408" s="3">
        <v>46112.589305555557</v>
      </c>
      <c r="K1408" s="2" t="s">
        <v>9174</v>
      </c>
      <c r="L1408" s="1">
        <v>1</v>
      </c>
      <c r="M1408" s="1">
        <v>1</v>
      </c>
      <c r="N1408" s="1">
        <v>0</v>
      </c>
      <c r="O1408" s="3">
        <v>46233.65914210648</v>
      </c>
    </row>
    <row r="1409" spans="1:15" ht="60" x14ac:dyDescent="0.25">
      <c r="A1409" s="5" t="s">
        <v>4391</v>
      </c>
      <c r="B1409" s="1" t="s">
        <v>9175</v>
      </c>
      <c r="C1409" s="1" t="s">
        <v>12</v>
      </c>
      <c r="G1409" s="1" t="s">
        <v>11</v>
      </c>
      <c r="J1409" s="3">
        <v>46136.447569444441</v>
      </c>
      <c r="K1409" s="2" t="s">
        <v>9134</v>
      </c>
      <c r="L1409" s="1">
        <v>1</v>
      </c>
      <c r="M1409" s="1">
        <v>1</v>
      </c>
      <c r="N1409" s="1">
        <v>0</v>
      </c>
      <c r="O1409" s="3">
        <v>46233.65914210648</v>
      </c>
    </row>
    <row r="1410" spans="1:15" ht="30" x14ac:dyDescent="0.25">
      <c r="A1410" s="5" t="s">
        <v>4394</v>
      </c>
      <c r="B1410" s="1" t="s">
        <v>9176</v>
      </c>
      <c r="C1410" s="1">
        <v>1755</v>
      </c>
      <c r="D1410" s="1" t="s">
        <v>14</v>
      </c>
      <c r="E1410" s="1">
        <v>1819</v>
      </c>
      <c r="F1410" s="1" t="s">
        <v>7883</v>
      </c>
      <c r="G1410" s="1" t="s">
        <v>10</v>
      </c>
      <c r="J1410" s="3">
        <v>46135.591747685183</v>
      </c>
      <c r="K1410" s="2" t="s">
        <v>9178</v>
      </c>
      <c r="L1410" s="1">
        <v>3</v>
      </c>
      <c r="M1410" s="1">
        <v>4</v>
      </c>
      <c r="N1410" s="1">
        <v>1</v>
      </c>
      <c r="O1410" s="3">
        <v>46233.65914210648</v>
      </c>
    </row>
    <row r="1411" spans="1:15" ht="90" x14ac:dyDescent="0.25">
      <c r="A1411" s="5" t="s">
        <v>4397</v>
      </c>
      <c r="B1411" s="1" t="s">
        <v>9179</v>
      </c>
      <c r="C1411" s="1">
        <v>1922</v>
      </c>
      <c r="D1411" s="1" t="s">
        <v>14</v>
      </c>
      <c r="E1411" s="1">
        <v>2008</v>
      </c>
      <c r="G1411" s="1" t="s">
        <v>10</v>
      </c>
      <c r="J1411" s="3">
        <v>46138.416168981479</v>
      </c>
      <c r="K1411" s="2" t="s">
        <v>9180</v>
      </c>
      <c r="L1411" s="1">
        <v>37</v>
      </c>
      <c r="M1411" s="1">
        <v>40</v>
      </c>
      <c r="N1411" s="1">
        <v>3</v>
      </c>
      <c r="O1411" s="3">
        <v>46233.65914210648</v>
      </c>
    </row>
    <row r="1412" spans="1:15" ht="45" x14ac:dyDescent="0.25">
      <c r="A1412" s="5" t="s">
        <v>4400</v>
      </c>
      <c r="B1412" s="1" t="s">
        <v>9181</v>
      </c>
      <c r="C1412" s="1" t="s">
        <v>12</v>
      </c>
      <c r="G1412" s="1" t="s">
        <v>11</v>
      </c>
      <c r="J1412" s="3">
        <v>46106.548634259256</v>
      </c>
      <c r="K1412" s="2" t="s">
        <v>9182</v>
      </c>
      <c r="L1412" s="1">
        <v>1</v>
      </c>
      <c r="M1412" s="1">
        <v>1</v>
      </c>
      <c r="N1412" s="1">
        <v>0</v>
      </c>
      <c r="O1412" s="3">
        <v>46233.65914210648</v>
      </c>
    </row>
    <row r="1413" spans="1:15" ht="45" x14ac:dyDescent="0.25">
      <c r="A1413" s="5" t="s">
        <v>4403</v>
      </c>
      <c r="B1413" s="1" t="s">
        <v>9183</v>
      </c>
      <c r="C1413" s="1">
        <v>1843</v>
      </c>
      <c r="E1413" s="1">
        <v>1993</v>
      </c>
      <c r="J1413" s="3">
        <v>46152.35491898148</v>
      </c>
      <c r="K1413" s="2" t="s">
        <v>9184</v>
      </c>
      <c r="L1413" s="1">
        <v>96</v>
      </c>
      <c r="M1413" s="1">
        <v>147</v>
      </c>
      <c r="N1413" s="1">
        <v>51</v>
      </c>
      <c r="O1413" s="3">
        <v>46233.65914210648</v>
      </c>
    </row>
    <row r="1414" spans="1:15" ht="315" x14ac:dyDescent="0.25">
      <c r="A1414" s="5" t="s">
        <v>4406</v>
      </c>
      <c r="B1414" s="1" t="s">
        <v>9185</v>
      </c>
      <c r="C1414" s="1">
        <v>2014</v>
      </c>
      <c r="E1414" s="1">
        <v>2018</v>
      </c>
      <c r="J1414" s="3">
        <v>46147.581516203703</v>
      </c>
      <c r="K1414" s="2" t="s">
        <v>9186</v>
      </c>
      <c r="L1414" s="1">
        <v>0</v>
      </c>
      <c r="M1414" s="1">
        <v>0</v>
      </c>
      <c r="N1414" s="1">
        <v>0</v>
      </c>
      <c r="O1414" s="3">
        <v>46233.65914210648</v>
      </c>
    </row>
    <row r="1415" spans="1:15" ht="60" x14ac:dyDescent="0.25">
      <c r="A1415" s="5" t="s">
        <v>4409</v>
      </c>
      <c r="B1415" s="1" t="s">
        <v>9187</v>
      </c>
      <c r="C1415" s="1" t="s">
        <v>12</v>
      </c>
      <c r="G1415" s="1" t="s">
        <v>11</v>
      </c>
      <c r="J1415" s="3">
        <v>46142.346250000002</v>
      </c>
      <c r="K1415" s="2" t="s">
        <v>9188</v>
      </c>
      <c r="L1415" s="1">
        <v>1</v>
      </c>
      <c r="M1415" s="1">
        <v>1</v>
      </c>
      <c r="N1415" s="1">
        <v>0</v>
      </c>
      <c r="O1415" s="3">
        <v>46233.65914210648</v>
      </c>
    </row>
    <row r="1416" spans="1:15" ht="45" x14ac:dyDescent="0.25">
      <c r="A1416" s="5" t="s">
        <v>4412</v>
      </c>
      <c r="B1416" s="1" t="s">
        <v>9189</v>
      </c>
      <c r="C1416" s="1">
        <v>1750</v>
      </c>
      <c r="D1416" s="1" t="s">
        <v>14</v>
      </c>
      <c r="E1416" s="1">
        <v>1803</v>
      </c>
      <c r="F1416" s="1" t="s">
        <v>14</v>
      </c>
      <c r="G1416" s="1" t="s">
        <v>10</v>
      </c>
      <c r="J1416" s="3">
        <v>46153.336909722224</v>
      </c>
      <c r="K1416" s="2" t="s">
        <v>9190</v>
      </c>
      <c r="L1416" s="1">
        <v>8</v>
      </c>
      <c r="M1416" s="1">
        <v>10</v>
      </c>
      <c r="N1416" s="1">
        <v>2</v>
      </c>
      <c r="O1416" s="3">
        <v>46233.65914210648</v>
      </c>
    </row>
    <row r="1417" spans="1:15" ht="30" x14ac:dyDescent="0.25">
      <c r="A1417" s="5" t="s">
        <v>4415</v>
      </c>
      <c r="B1417" s="1" t="s">
        <v>9191</v>
      </c>
      <c r="C1417" s="1">
        <v>1805</v>
      </c>
      <c r="D1417" s="1" t="s">
        <v>9192</v>
      </c>
      <c r="E1417" s="1">
        <v>1856</v>
      </c>
      <c r="F1417" s="1" t="s">
        <v>14</v>
      </c>
      <c r="G1417" s="1" t="s">
        <v>10</v>
      </c>
      <c r="H1417" s="2" t="s">
        <v>140</v>
      </c>
      <c r="J1417" s="3">
        <v>46124.387106481481</v>
      </c>
      <c r="K1417" s="2" t="s">
        <v>9193</v>
      </c>
      <c r="L1417" s="1">
        <v>55</v>
      </c>
      <c r="M1417" s="1">
        <v>55</v>
      </c>
      <c r="N1417" s="1">
        <v>0</v>
      </c>
      <c r="O1417" s="3">
        <v>46233.65914210648</v>
      </c>
    </row>
    <row r="1418" spans="1:15" ht="195" x14ac:dyDescent="0.25">
      <c r="A1418" s="5" t="s">
        <v>4418</v>
      </c>
      <c r="B1418" s="1" t="s">
        <v>9194</v>
      </c>
      <c r="C1418" s="1">
        <v>1968</v>
      </c>
      <c r="G1418" s="1" t="s">
        <v>10</v>
      </c>
      <c r="J1418" s="3">
        <v>46162.555092592593</v>
      </c>
      <c r="K1418" s="2" t="s">
        <v>9195</v>
      </c>
      <c r="L1418" s="1">
        <v>1</v>
      </c>
      <c r="M1418" s="1">
        <v>1</v>
      </c>
      <c r="N1418" s="1">
        <v>0</v>
      </c>
      <c r="O1418" s="3">
        <v>46233.65914210648</v>
      </c>
    </row>
    <row r="1419" spans="1:15" ht="45" x14ac:dyDescent="0.25">
      <c r="A1419" s="5" t="s">
        <v>4421</v>
      </c>
      <c r="B1419" s="1" t="s">
        <v>9196</v>
      </c>
      <c r="C1419" s="1">
        <v>1966</v>
      </c>
      <c r="J1419" s="3">
        <v>46108.534444444442</v>
      </c>
      <c r="K1419" s="2" t="s">
        <v>9197</v>
      </c>
      <c r="L1419" s="1">
        <v>3</v>
      </c>
      <c r="M1419" s="1">
        <v>3</v>
      </c>
      <c r="N1419" s="1">
        <v>0</v>
      </c>
      <c r="O1419" s="3">
        <v>46233.65914210648</v>
      </c>
    </row>
    <row r="1420" spans="1:15" ht="120" x14ac:dyDescent="0.25">
      <c r="A1420" s="5" t="s">
        <v>4424</v>
      </c>
      <c r="B1420" s="1" t="s">
        <v>9198</v>
      </c>
      <c r="C1420" s="1">
        <v>2006</v>
      </c>
      <c r="J1420" s="3">
        <v>46155.616423611114</v>
      </c>
      <c r="K1420" s="2" t="s">
        <v>9199</v>
      </c>
      <c r="L1420" s="1">
        <v>6</v>
      </c>
      <c r="M1420" s="1">
        <v>6</v>
      </c>
      <c r="N1420" s="1">
        <v>0</v>
      </c>
      <c r="O1420" s="3">
        <v>46233.65914210648</v>
      </c>
    </row>
    <row r="1421" spans="1:15" ht="90" x14ac:dyDescent="0.25">
      <c r="A1421" s="5" t="s">
        <v>4427</v>
      </c>
      <c r="B1421" s="1" t="s">
        <v>9200</v>
      </c>
      <c r="C1421" s="1" t="s">
        <v>12</v>
      </c>
      <c r="G1421" s="1" t="s">
        <v>11</v>
      </c>
      <c r="J1421" s="3">
        <v>46112.438171296293</v>
      </c>
      <c r="K1421" s="2" t="s">
        <v>9201</v>
      </c>
      <c r="L1421" s="1">
        <v>4</v>
      </c>
      <c r="M1421" s="1">
        <v>4</v>
      </c>
      <c r="N1421" s="1">
        <v>0</v>
      </c>
      <c r="O1421" s="3">
        <v>46233.65914210648</v>
      </c>
    </row>
    <row r="1422" spans="1:15" ht="45" x14ac:dyDescent="0.25">
      <c r="A1422" s="5" t="s">
        <v>4430</v>
      </c>
      <c r="B1422" s="1" t="s">
        <v>9202</v>
      </c>
      <c r="C1422" s="1">
        <v>1907</v>
      </c>
      <c r="D1422" s="1" t="s">
        <v>8589</v>
      </c>
      <c r="E1422" s="1">
        <v>1996</v>
      </c>
      <c r="F1422" s="1" t="s">
        <v>14</v>
      </c>
      <c r="G1422" s="1" t="s">
        <v>10</v>
      </c>
      <c r="H1422" s="2" t="s">
        <v>9204</v>
      </c>
      <c r="J1422" s="3">
        <v>46145.413472222222</v>
      </c>
      <c r="K1422" s="2" t="s">
        <v>9205</v>
      </c>
      <c r="L1422" s="1">
        <v>11</v>
      </c>
      <c r="M1422" s="1">
        <v>23</v>
      </c>
      <c r="N1422" s="1">
        <v>12</v>
      </c>
      <c r="O1422" s="3">
        <v>46233.65914210648</v>
      </c>
    </row>
    <row r="1423" spans="1:15" x14ac:dyDescent="0.25">
      <c r="A1423" s="5" t="s">
        <v>4433</v>
      </c>
      <c r="B1423" s="1" t="s">
        <v>9206</v>
      </c>
      <c r="C1423" s="1">
        <v>1991</v>
      </c>
      <c r="G1423" s="1" t="s">
        <v>11</v>
      </c>
      <c r="J1423" s="3">
        <v>46107.621469907404</v>
      </c>
      <c r="K1423" s="2" t="s">
        <v>9207</v>
      </c>
      <c r="L1423" s="1">
        <v>1</v>
      </c>
      <c r="M1423" s="1">
        <v>3</v>
      </c>
      <c r="N1423" s="1">
        <v>2</v>
      </c>
      <c r="O1423" s="3">
        <v>46233.65914210648</v>
      </c>
    </row>
    <row r="1424" spans="1:15" ht="75" x14ac:dyDescent="0.25">
      <c r="A1424" s="5" t="s">
        <v>4436</v>
      </c>
      <c r="B1424" s="1" t="s">
        <v>9208</v>
      </c>
      <c r="C1424" s="1">
        <v>1843</v>
      </c>
      <c r="E1424" s="1">
        <v>1915</v>
      </c>
      <c r="J1424" s="3">
        <v>46127.693576388891</v>
      </c>
      <c r="K1424" s="2" t="s">
        <v>9209</v>
      </c>
      <c r="L1424" s="1">
        <v>25</v>
      </c>
      <c r="M1424" s="1">
        <v>26</v>
      </c>
      <c r="N1424" s="1">
        <v>1</v>
      </c>
      <c r="O1424" s="3">
        <v>46233.65914210648</v>
      </c>
    </row>
    <row r="1425" spans="1:15" ht="30" x14ac:dyDescent="0.25">
      <c r="A1425" s="5" t="s">
        <v>4439</v>
      </c>
      <c r="B1425" s="1" t="s">
        <v>9210</v>
      </c>
      <c r="C1425" s="1" t="s">
        <v>12</v>
      </c>
      <c r="G1425" s="1" t="s">
        <v>10</v>
      </c>
      <c r="J1425" s="3">
        <v>46155.640324074076</v>
      </c>
      <c r="K1425" s="2" t="s">
        <v>9211</v>
      </c>
      <c r="L1425" s="1">
        <v>1</v>
      </c>
      <c r="M1425" s="1">
        <v>1</v>
      </c>
      <c r="N1425" s="1">
        <v>0</v>
      </c>
      <c r="O1425" s="3">
        <v>46233.65914210648</v>
      </c>
    </row>
    <row r="1426" spans="1:15" x14ac:dyDescent="0.25">
      <c r="A1426" s="5" t="s">
        <v>4442</v>
      </c>
      <c r="B1426" s="1" t="s">
        <v>9212</v>
      </c>
      <c r="C1426" s="1">
        <v>1996</v>
      </c>
      <c r="J1426" s="3">
        <v>46006.505601851852</v>
      </c>
      <c r="L1426" s="1">
        <v>1</v>
      </c>
      <c r="M1426" s="1">
        <v>1</v>
      </c>
      <c r="N1426" s="1">
        <v>0</v>
      </c>
      <c r="O1426" s="3">
        <v>46233.65914210648</v>
      </c>
    </row>
    <row r="1427" spans="1:15" ht="60" x14ac:dyDescent="0.25">
      <c r="A1427" s="5" t="s">
        <v>4445</v>
      </c>
      <c r="B1427" s="1" t="s">
        <v>9213</v>
      </c>
      <c r="C1427" s="1" t="s">
        <v>12</v>
      </c>
      <c r="G1427" s="1" t="s">
        <v>11</v>
      </c>
      <c r="J1427" s="3">
        <v>46136.444560185184</v>
      </c>
      <c r="K1427" s="2" t="s">
        <v>9134</v>
      </c>
      <c r="L1427" s="1">
        <v>1</v>
      </c>
      <c r="M1427" s="1">
        <v>1</v>
      </c>
      <c r="N1427" s="1">
        <v>0</v>
      </c>
      <c r="O1427" s="3">
        <v>46233.65914210648</v>
      </c>
    </row>
    <row r="1428" spans="1:15" ht="90" x14ac:dyDescent="0.25">
      <c r="A1428" s="5" t="s">
        <v>4448</v>
      </c>
      <c r="B1428" s="1" t="s">
        <v>9214</v>
      </c>
      <c r="C1428" s="1">
        <v>1930</v>
      </c>
      <c r="D1428" s="1" t="s">
        <v>14</v>
      </c>
      <c r="E1428" s="1">
        <v>2016</v>
      </c>
      <c r="F1428" s="1" t="s">
        <v>14</v>
      </c>
      <c r="G1428" s="1" t="s">
        <v>10</v>
      </c>
      <c r="J1428" s="3">
        <v>46124.406400462962</v>
      </c>
      <c r="K1428" s="2" t="s">
        <v>9215</v>
      </c>
      <c r="L1428" s="1">
        <v>90</v>
      </c>
      <c r="M1428" s="1">
        <v>102</v>
      </c>
      <c r="N1428" s="1">
        <v>12</v>
      </c>
      <c r="O1428" s="3">
        <v>46233.65914210648</v>
      </c>
    </row>
    <row r="1429" spans="1:15" ht="120" x14ac:dyDescent="0.25">
      <c r="A1429" s="5" t="s">
        <v>4451</v>
      </c>
      <c r="B1429" s="1" t="s">
        <v>9216</v>
      </c>
      <c r="C1429" s="1">
        <v>2005</v>
      </c>
      <c r="E1429" s="1">
        <v>2009</v>
      </c>
      <c r="J1429" s="3">
        <v>46142.451979166668</v>
      </c>
      <c r="K1429" s="2" t="s">
        <v>9217</v>
      </c>
      <c r="L1429" s="1">
        <v>2</v>
      </c>
      <c r="M1429" s="1">
        <v>2</v>
      </c>
      <c r="N1429" s="1">
        <v>0</v>
      </c>
      <c r="O1429" s="3">
        <v>46233.65914210648</v>
      </c>
    </row>
    <row r="1430" spans="1:15" ht="30" x14ac:dyDescent="0.25">
      <c r="A1430" s="5" t="s">
        <v>4454</v>
      </c>
      <c r="B1430" s="1" t="s">
        <v>9218</v>
      </c>
      <c r="C1430" s="1">
        <v>1953</v>
      </c>
      <c r="D1430" s="1" t="s">
        <v>17</v>
      </c>
      <c r="G1430" s="1" t="s">
        <v>11</v>
      </c>
      <c r="I1430" s="2" t="s">
        <v>9219</v>
      </c>
      <c r="J1430" s="3">
        <v>46128.638935185183</v>
      </c>
      <c r="K1430" s="2" t="s">
        <v>9220</v>
      </c>
      <c r="L1430" s="1">
        <v>29</v>
      </c>
      <c r="M1430" s="1">
        <v>31</v>
      </c>
      <c r="N1430" s="1">
        <v>2</v>
      </c>
      <c r="O1430" s="3">
        <v>46233.65914210648</v>
      </c>
    </row>
    <row r="1431" spans="1:15" ht="165" x14ac:dyDescent="0.25">
      <c r="A1431" s="5" t="s">
        <v>4457</v>
      </c>
      <c r="B1431" s="1" t="s">
        <v>9221</v>
      </c>
      <c r="C1431" s="1">
        <v>2013</v>
      </c>
      <c r="E1431" s="1">
        <v>2018</v>
      </c>
      <c r="J1431" s="3">
        <v>46148.746307870373</v>
      </c>
      <c r="K1431" s="2" t="s">
        <v>9222</v>
      </c>
      <c r="L1431" s="1">
        <v>23</v>
      </c>
      <c r="M1431" s="1">
        <v>29</v>
      </c>
      <c r="N1431" s="1">
        <v>6</v>
      </c>
      <c r="O1431" s="3">
        <v>46233.65914210648</v>
      </c>
    </row>
    <row r="1432" spans="1:15" ht="150" x14ac:dyDescent="0.25">
      <c r="A1432" s="5" t="s">
        <v>4460</v>
      </c>
      <c r="B1432" s="1" t="s">
        <v>9223</v>
      </c>
      <c r="C1432" s="1">
        <v>2021</v>
      </c>
      <c r="J1432" s="3">
        <v>46147.603692129633</v>
      </c>
      <c r="K1432" s="2" t="s">
        <v>9224</v>
      </c>
      <c r="L1432" s="1">
        <v>0</v>
      </c>
      <c r="M1432" s="1">
        <v>0</v>
      </c>
      <c r="N1432" s="1">
        <v>0</v>
      </c>
      <c r="O1432" s="3">
        <v>46233.65914210648</v>
      </c>
    </row>
    <row r="1433" spans="1:15" x14ac:dyDescent="0.25">
      <c r="A1433" s="5" t="s">
        <v>4463</v>
      </c>
      <c r="B1433" s="1" t="s">
        <v>9225</v>
      </c>
      <c r="C1433" s="1">
        <v>1990</v>
      </c>
      <c r="J1433" s="3">
        <v>46114.711388888885</v>
      </c>
      <c r="K1433" s="2" t="s">
        <v>9226</v>
      </c>
      <c r="L1433" s="1">
        <v>24</v>
      </c>
      <c r="M1433" s="1">
        <v>24</v>
      </c>
      <c r="N1433" s="1">
        <v>0</v>
      </c>
      <c r="O1433" s="3">
        <v>46233.65914210648</v>
      </c>
    </row>
    <row r="1434" spans="1:15" ht="75" x14ac:dyDescent="0.25">
      <c r="A1434" s="5" t="s">
        <v>4466</v>
      </c>
      <c r="B1434" s="1" t="s">
        <v>9227</v>
      </c>
      <c r="C1434" s="1" t="s">
        <v>12</v>
      </c>
      <c r="G1434" s="1" t="s">
        <v>10</v>
      </c>
      <c r="J1434" s="3">
        <v>46136.446886574071</v>
      </c>
      <c r="K1434" s="2" t="s">
        <v>9228</v>
      </c>
      <c r="L1434" s="1">
        <v>2</v>
      </c>
      <c r="M1434" s="1">
        <v>2</v>
      </c>
      <c r="N1434" s="1">
        <v>0</v>
      </c>
      <c r="O1434" s="3">
        <v>46233.65914210648</v>
      </c>
    </row>
    <row r="1435" spans="1:15" ht="45" x14ac:dyDescent="0.25">
      <c r="A1435" s="5" t="s">
        <v>4469</v>
      </c>
      <c r="B1435" s="1" t="s">
        <v>9229</v>
      </c>
      <c r="C1435" s="1">
        <v>1939</v>
      </c>
      <c r="G1435" s="1" t="s">
        <v>10</v>
      </c>
      <c r="J1435" s="3">
        <v>46135.546400462961</v>
      </c>
      <c r="K1435" s="2" t="s">
        <v>9230</v>
      </c>
      <c r="L1435" s="1">
        <v>1</v>
      </c>
      <c r="M1435" s="1">
        <v>1</v>
      </c>
      <c r="N1435" s="1">
        <v>0</v>
      </c>
      <c r="O1435" s="3">
        <v>46233.65914210648</v>
      </c>
    </row>
    <row r="1436" spans="1:15" x14ac:dyDescent="0.25">
      <c r="A1436" s="5" t="s">
        <v>4472</v>
      </c>
      <c r="B1436" s="1" t="s">
        <v>9231</v>
      </c>
      <c r="C1436" s="1">
        <v>1955</v>
      </c>
      <c r="G1436" s="1" t="s">
        <v>10</v>
      </c>
      <c r="J1436" s="3">
        <v>46113.42328703704</v>
      </c>
      <c r="K1436" s="2" t="s">
        <v>9232</v>
      </c>
      <c r="L1436" s="1">
        <v>1</v>
      </c>
      <c r="M1436" s="1">
        <v>1</v>
      </c>
      <c r="N1436" s="1">
        <v>0</v>
      </c>
      <c r="O1436" s="3">
        <v>46233.65914210648</v>
      </c>
    </row>
    <row r="1437" spans="1:15" ht="120" x14ac:dyDescent="0.25">
      <c r="A1437" s="5" t="s">
        <v>4475</v>
      </c>
      <c r="B1437" s="1" t="s">
        <v>9233</v>
      </c>
      <c r="C1437" s="1">
        <v>2006</v>
      </c>
      <c r="E1437" s="1">
        <v>2010</v>
      </c>
      <c r="J1437" s="3">
        <v>46126.540219907409</v>
      </c>
      <c r="K1437" s="2" t="s">
        <v>9234</v>
      </c>
      <c r="L1437" s="1">
        <v>18</v>
      </c>
      <c r="M1437" s="1">
        <v>26</v>
      </c>
      <c r="N1437" s="1">
        <v>8</v>
      </c>
      <c r="O1437" s="3">
        <v>46233.65914210648</v>
      </c>
    </row>
    <row r="1438" spans="1:15" ht="180" x14ac:dyDescent="0.25">
      <c r="A1438" s="5" t="s">
        <v>4478</v>
      </c>
      <c r="B1438" s="1" t="s">
        <v>9235</v>
      </c>
      <c r="C1438" s="1">
        <v>1970</v>
      </c>
      <c r="G1438" s="1" t="s">
        <v>10</v>
      </c>
      <c r="J1438" s="3">
        <v>46125.395995370367</v>
      </c>
      <c r="K1438" s="2" t="s">
        <v>9236</v>
      </c>
      <c r="L1438" s="1">
        <v>4</v>
      </c>
      <c r="M1438" s="1">
        <v>8</v>
      </c>
      <c r="N1438" s="1">
        <v>4</v>
      </c>
      <c r="O1438" s="3">
        <v>46233.65914210648</v>
      </c>
    </row>
    <row r="1439" spans="1:15" x14ac:dyDescent="0.25">
      <c r="A1439" s="5" t="s">
        <v>4481</v>
      </c>
      <c r="B1439" s="1" t="s">
        <v>9237</v>
      </c>
      <c r="C1439" s="1">
        <v>2023</v>
      </c>
      <c r="J1439" s="3">
        <v>46034.460081018522</v>
      </c>
      <c r="L1439" s="1">
        <v>1</v>
      </c>
      <c r="M1439" s="1">
        <v>1</v>
      </c>
      <c r="N1439" s="1">
        <v>0</v>
      </c>
      <c r="O1439" s="3">
        <v>46233.65914210648</v>
      </c>
    </row>
    <row r="1440" spans="1:15" x14ac:dyDescent="0.25">
      <c r="A1440" s="5" t="s">
        <v>4484</v>
      </c>
      <c r="B1440" s="1" t="s">
        <v>9238</v>
      </c>
      <c r="C1440" s="1">
        <v>1898</v>
      </c>
      <c r="D1440" s="1" t="s">
        <v>14</v>
      </c>
      <c r="E1440" s="1">
        <v>1988</v>
      </c>
      <c r="F1440" s="1" t="s">
        <v>14</v>
      </c>
      <c r="G1440" s="1" t="s">
        <v>10</v>
      </c>
      <c r="J1440" s="3">
        <v>46138.435532407406</v>
      </c>
      <c r="K1440" s="2" t="s">
        <v>6916</v>
      </c>
      <c r="L1440" s="1">
        <v>400</v>
      </c>
      <c r="M1440" s="1">
        <v>596</v>
      </c>
      <c r="N1440" s="1">
        <v>196</v>
      </c>
      <c r="O1440" s="3">
        <v>46233.65914210648</v>
      </c>
    </row>
    <row r="1441" spans="1:15" ht="60" x14ac:dyDescent="0.25">
      <c r="A1441" s="5" t="s">
        <v>4487</v>
      </c>
      <c r="B1441" s="1" t="s">
        <v>9239</v>
      </c>
      <c r="C1441" s="1" t="s">
        <v>12</v>
      </c>
      <c r="G1441" s="1" t="s">
        <v>11</v>
      </c>
      <c r="J1441" s="3">
        <v>46136.655833333331</v>
      </c>
      <c r="K1441" s="2" t="s">
        <v>9240</v>
      </c>
      <c r="L1441" s="1">
        <v>2</v>
      </c>
      <c r="M1441" s="1">
        <v>2</v>
      </c>
      <c r="N1441" s="1">
        <v>0</v>
      </c>
      <c r="O1441" s="3">
        <v>46233.65914210648</v>
      </c>
    </row>
    <row r="1442" spans="1:15" x14ac:dyDescent="0.25">
      <c r="A1442" s="5" t="s">
        <v>4490</v>
      </c>
      <c r="B1442" s="1" t="s">
        <v>9241</v>
      </c>
      <c r="C1442" s="1">
        <v>1931</v>
      </c>
      <c r="E1442" s="1">
        <v>2025</v>
      </c>
      <c r="J1442" s="3">
        <v>46035.446666666663</v>
      </c>
      <c r="L1442" s="1">
        <v>5</v>
      </c>
      <c r="M1442" s="1">
        <v>7</v>
      </c>
      <c r="N1442" s="1">
        <v>2</v>
      </c>
      <c r="O1442" s="3">
        <v>46233.65914210648</v>
      </c>
    </row>
    <row r="1443" spans="1:15" ht="75" x14ac:dyDescent="0.25">
      <c r="A1443" s="5" t="s">
        <v>4493</v>
      </c>
      <c r="B1443" s="1" t="s">
        <v>9242</v>
      </c>
      <c r="C1443" s="1">
        <v>1859</v>
      </c>
      <c r="D1443" s="1" t="s">
        <v>8451</v>
      </c>
      <c r="E1443" s="1">
        <v>1927</v>
      </c>
      <c r="F1443" s="1" t="s">
        <v>8451</v>
      </c>
      <c r="G1443" s="1" t="s">
        <v>10</v>
      </c>
      <c r="J1443" s="3">
        <v>46128.659699074073</v>
      </c>
      <c r="K1443" s="2" t="s">
        <v>9243</v>
      </c>
      <c r="L1443" s="1">
        <v>1</v>
      </c>
      <c r="M1443" s="1">
        <v>1</v>
      </c>
      <c r="N1443" s="1">
        <v>0</v>
      </c>
      <c r="O1443" s="3">
        <v>46233.65914210648</v>
      </c>
    </row>
    <row r="1444" spans="1:15" ht="150" x14ac:dyDescent="0.25">
      <c r="A1444" s="5" t="s">
        <v>4496</v>
      </c>
      <c r="B1444" s="1" t="s">
        <v>9244</v>
      </c>
      <c r="C1444" s="1">
        <v>2006</v>
      </c>
      <c r="E1444" s="1">
        <v>2012</v>
      </c>
      <c r="J1444" s="3">
        <v>46148.738275462965</v>
      </c>
      <c r="K1444" s="2" t="s">
        <v>9245</v>
      </c>
      <c r="L1444" s="1">
        <v>9</v>
      </c>
      <c r="M1444" s="1">
        <v>12</v>
      </c>
      <c r="N1444" s="1">
        <v>3</v>
      </c>
      <c r="O1444" s="3">
        <v>46233.65914210648</v>
      </c>
    </row>
    <row r="1445" spans="1:15" ht="60" x14ac:dyDescent="0.25">
      <c r="A1445" s="5" t="s">
        <v>4499</v>
      </c>
      <c r="B1445" s="1" t="s">
        <v>9246</v>
      </c>
      <c r="C1445" s="1" t="s">
        <v>12</v>
      </c>
      <c r="G1445" s="1" t="s">
        <v>10</v>
      </c>
      <c r="J1445" s="3">
        <v>46111.63652777778</v>
      </c>
      <c r="K1445" s="2" t="s">
        <v>9247</v>
      </c>
      <c r="L1445" s="1">
        <v>1</v>
      </c>
      <c r="M1445" s="1">
        <v>1</v>
      </c>
      <c r="N1445" s="1">
        <v>0</v>
      </c>
      <c r="O1445" s="3">
        <v>46233.65914210648</v>
      </c>
    </row>
    <row r="1446" spans="1:15" x14ac:dyDescent="0.25">
      <c r="A1446" s="5" t="s">
        <v>4502</v>
      </c>
      <c r="B1446" s="1" t="s">
        <v>9248</v>
      </c>
      <c r="C1446" s="1" t="s">
        <v>12</v>
      </c>
      <c r="G1446" s="1" t="s">
        <v>11</v>
      </c>
      <c r="J1446" s="3">
        <v>46136.668842592589</v>
      </c>
      <c r="K1446" s="2" t="s">
        <v>150</v>
      </c>
      <c r="L1446" s="1">
        <v>20</v>
      </c>
      <c r="M1446" s="1">
        <v>20</v>
      </c>
      <c r="N1446" s="1">
        <v>0</v>
      </c>
      <c r="O1446" s="3">
        <v>46233.65914210648</v>
      </c>
    </row>
    <row r="1447" spans="1:15" ht="30" x14ac:dyDescent="0.25">
      <c r="A1447" s="5" t="s">
        <v>4505</v>
      </c>
      <c r="B1447" s="1" t="s">
        <v>9249</v>
      </c>
      <c r="C1447" s="1" t="s">
        <v>12</v>
      </c>
      <c r="G1447" s="1" t="s">
        <v>10</v>
      </c>
      <c r="J1447" s="3">
        <v>46111.699942129628</v>
      </c>
      <c r="K1447" s="2" t="s">
        <v>9250</v>
      </c>
      <c r="L1447" s="1">
        <v>1</v>
      </c>
      <c r="M1447" s="1">
        <v>1</v>
      </c>
      <c r="N1447" s="1">
        <v>0</v>
      </c>
      <c r="O1447" s="3">
        <v>46233.65914210648</v>
      </c>
    </row>
    <row r="1448" spans="1:15" ht="150" x14ac:dyDescent="0.25">
      <c r="A1448" s="5" t="s">
        <v>4508</v>
      </c>
      <c r="B1448" s="1" t="s">
        <v>9251</v>
      </c>
      <c r="C1448" s="1">
        <v>2021</v>
      </c>
      <c r="J1448" s="3">
        <v>46147.60496527778</v>
      </c>
      <c r="K1448" s="2" t="s">
        <v>9224</v>
      </c>
      <c r="L1448" s="1">
        <v>0</v>
      </c>
      <c r="M1448" s="1">
        <v>0</v>
      </c>
      <c r="N1448" s="1">
        <v>0</v>
      </c>
      <c r="O1448" s="3">
        <v>46233.65914210648</v>
      </c>
    </row>
    <row r="1449" spans="1:15" ht="30" x14ac:dyDescent="0.25">
      <c r="A1449" s="5" t="s">
        <v>4511</v>
      </c>
      <c r="B1449" s="1" t="s">
        <v>9252</v>
      </c>
      <c r="C1449" s="1" t="s">
        <v>12</v>
      </c>
      <c r="G1449" s="1" t="s">
        <v>10</v>
      </c>
      <c r="J1449" s="3">
        <v>46112.579421296294</v>
      </c>
      <c r="K1449" s="2" t="s">
        <v>9253</v>
      </c>
      <c r="L1449" s="1">
        <v>1</v>
      </c>
      <c r="M1449" s="1">
        <v>1</v>
      </c>
      <c r="N1449" s="1">
        <v>0</v>
      </c>
      <c r="O1449" s="3">
        <v>46233.65914210648</v>
      </c>
    </row>
    <row r="1450" spans="1:15" ht="60" x14ac:dyDescent="0.25">
      <c r="A1450" s="5" t="s">
        <v>4514</v>
      </c>
      <c r="B1450" s="1" t="s">
        <v>9254</v>
      </c>
      <c r="C1450" s="1">
        <v>1926</v>
      </c>
      <c r="D1450" s="1" t="s">
        <v>8920</v>
      </c>
      <c r="E1450" s="1">
        <v>2019</v>
      </c>
      <c r="F1450" s="1" t="s">
        <v>14</v>
      </c>
      <c r="G1450" s="1" t="s">
        <v>10</v>
      </c>
      <c r="H1450" s="2" t="s">
        <v>8458</v>
      </c>
      <c r="J1450" s="3">
        <v>46138.457731481481</v>
      </c>
      <c r="K1450" s="2" t="s">
        <v>9255</v>
      </c>
      <c r="L1450" s="1">
        <v>27</v>
      </c>
      <c r="M1450" s="1">
        <v>34</v>
      </c>
      <c r="N1450" s="1">
        <v>7</v>
      </c>
      <c r="O1450" s="3">
        <v>46233.65914210648</v>
      </c>
    </row>
    <row r="1451" spans="1:15" x14ac:dyDescent="0.25">
      <c r="A1451" s="5" t="s">
        <v>4517</v>
      </c>
      <c r="B1451" s="1" t="s">
        <v>9256</v>
      </c>
      <c r="C1451" s="1">
        <v>1892</v>
      </c>
      <c r="D1451" s="1" t="s">
        <v>14</v>
      </c>
      <c r="E1451" s="1">
        <v>1984</v>
      </c>
      <c r="F1451" s="1" t="s">
        <v>14</v>
      </c>
      <c r="G1451" s="1" t="s">
        <v>11</v>
      </c>
      <c r="J1451" s="3">
        <v>46129.616759259261</v>
      </c>
      <c r="K1451" s="2" t="s">
        <v>9257</v>
      </c>
      <c r="L1451" s="1">
        <v>13</v>
      </c>
      <c r="M1451" s="1">
        <v>14</v>
      </c>
      <c r="N1451" s="1">
        <v>1</v>
      </c>
      <c r="O1451" s="3">
        <v>46233.65914210648</v>
      </c>
    </row>
    <row r="1452" spans="1:15" x14ac:dyDescent="0.25">
      <c r="A1452" s="5" t="s">
        <v>4520</v>
      </c>
      <c r="B1452" s="1" t="s">
        <v>9258</v>
      </c>
      <c r="C1452" s="1">
        <v>1776</v>
      </c>
      <c r="J1452" s="3">
        <v>46037.75105324074</v>
      </c>
      <c r="L1452" s="1">
        <v>38</v>
      </c>
      <c r="M1452" s="1">
        <v>46</v>
      </c>
      <c r="N1452" s="1">
        <v>8</v>
      </c>
      <c r="O1452" s="3">
        <v>46233.65914210648</v>
      </c>
    </row>
    <row r="1453" spans="1:15" ht="90" x14ac:dyDescent="0.25">
      <c r="A1453" s="5" t="s">
        <v>4523</v>
      </c>
      <c r="B1453" s="1" t="s">
        <v>9259</v>
      </c>
      <c r="C1453" s="1">
        <v>1927</v>
      </c>
      <c r="D1453" s="1" t="s">
        <v>8301</v>
      </c>
      <c r="E1453" s="1">
        <v>2014</v>
      </c>
      <c r="F1453" s="1" t="s">
        <v>9260</v>
      </c>
      <c r="G1453" s="1" t="s">
        <v>10</v>
      </c>
      <c r="I1453" s="2" t="s">
        <v>8969</v>
      </c>
      <c r="J1453" s="3">
        <v>46138.457812499997</v>
      </c>
      <c r="K1453" s="2" t="s">
        <v>9261</v>
      </c>
      <c r="L1453" s="1">
        <v>1</v>
      </c>
      <c r="M1453" s="1">
        <v>1</v>
      </c>
      <c r="N1453" s="1">
        <v>0</v>
      </c>
      <c r="O1453" s="3">
        <v>46233.65914210648</v>
      </c>
    </row>
    <row r="1454" spans="1:15" ht="45" x14ac:dyDescent="0.25">
      <c r="A1454" s="5" t="s">
        <v>4526</v>
      </c>
      <c r="B1454" s="1" t="s">
        <v>9262</v>
      </c>
      <c r="C1454" s="1">
        <v>1958</v>
      </c>
      <c r="D1454" s="1" t="s">
        <v>14</v>
      </c>
      <c r="G1454" s="1" t="s">
        <v>10</v>
      </c>
      <c r="H1454" s="2" t="s">
        <v>9263</v>
      </c>
      <c r="J1454" s="3">
        <v>46147.645289351851</v>
      </c>
      <c r="K1454" s="2" t="s">
        <v>9264</v>
      </c>
      <c r="L1454" s="1">
        <v>3</v>
      </c>
      <c r="M1454" s="1">
        <v>5</v>
      </c>
      <c r="N1454" s="1">
        <v>2</v>
      </c>
      <c r="O1454" s="3">
        <v>46233.65914210648</v>
      </c>
    </row>
    <row r="1455" spans="1:15" ht="120" x14ac:dyDescent="0.25">
      <c r="A1455" s="5" t="s">
        <v>4529</v>
      </c>
      <c r="B1455" s="1" t="s">
        <v>9265</v>
      </c>
      <c r="C1455" s="1">
        <v>2010</v>
      </c>
      <c r="E1455" s="1">
        <v>2012</v>
      </c>
      <c r="J1455" s="3">
        <v>46126.5002662037</v>
      </c>
      <c r="K1455" s="2" t="s">
        <v>9266</v>
      </c>
      <c r="L1455" s="1">
        <v>6</v>
      </c>
      <c r="M1455" s="1">
        <v>7</v>
      </c>
      <c r="N1455" s="1">
        <v>1</v>
      </c>
      <c r="O1455" s="3">
        <v>46233.65914210648</v>
      </c>
    </row>
    <row r="1456" spans="1:15" ht="75" x14ac:dyDescent="0.25">
      <c r="A1456" s="5" t="s">
        <v>4532</v>
      </c>
      <c r="B1456" s="1" t="s">
        <v>9267</v>
      </c>
      <c r="C1456" s="1">
        <v>1859</v>
      </c>
      <c r="E1456" s="1">
        <v>1938</v>
      </c>
      <c r="G1456" s="1" t="s">
        <v>10</v>
      </c>
      <c r="J1456" s="3">
        <v>46125.718831018516</v>
      </c>
      <c r="K1456" s="2" t="s">
        <v>9268</v>
      </c>
      <c r="L1456" s="1">
        <v>33</v>
      </c>
      <c r="M1456" s="1">
        <v>35</v>
      </c>
      <c r="N1456" s="1">
        <v>2</v>
      </c>
      <c r="O1456" s="3">
        <v>46233.65914210648</v>
      </c>
    </row>
    <row r="1457" spans="1:15" ht="30" x14ac:dyDescent="0.25">
      <c r="A1457" s="5" t="s">
        <v>4535</v>
      </c>
      <c r="B1457" s="1" t="s">
        <v>9269</v>
      </c>
      <c r="C1457" s="1">
        <v>1973</v>
      </c>
      <c r="G1457" s="1" t="s">
        <v>11</v>
      </c>
      <c r="J1457" s="3">
        <v>46149.41747685185</v>
      </c>
      <c r="K1457" s="2" t="s">
        <v>9270</v>
      </c>
      <c r="L1457" s="1">
        <v>7</v>
      </c>
      <c r="M1457" s="1">
        <v>8</v>
      </c>
      <c r="N1457" s="1">
        <v>1</v>
      </c>
      <c r="O1457" s="3">
        <v>46233.65914210648</v>
      </c>
    </row>
    <row r="1458" spans="1:15" x14ac:dyDescent="0.25">
      <c r="A1458" s="5" t="s">
        <v>4538</v>
      </c>
      <c r="B1458" s="1" t="s">
        <v>9271</v>
      </c>
      <c r="C1458" s="1">
        <v>1768</v>
      </c>
      <c r="D1458" s="1" t="s">
        <v>14</v>
      </c>
      <c r="E1458" s="1">
        <v>1842</v>
      </c>
      <c r="F1458" s="1" t="s">
        <v>14</v>
      </c>
      <c r="G1458" s="1" t="s">
        <v>10</v>
      </c>
      <c r="J1458" s="3">
        <v>46129.614641203705</v>
      </c>
      <c r="K1458" s="2" t="s">
        <v>7461</v>
      </c>
      <c r="L1458" s="1">
        <v>3</v>
      </c>
      <c r="M1458" s="1">
        <v>10</v>
      </c>
      <c r="N1458" s="1">
        <v>7</v>
      </c>
      <c r="O1458" s="3">
        <v>46233.65914210648</v>
      </c>
    </row>
    <row r="1459" spans="1:15" ht="105" x14ac:dyDescent="0.25">
      <c r="A1459" s="5" t="s">
        <v>4541</v>
      </c>
      <c r="B1459" s="1" t="s">
        <v>9272</v>
      </c>
      <c r="C1459" s="1">
        <v>1959</v>
      </c>
      <c r="J1459" s="3">
        <v>46124.40215277778</v>
      </c>
      <c r="K1459" s="2" t="s">
        <v>9273</v>
      </c>
      <c r="L1459" s="1">
        <v>96</v>
      </c>
      <c r="M1459" s="1">
        <v>98</v>
      </c>
      <c r="N1459" s="1">
        <v>2</v>
      </c>
      <c r="O1459" s="3">
        <v>46233.65914210648</v>
      </c>
    </row>
    <row r="1460" spans="1:15" x14ac:dyDescent="0.25">
      <c r="A1460" s="5" t="s">
        <v>4544</v>
      </c>
      <c r="B1460" s="1" t="s">
        <v>9274</v>
      </c>
      <c r="C1460" s="1">
        <v>1751</v>
      </c>
      <c r="D1460" s="1" t="s">
        <v>14</v>
      </c>
      <c r="E1460" s="1">
        <v>1819</v>
      </c>
      <c r="F1460" s="1" t="s">
        <v>14</v>
      </c>
      <c r="G1460" s="1" t="s">
        <v>10</v>
      </c>
      <c r="J1460" s="3">
        <v>46131.374490740738</v>
      </c>
      <c r="K1460" s="2" t="s">
        <v>9275</v>
      </c>
      <c r="L1460" s="1">
        <v>67</v>
      </c>
      <c r="M1460" s="1">
        <v>70</v>
      </c>
      <c r="N1460" s="1">
        <v>3</v>
      </c>
      <c r="O1460" s="3">
        <v>46233.65914210648</v>
      </c>
    </row>
    <row r="1461" spans="1:15" ht="210" x14ac:dyDescent="0.25">
      <c r="A1461" s="5" t="s">
        <v>4547</v>
      </c>
      <c r="B1461" s="1" t="s">
        <v>9276</v>
      </c>
      <c r="C1461" s="1" t="s">
        <v>12</v>
      </c>
      <c r="G1461" s="1" t="s">
        <v>10</v>
      </c>
      <c r="J1461" s="3">
        <v>46120.751099537039</v>
      </c>
      <c r="K1461" s="2" t="s">
        <v>9277</v>
      </c>
      <c r="L1461" s="1">
        <v>2</v>
      </c>
      <c r="M1461" s="1">
        <v>2</v>
      </c>
      <c r="N1461" s="1">
        <v>0</v>
      </c>
      <c r="O1461" s="3">
        <v>46233.65914210648</v>
      </c>
    </row>
    <row r="1462" spans="1:15" ht="45" x14ac:dyDescent="0.25">
      <c r="A1462" s="5" t="s">
        <v>4550</v>
      </c>
      <c r="B1462" s="1" t="s">
        <v>9278</v>
      </c>
      <c r="C1462" s="1">
        <v>1900</v>
      </c>
      <c r="D1462" s="1" t="s">
        <v>8301</v>
      </c>
      <c r="E1462" s="1">
        <v>1975</v>
      </c>
      <c r="F1462" s="1" t="s">
        <v>14</v>
      </c>
      <c r="G1462" s="1" t="s">
        <v>10</v>
      </c>
      <c r="J1462" s="3">
        <v>46159.342627314814</v>
      </c>
      <c r="K1462" s="2" t="s">
        <v>9279</v>
      </c>
      <c r="L1462" s="1">
        <v>28</v>
      </c>
      <c r="M1462" s="1">
        <v>32</v>
      </c>
      <c r="N1462" s="1">
        <v>4</v>
      </c>
      <c r="O1462" s="3">
        <v>46233.65914210648</v>
      </c>
    </row>
    <row r="1463" spans="1:15" x14ac:dyDescent="0.25">
      <c r="A1463" s="5" t="s">
        <v>4553</v>
      </c>
      <c r="B1463" s="1" t="s">
        <v>9280</v>
      </c>
      <c r="C1463" s="1">
        <v>1896</v>
      </c>
      <c r="J1463" s="3">
        <v>46038.674131944441</v>
      </c>
      <c r="L1463" s="1">
        <v>204</v>
      </c>
      <c r="M1463" s="1">
        <v>236</v>
      </c>
      <c r="N1463" s="1">
        <v>32</v>
      </c>
      <c r="O1463" s="3">
        <v>46233.65914210648</v>
      </c>
    </row>
    <row r="1464" spans="1:15" ht="150" x14ac:dyDescent="0.25">
      <c r="A1464" s="5" t="s">
        <v>4556</v>
      </c>
      <c r="B1464" s="1" t="s">
        <v>9281</v>
      </c>
      <c r="C1464" s="1" t="s">
        <v>8394</v>
      </c>
      <c r="E1464" s="1">
        <v>1946</v>
      </c>
      <c r="J1464" s="3">
        <v>46164.340104166666</v>
      </c>
      <c r="K1464" s="2" t="s">
        <v>9282</v>
      </c>
      <c r="L1464" s="1">
        <v>1</v>
      </c>
      <c r="M1464" s="1">
        <v>1</v>
      </c>
      <c r="N1464" s="1">
        <v>0</v>
      </c>
      <c r="O1464" s="3">
        <v>46233.65914210648</v>
      </c>
    </row>
    <row r="1465" spans="1:15" ht="60" x14ac:dyDescent="0.25">
      <c r="A1465" s="5" t="s">
        <v>4559</v>
      </c>
      <c r="B1465" s="1" t="s">
        <v>9283</v>
      </c>
      <c r="C1465" s="1">
        <v>2011</v>
      </c>
      <c r="J1465" s="3">
        <v>46125.700659722221</v>
      </c>
      <c r="K1465" s="2" t="s">
        <v>9284</v>
      </c>
      <c r="L1465" s="1">
        <v>1</v>
      </c>
      <c r="M1465" s="1">
        <v>1</v>
      </c>
      <c r="N1465" s="1">
        <v>0</v>
      </c>
      <c r="O1465" s="3">
        <v>46233.65914210648</v>
      </c>
    </row>
    <row r="1466" spans="1:15" ht="120" x14ac:dyDescent="0.25">
      <c r="A1466" s="5" t="s">
        <v>4562</v>
      </c>
      <c r="B1466" s="1" t="s">
        <v>9285</v>
      </c>
      <c r="C1466" s="1">
        <v>1915</v>
      </c>
      <c r="D1466" s="1" t="s">
        <v>9286</v>
      </c>
      <c r="E1466" s="1">
        <v>2004</v>
      </c>
      <c r="F1466" s="1" t="s">
        <v>14</v>
      </c>
      <c r="G1466" s="1" t="s">
        <v>10</v>
      </c>
      <c r="I1466" s="2" t="s">
        <v>140</v>
      </c>
      <c r="J1466" s="3">
        <v>46110.469050925924</v>
      </c>
      <c r="K1466" s="2" t="s">
        <v>9287</v>
      </c>
      <c r="L1466" s="1">
        <v>59</v>
      </c>
      <c r="M1466" s="1">
        <v>69</v>
      </c>
      <c r="N1466" s="1">
        <v>10</v>
      </c>
      <c r="O1466" s="3">
        <v>46233.65914210648</v>
      </c>
    </row>
    <row r="1467" spans="1:15" ht="75" x14ac:dyDescent="0.25">
      <c r="A1467" s="5" t="s">
        <v>4565</v>
      </c>
      <c r="B1467" s="1" t="s">
        <v>9288</v>
      </c>
      <c r="C1467" s="1">
        <v>2023</v>
      </c>
      <c r="J1467" s="3">
        <v>46142.668587962966</v>
      </c>
      <c r="K1467" s="2" t="s">
        <v>9289</v>
      </c>
      <c r="L1467" s="1">
        <v>0</v>
      </c>
      <c r="M1467" s="1">
        <v>0</v>
      </c>
      <c r="N1467" s="1">
        <v>0</v>
      </c>
      <c r="O1467" s="3">
        <v>46233.65914210648</v>
      </c>
    </row>
    <row r="1468" spans="1:15" ht="150" x14ac:dyDescent="0.25">
      <c r="A1468" s="5" t="s">
        <v>4568</v>
      </c>
      <c r="B1468" s="1" t="s">
        <v>9290</v>
      </c>
      <c r="C1468" s="1">
        <v>2014</v>
      </c>
      <c r="E1468" s="1">
        <v>2018</v>
      </c>
      <c r="J1468" s="3">
        <v>46147.582465277781</v>
      </c>
      <c r="K1468" s="2" t="s">
        <v>9291</v>
      </c>
      <c r="L1468" s="1">
        <v>4</v>
      </c>
      <c r="M1468" s="1">
        <v>7</v>
      </c>
      <c r="N1468" s="1">
        <v>3</v>
      </c>
      <c r="O1468" s="3">
        <v>46233.65914210648</v>
      </c>
    </row>
    <row r="1469" spans="1:15" ht="45" x14ac:dyDescent="0.25">
      <c r="A1469" s="5" t="s">
        <v>4571</v>
      </c>
      <c r="B1469" s="1" t="s">
        <v>9292</v>
      </c>
      <c r="C1469" s="1">
        <v>1968</v>
      </c>
      <c r="D1469" s="1" t="s">
        <v>14</v>
      </c>
      <c r="G1469" s="1" t="s">
        <v>10</v>
      </c>
      <c r="J1469" s="3">
        <v>46124.427268518521</v>
      </c>
      <c r="K1469" s="2" t="s">
        <v>9293</v>
      </c>
      <c r="L1469" s="1">
        <v>6</v>
      </c>
      <c r="M1469" s="1">
        <v>13</v>
      </c>
      <c r="N1469" s="1">
        <v>7</v>
      </c>
      <c r="O1469" s="3">
        <v>46233.65914210648</v>
      </c>
    </row>
    <row r="1470" spans="1:15" ht="30" x14ac:dyDescent="0.25">
      <c r="A1470" s="5" t="s">
        <v>4574</v>
      </c>
      <c r="B1470" s="1" t="s">
        <v>9294</v>
      </c>
      <c r="C1470" s="1" t="s">
        <v>12</v>
      </c>
      <c r="G1470" s="1" t="s">
        <v>11</v>
      </c>
      <c r="J1470" s="3">
        <v>46155.634479166663</v>
      </c>
      <c r="K1470" s="2" t="s">
        <v>9295</v>
      </c>
      <c r="L1470" s="1">
        <v>1</v>
      </c>
      <c r="M1470" s="1">
        <v>1</v>
      </c>
      <c r="N1470" s="1">
        <v>0</v>
      </c>
      <c r="O1470" s="3">
        <v>46233.65914210648</v>
      </c>
    </row>
    <row r="1471" spans="1:15" ht="45" x14ac:dyDescent="0.25">
      <c r="A1471" s="5" t="s">
        <v>4577</v>
      </c>
      <c r="B1471" s="1" t="s">
        <v>9296</v>
      </c>
      <c r="C1471" s="1">
        <v>1890</v>
      </c>
      <c r="E1471" s="1">
        <v>1968</v>
      </c>
      <c r="G1471" s="1" t="s">
        <v>10</v>
      </c>
      <c r="J1471" s="3">
        <v>46122.679837962962</v>
      </c>
      <c r="K1471" s="2" t="s">
        <v>9297</v>
      </c>
      <c r="L1471" s="1">
        <v>23</v>
      </c>
      <c r="M1471" s="1">
        <v>23</v>
      </c>
      <c r="N1471" s="1">
        <v>0</v>
      </c>
      <c r="O1471" s="3">
        <v>46233.65914210648</v>
      </c>
    </row>
    <row r="1472" spans="1:15" ht="60" x14ac:dyDescent="0.25">
      <c r="A1472" s="5" t="s">
        <v>4580</v>
      </c>
      <c r="B1472" s="1" t="s">
        <v>9298</v>
      </c>
      <c r="C1472" s="1" t="s">
        <v>12</v>
      </c>
      <c r="G1472" s="1" t="s">
        <v>11</v>
      </c>
      <c r="J1472" s="3">
        <v>46121.57744212963</v>
      </c>
      <c r="K1472" s="2" t="s">
        <v>9299</v>
      </c>
      <c r="L1472" s="1">
        <v>21</v>
      </c>
      <c r="M1472" s="1">
        <v>24</v>
      </c>
      <c r="N1472" s="1">
        <v>3</v>
      </c>
      <c r="O1472" s="3">
        <v>46233.65914210648</v>
      </c>
    </row>
    <row r="1473" spans="1:15" ht="90" x14ac:dyDescent="0.25">
      <c r="A1473" s="5" t="s">
        <v>4583</v>
      </c>
      <c r="B1473" s="1" t="s">
        <v>9300</v>
      </c>
      <c r="C1473" s="1">
        <v>1930</v>
      </c>
      <c r="D1473" s="1" t="s">
        <v>14</v>
      </c>
      <c r="E1473" s="1">
        <v>2020</v>
      </c>
      <c r="F1473" s="1" t="s">
        <v>9301</v>
      </c>
      <c r="G1473" s="1" t="s">
        <v>11</v>
      </c>
      <c r="I1473" s="2" t="s">
        <v>9302</v>
      </c>
      <c r="J1473" s="3">
        <v>46129.79928240741</v>
      </c>
      <c r="K1473" s="2" t="s">
        <v>9303</v>
      </c>
      <c r="L1473" s="1">
        <v>3</v>
      </c>
      <c r="M1473" s="1">
        <v>4</v>
      </c>
      <c r="N1473" s="1">
        <v>1</v>
      </c>
      <c r="O1473" s="3">
        <v>46233.65914210648</v>
      </c>
    </row>
    <row r="1474" spans="1:15" x14ac:dyDescent="0.25">
      <c r="A1474" s="5" t="s">
        <v>4586</v>
      </c>
      <c r="B1474" s="1" t="s">
        <v>9304</v>
      </c>
      <c r="C1474" s="1">
        <v>1966</v>
      </c>
      <c r="D1474" s="1" t="s">
        <v>14</v>
      </c>
      <c r="E1474" s="1">
        <v>2024</v>
      </c>
      <c r="F1474" s="1" t="s">
        <v>14</v>
      </c>
      <c r="G1474" s="1" t="s">
        <v>10</v>
      </c>
      <c r="J1474" s="3">
        <v>46149.415648148148</v>
      </c>
      <c r="K1474" s="2" t="s">
        <v>9305</v>
      </c>
      <c r="L1474" s="1">
        <v>9</v>
      </c>
      <c r="M1474" s="1">
        <v>13</v>
      </c>
      <c r="N1474" s="1">
        <v>4</v>
      </c>
      <c r="O1474" s="3">
        <v>46233.65914210648</v>
      </c>
    </row>
    <row r="1475" spans="1:15" ht="30" x14ac:dyDescent="0.25">
      <c r="A1475" s="5" t="s">
        <v>4589</v>
      </c>
      <c r="B1475" s="1" t="s">
        <v>9306</v>
      </c>
      <c r="C1475" s="1" t="s">
        <v>12</v>
      </c>
      <c r="G1475" s="1" t="s">
        <v>11</v>
      </c>
      <c r="J1475" s="3">
        <v>46155.636979166666</v>
      </c>
      <c r="K1475" s="2" t="s">
        <v>9307</v>
      </c>
      <c r="L1475" s="1">
        <v>1</v>
      </c>
      <c r="M1475" s="1">
        <v>1</v>
      </c>
      <c r="N1475" s="1">
        <v>0</v>
      </c>
      <c r="O1475" s="3">
        <v>46233.65914210648</v>
      </c>
    </row>
    <row r="1476" spans="1:15" ht="75" x14ac:dyDescent="0.25">
      <c r="A1476" s="5" t="s">
        <v>4592</v>
      </c>
      <c r="B1476" s="1" t="s">
        <v>9308</v>
      </c>
      <c r="C1476" s="1">
        <v>1674</v>
      </c>
      <c r="D1476" s="1" t="s">
        <v>14</v>
      </c>
      <c r="E1476" s="1">
        <v>1729</v>
      </c>
      <c r="F1476" s="1" t="s">
        <v>14</v>
      </c>
      <c r="G1476" s="1" t="s">
        <v>10</v>
      </c>
      <c r="H1476" s="2" t="s">
        <v>10497</v>
      </c>
      <c r="I1476" s="2" t="s">
        <v>140</v>
      </c>
      <c r="J1476" s="3">
        <v>46125.435717592591</v>
      </c>
      <c r="K1476" s="2" t="s">
        <v>9309</v>
      </c>
      <c r="L1476" s="1">
        <v>45</v>
      </c>
      <c r="M1476" s="1">
        <v>46</v>
      </c>
      <c r="N1476" s="1">
        <v>1</v>
      </c>
      <c r="O1476" s="3">
        <v>46233.65914210648</v>
      </c>
    </row>
    <row r="1477" spans="1:15" ht="45" x14ac:dyDescent="0.25">
      <c r="A1477" s="5" t="s">
        <v>4595</v>
      </c>
      <c r="B1477" s="1" t="s">
        <v>9310</v>
      </c>
      <c r="E1477" s="1">
        <v>2006</v>
      </c>
      <c r="J1477" s="3">
        <v>46146.76766203704</v>
      </c>
      <c r="K1477" s="2" t="s">
        <v>9311</v>
      </c>
      <c r="L1477" s="1">
        <v>7</v>
      </c>
      <c r="M1477" s="1">
        <v>14</v>
      </c>
      <c r="N1477" s="1">
        <v>7</v>
      </c>
      <c r="O1477" s="3">
        <v>46233.65914210648</v>
      </c>
    </row>
    <row r="1478" spans="1:15" ht="75" x14ac:dyDescent="0.25">
      <c r="A1478" s="5" t="s">
        <v>4598</v>
      </c>
      <c r="B1478" s="1" t="s">
        <v>9312</v>
      </c>
      <c r="C1478" s="1">
        <v>1983</v>
      </c>
      <c r="J1478" s="3">
        <v>46166.36619212963</v>
      </c>
      <c r="K1478" s="2" t="s">
        <v>9313</v>
      </c>
      <c r="L1478" s="1">
        <v>2</v>
      </c>
      <c r="M1478" s="1">
        <v>2</v>
      </c>
      <c r="N1478" s="1">
        <v>0</v>
      </c>
      <c r="O1478" s="3">
        <v>46233.65914210648</v>
      </c>
    </row>
    <row r="1479" spans="1:15" ht="45" x14ac:dyDescent="0.25">
      <c r="A1479" s="5" t="s">
        <v>4601</v>
      </c>
      <c r="B1479" s="1" t="s">
        <v>9314</v>
      </c>
      <c r="C1479" s="1">
        <v>1915</v>
      </c>
      <c r="D1479" s="1" t="s">
        <v>14</v>
      </c>
      <c r="E1479" s="1">
        <v>1994</v>
      </c>
      <c r="F1479" s="1" t="s">
        <v>14</v>
      </c>
      <c r="G1479" s="1" t="s">
        <v>10</v>
      </c>
      <c r="J1479" s="3">
        <v>46138.438321759262</v>
      </c>
      <c r="K1479" s="2" t="s">
        <v>9315</v>
      </c>
      <c r="L1479" s="1">
        <v>5</v>
      </c>
      <c r="M1479" s="1">
        <v>5</v>
      </c>
      <c r="N1479" s="1">
        <v>0</v>
      </c>
      <c r="O1479" s="3">
        <v>46233.65914210648</v>
      </c>
    </row>
    <row r="1480" spans="1:15" ht="30" x14ac:dyDescent="0.25">
      <c r="A1480" s="5" t="s">
        <v>4604</v>
      </c>
      <c r="B1480" s="1" t="s">
        <v>9316</v>
      </c>
      <c r="C1480" s="1">
        <v>1885</v>
      </c>
      <c r="D1480" s="1" t="s">
        <v>14</v>
      </c>
      <c r="E1480" s="1">
        <v>1962</v>
      </c>
      <c r="F1480" s="1" t="s">
        <v>14</v>
      </c>
      <c r="G1480" s="1" t="s">
        <v>10</v>
      </c>
      <c r="J1480" s="3">
        <v>46112.652187500003</v>
      </c>
      <c r="K1480" s="2" t="s">
        <v>9317</v>
      </c>
      <c r="L1480" s="1">
        <v>0</v>
      </c>
      <c r="M1480" s="1">
        <v>0</v>
      </c>
      <c r="N1480" s="1">
        <v>0</v>
      </c>
      <c r="O1480" s="3">
        <v>46233.65914210648</v>
      </c>
    </row>
    <row r="1481" spans="1:15" x14ac:dyDescent="0.25">
      <c r="A1481" s="5" t="s">
        <v>4607</v>
      </c>
      <c r="B1481" s="1" t="s">
        <v>9318</v>
      </c>
      <c r="C1481" s="1">
        <v>1962</v>
      </c>
      <c r="J1481" s="3">
        <v>46044.632465277777</v>
      </c>
      <c r="L1481" s="1">
        <v>5</v>
      </c>
      <c r="M1481" s="1">
        <v>5</v>
      </c>
      <c r="N1481" s="1">
        <v>0</v>
      </c>
      <c r="O1481" s="3">
        <v>46233.65914210648</v>
      </c>
    </row>
    <row r="1482" spans="1:15" ht="180" x14ac:dyDescent="0.25">
      <c r="A1482" s="5" t="s">
        <v>4610</v>
      </c>
      <c r="B1482" s="1" t="s">
        <v>9319</v>
      </c>
      <c r="C1482" s="1">
        <v>1788</v>
      </c>
      <c r="D1482" s="1" t="s">
        <v>14</v>
      </c>
      <c r="E1482" s="1">
        <v>1875</v>
      </c>
      <c r="F1482" s="1" t="s">
        <v>14</v>
      </c>
      <c r="G1482" s="1" t="s">
        <v>11</v>
      </c>
      <c r="J1482" s="3">
        <v>46065.635011574072</v>
      </c>
      <c r="K1482" s="2" t="s">
        <v>9320</v>
      </c>
      <c r="L1482" s="1">
        <v>1</v>
      </c>
      <c r="M1482" s="1">
        <v>1</v>
      </c>
      <c r="N1482" s="1">
        <v>0</v>
      </c>
      <c r="O1482" s="3">
        <v>46233.65914210648</v>
      </c>
    </row>
    <row r="1483" spans="1:15" ht="30" x14ac:dyDescent="0.25">
      <c r="A1483" s="5" t="s">
        <v>4613</v>
      </c>
      <c r="B1483" s="1" t="s">
        <v>9321</v>
      </c>
      <c r="C1483" s="1" t="s">
        <v>12</v>
      </c>
      <c r="E1483" s="1">
        <v>2021</v>
      </c>
      <c r="G1483" s="1" t="s">
        <v>10</v>
      </c>
      <c r="J1483" s="3">
        <v>46111.686909722222</v>
      </c>
      <c r="K1483" s="2" t="s">
        <v>9322</v>
      </c>
      <c r="L1483" s="1">
        <v>2</v>
      </c>
      <c r="M1483" s="1">
        <v>2</v>
      </c>
      <c r="N1483" s="1">
        <v>0</v>
      </c>
      <c r="O1483" s="3">
        <v>46233.65914210648</v>
      </c>
    </row>
    <row r="1484" spans="1:15" ht="75" x14ac:dyDescent="0.25">
      <c r="A1484" s="5" t="s">
        <v>4616</v>
      </c>
      <c r="B1484" s="1" t="s">
        <v>9323</v>
      </c>
      <c r="C1484" s="1">
        <v>1684</v>
      </c>
      <c r="E1484" s="1">
        <v>1741</v>
      </c>
      <c r="G1484" s="1" t="s">
        <v>10</v>
      </c>
      <c r="J1484" s="3">
        <v>46121.593078703707</v>
      </c>
      <c r="K1484" s="2" t="s">
        <v>9326</v>
      </c>
      <c r="L1484" s="1">
        <v>21</v>
      </c>
      <c r="M1484" s="1">
        <v>21</v>
      </c>
      <c r="N1484" s="1">
        <v>0</v>
      </c>
      <c r="O1484" s="3">
        <v>46233.65914210648</v>
      </c>
    </row>
    <row r="1485" spans="1:15" ht="75" x14ac:dyDescent="0.25">
      <c r="A1485" s="5" t="s">
        <v>4619</v>
      </c>
      <c r="B1485" s="1" t="s">
        <v>9327</v>
      </c>
      <c r="C1485" s="1">
        <v>1966</v>
      </c>
      <c r="G1485" s="1" t="s">
        <v>11</v>
      </c>
      <c r="J1485" s="3">
        <v>46146.675844907404</v>
      </c>
      <c r="K1485" s="2" t="s">
        <v>9328</v>
      </c>
      <c r="L1485" s="1">
        <v>30</v>
      </c>
      <c r="M1485" s="1">
        <v>35</v>
      </c>
      <c r="N1485" s="1">
        <v>5</v>
      </c>
      <c r="O1485" s="3">
        <v>46233.65914210648</v>
      </c>
    </row>
    <row r="1486" spans="1:15" ht="90" x14ac:dyDescent="0.25">
      <c r="A1486" s="5" t="s">
        <v>4622</v>
      </c>
      <c r="B1486" s="1" t="s">
        <v>9329</v>
      </c>
      <c r="C1486" s="1">
        <v>2018</v>
      </c>
      <c r="J1486" s="3">
        <v>46148.736238425925</v>
      </c>
      <c r="K1486" s="2" t="s">
        <v>9330</v>
      </c>
      <c r="L1486" s="1">
        <v>13</v>
      </c>
      <c r="M1486" s="1">
        <v>25</v>
      </c>
      <c r="N1486" s="1">
        <v>12</v>
      </c>
      <c r="O1486" s="3">
        <v>46233.65914210648</v>
      </c>
    </row>
    <row r="1487" spans="1:15" x14ac:dyDescent="0.25">
      <c r="A1487" s="5" t="s">
        <v>4625</v>
      </c>
      <c r="B1487" s="1" t="s">
        <v>9331</v>
      </c>
      <c r="C1487" s="1">
        <v>1997</v>
      </c>
      <c r="J1487" s="3">
        <v>46045.394212962965</v>
      </c>
      <c r="L1487" s="1">
        <v>8</v>
      </c>
      <c r="M1487" s="1">
        <v>10</v>
      </c>
      <c r="N1487" s="1">
        <v>2</v>
      </c>
      <c r="O1487" s="3">
        <v>46233.65914210648</v>
      </c>
    </row>
    <row r="1488" spans="1:15" ht="90" x14ac:dyDescent="0.25">
      <c r="A1488" s="5" t="s">
        <v>4628</v>
      </c>
      <c r="B1488" s="1" t="s">
        <v>9332</v>
      </c>
      <c r="C1488" s="1" t="s">
        <v>12</v>
      </c>
      <c r="G1488" s="1" t="s">
        <v>10</v>
      </c>
      <c r="J1488" s="3">
        <v>46111.685879629629</v>
      </c>
      <c r="K1488" s="2" t="s">
        <v>9333</v>
      </c>
      <c r="L1488" s="1">
        <v>2</v>
      </c>
      <c r="M1488" s="1">
        <v>2</v>
      </c>
      <c r="N1488" s="1">
        <v>0</v>
      </c>
      <c r="O1488" s="3">
        <v>46233.65914210648</v>
      </c>
    </row>
    <row r="1489" spans="1:15" ht="30" x14ac:dyDescent="0.25">
      <c r="A1489" s="5" t="s">
        <v>4631</v>
      </c>
      <c r="B1489" s="1" t="s">
        <v>9334</v>
      </c>
      <c r="C1489" s="1" t="s">
        <v>131</v>
      </c>
      <c r="G1489" s="1" t="s">
        <v>11</v>
      </c>
      <c r="J1489" s="3">
        <v>46155.640833333331</v>
      </c>
      <c r="K1489" s="2" t="s">
        <v>9335</v>
      </c>
      <c r="L1489" s="1">
        <v>1</v>
      </c>
      <c r="M1489" s="1">
        <v>1</v>
      </c>
      <c r="N1489" s="1">
        <v>0</v>
      </c>
      <c r="O1489" s="3">
        <v>46233.65914210648</v>
      </c>
    </row>
    <row r="1490" spans="1:15" ht="90" x14ac:dyDescent="0.25">
      <c r="A1490" s="5" t="s">
        <v>4634</v>
      </c>
      <c r="B1490" s="1" t="s">
        <v>9336</v>
      </c>
      <c r="C1490" s="1">
        <v>1963</v>
      </c>
      <c r="G1490" s="1" t="s">
        <v>10</v>
      </c>
      <c r="J1490" s="3">
        <v>46149.427094907405</v>
      </c>
      <c r="K1490" s="2" t="s">
        <v>9337</v>
      </c>
      <c r="L1490" s="1">
        <v>1</v>
      </c>
      <c r="M1490" s="1">
        <v>1</v>
      </c>
      <c r="N1490" s="1">
        <v>0</v>
      </c>
      <c r="O1490" s="3">
        <v>46233.65914210648</v>
      </c>
    </row>
    <row r="1491" spans="1:15" ht="75" x14ac:dyDescent="0.25">
      <c r="A1491" s="5" t="s">
        <v>4637</v>
      </c>
      <c r="B1491" s="1" t="s">
        <v>9338</v>
      </c>
      <c r="C1491" s="1">
        <v>1969</v>
      </c>
      <c r="G1491" s="1" t="s">
        <v>10</v>
      </c>
      <c r="J1491" s="3">
        <v>46110.459143518521</v>
      </c>
      <c r="K1491" s="2" t="s">
        <v>9339</v>
      </c>
      <c r="L1491" s="1">
        <v>29</v>
      </c>
      <c r="M1491" s="1">
        <v>35</v>
      </c>
      <c r="N1491" s="1">
        <v>6</v>
      </c>
      <c r="O1491" s="3">
        <v>46233.65914210648</v>
      </c>
    </row>
    <row r="1492" spans="1:15" ht="150" x14ac:dyDescent="0.25">
      <c r="A1492" s="5" t="s">
        <v>4640</v>
      </c>
      <c r="B1492" s="1" t="s">
        <v>9340</v>
      </c>
      <c r="C1492" s="1">
        <v>1990</v>
      </c>
      <c r="E1492" s="1">
        <v>1993</v>
      </c>
      <c r="J1492" s="3">
        <v>46127.702094907407</v>
      </c>
      <c r="K1492" s="2" t="s">
        <v>9341</v>
      </c>
      <c r="L1492" s="1">
        <v>4</v>
      </c>
      <c r="M1492" s="1">
        <v>5</v>
      </c>
      <c r="N1492" s="1">
        <v>1</v>
      </c>
      <c r="O1492" s="3">
        <v>46233.65914210648</v>
      </c>
    </row>
    <row r="1493" spans="1:15" ht="165" x14ac:dyDescent="0.25">
      <c r="A1493" s="5" t="s">
        <v>4643</v>
      </c>
      <c r="B1493" s="1" t="s">
        <v>9342</v>
      </c>
      <c r="C1493" s="1">
        <v>1994</v>
      </c>
      <c r="E1493" s="1">
        <v>1997</v>
      </c>
      <c r="J1493" s="3">
        <v>46127.703865740739</v>
      </c>
      <c r="K1493" s="2" t="s">
        <v>9343</v>
      </c>
      <c r="L1493" s="1">
        <v>13</v>
      </c>
      <c r="M1493" s="1">
        <v>20</v>
      </c>
      <c r="N1493" s="1">
        <v>7</v>
      </c>
      <c r="O1493" s="3">
        <v>46233.65914210648</v>
      </c>
    </row>
    <row r="1494" spans="1:15" ht="45" x14ac:dyDescent="0.25">
      <c r="A1494" s="5" t="s">
        <v>4646</v>
      </c>
      <c r="B1494" s="1" t="s">
        <v>9344</v>
      </c>
      <c r="C1494" s="1" t="s">
        <v>12</v>
      </c>
      <c r="G1494" s="1" t="s">
        <v>10</v>
      </c>
      <c r="J1494" s="3">
        <v>46122.670497685183</v>
      </c>
      <c r="K1494" s="2" t="s">
        <v>9345</v>
      </c>
      <c r="L1494" s="1">
        <v>25</v>
      </c>
      <c r="M1494" s="1">
        <v>32</v>
      </c>
      <c r="N1494" s="1">
        <v>7</v>
      </c>
      <c r="O1494" s="3">
        <v>46233.65914210648</v>
      </c>
    </row>
    <row r="1495" spans="1:15" ht="60" x14ac:dyDescent="0.25">
      <c r="A1495" s="5" t="s">
        <v>4649</v>
      </c>
      <c r="B1495" s="1" t="s">
        <v>9346</v>
      </c>
      <c r="J1495" s="3">
        <v>46170.388368055559</v>
      </c>
      <c r="K1495" s="2" t="s">
        <v>9347</v>
      </c>
      <c r="L1495" s="1">
        <v>1</v>
      </c>
      <c r="M1495" s="1">
        <v>1</v>
      </c>
      <c r="N1495" s="1">
        <v>0</v>
      </c>
      <c r="O1495" s="3">
        <v>46233.65914210648</v>
      </c>
    </row>
    <row r="1496" spans="1:15" ht="30" x14ac:dyDescent="0.25">
      <c r="A1496" s="5" t="s">
        <v>4652</v>
      </c>
      <c r="B1496" s="1" t="s">
        <v>9348</v>
      </c>
      <c r="C1496" s="1">
        <v>1856</v>
      </c>
      <c r="D1496" s="1" t="s">
        <v>9349</v>
      </c>
      <c r="E1496" s="1">
        <v>1924</v>
      </c>
      <c r="F1496" s="1" t="s">
        <v>8572</v>
      </c>
      <c r="G1496" s="1" t="s">
        <v>10</v>
      </c>
      <c r="J1496" s="3">
        <v>46114.473530092589</v>
      </c>
      <c r="K1496" s="2" t="s">
        <v>9350</v>
      </c>
      <c r="L1496" s="1">
        <v>66</v>
      </c>
      <c r="M1496" s="1">
        <v>78</v>
      </c>
      <c r="N1496" s="1">
        <v>12</v>
      </c>
      <c r="O1496" s="3">
        <v>46233.65914210648</v>
      </c>
    </row>
    <row r="1497" spans="1:15" ht="180" x14ac:dyDescent="0.25">
      <c r="A1497" s="5" t="s">
        <v>4655</v>
      </c>
      <c r="B1497" s="1" t="s">
        <v>9351</v>
      </c>
      <c r="C1497" s="1">
        <v>1598</v>
      </c>
      <c r="D1497" s="1" t="s">
        <v>14</v>
      </c>
      <c r="E1497" s="1">
        <v>1676</v>
      </c>
      <c r="F1497" s="1" t="s">
        <v>14</v>
      </c>
      <c r="G1497" s="1" t="s">
        <v>10</v>
      </c>
      <c r="J1497" s="3">
        <v>46147.484571759262</v>
      </c>
      <c r="K1497" s="2" t="s">
        <v>9354</v>
      </c>
      <c r="L1497" s="1">
        <v>1</v>
      </c>
      <c r="M1497" s="1">
        <v>1</v>
      </c>
      <c r="N1497" s="1">
        <v>0</v>
      </c>
      <c r="O1497" s="3">
        <v>46233.65914210648</v>
      </c>
    </row>
    <row r="1498" spans="1:15" ht="180" x14ac:dyDescent="0.25">
      <c r="A1498" s="5" t="s">
        <v>4658</v>
      </c>
      <c r="B1498" s="1" t="s">
        <v>9355</v>
      </c>
      <c r="C1498" s="1">
        <v>1975</v>
      </c>
      <c r="J1498" s="3">
        <v>46163.577986111108</v>
      </c>
      <c r="K1498" s="2" t="s">
        <v>9356</v>
      </c>
      <c r="L1498" s="1">
        <v>1</v>
      </c>
      <c r="M1498" s="1">
        <v>1</v>
      </c>
      <c r="N1498" s="1">
        <v>0</v>
      </c>
      <c r="O1498" s="3">
        <v>46233.65914210648</v>
      </c>
    </row>
    <row r="1499" spans="1:15" x14ac:dyDescent="0.25">
      <c r="A1499" s="5" t="s">
        <v>4661</v>
      </c>
      <c r="B1499" s="1" t="s">
        <v>9357</v>
      </c>
      <c r="C1499" s="1">
        <v>1836</v>
      </c>
      <c r="D1499" s="1" t="s">
        <v>8572</v>
      </c>
      <c r="E1499" s="1">
        <v>1910</v>
      </c>
      <c r="F1499" s="1" t="s">
        <v>8572</v>
      </c>
      <c r="G1499" s="1" t="s">
        <v>10</v>
      </c>
      <c r="J1499" s="3">
        <v>46098.556967592594</v>
      </c>
      <c r="L1499" s="1">
        <v>52</v>
      </c>
      <c r="M1499" s="1">
        <v>58</v>
      </c>
      <c r="N1499" s="1">
        <v>6</v>
      </c>
      <c r="O1499" s="3">
        <v>46233.65914210648</v>
      </c>
    </row>
    <row r="1500" spans="1:15" ht="30" x14ac:dyDescent="0.25">
      <c r="A1500" s="5" t="s">
        <v>4664</v>
      </c>
      <c r="B1500" s="1" t="s">
        <v>9358</v>
      </c>
      <c r="C1500" s="1">
        <v>1656</v>
      </c>
      <c r="E1500" s="1">
        <v>1720</v>
      </c>
      <c r="G1500" s="1" t="s">
        <v>10</v>
      </c>
      <c r="J1500" s="3">
        <v>46122.734375</v>
      </c>
      <c r="K1500" s="2" t="s">
        <v>9361</v>
      </c>
      <c r="L1500" s="1">
        <v>9</v>
      </c>
      <c r="M1500" s="1">
        <v>9</v>
      </c>
      <c r="N1500" s="1">
        <v>0</v>
      </c>
      <c r="O1500" s="3">
        <v>46233.65914210648</v>
      </c>
    </row>
    <row r="1501" spans="1:15" ht="150" x14ac:dyDescent="0.25">
      <c r="A1501" s="5" t="s">
        <v>4667</v>
      </c>
      <c r="B1501" s="1" t="s">
        <v>9362</v>
      </c>
      <c r="C1501" s="1">
        <v>2012</v>
      </c>
      <c r="E1501" s="1">
        <v>2013</v>
      </c>
      <c r="J1501" s="3">
        <v>46148.732361111113</v>
      </c>
      <c r="K1501" s="2" t="s">
        <v>9363</v>
      </c>
      <c r="L1501" s="1">
        <v>7</v>
      </c>
      <c r="M1501" s="1">
        <v>7</v>
      </c>
      <c r="N1501" s="1">
        <v>0</v>
      </c>
      <c r="O1501" s="3">
        <v>46233.65914210648</v>
      </c>
    </row>
    <row r="1502" spans="1:15" ht="45" x14ac:dyDescent="0.25">
      <c r="A1502" s="5" t="s">
        <v>4670</v>
      </c>
      <c r="B1502" s="1" t="s">
        <v>9364</v>
      </c>
      <c r="C1502" s="1">
        <v>1815</v>
      </c>
      <c r="D1502" s="1" t="s">
        <v>9366</v>
      </c>
      <c r="E1502" s="1">
        <v>1896</v>
      </c>
      <c r="F1502" s="1" t="s">
        <v>6384</v>
      </c>
      <c r="G1502" s="1" t="s">
        <v>10</v>
      </c>
      <c r="H1502" s="2" t="s">
        <v>9367</v>
      </c>
      <c r="J1502" s="3">
        <v>46138.432893518519</v>
      </c>
      <c r="K1502" s="2" t="s">
        <v>9368</v>
      </c>
      <c r="L1502" s="1">
        <v>114</v>
      </c>
      <c r="M1502" s="1">
        <v>115</v>
      </c>
      <c r="N1502" s="1">
        <v>1</v>
      </c>
      <c r="O1502" s="3">
        <v>46233.65914210648</v>
      </c>
    </row>
    <row r="1503" spans="1:15" ht="120" x14ac:dyDescent="0.25">
      <c r="A1503" s="5" t="s">
        <v>4673</v>
      </c>
      <c r="B1503" s="1" t="s">
        <v>9369</v>
      </c>
      <c r="C1503" s="1">
        <v>1964</v>
      </c>
      <c r="G1503" s="1" t="s">
        <v>10</v>
      </c>
      <c r="J1503" s="3">
        <v>46162.554745370369</v>
      </c>
      <c r="K1503" s="2" t="s">
        <v>9370</v>
      </c>
      <c r="L1503" s="1">
        <v>26</v>
      </c>
      <c r="M1503" s="1">
        <v>28</v>
      </c>
      <c r="N1503" s="1">
        <v>2</v>
      </c>
      <c r="O1503" s="3">
        <v>46233.65914210648</v>
      </c>
    </row>
    <row r="1504" spans="1:15" ht="120" x14ac:dyDescent="0.25">
      <c r="A1504" s="5" t="s">
        <v>4676</v>
      </c>
      <c r="B1504" s="1" t="s">
        <v>9371</v>
      </c>
      <c r="C1504" s="1">
        <v>1810</v>
      </c>
      <c r="D1504" s="1" t="s">
        <v>8301</v>
      </c>
      <c r="E1504" s="1">
        <v>1885</v>
      </c>
      <c r="F1504" s="1" t="s">
        <v>14</v>
      </c>
      <c r="H1504" s="2" t="s">
        <v>9373</v>
      </c>
      <c r="I1504" s="2" t="s">
        <v>140</v>
      </c>
      <c r="J1504" s="3">
        <v>46117.430081018516</v>
      </c>
      <c r="K1504" s="2" t="s">
        <v>9374</v>
      </c>
      <c r="L1504" s="1">
        <v>121</v>
      </c>
      <c r="M1504" s="1">
        <v>160</v>
      </c>
      <c r="N1504" s="1">
        <v>39</v>
      </c>
      <c r="O1504" s="3">
        <v>46233.65914210648</v>
      </c>
    </row>
    <row r="1505" spans="1:15" ht="30" x14ac:dyDescent="0.25">
      <c r="A1505" s="5" t="s">
        <v>4679</v>
      </c>
      <c r="B1505" s="1" t="s">
        <v>9375</v>
      </c>
      <c r="C1505" s="1">
        <v>1971</v>
      </c>
      <c r="D1505" s="1" t="s">
        <v>14</v>
      </c>
      <c r="G1505" s="1" t="s">
        <v>10</v>
      </c>
      <c r="J1505" s="3">
        <v>46138.457719907405</v>
      </c>
      <c r="K1505" s="2" t="s">
        <v>9376</v>
      </c>
      <c r="L1505" s="1">
        <v>0</v>
      </c>
      <c r="M1505" s="1">
        <v>19</v>
      </c>
      <c r="N1505" s="1">
        <v>19</v>
      </c>
      <c r="O1505" s="3">
        <v>46233.65914210648</v>
      </c>
    </row>
    <row r="1506" spans="1:15" ht="60" x14ac:dyDescent="0.25">
      <c r="A1506" s="5" t="s">
        <v>4682</v>
      </c>
      <c r="B1506" s="1" t="s">
        <v>9377</v>
      </c>
      <c r="C1506" s="1" t="s">
        <v>12</v>
      </c>
      <c r="G1506" s="1" t="s">
        <v>11</v>
      </c>
      <c r="J1506" s="3">
        <v>46155.619293981479</v>
      </c>
      <c r="K1506" s="2" t="s">
        <v>9378</v>
      </c>
      <c r="L1506" s="1">
        <v>2</v>
      </c>
      <c r="M1506" s="1">
        <v>2</v>
      </c>
      <c r="N1506" s="1">
        <v>0</v>
      </c>
      <c r="O1506" s="3">
        <v>46233.65914210648</v>
      </c>
    </row>
    <row r="1507" spans="1:15" ht="45" x14ac:dyDescent="0.25">
      <c r="A1507" s="5" t="s">
        <v>4685</v>
      </c>
      <c r="B1507" s="1" t="s">
        <v>9379</v>
      </c>
      <c r="C1507" s="1">
        <v>1805</v>
      </c>
      <c r="D1507" s="1" t="s">
        <v>133</v>
      </c>
      <c r="E1507" s="1">
        <v>1872</v>
      </c>
      <c r="F1507" s="1" t="s">
        <v>14</v>
      </c>
      <c r="G1507" s="1" t="s">
        <v>10</v>
      </c>
      <c r="H1507" s="2" t="s">
        <v>9380</v>
      </c>
      <c r="J1507" s="3">
        <v>46141.799143518518</v>
      </c>
      <c r="K1507" s="2" t="s">
        <v>9381</v>
      </c>
      <c r="L1507" s="1">
        <v>2</v>
      </c>
      <c r="M1507" s="1">
        <v>2</v>
      </c>
      <c r="N1507" s="1">
        <v>0</v>
      </c>
      <c r="O1507" s="3">
        <v>46233.65914210648</v>
      </c>
    </row>
    <row r="1508" spans="1:15" ht="135" x14ac:dyDescent="0.25">
      <c r="A1508" s="5" t="s">
        <v>4688</v>
      </c>
      <c r="B1508" s="1" t="s">
        <v>9382</v>
      </c>
      <c r="C1508" s="1" t="s">
        <v>6542</v>
      </c>
      <c r="G1508" s="1" t="s">
        <v>10</v>
      </c>
      <c r="J1508" s="3">
        <v>46111.389664351853</v>
      </c>
      <c r="K1508" s="2" t="s">
        <v>9383</v>
      </c>
      <c r="L1508" s="1">
        <v>23</v>
      </c>
      <c r="M1508" s="1">
        <v>45</v>
      </c>
      <c r="N1508" s="1">
        <v>22</v>
      </c>
      <c r="O1508" s="3">
        <v>46233.65914210648</v>
      </c>
    </row>
    <row r="1509" spans="1:15" ht="75" x14ac:dyDescent="0.25">
      <c r="A1509" s="5" t="s">
        <v>4691</v>
      </c>
      <c r="B1509" s="1" t="s">
        <v>9384</v>
      </c>
      <c r="J1509" s="3">
        <v>46114.61005787037</v>
      </c>
      <c r="K1509" s="2" t="s">
        <v>9385</v>
      </c>
      <c r="L1509" s="1">
        <v>1</v>
      </c>
      <c r="M1509" s="1">
        <v>1</v>
      </c>
      <c r="N1509" s="1">
        <v>0</v>
      </c>
      <c r="O1509" s="3">
        <v>46233.65914210648</v>
      </c>
    </row>
    <row r="1510" spans="1:15" ht="75" x14ac:dyDescent="0.25">
      <c r="A1510" s="5" t="s">
        <v>4694</v>
      </c>
      <c r="B1510" s="1" t="s">
        <v>9386</v>
      </c>
      <c r="C1510" s="1">
        <v>2012</v>
      </c>
      <c r="J1510" s="3">
        <v>46106.559236111112</v>
      </c>
      <c r="K1510" s="2" t="s">
        <v>9387</v>
      </c>
      <c r="L1510" s="1">
        <v>2</v>
      </c>
      <c r="M1510" s="1">
        <v>2</v>
      </c>
      <c r="N1510" s="1">
        <v>0</v>
      </c>
      <c r="O1510" s="3">
        <v>46233.65914210648</v>
      </c>
    </row>
    <row r="1511" spans="1:15" ht="75" x14ac:dyDescent="0.25">
      <c r="A1511" s="5" t="s">
        <v>4697</v>
      </c>
      <c r="B1511" s="1" t="s">
        <v>9388</v>
      </c>
      <c r="C1511" s="1">
        <v>1937</v>
      </c>
      <c r="G1511" s="1" t="s">
        <v>11</v>
      </c>
      <c r="J1511" s="3">
        <v>46110.363495370373</v>
      </c>
      <c r="K1511" s="2" t="s">
        <v>9389</v>
      </c>
      <c r="L1511" s="1">
        <v>12</v>
      </c>
      <c r="M1511" s="1">
        <v>31</v>
      </c>
      <c r="N1511" s="1">
        <v>19</v>
      </c>
      <c r="O1511" s="3">
        <v>46233.65914210648</v>
      </c>
    </row>
    <row r="1512" spans="1:15" ht="105" x14ac:dyDescent="0.25">
      <c r="A1512" s="5" t="s">
        <v>4700</v>
      </c>
      <c r="B1512" s="1" t="s">
        <v>9390</v>
      </c>
      <c r="C1512" s="1">
        <v>1993</v>
      </c>
      <c r="E1512" s="1">
        <v>2001</v>
      </c>
      <c r="J1512" s="3">
        <v>46142.385659722226</v>
      </c>
      <c r="K1512" s="2" t="s">
        <v>9391</v>
      </c>
      <c r="L1512" s="1">
        <v>8</v>
      </c>
      <c r="M1512" s="1">
        <v>9</v>
      </c>
      <c r="N1512" s="1">
        <v>1</v>
      </c>
      <c r="O1512" s="3">
        <v>46233.65914210648</v>
      </c>
    </row>
    <row r="1513" spans="1:15" x14ac:dyDescent="0.25">
      <c r="A1513" s="5" t="s">
        <v>4703</v>
      </c>
      <c r="B1513" s="1" t="s">
        <v>9392</v>
      </c>
      <c r="C1513" s="1">
        <v>1907</v>
      </c>
      <c r="E1513" s="1">
        <v>1987</v>
      </c>
      <c r="G1513" s="1" t="s">
        <v>11</v>
      </c>
      <c r="J1513" s="3">
        <v>46124.442453703705</v>
      </c>
      <c r="K1513" s="2" t="s">
        <v>6650</v>
      </c>
      <c r="L1513" s="1">
        <v>37</v>
      </c>
      <c r="M1513" s="1">
        <v>37</v>
      </c>
      <c r="N1513" s="1">
        <v>0</v>
      </c>
      <c r="O1513" s="3">
        <v>46233.65914210648</v>
      </c>
    </row>
    <row r="1514" spans="1:15" ht="45" x14ac:dyDescent="0.25">
      <c r="A1514" s="5" t="s">
        <v>4706</v>
      </c>
      <c r="B1514" s="1" t="s">
        <v>9393</v>
      </c>
      <c r="C1514" s="1">
        <v>1826</v>
      </c>
      <c r="D1514" s="1" t="s">
        <v>9394</v>
      </c>
      <c r="E1514" s="1">
        <v>1879</v>
      </c>
      <c r="F1514" s="1" t="s">
        <v>9395</v>
      </c>
      <c r="G1514" s="1" t="s">
        <v>10</v>
      </c>
      <c r="J1514" s="3">
        <v>46129.615254629629</v>
      </c>
      <c r="K1514" s="2" t="s">
        <v>9396</v>
      </c>
      <c r="L1514" s="1">
        <v>12</v>
      </c>
      <c r="M1514" s="1">
        <v>15</v>
      </c>
      <c r="N1514" s="1">
        <v>3</v>
      </c>
      <c r="O1514" s="3">
        <v>46233.65914210648</v>
      </c>
    </row>
    <row r="1515" spans="1:15" ht="165" x14ac:dyDescent="0.25">
      <c r="A1515" s="5" t="s">
        <v>4709</v>
      </c>
      <c r="B1515" s="1" t="s">
        <v>9397</v>
      </c>
      <c r="C1515" s="1">
        <v>2012</v>
      </c>
      <c r="E1515" s="1">
        <v>2013</v>
      </c>
      <c r="J1515" s="3">
        <v>46126.515625</v>
      </c>
      <c r="K1515" s="2" t="s">
        <v>9398</v>
      </c>
      <c r="L1515" s="1">
        <v>9</v>
      </c>
      <c r="M1515" s="1">
        <v>9</v>
      </c>
      <c r="N1515" s="1">
        <v>0</v>
      </c>
      <c r="O1515" s="3">
        <v>46233.65914210648</v>
      </c>
    </row>
    <row r="1516" spans="1:15" ht="210" x14ac:dyDescent="0.25">
      <c r="A1516" s="5" t="s">
        <v>4712</v>
      </c>
      <c r="B1516" s="1" t="s">
        <v>9399</v>
      </c>
      <c r="C1516" s="1">
        <v>2014</v>
      </c>
      <c r="E1516" s="1">
        <v>2015</v>
      </c>
      <c r="J1516" s="3">
        <v>46147.559108796297</v>
      </c>
      <c r="K1516" s="2" t="s">
        <v>9400</v>
      </c>
      <c r="L1516" s="1">
        <v>0</v>
      </c>
      <c r="M1516" s="1">
        <v>0</v>
      </c>
      <c r="N1516" s="1">
        <v>0</v>
      </c>
      <c r="O1516" s="3">
        <v>46233.65914210648</v>
      </c>
    </row>
    <row r="1517" spans="1:15" ht="90" x14ac:dyDescent="0.25">
      <c r="A1517" s="5" t="s">
        <v>4715</v>
      </c>
      <c r="B1517" s="1" t="s">
        <v>9401</v>
      </c>
      <c r="C1517" s="1">
        <v>2018</v>
      </c>
      <c r="J1517" s="3">
        <v>46148.745763888888</v>
      </c>
      <c r="K1517" s="2" t="s">
        <v>9402</v>
      </c>
      <c r="L1517" s="1">
        <v>9</v>
      </c>
      <c r="M1517" s="1">
        <v>10</v>
      </c>
      <c r="N1517" s="1">
        <v>1</v>
      </c>
      <c r="O1517" s="3">
        <v>46233.65914210648</v>
      </c>
    </row>
    <row r="1518" spans="1:15" ht="45" x14ac:dyDescent="0.25">
      <c r="A1518" s="5" t="s">
        <v>4718</v>
      </c>
      <c r="B1518" s="1" t="s">
        <v>9403</v>
      </c>
      <c r="C1518" s="1">
        <v>1956</v>
      </c>
      <c r="D1518" s="1" t="s">
        <v>9404</v>
      </c>
      <c r="G1518" s="1" t="s">
        <v>10</v>
      </c>
      <c r="J1518" s="3">
        <v>46152.370381944442</v>
      </c>
      <c r="K1518" s="2" t="s">
        <v>9405</v>
      </c>
      <c r="L1518" s="1">
        <v>26</v>
      </c>
      <c r="M1518" s="1">
        <v>29</v>
      </c>
      <c r="N1518" s="1">
        <v>3</v>
      </c>
      <c r="O1518" s="3">
        <v>46233.65914210648</v>
      </c>
    </row>
    <row r="1519" spans="1:15" ht="30" x14ac:dyDescent="0.25">
      <c r="A1519" s="5" t="s">
        <v>4721</v>
      </c>
      <c r="B1519" s="1" t="s">
        <v>9406</v>
      </c>
      <c r="C1519" s="1">
        <v>1984</v>
      </c>
      <c r="D1519" s="1" t="s">
        <v>14</v>
      </c>
      <c r="G1519" s="1" t="s">
        <v>10</v>
      </c>
      <c r="J1519" s="3">
        <v>46138.439895833333</v>
      </c>
      <c r="K1519" s="2" t="s">
        <v>9407</v>
      </c>
      <c r="L1519" s="1">
        <v>0</v>
      </c>
      <c r="M1519" s="1">
        <v>12</v>
      </c>
      <c r="N1519" s="1">
        <v>12</v>
      </c>
      <c r="O1519" s="3">
        <v>46233.65914210648</v>
      </c>
    </row>
    <row r="1520" spans="1:15" ht="60" x14ac:dyDescent="0.25">
      <c r="A1520" s="5" t="s">
        <v>4724</v>
      </c>
      <c r="B1520" s="1" t="s">
        <v>9408</v>
      </c>
      <c r="C1520" s="1" t="s">
        <v>12</v>
      </c>
      <c r="G1520" s="1" t="s">
        <v>10</v>
      </c>
      <c r="J1520" s="3">
        <v>46111.634027777778</v>
      </c>
      <c r="K1520" s="2" t="s">
        <v>9409</v>
      </c>
      <c r="L1520" s="1">
        <v>1</v>
      </c>
      <c r="M1520" s="1">
        <v>1</v>
      </c>
      <c r="N1520" s="1">
        <v>0</v>
      </c>
      <c r="O1520" s="3">
        <v>46233.65914210648</v>
      </c>
    </row>
    <row r="1521" spans="1:15" ht="45" x14ac:dyDescent="0.25">
      <c r="A1521" s="5" t="s">
        <v>4727</v>
      </c>
      <c r="B1521" s="1" t="s">
        <v>9410</v>
      </c>
      <c r="C1521" s="1">
        <v>1941</v>
      </c>
      <c r="E1521" s="1">
        <v>2024</v>
      </c>
      <c r="G1521" s="1" t="s">
        <v>10</v>
      </c>
      <c r="J1521" s="3">
        <v>46112.586365740739</v>
      </c>
      <c r="K1521" s="2" t="s">
        <v>9411</v>
      </c>
      <c r="L1521" s="1">
        <v>2</v>
      </c>
      <c r="M1521" s="1">
        <v>2</v>
      </c>
      <c r="N1521" s="1">
        <v>0</v>
      </c>
      <c r="O1521" s="3">
        <v>46233.65914210648</v>
      </c>
    </row>
    <row r="1522" spans="1:15" x14ac:dyDescent="0.25">
      <c r="A1522" s="5" t="s">
        <v>4730</v>
      </c>
      <c r="B1522" s="1" t="s">
        <v>9412</v>
      </c>
      <c r="C1522" s="1">
        <v>2006</v>
      </c>
      <c r="J1522" s="3">
        <v>46052.749166666668</v>
      </c>
      <c r="L1522" s="1">
        <v>260</v>
      </c>
      <c r="M1522" s="1">
        <v>349</v>
      </c>
      <c r="N1522" s="1">
        <v>89</v>
      </c>
      <c r="O1522" s="3">
        <v>46233.65914210648</v>
      </c>
    </row>
    <row r="1523" spans="1:15" ht="45" x14ac:dyDescent="0.25">
      <c r="A1523" s="5" t="s">
        <v>4733</v>
      </c>
      <c r="B1523" s="1" t="s">
        <v>9413</v>
      </c>
      <c r="C1523" s="1">
        <v>1987</v>
      </c>
      <c r="G1523" s="1" t="s">
        <v>11</v>
      </c>
      <c r="J1523" s="3">
        <v>46136.499675925923</v>
      </c>
      <c r="K1523" s="2" t="s">
        <v>9414</v>
      </c>
      <c r="L1523" s="1">
        <v>1</v>
      </c>
      <c r="M1523" s="1">
        <v>1</v>
      </c>
      <c r="N1523" s="1">
        <v>0</v>
      </c>
      <c r="O1523" s="3">
        <v>46233.65914210648</v>
      </c>
    </row>
    <row r="1524" spans="1:15" ht="120" x14ac:dyDescent="0.25">
      <c r="A1524" s="5" t="s">
        <v>4736</v>
      </c>
      <c r="B1524" s="1" t="s">
        <v>9415</v>
      </c>
      <c r="C1524" s="1">
        <v>2013</v>
      </c>
      <c r="E1524" s="1">
        <v>2018</v>
      </c>
      <c r="J1524" s="3">
        <v>46148.737060185187</v>
      </c>
      <c r="K1524" s="2" t="s">
        <v>9416</v>
      </c>
      <c r="L1524" s="1">
        <v>2</v>
      </c>
      <c r="M1524" s="1">
        <v>4</v>
      </c>
      <c r="N1524" s="1">
        <v>2</v>
      </c>
      <c r="O1524" s="3">
        <v>46233.65914210648</v>
      </c>
    </row>
    <row r="1525" spans="1:15" ht="30" x14ac:dyDescent="0.25">
      <c r="A1525" s="5" t="s">
        <v>4739</v>
      </c>
      <c r="B1525" s="1" t="s">
        <v>9417</v>
      </c>
      <c r="C1525" s="1">
        <v>1908</v>
      </c>
      <c r="D1525" s="1" t="s">
        <v>14</v>
      </c>
      <c r="E1525" s="1">
        <v>1975</v>
      </c>
      <c r="F1525" s="1" t="s">
        <v>14</v>
      </c>
      <c r="G1525" s="1" t="s">
        <v>10</v>
      </c>
      <c r="J1525" s="3">
        <v>46153.331932870373</v>
      </c>
      <c r="K1525" s="2" t="s">
        <v>9418</v>
      </c>
      <c r="L1525" s="1">
        <v>17</v>
      </c>
      <c r="M1525" s="1">
        <v>21</v>
      </c>
      <c r="N1525" s="1">
        <v>4</v>
      </c>
      <c r="O1525" s="3">
        <v>46233.65914210648</v>
      </c>
    </row>
    <row r="1526" spans="1:15" ht="30" x14ac:dyDescent="0.25">
      <c r="A1526" s="5" t="s">
        <v>4742</v>
      </c>
      <c r="B1526" s="1" t="s">
        <v>9419</v>
      </c>
      <c r="C1526" s="1">
        <v>1855</v>
      </c>
      <c r="D1526" s="1" t="s">
        <v>14</v>
      </c>
      <c r="E1526" s="1">
        <v>1912</v>
      </c>
      <c r="F1526" s="1" t="s">
        <v>8605</v>
      </c>
      <c r="G1526" s="1" t="s">
        <v>10</v>
      </c>
      <c r="I1526" s="2" t="s">
        <v>9420</v>
      </c>
      <c r="J1526" s="3">
        <v>46153.338194444441</v>
      </c>
      <c r="K1526" s="2" t="s">
        <v>8873</v>
      </c>
      <c r="L1526" s="1">
        <v>10</v>
      </c>
      <c r="M1526" s="1">
        <v>11</v>
      </c>
      <c r="N1526" s="1">
        <v>1</v>
      </c>
      <c r="O1526" s="3">
        <v>46233.65914210648</v>
      </c>
    </row>
    <row r="1527" spans="1:15" ht="90" x14ac:dyDescent="0.25">
      <c r="A1527" s="5" t="s">
        <v>4745</v>
      </c>
      <c r="B1527" s="1" t="s">
        <v>9421</v>
      </c>
      <c r="C1527" s="1">
        <v>1836</v>
      </c>
      <c r="D1527" s="1" t="s">
        <v>14</v>
      </c>
      <c r="E1527" s="1">
        <v>1911</v>
      </c>
      <c r="F1527" s="1" t="s">
        <v>8301</v>
      </c>
      <c r="G1527" s="1" t="s">
        <v>10</v>
      </c>
      <c r="J1527" s="3">
        <v>46139.721875000003</v>
      </c>
      <c r="K1527" s="2" t="s">
        <v>9422</v>
      </c>
      <c r="L1527" s="1">
        <v>32</v>
      </c>
      <c r="M1527" s="1">
        <v>32</v>
      </c>
      <c r="N1527" s="1">
        <v>0</v>
      </c>
      <c r="O1527" s="3">
        <v>46233.65914210648</v>
      </c>
    </row>
    <row r="1528" spans="1:15" ht="45" x14ac:dyDescent="0.25">
      <c r="A1528" s="5" t="s">
        <v>4748</v>
      </c>
      <c r="B1528" s="1" t="s">
        <v>9423</v>
      </c>
      <c r="C1528" s="1">
        <v>1766</v>
      </c>
      <c r="D1528" s="1" t="s">
        <v>14</v>
      </c>
      <c r="E1528" s="1">
        <v>1841</v>
      </c>
      <c r="F1528" s="1" t="s">
        <v>9425</v>
      </c>
      <c r="J1528" s="3">
        <v>46166.38690972222</v>
      </c>
      <c r="K1528" s="2" t="s">
        <v>9426</v>
      </c>
      <c r="L1528" s="1">
        <v>85</v>
      </c>
      <c r="M1528" s="1">
        <v>91</v>
      </c>
      <c r="N1528" s="1">
        <v>6</v>
      </c>
      <c r="O1528" s="3">
        <v>46233.65914210648</v>
      </c>
    </row>
    <row r="1529" spans="1:15" ht="45" x14ac:dyDescent="0.25">
      <c r="A1529" s="5" t="s">
        <v>4751</v>
      </c>
      <c r="B1529" s="1" t="s">
        <v>9427</v>
      </c>
      <c r="C1529" s="1" t="s">
        <v>152</v>
      </c>
      <c r="E1529" s="1">
        <v>1993</v>
      </c>
      <c r="J1529" s="3">
        <v>46142.380995370368</v>
      </c>
      <c r="K1529" s="2" t="s">
        <v>9428</v>
      </c>
      <c r="L1529" s="1">
        <v>29</v>
      </c>
      <c r="M1529" s="1">
        <v>35</v>
      </c>
      <c r="N1529" s="1">
        <v>6</v>
      </c>
      <c r="O1529" s="3">
        <v>46233.65914210648</v>
      </c>
    </row>
    <row r="1530" spans="1:15" ht="135" x14ac:dyDescent="0.25">
      <c r="A1530" s="5" t="s">
        <v>4754</v>
      </c>
      <c r="B1530" s="1" t="s">
        <v>9429</v>
      </c>
      <c r="C1530" s="1">
        <v>1873</v>
      </c>
      <c r="D1530" s="1" t="s">
        <v>7437</v>
      </c>
      <c r="E1530" s="1">
        <v>1945</v>
      </c>
      <c r="F1530" s="1" t="s">
        <v>8920</v>
      </c>
      <c r="G1530" s="1" t="s">
        <v>10</v>
      </c>
      <c r="J1530" s="3">
        <v>46113.48337962963</v>
      </c>
      <c r="K1530" s="2" t="s">
        <v>9430</v>
      </c>
      <c r="L1530" s="1">
        <v>1</v>
      </c>
      <c r="M1530" s="1">
        <v>2</v>
      </c>
      <c r="N1530" s="1">
        <v>1</v>
      </c>
      <c r="O1530" s="3">
        <v>46233.65914210648</v>
      </c>
    </row>
    <row r="1531" spans="1:15" ht="120" x14ac:dyDescent="0.25">
      <c r="A1531" s="5" t="s">
        <v>4757</v>
      </c>
      <c r="B1531" s="1" t="s">
        <v>9431</v>
      </c>
      <c r="C1531" s="1">
        <v>1797</v>
      </c>
      <c r="E1531" s="1">
        <v>1877</v>
      </c>
      <c r="G1531" s="1" t="s">
        <v>10</v>
      </c>
      <c r="J1531" s="3">
        <v>46142.719155092593</v>
      </c>
      <c r="K1531" s="2" t="s">
        <v>9432</v>
      </c>
      <c r="L1531" s="1">
        <v>33</v>
      </c>
      <c r="M1531" s="1">
        <v>33</v>
      </c>
      <c r="N1531" s="1">
        <v>0</v>
      </c>
      <c r="O1531" s="3">
        <v>46233.65914210648</v>
      </c>
    </row>
    <row r="1532" spans="1:15" ht="30" x14ac:dyDescent="0.25">
      <c r="A1532" s="5" t="s">
        <v>4760</v>
      </c>
      <c r="B1532" s="1" t="s">
        <v>9433</v>
      </c>
      <c r="C1532" s="1">
        <v>1897</v>
      </c>
      <c r="E1532" s="1">
        <v>1939</v>
      </c>
      <c r="G1532" s="1" t="s">
        <v>10</v>
      </c>
      <c r="J1532" s="3">
        <v>46131.356469907405</v>
      </c>
      <c r="K1532" s="2" t="s">
        <v>9435</v>
      </c>
      <c r="L1532" s="1">
        <v>0</v>
      </c>
      <c r="M1532" s="1">
        <v>0</v>
      </c>
      <c r="N1532" s="1">
        <v>0</v>
      </c>
      <c r="O1532" s="3">
        <v>46233.65914210648</v>
      </c>
    </row>
    <row r="1533" spans="1:15" x14ac:dyDescent="0.25">
      <c r="A1533" s="5" t="s">
        <v>4763</v>
      </c>
      <c r="B1533" s="1" t="s">
        <v>9436</v>
      </c>
      <c r="C1533" s="1">
        <v>1928</v>
      </c>
      <c r="D1533" s="1" t="s">
        <v>9437</v>
      </c>
      <c r="E1533" s="1">
        <v>2017</v>
      </c>
      <c r="G1533" s="1" t="s">
        <v>11</v>
      </c>
      <c r="J1533" s="3">
        <v>46110.463483796295</v>
      </c>
      <c r="K1533" s="2" t="s">
        <v>8873</v>
      </c>
      <c r="L1533" s="1">
        <v>22</v>
      </c>
      <c r="M1533" s="1">
        <v>22</v>
      </c>
      <c r="N1533" s="1">
        <v>0</v>
      </c>
      <c r="O1533" s="3">
        <v>46233.65914210648</v>
      </c>
    </row>
    <row r="1534" spans="1:15" ht="120" x14ac:dyDescent="0.25">
      <c r="A1534" s="5" t="s">
        <v>4766</v>
      </c>
      <c r="B1534" s="1" t="s">
        <v>9438</v>
      </c>
      <c r="C1534" s="1" t="s">
        <v>9090</v>
      </c>
      <c r="E1534" s="1">
        <v>1558</v>
      </c>
      <c r="G1534" s="1" t="s">
        <v>10</v>
      </c>
      <c r="J1534" s="3">
        <v>46152.380046296297</v>
      </c>
      <c r="K1534" s="2" t="s">
        <v>9440</v>
      </c>
      <c r="L1534" s="1">
        <v>232</v>
      </c>
      <c r="M1534" s="1">
        <v>288</v>
      </c>
      <c r="N1534" s="1">
        <v>56</v>
      </c>
      <c r="O1534" s="3">
        <v>46233.65914210648</v>
      </c>
    </row>
    <row r="1535" spans="1:15" ht="135" x14ac:dyDescent="0.25">
      <c r="A1535" s="5" t="s">
        <v>4769</v>
      </c>
      <c r="B1535" s="1" t="s">
        <v>9441</v>
      </c>
      <c r="C1535" s="1">
        <v>2017</v>
      </c>
      <c r="J1535" s="3">
        <v>46147.557002314818</v>
      </c>
      <c r="K1535" s="2" t="s">
        <v>9442</v>
      </c>
      <c r="L1535" s="1">
        <v>0</v>
      </c>
      <c r="M1535" s="1">
        <v>0</v>
      </c>
      <c r="N1535" s="1">
        <v>0</v>
      </c>
      <c r="O1535" s="3">
        <v>46233.65914210648</v>
      </c>
    </row>
    <row r="1536" spans="1:15" ht="60" x14ac:dyDescent="0.25">
      <c r="A1536" s="5" t="s">
        <v>4772</v>
      </c>
      <c r="B1536" s="1" t="s">
        <v>9443</v>
      </c>
      <c r="C1536" s="1" t="s">
        <v>12</v>
      </c>
      <c r="G1536" s="1" t="s">
        <v>10</v>
      </c>
      <c r="J1536" s="3">
        <v>46136.451562499999</v>
      </c>
      <c r="K1536" s="2" t="s">
        <v>9170</v>
      </c>
      <c r="L1536" s="1">
        <v>1</v>
      </c>
      <c r="M1536" s="1">
        <v>1</v>
      </c>
      <c r="N1536" s="1">
        <v>0</v>
      </c>
      <c r="O1536" s="3">
        <v>46233.65914210648</v>
      </c>
    </row>
    <row r="1537" spans="1:15" ht="105" x14ac:dyDescent="0.25">
      <c r="A1537" s="5" t="s">
        <v>4775</v>
      </c>
      <c r="B1537" s="1" t="s">
        <v>9444</v>
      </c>
      <c r="C1537" s="1" t="s">
        <v>12</v>
      </c>
      <c r="G1537" s="1" t="s">
        <v>10</v>
      </c>
      <c r="J1537" s="3">
        <v>46152.370462962965</v>
      </c>
      <c r="K1537" s="2" t="s">
        <v>9445</v>
      </c>
      <c r="L1537" s="1">
        <v>137</v>
      </c>
      <c r="M1537" s="1">
        <v>147</v>
      </c>
      <c r="N1537" s="1">
        <v>10</v>
      </c>
      <c r="O1537" s="3">
        <v>46233.65914210648</v>
      </c>
    </row>
    <row r="1538" spans="1:15" x14ac:dyDescent="0.25">
      <c r="A1538" s="5" t="s">
        <v>4778</v>
      </c>
      <c r="B1538" s="1" t="s">
        <v>9446</v>
      </c>
      <c r="C1538" s="1">
        <v>1535</v>
      </c>
      <c r="J1538" s="3">
        <v>46121.723900462966</v>
      </c>
      <c r="K1538" s="2" t="s">
        <v>9447</v>
      </c>
      <c r="L1538" s="1">
        <v>35</v>
      </c>
      <c r="M1538" s="1">
        <v>36</v>
      </c>
      <c r="N1538" s="1">
        <v>1</v>
      </c>
      <c r="O1538" s="3">
        <v>46233.65914210648</v>
      </c>
    </row>
    <row r="1539" spans="1:15" ht="165" x14ac:dyDescent="0.25">
      <c r="A1539" s="5" t="s">
        <v>4781</v>
      </c>
      <c r="B1539" s="1" t="s">
        <v>9448</v>
      </c>
      <c r="C1539" s="1">
        <v>2021</v>
      </c>
      <c r="J1539" s="3">
        <v>46147.597962962966</v>
      </c>
      <c r="K1539" s="2" t="s">
        <v>9449</v>
      </c>
      <c r="L1539" s="1">
        <v>0</v>
      </c>
      <c r="M1539" s="1">
        <v>0</v>
      </c>
      <c r="N1539" s="1">
        <v>0</v>
      </c>
      <c r="O1539" s="3">
        <v>46233.65914210648</v>
      </c>
    </row>
    <row r="1540" spans="1:15" ht="180" x14ac:dyDescent="0.25">
      <c r="A1540" s="5" t="s">
        <v>4784</v>
      </c>
      <c r="B1540" s="1" t="s">
        <v>9450</v>
      </c>
      <c r="C1540" s="1">
        <v>1834</v>
      </c>
      <c r="D1540" s="1" t="s">
        <v>8572</v>
      </c>
      <c r="E1540" s="1">
        <v>1918</v>
      </c>
      <c r="F1540" s="1" t="s">
        <v>8318</v>
      </c>
      <c r="G1540" s="1" t="s">
        <v>10</v>
      </c>
      <c r="J1540" s="3">
        <v>46112.635462962964</v>
      </c>
      <c r="K1540" s="2" t="s">
        <v>9452</v>
      </c>
      <c r="L1540" s="1">
        <v>32</v>
      </c>
      <c r="M1540" s="1">
        <v>32</v>
      </c>
      <c r="N1540" s="1">
        <v>0</v>
      </c>
      <c r="O1540" s="3">
        <v>46233.65914210648</v>
      </c>
    </row>
    <row r="1541" spans="1:15" ht="150" x14ac:dyDescent="0.25">
      <c r="A1541" s="5" t="s">
        <v>4787</v>
      </c>
      <c r="B1541" s="1" t="s">
        <v>9453</v>
      </c>
      <c r="C1541" s="1">
        <v>2021</v>
      </c>
      <c r="J1541" s="3">
        <v>46147.589618055557</v>
      </c>
      <c r="K1541" s="2" t="s">
        <v>9224</v>
      </c>
      <c r="L1541" s="1">
        <v>0</v>
      </c>
      <c r="M1541" s="1">
        <v>0</v>
      </c>
      <c r="N1541" s="1">
        <v>0</v>
      </c>
      <c r="O1541" s="3">
        <v>46233.65914210648</v>
      </c>
    </row>
    <row r="1542" spans="1:15" ht="30" x14ac:dyDescent="0.25">
      <c r="A1542" s="5" t="s">
        <v>4790</v>
      </c>
      <c r="B1542" s="1" t="s">
        <v>9454</v>
      </c>
      <c r="C1542" s="1" t="s">
        <v>12</v>
      </c>
      <c r="G1542" s="1" t="s">
        <v>11</v>
      </c>
      <c r="J1542" s="3">
        <v>46168.362083333333</v>
      </c>
      <c r="K1542" s="2" t="s">
        <v>9455</v>
      </c>
      <c r="L1542" s="1">
        <v>1</v>
      </c>
      <c r="M1542" s="1">
        <v>1</v>
      </c>
      <c r="N1542" s="1">
        <v>0</v>
      </c>
      <c r="O1542" s="3">
        <v>46233.65914210648</v>
      </c>
    </row>
    <row r="1543" spans="1:15" x14ac:dyDescent="0.25">
      <c r="A1543" s="5" t="s">
        <v>4793</v>
      </c>
      <c r="B1543" s="1" t="s">
        <v>9456</v>
      </c>
      <c r="C1543" s="1">
        <v>1996</v>
      </c>
      <c r="J1543" s="3">
        <v>46056.493391203701</v>
      </c>
      <c r="L1543" s="1">
        <v>31</v>
      </c>
      <c r="M1543" s="1">
        <v>31</v>
      </c>
      <c r="N1543" s="1">
        <v>0</v>
      </c>
      <c r="O1543" s="3">
        <v>46233.65914210648</v>
      </c>
    </row>
    <row r="1544" spans="1:15" ht="30" x14ac:dyDescent="0.25">
      <c r="A1544" s="5" t="s">
        <v>4796</v>
      </c>
      <c r="B1544" s="1" t="s">
        <v>9457</v>
      </c>
      <c r="C1544" s="1" t="s">
        <v>12</v>
      </c>
      <c r="G1544" s="1" t="s">
        <v>11</v>
      </c>
      <c r="J1544" s="3">
        <v>46120.625868055555</v>
      </c>
      <c r="K1544" s="2" t="s">
        <v>9458</v>
      </c>
      <c r="L1544" s="1">
        <v>1</v>
      </c>
      <c r="M1544" s="1">
        <v>1</v>
      </c>
      <c r="N1544" s="1">
        <v>0</v>
      </c>
      <c r="O1544" s="3">
        <v>46233.65914210648</v>
      </c>
    </row>
    <row r="1545" spans="1:15" ht="150" x14ac:dyDescent="0.25">
      <c r="A1545" s="5" t="s">
        <v>4799</v>
      </c>
      <c r="B1545" s="1" t="s">
        <v>9459</v>
      </c>
      <c r="C1545" s="1">
        <v>1509</v>
      </c>
      <c r="D1545" s="1" t="s">
        <v>9461</v>
      </c>
      <c r="E1545" s="1">
        <v>1564</v>
      </c>
      <c r="F1545" s="1" t="s">
        <v>14</v>
      </c>
      <c r="G1545" s="1" t="s">
        <v>10</v>
      </c>
      <c r="H1545" s="2" t="s">
        <v>9463</v>
      </c>
      <c r="J1545" s="3">
        <v>46117.431469907409</v>
      </c>
      <c r="K1545" s="2" t="s">
        <v>9464</v>
      </c>
      <c r="L1545" s="1">
        <v>2503</v>
      </c>
      <c r="M1545" s="1">
        <v>3572</v>
      </c>
      <c r="N1545" s="1">
        <v>1069</v>
      </c>
      <c r="O1545" s="3">
        <v>46233.65914210648</v>
      </c>
    </row>
    <row r="1546" spans="1:15" ht="45" x14ac:dyDescent="0.25">
      <c r="A1546" s="5" t="s">
        <v>4802</v>
      </c>
      <c r="B1546" s="1" t="s">
        <v>9465</v>
      </c>
      <c r="C1546" s="1">
        <v>1956</v>
      </c>
      <c r="G1546" s="1" t="s">
        <v>10</v>
      </c>
      <c r="J1546" s="3">
        <v>46149.414502314816</v>
      </c>
      <c r="K1546" s="2" t="s">
        <v>9466</v>
      </c>
      <c r="L1546" s="1">
        <v>8</v>
      </c>
      <c r="M1546" s="1">
        <v>8</v>
      </c>
      <c r="N1546" s="1">
        <v>0</v>
      </c>
      <c r="O1546" s="3">
        <v>46233.65914210648</v>
      </c>
    </row>
    <row r="1547" spans="1:15" ht="255" x14ac:dyDescent="0.25">
      <c r="A1547" s="5" t="s">
        <v>4805</v>
      </c>
      <c r="B1547" s="1" t="s">
        <v>9467</v>
      </c>
      <c r="C1547" s="1">
        <v>2015</v>
      </c>
      <c r="E1547" s="1">
        <v>2017</v>
      </c>
      <c r="J1547" s="3">
        <v>46147.558275462965</v>
      </c>
      <c r="K1547" s="2" t="s">
        <v>9468</v>
      </c>
      <c r="L1547" s="1">
        <v>0</v>
      </c>
      <c r="M1547" s="1">
        <v>0</v>
      </c>
      <c r="N1547" s="1">
        <v>0</v>
      </c>
      <c r="O1547" s="3">
        <v>46233.65914210648</v>
      </c>
    </row>
    <row r="1548" spans="1:15" x14ac:dyDescent="0.25">
      <c r="A1548" s="5" t="s">
        <v>4808</v>
      </c>
      <c r="B1548" s="1" t="s">
        <v>9469</v>
      </c>
      <c r="C1548" s="1" t="s">
        <v>12</v>
      </c>
      <c r="G1548" s="1" t="s">
        <v>11</v>
      </c>
      <c r="J1548" s="3">
        <v>46132.473692129628</v>
      </c>
      <c r="K1548" s="2" t="s">
        <v>7209</v>
      </c>
      <c r="L1548" s="1">
        <v>0</v>
      </c>
      <c r="M1548" s="1">
        <v>0</v>
      </c>
      <c r="N1548" s="1">
        <v>0</v>
      </c>
      <c r="O1548" s="3">
        <v>46233.65914210648</v>
      </c>
    </row>
    <row r="1549" spans="1:15" ht="180" x14ac:dyDescent="0.25">
      <c r="A1549" s="5" t="s">
        <v>4811</v>
      </c>
      <c r="B1549" s="1" t="s">
        <v>9470</v>
      </c>
      <c r="C1549" s="1">
        <v>1965</v>
      </c>
      <c r="E1549" s="1">
        <v>1985</v>
      </c>
      <c r="J1549" s="3">
        <v>46142.455405092594</v>
      </c>
      <c r="K1549" s="2" t="s">
        <v>9471</v>
      </c>
      <c r="L1549" s="1">
        <v>0</v>
      </c>
      <c r="M1549" s="1">
        <v>0</v>
      </c>
      <c r="N1549" s="1">
        <v>0</v>
      </c>
      <c r="O1549" s="3">
        <v>46233.65914210648</v>
      </c>
    </row>
    <row r="1550" spans="1:15" ht="300" x14ac:dyDescent="0.25">
      <c r="A1550" s="5" t="s">
        <v>4814</v>
      </c>
      <c r="B1550" s="1" t="s">
        <v>9472</v>
      </c>
      <c r="J1550" s="3">
        <v>46145.449479166666</v>
      </c>
      <c r="K1550" s="2" t="s">
        <v>9473</v>
      </c>
      <c r="L1550" s="1">
        <v>338</v>
      </c>
      <c r="M1550" s="1">
        <v>394</v>
      </c>
      <c r="N1550" s="1">
        <v>56</v>
      </c>
      <c r="O1550" s="3">
        <v>46233.65914210648</v>
      </c>
    </row>
    <row r="1551" spans="1:15" ht="105" x14ac:dyDescent="0.25">
      <c r="A1551" s="5" t="s">
        <v>4817</v>
      </c>
      <c r="B1551" s="1" t="s">
        <v>9474</v>
      </c>
      <c r="C1551" s="1">
        <v>1996</v>
      </c>
      <c r="J1551" s="3">
        <v>46120.623796296299</v>
      </c>
      <c r="K1551" s="2" t="s">
        <v>9475</v>
      </c>
      <c r="L1551" s="1">
        <v>1</v>
      </c>
      <c r="M1551" s="1">
        <v>1</v>
      </c>
      <c r="N1551" s="1">
        <v>0</v>
      </c>
      <c r="O1551" s="3">
        <v>46233.65914210648</v>
      </c>
    </row>
    <row r="1552" spans="1:15" ht="105" x14ac:dyDescent="0.25">
      <c r="A1552" s="5" t="s">
        <v>4820</v>
      </c>
      <c r="B1552" s="1" t="s">
        <v>9476</v>
      </c>
      <c r="C1552" s="1" t="s">
        <v>12</v>
      </c>
      <c r="G1552" s="1" t="s">
        <v>11</v>
      </c>
      <c r="J1552" s="3">
        <v>46122.647268518522</v>
      </c>
      <c r="K1552" s="2" t="s">
        <v>9477</v>
      </c>
      <c r="L1552" s="1">
        <v>21</v>
      </c>
      <c r="M1552" s="1">
        <v>21</v>
      </c>
      <c r="N1552" s="1">
        <v>0</v>
      </c>
      <c r="O1552" s="3">
        <v>46233.65914210648</v>
      </c>
    </row>
    <row r="1553" spans="1:15" ht="120" x14ac:dyDescent="0.25">
      <c r="A1553" s="5" t="s">
        <v>4823</v>
      </c>
      <c r="B1553" s="1" t="s">
        <v>9478</v>
      </c>
      <c r="C1553" s="1">
        <v>1914</v>
      </c>
      <c r="D1553" s="1" t="s">
        <v>133</v>
      </c>
      <c r="E1553" s="1">
        <v>1993</v>
      </c>
      <c r="G1553" s="1" t="s">
        <v>10</v>
      </c>
      <c r="J1553" s="3">
        <v>46138.452256944445</v>
      </c>
      <c r="K1553" s="2" t="s">
        <v>9479</v>
      </c>
      <c r="L1553" s="1">
        <v>207</v>
      </c>
      <c r="M1553" s="1">
        <v>212</v>
      </c>
      <c r="N1553" s="1">
        <v>5</v>
      </c>
      <c r="O1553" s="3">
        <v>46233.65914210648</v>
      </c>
    </row>
    <row r="1554" spans="1:15" ht="45" x14ac:dyDescent="0.25">
      <c r="A1554" s="5" t="s">
        <v>4826</v>
      </c>
      <c r="B1554" s="1" t="s">
        <v>9480</v>
      </c>
      <c r="C1554" s="1">
        <v>1977</v>
      </c>
      <c r="G1554" s="1" t="s">
        <v>11</v>
      </c>
      <c r="J1554" s="3">
        <v>46134.684745370374</v>
      </c>
      <c r="K1554" s="2" t="s">
        <v>9481</v>
      </c>
      <c r="L1554" s="1">
        <v>23</v>
      </c>
      <c r="M1554" s="1">
        <v>24</v>
      </c>
      <c r="N1554" s="1">
        <v>1</v>
      </c>
      <c r="O1554" s="3">
        <v>46233.65914210648</v>
      </c>
    </row>
    <row r="1555" spans="1:15" x14ac:dyDescent="0.25">
      <c r="A1555" s="5" t="s">
        <v>4829</v>
      </c>
      <c r="B1555" s="1" t="s">
        <v>9482</v>
      </c>
      <c r="J1555" s="3">
        <v>46038.640949074077</v>
      </c>
      <c r="L1555" s="1">
        <v>4</v>
      </c>
      <c r="M1555" s="1">
        <v>4</v>
      </c>
      <c r="N1555" s="1">
        <v>0</v>
      </c>
      <c r="O1555" s="3">
        <v>46233.65914210648</v>
      </c>
    </row>
    <row r="1556" spans="1:15" ht="135" x14ac:dyDescent="0.25">
      <c r="A1556" s="5" t="s">
        <v>4832</v>
      </c>
      <c r="B1556" s="1" t="s">
        <v>9483</v>
      </c>
      <c r="C1556" s="1">
        <v>2018</v>
      </c>
      <c r="J1556" s="3">
        <v>46142.384027777778</v>
      </c>
      <c r="K1556" s="2" t="s">
        <v>9484</v>
      </c>
      <c r="L1556" s="1">
        <v>2</v>
      </c>
      <c r="M1556" s="1">
        <v>4</v>
      </c>
      <c r="N1556" s="1">
        <v>2</v>
      </c>
      <c r="O1556" s="3">
        <v>46233.65914210648</v>
      </c>
    </row>
    <row r="1557" spans="1:15" x14ac:dyDescent="0.25">
      <c r="A1557" s="5" t="s">
        <v>4835</v>
      </c>
      <c r="B1557" s="1" t="s">
        <v>9485</v>
      </c>
      <c r="G1557" s="1" t="s">
        <v>10</v>
      </c>
      <c r="J1557" s="3">
        <v>46114.486944444441</v>
      </c>
      <c r="L1557" s="1">
        <v>16</v>
      </c>
      <c r="M1557" s="1">
        <v>19</v>
      </c>
      <c r="N1557" s="1">
        <v>3</v>
      </c>
      <c r="O1557" s="3">
        <v>46233.65914210648</v>
      </c>
    </row>
    <row r="1558" spans="1:15" x14ac:dyDescent="0.25">
      <c r="A1558" s="5" t="s">
        <v>4838</v>
      </c>
      <c r="B1558" s="1" t="s">
        <v>9486</v>
      </c>
      <c r="C1558" s="1">
        <v>1768</v>
      </c>
      <c r="D1558" s="1" t="s">
        <v>14</v>
      </c>
      <c r="E1558" s="1">
        <v>1828</v>
      </c>
      <c r="F1558" s="1" t="s">
        <v>8572</v>
      </c>
      <c r="G1558" s="1" t="s">
        <v>10</v>
      </c>
      <c r="J1558" s="3">
        <v>46135.590277777781</v>
      </c>
      <c r="K1558" s="2" t="s">
        <v>7461</v>
      </c>
      <c r="L1558" s="1">
        <v>3</v>
      </c>
      <c r="M1558" s="1">
        <v>4</v>
      </c>
      <c r="N1558" s="1">
        <v>1</v>
      </c>
      <c r="O1558" s="3">
        <v>46233.65914210648</v>
      </c>
    </row>
    <row r="1559" spans="1:15" x14ac:dyDescent="0.25">
      <c r="A1559" s="5" t="s">
        <v>4841</v>
      </c>
      <c r="B1559" s="1" t="s">
        <v>9487</v>
      </c>
      <c r="C1559" s="1">
        <v>1971</v>
      </c>
      <c r="G1559" s="1" t="s">
        <v>11</v>
      </c>
      <c r="J1559" s="3">
        <v>46169.334374999999</v>
      </c>
      <c r="K1559" s="2" t="s">
        <v>9488</v>
      </c>
      <c r="L1559" s="1">
        <v>26</v>
      </c>
      <c r="M1559" s="1">
        <v>27</v>
      </c>
      <c r="N1559" s="1">
        <v>1</v>
      </c>
      <c r="O1559" s="3">
        <v>46233.65914210648</v>
      </c>
    </row>
    <row r="1560" spans="1:15" x14ac:dyDescent="0.25">
      <c r="A1560" s="5" t="s">
        <v>4844</v>
      </c>
      <c r="B1560" s="1" t="s">
        <v>9489</v>
      </c>
      <c r="C1560" s="1">
        <v>1983</v>
      </c>
      <c r="G1560" s="1" t="s">
        <v>11</v>
      </c>
      <c r="J1560" s="3">
        <v>46114.704548611109</v>
      </c>
      <c r="K1560" s="2" t="s">
        <v>9490</v>
      </c>
      <c r="L1560" s="1">
        <v>22</v>
      </c>
      <c r="M1560" s="1">
        <v>22</v>
      </c>
      <c r="N1560" s="1">
        <v>0</v>
      </c>
      <c r="O1560" s="3">
        <v>46233.65914210648</v>
      </c>
    </row>
    <row r="1561" spans="1:15" ht="60" x14ac:dyDescent="0.25">
      <c r="A1561" s="5" t="s">
        <v>4847</v>
      </c>
      <c r="B1561" s="1" t="s">
        <v>9491</v>
      </c>
      <c r="J1561" s="3">
        <v>46170.380740740744</v>
      </c>
      <c r="K1561" s="2" t="s">
        <v>9492</v>
      </c>
      <c r="L1561" s="1">
        <v>1</v>
      </c>
      <c r="M1561" s="1">
        <v>1</v>
      </c>
      <c r="N1561" s="1">
        <v>0</v>
      </c>
      <c r="O1561" s="3">
        <v>46233.65914210648</v>
      </c>
    </row>
    <row r="1562" spans="1:15" x14ac:dyDescent="0.25">
      <c r="A1562" s="5" t="s">
        <v>4850</v>
      </c>
      <c r="B1562" s="1" t="s">
        <v>9493</v>
      </c>
      <c r="J1562" s="3">
        <v>46038.642418981479</v>
      </c>
      <c r="L1562" s="1">
        <v>160</v>
      </c>
      <c r="M1562" s="1">
        <v>169</v>
      </c>
      <c r="N1562" s="1">
        <v>9</v>
      </c>
      <c r="O1562" s="3">
        <v>46233.65914210648</v>
      </c>
    </row>
    <row r="1563" spans="1:15" ht="30" x14ac:dyDescent="0.25">
      <c r="A1563" s="5" t="s">
        <v>4853</v>
      </c>
      <c r="B1563" s="1" t="s">
        <v>9494</v>
      </c>
      <c r="C1563" s="1" t="s">
        <v>12</v>
      </c>
      <c r="G1563" s="1" t="s">
        <v>10</v>
      </c>
      <c r="J1563" s="3">
        <v>46126.701226851852</v>
      </c>
      <c r="K1563" s="2" t="s">
        <v>9495</v>
      </c>
      <c r="L1563" s="1">
        <v>3</v>
      </c>
      <c r="M1563" s="1">
        <v>3</v>
      </c>
      <c r="N1563" s="1">
        <v>0</v>
      </c>
      <c r="O1563" s="3">
        <v>46233.65914210648</v>
      </c>
    </row>
    <row r="1564" spans="1:15" x14ac:dyDescent="0.25">
      <c r="A1564" s="5" t="s">
        <v>4856</v>
      </c>
      <c r="B1564" s="1" t="s">
        <v>9496</v>
      </c>
      <c r="J1564" s="3">
        <v>46038.647465277776</v>
      </c>
      <c r="L1564" s="1">
        <v>618</v>
      </c>
      <c r="M1564" s="1">
        <v>909</v>
      </c>
      <c r="N1564" s="1">
        <v>291</v>
      </c>
      <c r="O1564" s="3">
        <v>46233.65914210648</v>
      </c>
    </row>
    <row r="1565" spans="1:15" ht="90" x14ac:dyDescent="0.25">
      <c r="A1565" s="5" t="s">
        <v>4859</v>
      </c>
      <c r="B1565" s="1" t="s">
        <v>9497</v>
      </c>
      <c r="C1565" s="1">
        <v>1880</v>
      </c>
      <c r="D1565" s="1" t="s">
        <v>8153</v>
      </c>
      <c r="E1565" s="1">
        <v>1959</v>
      </c>
      <c r="F1565" s="1" t="s">
        <v>14</v>
      </c>
      <c r="G1565" s="1" t="s">
        <v>10</v>
      </c>
      <c r="H1565" s="2" t="s">
        <v>9498</v>
      </c>
      <c r="I1565" s="2" t="s">
        <v>10498</v>
      </c>
      <c r="J1565" s="3">
        <v>46138.441284722219</v>
      </c>
      <c r="K1565" s="2" t="s">
        <v>9499</v>
      </c>
      <c r="L1565" s="1">
        <v>575</v>
      </c>
      <c r="M1565" s="1">
        <v>585</v>
      </c>
      <c r="N1565" s="1">
        <v>10</v>
      </c>
      <c r="O1565" s="3">
        <v>46233.65914210648</v>
      </c>
    </row>
    <row r="1566" spans="1:15" ht="45" x14ac:dyDescent="0.25">
      <c r="A1566" s="5" t="s">
        <v>4862</v>
      </c>
      <c r="B1566" s="1" t="s">
        <v>9500</v>
      </c>
      <c r="C1566" s="1">
        <v>1923</v>
      </c>
      <c r="D1566" s="1" t="s">
        <v>9501</v>
      </c>
      <c r="E1566" s="1">
        <v>2013</v>
      </c>
      <c r="F1566" s="1" t="s">
        <v>14</v>
      </c>
      <c r="G1566" s="1" t="s">
        <v>10</v>
      </c>
      <c r="J1566" s="3">
        <v>46145.438414351855</v>
      </c>
      <c r="K1566" s="2" t="s">
        <v>9502</v>
      </c>
      <c r="L1566" s="1">
        <v>31</v>
      </c>
      <c r="M1566" s="1">
        <v>34</v>
      </c>
      <c r="N1566" s="1">
        <v>3</v>
      </c>
      <c r="O1566" s="3">
        <v>46233.65914210648</v>
      </c>
    </row>
    <row r="1567" spans="1:15" ht="60" x14ac:dyDescent="0.25">
      <c r="A1567" s="5" t="s">
        <v>4865</v>
      </c>
      <c r="B1567" s="1" t="s">
        <v>9503</v>
      </c>
      <c r="C1567" s="1">
        <v>1940</v>
      </c>
      <c r="E1567" s="1">
        <v>2026</v>
      </c>
      <c r="G1567" s="1" t="s">
        <v>10</v>
      </c>
      <c r="H1567" s="2" t="s">
        <v>9504</v>
      </c>
      <c r="J1567" s="3">
        <v>46131.378738425927</v>
      </c>
      <c r="K1567" s="2" t="s">
        <v>9505</v>
      </c>
      <c r="L1567" s="1">
        <v>45</v>
      </c>
      <c r="M1567" s="1">
        <v>50</v>
      </c>
      <c r="N1567" s="1">
        <v>5</v>
      </c>
      <c r="O1567" s="3">
        <v>46233.65914210648</v>
      </c>
    </row>
    <row r="1568" spans="1:15" ht="30" x14ac:dyDescent="0.25">
      <c r="A1568" s="5" t="s">
        <v>4868</v>
      </c>
      <c r="B1568" s="1" t="s">
        <v>9506</v>
      </c>
      <c r="C1568" s="1">
        <v>1976</v>
      </c>
      <c r="G1568" s="1" t="s">
        <v>11</v>
      </c>
      <c r="J1568" s="3">
        <v>46133.551689814813</v>
      </c>
      <c r="K1568" s="2" t="s">
        <v>9507</v>
      </c>
      <c r="L1568" s="1">
        <v>11</v>
      </c>
      <c r="M1568" s="1">
        <v>12</v>
      </c>
      <c r="N1568" s="1">
        <v>1</v>
      </c>
      <c r="O1568" s="3">
        <v>46233.65914210648</v>
      </c>
    </row>
    <row r="1569" spans="1:15" x14ac:dyDescent="0.25">
      <c r="A1569" s="5" t="s">
        <v>4871</v>
      </c>
      <c r="B1569" s="1" t="s">
        <v>9508</v>
      </c>
      <c r="C1569" s="1" t="s">
        <v>152</v>
      </c>
      <c r="E1569" s="1" t="s">
        <v>12</v>
      </c>
      <c r="G1569" s="1" t="s">
        <v>10</v>
      </c>
      <c r="J1569" s="3">
        <v>46120.679652777777</v>
      </c>
      <c r="L1569" s="1">
        <v>4</v>
      </c>
      <c r="M1569" s="1">
        <v>5</v>
      </c>
      <c r="N1569" s="1">
        <v>1</v>
      </c>
      <c r="O1569" s="3">
        <v>46233.65914210648</v>
      </c>
    </row>
    <row r="1570" spans="1:15" x14ac:dyDescent="0.25">
      <c r="A1570" s="5" t="s">
        <v>4874</v>
      </c>
      <c r="B1570" s="1" t="s">
        <v>9509</v>
      </c>
      <c r="C1570" s="1">
        <v>1726</v>
      </c>
      <c r="D1570" s="1" t="s">
        <v>14</v>
      </c>
      <c r="E1570" s="1">
        <v>1774</v>
      </c>
      <c r="G1570" s="1" t="s">
        <v>10</v>
      </c>
      <c r="J1570" s="3">
        <v>46153.357951388891</v>
      </c>
      <c r="K1570" s="2" t="s">
        <v>9511</v>
      </c>
      <c r="L1570" s="1">
        <v>7</v>
      </c>
      <c r="M1570" s="1">
        <v>7</v>
      </c>
      <c r="N1570" s="1">
        <v>0</v>
      </c>
      <c r="O1570" s="3">
        <v>46233.65914210648</v>
      </c>
    </row>
    <row r="1571" spans="1:15" x14ac:dyDescent="0.25">
      <c r="A1571" s="5" t="s">
        <v>4877</v>
      </c>
      <c r="B1571" s="1" t="s">
        <v>9512</v>
      </c>
      <c r="C1571" s="1">
        <v>1942</v>
      </c>
      <c r="G1571" s="1" t="s">
        <v>11</v>
      </c>
      <c r="J1571" s="3">
        <v>46120.745324074072</v>
      </c>
      <c r="L1571" s="1">
        <v>6</v>
      </c>
      <c r="M1571" s="1">
        <v>7</v>
      </c>
      <c r="N1571" s="1">
        <v>1</v>
      </c>
      <c r="O1571" s="3">
        <v>46233.65914210648</v>
      </c>
    </row>
    <row r="1572" spans="1:15" ht="30" x14ac:dyDescent="0.25">
      <c r="A1572" s="5" t="s">
        <v>4880</v>
      </c>
      <c r="B1572" s="1" t="s">
        <v>9513</v>
      </c>
      <c r="C1572" s="1" t="s">
        <v>12</v>
      </c>
      <c r="G1572" s="1" t="s">
        <v>10</v>
      </c>
      <c r="J1572" s="3">
        <v>46142.463090277779</v>
      </c>
      <c r="K1572" s="2" t="s">
        <v>9514</v>
      </c>
      <c r="L1572" s="1">
        <v>19</v>
      </c>
      <c r="M1572" s="1">
        <v>19</v>
      </c>
      <c r="N1572" s="1">
        <v>0</v>
      </c>
      <c r="O1572" s="3">
        <v>46233.65914210648</v>
      </c>
    </row>
    <row r="1573" spans="1:15" ht="90" x14ac:dyDescent="0.25">
      <c r="A1573" s="5" t="s">
        <v>4883</v>
      </c>
      <c r="B1573" s="1" t="s">
        <v>9515</v>
      </c>
      <c r="C1573" s="1">
        <v>1997</v>
      </c>
      <c r="J1573" s="3">
        <v>46112.643148148149</v>
      </c>
      <c r="K1573" s="2" t="s">
        <v>9516</v>
      </c>
      <c r="L1573" s="1">
        <v>1</v>
      </c>
      <c r="M1573" s="1">
        <v>1</v>
      </c>
      <c r="N1573" s="1">
        <v>0</v>
      </c>
      <c r="O1573" s="3">
        <v>46233.65914210648</v>
      </c>
    </row>
    <row r="1574" spans="1:15" ht="45" x14ac:dyDescent="0.25">
      <c r="A1574" s="5" t="s">
        <v>4886</v>
      </c>
      <c r="B1574" s="1" t="s">
        <v>9517</v>
      </c>
      <c r="C1574" s="1">
        <v>1852</v>
      </c>
      <c r="D1574" s="1" t="s">
        <v>8968</v>
      </c>
      <c r="E1574" s="1">
        <v>1930</v>
      </c>
      <c r="F1574" s="1" t="s">
        <v>14</v>
      </c>
      <c r="G1574" s="1" t="s">
        <v>11</v>
      </c>
      <c r="J1574" s="3">
        <v>46138.441157407404</v>
      </c>
      <c r="K1574" s="2" t="s">
        <v>9519</v>
      </c>
      <c r="L1574" s="1">
        <v>9</v>
      </c>
      <c r="M1574" s="1">
        <v>9</v>
      </c>
      <c r="N1574" s="1">
        <v>0</v>
      </c>
      <c r="O1574" s="3">
        <v>46233.65914210648</v>
      </c>
    </row>
    <row r="1575" spans="1:15" ht="45" x14ac:dyDescent="0.25">
      <c r="A1575" s="5" t="s">
        <v>4889</v>
      </c>
      <c r="B1575" s="1" t="s">
        <v>9520</v>
      </c>
      <c r="C1575" s="1">
        <v>1841</v>
      </c>
      <c r="E1575" s="1">
        <v>1920</v>
      </c>
      <c r="G1575" s="1" t="s">
        <v>10</v>
      </c>
      <c r="J1575" s="3">
        <v>46190.610972222225</v>
      </c>
      <c r="K1575" s="2" t="s">
        <v>9521</v>
      </c>
      <c r="L1575" s="1">
        <v>5</v>
      </c>
      <c r="M1575" s="1">
        <v>6</v>
      </c>
      <c r="N1575" s="1">
        <v>1</v>
      </c>
      <c r="O1575" s="3">
        <v>46233.65914210648</v>
      </c>
    </row>
    <row r="1576" spans="1:15" ht="45" x14ac:dyDescent="0.25">
      <c r="A1576" s="5" t="s">
        <v>4892</v>
      </c>
      <c r="B1576" s="1" t="s">
        <v>9522</v>
      </c>
      <c r="C1576" s="1" t="s">
        <v>12</v>
      </c>
      <c r="G1576" s="1" t="s">
        <v>11</v>
      </c>
      <c r="J1576" s="3">
        <v>46199.461701388886</v>
      </c>
      <c r="K1576" s="2" t="s">
        <v>9523</v>
      </c>
      <c r="L1576" s="1">
        <v>4</v>
      </c>
      <c r="M1576" s="1">
        <v>4</v>
      </c>
      <c r="N1576" s="1">
        <v>0</v>
      </c>
      <c r="O1576" s="3">
        <v>46233.65914210648</v>
      </c>
    </row>
    <row r="1577" spans="1:15" x14ac:dyDescent="0.25">
      <c r="A1577" s="5" t="s">
        <v>4895</v>
      </c>
      <c r="B1577" s="1" t="s">
        <v>9524</v>
      </c>
      <c r="C1577" s="1">
        <v>1857</v>
      </c>
      <c r="E1577" s="1">
        <v>1921</v>
      </c>
      <c r="G1577" s="1" t="s">
        <v>10</v>
      </c>
      <c r="J1577" s="3">
        <v>46189.37296296296</v>
      </c>
      <c r="K1577" s="2" t="s">
        <v>9525</v>
      </c>
      <c r="L1577" s="1">
        <v>7</v>
      </c>
      <c r="M1577" s="1">
        <v>7</v>
      </c>
      <c r="N1577" s="1">
        <v>0</v>
      </c>
      <c r="O1577" s="3">
        <v>46233.65914210648</v>
      </c>
    </row>
    <row r="1578" spans="1:15" ht="75" x14ac:dyDescent="0.25">
      <c r="A1578" s="5" t="s">
        <v>4898</v>
      </c>
      <c r="B1578" s="1" t="s">
        <v>9526</v>
      </c>
      <c r="C1578" s="1">
        <v>1897</v>
      </c>
      <c r="E1578" s="1">
        <v>1973</v>
      </c>
      <c r="G1578" s="1" t="s">
        <v>10</v>
      </c>
      <c r="J1578" s="3">
        <v>46182.586273148147</v>
      </c>
      <c r="K1578" s="2" t="s">
        <v>9527</v>
      </c>
      <c r="L1578" s="1">
        <v>0</v>
      </c>
      <c r="M1578" s="1">
        <v>2</v>
      </c>
      <c r="N1578" s="1">
        <v>2</v>
      </c>
      <c r="O1578" s="3">
        <v>46233.65914210648</v>
      </c>
    </row>
    <row r="1579" spans="1:15" x14ac:dyDescent="0.25">
      <c r="A1579" s="5" t="s">
        <v>4901</v>
      </c>
      <c r="B1579" s="1" t="s">
        <v>9528</v>
      </c>
      <c r="C1579" s="1" t="s">
        <v>12</v>
      </c>
      <c r="G1579" s="1" t="s">
        <v>10</v>
      </c>
      <c r="J1579" s="3">
        <v>46174.679409722223</v>
      </c>
      <c r="K1579" s="2" t="s">
        <v>6935</v>
      </c>
      <c r="L1579" s="1">
        <v>1</v>
      </c>
      <c r="M1579" s="1">
        <v>1</v>
      </c>
      <c r="N1579" s="1">
        <v>0</v>
      </c>
      <c r="O1579" s="3">
        <v>46233.65914210648</v>
      </c>
    </row>
    <row r="1580" spans="1:15" ht="90" x14ac:dyDescent="0.25">
      <c r="A1580" s="5" t="s">
        <v>4904</v>
      </c>
      <c r="B1580" s="1" t="s">
        <v>9529</v>
      </c>
      <c r="C1580" s="1">
        <v>1855</v>
      </c>
      <c r="E1580" s="1">
        <v>1932</v>
      </c>
      <c r="G1580" s="1" t="s">
        <v>10</v>
      </c>
      <c r="J1580" s="3">
        <v>46199.603761574072</v>
      </c>
      <c r="K1580" s="2" t="s">
        <v>9530</v>
      </c>
      <c r="L1580" s="1">
        <v>14</v>
      </c>
      <c r="M1580" s="1">
        <v>15</v>
      </c>
      <c r="N1580" s="1">
        <v>1</v>
      </c>
      <c r="O1580" s="3">
        <v>46233.65914210648</v>
      </c>
    </row>
    <row r="1581" spans="1:15" ht="75" x14ac:dyDescent="0.25">
      <c r="A1581" s="5" t="s">
        <v>4907</v>
      </c>
      <c r="B1581" s="1" t="s">
        <v>9531</v>
      </c>
      <c r="C1581" s="1">
        <v>1938</v>
      </c>
      <c r="G1581" s="1" t="s">
        <v>10</v>
      </c>
      <c r="J1581" s="3">
        <v>46175.799166666664</v>
      </c>
      <c r="K1581" s="2" t="s">
        <v>9532</v>
      </c>
      <c r="L1581" s="1">
        <v>20</v>
      </c>
      <c r="M1581" s="1">
        <v>48</v>
      </c>
      <c r="N1581" s="1">
        <v>28</v>
      </c>
      <c r="O1581" s="3">
        <v>46233.65914210648</v>
      </c>
    </row>
    <row r="1582" spans="1:15" ht="60" x14ac:dyDescent="0.25">
      <c r="A1582" s="5" t="s">
        <v>4910</v>
      </c>
      <c r="B1582" s="1" t="s">
        <v>9533</v>
      </c>
      <c r="C1582" s="1">
        <v>1652</v>
      </c>
      <c r="D1582" s="1" t="s">
        <v>14</v>
      </c>
      <c r="E1582" s="1">
        <v>1719</v>
      </c>
      <c r="F1582" s="1" t="s">
        <v>14</v>
      </c>
      <c r="G1582" s="1" t="s">
        <v>10</v>
      </c>
      <c r="J1582" s="3">
        <v>46181.567974537036</v>
      </c>
      <c r="K1582" s="2" t="s">
        <v>9536</v>
      </c>
      <c r="L1582" s="1">
        <v>16</v>
      </c>
      <c r="M1582" s="1">
        <v>16</v>
      </c>
      <c r="N1582" s="1">
        <v>0</v>
      </c>
      <c r="O1582" s="3">
        <v>46233.65914210648</v>
      </c>
    </row>
    <row r="1583" spans="1:15" x14ac:dyDescent="0.25">
      <c r="A1583" s="5" t="s">
        <v>4913</v>
      </c>
      <c r="B1583" s="1" t="s">
        <v>9537</v>
      </c>
      <c r="C1583" s="1" t="s">
        <v>12</v>
      </c>
      <c r="G1583" s="1" t="s">
        <v>11</v>
      </c>
      <c r="J1583" s="3">
        <v>46183.44158564815</v>
      </c>
      <c r="K1583" s="2" t="s">
        <v>9538</v>
      </c>
      <c r="L1583" s="1">
        <v>1</v>
      </c>
      <c r="M1583" s="1">
        <v>1</v>
      </c>
      <c r="N1583" s="1">
        <v>0</v>
      </c>
      <c r="O1583" s="3">
        <v>46233.65914210648</v>
      </c>
    </row>
    <row r="1584" spans="1:15" x14ac:dyDescent="0.25">
      <c r="A1584" s="5" t="s">
        <v>4916</v>
      </c>
      <c r="B1584" s="1" t="s">
        <v>9539</v>
      </c>
      <c r="C1584" s="1">
        <v>1690</v>
      </c>
      <c r="E1584" s="1">
        <v>1765</v>
      </c>
      <c r="G1584" s="1" t="s">
        <v>10</v>
      </c>
      <c r="J1584" s="3">
        <v>46170.695914351854</v>
      </c>
      <c r="K1584" s="2" t="s">
        <v>8350</v>
      </c>
      <c r="L1584" s="1">
        <v>19</v>
      </c>
      <c r="M1584" s="1">
        <v>19</v>
      </c>
      <c r="N1584" s="1">
        <v>0</v>
      </c>
      <c r="O1584" s="3">
        <v>46233.65914210648</v>
      </c>
    </row>
    <row r="1585" spans="1:15" x14ac:dyDescent="0.25">
      <c r="A1585" s="5" t="s">
        <v>4919</v>
      </c>
      <c r="B1585" s="1" t="s">
        <v>9542</v>
      </c>
      <c r="C1585" s="1">
        <v>1727</v>
      </c>
      <c r="D1585" s="1" t="s">
        <v>14</v>
      </c>
      <c r="E1585" s="1">
        <v>1779</v>
      </c>
      <c r="F1585" s="1" t="s">
        <v>14</v>
      </c>
      <c r="G1585" s="1" t="s">
        <v>10</v>
      </c>
      <c r="J1585" s="3">
        <v>46204.524421296293</v>
      </c>
      <c r="K1585" s="2" t="s">
        <v>9544</v>
      </c>
      <c r="L1585" s="1">
        <v>291</v>
      </c>
      <c r="M1585" s="1">
        <v>295</v>
      </c>
      <c r="N1585" s="1">
        <v>4</v>
      </c>
      <c r="O1585" s="3">
        <v>46233.65914210648</v>
      </c>
    </row>
    <row r="1586" spans="1:15" ht="45" x14ac:dyDescent="0.25">
      <c r="A1586" s="5" t="s">
        <v>4922</v>
      </c>
      <c r="B1586" s="1" t="s">
        <v>9545</v>
      </c>
      <c r="C1586" s="1">
        <v>1988</v>
      </c>
      <c r="J1586" s="3">
        <v>46189.745659722219</v>
      </c>
      <c r="K1586" s="2" t="s">
        <v>9546</v>
      </c>
      <c r="L1586" s="1">
        <v>17</v>
      </c>
      <c r="M1586" s="1">
        <v>17</v>
      </c>
      <c r="N1586" s="1">
        <v>0</v>
      </c>
      <c r="O1586" s="3">
        <v>46233.65914210648</v>
      </c>
    </row>
    <row r="1587" spans="1:15" ht="60" x14ac:dyDescent="0.25">
      <c r="A1587" s="5" t="s">
        <v>4925</v>
      </c>
      <c r="B1587" s="1" t="s">
        <v>9547</v>
      </c>
      <c r="C1587" s="1">
        <v>1905</v>
      </c>
      <c r="E1587" s="1">
        <v>1989</v>
      </c>
      <c r="G1587" s="1" t="s">
        <v>10</v>
      </c>
      <c r="J1587" s="3">
        <v>46189.729699074072</v>
      </c>
      <c r="K1587" s="2" t="s">
        <v>9548</v>
      </c>
      <c r="L1587" s="1">
        <v>15</v>
      </c>
      <c r="M1587" s="1">
        <v>15</v>
      </c>
      <c r="N1587" s="1">
        <v>0</v>
      </c>
      <c r="O1587" s="3">
        <v>46233.65914210648</v>
      </c>
    </row>
    <row r="1588" spans="1:15" ht="105" x14ac:dyDescent="0.25">
      <c r="A1588" s="5" t="s">
        <v>4928</v>
      </c>
      <c r="B1588" s="1" t="s">
        <v>9549</v>
      </c>
      <c r="C1588" s="1">
        <v>1885</v>
      </c>
      <c r="E1588" s="1">
        <v>1944</v>
      </c>
      <c r="J1588" s="3">
        <v>46121.692557870374</v>
      </c>
      <c r="K1588" s="2" t="s">
        <v>9550</v>
      </c>
      <c r="L1588" s="1">
        <v>1</v>
      </c>
      <c r="M1588" s="1">
        <v>1</v>
      </c>
      <c r="N1588" s="1">
        <v>0</v>
      </c>
      <c r="O1588" s="3">
        <v>46233.65914210648</v>
      </c>
    </row>
    <row r="1589" spans="1:15" ht="105" x14ac:dyDescent="0.25">
      <c r="A1589" s="5" t="s">
        <v>4931</v>
      </c>
      <c r="B1589" s="1" t="s">
        <v>9551</v>
      </c>
      <c r="C1589" s="1">
        <v>1984</v>
      </c>
      <c r="J1589" s="3">
        <v>46191.540486111109</v>
      </c>
      <c r="K1589" s="2" t="s">
        <v>9552</v>
      </c>
      <c r="L1589" s="1">
        <v>21</v>
      </c>
      <c r="M1589" s="1">
        <v>21</v>
      </c>
      <c r="N1589" s="1">
        <v>0</v>
      </c>
      <c r="O1589" s="3">
        <v>46233.65914210648</v>
      </c>
    </row>
    <row r="1590" spans="1:15" x14ac:dyDescent="0.25">
      <c r="A1590" s="5" t="s">
        <v>4934</v>
      </c>
      <c r="B1590" s="1" t="s">
        <v>9553</v>
      </c>
      <c r="C1590" s="1" t="s">
        <v>12</v>
      </c>
      <c r="G1590" s="1" t="s">
        <v>10</v>
      </c>
      <c r="J1590" s="3">
        <v>46199.493368055555</v>
      </c>
      <c r="K1590" s="2" t="s">
        <v>9554</v>
      </c>
      <c r="L1590" s="1">
        <v>4</v>
      </c>
      <c r="M1590" s="1">
        <v>5</v>
      </c>
      <c r="N1590" s="1">
        <v>1</v>
      </c>
      <c r="O1590" s="3">
        <v>46233.65914210648</v>
      </c>
    </row>
    <row r="1591" spans="1:15" ht="30" x14ac:dyDescent="0.25">
      <c r="A1591" s="5" t="s">
        <v>4937</v>
      </c>
      <c r="B1591" s="1" t="s">
        <v>9555</v>
      </c>
      <c r="C1591" s="1">
        <v>1685</v>
      </c>
      <c r="E1591" s="1">
        <v>1734</v>
      </c>
      <c r="G1591" s="1" t="s">
        <v>10</v>
      </c>
      <c r="J1591" s="3">
        <v>46189.364247685182</v>
      </c>
      <c r="K1591" s="2" t="s">
        <v>9558</v>
      </c>
      <c r="L1591" s="1">
        <v>9</v>
      </c>
      <c r="M1591" s="1">
        <v>9</v>
      </c>
      <c r="N1591" s="1">
        <v>0</v>
      </c>
      <c r="O1591" s="3">
        <v>46233.65914210648</v>
      </c>
    </row>
    <row r="1592" spans="1:15" x14ac:dyDescent="0.25">
      <c r="A1592" s="5" t="s">
        <v>4940</v>
      </c>
      <c r="B1592" s="1" t="s">
        <v>9559</v>
      </c>
      <c r="J1592" s="3">
        <v>46044.624166666668</v>
      </c>
      <c r="L1592" s="1">
        <v>0</v>
      </c>
      <c r="M1592" s="1">
        <v>0</v>
      </c>
      <c r="N1592" s="1">
        <v>0</v>
      </c>
      <c r="O1592" s="3">
        <v>46233.65914210648</v>
      </c>
    </row>
    <row r="1593" spans="1:15" ht="30" x14ac:dyDescent="0.25">
      <c r="A1593" s="5" t="s">
        <v>4943</v>
      </c>
      <c r="B1593" s="1" t="s">
        <v>9560</v>
      </c>
      <c r="C1593" s="1" t="s">
        <v>12</v>
      </c>
      <c r="G1593" s="1" t="s">
        <v>11</v>
      </c>
      <c r="J1593" s="3">
        <v>46192.4768287037</v>
      </c>
      <c r="K1593" s="2" t="s">
        <v>9561</v>
      </c>
      <c r="L1593" s="1">
        <v>2</v>
      </c>
      <c r="M1593" s="1">
        <v>2</v>
      </c>
      <c r="N1593" s="1">
        <v>0</v>
      </c>
      <c r="O1593" s="3">
        <v>46233.65914210648</v>
      </c>
    </row>
    <row r="1594" spans="1:15" ht="30" x14ac:dyDescent="0.25">
      <c r="A1594" s="5" t="s">
        <v>4946</v>
      </c>
      <c r="B1594" s="1" t="s">
        <v>9562</v>
      </c>
      <c r="C1594" s="1">
        <v>1690</v>
      </c>
      <c r="E1594" s="1">
        <v>1743</v>
      </c>
      <c r="G1594" s="1" t="s">
        <v>10</v>
      </c>
      <c r="J1594" s="3">
        <v>46181.641250000001</v>
      </c>
      <c r="K1594" s="2" t="s">
        <v>9564</v>
      </c>
      <c r="L1594" s="1">
        <v>17</v>
      </c>
      <c r="M1594" s="1">
        <v>17</v>
      </c>
      <c r="N1594" s="1">
        <v>0</v>
      </c>
      <c r="O1594" s="3">
        <v>46233.65914210648</v>
      </c>
    </row>
    <row r="1595" spans="1:15" ht="45" x14ac:dyDescent="0.25">
      <c r="A1595" s="5" t="s">
        <v>4949</v>
      </c>
      <c r="B1595" s="1" t="s">
        <v>9565</v>
      </c>
      <c r="C1595" s="1">
        <v>1892</v>
      </c>
      <c r="D1595" s="1" t="s">
        <v>14</v>
      </c>
      <c r="E1595" s="1">
        <v>1956</v>
      </c>
      <c r="F1595" s="1" t="s">
        <v>14</v>
      </c>
      <c r="G1595" s="1" t="s">
        <v>10</v>
      </c>
      <c r="J1595" s="3">
        <v>46201.399467592593</v>
      </c>
      <c r="K1595" s="2" t="s">
        <v>9566</v>
      </c>
      <c r="L1595" s="1">
        <v>85</v>
      </c>
      <c r="M1595" s="1">
        <v>88</v>
      </c>
      <c r="N1595" s="1">
        <v>3</v>
      </c>
      <c r="O1595" s="3">
        <v>46233.65914210648</v>
      </c>
    </row>
    <row r="1596" spans="1:15" ht="45" x14ac:dyDescent="0.25">
      <c r="A1596" s="5" t="s">
        <v>4952</v>
      </c>
      <c r="B1596" s="1" t="s">
        <v>9567</v>
      </c>
      <c r="C1596" s="1">
        <v>1925</v>
      </c>
      <c r="E1596" s="1">
        <v>1990</v>
      </c>
      <c r="G1596" s="1" t="s">
        <v>10</v>
      </c>
      <c r="J1596" s="3">
        <v>46191.419085648151</v>
      </c>
      <c r="K1596" s="2" t="s">
        <v>9568</v>
      </c>
      <c r="L1596" s="1">
        <v>4</v>
      </c>
      <c r="M1596" s="1">
        <v>4</v>
      </c>
      <c r="N1596" s="1">
        <v>0</v>
      </c>
      <c r="O1596" s="3">
        <v>46233.65914210648</v>
      </c>
    </row>
    <row r="1597" spans="1:15" x14ac:dyDescent="0.25">
      <c r="A1597" s="5" t="s">
        <v>4955</v>
      </c>
      <c r="B1597" s="1" t="s">
        <v>9569</v>
      </c>
      <c r="C1597" s="1">
        <v>1915</v>
      </c>
      <c r="D1597" s="1" t="s">
        <v>15</v>
      </c>
      <c r="E1597" s="1">
        <v>2002</v>
      </c>
      <c r="F1597" s="1" t="s">
        <v>14</v>
      </c>
      <c r="G1597" s="1" t="s">
        <v>10</v>
      </c>
      <c r="J1597" s="3">
        <v>46194.377337962964</v>
      </c>
      <c r="K1597" s="2" t="s">
        <v>9570</v>
      </c>
      <c r="L1597" s="1">
        <v>44</v>
      </c>
      <c r="M1597" s="1">
        <v>46</v>
      </c>
      <c r="N1597" s="1">
        <v>2</v>
      </c>
      <c r="O1597" s="3">
        <v>46233.65914210648</v>
      </c>
    </row>
    <row r="1598" spans="1:15" ht="315" x14ac:dyDescent="0.25">
      <c r="A1598" s="5" t="s">
        <v>4958</v>
      </c>
      <c r="B1598" s="1" t="s">
        <v>9571</v>
      </c>
      <c r="C1598" s="1">
        <v>1878</v>
      </c>
      <c r="D1598" s="1" t="s">
        <v>9572</v>
      </c>
      <c r="E1598" s="1">
        <v>1968</v>
      </c>
      <c r="F1598" s="1" t="s">
        <v>160</v>
      </c>
      <c r="G1598" s="1" t="s">
        <v>11</v>
      </c>
      <c r="H1598" s="2" t="s">
        <v>140</v>
      </c>
      <c r="I1598" s="2" t="s">
        <v>140</v>
      </c>
      <c r="J1598" s="3">
        <v>46185.5625462963</v>
      </c>
      <c r="K1598" s="2" t="s">
        <v>9573</v>
      </c>
      <c r="L1598" s="1">
        <v>15</v>
      </c>
      <c r="M1598" s="1">
        <v>20</v>
      </c>
      <c r="N1598" s="1">
        <v>5</v>
      </c>
      <c r="O1598" s="3">
        <v>46233.65914210648</v>
      </c>
    </row>
    <row r="1599" spans="1:15" ht="105" x14ac:dyDescent="0.25">
      <c r="A1599" s="5" t="s">
        <v>4961</v>
      </c>
      <c r="B1599" s="1" t="s">
        <v>9574</v>
      </c>
      <c r="C1599" s="1">
        <v>1941</v>
      </c>
      <c r="J1599" s="3">
        <v>46187.391192129631</v>
      </c>
      <c r="K1599" s="2" t="s">
        <v>9575</v>
      </c>
      <c r="L1599" s="1">
        <v>23</v>
      </c>
      <c r="M1599" s="1">
        <v>31</v>
      </c>
      <c r="N1599" s="1">
        <v>8</v>
      </c>
      <c r="O1599" s="3">
        <v>46233.65914210648</v>
      </c>
    </row>
    <row r="1600" spans="1:15" ht="30" x14ac:dyDescent="0.25">
      <c r="A1600" s="5" t="s">
        <v>4964</v>
      </c>
      <c r="B1600" s="1" t="s">
        <v>9576</v>
      </c>
      <c r="C1600" s="1">
        <v>1816</v>
      </c>
      <c r="J1600" s="3">
        <v>46199.79923611111</v>
      </c>
      <c r="K1600" s="2" t="s">
        <v>9578</v>
      </c>
      <c r="L1600" s="1">
        <v>43</v>
      </c>
      <c r="M1600" s="1">
        <v>49</v>
      </c>
      <c r="N1600" s="1">
        <v>6</v>
      </c>
      <c r="O1600" s="3">
        <v>46233.65914210648</v>
      </c>
    </row>
    <row r="1601" spans="1:15" ht="60" x14ac:dyDescent="0.25">
      <c r="A1601" s="5" t="s">
        <v>4967</v>
      </c>
      <c r="B1601" s="1" t="s">
        <v>9579</v>
      </c>
      <c r="C1601" s="1" t="s">
        <v>12</v>
      </c>
      <c r="G1601" s="1" t="s">
        <v>10</v>
      </c>
      <c r="J1601" s="3">
        <v>46184.490856481483</v>
      </c>
      <c r="K1601" s="2" t="s">
        <v>9580</v>
      </c>
      <c r="L1601" s="1">
        <v>1</v>
      </c>
      <c r="M1601" s="1">
        <v>1</v>
      </c>
      <c r="N1601" s="1">
        <v>0</v>
      </c>
      <c r="O1601" s="3">
        <v>46233.65914210648</v>
      </c>
    </row>
    <row r="1602" spans="1:15" ht="30" x14ac:dyDescent="0.25">
      <c r="A1602" s="5" t="s">
        <v>4970</v>
      </c>
      <c r="B1602" s="1" t="s">
        <v>9581</v>
      </c>
      <c r="C1602" s="1">
        <v>1977</v>
      </c>
      <c r="G1602" s="1" t="s">
        <v>11</v>
      </c>
      <c r="J1602" s="3">
        <v>46189.413298611114</v>
      </c>
      <c r="K1602" s="2" t="s">
        <v>9582</v>
      </c>
      <c r="L1602" s="1">
        <v>4</v>
      </c>
      <c r="M1602" s="1">
        <v>5</v>
      </c>
      <c r="N1602" s="1">
        <v>1</v>
      </c>
      <c r="O1602" s="3">
        <v>46233.65914210648</v>
      </c>
    </row>
    <row r="1603" spans="1:15" ht="60" x14ac:dyDescent="0.25">
      <c r="A1603" s="5" t="s">
        <v>4973</v>
      </c>
      <c r="B1603" s="1" t="s">
        <v>9583</v>
      </c>
      <c r="C1603" s="1">
        <v>1739</v>
      </c>
      <c r="D1603" s="1" t="s">
        <v>14</v>
      </c>
      <c r="E1603" s="1">
        <v>1819</v>
      </c>
      <c r="F1603" s="1" t="s">
        <v>9349</v>
      </c>
      <c r="G1603" s="1" t="s">
        <v>10</v>
      </c>
      <c r="J1603" s="3">
        <v>46180.413321759261</v>
      </c>
      <c r="K1603" s="2" t="s">
        <v>9584</v>
      </c>
      <c r="L1603" s="1">
        <v>55</v>
      </c>
      <c r="M1603" s="1">
        <v>56</v>
      </c>
      <c r="N1603" s="1">
        <v>1</v>
      </c>
      <c r="O1603" s="3">
        <v>46233.65914210648</v>
      </c>
    </row>
    <row r="1604" spans="1:15" ht="135" x14ac:dyDescent="0.25">
      <c r="A1604" s="5" t="s">
        <v>4976</v>
      </c>
      <c r="B1604" s="1" t="s">
        <v>9585</v>
      </c>
      <c r="C1604" s="1" t="s">
        <v>12</v>
      </c>
      <c r="G1604" s="1" t="s">
        <v>11</v>
      </c>
      <c r="J1604" s="3">
        <v>46191.650729166664</v>
      </c>
      <c r="K1604" s="2" t="s">
        <v>9586</v>
      </c>
      <c r="L1604" s="1">
        <v>4</v>
      </c>
      <c r="M1604" s="1">
        <v>4</v>
      </c>
      <c r="N1604" s="1">
        <v>0</v>
      </c>
      <c r="O1604" s="3">
        <v>46233.65914210648</v>
      </c>
    </row>
    <row r="1605" spans="1:15" x14ac:dyDescent="0.25">
      <c r="A1605" s="5" t="s">
        <v>4979</v>
      </c>
      <c r="B1605" s="1" t="s">
        <v>9587</v>
      </c>
      <c r="C1605" s="1">
        <v>1843</v>
      </c>
      <c r="E1605" s="1">
        <v>1918</v>
      </c>
      <c r="J1605" s="3">
        <v>46057.487939814811</v>
      </c>
      <c r="L1605" s="1">
        <v>6</v>
      </c>
      <c r="M1605" s="1">
        <v>7</v>
      </c>
      <c r="N1605" s="1">
        <v>1</v>
      </c>
      <c r="O1605" s="3">
        <v>46233.65914210648</v>
      </c>
    </row>
    <row r="1606" spans="1:15" ht="135" x14ac:dyDescent="0.25">
      <c r="A1606" s="5" t="s">
        <v>4982</v>
      </c>
      <c r="B1606" s="1" t="s">
        <v>9588</v>
      </c>
      <c r="C1606" s="1">
        <v>1857</v>
      </c>
      <c r="E1606" s="1">
        <v>1931</v>
      </c>
      <c r="G1606" s="1" t="s">
        <v>10</v>
      </c>
      <c r="J1606" s="3">
        <v>46191.591296296298</v>
      </c>
      <c r="K1606" s="2" t="s">
        <v>9589</v>
      </c>
      <c r="L1606" s="1">
        <v>6</v>
      </c>
      <c r="M1606" s="1">
        <v>6</v>
      </c>
      <c r="N1606" s="1">
        <v>0</v>
      </c>
      <c r="O1606" s="3">
        <v>46233.65914210648</v>
      </c>
    </row>
    <row r="1607" spans="1:15" ht="60" x14ac:dyDescent="0.25">
      <c r="A1607" s="5" t="s">
        <v>4985</v>
      </c>
      <c r="B1607" s="1" t="s">
        <v>9590</v>
      </c>
      <c r="C1607" s="1" t="s">
        <v>12</v>
      </c>
      <c r="G1607" s="1" t="s">
        <v>10</v>
      </c>
      <c r="J1607" s="3">
        <v>46191.466608796298</v>
      </c>
      <c r="K1607" s="2" t="s">
        <v>9591</v>
      </c>
      <c r="L1607" s="1">
        <v>4</v>
      </c>
      <c r="M1607" s="1">
        <v>4</v>
      </c>
      <c r="N1607" s="1">
        <v>0</v>
      </c>
      <c r="O1607" s="3">
        <v>46233.65914210648</v>
      </c>
    </row>
    <row r="1608" spans="1:15" ht="75" x14ac:dyDescent="0.25">
      <c r="A1608" s="5" t="s">
        <v>4988</v>
      </c>
      <c r="B1608" s="1" t="s">
        <v>9592</v>
      </c>
      <c r="C1608" s="1">
        <v>1950</v>
      </c>
      <c r="D1608" s="1" t="s">
        <v>14</v>
      </c>
      <c r="G1608" s="1" t="s">
        <v>11</v>
      </c>
      <c r="J1608" s="3">
        <v>46180.399421296293</v>
      </c>
      <c r="K1608" s="2" t="s">
        <v>9593</v>
      </c>
      <c r="L1608" s="1">
        <v>12</v>
      </c>
      <c r="M1608" s="1">
        <v>17</v>
      </c>
      <c r="N1608" s="1">
        <v>5</v>
      </c>
      <c r="O1608" s="3">
        <v>46233.65914210648</v>
      </c>
    </row>
    <row r="1609" spans="1:15" ht="409.5" x14ac:dyDescent="0.25">
      <c r="A1609" s="5" t="s">
        <v>4991</v>
      </c>
      <c r="B1609" s="1" t="s">
        <v>9594</v>
      </c>
      <c r="C1609" s="1">
        <v>1845</v>
      </c>
      <c r="D1609" s="1" t="s">
        <v>9595</v>
      </c>
      <c r="E1609" s="1">
        <v>1892</v>
      </c>
      <c r="F1609" s="1" t="s">
        <v>9596</v>
      </c>
      <c r="G1609" s="1" t="s">
        <v>10</v>
      </c>
      <c r="H1609" s="2" t="s">
        <v>10499</v>
      </c>
      <c r="I1609" s="2" t="s">
        <v>140</v>
      </c>
      <c r="J1609" s="3">
        <v>46180.410763888889</v>
      </c>
      <c r="K1609" s="2" t="s">
        <v>9597</v>
      </c>
      <c r="L1609" s="1">
        <v>61</v>
      </c>
      <c r="M1609" s="1">
        <v>61</v>
      </c>
      <c r="N1609" s="1">
        <v>0</v>
      </c>
      <c r="O1609" s="3">
        <v>46233.65914210648</v>
      </c>
    </row>
    <row r="1610" spans="1:15" ht="30" x14ac:dyDescent="0.25">
      <c r="A1610" s="5" t="s">
        <v>4994</v>
      </c>
      <c r="B1610" s="1" t="s">
        <v>9598</v>
      </c>
      <c r="C1610" s="1">
        <v>1886</v>
      </c>
      <c r="E1610" s="1">
        <v>1962</v>
      </c>
      <c r="G1610" s="1" t="s">
        <v>10</v>
      </c>
      <c r="J1610" s="3">
        <v>46188.613599537035</v>
      </c>
      <c r="K1610" s="2" t="s">
        <v>9599</v>
      </c>
      <c r="L1610" s="1">
        <v>23</v>
      </c>
      <c r="M1610" s="1">
        <v>23</v>
      </c>
      <c r="N1610" s="1">
        <v>0</v>
      </c>
      <c r="O1610" s="3">
        <v>46233.65914210648</v>
      </c>
    </row>
    <row r="1611" spans="1:15" ht="30" x14ac:dyDescent="0.25">
      <c r="A1611" s="5" t="s">
        <v>4997</v>
      </c>
      <c r="B1611" s="1" t="s">
        <v>9600</v>
      </c>
      <c r="C1611" s="1">
        <v>1706</v>
      </c>
      <c r="E1611" s="1">
        <v>1780</v>
      </c>
      <c r="G1611" s="1" t="s">
        <v>10</v>
      </c>
      <c r="J1611" s="3">
        <v>46189.351574074077</v>
      </c>
      <c r="K1611" s="2" t="s">
        <v>9601</v>
      </c>
      <c r="L1611" s="1">
        <v>5</v>
      </c>
      <c r="M1611" s="1">
        <v>5</v>
      </c>
      <c r="N1611" s="1">
        <v>0</v>
      </c>
      <c r="O1611" s="3">
        <v>46233.65914210648</v>
      </c>
    </row>
    <row r="1612" spans="1:15" ht="60" x14ac:dyDescent="0.25">
      <c r="A1612" s="5" t="s">
        <v>5000</v>
      </c>
      <c r="B1612" s="1" t="s">
        <v>9602</v>
      </c>
      <c r="C1612" s="1">
        <v>1847</v>
      </c>
      <c r="E1612" s="1">
        <v>1993</v>
      </c>
      <c r="J1612" s="3">
        <v>46183.730949074074</v>
      </c>
      <c r="K1612" s="2" t="s">
        <v>9603</v>
      </c>
      <c r="L1612" s="1">
        <v>16</v>
      </c>
      <c r="M1612" s="1">
        <v>17</v>
      </c>
      <c r="N1612" s="1">
        <v>1</v>
      </c>
      <c r="O1612" s="3">
        <v>46233.65914210648</v>
      </c>
    </row>
    <row r="1613" spans="1:15" x14ac:dyDescent="0.25">
      <c r="A1613" s="5" t="s">
        <v>5003</v>
      </c>
      <c r="B1613" s="1" t="s">
        <v>9604</v>
      </c>
      <c r="C1613" s="1" t="s">
        <v>12</v>
      </c>
      <c r="G1613" s="1" t="s">
        <v>10</v>
      </c>
      <c r="J1613" s="3">
        <v>46135.350659722222</v>
      </c>
      <c r="L1613" s="1">
        <v>1</v>
      </c>
      <c r="M1613" s="1">
        <v>1</v>
      </c>
      <c r="N1613" s="1">
        <v>0</v>
      </c>
      <c r="O1613" s="3">
        <v>46233.65914210648</v>
      </c>
    </row>
    <row r="1614" spans="1:15" ht="45" x14ac:dyDescent="0.25">
      <c r="A1614" s="5" t="s">
        <v>5006</v>
      </c>
      <c r="B1614" s="1" t="s">
        <v>9605</v>
      </c>
      <c r="C1614" s="1">
        <v>1905</v>
      </c>
      <c r="D1614" s="1" t="s">
        <v>8878</v>
      </c>
      <c r="E1614" s="1">
        <v>1990</v>
      </c>
      <c r="J1614" s="3">
        <v>46201.402268518519</v>
      </c>
      <c r="K1614" s="2" t="s">
        <v>9606</v>
      </c>
      <c r="L1614" s="1">
        <v>20</v>
      </c>
      <c r="M1614" s="1">
        <v>22</v>
      </c>
      <c r="N1614" s="1">
        <v>2</v>
      </c>
      <c r="O1614" s="3">
        <v>46233.65914210648</v>
      </c>
    </row>
    <row r="1615" spans="1:15" x14ac:dyDescent="0.25">
      <c r="A1615" s="5" t="s">
        <v>5009</v>
      </c>
      <c r="B1615" s="1" t="s">
        <v>9607</v>
      </c>
      <c r="C1615" s="1">
        <v>2013</v>
      </c>
      <c r="G1615" s="1" t="s">
        <v>10</v>
      </c>
      <c r="J1615" s="3">
        <v>46199.496689814812</v>
      </c>
      <c r="K1615" s="2" t="s">
        <v>125</v>
      </c>
      <c r="L1615" s="1">
        <v>1</v>
      </c>
      <c r="M1615" s="1">
        <v>1</v>
      </c>
      <c r="N1615" s="1">
        <v>0</v>
      </c>
      <c r="O1615" s="3">
        <v>46233.65914210648</v>
      </c>
    </row>
    <row r="1616" spans="1:15" ht="165" x14ac:dyDescent="0.25">
      <c r="A1616" s="5" t="s">
        <v>5012</v>
      </c>
      <c r="B1616" s="1" t="s">
        <v>9608</v>
      </c>
      <c r="C1616" s="1">
        <v>1727</v>
      </c>
      <c r="E1616" s="1">
        <v>1798</v>
      </c>
      <c r="G1616" s="1" t="s">
        <v>10</v>
      </c>
      <c r="J1616" s="3">
        <v>46191.577847222223</v>
      </c>
      <c r="K1616" s="2" t="s">
        <v>9609</v>
      </c>
      <c r="L1616" s="1">
        <v>7</v>
      </c>
      <c r="M1616" s="1">
        <v>7</v>
      </c>
      <c r="N1616" s="1">
        <v>0</v>
      </c>
      <c r="O1616" s="3">
        <v>46233.65914210648</v>
      </c>
    </row>
    <row r="1617" spans="1:15" ht="210" x14ac:dyDescent="0.25">
      <c r="A1617" s="5" t="s">
        <v>5015</v>
      </c>
      <c r="B1617" s="1" t="s">
        <v>9610</v>
      </c>
      <c r="C1617" s="1" t="s">
        <v>12</v>
      </c>
      <c r="G1617" s="1" t="s">
        <v>10</v>
      </c>
      <c r="J1617" s="3">
        <v>46199.358587962961</v>
      </c>
      <c r="K1617" s="2" t="s">
        <v>9611</v>
      </c>
      <c r="L1617" s="1">
        <v>4</v>
      </c>
      <c r="M1617" s="1">
        <v>8</v>
      </c>
      <c r="N1617" s="1">
        <v>4</v>
      </c>
      <c r="O1617" s="3">
        <v>46233.65914210648</v>
      </c>
    </row>
    <row r="1618" spans="1:15" ht="30" x14ac:dyDescent="0.25">
      <c r="A1618" s="5" t="s">
        <v>5018</v>
      </c>
      <c r="B1618" s="1" t="s">
        <v>9612</v>
      </c>
      <c r="C1618" s="1">
        <v>1968</v>
      </c>
      <c r="G1618" s="1" t="s">
        <v>11</v>
      </c>
      <c r="J1618" s="3">
        <v>46189.438055555554</v>
      </c>
      <c r="K1618" s="2" t="s">
        <v>9613</v>
      </c>
      <c r="L1618" s="1">
        <v>5</v>
      </c>
      <c r="M1618" s="1">
        <v>5</v>
      </c>
      <c r="N1618" s="1">
        <v>0</v>
      </c>
      <c r="O1618" s="3">
        <v>46233.65914210648</v>
      </c>
    </row>
    <row r="1619" spans="1:15" ht="30" x14ac:dyDescent="0.25">
      <c r="A1619" s="5" t="s">
        <v>5021</v>
      </c>
      <c r="B1619" s="1" t="s">
        <v>9614</v>
      </c>
      <c r="C1619" s="1">
        <v>1942</v>
      </c>
      <c r="G1619" s="1" t="s">
        <v>10</v>
      </c>
      <c r="J1619" s="3">
        <v>46188.681354166663</v>
      </c>
      <c r="K1619" s="2" t="s">
        <v>9615</v>
      </c>
      <c r="L1619" s="1">
        <v>6</v>
      </c>
      <c r="M1619" s="1">
        <v>6</v>
      </c>
      <c r="N1619" s="1">
        <v>0</v>
      </c>
      <c r="O1619" s="3">
        <v>46233.65914210648</v>
      </c>
    </row>
    <row r="1620" spans="1:15" ht="75" x14ac:dyDescent="0.25">
      <c r="A1620" s="5" t="s">
        <v>5024</v>
      </c>
      <c r="B1620" s="1" t="s">
        <v>9616</v>
      </c>
      <c r="C1620" s="1">
        <v>1864</v>
      </c>
      <c r="D1620" s="1" t="s">
        <v>14</v>
      </c>
      <c r="E1620" s="1">
        <v>1911</v>
      </c>
      <c r="F1620" s="1" t="s">
        <v>8301</v>
      </c>
      <c r="G1620" s="1" t="s">
        <v>10</v>
      </c>
      <c r="H1620" s="2" t="s">
        <v>8458</v>
      </c>
      <c r="J1620" s="3">
        <v>46187.387106481481</v>
      </c>
      <c r="K1620" s="2" t="s">
        <v>9617</v>
      </c>
      <c r="L1620" s="1">
        <v>87</v>
      </c>
      <c r="M1620" s="1">
        <v>99</v>
      </c>
      <c r="N1620" s="1">
        <v>12</v>
      </c>
      <c r="O1620" s="3">
        <v>46233.65914210648</v>
      </c>
    </row>
    <row r="1621" spans="1:15" x14ac:dyDescent="0.25">
      <c r="A1621" s="5" t="s">
        <v>5027</v>
      </c>
      <c r="B1621" s="1" t="s">
        <v>9618</v>
      </c>
      <c r="C1621" s="1" t="s">
        <v>12</v>
      </c>
      <c r="G1621" s="1" t="s">
        <v>11</v>
      </c>
      <c r="J1621" s="3">
        <v>46194.399745370371</v>
      </c>
      <c r="K1621" s="2" t="s">
        <v>9619</v>
      </c>
      <c r="L1621" s="1">
        <v>6</v>
      </c>
      <c r="M1621" s="1">
        <v>6</v>
      </c>
      <c r="N1621" s="1">
        <v>0</v>
      </c>
      <c r="O1621" s="3">
        <v>46233.65914210648</v>
      </c>
    </row>
    <row r="1622" spans="1:15" x14ac:dyDescent="0.25">
      <c r="A1622" s="5" t="s">
        <v>5030</v>
      </c>
      <c r="B1622" s="1" t="s">
        <v>9620</v>
      </c>
      <c r="J1622" s="3">
        <v>46055.481817129628</v>
      </c>
      <c r="L1622" s="1">
        <v>37</v>
      </c>
      <c r="M1622" s="1">
        <v>37</v>
      </c>
      <c r="N1622" s="1">
        <v>0</v>
      </c>
      <c r="O1622" s="3">
        <v>46233.65914210648</v>
      </c>
    </row>
    <row r="1623" spans="1:15" ht="90" x14ac:dyDescent="0.25">
      <c r="A1623" s="5" t="s">
        <v>5033</v>
      </c>
      <c r="B1623" s="1" t="s">
        <v>9621</v>
      </c>
      <c r="C1623" s="1" t="s">
        <v>12</v>
      </c>
      <c r="G1623" s="1" t="s">
        <v>11</v>
      </c>
      <c r="J1623" s="3">
        <v>46175.598645833335</v>
      </c>
      <c r="K1623" s="2" t="s">
        <v>9622</v>
      </c>
      <c r="L1623" s="1">
        <v>22</v>
      </c>
      <c r="M1623" s="1">
        <v>24</v>
      </c>
      <c r="N1623" s="1">
        <v>2</v>
      </c>
      <c r="O1623" s="3">
        <v>46233.65914210648</v>
      </c>
    </row>
    <row r="1624" spans="1:15" ht="45" x14ac:dyDescent="0.25">
      <c r="A1624" s="5" t="s">
        <v>5036</v>
      </c>
      <c r="B1624" s="1" t="s">
        <v>9623</v>
      </c>
      <c r="C1624" s="1">
        <v>1937</v>
      </c>
      <c r="D1624" s="1" t="s">
        <v>14</v>
      </c>
      <c r="E1624" s="1">
        <v>2023</v>
      </c>
      <c r="F1624" s="1" t="s">
        <v>14</v>
      </c>
      <c r="G1624" s="1" t="s">
        <v>11</v>
      </c>
      <c r="J1624" s="3">
        <v>46194.396874999999</v>
      </c>
      <c r="K1624" s="2" t="s">
        <v>9624</v>
      </c>
      <c r="L1624" s="1">
        <v>31</v>
      </c>
      <c r="M1624" s="1">
        <v>36</v>
      </c>
      <c r="N1624" s="1">
        <v>5</v>
      </c>
      <c r="O1624" s="3">
        <v>46233.65914210648</v>
      </c>
    </row>
    <row r="1625" spans="1:15" ht="30" x14ac:dyDescent="0.25">
      <c r="A1625" s="5" t="s">
        <v>5039</v>
      </c>
      <c r="B1625" s="1" t="s">
        <v>9625</v>
      </c>
      <c r="C1625" s="1">
        <v>1868</v>
      </c>
      <c r="E1625" s="1">
        <v>1928</v>
      </c>
      <c r="G1625" s="1" t="s">
        <v>10</v>
      </c>
      <c r="J1625" s="3">
        <v>46189.633043981485</v>
      </c>
      <c r="K1625" s="2" t="s">
        <v>9626</v>
      </c>
      <c r="L1625" s="1">
        <v>6</v>
      </c>
      <c r="M1625" s="1">
        <v>6</v>
      </c>
      <c r="N1625" s="1">
        <v>0</v>
      </c>
      <c r="O1625" s="3">
        <v>46233.65914210648</v>
      </c>
    </row>
    <row r="1626" spans="1:15" ht="45" x14ac:dyDescent="0.25">
      <c r="A1626" s="5" t="s">
        <v>5042</v>
      </c>
      <c r="B1626" s="1" t="s">
        <v>9627</v>
      </c>
      <c r="C1626" s="1">
        <v>1946</v>
      </c>
      <c r="G1626" s="1" t="s">
        <v>10</v>
      </c>
      <c r="J1626" s="3">
        <v>46184.66951388889</v>
      </c>
      <c r="K1626" s="2" t="s">
        <v>9628</v>
      </c>
      <c r="L1626" s="1">
        <v>17</v>
      </c>
      <c r="M1626" s="1">
        <v>18</v>
      </c>
      <c r="N1626" s="1">
        <v>1</v>
      </c>
      <c r="O1626" s="3">
        <v>46233.65914210648</v>
      </c>
    </row>
    <row r="1627" spans="1:15" ht="45" x14ac:dyDescent="0.25">
      <c r="A1627" s="5" t="s">
        <v>5045</v>
      </c>
      <c r="B1627" s="1" t="s">
        <v>9629</v>
      </c>
      <c r="C1627" s="1">
        <v>1948</v>
      </c>
      <c r="G1627" s="1" t="s">
        <v>10</v>
      </c>
      <c r="J1627" s="3">
        <v>46199.519594907404</v>
      </c>
      <c r="K1627" s="2" t="s">
        <v>9630</v>
      </c>
      <c r="L1627" s="1">
        <v>12</v>
      </c>
      <c r="M1627" s="1">
        <v>12</v>
      </c>
      <c r="N1627" s="1">
        <v>0</v>
      </c>
      <c r="O1627" s="3">
        <v>46233.65914210648</v>
      </c>
    </row>
    <row r="1628" spans="1:15" ht="255" x14ac:dyDescent="0.25">
      <c r="A1628" s="5" t="s">
        <v>5048</v>
      </c>
      <c r="B1628" s="1" t="s">
        <v>9631</v>
      </c>
      <c r="C1628" s="1">
        <v>1802</v>
      </c>
      <c r="D1628" s="1" t="s">
        <v>14</v>
      </c>
      <c r="E1628" s="1">
        <v>1893</v>
      </c>
      <c r="F1628" s="1" t="s">
        <v>14</v>
      </c>
      <c r="G1628" s="1" t="s">
        <v>10</v>
      </c>
      <c r="H1628" s="2" t="s">
        <v>9633</v>
      </c>
      <c r="I1628" s="2" t="s">
        <v>9634</v>
      </c>
      <c r="J1628" s="3">
        <v>46204.525300925925</v>
      </c>
      <c r="K1628" s="2" t="s">
        <v>9635</v>
      </c>
      <c r="L1628" s="1">
        <v>132</v>
      </c>
      <c r="M1628" s="1">
        <v>201</v>
      </c>
      <c r="N1628" s="1">
        <v>69</v>
      </c>
      <c r="O1628" s="3">
        <v>46233.65914210648</v>
      </c>
    </row>
    <row r="1629" spans="1:15" x14ac:dyDescent="0.25">
      <c r="A1629" s="5" t="s">
        <v>5051</v>
      </c>
      <c r="B1629" s="1" t="s">
        <v>9636</v>
      </c>
      <c r="C1629" s="1" t="s">
        <v>12</v>
      </c>
      <c r="G1629" s="1" t="s">
        <v>10</v>
      </c>
      <c r="J1629" s="3">
        <v>46189.443009259259</v>
      </c>
      <c r="K1629" s="2" t="s">
        <v>9637</v>
      </c>
      <c r="L1629" s="1">
        <v>7</v>
      </c>
      <c r="M1629" s="1">
        <v>9</v>
      </c>
      <c r="N1629" s="1">
        <v>2</v>
      </c>
      <c r="O1629" s="3">
        <v>46233.65914210648</v>
      </c>
    </row>
    <row r="1630" spans="1:15" ht="75" x14ac:dyDescent="0.25">
      <c r="A1630" s="5" t="s">
        <v>5054</v>
      </c>
      <c r="B1630" s="1" t="s">
        <v>9638</v>
      </c>
      <c r="C1630" s="1">
        <v>1957</v>
      </c>
      <c r="G1630" s="1" t="s">
        <v>10</v>
      </c>
      <c r="J1630" s="3">
        <v>46184.626458333332</v>
      </c>
      <c r="K1630" s="2" t="s">
        <v>9639</v>
      </c>
      <c r="L1630" s="1">
        <v>20</v>
      </c>
      <c r="M1630" s="1">
        <v>25</v>
      </c>
      <c r="N1630" s="1">
        <v>5</v>
      </c>
      <c r="O1630" s="3">
        <v>46233.65914210648</v>
      </c>
    </row>
    <row r="1631" spans="1:15" ht="30" x14ac:dyDescent="0.25">
      <c r="A1631" s="5" t="s">
        <v>5057</v>
      </c>
      <c r="B1631" s="1" t="s">
        <v>9640</v>
      </c>
      <c r="C1631" s="1">
        <v>1941</v>
      </c>
      <c r="G1631" s="1" t="s">
        <v>11</v>
      </c>
      <c r="J1631" s="3">
        <v>46199.495428240742</v>
      </c>
      <c r="K1631" s="2" t="s">
        <v>9641</v>
      </c>
      <c r="L1631" s="1">
        <v>1</v>
      </c>
      <c r="M1631" s="1">
        <v>1</v>
      </c>
      <c r="N1631" s="1">
        <v>0</v>
      </c>
      <c r="O1631" s="3">
        <v>46233.65914210648</v>
      </c>
    </row>
    <row r="1632" spans="1:15" ht="150" x14ac:dyDescent="0.25">
      <c r="A1632" s="5" t="s">
        <v>5060</v>
      </c>
      <c r="B1632" s="1" t="s">
        <v>9642</v>
      </c>
      <c r="J1632" s="3">
        <v>46187.378831018519</v>
      </c>
      <c r="K1632" s="2" t="s">
        <v>9643</v>
      </c>
      <c r="L1632" s="1">
        <v>33</v>
      </c>
      <c r="M1632" s="1">
        <v>33</v>
      </c>
      <c r="N1632" s="1">
        <v>0</v>
      </c>
      <c r="O1632" s="3">
        <v>46233.65914210648</v>
      </c>
    </row>
    <row r="1633" spans="1:15" ht="75" x14ac:dyDescent="0.25">
      <c r="A1633" s="5" t="s">
        <v>5063</v>
      </c>
      <c r="B1633" s="1" t="s">
        <v>9644</v>
      </c>
      <c r="C1633" s="1">
        <v>1872</v>
      </c>
      <c r="E1633" s="1">
        <v>1965</v>
      </c>
      <c r="G1633" s="1" t="s">
        <v>10</v>
      </c>
      <c r="J1633" s="3">
        <v>46190.561608796299</v>
      </c>
      <c r="K1633" s="2" t="s">
        <v>9645</v>
      </c>
      <c r="L1633" s="1">
        <v>9</v>
      </c>
      <c r="M1633" s="1">
        <v>9</v>
      </c>
      <c r="N1633" s="1">
        <v>0</v>
      </c>
      <c r="O1633" s="3">
        <v>46233.65914210648</v>
      </c>
    </row>
    <row r="1634" spans="1:15" ht="120" x14ac:dyDescent="0.25">
      <c r="A1634" s="5" t="s">
        <v>5066</v>
      </c>
      <c r="B1634" s="1" t="s">
        <v>9646</v>
      </c>
      <c r="C1634" s="1" t="s">
        <v>12</v>
      </c>
      <c r="G1634" s="1" t="s">
        <v>10</v>
      </c>
      <c r="J1634" s="3">
        <v>46194.395219907405</v>
      </c>
      <c r="K1634" s="2" t="s">
        <v>9647</v>
      </c>
      <c r="L1634" s="1">
        <v>7</v>
      </c>
      <c r="M1634" s="1">
        <v>11</v>
      </c>
      <c r="N1634" s="1">
        <v>4</v>
      </c>
      <c r="O1634" s="3">
        <v>46233.65914210648</v>
      </c>
    </row>
    <row r="1635" spans="1:15" ht="75" x14ac:dyDescent="0.25">
      <c r="A1635" s="5" t="s">
        <v>5069</v>
      </c>
      <c r="B1635" s="1" t="s">
        <v>9648</v>
      </c>
      <c r="C1635" s="1">
        <v>1907</v>
      </c>
      <c r="E1635" s="1">
        <v>1988</v>
      </c>
      <c r="G1635" s="1" t="s">
        <v>10</v>
      </c>
      <c r="J1635" s="3">
        <v>46191.387615740743</v>
      </c>
      <c r="K1635" s="2" t="s">
        <v>9649</v>
      </c>
      <c r="L1635" s="1">
        <v>5</v>
      </c>
      <c r="M1635" s="1">
        <v>5</v>
      </c>
      <c r="N1635" s="1">
        <v>0</v>
      </c>
      <c r="O1635" s="3">
        <v>46233.65914210648</v>
      </c>
    </row>
    <row r="1636" spans="1:15" ht="30" x14ac:dyDescent="0.25">
      <c r="A1636" s="5" t="s">
        <v>5072</v>
      </c>
      <c r="B1636" s="1" t="s">
        <v>9650</v>
      </c>
      <c r="C1636" s="1" t="s">
        <v>12</v>
      </c>
      <c r="G1636" s="1" t="s">
        <v>10</v>
      </c>
      <c r="J1636" s="3">
        <v>46202.49559027778</v>
      </c>
      <c r="K1636" s="2" t="s">
        <v>9651</v>
      </c>
      <c r="L1636" s="1">
        <v>1</v>
      </c>
      <c r="M1636" s="1">
        <v>1</v>
      </c>
      <c r="N1636" s="1">
        <v>0</v>
      </c>
      <c r="O1636" s="3">
        <v>46233.65914210648</v>
      </c>
    </row>
    <row r="1637" spans="1:15" ht="30" x14ac:dyDescent="0.25">
      <c r="A1637" s="5" t="s">
        <v>5075</v>
      </c>
      <c r="B1637" s="1" t="s">
        <v>9652</v>
      </c>
      <c r="C1637" s="1" t="s">
        <v>12</v>
      </c>
      <c r="D1637" s="1" t="s">
        <v>14</v>
      </c>
      <c r="H1637" s="2" t="s">
        <v>9653</v>
      </c>
      <c r="J1637" s="3">
        <v>46199.576504629629</v>
      </c>
      <c r="K1637" s="2" t="s">
        <v>9654</v>
      </c>
      <c r="L1637" s="1">
        <v>2</v>
      </c>
      <c r="M1637" s="1">
        <v>4</v>
      </c>
      <c r="N1637" s="1">
        <v>2</v>
      </c>
      <c r="O1637" s="3">
        <v>46233.65914210648</v>
      </c>
    </row>
    <row r="1638" spans="1:15" ht="30" x14ac:dyDescent="0.25">
      <c r="A1638" s="5" t="s">
        <v>5078</v>
      </c>
      <c r="B1638" s="1" t="s">
        <v>9655</v>
      </c>
      <c r="C1638" s="1" t="s">
        <v>12</v>
      </c>
      <c r="G1638" s="1" t="s">
        <v>11</v>
      </c>
      <c r="J1638" s="3">
        <v>46185.397060185183</v>
      </c>
      <c r="K1638" s="2" t="s">
        <v>9656</v>
      </c>
      <c r="L1638" s="1">
        <v>9</v>
      </c>
      <c r="M1638" s="1">
        <v>11</v>
      </c>
      <c r="N1638" s="1">
        <v>2</v>
      </c>
      <c r="O1638" s="3">
        <v>46233.65914210648</v>
      </c>
    </row>
    <row r="1639" spans="1:15" ht="90" x14ac:dyDescent="0.25">
      <c r="A1639" s="5" t="s">
        <v>5081</v>
      </c>
      <c r="B1639" s="1" t="s">
        <v>9657</v>
      </c>
      <c r="C1639" s="1">
        <v>1997</v>
      </c>
      <c r="G1639" s="1" t="s">
        <v>11</v>
      </c>
      <c r="J1639" s="3">
        <v>46174.673738425925</v>
      </c>
      <c r="K1639" s="2" t="s">
        <v>9658</v>
      </c>
      <c r="L1639" s="1">
        <v>1</v>
      </c>
      <c r="M1639" s="1">
        <v>1</v>
      </c>
      <c r="N1639" s="1">
        <v>0</v>
      </c>
      <c r="O1639" s="3">
        <v>46233.65914210648</v>
      </c>
    </row>
    <row r="1640" spans="1:15" x14ac:dyDescent="0.25">
      <c r="A1640" s="5" t="s">
        <v>5084</v>
      </c>
      <c r="B1640" s="1" t="s">
        <v>9659</v>
      </c>
      <c r="C1640" s="1">
        <v>1853</v>
      </c>
      <c r="E1640" s="1">
        <v>1916</v>
      </c>
      <c r="G1640" s="1" t="s">
        <v>10</v>
      </c>
      <c r="J1640" s="3">
        <v>46175.614814814813</v>
      </c>
      <c r="K1640" s="2" t="s">
        <v>9660</v>
      </c>
      <c r="L1640" s="1">
        <v>30</v>
      </c>
      <c r="M1640" s="1">
        <v>31</v>
      </c>
      <c r="N1640" s="1">
        <v>1</v>
      </c>
      <c r="O1640" s="3">
        <v>46233.65914210648</v>
      </c>
    </row>
    <row r="1641" spans="1:15" ht="165" x14ac:dyDescent="0.25">
      <c r="A1641" s="5" t="s">
        <v>5087</v>
      </c>
      <c r="B1641" s="1" t="s">
        <v>9661</v>
      </c>
      <c r="C1641" s="1">
        <v>1990</v>
      </c>
      <c r="J1641" s="3">
        <v>46194.380011574074</v>
      </c>
      <c r="K1641" s="2" t="s">
        <v>9662</v>
      </c>
      <c r="L1641" s="1">
        <v>23</v>
      </c>
      <c r="M1641" s="1">
        <v>24</v>
      </c>
      <c r="N1641" s="1">
        <v>1</v>
      </c>
      <c r="O1641" s="3">
        <v>46233.65914210648</v>
      </c>
    </row>
    <row r="1642" spans="1:15" ht="45" x14ac:dyDescent="0.25">
      <c r="A1642" s="5" t="s">
        <v>5090</v>
      </c>
      <c r="B1642" s="1" t="s">
        <v>9663</v>
      </c>
      <c r="C1642" s="1" t="s">
        <v>152</v>
      </c>
      <c r="E1642" s="1" t="s">
        <v>12</v>
      </c>
      <c r="G1642" s="1" t="s">
        <v>10</v>
      </c>
      <c r="J1642" s="3">
        <v>46185.677870370368</v>
      </c>
      <c r="K1642" s="2" t="s">
        <v>9664</v>
      </c>
      <c r="L1642" s="1">
        <v>0</v>
      </c>
      <c r="M1642" s="1">
        <v>0</v>
      </c>
      <c r="N1642" s="1">
        <v>0</v>
      </c>
      <c r="O1642" s="3">
        <v>46233.65914210648</v>
      </c>
    </row>
    <row r="1643" spans="1:15" ht="45" x14ac:dyDescent="0.25">
      <c r="A1643" s="5" t="s">
        <v>5093</v>
      </c>
      <c r="B1643" s="1" t="s">
        <v>9665</v>
      </c>
      <c r="C1643" s="1" t="s">
        <v>12</v>
      </c>
      <c r="G1643" s="1" t="s">
        <v>11</v>
      </c>
      <c r="J1643" s="3">
        <v>46175.743518518517</v>
      </c>
      <c r="K1643" s="2" t="s">
        <v>9666</v>
      </c>
      <c r="L1643" s="1">
        <v>0</v>
      </c>
      <c r="M1643" s="1">
        <v>2</v>
      </c>
      <c r="N1643" s="1">
        <v>2</v>
      </c>
      <c r="O1643" s="3">
        <v>46233.65914210648</v>
      </c>
    </row>
    <row r="1644" spans="1:15" ht="30" x14ac:dyDescent="0.25">
      <c r="A1644" s="5" t="s">
        <v>5096</v>
      </c>
      <c r="B1644" s="1" t="s">
        <v>9667</v>
      </c>
      <c r="C1644" s="1">
        <v>1873</v>
      </c>
      <c r="E1644" s="1">
        <v>1910</v>
      </c>
      <c r="J1644" s="3">
        <v>46121.680300925924</v>
      </c>
      <c r="K1644" s="2" t="s">
        <v>9668</v>
      </c>
      <c r="L1644" s="1">
        <v>1</v>
      </c>
      <c r="M1644" s="1">
        <v>1</v>
      </c>
      <c r="N1644" s="1">
        <v>0</v>
      </c>
      <c r="O1644" s="3">
        <v>46233.65914210648</v>
      </c>
    </row>
    <row r="1645" spans="1:15" ht="30" x14ac:dyDescent="0.25">
      <c r="A1645" s="5" t="s">
        <v>5099</v>
      </c>
      <c r="B1645" s="1" t="s">
        <v>9669</v>
      </c>
      <c r="C1645" s="1" t="s">
        <v>12</v>
      </c>
      <c r="G1645" s="1" t="s">
        <v>11</v>
      </c>
      <c r="J1645" s="3">
        <v>46187.382835648146</v>
      </c>
      <c r="K1645" s="2" t="s">
        <v>9670</v>
      </c>
      <c r="L1645" s="1">
        <v>4</v>
      </c>
      <c r="M1645" s="1">
        <v>7</v>
      </c>
      <c r="N1645" s="1">
        <v>3</v>
      </c>
      <c r="O1645" s="3">
        <v>46233.65914210648</v>
      </c>
    </row>
    <row r="1646" spans="1:15" ht="75" x14ac:dyDescent="0.25">
      <c r="A1646" s="5" t="s">
        <v>5102</v>
      </c>
      <c r="B1646" s="1" t="s">
        <v>9671</v>
      </c>
      <c r="C1646" s="1" t="s">
        <v>12</v>
      </c>
      <c r="G1646" s="1" t="s">
        <v>10</v>
      </c>
      <c r="J1646" s="3">
        <v>46185.675092592595</v>
      </c>
      <c r="K1646" s="2" t="s">
        <v>9672</v>
      </c>
      <c r="L1646" s="1">
        <v>4</v>
      </c>
      <c r="M1646" s="1">
        <v>7</v>
      </c>
      <c r="N1646" s="1">
        <v>3</v>
      </c>
      <c r="O1646" s="3">
        <v>46233.65914210648</v>
      </c>
    </row>
    <row r="1647" spans="1:15" ht="60" x14ac:dyDescent="0.25">
      <c r="A1647" s="5" t="s">
        <v>5105</v>
      </c>
      <c r="B1647" s="1" t="s">
        <v>9673</v>
      </c>
      <c r="C1647" s="1" t="s">
        <v>12</v>
      </c>
      <c r="G1647" s="1" t="s">
        <v>11</v>
      </c>
      <c r="J1647" s="3">
        <v>46195.311006944445</v>
      </c>
      <c r="K1647" s="2" t="s">
        <v>9674</v>
      </c>
      <c r="L1647" s="1">
        <v>2</v>
      </c>
      <c r="M1647" s="1">
        <v>2</v>
      </c>
      <c r="N1647" s="1">
        <v>0</v>
      </c>
      <c r="O1647" s="3">
        <v>46233.65914210648</v>
      </c>
    </row>
    <row r="1648" spans="1:15" ht="45" x14ac:dyDescent="0.25">
      <c r="A1648" s="5" t="s">
        <v>5108</v>
      </c>
      <c r="B1648" s="1" t="s">
        <v>9675</v>
      </c>
      <c r="C1648" s="1">
        <v>1896</v>
      </c>
      <c r="E1648" s="1">
        <v>1987</v>
      </c>
      <c r="G1648" s="1" t="s">
        <v>10</v>
      </c>
      <c r="J1648" s="3">
        <v>46189.652349537035</v>
      </c>
      <c r="K1648" s="2" t="s">
        <v>9676</v>
      </c>
      <c r="L1648" s="1">
        <v>11</v>
      </c>
      <c r="M1648" s="1">
        <v>11</v>
      </c>
      <c r="N1648" s="1">
        <v>0</v>
      </c>
      <c r="O1648" s="3">
        <v>46233.65914210648</v>
      </c>
    </row>
    <row r="1649" spans="1:15" ht="45" x14ac:dyDescent="0.25">
      <c r="A1649" s="5" t="s">
        <v>5111</v>
      </c>
      <c r="B1649" s="1" t="s">
        <v>9677</v>
      </c>
      <c r="C1649" s="1">
        <v>1948</v>
      </c>
      <c r="D1649" s="1" t="s">
        <v>9678</v>
      </c>
      <c r="J1649" s="3">
        <v>46187.395543981482</v>
      </c>
      <c r="K1649" s="2" t="s">
        <v>9679</v>
      </c>
      <c r="L1649" s="1">
        <v>33</v>
      </c>
      <c r="M1649" s="1">
        <v>34</v>
      </c>
      <c r="N1649" s="1">
        <v>1</v>
      </c>
      <c r="O1649" s="3">
        <v>46233.65914210648</v>
      </c>
    </row>
    <row r="1650" spans="1:15" x14ac:dyDescent="0.25">
      <c r="A1650" s="5" t="s">
        <v>5114</v>
      </c>
      <c r="B1650" s="1" t="s">
        <v>9680</v>
      </c>
      <c r="C1650" s="1" t="s">
        <v>12</v>
      </c>
      <c r="G1650" s="1" t="s">
        <v>10</v>
      </c>
      <c r="J1650" s="3">
        <v>46199.589884259258</v>
      </c>
      <c r="K1650" s="2" t="s">
        <v>9681</v>
      </c>
      <c r="L1650" s="1">
        <v>6</v>
      </c>
      <c r="M1650" s="1">
        <v>6</v>
      </c>
      <c r="N1650" s="1">
        <v>0</v>
      </c>
      <c r="O1650" s="3">
        <v>46233.65914210648</v>
      </c>
    </row>
    <row r="1651" spans="1:15" ht="75" x14ac:dyDescent="0.25">
      <c r="A1651" s="5" t="s">
        <v>5117</v>
      </c>
      <c r="B1651" s="1" t="s">
        <v>9682</v>
      </c>
      <c r="C1651" s="1">
        <v>1948</v>
      </c>
      <c r="G1651" s="1" t="s">
        <v>10</v>
      </c>
      <c r="J1651" s="3">
        <v>46201.366273148145</v>
      </c>
      <c r="K1651" s="2" t="s">
        <v>9683</v>
      </c>
      <c r="L1651" s="1">
        <v>4</v>
      </c>
      <c r="M1651" s="1">
        <v>4</v>
      </c>
      <c r="N1651" s="1">
        <v>0</v>
      </c>
      <c r="O1651" s="3">
        <v>46233.65914210648</v>
      </c>
    </row>
    <row r="1652" spans="1:15" ht="30" x14ac:dyDescent="0.25">
      <c r="A1652" s="5" t="s">
        <v>5120</v>
      </c>
      <c r="B1652" s="1" t="s">
        <v>9684</v>
      </c>
      <c r="C1652" s="1" t="s">
        <v>152</v>
      </c>
      <c r="E1652" s="1">
        <v>1910</v>
      </c>
      <c r="J1652" s="3">
        <v>46121.698587962965</v>
      </c>
      <c r="K1652" s="2" t="s">
        <v>9668</v>
      </c>
      <c r="L1652" s="1">
        <v>1</v>
      </c>
      <c r="M1652" s="1">
        <v>1</v>
      </c>
      <c r="N1652" s="1">
        <v>0</v>
      </c>
      <c r="O1652" s="3">
        <v>46233.65914210648</v>
      </c>
    </row>
    <row r="1653" spans="1:15" x14ac:dyDescent="0.25">
      <c r="A1653" s="5" t="s">
        <v>5123</v>
      </c>
      <c r="B1653" s="1" t="s">
        <v>9685</v>
      </c>
      <c r="C1653" s="1">
        <v>1958</v>
      </c>
      <c r="E1653" s="1">
        <v>2017</v>
      </c>
      <c r="G1653" s="1" t="s">
        <v>11</v>
      </c>
      <c r="J1653" s="3">
        <v>46149.431423611109</v>
      </c>
      <c r="L1653" s="1">
        <v>1</v>
      </c>
      <c r="M1653" s="1">
        <v>1</v>
      </c>
      <c r="N1653" s="1">
        <v>0</v>
      </c>
      <c r="O1653" s="3">
        <v>46233.65914210648</v>
      </c>
    </row>
    <row r="1654" spans="1:15" ht="165" x14ac:dyDescent="0.25">
      <c r="A1654" s="5" t="s">
        <v>5126</v>
      </c>
      <c r="B1654" s="1" t="s">
        <v>9686</v>
      </c>
      <c r="C1654" s="1">
        <v>1912</v>
      </c>
      <c r="D1654" s="1" t="s">
        <v>9687</v>
      </c>
      <c r="E1654" s="1">
        <v>1990</v>
      </c>
      <c r="F1654" s="1" t="s">
        <v>14</v>
      </c>
      <c r="G1654" s="1" t="s">
        <v>10</v>
      </c>
      <c r="J1654" s="3">
        <v>46194.407731481479</v>
      </c>
      <c r="K1654" s="2" t="s">
        <v>9688</v>
      </c>
      <c r="L1654" s="1">
        <v>2</v>
      </c>
      <c r="M1654" s="1">
        <v>3</v>
      </c>
      <c r="N1654" s="1">
        <v>1</v>
      </c>
      <c r="O1654" s="3">
        <v>46233.65914210648</v>
      </c>
    </row>
    <row r="1655" spans="1:15" x14ac:dyDescent="0.25">
      <c r="A1655" s="5" t="s">
        <v>5129</v>
      </c>
      <c r="B1655" s="1" t="s">
        <v>9689</v>
      </c>
      <c r="C1655" s="1">
        <v>1944</v>
      </c>
      <c r="G1655" s="1" t="s">
        <v>11</v>
      </c>
      <c r="J1655" s="3">
        <v>46199.397256944445</v>
      </c>
      <c r="K1655" s="2" t="s">
        <v>7122</v>
      </c>
      <c r="L1655" s="1">
        <v>5</v>
      </c>
      <c r="M1655" s="1">
        <v>7</v>
      </c>
      <c r="N1655" s="1">
        <v>2</v>
      </c>
      <c r="O1655" s="3">
        <v>46233.65914210648</v>
      </c>
    </row>
    <row r="1656" spans="1:15" ht="60" x14ac:dyDescent="0.25">
      <c r="A1656" s="5" t="s">
        <v>5132</v>
      </c>
      <c r="B1656" s="1" t="s">
        <v>9690</v>
      </c>
      <c r="C1656" s="1">
        <v>1816</v>
      </c>
      <c r="E1656" s="1">
        <v>1993</v>
      </c>
      <c r="J1656" s="3">
        <v>46183.733912037038</v>
      </c>
      <c r="K1656" s="2" t="s">
        <v>9691</v>
      </c>
      <c r="L1656" s="1">
        <v>17</v>
      </c>
      <c r="M1656" s="1">
        <v>23</v>
      </c>
      <c r="N1656" s="1">
        <v>6</v>
      </c>
      <c r="O1656" s="3">
        <v>46233.65914210648</v>
      </c>
    </row>
    <row r="1657" spans="1:15" x14ac:dyDescent="0.25">
      <c r="A1657" s="5" t="s">
        <v>5135</v>
      </c>
      <c r="B1657" s="1" t="s">
        <v>9692</v>
      </c>
      <c r="C1657" s="1">
        <v>1982</v>
      </c>
      <c r="D1657" s="1" t="s">
        <v>14</v>
      </c>
      <c r="G1657" s="1" t="s">
        <v>11</v>
      </c>
      <c r="J1657" s="3">
        <v>46152.384108796294</v>
      </c>
      <c r="L1657" s="1">
        <v>11</v>
      </c>
      <c r="M1657" s="1">
        <v>13</v>
      </c>
      <c r="N1657" s="1">
        <v>2</v>
      </c>
      <c r="O1657" s="3">
        <v>46233.65914210648</v>
      </c>
    </row>
    <row r="1658" spans="1:15" x14ac:dyDescent="0.25">
      <c r="A1658" s="5" t="s">
        <v>5138</v>
      </c>
      <c r="B1658" s="1" t="s">
        <v>9693</v>
      </c>
      <c r="C1658" s="1">
        <v>1975</v>
      </c>
      <c r="G1658" s="1" t="s">
        <v>10</v>
      </c>
      <c r="J1658" s="3">
        <v>46199.550659722219</v>
      </c>
      <c r="K1658" s="2" t="s">
        <v>9694</v>
      </c>
      <c r="L1658" s="1">
        <v>6</v>
      </c>
      <c r="M1658" s="1">
        <v>7</v>
      </c>
      <c r="N1658" s="1">
        <v>1</v>
      </c>
      <c r="O1658" s="3">
        <v>46233.65914210648</v>
      </c>
    </row>
    <row r="1659" spans="1:15" ht="90" x14ac:dyDescent="0.25">
      <c r="A1659" s="5" t="s">
        <v>5141</v>
      </c>
      <c r="B1659" s="1" t="s">
        <v>9695</v>
      </c>
      <c r="C1659" s="1" t="s">
        <v>12</v>
      </c>
      <c r="D1659" s="1" t="s">
        <v>9696</v>
      </c>
      <c r="E1659" s="1">
        <v>2017</v>
      </c>
      <c r="F1659" s="1" t="s">
        <v>14</v>
      </c>
      <c r="G1659" s="1" t="s">
        <v>11</v>
      </c>
      <c r="I1659" s="2" t="s">
        <v>140</v>
      </c>
      <c r="J1659" s="3">
        <v>46187.395451388889</v>
      </c>
      <c r="K1659" s="2" t="s">
        <v>9697</v>
      </c>
      <c r="L1659" s="1">
        <v>9</v>
      </c>
      <c r="M1659" s="1">
        <v>16</v>
      </c>
      <c r="N1659" s="1">
        <v>7</v>
      </c>
      <c r="O1659" s="3">
        <v>46233.65914210648</v>
      </c>
    </row>
    <row r="1660" spans="1:15" ht="45" x14ac:dyDescent="0.25">
      <c r="A1660" s="5" t="s">
        <v>5144</v>
      </c>
      <c r="B1660" s="1" t="s">
        <v>9698</v>
      </c>
      <c r="C1660" s="1">
        <v>1875</v>
      </c>
      <c r="E1660" s="1">
        <v>1957</v>
      </c>
      <c r="G1660" s="1" t="s">
        <v>10</v>
      </c>
      <c r="J1660" s="3">
        <v>46199.568935185183</v>
      </c>
      <c r="K1660" s="2" t="s">
        <v>9699</v>
      </c>
      <c r="L1660" s="1">
        <v>10</v>
      </c>
      <c r="M1660" s="1">
        <v>10</v>
      </c>
      <c r="N1660" s="1">
        <v>0</v>
      </c>
      <c r="O1660" s="3">
        <v>46233.65914210648</v>
      </c>
    </row>
    <row r="1661" spans="1:15" ht="255" x14ac:dyDescent="0.25">
      <c r="A1661" s="5" t="s">
        <v>5147</v>
      </c>
      <c r="B1661" s="1" t="s">
        <v>9700</v>
      </c>
      <c r="C1661" s="1">
        <v>1868</v>
      </c>
      <c r="D1661" s="1" t="s">
        <v>9701</v>
      </c>
      <c r="E1661" s="1">
        <v>1936</v>
      </c>
      <c r="F1661" s="1" t="s">
        <v>9701</v>
      </c>
      <c r="J1661" s="3">
        <v>46194.377152777779</v>
      </c>
      <c r="K1661" s="2" t="s">
        <v>9702</v>
      </c>
      <c r="L1661" s="1">
        <v>84</v>
      </c>
      <c r="M1661" s="1">
        <v>86</v>
      </c>
      <c r="N1661" s="1">
        <v>2</v>
      </c>
      <c r="O1661" s="3">
        <v>46233.65914210648</v>
      </c>
    </row>
    <row r="1662" spans="1:15" ht="45" x14ac:dyDescent="0.25">
      <c r="A1662" s="5" t="s">
        <v>5150</v>
      </c>
      <c r="B1662" s="1" t="s">
        <v>9703</v>
      </c>
      <c r="C1662" s="1">
        <v>1691</v>
      </c>
      <c r="E1662" s="1">
        <v>1782</v>
      </c>
      <c r="G1662" s="1" t="s">
        <v>10</v>
      </c>
      <c r="J1662" s="3">
        <v>46190.598287037035</v>
      </c>
      <c r="K1662" s="2" t="s">
        <v>9706</v>
      </c>
      <c r="L1662" s="1">
        <v>4</v>
      </c>
      <c r="M1662" s="1">
        <v>4</v>
      </c>
      <c r="N1662" s="1">
        <v>0</v>
      </c>
      <c r="O1662" s="3">
        <v>46233.65914210648</v>
      </c>
    </row>
    <row r="1663" spans="1:15" ht="75" x14ac:dyDescent="0.25">
      <c r="A1663" s="5" t="s">
        <v>5153</v>
      </c>
      <c r="B1663" s="1" t="s">
        <v>9707</v>
      </c>
      <c r="C1663" s="1">
        <v>1801</v>
      </c>
      <c r="D1663" s="1" t="s">
        <v>14</v>
      </c>
      <c r="E1663" s="1">
        <v>1886</v>
      </c>
      <c r="F1663" s="1" t="s">
        <v>14</v>
      </c>
      <c r="G1663" s="1" t="s">
        <v>10</v>
      </c>
      <c r="J1663" s="3">
        <v>46185.521747685183</v>
      </c>
      <c r="K1663" s="2" t="s">
        <v>9708</v>
      </c>
      <c r="L1663" s="1">
        <v>58</v>
      </c>
      <c r="M1663" s="1">
        <v>58</v>
      </c>
      <c r="N1663" s="1">
        <v>0</v>
      </c>
      <c r="O1663" s="3">
        <v>46233.65914210648</v>
      </c>
    </row>
    <row r="1664" spans="1:15" ht="210" x14ac:dyDescent="0.25">
      <c r="A1664" s="5" t="s">
        <v>5156</v>
      </c>
      <c r="B1664" s="1" t="s">
        <v>9709</v>
      </c>
      <c r="C1664" s="1" t="s">
        <v>6574</v>
      </c>
      <c r="G1664" s="1" t="s">
        <v>11</v>
      </c>
      <c r="J1664" s="3">
        <v>46189.344537037039</v>
      </c>
      <c r="K1664" s="2" t="s">
        <v>9710</v>
      </c>
      <c r="L1664" s="1">
        <v>4</v>
      </c>
      <c r="M1664" s="1">
        <v>5</v>
      </c>
      <c r="N1664" s="1">
        <v>1</v>
      </c>
      <c r="O1664" s="3">
        <v>46233.65914210648</v>
      </c>
    </row>
    <row r="1665" spans="1:15" ht="60" x14ac:dyDescent="0.25">
      <c r="A1665" s="5" t="s">
        <v>5159</v>
      </c>
      <c r="B1665" s="1" t="s">
        <v>9711</v>
      </c>
      <c r="C1665" s="1" t="s">
        <v>12</v>
      </c>
      <c r="J1665" s="3">
        <v>46187.395543981482</v>
      </c>
      <c r="K1665" s="2" t="s">
        <v>9712</v>
      </c>
      <c r="L1665" s="1">
        <v>31</v>
      </c>
      <c r="M1665" s="1">
        <v>32</v>
      </c>
      <c r="N1665" s="1">
        <v>1</v>
      </c>
      <c r="O1665" s="3">
        <v>46233.65914210648</v>
      </c>
    </row>
    <row r="1666" spans="1:15" ht="75" x14ac:dyDescent="0.25">
      <c r="A1666" s="5" t="s">
        <v>5162</v>
      </c>
      <c r="B1666" s="1" t="s">
        <v>9713</v>
      </c>
      <c r="C1666" s="1">
        <v>1703</v>
      </c>
      <c r="D1666" s="1" t="s">
        <v>14</v>
      </c>
      <c r="E1666" s="1">
        <v>1758</v>
      </c>
      <c r="F1666" s="1" t="s">
        <v>14</v>
      </c>
      <c r="G1666" s="1" t="s">
        <v>10</v>
      </c>
      <c r="H1666" s="2" t="s">
        <v>140</v>
      </c>
      <c r="I1666" s="2" t="s">
        <v>140</v>
      </c>
      <c r="J1666" s="3">
        <v>46204.522245370368</v>
      </c>
      <c r="K1666" s="2" t="s">
        <v>9716</v>
      </c>
      <c r="L1666" s="1">
        <v>15</v>
      </c>
      <c r="M1666" s="1">
        <v>16</v>
      </c>
      <c r="N1666" s="1">
        <v>1</v>
      </c>
      <c r="O1666" s="3">
        <v>46233.65914210648</v>
      </c>
    </row>
    <row r="1667" spans="1:15" ht="45" x14ac:dyDescent="0.25">
      <c r="A1667" s="5" t="s">
        <v>5165</v>
      </c>
      <c r="B1667" s="1" t="s">
        <v>9717</v>
      </c>
      <c r="C1667" s="1">
        <v>1882</v>
      </c>
      <c r="E1667" s="1">
        <v>1978</v>
      </c>
      <c r="G1667" s="1" t="s">
        <v>10</v>
      </c>
      <c r="J1667" s="3">
        <v>46180.408009259256</v>
      </c>
      <c r="K1667" s="2" t="s">
        <v>9718</v>
      </c>
      <c r="L1667" s="1">
        <v>28</v>
      </c>
      <c r="M1667" s="1">
        <v>43</v>
      </c>
      <c r="N1667" s="1">
        <v>15</v>
      </c>
      <c r="O1667" s="3">
        <v>46233.65914210648</v>
      </c>
    </row>
    <row r="1668" spans="1:15" ht="105" x14ac:dyDescent="0.25">
      <c r="A1668" s="5" t="s">
        <v>5168</v>
      </c>
      <c r="B1668" s="1" t="s">
        <v>9719</v>
      </c>
      <c r="C1668" s="1" t="s">
        <v>131</v>
      </c>
      <c r="G1668" s="1" t="s">
        <v>11</v>
      </c>
      <c r="J1668" s="3">
        <v>46181.682071759256</v>
      </c>
      <c r="K1668" s="2" t="s">
        <v>9720</v>
      </c>
      <c r="L1668" s="1">
        <v>2</v>
      </c>
      <c r="M1668" s="1">
        <v>2</v>
      </c>
      <c r="N1668" s="1">
        <v>0</v>
      </c>
      <c r="O1668" s="3">
        <v>46233.65914210648</v>
      </c>
    </row>
    <row r="1669" spans="1:15" ht="75" x14ac:dyDescent="0.25">
      <c r="A1669" s="5" t="s">
        <v>5171</v>
      </c>
      <c r="B1669" s="1" t="s">
        <v>9721</v>
      </c>
      <c r="C1669" s="1" t="s">
        <v>12</v>
      </c>
      <c r="G1669" s="1" t="s">
        <v>11</v>
      </c>
      <c r="J1669" s="3">
        <v>46189.474317129629</v>
      </c>
      <c r="K1669" s="2" t="s">
        <v>9722</v>
      </c>
      <c r="L1669" s="1">
        <v>4</v>
      </c>
      <c r="M1669" s="1">
        <v>4</v>
      </c>
      <c r="N1669" s="1">
        <v>0</v>
      </c>
      <c r="O1669" s="3">
        <v>46233.65914210648</v>
      </c>
    </row>
    <row r="1670" spans="1:15" ht="75" x14ac:dyDescent="0.25">
      <c r="A1670" s="5" t="s">
        <v>5174</v>
      </c>
      <c r="B1670" s="1" t="s">
        <v>9723</v>
      </c>
      <c r="C1670" s="1">
        <v>1901</v>
      </c>
      <c r="D1670" s="1" t="s">
        <v>15</v>
      </c>
      <c r="E1670" s="1">
        <v>1988</v>
      </c>
      <c r="F1670" s="1" t="s">
        <v>14</v>
      </c>
      <c r="G1670" s="1" t="s">
        <v>11</v>
      </c>
      <c r="H1670" s="2" t="s">
        <v>110</v>
      </c>
      <c r="J1670" s="3">
        <v>46180.396666666667</v>
      </c>
      <c r="K1670" s="2" t="s">
        <v>9724</v>
      </c>
      <c r="L1670" s="1">
        <v>31</v>
      </c>
      <c r="M1670" s="1">
        <v>32</v>
      </c>
      <c r="N1670" s="1">
        <v>1</v>
      </c>
      <c r="O1670" s="3">
        <v>46233.65914210648</v>
      </c>
    </row>
    <row r="1671" spans="1:15" ht="60" x14ac:dyDescent="0.25">
      <c r="A1671" s="5" t="s">
        <v>5177</v>
      </c>
      <c r="B1671" s="1" t="s">
        <v>9725</v>
      </c>
      <c r="C1671" s="1" t="s">
        <v>12</v>
      </c>
      <c r="G1671" s="1" t="s">
        <v>10</v>
      </c>
      <c r="J1671" s="3">
        <v>46175.371736111112</v>
      </c>
      <c r="K1671" s="2" t="s">
        <v>9726</v>
      </c>
      <c r="L1671" s="1">
        <v>1</v>
      </c>
      <c r="M1671" s="1">
        <v>1</v>
      </c>
      <c r="N1671" s="1">
        <v>0</v>
      </c>
      <c r="O1671" s="3">
        <v>46233.65914210648</v>
      </c>
    </row>
    <row r="1672" spans="1:15" ht="45" x14ac:dyDescent="0.25">
      <c r="A1672" s="5" t="s">
        <v>5180</v>
      </c>
      <c r="B1672" s="1" t="s">
        <v>9727</v>
      </c>
      <c r="C1672" s="1">
        <v>1818</v>
      </c>
      <c r="D1672" s="1" t="s">
        <v>14</v>
      </c>
      <c r="E1672" s="1">
        <v>1889</v>
      </c>
      <c r="F1672" s="1" t="s">
        <v>8920</v>
      </c>
      <c r="G1672" s="1" t="s">
        <v>10</v>
      </c>
      <c r="H1672" s="2" t="s">
        <v>10485</v>
      </c>
      <c r="I1672" s="2" t="s">
        <v>140</v>
      </c>
      <c r="J1672" s="3">
        <v>46162.576296296298</v>
      </c>
      <c r="L1672" s="1">
        <v>23</v>
      </c>
      <c r="M1672" s="1">
        <v>23</v>
      </c>
      <c r="N1672" s="1">
        <v>0</v>
      </c>
      <c r="O1672" s="3">
        <v>46233.65914210648</v>
      </c>
    </row>
    <row r="1673" spans="1:15" ht="30" x14ac:dyDescent="0.25">
      <c r="A1673" s="5" t="s">
        <v>5183</v>
      </c>
      <c r="B1673" s="1" t="s">
        <v>9728</v>
      </c>
      <c r="C1673" s="1">
        <v>1733</v>
      </c>
      <c r="E1673" s="1">
        <v>1805</v>
      </c>
      <c r="G1673" s="1" t="s">
        <v>10</v>
      </c>
      <c r="J1673" s="3">
        <v>46189.358923611115</v>
      </c>
      <c r="K1673" s="2" t="s">
        <v>9730</v>
      </c>
      <c r="L1673" s="1">
        <v>19</v>
      </c>
      <c r="M1673" s="1">
        <v>19</v>
      </c>
      <c r="N1673" s="1">
        <v>0</v>
      </c>
      <c r="O1673" s="3">
        <v>46233.65914210648</v>
      </c>
    </row>
    <row r="1674" spans="1:15" x14ac:dyDescent="0.25">
      <c r="A1674" s="5" t="s">
        <v>5186</v>
      </c>
      <c r="B1674" s="1" t="s">
        <v>9731</v>
      </c>
      <c r="C1674" s="1">
        <v>1821</v>
      </c>
      <c r="D1674" s="1" t="s">
        <v>14</v>
      </c>
      <c r="E1674" s="1">
        <v>1888</v>
      </c>
      <c r="F1674" s="1" t="s">
        <v>14</v>
      </c>
      <c r="G1674" s="1" t="s">
        <v>10</v>
      </c>
      <c r="J1674" s="3">
        <v>46191.506516203706</v>
      </c>
      <c r="K1674" s="2" t="s">
        <v>9732</v>
      </c>
      <c r="L1674" s="1">
        <v>7</v>
      </c>
      <c r="M1674" s="1">
        <v>9</v>
      </c>
      <c r="N1674" s="1">
        <v>2</v>
      </c>
      <c r="O1674" s="3">
        <v>46233.65914210648</v>
      </c>
    </row>
    <row r="1675" spans="1:15" ht="105" x14ac:dyDescent="0.25">
      <c r="A1675" s="5" t="s">
        <v>5189</v>
      </c>
      <c r="B1675" s="1" t="s">
        <v>9733</v>
      </c>
      <c r="C1675" s="1">
        <v>2010</v>
      </c>
      <c r="J1675" s="3">
        <v>46038.651678240742</v>
      </c>
      <c r="K1675" s="2" t="s">
        <v>9734</v>
      </c>
      <c r="L1675" s="1">
        <v>223</v>
      </c>
      <c r="M1675" s="1">
        <v>264</v>
      </c>
      <c r="N1675" s="1">
        <v>41</v>
      </c>
      <c r="O1675" s="3">
        <v>46233.65914210648</v>
      </c>
    </row>
    <row r="1676" spans="1:15" ht="45" x14ac:dyDescent="0.25">
      <c r="A1676" s="5" t="s">
        <v>5192</v>
      </c>
      <c r="B1676" s="1" t="s">
        <v>9735</v>
      </c>
      <c r="C1676" s="1">
        <v>1950</v>
      </c>
      <c r="G1676" s="1" t="s">
        <v>10</v>
      </c>
      <c r="J1676" s="3">
        <v>46189.66369212963</v>
      </c>
      <c r="K1676" s="2" t="s">
        <v>9736</v>
      </c>
      <c r="L1676" s="1">
        <v>11</v>
      </c>
      <c r="M1676" s="1">
        <v>11</v>
      </c>
      <c r="N1676" s="1">
        <v>0</v>
      </c>
      <c r="O1676" s="3">
        <v>46233.65914210648</v>
      </c>
    </row>
    <row r="1677" spans="1:15" ht="75" x14ac:dyDescent="0.25">
      <c r="A1677" s="5" t="s">
        <v>5195</v>
      </c>
      <c r="B1677" s="1" t="s">
        <v>9737</v>
      </c>
      <c r="C1677" s="1">
        <v>1950</v>
      </c>
      <c r="D1677" s="1" t="s">
        <v>133</v>
      </c>
      <c r="H1677" s="2" t="s">
        <v>9738</v>
      </c>
      <c r="I1677" s="2" t="s">
        <v>9739</v>
      </c>
      <c r="J1677" s="3">
        <v>46190.412627314814</v>
      </c>
      <c r="K1677" s="2" t="s">
        <v>9740</v>
      </c>
      <c r="L1677" s="1">
        <v>14</v>
      </c>
      <c r="M1677" s="1">
        <v>16</v>
      </c>
      <c r="N1677" s="1">
        <v>2</v>
      </c>
      <c r="O1677" s="3">
        <v>46233.65914210648</v>
      </c>
    </row>
    <row r="1678" spans="1:15" ht="90" x14ac:dyDescent="0.25">
      <c r="A1678" s="5" t="s">
        <v>5201</v>
      </c>
      <c r="B1678" s="1" t="s">
        <v>9742</v>
      </c>
      <c r="C1678" s="1">
        <v>1842</v>
      </c>
      <c r="E1678" s="1">
        <v>1919</v>
      </c>
      <c r="G1678" s="1" t="s">
        <v>10</v>
      </c>
      <c r="J1678" s="3">
        <v>46189.627418981479</v>
      </c>
      <c r="K1678" s="2" t="s">
        <v>9743</v>
      </c>
      <c r="L1678" s="1">
        <v>14</v>
      </c>
      <c r="M1678" s="1">
        <v>14</v>
      </c>
      <c r="N1678" s="1">
        <v>0</v>
      </c>
      <c r="O1678" s="3">
        <v>46233.65914210648</v>
      </c>
    </row>
    <row r="1679" spans="1:15" x14ac:dyDescent="0.25">
      <c r="A1679" s="5" t="s">
        <v>5198</v>
      </c>
      <c r="B1679" s="1" t="s">
        <v>9741</v>
      </c>
      <c r="C1679" s="1">
        <v>1995</v>
      </c>
      <c r="J1679" s="3">
        <v>46076.375439814816</v>
      </c>
      <c r="L1679" s="1">
        <v>1</v>
      </c>
      <c r="M1679" s="1">
        <v>1</v>
      </c>
      <c r="N1679" s="1">
        <v>0</v>
      </c>
      <c r="O1679" s="3">
        <v>46233.65914210648</v>
      </c>
    </row>
    <row r="1680" spans="1:15" ht="225" x14ac:dyDescent="0.25">
      <c r="A1680" s="5" t="s">
        <v>5204</v>
      </c>
      <c r="B1680" s="1" t="s">
        <v>9744</v>
      </c>
      <c r="C1680" s="1">
        <v>1910</v>
      </c>
      <c r="J1680" s="3">
        <v>46191.670358796298</v>
      </c>
      <c r="K1680" s="2" t="s">
        <v>9745</v>
      </c>
      <c r="L1680" s="1">
        <v>1999</v>
      </c>
      <c r="M1680" s="1">
        <v>2241</v>
      </c>
      <c r="N1680" s="1">
        <v>242</v>
      </c>
      <c r="O1680" s="3">
        <v>46233.65914210648</v>
      </c>
    </row>
    <row r="1681" spans="1:15" ht="120" x14ac:dyDescent="0.25">
      <c r="A1681" s="5" t="s">
        <v>5210</v>
      </c>
      <c r="B1681" s="1" t="s">
        <v>9747</v>
      </c>
      <c r="C1681" s="1">
        <v>1903</v>
      </c>
      <c r="D1681" s="1" t="s">
        <v>14</v>
      </c>
      <c r="E1681" s="1">
        <v>1970</v>
      </c>
      <c r="F1681" s="1" t="s">
        <v>14</v>
      </c>
      <c r="G1681" s="1" t="s">
        <v>10</v>
      </c>
      <c r="J1681" s="3">
        <v>46180.418969907405</v>
      </c>
      <c r="K1681" s="2" t="s">
        <v>9748</v>
      </c>
      <c r="L1681" s="1">
        <v>37</v>
      </c>
      <c r="M1681" s="1">
        <v>43</v>
      </c>
      <c r="N1681" s="1">
        <v>6</v>
      </c>
      <c r="O1681" s="3">
        <v>46233.65914210648</v>
      </c>
    </row>
    <row r="1682" spans="1:15" x14ac:dyDescent="0.25">
      <c r="A1682" s="5" t="s">
        <v>5207</v>
      </c>
      <c r="B1682" s="1" t="s">
        <v>9746</v>
      </c>
      <c r="J1682" s="3">
        <v>46058.650949074072</v>
      </c>
      <c r="L1682" s="1">
        <v>74</v>
      </c>
      <c r="M1682" s="1">
        <v>162</v>
      </c>
      <c r="N1682" s="1">
        <v>88</v>
      </c>
      <c r="O1682" s="3">
        <v>46233.65914210648</v>
      </c>
    </row>
    <row r="1683" spans="1:15" ht="75" x14ac:dyDescent="0.25">
      <c r="A1683" s="5" t="s">
        <v>5213</v>
      </c>
      <c r="B1683" s="1" t="s">
        <v>9749</v>
      </c>
      <c r="C1683" s="1">
        <v>1968</v>
      </c>
      <c r="G1683" s="1" t="s">
        <v>10</v>
      </c>
      <c r="J1683" s="3">
        <v>46185.448506944442</v>
      </c>
      <c r="K1683" s="2" t="s">
        <v>9750</v>
      </c>
      <c r="L1683" s="1">
        <v>6</v>
      </c>
      <c r="M1683" s="1">
        <v>6</v>
      </c>
      <c r="N1683" s="1">
        <v>0</v>
      </c>
      <c r="O1683" s="3">
        <v>46233.65914210648</v>
      </c>
    </row>
    <row r="1684" spans="1:15" x14ac:dyDescent="0.25">
      <c r="A1684" s="5" t="s">
        <v>5219</v>
      </c>
      <c r="B1684" s="1" t="s">
        <v>9752</v>
      </c>
      <c r="C1684" s="1">
        <v>1939</v>
      </c>
      <c r="G1684" s="1" t="s">
        <v>11</v>
      </c>
      <c r="J1684" s="3">
        <v>46191.448888888888</v>
      </c>
      <c r="K1684" s="2" t="s">
        <v>158</v>
      </c>
      <c r="L1684" s="1">
        <v>5</v>
      </c>
      <c r="M1684" s="1">
        <v>5</v>
      </c>
      <c r="N1684" s="1">
        <v>0</v>
      </c>
      <c r="O1684" s="3">
        <v>46233.65914210648</v>
      </c>
    </row>
    <row r="1685" spans="1:15" x14ac:dyDescent="0.25">
      <c r="A1685" s="5" t="s">
        <v>5216</v>
      </c>
      <c r="B1685" s="1" t="s">
        <v>9751</v>
      </c>
      <c r="C1685" s="1">
        <v>1993</v>
      </c>
      <c r="J1685" s="3">
        <v>46076.670856481483</v>
      </c>
      <c r="L1685" s="1">
        <v>3</v>
      </c>
      <c r="M1685" s="1">
        <v>3</v>
      </c>
      <c r="N1685" s="1">
        <v>0</v>
      </c>
      <c r="O1685" s="3">
        <v>46233.65914210648</v>
      </c>
    </row>
    <row r="1686" spans="1:15" ht="195" x14ac:dyDescent="0.25">
      <c r="A1686" s="5" t="s">
        <v>5225</v>
      </c>
      <c r="B1686" s="1" t="s">
        <v>9754</v>
      </c>
      <c r="C1686" s="1">
        <v>1987</v>
      </c>
      <c r="E1686" s="1">
        <v>2001</v>
      </c>
      <c r="J1686" s="3">
        <v>46188.674189814818</v>
      </c>
      <c r="K1686" s="2" t="s">
        <v>9755</v>
      </c>
      <c r="L1686" s="1">
        <v>19</v>
      </c>
      <c r="M1686" s="1">
        <v>28</v>
      </c>
      <c r="N1686" s="1">
        <v>9</v>
      </c>
      <c r="O1686" s="3">
        <v>46233.65914210648</v>
      </c>
    </row>
    <row r="1687" spans="1:15" x14ac:dyDescent="0.25">
      <c r="A1687" s="5" t="s">
        <v>5222</v>
      </c>
      <c r="B1687" s="1" t="s">
        <v>9753</v>
      </c>
      <c r="C1687" s="1">
        <v>1921</v>
      </c>
      <c r="E1687" s="1">
        <v>1983</v>
      </c>
      <c r="J1687" s="3">
        <v>46080.447013888886</v>
      </c>
      <c r="L1687" s="1">
        <v>3</v>
      </c>
      <c r="M1687" s="1">
        <v>3</v>
      </c>
      <c r="N1687" s="1">
        <v>0</v>
      </c>
      <c r="O1687" s="3">
        <v>46233.65914210648</v>
      </c>
    </row>
    <row r="1688" spans="1:15" ht="30" x14ac:dyDescent="0.25">
      <c r="A1688" s="5" t="s">
        <v>5228</v>
      </c>
      <c r="B1688" s="1" t="s">
        <v>9756</v>
      </c>
      <c r="C1688" s="1">
        <v>1752</v>
      </c>
      <c r="E1688" s="1">
        <v>1794</v>
      </c>
      <c r="G1688" s="1" t="s">
        <v>10</v>
      </c>
      <c r="J1688" s="3">
        <v>46191.452627314815</v>
      </c>
      <c r="K1688" s="2" t="s">
        <v>9758</v>
      </c>
      <c r="L1688" s="1">
        <v>6</v>
      </c>
      <c r="M1688" s="1">
        <v>6</v>
      </c>
      <c r="N1688" s="1">
        <v>0</v>
      </c>
      <c r="O1688" s="3">
        <v>46233.65914210648</v>
      </c>
    </row>
    <row r="1689" spans="1:15" ht="105" x14ac:dyDescent="0.25">
      <c r="A1689" s="5" t="s">
        <v>5231</v>
      </c>
      <c r="B1689" s="1" t="s">
        <v>9759</v>
      </c>
      <c r="C1689" s="1">
        <v>1761</v>
      </c>
      <c r="D1689" s="1" t="s">
        <v>14</v>
      </c>
      <c r="E1689" s="1">
        <v>1849</v>
      </c>
      <c r="F1689" s="1" t="s">
        <v>9761</v>
      </c>
      <c r="G1689" s="1" t="s">
        <v>10</v>
      </c>
      <c r="H1689" s="2" t="s">
        <v>140</v>
      </c>
      <c r="I1689" s="2" t="s">
        <v>9762</v>
      </c>
      <c r="J1689" s="3">
        <v>46194.405277777776</v>
      </c>
      <c r="K1689" s="2" t="s">
        <v>9763</v>
      </c>
      <c r="L1689" s="1">
        <v>58</v>
      </c>
      <c r="M1689" s="1">
        <v>64</v>
      </c>
      <c r="N1689" s="1">
        <v>6</v>
      </c>
      <c r="O1689" s="3">
        <v>46233.65914210648</v>
      </c>
    </row>
    <row r="1690" spans="1:15" ht="240" x14ac:dyDescent="0.25">
      <c r="A1690" s="5" t="s">
        <v>5234</v>
      </c>
      <c r="B1690" s="1" t="s">
        <v>9764</v>
      </c>
      <c r="C1690" s="1">
        <v>1961</v>
      </c>
      <c r="D1690" s="1" t="s">
        <v>14</v>
      </c>
      <c r="G1690" s="1" t="s">
        <v>11</v>
      </c>
      <c r="J1690" s="3">
        <v>46203.72215277778</v>
      </c>
      <c r="K1690" s="2" t="s">
        <v>9765</v>
      </c>
      <c r="L1690" s="1">
        <v>8</v>
      </c>
      <c r="M1690" s="1">
        <v>10</v>
      </c>
      <c r="N1690" s="1">
        <v>2</v>
      </c>
      <c r="O1690" s="3">
        <v>46233.65914210648</v>
      </c>
    </row>
    <row r="1691" spans="1:15" x14ac:dyDescent="0.25">
      <c r="A1691" s="5" t="s">
        <v>5237</v>
      </c>
      <c r="B1691" s="1" t="s">
        <v>9766</v>
      </c>
      <c r="C1691" s="1">
        <v>1699</v>
      </c>
      <c r="E1691" s="1">
        <v>1781</v>
      </c>
      <c r="G1691" s="1" t="s">
        <v>10</v>
      </c>
      <c r="J1691" s="3">
        <v>46181.633159722223</v>
      </c>
      <c r="K1691" s="2" t="s">
        <v>9769</v>
      </c>
      <c r="L1691" s="1">
        <v>18</v>
      </c>
      <c r="M1691" s="1">
        <v>18</v>
      </c>
      <c r="N1691" s="1">
        <v>0</v>
      </c>
      <c r="O1691" s="3">
        <v>46233.65914210648</v>
      </c>
    </row>
    <row r="1692" spans="1:15" ht="135" x14ac:dyDescent="0.25">
      <c r="A1692" s="5" t="s">
        <v>5240</v>
      </c>
      <c r="B1692" s="1" t="s">
        <v>9770</v>
      </c>
      <c r="C1692" s="1">
        <v>1971</v>
      </c>
      <c r="G1692" s="1" t="s">
        <v>10</v>
      </c>
      <c r="J1692" s="3">
        <v>46199.390532407408</v>
      </c>
      <c r="K1692" s="2" t="s">
        <v>9771</v>
      </c>
      <c r="L1692" s="1">
        <v>7</v>
      </c>
      <c r="M1692" s="1">
        <v>8</v>
      </c>
      <c r="N1692" s="1">
        <v>1</v>
      </c>
      <c r="O1692" s="3">
        <v>46233.65914210648</v>
      </c>
    </row>
    <row r="1693" spans="1:15" ht="45" x14ac:dyDescent="0.25">
      <c r="A1693" s="5" t="s">
        <v>5243</v>
      </c>
      <c r="B1693" s="1" t="s">
        <v>9772</v>
      </c>
      <c r="C1693" s="1" t="s">
        <v>12</v>
      </c>
      <c r="G1693" s="1" t="s">
        <v>11</v>
      </c>
      <c r="J1693" s="3">
        <v>46190.483599537038</v>
      </c>
      <c r="K1693" s="2" t="s">
        <v>9773</v>
      </c>
      <c r="L1693" s="1">
        <v>8</v>
      </c>
      <c r="M1693" s="1">
        <v>10</v>
      </c>
      <c r="N1693" s="1">
        <v>2</v>
      </c>
      <c r="O1693" s="3">
        <v>46233.65914210648</v>
      </c>
    </row>
    <row r="1694" spans="1:15" ht="60" x14ac:dyDescent="0.25">
      <c r="A1694" s="5" t="s">
        <v>5249</v>
      </c>
      <c r="B1694" s="1" t="s">
        <v>9775</v>
      </c>
      <c r="C1694" s="1">
        <v>1953</v>
      </c>
      <c r="D1694" s="1" t="s">
        <v>14</v>
      </c>
      <c r="E1694" s="1">
        <v>2016</v>
      </c>
      <c r="F1694" s="1" t="s">
        <v>14</v>
      </c>
      <c r="G1694" s="1" t="s">
        <v>11</v>
      </c>
      <c r="J1694" s="3">
        <v>46185.361932870372</v>
      </c>
      <c r="K1694" s="2" t="s">
        <v>9776</v>
      </c>
      <c r="L1694" s="1">
        <v>13</v>
      </c>
      <c r="M1694" s="1">
        <v>24</v>
      </c>
      <c r="N1694" s="1">
        <v>11</v>
      </c>
      <c r="O1694" s="3">
        <v>46233.65914210648</v>
      </c>
    </row>
    <row r="1695" spans="1:15" x14ac:dyDescent="0.25">
      <c r="A1695" s="5" t="s">
        <v>5246</v>
      </c>
      <c r="B1695" s="1" t="s">
        <v>9774</v>
      </c>
      <c r="C1695" s="1">
        <v>1977</v>
      </c>
      <c r="J1695" s="3">
        <v>46105.676157407404</v>
      </c>
      <c r="L1695" s="1">
        <v>25</v>
      </c>
      <c r="M1695" s="1">
        <v>34</v>
      </c>
      <c r="N1695" s="1">
        <v>9</v>
      </c>
      <c r="O1695" s="3">
        <v>46233.65914210648</v>
      </c>
    </row>
    <row r="1696" spans="1:15" ht="30" x14ac:dyDescent="0.25">
      <c r="A1696" s="5" t="s">
        <v>5252</v>
      </c>
      <c r="B1696" s="1" t="s">
        <v>9777</v>
      </c>
      <c r="C1696" s="1" t="s">
        <v>12</v>
      </c>
      <c r="G1696" s="1" t="s">
        <v>11</v>
      </c>
      <c r="J1696" s="3">
        <v>46196.394467592596</v>
      </c>
      <c r="K1696" s="2" t="s">
        <v>9778</v>
      </c>
      <c r="L1696" s="1">
        <v>1</v>
      </c>
      <c r="M1696" s="1">
        <v>1</v>
      </c>
      <c r="N1696" s="1">
        <v>0</v>
      </c>
      <c r="O1696" s="3">
        <v>46233.65914210648</v>
      </c>
    </row>
    <row r="1697" spans="1:15" ht="60" x14ac:dyDescent="0.25">
      <c r="A1697" s="5" t="s">
        <v>5258</v>
      </c>
      <c r="B1697" s="1" t="s">
        <v>9780</v>
      </c>
      <c r="C1697" s="1" t="s">
        <v>12</v>
      </c>
      <c r="G1697" s="1" t="s">
        <v>10</v>
      </c>
      <c r="J1697" s="3">
        <v>46191.397743055553</v>
      </c>
      <c r="K1697" s="2" t="s">
        <v>9781</v>
      </c>
      <c r="L1697" s="1">
        <v>7</v>
      </c>
      <c r="M1697" s="1">
        <v>7</v>
      </c>
      <c r="N1697" s="1">
        <v>0</v>
      </c>
      <c r="O1697" s="3">
        <v>46233.65914210648</v>
      </c>
    </row>
    <row r="1698" spans="1:15" x14ac:dyDescent="0.25">
      <c r="A1698" s="5" t="s">
        <v>5255</v>
      </c>
      <c r="B1698" s="1" t="s">
        <v>9779</v>
      </c>
      <c r="C1698" s="1">
        <v>1814</v>
      </c>
      <c r="J1698" s="3">
        <v>46105.750925925924</v>
      </c>
      <c r="L1698" s="1">
        <v>28</v>
      </c>
      <c r="M1698" s="1">
        <v>32</v>
      </c>
      <c r="N1698" s="1">
        <v>4</v>
      </c>
      <c r="O1698" s="3">
        <v>46233.65914210648</v>
      </c>
    </row>
    <row r="1699" spans="1:15" x14ac:dyDescent="0.25">
      <c r="A1699" s="5" t="s">
        <v>5261</v>
      </c>
      <c r="B1699" s="1" t="s">
        <v>9782</v>
      </c>
      <c r="G1699" s="1" t="s">
        <v>10</v>
      </c>
      <c r="J1699" s="3">
        <v>46187.398055555554</v>
      </c>
      <c r="K1699" s="2" t="s">
        <v>6935</v>
      </c>
      <c r="L1699" s="1">
        <v>7</v>
      </c>
      <c r="M1699" s="1">
        <v>14</v>
      </c>
      <c r="N1699" s="1">
        <v>7</v>
      </c>
      <c r="O1699" s="3">
        <v>46233.65914210648</v>
      </c>
    </row>
    <row r="1700" spans="1:15" ht="30" x14ac:dyDescent="0.25">
      <c r="A1700" s="5" t="s">
        <v>5264</v>
      </c>
      <c r="B1700" s="1" t="s">
        <v>9783</v>
      </c>
      <c r="C1700" s="1">
        <v>1842</v>
      </c>
      <c r="E1700" s="1">
        <v>1899</v>
      </c>
      <c r="G1700" s="1" t="s">
        <v>10</v>
      </c>
      <c r="J1700" s="3">
        <v>46190.661932870367</v>
      </c>
      <c r="K1700" s="2" t="s">
        <v>9785</v>
      </c>
      <c r="L1700" s="1">
        <v>6</v>
      </c>
      <c r="M1700" s="1">
        <v>7</v>
      </c>
      <c r="N1700" s="1">
        <v>1</v>
      </c>
      <c r="O1700" s="3">
        <v>46233.65914210648</v>
      </c>
    </row>
    <row r="1701" spans="1:15" ht="105" x14ac:dyDescent="0.25">
      <c r="A1701" s="5" t="s">
        <v>5270</v>
      </c>
      <c r="B1701" s="1" t="s">
        <v>9787</v>
      </c>
      <c r="C1701" s="1" t="s">
        <v>12</v>
      </c>
      <c r="G1701" s="1" t="s">
        <v>10</v>
      </c>
      <c r="J1701" s="3">
        <v>46191.599016203705</v>
      </c>
      <c r="K1701" s="2" t="s">
        <v>9788</v>
      </c>
      <c r="L1701" s="1">
        <v>0</v>
      </c>
      <c r="M1701" s="1">
        <v>1</v>
      </c>
      <c r="N1701" s="1">
        <v>1</v>
      </c>
      <c r="O1701" s="3">
        <v>46233.65914210648</v>
      </c>
    </row>
    <row r="1702" spans="1:15" x14ac:dyDescent="0.25">
      <c r="A1702" s="5" t="s">
        <v>5267</v>
      </c>
      <c r="B1702" s="1" t="s">
        <v>9786</v>
      </c>
      <c r="C1702" s="1">
        <v>1978</v>
      </c>
      <c r="J1702" s="3">
        <v>46112.542129629626</v>
      </c>
      <c r="L1702" s="1">
        <v>5</v>
      </c>
      <c r="M1702" s="1">
        <v>5</v>
      </c>
      <c r="N1702" s="1">
        <v>0</v>
      </c>
      <c r="O1702" s="3">
        <v>46233.65914210648</v>
      </c>
    </row>
    <row r="1703" spans="1:15" ht="409.5" x14ac:dyDescent="0.25">
      <c r="A1703" s="5" t="s">
        <v>5273</v>
      </c>
      <c r="B1703" s="1" t="s">
        <v>9789</v>
      </c>
      <c r="J1703" s="3">
        <v>46173.366261574076</v>
      </c>
      <c r="K1703" s="2" t="s">
        <v>9790</v>
      </c>
      <c r="L1703" s="1">
        <v>155</v>
      </c>
      <c r="M1703" s="1">
        <v>157</v>
      </c>
      <c r="N1703" s="1">
        <v>2</v>
      </c>
      <c r="O1703" s="3">
        <v>46233.65914210648</v>
      </c>
    </row>
    <row r="1704" spans="1:15" ht="90" x14ac:dyDescent="0.25">
      <c r="A1704" s="5" t="s">
        <v>5276</v>
      </c>
      <c r="B1704" s="1" t="s">
        <v>9791</v>
      </c>
      <c r="C1704" s="1">
        <v>1938</v>
      </c>
      <c r="D1704" s="1" t="s">
        <v>9792</v>
      </c>
      <c r="E1704" s="1">
        <v>2016</v>
      </c>
      <c r="F1704" s="1" t="s">
        <v>14</v>
      </c>
      <c r="H1704" s="2" t="s">
        <v>8721</v>
      </c>
      <c r="I1704" s="2" t="s">
        <v>9793</v>
      </c>
      <c r="J1704" s="3">
        <v>46180.402361111112</v>
      </c>
      <c r="K1704" s="2" t="s">
        <v>9794</v>
      </c>
      <c r="L1704" s="1">
        <v>31</v>
      </c>
      <c r="M1704" s="1">
        <v>34</v>
      </c>
      <c r="N1704" s="1">
        <v>3</v>
      </c>
      <c r="O1704" s="3">
        <v>46233.65914210648</v>
      </c>
    </row>
    <row r="1705" spans="1:15" ht="75" x14ac:dyDescent="0.25">
      <c r="A1705" s="5" t="s">
        <v>5279</v>
      </c>
      <c r="B1705" s="1" t="s">
        <v>9795</v>
      </c>
      <c r="C1705" s="1">
        <v>1941</v>
      </c>
      <c r="E1705" s="1">
        <v>2022</v>
      </c>
      <c r="G1705" s="1" t="s">
        <v>10</v>
      </c>
      <c r="J1705" s="3">
        <v>46190.457939814813</v>
      </c>
      <c r="K1705" s="2" t="s">
        <v>9796</v>
      </c>
      <c r="L1705" s="1">
        <v>4</v>
      </c>
      <c r="M1705" s="1">
        <v>7</v>
      </c>
      <c r="N1705" s="1">
        <v>3</v>
      </c>
      <c r="O1705" s="3">
        <v>46233.65914210648</v>
      </c>
    </row>
    <row r="1706" spans="1:15" ht="30" x14ac:dyDescent="0.25">
      <c r="A1706" s="5" t="s">
        <v>5282</v>
      </c>
      <c r="B1706" s="1" t="s">
        <v>9797</v>
      </c>
      <c r="C1706" s="1">
        <v>1973</v>
      </c>
      <c r="D1706" s="1" t="s">
        <v>14</v>
      </c>
      <c r="G1706" s="1" t="s">
        <v>10</v>
      </c>
      <c r="J1706" s="3">
        <v>46194.402268518519</v>
      </c>
      <c r="K1706" s="2" t="s">
        <v>7985</v>
      </c>
      <c r="L1706" s="1">
        <v>48</v>
      </c>
      <c r="M1706" s="1">
        <v>51</v>
      </c>
      <c r="N1706" s="1">
        <v>3</v>
      </c>
      <c r="O1706" s="3">
        <v>46233.65914210648</v>
      </c>
    </row>
    <row r="1707" spans="1:15" ht="30" x14ac:dyDescent="0.25">
      <c r="A1707" s="5" t="s">
        <v>5285</v>
      </c>
      <c r="B1707" s="1" t="s">
        <v>9798</v>
      </c>
      <c r="C1707" s="1" t="s">
        <v>12</v>
      </c>
      <c r="G1707" s="1" t="s">
        <v>11</v>
      </c>
      <c r="J1707" s="3">
        <v>46199.432881944442</v>
      </c>
      <c r="K1707" s="2" t="s">
        <v>9799</v>
      </c>
      <c r="L1707" s="1">
        <v>5</v>
      </c>
      <c r="M1707" s="1">
        <v>6</v>
      </c>
      <c r="N1707" s="1">
        <v>1</v>
      </c>
      <c r="O1707" s="3">
        <v>46233.65914210648</v>
      </c>
    </row>
    <row r="1708" spans="1:15" ht="75" x14ac:dyDescent="0.25">
      <c r="A1708" s="5" t="s">
        <v>5288</v>
      </c>
      <c r="B1708" s="1" t="s">
        <v>9800</v>
      </c>
      <c r="C1708" s="1" t="s">
        <v>12</v>
      </c>
      <c r="G1708" s="1" t="s">
        <v>10</v>
      </c>
      <c r="J1708" s="3">
        <v>46191.375625000001</v>
      </c>
      <c r="K1708" s="2" t="s">
        <v>9801</v>
      </c>
      <c r="L1708" s="1">
        <v>6</v>
      </c>
      <c r="M1708" s="1">
        <v>6</v>
      </c>
      <c r="N1708" s="1">
        <v>0</v>
      </c>
      <c r="O1708" s="3">
        <v>46233.65914210648</v>
      </c>
    </row>
    <row r="1709" spans="1:15" ht="60" x14ac:dyDescent="0.25">
      <c r="A1709" s="5" t="s">
        <v>5291</v>
      </c>
      <c r="B1709" s="1" t="s">
        <v>9802</v>
      </c>
      <c r="C1709" s="1">
        <v>1936</v>
      </c>
      <c r="E1709" s="1">
        <v>2025</v>
      </c>
      <c r="G1709" s="1" t="s">
        <v>10</v>
      </c>
      <c r="J1709" s="3">
        <v>46190.650266203702</v>
      </c>
      <c r="K1709" s="2" t="s">
        <v>9803</v>
      </c>
      <c r="L1709" s="1">
        <v>0</v>
      </c>
      <c r="M1709" s="1">
        <v>1</v>
      </c>
      <c r="N1709" s="1">
        <v>1</v>
      </c>
      <c r="O1709" s="3">
        <v>46233.65914210648</v>
      </c>
    </row>
    <row r="1710" spans="1:15" ht="45" x14ac:dyDescent="0.25">
      <c r="A1710" s="5" t="s">
        <v>5294</v>
      </c>
      <c r="B1710" s="1" t="s">
        <v>9804</v>
      </c>
      <c r="C1710" s="1">
        <v>1953</v>
      </c>
      <c r="G1710" s="1" t="s">
        <v>11</v>
      </c>
      <c r="J1710" s="3">
        <v>46187.404988425929</v>
      </c>
      <c r="K1710" s="2" t="s">
        <v>9805</v>
      </c>
      <c r="L1710" s="1">
        <v>5</v>
      </c>
      <c r="M1710" s="1">
        <v>5</v>
      </c>
      <c r="N1710" s="1">
        <v>0</v>
      </c>
      <c r="O1710" s="3">
        <v>46233.65914210648</v>
      </c>
    </row>
    <row r="1711" spans="1:15" ht="120" x14ac:dyDescent="0.25">
      <c r="A1711" s="5" t="s">
        <v>5297</v>
      </c>
      <c r="B1711" s="1" t="s">
        <v>9806</v>
      </c>
      <c r="C1711" s="1">
        <v>1994</v>
      </c>
      <c r="J1711" s="3">
        <v>46187.380196759259</v>
      </c>
      <c r="K1711" s="2" t="s">
        <v>9807</v>
      </c>
      <c r="L1711" s="1">
        <v>49</v>
      </c>
      <c r="M1711" s="1">
        <v>58</v>
      </c>
      <c r="N1711" s="1">
        <v>9</v>
      </c>
      <c r="O1711" s="3">
        <v>46233.65914210648</v>
      </c>
    </row>
    <row r="1712" spans="1:15" x14ac:dyDescent="0.25">
      <c r="A1712" s="5" t="s">
        <v>5300</v>
      </c>
      <c r="B1712" s="1" t="s">
        <v>9808</v>
      </c>
      <c r="C1712" s="1" t="s">
        <v>12</v>
      </c>
      <c r="G1712" s="1" t="s">
        <v>10</v>
      </c>
      <c r="J1712" s="3">
        <v>46196.38962962963</v>
      </c>
      <c r="K1712" s="2" t="s">
        <v>6771</v>
      </c>
      <c r="L1712" s="1">
        <v>1</v>
      </c>
      <c r="M1712" s="1">
        <v>1</v>
      </c>
      <c r="N1712" s="1">
        <v>0</v>
      </c>
      <c r="O1712" s="3">
        <v>46233.65914210648</v>
      </c>
    </row>
    <row r="1713" spans="1:15" x14ac:dyDescent="0.25">
      <c r="A1713" s="5" t="s">
        <v>5303</v>
      </c>
      <c r="B1713" s="1" t="s">
        <v>9809</v>
      </c>
      <c r="C1713" s="1">
        <v>1839</v>
      </c>
      <c r="D1713" s="1" t="s">
        <v>14</v>
      </c>
      <c r="E1713" s="1">
        <v>1921</v>
      </c>
      <c r="F1713" s="1" t="s">
        <v>8235</v>
      </c>
      <c r="G1713" s="1" t="s">
        <v>10</v>
      </c>
      <c r="J1713" s="3">
        <v>46185.461261574077</v>
      </c>
      <c r="K1713" s="2" t="s">
        <v>6638</v>
      </c>
      <c r="L1713" s="1">
        <v>8</v>
      </c>
      <c r="M1713" s="1">
        <v>11</v>
      </c>
      <c r="N1713" s="1">
        <v>3</v>
      </c>
      <c r="O1713" s="3">
        <v>46233.65914210648</v>
      </c>
    </row>
    <row r="1714" spans="1:15" ht="45" x14ac:dyDescent="0.25">
      <c r="A1714" s="5" t="s">
        <v>5306</v>
      </c>
      <c r="B1714" s="1" t="s">
        <v>9810</v>
      </c>
      <c r="C1714" s="1">
        <v>1976</v>
      </c>
      <c r="D1714" s="1" t="s">
        <v>14</v>
      </c>
      <c r="G1714" s="1" t="s">
        <v>11</v>
      </c>
      <c r="H1714" s="2" t="s">
        <v>9811</v>
      </c>
      <c r="J1714" s="3">
        <v>46185.497314814813</v>
      </c>
      <c r="K1714" s="2" t="s">
        <v>9812</v>
      </c>
      <c r="L1714" s="1">
        <v>23</v>
      </c>
      <c r="M1714" s="1">
        <v>27</v>
      </c>
      <c r="N1714" s="1">
        <v>4</v>
      </c>
      <c r="O1714" s="3">
        <v>46233.65914210648</v>
      </c>
    </row>
    <row r="1715" spans="1:15" x14ac:dyDescent="0.25">
      <c r="A1715" s="5" t="s">
        <v>5309</v>
      </c>
      <c r="B1715" s="1" t="s">
        <v>9813</v>
      </c>
      <c r="C1715" s="1">
        <v>1965</v>
      </c>
      <c r="D1715" s="1" t="s">
        <v>7870</v>
      </c>
      <c r="G1715" s="1" t="s">
        <v>10</v>
      </c>
      <c r="J1715" s="3">
        <v>46194.408032407409</v>
      </c>
      <c r="K1715" s="2" t="s">
        <v>9814</v>
      </c>
      <c r="L1715" s="1">
        <v>12</v>
      </c>
      <c r="M1715" s="1">
        <v>14</v>
      </c>
      <c r="N1715" s="1">
        <v>2</v>
      </c>
      <c r="O1715" s="3">
        <v>46233.65914210648</v>
      </c>
    </row>
    <row r="1716" spans="1:15" x14ac:dyDescent="0.25">
      <c r="A1716" s="5" t="s">
        <v>5315</v>
      </c>
      <c r="B1716" s="1" t="s">
        <v>9816</v>
      </c>
      <c r="C1716" s="1">
        <v>1938</v>
      </c>
      <c r="G1716" s="1" t="s">
        <v>10</v>
      </c>
      <c r="J1716" s="3">
        <v>46190.369004629632</v>
      </c>
      <c r="K1716" s="2" t="s">
        <v>9817</v>
      </c>
      <c r="L1716" s="1">
        <v>5</v>
      </c>
      <c r="M1716" s="1">
        <v>5</v>
      </c>
      <c r="N1716" s="1">
        <v>0</v>
      </c>
      <c r="O1716" s="3">
        <v>46233.65914210648</v>
      </c>
    </row>
    <row r="1717" spans="1:15" x14ac:dyDescent="0.25">
      <c r="A1717" s="5" t="s">
        <v>5312</v>
      </c>
      <c r="B1717" s="1" t="s">
        <v>9815</v>
      </c>
      <c r="J1717" s="3">
        <v>46105.737384259257</v>
      </c>
      <c r="L1717" s="1">
        <v>13</v>
      </c>
      <c r="M1717" s="1">
        <v>15</v>
      </c>
      <c r="N1717" s="1">
        <v>2</v>
      </c>
      <c r="O1717" s="3">
        <v>46233.65914210648</v>
      </c>
    </row>
    <row r="1718" spans="1:15" ht="60" x14ac:dyDescent="0.25">
      <c r="A1718" s="5" t="s">
        <v>5321</v>
      </c>
      <c r="B1718" s="1" t="s">
        <v>9819</v>
      </c>
      <c r="C1718" s="1">
        <v>1943</v>
      </c>
      <c r="G1718" s="1" t="s">
        <v>11</v>
      </c>
      <c r="J1718" s="3">
        <v>46181.628229166665</v>
      </c>
      <c r="K1718" s="2" t="s">
        <v>9820</v>
      </c>
      <c r="L1718" s="1">
        <v>23</v>
      </c>
      <c r="M1718" s="1">
        <v>39</v>
      </c>
      <c r="N1718" s="1">
        <v>16</v>
      </c>
      <c r="O1718" s="3">
        <v>46233.65914210648</v>
      </c>
    </row>
    <row r="1719" spans="1:15" x14ac:dyDescent="0.25">
      <c r="A1719" s="5" t="s">
        <v>5318</v>
      </c>
      <c r="B1719" s="1" t="s">
        <v>9818</v>
      </c>
      <c r="J1719" s="3">
        <v>46105.747615740744</v>
      </c>
      <c r="L1719" s="1">
        <v>3</v>
      </c>
      <c r="M1719" s="1">
        <v>3</v>
      </c>
      <c r="N1719" s="1">
        <v>0</v>
      </c>
      <c r="O1719" s="3">
        <v>46233.65914210648</v>
      </c>
    </row>
    <row r="1720" spans="1:15" ht="45" x14ac:dyDescent="0.25">
      <c r="A1720" s="5" t="s">
        <v>5327</v>
      </c>
      <c r="B1720" s="1" t="s">
        <v>9822</v>
      </c>
      <c r="C1720" s="1" t="s">
        <v>12</v>
      </c>
      <c r="G1720" s="1" t="s">
        <v>11</v>
      </c>
      <c r="J1720" s="3">
        <v>46202.497175925928</v>
      </c>
      <c r="K1720" s="2" t="s">
        <v>9823</v>
      </c>
      <c r="L1720" s="1">
        <v>1</v>
      </c>
      <c r="M1720" s="1">
        <v>1</v>
      </c>
      <c r="N1720" s="1">
        <v>0</v>
      </c>
      <c r="O1720" s="3">
        <v>46233.65914210648</v>
      </c>
    </row>
    <row r="1721" spans="1:15" x14ac:dyDescent="0.25">
      <c r="A1721" s="5" t="s">
        <v>5324</v>
      </c>
      <c r="B1721" s="1" t="s">
        <v>9821</v>
      </c>
      <c r="J1721" s="3">
        <v>46105.751180555555</v>
      </c>
      <c r="L1721" s="1">
        <v>17</v>
      </c>
      <c r="M1721" s="1">
        <v>21</v>
      </c>
      <c r="N1721" s="1">
        <v>4</v>
      </c>
      <c r="O1721" s="3">
        <v>46233.65914210648</v>
      </c>
    </row>
    <row r="1722" spans="1:15" ht="30" x14ac:dyDescent="0.25">
      <c r="A1722" s="5" t="s">
        <v>5333</v>
      </c>
      <c r="B1722" s="1" t="s">
        <v>9825</v>
      </c>
      <c r="C1722" s="1">
        <v>1826</v>
      </c>
      <c r="E1722" s="1">
        <v>1895</v>
      </c>
      <c r="G1722" s="1" t="s">
        <v>10</v>
      </c>
      <c r="J1722" s="3">
        <v>46185.535798611112</v>
      </c>
      <c r="K1722" s="2" t="s">
        <v>9826</v>
      </c>
      <c r="L1722" s="1">
        <v>7</v>
      </c>
      <c r="M1722" s="1">
        <v>7</v>
      </c>
      <c r="N1722" s="1">
        <v>0</v>
      </c>
      <c r="O1722" s="3">
        <v>46233.65914210648</v>
      </c>
    </row>
    <row r="1723" spans="1:15" x14ac:dyDescent="0.25">
      <c r="A1723" s="5" t="s">
        <v>5330</v>
      </c>
      <c r="B1723" s="1" t="s">
        <v>9824</v>
      </c>
      <c r="J1723" s="3">
        <v>46105.751446759263</v>
      </c>
      <c r="L1723" s="1">
        <v>1</v>
      </c>
      <c r="M1723" s="1">
        <v>2</v>
      </c>
      <c r="N1723" s="1">
        <v>1</v>
      </c>
      <c r="O1723" s="3">
        <v>46233.65914210648</v>
      </c>
    </row>
    <row r="1724" spans="1:15" x14ac:dyDescent="0.25">
      <c r="A1724" s="5" t="s">
        <v>5339</v>
      </c>
      <c r="B1724" s="1" t="s">
        <v>9828</v>
      </c>
      <c r="C1724" s="1" t="s">
        <v>152</v>
      </c>
      <c r="E1724" s="1">
        <v>1952</v>
      </c>
      <c r="G1724" s="1" t="s">
        <v>10</v>
      </c>
      <c r="J1724" s="3">
        <v>46187.404953703706</v>
      </c>
      <c r="K1724" s="2" t="s">
        <v>9829</v>
      </c>
      <c r="L1724" s="1">
        <v>9</v>
      </c>
      <c r="M1724" s="1">
        <v>9</v>
      </c>
      <c r="N1724" s="1">
        <v>0</v>
      </c>
      <c r="O1724" s="3">
        <v>46233.65914210648</v>
      </c>
    </row>
    <row r="1725" spans="1:15" x14ac:dyDescent="0.25">
      <c r="A1725" s="5" t="s">
        <v>5336</v>
      </c>
      <c r="B1725" s="1" t="s">
        <v>9827</v>
      </c>
      <c r="C1725" s="1">
        <v>1889</v>
      </c>
      <c r="J1725" s="3">
        <v>46139.371145833335</v>
      </c>
      <c r="L1725" s="1">
        <v>1</v>
      </c>
      <c r="M1725" s="1">
        <v>1</v>
      </c>
      <c r="N1725" s="1">
        <v>0</v>
      </c>
      <c r="O1725" s="3">
        <v>46233.65914210648</v>
      </c>
    </row>
    <row r="1726" spans="1:15" x14ac:dyDescent="0.25">
      <c r="A1726" s="5" t="s">
        <v>5342</v>
      </c>
      <c r="B1726" s="1" t="s">
        <v>9830</v>
      </c>
      <c r="C1726" s="1">
        <v>1911</v>
      </c>
      <c r="J1726" s="3">
        <v>46139.692499999997</v>
      </c>
      <c r="L1726" s="1">
        <v>1</v>
      </c>
      <c r="M1726" s="1">
        <v>1</v>
      </c>
      <c r="N1726" s="1">
        <v>0</v>
      </c>
      <c r="O1726" s="3">
        <v>46233.65914210648</v>
      </c>
    </row>
    <row r="1727" spans="1:15" ht="60" x14ac:dyDescent="0.25">
      <c r="A1727" s="5" t="s">
        <v>5345</v>
      </c>
      <c r="B1727" s="1" t="s">
        <v>9831</v>
      </c>
      <c r="C1727" s="1">
        <v>1800</v>
      </c>
      <c r="D1727" s="1" t="s">
        <v>14</v>
      </c>
      <c r="E1727" s="1">
        <v>1872</v>
      </c>
      <c r="F1727" s="1" t="s">
        <v>14</v>
      </c>
      <c r="G1727" s="1" t="s">
        <v>10</v>
      </c>
      <c r="I1727" s="2" t="s">
        <v>8459</v>
      </c>
      <c r="J1727" s="3">
        <v>46191.517893518518</v>
      </c>
      <c r="K1727" s="2" t="s">
        <v>8774</v>
      </c>
      <c r="L1727" s="1">
        <v>16</v>
      </c>
      <c r="M1727" s="1">
        <v>16</v>
      </c>
      <c r="N1727" s="1">
        <v>0</v>
      </c>
      <c r="O1727" s="3">
        <v>46233.65914210648</v>
      </c>
    </row>
    <row r="1728" spans="1:15" ht="90" x14ac:dyDescent="0.25">
      <c r="A1728" s="5" t="s">
        <v>5351</v>
      </c>
      <c r="B1728" s="1" t="s">
        <v>9833</v>
      </c>
      <c r="C1728" s="1">
        <v>1902</v>
      </c>
      <c r="E1728" s="1">
        <v>1965</v>
      </c>
      <c r="G1728" s="1" t="s">
        <v>10</v>
      </c>
      <c r="J1728" s="3">
        <v>46181.646539351852</v>
      </c>
      <c r="K1728" s="2" t="s">
        <v>9834</v>
      </c>
      <c r="L1728" s="1">
        <v>28</v>
      </c>
      <c r="M1728" s="1">
        <v>28</v>
      </c>
      <c r="N1728" s="1">
        <v>0</v>
      </c>
      <c r="O1728" s="3">
        <v>46233.65914210648</v>
      </c>
    </row>
    <row r="1729" spans="1:15" x14ac:dyDescent="0.25">
      <c r="A1729" s="5" t="s">
        <v>5348</v>
      </c>
      <c r="B1729" s="1" t="s">
        <v>9832</v>
      </c>
      <c r="C1729" s="1">
        <v>2014</v>
      </c>
      <c r="E1729" s="1">
        <v>2018</v>
      </c>
      <c r="J1729" s="3">
        <v>46142.383194444446</v>
      </c>
      <c r="L1729" s="1">
        <v>5</v>
      </c>
      <c r="M1729" s="1">
        <v>6</v>
      </c>
      <c r="N1729" s="1">
        <v>1</v>
      </c>
      <c r="O1729" s="3">
        <v>46233.65914210648</v>
      </c>
    </row>
    <row r="1730" spans="1:15" x14ac:dyDescent="0.25">
      <c r="A1730" s="5" t="s">
        <v>5354</v>
      </c>
      <c r="B1730" s="1" t="s">
        <v>9835</v>
      </c>
      <c r="C1730" s="1">
        <v>2002</v>
      </c>
      <c r="E1730" s="1">
        <v>2005</v>
      </c>
      <c r="J1730" s="3">
        <v>46142.381898148145</v>
      </c>
      <c r="L1730" s="1">
        <v>2</v>
      </c>
      <c r="M1730" s="1">
        <v>3</v>
      </c>
      <c r="N1730" s="1">
        <v>1</v>
      </c>
      <c r="O1730" s="3">
        <v>46233.65914210648</v>
      </c>
    </row>
    <row r="1731" spans="1:15" ht="45" x14ac:dyDescent="0.25">
      <c r="A1731" s="5" t="s">
        <v>5360</v>
      </c>
      <c r="B1731" s="1" t="s">
        <v>9837</v>
      </c>
      <c r="C1731" s="1">
        <v>1928</v>
      </c>
      <c r="E1731" s="1">
        <v>2024</v>
      </c>
      <c r="G1731" s="1" t="s">
        <v>10</v>
      </c>
      <c r="H1731" s="2" t="s">
        <v>9838</v>
      </c>
      <c r="I1731" s="2" t="s">
        <v>9839</v>
      </c>
      <c r="J1731" s="3">
        <v>46180.416250000002</v>
      </c>
      <c r="K1731" s="2" t="s">
        <v>9840</v>
      </c>
      <c r="L1731" s="1">
        <v>31</v>
      </c>
      <c r="M1731" s="1">
        <v>34</v>
      </c>
      <c r="N1731" s="1">
        <v>3</v>
      </c>
      <c r="O1731" s="3">
        <v>46233.65914210648</v>
      </c>
    </row>
    <row r="1732" spans="1:15" x14ac:dyDescent="0.25">
      <c r="A1732" s="5" t="s">
        <v>5357</v>
      </c>
      <c r="B1732" s="1" t="s">
        <v>9836</v>
      </c>
      <c r="C1732" s="1">
        <v>2010</v>
      </c>
      <c r="E1732" s="1">
        <v>2013</v>
      </c>
      <c r="J1732" s="3">
        <v>46142.3827662037</v>
      </c>
      <c r="L1732" s="1">
        <v>2</v>
      </c>
      <c r="M1732" s="1">
        <v>2</v>
      </c>
      <c r="N1732" s="1">
        <v>0</v>
      </c>
      <c r="O1732" s="3">
        <v>46233.65914210648</v>
      </c>
    </row>
    <row r="1733" spans="1:15" ht="45" x14ac:dyDescent="0.25">
      <c r="A1733" s="5" t="s">
        <v>5363</v>
      </c>
      <c r="B1733" s="1" t="s">
        <v>9841</v>
      </c>
      <c r="C1733" s="1" t="s">
        <v>12</v>
      </c>
      <c r="G1733" s="1" t="s">
        <v>10</v>
      </c>
      <c r="J1733" s="3">
        <v>46189.678784722222</v>
      </c>
      <c r="K1733" s="2" t="s">
        <v>9842</v>
      </c>
      <c r="L1733" s="1">
        <v>21</v>
      </c>
      <c r="M1733" s="1">
        <v>24</v>
      </c>
      <c r="N1733" s="1">
        <v>3</v>
      </c>
      <c r="O1733" s="3">
        <v>46233.65914210648</v>
      </c>
    </row>
    <row r="1734" spans="1:15" ht="45" x14ac:dyDescent="0.25">
      <c r="A1734" s="5" t="s">
        <v>5366</v>
      </c>
      <c r="B1734" s="1" t="s">
        <v>9843</v>
      </c>
      <c r="C1734" s="1" t="s">
        <v>6554</v>
      </c>
      <c r="G1734" s="1" t="s">
        <v>11</v>
      </c>
      <c r="J1734" s="3">
        <v>46181.658912037034</v>
      </c>
      <c r="K1734" s="2" t="s">
        <v>9844</v>
      </c>
      <c r="L1734" s="1">
        <v>1</v>
      </c>
      <c r="M1734" s="1">
        <v>1</v>
      </c>
      <c r="N1734" s="1">
        <v>0</v>
      </c>
      <c r="O1734" s="3">
        <v>46233.65914210648</v>
      </c>
    </row>
    <row r="1735" spans="1:15" ht="45" x14ac:dyDescent="0.25">
      <c r="A1735" s="5" t="s">
        <v>5369</v>
      </c>
      <c r="B1735" s="1" t="s">
        <v>9845</v>
      </c>
      <c r="C1735" s="1" t="s">
        <v>12</v>
      </c>
      <c r="G1735" s="1" t="s">
        <v>11</v>
      </c>
      <c r="J1735" s="3">
        <v>46199.487453703703</v>
      </c>
      <c r="K1735" s="2" t="s">
        <v>9846</v>
      </c>
      <c r="L1735" s="1">
        <v>3</v>
      </c>
      <c r="M1735" s="1">
        <v>3</v>
      </c>
      <c r="N1735" s="1">
        <v>0</v>
      </c>
      <c r="O1735" s="3">
        <v>46233.65914210648</v>
      </c>
    </row>
    <row r="1736" spans="1:15" ht="30" x14ac:dyDescent="0.25">
      <c r="A1736" s="5" t="s">
        <v>5372</v>
      </c>
      <c r="B1736" s="1" t="s">
        <v>9847</v>
      </c>
      <c r="C1736" s="1" t="s">
        <v>9848</v>
      </c>
      <c r="E1736" s="1" t="s">
        <v>9849</v>
      </c>
      <c r="G1736" s="1" t="s">
        <v>10</v>
      </c>
      <c r="J1736" s="3">
        <v>46188.607106481482</v>
      </c>
      <c r="K1736" s="2" t="s">
        <v>9850</v>
      </c>
      <c r="L1736" s="1">
        <v>17</v>
      </c>
      <c r="M1736" s="1">
        <v>17</v>
      </c>
      <c r="N1736" s="1">
        <v>0</v>
      </c>
      <c r="O1736" s="3">
        <v>46233.65914210648</v>
      </c>
    </row>
    <row r="1737" spans="1:15" x14ac:dyDescent="0.25">
      <c r="A1737" s="5" t="s">
        <v>5375</v>
      </c>
      <c r="B1737" s="1" t="s">
        <v>9851</v>
      </c>
      <c r="C1737" s="1" t="s">
        <v>12</v>
      </c>
      <c r="G1737" s="1" t="s">
        <v>10</v>
      </c>
      <c r="J1737" s="3">
        <v>46199.372129629628</v>
      </c>
      <c r="K1737" s="2" t="s">
        <v>6438</v>
      </c>
      <c r="L1737" s="1">
        <v>4</v>
      </c>
      <c r="M1737" s="1">
        <v>4</v>
      </c>
      <c r="N1737" s="1">
        <v>0</v>
      </c>
      <c r="O1737" s="3">
        <v>46233.65914210648</v>
      </c>
    </row>
    <row r="1738" spans="1:15" ht="75" x14ac:dyDescent="0.25">
      <c r="A1738" s="5" t="s">
        <v>5378</v>
      </c>
      <c r="B1738" s="1" t="s">
        <v>9852</v>
      </c>
      <c r="C1738" s="1">
        <v>1923</v>
      </c>
      <c r="D1738" s="1" t="s">
        <v>14</v>
      </c>
      <c r="E1738" s="1">
        <v>2016</v>
      </c>
      <c r="G1738" s="1" t="s">
        <v>10</v>
      </c>
      <c r="J1738" s="3">
        <v>46173.36209490741</v>
      </c>
      <c r="K1738" s="2" t="s">
        <v>9853</v>
      </c>
      <c r="L1738" s="1">
        <v>14</v>
      </c>
      <c r="M1738" s="1">
        <v>61</v>
      </c>
      <c r="N1738" s="1">
        <v>47</v>
      </c>
      <c r="O1738" s="3">
        <v>46233.65914210648</v>
      </c>
    </row>
    <row r="1739" spans="1:15" x14ac:dyDescent="0.25">
      <c r="A1739" s="5" t="s">
        <v>5381</v>
      </c>
      <c r="B1739" s="1" t="s">
        <v>9854</v>
      </c>
      <c r="C1739" s="1" t="s">
        <v>12</v>
      </c>
      <c r="J1739" s="3">
        <v>46146.382048611114</v>
      </c>
      <c r="L1739" s="1">
        <v>1</v>
      </c>
      <c r="M1739" s="1">
        <v>1</v>
      </c>
      <c r="N1739" s="1">
        <v>0</v>
      </c>
      <c r="O1739" s="3">
        <v>46233.65914210648</v>
      </c>
    </row>
    <row r="1740" spans="1:15" x14ac:dyDescent="0.25">
      <c r="A1740" s="5" t="s">
        <v>5384</v>
      </c>
      <c r="B1740" s="1" t="s">
        <v>9855</v>
      </c>
      <c r="C1740" s="1">
        <v>1900</v>
      </c>
      <c r="J1740" s="3">
        <v>46153.467997685184</v>
      </c>
      <c r="L1740" s="1">
        <v>1</v>
      </c>
      <c r="M1740" s="1">
        <v>1</v>
      </c>
      <c r="N1740" s="1">
        <v>0</v>
      </c>
      <c r="O1740" s="3">
        <v>46233.65914210648</v>
      </c>
    </row>
    <row r="1741" spans="1:15" x14ac:dyDescent="0.25">
      <c r="A1741" s="5" t="s">
        <v>5387</v>
      </c>
      <c r="B1741" s="1" t="s">
        <v>9856</v>
      </c>
      <c r="J1741" s="3">
        <v>46136.696574074071</v>
      </c>
      <c r="L1741" s="1">
        <v>22</v>
      </c>
      <c r="M1741" s="1">
        <v>22</v>
      </c>
      <c r="N1741" s="1">
        <v>0</v>
      </c>
      <c r="O1741" s="3">
        <v>46233.65914210648</v>
      </c>
    </row>
    <row r="1742" spans="1:15" x14ac:dyDescent="0.25">
      <c r="A1742" s="5" t="s">
        <v>5390</v>
      </c>
      <c r="B1742" s="1" t="s">
        <v>9857</v>
      </c>
      <c r="C1742" s="1" t="s">
        <v>12</v>
      </c>
      <c r="J1742" s="3">
        <v>46163.59103009259</v>
      </c>
      <c r="L1742" s="1">
        <v>1</v>
      </c>
      <c r="M1742" s="1">
        <v>1</v>
      </c>
      <c r="N1742" s="1">
        <v>0</v>
      </c>
      <c r="O1742" s="3">
        <v>46233.65914210648</v>
      </c>
    </row>
    <row r="1743" spans="1:15" x14ac:dyDescent="0.25">
      <c r="A1743" s="5" t="s">
        <v>5393</v>
      </c>
      <c r="B1743" s="1" t="s">
        <v>9858</v>
      </c>
      <c r="C1743" s="1">
        <v>1912</v>
      </c>
      <c r="J1743" s="3">
        <v>46170.691423611112</v>
      </c>
      <c r="L1743" s="1">
        <v>2</v>
      </c>
      <c r="M1743" s="1">
        <v>4</v>
      </c>
      <c r="N1743" s="1">
        <v>2</v>
      </c>
      <c r="O1743" s="3">
        <v>46233.65914210648</v>
      </c>
    </row>
    <row r="1744" spans="1:15" x14ac:dyDescent="0.25">
      <c r="A1744" s="5" t="s">
        <v>5396</v>
      </c>
      <c r="B1744" s="1" t="s">
        <v>9859</v>
      </c>
      <c r="C1744" s="1" t="s">
        <v>12</v>
      </c>
      <c r="J1744" s="3">
        <v>46171.465810185182</v>
      </c>
      <c r="L1744" s="1">
        <v>1</v>
      </c>
      <c r="M1744" s="1">
        <v>1</v>
      </c>
      <c r="N1744" s="1">
        <v>0</v>
      </c>
      <c r="O1744" s="3">
        <v>46233.65914210648</v>
      </c>
    </row>
    <row r="1745" spans="1:15" x14ac:dyDescent="0.25">
      <c r="A1745" s="5" t="s">
        <v>5399</v>
      </c>
      <c r="B1745" s="1" t="s">
        <v>9860</v>
      </c>
      <c r="C1745" s="1">
        <v>1854</v>
      </c>
      <c r="J1745" s="3">
        <v>46171.487719907411</v>
      </c>
      <c r="L1745" s="1">
        <v>1</v>
      </c>
      <c r="M1745" s="1">
        <v>1</v>
      </c>
      <c r="N1745" s="1">
        <v>0</v>
      </c>
      <c r="O1745" s="3">
        <v>46233.65914210648</v>
      </c>
    </row>
    <row r="1746" spans="1:15" x14ac:dyDescent="0.25">
      <c r="A1746" s="5" t="s">
        <v>5402</v>
      </c>
      <c r="B1746" s="1" t="s">
        <v>9861</v>
      </c>
      <c r="C1746" s="1" t="s">
        <v>12</v>
      </c>
      <c r="J1746" s="3">
        <v>46171.495509259257</v>
      </c>
      <c r="L1746" s="1">
        <v>1</v>
      </c>
      <c r="M1746" s="1">
        <v>1</v>
      </c>
      <c r="N1746" s="1">
        <v>0</v>
      </c>
      <c r="O1746" s="3">
        <v>46233.65914210648</v>
      </c>
    </row>
    <row r="1747" spans="1:15" x14ac:dyDescent="0.25">
      <c r="A1747" s="5" t="s">
        <v>5405</v>
      </c>
      <c r="B1747" s="1" t="s">
        <v>9862</v>
      </c>
      <c r="C1747" s="1" t="s">
        <v>12</v>
      </c>
      <c r="J1747" s="3">
        <v>46171.495439814818</v>
      </c>
      <c r="L1747" s="1">
        <v>1</v>
      </c>
      <c r="M1747" s="1">
        <v>1</v>
      </c>
      <c r="N1747" s="1">
        <v>0</v>
      </c>
      <c r="O1747" s="3">
        <v>46233.65914210648</v>
      </c>
    </row>
    <row r="1748" spans="1:15" x14ac:dyDescent="0.25">
      <c r="A1748" s="5" t="s">
        <v>5408</v>
      </c>
      <c r="B1748" s="1" t="s">
        <v>9863</v>
      </c>
      <c r="C1748" s="1" t="s">
        <v>12</v>
      </c>
      <c r="J1748" s="3">
        <v>46171.495127314818</v>
      </c>
      <c r="L1748" s="1">
        <v>1</v>
      </c>
      <c r="M1748" s="1">
        <v>1</v>
      </c>
      <c r="N1748" s="1">
        <v>0</v>
      </c>
      <c r="O1748" s="3">
        <v>46233.65914210648</v>
      </c>
    </row>
    <row r="1749" spans="1:15" x14ac:dyDescent="0.25">
      <c r="A1749" s="5" t="s">
        <v>5411</v>
      </c>
      <c r="B1749" s="1" t="s">
        <v>9864</v>
      </c>
      <c r="C1749" s="1">
        <v>1961</v>
      </c>
      <c r="J1749" s="3">
        <v>46174.635312500002</v>
      </c>
      <c r="L1749" s="1">
        <v>18</v>
      </c>
      <c r="M1749" s="1">
        <v>18</v>
      </c>
      <c r="N1749" s="1">
        <v>0</v>
      </c>
      <c r="O1749" s="3">
        <v>46233.65914210648</v>
      </c>
    </row>
    <row r="1750" spans="1:15" x14ac:dyDescent="0.25">
      <c r="A1750" s="5" t="s">
        <v>5414</v>
      </c>
      <c r="B1750" s="1" t="s">
        <v>9865</v>
      </c>
      <c r="C1750" s="1">
        <v>1997</v>
      </c>
      <c r="J1750" s="3">
        <v>46175.538807870369</v>
      </c>
      <c r="L1750" s="1">
        <v>19</v>
      </c>
      <c r="M1750" s="1">
        <v>20</v>
      </c>
      <c r="N1750" s="1">
        <v>1</v>
      </c>
      <c r="O1750" s="3">
        <v>46233.65914210648</v>
      </c>
    </row>
    <row r="1751" spans="1:15" x14ac:dyDescent="0.25">
      <c r="A1751" s="5" t="s">
        <v>5417</v>
      </c>
      <c r="B1751" s="1" t="s">
        <v>9866</v>
      </c>
      <c r="C1751" s="1">
        <v>1964</v>
      </c>
      <c r="J1751" s="3">
        <v>46175.568657407406</v>
      </c>
      <c r="L1751" s="1">
        <v>20</v>
      </c>
      <c r="M1751" s="1">
        <v>20</v>
      </c>
      <c r="N1751" s="1">
        <v>0</v>
      </c>
      <c r="O1751" s="3">
        <v>46233.65914210648</v>
      </c>
    </row>
    <row r="1752" spans="1:15" x14ac:dyDescent="0.25">
      <c r="A1752" s="5" t="s">
        <v>5420</v>
      </c>
      <c r="B1752" s="1" t="s">
        <v>9867</v>
      </c>
      <c r="C1752" s="1">
        <v>2007</v>
      </c>
      <c r="J1752" s="3">
        <v>46181.586412037039</v>
      </c>
      <c r="L1752" s="1">
        <v>17</v>
      </c>
      <c r="M1752" s="1">
        <v>17</v>
      </c>
      <c r="N1752" s="1">
        <v>0</v>
      </c>
      <c r="O1752" s="3">
        <v>46233.65914210648</v>
      </c>
    </row>
    <row r="1753" spans="1:15" x14ac:dyDescent="0.25">
      <c r="A1753" s="5" t="s">
        <v>5423</v>
      </c>
      <c r="B1753" s="1" t="s">
        <v>9868</v>
      </c>
      <c r="C1753" s="1">
        <v>1798</v>
      </c>
      <c r="E1753" s="1">
        <v>1847</v>
      </c>
      <c r="J1753" s="3">
        <v>46184.648761574077</v>
      </c>
      <c r="L1753" s="1">
        <v>31</v>
      </c>
      <c r="M1753" s="1">
        <v>31</v>
      </c>
      <c r="N1753" s="1">
        <v>0</v>
      </c>
      <c r="O1753" s="3">
        <v>46233.65914210648</v>
      </c>
    </row>
    <row r="1754" spans="1:15" x14ac:dyDescent="0.25">
      <c r="A1754" s="5" t="s">
        <v>5426</v>
      </c>
      <c r="B1754" s="1" t="s">
        <v>9869</v>
      </c>
      <c r="C1754" s="1" t="s">
        <v>12</v>
      </c>
      <c r="G1754" s="1" t="s">
        <v>10</v>
      </c>
      <c r="J1754" s="3">
        <v>46185.390300925923</v>
      </c>
      <c r="L1754" s="1">
        <v>5</v>
      </c>
      <c r="M1754" s="1">
        <v>5</v>
      </c>
      <c r="N1754" s="1">
        <v>0</v>
      </c>
      <c r="O1754" s="3">
        <v>46233.65914210648</v>
      </c>
    </row>
    <row r="1755" spans="1:15" x14ac:dyDescent="0.25">
      <c r="A1755" s="5" t="s">
        <v>5429</v>
      </c>
      <c r="B1755" s="1" t="s">
        <v>9870</v>
      </c>
      <c r="C1755" s="1" t="s">
        <v>12</v>
      </c>
      <c r="G1755" s="1" t="s">
        <v>10</v>
      </c>
      <c r="J1755" s="3">
        <v>46185.507222222222</v>
      </c>
      <c r="L1755" s="1">
        <v>10</v>
      </c>
      <c r="M1755" s="1">
        <v>10</v>
      </c>
      <c r="N1755" s="1">
        <v>0</v>
      </c>
      <c r="O1755" s="3">
        <v>46233.65914210648</v>
      </c>
    </row>
    <row r="1756" spans="1:15" x14ac:dyDescent="0.25">
      <c r="A1756" s="5" t="s">
        <v>5432</v>
      </c>
      <c r="B1756" s="1" t="s">
        <v>9871</v>
      </c>
      <c r="C1756" s="1" t="s">
        <v>12</v>
      </c>
      <c r="G1756" s="1" t="s">
        <v>10</v>
      </c>
      <c r="J1756" s="3">
        <v>46185.526863425926</v>
      </c>
      <c r="L1756" s="1">
        <v>5</v>
      </c>
      <c r="M1756" s="1">
        <v>5</v>
      </c>
      <c r="N1756" s="1">
        <v>0</v>
      </c>
      <c r="O1756" s="3">
        <v>46233.65914210648</v>
      </c>
    </row>
    <row r="1757" spans="1:15" x14ac:dyDescent="0.25">
      <c r="A1757" s="5" t="s">
        <v>5435</v>
      </c>
      <c r="B1757" s="1" t="s">
        <v>9872</v>
      </c>
      <c r="C1757" s="1" t="s">
        <v>12</v>
      </c>
      <c r="G1757" s="1" t="s">
        <v>10</v>
      </c>
      <c r="J1757" s="3">
        <v>46185.600393518522</v>
      </c>
      <c r="L1757" s="1">
        <v>5</v>
      </c>
      <c r="M1757" s="1">
        <v>5</v>
      </c>
      <c r="N1757" s="1">
        <v>0</v>
      </c>
      <c r="O1757" s="3">
        <v>46233.65914210648</v>
      </c>
    </row>
    <row r="1758" spans="1:15" x14ac:dyDescent="0.25">
      <c r="A1758" s="5" t="s">
        <v>5438</v>
      </c>
      <c r="B1758" s="1" t="s">
        <v>9873</v>
      </c>
      <c r="C1758" s="1" t="s">
        <v>12</v>
      </c>
      <c r="G1758" s="1" t="s">
        <v>11</v>
      </c>
      <c r="J1758" s="3">
        <v>46185.605196759258</v>
      </c>
      <c r="L1758" s="1">
        <v>5</v>
      </c>
      <c r="M1758" s="1">
        <v>5</v>
      </c>
      <c r="N1758" s="1">
        <v>0</v>
      </c>
      <c r="O1758" s="3">
        <v>46233.65914210648</v>
      </c>
    </row>
    <row r="1759" spans="1:15" x14ac:dyDescent="0.25">
      <c r="A1759" s="5" t="s">
        <v>5441</v>
      </c>
      <c r="B1759" s="1" t="s">
        <v>9874</v>
      </c>
      <c r="C1759" s="1" t="s">
        <v>12</v>
      </c>
      <c r="G1759" s="1" t="s">
        <v>11</v>
      </c>
      <c r="J1759" s="3">
        <v>46185.635462962964</v>
      </c>
      <c r="L1759" s="1">
        <v>5</v>
      </c>
      <c r="M1759" s="1">
        <v>6</v>
      </c>
      <c r="N1759" s="1">
        <v>1</v>
      </c>
      <c r="O1759" s="3">
        <v>46233.65914210648</v>
      </c>
    </row>
    <row r="1760" spans="1:15" x14ac:dyDescent="0.25">
      <c r="A1760" s="5" t="s">
        <v>5444</v>
      </c>
      <c r="B1760" s="1" t="s">
        <v>9875</v>
      </c>
      <c r="C1760" s="1" t="s">
        <v>12</v>
      </c>
      <c r="G1760" s="1" t="s">
        <v>10</v>
      </c>
      <c r="J1760" s="3">
        <v>46185.649733796294</v>
      </c>
      <c r="L1760" s="1">
        <v>5</v>
      </c>
      <c r="M1760" s="1">
        <v>5</v>
      </c>
      <c r="N1760" s="1">
        <v>0</v>
      </c>
      <c r="O1760" s="3">
        <v>46233.65914210648</v>
      </c>
    </row>
    <row r="1761" spans="1:15" x14ac:dyDescent="0.25">
      <c r="A1761" s="5" t="s">
        <v>5447</v>
      </c>
      <c r="B1761" s="1" t="s">
        <v>9876</v>
      </c>
      <c r="C1761" s="1" t="s">
        <v>12</v>
      </c>
      <c r="G1761" s="1" t="s">
        <v>10</v>
      </c>
      <c r="J1761" s="3">
        <v>46185.653449074074</v>
      </c>
      <c r="L1761" s="1">
        <v>5</v>
      </c>
      <c r="M1761" s="1">
        <v>6</v>
      </c>
      <c r="N1761" s="1">
        <v>1</v>
      </c>
      <c r="O1761" s="3">
        <v>46233.65914210648</v>
      </c>
    </row>
    <row r="1762" spans="1:15" x14ac:dyDescent="0.25">
      <c r="A1762" s="5" t="s">
        <v>5450</v>
      </c>
      <c r="B1762" s="1" t="s">
        <v>9877</v>
      </c>
      <c r="C1762" s="1">
        <v>2006</v>
      </c>
      <c r="E1762" s="1">
        <v>2012</v>
      </c>
      <c r="J1762" s="3">
        <v>46188.57608796296</v>
      </c>
      <c r="L1762" s="1">
        <v>0</v>
      </c>
      <c r="M1762" s="1">
        <v>6</v>
      </c>
      <c r="N1762" s="1">
        <v>6</v>
      </c>
      <c r="O1762" s="3">
        <v>46233.65914210648</v>
      </c>
    </row>
    <row r="1763" spans="1:15" x14ac:dyDescent="0.25">
      <c r="A1763" s="5" t="s">
        <v>5453</v>
      </c>
      <c r="B1763" s="1" t="s">
        <v>9878</v>
      </c>
      <c r="C1763" s="1" t="s">
        <v>9879</v>
      </c>
      <c r="G1763" s="1" t="s">
        <v>10</v>
      </c>
      <c r="J1763" s="3">
        <v>46189.485069444447</v>
      </c>
      <c r="L1763" s="1">
        <v>4</v>
      </c>
      <c r="M1763" s="1">
        <v>5</v>
      </c>
      <c r="N1763" s="1">
        <v>1</v>
      </c>
      <c r="O1763" s="3">
        <v>46233.65914210648</v>
      </c>
    </row>
    <row r="1764" spans="1:15" x14ac:dyDescent="0.25">
      <c r="A1764" s="5" t="s">
        <v>5456</v>
      </c>
      <c r="B1764" s="1" t="s">
        <v>9880</v>
      </c>
      <c r="C1764" s="1" t="s">
        <v>152</v>
      </c>
      <c r="E1764" s="1" t="s">
        <v>12</v>
      </c>
      <c r="J1764" s="3">
        <v>46189.50204861111</v>
      </c>
      <c r="L1764" s="1">
        <v>5</v>
      </c>
      <c r="M1764" s="1">
        <v>5</v>
      </c>
      <c r="N1764" s="1">
        <v>0</v>
      </c>
      <c r="O1764" s="3">
        <v>46233.65914210648</v>
      </c>
    </row>
    <row r="1765" spans="1:15" x14ac:dyDescent="0.25">
      <c r="A1765" s="5" t="s">
        <v>5459</v>
      </c>
      <c r="B1765" s="1" t="s">
        <v>9881</v>
      </c>
      <c r="C1765" s="1" t="s">
        <v>12</v>
      </c>
      <c r="G1765" s="1" t="s">
        <v>11</v>
      </c>
      <c r="J1765" s="3">
        <v>46190.342349537037</v>
      </c>
      <c r="L1765" s="1">
        <v>4</v>
      </c>
      <c r="M1765" s="1">
        <v>5</v>
      </c>
      <c r="N1765" s="1">
        <v>1</v>
      </c>
      <c r="O1765" s="3">
        <v>46233.65914210648</v>
      </c>
    </row>
    <row r="1766" spans="1:15" x14ac:dyDescent="0.25">
      <c r="A1766" s="5" t="s">
        <v>5462</v>
      </c>
      <c r="B1766" s="1" t="s">
        <v>9882</v>
      </c>
      <c r="C1766" s="1" t="s">
        <v>12</v>
      </c>
      <c r="E1766" s="1">
        <v>2011</v>
      </c>
      <c r="G1766" s="1" t="s">
        <v>10</v>
      </c>
      <c r="J1766" s="3">
        <v>46190.496307870373</v>
      </c>
      <c r="L1766" s="1">
        <v>10</v>
      </c>
      <c r="M1766" s="1">
        <v>17</v>
      </c>
      <c r="N1766" s="1">
        <v>7</v>
      </c>
      <c r="O1766" s="3">
        <v>46233.65914210648</v>
      </c>
    </row>
    <row r="1767" spans="1:15" x14ac:dyDescent="0.25">
      <c r="A1767" s="5" t="s">
        <v>5465</v>
      </c>
      <c r="B1767" s="1" t="s">
        <v>9883</v>
      </c>
      <c r="C1767" s="1">
        <v>1896</v>
      </c>
      <c r="E1767" s="1">
        <v>1975</v>
      </c>
      <c r="G1767" s="1" t="s">
        <v>10</v>
      </c>
      <c r="J1767" s="3">
        <v>46191.354155092595</v>
      </c>
      <c r="L1767" s="1">
        <v>12</v>
      </c>
      <c r="M1767" s="1">
        <v>12</v>
      </c>
      <c r="N1767" s="1">
        <v>0</v>
      </c>
      <c r="O1767" s="3">
        <v>46233.65914210648</v>
      </c>
    </row>
    <row r="1768" spans="1:15" x14ac:dyDescent="0.25">
      <c r="A1768" s="5" t="s">
        <v>5468</v>
      </c>
      <c r="B1768" s="1" t="s">
        <v>9884</v>
      </c>
      <c r="C1768" s="1">
        <v>1894</v>
      </c>
      <c r="J1768" s="3">
        <v>46191.639467592591</v>
      </c>
      <c r="L1768" s="1">
        <v>17</v>
      </c>
      <c r="M1768" s="1">
        <v>17</v>
      </c>
      <c r="N1768" s="1">
        <v>0</v>
      </c>
      <c r="O1768" s="3">
        <v>46233.65914210648</v>
      </c>
    </row>
    <row r="1769" spans="1:15" x14ac:dyDescent="0.25">
      <c r="A1769" s="5" t="s">
        <v>5471</v>
      </c>
      <c r="B1769" s="1" t="s">
        <v>9885</v>
      </c>
      <c r="C1769" s="1">
        <v>1976</v>
      </c>
      <c r="J1769" s="3">
        <v>46191.799328703702</v>
      </c>
      <c r="L1769" s="1">
        <v>17</v>
      </c>
      <c r="M1769" s="1">
        <v>17</v>
      </c>
      <c r="N1769" s="1">
        <v>0</v>
      </c>
      <c r="O1769" s="3">
        <v>46233.65914210648</v>
      </c>
    </row>
    <row r="1770" spans="1:15" x14ac:dyDescent="0.25">
      <c r="A1770" s="5" t="s">
        <v>5474</v>
      </c>
      <c r="B1770" s="1" t="s">
        <v>9886</v>
      </c>
      <c r="C1770" s="1" t="s">
        <v>12</v>
      </c>
      <c r="G1770" s="1" t="s">
        <v>11</v>
      </c>
      <c r="J1770" s="3">
        <v>46199.488206018519</v>
      </c>
      <c r="L1770" s="1">
        <v>4</v>
      </c>
      <c r="M1770" s="1">
        <v>4</v>
      </c>
      <c r="N1770" s="1">
        <v>0</v>
      </c>
      <c r="O1770" s="3">
        <v>46233.65914210648</v>
      </c>
    </row>
    <row r="1771" spans="1:15" x14ac:dyDescent="0.25">
      <c r="A1771" s="5" t="s">
        <v>5477</v>
      </c>
      <c r="B1771" s="1" t="s">
        <v>9887</v>
      </c>
      <c r="C1771" s="1" t="s">
        <v>12</v>
      </c>
      <c r="G1771" s="1" t="s">
        <v>11</v>
      </c>
      <c r="J1771" s="3">
        <v>46199.629965277774</v>
      </c>
      <c r="L1771" s="1">
        <v>5</v>
      </c>
      <c r="M1771" s="1">
        <v>5</v>
      </c>
      <c r="N1771" s="1">
        <v>0</v>
      </c>
      <c r="O1771" s="3">
        <v>46233.65914210648</v>
      </c>
    </row>
    <row r="1772" spans="1:15" x14ac:dyDescent="0.25">
      <c r="A1772" s="5" t="s">
        <v>5480</v>
      </c>
      <c r="B1772" s="1" t="s">
        <v>9888</v>
      </c>
      <c r="C1772" s="1" t="s">
        <v>12</v>
      </c>
      <c r="G1772" s="1" t="s">
        <v>11</v>
      </c>
      <c r="J1772" s="3">
        <v>46199.635752314818</v>
      </c>
      <c r="L1772" s="1">
        <v>5</v>
      </c>
      <c r="M1772" s="1">
        <v>5</v>
      </c>
      <c r="N1772" s="1">
        <v>0</v>
      </c>
      <c r="O1772" s="3">
        <v>46233.65914210648</v>
      </c>
    </row>
    <row r="1773" spans="1:15" x14ac:dyDescent="0.25">
      <c r="A1773" s="5" t="s">
        <v>5483</v>
      </c>
      <c r="B1773" s="1" t="s">
        <v>9889</v>
      </c>
      <c r="C1773" s="1">
        <v>1898</v>
      </c>
      <c r="E1773" s="1">
        <v>1935</v>
      </c>
      <c r="J1773" s="3">
        <v>46204.492164351854</v>
      </c>
      <c r="L1773" s="1">
        <v>1</v>
      </c>
      <c r="M1773" s="1">
        <v>1</v>
      </c>
      <c r="N1773" s="1">
        <v>0</v>
      </c>
      <c r="O1773" s="3">
        <v>46233.65914210648</v>
      </c>
    </row>
    <row r="1774" spans="1:15" ht="45" x14ac:dyDescent="0.25">
      <c r="A1774" s="5" t="s">
        <v>5486</v>
      </c>
      <c r="B1774" s="1" t="s">
        <v>9890</v>
      </c>
      <c r="C1774" s="1">
        <v>1690</v>
      </c>
      <c r="D1774" s="1" t="s">
        <v>14</v>
      </c>
      <c r="E1774" s="1">
        <v>1766</v>
      </c>
      <c r="F1774" s="1" t="s">
        <v>9891</v>
      </c>
      <c r="G1774" s="1" t="s">
        <v>10</v>
      </c>
      <c r="J1774" s="3">
        <v>46204.552303240744</v>
      </c>
      <c r="K1774" s="2" t="s">
        <v>9892</v>
      </c>
      <c r="L1774" s="1">
        <v>19</v>
      </c>
      <c r="M1774" s="1">
        <v>36</v>
      </c>
      <c r="N1774" s="1">
        <v>17</v>
      </c>
      <c r="O1774" s="3">
        <v>46233.65914210648</v>
      </c>
    </row>
    <row r="1775" spans="1:15" ht="30" x14ac:dyDescent="0.25">
      <c r="A1775" s="5" t="s">
        <v>5489</v>
      </c>
      <c r="B1775" s="1" t="s">
        <v>9893</v>
      </c>
      <c r="C1775" s="1" t="s">
        <v>12</v>
      </c>
      <c r="G1775" s="1" t="s">
        <v>10</v>
      </c>
      <c r="J1775" s="3">
        <v>46204.672905092593</v>
      </c>
      <c r="K1775" s="2" t="s">
        <v>9894</v>
      </c>
      <c r="L1775" s="1">
        <v>1</v>
      </c>
      <c r="M1775" s="1">
        <v>1</v>
      </c>
      <c r="N1775" s="1">
        <v>0</v>
      </c>
      <c r="O1775" s="3">
        <v>46233.65914210648</v>
      </c>
    </row>
    <row r="1776" spans="1:15" ht="45" x14ac:dyDescent="0.25">
      <c r="A1776" s="5" t="s">
        <v>5492</v>
      </c>
      <c r="B1776" s="1" t="s">
        <v>9895</v>
      </c>
      <c r="C1776" s="1">
        <v>1848</v>
      </c>
      <c r="E1776" s="1">
        <v>1933</v>
      </c>
      <c r="J1776" s="3">
        <v>46205.647604166668</v>
      </c>
      <c r="K1776" s="2" t="s">
        <v>9896</v>
      </c>
      <c r="L1776" s="1">
        <v>18</v>
      </c>
      <c r="M1776" s="1">
        <v>19</v>
      </c>
      <c r="N1776" s="1">
        <v>1</v>
      </c>
      <c r="O1776" s="3">
        <v>46233.65914210648</v>
      </c>
    </row>
    <row r="1777" spans="1:15" x14ac:dyDescent="0.25">
      <c r="A1777" s="5" t="s">
        <v>5495</v>
      </c>
      <c r="B1777" s="1" t="s">
        <v>9897</v>
      </c>
      <c r="C1777" s="1">
        <v>1845</v>
      </c>
      <c r="E1777" s="1">
        <v>1907</v>
      </c>
      <c r="J1777" s="3">
        <v>46205.656018518515</v>
      </c>
      <c r="L1777" s="1">
        <v>12</v>
      </c>
      <c r="M1777" s="1">
        <v>14</v>
      </c>
      <c r="N1777" s="1">
        <v>2</v>
      </c>
      <c r="O1777" s="3">
        <v>46233.65914210648</v>
      </c>
    </row>
    <row r="1778" spans="1:15" ht="60" x14ac:dyDescent="0.25">
      <c r="A1778" s="5" t="s">
        <v>5498</v>
      </c>
      <c r="B1778" s="1" t="s">
        <v>9898</v>
      </c>
      <c r="C1778" s="1">
        <v>2017</v>
      </c>
      <c r="J1778" s="3">
        <v>46206.438715277778</v>
      </c>
      <c r="K1778" s="2" t="s">
        <v>9899</v>
      </c>
      <c r="L1778" s="1">
        <v>1</v>
      </c>
      <c r="M1778" s="1">
        <v>1</v>
      </c>
      <c r="N1778" s="1">
        <v>0</v>
      </c>
      <c r="O1778" s="3">
        <v>46233.65914210648</v>
      </c>
    </row>
    <row r="1779" spans="1:15" ht="60" x14ac:dyDescent="0.25">
      <c r="A1779" s="5" t="s">
        <v>5501</v>
      </c>
      <c r="B1779" s="1" t="s">
        <v>9900</v>
      </c>
      <c r="C1779" s="1">
        <v>1886</v>
      </c>
      <c r="D1779" s="1" t="s">
        <v>14</v>
      </c>
      <c r="E1779" s="1">
        <v>1955</v>
      </c>
      <c r="F1779" s="1" t="s">
        <v>14</v>
      </c>
      <c r="G1779" s="1" t="s">
        <v>10</v>
      </c>
      <c r="I1779" s="2" t="s">
        <v>140</v>
      </c>
      <c r="J1779" s="3">
        <v>46208.349560185183</v>
      </c>
      <c r="K1779" s="2" t="s">
        <v>9901</v>
      </c>
      <c r="L1779" s="1">
        <v>1</v>
      </c>
      <c r="M1779" s="1">
        <v>2</v>
      </c>
      <c r="N1779" s="1">
        <v>1</v>
      </c>
      <c r="O1779" s="3">
        <v>46233.65914210648</v>
      </c>
    </row>
    <row r="1780" spans="1:15" ht="45" x14ac:dyDescent="0.25">
      <c r="A1780" s="5" t="s">
        <v>5504</v>
      </c>
      <c r="B1780" s="1" t="s">
        <v>9902</v>
      </c>
      <c r="C1780" s="1">
        <v>1816</v>
      </c>
      <c r="D1780" s="1" t="s">
        <v>14</v>
      </c>
      <c r="E1780" s="1">
        <v>1906</v>
      </c>
      <c r="F1780" s="1" t="s">
        <v>14</v>
      </c>
      <c r="G1780" s="1" t="s">
        <v>10</v>
      </c>
      <c r="H1780" s="2" t="s">
        <v>9903</v>
      </c>
      <c r="I1780" s="2" t="s">
        <v>140</v>
      </c>
      <c r="J1780" s="3">
        <v>46208.349409722221</v>
      </c>
      <c r="K1780" s="2" t="s">
        <v>9904</v>
      </c>
      <c r="L1780" s="1">
        <v>26</v>
      </c>
      <c r="M1780" s="1">
        <v>26</v>
      </c>
      <c r="N1780" s="1">
        <v>0</v>
      </c>
      <c r="O1780" s="3">
        <v>46233.65914210648</v>
      </c>
    </row>
    <row r="1781" spans="1:15" ht="60" x14ac:dyDescent="0.25">
      <c r="A1781" s="5" t="s">
        <v>5507</v>
      </c>
      <c r="B1781" s="1" t="s">
        <v>9905</v>
      </c>
      <c r="C1781" s="1">
        <v>1944</v>
      </c>
      <c r="D1781" s="1" t="s">
        <v>14</v>
      </c>
      <c r="E1781" s="1">
        <v>2011</v>
      </c>
      <c r="F1781" s="1" t="s">
        <v>9906</v>
      </c>
      <c r="G1781" s="1" t="s">
        <v>10</v>
      </c>
      <c r="J1781" s="3">
        <v>46208.356550925928</v>
      </c>
      <c r="K1781" s="2" t="s">
        <v>9907</v>
      </c>
      <c r="L1781" s="1">
        <v>40</v>
      </c>
      <c r="M1781" s="1">
        <v>41</v>
      </c>
      <c r="N1781" s="1">
        <v>1</v>
      </c>
      <c r="O1781" s="3">
        <v>46233.65914210648</v>
      </c>
    </row>
    <row r="1782" spans="1:15" ht="30" x14ac:dyDescent="0.25">
      <c r="A1782" s="5" t="s">
        <v>5510</v>
      </c>
      <c r="B1782" s="1" t="s">
        <v>9908</v>
      </c>
      <c r="C1782" s="1">
        <v>1720</v>
      </c>
      <c r="D1782" s="1" t="s">
        <v>14</v>
      </c>
      <c r="E1782" s="1">
        <v>1793</v>
      </c>
      <c r="F1782" s="1" t="s">
        <v>14</v>
      </c>
      <c r="G1782" s="1" t="s">
        <v>10</v>
      </c>
      <c r="J1782" s="3">
        <v>46208.356562499997</v>
      </c>
      <c r="K1782" s="2" t="s">
        <v>9910</v>
      </c>
      <c r="L1782" s="1">
        <v>222</v>
      </c>
      <c r="M1782" s="1">
        <v>233</v>
      </c>
      <c r="N1782" s="1">
        <v>11</v>
      </c>
      <c r="O1782" s="3">
        <v>46233.65914210648</v>
      </c>
    </row>
    <row r="1783" spans="1:15" ht="120" x14ac:dyDescent="0.25">
      <c r="A1783" s="5" t="s">
        <v>5513</v>
      </c>
      <c r="B1783" s="1" t="s">
        <v>9911</v>
      </c>
      <c r="C1783" s="1">
        <v>1750</v>
      </c>
      <c r="D1783" s="1" t="s">
        <v>14</v>
      </c>
      <c r="E1783" s="1">
        <v>1840</v>
      </c>
      <c r="F1783" s="1" t="s">
        <v>14</v>
      </c>
      <c r="G1783" s="1" t="s">
        <v>10</v>
      </c>
      <c r="H1783" s="2" t="s">
        <v>8458</v>
      </c>
      <c r="I1783" s="2" t="s">
        <v>10481</v>
      </c>
      <c r="J1783" s="3">
        <v>46208.36755787037</v>
      </c>
      <c r="K1783" s="2" t="s">
        <v>9913</v>
      </c>
      <c r="L1783" s="1">
        <v>17</v>
      </c>
      <c r="M1783" s="1">
        <v>17</v>
      </c>
      <c r="N1783" s="1">
        <v>0</v>
      </c>
      <c r="O1783" s="3">
        <v>46233.65914210648</v>
      </c>
    </row>
    <row r="1784" spans="1:15" ht="60" x14ac:dyDescent="0.25">
      <c r="A1784" s="5" t="s">
        <v>5516</v>
      </c>
      <c r="B1784" s="1" t="s">
        <v>9914</v>
      </c>
      <c r="C1784" s="1">
        <v>1948</v>
      </c>
      <c r="D1784" s="1" t="s">
        <v>14</v>
      </c>
      <c r="G1784" s="1" t="s">
        <v>11</v>
      </c>
      <c r="J1784" s="3">
        <v>46208.378692129627</v>
      </c>
      <c r="K1784" s="2" t="s">
        <v>9915</v>
      </c>
      <c r="L1784" s="1">
        <v>22</v>
      </c>
      <c r="M1784" s="1">
        <v>25</v>
      </c>
      <c r="N1784" s="1">
        <v>3</v>
      </c>
      <c r="O1784" s="3">
        <v>46233.65914210648</v>
      </c>
    </row>
    <row r="1785" spans="1:15" ht="75" x14ac:dyDescent="0.25">
      <c r="A1785" s="5" t="s">
        <v>5519</v>
      </c>
      <c r="B1785" s="1" t="s">
        <v>9916</v>
      </c>
      <c r="C1785" s="1">
        <v>1985</v>
      </c>
      <c r="J1785" s="3">
        <v>46210.553032407406</v>
      </c>
      <c r="K1785" s="2" t="s">
        <v>9917</v>
      </c>
      <c r="L1785" s="1">
        <v>9</v>
      </c>
      <c r="M1785" s="1">
        <v>11</v>
      </c>
      <c r="N1785" s="1">
        <v>2</v>
      </c>
      <c r="O1785" s="3">
        <v>46233.65914210648</v>
      </c>
    </row>
    <row r="1786" spans="1:15" ht="195" x14ac:dyDescent="0.25">
      <c r="A1786" s="5" t="s">
        <v>5522</v>
      </c>
      <c r="B1786" s="1" t="s">
        <v>9918</v>
      </c>
      <c r="C1786" s="1">
        <v>1899</v>
      </c>
      <c r="D1786" s="1" t="s">
        <v>9919</v>
      </c>
      <c r="E1786" s="1">
        <v>1985</v>
      </c>
      <c r="G1786" s="1" t="s">
        <v>10</v>
      </c>
      <c r="H1786" s="2" t="s">
        <v>164</v>
      </c>
      <c r="I1786" s="2" t="s">
        <v>140</v>
      </c>
      <c r="J1786" s="3">
        <v>46211.371412037035</v>
      </c>
      <c r="K1786" s="2" t="s">
        <v>9920</v>
      </c>
      <c r="L1786" s="1">
        <v>20</v>
      </c>
      <c r="M1786" s="1">
        <v>25</v>
      </c>
      <c r="N1786" s="1">
        <v>5</v>
      </c>
      <c r="O1786" s="3">
        <v>46233.65914210648</v>
      </c>
    </row>
    <row r="1787" spans="1:15" x14ac:dyDescent="0.25">
      <c r="A1787" s="5" t="s">
        <v>5525</v>
      </c>
      <c r="B1787" s="1" t="s">
        <v>9921</v>
      </c>
      <c r="C1787" s="1" t="s">
        <v>12</v>
      </c>
      <c r="G1787" s="1" t="s">
        <v>10</v>
      </c>
      <c r="J1787" s="3">
        <v>46211.433761574073</v>
      </c>
      <c r="K1787" s="2" t="s">
        <v>6417</v>
      </c>
      <c r="L1787" s="1">
        <v>1</v>
      </c>
      <c r="M1787" s="1">
        <v>1</v>
      </c>
      <c r="N1787" s="1">
        <v>0</v>
      </c>
      <c r="O1787" s="3">
        <v>46233.65914210648</v>
      </c>
    </row>
    <row r="1788" spans="1:15" ht="30" x14ac:dyDescent="0.25">
      <c r="A1788" s="5" t="s">
        <v>5528</v>
      </c>
      <c r="B1788" s="1" t="s">
        <v>9922</v>
      </c>
      <c r="C1788" s="1">
        <v>1961</v>
      </c>
      <c r="D1788" s="1" t="s">
        <v>9923</v>
      </c>
      <c r="G1788" s="1" t="s">
        <v>10</v>
      </c>
      <c r="J1788" s="3">
        <v>46212.489814814813</v>
      </c>
      <c r="K1788" s="2" t="s">
        <v>9924</v>
      </c>
      <c r="L1788" s="1">
        <v>9</v>
      </c>
      <c r="M1788" s="1">
        <v>9</v>
      </c>
      <c r="N1788" s="1">
        <v>0</v>
      </c>
      <c r="O1788" s="3">
        <v>46233.65914210648</v>
      </c>
    </row>
    <row r="1789" spans="1:15" ht="60" x14ac:dyDescent="0.25">
      <c r="A1789" s="5" t="s">
        <v>5531</v>
      </c>
      <c r="B1789" s="1" t="s">
        <v>9925</v>
      </c>
      <c r="C1789" s="1" t="s">
        <v>12</v>
      </c>
      <c r="G1789" s="1" t="s">
        <v>11</v>
      </c>
      <c r="J1789" s="3">
        <v>46213.469155092593</v>
      </c>
      <c r="K1789" s="2" t="s">
        <v>9926</v>
      </c>
      <c r="L1789" s="1">
        <v>1</v>
      </c>
      <c r="M1789" s="1">
        <v>1</v>
      </c>
      <c r="N1789" s="1">
        <v>0</v>
      </c>
      <c r="O1789" s="3">
        <v>46233.65914210648</v>
      </c>
    </row>
    <row r="1790" spans="1:15" ht="45" x14ac:dyDescent="0.25">
      <c r="A1790" s="5" t="s">
        <v>5534</v>
      </c>
      <c r="B1790" s="1" t="s">
        <v>9927</v>
      </c>
      <c r="C1790" s="1">
        <v>1958</v>
      </c>
      <c r="G1790" s="1" t="s">
        <v>10</v>
      </c>
      <c r="H1790" s="2" t="s">
        <v>140</v>
      </c>
      <c r="I1790" s="2" t="s">
        <v>140</v>
      </c>
      <c r="J1790" s="3">
        <v>46215.356469907405</v>
      </c>
      <c r="K1790" s="2" t="s">
        <v>9928</v>
      </c>
      <c r="L1790" s="1">
        <v>13</v>
      </c>
      <c r="M1790" s="1">
        <v>48</v>
      </c>
      <c r="N1790" s="1">
        <v>35</v>
      </c>
      <c r="O1790" s="3">
        <v>46233.65914210648</v>
      </c>
    </row>
    <row r="1791" spans="1:15" ht="300" x14ac:dyDescent="0.25">
      <c r="A1791" s="5" t="s">
        <v>5537</v>
      </c>
      <c r="B1791" s="1" t="s">
        <v>9929</v>
      </c>
      <c r="C1791" s="1">
        <v>1944</v>
      </c>
      <c r="D1791" s="1" t="s">
        <v>14</v>
      </c>
      <c r="G1791" s="1" t="s">
        <v>10</v>
      </c>
      <c r="I1791" s="2" t="s">
        <v>140</v>
      </c>
      <c r="J1791" s="3">
        <v>46215.364895833336</v>
      </c>
      <c r="K1791" s="2" t="s">
        <v>9930</v>
      </c>
      <c r="L1791" s="1">
        <v>14</v>
      </c>
      <c r="M1791" s="1">
        <v>19</v>
      </c>
      <c r="N1791" s="1">
        <v>5</v>
      </c>
      <c r="O1791" s="3">
        <v>46233.65914210648</v>
      </c>
    </row>
    <row r="1792" spans="1:15" ht="60" x14ac:dyDescent="0.25">
      <c r="A1792" s="5" t="s">
        <v>5540</v>
      </c>
      <c r="B1792" s="1" t="s">
        <v>9931</v>
      </c>
      <c r="C1792" s="1">
        <v>1955</v>
      </c>
      <c r="D1792" s="1" t="s">
        <v>14</v>
      </c>
      <c r="G1792" s="1" t="s">
        <v>10</v>
      </c>
      <c r="J1792" s="3">
        <v>46215.364861111113</v>
      </c>
      <c r="K1792" s="2" t="s">
        <v>9932</v>
      </c>
      <c r="L1792" s="1">
        <v>42</v>
      </c>
      <c r="M1792" s="1">
        <v>114</v>
      </c>
      <c r="N1792" s="1">
        <v>72</v>
      </c>
      <c r="O1792" s="3">
        <v>46233.65914210648</v>
      </c>
    </row>
    <row r="1793" spans="1:15" x14ac:dyDescent="0.25">
      <c r="A1793" s="5" t="s">
        <v>5543</v>
      </c>
      <c r="B1793" s="1" t="s">
        <v>9933</v>
      </c>
      <c r="C1793" s="1">
        <v>1920</v>
      </c>
      <c r="D1793" s="1" t="s">
        <v>14</v>
      </c>
      <c r="E1793" s="1">
        <v>2012</v>
      </c>
      <c r="F1793" s="1" t="s">
        <v>14</v>
      </c>
      <c r="G1793" s="1" t="s">
        <v>11</v>
      </c>
      <c r="J1793" s="3">
        <v>46215.374583333331</v>
      </c>
      <c r="K1793" s="2" t="s">
        <v>138</v>
      </c>
      <c r="L1793" s="1">
        <v>76</v>
      </c>
      <c r="M1793" s="1">
        <v>101</v>
      </c>
      <c r="N1793" s="1">
        <v>25</v>
      </c>
      <c r="O1793" s="3">
        <v>46233.65914210648</v>
      </c>
    </row>
    <row r="1794" spans="1:15" ht="30" x14ac:dyDescent="0.25">
      <c r="A1794" s="5" t="s">
        <v>5546</v>
      </c>
      <c r="B1794" s="1" t="s">
        <v>9934</v>
      </c>
      <c r="C1794" s="1">
        <v>1929</v>
      </c>
      <c r="D1794" s="1" t="s">
        <v>9349</v>
      </c>
      <c r="E1794" s="1">
        <v>1998</v>
      </c>
      <c r="F1794" s="1" t="s">
        <v>14</v>
      </c>
      <c r="G1794" s="1" t="s">
        <v>10</v>
      </c>
      <c r="H1794" s="2" t="s">
        <v>140</v>
      </c>
      <c r="J1794" s="3">
        <v>46215.383043981485</v>
      </c>
      <c r="K1794" s="2" t="s">
        <v>9935</v>
      </c>
      <c r="L1794" s="1">
        <v>1291</v>
      </c>
      <c r="M1794" s="1">
        <v>1334</v>
      </c>
      <c r="N1794" s="1">
        <v>43</v>
      </c>
      <c r="O1794" s="3">
        <v>46233.65914210648</v>
      </c>
    </row>
    <row r="1795" spans="1:15" x14ac:dyDescent="0.25">
      <c r="A1795" s="5" t="s">
        <v>5549</v>
      </c>
      <c r="B1795" s="1" t="s">
        <v>9936</v>
      </c>
      <c r="J1795" s="3">
        <v>46191.363877314812</v>
      </c>
      <c r="L1795" s="1">
        <v>4</v>
      </c>
      <c r="M1795" s="1">
        <v>4</v>
      </c>
      <c r="N1795" s="1">
        <v>0</v>
      </c>
      <c r="O1795" s="3">
        <v>46233.65914210648</v>
      </c>
    </row>
    <row r="1796" spans="1:15" ht="60" x14ac:dyDescent="0.25">
      <c r="A1796" s="5" t="s">
        <v>5552</v>
      </c>
      <c r="B1796" s="1" t="s">
        <v>9937</v>
      </c>
      <c r="C1796" s="1">
        <v>1836</v>
      </c>
      <c r="D1796" s="1" t="s">
        <v>14</v>
      </c>
      <c r="E1796" s="1">
        <v>1918</v>
      </c>
      <c r="F1796" s="1" t="s">
        <v>8920</v>
      </c>
      <c r="G1796" s="1" t="s">
        <v>10</v>
      </c>
      <c r="J1796" s="3">
        <v>46215.395474537036</v>
      </c>
      <c r="K1796" s="2" t="s">
        <v>9938</v>
      </c>
      <c r="L1796" s="1">
        <v>243</v>
      </c>
      <c r="M1796" s="1">
        <v>246</v>
      </c>
      <c r="N1796" s="1">
        <v>3</v>
      </c>
      <c r="O1796" s="3">
        <v>46233.65914210648</v>
      </c>
    </row>
    <row r="1797" spans="1:15" x14ac:dyDescent="0.25">
      <c r="A1797" s="5" t="s">
        <v>5555</v>
      </c>
      <c r="B1797" s="1" t="s">
        <v>9939</v>
      </c>
      <c r="C1797" s="1">
        <v>2011</v>
      </c>
      <c r="J1797" s="3">
        <v>46216.423518518517</v>
      </c>
      <c r="L1797" s="1">
        <v>1</v>
      </c>
      <c r="M1797" s="1">
        <v>1</v>
      </c>
      <c r="N1797" s="1">
        <v>0</v>
      </c>
      <c r="O1797" s="3">
        <v>46233.65914210648</v>
      </c>
    </row>
    <row r="1798" spans="1:15" x14ac:dyDescent="0.25">
      <c r="A1798" s="5" t="s">
        <v>5558</v>
      </c>
      <c r="B1798" s="1" t="s">
        <v>9940</v>
      </c>
      <c r="C1798" s="1">
        <v>2007</v>
      </c>
      <c r="E1798" s="1">
        <v>2019</v>
      </c>
      <c r="J1798" s="3">
        <v>46216.68787037037</v>
      </c>
      <c r="L1798" s="1">
        <v>21</v>
      </c>
      <c r="M1798" s="1">
        <v>21</v>
      </c>
      <c r="N1798" s="1">
        <v>0</v>
      </c>
      <c r="O1798" s="3">
        <v>46233.65914210648</v>
      </c>
    </row>
    <row r="1799" spans="1:15" ht="285" x14ac:dyDescent="0.25">
      <c r="A1799" s="5" t="s">
        <v>5561</v>
      </c>
      <c r="B1799" s="1" t="s">
        <v>9941</v>
      </c>
      <c r="C1799" s="1">
        <v>1949</v>
      </c>
      <c r="J1799" s="3">
        <v>46216.697488425925</v>
      </c>
      <c r="K1799" s="2" t="s">
        <v>9942</v>
      </c>
      <c r="L1799" s="1">
        <v>35</v>
      </c>
      <c r="M1799" s="1">
        <v>36</v>
      </c>
      <c r="N1799" s="1">
        <v>1</v>
      </c>
      <c r="O1799" s="3">
        <v>46233.65914210648</v>
      </c>
    </row>
    <row r="1800" spans="1:15" x14ac:dyDescent="0.25">
      <c r="A1800" s="5" t="s">
        <v>5564</v>
      </c>
      <c r="B1800" s="1" t="s">
        <v>9943</v>
      </c>
      <c r="C1800" s="1" t="s">
        <v>12</v>
      </c>
      <c r="G1800" s="1" t="s">
        <v>10</v>
      </c>
      <c r="J1800" s="3">
        <v>46216.719675925924</v>
      </c>
      <c r="L1800" s="1">
        <v>15</v>
      </c>
      <c r="M1800" s="1">
        <v>15</v>
      </c>
      <c r="N1800" s="1">
        <v>0</v>
      </c>
      <c r="O1800" s="3">
        <v>46233.65914210648</v>
      </c>
    </row>
    <row r="1801" spans="1:15" ht="315" x14ac:dyDescent="0.25">
      <c r="A1801" s="5" t="s">
        <v>5567</v>
      </c>
      <c r="B1801" s="1" t="s">
        <v>9944</v>
      </c>
      <c r="C1801" s="1">
        <v>1883</v>
      </c>
      <c r="D1801" s="1" t="s">
        <v>9945</v>
      </c>
      <c r="E1801" s="1">
        <v>1952</v>
      </c>
      <c r="F1801" s="1" t="s">
        <v>9946</v>
      </c>
      <c r="G1801" s="1" t="s">
        <v>10</v>
      </c>
      <c r="I1801" s="2" t="s">
        <v>140</v>
      </c>
      <c r="J1801" s="3">
        <v>46217.477662037039</v>
      </c>
      <c r="K1801" s="2" t="s">
        <v>9947</v>
      </c>
      <c r="L1801" s="1">
        <v>11</v>
      </c>
      <c r="M1801" s="1">
        <v>24</v>
      </c>
      <c r="N1801" s="1">
        <v>13</v>
      </c>
      <c r="O1801" s="3">
        <v>46233.65914210648</v>
      </c>
    </row>
    <row r="1802" spans="1:15" ht="30" x14ac:dyDescent="0.25">
      <c r="A1802" s="5" t="s">
        <v>5570</v>
      </c>
      <c r="B1802" s="1" t="s">
        <v>9948</v>
      </c>
      <c r="C1802" s="1" t="s">
        <v>12</v>
      </c>
      <c r="G1802" s="1" t="s">
        <v>11</v>
      </c>
      <c r="J1802" s="3">
        <v>46217.624490740738</v>
      </c>
      <c r="K1802" s="2" t="s">
        <v>9949</v>
      </c>
      <c r="L1802" s="1">
        <v>1</v>
      </c>
      <c r="M1802" s="1">
        <v>1</v>
      </c>
      <c r="N1802" s="1">
        <v>0</v>
      </c>
      <c r="O1802" s="3">
        <v>46233.65914210648</v>
      </c>
    </row>
    <row r="1803" spans="1:15" ht="90" x14ac:dyDescent="0.25">
      <c r="A1803" s="5" t="s">
        <v>5573</v>
      </c>
      <c r="B1803" s="1" t="s">
        <v>9950</v>
      </c>
      <c r="C1803" s="1" t="s">
        <v>12</v>
      </c>
      <c r="G1803" s="1" t="s">
        <v>11</v>
      </c>
      <c r="J1803" s="3">
        <v>46217.627546296295</v>
      </c>
      <c r="K1803" s="2" t="s">
        <v>9951</v>
      </c>
      <c r="L1803" s="1">
        <v>1</v>
      </c>
      <c r="M1803" s="1">
        <v>1</v>
      </c>
      <c r="N1803" s="1">
        <v>0</v>
      </c>
      <c r="O1803" s="3">
        <v>46233.65914210648</v>
      </c>
    </row>
    <row r="1804" spans="1:15" ht="30" x14ac:dyDescent="0.25">
      <c r="A1804" s="5" t="s">
        <v>5576</v>
      </c>
      <c r="B1804" s="1" t="s">
        <v>9952</v>
      </c>
      <c r="C1804" s="1" t="s">
        <v>12</v>
      </c>
      <c r="G1804" s="1" t="s">
        <v>10</v>
      </c>
      <c r="J1804" s="3">
        <v>46218.6797337963</v>
      </c>
      <c r="K1804" s="2" t="s">
        <v>9953</v>
      </c>
      <c r="L1804" s="1">
        <v>0</v>
      </c>
      <c r="M1804" s="1">
        <v>0</v>
      </c>
      <c r="N1804" s="1">
        <v>0</v>
      </c>
      <c r="O1804" s="3">
        <v>46233.65914210648</v>
      </c>
    </row>
    <row r="1805" spans="1:15" ht="60" x14ac:dyDescent="0.25">
      <c r="A1805" s="5" t="s">
        <v>5579</v>
      </c>
      <c r="B1805" s="1" t="s">
        <v>9954</v>
      </c>
      <c r="C1805" s="1">
        <v>1979</v>
      </c>
      <c r="G1805" s="1" t="s">
        <v>10</v>
      </c>
      <c r="J1805" s="3">
        <v>46220.595173611109</v>
      </c>
      <c r="K1805" s="2" t="s">
        <v>9955</v>
      </c>
      <c r="L1805" s="1">
        <v>1</v>
      </c>
      <c r="M1805" s="1">
        <v>1</v>
      </c>
      <c r="N1805" s="1">
        <v>0</v>
      </c>
      <c r="O1805" s="3">
        <v>46233.65914210648</v>
      </c>
    </row>
    <row r="1806" spans="1:15" ht="105" x14ac:dyDescent="0.25">
      <c r="A1806" s="5" t="s">
        <v>5582</v>
      </c>
      <c r="B1806" s="1" t="s">
        <v>9956</v>
      </c>
      <c r="C1806" s="1">
        <v>1957</v>
      </c>
      <c r="G1806" s="1" t="s">
        <v>10</v>
      </c>
      <c r="J1806" s="3">
        <v>46222.375891203701</v>
      </c>
      <c r="K1806" s="2" t="s">
        <v>9957</v>
      </c>
      <c r="L1806" s="1">
        <v>11</v>
      </c>
      <c r="M1806" s="1">
        <v>27</v>
      </c>
      <c r="N1806" s="1">
        <v>16</v>
      </c>
      <c r="O1806" s="3">
        <v>46233.65914210648</v>
      </c>
    </row>
    <row r="1807" spans="1:15" x14ac:dyDescent="0.25">
      <c r="A1807" s="5" t="s">
        <v>5585</v>
      </c>
      <c r="B1807" s="1" t="s">
        <v>9958</v>
      </c>
      <c r="C1807" s="1">
        <v>1964</v>
      </c>
      <c r="G1807" s="1" t="s">
        <v>10</v>
      </c>
      <c r="J1807" s="3">
        <v>46222.3827662037</v>
      </c>
      <c r="K1807" s="2" t="s">
        <v>9959</v>
      </c>
      <c r="L1807" s="1">
        <v>4</v>
      </c>
      <c r="M1807" s="1">
        <v>4</v>
      </c>
      <c r="N1807" s="1">
        <v>0</v>
      </c>
      <c r="O1807" s="3">
        <v>46233.65914210648</v>
      </c>
    </row>
    <row r="1808" spans="1:15" ht="45" x14ac:dyDescent="0.25">
      <c r="A1808" s="5" t="s">
        <v>5588</v>
      </c>
      <c r="B1808" s="1" t="s">
        <v>9960</v>
      </c>
      <c r="C1808" s="1" t="s">
        <v>12</v>
      </c>
      <c r="G1808" s="1" t="s">
        <v>10</v>
      </c>
      <c r="J1808" s="3">
        <v>46222.387025462966</v>
      </c>
      <c r="K1808" s="2" t="s">
        <v>9961</v>
      </c>
      <c r="L1808" s="1">
        <v>2</v>
      </c>
      <c r="M1808" s="1">
        <v>4</v>
      </c>
      <c r="N1808" s="1">
        <v>2</v>
      </c>
      <c r="O1808" s="3">
        <v>46233.65914210648</v>
      </c>
    </row>
    <row r="1809" spans="1:15" x14ac:dyDescent="0.25">
      <c r="A1809" s="5" t="s">
        <v>5591</v>
      </c>
      <c r="B1809" s="1" t="s">
        <v>9962</v>
      </c>
      <c r="C1809" s="1" t="s">
        <v>12</v>
      </c>
      <c r="D1809" s="1" t="s">
        <v>14</v>
      </c>
      <c r="J1809" s="3">
        <v>46222.392581018517</v>
      </c>
      <c r="K1809" s="2" t="s">
        <v>9963</v>
      </c>
      <c r="L1809" s="1">
        <v>3</v>
      </c>
      <c r="M1809" s="1">
        <v>4</v>
      </c>
      <c r="N1809" s="1">
        <v>1</v>
      </c>
      <c r="O1809" s="3">
        <v>46233.65914210648</v>
      </c>
    </row>
    <row r="1810" spans="1:15" ht="90" x14ac:dyDescent="0.25">
      <c r="A1810" s="5" t="s">
        <v>5594</v>
      </c>
      <c r="B1810" s="1" t="s">
        <v>9964</v>
      </c>
      <c r="C1810" s="1" t="s">
        <v>12</v>
      </c>
      <c r="G1810" s="1" t="s">
        <v>11</v>
      </c>
      <c r="J1810" s="3">
        <v>46223.703287037039</v>
      </c>
      <c r="K1810" s="2" t="s">
        <v>9965</v>
      </c>
      <c r="L1810" s="1">
        <v>18</v>
      </c>
      <c r="M1810" s="1">
        <v>18</v>
      </c>
      <c r="N1810" s="1">
        <v>0</v>
      </c>
      <c r="O1810" s="3">
        <v>46233.65914210648</v>
      </c>
    </row>
    <row r="1811" spans="1:15" x14ac:dyDescent="0.25">
      <c r="A1811" s="5" t="s">
        <v>5597</v>
      </c>
      <c r="B1811" s="1" t="s">
        <v>9966</v>
      </c>
      <c r="C1811" s="1">
        <v>1777</v>
      </c>
      <c r="E1811" s="1">
        <v>1850</v>
      </c>
      <c r="G1811" s="1" t="s">
        <v>10</v>
      </c>
      <c r="J1811" s="3">
        <v>46223.735844907409</v>
      </c>
      <c r="K1811" s="2" t="s">
        <v>6986</v>
      </c>
      <c r="L1811" s="1">
        <v>19</v>
      </c>
      <c r="M1811" s="1">
        <v>24</v>
      </c>
      <c r="N1811" s="1">
        <v>5</v>
      </c>
      <c r="O1811" s="3">
        <v>46233.65914210648</v>
      </c>
    </row>
    <row r="1812" spans="1:15" x14ac:dyDescent="0.25">
      <c r="A1812" s="5" t="s">
        <v>5600</v>
      </c>
      <c r="B1812" s="1" t="s">
        <v>9967</v>
      </c>
      <c r="C1812" s="1">
        <v>1982</v>
      </c>
      <c r="J1812" s="3">
        <v>46223.744502314818</v>
      </c>
      <c r="L1812" s="1">
        <v>18</v>
      </c>
      <c r="M1812" s="1">
        <v>19</v>
      </c>
      <c r="N1812" s="1">
        <v>1</v>
      </c>
      <c r="O1812" s="3">
        <v>46233.65914210648</v>
      </c>
    </row>
    <row r="1813" spans="1:15" ht="45" x14ac:dyDescent="0.25">
      <c r="A1813" s="5" t="s">
        <v>5603</v>
      </c>
      <c r="B1813" s="1" t="s">
        <v>9968</v>
      </c>
      <c r="C1813" s="1">
        <v>1992</v>
      </c>
      <c r="J1813" s="3">
        <v>46223.750092592592</v>
      </c>
      <c r="K1813" s="2" t="s">
        <v>9969</v>
      </c>
      <c r="L1813" s="1">
        <v>8</v>
      </c>
      <c r="M1813" s="1">
        <v>8</v>
      </c>
      <c r="N1813" s="1">
        <v>0</v>
      </c>
      <c r="O1813" s="3">
        <v>46233.65914210648</v>
      </c>
    </row>
    <row r="1814" spans="1:15" ht="30" x14ac:dyDescent="0.25">
      <c r="A1814" s="5" t="s">
        <v>5606</v>
      </c>
      <c r="B1814" s="1" t="s">
        <v>9970</v>
      </c>
      <c r="C1814" s="1" t="s">
        <v>9090</v>
      </c>
      <c r="E1814" s="1" t="s">
        <v>9090</v>
      </c>
      <c r="G1814" s="1" t="s">
        <v>10</v>
      </c>
      <c r="J1814" s="3">
        <v>46223.799259259256</v>
      </c>
      <c r="K1814" s="2" t="s">
        <v>9971</v>
      </c>
      <c r="L1814" s="1">
        <v>17</v>
      </c>
      <c r="M1814" s="1">
        <v>21</v>
      </c>
      <c r="N1814" s="1">
        <v>4</v>
      </c>
      <c r="O1814" s="3">
        <v>46233.65914210648</v>
      </c>
    </row>
    <row r="1815" spans="1:15" x14ac:dyDescent="0.25">
      <c r="A1815" s="5" t="s">
        <v>5609</v>
      </c>
      <c r="B1815" s="1" t="s">
        <v>9972</v>
      </c>
      <c r="C1815" s="1">
        <v>1953</v>
      </c>
      <c r="G1815" s="1" t="s">
        <v>11</v>
      </c>
      <c r="J1815" s="3">
        <v>46230.499756944446</v>
      </c>
      <c r="K1815" s="2" t="s">
        <v>9973</v>
      </c>
      <c r="L1815" s="1">
        <v>15</v>
      </c>
      <c r="M1815" s="1">
        <v>15</v>
      </c>
      <c r="N1815" s="1">
        <v>0</v>
      </c>
      <c r="O1815" s="3">
        <v>46233.65914210648</v>
      </c>
    </row>
    <row r="1816" spans="1:15" ht="330" x14ac:dyDescent="0.25">
      <c r="A1816" s="5" t="s">
        <v>5612</v>
      </c>
      <c r="B1816" s="1" t="s">
        <v>9974</v>
      </c>
      <c r="C1816" s="1">
        <v>1772</v>
      </c>
      <c r="D1816" s="1" t="s">
        <v>14</v>
      </c>
      <c r="E1816" s="1">
        <v>1842</v>
      </c>
      <c r="F1816" s="1" t="s">
        <v>14</v>
      </c>
      <c r="G1816" s="1" t="s">
        <v>10</v>
      </c>
      <c r="J1816" s="3">
        <v>46230.588738425926</v>
      </c>
      <c r="K1816" s="2" t="s">
        <v>9975</v>
      </c>
      <c r="L1816" s="1">
        <v>69</v>
      </c>
      <c r="M1816" s="1">
        <v>73</v>
      </c>
      <c r="N1816" s="1">
        <v>4</v>
      </c>
      <c r="O1816" s="3">
        <v>46233.65914210648</v>
      </c>
    </row>
    <row r="1817" spans="1:15" x14ac:dyDescent="0.25">
      <c r="A1817" s="5" t="s">
        <v>5615</v>
      </c>
      <c r="B1817" s="1" t="s">
        <v>9976</v>
      </c>
      <c r="J1817" s="3">
        <v>46191.705081018517</v>
      </c>
      <c r="L1817" s="1">
        <v>2</v>
      </c>
      <c r="M1817" s="1">
        <v>3</v>
      </c>
      <c r="N1817" s="1">
        <v>1</v>
      </c>
      <c r="O1817" s="3">
        <v>46233.65914210648</v>
      </c>
    </row>
    <row r="1818" spans="1:15" ht="30" x14ac:dyDescent="0.25">
      <c r="A1818" s="5" t="s">
        <v>5618</v>
      </c>
      <c r="B1818" s="1" t="s">
        <v>9977</v>
      </c>
      <c r="C1818" s="1" t="s">
        <v>12</v>
      </c>
      <c r="G1818" s="1" t="s">
        <v>11</v>
      </c>
      <c r="J1818" s="3">
        <v>46231.625706018516</v>
      </c>
      <c r="K1818" s="2" t="s">
        <v>9978</v>
      </c>
      <c r="L1818" s="1">
        <v>1</v>
      </c>
      <c r="M1818" s="1">
        <v>1</v>
      </c>
      <c r="N1818" s="1">
        <v>0</v>
      </c>
      <c r="O1818" s="3">
        <v>46233.65914210648</v>
      </c>
    </row>
    <row r="1819" spans="1:15" ht="60" x14ac:dyDescent="0.25">
      <c r="A1819" s="5" t="s">
        <v>10486</v>
      </c>
      <c r="B1819" s="1" t="s">
        <v>10500</v>
      </c>
      <c r="C1819" s="1">
        <v>1695</v>
      </c>
      <c r="D1819" s="1" t="s">
        <v>14</v>
      </c>
      <c r="E1819" s="1">
        <v>1756</v>
      </c>
      <c r="F1819" s="1" t="s">
        <v>14</v>
      </c>
      <c r="G1819" s="1" t="s">
        <v>10</v>
      </c>
      <c r="J1819" s="3">
        <v>46233.668206018519</v>
      </c>
      <c r="K1819" s="2" t="s">
        <v>10502</v>
      </c>
      <c r="L1819" s="1">
        <v>19</v>
      </c>
      <c r="M1819" s="1">
        <v>21</v>
      </c>
      <c r="N1819" s="1">
        <v>2</v>
      </c>
      <c r="O1819" s="3">
        <v>46233.670796365739</v>
      </c>
    </row>
    <row r="1820" spans="1:15" ht="45" x14ac:dyDescent="0.25">
      <c r="A1820" s="5" t="s">
        <v>5621</v>
      </c>
      <c r="B1820" s="1" t="s">
        <v>9979</v>
      </c>
      <c r="C1820" s="1">
        <v>1968</v>
      </c>
      <c r="D1820" s="1" t="s">
        <v>14</v>
      </c>
      <c r="G1820" s="1" t="s">
        <v>10</v>
      </c>
      <c r="J1820" s="3">
        <v>45574.423831018517</v>
      </c>
      <c r="K1820" s="2" t="s">
        <v>9980</v>
      </c>
      <c r="L1820" s="1">
        <v>68</v>
      </c>
      <c r="M1820" s="1">
        <v>80</v>
      </c>
      <c r="N1820" s="1">
        <v>12</v>
      </c>
      <c r="O1820" s="3">
        <v>46233.65914210648</v>
      </c>
    </row>
    <row r="1821" spans="1:15" ht="30" x14ac:dyDescent="0.25">
      <c r="A1821" s="5" t="s">
        <v>5624</v>
      </c>
      <c r="B1821" s="1" t="s">
        <v>9981</v>
      </c>
      <c r="C1821" s="1">
        <v>1974</v>
      </c>
      <c r="G1821" s="1" t="s">
        <v>10</v>
      </c>
      <c r="H1821" s="2" t="s">
        <v>9982</v>
      </c>
      <c r="J1821" s="3">
        <v>46090.684930555559</v>
      </c>
      <c r="K1821" s="2" t="s">
        <v>9983</v>
      </c>
      <c r="L1821" s="1">
        <v>38</v>
      </c>
      <c r="M1821" s="1">
        <v>39</v>
      </c>
      <c r="N1821" s="1">
        <v>1</v>
      </c>
      <c r="O1821" s="3">
        <v>46233.65914210648</v>
      </c>
    </row>
    <row r="1822" spans="1:15" ht="30" x14ac:dyDescent="0.25">
      <c r="A1822" s="5" t="s">
        <v>5627</v>
      </c>
      <c r="B1822" s="1" t="s">
        <v>9984</v>
      </c>
      <c r="C1822" s="1">
        <v>1786</v>
      </c>
      <c r="D1822" s="1" t="s">
        <v>14</v>
      </c>
      <c r="E1822" s="1">
        <v>1861</v>
      </c>
      <c r="F1822" s="1" t="s">
        <v>9985</v>
      </c>
      <c r="G1822" s="1" t="s">
        <v>10</v>
      </c>
      <c r="H1822" s="2" t="s">
        <v>9986</v>
      </c>
      <c r="I1822" s="2" t="s">
        <v>140</v>
      </c>
      <c r="J1822" s="3">
        <v>46097.742245370369</v>
      </c>
      <c r="L1822" s="1">
        <v>54</v>
      </c>
      <c r="M1822" s="1">
        <v>57</v>
      </c>
      <c r="N1822" s="1">
        <v>3</v>
      </c>
      <c r="O1822" s="3">
        <v>46233.65914210648</v>
      </c>
    </row>
    <row r="1823" spans="1:15" ht="30" x14ac:dyDescent="0.25">
      <c r="A1823" s="5" t="s">
        <v>5633</v>
      </c>
      <c r="B1823" s="1" t="s">
        <v>9989</v>
      </c>
      <c r="J1823" s="3">
        <v>46194.378784722219</v>
      </c>
      <c r="K1823" s="2" t="s">
        <v>9990</v>
      </c>
      <c r="L1823" s="1">
        <v>3</v>
      </c>
      <c r="M1823" s="1">
        <v>4</v>
      </c>
      <c r="N1823" s="1">
        <v>1</v>
      </c>
      <c r="O1823" s="3">
        <v>46233.65914210648</v>
      </c>
    </row>
    <row r="1824" spans="1:15" ht="30" x14ac:dyDescent="0.25">
      <c r="A1824" s="5" t="s">
        <v>5630</v>
      </c>
      <c r="B1824" s="1" t="s">
        <v>9987</v>
      </c>
      <c r="C1824" s="1">
        <v>1966</v>
      </c>
      <c r="G1824" s="1" t="s">
        <v>11</v>
      </c>
      <c r="J1824" s="3">
        <v>44515.615057870367</v>
      </c>
      <c r="K1824" s="2" t="s">
        <v>9988</v>
      </c>
      <c r="L1824" s="1">
        <v>5</v>
      </c>
      <c r="M1824" s="1">
        <v>6</v>
      </c>
      <c r="N1824" s="1">
        <v>1</v>
      </c>
      <c r="O1824" s="3">
        <v>46233.65914210648</v>
      </c>
    </row>
    <row r="1825" spans="1:15" ht="135" x14ac:dyDescent="0.25">
      <c r="A1825" s="5" t="s">
        <v>5636</v>
      </c>
      <c r="B1825" s="1" t="s">
        <v>9991</v>
      </c>
      <c r="C1825" s="1">
        <v>1978</v>
      </c>
      <c r="G1825" s="1" t="s">
        <v>11</v>
      </c>
      <c r="J1825" s="3">
        <v>45406.934386574074</v>
      </c>
      <c r="K1825" s="2" t="s">
        <v>9992</v>
      </c>
      <c r="L1825" s="1">
        <v>13</v>
      </c>
      <c r="M1825" s="1">
        <v>20</v>
      </c>
      <c r="N1825" s="1">
        <v>7</v>
      </c>
      <c r="O1825" s="3">
        <v>46233.65914210648</v>
      </c>
    </row>
    <row r="1826" spans="1:15" ht="90" x14ac:dyDescent="0.25">
      <c r="A1826" s="5" t="s">
        <v>5639</v>
      </c>
      <c r="B1826" s="1" t="s">
        <v>9993</v>
      </c>
      <c r="C1826" s="1">
        <v>1972</v>
      </c>
      <c r="G1826" s="1" t="s">
        <v>10</v>
      </c>
      <c r="I1826" s="2" t="s">
        <v>140</v>
      </c>
      <c r="J1826" s="3">
        <v>45421.101157407407</v>
      </c>
      <c r="K1826" s="2" t="s">
        <v>9994</v>
      </c>
      <c r="L1826" s="1">
        <v>72</v>
      </c>
      <c r="M1826" s="1">
        <v>121</v>
      </c>
      <c r="N1826" s="1">
        <v>49</v>
      </c>
      <c r="O1826" s="3">
        <v>46233.65914210648</v>
      </c>
    </row>
    <row r="1827" spans="1:15" ht="150" x14ac:dyDescent="0.25">
      <c r="A1827" s="5" t="s">
        <v>5642</v>
      </c>
      <c r="B1827" s="1" t="s">
        <v>9995</v>
      </c>
      <c r="C1827" s="1" t="s">
        <v>12</v>
      </c>
      <c r="G1827" s="1" t="s">
        <v>10</v>
      </c>
      <c r="J1827" s="3">
        <v>45421.497071759259</v>
      </c>
      <c r="K1827" s="2" t="s">
        <v>9996</v>
      </c>
      <c r="L1827" s="1">
        <v>36</v>
      </c>
      <c r="M1827" s="1">
        <v>49</v>
      </c>
      <c r="N1827" s="1">
        <v>13</v>
      </c>
      <c r="O1827" s="3">
        <v>46233.65914210648</v>
      </c>
    </row>
    <row r="1828" spans="1:15" x14ac:dyDescent="0.25">
      <c r="A1828" s="5" t="s">
        <v>5645</v>
      </c>
      <c r="B1828" s="1" t="s">
        <v>9997</v>
      </c>
      <c r="C1828" s="1">
        <v>1953</v>
      </c>
      <c r="D1828" s="1" t="s">
        <v>9998</v>
      </c>
      <c r="G1828" s="1" t="s">
        <v>10</v>
      </c>
      <c r="J1828" s="3">
        <v>45421.49722222222</v>
      </c>
      <c r="K1828" s="2" t="s">
        <v>9999</v>
      </c>
      <c r="L1828" s="1">
        <v>45</v>
      </c>
      <c r="M1828" s="1">
        <v>128</v>
      </c>
      <c r="N1828" s="1">
        <v>83</v>
      </c>
      <c r="O1828" s="3">
        <v>46233.65914210648</v>
      </c>
    </row>
    <row r="1829" spans="1:15" ht="135" x14ac:dyDescent="0.25">
      <c r="A1829" s="5" t="s">
        <v>5648</v>
      </c>
      <c r="B1829" s="1" t="s">
        <v>10000</v>
      </c>
      <c r="C1829" s="1">
        <v>1963</v>
      </c>
      <c r="G1829" s="1" t="s">
        <v>10</v>
      </c>
      <c r="J1829" s="3">
        <v>45421.497152777774</v>
      </c>
      <c r="K1829" s="2" t="s">
        <v>10001</v>
      </c>
      <c r="L1829" s="1">
        <v>18</v>
      </c>
      <c r="M1829" s="1">
        <v>61</v>
      </c>
      <c r="N1829" s="1">
        <v>43</v>
      </c>
      <c r="O1829" s="3">
        <v>46233.65914210648</v>
      </c>
    </row>
    <row r="1830" spans="1:15" ht="90" x14ac:dyDescent="0.25">
      <c r="A1830" s="5" t="s">
        <v>5651</v>
      </c>
      <c r="B1830" s="1" t="s">
        <v>10002</v>
      </c>
      <c r="C1830" s="1">
        <v>1954</v>
      </c>
      <c r="D1830" s="1" t="s">
        <v>10003</v>
      </c>
      <c r="G1830" s="1" t="s">
        <v>11</v>
      </c>
      <c r="I1830" s="2" t="s">
        <v>140</v>
      </c>
      <c r="J1830" s="3">
        <v>45421.595347222225</v>
      </c>
      <c r="K1830" s="2" t="s">
        <v>10004</v>
      </c>
      <c r="L1830" s="1">
        <v>39</v>
      </c>
      <c r="M1830" s="1">
        <v>95</v>
      </c>
      <c r="N1830" s="1">
        <v>56</v>
      </c>
      <c r="O1830" s="3">
        <v>46233.65914210648</v>
      </c>
    </row>
    <row r="1831" spans="1:15" ht="60" x14ac:dyDescent="0.25">
      <c r="A1831" s="5" t="s">
        <v>5654</v>
      </c>
      <c r="B1831" s="1" t="s">
        <v>10005</v>
      </c>
      <c r="C1831" s="1">
        <v>1935</v>
      </c>
      <c r="D1831" s="1" t="s">
        <v>10006</v>
      </c>
      <c r="G1831" s="1" t="s">
        <v>10</v>
      </c>
      <c r="H1831" s="2" t="s">
        <v>164</v>
      </c>
      <c r="I1831" s="2" t="s">
        <v>140</v>
      </c>
      <c r="J1831" s="3">
        <v>45440.475138888891</v>
      </c>
      <c r="K1831" s="2" t="s">
        <v>10007</v>
      </c>
      <c r="L1831" s="1">
        <v>58</v>
      </c>
      <c r="M1831" s="1">
        <v>112</v>
      </c>
      <c r="N1831" s="1">
        <v>54</v>
      </c>
      <c r="O1831" s="3">
        <v>46233.65914210648</v>
      </c>
    </row>
    <row r="1832" spans="1:15" ht="255" x14ac:dyDescent="0.25">
      <c r="A1832" s="5" t="s">
        <v>5657</v>
      </c>
      <c r="B1832" s="1" t="s">
        <v>10008</v>
      </c>
      <c r="C1832" s="1" t="s">
        <v>12</v>
      </c>
      <c r="G1832" s="1" t="s">
        <v>11</v>
      </c>
      <c r="J1832" s="3">
        <v>45471.424629629626</v>
      </c>
      <c r="K1832" s="2" t="s">
        <v>10009</v>
      </c>
      <c r="L1832" s="1">
        <v>10</v>
      </c>
      <c r="M1832" s="1">
        <v>22</v>
      </c>
      <c r="N1832" s="1">
        <v>12</v>
      </c>
      <c r="O1832" s="3">
        <v>46233.65914210648</v>
      </c>
    </row>
    <row r="1833" spans="1:15" ht="75" x14ac:dyDescent="0.25">
      <c r="A1833" s="5" t="s">
        <v>5660</v>
      </c>
      <c r="B1833" s="1" t="s">
        <v>10010</v>
      </c>
      <c r="C1833" s="1">
        <v>1987</v>
      </c>
      <c r="G1833" s="1" t="s">
        <v>10</v>
      </c>
      <c r="J1833" s="3">
        <v>45482.485289351855</v>
      </c>
      <c r="K1833" s="2" t="s">
        <v>10011</v>
      </c>
      <c r="L1833" s="1">
        <v>4</v>
      </c>
      <c r="M1833" s="1">
        <v>6</v>
      </c>
      <c r="N1833" s="1">
        <v>2</v>
      </c>
      <c r="O1833" s="3">
        <v>46233.65914210648</v>
      </c>
    </row>
    <row r="1834" spans="1:15" ht="60" x14ac:dyDescent="0.25">
      <c r="A1834" s="5" t="s">
        <v>5663</v>
      </c>
      <c r="B1834" s="1" t="s">
        <v>10012</v>
      </c>
      <c r="C1834" s="1">
        <v>1956</v>
      </c>
      <c r="D1834" s="1" t="s">
        <v>16</v>
      </c>
      <c r="H1834" s="2" t="s">
        <v>140</v>
      </c>
      <c r="I1834" s="2" t="s">
        <v>9082</v>
      </c>
      <c r="J1834" s="3">
        <v>45485.436851851853</v>
      </c>
      <c r="K1834" s="2" t="s">
        <v>10013</v>
      </c>
      <c r="L1834" s="1">
        <v>3</v>
      </c>
      <c r="M1834" s="1">
        <v>36</v>
      </c>
      <c r="N1834" s="1">
        <v>33</v>
      </c>
      <c r="O1834" s="3">
        <v>46233.65914210648</v>
      </c>
    </row>
    <row r="1835" spans="1:15" ht="120" x14ac:dyDescent="0.25">
      <c r="A1835" s="5" t="s">
        <v>5666</v>
      </c>
      <c r="B1835" s="1" t="s">
        <v>10014</v>
      </c>
      <c r="C1835" s="1">
        <v>1858</v>
      </c>
      <c r="E1835" s="1">
        <v>1931</v>
      </c>
      <c r="G1835" s="1" t="s">
        <v>10</v>
      </c>
      <c r="J1835" s="3">
        <v>45533.033194444448</v>
      </c>
      <c r="K1835" s="2" t="s">
        <v>10015</v>
      </c>
      <c r="L1835" s="1">
        <v>2</v>
      </c>
      <c r="M1835" s="1">
        <v>2</v>
      </c>
      <c r="N1835" s="1">
        <v>0</v>
      </c>
      <c r="O1835" s="3">
        <v>46233.65914210648</v>
      </c>
    </row>
    <row r="1836" spans="1:15" ht="150" x14ac:dyDescent="0.25">
      <c r="A1836" s="5" t="s">
        <v>5669</v>
      </c>
      <c r="B1836" s="1" t="s">
        <v>10016</v>
      </c>
      <c r="C1836" s="1">
        <v>1965</v>
      </c>
      <c r="G1836" s="1" t="s">
        <v>11</v>
      </c>
      <c r="J1836" s="3">
        <v>45538.560185185182</v>
      </c>
      <c r="K1836" s="2" t="s">
        <v>10017</v>
      </c>
      <c r="L1836" s="1">
        <v>24</v>
      </c>
      <c r="M1836" s="1">
        <v>46</v>
      </c>
      <c r="N1836" s="1">
        <v>22</v>
      </c>
      <c r="O1836" s="3">
        <v>46233.65914210648</v>
      </c>
    </row>
    <row r="1837" spans="1:15" ht="30" x14ac:dyDescent="0.25">
      <c r="A1837" s="5" t="s">
        <v>5672</v>
      </c>
      <c r="B1837" s="1" t="s">
        <v>10018</v>
      </c>
      <c r="C1837" s="1" t="s">
        <v>12</v>
      </c>
      <c r="G1837" s="1" t="s">
        <v>10</v>
      </c>
      <c r="J1837" s="3">
        <v>45538.561469907407</v>
      </c>
      <c r="K1837" s="2" t="s">
        <v>10019</v>
      </c>
      <c r="L1837" s="1">
        <v>15</v>
      </c>
      <c r="M1837" s="1">
        <v>28</v>
      </c>
      <c r="N1837" s="1">
        <v>13</v>
      </c>
      <c r="O1837" s="3">
        <v>46233.65914210648</v>
      </c>
    </row>
    <row r="1838" spans="1:15" ht="195" x14ac:dyDescent="0.25">
      <c r="A1838" s="5" t="s">
        <v>5675</v>
      </c>
      <c r="B1838" s="1" t="s">
        <v>10020</v>
      </c>
      <c r="C1838" s="1">
        <v>1980</v>
      </c>
      <c r="J1838" s="3">
        <v>45547.847060185188</v>
      </c>
      <c r="K1838" s="2" t="s">
        <v>10021</v>
      </c>
      <c r="L1838" s="1">
        <v>2</v>
      </c>
      <c r="M1838" s="1">
        <v>2</v>
      </c>
      <c r="N1838" s="1">
        <v>0</v>
      </c>
      <c r="O1838" s="3">
        <v>46233.65914210648</v>
      </c>
    </row>
    <row r="1839" spans="1:15" ht="105" x14ac:dyDescent="0.25">
      <c r="A1839" s="5" t="s">
        <v>5678</v>
      </c>
      <c r="B1839" s="1" t="s">
        <v>10022</v>
      </c>
      <c r="C1839" s="1">
        <v>1955</v>
      </c>
      <c r="G1839" s="1" t="s">
        <v>10</v>
      </c>
      <c r="I1839" s="2" t="s">
        <v>140</v>
      </c>
      <c r="J1839" s="3">
        <v>45553.389849537038</v>
      </c>
      <c r="K1839" s="2" t="s">
        <v>10023</v>
      </c>
      <c r="L1839" s="1">
        <v>146</v>
      </c>
      <c r="M1839" s="1">
        <v>238</v>
      </c>
      <c r="N1839" s="1">
        <v>92</v>
      </c>
      <c r="O1839" s="3">
        <v>46233.65914210648</v>
      </c>
    </row>
    <row r="1840" spans="1:15" ht="120" x14ac:dyDescent="0.25">
      <c r="A1840" s="5" t="s">
        <v>5681</v>
      </c>
      <c r="B1840" s="1" t="s">
        <v>10024</v>
      </c>
      <c r="C1840" s="1">
        <v>1971</v>
      </c>
      <c r="G1840" s="1" t="s">
        <v>11</v>
      </c>
      <c r="H1840" s="2" t="s">
        <v>10025</v>
      </c>
      <c r="J1840" s="3">
        <v>45566.521909722222</v>
      </c>
      <c r="K1840" s="2" t="s">
        <v>10026</v>
      </c>
      <c r="L1840" s="1">
        <v>4</v>
      </c>
      <c r="M1840" s="1">
        <v>25</v>
      </c>
      <c r="N1840" s="1">
        <v>21</v>
      </c>
      <c r="O1840" s="3">
        <v>46233.65914210648</v>
      </c>
    </row>
    <row r="1841" spans="1:15" ht="105" x14ac:dyDescent="0.25">
      <c r="A1841" s="5" t="s">
        <v>5684</v>
      </c>
      <c r="B1841" s="1" t="s">
        <v>10027</v>
      </c>
      <c r="C1841" s="1">
        <v>1942</v>
      </c>
      <c r="D1841" s="1" t="s">
        <v>14</v>
      </c>
      <c r="I1841" s="2" t="s">
        <v>140</v>
      </c>
      <c r="J1841" s="3">
        <v>45593.432303240741</v>
      </c>
      <c r="K1841" s="2" t="s">
        <v>10028</v>
      </c>
      <c r="L1841" s="1">
        <v>32</v>
      </c>
      <c r="M1841" s="1">
        <v>35</v>
      </c>
      <c r="N1841" s="1">
        <v>3</v>
      </c>
      <c r="O1841" s="3">
        <v>46233.65914210648</v>
      </c>
    </row>
    <row r="1842" spans="1:15" ht="60" x14ac:dyDescent="0.25">
      <c r="A1842" s="5" t="s">
        <v>5687</v>
      </c>
      <c r="B1842" s="1" t="s">
        <v>10029</v>
      </c>
      <c r="C1842" s="1" t="s">
        <v>12</v>
      </c>
      <c r="G1842" s="1" t="s">
        <v>11</v>
      </c>
      <c r="J1842" s="3">
        <v>45624.444490740738</v>
      </c>
      <c r="K1842" s="2" t="s">
        <v>10030</v>
      </c>
      <c r="L1842" s="1">
        <v>19</v>
      </c>
      <c r="M1842" s="1">
        <v>35</v>
      </c>
      <c r="N1842" s="1">
        <v>16</v>
      </c>
      <c r="O1842" s="3">
        <v>46233.65914210648</v>
      </c>
    </row>
    <row r="1843" spans="1:15" ht="105" x14ac:dyDescent="0.25">
      <c r="A1843" s="5" t="s">
        <v>5690</v>
      </c>
      <c r="B1843" s="1" t="s">
        <v>10031</v>
      </c>
      <c r="C1843" s="1">
        <v>1966</v>
      </c>
      <c r="D1843" s="1" t="s">
        <v>10032</v>
      </c>
      <c r="G1843" s="1" t="s">
        <v>11</v>
      </c>
      <c r="J1843" s="3">
        <v>45624.446087962962</v>
      </c>
      <c r="K1843" s="2" t="s">
        <v>10033</v>
      </c>
      <c r="L1843" s="1">
        <v>15</v>
      </c>
      <c r="M1843" s="1">
        <v>36</v>
      </c>
      <c r="N1843" s="1">
        <v>21</v>
      </c>
      <c r="O1843" s="3">
        <v>46233.65914210648</v>
      </c>
    </row>
    <row r="1844" spans="1:15" ht="210" x14ac:dyDescent="0.25">
      <c r="A1844" s="5" t="s">
        <v>5693</v>
      </c>
      <c r="B1844" s="1" t="s">
        <v>10034</v>
      </c>
      <c r="C1844" s="1">
        <v>1974</v>
      </c>
      <c r="D1844" s="1" t="s">
        <v>15</v>
      </c>
      <c r="G1844" s="1" t="s">
        <v>11</v>
      </c>
      <c r="H1844" s="2" t="s">
        <v>110</v>
      </c>
      <c r="J1844" s="3">
        <v>45644.460775462961</v>
      </c>
      <c r="K1844" s="2" t="s">
        <v>10035</v>
      </c>
      <c r="L1844" s="1">
        <v>67</v>
      </c>
      <c r="M1844" s="1">
        <v>74</v>
      </c>
      <c r="N1844" s="1">
        <v>7</v>
      </c>
      <c r="O1844" s="3">
        <v>46233.65914210648</v>
      </c>
    </row>
    <row r="1845" spans="1:15" ht="135" x14ac:dyDescent="0.25">
      <c r="A1845" s="5" t="s">
        <v>5696</v>
      </c>
      <c r="B1845" s="1" t="s">
        <v>10036</v>
      </c>
      <c r="C1845" s="1">
        <v>1932</v>
      </c>
      <c r="D1845" s="1" t="s">
        <v>14</v>
      </c>
      <c r="E1845" s="1" t="s">
        <v>10037</v>
      </c>
      <c r="G1845" s="1" t="s">
        <v>10</v>
      </c>
      <c r="H1845" s="2" t="s">
        <v>140</v>
      </c>
      <c r="I1845" s="2" t="s">
        <v>8854</v>
      </c>
      <c r="J1845" s="3">
        <v>45668.481631944444</v>
      </c>
      <c r="K1845" s="2" t="s">
        <v>10038</v>
      </c>
      <c r="L1845" s="1">
        <v>306</v>
      </c>
      <c r="M1845" s="1">
        <v>324</v>
      </c>
      <c r="N1845" s="1">
        <v>18</v>
      </c>
      <c r="O1845" s="3">
        <v>46233.65914210648</v>
      </c>
    </row>
    <row r="1846" spans="1:15" ht="75" x14ac:dyDescent="0.25">
      <c r="A1846" s="5" t="s">
        <v>5699</v>
      </c>
      <c r="B1846" s="1" t="s">
        <v>10039</v>
      </c>
      <c r="C1846" s="1">
        <v>1949</v>
      </c>
      <c r="G1846" s="1" t="s">
        <v>10</v>
      </c>
      <c r="H1846" s="2" t="s">
        <v>140</v>
      </c>
      <c r="I1846" s="2" t="s">
        <v>8230</v>
      </c>
      <c r="J1846" s="3">
        <v>45668.503854166665</v>
      </c>
      <c r="K1846" s="2" t="s">
        <v>10040</v>
      </c>
      <c r="L1846" s="1">
        <v>35</v>
      </c>
      <c r="M1846" s="1">
        <v>53</v>
      </c>
      <c r="N1846" s="1">
        <v>18</v>
      </c>
      <c r="O1846" s="3">
        <v>46233.65914210648</v>
      </c>
    </row>
    <row r="1847" spans="1:15" ht="75" x14ac:dyDescent="0.25">
      <c r="A1847" s="5" t="s">
        <v>5702</v>
      </c>
      <c r="B1847" s="1" t="s">
        <v>10041</v>
      </c>
      <c r="C1847" s="1">
        <v>1967</v>
      </c>
      <c r="D1847" s="1" t="s">
        <v>7893</v>
      </c>
      <c r="G1847" s="1" t="s">
        <v>10</v>
      </c>
      <c r="I1847" s="2" t="s">
        <v>140</v>
      </c>
      <c r="J1847" s="3">
        <v>45668.505208333336</v>
      </c>
      <c r="K1847" s="2" t="s">
        <v>10042</v>
      </c>
      <c r="L1847" s="1">
        <v>7</v>
      </c>
      <c r="M1847" s="1">
        <v>271</v>
      </c>
      <c r="N1847" s="1">
        <v>264</v>
      </c>
      <c r="O1847" s="3">
        <v>46233.65914210648</v>
      </c>
    </row>
    <row r="1848" spans="1:15" ht="75" x14ac:dyDescent="0.25">
      <c r="A1848" s="5" t="s">
        <v>5705</v>
      </c>
      <c r="B1848" s="1" t="s">
        <v>10043</v>
      </c>
      <c r="C1848" s="1">
        <v>1905</v>
      </c>
      <c r="D1848" s="1" t="s">
        <v>8758</v>
      </c>
      <c r="E1848" s="1">
        <v>1997</v>
      </c>
      <c r="F1848" s="1" t="s">
        <v>14</v>
      </c>
      <c r="G1848" s="1" t="s">
        <v>10</v>
      </c>
      <c r="H1848" s="2" t="s">
        <v>10503</v>
      </c>
      <c r="J1848" s="3">
        <v>45678.469421296293</v>
      </c>
      <c r="K1848" s="2" t="s">
        <v>10044</v>
      </c>
      <c r="L1848" s="1">
        <v>49</v>
      </c>
      <c r="M1848" s="1">
        <v>68</v>
      </c>
      <c r="N1848" s="1">
        <v>19</v>
      </c>
      <c r="O1848" s="3">
        <v>46233.65914210648</v>
      </c>
    </row>
    <row r="1849" spans="1:15" ht="75" x14ac:dyDescent="0.25">
      <c r="A1849" s="5" t="s">
        <v>5708</v>
      </c>
      <c r="B1849" s="1" t="s">
        <v>10045</v>
      </c>
      <c r="C1849" s="1" t="s">
        <v>12</v>
      </c>
      <c r="G1849" s="1" t="s">
        <v>10</v>
      </c>
      <c r="J1849" s="3">
        <v>45680.422314814816</v>
      </c>
      <c r="K1849" s="2" t="s">
        <v>10046</v>
      </c>
      <c r="L1849" s="1">
        <v>21</v>
      </c>
      <c r="M1849" s="1">
        <v>31</v>
      </c>
      <c r="N1849" s="1">
        <v>10</v>
      </c>
      <c r="O1849" s="3">
        <v>46233.65914210648</v>
      </c>
    </row>
    <row r="1850" spans="1:15" ht="105" x14ac:dyDescent="0.25">
      <c r="A1850" s="5" t="s">
        <v>5711</v>
      </c>
      <c r="B1850" s="1" t="s">
        <v>10047</v>
      </c>
      <c r="C1850" s="1">
        <v>1985</v>
      </c>
      <c r="G1850" s="1" t="s">
        <v>10</v>
      </c>
      <c r="J1850" s="3">
        <v>45700.792349537034</v>
      </c>
      <c r="K1850" s="2" t="s">
        <v>10048</v>
      </c>
      <c r="L1850" s="1">
        <v>1</v>
      </c>
      <c r="M1850" s="1">
        <v>3</v>
      </c>
      <c r="N1850" s="1">
        <v>2</v>
      </c>
      <c r="O1850" s="3">
        <v>46233.65914210648</v>
      </c>
    </row>
    <row r="1851" spans="1:15" ht="60" x14ac:dyDescent="0.25">
      <c r="A1851" s="5" t="s">
        <v>5714</v>
      </c>
      <c r="B1851" s="1" t="s">
        <v>10049</v>
      </c>
      <c r="C1851" s="1" t="s">
        <v>12</v>
      </c>
      <c r="G1851" s="1" t="s">
        <v>10</v>
      </c>
      <c r="J1851" s="3">
        <v>45727.445520833331</v>
      </c>
      <c r="K1851" s="2" t="s">
        <v>10050</v>
      </c>
      <c r="L1851" s="1">
        <v>21</v>
      </c>
      <c r="M1851" s="1">
        <v>40</v>
      </c>
      <c r="N1851" s="1">
        <v>19</v>
      </c>
      <c r="O1851" s="3">
        <v>46233.65914210648</v>
      </c>
    </row>
    <row r="1852" spans="1:15" x14ac:dyDescent="0.25">
      <c r="A1852" s="5" t="s">
        <v>5717</v>
      </c>
      <c r="B1852" s="1" t="s">
        <v>10051</v>
      </c>
      <c r="C1852" s="1" t="s">
        <v>8394</v>
      </c>
      <c r="E1852" s="1">
        <v>1973</v>
      </c>
      <c r="F1852" s="1" t="s">
        <v>14</v>
      </c>
      <c r="G1852" s="1" t="s">
        <v>10</v>
      </c>
      <c r="J1852" s="3">
        <v>45757.509247685186</v>
      </c>
      <c r="L1852" s="1">
        <v>3</v>
      </c>
      <c r="M1852" s="1">
        <v>3</v>
      </c>
      <c r="N1852" s="1">
        <v>0</v>
      </c>
      <c r="O1852" s="3">
        <v>46233.65914210648</v>
      </c>
    </row>
    <row r="1853" spans="1:15" x14ac:dyDescent="0.25">
      <c r="A1853" s="5" t="s">
        <v>5720</v>
      </c>
      <c r="B1853" s="1" t="s">
        <v>10052</v>
      </c>
      <c r="C1853" s="1">
        <v>1846</v>
      </c>
      <c r="J1853" s="3">
        <v>45757.535370370373</v>
      </c>
      <c r="L1853" s="1">
        <v>2</v>
      </c>
      <c r="M1853" s="1">
        <v>2</v>
      </c>
      <c r="N1853" s="1">
        <v>0</v>
      </c>
      <c r="O1853" s="3">
        <v>46233.65914210648</v>
      </c>
    </row>
    <row r="1854" spans="1:15" ht="45" x14ac:dyDescent="0.25">
      <c r="A1854" s="5" t="s">
        <v>5723</v>
      </c>
      <c r="B1854" s="1" t="s">
        <v>10053</v>
      </c>
      <c r="C1854" s="1">
        <v>1977</v>
      </c>
      <c r="D1854" s="1" t="s">
        <v>14</v>
      </c>
      <c r="G1854" s="1" t="s">
        <v>10</v>
      </c>
      <c r="J1854" s="3">
        <v>45767.786238425928</v>
      </c>
      <c r="K1854" s="2" t="s">
        <v>10054</v>
      </c>
      <c r="L1854" s="1">
        <v>39</v>
      </c>
      <c r="M1854" s="1">
        <v>49</v>
      </c>
      <c r="N1854" s="1">
        <v>10</v>
      </c>
      <c r="O1854" s="3">
        <v>46233.65914210648</v>
      </c>
    </row>
    <row r="1855" spans="1:15" ht="150" x14ac:dyDescent="0.25">
      <c r="A1855" s="5" t="s">
        <v>5726</v>
      </c>
      <c r="B1855" s="1" t="s">
        <v>10055</v>
      </c>
      <c r="C1855" s="1">
        <v>1952</v>
      </c>
      <c r="D1855" s="1" t="s">
        <v>14</v>
      </c>
      <c r="G1855" s="1" t="s">
        <v>10</v>
      </c>
      <c r="J1855" s="3">
        <v>45776.739212962966</v>
      </c>
      <c r="K1855" s="2" t="s">
        <v>10056</v>
      </c>
      <c r="L1855" s="1">
        <v>36</v>
      </c>
      <c r="M1855" s="1">
        <v>57</v>
      </c>
      <c r="N1855" s="1">
        <v>21</v>
      </c>
      <c r="O1855" s="3">
        <v>46233.65914210648</v>
      </c>
    </row>
    <row r="1856" spans="1:15" ht="135" x14ac:dyDescent="0.25">
      <c r="A1856" s="5" t="s">
        <v>5729</v>
      </c>
      <c r="B1856" s="1" t="s">
        <v>10057</v>
      </c>
      <c r="C1856" s="1">
        <v>1943</v>
      </c>
      <c r="D1856" s="1" t="s">
        <v>10058</v>
      </c>
      <c r="E1856" s="1">
        <v>2018</v>
      </c>
      <c r="F1856" s="1" t="s">
        <v>14</v>
      </c>
      <c r="G1856" s="1" t="s">
        <v>10</v>
      </c>
      <c r="H1856" s="2" t="s">
        <v>10059</v>
      </c>
      <c r="I1856" s="2" t="s">
        <v>10060</v>
      </c>
      <c r="J1856" s="3">
        <v>45793.572060185186</v>
      </c>
      <c r="K1856" s="2" t="s">
        <v>10061</v>
      </c>
      <c r="L1856" s="1">
        <v>33</v>
      </c>
      <c r="M1856" s="1">
        <v>39</v>
      </c>
      <c r="N1856" s="1">
        <v>6</v>
      </c>
      <c r="O1856" s="3">
        <v>46233.65914210648</v>
      </c>
    </row>
    <row r="1857" spans="1:15" ht="45" x14ac:dyDescent="0.25">
      <c r="A1857" s="5" t="s">
        <v>5732</v>
      </c>
      <c r="B1857" s="1" t="s">
        <v>10062</v>
      </c>
      <c r="C1857" s="1">
        <v>1968</v>
      </c>
      <c r="J1857" s="3">
        <v>45820.314606481479</v>
      </c>
      <c r="K1857" s="2" t="s">
        <v>10063</v>
      </c>
      <c r="L1857" s="1">
        <v>4</v>
      </c>
      <c r="M1857" s="1">
        <v>6</v>
      </c>
      <c r="N1857" s="1">
        <v>2</v>
      </c>
      <c r="O1857" s="3">
        <v>46233.65914210648</v>
      </c>
    </row>
    <row r="1858" spans="1:15" ht="45" x14ac:dyDescent="0.25">
      <c r="A1858" s="5" t="s">
        <v>5735</v>
      </c>
      <c r="B1858" s="1" t="s">
        <v>10064</v>
      </c>
      <c r="C1858" s="1" t="s">
        <v>12</v>
      </c>
      <c r="G1858" s="1" t="s">
        <v>10</v>
      </c>
      <c r="J1858" s="3">
        <v>45826.30364583333</v>
      </c>
      <c r="K1858" s="2" t="s">
        <v>10065</v>
      </c>
      <c r="L1858" s="1">
        <v>5</v>
      </c>
      <c r="M1858" s="1">
        <v>31</v>
      </c>
      <c r="N1858" s="1">
        <v>26</v>
      </c>
      <c r="O1858" s="3">
        <v>46233.65914210648</v>
      </c>
    </row>
    <row r="1859" spans="1:15" ht="135" x14ac:dyDescent="0.25">
      <c r="A1859" s="5" t="s">
        <v>5738</v>
      </c>
      <c r="B1859" s="1" t="s">
        <v>10066</v>
      </c>
      <c r="C1859" s="1">
        <v>1985</v>
      </c>
      <c r="G1859" s="1" t="s">
        <v>11</v>
      </c>
      <c r="J1859" s="3">
        <v>45826.303657407407</v>
      </c>
      <c r="K1859" s="2" t="s">
        <v>10067</v>
      </c>
      <c r="L1859" s="1">
        <v>6</v>
      </c>
      <c r="M1859" s="1">
        <v>11</v>
      </c>
      <c r="N1859" s="1">
        <v>5</v>
      </c>
      <c r="O1859" s="3">
        <v>46233.65914210648</v>
      </c>
    </row>
    <row r="1860" spans="1:15" ht="120" x14ac:dyDescent="0.25">
      <c r="A1860" s="5" t="s">
        <v>5741</v>
      </c>
      <c r="B1860" s="1" t="s">
        <v>10068</v>
      </c>
      <c r="C1860" s="1">
        <v>1988</v>
      </c>
      <c r="G1860" s="1" t="s">
        <v>10</v>
      </c>
      <c r="J1860" s="3">
        <v>45826.303587962961</v>
      </c>
      <c r="K1860" s="2" t="s">
        <v>10069</v>
      </c>
      <c r="L1860" s="1">
        <v>1</v>
      </c>
      <c r="M1860" s="1">
        <v>3</v>
      </c>
      <c r="N1860" s="1">
        <v>2</v>
      </c>
      <c r="O1860" s="3">
        <v>46233.65914210648</v>
      </c>
    </row>
    <row r="1861" spans="1:15" ht="45" x14ac:dyDescent="0.25">
      <c r="A1861" s="5" t="s">
        <v>5744</v>
      </c>
      <c r="B1861" s="1" t="s">
        <v>10070</v>
      </c>
      <c r="C1861" s="1">
        <v>1959</v>
      </c>
      <c r="G1861" s="1" t="s">
        <v>10</v>
      </c>
      <c r="I1861" s="2" t="s">
        <v>140</v>
      </c>
      <c r="J1861" s="3">
        <v>45828.674004629633</v>
      </c>
      <c r="K1861" s="2" t="s">
        <v>10071</v>
      </c>
      <c r="L1861" s="1">
        <v>0</v>
      </c>
      <c r="M1861" s="1">
        <v>5</v>
      </c>
      <c r="N1861" s="1">
        <v>5</v>
      </c>
      <c r="O1861" s="3">
        <v>46233.65914210648</v>
      </c>
    </row>
    <row r="1862" spans="1:15" ht="135" x14ac:dyDescent="0.25">
      <c r="A1862" s="5" t="s">
        <v>5747</v>
      </c>
      <c r="B1862" s="1" t="s">
        <v>10072</v>
      </c>
      <c r="C1862" s="1">
        <v>1990</v>
      </c>
      <c r="G1862" s="1" t="s">
        <v>10</v>
      </c>
      <c r="J1862" s="3">
        <v>45833.638483796298</v>
      </c>
      <c r="K1862" s="2" t="s">
        <v>10073</v>
      </c>
      <c r="L1862" s="1">
        <v>4</v>
      </c>
      <c r="M1862" s="1">
        <v>6</v>
      </c>
      <c r="N1862" s="1">
        <v>2</v>
      </c>
      <c r="O1862" s="3">
        <v>46233.65914210648</v>
      </c>
    </row>
    <row r="1863" spans="1:15" ht="90" x14ac:dyDescent="0.25">
      <c r="A1863" s="5" t="s">
        <v>5750</v>
      </c>
      <c r="B1863" s="1" t="s">
        <v>10074</v>
      </c>
      <c r="C1863" s="1">
        <v>1985</v>
      </c>
      <c r="G1863" s="1" t="s">
        <v>11</v>
      </c>
      <c r="J1863" s="3">
        <v>45482.484814814816</v>
      </c>
      <c r="K1863" s="2" t="s">
        <v>10075</v>
      </c>
      <c r="L1863" s="1">
        <v>3</v>
      </c>
      <c r="M1863" s="1">
        <v>3</v>
      </c>
      <c r="N1863" s="1">
        <v>0</v>
      </c>
      <c r="O1863" s="3">
        <v>46233.65914210648</v>
      </c>
    </row>
    <row r="1864" spans="1:15" ht="195" x14ac:dyDescent="0.25">
      <c r="A1864" s="5" t="s">
        <v>5753</v>
      </c>
      <c r="B1864" s="1" t="s">
        <v>10076</v>
      </c>
      <c r="C1864" s="1">
        <v>1961</v>
      </c>
      <c r="G1864" s="1" t="s">
        <v>11</v>
      </c>
      <c r="H1864" s="2" t="s">
        <v>9373</v>
      </c>
      <c r="I1864" s="2" t="s">
        <v>10077</v>
      </c>
      <c r="J1864" s="3">
        <v>45624.446967592594</v>
      </c>
      <c r="K1864" s="2" t="s">
        <v>10078</v>
      </c>
      <c r="L1864" s="1">
        <v>15</v>
      </c>
      <c r="M1864" s="1">
        <v>32</v>
      </c>
      <c r="N1864" s="1">
        <v>17</v>
      </c>
      <c r="O1864" s="3">
        <v>46233.65914210648</v>
      </c>
    </row>
    <row r="1865" spans="1:15" ht="60" x14ac:dyDescent="0.25">
      <c r="A1865" s="5" t="s">
        <v>5756</v>
      </c>
      <c r="B1865" s="1" t="s">
        <v>10079</v>
      </c>
      <c r="C1865" s="1">
        <v>1946</v>
      </c>
      <c r="D1865" s="1" t="s">
        <v>8589</v>
      </c>
      <c r="G1865" s="1" t="s">
        <v>11</v>
      </c>
      <c r="H1865" s="2" t="s">
        <v>10482</v>
      </c>
      <c r="I1865" s="2" t="s">
        <v>140</v>
      </c>
      <c r="J1865" s="3">
        <v>45837.345451388886</v>
      </c>
      <c r="K1865" s="2" t="s">
        <v>10080</v>
      </c>
      <c r="L1865" s="1">
        <v>16</v>
      </c>
      <c r="M1865" s="1">
        <v>76</v>
      </c>
      <c r="N1865" s="1">
        <v>60</v>
      </c>
      <c r="O1865" s="3">
        <v>46233.65914210648</v>
      </c>
    </row>
    <row r="1866" spans="1:15" ht="60" x14ac:dyDescent="0.25">
      <c r="A1866" s="5" t="s">
        <v>5759</v>
      </c>
      <c r="B1866" s="1" t="s">
        <v>10081</v>
      </c>
      <c r="C1866" s="1">
        <v>1959</v>
      </c>
      <c r="G1866" s="1" t="s">
        <v>10</v>
      </c>
      <c r="J1866" s="3">
        <v>45839.584583333337</v>
      </c>
      <c r="K1866" s="2" t="s">
        <v>10082</v>
      </c>
      <c r="L1866" s="1">
        <v>46</v>
      </c>
      <c r="M1866" s="1">
        <v>85</v>
      </c>
      <c r="N1866" s="1">
        <v>39</v>
      </c>
      <c r="O1866" s="3">
        <v>46233.65914210648</v>
      </c>
    </row>
    <row r="1867" spans="1:15" ht="60" x14ac:dyDescent="0.25">
      <c r="A1867" s="5" t="s">
        <v>5762</v>
      </c>
      <c r="B1867" s="1" t="s">
        <v>10083</v>
      </c>
      <c r="C1867" s="1">
        <v>1960</v>
      </c>
      <c r="G1867" s="1" t="s">
        <v>10</v>
      </c>
      <c r="J1867" s="3">
        <v>45842.627812500003</v>
      </c>
      <c r="K1867" s="2" t="s">
        <v>10084</v>
      </c>
      <c r="L1867" s="1">
        <v>14</v>
      </c>
      <c r="M1867" s="1">
        <v>25</v>
      </c>
      <c r="N1867" s="1">
        <v>11</v>
      </c>
      <c r="O1867" s="3">
        <v>46233.65914210648</v>
      </c>
    </row>
    <row r="1868" spans="1:15" ht="150" x14ac:dyDescent="0.25">
      <c r="A1868" s="5" t="s">
        <v>5765</v>
      </c>
      <c r="B1868" s="1" t="s">
        <v>10085</v>
      </c>
      <c r="C1868" s="1">
        <v>1968</v>
      </c>
      <c r="G1868" s="1" t="s">
        <v>10</v>
      </c>
      <c r="I1868" s="2" t="s">
        <v>10086</v>
      </c>
      <c r="J1868" s="3">
        <v>45842.635752314818</v>
      </c>
      <c r="K1868" s="2" t="s">
        <v>10087</v>
      </c>
      <c r="L1868" s="1">
        <v>20</v>
      </c>
      <c r="M1868" s="1">
        <v>21</v>
      </c>
      <c r="N1868" s="1">
        <v>1</v>
      </c>
      <c r="O1868" s="3">
        <v>46233.65914210648</v>
      </c>
    </row>
    <row r="1869" spans="1:15" ht="105" x14ac:dyDescent="0.25">
      <c r="A1869" s="5" t="s">
        <v>5768</v>
      </c>
      <c r="B1869" s="1" t="s">
        <v>10088</v>
      </c>
      <c r="C1869" s="1" t="s">
        <v>12</v>
      </c>
      <c r="G1869" s="1" t="s">
        <v>10</v>
      </c>
      <c r="H1869" s="2" t="s">
        <v>10089</v>
      </c>
      <c r="I1869" s="2" t="s">
        <v>140</v>
      </c>
      <c r="J1869" s="3">
        <v>45847.648032407407</v>
      </c>
      <c r="K1869" s="2" t="s">
        <v>10090</v>
      </c>
      <c r="L1869" s="1">
        <v>0</v>
      </c>
      <c r="M1869" s="1">
        <v>32</v>
      </c>
      <c r="N1869" s="1">
        <v>32</v>
      </c>
      <c r="O1869" s="3">
        <v>46233.65914210648</v>
      </c>
    </row>
    <row r="1870" spans="1:15" ht="30" x14ac:dyDescent="0.25">
      <c r="A1870" s="5" t="s">
        <v>5771</v>
      </c>
      <c r="B1870" s="1" t="s">
        <v>10091</v>
      </c>
      <c r="C1870" s="1">
        <v>1944</v>
      </c>
      <c r="G1870" s="1" t="s">
        <v>10</v>
      </c>
      <c r="J1870" s="3">
        <v>45848.620636574073</v>
      </c>
      <c r="K1870" s="2" t="s">
        <v>10092</v>
      </c>
      <c r="L1870" s="1">
        <v>40</v>
      </c>
      <c r="M1870" s="1">
        <v>40</v>
      </c>
      <c r="N1870" s="1">
        <v>0</v>
      </c>
      <c r="O1870" s="3">
        <v>46233.65914210648</v>
      </c>
    </row>
    <row r="1871" spans="1:15" ht="75" x14ac:dyDescent="0.25">
      <c r="A1871" s="5" t="s">
        <v>5774</v>
      </c>
      <c r="B1871" s="1" t="s">
        <v>10093</v>
      </c>
      <c r="C1871" s="1" t="s">
        <v>12</v>
      </c>
      <c r="G1871" s="1" t="s">
        <v>11</v>
      </c>
      <c r="J1871" s="3">
        <v>45848.623252314814</v>
      </c>
      <c r="K1871" s="2" t="s">
        <v>10094</v>
      </c>
      <c r="L1871" s="1">
        <v>76</v>
      </c>
      <c r="M1871" s="1">
        <v>78</v>
      </c>
      <c r="N1871" s="1">
        <v>2</v>
      </c>
      <c r="O1871" s="3">
        <v>46233.65914210648</v>
      </c>
    </row>
    <row r="1872" spans="1:15" ht="135" x14ac:dyDescent="0.25">
      <c r="A1872" s="5" t="s">
        <v>5777</v>
      </c>
      <c r="B1872" s="1" t="s">
        <v>10095</v>
      </c>
      <c r="C1872" s="1" t="s">
        <v>12</v>
      </c>
      <c r="G1872" s="1" t="s">
        <v>11</v>
      </c>
      <c r="J1872" s="3">
        <v>45630.405011574076</v>
      </c>
      <c r="K1872" s="2" t="s">
        <v>10096</v>
      </c>
      <c r="L1872" s="1">
        <v>1</v>
      </c>
      <c r="M1872" s="1">
        <v>1</v>
      </c>
      <c r="N1872" s="1">
        <v>0</v>
      </c>
      <c r="O1872" s="3">
        <v>46233.65914210648</v>
      </c>
    </row>
    <row r="1873" spans="1:15" ht="90" x14ac:dyDescent="0.25">
      <c r="A1873" s="5" t="s">
        <v>5780</v>
      </c>
      <c r="B1873" s="1" t="s">
        <v>10097</v>
      </c>
      <c r="C1873" s="1">
        <v>1944</v>
      </c>
      <c r="D1873" s="1" t="s">
        <v>14</v>
      </c>
      <c r="G1873" s="1" t="s">
        <v>10</v>
      </c>
      <c r="J1873" s="3">
        <v>45883.407210648147</v>
      </c>
      <c r="K1873" s="2" t="s">
        <v>10098</v>
      </c>
      <c r="L1873" s="1">
        <v>71</v>
      </c>
      <c r="M1873" s="1">
        <v>83</v>
      </c>
      <c r="N1873" s="1">
        <v>12</v>
      </c>
      <c r="O1873" s="3">
        <v>46233.65914210648</v>
      </c>
    </row>
    <row r="1874" spans="1:15" ht="120" x14ac:dyDescent="0.25">
      <c r="A1874" s="5" t="s">
        <v>5783</v>
      </c>
      <c r="B1874" s="1" t="s">
        <v>10099</v>
      </c>
      <c r="C1874" s="1">
        <v>1977</v>
      </c>
      <c r="D1874" s="1" t="s">
        <v>10100</v>
      </c>
      <c r="E1874" s="1">
        <v>2024</v>
      </c>
      <c r="F1874" s="1" t="s">
        <v>10101</v>
      </c>
      <c r="G1874" s="1" t="s">
        <v>10</v>
      </c>
      <c r="H1874" s="2" t="s">
        <v>10102</v>
      </c>
      <c r="I1874" s="2" t="s">
        <v>8028</v>
      </c>
      <c r="J1874" s="3">
        <v>45886.344884259262</v>
      </c>
      <c r="K1874" s="2" t="s">
        <v>10103</v>
      </c>
      <c r="L1874" s="1">
        <v>22</v>
      </c>
      <c r="M1874" s="1">
        <v>41</v>
      </c>
      <c r="N1874" s="1">
        <v>19</v>
      </c>
      <c r="O1874" s="3">
        <v>46233.65914210648</v>
      </c>
    </row>
    <row r="1875" spans="1:15" ht="45" x14ac:dyDescent="0.25">
      <c r="A1875" s="5" t="s">
        <v>5786</v>
      </c>
      <c r="B1875" s="1" t="s">
        <v>10104</v>
      </c>
      <c r="C1875" s="1">
        <v>1970</v>
      </c>
      <c r="G1875" s="1" t="s">
        <v>10</v>
      </c>
      <c r="H1875" s="2" t="s">
        <v>140</v>
      </c>
      <c r="J1875" s="3">
        <v>45888.607175925928</v>
      </c>
      <c r="K1875" s="2" t="s">
        <v>10105</v>
      </c>
      <c r="L1875" s="1">
        <v>1</v>
      </c>
      <c r="M1875" s="1">
        <v>12</v>
      </c>
      <c r="N1875" s="1">
        <v>11</v>
      </c>
      <c r="O1875" s="3">
        <v>46233.65914210648</v>
      </c>
    </row>
    <row r="1876" spans="1:15" ht="30" x14ac:dyDescent="0.25">
      <c r="A1876" s="5" t="s">
        <v>5789</v>
      </c>
      <c r="B1876" s="1" t="s">
        <v>10106</v>
      </c>
      <c r="C1876" s="1">
        <v>1985</v>
      </c>
      <c r="G1876" s="1" t="s">
        <v>10</v>
      </c>
      <c r="J1876" s="3">
        <v>45890.648831018516</v>
      </c>
      <c r="K1876" s="2" t="s">
        <v>10107</v>
      </c>
      <c r="L1876" s="1">
        <v>2</v>
      </c>
      <c r="M1876" s="1">
        <v>5</v>
      </c>
      <c r="N1876" s="1">
        <v>3</v>
      </c>
      <c r="O1876" s="3">
        <v>46233.65914210648</v>
      </c>
    </row>
    <row r="1877" spans="1:15" ht="195" x14ac:dyDescent="0.25">
      <c r="A1877" s="5" t="s">
        <v>5795</v>
      </c>
      <c r="B1877" s="1" t="s">
        <v>10113</v>
      </c>
      <c r="G1877" s="1" t="s">
        <v>11</v>
      </c>
      <c r="J1877" s="3">
        <v>46210.548171296294</v>
      </c>
      <c r="K1877" s="2" t="s">
        <v>10114</v>
      </c>
      <c r="L1877" s="1">
        <v>2</v>
      </c>
      <c r="M1877" s="1">
        <v>2</v>
      </c>
      <c r="N1877" s="1">
        <v>0</v>
      </c>
      <c r="O1877" s="3">
        <v>46233.65914210648</v>
      </c>
    </row>
    <row r="1878" spans="1:15" ht="90" x14ac:dyDescent="0.25">
      <c r="A1878" s="5" t="s">
        <v>5792</v>
      </c>
      <c r="B1878" s="1" t="s">
        <v>10108</v>
      </c>
      <c r="C1878" s="1">
        <v>1944</v>
      </c>
      <c r="D1878" s="1" t="s">
        <v>10109</v>
      </c>
      <c r="E1878" s="1">
        <v>2021</v>
      </c>
      <c r="F1878" s="1" t="s">
        <v>14</v>
      </c>
      <c r="G1878" s="1" t="s">
        <v>10</v>
      </c>
      <c r="H1878" s="2" t="s">
        <v>10110</v>
      </c>
      <c r="I1878" s="2" t="s">
        <v>10111</v>
      </c>
      <c r="J1878" s="3">
        <v>45900.348043981481</v>
      </c>
      <c r="K1878" s="2" t="s">
        <v>10112</v>
      </c>
      <c r="L1878" s="1">
        <v>66</v>
      </c>
      <c r="M1878" s="1">
        <v>70</v>
      </c>
      <c r="N1878" s="1">
        <v>4</v>
      </c>
      <c r="O1878" s="3">
        <v>46233.65914210648</v>
      </c>
    </row>
    <row r="1879" spans="1:15" ht="75" x14ac:dyDescent="0.25">
      <c r="A1879" s="5" t="s">
        <v>5798</v>
      </c>
      <c r="B1879" s="1" t="s">
        <v>10115</v>
      </c>
      <c r="C1879" s="1">
        <v>1949</v>
      </c>
      <c r="D1879" s="1" t="s">
        <v>133</v>
      </c>
      <c r="G1879" s="1" t="s">
        <v>10</v>
      </c>
      <c r="J1879" s="3">
        <v>45902.693819444445</v>
      </c>
      <c r="K1879" s="2" t="s">
        <v>10116</v>
      </c>
      <c r="L1879" s="1">
        <v>20</v>
      </c>
      <c r="M1879" s="1">
        <v>64</v>
      </c>
      <c r="N1879" s="1">
        <v>44</v>
      </c>
      <c r="O1879" s="3">
        <v>46233.65914210648</v>
      </c>
    </row>
    <row r="1880" spans="1:15" ht="285" x14ac:dyDescent="0.25">
      <c r="A1880" s="5" t="s">
        <v>5801</v>
      </c>
      <c r="B1880" s="1" t="s">
        <v>10117</v>
      </c>
      <c r="C1880" s="1">
        <v>1962</v>
      </c>
      <c r="D1880" s="1" t="s">
        <v>14</v>
      </c>
      <c r="G1880" s="1" t="s">
        <v>10</v>
      </c>
      <c r="H1880" s="2" t="s">
        <v>140</v>
      </c>
      <c r="I1880" s="2" t="s">
        <v>10118</v>
      </c>
      <c r="J1880" s="3">
        <v>45902.693807870368</v>
      </c>
      <c r="K1880" s="2" t="s">
        <v>10119</v>
      </c>
      <c r="L1880" s="1">
        <v>32</v>
      </c>
      <c r="M1880" s="1">
        <v>50</v>
      </c>
      <c r="N1880" s="1">
        <v>18</v>
      </c>
      <c r="O1880" s="3">
        <v>46233.65914210648</v>
      </c>
    </row>
    <row r="1881" spans="1:15" ht="60" x14ac:dyDescent="0.25">
      <c r="A1881" s="5" t="s">
        <v>5804</v>
      </c>
      <c r="B1881" s="1" t="s">
        <v>10120</v>
      </c>
      <c r="C1881" s="1">
        <v>1956</v>
      </c>
      <c r="J1881" s="3">
        <v>45905.337071759262</v>
      </c>
      <c r="K1881" s="2" t="s">
        <v>10121</v>
      </c>
      <c r="L1881" s="1">
        <v>32</v>
      </c>
      <c r="M1881" s="1">
        <v>53</v>
      </c>
      <c r="N1881" s="1">
        <v>21</v>
      </c>
      <c r="O1881" s="3">
        <v>46233.65914210648</v>
      </c>
    </row>
    <row r="1882" spans="1:15" ht="60" x14ac:dyDescent="0.25">
      <c r="A1882" s="5" t="s">
        <v>5807</v>
      </c>
      <c r="B1882" s="1" t="s">
        <v>10122</v>
      </c>
      <c r="C1882" s="1">
        <v>1964</v>
      </c>
      <c r="D1882" s="1" t="s">
        <v>10123</v>
      </c>
      <c r="H1882" s="2" t="s">
        <v>140</v>
      </c>
      <c r="J1882" s="3">
        <v>45909.326851851853</v>
      </c>
      <c r="K1882" s="2" t="s">
        <v>10124</v>
      </c>
      <c r="L1882" s="1">
        <v>45</v>
      </c>
      <c r="M1882" s="1">
        <v>47</v>
      </c>
      <c r="N1882" s="1">
        <v>2</v>
      </c>
      <c r="O1882" s="3">
        <v>46233.65914210648</v>
      </c>
    </row>
    <row r="1883" spans="1:15" x14ac:dyDescent="0.25">
      <c r="A1883" s="5" t="s">
        <v>5810</v>
      </c>
      <c r="B1883" s="1" t="s">
        <v>10125</v>
      </c>
      <c r="C1883" s="1" t="s">
        <v>12</v>
      </c>
      <c r="G1883" s="1" t="s">
        <v>10</v>
      </c>
      <c r="J1883" s="3">
        <v>45915.569120370368</v>
      </c>
      <c r="L1883" s="1">
        <v>12</v>
      </c>
      <c r="M1883" s="1">
        <v>12</v>
      </c>
      <c r="N1883" s="1">
        <v>0</v>
      </c>
      <c r="O1883" s="3">
        <v>46233.65914210648</v>
      </c>
    </row>
    <row r="1884" spans="1:15" ht="90" x14ac:dyDescent="0.25">
      <c r="A1884" s="5" t="s">
        <v>5813</v>
      </c>
      <c r="B1884" s="1" t="s">
        <v>10126</v>
      </c>
      <c r="C1884" s="1" t="s">
        <v>12</v>
      </c>
      <c r="G1884" s="1" t="s">
        <v>11</v>
      </c>
      <c r="J1884" s="3">
        <v>45915.572002314817</v>
      </c>
      <c r="K1884" s="2" t="s">
        <v>10127</v>
      </c>
      <c r="L1884" s="1">
        <v>6</v>
      </c>
      <c r="M1884" s="1">
        <v>10</v>
      </c>
      <c r="N1884" s="1">
        <v>4</v>
      </c>
      <c r="O1884" s="3">
        <v>46233.65914210648</v>
      </c>
    </row>
    <row r="1885" spans="1:15" ht="75" x14ac:dyDescent="0.25">
      <c r="A1885" s="5" t="s">
        <v>5816</v>
      </c>
      <c r="B1885" s="1" t="s">
        <v>10128</v>
      </c>
      <c r="C1885" s="1">
        <v>1962</v>
      </c>
      <c r="G1885" s="1" t="s">
        <v>11</v>
      </c>
      <c r="I1885" s="2" t="s">
        <v>140</v>
      </c>
      <c r="J1885" s="3">
        <v>45939.799375000002</v>
      </c>
      <c r="K1885" s="2" t="s">
        <v>10129</v>
      </c>
      <c r="L1885" s="1">
        <v>4</v>
      </c>
      <c r="M1885" s="1">
        <v>6</v>
      </c>
      <c r="N1885" s="1">
        <v>2</v>
      </c>
      <c r="O1885" s="3">
        <v>46233.65914210648</v>
      </c>
    </row>
    <row r="1886" spans="1:15" ht="45" x14ac:dyDescent="0.25">
      <c r="A1886" s="5" t="s">
        <v>5819</v>
      </c>
      <c r="B1886" s="1" t="s">
        <v>10130</v>
      </c>
      <c r="C1886" s="1">
        <v>1949</v>
      </c>
      <c r="J1886" s="3">
        <v>45985.836469907408</v>
      </c>
      <c r="K1886" s="2" t="s">
        <v>10131</v>
      </c>
      <c r="L1886" s="1">
        <v>8</v>
      </c>
      <c r="M1886" s="1">
        <v>50</v>
      </c>
      <c r="N1886" s="1">
        <v>42</v>
      </c>
      <c r="O1886" s="3">
        <v>46233.65914210648</v>
      </c>
    </row>
    <row r="1887" spans="1:15" ht="105" x14ac:dyDescent="0.25">
      <c r="A1887" s="5" t="s">
        <v>5822</v>
      </c>
      <c r="B1887" s="1" t="s">
        <v>10132</v>
      </c>
      <c r="C1887" s="1">
        <v>1899</v>
      </c>
      <c r="E1887" s="1">
        <v>1990</v>
      </c>
      <c r="G1887" s="1" t="s">
        <v>11</v>
      </c>
      <c r="J1887" s="3">
        <v>45988.552314814813</v>
      </c>
      <c r="K1887" s="2" t="s">
        <v>10133</v>
      </c>
      <c r="L1887" s="1">
        <v>7</v>
      </c>
      <c r="M1887" s="1">
        <v>7</v>
      </c>
      <c r="N1887" s="1">
        <v>0</v>
      </c>
      <c r="O1887" s="3">
        <v>46233.65914210648</v>
      </c>
    </row>
    <row r="1888" spans="1:15" ht="240" x14ac:dyDescent="0.25">
      <c r="A1888" s="5" t="s">
        <v>5825</v>
      </c>
      <c r="B1888" s="1" t="s">
        <v>10134</v>
      </c>
      <c r="C1888" s="1">
        <v>1953</v>
      </c>
      <c r="G1888" s="1" t="s">
        <v>10</v>
      </c>
      <c r="H1888" s="2" t="s">
        <v>10135</v>
      </c>
      <c r="I1888" s="2" t="s">
        <v>10483</v>
      </c>
      <c r="J1888" s="3">
        <v>45988.907592592594</v>
      </c>
      <c r="K1888" s="2" t="s">
        <v>10136</v>
      </c>
      <c r="L1888" s="1">
        <v>5</v>
      </c>
      <c r="M1888" s="1">
        <v>30</v>
      </c>
      <c r="N1888" s="1">
        <v>25</v>
      </c>
      <c r="O1888" s="3">
        <v>46233.65914210648</v>
      </c>
    </row>
    <row r="1889" spans="1:15" ht="165" x14ac:dyDescent="0.25">
      <c r="A1889" s="5" t="s">
        <v>5828</v>
      </c>
      <c r="B1889" s="1" t="s">
        <v>10137</v>
      </c>
      <c r="C1889" s="1">
        <v>2009</v>
      </c>
      <c r="J1889" s="3">
        <v>45995.669131944444</v>
      </c>
      <c r="K1889" s="2" t="s">
        <v>10138</v>
      </c>
      <c r="L1889" s="1">
        <v>8</v>
      </c>
      <c r="M1889" s="1">
        <v>9</v>
      </c>
      <c r="N1889" s="1">
        <v>1</v>
      </c>
      <c r="O1889" s="3">
        <v>46233.65914210648</v>
      </c>
    </row>
    <row r="1890" spans="1:15" ht="270" x14ac:dyDescent="0.25">
      <c r="A1890" s="5" t="s">
        <v>5831</v>
      </c>
      <c r="B1890" s="1" t="s">
        <v>10139</v>
      </c>
      <c r="C1890" s="1">
        <v>1959</v>
      </c>
      <c r="G1890" s="1" t="s">
        <v>10</v>
      </c>
      <c r="J1890" s="3">
        <v>46004.882627314815</v>
      </c>
      <c r="K1890" s="2" t="s">
        <v>10140</v>
      </c>
      <c r="L1890" s="1">
        <v>10</v>
      </c>
      <c r="M1890" s="1">
        <v>15</v>
      </c>
      <c r="N1890" s="1">
        <v>5</v>
      </c>
      <c r="O1890" s="3">
        <v>46233.65914210648</v>
      </c>
    </row>
    <row r="1891" spans="1:15" ht="285" x14ac:dyDescent="0.25">
      <c r="A1891" s="5" t="s">
        <v>5834</v>
      </c>
      <c r="B1891" s="1" t="s">
        <v>10141</v>
      </c>
      <c r="C1891" s="1">
        <v>1950</v>
      </c>
      <c r="D1891" s="1" t="s">
        <v>14</v>
      </c>
      <c r="G1891" s="1" t="s">
        <v>11</v>
      </c>
      <c r="J1891" s="3">
        <v>46004.894293981481</v>
      </c>
      <c r="K1891" s="2" t="s">
        <v>10142</v>
      </c>
      <c r="L1891" s="1">
        <v>37</v>
      </c>
      <c r="M1891" s="1">
        <v>58</v>
      </c>
      <c r="N1891" s="1">
        <v>21</v>
      </c>
      <c r="O1891" s="3">
        <v>46233.65914210648</v>
      </c>
    </row>
    <row r="1892" spans="1:15" ht="45" x14ac:dyDescent="0.25">
      <c r="A1892" s="5" t="s">
        <v>5837</v>
      </c>
      <c r="B1892" s="1" t="s">
        <v>10143</v>
      </c>
      <c r="C1892" s="1">
        <v>1950</v>
      </c>
      <c r="G1892" s="1" t="s">
        <v>10</v>
      </c>
      <c r="H1892" s="2" t="s">
        <v>9838</v>
      </c>
      <c r="I1892" s="2" t="s">
        <v>140</v>
      </c>
      <c r="J1892" s="3">
        <v>46028.471342592595</v>
      </c>
      <c r="K1892" s="2" t="s">
        <v>10144</v>
      </c>
      <c r="L1892" s="1">
        <v>53</v>
      </c>
      <c r="M1892" s="1">
        <v>126</v>
      </c>
      <c r="N1892" s="1">
        <v>73</v>
      </c>
      <c r="O1892" s="3">
        <v>46233.65914210648</v>
      </c>
    </row>
    <row r="1893" spans="1:15" x14ac:dyDescent="0.25">
      <c r="A1893" s="5" t="s">
        <v>5843</v>
      </c>
      <c r="B1893" s="1" t="s">
        <v>10147</v>
      </c>
      <c r="J1893" s="3">
        <v>46216.704884259256</v>
      </c>
      <c r="L1893" s="1">
        <v>17</v>
      </c>
      <c r="M1893" s="1">
        <v>18</v>
      </c>
      <c r="N1893" s="1">
        <v>1</v>
      </c>
      <c r="O1893" s="3">
        <v>46233.65914210648</v>
      </c>
    </row>
    <row r="1894" spans="1:15" ht="45" x14ac:dyDescent="0.25">
      <c r="A1894" s="5" t="s">
        <v>5840</v>
      </c>
      <c r="B1894" s="1" t="s">
        <v>10145</v>
      </c>
      <c r="C1894" s="1">
        <v>1946</v>
      </c>
      <c r="G1894" s="1" t="s">
        <v>10</v>
      </c>
      <c r="J1894" s="3">
        <v>46030.390104166669</v>
      </c>
      <c r="K1894" s="2" t="s">
        <v>10146</v>
      </c>
      <c r="L1894" s="1">
        <v>1</v>
      </c>
      <c r="M1894" s="1">
        <v>1</v>
      </c>
      <c r="N1894" s="1">
        <v>0</v>
      </c>
      <c r="O1894" s="3">
        <v>46233.65914210648</v>
      </c>
    </row>
    <row r="1895" spans="1:15" ht="120" x14ac:dyDescent="0.25">
      <c r="A1895" s="5" t="s">
        <v>5846</v>
      </c>
      <c r="B1895" s="1" t="s">
        <v>10148</v>
      </c>
      <c r="C1895" s="1">
        <v>1964</v>
      </c>
      <c r="D1895" s="1" t="s">
        <v>14</v>
      </c>
      <c r="G1895" s="1" t="s">
        <v>11</v>
      </c>
      <c r="H1895" s="2" t="s">
        <v>140</v>
      </c>
      <c r="I1895" s="2" t="s">
        <v>10504</v>
      </c>
      <c r="J1895" s="3">
        <v>46034.482789351852</v>
      </c>
      <c r="K1895" s="2" t="s">
        <v>10149</v>
      </c>
      <c r="L1895" s="1">
        <v>20</v>
      </c>
      <c r="M1895" s="1">
        <v>46</v>
      </c>
      <c r="N1895" s="1">
        <v>26</v>
      </c>
      <c r="O1895" s="3">
        <v>46233.65914210648</v>
      </c>
    </row>
    <row r="1896" spans="1:15" ht="165" x14ac:dyDescent="0.25">
      <c r="A1896" s="5" t="s">
        <v>5849</v>
      </c>
      <c r="B1896" s="1" t="s">
        <v>10150</v>
      </c>
      <c r="C1896" s="1">
        <v>1933</v>
      </c>
      <c r="D1896" s="1" t="s">
        <v>10151</v>
      </c>
      <c r="G1896" s="1" t="s">
        <v>10</v>
      </c>
      <c r="H1896" s="2" t="s">
        <v>10152</v>
      </c>
      <c r="I1896" s="2" t="s">
        <v>140</v>
      </c>
      <c r="J1896" s="3">
        <v>46035.839756944442</v>
      </c>
      <c r="K1896" s="2" t="s">
        <v>10153</v>
      </c>
      <c r="L1896" s="1">
        <v>322</v>
      </c>
      <c r="M1896" s="1">
        <v>359</v>
      </c>
      <c r="N1896" s="1">
        <v>37</v>
      </c>
      <c r="O1896" s="3">
        <v>46233.65914210648</v>
      </c>
    </row>
    <row r="1897" spans="1:15" ht="75" x14ac:dyDescent="0.25">
      <c r="A1897" s="5" t="s">
        <v>5852</v>
      </c>
      <c r="B1897" s="1" t="s">
        <v>10154</v>
      </c>
      <c r="C1897" s="1">
        <v>1839</v>
      </c>
      <c r="J1897" s="3">
        <v>46038.638101851851</v>
      </c>
      <c r="K1897" s="2" t="s">
        <v>10155</v>
      </c>
      <c r="L1897" s="1">
        <v>156</v>
      </c>
      <c r="M1897" s="1">
        <v>167</v>
      </c>
      <c r="N1897" s="1">
        <v>11</v>
      </c>
      <c r="O1897" s="3">
        <v>46233.65914210648</v>
      </c>
    </row>
    <row r="1898" spans="1:15" ht="120" x14ac:dyDescent="0.25">
      <c r="A1898" s="5" t="s">
        <v>5855</v>
      </c>
      <c r="B1898" s="1" t="s">
        <v>10156</v>
      </c>
      <c r="C1898" s="1">
        <v>1798</v>
      </c>
      <c r="E1898" s="1">
        <v>1813</v>
      </c>
      <c r="J1898" s="3">
        <v>46041.668298611112</v>
      </c>
      <c r="K1898" s="2" t="s">
        <v>10157</v>
      </c>
      <c r="L1898" s="1">
        <v>159</v>
      </c>
      <c r="M1898" s="1">
        <v>173</v>
      </c>
      <c r="N1898" s="1">
        <v>14</v>
      </c>
      <c r="O1898" s="3">
        <v>46233.65914210648</v>
      </c>
    </row>
    <row r="1899" spans="1:15" x14ac:dyDescent="0.25">
      <c r="A1899" s="5" t="s">
        <v>5858</v>
      </c>
      <c r="B1899" s="1" t="s">
        <v>10158</v>
      </c>
      <c r="C1899" s="1">
        <v>1985</v>
      </c>
      <c r="J1899" s="3">
        <v>46042.723993055559</v>
      </c>
      <c r="K1899" s="2" t="s">
        <v>10159</v>
      </c>
      <c r="L1899" s="1">
        <v>45</v>
      </c>
      <c r="M1899" s="1">
        <v>46</v>
      </c>
      <c r="N1899" s="1">
        <v>1</v>
      </c>
      <c r="O1899" s="3">
        <v>46233.65914210648</v>
      </c>
    </row>
    <row r="1900" spans="1:15" ht="120" x14ac:dyDescent="0.25">
      <c r="A1900" s="5" t="s">
        <v>5861</v>
      </c>
      <c r="B1900" s="1" t="s">
        <v>10160</v>
      </c>
      <c r="C1900" s="1">
        <v>1783</v>
      </c>
      <c r="E1900" s="1">
        <v>1879</v>
      </c>
      <c r="J1900" s="3">
        <v>46044.68241898148</v>
      </c>
      <c r="K1900" s="2" t="s">
        <v>10161</v>
      </c>
      <c r="L1900" s="1">
        <v>40</v>
      </c>
      <c r="M1900" s="1">
        <v>41</v>
      </c>
      <c r="N1900" s="1">
        <v>1</v>
      </c>
      <c r="O1900" s="3">
        <v>46233.65914210648</v>
      </c>
    </row>
    <row r="1901" spans="1:15" ht="300" x14ac:dyDescent="0.25">
      <c r="A1901" s="5" t="s">
        <v>5864</v>
      </c>
      <c r="B1901" s="1" t="s">
        <v>10162</v>
      </c>
      <c r="C1901" s="1">
        <v>1869</v>
      </c>
      <c r="J1901" s="3">
        <v>46046.517638888887</v>
      </c>
      <c r="K1901" s="2" t="s">
        <v>10163</v>
      </c>
      <c r="L1901" s="1">
        <v>113</v>
      </c>
      <c r="M1901" s="1">
        <v>144</v>
      </c>
      <c r="N1901" s="1">
        <v>31</v>
      </c>
      <c r="O1901" s="3">
        <v>46233.65914210648</v>
      </c>
    </row>
    <row r="1902" spans="1:15" x14ac:dyDescent="0.25">
      <c r="A1902" s="5" t="s">
        <v>5867</v>
      </c>
      <c r="B1902" s="1" t="s">
        <v>10164</v>
      </c>
      <c r="C1902" s="1" t="s">
        <v>12</v>
      </c>
      <c r="G1902" s="1" t="s">
        <v>11</v>
      </c>
      <c r="J1902" s="3">
        <v>46051.391932870371</v>
      </c>
      <c r="K1902" s="2" t="s">
        <v>140</v>
      </c>
      <c r="L1902" s="1">
        <v>2</v>
      </c>
      <c r="M1902" s="1">
        <v>2</v>
      </c>
      <c r="N1902" s="1">
        <v>0</v>
      </c>
      <c r="O1902" s="3">
        <v>46233.65914210648</v>
      </c>
    </row>
    <row r="1903" spans="1:15" ht="75" x14ac:dyDescent="0.25">
      <c r="A1903" s="5" t="s">
        <v>5870</v>
      </c>
      <c r="B1903" s="1" t="s">
        <v>10165</v>
      </c>
      <c r="C1903" s="1">
        <v>1938</v>
      </c>
      <c r="D1903" s="1" t="s">
        <v>14</v>
      </c>
      <c r="E1903" s="1">
        <v>2021</v>
      </c>
      <c r="F1903" s="1" t="s">
        <v>14</v>
      </c>
      <c r="G1903" s="1" t="s">
        <v>10</v>
      </c>
      <c r="I1903" s="2" t="s">
        <v>140</v>
      </c>
      <c r="J1903" s="3">
        <v>46051.623703703706</v>
      </c>
      <c r="K1903" s="2" t="s">
        <v>10166</v>
      </c>
      <c r="L1903" s="1">
        <v>75</v>
      </c>
      <c r="M1903" s="1">
        <v>141</v>
      </c>
      <c r="N1903" s="1">
        <v>66</v>
      </c>
      <c r="O1903" s="3">
        <v>46233.65914210648</v>
      </c>
    </row>
    <row r="1904" spans="1:15" ht="30" x14ac:dyDescent="0.25">
      <c r="A1904" s="5" t="s">
        <v>5876</v>
      </c>
      <c r="B1904" s="1" t="s">
        <v>10169</v>
      </c>
      <c r="G1904" s="1" t="s">
        <v>11</v>
      </c>
      <c r="J1904" s="3">
        <v>46222.388333333336</v>
      </c>
      <c r="K1904" s="2" t="s">
        <v>10170</v>
      </c>
      <c r="L1904" s="1">
        <v>15</v>
      </c>
      <c r="M1904" s="1">
        <v>16</v>
      </c>
      <c r="N1904" s="1">
        <v>1</v>
      </c>
      <c r="O1904" s="3">
        <v>46233.65914210648</v>
      </c>
    </row>
    <row r="1905" spans="1:15" ht="90" x14ac:dyDescent="0.25">
      <c r="A1905" s="5" t="s">
        <v>5873</v>
      </c>
      <c r="B1905" s="1" t="s">
        <v>10167</v>
      </c>
      <c r="C1905" s="1">
        <v>1948</v>
      </c>
      <c r="G1905" s="1" t="s">
        <v>11</v>
      </c>
      <c r="J1905" s="3">
        <v>46051.64875</v>
      </c>
      <c r="K1905" s="2" t="s">
        <v>10168</v>
      </c>
      <c r="L1905" s="1">
        <v>2</v>
      </c>
      <c r="M1905" s="1">
        <v>5</v>
      </c>
      <c r="N1905" s="1">
        <v>3</v>
      </c>
      <c r="O1905" s="3">
        <v>46233.65914210648</v>
      </c>
    </row>
    <row r="1906" spans="1:15" x14ac:dyDescent="0.25">
      <c r="A1906" s="5" t="s">
        <v>5879</v>
      </c>
      <c r="B1906" s="1" t="s">
        <v>10171</v>
      </c>
      <c r="G1906" s="1" t="s">
        <v>10</v>
      </c>
      <c r="J1906" s="3">
        <v>46222.392604166664</v>
      </c>
      <c r="K1906" s="2" t="s">
        <v>10172</v>
      </c>
      <c r="L1906" s="1">
        <v>1</v>
      </c>
      <c r="M1906" s="1">
        <v>1</v>
      </c>
      <c r="N1906" s="1">
        <v>0</v>
      </c>
      <c r="O1906" s="3">
        <v>46233.65914210648</v>
      </c>
    </row>
    <row r="1907" spans="1:15" ht="60" x14ac:dyDescent="0.25">
      <c r="A1907" s="5" t="s">
        <v>5882</v>
      </c>
      <c r="B1907" s="1" t="s">
        <v>10173</v>
      </c>
      <c r="G1907" s="1" t="s">
        <v>11</v>
      </c>
      <c r="J1907" s="3">
        <v>45471.422835648147</v>
      </c>
      <c r="K1907" s="2" t="s">
        <v>10174</v>
      </c>
      <c r="L1907" s="1">
        <v>5</v>
      </c>
      <c r="M1907" s="1">
        <v>18</v>
      </c>
      <c r="N1907" s="1">
        <v>13</v>
      </c>
      <c r="O1907" s="3">
        <v>46233.65914210648</v>
      </c>
    </row>
    <row r="1908" spans="1:15" x14ac:dyDescent="0.25">
      <c r="A1908" s="5" t="s">
        <v>5885</v>
      </c>
      <c r="B1908" s="1" t="s">
        <v>10175</v>
      </c>
      <c r="G1908" s="1" t="s">
        <v>10</v>
      </c>
      <c r="J1908" s="3">
        <v>45533.273298611108</v>
      </c>
      <c r="K1908" s="2" t="s">
        <v>6417</v>
      </c>
      <c r="L1908" s="1">
        <v>2</v>
      </c>
      <c r="M1908" s="1">
        <v>2</v>
      </c>
      <c r="N1908" s="1">
        <v>0</v>
      </c>
      <c r="O1908" s="3">
        <v>46233.65914210648</v>
      </c>
    </row>
    <row r="1909" spans="1:15" ht="195" x14ac:dyDescent="0.25">
      <c r="A1909" s="5" t="s">
        <v>5888</v>
      </c>
      <c r="B1909" s="1" t="s">
        <v>10176</v>
      </c>
      <c r="G1909" s="1" t="s">
        <v>10</v>
      </c>
      <c r="J1909" s="3">
        <v>45547.847025462965</v>
      </c>
      <c r="K1909" s="2" t="s">
        <v>10177</v>
      </c>
      <c r="L1909" s="1">
        <v>9</v>
      </c>
      <c r="M1909" s="1">
        <v>58</v>
      </c>
      <c r="N1909" s="1">
        <v>49</v>
      </c>
      <c r="O1909" s="3">
        <v>46233.65914210648</v>
      </c>
    </row>
    <row r="1910" spans="1:15" ht="60" x14ac:dyDescent="0.25">
      <c r="A1910" s="5" t="s">
        <v>5891</v>
      </c>
      <c r="B1910" s="1" t="s">
        <v>10178</v>
      </c>
      <c r="J1910" s="3">
        <v>45624.585462962961</v>
      </c>
      <c r="K1910" s="2" t="s">
        <v>10179</v>
      </c>
      <c r="L1910" s="1">
        <v>1</v>
      </c>
      <c r="M1910" s="1">
        <v>1</v>
      </c>
      <c r="N1910" s="1">
        <v>0</v>
      </c>
      <c r="O1910" s="3">
        <v>46233.65914210648</v>
      </c>
    </row>
    <row r="1911" spans="1:15" ht="60" x14ac:dyDescent="0.25">
      <c r="A1911" s="5" t="s">
        <v>5894</v>
      </c>
      <c r="B1911" s="1" t="s">
        <v>10180</v>
      </c>
      <c r="D1911" s="1" t="s">
        <v>14</v>
      </c>
      <c r="G1911" s="1" t="s">
        <v>10</v>
      </c>
      <c r="H1911" s="2" t="s">
        <v>10181</v>
      </c>
      <c r="I1911" s="2" t="s">
        <v>140</v>
      </c>
      <c r="J1911" s="3">
        <v>45768.450729166667</v>
      </c>
      <c r="K1911" s="2" t="s">
        <v>10182</v>
      </c>
      <c r="L1911" s="1">
        <v>15</v>
      </c>
      <c r="M1911" s="1">
        <v>216</v>
      </c>
      <c r="N1911" s="1">
        <v>201</v>
      </c>
      <c r="O1911" s="3">
        <v>46233.65914210648</v>
      </c>
    </row>
    <row r="1912" spans="1:15" ht="90" x14ac:dyDescent="0.25">
      <c r="A1912" s="5" t="s">
        <v>5897</v>
      </c>
      <c r="B1912" s="1" t="s">
        <v>10183</v>
      </c>
      <c r="J1912" s="3">
        <v>45853.40152777778</v>
      </c>
      <c r="K1912" s="2" t="s">
        <v>10184</v>
      </c>
      <c r="L1912" s="1">
        <v>22</v>
      </c>
      <c r="M1912" s="1">
        <v>162</v>
      </c>
      <c r="N1912" s="1">
        <v>140</v>
      </c>
      <c r="O1912" s="3">
        <v>46233.65914210648</v>
      </c>
    </row>
    <row r="1913" spans="1:15" ht="30" x14ac:dyDescent="0.25">
      <c r="A1913" s="5" t="s">
        <v>5900</v>
      </c>
      <c r="B1913" s="1" t="s">
        <v>10185</v>
      </c>
      <c r="G1913" s="1" t="s">
        <v>11</v>
      </c>
      <c r="J1913" s="3">
        <v>45853.652141203704</v>
      </c>
      <c r="K1913" s="2" t="s">
        <v>10186</v>
      </c>
      <c r="L1913" s="1">
        <v>7</v>
      </c>
      <c r="M1913" s="1">
        <v>11</v>
      </c>
      <c r="N1913" s="1">
        <v>4</v>
      </c>
      <c r="O1913" s="3">
        <v>46233.65914210648</v>
      </c>
    </row>
    <row r="1914" spans="1:15" ht="409.5" x14ac:dyDescent="0.25">
      <c r="A1914" s="5" t="s">
        <v>5903</v>
      </c>
      <c r="B1914" s="1" t="s">
        <v>10187</v>
      </c>
      <c r="G1914" s="1" t="s">
        <v>11</v>
      </c>
      <c r="J1914" s="3">
        <v>45904.544398148151</v>
      </c>
      <c r="K1914" s="2" t="s">
        <v>10188</v>
      </c>
      <c r="L1914" s="1">
        <v>2</v>
      </c>
      <c r="M1914" s="1">
        <v>2</v>
      </c>
      <c r="N1914" s="1">
        <v>0</v>
      </c>
      <c r="O1914" s="3">
        <v>46233.65914210648</v>
      </c>
    </row>
    <row r="1915" spans="1:15" x14ac:dyDescent="0.25">
      <c r="A1915" s="5" t="s">
        <v>5906</v>
      </c>
      <c r="B1915" s="1" t="s">
        <v>10189</v>
      </c>
      <c r="J1915" s="3">
        <v>45967.513182870367</v>
      </c>
      <c r="L1915" s="1">
        <v>3</v>
      </c>
      <c r="M1915" s="1">
        <v>3</v>
      </c>
      <c r="N1915" s="1">
        <v>0</v>
      </c>
      <c r="O1915" s="3">
        <v>46233.65914210648</v>
      </c>
    </row>
    <row r="1916" spans="1:15" x14ac:dyDescent="0.25">
      <c r="A1916" s="5" t="s">
        <v>5909</v>
      </c>
      <c r="B1916" s="1" t="s">
        <v>10190</v>
      </c>
      <c r="J1916" s="3">
        <v>45967.635092592594</v>
      </c>
      <c r="L1916" s="1">
        <v>11</v>
      </c>
      <c r="M1916" s="1">
        <v>12</v>
      </c>
      <c r="N1916" s="1">
        <v>1</v>
      </c>
      <c r="O1916" s="3">
        <v>46233.65914210648</v>
      </c>
    </row>
    <row r="1917" spans="1:15" ht="60" x14ac:dyDescent="0.25">
      <c r="A1917" s="5" t="s">
        <v>5912</v>
      </c>
      <c r="B1917" s="1" t="s">
        <v>10191</v>
      </c>
      <c r="G1917" s="1" t="s">
        <v>11</v>
      </c>
      <c r="J1917" s="3">
        <v>45993.603171296294</v>
      </c>
      <c r="K1917" s="2" t="s">
        <v>10192</v>
      </c>
      <c r="L1917" s="1">
        <v>2</v>
      </c>
      <c r="M1917" s="1">
        <v>2</v>
      </c>
      <c r="N1917" s="1">
        <v>0</v>
      </c>
      <c r="O1917" s="3">
        <v>46233.65914210648</v>
      </c>
    </row>
    <row r="1918" spans="1:15" x14ac:dyDescent="0.25">
      <c r="A1918" s="5" t="s">
        <v>5915</v>
      </c>
      <c r="B1918" s="1" t="s">
        <v>10193</v>
      </c>
      <c r="J1918" s="3">
        <v>46038.646145833336</v>
      </c>
      <c r="L1918" s="1">
        <v>138</v>
      </c>
      <c r="M1918" s="1">
        <v>170</v>
      </c>
      <c r="N1918" s="1">
        <v>32</v>
      </c>
      <c r="O1918" s="3">
        <v>46233.65914210648</v>
      </c>
    </row>
    <row r="1919" spans="1:15" ht="105" x14ac:dyDescent="0.25">
      <c r="A1919" s="5" t="s">
        <v>5918</v>
      </c>
      <c r="B1919" s="1" t="s">
        <v>10194</v>
      </c>
      <c r="J1919" s="3">
        <v>46041.609988425924</v>
      </c>
      <c r="K1919" s="2" t="s">
        <v>10195</v>
      </c>
      <c r="L1919" s="1">
        <v>78</v>
      </c>
      <c r="M1919" s="1">
        <v>84</v>
      </c>
      <c r="N1919" s="1">
        <v>6</v>
      </c>
      <c r="O1919" s="3">
        <v>46233.65914210648</v>
      </c>
    </row>
    <row r="1920" spans="1:15" x14ac:dyDescent="0.25">
      <c r="A1920" s="5" t="s">
        <v>5921</v>
      </c>
      <c r="B1920" s="1" t="s">
        <v>10196</v>
      </c>
      <c r="J1920" s="3">
        <v>46041.624837962961</v>
      </c>
      <c r="L1920" s="1">
        <v>58</v>
      </c>
      <c r="M1920" s="1">
        <v>61</v>
      </c>
      <c r="N1920" s="1">
        <v>3</v>
      </c>
      <c r="O1920" s="3">
        <v>46233.65914210648</v>
      </c>
    </row>
    <row r="1921" spans="1:15" x14ac:dyDescent="0.25">
      <c r="A1921" s="5" t="s">
        <v>5924</v>
      </c>
      <c r="B1921" s="1" t="s">
        <v>10197</v>
      </c>
      <c r="J1921" s="3">
        <v>46042.742905092593</v>
      </c>
      <c r="L1921" s="1">
        <v>43</v>
      </c>
      <c r="M1921" s="1">
        <v>43</v>
      </c>
      <c r="N1921" s="1">
        <v>0</v>
      </c>
      <c r="O1921" s="3">
        <v>46233.65914210648</v>
      </c>
    </row>
    <row r="1922" spans="1:15" x14ac:dyDescent="0.25">
      <c r="A1922" s="5" t="s">
        <v>5927</v>
      </c>
      <c r="B1922" s="1" t="s">
        <v>10198</v>
      </c>
      <c r="C1922" s="1">
        <v>2011</v>
      </c>
      <c r="E1922" s="1">
        <v>2017</v>
      </c>
      <c r="J1922" s="3">
        <v>46051.667604166665</v>
      </c>
      <c r="K1922" s="2" t="s">
        <v>10199</v>
      </c>
      <c r="L1922" s="1">
        <v>40</v>
      </c>
      <c r="M1922" s="1">
        <v>40</v>
      </c>
      <c r="N1922" s="1">
        <v>0</v>
      </c>
      <c r="O1922" s="3">
        <v>46233.65914210648</v>
      </c>
    </row>
    <row r="1923" spans="1:15" ht="135" x14ac:dyDescent="0.25">
      <c r="A1923" s="5" t="s">
        <v>5930</v>
      </c>
      <c r="B1923" s="1" t="s">
        <v>10200</v>
      </c>
      <c r="C1923" s="1">
        <v>1978</v>
      </c>
      <c r="E1923" s="1">
        <v>2009</v>
      </c>
      <c r="J1923" s="3">
        <v>46051.6794212963</v>
      </c>
      <c r="K1923" s="2" t="s">
        <v>10201</v>
      </c>
      <c r="L1923" s="1">
        <v>59</v>
      </c>
      <c r="M1923" s="1">
        <v>83</v>
      </c>
      <c r="N1923" s="1">
        <v>24</v>
      </c>
      <c r="O1923" s="3">
        <v>46233.65914210648</v>
      </c>
    </row>
    <row r="1924" spans="1:15" ht="75" x14ac:dyDescent="0.25">
      <c r="A1924" s="5" t="s">
        <v>5933</v>
      </c>
      <c r="B1924" s="1" t="s">
        <v>10202</v>
      </c>
      <c r="C1924" s="1">
        <v>1995</v>
      </c>
      <c r="E1924" s="1">
        <v>2013</v>
      </c>
      <c r="J1924" s="3">
        <v>46055.523159722223</v>
      </c>
      <c r="K1924" s="2" t="s">
        <v>10203</v>
      </c>
      <c r="L1924" s="1">
        <v>35</v>
      </c>
      <c r="M1924" s="1">
        <v>37</v>
      </c>
      <c r="N1924" s="1">
        <v>2</v>
      </c>
      <c r="O1924" s="3">
        <v>46233.65914210648</v>
      </c>
    </row>
    <row r="1925" spans="1:15" ht="30" x14ac:dyDescent="0.25">
      <c r="A1925" s="5" t="s">
        <v>5936</v>
      </c>
      <c r="B1925" s="1" t="s">
        <v>10204</v>
      </c>
      <c r="C1925" s="1" t="s">
        <v>12</v>
      </c>
      <c r="G1925" s="1" t="s">
        <v>10</v>
      </c>
      <c r="J1925" s="3">
        <v>46055.725671296299</v>
      </c>
      <c r="K1925" s="2" t="s">
        <v>10205</v>
      </c>
      <c r="L1925" s="1">
        <v>0</v>
      </c>
      <c r="M1925" s="1">
        <v>0</v>
      </c>
      <c r="N1925" s="1">
        <v>0</v>
      </c>
      <c r="O1925" s="3">
        <v>46233.65914210648</v>
      </c>
    </row>
    <row r="1926" spans="1:15" ht="45" x14ac:dyDescent="0.25">
      <c r="A1926" s="5" t="s">
        <v>5939</v>
      </c>
      <c r="B1926" s="1" t="s">
        <v>10206</v>
      </c>
      <c r="C1926" s="1" t="s">
        <v>12</v>
      </c>
      <c r="G1926" s="1" t="s">
        <v>10</v>
      </c>
      <c r="J1926" s="3">
        <v>46056.457280092596</v>
      </c>
      <c r="K1926" s="2" t="s">
        <v>10207</v>
      </c>
      <c r="L1926" s="1">
        <v>32</v>
      </c>
      <c r="M1926" s="1">
        <v>32</v>
      </c>
      <c r="N1926" s="1">
        <v>0</v>
      </c>
      <c r="O1926" s="3">
        <v>46233.65914210648</v>
      </c>
    </row>
    <row r="1927" spans="1:15" x14ac:dyDescent="0.25">
      <c r="A1927" s="5" t="s">
        <v>5942</v>
      </c>
      <c r="B1927" s="1" t="s">
        <v>10208</v>
      </c>
      <c r="J1927" s="3">
        <v>46056.484861111108</v>
      </c>
      <c r="L1927" s="1">
        <v>36</v>
      </c>
      <c r="M1927" s="1">
        <v>36</v>
      </c>
      <c r="N1927" s="1">
        <v>0</v>
      </c>
      <c r="O1927" s="3">
        <v>46233.65914210648</v>
      </c>
    </row>
    <row r="1928" spans="1:15" ht="195" x14ac:dyDescent="0.25">
      <c r="A1928" s="5" t="s">
        <v>5945</v>
      </c>
      <c r="B1928" s="1" t="s">
        <v>10209</v>
      </c>
      <c r="C1928" s="1" t="s">
        <v>10210</v>
      </c>
      <c r="J1928" s="3">
        <v>46056.621400462966</v>
      </c>
      <c r="K1928" s="2" t="s">
        <v>10211</v>
      </c>
      <c r="L1928" s="1">
        <v>44</v>
      </c>
      <c r="M1928" s="1">
        <v>50</v>
      </c>
      <c r="N1928" s="1">
        <v>6</v>
      </c>
      <c r="O1928" s="3">
        <v>46233.65914210648</v>
      </c>
    </row>
    <row r="1929" spans="1:15" ht="30" x14ac:dyDescent="0.25">
      <c r="A1929" s="5" t="s">
        <v>5948</v>
      </c>
      <c r="B1929" s="1" t="s">
        <v>10212</v>
      </c>
      <c r="C1929" s="1">
        <v>1885</v>
      </c>
      <c r="D1929" s="1" t="s">
        <v>14</v>
      </c>
      <c r="E1929" s="1">
        <v>1967</v>
      </c>
      <c r="F1929" s="1" t="s">
        <v>14</v>
      </c>
      <c r="J1929" s="3">
        <v>46057.488229166665</v>
      </c>
      <c r="K1929" s="2" t="s">
        <v>10213</v>
      </c>
      <c r="L1929" s="1">
        <v>236</v>
      </c>
      <c r="M1929" s="1">
        <v>274</v>
      </c>
      <c r="N1929" s="1">
        <v>38</v>
      </c>
      <c r="O1929" s="3">
        <v>46233.65914210648</v>
      </c>
    </row>
    <row r="1930" spans="1:15" ht="135" x14ac:dyDescent="0.25">
      <c r="A1930" s="5" t="s">
        <v>5951</v>
      </c>
      <c r="B1930" s="1" t="s">
        <v>10214</v>
      </c>
      <c r="C1930" s="1">
        <v>1987</v>
      </c>
      <c r="J1930" s="3">
        <v>46058.603715277779</v>
      </c>
      <c r="K1930" s="2" t="s">
        <v>10215</v>
      </c>
      <c r="L1930" s="1">
        <v>38</v>
      </c>
      <c r="M1930" s="1">
        <v>42</v>
      </c>
      <c r="N1930" s="1">
        <v>4</v>
      </c>
      <c r="O1930" s="3">
        <v>46233.65914210648</v>
      </c>
    </row>
    <row r="1931" spans="1:15" x14ac:dyDescent="0.25">
      <c r="A1931" s="5" t="s">
        <v>5954</v>
      </c>
      <c r="B1931" s="1" t="s">
        <v>10216</v>
      </c>
      <c r="J1931" s="3">
        <v>46058.632048611114</v>
      </c>
      <c r="L1931" s="1">
        <v>37</v>
      </c>
      <c r="M1931" s="1">
        <v>38</v>
      </c>
      <c r="N1931" s="1">
        <v>1</v>
      </c>
      <c r="O1931" s="3">
        <v>46233.65914210648</v>
      </c>
    </row>
    <row r="1932" spans="1:15" x14ac:dyDescent="0.25">
      <c r="A1932" s="5" t="s">
        <v>5957</v>
      </c>
      <c r="B1932" s="1" t="s">
        <v>10217</v>
      </c>
      <c r="C1932" s="1">
        <v>1785</v>
      </c>
      <c r="D1932" s="1" t="s">
        <v>14</v>
      </c>
      <c r="E1932" s="1">
        <v>1851</v>
      </c>
      <c r="F1932" s="1" t="s">
        <v>14</v>
      </c>
      <c r="G1932" s="1" t="s">
        <v>10</v>
      </c>
      <c r="J1932" s="3">
        <v>46059.65042824074</v>
      </c>
      <c r="L1932" s="1">
        <v>21</v>
      </c>
      <c r="M1932" s="1">
        <v>23</v>
      </c>
      <c r="N1932" s="1">
        <v>2</v>
      </c>
      <c r="O1932" s="3">
        <v>46233.65914210648</v>
      </c>
    </row>
    <row r="1933" spans="1:15" ht="120" x14ac:dyDescent="0.25">
      <c r="A1933" s="5" t="s">
        <v>5960</v>
      </c>
      <c r="B1933" s="1" t="s">
        <v>10218</v>
      </c>
      <c r="C1933" s="1">
        <v>1849</v>
      </c>
      <c r="D1933" s="1" t="s">
        <v>8736</v>
      </c>
      <c r="E1933" s="1">
        <v>1917</v>
      </c>
      <c r="F1933" s="1" t="s">
        <v>14</v>
      </c>
      <c r="G1933" s="1" t="s">
        <v>10</v>
      </c>
      <c r="H1933" s="2" t="s">
        <v>8969</v>
      </c>
      <c r="J1933" s="3">
        <v>46059.654872685183</v>
      </c>
      <c r="K1933" s="2" t="s">
        <v>10219</v>
      </c>
      <c r="L1933" s="1">
        <v>14</v>
      </c>
      <c r="M1933" s="1">
        <v>14</v>
      </c>
      <c r="N1933" s="1">
        <v>0</v>
      </c>
      <c r="O1933" s="3">
        <v>46233.65914210648</v>
      </c>
    </row>
    <row r="1934" spans="1:15" ht="135" x14ac:dyDescent="0.25">
      <c r="A1934" s="5" t="s">
        <v>5963</v>
      </c>
      <c r="B1934" s="1" t="s">
        <v>10220</v>
      </c>
      <c r="C1934" s="1">
        <v>1821</v>
      </c>
      <c r="J1934" s="3">
        <v>46062.630381944444</v>
      </c>
      <c r="K1934" s="2" t="s">
        <v>10221</v>
      </c>
      <c r="L1934" s="1">
        <v>34</v>
      </c>
      <c r="M1934" s="1">
        <v>39</v>
      </c>
      <c r="N1934" s="1">
        <v>5</v>
      </c>
      <c r="O1934" s="3">
        <v>46233.65914210648</v>
      </c>
    </row>
    <row r="1935" spans="1:15" ht="120" x14ac:dyDescent="0.25">
      <c r="A1935" s="5" t="s">
        <v>5966</v>
      </c>
      <c r="B1935" s="1" t="s">
        <v>10222</v>
      </c>
      <c r="C1935" s="1">
        <v>1872</v>
      </c>
      <c r="D1935" s="1" t="s">
        <v>14</v>
      </c>
      <c r="E1935" s="1">
        <v>1942</v>
      </c>
      <c r="F1935" s="1" t="s">
        <v>14</v>
      </c>
      <c r="G1935" s="1" t="s">
        <v>10</v>
      </c>
      <c r="J1935" s="3">
        <v>46065.482581018521</v>
      </c>
      <c r="K1935" s="2" t="s">
        <v>10223</v>
      </c>
      <c r="L1935" s="1">
        <v>10</v>
      </c>
      <c r="M1935" s="1">
        <v>11</v>
      </c>
      <c r="N1935" s="1">
        <v>1</v>
      </c>
      <c r="O1935" s="3">
        <v>46233.65914210648</v>
      </c>
    </row>
    <row r="1936" spans="1:15" ht="90" x14ac:dyDescent="0.25">
      <c r="A1936" s="5" t="s">
        <v>5969</v>
      </c>
      <c r="B1936" s="1" t="s">
        <v>10224</v>
      </c>
      <c r="C1936" s="1">
        <v>1806</v>
      </c>
      <c r="D1936" s="1" t="s">
        <v>14</v>
      </c>
      <c r="E1936" s="1">
        <v>1869</v>
      </c>
      <c r="F1936" s="1" t="s">
        <v>14</v>
      </c>
      <c r="G1936" s="1" t="s">
        <v>10</v>
      </c>
      <c r="H1936" s="2" t="s">
        <v>10225</v>
      </c>
      <c r="J1936" s="3">
        <v>46065.601701388892</v>
      </c>
      <c r="K1936" s="2" t="s">
        <v>10226</v>
      </c>
      <c r="L1936" s="1">
        <v>9</v>
      </c>
      <c r="M1936" s="1">
        <v>10</v>
      </c>
      <c r="N1936" s="1">
        <v>1</v>
      </c>
      <c r="O1936" s="3">
        <v>46233.65914210648</v>
      </c>
    </row>
    <row r="1937" spans="1:15" ht="409.5" x14ac:dyDescent="0.25">
      <c r="A1937" s="5" t="s">
        <v>5972</v>
      </c>
      <c r="B1937" s="1" t="s">
        <v>10227</v>
      </c>
      <c r="C1937" s="1">
        <v>1962</v>
      </c>
      <c r="D1937" s="1" t="s">
        <v>14</v>
      </c>
      <c r="G1937" s="1" t="s">
        <v>10</v>
      </c>
      <c r="J1937" s="3">
        <v>46073.454513888886</v>
      </c>
      <c r="K1937" s="2" t="s">
        <v>10228</v>
      </c>
      <c r="L1937" s="1">
        <v>35</v>
      </c>
      <c r="M1937" s="1">
        <v>47</v>
      </c>
      <c r="N1937" s="1">
        <v>12</v>
      </c>
      <c r="O1937" s="3">
        <v>46233.65914210648</v>
      </c>
    </row>
    <row r="1938" spans="1:15" ht="105" x14ac:dyDescent="0.25">
      <c r="A1938" s="5" t="s">
        <v>5975</v>
      </c>
      <c r="B1938" s="1" t="s">
        <v>10229</v>
      </c>
      <c r="C1938" s="1">
        <v>1519</v>
      </c>
      <c r="D1938" s="1" t="s">
        <v>10231</v>
      </c>
      <c r="E1938" s="1">
        <v>1618</v>
      </c>
      <c r="F1938" s="1" t="s">
        <v>14</v>
      </c>
      <c r="G1938" s="1" t="s">
        <v>11</v>
      </c>
      <c r="J1938" s="3">
        <v>46076.353449074071</v>
      </c>
      <c r="K1938" s="2" t="s">
        <v>10233</v>
      </c>
      <c r="L1938" s="1">
        <v>16</v>
      </c>
      <c r="M1938" s="1">
        <v>18</v>
      </c>
      <c r="N1938" s="1">
        <v>2</v>
      </c>
      <c r="O1938" s="3">
        <v>46233.65914210648</v>
      </c>
    </row>
    <row r="1939" spans="1:15" ht="210" x14ac:dyDescent="0.25">
      <c r="A1939" s="5" t="s">
        <v>5978</v>
      </c>
      <c r="B1939" s="1" t="s">
        <v>10234</v>
      </c>
      <c r="C1939" s="1">
        <v>1865</v>
      </c>
      <c r="J1939" s="3">
        <v>46076.570902777778</v>
      </c>
      <c r="K1939" s="2" t="s">
        <v>10235</v>
      </c>
      <c r="L1939" s="1">
        <v>101</v>
      </c>
      <c r="M1939" s="1">
        <v>114</v>
      </c>
      <c r="N1939" s="1">
        <v>13</v>
      </c>
      <c r="O1939" s="3">
        <v>46233.65914210648</v>
      </c>
    </row>
    <row r="1940" spans="1:15" ht="60" x14ac:dyDescent="0.25">
      <c r="A1940" s="5" t="s">
        <v>5981</v>
      </c>
      <c r="B1940" s="1" t="s">
        <v>10236</v>
      </c>
      <c r="C1940" s="1" t="s">
        <v>12</v>
      </c>
      <c r="G1940" s="1" t="s">
        <v>11</v>
      </c>
      <c r="J1940" s="3">
        <v>46076.592407407406</v>
      </c>
      <c r="K1940" s="2" t="s">
        <v>10237</v>
      </c>
      <c r="L1940" s="1">
        <v>28</v>
      </c>
      <c r="M1940" s="1">
        <v>29</v>
      </c>
      <c r="N1940" s="1">
        <v>1</v>
      </c>
      <c r="O1940" s="3">
        <v>46233.65914210648</v>
      </c>
    </row>
    <row r="1941" spans="1:15" ht="105" x14ac:dyDescent="0.25">
      <c r="A1941" s="5" t="s">
        <v>5984</v>
      </c>
      <c r="B1941" s="1" t="s">
        <v>10238</v>
      </c>
      <c r="J1941" s="3">
        <v>46076.617951388886</v>
      </c>
      <c r="K1941" s="2" t="s">
        <v>10239</v>
      </c>
      <c r="L1941" s="1">
        <v>32</v>
      </c>
      <c r="M1941" s="1">
        <v>38</v>
      </c>
      <c r="N1941" s="1">
        <v>6</v>
      </c>
      <c r="O1941" s="3">
        <v>46233.65914210648</v>
      </c>
    </row>
    <row r="1942" spans="1:15" ht="150" x14ac:dyDescent="0.25">
      <c r="A1942" s="5" t="s">
        <v>5987</v>
      </c>
      <c r="B1942" s="1" t="s">
        <v>10240</v>
      </c>
      <c r="C1942" s="1">
        <v>1778</v>
      </c>
      <c r="D1942" s="1" t="s">
        <v>14</v>
      </c>
      <c r="E1942" s="1">
        <v>1856</v>
      </c>
      <c r="F1942" s="1" t="s">
        <v>14</v>
      </c>
      <c r="G1942" s="1" t="s">
        <v>10</v>
      </c>
      <c r="J1942" s="3">
        <v>46080.60324074074</v>
      </c>
      <c r="K1942" s="2" t="s">
        <v>10241</v>
      </c>
      <c r="L1942" s="1">
        <v>82</v>
      </c>
      <c r="M1942" s="1">
        <v>83</v>
      </c>
      <c r="N1942" s="1">
        <v>1</v>
      </c>
      <c r="O1942" s="3">
        <v>46233.65914210648</v>
      </c>
    </row>
    <row r="1943" spans="1:15" ht="45" x14ac:dyDescent="0.25">
      <c r="A1943" s="5" t="s">
        <v>5990</v>
      </c>
      <c r="B1943" s="1" t="s">
        <v>10242</v>
      </c>
      <c r="C1943" s="1">
        <v>1775</v>
      </c>
      <c r="D1943" s="1" t="s">
        <v>14</v>
      </c>
      <c r="E1943" s="1">
        <v>1840</v>
      </c>
      <c r="F1943" s="1" t="s">
        <v>14</v>
      </c>
      <c r="G1943" s="1" t="s">
        <v>10</v>
      </c>
      <c r="H1943" s="2" t="s">
        <v>8402</v>
      </c>
      <c r="J1943" s="3">
        <v>46080.680868055555</v>
      </c>
      <c r="K1943" s="2" t="s">
        <v>7461</v>
      </c>
      <c r="L1943" s="1">
        <v>7</v>
      </c>
      <c r="M1943" s="1">
        <v>8</v>
      </c>
      <c r="N1943" s="1">
        <v>1</v>
      </c>
      <c r="O1943" s="3">
        <v>46233.65914210648</v>
      </c>
    </row>
    <row r="1944" spans="1:15" ht="45" x14ac:dyDescent="0.25">
      <c r="A1944" s="5" t="s">
        <v>5993</v>
      </c>
      <c r="B1944" s="1" t="s">
        <v>10244</v>
      </c>
      <c r="C1944" s="1" t="s">
        <v>12</v>
      </c>
      <c r="G1944" s="1" t="s">
        <v>10</v>
      </c>
      <c r="J1944" s="3">
        <v>46086.578379629631</v>
      </c>
      <c r="K1944" s="2" t="s">
        <v>10245</v>
      </c>
      <c r="L1944" s="1">
        <v>22</v>
      </c>
      <c r="M1944" s="1">
        <v>44</v>
      </c>
      <c r="N1944" s="1">
        <v>22</v>
      </c>
      <c r="O1944" s="3">
        <v>46233.65914210648</v>
      </c>
    </row>
    <row r="1945" spans="1:15" x14ac:dyDescent="0.25">
      <c r="A1945" s="5" t="s">
        <v>5996</v>
      </c>
      <c r="B1945" s="1" t="s">
        <v>10246</v>
      </c>
      <c r="J1945" s="3">
        <v>46086.66201388889</v>
      </c>
      <c r="L1945" s="1">
        <v>2</v>
      </c>
      <c r="M1945" s="1">
        <v>4</v>
      </c>
      <c r="N1945" s="1">
        <v>2</v>
      </c>
      <c r="O1945" s="3">
        <v>46233.65914210648</v>
      </c>
    </row>
    <row r="1946" spans="1:15" ht="75" x14ac:dyDescent="0.25">
      <c r="A1946" s="5" t="s">
        <v>5999</v>
      </c>
      <c r="B1946" s="1" t="s">
        <v>10247</v>
      </c>
      <c r="C1946" s="1" t="s">
        <v>12</v>
      </c>
      <c r="G1946" s="1" t="s">
        <v>11</v>
      </c>
      <c r="J1946" s="3">
        <v>46091.701296296298</v>
      </c>
      <c r="K1946" s="2" t="s">
        <v>10248</v>
      </c>
      <c r="L1946" s="1">
        <v>21</v>
      </c>
      <c r="M1946" s="1">
        <v>26</v>
      </c>
      <c r="N1946" s="1">
        <v>5</v>
      </c>
      <c r="O1946" s="3">
        <v>46233.65914210648</v>
      </c>
    </row>
    <row r="1947" spans="1:15" x14ac:dyDescent="0.25">
      <c r="A1947" s="5" t="s">
        <v>6002</v>
      </c>
      <c r="B1947" s="1" t="s">
        <v>10249</v>
      </c>
      <c r="C1947" s="1">
        <v>1823</v>
      </c>
      <c r="J1947" s="3">
        <v>46097.539652777778</v>
      </c>
      <c r="L1947" s="1">
        <v>4</v>
      </c>
      <c r="M1947" s="1">
        <v>4</v>
      </c>
      <c r="N1947" s="1">
        <v>0</v>
      </c>
      <c r="O1947" s="3">
        <v>46233.65914210648</v>
      </c>
    </row>
    <row r="1948" spans="1:15" ht="409.5" x14ac:dyDescent="0.25">
      <c r="A1948" s="5" t="s">
        <v>6005</v>
      </c>
      <c r="B1948" s="1" t="s">
        <v>10251</v>
      </c>
      <c r="C1948" s="1">
        <v>1754</v>
      </c>
      <c r="D1948" s="1" t="s">
        <v>8318</v>
      </c>
      <c r="E1948" s="1">
        <v>1794</v>
      </c>
      <c r="F1948" s="1" t="s">
        <v>14</v>
      </c>
      <c r="G1948" s="1" t="s">
        <v>10</v>
      </c>
      <c r="J1948" s="3">
        <v>46098.605115740742</v>
      </c>
      <c r="K1948" s="2" t="s">
        <v>10253</v>
      </c>
      <c r="L1948" s="1">
        <v>17</v>
      </c>
      <c r="M1948" s="1">
        <v>17</v>
      </c>
      <c r="N1948" s="1">
        <v>0</v>
      </c>
      <c r="O1948" s="3">
        <v>46233.65914210648</v>
      </c>
    </row>
    <row r="1949" spans="1:15" ht="105" x14ac:dyDescent="0.25">
      <c r="A1949" s="5" t="s">
        <v>6008</v>
      </c>
      <c r="B1949" s="1" t="s">
        <v>10254</v>
      </c>
      <c r="C1949" s="1">
        <v>1846</v>
      </c>
      <c r="D1949" s="1" t="s">
        <v>14</v>
      </c>
      <c r="E1949" s="1">
        <v>1929</v>
      </c>
      <c r="F1949" s="1" t="s">
        <v>133</v>
      </c>
      <c r="H1949" s="2" t="s">
        <v>140</v>
      </c>
      <c r="I1949" s="2" t="s">
        <v>10484</v>
      </c>
      <c r="J1949" s="3">
        <v>46098.748402777775</v>
      </c>
      <c r="K1949" s="2" t="s">
        <v>10255</v>
      </c>
      <c r="L1949" s="1">
        <v>8</v>
      </c>
      <c r="M1949" s="1">
        <v>9</v>
      </c>
      <c r="N1949" s="1">
        <v>1</v>
      </c>
      <c r="O1949" s="3">
        <v>46233.65914210648</v>
      </c>
    </row>
    <row r="1950" spans="1:15" ht="135" x14ac:dyDescent="0.25">
      <c r="A1950" s="5" t="s">
        <v>6011</v>
      </c>
      <c r="B1950" s="1" t="s">
        <v>10256</v>
      </c>
      <c r="C1950" s="1">
        <v>1963</v>
      </c>
      <c r="J1950" s="3">
        <v>46098.763807870368</v>
      </c>
      <c r="K1950" s="2" t="s">
        <v>10257</v>
      </c>
      <c r="L1950" s="1">
        <v>3</v>
      </c>
      <c r="M1950" s="1">
        <v>5</v>
      </c>
      <c r="N1950" s="1">
        <v>2</v>
      </c>
      <c r="O1950" s="3">
        <v>46233.65914210648</v>
      </c>
    </row>
    <row r="1951" spans="1:15" ht="30" x14ac:dyDescent="0.25">
      <c r="A1951" s="5" t="s">
        <v>6014</v>
      </c>
      <c r="B1951" s="1" t="s">
        <v>10258</v>
      </c>
      <c r="C1951" s="1">
        <v>1671</v>
      </c>
      <c r="E1951" s="1">
        <v>1748</v>
      </c>
      <c r="G1951" s="1" t="s">
        <v>10</v>
      </c>
      <c r="J1951" s="3">
        <v>46098.768009259256</v>
      </c>
      <c r="K1951" s="2" t="s">
        <v>10260</v>
      </c>
      <c r="L1951" s="1">
        <v>1</v>
      </c>
      <c r="M1951" s="1">
        <v>1</v>
      </c>
      <c r="N1951" s="1">
        <v>0</v>
      </c>
      <c r="O1951" s="3">
        <v>46233.65914210648</v>
      </c>
    </row>
    <row r="1952" spans="1:15" ht="45" x14ac:dyDescent="0.25">
      <c r="A1952" s="5" t="s">
        <v>6017</v>
      </c>
      <c r="B1952" s="1" t="s">
        <v>10261</v>
      </c>
      <c r="C1952" s="1">
        <v>1960</v>
      </c>
      <c r="G1952" s="1" t="s">
        <v>10</v>
      </c>
      <c r="I1952" s="2" t="s">
        <v>14</v>
      </c>
      <c r="J1952" s="3">
        <v>46105.495868055557</v>
      </c>
      <c r="K1952" s="2" t="s">
        <v>10262</v>
      </c>
      <c r="L1952" s="1">
        <v>110</v>
      </c>
      <c r="M1952" s="1">
        <v>112</v>
      </c>
      <c r="N1952" s="1">
        <v>2</v>
      </c>
      <c r="O1952" s="3">
        <v>46233.65914210648</v>
      </c>
    </row>
    <row r="1953" spans="1:15" x14ac:dyDescent="0.25">
      <c r="A1953" s="5" t="s">
        <v>6020</v>
      </c>
      <c r="B1953" s="1" t="s">
        <v>10263</v>
      </c>
      <c r="J1953" s="3">
        <v>46105.731238425928</v>
      </c>
      <c r="L1953" s="1">
        <v>22</v>
      </c>
      <c r="M1953" s="1">
        <v>29</v>
      </c>
      <c r="N1953" s="1">
        <v>7</v>
      </c>
      <c r="O1953" s="3">
        <v>46233.65914210648</v>
      </c>
    </row>
    <row r="1954" spans="1:15" x14ac:dyDescent="0.25">
      <c r="A1954" s="5" t="s">
        <v>6023</v>
      </c>
      <c r="B1954" s="1" t="s">
        <v>10264</v>
      </c>
      <c r="J1954" s="3">
        <v>46105.736956018518</v>
      </c>
      <c r="L1954" s="1">
        <v>34</v>
      </c>
      <c r="M1954" s="1">
        <v>45</v>
      </c>
      <c r="N1954" s="1">
        <v>11</v>
      </c>
      <c r="O1954" s="3">
        <v>46233.65914210648</v>
      </c>
    </row>
    <row r="1955" spans="1:15" x14ac:dyDescent="0.25">
      <c r="A1955" s="5" t="s">
        <v>6026</v>
      </c>
      <c r="B1955" s="1" t="s">
        <v>10265</v>
      </c>
      <c r="J1955" s="3">
        <v>46105.747164351851</v>
      </c>
      <c r="L1955" s="1">
        <v>29</v>
      </c>
      <c r="M1955" s="1">
        <v>36</v>
      </c>
      <c r="N1955" s="1">
        <v>7</v>
      </c>
      <c r="O1955" s="3">
        <v>46233.65914210648</v>
      </c>
    </row>
    <row r="1956" spans="1:15" ht="225" x14ac:dyDescent="0.25">
      <c r="A1956" s="5" t="s">
        <v>6029</v>
      </c>
      <c r="B1956" s="1" t="s">
        <v>10266</v>
      </c>
      <c r="E1956" s="1">
        <v>2005</v>
      </c>
      <c r="J1956" s="3">
        <v>46105.749606481484</v>
      </c>
      <c r="K1956" s="2" t="s">
        <v>10267</v>
      </c>
      <c r="L1956" s="1">
        <v>43</v>
      </c>
      <c r="M1956" s="1">
        <v>50</v>
      </c>
      <c r="N1956" s="1">
        <v>7</v>
      </c>
      <c r="O1956" s="3">
        <v>46233.65914210648</v>
      </c>
    </row>
    <row r="1957" spans="1:15" x14ac:dyDescent="0.25">
      <c r="A1957" s="5" t="s">
        <v>6032</v>
      </c>
      <c r="B1957" s="1" t="s">
        <v>10268</v>
      </c>
      <c r="C1957" s="1">
        <v>2010</v>
      </c>
      <c r="J1957" s="3">
        <v>46105.7499537037</v>
      </c>
      <c r="L1957" s="1">
        <v>43</v>
      </c>
      <c r="M1957" s="1">
        <v>46</v>
      </c>
      <c r="N1957" s="1">
        <v>3</v>
      </c>
      <c r="O1957" s="3">
        <v>46233.65914210648</v>
      </c>
    </row>
    <row r="1958" spans="1:15" ht="180" x14ac:dyDescent="0.25">
      <c r="A1958" s="5" t="s">
        <v>6035</v>
      </c>
      <c r="B1958" s="1" t="s">
        <v>10269</v>
      </c>
      <c r="C1958" s="1">
        <v>1851</v>
      </c>
      <c r="E1958" s="1">
        <v>2018</v>
      </c>
      <c r="J1958" s="3">
        <v>46105.750358796293</v>
      </c>
      <c r="K1958" s="2" t="s">
        <v>10270</v>
      </c>
      <c r="L1958" s="1">
        <v>40</v>
      </c>
      <c r="M1958" s="1">
        <v>57</v>
      </c>
      <c r="N1958" s="1">
        <v>17</v>
      </c>
      <c r="O1958" s="3">
        <v>46233.65914210648</v>
      </c>
    </row>
    <row r="1959" spans="1:15" ht="60" x14ac:dyDescent="0.25">
      <c r="A1959" s="5" t="s">
        <v>6038</v>
      </c>
      <c r="B1959" s="1" t="s">
        <v>10271</v>
      </c>
      <c r="C1959" s="1" t="s">
        <v>12</v>
      </c>
      <c r="G1959" s="1" t="s">
        <v>10</v>
      </c>
      <c r="I1959" s="2" t="s">
        <v>10272</v>
      </c>
      <c r="J1959" s="3">
        <v>46110.450983796298</v>
      </c>
      <c r="K1959" s="2" t="s">
        <v>8873</v>
      </c>
      <c r="L1959" s="1">
        <v>34</v>
      </c>
      <c r="M1959" s="1">
        <v>35</v>
      </c>
      <c r="N1959" s="1">
        <v>1</v>
      </c>
      <c r="O1959" s="3">
        <v>46233.65914210648</v>
      </c>
    </row>
    <row r="1960" spans="1:15" x14ac:dyDescent="0.25">
      <c r="A1960" s="5" t="s">
        <v>6041</v>
      </c>
      <c r="B1960" s="1" t="s">
        <v>10273</v>
      </c>
      <c r="J1960" s="3">
        <v>46114.502013888887</v>
      </c>
      <c r="L1960" s="1">
        <v>2</v>
      </c>
      <c r="M1960" s="1">
        <v>2</v>
      </c>
      <c r="N1960" s="1">
        <v>0</v>
      </c>
      <c r="O1960" s="3">
        <v>46233.65914210648</v>
      </c>
    </row>
    <row r="1961" spans="1:15" x14ac:dyDescent="0.25">
      <c r="A1961" s="5" t="s">
        <v>6044</v>
      </c>
      <c r="B1961" s="1" t="s">
        <v>10274</v>
      </c>
      <c r="J1961" s="3">
        <v>46114.513298611113</v>
      </c>
      <c r="L1961" s="1">
        <v>11</v>
      </c>
      <c r="M1961" s="1">
        <v>13</v>
      </c>
      <c r="N1961" s="1">
        <v>2</v>
      </c>
      <c r="O1961" s="3">
        <v>46233.65914210648</v>
      </c>
    </row>
    <row r="1962" spans="1:15" ht="30" x14ac:dyDescent="0.25">
      <c r="A1962" s="5" t="s">
        <v>6047</v>
      </c>
      <c r="B1962" s="1" t="s">
        <v>10275</v>
      </c>
      <c r="C1962" s="1" t="s">
        <v>12</v>
      </c>
      <c r="G1962" s="1" t="s">
        <v>10</v>
      </c>
      <c r="J1962" s="3">
        <v>46120.664571759262</v>
      </c>
      <c r="K1962" s="2" t="s">
        <v>10276</v>
      </c>
      <c r="L1962" s="1">
        <v>1</v>
      </c>
      <c r="M1962" s="1">
        <v>1</v>
      </c>
      <c r="N1962" s="1">
        <v>0</v>
      </c>
      <c r="O1962" s="3">
        <v>46233.65914210648</v>
      </c>
    </row>
    <row r="1963" spans="1:15" ht="285" x14ac:dyDescent="0.25">
      <c r="A1963" s="5" t="s">
        <v>6050</v>
      </c>
      <c r="B1963" s="1" t="s">
        <v>10277</v>
      </c>
      <c r="C1963" s="1">
        <v>1903</v>
      </c>
      <c r="E1963" s="1">
        <v>1983</v>
      </c>
      <c r="G1963" s="1" t="s">
        <v>10</v>
      </c>
      <c r="J1963" s="3">
        <v>46120.667997685188</v>
      </c>
      <c r="K1963" s="2" t="s">
        <v>10278</v>
      </c>
      <c r="L1963" s="1">
        <v>5</v>
      </c>
      <c r="M1963" s="1">
        <v>5</v>
      </c>
      <c r="N1963" s="1">
        <v>0</v>
      </c>
      <c r="O1963" s="3">
        <v>46233.65914210648</v>
      </c>
    </row>
    <row r="1964" spans="1:15" ht="45" x14ac:dyDescent="0.25">
      <c r="A1964" s="5" t="s">
        <v>6053</v>
      </c>
      <c r="B1964" s="1" t="s">
        <v>10279</v>
      </c>
      <c r="C1964" s="1">
        <v>1793</v>
      </c>
      <c r="D1964" s="1" t="s">
        <v>8376</v>
      </c>
      <c r="E1964" s="1">
        <v>1861</v>
      </c>
      <c r="F1964" s="1" t="s">
        <v>10280</v>
      </c>
      <c r="G1964" s="1" t="s">
        <v>10</v>
      </c>
      <c r="J1964" s="3">
        <v>46121.44427083333</v>
      </c>
      <c r="K1964" s="2" t="s">
        <v>10281</v>
      </c>
      <c r="L1964" s="1">
        <v>8</v>
      </c>
      <c r="M1964" s="1">
        <v>8</v>
      </c>
      <c r="N1964" s="1">
        <v>0</v>
      </c>
      <c r="O1964" s="3">
        <v>46233.65914210648</v>
      </c>
    </row>
    <row r="1965" spans="1:15" ht="45" x14ac:dyDescent="0.25">
      <c r="A1965" s="5" t="s">
        <v>6056</v>
      </c>
      <c r="B1965" s="1" t="s">
        <v>10282</v>
      </c>
      <c r="C1965" s="1">
        <v>1972</v>
      </c>
      <c r="D1965" s="1" t="s">
        <v>10283</v>
      </c>
      <c r="G1965" s="1" t="s">
        <v>11</v>
      </c>
      <c r="J1965" s="3">
        <v>46124.391238425924</v>
      </c>
      <c r="K1965" s="2" t="s">
        <v>10284</v>
      </c>
      <c r="L1965" s="1">
        <v>10</v>
      </c>
      <c r="M1965" s="1">
        <v>16</v>
      </c>
      <c r="N1965" s="1">
        <v>6</v>
      </c>
      <c r="O1965" s="3">
        <v>46233.65914210648</v>
      </c>
    </row>
    <row r="1966" spans="1:15" ht="75" x14ac:dyDescent="0.25">
      <c r="A1966" s="5" t="s">
        <v>6059</v>
      </c>
      <c r="B1966" s="1" t="s">
        <v>10285</v>
      </c>
      <c r="C1966" s="1">
        <v>1950</v>
      </c>
      <c r="G1966" s="1" t="s">
        <v>10</v>
      </c>
      <c r="J1966" s="3">
        <v>46124.423043981478</v>
      </c>
      <c r="K1966" s="2" t="s">
        <v>10286</v>
      </c>
      <c r="L1966" s="1">
        <v>40</v>
      </c>
      <c r="M1966" s="1">
        <v>45</v>
      </c>
      <c r="N1966" s="1">
        <v>5</v>
      </c>
      <c r="O1966" s="3">
        <v>46233.65914210648</v>
      </c>
    </row>
    <row r="1967" spans="1:15" ht="105" x14ac:dyDescent="0.25">
      <c r="A1967" s="5" t="s">
        <v>6062</v>
      </c>
      <c r="B1967" s="1" t="s">
        <v>10287</v>
      </c>
      <c r="C1967" s="1">
        <v>1957</v>
      </c>
      <c r="J1967" s="3">
        <v>46124.439780092594</v>
      </c>
      <c r="K1967" s="2" t="s">
        <v>10288</v>
      </c>
      <c r="L1967" s="1">
        <v>22</v>
      </c>
      <c r="M1967" s="1">
        <v>37</v>
      </c>
      <c r="N1967" s="1">
        <v>15</v>
      </c>
      <c r="O1967" s="3">
        <v>46233.65914210648</v>
      </c>
    </row>
    <row r="1968" spans="1:15" ht="120" x14ac:dyDescent="0.25">
      <c r="A1968" s="5" t="s">
        <v>6065</v>
      </c>
      <c r="B1968" s="1" t="s">
        <v>10289</v>
      </c>
      <c r="C1968" s="1">
        <v>1875</v>
      </c>
      <c r="E1968" s="1">
        <v>2011</v>
      </c>
      <c r="J1968" s="3">
        <v>46125.70484953704</v>
      </c>
      <c r="K1968" s="2" t="s">
        <v>10290</v>
      </c>
      <c r="L1968" s="1">
        <v>52</v>
      </c>
      <c r="M1968" s="1">
        <v>53</v>
      </c>
      <c r="N1968" s="1">
        <v>1</v>
      </c>
      <c r="O1968" s="3">
        <v>46233.65914210648</v>
      </c>
    </row>
    <row r="1969" spans="1:15" ht="90" x14ac:dyDescent="0.25">
      <c r="A1969" s="5" t="s">
        <v>6068</v>
      </c>
      <c r="B1969" s="1" t="s">
        <v>10291</v>
      </c>
      <c r="C1969" s="1">
        <v>1842</v>
      </c>
      <c r="E1969" s="1">
        <v>2011</v>
      </c>
      <c r="J1969" s="3">
        <v>46125.706006944441</v>
      </c>
      <c r="K1969" s="2" t="s">
        <v>10292</v>
      </c>
      <c r="L1969" s="1">
        <v>37</v>
      </c>
      <c r="M1969" s="1">
        <v>42</v>
      </c>
      <c r="N1969" s="1">
        <v>5</v>
      </c>
      <c r="O1969" s="3">
        <v>46233.65914210648</v>
      </c>
    </row>
    <row r="1970" spans="1:15" x14ac:dyDescent="0.25">
      <c r="A1970" s="5" t="s">
        <v>6071</v>
      </c>
      <c r="B1970" s="1" t="s">
        <v>10293</v>
      </c>
      <c r="J1970" s="3">
        <v>45894.596817129626</v>
      </c>
      <c r="L1970" s="1">
        <v>39</v>
      </c>
      <c r="M1970" s="1">
        <v>51</v>
      </c>
      <c r="N1970" s="1">
        <v>12</v>
      </c>
      <c r="O1970" s="3">
        <v>46233.65914210648</v>
      </c>
    </row>
    <row r="1971" spans="1:15" x14ac:dyDescent="0.25">
      <c r="A1971" s="5" t="s">
        <v>6074</v>
      </c>
      <c r="B1971" s="1" t="s">
        <v>10294</v>
      </c>
      <c r="C1971" s="1">
        <v>1906</v>
      </c>
      <c r="D1971" s="1" t="s">
        <v>14</v>
      </c>
      <c r="E1971" s="1">
        <v>1989</v>
      </c>
      <c r="F1971" s="1" t="s">
        <v>14</v>
      </c>
      <c r="G1971" s="1" t="s">
        <v>10</v>
      </c>
      <c r="J1971" s="3">
        <v>46127.696030092593</v>
      </c>
      <c r="K1971" s="2" t="s">
        <v>7461</v>
      </c>
      <c r="L1971" s="1">
        <v>21</v>
      </c>
      <c r="M1971" s="1">
        <v>22</v>
      </c>
      <c r="N1971" s="1">
        <v>1</v>
      </c>
      <c r="O1971" s="3">
        <v>46233.65914210648</v>
      </c>
    </row>
    <row r="1972" spans="1:15" x14ac:dyDescent="0.25">
      <c r="A1972" s="5" t="s">
        <v>6077</v>
      </c>
      <c r="B1972" s="1" t="s">
        <v>10295</v>
      </c>
      <c r="J1972" s="3">
        <v>46128.658263888887</v>
      </c>
      <c r="L1972" s="1">
        <v>29</v>
      </c>
      <c r="M1972" s="1">
        <v>49</v>
      </c>
      <c r="N1972" s="1">
        <v>20</v>
      </c>
      <c r="O1972" s="3">
        <v>46233.65914210648</v>
      </c>
    </row>
    <row r="1973" spans="1:15" ht="409.5" x14ac:dyDescent="0.25">
      <c r="A1973" s="5" t="s">
        <v>6080</v>
      </c>
      <c r="B1973" s="1" t="s">
        <v>10296</v>
      </c>
      <c r="C1973" s="1">
        <v>1952</v>
      </c>
      <c r="G1973" s="1" t="s">
        <v>10</v>
      </c>
      <c r="H1973" s="2" t="s">
        <v>10297</v>
      </c>
      <c r="I1973" s="2" t="s">
        <v>10505</v>
      </c>
      <c r="J1973" s="3">
        <v>46132.642916666664</v>
      </c>
      <c r="K1973" s="2" t="s">
        <v>10298</v>
      </c>
      <c r="L1973" s="1">
        <v>16</v>
      </c>
      <c r="M1973" s="1">
        <v>28</v>
      </c>
      <c r="N1973" s="1">
        <v>12</v>
      </c>
      <c r="O1973" s="3">
        <v>46233.65914210648</v>
      </c>
    </row>
    <row r="1974" spans="1:15" ht="105" x14ac:dyDescent="0.25">
      <c r="A1974" s="5" t="s">
        <v>6083</v>
      </c>
      <c r="B1974" s="1" t="s">
        <v>10299</v>
      </c>
      <c r="C1974" s="1">
        <v>1618</v>
      </c>
      <c r="D1974" s="1" t="s">
        <v>14</v>
      </c>
      <c r="E1974" s="1">
        <v>1690</v>
      </c>
      <c r="F1974" s="1" t="s">
        <v>14</v>
      </c>
      <c r="G1974" s="1" t="s">
        <v>10</v>
      </c>
      <c r="J1974" s="3">
        <v>46135.581759259258</v>
      </c>
      <c r="K1974" s="2" t="s">
        <v>10300</v>
      </c>
      <c r="L1974" s="1">
        <v>27</v>
      </c>
      <c r="M1974" s="1">
        <v>27</v>
      </c>
      <c r="N1974" s="1">
        <v>0</v>
      </c>
      <c r="O1974" s="3">
        <v>46233.65914210648</v>
      </c>
    </row>
    <row r="1975" spans="1:15" x14ac:dyDescent="0.25">
      <c r="A1975" s="5" t="s">
        <v>6086</v>
      </c>
      <c r="B1975" s="1" t="s">
        <v>10301</v>
      </c>
      <c r="C1975" s="1">
        <v>1838</v>
      </c>
      <c r="D1975" s="1" t="s">
        <v>14</v>
      </c>
      <c r="E1975" s="1">
        <v>1918</v>
      </c>
      <c r="F1975" s="1" t="s">
        <v>14</v>
      </c>
      <c r="G1975" s="1" t="s">
        <v>10</v>
      </c>
      <c r="J1975" s="3">
        <v>46135.613912037035</v>
      </c>
      <c r="K1975" s="2" t="s">
        <v>8873</v>
      </c>
      <c r="L1975" s="1">
        <v>10</v>
      </c>
      <c r="M1975" s="1">
        <v>10</v>
      </c>
      <c r="N1975" s="1">
        <v>0</v>
      </c>
      <c r="O1975" s="3">
        <v>46233.65914210648</v>
      </c>
    </row>
    <row r="1976" spans="1:15" ht="75" x14ac:dyDescent="0.25">
      <c r="A1976" s="5" t="s">
        <v>6089</v>
      </c>
      <c r="B1976" s="1" t="s">
        <v>10302</v>
      </c>
      <c r="J1976" s="3">
        <v>46136.664444444446</v>
      </c>
      <c r="K1976" s="2" t="s">
        <v>10303</v>
      </c>
      <c r="L1976" s="1">
        <v>36</v>
      </c>
      <c r="M1976" s="1">
        <v>36</v>
      </c>
      <c r="N1976" s="1">
        <v>0</v>
      </c>
      <c r="O1976" s="3">
        <v>46233.65914210648</v>
      </c>
    </row>
    <row r="1977" spans="1:15" x14ac:dyDescent="0.25">
      <c r="A1977" s="5" t="s">
        <v>6092</v>
      </c>
      <c r="B1977" s="1" t="s">
        <v>10304</v>
      </c>
      <c r="C1977" s="1">
        <v>1991</v>
      </c>
      <c r="J1977" s="3">
        <v>46139.656863425924</v>
      </c>
      <c r="L1977" s="1">
        <v>26</v>
      </c>
      <c r="M1977" s="1">
        <v>27</v>
      </c>
      <c r="N1977" s="1">
        <v>1</v>
      </c>
      <c r="O1977" s="3">
        <v>46233.65914210648</v>
      </c>
    </row>
    <row r="1978" spans="1:15" ht="90" x14ac:dyDescent="0.25">
      <c r="A1978" s="5" t="s">
        <v>6095</v>
      </c>
      <c r="B1978" s="1" t="s">
        <v>10305</v>
      </c>
      <c r="C1978" s="1">
        <v>1840</v>
      </c>
      <c r="J1978" s="3">
        <v>46139.668078703704</v>
      </c>
      <c r="K1978" s="2" t="s">
        <v>10306</v>
      </c>
      <c r="L1978" s="1">
        <v>73</v>
      </c>
      <c r="M1978" s="1">
        <v>78</v>
      </c>
      <c r="N1978" s="1">
        <v>5</v>
      </c>
      <c r="O1978" s="3">
        <v>46233.65914210648</v>
      </c>
    </row>
    <row r="1979" spans="1:15" ht="45" x14ac:dyDescent="0.25">
      <c r="A1979" s="5" t="s">
        <v>6098</v>
      </c>
      <c r="B1979" s="1" t="s">
        <v>10307</v>
      </c>
      <c r="J1979" s="3">
        <v>46140.449340277781</v>
      </c>
      <c r="K1979" s="2" t="s">
        <v>10308</v>
      </c>
      <c r="L1979" s="1">
        <v>35</v>
      </c>
      <c r="M1979" s="1">
        <v>47</v>
      </c>
      <c r="N1979" s="1">
        <v>12</v>
      </c>
      <c r="O1979" s="3">
        <v>46233.65914210648</v>
      </c>
    </row>
    <row r="1980" spans="1:15" ht="255" x14ac:dyDescent="0.25">
      <c r="A1980" s="5" t="s">
        <v>6101</v>
      </c>
      <c r="B1980" s="1" t="s">
        <v>10309</v>
      </c>
      <c r="C1980" s="1">
        <v>2013</v>
      </c>
      <c r="E1980" s="1">
        <v>2023</v>
      </c>
      <c r="J1980" s="3">
        <v>46142.452928240738</v>
      </c>
      <c r="K1980" s="2" t="s">
        <v>10310</v>
      </c>
      <c r="L1980" s="1">
        <v>18</v>
      </c>
      <c r="M1980" s="1">
        <v>22</v>
      </c>
      <c r="N1980" s="1">
        <v>4</v>
      </c>
      <c r="O1980" s="3">
        <v>46233.65914210648</v>
      </c>
    </row>
    <row r="1981" spans="1:15" ht="300" x14ac:dyDescent="0.25">
      <c r="A1981" s="5" t="s">
        <v>6104</v>
      </c>
      <c r="B1981" s="1" t="s">
        <v>10311</v>
      </c>
      <c r="C1981" s="1">
        <v>1985</v>
      </c>
      <c r="E1981" s="1">
        <v>2005</v>
      </c>
      <c r="J1981" s="3">
        <v>46142.455069444448</v>
      </c>
      <c r="K1981" s="2" t="s">
        <v>10312</v>
      </c>
      <c r="L1981" s="1">
        <v>25</v>
      </c>
      <c r="M1981" s="1">
        <v>30</v>
      </c>
      <c r="N1981" s="1">
        <v>5</v>
      </c>
      <c r="O1981" s="3">
        <v>46233.65914210648</v>
      </c>
    </row>
    <row r="1982" spans="1:15" x14ac:dyDescent="0.25">
      <c r="A1982" s="5" t="s">
        <v>6107</v>
      </c>
      <c r="B1982" s="1" t="s">
        <v>10313</v>
      </c>
      <c r="G1982" s="1" t="s">
        <v>11</v>
      </c>
      <c r="J1982" s="3">
        <v>46145.428680555553</v>
      </c>
      <c r="L1982" s="1">
        <v>2</v>
      </c>
      <c r="M1982" s="1">
        <v>67</v>
      </c>
      <c r="N1982" s="1">
        <v>65</v>
      </c>
      <c r="O1982" s="3">
        <v>46233.65914210648</v>
      </c>
    </row>
    <row r="1983" spans="1:15" ht="345" x14ac:dyDescent="0.25">
      <c r="A1983" s="5" t="s">
        <v>6110</v>
      </c>
      <c r="B1983" s="1" t="s">
        <v>10314</v>
      </c>
      <c r="C1983" s="1">
        <v>2011</v>
      </c>
      <c r="E1983" s="1">
        <v>2013</v>
      </c>
      <c r="J1983" s="3">
        <v>46147.564085648148</v>
      </c>
      <c r="K1983" s="2" t="s">
        <v>10315</v>
      </c>
      <c r="L1983" s="1">
        <v>20</v>
      </c>
      <c r="M1983" s="1">
        <v>28</v>
      </c>
      <c r="N1983" s="1">
        <v>8</v>
      </c>
      <c r="O1983" s="3">
        <v>46233.65914210648</v>
      </c>
    </row>
    <row r="1984" spans="1:15" x14ac:dyDescent="0.25">
      <c r="A1984" s="5" t="s">
        <v>6113</v>
      </c>
      <c r="B1984" s="1" t="s">
        <v>10316</v>
      </c>
      <c r="J1984" s="3">
        <v>46149.413449074076</v>
      </c>
      <c r="L1984" s="1">
        <v>2</v>
      </c>
      <c r="M1984" s="1">
        <v>2</v>
      </c>
      <c r="N1984" s="1">
        <v>0</v>
      </c>
      <c r="O1984" s="3">
        <v>46233.65914210648</v>
      </c>
    </row>
    <row r="1985" spans="1:15" ht="165" x14ac:dyDescent="0.25">
      <c r="A1985" s="5" t="s">
        <v>6116</v>
      </c>
      <c r="B1985" s="1" t="s">
        <v>10317</v>
      </c>
      <c r="C1985" s="1">
        <v>1954</v>
      </c>
      <c r="D1985" s="1" t="s">
        <v>10318</v>
      </c>
      <c r="G1985" s="1" t="s">
        <v>11</v>
      </c>
      <c r="H1985" s="2" t="s">
        <v>10319</v>
      </c>
      <c r="I1985" s="2" t="s">
        <v>10506</v>
      </c>
      <c r="J1985" s="3">
        <v>46152.357974537037</v>
      </c>
      <c r="K1985" s="2" t="s">
        <v>10320</v>
      </c>
      <c r="L1985" s="1">
        <v>26</v>
      </c>
      <c r="M1985" s="1">
        <v>45</v>
      </c>
      <c r="N1985" s="1">
        <v>19</v>
      </c>
      <c r="O1985" s="3">
        <v>46233.65914210648</v>
      </c>
    </row>
    <row r="1986" spans="1:15" ht="30" x14ac:dyDescent="0.25">
      <c r="A1986" s="5" t="s">
        <v>6119</v>
      </c>
      <c r="B1986" s="1" t="s">
        <v>10321</v>
      </c>
      <c r="C1986" s="1">
        <v>1952</v>
      </c>
      <c r="D1986" s="1" t="s">
        <v>8927</v>
      </c>
      <c r="G1986" s="1" t="s">
        <v>10</v>
      </c>
      <c r="I1986" s="2" t="s">
        <v>10322</v>
      </c>
      <c r="J1986" s="3">
        <v>46152.373159722221</v>
      </c>
      <c r="K1986" s="2" t="s">
        <v>10323</v>
      </c>
      <c r="L1986" s="1">
        <v>51</v>
      </c>
      <c r="M1986" s="1">
        <v>53</v>
      </c>
      <c r="N1986" s="1">
        <v>2</v>
      </c>
      <c r="O1986" s="3">
        <v>46233.65914210648</v>
      </c>
    </row>
    <row r="1987" spans="1:15" ht="150" x14ac:dyDescent="0.25">
      <c r="A1987" s="5" t="s">
        <v>6122</v>
      </c>
      <c r="B1987" s="1" t="s">
        <v>10324</v>
      </c>
      <c r="C1987" s="1">
        <v>1946</v>
      </c>
      <c r="D1987" s="1" t="s">
        <v>10280</v>
      </c>
      <c r="E1987" s="1">
        <v>2023</v>
      </c>
      <c r="F1987" s="1" t="s">
        <v>10325</v>
      </c>
      <c r="G1987" s="1" t="s">
        <v>10</v>
      </c>
      <c r="H1987" s="2" t="s">
        <v>10507</v>
      </c>
      <c r="I1987" s="2" t="s">
        <v>10326</v>
      </c>
      <c r="J1987" s="3">
        <v>46154.503240740742</v>
      </c>
      <c r="K1987" s="2" t="s">
        <v>10327</v>
      </c>
      <c r="L1987" s="1">
        <v>38</v>
      </c>
      <c r="M1987" s="1">
        <v>172</v>
      </c>
      <c r="N1987" s="1">
        <v>134</v>
      </c>
      <c r="O1987" s="3">
        <v>46233.65914210648</v>
      </c>
    </row>
    <row r="1988" spans="1:15" ht="90" x14ac:dyDescent="0.25">
      <c r="A1988" s="5" t="s">
        <v>6125</v>
      </c>
      <c r="B1988" s="1" t="s">
        <v>10328</v>
      </c>
      <c r="C1988" s="1">
        <v>1980</v>
      </c>
      <c r="G1988" s="1" t="s">
        <v>11</v>
      </c>
      <c r="J1988" s="3">
        <v>46166.355000000003</v>
      </c>
      <c r="K1988" s="2" t="s">
        <v>10329</v>
      </c>
      <c r="L1988" s="1">
        <v>9</v>
      </c>
      <c r="M1988" s="1">
        <v>13</v>
      </c>
      <c r="N1988" s="1">
        <v>4</v>
      </c>
      <c r="O1988" s="3">
        <v>46233.65914210648</v>
      </c>
    </row>
    <row r="1989" spans="1:15" ht="135" x14ac:dyDescent="0.25">
      <c r="A1989" s="5" t="s">
        <v>6128</v>
      </c>
      <c r="B1989" s="1" t="s">
        <v>10330</v>
      </c>
      <c r="C1989" s="1">
        <v>1973</v>
      </c>
      <c r="G1989" s="1" t="s">
        <v>10</v>
      </c>
      <c r="J1989" s="3">
        <v>46166.357824074075</v>
      </c>
      <c r="K1989" s="2" t="s">
        <v>10331</v>
      </c>
      <c r="L1989" s="1">
        <v>17</v>
      </c>
      <c r="M1989" s="1">
        <v>22</v>
      </c>
      <c r="N1989" s="1">
        <v>5</v>
      </c>
      <c r="O1989" s="3">
        <v>46233.65914210648</v>
      </c>
    </row>
    <row r="1990" spans="1:15" ht="285" x14ac:dyDescent="0.25">
      <c r="A1990" s="5" t="s">
        <v>6131</v>
      </c>
      <c r="B1990" s="1" t="s">
        <v>10332</v>
      </c>
      <c r="C1990" s="1">
        <v>1955</v>
      </c>
      <c r="G1990" s="1" t="s">
        <v>10</v>
      </c>
      <c r="J1990" s="3">
        <v>46166.370370370372</v>
      </c>
      <c r="K1990" s="2" t="s">
        <v>10333</v>
      </c>
      <c r="L1990" s="1">
        <v>183</v>
      </c>
      <c r="M1990" s="1">
        <v>221</v>
      </c>
      <c r="N1990" s="1">
        <v>38</v>
      </c>
      <c r="O1990" s="3">
        <v>46233.65914210648</v>
      </c>
    </row>
    <row r="1991" spans="1:15" ht="60" x14ac:dyDescent="0.25">
      <c r="A1991" s="5" t="s">
        <v>6134</v>
      </c>
      <c r="B1991" s="1" t="s">
        <v>10334</v>
      </c>
      <c r="J1991" s="3">
        <v>46175.55804398148</v>
      </c>
      <c r="K1991" s="2" t="s">
        <v>10335</v>
      </c>
      <c r="L1991" s="1">
        <v>34</v>
      </c>
      <c r="M1991" s="1">
        <v>36</v>
      </c>
      <c r="N1991" s="1">
        <v>2</v>
      </c>
      <c r="O1991" s="3">
        <v>46233.65914210648</v>
      </c>
    </row>
    <row r="1992" spans="1:15" x14ac:dyDescent="0.25">
      <c r="A1992" s="5" t="s">
        <v>6137</v>
      </c>
      <c r="B1992" s="1" t="s">
        <v>10336</v>
      </c>
      <c r="C1992" s="1">
        <v>1981</v>
      </c>
      <c r="J1992" s="3">
        <v>46175.59511574074</v>
      </c>
      <c r="L1992" s="1">
        <v>25</v>
      </c>
      <c r="M1992" s="1">
        <v>124</v>
      </c>
      <c r="N1992" s="1">
        <v>99</v>
      </c>
      <c r="O1992" s="3">
        <v>46233.65914210648</v>
      </c>
    </row>
    <row r="1993" spans="1:15" x14ac:dyDescent="0.25">
      <c r="A1993" s="5" t="s">
        <v>6140</v>
      </c>
      <c r="B1993" s="1" t="s">
        <v>10337</v>
      </c>
      <c r="J1993" s="3">
        <v>46175.601134259261</v>
      </c>
      <c r="L1993" s="1">
        <v>28</v>
      </c>
      <c r="M1993" s="1">
        <v>30</v>
      </c>
      <c r="N1993" s="1">
        <v>2</v>
      </c>
      <c r="O1993" s="3">
        <v>46233.65914210648</v>
      </c>
    </row>
    <row r="1994" spans="1:15" ht="45" x14ac:dyDescent="0.25">
      <c r="A1994" s="5" t="s">
        <v>6143</v>
      </c>
      <c r="B1994" s="1" t="s">
        <v>10338</v>
      </c>
      <c r="C1994" s="1" t="s">
        <v>12</v>
      </c>
      <c r="G1994" s="1" t="s">
        <v>11</v>
      </c>
      <c r="J1994" s="3">
        <v>46175.618460648147</v>
      </c>
      <c r="K1994" s="2" t="s">
        <v>10339</v>
      </c>
      <c r="L1994" s="1">
        <v>2</v>
      </c>
      <c r="M1994" s="1">
        <v>2</v>
      </c>
      <c r="N1994" s="1">
        <v>0</v>
      </c>
      <c r="O1994" s="3">
        <v>46233.65914210648</v>
      </c>
    </row>
    <row r="1995" spans="1:15" ht="105" x14ac:dyDescent="0.25">
      <c r="A1995" s="5" t="s">
        <v>6146</v>
      </c>
      <c r="B1995" s="1" t="s">
        <v>10340</v>
      </c>
      <c r="G1995" s="1" t="s">
        <v>11</v>
      </c>
      <c r="J1995" s="3">
        <v>46180.405162037037</v>
      </c>
      <c r="K1995" s="2" t="s">
        <v>10341</v>
      </c>
      <c r="L1995" s="1">
        <v>9</v>
      </c>
      <c r="M1995" s="1">
        <v>10</v>
      </c>
      <c r="N1995" s="1">
        <v>1</v>
      </c>
      <c r="O1995" s="3">
        <v>46233.65914210648</v>
      </c>
    </row>
    <row r="1996" spans="1:15" x14ac:dyDescent="0.25">
      <c r="A1996" s="5" t="s">
        <v>6149</v>
      </c>
      <c r="B1996" s="1" t="s">
        <v>10342</v>
      </c>
      <c r="C1996" s="1">
        <v>1983</v>
      </c>
      <c r="E1996" s="1">
        <v>1997</v>
      </c>
      <c r="J1996" s="3">
        <v>46181.619571759256</v>
      </c>
      <c r="L1996" s="1">
        <v>43</v>
      </c>
      <c r="M1996" s="1">
        <v>43</v>
      </c>
      <c r="N1996" s="1">
        <v>0</v>
      </c>
      <c r="O1996" s="3">
        <v>46233.65914210648</v>
      </c>
    </row>
    <row r="1997" spans="1:15" x14ac:dyDescent="0.25">
      <c r="A1997" s="5" t="s">
        <v>6152</v>
      </c>
      <c r="B1997" s="1" t="s">
        <v>10343</v>
      </c>
      <c r="C1997" s="1">
        <v>1985</v>
      </c>
      <c r="J1997" s="3">
        <v>46181.65320601852</v>
      </c>
      <c r="L1997" s="1">
        <v>23</v>
      </c>
      <c r="M1997" s="1">
        <v>24</v>
      </c>
      <c r="N1997" s="1">
        <v>1</v>
      </c>
      <c r="O1997" s="3">
        <v>46233.65914210648</v>
      </c>
    </row>
    <row r="1998" spans="1:15" x14ac:dyDescent="0.25">
      <c r="A1998" s="5" t="s">
        <v>6155</v>
      </c>
      <c r="B1998" s="1" t="s">
        <v>10344</v>
      </c>
      <c r="C1998" s="1">
        <v>1736</v>
      </c>
      <c r="E1998" s="1">
        <v>1850</v>
      </c>
      <c r="J1998" s="3">
        <v>46184.620868055557</v>
      </c>
      <c r="L1998" s="1">
        <v>29</v>
      </c>
      <c r="M1998" s="1">
        <v>30</v>
      </c>
      <c r="N1998" s="1">
        <v>1</v>
      </c>
      <c r="O1998" s="3">
        <v>46233.65914210648</v>
      </c>
    </row>
    <row r="1999" spans="1:15" x14ac:dyDescent="0.25">
      <c r="A1999" s="5" t="s">
        <v>6158</v>
      </c>
      <c r="B1999" s="1" t="s">
        <v>10346</v>
      </c>
      <c r="C1999" s="1">
        <v>1965</v>
      </c>
      <c r="J1999" s="3">
        <v>46184.63890046296</v>
      </c>
      <c r="L1999" s="1">
        <v>24</v>
      </c>
      <c r="M1999" s="1">
        <v>29</v>
      </c>
      <c r="N1999" s="1">
        <v>5</v>
      </c>
      <c r="O1999" s="3">
        <v>46233.65914210648</v>
      </c>
    </row>
    <row r="2000" spans="1:15" x14ac:dyDescent="0.25">
      <c r="A2000" s="5" t="s">
        <v>6161</v>
      </c>
      <c r="B2000" s="1" t="s">
        <v>10347</v>
      </c>
      <c r="J2000" s="3">
        <v>46185.359270833331</v>
      </c>
      <c r="L2000" s="1">
        <v>7</v>
      </c>
      <c r="M2000" s="1">
        <v>8</v>
      </c>
      <c r="N2000" s="1">
        <v>1</v>
      </c>
      <c r="O2000" s="3">
        <v>46233.65914210648</v>
      </c>
    </row>
    <row r="2001" spans="1:15" x14ac:dyDescent="0.25">
      <c r="A2001" s="5" t="s">
        <v>6164</v>
      </c>
      <c r="B2001" s="1" t="s">
        <v>10348</v>
      </c>
      <c r="J2001" s="3">
        <v>46185.464780092596</v>
      </c>
      <c r="L2001" s="1">
        <v>0</v>
      </c>
      <c r="M2001" s="1">
        <v>0</v>
      </c>
      <c r="N2001" s="1">
        <v>0</v>
      </c>
      <c r="O2001" s="3">
        <v>46233.65914210648</v>
      </c>
    </row>
    <row r="2002" spans="1:15" x14ac:dyDescent="0.25">
      <c r="A2002" s="5" t="s">
        <v>6167</v>
      </c>
      <c r="B2002" s="1" t="s">
        <v>10349</v>
      </c>
      <c r="C2002" s="1">
        <v>1961</v>
      </c>
      <c r="J2002" s="3">
        <v>46185.491840277777</v>
      </c>
      <c r="L2002" s="1">
        <v>8</v>
      </c>
      <c r="M2002" s="1">
        <v>9</v>
      </c>
      <c r="N2002" s="1">
        <v>1</v>
      </c>
      <c r="O2002" s="3">
        <v>46233.65914210648</v>
      </c>
    </row>
    <row r="2003" spans="1:15" ht="360" x14ac:dyDescent="0.25">
      <c r="A2003" s="5" t="s">
        <v>6170</v>
      </c>
      <c r="B2003" s="1" t="s">
        <v>10350</v>
      </c>
      <c r="C2003" s="1">
        <v>2001</v>
      </c>
      <c r="E2003" s="1">
        <v>2006</v>
      </c>
      <c r="J2003" s="3">
        <v>46188.577569444446</v>
      </c>
      <c r="K2003" s="2" t="s">
        <v>10351</v>
      </c>
      <c r="L2003" s="1">
        <v>21</v>
      </c>
      <c r="M2003" s="1">
        <v>25</v>
      </c>
      <c r="N2003" s="1">
        <v>4</v>
      </c>
      <c r="O2003" s="3">
        <v>46233.65914210648</v>
      </c>
    </row>
    <row r="2004" spans="1:15" ht="180" x14ac:dyDescent="0.25">
      <c r="A2004" s="5" t="s">
        <v>6173</v>
      </c>
      <c r="B2004" s="1" t="s">
        <v>10352</v>
      </c>
      <c r="J2004" s="3">
        <v>46189.645127314812</v>
      </c>
      <c r="K2004" s="2" t="s">
        <v>10353</v>
      </c>
      <c r="L2004" s="1">
        <v>4</v>
      </c>
      <c r="M2004" s="1">
        <v>4</v>
      </c>
      <c r="N2004" s="1">
        <v>0</v>
      </c>
      <c r="O2004" s="3">
        <v>46233.65914210648</v>
      </c>
    </row>
    <row r="2005" spans="1:15" x14ac:dyDescent="0.25">
      <c r="A2005" s="5" t="s">
        <v>6176</v>
      </c>
      <c r="B2005" s="1" t="s">
        <v>10354</v>
      </c>
      <c r="C2005" s="1">
        <v>1969</v>
      </c>
      <c r="J2005" s="3">
        <v>46189.725925925923</v>
      </c>
      <c r="L2005" s="1">
        <v>23</v>
      </c>
      <c r="M2005" s="1">
        <v>24</v>
      </c>
      <c r="N2005" s="1">
        <v>1</v>
      </c>
      <c r="O2005" s="3">
        <v>46233.65914210648</v>
      </c>
    </row>
    <row r="2006" spans="1:15" x14ac:dyDescent="0.25">
      <c r="A2006" s="5" t="s">
        <v>6179</v>
      </c>
      <c r="B2006" s="1" t="s">
        <v>10355</v>
      </c>
      <c r="C2006" s="1">
        <v>1794</v>
      </c>
      <c r="E2006" s="1">
        <v>1794</v>
      </c>
      <c r="J2006" s="3">
        <v>46189.751620370371</v>
      </c>
      <c r="L2006" s="1">
        <v>22</v>
      </c>
      <c r="M2006" s="1">
        <v>23</v>
      </c>
      <c r="N2006" s="1">
        <v>1</v>
      </c>
      <c r="O2006" s="3">
        <v>46233.65914210648</v>
      </c>
    </row>
    <row r="2007" spans="1:15" ht="75" x14ac:dyDescent="0.25">
      <c r="A2007" s="5" t="s">
        <v>6182</v>
      </c>
      <c r="B2007" s="1" t="s">
        <v>10356</v>
      </c>
      <c r="C2007" s="1">
        <v>1873</v>
      </c>
      <c r="E2007" s="1">
        <v>1910</v>
      </c>
      <c r="J2007" s="3">
        <v>46121.660856481481</v>
      </c>
      <c r="K2007" s="2" t="s">
        <v>10357</v>
      </c>
      <c r="L2007" s="1">
        <v>19</v>
      </c>
      <c r="M2007" s="1">
        <v>19</v>
      </c>
      <c r="N2007" s="1">
        <v>0</v>
      </c>
      <c r="O2007" s="3">
        <v>46233.65914210648</v>
      </c>
    </row>
    <row r="2008" spans="1:15" ht="75" x14ac:dyDescent="0.25">
      <c r="A2008" s="5" t="s">
        <v>6185</v>
      </c>
      <c r="B2008" s="1" t="s">
        <v>10358</v>
      </c>
      <c r="C2008" s="1">
        <v>1958</v>
      </c>
      <c r="G2008" s="1" t="s">
        <v>11</v>
      </c>
      <c r="J2008" s="3">
        <v>46194.406319444446</v>
      </c>
      <c r="K2008" s="2" t="s">
        <v>10359</v>
      </c>
      <c r="L2008" s="1">
        <v>31</v>
      </c>
      <c r="M2008" s="1">
        <v>32</v>
      </c>
      <c r="N2008" s="1">
        <v>1</v>
      </c>
      <c r="O2008" s="3">
        <v>46233.65914210648</v>
      </c>
    </row>
    <row r="2009" spans="1:15" x14ac:dyDescent="0.25">
      <c r="A2009" s="5" t="s">
        <v>6188</v>
      </c>
      <c r="B2009" s="1" t="s">
        <v>10360</v>
      </c>
      <c r="C2009" s="1">
        <v>1756</v>
      </c>
      <c r="D2009" s="1" t="s">
        <v>14</v>
      </c>
      <c r="E2009" s="1">
        <v>1817</v>
      </c>
      <c r="F2009" s="1" t="s">
        <v>14</v>
      </c>
      <c r="G2009" s="1" t="s">
        <v>10</v>
      </c>
      <c r="J2009" s="3">
        <v>46198.496481481481</v>
      </c>
      <c r="L2009" s="1">
        <v>6</v>
      </c>
      <c r="M2009" s="1">
        <v>6</v>
      </c>
      <c r="N2009" s="1">
        <v>0</v>
      </c>
      <c r="O2009" s="3">
        <v>46233.65914210648</v>
      </c>
    </row>
    <row r="2010" spans="1:15" ht="60" x14ac:dyDescent="0.25">
      <c r="A2010" s="5" t="s">
        <v>6191</v>
      </c>
      <c r="B2010" s="1" t="s">
        <v>10362</v>
      </c>
      <c r="C2010" s="1" t="s">
        <v>12</v>
      </c>
      <c r="G2010" s="1" t="s">
        <v>10</v>
      </c>
      <c r="J2010" s="3">
        <v>46198.799166666664</v>
      </c>
      <c r="K2010" s="2" t="s">
        <v>10363</v>
      </c>
      <c r="L2010" s="1">
        <v>45</v>
      </c>
      <c r="M2010" s="1">
        <v>49</v>
      </c>
      <c r="N2010" s="1">
        <v>4</v>
      </c>
      <c r="O2010" s="3">
        <v>46233.65914210648</v>
      </c>
    </row>
    <row r="2011" spans="1:15" ht="120" x14ac:dyDescent="0.25">
      <c r="A2011" s="5" t="s">
        <v>6194</v>
      </c>
      <c r="B2011" s="1" t="s">
        <v>10364</v>
      </c>
      <c r="C2011" s="1">
        <v>1951</v>
      </c>
      <c r="G2011" s="1" t="s">
        <v>11</v>
      </c>
      <c r="J2011" s="3">
        <v>46198.799166666664</v>
      </c>
      <c r="K2011" s="2" t="s">
        <v>10365</v>
      </c>
      <c r="L2011" s="1">
        <v>6</v>
      </c>
      <c r="M2011" s="1">
        <v>6</v>
      </c>
      <c r="N2011" s="1">
        <v>0</v>
      </c>
      <c r="O2011" s="3">
        <v>46233.65914210648</v>
      </c>
    </row>
    <row r="2012" spans="1:15" ht="105" x14ac:dyDescent="0.25">
      <c r="A2012" s="5" t="s">
        <v>6197</v>
      </c>
      <c r="B2012" s="1" t="s">
        <v>10366</v>
      </c>
      <c r="G2012" s="1" t="s">
        <v>10</v>
      </c>
      <c r="J2012" s="3">
        <v>46201.399525462963</v>
      </c>
      <c r="K2012" s="2" t="s">
        <v>10367</v>
      </c>
      <c r="L2012" s="1">
        <v>5</v>
      </c>
      <c r="M2012" s="1">
        <v>23</v>
      </c>
      <c r="N2012" s="1">
        <v>18</v>
      </c>
      <c r="O2012" s="3">
        <v>46233.65914210648</v>
      </c>
    </row>
    <row r="2013" spans="1:15" ht="105" x14ac:dyDescent="0.25">
      <c r="A2013" s="5" t="s">
        <v>6200</v>
      </c>
      <c r="B2013" s="1" t="s">
        <v>10368</v>
      </c>
      <c r="C2013" s="1">
        <v>1974</v>
      </c>
      <c r="G2013" s="1" t="s">
        <v>10</v>
      </c>
      <c r="H2013" s="2" t="s">
        <v>140</v>
      </c>
      <c r="I2013" s="2" t="s">
        <v>140</v>
      </c>
      <c r="J2013" s="3">
        <v>46210.339722222219</v>
      </c>
      <c r="K2013" s="2" t="s">
        <v>10369</v>
      </c>
      <c r="L2013" s="1">
        <v>1</v>
      </c>
      <c r="M2013" s="1">
        <v>10</v>
      </c>
      <c r="N2013" s="1">
        <v>9</v>
      </c>
      <c r="O2013" s="3">
        <v>46233.65914210648</v>
      </c>
    </row>
    <row r="2014" spans="1:15" ht="60" x14ac:dyDescent="0.25">
      <c r="A2014" s="5" t="s">
        <v>6203</v>
      </c>
      <c r="B2014" s="1" t="s">
        <v>10370</v>
      </c>
      <c r="C2014" s="1">
        <v>1868</v>
      </c>
      <c r="D2014" s="1" t="s">
        <v>10371</v>
      </c>
      <c r="E2014" s="1">
        <v>1920</v>
      </c>
      <c r="F2014" s="1" t="s">
        <v>14</v>
      </c>
      <c r="G2014" s="1" t="s">
        <v>10</v>
      </c>
      <c r="H2014" s="2" t="s">
        <v>10372</v>
      </c>
      <c r="J2014" s="3">
        <v>46210.442662037036</v>
      </c>
      <c r="K2014" s="2" t="s">
        <v>10373</v>
      </c>
      <c r="L2014" s="1">
        <v>6</v>
      </c>
      <c r="M2014" s="1">
        <v>9</v>
      </c>
      <c r="N2014" s="1">
        <v>3</v>
      </c>
      <c r="O2014" s="3">
        <v>46233.65914210648</v>
      </c>
    </row>
    <row r="2015" spans="1:15" ht="409.5" x14ac:dyDescent="0.25">
      <c r="A2015" s="5" t="s">
        <v>6206</v>
      </c>
      <c r="B2015" s="1" t="s">
        <v>10374</v>
      </c>
      <c r="C2015" s="1">
        <v>1971</v>
      </c>
      <c r="G2015" s="1" t="s">
        <v>11</v>
      </c>
      <c r="H2015" s="2" t="s">
        <v>10375</v>
      </c>
      <c r="I2015" s="2" t="s">
        <v>140</v>
      </c>
      <c r="J2015" s="3">
        <v>46213.481307870374</v>
      </c>
      <c r="K2015" s="2" t="s">
        <v>10376</v>
      </c>
      <c r="L2015" s="1">
        <v>0</v>
      </c>
      <c r="M2015" s="1">
        <v>26</v>
      </c>
      <c r="N2015" s="1">
        <v>26</v>
      </c>
      <c r="O2015" s="3">
        <v>46233.65914210648</v>
      </c>
    </row>
    <row r="2016" spans="1:15" ht="60" x14ac:dyDescent="0.25">
      <c r="A2016" s="5" t="s">
        <v>6209</v>
      </c>
      <c r="B2016" s="1" t="s">
        <v>10377</v>
      </c>
      <c r="C2016" s="1">
        <v>1963</v>
      </c>
      <c r="G2016" s="1" t="s">
        <v>10</v>
      </c>
      <c r="I2016" s="2" t="s">
        <v>8389</v>
      </c>
      <c r="J2016" s="3">
        <v>46213.537418981483</v>
      </c>
      <c r="K2016" s="2" t="s">
        <v>10378</v>
      </c>
      <c r="L2016" s="1">
        <v>33</v>
      </c>
      <c r="M2016" s="1">
        <v>46</v>
      </c>
      <c r="N2016" s="1">
        <v>13</v>
      </c>
      <c r="O2016" s="3">
        <v>46233.65914210648</v>
      </c>
    </row>
    <row r="2017" spans="1:15" ht="150" x14ac:dyDescent="0.25">
      <c r="A2017" s="5" t="s">
        <v>6212</v>
      </c>
      <c r="B2017" s="1" t="s">
        <v>10379</v>
      </c>
      <c r="C2017" s="1">
        <v>1947</v>
      </c>
      <c r="D2017" s="1" t="s">
        <v>10380</v>
      </c>
      <c r="G2017" s="1" t="s">
        <v>11</v>
      </c>
      <c r="I2017" s="2" t="s">
        <v>10381</v>
      </c>
      <c r="J2017" s="3">
        <v>46215.353703703702</v>
      </c>
      <c r="K2017" s="2" t="s">
        <v>10382</v>
      </c>
      <c r="L2017" s="1">
        <v>4</v>
      </c>
      <c r="M2017" s="1">
        <v>11</v>
      </c>
      <c r="N2017" s="1">
        <v>7</v>
      </c>
      <c r="O2017" s="3">
        <v>46233.65914210648</v>
      </c>
    </row>
    <row r="2018" spans="1:15" ht="90" x14ac:dyDescent="0.25">
      <c r="A2018" s="5" t="s">
        <v>6215</v>
      </c>
      <c r="B2018" s="1" t="s">
        <v>10383</v>
      </c>
      <c r="C2018" s="1">
        <v>1972</v>
      </c>
      <c r="G2018" s="1" t="s">
        <v>10</v>
      </c>
      <c r="H2018" s="2" t="s">
        <v>140</v>
      </c>
      <c r="I2018" s="2" t="s">
        <v>10384</v>
      </c>
      <c r="J2018" s="3">
        <v>46215.359363425923</v>
      </c>
      <c r="K2018" s="2" t="s">
        <v>10385</v>
      </c>
      <c r="L2018" s="1">
        <v>23</v>
      </c>
      <c r="M2018" s="1">
        <v>32</v>
      </c>
      <c r="N2018" s="1">
        <v>9</v>
      </c>
      <c r="O2018" s="3">
        <v>46233.65914210648</v>
      </c>
    </row>
    <row r="2019" spans="1:15" ht="135" x14ac:dyDescent="0.25">
      <c r="A2019" s="5" t="s">
        <v>6218</v>
      </c>
      <c r="B2019" s="1" t="s">
        <v>10386</v>
      </c>
      <c r="C2019" s="1">
        <v>1954</v>
      </c>
      <c r="D2019" s="1" t="s">
        <v>14</v>
      </c>
      <c r="G2019" s="1" t="s">
        <v>10</v>
      </c>
      <c r="J2019" s="3">
        <v>46215.364861111113</v>
      </c>
      <c r="K2019" s="2" t="s">
        <v>10387</v>
      </c>
      <c r="L2019" s="1">
        <v>39</v>
      </c>
      <c r="M2019" s="1">
        <v>43</v>
      </c>
      <c r="N2019" s="1">
        <v>4</v>
      </c>
      <c r="O2019" s="3">
        <v>46233.65914210648</v>
      </c>
    </row>
    <row r="2020" spans="1:15" ht="75" x14ac:dyDescent="0.25">
      <c r="A2020" s="5" t="s">
        <v>6221</v>
      </c>
      <c r="B2020" s="1" t="s">
        <v>10388</v>
      </c>
      <c r="C2020" s="1">
        <v>1963</v>
      </c>
      <c r="D2020" s="1" t="s">
        <v>14</v>
      </c>
      <c r="G2020" s="1" t="s">
        <v>10</v>
      </c>
      <c r="I2020" s="2" t="s">
        <v>140</v>
      </c>
      <c r="J2020" s="3">
        <v>46215.367615740739</v>
      </c>
      <c r="K2020" s="2" t="s">
        <v>10389</v>
      </c>
      <c r="L2020" s="1">
        <v>18</v>
      </c>
      <c r="M2020" s="1">
        <v>26</v>
      </c>
      <c r="N2020" s="1">
        <v>8</v>
      </c>
      <c r="O2020" s="3">
        <v>46233.65914210648</v>
      </c>
    </row>
    <row r="2021" spans="1:15" ht="150" x14ac:dyDescent="0.25">
      <c r="A2021" s="5" t="s">
        <v>6224</v>
      </c>
      <c r="B2021" s="1" t="s">
        <v>10390</v>
      </c>
      <c r="C2021" s="1">
        <v>1961</v>
      </c>
      <c r="D2021" s="1" t="s">
        <v>14</v>
      </c>
      <c r="G2021" s="1" t="s">
        <v>10</v>
      </c>
      <c r="H2021" s="2" t="s">
        <v>140</v>
      </c>
      <c r="I2021" s="2" t="s">
        <v>10391</v>
      </c>
      <c r="J2021" s="3">
        <v>46215.392708333333</v>
      </c>
      <c r="K2021" s="2" t="s">
        <v>10392</v>
      </c>
      <c r="L2021" s="1">
        <v>5</v>
      </c>
      <c r="M2021" s="1">
        <v>9</v>
      </c>
      <c r="N2021" s="1">
        <v>4</v>
      </c>
      <c r="O2021" s="3">
        <v>46233.65914210648</v>
      </c>
    </row>
    <row r="2022" spans="1:15" x14ac:dyDescent="0.25">
      <c r="A2022" s="5" t="s">
        <v>6227</v>
      </c>
      <c r="B2022" s="1" t="s">
        <v>10393</v>
      </c>
      <c r="C2022" s="1">
        <v>1849</v>
      </c>
      <c r="J2022" s="3">
        <v>46216.722488425927</v>
      </c>
      <c r="L2022" s="1">
        <v>46</v>
      </c>
      <c r="M2022" s="1">
        <v>49</v>
      </c>
      <c r="N2022" s="1">
        <v>3</v>
      </c>
      <c r="O2022" s="3">
        <v>46233.65914210648</v>
      </c>
    </row>
    <row r="2023" spans="1:15" x14ac:dyDescent="0.25">
      <c r="A2023" s="5" t="s">
        <v>6230</v>
      </c>
      <c r="B2023" s="1" t="s">
        <v>10394</v>
      </c>
      <c r="J2023" s="3">
        <v>46217.614583333336</v>
      </c>
      <c r="L2023" s="1">
        <v>4</v>
      </c>
      <c r="M2023" s="1">
        <v>5</v>
      </c>
      <c r="N2023" s="1">
        <v>1</v>
      </c>
      <c r="O2023" s="3">
        <v>46233.65914210648</v>
      </c>
    </row>
    <row r="2024" spans="1:15" x14ac:dyDescent="0.25">
      <c r="A2024" s="5" t="s">
        <v>6233</v>
      </c>
      <c r="B2024" s="1" t="s">
        <v>10395</v>
      </c>
      <c r="J2024" s="3">
        <v>46217.618009259262</v>
      </c>
      <c r="L2024" s="1">
        <v>2</v>
      </c>
      <c r="M2024" s="1">
        <v>3</v>
      </c>
      <c r="N2024" s="1">
        <v>1</v>
      </c>
      <c r="O2024" s="3">
        <v>46233.65914210648</v>
      </c>
    </row>
    <row r="2025" spans="1:15" ht="105" x14ac:dyDescent="0.25">
      <c r="A2025" s="5" t="s">
        <v>6236</v>
      </c>
      <c r="B2025" s="1" t="s">
        <v>10396</v>
      </c>
      <c r="C2025" s="1">
        <v>1959</v>
      </c>
      <c r="D2025" s="1" t="s">
        <v>14</v>
      </c>
      <c r="G2025" s="1" t="s">
        <v>10</v>
      </c>
      <c r="H2025" s="2" t="s">
        <v>140</v>
      </c>
      <c r="I2025" s="2" t="s">
        <v>140</v>
      </c>
      <c r="J2025" s="3">
        <v>46222.381527777776</v>
      </c>
      <c r="K2025" s="2" t="s">
        <v>10397</v>
      </c>
      <c r="L2025" s="1">
        <v>119</v>
      </c>
      <c r="M2025" s="1">
        <v>134</v>
      </c>
      <c r="N2025" s="1">
        <v>15</v>
      </c>
      <c r="O2025" s="3">
        <v>46233.65914210648</v>
      </c>
    </row>
    <row r="2026" spans="1:15" x14ac:dyDescent="0.25">
      <c r="A2026" s="5" t="s">
        <v>6239</v>
      </c>
      <c r="B2026" s="1" t="s">
        <v>10398</v>
      </c>
      <c r="C2026" s="1">
        <v>1872</v>
      </c>
      <c r="E2026" s="1">
        <v>1944</v>
      </c>
      <c r="G2026" s="1" t="s">
        <v>10</v>
      </c>
      <c r="J2026" s="3">
        <v>46223.71634259259</v>
      </c>
      <c r="K2026" s="2" t="s">
        <v>10399</v>
      </c>
      <c r="L2026" s="1">
        <v>22</v>
      </c>
      <c r="M2026" s="1">
        <v>23</v>
      </c>
      <c r="N2026" s="1">
        <v>1</v>
      </c>
      <c r="O2026" s="3">
        <v>46233.65914210648</v>
      </c>
    </row>
    <row r="2027" spans="1:15" ht="360" x14ac:dyDescent="0.25">
      <c r="A2027" s="5" t="s">
        <v>6242</v>
      </c>
      <c r="B2027" s="1" t="s">
        <v>10400</v>
      </c>
      <c r="C2027" s="1">
        <v>1945</v>
      </c>
      <c r="J2027" s="3">
        <v>45386.564710648148</v>
      </c>
      <c r="K2027" s="2" t="s">
        <v>10401</v>
      </c>
      <c r="L2027" s="1">
        <v>1</v>
      </c>
      <c r="M2027" s="1">
        <v>1</v>
      </c>
      <c r="N2027" s="1">
        <v>0</v>
      </c>
      <c r="O2027" s="3">
        <v>46233.65914210648</v>
      </c>
    </row>
    <row r="2028" spans="1:15" ht="75" x14ac:dyDescent="0.25">
      <c r="A2028" s="5" t="s">
        <v>6245</v>
      </c>
      <c r="B2028" s="1" t="s">
        <v>10402</v>
      </c>
      <c r="C2028" s="1">
        <v>1959</v>
      </c>
      <c r="J2028" s="3">
        <v>45415.053923611114</v>
      </c>
      <c r="K2028" s="2" t="s">
        <v>10403</v>
      </c>
      <c r="L2028" s="1">
        <v>1</v>
      </c>
      <c r="M2028" s="1">
        <v>27</v>
      </c>
      <c r="N2028" s="1">
        <v>26</v>
      </c>
      <c r="O2028" s="3">
        <v>46233.65914210648</v>
      </c>
    </row>
    <row r="2029" spans="1:15" ht="180" x14ac:dyDescent="0.25">
      <c r="A2029" s="5" t="s">
        <v>6248</v>
      </c>
      <c r="B2029" s="1" t="s">
        <v>10404</v>
      </c>
      <c r="C2029" s="1">
        <v>1816</v>
      </c>
      <c r="E2029" s="1">
        <v>1895</v>
      </c>
      <c r="G2029" s="1" t="s">
        <v>10</v>
      </c>
      <c r="J2029" s="3">
        <v>45668.457916666666</v>
      </c>
      <c r="K2029" s="2" t="s">
        <v>10405</v>
      </c>
      <c r="L2029" s="1">
        <v>4</v>
      </c>
      <c r="M2029" s="1">
        <v>32</v>
      </c>
      <c r="N2029" s="1">
        <v>28</v>
      </c>
      <c r="O2029" s="3">
        <v>46233.65914210648</v>
      </c>
    </row>
    <row r="2030" spans="1:15" ht="90" x14ac:dyDescent="0.25">
      <c r="A2030" s="5" t="s">
        <v>6251</v>
      </c>
      <c r="B2030" s="1" t="s">
        <v>10406</v>
      </c>
      <c r="C2030" s="1">
        <v>1975</v>
      </c>
      <c r="D2030" s="1" t="s">
        <v>6329</v>
      </c>
      <c r="G2030" s="1" t="s">
        <v>10</v>
      </c>
      <c r="J2030" s="3">
        <v>45574.440844907411</v>
      </c>
      <c r="K2030" s="2" t="s">
        <v>10407</v>
      </c>
      <c r="L2030" s="1">
        <v>10</v>
      </c>
      <c r="M2030" s="1">
        <v>10</v>
      </c>
      <c r="N2030" s="1">
        <v>0</v>
      </c>
      <c r="O2030" s="3">
        <v>46233.65914210648</v>
      </c>
    </row>
    <row r="2031" spans="1:15" ht="45" x14ac:dyDescent="0.25">
      <c r="A2031" s="5" t="s">
        <v>6254</v>
      </c>
      <c r="B2031" s="1" t="s">
        <v>10408</v>
      </c>
      <c r="C2031" s="1">
        <v>1945</v>
      </c>
      <c r="G2031" s="1" t="s">
        <v>10</v>
      </c>
      <c r="J2031" s="3">
        <v>45866.621249999997</v>
      </c>
      <c r="K2031" s="2" t="s">
        <v>10409</v>
      </c>
      <c r="L2031" s="1">
        <v>12</v>
      </c>
      <c r="M2031" s="1">
        <v>13</v>
      </c>
      <c r="N2031" s="1">
        <v>1</v>
      </c>
      <c r="O2031" s="3">
        <v>46233.65914210648</v>
      </c>
    </row>
    <row r="2032" spans="1:15" ht="90" x14ac:dyDescent="0.25">
      <c r="A2032" s="5" t="s">
        <v>6257</v>
      </c>
      <c r="B2032" s="1" t="s">
        <v>10410</v>
      </c>
      <c r="C2032" s="1">
        <v>1974</v>
      </c>
      <c r="D2032" s="1" t="s">
        <v>14</v>
      </c>
      <c r="G2032" s="1" t="s">
        <v>10</v>
      </c>
      <c r="J2032" s="3">
        <v>45915.702615740738</v>
      </c>
      <c r="K2032" s="2" t="s">
        <v>10411</v>
      </c>
      <c r="L2032" s="1">
        <v>32</v>
      </c>
      <c r="M2032" s="1">
        <v>40</v>
      </c>
      <c r="N2032" s="1">
        <v>8</v>
      </c>
      <c r="O2032" s="3">
        <v>46233.65914210648</v>
      </c>
    </row>
    <row r="2033" spans="1:15" ht="120" x14ac:dyDescent="0.25">
      <c r="A2033" s="5" t="s">
        <v>6260</v>
      </c>
      <c r="B2033" s="1" t="s">
        <v>10412</v>
      </c>
      <c r="C2033" s="1">
        <v>1979</v>
      </c>
      <c r="D2033" s="1" t="s">
        <v>14</v>
      </c>
      <c r="G2033" s="1" t="s">
        <v>10</v>
      </c>
      <c r="H2033" s="2" t="s">
        <v>10413</v>
      </c>
      <c r="I2033" s="2" t="s">
        <v>10414</v>
      </c>
      <c r="J2033" s="3">
        <v>45923.538599537038</v>
      </c>
      <c r="K2033" s="2" t="s">
        <v>10415</v>
      </c>
      <c r="L2033" s="1">
        <v>7</v>
      </c>
      <c r="M2033" s="1">
        <v>7</v>
      </c>
      <c r="N2033" s="1">
        <v>0</v>
      </c>
      <c r="O2033" s="3">
        <v>46233.65914210648</v>
      </c>
    </row>
    <row r="2034" spans="1:15" ht="45" x14ac:dyDescent="0.25">
      <c r="A2034" s="5" t="s">
        <v>6263</v>
      </c>
      <c r="B2034" s="1" t="s">
        <v>10416</v>
      </c>
      <c r="G2034" s="1" t="s">
        <v>11</v>
      </c>
      <c r="I2034" s="2" t="s">
        <v>113</v>
      </c>
      <c r="J2034" s="3">
        <v>46030.575150462966</v>
      </c>
      <c r="K2034" s="2" t="s">
        <v>10417</v>
      </c>
      <c r="L2034" s="1">
        <v>8</v>
      </c>
      <c r="M2034" s="1">
        <v>13</v>
      </c>
      <c r="N2034" s="1">
        <v>5</v>
      </c>
      <c r="O2034" s="3">
        <v>46233.65914210648</v>
      </c>
    </row>
    <row r="2035" spans="1:15" ht="90" x14ac:dyDescent="0.25">
      <c r="A2035" s="5" t="s">
        <v>6266</v>
      </c>
      <c r="B2035" s="1" t="s">
        <v>10418</v>
      </c>
      <c r="C2035" s="1">
        <v>1892</v>
      </c>
      <c r="D2035" s="1" t="s">
        <v>10419</v>
      </c>
      <c r="E2035" s="1">
        <v>1974</v>
      </c>
      <c r="F2035" s="1" t="s">
        <v>10420</v>
      </c>
      <c r="G2035" s="1" t="s">
        <v>11</v>
      </c>
      <c r="H2035" s="2" t="s">
        <v>10421</v>
      </c>
      <c r="I2035" s="2" t="s">
        <v>10422</v>
      </c>
      <c r="J2035" s="3">
        <v>46043.583749999998</v>
      </c>
      <c r="K2035" s="2" t="s">
        <v>10423</v>
      </c>
      <c r="L2035" s="1">
        <v>3</v>
      </c>
      <c r="M2035" s="1">
        <v>4</v>
      </c>
      <c r="N2035" s="1">
        <v>1</v>
      </c>
      <c r="O2035" s="3">
        <v>46233.65914210648</v>
      </c>
    </row>
    <row r="2036" spans="1:15" ht="409.5" x14ac:dyDescent="0.25">
      <c r="A2036" s="5" t="s">
        <v>6269</v>
      </c>
      <c r="B2036" s="1" t="s">
        <v>10424</v>
      </c>
      <c r="C2036" s="1">
        <v>1995</v>
      </c>
      <c r="J2036" s="3">
        <v>46045.659259259257</v>
      </c>
      <c r="K2036" s="2" t="s">
        <v>10425</v>
      </c>
      <c r="L2036" s="1">
        <v>224</v>
      </c>
      <c r="M2036" s="1">
        <v>279</v>
      </c>
      <c r="N2036" s="1">
        <v>55</v>
      </c>
      <c r="O2036" s="3">
        <v>46233.65914210648</v>
      </c>
    </row>
    <row r="2037" spans="1:15" ht="120" x14ac:dyDescent="0.25">
      <c r="A2037" s="5" t="s">
        <v>6272</v>
      </c>
      <c r="B2037" s="1" t="s">
        <v>10426</v>
      </c>
      <c r="C2037" s="1">
        <v>1465</v>
      </c>
      <c r="D2037" s="1" t="s">
        <v>10428</v>
      </c>
      <c r="E2037" s="1">
        <v>1519</v>
      </c>
      <c r="F2037" s="1" t="s">
        <v>14</v>
      </c>
      <c r="G2037" s="1" t="s">
        <v>10</v>
      </c>
      <c r="J2037" s="3">
        <v>46070.388564814813</v>
      </c>
      <c r="K2037" s="2" t="s">
        <v>10429</v>
      </c>
      <c r="L2037" s="1">
        <v>10</v>
      </c>
      <c r="M2037" s="1">
        <v>12</v>
      </c>
      <c r="N2037" s="1">
        <v>2</v>
      </c>
      <c r="O2037" s="3">
        <v>46233.65914210648</v>
      </c>
    </row>
    <row r="2038" spans="1:15" ht="60" x14ac:dyDescent="0.25">
      <c r="A2038" s="5" t="s">
        <v>6275</v>
      </c>
      <c r="B2038" s="1" t="s">
        <v>10430</v>
      </c>
      <c r="C2038" s="1">
        <v>1753</v>
      </c>
      <c r="D2038" s="1" t="s">
        <v>14</v>
      </c>
      <c r="E2038" s="1">
        <v>1816</v>
      </c>
      <c r="F2038" s="1" t="s">
        <v>14</v>
      </c>
      <c r="G2038" s="1" t="s">
        <v>10</v>
      </c>
      <c r="H2038" s="2" t="s">
        <v>10485</v>
      </c>
      <c r="J2038" s="3">
        <v>46085.784479166665</v>
      </c>
      <c r="K2038" s="2" t="s">
        <v>10431</v>
      </c>
      <c r="L2038" s="1">
        <v>8</v>
      </c>
      <c r="M2038" s="1">
        <v>12</v>
      </c>
      <c r="N2038" s="1">
        <v>4</v>
      </c>
      <c r="O2038" s="3">
        <v>46233.65914210648</v>
      </c>
    </row>
    <row r="2039" spans="1:15" ht="75" x14ac:dyDescent="0.25">
      <c r="A2039" s="5" t="s">
        <v>6278</v>
      </c>
      <c r="B2039" s="1" t="s">
        <v>10432</v>
      </c>
      <c r="C2039" s="1">
        <v>1797</v>
      </c>
      <c r="D2039" s="1" t="s">
        <v>14</v>
      </c>
      <c r="E2039" s="1">
        <v>1869</v>
      </c>
      <c r="F2039" s="1" t="s">
        <v>153</v>
      </c>
      <c r="G2039" s="1" t="s">
        <v>10</v>
      </c>
      <c r="H2039" s="2" t="s">
        <v>10433</v>
      </c>
      <c r="I2039" s="2" t="s">
        <v>10434</v>
      </c>
      <c r="J2039" s="3">
        <v>46097.617523148147</v>
      </c>
      <c r="K2039" s="2" t="s">
        <v>10435</v>
      </c>
      <c r="L2039" s="1">
        <v>79</v>
      </c>
      <c r="M2039" s="1">
        <v>82</v>
      </c>
      <c r="N2039" s="1">
        <v>3</v>
      </c>
      <c r="O2039" s="3">
        <v>46233.65914210648</v>
      </c>
    </row>
    <row r="2040" spans="1:15" ht="45" x14ac:dyDescent="0.25">
      <c r="A2040" s="5" t="s">
        <v>6281</v>
      </c>
      <c r="B2040" s="1" t="s">
        <v>10436</v>
      </c>
      <c r="C2040" s="1">
        <v>1960</v>
      </c>
      <c r="J2040" s="3">
        <v>46110.456469907411</v>
      </c>
      <c r="K2040" s="2" t="s">
        <v>10437</v>
      </c>
      <c r="L2040" s="1">
        <v>10</v>
      </c>
      <c r="M2040" s="1">
        <v>10</v>
      </c>
      <c r="N2040" s="1">
        <v>0</v>
      </c>
      <c r="O2040" s="3">
        <v>46233.65914210648</v>
      </c>
    </row>
    <row r="2041" spans="1:15" ht="135" x14ac:dyDescent="0.25">
      <c r="A2041" s="5" t="s">
        <v>6284</v>
      </c>
      <c r="B2041" s="1" t="s">
        <v>10438</v>
      </c>
      <c r="C2041" s="1">
        <v>1844</v>
      </c>
      <c r="D2041" s="1" t="s">
        <v>14</v>
      </c>
      <c r="E2041" s="1">
        <v>1926</v>
      </c>
      <c r="F2041" s="1" t="s">
        <v>8376</v>
      </c>
      <c r="G2041" s="1" t="s">
        <v>10</v>
      </c>
      <c r="H2041" s="2" t="s">
        <v>10439</v>
      </c>
      <c r="J2041" s="3">
        <v>46138.439895833333</v>
      </c>
      <c r="K2041" s="2" t="s">
        <v>10440</v>
      </c>
      <c r="L2041" s="1">
        <v>256</v>
      </c>
      <c r="M2041" s="1">
        <v>267</v>
      </c>
      <c r="N2041" s="1">
        <v>11</v>
      </c>
      <c r="O2041" s="3">
        <v>46233.65914210648</v>
      </c>
    </row>
    <row r="2042" spans="1:15" ht="45" x14ac:dyDescent="0.25">
      <c r="A2042" s="5" t="s">
        <v>6287</v>
      </c>
      <c r="B2042" s="1" t="s">
        <v>10441</v>
      </c>
      <c r="C2042" s="1">
        <v>1862</v>
      </c>
      <c r="D2042" s="1" t="s">
        <v>14</v>
      </c>
      <c r="E2042" s="1">
        <v>1901</v>
      </c>
      <c r="F2042" s="1" t="s">
        <v>10442</v>
      </c>
      <c r="G2042" s="1" t="s">
        <v>10</v>
      </c>
      <c r="J2042" s="3">
        <v>46145.428761574076</v>
      </c>
      <c r="K2042" s="2" t="s">
        <v>10443</v>
      </c>
      <c r="L2042" s="1">
        <v>2</v>
      </c>
      <c r="M2042" s="1">
        <v>9</v>
      </c>
      <c r="N2042" s="1">
        <v>7</v>
      </c>
      <c r="O2042" s="3">
        <v>46233.65914210648</v>
      </c>
    </row>
    <row r="2043" spans="1:15" ht="180" x14ac:dyDescent="0.25">
      <c r="A2043" s="5" t="s">
        <v>6290</v>
      </c>
      <c r="B2043" s="1" t="s">
        <v>10444</v>
      </c>
      <c r="C2043" s="1">
        <v>1977</v>
      </c>
      <c r="E2043" s="1">
        <v>2008</v>
      </c>
      <c r="J2043" s="3">
        <v>46145.448113425926</v>
      </c>
      <c r="K2043" s="2" t="s">
        <v>10445</v>
      </c>
      <c r="L2043" s="1">
        <v>59</v>
      </c>
      <c r="M2043" s="1">
        <v>72</v>
      </c>
      <c r="N2043" s="1">
        <v>13</v>
      </c>
      <c r="O2043" s="3">
        <v>46233.65914210648</v>
      </c>
    </row>
    <row r="2044" spans="1:15" ht="60" x14ac:dyDescent="0.25">
      <c r="A2044" s="5" t="s">
        <v>6293</v>
      </c>
      <c r="B2044" s="1" t="s">
        <v>10446</v>
      </c>
      <c r="C2044" s="1">
        <v>1946</v>
      </c>
      <c r="D2044" s="1" t="s">
        <v>14</v>
      </c>
      <c r="E2044" s="1">
        <v>1993</v>
      </c>
      <c r="F2044" s="1" t="s">
        <v>14</v>
      </c>
      <c r="G2044" s="1" t="s">
        <v>11</v>
      </c>
      <c r="J2044" s="3">
        <v>46166.355150462965</v>
      </c>
      <c r="K2044" s="2" t="s">
        <v>10447</v>
      </c>
      <c r="L2044" s="1">
        <v>6</v>
      </c>
      <c r="M2044" s="1">
        <v>11</v>
      </c>
      <c r="N2044" s="1">
        <v>5</v>
      </c>
      <c r="O2044" s="3">
        <v>46233.65914210648</v>
      </c>
    </row>
    <row r="2045" spans="1:15" x14ac:dyDescent="0.25">
      <c r="A2045" s="5" t="s">
        <v>6296</v>
      </c>
      <c r="B2045" s="1" t="s">
        <v>10448</v>
      </c>
      <c r="C2045" s="1">
        <v>1559</v>
      </c>
      <c r="J2045" s="3">
        <v>46180.4218287037</v>
      </c>
      <c r="L2045" s="1">
        <v>100</v>
      </c>
      <c r="M2045" s="1">
        <v>132</v>
      </c>
      <c r="N2045" s="1">
        <v>32</v>
      </c>
      <c r="O2045" s="3">
        <v>46233.65914210648</v>
      </c>
    </row>
    <row r="2046" spans="1:15" ht="75" x14ac:dyDescent="0.25">
      <c r="A2046" s="5" t="s">
        <v>6299</v>
      </c>
      <c r="B2046" s="1" t="s">
        <v>10450</v>
      </c>
      <c r="C2046" s="1">
        <v>1910</v>
      </c>
      <c r="J2046" s="3">
        <v>46184.656793981485</v>
      </c>
      <c r="K2046" s="2" t="s">
        <v>10451</v>
      </c>
      <c r="L2046" s="1">
        <v>11</v>
      </c>
      <c r="M2046" s="1">
        <v>21</v>
      </c>
      <c r="N2046" s="1">
        <v>10</v>
      </c>
      <c r="O2046" s="3">
        <v>46233.65914210648</v>
      </c>
    </row>
    <row r="2047" spans="1:15" ht="30" x14ac:dyDescent="0.25">
      <c r="A2047" s="5" t="s">
        <v>6302</v>
      </c>
      <c r="B2047" s="1" t="s">
        <v>10452</v>
      </c>
      <c r="C2047" s="1" t="s">
        <v>152</v>
      </c>
      <c r="E2047" s="1" t="s">
        <v>12</v>
      </c>
      <c r="G2047" s="1" t="s">
        <v>10</v>
      </c>
      <c r="J2047" s="3">
        <v>46189.498935185184</v>
      </c>
      <c r="K2047" s="2" t="s">
        <v>10453</v>
      </c>
      <c r="L2047" s="1">
        <v>8</v>
      </c>
      <c r="M2047" s="1">
        <v>9</v>
      </c>
      <c r="N2047" s="1">
        <v>1</v>
      </c>
      <c r="O2047" s="3">
        <v>46233.65914210648</v>
      </c>
    </row>
    <row r="2048" spans="1:15" x14ac:dyDescent="0.25">
      <c r="A2048" s="5" t="s">
        <v>6305</v>
      </c>
      <c r="B2048" s="1" t="s">
        <v>10454</v>
      </c>
      <c r="C2048" s="1">
        <v>1958</v>
      </c>
      <c r="G2048" s="1" t="s">
        <v>10</v>
      </c>
      <c r="J2048" s="3">
        <v>46201.369016203702</v>
      </c>
      <c r="K2048" s="2" t="s">
        <v>10455</v>
      </c>
      <c r="L2048" s="1">
        <v>6</v>
      </c>
      <c r="M2048" s="1">
        <v>13</v>
      </c>
      <c r="N2048" s="1">
        <v>7</v>
      </c>
      <c r="O2048" s="3">
        <v>46233.65914210648</v>
      </c>
    </row>
    <row r="2049" spans="1:15" ht="135" x14ac:dyDescent="0.25">
      <c r="A2049" s="5" t="s">
        <v>6308</v>
      </c>
      <c r="B2049" s="1" t="s">
        <v>10456</v>
      </c>
      <c r="C2049" s="1">
        <v>1981</v>
      </c>
      <c r="D2049" s="1" t="s">
        <v>8589</v>
      </c>
      <c r="G2049" s="1" t="s">
        <v>11</v>
      </c>
      <c r="H2049" s="2" t="s">
        <v>10457</v>
      </c>
      <c r="J2049" s="3">
        <v>46231.707754629628</v>
      </c>
      <c r="K2049" s="2" t="s">
        <v>10458</v>
      </c>
      <c r="L2049" s="1">
        <v>6</v>
      </c>
      <c r="M2049" s="1">
        <v>9</v>
      </c>
      <c r="N2049" s="1">
        <v>3</v>
      </c>
      <c r="O2049" s="3">
        <v>46233.65914210648</v>
      </c>
    </row>
    <row r="2050" spans="1:15" ht="60" x14ac:dyDescent="0.25">
      <c r="A2050" s="5" t="s">
        <v>6311</v>
      </c>
      <c r="B2050" s="1" t="s">
        <v>10459</v>
      </c>
      <c r="C2050" s="1">
        <v>1559</v>
      </c>
      <c r="J2050" s="3">
        <v>46055.68959490741</v>
      </c>
      <c r="K2050" s="2" t="s">
        <v>10460</v>
      </c>
      <c r="L2050" s="1">
        <v>645</v>
      </c>
      <c r="M2050" s="1">
        <v>843</v>
      </c>
      <c r="N2050" s="1">
        <v>198</v>
      </c>
      <c r="O2050" s="3">
        <v>46233.65914210648</v>
      </c>
    </row>
    <row r="2051" spans="1:15" ht="90" x14ac:dyDescent="0.25">
      <c r="A2051" s="5" t="s">
        <v>6314</v>
      </c>
      <c r="B2051" s="1" t="s">
        <v>10461</v>
      </c>
      <c r="C2051" s="1" t="s">
        <v>10462</v>
      </c>
      <c r="D2051" s="1" t="s">
        <v>10463</v>
      </c>
      <c r="E2051" s="1">
        <v>1445</v>
      </c>
      <c r="F2051" s="1" t="s">
        <v>8025</v>
      </c>
      <c r="G2051" s="1" t="s">
        <v>10</v>
      </c>
      <c r="J2051" s="3">
        <v>46056.442094907405</v>
      </c>
      <c r="K2051" s="2" t="s">
        <v>10465</v>
      </c>
      <c r="L2051" s="1">
        <v>23</v>
      </c>
      <c r="M2051" s="1">
        <v>25</v>
      </c>
      <c r="N2051" s="1">
        <v>2</v>
      </c>
      <c r="O2051" s="3">
        <v>46233.65914210648</v>
      </c>
    </row>
    <row r="2052" spans="1:15" ht="75" x14ac:dyDescent="0.25">
      <c r="A2052" s="5" t="s">
        <v>6317</v>
      </c>
      <c r="B2052" s="1" t="s">
        <v>10466</v>
      </c>
      <c r="C2052" s="1">
        <v>1712</v>
      </c>
      <c r="D2052" s="1" t="s">
        <v>14</v>
      </c>
      <c r="E2052" s="1">
        <v>1778</v>
      </c>
      <c r="F2052" s="1" t="s">
        <v>10467</v>
      </c>
      <c r="G2052" s="1" t="s">
        <v>10</v>
      </c>
      <c r="J2052" s="3">
        <v>46059.749328703707</v>
      </c>
      <c r="K2052" s="2" t="s">
        <v>10468</v>
      </c>
      <c r="L2052" s="1">
        <v>6299</v>
      </c>
      <c r="M2052" s="1">
        <v>6759</v>
      </c>
      <c r="N2052" s="1">
        <v>460</v>
      </c>
      <c r="O2052" s="3">
        <v>46233.65914210648</v>
      </c>
    </row>
    <row r="2053" spans="1:15" ht="90" x14ac:dyDescent="0.25">
      <c r="A2053" s="5" t="s">
        <v>6320</v>
      </c>
      <c r="B2053" s="1" t="s">
        <v>10469</v>
      </c>
      <c r="C2053" s="1">
        <v>1629</v>
      </c>
      <c r="D2053" s="1" t="s">
        <v>14</v>
      </c>
      <c r="E2053" s="1">
        <v>1705</v>
      </c>
      <c r="F2053" s="1" t="s">
        <v>14</v>
      </c>
      <c r="G2053" s="1" t="s">
        <v>10</v>
      </c>
      <c r="I2053" s="2" t="s">
        <v>140</v>
      </c>
      <c r="J2053" s="3">
        <v>46070.377280092594</v>
      </c>
      <c r="K2053" s="2" t="s">
        <v>10472</v>
      </c>
      <c r="L2053" s="1">
        <v>6</v>
      </c>
      <c r="M2053" s="1">
        <v>8</v>
      </c>
      <c r="N2053" s="1">
        <v>2</v>
      </c>
      <c r="O2053" s="3">
        <v>46233.65914210648</v>
      </c>
    </row>
    <row r="2054" spans="1:15" ht="225" x14ac:dyDescent="0.25">
      <c r="A2054" s="5" t="s">
        <v>6323</v>
      </c>
      <c r="B2054" s="1" t="s">
        <v>10473</v>
      </c>
      <c r="C2054" s="1">
        <v>1830</v>
      </c>
      <c r="D2054" s="1" t="s">
        <v>10474</v>
      </c>
      <c r="E2054" s="1">
        <v>1905</v>
      </c>
      <c r="F2054" s="1" t="s">
        <v>10475</v>
      </c>
      <c r="G2054" s="1" t="s">
        <v>10</v>
      </c>
      <c r="H2054" s="2" t="s">
        <v>10476</v>
      </c>
      <c r="I2054" s="2" t="s">
        <v>10477</v>
      </c>
      <c r="J2054" s="3">
        <v>46057.476446759261</v>
      </c>
      <c r="K2054" s="2" t="s">
        <v>10478</v>
      </c>
      <c r="L2054" s="1">
        <v>205</v>
      </c>
      <c r="M2054" s="1">
        <v>240</v>
      </c>
      <c r="N2054" s="1">
        <v>35</v>
      </c>
      <c r="O2054" s="3">
        <v>46233.65914210648</v>
      </c>
    </row>
  </sheetData>
  <conditionalFormatting sqref="N2:N2054">
    <cfRule type="colorScale" priority="1">
      <colorScale>
        <cfvo type="min"/>
        <cfvo type="percentile" val="50"/>
        <cfvo type="max"/>
        <color rgb="FF63BE7B"/>
        <color rgb="FFFFEB84"/>
        <color rgb="FFF8696B"/>
      </colorScale>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6BB8F0E-5F06-4B9D-9C63-4E9AE91A79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Horodatage</vt:lpstr>
      <vt:lpstr>Source</vt:lpstr>
      <vt:lpstr>Liste_PPN_URL</vt:lpstr>
      <vt:lpstr>Interactif</vt:lpstr>
      <vt:lpstr>Final</vt:lpstr>
      <vt:lpstr>Comparatif</vt:lpstr>
      <vt:lpstr>CodeInstitution</vt:lpstr>
      <vt:lpstr>SourcePowerQuery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KERBOUL</dc:creator>
  <cp:lastModifiedBy>Thomas KERBOUL</cp:lastModifiedBy>
  <dcterms:created xsi:type="dcterms:W3CDTF">2026-07-28T09:18:02Z</dcterms:created>
  <dcterms:modified xsi:type="dcterms:W3CDTF">2026-07-31T12:27:30Z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22118e3-3971-466e-a812-dfb7166df9b9_Enabled">
    <vt:lpwstr>true</vt:lpwstr>
  </property>
  <property fmtid="{D5CDD505-2E9C-101B-9397-08002B2CF9AE}" pid="3" name="MSIP_Label_f22118e3-3971-466e-a812-dfb7166df9b9_SetDate">
    <vt:lpwstr>2026-07-28T12:56:43Z</vt:lpwstr>
  </property>
  <property fmtid="{D5CDD505-2E9C-101B-9397-08002B2CF9AE}" pid="4" name="MSIP_Label_f22118e3-3971-466e-a812-dfb7166df9b9_Method">
    <vt:lpwstr>Standard</vt:lpwstr>
  </property>
  <property fmtid="{D5CDD505-2E9C-101B-9397-08002B2CF9AE}" pid="5" name="MSIP_Label_f22118e3-3971-466e-a812-dfb7166df9b9_Name">
    <vt:lpwstr>C2 – Restreint VDG Files</vt:lpwstr>
  </property>
  <property fmtid="{D5CDD505-2E9C-101B-9397-08002B2CF9AE}" pid="6" name="MSIP_Label_f22118e3-3971-466e-a812-dfb7166df9b9_SiteId">
    <vt:lpwstr>aa817116-beff-4abb-a8a4-4d85fb230d47</vt:lpwstr>
  </property>
  <property fmtid="{D5CDD505-2E9C-101B-9397-08002B2CF9AE}" pid="7" name="MSIP_Label_f22118e3-3971-466e-a812-dfb7166df9b9_ActionId">
    <vt:lpwstr>b5534df9-cee8-4aa4-9392-78dc45e9840b</vt:lpwstr>
  </property>
  <property fmtid="{D5CDD505-2E9C-101B-9397-08002B2CF9AE}" pid="8" name="MSIP_Label_f22118e3-3971-466e-a812-dfb7166df9b9_ContentBits">
    <vt:lpwstr>0</vt:lpwstr>
  </property>
  <property fmtid="{D5CDD505-2E9C-101B-9397-08002B2CF9AE}" pid="9" name="MSIP_Label_f22118e3-3971-466e-a812-dfb7166df9b9_Tag">
    <vt:lpwstr>10, 3, 0, 1</vt:lpwstr>
  </property>
</Properties>
</file>